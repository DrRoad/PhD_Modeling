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431" codeName="{B1203076-2D4D-A25B-A398-973B695A806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iko\Dropbox\PhD\Research\Models\SUMO\SUMO_DropBox\Belmont_Ave-Run\Belmont_AOI-Routing\BM-Flow_File\"/>
    </mc:Choice>
  </mc:AlternateContent>
  <bookViews>
    <workbookView xWindow="0" yWindow="0" windowWidth="28800" windowHeight="12210" tabRatio="375" firstSheet="2" activeTab="5" xr2:uid="{694A81D6-882F-4E2D-9135-FF2877BCFF98}"/>
  </bookViews>
  <sheets>
    <sheet name="code1" sheetId="2" r:id="rId1"/>
    <sheet name="Route_Column" sheetId="7" r:id="rId2"/>
    <sheet name="Belmont-Frouter" sheetId="10" r:id="rId3"/>
    <sheet name="try3" sheetId="3" r:id="rId4"/>
    <sheet name="Route_Probes" sheetId="6" r:id="rId5"/>
    <sheet name="User-Tracker" sheetId="11" r:id="rId6"/>
    <sheet name="Sheet1" sheetId="9" r:id="rId7"/>
    <sheet name="Sheet8" sheetId="8" r:id="rId8"/>
    <sheet name="code3" sheetId="4" r:id="rId9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8" i="11" l="1"/>
  <c r="D27" i="11"/>
  <c r="D25" i="11"/>
  <c r="D24" i="11"/>
  <c r="K58" i="11"/>
  <c r="K55" i="11"/>
  <c r="K52" i="11"/>
  <c r="K49" i="11"/>
  <c r="K46" i="11"/>
  <c r="K40" i="11"/>
  <c r="K43" i="11"/>
  <c r="B7" i="11" l="1"/>
  <c r="B9" i="11"/>
  <c r="B10" i="11" s="1"/>
  <c r="B11" i="11" s="1"/>
  <c r="B12" i="11" s="1"/>
  <c r="B13" i="11" s="1"/>
  <c r="B14" i="11" s="1"/>
  <c r="B15" i="11" s="1"/>
  <c r="B16" i="11" s="1"/>
  <c r="B17" i="11" s="1"/>
  <c r="B18" i="11" s="1"/>
  <c r="B19" i="11" s="1"/>
  <c r="B20" i="11" s="1"/>
  <c r="B21" i="11" s="1"/>
  <c r="B22" i="11" s="1"/>
  <c r="B23" i="11" s="1"/>
  <c r="D4" i="11" s="1"/>
  <c r="D17" i="11" l="1"/>
  <c r="D26" i="11"/>
  <c r="D23" i="11"/>
  <c r="D8" i="11"/>
  <c r="D11" i="11"/>
  <c r="D20" i="11"/>
  <c r="D14" i="11"/>
  <c r="D22" i="11"/>
  <c r="D21" i="11"/>
  <c r="D19" i="11"/>
  <c r="D18" i="11"/>
  <c r="D16" i="11"/>
  <c r="D15" i="11"/>
  <c r="D13" i="11"/>
  <c r="D12" i="11"/>
  <c r="D10" i="11"/>
  <c r="D9" i="11"/>
  <c r="M64" i="9" l="1"/>
  <c r="N64" i="9"/>
  <c r="N57" i="9"/>
  <c r="O57" i="9"/>
  <c r="P57" i="9"/>
  <c r="Q57" i="9"/>
  <c r="N58" i="9"/>
  <c r="O58" i="9"/>
  <c r="P58" i="9"/>
  <c r="Q58" i="9"/>
  <c r="M58" i="9"/>
  <c r="M57" i="9"/>
  <c r="L56" i="9"/>
  <c r="E201" i="6" l="1"/>
  <c r="E8317" i="6" l="1"/>
  <c r="E8256" i="6"/>
  <c r="E8193" i="6"/>
  <c r="E8130" i="6"/>
  <c r="E8067" i="6"/>
  <c r="E8004" i="6"/>
  <c r="E7941" i="6"/>
  <c r="E7878" i="6"/>
  <c r="E7818" i="6"/>
  <c r="E7755" i="6"/>
  <c r="E7692" i="6"/>
  <c r="E7629" i="6"/>
  <c r="E7566" i="6"/>
  <c r="E7503" i="6"/>
  <c r="E7440" i="6"/>
  <c r="E7377" i="6"/>
  <c r="E7314" i="6"/>
  <c r="E7251" i="6"/>
  <c r="E7188" i="6"/>
  <c r="E7125" i="6"/>
  <c r="E7062" i="6"/>
  <c r="E6999" i="6"/>
  <c r="E6936" i="6"/>
  <c r="E6873" i="6"/>
  <c r="E6810" i="6"/>
  <c r="E6747" i="6"/>
  <c r="E6684" i="6"/>
  <c r="E6621" i="6"/>
  <c r="E6558" i="6"/>
  <c r="E6495" i="6"/>
  <c r="E6432" i="6"/>
  <c r="E6369" i="6"/>
  <c r="E6306" i="6"/>
  <c r="E6243" i="6"/>
  <c r="E6180" i="6"/>
  <c r="E6117" i="6"/>
  <c r="E6054" i="6"/>
  <c r="E5991" i="6"/>
  <c r="E5928" i="6"/>
  <c r="E5865" i="6"/>
  <c r="E5802" i="6"/>
  <c r="E5739" i="6"/>
  <c r="E5676" i="6"/>
  <c r="E5613" i="6"/>
  <c r="E5550" i="6"/>
  <c r="E5487" i="6"/>
  <c r="E5424" i="6"/>
  <c r="E5361" i="6"/>
  <c r="E5298" i="6"/>
  <c r="E5235" i="6"/>
  <c r="E5172" i="6"/>
  <c r="E5109" i="6"/>
  <c r="E5046" i="6"/>
  <c r="E4983" i="6"/>
  <c r="E4920" i="6"/>
  <c r="E4857" i="6"/>
  <c r="E4794" i="6"/>
  <c r="E4731" i="6"/>
  <c r="E4668" i="6"/>
  <c r="E4605" i="6"/>
  <c r="E4542" i="6"/>
  <c r="E4479" i="6"/>
  <c r="E4416" i="6"/>
  <c r="E4353" i="6"/>
  <c r="E4290" i="6"/>
  <c r="E4227" i="6"/>
  <c r="E4164" i="6"/>
  <c r="E4101" i="6"/>
  <c r="E4038" i="6"/>
  <c r="E3975" i="6"/>
  <c r="E3912" i="6"/>
  <c r="E3849" i="6"/>
  <c r="E3786" i="6"/>
  <c r="E3723" i="6"/>
  <c r="E3660" i="6"/>
  <c r="E3597" i="6"/>
  <c r="E3534" i="6"/>
  <c r="E3471" i="6"/>
  <c r="E3408" i="6"/>
  <c r="E3345" i="6"/>
  <c r="E3282" i="6"/>
  <c r="E3219" i="6"/>
  <c r="E3156" i="6"/>
  <c r="E3093" i="6"/>
  <c r="E3030" i="6"/>
  <c r="E2967" i="6"/>
  <c r="E2904" i="6"/>
  <c r="E2841" i="6"/>
  <c r="E2778" i="6"/>
  <c r="E2715" i="6"/>
  <c r="E2652" i="6"/>
  <c r="E2589" i="6"/>
  <c r="E2526" i="6"/>
  <c r="E2463" i="6"/>
  <c r="E2400" i="6"/>
  <c r="E2337" i="6"/>
  <c r="E2274" i="6"/>
  <c r="E2211" i="6"/>
  <c r="E2148" i="6"/>
  <c r="E2085" i="6"/>
  <c r="E2022" i="6"/>
  <c r="E1959" i="6"/>
  <c r="E1896" i="6"/>
  <c r="E1833" i="6"/>
  <c r="E1770" i="6"/>
  <c r="E1707" i="6"/>
  <c r="E1644" i="6"/>
  <c r="E1581" i="6"/>
  <c r="E1518" i="6"/>
  <c r="E1455" i="6"/>
  <c r="E1392" i="6"/>
  <c r="E1329" i="6"/>
  <c r="E1266" i="6"/>
  <c r="E1203" i="6"/>
  <c r="E1140" i="6"/>
  <c r="E1077" i="6"/>
  <c r="E1014" i="6"/>
  <c r="E951" i="6"/>
  <c r="E888" i="6"/>
  <c r="E825" i="6"/>
  <c r="E762" i="6"/>
  <c r="E699" i="6"/>
  <c r="E636" i="6"/>
  <c r="E573" i="6"/>
  <c r="E510" i="6"/>
  <c r="E447" i="6"/>
  <c r="E384" i="6"/>
  <c r="E321" i="6"/>
  <c r="E261" i="6"/>
  <c r="E140" i="6"/>
  <c r="EF65" i="6"/>
  <c r="EF66" i="6" s="1"/>
  <c r="EF67" i="6" s="1"/>
  <c r="EF68" i="6" s="1"/>
  <c r="EF69" i="6" s="1"/>
  <c r="EF70" i="6" s="1"/>
  <c r="EF71" i="6" s="1"/>
  <c r="EF72" i="6" s="1"/>
  <c r="EF73" i="6" s="1"/>
  <c r="EF74" i="6" s="1"/>
  <c r="EF75" i="6" s="1"/>
  <c r="EF76" i="6" s="1"/>
  <c r="EF77" i="6" s="1"/>
  <c r="EF78" i="6" s="1"/>
  <c r="EF79" i="6" s="1"/>
  <c r="EF80" i="6" s="1"/>
  <c r="EF81" i="6" s="1"/>
  <c r="EF82" i="6" s="1"/>
  <c r="EF83" i="6" s="1"/>
  <c r="EF84" i="6" s="1"/>
  <c r="EF85" i="6" s="1"/>
  <c r="EF86" i="6" s="1"/>
  <c r="EF87" i="6" s="1"/>
  <c r="EF88" i="6" s="1"/>
  <c r="EF89" i="6" s="1"/>
  <c r="EF90" i="6" s="1"/>
  <c r="EF91" i="6" s="1"/>
  <c r="EF92" i="6" s="1"/>
  <c r="EF93" i="6" s="1"/>
  <c r="EF94" i="6" s="1"/>
  <c r="EF95" i="6" s="1"/>
  <c r="EF96" i="6" s="1"/>
  <c r="EF97" i="6" s="1"/>
  <c r="EF98" i="6" s="1"/>
  <c r="EF99" i="6" s="1"/>
  <c r="EF100" i="6" s="1"/>
  <c r="EF101" i="6" s="1"/>
  <c r="EF102" i="6" s="1"/>
  <c r="EF103" i="6" s="1"/>
  <c r="EF104" i="6" s="1"/>
  <c r="EF105" i="6" s="1"/>
  <c r="EF106" i="6" s="1"/>
  <c r="EF107" i="6" s="1"/>
  <c r="EF108" i="6" s="1"/>
  <c r="EF109" i="6" s="1"/>
  <c r="EF110" i="6" s="1"/>
  <c r="EF111" i="6" s="1"/>
  <c r="EF112" i="6" s="1"/>
  <c r="EF113" i="6" s="1"/>
  <c r="EF114" i="6" s="1"/>
  <c r="EF115" i="6" s="1"/>
  <c r="EF116" i="6" s="1"/>
  <c r="EF117" i="6" s="1"/>
  <c r="EF118" i="6" s="1"/>
  <c r="EF119" i="6" s="1"/>
  <c r="EF120" i="6" s="1"/>
  <c r="EF121" i="6" s="1"/>
  <c r="EF122" i="6" s="1"/>
  <c r="EF123" i="6" s="1"/>
  <c r="EF124" i="6" s="1"/>
  <c r="AB40" i="6"/>
  <c r="E7" i="6" a="1"/>
  <c r="E7" i="6" s="1"/>
  <c r="F7" i="6" a="1"/>
  <c r="F7" i="6" s="1"/>
  <c r="G7" i="6" a="1"/>
  <c r="G7" i="6" s="1"/>
  <c r="H7" i="6" a="1"/>
  <c r="H7" i="6" s="1"/>
  <c r="I7" i="6" a="1"/>
  <c r="I7" i="6" s="1"/>
  <c r="J7" i="6" a="1"/>
  <c r="J7" i="6" s="1"/>
  <c r="K7" i="6" a="1"/>
  <c r="K7" i="6" s="1"/>
  <c r="L7" i="6" a="1"/>
  <c r="L7" i="6" s="1"/>
  <c r="M7" i="6" a="1"/>
  <c r="M7" i="6" s="1"/>
  <c r="N7" i="6" a="1"/>
  <c r="N7" i="6" s="1"/>
  <c r="O7" i="6" a="1"/>
  <c r="O7" i="6" s="1"/>
  <c r="P7" i="6" a="1"/>
  <c r="P7" i="6" s="1"/>
  <c r="Q7" i="6" a="1"/>
  <c r="Q7" i="6" s="1"/>
  <c r="R7" i="6" a="1"/>
  <c r="R7" i="6" s="1"/>
  <c r="S7" i="6" a="1"/>
  <c r="S7" i="6" s="1"/>
  <c r="T7" i="6" a="1"/>
  <c r="T7" i="6" s="1"/>
  <c r="U7" i="6" a="1"/>
  <c r="U7" i="6" s="1"/>
  <c r="V7" i="6" a="1"/>
  <c r="V7" i="6" s="1"/>
  <c r="W7" i="6" a="1"/>
  <c r="W7" i="6" s="1"/>
  <c r="X7" i="6" a="1"/>
  <c r="X7" i="6" s="1"/>
  <c r="Y7" i="6" a="1"/>
  <c r="Y7" i="6" s="1"/>
  <c r="Z7" i="6" a="1"/>
  <c r="Z7" i="6"/>
  <c r="AA7" i="6" a="1"/>
  <c r="AA7" i="6" s="1"/>
  <c r="AB7" i="6" a="1"/>
  <c r="AB7" i="6" s="1"/>
  <c r="AC7" i="6" a="1"/>
  <c r="AC7" i="6" s="1"/>
  <c r="AD7" i="6" a="1"/>
  <c r="AD7" i="6" s="1"/>
  <c r="AE7" i="6" a="1"/>
  <c r="AE7" i="6" s="1"/>
  <c r="AF7" i="6" a="1"/>
  <c r="AF7" i="6" s="1"/>
  <c r="AG7" i="6" a="1"/>
  <c r="AG7" i="6" s="1"/>
  <c r="AH7" i="6" a="1"/>
  <c r="AH7" i="6" s="1"/>
  <c r="AI7" i="6" a="1"/>
  <c r="AI7" i="6" s="1"/>
  <c r="AJ7" i="6" a="1"/>
  <c r="AJ7" i="6" s="1"/>
  <c r="AK7" i="6" a="1"/>
  <c r="AK7" i="6" s="1"/>
  <c r="AL7" i="6" a="1"/>
  <c r="AL7" i="6" s="1"/>
  <c r="AM7" i="6" a="1"/>
  <c r="AM7" i="6" s="1"/>
  <c r="AN7" i="6" a="1"/>
  <c r="AN7" i="6"/>
  <c r="AO7" i="6" a="1"/>
  <c r="AO7" i="6" s="1"/>
  <c r="AP7" i="6" a="1"/>
  <c r="AP7" i="6"/>
  <c r="AQ7" i="6" a="1"/>
  <c r="AQ7" i="6" s="1"/>
  <c r="AR7" i="6" a="1"/>
  <c r="AR7" i="6" s="1"/>
  <c r="AS7" i="6" a="1"/>
  <c r="AS7" i="6" s="1"/>
  <c r="AT7" i="6" a="1"/>
  <c r="AT7" i="6" s="1"/>
  <c r="AU7" i="6" a="1"/>
  <c r="AU7" i="6" s="1"/>
  <c r="AV7" i="6" a="1"/>
  <c r="AV7" i="6" s="1"/>
  <c r="AW7" i="6" a="1"/>
  <c r="AW7" i="6" s="1"/>
  <c r="AX7" i="6" a="1"/>
  <c r="AX7" i="6" s="1"/>
  <c r="AY7" i="6" a="1"/>
  <c r="AY7" i="6" s="1"/>
  <c r="AZ7" i="6" a="1"/>
  <c r="AZ7" i="6" s="1"/>
  <c r="BA7" i="6" a="1"/>
  <c r="BA7" i="6" s="1"/>
  <c r="BB7" i="6" a="1"/>
  <c r="BB7" i="6" s="1"/>
  <c r="BC7" i="6" a="1"/>
  <c r="BC7" i="6" s="1"/>
  <c r="BD7" i="6" a="1"/>
  <c r="BD7" i="6" s="1"/>
  <c r="BE7" i="6" a="1"/>
  <c r="BE7" i="6" s="1"/>
  <c r="BF7" i="6" a="1"/>
  <c r="BF7" i="6"/>
  <c r="BG7" i="6" a="1"/>
  <c r="BG7" i="6" s="1"/>
  <c r="BH7" i="6" a="1"/>
  <c r="BH7" i="6" s="1"/>
  <c r="BI7" i="6" a="1"/>
  <c r="BI7" i="6" s="1"/>
  <c r="BJ7" i="6" a="1"/>
  <c r="BJ7" i="6" s="1"/>
  <c r="BK7" i="6" a="1"/>
  <c r="BK7" i="6" s="1"/>
  <c r="BL7" i="6" a="1"/>
  <c r="BL7" i="6" s="1"/>
  <c r="BM7" i="6" a="1"/>
  <c r="BM7" i="6" s="1"/>
  <c r="BN7" i="6" a="1"/>
  <c r="BN7" i="6" s="1"/>
  <c r="BO7" i="6" a="1"/>
  <c r="BO7" i="6" s="1"/>
  <c r="BP7" i="6" a="1"/>
  <c r="BP7" i="6" s="1"/>
  <c r="BQ7" i="6" a="1"/>
  <c r="BQ7" i="6"/>
  <c r="BR7" i="6" a="1"/>
  <c r="BR7" i="6" s="1"/>
  <c r="BS7" i="6" a="1"/>
  <c r="BS7" i="6" s="1"/>
  <c r="BT7" i="6" a="1"/>
  <c r="BT7" i="6" s="1"/>
  <c r="BU7" i="6" a="1"/>
  <c r="BU7" i="6" s="1"/>
  <c r="BV7" i="6" a="1"/>
  <c r="BV7" i="6" s="1"/>
  <c r="BW7" i="6" a="1"/>
  <c r="BW7" i="6" s="1"/>
  <c r="BX7" i="6" a="1"/>
  <c r="BX7" i="6" s="1"/>
  <c r="BY7" i="6" a="1"/>
  <c r="BY7" i="6"/>
  <c r="BZ7" i="6" a="1"/>
  <c r="BZ7" i="6" s="1"/>
  <c r="CA7" i="6" a="1"/>
  <c r="CA7" i="6" s="1"/>
  <c r="CB7" i="6" a="1"/>
  <c r="CB7" i="6" s="1"/>
  <c r="CC7" i="6" a="1"/>
  <c r="CC7" i="6"/>
  <c r="CD7" i="6" a="1"/>
  <c r="CD7" i="6" s="1"/>
  <c r="CE7" i="6" a="1"/>
  <c r="CE7" i="6" s="1"/>
  <c r="CF7" i="6" a="1"/>
  <c r="CF7" i="6" s="1"/>
  <c r="CG7" i="6" a="1"/>
  <c r="CG7" i="6" s="1"/>
  <c r="CH7" i="6" a="1"/>
  <c r="CH7" i="6"/>
  <c r="CI7" i="6" a="1"/>
  <c r="CI7" i="6" s="1"/>
  <c r="CJ7" i="6" a="1"/>
  <c r="CJ7" i="6" s="1"/>
  <c r="CK7" i="6" a="1"/>
  <c r="CK7" i="6"/>
  <c r="CL7" i="6" a="1"/>
  <c r="CL7" i="6" s="1"/>
  <c r="CM7" i="6" a="1"/>
  <c r="CM7" i="6" s="1"/>
  <c r="CN7" i="6" a="1"/>
  <c r="CN7" i="6" s="1"/>
  <c r="CO7" i="6" a="1"/>
  <c r="CO7" i="6" s="1"/>
  <c r="CP7" i="6" a="1"/>
  <c r="CP7" i="6" s="1"/>
  <c r="CQ7" i="6" a="1"/>
  <c r="CQ7" i="6" s="1"/>
  <c r="CR7" i="6" a="1"/>
  <c r="CR7" i="6" s="1"/>
  <c r="CS7" i="6" a="1"/>
  <c r="CS7" i="6" s="1"/>
  <c r="CT7" i="6" a="1"/>
  <c r="CT7" i="6"/>
  <c r="CU7" i="6" a="1"/>
  <c r="CU7" i="6" s="1"/>
  <c r="CV7" i="6" a="1"/>
  <c r="CV7" i="6" s="1"/>
  <c r="CW7" i="6" a="1"/>
  <c r="CW7" i="6" s="1"/>
  <c r="CX7" i="6" a="1"/>
  <c r="CX7" i="6" s="1"/>
  <c r="CY7" i="6" a="1"/>
  <c r="CY7" i="6" s="1"/>
  <c r="CZ7" i="6" a="1"/>
  <c r="CZ7" i="6" s="1"/>
  <c r="DA7" i="6" a="1"/>
  <c r="DA7" i="6" s="1"/>
  <c r="DB7" i="6" a="1"/>
  <c r="DB7" i="6" s="1"/>
  <c r="DC7" i="6" a="1"/>
  <c r="DC7" i="6" s="1"/>
  <c r="DD7" i="6" a="1"/>
  <c r="DD7" i="6" s="1"/>
  <c r="DE7" i="6" a="1"/>
  <c r="DE7" i="6" s="1"/>
  <c r="DF7" i="6" a="1"/>
  <c r="DF7" i="6" s="1"/>
  <c r="DG7" i="6" a="1"/>
  <c r="DG7" i="6" s="1"/>
  <c r="DH7" i="6" a="1"/>
  <c r="DH7" i="6"/>
  <c r="DI7" i="6" a="1"/>
  <c r="DI7" i="6" s="1"/>
  <c r="DJ7" i="6" a="1"/>
  <c r="DJ7" i="6" s="1"/>
  <c r="DK7" i="6" a="1"/>
  <c r="DK7" i="6" s="1"/>
  <c r="DL7" i="6" a="1"/>
  <c r="DL7" i="6" s="1"/>
  <c r="DM7" i="6" a="1"/>
  <c r="DM7" i="6" s="1"/>
  <c r="DN7" i="6" a="1"/>
  <c r="DN7" i="6"/>
  <c r="DO7" i="6" a="1"/>
  <c r="DO7" i="6" s="1"/>
  <c r="DP7" i="6" a="1"/>
  <c r="DP7" i="6" s="1"/>
  <c r="DQ7" i="6" a="1"/>
  <c r="DQ7" i="6" s="1"/>
  <c r="DR7" i="6" a="1"/>
  <c r="DR7" i="6"/>
  <c r="DS7" i="6" a="1"/>
  <c r="DS7" i="6" s="1"/>
  <c r="DT7" i="6" a="1"/>
  <c r="DT7" i="6"/>
  <c r="DU7" i="6" a="1"/>
  <c r="DU7" i="6" s="1"/>
  <c r="DV7" i="6" a="1"/>
  <c r="DV7" i="6" s="1"/>
  <c r="DW7" i="6" a="1"/>
  <c r="DW7" i="6" s="1"/>
  <c r="DX7" i="6" a="1"/>
  <c r="DX7" i="6" s="1"/>
  <c r="DY7" i="6" a="1"/>
  <c r="DY7" i="6" s="1"/>
  <c r="DZ7" i="6" a="1"/>
  <c r="DZ7" i="6" s="1"/>
  <c r="EA7" i="6" a="1"/>
  <c r="EA7" i="6" s="1"/>
  <c r="EB7" i="6" a="1"/>
  <c r="EB7" i="6" s="1"/>
  <c r="EC7" i="6" a="1"/>
  <c r="EC7" i="6" s="1"/>
  <c r="ED7" i="6" a="1"/>
  <c r="ED7" i="6" s="1"/>
  <c r="EE7" i="6" a="1"/>
  <c r="EE7" i="6" s="1"/>
  <c r="E8" i="6" a="1"/>
  <c r="E8" i="6"/>
  <c r="F8" i="6" a="1"/>
  <c r="F8" i="6" s="1"/>
  <c r="G8" i="6" a="1"/>
  <c r="G8" i="6" s="1"/>
  <c r="H8" i="6" a="1"/>
  <c r="H8" i="6" s="1"/>
  <c r="I8" i="6" a="1"/>
  <c r="I8" i="6" s="1"/>
  <c r="J8" i="6" a="1"/>
  <c r="J8" i="6" s="1"/>
  <c r="K8" i="6" a="1"/>
  <c r="K8" i="6" s="1"/>
  <c r="L8" i="6" a="1"/>
  <c r="L8" i="6" s="1"/>
  <c r="M8" i="6" a="1"/>
  <c r="M8" i="6" s="1"/>
  <c r="N8" i="6" a="1"/>
  <c r="N8" i="6"/>
  <c r="O8" i="6" a="1"/>
  <c r="O8" i="6" s="1"/>
  <c r="P8" i="6" a="1"/>
  <c r="P8" i="6" s="1"/>
  <c r="Q8" i="6" a="1"/>
  <c r="Q8" i="6" s="1"/>
  <c r="R8" i="6" a="1"/>
  <c r="R8" i="6" s="1"/>
  <c r="S8" i="6" a="1"/>
  <c r="S8" i="6" s="1"/>
  <c r="T8" i="6" a="1"/>
  <c r="T8" i="6" s="1"/>
  <c r="U8" i="6" a="1"/>
  <c r="U8" i="6" s="1"/>
  <c r="V8" i="6" a="1"/>
  <c r="V8" i="6" s="1"/>
  <c r="W8" i="6" a="1"/>
  <c r="W8" i="6" s="1"/>
  <c r="X8" i="6" a="1"/>
  <c r="X8" i="6" s="1"/>
  <c r="Y8" i="6" a="1"/>
  <c r="Y8" i="6"/>
  <c r="Z8" i="6" a="1"/>
  <c r="Z8" i="6" s="1"/>
  <c r="AA8" i="6" a="1"/>
  <c r="AA8" i="6"/>
  <c r="AB8" i="6" a="1"/>
  <c r="AB8" i="6" s="1"/>
  <c r="AC8" i="6" a="1"/>
  <c r="AC8" i="6" s="1"/>
  <c r="AD8" i="6" a="1"/>
  <c r="AD8" i="6" s="1"/>
  <c r="AE8" i="6" a="1"/>
  <c r="AE8" i="6" s="1"/>
  <c r="AF8" i="6" a="1"/>
  <c r="AF8" i="6" s="1"/>
  <c r="AG8" i="6" a="1"/>
  <c r="AG8" i="6"/>
  <c r="AH8" i="6" a="1"/>
  <c r="AH8" i="6" s="1"/>
  <c r="AI8" i="6" a="1"/>
  <c r="AI8" i="6" s="1"/>
  <c r="AJ8" i="6" a="1"/>
  <c r="AJ8" i="6" s="1"/>
  <c r="AK8" i="6" a="1"/>
  <c r="AK8" i="6" s="1"/>
  <c r="AL8" i="6" a="1"/>
  <c r="AL8" i="6" s="1"/>
  <c r="AM8" i="6" a="1"/>
  <c r="AM8" i="6" s="1"/>
  <c r="AN8" i="6" a="1"/>
  <c r="AN8" i="6" s="1"/>
  <c r="AO8" i="6" a="1"/>
  <c r="AO8" i="6" s="1"/>
  <c r="AP8" i="6" a="1"/>
  <c r="AP8" i="6" s="1"/>
  <c r="AQ8" i="6" a="1"/>
  <c r="AQ8" i="6"/>
  <c r="AR8" i="6" a="1"/>
  <c r="AR8" i="6" s="1"/>
  <c r="AS8" i="6" a="1"/>
  <c r="AS8" i="6" s="1"/>
  <c r="AT8" i="6" a="1"/>
  <c r="AT8" i="6" s="1"/>
  <c r="AU8" i="6" a="1"/>
  <c r="AU8" i="6" s="1"/>
  <c r="AV8" i="6" a="1"/>
  <c r="AV8" i="6" s="1"/>
  <c r="AW8" i="6" a="1"/>
  <c r="AW8" i="6" s="1"/>
  <c r="AX8" i="6" a="1"/>
  <c r="AX8" i="6" s="1"/>
  <c r="AY8" i="6" a="1"/>
  <c r="AY8" i="6" s="1"/>
  <c r="AZ8" i="6" a="1"/>
  <c r="AZ8" i="6" s="1"/>
  <c r="BA8" i="6" a="1"/>
  <c r="BA8" i="6" s="1"/>
  <c r="BB8" i="6" a="1"/>
  <c r="BB8" i="6" s="1"/>
  <c r="BC8" i="6" a="1"/>
  <c r="BC8" i="6" s="1"/>
  <c r="BD8" i="6" a="1"/>
  <c r="BD8" i="6" s="1"/>
  <c r="BE8" i="6" a="1"/>
  <c r="BE8" i="6" s="1"/>
  <c r="BF8" i="6" a="1"/>
  <c r="BF8" i="6" s="1"/>
  <c r="BG8" i="6" a="1"/>
  <c r="BG8" i="6" s="1"/>
  <c r="BH8" i="6" a="1"/>
  <c r="BH8" i="6" s="1"/>
  <c r="BI8" i="6" a="1"/>
  <c r="BI8" i="6"/>
  <c r="BJ8" i="6" a="1"/>
  <c r="BJ8" i="6" s="1"/>
  <c r="BK8" i="6" a="1"/>
  <c r="BK8" i="6" s="1"/>
  <c r="BL8" i="6" a="1"/>
  <c r="BL8" i="6" s="1"/>
  <c r="BM8" i="6" a="1"/>
  <c r="BM8" i="6"/>
  <c r="BN8" i="6" a="1"/>
  <c r="BN8" i="6" s="1"/>
  <c r="BO8" i="6" a="1"/>
  <c r="BO8" i="6" s="1"/>
  <c r="BP8" i="6" a="1"/>
  <c r="BP8" i="6" s="1"/>
  <c r="BQ8" i="6" a="1"/>
  <c r="BQ8" i="6" s="1"/>
  <c r="BR8" i="6" a="1"/>
  <c r="BR8" i="6"/>
  <c r="BS8" i="6" a="1"/>
  <c r="BS8" i="6" s="1"/>
  <c r="BT8" i="6" a="1"/>
  <c r="BT8" i="6" s="1"/>
  <c r="BU8" i="6" a="1"/>
  <c r="BU8" i="6"/>
  <c r="BV8" i="6" a="1"/>
  <c r="BV8" i="6"/>
  <c r="BW8" i="6" a="1"/>
  <c r="BW8" i="6" s="1"/>
  <c r="BX8" i="6" a="1"/>
  <c r="BX8" i="6" s="1"/>
  <c r="BY8" i="6" a="1"/>
  <c r="BY8" i="6" s="1"/>
  <c r="BZ8" i="6" a="1"/>
  <c r="BZ8" i="6" s="1"/>
  <c r="CA8" i="6" a="1"/>
  <c r="CA8" i="6"/>
  <c r="CB8" i="6" a="1"/>
  <c r="CB8" i="6" s="1"/>
  <c r="CC8" i="6" a="1"/>
  <c r="CC8" i="6" s="1"/>
  <c r="CD8" i="6" a="1"/>
  <c r="CD8" i="6"/>
  <c r="CE8" i="6" a="1"/>
  <c r="CE8" i="6" s="1"/>
  <c r="CF8" i="6" a="1"/>
  <c r="CF8" i="6" s="1"/>
  <c r="CG8" i="6" a="1"/>
  <c r="CG8" i="6" s="1"/>
  <c r="CH8" i="6" a="1"/>
  <c r="CH8" i="6"/>
  <c r="CI8" i="6" a="1"/>
  <c r="CI8" i="6" s="1"/>
  <c r="CJ8" i="6" a="1"/>
  <c r="CJ8" i="6" s="1"/>
  <c r="CK8" i="6" a="1"/>
  <c r="CK8" i="6" s="1"/>
  <c r="CL8" i="6" a="1"/>
  <c r="CL8" i="6" s="1"/>
  <c r="CM8" i="6" a="1"/>
  <c r="CM8" i="6" s="1"/>
  <c r="CN8" i="6" a="1"/>
  <c r="CN8" i="6" s="1"/>
  <c r="CO8" i="6" a="1"/>
  <c r="CO8" i="6" s="1"/>
  <c r="CP8" i="6" a="1"/>
  <c r="CP8" i="6" s="1"/>
  <c r="CQ8" i="6" a="1"/>
  <c r="CQ8" i="6" s="1"/>
  <c r="CR8" i="6" a="1"/>
  <c r="CR8" i="6" s="1"/>
  <c r="CS8" i="6" a="1"/>
  <c r="CS8" i="6" s="1"/>
  <c r="CT8" i="6" a="1"/>
  <c r="CT8" i="6"/>
  <c r="CU8" i="6" a="1"/>
  <c r="CU8" i="6" s="1"/>
  <c r="CV8" i="6" a="1"/>
  <c r="CV8" i="6" s="1"/>
  <c r="CW8" i="6" a="1"/>
  <c r="CW8" i="6" s="1"/>
  <c r="CX8" i="6" a="1"/>
  <c r="CX8" i="6" s="1"/>
  <c r="CY8" i="6" a="1"/>
  <c r="CY8" i="6" s="1"/>
  <c r="CZ8" i="6" a="1"/>
  <c r="CZ8" i="6" s="1"/>
  <c r="DA8" i="6" a="1"/>
  <c r="DA8" i="6"/>
  <c r="DB8" i="6" a="1"/>
  <c r="DB8" i="6" s="1"/>
  <c r="DC8" i="6" a="1"/>
  <c r="DC8" i="6" s="1"/>
  <c r="DD8" i="6" a="1"/>
  <c r="DD8" i="6" s="1"/>
  <c r="DE8" i="6" a="1"/>
  <c r="DE8" i="6" s="1"/>
  <c r="DF8" i="6" a="1"/>
  <c r="DF8" i="6"/>
  <c r="DG8" i="6" a="1"/>
  <c r="DG8" i="6" s="1"/>
  <c r="DH8" i="6" a="1"/>
  <c r="DH8" i="6" s="1"/>
  <c r="DI8" i="6" a="1"/>
  <c r="DI8" i="6" s="1"/>
  <c r="DJ8" i="6" a="1"/>
  <c r="DJ8" i="6"/>
  <c r="DK8" i="6" a="1"/>
  <c r="DK8" i="6" s="1"/>
  <c r="DL8" i="6" a="1"/>
  <c r="DL8" i="6" s="1"/>
  <c r="DM8" i="6" a="1"/>
  <c r="DM8" i="6" s="1"/>
  <c r="DN8" i="6" a="1"/>
  <c r="DN8" i="6" s="1"/>
  <c r="DO8" i="6" a="1"/>
  <c r="DO8" i="6" s="1"/>
  <c r="DP8" i="6" a="1"/>
  <c r="DP8" i="6" s="1"/>
  <c r="DQ8" i="6" a="1"/>
  <c r="DQ8" i="6"/>
  <c r="DR8" i="6" a="1"/>
  <c r="DR8" i="6" s="1"/>
  <c r="DS8" i="6" a="1"/>
  <c r="DS8" i="6" s="1"/>
  <c r="DT8" i="6" a="1"/>
  <c r="DT8" i="6" s="1"/>
  <c r="DU8" i="6" a="1"/>
  <c r="DU8" i="6" s="1"/>
  <c r="DV8" i="6" a="1"/>
  <c r="DV8" i="6" s="1"/>
  <c r="DW8" i="6" a="1"/>
  <c r="DW8" i="6" s="1"/>
  <c r="DX8" i="6" a="1"/>
  <c r="DX8" i="6" s="1"/>
  <c r="DY8" i="6" a="1"/>
  <c r="DY8" i="6" s="1"/>
  <c r="DZ8" i="6" a="1"/>
  <c r="DZ8" i="6" s="1"/>
  <c r="EA8" i="6" a="1"/>
  <c r="EA8" i="6" s="1"/>
  <c r="EB8" i="6" a="1"/>
  <c r="EB8" i="6" s="1"/>
  <c r="EC8" i="6" a="1"/>
  <c r="EC8" i="6" s="1"/>
  <c r="ED8" i="6" a="1"/>
  <c r="ED8" i="6"/>
  <c r="EE8" i="6" a="1"/>
  <c r="EE8" i="6" s="1"/>
  <c r="E9" i="6" a="1"/>
  <c r="E9" i="6" s="1"/>
  <c r="F9" i="6" a="1"/>
  <c r="F9" i="6" s="1"/>
  <c r="G9" i="6" a="1"/>
  <c r="G9" i="6" s="1"/>
  <c r="H9" i="6" a="1"/>
  <c r="H9" i="6" s="1"/>
  <c r="I9" i="6" a="1"/>
  <c r="I9" i="6" s="1"/>
  <c r="J9" i="6" a="1"/>
  <c r="J9" i="6"/>
  <c r="K9" i="6" a="1"/>
  <c r="K9" i="6" s="1"/>
  <c r="L9" i="6" a="1"/>
  <c r="L9" i="6" s="1"/>
  <c r="M9" i="6" a="1"/>
  <c r="M9" i="6" s="1"/>
  <c r="N9" i="6" a="1"/>
  <c r="N9" i="6" s="1"/>
  <c r="O9" i="6" a="1"/>
  <c r="O9" i="6"/>
  <c r="P9" i="6" a="1"/>
  <c r="P9" i="6" s="1"/>
  <c r="Q9" i="6" a="1"/>
  <c r="Q9" i="6" s="1"/>
  <c r="R9" i="6" a="1"/>
  <c r="R9" i="6" s="1"/>
  <c r="S9" i="6" a="1"/>
  <c r="S9" i="6" s="1"/>
  <c r="T9" i="6" a="1"/>
  <c r="T9" i="6" s="1"/>
  <c r="U9" i="6" a="1"/>
  <c r="U9" i="6" s="1"/>
  <c r="V9" i="6" a="1"/>
  <c r="V9" i="6"/>
  <c r="W9" i="6" a="1"/>
  <c r="W9" i="6" s="1"/>
  <c r="X9" i="6" a="1"/>
  <c r="X9" i="6" s="1"/>
  <c r="Y9" i="6" a="1"/>
  <c r="Y9" i="6" s="1"/>
  <c r="Z9" i="6" a="1"/>
  <c r="Z9" i="6" s="1"/>
  <c r="AA9" i="6" a="1"/>
  <c r="AA9" i="6" s="1"/>
  <c r="AB9" i="6" a="1"/>
  <c r="AB9" i="6" s="1"/>
  <c r="AC9" i="6" a="1"/>
  <c r="AC9" i="6" s="1"/>
  <c r="AD9" i="6" a="1"/>
  <c r="AD9" i="6" s="1"/>
  <c r="AE9" i="6" a="1"/>
  <c r="AE9" i="6"/>
  <c r="AF9" i="6" a="1"/>
  <c r="AF9" i="6" s="1"/>
  <c r="AG9" i="6" a="1"/>
  <c r="AG9" i="6" s="1"/>
  <c r="AH9" i="6" a="1"/>
  <c r="AH9" i="6" s="1"/>
  <c r="AI9" i="6" a="1"/>
  <c r="AI9" i="6" s="1"/>
  <c r="AJ9" i="6" a="1"/>
  <c r="AJ9" i="6" s="1"/>
  <c r="AK9" i="6" a="1"/>
  <c r="AK9" i="6" s="1"/>
  <c r="AL9" i="6" a="1"/>
  <c r="AL9" i="6"/>
  <c r="AM9" i="6" a="1"/>
  <c r="AM9" i="6" s="1"/>
  <c r="AN9" i="6" a="1"/>
  <c r="AN9" i="6" s="1"/>
  <c r="AO9" i="6" a="1"/>
  <c r="AO9" i="6" s="1"/>
  <c r="AP9" i="6" a="1"/>
  <c r="AP9" i="6" s="1"/>
  <c r="AQ9" i="6" a="1"/>
  <c r="AQ9" i="6" s="1"/>
  <c r="AR9" i="6" a="1"/>
  <c r="AR9" i="6"/>
  <c r="AS9" i="6" a="1"/>
  <c r="AS9" i="6" s="1"/>
  <c r="AT9" i="6" a="1"/>
  <c r="AT9" i="6" s="1"/>
  <c r="AU9" i="6" a="1"/>
  <c r="AU9" i="6" s="1"/>
  <c r="AV9" i="6" a="1"/>
  <c r="AV9" i="6" s="1"/>
  <c r="AW9" i="6" a="1"/>
  <c r="AW9" i="6" s="1"/>
  <c r="AX9" i="6" a="1"/>
  <c r="AX9" i="6" s="1"/>
  <c r="AY9" i="6" a="1"/>
  <c r="AY9" i="6" s="1"/>
  <c r="AZ9" i="6" a="1"/>
  <c r="AZ9" i="6" s="1"/>
  <c r="BA9" i="6" a="1"/>
  <c r="BA9" i="6" s="1"/>
  <c r="BB9" i="6" a="1"/>
  <c r="BB9" i="6" s="1"/>
  <c r="BC9" i="6" a="1"/>
  <c r="BC9" i="6" s="1"/>
  <c r="BD9" i="6" a="1"/>
  <c r="BD9" i="6" s="1"/>
  <c r="BE9" i="6" a="1"/>
  <c r="BE9" i="6" s="1"/>
  <c r="BF9" i="6" a="1"/>
  <c r="BF9" i="6" s="1"/>
  <c r="BG9" i="6" a="1"/>
  <c r="BG9" i="6" s="1"/>
  <c r="BH9" i="6" a="1"/>
  <c r="BH9" i="6"/>
  <c r="BI9" i="6" a="1"/>
  <c r="BI9" i="6" s="1"/>
  <c r="BJ9" i="6" a="1"/>
  <c r="BJ9" i="6"/>
  <c r="BK9" i="6" a="1"/>
  <c r="BK9" i="6" s="1"/>
  <c r="BL9" i="6" a="1"/>
  <c r="BL9" i="6" s="1"/>
  <c r="BM9" i="6" a="1"/>
  <c r="BM9" i="6" s="1"/>
  <c r="BN9" i="6" a="1"/>
  <c r="BN9" i="6" s="1"/>
  <c r="BO9" i="6" a="1"/>
  <c r="BO9" i="6"/>
  <c r="BP9" i="6" a="1"/>
  <c r="BP9" i="6" s="1"/>
  <c r="BQ9" i="6" a="1"/>
  <c r="BQ9" i="6" s="1"/>
  <c r="BR9" i="6" a="1"/>
  <c r="BR9" i="6" s="1"/>
  <c r="BS9" i="6" a="1"/>
  <c r="BS9" i="6" s="1"/>
  <c r="BT9" i="6" a="1"/>
  <c r="BT9" i="6" s="1"/>
  <c r="BU9" i="6" a="1"/>
  <c r="BU9" i="6" s="1"/>
  <c r="BV9" i="6" a="1"/>
  <c r="BV9" i="6" s="1"/>
  <c r="BW9" i="6" a="1"/>
  <c r="BW9" i="6" s="1"/>
  <c r="BX9" i="6" a="1"/>
  <c r="BX9" i="6" s="1"/>
  <c r="BY9" i="6" a="1"/>
  <c r="BY9" i="6" s="1"/>
  <c r="BZ9" i="6" a="1"/>
  <c r="BZ9" i="6" s="1"/>
  <c r="CA9" i="6" a="1"/>
  <c r="CA9" i="6"/>
  <c r="CB9" i="6" a="1"/>
  <c r="CB9" i="6" s="1"/>
  <c r="CC9" i="6" a="1"/>
  <c r="CC9" i="6" s="1"/>
  <c r="CD9" i="6" a="1"/>
  <c r="CD9" i="6" s="1"/>
  <c r="CE9" i="6" a="1"/>
  <c r="CE9" i="6" s="1"/>
  <c r="CF9" i="6" a="1"/>
  <c r="CF9" i="6"/>
  <c r="CG9" i="6" a="1"/>
  <c r="CG9" i="6" s="1"/>
  <c r="CH9" i="6" a="1"/>
  <c r="CH9" i="6" s="1"/>
  <c r="CI9" i="6" a="1"/>
  <c r="CI9" i="6"/>
  <c r="CJ9" i="6" a="1"/>
  <c r="CJ9" i="6" s="1"/>
  <c r="CK9" i="6" a="1"/>
  <c r="CK9" i="6"/>
  <c r="CL9" i="6" a="1"/>
  <c r="CL9" i="6" s="1"/>
  <c r="CM9" i="6" a="1"/>
  <c r="CM9" i="6" s="1"/>
  <c r="CN9" i="6" a="1"/>
  <c r="CN9" i="6" s="1"/>
  <c r="CO9" i="6" a="1"/>
  <c r="CO9" i="6"/>
  <c r="CP9" i="6" a="1"/>
  <c r="CP9" i="6" s="1"/>
  <c r="CQ9" i="6" a="1"/>
  <c r="CQ9" i="6" s="1"/>
  <c r="CR9" i="6" a="1"/>
  <c r="CR9" i="6" s="1"/>
  <c r="CS9" i="6" a="1"/>
  <c r="CS9" i="6" s="1"/>
  <c r="CT9" i="6" a="1"/>
  <c r="CT9" i="6" s="1"/>
  <c r="CU9" i="6" a="1"/>
  <c r="CU9" i="6" s="1"/>
  <c r="CV9" i="6" a="1"/>
  <c r="CV9" i="6" s="1"/>
  <c r="CW9" i="6" a="1"/>
  <c r="CW9" i="6" s="1"/>
  <c r="CX9" i="6" a="1"/>
  <c r="CX9" i="6" s="1"/>
  <c r="CY9" i="6" a="1"/>
  <c r="CY9" i="6" s="1"/>
  <c r="CZ9" i="6" a="1"/>
  <c r="CZ9" i="6" s="1"/>
  <c r="DA9" i="6" a="1"/>
  <c r="DA9" i="6" s="1"/>
  <c r="DB9" i="6" a="1"/>
  <c r="DB9" i="6" s="1"/>
  <c r="DC9" i="6" a="1"/>
  <c r="DC9" i="6" s="1"/>
  <c r="DD9" i="6" a="1"/>
  <c r="DD9" i="6" s="1"/>
  <c r="DE9" i="6" a="1"/>
  <c r="DE9" i="6" s="1"/>
  <c r="DF9" i="6" a="1"/>
  <c r="DF9" i="6" s="1"/>
  <c r="DG9" i="6" a="1"/>
  <c r="DG9" i="6" s="1"/>
  <c r="DH9" i="6" a="1"/>
  <c r="DH9" i="6"/>
  <c r="DI9" i="6" a="1"/>
  <c r="DI9" i="6" s="1"/>
  <c r="DJ9" i="6" a="1"/>
  <c r="DJ9" i="6" s="1"/>
  <c r="DK9" i="6" a="1"/>
  <c r="DK9" i="6" s="1"/>
  <c r="DL9" i="6" a="1"/>
  <c r="DL9" i="6" s="1"/>
  <c r="DM9" i="6" a="1"/>
  <c r="DM9" i="6" s="1"/>
  <c r="DN9" i="6" a="1"/>
  <c r="DN9" i="6" s="1"/>
  <c r="DO9" i="6" a="1"/>
  <c r="DO9" i="6"/>
  <c r="DP9" i="6" a="1"/>
  <c r="DP9" i="6" s="1"/>
  <c r="DQ9" i="6" a="1"/>
  <c r="DQ9" i="6"/>
  <c r="DR9" i="6" a="1"/>
  <c r="DR9" i="6" s="1"/>
  <c r="DS9" i="6" a="1"/>
  <c r="DS9" i="6" s="1"/>
  <c r="DT9" i="6" a="1"/>
  <c r="DT9" i="6" s="1"/>
  <c r="DU9" i="6" a="1"/>
  <c r="DU9" i="6" s="1"/>
  <c r="DV9" i="6" a="1"/>
  <c r="DV9" i="6" s="1"/>
  <c r="DW9" i="6" a="1"/>
  <c r="DW9" i="6" s="1"/>
  <c r="DX9" i="6" a="1"/>
  <c r="DX9" i="6"/>
  <c r="DY9" i="6" a="1"/>
  <c r="DY9" i="6" s="1"/>
  <c r="DZ9" i="6" a="1"/>
  <c r="DZ9" i="6" s="1"/>
  <c r="EA9" i="6" a="1"/>
  <c r="EA9" i="6" s="1"/>
  <c r="EB9" i="6" a="1"/>
  <c r="EB9" i="6" s="1"/>
  <c r="EC9" i="6" a="1"/>
  <c r="EC9" i="6" s="1"/>
  <c r="ED9" i="6" a="1"/>
  <c r="ED9" i="6" s="1"/>
  <c r="EE9" i="6" a="1"/>
  <c r="EE9" i="6" s="1"/>
  <c r="E10" i="6" a="1"/>
  <c r="E10" i="6" s="1"/>
  <c r="F10" i="6" a="1"/>
  <c r="F10" i="6" s="1"/>
  <c r="G10" i="6" a="1"/>
  <c r="G10" i="6" s="1"/>
  <c r="H10" i="6" a="1"/>
  <c r="H10" i="6" s="1"/>
  <c r="I10" i="6" a="1"/>
  <c r="I10" i="6" s="1"/>
  <c r="J10" i="6" a="1"/>
  <c r="J10" i="6" s="1"/>
  <c r="K10" i="6" a="1"/>
  <c r="K10" i="6" s="1"/>
  <c r="L10" i="6" a="1"/>
  <c r="L10" i="6" s="1"/>
  <c r="M10" i="6" a="1"/>
  <c r="M10" i="6"/>
  <c r="N10" i="6" a="1"/>
  <c r="N10" i="6"/>
  <c r="O10" i="6" a="1"/>
  <c r="O10" i="6" s="1"/>
  <c r="P10" i="6" a="1"/>
  <c r="P10" i="6" s="1"/>
  <c r="Q10" i="6" a="1"/>
  <c r="Q10" i="6" s="1"/>
  <c r="R10" i="6" a="1"/>
  <c r="R10" i="6" s="1"/>
  <c r="S10" i="6" a="1"/>
  <c r="S10" i="6" s="1"/>
  <c r="T10" i="6" a="1"/>
  <c r="T10" i="6" s="1"/>
  <c r="U10" i="6" a="1"/>
  <c r="U10" i="6" s="1"/>
  <c r="V10" i="6" a="1"/>
  <c r="V10" i="6" s="1"/>
  <c r="W10" i="6" a="1"/>
  <c r="W10" i="6" s="1"/>
  <c r="X10" i="6" a="1"/>
  <c r="X10" i="6" s="1"/>
  <c r="Y10" i="6" a="1"/>
  <c r="Y10" i="6" s="1"/>
  <c r="Z10" i="6" a="1"/>
  <c r="Z10" i="6" s="1"/>
  <c r="AA10" i="6" a="1"/>
  <c r="AA10" i="6" s="1"/>
  <c r="AB10" i="6" a="1"/>
  <c r="AB10" i="6" s="1"/>
  <c r="AC10" i="6" a="1"/>
  <c r="AC10" i="6" s="1"/>
  <c r="AD10" i="6" a="1"/>
  <c r="AD10" i="6" s="1"/>
  <c r="AE10" i="6" a="1"/>
  <c r="AE10" i="6" s="1"/>
  <c r="AF10" i="6" a="1"/>
  <c r="AF10" i="6" s="1"/>
  <c r="AG10" i="6" a="1"/>
  <c r="AG10" i="6" s="1"/>
  <c r="AH10" i="6" a="1"/>
  <c r="AH10" i="6" s="1"/>
  <c r="AI10" i="6" a="1"/>
  <c r="AI10" i="6" s="1"/>
  <c r="AJ10" i="6" a="1"/>
  <c r="AJ10" i="6" s="1"/>
  <c r="AK10" i="6" a="1"/>
  <c r="AK10" i="6"/>
  <c r="AL10" i="6" a="1"/>
  <c r="AL10" i="6" s="1"/>
  <c r="AM10" i="6" a="1"/>
  <c r="AM10" i="6" s="1"/>
  <c r="AN10" i="6" a="1"/>
  <c r="AN10" i="6" s="1"/>
  <c r="AO10" i="6" a="1"/>
  <c r="AO10" i="6" s="1"/>
  <c r="AP10" i="6" a="1"/>
  <c r="AP10" i="6" s="1"/>
  <c r="AQ10" i="6" a="1"/>
  <c r="AQ10" i="6" s="1"/>
  <c r="AR10" i="6" a="1"/>
  <c r="AR10" i="6" s="1"/>
  <c r="AS10" i="6" a="1"/>
  <c r="AS10" i="6" s="1"/>
  <c r="AT10" i="6" a="1"/>
  <c r="AT10" i="6" s="1"/>
  <c r="AU10" i="6" a="1"/>
  <c r="AU10" i="6" s="1"/>
  <c r="AV10" i="6" a="1"/>
  <c r="AV10" i="6" s="1"/>
  <c r="AW10" i="6" a="1"/>
  <c r="AW10" i="6" s="1"/>
  <c r="AX10" i="6" a="1"/>
  <c r="AX10" i="6" s="1"/>
  <c r="AY10" i="6" a="1"/>
  <c r="AY10" i="6" s="1"/>
  <c r="AZ10" i="6" a="1"/>
  <c r="AZ10" i="6"/>
  <c r="BA10" i="6" a="1"/>
  <c r="BA10" i="6" s="1"/>
  <c r="BB10" i="6" a="1"/>
  <c r="BB10" i="6" s="1"/>
  <c r="BC10" i="6" a="1"/>
  <c r="BC10" i="6" s="1"/>
  <c r="BD10" i="6" a="1"/>
  <c r="BD10" i="6" s="1"/>
  <c r="BE10" i="6" a="1"/>
  <c r="BE10" i="6" s="1"/>
  <c r="BF10" i="6" a="1"/>
  <c r="BF10" i="6" s="1"/>
  <c r="BG10" i="6" a="1"/>
  <c r="BG10" i="6" s="1"/>
  <c r="BH10" i="6" a="1"/>
  <c r="BH10" i="6" s="1"/>
  <c r="BI10" i="6" a="1"/>
  <c r="BI10" i="6"/>
  <c r="BJ10" i="6" a="1"/>
  <c r="BJ10" i="6" s="1"/>
  <c r="BK10" i="6" a="1"/>
  <c r="BK10" i="6" s="1"/>
  <c r="BL10" i="6" a="1"/>
  <c r="BL10" i="6" s="1"/>
  <c r="BM10" i="6" a="1"/>
  <c r="BM10" i="6" s="1"/>
  <c r="BN10" i="6" a="1"/>
  <c r="BN10" i="6" s="1"/>
  <c r="BO10" i="6" a="1"/>
  <c r="BO10" i="6" s="1"/>
  <c r="BP10" i="6" a="1"/>
  <c r="BP10" i="6"/>
  <c r="BQ10" i="6" a="1"/>
  <c r="BQ10" i="6" s="1"/>
  <c r="BR10" i="6" a="1"/>
  <c r="BR10" i="6"/>
  <c r="BS10" i="6" a="1"/>
  <c r="BS10" i="6" s="1"/>
  <c r="BT10" i="6" a="1"/>
  <c r="BT10" i="6" s="1"/>
  <c r="BU10" i="6" a="1"/>
  <c r="BU10" i="6" s="1"/>
  <c r="BV10" i="6" a="1"/>
  <c r="BV10" i="6" s="1"/>
  <c r="BW10" i="6" a="1"/>
  <c r="BW10" i="6" s="1"/>
  <c r="BX10" i="6" a="1"/>
  <c r="BX10" i="6" s="1"/>
  <c r="BY10" i="6" a="1"/>
  <c r="BY10" i="6"/>
  <c r="BZ10" i="6" a="1"/>
  <c r="BZ10" i="6" s="1"/>
  <c r="CA10" i="6" a="1"/>
  <c r="CA10" i="6" s="1"/>
  <c r="CB10" i="6" a="1"/>
  <c r="CB10" i="6" s="1"/>
  <c r="CC10" i="6" a="1"/>
  <c r="CC10" i="6" s="1"/>
  <c r="CD10" i="6" a="1"/>
  <c r="CD10" i="6" s="1"/>
  <c r="CE10" i="6" a="1"/>
  <c r="CE10" i="6" s="1"/>
  <c r="CF10" i="6" a="1"/>
  <c r="CF10" i="6" s="1"/>
  <c r="CG10" i="6" a="1"/>
  <c r="CG10" i="6" s="1"/>
  <c r="CH10" i="6" a="1"/>
  <c r="CH10" i="6"/>
  <c r="CI10" i="6" a="1"/>
  <c r="CI10" i="6" s="1"/>
  <c r="CJ10" i="6" a="1"/>
  <c r="CJ10" i="6" s="1"/>
  <c r="CK10" i="6" a="1"/>
  <c r="CK10" i="6" s="1"/>
  <c r="CL10" i="6" a="1"/>
  <c r="CL10" i="6" s="1"/>
  <c r="CM10" i="6" a="1"/>
  <c r="CM10" i="6" s="1"/>
  <c r="CN10" i="6" a="1"/>
  <c r="CN10" i="6" s="1"/>
  <c r="CO10" i="6" a="1"/>
  <c r="CO10" i="6"/>
  <c r="CP10" i="6" a="1"/>
  <c r="CP10" i="6" s="1"/>
  <c r="CQ10" i="6" a="1"/>
  <c r="CQ10" i="6" s="1"/>
  <c r="CR10" i="6" a="1"/>
  <c r="CR10" i="6" s="1"/>
  <c r="CS10" i="6" a="1"/>
  <c r="CS10" i="6" s="1"/>
  <c r="CT10" i="6" a="1"/>
  <c r="CT10" i="6" s="1"/>
  <c r="CU10" i="6" a="1"/>
  <c r="CU10" i="6" s="1"/>
  <c r="CV10" i="6" a="1"/>
  <c r="CV10" i="6"/>
  <c r="CW10" i="6" a="1"/>
  <c r="CW10" i="6"/>
  <c r="CX10" i="6" a="1"/>
  <c r="CX10" i="6" s="1"/>
  <c r="CY10" i="6" a="1"/>
  <c r="CY10" i="6" s="1"/>
  <c r="CZ10" i="6" a="1"/>
  <c r="CZ10" i="6" s="1"/>
  <c r="DA10" i="6" a="1"/>
  <c r="DA10" i="6" s="1"/>
  <c r="DB10" i="6" a="1"/>
  <c r="DB10" i="6" s="1"/>
  <c r="DC10" i="6" a="1"/>
  <c r="DC10" i="6" s="1"/>
  <c r="DD10" i="6" a="1"/>
  <c r="DD10" i="6" s="1"/>
  <c r="DE10" i="6" a="1"/>
  <c r="DE10" i="6" s="1"/>
  <c r="DF10" i="6" a="1"/>
  <c r="DF10" i="6"/>
  <c r="DG10" i="6" a="1"/>
  <c r="DG10" i="6" s="1"/>
  <c r="DH10" i="6" a="1"/>
  <c r="DH10" i="6" s="1"/>
  <c r="DI10" i="6" a="1"/>
  <c r="DI10" i="6" s="1"/>
  <c r="DJ10" i="6" a="1"/>
  <c r="DJ10" i="6" s="1"/>
  <c r="DK10" i="6" a="1"/>
  <c r="DK10" i="6" s="1"/>
  <c r="DL10" i="6" a="1"/>
  <c r="DL10" i="6" s="1"/>
  <c r="DM10" i="6" a="1"/>
  <c r="DM10" i="6" s="1"/>
  <c r="DN10" i="6" a="1"/>
  <c r="DN10" i="6"/>
  <c r="DO10" i="6" a="1"/>
  <c r="DO10" i="6" s="1"/>
  <c r="DP10" i="6" a="1"/>
  <c r="DP10" i="6" s="1"/>
  <c r="DQ10" i="6" a="1"/>
  <c r="DQ10" i="6" s="1"/>
  <c r="DR10" i="6" a="1"/>
  <c r="DR10" i="6" s="1"/>
  <c r="DS10" i="6" a="1"/>
  <c r="DS10" i="6" s="1"/>
  <c r="DT10" i="6" a="1"/>
  <c r="DT10" i="6" s="1"/>
  <c r="DU10" i="6" a="1"/>
  <c r="DU10" i="6" s="1"/>
  <c r="DV10" i="6" a="1"/>
  <c r="DV10" i="6" s="1"/>
  <c r="DW10" i="6" a="1"/>
  <c r="DW10" i="6" s="1"/>
  <c r="DX10" i="6" a="1"/>
  <c r="DX10" i="6"/>
  <c r="DY10" i="6" a="1"/>
  <c r="DY10" i="6" s="1"/>
  <c r="DZ10" i="6" a="1"/>
  <c r="DZ10" i="6" s="1"/>
  <c r="EA10" i="6" a="1"/>
  <c r="EA10" i="6" s="1"/>
  <c r="EB10" i="6" a="1"/>
  <c r="EB10" i="6" s="1"/>
  <c r="EC10" i="6" a="1"/>
  <c r="EC10" i="6" s="1"/>
  <c r="ED10" i="6" a="1"/>
  <c r="ED10" i="6" s="1"/>
  <c r="EE10" i="6" a="1"/>
  <c r="EE10" i="6" s="1"/>
  <c r="E11" i="6" a="1"/>
  <c r="E11" i="6" s="1"/>
  <c r="F11" i="6" a="1"/>
  <c r="F11" i="6" s="1"/>
  <c r="G11" i="6" a="1"/>
  <c r="G11" i="6" s="1"/>
  <c r="H11" i="6" a="1"/>
  <c r="H11" i="6" s="1"/>
  <c r="I11" i="6" a="1"/>
  <c r="I11" i="6" s="1"/>
  <c r="J11" i="6" a="1"/>
  <c r="J11" i="6" s="1"/>
  <c r="K11" i="6" a="1"/>
  <c r="K11" i="6" s="1"/>
  <c r="L11" i="6" a="1"/>
  <c r="L11" i="6" s="1"/>
  <c r="M11" i="6" a="1"/>
  <c r="M11" i="6" s="1"/>
  <c r="N11" i="6" a="1"/>
  <c r="N11" i="6" s="1"/>
  <c r="O11" i="6" a="1"/>
  <c r="O11" i="6" s="1"/>
  <c r="P11" i="6" a="1"/>
  <c r="P11" i="6" s="1"/>
  <c r="Q11" i="6" a="1"/>
  <c r="Q11" i="6" s="1"/>
  <c r="R11" i="6" a="1"/>
  <c r="R11" i="6" s="1"/>
  <c r="S11" i="6" a="1"/>
  <c r="S11" i="6" s="1"/>
  <c r="T11" i="6" a="1"/>
  <c r="T11" i="6" s="1"/>
  <c r="U11" i="6" a="1"/>
  <c r="U11" i="6" s="1"/>
  <c r="V11" i="6" a="1"/>
  <c r="V11" i="6" s="1"/>
  <c r="W11" i="6" a="1"/>
  <c r="W11" i="6" s="1"/>
  <c r="X11" i="6" a="1"/>
  <c r="X11" i="6" s="1"/>
  <c r="Y11" i="6" a="1"/>
  <c r="Y11" i="6"/>
  <c r="Z11" i="6" a="1"/>
  <c r="Z11" i="6" s="1"/>
  <c r="AA11" i="6" a="1"/>
  <c r="AA11" i="6" s="1"/>
  <c r="AB11" i="6" a="1"/>
  <c r="AB11" i="6" s="1"/>
  <c r="AC11" i="6" a="1"/>
  <c r="AC11" i="6"/>
  <c r="AD11" i="6" a="1"/>
  <c r="AD11" i="6"/>
  <c r="AE11" i="6" a="1"/>
  <c r="AE11" i="6" s="1"/>
  <c r="AF11" i="6" a="1"/>
  <c r="AF11" i="6" s="1"/>
  <c r="AG11" i="6" a="1"/>
  <c r="AG11" i="6" s="1"/>
  <c r="AH11" i="6" a="1"/>
  <c r="AH11" i="6" s="1"/>
  <c r="AI11" i="6" a="1"/>
  <c r="AI11" i="6" s="1"/>
  <c r="AJ11" i="6" a="1"/>
  <c r="AJ11" i="6" s="1"/>
  <c r="AK11" i="6" a="1"/>
  <c r="AK11" i="6" s="1"/>
  <c r="AL11" i="6" a="1"/>
  <c r="AL11" i="6"/>
  <c r="AM11" i="6" a="1"/>
  <c r="AM11" i="6" s="1"/>
  <c r="AN11" i="6" a="1"/>
  <c r="AN11" i="6" s="1"/>
  <c r="AO11" i="6" a="1"/>
  <c r="AO11" i="6"/>
  <c r="AP11" i="6" a="1"/>
  <c r="AP11" i="6" s="1"/>
  <c r="AQ11" i="6" a="1"/>
  <c r="AQ11" i="6" s="1"/>
  <c r="AR11" i="6" a="1"/>
  <c r="AR11" i="6" s="1"/>
  <c r="AS11" i="6" a="1"/>
  <c r="AS11" i="6" s="1"/>
  <c r="AT11" i="6" a="1"/>
  <c r="AT11" i="6" s="1"/>
  <c r="AU11" i="6" a="1"/>
  <c r="AU11" i="6" s="1"/>
  <c r="AV11" i="6" a="1"/>
  <c r="AV11" i="6" s="1"/>
  <c r="AW11" i="6" a="1"/>
  <c r="AW11" i="6" s="1"/>
  <c r="AX11" i="6" a="1"/>
  <c r="AX11" i="6" s="1"/>
  <c r="AY11" i="6" a="1"/>
  <c r="AY11" i="6" s="1"/>
  <c r="AZ11" i="6" a="1"/>
  <c r="AZ11" i="6" s="1"/>
  <c r="BA11" i="6" a="1"/>
  <c r="BA11" i="6" s="1"/>
  <c r="BB11" i="6" a="1"/>
  <c r="BB11" i="6" s="1"/>
  <c r="BC11" i="6" a="1"/>
  <c r="BC11" i="6" s="1"/>
  <c r="BD11" i="6" a="1"/>
  <c r="BD11" i="6" s="1"/>
  <c r="BE11" i="6" a="1"/>
  <c r="BE11" i="6" s="1"/>
  <c r="BF11" i="6" a="1"/>
  <c r="BF11" i="6"/>
  <c r="BG11" i="6" a="1"/>
  <c r="BG11" i="6" s="1"/>
  <c r="BH11" i="6" a="1"/>
  <c r="BH11" i="6" s="1"/>
  <c r="BI11" i="6" a="1"/>
  <c r="BI11" i="6" s="1"/>
  <c r="BJ11" i="6" a="1"/>
  <c r="BJ11" i="6" s="1"/>
  <c r="BK11" i="6" a="1"/>
  <c r="BK11" i="6"/>
  <c r="BL11" i="6" a="1"/>
  <c r="BL11" i="6" s="1"/>
  <c r="BM11" i="6" a="1"/>
  <c r="BM11" i="6" s="1"/>
  <c r="BN11" i="6" a="1"/>
  <c r="BN11" i="6" s="1"/>
  <c r="BO11" i="6" a="1"/>
  <c r="BO11" i="6"/>
  <c r="BP11" i="6" a="1"/>
  <c r="BP11" i="6" s="1"/>
  <c r="BQ11" i="6" a="1"/>
  <c r="BQ11" i="6" s="1"/>
  <c r="BR11" i="6" a="1"/>
  <c r="BR11" i="6" s="1"/>
  <c r="BS11" i="6" a="1"/>
  <c r="BS11" i="6" s="1"/>
  <c r="BT11" i="6" a="1"/>
  <c r="BT11" i="6" s="1"/>
  <c r="BU11" i="6" a="1"/>
  <c r="BU11" i="6" s="1"/>
  <c r="BV11" i="6" a="1"/>
  <c r="BV11" i="6"/>
  <c r="BW11" i="6" a="1"/>
  <c r="BW11" i="6"/>
  <c r="BX11" i="6" a="1"/>
  <c r="BX11" i="6"/>
  <c r="BY11" i="6" a="1"/>
  <c r="BY11" i="6" s="1"/>
  <c r="BZ11" i="6" a="1"/>
  <c r="BZ11" i="6" s="1"/>
  <c r="CA11" i="6" a="1"/>
  <c r="CA11" i="6"/>
  <c r="CB11" i="6" a="1"/>
  <c r="CB11" i="6" s="1"/>
  <c r="CC11" i="6" a="1"/>
  <c r="CC11" i="6" s="1"/>
  <c r="CD11" i="6" a="1"/>
  <c r="CD11" i="6" s="1"/>
  <c r="CE11" i="6" a="1"/>
  <c r="CE11" i="6" s="1"/>
  <c r="CF11" i="6" a="1"/>
  <c r="CF11" i="6" s="1"/>
  <c r="CG11" i="6" a="1"/>
  <c r="CG11" i="6" s="1"/>
  <c r="CH11" i="6" a="1"/>
  <c r="CH11" i="6" s="1"/>
  <c r="CI11" i="6" a="1"/>
  <c r="CI11" i="6" s="1"/>
  <c r="CJ11" i="6" a="1"/>
  <c r="CJ11" i="6"/>
  <c r="CK11" i="6" a="1"/>
  <c r="CK11" i="6" s="1"/>
  <c r="CL11" i="6" a="1"/>
  <c r="CL11" i="6" s="1"/>
  <c r="CM11" i="6" a="1"/>
  <c r="CM11" i="6" s="1"/>
  <c r="CN11" i="6" a="1"/>
  <c r="CN11" i="6" s="1"/>
  <c r="CO11" i="6" a="1"/>
  <c r="CO11" i="6" s="1"/>
  <c r="CP11" i="6" a="1"/>
  <c r="CP11" i="6" s="1"/>
  <c r="CQ11" i="6" a="1"/>
  <c r="CQ11" i="6"/>
  <c r="CR11" i="6" a="1"/>
  <c r="CR11" i="6" s="1"/>
  <c r="CS11" i="6" a="1"/>
  <c r="CS11" i="6" s="1"/>
  <c r="CT11" i="6" a="1"/>
  <c r="CT11" i="6" s="1"/>
  <c r="CU11" i="6" a="1"/>
  <c r="CU11" i="6" s="1"/>
  <c r="CV11" i="6" a="1"/>
  <c r="CV11" i="6" s="1"/>
  <c r="CW11" i="6" a="1"/>
  <c r="CW11" i="6" s="1"/>
  <c r="CX11" i="6" a="1"/>
  <c r="CX11" i="6" s="1"/>
  <c r="CY11" i="6" a="1"/>
  <c r="CY11" i="6" s="1"/>
  <c r="CZ11" i="6" a="1"/>
  <c r="CZ11" i="6"/>
  <c r="DA11" i="6" a="1"/>
  <c r="DA11" i="6" s="1"/>
  <c r="DB11" i="6" a="1"/>
  <c r="DB11" i="6" s="1"/>
  <c r="DC11" i="6" a="1"/>
  <c r="DC11" i="6" s="1"/>
  <c r="DD11" i="6" a="1"/>
  <c r="DD11" i="6" s="1"/>
  <c r="DE11" i="6" a="1"/>
  <c r="DE11" i="6" s="1"/>
  <c r="DF11" i="6" a="1"/>
  <c r="DF11" i="6" s="1"/>
  <c r="DG11" i="6" a="1"/>
  <c r="DG11" i="6" s="1"/>
  <c r="DH11" i="6" a="1"/>
  <c r="DH11" i="6" s="1"/>
  <c r="DI11" i="6" a="1"/>
  <c r="DI11" i="6" s="1"/>
  <c r="DJ11" i="6" a="1"/>
  <c r="DJ11" i="6" s="1"/>
  <c r="DK11" i="6" a="1"/>
  <c r="DK11" i="6" s="1"/>
  <c r="DL11" i="6" a="1"/>
  <c r="DL11" i="6" s="1"/>
  <c r="DM11" i="6" a="1"/>
  <c r="DM11" i="6" s="1"/>
  <c r="DN11" i="6" a="1"/>
  <c r="DN11" i="6" s="1"/>
  <c r="DO11" i="6" a="1"/>
  <c r="DO11" i="6" s="1"/>
  <c r="DP11" i="6" a="1"/>
  <c r="DP11" i="6" s="1"/>
  <c r="DQ11" i="6" a="1"/>
  <c r="DQ11" i="6" s="1"/>
  <c r="DR11" i="6" a="1"/>
  <c r="DR11" i="6" s="1"/>
  <c r="DS11" i="6" a="1"/>
  <c r="DS11" i="6" s="1"/>
  <c r="DT11" i="6" a="1"/>
  <c r="DT11" i="6" s="1"/>
  <c r="DU11" i="6" a="1"/>
  <c r="DU11" i="6" s="1"/>
  <c r="DV11" i="6" a="1"/>
  <c r="DV11" i="6" s="1"/>
  <c r="DW11" i="6" a="1"/>
  <c r="DW11" i="6" s="1"/>
  <c r="DX11" i="6" a="1"/>
  <c r="DX11" i="6" s="1"/>
  <c r="DY11" i="6" a="1"/>
  <c r="DY11" i="6" s="1"/>
  <c r="DZ11" i="6" a="1"/>
  <c r="DZ11" i="6" s="1"/>
  <c r="EA11" i="6" a="1"/>
  <c r="EA11" i="6"/>
  <c r="EB11" i="6" a="1"/>
  <c r="EB11" i="6" s="1"/>
  <c r="EC11" i="6" a="1"/>
  <c r="EC11" i="6" s="1"/>
  <c r="ED11" i="6" a="1"/>
  <c r="ED11" i="6"/>
  <c r="EE11" i="6" a="1"/>
  <c r="EE11" i="6" s="1"/>
  <c r="E12" i="6" a="1"/>
  <c r="E12" i="6" s="1"/>
  <c r="F12" i="6" a="1"/>
  <c r="F12" i="6" s="1"/>
  <c r="G12" i="6" a="1"/>
  <c r="G12" i="6" s="1"/>
  <c r="H12" i="6" a="1"/>
  <c r="H12" i="6" s="1"/>
  <c r="I12" i="6" a="1"/>
  <c r="I12" i="6"/>
  <c r="J12" i="6" a="1"/>
  <c r="J12" i="6" s="1"/>
  <c r="K12" i="6" a="1"/>
  <c r="K12" i="6" s="1"/>
  <c r="L12" i="6" a="1"/>
  <c r="L12" i="6"/>
  <c r="M12" i="6" a="1"/>
  <c r="M12" i="6" s="1"/>
  <c r="N12" i="6" a="1"/>
  <c r="N12" i="6" s="1"/>
  <c r="O12" i="6" a="1"/>
  <c r="O12" i="6"/>
  <c r="P12" i="6" a="1"/>
  <c r="P12" i="6" s="1"/>
  <c r="Q12" i="6" a="1"/>
  <c r="Q12" i="6" s="1"/>
  <c r="R12" i="6" a="1"/>
  <c r="R12" i="6" s="1"/>
  <c r="S12" i="6" a="1"/>
  <c r="S12" i="6"/>
  <c r="T12" i="6" a="1"/>
  <c r="T12" i="6" s="1"/>
  <c r="U12" i="6" a="1"/>
  <c r="U12" i="6"/>
  <c r="V12" i="6" a="1"/>
  <c r="V12" i="6" s="1"/>
  <c r="W12" i="6" a="1"/>
  <c r="W12" i="6" s="1"/>
  <c r="X12" i="6" a="1"/>
  <c r="X12" i="6"/>
  <c r="Y12" i="6" a="1"/>
  <c r="Y12" i="6" s="1"/>
  <c r="Z12" i="6" a="1"/>
  <c r="Z12" i="6" s="1"/>
  <c r="AA12" i="6" a="1"/>
  <c r="AA12" i="6" s="1"/>
  <c r="AB12" i="6" a="1"/>
  <c r="AB12" i="6"/>
  <c r="AC12" i="6" a="1"/>
  <c r="AC12" i="6" s="1"/>
  <c r="AD12" i="6" a="1"/>
  <c r="AD12" i="6" s="1"/>
  <c r="AE12" i="6" a="1"/>
  <c r="AE12" i="6" s="1"/>
  <c r="AF12" i="6" a="1"/>
  <c r="AF12" i="6" s="1"/>
  <c r="AG12" i="6" a="1"/>
  <c r="AG12" i="6" s="1"/>
  <c r="AH12" i="6" a="1"/>
  <c r="AH12" i="6" s="1"/>
  <c r="AI12" i="6" a="1"/>
  <c r="AI12" i="6"/>
  <c r="AJ12" i="6" a="1"/>
  <c r="AJ12" i="6" s="1"/>
  <c r="AK12" i="6" a="1"/>
  <c r="AK12" i="6" s="1"/>
  <c r="AL12" i="6" a="1"/>
  <c r="AL12" i="6" s="1"/>
  <c r="AM12" i="6" a="1"/>
  <c r="AM12" i="6" s="1"/>
  <c r="AN12" i="6" a="1"/>
  <c r="AN12" i="6" s="1"/>
  <c r="AO12" i="6" a="1"/>
  <c r="AO12" i="6"/>
  <c r="AP12" i="6" a="1"/>
  <c r="AP12" i="6" s="1"/>
  <c r="AQ12" i="6" a="1"/>
  <c r="AQ12" i="6" s="1"/>
  <c r="AR12" i="6" a="1"/>
  <c r="AR12" i="6"/>
  <c r="AS12" i="6" a="1"/>
  <c r="AS12" i="6" s="1"/>
  <c r="AT12" i="6" a="1"/>
  <c r="AT12" i="6" s="1"/>
  <c r="AU12" i="6" a="1"/>
  <c r="AU12" i="6" s="1"/>
  <c r="AV12" i="6" a="1"/>
  <c r="AV12" i="6" s="1"/>
  <c r="AW12" i="6" a="1"/>
  <c r="AW12" i="6" s="1"/>
  <c r="AX12" i="6" a="1"/>
  <c r="AX12" i="6" s="1"/>
  <c r="AY12" i="6" a="1"/>
  <c r="AY12" i="6" s="1"/>
  <c r="AZ12" i="6" a="1"/>
  <c r="AZ12" i="6" s="1"/>
  <c r="BA12" i="6" a="1"/>
  <c r="BA12" i="6" s="1"/>
  <c r="BB12" i="6" a="1"/>
  <c r="BB12" i="6" s="1"/>
  <c r="BC12" i="6" a="1"/>
  <c r="BC12" i="6" s="1"/>
  <c r="BD12" i="6" a="1"/>
  <c r="BD12" i="6" s="1"/>
  <c r="BE12" i="6" a="1"/>
  <c r="BE12" i="6" s="1"/>
  <c r="BF12" i="6" a="1"/>
  <c r="BF12" i="6" s="1"/>
  <c r="BG12" i="6" a="1"/>
  <c r="BG12" i="6" s="1"/>
  <c r="BH12" i="6" a="1"/>
  <c r="BH12" i="6" s="1"/>
  <c r="BI12" i="6" a="1"/>
  <c r="BI12" i="6" s="1"/>
  <c r="BJ12" i="6" a="1"/>
  <c r="BJ12" i="6" s="1"/>
  <c r="BK12" i="6" a="1"/>
  <c r="BK12" i="6" s="1"/>
  <c r="BL12" i="6" a="1"/>
  <c r="BL12" i="6" s="1"/>
  <c r="BM12" i="6" a="1"/>
  <c r="BM12" i="6"/>
  <c r="BN12" i="6" a="1"/>
  <c r="BN12" i="6" s="1"/>
  <c r="BO12" i="6" a="1"/>
  <c r="BO12" i="6"/>
  <c r="BP12" i="6" a="1"/>
  <c r="BP12" i="6" s="1"/>
  <c r="BQ12" i="6" a="1"/>
  <c r="BQ12" i="6" s="1"/>
  <c r="BR12" i="6" a="1"/>
  <c r="BR12" i="6" s="1"/>
  <c r="BS12" i="6" a="1"/>
  <c r="BS12" i="6" s="1"/>
  <c r="BT12" i="6" a="1"/>
  <c r="BT12" i="6" s="1"/>
  <c r="BU12" i="6" a="1"/>
  <c r="BU12" i="6"/>
  <c r="BV12" i="6" a="1"/>
  <c r="BV12" i="6" s="1"/>
  <c r="BW12" i="6" a="1"/>
  <c r="BW12" i="6" s="1"/>
  <c r="BX12" i="6" a="1"/>
  <c r="BX12" i="6"/>
  <c r="BY12" i="6" a="1"/>
  <c r="BY12" i="6" s="1"/>
  <c r="BZ12" i="6" a="1"/>
  <c r="BZ12" i="6" s="1"/>
  <c r="CA12" i="6" a="1"/>
  <c r="CA12" i="6" s="1"/>
  <c r="CB12" i="6" a="1"/>
  <c r="CB12" i="6" s="1"/>
  <c r="CC12" i="6" a="1"/>
  <c r="CC12" i="6" s="1"/>
  <c r="CD12" i="6" a="1"/>
  <c r="CD12" i="6" s="1"/>
  <c r="CE12" i="6" a="1"/>
  <c r="CE12" i="6" s="1"/>
  <c r="CF12" i="6" a="1"/>
  <c r="CF12" i="6" s="1"/>
  <c r="CG12" i="6" a="1"/>
  <c r="CG12" i="6" s="1"/>
  <c r="CH12" i="6" a="1"/>
  <c r="CH12" i="6" s="1"/>
  <c r="CI12" i="6" a="1"/>
  <c r="CI12" i="6"/>
  <c r="CJ12" i="6" a="1"/>
  <c r="CJ12" i="6" s="1"/>
  <c r="CK12" i="6" a="1"/>
  <c r="CK12" i="6" s="1"/>
  <c r="CL12" i="6" a="1"/>
  <c r="CL12" i="6" s="1"/>
  <c r="CM12" i="6" a="1"/>
  <c r="CM12" i="6" s="1"/>
  <c r="CN12" i="6" a="1"/>
  <c r="CN12" i="6"/>
  <c r="CO12" i="6" a="1"/>
  <c r="CO12" i="6" s="1"/>
  <c r="CP12" i="6" a="1"/>
  <c r="CP12" i="6" s="1"/>
  <c r="CQ12" i="6" a="1"/>
  <c r="CQ12" i="6" s="1"/>
  <c r="CR12" i="6" a="1"/>
  <c r="CR12" i="6"/>
  <c r="CS12" i="6" a="1"/>
  <c r="CS12" i="6" s="1"/>
  <c r="CT12" i="6" a="1"/>
  <c r="CT12" i="6" s="1"/>
  <c r="CU12" i="6" a="1"/>
  <c r="CU12" i="6"/>
  <c r="CV12" i="6" a="1"/>
  <c r="CV12" i="6" s="1"/>
  <c r="CW12" i="6" a="1"/>
  <c r="CW12" i="6" s="1"/>
  <c r="CX12" i="6" a="1"/>
  <c r="CX12" i="6" s="1"/>
  <c r="CY12" i="6" a="1"/>
  <c r="CY12" i="6" s="1"/>
  <c r="CZ12" i="6" a="1"/>
  <c r="CZ12" i="6" s="1"/>
  <c r="DA12" i="6" a="1"/>
  <c r="DA12" i="6" s="1"/>
  <c r="DB12" i="6" a="1"/>
  <c r="DB12" i="6" s="1"/>
  <c r="DC12" i="6" a="1"/>
  <c r="DC12" i="6" s="1"/>
  <c r="DD12" i="6" a="1"/>
  <c r="DD12" i="6"/>
  <c r="DE12" i="6" a="1"/>
  <c r="DE12" i="6" s="1"/>
  <c r="DF12" i="6" a="1"/>
  <c r="DF12" i="6" s="1"/>
  <c r="DG12" i="6" a="1"/>
  <c r="DG12" i="6" s="1"/>
  <c r="DH12" i="6" a="1"/>
  <c r="DH12" i="6" s="1"/>
  <c r="DI12" i="6" a="1"/>
  <c r="DI12" i="6" s="1"/>
  <c r="DJ12" i="6" a="1"/>
  <c r="DJ12" i="6" s="1"/>
  <c r="DK12" i="6" a="1"/>
  <c r="DK12" i="6"/>
  <c r="DL12" i="6" a="1"/>
  <c r="DL12" i="6" s="1"/>
  <c r="DM12" i="6" a="1"/>
  <c r="DM12" i="6"/>
  <c r="DN12" i="6" a="1"/>
  <c r="DN12" i="6" s="1"/>
  <c r="DO12" i="6" a="1"/>
  <c r="DO12" i="6" s="1"/>
  <c r="DP12" i="6" a="1"/>
  <c r="DP12" i="6" s="1"/>
  <c r="DQ12" i="6" a="1"/>
  <c r="DQ12" i="6" s="1"/>
  <c r="DR12" i="6" a="1"/>
  <c r="DR12" i="6" s="1"/>
  <c r="DS12" i="6" a="1"/>
  <c r="DS12" i="6"/>
  <c r="DT12" i="6" a="1"/>
  <c r="DT12" i="6"/>
  <c r="DU12" i="6" a="1"/>
  <c r="DU12" i="6" s="1"/>
  <c r="DV12" i="6" a="1"/>
  <c r="DV12" i="6" s="1"/>
  <c r="DW12" i="6" a="1"/>
  <c r="DW12" i="6" s="1"/>
  <c r="DX12" i="6" a="1"/>
  <c r="DX12" i="6" s="1"/>
  <c r="DY12" i="6" a="1"/>
  <c r="DY12" i="6" s="1"/>
  <c r="DZ12" i="6" a="1"/>
  <c r="DZ12" i="6" s="1"/>
  <c r="EA12" i="6" a="1"/>
  <c r="EA12" i="6"/>
  <c r="EB12" i="6" a="1"/>
  <c r="EB12" i="6" s="1"/>
  <c r="EC12" i="6" a="1"/>
  <c r="EC12" i="6" s="1"/>
  <c r="ED12" i="6" a="1"/>
  <c r="ED12" i="6" s="1"/>
  <c r="EE12" i="6" a="1"/>
  <c r="EE12" i="6" s="1"/>
  <c r="E13" i="6" a="1"/>
  <c r="E13" i="6" s="1"/>
  <c r="F13" i="6" a="1"/>
  <c r="F13" i="6" s="1"/>
  <c r="G13" i="6" a="1"/>
  <c r="G13" i="6" s="1"/>
  <c r="H13" i="6" a="1"/>
  <c r="H13" i="6" s="1"/>
  <c r="I13" i="6" a="1"/>
  <c r="I13" i="6" s="1"/>
  <c r="J13" i="6" a="1"/>
  <c r="J13" i="6"/>
  <c r="K13" i="6" a="1"/>
  <c r="K13" i="6" s="1"/>
  <c r="L13" i="6" a="1"/>
  <c r="L13" i="6" s="1"/>
  <c r="M13" i="6" a="1"/>
  <c r="M13" i="6" s="1"/>
  <c r="N13" i="6" a="1"/>
  <c r="N13" i="6" s="1"/>
  <c r="O13" i="6" a="1"/>
  <c r="O13" i="6" s="1"/>
  <c r="P13" i="6" a="1"/>
  <c r="P13" i="6"/>
  <c r="Q13" i="6" a="1"/>
  <c r="Q13" i="6" s="1"/>
  <c r="R13" i="6" a="1"/>
  <c r="R13" i="6" s="1"/>
  <c r="S13" i="6" a="1"/>
  <c r="S13" i="6" s="1"/>
  <c r="T13" i="6" a="1"/>
  <c r="T13" i="6" s="1"/>
  <c r="U13" i="6" a="1"/>
  <c r="U13" i="6" s="1"/>
  <c r="V13" i="6" a="1"/>
  <c r="V13" i="6" s="1"/>
  <c r="W13" i="6" a="1"/>
  <c r="W13" i="6" s="1"/>
  <c r="X13" i="6" a="1"/>
  <c r="X13" i="6"/>
  <c r="Y13" i="6" a="1"/>
  <c r="Y13" i="6" s="1"/>
  <c r="Z13" i="6" a="1"/>
  <c r="Z13" i="6" s="1"/>
  <c r="AA13" i="6" a="1"/>
  <c r="AA13" i="6" s="1"/>
  <c r="AB13" i="6" a="1"/>
  <c r="AB13" i="6" s="1"/>
  <c r="AC13" i="6" a="1"/>
  <c r="AC13" i="6" s="1"/>
  <c r="AD13" i="6" a="1"/>
  <c r="AD13" i="6"/>
  <c r="AE13" i="6" a="1"/>
  <c r="AE13" i="6" s="1"/>
  <c r="AF13" i="6" a="1"/>
  <c r="AF13" i="6"/>
  <c r="AG13" i="6" a="1"/>
  <c r="AG13" i="6" s="1"/>
  <c r="AH13" i="6" a="1"/>
  <c r="AH13" i="6"/>
  <c r="AI13" i="6" a="1"/>
  <c r="AI13" i="6" s="1"/>
  <c r="AJ13" i="6" a="1"/>
  <c r="AJ13" i="6" s="1"/>
  <c r="AK13" i="6" a="1"/>
  <c r="AK13" i="6" s="1"/>
  <c r="AL13" i="6" a="1"/>
  <c r="AL13" i="6" s="1"/>
  <c r="AM13" i="6" a="1"/>
  <c r="AM13" i="6" s="1"/>
  <c r="AN13" i="6" a="1"/>
  <c r="AN13" i="6" s="1"/>
  <c r="AO13" i="6" a="1"/>
  <c r="AO13" i="6"/>
  <c r="AP13" i="6" a="1"/>
  <c r="AP13" i="6" s="1"/>
  <c r="AQ13" i="6" a="1"/>
  <c r="AQ13" i="6" s="1"/>
  <c r="AR13" i="6" a="1"/>
  <c r="AR13" i="6" s="1"/>
  <c r="AS13" i="6" a="1"/>
  <c r="AS13" i="6"/>
  <c r="AT13" i="6" a="1"/>
  <c r="AT13" i="6" s="1"/>
  <c r="AU13" i="6" a="1"/>
  <c r="AU13" i="6" s="1"/>
  <c r="AV13" i="6" a="1"/>
  <c r="AV13" i="6" s="1"/>
  <c r="AW13" i="6" a="1"/>
  <c r="AW13" i="6" s="1"/>
  <c r="AX13" i="6" a="1"/>
  <c r="AX13" i="6" s="1"/>
  <c r="AY13" i="6" a="1"/>
  <c r="AY13" i="6"/>
  <c r="AZ13" i="6" a="1"/>
  <c r="AZ13" i="6" s="1"/>
  <c r="BA13" i="6" a="1"/>
  <c r="BA13" i="6" s="1"/>
  <c r="BB13" i="6" a="1"/>
  <c r="BB13" i="6" s="1"/>
  <c r="BC13" i="6" a="1"/>
  <c r="BC13" i="6" s="1"/>
  <c r="BD13" i="6" a="1"/>
  <c r="BD13" i="6" s="1"/>
  <c r="BE13" i="6" a="1"/>
  <c r="BE13" i="6"/>
  <c r="BF13" i="6" a="1"/>
  <c r="BF13" i="6" s="1"/>
  <c r="BG13" i="6" a="1"/>
  <c r="BG13" i="6" s="1"/>
  <c r="BH13" i="6" a="1"/>
  <c r="BH13" i="6" s="1"/>
  <c r="BI13" i="6" a="1"/>
  <c r="BI13" i="6" s="1"/>
  <c r="BJ13" i="6" a="1"/>
  <c r="BJ13" i="6"/>
  <c r="BK13" i="6" a="1"/>
  <c r="BK13" i="6" s="1"/>
  <c r="BL13" i="6" a="1"/>
  <c r="BL13" i="6" s="1"/>
  <c r="BM13" i="6" a="1"/>
  <c r="BM13" i="6" s="1"/>
  <c r="BN13" i="6" a="1"/>
  <c r="BN13" i="6" s="1"/>
  <c r="BO13" i="6" a="1"/>
  <c r="BO13" i="6" s="1"/>
  <c r="BP13" i="6" a="1"/>
  <c r="BP13" i="6" s="1"/>
  <c r="BQ13" i="6" a="1"/>
  <c r="BQ13" i="6" s="1"/>
  <c r="BR13" i="6" a="1"/>
  <c r="BR13" i="6" s="1"/>
  <c r="BS13" i="6" a="1"/>
  <c r="BS13" i="6"/>
  <c r="BT13" i="6" a="1"/>
  <c r="BT13" i="6" s="1"/>
  <c r="BU13" i="6" a="1"/>
  <c r="BU13" i="6" s="1"/>
  <c r="BV13" i="6" a="1"/>
  <c r="BV13" i="6" s="1"/>
  <c r="BW13" i="6" a="1"/>
  <c r="BW13" i="6" s="1"/>
  <c r="BX13" i="6" a="1"/>
  <c r="BX13" i="6" s="1"/>
  <c r="BY13" i="6" a="1"/>
  <c r="BY13" i="6" s="1"/>
  <c r="BZ13" i="6" a="1"/>
  <c r="BZ13" i="6" s="1"/>
  <c r="CA13" i="6" a="1"/>
  <c r="CA13" i="6" s="1"/>
  <c r="CB13" i="6" a="1"/>
  <c r="CB13" i="6" s="1"/>
  <c r="CC13" i="6" a="1"/>
  <c r="CC13" i="6"/>
  <c r="CD13" i="6" a="1"/>
  <c r="CD13" i="6" s="1"/>
  <c r="CE13" i="6" a="1"/>
  <c r="CE13" i="6" s="1"/>
  <c r="CF13" i="6" a="1"/>
  <c r="CF13" i="6" s="1"/>
  <c r="CG13" i="6" a="1"/>
  <c r="CG13" i="6" s="1"/>
  <c r="CH13" i="6" a="1"/>
  <c r="CH13" i="6" s="1"/>
  <c r="CI13" i="6" a="1"/>
  <c r="CI13" i="6" s="1"/>
  <c r="CJ13" i="6" a="1"/>
  <c r="CJ13" i="6" s="1"/>
  <c r="CK13" i="6" a="1"/>
  <c r="CK13" i="6" s="1"/>
  <c r="CL13" i="6" a="1"/>
  <c r="CL13" i="6" s="1"/>
  <c r="CM13" i="6" a="1"/>
  <c r="CM13" i="6" s="1"/>
  <c r="CN13" i="6" a="1"/>
  <c r="CN13" i="6" s="1"/>
  <c r="CO13" i="6" a="1"/>
  <c r="CO13" i="6" s="1"/>
  <c r="CP13" i="6" a="1"/>
  <c r="CP13" i="6" s="1"/>
  <c r="CQ13" i="6" a="1"/>
  <c r="CQ13" i="6" s="1"/>
  <c r="CR13" i="6" a="1"/>
  <c r="CR13" i="6" s="1"/>
  <c r="CS13" i="6" a="1"/>
  <c r="CS13" i="6" s="1"/>
  <c r="CT13" i="6" a="1"/>
  <c r="CT13" i="6" s="1"/>
  <c r="CU13" i="6" a="1"/>
  <c r="CU13" i="6" s="1"/>
  <c r="CV13" i="6" a="1"/>
  <c r="CV13" i="6" s="1"/>
  <c r="CW13" i="6" a="1"/>
  <c r="CW13" i="6"/>
  <c r="CX13" i="6" a="1"/>
  <c r="CX13" i="6" s="1"/>
  <c r="CY13" i="6" a="1"/>
  <c r="CY13" i="6"/>
  <c r="CZ13" i="6" a="1"/>
  <c r="CZ13" i="6" s="1"/>
  <c r="DA13" i="6" a="1"/>
  <c r="DA13" i="6" s="1"/>
  <c r="DB13" i="6" a="1"/>
  <c r="DB13" i="6" s="1"/>
  <c r="DC13" i="6" a="1"/>
  <c r="DC13" i="6" s="1"/>
  <c r="DD13" i="6" a="1"/>
  <c r="DD13" i="6" s="1"/>
  <c r="DE13" i="6" a="1"/>
  <c r="DE13" i="6" s="1"/>
  <c r="DF13" i="6" a="1"/>
  <c r="DF13" i="6"/>
  <c r="DG13" i="6" a="1"/>
  <c r="DG13" i="6" s="1"/>
  <c r="DH13" i="6" a="1"/>
  <c r="DH13" i="6" s="1"/>
  <c r="DI13" i="6" a="1"/>
  <c r="DI13" i="6"/>
  <c r="DJ13" i="6" a="1"/>
  <c r="DJ13" i="6" s="1"/>
  <c r="DK13" i="6" a="1"/>
  <c r="DK13" i="6" s="1"/>
  <c r="DL13" i="6" a="1"/>
  <c r="DL13" i="6" s="1"/>
  <c r="DM13" i="6" a="1"/>
  <c r="DM13" i="6" s="1"/>
  <c r="DN13" i="6" a="1"/>
  <c r="DN13" i="6" s="1"/>
  <c r="DO13" i="6" a="1"/>
  <c r="DO13" i="6"/>
  <c r="DP13" i="6" a="1"/>
  <c r="DP13" i="6" s="1"/>
  <c r="DQ13" i="6" a="1"/>
  <c r="DQ13" i="6" s="1"/>
  <c r="DR13" i="6" a="1"/>
  <c r="DR13" i="6" s="1"/>
  <c r="DS13" i="6" a="1"/>
  <c r="DS13" i="6" s="1"/>
  <c r="DT13" i="6" a="1"/>
  <c r="DT13" i="6" s="1"/>
  <c r="DU13" i="6" a="1"/>
  <c r="DU13" i="6"/>
  <c r="DV13" i="6" a="1"/>
  <c r="DV13" i="6" s="1"/>
  <c r="DW13" i="6" a="1"/>
  <c r="DW13" i="6" s="1"/>
  <c r="DX13" i="6" a="1"/>
  <c r="DX13" i="6" s="1"/>
  <c r="DY13" i="6" a="1"/>
  <c r="DY13" i="6" s="1"/>
  <c r="DZ13" i="6" a="1"/>
  <c r="DZ13" i="6" s="1"/>
  <c r="EA13" i="6" a="1"/>
  <c r="EA13" i="6" s="1"/>
  <c r="EB13" i="6" a="1"/>
  <c r="EB13" i="6" s="1"/>
  <c r="EC13" i="6" a="1"/>
  <c r="EC13" i="6" s="1"/>
  <c r="ED13" i="6" a="1"/>
  <c r="ED13" i="6" s="1"/>
  <c r="EE13" i="6" a="1"/>
  <c r="EE13" i="6"/>
  <c r="E14" i="6" a="1"/>
  <c r="E14" i="6" s="1"/>
  <c r="F14" i="6" a="1"/>
  <c r="F14" i="6" s="1"/>
  <c r="G14" i="6" a="1"/>
  <c r="G14" i="6" s="1"/>
  <c r="H14" i="6" a="1"/>
  <c r="H14" i="6" s="1"/>
  <c r="I14" i="6" a="1"/>
  <c r="I14" i="6" s="1"/>
  <c r="J14" i="6" a="1"/>
  <c r="J14" i="6" s="1"/>
  <c r="K14" i="6" a="1"/>
  <c r="K14" i="6"/>
  <c r="L14" i="6" a="1"/>
  <c r="L14" i="6" s="1"/>
  <c r="M14" i="6" a="1"/>
  <c r="M14" i="6" s="1"/>
  <c r="N14" i="6" a="1"/>
  <c r="N14" i="6"/>
  <c r="O14" i="6" a="1"/>
  <c r="O14" i="6" s="1"/>
  <c r="P14" i="6" a="1"/>
  <c r="P14" i="6" s="1"/>
  <c r="Q14" i="6" a="1"/>
  <c r="Q14" i="6" s="1"/>
  <c r="R14" i="6" a="1"/>
  <c r="R14" i="6" s="1"/>
  <c r="S14" i="6" a="1"/>
  <c r="S14" i="6" s="1"/>
  <c r="T14" i="6" a="1"/>
  <c r="T14" i="6"/>
  <c r="U14" i="6" a="1"/>
  <c r="U14" i="6" s="1"/>
  <c r="V14" i="6" a="1"/>
  <c r="V14" i="6" s="1"/>
  <c r="W14" i="6" a="1"/>
  <c r="W14" i="6"/>
  <c r="X14" i="6" a="1"/>
  <c r="X14" i="6" s="1"/>
  <c r="Y14" i="6" a="1"/>
  <c r="Y14" i="6" s="1"/>
  <c r="Z14" i="6" a="1"/>
  <c r="Z14" i="6"/>
  <c r="AA14" i="6" a="1"/>
  <c r="AA14" i="6" s="1"/>
  <c r="AB14" i="6" a="1"/>
  <c r="AB14" i="6" s="1"/>
  <c r="AC14" i="6" a="1"/>
  <c r="AC14" i="6" s="1"/>
  <c r="AD14" i="6" a="1"/>
  <c r="AD14" i="6" s="1"/>
  <c r="AE14" i="6" a="1"/>
  <c r="AE14" i="6" s="1"/>
  <c r="AF14" i="6" a="1"/>
  <c r="AF14" i="6"/>
  <c r="AG14" i="6" a="1"/>
  <c r="AG14" i="6" s="1"/>
  <c r="AH14" i="6" a="1"/>
  <c r="AH14" i="6"/>
  <c r="AI14" i="6" a="1"/>
  <c r="AI14" i="6" s="1"/>
  <c r="AJ14" i="6" a="1"/>
  <c r="AJ14" i="6" s="1"/>
  <c r="AK14" i="6" a="1"/>
  <c r="AK14" i="6" s="1"/>
  <c r="AL14" i="6" a="1"/>
  <c r="AL14" i="6" s="1"/>
  <c r="AM14" i="6" a="1"/>
  <c r="AM14" i="6" s="1"/>
  <c r="AN14" i="6" a="1"/>
  <c r="AN14" i="6" s="1"/>
  <c r="AO14" i="6" a="1"/>
  <c r="AO14" i="6" s="1"/>
  <c r="AP14" i="6" a="1"/>
  <c r="AP14" i="6" s="1"/>
  <c r="AQ14" i="6" a="1"/>
  <c r="AQ14" i="6" s="1"/>
  <c r="AR14" i="6" a="1"/>
  <c r="AR14" i="6"/>
  <c r="AS14" i="6" a="1"/>
  <c r="AS14" i="6" s="1"/>
  <c r="AT14" i="6" a="1"/>
  <c r="AT14" i="6"/>
  <c r="AU14" i="6" a="1"/>
  <c r="AU14" i="6" s="1"/>
  <c r="AV14" i="6" a="1"/>
  <c r="AV14" i="6" s="1"/>
  <c r="AW14" i="6" a="1"/>
  <c r="AW14" i="6" s="1"/>
  <c r="AX14" i="6" a="1"/>
  <c r="AX14" i="6" s="1"/>
  <c r="AY14" i="6" a="1"/>
  <c r="AY14" i="6" s="1"/>
  <c r="AZ14" i="6" a="1"/>
  <c r="AZ14" i="6"/>
  <c r="BA14" i="6" a="1"/>
  <c r="BA14" i="6" s="1"/>
  <c r="BB14" i="6" a="1"/>
  <c r="BB14" i="6" s="1"/>
  <c r="BC14" i="6" a="1"/>
  <c r="BC14" i="6"/>
  <c r="BD14" i="6" a="1"/>
  <c r="BD14" i="6" s="1"/>
  <c r="BE14" i="6" a="1"/>
  <c r="BE14" i="6" s="1"/>
  <c r="BF14" i="6" a="1"/>
  <c r="BF14" i="6"/>
  <c r="BG14" i="6" a="1"/>
  <c r="BG14" i="6" s="1"/>
  <c r="BH14" i="6" a="1"/>
  <c r="BH14" i="6" s="1"/>
  <c r="BI14" i="6" a="1"/>
  <c r="BI14" i="6" s="1"/>
  <c r="BJ14" i="6" a="1"/>
  <c r="BJ14" i="6" s="1"/>
  <c r="BK14" i="6" a="1"/>
  <c r="BK14" i="6"/>
  <c r="BL14" i="6" a="1"/>
  <c r="BL14" i="6" s="1"/>
  <c r="BM14" i="6" a="1"/>
  <c r="BM14" i="6" s="1"/>
  <c r="BN14" i="6" a="1"/>
  <c r="BN14" i="6"/>
  <c r="BO14" i="6" a="1"/>
  <c r="BO14" i="6" s="1"/>
  <c r="BP14" i="6" a="1"/>
  <c r="BP14" i="6"/>
  <c r="BQ14" i="6" a="1"/>
  <c r="BQ14" i="6" s="1"/>
  <c r="BR14" i="6" a="1"/>
  <c r="BR14" i="6" s="1"/>
  <c r="BS14" i="6" a="1"/>
  <c r="BS14" i="6" s="1"/>
  <c r="BT14" i="6" a="1"/>
  <c r="BT14" i="6" s="1"/>
  <c r="BU14" i="6" a="1"/>
  <c r="BU14" i="6" s="1"/>
  <c r="BV14" i="6" a="1"/>
  <c r="BV14" i="6" s="1"/>
  <c r="BW14" i="6" a="1"/>
  <c r="BW14" i="6" s="1"/>
  <c r="BX14" i="6" a="1"/>
  <c r="BX14" i="6" s="1"/>
  <c r="BY14" i="6" a="1"/>
  <c r="BY14" i="6" s="1"/>
  <c r="BZ14" i="6" a="1"/>
  <c r="BZ14" i="6" s="1"/>
  <c r="CA14" i="6" a="1"/>
  <c r="CA14" i="6" s="1"/>
  <c r="CB14" i="6" a="1"/>
  <c r="CB14" i="6" s="1"/>
  <c r="CC14" i="6" a="1"/>
  <c r="CC14" i="6" s="1"/>
  <c r="CD14" i="6" a="1"/>
  <c r="CD14" i="6" s="1"/>
  <c r="CE14" i="6" a="1"/>
  <c r="CE14" i="6" s="1"/>
  <c r="CF14" i="6" a="1"/>
  <c r="CF14" i="6" s="1"/>
  <c r="CG14" i="6" a="1"/>
  <c r="CG14" i="6" s="1"/>
  <c r="CH14" i="6" a="1"/>
  <c r="CH14" i="6" s="1"/>
  <c r="CI14" i="6" a="1"/>
  <c r="CI14" i="6" s="1"/>
  <c r="CJ14" i="6" a="1"/>
  <c r="CJ14" i="6" s="1"/>
  <c r="CK14" i="6" a="1"/>
  <c r="CK14" i="6" s="1"/>
  <c r="CL14" i="6" a="1"/>
  <c r="CL14" i="6" s="1"/>
  <c r="CM14" i="6" a="1"/>
  <c r="CM14" i="6" s="1"/>
  <c r="CN14" i="6" a="1"/>
  <c r="CN14" i="6" s="1"/>
  <c r="CO14" i="6" a="1"/>
  <c r="CO14" i="6" s="1"/>
  <c r="CP14" i="6" a="1"/>
  <c r="CP14" i="6" s="1"/>
  <c r="CQ14" i="6" a="1"/>
  <c r="CQ14" i="6" s="1"/>
  <c r="CR14" i="6" a="1"/>
  <c r="CR14" i="6"/>
  <c r="CS14" i="6" a="1"/>
  <c r="CS14" i="6" s="1"/>
  <c r="CT14" i="6" a="1"/>
  <c r="CT14" i="6" s="1"/>
  <c r="CU14" i="6" a="1"/>
  <c r="CU14" i="6"/>
  <c r="CV14" i="6" a="1"/>
  <c r="CV14" i="6" s="1"/>
  <c r="CW14" i="6" a="1"/>
  <c r="CW14" i="6" s="1"/>
  <c r="CX14" i="6" a="1"/>
  <c r="CX14" i="6" s="1"/>
  <c r="CY14" i="6" a="1"/>
  <c r="CY14" i="6" s="1"/>
  <c r="CZ14" i="6" a="1"/>
  <c r="CZ14" i="6" s="1"/>
  <c r="DA14" i="6" a="1"/>
  <c r="DA14" i="6" s="1"/>
  <c r="DB14" i="6" a="1"/>
  <c r="DB14" i="6" s="1"/>
  <c r="DC14" i="6" a="1"/>
  <c r="DC14" i="6" s="1"/>
  <c r="DD14" i="6" a="1"/>
  <c r="DD14" i="6" s="1"/>
  <c r="DE14" i="6" a="1"/>
  <c r="DE14" i="6" s="1"/>
  <c r="DF14" i="6" a="1"/>
  <c r="DF14" i="6" s="1"/>
  <c r="DG14" i="6" a="1"/>
  <c r="DG14" i="6" s="1"/>
  <c r="DH14" i="6" a="1"/>
  <c r="DH14" i="6" s="1"/>
  <c r="DI14" i="6" a="1"/>
  <c r="DI14" i="6" s="1"/>
  <c r="DJ14" i="6" a="1"/>
  <c r="DJ14" i="6" s="1"/>
  <c r="DK14" i="6" a="1"/>
  <c r="DK14" i="6" s="1"/>
  <c r="DL14" i="6" a="1"/>
  <c r="DL14" i="6" s="1"/>
  <c r="DM14" i="6" a="1"/>
  <c r="DM14" i="6" s="1"/>
  <c r="DN14" i="6" a="1"/>
  <c r="DN14" i="6" s="1"/>
  <c r="DO14" i="6" a="1"/>
  <c r="DO14" i="6"/>
  <c r="DP14" i="6" a="1"/>
  <c r="DP14" i="6"/>
  <c r="DQ14" i="6" a="1"/>
  <c r="DQ14" i="6" s="1"/>
  <c r="DR14" i="6" a="1"/>
  <c r="DR14" i="6" s="1"/>
  <c r="DS14" i="6" a="1"/>
  <c r="DS14" i="6" s="1"/>
  <c r="DT14" i="6" a="1"/>
  <c r="DT14" i="6" s="1"/>
  <c r="DU14" i="6" a="1"/>
  <c r="DU14" i="6" s="1"/>
  <c r="DV14" i="6" a="1"/>
  <c r="DV14" i="6" s="1"/>
  <c r="DW14" i="6" a="1"/>
  <c r="DW14" i="6" s="1"/>
  <c r="DX14" i="6" a="1"/>
  <c r="DX14" i="6" s="1"/>
  <c r="DY14" i="6" a="1"/>
  <c r="DY14" i="6" s="1"/>
  <c r="DZ14" i="6" a="1"/>
  <c r="DZ14" i="6" s="1"/>
  <c r="EA14" i="6" a="1"/>
  <c r="EA14" i="6" s="1"/>
  <c r="EB14" i="6" a="1"/>
  <c r="EB14" i="6"/>
  <c r="EC14" i="6" a="1"/>
  <c r="EC14" i="6" s="1"/>
  <c r="ED14" i="6" a="1"/>
  <c r="ED14" i="6"/>
  <c r="EE14" i="6" a="1"/>
  <c r="EE14" i="6" s="1"/>
  <c r="E15" i="6" a="1"/>
  <c r="E15" i="6" s="1"/>
  <c r="F15" i="6" a="1"/>
  <c r="F15" i="6" s="1"/>
  <c r="G15" i="6" a="1"/>
  <c r="G15" i="6" s="1"/>
  <c r="H15" i="6" a="1"/>
  <c r="H15" i="6" s="1"/>
  <c r="I15" i="6" a="1"/>
  <c r="I15" i="6" s="1"/>
  <c r="J15" i="6" a="1"/>
  <c r="J15" i="6" s="1"/>
  <c r="K15" i="6" a="1"/>
  <c r="K15" i="6" s="1"/>
  <c r="L15" i="6" a="1"/>
  <c r="L15" i="6" s="1"/>
  <c r="M15" i="6" a="1"/>
  <c r="M15" i="6" s="1"/>
  <c r="N15" i="6" a="1"/>
  <c r="N15" i="6" s="1"/>
  <c r="O15" i="6" a="1"/>
  <c r="O15" i="6"/>
  <c r="P15" i="6" a="1"/>
  <c r="P15" i="6" s="1"/>
  <c r="Q15" i="6" a="1"/>
  <c r="Q15" i="6"/>
  <c r="R15" i="6" a="1"/>
  <c r="R15" i="6" s="1"/>
  <c r="S15" i="6" a="1"/>
  <c r="S15" i="6" s="1"/>
  <c r="T15" i="6" a="1"/>
  <c r="T15" i="6" s="1"/>
  <c r="U15" i="6" a="1"/>
  <c r="U15" i="6" s="1"/>
  <c r="V15" i="6" a="1"/>
  <c r="V15" i="6" s="1"/>
  <c r="W15" i="6" a="1"/>
  <c r="W15" i="6" s="1"/>
  <c r="X15" i="6" a="1"/>
  <c r="X15" i="6"/>
  <c r="Y15" i="6" a="1"/>
  <c r="Y15" i="6" s="1"/>
  <c r="Z15" i="6" a="1"/>
  <c r="Z15" i="6" s="1"/>
  <c r="AA15" i="6" a="1"/>
  <c r="AA15" i="6" s="1"/>
  <c r="AB15" i="6" a="1"/>
  <c r="AB15" i="6" s="1"/>
  <c r="AC15" i="6" a="1"/>
  <c r="AC15" i="6"/>
  <c r="AD15" i="6" a="1"/>
  <c r="AD15" i="6" s="1"/>
  <c r="AE15" i="6" a="1"/>
  <c r="AE15" i="6" s="1"/>
  <c r="AF15" i="6" a="1"/>
  <c r="AF15" i="6" s="1"/>
  <c r="AG15" i="6" a="1"/>
  <c r="AG15" i="6" s="1"/>
  <c r="AH15" i="6" a="1"/>
  <c r="AH15" i="6" s="1"/>
  <c r="AI15" i="6" a="1"/>
  <c r="AI15" i="6" s="1"/>
  <c r="AJ15" i="6" a="1"/>
  <c r="AJ15" i="6" s="1"/>
  <c r="AK15" i="6" a="1"/>
  <c r="AK15" i="6" s="1"/>
  <c r="AL15" i="6" a="1"/>
  <c r="AL15" i="6" s="1"/>
  <c r="AM15" i="6" a="1"/>
  <c r="AM15" i="6" s="1"/>
  <c r="AN15" i="6" a="1"/>
  <c r="AN15" i="6" s="1"/>
  <c r="AO15" i="6" a="1"/>
  <c r="AO15" i="6" s="1"/>
  <c r="AP15" i="6" a="1"/>
  <c r="AP15" i="6" s="1"/>
  <c r="AQ15" i="6" a="1"/>
  <c r="AQ15" i="6" s="1"/>
  <c r="AR15" i="6" a="1"/>
  <c r="AR15" i="6"/>
  <c r="AS15" i="6" a="1"/>
  <c r="AS15" i="6" s="1"/>
  <c r="AT15" i="6" a="1"/>
  <c r="AT15" i="6" s="1"/>
  <c r="AU15" i="6" a="1"/>
  <c r="AU15" i="6" s="1"/>
  <c r="AV15" i="6" a="1"/>
  <c r="AV15" i="6" s="1"/>
  <c r="AW15" i="6" a="1"/>
  <c r="AW15" i="6" s="1"/>
  <c r="AX15" i="6" a="1"/>
  <c r="AX15" i="6" s="1"/>
  <c r="AY15" i="6" a="1"/>
  <c r="AY15" i="6" s="1"/>
  <c r="AZ15" i="6" a="1"/>
  <c r="AZ15" i="6"/>
  <c r="BA15" i="6" a="1"/>
  <c r="BA15" i="6"/>
  <c r="BB15" i="6" a="1"/>
  <c r="BB15" i="6" s="1"/>
  <c r="BC15" i="6" a="1"/>
  <c r="BC15" i="6" s="1"/>
  <c r="BD15" i="6" a="1"/>
  <c r="BD15" i="6" s="1"/>
  <c r="BE15" i="6" a="1"/>
  <c r="BE15" i="6" s="1"/>
  <c r="BF15" i="6" a="1"/>
  <c r="BF15" i="6" s="1"/>
  <c r="BG15" i="6" a="1"/>
  <c r="BG15" i="6" s="1"/>
  <c r="BH15" i="6" a="1"/>
  <c r="BH15" i="6" s="1"/>
  <c r="BI15" i="6" a="1"/>
  <c r="BI15" i="6" s="1"/>
  <c r="BJ15" i="6" a="1"/>
  <c r="BJ15" i="6" s="1"/>
  <c r="BK15" i="6" a="1"/>
  <c r="BK15" i="6" s="1"/>
  <c r="BL15" i="6" a="1"/>
  <c r="BL15" i="6" s="1"/>
  <c r="BM15" i="6" a="1"/>
  <c r="BM15" i="6"/>
  <c r="BN15" i="6" a="1"/>
  <c r="BN15" i="6" s="1"/>
  <c r="BO15" i="6" a="1"/>
  <c r="BO15" i="6"/>
  <c r="BP15" i="6" a="1"/>
  <c r="BP15" i="6" s="1"/>
  <c r="BQ15" i="6" a="1"/>
  <c r="BQ15" i="6"/>
  <c r="BR15" i="6" a="1"/>
  <c r="BR15" i="6" s="1"/>
  <c r="BS15" i="6" a="1"/>
  <c r="BS15" i="6" s="1"/>
  <c r="BT15" i="6" a="1"/>
  <c r="BT15" i="6" s="1"/>
  <c r="BU15" i="6" a="1"/>
  <c r="BU15" i="6" s="1"/>
  <c r="BV15" i="6" a="1"/>
  <c r="BV15" i="6" s="1"/>
  <c r="BW15" i="6" a="1"/>
  <c r="BW15" i="6"/>
  <c r="BX15" i="6" a="1"/>
  <c r="BX15" i="6"/>
  <c r="BY15" i="6" a="1"/>
  <c r="BY15" i="6" s="1"/>
  <c r="BZ15" i="6" a="1"/>
  <c r="BZ15" i="6" s="1"/>
  <c r="CA15" i="6" a="1"/>
  <c r="CA15" i="6" s="1"/>
  <c r="CB15" i="6" a="1"/>
  <c r="CB15" i="6" s="1"/>
  <c r="CC15" i="6" a="1"/>
  <c r="CC15" i="6" s="1"/>
  <c r="CD15" i="6" a="1"/>
  <c r="CD15" i="6" s="1"/>
  <c r="CE15" i="6" a="1"/>
  <c r="CE15" i="6" s="1"/>
  <c r="CF15" i="6" a="1"/>
  <c r="CF15" i="6"/>
  <c r="CG15" i="6" a="1"/>
  <c r="CG15" i="6" s="1"/>
  <c r="CH15" i="6" a="1"/>
  <c r="CH15" i="6" s="1"/>
  <c r="CI15" i="6" a="1"/>
  <c r="CI15" i="6" s="1"/>
  <c r="CJ15" i="6" a="1"/>
  <c r="CJ15" i="6" s="1"/>
  <c r="CK15" i="6" a="1"/>
  <c r="CK15" i="6" s="1"/>
  <c r="CL15" i="6" a="1"/>
  <c r="CL15" i="6" s="1"/>
  <c r="CM15" i="6" a="1"/>
  <c r="CM15" i="6" s="1"/>
  <c r="CN15" i="6" a="1"/>
  <c r="CN15" i="6" s="1"/>
  <c r="CO15" i="6" a="1"/>
  <c r="CO15" i="6" s="1"/>
  <c r="CP15" i="6" a="1"/>
  <c r="CP15" i="6" s="1"/>
  <c r="CQ15" i="6" a="1"/>
  <c r="CQ15" i="6" s="1"/>
  <c r="CR15" i="6" a="1"/>
  <c r="CR15" i="6" s="1"/>
  <c r="CS15" i="6" a="1"/>
  <c r="CS15" i="6" s="1"/>
  <c r="CT15" i="6" a="1"/>
  <c r="CT15" i="6" s="1"/>
  <c r="CU15" i="6" a="1"/>
  <c r="CU15" i="6" s="1"/>
  <c r="CV15" i="6" a="1"/>
  <c r="CV15" i="6" s="1"/>
  <c r="CW15" i="6" a="1"/>
  <c r="CW15" i="6" s="1"/>
  <c r="CX15" i="6" a="1"/>
  <c r="CX15" i="6" s="1"/>
  <c r="CY15" i="6" a="1"/>
  <c r="CY15" i="6" s="1"/>
  <c r="CZ15" i="6" a="1"/>
  <c r="CZ15" i="6" s="1"/>
  <c r="DA15" i="6" a="1"/>
  <c r="DA15" i="6" s="1"/>
  <c r="DB15" i="6" a="1"/>
  <c r="DB15" i="6" s="1"/>
  <c r="DC15" i="6" a="1"/>
  <c r="DC15" i="6" s="1"/>
  <c r="DD15" i="6" a="1"/>
  <c r="DD15" i="6" s="1"/>
  <c r="DE15" i="6" a="1"/>
  <c r="DE15" i="6" s="1"/>
  <c r="DF15" i="6" a="1"/>
  <c r="DF15" i="6" s="1"/>
  <c r="DG15" i="6" a="1"/>
  <c r="DG15" i="6"/>
  <c r="DH15" i="6" a="1"/>
  <c r="DH15" i="6" s="1"/>
  <c r="DI15" i="6" a="1"/>
  <c r="DI15" i="6" s="1"/>
  <c r="DJ15" i="6" a="1"/>
  <c r="DJ15" i="6" s="1"/>
  <c r="DK15" i="6" a="1"/>
  <c r="DK15" i="6" s="1"/>
  <c r="DL15" i="6" a="1"/>
  <c r="DL15" i="6" s="1"/>
  <c r="DM15" i="6" a="1"/>
  <c r="DM15" i="6" s="1"/>
  <c r="DN15" i="6" a="1"/>
  <c r="DN15" i="6" s="1"/>
  <c r="DO15" i="6" a="1"/>
  <c r="DO15" i="6" s="1"/>
  <c r="DP15" i="6" a="1"/>
  <c r="DP15" i="6" s="1"/>
  <c r="DQ15" i="6" a="1"/>
  <c r="DQ15" i="6" s="1"/>
  <c r="DR15" i="6" a="1"/>
  <c r="DR15" i="6" s="1"/>
  <c r="DS15" i="6" a="1"/>
  <c r="DS15" i="6" s="1"/>
  <c r="DT15" i="6" a="1"/>
  <c r="DT15" i="6" s="1"/>
  <c r="DU15" i="6" a="1"/>
  <c r="DU15" i="6"/>
  <c r="DV15" i="6" a="1"/>
  <c r="DV15" i="6" s="1"/>
  <c r="DW15" i="6" a="1"/>
  <c r="DW15" i="6"/>
  <c r="DX15" i="6" a="1"/>
  <c r="DX15" i="6" s="1"/>
  <c r="DY15" i="6" a="1"/>
  <c r="DY15" i="6"/>
  <c r="DZ15" i="6" a="1"/>
  <c r="DZ15" i="6" s="1"/>
  <c r="EA15" i="6" a="1"/>
  <c r="EA15" i="6" s="1"/>
  <c r="EB15" i="6" a="1"/>
  <c r="EB15" i="6" s="1"/>
  <c r="EC15" i="6" a="1"/>
  <c r="EC15" i="6" s="1"/>
  <c r="ED15" i="6" a="1"/>
  <c r="ED15" i="6" s="1"/>
  <c r="EE15" i="6" a="1"/>
  <c r="EE15" i="6" s="1"/>
  <c r="E16" i="6" a="1"/>
  <c r="E16" i="6" s="1"/>
  <c r="F16" i="6" a="1"/>
  <c r="F16" i="6" s="1"/>
  <c r="G16" i="6" a="1"/>
  <c r="G16" i="6" s="1"/>
  <c r="H16" i="6" a="1"/>
  <c r="H16" i="6"/>
  <c r="I16" i="6" a="1"/>
  <c r="I16" i="6" s="1"/>
  <c r="J16" i="6" a="1"/>
  <c r="J16" i="6" s="1"/>
  <c r="K16" i="6" a="1"/>
  <c r="K16" i="6" s="1"/>
  <c r="L16" i="6" a="1"/>
  <c r="L16" i="6" s="1"/>
  <c r="M16" i="6" a="1"/>
  <c r="M16" i="6" s="1"/>
  <c r="N16" i="6" a="1"/>
  <c r="N16" i="6" s="1"/>
  <c r="O16" i="6" a="1"/>
  <c r="O16" i="6" s="1"/>
  <c r="P16" i="6" a="1"/>
  <c r="P16" i="6" s="1"/>
  <c r="Q16" i="6" a="1"/>
  <c r="Q16" i="6"/>
  <c r="R16" i="6" a="1"/>
  <c r="R16" i="6" s="1"/>
  <c r="S16" i="6" a="1"/>
  <c r="S16" i="6" s="1"/>
  <c r="T16" i="6" a="1"/>
  <c r="T16" i="6" s="1"/>
  <c r="U16" i="6" a="1"/>
  <c r="U16" i="6"/>
  <c r="V16" i="6" a="1"/>
  <c r="V16" i="6" s="1"/>
  <c r="W16" i="6" a="1"/>
  <c r="W16" i="6" s="1"/>
  <c r="X16" i="6" a="1"/>
  <c r="X16" i="6" s="1"/>
  <c r="Y16" i="6" a="1"/>
  <c r="Y16" i="6" s="1"/>
  <c r="Z16" i="6" a="1"/>
  <c r="Z16" i="6" s="1"/>
  <c r="AA16" i="6" a="1"/>
  <c r="AA16" i="6" s="1"/>
  <c r="AB16" i="6" a="1"/>
  <c r="AB16" i="6" s="1"/>
  <c r="AC16" i="6" a="1"/>
  <c r="AC16" i="6" s="1"/>
  <c r="AD16" i="6" a="1"/>
  <c r="AD16" i="6" s="1"/>
  <c r="AE16" i="6" a="1"/>
  <c r="AE16" i="6" s="1"/>
  <c r="AF16" i="6" a="1"/>
  <c r="AF16" i="6" s="1"/>
  <c r="AG16" i="6" a="1"/>
  <c r="AG16" i="6" s="1"/>
  <c r="AH16" i="6" a="1"/>
  <c r="AH16" i="6" s="1"/>
  <c r="AI16" i="6" a="1"/>
  <c r="AI16" i="6" s="1"/>
  <c r="AJ16" i="6" a="1"/>
  <c r="AJ16" i="6" s="1"/>
  <c r="AK16" i="6" a="1"/>
  <c r="AK16" i="6"/>
  <c r="AL16" i="6" a="1"/>
  <c r="AL16" i="6" s="1"/>
  <c r="AM16" i="6" a="1"/>
  <c r="AM16" i="6" s="1"/>
  <c r="AN16" i="6" a="1"/>
  <c r="AN16" i="6" s="1"/>
  <c r="AO16" i="6" a="1"/>
  <c r="AO16" i="6"/>
  <c r="AP16" i="6" a="1"/>
  <c r="AP16" i="6" s="1"/>
  <c r="AQ16" i="6" a="1"/>
  <c r="AQ16" i="6" s="1"/>
  <c r="AR16" i="6" a="1"/>
  <c r="AR16" i="6"/>
  <c r="AS16" i="6" a="1"/>
  <c r="AS16" i="6" s="1"/>
  <c r="AT16" i="6" a="1"/>
  <c r="AT16" i="6" s="1"/>
  <c r="AU16" i="6" a="1"/>
  <c r="AU16" i="6" s="1"/>
  <c r="AV16" i="6" a="1"/>
  <c r="AV16" i="6" s="1"/>
  <c r="AW16" i="6" a="1"/>
  <c r="AW16" i="6" s="1"/>
  <c r="AX16" i="6" a="1"/>
  <c r="AX16" i="6" s="1"/>
  <c r="AY16" i="6" a="1"/>
  <c r="AY16" i="6" s="1"/>
  <c r="AZ16" i="6" a="1"/>
  <c r="AZ16" i="6" s="1"/>
  <c r="BA16" i="6" a="1"/>
  <c r="BA16" i="6"/>
  <c r="BB16" i="6" a="1"/>
  <c r="BB16" i="6" s="1"/>
  <c r="BC16" i="6" a="1"/>
  <c r="BC16" i="6" s="1"/>
  <c r="BD16" i="6" a="1"/>
  <c r="BD16" i="6" s="1"/>
  <c r="BE16" i="6" a="1"/>
  <c r="BE16" i="6" s="1"/>
  <c r="BF16" i="6" a="1"/>
  <c r="BF16" i="6" s="1"/>
  <c r="BG16" i="6" a="1"/>
  <c r="BG16" i="6" s="1"/>
  <c r="BH16" i="6" a="1"/>
  <c r="BH16" i="6"/>
  <c r="BI16" i="6" a="1"/>
  <c r="BI16" i="6" s="1"/>
  <c r="BJ16" i="6" a="1"/>
  <c r="BJ16" i="6"/>
  <c r="BK16" i="6" a="1"/>
  <c r="BK16" i="6" s="1"/>
  <c r="BL16" i="6" a="1"/>
  <c r="BL16" i="6"/>
  <c r="BM16" i="6" a="1"/>
  <c r="BM16" i="6" s="1"/>
  <c r="BN16" i="6" a="1"/>
  <c r="BN16" i="6" s="1"/>
  <c r="BO16" i="6" a="1"/>
  <c r="BO16" i="6" s="1"/>
  <c r="BP16" i="6" a="1"/>
  <c r="BP16" i="6" s="1"/>
  <c r="BQ16" i="6" a="1"/>
  <c r="BQ16" i="6" s="1"/>
  <c r="BR16" i="6" a="1"/>
  <c r="BR16" i="6" s="1"/>
  <c r="BS16" i="6" a="1"/>
  <c r="BS16" i="6" s="1"/>
  <c r="BT16" i="6" a="1"/>
  <c r="BT16" i="6" s="1"/>
  <c r="BU16" i="6" a="1"/>
  <c r="BU16" i="6"/>
  <c r="BV16" i="6" a="1"/>
  <c r="BV16" i="6" s="1"/>
  <c r="BW16" i="6" a="1"/>
  <c r="BW16" i="6" s="1"/>
  <c r="BX16" i="6" a="1"/>
  <c r="BX16" i="6" s="1"/>
  <c r="BY16" i="6" a="1"/>
  <c r="BY16" i="6" s="1"/>
  <c r="BZ16" i="6" a="1"/>
  <c r="BZ16" i="6"/>
  <c r="CA16" i="6" a="1"/>
  <c r="CA16" i="6" s="1"/>
  <c r="CB16" i="6" a="1"/>
  <c r="CB16" i="6" s="1"/>
  <c r="CC16" i="6" a="1"/>
  <c r="CC16" i="6" s="1"/>
  <c r="CD16" i="6" a="1"/>
  <c r="CD16" i="6" s="1"/>
  <c r="CE16" i="6" a="1"/>
  <c r="CE16" i="6" s="1"/>
  <c r="CF16" i="6" a="1"/>
  <c r="CF16" i="6" s="1"/>
  <c r="CG16" i="6" a="1"/>
  <c r="CG16" i="6" s="1"/>
  <c r="CH16" i="6" a="1"/>
  <c r="CH16" i="6" s="1"/>
  <c r="CI16" i="6" a="1"/>
  <c r="CI16" i="6" s="1"/>
  <c r="CJ16" i="6" a="1"/>
  <c r="CJ16" i="6" s="1"/>
  <c r="CK16" i="6" a="1"/>
  <c r="CK16" i="6" s="1"/>
  <c r="CL16" i="6" a="1"/>
  <c r="CL16" i="6" s="1"/>
  <c r="CM16" i="6" a="1"/>
  <c r="CM16" i="6" s="1"/>
  <c r="CN16" i="6" a="1"/>
  <c r="CN16" i="6" s="1"/>
  <c r="CO16" i="6" a="1"/>
  <c r="CO16" i="6" s="1"/>
  <c r="CP16" i="6" a="1"/>
  <c r="CP16" i="6" s="1"/>
  <c r="CQ16" i="6" a="1"/>
  <c r="CQ16" i="6" s="1"/>
  <c r="CR16" i="6" a="1"/>
  <c r="CR16" i="6" s="1"/>
  <c r="CS16" i="6" a="1"/>
  <c r="CS16" i="6" s="1"/>
  <c r="CT16" i="6" a="1"/>
  <c r="CT16" i="6" s="1"/>
  <c r="CU16" i="6" a="1"/>
  <c r="CU16" i="6" s="1"/>
  <c r="CV16" i="6" a="1"/>
  <c r="CV16" i="6" s="1"/>
  <c r="CW16" i="6" a="1"/>
  <c r="CW16" i="6"/>
  <c r="CX16" i="6" a="1"/>
  <c r="CX16" i="6" s="1"/>
  <c r="CY16" i="6" a="1"/>
  <c r="CY16" i="6" s="1"/>
  <c r="CZ16" i="6" a="1"/>
  <c r="CZ16" i="6" s="1"/>
  <c r="DA16" i="6" a="1"/>
  <c r="DA16" i="6"/>
  <c r="DB16" i="6" a="1"/>
  <c r="DB16" i="6" s="1"/>
  <c r="DC16" i="6" a="1"/>
  <c r="DC16" i="6" s="1"/>
  <c r="DD16" i="6" a="1"/>
  <c r="DD16" i="6"/>
  <c r="DE16" i="6" a="1"/>
  <c r="DE16" i="6" s="1"/>
  <c r="DF16" i="6" a="1"/>
  <c r="DF16" i="6"/>
  <c r="DG16" i="6" a="1"/>
  <c r="DG16" i="6" s="1"/>
  <c r="DH16" i="6" a="1"/>
  <c r="DH16" i="6" s="1"/>
  <c r="DI16" i="6" a="1"/>
  <c r="DI16" i="6" s="1"/>
  <c r="DJ16" i="6" a="1"/>
  <c r="DJ16" i="6" s="1"/>
  <c r="DK16" i="6" a="1"/>
  <c r="DK16" i="6" s="1"/>
  <c r="DL16" i="6" a="1"/>
  <c r="DL16" i="6" s="1"/>
  <c r="DM16" i="6" a="1"/>
  <c r="DM16" i="6"/>
  <c r="DN16" i="6" a="1"/>
  <c r="DN16" i="6" s="1"/>
  <c r="DO16" i="6" a="1"/>
  <c r="DO16" i="6" s="1"/>
  <c r="DP16" i="6" a="1"/>
  <c r="DP16" i="6" s="1"/>
  <c r="DQ16" i="6" a="1"/>
  <c r="DQ16" i="6" s="1"/>
  <c r="DR16" i="6" a="1"/>
  <c r="DR16" i="6" s="1"/>
  <c r="DS16" i="6" a="1"/>
  <c r="DS16" i="6" s="1"/>
  <c r="DT16" i="6" a="1"/>
  <c r="DT16" i="6"/>
  <c r="DU16" i="6" a="1"/>
  <c r="DU16" i="6" s="1"/>
  <c r="DV16" i="6" a="1"/>
  <c r="DV16" i="6" s="1"/>
  <c r="DW16" i="6" a="1"/>
  <c r="DW16" i="6" s="1"/>
  <c r="DX16" i="6" a="1"/>
  <c r="DX16" i="6" s="1"/>
  <c r="DY16" i="6" a="1"/>
  <c r="DY16" i="6"/>
  <c r="DZ16" i="6" a="1"/>
  <c r="DZ16" i="6" s="1"/>
  <c r="EA16" i="6" a="1"/>
  <c r="EA16" i="6" s="1"/>
  <c r="EB16" i="6" a="1"/>
  <c r="EB16" i="6" s="1"/>
  <c r="EC16" i="6" a="1"/>
  <c r="EC16" i="6" s="1"/>
  <c r="ED16" i="6" a="1"/>
  <c r="ED16" i="6" s="1"/>
  <c r="EE16" i="6" a="1"/>
  <c r="EE16" i="6" s="1"/>
  <c r="E17" i="6" a="1"/>
  <c r="E17" i="6" s="1"/>
  <c r="F17" i="6" a="1"/>
  <c r="F17" i="6" s="1"/>
  <c r="G17" i="6" a="1"/>
  <c r="G17" i="6" s="1"/>
  <c r="H17" i="6" a="1"/>
  <c r="H17" i="6" s="1"/>
  <c r="I17" i="6" a="1"/>
  <c r="I17" i="6"/>
  <c r="J17" i="6" a="1"/>
  <c r="J17" i="6" s="1"/>
  <c r="K17" i="6" a="1"/>
  <c r="K17" i="6" s="1"/>
  <c r="L17" i="6" a="1"/>
  <c r="L17" i="6" s="1"/>
  <c r="M17" i="6" a="1"/>
  <c r="M17" i="6" s="1"/>
  <c r="N17" i="6" a="1"/>
  <c r="N17" i="6" s="1"/>
  <c r="O17" i="6" a="1"/>
  <c r="O17" i="6" s="1"/>
  <c r="P17" i="6" a="1"/>
  <c r="P17" i="6" s="1"/>
  <c r="Q17" i="6" a="1"/>
  <c r="Q17" i="6" s="1"/>
  <c r="R17" i="6" a="1"/>
  <c r="R17" i="6"/>
  <c r="S17" i="6" a="1"/>
  <c r="S17" i="6" s="1"/>
  <c r="T17" i="6" a="1"/>
  <c r="T17" i="6" s="1"/>
  <c r="U17" i="6" a="1"/>
  <c r="U17" i="6" s="1"/>
  <c r="V17" i="6" a="1"/>
  <c r="V17" i="6" s="1"/>
  <c r="W17" i="6" a="1"/>
  <c r="W17" i="6" s="1"/>
  <c r="X17" i="6" a="1"/>
  <c r="X17" i="6" s="1"/>
  <c r="Y17" i="6" a="1"/>
  <c r="Y17" i="6" s="1"/>
  <c r="Z17" i="6" a="1"/>
  <c r="Z17" i="6" s="1"/>
  <c r="AA17" i="6" a="1"/>
  <c r="AA17" i="6" s="1"/>
  <c r="AB17" i="6" a="1"/>
  <c r="AB17" i="6" s="1"/>
  <c r="AC17" i="6" a="1"/>
  <c r="AC17" i="6" s="1"/>
  <c r="AD17" i="6" a="1"/>
  <c r="AD17" i="6" s="1"/>
  <c r="AE17" i="6" a="1"/>
  <c r="AE17" i="6" s="1"/>
  <c r="AF17" i="6" a="1"/>
  <c r="AF17" i="6" s="1"/>
  <c r="AG17" i="6" a="1"/>
  <c r="AG17" i="6" s="1"/>
  <c r="AH17" i="6" a="1"/>
  <c r="AH17" i="6"/>
  <c r="AI17" i="6" a="1"/>
  <c r="AI17" i="6" s="1"/>
  <c r="AJ17" i="6" a="1"/>
  <c r="AJ17" i="6" s="1"/>
  <c r="AK17" i="6" a="1"/>
  <c r="AK17" i="6" s="1"/>
  <c r="AL17" i="6" a="1"/>
  <c r="AL17" i="6"/>
  <c r="AM17" i="6" a="1"/>
  <c r="AM17" i="6" s="1"/>
  <c r="AN17" i="6" a="1"/>
  <c r="AN17" i="6" s="1"/>
  <c r="AO17" i="6" a="1"/>
  <c r="AO17" i="6" s="1"/>
  <c r="AP17" i="6" a="1"/>
  <c r="AP17" i="6" s="1"/>
  <c r="AQ17" i="6" a="1"/>
  <c r="AQ17" i="6"/>
  <c r="AR17" i="6" a="1"/>
  <c r="AR17" i="6" s="1"/>
  <c r="AS17" i="6" a="1"/>
  <c r="AS17" i="6" s="1"/>
  <c r="AT17" i="6" a="1"/>
  <c r="AT17" i="6" s="1"/>
  <c r="AU17" i="6" a="1"/>
  <c r="AU17" i="6"/>
  <c r="AV17" i="6" a="1"/>
  <c r="AV17" i="6" s="1"/>
  <c r="AW17" i="6" a="1"/>
  <c r="AW17" i="6"/>
  <c r="AX17" i="6" a="1"/>
  <c r="AX17" i="6" s="1"/>
  <c r="AY17" i="6" a="1"/>
  <c r="AY17" i="6" s="1"/>
  <c r="AZ17" i="6" a="1"/>
  <c r="AZ17" i="6" s="1"/>
  <c r="BA17" i="6" a="1"/>
  <c r="BA17" i="6" s="1"/>
  <c r="BB17" i="6" a="1"/>
  <c r="BB17" i="6" s="1"/>
  <c r="BC17" i="6" a="1"/>
  <c r="BC17" i="6" s="1"/>
  <c r="BD17" i="6" a="1"/>
  <c r="BD17" i="6" s="1"/>
  <c r="BE17" i="6" a="1"/>
  <c r="BE17" i="6" s="1"/>
  <c r="BF17" i="6" a="1"/>
  <c r="BF17" i="6" s="1"/>
  <c r="BG17" i="6" a="1"/>
  <c r="BG17" i="6" s="1"/>
  <c r="BH17" i="6" a="1"/>
  <c r="BH17" i="6" s="1"/>
  <c r="BI17" i="6" a="1"/>
  <c r="BI17" i="6" s="1"/>
  <c r="BJ17" i="6" a="1"/>
  <c r="BJ17" i="6" s="1"/>
  <c r="BK17" i="6" a="1"/>
  <c r="BK17" i="6" s="1"/>
  <c r="BL17" i="6" a="1"/>
  <c r="BL17" i="6" s="1"/>
  <c r="BM17" i="6" a="1"/>
  <c r="BM17" i="6" s="1"/>
  <c r="BN17" i="6" a="1"/>
  <c r="BN17" i="6" s="1"/>
  <c r="BO17" i="6" a="1"/>
  <c r="BO17" i="6" s="1"/>
  <c r="BP17" i="6" a="1"/>
  <c r="BP17" i="6" s="1"/>
  <c r="BQ17" i="6" a="1"/>
  <c r="BQ17" i="6" s="1"/>
  <c r="BR17" i="6" a="1"/>
  <c r="BR17" i="6"/>
  <c r="BS17" i="6" a="1"/>
  <c r="BS17" i="6"/>
  <c r="BT17" i="6" a="1"/>
  <c r="BT17" i="6" s="1"/>
  <c r="BU17" i="6" a="1"/>
  <c r="BU17" i="6"/>
  <c r="BV17" i="6" a="1"/>
  <c r="BV17" i="6"/>
  <c r="BW17" i="6" a="1"/>
  <c r="BW17" i="6" s="1"/>
  <c r="BX17" i="6" a="1"/>
  <c r="BX17" i="6" s="1"/>
  <c r="BY17" i="6" a="1"/>
  <c r="BY17" i="6" s="1"/>
  <c r="BZ17" i="6" a="1"/>
  <c r="BZ17" i="6" s="1"/>
  <c r="CA17" i="6" a="1"/>
  <c r="CA17" i="6"/>
  <c r="CB17" i="6" a="1"/>
  <c r="CB17" i="6" s="1"/>
  <c r="CC17" i="6" a="1"/>
  <c r="CC17" i="6"/>
  <c r="CD17" i="6" a="1"/>
  <c r="CD17" i="6"/>
  <c r="CE17" i="6" a="1"/>
  <c r="CE17" i="6" s="1"/>
  <c r="CF17" i="6" a="1"/>
  <c r="CF17" i="6" s="1"/>
  <c r="CG17" i="6" a="1"/>
  <c r="CG17" i="6" s="1"/>
  <c r="CH17" i="6" a="1"/>
  <c r="CH17" i="6" s="1"/>
  <c r="CI17" i="6" a="1"/>
  <c r="CI17" i="6" s="1"/>
  <c r="CJ17" i="6" a="1"/>
  <c r="CJ17" i="6" s="1"/>
  <c r="CK17" i="6" a="1"/>
  <c r="CK17" i="6" s="1"/>
  <c r="CL17" i="6" a="1"/>
  <c r="CL17" i="6" s="1"/>
  <c r="CM17" i="6" a="1"/>
  <c r="CM17" i="6" s="1"/>
  <c r="CN17" i="6" a="1"/>
  <c r="CN17" i="6" s="1"/>
  <c r="CO17" i="6" a="1"/>
  <c r="CO17" i="6" s="1"/>
  <c r="CP17" i="6" a="1"/>
  <c r="CP17" i="6" s="1"/>
  <c r="CQ17" i="6" a="1"/>
  <c r="CQ17" i="6" s="1"/>
  <c r="CR17" i="6" a="1"/>
  <c r="CR17" i="6"/>
  <c r="CS17" i="6" a="1"/>
  <c r="CS17" i="6" s="1"/>
  <c r="CT17" i="6" a="1"/>
  <c r="CT17" i="6"/>
  <c r="CU17" i="6" a="1"/>
  <c r="CU17" i="6" s="1"/>
  <c r="CV17" i="6" a="1"/>
  <c r="CV17" i="6" s="1"/>
  <c r="CW17" i="6" a="1"/>
  <c r="CW17" i="6"/>
  <c r="CX17" i="6" a="1"/>
  <c r="CX17" i="6" s="1"/>
  <c r="CY17" i="6" a="1"/>
  <c r="CY17" i="6" s="1"/>
  <c r="CZ17" i="6" a="1"/>
  <c r="CZ17" i="6" s="1"/>
  <c r="DA17" i="6" a="1"/>
  <c r="DA17" i="6"/>
  <c r="DB17" i="6" a="1"/>
  <c r="DB17" i="6" s="1"/>
  <c r="DC17" i="6" a="1"/>
  <c r="DC17" i="6" s="1"/>
  <c r="DD17" i="6" a="1"/>
  <c r="DD17" i="6" s="1"/>
  <c r="DE17" i="6" a="1"/>
  <c r="DE17" i="6"/>
  <c r="DF17" i="6" a="1"/>
  <c r="DF17" i="6"/>
  <c r="DG17" i="6" a="1"/>
  <c r="DG17" i="6" s="1"/>
  <c r="DH17" i="6" a="1"/>
  <c r="DH17" i="6"/>
  <c r="DI17" i="6" a="1"/>
  <c r="DI17" i="6" s="1"/>
  <c r="DJ17" i="6" a="1"/>
  <c r="DJ17" i="6" s="1"/>
  <c r="DK17" i="6" a="1"/>
  <c r="DK17" i="6" s="1"/>
  <c r="DL17" i="6" a="1"/>
  <c r="DL17" i="6" s="1"/>
  <c r="DM17" i="6" a="1"/>
  <c r="DM17" i="6" s="1"/>
  <c r="DN17" i="6" a="1"/>
  <c r="DN17" i="6" s="1"/>
  <c r="DO17" i="6" a="1"/>
  <c r="DO17" i="6" s="1"/>
  <c r="DP17" i="6" a="1"/>
  <c r="DP17" i="6" s="1"/>
  <c r="DQ17" i="6" a="1"/>
  <c r="DQ17" i="6" s="1"/>
  <c r="DR17" i="6" a="1"/>
  <c r="DR17" i="6" s="1"/>
  <c r="DS17" i="6" a="1"/>
  <c r="DS17" i="6" s="1"/>
  <c r="DT17" i="6" a="1"/>
  <c r="DT17" i="6" s="1"/>
  <c r="DU17" i="6" a="1"/>
  <c r="DU17" i="6" s="1"/>
  <c r="DV17" i="6" a="1"/>
  <c r="DV17" i="6"/>
  <c r="DW17" i="6" a="1"/>
  <c r="DW17" i="6" s="1"/>
  <c r="DX17" i="6" a="1"/>
  <c r="DX17" i="6" s="1"/>
  <c r="DY17" i="6" a="1"/>
  <c r="DY17" i="6" s="1"/>
  <c r="DZ17" i="6" a="1"/>
  <c r="DZ17" i="6"/>
  <c r="EA17" i="6" a="1"/>
  <c r="EA17" i="6" s="1"/>
  <c r="EB17" i="6" a="1"/>
  <c r="EB17" i="6" s="1"/>
  <c r="EC17" i="6" a="1"/>
  <c r="EC17" i="6" s="1"/>
  <c r="ED17" i="6" a="1"/>
  <c r="ED17" i="6" s="1"/>
  <c r="EE17" i="6" a="1"/>
  <c r="EE17" i="6" s="1"/>
  <c r="E18" i="6" a="1"/>
  <c r="E18" i="6" s="1"/>
  <c r="F18" i="6" a="1"/>
  <c r="F18" i="6" s="1"/>
  <c r="G18" i="6" a="1"/>
  <c r="G18" i="6" s="1"/>
  <c r="H18" i="6" a="1"/>
  <c r="H18" i="6" s="1"/>
  <c r="I18" i="6" a="1"/>
  <c r="I18" i="6" s="1"/>
  <c r="J18" i="6" a="1"/>
  <c r="J18" i="6"/>
  <c r="K18" i="6" a="1"/>
  <c r="K18" i="6" s="1"/>
  <c r="L18" i="6" a="1"/>
  <c r="L18" i="6" s="1"/>
  <c r="M18" i="6" a="1"/>
  <c r="M18" i="6" s="1"/>
  <c r="N18" i="6" a="1"/>
  <c r="N18" i="6" s="1"/>
  <c r="O18" i="6" a="1"/>
  <c r="O18" i="6"/>
  <c r="P18" i="6" a="1"/>
  <c r="P18" i="6" s="1"/>
  <c r="Q18" i="6" a="1"/>
  <c r="Q18" i="6" s="1"/>
  <c r="R18" i="6" a="1"/>
  <c r="R18" i="6"/>
  <c r="S18" i="6" a="1"/>
  <c r="S18" i="6" s="1"/>
  <c r="T18" i="6" a="1"/>
  <c r="T18" i="6" s="1"/>
  <c r="U18" i="6" a="1"/>
  <c r="U18" i="6" s="1"/>
  <c r="V18" i="6" a="1"/>
  <c r="V18" i="6" s="1"/>
  <c r="W18" i="6" a="1"/>
  <c r="W18" i="6" s="1"/>
  <c r="X18" i="6" a="1"/>
  <c r="X18" i="6" s="1"/>
  <c r="Y18" i="6" a="1"/>
  <c r="Y18" i="6" s="1"/>
  <c r="Z18" i="6" a="1"/>
  <c r="Z18" i="6" s="1"/>
  <c r="AA18" i="6" a="1"/>
  <c r="AA18" i="6" s="1"/>
  <c r="AB18" i="6" a="1"/>
  <c r="AB18" i="6" s="1"/>
  <c r="AC18" i="6" a="1"/>
  <c r="AC18" i="6"/>
  <c r="AD18" i="6" a="1"/>
  <c r="AD18" i="6" s="1"/>
  <c r="AE18" i="6" a="1"/>
  <c r="AE18" i="6"/>
  <c r="AF18" i="6" a="1"/>
  <c r="AF18" i="6" s="1"/>
  <c r="AG18" i="6" a="1"/>
  <c r="AG18" i="6" s="1"/>
  <c r="AH18" i="6" a="1"/>
  <c r="AH18" i="6"/>
  <c r="AI18" i="6" a="1"/>
  <c r="AI18" i="6" s="1"/>
  <c r="AJ18" i="6" a="1"/>
  <c r="AJ18" i="6" s="1"/>
  <c r="AK18" i="6" a="1"/>
  <c r="AK18" i="6" s="1"/>
  <c r="AL18" i="6" a="1"/>
  <c r="AL18" i="6" s="1"/>
  <c r="AM18" i="6" a="1"/>
  <c r="AM18" i="6" s="1"/>
  <c r="AN18" i="6" a="1"/>
  <c r="AN18" i="6" s="1"/>
  <c r="AO18" i="6" a="1"/>
  <c r="AO18" i="6"/>
  <c r="AP18" i="6" a="1"/>
  <c r="AP18" i="6" s="1"/>
  <c r="AQ18" i="6" a="1"/>
  <c r="AQ18" i="6"/>
  <c r="AR18" i="6" a="1"/>
  <c r="AR18" i="6" s="1"/>
  <c r="AS18" i="6" a="1"/>
  <c r="AS18" i="6" s="1"/>
  <c r="AT18" i="6" a="1"/>
  <c r="AT18" i="6" s="1"/>
  <c r="AU18" i="6" a="1"/>
  <c r="AU18" i="6" s="1"/>
  <c r="AV18" i="6" a="1"/>
  <c r="AV18" i="6" s="1"/>
  <c r="AW18" i="6" a="1"/>
  <c r="AW18" i="6"/>
  <c r="AX18" i="6" a="1"/>
  <c r="AX18" i="6" s="1"/>
  <c r="AY18" i="6" a="1"/>
  <c r="AY18" i="6"/>
  <c r="AZ18" i="6" a="1"/>
  <c r="AZ18" i="6" s="1"/>
  <c r="BA18" i="6" a="1"/>
  <c r="BA18" i="6" s="1"/>
  <c r="BB18" i="6" a="1"/>
  <c r="BB18" i="6" s="1"/>
  <c r="BC18" i="6" a="1"/>
  <c r="BC18" i="6" s="1"/>
  <c r="BD18" i="6" a="1"/>
  <c r="BD18" i="6" s="1"/>
  <c r="BE18" i="6" a="1"/>
  <c r="BE18" i="6" s="1"/>
  <c r="BF18" i="6" a="1"/>
  <c r="BF18" i="6"/>
  <c r="BG18" i="6" a="1"/>
  <c r="BG18" i="6" s="1"/>
  <c r="BH18" i="6" a="1"/>
  <c r="BH18" i="6" s="1"/>
  <c r="BI18" i="6" a="1"/>
  <c r="BI18" i="6" s="1"/>
  <c r="BJ18" i="6" a="1"/>
  <c r="BJ18" i="6" s="1"/>
  <c r="BK18" i="6" a="1"/>
  <c r="BK18" i="6" s="1"/>
  <c r="BL18" i="6" a="1"/>
  <c r="BL18" i="6" s="1"/>
  <c r="BM18" i="6" a="1"/>
  <c r="BM18" i="6" s="1"/>
  <c r="BN18" i="6" a="1"/>
  <c r="BN18" i="6"/>
  <c r="BO18" i="6" a="1"/>
  <c r="BO18" i="6" s="1"/>
  <c r="BP18" i="6" a="1"/>
  <c r="BP18" i="6" s="1"/>
  <c r="BQ18" i="6" a="1"/>
  <c r="BQ18" i="6" s="1"/>
  <c r="BR18" i="6" a="1"/>
  <c r="BR18" i="6" s="1"/>
  <c r="BS18" i="6" a="1"/>
  <c r="BS18" i="6" s="1"/>
  <c r="BT18" i="6" a="1"/>
  <c r="BT18" i="6" s="1"/>
  <c r="BU18" i="6" a="1"/>
  <c r="BU18" i="6" s="1"/>
  <c r="BV18" i="6" a="1"/>
  <c r="BV18" i="6" s="1"/>
  <c r="BW18" i="6" a="1"/>
  <c r="BW18" i="6"/>
  <c r="BX18" i="6" a="1"/>
  <c r="BX18" i="6" s="1"/>
  <c r="BY18" i="6" a="1"/>
  <c r="BY18" i="6" s="1"/>
  <c r="BZ18" i="6" a="1"/>
  <c r="BZ18" i="6" s="1"/>
  <c r="CA18" i="6" a="1"/>
  <c r="CA18" i="6" s="1"/>
  <c r="CB18" i="6" a="1"/>
  <c r="CB18" i="6" s="1"/>
  <c r="CC18" i="6" a="1"/>
  <c r="CC18" i="6" s="1"/>
  <c r="CD18" i="6" a="1"/>
  <c r="CD18" i="6"/>
  <c r="CE18" i="6" a="1"/>
  <c r="CE18" i="6" s="1"/>
  <c r="CF18" i="6" a="1"/>
  <c r="CF18" i="6" s="1"/>
  <c r="CG18" i="6" a="1"/>
  <c r="CG18" i="6"/>
  <c r="CH18" i="6" a="1"/>
  <c r="CH18" i="6" s="1"/>
  <c r="CI18" i="6" a="1"/>
  <c r="CI18" i="6" s="1"/>
  <c r="CJ18" i="6" a="1"/>
  <c r="CJ18" i="6" s="1"/>
  <c r="CK18" i="6" a="1"/>
  <c r="CK18" i="6" s="1"/>
  <c r="CL18" i="6" a="1"/>
  <c r="CL18" i="6" s="1"/>
  <c r="CM18" i="6" a="1"/>
  <c r="CM18" i="6"/>
  <c r="CN18" i="6" a="1"/>
  <c r="CN18" i="6" s="1"/>
  <c r="CO18" i="6" a="1"/>
  <c r="CO18" i="6" s="1"/>
  <c r="CP18" i="6" a="1"/>
  <c r="CP18" i="6"/>
  <c r="CQ18" i="6" a="1"/>
  <c r="CQ18" i="6" s="1"/>
  <c r="CR18" i="6" a="1"/>
  <c r="CR18" i="6" s="1"/>
  <c r="CS18" i="6" a="1"/>
  <c r="CS18" i="6"/>
  <c r="CT18" i="6" a="1"/>
  <c r="CT18" i="6" s="1"/>
  <c r="CU18" i="6" a="1"/>
  <c r="CU18" i="6" s="1"/>
  <c r="CV18" i="6" a="1"/>
  <c r="CV18" i="6" s="1"/>
  <c r="CW18" i="6" a="1"/>
  <c r="CW18" i="6" s="1"/>
  <c r="CX18" i="6" a="1"/>
  <c r="CX18" i="6" s="1"/>
  <c r="CY18" i="6" a="1"/>
  <c r="CY18" i="6" s="1"/>
  <c r="CZ18" i="6" a="1"/>
  <c r="CZ18" i="6" s="1"/>
  <c r="DA18" i="6" a="1"/>
  <c r="DA18" i="6" s="1"/>
  <c r="DB18" i="6" a="1"/>
  <c r="DB18" i="6"/>
  <c r="DC18" i="6" a="1"/>
  <c r="DC18" i="6" s="1"/>
  <c r="DD18" i="6" a="1"/>
  <c r="DD18" i="6" s="1"/>
  <c r="DE18" i="6" a="1"/>
  <c r="DE18" i="6" s="1"/>
  <c r="DF18" i="6" a="1"/>
  <c r="DF18" i="6" s="1"/>
  <c r="DG18" i="6" a="1"/>
  <c r="DG18" i="6" s="1"/>
  <c r="DH18" i="6" a="1"/>
  <c r="DH18" i="6" s="1"/>
  <c r="DI18" i="6" a="1"/>
  <c r="DI18" i="6" s="1"/>
  <c r="DJ18" i="6" a="1"/>
  <c r="DJ18" i="6" s="1"/>
  <c r="DK18" i="6" a="1"/>
  <c r="DK18" i="6" s="1"/>
  <c r="DL18" i="6" a="1"/>
  <c r="DL18" i="6" s="1"/>
  <c r="DM18" i="6" a="1"/>
  <c r="DM18" i="6" s="1"/>
  <c r="DN18" i="6" a="1"/>
  <c r="DN18" i="6" s="1"/>
  <c r="DO18" i="6" a="1"/>
  <c r="DO18" i="6" s="1"/>
  <c r="DP18" i="6" a="1"/>
  <c r="DP18" i="6" s="1"/>
  <c r="DQ18" i="6" a="1"/>
  <c r="DQ18" i="6" s="1"/>
  <c r="DR18" i="6" a="1"/>
  <c r="DR18" i="6" s="1"/>
  <c r="DS18" i="6" a="1"/>
  <c r="DS18" i="6" s="1"/>
  <c r="DT18" i="6" a="1"/>
  <c r="DT18" i="6" s="1"/>
  <c r="DU18" i="6" a="1"/>
  <c r="DU18" i="6" s="1"/>
  <c r="DV18" i="6" a="1"/>
  <c r="DV18" i="6" s="1"/>
  <c r="DW18" i="6" a="1"/>
  <c r="DW18" i="6" s="1"/>
  <c r="DX18" i="6" a="1"/>
  <c r="DX18" i="6" s="1"/>
  <c r="DY18" i="6" a="1"/>
  <c r="DY18" i="6" s="1"/>
  <c r="DZ18" i="6" a="1"/>
  <c r="DZ18" i="6" s="1"/>
  <c r="EA18" i="6" a="1"/>
  <c r="EA18" i="6" s="1"/>
  <c r="EB18" i="6" a="1"/>
  <c r="EB18" i="6" s="1"/>
  <c r="EC18" i="6" a="1"/>
  <c r="EC18" i="6" s="1"/>
  <c r="ED18" i="6" a="1"/>
  <c r="ED18" i="6" s="1"/>
  <c r="EE18" i="6" a="1"/>
  <c r="EE18" i="6" s="1"/>
  <c r="E19" i="6" a="1"/>
  <c r="E19" i="6" s="1"/>
  <c r="F19" i="6" a="1"/>
  <c r="F19" i="6"/>
  <c r="G19" i="6" a="1"/>
  <c r="G19" i="6" s="1"/>
  <c r="H19" i="6" a="1"/>
  <c r="H19" i="6" s="1"/>
  <c r="I19" i="6" a="1"/>
  <c r="I19" i="6" s="1"/>
  <c r="J19" i="6" a="1"/>
  <c r="J19" i="6" s="1"/>
  <c r="K19" i="6" a="1"/>
  <c r="K19" i="6" s="1"/>
  <c r="L19" i="6" a="1"/>
  <c r="L19" i="6" s="1"/>
  <c r="M19" i="6" a="1"/>
  <c r="M19" i="6" s="1"/>
  <c r="N19" i="6" a="1"/>
  <c r="N19" i="6" s="1"/>
  <c r="O19" i="6" a="1"/>
  <c r="O19" i="6"/>
  <c r="P19" i="6" a="1"/>
  <c r="P19" i="6" s="1"/>
  <c r="Q19" i="6" a="1"/>
  <c r="Q19" i="6" s="1"/>
  <c r="R19" i="6" a="1"/>
  <c r="R19" i="6"/>
  <c r="S19" i="6" a="1"/>
  <c r="S19" i="6" s="1"/>
  <c r="T19" i="6" a="1"/>
  <c r="T19" i="6" s="1"/>
  <c r="U19" i="6" a="1"/>
  <c r="U19" i="6" s="1"/>
  <c r="V19" i="6" a="1"/>
  <c r="V19" i="6" s="1"/>
  <c r="W19" i="6" a="1"/>
  <c r="W19" i="6" s="1"/>
  <c r="X19" i="6" a="1"/>
  <c r="X19" i="6"/>
  <c r="Y19" i="6" a="1"/>
  <c r="Y19" i="6" s="1"/>
  <c r="Z19" i="6" a="1"/>
  <c r="Z19" i="6" s="1"/>
  <c r="AA19" i="6" a="1"/>
  <c r="AA19" i="6"/>
  <c r="AB19" i="6" a="1"/>
  <c r="AB19" i="6" s="1"/>
  <c r="AC19" i="6" a="1"/>
  <c r="AC19" i="6" s="1"/>
  <c r="AD19" i="6" a="1"/>
  <c r="AD19" i="6"/>
  <c r="AE19" i="6" a="1"/>
  <c r="AE19" i="6" s="1"/>
  <c r="AF19" i="6" a="1"/>
  <c r="AF19" i="6" s="1"/>
  <c r="AG19" i="6" a="1"/>
  <c r="AG19" i="6" s="1"/>
  <c r="AH19" i="6" a="1"/>
  <c r="AH19" i="6" s="1"/>
  <c r="AI19" i="6" a="1"/>
  <c r="AI19" i="6" s="1"/>
  <c r="AJ19" i="6" a="1"/>
  <c r="AJ19" i="6" s="1"/>
  <c r="AK19" i="6" a="1"/>
  <c r="AK19" i="6" s="1"/>
  <c r="AL19" i="6" a="1"/>
  <c r="AL19" i="6" s="1"/>
  <c r="AM19" i="6" a="1"/>
  <c r="AM19" i="6" s="1"/>
  <c r="AN19" i="6" a="1"/>
  <c r="AN19" i="6" s="1"/>
  <c r="AO19" i="6" a="1"/>
  <c r="AO19" i="6" s="1"/>
  <c r="AP19" i="6" a="1"/>
  <c r="AP19" i="6" s="1"/>
  <c r="AQ19" i="6" a="1"/>
  <c r="AQ19" i="6"/>
  <c r="AR19" i="6" a="1"/>
  <c r="AR19" i="6" s="1"/>
  <c r="AS19" i="6" a="1"/>
  <c r="AS19" i="6" s="1"/>
  <c r="AT19" i="6" a="1"/>
  <c r="AT19" i="6"/>
  <c r="AU19" i="6" a="1"/>
  <c r="AU19" i="6" s="1"/>
  <c r="AV19" i="6" a="1"/>
  <c r="AV19" i="6" s="1"/>
  <c r="AW19" i="6" a="1"/>
  <c r="AW19" i="6" s="1"/>
  <c r="AX19" i="6" a="1"/>
  <c r="AX19" i="6"/>
  <c r="AY19" i="6" a="1"/>
  <c r="AY19" i="6" s="1"/>
  <c r="AZ19" i="6" a="1"/>
  <c r="AZ19" i="6"/>
  <c r="BA19" i="6" a="1"/>
  <c r="BA19" i="6" s="1"/>
  <c r="BB19" i="6" a="1"/>
  <c r="BB19" i="6" s="1"/>
  <c r="BC19" i="6" a="1"/>
  <c r="BC19" i="6"/>
  <c r="BD19" i="6" a="1"/>
  <c r="BD19" i="6" s="1"/>
  <c r="BE19" i="6" a="1"/>
  <c r="BE19" i="6" s="1"/>
  <c r="BF19" i="6" a="1"/>
  <c r="BF19" i="6" s="1"/>
  <c r="BG19" i="6" a="1"/>
  <c r="BG19" i="6" s="1"/>
  <c r="BH19" i="6" a="1"/>
  <c r="BH19" i="6" s="1"/>
  <c r="BI19" i="6" a="1"/>
  <c r="BI19" i="6" s="1"/>
  <c r="BJ19" i="6" a="1"/>
  <c r="BJ19" i="6"/>
  <c r="BK19" i="6" a="1"/>
  <c r="BK19" i="6" s="1"/>
  <c r="BL19" i="6" a="1"/>
  <c r="BL19" i="6"/>
  <c r="BM19" i="6" a="1"/>
  <c r="BM19" i="6" s="1"/>
  <c r="BN19" i="6" a="1"/>
  <c r="BN19" i="6"/>
  <c r="BO19" i="6" a="1"/>
  <c r="BO19" i="6" s="1"/>
  <c r="BP19" i="6" a="1"/>
  <c r="BP19" i="6" s="1"/>
  <c r="BQ19" i="6" a="1"/>
  <c r="BQ19" i="6" s="1"/>
  <c r="BR19" i="6" a="1"/>
  <c r="BR19" i="6" s="1"/>
  <c r="BS19" i="6" a="1"/>
  <c r="BS19" i="6" s="1"/>
  <c r="BT19" i="6" a="1"/>
  <c r="BT19" i="6" s="1"/>
  <c r="BU19" i="6" a="1"/>
  <c r="BU19" i="6" s="1"/>
  <c r="BV19" i="6" a="1"/>
  <c r="BV19" i="6" s="1"/>
  <c r="BW19" i="6" a="1"/>
  <c r="BW19" i="6"/>
  <c r="BX19" i="6" a="1"/>
  <c r="BX19" i="6" s="1"/>
  <c r="BY19" i="6" a="1"/>
  <c r="BY19" i="6" s="1"/>
  <c r="BZ19" i="6" a="1"/>
  <c r="BZ19" i="6"/>
  <c r="CA19" i="6" a="1"/>
  <c r="CA19" i="6" s="1"/>
  <c r="CB19" i="6" a="1"/>
  <c r="CB19" i="6" s="1"/>
  <c r="CC19" i="6" a="1"/>
  <c r="CC19" i="6" s="1"/>
  <c r="CD19" i="6" a="1"/>
  <c r="CD19" i="6" s="1"/>
  <c r="CE19" i="6" a="1"/>
  <c r="CE19" i="6" s="1"/>
  <c r="CF19" i="6" a="1"/>
  <c r="CF19" i="6"/>
  <c r="CG19" i="6" a="1"/>
  <c r="CG19" i="6" s="1"/>
  <c r="CH19" i="6" a="1"/>
  <c r="CH19" i="6" s="1"/>
  <c r="CI19" i="6" a="1"/>
  <c r="CI19" i="6"/>
  <c r="CJ19" i="6" a="1"/>
  <c r="CJ19" i="6" s="1"/>
  <c r="CK19" i="6" a="1"/>
  <c r="CK19" i="6" s="1"/>
  <c r="CL19" i="6" a="1"/>
  <c r="CL19" i="6" s="1"/>
  <c r="CM19" i="6" a="1"/>
  <c r="CM19" i="6"/>
  <c r="CN19" i="6" a="1"/>
  <c r="CN19" i="6" s="1"/>
  <c r="CO19" i="6" a="1"/>
  <c r="CO19" i="6" s="1"/>
  <c r="CP19" i="6" a="1"/>
  <c r="CP19" i="6" s="1"/>
  <c r="CQ19" i="6" a="1"/>
  <c r="CQ19" i="6" s="1"/>
  <c r="CR19" i="6" a="1"/>
  <c r="CR19" i="6"/>
  <c r="CS19" i="6" a="1"/>
  <c r="CS19" i="6" s="1"/>
  <c r="CT19" i="6" a="1"/>
  <c r="CT19" i="6"/>
  <c r="CU19" i="6" a="1"/>
  <c r="CU19" i="6" s="1"/>
  <c r="CV19" i="6" a="1"/>
  <c r="CV19" i="6" s="1"/>
  <c r="CW19" i="6" a="1"/>
  <c r="CW19" i="6" s="1"/>
  <c r="CX19" i="6" a="1"/>
  <c r="CX19" i="6" s="1"/>
  <c r="CY19" i="6" a="1"/>
  <c r="CY19" i="6" s="1"/>
  <c r="CZ19" i="6" a="1"/>
  <c r="CZ19" i="6" s="1"/>
  <c r="DA19" i="6" a="1"/>
  <c r="DA19" i="6" s="1"/>
  <c r="DB19" i="6" a="1"/>
  <c r="DB19" i="6" s="1"/>
  <c r="DC19" i="6" a="1"/>
  <c r="DC19" i="6" s="1"/>
  <c r="DD19" i="6" a="1"/>
  <c r="DD19" i="6" s="1"/>
  <c r="DE19" i="6" a="1"/>
  <c r="DE19" i="6" s="1"/>
  <c r="DF19" i="6" a="1"/>
  <c r="DF19" i="6" s="1"/>
  <c r="DG19" i="6" a="1"/>
  <c r="DG19" i="6" s="1"/>
  <c r="DH19" i="6" a="1"/>
  <c r="DH19" i="6" s="1"/>
  <c r="DI19" i="6" a="1"/>
  <c r="DI19" i="6" s="1"/>
  <c r="DJ19" i="6" a="1"/>
  <c r="DJ19" i="6"/>
  <c r="DK19" i="6" a="1"/>
  <c r="DK19" i="6" s="1"/>
  <c r="DL19" i="6" a="1"/>
  <c r="DL19" i="6" s="1"/>
  <c r="DM19" i="6" a="1"/>
  <c r="DM19" i="6" s="1"/>
  <c r="DN19" i="6" a="1"/>
  <c r="DN19" i="6" s="1"/>
  <c r="DO19" i="6" a="1"/>
  <c r="DO19" i="6" s="1"/>
  <c r="DP19" i="6" a="1"/>
  <c r="DP19" i="6" s="1"/>
  <c r="DQ19" i="6" a="1"/>
  <c r="DQ19" i="6" s="1"/>
  <c r="DR19" i="6" a="1"/>
  <c r="DR19" i="6" s="1"/>
  <c r="DS19" i="6" a="1"/>
  <c r="DS19" i="6"/>
  <c r="DT19" i="6" a="1"/>
  <c r="DT19" i="6" s="1"/>
  <c r="DU19" i="6" a="1"/>
  <c r="DU19" i="6" s="1"/>
  <c r="DV19" i="6" a="1"/>
  <c r="DV19" i="6" s="1"/>
  <c r="DW19" i="6" a="1"/>
  <c r="DW19" i="6" s="1"/>
  <c r="DX19" i="6" a="1"/>
  <c r="DX19" i="6" s="1"/>
  <c r="DY19" i="6" a="1"/>
  <c r="DY19" i="6" s="1"/>
  <c r="DZ19" i="6" a="1"/>
  <c r="DZ19" i="6" s="1"/>
  <c r="EA19" i="6" a="1"/>
  <c r="EA19" i="6" s="1"/>
  <c r="EB19" i="6" a="1"/>
  <c r="EB19" i="6" s="1"/>
  <c r="EC19" i="6" a="1"/>
  <c r="EC19" i="6" s="1"/>
  <c r="ED19" i="6" a="1"/>
  <c r="ED19" i="6" s="1"/>
  <c r="EE19" i="6" a="1"/>
  <c r="EE19" i="6"/>
  <c r="E20" i="6" a="1"/>
  <c r="E20" i="6" s="1"/>
  <c r="F20" i="6" a="1"/>
  <c r="F20" i="6" s="1"/>
  <c r="G20" i="6" a="1"/>
  <c r="G20" i="6" s="1"/>
  <c r="H20" i="6" a="1"/>
  <c r="H20" i="6" s="1"/>
  <c r="I20" i="6" a="1"/>
  <c r="I20" i="6" s="1"/>
  <c r="J20" i="6" a="1"/>
  <c r="J20" i="6" s="1"/>
  <c r="K20" i="6" a="1"/>
  <c r="K20" i="6"/>
  <c r="L20" i="6" a="1"/>
  <c r="L20" i="6" s="1"/>
  <c r="M20" i="6" a="1"/>
  <c r="M20" i="6" s="1"/>
  <c r="N20" i="6" a="1"/>
  <c r="N20" i="6" s="1"/>
  <c r="O20" i="6" a="1"/>
  <c r="O20" i="6" s="1"/>
  <c r="P20" i="6" a="1"/>
  <c r="P20" i="6" s="1"/>
  <c r="Q20" i="6" a="1"/>
  <c r="Q20" i="6" s="1"/>
  <c r="R20" i="6" a="1"/>
  <c r="R20" i="6" s="1"/>
  <c r="S20" i="6" a="1"/>
  <c r="S20" i="6" s="1"/>
  <c r="T20" i="6" a="1"/>
  <c r="T20" i="6"/>
  <c r="U20" i="6" a="1"/>
  <c r="U20" i="6" s="1"/>
  <c r="V20" i="6" a="1"/>
  <c r="V20" i="6" s="1"/>
  <c r="W20" i="6" a="1"/>
  <c r="W20" i="6" s="1"/>
  <c r="X20" i="6" a="1"/>
  <c r="X20" i="6" s="1"/>
  <c r="Y20" i="6" a="1"/>
  <c r="Y20" i="6" s="1"/>
  <c r="Z20" i="6" a="1"/>
  <c r="Z20" i="6" s="1"/>
  <c r="AA20" i="6" a="1"/>
  <c r="AA20" i="6" s="1"/>
  <c r="AB20" i="6" a="1"/>
  <c r="AB20" i="6" s="1"/>
  <c r="AC20" i="6" a="1"/>
  <c r="AC20" i="6"/>
  <c r="AD20" i="6" a="1"/>
  <c r="AD20" i="6" s="1"/>
  <c r="AE20" i="6" a="1"/>
  <c r="AE20" i="6" s="1"/>
  <c r="AF20" i="6" a="1"/>
  <c r="AF20" i="6" s="1"/>
  <c r="AG20" i="6" a="1"/>
  <c r="AG20" i="6" s="1"/>
  <c r="AH20" i="6" a="1"/>
  <c r="AH20" i="6" s="1"/>
  <c r="AI20" i="6" a="1"/>
  <c r="AI20" i="6" s="1"/>
  <c r="AJ20" i="6" a="1"/>
  <c r="AJ20" i="6" s="1"/>
  <c r="AK20" i="6" a="1"/>
  <c r="AK20" i="6" s="1"/>
  <c r="AL20" i="6" a="1"/>
  <c r="AL20" i="6" s="1"/>
  <c r="AM20" i="6" a="1"/>
  <c r="AM20" i="6" s="1"/>
  <c r="AN20" i="6" a="1"/>
  <c r="AN20" i="6" s="1"/>
  <c r="AO20" i="6" a="1"/>
  <c r="AO20" i="6" s="1"/>
  <c r="AP20" i="6" a="1"/>
  <c r="AP20" i="6" s="1"/>
  <c r="AQ20" i="6" a="1"/>
  <c r="AQ20" i="6" s="1"/>
  <c r="AR20" i="6" a="1"/>
  <c r="AR20" i="6" s="1"/>
  <c r="AS20" i="6" a="1"/>
  <c r="AS20" i="6" s="1"/>
  <c r="AT20" i="6" a="1"/>
  <c r="AT20" i="6" s="1"/>
  <c r="AU20" i="6" a="1"/>
  <c r="AU20" i="6"/>
  <c r="AV20" i="6" a="1"/>
  <c r="AV20" i="6" s="1"/>
  <c r="AW20" i="6" a="1"/>
  <c r="AW20" i="6" s="1"/>
  <c r="AX20" i="6" a="1"/>
  <c r="AX20" i="6" s="1"/>
  <c r="AY20" i="6" a="1"/>
  <c r="AY20" i="6"/>
  <c r="AZ20" i="6" a="1"/>
  <c r="AZ20" i="6"/>
  <c r="BA20" i="6" a="1"/>
  <c r="BA20" i="6" s="1"/>
  <c r="BB20" i="6" a="1"/>
  <c r="BB20" i="6" s="1"/>
  <c r="BC20" i="6" a="1"/>
  <c r="BC20" i="6" s="1"/>
  <c r="BD20" i="6" a="1"/>
  <c r="BD20" i="6"/>
  <c r="BE20" i="6" a="1"/>
  <c r="BE20" i="6" s="1"/>
  <c r="BF20" i="6" a="1"/>
  <c r="BF20" i="6" s="1"/>
  <c r="BG20" i="6" a="1"/>
  <c r="BG20" i="6"/>
  <c r="BH20" i="6" a="1"/>
  <c r="BH20" i="6" s="1"/>
  <c r="BI20" i="6" a="1"/>
  <c r="BI20" i="6"/>
  <c r="BJ20" i="6" a="1"/>
  <c r="BJ20" i="6" s="1"/>
  <c r="BK20" i="6" a="1"/>
  <c r="BK20" i="6"/>
  <c r="BL20" i="6" a="1"/>
  <c r="BL20" i="6" s="1"/>
  <c r="BM20" i="6" a="1"/>
  <c r="BM20" i="6" s="1"/>
  <c r="BN20" i="6" a="1"/>
  <c r="BN20" i="6" s="1"/>
  <c r="BO20" i="6" a="1"/>
  <c r="BO20" i="6"/>
  <c r="BP20" i="6" a="1"/>
  <c r="BP20" i="6" s="1"/>
  <c r="BQ20" i="6" a="1"/>
  <c r="BQ20" i="6" s="1"/>
  <c r="BR20" i="6" a="1"/>
  <c r="BR20" i="6" s="1"/>
  <c r="BS20" i="6" a="1"/>
  <c r="BS20" i="6" s="1"/>
  <c r="BT20" i="6" a="1"/>
  <c r="BT20" i="6"/>
  <c r="BU20" i="6" a="1"/>
  <c r="BU20" i="6" s="1"/>
  <c r="BV20" i="6" a="1"/>
  <c r="BV20" i="6" s="1"/>
  <c r="BW20" i="6" a="1"/>
  <c r="BW20" i="6" s="1"/>
  <c r="BX20" i="6" a="1"/>
  <c r="BX20" i="6"/>
  <c r="BY20" i="6" a="1"/>
  <c r="BY20" i="6"/>
  <c r="BZ20" i="6" a="1"/>
  <c r="BZ20" i="6" s="1"/>
  <c r="CA20" i="6" a="1"/>
  <c r="CA20" i="6"/>
  <c r="CB20" i="6" a="1"/>
  <c r="CB20" i="6" s="1"/>
  <c r="CC20" i="6" a="1"/>
  <c r="CC20" i="6"/>
  <c r="CD20" i="6" a="1"/>
  <c r="CD20" i="6" s="1"/>
  <c r="CE20" i="6" a="1"/>
  <c r="CE20" i="6" s="1"/>
  <c r="CF20" i="6" a="1"/>
  <c r="CF20" i="6" s="1"/>
  <c r="CG20" i="6" a="1"/>
  <c r="CG20" i="6" s="1"/>
  <c r="CH20" i="6" a="1"/>
  <c r="CH20" i="6" s="1"/>
  <c r="CI20" i="6" a="1"/>
  <c r="CI20" i="6" s="1"/>
  <c r="CJ20" i="6" a="1"/>
  <c r="CJ20" i="6"/>
  <c r="CK20" i="6" a="1"/>
  <c r="CK20" i="6" s="1"/>
  <c r="CL20" i="6" a="1"/>
  <c r="CL20" i="6" s="1"/>
  <c r="CM20" i="6" a="1"/>
  <c r="CM20" i="6" s="1"/>
  <c r="CN20" i="6" a="1"/>
  <c r="CN20" i="6" s="1"/>
  <c r="CO20" i="6" a="1"/>
  <c r="CO20" i="6"/>
  <c r="CP20" i="6" a="1"/>
  <c r="CP20" i="6" s="1"/>
  <c r="CQ20" i="6" a="1"/>
  <c r="CQ20" i="6" s="1"/>
  <c r="CR20" i="6" a="1"/>
  <c r="CR20" i="6" s="1"/>
  <c r="CS20" i="6" a="1"/>
  <c r="CS20" i="6" s="1"/>
  <c r="CT20" i="6" a="1"/>
  <c r="CT20" i="6" s="1"/>
  <c r="CU20" i="6" a="1"/>
  <c r="CU20" i="6" s="1"/>
  <c r="CV20" i="6" a="1"/>
  <c r="CV20" i="6" s="1"/>
  <c r="CW20" i="6" a="1"/>
  <c r="CW20" i="6" s="1"/>
  <c r="CX20" i="6" a="1"/>
  <c r="CX20" i="6" s="1"/>
  <c r="CY20" i="6" a="1"/>
  <c r="CY20" i="6" s="1"/>
  <c r="CZ20" i="6" a="1"/>
  <c r="CZ20" i="6"/>
  <c r="DA20" i="6" a="1"/>
  <c r="DA20" i="6" s="1"/>
  <c r="DB20" i="6" a="1"/>
  <c r="DB20" i="6" s="1"/>
  <c r="DC20" i="6" a="1"/>
  <c r="DC20" i="6" s="1"/>
  <c r="DD20" i="6" a="1"/>
  <c r="DD20" i="6" s="1"/>
  <c r="DE20" i="6" a="1"/>
  <c r="DE20" i="6"/>
  <c r="DF20" i="6" a="1"/>
  <c r="DF20" i="6" s="1"/>
  <c r="DG20" i="6" a="1"/>
  <c r="DG20" i="6" s="1"/>
  <c r="DH20" i="6" a="1"/>
  <c r="DH20" i="6" s="1"/>
  <c r="DI20" i="6" a="1"/>
  <c r="DI20" i="6" s="1"/>
  <c r="DJ20" i="6" a="1"/>
  <c r="DJ20" i="6" s="1"/>
  <c r="DK20" i="6" a="1"/>
  <c r="DK20" i="6" s="1"/>
  <c r="DL20" i="6" a="1"/>
  <c r="DL20" i="6" s="1"/>
  <c r="DM20" i="6" a="1"/>
  <c r="DM20" i="6" s="1"/>
  <c r="DN20" i="6" a="1"/>
  <c r="DN20" i="6" s="1"/>
  <c r="DO20" i="6" a="1"/>
  <c r="DO20" i="6" s="1"/>
  <c r="DP20" i="6" a="1"/>
  <c r="DP20" i="6" s="1"/>
  <c r="DQ20" i="6" a="1"/>
  <c r="DQ20" i="6" s="1"/>
  <c r="DR20" i="6" a="1"/>
  <c r="DR20" i="6" s="1"/>
  <c r="DS20" i="6" a="1"/>
  <c r="DS20" i="6" s="1"/>
  <c r="DT20" i="6" a="1"/>
  <c r="DT20" i="6" s="1"/>
  <c r="DU20" i="6" a="1"/>
  <c r="DU20" i="6" s="1"/>
  <c r="DV20" i="6" a="1"/>
  <c r="DV20" i="6" s="1"/>
  <c r="DW20" i="6" a="1"/>
  <c r="DW20" i="6"/>
  <c r="DX20" i="6" a="1"/>
  <c r="DX20" i="6" s="1"/>
  <c r="DY20" i="6" a="1"/>
  <c r="DY20" i="6" s="1"/>
  <c r="DZ20" i="6" a="1"/>
  <c r="DZ20" i="6" s="1"/>
  <c r="EA20" i="6" a="1"/>
  <c r="EA20" i="6" s="1"/>
  <c r="EB20" i="6" a="1"/>
  <c r="EB20" i="6"/>
  <c r="EC20" i="6" a="1"/>
  <c r="EC20" i="6" s="1"/>
  <c r="ED20" i="6" a="1"/>
  <c r="ED20" i="6" s="1"/>
  <c r="EE20" i="6" a="1"/>
  <c r="EE20" i="6" s="1"/>
  <c r="E21" i="6" a="1"/>
  <c r="E21" i="6"/>
  <c r="F21" i="6" a="1"/>
  <c r="F21" i="6" s="1"/>
  <c r="G21" i="6" a="1"/>
  <c r="G21" i="6" s="1"/>
  <c r="H21" i="6" a="1"/>
  <c r="H21" i="6" s="1"/>
  <c r="I21" i="6" a="1"/>
  <c r="I21" i="6"/>
  <c r="J21" i="6" a="1"/>
  <c r="J21" i="6" s="1"/>
  <c r="K21" i="6" a="1"/>
  <c r="K21" i="6" s="1"/>
  <c r="L21" i="6" a="1"/>
  <c r="L21" i="6"/>
  <c r="M21" i="6" a="1"/>
  <c r="M21" i="6" s="1"/>
  <c r="N21" i="6" a="1"/>
  <c r="N21" i="6"/>
  <c r="O21" i="6" a="1"/>
  <c r="O21" i="6" s="1"/>
  <c r="P21" i="6" a="1"/>
  <c r="P21" i="6" s="1"/>
  <c r="Q21" i="6" a="1"/>
  <c r="Q21" i="6" s="1"/>
  <c r="R21" i="6" a="1"/>
  <c r="R21" i="6" s="1"/>
  <c r="S21" i="6" a="1"/>
  <c r="S21" i="6" s="1"/>
  <c r="T21" i="6" a="1"/>
  <c r="T21" i="6" s="1"/>
  <c r="U21" i="6" a="1"/>
  <c r="U21" i="6" s="1"/>
  <c r="V21" i="6" a="1"/>
  <c r="V21" i="6" s="1"/>
  <c r="W21" i="6" a="1"/>
  <c r="W21" i="6" s="1"/>
  <c r="X21" i="6" a="1"/>
  <c r="X21" i="6" s="1"/>
  <c r="Y21" i="6" a="1"/>
  <c r="Y21" i="6" s="1"/>
  <c r="Z21" i="6" a="1"/>
  <c r="Z21" i="6" s="1"/>
  <c r="AA21" i="6" a="1"/>
  <c r="AA21" i="6" s="1"/>
  <c r="AB21" i="6" a="1"/>
  <c r="AB21" i="6" s="1"/>
  <c r="AC21" i="6" a="1"/>
  <c r="AC21" i="6" s="1"/>
  <c r="AD21" i="6" a="1"/>
  <c r="AD21" i="6" s="1"/>
  <c r="AE21" i="6" a="1"/>
  <c r="AE21" i="6" s="1"/>
  <c r="AF21" i="6" a="1"/>
  <c r="AF21" i="6" s="1"/>
  <c r="AG21" i="6" a="1"/>
  <c r="AG21" i="6" s="1"/>
  <c r="AH21" i="6" a="1"/>
  <c r="AH21" i="6" s="1"/>
  <c r="AI21" i="6" a="1"/>
  <c r="AI21" i="6" s="1"/>
  <c r="AJ21" i="6" a="1"/>
  <c r="AJ21" i="6" s="1"/>
  <c r="AK21" i="6" a="1"/>
  <c r="AK21" i="6"/>
  <c r="AL21" i="6" a="1"/>
  <c r="AL21" i="6" s="1"/>
  <c r="AM21" i="6" a="1"/>
  <c r="AM21" i="6" s="1"/>
  <c r="AN21" i="6" a="1"/>
  <c r="AN21" i="6" s="1"/>
  <c r="AO21" i="6" a="1"/>
  <c r="AO21" i="6" s="1"/>
  <c r="AP21" i="6" a="1"/>
  <c r="AP21" i="6" s="1"/>
  <c r="AQ21" i="6" a="1"/>
  <c r="AQ21" i="6" s="1"/>
  <c r="AR21" i="6" a="1"/>
  <c r="AR21" i="6" s="1"/>
  <c r="AS21" i="6" a="1"/>
  <c r="AS21" i="6" s="1"/>
  <c r="AT21" i="6" a="1"/>
  <c r="AT21" i="6" s="1"/>
  <c r="AU21" i="6" a="1"/>
  <c r="AU21" i="6" s="1"/>
  <c r="AV21" i="6" a="1"/>
  <c r="AV21" i="6" s="1"/>
  <c r="AW21" i="6" a="1"/>
  <c r="AW21" i="6" s="1"/>
  <c r="AX21" i="6" a="1"/>
  <c r="AX21" i="6" s="1"/>
  <c r="AY21" i="6" a="1"/>
  <c r="AY21" i="6" s="1"/>
  <c r="AZ21" i="6" a="1"/>
  <c r="AZ21" i="6" s="1"/>
  <c r="BA21" i="6" a="1"/>
  <c r="BA21" i="6"/>
  <c r="BB21" i="6" a="1"/>
  <c r="BB21" i="6" s="1"/>
  <c r="BC21" i="6" a="1"/>
  <c r="BC21" i="6" s="1"/>
  <c r="BD21" i="6" a="1"/>
  <c r="BD21" i="6" s="1"/>
  <c r="BE21" i="6" a="1"/>
  <c r="BE21" i="6" s="1"/>
  <c r="BF21" i="6" a="1"/>
  <c r="BF21" i="6" s="1"/>
  <c r="BG21" i="6" a="1"/>
  <c r="BG21" i="6" s="1"/>
  <c r="BH21" i="6" a="1"/>
  <c r="BH21" i="6" s="1"/>
  <c r="BI21" i="6" a="1"/>
  <c r="BI21" i="6" s="1"/>
  <c r="BJ21" i="6" a="1"/>
  <c r="BJ21" i="6" s="1"/>
  <c r="BK21" i="6" a="1"/>
  <c r="BK21" i="6" s="1"/>
  <c r="BL21" i="6" a="1"/>
  <c r="BL21" i="6" s="1"/>
  <c r="BM21" i="6" a="1"/>
  <c r="BM21" i="6" s="1"/>
  <c r="BN21" i="6" a="1"/>
  <c r="BN21" i="6" s="1"/>
  <c r="BO21" i="6" a="1"/>
  <c r="BO21" i="6" s="1"/>
  <c r="BP21" i="6" a="1"/>
  <c r="BP21" i="6" s="1"/>
  <c r="BQ21" i="6" a="1"/>
  <c r="BQ21" i="6"/>
  <c r="BR21" i="6" a="1"/>
  <c r="BR21" i="6" s="1"/>
  <c r="BS21" i="6" a="1"/>
  <c r="BS21" i="6" s="1"/>
  <c r="BT21" i="6" a="1"/>
  <c r="BT21" i="6" s="1"/>
  <c r="BU21" i="6" a="1"/>
  <c r="BU21" i="6"/>
  <c r="BV21" i="6" a="1"/>
  <c r="BV21" i="6" s="1"/>
  <c r="BW21" i="6" a="1"/>
  <c r="BW21" i="6" s="1"/>
  <c r="BX21" i="6" a="1"/>
  <c r="BX21" i="6"/>
  <c r="BY21" i="6" a="1"/>
  <c r="BY21" i="6" s="1"/>
  <c r="BZ21" i="6" a="1"/>
  <c r="BZ21" i="6" s="1"/>
  <c r="CA21" i="6" a="1"/>
  <c r="CA21" i="6" s="1"/>
  <c r="CB21" i="6" a="1"/>
  <c r="CB21" i="6"/>
  <c r="CC21" i="6" a="1"/>
  <c r="CC21" i="6" s="1"/>
  <c r="CD21" i="6" a="1"/>
  <c r="CD21" i="6" s="1"/>
  <c r="CE21" i="6" a="1"/>
  <c r="CE21" i="6" s="1"/>
  <c r="CF21" i="6" a="1"/>
  <c r="CF21" i="6" s="1"/>
  <c r="CG21" i="6" a="1"/>
  <c r="CG21" i="6" s="1"/>
  <c r="CH21" i="6" a="1"/>
  <c r="CH21" i="6" s="1"/>
  <c r="CI21" i="6" a="1"/>
  <c r="CI21" i="6" s="1"/>
  <c r="CJ21" i="6" a="1"/>
  <c r="CJ21" i="6" s="1"/>
  <c r="CK21" i="6" a="1"/>
  <c r="CK21" i="6" s="1"/>
  <c r="CL21" i="6" a="1"/>
  <c r="CL21" i="6" s="1"/>
  <c r="CM21" i="6" a="1"/>
  <c r="CM21" i="6" s="1"/>
  <c r="CN21" i="6" a="1"/>
  <c r="CN21" i="6"/>
  <c r="CO21" i="6" a="1"/>
  <c r="CO21" i="6" s="1"/>
  <c r="CP21" i="6" a="1"/>
  <c r="CP21" i="6" s="1"/>
  <c r="CQ21" i="6" a="1"/>
  <c r="CQ21" i="6" s="1"/>
  <c r="CR21" i="6" a="1"/>
  <c r="CR21" i="6" s="1"/>
  <c r="CS21" i="6" a="1"/>
  <c r="CS21" i="6"/>
  <c r="CT21" i="6" a="1"/>
  <c r="CT21" i="6" s="1"/>
  <c r="CU21" i="6" a="1"/>
  <c r="CU21" i="6" s="1"/>
  <c r="CV21" i="6" a="1"/>
  <c r="CV21" i="6" s="1"/>
  <c r="CW21" i="6" a="1"/>
  <c r="CW21" i="6" s="1"/>
  <c r="CX21" i="6" a="1"/>
  <c r="CX21" i="6" s="1"/>
  <c r="CY21" i="6" a="1"/>
  <c r="CY21" i="6" s="1"/>
  <c r="CZ21" i="6" a="1"/>
  <c r="CZ21" i="6" s="1"/>
  <c r="DA21" i="6" a="1"/>
  <c r="DA21" i="6" s="1"/>
  <c r="DB21" i="6" a="1"/>
  <c r="DB21" i="6" s="1"/>
  <c r="DC21" i="6" a="1"/>
  <c r="DC21" i="6" s="1"/>
  <c r="DD21" i="6" a="1"/>
  <c r="DD21" i="6" s="1"/>
  <c r="DE21" i="6" a="1"/>
  <c r="DE21" i="6" s="1"/>
  <c r="DF21" i="6" a="1"/>
  <c r="DF21" i="6" s="1"/>
  <c r="DG21" i="6" a="1"/>
  <c r="DG21" i="6" s="1"/>
  <c r="DH21" i="6" a="1"/>
  <c r="DH21" i="6" s="1"/>
  <c r="DI21" i="6" a="1"/>
  <c r="DI21" i="6" s="1"/>
  <c r="DJ21" i="6" a="1"/>
  <c r="DJ21" i="6" s="1"/>
  <c r="DK21" i="6" a="1"/>
  <c r="DK21" i="6" s="1"/>
  <c r="DL21" i="6" a="1"/>
  <c r="DL21" i="6" s="1"/>
  <c r="DM21" i="6" a="1"/>
  <c r="DM21" i="6" s="1"/>
  <c r="DN21" i="6" a="1"/>
  <c r="DN21" i="6" s="1"/>
  <c r="DO21" i="6" a="1"/>
  <c r="DO21" i="6" s="1"/>
  <c r="DP21" i="6" a="1"/>
  <c r="DP21" i="6" s="1"/>
  <c r="DQ21" i="6" a="1"/>
  <c r="DQ21" i="6" s="1"/>
  <c r="DR21" i="6" a="1"/>
  <c r="DR21" i="6" s="1"/>
  <c r="DS21" i="6" a="1"/>
  <c r="DS21" i="6" s="1"/>
  <c r="DT21" i="6" a="1"/>
  <c r="DT21" i="6"/>
  <c r="DU21" i="6" a="1"/>
  <c r="DU21" i="6" s="1"/>
  <c r="DV21" i="6" a="1"/>
  <c r="DV21" i="6" s="1"/>
  <c r="DW21" i="6" a="1"/>
  <c r="DW21" i="6" s="1"/>
  <c r="DX21" i="6" a="1"/>
  <c r="DX21" i="6" s="1"/>
  <c r="DY21" i="6" a="1"/>
  <c r="DY21" i="6" s="1"/>
  <c r="DZ21" i="6" a="1"/>
  <c r="DZ21" i="6" s="1"/>
  <c r="EA21" i="6" a="1"/>
  <c r="EA21" i="6" s="1"/>
  <c r="EB21" i="6" a="1"/>
  <c r="EB21" i="6" s="1"/>
  <c r="EC21" i="6" a="1"/>
  <c r="EC21" i="6" s="1"/>
  <c r="ED21" i="6" a="1"/>
  <c r="ED21" i="6" s="1"/>
  <c r="EE21" i="6" a="1"/>
  <c r="EE21" i="6" s="1"/>
  <c r="E22" i="6" a="1"/>
  <c r="E22" i="6" s="1"/>
  <c r="F22" i="6" a="1"/>
  <c r="F22" i="6" s="1"/>
  <c r="G22" i="6" a="1"/>
  <c r="G22" i="6"/>
  <c r="H22" i="6" a="1"/>
  <c r="H22" i="6" s="1"/>
  <c r="I22" i="6" a="1"/>
  <c r="I22" i="6"/>
  <c r="J22" i="6" a="1"/>
  <c r="J22" i="6" s="1"/>
  <c r="K22" i="6" a="1"/>
  <c r="K22" i="6"/>
  <c r="L22" i="6" a="1"/>
  <c r="L22" i="6" s="1"/>
  <c r="M22" i="6" a="1"/>
  <c r="M22" i="6" s="1"/>
  <c r="N22" i="6" a="1"/>
  <c r="N22" i="6" s="1"/>
  <c r="O22" i="6" a="1"/>
  <c r="O22" i="6" s="1"/>
  <c r="P22" i="6" a="1"/>
  <c r="P22" i="6" s="1"/>
  <c r="Q22" i="6" a="1"/>
  <c r="Q22" i="6" s="1"/>
  <c r="R22" i="6" a="1"/>
  <c r="R22" i="6" s="1"/>
  <c r="S22" i="6" a="1"/>
  <c r="S22" i="6" s="1"/>
  <c r="T22" i="6" a="1"/>
  <c r="T22" i="6" s="1"/>
  <c r="U22" i="6" a="1"/>
  <c r="U22" i="6" s="1"/>
  <c r="V22" i="6" a="1"/>
  <c r="V22" i="6" s="1"/>
  <c r="W22" i="6" a="1"/>
  <c r="W22" i="6" s="1"/>
  <c r="X22" i="6" a="1"/>
  <c r="X22" i="6" s="1"/>
  <c r="Y22" i="6" a="1"/>
  <c r="Y22" i="6" s="1"/>
  <c r="Z22" i="6" a="1"/>
  <c r="Z22" i="6" s="1"/>
  <c r="AA22" i="6" a="1"/>
  <c r="AA22" i="6" s="1"/>
  <c r="AB22" i="6" a="1"/>
  <c r="AB22" i="6" s="1"/>
  <c r="AC22" i="6" a="1"/>
  <c r="AC22" i="6" s="1"/>
  <c r="AD22" i="6" a="1"/>
  <c r="AD22" i="6"/>
  <c r="AE22" i="6" a="1"/>
  <c r="AE22" i="6" s="1"/>
  <c r="AF22" i="6" a="1"/>
  <c r="AF22" i="6" s="1"/>
  <c r="AG22" i="6" a="1"/>
  <c r="AG22" i="6" s="1"/>
  <c r="AH22" i="6" a="1"/>
  <c r="AH22" i="6"/>
  <c r="AI22" i="6" a="1"/>
  <c r="AI22" i="6" s="1"/>
  <c r="AJ22" i="6" a="1"/>
  <c r="AJ22" i="6" s="1"/>
  <c r="AK22" i="6" a="1"/>
  <c r="AK22" i="6" s="1"/>
  <c r="AL22" i="6" a="1"/>
  <c r="AL22" i="6" s="1"/>
  <c r="AM22" i="6" a="1"/>
  <c r="AM22" i="6" s="1"/>
  <c r="AN22" i="6" a="1"/>
  <c r="AN22" i="6" s="1"/>
  <c r="AO22" i="6" a="1"/>
  <c r="AO22" i="6"/>
  <c r="AP22" i="6" a="1"/>
  <c r="AP22" i="6" s="1"/>
  <c r="AQ22" i="6" a="1"/>
  <c r="AQ22" i="6" s="1"/>
  <c r="AR22" i="6" a="1"/>
  <c r="AR22" i="6" s="1"/>
  <c r="AS22" i="6" a="1"/>
  <c r="AS22" i="6" s="1"/>
  <c r="AT22" i="6" a="1"/>
  <c r="AT22" i="6" s="1"/>
  <c r="AU22" i="6" a="1"/>
  <c r="AU22" i="6" s="1"/>
  <c r="AV22" i="6" a="1"/>
  <c r="AV22" i="6" s="1"/>
  <c r="AW22" i="6" a="1"/>
  <c r="AW22" i="6" s="1"/>
  <c r="AX22" i="6" a="1"/>
  <c r="AX22" i="6" s="1"/>
  <c r="AY22" i="6" a="1"/>
  <c r="AY22" i="6" s="1"/>
  <c r="AZ22" i="6" a="1"/>
  <c r="AZ22" i="6" s="1"/>
  <c r="BA22" i="6" a="1"/>
  <c r="BA22" i="6" s="1"/>
  <c r="BB22" i="6" a="1"/>
  <c r="BB22" i="6" s="1"/>
  <c r="BC22" i="6" a="1"/>
  <c r="BC22" i="6"/>
  <c r="BD22" i="6" a="1"/>
  <c r="BD22" i="6" s="1"/>
  <c r="BE22" i="6" a="1"/>
  <c r="BE22" i="6"/>
  <c r="BF22" i="6" a="1"/>
  <c r="BF22" i="6" s="1"/>
  <c r="BG22" i="6" a="1"/>
  <c r="BG22" i="6" s="1"/>
  <c r="BH22" i="6" a="1"/>
  <c r="BH22" i="6" s="1"/>
  <c r="BI22" i="6" a="1"/>
  <c r="BI22" i="6" s="1"/>
  <c r="BJ22" i="6" a="1"/>
  <c r="BJ22" i="6" s="1"/>
  <c r="BK22" i="6" a="1"/>
  <c r="BK22" i="6" s="1"/>
  <c r="BL22" i="6" a="1"/>
  <c r="BL22" i="6" s="1"/>
  <c r="BM22" i="6" a="1"/>
  <c r="BM22" i="6" s="1"/>
  <c r="BN22" i="6" a="1"/>
  <c r="BN22" i="6"/>
  <c r="BO22" i="6" a="1"/>
  <c r="BO22" i="6" s="1"/>
  <c r="BP22" i="6" a="1"/>
  <c r="BP22" i="6" s="1"/>
  <c r="BQ22" i="6" a="1"/>
  <c r="BQ22" i="6" s="1"/>
  <c r="BR22" i="6" a="1"/>
  <c r="BR22" i="6" s="1"/>
  <c r="BS22" i="6" a="1"/>
  <c r="BS22" i="6" s="1"/>
  <c r="BT22" i="6" a="1"/>
  <c r="BT22" i="6" s="1"/>
  <c r="BU22" i="6" a="1"/>
  <c r="BU22" i="6"/>
  <c r="BV22" i="6" a="1"/>
  <c r="BV22" i="6" s="1"/>
  <c r="BW22" i="6" a="1"/>
  <c r="BW22" i="6"/>
  <c r="BX22" i="6" a="1"/>
  <c r="BX22" i="6" s="1"/>
  <c r="BY22" i="6" a="1"/>
  <c r="BY22" i="6" s="1"/>
  <c r="BZ22" i="6" a="1"/>
  <c r="BZ22" i="6" s="1"/>
  <c r="CA22" i="6" a="1"/>
  <c r="CA22" i="6" s="1"/>
  <c r="CB22" i="6" a="1"/>
  <c r="CB22" i="6" s="1"/>
  <c r="CC22" i="6" a="1"/>
  <c r="CC22" i="6" s="1"/>
  <c r="CD22" i="6" a="1"/>
  <c r="CD22" i="6"/>
  <c r="CE22" i="6" a="1"/>
  <c r="CE22" i="6" s="1"/>
  <c r="CF22" i="6" a="1"/>
  <c r="CF22" i="6" s="1"/>
  <c r="CG22" i="6" a="1"/>
  <c r="CG22" i="6" s="1"/>
  <c r="CH22" i="6" a="1"/>
  <c r="CH22" i="6" s="1"/>
  <c r="CI22" i="6" a="1"/>
  <c r="CI22" i="6" s="1"/>
  <c r="CJ22" i="6" a="1"/>
  <c r="CJ22" i="6" s="1"/>
  <c r="CK22" i="6" a="1"/>
  <c r="CK22" i="6" s="1"/>
  <c r="CL22" i="6" a="1"/>
  <c r="CL22" i="6" s="1"/>
  <c r="CM22" i="6" a="1"/>
  <c r="CM22" i="6"/>
  <c r="CN22" i="6" a="1"/>
  <c r="CN22" i="6" s="1"/>
  <c r="CO22" i="6" a="1"/>
  <c r="CO22" i="6" s="1"/>
  <c r="CP22" i="6" a="1"/>
  <c r="CP22" i="6"/>
  <c r="CQ22" i="6" a="1"/>
  <c r="CQ22" i="6" s="1"/>
  <c r="CR22" i="6" a="1"/>
  <c r="CR22" i="6" s="1"/>
  <c r="CS22" i="6" a="1"/>
  <c r="CS22" i="6" s="1"/>
  <c r="CT22" i="6" a="1"/>
  <c r="CT22" i="6" s="1"/>
  <c r="CU22" i="6" a="1"/>
  <c r="CU22" i="6" s="1"/>
  <c r="CV22" i="6" a="1"/>
  <c r="CV22" i="6" s="1"/>
  <c r="CW22" i="6" a="1"/>
  <c r="CW22" i="6" s="1"/>
  <c r="CX22" i="6" a="1"/>
  <c r="CX22" i="6" s="1"/>
  <c r="CY22" i="6" a="1"/>
  <c r="CY22" i="6" s="1"/>
  <c r="CZ22" i="6" a="1"/>
  <c r="CZ22" i="6" s="1"/>
  <c r="DA22" i="6" a="1"/>
  <c r="DA22" i="6" s="1"/>
  <c r="DB22" i="6" a="1"/>
  <c r="DB22" i="6" s="1"/>
  <c r="DC22" i="6" a="1"/>
  <c r="DC22" i="6" s="1"/>
  <c r="DD22" i="6" a="1"/>
  <c r="DD22" i="6" s="1"/>
  <c r="DE22" i="6" a="1"/>
  <c r="DE22" i="6" s="1"/>
  <c r="DF22" i="6" a="1"/>
  <c r="DF22" i="6" s="1"/>
  <c r="DG22" i="6" a="1"/>
  <c r="DG22" i="6" s="1"/>
  <c r="DH22" i="6" a="1"/>
  <c r="DH22" i="6" s="1"/>
  <c r="DI22" i="6" a="1"/>
  <c r="DI22" i="6" s="1"/>
  <c r="DJ22" i="6" a="1"/>
  <c r="DJ22" i="6" s="1"/>
  <c r="DK22" i="6" a="1"/>
  <c r="DK22" i="6" s="1"/>
  <c r="DL22" i="6" a="1"/>
  <c r="DL22" i="6" s="1"/>
  <c r="DM22" i="6" a="1"/>
  <c r="DM22" i="6" s="1"/>
  <c r="DN22" i="6" a="1"/>
  <c r="DN22" i="6" s="1"/>
  <c r="DO22" i="6" a="1"/>
  <c r="DO22" i="6" s="1"/>
  <c r="DP22" i="6" a="1"/>
  <c r="DP22" i="6" s="1"/>
  <c r="DQ22" i="6" a="1"/>
  <c r="DQ22" i="6" s="1"/>
  <c r="DR22" i="6" a="1"/>
  <c r="DR22" i="6" s="1"/>
  <c r="DS22" i="6" a="1"/>
  <c r="DS22" i="6" s="1"/>
  <c r="DT22" i="6" a="1"/>
  <c r="DT22" i="6" s="1"/>
  <c r="DU22" i="6" a="1"/>
  <c r="DU22" i="6" s="1"/>
  <c r="DV22" i="6" a="1"/>
  <c r="DV22" i="6" s="1"/>
  <c r="DW22" i="6" a="1"/>
  <c r="DW22" i="6" s="1"/>
  <c r="DX22" i="6" a="1"/>
  <c r="DX22" i="6" s="1"/>
  <c r="DY22" i="6" a="1"/>
  <c r="DY22" i="6" s="1"/>
  <c r="DZ22" i="6" a="1"/>
  <c r="DZ22" i="6" s="1"/>
  <c r="EA22" i="6" a="1"/>
  <c r="EA22" i="6" s="1"/>
  <c r="EB22" i="6" a="1"/>
  <c r="EB22" i="6" s="1"/>
  <c r="EC22" i="6" a="1"/>
  <c r="EC22" i="6"/>
  <c r="ED22" i="6" a="1"/>
  <c r="ED22" i="6" s="1"/>
  <c r="EE22" i="6" a="1"/>
  <c r="EE22" i="6" s="1"/>
  <c r="E23" i="6" a="1"/>
  <c r="E23" i="6" s="1"/>
  <c r="F23" i="6" a="1"/>
  <c r="F23" i="6"/>
  <c r="G23" i="6" a="1"/>
  <c r="G23" i="6" s="1"/>
  <c r="H23" i="6" a="1"/>
  <c r="H23" i="6"/>
  <c r="I23" i="6" a="1"/>
  <c r="I23" i="6" s="1"/>
  <c r="J23" i="6" a="1"/>
  <c r="J23" i="6" s="1"/>
  <c r="K23" i="6" a="1"/>
  <c r="K23" i="6"/>
  <c r="L23" i="6" a="1"/>
  <c r="L23" i="6" s="1"/>
  <c r="M23" i="6" a="1"/>
  <c r="M23" i="6" s="1"/>
  <c r="N23" i="6" a="1"/>
  <c r="N23" i="6" s="1"/>
  <c r="O23" i="6" a="1"/>
  <c r="O23" i="6" s="1"/>
  <c r="P23" i="6" a="1"/>
  <c r="P23" i="6" s="1"/>
  <c r="Q23" i="6" a="1"/>
  <c r="Q23" i="6" s="1"/>
  <c r="R23" i="6" a="1"/>
  <c r="R23" i="6" s="1"/>
  <c r="S23" i="6" a="1"/>
  <c r="S23" i="6" s="1"/>
  <c r="T23" i="6" a="1"/>
  <c r="T23" i="6" s="1"/>
  <c r="U23" i="6" a="1"/>
  <c r="U23" i="6" s="1"/>
  <c r="V23" i="6" a="1"/>
  <c r="V23" i="6"/>
  <c r="W23" i="6" a="1"/>
  <c r="W23" i="6" s="1"/>
  <c r="X23" i="6" a="1"/>
  <c r="X23" i="6" s="1"/>
  <c r="Y23" i="6" a="1"/>
  <c r="Y23" i="6" s="1"/>
  <c r="Z23" i="6" a="1"/>
  <c r="Z23" i="6" s="1"/>
  <c r="AA23" i="6" a="1"/>
  <c r="AA23" i="6" s="1"/>
  <c r="AB23" i="6" a="1"/>
  <c r="AB23" i="6" s="1"/>
  <c r="AC23" i="6" a="1"/>
  <c r="AC23" i="6" s="1"/>
  <c r="AD23" i="6" a="1"/>
  <c r="AD23" i="6" s="1"/>
  <c r="AE23" i="6" a="1"/>
  <c r="AE23" i="6" s="1"/>
  <c r="AF23" i="6" a="1"/>
  <c r="AF23" i="6" s="1"/>
  <c r="AG23" i="6" a="1"/>
  <c r="AG23" i="6" s="1"/>
  <c r="AH23" i="6" a="1"/>
  <c r="AH23" i="6"/>
  <c r="AI23" i="6" a="1"/>
  <c r="AI23" i="6"/>
  <c r="AJ23" i="6" a="1"/>
  <c r="AJ23" i="6" s="1"/>
  <c r="AK23" i="6" a="1"/>
  <c r="AK23" i="6" s="1"/>
  <c r="AL23" i="6" a="1"/>
  <c r="AL23" i="6"/>
  <c r="AM23" i="6" a="1"/>
  <c r="AM23" i="6" s="1"/>
  <c r="AN23" i="6" a="1"/>
  <c r="AN23" i="6" s="1"/>
  <c r="AO23" i="6" a="1"/>
  <c r="AO23" i="6" s="1"/>
  <c r="AP23" i="6" a="1"/>
  <c r="AP23" i="6" s="1"/>
  <c r="AQ23" i="6" a="1"/>
  <c r="AQ23" i="6"/>
  <c r="AR23" i="6" a="1"/>
  <c r="AR23" i="6" s="1"/>
  <c r="AS23" i="6" a="1"/>
  <c r="AS23" i="6" s="1"/>
  <c r="AT23" i="6" a="1"/>
  <c r="AT23" i="6" s="1"/>
  <c r="AU23" i="6" a="1"/>
  <c r="AU23" i="6" s="1"/>
  <c r="AV23" i="6" a="1"/>
  <c r="AV23" i="6" s="1"/>
  <c r="AW23" i="6" a="1"/>
  <c r="AW23" i="6" s="1"/>
  <c r="AX23" i="6" a="1"/>
  <c r="AX23" i="6" s="1"/>
  <c r="AY23" i="6" a="1"/>
  <c r="AY23" i="6" s="1"/>
  <c r="AZ23" i="6" a="1"/>
  <c r="AZ23" i="6"/>
  <c r="BA23" i="6" a="1"/>
  <c r="BA23" i="6" s="1"/>
  <c r="BB23" i="6" a="1"/>
  <c r="BB23" i="6" s="1"/>
  <c r="BC23" i="6" a="1"/>
  <c r="BC23" i="6" s="1"/>
  <c r="BD23" i="6" a="1"/>
  <c r="BD23" i="6" s="1"/>
  <c r="BE23" i="6" a="1"/>
  <c r="BE23" i="6" s="1"/>
  <c r="BF23" i="6" a="1"/>
  <c r="BF23" i="6"/>
  <c r="BG23" i="6" a="1"/>
  <c r="BG23" i="6" s="1"/>
  <c r="BH23" i="6" a="1"/>
  <c r="BH23" i="6" s="1"/>
  <c r="BI23" i="6" a="1"/>
  <c r="BI23" i="6" s="1"/>
  <c r="BJ23" i="6" a="1"/>
  <c r="BJ23" i="6" s="1"/>
  <c r="BK23" i="6" a="1"/>
  <c r="BK23" i="6" s="1"/>
  <c r="BL23" i="6" a="1"/>
  <c r="BL23" i="6" s="1"/>
  <c r="BM23" i="6" a="1"/>
  <c r="BM23" i="6" s="1"/>
  <c r="BN23" i="6" a="1"/>
  <c r="BN23" i="6" s="1"/>
  <c r="BO23" i="6" a="1"/>
  <c r="BO23" i="6"/>
  <c r="BP23" i="6" a="1"/>
  <c r="BP23" i="6"/>
  <c r="BQ23" i="6" a="1"/>
  <c r="BQ23" i="6" s="1"/>
  <c r="BR23" i="6" a="1"/>
  <c r="BR23" i="6" s="1"/>
  <c r="BS23" i="6" a="1"/>
  <c r="BS23" i="6" s="1"/>
  <c r="BT23" i="6" a="1"/>
  <c r="BT23" i="6" s="1"/>
  <c r="BU23" i="6" a="1"/>
  <c r="BU23" i="6" s="1"/>
  <c r="BV23" i="6" a="1"/>
  <c r="BV23" i="6" s="1"/>
  <c r="BW23" i="6" a="1"/>
  <c r="BW23" i="6" s="1"/>
  <c r="BX23" i="6" a="1"/>
  <c r="BX23" i="6" s="1"/>
  <c r="BY23" i="6" a="1"/>
  <c r="BY23" i="6" s="1"/>
  <c r="BZ23" i="6" a="1"/>
  <c r="BZ23" i="6" s="1"/>
  <c r="CA23" i="6" a="1"/>
  <c r="CA23" i="6" s="1"/>
  <c r="CB23" i="6" a="1"/>
  <c r="CB23" i="6" s="1"/>
  <c r="CC23" i="6" a="1"/>
  <c r="CC23" i="6" s="1"/>
  <c r="CD23" i="6" a="1"/>
  <c r="CD23" i="6" s="1"/>
  <c r="CE23" i="6" a="1"/>
  <c r="CE23" i="6" s="1"/>
  <c r="CF23" i="6" a="1"/>
  <c r="CF23" i="6"/>
  <c r="CG23" i="6" a="1"/>
  <c r="CG23" i="6" s="1"/>
  <c r="CH23" i="6" a="1"/>
  <c r="CH23" i="6"/>
  <c r="CI23" i="6" a="1"/>
  <c r="CI23" i="6" s="1"/>
  <c r="CJ23" i="6" a="1"/>
  <c r="CJ23" i="6" s="1"/>
  <c r="CK23" i="6" a="1"/>
  <c r="CK23" i="6" s="1"/>
  <c r="CL23" i="6" a="1"/>
  <c r="CL23" i="6"/>
  <c r="CM23" i="6" a="1"/>
  <c r="CM23" i="6" s="1"/>
  <c r="CN23" i="6" a="1"/>
  <c r="CN23" i="6" s="1"/>
  <c r="CO23" i="6" a="1"/>
  <c r="CO23" i="6" s="1"/>
  <c r="CP23" i="6" a="1"/>
  <c r="CP23" i="6" s="1"/>
  <c r="CQ23" i="6" a="1"/>
  <c r="CQ23" i="6" s="1"/>
  <c r="CR23" i="6" a="1"/>
  <c r="CR23" i="6" s="1"/>
  <c r="CS23" i="6" a="1"/>
  <c r="CS23" i="6" s="1"/>
  <c r="CT23" i="6" a="1"/>
  <c r="CT23" i="6"/>
  <c r="CU23" i="6" a="1"/>
  <c r="CU23" i="6"/>
  <c r="CV23" i="6" a="1"/>
  <c r="CV23" i="6" s="1"/>
  <c r="CW23" i="6" a="1"/>
  <c r="CW23" i="6" s="1"/>
  <c r="CX23" i="6" a="1"/>
  <c r="CX23" i="6" s="1"/>
  <c r="CY23" i="6" a="1"/>
  <c r="CY23" i="6" s="1"/>
  <c r="CZ23" i="6" a="1"/>
  <c r="CZ23" i="6"/>
  <c r="DA23" i="6" a="1"/>
  <c r="DA23" i="6" s="1"/>
  <c r="DB23" i="6" a="1"/>
  <c r="DB23" i="6" s="1"/>
  <c r="DC23" i="6" a="1"/>
  <c r="DC23" i="6" s="1"/>
  <c r="DD23" i="6" a="1"/>
  <c r="DD23" i="6" s="1"/>
  <c r="DE23" i="6" a="1"/>
  <c r="DE23" i="6" s="1"/>
  <c r="DF23" i="6" a="1"/>
  <c r="DF23" i="6" s="1"/>
  <c r="DG23" i="6" a="1"/>
  <c r="DG23" i="6" s="1"/>
  <c r="DH23" i="6" a="1"/>
  <c r="DH23" i="6" s="1"/>
  <c r="DI23" i="6" a="1"/>
  <c r="DI23" i="6" s="1"/>
  <c r="DJ23" i="6" a="1"/>
  <c r="DJ23" i="6" s="1"/>
  <c r="DK23" i="6" a="1"/>
  <c r="DK23" i="6" s="1"/>
  <c r="DL23" i="6" a="1"/>
  <c r="DL23" i="6" s="1"/>
  <c r="DM23" i="6" a="1"/>
  <c r="DM23" i="6" s="1"/>
  <c r="DN23" i="6" a="1"/>
  <c r="DN23" i="6" s="1"/>
  <c r="DO23" i="6" a="1"/>
  <c r="DO23" i="6" s="1"/>
  <c r="DP23" i="6" a="1"/>
  <c r="DP23" i="6"/>
  <c r="DQ23" i="6" a="1"/>
  <c r="DQ23" i="6" s="1"/>
  <c r="DR23" i="6" a="1"/>
  <c r="DR23" i="6" s="1"/>
  <c r="DS23" i="6" a="1"/>
  <c r="DS23" i="6" s="1"/>
  <c r="DT23" i="6" a="1"/>
  <c r="DT23" i="6" s="1"/>
  <c r="DU23" i="6" a="1"/>
  <c r="DU23" i="6" s="1"/>
  <c r="DV23" i="6" a="1"/>
  <c r="DV23" i="6" s="1"/>
  <c r="DW23" i="6" a="1"/>
  <c r="DW23" i="6"/>
  <c r="DX23" i="6" a="1"/>
  <c r="DX23" i="6"/>
  <c r="DY23" i="6" a="1"/>
  <c r="DY23" i="6" s="1"/>
  <c r="DZ23" i="6" a="1"/>
  <c r="DZ23" i="6"/>
  <c r="EA23" i="6" a="1"/>
  <c r="EA23" i="6" s="1"/>
  <c r="EB23" i="6" a="1"/>
  <c r="EB23" i="6" s="1"/>
  <c r="EC23" i="6" a="1"/>
  <c r="EC23" i="6" s="1"/>
  <c r="ED23" i="6" a="1"/>
  <c r="ED23" i="6"/>
  <c r="EE23" i="6" a="1"/>
  <c r="EE23" i="6" s="1"/>
  <c r="E24" i="6" a="1"/>
  <c r="E24" i="6" s="1"/>
  <c r="F24" i="6" a="1"/>
  <c r="F24" i="6" s="1"/>
  <c r="G24" i="6" a="1"/>
  <c r="G24" i="6" s="1"/>
  <c r="H24" i="6" a="1"/>
  <c r="H24" i="6" s="1"/>
  <c r="I24" i="6" a="1"/>
  <c r="I24" i="6" s="1"/>
  <c r="J24" i="6" a="1"/>
  <c r="J24" i="6" s="1"/>
  <c r="K24" i="6" a="1"/>
  <c r="K24" i="6" s="1"/>
  <c r="L24" i="6" a="1"/>
  <c r="L24" i="6" s="1"/>
  <c r="M24" i="6" a="1"/>
  <c r="M24" i="6"/>
  <c r="N24" i="6" a="1"/>
  <c r="N24" i="6" s="1"/>
  <c r="O24" i="6" a="1"/>
  <c r="O24" i="6" s="1"/>
  <c r="P24" i="6" a="1"/>
  <c r="P24" i="6" s="1"/>
  <c r="Q24" i="6" a="1"/>
  <c r="Q24" i="6" s="1"/>
  <c r="R24" i="6" a="1"/>
  <c r="R24" i="6" s="1"/>
  <c r="S24" i="6" a="1"/>
  <c r="S24" i="6"/>
  <c r="T24" i="6" a="1"/>
  <c r="T24" i="6" s="1"/>
  <c r="U24" i="6" a="1"/>
  <c r="U24" i="6" s="1"/>
  <c r="V24" i="6" a="1"/>
  <c r="V24" i="6" s="1"/>
  <c r="W24" i="6" a="1"/>
  <c r="W24" i="6" s="1"/>
  <c r="X24" i="6" a="1"/>
  <c r="X24" i="6" s="1"/>
  <c r="Y24" i="6" a="1"/>
  <c r="Y24" i="6"/>
  <c r="Z24" i="6" a="1"/>
  <c r="Z24" i="6" s="1"/>
  <c r="AA24" i="6" a="1"/>
  <c r="AA24" i="6" s="1"/>
  <c r="AB24" i="6" a="1"/>
  <c r="AB24" i="6" s="1"/>
  <c r="AC24" i="6" a="1"/>
  <c r="AC24" i="6" s="1"/>
  <c r="AD24" i="6" a="1"/>
  <c r="AD24" i="6"/>
  <c r="AE24" i="6" a="1"/>
  <c r="AE24" i="6" s="1"/>
  <c r="AF24" i="6" a="1"/>
  <c r="AF24" i="6" s="1"/>
  <c r="AG24" i="6" a="1"/>
  <c r="AG24" i="6" s="1"/>
  <c r="AH24" i="6" a="1"/>
  <c r="AH24" i="6" s="1"/>
  <c r="AI24" i="6" a="1"/>
  <c r="AI24" i="6" s="1"/>
  <c r="AJ24" i="6" a="1"/>
  <c r="AJ24" i="6" s="1"/>
  <c r="AK24" i="6" a="1"/>
  <c r="AK24" i="6" s="1"/>
  <c r="AL24" i="6" a="1"/>
  <c r="AL24" i="6" s="1"/>
  <c r="AM24" i="6" a="1"/>
  <c r="AM24" i="6" s="1"/>
  <c r="AN24" i="6" a="1"/>
  <c r="AN24" i="6" s="1"/>
  <c r="AO24" i="6" a="1"/>
  <c r="AO24" i="6" s="1"/>
  <c r="AP24" i="6" a="1"/>
  <c r="AP24" i="6"/>
  <c r="AQ24" i="6" a="1"/>
  <c r="AQ24" i="6" s="1"/>
  <c r="AR24" i="6" a="1"/>
  <c r="AR24" i="6" s="1"/>
  <c r="AS24" i="6" a="1"/>
  <c r="AS24" i="6" s="1"/>
  <c r="AT24" i="6" a="1"/>
  <c r="AT24" i="6" s="1"/>
  <c r="AU24" i="6" a="1"/>
  <c r="AU24" i="6" s="1"/>
  <c r="AV24" i="6" a="1"/>
  <c r="AV24" i="6" s="1"/>
  <c r="AW24" i="6" a="1"/>
  <c r="AW24" i="6" s="1"/>
  <c r="AX24" i="6" a="1"/>
  <c r="AX24" i="6" s="1"/>
  <c r="AY24" i="6" a="1"/>
  <c r="AY24" i="6" s="1"/>
  <c r="AZ24" i="6" a="1"/>
  <c r="AZ24" i="6" s="1"/>
  <c r="BA24" i="6" a="1"/>
  <c r="BA24" i="6" s="1"/>
  <c r="BB24" i="6" a="1"/>
  <c r="BB24" i="6" s="1"/>
  <c r="BC24" i="6" a="1"/>
  <c r="BC24" i="6" s="1"/>
  <c r="BD24" i="6" a="1"/>
  <c r="BD24" i="6" s="1"/>
  <c r="BE24" i="6" a="1"/>
  <c r="BE24" i="6" s="1"/>
  <c r="BF24" i="6" a="1"/>
  <c r="BF24" i="6" s="1"/>
  <c r="BG24" i="6" a="1"/>
  <c r="BG24" i="6" s="1"/>
  <c r="BH24" i="6" a="1"/>
  <c r="BH24" i="6" s="1"/>
  <c r="BI24" i="6" a="1"/>
  <c r="BI24" i="6" s="1"/>
  <c r="BJ24" i="6" a="1"/>
  <c r="BJ24" i="6"/>
  <c r="BK24" i="6" a="1"/>
  <c r="BK24" i="6" s="1"/>
  <c r="BL24" i="6" a="1"/>
  <c r="BL24" i="6" s="1"/>
  <c r="BM24" i="6" a="1"/>
  <c r="BM24" i="6" s="1"/>
  <c r="BN24" i="6" a="1"/>
  <c r="BN24" i="6"/>
  <c r="BO24" i="6" a="1"/>
  <c r="BO24" i="6" s="1"/>
  <c r="BP24" i="6" a="1"/>
  <c r="BP24" i="6" s="1"/>
  <c r="BQ24" i="6" a="1"/>
  <c r="BQ24" i="6" s="1"/>
  <c r="BR24" i="6" a="1"/>
  <c r="BR24" i="6" s="1"/>
  <c r="BS24" i="6" a="1"/>
  <c r="BS24" i="6" s="1"/>
  <c r="BT24" i="6" a="1"/>
  <c r="BT24" i="6" s="1"/>
  <c r="BU24" i="6" a="1"/>
  <c r="BU24" i="6"/>
  <c r="BV24" i="6" a="1"/>
  <c r="BV24" i="6"/>
  <c r="BW24" i="6" a="1"/>
  <c r="BW24" i="6"/>
  <c r="BX24" i="6" a="1"/>
  <c r="BX24" i="6" s="1"/>
  <c r="BY24" i="6" a="1"/>
  <c r="BY24" i="6" s="1"/>
  <c r="BZ24" i="6" a="1"/>
  <c r="BZ24" i="6" s="1"/>
  <c r="CA24" i="6" a="1"/>
  <c r="CA24" i="6" s="1"/>
  <c r="CB24" i="6" a="1"/>
  <c r="CB24" i="6" s="1"/>
  <c r="CC24" i="6" a="1"/>
  <c r="CC24" i="6" s="1"/>
  <c r="CD24" i="6" a="1"/>
  <c r="CD24" i="6"/>
  <c r="CE24" i="6" a="1"/>
  <c r="CE24" i="6" s="1"/>
  <c r="CF24" i="6" a="1"/>
  <c r="CF24" i="6" s="1"/>
  <c r="CG24" i="6" a="1"/>
  <c r="CG24" i="6" s="1"/>
  <c r="CH24" i="6" a="1"/>
  <c r="CH24" i="6" s="1"/>
  <c r="CI24" i="6" a="1"/>
  <c r="CI24" i="6" s="1"/>
  <c r="CJ24" i="6" a="1"/>
  <c r="CJ24" i="6" s="1"/>
  <c r="CK24" i="6" a="1"/>
  <c r="CK24" i="6" s="1"/>
  <c r="CL24" i="6" a="1"/>
  <c r="CL24" i="6" s="1"/>
  <c r="CM24" i="6" a="1"/>
  <c r="CM24" i="6" s="1"/>
  <c r="CN24" i="6" a="1"/>
  <c r="CN24" i="6" s="1"/>
  <c r="CO24" i="6" a="1"/>
  <c r="CO24" i="6" s="1"/>
  <c r="CP24" i="6" a="1"/>
  <c r="CP24" i="6" s="1"/>
  <c r="CQ24" i="6" a="1"/>
  <c r="CQ24" i="6" s="1"/>
  <c r="CR24" i="6" a="1"/>
  <c r="CR24" i="6" s="1"/>
  <c r="CS24" i="6" a="1"/>
  <c r="CS24" i="6"/>
  <c r="CT24" i="6" a="1"/>
  <c r="CT24" i="6"/>
  <c r="CU24" i="6" a="1"/>
  <c r="CU24" i="6" s="1"/>
  <c r="CV24" i="6" a="1"/>
  <c r="CV24" i="6" s="1"/>
  <c r="CW24" i="6" a="1"/>
  <c r="CW24" i="6" s="1"/>
  <c r="CX24" i="6" a="1"/>
  <c r="CX24" i="6" s="1"/>
  <c r="CY24" i="6" a="1"/>
  <c r="CY24" i="6" s="1"/>
  <c r="CZ24" i="6" a="1"/>
  <c r="CZ24" i="6" s="1"/>
  <c r="DA24" i="6" a="1"/>
  <c r="DA24" i="6"/>
  <c r="DB24" i="6" a="1"/>
  <c r="DB24" i="6"/>
  <c r="DC24" i="6" a="1"/>
  <c r="DC24" i="6" s="1"/>
  <c r="DD24" i="6" a="1"/>
  <c r="DD24" i="6" s="1"/>
  <c r="DE24" i="6" a="1"/>
  <c r="DE24" i="6" s="1"/>
  <c r="DF24" i="6" a="1"/>
  <c r="DF24" i="6" s="1"/>
  <c r="DG24" i="6" a="1"/>
  <c r="DG24" i="6" s="1"/>
  <c r="DH24" i="6" a="1"/>
  <c r="DH24" i="6" s="1"/>
  <c r="DI24" i="6" a="1"/>
  <c r="DI24" i="6" s="1"/>
  <c r="DJ24" i="6" a="1"/>
  <c r="DJ24" i="6" s="1"/>
  <c r="DK24" i="6" a="1"/>
  <c r="DK24" i="6"/>
  <c r="DL24" i="6" a="1"/>
  <c r="DL24" i="6" s="1"/>
  <c r="DM24" i="6" a="1"/>
  <c r="DM24" i="6" s="1"/>
  <c r="DN24" i="6" a="1"/>
  <c r="DN24" i="6" s="1"/>
  <c r="DO24" i="6" a="1"/>
  <c r="DO24" i="6" s="1"/>
  <c r="DP24" i="6" a="1"/>
  <c r="DP24" i="6" s="1"/>
  <c r="DQ24" i="6" a="1"/>
  <c r="DQ24" i="6"/>
  <c r="DR24" i="6" a="1"/>
  <c r="DR24" i="6" s="1"/>
  <c r="DS24" i="6" a="1"/>
  <c r="DS24" i="6"/>
  <c r="DT24" i="6" a="1"/>
  <c r="DT24" i="6" s="1"/>
  <c r="DU24" i="6" a="1"/>
  <c r="DU24" i="6" s="1"/>
  <c r="DV24" i="6" a="1"/>
  <c r="DV24" i="6" s="1"/>
  <c r="DW24" i="6" a="1"/>
  <c r="DW24" i="6" s="1"/>
  <c r="DX24" i="6" a="1"/>
  <c r="DX24" i="6" s="1"/>
  <c r="DY24" i="6" a="1"/>
  <c r="DY24" i="6"/>
  <c r="DZ24" i="6" a="1"/>
  <c r="DZ24" i="6" s="1"/>
  <c r="EA24" i="6" a="1"/>
  <c r="EA24" i="6" s="1"/>
  <c r="EB24" i="6" a="1"/>
  <c r="EB24" i="6" s="1"/>
  <c r="EC24" i="6" a="1"/>
  <c r="EC24" i="6" s="1"/>
  <c r="ED24" i="6" a="1"/>
  <c r="ED24" i="6" s="1"/>
  <c r="EE24" i="6" a="1"/>
  <c r="EE24" i="6" s="1"/>
  <c r="E25" i="6" a="1"/>
  <c r="E25" i="6" s="1"/>
  <c r="F25" i="6" a="1"/>
  <c r="F25" i="6" s="1"/>
  <c r="G25" i="6" a="1"/>
  <c r="G25" i="6" s="1"/>
  <c r="H25" i="6" a="1"/>
  <c r="H25" i="6"/>
  <c r="I25" i="6" a="1"/>
  <c r="I25" i="6" s="1"/>
  <c r="J25" i="6" a="1"/>
  <c r="J25" i="6" s="1"/>
  <c r="K25" i="6" a="1"/>
  <c r="K25" i="6" s="1"/>
  <c r="L25" i="6" a="1"/>
  <c r="L25" i="6" s="1"/>
  <c r="M25" i="6" a="1"/>
  <c r="M25" i="6" s="1"/>
  <c r="N25" i="6" a="1"/>
  <c r="N25" i="6" s="1"/>
  <c r="O25" i="6" a="1"/>
  <c r="O25" i="6"/>
  <c r="P25" i="6" a="1"/>
  <c r="P25" i="6" s="1"/>
  <c r="Q25" i="6" a="1"/>
  <c r="Q25" i="6" s="1"/>
  <c r="R25" i="6" a="1"/>
  <c r="R25" i="6"/>
  <c r="S25" i="6" a="1"/>
  <c r="S25" i="6" s="1"/>
  <c r="T25" i="6" a="1"/>
  <c r="T25" i="6" s="1"/>
  <c r="U25" i="6" a="1"/>
  <c r="U25" i="6" s="1"/>
  <c r="V25" i="6" a="1"/>
  <c r="V25" i="6" s="1"/>
  <c r="W25" i="6" a="1"/>
  <c r="W25" i="6" s="1"/>
  <c r="X25" i="6" a="1"/>
  <c r="X25" i="6"/>
  <c r="Y25" i="6" a="1"/>
  <c r="Y25" i="6" s="1"/>
  <c r="Z25" i="6" a="1"/>
  <c r="Z25" i="6" s="1"/>
  <c r="AA25" i="6" a="1"/>
  <c r="AA25" i="6"/>
  <c r="AB25" i="6" a="1"/>
  <c r="AB25" i="6" s="1"/>
  <c r="AC25" i="6" a="1"/>
  <c r="AC25" i="6" s="1"/>
  <c r="AD25" i="6" a="1"/>
  <c r="AD25" i="6"/>
  <c r="AE25" i="6" a="1"/>
  <c r="AE25" i="6" s="1"/>
  <c r="AF25" i="6" a="1"/>
  <c r="AF25" i="6" s="1"/>
  <c r="AG25" i="6" a="1"/>
  <c r="AG25" i="6" s="1"/>
  <c r="AH25" i="6" a="1"/>
  <c r="AH25" i="6" s="1"/>
  <c r="AI25" i="6" a="1"/>
  <c r="AI25" i="6" s="1"/>
  <c r="AJ25" i="6" a="1"/>
  <c r="AJ25" i="6"/>
  <c r="AK25" i="6" a="1"/>
  <c r="AK25" i="6" s="1"/>
  <c r="AL25" i="6" a="1"/>
  <c r="AL25" i="6"/>
  <c r="AM25" i="6" a="1"/>
  <c r="AM25" i="6" s="1"/>
  <c r="AN25" i="6" a="1"/>
  <c r="AN25" i="6" s="1"/>
  <c r="AO25" i="6" a="1"/>
  <c r="AO25" i="6" s="1"/>
  <c r="AP25" i="6" a="1"/>
  <c r="AP25" i="6" s="1"/>
  <c r="AQ25" i="6" a="1"/>
  <c r="AQ25" i="6" s="1"/>
  <c r="AR25" i="6" a="1"/>
  <c r="AR25" i="6" s="1"/>
  <c r="AS25" i="6" a="1"/>
  <c r="AS25" i="6" s="1"/>
  <c r="AT25" i="6" a="1"/>
  <c r="AT25" i="6" s="1"/>
  <c r="AU25" i="6" a="1"/>
  <c r="AU25" i="6" s="1"/>
  <c r="AV25" i="6" a="1"/>
  <c r="AV25" i="6" s="1"/>
  <c r="AW25" i="6" a="1"/>
  <c r="AW25" i="6" s="1"/>
  <c r="AX25" i="6" a="1"/>
  <c r="AX25" i="6"/>
  <c r="AY25" i="6" a="1"/>
  <c r="AY25" i="6" s="1"/>
  <c r="AZ25" i="6" a="1"/>
  <c r="AZ25" i="6" s="1"/>
  <c r="BA25" i="6" a="1"/>
  <c r="BA25" i="6" s="1"/>
  <c r="BB25" i="6" a="1"/>
  <c r="BB25" i="6" s="1"/>
  <c r="BC25" i="6" a="1"/>
  <c r="BC25" i="6" s="1"/>
  <c r="BD25" i="6" a="1"/>
  <c r="BD25" i="6"/>
  <c r="BE25" i="6" a="1"/>
  <c r="BE25" i="6" s="1"/>
  <c r="BF25" i="6" a="1"/>
  <c r="BF25" i="6" s="1"/>
  <c r="BG25" i="6" a="1"/>
  <c r="BG25" i="6"/>
  <c r="BH25" i="6" a="1"/>
  <c r="BH25" i="6" s="1"/>
  <c r="BI25" i="6" a="1"/>
  <c r="BI25" i="6" s="1"/>
  <c r="BJ25" i="6" a="1"/>
  <c r="BJ25" i="6"/>
  <c r="BK25" i="6" a="1"/>
  <c r="BK25" i="6"/>
  <c r="BL25" i="6" a="1"/>
  <c r="BL25" i="6" s="1"/>
  <c r="BM25" i="6" a="1"/>
  <c r="BM25" i="6" s="1"/>
  <c r="BN25" i="6" a="1"/>
  <c r="BN25" i="6" s="1"/>
  <c r="BO25" i="6" a="1"/>
  <c r="BO25" i="6" s="1"/>
  <c r="BP25" i="6" a="1"/>
  <c r="BP25" i="6"/>
  <c r="BQ25" i="6" a="1"/>
  <c r="BQ25" i="6" s="1"/>
  <c r="BR25" i="6" a="1"/>
  <c r="BR25" i="6" s="1"/>
  <c r="BS25" i="6" a="1"/>
  <c r="BS25" i="6" s="1"/>
  <c r="BT25" i="6" a="1"/>
  <c r="BT25" i="6"/>
  <c r="BU25" i="6" a="1"/>
  <c r="BU25" i="6" s="1"/>
  <c r="BV25" i="6" a="1"/>
  <c r="BV25" i="6" s="1"/>
  <c r="BW25" i="6" a="1"/>
  <c r="BW25" i="6" s="1"/>
  <c r="BX25" i="6" a="1"/>
  <c r="BX25" i="6" s="1"/>
  <c r="BY25" i="6" a="1"/>
  <c r="BY25" i="6" s="1"/>
  <c r="BZ25" i="6" a="1"/>
  <c r="BZ25" i="6" s="1"/>
  <c r="CA25" i="6" a="1"/>
  <c r="CA25" i="6"/>
  <c r="CB25" i="6" a="1"/>
  <c r="CB25" i="6" s="1"/>
  <c r="CC25" i="6" a="1"/>
  <c r="CC25" i="6" s="1"/>
  <c r="CD25" i="6" a="1"/>
  <c r="CD25" i="6"/>
  <c r="CE25" i="6" a="1"/>
  <c r="CE25" i="6" s="1"/>
  <c r="CF25" i="6" a="1"/>
  <c r="CF25" i="6" s="1"/>
  <c r="CG25" i="6" a="1"/>
  <c r="CG25" i="6" s="1"/>
  <c r="CH25" i="6" a="1"/>
  <c r="CH25" i="6" s="1"/>
  <c r="CI25" i="6" a="1"/>
  <c r="CI25" i="6" s="1"/>
  <c r="CJ25" i="6" a="1"/>
  <c r="CJ25" i="6"/>
  <c r="CK25" i="6" a="1"/>
  <c r="CK25" i="6" s="1"/>
  <c r="CL25" i="6" a="1"/>
  <c r="CL25" i="6" s="1"/>
  <c r="CM25" i="6" a="1"/>
  <c r="CM25" i="6"/>
  <c r="CN25" i="6" a="1"/>
  <c r="CN25" i="6" s="1"/>
  <c r="CO25" i="6" a="1"/>
  <c r="CO25" i="6" s="1"/>
  <c r="CP25" i="6" a="1"/>
  <c r="CP25" i="6"/>
  <c r="CQ25" i="6" a="1"/>
  <c r="CQ25" i="6" s="1"/>
  <c r="CR25" i="6" a="1"/>
  <c r="CR25" i="6" s="1"/>
  <c r="CS25" i="6" a="1"/>
  <c r="CS25" i="6" s="1"/>
  <c r="CT25" i="6" a="1"/>
  <c r="CT25" i="6" s="1"/>
  <c r="CU25" i="6" a="1"/>
  <c r="CU25" i="6" s="1"/>
  <c r="CV25" i="6" a="1"/>
  <c r="CV25" i="6"/>
  <c r="CW25" i="6" a="1"/>
  <c r="CW25" i="6" s="1"/>
  <c r="CX25" i="6" a="1"/>
  <c r="CX25" i="6"/>
  <c r="CY25" i="6" a="1"/>
  <c r="CY25" i="6" s="1"/>
  <c r="CZ25" i="6" a="1"/>
  <c r="CZ25" i="6" s="1"/>
  <c r="DA25" i="6" a="1"/>
  <c r="DA25" i="6" s="1"/>
  <c r="DB25" i="6" a="1"/>
  <c r="DB25" i="6" s="1"/>
  <c r="DC25" i="6" a="1"/>
  <c r="DC25" i="6" s="1"/>
  <c r="DD25" i="6" a="1"/>
  <c r="DD25" i="6" s="1"/>
  <c r="DE25" i="6" a="1"/>
  <c r="DE25" i="6" s="1"/>
  <c r="DF25" i="6" a="1"/>
  <c r="DF25" i="6" s="1"/>
  <c r="DG25" i="6" a="1"/>
  <c r="DG25" i="6" s="1"/>
  <c r="DH25" i="6" a="1"/>
  <c r="DH25" i="6" s="1"/>
  <c r="DI25" i="6" a="1"/>
  <c r="DI25" i="6" s="1"/>
  <c r="DJ25" i="6" a="1"/>
  <c r="DJ25" i="6"/>
  <c r="DK25" i="6" a="1"/>
  <c r="DK25" i="6" s="1"/>
  <c r="DL25" i="6" a="1"/>
  <c r="DL25" i="6" s="1"/>
  <c r="DM25" i="6" a="1"/>
  <c r="DM25" i="6" s="1"/>
  <c r="DN25" i="6" a="1"/>
  <c r="DN25" i="6" s="1"/>
  <c r="DO25" i="6" a="1"/>
  <c r="DO25" i="6" s="1"/>
  <c r="DP25" i="6" a="1"/>
  <c r="DP25" i="6"/>
  <c r="DQ25" i="6" a="1"/>
  <c r="DQ25" i="6" s="1"/>
  <c r="DR25" i="6" a="1"/>
  <c r="DR25" i="6" s="1"/>
  <c r="DS25" i="6" a="1"/>
  <c r="DS25" i="6"/>
  <c r="DT25" i="6" a="1"/>
  <c r="DT25" i="6" s="1"/>
  <c r="DU25" i="6" a="1"/>
  <c r="DU25" i="6" s="1"/>
  <c r="DV25" i="6" a="1"/>
  <c r="DV25" i="6"/>
  <c r="DW25" i="6" a="1"/>
  <c r="DW25" i="6"/>
  <c r="DX25" i="6" a="1"/>
  <c r="DX25" i="6" s="1"/>
  <c r="DY25" i="6" a="1"/>
  <c r="DY25" i="6" s="1"/>
  <c r="DZ25" i="6" a="1"/>
  <c r="DZ25" i="6" s="1"/>
  <c r="EA25" i="6" a="1"/>
  <c r="EA25" i="6" s="1"/>
  <c r="EB25" i="6" a="1"/>
  <c r="EB25" i="6"/>
  <c r="EC25" i="6" a="1"/>
  <c r="EC25" i="6" s="1"/>
  <c r="ED25" i="6" a="1"/>
  <c r="ED25" i="6" s="1"/>
  <c r="EE25" i="6" a="1"/>
  <c r="EE25" i="6" s="1"/>
  <c r="E26" i="6" a="1"/>
  <c r="E26" i="6" s="1"/>
  <c r="F26" i="6" a="1"/>
  <c r="F26" i="6" s="1"/>
  <c r="G26" i="6" a="1"/>
  <c r="G26" i="6" s="1"/>
  <c r="H26" i="6" a="1"/>
  <c r="H26" i="6" s="1"/>
  <c r="I26" i="6" a="1"/>
  <c r="I26" i="6" s="1"/>
  <c r="J26" i="6" a="1"/>
  <c r="J26" i="6" s="1"/>
  <c r="K26" i="6" a="1"/>
  <c r="K26" i="6" s="1"/>
  <c r="L26" i="6" a="1"/>
  <c r="L26" i="6" s="1"/>
  <c r="M26" i="6" a="1"/>
  <c r="M26" i="6" s="1"/>
  <c r="N26" i="6" a="1"/>
  <c r="N26" i="6" s="1"/>
  <c r="O26" i="6" a="1"/>
  <c r="O26" i="6"/>
  <c r="P26" i="6" a="1"/>
  <c r="P26" i="6" s="1"/>
  <c r="Q26" i="6" a="1"/>
  <c r="Q26" i="6" s="1"/>
  <c r="R26" i="6" a="1"/>
  <c r="R26" i="6" s="1"/>
  <c r="S26" i="6" a="1"/>
  <c r="S26" i="6" s="1"/>
  <c r="T26" i="6" a="1"/>
  <c r="T26" i="6" s="1"/>
  <c r="U26" i="6" a="1"/>
  <c r="U26" i="6"/>
  <c r="V26" i="6" a="1"/>
  <c r="V26" i="6" s="1"/>
  <c r="W26" i="6" a="1"/>
  <c r="W26" i="6" s="1"/>
  <c r="X26" i="6" a="1"/>
  <c r="X26" i="6"/>
  <c r="Y26" i="6" a="1"/>
  <c r="Y26" i="6" s="1"/>
  <c r="Z26" i="6" a="1"/>
  <c r="Z26" i="6" s="1"/>
  <c r="AA26" i="6" a="1"/>
  <c r="AA26" i="6"/>
  <c r="AB26" i="6" a="1"/>
  <c r="AB26" i="6" s="1"/>
  <c r="AC26" i="6" a="1"/>
  <c r="AC26" i="6" s="1"/>
  <c r="AD26" i="6" a="1"/>
  <c r="AD26" i="6" s="1"/>
  <c r="AE26" i="6" a="1"/>
  <c r="AE26" i="6" s="1"/>
  <c r="AF26" i="6" a="1"/>
  <c r="AF26" i="6" s="1"/>
  <c r="AG26" i="6" a="1"/>
  <c r="AG26" i="6"/>
  <c r="AH26" i="6" a="1"/>
  <c r="AH26" i="6" s="1"/>
  <c r="AI26" i="6" a="1"/>
  <c r="AI26" i="6" s="1"/>
  <c r="AJ26" i="6" a="1"/>
  <c r="AJ26" i="6" s="1"/>
  <c r="AK26" i="6" a="1"/>
  <c r="AK26" i="6" s="1"/>
  <c r="AL26" i="6" a="1"/>
  <c r="AL26" i="6" s="1"/>
  <c r="AM26" i="6" a="1"/>
  <c r="AM26" i="6" s="1"/>
  <c r="AN26" i="6" a="1"/>
  <c r="AN26" i="6" s="1"/>
  <c r="AO26" i="6" a="1"/>
  <c r="AO26" i="6" s="1"/>
  <c r="AP26" i="6" a="1"/>
  <c r="AP26" i="6" s="1"/>
  <c r="AQ26" i="6" a="1"/>
  <c r="AQ26" i="6" s="1"/>
  <c r="AR26" i="6" a="1"/>
  <c r="AR26" i="6" s="1"/>
  <c r="AS26" i="6" a="1"/>
  <c r="AS26" i="6" s="1"/>
  <c r="AT26" i="6" a="1"/>
  <c r="AT26" i="6" s="1"/>
  <c r="AU26" i="6" a="1"/>
  <c r="AU26" i="6"/>
  <c r="AV26" i="6" a="1"/>
  <c r="AV26" i="6" s="1"/>
  <c r="AW26" i="6" a="1"/>
  <c r="AW26" i="6" s="1"/>
  <c r="AX26" i="6" a="1"/>
  <c r="AX26" i="6" s="1"/>
  <c r="AY26" i="6" a="1"/>
  <c r="AY26" i="6" s="1"/>
  <c r="AZ26" i="6" a="1"/>
  <c r="AZ26" i="6" s="1"/>
  <c r="BA26" i="6" a="1"/>
  <c r="BA26" i="6"/>
  <c r="BB26" i="6" a="1"/>
  <c r="BB26" i="6" s="1"/>
  <c r="BC26" i="6" a="1"/>
  <c r="BC26" i="6" s="1"/>
  <c r="BD26" i="6" a="1"/>
  <c r="BD26" i="6"/>
  <c r="BE26" i="6" a="1"/>
  <c r="BE26" i="6" s="1"/>
  <c r="BF26" i="6" a="1"/>
  <c r="BF26" i="6" s="1"/>
  <c r="BG26" i="6" a="1"/>
  <c r="BG26" i="6"/>
  <c r="BH26" i="6" a="1"/>
  <c r="BH26" i="6"/>
  <c r="BI26" i="6" a="1"/>
  <c r="BI26" i="6" s="1"/>
  <c r="BJ26" i="6" a="1"/>
  <c r="BJ26" i="6" s="1"/>
  <c r="BK26" i="6" a="1"/>
  <c r="BK26" i="6" s="1"/>
  <c r="BL26" i="6" a="1"/>
  <c r="BL26" i="6" s="1"/>
  <c r="BM26" i="6" a="1"/>
  <c r="BM26" i="6"/>
  <c r="BN26" i="6" a="1"/>
  <c r="BN26" i="6" s="1"/>
  <c r="BO26" i="6" a="1"/>
  <c r="BO26" i="6" s="1"/>
  <c r="BP26" i="6" a="1"/>
  <c r="BP26" i="6" s="1"/>
  <c r="BQ26" i="6" a="1"/>
  <c r="BQ26" i="6" s="1"/>
  <c r="BR26" i="6" a="1"/>
  <c r="BR26" i="6" s="1"/>
  <c r="BS26" i="6" a="1"/>
  <c r="BS26" i="6" s="1"/>
  <c r="BT26" i="6" a="1"/>
  <c r="BT26" i="6" s="1"/>
  <c r="BU26" i="6" a="1"/>
  <c r="BU26" i="6" s="1"/>
  <c r="BV26" i="6" a="1"/>
  <c r="BV26" i="6" s="1"/>
  <c r="BW26" i="6" a="1"/>
  <c r="BW26" i="6" s="1"/>
  <c r="BX26" i="6" a="1"/>
  <c r="BX26" i="6" s="1"/>
  <c r="BY26" i="6" a="1"/>
  <c r="BY26" i="6" s="1"/>
  <c r="BZ26" i="6" a="1"/>
  <c r="BZ26" i="6" s="1"/>
  <c r="CA26" i="6" a="1"/>
  <c r="CA26" i="6"/>
  <c r="CB26" i="6" a="1"/>
  <c r="CB26" i="6" s="1"/>
  <c r="CC26" i="6" a="1"/>
  <c r="CC26" i="6" s="1"/>
  <c r="CD26" i="6" a="1"/>
  <c r="CD26" i="6" s="1"/>
  <c r="CE26" i="6" a="1"/>
  <c r="CE26" i="6" s="1"/>
  <c r="CF26" i="6" a="1"/>
  <c r="CF26" i="6" s="1"/>
  <c r="CG26" i="6" a="1"/>
  <c r="CG26" i="6"/>
  <c r="CH26" i="6" a="1"/>
  <c r="CH26" i="6" s="1"/>
  <c r="CI26" i="6" a="1"/>
  <c r="CI26" i="6" s="1"/>
  <c r="CJ26" i="6" a="1"/>
  <c r="CJ26" i="6"/>
  <c r="CK26" i="6" a="1"/>
  <c r="CK26" i="6" s="1"/>
  <c r="CL26" i="6" a="1"/>
  <c r="CL26" i="6" s="1"/>
  <c r="CM26" i="6" a="1"/>
  <c r="CM26" i="6"/>
  <c r="CN26" i="6" a="1"/>
  <c r="CN26" i="6" s="1"/>
  <c r="CO26" i="6" a="1"/>
  <c r="CO26" i="6" s="1"/>
  <c r="CP26" i="6" a="1"/>
  <c r="CP26" i="6" s="1"/>
  <c r="CQ26" i="6" a="1"/>
  <c r="CQ26" i="6" s="1"/>
  <c r="CR26" i="6" a="1"/>
  <c r="CR26" i="6" s="1"/>
  <c r="CS26" i="6" a="1"/>
  <c r="CS26" i="6"/>
  <c r="CT26" i="6" a="1"/>
  <c r="CT26" i="6" s="1"/>
  <c r="CU26" i="6" a="1"/>
  <c r="CU26" i="6" s="1"/>
  <c r="CV26" i="6" a="1"/>
  <c r="CV26" i="6" s="1"/>
  <c r="CW26" i="6" a="1"/>
  <c r="CW26" i="6" s="1"/>
  <c r="CX26" i="6" a="1"/>
  <c r="CX26" i="6" s="1"/>
  <c r="CY26" i="6" a="1"/>
  <c r="CY26" i="6" s="1"/>
  <c r="CZ26" i="6" a="1"/>
  <c r="CZ26" i="6" s="1"/>
  <c r="DA26" i="6" a="1"/>
  <c r="DA26" i="6" s="1"/>
  <c r="DB26" i="6" a="1"/>
  <c r="DB26" i="6" s="1"/>
  <c r="DC26" i="6" a="1"/>
  <c r="DC26" i="6" s="1"/>
  <c r="DD26" i="6" a="1"/>
  <c r="DD26" i="6" s="1"/>
  <c r="DE26" i="6" a="1"/>
  <c r="DE26" i="6" s="1"/>
  <c r="DF26" i="6" a="1"/>
  <c r="DF26" i="6" s="1"/>
  <c r="DG26" i="6" a="1"/>
  <c r="DG26" i="6"/>
  <c r="DH26" i="6" a="1"/>
  <c r="DH26" i="6" s="1"/>
  <c r="DI26" i="6" a="1"/>
  <c r="DI26" i="6" s="1"/>
  <c r="DJ26" i="6" a="1"/>
  <c r="DJ26" i="6" s="1"/>
  <c r="DK26" i="6" a="1"/>
  <c r="DK26" i="6" s="1"/>
  <c r="DL26" i="6" a="1"/>
  <c r="DL26" i="6" s="1"/>
  <c r="DM26" i="6" a="1"/>
  <c r="DM26" i="6"/>
  <c r="DN26" i="6" a="1"/>
  <c r="DN26" i="6" s="1"/>
  <c r="DO26" i="6" a="1"/>
  <c r="DO26" i="6" s="1"/>
  <c r="DP26" i="6" a="1"/>
  <c r="DP26" i="6"/>
  <c r="DQ26" i="6" a="1"/>
  <c r="DQ26" i="6" s="1"/>
  <c r="DR26" i="6" a="1"/>
  <c r="DR26" i="6" s="1"/>
  <c r="DS26" i="6" a="1"/>
  <c r="DS26" i="6"/>
  <c r="DT26" i="6" a="1"/>
  <c r="DT26" i="6"/>
  <c r="DU26" i="6" a="1"/>
  <c r="DU26" i="6" s="1"/>
  <c r="DV26" i="6" a="1"/>
  <c r="DV26" i="6" s="1"/>
  <c r="DW26" i="6" a="1"/>
  <c r="DW26" i="6" s="1"/>
  <c r="DX26" i="6" a="1"/>
  <c r="DX26" i="6" s="1"/>
  <c r="DY26" i="6" a="1"/>
  <c r="DY26" i="6"/>
  <c r="DZ26" i="6" a="1"/>
  <c r="DZ26" i="6" s="1"/>
  <c r="EA26" i="6" a="1"/>
  <c r="EA26" i="6" s="1"/>
  <c r="EB26" i="6" a="1"/>
  <c r="EB26" i="6" s="1"/>
  <c r="EC26" i="6" a="1"/>
  <c r="EC26" i="6" s="1"/>
  <c r="ED26" i="6" a="1"/>
  <c r="ED26" i="6" s="1"/>
  <c r="EE26" i="6" a="1"/>
  <c r="EE26" i="6" s="1"/>
  <c r="E27" i="6" a="1"/>
  <c r="E27" i="6" s="1"/>
  <c r="F27" i="6" a="1"/>
  <c r="F27" i="6" s="1"/>
  <c r="G27" i="6" a="1"/>
  <c r="G27" i="6" s="1"/>
  <c r="H27" i="6" a="1"/>
  <c r="H27" i="6" s="1"/>
  <c r="I27" i="6" a="1"/>
  <c r="I27" i="6" s="1"/>
  <c r="J27" i="6" a="1"/>
  <c r="J27" i="6" s="1"/>
  <c r="K27" i="6" a="1"/>
  <c r="K27" i="6" s="1"/>
  <c r="L27" i="6" a="1"/>
  <c r="L27" i="6"/>
  <c r="M27" i="6" a="1"/>
  <c r="M27" i="6" s="1"/>
  <c r="N27" i="6" a="1"/>
  <c r="N27" i="6" s="1"/>
  <c r="O27" i="6" a="1"/>
  <c r="O27" i="6" s="1"/>
  <c r="P27" i="6" a="1"/>
  <c r="P27" i="6" s="1"/>
  <c r="Q27" i="6" a="1"/>
  <c r="Q27" i="6" s="1"/>
  <c r="R27" i="6" a="1"/>
  <c r="R27" i="6"/>
  <c r="S27" i="6" a="1"/>
  <c r="S27" i="6" s="1"/>
  <c r="T27" i="6" a="1"/>
  <c r="T27" i="6" s="1"/>
  <c r="U27" i="6" a="1"/>
  <c r="U27" i="6"/>
  <c r="V27" i="6" a="1"/>
  <c r="V27" i="6" s="1"/>
  <c r="W27" i="6" a="1"/>
  <c r="W27" i="6" s="1"/>
  <c r="X27" i="6" a="1"/>
  <c r="X27" i="6"/>
  <c r="Y27" i="6" a="1"/>
  <c r="Y27" i="6" s="1"/>
  <c r="Z27" i="6" a="1"/>
  <c r="Z27" i="6" s="1"/>
  <c r="AA27" i="6" a="1"/>
  <c r="AA27" i="6" s="1"/>
  <c r="AB27" i="6" a="1"/>
  <c r="AB27" i="6" s="1"/>
  <c r="AC27" i="6" a="1"/>
  <c r="AC27" i="6" s="1"/>
  <c r="AD27" i="6" a="1"/>
  <c r="AD27" i="6"/>
  <c r="AE27" i="6" a="1"/>
  <c r="AE27" i="6" s="1"/>
  <c r="AF27" i="6" a="1"/>
  <c r="AF27" i="6" s="1"/>
  <c r="AG27" i="6" a="1"/>
  <c r="AG27" i="6" s="1"/>
  <c r="AH27" i="6" a="1"/>
  <c r="AH27" i="6" s="1"/>
  <c r="AI27" i="6" a="1"/>
  <c r="AI27" i="6" s="1"/>
  <c r="AJ27" i="6" a="1"/>
  <c r="AJ27" i="6" s="1"/>
  <c r="AK27" i="6" a="1"/>
  <c r="AK27" i="6" s="1"/>
  <c r="AL27" i="6" a="1"/>
  <c r="AL27" i="6" s="1"/>
  <c r="AM27" i="6" a="1"/>
  <c r="AM27" i="6" s="1"/>
  <c r="AN27" i="6" a="1"/>
  <c r="AN27" i="6" s="1"/>
  <c r="AO27" i="6" a="1"/>
  <c r="AO27" i="6" s="1"/>
  <c r="AP27" i="6" a="1"/>
  <c r="AP27" i="6" s="1"/>
  <c r="AQ27" i="6" a="1"/>
  <c r="AQ27" i="6" s="1"/>
  <c r="AR27" i="6" a="1"/>
  <c r="AR27" i="6"/>
  <c r="AS27" i="6" a="1"/>
  <c r="AS27" i="6" s="1"/>
  <c r="AT27" i="6" a="1"/>
  <c r="AT27" i="6" s="1"/>
  <c r="AU27" i="6" a="1"/>
  <c r="AU27" i="6" s="1"/>
  <c r="AV27" i="6" a="1"/>
  <c r="AV27" i="6" s="1"/>
  <c r="AW27" i="6" a="1"/>
  <c r="AW27" i="6" s="1"/>
  <c r="AX27" i="6" a="1"/>
  <c r="AX27" i="6"/>
  <c r="AY27" i="6" a="1"/>
  <c r="AY27" i="6" s="1"/>
  <c r="AZ27" i="6" a="1"/>
  <c r="AZ27" i="6" s="1"/>
  <c r="BA27" i="6" a="1"/>
  <c r="BA27" i="6"/>
  <c r="BB27" i="6" a="1"/>
  <c r="BB27" i="6" s="1"/>
  <c r="BC27" i="6" a="1"/>
  <c r="BC27" i="6" s="1"/>
  <c r="BD27" i="6" a="1"/>
  <c r="BD27" i="6"/>
  <c r="BE27" i="6" a="1"/>
  <c r="BE27" i="6"/>
  <c r="BF27" i="6" a="1"/>
  <c r="BF27" i="6" s="1"/>
  <c r="BG27" i="6" a="1"/>
  <c r="BG27" i="6" s="1"/>
  <c r="BH27" i="6" a="1"/>
  <c r="BH27" i="6" s="1"/>
  <c r="BI27" i="6" a="1"/>
  <c r="BI27" i="6" s="1"/>
  <c r="BJ27" i="6" a="1"/>
  <c r="BJ27" i="6"/>
  <c r="BK27" i="6" a="1"/>
  <c r="BK27" i="6" s="1"/>
  <c r="BL27" i="6" a="1"/>
  <c r="BL27" i="6" s="1"/>
  <c r="BM27" i="6" a="1"/>
  <c r="BM27" i="6" s="1"/>
  <c r="BN27" i="6" a="1"/>
  <c r="BN27" i="6" s="1"/>
  <c r="BO27" i="6" a="1"/>
  <c r="BO27" i="6" s="1"/>
  <c r="BP27" i="6" a="1"/>
  <c r="BP27" i="6" s="1"/>
  <c r="BQ27" i="6" a="1"/>
  <c r="BQ27" i="6" s="1"/>
  <c r="BR27" i="6" a="1"/>
  <c r="BR27" i="6" s="1"/>
  <c r="BS27" i="6" a="1"/>
  <c r="BS27" i="6" s="1"/>
  <c r="BT27" i="6" a="1"/>
  <c r="BT27" i="6" s="1"/>
  <c r="BU27" i="6" a="1"/>
  <c r="BU27" i="6" s="1"/>
  <c r="BV27" i="6" a="1"/>
  <c r="BV27" i="6" s="1"/>
  <c r="BW27" i="6" a="1"/>
  <c r="BW27" i="6" s="1"/>
  <c r="BX27" i="6" a="1"/>
  <c r="BX27" i="6"/>
  <c r="BY27" i="6" a="1"/>
  <c r="BY27" i="6" s="1"/>
  <c r="BZ27" i="6" a="1"/>
  <c r="BZ27" i="6" s="1"/>
  <c r="CA27" i="6" a="1"/>
  <c r="CA27" i="6" s="1"/>
  <c r="CB27" i="6" a="1"/>
  <c r="CB27" i="6" s="1"/>
  <c r="CC27" i="6" a="1"/>
  <c r="CC27" i="6" s="1"/>
  <c r="CD27" i="6" a="1"/>
  <c r="CD27" i="6"/>
  <c r="CE27" i="6" a="1"/>
  <c r="CE27" i="6" s="1"/>
  <c r="CF27" i="6" a="1"/>
  <c r="CF27" i="6" s="1"/>
  <c r="CG27" i="6" a="1"/>
  <c r="CG27" i="6"/>
  <c r="CH27" i="6" a="1"/>
  <c r="CH27" i="6" s="1"/>
  <c r="CI27" i="6" a="1"/>
  <c r="CI27" i="6" s="1"/>
  <c r="CJ27" i="6" a="1"/>
  <c r="CJ27" i="6"/>
  <c r="CK27" i="6" a="1"/>
  <c r="CK27" i="6" s="1"/>
  <c r="CL27" i="6" a="1"/>
  <c r="CL27" i="6" s="1"/>
  <c r="CM27" i="6" a="1"/>
  <c r="CM27" i="6" s="1"/>
  <c r="CN27" i="6" a="1"/>
  <c r="CN27" i="6" s="1"/>
  <c r="CO27" i="6" a="1"/>
  <c r="CO27" i="6" s="1"/>
  <c r="CP27" i="6" a="1"/>
  <c r="CP27" i="6"/>
  <c r="CQ27" i="6" a="1"/>
  <c r="CQ27" i="6" s="1"/>
  <c r="CR27" i="6" a="1"/>
  <c r="CR27" i="6" s="1"/>
  <c r="CS27" i="6" a="1"/>
  <c r="CS27" i="6" s="1"/>
  <c r="CT27" i="6" a="1"/>
  <c r="CT27" i="6" s="1"/>
  <c r="CU27" i="6" a="1"/>
  <c r="CU27" i="6" s="1"/>
  <c r="CV27" i="6" a="1"/>
  <c r="CV27" i="6" s="1"/>
  <c r="CW27" i="6" a="1"/>
  <c r="CW27" i="6" s="1"/>
  <c r="CX27" i="6" a="1"/>
  <c r="CX27" i="6" s="1"/>
  <c r="CY27" i="6" a="1"/>
  <c r="CY27" i="6" s="1"/>
  <c r="CZ27" i="6" a="1"/>
  <c r="CZ27" i="6" s="1"/>
  <c r="DA27" i="6" a="1"/>
  <c r="DA27" i="6" s="1"/>
  <c r="DB27" i="6" a="1"/>
  <c r="DB27" i="6" s="1"/>
  <c r="DC27" i="6" a="1"/>
  <c r="DC27" i="6" s="1"/>
  <c r="DD27" i="6" a="1"/>
  <c r="DD27" i="6"/>
  <c r="DE27" i="6" a="1"/>
  <c r="DE27" i="6" s="1"/>
  <c r="DF27" i="6" a="1"/>
  <c r="DF27" i="6" s="1"/>
  <c r="DG27" i="6" a="1"/>
  <c r="DG27" i="6" s="1"/>
  <c r="DH27" i="6" a="1"/>
  <c r="DH27" i="6" s="1"/>
  <c r="DI27" i="6" a="1"/>
  <c r="DI27" i="6" s="1"/>
  <c r="DJ27" i="6" a="1"/>
  <c r="DJ27" i="6"/>
  <c r="DK27" i="6" a="1"/>
  <c r="DK27" i="6" s="1"/>
  <c r="DL27" i="6" a="1"/>
  <c r="DL27" i="6" s="1"/>
  <c r="DM27" i="6" a="1"/>
  <c r="DM27" i="6"/>
  <c r="DN27" i="6" a="1"/>
  <c r="DN27" i="6" s="1"/>
  <c r="DO27" i="6" a="1"/>
  <c r="DO27" i="6" s="1"/>
  <c r="DP27" i="6" a="1"/>
  <c r="DP27" i="6"/>
  <c r="DQ27" i="6" a="1"/>
  <c r="DQ27" i="6"/>
  <c r="DR27" i="6" a="1"/>
  <c r="DR27" i="6" s="1"/>
  <c r="DS27" i="6" a="1"/>
  <c r="DS27" i="6" s="1"/>
  <c r="DT27" i="6" a="1"/>
  <c r="DT27" i="6" s="1"/>
  <c r="DU27" i="6" a="1"/>
  <c r="DU27" i="6" s="1"/>
  <c r="DV27" i="6" a="1"/>
  <c r="DV27" i="6"/>
  <c r="DW27" i="6" a="1"/>
  <c r="DW27" i="6" s="1"/>
  <c r="DX27" i="6" a="1"/>
  <c r="DX27" i="6" s="1"/>
  <c r="DY27" i="6" a="1"/>
  <c r="DY27" i="6" s="1"/>
  <c r="DZ27" i="6" a="1"/>
  <c r="DZ27" i="6" s="1"/>
  <c r="EA27" i="6" a="1"/>
  <c r="EA27" i="6" s="1"/>
  <c r="EB27" i="6" a="1"/>
  <c r="EB27" i="6" s="1"/>
  <c r="EC27" i="6" a="1"/>
  <c r="EC27" i="6" s="1"/>
  <c r="ED27" i="6" a="1"/>
  <c r="ED27" i="6" s="1"/>
  <c r="EE27" i="6" a="1"/>
  <c r="EE27" i="6" s="1"/>
  <c r="E28" i="6" a="1"/>
  <c r="E28" i="6" s="1"/>
  <c r="F28" i="6" a="1"/>
  <c r="F28" i="6" s="1"/>
  <c r="G28" i="6" a="1"/>
  <c r="G28" i="6"/>
  <c r="H28" i="6" a="1"/>
  <c r="H28" i="6" s="1"/>
  <c r="I28" i="6" a="1"/>
  <c r="I28" i="6"/>
  <c r="J28" i="6" a="1"/>
  <c r="J28" i="6" s="1"/>
  <c r="K28" i="6" a="1"/>
  <c r="K28" i="6" s="1"/>
  <c r="L28" i="6" a="1"/>
  <c r="L28" i="6" s="1"/>
  <c r="M28" i="6" a="1"/>
  <c r="M28" i="6" s="1"/>
  <c r="N28" i="6" a="1"/>
  <c r="N28" i="6" s="1"/>
  <c r="O28" i="6" a="1"/>
  <c r="O28" i="6"/>
  <c r="P28" i="6" a="1"/>
  <c r="P28" i="6" s="1"/>
  <c r="Q28" i="6" a="1"/>
  <c r="Q28" i="6" s="1"/>
  <c r="R28" i="6" a="1"/>
  <c r="R28" i="6"/>
  <c r="S28" i="6" a="1"/>
  <c r="S28" i="6" s="1"/>
  <c r="T28" i="6" a="1"/>
  <c r="T28" i="6" s="1"/>
  <c r="U28" i="6" a="1"/>
  <c r="U28" i="6"/>
  <c r="V28" i="6" a="1"/>
  <c r="V28" i="6"/>
  <c r="W28" i="6" a="1"/>
  <c r="W28" i="6" s="1"/>
  <c r="X28" i="6" a="1"/>
  <c r="X28" i="6" s="1"/>
  <c r="Y28" i="6" a="1"/>
  <c r="Y28" i="6" s="1"/>
  <c r="Z28" i="6" a="1"/>
  <c r="Z28" i="6" s="1"/>
  <c r="AA28" i="6" a="1"/>
  <c r="AA28" i="6"/>
  <c r="AB28" i="6" a="1"/>
  <c r="AB28" i="6" s="1"/>
  <c r="AC28" i="6" a="1"/>
  <c r="AC28" i="6" s="1"/>
  <c r="AD28" i="6" a="1"/>
  <c r="AD28" i="6"/>
  <c r="AE28" i="6" a="1"/>
  <c r="AE28" i="6" s="1"/>
  <c r="AF28" i="6" a="1"/>
  <c r="AF28" i="6" s="1"/>
  <c r="AG28" i="6" a="1"/>
  <c r="AG28" i="6" s="1"/>
  <c r="AH28" i="6" a="1"/>
  <c r="AH28" i="6" s="1"/>
  <c r="AI28" i="6" a="1"/>
  <c r="AI28" i="6" s="1"/>
  <c r="AJ28" i="6" a="1"/>
  <c r="AJ28" i="6" s="1"/>
  <c r="AK28" i="6" a="1"/>
  <c r="AK28" i="6" s="1"/>
  <c r="AL28" i="6" a="1"/>
  <c r="AL28" i="6" s="1"/>
  <c r="AM28" i="6" a="1"/>
  <c r="AM28" i="6" s="1"/>
  <c r="AN28" i="6" a="1"/>
  <c r="AN28" i="6" s="1"/>
  <c r="AO28" i="6" a="1"/>
  <c r="AO28" i="6"/>
  <c r="AP28" i="6" a="1"/>
  <c r="AP28" i="6" s="1"/>
  <c r="AQ28" i="6" a="1"/>
  <c r="AQ28" i="6" s="1"/>
  <c r="AR28" i="6" a="1"/>
  <c r="AR28" i="6" s="1"/>
  <c r="AS28" i="6" a="1"/>
  <c r="AS28" i="6" s="1"/>
  <c r="AT28" i="6" a="1"/>
  <c r="AT28" i="6" s="1"/>
  <c r="AU28" i="6" a="1"/>
  <c r="AU28" i="6"/>
  <c r="AV28" i="6" a="1"/>
  <c r="AV28" i="6" s="1"/>
  <c r="AW28" i="6" a="1"/>
  <c r="AW28" i="6" s="1"/>
  <c r="AX28" i="6" a="1"/>
  <c r="AX28" i="6"/>
  <c r="AY28" i="6" a="1"/>
  <c r="AY28" i="6" s="1"/>
  <c r="AZ28" i="6" a="1"/>
  <c r="AZ28" i="6" s="1"/>
  <c r="BA28" i="6" a="1"/>
  <c r="BA28" i="6"/>
  <c r="BB28" i="6" a="1"/>
  <c r="BB28" i="6"/>
  <c r="BC28" i="6" a="1"/>
  <c r="BC28" i="6" s="1"/>
  <c r="BD28" i="6" a="1"/>
  <c r="BD28" i="6" s="1"/>
  <c r="BE28" i="6" a="1"/>
  <c r="BE28" i="6" s="1"/>
  <c r="BF28" i="6" a="1"/>
  <c r="BF28" i="6" s="1"/>
  <c r="BG28" i="6" a="1"/>
  <c r="BG28" i="6"/>
  <c r="BH28" i="6" a="1"/>
  <c r="BH28" i="6" s="1"/>
  <c r="BI28" i="6" a="1"/>
  <c r="BI28" i="6" s="1"/>
  <c r="BJ28" i="6" a="1"/>
  <c r="BJ28" i="6" s="1"/>
  <c r="BK28" i="6" a="1"/>
  <c r="BK28" i="6" s="1"/>
  <c r="BL28" i="6" a="1"/>
  <c r="BL28" i="6" s="1"/>
  <c r="BM28" i="6" a="1"/>
  <c r="BM28" i="6" s="1"/>
  <c r="BN28" i="6" a="1"/>
  <c r="BN28" i="6" s="1"/>
  <c r="BO28" i="6" a="1"/>
  <c r="BO28" i="6" s="1"/>
  <c r="BP28" i="6" a="1"/>
  <c r="BP28" i="6" s="1"/>
  <c r="BQ28" i="6" a="1"/>
  <c r="BQ28" i="6" s="1"/>
  <c r="BR28" i="6" a="1"/>
  <c r="BR28" i="6" s="1"/>
  <c r="BS28" i="6" a="1"/>
  <c r="BS28" i="6"/>
  <c r="BT28" i="6" a="1"/>
  <c r="BT28" i="6" s="1"/>
  <c r="BU28" i="6" a="1"/>
  <c r="BU28" i="6"/>
  <c r="BV28" i="6" a="1"/>
  <c r="BV28" i="6" s="1"/>
  <c r="BW28" i="6" a="1"/>
  <c r="BW28" i="6" s="1"/>
  <c r="BX28" i="6" a="1"/>
  <c r="BX28" i="6" s="1"/>
  <c r="BY28" i="6" a="1"/>
  <c r="BY28" i="6" s="1"/>
  <c r="BZ28" i="6" a="1"/>
  <c r="BZ28" i="6" s="1"/>
  <c r="CA28" i="6" a="1"/>
  <c r="CA28" i="6" s="1"/>
  <c r="CB28" i="6" a="1"/>
  <c r="CB28" i="6" s="1"/>
  <c r="CC28" i="6" a="1"/>
  <c r="CC28" i="6" s="1"/>
  <c r="CD28" i="6" a="1"/>
  <c r="CD28" i="6" s="1"/>
  <c r="CE28" i="6" a="1"/>
  <c r="CE28" i="6" s="1"/>
  <c r="CF28" i="6" a="1"/>
  <c r="CF28" i="6" s="1"/>
  <c r="CG28" i="6" a="1"/>
  <c r="CG28" i="6" s="1"/>
  <c r="CH28" i="6" a="1"/>
  <c r="CH28" i="6" s="1"/>
  <c r="CI28" i="6" a="1"/>
  <c r="CI28" i="6" s="1"/>
  <c r="CJ28" i="6" a="1"/>
  <c r="CJ28" i="6" s="1"/>
  <c r="CK28" i="6" a="1"/>
  <c r="CK28" i="6" s="1"/>
  <c r="CL28" i="6" a="1"/>
  <c r="CL28" i="6" s="1"/>
  <c r="CM28" i="6" a="1"/>
  <c r="CM28" i="6"/>
  <c r="CN28" i="6" a="1"/>
  <c r="CN28" i="6" s="1"/>
  <c r="CO28" i="6" a="1"/>
  <c r="CO28" i="6" s="1"/>
  <c r="CP28" i="6" a="1"/>
  <c r="CP28" i="6" s="1"/>
  <c r="CQ28" i="6" a="1"/>
  <c r="CQ28" i="6" s="1"/>
  <c r="CR28" i="6" a="1"/>
  <c r="CR28" i="6" s="1"/>
  <c r="CS28" i="6" a="1"/>
  <c r="CS28" i="6" s="1"/>
  <c r="CT28" i="6" a="1"/>
  <c r="CT28" i="6" s="1"/>
  <c r="CU28" i="6" a="1"/>
  <c r="CU28" i="6" s="1"/>
  <c r="CV28" i="6" a="1"/>
  <c r="CV28" i="6" s="1"/>
  <c r="CW28" i="6" a="1"/>
  <c r="CW28" i="6" s="1"/>
  <c r="CX28" i="6" a="1"/>
  <c r="CX28" i="6"/>
  <c r="CY28" i="6" a="1"/>
  <c r="CY28" i="6"/>
  <c r="CZ28" i="6" a="1"/>
  <c r="CZ28" i="6" s="1"/>
  <c r="DA28" i="6" a="1"/>
  <c r="DA28" i="6" s="1"/>
  <c r="DB28" i="6" a="1"/>
  <c r="DB28" i="6" s="1"/>
  <c r="DC28" i="6" a="1"/>
  <c r="DC28" i="6" s="1"/>
  <c r="DD28" i="6" a="1"/>
  <c r="DD28" i="6" s="1"/>
  <c r="DE28" i="6" a="1"/>
  <c r="DE28" i="6" s="1"/>
  <c r="DF28" i="6" a="1"/>
  <c r="DF28" i="6" s="1"/>
  <c r="DG28" i="6" a="1"/>
  <c r="DG28" i="6"/>
  <c r="DH28" i="6" a="1"/>
  <c r="DH28" i="6" s="1"/>
  <c r="DI28" i="6" a="1"/>
  <c r="DI28" i="6" s="1"/>
  <c r="DJ28" i="6" a="1"/>
  <c r="DJ28" i="6" s="1"/>
  <c r="DK28" i="6" a="1"/>
  <c r="DK28" i="6" s="1"/>
  <c r="DL28" i="6" a="1"/>
  <c r="DL28" i="6" s="1"/>
  <c r="DM28" i="6" a="1"/>
  <c r="DM28" i="6"/>
  <c r="DN28" i="6" a="1"/>
  <c r="DN28" i="6" s="1"/>
  <c r="DO28" i="6" a="1"/>
  <c r="DO28" i="6" s="1"/>
  <c r="DP28" i="6" a="1"/>
  <c r="DP28" i="6" s="1"/>
  <c r="DQ28" i="6" a="1"/>
  <c r="DQ28" i="6"/>
  <c r="DR28" i="6" a="1"/>
  <c r="DR28" i="6" s="1"/>
  <c r="DS28" i="6" a="1"/>
  <c r="DS28" i="6"/>
  <c r="DT28" i="6" a="1"/>
  <c r="DT28" i="6" s="1"/>
  <c r="DU28" i="6" a="1"/>
  <c r="DU28" i="6" s="1"/>
  <c r="DV28" i="6" a="1"/>
  <c r="DV28" i="6"/>
  <c r="DW28" i="6" a="1"/>
  <c r="DW28" i="6" s="1"/>
  <c r="DX28" i="6" a="1"/>
  <c r="DX28" i="6" s="1"/>
  <c r="DY28" i="6" a="1"/>
  <c r="DY28" i="6" s="1"/>
  <c r="DZ28" i="6" a="1"/>
  <c r="DZ28" i="6" s="1"/>
  <c r="EA28" i="6" a="1"/>
  <c r="EA28" i="6" s="1"/>
  <c r="EB28" i="6" a="1"/>
  <c r="EB28" i="6" s="1"/>
  <c r="EC28" i="6" a="1"/>
  <c r="EC28" i="6" s="1"/>
  <c r="ED28" i="6" a="1"/>
  <c r="ED28" i="6"/>
  <c r="EE28" i="6" a="1"/>
  <c r="EE28" i="6" s="1"/>
  <c r="E29" i="6" a="1"/>
  <c r="E29" i="6" s="1"/>
  <c r="F29" i="6" a="1"/>
  <c r="F29" i="6" s="1"/>
  <c r="G29" i="6" a="1"/>
  <c r="G29" i="6"/>
  <c r="H29" i="6" a="1"/>
  <c r="H29" i="6" s="1"/>
  <c r="I29" i="6" a="1"/>
  <c r="I29" i="6"/>
  <c r="J29" i="6" a="1"/>
  <c r="J29" i="6" s="1"/>
  <c r="K29" i="6" a="1"/>
  <c r="K29" i="6" s="1"/>
  <c r="L29" i="6" a="1"/>
  <c r="L29" i="6"/>
  <c r="M29" i="6" a="1"/>
  <c r="M29" i="6" s="1"/>
  <c r="N29" i="6" a="1"/>
  <c r="N29" i="6" s="1"/>
  <c r="O29" i="6" a="1"/>
  <c r="O29" i="6" s="1"/>
  <c r="P29" i="6" a="1"/>
  <c r="P29" i="6" s="1"/>
  <c r="Q29" i="6" a="1"/>
  <c r="Q29" i="6" s="1"/>
  <c r="R29" i="6" a="1"/>
  <c r="R29" i="6" s="1"/>
  <c r="S29" i="6" a="1"/>
  <c r="S29" i="6"/>
  <c r="T29" i="6" a="1"/>
  <c r="T29" i="6" s="1"/>
  <c r="U29" i="6" a="1"/>
  <c r="U29" i="6" s="1"/>
  <c r="V29" i="6" a="1"/>
  <c r="V29" i="6" s="1"/>
  <c r="W29" i="6" a="1"/>
  <c r="W29" i="6" s="1"/>
  <c r="X29" i="6" a="1"/>
  <c r="X29" i="6"/>
  <c r="Y29" i="6" a="1"/>
  <c r="Y29" i="6" s="1"/>
  <c r="Z29" i="6" a="1"/>
  <c r="Z29" i="6" s="1"/>
  <c r="AA29" i="6" a="1"/>
  <c r="AA29" i="6" s="1"/>
  <c r="AB29" i="6" a="1"/>
  <c r="AB29" i="6" s="1"/>
  <c r="AC29" i="6" a="1"/>
  <c r="AC29" i="6" s="1"/>
  <c r="AD29" i="6" a="1"/>
  <c r="AD29" i="6" s="1"/>
  <c r="AE29" i="6" a="1"/>
  <c r="AE29" i="6" s="1"/>
  <c r="AF29" i="6" a="1"/>
  <c r="AF29" i="6"/>
  <c r="AG29" i="6" a="1"/>
  <c r="AG29" i="6"/>
  <c r="AH29" i="6" a="1"/>
  <c r="AH29" i="6" s="1"/>
  <c r="AI29" i="6" a="1"/>
  <c r="AI29" i="6"/>
  <c r="AJ29" i="6" a="1"/>
  <c r="AJ29" i="6" s="1"/>
  <c r="AK29" i="6" a="1"/>
  <c r="AK29" i="6"/>
  <c r="AL29" i="6" a="1"/>
  <c r="AL29" i="6" s="1"/>
  <c r="AM29" i="6" a="1"/>
  <c r="AM29" i="6" s="1"/>
  <c r="AN29" i="6" a="1"/>
  <c r="AN29" i="6" s="1"/>
  <c r="AO29" i="6" a="1"/>
  <c r="AO29" i="6" s="1"/>
  <c r="AP29" i="6" a="1"/>
  <c r="AP29" i="6" s="1"/>
  <c r="AQ29" i="6" a="1"/>
  <c r="AQ29" i="6" s="1"/>
  <c r="AR29" i="6" a="1"/>
  <c r="AR29" i="6" s="1"/>
  <c r="AS29" i="6" a="1"/>
  <c r="AS29" i="6" s="1"/>
  <c r="AT29" i="6" a="1"/>
  <c r="AT29" i="6" s="1"/>
  <c r="AU29" i="6" a="1"/>
  <c r="AU29" i="6" s="1"/>
  <c r="AV29" i="6" a="1"/>
  <c r="AV29" i="6" s="1"/>
  <c r="AW29" i="6" a="1"/>
  <c r="AW29" i="6" s="1"/>
  <c r="AX29" i="6" a="1"/>
  <c r="AX29" i="6" s="1"/>
  <c r="AY29" i="6" a="1"/>
  <c r="AY29" i="6" s="1"/>
  <c r="AZ29" i="6" a="1"/>
  <c r="AZ29" i="6" s="1"/>
  <c r="BA29" i="6" a="1"/>
  <c r="BA29" i="6" s="1"/>
  <c r="BB29" i="6" a="1"/>
  <c r="BB29" i="6" s="1"/>
  <c r="BC29" i="6" a="1"/>
  <c r="BC29" i="6" s="1"/>
  <c r="BD29" i="6" a="1"/>
  <c r="BD29" i="6" s="1"/>
  <c r="BE29" i="6" a="1"/>
  <c r="BE29" i="6" s="1"/>
  <c r="BF29" i="6" a="1"/>
  <c r="BF29" i="6" s="1"/>
  <c r="BG29" i="6" a="1"/>
  <c r="BG29" i="6" s="1"/>
  <c r="BH29" i="6" a="1"/>
  <c r="BH29" i="6"/>
  <c r="BI29" i="6" a="1"/>
  <c r="BI29" i="6" s="1"/>
  <c r="BJ29" i="6" a="1"/>
  <c r="BJ29" i="6" s="1"/>
  <c r="BK29" i="6" a="1"/>
  <c r="BK29" i="6" s="1"/>
  <c r="BL29" i="6" a="1"/>
  <c r="BL29" i="6" s="1"/>
  <c r="BM29" i="6" a="1"/>
  <c r="BM29" i="6"/>
  <c r="BN29" i="6" a="1"/>
  <c r="BN29" i="6" s="1"/>
  <c r="BO29" i="6" a="1"/>
  <c r="BO29" i="6" s="1"/>
  <c r="BP29" i="6" a="1"/>
  <c r="BP29" i="6" s="1"/>
  <c r="BQ29" i="6" a="1"/>
  <c r="BQ29" i="6" s="1"/>
  <c r="BR29" i="6" a="1"/>
  <c r="BR29" i="6" s="1"/>
  <c r="BS29" i="6" a="1"/>
  <c r="BS29" i="6" s="1"/>
  <c r="BT29" i="6" a="1"/>
  <c r="BT29" i="6" s="1"/>
  <c r="BU29" i="6" a="1"/>
  <c r="BU29" i="6" s="1"/>
  <c r="BV29" i="6" a="1"/>
  <c r="BV29" i="6" s="1"/>
  <c r="BW29" i="6" a="1"/>
  <c r="BW29" i="6" s="1"/>
  <c r="BX29" i="6" a="1"/>
  <c r="BX29" i="6"/>
  <c r="BY29" i="6" a="1"/>
  <c r="BY29" i="6" s="1"/>
  <c r="BZ29" i="6" a="1"/>
  <c r="BZ29" i="6" s="1"/>
  <c r="CA29" i="6" a="1"/>
  <c r="CA29" i="6" s="1"/>
  <c r="CB29" i="6" a="1"/>
  <c r="CB29" i="6" s="1"/>
  <c r="CC29" i="6" a="1"/>
  <c r="CC29" i="6" s="1"/>
  <c r="CD29" i="6" a="1"/>
  <c r="CD29" i="6" s="1"/>
  <c r="CE29" i="6" a="1"/>
  <c r="CE29" i="6" s="1"/>
  <c r="CF29" i="6" a="1"/>
  <c r="CF29" i="6" s="1"/>
  <c r="CG29" i="6" a="1"/>
  <c r="CG29" i="6" s="1"/>
  <c r="CH29" i="6" a="1"/>
  <c r="CH29" i="6" s="1"/>
  <c r="CI29" i="6" a="1"/>
  <c r="CI29" i="6" s="1"/>
  <c r="CJ29" i="6" a="1"/>
  <c r="CJ29" i="6"/>
  <c r="CK29" i="6" a="1"/>
  <c r="CK29" i="6" s="1"/>
  <c r="CL29" i="6" a="1"/>
  <c r="CL29" i="6" s="1"/>
  <c r="CM29" i="6" a="1"/>
  <c r="CM29" i="6" s="1"/>
  <c r="CN29" i="6" a="1"/>
  <c r="CN29" i="6" s="1"/>
  <c r="CO29" i="6" a="1"/>
  <c r="CO29" i="6" s="1"/>
  <c r="CP29" i="6" a="1"/>
  <c r="CP29" i="6"/>
  <c r="CQ29" i="6" a="1"/>
  <c r="CQ29" i="6" s="1"/>
  <c r="CR29" i="6" a="1"/>
  <c r="CR29" i="6" s="1"/>
  <c r="CS29" i="6" a="1"/>
  <c r="CS29" i="6" s="1"/>
  <c r="CT29" i="6" a="1"/>
  <c r="CT29" i="6" s="1"/>
  <c r="CU29" i="6" a="1"/>
  <c r="CU29" i="6" s="1"/>
  <c r="CV29" i="6" a="1"/>
  <c r="CV29" i="6"/>
  <c r="CW29" i="6" a="1"/>
  <c r="CW29" i="6" s="1"/>
  <c r="CX29" i="6" a="1"/>
  <c r="CX29" i="6" s="1"/>
  <c r="CY29" i="6" a="1"/>
  <c r="CY29" i="6" s="1"/>
  <c r="CZ29" i="6" a="1"/>
  <c r="CZ29" i="6" s="1"/>
  <c r="DA29" i="6" a="1"/>
  <c r="DA29" i="6" s="1"/>
  <c r="DB29" i="6" a="1"/>
  <c r="DB29" i="6"/>
  <c r="DC29" i="6" a="1"/>
  <c r="DC29" i="6" s="1"/>
  <c r="DD29" i="6" a="1"/>
  <c r="DD29" i="6" s="1"/>
  <c r="DE29" i="6" a="1"/>
  <c r="DE29" i="6" s="1"/>
  <c r="DF29" i="6" a="1"/>
  <c r="DF29" i="6"/>
  <c r="DG29" i="6" a="1"/>
  <c r="DG29" i="6" s="1"/>
  <c r="DH29" i="6" a="1"/>
  <c r="DH29" i="6" s="1"/>
  <c r="DI29" i="6" a="1"/>
  <c r="DI29" i="6" s="1"/>
  <c r="DJ29" i="6" a="1"/>
  <c r="DJ29" i="6" s="1"/>
  <c r="DK29" i="6" a="1"/>
  <c r="DK29" i="6" s="1"/>
  <c r="DL29" i="6" a="1"/>
  <c r="DL29" i="6" s="1"/>
  <c r="DM29" i="6" a="1"/>
  <c r="DM29" i="6" s="1"/>
  <c r="DN29" i="6" a="1"/>
  <c r="DN29" i="6" s="1"/>
  <c r="DO29" i="6" a="1"/>
  <c r="DO29" i="6" s="1"/>
  <c r="DP29" i="6" a="1"/>
  <c r="DP29" i="6" s="1"/>
  <c r="DQ29" i="6" a="1"/>
  <c r="DQ29" i="6"/>
  <c r="DR29" i="6" a="1"/>
  <c r="DR29" i="6" s="1"/>
  <c r="DS29" i="6" a="1"/>
  <c r="DS29" i="6" s="1"/>
  <c r="DT29" i="6" a="1"/>
  <c r="DT29" i="6" s="1"/>
  <c r="DU29" i="6" a="1"/>
  <c r="DU29" i="6" s="1"/>
  <c r="DV29" i="6" a="1"/>
  <c r="DV29" i="6" s="1"/>
  <c r="DW29" i="6" a="1"/>
  <c r="DW29" i="6" s="1"/>
  <c r="DX29" i="6" a="1"/>
  <c r="DX29" i="6" s="1"/>
  <c r="DY29" i="6" a="1"/>
  <c r="DY29" i="6" s="1"/>
  <c r="DZ29" i="6" a="1"/>
  <c r="DZ29" i="6"/>
  <c r="EA29" i="6" a="1"/>
  <c r="EA29" i="6" s="1"/>
  <c r="EB29" i="6" a="1"/>
  <c r="EB29" i="6"/>
  <c r="EC29" i="6" a="1"/>
  <c r="EC29" i="6" s="1"/>
  <c r="ED29" i="6" a="1"/>
  <c r="ED29" i="6" s="1"/>
  <c r="EE29" i="6" a="1"/>
  <c r="EE29" i="6" s="1"/>
  <c r="E30" i="6" a="1"/>
  <c r="E30" i="6" s="1"/>
  <c r="F30" i="6" a="1"/>
  <c r="F30" i="6" s="1"/>
  <c r="G30" i="6" a="1"/>
  <c r="G30" i="6" s="1"/>
  <c r="H30" i="6" a="1"/>
  <c r="H30" i="6" s="1"/>
  <c r="I30" i="6" a="1"/>
  <c r="I30" i="6" s="1"/>
  <c r="J30" i="6" a="1"/>
  <c r="J30" i="6" s="1"/>
  <c r="K30" i="6" a="1"/>
  <c r="K30" i="6" s="1"/>
  <c r="L30" i="6" a="1"/>
  <c r="L30" i="6" s="1"/>
  <c r="M30" i="6" a="1"/>
  <c r="M30" i="6"/>
  <c r="N30" i="6" a="1"/>
  <c r="N30" i="6" s="1"/>
  <c r="O30" i="6" a="1"/>
  <c r="O30" i="6" s="1"/>
  <c r="P30" i="6" a="1"/>
  <c r="P30" i="6" s="1"/>
  <c r="Q30" i="6" a="1"/>
  <c r="Q30" i="6" s="1"/>
  <c r="R30" i="6" a="1"/>
  <c r="R30" i="6" s="1"/>
  <c r="S30" i="6" a="1"/>
  <c r="S30" i="6"/>
  <c r="T30" i="6" a="1"/>
  <c r="T30" i="6" s="1"/>
  <c r="U30" i="6" a="1"/>
  <c r="U30" i="6" s="1"/>
  <c r="V30" i="6" a="1"/>
  <c r="V30" i="6"/>
  <c r="W30" i="6" a="1"/>
  <c r="W30" i="6" s="1"/>
  <c r="X30" i="6" a="1"/>
  <c r="X30" i="6" s="1"/>
  <c r="Y30" i="6" a="1"/>
  <c r="Y30" i="6" s="1"/>
  <c r="Z30" i="6" a="1"/>
  <c r="Z30" i="6" s="1"/>
  <c r="AA30" i="6" a="1"/>
  <c r="AA30" i="6" s="1"/>
  <c r="AB30" i="6" a="1"/>
  <c r="AB30" i="6" s="1"/>
  <c r="AC30" i="6" a="1"/>
  <c r="AC30" i="6" s="1"/>
  <c r="AD30" i="6" a="1"/>
  <c r="AD30" i="6" s="1"/>
  <c r="AE30" i="6" a="1"/>
  <c r="AE30" i="6"/>
  <c r="AF30" i="6" a="1"/>
  <c r="AF30" i="6" s="1"/>
  <c r="AG30" i="6" a="1"/>
  <c r="AG30" i="6" s="1"/>
  <c r="AH30" i="6" a="1"/>
  <c r="AH30" i="6" s="1"/>
  <c r="AI30" i="6" a="1"/>
  <c r="AI30" i="6" s="1"/>
  <c r="AJ30" i="6" a="1"/>
  <c r="AJ30" i="6" s="1"/>
  <c r="AK30" i="6" a="1"/>
  <c r="AK30" i="6" s="1"/>
  <c r="AL30" i="6" a="1"/>
  <c r="AL30" i="6" s="1"/>
  <c r="AM30" i="6" a="1"/>
  <c r="AM30" i="6" s="1"/>
  <c r="AN30" i="6" a="1"/>
  <c r="AN30" i="6" s="1"/>
  <c r="AO30" i="6" a="1"/>
  <c r="AO30" i="6" s="1"/>
  <c r="AP30" i="6" a="1"/>
  <c r="AP30" i="6"/>
  <c r="AQ30" i="6" a="1"/>
  <c r="AQ30" i="6" s="1"/>
  <c r="AR30" i="6" a="1"/>
  <c r="AR30" i="6" s="1"/>
  <c r="AS30" i="6" a="1"/>
  <c r="AS30" i="6" s="1"/>
  <c r="AT30" i="6" a="1"/>
  <c r="AT30" i="6" s="1"/>
  <c r="AU30" i="6" a="1"/>
  <c r="AU30" i="6" s="1"/>
  <c r="AV30" i="6" a="1"/>
  <c r="AV30" i="6" s="1"/>
  <c r="AW30" i="6" a="1"/>
  <c r="AW30" i="6" s="1"/>
  <c r="AX30" i="6" a="1"/>
  <c r="AX30" i="6" s="1"/>
  <c r="AY30" i="6" a="1"/>
  <c r="AY30" i="6" s="1"/>
  <c r="AZ30" i="6" a="1"/>
  <c r="AZ30" i="6" s="1"/>
  <c r="BA30" i="6" a="1"/>
  <c r="BA30" i="6" s="1"/>
  <c r="BB30" i="6" a="1"/>
  <c r="BB30" i="6" s="1"/>
  <c r="BC30" i="6" a="1"/>
  <c r="BC30" i="6" s="1"/>
  <c r="BD30" i="6" a="1"/>
  <c r="BD30" i="6" s="1"/>
  <c r="BE30" i="6" a="1"/>
  <c r="BE30" i="6" s="1"/>
  <c r="BF30" i="6" a="1"/>
  <c r="BF30" i="6" s="1"/>
  <c r="BG30" i="6" a="1"/>
  <c r="BG30" i="6" s="1"/>
  <c r="BH30" i="6" a="1"/>
  <c r="BH30" i="6" s="1"/>
  <c r="BI30" i="6" a="1"/>
  <c r="BI30" i="6" s="1"/>
  <c r="BJ30" i="6" a="1"/>
  <c r="BJ30" i="6" s="1"/>
  <c r="BK30" i="6" a="1"/>
  <c r="BK30" i="6" s="1"/>
  <c r="BL30" i="6" a="1"/>
  <c r="BL30" i="6" s="1"/>
  <c r="BM30" i="6" a="1"/>
  <c r="BM30" i="6" s="1"/>
  <c r="BN30" i="6" a="1"/>
  <c r="BN30" i="6"/>
  <c r="BO30" i="6" a="1"/>
  <c r="BO30" i="6" s="1"/>
  <c r="BP30" i="6" a="1"/>
  <c r="BP30" i="6" s="1"/>
  <c r="BQ30" i="6" a="1"/>
  <c r="BQ30" i="6" s="1"/>
  <c r="BR30" i="6" a="1"/>
  <c r="BR30" i="6" s="1"/>
  <c r="BS30" i="6" a="1"/>
  <c r="BS30" i="6" s="1"/>
  <c r="BT30" i="6" a="1"/>
  <c r="BT30" i="6" s="1"/>
  <c r="BU30" i="6" a="1"/>
  <c r="BU30" i="6" s="1"/>
  <c r="BV30" i="6" a="1"/>
  <c r="BV30" i="6" s="1"/>
  <c r="BW30" i="6" a="1"/>
  <c r="BW30" i="6" s="1"/>
  <c r="BX30" i="6" a="1"/>
  <c r="BX30" i="6" s="1"/>
  <c r="BY30" i="6" a="1"/>
  <c r="BY30" i="6" s="1"/>
  <c r="BZ30" i="6" a="1"/>
  <c r="BZ30" i="6" s="1"/>
  <c r="CA30" i="6" a="1"/>
  <c r="CA30" i="6" s="1"/>
  <c r="CB30" i="6" a="1"/>
  <c r="CB30" i="6" s="1"/>
  <c r="CC30" i="6" a="1"/>
  <c r="CC30" i="6" s="1"/>
  <c r="CD30" i="6" a="1"/>
  <c r="CD30" i="6" s="1"/>
  <c r="CE30" i="6" a="1"/>
  <c r="CE30" i="6"/>
  <c r="CF30" i="6" a="1"/>
  <c r="CF30" i="6" s="1"/>
  <c r="CG30" i="6" a="1"/>
  <c r="CG30" i="6" s="1"/>
  <c r="CH30" i="6" a="1"/>
  <c r="CH30" i="6" s="1"/>
  <c r="CI30" i="6" a="1"/>
  <c r="CI30" i="6" s="1"/>
  <c r="CJ30" i="6" a="1"/>
  <c r="CJ30" i="6" s="1"/>
  <c r="CK30" i="6" a="1"/>
  <c r="CK30" i="6"/>
  <c r="CL30" i="6" a="1"/>
  <c r="CL30" i="6" s="1"/>
  <c r="CM30" i="6" a="1"/>
  <c r="CM30" i="6" s="1"/>
  <c r="CN30" i="6" a="1"/>
  <c r="CN30" i="6" s="1"/>
  <c r="CO30" i="6" a="1"/>
  <c r="CO30" i="6" s="1"/>
  <c r="CP30" i="6" a="1"/>
  <c r="CP30" i="6" s="1"/>
  <c r="CQ30" i="6" a="1"/>
  <c r="CQ30" i="6" s="1"/>
  <c r="CR30" i="6" a="1"/>
  <c r="CR30" i="6" s="1"/>
  <c r="CS30" i="6" a="1"/>
  <c r="CS30" i="6" s="1"/>
  <c r="CT30" i="6" a="1"/>
  <c r="CT30" i="6"/>
  <c r="CU30" i="6" a="1"/>
  <c r="CU30" i="6" s="1"/>
  <c r="CV30" i="6" a="1"/>
  <c r="CV30" i="6" s="1"/>
  <c r="CW30" i="6" a="1"/>
  <c r="CW30" i="6" s="1"/>
  <c r="CX30" i="6" a="1"/>
  <c r="CX30" i="6" s="1"/>
  <c r="CY30" i="6" a="1"/>
  <c r="CY30" i="6" s="1"/>
  <c r="CZ30" i="6" a="1"/>
  <c r="CZ30" i="6" s="1"/>
  <c r="DA30" i="6" a="1"/>
  <c r="DA30" i="6" s="1"/>
  <c r="DB30" i="6" a="1"/>
  <c r="DB30" i="6"/>
  <c r="DC30" i="6" a="1"/>
  <c r="DC30" i="6" s="1"/>
  <c r="DD30" i="6" a="1"/>
  <c r="DD30" i="6" s="1"/>
  <c r="DE30" i="6" a="1"/>
  <c r="DE30" i="6" s="1"/>
  <c r="DF30" i="6" a="1"/>
  <c r="DF30" i="6" s="1"/>
  <c r="DG30" i="6" a="1"/>
  <c r="DG30" i="6" s="1"/>
  <c r="DH30" i="6" a="1"/>
  <c r="DH30" i="6" s="1"/>
  <c r="DI30" i="6" a="1"/>
  <c r="DI30" i="6" s="1"/>
  <c r="DJ30" i="6" a="1"/>
  <c r="DJ30" i="6" s="1"/>
  <c r="DK30" i="6" a="1"/>
  <c r="DK30" i="6" s="1"/>
  <c r="DL30" i="6" a="1"/>
  <c r="DL30" i="6" s="1"/>
  <c r="DM30" i="6" a="1"/>
  <c r="DM30" i="6" s="1"/>
  <c r="DN30" i="6" a="1"/>
  <c r="DN30" i="6" s="1"/>
  <c r="DO30" i="6" a="1"/>
  <c r="DO30" i="6" s="1"/>
  <c r="DP30" i="6" a="1"/>
  <c r="DP30" i="6" s="1"/>
  <c r="DQ30" i="6" a="1"/>
  <c r="DQ30" i="6" s="1"/>
  <c r="DR30" i="6" a="1"/>
  <c r="DR30" i="6" s="1"/>
  <c r="DS30" i="6" a="1"/>
  <c r="DS30" i="6" s="1"/>
  <c r="DT30" i="6" a="1"/>
  <c r="DT30" i="6" s="1"/>
  <c r="DU30" i="6" a="1"/>
  <c r="DU30" i="6" s="1"/>
  <c r="DV30" i="6" a="1"/>
  <c r="DV30" i="6" s="1"/>
  <c r="DW30" i="6" a="1"/>
  <c r="DW30" i="6" s="1"/>
  <c r="DX30" i="6" a="1"/>
  <c r="DX30" i="6" s="1"/>
  <c r="DY30" i="6" a="1"/>
  <c r="DY30" i="6" s="1"/>
  <c r="DZ30" i="6" a="1"/>
  <c r="DZ30" i="6"/>
  <c r="EA30" i="6" a="1"/>
  <c r="EA30" i="6" s="1"/>
  <c r="EB30" i="6" a="1"/>
  <c r="EB30" i="6" s="1"/>
  <c r="EC30" i="6" a="1"/>
  <c r="EC30" i="6" s="1"/>
  <c r="ED30" i="6" a="1"/>
  <c r="ED30" i="6" s="1"/>
  <c r="EE30" i="6" a="1"/>
  <c r="EE30" i="6" s="1"/>
  <c r="E31" i="6" a="1"/>
  <c r="E31" i="6" s="1"/>
  <c r="F31" i="6" a="1"/>
  <c r="F31" i="6" s="1"/>
  <c r="G31" i="6" a="1"/>
  <c r="G31" i="6" s="1"/>
  <c r="H31" i="6" a="1"/>
  <c r="H31" i="6" s="1"/>
  <c r="I31" i="6" a="1"/>
  <c r="I31" i="6" s="1"/>
  <c r="J31" i="6" a="1"/>
  <c r="J31" i="6" s="1"/>
  <c r="K31" i="6" a="1"/>
  <c r="K31" i="6" s="1"/>
  <c r="L31" i="6" a="1"/>
  <c r="L31" i="6" s="1"/>
  <c r="M31" i="6" a="1"/>
  <c r="M31" i="6" s="1"/>
  <c r="N31" i="6" a="1"/>
  <c r="N31" i="6" s="1"/>
  <c r="O31" i="6" a="1"/>
  <c r="O31" i="6" s="1"/>
  <c r="P31" i="6" a="1"/>
  <c r="P31" i="6"/>
  <c r="Q31" i="6" a="1"/>
  <c r="Q31" i="6" s="1"/>
  <c r="R31" i="6" a="1"/>
  <c r="R31" i="6" s="1"/>
  <c r="S31" i="6" a="1"/>
  <c r="S31" i="6" s="1"/>
  <c r="T31" i="6" a="1"/>
  <c r="T31" i="6" s="1"/>
  <c r="U31" i="6" a="1"/>
  <c r="U31" i="6" s="1"/>
  <c r="V31" i="6" a="1"/>
  <c r="V31" i="6"/>
  <c r="W31" i="6" a="1"/>
  <c r="W31" i="6" s="1"/>
  <c r="X31" i="6" a="1"/>
  <c r="X31" i="6" s="1"/>
  <c r="Y31" i="6" a="1"/>
  <c r="Y31" i="6" s="1"/>
  <c r="Z31" i="6" a="1"/>
  <c r="Z31" i="6" s="1"/>
  <c r="AA31" i="6" a="1"/>
  <c r="AA31" i="6" s="1"/>
  <c r="AB31" i="6" a="1"/>
  <c r="AB31" i="6" s="1"/>
  <c r="AC31" i="6" a="1"/>
  <c r="AC31" i="6" s="1"/>
  <c r="AD31" i="6" a="1"/>
  <c r="AD31" i="6" s="1"/>
  <c r="AE31" i="6" a="1"/>
  <c r="AE31" i="6" s="1"/>
  <c r="AF31" i="6" a="1"/>
  <c r="AF31" i="6" s="1"/>
  <c r="AG31" i="6" a="1"/>
  <c r="AG31" i="6" s="1"/>
  <c r="AH31" i="6" a="1"/>
  <c r="AH31" i="6" s="1"/>
  <c r="AI31" i="6" a="1"/>
  <c r="AI31" i="6" s="1"/>
  <c r="AJ31" i="6" a="1"/>
  <c r="AJ31" i="6" s="1"/>
  <c r="AK31" i="6" a="1"/>
  <c r="AK31" i="6" s="1"/>
  <c r="AL31" i="6" a="1"/>
  <c r="AL31" i="6"/>
  <c r="AM31" i="6" a="1"/>
  <c r="AM31" i="6" s="1"/>
  <c r="AN31" i="6" a="1"/>
  <c r="AN31" i="6" s="1"/>
  <c r="AO31" i="6" a="1"/>
  <c r="AO31" i="6" s="1"/>
  <c r="AP31" i="6" a="1"/>
  <c r="AP31" i="6" s="1"/>
  <c r="AQ31" i="6" a="1"/>
  <c r="AQ31" i="6" s="1"/>
  <c r="AR31" i="6" a="1"/>
  <c r="AR31" i="6" s="1"/>
  <c r="AS31" i="6" a="1"/>
  <c r="AS31" i="6" s="1"/>
  <c r="AT31" i="6" a="1"/>
  <c r="AT31" i="6" s="1"/>
  <c r="AU31" i="6" a="1"/>
  <c r="AU31" i="6"/>
  <c r="AV31" i="6" a="1"/>
  <c r="AV31" i="6" s="1"/>
  <c r="AW31" i="6" a="1"/>
  <c r="AW31" i="6" s="1"/>
  <c r="AX31" i="6" a="1"/>
  <c r="AX31" i="6" s="1"/>
  <c r="AY31" i="6" a="1"/>
  <c r="AY31" i="6"/>
  <c r="AZ31" i="6" a="1"/>
  <c r="AZ31" i="6" s="1"/>
  <c r="BA31" i="6" a="1"/>
  <c r="BA31" i="6" s="1"/>
  <c r="BB31" i="6" a="1"/>
  <c r="BB31" i="6" s="1"/>
  <c r="BC31" i="6" a="1"/>
  <c r="BC31" i="6" s="1"/>
  <c r="BD31" i="6" a="1"/>
  <c r="BD31" i="6" s="1"/>
  <c r="BE31" i="6" a="1"/>
  <c r="BE31" i="6" s="1"/>
  <c r="BF31" i="6" a="1"/>
  <c r="BF31" i="6" s="1"/>
  <c r="BG31" i="6" a="1"/>
  <c r="BG31" i="6" s="1"/>
  <c r="BH31" i="6" a="1"/>
  <c r="BH31" i="6"/>
  <c r="BI31" i="6" a="1"/>
  <c r="BI31" i="6" s="1"/>
  <c r="BJ31" i="6" a="1"/>
  <c r="BJ31" i="6"/>
  <c r="BK31" i="6" a="1"/>
  <c r="BK31" i="6" s="1"/>
  <c r="BL31" i="6" a="1"/>
  <c r="BL31" i="6" s="1"/>
  <c r="BM31" i="6" a="1"/>
  <c r="BM31" i="6" s="1"/>
  <c r="BN31" i="6" a="1"/>
  <c r="BN31" i="6" s="1"/>
  <c r="BO31" i="6" a="1"/>
  <c r="BO31" i="6" s="1"/>
  <c r="BP31" i="6" a="1"/>
  <c r="BP31" i="6"/>
  <c r="BQ31" i="6" a="1"/>
  <c r="BQ31" i="6" s="1"/>
  <c r="BR31" i="6" a="1"/>
  <c r="BR31" i="6" s="1"/>
  <c r="BS31" i="6" a="1"/>
  <c r="BS31" i="6"/>
  <c r="BT31" i="6" a="1"/>
  <c r="BT31" i="6" s="1"/>
  <c r="BU31" i="6" a="1"/>
  <c r="BU31" i="6" s="1"/>
  <c r="BV31" i="6" a="1"/>
  <c r="BV31" i="6" s="1"/>
  <c r="BW31" i="6" a="1"/>
  <c r="BW31" i="6" s="1"/>
  <c r="BX31" i="6" a="1"/>
  <c r="BX31" i="6" s="1"/>
  <c r="BY31" i="6" a="1"/>
  <c r="BY31" i="6" s="1"/>
  <c r="BZ31" i="6" a="1"/>
  <c r="BZ31" i="6" s="1"/>
  <c r="CA31" i="6" a="1"/>
  <c r="CA31" i="6"/>
  <c r="CB31" i="6" a="1"/>
  <c r="CB31" i="6" s="1"/>
  <c r="CC31" i="6" a="1"/>
  <c r="CC31" i="6" s="1"/>
  <c r="CD31" i="6" a="1"/>
  <c r="CD31" i="6"/>
  <c r="CE31" i="6" a="1"/>
  <c r="CE31" i="6" s="1"/>
  <c r="CF31" i="6" a="1"/>
  <c r="CF31" i="6" s="1"/>
  <c r="CG31" i="6" a="1"/>
  <c r="CG31" i="6" s="1"/>
  <c r="CH31" i="6" a="1"/>
  <c r="CH31" i="6" s="1"/>
  <c r="CI31" i="6" a="1"/>
  <c r="CI31" i="6" s="1"/>
  <c r="CJ31" i="6" a="1"/>
  <c r="CJ31" i="6" s="1"/>
  <c r="CK31" i="6" a="1"/>
  <c r="CK31" i="6" s="1"/>
  <c r="CL31" i="6" a="1"/>
  <c r="CL31" i="6" s="1"/>
  <c r="CM31" i="6" a="1"/>
  <c r="CM31" i="6" s="1"/>
  <c r="CN31" i="6" a="1"/>
  <c r="CN31" i="6"/>
  <c r="CO31" i="6" a="1"/>
  <c r="CO31" i="6" s="1"/>
  <c r="CP31" i="6" a="1"/>
  <c r="CP31" i="6" s="1"/>
  <c r="CQ31" i="6" a="1"/>
  <c r="CQ31" i="6"/>
  <c r="CR31" i="6" a="1"/>
  <c r="CR31" i="6" s="1"/>
  <c r="CS31" i="6" a="1"/>
  <c r="CS31" i="6" s="1"/>
  <c r="CT31" i="6" a="1"/>
  <c r="CT31" i="6" s="1"/>
  <c r="CU31" i="6" a="1"/>
  <c r="CU31" i="6" s="1"/>
  <c r="CV31" i="6" a="1"/>
  <c r="CV31" i="6" s="1"/>
  <c r="CW31" i="6" a="1"/>
  <c r="CW31" i="6" s="1"/>
  <c r="CX31" i="6" a="1"/>
  <c r="CX31" i="6" s="1"/>
  <c r="CY31" i="6" a="1"/>
  <c r="CY31" i="6"/>
  <c r="CZ31" i="6" a="1"/>
  <c r="CZ31" i="6" s="1"/>
  <c r="DA31" i="6" a="1"/>
  <c r="DA31" i="6" s="1"/>
  <c r="DB31" i="6" a="1"/>
  <c r="DB31" i="6"/>
  <c r="DC31" i="6" a="1"/>
  <c r="DC31" i="6" s="1"/>
  <c r="DD31" i="6" a="1"/>
  <c r="DD31" i="6" s="1"/>
  <c r="DE31" i="6" a="1"/>
  <c r="DE31" i="6" s="1"/>
  <c r="DF31" i="6" a="1"/>
  <c r="DF31" i="6" s="1"/>
  <c r="DG31" i="6" a="1"/>
  <c r="DG31" i="6" s="1"/>
  <c r="DH31" i="6" a="1"/>
  <c r="DH31" i="6"/>
  <c r="DI31" i="6" a="1"/>
  <c r="DI31" i="6" s="1"/>
  <c r="DJ31" i="6" a="1"/>
  <c r="DJ31" i="6" s="1"/>
  <c r="DK31" i="6" a="1"/>
  <c r="DK31" i="6"/>
  <c r="DL31" i="6" a="1"/>
  <c r="DL31" i="6" s="1"/>
  <c r="DM31" i="6" a="1"/>
  <c r="DM31" i="6" s="1"/>
  <c r="DN31" i="6" a="1"/>
  <c r="DN31" i="6"/>
  <c r="DO31" i="6" a="1"/>
  <c r="DO31" i="6" s="1"/>
  <c r="DP31" i="6" a="1"/>
  <c r="DP31" i="6" s="1"/>
  <c r="DQ31" i="6" a="1"/>
  <c r="DQ31" i="6" s="1"/>
  <c r="DR31" i="6" a="1"/>
  <c r="DR31" i="6" s="1"/>
  <c r="DS31" i="6" a="1"/>
  <c r="DS31" i="6" s="1"/>
  <c r="DT31" i="6" a="1"/>
  <c r="DT31" i="6" s="1"/>
  <c r="DU31" i="6" a="1"/>
  <c r="DU31" i="6" s="1"/>
  <c r="DV31" i="6" a="1"/>
  <c r="DV31" i="6" s="1"/>
  <c r="DW31" i="6" a="1"/>
  <c r="DW31" i="6"/>
  <c r="DX31" i="6" a="1"/>
  <c r="DX31" i="6" s="1"/>
  <c r="DY31" i="6" a="1"/>
  <c r="DY31" i="6" s="1"/>
  <c r="DZ31" i="6" a="1"/>
  <c r="DZ31" i="6" s="1"/>
  <c r="EA31" i="6" a="1"/>
  <c r="EA31" i="6" s="1"/>
  <c r="EB31" i="6" a="1"/>
  <c r="EB31" i="6" s="1"/>
  <c r="EC31" i="6" a="1"/>
  <c r="EC31" i="6" s="1"/>
  <c r="ED31" i="6" a="1"/>
  <c r="ED31" i="6" s="1"/>
  <c r="EE31" i="6" a="1"/>
  <c r="EE31" i="6" s="1"/>
  <c r="E32" i="6" a="1"/>
  <c r="E32" i="6" s="1"/>
  <c r="F32" i="6" a="1"/>
  <c r="F32" i="6"/>
  <c r="G32" i="6" a="1"/>
  <c r="G32" i="6" s="1"/>
  <c r="H32" i="6" a="1"/>
  <c r="H32" i="6" s="1"/>
  <c r="I32" i="6" a="1"/>
  <c r="I32" i="6" s="1"/>
  <c r="J32" i="6" a="1"/>
  <c r="J32" i="6" s="1"/>
  <c r="K32" i="6" a="1"/>
  <c r="K32" i="6" s="1"/>
  <c r="L32" i="6" a="1"/>
  <c r="L32" i="6" s="1"/>
  <c r="M32" i="6" a="1"/>
  <c r="M32" i="6" s="1"/>
  <c r="N32" i="6" a="1"/>
  <c r="N32" i="6" s="1"/>
  <c r="O32" i="6" a="1"/>
  <c r="O32" i="6" s="1"/>
  <c r="P32" i="6" a="1"/>
  <c r="P32" i="6" s="1"/>
  <c r="Q32" i="6" a="1"/>
  <c r="Q32" i="6" s="1"/>
  <c r="R32" i="6" a="1"/>
  <c r="R32" i="6" s="1"/>
  <c r="S32" i="6" a="1"/>
  <c r="S32" i="6" s="1"/>
  <c r="T32" i="6" a="1"/>
  <c r="T32" i="6" s="1"/>
  <c r="U32" i="6" a="1"/>
  <c r="U32" i="6" s="1"/>
  <c r="V32" i="6" a="1"/>
  <c r="V32" i="6" s="1"/>
  <c r="W32" i="6" a="1"/>
  <c r="W32" i="6" s="1"/>
  <c r="X32" i="6" a="1"/>
  <c r="X32" i="6" s="1"/>
  <c r="Y32" i="6" a="1"/>
  <c r="Y32" i="6" s="1"/>
  <c r="Z32" i="6" a="1"/>
  <c r="Z32" i="6" s="1"/>
  <c r="AA32" i="6" a="1"/>
  <c r="AA32" i="6" s="1"/>
  <c r="AB32" i="6" a="1"/>
  <c r="AB32" i="6" s="1"/>
  <c r="AC32" i="6" a="1"/>
  <c r="AC32" i="6" s="1"/>
  <c r="AD32" i="6" a="1"/>
  <c r="AD32" i="6" s="1"/>
  <c r="AE32" i="6" a="1"/>
  <c r="AE32" i="6" s="1"/>
  <c r="AF32" i="6" a="1"/>
  <c r="AF32" i="6" s="1"/>
  <c r="AG32" i="6" a="1"/>
  <c r="AG32" i="6" s="1"/>
  <c r="AH32" i="6" a="1"/>
  <c r="AH32" i="6" s="1"/>
  <c r="AI32" i="6" a="1"/>
  <c r="AI32" i="6" s="1"/>
  <c r="AJ32" i="6" a="1"/>
  <c r="AJ32" i="6" s="1"/>
  <c r="AK32" i="6" a="1"/>
  <c r="AK32" i="6"/>
  <c r="AL32" i="6" a="1"/>
  <c r="AL32" i="6" s="1"/>
  <c r="AM32" i="6" a="1"/>
  <c r="AM32" i="6" s="1"/>
  <c r="AN32" i="6" a="1"/>
  <c r="AN32" i="6" s="1"/>
  <c r="AO32" i="6" a="1"/>
  <c r="AO32" i="6" s="1"/>
  <c r="AP32" i="6" a="1"/>
  <c r="AP32" i="6" s="1"/>
  <c r="AQ32" i="6" a="1"/>
  <c r="AQ32" i="6"/>
  <c r="AR32" i="6" a="1"/>
  <c r="AR32" i="6" s="1"/>
  <c r="AS32" i="6" a="1"/>
  <c r="AS32" i="6" s="1"/>
  <c r="AT32" i="6" a="1"/>
  <c r="AT32" i="6"/>
  <c r="AU32" i="6" a="1"/>
  <c r="AU32" i="6" s="1"/>
  <c r="AV32" i="6" a="1"/>
  <c r="AV32" i="6" s="1"/>
  <c r="AW32" i="6" a="1"/>
  <c r="AW32" i="6" s="1"/>
  <c r="AX32" i="6" a="1"/>
  <c r="AX32" i="6" s="1"/>
  <c r="AY32" i="6" a="1"/>
  <c r="AY32" i="6" s="1"/>
  <c r="AZ32" i="6" a="1"/>
  <c r="AZ32" i="6" s="1"/>
  <c r="BA32" i="6" a="1"/>
  <c r="BA32" i="6" s="1"/>
  <c r="BB32" i="6" a="1"/>
  <c r="BB32" i="6" s="1"/>
  <c r="BC32" i="6" a="1"/>
  <c r="BC32" i="6"/>
  <c r="BD32" i="6" a="1"/>
  <c r="BD32" i="6" s="1"/>
  <c r="BE32" i="6" a="1"/>
  <c r="BE32" i="6" s="1"/>
  <c r="BF32" i="6" a="1"/>
  <c r="BF32" i="6" s="1"/>
  <c r="BG32" i="6" a="1"/>
  <c r="BG32" i="6" s="1"/>
  <c r="BH32" i="6" a="1"/>
  <c r="BH32" i="6" s="1"/>
  <c r="BI32" i="6" a="1"/>
  <c r="BI32" i="6" s="1"/>
  <c r="BJ32" i="6" a="1"/>
  <c r="BJ32" i="6" s="1"/>
  <c r="BK32" i="6" a="1"/>
  <c r="BK32" i="6" s="1"/>
  <c r="BL32" i="6" a="1"/>
  <c r="BL32" i="6" s="1"/>
  <c r="BM32" i="6" a="1"/>
  <c r="BM32" i="6" s="1"/>
  <c r="BN32" i="6" a="1"/>
  <c r="BN32" i="6"/>
  <c r="BO32" i="6" a="1"/>
  <c r="BO32" i="6" s="1"/>
  <c r="BP32" i="6" a="1"/>
  <c r="BP32" i="6" s="1"/>
  <c r="BQ32" i="6" a="1"/>
  <c r="BQ32" i="6"/>
  <c r="BR32" i="6" a="1"/>
  <c r="BR32" i="6" s="1"/>
  <c r="BS32" i="6" a="1"/>
  <c r="BS32" i="6" s="1"/>
  <c r="BT32" i="6" a="1"/>
  <c r="BT32" i="6" s="1"/>
  <c r="BU32" i="6" a="1"/>
  <c r="BU32" i="6" s="1"/>
  <c r="BV32" i="6" a="1"/>
  <c r="BV32" i="6" s="1"/>
  <c r="BW32" i="6" a="1"/>
  <c r="BW32" i="6"/>
  <c r="BX32" i="6" a="1"/>
  <c r="BX32" i="6" s="1"/>
  <c r="BY32" i="6" a="1"/>
  <c r="BY32" i="6" s="1"/>
  <c r="BZ32" i="6" a="1"/>
  <c r="BZ32" i="6"/>
  <c r="CA32" i="6" a="1"/>
  <c r="CA32" i="6" s="1"/>
  <c r="CB32" i="6" a="1"/>
  <c r="CB32" i="6" s="1"/>
  <c r="CC32" i="6" a="1"/>
  <c r="CC32" i="6" s="1"/>
  <c r="CD32" i="6" a="1"/>
  <c r="CD32" i="6"/>
  <c r="CE32" i="6" a="1"/>
  <c r="CE32" i="6" s="1"/>
  <c r="CF32" i="6" a="1"/>
  <c r="CF32" i="6" s="1"/>
  <c r="CG32" i="6" a="1"/>
  <c r="CG32" i="6" s="1"/>
  <c r="CH32" i="6" a="1"/>
  <c r="CH32" i="6" s="1"/>
  <c r="CI32" i="6" a="1"/>
  <c r="CI32" i="6" s="1"/>
  <c r="CJ32" i="6" a="1"/>
  <c r="CJ32" i="6" s="1"/>
  <c r="CK32" i="6" a="1"/>
  <c r="CK32" i="6"/>
  <c r="CL32" i="6" a="1"/>
  <c r="CL32" i="6" s="1"/>
  <c r="CM32" i="6" a="1"/>
  <c r="CM32" i="6"/>
  <c r="CN32" i="6" a="1"/>
  <c r="CN32" i="6" s="1"/>
  <c r="CO32" i="6" a="1"/>
  <c r="CO32" i="6"/>
  <c r="CP32" i="6" a="1"/>
  <c r="CP32" i="6" s="1"/>
  <c r="CQ32" i="6" a="1"/>
  <c r="CQ32" i="6" s="1"/>
  <c r="CR32" i="6" a="1"/>
  <c r="CR32" i="6" s="1"/>
  <c r="CS32" i="6" a="1"/>
  <c r="CS32" i="6" s="1"/>
  <c r="CT32" i="6" a="1"/>
  <c r="CT32" i="6" s="1"/>
  <c r="CU32" i="6" a="1"/>
  <c r="CU32" i="6"/>
  <c r="CV32" i="6" a="1"/>
  <c r="CV32" i="6" s="1"/>
  <c r="CW32" i="6" a="1"/>
  <c r="CW32" i="6" s="1"/>
  <c r="CX32" i="6" a="1"/>
  <c r="CX32" i="6"/>
  <c r="CY32" i="6" a="1"/>
  <c r="CY32" i="6" s="1"/>
  <c r="CZ32" i="6" a="1"/>
  <c r="CZ32" i="6" s="1"/>
  <c r="DA32" i="6" a="1"/>
  <c r="DA32" i="6" s="1"/>
  <c r="DB32" i="6" a="1"/>
  <c r="DB32" i="6" s="1"/>
  <c r="DC32" i="6" a="1"/>
  <c r="DC32" i="6" s="1"/>
  <c r="DD32" i="6" a="1"/>
  <c r="DD32" i="6" s="1"/>
  <c r="DE32" i="6" a="1"/>
  <c r="DE32" i="6" s="1"/>
  <c r="DF32" i="6" a="1"/>
  <c r="DF32" i="6" s="1"/>
  <c r="DG32" i="6" a="1"/>
  <c r="DG32" i="6"/>
  <c r="DH32" i="6" a="1"/>
  <c r="DH32" i="6" s="1"/>
  <c r="DI32" i="6" a="1"/>
  <c r="DI32" i="6" s="1"/>
  <c r="DJ32" i="6" a="1"/>
  <c r="DJ32" i="6" s="1"/>
  <c r="DK32" i="6" a="1"/>
  <c r="DK32" i="6" s="1"/>
  <c r="DL32" i="6" a="1"/>
  <c r="DL32" i="6" s="1"/>
  <c r="DM32" i="6" a="1"/>
  <c r="DM32" i="6" s="1"/>
  <c r="DN32" i="6" a="1"/>
  <c r="DN32" i="6" s="1"/>
  <c r="DO32" i="6" a="1"/>
  <c r="DO32" i="6" s="1"/>
  <c r="DP32" i="6" a="1"/>
  <c r="DP32" i="6" s="1"/>
  <c r="DQ32" i="6" a="1"/>
  <c r="DQ32" i="6" s="1"/>
  <c r="DR32" i="6" a="1"/>
  <c r="DR32" i="6"/>
  <c r="DS32" i="6" a="1"/>
  <c r="DS32" i="6" s="1"/>
  <c r="DT32" i="6" a="1"/>
  <c r="DT32" i="6" s="1"/>
  <c r="DU32" i="6" a="1"/>
  <c r="DU32" i="6" s="1"/>
  <c r="DV32" i="6" a="1"/>
  <c r="DV32" i="6" s="1"/>
  <c r="DW32" i="6" a="1"/>
  <c r="DW32" i="6" s="1"/>
  <c r="DX32" i="6" a="1"/>
  <c r="DX32" i="6" s="1"/>
  <c r="DY32" i="6" a="1"/>
  <c r="DY32" i="6" s="1"/>
  <c r="DZ32" i="6" a="1"/>
  <c r="DZ32" i="6" s="1"/>
  <c r="EA32" i="6" a="1"/>
  <c r="EA32" i="6"/>
  <c r="EB32" i="6" a="1"/>
  <c r="EB32" i="6" s="1"/>
  <c r="EC32" i="6" a="1"/>
  <c r="EC32" i="6"/>
  <c r="ED32" i="6" a="1"/>
  <c r="ED32" i="6" s="1"/>
  <c r="EE32" i="6" a="1"/>
  <c r="EE32" i="6" s="1"/>
  <c r="E33" i="6" a="1"/>
  <c r="E33" i="6" s="1"/>
  <c r="F33" i="6" a="1"/>
  <c r="F33" i="6" s="1"/>
  <c r="G33" i="6" a="1"/>
  <c r="G33" i="6" s="1"/>
  <c r="H33" i="6" a="1"/>
  <c r="H33" i="6" s="1"/>
  <c r="I33" i="6" a="1"/>
  <c r="I33" i="6" s="1"/>
  <c r="J33" i="6" a="1"/>
  <c r="J33" i="6" s="1"/>
  <c r="K33" i="6" a="1"/>
  <c r="K33" i="6" s="1"/>
  <c r="L33" i="6" a="1"/>
  <c r="L33" i="6" s="1"/>
  <c r="M33" i="6" a="1"/>
  <c r="M33" i="6" s="1"/>
  <c r="N33" i="6" a="1"/>
  <c r="N33" i="6"/>
  <c r="O33" i="6" a="1"/>
  <c r="O33" i="6" s="1"/>
  <c r="P33" i="6" a="1"/>
  <c r="P33" i="6" s="1"/>
  <c r="Q33" i="6" a="1"/>
  <c r="Q33" i="6" s="1"/>
  <c r="R33" i="6" a="1"/>
  <c r="R33" i="6" s="1"/>
  <c r="S33" i="6" a="1"/>
  <c r="S33" i="6" s="1"/>
  <c r="T33" i="6" a="1"/>
  <c r="T33" i="6"/>
  <c r="U33" i="6" a="1"/>
  <c r="U33" i="6" s="1"/>
  <c r="V33" i="6" a="1"/>
  <c r="V33" i="6" s="1"/>
  <c r="W33" i="6" a="1"/>
  <c r="W33" i="6"/>
  <c r="X33" i="6" a="1"/>
  <c r="X33" i="6" s="1"/>
  <c r="Y33" i="6" a="1"/>
  <c r="Y33" i="6" s="1"/>
  <c r="Z33" i="6" a="1"/>
  <c r="Z33" i="6"/>
  <c r="AA33" i="6" a="1"/>
  <c r="AA33" i="6" s="1"/>
  <c r="AB33" i="6" a="1"/>
  <c r="AB33" i="6" s="1"/>
  <c r="AC33" i="6" a="1"/>
  <c r="AC33" i="6" s="1"/>
  <c r="AD33" i="6" a="1"/>
  <c r="AD33" i="6" s="1"/>
  <c r="AE33" i="6" a="1"/>
  <c r="AE33" i="6" s="1"/>
  <c r="AF33" i="6" a="1"/>
  <c r="AF33" i="6"/>
  <c r="AG33" i="6" a="1"/>
  <c r="AG33" i="6" s="1"/>
  <c r="AH33" i="6" a="1"/>
  <c r="AH33" i="6" s="1"/>
  <c r="AI33" i="6" a="1"/>
  <c r="AI33" i="6" s="1"/>
  <c r="AJ33" i="6" a="1"/>
  <c r="AJ33" i="6" s="1"/>
  <c r="AK33" i="6" a="1"/>
  <c r="AK33" i="6" s="1"/>
  <c r="AL33" i="6" a="1"/>
  <c r="AL33" i="6" s="1"/>
  <c r="AM33" i="6" a="1"/>
  <c r="AM33" i="6" s="1"/>
  <c r="AN33" i="6" a="1"/>
  <c r="AN33" i="6" s="1"/>
  <c r="AO33" i="6" a="1"/>
  <c r="AO33" i="6" s="1"/>
  <c r="AP33" i="6" a="1"/>
  <c r="AP33" i="6" s="1"/>
  <c r="AQ33" i="6" a="1"/>
  <c r="AQ33" i="6" s="1"/>
  <c r="AR33" i="6" a="1"/>
  <c r="AR33" i="6" s="1"/>
  <c r="AS33" i="6" a="1"/>
  <c r="AS33" i="6" s="1"/>
  <c r="AT33" i="6" a="1"/>
  <c r="AT33" i="6" s="1"/>
  <c r="AU33" i="6" a="1"/>
  <c r="AU33" i="6" s="1"/>
  <c r="AV33" i="6" a="1"/>
  <c r="AV33" i="6" s="1"/>
  <c r="AW33" i="6" a="1"/>
  <c r="AW33" i="6" s="1"/>
  <c r="AX33" i="6" a="1"/>
  <c r="AX33" i="6" s="1"/>
  <c r="AY33" i="6" a="1"/>
  <c r="AY33" i="6" s="1"/>
  <c r="AZ33" i="6" a="1"/>
  <c r="AZ33" i="6"/>
  <c r="BA33" i="6" a="1"/>
  <c r="BA33" i="6" s="1"/>
  <c r="BB33" i="6" a="1"/>
  <c r="BB33" i="6" s="1"/>
  <c r="BC33" i="6" a="1"/>
  <c r="BC33" i="6"/>
  <c r="BD33" i="6" a="1"/>
  <c r="BD33" i="6" s="1"/>
  <c r="BE33" i="6" a="1"/>
  <c r="BE33" i="6" s="1"/>
  <c r="BF33" i="6" a="1"/>
  <c r="BF33" i="6" s="1"/>
  <c r="BG33" i="6" a="1"/>
  <c r="BG33" i="6" s="1"/>
  <c r="BH33" i="6" a="1"/>
  <c r="BH33" i="6" s="1"/>
  <c r="BI33" i="6" a="1"/>
  <c r="BI33" i="6" s="1"/>
  <c r="BJ33" i="6" a="1"/>
  <c r="BJ33" i="6" s="1"/>
  <c r="BK33" i="6" a="1"/>
  <c r="BK33" i="6" s="1"/>
  <c r="BL33" i="6" a="1"/>
  <c r="BL33" i="6" s="1"/>
  <c r="BM33" i="6" a="1"/>
  <c r="BM33" i="6" s="1"/>
  <c r="BN33" i="6" a="1"/>
  <c r="BN33" i="6" s="1"/>
  <c r="BO33" i="6" a="1"/>
  <c r="BO33" i="6" s="1"/>
  <c r="BP33" i="6" a="1"/>
  <c r="BP33" i="6" s="1"/>
  <c r="BQ33" i="6" a="1"/>
  <c r="BQ33" i="6" s="1"/>
  <c r="BR33" i="6" a="1"/>
  <c r="BR33" i="6" s="1"/>
  <c r="BS33" i="6" a="1"/>
  <c r="BS33" i="6" s="1"/>
  <c r="BT33" i="6" a="1"/>
  <c r="BT33" i="6" s="1"/>
  <c r="BU33" i="6" a="1"/>
  <c r="BU33" i="6" s="1"/>
  <c r="BV33" i="6" a="1"/>
  <c r="BV33" i="6" s="1"/>
  <c r="BW33" i="6" a="1"/>
  <c r="BW33" i="6" s="1"/>
  <c r="BX33" i="6" a="1"/>
  <c r="BX33" i="6" s="1"/>
  <c r="BY33" i="6" a="1"/>
  <c r="BY33" i="6" s="1"/>
  <c r="BZ33" i="6" a="1"/>
  <c r="BZ33" i="6"/>
  <c r="CA33" i="6" a="1"/>
  <c r="CA33" i="6" s="1"/>
  <c r="CB33" i="6" a="1"/>
  <c r="CB33" i="6" s="1"/>
  <c r="CC33" i="6" a="1"/>
  <c r="CC33" i="6" s="1"/>
  <c r="CD33" i="6" a="1"/>
  <c r="CD33" i="6" s="1"/>
  <c r="CE33" i="6" a="1"/>
  <c r="CE33" i="6" s="1"/>
  <c r="CF33" i="6" a="1"/>
  <c r="CF33" i="6" s="1"/>
  <c r="CG33" i="6" a="1"/>
  <c r="CG33" i="6" s="1"/>
  <c r="CH33" i="6" a="1"/>
  <c r="CH33" i="6" s="1"/>
  <c r="CI33" i="6" a="1"/>
  <c r="CI33" i="6" s="1"/>
  <c r="CJ33" i="6" a="1"/>
  <c r="CJ33" i="6"/>
  <c r="CK33" i="6" a="1"/>
  <c r="CK33" i="6" s="1"/>
  <c r="CL33" i="6" a="1"/>
  <c r="CL33" i="6" s="1"/>
  <c r="CM33" i="6" a="1"/>
  <c r="CM33" i="6" s="1"/>
  <c r="CN33" i="6" a="1"/>
  <c r="CN33" i="6" s="1"/>
  <c r="CO33" i="6" a="1"/>
  <c r="CO33" i="6" s="1"/>
  <c r="CP33" i="6" a="1"/>
  <c r="CP33" i="6" s="1"/>
  <c r="CQ33" i="6" a="1"/>
  <c r="CQ33" i="6" s="1"/>
  <c r="CR33" i="6" a="1"/>
  <c r="CR33" i="6" s="1"/>
  <c r="CS33" i="6" a="1"/>
  <c r="CS33" i="6" s="1"/>
  <c r="CT33" i="6" a="1"/>
  <c r="CT33" i="6" s="1"/>
  <c r="CU33" i="6" a="1"/>
  <c r="CU33" i="6" s="1"/>
  <c r="CV33" i="6" a="1"/>
  <c r="CV33" i="6" s="1"/>
  <c r="CW33" i="6" a="1"/>
  <c r="CW33" i="6" s="1"/>
  <c r="CX33" i="6" a="1"/>
  <c r="CX33" i="6"/>
  <c r="CY33" i="6" a="1"/>
  <c r="CY33" i="6" s="1"/>
  <c r="CZ33" i="6" a="1"/>
  <c r="CZ33" i="6" s="1"/>
  <c r="DA33" i="6" a="1"/>
  <c r="DA33" i="6" s="1"/>
  <c r="DB33" i="6" a="1"/>
  <c r="DB33" i="6" s="1"/>
  <c r="DC33" i="6" a="1"/>
  <c r="DC33" i="6" s="1"/>
  <c r="DD33" i="6" a="1"/>
  <c r="DD33" i="6" s="1"/>
  <c r="DE33" i="6" a="1"/>
  <c r="DE33" i="6" s="1"/>
  <c r="DF33" i="6" a="1"/>
  <c r="DF33" i="6" s="1"/>
  <c r="DG33" i="6" a="1"/>
  <c r="DG33" i="6"/>
  <c r="DH33" i="6" a="1"/>
  <c r="DH33" i="6" s="1"/>
  <c r="DI33" i="6" a="1"/>
  <c r="DI33" i="6" s="1"/>
  <c r="DJ33" i="6" a="1"/>
  <c r="DJ33" i="6" s="1"/>
  <c r="DK33" i="6" a="1"/>
  <c r="DK33" i="6" s="1"/>
  <c r="DL33" i="6" a="1"/>
  <c r="DL33" i="6" s="1"/>
  <c r="DM33" i="6" a="1"/>
  <c r="DM33" i="6" s="1"/>
  <c r="DN33" i="6" a="1"/>
  <c r="DN33" i="6" s="1"/>
  <c r="DO33" i="6" a="1"/>
  <c r="DO33" i="6" s="1"/>
  <c r="DP33" i="6" a="1"/>
  <c r="DP33" i="6"/>
  <c r="DQ33" i="6" a="1"/>
  <c r="DQ33" i="6" s="1"/>
  <c r="DR33" i="6" a="1"/>
  <c r="DR33" i="6" s="1"/>
  <c r="DS33" i="6" a="1"/>
  <c r="DS33" i="6" s="1"/>
  <c r="DT33" i="6" a="1"/>
  <c r="DT33" i="6" s="1"/>
  <c r="DU33" i="6" a="1"/>
  <c r="DU33" i="6" s="1"/>
  <c r="DV33" i="6" a="1"/>
  <c r="DV33" i="6" s="1"/>
  <c r="DW33" i="6" a="1"/>
  <c r="DW33" i="6" s="1"/>
  <c r="DX33" i="6" a="1"/>
  <c r="DX33" i="6" s="1"/>
  <c r="DY33" i="6" a="1"/>
  <c r="DY33" i="6" s="1"/>
  <c r="DZ33" i="6" a="1"/>
  <c r="DZ33" i="6"/>
  <c r="EA33" i="6" a="1"/>
  <c r="EA33" i="6" s="1"/>
  <c r="EB33" i="6" a="1"/>
  <c r="EB33" i="6" s="1"/>
  <c r="EC33" i="6" a="1"/>
  <c r="EC33" i="6" s="1"/>
  <c r="ED33" i="6" a="1"/>
  <c r="ED33" i="6" s="1"/>
  <c r="EE33" i="6" a="1"/>
  <c r="EE33" i="6" s="1"/>
  <c r="E34" i="6" a="1"/>
  <c r="E34" i="6" s="1"/>
  <c r="F34" i="6" a="1"/>
  <c r="F34" i="6" s="1"/>
  <c r="G34" i="6" a="1"/>
  <c r="G34" i="6" s="1"/>
  <c r="H34" i="6" a="1"/>
  <c r="H34" i="6"/>
  <c r="I34" i="6" a="1"/>
  <c r="I34" i="6" s="1"/>
  <c r="J34" i="6" a="1"/>
  <c r="J34" i="6" s="1"/>
  <c r="K34" i="6" a="1"/>
  <c r="K34" i="6"/>
  <c r="L34" i="6" a="1"/>
  <c r="L34" i="6" s="1"/>
  <c r="M34" i="6" a="1"/>
  <c r="M34" i="6" s="1"/>
  <c r="N34" i="6" a="1"/>
  <c r="N34" i="6" s="1"/>
  <c r="O34" i="6" a="1"/>
  <c r="O34" i="6" s="1"/>
  <c r="P34" i="6" a="1"/>
  <c r="P34" i="6" s="1"/>
  <c r="Q34" i="6" a="1"/>
  <c r="Q34" i="6"/>
  <c r="R34" i="6" a="1"/>
  <c r="R34" i="6" s="1"/>
  <c r="S34" i="6" a="1"/>
  <c r="S34" i="6" s="1"/>
  <c r="T34" i="6" a="1"/>
  <c r="T34" i="6" s="1"/>
  <c r="U34" i="6" a="1"/>
  <c r="U34" i="6" s="1"/>
  <c r="V34" i="6" a="1"/>
  <c r="V34" i="6" s="1"/>
  <c r="W34" i="6" a="1"/>
  <c r="W34" i="6" s="1"/>
  <c r="X34" i="6" a="1"/>
  <c r="X34" i="6" s="1"/>
  <c r="Y34" i="6" a="1"/>
  <c r="Y34" i="6" s="1"/>
  <c r="Z34" i="6" a="1"/>
  <c r="Z34" i="6" s="1"/>
  <c r="AA34" i="6" a="1"/>
  <c r="AA34" i="6" s="1"/>
  <c r="AB34" i="6" a="1"/>
  <c r="AB34" i="6" s="1"/>
  <c r="AC34" i="6" a="1"/>
  <c r="AC34" i="6" s="1"/>
  <c r="AD34" i="6" a="1"/>
  <c r="AD34" i="6" s="1"/>
  <c r="AE34" i="6" a="1"/>
  <c r="AE34" i="6" s="1"/>
  <c r="AF34" i="6" a="1"/>
  <c r="AF34" i="6" s="1"/>
  <c r="AG34" i="6" a="1"/>
  <c r="AG34" i="6" s="1"/>
  <c r="AH34" i="6" a="1"/>
  <c r="AH34" i="6" s="1"/>
  <c r="AI34" i="6" a="1"/>
  <c r="AI34" i="6" s="1"/>
  <c r="AJ34" i="6" a="1"/>
  <c r="AJ34" i="6" s="1"/>
  <c r="AK34" i="6" a="1"/>
  <c r="AK34" i="6" s="1"/>
  <c r="AL34" i="6" a="1"/>
  <c r="AL34" i="6" s="1"/>
  <c r="AM34" i="6" a="1"/>
  <c r="AM34" i="6" s="1"/>
  <c r="AN34" i="6" a="1"/>
  <c r="AN34" i="6"/>
  <c r="AO34" i="6" a="1"/>
  <c r="AO34" i="6" s="1"/>
  <c r="AP34" i="6" a="1"/>
  <c r="AP34" i="6" s="1"/>
  <c r="AQ34" i="6" a="1"/>
  <c r="AQ34" i="6" s="1"/>
  <c r="AR34" i="6" a="1"/>
  <c r="AR34" i="6"/>
  <c r="AS34" i="6" a="1"/>
  <c r="AS34" i="6" s="1"/>
  <c r="AT34" i="6" a="1"/>
  <c r="AT34" i="6" s="1"/>
  <c r="AU34" i="6" a="1"/>
  <c r="AU34" i="6" s="1"/>
  <c r="AV34" i="6" a="1"/>
  <c r="AV34" i="6" s="1"/>
  <c r="AW34" i="6" a="1"/>
  <c r="AW34" i="6"/>
  <c r="AX34" i="6" a="1"/>
  <c r="AX34" i="6" s="1"/>
  <c r="AY34" i="6" a="1"/>
  <c r="AY34" i="6" s="1"/>
  <c r="AZ34" i="6" a="1"/>
  <c r="AZ34" i="6"/>
  <c r="BA34" i="6" a="1"/>
  <c r="BA34" i="6"/>
  <c r="BB34" i="6" a="1"/>
  <c r="BB34" i="6" s="1"/>
  <c r="BC34" i="6" a="1"/>
  <c r="BC34" i="6" s="1"/>
  <c r="BD34" i="6" a="1"/>
  <c r="BD34" i="6" s="1"/>
  <c r="BE34" i="6" a="1"/>
  <c r="BE34" i="6" s="1"/>
  <c r="BF34" i="6" a="1"/>
  <c r="BF34" i="6" s="1"/>
  <c r="BG34" i="6" a="1"/>
  <c r="BG34" i="6" s="1"/>
  <c r="BH34" i="6" a="1"/>
  <c r="BH34" i="6" s="1"/>
  <c r="BI34" i="6" a="1"/>
  <c r="BI34" i="6" s="1"/>
  <c r="BJ34" i="6" a="1"/>
  <c r="BJ34" i="6" s="1"/>
  <c r="BK34" i="6" a="1"/>
  <c r="BK34" i="6" s="1"/>
  <c r="BL34" i="6" a="1"/>
  <c r="BL34" i="6" s="1"/>
  <c r="BM34" i="6" a="1"/>
  <c r="BM34" i="6"/>
  <c r="BN34" i="6" a="1"/>
  <c r="BN34" i="6" s="1"/>
  <c r="BO34" i="6" a="1"/>
  <c r="BO34" i="6"/>
  <c r="BP34" i="6" a="1"/>
  <c r="BP34" i="6" s="1"/>
  <c r="BQ34" i="6" a="1"/>
  <c r="BQ34" i="6" s="1"/>
  <c r="BR34" i="6" a="1"/>
  <c r="BR34" i="6" s="1"/>
  <c r="BS34" i="6" a="1"/>
  <c r="BS34" i="6" s="1"/>
  <c r="BT34" i="6" a="1"/>
  <c r="BT34" i="6" s="1"/>
  <c r="BU34" i="6" a="1"/>
  <c r="BU34" i="6" s="1"/>
  <c r="BV34" i="6" a="1"/>
  <c r="BV34" i="6" s="1"/>
  <c r="BW34" i="6" a="1"/>
  <c r="BW34" i="6" s="1"/>
  <c r="BX34" i="6" a="1"/>
  <c r="BX34" i="6" s="1"/>
  <c r="BY34" i="6" a="1"/>
  <c r="BY34" i="6" s="1"/>
  <c r="BZ34" i="6" a="1"/>
  <c r="BZ34" i="6" s="1"/>
  <c r="CA34" i="6" a="1"/>
  <c r="CA34" i="6"/>
  <c r="CB34" i="6" a="1"/>
  <c r="CB34" i="6" s="1"/>
  <c r="CC34" i="6" a="1"/>
  <c r="CC34" i="6"/>
  <c r="CD34" i="6" a="1"/>
  <c r="CD34" i="6" s="1"/>
  <c r="CE34" i="6" a="1"/>
  <c r="CE34" i="6" s="1"/>
  <c r="CF34" i="6" a="1"/>
  <c r="CF34" i="6" s="1"/>
  <c r="CG34" i="6" a="1"/>
  <c r="CG34" i="6" s="1"/>
  <c r="CH34" i="6" a="1"/>
  <c r="CH34" i="6" s="1"/>
  <c r="CI34" i="6" a="1"/>
  <c r="CI34" i="6" s="1"/>
  <c r="CJ34" i="6" a="1"/>
  <c r="CJ34" i="6"/>
  <c r="CK34" i="6" a="1"/>
  <c r="CK34" i="6" s="1"/>
  <c r="CL34" i="6" a="1"/>
  <c r="CL34" i="6" s="1"/>
  <c r="CM34" i="6" a="1"/>
  <c r="CM34" i="6" s="1"/>
  <c r="CN34" i="6" a="1"/>
  <c r="CN34" i="6" s="1"/>
  <c r="CO34" i="6" a="1"/>
  <c r="CO34" i="6"/>
  <c r="CP34" i="6" a="1"/>
  <c r="CP34" i="6" s="1"/>
  <c r="CQ34" i="6" a="1"/>
  <c r="CQ34" i="6" s="1"/>
  <c r="CR34" i="6" a="1"/>
  <c r="CR34" i="6" s="1"/>
  <c r="CS34" i="6" a="1"/>
  <c r="CS34" i="6"/>
  <c r="CT34" i="6" a="1"/>
  <c r="CT34" i="6" s="1"/>
  <c r="CU34" i="6" a="1"/>
  <c r="CU34" i="6"/>
  <c r="CV34" i="6" a="1"/>
  <c r="CV34" i="6" s="1"/>
  <c r="CW34" i="6" a="1"/>
  <c r="CW34" i="6" s="1"/>
  <c r="CX34" i="6" a="1"/>
  <c r="CX34" i="6" s="1"/>
  <c r="CY34" i="6" a="1"/>
  <c r="CY34" i="6" s="1"/>
  <c r="CZ34" i="6" a="1"/>
  <c r="CZ34" i="6" s="1"/>
  <c r="DA34" i="6" a="1"/>
  <c r="DA34" i="6" s="1"/>
  <c r="DB34" i="6" a="1"/>
  <c r="DB34" i="6" s="1"/>
  <c r="DC34" i="6" a="1"/>
  <c r="DC34" i="6" s="1"/>
  <c r="DD34" i="6" a="1"/>
  <c r="DD34" i="6" s="1"/>
  <c r="DE34" i="6" a="1"/>
  <c r="DE34" i="6" s="1"/>
  <c r="DF34" i="6" a="1"/>
  <c r="DF34" i="6" s="1"/>
  <c r="DG34" i="6" a="1"/>
  <c r="DG34" i="6" s="1"/>
  <c r="DH34" i="6" a="1"/>
  <c r="DH34" i="6" s="1"/>
  <c r="DI34" i="6" a="1"/>
  <c r="DI34" i="6" s="1"/>
  <c r="DJ34" i="6" a="1"/>
  <c r="DJ34" i="6" s="1"/>
  <c r="DK34" i="6" a="1"/>
  <c r="DK34" i="6" s="1"/>
  <c r="DL34" i="6" a="1"/>
  <c r="DL34" i="6"/>
  <c r="DM34" i="6" a="1"/>
  <c r="DM34" i="6" s="1"/>
  <c r="DN34" i="6" a="1"/>
  <c r="DN34" i="6" s="1"/>
  <c r="DO34" i="6" a="1"/>
  <c r="DO34" i="6" s="1"/>
  <c r="DP34" i="6" a="1"/>
  <c r="DP34" i="6" s="1"/>
  <c r="DQ34" i="6" a="1"/>
  <c r="DQ34" i="6" s="1"/>
  <c r="DR34" i="6" a="1"/>
  <c r="DR34" i="6" s="1"/>
  <c r="DS34" i="6" a="1"/>
  <c r="DS34" i="6" s="1"/>
  <c r="DT34" i="6" a="1"/>
  <c r="DT34" i="6" s="1"/>
  <c r="DU34" i="6" a="1"/>
  <c r="DU34" i="6" s="1"/>
  <c r="DV34" i="6" a="1"/>
  <c r="DV34" i="6" s="1"/>
  <c r="DW34" i="6" a="1"/>
  <c r="DW34" i="6" s="1"/>
  <c r="DX34" i="6" a="1"/>
  <c r="DX34" i="6" s="1"/>
  <c r="DY34" i="6" a="1"/>
  <c r="DY34" i="6"/>
  <c r="DZ34" i="6" a="1"/>
  <c r="DZ34" i="6" s="1"/>
  <c r="EA34" i="6" a="1"/>
  <c r="EA34" i="6"/>
  <c r="EB34" i="6" a="1"/>
  <c r="EB34" i="6" s="1"/>
  <c r="EC34" i="6" a="1"/>
  <c r="EC34" i="6" s="1"/>
  <c r="ED34" i="6" a="1"/>
  <c r="ED34" i="6" s="1"/>
  <c r="EE34" i="6" a="1"/>
  <c r="EE34" i="6" s="1"/>
  <c r="E35" i="6" a="1"/>
  <c r="E35" i="6" s="1"/>
  <c r="F35" i="6" a="1"/>
  <c r="F35" i="6" s="1"/>
  <c r="G35" i="6" a="1"/>
  <c r="G35" i="6" s="1"/>
  <c r="H35" i="6" a="1"/>
  <c r="H35" i="6" s="1"/>
  <c r="I35" i="6" a="1"/>
  <c r="I35" i="6"/>
  <c r="J35" i="6" a="1"/>
  <c r="J35" i="6" s="1"/>
  <c r="K35" i="6" a="1"/>
  <c r="K35" i="6" s="1"/>
  <c r="L35" i="6" a="1"/>
  <c r="L35" i="6" s="1"/>
  <c r="M35" i="6" a="1"/>
  <c r="M35" i="6" s="1"/>
  <c r="N35" i="6" a="1"/>
  <c r="N35" i="6" s="1"/>
  <c r="O35" i="6" a="1"/>
  <c r="O35" i="6" s="1"/>
  <c r="P35" i="6" a="1"/>
  <c r="P35" i="6" s="1"/>
  <c r="Q35" i="6" a="1"/>
  <c r="Q35" i="6" s="1"/>
  <c r="R35" i="6" a="1"/>
  <c r="R35" i="6"/>
  <c r="S35" i="6" a="1"/>
  <c r="S35" i="6" s="1"/>
  <c r="T35" i="6" a="1"/>
  <c r="T35" i="6" s="1"/>
  <c r="U35" i="6" a="1"/>
  <c r="U35" i="6" s="1"/>
  <c r="V35" i="6" a="1"/>
  <c r="V35" i="6" s="1"/>
  <c r="W35" i="6" a="1"/>
  <c r="W35" i="6" s="1"/>
  <c r="X35" i="6" a="1"/>
  <c r="X35" i="6" s="1"/>
  <c r="Y35" i="6" a="1"/>
  <c r="Y35" i="6" s="1"/>
  <c r="Z35" i="6" a="1"/>
  <c r="Z35" i="6" s="1"/>
  <c r="AA35" i="6" a="1"/>
  <c r="AA35" i="6" s="1"/>
  <c r="AB35" i="6" a="1"/>
  <c r="AB35" i="6" s="1"/>
  <c r="AC35" i="6" a="1"/>
  <c r="AC35" i="6" s="1"/>
  <c r="AD35" i="6" a="1"/>
  <c r="AD35" i="6" s="1"/>
  <c r="AE35" i="6" a="1"/>
  <c r="AE35" i="6" s="1"/>
  <c r="AF35" i="6" a="1"/>
  <c r="AF35" i="6" s="1"/>
  <c r="AG35" i="6" a="1"/>
  <c r="AG35" i="6" s="1"/>
  <c r="AH35" i="6" a="1"/>
  <c r="AH35" i="6" s="1"/>
  <c r="AI35" i="6" a="1"/>
  <c r="AI35" i="6" s="1"/>
  <c r="AJ35" i="6" a="1"/>
  <c r="AJ35" i="6" s="1"/>
  <c r="AK35" i="6" a="1"/>
  <c r="AK35" i="6" s="1"/>
  <c r="AL35" i="6" a="1"/>
  <c r="AL35" i="6" s="1"/>
  <c r="AM35" i="6" a="1"/>
  <c r="AM35" i="6" s="1"/>
  <c r="AN35" i="6" a="1"/>
  <c r="AN35" i="6" s="1"/>
  <c r="AO35" i="6" a="1"/>
  <c r="AO35" i="6"/>
  <c r="AP35" i="6" a="1"/>
  <c r="AP35" i="6" s="1"/>
  <c r="AQ35" i="6" a="1"/>
  <c r="AQ35" i="6" s="1"/>
  <c r="AR35" i="6" a="1"/>
  <c r="AR35" i="6" s="1"/>
  <c r="AS35" i="6" a="1"/>
  <c r="AS35" i="6" s="1"/>
  <c r="AT35" i="6" a="1"/>
  <c r="AT35" i="6" s="1"/>
  <c r="AU35" i="6" a="1"/>
  <c r="AU35" i="6" s="1"/>
  <c r="AV35" i="6" a="1"/>
  <c r="AV35" i="6" s="1"/>
  <c r="AW35" i="6" a="1"/>
  <c r="AW35" i="6" s="1"/>
  <c r="AX35" i="6" a="1"/>
  <c r="AX35" i="6" s="1"/>
  <c r="AY35" i="6" a="1"/>
  <c r="AY35" i="6" s="1"/>
  <c r="AZ35" i="6" a="1"/>
  <c r="AZ35" i="6" s="1"/>
  <c r="BA35" i="6" a="1"/>
  <c r="BA35" i="6" s="1"/>
  <c r="BB35" i="6" a="1"/>
  <c r="BB35" i="6" s="1"/>
  <c r="BC35" i="6" a="1"/>
  <c r="BC35" i="6" s="1"/>
  <c r="BD35" i="6" a="1"/>
  <c r="BD35" i="6" s="1"/>
  <c r="BE35" i="6" a="1"/>
  <c r="BE35" i="6" s="1"/>
  <c r="BF35" i="6" a="1"/>
  <c r="BF35" i="6" s="1"/>
  <c r="BG35" i="6" a="1"/>
  <c r="BG35" i="6" s="1"/>
  <c r="BH35" i="6" a="1"/>
  <c r="BH35" i="6" s="1"/>
  <c r="BI35" i="6" a="1"/>
  <c r="BI35" i="6" s="1"/>
  <c r="BJ35" i="6" a="1"/>
  <c r="BJ35" i="6" s="1"/>
  <c r="BK35" i="6" a="1"/>
  <c r="BK35" i="6" s="1"/>
  <c r="BL35" i="6" a="1"/>
  <c r="BL35" i="6" s="1"/>
  <c r="BM35" i="6" a="1"/>
  <c r="BM35" i="6" s="1"/>
  <c r="BN35" i="6" a="1"/>
  <c r="BN35" i="6" s="1"/>
  <c r="BO35" i="6" a="1"/>
  <c r="BO35" i="6" s="1"/>
  <c r="BP35" i="6" a="1"/>
  <c r="BP35" i="6" s="1"/>
  <c r="BQ35" i="6" a="1"/>
  <c r="BQ35" i="6" s="1"/>
  <c r="BR35" i="6" a="1"/>
  <c r="BR35" i="6" s="1"/>
  <c r="BS35" i="6" a="1"/>
  <c r="BS35" i="6" s="1"/>
  <c r="BT35" i="6" a="1"/>
  <c r="BT35" i="6" s="1"/>
  <c r="BU35" i="6" a="1"/>
  <c r="BU35" i="6" s="1"/>
  <c r="BV35" i="6" a="1"/>
  <c r="BV35" i="6" s="1"/>
  <c r="BW35" i="6" a="1"/>
  <c r="BW35" i="6" s="1"/>
  <c r="BX35" i="6" a="1"/>
  <c r="BX35" i="6"/>
  <c r="BY35" i="6" a="1"/>
  <c r="BY35" i="6" s="1"/>
  <c r="BZ35" i="6" a="1"/>
  <c r="BZ35" i="6" s="1"/>
  <c r="CA35" i="6" a="1"/>
  <c r="CA35" i="6" s="1"/>
  <c r="CB35" i="6" a="1"/>
  <c r="CB35" i="6" s="1"/>
  <c r="CC35" i="6" a="1"/>
  <c r="CC35" i="6" s="1"/>
  <c r="CD35" i="6" a="1"/>
  <c r="CD35" i="6" s="1"/>
  <c r="CE35" i="6" a="1"/>
  <c r="CE35" i="6" s="1"/>
  <c r="CF35" i="6" a="1"/>
  <c r="CF35" i="6" s="1"/>
  <c r="CG35" i="6" a="1"/>
  <c r="CG35" i="6"/>
  <c r="CH35" i="6" a="1"/>
  <c r="CH35" i="6" s="1"/>
  <c r="CI35" i="6" a="1"/>
  <c r="CI35" i="6" s="1"/>
  <c r="CJ35" i="6" a="1"/>
  <c r="CJ35" i="6" s="1"/>
  <c r="CK35" i="6" a="1"/>
  <c r="CK35" i="6" s="1"/>
  <c r="CL35" i="6" a="1"/>
  <c r="CL35" i="6" s="1"/>
  <c r="CM35" i="6" a="1"/>
  <c r="CM35" i="6" s="1"/>
  <c r="CN35" i="6" a="1"/>
  <c r="CN35" i="6" s="1"/>
  <c r="CO35" i="6" a="1"/>
  <c r="CO35" i="6" s="1"/>
  <c r="CP35" i="6" a="1"/>
  <c r="CP35" i="6" s="1"/>
  <c r="CQ35" i="6" a="1"/>
  <c r="CQ35" i="6" s="1"/>
  <c r="CR35" i="6" a="1"/>
  <c r="CR35" i="6"/>
  <c r="CS35" i="6" a="1"/>
  <c r="CS35" i="6" s="1"/>
  <c r="CT35" i="6" a="1"/>
  <c r="CT35" i="6" s="1"/>
  <c r="CU35" i="6" a="1"/>
  <c r="CU35" i="6" s="1"/>
  <c r="CV35" i="6" a="1"/>
  <c r="CV35" i="6" s="1"/>
  <c r="CW35" i="6" a="1"/>
  <c r="CW35" i="6" s="1"/>
  <c r="CX35" i="6" a="1"/>
  <c r="CX35" i="6" s="1"/>
  <c r="CY35" i="6" a="1"/>
  <c r="CY35" i="6" s="1"/>
  <c r="CZ35" i="6" a="1"/>
  <c r="CZ35" i="6" s="1"/>
  <c r="DA35" i="6" a="1"/>
  <c r="DA35" i="6" s="1"/>
  <c r="DB35" i="6" a="1"/>
  <c r="DB35" i="6" s="1"/>
  <c r="DC35" i="6" a="1"/>
  <c r="DC35" i="6" s="1"/>
  <c r="DD35" i="6" a="1"/>
  <c r="DD35" i="6"/>
  <c r="DE35" i="6" a="1"/>
  <c r="DE35" i="6" s="1"/>
  <c r="DF35" i="6" a="1"/>
  <c r="DF35" i="6" s="1"/>
  <c r="DG35" i="6" a="1"/>
  <c r="DG35" i="6" s="1"/>
  <c r="DH35" i="6" a="1"/>
  <c r="DH35" i="6" s="1"/>
  <c r="DI35" i="6" a="1"/>
  <c r="DI35" i="6" s="1"/>
  <c r="DJ35" i="6" a="1"/>
  <c r="DJ35" i="6" s="1"/>
  <c r="DK35" i="6" a="1"/>
  <c r="DK35" i="6" s="1"/>
  <c r="DL35" i="6" a="1"/>
  <c r="DL35" i="6" s="1"/>
  <c r="DM35" i="6" a="1"/>
  <c r="DM35" i="6" s="1"/>
  <c r="DN35" i="6" a="1"/>
  <c r="DN35" i="6" s="1"/>
  <c r="DO35" i="6" a="1"/>
  <c r="DO35" i="6" s="1"/>
  <c r="DP35" i="6" a="1"/>
  <c r="DP35" i="6" s="1"/>
  <c r="DQ35" i="6" a="1"/>
  <c r="DQ35" i="6" s="1"/>
  <c r="DR35" i="6" a="1"/>
  <c r="DR35" i="6" s="1"/>
  <c r="DS35" i="6" a="1"/>
  <c r="DS35" i="6" s="1"/>
  <c r="DT35" i="6" a="1"/>
  <c r="DT35" i="6" s="1"/>
  <c r="DU35" i="6" a="1"/>
  <c r="DU35" i="6" s="1"/>
  <c r="DV35" i="6" a="1"/>
  <c r="DV35" i="6"/>
  <c r="DW35" i="6" a="1"/>
  <c r="DW35" i="6" s="1"/>
  <c r="DX35" i="6" a="1"/>
  <c r="DX35" i="6"/>
  <c r="DY35" i="6" a="1"/>
  <c r="DY35" i="6" s="1"/>
  <c r="DZ35" i="6" a="1"/>
  <c r="DZ35" i="6" s="1"/>
  <c r="EA35" i="6" a="1"/>
  <c r="EA35" i="6" s="1"/>
  <c r="EB35" i="6" a="1"/>
  <c r="EB35" i="6" s="1"/>
  <c r="EC35" i="6" a="1"/>
  <c r="EC35" i="6" s="1"/>
  <c r="ED35" i="6" a="1"/>
  <c r="ED35" i="6" s="1"/>
  <c r="EE35" i="6" a="1"/>
  <c r="EE35" i="6" s="1"/>
  <c r="E36" i="6" a="1"/>
  <c r="E36" i="6" s="1"/>
  <c r="F36" i="6" a="1"/>
  <c r="F36" i="6"/>
  <c r="G36" i="6" a="1"/>
  <c r="G36" i="6" s="1"/>
  <c r="H36" i="6" a="1"/>
  <c r="H36" i="6" s="1"/>
  <c r="I36" i="6" a="1"/>
  <c r="I36" i="6" s="1"/>
  <c r="J36" i="6" a="1"/>
  <c r="J36" i="6" s="1"/>
  <c r="K36" i="6" a="1"/>
  <c r="K36" i="6" s="1"/>
  <c r="L36" i="6" a="1"/>
  <c r="L36" i="6" s="1"/>
  <c r="M36" i="6" a="1"/>
  <c r="M36" i="6" s="1"/>
  <c r="N36" i="6" a="1"/>
  <c r="N36" i="6" s="1"/>
  <c r="O36" i="6" a="1"/>
  <c r="O36" i="6"/>
  <c r="P36" i="6" a="1"/>
  <c r="P36" i="6" s="1"/>
  <c r="Q36" i="6" a="1"/>
  <c r="Q36" i="6" s="1"/>
  <c r="R36" i="6" a="1"/>
  <c r="R36" i="6" s="1"/>
  <c r="S36" i="6" a="1"/>
  <c r="S36" i="6" s="1"/>
  <c r="T36" i="6" a="1"/>
  <c r="T36" i="6" s="1"/>
  <c r="U36" i="6" a="1"/>
  <c r="U36" i="6" s="1"/>
  <c r="V36" i="6" a="1"/>
  <c r="V36" i="6" s="1"/>
  <c r="W36" i="6" a="1"/>
  <c r="W36" i="6" s="1"/>
  <c r="X36" i="6" a="1"/>
  <c r="X36" i="6" s="1"/>
  <c r="Y36" i="6" a="1"/>
  <c r="Y36" i="6" s="1"/>
  <c r="Z36" i="6" a="1"/>
  <c r="Z36" i="6" s="1"/>
  <c r="AA36" i="6" a="1"/>
  <c r="AA36" i="6" s="1"/>
  <c r="AB36" i="6" a="1"/>
  <c r="AB36" i="6" s="1"/>
  <c r="AC36" i="6" a="1"/>
  <c r="AC36" i="6" s="1"/>
  <c r="AD36" i="6" a="1"/>
  <c r="AD36" i="6" s="1"/>
  <c r="AE36" i="6" a="1"/>
  <c r="AE36" i="6" s="1"/>
  <c r="AF36" i="6" a="1"/>
  <c r="AF36" i="6" s="1"/>
  <c r="AG36" i="6" a="1"/>
  <c r="AG36" i="6" s="1"/>
  <c r="AH36" i="6" a="1"/>
  <c r="AH36" i="6" s="1"/>
  <c r="AI36" i="6" a="1"/>
  <c r="AI36" i="6" s="1"/>
  <c r="AJ36" i="6" a="1"/>
  <c r="AJ36" i="6" s="1"/>
  <c r="AK36" i="6" a="1"/>
  <c r="AK36" i="6" s="1"/>
  <c r="AL36" i="6" a="1"/>
  <c r="AL36" i="6"/>
  <c r="AM36" i="6" a="1"/>
  <c r="AM36" i="6" s="1"/>
  <c r="AN36" i="6" a="1"/>
  <c r="AN36" i="6" s="1"/>
  <c r="AO36" i="6" a="1"/>
  <c r="AO36" i="6" s="1"/>
  <c r="AP36" i="6" a="1"/>
  <c r="AP36" i="6" s="1"/>
  <c r="AQ36" i="6" a="1"/>
  <c r="AQ36" i="6" s="1"/>
  <c r="AR36" i="6" a="1"/>
  <c r="AR36" i="6" s="1"/>
  <c r="AS36" i="6" a="1"/>
  <c r="AS36" i="6" s="1"/>
  <c r="AT36" i="6" a="1"/>
  <c r="AT36" i="6" s="1"/>
  <c r="AU36" i="6" a="1"/>
  <c r="AU36" i="6" s="1"/>
  <c r="AV36" i="6" a="1"/>
  <c r="AV36" i="6" s="1"/>
  <c r="AW36" i="6" a="1"/>
  <c r="AW36" i="6" s="1"/>
  <c r="AX36" i="6" a="1"/>
  <c r="AX36" i="6" s="1"/>
  <c r="AY36" i="6" a="1"/>
  <c r="AY36" i="6" s="1"/>
  <c r="AZ36" i="6" a="1"/>
  <c r="AZ36" i="6" s="1"/>
  <c r="BA36" i="6" a="1"/>
  <c r="BA36" i="6" s="1"/>
  <c r="BB36" i="6" a="1"/>
  <c r="BB36" i="6" s="1"/>
  <c r="BC36" i="6" a="1"/>
  <c r="BC36" i="6" s="1"/>
  <c r="BD36" i="6" a="1"/>
  <c r="BD36" i="6" s="1"/>
  <c r="BE36" i="6" a="1"/>
  <c r="BE36" i="6" s="1"/>
  <c r="BF36" i="6" a="1"/>
  <c r="BF36" i="6" s="1"/>
  <c r="BG36" i="6" a="1"/>
  <c r="BG36" i="6" s="1"/>
  <c r="BH36" i="6" a="1"/>
  <c r="BH36" i="6" s="1"/>
  <c r="BI36" i="6" a="1"/>
  <c r="BI36" i="6" s="1"/>
  <c r="BJ36" i="6" a="1"/>
  <c r="BJ36" i="6" s="1"/>
  <c r="BK36" i="6" a="1"/>
  <c r="BK36" i="6" s="1"/>
  <c r="BL36" i="6" a="1"/>
  <c r="BL36" i="6" s="1"/>
  <c r="BM36" i="6" a="1"/>
  <c r="BM36" i="6" s="1"/>
  <c r="BN36" i="6" a="1"/>
  <c r="BN36" i="6" s="1"/>
  <c r="BO36" i="6" a="1"/>
  <c r="BO36" i="6" s="1"/>
  <c r="BP36" i="6" a="1"/>
  <c r="BP36" i="6" s="1"/>
  <c r="BQ36" i="6" a="1"/>
  <c r="BQ36" i="6" s="1"/>
  <c r="BR36" i="6" a="1"/>
  <c r="BR36" i="6" s="1"/>
  <c r="BS36" i="6" a="1"/>
  <c r="BS36" i="6" s="1"/>
  <c r="BT36" i="6" a="1"/>
  <c r="BT36" i="6" s="1"/>
  <c r="BU36" i="6" a="1"/>
  <c r="BU36" i="6"/>
  <c r="BV36" i="6" a="1"/>
  <c r="BV36" i="6" s="1"/>
  <c r="BW36" i="6" a="1"/>
  <c r="BW36" i="6"/>
  <c r="BX36" i="6" a="1"/>
  <c r="BX36" i="6" s="1"/>
  <c r="BY36" i="6" a="1"/>
  <c r="BY36" i="6" s="1"/>
  <c r="BZ36" i="6" a="1"/>
  <c r="BZ36" i="6" s="1"/>
  <c r="CA36" i="6" a="1"/>
  <c r="CA36" i="6"/>
  <c r="CB36" i="6" a="1"/>
  <c r="CB36" i="6" s="1"/>
  <c r="CC36" i="6" a="1"/>
  <c r="CC36" i="6" s="1"/>
  <c r="CD36" i="6" a="1"/>
  <c r="CD36" i="6" s="1"/>
  <c r="CE36" i="6" a="1"/>
  <c r="CE36" i="6" s="1"/>
  <c r="CF36" i="6" a="1"/>
  <c r="CF36" i="6" s="1"/>
  <c r="CG36" i="6" a="1"/>
  <c r="CG36" i="6" s="1"/>
  <c r="CH36" i="6" a="1"/>
  <c r="CH36" i="6" s="1"/>
  <c r="CI36" i="6" a="1"/>
  <c r="CI36" i="6" s="1"/>
  <c r="CJ36" i="6" a="1"/>
  <c r="CJ36" i="6" s="1"/>
  <c r="CK36" i="6" a="1"/>
  <c r="CK36" i="6" s="1"/>
  <c r="CL36" i="6" a="1"/>
  <c r="CL36" i="6" s="1"/>
  <c r="CM36" i="6" a="1"/>
  <c r="CM36" i="6" s="1"/>
  <c r="CN36" i="6" a="1"/>
  <c r="CN36" i="6" s="1"/>
  <c r="CO36" i="6" a="1"/>
  <c r="CO36" i="6" s="1"/>
  <c r="CP36" i="6" a="1"/>
  <c r="CP36" i="6" s="1"/>
  <c r="CQ36" i="6" a="1"/>
  <c r="CQ36" i="6" s="1"/>
  <c r="CR36" i="6" a="1"/>
  <c r="CR36" i="6" s="1"/>
  <c r="CS36" i="6" a="1"/>
  <c r="CS36" i="6" s="1"/>
  <c r="CT36" i="6" a="1"/>
  <c r="CT36" i="6"/>
  <c r="CU36" i="6" a="1"/>
  <c r="CU36" i="6" s="1"/>
  <c r="CV36" i="6" a="1"/>
  <c r="CV36" i="6" s="1"/>
  <c r="CW36" i="6" a="1"/>
  <c r="CW36" i="6" s="1"/>
  <c r="CX36" i="6" a="1"/>
  <c r="CX36" i="6" s="1"/>
  <c r="CY36" i="6" a="1"/>
  <c r="CY36" i="6" s="1"/>
  <c r="CZ36" i="6" a="1"/>
  <c r="CZ36" i="6" s="1"/>
  <c r="DA36" i="6" a="1"/>
  <c r="DA36" i="6" s="1"/>
  <c r="DB36" i="6" a="1"/>
  <c r="DB36" i="6" s="1"/>
  <c r="DC36" i="6" a="1"/>
  <c r="DC36" i="6" s="1"/>
  <c r="DD36" i="6" a="1"/>
  <c r="DD36" i="6" s="1"/>
  <c r="DE36" i="6" a="1"/>
  <c r="DE36" i="6" s="1"/>
  <c r="DF36" i="6" a="1"/>
  <c r="DF36" i="6" s="1"/>
  <c r="DG36" i="6" a="1"/>
  <c r="DG36" i="6"/>
  <c r="DH36" i="6" a="1"/>
  <c r="DH36" i="6" s="1"/>
  <c r="DI36" i="6" a="1"/>
  <c r="DI36" i="6" s="1"/>
  <c r="DJ36" i="6" a="1"/>
  <c r="DJ36" i="6" s="1"/>
  <c r="DK36" i="6" a="1"/>
  <c r="DK36" i="6" s="1"/>
  <c r="DL36" i="6" a="1"/>
  <c r="DL36" i="6" s="1"/>
  <c r="DM36" i="6" a="1"/>
  <c r="DM36" i="6" s="1"/>
  <c r="DN36" i="6" a="1"/>
  <c r="DN36" i="6" s="1"/>
  <c r="DO36" i="6" a="1"/>
  <c r="DO36" i="6" s="1"/>
  <c r="DP36" i="6" a="1"/>
  <c r="DP36" i="6" s="1"/>
  <c r="DQ36" i="6" a="1"/>
  <c r="DQ36" i="6" s="1"/>
  <c r="DR36" i="6" a="1"/>
  <c r="DR36" i="6" s="1"/>
  <c r="DS36" i="6" a="1"/>
  <c r="DS36" i="6"/>
  <c r="DT36" i="6" a="1"/>
  <c r="DT36" i="6" s="1"/>
  <c r="DU36" i="6" a="1"/>
  <c r="DU36" i="6" s="1"/>
  <c r="DV36" i="6" a="1"/>
  <c r="DV36" i="6" s="1"/>
  <c r="DW36" i="6" a="1"/>
  <c r="DW36" i="6" s="1"/>
  <c r="DX36" i="6" a="1"/>
  <c r="DX36" i="6" s="1"/>
  <c r="DY36" i="6" a="1"/>
  <c r="DY36" i="6" s="1"/>
  <c r="DZ36" i="6" a="1"/>
  <c r="DZ36" i="6" s="1"/>
  <c r="EA36" i="6" a="1"/>
  <c r="EA36" i="6" s="1"/>
  <c r="EB36" i="6" a="1"/>
  <c r="EB36" i="6" s="1"/>
  <c r="EC36" i="6" a="1"/>
  <c r="EC36" i="6" s="1"/>
  <c r="ED36" i="6" a="1"/>
  <c r="ED36" i="6"/>
  <c r="EE36" i="6" a="1"/>
  <c r="EE36" i="6" s="1"/>
  <c r="E37" i="6" a="1"/>
  <c r="E37" i="6" s="1"/>
  <c r="F37" i="6" a="1"/>
  <c r="F37" i="6" s="1"/>
  <c r="G37" i="6" a="1"/>
  <c r="G37" i="6" s="1"/>
  <c r="H37" i="6" a="1"/>
  <c r="H37" i="6" s="1"/>
  <c r="I37" i="6" a="1"/>
  <c r="I37" i="6" s="1"/>
  <c r="J37" i="6" a="1"/>
  <c r="J37" i="6" s="1"/>
  <c r="K37" i="6" a="1"/>
  <c r="K37" i="6" s="1"/>
  <c r="L37" i="6" a="1"/>
  <c r="L37" i="6" s="1"/>
  <c r="M37" i="6" a="1"/>
  <c r="M37" i="6" s="1"/>
  <c r="N37" i="6" a="1"/>
  <c r="N37" i="6" s="1"/>
  <c r="O37" i="6" a="1"/>
  <c r="O37" i="6" s="1"/>
  <c r="P37" i="6" a="1"/>
  <c r="P37" i="6" s="1"/>
  <c r="Q37" i="6" a="1"/>
  <c r="Q37" i="6" s="1"/>
  <c r="R37" i="6" a="1"/>
  <c r="R37" i="6" s="1"/>
  <c r="S37" i="6" a="1"/>
  <c r="S37" i="6" s="1"/>
  <c r="T37" i="6" a="1"/>
  <c r="T37" i="6" s="1"/>
  <c r="U37" i="6" a="1"/>
  <c r="U37" i="6" s="1"/>
  <c r="V37" i="6" a="1"/>
  <c r="V37" i="6" s="1"/>
  <c r="W37" i="6" a="1"/>
  <c r="W37" i="6" s="1"/>
  <c r="X37" i="6" a="1"/>
  <c r="X37" i="6" s="1"/>
  <c r="Y37" i="6" a="1"/>
  <c r="Y37" i="6" s="1"/>
  <c r="Z37" i="6" a="1"/>
  <c r="Z37" i="6" s="1"/>
  <c r="AA37" i="6" a="1"/>
  <c r="AA37" i="6" s="1"/>
  <c r="AB37" i="6" a="1"/>
  <c r="AB37" i="6" s="1"/>
  <c r="AC37" i="6" a="1"/>
  <c r="AC37" i="6" s="1"/>
  <c r="AD37" i="6" a="1"/>
  <c r="AD37" i="6" s="1"/>
  <c r="AE37" i="6" a="1"/>
  <c r="AE37" i="6" s="1"/>
  <c r="AF37" i="6" a="1"/>
  <c r="AF37" i="6" s="1"/>
  <c r="AG37" i="6" a="1"/>
  <c r="AG37" i="6" s="1"/>
  <c r="AH37" i="6" a="1"/>
  <c r="AH37" i="6" s="1"/>
  <c r="AI37" i="6" a="1"/>
  <c r="AI37" i="6" s="1"/>
  <c r="AJ37" i="6" a="1"/>
  <c r="AJ37" i="6" s="1"/>
  <c r="AK37" i="6" a="1"/>
  <c r="AK37" i="6" s="1"/>
  <c r="AL37" i="6" a="1"/>
  <c r="AL37" i="6" s="1"/>
  <c r="AM37" i="6" a="1"/>
  <c r="AM37" i="6" s="1"/>
  <c r="AN37" i="6" a="1"/>
  <c r="AN37" i="6" s="1"/>
  <c r="AO37" i="6" a="1"/>
  <c r="AO37" i="6" s="1"/>
  <c r="AP37" i="6" a="1"/>
  <c r="AP37" i="6" s="1"/>
  <c r="AQ37" i="6" a="1"/>
  <c r="AQ37" i="6" s="1"/>
  <c r="AR37" i="6" a="1"/>
  <c r="AR37" i="6" s="1"/>
  <c r="AS37" i="6" a="1"/>
  <c r="AS37" i="6" s="1"/>
  <c r="AT37" i="6" a="1"/>
  <c r="AT37" i="6" s="1"/>
  <c r="AU37" i="6" a="1"/>
  <c r="AU37" i="6" s="1"/>
  <c r="AV37" i="6" a="1"/>
  <c r="AV37" i="6" s="1"/>
  <c r="AW37" i="6" a="1"/>
  <c r="AW37" i="6" s="1"/>
  <c r="AX37" i="6" a="1"/>
  <c r="AX37" i="6" s="1"/>
  <c r="AY37" i="6" a="1"/>
  <c r="AY37" i="6" s="1"/>
  <c r="AZ37" i="6" a="1"/>
  <c r="AZ37" i="6" s="1"/>
  <c r="BA37" i="6" a="1"/>
  <c r="BA37" i="6" s="1"/>
  <c r="BB37" i="6" a="1"/>
  <c r="BB37" i="6" s="1"/>
  <c r="BC37" i="6" a="1"/>
  <c r="BC37" i="6" s="1"/>
  <c r="BD37" i="6" a="1"/>
  <c r="BD37" i="6" s="1"/>
  <c r="BE37" i="6" a="1"/>
  <c r="BE37" i="6" s="1"/>
  <c r="BF37" i="6" a="1"/>
  <c r="BF37" i="6" s="1"/>
  <c r="BG37" i="6" a="1"/>
  <c r="BG37" i="6" s="1"/>
  <c r="BH37" i="6" a="1"/>
  <c r="BH37" i="6" s="1"/>
  <c r="BI37" i="6" a="1"/>
  <c r="BI37" i="6" s="1"/>
  <c r="BJ37" i="6" a="1"/>
  <c r="BJ37" i="6" s="1"/>
  <c r="BK37" i="6" a="1"/>
  <c r="BK37" i="6" s="1"/>
  <c r="BL37" i="6" a="1"/>
  <c r="BL37" i="6" s="1"/>
  <c r="BM37" i="6" a="1"/>
  <c r="BM37" i="6" s="1"/>
  <c r="BN37" i="6" a="1"/>
  <c r="BN37" i="6" s="1"/>
  <c r="BO37" i="6" a="1"/>
  <c r="BO37" i="6"/>
  <c r="BP37" i="6" a="1"/>
  <c r="BP37" i="6" s="1"/>
  <c r="BQ37" i="6" a="1"/>
  <c r="BQ37" i="6" s="1"/>
  <c r="BR37" i="6" a="1"/>
  <c r="BR37" i="6" s="1"/>
  <c r="BS37" i="6" a="1"/>
  <c r="BS37" i="6" s="1"/>
  <c r="BT37" i="6" a="1"/>
  <c r="BT37" i="6" s="1"/>
  <c r="BU37" i="6" a="1"/>
  <c r="BU37" i="6" s="1"/>
  <c r="BV37" i="6" a="1"/>
  <c r="BV37" i="6" s="1"/>
  <c r="BW37" i="6" a="1"/>
  <c r="BW37" i="6" s="1"/>
  <c r="BX37" i="6" a="1"/>
  <c r="BX37" i="6"/>
  <c r="BY37" i="6" a="1"/>
  <c r="BY37" i="6" s="1"/>
  <c r="BZ37" i="6" a="1"/>
  <c r="BZ37" i="6" s="1"/>
  <c r="CA37" i="6" a="1"/>
  <c r="CA37" i="6" s="1"/>
  <c r="CB37" i="6" a="1"/>
  <c r="CB37" i="6" s="1"/>
  <c r="CC37" i="6" a="1"/>
  <c r="CC37" i="6" s="1"/>
  <c r="CD37" i="6" a="1"/>
  <c r="CD37" i="6" s="1"/>
  <c r="CE37" i="6" a="1"/>
  <c r="CE37" i="6" s="1"/>
  <c r="CF37" i="6" a="1"/>
  <c r="CF37" i="6" s="1"/>
  <c r="CG37" i="6" a="1"/>
  <c r="CG37" i="6" s="1"/>
  <c r="CH37" i="6" a="1"/>
  <c r="CH37" i="6" s="1"/>
  <c r="CI37" i="6" a="1"/>
  <c r="CI37" i="6" s="1"/>
  <c r="CJ37" i="6" a="1"/>
  <c r="CJ37" i="6" s="1"/>
  <c r="CK37" i="6" a="1"/>
  <c r="CK37" i="6" s="1"/>
  <c r="CL37" i="6" a="1"/>
  <c r="CL37" i="6" s="1"/>
  <c r="CM37" i="6" a="1"/>
  <c r="CM37" i="6" s="1"/>
  <c r="CN37" i="6" a="1"/>
  <c r="CN37" i="6" s="1"/>
  <c r="CO37" i="6" a="1"/>
  <c r="CO37" i="6" s="1"/>
  <c r="CP37" i="6" a="1"/>
  <c r="CP37" i="6" s="1"/>
  <c r="CQ37" i="6" a="1"/>
  <c r="CQ37" i="6" s="1"/>
  <c r="CR37" i="6" a="1"/>
  <c r="CR37" i="6" s="1"/>
  <c r="CS37" i="6" a="1"/>
  <c r="CS37" i="6" s="1"/>
  <c r="CT37" i="6" a="1"/>
  <c r="CT37" i="6" s="1"/>
  <c r="CU37" i="6" a="1"/>
  <c r="CU37" i="6"/>
  <c r="CV37" i="6" a="1"/>
  <c r="CV37" i="6" s="1"/>
  <c r="CW37" i="6" a="1"/>
  <c r="CW37" i="6" s="1"/>
  <c r="CX37" i="6" a="1"/>
  <c r="CX37" i="6" s="1"/>
  <c r="CY37" i="6" a="1"/>
  <c r="CY37" i="6" s="1"/>
  <c r="CZ37" i="6" a="1"/>
  <c r="CZ37" i="6" s="1"/>
  <c r="DA37" i="6" a="1"/>
  <c r="DA37" i="6" s="1"/>
  <c r="DB37" i="6" a="1"/>
  <c r="DB37" i="6" s="1"/>
  <c r="DC37" i="6" a="1"/>
  <c r="DC37" i="6" s="1"/>
  <c r="DD37" i="6" a="1"/>
  <c r="DD37" i="6" s="1"/>
  <c r="DE37" i="6" a="1"/>
  <c r="DE37" i="6" s="1"/>
  <c r="DF37" i="6" a="1"/>
  <c r="DF37" i="6" s="1"/>
  <c r="DG37" i="6" a="1"/>
  <c r="DG37" i="6" s="1"/>
  <c r="DH37" i="6" a="1"/>
  <c r="DH37" i="6" s="1"/>
  <c r="DI37" i="6" a="1"/>
  <c r="DI37" i="6" s="1"/>
  <c r="DJ37" i="6" a="1"/>
  <c r="DJ37" i="6" s="1"/>
  <c r="DK37" i="6" a="1"/>
  <c r="DK37" i="6" s="1"/>
  <c r="DL37" i="6" a="1"/>
  <c r="DL37" i="6" s="1"/>
  <c r="DM37" i="6" a="1"/>
  <c r="DM37" i="6" s="1"/>
  <c r="DN37" i="6" a="1"/>
  <c r="DN37" i="6" s="1"/>
  <c r="DO37" i="6" a="1"/>
  <c r="DO37" i="6" s="1"/>
  <c r="DP37" i="6" a="1"/>
  <c r="DP37" i="6" s="1"/>
  <c r="DQ37" i="6" a="1"/>
  <c r="DQ37" i="6" s="1"/>
  <c r="DR37" i="6" a="1"/>
  <c r="DR37" i="6" s="1"/>
  <c r="DS37" i="6" a="1"/>
  <c r="DS37" i="6" s="1"/>
  <c r="DT37" i="6" a="1"/>
  <c r="DT37" i="6" s="1"/>
  <c r="DU37" i="6" a="1"/>
  <c r="DU37" i="6" s="1"/>
  <c r="DV37" i="6" a="1"/>
  <c r="DV37" i="6" s="1"/>
  <c r="DW37" i="6" a="1"/>
  <c r="DW37" i="6" s="1"/>
  <c r="DX37" i="6" a="1"/>
  <c r="DX37" i="6" s="1"/>
  <c r="DY37" i="6" a="1"/>
  <c r="DY37" i="6" s="1"/>
  <c r="DZ37" i="6" a="1"/>
  <c r="DZ37" i="6" s="1"/>
  <c r="EA37" i="6" a="1"/>
  <c r="EA37" i="6" s="1"/>
  <c r="EB37" i="6" a="1"/>
  <c r="EB37" i="6" s="1"/>
  <c r="EC37" i="6" a="1"/>
  <c r="EC37" i="6" s="1"/>
  <c r="ED37" i="6" a="1"/>
  <c r="ED37" i="6"/>
  <c r="EE37" i="6" a="1"/>
  <c r="EE37" i="6" s="1"/>
  <c r="E38" i="6" a="1"/>
  <c r="E38" i="6" s="1"/>
  <c r="F38" i="6" a="1"/>
  <c r="F38" i="6" s="1"/>
  <c r="G38" i="6" a="1"/>
  <c r="G38" i="6" s="1"/>
  <c r="H38" i="6" a="1"/>
  <c r="H38" i="6" s="1"/>
  <c r="I38" i="6" a="1"/>
  <c r="I38" i="6" s="1"/>
  <c r="J38" i="6" a="1"/>
  <c r="J38" i="6" s="1"/>
  <c r="K38" i="6" a="1"/>
  <c r="K38" i="6" s="1"/>
  <c r="L38" i="6" a="1"/>
  <c r="L38" i="6" s="1"/>
  <c r="M38" i="6" a="1"/>
  <c r="M38" i="6" s="1"/>
  <c r="N38" i="6" a="1"/>
  <c r="N38" i="6" s="1"/>
  <c r="O38" i="6" a="1"/>
  <c r="O38" i="6" s="1"/>
  <c r="P38" i="6" a="1"/>
  <c r="P38" i="6" s="1"/>
  <c r="Q38" i="6" a="1"/>
  <c r="Q38" i="6" s="1"/>
  <c r="R38" i="6" a="1"/>
  <c r="R38" i="6" s="1"/>
  <c r="S38" i="6" a="1"/>
  <c r="S38" i="6" s="1"/>
  <c r="T38" i="6" a="1"/>
  <c r="T38" i="6" s="1"/>
  <c r="U38" i="6" a="1"/>
  <c r="U38" i="6"/>
  <c r="V38" i="6" a="1"/>
  <c r="V38" i="6" s="1"/>
  <c r="W38" i="6" a="1"/>
  <c r="W38" i="6" s="1"/>
  <c r="X38" i="6" a="1"/>
  <c r="X38" i="6" s="1"/>
  <c r="Y38" i="6" a="1"/>
  <c r="Y38" i="6" s="1"/>
  <c r="Z38" i="6" a="1"/>
  <c r="Z38" i="6" s="1"/>
  <c r="AA38" i="6" a="1"/>
  <c r="AA38" i="6" s="1"/>
  <c r="AB38" i="6" a="1"/>
  <c r="AB38" i="6" s="1"/>
  <c r="AC38" i="6" a="1"/>
  <c r="AC38" i="6" s="1"/>
  <c r="AD38" i="6" a="1"/>
  <c r="AD38" i="6" s="1"/>
  <c r="AE38" i="6" a="1"/>
  <c r="AE38" i="6" s="1"/>
  <c r="AF38" i="6" a="1"/>
  <c r="AF38" i="6"/>
  <c r="AG38" i="6" a="1"/>
  <c r="AG38" i="6" s="1"/>
  <c r="AH38" i="6" a="1"/>
  <c r="AH38" i="6" s="1"/>
  <c r="AI38" i="6" a="1"/>
  <c r="AI38" i="6" s="1"/>
  <c r="AJ38" i="6" a="1"/>
  <c r="AJ38" i="6" s="1"/>
  <c r="AK38" i="6" a="1"/>
  <c r="AK38" i="6" s="1"/>
  <c r="AL38" i="6" a="1"/>
  <c r="AL38" i="6" s="1"/>
  <c r="AM38" i="6" a="1"/>
  <c r="AM38" i="6" s="1"/>
  <c r="AN38" i="6" a="1"/>
  <c r="AN38" i="6" s="1"/>
  <c r="AO38" i="6" a="1"/>
  <c r="AO38" i="6" s="1"/>
  <c r="AP38" i="6" a="1"/>
  <c r="AP38" i="6" s="1"/>
  <c r="AQ38" i="6" a="1"/>
  <c r="AQ38" i="6" s="1"/>
  <c r="AR38" i="6" a="1"/>
  <c r="AR38" i="6"/>
  <c r="AS38" i="6" a="1"/>
  <c r="AS38" i="6" s="1"/>
  <c r="AT38" i="6" a="1"/>
  <c r="AT38" i="6" s="1"/>
  <c r="AU38" i="6" a="1"/>
  <c r="AU38" i="6" s="1"/>
  <c r="AV38" i="6" a="1"/>
  <c r="AV38" i="6" s="1"/>
  <c r="AW38" i="6" a="1"/>
  <c r="AW38" i="6" s="1"/>
  <c r="AX38" i="6" a="1"/>
  <c r="AX38" i="6" s="1"/>
  <c r="AY38" i="6" a="1"/>
  <c r="AY38" i="6" s="1"/>
  <c r="AZ38" i="6" a="1"/>
  <c r="AZ38" i="6" s="1"/>
  <c r="BA38" i="6" a="1"/>
  <c r="BA38" i="6" s="1"/>
  <c r="BB38" i="6" a="1"/>
  <c r="BB38" i="6" s="1"/>
  <c r="BC38" i="6" a="1"/>
  <c r="BC38" i="6"/>
  <c r="BD38" i="6" a="1"/>
  <c r="BD38" i="6" s="1"/>
  <c r="BE38" i="6" a="1"/>
  <c r="BE38" i="6" s="1"/>
  <c r="BF38" i="6" a="1"/>
  <c r="BF38" i="6" s="1"/>
  <c r="BG38" i="6" a="1"/>
  <c r="BG38" i="6" s="1"/>
  <c r="BH38" i="6" a="1"/>
  <c r="BH38" i="6" s="1"/>
  <c r="BI38" i="6" a="1"/>
  <c r="BI38" i="6" s="1"/>
  <c r="BJ38" i="6" a="1"/>
  <c r="BJ38" i="6" s="1"/>
  <c r="BK38" i="6" a="1"/>
  <c r="BK38" i="6" s="1"/>
  <c r="BL38" i="6" a="1"/>
  <c r="BL38" i="6" s="1"/>
  <c r="BM38" i="6" a="1"/>
  <c r="BM38" i="6" s="1"/>
  <c r="BN38" i="6" a="1"/>
  <c r="BN38" i="6" s="1"/>
  <c r="BO38" i="6" a="1"/>
  <c r="BO38" i="6" s="1"/>
  <c r="BP38" i="6" a="1"/>
  <c r="BP38" i="6" s="1"/>
  <c r="BQ38" i="6" a="1"/>
  <c r="BQ38" i="6" s="1"/>
  <c r="BR38" i="6" a="1"/>
  <c r="BR38" i="6" s="1"/>
  <c r="BS38" i="6" a="1"/>
  <c r="BS38" i="6" s="1"/>
  <c r="BT38" i="6" a="1"/>
  <c r="BT38" i="6" s="1"/>
  <c r="BU38" i="6" a="1"/>
  <c r="BU38" i="6" s="1"/>
  <c r="BV38" i="6" a="1"/>
  <c r="BV38" i="6" s="1"/>
  <c r="BW38" i="6" a="1"/>
  <c r="BW38" i="6"/>
  <c r="BX38" i="6" a="1"/>
  <c r="BX38" i="6"/>
  <c r="BY38" i="6" a="1"/>
  <c r="BY38" i="6" s="1"/>
  <c r="BZ38" i="6" a="1"/>
  <c r="BZ38" i="6" s="1"/>
  <c r="CA38" i="6" a="1"/>
  <c r="CA38" i="6" s="1"/>
  <c r="CB38" i="6" a="1"/>
  <c r="CB38" i="6" s="1"/>
  <c r="CC38" i="6" a="1"/>
  <c r="CC38" i="6" s="1"/>
  <c r="CD38" i="6" a="1"/>
  <c r="CD38" i="6" s="1"/>
  <c r="CE38" i="6" a="1"/>
  <c r="CE38" i="6" s="1"/>
  <c r="CF38" i="6" a="1"/>
  <c r="CF38" i="6" s="1"/>
  <c r="CG38" i="6" a="1"/>
  <c r="CG38" i="6"/>
  <c r="CH38" i="6" a="1"/>
  <c r="CH38" i="6" s="1"/>
  <c r="CI38" i="6" a="1"/>
  <c r="CI38" i="6" s="1"/>
  <c r="CJ38" i="6" a="1"/>
  <c r="CJ38" i="6" s="1"/>
  <c r="CK38" i="6" a="1"/>
  <c r="CK38" i="6" s="1"/>
  <c r="CL38" i="6" a="1"/>
  <c r="CL38" i="6" s="1"/>
  <c r="CM38" i="6" a="1"/>
  <c r="CM38" i="6" s="1"/>
  <c r="CN38" i="6" a="1"/>
  <c r="CN38" i="6" s="1"/>
  <c r="CO38" i="6" a="1"/>
  <c r="CO38" i="6" s="1"/>
  <c r="CP38" i="6" a="1"/>
  <c r="CP38" i="6" s="1"/>
  <c r="CQ38" i="6" a="1"/>
  <c r="CQ38" i="6" s="1"/>
  <c r="CR38" i="6" a="1"/>
  <c r="CR38" i="6" s="1"/>
  <c r="CS38" i="6" a="1"/>
  <c r="CS38" i="6" s="1"/>
  <c r="CT38" i="6" a="1"/>
  <c r="CT38" i="6" s="1"/>
  <c r="CU38" i="6" a="1"/>
  <c r="CU38" i="6" s="1"/>
  <c r="CV38" i="6" a="1"/>
  <c r="CV38" i="6" s="1"/>
  <c r="CW38" i="6" a="1"/>
  <c r="CW38" i="6" s="1"/>
  <c r="CX38" i="6" a="1"/>
  <c r="CX38" i="6" s="1"/>
  <c r="CY38" i="6" a="1"/>
  <c r="CY38" i="6" s="1"/>
  <c r="CZ38" i="6" a="1"/>
  <c r="CZ38" i="6" s="1"/>
  <c r="DA38" i="6" a="1"/>
  <c r="DA38" i="6" s="1"/>
  <c r="DB38" i="6" a="1"/>
  <c r="DB38" i="6" s="1"/>
  <c r="DC38" i="6" a="1"/>
  <c r="DC38" i="6" s="1"/>
  <c r="DD38" i="6" a="1"/>
  <c r="DD38" i="6" s="1"/>
  <c r="DE38" i="6" a="1"/>
  <c r="DE38" i="6" s="1"/>
  <c r="DF38" i="6" a="1"/>
  <c r="DF38" i="6" s="1"/>
  <c r="DG38" i="6" a="1"/>
  <c r="DG38" i="6" s="1"/>
  <c r="DH38" i="6" a="1"/>
  <c r="DH38" i="6" s="1"/>
  <c r="DI38" i="6" a="1"/>
  <c r="DI38" i="6" s="1"/>
  <c r="DJ38" i="6" a="1"/>
  <c r="DJ38" i="6" s="1"/>
  <c r="DK38" i="6" a="1"/>
  <c r="DK38" i="6" s="1"/>
  <c r="DL38" i="6" a="1"/>
  <c r="DL38" i="6" s="1"/>
  <c r="DM38" i="6" a="1"/>
  <c r="DM38" i="6" s="1"/>
  <c r="DN38" i="6" a="1"/>
  <c r="DN38" i="6" s="1"/>
  <c r="DO38" i="6" a="1"/>
  <c r="DO38" i="6" s="1"/>
  <c r="DP38" i="6" a="1"/>
  <c r="DP38" i="6" s="1"/>
  <c r="DQ38" i="6" a="1"/>
  <c r="DQ38" i="6" s="1"/>
  <c r="DR38" i="6" a="1"/>
  <c r="DR38" i="6" s="1"/>
  <c r="DS38" i="6" a="1"/>
  <c r="DS38" i="6" s="1"/>
  <c r="DT38" i="6" a="1"/>
  <c r="DT38" i="6" s="1"/>
  <c r="DU38" i="6" a="1"/>
  <c r="DU38" i="6" s="1"/>
  <c r="DV38" i="6" a="1"/>
  <c r="DV38" i="6" s="1"/>
  <c r="DW38" i="6" a="1"/>
  <c r="DW38" i="6" s="1"/>
  <c r="DX38" i="6" a="1"/>
  <c r="DX38" i="6" s="1"/>
  <c r="DY38" i="6" a="1"/>
  <c r="DY38" i="6" s="1"/>
  <c r="DZ38" i="6" a="1"/>
  <c r="DZ38" i="6" s="1"/>
  <c r="EA38" i="6" a="1"/>
  <c r="EA38" i="6"/>
  <c r="EB38" i="6" a="1"/>
  <c r="EB38" i="6" s="1"/>
  <c r="EC38" i="6" a="1"/>
  <c r="EC38" i="6" s="1"/>
  <c r="ED38" i="6" a="1"/>
  <c r="ED38" i="6" s="1"/>
  <c r="EE38" i="6" a="1"/>
  <c r="EE38" i="6" s="1"/>
  <c r="E39" i="6" a="1"/>
  <c r="E39" i="6" s="1"/>
  <c r="F39" i="6" a="1"/>
  <c r="F39" i="6" s="1"/>
  <c r="G39" i="6" a="1"/>
  <c r="G39" i="6" s="1"/>
  <c r="H39" i="6" a="1"/>
  <c r="H39" i="6" s="1"/>
  <c r="I39" i="6" a="1"/>
  <c r="I39" i="6" s="1"/>
  <c r="J39" i="6" a="1"/>
  <c r="J39" i="6" s="1"/>
  <c r="K39" i="6" a="1"/>
  <c r="K39" i="6" s="1"/>
  <c r="L39" i="6" a="1"/>
  <c r="L39" i="6" s="1"/>
  <c r="M39" i="6" a="1"/>
  <c r="M39" i="6" s="1"/>
  <c r="N39" i="6" a="1"/>
  <c r="N39" i="6" s="1"/>
  <c r="O39" i="6" a="1"/>
  <c r="O39" i="6" s="1"/>
  <c r="P39" i="6" a="1"/>
  <c r="P39" i="6" s="1"/>
  <c r="Q39" i="6" a="1"/>
  <c r="Q39" i="6" s="1"/>
  <c r="R39" i="6" a="1"/>
  <c r="R39" i="6" s="1"/>
  <c r="S39" i="6" a="1"/>
  <c r="S39" i="6" s="1"/>
  <c r="T39" i="6" a="1"/>
  <c r="T39" i="6" s="1"/>
  <c r="U39" i="6" a="1"/>
  <c r="U39" i="6" s="1"/>
  <c r="V39" i="6" a="1"/>
  <c r="V39" i="6" s="1"/>
  <c r="W39" i="6" a="1"/>
  <c r="W39" i="6" s="1"/>
  <c r="X39" i="6" a="1"/>
  <c r="X39" i="6" s="1"/>
  <c r="Y39" i="6" a="1"/>
  <c r="Y39" i="6" s="1"/>
  <c r="Z39" i="6" a="1"/>
  <c r="Z39" i="6"/>
  <c r="AA39" i="6" a="1"/>
  <c r="AA39" i="6" s="1"/>
  <c r="AB39" i="6" a="1"/>
  <c r="AB39" i="6" s="1"/>
  <c r="AC39" i="6" a="1"/>
  <c r="AC39" i="6" s="1"/>
  <c r="AD39" i="6" a="1"/>
  <c r="AD39" i="6" s="1"/>
  <c r="AE39" i="6" a="1"/>
  <c r="AE39" i="6" s="1"/>
  <c r="AF39" i="6" a="1"/>
  <c r="AF39" i="6" s="1"/>
  <c r="AG39" i="6" a="1"/>
  <c r="AG39" i="6" s="1"/>
  <c r="AH39" i="6" a="1"/>
  <c r="AH39" i="6" s="1"/>
  <c r="AI39" i="6" a="1"/>
  <c r="AI39" i="6" s="1"/>
  <c r="AJ39" i="6" a="1"/>
  <c r="AJ39" i="6" s="1"/>
  <c r="AK39" i="6" a="1"/>
  <c r="AK39" i="6" s="1"/>
  <c r="AL39" i="6" a="1"/>
  <c r="AL39" i="6" s="1"/>
  <c r="AM39" i="6" a="1"/>
  <c r="AM39" i="6" s="1"/>
  <c r="AN39" i="6" a="1"/>
  <c r="AN39" i="6" s="1"/>
  <c r="AO39" i="6" a="1"/>
  <c r="AO39" i="6" s="1"/>
  <c r="AP39" i="6" a="1"/>
  <c r="AP39" i="6"/>
  <c r="AQ39" i="6" a="1"/>
  <c r="AQ39" i="6" s="1"/>
  <c r="AR39" i="6" a="1"/>
  <c r="AR39" i="6" s="1"/>
  <c r="AS39" i="6" a="1"/>
  <c r="AS39" i="6" s="1"/>
  <c r="AT39" i="6" a="1"/>
  <c r="AT39" i="6" s="1"/>
  <c r="AU39" i="6" a="1"/>
  <c r="AU39" i="6" s="1"/>
  <c r="AV39" i="6" a="1"/>
  <c r="AV39" i="6" s="1"/>
  <c r="AW39" i="6" a="1"/>
  <c r="AW39" i="6" s="1"/>
  <c r="AX39" i="6" a="1"/>
  <c r="AX39" i="6" s="1"/>
  <c r="AY39" i="6" a="1"/>
  <c r="AY39" i="6" s="1"/>
  <c r="AZ39" i="6" a="1"/>
  <c r="AZ39" i="6" s="1"/>
  <c r="BA39" i="6" a="1"/>
  <c r="BA39" i="6" s="1"/>
  <c r="BB39" i="6" a="1"/>
  <c r="BB39" i="6" s="1"/>
  <c r="BC39" i="6" a="1"/>
  <c r="BC39" i="6" s="1"/>
  <c r="BD39" i="6" a="1"/>
  <c r="BD39" i="6" s="1"/>
  <c r="BE39" i="6" a="1"/>
  <c r="BE39" i="6" s="1"/>
  <c r="BF39" i="6" a="1"/>
  <c r="BF39" i="6" s="1"/>
  <c r="BG39" i="6" a="1"/>
  <c r="BG39" i="6" s="1"/>
  <c r="BH39" i="6" a="1"/>
  <c r="BH39" i="6"/>
  <c r="BI39" i="6" a="1"/>
  <c r="BI39" i="6" s="1"/>
  <c r="BJ39" i="6" a="1"/>
  <c r="BJ39" i="6" s="1"/>
  <c r="BK39" i="6" a="1"/>
  <c r="BK39" i="6" s="1"/>
  <c r="BL39" i="6" a="1"/>
  <c r="BL39" i="6" s="1"/>
  <c r="BM39" i="6" a="1"/>
  <c r="BM39" i="6" s="1"/>
  <c r="BN39" i="6" a="1"/>
  <c r="BN39" i="6" s="1"/>
  <c r="BO39" i="6" a="1"/>
  <c r="BO39" i="6" s="1"/>
  <c r="BP39" i="6" a="1"/>
  <c r="BP39" i="6" s="1"/>
  <c r="BQ39" i="6" a="1"/>
  <c r="BQ39" i="6" s="1"/>
  <c r="BR39" i="6" a="1"/>
  <c r="BR39" i="6" s="1"/>
  <c r="BS39" i="6" a="1"/>
  <c r="BS39" i="6" s="1"/>
  <c r="BT39" i="6" a="1"/>
  <c r="BT39" i="6"/>
  <c r="BU39" i="6" a="1"/>
  <c r="BU39" i="6" s="1"/>
  <c r="BV39" i="6" a="1"/>
  <c r="BV39" i="6" s="1"/>
  <c r="BW39" i="6" a="1"/>
  <c r="BW39" i="6" s="1"/>
  <c r="BX39" i="6" a="1"/>
  <c r="BX39" i="6" s="1"/>
  <c r="BY39" i="6" a="1"/>
  <c r="BY39" i="6" s="1"/>
  <c r="BZ39" i="6" a="1"/>
  <c r="BZ39" i="6" s="1"/>
  <c r="CA39" i="6" a="1"/>
  <c r="CA39" i="6" s="1"/>
  <c r="CB39" i="6" a="1"/>
  <c r="CB39" i="6" s="1"/>
  <c r="CC39" i="6" a="1"/>
  <c r="CC39" i="6"/>
  <c r="CD39" i="6" a="1"/>
  <c r="CD39" i="6" s="1"/>
  <c r="CE39" i="6" a="1"/>
  <c r="CE39" i="6" s="1"/>
  <c r="CF39" i="6" a="1"/>
  <c r="CF39" i="6" s="1"/>
  <c r="CG39" i="6" a="1"/>
  <c r="CG39" i="6" s="1"/>
  <c r="CH39" i="6" a="1"/>
  <c r="CH39" i="6" s="1"/>
  <c r="CI39" i="6" a="1"/>
  <c r="CI39" i="6" s="1"/>
  <c r="CJ39" i="6" a="1"/>
  <c r="CJ39" i="6" s="1"/>
  <c r="CK39" i="6" a="1"/>
  <c r="CK39" i="6" s="1"/>
  <c r="CL39" i="6" a="1"/>
  <c r="CL39" i="6" s="1"/>
  <c r="CM39" i="6" a="1"/>
  <c r="CM39" i="6" s="1"/>
  <c r="CN39" i="6" a="1"/>
  <c r="CN39" i="6" s="1"/>
  <c r="CO39" i="6" a="1"/>
  <c r="CO39" i="6" s="1"/>
  <c r="CP39" i="6" a="1"/>
  <c r="CP39" i="6" s="1"/>
  <c r="CQ39" i="6" a="1"/>
  <c r="CQ39" i="6" s="1"/>
  <c r="CR39" i="6" a="1"/>
  <c r="CR39" i="6" s="1"/>
  <c r="CS39" i="6" a="1"/>
  <c r="CS39" i="6" s="1"/>
  <c r="CT39" i="6" a="1"/>
  <c r="CT39" i="6" s="1"/>
  <c r="CU39" i="6" a="1"/>
  <c r="CU39" i="6" s="1"/>
  <c r="CV39" i="6" a="1"/>
  <c r="CV39" i="6" s="1"/>
  <c r="CW39" i="6" a="1"/>
  <c r="CW39" i="6" s="1"/>
  <c r="CX39" i="6" a="1"/>
  <c r="CX39" i="6"/>
  <c r="CY39" i="6" a="1"/>
  <c r="CY39" i="6" s="1"/>
  <c r="CZ39" i="6" a="1"/>
  <c r="CZ39" i="6"/>
  <c r="DA39" i="6" a="1"/>
  <c r="DA39" i="6" s="1"/>
  <c r="DB39" i="6" a="1"/>
  <c r="DB39" i="6" s="1"/>
  <c r="DC39" i="6" a="1"/>
  <c r="DC39" i="6" s="1"/>
  <c r="DD39" i="6" a="1"/>
  <c r="DD39" i="6" s="1"/>
  <c r="DE39" i="6" a="1"/>
  <c r="DE39" i="6" s="1"/>
  <c r="DF39" i="6" a="1"/>
  <c r="DF39" i="6" s="1"/>
  <c r="DG39" i="6" a="1"/>
  <c r="DG39" i="6" s="1"/>
  <c r="DH39" i="6" a="1"/>
  <c r="DH39" i="6" s="1"/>
  <c r="DI39" i="6" a="1"/>
  <c r="DI39" i="6" s="1"/>
  <c r="DJ39" i="6" a="1"/>
  <c r="DJ39" i="6" s="1"/>
  <c r="DK39" i="6" a="1"/>
  <c r="DK39" i="6" s="1"/>
  <c r="DL39" i="6" a="1"/>
  <c r="DL39" i="6" s="1"/>
  <c r="DM39" i="6" a="1"/>
  <c r="DM39" i="6" s="1"/>
  <c r="DN39" i="6" a="1"/>
  <c r="DN39" i="6" s="1"/>
  <c r="DO39" i="6" a="1"/>
  <c r="DO39" i="6" s="1"/>
  <c r="DP39" i="6" a="1"/>
  <c r="DP39" i="6" s="1"/>
  <c r="DQ39" i="6" a="1"/>
  <c r="DQ39" i="6" s="1"/>
  <c r="DR39" i="6" a="1"/>
  <c r="DR39" i="6" s="1"/>
  <c r="DS39" i="6" a="1"/>
  <c r="DS39" i="6" s="1"/>
  <c r="DT39" i="6" a="1"/>
  <c r="DT39" i="6" s="1"/>
  <c r="DU39" i="6" a="1"/>
  <c r="DU39" i="6" s="1"/>
  <c r="DV39" i="6" a="1"/>
  <c r="DV39" i="6" s="1"/>
  <c r="DW39" i="6" a="1"/>
  <c r="DW39" i="6" s="1"/>
  <c r="DX39" i="6" a="1"/>
  <c r="DX39" i="6" s="1"/>
  <c r="DY39" i="6" a="1"/>
  <c r="DY39" i="6" s="1"/>
  <c r="DZ39" i="6" a="1"/>
  <c r="DZ39" i="6" s="1"/>
  <c r="EA39" i="6" a="1"/>
  <c r="EA39" i="6" s="1"/>
  <c r="EB39" i="6" a="1"/>
  <c r="EB39" i="6" s="1"/>
  <c r="EC39" i="6" a="1"/>
  <c r="EC39" i="6"/>
  <c r="ED39" i="6" a="1"/>
  <c r="ED39" i="6" s="1"/>
  <c r="EE39" i="6" a="1"/>
  <c r="EE39" i="6" s="1"/>
  <c r="E40" i="6" a="1"/>
  <c r="E40" i="6" s="1"/>
  <c r="F40" i="6" a="1"/>
  <c r="F40" i="6" s="1"/>
  <c r="G40" i="6" a="1"/>
  <c r="G40" i="6" s="1"/>
  <c r="H40" i="6" a="1"/>
  <c r="H40" i="6" s="1"/>
  <c r="I40" i="6" a="1"/>
  <c r="I40" i="6" s="1"/>
  <c r="J40" i="6" a="1"/>
  <c r="J40" i="6" s="1"/>
  <c r="K40" i="6" a="1"/>
  <c r="K40" i="6" s="1"/>
  <c r="L40" i="6" a="1"/>
  <c r="L40" i="6" s="1"/>
  <c r="M40" i="6" a="1"/>
  <c r="M40" i="6" s="1"/>
  <c r="N40" i="6" a="1"/>
  <c r="N40" i="6" s="1"/>
  <c r="O40" i="6" a="1"/>
  <c r="O40" i="6" s="1"/>
  <c r="P40" i="6" a="1"/>
  <c r="P40" i="6" s="1"/>
  <c r="Q40" i="6" a="1"/>
  <c r="Q40" i="6" s="1"/>
  <c r="R40" i="6" a="1"/>
  <c r="R40" i="6" s="1"/>
  <c r="S40" i="6" a="1"/>
  <c r="S40" i="6" s="1"/>
  <c r="T40" i="6" a="1"/>
  <c r="T40" i="6" s="1"/>
  <c r="U40" i="6" a="1"/>
  <c r="U40" i="6" s="1"/>
  <c r="V40" i="6" a="1"/>
  <c r="V40" i="6" s="1"/>
  <c r="W40" i="6" a="1"/>
  <c r="W40" i="6" s="1"/>
  <c r="X40" i="6" a="1"/>
  <c r="X40" i="6" s="1"/>
  <c r="Y40" i="6" a="1"/>
  <c r="Y40" i="6"/>
  <c r="Z40" i="6" a="1"/>
  <c r="Z40" i="6" s="1"/>
  <c r="AA40" i="6" a="1"/>
  <c r="AA40" i="6" s="1"/>
  <c r="AC40" i="6" a="1"/>
  <c r="AC40" i="6"/>
  <c r="AD40" i="6" a="1"/>
  <c r="AD40" i="6" s="1"/>
  <c r="AE40" i="6" a="1"/>
  <c r="AE40" i="6" s="1"/>
  <c r="AF40" i="6" a="1"/>
  <c r="AF40" i="6" s="1"/>
  <c r="AG40" i="6" a="1"/>
  <c r="AG40" i="6" s="1"/>
  <c r="AH40" i="6" a="1"/>
  <c r="AH40" i="6"/>
  <c r="AI40" i="6" a="1"/>
  <c r="AI40" i="6"/>
  <c r="AJ40" i="6" a="1"/>
  <c r="AJ40" i="6" s="1"/>
  <c r="AK40" i="6" a="1"/>
  <c r="AK40" i="6"/>
  <c r="AL40" i="6" a="1"/>
  <c r="AL40" i="6" s="1"/>
  <c r="AM40" i="6" a="1"/>
  <c r="AM40" i="6" s="1"/>
  <c r="AN40" i="6" a="1"/>
  <c r="AN40" i="6" s="1"/>
  <c r="AO40" i="6" a="1"/>
  <c r="AO40" i="6" s="1"/>
  <c r="AP40" i="6" a="1"/>
  <c r="AP40" i="6" s="1"/>
  <c r="AQ40" i="6" a="1"/>
  <c r="AQ40" i="6" s="1"/>
  <c r="AR40" i="6" a="1"/>
  <c r="AR40" i="6" s="1"/>
  <c r="AS40" i="6" a="1"/>
  <c r="AS40" i="6" s="1"/>
  <c r="AT40" i="6" a="1"/>
  <c r="AT40" i="6" s="1"/>
  <c r="AU40" i="6" a="1"/>
  <c r="AU40" i="6" s="1"/>
  <c r="AV40" i="6" a="1"/>
  <c r="AV40" i="6" s="1"/>
  <c r="AW40" i="6" a="1"/>
  <c r="AW40" i="6" s="1"/>
  <c r="AX40" i="6" a="1"/>
  <c r="AX40" i="6" s="1"/>
  <c r="AY40" i="6" a="1"/>
  <c r="AY40" i="6" s="1"/>
  <c r="AZ40" i="6" a="1"/>
  <c r="AZ40" i="6" s="1"/>
  <c r="BA40" i="6" a="1"/>
  <c r="BA40" i="6" s="1"/>
  <c r="BB40" i="6" a="1"/>
  <c r="BB40" i="6" s="1"/>
  <c r="BC40" i="6" a="1"/>
  <c r="BC40" i="6" s="1"/>
  <c r="BD40" i="6" a="1"/>
  <c r="BD40" i="6" s="1"/>
  <c r="BE40" i="6" a="1"/>
  <c r="BE40" i="6" s="1"/>
  <c r="BF40" i="6" a="1"/>
  <c r="BF40" i="6" s="1"/>
  <c r="BG40" i="6" a="1"/>
  <c r="BG40" i="6" s="1"/>
  <c r="BH40" i="6" a="1"/>
  <c r="BH40" i="6" s="1"/>
  <c r="BI40" i="6" a="1"/>
  <c r="BI40" i="6"/>
  <c r="BJ40" i="6" a="1"/>
  <c r="BJ40" i="6" s="1"/>
  <c r="BK40" i="6" a="1"/>
  <c r="BK40" i="6" s="1"/>
  <c r="BL40" i="6" a="1"/>
  <c r="BL40" i="6" s="1"/>
  <c r="BM40" i="6" a="1"/>
  <c r="BM40" i="6" s="1"/>
  <c r="BN40" i="6" a="1"/>
  <c r="BN40" i="6"/>
  <c r="BO40" i="6" a="1"/>
  <c r="BO40" i="6"/>
  <c r="BP40" i="6" a="1"/>
  <c r="BP40" i="6" s="1"/>
  <c r="BQ40" i="6" a="1"/>
  <c r="BQ40" i="6" s="1"/>
  <c r="BR40" i="6" a="1"/>
  <c r="BR40" i="6" s="1"/>
  <c r="BS40" i="6" a="1"/>
  <c r="BS40" i="6" s="1"/>
  <c r="BT40" i="6" a="1"/>
  <c r="BT40" i="6" s="1"/>
  <c r="BU40" i="6" a="1"/>
  <c r="BU40" i="6" s="1"/>
  <c r="BV40" i="6" a="1"/>
  <c r="BV40" i="6" s="1"/>
  <c r="BW40" i="6" a="1"/>
  <c r="BW40" i="6" s="1"/>
  <c r="BX40" i="6" a="1"/>
  <c r="BX40" i="6" s="1"/>
  <c r="BY40" i="6" a="1"/>
  <c r="BY40" i="6" s="1"/>
  <c r="BZ40" i="6" a="1"/>
  <c r="BZ40" i="6" s="1"/>
  <c r="CA40" i="6" a="1"/>
  <c r="CA40" i="6" s="1"/>
  <c r="CB40" i="6" a="1"/>
  <c r="CB40" i="6" s="1"/>
  <c r="CC40" i="6" a="1"/>
  <c r="CC40" i="6" s="1"/>
  <c r="CD40" i="6" a="1"/>
  <c r="CD40" i="6" s="1"/>
  <c r="CE40" i="6" a="1"/>
  <c r="CE40" i="6" s="1"/>
  <c r="CF40" i="6" a="1"/>
  <c r="CF40" i="6" s="1"/>
  <c r="CG40" i="6" a="1"/>
  <c r="CG40" i="6" s="1"/>
  <c r="CH40" i="6" a="1"/>
  <c r="CH40" i="6" s="1"/>
  <c r="CI40" i="6" a="1"/>
  <c r="CI40" i="6" s="1"/>
  <c r="CJ40" i="6" a="1"/>
  <c r="CJ40" i="6" s="1"/>
  <c r="CK40" i="6" a="1"/>
  <c r="CK40" i="6"/>
  <c r="CL40" i="6" a="1"/>
  <c r="CL40" i="6" s="1"/>
  <c r="CM40" i="6" a="1"/>
  <c r="CM40" i="6" s="1"/>
  <c r="CN40" i="6" a="1"/>
  <c r="CN40" i="6" s="1"/>
  <c r="CO40" i="6" a="1"/>
  <c r="CO40" i="6" s="1"/>
  <c r="CP40" i="6" a="1"/>
  <c r="CP40" i="6" s="1"/>
  <c r="CQ40" i="6" a="1"/>
  <c r="CQ40" i="6" s="1"/>
  <c r="CR40" i="6" a="1"/>
  <c r="CR40" i="6" s="1"/>
  <c r="CS40" i="6" a="1"/>
  <c r="CS40" i="6" s="1"/>
  <c r="CT40" i="6" a="1"/>
  <c r="CT40" i="6" s="1"/>
  <c r="CU40" i="6" a="1"/>
  <c r="CU40" i="6" s="1"/>
  <c r="CV40" i="6" a="1"/>
  <c r="CV40" i="6" s="1"/>
  <c r="CW40" i="6" a="1"/>
  <c r="CW40" i="6"/>
  <c r="CX40" i="6" a="1"/>
  <c r="CX40" i="6" s="1"/>
  <c r="CY40" i="6" a="1"/>
  <c r="CY40" i="6" s="1"/>
  <c r="CZ40" i="6" a="1"/>
  <c r="CZ40" i="6" s="1"/>
  <c r="DA40" i="6" a="1"/>
  <c r="DA40" i="6" s="1"/>
  <c r="DB40" i="6" a="1"/>
  <c r="DB40" i="6" s="1"/>
  <c r="DC40" i="6" a="1"/>
  <c r="DC40" i="6" s="1"/>
  <c r="DD40" i="6" a="1"/>
  <c r="DD40" i="6" s="1"/>
  <c r="DE40" i="6" a="1"/>
  <c r="DE40" i="6" s="1"/>
  <c r="DF40" i="6" a="1"/>
  <c r="DF40" i="6" s="1"/>
  <c r="DG40" i="6" a="1"/>
  <c r="DG40" i="6" s="1"/>
  <c r="DH40" i="6" a="1"/>
  <c r="DH40" i="6" s="1"/>
  <c r="DI40" i="6" a="1"/>
  <c r="DI40" i="6" s="1"/>
  <c r="DJ40" i="6" a="1"/>
  <c r="DJ40" i="6" s="1"/>
  <c r="DK40" i="6" a="1"/>
  <c r="DK40" i="6" s="1"/>
  <c r="DL40" i="6" a="1"/>
  <c r="DL40" i="6" s="1"/>
  <c r="DM40" i="6" a="1"/>
  <c r="DM40" i="6" s="1"/>
  <c r="DN40" i="6" a="1"/>
  <c r="DN40" i="6" s="1"/>
  <c r="DO40" i="6" a="1"/>
  <c r="DO40" i="6" s="1"/>
  <c r="DP40" i="6" a="1"/>
  <c r="DP40" i="6" s="1"/>
  <c r="DQ40" i="6" a="1"/>
  <c r="DQ40" i="6" s="1"/>
  <c r="DR40" i="6" a="1"/>
  <c r="DR40" i="6" s="1"/>
  <c r="DS40" i="6" a="1"/>
  <c r="DS40" i="6" s="1"/>
  <c r="DT40" i="6" a="1"/>
  <c r="DT40" i="6" s="1"/>
  <c r="DU40" i="6" a="1"/>
  <c r="DU40" i="6" s="1"/>
  <c r="DV40" i="6" a="1"/>
  <c r="DV40" i="6" s="1"/>
  <c r="DW40" i="6" a="1"/>
  <c r="DW40" i="6" s="1"/>
  <c r="DX40" i="6" a="1"/>
  <c r="DX40" i="6" s="1"/>
  <c r="DY40" i="6" a="1"/>
  <c r="DY40" i="6" s="1"/>
  <c r="DZ40" i="6" a="1"/>
  <c r="DZ40" i="6"/>
  <c r="EA40" i="6" a="1"/>
  <c r="EA40" i="6"/>
  <c r="EB40" i="6" a="1"/>
  <c r="EB40" i="6" s="1"/>
  <c r="EC40" i="6" a="1"/>
  <c r="EC40" i="6"/>
  <c r="ED40" i="6" a="1"/>
  <c r="ED40" i="6" s="1"/>
  <c r="EE40" i="6" a="1"/>
  <c r="EE40" i="6" s="1"/>
  <c r="E41" i="6" a="1"/>
  <c r="E41" i="6" s="1"/>
  <c r="F41" i="6" a="1"/>
  <c r="F41" i="6" s="1"/>
  <c r="G41" i="6" a="1"/>
  <c r="G41" i="6" s="1"/>
  <c r="H41" i="6" a="1"/>
  <c r="H41" i="6" s="1"/>
  <c r="I41" i="6" a="1"/>
  <c r="I41" i="6" s="1"/>
  <c r="J41" i="6" a="1"/>
  <c r="J41" i="6" s="1"/>
  <c r="K41" i="6" a="1"/>
  <c r="K41" i="6"/>
  <c r="L41" i="6" a="1"/>
  <c r="L41" i="6" s="1"/>
  <c r="M41" i="6" a="1"/>
  <c r="M41" i="6" s="1"/>
  <c r="N41" i="6" a="1"/>
  <c r="N41" i="6" s="1"/>
  <c r="O41" i="6" a="1"/>
  <c r="O41" i="6" s="1"/>
  <c r="P41" i="6" a="1"/>
  <c r="P41" i="6" s="1"/>
  <c r="Q41" i="6" a="1"/>
  <c r="Q41" i="6" s="1"/>
  <c r="R41" i="6" a="1"/>
  <c r="R41" i="6" s="1"/>
  <c r="S41" i="6" a="1"/>
  <c r="S41" i="6" s="1"/>
  <c r="T41" i="6" a="1"/>
  <c r="T41" i="6" s="1"/>
  <c r="U41" i="6" a="1"/>
  <c r="U41" i="6" s="1"/>
  <c r="V41" i="6" a="1"/>
  <c r="V41" i="6"/>
  <c r="W41" i="6" a="1"/>
  <c r="W41" i="6" s="1"/>
  <c r="X41" i="6" a="1"/>
  <c r="X41" i="6" s="1"/>
  <c r="Y41" i="6" a="1"/>
  <c r="Y41" i="6" s="1"/>
  <c r="Z41" i="6" a="1"/>
  <c r="Z41" i="6" s="1"/>
  <c r="AA41" i="6" a="1"/>
  <c r="AA41" i="6" s="1"/>
  <c r="AB41" i="6" a="1"/>
  <c r="AB41" i="6" s="1"/>
  <c r="AC41" i="6" a="1"/>
  <c r="AC41" i="6" s="1"/>
  <c r="AD41" i="6" a="1"/>
  <c r="AD41" i="6" s="1"/>
  <c r="AE41" i="6" a="1"/>
  <c r="AE41" i="6" s="1"/>
  <c r="AF41" i="6" a="1"/>
  <c r="AF41" i="6" s="1"/>
  <c r="AG41" i="6" a="1"/>
  <c r="AG41" i="6" s="1"/>
  <c r="AH41" i="6" a="1"/>
  <c r="AH41" i="6" s="1"/>
  <c r="AI41" i="6" a="1"/>
  <c r="AI41" i="6" s="1"/>
  <c r="AJ41" i="6" a="1"/>
  <c r="AJ41" i="6" s="1"/>
  <c r="AK41" i="6" a="1"/>
  <c r="AK41" i="6" s="1"/>
  <c r="AL41" i="6" a="1"/>
  <c r="AL41" i="6" s="1"/>
  <c r="AM41" i="6" a="1"/>
  <c r="AM41" i="6" s="1"/>
  <c r="AN41" i="6" a="1"/>
  <c r="AN41" i="6" s="1"/>
  <c r="AO41" i="6" a="1"/>
  <c r="AO41" i="6" s="1"/>
  <c r="AP41" i="6" a="1"/>
  <c r="AP41" i="6" s="1"/>
  <c r="AQ41" i="6" a="1"/>
  <c r="AQ41" i="6"/>
  <c r="AR41" i="6" a="1"/>
  <c r="AR41" i="6" s="1"/>
  <c r="AS41" i="6" a="1"/>
  <c r="AS41" i="6" s="1"/>
  <c r="AT41" i="6" a="1"/>
  <c r="AT41" i="6" s="1"/>
  <c r="AU41" i="6" a="1"/>
  <c r="AU41" i="6" s="1"/>
  <c r="AV41" i="6" a="1"/>
  <c r="AV41" i="6"/>
  <c r="AW41" i="6" a="1"/>
  <c r="AW41" i="6" s="1"/>
  <c r="AX41" i="6" a="1"/>
  <c r="AX41" i="6" s="1"/>
  <c r="AY41" i="6" a="1"/>
  <c r="AY41" i="6" s="1"/>
  <c r="AZ41" i="6" a="1"/>
  <c r="AZ41" i="6" s="1"/>
  <c r="BA41" i="6" a="1"/>
  <c r="BA41" i="6" s="1"/>
  <c r="BB41" i="6" a="1"/>
  <c r="BB41" i="6"/>
  <c r="BC41" i="6" a="1"/>
  <c r="BC41" i="6"/>
  <c r="BD41" i="6" a="1"/>
  <c r="BD41" i="6" s="1"/>
  <c r="BE41" i="6" a="1"/>
  <c r="BE41" i="6" s="1"/>
  <c r="BF41" i="6" a="1"/>
  <c r="BF41" i="6" s="1"/>
  <c r="BG41" i="6" a="1"/>
  <c r="BG41" i="6"/>
  <c r="BH41" i="6" a="1"/>
  <c r="BH41" i="6"/>
  <c r="BI41" i="6" a="1"/>
  <c r="BI41" i="6" s="1"/>
  <c r="BJ41" i="6" a="1"/>
  <c r="BJ41" i="6" s="1"/>
  <c r="BK41" i="6" a="1"/>
  <c r="BK41" i="6" s="1"/>
  <c r="BL41" i="6" a="1"/>
  <c r="BL41" i="6" s="1"/>
  <c r="BM41" i="6" a="1"/>
  <c r="BM41" i="6" s="1"/>
  <c r="BN41" i="6" a="1"/>
  <c r="BN41" i="6"/>
  <c r="BO41" i="6" a="1"/>
  <c r="BO41" i="6" s="1"/>
  <c r="BP41" i="6" a="1"/>
  <c r="BP41" i="6" s="1"/>
  <c r="BQ41" i="6" a="1"/>
  <c r="BQ41" i="6" s="1"/>
  <c r="BR41" i="6" a="1"/>
  <c r="BR41" i="6" s="1"/>
  <c r="BS41" i="6" a="1"/>
  <c r="BS41" i="6" s="1"/>
  <c r="BT41" i="6" a="1"/>
  <c r="BT41" i="6" s="1"/>
  <c r="BU41" i="6" a="1"/>
  <c r="BU41" i="6" s="1"/>
  <c r="BV41" i="6" a="1"/>
  <c r="BV41" i="6"/>
  <c r="BW41" i="6" a="1"/>
  <c r="BW41" i="6" s="1"/>
  <c r="BX41" i="6" a="1"/>
  <c r="BX41" i="6" s="1"/>
  <c r="BY41" i="6" a="1"/>
  <c r="BY41" i="6" s="1"/>
  <c r="BZ41" i="6" a="1"/>
  <c r="BZ41" i="6" s="1"/>
  <c r="CA41" i="6" a="1"/>
  <c r="CA41" i="6" s="1"/>
  <c r="CB41" i="6" a="1"/>
  <c r="CB41" i="6" s="1"/>
  <c r="CC41" i="6" a="1"/>
  <c r="CC41" i="6" s="1"/>
  <c r="CD41" i="6" a="1"/>
  <c r="CD41" i="6" s="1"/>
  <c r="CE41" i="6" a="1"/>
  <c r="CE41" i="6" s="1"/>
  <c r="CF41" i="6" a="1"/>
  <c r="CF41" i="6"/>
  <c r="CG41" i="6" a="1"/>
  <c r="CG41" i="6" s="1"/>
  <c r="CH41" i="6" a="1"/>
  <c r="CH41" i="6" s="1"/>
  <c r="CI41" i="6" a="1"/>
  <c r="CI41" i="6" s="1"/>
  <c r="CJ41" i="6" a="1"/>
  <c r="CJ41" i="6" s="1"/>
  <c r="CK41" i="6" a="1"/>
  <c r="CK41" i="6" s="1"/>
  <c r="CL41" i="6" a="1"/>
  <c r="CL41" i="6" s="1"/>
  <c r="CM41" i="6" a="1"/>
  <c r="CM41" i="6" s="1"/>
  <c r="CN41" i="6" a="1"/>
  <c r="CN41" i="6" s="1"/>
  <c r="CO41" i="6" a="1"/>
  <c r="CO41" i="6" s="1"/>
  <c r="CP41" i="6" a="1"/>
  <c r="CP41" i="6" s="1"/>
  <c r="CQ41" i="6" a="1"/>
  <c r="CQ41" i="6" s="1"/>
  <c r="CR41" i="6" a="1"/>
  <c r="CR41" i="6" s="1"/>
  <c r="CS41" i="6" a="1"/>
  <c r="CS41" i="6" s="1"/>
  <c r="CT41" i="6" a="1"/>
  <c r="CT41" i="6" s="1"/>
  <c r="CU41" i="6" a="1"/>
  <c r="CU41" i="6" s="1"/>
  <c r="CV41" i="6" a="1"/>
  <c r="CV41" i="6" s="1"/>
  <c r="CW41" i="6" a="1"/>
  <c r="CW41" i="6" s="1"/>
  <c r="CX41" i="6" a="1"/>
  <c r="CX41" i="6" s="1"/>
  <c r="CY41" i="6" a="1"/>
  <c r="CY41" i="6" s="1"/>
  <c r="CZ41" i="6" a="1"/>
  <c r="CZ41" i="6" s="1"/>
  <c r="DA41" i="6" a="1"/>
  <c r="DA41" i="6"/>
  <c r="DB41" i="6" a="1"/>
  <c r="DB41" i="6" s="1"/>
  <c r="DC41" i="6" a="1"/>
  <c r="DC41" i="6" s="1"/>
  <c r="DD41" i="6" a="1"/>
  <c r="DD41" i="6" s="1"/>
  <c r="DE41" i="6" a="1"/>
  <c r="DE41" i="6" s="1"/>
  <c r="DF41" i="6" a="1"/>
  <c r="DF41" i="6" s="1"/>
  <c r="DG41" i="6" a="1"/>
  <c r="DG41" i="6" s="1"/>
  <c r="DH41" i="6" a="1"/>
  <c r="DH41" i="6" s="1"/>
  <c r="DI41" i="6" a="1"/>
  <c r="DI41" i="6" s="1"/>
  <c r="DJ41" i="6" a="1"/>
  <c r="DJ41" i="6" s="1"/>
  <c r="DK41" i="6" a="1"/>
  <c r="DK41" i="6" s="1"/>
  <c r="DL41" i="6" a="1"/>
  <c r="DL41" i="6" s="1"/>
  <c r="DM41" i="6" a="1"/>
  <c r="DM41" i="6" s="1"/>
  <c r="DN41" i="6" a="1"/>
  <c r="DN41" i="6" s="1"/>
  <c r="DO41" i="6" a="1"/>
  <c r="DO41" i="6" s="1"/>
  <c r="DP41" i="6" a="1"/>
  <c r="DP41" i="6" s="1"/>
  <c r="DQ41" i="6" a="1"/>
  <c r="DQ41" i="6" s="1"/>
  <c r="DR41" i="6" a="1"/>
  <c r="DR41" i="6" s="1"/>
  <c r="DS41" i="6" a="1"/>
  <c r="DS41" i="6" s="1"/>
  <c r="DT41" i="6" a="1"/>
  <c r="DT41" i="6" s="1"/>
  <c r="DU41" i="6" a="1"/>
  <c r="DU41" i="6" s="1"/>
  <c r="DV41" i="6" a="1"/>
  <c r="DV41" i="6" s="1"/>
  <c r="DW41" i="6" a="1"/>
  <c r="DW41" i="6" s="1"/>
  <c r="DX41" i="6" a="1"/>
  <c r="DX41" i="6" s="1"/>
  <c r="DY41" i="6" a="1"/>
  <c r="DY41" i="6" s="1"/>
  <c r="DZ41" i="6" a="1"/>
  <c r="DZ41" i="6" s="1"/>
  <c r="EA41" i="6" a="1"/>
  <c r="EA41" i="6" s="1"/>
  <c r="EB41" i="6" a="1"/>
  <c r="EB41" i="6" s="1"/>
  <c r="EC41" i="6" a="1"/>
  <c r="EC41" i="6" s="1"/>
  <c r="ED41" i="6" a="1"/>
  <c r="ED41" i="6" s="1"/>
  <c r="EE41" i="6" a="1"/>
  <c r="EE41" i="6" s="1"/>
  <c r="E42" i="6" a="1"/>
  <c r="E42" i="6" s="1"/>
  <c r="F42" i="6" a="1"/>
  <c r="F42" i="6" s="1"/>
  <c r="G42" i="6" a="1"/>
  <c r="G42" i="6" s="1"/>
  <c r="H42" i="6" a="1"/>
  <c r="H42" i="6" s="1"/>
  <c r="I42" i="6" a="1"/>
  <c r="I42" i="6" s="1"/>
  <c r="J42" i="6" a="1"/>
  <c r="J42" i="6" s="1"/>
  <c r="K42" i="6" a="1"/>
  <c r="K42" i="6" s="1"/>
  <c r="L42" i="6" a="1"/>
  <c r="L42" i="6" s="1"/>
  <c r="M42" i="6" a="1"/>
  <c r="M42" i="6"/>
  <c r="N42" i="6" a="1"/>
  <c r="N42" i="6" s="1"/>
  <c r="O42" i="6" a="1"/>
  <c r="O42" i="6" s="1"/>
  <c r="P42" i="6" a="1"/>
  <c r="P42" i="6" s="1"/>
  <c r="Q42" i="6" a="1"/>
  <c r="Q42" i="6" s="1"/>
  <c r="R42" i="6" a="1"/>
  <c r="R42" i="6" s="1"/>
  <c r="S42" i="6" a="1"/>
  <c r="S42" i="6" s="1"/>
  <c r="T42" i="6" a="1"/>
  <c r="T42" i="6" s="1"/>
  <c r="U42" i="6" a="1"/>
  <c r="U42" i="6" s="1"/>
  <c r="V42" i="6" a="1"/>
  <c r="V42" i="6" s="1"/>
  <c r="W42" i="6" a="1"/>
  <c r="W42" i="6" s="1"/>
  <c r="X42" i="6" a="1"/>
  <c r="X42" i="6" s="1"/>
  <c r="Y42" i="6" a="1"/>
  <c r="Y42" i="6" s="1"/>
  <c r="Z42" i="6" a="1"/>
  <c r="Z42" i="6" s="1"/>
  <c r="AA42" i="6" a="1"/>
  <c r="AA42" i="6" s="1"/>
  <c r="AB42" i="6" a="1"/>
  <c r="AB42" i="6" s="1"/>
  <c r="AC42" i="6" a="1"/>
  <c r="AC42" i="6" s="1"/>
  <c r="AD42" i="6" a="1"/>
  <c r="AD42" i="6" s="1"/>
  <c r="AE42" i="6" a="1"/>
  <c r="AE42" i="6" s="1"/>
  <c r="AF42" i="6" a="1"/>
  <c r="AF42" i="6" s="1"/>
  <c r="AG42" i="6" a="1"/>
  <c r="AG42" i="6" s="1"/>
  <c r="AH42" i="6" a="1"/>
  <c r="AH42" i="6" s="1"/>
  <c r="AI42" i="6" a="1"/>
  <c r="AI42" i="6" s="1"/>
  <c r="AJ42" i="6" a="1"/>
  <c r="AJ42" i="6" s="1"/>
  <c r="AK42" i="6" a="1"/>
  <c r="AK42" i="6" s="1"/>
  <c r="AL42" i="6" a="1"/>
  <c r="AL42" i="6" s="1"/>
  <c r="AM42" i="6" a="1"/>
  <c r="AM42" i="6"/>
  <c r="AN42" i="6" a="1"/>
  <c r="AN42" i="6" s="1"/>
  <c r="AO42" i="6" a="1"/>
  <c r="AO42" i="6" s="1"/>
  <c r="AP42" i="6" a="1"/>
  <c r="AP42" i="6" s="1"/>
  <c r="AQ42" i="6" a="1"/>
  <c r="AQ42" i="6" s="1"/>
  <c r="AR42" i="6" a="1"/>
  <c r="AR42" i="6" s="1"/>
  <c r="AS42" i="6" a="1"/>
  <c r="AS42" i="6" s="1"/>
  <c r="AT42" i="6" a="1"/>
  <c r="AT42" i="6" s="1"/>
  <c r="AU42" i="6" a="1"/>
  <c r="AU42" i="6" s="1"/>
  <c r="AV42" i="6" a="1"/>
  <c r="AV42" i="6" s="1"/>
  <c r="AW42" i="6" a="1"/>
  <c r="AW42" i="6" s="1"/>
  <c r="AX42" i="6" a="1"/>
  <c r="AX42" i="6" s="1"/>
  <c r="AY42" i="6" a="1"/>
  <c r="AY42" i="6" s="1"/>
  <c r="AZ42" i="6" a="1"/>
  <c r="AZ42" i="6" s="1"/>
  <c r="BA42" i="6" a="1"/>
  <c r="BA42" i="6" s="1"/>
  <c r="BB42" i="6" a="1"/>
  <c r="BB42" i="6" s="1"/>
  <c r="BC42" i="6" a="1"/>
  <c r="BC42" i="6"/>
  <c r="BD42" i="6" a="1"/>
  <c r="BD42" i="6" s="1"/>
  <c r="BE42" i="6" a="1"/>
  <c r="BE42" i="6" s="1"/>
  <c r="BF42" i="6" a="1"/>
  <c r="BF42" i="6" s="1"/>
  <c r="BG42" i="6" a="1"/>
  <c r="BG42" i="6" s="1"/>
  <c r="BH42" i="6" a="1"/>
  <c r="BH42" i="6" s="1"/>
  <c r="BI42" i="6" a="1"/>
  <c r="BI42" i="6" s="1"/>
  <c r="BJ42" i="6" a="1"/>
  <c r="BJ42" i="6" s="1"/>
  <c r="BK42" i="6" a="1"/>
  <c r="BK42" i="6" s="1"/>
  <c r="BL42" i="6" a="1"/>
  <c r="BL42" i="6" s="1"/>
  <c r="BM42" i="6" a="1"/>
  <c r="BM42" i="6" s="1"/>
  <c r="BN42" i="6" a="1"/>
  <c r="BN42" i="6" s="1"/>
  <c r="BO42" i="6" a="1"/>
  <c r="BO42" i="6" s="1"/>
  <c r="BP42" i="6" a="1"/>
  <c r="BP42" i="6" s="1"/>
  <c r="BQ42" i="6" a="1"/>
  <c r="BQ42" i="6"/>
  <c r="BR42" i="6" a="1"/>
  <c r="BR42" i="6" s="1"/>
  <c r="BS42" i="6" a="1"/>
  <c r="BS42" i="6"/>
  <c r="BT42" i="6" a="1"/>
  <c r="BT42" i="6" s="1"/>
  <c r="BU42" i="6" a="1"/>
  <c r="BU42" i="6" s="1"/>
  <c r="BV42" i="6" a="1"/>
  <c r="BV42" i="6" s="1"/>
  <c r="BW42" i="6" a="1"/>
  <c r="BW42" i="6" s="1"/>
  <c r="BX42" i="6" a="1"/>
  <c r="BX42" i="6" s="1"/>
  <c r="BY42" i="6" a="1"/>
  <c r="BY42" i="6" s="1"/>
  <c r="BZ42" i="6" a="1"/>
  <c r="BZ42" i="6" s="1"/>
  <c r="CA42" i="6" a="1"/>
  <c r="CA42" i="6" s="1"/>
  <c r="CB42" i="6" a="1"/>
  <c r="CB42" i="6" s="1"/>
  <c r="CC42" i="6" a="1"/>
  <c r="CC42" i="6" s="1"/>
  <c r="CD42" i="6" a="1"/>
  <c r="CD42" i="6" s="1"/>
  <c r="CE42" i="6" a="1"/>
  <c r="CE42" i="6" s="1"/>
  <c r="CF42" i="6" a="1"/>
  <c r="CF42" i="6" s="1"/>
  <c r="CG42" i="6" a="1"/>
  <c r="CG42" i="6" s="1"/>
  <c r="CH42" i="6" a="1"/>
  <c r="CH42" i="6" s="1"/>
  <c r="CI42" i="6" a="1"/>
  <c r="CI42" i="6" s="1"/>
  <c r="CJ42" i="6" a="1"/>
  <c r="CJ42" i="6" s="1"/>
  <c r="CK42" i="6" a="1"/>
  <c r="CK42" i="6" s="1"/>
  <c r="CL42" i="6" a="1"/>
  <c r="CL42" i="6" s="1"/>
  <c r="CM42" i="6" a="1"/>
  <c r="CM42" i="6" s="1"/>
  <c r="CN42" i="6" a="1"/>
  <c r="CN42" i="6" s="1"/>
  <c r="CO42" i="6" a="1"/>
  <c r="CO42" i="6" s="1"/>
  <c r="CP42" i="6" a="1"/>
  <c r="CP42" i="6" s="1"/>
  <c r="CQ42" i="6" a="1"/>
  <c r="CQ42" i="6" s="1"/>
  <c r="CR42" i="6" a="1"/>
  <c r="CR42" i="6" s="1"/>
  <c r="CS42" i="6" a="1"/>
  <c r="CS42" i="6" s="1"/>
  <c r="CT42" i="6" a="1"/>
  <c r="CT42" i="6" s="1"/>
  <c r="CU42" i="6" a="1"/>
  <c r="CU42" i="6" s="1"/>
  <c r="CV42" i="6" a="1"/>
  <c r="CV42" i="6" s="1"/>
  <c r="CW42" i="6" a="1"/>
  <c r="CW42" i="6"/>
  <c r="CX42" i="6" a="1"/>
  <c r="CX42" i="6" s="1"/>
  <c r="CY42" i="6" a="1"/>
  <c r="CY42" i="6" s="1"/>
  <c r="CZ42" i="6" a="1"/>
  <c r="CZ42" i="6" s="1"/>
  <c r="DA42" i="6" a="1"/>
  <c r="DA42" i="6" s="1"/>
  <c r="DB42" i="6" a="1"/>
  <c r="DB42" i="6" s="1"/>
  <c r="DC42" i="6" a="1"/>
  <c r="DC42" i="6" s="1"/>
  <c r="DD42" i="6" a="1"/>
  <c r="DD42" i="6" s="1"/>
  <c r="DE42" i="6" a="1"/>
  <c r="DE42" i="6" s="1"/>
  <c r="DF42" i="6" a="1"/>
  <c r="DF42" i="6" s="1"/>
  <c r="DG42" i="6" a="1"/>
  <c r="DG42" i="6" s="1"/>
  <c r="DH42" i="6" a="1"/>
  <c r="DH42" i="6" s="1"/>
  <c r="DI42" i="6" a="1"/>
  <c r="DI42" i="6" s="1"/>
  <c r="DJ42" i="6" a="1"/>
  <c r="DJ42" i="6" s="1"/>
  <c r="DK42" i="6" a="1"/>
  <c r="DK42" i="6" s="1"/>
  <c r="DL42" i="6" a="1"/>
  <c r="DL42" i="6" s="1"/>
  <c r="DM42" i="6" a="1"/>
  <c r="DM42" i="6" s="1"/>
  <c r="DN42" i="6" a="1"/>
  <c r="DN42" i="6" s="1"/>
  <c r="DO42" i="6" a="1"/>
  <c r="DO42" i="6" s="1"/>
  <c r="DP42" i="6" a="1"/>
  <c r="DP42" i="6" s="1"/>
  <c r="DQ42" i="6" a="1"/>
  <c r="DQ42" i="6" s="1"/>
  <c r="DR42" i="6" a="1"/>
  <c r="DR42" i="6" s="1"/>
  <c r="DS42" i="6" a="1"/>
  <c r="DS42" i="6" s="1"/>
  <c r="DT42" i="6" a="1"/>
  <c r="DT42" i="6" s="1"/>
  <c r="DU42" i="6" a="1"/>
  <c r="DU42" i="6" s="1"/>
  <c r="DV42" i="6" a="1"/>
  <c r="DV42" i="6" s="1"/>
  <c r="DW42" i="6" a="1"/>
  <c r="DW42" i="6"/>
  <c r="DX42" i="6" a="1"/>
  <c r="DX42" i="6" s="1"/>
  <c r="DY42" i="6" a="1"/>
  <c r="DY42" i="6" s="1"/>
  <c r="DZ42" i="6" a="1"/>
  <c r="DZ42" i="6" s="1"/>
  <c r="EA42" i="6" a="1"/>
  <c r="EA42" i="6" s="1"/>
  <c r="EB42" i="6" a="1"/>
  <c r="EB42" i="6" s="1"/>
  <c r="EC42" i="6" a="1"/>
  <c r="EC42" i="6" s="1"/>
  <c r="ED42" i="6" a="1"/>
  <c r="ED42" i="6" s="1"/>
  <c r="EE42" i="6" a="1"/>
  <c r="EE42" i="6" s="1"/>
  <c r="E43" i="6" a="1"/>
  <c r="E43" i="6" s="1"/>
  <c r="F43" i="6" a="1"/>
  <c r="F43" i="6" s="1"/>
  <c r="G43" i="6" a="1"/>
  <c r="G43" i="6" s="1"/>
  <c r="H43" i="6" a="1"/>
  <c r="H43" i="6" s="1"/>
  <c r="I43" i="6" a="1"/>
  <c r="I43" i="6" s="1"/>
  <c r="J43" i="6" a="1"/>
  <c r="J43" i="6" s="1"/>
  <c r="K43" i="6" a="1"/>
  <c r="K43" i="6" s="1"/>
  <c r="L43" i="6" a="1"/>
  <c r="L43" i="6" s="1"/>
  <c r="M43" i="6" a="1"/>
  <c r="M43" i="6" s="1"/>
  <c r="N43" i="6" a="1"/>
  <c r="N43" i="6" s="1"/>
  <c r="O43" i="6" a="1"/>
  <c r="O43" i="6" s="1"/>
  <c r="P43" i="6" a="1"/>
  <c r="P43" i="6" s="1"/>
  <c r="Q43" i="6" a="1"/>
  <c r="Q43" i="6" s="1"/>
  <c r="R43" i="6" a="1"/>
  <c r="R43" i="6" s="1"/>
  <c r="S43" i="6" a="1"/>
  <c r="S43" i="6"/>
  <c r="T43" i="6" a="1"/>
  <c r="T43" i="6" s="1"/>
  <c r="U43" i="6" a="1"/>
  <c r="U43" i="6" s="1"/>
  <c r="V43" i="6" a="1"/>
  <c r="V43" i="6" s="1"/>
  <c r="W43" i="6" a="1"/>
  <c r="W43" i="6" s="1"/>
  <c r="X43" i="6" a="1"/>
  <c r="X43" i="6" s="1"/>
  <c r="Y43" i="6" a="1"/>
  <c r="Y43" i="6" s="1"/>
  <c r="Z43" i="6" a="1"/>
  <c r="Z43" i="6"/>
  <c r="AA43" i="6" a="1"/>
  <c r="AA43" i="6" s="1"/>
  <c r="AB43" i="6" a="1"/>
  <c r="AB43" i="6" s="1"/>
  <c r="AC43" i="6" a="1"/>
  <c r="AC43" i="6" s="1"/>
  <c r="AD43" i="6" a="1"/>
  <c r="AD43" i="6" s="1"/>
  <c r="AE43" i="6" a="1"/>
  <c r="AE43" i="6" s="1"/>
  <c r="AF43" i="6" a="1"/>
  <c r="AF43" i="6" s="1"/>
  <c r="AG43" i="6" a="1"/>
  <c r="AG43" i="6" s="1"/>
  <c r="AH43" i="6" a="1"/>
  <c r="AH43" i="6" s="1"/>
  <c r="AI43" i="6" a="1"/>
  <c r="AI43" i="6" s="1"/>
  <c r="AJ43" i="6" a="1"/>
  <c r="AJ43" i="6" s="1"/>
  <c r="AK43" i="6" a="1"/>
  <c r="AK43" i="6" s="1"/>
  <c r="AL43" i="6" a="1"/>
  <c r="AL43" i="6" s="1"/>
  <c r="AM43" i="6" a="1"/>
  <c r="AM43" i="6" s="1"/>
  <c r="AN43" i="6" a="1"/>
  <c r="AN43" i="6" s="1"/>
  <c r="AO43" i="6" a="1"/>
  <c r="AO43" i="6" s="1"/>
  <c r="AP43" i="6" a="1"/>
  <c r="AP43" i="6" s="1"/>
  <c r="AQ43" i="6" a="1"/>
  <c r="AQ43" i="6" s="1"/>
  <c r="AR43" i="6" a="1"/>
  <c r="AR43" i="6" s="1"/>
  <c r="AS43" i="6" a="1"/>
  <c r="AS43" i="6" s="1"/>
  <c r="AT43" i="6" a="1"/>
  <c r="AT43" i="6" s="1"/>
  <c r="AU43" i="6" a="1"/>
  <c r="AU43" i="6" s="1"/>
  <c r="AV43" i="6" a="1"/>
  <c r="AV43" i="6" s="1"/>
  <c r="AW43" i="6" a="1"/>
  <c r="AW43" i="6" s="1"/>
  <c r="AX43" i="6" a="1"/>
  <c r="AX43" i="6" s="1"/>
  <c r="AY43" i="6" a="1"/>
  <c r="AY43" i="6" s="1"/>
  <c r="AZ43" i="6" a="1"/>
  <c r="AZ43" i="6" s="1"/>
  <c r="BA43" i="6" a="1"/>
  <c r="BA43" i="6" s="1"/>
  <c r="BB43" i="6" a="1"/>
  <c r="BB43" i="6" s="1"/>
  <c r="BC43" i="6" a="1"/>
  <c r="BC43" i="6" s="1"/>
  <c r="BD43" i="6" a="1"/>
  <c r="BD43" i="6" s="1"/>
  <c r="BE43" i="6" a="1"/>
  <c r="BE43" i="6" s="1"/>
  <c r="BF43" i="6" a="1"/>
  <c r="BF43" i="6" s="1"/>
  <c r="BG43" i="6" a="1"/>
  <c r="BG43" i="6" s="1"/>
  <c r="BH43" i="6" a="1"/>
  <c r="BH43" i="6" s="1"/>
  <c r="BI43" i="6" a="1"/>
  <c r="BI43" i="6" s="1"/>
  <c r="BJ43" i="6" a="1"/>
  <c r="BJ43" i="6" s="1"/>
  <c r="BK43" i="6" a="1"/>
  <c r="BK43" i="6" s="1"/>
  <c r="BL43" i="6" a="1"/>
  <c r="BL43" i="6" s="1"/>
  <c r="BM43" i="6" a="1"/>
  <c r="BM43" i="6" s="1"/>
  <c r="BN43" i="6" a="1"/>
  <c r="BN43" i="6" s="1"/>
  <c r="BO43" i="6" a="1"/>
  <c r="BO43" i="6" s="1"/>
  <c r="BP43" i="6" a="1"/>
  <c r="BP43" i="6" s="1"/>
  <c r="BQ43" i="6" a="1"/>
  <c r="BQ43" i="6" s="1"/>
  <c r="BR43" i="6" a="1"/>
  <c r="BR43" i="6" s="1"/>
  <c r="BS43" i="6" a="1"/>
  <c r="BS43" i="6" s="1"/>
  <c r="BT43" i="6" a="1"/>
  <c r="BT43" i="6" s="1"/>
  <c r="BU43" i="6" a="1"/>
  <c r="BU43" i="6" s="1"/>
  <c r="BV43" i="6" a="1"/>
  <c r="BV43" i="6" s="1"/>
  <c r="BW43" i="6" a="1"/>
  <c r="BW43" i="6" s="1"/>
  <c r="BX43" i="6" a="1"/>
  <c r="BX43" i="6" s="1"/>
  <c r="BY43" i="6" a="1"/>
  <c r="BY43" i="6" s="1"/>
  <c r="BZ43" i="6" a="1"/>
  <c r="BZ43" i="6" s="1"/>
  <c r="CA43" i="6" a="1"/>
  <c r="CA43" i="6" s="1"/>
  <c r="CB43" i="6" a="1"/>
  <c r="CB43" i="6" s="1"/>
  <c r="CC43" i="6" a="1"/>
  <c r="CC43" i="6" s="1"/>
  <c r="CD43" i="6" a="1"/>
  <c r="CD43" i="6" s="1"/>
  <c r="CE43" i="6" a="1"/>
  <c r="CE43" i="6" s="1"/>
  <c r="CF43" i="6" a="1"/>
  <c r="CF43" i="6" s="1"/>
  <c r="CG43" i="6" a="1"/>
  <c r="CG43" i="6" s="1"/>
  <c r="CH43" i="6" a="1"/>
  <c r="CH43" i="6" s="1"/>
  <c r="CI43" i="6" a="1"/>
  <c r="CI43" i="6"/>
  <c r="CJ43" i="6" a="1"/>
  <c r="CJ43" i="6" s="1"/>
  <c r="CK43" i="6" a="1"/>
  <c r="CK43" i="6" s="1"/>
  <c r="CL43" i="6" a="1"/>
  <c r="CL43" i="6" s="1"/>
  <c r="CM43" i="6" a="1"/>
  <c r="CM43" i="6" s="1"/>
  <c r="CN43" i="6" a="1"/>
  <c r="CN43" i="6" s="1"/>
  <c r="CO43" i="6" a="1"/>
  <c r="CO43" i="6" s="1"/>
  <c r="CP43" i="6" a="1"/>
  <c r="CP43" i="6" s="1"/>
  <c r="CQ43" i="6" a="1"/>
  <c r="CQ43" i="6" s="1"/>
  <c r="CR43" i="6" a="1"/>
  <c r="CR43" i="6"/>
  <c r="CS43" i="6" a="1"/>
  <c r="CS43" i="6" s="1"/>
  <c r="CT43" i="6" a="1"/>
  <c r="CT43" i="6" s="1"/>
  <c r="CU43" i="6" a="1"/>
  <c r="CU43" i="6" s="1"/>
  <c r="CV43" i="6" a="1"/>
  <c r="CV43" i="6" s="1"/>
  <c r="CW43" i="6" a="1"/>
  <c r="CW43" i="6" s="1"/>
  <c r="CX43" i="6" a="1"/>
  <c r="CX43" i="6" s="1"/>
  <c r="CY43" i="6" a="1"/>
  <c r="CY43" i="6" s="1"/>
  <c r="CZ43" i="6" a="1"/>
  <c r="CZ43" i="6" s="1"/>
  <c r="DA43" i="6" a="1"/>
  <c r="DA43" i="6" s="1"/>
  <c r="DB43" i="6" a="1"/>
  <c r="DB43" i="6" s="1"/>
  <c r="DC43" i="6" a="1"/>
  <c r="DC43" i="6" s="1"/>
  <c r="DD43" i="6" a="1"/>
  <c r="DD43" i="6" s="1"/>
  <c r="DE43" i="6" a="1"/>
  <c r="DE43" i="6" s="1"/>
  <c r="DF43" i="6" a="1"/>
  <c r="DF43" i="6" s="1"/>
  <c r="DG43" i="6" a="1"/>
  <c r="DG43" i="6" s="1"/>
  <c r="DH43" i="6" a="1"/>
  <c r="DH43" i="6" s="1"/>
  <c r="DI43" i="6" a="1"/>
  <c r="DI43" i="6" s="1"/>
  <c r="DJ43" i="6" a="1"/>
  <c r="DJ43" i="6" s="1"/>
  <c r="DK43" i="6" a="1"/>
  <c r="DK43" i="6" s="1"/>
  <c r="DL43" i="6" a="1"/>
  <c r="DL43" i="6" s="1"/>
  <c r="DM43" i="6" a="1"/>
  <c r="DM43" i="6" s="1"/>
  <c r="DN43" i="6" a="1"/>
  <c r="DN43" i="6" s="1"/>
  <c r="DO43" i="6" a="1"/>
  <c r="DO43" i="6" s="1"/>
  <c r="DP43" i="6" a="1"/>
  <c r="DP43" i="6" s="1"/>
  <c r="DQ43" i="6" a="1"/>
  <c r="DQ43" i="6" s="1"/>
  <c r="DR43" i="6" a="1"/>
  <c r="DR43" i="6" s="1"/>
  <c r="DS43" i="6" a="1"/>
  <c r="DS43" i="6" s="1"/>
  <c r="DT43" i="6" a="1"/>
  <c r="DT43" i="6" s="1"/>
  <c r="DU43" i="6" a="1"/>
  <c r="DU43" i="6" s="1"/>
  <c r="DV43" i="6" a="1"/>
  <c r="DV43" i="6" s="1"/>
  <c r="DW43" i="6" a="1"/>
  <c r="DW43" i="6" s="1"/>
  <c r="DX43" i="6" a="1"/>
  <c r="DX43" i="6" s="1"/>
  <c r="DY43" i="6" a="1"/>
  <c r="DY43" i="6" s="1"/>
  <c r="DZ43" i="6" a="1"/>
  <c r="DZ43" i="6" s="1"/>
  <c r="EA43" i="6" a="1"/>
  <c r="EA43" i="6" s="1"/>
  <c r="EB43" i="6" a="1"/>
  <c r="EB43" i="6" s="1"/>
  <c r="EC43" i="6" a="1"/>
  <c r="EC43" i="6" s="1"/>
  <c r="ED43" i="6" a="1"/>
  <c r="ED43" i="6" s="1"/>
  <c r="EE43" i="6" a="1"/>
  <c r="EE43" i="6" s="1"/>
  <c r="E44" i="6" a="1"/>
  <c r="E44" i="6" s="1"/>
  <c r="F44" i="6" a="1"/>
  <c r="F44" i="6" s="1"/>
  <c r="G44" i="6" a="1"/>
  <c r="G44" i="6" s="1"/>
  <c r="H44" i="6" a="1"/>
  <c r="H44" i="6" s="1"/>
  <c r="I44" i="6" a="1"/>
  <c r="I44" i="6"/>
  <c r="J44" i="6" a="1"/>
  <c r="J44" i="6" s="1"/>
  <c r="K44" i="6" a="1"/>
  <c r="K44" i="6" s="1"/>
  <c r="L44" i="6" a="1"/>
  <c r="L44" i="6" s="1"/>
  <c r="M44" i="6" a="1"/>
  <c r="M44" i="6" s="1"/>
  <c r="N44" i="6" a="1"/>
  <c r="N44" i="6" s="1"/>
  <c r="O44" i="6" a="1"/>
  <c r="O44" i="6" s="1"/>
  <c r="P44" i="6" a="1"/>
  <c r="P44" i="6" s="1"/>
  <c r="Q44" i="6" a="1"/>
  <c r="Q44" i="6" s="1"/>
  <c r="R44" i="6" a="1"/>
  <c r="R44" i="6" s="1"/>
  <c r="S44" i="6" a="1"/>
  <c r="S44" i="6" s="1"/>
  <c r="T44" i="6" a="1"/>
  <c r="T44" i="6" s="1"/>
  <c r="U44" i="6" a="1"/>
  <c r="U44" i="6" s="1"/>
  <c r="V44" i="6" a="1"/>
  <c r="V44" i="6" s="1"/>
  <c r="W44" i="6" a="1"/>
  <c r="W44" i="6" s="1"/>
  <c r="X44" i="6" a="1"/>
  <c r="X44" i="6" s="1"/>
  <c r="Y44" i="6" a="1"/>
  <c r="Y44" i="6"/>
  <c r="Z44" i="6" a="1"/>
  <c r="Z44" i="6" s="1"/>
  <c r="AA44" i="6" a="1"/>
  <c r="AA44" i="6" s="1"/>
  <c r="AB44" i="6" a="1"/>
  <c r="AB44" i="6" s="1"/>
  <c r="AC44" i="6" a="1"/>
  <c r="AC44" i="6" s="1"/>
  <c r="AD44" i="6" a="1"/>
  <c r="AD44" i="6" s="1"/>
  <c r="AE44" i="6" a="1"/>
  <c r="AE44" i="6" s="1"/>
  <c r="AF44" i="6" a="1"/>
  <c r="AF44" i="6" s="1"/>
  <c r="AG44" i="6" a="1"/>
  <c r="AG44" i="6" s="1"/>
  <c r="AH44" i="6" a="1"/>
  <c r="AH44" i="6" s="1"/>
  <c r="AI44" i="6" a="1"/>
  <c r="AI44" i="6" s="1"/>
  <c r="AJ44" i="6" a="1"/>
  <c r="AJ44" i="6" s="1"/>
  <c r="AK44" i="6" a="1"/>
  <c r="AK44" i="6" s="1"/>
  <c r="AL44" i="6" a="1"/>
  <c r="AL44" i="6" s="1"/>
  <c r="AM44" i="6" a="1"/>
  <c r="AM44" i="6" s="1"/>
  <c r="AN44" i="6" a="1"/>
  <c r="AN44" i="6" s="1"/>
  <c r="AO44" i="6" a="1"/>
  <c r="AO44" i="6" s="1"/>
  <c r="AP44" i="6" a="1"/>
  <c r="AP44" i="6" s="1"/>
  <c r="AQ44" i="6" a="1"/>
  <c r="AQ44" i="6" s="1"/>
  <c r="AR44" i="6" a="1"/>
  <c r="AR44" i="6" s="1"/>
  <c r="AS44" i="6" a="1"/>
  <c r="AS44" i="6" s="1"/>
  <c r="AT44" i="6" a="1"/>
  <c r="AT44" i="6" s="1"/>
  <c r="AU44" i="6" a="1"/>
  <c r="AU44" i="6" s="1"/>
  <c r="AV44" i="6" a="1"/>
  <c r="AV44" i="6" s="1"/>
  <c r="AW44" i="6" a="1"/>
  <c r="AW44" i="6" s="1"/>
  <c r="AX44" i="6" a="1"/>
  <c r="AX44" i="6" s="1"/>
  <c r="AY44" i="6" a="1"/>
  <c r="AY44" i="6" s="1"/>
  <c r="AZ44" i="6" a="1"/>
  <c r="AZ44" i="6" s="1"/>
  <c r="BA44" i="6" a="1"/>
  <c r="BA44" i="6" s="1"/>
  <c r="BB44" i="6" a="1"/>
  <c r="BB44" i="6" s="1"/>
  <c r="BC44" i="6" a="1"/>
  <c r="BC44" i="6" s="1"/>
  <c r="BD44" i="6" a="1"/>
  <c r="BD44" i="6" s="1"/>
  <c r="BE44" i="6" a="1"/>
  <c r="BE44" i="6" s="1"/>
  <c r="BF44" i="6" a="1"/>
  <c r="BF44" i="6" s="1"/>
  <c r="BG44" i="6" a="1"/>
  <c r="BG44" i="6" s="1"/>
  <c r="BH44" i="6" a="1"/>
  <c r="BH44" i="6" s="1"/>
  <c r="BI44" i="6" a="1"/>
  <c r="BI44" i="6" s="1"/>
  <c r="BJ44" i="6" a="1"/>
  <c r="BJ44" i="6" s="1"/>
  <c r="BK44" i="6" a="1"/>
  <c r="BK44" i="6" s="1"/>
  <c r="BL44" i="6" a="1"/>
  <c r="BL44" i="6" s="1"/>
  <c r="BM44" i="6" a="1"/>
  <c r="BM44" i="6" s="1"/>
  <c r="BN44" i="6" a="1"/>
  <c r="BN44" i="6" s="1"/>
  <c r="BO44" i="6" a="1"/>
  <c r="BO44" i="6" s="1"/>
  <c r="BP44" i="6" a="1"/>
  <c r="BP44" i="6" s="1"/>
  <c r="BQ44" i="6" a="1"/>
  <c r="BQ44" i="6" s="1"/>
  <c r="BR44" i="6" a="1"/>
  <c r="BR44" i="6" s="1"/>
  <c r="BS44" i="6" a="1"/>
  <c r="BS44" i="6" s="1"/>
  <c r="BT44" i="6" a="1"/>
  <c r="BT44" i="6" s="1"/>
  <c r="BU44" i="6" a="1"/>
  <c r="BU44" i="6" s="1"/>
  <c r="BV44" i="6" a="1"/>
  <c r="BV44" i="6" s="1"/>
  <c r="BW44" i="6" a="1"/>
  <c r="BW44" i="6" s="1"/>
  <c r="BX44" i="6" a="1"/>
  <c r="BX44" i="6" s="1"/>
  <c r="BY44" i="6" a="1"/>
  <c r="BY44" i="6" s="1"/>
  <c r="BZ44" i="6" a="1"/>
  <c r="BZ44" i="6" s="1"/>
  <c r="CA44" i="6" a="1"/>
  <c r="CA44" i="6" s="1"/>
  <c r="CB44" i="6" a="1"/>
  <c r="CB44" i="6"/>
  <c r="CC44" i="6" a="1"/>
  <c r="CC44" i="6" s="1"/>
  <c r="CD44" i="6" a="1"/>
  <c r="CD44" i="6" s="1"/>
  <c r="CE44" i="6" a="1"/>
  <c r="CE44" i="6" s="1"/>
  <c r="CF44" i="6" a="1"/>
  <c r="CF44" i="6" s="1"/>
  <c r="CG44" i="6" a="1"/>
  <c r="CG44" i="6" s="1"/>
  <c r="CH44" i="6" a="1"/>
  <c r="CH44" i="6" s="1"/>
  <c r="CI44" i="6" a="1"/>
  <c r="CI44" i="6"/>
  <c r="CJ44" i="6" a="1"/>
  <c r="CJ44" i="6" s="1"/>
  <c r="CK44" i="6" a="1"/>
  <c r="CK44" i="6" s="1"/>
  <c r="CL44" i="6" a="1"/>
  <c r="CL44" i="6" s="1"/>
  <c r="CM44" i="6" a="1"/>
  <c r="CM44" i="6" s="1"/>
  <c r="CN44" i="6" a="1"/>
  <c r="CN44" i="6" s="1"/>
  <c r="CO44" i="6" a="1"/>
  <c r="CO44" i="6" s="1"/>
  <c r="CP44" i="6" a="1"/>
  <c r="CP44" i="6" s="1"/>
  <c r="CQ44" i="6" a="1"/>
  <c r="CQ44" i="6" s="1"/>
  <c r="CR44" i="6" a="1"/>
  <c r="CR44" i="6" s="1"/>
  <c r="CS44" i="6" a="1"/>
  <c r="CS44" i="6"/>
  <c r="CT44" i="6" a="1"/>
  <c r="CT44" i="6" s="1"/>
  <c r="CU44" i="6" a="1"/>
  <c r="CU44" i="6" s="1"/>
  <c r="CV44" i="6" a="1"/>
  <c r="CV44" i="6" s="1"/>
  <c r="CW44" i="6" a="1"/>
  <c r="CW44" i="6" s="1"/>
  <c r="CX44" i="6" a="1"/>
  <c r="CX44" i="6" s="1"/>
  <c r="CY44" i="6" a="1"/>
  <c r="CY44" i="6" s="1"/>
  <c r="CZ44" i="6" a="1"/>
  <c r="CZ44" i="6" s="1"/>
  <c r="DA44" i="6" a="1"/>
  <c r="DA44" i="6" s="1"/>
  <c r="DB44" i="6" a="1"/>
  <c r="DB44" i="6" s="1"/>
  <c r="DC44" i="6" a="1"/>
  <c r="DC44" i="6" s="1"/>
  <c r="DD44" i="6" a="1"/>
  <c r="DD44" i="6" s="1"/>
  <c r="DE44" i="6" a="1"/>
  <c r="DE44" i="6" s="1"/>
  <c r="DF44" i="6" a="1"/>
  <c r="DF44" i="6" s="1"/>
  <c r="DG44" i="6" a="1"/>
  <c r="DG44" i="6" s="1"/>
  <c r="DH44" i="6" a="1"/>
  <c r="DH44" i="6"/>
  <c r="DI44" i="6" a="1"/>
  <c r="DI44" i="6" s="1"/>
  <c r="DJ44" i="6" a="1"/>
  <c r="DJ44" i="6" s="1"/>
  <c r="DK44" i="6" a="1"/>
  <c r="DK44" i="6" s="1"/>
  <c r="DL44" i="6" a="1"/>
  <c r="DL44" i="6"/>
  <c r="DM44" i="6" a="1"/>
  <c r="DM44" i="6" s="1"/>
  <c r="DN44" i="6" a="1"/>
  <c r="DN44" i="6" s="1"/>
  <c r="DO44" i="6" a="1"/>
  <c r="DO44" i="6" s="1"/>
  <c r="DP44" i="6" a="1"/>
  <c r="DP44" i="6" s="1"/>
  <c r="DQ44" i="6" a="1"/>
  <c r="DQ44" i="6"/>
  <c r="DR44" i="6" a="1"/>
  <c r="DR44" i="6" s="1"/>
  <c r="DS44" i="6" a="1"/>
  <c r="DS44" i="6" s="1"/>
  <c r="DT44" i="6" a="1"/>
  <c r="DT44" i="6" s="1"/>
  <c r="DU44" i="6" a="1"/>
  <c r="DU44" i="6" s="1"/>
  <c r="DV44" i="6" a="1"/>
  <c r="DV44" i="6" s="1"/>
  <c r="DW44" i="6" a="1"/>
  <c r="DW44" i="6" s="1"/>
  <c r="DX44" i="6" a="1"/>
  <c r="DX44" i="6"/>
  <c r="DY44" i="6" a="1"/>
  <c r="DY44" i="6" s="1"/>
  <c r="DZ44" i="6" a="1"/>
  <c r="DZ44" i="6" s="1"/>
  <c r="EA44" i="6" a="1"/>
  <c r="EA44" i="6" s="1"/>
  <c r="EB44" i="6" a="1"/>
  <c r="EB44" i="6" s="1"/>
  <c r="EC44" i="6" a="1"/>
  <c r="EC44" i="6" s="1"/>
  <c r="ED44" i="6" a="1"/>
  <c r="ED44" i="6" s="1"/>
  <c r="EE44" i="6" a="1"/>
  <c r="EE44" i="6" s="1"/>
  <c r="E45" i="6" a="1"/>
  <c r="E45" i="6" s="1"/>
  <c r="F45" i="6" a="1"/>
  <c r="F45" i="6" s="1"/>
  <c r="G45" i="6" a="1"/>
  <c r="G45" i="6" s="1"/>
  <c r="H45" i="6" a="1"/>
  <c r="H45" i="6" s="1"/>
  <c r="I45" i="6" a="1"/>
  <c r="I45" i="6" s="1"/>
  <c r="J45" i="6" a="1"/>
  <c r="J45" i="6" s="1"/>
  <c r="K45" i="6" a="1"/>
  <c r="K45" i="6" s="1"/>
  <c r="L45" i="6" a="1"/>
  <c r="L45" i="6" s="1"/>
  <c r="M45" i="6" a="1"/>
  <c r="M45" i="6" s="1"/>
  <c r="N45" i="6" a="1"/>
  <c r="N45" i="6" s="1"/>
  <c r="O45" i="6" a="1"/>
  <c r="O45" i="6" s="1"/>
  <c r="P45" i="6" a="1"/>
  <c r="P45" i="6" s="1"/>
  <c r="Q45" i="6" a="1"/>
  <c r="Q45" i="6" s="1"/>
  <c r="R45" i="6" a="1"/>
  <c r="R45" i="6" s="1"/>
  <c r="S45" i="6" a="1"/>
  <c r="S45" i="6" s="1"/>
  <c r="T45" i="6" a="1"/>
  <c r="T45" i="6"/>
  <c r="U45" i="6" a="1"/>
  <c r="U45" i="6" s="1"/>
  <c r="V45" i="6" a="1"/>
  <c r="V45" i="6"/>
  <c r="W45" i="6" a="1"/>
  <c r="W45" i="6" s="1"/>
  <c r="X45" i="6" a="1"/>
  <c r="X45" i="6" s="1"/>
  <c r="Y45" i="6" a="1"/>
  <c r="Y45" i="6" s="1"/>
  <c r="Z45" i="6" a="1"/>
  <c r="Z45" i="6"/>
  <c r="AA45" i="6" a="1"/>
  <c r="AA45" i="6" s="1"/>
  <c r="AB45" i="6" a="1"/>
  <c r="AB45" i="6" s="1"/>
  <c r="AC45" i="6" a="1"/>
  <c r="AC45" i="6" s="1"/>
  <c r="AD45" i="6" a="1"/>
  <c r="AD45" i="6" s="1"/>
  <c r="AE45" i="6" a="1"/>
  <c r="AE45" i="6" s="1"/>
  <c r="AF45" i="6" a="1"/>
  <c r="AF45" i="6" s="1"/>
  <c r="AG45" i="6" a="1"/>
  <c r="AG45" i="6" s="1"/>
  <c r="AH45" i="6" a="1"/>
  <c r="AH45" i="6" s="1"/>
  <c r="AI45" i="6" a="1"/>
  <c r="AI45" i="6" s="1"/>
  <c r="AJ45" i="6" a="1"/>
  <c r="AJ45" i="6" s="1"/>
  <c r="AK45" i="6" a="1"/>
  <c r="AK45" i="6" s="1"/>
  <c r="AL45" i="6" a="1"/>
  <c r="AL45" i="6" s="1"/>
  <c r="AM45" i="6" a="1"/>
  <c r="AM45" i="6" s="1"/>
  <c r="AN45" i="6" a="1"/>
  <c r="AN45" i="6"/>
  <c r="AO45" i="6" a="1"/>
  <c r="AO45" i="6" s="1"/>
  <c r="AP45" i="6" a="1"/>
  <c r="AP45" i="6" s="1"/>
  <c r="AQ45" i="6" a="1"/>
  <c r="AQ45" i="6" s="1"/>
  <c r="AR45" i="6" a="1"/>
  <c r="AR45" i="6" s="1"/>
  <c r="AS45" i="6" a="1"/>
  <c r="AS45" i="6"/>
  <c r="AT45" i="6" a="1"/>
  <c r="AT45" i="6" s="1"/>
  <c r="AU45" i="6" a="1"/>
  <c r="AU45" i="6" s="1"/>
  <c r="AV45" i="6" a="1"/>
  <c r="AV45" i="6" s="1"/>
  <c r="AW45" i="6" a="1"/>
  <c r="AW45" i="6"/>
  <c r="AX45" i="6" a="1"/>
  <c r="AX45" i="6" s="1"/>
  <c r="AY45" i="6" a="1"/>
  <c r="AY45" i="6" s="1"/>
  <c r="AZ45" i="6" a="1"/>
  <c r="AZ45" i="6" s="1"/>
  <c r="BA45" i="6" a="1"/>
  <c r="BA45" i="6" s="1"/>
  <c r="BB45" i="6" a="1"/>
  <c r="BB45" i="6" s="1"/>
  <c r="BC45" i="6" a="1"/>
  <c r="BC45" i="6" s="1"/>
  <c r="BD45" i="6" a="1"/>
  <c r="BD45" i="6" s="1"/>
  <c r="BE45" i="6" a="1"/>
  <c r="BE45" i="6" s="1"/>
  <c r="BF45" i="6" a="1"/>
  <c r="BF45" i="6" s="1"/>
  <c r="BG45" i="6" a="1"/>
  <c r="BG45" i="6" s="1"/>
  <c r="BH45" i="6" a="1"/>
  <c r="BH45" i="6" s="1"/>
  <c r="BI45" i="6" a="1"/>
  <c r="BI45" i="6" s="1"/>
  <c r="BJ45" i="6" a="1"/>
  <c r="BJ45" i="6" s="1"/>
  <c r="BK45" i="6" a="1"/>
  <c r="BK45" i="6" s="1"/>
  <c r="BL45" i="6" a="1"/>
  <c r="BL45" i="6" s="1"/>
  <c r="BM45" i="6" a="1"/>
  <c r="BM45" i="6" s="1"/>
  <c r="BN45" i="6" a="1"/>
  <c r="BN45" i="6" s="1"/>
  <c r="BO45" i="6" a="1"/>
  <c r="BO45" i="6" s="1"/>
  <c r="BP45" i="6" a="1"/>
  <c r="BP45" i="6" s="1"/>
  <c r="BQ45" i="6" a="1"/>
  <c r="BQ45" i="6" s="1"/>
  <c r="BR45" i="6" a="1"/>
  <c r="BR45" i="6" s="1"/>
  <c r="BS45" i="6" a="1"/>
  <c r="BS45" i="6" s="1"/>
  <c r="BT45" i="6" a="1"/>
  <c r="BT45" i="6" s="1"/>
  <c r="BU45" i="6" a="1"/>
  <c r="BU45" i="6" s="1"/>
  <c r="BV45" i="6" a="1"/>
  <c r="BV45" i="6" s="1"/>
  <c r="BW45" i="6" a="1"/>
  <c r="BW45" i="6" s="1"/>
  <c r="BX45" i="6" a="1"/>
  <c r="BX45" i="6" s="1"/>
  <c r="BY45" i="6" a="1"/>
  <c r="BY45" i="6"/>
  <c r="BZ45" i="6" a="1"/>
  <c r="BZ45" i="6" s="1"/>
  <c r="CA45" i="6" a="1"/>
  <c r="CA45" i="6" s="1"/>
  <c r="CB45" i="6" a="1"/>
  <c r="CB45" i="6" s="1"/>
  <c r="CC45" i="6" a="1"/>
  <c r="CC45" i="6" s="1"/>
  <c r="CD45" i="6" a="1"/>
  <c r="CD45" i="6" s="1"/>
  <c r="CE45" i="6" a="1"/>
  <c r="CE45" i="6" s="1"/>
  <c r="CF45" i="6" a="1"/>
  <c r="CF45" i="6" s="1"/>
  <c r="CG45" i="6" a="1"/>
  <c r="CG45" i="6" s="1"/>
  <c r="CH45" i="6" a="1"/>
  <c r="CH45" i="6" s="1"/>
  <c r="CI45" i="6" a="1"/>
  <c r="CI45" i="6" s="1"/>
  <c r="CJ45" i="6" a="1"/>
  <c r="CJ45" i="6" s="1"/>
  <c r="CK45" i="6" a="1"/>
  <c r="CK45" i="6" s="1"/>
  <c r="CL45" i="6" a="1"/>
  <c r="CL45" i="6" s="1"/>
  <c r="CM45" i="6" a="1"/>
  <c r="CM45" i="6" s="1"/>
  <c r="CN45" i="6" a="1"/>
  <c r="CN45" i="6" s="1"/>
  <c r="CO45" i="6" a="1"/>
  <c r="CO45" i="6"/>
  <c r="CP45" i="6" a="1"/>
  <c r="CP45" i="6" s="1"/>
  <c r="CQ45" i="6" a="1"/>
  <c r="CQ45" i="6" s="1"/>
  <c r="CR45" i="6" a="1"/>
  <c r="CR45" i="6" s="1"/>
  <c r="CS45" i="6" a="1"/>
  <c r="CS45" i="6" s="1"/>
  <c r="CT45" i="6" a="1"/>
  <c r="CT45" i="6" s="1"/>
  <c r="CU45" i="6" a="1"/>
  <c r="CU45" i="6" s="1"/>
  <c r="CV45" i="6" a="1"/>
  <c r="CV45" i="6" s="1"/>
  <c r="CW45" i="6" a="1"/>
  <c r="CW45" i="6" s="1"/>
  <c r="CX45" i="6" a="1"/>
  <c r="CX45" i="6" s="1"/>
  <c r="CY45" i="6" a="1"/>
  <c r="CY45" i="6" s="1"/>
  <c r="CZ45" i="6" a="1"/>
  <c r="CZ45" i="6"/>
  <c r="DA45" i="6" a="1"/>
  <c r="DA45" i="6" s="1"/>
  <c r="DB45" i="6" a="1"/>
  <c r="DB45" i="6" s="1"/>
  <c r="DC45" i="6" a="1"/>
  <c r="DC45" i="6" s="1"/>
  <c r="DD45" i="6" a="1"/>
  <c r="DD45" i="6" s="1"/>
  <c r="DE45" i="6" a="1"/>
  <c r="DE45" i="6" s="1"/>
  <c r="DF45" i="6" a="1"/>
  <c r="DF45" i="6" s="1"/>
  <c r="DG45" i="6" a="1"/>
  <c r="DG45" i="6" s="1"/>
  <c r="DH45" i="6" a="1"/>
  <c r="DH45" i="6" s="1"/>
  <c r="DI45" i="6" a="1"/>
  <c r="DI45" i="6" s="1"/>
  <c r="DJ45" i="6" a="1"/>
  <c r="DJ45" i="6" s="1"/>
  <c r="DK45" i="6" a="1"/>
  <c r="DK45" i="6" s="1"/>
  <c r="DL45" i="6" a="1"/>
  <c r="DL45" i="6" s="1"/>
  <c r="DM45" i="6" a="1"/>
  <c r="DM45" i="6" s="1"/>
  <c r="DN45" i="6" a="1"/>
  <c r="DN45" i="6" s="1"/>
  <c r="DO45" i="6" a="1"/>
  <c r="DO45" i="6" s="1"/>
  <c r="DP45" i="6" a="1"/>
  <c r="DP45" i="6" s="1"/>
  <c r="DQ45" i="6" a="1"/>
  <c r="DQ45" i="6" s="1"/>
  <c r="DR45" i="6" a="1"/>
  <c r="DR45" i="6" s="1"/>
  <c r="DS45" i="6" a="1"/>
  <c r="DS45" i="6" s="1"/>
  <c r="DT45" i="6" a="1"/>
  <c r="DT45" i="6" s="1"/>
  <c r="DU45" i="6" a="1"/>
  <c r="DU45" i="6" s="1"/>
  <c r="DV45" i="6" a="1"/>
  <c r="DV45" i="6" s="1"/>
  <c r="DW45" i="6" a="1"/>
  <c r="DW45" i="6" s="1"/>
  <c r="DX45" i="6" a="1"/>
  <c r="DX45" i="6" s="1"/>
  <c r="DY45" i="6" a="1"/>
  <c r="DY45" i="6" s="1"/>
  <c r="DZ45" i="6" a="1"/>
  <c r="DZ45" i="6" s="1"/>
  <c r="EA45" i="6" a="1"/>
  <c r="EA45" i="6" s="1"/>
  <c r="EB45" i="6" a="1"/>
  <c r="EB45" i="6" s="1"/>
  <c r="EC45" i="6" a="1"/>
  <c r="EC45" i="6" s="1"/>
  <c r="ED45" i="6" a="1"/>
  <c r="ED45" i="6" s="1"/>
  <c r="EE45" i="6" a="1"/>
  <c r="EE45" i="6" s="1"/>
  <c r="E46" i="6" a="1"/>
  <c r="E46" i="6" s="1"/>
  <c r="F46" i="6" a="1"/>
  <c r="F46" i="6" s="1"/>
  <c r="G46" i="6" a="1"/>
  <c r="G46" i="6" s="1"/>
  <c r="H46" i="6" a="1"/>
  <c r="H46" i="6" s="1"/>
  <c r="I46" i="6" a="1"/>
  <c r="I46" i="6" s="1"/>
  <c r="J46" i="6" a="1"/>
  <c r="J46" i="6" s="1"/>
  <c r="K46" i="6" a="1"/>
  <c r="K46" i="6" s="1"/>
  <c r="L46" i="6" a="1"/>
  <c r="L46" i="6" s="1"/>
  <c r="M46" i="6" a="1"/>
  <c r="M46" i="6" s="1"/>
  <c r="N46" i="6" a="1"/>
  <c r="N46" i="6" s="1"/>
  <c r="O46" i="6" a="1"/>
  <c r="O46" i="6"/>
  <c r="P46" i="6" a="1"/>
  <c r="P46" i="6" s="1"/>
  <c r="Q46" i="6" a="1"/>
  <c r="Q46" i="6" s="1"/>
  <c r="R46" i="6" a="1"/>
  <c r="R46" i="6" s="1"/>
  <c r="S46" i="6" a="1"/>
  <c r="S46" i="6"/>
  <c r="T46" i="6" a="1"/>
  <c r="T46" i="6" s="1"/>
  <c r="U46" i="6" a="1"/>
  <c r="U46" i="6"/>
  <c r="V46" i="6" a="1"/>
  <c r="V46" i="6" s="1"/>
  <c r="W46" i="6" a="1"/>
  <c r="W46" i="6"/>
  <c r="X46" i="6" a="1"/>
  <c r="X46" i="6" s="1"/>
  <c r="Y46" i="6" a="1"/>
  <c r="Y46" i="6" s="1"/>
  <c r="Z46" i="6" a="1"/>
  <c r="Z46" i="6" s="1"/>
  <c r="AA46" i="6" a="1"/>
  <c r="AA46" i="6" s="1"/>
  <c r="AB46" i="6" a="1"/>
  <c r="AB46" i="6" s="1"/>
  <c r="AC46" i="6" a="1"/>
  <c r="AC46" i="6" s="1"/>
  <c r="AD46" i="6" a="1"/>
  <c r="AD46" i="6" s="1"/>
  <c r="AE46" i="6" a="1"/>
  <c r="AE46" i="6" s="1"/>
  <c r="AF46" i="6" a="1"/>
  <c r="AF46" i="6" s="1"/>
  <c r="AG46" i="6" a="1"/>
  <c r="AG46" i="6" s="1"/>
  <c r="AH46" i="6" a="1"/>
  <c r="AH46" i="6" s="1"/>
  <c r="AI46" i="6" a="1"/>
  <c r="AI46" i="6" s="1"/>
  <c r="AJ46" i="6" a="1"/>
  <c r="AJ46" i="6" s="1"/>
  <c r="AK46" i="6" a="1"/>
  <c r="AK46" i="6" s="1"/>
  <c r="AL46" i="6" a="1"/>
  <c r="AL46" i="6" s="1"/>
  <c r="AM46" i="6" a="1"/>
  <c r="AM46" i="6" s="1"/>
  <c r="AN46" i="6" a="1"/>
  <c r="AN46" i="6" s="1"/>
  <c r="AO46" i="6" a="1"/>
  <c r="AO46" i="6" s="1"/>
  <c r="AP46" i="6" a="1"/>
  <c r="AP46" i="6" s="1"/>
  <c r="AQ46" i="6" a="1"/>
  <c r="AQ46" i="6" s="1"/>
  <c r="AR46" i="6" a="1"/>
  <c r="AR46" i="6" s="1"/>
  <c r="AS46" i="6" a="1"/>
  <c r="AS46" i="6" s="1"/>
  <c r="AT46" i="6" a="1"/>
  <c r="AT46" i="6" s="1"/>
  <c r="AU46" i="6" a="1"/>
  <c r="AU46" i="6"/>
  <c r="AV46" i="6" a="1"/>
  <c r="AV46" i="6" s="1"/>
  <c r="AW46" i="6" a="1"/>
  <c r="AW46" i="6" s="1"/>
  <c r="AX46" i="6" a="1"/>
  <c r="AX46" i="6" s="1"/>
  <c r="AY46" i="6" a="1"/>
  <c r="AY46" i="6"/>
  <c r="AZ46" i="6" a="1"/>
  <c r="AZ46" i="6" s="1"/>
  <c r="BA46" i="6" a="1"/>
  <c r="BA46" i="6"/>
  <c r="BB46" i="6" a="1"/>
  <c r="BB46" i="6" s="1"/>
  <c r="BC46" i="6" a="1"/>
  <c r="BC46" i="6"/>
  <c r="BD46" i="6" a="1"/>
  <c r="BD46" i="6" s="1"/>
  <c r="BE46" i="6" a="1"/>
  <c r="BE46" i="6" s="1"/>
  <c r="BF46" i="6" a="1"/>
  <c r="BF46" i="6" s="1"/>
  <c r="BG46" i="6" a="1"/>
  <c r="BG46" i="6" s="1"/>
  <c r="BH46" i="6" a="1"/>
  <c r="BH46" i="6" s="1"/>
  <c r="BI46" i="6" a="1"/>
  <c r="BI46" i="6" s="1"/>
  <c r="BJ46" i="6" a="1"/>
  <c r="BJ46" i="6" s="1"/>
  <c r="BK46" i="6" a="1"/>
  <c r="BK46" i="6" s="1"/>
  <c r="BL46" i="6" a="1"/>
  <c r="BL46" i="6" s="1"/>
  <c r="BM46" i="6" a="1"/>
  <c r="BM46" i="6" s="1"/>
  <c r="BN46" i="6" a="1"/>
  <c r="BN46" i="6" s="1"/>
  <c r="BO46" i="6" a="1"/>
  <c r="BO46" i="6" s="1"/>
  <c r="BP46" i="6" a="1"/>
  <c r="BP46" i="6" s="1"/>
  <c r="BQ46" i="6" a="1"/>
  <c r="BQ46" i="6" s="1"/>
  <c r="BR46" i="6" a="1"/>
  <c r="BR46" i="6" s="1"/>
  <c r="BS46" i="6" a="1"/>
  <c r="BS46" i="6" s="1"/>
  <c r="BT46" i="6" a="1"/>
  <c r="BT46" i="6" s="1"/>
  <c r="BU46" i="6" a="1"/>
  <c r="BU46" i="6" s="1"/>
  <c r="BV46" i="6" a="1"/>
  <c r="BV46" i="6" s="1"/>
  <c r="BW46" i="6" a="1"/>
  <c r="BW46" i="6" s="1"/>
  <c r="BX46" i="6" a="1"/>
  <c r="BX46" i="6" s="1"/>
  <c r="BY46" i="6" a="1"/>
  <c r="BY46" i="6" s="1"/>
  <c r="BZ46" i="6" a="1"/>
  <c r="BZ46" i="6" s="1"/>
  <c r="CA46" i="6" a="1"/>
  <c r="CA46" i="6"/>
  <c r="CB46" i="6" a="1"/>
  <c r="CB46" i="6" s="1"/>
  <c r="CC46" i="6" a="1"/>
  <c r="CC46" i="6" s="1"/>
  <c r="CD46" i="6" a="1"/>
  <c r="CD46" i="6" s="1"/>
  <c r="CE46" i="6" a="1"/>
  <c r="CE46" i="6"/>
  <c r="CF46" i="6" a="1"/>
  <c r="CF46" i="6" s="1"/>
  <c r="CG46" i="6" a="1"/>
  <c r="CG46" i="6"/>
  <c r="CH46" i="6" a="1"/>
  <c r="CH46" i="6" s="1"/>
  <c r="CI46" i="6" a="1"/>
  <c r="CI46" i="6"/>
  <c r="CJ46" i="6" a="1"/>
  <c r="CJ46" i="6" s="1"/>
  <c r="CK46" i="6" a="1"/>
  <c r="CK46" i="6" s="1"/>
  <c r="CL46" i="6" a="1"/>
  <c r="CL46" i="6" s="1"/>
  <c r="CM46" i="6" a="1"/>
  <c r="CM46" i="6" s="1"/>
  <c r="CN46" i="6" a="1"/>
  <c r="CN46" i="6" s="1"/>
  <c r="CO46" i="6" a="1"/>
  <c r="CO46" i="6" s="1"/>
  <c r="CP46" i="6" a="1"/>
  <c r="CP46" i="6" s="1"/>
  <c r="CQ46" i="6" a="1"/>
  <c r="CQ46" i="6" s="1"/>
  <c r="CR46" i="6" a="1"/>
  <c r="CR46" i="6" s="1"/>
  <c r="CS46" i="6" a="1"/>
  <c r="CS46" i="6" s="1"/>
  <c r="CT46" i="6" a="1"/>
  <c r="CT46" i="6" s="1"/>
  <c r="CU46" i="6" a="1"/>
  <c r="CU46" i="6" s="1"/>
  <c r="CV46" i="6" a="1"/>
  <c r="CV46" i="6" s="1"/>
  <c r="CW46" i="6" a="1"/>
  <c r="CW46" i="6" s="1"/>
  <c r="CX46" i="6" a="1"/>
  <c r="CX46" i="6" s="1"/>
  <c r="CY46" i="6" a="1"/>
  <c r="CY46" i="6" s="1"/>
  <c r="CZ46" i="6" a="1"/>
  <c r="CZ46" i="6" s="1"/>
  <c r="DA46" i="6" a="1"/>
  <c r="DA46" i="6" s="1"/>
  <c r="DB46" i="6" a="1"/>
  <c r="DB46" i="6" s="1"/>
  <c r="DC46" i="6" a="1"/>
  <c r="DC46" i="6" s="1"/>
  <c r="DD46" i="6" a="1"/>
  <c r="DD46" i="6" s="1"/>
  <c r="DE46" i="6" a="1"/>
  <c r="DE46" i="6" s="1"/>
  <c r="DF46" i="6" a="1"/>
  <c r="DF46" i="6" s="1"/>
  <c r="DG46" i="6" a="1"/>
  <c r="DG46" i="6"/>
  <c r="DH46" i="6" a="1"/>
  <c r="DH46" i="6" s="1"/>
  <c r="DI46" i="6" a="1"/>
  <c r="DI46" i="6" s="1"/>
  <c r="DJ46" i="6" a="1"/>
  <c r="DJ46" i="6" s="1"/>
  <c r="DK46" i="6" a="1"/>
  <c r="DK46" i="6"/>
  <c r="DL46" i="6" a="1"/>
  <c r="DL46" i="6" s="1"/>
  <c r="DM46" i="6" a="1"/>
  <c r="DM46" i="6"/>
  <c r="DN46" i="6" a="1"/>
  <c r="DN46" i="6" s="1"/>
  <c r="DO46" i="6" a="1"/>
  <c r="DO46" i="6"/>
  <c r="DP46" i="6" a="1"/>
  <c r="DP46" i="6" s="1"/>
  <c r="DQ46" i="6" a="1"/>
  <c r="DQ46" i="6" s="1"/>
  <c r="DR46" i="6" a="1"/>
  <c r="DR46" i="6" s="1"/>
  <c r="DS46" i="6" a="1"/>
  <c r="DS46" i="6" s="1"/>
  <c r="DT46" i="6" a="1"/>
  <c r="DT46" i="6" s="1"/>
  <c r="DU46" i="6" a="1"/>
  <c r="DU46" i="6" s="1"/>
  <c r="DV46" i="6" a="1"/>
  <c r="DV46" i="6" s="1"/>
  <c r="DW46" i="6" a="1"/>
  <c r="DW46" i="6" s="1"/>
  <c r="DX46" i="6" a="1"/>
  <c r="DX46" i="6" s="1"/>
  <c r="DY46" i="6" a="1"/>
  <c r="DY46" i="6" s="1"/>
  <c r="DZ46" i="6" a="1"/>
  <c r="DZ46" i="6" s="1"/>
  <c r="EA46" i="6" a="1"/>
  <c r="EA46" i="6" s="1"/>
  <c r="EB46" i="6" a="1"/>
  <c r="EB46" i="6" s="1"/>
  <c r="EC46" i="6" a="1"/>
  <c r="EC46" i="6" s="1"/>
  <c r="ED46" i="6" a="1"/>
  <c r="ED46" i="6" s="1"/>
  <c r="EE46" i="6" a="1"/>
  <c r="EE46" i="6" s="1"/>
  <c r="E47" i="6" a="1"/>
  <c r="E47" i="6" s="1"/>
  <c r="F47" i="6" a="1"/>
  <c r="F47" i="6" s="1"/>
  <c r="G47" i="6" a="1"/>
  <c r="G47" i="6" s="1"/>
  <c r="H47" i="6" a="1"/>
  <c r="H47" i="6" s="1"/>
  <c r="I47" i="6" a="1"/>
  <c r="I47" i="6" s="1"/>
  <c r="J47" i="6" a="1"/>
  <c r="J47" i="6" s="1"/>
  <c r="K47" i="6" a="1"/>
  <c r="K47" i="6" s="1"/>
  <c r="L47" i="6" a="1"/>
  <c r="L47" i="6"/>
  <c r="M47" i="6" a="1"/>
  <c r="M47" i="6" s="1"/>
  <c r="N47" i="6" a="1"/>
  <c r="N47" i="6" s="1"/>
  <c r="O47" i="6" a="1"/>
  <c r="O47" i="6" s="1"/>
  <c r="P47" i="6" a="1"/>
  <c r="P47" i="6"/>
  <c r="Q47" i="6" a="1"/>
  <c r="Q47" i="6" s="1"/>
  <c r="R47" i="6" a="1"/>
  <c r="R47" i="6"/>
  <c r="S47" i="6" a="1"/>
  <c r="S47" i="6" s="1"/>
  <c r="T47" i="6" a="1"/>
  <c r="T47" i="6"/>
  <c r="U47" i="6" a="1"/>
  <c r="U47" i="6" s="1"/>
  <c r="V47" i="6" a="1"/>
  <c r="V47" i="6" s="1"/>
  <c r="W47" i="6" a="1"/>
  <c r="W47" i="6" s="1"/>
  <c r="X47" i="6" a="1"/>
  <c r="X47" i="6" s="1"/>
  <c r="Y47" i="6" a="1"/>
  <c r="Y47" i="6" s="1"/>
  <c r="Z47" i="6" a="1"/>
  <c r="Z47" i="6" s="1"/>
  <c r="AA47" i="6" a="1"/>
  <c r="AA47" i="6" s="1"/>
  <c r="AB47" i="6" a="1"/>
  <c r="AB47" i="6" s="1"/>
  <c r="AC47" i="6" a="1"/>
  <c r="AC47" i="6" s="1"/>
  <c r="AD47" i="6" a="1"/>
  <c r="AD47" i="6" s="1"/>
  <c r="AE47" i="6" a="1"/>
  <c r="AE47" i="6" s="1"/>
  <c r="AF47" i="6" a="1"/>
  <c r="AF47" i="6"/>
  <c r="AG47" i="6" a="1"/>
  <c r="AG47" i="6" s="1"/>
  <c r="AH47" i="6" a="1"/>
  <c r="AH47" i="6" s="1"/>
  <c r="AI47" i="6" a="1"/>
  <c r="AI47" i="6" s="1"/>
  <c r="AJ47" i="6" a="1"/>
  <c r="AJ47" i="6" s="1"/>
  <c r="AK47" i="6" a="1"/>
  <c r="AK47" i="6" s="1"/>
  <c r="AL47" i="6" a="1"/>
  <c r="AL47" i="6" s="1"/>
  <c r="AM47" i="6" a="1"/>
  <c r="AM47" i="6" s="1"/>
  <c r="AN47" i="6" a="1"/>
  <c r="AN47" i="6" s="1"/>
  <c r="AO47" i="6" a="1"/>
  <c r="AO47" i="6" s="1"/>
  <c r="AP47" i="6" a="1"/>
  <c r="AP47" i="6" s="1"/>
  <c r="AQ47" i="6" a="1"/>
  <c r="AQ47" i="6" s="1"/>
  <c r="AR47" i="6" a="1"/>
  <c r="AR47" i="6"/>
  <c r="AS47" i="6" a="1"/>
  <c r="AS47" i="6" s="1"/>
  <c r="AT47" i="6" a="1"/>
  <c r="AT47" i="6" s="1"/>
  <c r="AU47" i="6" a="1"/>
  <c r="AU47" i="6" s="1"/>
  <c r="AV47" i="6" a="1"/>
  <c r="AV47" i="6"/>
  <c r="AW47" i="6" a="1"/>
  <c r="AW47" i="6" s="1"/>
  <c r="AX47" i="6" a="1"/>
  <c r="AX47" i="6"/>
  <c r="AY47" i="6" a="1"/>
  <c r="AY47" i="6" s="1"/>
  <c r="AZ47" i="6" a="1"/>
  <c r="AZ47" i="6" s="1"/>
  <c r="BA47" i="6" a="1"/>
  <c r="BA47" i="6" s="1"/>
  <c r="BB47" i="6" a="1"/>
  <c r="BB47" i="6" s="1"/>
  <c r="BC47" i="6" a="1"/>
  <c r="BC47" i="6" s="1"/>
  <c r="BD47" i="6" a="1"/>
  <c r="BD47" i="6" s="1"/>
  <c r="BE47" i="6" a="1"/>
  <c r="BE47" i="6" s="1"/>
  <c r="BF47" i="6" a="1"/>
  <c r="BF47" i="6" s="1"/>
  <c r="BG47" i="6" a="1"/>
  <c r="BG47" i="6" s="1"/>
  <c r="BH47" i="6" a="1"/>
  <c r="BH47" i="6" s="1"/>
  <c r="BI47" i="6" a="1"/>
  <c r="BI47" i="6" s="1"/>
  <c r="BJ47" i="6" a="1"/>
  <c r="BJ47" i="6" s="1"/>
  <c r="BK47" i="6" a="1"/>
  <c r="BK47" i="6" s="1"/>
  <c r="BL47" i="6" a="1"/>
  <c r="BL47" i="6"/>
  <c r="BM47" i="6" a="1"/>
  <c r="BM47" i="6" s="1"/>
  <c r="BN47" i="6" a="1"/>
  <c r="BN47" i="6" s="1"/>
  <c r="BO47" i="6" a="1"/>
  <c r="BO47" i="6" s="1"/>
  <c r="BP47" i="6" a="1"/>
  <c r="BP47" i="6" s="1"/>
  <c r="BQ47" i="6" a="1"/>
  <c r="BQ47" i="6" s="1"/>
  <c r="BR47" i="6" a="1"/>
  <c r="BR47" i="6" s="1"/>
  <c r="BS47" i="6" a="1"/>
  <c r="BS47" i="6" s="1"/>
  <c r="BT47" i="6" a="1"/>
  <c r="BT47" i="6" s="1"/>
  <c r="BU47" i="6" a="1"/>
  <c r="BU47" i="6" s="1"/>
  <c r="BV47" i="6" a="1"/>
  <c r="BV47" i="6" s="1"/>
  <c r="BW47" i="6" a="1"/>
  <c r="BW47" i="6" s="1"/>
  <c r="BX47" i="6" a="1"/>
  <c r="BX47" i="6"/>
  <c r="BY47" i="6" a="1"/>
  <c r="BY47" i="6" s="1"/>
  <c r="BZ47" i="6" a="1"/>
  <c r="BZ47" i="6" s="1"/>
  <c r="CA47" i="6" a="1"/>
  <c r="CA47" i="6" s="1"/>
  <c r="CB47" i="6" a="1"/>
  <c r="CB47" i="6"/>
  <c r="CC47" i="6" a="1"/>
  <c r="CC47" i="6" s="1"/>
  <c r="CD47" i="6" a="1"/>
  <c r="CD47" i="6"/>
  <c r="CE47" i="6" a="1"/>
  <c r="CE47" i="6" s="1"/>
  <c r="CF47" i="6" a="1"/>
  <c r="CF47" i="6" s="1"/>
  <c r="CG47" i="6" a="1"/>
  <c r="CG47" i="6" s="1"/>
  <c r="CH47" i="6" a="1"/>
  <c r="CH47" i="6" s="1"/>
  <c r="CI47" i="6" a="1"/>
  <c r="CI47" i="6" s="1"/>
  <c r="CJ47" i="6" a="1"/>
  <c r="CJ47" i="6" s="1"/>
  <c r="CK47" i="6" a="1"/>
  <c r="CK47" i="6" s="1"/>
  <c r="CL47" i="6" a="1"/>
  <c r="CL47" i="6" s="1"/>
  <c r="CM47" i="6" a="1"/>
  <c r="CM47" i="6" s="1"/>
  <c r="CN47" i="6" a="1"/>
  <c r="CN47" i="6" s="1"/>
  <c r="CO47" i="6" a="1"/>
  <c r="CO47" i="6" s="1"/>
  <c r="CP47" i="6" a="1"/>
  <c r="CP47" i="6" s="1"/>
  <c r="CQ47" i="6" a="1"/>
  <c r="CQ47" i="6" s="1"/>
  <c r="CR47" i="6" a="1"/>
  <c r="CR47" i="6"/>
  <c r="CS47" i="6" a="1"/>
  <c r="CS47" i="6" s="1"/>
  <c r="CT47" i="6" a="1"/>
  <c r="CT47" i="6" s="1"/>
  <c r="CU47" i="6" a="1"/>
  <c r="CU47" i="6" s="1"/>
  <c r="CV47" i="6" a="1"/>
  <c r="CV47" i="6" s="1"/>
  <c r="CW47" i="6" a="1"/>
  <c r="CW47" i="6" s="1"/>
  <c r="CX47" i="6" a="1"/>
  <c r="CX47" i="6" s="1"/>
  <c r="CY47" i="6" a="1"/>
  <c r="CY47" i="6" s="1"/>
  <c r="CZ47" i="6" a="1"/>
  <c r="CZ47" i="6" s="1"/>
  <c r="DA47" i="6" a="1"/>
  <c r="DA47" i="6" s="1"/>
  <c r="DB47" i="6" a="1"/>
  <c r="DB47" i="6" s="1"/>
  <c r="DC47" i="6" a="1"/>
  <c r="DC47" i="6" s="1"/>
  <c r="DD47" i="6" a="1"/>
  <c r="DD47" i="6"/>
  <c r="DE47" i="6" a="1"/>
  <c r="DE47" i="6" s="1"/>
  <c r="DF47" i="6" a="1"/>
  <c r="DF47" i="6" s="1"/>
  <c r="DG47" i="6" a="1"/>
  <c r="DG47" i="6" s="1"/>
  <c r="DH47" i="6" a="1"/>
  <c r="DH47" i="6"/>
  <c r="DI47" i="6" a="1"/>
  <c r="DI47" i="6" s="1"/>
  <c r="DJ47" i="6" a="1"/>
  <c r="DJ47" i="6"/>
  <c r="DK47" i="6" a="1"/>
  <c r="DK47" i="6" s="1"/>
  <c r="DL47" i="6" a="1"/>
  <c r="DL47" i="6" s="1"/>
  <c r="DM47" i="6" a="1"/>
  <c r="DM47" i="6" s="1"/>
  <c r="DN47" i="6" a="1"/>
  <c r="DN47" i="6" s="1"/>
  <c r="DO47" i="6" a="1"/>
  <c r="DO47" i="6" s="1"/>
  <c r="DP47" i="6" a="1"/>
  <c r="DP47" i="6" s="1"/>
  <c r="DQ47" i="6" a="1"/>
  <c r="DQ47" i="6" s="1"/>
  <c r="DR47" i="6" a="1"/>
  <c r="DR47" i="6" s="1"/>
  <c r="DS47" i="6" a="1"/>
  <c r="DS47" i="6" s="1"/>
  <c r="DT47" i="6" a="1"/>
  <c r="DT47" i="6"/>
  <c r="DU47" i="6" a="1"/>
  <c r="DU47" i="6" s="1"/>
  <c r="DV47" i="6" a="1"/>
  <c r="DV47" i="6" s="1"/>
  <c r="DW47" i="6" a="1"/>
  <c r="DW47" i="6" s="1"/>
  <c r="DX47" i="6" a="1"/>
  <c r="DX47" i="6"/>
  <c r="DY47" i="6" a="1"/>
  <c r="DY47" i="6" s="1"/>
  <c r="DZ47" i="6" a="1"/>
  <c r="DZ47" i="6"/>
  <c r="EA47" i="6" a="1"/>
  <c r="EA47" i="6" s="1"/>
  <c r="EB47" i="6" a="1"/>
  <c r="EB47" i="6"/>
  <c r="EC47" i="6" a="1"/>
  <c r="EC47" i="6" s="1"/>
  <c r="ED47" i="6" a="1"/>
  <c r="ED47" i="6" s="1"/>
  <c r="EE47" i="6" a="1"/>
  <c r="EE47" i="6" s="1"/>
  <c r="E48" i="6" a="1"/>
  <c r="E48" i="6"/>
  <c r="F48" i="6" a="1"/>
  <c r="F48" i="6" s="1"/>
  <c r="G48" i="6" a="1"/>
  <c r="G48" i="6" s="1"/>
  <c r="H48" i="6" a="1"/>
  <c r="H48" i="6" s="1"/>
  <c r="I48" i="6" a="1"/>
  <c r="I48" i="6"/>
  <c r="J48" i="6" a="1"/>
  <c r="J48" i="6" s="1"/>
  <c r="K48" i="6" a="1"/>
  <c r="K48" i="6" s="1"/>
  <c r="L48" i="6" a="1"/>
  <c r="L48" i="6" s="1"/>
  <c r="M48" i="6" a="1"/>
  <c r="M48" i="6" s="1"/>
  <c r="N48" i="6" a="1"/>
  <c r="N48" i="6" s="1"/>
  <c r="O48" i="6" a="1"/>
  <c r="O48" i="6" s="1"/>
  <c r="P48" i="6" a="1"/>
  <c r="P48" i="6" s="1"/>
  <c r="Q48" i="6" a="1"/>
  <c r="Q48" i="6" s="1"/>
  <c r="R48" i="6" a="1"/>
  <c r="R48" i="6" s="1"/>
  <c r="S48" i="6" a="1"/>
  <c r="S48" i="6" s="1"/>
  <c r="T48" i="6" a="1"/>
  <c r="T48" i="6" s="1"/>
  <c r="U48" i="6" a="1"/>
  <c r="U48" i="6" s="1"/>
  <c r="V48" i="6" a="1"/>
  <c r="V48" i="6" s="1"/>
  <c r="W48" i="6" a="1"/>
  <c r="W48" i="6" s="1"/>
  <c r="X48" i="6" a="1"/>
  <c r="X48" i="6" s="1"/>
  <c r="Y48" i="6" a="1"/>
  <c r="Y48" i="6"/>
  <c r="Z48" i="6" a="1"/>
  <c r="Z48" i="6" s="1"/>
  <c r="AA48" i="6" a="1"/>
  <c r="AA48" i="6" s="1"/>
  <c r="AB48" i="6" a="1"/>
  <c r="AB48" i="6" s="1"/>
  <c r="AC48" i="6" a="1"/>
  <c r="AC48" i="6"/>
  <c r="AD48" i="6" a="1"/>
  <c r="AD48" i="6" s="1"/>
  <c r="AE48" i="6" a="1"/>
  <c r="AE48" i="6"/>
  <c r="AF48" i="6" a="1"/>
  <c r="AF48" i="6" s="1"/>
  <c r="AG48" i="6" a="1"/>
  <c r="AG48" i="6"/>
  <c r="AH48" i="6" a="1"/>
  <c r="AH48" i="6" s="1"/>
  <c r="AI48" i="6" a="1"/>
  <c r="AI48" i="6" s="1"/>
  <c r="AJ48" i="6" a="1"/>
  <c r="AJ48" i="6" s="1"/>
  <c r="AK48" i="6" a="1"/>
  <c r="AK48" i="6"/>
  <c r="AL48" i="6" a="1"/>
  <c r="AL48" i="6" s="1"/>
  <c r="AM48" i="6" a="1"/>
  <c r="AM48" i="6" s="1"/>
  <c r="AN48" i="6" a="1"/>
  <c r="AN48" i="6" s="1"/>
  <c r="AO48" i="6" a="1"/>
  <c r="AO48" i="6"/>
  <c r="AP48" i="6" a="1"/>
  <c r="AP48" i="6" s="1"/>
  <c r="AQ48" i="6" a="1"/>
  <c r="AQ48" i="6" s="1"/>
  <c r="AR48" i="6" a="1"/>
  <c r="AR48" i="6" s="1"/>
  <c r="AS48" i="6" a="1"/>
  <c r="AS48" i="6" s="1"/>
  <c r="AT48" i="6" a="1"/>
  <c r="AT48" i="6" s="1"/>
  <c r="AU48" i="6" a="1"/>
  <c r="AU48" i="6" s="1"/>
  <c r="AV48" i="6" a="1"/>
  <c r="AV48" i="6" s="1"/>
  <c r="AW48" i="6" a="1"/>
  <c r="AW48" i="6"/>
  <c r="AX48" i="6" a="1"/>
  <c r="AX48" i="6" s="1"/>
  <c r="AY48" i="6" a="1"/>
  <c r="AY48" i="6" s="1"/>
  <c r="AZ48" i="6" a="1"/>
  <c r="AZ48" i="6" s="1"/>
  <c r="BA48" i="6" a="1"/>
  <c r="BA48" i="6" s="1"/>
  <c r="BB48" i="6" a="1"/>
  <c r="BB48" i="6" s="1"/>
  <c r="BC48" i="6" a="1"/>
  <c r="BC48" i="6" s="1"/>
  <c r="BD48" i="6" a="1"/>
  <c r="BD48" i="6" s="1"/>
  <c r="BE48" i="6" a="1"/>
  <c r="BE48" i="6" s="1"/>
  <c r="BF48" i="6" a="1"/>
  <c r="BF48" i="6" s="1"/>
  <c r="BG48" i="6" a="1"/>
  <c r="BG48" i="6" s="1"/>
  <c r="BH48" i="6" a="1"/>
  <c r="BH48" i="6" s="1"/>
  <c r="BI48" i="6" a="1"/>
  <c r="BI48" i="6" s="1"/>
  <c r="BJ48" i="6" a="1"/>
  <c r="BJ48" i="6" s="1"/>
  <c r="BK48" i="6" a="1"/>
  <c r="BK48" i="6"/>
  <c r="BL48" i="6" a="1"/>
  <c r="BL48" i="6" s="1"/>
  <c r="BM48" i="6" a="1"/>
  <c r="BM48" i="6"/>
  <c r="BN48" i="6" a="1"/>
  <c r="BN48" i="6" s="1"/>
  <c r="BO48" i="6" a="1"/>
  <c r="BO48" i="6" s="1"/>
  <c r="BP48" i="6" a="1"/>
  <c r="BP48" i="6" s="1"/>
  <c r="BQ48" i="6" a="1"/>
  <c r="BQ48" i="6" s="1"/>
  <c r="BR48" i="6" a="1"/>
  <c r="BR48" i="6" s="1"/>
  <c r="BS48" i="6" a="1"/>
  <c r="BS48" i="6" s="1"/>
  <c r="BT48" i="6" a="1"/>
  <c r="BT48" i="6" s="1"/>
  <c r="BU48" i="6" a="1"/>
  <c r="BU48" i="6"/>
  <c r="BV48" i="6" a="1"/>
  <c r="BV48" i="6" s="1"/>
  <c r="BW48" i="6" a="1"/>
  <c r="BW48" i="6" s="1"/>
  <c r="BX48" i="6" a="1"/>
  <c r="BX48" i="6" s="1"/>
  <c r="BY48" i="6" a="1"/>
  <c r="BY48" i="6" s="1"/>
  <c r="BZ48" i="6" a="1"/>
  <c r="BZ48" i="6" s="1"/>
  <c r="CA48" i="6" a="1"/>
  <c r="CA48" i="6" s="1"/>
  <c r="CB48" i="6" a="1"/>
  <c r="CB48" i="6" s="1"/>
  <c r="CC48" i="6" a="1"/>
  <c r="CC48" i="6"/>
  <c r="CD48" i="6" a="1"/>
  <c r="CD48" i="6" s="1"/>
  <c r="CE48" i="6" a="1"/>
  <c r="CE48" i="6" s="1"/>
  <c r="CF48" i="6" a="1"/>
  <c r="CF48" i="6" s="1"/>
  <c r="CG48" i="6" a="1"/>
  <c r="CG48" i="6" s="1"/>
  <c r="CH48" i="6" a="1"/>
  <c r="CH48" i="6" s="1"/>
  <c r="CI48" i="6" a="1"/>
  <c r="CI48" i="6"/>
  <c r="CJ48" i="6" a="1"/>
  <c r="CJ48" i="6" s="1"/>
  <c r="CK48" i="6" a="1"/>
  <c r="CK48" i="6"/>
  <c r="CL48" i="6" a="1"/>
  <c r="CL48" i="6" s="1"/>
  <c r="CM48" i="6" a="1"/>
  <c r="CM48" i="6" s="1"/>
  <c r="CN48" i="6" a="1"/>
  <c r="CN48" i="6" s="1"/>
  <c r="CO48" i="6" a="1"/>
  <c r="CO48" i="6"/>
  <c r="CP48" i="6" a="1"/>
  <c r="CP48" i="6" s="1"/>
  <c r="CQ48" i="6" a="1"/>
  <c r="CQ48" i="6"/>
  <c r="CR48" i="6" a="1"/>
  <c r="CR48" i="6" s="1"/>
  <c r="CS48" i="6" a="1"/>
  <c r="CS48" i="6"/>
  <c r="CT48" i="6" a="1"/>
  <c r="CT48" i="6" s="1"/>
  <c r="CU48" i="6" a="1"/>
  <c r="CU48" i="6" s="1"/>
  <c r="CV48" i="6" a="1"/>
  <c r="CV48" i="6" s="1"/>
  <c r="CW48" i="6" a="1"/>
  <c r="CW48" i="6"/>
  <c r="CX48" i="6" a="1"/>
  <c r="CX48" i="6" s="1"/>
  <c r="CY48" i="6" a="1"/>
  <c r="CY48" i="6" s="1"/>
  <c r="CZ48" i="6" a="1"/>
  <c r="CZ48" i="6" s="1"/>
  <c r="DA48" i="6" a="1"/>
  <c r="DA48" i="6"/>
  <c r="DB48" i="6" a="1"/>
  <c r="DB48" i="6" s="1"/>
  <c r="DC48" i="6" a="1"/>
  <c r="DC48" i="6" s="1"/>
  <c r="DD48" i="6" a="1"/>
  <c r="DD48" i="6" s="1"/>
  <c r="DE48" i="6" a="1"/>
  <c r="DE48" i="6" s="1"/>
  <c r="DF48" i="6" a="1"/>
  <c r="DF48" i="6" s="1"/>
  <c r="DG48" i="6" a="1"/>
  <c r="DG48" i="6" s="1"/>
  <c r="DH48" i="6" a="1"/>
  <c r="DH48" i="6" s="1"/>
  <c r="DI48" i="6" a="1"/>
  <c r="DI48" i="6"/>
  <c r="DJ48" i="6" a="1"/>
  <c r="DJ48" i="6" s="1"/>
  <c r="DK48" i="6" a="1"/>
  <c r="DK48" i="6" s="1"/>
  <c r="DL48" i="6" a="1"/>
  <c r="DL48" i="6" s="1"/>
  <c r="DM48" i="6" a="1"/>
  <c r="DM48" i="6" s="1"/>
  <c r="DN48" i="6" a="1"/>
  <c r="DN48" i="6" s="1"/>
  <c r="DO48" i="6" a="1"/>
  <c r="DO48" i="6" s="1"/>
  <c r="DP48" i="6" a="1"/>
  <c r="DP48" i="6" s="1"/>
  <c r="DQ48" i="6" a="1"/>
  <c r="DQ48" i="6" s="1"/>
  <c r="DR48" i="6" a="1"/>
  <c r="DR48" i="6" s="1"/>
  <c r="DS48" i="6" a="1"/>
  <c r="DS48" i="6" s="1"/>
  <c r="DT48" i="6" a="1"/>
  <c r="DT48" i="6" s="1"/>
  <c r="DU48" i="6" a="1"/>
  <c r="DU48" i="6" s="1"/>
  <c r="DV48" i="6" a="1"/>
  <c r="DV48" i="6" s="1"/>
  <c r="DW48" i="6" a="1"/>
  <c r="DW48" i="6" s="1"/>
  <c r="DX48" i="6" a="1"/>
  <c r="DX48" i="6" s="1"/>
  <c r="DY48" i="6" a="1"/>
  <c r="DY48" i="6"/>
  <c r="DZ48" i="6" a="1"/>
  <c r="DZ48" i="6" s="1"/>
  <c r="EA48" i="6" a="1"/>
  <c r="EA48" i="6" s="1"/>
  <c r="EB48" i="6" a="1"/>
  <c r="EB48" i="6" s="1"/>
  <c r="EC48" i="6" a="1"/>
  <c r="EC48" i="6" s="1"/>
  <c r="ED48" i="6" a="1"/>
  <c r="ED48" i="6" s="1"/>
  <c r="EE48" i="6" a="1"/>
  <c r="EE48" i="6" s="1"/>
  <c r="E49" i="6" a="1"/>
  <c r="E49" i="6" s="1"/>
  <c r="F49" i="6" a="1"/>
  <c r="F49" i="6"/>
  <c r="G49" i="6" a="1"/>
  <c r="G49" i="6" s="1"/>
  <c r="H49" i="6" a="1"/>
  <c r="H49" i="6" s="1"/>
  <c r="I49" i="6" a="1"/>
  <c r="I49" i="6" s="1"/>
  <c r="J49" i="6" a="1"/>
  <c r="J49" i="6" s="1"/>
  <c r="K49" i="6" a="1"/>
  <c r="K49" i="6" s="1"/>
  <c r="L49" i="6" a="1"/>
  <c r="L49" i="6"/>
  <c r="M49" i="6" a="1"/>
  <c r="M49" i="6" s="1"/>
  <c r="N49" i="6" a="1"/>
  <c r="N49" i="6"/>
  <c r="O49" i="6" a="1"/>
  <c r="O49" i="6" s="1"/>
  <c r="P49" i="6" a="1"/>
  <c r="P49" i="6" s="1"/>
  <c r="Q49" i="6" a="1"/>
  <c r="Q49" i="6" s="1"/>
  <c r="R49" i="6" a="1"/>
  <c r="R49" i="6"/>
  <c r="S49" i="6" a="1"/>
  <c r="S49" i="6" s="1"/>
  <c r="T49" i="6" a="1"/>
  <c r="T49" i="6"/>
  <c r="U49" i="6" a="1"/>
  <c r="U49" i="6" s="1"/>
  <c r="V49" i="6" a="1"/>
  <c r="V49" i="6"/>
  <c r="W49" i="6" a="1"/>
  <c r="W49" i="6" s="1"/>
  <c r="X49" i="6" a="1"/>
  <c r="X49" i="6" s="1"/>
  <c r="Y49" i="6" a="1"/>
  <c r="Y49" i="6" s="1"/>
  <c r="Z49" i="6" a="1"/>
  <c r="Z49" i="6"/>
  <c r="AA49" i="6" a="1"/>
  <c r="AA49" i="6" s="1"/>
  <c r="AB49" i="6" a="1"/>
  <c r="AB49" i="6"/>
  <c r="AC49" i="6" a="1"/>
  <c r="AC49" i="6" s="1"/>
  <c r="AD49" i="6" a="1"/>
  <c r="AD49" i="6"/>
  <c r="AE49" i="6" a="1"/>
  <c r="AE49" i="6" s="1"/>
  <c r="AF49" i="6" a="1"/>
  <c r="AF49" i="6" s="1"/>
  <c r="AG49" i="6" a="1"/>
  <c r="AG49" i="6" s="1"/>
  <c r="AH49" i="6" a="1"/>
  <c r="AH49" i="6"/>
  <c r="AI49" i="6" a="1"/>
  <c r="AI49" i="6" s="1"/>
  <c r="AJ49" i="6" a="1"/>
  <c r="AJ49" i="6"/>
  <c r="AK49" i="6" a="1"/>
  <c r="AK49" i="6" s="1"/>
  <c r="AL49" i="6" a="1"/>
  <c r="AL49" i="6"/>
  <c r="AM49" i="6" a="1"/>
  <c r="AM49" i="6" s="1"/>
  <c r="AN49" i="6" a="1"/>
  <c r="AN49" i="6" s="1"/>
  <c r="AO49" i="6" a="1"/>
  <c r="AO49" i="6" s="1"/>
  <c r="AP49" i="6" a="1"/>
  <c r="AP49" i="6" s="1"/>
  <c r="AQ49" i="6" a="1"/>
  <c r="AQ49" i="6" s="1"/>
  <c r="AR49" i="6" a="1"/>
  <c r="AR49" i="6" s="1"/>
  <c r="AS49" i="6" a="1"/>
  <c r="AS49" i="6" s="1"/>
  <c r="AT49" i="6" a="1"/>
  <c r="AT49" i="6"/>
  <c r="AU49" i="6" a="1"/>
  <c r="AU49" i="6" s="1"/>
  <c r="AV49" i="6" a="1"/>
  <c r="AV49" i="6" s="1"/>
  <c r="AW49" i="6" a="1"/>
  <c r="AW49" i="6" s="1"/>
  <c r="AX49" i="6" a="1"/>
  <c r="AX49" i="6" s="1"/>
  <c r="AY49" i="6" a="1"/>
  <c r="AY49" i="6" s="1"/>
  <c r="AZ49" i="6" a="1"/>
  <c r="AZ49" i="6"/>
  <c r="BA49" i="6" a="1"/>
  <c r="BA49" i="6" s="1"/>
  <c r="BB49" i="6" a="1"/>
  <c r="BB49" i="6" s="1"/>
  <c r="BC49" i="6" a="1"/>
  <c r="BC49" i="6" s="1"/>
  <c r="BD49" i="6" a="1"/>
  <c r="BD49" i="6" s="1"/>
  <c r="BE49" i="6" a="1"/>
  <c r="BE49" i="6" s="1"/>
  <c r="BF49" i="6" a="1"/>
  <c r="BF49" i="6"/>
  <c r="BG49" i="6" a="1"/>
  <c r="BG49" i="6" s="1"/>
  <c r="BH49" i="6" a="1"/>
  <c r="BH49" i="6"/>
  <c r="BI49" i="6" a="1"/>
  <c r="BI49" i="6" s="1"/>
  <c r="BJ49" i="6" a="1"/>
  <c r="BJ49" i="6" s="1"/>
  <c r="BK49" i="6" a="1"/>
  <c r="BK49" i="6" s="1"/>
  <c r="BL49" i="6" a="1"/>
  <c r="BL49" i="6" s="1"/>
  <c r="BM49" i="6" a="1"/>
  <c r="BM49" i="6" s="1"/>
  <c r="BN49" i="6" a="1"/>
  <c r="BN49" i="6" s="1"/>
  <c r="BO49" i="6" a="1"/>
  <c r="BO49" i="6" s="1"/>
  <c r="BP49" i="6" a="1"/>
  <c r="BP49" i="6" s="1"/>
  <c r="BQ49" i="6" a="1"/>
  <c r="BQ49" i="6" s="1"/>
  <c r="BR49" i="6" a="1"/>
  <c r="BR49" i="6"/>
  <c r="BS49" i="6" a="1"/>
  <c r="BS49" i="6" s="1"/>
  <c r="BT49" i="6" a="1"/>
  <c r="BT49" i="6" s="1"/>
  <c r="BU49" i="6" a="1"/>
  <c r="BU49" i="6" s="1"/>
  <c r="BV49" i="6" a="1"/>
  <c r="BV49" i="6"/>
  <c r="BW49" i="6" a="1"/>
  <c r="BW49" i="6" s="1"/>
  <c r="BX49" i="6" a="1"/>
  <c r="BX49" i="6"/>
  <c r="BY49" i="6" a="1"/>
  <c r="BY49" i="6" s="1"/>
  <c r="BZ49" i="6" a="1"/>
  <c r="BZ49" i="6" s="1"/>
  <c r="CA49" i="6" a="1"/>
  <c r="CA49" i="6" s="1"/>
  <c r="CB49" i="6" a="1"/>
  <c r="CB49" i="6" s="1"/>
  <c r="CC49" i="6" a="1"/>
  <c r="CC49" i="6" s="1"/>
  <c r="CD49" i="6" a="1"/>
  <c r="CD49" i="6"/>
  <c r="CE49" i="6" a="1"/>
  <c r="CE49" i="6" s="1"/>
  <c r="CF49" i="6" a="1"/>
  <c r="CF49" i="6" s="1"/>
  <c r="CG49" i="6" a="1"/>
  <c r="CG49" i="6" s="1"/>
  <c r="CH49" i="6" a="1"/>
  <c r="CH49" i="6"/>
  <c r="CI49" i="6" a="1"/>
  <c r="CI49" i="6" s="1"/>
  <c r="CJ49" i="6" a="1"/>
  <c r="CJ49" i="6"/>
  <c r="CK49" i="6" a="1"/>
  <c r="CK49" i="6" s="1"/>
  <c r="CL49" i="6" a="1"/>
  <c r="CL49" i="6" s="1"/>
  <c r="CM49" i="6" a="1"/>
  <c r="CM49" i="6" s="1"/>
  <c r="CN49" i="6" a="1"/>
  <c r="CN49" i="6" s="1"/>
  <c r="CO49" i="6" a="1"/>
  <c r="CO49" i="6" s="1"/>
  <c r="CP49" i="6" a="1"/>
  <c r="CP49" i="6" s="1"/>
  <c r="CQ49" i="6" a="1"/>
  <c r="CQ49" i="6" s="1"/>
  <c r="CR49" i="6" a="1"/>
  <c r="CR49" i="6" s="1"/>
  <c r="CS49" i="6" a="1"/>
  <c r="CS49" i="6" s="1"/>
  <c r="CT49" i="6" a="1"/>
  <c r="CT49" i="6" s="1"/>
  <c r="CU49" i="6" a="1"/>
  <c r="CU49" i="6" s="1"/>
  <c r="CV49" i="6" a="1"/>
  <c r="CV49" i="6" s="1"/>
  <c r="CW49" i="6" a="1"/>
  <c r="CW49" i="6" s="1"/>
  <c r="CX49" i="6" a="1"/>
  <c r="CX49" i="6"/>
  <c r="CY49" i="6" a="1"/>
  <c r="CY49" i="6" s="1"/>
  <c r="CZ49" i="6" a="1"/>
  <c r="CZ49" i="6" s="1"/>
  <c r="DA49" i="6" a="1"/>
  <c r="DA49" i="6" s="1"/>
  <c r="DB49" i="6" a="1"/>
  <c r="DB49" i="6" s="1"/>
  <c r="DC49" i="6" a="1"/>
  <c r="DC49" i="6" s="1"/>
  <c r="DD49" i="6" a="1"/>
  <c r="DD49" i="6"/>
  <c r="DE49" i="6" a="1"/>
  <c r="DE49" i="6" s="1"/>
  <c r="DF49" i="6" a="1"/>
  <c r="DF49" i="6" s="1"/>
  <c r="DG49" i="6" a="1"/>
  <c r="DG49" i="6" s="1"/>
  <c r="DH49" i="6" a="1"/>
  <c r="DH49" i="6" s="1"/>
  <c r="DI49" i="6" a="1"/>
  <c r="DI49" i="6" s="1"/>
  <c r="DJ49" i="6" a="1"/>
  <c r="DJ49" i="6"/>
  <c r="DK49" i="6" a="1"/>
  <c r="DK49" i="6" s="1"/>
  <c r="DL49" i="6" a="1"/>
  <c r="DL49" i="6" s="1"/>
  <c r="DM49" i="6" a="1"/>
  <c r="DM49" i="6" s="1"/>
  <c r="DN49" i="6" a="1"/>
  <c r="DN49" i="6" s="1"/>
  <c r="DO49" i="6" a="1"/>
  <c r="DO49" i="6" s="1"/>
  <c r="DP49" i="6" a="1"/>
  <c r="DP49" i="6" s="1"/>
  <c r="DQ49" i="6" a="1"/>
  <c r="DQ49" i="6" s="1"/>
  <c r="DR49" i="6" a="1"/>
  <c r="DR49" i="6"/>
  <c r="DS49" i="6" a="1"/>
  <c r="DS49" i="6" s="1"/>
  <c r="DT49" i="6" a="1"/>
  <c r="DT49" i="6" s="1"/>
  <c r="DU49" i="6" a="1"/>
  <c r="DU49" i="6" s="1"/>
  <c r="DV49" i="6" a="1"/>
  <c r="DV49" i="6" s="1"/>
  <c r="DW49" i="6" a="1"/>
  <c r="DW49" i="6" s="1"/>
  <c r="DX49" i="6" a="1"/>
  <c r="DX49" i="6" s="1"/>
  <c r="DY49" i="6" a="1"/>
  <c r="DY49" i="6" s="1"/>
  <c r="DZ49" i="6" a="1"/>
  <c r="DZ49" i="6" s="1"/>
  <c r="EA49" i="6" a="1"/>
  <c r="EA49" i="6" s="1"/>
  <c r="EB49" i="6" a="1"/>
  <c r="EB49" i="6" s="1"/>
  <c r="EC49" i="6" a="1"/>
  <c r="EC49" i="6" s="1"/>
  <c r="ED49" i="6" a="1"/>
  <c r="ED49" i="6" s="1"/>
  <c r="EE49" i="6" a="1"/>
  <c r="EE49" i="6" s="1"/>
  <c r="E50" i="6" a="1"/>
  <c r="E50" i="6" s="1"/>
  <c r="F50" i="6" a="1"/>
  <c r="F50" i="6" s="1"/>
  <c r="G50" i="6" a="1"/>
  <c r="G50" i="6"/>
  <c r="H50" i="6" a="1"/>
  <c r="H50" i="6" s="1"/>
  <c r="I50" i="6" a="1"/>
  <c r="I50" i="6"/>
  <c r="J50" i="6" a="1"/>
  <c r="J50" i="6" s="1"/>
  <c r="K50" i="6" a="1"/>
  <c r="K50" i="6" s="1"/>
  <c r="L50" i="6" a="1"/>
  <c r="L50" i="6" s="1"/>
  <c r="M50" i="6" a="1"/>
  <c r="M50" i="6" s="1"/>
  <c r="N50" i="6" a="1"/>
  <c r="N50" i="6" s="1"/>
  <c r="O50" i="6" a="1"/>
  <c r="O50" i="6"/>
  <c r="P50" i="6" a="1"/>
  <c r="P50" i="6" s="1"/>
  <c r="Q50" i="6" a="1"/>
  <c r="Q50" i="6" s="1"/>
  <c r="R50" i="6" a="1"/>
  <c r="R50" i="6" s="1"/>
  <c r="S50" i="6" a="1"/>
  <c r="S50" i="6" s="1"/>
  <c r="T50" i="6" a="1"/>
  <c r="T50" i="6" s="1"/>
  <c r="U50" i="6" a="1"/>
  <c r="U50" i="6" s="1"/>
  <c r="V50" i="6" a="1"/>
  <c r="V50" i="6" s="1"/>
  <c r="W50" i="6" a="1"/>
  <c r="W50" i="6" s="1"/>
  <c r="X50" i="6" a="1"/>
  <c r="X50" i="6" s="1"/>
  <c r="Y50" i="6" a="1"/>
  <c r="Y50" i="6"/>
  <c r="Z50" i="6" a="1"/>
  <c r="Z50" i="6" s="1"/>
  <c r="AA50" i="6" a="1"/>
  <c r="AA50" i="6"/>
  <c r="AB50" i="6" a="1"/>
  <c r="AB50" i="6" s="1"/>
  <c r="AC50" i="6" a="1"/>
  <c r="AC50" i="6" s="1"/>
  <c r="AD50" i="6" a="1"/>
  <c r="AD50" i="6" s="1"/>
  <c r="AE50" i="6" a="1"/>
  <c r="AE50" i="6"/>
  <c r="AF50" i="6" a="1"/>
  <c r="AF50" i="6" s="1"/>
  <c r="AG50" i="6" a="1"/>
  <c r="AG50" i="6"/>
  <c r="AH50" i="6" a="1"/>
  <c r="AH50" i="6" s="1"/>
  <c r="AI50" i="6" a="1"/>
  <c r="AI50" i="6" s="1"/>
  <c r="AJ50" i="6" a="1"/>
  <c r="AJ50" i="6" s="1"/>
  <c r="AK50" i="6" a="1"/>
  <c r="AK50" i="6" s="1"/>
  <c r="AL50" i="6" a="1"/>
  <c r="AL50" i="6" s="1"/>
  <c r="AM50" i="6" a="1"/>
  <c r="AM50" i="6" s="1"/>
  <c r="AN50" i="6" a="1"/>
  <c r="AN50" i="6" s="1"/>
  <c r="AO50" i="6" a="1"/>
  <c r="AO50" i="6"/>
  <c r="AP50" i="6" a="1"/>
  <c r="AP50" i="6" s="1"/>
  <c r="AQ50" i="6" a="1"/>
  <c r="AQ50" i="6"/>
  <c r="AR50" i="6" a="1"/>
  <c r="AR50" i="6" s="1"/>
  <c r="AS50" i="6" a="1"/>
  <c r="AS50" i="6" s="1"/>
  <c r="AT50" i="6" a="1"/>
  <c r="AT50" i="6" s="1"/>
  <c r="AU50" i="6" a="1"/>
  <c r="AU50" i="6"/>
  <c r="AV50" i="6" a="1"/>
  <c r="AV50" i="6" s="1"/>
  <c r="AW50" i="6" a="1"/>
  <c r="AW50" i="6"/>
  <c r="AX50" i="6" a="1"/>
  <c r="AX50" i="6" s="1"/>
  <c r="AY50" i="6" a="1"/>
  <c r="AY50" i="6" s="1"/>
  <c r="AZ50" i="6" a="1"/>
  <c r="AZ50" i="6" s="1"/>
  <c r="BA50" i="6" a="1"/>
  <c r="BA50" i="6" s="1"/>
  <c r="BB50" i="6" a="1"/>
  <c r="BB50" i="6" s="1"/>
  <c r="BC50" i="6" a="1"/>
  <c r="BC50" i="6" s="1"/>
  <c r="BD50" i="6" a="1"/>
  <c r="BD50" i="6" s="1"/>
  <c r="BE50" i="6" a="1"/>
  <c r="BE50" i="6" s="1"/>
  <c r="BF50" i="6" a="1"/>
  <c r="BF50" i="6" s="1"/>
  <c r="BG50" i="6" a="1"/>
  <c r="BG50" i="6"/>
  <c r="BH50" i="6" a="1"/>
  <c r="BH50" i="6" s="1"/>
  <c r="BI50" i="6" a="1"/>
  <c r="BI50" i="6" s="1"/>
  <c r="BJ50" i="6" a="1"/>
  <c r="BJ50" i="6" s="1"/>
  <c r="BK50" i="6" a="1"/>
  <c r="BK50" i="6" s="1"/>
  <c r="BL50" i="6" a="1"/>
  <c r="BL50" i="6" s="1"/>
  <c r="BM50" i="6" a="1"/>
  <c r="BM50" i="6"/>
  <c r="BN50" i="6" a="1"/>
  <c r="BN50" i="6" s="1"/>
  <c r="BO50" i="6" a="1"/>
  <c r="BO50" i="6" s="1"/>
  <c r="BP50" i="6" a="1"/>
  <c r="BP50" i="6"/>
  <c r="BQ50" i="6" a="1"/>
  <c r="BQ50" i="6" s="1"/>
  <c r="BR50" i="6" a="1"/>
  <c r="BR50" i="6" s="1"/>
  <c r="BS50" i="6" a="1"/>
  <c r="BS50" i="6" s="1"/>
  <c r="BT50" i="6" a="1"/>
  <c r="BT50" i="6" s="1"/>
  <c r="BU50" i="6" a="1"/>
  <c r="BU50" i="6" s="1"/>
  <c r="BV50" i="6" a="1"/>
  <c r="BV50" i="6" s="1"/>
  <c r="BW50" i="6" a="1"/>
  <c r="BW50" i="6" s="1"/>
  <c r="BX50" i="6" a="1"/>
  <c r="BX50" i="6" s="1"/>
  <c r="BY50" i="6" a="1"/>
  <c r="BY50" i="6"/>
  <c r="BZ50" i="6" a="1"/>
  <c r="BZ50" i="6" s="1"/>
  <c r="CA50" i="6" a="1"/>
  <c r="CA50" i="6"/>
  <c r="CB50" i="6" a="1"/>
  <c r="CB50" i="6" s="1"/>
  <c r="CC50" i="6" a="1"/>
  <c r="CC50" i="6"/>
  <c r="CD50" i="6" a="1"/>
  <c r="CD50" i="6" s="1"/>
  <c r="CE50" i="6" a="1"/>
  <c r="CE50" i="6" s="1"/>
  <c r="CF50" i="6" a="1"/>
  <c r="CF50" i="6" s="1"/>
  <c r="CG50" i="6" a="1"/>
  <c r="CG50" i="6" s="1"/>
  <c r="CH50" i="6" a="1"/>
  <c r="CH50" i="6" s="1"/>
  <c r="CI50" i="6" a="1"/>
  <c r="CI50" i="6" s="1"/>
  <c r="CJ50" i="6" a="1"/>
  <c r="CJ50" i="6"/>
  <c r="CK50" i="6" a="1"/>
  <c r="CK50" i="6" s="1"/>
  <c r="CL50" i="6" a="1"/>
  <c r="CL50" i="6" s="1"/>
  <c r="CM50" i="6" a="1"/>
  <c r="CM50" i="6"/>
  <c r="CN50" i="6" a="1"/>
  <c r="CN50" i="6" s="1"/>
  <c r="CO50" i="6" a="1"/>
  <c r="CO50" i="6" s="1"/>
  <c r="CP50" i="6" a="1"/>
  <c r="CP50" i="6" s="1"/>
  <c r="CQ50" i="6" a="1"/>
  <c r="CQ50" i="6"/>
  <c r="CR50" i="6" a="1"/>
  <c r="CR50" i="6" s="1"/>
  <c r="CS50" i="6" a="1"/>
  <c r="CS50" i="6"/>
  <c r="CT50" i="6" a="1"/>
  <c r="CT50" i="6" s="1"/>
  <c r="CU50" i="6" a="1"/>
  <c r="CU50" i="6" s="1"/>
  <c r="CV50" i="6" a="1"/>
  <c r="CV50" i="6"/>
  <c r="CW50" i="6" a="1"/>
  <c r="CW50" i="6" s="1"/>
  <c r="CX50" i="6" a="1"/>
  <c r="CX50" i="6" s="1"/>
  <c r="CY50" i="6" a="1"/>
  <c r="CY50" i="6" s="1"/>
  <c r="CZ50" i="6" a="1"/>
  <c r="CZ50" i="6"/>
  <c r="DA50" i="6" a="1"/>
  <c r="DA50" i="6" s="1"/>
  <c r="DB50" i="6" a="1"/>
  <c r="DB50" i="6" s="1"/>
  <c r="DC50" i="6" a="1"/>
  <c r="DC50" i="6" s="1"/>
  <c r="DD50" i="6" a="1"/>
  <c r="DD50" i="6" s="1"/>
  <c r="DE50" i="6" a="1"/>
  <c r="DE50" i="6" s="1"/>
  <c r="DF50" i="6" a="1"/>
  <c r="DF50" i="6" s="1"/>
  <c r="DG50" i="6" a="1"/>
  <c r="DG50" i="6" s="1"/>
  <c r="DH50" i="6" a="1"/>
  <c r="DH50" i="6" s="1"/>
  <c r="DI50" i="6" a="1"/>
  <c r="DI50" i="6"/>
  <c r="DJ50" i="6" a="1"/>
  <c r="DJ50" i="6" s="1"/>
  <c r="DK50" i="6" a="1"/>
  <c r="DK50" i="6" s="1"/>
  <c r="DL50" i="6" a="1"/>
  <c r="DL50" i="6" s="1"/>
  <c r="DM50" i="6" a="1"/>
  <c r="DM50" i="6" s="1"/>
  <c r="DN50" i="6" a="1"/>
  <c r="DN50" i="6" s="1"/>
  <c r="DO50" i="6" a="1"/>
  <c r="DO50" i="6" s="1"/>
  <c r="DP50" i="6" a="1"/>
  <c r="DP50" i="6"/>
  <c r="DQ50" i="6" a="1"/>
  <c r="DQ50" i="6" s="1"/>
  <c r="DR50" i="6" a="1"/>
  <c r="DR50" i="6" s="1"/>
  <c r="DS50" i="6" a="1"/>
  <c r="DS50" i="6"/>
  <c r="DT50" i="6" a="1"/>
  <c r="DT50" i="6" s="1"/>
  <c r="DU50" i="6" a="1"/>
  <c r="DU50" i="6" s="1"/>
  <c r="DV50" i="6" a="1"/>
  <c r="DV50" i="6" s="1"/>
  <c r="DW50" i="6" a="1"/>
  <c r="DW50" i="6" s="1"/>
  <c r="DX50" i="6" a="1"/>
  <c r="DX50" i="6" s="1"/>
  <c r="DY50" i="6" a="1"/>
  <c r="DY50" i="6"/>
  <c r="DZ50" i="6" a="1"/>
  <c r="DZ50" i="6" s="1"/>
  <c r="EA50" i="6" a="1"/>
  <c r="EA50" i="6" s="1"/>
  <c r="EB50" i="6" a="1"/>
  <c r="EB50" i="6"/>
  <c r="EC50" i="6" a="1"/>
  <c r="EC50" i="6" s="1"/>
  <c r="ED50" i="6" a="1"/>
  <c r="ED50" i="6" s="1"/>
  <c r="EE50" i="6" a="1"/>
  <c r="EE50" i="6" s="1"/>
  <c r="E51" i="6" a="1"/>
  <c r="E51" i="6" s="1"/>
  <c r="F51" i="6" a="1"/>
  <c r="F51" i="6" s="1"/>
  <c r="G51" i="6" a="1"/>
  <c r="G51" i="6" s="1"/>
  <c r="H51" i="6" a="1"/>
  <c r="H51" i="6" s="1"/>
  <c r="I51" i="6" a="1"/>
  <c r="I51" i="6" s="1"/>
  <c r="J51" i="6" a="1"/>
  <c r="J51" i="6"/>
  <c r="K51" i="6" a="1"/>
  <c r="K51" i="6" s="1"/>
  <c r="L51" i="6" a="1"/>
  <c r="L51" i="6"/>
  <c r="M51" i="6" a="1"/>
  <c r="M51" i="6" s="1"/>
  <c r="N51" i="6" a="1"/>
  <c r="N51" i="6" s="1"/>
  <c r="O51" i="6" a="1"/>
  <c r="O51" i="6" s="1"/>
  <c r="P51" i="6" a="1"/>
  <c r="P51" i="6" s="1"/>
  <c r="Q51" i="6" a="1"/>
  <c r="Q51" i="6" s="1"/>
  <c r="R51" i="6" a="1"/>
  <c r="R51" i="6" s="1"/>
  <c r="S51" i="6" a="1"/>
  <c r="S51" i="6" s="1"/>
  <c r="T51" i="6" a="1"/>
  <c r="T51" i="6" s="1"/>
  <c r="U51" i="6" a="1"/>
  <c r="U51" i="6" s="1"/>
  <c r="V51" i="6" a="1"/>
  <c r="V51" i="6" s="1"/>
  <c r="W51" i="6" a="1"/>
  <c r="W51" i="6" s="1"/>
  <c r="X51" i="6" a="1"/>
  <c r="X51" i="6" s="1"/>
  <c r="Y51" i="6" a="1"/>
  <c r="Y51" i="6" s="1"/>
  <c r="Z51" i="6" a="1"/>
  <c r="Z51" i="6" s="1"/>
  <c r="AA51" i="6" a="1"/>
  <c r="AA51" i="6" s="1"/>
  <c r="AB51" i="6" a="1"/>
  <c r="AB51" i="6" s="1"/>
  <c r="AC51" i="6" a="1"/>
  <c r="AC51" i="6" s="1"/>
  <c r="AD51" i="6" a="1"/>
  <c r="AD51" i="6" s="1"/>
  <c r="AE51" i="6" a="1"/>
  <c r="AE51" i="6" s="1"/>
  <c r="AF51" i="6" a="1"/>
  <c r="AF51" i="6" s="1"/>
  <c r="AG51" i="6" a="1"/>
  <c r="AG51" i="6" s="1"/>
  <c r="AH51" i="6" a="1"/>
  <c r="AH51" i="6" s="1"/>
  <c r="AI51" i="6" a="1"/>
  <c r="AI51" i="6" s="1"/>
  <c r="AJ51" i="6" a="1"/>
  <c r="AJ51" i="6" s="1"/>
  <c r="AK51" i="6" a="1"/>
  <c r="AK51" i="6"/>
  <c r="AL51" i="6" a="1"/>
  <c r="AL51" i="6" s="1"/>
  <c r="AM51" i="6" a="1"/>
  <c r="AM51" i="6" s="1"/>
  <c r="AN51" i="6" a="1"/>
  <c r="AN51" i="6" s="1"/>
  <c r="AO51" i="6" a="1"/>
  <c r="AO51" i="6" s="1"/>
  <c r="AP51" i="6" a="1"/>
  <c r="AP51" i="6"/>
  <c r="AQ51" i="6" a="1"/>
  <c r="AQ51" i="6" s="1"/>
  <c r="AR51" i="6" a="1"/>
  <c r="AR51" i="6"/>
  <c r="AS51" i="6" a="1"/>
  <c r="AS51" i="6" s="1"/>
  <c r="AT51" i="6" a="1"/>
  <c r="AT51" i="6" s="1"/>
  <c r="AU51" i="6" a="1"/>
  <c r="AU51" i="6" s="1"/>
  <c r="AV51" i="6" a="1"/>
  <c r="AV51" i="6" s="1"/>
  <c r="AW51" i="6" a="1"/>
  <c r="AW51" i="6" s="1"/>
  <c r="AX51" i="6" a="1"/>
  <c r="AX51" i="6" s="1"/>
  <c r="AY51" i="6" a="1"/>
  <c r="AY51" i="6" s="1"/>
  <c r="AZ51" i="6" a="1"/>
  <c r="AZ51" i="6" s="1"/>
  <c r="BA51" i="6" a="1"/>
  <c r="BA51" i="6" s="1"/>
  <c r="BB51" i="6" a="1"/>
  <c r="BB51" i="6" s="1"/>
  <c r="BC51" i="6" a="1"/>
  <c r="BC51" i="6" s="1"/>
  <c r="BD51" i="6" a="1"/>
  <c r="BD51" i="6"/>
  <c r="BE51" i="6" a="1"/>
  <c r="BE51" i="6" s="1"/>
  <c r="BF51" i="6" a="1"/>
  <c r="BF51" i="6" s="1"/>
  <c r="BG51" i="6" a="1"/>
  <c r="BG51" i="6" s="1"/>
  <c r="BH51" i="6" a="1"/>
  <c r="BH51" i="6"/>
  <c r="BI51" i="6" a="1"/>
  <c r="BI51" i="6" s="1"/>
  <c r="BJ51" i="6" a="1"/>
  <c r="BJ51" i="6"/>
  <c r="BK51" i="6" a="1"/>
  <c r="BK51" i="6" s="1"/>
  <c r="BL51" i="6" a="1"/>
  <c r="BL51" i="6" s="1"/>
  <c r="BM51" i="6" a="1"/>
  <c r="BM51" i="6" s="1"/>
  <c r="BN51" i="6" a="1"/>
  <c r="BN51" i="6" s="1"/>
  <c r="BO51" i="6" a="1"/>
  <c r="BO51" i="6" s="1"/>
  <c r="BP51" i="6" a="1"/>
  <c r="BP51" i="6" s="1"/>
  <c r="BQ51" i="6" a="1"/>
  <c r="BQ51" i="6"/>
  <c r="BR51" i="6" a="1"/>
  <c r="BR51" i="6" s="1"/>
  <c r="BS51" i="6" a="1"/>
  <c r="BS51" i="6" s="1"/>
  <c r="BT51" i="6" a="1"/>
  <c r="BT51" i="6" s="1"/>
  <c r="BU51" i="6" a="1"/>
  <c r="BU51" i="6" s="1"/>
  <c r="BV51" i="6" a="1"/>
  <c r="BV51" i="6" s="1"/>
  <c r="BW51" i="6" a="1"/>
  <c r="BW51" i="6" s="1"/>
  <c r="BX51" i="6" a="1"/>
  <c r="BX51" i="6"/>
  <c r="BY51" i="6" a="1"/>
  <c r="BY51" i="6" s="1"/>
  <c r="BZ51" i="6" a="1"/>
  <c r="BZ51" i="6"/>
  <c r="CA51" i="6" a="1"/>
  <c r="CA51" i="6" s="1"/>
  <c r="CB51" i="6" a="1"/>
  <c r="CB51" i="6" s="1"/>
  <c r="CC51" i="6" a="1"/>
  <c r="CC51" i="6" s="1"/>
  <c r="CD51" i="6" a="1"/>
  <c r="CD51" i="6" s="1"/>
  <c r="CE51" i="6" a="1"/>
  <c r="CE51" i="6" s="1"/>
  <c r="CF51" i="6" a="1"/>
  <c r="CF51" i="6" s="1"/>
  <c r="CG51" i="6" a="1"/>
  <c r="CG51" i="6"/>
  <c r="CH51" i="6" a="1"/>
  <c r="CH51" i="6" s="1"/>
  <c r="CI51" i="6" a="1"/>
  <c r="CI51" i="6" s="1"/>
  <c r="CJ51" i="6" a="1"/>
  <c r="CJ51" i="6"/>
  <c r="CK51" i="6" a="1"/>
  <c r="CK51" i="6" s="1"/>
  <c r="CL51" i="6" a="1"/>
  <c r="CL51" i="6" s="1"/>
  <c r="CM51" i="6" a="1"/>
  <c r="CM51" i="6" s="1"/>
  <c r="CN51" i="6" a="1"/>
  <c r="CN51" i="6"/>
  <c r="CO51" i="6" a="1"/>
  <c r="CO51" i="6" s="1"/>
  <c r="CP51" i="6" a="1"/>
  <c r="CP51" i="6"/>
  <c r="CQ51" i="6" a="1"/>
  <c r="CQ51" i="6" s="1"/>
  <c r="CR51" i="6" a="1"/>
  <c r="CR51" i="6" s="1"/>
  <c r="CS51" i="6" a="1"/>
  <c r="CS51" i="6"/>
  <c r="CT51" i="6" a="1"/>
  <c r="CT51" i="6" s="1"/>
  <c r="CU51" i="6" a="1"/>
  <c r="CU51" i="6" s="1"/>
  <c r="CV51" i="6" a="1"/>
  <c r="CV51" i="6" s="1"/>
  <c r="CW51" i="6" a="1"/>
  <c r="CW51" i="6"/>
  <c r="CX51" i="6" a="1"/>
  <c r="CX51" i="6" s="1"/>
  <c r="CY51" i="6" a="1"/>
  <c r="CY51" i="6" s="1"/>
  <c r="CZ51" i="6" a="1"/>
  <c r="CZ51" i="6" s="1"/>
  <c r="DA51" i="6" a="1"/>
  <c r="DA51" i="6" s="1"/>
  <c r="DB51" i="6" a="1"/>
  <c r="DB51" i="6"/>
  <c r="DC51" i="6" a="1"/>
  <c r="DC51" i="6" s="1"/>
  <c r="DD51" i="6" a="1"/>
  <c r="DD51" i="6" s="1"/>
  <c r="DE51" i="6" a="1"/>
  <c r="DE51" i="6" s="1"/>
  <c r="DF51" i="6" a="1"/>
  <c r="DF51" i="6" s="1"/>
  <c r="DG51" i="6" a="1"/>
  <c r="DG51" i="6" s="1"/>
  <c r="DH51" i="6" a="1"/>
  <c r="DH51" i="6" s="1"/>
  <c r="DI51" i="6" a="1"/>
  <c r="DI51" i="6" s="1"/>
  <c r="DJ51" i="6" a="1"/>
  <c r="DJ51" i="6" s="1"/>
  <c r="DK51" i="6" a="1"/>
  <c r="DK51" i="6" s="1"/>
  <c r="DL51" i="6" a="1"/>
  <c r="DL51" i="6" s="1"/>
  <c r="DM51" i="6" a="1"/>
  <c r="DM51" i="6"/>
  <c r="DN51" i="6" a="1"/>
  <c r="DN51" i="6" s="1"/>
  <c r="DO51" i="6" a="1"/>
  <c r="DO51" i="6" s="1"/>
  <c r="DP51" i="6" a="1"/>
  <c r="DP51" i="6"/>
  <c r="DQ51" i="6" a="1"/>
  <c r="DQ51" i="6" s="1"/>
  <c r="DR51" i="6" a="1"/>
  <c r="DR51" i="6" s="1"/>
  <c r="DS51" i="6" a="1"/>
  <c r="DS51" i="6" s="1"/>
  <c r="DT51" i="6" a="1"/>
  <c r="DT51" i="6" s="1"/>
  <c r="DU51" i="6" a="1"/>
  <c r="DU51" i="6" s="1"/>
  <c r="DV51" i="6" a="1"/>
  <c r="DV51" i="6"/>
  <c r="DW51" i="6" a="1"/>
  <c r="DW51" i="6" s="1"/>
  <c r="DX51" i="6" a="1"/>
  <c r="DX51" i="6" s="1"/>
  <c r="DY51" i="6" a="1"/>
  <c r="DY51" i="6" s="1"/>
  <c r="DZ51" i="6" a="1"/>
  <c r="DZ51" i="6" s="1"/>
  <c r="EA51" i="6" a="1"/>
  <c r="EA51" i="6" s="1"/>
  <c r="EB51" i="6" a="1"/>
  <c r="EB51" i="6" s="1"/>
  <c r="EC51" i="6" a="1"/>
  <c r="EC51" i="6" s="1"/>
  <c r="ED51" i="6" a="1"/>
  <c r="ED51" i="6" s="1"/>
  <c r="EE51" i="6" a="1"/>
  <c r="EE51" i="6" s="1"/>
  <c r="E52" i="6" a="1"/>
  <c r="E52" i="6" s="1"/>
  <c r="F52" i="6" a="1"/>
  <c r="F52" i="6" s="1"/>
  <c r="G52" i="6" a="1"/>
  <c r="G52" i="6"/>
  <c r="H52" i="6" a="1"/>
  <c r="H52" i="6" s="1"/>
  <c r="I52" i="6" a="1"/>
  <c r="I52" i="6"/>
  <c r="J52" i="6" a="1"/>
  <c r="J52" i="6" s="1"/>
  <c r="K52" i="6" a="1"/>
  <c r="K52" i="6" s="1"/>
  <c r="L52" i="6" a="1"/>
  <c r="L52" i="6" s="1"/>
  <c r="M52" i="6" a="1"/>
  <c r="M52" i="6" s="1"/>
  <c r="N52" i="6" a="1"/>
  <c r="N52" i="6" s="1"/>
  <c r="O52" i="6" a="1"/>
  <c r="O52" i="6" s="1"/>
  <c r="P52" i="6" a="1"/>
  <c r="P52" i="6" s="1"/>
  <c r="Q52" i="6" a="1"/>
  <c r="Q52" i="6" s="1"/>
  <c r="R52" i="6" a="1"/>
  <c r="R52" i="6" s="1"/>
  <c r="S52" i="6" a="1"/>
  <c r="S52" i="6" s="1"/>
  <c r="T52" i="6" a="1"/>
  <c r="T52" i="6" s="1"/>
  <c r="U52" i="6" a="1"/>
  <c r="U52" i="6" s="1"/>
  <c r="V52" i="6" a="1"/>
  <c r="V52" i="6" s="1"/>
  <c r="W52" i="6" a="1"/>
  <c r="W52" i="6" s="1"/>
  <c r="X52" i="6" a="1"/>
  <c r="X52" i="6" s="1"/>
  <c r="Y52" i="6" a="1"/>
  <c r="Y52" i="6" s="1"/>
  <c r="Z52" i="6" a="1"/>
  <c r="Z52" i="6" s="1"/>
  <c r="AA52" i="6" a="1"/>
  <c r="AA52" i="6"/>
  <c r="AB52" i="6" a="1"/>
  <c r="AB52" i="6" s="1"/>
  <c r="AC52" i="6" a="1"/>
  <c r="AC52" i="6" s="1"/>
  <c r="AD52" i="6" a="1"/>
  <c r="AD52" i="6"/>
  <c r="AE52" i="6" a="1"/>
  <c r="AE52" i="6" s="1"/>
  <c r="AF52" i="6" a="1"/>
  <c r="AF52" i="6" s="1"/>
  <c r="AG52" i="6" a="1"/>
  <c r="AG52" i="6" s="1"/>
  <c r="AH52" i="6" a="1"/>
  <c r="AH52" i="6" s="1"/>
  <c r="AI52" i="6" a="1"/>
  <c r="AI52" i="6" s="1"/>
  <c r="AJ52" i="6" a="1"/>
  <c r="AJ52" i="6" s="1"/>
  <c r="AK52" i="6" a="1"/>
  <c r="AK52" i="6" s="1"/>
  <c r="AL52" i="6" a="1"/>
  <c r="AL52" i="6" s="1"/>
  <c r="AM52" i="6" a="1"/>
  <c r="AM52" i="6" s="1"/>
  <c r="AN52" i="6" a="1"/>
  <c r="AN52" i="6" s="1"/>
  <c r="AO52" i="6" a="1"/>
  <c r="AO52" i="6" s="1"/>
  <c r="AP52" i="6" a="1"/>
  <c r="AP52" i="6" s="1"/>
  <c r="AQ52" i="6" a="1"/>
  <c r="AQ52" i="6" s="1"/>
  <c r="AR52" i="6" a="1"/>
  <c r="AR52" i="6" s="1"/>
  <c r="AS52" i="6" a="1"/>
  <c r="AS52" i="6" s="1"/>
  <c r="AT52" i="6" a="1"/>
  <c r="AT52" i="6" s="1"/>
  <c r="AU52" i="6" a="1"/>
  <c r="AU52" i="6" s="1"/>
  <c r="AV52" i="6" a="1"/>
  <c r="AV52" i="6" s="1"/>
  <c r="AW52" i="6" a="1"/>
  <c r="AW52" i="6" s="1"/>
  <c r="AX52" i="6" a="1"/>
  <c r="AX52" i="6"/>
  <c r="AY52" i="6" a="1"/>
  <c r="AY52" i="6" s="1"/>
  <c r="AZ52" i="6" a="1"/>
  <c r="AZ52" i="6" s="1"/>
  <c r="BA52" i="6" a="1"/>
  <c r="BA52" i="6"/>
  <c r="BB52" i="6" a="1"/>
  <c r="BB52" i="6" s="1"/>
  <c r="BC52" i="6" a="1"/>
  <c r="BC52" i="6" s="1"/>
  <c r="BD52" i="6" a="1"/>
  <c r="BD52" i="6" s="1"/>
  <c r="BE52" i="6" a="1"/>
  <c r="BE52" i="6" s="1"/>
  <c r="BF52" i="6" a="1"/>
  <c r="BF52" i="6" s="1"/>
  <c r="BG52" i="6" a="1"/>
  <c r="BG52" i="6" s="1"/>
  <c r="BH52" i="6" a="1"/>
  <c r="BH52" i="6" s="1"/>
  <c r="BI52" i="6" a="1"/>
  <c r="BI52" i="6" s="1"/>
  <c r="BJ52" i="6" a="1"/>
  <c r="BJ52" i="6"/>
  <c r="BK52" i="6" a="1"/>
  <c r="BK52" i="6" s="1"/>
  <c r="BL52" i="6" a="1"/>
  <c r="BL52" i="6" s="1"/>
  <c r="BM52" i="6" a="1"/>
  <c r="BM52" i="6" s="1"/>
  <c r="BN52" i="6" a="1"/>
  <c r="BN52" i="6" s="1"/>
  <c r="BO52" i="6" a="1"/>
  <c r="BO52" i="6" s="1"/>
  <c r="BP52" i="6" a="1"/>
  <c r="BP52" i="6" s="1"/>
  <c r="BQ52" i="6" a="1"/>
  <c r="BQ52" i="6" s="1"/>
  <c r="BR52" i="6" a="1"/>
  <c r="BR52" i="6" s="1"/>
  <c r="BS52" i="6" a="1"/>
  <c r="BS52" i="6"/>
  <c r="BT52" i="6" a="1"/>
  <c r="BT52" i="6" s="1"/>
  <c r="BU52" i="6" a="1"/>
  <c r="BU52" i="6"/>
  <c r="BV52" i="6" a="1"/>
  <c r="BV52" i="6" s="1"/>
  <c r="BW52" i="6" a="1"/>
  <c r="BW52" i="6"/>
  <c r="BX52" i="6" a="1"/>
  <c r="BX52" i="6" s="1"/>
  <c r="BY52" i="6" a="1"/>
  <c r="BY52" i="6" s="1"/>
  <c r="BZ52" i="6" a="1"/>
  <c r="BZ52" i="6" s="1"/>
  <c r="CA52" i="6" a="1"/>
  <c r="CA52" i="6" s="1"/>
  <c r="CB52" i="6" a="1"/>
  <c r="CB52" i="6" s="1"/>
  <c r="CC52" i="6" a="1"/>
  <c r="CC52" i="6" s="1"/>
  <c r="CD52" i="6" a="1"/>
  <c r="CD52" i="6"/>
  <c r="CE52" i="6" a="1"/>
  <c r="CE52" i="6" s="1"/>
  <c r="CF52" i="6" a="1"/>
  <c r="CF52" i="6" s="1"/>
  <c r="CG52" i="6" a="1"/>
  <c r="CG52" i="6"/>
  <c r="CH52" i="6" a="1"/>
  <c r="CH52" i="6" s="1"/>
  <c r="CI52" i="6" a="1"/>
  <c r="CI52" i="6" s="1"/>
  <c r="CJ52" i="6" a="1"/>
  <c r="CJ52" i="6" s="1"/>
  <c r="CK52" i="6" a="1"/>
  <c r="CK52" i="6" s="1"/>
  <c r="CL52" i="6" a="1"/>
  <c r="CL52" i="6" s="1"/>
  <c r="CM52" i="6" a="1"/>
  <c r="CM52" i="6"/>
  <c r="CN52" i="6" a="1"/>
  <c r="CN52" i="6" s="1"/>
  <c r="CO52" i="6" a="1"/>
  <c r="CO52" i="6" s="1"/>
  <c r="CP52" i="6" a="1"/>
  <c r="CP52" i="6"/>
  <c r="CQ52" i="6" a="1"/>
  <c r="CQ52" i="6" s="1"/>
  <c r="CR52" i="6" a="1"/>
  <c r="CR52" i="6" s="1"/>
  <c r="CS52" i="6" a="1"/>
  <c r="CS52" i="6"/>
  <c r="CT52" i="6" a="1"/>
  <c r="CT52" i="6"/>
  <c r="CU52" i="6" a="1"/>
  <c r="CU52" i="6" s="1"/>
  <c r="CV52" i="6" a="1"/>
  <c r="CV52" i="6" s="1"/>
  <c r="CW52" i="6" a="1"/>
  <c r="CW52" i="6" s="1"/>
  <c r="CX52" i="6" a="1"/>
  <c r="CX52" i="6" s="1"/>
  <c r="CY52" i="6" a="1"/>
  <c r="CY52" i="6"/>
  <c r="CZ52" i="6" a="1"/>
  <c r="CZ52" i="6" s="1"/>
  <c r="DA52" i="6" a="1"/>
  <c r="DA52" i="6"/>
  <c r="DB52" i="6" a="1"/>
  <c r="DB52" i="6" s="1"/>
  <c r="DC52" i="6" a="1"/>
  <c r="DC52" i="6"/>
  <c r="DD52" i="6" a="1"/>
  <c r="DD52" i="6" s="1"/>
  <c r="DE52" i="6" a="1"/>
  <c r="DE52" i="6" s="1"/>
  <c r="DF52" i="6" a="1"/>
  <c r="DF52" i="6" s="1"/>
  <c r="DG52" i="6" a="1"/>
  <c r="DG52" i="6" s="1"/>
  <c r="DH52" i="6" a="1"/>
  <c r="DH52" i="6" s="1"/>
  <c r="DI52" i="6" a="1"/>
  <c r="DI52" i="6" s="1"/>
  <c r="DJ52" i="6" a="1"/>
  <c r="DJ52" i="6"/>
  <c r="DK52" i="6" a="1"/>
  <c r="DK52" i="6" s="1"/>
  <c r="DL52" i="6" a="1"/>
  <c r="DL52" i="6" s="1"/>
  <c r="DM52" i="6" a="1"/>
  <c r="DM52" i="6"/>
  <c r="DN52" i="6" a="1"/>
  <c r="DN52" i="6" s="1"/>
  <c r="DO52" i="6" a="1"/>
  <c r="DO52" i="6" s="1"/>
  <c r="DP52" i="6" a="1"/>
  <c r="DP52" i="6" s="1"/>
  <c r="DQ52" i="6" a="1"/>
  <c r="DQ52" i="6" s="1"/>
  <c r="DR52" i="6" a="1"/>
  <c r="DR52" i="6" s="1"/>
  <c r="DS52" i="6" a="1"/>
  <c r="DS52" i="6"/>
  <c r="DT52" i="6" a="1"/>
  <c r="DT52" i="6" s="1"/>
  <c r="DU52" i="6" a="1"/>
  <c r="DU52" i="6" s="1"/>
  <c r="DV52" i="6" a="1"/>
  <c r="DV52" i="6"/>
  <c r="DW52" i="6" a="1"/>
  <c r="DW52" i="6" s="1"/>
  <c r="DX52" i="6" a="1"/>
  <c r="DX52" i="6" s="1"/>
  <c r="DY52" i="6" a="1"/>
  <c r="DY52" i="6" s="1"/>
  <c r="DZ52" i="6" a="1"/>
  <c r="DZ52" i="6" s="1"/>
  <c r="EA52" i="6" a="1"/>
  <c r="EA52" i="6" s="1"/>
  <c r="EB52" i="6" a="1"/>
  <c r="EB52" i="6" s="1"/>
  <c r="EC52" i="6" a="1"/>
  <c r="EC52" i="6" s="1"/>
  <c r="ED52" i="6" a="1"/>
  <c r="ED52" i="6" s="1"/>
  <c r="EE52" i="6" a="1"/>
  <c r="EE52" i="6" s="1"/>
  <c r="E53" i="6" a="1"/>
  <c r="E53" i="6" s="1"/>
  <c r="F53" i="6" a="1"/>
  <c r="F53" i="6"/>
  <c r="G53" i="6" a="1"/>
  <c r="G53" i="6" s="1"/>
  <c r="H53" i="6" a="1"/>
  <c r="H53" i="6"/>
  <c r="I53" i="6" a="1"/>
  <c r="I53" i="6" s="1"/>
  <c r="J53" i="6" a="1"/>
  <c r="J53" i="6" s="1"/>
  <c r="K53" i="6" a="1"/>
  <c r="K53" i="6" s="1"/>
  <c r="L53" i="6" a="1"/>
  <c r="L53" i="6" s="1"/>
  <c r="M53" i="6" a="1"/>
  <c r="M53" i="6" s="1"/>
  <c r="N53" i="6" a="1"/>
  <c r="N53" i="6" s="1"/>
  <c r="O53" i="6" a="1"/>
  <c r="O53" i="6"/>
  <c r="P53" i="6" a="1"/>
  <c r="P53" i="6"/>
  <c r="Q53" i="6" a="1"/>
  <c r="Q53" i="6" s="1"/>
  <c r="R53" i="6" a="1"/>
  <c r="R53" i="6"/>
  <c r="S53" i="6" a="1"/>
  <c r="S53" i="6" s="1"/>
  <c r="T53" i="6" a="1"/>
  <c r="T53" i="6" s="1"/>
  <c r="U53" i="6" a="1"/>
  <c r="U53" i="6" s="1"/>
  <c r="V53" i="6" a="1"/>
  <c r="V53" i="6"/>
  <c r="W53" i="6" a="1"/>
  <c r="W53" i="6" s="1"/>
  <c r="X53" i="6" a="1"/>
  <c r="X53" i="6"/>
  <c r="Y53" i="6" a="1"/>
  <c r="Y53" i="6" s="1"/>
  <c r="Z53" i="6" a="1"/>
  <c r="Z53" i="6" s="1"/>
  <c r="AA53" i="6" a="1"/>
  <c r="AA53" i="6" s="1"/>
  <c r="AB53" i="6" a="1"/>
  <c r="AB53" i="6" s="1"/>
  <c r="AC53" i="6" a="1"/>
  <c r="AC53" i="6" s="1"/>
  <c r="AD53" i="6" a="1"/>
  <c r="AD53" i="6"/>
  <c r="AE53" i="6" a="1"/>
  <c r="AE53" i="6"/>
  <c r="AF53" i="6" a="1"/>
  <c r="AF53" i="6" s="1"/>
  <c r="AG53" i="6" a="1"/>
  <c r="AG53" i="6" s="1"/>
  <c r="AH53" i="6" a="1"/>
  <c r="AH53" i="6" s="1"/>
  <c r="AI53" i="6" a="1"/>
  <c r="AI53" i="6" s="1"/>
  <c r="AJ53" i="6" a="1"/>
  <c r="AJ53" i="6"/>
  <c r="AK53" i="6" a="1"/>
  <c r="AK53" i="6" s="1"/>
  <c r="AL53" i="6" a="1"/>
  <c r="AL53" i="6"/>
  <c r="AM53" i="6" a="1"/>
  <c r="AM53" i="6"/>
  <c r="AN53" i="6" a="1"/>
  <c r="AN53" i="6"/>
  <c r="AO53" i="6" a="1"/>
  <c r="AO53" i="6" s="1"/>
  <c r="AP53" i="6" a="1"/>
  <c r="AP53" i="6" s="1"/>
  <c r="AQ53" i="6" a="1"/>
  <c r="AQ53" i="6" s="1"/>
  <c r="AR53" i="6" a="1"/>
  <c r="AR53" i="6" s="1"/>
  <c r="AS53" i="6" a="1"/>
  <c r="AS53" i="6" s="1"/>
  <c r="AT53" i="6" a="1"/>
  <c r="AT53" i="6" s="1"/>
  <c r="AU53" i="6" a="1"/>
  <c r="AU53" i="6"/>
  <c r="AV53" i="6" a="1"/>
  <c r="AV53" i="6" s="1"/>
  <c r="AW53" i="6" a="1"/>
  <c r="AW53" i="6" s="1"/>
  <c r="AX53" i="6" a="1"/>
  <c r="AX53" i="6" s="1"/>
  <c r="AY53" i="6" a="1"/>
  <c r="AY53" i="6" s="1"/>
  <c r="AZ53" i="6" a="1"/>
  <c r="AZ53" i="6" s="1"/>
  <c r="BA53" i="6" a="1"/>
  <c r="BA53" i="6" s="1"/>
  <c r="BB53" i="6" a="1"/>
  <c r="BB53" i="6" s="1"/>
  <c r="BC53" i="6" a="1"/>
  <c r="BC53" i="6" s="1"/>
  <c r="BD53" i="6" a="1"/>
  <c r="BD53" i="6" s="1"/>
  <c r="BE53" i="6" a="1"/>
  <c r="BE53" i="6" s="1"/>
  <c r="BF53" i="6" a="1"/>
  <c r="BF53" i="6" s="1"/>
  <c r="BG53" i="6" a="1"/>
  <c r="BG53" i="6"/>
  <c r="BH53" i="6" a="1"/>
  <c r="BH53" i="6" s="1"/>
  <c r="BI53" i="6" a="1"/>
  <c r="BI53" i="6" s="1"/>
  <c r="BJ53" i="6" a="1"/>
  <c r="BJ53" i="6" s="1"/>
  <c r="BK53" i="6" a="1"/>
  <c r="BK53" i="6" s="1"/>
  <c r="BL53" i="6" a="1"/>
  <c r="BL53" i="6" s="1"/>
  <c r="BM53" i="6" a="1"/>
  <c r="BM53" i="6" s="1"/>
  <c r="BN53" i="6" a="1"/>
  <c r="BN53" i="6" s="1"/>
  <c r="BO53" i="6" a="1"/>
  <c r="BO53" i="6" s="1"/>
  <c r="BP53" i="6" a="1"/>
  <c r="BP53" i="6" s="1"/>
  <c r="BQ53" i="6" a="1"/>
  <c r="BQ53" i="6" s="1"/>
  <c r="BR53" i="6" a="1"/>
  <c r="BR53" i="6"/>
  <c r="BS53" i="6" a="1"/>
  <c r="BS53" i="6" s="1"/>
  <c r="BT53" i="6" a="1"/>
  <c r="BT53" i="6"/>
  <c r="BU53" i="6" a="1"/>
  <c r="BU53" i="6" s="1"/>
  <c r="BV53" i="6" a="1"/>
  <c r="BV53" i="6" s="1"/>
  <c r="BW53" i="6" a="1"/>
  <c r="BW53" i="6" s="1"/>
  <c r="BX53" i="6" a="1"/>
  <c r="BX53" i="6" s="1"/>
  <c r="BY53" i="6" a="1"/>
  <c r="BY53" i="6" s="1"/>
  <c r="BZ53" i="6" a="1"/>
  <c r="BZ53" i="6" s="1"/>
  <c r="CA53" i="6" a="1"/>
  <c r="CA53" i="6"/>
  <c r="CB53" i="6" a="1"/>
  <c r="CB53" i="6"/>
  <c r="CC53" i="6" a="1"/>
  <c r="CC53" i="6" s="1"/>
  <c r="CD53" i="6" a="1"/>
  <c r="CD53" i="6"/>
  <c r="CE53" i="6" a="1"/>
  <c r="CE53" i="6" s="1"/>
  <c r="CF53" i="6" a="1"/>
  <c r="CF53" i="6" s="1"/>
  <c r="CG53" i="6" a="1"/>
  <c r="CG53" i="6" s="1"/>
  <c r="CH53" i="6" a="1"/>
  <c r="CH53" i="6"/>
  <c r="CI53" i="6" a="1"/>
  <c r="CI53" i="6" s="1"/>
  <c r="CJ53" i="6" a="1"/>
  <c r="CJ53" i="6"/>
  <c r="CK53" i="6" a="1"/>
  <c r="CK53" i="6" s="1"/>
  <c r="CL53" i="6" a="1"/>
  <c r="CL53" i="6" s="1"/>
  <c r="CM53" i="6" a="1"/>
  <c r="CM53" i="6" s="1"/>
  <c r="CN53" i="6" a="1"/>
  <c r="CN53" i="6" s="1"/>
  <c r="CO53" i="6" a="1"/>
  <c r="CO53" i="6" s="1"/>
  <c r="CP53" i="6" a="1"/>
  <c r="CP53" i="6"/>
  <c r="CQ53" i="6" a="1"/>
  <c r="CQ53" i="6"/>
  <c r="CR53" i="6" a="1"/>
  <c r="CR53" i="6" s="1"/>
  <c r="CS53" i="6" a="1"/>
  <c r="CS53" i="6" s="1"/>
  <c r="CT53" i="6" a="1"/>
  <c r="CT53" i="6" s="1"/>
  <c r="CU53" i="6" a="1"/>
  <c r="CU53" i="6" s="1"/>
  <c r="CV53" i="6" a="1"/>
  <c r="CV53" i="6"/>
  <c r="CW53" i="6" a="1"/>
  <c r="CW53" i="6" s="1"/>
  <c r="CX53" i="6" a="1"/>
  <c r="CX53" i="6"/>
  <c r="CY53" i="6" a="1"/>
  <c r="CY53" i="6"/>
  <c r="CZ53" i="6" a="1"/>
  <c r="CZ53" i="6"/>
  <c r="DA53" i="6" a="1"/>
  <c r="DA53" i="6" s="1"/>
  <c r="DB53" i="6" a="1"/>
  <c r="DB53" i="6" s="1"/>
  <c r="DC53" i="6" a="1"/>
  <c r="DC53" i="6" s="1"/>
  <c r="DD53" i="6" a="1"/>
  <c r="DD53" i="6" s="1"/>
  <c r="DE53" i="6" a="1"/>
  <c r="DE53" i="6" s="1"/>
  <c r="DF53" i="6" a="1"/>
  <c r="DF53" i="6" s="1"/>
  <c r="DG53" i="6" a="1"/>
  <c r="DG53" i="6"/>
  <c r="DH53" i="6" a="1"/>
  <c r="DH53" i="6" s="1"/>
  <c r="DI53" i="6" a="1"/>
  <c r="DI53" i="6" s="1"/>
  <c r="DJ53" i="6" a="1"/>
  <c r="DJ53" i="6" s="1"/>
  <c r="DK53" i="6" a="1"/>
  <c r="DK53" i="6" s="1"/>
  <c r="DL53" i="6" a="1"/>
  <c r="DL53" i="6" s="1"/>
  <c r="DM53" i="6" a="1"/>
  <c r="DM53" i="6" s="1"/>
  <c r="DN53" i="6" a="1"/>
  <c r="DN53" i="6" s="1"/>
  <c r="DO53" i="6" a="1"/>
  <c r="DO53" i="6" s="1"/>
  <c r="DP53" i="6" a="1"/>
  <c r="DP53" i="6" s="1"/>
  <c r="DQ53" i="6" a="1"/>
  <c r="DQ53" i="6" s="1"/>
  <c r="DR53" i="6" a="1"/>
  <c r="DR53" i="6" s="1"/>
  <c r="DS53" i="6" a="1"/>
  <c r="DS53" i="6"/>
  <c r="DT53" i="6" a="1"/>
  <c r="DT53" i="6" s="1"/>
  <c r="DU53" i="6" a="1"/>
  <c r="DU53" i="6" s="1"/>
  <c r="DV53" i="6" a="1"/>
  <c r="DV53" i="6" s="1"/>
  <c r="DW53" i="6" a="1"/>
  <c r="DW53" i="6" s="1"/>
  <c r="DX53" i="6" a="1"/>
  <c r="DX53" i="6" s="1"/>
  <c r="DY53" i="6" a="1"/>
  <c r="DY53" i="6" s="1"/>
  <c r="DZ53" i="6" a="1"/>
  <c r="DZ53" i="6" s="1"/>
  <c r="EA53" i="6" a="1"/>
  <c r="EA53" i="6" s="1"/>
  <c r="EB53" i="6" a="1"/>
  <c r="EB53" i="6" s="1"/>
  <c r="EC53" i="6" a="1"/>
  <c r="EC53" i="6" s="1"/>
  <c r="ED53" i="6" a="1"/>
  <c r="ED53" i="6" s="1"/>
  <c r="EE53" i="6" a="1"/>
  <c r="EE53" i="6"/>
  <c r="E54" i="6" a="1"/>
  <c r="E54" i="6" s="1"/>
  <c r="F54" i="6" a="1"/>
  <c r="F54" i="6" s="1"/>
  <c r="G54" i="6" a="1"/>
  <c r="G54" i="6" s="1"/>
  <c r="H54" i="6" a="1"/>
  <c r="H54" i="6" s="1"/>
  <c r="I54" i="6" a="1"/>
  <c r="I54" i="6" s="1"/>
  <c r="J54" i="6" a="1"/>
  <c r="J54" i="6" s="1"/>
  <c r="K54" i="6" a="1"/>
  <c r="K54" i="6" s="1"/>
  <c r="L54" i="6" a="1"/>
  <c r="L54" i="6" s="1"/>
  <c r="M54" i="6" a="1"/>
  <c r="M54" i="6" s="1"/>
  <c r="N54" i="6" a="1"/>
  <c r="N54" i="6" s="1"/>
  <c r="O54" i="6" a="1"/>
  <c r="O54" i="6" s="1"/>
  <c r="P54" i="6" a="1"/>
  <c r="P54" i="6" s="1"/>
  <c r="Q54" i="6" a="1"/>
  <c r="Q54" i="6" s="1"/>
  <c r="R54" i="6" a="1"/>
  <c r="R54" i="6" s="1"/>
  <c r="S54" i="6" a="1"/>
  <c r="S54" i="6" s="1"/>
  <c r="T54" i="6" a="1"/>
  <c r="T54" i="6" s="1"/>
  <c r="U54" i="6" a="1"/>
  <c r="U54" i="6"/>
  <c r="V54" i="6" a="1"/>
  <c r="V54" i="6" s="1"/>
  <c r="W54" i="6" a="1"/>
  <c r="W54" i="6" s="1"/>
  <c r="X54" i="6" a="1"/>
  <c r="X54" i="6" s="1"/>
  <c r="Y54" i="6" a="1"/>
  <c r="Y54" i="6" s="1"/>
  <c r="Z54" i="6" a="1"/>
  <c r="Z54" i="6" s="1"/>
  <c r="AA54" i="6" a="1"/>
  <c r="AA54" i="6"/>
  <c r="AB54" i="6" a="1"/>
  <c r="AB54" i="6" s="1"/>
  <c r="AC54" i="6" a="1"/>
  <c r="AC54" i="6" s="1"/>
  <c r="AD54" i="6" a="1"/>
  <c r="AD54" i="6" s="1"/>
  <c r="AE54" i="6" a="1"/>
  <c r="AE54" i="6" s="1"/>
  <c r="AF54" i="6" a="1"/>
  <c r="AF54" i="6" s="1"/>
  <c r="AG54" i="6" a="1"/>
  <c r="AG54" i="6" s="1"/>
  <c r="AH54" i="6" a="1"/>
  <c r="AH54" i="6" s="1"/>
  <c r="AI54" i="6" a="1"/>
  <c r="AI54" i="6"/>
  <c r="AJ54" i="6" a="1"/>
  <c r="AJ54" i="6" s="1"/>
  <c r="AK54" i="6" a="1"/>
  <c r="AK54" i="6" s="1"/>
  <c r="AL54" i="6" a="1"/>
  <c r="AL54" i="6" s="1"/>
  <c r="AM54" i="6" a="1"/>
  <c r="AM54" i="6" s="1"/>
  <c r="AN54" i="6" a="1"/>
  <c r="AN54" i="6" s="1"/>
  <c r="AO54" i="6" a="1"/>
  <c r="AO54" i="6" s="1"/>
  <c r="AP54" i="6" a="1"/>
  <c r="AP54" i="6" s="1"/>
  <c r="AQ54" i="6" a="1"/>
  <c r="AQ54" i="6" s="1"/>
  <c r="AR54" i="6" a="1"/>
  <c r="AR54" i="6"/>
  <c r="AS54" i="6" a="1"/>
  <c r="AS54" i="6" s="1"/>
  <c r="AT54" i="6" a="1"/>
  <c r="AT54" i="6" s="1"/>
  <c r="AU54" i="6" a="1"/>
  <c r="AU54" i="6"/>
  <c r="AV54" i="6" a="1"/>
  <c r="AV54" i="6" s="1"/>
  <c r="AW54" i="6" a="1"/>
  <c r="AW54" i="6" s="1"/>
  <c r="AX54" i="6" a="1"/>
  <c r="AX54" i="6" s="1"/>
  <c r="AY54" i="6" a="1"/>
  <c r="AY54" i="6" s="1"/>
  <c r="AZ54" i="6" a="1"/>
  <c r="AZ54" i="6" s="1"/>
  <c r="BA54" i="6" a="1"/>
  <c r="BA54" i="6" s="1"/>
  <c r="BB54" i="6" a="1"/>
  <c r="BB54" i="6" s="1"/>
  <c r="BC54" i="6" a="1"/>
  <c r="BC54" i="6" s="1"/>
  <c r="BD54" i="6" a="1"/>
  <c r="BD54" i="6"/>
  <c r="BE54" i="6" a="1"/>
  <c r="BE54" i="6" s="1"/>
  <c r="BF54" i="6" a="1"/>
  <c r="BF54" i="6" s="1"/>
  <c r="BG54" i="6" a="1"/>
  <c r="BG54" i="6" s="1"/>
  <c r="BH54" i="6" a="1"/>
  <c r="BH54" i="6" s="1"/>
  <c r="BI54" i="6" a="1"/>
  <c r="BI54" i="6" s="1"/>
  <c r="BJ54" i="6" a="1"/>
  <c r="BJ54" i="6" s="1"/>
  <c r="BK54" i="6" a="1"/>
  <c r="BK54" i="6" s="1"/>
  <c r="BL54" i="6" a="1"/>
  <c r="BL54" i="6" s="1"/>
  <c r="BM54" i="6" a="1"/>
  <c r="BM54" i="6"/>
  <c r="BN54" i="6" a="1"/>
  <c r="BN54" i="6" s="1"/>
  <c r="BO54" i="6" a="1"/>
  <c r="BO54" i="6"/>
  <c r="BP54" i="6" a="1"/>
  <c r="BP54" i="6"/>
  <c r="BQ54" i="6" a="1"/>
  <c r="BQ54" i="6" s="1"/>
  <c r="BR54" i="6" a="1"/>
  <c r="BR54" i="6" s="1"/>
  <c r="BS54" i="6" a="1"/>
  <c r="BS54" i="6" s="1"/>
  <c r="BT54" i="6" a="1"/>
  <c r="BT54" i="6" s="1"/>
  <c r="BU54" i="6" a="1"/>
  <c r="BU54" i="6" s="1"/>
  <c r="BV54" i="6" a="1"/>
  <c r="BV54" i="6" s="1"/>
  <c r="BW54" i="6" a="1"/>
  <c r="BW54" i="6" s="1"/>
  <c r="BX54" i="6" a="1"/>
  <c r="BX54" i="6"/>
  <c r="BY54" i="6" a="1"/>
  <c r="BY54" i="6"/>
  <c r="BZ54" i="6" a="1"/>
  <c r="BZ54" i="6" s="1"/>
  <c r="CA54" i="6" a="1"/>
  <c r="CA54" i="6"/>
  <c r="CB54" i="6" a="1"/>
  <c r="CB54" i="6" s="1"/>
  <c r="CC54" i="6" a="1"/>
  <c r="CC54" i="6" s="1"/>
  <c r="CD54" i="6" a="1"/>
  <c r="CD54" i="6" s="1"/>
  <c r="CE54" i="6" a="1"/>
  <c r="CE54" i="6" s="1"/>
  <c r="CF54" i="6" a="1"/>
  <c r="CF54" i="6" s="1"/>
  <c r="CG54" i="6" a="1"/>
  <c r="CG54" i="6"/>
  <c r="CH54" i="6" a="1"/>
  <c r="CH54" i="6" s="1"/>
  <c r="CI54" i="6" a="1"/>
  <c r="CI54" i="6" s="1"/>
  <c r="CJ54" i="6" a="1"/>
  <c r="CJ54" i="6" s="1"/>
  <c r="CK54" i="6" a="1"/>
  <c r="CK54" i="6" s="1"/>
  <c r="CL54" i="6" a="1"/>
  <c r="CL54" i="6" s="1"/>
  <c r="CM54" i="6" a="1"/>
  <c r="CM54" i="6" s="1"/>
  <c r="CN54" i="6" a="1"/>
  <c r="CN54" i="6" s="1"/>
  <c r="CO54" i="6" a="1"/>
  <c r="CO54" i="6" s="1"/>
  <c r="CP54" i="6" a="1"/>
  <c r="CP54" i="6" s="1"/>
  <c r="CQ54" i="6" a="1"/>
  <c r="CQ54" i="6" s="1"/>
  <c r="CR54" i="6" a="1"/>
  <c r="CR54" i="6" s="1"/>
  <c r="CS54" i="6" a="1"/>
  <c r="CS54" i="6"/>
  <c r="CT54" i="6" a="1"/>
  <c r="CT54" i="6" s="1"/>
  <c r="CU54" i="6" a="1"/>
  <c r="CU54" i="6"/>
  <c r="CV54" i="6" a="1"/>
  <c r="CV54" i="6" s="1"/>
  <c r="CW54" i="6" a="1"/>
  <c r="CW54" i="6" s="1"/>
  <c r="CX54" i="6" a="1"/>
  <c r="CX54" i="6" s="1"/>
  <c r="CY54" i="6" a="1"/>
  <c r="CY54" i="6" s="1"/>
  <c r="CZ54" i="6" a="1"/>
  <c r="CZ54" i="6" s="1"/>
  <c r="DA54" i="6" a="1"/>
  <c r="DA54" i="6" s="1"/>
  <c r="DB54" i="6" a="1"/>
  <c r="DB54" i="6" s="1"/>
  <c r="DC54" i="6" a="1"/>
  <c r="DC54" i="6" s="1"/>
  <c r="DD54" i="6" a="1"/>
  <c r="DD54" i="6"/>
  <c r="DE54" i="6" a="1"/>
  <c r="DE54" i="6" s="1"/>
  <c r="DF54" i="6" a="1"/>
  <c r="DF54" i="6" s="1"/>
  <c r="DG54" i="6" a="1"/>
  <c r="DG54" i="6" s="1"/>
  <c r="DH54" i="6" a="1"/>
  <c r="DH54" i="6" s="1"/>
  <c r="DI54" i="6" a="1"/>
  <c r="DI54" i="6" s="1"/>
  <c r="DJ54" i="6" a="1"/>
  <c r="DJ54" i="6" s="1"/>
  <c r="DK54" i="6" a="1"/>
  <c r="DK54" i="6" s="1"/>
  <c r="DL54" i="6" a="1"/>
  <c r="DL54" i="6" s="1"/>
  <c r="DM54" i="6" a="1"/>
  <c r="DM54" i="6" s="1"/>
  <c r="DN54" i="6" a="1"/>
  <c r="DN54" i="6" s="1"/>
  <c r="DO54" i="6" a="1"/>
  <c r="DO54" i="6" s="1"/>
  <c r="DP54" i="6" a="1"/>
  <c r="DP54" i="6"/>
  <c r="DQ54" i="6" a="1"/>
  <c r="DQ54" i="6" s="1"/>
  <c r="DR54" i="6" a="1"/>
  <c r="DR54" i="6" s="1"/>
  <c r="DS54" i="6" a="1"/>
  <c r="DS54" i="6" s="1"/>
  <c r="DT54" i="6" a="1"/>
  <c r="DT54" i="6" s="1"/>
  <c r="DU54" i="6" a="1"/>
  <c r="DU54" i="6" s="1"/>
  <c r="DV54" i="6" a="1"/>
  <c r="DV54" i="6" s="1"/>
  <c r="DW54" i="6" a="1"/>
  <c r="DW54" i="6" s="1"/>
  <c r="DX54" i="6" a="1"/>
  <c r="DX54" i="6" s="1"/>
  <c r="DY54" i="6" a="1"/>
  <c r="DY54" i="6" s="1"/>
  <c r="DZ54" i="6" a="1"/>
  <c r="DZ54" i="6" s="1"/>
  <c r="EA54" i="6" a="1"/>
  <c r="EA54" i="6"/>
  <c r="EB54" i="6" a="1"/>
  <c r="EB54" i="6" s="1"/>
  <c r="EC54" i="6" a="1"/>
  <c r="EC54" i="6" s="1"/>
  <c r="ED54" i="6" a="1"/>
  <c r="ED54" i="6" s="1"/>
  <c r="EE54" i="6" a="1"/>
  <c r="EE54" i="6" s="1"/>
  <c r="E55" i="6" a="1"/>
  <c r="E55" i="6" s="1"/>
  <c r="F55" i="6" a="1"/>
  <c r="F55" i="6" s="1"/>
  <c r="G55" i="6" a="1"/>
  <c r="G55" i="6" s="1"/>
  <c r="H55" i="6" a="1"/>
  <c r="H55" i="6" s="1"/>
  <c r="I55" i="6" a="1"/>
  <c r="I55" i="6" s="1"/>
  <c r="J55" i="6" a="1"/>
  <c r="J55" i="6"/>
  <c r="K55" i="6" a="1"/>
  <c r="K55" i="6" s="1"/>
  <c r="L55" i="6" a="1"/>
  <c r="L55" i="6"/>
  <c r="M55" i="6" a="1"/>
  <c r="M55" i="6" s="1"/>
  <c r="N55" i="6" a="1"/>
  <c r="N55" i="6" s="1"/>
  <c r="O55" i="6" a="1"/>
  <c r="O55" i="6" s="1"/>
  <c r="P55" i="6" a="1"/>
  <c r="P55" i="6"/>
  <c r="Q55" i="6" a="1"/>
  <c r="Q55" i="6" s="1"/>
  <c r="R55" i="6" a="1"/>
  <c r="R55" i="6"/>
  <c r="S55" i="6" a="1"/>
  <c r="S55" i="6" s="1"/>
  <c r="T55" i="6" a="1"/>
  <c r="T55" i="6" s="1"/>
  <c r="U55" i="6" a="1"/>
  <c r="U55" i="6" s="1"/>
  <c r="V55" i="6" a="1"/>
  <c r="V55" i="6" s="1"/>
  <c r="W55" i="6" a="1"/>
  <c r="W55" i="6" s="1"/>
  <c r="X55" i="6" a="1"/>
  <c r="X55" i="6"/>
  <c r="Y55" i="6" a="1"/>
  <c r="Y55" i="6"/>
  <c r="Z55" i="6" a="1"/>
  <c r="Z55" i="6" s="1"/>
  <c r="AA55" i="6" a="1"/>
  <c r="AA55" i="6" s="1"/>
  <c r="AB55" i="6" a="1"/>
  <c r="AB55" i="6" s="1"/>
  <c r="AC55" i="6" a="1"/>
  <c r="AC55" i="6" s="1"/>
  <c r="AD55" i="6" a="1"/>
  <c r="AD55" i="6" s="1"/>
  <c r="AE55" i="6" a="1"/>
  <c r="AE55" i="6" s="1"/>
  <c r="AF55" i="6" a="1"/>
  <c r="AF55" i="6" s="1"/>
  <c r="AG55" i="6" a="1"/>
  <c r="AG55" i="6" s="1"/>
  <c r="AH55" i="6" a="1"/>
  <c r="AH55" i="6"/>
  <c r="AI55" i="6" a="1"/>
  <c r="AI55" i="6" s="1"/>
  <c r="AJ55" i="6" a="1"/>
  <c r="AJ55" i="6" s="1"/>
  <c r="AK55" i="6" a="1"/>
  <c r="AK55" i="6" s="1"/>
  <c r="AL55" i="6" a="1"/>
  <c r="AL55" i="6" s="1"/>
  <c r="AM55" i="6" a="1"/>
  <c r="AM55" i="6" s="1"/>
  <c r="AN55" i="6" a="1"/>
  <c r="AN55" i="6" s="1"/>
  <c r="AO55" i="6" a="1"/>
  <c r="AO55" i="6"/>
  <c r="AP55" i="6" a="1"/>
  <c r="AP55" i="6" s="1"/>
  <c r="AQ55" i="6" a="1"/>
  <c r="AQ55" i="6" s="1"/>
  <c r="AR55" i="6" a="1"/>
  <c r="AR55" i="6" s="1"/>
  <c r="AS55" i="6" a="1"/>
  <c r="AS55" i="6" s="1"/>
  <c r="AT55" i="6" a="1"/>
  <c r="AT55" i="6"/>
  <c r="AU55" i="6" a="1"/>
  <c r="AU55" i="6" s="1"/>
  <c r="AV55" i="6" a="1"/>
  <c r="AV55" i="6"/>
  <c r="AW55" i="6" a="1"/>
  <c r="AW55" i="6" s="1"/>
  <c r="AX55" i="6" a="1"/>
  <c r="AX55" i="6" s="1"/>
  <c r="AY55" i="6" a="1"/>
  <c r="AY55" i="6" s="1"/>
  <c r="AZ55" i="6" a="1"/>
  <c r="AZ55" i="6" s="1"/>
  <c r="BA55" i="6" a="1"/>
  <c r="BA55" i="6"/>
  <c r="BB55" i="6" a="1"/>
  <c r="BB55" i="6" s="1"/>
  <c r="BC55" i="6" a="1"/>
  <c r="BC55" i="6" s="1"/>
  <c r="BD55" i="6" a="1"/>
  <c r="BD55" i="6" s="1"/>
  <c r="BE55" i="6" a="1"/>
  <c r="BE55" i="6"/>
  <c r="BF55" i="6" a="1"/>
  <c r="BF55" i="6" s="1"/>
  <c r="BG55" i="6" a="1"/>
  <c r="BG55" i="6" s="1"/>
  <c r="BH55" i="6" a="1"/>
  <c r="BH55" i="6" s="1"/>
  <c r="BI55" i="6" a="1"/>
  <c r="BI55" i="6" s="1"/>
  <c r="BJ55" i="6" a="1"/>
  <c r="BJ55" i="6"/>
  <c r="BK55" i="6" a="1"/>
  <c r="BK55" i="6" s="1"/>
  <c r="BL55" i="6" a="1"/>
  <c r="BL55" i="6"/>
  <c r="BM55" i="6" a="1"/>
  <c r="BM55" i="6" s="1"/>
  <c r="BN55" i="6" a="1"/>
  <c r="BN55" i="6" s="1"/>
  <c r="BO55" i="6" a="1"/>
  <c r="BO55" i="6" s="1"/>
  <c r="BP55" i="6" a="1"/>
  <c r="BP55" i="6" s="1"/>
  <c r="BQ55" i="6" a="1"/>
  <c r="BQ55" i="6"/>
  <c r="BR55" i="6" a="1"/>
  <c r="BR55" i="6" s="1"/>
  <c r="BS55" i="6" a="1"/>
  <c r="BS55" i="6" s="1"/>
  <c r="BT55" i="6" a="1"/>
  <c r="BT55" i="6" s="1"/>
  <c r="BU55" i="6" a="1"/>
  <c r="BU55" i="6" s="1"/>
  <c r="BV55" i="6" a="1"/>
  <c r="BV55" i="6" s="1"/>
  <c r="BW55" i="6" a="1"/>
  <c r="BW55" i="6" s="1"/>
  <c r="BX55" i="6" a="1"/>
  <c r="BX55" i="6"/>
  <c r="BY55" i="6" a="1"/>
  <c r="BY55" i="6" s="1"/>
  <c r="BZ55" i="6" a="1"/>
  <c r="BZ55" i="6" s="1"/>
  <c r="CA55" i="6" a="1"/>
  <c r="CA55" i="6" s="1"/>
  <c r="CB55" i="6" a="1"/>
  <c r="CB55" i="6"/>
  <c r="CC55" i="6" a="1"/>
  <c r="CC55" i="6"/>
  <c r="CD55" i="6" a="1"/>
  <c r="CD55" i="6" s="1"/>
  <c r="CE55" i="6" a="1"/>
  <c r="CE55" i="6" s="1"/>
  <c r="CF55" i="6" a="1"/>
  <c r="CF55" i="6" s="1"/>
  <c r="CG55" i="6" a="1"/>
  <c r="CG55" i="6" s="1"/>
  <c r="CH55" i="6" a="1"/>
  <c r="CH55" i="6" s="1"/>
  <c r="CI55" i="6" a="1"/>
  <c r="CI55" i="6" s="1"/>
  <c r="CJ55" i="6" a="1"/>
  <c r="CJ55" i="6" s="1"/>
  <c r="CK55" i="6" a="1"/>
  <c r="CK55" i="6"/>
  <c r="CL55" i="6" a="1"/>
  <c r="CL55" i="6"/>
  <c r="CM55" i="6" a="1"/>
  <c r="CM55" i="6" s="1"/>
  <c r="CN55" i="6" a="1"/>
  <c r="CN55" i="6" s="1"/>
  <c r="CO55" i="6" a="1"/>
  <c r="CO55" i="6" s="1"/>
  <c r="CP55" i="6" a="1"/>
  <c r="CP55" i="6"/>
  <c r="CQ55" i="6" a="1"/>
  <c r="CQ55" i="6" s="1"/>
  <c r="CR55" i="6" a="1"/>
  <c r="CR55" i="6"/>
  <c r="CS55" i="6" a="1"/>
  <c r="CS55" i="6" s="1"/>
  <c r="CT55" i="6" a="1"/>
  <c r="CT55" i="6"/>
  <c r="CU55" i="6" a="1"/>
  <c r="CU55" i="6" s="1"/>
  <c r="CV55" i="6" a="1"/>
  <c r="CV55" i="6" s="1"/>
  <c r="CW55" i="6" a="1"/>
  <c r="CW55" i="6" s="1"/>
  <c r="CX55" i="6" a="1"/>
  <c r="CX55" i="6" s="1"/>
  <c r="CY55" i="6" a="1"/>
  <c r="CY55" i="6" s="1"/>
  <c r="CZ55" i="6" a="1"/>
  <c r="CZ55" i="6" s="1"/>
  <c r="DA55" i="6" a="1"/>
  <c r="DA55" i="6"/>
  <c r="DB55" i="6" a="1"/>
  <c r="DB55" i="6" s="1"/>
  <c r="DC55" i="6" a="1"/>
  <c r="DC55" i="6" s="1"/>
  <c r="DD55" i="6" a="1"/>
  <c r="DD55" i="6" s="1"/>
  <c r="DE55" i="6" a="1"/>
  <c r="DE55" i="6" s="1"/>
  <c r="DF55" i="6" a="1"/>
  <c r="DF55" i="6" s="1"/>
  <c r="DG55" i="6" a="1"/>
  <c r="DG55" i="6" s="1"/>
  <c r="DH55" i="6" a="1"/>
  <c r="DH55" i="6" s="1"/>
  <c r="DI55" i="6" a="1"/>
  <c r="DI55" i="6" s="1"/>
  <c r="DJ55" i="6" a="1"/>
  <c r="DJ55" i="6" s="1"/>
  <c r="DK55" i="6" a="1"/>
  <c r="DK55" i="6" s="1"/>
  <c r="DL55" i="6" a="1"/>
  <c r="DL55" i="6" s="1"/>
  <c r="DM55" i="6" a="1"/>
  <c r="DM55" i="6" s="1"/>
  <c r="DN55" i="6" a="1"/>
  <c r="DN55" i="6" s="1"/>
  <c r="DO55" i="6" a="1"/>
  <c r="DO55" i="6" s="1"/>
  <c r="DP55" i="6" a="1"/>
  <c r="DP55" i="6"/>
  <c r="DQ55" i="6" a="1"/>
  <c r="DQ55" i="6"/>
  <c r="DR55" i="6" a="1"/>
  <c r="DR55" i="6" s="1"/>
  <c r="DS55" i="6" a="1"/>
  <c r="DS55" i="6" s="1"/>
  <c r="DT55" i="6" a="1"/>
  <c r="DT55" i="6" s="1"/>
  <c r="DU55" i="6" a="1"/>
  <c r="DU55" i="6" s="1"/>
  <c r="DV55" i="6" a="1"/>
  <c r="DV55" i="6" s="1"/>
  <c r="DW55" i="6" a="1"/>
  <c r="DW55" i="6" s="1"/>
  <c r="DX55" i="6" a="1"/>
  <c r="DX55" i="6" s="1"/>
  <c r="DY55" i="6" a="1"/>
  <c r="DY55" i="6" s="1"/>
  <c r="DZ55" i="6" a="1"/>
  <c r="DZ55" i="6"/>
  <c r="EA55" i="6" a="1"/>
  <c r="EA55" i="6" s="1"/>
  <c r="EB55" i="6" a="1"/>
  <c r="EB55" i="6" s="1"/>
  <c r="EC55" i="6" a="1"/>
  <c r="EC55" i="6" s="1"/>
  <c r="ED55" i="6" a="1"/>
  <c r="ED55" i="6" s="1"/>
  <c r="EE55" i="6" a="1"/>
  <c r="EE55" i="6" s="1"/>
  <c r="E56" i="6" a="1"/>
  <c r="E56" i="6" s="1"/>
  <c r="F56" i="6" a="1"/>
  <c r="F56" i="6" s="1"/>
  <c r="G56" i="6" a="1"/>
  <c r="G56" i="6" s="1"/>
  <c r="H56" i="6" a="1"/>
  <c r="H56" i="6" s="1"/>
  <c r="I56" i="6" a="1"/>
  <c r="I56" i="6"/>
  <c r="J56" i="6" a="1"/>
  <c r="J56" i="6" s="1"/>
  <c r="K56" i="6" a="1"/>
  <c r="K56" i="6" s="1"/>
  <c r="L56" i="6" a="1"/>
  <c r="L56" i="6" s="1"/>
  <c r="M56" i="6" a="1"/>
  <c r="M56" i="6"/>
  <c r="N56" i="6" a="1"/>
  <c r="N56" i="6" s="1"/>
  <c r="O56" i="6" a="1"/>
  <c r="O56" i="6" s="1"/>
  <c r="P56" i="6" a="1"/>
  <c r="P56" i="6" s="1"/>
  <c r="Q56" i="6" a="1"/>
  <c r="Q56" i="6" s="1"/>
  <c r="R56" i="6" a="1"/>
  <c r="R56" i="6" s="1"/>
  <c r="S56" i="6" a="1"/>
  <c r="S56" i="6" s="1"/>
  <c r="T56" i="6" a="1"/>
  <c r="T56" i="6" s="1"/>
  <c r="U56" i="6" a="1"/>
  <c r="U56" i="6" s="1"/>
  <c r="V56" i="6" a="1"/>
  <c r="V56" i="6"/>
  <c r="W56" i="6" a="1"/>
  <c r="W56" i="6" s="1"/>
  <c r="X56" i="6" a="1"/>
  <c r="X56" i="6" s="1"/>
  <c r="Y56" i="6" a="1"/>
  <c r="Y56" i="6" s="1"/>
  <c r="Z56" i="6" a="1"/>
  <c r="Z56" i="6" s="1"/>
  <c r="AA56" i="6" a="1"/>
  <c r="AA56" i="6" s="1"/>
  <c r="AB56" i="6" a="1"/>
  <c r="AB56" i="6" s="1"/>
  <c r="AC56" i="6" a="1"/>
  <c r="AC56" i="6" s="1"/>
  <c r="AD56" i="6" a="1"/>
  <c r="AD56" i="6" s="1"/>
  <c r="AE56" i="6" a="1"/>
  <c r="AE56" i="6" s="1"/>
  <c r="AF56" i="6" a="1"/>
  <c r="AF56" i="6" s="1"/>
  <c r="AG56" i="6" a="1"/>
  <c r="AG56" i="6" s="1"/>
  <c r="AH56" i="6" a="1"/>
  <c r="AH56" i="6" s="1"/>
  <c r="AI56" i="6" a="1"/>
  <c r="AI56" i="6" s="1"/>
  <c r="AJ56" i="6" a="1"/>
  <c r="AJ56" i="6" s="1"/>
  <c r="AK56" i="6" a="1"/>
  <c r="AK56" i="6" s="1"/>
  <c r="AL56" i="6" a="1"/>
  <c r="AL56" i="6"/>
  <c r="AM56" i="6" a="1"/>
  <c r="AM56" i="6" s="1"/>
  <c r="AN56" i="6" a="1"/>
  <c r="AN56" i="6" s="1"/>
  <c r="AO56" i="6" a="1"/>
  <c r="AO56" i="6" s="1"/>
  <c r="AP56" i="6" a="1"/>
  <c r="AP56" i="6" s="1"/>
  <c r="AQ56" i="6" a="1"/>
  <c r="AQ56" i="6" s="1"/>
  <c r="AR56" i="6" a="1"/>
  <c r="AR56" i="6" s="1"/>
  <c r="AS56" i="6" a="1"/>
  <c r="AS56" i="6" s="1"/>
  <c r="AT56" i="6" a="1"/>
  <c r="AT56" i="6"/>
  <c r="AU56" i="6" a="1"/>
  <c r="AU56" i="6"/>
  <c r="AV56" i="6" a="1"/>
  <c r="AV56" i="6" s="1"/>
  <c r="AW56" i="6" a="1"/>
  <c r="AW56" i="6" s="1"/>
  <c r="AX56" i="6" a="1"/>
  <c r="AX56" i="6" s="1"/>
  <c r="AY56" i="6" a="1"/>
  <c r="AY56" i="6" s="1"/>
  <c r="AZ56" i="6" a="1"/>
  <c r="AZ56" i="6" s="1"/>
  <c r="BA56" i="6" a="1"/>
  <c r="BA56" i="6" s="1"/>
  <c r="BB56" i="6" a="1"/>
  <c r="BB56" i="6" s="1"/>
  <c r="BC56" i="6" a="1"/>
  <c r="BC56" i="6"/>
  <c r="BD56" i="6" a="1"/>
  <c r="BD56" i="6" s="1"/>
  <c r="BE56" i="6" a="1"/>
  <c r="BE56" i="6" s="1"/>
  <c r="BF56" i="6" a="1"/>
  <c r="BF56" i="6" s="1"/>
  <c r="BG56" i="6" a="1"/>
  <c r="BG56" i="6" s="1"/>
  <c r="BH56" i="6" a="1"/>
  <c r="BH56" i="6" s="1"/>
  <c r="BI56" i="6" a="1"/>
  <c r="BI56" i="6" s="1"/>
  <c r="BJ56" i="6" a="1"/>
  <c r="BJ56" i="6"/>
  <c r="BK56" i="6" a="1"/>
  <c r="BK56" i="6"/>
  <c r="BL56" i="6" a="1"/>
  <c r="BL56" i="6" s="1"/>
  <c r="BM56" i="6" a="1"/>
  <c r="BM56" i="6" s="1"/>
  <c r="BN56" i="6" a="1"/>
  <c r="BN56" i="6" s="1"/>
  <c r="BO56" i="6" a="1"/>
  <c r="BO56" i="6" s="1"/>
  <c r="BP56" i="6" a="1"/>
  <c r="BP56" i="6" s="1"/>
  <c r="BQ56" i="6" a="1"/>
  <c r="BQ56" i="6" s="1"/>
  <c r="BR56" i="6" a="1"/>
  <c r="BR56" i="6"/>
  <c r="BS56" i="6" a="1"/>
  <c r="BS56" i="6" s="1"/>
  <c r="BT56" i="6" a="1"/>
  <c r="BT56" i="6" s="1"/>
  <c r="BU56" i="6" a="1"/>
  <c r="BU56" i="6" s="1"/>
  <c r="BV56" i="6" a="1"/>
  <c r="BV56" i="6" s="1"/>
  <c r="BW56" i="6" a="1"/>
  <c r="BW56" i="6" s="1"/>
  <c r="BX56" i="6" a="1"/>
  <c r="BX56" i="6" s="1"/>
  <c r="BY56" i="6" a="1"/>
  <c r="BY56" i="6"/>
  <c r="BZ56" i="6" a="1"/>
  <c r="BZ56" i="6"/>
  <c r="CA56" i="6" a="1"/>
  <c r="CA56" i="6" s="1"/>
  <c r="CB56" i="6" a="1"/>
  <c r="CB56" i="6" s="1"/>
  <c r="CC56" i="6" a="1"/>
  <c r="CC56" i="6" s="1"/>
  <c r="CD56" i="6" a="1"/>
  <c r="CD56" i="6" s="1"/>
  <c r="CE56" i="6" a="1"/>
  <c r="CE56" i="6" s="1"/>
  <c r="CF56" i="6" a="1"/>
  <c r="CF56" i="6" s="1"/>
  <c r="CG56" i="6" a="1"/>
  <c r="CG56" i="6" s="1"/>
  <c r="CH56" i="6" a="1"/>
  <c r="CH56" i="6" s="1"/>
  <c r="CI56" i="6" a="1"/>
  <c r="CI56" i="6" s="1"/>
  <c r="CJ56" i="6" a="1"/>
  <c r="CJ56" i="6" s="1"/>
  <c r="CK56" i="6" a="1"/>
  <c r="CK56" i="6" s="1"/>
  <c r="CL56" i="6" a="1"/>
  <c r="CL56" i="6" s="1"/>
  <c r="CM56" i="6" a="1"/>
  <c r="CM56" i="6" s="1"/>
  <c r="CN56" i="6" a="1"/>
  <c r="CN56" i="6" s="1"/>
  <c r="CO56" i="6" a="1"/>
  <c r="CO56" i="6" s="1"/>
  <c r="CP56" i="6" a="1"/>
  <c r="CP56" i="6" s="1"/>
  <c r="CQ56" i="6" a="1"/>
  <c r="CQ56" i="6" s="1"/>
  <c r="CR56" i="6" a="1"/>
  <c r="CR56" i="6" s="1"/>
  <c r="CS56" i="6" a="1"/>
  <c r="CS56" i="6" s="1"/>
  <c r="CT56" i="6" a="1"/>
  <c r="CT56" i="6" s="1"/>
  <c r="CU56" i="6" a="1"/>
  <c r="CU56" i="6" s="1"/>
  <c r="CV56" i="6" a="1"/>
  <c r="CV56" i="6" s="1"/>
  <c r="CW56" i="6" a="1"/>
  <c r="CW56" i="6"/>
  <c r="CX56" i="6" a="1"/>
  <c r="CX56" i="6" s="1"/>
  <c r="CY56" i="6" a="1"/>
  <c r="CY56" i="6"/>
  <c r="CZ56" i="6" a="1"/>
  <c r="CZ56" i="6" s="1"/>
  <c r="DA56" i="6" a="1"/>
  <c r="DA56" i="6" s="1"/>
  <c r="DB56" i="6" a="1"/>
  <c r="DB56" i="6" s="1"/>
  <c r="DC56" i="6" a="1"/>
  <c r="DC56" i="6" s="1"/>
  <c r="DD56" i="6" a="1"/>
  <c r="DD56" i="6" s="1"/>
  <c r="DE56" i="6" a="1"/>
  <c r="DE56" i="6" s="1"/>
  <c r="DF56" i="6" a="1"/>
  <c r="DF56" i="6" s="1"/>
  <c r="DG56" i="6" a="1"/>
  <c r="DG56" i="6"/>
  <c r="DH56" i="6" a="1"/>
  <c r="DH56" i="6" s="1"/>
  <c r="DI56" i="6" a="1"/>
  <c r="DI56" i="6" s="1"/>
  <c r="DJ56" i="6" a="1"/>
  <c r="DJ56" i="6" s="1"/>
  <c r="DK56" i="6" a="1"/>
  <c r="DK56" i="6" s="1"/>
  <c r="DL56" i="6" a="1"/>
  <c r="DL56" i="6" s="1"/>
  <c r="DM56" i="6" a="1"/>
  <c r="DM56" i="6" s="1"/>
  <c r="DN56" i="6" a="1"/>
  <c r="DN56" i="6"/>
  <c r="DO56" i="6" a="1"/>
  <c r="DO56" i="6"/>
  <c r="DP56" i="6" a="1"/>
  <c r="DP56" i="6" s="1"/>
  <c r="DQ56" i="6" a="1"/>
  <c r="DQ56" i="6" s="1"/>
  <c r="DR56" i="6" a="1"/>
  <c r="DR56" i="6" s="1"/>
  <c r="DS56" i="6" a="1"/>
  <c r="DS56" i="6" s="1"/>
  <c r="DT56" i="6" a="1"/>
  <c r="DT56" i="6" s="1"/>
  <c r="DU56" i="6" a="1"/>
  <c r="DU56" i="6" s="1"/>
  <c r="DV56" i="6" a="1"/>
  <c r="DV56" i="6" s="1"/>
  <c r="DW56" i="6" a="1"/>
  <c r="DW56" i="6" s="1"/>
  <c r="DX56" i="6" a="1"/>
  <c r="DX56" i="6" s="1"/>
  <c r="DY56" i="6" a="1"/>
  <c r="DY56" i="6" s="1"/>
  <c r="DZ56" i="6" a="1"/>
  <c r="DZ56" i="6" s="1"/>
  <c r="EA56" i="6" a="1"/>
  <c r="EA56" i="6" s="1"/>
  <c r="EB56" i="6" a="1"/>
  <c r="EB56" i="6" s="1"/>
  <c r="EC56" i="6" a="1"/>
  <c r="EC56" i="6" s="1"/>
  <c r="ED56" i="6" a="1"/>
  <c r="ED56" i="6"/>
  <c r="EE56" i="6" a="1"/>
  <c r="EE56" i="6" s="1"/>
  <c r="E57" i="6" a="1"/>
  <c r="E57" i="6" s="1"/>
  <c r="F57" i="6" a="1"/>
  <c r="F57" i="6" s="1"/>
  <c r="G57" i="6" a="1"/>
  <c r="G57" i="6" s="1"/>
  <c r="H57" i="6" a="1"/>
  <c r="H57" i="6" s="1"/>
  <c r="I57" i="6" a="1"/>
  <c r="I57" i="6" s="1"/>
  <c r="J57" i="6" a="1"/>
  <c r="J57" i="6" s="1"/>
  <c r="K57" i="6" a="1"/>
  <c r="K57" i="6" s="1"/>
  <c r="L57" i="6" a="1"/>
  <c r="L57" i="6" s="1"/>
  <c r="M57" i="6" a="1"/>
  <c r="M57" i="6" s="1"/>
  <c r="N57" i="6" a="1"/>
  <c r="N57" i="6" s="1"/>
  <c r="O57" i="6" a="1"/>
  <c r="O57" i="6" s="1"/>
  <c r="P57" i="6" a="1"/>
  <c r="P57" i="6" s="1"/>
  <c r="Q57" i="6" a="1"/>
  <c r="Q57" i="6" s="1"/>
  <c r="R57" i="6" a="1"/>
  <c r="R57" i="6"/>
  <c r="S57" i="6" a="1"/>
  <c r="S57" i="6" s="1"/>
  <c r="T57" i="6" a="1"/>
  <c r="T57" i="6" s="1"/>
  <c r="U57" i="6" a="1"/>
  <c r="U57" i="6" s="1"/>
  <c r="V57" i="6" a="1"/>
  <c r="V57" i="6" s="1"/>
  <c r="W57" i="6" a="1"/>
  <c r="W57" i="6" s="1"/>
  <c r="X57" i="6" a="1"/>
  <c r="X57" i="6" s="1"/>
  <c r="Y57" i="6" a="1"/>
  <c r="Y57" i="6" s="1"/>
  <c r="Z57" i="6" a="1"/>
  <c r="Z57" i="6"/>
  <c r="AA57" i="6" a="1"/>
  <c r="AA57" i="6" s="1"/>
  <c r="AB57" i="6" a="1"/>
  <c r="AB57" i="6" s="1"/>
  <c r="AC57" i="6" a="1"/>
  <c r="AC57" i="6" s="1"/>
  <c r="AD57" i="6" a="1"/>
  <c r="AD57" i="6" s="1"/>
  <c r="AE57" i="6" a="1"/>
  <c r="AE57" i="6" s="1"/>
  <c r="AF57" i="6" a="1"/>
  <c r="AF57" i="6" s="1"/>
  <c r="AG57" i="6" a="1"/>
  <c r="AG57" i="6" s="1"/>
  <c r="AH57" i="6" a="1"/>
  <c r="AH57" i="6" s="1"/>
  <c r="AI57" i="6" a="1"/>
  <c r="AI57" i="6" s="1"/>
  <c r="AJ57" i="6" a="1"/>
  <c r="AJ57" i="6"/>
  <c r="AK57" i="6" a="1"/>
  <c r="AK57" i="6" s="1"/>
  <c r="AL57" i="6" a="1"/>
  <c r="AL57" i="6" s="1"/>
  <c r="AM57" i="6" a="1"/>
  <c r="AM57" i="6" s="1"/>
  <c r="AN57" i="6" a="1"/>
  <c r="AN57" i="6" s="1"/>
  <c r="AO57" i="6" a="1"/>
  <c r="AO57" i="6" s="1"/>
  <c r="AP57" i="6" a="1"/>
  <c r="AP57" i="6" s="1"/>
  <c r="AQ57" i="6" a="1"/>
  <c r="AQ57" i="6"/>
  <c r="AR57" i="6" a="1"/>
  <c r="AR57" i="6"/>
  <c r="AS57" i="6" a="1"/>
  <c r="AS57" i="6" s="1"/>
  <c r="AT57" i="6" a="1"/>
  <c r="AT57" i="6" s="1"/>
  <c r="AU57" i="6" a="1"/>
  <c r="AU57" i="6" s="1"/>
  <c r="AV57" i="6" a="1"/>
  <c r="AV57" i="6" s="1"/>
  <c r="AW57" i="6" a="1"/>
  <c r="AW57" i="6" s="1"/>
  <c r="AX57" i="6" a="1"/>
  <c r="AX57" i="6" s="1"/>
  <c r="AY57" i="6" a="1"/>
  <c r="AY57" i="6" s="1"/>
  <c r="AZ57" i="6" a="1"/>
  <c r="AZ57" i="6" s="1"/>
  <c r="BA57" i="6" a="1"/>
  <c r="BA57" i="6" s="1"/>
  <c r="BB57" i="6" a="1"/>
  <c r="BB57" i="6" s="1"/>
  <c r="BC57" i="6" a="1"/>
  <c r="BC57" i="6" s="1"/>
  <c r="BD57" i="6" a="1"/>
  <c r="BD57" i="6" s="1"/>
  <c r="BE57" i="6" a="1"/>
  <c r="BE57" i="6" s="1"/>
  <c r="BF57" i="6" a="1"/>
  <c r="BF57" i="6" s="1"/>
  <c r="BG57" i="6" a="1"/>
  <c r="BG57" i="6" s="1"/>
  <c r="BH57" i="6" a="1"/>
  <c r="BH57" i="6" s="1"/>
  <c r="BI57" i="6" a="1"/>
  <c r="BI57" i="6" s="1"/>
  <c r="BJ57" i="6" a="1"/>
  <c r="BJ57" i="6" s="1"/>
  <c r="BK57" i="6" a="1"/>
  <c r="BK57" i="6" s="1"/>
  <c r="BL57" i="6" a="1"/>
  <c r="BL57" i="6" s="1"/>
  <c r="BM57" i="6" a="1"/>
  <c r="BM57" i="6" s="1"/>
  <c r="BN57" i="6" a="1"/>
  <c r="BN57" i="6" s="1"/>
  <c r="BO57" i="6" a="1"/>
  <c r="BO57" i="6" s="1"/>
  <c r="BP57" i="6" a="1"/>
  <c r="BP57" i="6" s="1"/>
  <c r="BQ57" i="6" a="1"/>
  <c r="BQ57" i="6" s="1"/>
  <c r="BR57" i="6" a="1"/>
  <c r="BR57" i="6" s="1"/>
  <c r="BS57" i="6" a="1"/>
  <c r="BS57" i="6" s="1"/>
  <c r="BT57" i="6" a="1"/>
  <c r="BT57" i="6" s="1"/>
  <c r="BU57" i="6" a="1"/>
  <c r="BU57" i="6" s="1"/>
  <c r="BV57" i="6" a="1"/>
  <c r="BV57" i="6" s="1"/>
  <c r="BW57" i="6" a="1"/>
  <c r="BW57" i="6" s="1"/>
  <c r="BX57" i="6" a="1"/>
  <c r="BX57" i="6" s="1"/>
  <c r="BY57" i="6" a="1"/>
  <c r="BY57" i="6" s="1"/>
  <c r="BZ57" i="6" a="1"/>
  <c r="BZ57" i="6" s="1"/>
  <c r="CA57" i="6" a="1"/>
  <c r="CA57" i="6" s="1"/>
  <c r="CB57" i="6" a="1"/>
  <c r="CB57" i="6" s="1"/>
  <c r="CC57" i="6" a="1"/>
  <c r="CC57" i="6" s="1"/>
  <c r="CD57" i="6" a="1"/>
  <c r="CD57" i="6"/>
  <c r="CE57" i="6" a="1"/>
  <c r="CE57" i="6" s="1"/>
  <c r="CF57" i="6" a="1"/>
  <c r="CF57" i="6" s="1"/>
  <c r="CG57" i="6" a="1"/>
  <c r="CG57" i="6" s="1"/>
  <c r="CH57" i="6" a="1"/>
  <c r="CH57" i="6" s="1"/>
  <c r="CI57" i="6" a="1"/>
  <c r="CI57" i="6" s="1"/>
  <c r="CJ57" i="6" a="1"/>
  <c r="CJ57" i="6" s="1"/>
  <c r="CK57" i="6" a="1"/>
  <c r="CK57" i="6" s="1"/>
  <c r="CL57" i="6" a="1"/>
  <c r="CL57" i="6"/>
  <c r="CM57" i="6" a="1"/>
  <c r="CM57" i="6" s="1"/>
  <c r="CN57" i="6" a="1"/>
  <c r="CN57" i="6" s="1"/>
  <c r="CO57" i="6" a="1"/>
  <c r="CO57" i="6" s="1"/>
  <c r="CP57" i="6" a="1"/>
  <c r="CP57" i="6" s="1"/>
  <c r="CQ57" i="6" a="1"/>
  <c r="CQ57" i="6" s="1"/>
  <c r="CR57" i="6" a="1"/>
  <c r="CR57" i="6" s="1"/>
  <c r="CS57" i="6" a="1"/>
  <c r="CS57" i="6" s="1"/>
  <c r="CT57" i="6" a="1"/>
  <c r="CT57" i="6" s="1"/>
  <c r="CU57" i="6" a="1"/>
  <c r="CU57" i="6" s="1"/>
  <c r="CV57" i="6" a="1"/>
  <c r="CV57" i="6"/>
  <c r="CW57" i="6" a="1"/>
  <c r="CW57" i="6" s="1"/>
  <c r="CX57" i="6" a="1"/>
  <c r="CX57" i="6" s="1"/>
  <c r="CY57" i="6" a="1"/>
  <c r="CY57" i="6" s="1"/>
  <c r="CZ57" i="6" a="1"/>
  <c r="CZ57" i="6" s="1"/>
  <c r="DA57" i="6" a="1"/>
  <c r="DA57" i="6" s="1"/>
  <c r="DB57" i="6" a="1"/>
  <c r="DB57" i="6" s="1"/>
  <c r="DC57" i="6" a="1"/>
  <c r="DC57" i="6" s="1"/>
  <c r="DD57" i="6" a="1"/>
  <c r="DD57" i="6" s="1"/>
  <c r="DE57" i="6" a="1"/>
  <c r="DE57" i="6" s="1"/>
  <c r="DF57" i="6" a="1"/>
  <c r="DF57" i="6" s="1"/>
  <c r="DG57" i="6" a="1"/>
  <c r="DG57" i="6" s="1"/>
  <c r="DH57" i="6" a="1"/>
  <c r="DH57" i="6" s="1"/>
  <c r="DI57" i="6" a="1"/>
  <c r="DI57" i="6" s="1"/>
  <c r="DJ57" i="6" a="1"/>
  <c r="DJ57" i="6"/>
  <c r="DK57" i="6" a="1"/>
  <c r="DK57" i="6" s="1"/>
  <c r="DL57" i="6" a="1"/>
  <c r="DL57" i="6" s="1"/>
  <c r="DM57" i="6" a="1"/>
  <c r="DM57" i="6" s="1"/>
  <c r="DN57" i="6" a="1"/>
  <c r="DN57" i="6" s="1"/>
  <c r="DO57" i="6" a="1"/>
  <c r="DO57" i="6" s="1"/>
  <c r="DP57" i="6" a="1"/>
  <c r="DP57" i="6" s="1"/>
  <c r="DQ57" i="6" a="1"/>
  <c r="DQ57" i="6" s="1"/>
  <c r="DR57" i="6" a="1"/>
  <c r="DR57" i="6"/>
  <c r="DS57" i="6" a="1"/>
  <c r="DS57" i="6" s="1"/>
  <c r="DT57" i="6" a="1"/>
  <c r="DT57" i="6" s="1"/>
  <c r="DU57" i="6" a="1"/>
  <c r="DU57" i="6" s="1"/>
  <c r="DV57" i="6" a="1"/>
  <c r="DV57" i="6" s="1"/>
  <c r="DW57" i="6" a="1"/>
  <c r="DW57" i="6" s="1"/>
  <c r="DX57" i="6" a="1"/>
  <c r="DX57" i="6" s="1"/>
  <c r="DY57" i="6" a="1"/>
  <c r="DY57" i="6" s="1"/>
  <c r="DZ57" i="6" a="1"/>
  <c r="DZ57" i="6"/>
  <c r="EA57" i="6" a="1"/>
  <c r="EA57" i="6"/>
  <c r="EB57" i="6" a="1"/>
  <c r="EB57" i="6" s="1"/>
  <c r="EC57" i="6" a="1"/>
  <c r="EC57" i="6" s="1"/>
  <c r="ED57" i="6" a="1"/>
  <c r="ED57" i="6" s="1"/>
  <c r="EE57" i="6" a="1"/>
  <c r="EE57" i="6" s="1"/>
  <c r="E58" i="6" a="1"/>
  <c r="E58" i="6" s="1"/>
  <c r="F58" i="6" a="1"/>
  <c r="F58" i="6" s="1"/>
  <c r="G58" i="6" a="1"/>
  <c r="G58" i="6" s="1"/>
  <c r="H58" i="6" a="1"/>
  <c r="H58" i="6"/>
  <c r="I58" i="6" a="1"/>
  <c r="I58" i="6" s="1"/>
  <c r="J58" i="6" a="1"/>
  <c r="J58" i="6" s="1"/>
  <c r="K58" i="6" a="1"/>
  <c r="K58" i="6" s="1"/>
  <c r="L58" i="6" a="1"/>
  <c r="L58" i="6" s="1"/>
  <c r="M58" i="6" a="1"/>
  <c r="M58" i="6" s="1"/>
  <c r="N58" i="6" a="1"/>
  <c r="N58" i="6" s="1"/>
  <c r="O58" i="6" a="1"/>
  <c r="O58" i="6" s="1"/>
  <c r="P58" i="6" a="1"/>
  <c r="P58" i="6"/>
  <c r="Q58" i="6" a="1"/>
  <c r="Q58" i="6"/>
  <c r="R58" i="6" a="1"/>
  <c r="R58" i="6" s="1"/>
  <c r="S58" i="6" a="1"/>
  <c r="S58" i="6" s="1"/>
  <c r="T58" i="6" a="1"/>
  <c r="T58" i="6" s="1"/>
  <c r="U58" i="6" a="1"/>
  <c r="U58" i="6" s="1"/>
  <c r="V58" i="6" a="1"/>
  <c r="V58" i="6" s="1"/>
  <c r="W58" i="6" a="1"/>
  <c r="W58" i="6" s="1"/>
  <c r="X58" i="6" a="1"/>
  <c r="X58" i="6" s="1"/>
  <c r="Y58" i="6" a="1"/>
  <c r="Y58" i="6"/>
  <c r="Z58" i="6" a="1"/>
  <c r="Z58" i="6" s="1"/>
  <c r="AA58" i="6" a="1"/>
  <c r="AA58" i="6" s="1"/>
  <c r="AB58" i="6" a="1"/>
  <c r="AB58" i="6" s="1"/>
  <c r="AC58" i="6" a="1"/>
  <c r="AC58" i="6" s="1"/>
  <c r="AD58" i="6" a="1"/>
  <c r="AD58" i="6" s="1"/>
  <c r="AE58" i="6" a="1"/>
  <c r="AE58" i="6" s="1"/>
  <c r="AF58" i="6" a="1"/>
  <c r="AF58" i="6" s="1"/>
  <c r="AG58" i="6" a="1"/>
  <c r="AG58" i="6"/>
  <c r="AH58" i="6" a="1"/>
  <c r="AH58" i="6" s="1"/>
  <c r="AI58" i="6" a="1"/>
  <c r="AI58" i="6" s="1"/>
  <c r="AJ58" i="6" a="1"/>
  <c r="AJ58" i="6" s="1"/>
  <c r="AK58" i="6" a="1"/>
  <c r="AK58" i="6" s="1"/>
  <c r="AL58" i="6" a="1"/>
  <c r="AL58" i="6" s="1"/>
  <c r="AM58" i="6" a="1"/>
  <c r="AM58" i="6" s="1"/>
  <c r="AN58" i="6" a="1"/>
  <c r="AN58" i="6" s="1"/>
  <c r="AO58" i="6" a="1"/>
  <c r="AO58" i="6" s="1"/>
  <c r="AP58" i="6" a="1"/>
  <c r="AP58" i="6" s="1"/>
  <c r="AQ58" i="6" a="1"/>
  <c r="AQ58" i="6" s="1"/>
  <c r="AR58" i="6" a="1"/>
  <c r="AR58" i="6" s="1"/>
  <c r="AS58" i="6" a="1"/>
  <c r="AS58" i="6" s="1"/>
  <c r="AT58" i="6" a="1"/>
  <c r="AT58" i="6" s="1"/>
  <c r="AU58" i="6" a="1"/>
  <c r="AU58" i="6"/>
  <c r="AV58" i="6" a="1"/>
  <c r="AV58" i="6" s="1"/>
  <c r="AW58" i="6" a="1"/>
  <c r="AW58" i="6" s="1"/>
  <c r="AX58" i="6" a="1"/>
  <c r="AX58" i="6" s="1"/>
  <c r="AY58" i="6" a="1"/>
  <c r="AY58" i="6" s="1"/>
  <c r="AZ58" i="6" a="1"/>
  <c r="AZ58" i="6" s="1"/>
  <c r="BA58" i="6" a="1"/>
  <c r="BA58" i="6" s="1"/>
  <c r="BB58" i="6" a="1"/>
  <c r="BB58" i="6" s="1"/>
  <c r="BC58" i="6" a="1"/>
  <c r="BC58" i="6"/>
  <c r="BD58" i="6" a="1"/>
  <c r="BD58" i="6" s="1"/>
  <c r="BE58" i="6" a="1"/>
  <c r="BE58" i="6" s="1"/>
  <c r="BF58" i="6" a="1"/>
  <c r="BF58" i="6" s="1"/>
  <c r="BG58" i="6" a="1"/>
  <c r="BG58" i="6" s="1"/>
  <c r="BH58" i="6" a="1"/>
  <c r="BH58" i="6" s="1"/>
  <c r="BI58" i="6" a="1"/>
  <c r="BI58" i="6" s="1"/>
  <c r="BJ58" i="6" a="1"/>
  <c r="BJ58" i="6" s="1"/>
  <c r="BK58" i="6" a="1"/>
  <c r="BK58" i="6"/>
  <c r="BL58" i="6" a="1"/>
  <c r="BL58" i="6"/>
  <c r="BM58" i="6" a="1"/>
  <c r="BM58" i="6" s="1"/>
  <c r="BN58" i="6" a="1"/>
  <c r="BN58" i="6" s="1"/>
  <c r="BO58" i="6" a="1"/>
  <c r="BO58" i="6" s="1"/>
  <c r="BP58" i="6" a="1"/>
  <c r="BP58" i="6" s="1"/>
  <c r="BQ58" i="6" a="1"/>
  <c r="BQ58" i="6" s="1"/>
  <c r="BR58" i="6" a="1"/>
  <c r="BR58" i="6" s="1"/>
  <c r="BS58" i="6" a="1"/>
  <c r="BS58" i="6" s="1"/>
  <c r="BT58" i="6" a="1"/>
  <c r="BT58" i="6"/>
  <c r="BU58" i="6" a="1"/>
  <c r="BU58" i="6" s="1"/>
  <c r="BV58" i="6" a="1"/>
  <c r="BV58" i="6" s="1"/>
  <c r="BW58" i="6" a="1"/>
  <c r="BW58" i="6" s="1"/>
  <c r="BX58" i="6" a="1"/>
  <c r="BX58" i="6" s="1"/>
  <c r="BY58" i="6" a="1"/>
  <c r="BY58" i="6" s="1"/>
  <c r="BZ58" i="6" a="1"/>
  <c r="BZ58" i="6" s="1"/>
  <c r="CA58" i="6" a="1"/>
  <c r="CA58" i="6" s="1"/>
  <c r="CB58" i="6" a="1"/>
  <c r="CB58" i="6"/>
  <c r="CC58" i="6" a="1"/>
  <c r="CC58" i="6"/>
  <c r="CD58" i="6" a="1"/>
  <c r="CD58" i="6" s="1"/>
  <c r="CE58" i="6" a="1"/>
  <c r="CE58" i="6" s="1"/>
  <c r="CF58" i="6" a="1"/>
  <c r="CF58" i="6" s="1"/>
  <c r="CG58" i="6" a="1"/>
  <c r="CG58" i="6" s="1"/>
  <c r="CH58" i="6" a="1"/>
  <c r="CH58" i="6" s="1"/>
  <c r="CI58" i="6" a="1"/>
  <c r="CI58" i="6" s="1"/>
  <c r="CJ58" i="6" a="1"/>
  <c r="CJ58" i="6" s="1"/>
  <c r="CK58" i="6" a="1"/>
  <c r="CK58" i="6"/>
  <c r="CL58" i="6" a="1"/>
  <c r="CL58" i="6" s="1"/>
  <c r="CM58" i="6" a="1"/>
  <c r="CM58" i="6" s="1"/>
  <c r="CN58" i="6" a="1"/>
  <c r="CN58" i="6" s="1"/>
  <c r="CO58" i="6" a="1"/>
  <c r="CO58" i="6" s="1"/>
  <c r="CP58" i="6" a="1"/>
  <c r="CP58" i="6" s="1"/>
  <c r="CQ58" i="6" a="1"/>
  <c r="CQ58" i="6" s="1"/>
  <c r="CR58" i="6" a="1"/>
  <c r="CR58" i="6" s="1"/>
  <c r="CS58" i="6" a="1"/>
  <c r="CS58" i="6"/>
  <c r="CT58" i="6" a="1"/>
  <c r="CT58" i="6" s="1"/>
  <c r="CU58" i="6" a="1"/>
  <c r="CU58" i="6" s="1"/>
  <c r="CV58" i="6" a="1"/>
  <c r="CV58" i="6" s="1"/>
  <c r="CW58" i="6" a="1"/>
  <c r="CW58" i="6" s="1"/>
  <c r="CX58" i="6" a="1"/>
  <c r="CX58" i="6" s="1"/>
  <c r="CY58" i="6" a="1"/>
  <c r="CY58" i="6" s="1"/>
  <c r="CZ58" i="6" a="1"/>
  <c r="CZ58" i="6" s="1"/>
  <c r="DA58" i="6" a="1"/>
  <c r="DA58" i="6" s="1"/>
  <c r="DB58" i="6" a="1"/>
  <c r="DB58" i="6" s="1"/>
  <c r="DC58" i="6" a="1"/>
  <c r="DC58" i="6" s="1"/>
  <c r="DD58" i="6" a="1"/>
  <c r="DD58" i="6" s="1"/>
  <c r="DE58" i="6" a="1"/>
  <c r="DE58" i="6" s="1"/>
  <c r="DF58" i="6" a="1"/>
  <c r="DF58" i="6" s="1"/>
  <c r="DG58" i="6" a="1"/>
  <c r="DG58" i="6"/>
  <c r="DH58" i="6" a="1"/>
  <c r="DH58" i="6" s="1"/>
  <c r="DI58" i="6" a="1"/>
  <c r="DI58" i="6" s="1"/>
  <c r="DJ58" i="6" a="1"/>
  <c r="DJ58" i="6" s="1"/>
  <c r="DK58" i="6" a="1"/>
  <c r="DK58" i="6" s="1"/>
  <c r="DL58" i="6" a="1"/>
  <c r="DL58" i="6" s="1"/>
  <c r="DM58" i="6" a="1"/>
  <c r="DM58" i="6" s="1"/>
  <c r="DN58" i="6" a="1"/>
  <c r="DN58" i="6" s="1"/>
  <c r="DO58" i="6" a="1"/>
  <c r="DO58" i="6"/>
  <c r="DP58" i="6" a="1"/>
  <c r="DP58" i="6" s="1"/>
  <c r="DQ58" i="6" a="1"/>
  <c r="DQ58" i="6" s="1"/>
  <c r="DR58" i="6" a="1"/>
  <c r="DR58" i="6" s="1"/>
  <c r="DS58" i="6" a="1"/>
  <c r="DS58" i="6" s="1"/>
  <c r="DT58" i="6" a="1"/>
  <c r="DT58" i="6" s="1"/>
  <c r="DU58" i="6" a="1"/>
  <c r="DU58" i="6" s="1"/>
  <c r="DV58" i="6" a="1"/>
  <c r="DV58" i="6" s="1"/>
  <c r="DW58" i="6" a="1"/>
  <c r="DW58" i="6"/>
  <c r="DX58" i="6" a="1"/>
  <c r="DX58" i="6"/>
  <c r="DY58" i="6" a="1"/>
  <c r="DY58" i="6" s="1"/>
  <c r="DZ58" i="6" a="1"/>
  <c r="DZ58" i="6" s="1"/>
  <c r="EA58" i="6" a="1"/>
  <c r="EA58" i="6" s="1"/>
  <c r="EB58" i="6" a="1"/>
  <c r="EB58" i="6" s="1"/>
  <c r="EC58" i="6" a="1"/>
  <c r="EC58" i="6" s="1"/>
  <c r="ED58" i="6" a="1"/>
  <c r="ED58" i="6" s="1"/>
  <c r="EE58" i="6" a="1"/>
  <c r="EE58" i="6" s="1"/>
  <c r="E59" i="6" a="1"/>
  <c r="E59" i="6"/>
  <c r="F59" i="6" a="1"/>
  <c r="F59" i="6" s="1"/>
  <c r="G59" i="6" a="1"/>
  <c r="G59" i="6" s="1"/>
  <c r="H59" i="6" a="1"/>
  <c r="H59" i="6" s="1"/>
  <c r="I59" i="6" a="1"/>
  <c r="I59" i="6" s="1"/>
  <c r="J59" i="6" a="1"/>
  <c r="J59" i="6" s="1"/>
  <c r="K59" i="6" a="1"/>
  <c r="K59" i="6" s="1"/>
  <c r="L59" i="6" a="1"/>
  <c r="L59" i="6" s="1"/>
  <c r="M59" i="6" a="1"/>
  <c r="M59" i="6"/>
  <c r="N59" i="6" a="1"/>
  <c r="N59" i="6"/>
  <c r="O59" i="6" a="1"/>
  <c r="O59" i="6" s="1"/>
  <c r="P59" i="6" a="1"/>
  <c r="P59" i="6" s="1"/>
  <c r="Q59" i="6" a="1"/>
  <c r="Q59" i="6" s="1"/>
  <c r="R59" i="6" a="1"/>
  <c r="R59" i="6" s="1"/>
  <c r="S59" i="6" a="1"/>
  <c r="S59" i="6" s="1"/>
  <c r="T59" i="6" a="1"/>
  <c r="T59" i="6" s="1"/>
  <c r="U59" i="6" a="1"/>
  <c r="U59" i="6" s="1"/>
  <c r="V59" i="6" a="1"/>
  <c r="V59" i="6"/>
  <c r="W59" i="6" a="1"/>
  <c r="W59" i="6" s="1"/>
  <c r="X59" i="6" a="1"/>
  <c r="X59" i="6" s="1"/>
  <c r="Y59" i="6" a="1"/>
  <c r="Y59" i="6" s="1"/>
  <c r="Z59" i="6" a="1"/>
  <c r="Z59" i="6" s="1"/>
  <c r="AA59" i="6" a="1"/>
  <c r="AA59" i="6" s="1"/>
  <c r="AB59" i="6" a="1"/>
  <c r="AB59" i="6" s="1"/>
  <c r="AC59" i="6" a="1"/>
  <c r="AC59" i="6" s="1"/>
  <c r="AD59" i="6" a="1"/>
  <c r="AD59" i="6"/>
  <c r="AE59" i="6" a="1"/>
  <c r="AE59" i="6" s="1"/>
  <c r="AF59" i="6" a="1"/>
  <c r="AF59" i="6" s="1"/>
  <c r="AG59" i="6" a="1"/>
  <c r="AG59" i="6" s="1"/>
  <c r="AH59" i="6" a="1"/>
  <c r="AH59" i="6" s="1"/>
  <c r="AI59" i="6" a="1"/>
  <c r="AI59" i="6" s="1"/>
  <c r="AJ59" i="6" a="1"/>
  <c r="AJ59" i="6" s="1"/>
  <c r="AK59" i="6" a="1"/>
  <c r="AK59" i="6"/>
  <c r="AL59" i="6" a="1"/>
  <c r="AL59" i="6"/>
  <c r="AM59" i="6" a="1"/>
  <c r="AM59" i="6" s="1"/>
  <c r="AN59" i="6" a="1"/>
  <c r="AN59" i="6" s="1"/>
  <c r="AO59" i="6" a="1"/>
  <c r="AO59" i="6" s="1"/>
  <c r="AP59" i="6" a="1"/>
  <c r="AP59" i="6" s="1"/>
  <c r="AQ59" i="6" a="1"/>
  <c r="AQ59" i="6" s="1"/>
  <c r="AR59" i="6" a="1"/>
  <c r="AR59" i="6" s="1"/>
  <c r="AS59" i="6" a="1"/>
  <c r="AS59" i="6" s="1"/>
  <c r="AT59" i="6" a="1"/>
  <c r="AT59" i="6" s="1"/>
  <c r="AU59" i="6" a="1"/>
  <c r="AU59" i="6" s="1"/>
  <c r="AV59" i="6" a="1"/>
  <c r="AV59" i="6" s="1"/>
  <c r="AW59" i="6" a="1"/>
  <c r="AW59" i="6" s="1"/>
  <c r="AX59" i="6" a="1"/>
  <c r="AX59" i="6" s="1"/>
  <c r="AY59" i="6" a="1"/>
  <c r="AY59" i="6" s="1"/>
  <c r="AZ59" i="6" a="1"/>
  <c r="AZ59" i="6" s="1"/>
  <c r="BA59" i="6" a="1"/>
  <c r="BA59" i="6"/>
  <c r="BB59" i="6" a="1"/>
  <c r="BB59" i="6" s="1"/>
  <c r="BC59" i="6" a="1"/>
  <c r="BC59" i="6" s="1"/>
  <c r="BD59" i="6" a="1"/>
  <c r="BD59" i="6" s="1"/>
  <c r="BE59" i="6" a="1"/>
  <c r="BE59" i="6" s="1"/>
  <c r="BF59" i="6" a="1"/>
  <c r="BF59" i="6" s="1"/>
  <c r="BG59" i="6" a="1"/>
  <c r="BG59" i="6" s="1"/>
  <c r="BH59" i="6" a="1"/>
  <c r="BH59" i="6"/>
  <c r="BI59" i="6" a="1"/>
  <c r="BI59" i="6" s="1"/>
  <c r="BJ59" i="6" a="1"/>
  <c r="BJ59" i="6" s="1"/>
  <c r="BK59" i="6" a="1"/>
  <c r="BK59" i="6" s="1"/>
  <c r="BL59" i="6" a="1"/>
  <c r="BL59" i="6" s="1"/>
  <c r="BM59" i="6" a="1"/>
  <c r="BM59" i="6" s="1"/>
  <c r="BN59" i="6" a="1"/>
  <c r="BN59" i="6" s="1"/>
  <c r="BO59" i="6" a="1"/>
  <c r="BO59" i="6" s="1"/>
  <c r="BP59" i="6" a="1"/>
  <c r="BP59" i="6" s="1"/>
  <c r="BQ59" i="6" a="1"/>
  <c r="BQ59" i="6" s="1"/>
  <c r="BR59" i="6" a="1"/>
  <c r="BR59" i="6" s="1"/>
  <c r="BS59" i="6" a="1"/>
  <c r="BS59" i="6" s="1"/>
  <c r="BT59" i="6" a="1"/>
  <c r="BT59" i="6" s="1"/>
  <c r="BU59" i="6" a="1"/>
  <c r="BU59" i="6" s="1"/>
  <c r="BV59" i="6" a="1"/>
  <c r="BV59" i="6" s="1"/>
  <c r="BW59" i="6" a="1"/>
  <c r="BW59" i="6" s="1"/>
  <c r="BX59" i="6" a="1"/>
  <c r="BX59" i="6"/>
  <c r="BY59" i="6" a="1"/>
  <c r="BY59" i="6" s="1"/>
  <c r="BZ59" i="6" a="1"/>
  <c r="BZ59" i="6"/>
  <c r="CA59" i="6" a="1"/>
  <c r="CA59" i="6" s="1"/>
  <c r="CB59" i="6" a="1"/>
  <c r="CB59" i="6" s="1"/>
  <c r="CC59" i="6" a="1"/>
  <c r="CC59" i="6" s="1"/>
  <c r="CD59" i="6" a="1"/>
  <c r="CD59" i="6" s="1"/>
  <c r="CE59" i="6" a="1"/>
  <c r="CE59" i="6" s="1"/>
  <c r="CF59" i="6" a="1"/>
  <c r="CF59" i="6" s="1"/>
  <c r="CG59" i="6" a="1"/>
  <c r="CG59" i="6" s="1"/>
  <c r="CH59" i="6" a="1"/>
  <c r="CH59" i="6" s="1"/>
  <c r="CI59" i="6" a="1"/>
  <c r="CI59" i="6" s="1"/>
  <c r="CJ59" i="6" a="1"/>
  <c r="CJ59" i="6" s="1"/>
  <c r="CK59" i="6" a="1"/>
  <c r="CK59" i="6" s="1"/>
  <c r="CL59" i="6" a="1"/>
  <c r="CL59" i="6" s="1"/>
  <c r="CM59" i="6" a="1"/>
  <c r="CM59" i="6" s="1"/>
  <c r="CN59" i="6" a="1"/>
  <c r="CN59" i="6" s="1"/>
  <c r="CO59" i="6" a="1"/>
  <c r="CO59" i="6" s="1"/>
  <c r="CP59" i="6" a="1"/>
  <c r="CP59" i="6" s="1"/>
  <c r="CQ59" i="6" a="1"/>
  <c r="CQ59" i="6" s="1"/>
  <c r="CR59" i="6" a="1"/>
  <c r="CR59" i="6" s="1"/>
  <c r="CS59" i="6" a="1"/>
  <c r="CS59" i="6" s="1"/>
  <c r="CT59" i="6" a="1"/>
  <c r="CT59" i="6" s="1"/>
  <c r="CU59" i="6" a="1"/>
  <c r="CU59" i="6" s="1"/>
  <c r="CV59" i="6" a="1"/>
  <c r="CV59" i="6" s="1"/>
  <c r="CW59" i="6" a="1"/>
  <c r="CW59" i="6" s="1"/>
  <c r="CX59" i="6" a="1"/>
  <c r="CX59" i="6" s="1"/>
  <c r="CY59" i="6" a="1"/>
  <c r="CY59" i="6" s="1"/>
  <c r="CZ59" i="6" a="1"/>
  <c r="CZ59" i="6" s="1"/>
  <c r="DA59" i="6" a="1"/>
  <c r="DA59" i="6" s="1"/>
  <c r="DB59" i="6" a="1"/>
  <c r="DB59" i="6" s="1"/>
  <c r="DC59" i="6" a="1"/>
  <c r="DC59" i="6" s="1"/>
  <c r="DD59" i="6" a="1"/>
  <c r="DD59" i="6" s="1"/>
  <c r="DE59" i="6" a="1"/>
  <c r="DE59" i="6" s="1"/>
  <c r="DF59" i="6" a="1"/>
  <c r="DF59" i="6" s="1"/>
  <c r="DG59" i="6" a="1"/>
  <c r="DG59" i="6" s="1"/>
  <c r="DH59" i="6" a="1"/>
  <c r="DH59" i="6" s="1"/>
  <c r="DI59" i="6" a="1"/>
  <c r="DI59" i="6" s="1"/>
  <c r="DJ59" i="6" a="1"/>
  <c r="DJ59" i="6" s="1"/>
  <c r="DK59" i="6" a="1"/>
  <c r="DK59" i="6" s="1"/>
  <c r="DL59" i="6" a="1"/>
  <c r="DL59" i="6" s="1"/>
  <c r="DM59" i="6" a="1"/>
  <c r="DM59" i="6" s="1"/>
  <c r="DN59" i="6" a="1"/>
  <c r="DN59" i="6" s="1"/>
  <c r="DO59" i="6" a="1"/>
  <c r="DO59" i="6" s="1"/>
  <c r="DP59" i="6" a="1"/>
  <c r="DP59" i="6" s="1"/>
  <c r="DQ59" i="6" a="1"/>
  <c r="DQ59" i="6" s="1"/>
  <c r="DR59" i="6" a="1"/>
  <c r="DR59" i="6" s="1"/>
  <c r="DS59" i="6" a="1"/>
  <c r="DS59" i="6" s="1"/>
  <c r="DT59" i="6" a="1"/>
  <c r="DT59" i="6" s="1"/>
  <c r="DU59" i="6" a="1"/>
  <c r="DU59" i="6" s="1"/>
  <c r="DV59" i="6" a="1"/>
  <c r="DV59" i="6"/>
  <c r="DW59" i="6" a="1"/>
  <c r="DW59" i="6" s="1"/>
  <c r="DX59" i="6" a="1"/>
  <c r="DX59" i="6" s="1"/>
  <c r="DY59" i="6" a="1"/>
  <c r="DY59" i="6" s="1"/>
  <c r="DZ59" i="6" a="1"/>
  <c r="DZ59" i="6" s="1"/>
  <c r="EA59" i="6" a="1"/>
  <c r="EA59" i="6" s="1"/>
  <c r="EB59" i="6" a="1"/>
  <c r="EB59" i="6" s="1"/>
  <c r="EC59" i="6" a="1"/>
  <c r="EC59" i="6"/>
  <c r="ED59" i="6" a="1"/>
  <c r="ED59" i="6"/>
  <c r="EE59" i="6" a="1"/>
  <c r="EE59" i="6" s="1"/>
  <c r="E60" i="6" a="1"/>
  <c r="E60" i="6" s="1"/>
  <c r="F60" i="6" a="1"/>
  <c r="F60" i="6" s="1"/>
  <c r="G60" i="6" a="1"/>
  <c r="G60" i="6" s="1"/>
  <c r="H60" i="6" a="1"/>
  <c r="H60" i="6" s="1"/>
  <c r="I60" i="6" a="1"/>
  <c r="I60" i="6" s="1"/>
  <c r="J60" i="6" a="1"/>
  <c r="J60" i="6" s="1"/>
  <c r="K60" i="6" a="1"/>
  <c r="K60" i="6" s="1"/>
  <c r="L60" i="6" a="1"/>
  <c r="L60" i="6" s="1"/>
  <c r="M60" i="6" a="1"/>
  <c r="M60" i="6" s="1"/>
  <c r="N60" i="6" a="1"/>
  <c r="N60" i="6" s="1"/>
  <c r="O60" i="6" a="1"/>
  <c r="O60" i="6" s="1"/>
  <c r="P60" i="6" a="1"/>
  <c r="P60" i="6" s="1"/>
  <c r="Q60" i="6" a="1"/>
  <c r="Q60" i="6" s="1"/>
  <c r="R60" i="6" a="1"/>
  <c r="R60" i="6"/>
  <c r="S60" i="6" a="1"/>
  <c r="S60" i="6" s="1"/>
  <c r="T60" i="6" a="1"/>
  <c r="T60" i="6" s="1"/>
  <c r="U60" i="6" a="1"/>
  <c r="U60" i="6" s="1"/>
  <c r="V60" i="6" a="1"/>
  <c r="V60" i="6" s="1"/>
  <c r="W60" i="6" a="1"/>
  <c r="W60" i="6" s="1"/>
  <c r="X60" i="6" a="1"/>
  <c r="X60" i="6" s="1"/>
  <c r="Y60" i="6" a="1"/>
  <c r="Y60" i="6"/>
  <c r="Z60" i="6" a="1"/>
  <c r="Z60" i="6" s="1"/>
  <c r="AA60" i="6" a="1"/>
  <c r="AA60" i="6" s="1"/>
  <c r="AB60" i="6" a="1"/>
  <c r="AB60" i="6" s="1"/>
  <c r="AC60" i="6" a="1"/>
  <c r="AC60" i="6" s="1"/>
  <c r="AD60" i="6" a="1"/>
  <c r="AD60" i="6" s="1"/>
  <c r="AE60" i="6" a="1"/>
  <c r="AE60" i="6" s="1"/>
  <c r="AF60" i="6" a="1"/>
  <c r="AF60" i="6" s="1"/>
  <c r="AG60" i="6" a="1"/>
  <c r="AG60" i="6" s="1"/>
  <c r="AH60" i="6" a="1"/>
  <c r="AH60" i="6" s="1"/>
  <c r="AI60" i="6" a="1"/>
  <c r="AI60" i="6" s="1"/>
  <c r="AJ60" i="6" a="1"/>
  <c r="AJ60" i="6" s="1"/>
  <c r="AK60" i="6" a="1"/>
  <c r="AK60" i="6" s="1"/>
  <c r="AL60" i="6" a="1"/>
  <c r="AL60" i="6" s="1"/>
  <c r="AM60" i="6" a="1"/>
  <c r="AM60" i="6" s="1"/>
  <c r="AN60" i="6" a="1"/>
  <c r="AN60" i="6" s="1"/>
  <c r="AO60" i="6" a="1"/>
  <c r="AO60" i="6" s="1"/>
  <c r="AP60" i="6" a="1"/>
  <c r="AP60" i="6" s="1"/>
  <c r="AQ60" i="6" a="1"/>
  <c r="AQ60" i="6" s="1"/>
  <c r="AR60" i="6" a="1"/>
  <c r="AR60" i="6" s="1"/>
  <c r="AS60" i="6" a="1"/>
  <c r="AS60" i="6" s="1"/>
  <c r="AT60" i="6" a="1"/>
  <c r="AT60" i="6" s="1"/>
  <c r="AU60" i="6" a="1"/>
  <c r="AU60" i="6" s="1"/>
  <c r="AV60" i="6" a="1"/>
  <c r="AV60" i="6" s="1"/>
  <c r="AW60" i="6" a="1"/>
  <c r="AW60" i="6" s="1"/>
  <c r="AX60" i="6" a="1"/>
  <c r="AX60" i="6"/>
  <c r="AY60" i="6" a="1"/>
  <c r="AY60" i="6" s="1"/>
  <c r="AZ60" i="6" a="1"/>
  <c r="AZ60" i="6" s="1"/>
  <c r="BA60" i="6" a="1"/>
  <c r="BA60" i="6" s="1"/>
  <c r="BB60" i="6" a="1"/>
  <c r="BB60" i="6" s="1"/>
  <c r="BC60" i="6" a="1"/>
  <c r="BC60" i="6" s="1"/>
  <c r="BD60" i="6" a="1"/>
  <c r="BD60" i="6" s="1"/>
  <c r="BE60" i="6" a="1"/>
  <c r="BE60" i="6" s="1"/>
  <c r="BF60" i="6" a="1"/>
  <c r="BF60" i="6"/>
  <c r="BG60" i="6" a="1"/>
  <c r="BG60" i="6" s="1"/>
  <c r="BH60" i="6" a="1"/>
  <c r="BH60" i="6" s="1"/>
  <c r="BI60" i="6" a="1"/>
  <c r="BI60" i="6" s="1"/>
  <c r="BJ60" i="6" a="1"/>
  <c r="BJ60" i="6" s="1"/>
  <c r="BK60" i="6" a="1"/>
  <c r="BK60" i="6" s="1"/>
  <c r="BL60" i="6" a="1"/>
  <c r="BL60" i="6" s="1"/>
  <c r="BM60" i="6" a="1"/>
  <c r="BM60" i="6"/>
  <c r="BN60" i="6" a="1"/>
  <c r="BN60" i="6"/>
  <c r="BO60" i="6" a="1"/>
  <c r="BO60" i="6" s="1"/>
  <c r="BP60" i="6" a="1"/>
  <c r="BP60" i="6" s="1"/>
  <c r="BQ60" i="6" a="1"/>
  <c r="BQ60" i="6" s="1"/>
  <c r="BR60" i="6" a="1"/>
  <c r="BR60" i="6" s="1"/>
  <c r="BS60" i="6" a="1"/>
  <c r="BS60" i="6" s="1"/>
  <c r="BT60" i="6" a="1"/>
  <c r="BT60" i="6" s="1"/>
  <c r="BU60" i="6" a="1"/>
  <c r="BU60" i="6" s="1"/>
  <c r="BV60" i="6" a="1"/>
  <c r="BV60" i="6" s="1"/>
  <c r="BW60" i="6" a="1"/>
  <c r="BW60" i="6" s="1"/>
  <c r="BX60" i="6" a="1"/>
  <c r="BX60" i="6" s="1"/>
  <c r="BY60" i="6" a="1"/>
  <c r="BY60" i="6" s="1"/>
  <c r="BZ60" i="6" a="1"/>
  <c r="BZ60" i="6" s="1"/>
  <c r="CA60" i="6" a="1"/>
  <c r="CA60" i="6" s="1"/>
  <c r="CB60" i="6" a="1"/>
  <c r="CB60" i="6" s="1"/>
  <c r="CC60" i="6" a="1"/>
  <c r="CC60" i="6"/>
  <c r="CD60" i="6" a="1"/>
  <c r="CD60" i="6" s="1"/>
  <c r="CE60" i="6" a="1"/>
  <c r="CE60" i="6" s="1"/>
  <c r="CF60" i="6" a="1"/>
  <c r="CF60" i="6" s="1"/>
  <c r="CG60" i="6" a="1"/>
  <c r="CG60" i="6" s="1"/>
  <c r="CH60" i="6" a="1"/>
  <c r="CH60" i="6" s="1"/>
  <c r="CI60" i="6" a="1"/>
  <c r="CI60" i="6" s="1"/>
  <c r="CJ60" i="6" a="1"/>
  <c r="CJ60" i="6" s="1"/>
  <c r="CK60" i="6" a="1"/>
  <c r="CK60" i="6" s="1"/>
  <c r="CL60" i="6" a="1"/>
  <c r="CL60" i="6" s="1"/>
  <c r="CM60" i="6" a="1"/>
  <c r="CM60" i="6" s="1"/>
  <c r="CN60" i="6" a="1"/>
  <c r="CN60" i="6" s="1"/>
  <c r="CO60" i="6" a="1"/>
  <c r="CO60" i="6" s="1"/>
  <c r="CP60" i="6" a="1"/>
  <c r="CP60" i="6" s="1"/>
  <c r="CQ60" i="6" a="1"/>
  <c r="CQ60" i="6" s="1"/>
  <c r="CR60" i="6" a="1"/>
  <c r="CR60" i="6" s="1"/>
  <c r="CS60" i="6" a="1"/>
  <c r="CS60" i="6" s="1"/>
  <c r="CT60" i="6" a="1"/>
  <c r="CT60" i="6" s="1"/>
  <c r="CU60" i="6" a="1"/>
  <c r="CU60" i="6"/>
  <c r="CV60" i="6" a="1"/>
  <c r="CV60" i="6" s="1"/>
  <c r="CW60" i="6" a="1"/>
  <c r="CW60" i="6" s="1"/>
  <c r="CX60" i="6" a="1"/>
  <c r="CX60" i="6" s="1"/>
  <c r="CY60" i="6" a="1"/>
  <c r="CY60" i="6" s="1"/>
  <c r="CZ60" i="6" a="1"/>
  <c r="CZ60" i="6" s="1"/>
  <c r="DA60" i="6" a="1"/>
  <c r="DA60" i="6" s="1"/>
  <c r="DB60" i="6" a="1"/>
  <c r="DB60" i="6" s="1"/>
  <c r="DC60" i="6" a="1"/>
  <c r="DC60" i="6" s="1"/>
  <c r="DD60" i="6" a="1"/>
  <c r="DD60" i="6" s="1"/>
  <c r="DE60" i="6" a="1"/>
  <c r="DE60" i="6" s="1"/>
  <c r="DF60" i="6" a="1"/>
  <c r="DF60" i="6" s="1"/>
  <c r="DG60" i="6" a="1"/>
  <c r="DG60" i="6" s="1"/>
  <c r="DH60" i="6" a="1"/>
  <c r="DH60" i="6" s="1"/>
  <c r="DI60" i="6" a="1"/>
  <c r="DI60" i="6" s="1"/>
  <c r="DJ60" i="6" a="1"/>
  <c r="DJ60" i="6"/>
  <c r="DK60" i="6" a="1"/>
  <c r="DK60" i="6"/>
  <c r="DL60" i="6" a="1"/>
  <c r="DL60" i="6" s="1"/>
  <c r="DM60" i="6" a="1"/>
  <c r="DM60" i="6" s="1"/>
  <c r="DN60" i="6" a="1"/>
  <c r="DN60" i="6" s="1"/>
  <c r="DO60" i="6" a="1"/>
  <c r="DO60" i="6" s="1"/>
  <c r="DP60" i="6" a="1"/>
  <c r="DP60" i="6" s="1"/>
  <c r="DQ60" i="6" a="1"/>
  <c r="DQ60" i="6" s="1"/>
  <c r="DR60" i="6" a="1"/>
  <c r="DR60" i="6"/>
  <c r="DS60" i="6" a="1"/>
  <c r="DS60" i="6" s="1"/>
  <c r="DT60" i="6" a="1"/>
  <c r="DT60" i="6" s="1"/>
  <c r="DU60" i="6" a="1"/>
  <c r="DU60" i="6" s="1"/>
  <c r="DV60" i="6" a="1"/>
  <c r="DV60" i="6" s="1"/>
  <c r="DW60" i="6" a="1"/>
  <c r="DW60" i="6" s="1"/>
  <c r="DX60" i="6" a="1"/>
  <c r="DX60" i="6" s="1"/>
  <c r="DY60" i="6" a="1"/>
  <c r="DY60" i="6"/>
  <c r="DZ60" i="6" a="1"/>
  <c r="DZ60" i="6" s="1"/>
  <c r="EA60" i="6" a="1"/>
  <c r="EA60" i="6" s="1"/>
  <c r="EB60" i="6" a="1"/>
  <c r="EB60" i="6" s="1"/>
  <c r="EC60" i="6" a="1"/>
  <c r="EC60" i="6" s="1"/>
  <c r="ED60" i="6" a="1"/>
  <c r="ED60" i="6" s="1"/>
  <c r="EE60" i="6" a="1"/>
  <c r="EE60" i="6" s="1"/>
  <c r="E61" i="6" a="1"/>
  <c r="E61" i="6" s="1"/>
  <c r="F61" i="6" a="1"/>
  <c r="F61" i="6"/>
  <c r="G61" i="6" a="1"/>
  <c r="G61" i="6" s="1"/>
  <c r="H61" i="6" a="1"/>
  <c r="H61" i="6" s="1"/>
  <c r="I61" i="6" a="1"/>
  <c r="I61" i="6" s="1"/>
  <c r="J61" i="6" a="1"/>
  <c r="J61" i="6" s="1"/>
  <c r="K61" i="6" a="1"/>
  <c r="K61" i="6" s="1"/>
  <c r="L61" i="6" a="1"/>
  <c r="L61" i="6" s="1"/>
  <c r="M61" i="6" a="1"/>
  <c r="M61" i="6" s="1"/>
  <c r="N61" i="6" a="1"/>
  <c r="N61" i="6"/>
  <c r="O61" i="6" a="1"/>
  <c r="O61" i="6"/>
  <c r="P61" i="6" a="1"/>
  <c r="P61" i="6" s="1"/>
  <c r="Q61" i="6" a="1"/>
  <c r="Q61" i="6" s="1"/>
  <c r="R61" i="6" a="1"/>
  <c r="R61" i="6" s="1"/>
  <c r="S61" i="6" a="1"/>
  <c r="S61" i="6" s="1"/>
  <c r="T61" i="6" a="1"/>
  <c r="T61" i="6" s="1"/>
  <c r="U61" i="6" a="1"/>
  <c r="U61" i="6" s="1"/>
  <c r="V61" i="6" a="1"/>
  <c r="V61" i="6" s="1"/>
  <c r="W61" i="6" a="1"/>
  <c r="W61" i="6"/>
  <c r="X61" i="6" a="1"/>
  <c r="X61" i="6" s="1"/>
  <c r="Y61" i="6" a="1"/>
  <c r="Y61" i="6" s="1"/>
  <c r="Z61" i="6" a="1"/>
  <c r="Z61" i="6" s="1"/>
  <c r="AA61" i="6" a="1"/>
  <c r="AA61" i="6" s="1"/>
  <c r="AB61" i="6" a="1"/>
  <c r="AB61" i="6" s="1"/>
  <c r="AC61" i="6" a="1"/>
  <c r="AC61" i="6" s="1"/>
  <c r="AD61" i="6" a="1"/>
  <c r="AD61" i="6" s="1"/>
  <c r="AE61" i="6" a="1"/>
  <c r="AE61" i="6"/>
  <c r="AF61" i="6" a="1"/>
  <c r="AF61" i="6"/>
  <c r="AG61" i="6" a="1"/>
  <c r="AG61" i="6" s="1"/>
  <c r="AH61" i="6" a="1"/>
  <c r="AH61" i="6" s="1"/>
  <c r="AI61" i="6" a="1"/>
  <c r="AI61" i="6" s="1"/>
  <c r="AJ61" i="6" a="1"/>
  <c r="AJ61" i="6" s="1"/>
  <c r="AK61" i="6" a="1"/>
  <c r="AK61" i="6" s="1"/>
  <c r="AL61" i="6" a="1"/>
  <c r="AL61" i="6" s="1"/>
  <c r="AM61" i="6" a="1"/>
  <c r="AM61" i="6" s="1"/>
  <c r="AN61" i="6" a="1"/>
  <c r="AN61" i="6"/>
  <c r="AO61" i="6" a="1"/>
  <c r="AO61" i="6" s="1"/>
  <c r="AP61" i="6" a="1"/>
  <c r="AP61" i="6" s="1"/>
  <c r="AQ61" i="6" a="1"/>
  <c r="AQ61" i="6" s="1"/>
  <c r="AR61" i="6" a="1"/>
  <c r="AR61" i="6" s="1"/>
  <c r="AS61" i="6" a="1"/>
  <c r="AS61" i="6" s="1"/>
  <c r="AT61" i="6" a="1"/>
  <c r="AT61" i="6" s="1"/>
  <c r="AU61" i="6" a="1"/>
  <c r="AU61" i="6" s="1"/>
  <c r="AV61" i="6" a="1"/>
  <c r="AV61" i="6"/>
  <c r="AW61" i="6" a="1"/>
  <c r="AW61" i="6" s="1"/>
  <c r="AX61" i="6" a="1"/>
  <c r="AX61" i="6" s="1"/>
  <c r="AY61" i="6" a="1"/>
  <c r="AY61" i="6" s="1"/>
  <c r="AZ61" i="6" a="1"/>
  <c r="AZ61" i="6" s="1"/>
  <c r="BA61" i="6" a="1"/>
  <c r="BA61" i="6" s="1"/>
  <c r="BB61" i="6" a="1"/>
  <c r="BB61" i="6" s="1"/>
  <c r="BC61" i="6" a="1"/>
  <c r="BC61" i="6" s="1"/>
  <c r="BD61" i="6" a="1"/>
  <c r="BD61" i="6" s="1"/>
  <c r="BE61" i="6" a="1"/>
  <c r="BE61" i="6" s="1"/>
  <c r="BF61" i="6" a="1"/>
  <c r="BF61" i="6" s="1"/>
  <c r="BG61" i="6" a="1"/>
  <c r="BG61" i="6" s="1"/>
  <c r="BH61" i="6" a="1"/>
  <c r="BH61" i="6" s="1"/>
  <c r="BI61" i="6" a="1"/>
  <c r="BI61" i="6" s="1"/>
  <c r="BJ61" i="6" a="1"/>
  <c r="BJ61" i="6"/>
  <c r="BK61" i="6" a="1"/>
  <c r="BK61" i="6" s="1"/>
  <c r="BL61" i="6" a="1"/>
  <c r="BL61" i="6" s="1"/>
  <c r="BM61" i="6" a="1"/>
  <c r="BM61" i="6" s="1"/>
  <c r="BN61" i="6" a="1"/>
  <c r="BN61" i="6" s="1"/>
  <c r="BO61" i="6" a="1"/>
  <c r="BO61" i="6" s="1"/>
  <c r="BP61" i="6" a="1"/>
  <c r="BP61" i="6" s="1"/>
  <c r="BQ61" i="6" a="1"/>
  <c r="BQ61" i="6" s="1"/>
  <c r="BR61" i="6" a="1"/>
  <c r="BR61" i="6"/>
  <c r="BS61" i="6" a="1"/>
  <c r="BS61" i="6" s="1"/>
  <c r="BT61" i="6" a="1"/>
  <c r="BT61" i="6" s="1"/>
  <c r="BU61" i="6" a="1"/>
  <c r="BU61" i="6" s="1"/>
  <c r="BV61" i="6" a="1"/>
  <c r="BV61" i="6" s="1"/>
  <c r="BW61" i="6" a="1"/>
  <c r="BW61" i="6" s="1"/>
  <c r="BX61" i="6" a="1"/>
  <c r="BX61" i="6" s="1"/>
  <c r="BY61" i="6" a="1"/>
  <c r="BY61" i="6" s="1"/>
  <c r="BZ61" i="6" a="1"/>
  <c r="BZ61" i="6"/>
  <c r="CA61" i="6" a="1"/>
  <c r="CA61" i="6"/>
  <c r="CB61" i="6" a="1"/>
  <c r="CB61" i="6" s="1"/>
  <c r="CC61" i="6" a="1"/>
  <c r="CC61" i="6" s="1"/>
  <c r="CD61" i="6" a="1"/>
  <c r="CD61" i="6" s="1"/>
  <c r="CE61" i="6" a="1"/>
  <c r="CE61" i="6" s="1"/>
  <c r="CF61" i="6" a="1"/>
  <c r="CF61" i="6" s="1"/>
  <c r="CG61" i="6" a="1"/>
  <c r="CG61" i="6" s="1"/>
  <c r="CH61" i="6" a="1"/>
  <c r="CH61" i="6" s="1"/>
  <c r="CI61" i="6" a="1"/>
  <c r="CI61" i="6"/>
  <c r="CJ61" i="6" a="1"/>
  <c r="CJ61" i="6" s="1"/>
  <c r="CK61" i="6" a="1"/>
  <c r="CK61" i="6" s="1"/>
  <c r="CL61" i="6" a="1"/>
  <c r="CL61" i="6" s="1"/>
  <c r="CM61" i="6" a="1"/>
  <c r="CM61" i="6" s="1"/>
  <c r="CN61" i="6" a="1"/>
  <c r="CN61" i="6" s="1"/>
  <c r="CO61" i="6" a="1"/>
  <c r="CO61" i="6" s="1"/>
  <c r="CP61" i="6" a="1"/>
  <c r="CP61" i="6" s="1"/>
  <c r="CQ61" i="6" a="1"/>
  <c r="CQ61" i="6"/>
  <c r="CR61" i="6" a="1"/>
  <c r="CR61" i="6"/>
  <c r="CS61" i="6" a="1"/>
  <c r="CS61" i="6" s="1"/>
  <c r="CT61" i="6" a="1"/>
  <c r="CT61" i="6" s="1"/>
  <c r="CU61" i="6" a="1"/>
  <c r="CU61" i="6" s="1"/>
  <c r="CV61" i="6" a="1"/>
  <c r="CV61" i="6" s="1"/>
  <c r="CW61" i="6" a="1"/>
  <c r="CW61" i="6" s="1"/>
  <c r="CX61" i="6" a="1"/>
  <c r="CX61" i="6" s="1"/>
  <c r="CY61" i="6" a="1"/>
  <c r="CY61" i="6" s="1"/>
  <c r="CZ61" i="6" a="1"/>
  <c r="CZ61" i="6"/>
  <c r="DA61" i="6" a="1"/>
  <c r="DA61" i="6" s="1"/>
  <c r="DB61" i="6" a="1"/>
  <c r="DB61" i="6" s="1"/>
  <c r="DC61" i="6" a="1"/>
  <c r="DC61" i="6" s="1"/>
  <c r="DD61" i="6" a="1"/>
  <c r="DD61" i="6" s="1"/>
  <c r="DE61" i="6" a="1"/>
  <c r="DE61" i="6" s="1"/>
  <c r="DF61" i="6" a="1"/>
  <c r="DF61" i="6" s="1"/>
  <c r="DG61" i="6" a="1"/>
  <c r="DG61" i="6" s="1"/>
  <c r="DH61" i="6" a="1"/>
  <c r="DH61" i="6"/>
  <c r="DI61" i="6" a="1"/>
  <c r="DI61" i="6" s="1"/>
  <c r="DJ61" i="6" a="1"/>
  <c r="DJ61" i="6" s="1"/>
  <c r="DK61" i="6" a="1"/>
  <c r="DK61" i="6" s="1"/>
  <c r="DL61" i="6" a="1"/>
  <c r="DL61" i="6" s="1"/>
  <c r="DM61" i="6" a="1"/>
  <c r="DM61" i="6" s="1"/>
  <c r="DN61" i="6" a="1"/>
  <c r="DN61" i="6" s="1"/>
  <c r="DO61" i="6" a="1"/>
  <c r="DO61" i="6" s="1"/>
  <c r="DP61" i="6" a="1"/>
  <c r="DP61" i="6" s="1"/>
  <c r="DQ61" i="6" a="1"/>
  <c r="DQ61" i="6" s="1"/>
  <c r="DR61" i="6" a="1"/>
  <c r="DR61" i="6" s="1"/>
  <c r="DS61" i="6" a="1"/>
  <c r="DS61" i="6" s="1"/>
  <c r="DT61" i="6" a="1"/>
  <c r="DT61" i="6" s="1"/>
  <c r="DU61" i="6" a="1"/>
  <c r="DU61" i="6" s="1"/>
  <c r="DV61" i="6" a="1"/>
  <c r="DV61" i="6"/>
  <c r="DW61" i="6" a="1"/>
  <c r="DW61" i="6" s="1"/>
  <c r="DX61" i="6" a="1"/>
  <c r="DX61" i="6" s="1"/>
  <c r="DY61" i="6" a="1"/>
  <c r="DY61" i="6" s="1"/>
  <c r="DZ61" i="6" a="1"/>
  <c r="DZ61" i="6" s="1"/>
  <c r="EA61" i="6" a="1"/>
  <c r="EA61" i="6" s="1"/>
  <c r="EB61" i="6" a="1"/>
  <c r="EB61" i="6" s="1"/>
  <c r="EC61" i="6" a="1"/>
  <c r="EC61" i="6" s="1"/>
  <c r="ED61" i="6" a="1"/>
  <c r="ED61" i="6"/>
  <c r="EE61" i="6" a="1"/>
  <c r="EE61" i="6" s="1"/>
  <c r="E62" i="6" a="1"/>
  <c r="E62" i="6" s="1"/>
  <c r="F62" i="6" a="1"/>
  <c r="F62" i="6" s="1"/>
  <c r="G62" i="6" a="1"/>
  <c r="G62" i="6" s="1"/>
  <c r="H62" i="6" a="1"/>
  <c r="H62" i="6" s="1"/>
  <c r="I62" i="6" a="1"/>
  <c r="I62" i="6" s="1"/>
  <c r="J62" i="6" a="1"/>
  <c r="J62" i="6" s="1"/>
  <c r="K62" i="6" a="1"/>
  <c r="K62" i="6"/>
  <c r="L62" i="6" a="1"/>
  <c r="L62" i="6"/>
  <c r="M62" i="6" a="1"/>
  <c r="M62" i="6" s="1"/>
  <c r="N62" i="6" a="1"/>
  <c r="N62" i="6" s="1"/>
  <c r="O62" i="6" a="1"/>
  <c r="O62" i="6" s="1"/>
  <c r="P62" i="6" a="1"/>
  <c r="P62" i="6" s="1"/>
  <c r="Q62" i="6" a="1"/>
  <c r="Q62" i="6" s="1"/>
  <c r="R62" i="6" a="1"/>
  <c r="R62" i="6" s="1"/>
  <c r="S62" i="6" a="1"/>
  <c r="S62" i="6" s="1"/>
  <c r="T62" i="6" a="1"/>
  <c r="T62" i="6" s="1"/>
  <c r="U62" i="6" a="1"/>
  <c r="U62" i="6" s="1"/>
  <c r="V62" i="6" a="1"/>
  <c r="V62" i="6" s="1"/>
  <c r="W62" i="6" a="1"/>
  <c r="W62" i="6" s="1"/>
  <c r="X62" i="6" a="1"/>
  <c r="X62" i="6"/>
  <c r="Y62" i="6" a="1"/>
  <c r="Y62" i="6" s="1"/>
  <c r="Z62" i="6" a="1"/>
  <c r="Z62" i="6" s="1"/>
  <c r="AA62" i="6" a="1"/>
  <c r="AA62" i="6" s="1"/>
  <c r="AB62" i="6" a="1"/>
  <c r="AB62" i="6" s="1"/>
  <c r="AC62" i="6" a="1"/>
  <c r="AC62" i="6" s="1"/>
  <c r="AD62" i="6" a="1"/>
  <c r="AD62" i="6" s="1"/>
  <c r="AE62" i="6" a="1"/>
  <c r="AE62" i="6" s="1"/>
  <c r="AF62" i="6" a="1"/>
  <c r="AF62" i="6" s="1"/>
  <c r="AG62" i="6" a="1"/>
  <c r="AG62" i="6" s="1"/>
  <c r="AH62" i="6" a="1"/>
  <c r="AH62" i="6" s="1"/>
  <c r="AI62" i="6" a="1"/>
  <c r="AI62" i="6" s="1"/>
  <c r="AJ62" i="6" a="1"/>
  <c r="AJ62" i="6" s="1"/>
  <c r="AK62" i="6" a="1"/>
  <c r="AK62" i="6"/>
  <c r="AL62" i="6" a="1"/>
  <c r="AL62" i="6" s="1"/>
  <c r="AM62" i="6" a="1"/>
  <c r="AM62" i="6" s="1"/>
  <c r="AN62" i="6" a="1"/>
  <c r="AN62" i="6" s="1"/>
  <c r="AO62" i="6" a="1"/>
  <c r="AO62" i="6" s="1"/>
  <c r="AP62" i="6" a="1"/>
  <c r="AP62" i="6" s="1"/>
  <c r="AQ62" i="6" a="1"/>
  <c r="AQ62" i="6" s="1"/>
  <c r="AR62" i="6" a="1"/>
  <c r="AR62" i="6"/>
  <c r="AS62" i="6" a="1"/>
  <c r="AS62" i="6" s="1"/>
  <c r="AT62" i="6" a="1"/>
  <c r="AT62" i="6" s="1"/>
  <c r="AU62" i="6" a="1"/>
  <c r="AU62" i="6" s="1"/>
  <c r="AV62" i="6" a="1"/>
  <c r="AV62" i="6" s="1"/>
  <c r="AW62" i="6" a="1"/>
  <c r="AW62" i="6" s="1"/>
  <c r="AX62" i="6" a="1"/>
  <c r="AX62" i="6" s="1"/>
  <c r="AY62" i="6" a="1"/>
  <c r="AY62" i="6"/>
  <c r="AZ62" i="6" a="1"/>
  <c r="AZ62" i="6"/>
  <c r="BA62" i="6" a="1"/>
  <c r="BA62" i="6" s="1"/>
  <c r="BB62" i="6" a="1"/>
  <c r="BB62" i="6" s="1"/>
  <c r="BC62" i="6" a="1"/>
  <c r="BC62" i="6" s="1"/>
  <c r="BD62" i="6" a="1"/>
  <c r="BD62" i="6"/>
  <c r="BE62" i="6" a="1"/>
  <c r="BE62" i="6" s="1"/>
  <c r="BF62" i="6" a="1"/>
  <c r="BF62" i="6" s="1"/>
  <c r="BG62" i="6" a="1"/>
  <c r="BG62" i="6" s="1"/>
  <c r="BH62" i="6" a="1"/>
  <c r="BH62" i="6" s="1"/>
  <c r="BI62" i="6" a="1"/>
  <c r="BI62" i="6" s="1"/>
  <c r="BJ62" i="6" a="1"/>
  <c r="BJ62" i="6" s="1"/>
  <c r="BK62" i="6" a="1"/>
  <c r="BK62" i="6" s="1"/>
  <c r="BL62" i="6" a="1"/>
  <c r="BL62" i="6" s="1"/>
  <c r="BM62" i="6" a="1"/>
  <c r="BM62" i="6" s="1"/>
  <c r="BN62" i="6" a="1"/>
  <c r="BN62" i="6" s="1"/>
  <c r="BO62" i="6" a="1"/>
  <c r="BO62" i="6" s="1"/>
  <c r="BP62" i="6" a="1"/>
  <c r="BP62" i="6"/>
  <c r="BQ62" i="6" a="1"/>
  <c r="BQ62" i="6" s="1"/>
  <c r="BR62" i="6" a="1"/>
  <c r="BR62" i="6" s="1"/>
  <c r="BS62" i="6" a="1"/>
  <c r="BS62" i="6" s="1"/>
  <c r="BT62" i="6" a="1"/>
  <c r="BT62" i="6" s="1"/>
  <c r="BU62" i="6" a="1"/>
  <c r="BU62" i="6" s="1"/>
  <c r="BV62" i="6" a="1"/>
  <c r="BV62" i="6" s="1"/>
  <c r="BW62" i="6" a="1"/>
  <c r="BW62" i="6" s="1"/>
  <c r="BX62" i="6" a="1"/>
  <c r="BX62" i="6" s="1"/>
  <c r="BY62" i="6" a="1"/>
  <c r="BY62" i="6"/>
  <c r="BZ62" i="6" a="1"/>
  <c r="BZ62" i="6" s="1"/>
  <c r="CA62" i="6" a="1"/>
  <c r="CA62" i="6"/>
  <c r="CB62" i="6" a="1"/>
  <c r="CB62" i="6" s="1"/>
  <c r="CC62" i="6" a="1"/>
  <c r="CC62" i="6" s="1"/>
  <c r="CD62" i="6" a="1"/>
  <c r="CD62" i="6" s="1"/>
  <c r="CE62" i="6" a="1"/>
  <c r="CE62" i="6"/>
  <c r="CF62" i="6" a="1"/>
  <c r="CF62" i="6" s="1"/>
  <c r="CG62" i="6" a="1"/>
  <c r="CG62" i="6"/>
  <c r="CH62" i="6" a="1"/>
  <c r="CH62" i="6" s="1"/>
  <c r="CI62" i="6" a="1"/>
  <c r="CI62" i="6" s="1"/>
  <c r="CJ62" i="6" a="1"/>
  <c r="CJ62" i="6" s="1"/>
  <c r="CK62" i="6" a="1"/>
  <c r="CK62" i="6" s="1"/>
  <c r="CL62" i="6" a="1"/>
  <c r="CL62" i="6" s="1"/>
  <c r="CM62" i="6" a="1"/>
  <c r="CM62" i="6"/>
  <c r="CN62" i="6" a="1"/>
  <c r="CN62" i="6"/>
  <c r="CO62" i="6" a="1"/>
  <c r="CO62" i="6" s="1"/>
  <c r="CP62" i="6" a="1"/>
  <c r="CP62" i="6" s="1"/>
  <c r="CQ62" i="6" a="1"/>
  <c r="CQ62" i="6" s="1"/>
  <c r="CR62" i="6" a="1"/>
  <c r="CR62" i="6" s="1"/>
  <c r="CS62" i="6" a="1"/>
  <c r="CS62" i="6"/>
  <c r="CT62" i="6" a="1"/>
  <c r="CT62" i="6" s="1"/>
  <c r="CU62" i="6" a="1"/>
  <c r="CU62" i="6" s="1"/>
  <c r="CV62" i="6" a="1"/>
  <c r="CV62" i="6" s="1"/>
  <c r="CW62" i="6" a="1"/>
  <c r="CW62" i="6" s="1"/>
  <c r="CX62" i="6" a="1"/>
  <c r="CX62" i="6" s="1"/>
  <c r="CY62" i="6" a="1"/>
  <c r="CY62" i="6" s="1"/>
  <c r="CZ62" i="6" a="1"/>
  <c r="CZ62" i="6" s="1"/>
  <c r="DA62" i="6" a="1"/>
  <c r="DA62" i="6" s="1"/>
  <c r="DB62" i="6" a="1"/>
  <c r="DB62" i="6" s="1"/>
  <c r="DC62" i="6" a="1"/>
  <c r="DC62" i="6" s="1"/>
  <c r="DD62" i="6" a="1"/>
  <c r="DD62" i="6" s="1"/>
  <c r="DE62" i="6" a="1"/>
  <c r="DE62" i="6" s="1"/>
  <c r="DF62" i="6" a="1"/>
  <c r="DF62" i="6" s="1"/>
  <c r="DG62" i="6" a="1"/>
  <c r="DG62" i="6" s="1"/>
  <c r="DH62" i="6" a="1"/>
  <c r="DH62" i="6" s="1"/>
  <c r="DI62" i="6" a="1"/>
  <c r="DI62" i="6"/>
  <c r="DJ62" i="6" a="1"/>
  <c r="DJ62" i="6" s="1"/>
  <c r="DK62" i="6" a="1"/>
  <c r="DK62" i="6"/>
  <c r="DL62" i="6" a="1"/>
  <c r="DL62" i="6" s="1"/>
  <c r="DM62" i="6" a="1"/>
  <c r="DM62" i="6" s="1"/>
  <c r="DN62" i="6" a="1"/>
  <c r="DN62" i="6" s="1"/>
  <c r="DO62" i="6" a="1"/>
  <c r="DO62" i="6" s="1"/>
  <c r="DP62" i="6" a="1"/>
  <c r="DP62" i="6"/>
  <c r="DQ62" i="6" a="1"/>
  <c r="DQ62" i="6" s="1"/>
  <c r="DR62" i="6" a="1"/>
  <c r="DR62" i="6" s="1"/>
  <c r="DS62" i="6" a="1"/>
  <c r="DS62" i="6" s="1"/>
  <c r="DT62" i="6" a="1"/>
  <c r="DT62" i="6"/>
  <c r="DU62" i="6" a="1"/>
  <c r="DU62" i="6" s="1"/>
  <c r="DV62" i="6" a="1"/>
  <c r="DV62" i="6" s="1"/>
  <c r="DW62" i="6" a="1"/>
  <c r="DW62" i="6" s="1"/>
  <c r="DX62" i="6" a="1"/>
  <c r="DX62" i="6" s="1"/>
  <c r="DY62" i="6" a="1"/>
  <c r="DY62" i="6" s="1"/>
  <c r="DZ62" i="6" a="1"/>
  <c r="DZ62" i="6" s="1"/>
  <c r="EA62" i="6" a="1"/>
  <c r="EA62" i="6" s="1"/>
  <c r="EB62" i="6" a="1"/>
  <c r="EB62" i="6" s="1"/>
  <c r="EC62" i="6" a="1"/>
  <c r="EC62" i="6" s="1"/>
  <c r="ED62" i="6" a="1"/>
  <c r="ED62" i="6" s="1"/>
  <c r="EE62" i="6" a="1"/>
  <c r="EE62" i="6" s="1"/>
  <c r="E63" i="6" a="1"/>
  <c r="E63" i="6"/>
  <c r="F63" i="6" a="1"/>
  <c r="F63" i="6" s="1"/>
  <c r="G63" i="6" a="1"/>
  <c r="G63" i="6" s="1"/>
  <c r="H63" i="6" a="1"/>
  <c r="H63" i="6" s="1"/>
  <c r="I63" i="6" a="1"/>
  <c r="I63" i="6"/>
  <c r="J63" i="6" a="1"/>
  <c r="J63" i="6" s="1"/>
  <c r="K63" i="6" a="1"/>
  <c r="K63" i="6" s="1"/>
  <c r="L63" i="6" a="1"/>
  <c r="L63" i="6" s="1"/>
  <c r="M63" i="6" a="1"/>
  <c r="M63" i="6" s="1"/>
  <c r="N63" i="6" a="1"/>
  <c r="N63" i="6" s="1"/>
  <c r="O63" i="6" a="1"/>
  <c r="O63" i="6" s="1"/>
  <c r="P63" i="6" a="1"/>
  <c r="P63" i="6" s="1"/>
  <c r="Q63" i="6" a="1"/>
  <c r="Q63" i="6"/>
  <c r="R63" i="6" a="1"/>
  <c r="R63" i="6"/>
  <c r="S63" i="6" a="1"/>
  <c r="S63" i="6" s="1"/>
  <c r="T63" i="6" a="1"/>
  <c r="T63" i="6" s="1"/>
  <c r="U63" i="6" a="1"/>
  <c r="U63" i="6" s="1"/>
  <c r="V63" i="6" a="1"/>
  <c r="V63" i="6" s="1"/>
  <c r="W63" i="6" a="1"/>
  <c r="W63" i="6" s="1"/>
  <c r="X63" i="6" a="1"/>
  <c r="X63" i="6"/>
  <c r="Y63" i="6" a="1"/>
  <c r="Y63" i="6" s="1"/>
  <c r="Z63" i="6" a="1"/>
  <c r="Z63" i="6" s="1"/>
  <c r="AA63" i="6" a="1"/>
  <c r="AA63" i="6" s="1"/>
  <c r="AB63" i="6" a="1"/>
  <c r="AB63" i="6" s="1"/>
  <c r="AC63" i="6" a="1"/>
  <c r="AC63" i="6" s="1"/>
  <c r="AD63" i="6" a="1"/>
  <c r="AD63" i="6" s="1"/>
  <c r="AE63" i="6" a="1"/>
  <c r="AE63" i="6" s="1"/>
  <c r="AF63" i="6" a="1"/>
  <c r="AF63" i="6" s="1"/>
  <c r="AG63" i="6" a="1"/>
  <c r="AG63" i="6" s="1"/>
  <c r="AH63" i="6" a="1"/>
  <c r="AH63" i="6" s="1"/>
  <c r="AI63" i="6" a="1"/>
  <c r="AI63" i="6" s="1"/>
  <c r="AJ63" i="6" a="1"/>
  <c r="AJ63" i="6" s="1"/>
  <c r="AK63" i="6" a="1"/>
  <c r="AK63" i="6" s="1"/>
  <c r="AL63" i="6" a="1"/>
  <c r="AL63" i="6" s="1"/>
  <c r="AM63" i="6" a="1"/>
  <c r="AM63" i="6" s="1"/>
  <c r="AN63" i="6" a="1"/>
  <c r="AN63" i="6" s="1"/>
  <c r="AO63" i="6" a="1"/>
  <c r="AO63" i="6" s="1"/>
  <c r="AP63" i="6" a="1"/>
  <c r="AP63" i="6" s="1"/>
  <c r="AQ63" i="6" a="1"/>
  <c r="AQ63" i="6" s="1"/>
  <c r="AR63" i="6" a="1"/>
  <c r="AR63" i="6"/>
  <c r="AS63" i="6" a="1"/>
  <c r="AS63" i="6" s="1"/>
  <c r="AT63" i="6" a="1"/>
  <c r="AT63" i="6" s="1"/>
  <c r="AU63" i="6" a="1"/>
  <c r="AU63" i="6" s="1"/>
  <c r="AV63" i="6" a="1"/>
  <c r="AV63" i="6"/>
  <c r="AW63" i="6" a="1"/>
  <c r="AW63" i="6" s="1"/>
  <c r="AX63" i="6" a="1"/>
  <c r="AX63" i="6" s="1"/>
  <c r="AY63" i="6" a="1"/>
  <c r="AY63" i="6" s="1"/>
  <c r="AZ63" i="6" a="1"/>
  <c r="AZ63" i="6" s="1"/>
  <c r="BA63" i="6" a="1"/>
  <c r="BA63" i="6"/>
  <c r="BB63" i="6" a="1"/>
  <c r="BB63" i="6" s="1"/>
  <c r="BC63" i="6" a="1"/>
  <c r="BC63" i="6" s="1"/>
  <c r="BD63" i="6" a="1"/>
  <c r="BD63" i="6" s="1"/>
  <c r="BE63" i="6" a="1"/>
  <c r="BE63" i="6" s="1"/>
  <c r="BF63" i="6" a="1"/>
  <c r="BF63" i="6" s="1"/>
  <c r="BG63" i="6" a="1"/>
  <c r="BG63" i="6" s="1"/>
  <c r="BH63" i="6" a="1"/>
  <c r="BH63" i="6"/>
  <c r="BI63" i="6" a="1"/>
  <c r="BI63" i="6" s="1"/>
  <c r="BJ63" i="6" a="1"/>
  <c r="BJ63" i="6" s="1"/>
  <c r="BK63" i="6" a="1"/>
  <c r="BK63" i="6" s="1"/>
  <c r="BL63" i="6" a="1"/>
  <c r="BL63" i="6" s="1"/>
  <c r="BM63" i="6" a="1"/>
  <c r="BM63" i="6" s="1"/>
  <c r="BN63" i="6" a="1"/>
  <c r="BN63" i="6" s="1"/>
  <c r="BO63" i="6" a="1"/>
  <c r="BO63" i="6" s="1"/>
  <c r="BP63" i="6" a="1"/>
  <c r="BP63" i="6" s="1"/>
  <c r="BQ63" i="6" a="1"/>
  <c r="BQ63" i="6" s="1"/>
  <c r="BR63" i="6" a="1"/>
  <c r="BR63" i="6" s="1"/>
  <c r="BS63" i="6" a="1"/>
  <c r="BS63" i="6" s="1"/>
  <c r="BT63" i="6" a="1"/>
  <c r="BT63" i="6"/>
  <c r="BU63" i="6" a="1"/>
  <c r="BU63" i="6" s="1"/>
  <c r="BV63" i="6" a="1"/>
  <c r="BV63" i="6" s="1"/>
  <c r="BW63" i="6" a="1"/>
  <c r="BW63" i="6" s="1"/>
  <c r="BX63" i="6" a="1"/>
  <c r="BX63" i="6" s="1"/>
  <c r="BY63" i="6" a="1"/>
  <c r="BY63" i="6" s="1"/>
  <c r="BZ63" i="6" a="1"/>
  <c r="BZ63" i="6" s="1"/>
  <c r="CA63" i="6" a="1"/>
  <c r="CA63" i="6" s="1"/>
  <c r="CB63" i="6" a="1"/>
  <c r="CB63" i="6" s="1"/>
  <c r="CC63" i="6" a="1"/>
  <c r="CC63" i="6" s="1"/>
  <c r="CD63" i="6" a="1"/>
  <c r="CD63" i="6" s="1"/>
  <c r="CE63" i="6" a="1"/>
  <c r="CE63" i="6" s="1"/>
  <c r="CF63" i="6" a="1"/>
  <c r="CF63" i="6" s="1"/>
  <c r="CG63" i="6" a="1"/>
  <c r="CG63" i="6"/>
  <c r="CH63" i="6" a="1"/>
  <c r="CH63" i="6" s="1"/>
  <c r="CI63" i="6" a="1"/>
  <c r="CI63" i="6" s="1"/>
  <c r="CJ63" i="6" a="1"/>
  <c r="CJ63" i="6" s="1"/>
  <c r="CK63" i="6" a="1"/>
  <c r="CK63" i="6" s="1"/>
  <c r="CL63" i="6" a="1"/>
  <c r="CL63" i="6"/>
  <c r="CM63" i="6" a="1"/>
  <c r="CM63" i="6" s="1"/>
  <c r="CN63" i="6" a="1"/>
  <c r="CN63" i="6" s="1"/>
  <c r="CO63" i="6" a="1"/>
  <c r="CO63" i="6" s="1"/>
  <c r="CP63" i="6" a="1"/>
  <c r="CP63" i="6" s="1"/>
  <c r="CQ63" i="6" a="1"/>
  <c r="CQ63" i="6" s="1"/>
  <c r="CR63" i="6" a="1"/>
  <c r="CR63" i="6" s="1"/>
  <c r="CS63" i="6" a="1"/>
  <c r="CS63" i="6" s="1"/>
  <c r="CT63" i="6" a="1"/>
  <c r="CT63" i="6" s="1"/>
  <c r="CU63" i="6" a="1"/>
  <c r="CU63" i="6" s="1"/>
  <c r="CV63" i="6" a="1"/>
  <c r="CV63" i="6" s="1"/>
  <c r="CW63" i="6" a="1"/>
  <c r="CW63" i="6" s="1"/>
  <c r="CX63" i="6" a="1"/>
  <c r="CX63" i="6" s="1"/>
  <c r="CY63" i="6" a="1"/>
  <c r="CY63" i="6" s="1"/>
  <c r="CZ63" i="6" a="1"/>
  <c r="CZ63" i="6" s="1"/>
  <c r="DA63" i="6" a="1"/>
  <c r="DA63" i="6" s="1"/>
  <c r="DB63" i="6" a="1"/>
  <c r="DB63" i="6" s="1"/>
  <c r="DC63" i="6" a="1"/>
  <c r="DC63" i="6" s="1"/>
  <c r="DD63" i="6" a="1"/>
  <c r="DD63" i="6" s="1"/>
  <c r="DE63" i="6" a="1"/>
  <c r="DE63" i="6" s="1"/>
  <c r="DF63" i="6" a="1"/>
  <c r="DF63" i="6" s="1"/>
  <c r="DG63" i="6" a="1"/>
  <c r="DG63" i="6" s="1"/>
  <c r="DH63" i="6" a="1"/>
  <c r="DH63" i="6" s="1"/>
  <c r="DI63" i="6" a="1"/>
  <c r="DI63" i="6" s="1"/>
  <c r="DJ63" i="6" a="1"/>
  <c r="DJ63" i="6"/>
  <c r="DK63" i="6" a="1"/>
  <c r="DK63" i="6" s="1"/>
  <c r="DL63" i="6" a="1"/>
  <c r="DL63" i="6" s="1"/>
  <c r="DM63" i="6" a="1"/>
  <c r="DM63" i="6" s="1"/>
  <c r="DN63" i="6" a="1"/>
  <c r="DN63" i="6" s="1"/>
  <c r="DO63" i="6" a="1"/>
  <c r="DO63" i="6" s="1"/>
  <c r="DP63" i="6" a="1"/>
  <c r="DP63" i="6" s="1"/>
  <c r="DQ63" i="6" a="1"/>
  <c r="DQ63" i="6"/>
  <c r="DR63" i="6" a="1"/>
  <c r="DR63" i="6" s="1"/>
  <c r="DS63" i="6" a="1"/>
  <c r="DS63" i="6" s="1"/>
  <c r="DT63" i="6" a="1"/>
  <c r="DT63" i="6" s="1"/>
  <c r="DU63" i="6" a="1"/>
  <c r="DU63" i="6" s="1"/>
  <c r="DV63" i="6" a="1"/>
  <c r="DV63" i="6"/>
  <c r="DW63" i="6" a="1"/>
  <c r="DW63" i="6" s="1"/>
  <c r="DX63" i="6" a="1"/>
  <c r="DX63" i="6" s="1"/>
  <c r="DY63" i="6" a="1"/>
  <c r="DY63" i="6" s="1"/>
  <c r="DZ63" i="6" a="1"/>
  <c r="DZ63" i="6" s="1"/>
  <c r="EA63" i="6" a="1"/>
  <c r="EA63" i="6" s="1"/>
  <c r="EB63" i="6" a="1"/>
  <c r="EB63" i="6" s="1"/>
  <c r="EC63" i="6" a="1"/>
  <c r="EC63" i="6" s="1"/>
  <c r="ED63" i="6" a="1"/>
  <c r="ED63" i="6" s="1"/>
  <c r="EE63" i="6" a="1"/>
  <c r="EE63" i="6" s="1"/>
  <c r="E6" i="6" a="1"/>
  <c r="E6" i="6" s="1"/>
  <c r="F6" i="6" a="1"/>
  <c r="F6" i="6" s="1"/>
  <c r="G6" i="6" a="1"/>
  <c r="G6" i="6"/>
  <c r="H6" i="6" a="1"/>
  <c r="H6" i="6" s="1"/>
  <c r="I6" i="6" a="1"/>
  <c r="I6" i="6" s="1"/>
  <c r="J6" i="6" a="1"/>
  <c r="J6" i="6" s="1"/>
  <c r="K6" i="6" a="1"/>
  <c r="K6" i="6" s="1"/>
  <c r="L6" i="6" a="1"/>
  <c r="L6" i="6" s="1"/>
  <c r="M6" i="6" a="1"/>
  <c r="M6" i="6" s="1"/>
  <c r="N6" i="6" a="1"/>
  <c r="N6" i="6" s="1"/>
  <c r="O6" i="6" a="1"/>
  <c r="O6" i="6" s="1"/>
  <c r="P6" i="6" a="1"/>
  <c r="P6" i="6" s="1"/>
  <c r="Q6" i="6" a="1"/>
  <c r="Q6" i="6" s="1"/>
  <c r="R6" i="6" a="1"/>
  <c r="R6" i="6" s="1"/>
  <c r="S6" i="6" a="1"/>
  <c r="S6" i="6" s="1"/>
  <c r="T6" i="6" a="1"/>
  <c r="T6" i="6" s="1"/>
  <c r="U6" i="6" a="1"/>
  <c r="U6" i="6" s="1"/>
  <c r="V6" i="6" a="1"/>
  <c r="V6" i="6" s="1"/>
  <c r="W6" i="6" a="1"/>
  <c r="W6" i="6" s="1"/>
  <c r="X6" i="6" a="1"/>
  <c r="X6" i="6" s="1"/>
  <c r="Y6" i="6" a="1"/>
  <c r="Y6" i="6" s="1"/>
  <c r="Z6" i="6" a="1"/>
  <c r="Z6" i="6" s="1"/>
  <c r="AA6" i="6" a="1"/>
  <c r="AA6" i="6"/>
  <c r="AB6" i="6" a="1"/>
  <c r="AB6" i="6" s="1"/>
  <c r="AC6" i="6" a="1"/>
  <c r="AC6" i="6" s="1"/>
  <c r="AD6" i="6" a="1"/>
  <c r="AD6" i="6" s="1"/>
  <c r="AE6" i="6" a="1"/>
  <c r="AE6" i="6"/>
  <c r="AF6" i="6" a="1"/>
  <c r="AF6" i="6" s="1"/>
  <c r="AG6" i="6" a="1"/>
  <c r="AG6" i="6" s="1"/>
  <c r="AH6" i="6" a="1"/>
  <c r="AH6" i="6" s="1"/>
  <c r="AI6" i="6" a="1"/>
  <c r="AI6" i="6" s="1"/>
  <c r="AJ6" i="6" a="1"/>
  <c r="AJ6" i="6" s="1"/>
  <c r="AK6" i="6" a="1"/>
  <c r="AK6" i="6" s="1"/>
  <c r="AL6" i="6" a="1"/>
  <c r="AL6" i="6" s="1"/>
  <c r="AM6" i="6" a="1"/>
  <c r="AM6" i="6" s="1"/>
  <c r="AN6" i="6" a="1"/>
  <c r="AN6" i="6" s="1"/>
  <c r="AO6" i="6" a="1"/>
  <c r="AO6" i="6" s="1"/>
  <c r="AP6" i="6" a="1"/>
  <c r="AP6" i="6" s="1"/>
  <c r="AQ6" i="6" a="1"/>
  <c r="AQ6" i="6" s="1"/>
  <c r="AR6" i="6" a="1"/>
  <c r="AR6" i="6" s="1"/>
  <c r="AS6" i="6" a="1"/>
  <c r="AS6" i="6" s="1"/>
  <c r="AT6" i="6" a="1"/>
  <c r="AT6" i="6" s="1"/>
  <c r="AU6" i="6" a="1"/>
  <c r="AU6" i="6" s="1"/>
  <c r="AV6" i="6" a="1"/>
  <c r="AV6" i="6" s="1"/>
  <c r="AW6" i="6" a="1"/>
  <c r="AW6" i="6" s="1"/>
  <c r="AX6" i="6" a="1"/>
  <c r="AX6" i="6" s="1"/>
  <c r="AY6" i="6" a="1"/>
  <c r="AY6" i="6" s="1"/>
  <c r="AZ6" i="6" a="1"/>
  <c r="AZ6" i="6" s="1"/>
  <c r="BA6" i="6" a="1"/>
  <c r="BA6" i="6" s="1"/>
  <c r="BB6" i="6" a="1"/>
  <c r="BB6" i="6" s="1"/>
  <c r="BC6" i="6" a="1"/>
  <c r="BC6" i="6" s="1"/>
  <c r="BD6" i="6" a="1"/>
  <c r="BD6" i="6" s="1"/>
  <c r="BE6" i="6" a="1"/>
  <c r="BE6" i="6" s="1"/>
  <c r="BF6" i="6" a="1"/>
  <c r="BF6" i="6" s="1"/>
  <c r="BG6" i="6" a="1"/>
  <c r="BG6" i="6"/>
  <c r="BH6" i="6" a="1"/>
  <c r="BH6" i="6" s="1"/>
  <c r="BI6" i="6" a="1"/>
  <c r="BI6" i="6" s="1"/>
  <c r="BJ6" i="6" a="1"/>
  <c r="BJ6" i="6" s="1"/>
  <c r="BK6" i="6" a="1"/>
  <c r="BK6" i="6"/>
  <c r="BL6" i="6" a="1"/>
  <c r="BL6" i="6" s="1"/>
  <c r="BM6" i="6" a="1"/>
  <c r="BM6" i="6" s="1"/>
  <c r="BN6" i="6" a="1"/>
  <c r="BN6" i="6" s="1"/>
  <c r="BO6" i="6" a="1"/>
  <c r="BO6" i="6"/>
  <c r="BP6" i="6" a="1"/>
  <c r="BP6" i="6" s="1"/>
  <c r="BQ6" i="6" a="1"/>
  <c r="BQ6" i="6" s="1"/>
  <c r="BR6" i="6" a="1"/>
  <c r="BR6" i="6" s="1"/>
  <c r="BS6" i="6" a="1"/>
  <c r="BS6" i="6" s="1"/>
  <c r="BT6" i="6" a="1"/>
  <c r="BT6" i="6" s="1"/>
  <c r="W64" i="6" a="1"/>
  <c r="W64" i="6" s="1"/>
  <c r="BT64" i="6" a="1"/>
  <c r="BT64" i="6" s="1"/>
  <c r="CW5" i="6"/>
  <c r="CR5" i="6"/>
  <c r="BN5" i="6"/>
  <c r="BL5" i="6"/>
  <c r="BR5" i="6"/>
  <c r="BJ5" i="6"/>
  <c r="BF5" i="6"/>
  <c r="N5" i="6"/>
  <c r="AA5" i="6"/>
  <c r="Z5" i="6"/>
  <c r="E65" i="6"/>
  <c r="FM148" i="3"/>
  <c r="FM3" i="3"/>
  <c r="FM4" i="3"/>
  <c r="FM5" i="3"/>
  <c r="FM6" i="3"/>
  <c r="FM7" i="3"/>
  <c r="FM8" i="3"/>
  <c r="FM9" i="3"/>
  <c r="FM10" i="3"/>
  <c r="FM11" i="3"/>
  <c r="FM12" i="3"/>
  <c r="FM13" i="3"/>
  <c r="FM14" i="3"/>
  <c r="FM15" i="3"/>
  <c r="FM16" i="3"/>
  <c r="FM17" i="3"/>
  <c r="FM18" i="3"/>
  <c r="FM19" i="3"/>
  <c r="FM20" i="3"/>
  <c r="FM21" i="3"/>
  <c r="FM22" i="3"/>
  <c r="FM23" i="3"/>
  <c r="FM24" i="3"/>
  <c r="FM25" i="3"/>
  <c r="FM26" i="3"/>
  <c r="FM27" i="3"/>
  <c r="FM28" i="3"/>
  <c r="FM29" i="3"/>
  <c r="FM30" i="3"/>
  <c r="FM31" i="3"/>
  <c r="FM32" i="3"/>
  <c r="FM33" i="3"/>
  <c r="FM34" i="3"/>
  <c r="FM35" i="3"/>
  <c r="FM36" i="3"/>
  <c r="FM37" i="3"/>
  <c r="FM38" i="3"/>
  <c r="FM39" i="3"/>
  <c r="FM40" i="3"/>
  <c r="FM41" i="3"/>
  <c r="FM42" i="3"/>
  <c r="FM43" i="3"/>
  <c r="FM44" i="3"/>
  <c r="FM45" i="3"/>
  <c r="FM46" i="3"/>
  <c r="FM47" i="3"/>
  <c r="FM48" i="3"/>
  <c r="FM49" i="3"/>
  <c r="FM50" i="3"/>
  <c r="FM51" i="3"/>
  <c r="FM52" i="3"/>
  <c r="FM53" i="3"/>
  <c r="FM54" i="3"/>
  <c r="FM55" i="3"/>
  <c r="FM56" i="3"/>
  <c r="FM57" i="3"/>
  <c r="FM58" i="3"/>
  <c r="FM59" i="3"/>
  <c r="FM60" i="3"/>
  <c r="FM61" i="3"/>
  <c r="FM62" i="3"/>
  <c r="FM63" i="3"/>
  <c r="FM64" i="3"/>
  <c r="FM65" i="3"/>
  <c r="FM66" i="3"/>
  <c r="FM67" i="3"/>
  <c r="FM68" i="3"/>
  <c r="FM69" i="3"/>
  <c r="FM70" i="3"/>
  <c r="FM71" i="3"/>
  <c r="FM72" i="3"/>
  <c r="FM73" i="3"/>
  <c r="FM74" i="3"/>
  <c r="FM75" i="3"/>
  <c r="FM76" i="3"/>
  <c r="FM77" i="3"/>
  <c r="FM78" i="3"/>
  <c r="FM79" i="3"/>
  <c r="FM80" i="3"/>
  <c r="FM81" i="3"/>
  <c r="FM82" i="3"/>
  <c r="FM83" i="3"/>
  <c r="FM84" i="3"/>
  <c r="FM85" i="3"/>
  <c r="FM86" i="3"/>
  <c r="FM87" i="3"/>
  <c r="FM88" i="3"/>
  <c r="FM89" i="3"/>
  <c r="FM90" i="3"/>
  <c r="FM91" i="3"/>
  <c r="FM92" i="3"/>
  <c r="FM93" i="3"/>
  <c r="FM94" i="3"/>
  <c r="FM95" i="3"/>
  <c r="FM96" i="3"/>
  <c r="FM97" i="3"/>
  <c r="FM98" i="3"/>
  <c r="FM99" i="3"/>
  <c r="FM100" i="3"/>
  <c r="FM101" i="3"/>
  <c r="FM102" i="3"/>
  <c r="FM103" i="3"/>
  <c r="FM104" i="3"/>
  <c r="FM105" i="3"/>
  <c r="FM106" i="3"/>
  <c r="FM107" i="3"/>
  <c r="FM108" i="3"/>
  <c r="FM109" i="3"/>
  <c r="FM110" i="3"/>
  <c r="FM111" i="3"/>
  <c r="FM112" i="3"/>
  <c r="FM113" i="3"/>
  <c r="FM114" i="3"/>
  <c r="FM115" i="3"/>
  <c r="FM116" i="3"/>
  <c r="FM117" i="3"/>
  <c r="FM118" i="3"/>
  <c r="FM119" i="3"/>
  <c r="FM120" i="3"/>
  <c r="FM121" i="3"/>
  <c r="FM122" i="3"/>
  <c r="FM123" i="3"/>
  <c r="FM124" i="3"/>
  <c r="FM125" i="3"/>
  <c r="FM126" i="3"/>
  <c r="FM127" i="3"/>
  <c r="FM128" i="3"/>
  <c r="FM129" i="3"/>
  <c r="FM130" i="3"/>
  <c r="FM131" i="3"/>
  <c r="FM132" i="3"/>
  <c r="FM133" i="3"/>
  <c r="FM134" i="3"/>
  <c r="FM135" i="3"/>
  <c r="FM136" i="3"/>
  <c r="FM137" i="3"/>
  <c r="FM138" i="3"/>
  <c r="FM139" i="3"/>
  <c r="FM140" i="3"/>
  <c r="FM141" i="3"/>
  <c r="FM142" i="3"/>
  <c r="FM143" i="3"/>
  <c r="FM144" i="3"/>
  <c r="FM145" i="3"/>
  <c r="FM146" i="3"/>
  <c r="FM147" i="3"/>
  <c r="FM149" i="3"/>
  <c r="FM150" i="3"/>
  <c r="FM151" i="3"/>
  <c r="FM152" i="3"/>
  <c r="FM153" i="3"/>
  <c r="FM154" i="3"/>
  <c r="FM155" i="3"/>
  <c r="FM156" i="3"/>
  <c r="FM157" i="3"/>
  <c r="FM158" i="3"/>
  <c r="FM159" i="3"/>
  <c r="FM160" i="3"/>
  <c r="FM161" i="3"/>
  <c r="FM162" i="3"/>
  <c r="FM163" i="3"/>
  <c r="FM164" i="3"/>
  <c r="FM165" i="3"/>
  <c r="FM166" i="3"/>
  <c r="FM167" i="3"/>
  <c r="FM2" i="3"/>
  <c r="DV4" i="6"/>
  <c r="F5" i="6" a="1"/>
  <c r="F5" i="6" s="1"/>
  <c r="G5" i="6" a="1"/>
  <c r="G5" i="6" s="1"/>
  <c r="H5" i="6" a="1"/>
  <c r="H5" i="6" s="1"/>
  <c r="I5" i="6" a="1"/>
  <c r="I5" i="6" s="1"/>
  <c r="J5" i="6" a="1"/>
  <c r="J5" i="6" s="1"/>
  <c r="K5" i="6" a="1"/>
  <c r="K5" i="6" s="1"/>
  <c r="L5" i="6" a="1"/>
  <c r="L5" i="6" s="1"/>
  <c r="M5" i="6" a="1"/>
  <c r="M5" i="6" s="1"/>
  <c r="O5" i="6" a="1"/>
  <c r="O5" i="6" s="1"/>
  <c r="P5" i="6" a="1"/>
  <c r="P5" i="6" s="1"/>
  <c r="Q5" i="6" a="1"/>
  <c r="Q5" i="6" s="1"/>
  <c r="R5" i="6" a="1"/>
  <c r="R5" i="6" s="1"/>
  <c r="S5" i="6" a="1"/>
  <c r="S5" i="6" s="1"/>
  <c r="T5" i="6" a="1"/>
  <c r="T5" i="6" s="1"/>
  <c r="U5" i="6" a="1"/>
  <c r="U5" i="6" s="1"/>
  <c r="V5" i="6" a="1"/>
  <c r="V5" i="6" s="1"/>
  <c r="W5" i="6" a="1"/>
  <c r="W5" i="6" s="1"/>
  <c r="X5" i="6" a="1"/>
  <c r="X5" i="6" s="1"/>
  <c r="AB5" i="6" a="1"/>
  <c r="AB5" i="6" s="1"/>
  <c r="AC5" i="6" a="1"/>
  <c r="AC5" i="6" s="1"/>
  <c r="AD5" i="6" a="1"/>
  <c r="AD5" i="6" s="1"/>
  <c r="AE5" i="6" a="1"/>
  <c r="AE5" i="6" s="1"/>
  <c r="AF5" i="6" a="1"/>
  <c r="AF5" i="6" s="1"/>
  <c r="AG5" i="6" a="1"/>
  <c r="AG5" i="6" s="1"/>
  <c r="AH5" i="6" a="1"/>
  <c r="AH5" i="6" s="1"/>
  <c r="AI5" i="6" a="1"/>
  <c r="AI5" i="6" s="1"/>
  <c r="AJ5" i="6" a="1"/>
  <c r="AJ5" i="6" s="1"/>
  <c r="AK5" i="6" a="1"/>
  <c r="AK5" i="6" s="1"/>
  <c r="AL5" i="6" a="1"/>
  <c r="AL5" i="6" s="1"/>
  <c r="AM5" i="6" a="1"/>
  <c r="AM5" i="6" s="1"/>
  <c r="AN5" i="6" a="1"/>
  <c r="AN5" i="6" s="1"/>
  <c r="AO5" i="6" a="1"/>
  <c r="AO5" i="6" s="1"/>
  <c r="AP5" i="6" a="1"/>
  <c r="AP5" i="6" s="1"/>
  <c r="AQ5" i="6" a="1"/>
  <c r="AQ5" i="6" s="1"/>
  <c r="AR5" i="6" a="1"/>
  <c r="AR5" i="6" s="1"/>
  <c r="AS5" i="6" a="1"/>
  <c r="AS5" i="6" s="1"/>
  <c r="AT5" i="6" a="1"/>
  <c r="AT5" i="6" s="1"/>
  <c r="AU5" i="6" a="1"/>
  <c r="AU5" i="6" s="1"/>
  <c r="AV5" i="6" a="1"/>
  <c r="AV5" i="6" s="1"/>
  <c r="AW5" i="6" a="1"/>
  <c r="AW5" i="6" s="1"/>
  <c r="AX5" i="6" a="1"/>
  <c r="AX5" i="6" s="1"/>
  <c r="AY5" i="6" a="1"/>
  <c r="AY5" i="6" s="1"/>
  <c r="AZ5" i="6" a="1"/>
  <c r="AZ5" i="6" s="1"/>
  <c r="BA5" i="6" a="1"/>
  <c r="BA5" i="6" s="1"/>
  <c r="BB5" i="6" a="1"/>
  <c r="BB5" i="6" s="1"/>
  <c r="BC5" i="6" a="1"/>
  <c r="BC5" i="6" s="1"/>
  <c r="BD5" i="6" a="1"/>
  <c r="BD5" i="6" s="1"/>
  <c r="BE5" i="6" a="1"/>
  <c r="BE5" i="6" s="1"/>
  <c r="BG5" i="6" a="1"/>
  <c r="BG5" i="6" s="1"/>
  <c r="BH5" i="6" a="1"/>
  <c r="BH5" i="6" s="1"/>
  <c r="BI5" i="6" a="1"/>
  <c r="BI5" i="6" s="1"/>
  <c r="BK5" i="6" a="1"/>
  <c r="BK5" i="6" s="1"/>
  <c r="BM5" i="6" a="1"/>
  <c r="BM5" i="6" s="1"/>
  <c r="BO5" i="6" a="1"/>
  <c r="BO5" i="6" s="1"/>
  <c r="BP5" i="6" a="1"/>
  <c r="BP5" i="6" s="1"/>
  <c r="BQ5" i="6" a="1"/>
  <c r="BQ5" i="6" s="1"/>
  <c r="BS5" i="6" a="1"/>
  <c r="BS5" i="6" s="1"/>
  <c r="BT5" i="6" a="1"/>
  <c r="BT5" i="6" s="1"/>
  <c r="BU5" i="6" a="1"/>
  <c r="BU5" i="6" s="1"/>
  <c r="BV5" i="6" a="1"/>
  <c r="BV5" i="6" s="1"/>
  <c r="BW5" i="6" a="1"/>
  <c r="BW5" i="6" s="1"/>
  <c r="BX5" i="6" a="1"/>
  <c r="BX5" i="6" s="1"/>
  <c r="BY5" i="6" a="1"/>
  <c r="BY5" i="6" s="1"/>
  <c r="BZ5" i="6" a="1"/>
  <c r="BZ5" i="6" s="1"/>
  <c r="CA5" i="6" a="1"/>
  <c r="CA5" i="6" s="1"/>
  <c r="CB5" i="6" a="1"/>
  <c r="CB5" i="6" s="1"/>
  <c r="CC5" i="6" a="1"/>
  <c r="CC5" i="6" s="1"/>
  <c r="CD5" i="6" a="1"/>
  <c r="CD5" i="6" s="1"/>
  <c r="CE5" i="6" a="1"/>
  <c r="CE5" i="6" s="1"/>
  <c r="CF5" i="6" a="1"/>
  <c r="CF5" i="6" s="1"/>
  <c r="CG5" i="6" a="1"/>
  <c r="CG5" i="6" s="1"/>
  <c r="CH5" i="6" a="1"/>
  <c r="CH5" i="6" s="1"/>
  <c r="CI5" i="6" a="1"/>
  <c r="CI5" i="6" s="1"/>
  <c r="CJ5" i="6" a="1"/>
  <c r="CJ5" i="6" s="1"/>
  <c r="CK5" i="6" a="1"/>
  <c r="CK5" i="6" s="1"/>
  <c r="CL5" i="6" a="1"/>
  <c r="CL5" i="6" s="1"/>
  <c r="CM5" i="6" a="1"/>
  <c r="CM5" i="6" s="1"/>
  <c r="CN5" i="6" a="1"/>
  <c r="CN5" i="6" s="1"/>
  <c r="CO5" i="6" a="1"/>
  <c r="CO5" i="6" s="1"/>
  <c r="CP5" i="6" a="1"/>
  <c r="CP5" i="6" s="1"/>
  <c r="CQ5" i="6" a="1"/>
  <c r="CQ5" i="6" s="1"/>
  <c r="CS5" i="6" a="1"/>
  <c r="CS5" i="6" s="1"/>
  <c r="CT5" i="6" a="1"/>
  <c r="CT5" i="6" s="1"/>
  <c r="CU5" i="6" a="1"/>
  <c r="CU5" i="6" s="1"/>
  <c r="CV5" i="6" a="1"/>
  <c r="CV5" i="6" s="1"/>
  <c r="CX5" i="6" a="1"/>
  <c r="CX5" i="6" s="1"/>
  <c r="CY5" i="6" a="1"/>
  <c r="CY5" i="6" s="1"/>
  <c r="CZ5" i="6" a="1"/>
  <c r="CZ5" i="6" s="1"/>
  <c r="DA5" i="6" a="1"/>
  <c r="DA5" i="6" s="1"/>
  <c r="DB5" i="6" a="1"/>
  <c r="DB5" i="6" s="1"/>
  <c r="DC5" i="6" a="1"/>
  <c r="DC5" i="6" s="1"/>
  <c r="DD5" i="6" a="1"/>
  <c r="DD5" i="6" s="1"/>
  <c r="DE5" i="6" a="1"/>
  <c r="DE5" i="6" s="1"/>
  <c r="DF5" i="6" a="1"/>
  <c r="DF5" i="6" s="1"/>
  <c r="DG5" i="6" a="1"/>
  <c r="DG5" i="6" s="1"/>
  <c r="DH5" i="6" a="1"/>
  <c r="DH5" i="6" s="1"/>
  <c r="DI5" i="6" a="1"/>
  <c r="DI5" i="6" s="1"/>
  <c r="DJ5" i="6" a="1"/>
  <c r="DJ5" i="6" s="1"/>
  <c r="DK5" i="6" a="1"/>
  <c r="DK5" i="6" s="1"/>
  <c r="DL5" i="6" a="1"/>
  <c r="DL5" i="6" s="1"/>
  <c r="DM5" i="6" a="1"/>
  <c r="DM5" i="6" s="1"/>
  <c r="DN5" i="6" a="1"/>
  <c r="DN5" i="6" s="1"/>
  <c r="DO5" i="6" a="1"/>
  <c r="DO5" i="6" s="1"/>
  <c r="DP5" i="6" a="1"/>
  <c r="DP5" i="6" s="1"/>
  <c r="DQ5" i="6" a="1"/>
  <c r="DQ5" i="6" s="1"/>
  <c r="DR5" i="6" a="1"/>
  <c r="DR5" i="6" s="1"/>
  <c r="DS5" i="6" a="1"/>
  <c r="DS5" i="6" s="1"/>
  <c r="DT5" i="6" a="1"/>
  <c r="DT5" i="6" s="1"/>
  <c r="DU5" i="6" a="1"/>
  <c r="DU5" i="6" s="1"/>
  <c r="DV5" i="6" a="1"/>
  <c r="DV5" i="6" s="1"/>
  <c r="E763" i="6" s="1"/>
  <c r="E764" i="6" s="1"/>
  <c r="E765" i="6" s="1"/>
  <c r="E766" i="6" s="1"/>
  <c r="E767" i="6" s="1"/>
  <c r="E768" i="6" s="1"/>
  <c r="E769" i="6" s="1"/>
  <c r="E770" i="6" s="1"/>
  <c r="E771" i="6" s="1"/>
  <c r="E772" i="6" s="1"/>
  <c r="E773" i="6" s="1"/>
  <c r="E774" i="6" s="1"/>
  <c r="E775" i="6" s="1"/>
  <c r="E776" i="6" s="1"/>
  <c r="E777" i="6" s="1"/>
  <c r="E778" i="6" s="1"/>
  <c r="E779" i="6" s="1"/>
  <c r="E780" i="6" s="1"/>
  <c r="E781" i="6" s="1"/>
  <c r="E782" i="6" s="1"/>
  <c r="E783" i="6" s="1"/>
  <c r="E784" i="6" s="1"/>
  <c r="E785" i="6" s="1"/>
  <c r="E786" i="6" s="1"/>
  <c r="E787" i="6" s="1"/>
  <c r="E788" i="6" s="1"/>
  <c r="E789" i="6" s="1"/>
  <c r="E790" i="6" s="1"/>
  <c r="E791" i="6" s="1"/>
  <c r="E792" i="6" s="1"/>
  <c r="E793" i="6" s="1"/>
  <c r="E794" i="6" s="1"/>
  <c r="E795" i="6" s="1"/>
  <c r="E796" i="6" s="1"/>
  <c r="E797" i="6" s="1"/>
  <c r="E798" i="6" s="1"/>
  <c r="E799" i="6" s="1"/>
  <c r="E800" i="6" s="1"/>
  <c r="E801" i="6" s="1"/>
  <c r="E802" i="6" s="1"/>
  <c r="E803" i="6" s="1"/>
  <c r="E804" i="6" s="1"/>
  <c r="E805" i="6" s="1"/>
  <c r="E806" i="6" s="1"/>
  <c r="E807" i="6" s="1"/>
  <c r="E808" i="6" s="1"/>
  <c r="E809" i="6" s="1"/>
  <c r="E810" i="6" s="1"/>
  <c r="E811" i="6" s="1"/>
  <c r="E812" i="6" s="1"/>
  <c r="E813" i="6" s="1"/>
  <c r="E814" i="6" s="1"/>
  <c r="E815" i="6" s="1"/>
  <c r="E816" i="6" s="1"/>
  <c r="E817" i="6" s="1"/>
  <c r="E818" i="6" s="1"/>
  <c r="E819" i="6" s="1"/>
  <c r="E820" i="6" s="1"/>
  <c r="E821" i="6" s="1"/>
  <c r="DW5" i="6" a="1"/>
  <c r="DW5" i="6" s="1"/>
  <c r="DX5" i="6" a="1"/>
  <c r="DX5" i="6" s="1"/>
  <c r="DY5" i="6" a="1"/>
  <c r="DY5" i="6" s="1"/>
  <c r="DZ5" i="6" a="1"/>
  <c r="DZ5" i="6" s="1"/>
  <c r="E511" i="6" s="1"/>
  <c r="E512" i="6" s="1"/>
  <c r="E513" i="6" s="1"/>
  <c r="E514" i="6" s="1"/>
  <c r="E515" i="6" s="1"/>
  <c r="E516" i="6" s="1"/>
  <c r="E517" i="6" s="1"/>
  <c r="E518" i="6" s="1"/>
  <c r="E519" i="6" s="1"/>
  <c r="E520" i="6" s="1"/>
  <c r="E521" i="6" s="1"/>
  <c r="E522" i="6" s="1"/>
  <c r="E523" i="6" s="1"/>
  <c r="E524" i="6" s="1"/>
  <c r="E525" i="6" s="1"/>
  <c r="E526" i="6" s="1"/>
  <c r="E527" i="6" s="1"/>
  <c r="E528" i="6" s="1"/>
  <c r="E529" i="6" s="1"/>
  <c r="E530" i="6" s="1"/>
  <c r="E531" i="6" s="1"/>
  <c r="E532" i="6" s="1"/>
  <c r="E533" i="6" s="1"/>
  <c r="E534" i="6" s="1"/>
  <c r="E535" i="6" s="1"/>
  <c r="E536" i="6" s="1"/>
  <c r="E537" i="6" s="1"/>
  <c r="E538" i="6" s="1"/>
  <c r="E539" i="6" s="1"/>
  <c r="E540" i="6" s="1"/>
  <c r="E541" i="6" s="1"/>
  <c r="E542" i="6" s="1"/>
  <c r="E543" i="6" s="1"/>
  <c r="E544" i="6" s="1"/>
  <c r="E545" i="6" s="1"/>
  <c r="E546" i="6" s="1"/>
  <c r="E547" i="6" s="1"/>
  <c r="E548" i="6" s="1"/>
  <c r="E549" i="6" s="1"/>
  <c r="E550" i="6" s="1"/>
  <c r="E551" i="6" s="1"/>
  <c r="E552" i="6" s="1"/>
  <c r="E553" i="6" s="1"/>
  <c r="E554" i="6" s="1"/>
  <c r="E555" i="6" s="1"/>
  <c r="E556" i="6" s="1"/>
  <c r="E557" i="6" s="1"/>
  <c r="E558" i="6" s="1"/>
  <c r="E559" i="6" s="1"/>
  <c r="E560" i="6" s="1"/>
  <c r="E561" i="6" s="1"/>
  <c r="E562" i="6" s="1"/>
  <c r="E563" i="6" s="1"/>
  <c r="E564" i="6" s="1"/>
  <c r="E565" i="6" s="1"/>
  <c r="E566" i="6" s="1"/>
  <c r="E567" i="6" s="1"/>
  <c r="E568" i="6" s="1"/>
  <c r="E569" i="6" s="1"/>
  <c r="EA5" i="6" a="1"/>
  <c r="EA5" i="6" s="1"/>
  <c r="EB5" i="6" a="1"/>
  <c r="EB5" i="6" s="1"/>
  <c r="EC5" i="6" a="1"/>
  <c r="EC5" i="6" s="1"/>
  <c r="ED5" i="6" a="1"/>
  <c r="ED5" i="6" s="1"/>
  <c r="EE5" i="6" a="1"/>
  <c r="EE5" i="6" s="1"/>
  <c r="E141" i="6" s="1"/>
  <c r="BU6" i="6" a="1"/>
  <c r="BU6" i="6" s="1"/>
  <c r="BV6" i="6" a="1"/>
  <c r="BV6" i="6" s="1"/>
  <c r="BW6" i="6" a="1"/>
  <c r="BW6" i="6" s="1"/>
  <c r="BX6" i="6" a="1"/>
  <c r="BX6" i="6" s="1"/>
  <c r="BY6" i="6" a="1"/>
  <c r="BY6" i="6" s="1"/>
  <c r="BZ6" i="6" a="1"/>
  <c r="BZ6" i="6" s="1"/>
  <c r="CA6" i="6" a="1"/>
  <c r="CA6" i="6" s="1"/>
  <c r="CB6" i="6" a="1"/>
  <c r="CB6" i="6" s="1"/>
  <c r="CC6" i="6" a="1"/>
  <c r="CC6" i="6" s="1"/>
  <c r="CD6" i="6" a="1"/>
  <c r="CD6" i="6" s="1"/>
  <c r="CE6" i="6" a="1"/>
  <c r="CE6" i="6" s="1"/>
  <c r="CF6" i="6" a="1"/>
  <c r="CF6" i="6" s="1"/>
  <c r="CG6" i="6" a="1"/>
  <c r="CG6" i="6" s="1"/>
  <c r="CH6" i="6" a="1"/>
  <c r="CH6" i="6" s="1"/>
  <c r="CI6" i="6" a="1"/>
  <c r="CI6" i="6" s="1"/>
  <c r="CJ6" i="6" a="1"/>
  <c r="CJ6" i="6" s="1"/>
  <c r="CK6" i="6" a="1"/>
  <c r="CK6" i="6" s="1"/>
  <c r="CL6" i="6" a="1"/>
  <c r="CL6" i="6" s="1"/>
  <c r="CM6" i="6" a="1"/>
  <c r="CM6" i="6" s="1"/>
  <c r="CN6" i="6" a="1"/>
  <c r="CN6" i="6" s="1"/>
  <c r="CO6" i="6" a="1"/>
  <c r="CO6" i="6" s="1"/>
  <c r="CP6" i="6" a="1"/>
  <c r="CP6" i="6" s="1"/>
  <c r="CQ6" i="6" a="1"/>
  <c r="CQ6" i="6" s="1"/>
  <c r="CR6" i="6" a="1"/>
  <c r="CR6" i="6" s="1"/>
  <c r="CS6" i="6" a="1"/>
  <c r="CS6" i="6" s="1"/>
  <c r="CT6" i="6" a="1"/>
  <c r="CT6" i="6" s="1"/>
  <c r="CU6" i="6" a="1"/>
  <c r="CU6" i="6" s="1"/>
  <c r="CV6" i="6" a="1"/>
  <c r="CV6" i="6" s="1"/>
  <c r="CW6" i="6" a="1"/>
  <c r="CW6" i="6" s="1"/>
  <c r="CX6" i="6" a="1"/>
  <c r="CX6" i="6" s="1"/>
  <c r="CY6" i="6" a="1"/>
  <c r="CY6" i="6" s="1"/>
  <c r="CZ6" i="6" a="1"/>
  <c r="CZ6" i="6" s="1"/>
  <c r="DA6" i="6" a="1"/>
  <c r="DA6" i="6" s="1"/>
  <c r="DB6" i="6" a="1"/>
  <c r="DB6" i="6" s="1"/>
  <c r="DC6" i="6" a="1"/>
  <c r="DC6" i="6" s="1"/>
  <c r="DD6" i="6" a="1"/>
  <c r="DD6" i="6" s="1"/>
  <c r="DE6" i="6" a="1"/>
  <c r="DE6" i="6" s="1"/>
  <c r="DF6" i="6" a="1"/>
  <c r="DF6" i="6" s="1"/>
  <c r="DG6" i="6" a="1"/>
  <c r="DG6" i="6" s="1"/>
  <c r="DH6" i="6" a="1"/>
  <c r="DH6" i="6" s="1"/>
  <c r="DI6" i="6" a="1"/>
  <c r="DI6" i="6" s="1"/>
  <c r="DJ6" i="6" a="1"/>
  <c r="DJ6" i="6" s="1"/>
  <c r="DK6" i="6" a="1"/>
  <c r="DK6" i="6" s="1"/>
  <c r="DL6" i="6" a="1"/>
  <c r="DL6" i="6" s="1"/>
  <c r="DM6" i="6" a="1"/>
  <c r="DM6" i="6" s="1"/>
  <c r="DN6" i="6" a="1"/>
  <c r="DN6" i="6" s="1"/>
  <c r="DO6" i="6" a="1"/>
  <c r="DO6" i="6" s="1"/>
  <c r="DP6" i="6" a="1"/>
  <c r="DP6" i="6" s="1"/>
  <c r="DQ6" i="6" a="1"/>
  <c r="DQ6" i="6" s="1"/>
  <c r="DR6" i="6" a="1"/>
  <c r="DR6" i="6" s="1"/>
  <c r="DS6" i="6" a="1"/>
  <c r="DS6" i="6" s="1"/>
  <c r="DT6" i="6" a="1"/>
  <c r="DT6" i="6" s="1"/>
  <c r="DU6" i="6" a="1"/>
  <c r="DU6" i="6" s="1"/>
  <c r="DV6" i="6" a="1"/>
  <c r="DV6" i="6" s="1"/>
  <c r="DW6" i="6" a="1"/>
  <c r="DW6" i="6" s="1"/>
  <c r="DX6" i="6" a="1"/>
  <c r="DX6" i="6" s="1"/>
  <c r="DY6" i="6" a="1"/>
  <c r="DY6" i="6" s="1"/>
  <c r="DZ6" i="6" a="1"/>
  <c r="DZ6" i="6" s="1"/>
  <c r="EA6" i="6" a="1"/>
  <c r="EA6" i="6" s="1"/>
  <c r="EB6" i="6" a="1"/>
  <c r="EB6" i="6" s="1"/>
  <c r="EC6" i="6" a="1"/>
  <c r="EC6" i="6" s="1"/>
  <c r="ED6" i="6" a="1"/>
  <c r="ED6" i="6" s="1"/>
  <c r="EE6" i="6" a="1"/>
  <c r="EE6" i="6" s="1"/>
  <c r="E5" i="6" a="1"/>
  <c r="E5" i="6" s="1"/>
  <c r="EE4" i="6"/>
  <c r="ED4" i="6"/>
  <c r="EC4" i="6"/>
  <c r="EB4" i="6"/>
  <c r="EA4" i="6"/>
  <c r="DZ4" i="6"/>
  <c r="DY4" i="6"/>
  <c r="DX4" i="6"/>
  <c r="DW4" i="6"/>
  <c r="DU4" i="6"/>
  <c r="DT4" i="6"/>
  <c r="DS4" i="6"/>
  <c r="DR4" i="6"/>
  <c r="DQ4" i="6"/>
  <c r="DP4" i="6"/>
  <c r="DO4" i="6"/>
  <c r="DN4" i="6"/>
  <c r="DM4" i="6"/>
  <c r="DL4" i="6"/>
  <c r="DK4" i="6"/>
  <c r="DJ4" i="6"/>
  <c r="DI4" i="6"/>
  <c r="DH4" i="6"/>
  <c r="DG4" i="6"/>
  <c r="DF4" i="6"/>
  <c r="DE4" i="6"/>
  <c r="DD4" i="6"/>
  <c r="DC4" i="6"/>
  <c r="DB4" i="6"/>
  <c r="DA4" i="6"/>
  <c r="CZ4" i="6"/>
  <c r="CY4" i="6"/>
  <c r="CX4" i="6"/>
  <c r="CW4" i="6"/>
  <c r="CV4" i="6"/>
  <c r="CU4" i="6"/>
  <c r="CT4" i="6"/>
  <c r="CS4" i="6"/>
  <c r="CR4" i="6"/>
  <c r="CQ4" i="6"/>
  <c r="CP4" i="6"/>
  <c r="CO4" i="6"/>
  <c r="CN4" i="6"/>
  <c r="CM4" i="6"/>
  <c r="CL4" i="6"/>
  <c r="CK4" i="6"/>
  <c r="CJ4" i="6"/>
  <c r="CI4" i="6"/>
  <c r="CH4" i="6"/>
  <c r="CG4" i="6"/>
  <c r="CF4" i="6"/>
  <c r="CE4" i="6"/>
  <c r="CD4" i="6"/>
  <c r="CC4" i="6"/>
  <c r="CB4" i="6"/>
  <c r="CA4" i="6"/>
  <c r="BZ4" i="6"/>
  <c r="BY4" i="6"/>
  <c r="BX4" i="6"/>
  <c r="BW4" i="6"/>
  <c r="BV4" i="6"/>
  <c r="BU4" i="6"/>
  <c r="BT4" i="6"/>
  <c r="BS4" i="6"/>
  <c r="BR4" i="6"/>
  <c r="BQ4" i="6"/>
  <c r="BP4" i="6"/>
  <c r="BO4" i="6"/>
  <c r="BN4" i="6"/>
  <c r="BM4" i="6"/>
  <c r="BL4" i="6"/>
  <c r="BK4" i="6"/>
  <c r="BJ4" i="6"/>
  <c r="BI4" i="6"/>
  <c r="BH4" i="6"/>
  <c r="BG4" i="6"/>
  <c r="BF4" i="6"/>
  <c r="BE4" i="6"/>
  <c r="BD4" i="6"/>
  <c r="BC4" i="6"/>
  <c r="BB4" i="6"/>
  <c r="BA4" i="6"/>
  <c r="AZ4" i="6"/>
  <c r="AY4" i="6"/>
  <c r="AX4" i="6"/>
  <c r="AW4" i="6"/>
  <c r="AV4" i="6"/>
  <c r="AU4" i="6"/>
  <c r="AT4" i="6"/>
  <c r="AS4" i="6"/>
  <c r="AR4" i="6"/>
  <c r="AQ4" i="6"/>
  <c r="AP4" i="6"/>
  <c r="AO4" i="6"/>
  <c r="AN4" i="6"/>
  <c r="AM4" i="6"/>
  <c r="AL4" i="6"/>
  <c r="AK4" i="6"/>
  <c r="AJ4" i="6"/>
  <c r="AI4" i="6"/>
  <c r="AH4" i="6"/>
  <c r="AG4" i="6"/>
  <c r="AF4" i="6"/>
  <c r="AE4" i="6"/>
  <c r="AD4" i="6"/>
  <c r="AC4" i="6"/>
  <c r="AB4" i="6"/>
  <c r="AA4" i="6"/>
  <c r="Z4" i="6"/>
  <c r="Y4" i="6"/>
  <c r="E7126" i="6" s="1"/>
  <c r="E7127" i="6" s="1"/>
  <c r="E7128" i="6" s="1"/>
  <c r="E7129" i="6" s="1"/>
  <c r="E7130" i="6" s="1"/>
  <c r="E7131" i="6" s="1"/>
  <c r="E7132" i="6" s="1"/>
  <c r="E7133" i="6" s="1"/>
  <c r="E7134" i="6" s="1"/>
  <c r="E7135" i="6" s="1"/>
  <c r="E7136" i="6" s="1"/>
  <c r="E7137" i="6" s="1"/>
  <c r="E7138" i="6" s="1"/>
  <c r="E7139" i="6" s="1"/>
  <c r="E7140" i="6" s="1"/>
  <c r="E7141" i="6" s="1"/>
  <c r="E7142" i="6" s="1"/>
  <c r="E7143" i="6" s="1"/>
  <c r="E7144" i="6" s="1"/>
  <c r="E7145" i="6" s="1"/>
  <c r="E7146" i="6" s="1"/>
  <c r="E7147" i="6" s="1"/>
  <c r="E7148" i="6" s="1"/>
  <c r="E7149" i="6" s="1"/>
  <c r="E7150" i="6" s="1"/>
  <c r="E7151" i="6" s="1"/>
  <c r="E7152" i="6" s="1"/>
  <c r="E7153" i="6" s="1"/>
  <c r="E7154" i="6" s="1"/>
  <c r="E7155" i="6" s="1"/>
  <c r="E7156" i="6" s="1"/>
  <c r="E7157" i="6" s="1"/>
  <c r="E7158" i="6" s="1"/>
  <c r="E7159" i="6" s="1"/>
  <c r="E7160" i="6" s="1"/>
  <c r="E7161" i="6" s="1"/>
  <c r="E7162" i="6" s="1"/>
  <c r="E7163" i="6" s="1"/>
  <c r="E7164" i="6" s="1"/>
  <c r="E7165" i="6" s="1"/>
  <c r="E7166" i="6" s="1"/>
  <c r="E7167" i="6" s="1"/>
  <c r="E7168" i="6" s="1"/>
  <c r="E7169" i="6" s="1"/>
  <c r="E7170" i="6" s="1"/>
  <c r="E7171" i="6" s="1"/>
  <c r="E7172" i="6" s="1"/>
  <c r="E7173" i="6" s="1"/>
  <c r="E7174" i="6" s="1"/>
  <c r="E7175" i="6" s="1"/>
  <c r="E7176" i="6" s="1"/>
  <c r="E7177" i="6" s="1"/>
  <c r="E7178" i="6" s="1"/>
  <c r="E7179" i="6" s="1"/>
  <c r="E7180" i="6" s="1"/>
  <c r="E7181" i="6" s="1"/>
  <c r="E7182" i="6" s="1"/>
  <c r="E7183" i="6" s="1"/>
  <c r="E7184" i="6" s="1"/>
  <c r="X4" i="6"/>
  <c r="W4" i="6"/>
  <c r="V4" i="6"/>
  <c r="U4" i="6"/>
  <c r="T4" i="6"/>
  <c r="S4" i="6"/>
  <c r="R4" i="6"/>
  <c r="Q4" i="6"/>
  <c r="P4" i="6"/>
  <c r="O4" i="6"/>
  <c r="N4" i="6"/>
  <c r="M4" i="6"/>
  <c r="L4" i="6"/>
  <c r="K4" i="6"/>
  <c r="J4" i="6"/>
  <c r="I4" i="6"/>
  <c r="H4" i="6"/>
  <c r="G4" i="6"/>
  <c r="F4" i="6"/>
  <c r="E4" i="6"/>
  <c r="D169" i="4"/>
  <c r="E169" i="4" s="1"/>
  <c r="E4" i="4"/>
  <c r="E5" i="4"/>
  <c r="E7" i="4"/>
  <c r="E12" i="4"/>
  <c r="E13" i="4"/>
  <c r="E16" i="4"/>
  <c r="E20" i="4"/>
  <c r="E21" i="4"/>
  <c r="E22" i="4"/>
  <c r="E23" i="4"/>
  <c r="E29" i="4"/>
  <c r="E30" i="4"/>
  <c r="E31" i="4"/>
  <c r="E35" i="4"/>
  <c r="E36" i="4"/>
  <c r="E39" i="4"/>
  <c r="E40" i="4"/>
  <c r="E44" i="4"/>
  <c r="E47" i="4"/>
  <c r="E48" i="4"/>
  <c r="E50" i="4"/>
  <c r="E51" i="4"/>
  <c r="E52" i="4"/>
  <c r="E53" i="4"/>
  <c r="E59" i="4"/>
  <c r="E60" i="4"/>
  <c r="E63" i="4"/>
  <c r="E67" i="4"/>
  <c r="E68" i="4"/>
  <c r="E69" i="4"/>
  <c r="E71" i="4"/>
  <c r="E76" i="4"/>
  <c r="E77" i="4"/>
  <c r="E80" i="4"/>
  <c r="E84" i="4"/>
  <c r="E85" i="4"/>
  <c r="E86" i="4"/>
  <c r="E87" i="4"/>
  <c r="E93" i="4"/>
  <c r="E94" i="4"/>
  <c r="E95" i="4"/>
  <c r="E99" i="4"/>
  <c r="E100" i="4"/>
  <c r="E103" i="4"/>
  <c r="E104" i="4"/>
  <c r="E108" i="4"/>
  <c r="E111" i="4"/>
  <c r="E112" i="4"/>
  <c r="E114" i="4"/>
  <c r="E115" i="4"/>
  <c r="E116" i="4"/>
  <c r="E117" i="4"/>
  <c r="E123" i="4"/>
  <c r="E124" i="4"/>
  <c r="E127" i="4"/>
  <c r="E131" i="4"/>
  <c r="E132" i="4"/>
  <c r="E133" i="4"/>
  <c r="E135" i="4"/>
  <c r="E140" i="4"/>
  <c r="E141" i="4"/>
  <c r="E144" i="4"/>
  <c r="E148" i="4"/>
  <c r="E149" i="4"/>
  <c r="E150" i="4"/>
  <c r="E151" i="4"/>
  <c r="E157" i="4"/>
  <c r="E158" i="4"/>
  <c r="E159" i="4"/>
  <c r="E163" i="4"/>
  <c r="E164" i="4"/>
  <c r="E167" i="4"/>
  <c r="E168" i="4"/>
  <c r="D168" i="4"/>
  <c r="D167" i="4"/>
  <c r="D166" i="4"/>
  <c r="E166" i="4" s="1"/>
  <c r="D165" i="4"/>
  <c r="E165" i="4" s="1"/>
  <c r="D164" i="4"/>
  <c r="D163" i="4"/>
  <c r="D162" i="4"/>
  <c r="E162" i="4" s="1"/>
  <c r="D161" i="4"/>
  <c r="E161" i="4" s="1"/>
  <c r="D160" i="4"/>
  <c r="E160" i="4" s="1"/>
  <c r="D159" i="4"/>
  <c r="D158" i="4"/>
  <c r="D157" i="4"/>
  <c r="D156" i="4"/>
  <c r="E156" i="4" s="1"/>
  <c r="D155" i="4"/>
  <c r="E155" i="4" s="1"/>
  <c r="D154" i="4"/>
  <c r="E154" i="4" s="1"/>
  <c r="D153" i="4"/>
  <c r="E153" i="4" s="1"/>
  <c r="D152" i="4"/>
  <c r="E152" i="4" s="1"/>
  <c r="D151" i="4"/>
  <c r="D150" i="4"/>
  <c r="D149" i="4"/>
  <c r="D148" i="4"/>
  <c r="D147" i="4"/>
  <c r="E147" i="4" s="1"/>
  <c r="D146" i="4"/>
  <c r="E146" i="4" s="1"/>
  <c r="D145" i="4"/>
  <c r="E145" i="4" s="1"/>
  <c r="D144" i="4"/>
  <c r="D143" i="4"/>
  <c r="E143" i="4" s="1"/>
  <c r="D142" i="4"/>
  <c r="E142" i="4" s="1"/>
  <c r="D141" i="4"/>
  <c r="D140" i="4"/>
  <c r="D139" i="4"/>
  <c r="E139" i="4" s="1"/>
  <c r="D138" i="4"/>
  <c r="E138" i="4" s="1"/>
  <c r="D137" i="4"/>
  <c r="E137" i="4" s="1"/>
  <c r="D136" i="4"/>
  <c r="E136" i="4" s="1"/>
  <c r="D135" i="4"/>
  <c r="D134" i="4"/>
  <c r="E134" i="4" s="1"/>
  <c r="D133" i="4"/>
  <c r="D132" i="4"/>
  <c r="D131" i="4"/>
  <c r="D130" i="4"/>
  <c r="E130" i="4" s="1"/>
  <c r="D129" i="4"/>
  <c r="E129" i="4" s="1"/>
  <c r="D128" i="4"/>
  <c r="E128" i="4" s="1"/>
  <c r="D127" i="4"/>
  <c r="D126" i="4"/>
  <c r="E126" i="4" s="1"/>
  <c r="D125" i="4"/>
  <c r="E125" i="4" s="1"/>
  <c r="D124" i="4"/>
  <c r="D123" i="4"/>
  <c r="D122" i="4"/>
  <c r="E122" i="4" s="1"/>
  <c r="D121" i="4"/>
  <c r="E121" i="4" s="1"/>
  <c r="D120" i="4"/>
  <c r="E120" i="4" s="1"/>
  <c r="D119" i="4"/>
  <c r="E119" i="4" s="1"/>
  <c r="D118" i="4"/>
  <c r="E118" i="4" s="1"/>
  <c r="D117" i="4"/>
  <c r="D116" i="4"/>
  <c r="D115" i="4"/>
  <c r="D114" i="4"/>
  <c r="D113" i="4"/>
  <c r="E113" i="4" s="1"/>
  <c r="D112" i="4"/>
  <c r="D111" i="4"/>
  <c r="D110" i="4"/>
  <c r="E110" i="4" s="1"/>
  <c r="D109" i="4"/>
  <c r="E109" i="4" s="1"/>
  <c r="D108" i="4"/>
  <c r="D107" i="4"/>
  <c r="E107" i="4" s="1"/>
  <c r="D106" i="4"/>
  <c r="E106" i="4" s="1"/>
  <c r="D105" i="4"/>
  <c r="E105" i="4" s="1"/>
  <c r="D104" i="4"/>
  <c r="D103" i="4"/>
  <c r="D102" i="4"/>
  <c r="E102" i="4" s="1"/>
  <c r="D101" i="4"/>
  <c r="E101" i="4" s="1"/>
  <c r="D100" i="4"/>
  <c r="D99" i="4"/>
  <c r="D98" i="4"/>
  <c r="E98" i="4" s="1"/>
  <c r="D97" i="4"/>
  <c r="E97" i="4" s="1"/>
  <c r="D96" i="4"/>
  <c r="E96" i="4" s="1"/>
  <c r="D95" i="4"/>
  <c r="D94" i="4"/>
  <c r="D93" i="4"/>
  <c r="D92" i="4"/>
  <c r="E92" i="4" s="1"/>
  <c r="D91" i="4"/>
  <c r="E91" i="4" s="1"/>
  <c r="D90" i="4"/>
  <c r="E90" i="4" s="1"/>
  <c r="D89" i="4"/>
  <c r="E89" i="4" s="1"/>
  <c r="D88" i="4"/>
  <c r="E88" i="4" s="1"/>
  <c r="D87" i="4"/>
  <c r="D86" i="4"/>
  <c r="D85" i="4"/>
  <c r="D84" i="4"/>
  <c r="D83" i="4"/>
  <c r="E83" i="4" s="1"/>
  <c r="D82" i="4"/>
  <c r="E82" i="4" s="1"/>
  <c r="D81" i="4"/>
  <c r="E81" i="4" s="1"/>
  <c r="D80" i="4"/>
  <c r="D79" i="4"/>
  <c r="E79" i="4" s="1"/>
  <c r="D78" i="4"/>
  <c r="E78" i="4" s="1"/>
  <c r="D77" i="4"/>
  <c r="D76" i="4"/>
  <c r="D75" i="4"/>
  <c r="E75" i="4" s="1"/>
  <c r="D74" i="4"/>
  <c r="E74" i="4" s="1"/>
  <c r="D73" i="4"/>
  <c r="E73" i="4" s="1"/>
  <c r="D72" i="4"/>
  <c r="E72" i="4" s="1"/>
  <c r="D71" i="4"/>
  <c r="D70" i="4"/>
  <c r="E70" i="4" s="1"/>
  <c r="D69" i="4"/>
  <c r="D68" i="4"/>
  <c r="D67" i="4"/>
  <c r="D66" i="4"/>
  <c r="E66" i="4" s="1"/>
  <c r="D65" i="4"/>
  <c r="E65" i="4" s="1"/>
  <c r="D64" i="4"/>
  <c r="E64" i="4" s="1"/>
  <c r="D63" i="4"/>
  <c r="D62" i="4"/>
  <c r="E62" i="4" s="1"/>
  <c r="D61" i="4"/>
  <c r="E61" i="4" s="1"/>
  <c r="D60" i="4"/>
  <c r="D59" i="4"/>
  <c r="D58" i="4"/>
  <c r="E58" i="4" s="1"/>
  <c r="D57" i="4"/>
  <c r="E57" i="4" s="1"/>
  <c r="D56" i="4"/>
  <c r="E56" i="4" s="1"/>
  <c r="D55" i="4"/>
  <c r="E55" i="4" s="1"/>
  <c r="D54" i="4"/>
  <c r="E54" i="4" s="1"/>
  <c r="D53" i="4"/>
  <c r="D52" i="4"/>
  <c r="D51" i="4"/>
  <c r="D50" i="4"/>
  <c r="D49" i="4"/>
  <c r="E49" i="4" s="1"/>
  <c r="D48" i="4"/>
  <c r="D47" i="4"/>
  <c r="D46" i="4"/>
  <c r="E46" i="4" s="1"/>
  <c r="D45" i="4"/>
  <c r="E45" i="4" s="1"/>
  <c r="D44" i="4"/>
  <c r="D43" i="4"/>
  <c r="E43" i="4" s="1"/>
  <c r="D42" i="4"/>
  <c r="E42" i="4" s="1"/>
  <c r="D41" i="4"/>
  <c r="E41" i="4" s="1"/>
  <c r="D40" i="4"/>
  <c r="D39" i="4"/>
  <c r="D38" i="4"/>
  <c r="E38" i="4" s="1"/>
  <c r="D37" i="4"/>
  <c r="E37" i="4" s="1"/>
  <c r="D36" i="4"/>
  <c r="D35" i="4"/>
  <c r="D34" i="4"/>
  <c r="E34" i="4" s="1"/>
  <c r="D33" i="4"/>
  <c r="E33" i="4" s="1"/>
  <c r="D32" i="4"/>
  <c r="E32" i="4" s="1"/>
  <c r="D31" i="4"/>
  <c r="D30" i="4"/>
  <c r="D29" i="4"/>
  <c r="D28" i="4"/>
  <c r="E28" i="4" s="1"/>
  <c r="D27" i="4"/>
  <c r="E27" i="4" s="1"/>
  <c r="D26" i="4"/>
  <c r="E26" i="4" s="1"/>
  <c r="D25" i="4"/>
  <c r="E25" i="4" s="1"/>
  <c r="D24" i="4"/>
  <c r="E24" i="4" s="1"/>
  <c r="D23" i="4"/>
  <c r="D22" i="4"/>
  <c r="D21" i="4"/>
  <c r="D20" i="4"/>
  <c r="D19" i="4"/>
  <c r="E19" i="4" s="1"/>
  <c r="D18" i="4"/>
  <c r="E18" i="4" s="1"/>
  <c r="D17" i="4"/>
  <c r="E17" i="4" s="1"/>
  <c r="D16" i="4"/>
  <c r="D15" i="4"/>
  <c r="E15" i="4" s="1"/>
  <c r="D14" i="4"/>
  <c r="E14" i="4" s="1"/>
  <c r="D13" i="4"/>
  <c r="D12" i="4"/>
  <c r="D11" i="4"/>
  <c r="E11" i="4" s="1"/>
  <c r="D10" i="4"/>
  <c r="E10" i="4" s="1"/>
  <c r="D9" i="4"/>
  <c r="E9" i="4" s="1"/>
  <c r="D8" i="4"/>
  <c r="E8" i="4" s="1"/>
  <c r="D7" i="4"/>
  <c r="D6" i="4"/>
  <c r="E6" i="4" s="1"/>
  <c r="D5" i="4"/>
  <c r="D4" i="4"/>
  <c r="D3" i="4"/>
  <c r="E3" i="4" s="1"/>
  <c r="E79" i="2"/>
  <c r="E86" i="2"/>
  <c r="E87" i="2"/>
  <c r="E102" i="2"/>
  <c r="E110" i="2"/>
  <c r="E127" i="2"/>
  <c r="E143" i="2"/>
  <c r="E150" i="2"/>
  <c r="E151" i="2"/>
  <c r="E174" i="2"/>
  <c r="E191" i="2"/>
  <c r="D4" i="2"/>
  <c r="E4" i="2" s="1"/>
  <c r="D5" i="2"/>
  <c r="E5" i="2" s="1"/>
  <c r="D6" i="2"/>
  <c r="E6" i="2" s="1"/>
  <c r="D7" i="2"/>
  <c r="E7" i="2" s="1"/>
  <c r="D8" i="2"/>
  <c r="E8" i="2" s="1"/>
  <c r="D9" i="2"/>
  <c r="E9" i="2" s="1"/>
  <c r="D10" i="2"/>
  <c r="E10" i="2" s="1"/>
  <c r="D11" i="2"/>
  <c r="E11" i="2" s="1"/>
  <c r="D12" i="2"/>
  <c r="E12" i="2" s="1"/>
  <c r="D13" i="2"/>
  <c r="E13" i="2" s="1"/>
  <c r="D14" i="2"/>
  <c r="E14" i="2" s="1"/>
  <c r="D15" i="2"/>
  <c r="E15" i="2" s="1"/>
  <c r="D16" i="2"/>
  <c r="E16" i="2" s="1"/>
  <c r="D17" i="2"/>
  <c r="E17" i="2" s="1"/>
  <c r="D18" i="2"/>
  <c r="E18" i="2" s="1"/>
  <c r="D19" i="2"/>
  <c r="E19" i="2" s="1"/>
  <c r="D20" i="2"/>
  <c r="E20" i="2" s="1"/>
  <c r="D21" i="2"/>
  <c r="E21" i="2" s="1"/>
  <c r="D22" i="2"/>
  <c r="E22" i="2" s="1"/>
  <c r="D23" i="2"/>
  <c r="E23" i="2" s="1"/>
  <c r="D24" i="2"/>
  <c r="E24" i="2" s="1"/>
  <c r="D25" i="2"/>
  <c r="E25" i="2" s="1"/>
  <c r="D26" i="2"/>
  <c r="E26" i="2" s="1"/>
  <c r="D27" i="2"/>
  <c r="E27" i="2" s="1"/>
  <c r="D28" i="2"/>
  <c r="E28" i="2" s="1"/>
  <c r="D29" i="2"/>
  <c r="E29" i="2" s="1"/>
  <c r="D30" i="2"/>
  <c r="E30" i="2" s="1"/>
  <c r="D31" i="2"/>
  <c r="E31" i="2" s="1"/>
  <c r="D32" i="2"/>
  <c r="E32" i="2" s="1"/>
  <c r="D33" i="2"/>
  <c r="E33" i="2" s="1"/>
  <c r="D34" i="2"/>
  <c r="E34" i="2" s="1"/>
  <c r="D35" i="2"/>
  <c r="E35" i="2" s="1"/>
  <c r="D36" i="2"/>
  <c r="E36" i="2" s="1"/>
  <c r="D37" i="2"/>
  <c r="E37" i="2" s="1"/>
  <c r="D38" i="2"/>
  <c r="E38" i="2" s="1"/>
  <c r="D39" i="2"/>
  <c r="E39" i="2" s="1"/>
  <c r="D40" i="2"/>
  <c r="E40" i="2" s="1"/>
  <c r="D41" i="2"/>
  <c r="E41" i="2" s="1"/>
  <c r="D42" i="2"/>
  <c r="E42" i="2" s="1"/>
  <c r="D43" i="2"/>
  <c r="E43" i="2" s="1"/>
  <c r="D44" i="2"/>
  <c r="E44" i="2" s="1"/>
  <c r="D45" i="2"/>
  <c r="E45" i="2" s="1"/>
  <c r="D46" i="2"/>
  <c r="E46" i="2" s="1"/>
  <c r="D47" i="2"/>
  <c r="E47" i="2" s="1"/>
  <c r="D48" i="2"/>
  <c r="E48" i="2" s="1"/>
  <c r="D49" i="2"/>
  <c r="E49" i="2" s="1"/>
  <c r="D50" i="2"/>
  <c r="E50" i="2" s="1"/>
  <c r="D51" i="2"/>
  <c r="E51" i="2" s="1"/>
  <c r="D52" i="2"/>
  <c r="E52" i="2" s="1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E68" i="2" s="1"/>
  <c r="D69" i="2"/>
  <c r="E69" i="2" s="1"/>
  <c r="D70" i="2"/>
  <c r="E70" i="2" s="1"/>
  <c r="D71" i="2"/>
  <c r="E71" i="2" s="1"/>
  <c r="D72" i="2"/>
  <c r="E72" i="2" s="1"/>
  <c r="D73" i="2"/>
  <c r="E73" i="2" s="1"/>
  <c r="D74" i="2"/>
  <c r="E74" i="2" s="1"/>
  <c r="D75" i="2"/>
  <c r="E75" i="2" s="1"/>
  <c r="D76" i="2"/>
  <c r="E76" i="2" s="1"/>
  <c r="D77" i="2"/>
  <c r="E77" i="2" s="1"/>
  <c r="D78" i="2"/>
  <c r="E78" i="2" s="1"/>
  <c r="D79" i="2"/>
  <c r="D80" i="2"/>
  <c r="E80" i="2" s="1"/>
  <c r="D81" i="2"/>
  <c r="E81" i="2" s="1"/>
  <c r="D82" i="2"/>
  <c r="E82" i="2" s="1"/>
  <c r="D83" i="2"/>
  <c r="E83" i="2" s="1"/>
  <c r="D84" i="2"/>
  <c r="E84" i="2" s="1"/>
  <c r="D85" i="2"/>
  <c r="E85" i="2" s="1"/>
  <c r="D86" i="2"/>
  <c r="D87" i="2"/>
  <c r="D88" i="2"/>
  <c r="E88" i="2" s="1"/>
  <c r="D89" i="2"/>
  <c r="E89" i="2" s="1"/>
  <c r="D90" i="2"/>
  <c r="E90" i="2" s="1"/>
  <c r="D91" i="2"/>
  <c r="E91" i="2" s="1"/>
  <c r="D92" i="2"/>
  <c r="E92" i="2" s="1"/>
  <c r="D93" i="2"/>
  <c r="E93" i="2" s="1"/>
  <c r="D94" i="2"/>
  <c r="E94" i="2" s="1"/>
  <c r="D95" i="2"/>
  <c r="E95" i="2" s="1"/>
  <c r="D96" i="2"/>
  <c r="E96" i="2" s="1"/>
  <c r="D97" i="2"/>
  <c r="E97" i="2" s="1"/>
  <c r="D98" i="2"/>
  <c r="E98" i="2" s="1"/>
  <c r="D99" i="2"/>
  <c r="E99" i="2" s="1"/>
  <c r="D100" i="2"/>
  <c r="E100" i="2" s="1"/>
  <c r="D101" i="2"/>
  <c r="E101" i="2" s="1"/>
  <c r="D102" i="2"/>
  <c r="D103" i="2"/>
  <c r="E103" i="2" s="1"/>
  <c r="D104" i="2"/>
  <c r="E104" i="2" s="1"/>
  <c r="D105" i="2"/>
  <c r="E105" i="2" s="1"/>
  <c r="D106" i="2"/>
  <c r="E106" i="2" s="1"/>
  <c r="D107" i="2"/>
  <c r="E107" i="2" s="1"/>
  <c r="D108" i="2"/>
  <c r="E108" i="2" s="1"/>
  <c r="D109" i="2"/>
  <c r="E109" i="2" s="1"/>
  <c r="D110" i="2"/>
  <c r="D111" i="2"/>
  <c r="E111" i="2" s="1"/>
  <c r="D112" i="2"/>
  <c r="E112" i="2" s="1"/>
  <c r="D113" i="2"/>
  <c r="E113" i="2" s="1"/>
  <c r="D114" i="2"/>
  <c r="E114" i="2" s="1"/>
  <c r="D115" i="2"/>
  <c r="E115" i="2" s="1"/>
  <c r="D116" i="2"/>
  <c r="E116" i="2" s="1"/>
  <c r="D117" i="2"/>
  <c r="E117" i="2" s="1"/>
  <c r="D118" i="2"/>
  <c r="E118" i="2" s="1"/>
  <c r="D119" i="2"/>
  <c r="E119" i="2" s="1"/>
  <c r="D120" i="2"/>
  <c r="E120" i="2" s="1"/>
  <c r="D121" i="2"/>
  <c r="E121" i="2" s="1"/>
  <c r="D122" i="2"/>
  <c r="E122" i="2" s="1"/>
  <c r="D123" i="2"/>
  <c r="E123" i="2" s="1"/>
  <c r="D124" i="2"/>
  <c r="E124" i="2" s="1"/>
  <c r="D125" i="2"/>
  <c r="E125" i="2" s="1"/>
  <c r="D126" i="2"/>
  <c r="E126" i="2" s="1"/>
  <c r="D127" i="2"/>
  <c r="D128" i="2"/>
  <c r="E128" i="2" s="1"/>
  <c r="D129" i="2"/>
  <c r="E129" i="2" s="1"/>
  <c r="D130" i="2"/>
  <c r="E130" i="2" s="1"/>
  <c r="D131" i="2"/>
  <c r="E131" i="2" s="1"/>
  <c r="D132" i="2"/>
  <c r="E132" i="2" s="1"/>
  <c r="D133" i="2"/>
  <c r="E133" i="2" s="1"/>
  <c r="D134" i="2"/>
  <c r="E134" i="2" s="1"/>
  <c r="D135" i="2"/>
  <c r="E135" i="2" s="1"/>
  <c r="D136" i="2"/>
  <c r="E136" i="2" s="1"/>
  <c r="D137" i="2"/>
  <c r="E137" i="2" s="1"/>
  <c r="D138" i="2"/>
  <c r="E138" i="2" s="1"/>
  <c r="D139" i="2"/>
  <c r="E139" i="2" s="1"/>
  <c r="D140" i="2"/>
  <c r="E140" i="2" s="1"/>
  <c r="D141" i="2"/>
  <c r="E141" i="2" s="1"/>
  <c r="D142" i="2"/>
  <c r="E142" i="2" s="1"/>
  <c r="D143" i="2"/>
  <c r="D144" i="2"/>
  <c r="E144" i="2" s="1"/>
  <c r="D145" i="2"/>
  <c r="E145" i="2" s="1"/>
  <c r="D146" i="2"/>
  <c r="E146" i="2" s="1"/>
  <c r="D147" i="2"/>
  <c r="E147" i="2" s="1"/>
  <c r="D148" i="2"/>
  <c r="E148" i="2" s="1"/>
  <c r="D149" i="2"/>
  <c r="E149" i="2" s="1"/>
  <c r="D150" i="2"/>
  <c r="D151" i="2"/>
  <c r="D152" i="2"/>
  <c r="E152" i="2" s="1"/>
  <c r="D153" i="2"/>
  <c r="E153" i="2" s="1"/>
  <c r="D154" i="2"/>
  <c r="E154" i="2" s="1"/>
  <c r="D155" i="2"/>
  <c r="E155" i="2" s="1"/>
  <c r="D156" i="2"/>
  <c r="E156" i="2" s="1"/>
  <c r="D157" i="2"/>
  <c r="E157" i="2" s="1"/>
  <c r="D158" i="2"/>
  <c r="E158" i="2" s="1"/>
  <c r="D159" i="2"/>
  <c r="E159" i="2" s="1"/>
  <c r="D160" i="2"/>
  <c r="E160" i="2" s="1"/>
  <c r="D161" i="2"/>
  <c r="E161" i="2" s="1"/>
  <c r="D162" i="2"/>
  <c r="E162" i="2" s="1"/>
  <c r="D163" i="2"/>
  <c r="E163" i="2" s="1"/>
  <c r="D164" i="2"/>
  <c r="E164" i="2" s="1"/>
  <c r="D165" i="2"/>
  <c r="E165" i="2" s="1"/>
  <c r="D166" i="2"/>
  <c r="E166" i="2" s="1"/>
  <c r="D167" i="2"/>
  <c r="E167" i="2" s="1"/>
  <c r="D168" i="2"/>
  <c r="E168" i="2" s="1"/>
  <c r="D169" i="2"/>
  <c r="E169" i="2" s="1"/>
  <c r="D170" i="2"/>
  <c r="E170" i="2" s="1"/>
  <c r="D171" i="2"/>
  <c r="E171" i="2" s="1"/>
  <c r="D172" i="2"/>
  <c r="E172" i="2" s="1"/>
  <c r="D173" i="2"/>
  <c r="E173" i="2" s="1"/>
  <c r="D174" i="2"/>
  <c r="D175" i="2"/>
  <c r="E175" i="2" s="1"/>
  <c r="D176" i="2"/>
  <c r="E176" i="2" s="1"/>
  <c r="D177" i="2"/>
  <c r="E177" i="2" s="1"/>
  <c r="D178" i="2"/>
  <c r="E178" i="2" s="1"/>
  <c r="D179" i="2"/>
  <c r="E179" i="2" s="1"/>
  <c r="D180" i="2"/>
  <c r="E180" i="2" s="1"/>
  <c r="D181" i="2"/>
  <c r="E181" i="2" s="1"/>
  <c r="D182" i="2"/>
  <c r="E182" i="2" s="1"/>
  <c r="D183" i="2"/>
  <c r="E183" i="2" s="1"/>
  <c r="D184" i="2"/>
  <c r="E184" i="2" s="1"/>
  <c r="D185" i="2"/>
  <c r="E185" i="2" s="1"/>
  <c r="D186" i="2"/>
  <c r="E186" i="2" s="1"/>
  <c r="D187" i="2"/>
  <c r="E187" i="2" s="1"/>
  <c r="D188" i="2"/>
  <c r="E188" i="2" s="1"/>
  <c r="D189" i="2"/>
  <c r="E189" i="2" s="1"/>
  <c r="D190" i="2"/>
  <c r="E190" i="2" s="1"/>
  <c r="D191" i="2"/>
  <c r="D192" i="2"/>
  <c r="E192" i="2" s="1"/>
  <c r="D193" i="2"/>
  <c r="E193" i="2" s="1"/>
  <c r="D194" i="2"/>
  <c r="E194" i="2" s="1"/>
  <c r="D195" i="2"/>
  <c r="E195" i="2" s="1"/>
  <c r="D196" i="2"/>
  <c r="E196" i="2" s="1"/>
  <c r="D3" i="2"/>
  <c r="E3" i="2" s="1"/>
  <c r="D2" i="2"/>
  <c r="E2527" i="6" l="1"/>
  <c r="E2528" i="6" s="1"/>
  <c r="E2529" i="6" s="1"/>
  <c r="E2530" i="6" s="1"/>
  <c r="E2531" i="6" s="1"/>
  <c r="E2532" i="6" s="1"/>
  <c r="E2533" i="6" s="1"/>
  <c r="E2534" i="6" s="1"/>
  <c r="E2535" i="6" s="1"/>
  <c r="E2536" i="6" s="1"/>
  <c r="E2537" i="6" s="1"/>
  <c r="E2538" i="6" s="1"/>
  <c r="E2539" i="6" s="1"/>
  <c r="E2540" i="6" s="1"/>
  <c r="E2541" i="6" s="1"/>
  <c r="E2542" i="6" s="1"/>
  <c r="E2543" i="6" s="1"/>
  <c r="E2544" i="6" s="1"/>
  <c r="E2545" i="6" s="1"/>
  <c r="E2546" i="6" s="1"/>
  <c r="E2547" i="6" s="1"/>
  <c r="E2548" i="6" s="1"/>
  <c r="E2549" i="6" s="1"/>
  <c r="E2550" i="6" s="1"/>
  <c r="E2551" i="6" s="1"/>
  <c r="E2552" i="6" s="1"/>
  <c r="E2553" i="6" s="1"/>
  <c r="E2554" i="6" s="1"/>
  <c r="E2555" i="6" s="1"/>
  <c r="E2556" i="6" s="1"/>
  <c r="E2557" i="6" s="1"/>
  <c r="E2558" i="6" s="1"/>
  <c r="E2559" i="6" s="1"/>
  <c r="E2560" i="6" s="1"/>
  <c r="E2561" i="6" s="1"/>
  <c r="E2562" i="6" s="1"/>
  <c r="E2563" i="6" s="1"/>
  <c r="E2564" i="6" s="1"/>
  <c r="E2565" i="6" s="1"/>
  <c r="E2566" i="6" s="1"/>
  <c r="E2567" i="6" s="1"/>
  <c r="E2568" i="6" s="1"/>
  <c r="E2569" i="6" s="1"/>
  <c r="E2570" i="6" s="1"/>
  <c r="E2571" i="6" s="1"/>
  <c r="E2572" i="6" s="1"/>
  <c r="E2573" i="6" s="1"/>
  <c r="E2574" i="6" s="1"/>
  <c r="E2575" i="6" s="1"/>
  <c r="E2576" i="6" s="1"/>
  <c r="E2577" i="6" s="1"/>
  <c r="E2578" i="6" s="1"/>
  <c r="E2579" i="6" s="1"/>
  <c r="E2580" i="6" s="1"/>
  <c r="E2581" i="6" s="1"/>
  <c r="E2582" i="6" s="1"/>
  <c r="E2583" i="6" s="1"/>
  <c r="E2584" i="6" s="1"/>
  <c r="E2585" i="6" s="1"/>
  <c r="E3094" i="6"/>
  <c r="E3095" i="6" s="1"/>
  <c r="E3096" i="6" s="1"/>
  <c r="E3097" i="6" s="1"/>
  <c r="E3098" i="6" s="1"/>
  <c r="E3099" i="6" s="1"/>
  <c r="E3100" i="6" s="1"/>
  <c r="E3101" i="6" s="1"/>
  <c r="E3102" i="6" s="1"/>
  <c r="E3103" i="6" s="1"/>
  <c r="E3104" i="6" s="1"/>
  <c r="E3105" i="6" s="1"/>
  <c r="E3106" i="6" s="1"/>
  <c r="E3107" i="6" s="1"/>
  <c r="E3108" i="6" s="1"/>
  <c r="E3109" i="6" s="1"/>
  <c r="E3110" i="6" s="1"/>
  <c r="E3111" i="6" s="1"/>
  <c r="E3112" i="6" s="1"/>
  <c r="E3113" i="6" s="1"/>
  <c r="E3114" i="6" s="1"/>
  <c r="E3115" i="6" s="1"/>
  <c r="E3116" i="6" s="1"/>
  <c r="E3117" i="6" s="1"/>
  <c r="E3118" i="6" s="1"/>
  <c r="E3119" i="6" s="1"/>
  <c r="E3120" i="6" s="1"/>
  <c r="E3121" i="6" s="1"/>
  <c r="E3122" i="6" s="1"/>
  <c r="E3123" i="6" s="1"/>
  <c r="E3124" i="6" s="1"/>
  <c r="E3125" i="6" s="1"/>
  <c r="E3126" i="6" s="1"/>
  <c r="E3127" i="6" s="1"/>
  <c r="E3128" i="6" s="1"/>
  <c r="E3129" i="6" s="1"/>
  <c r="E3130" i="6" s="1"/>
  <c r="E3131" i="6" s="1"/>
  <c r="E3132" i="6" s="1"/>
  <c r="E3133" i="6" s="1"/>
  <c r="E3134" i="6" s="1"/>
  <c r="E3135" i="6" s="1"/>
  <c r="E3136" i="6" s="1"/>
  <c r="E3137" i="6" s="1"/>
  <c r="E3138" i="6" s="1"/>
  <c r="E3139" i="6" s="1"/>
  <c r="E3140" i="6" s="1"/>
  <c r="E3141" i="6" s="1"/>
  <c r="E3142" i="6" s="1"/>
  <c r="E3143" i="6" s="1"/>
  <c r="E3144" i="6" s="1"/>
  <c r="E3145" i="6" s="1"/>
  <c r="E3146" i="6" s="1"/>
  <c r="E3147" i="6" s="1"/>
  <c r="E3148" i="6" s="1"/>
  <c r="E3149" i="6" s="1"/>
  <c r="E3150" i="6" s="1"/>
  <c r="E3151" i="6" s="1"/>
  <c r="E3152" i="6" s="1"/>
  <c r="E3598" i="6"/>
  <c r="E3599" i="6" s="1"/>
  <c r="E3600" i="6" s="1"/>
  <c r="E3601" i="6" s="1"/>
  <c r="E3602" i="6" s="1"/>
  <c r="E3603" i="6" s="1"/>
  <c r="E3604" i="6" s="1"/>
  <c r="E3605" i="6" s="1"/>
  <c r="E3606" i="6" s="1"/>
  <c r="E3607" i="6" s="1"/>
  <c r="E3608" i="6" s="1"/>
  <c r="E3609" i="6" s="1"/>
  <c r="E3610" i="6" s="1"/>
  <c r="E3611" i="6" s="1"/>
  <c r="E3612" i="6" s="1"/>
  <c r="E3613" i="6" s="1"/>
  <c r="E3614" i="6" s="1"/>
  <c r="E3615" i="6" s="1"/>
  <c r="E3616" i="6" s="1"/>
  <c r="E3617" i="6" s="1"/>
  <c r="E3618" i="6" s="1"/>
  <c r="E3619" i="6" s="1"/>
  <c r="E3620" i="6" s="1"/>
  <c r="E3621" i="6" s="1"/>
  <c r="E3622" i="6" s="1"/>
  <c r="E3623" i="6" s="1"/>
  <c r="E3624" i="6" s="1"/>
  <c r="E3625" i="6" s="1"/>
  <c r="E3626" i="6" s="1"/>
  <c r="E3627" i="6" s="1"/>
  <c r="E3628" i="6" s="1"/>
  <c r="E3629" i="6" s="1"/>
  <c r="E3630" i="6" s="1"/>
  <c r="E3631" i="6" s="1"/>
  <c r="E3632" i="6" s="1"/>
  <c r="E3633" i="6" s="1"/>
  <c r="E3634" i="6" s="1"/>
  <c r="E3635" i="6" s="1"/>
  <c r="E3636" i="6" s="1"/>
  <c r="E3637" i="6" s="1"/>
  <c r="E3638" i="6" s="1"/>
  <c r="E3639" i="6" s="1"/>
  <c r="E3640" i="6" s="1"/>
  <c r="E3641" i="6" s="1"/>
  <c r="E3642" i="6" s="1"/>
  <c r="E3643" i="6" s="1"/>
  <c r="E3644" i="6" s="1"/>
  <c r="E3645" i="6" s="1"/>
  <c r="E3646" i="6" s="1"/>
  <c r="E3647" i="6" s="1"/>
  <c r="E3648" i="6" s="1"/>
  <c r="E3649" i="6" s="1"/>
  <c r="E3650" i="6" s="1"/>
  <c r="E3651" i="6" s="1"/>
  <c r="E3652" i="6" s="1"/>
  <c r="E3653" i="6" s="1"/>
  <c r="E3654" i="6" s="1"/>
  <c r="E3655" i="6" s="1"/>
  <c r="E3656" i="6" s="1"/>
  <c r="E4858" i="6"/>
  <c r="E4859" i="6" s="1"/>
  <c r="E4860" i="6" s="1"/>
  <c r="E4861" i="6" s="1"/>
  <c r="E4862" i="6" s="1"/>
  <c r="E4863" i="6" s="1"/>
  <c r="E4864" i="6" s="1"/>
  <c r="E4865" i="6" s="1"/>
  <c r="E4866" i="6" s="1"/>
  <c r="E4867" i="6" s="1"/>
  <c r="E4868" i="6" s="1"/>
  <c r="E4869" i="6" s="1"/>
  <c r="E4870" i="6" s="1"/>
  <c r="E4871" i="6" s="1"/>
  <c r="E4872" i="6" s="1"/>
  <c r="E4873" i="6" s="1"/>
  <c r="E4874" i="6" s="1"/>
  <c r="E4875" i="6" s="1"/>
  <c r="E4876" i="6" s="1"/>
  <c r="E4877" i="6" s="1"/>
  <c r="E4878" i="6" s="1"/>
  <c r="E4879" i="6" s="1"/>
  <c r="E4880" i="6" s="1"/>
  <c r="E4881" i="6" s="1"/>
  <c r="E4882" i="6" s="1"/>
  <c r="E4883" i="6" s="1"/>
  <c r="E4884" i="6" s="1"/>
  <c r="E4885" i="6" s="1"/>
  <c r="E4886" i="6" s="1"/>
  <c r="E4887" i="6" s="1"/>
  <c r="E4888" i="6" s="1"/>
  <c r="E4889" i="6" s="1"/>
  <c r="E4890" i="6" s="1"/>
  <c r="E4891" i="6" s="1"/>
  <c r="E4892" i="6" s="1"/>
  <c r="E4893" i="6" s="1"/>
  <c r="E4894" i="6" s="1"/>
  <c r="E4895" i="6" s="1"/>
  <c r="E4896" i="6" s="1"/>
  <c r="E4897" i="6" s="1"/>
  <c r="E4898" i="6" s="1"/>
  <c r="E4899" i="6" s="1"/>
  <c r="E4900" i="6" s="1"/>
  <c r="E4901" i="6" s="1"/>
  <c r="E4902" i="6" s="1"/>
  <c r="E4903" i="6" s="1"/>
  <c r="E4904" i="6" s="1"/>
  <c r="E4905" i="6" s="1"/>
  <c r="E4906" i="6" s="1"/>
  <c r="E4907" i="6" s="1"/>
  <c r="E4908" i="6" s="1"/>
  <c r="E4909" i="6" s="1"/>
  <c r="E4910" i="6" s="1"/>
  <c r="E4911" i="6" s="1"/>
  <c r="E4912" i="6" s="1"/>
  <c r="E4913" i="6" s="1"/>
  <c r="E4914" i="6" s="1"/>
  <c r="E4915" i="6" s="1"/>
  <c r="E4916" i="6" s="1"/>
  <c r="E5425" i="6"/>
  <c r="E5426" i="6" s="1"/>
  <c r="E5427" i="6" s="1"/>
  <c r="E5428" i="6" s="1"/>
  <c r="E5429" i="6" s="1"/>
  <c r="E5430" i="6" s="1"/>
  <c r="E5431" i="6" s="1"/>
  <c r="E5432" i="6" s="1"/>
  <c r="E5433" i="6" s="1"/>
  <c r="E5434" i="6" s="1"/>
  <c r="E5435" i="6" s="1"/>
  <c r="E5436" i="6" s="1"/>
  <c r="E5437" i="6" s="1"/>
  <c r="E5438" i="6" s="1"/>
  <c r="E5439" i="6" s="1"/>
  <c r="E5440" i="6" s="1"/>
  <c r="E5441" i="6" s="1"/>
  <c r="E5442" i="6" s="1"/>
  <c r="E5443" i="6" s="1"/>
  <c r="E5444" i="6" s="1"/>
  <c r="E5445" i="6" s="1"/>
  <c r="E5446" i="6" s="1"/>
  <c r="E5447" i="6" s="1"/>
  <c r="E5448" i="6" s="1"/>
  <c r="E5449" i="6" s="1"/>
  <c r="E5450" i="6" s="1"/>
  <c r="E5451" i="6" s="1"/>
  <c r="E5452" i="6" s="1"/>
  <c r="E5453" i="6" s="1"/>
  <c r="E5454" i="6" s="1"/>
  <c r="E5455" i="6" s="1"/>
  <c r="E5456" i="6" s="1"/>
  <c r="E5457" i="6" s="1"/>
  <c r="E5458" i="6" s="1"/>
  <c r="E5459" i="6" s="1"/>
  <c r="E5460" i="6" s="1"/>
  <c r="E5461" i="6" s="1"/>
  <c r="E5462" i="6" s="1"/>
  <c r="E5463" i="6" s="1"/>
  <c r="E5464" i="6" s="1"/>
  <c r="E5465" i="6" s="1"/>
  <c r="E5466" i="6" s="1"/>
  <c r="E5467" i="6" s="1"/>
  <c r="E5468" i="6" s="1"/>
  <c r="E5469" i="6" s="1"/>
  <c r="E5470" i="6" s="1"/>
  <c r="E5471" i="6" s="1"/>
  <c r="E5472" i="6" s="1"/>
  <c r="E5473" i="6" s="1"/>
  <c r="E5474" i="6" s="1"/>
  <c r="E5475" i="6" s="1"/>
  <c r="E5476" i="6" s="1"/>
  <c r="E5477" i="6" s="1"/>
  <c r="E5478" i="6" s="1"/>
  <c r="E5479" i="6" s="1"/>
  <c r="E5480" i="6" s="1"/>
  <c r="E5481" i="6" s="1"/>
  <c r="E5482" i="6" s="1"/>
  <c r="E5483" i="6" s="1"/>
  <c r="E5929" i="6"/>
  <c r="E5930" i="6" s="1"/>
  <c r="E5931" i="6" s="1"/>
  <c r="E5932" i="6" s="1"/>
  <c r="E5933" i="6" s="1"/>
  <c r="E5934" i="6" s="1"/>
  <c r="E5935" i="6" s="1"/>
  <c r="E5936" i="6" s="1"/>
  <c r="E5937" i="6" s="1"/>
  <c r="E5938" i="6" s="1"/>
  <c r="E5939" i="6" s="1"/>
  <c r="E5940" i="6" s="1"/>
  <c r="E5941" i="6" s="1"/>
  <c r="E5942" i="6" s="1"/>
  <c r="E5943" i="6" s="1"/>
  <c r="E5944" i="6" s="1"/>
  <c r="E5945" i="6" s="1"/>
  <c r="E5946" i="6" s="1"/>
  <c r="E5947" i="6" s="1"/>
  <c r="E5948" i="6" s="1"/>
  <c r="E5949" i="6" s="1"/>
  <c r="E5950" i="6" s="1"/>
  <c r="E5951" i="6" s="1"/>
  <c r="E5952" i="6" s="1"/>
  <c r="E5953" i="6" s="1"/>
  <c r="E5954" i="6" s="1"/>
  <c r="E5955" i="6" s="1"/>
  <c r="E5956" i="6" s="1"/>
  <c r="E5957" i="6" s="1"/>
  <c r="E5958" i="6" s="1"/>
  <c r="E5959" i="6" s="1"/>
  <c r="E5960" i="6" s="1"/>
  <c r="E5961" i="6" s="1"/>
  <c r="E5962" i="6" s="1"/>
  <c r="E5963" i="6" s="1"/>
  <c r="E5964" i="6" s="1"/>
  <c r="E5965" i="6" s="1"/>
  <c r="E5966" i="6" s="1"/>
  <c r="E5967" i="6" s="1"/>
  <c r="E5968" i="6" s="1"/>
  <c r="E5969" i="6" s="1"/>
  <c r="E5970" i="6" s="1"/>
  <c r="E5971" i="6" s="1"/>
  <c r="E5972" i="6" s="1"/>
  <c r="E5973" i="6" s="1"/>
  <c r="E5974" i="6" s="1"/>
  <c r="E5975" i="6" s="1"/>
  <c r="E5976" i="6" s="1"/>
  <c r="E5977" i="6" s="1"/>
  <c r="E5978" i="6" s="1"/>
  <c r="E5979" i="6" s="1"/>
  <c r="E5980" i="6" s="1"/>
  <c r="E5981" i="6" s="1"/>
  <c r="E5982" i="6" s="1"/>
  <c r="E5983" i="6" s="1"/>
  <c r="E5984" i="6" s="1"/>
  <c r="E5985" i="6" s="1"/>
  <c r="E5986" i="6" s="1"/>
  <c r="E5987" i="6" s="1"/>
  <c r="E6433" i="6"/>
  <c r="E6434" i="6" s="1"/>
  <c r="E6435" i="6" s="1"/>
  <c r="E6436" i="6" s="1"/>
  <c r="E6437" i="6" s="1"/>
  <c r="E6438" i="6" s="1"/>
  <c r="E6439" i="6" s="1"/>
  <c r="E6440" i="6" s="1"/>
  <c r="E6441" i="6" s="1"/>
  <c r="E6442" i="6" s="1"/>
  <c r="E6443" i="6" s="1"/>
  <c r="E6444" i="6" s="1"/>
  <c r="E6445" i="6" s="1"/>
  <c r="E6446" i="6" s="1"/>
  <c r="E6447" i="6" s="1"/>
  <c r="E6448" i="6" s="1"/>
  <c r="E6449" i="6" s="1"/>
  <c r="E6450" i="6" s="1"/>
  <c r="E6451" i="6" s="1"/>
  <c r="E6452" i="6" s="1"/>
  <c r="E6453" i="6" s="1"/>
  <c r="E6454" i="6" s="1"/>
  <c r="E6455" i="6" s="1"/>
  <c r="E6456" i="6" s="1"/>
  <c r="E6457" i="6" s="1"/>
  <c r="E6458" i="6" s="1"/>
  <c r="E6459" i="6" s="1"/>
  <c r="E6460" i="6" s="1"/>
  <c r="E6461" i="6" s="1"/>
  <c r="E6462" i="6" s="1"/>
  <c r="E6463" i="6" s="1"/>
  <c r="E6464" i="6" s="1"/>
  <c r="E6465" i="6" s="1"/>
  <c r="E6466" i="6" s="1"/>
  <c r="E6467" i="6" s="1"/>
  <c r="E6468" i="6" s="1"/>
  <c r="E6469" i="6" s="1"/>
  <c r="E6470" i="6" s="1"/>
  <c r="E6471" i="6" s="1"/>
  <c r="E6472" i="6" s="1"/>
  <c r="E6473" i="6" s="1"/>
  <c r="E6474" i="6" s="1"/>
  <c r="E6475" i="6" s="1"/>
  <c r="E6476" i="6" s="1"/>
  <c r="E6477" i="6" s="1"/>
  <c r="E6478" i="6" s="1"/>
  <c r="E6479" i="6" s="1"/>
  <c r="E6480" i="6" s="1"/>
  <c r="E6481" i="6" s="1"/>
  <c r="E6482" i="6" s="1"/>
  <c r="E6483" i="6" s="1"/>
  <c r="E6484" i="6" s="1"/>
  <c r="E6485" i="6" s="1"/>
  <c r="E6486" i="6" s="1"/>
  <c r="E6487" i="6" s="1"/>
  <c r="E6488" i="6" s="1"/>
  <c r="E6489" i="6" s="1"/>
  <c r="E6490" i="6" s="1"/>
  <c r="E6491" i="6" s="1"/>
  <c r="E7630" i="6"/>
  <c r="E7631" i="6" s="1"/>
  <c r="E7632" i="6" s="1"/>
  <c r="E7633" i="6" s="1"/>
  <c r="E7634" i="6" s="1"/>
  <c r="E7635" i="6" s="1"/>
  <c r="E7636" i="6" s="1"/>
  <c r="E7637" i="6" s="1"/>
  <c r="E7638" i="6" s="1"/>
  <c r="E7639" i="6" s="1"/>
  <c r="E7640" i="6" s="1"/>
  <c r="E7641" i="6" s="1"/>
  <c r="E7642" i="6" s="1"/>
  <c r="E7643" i="6" s="1"/>
  <c r="E7644" i="6" s="1"/>
  <c r="E7645" i="6" s="1"/>
  <c r="E7646" i="6" s="1"/>
  <c r="E7647" i="6" s="1"/>
  <c r="E7648" i="6" s="1"/>
  <c r="E7649" i="6" s="1"/>
  <c r="E7650" i="6" s="1"/>
  <c r="E7651" i="6" s="1"/>
  <c r="E7652" i="6" s="1"/>
  <c r="E7653" i="6" s="1"/>
  <c r="E7654" i="6" s="1"/>
  <c r="E7655" i="6" s="1"/>
  <c r="E7656" i="6" s="1"/>
  <c r="E7657" i="6" s="1"/>
  <c r="E7658" i="6" s="1"/>
  <c r="E7659" i="6" s="1"/>
  <c r="E7660" i="6" s="1"/>
  <c r="E7661" i="6" s="1"/>
  <c r="E7662" i="6" s="1"/>
  <c r="E7663" i="6" s="1"/>
  <c r="E7664" i="6" s="1"/>
  <c r="E7665" i="6" s="1"/>
  <c r="E7666" i="6" s="1"/>
  <c r="E7667" i="6" s="1"/>
  <c r="E7668" i="6" s="1"/>
  <c r="E7669" i="6" s="1"/>
  <c r="E7670" i="6" s="1"/>
  <c r="E7671" i="6" s="1"/>
  <c r="E7672" i="6" s="1"/>
  <c r="E7673" i="6" s="1"/>
  <c r="E7674" i="6" s="1"/>
  <c r="E7675" i="6" s="1"/>
  <c r="E7676" i="6" s="1"/>
  <c r="E7677" i="6" s="1"/>
  <c r="E7678" i="6" s="1"/>
  <c r="E7679" i="6" s="1"/>
  <c r="E7680" i="6" s="1"/>
  <c r="E7681" i="6" s="1"/>
  <c r="E7682" i="6" s="1"/>
  <c r="E7683" i="6" s="1"/>
  <c r="E7684" i="6" s="1"/>
  <c r="E7685" i="6" s="1"/>
  <c r="E7686" i="6" s="1"/>
  <c r="E7687" i="6" s="1"/>
  <c r="E7688" i="6" s="1"/>
  <c r="E4291" i="6"/>
  <c r="E4292" i="6" s="1"/>
  <c r="E4293" i="6" s="1"/>
  <c r="E4294" i="6" s="1"/>
  <c r="E4295" i="6" s="1"/>
  <c r="E4296" i="6" s="1"/>
  <c r="E4297" i="6" s="1"/>
  <c r="E4298" i="6" s="1"/>
  <c r="E4299" i="6" s="1"/>
  <c r="E4300" i="6" s="1"/>
  <c r="E4301" i="6" s="1"/>
  <c r="E4302" i="6" s="1"/>
  <c r="E4303" i="6" s="1"/>
  <c r="E4304" i="6" s="1"/>
  <c r="E4305" i="6" s="1"/>
  <c r="E4306" i="6" s="1"/>
  <c r="E4307" i="6" s="1"/>
  <c r="E4308" i="6" s="1"/>
  <c r="E4309" i="6" s="1"/>
  <c r="E4310" i="6" s="1"/>
  <c r="E4311" i="6" s="1"/>
  <c r="E4312" i="6" s="1"/>
  <c r="E4313" i="6" s="1"/>
  <c r="E4314" i="6" s="1"/>
  <c r="E4315" i="6" s="1"/>
  <c r="E4316" i="6" s="1"/>
  <c r="E4317" i="6" s="1"/>
  <c r="E4318" i="6" s="1"/>
  <c r="E4319" i="6" s="1"/>
  <c r="E4320" i="6" s="1"/>
  <c r="E4321" i="6" s="1"/>
  <c r="E4322" i="6" s="1"/>
  <c r="E4323" i="6" s="1"/>
  <c r="E4324" i="6" s="1"/>
  <c r="E4325" i="6" s="1"/>
  <c r="E4326" i="6" s="1"/>
  <c r="E4327" i="6" s="1"/>
  <c r="E4328" i="6" s="1"/>
  <c r="E4329" i="6" s="1"/>
  <c r="E4330" i="6" s="1"/>
  <c r="E4331" i="6" s="1"/>
  <c r="E4332" i="6" s="1"/>
  <c r="E4333" i="6" s="1"/>
  <c r="E4334" i="6" s="1"/>
  <c r="E4335" i="6" s="1"/>
  <c r="E4336" i="6" s="1"/>
  <c r="E4337" i="6" s="1"/>
  <c r="E4338" i="6" s="1"/>
  <c r="E4339" i="6" s="1"/>
  <c r="E4340" i="6" s="1"/>
  <c r="E4341" i="6" s="1"/>
  <c r="E4342" i="6" s="1"/>
  <c r="E4343" i="6" s="1"/>
  <c r="E4344" i="6" s="1"/>
  <c r="E4345" i="6" s="1"/>
  <c r="E4346" i="6" s="1"/>
  <c r="E4347" i="6" s="1"/>
  <c r="E4348" i="6" s="1"/>
  <c r="E4349" i="6" s="1"/>
  <c r="E1015" i="6"/>
  <c r="E1016" i="6" s="1"/>
  <c r="E1017" i="6" s="1"/>
  <c r="E1018" i="6" s="1"/>
  <c r="E1019" i="6" s="1"/>
  <c r="E1020" i="6" s="1"/>
  <c r="E1021" i="6" s="1"/>
  <c r="E1022" i="6" s="1"/>
  <c r="E1023" i="6" s="1"/>
  <c r="E1024" i="6" s="1"/>
  <c r="E1025" i="6" s="1"/>
  <c r="E1026" i="6" s="1"/>
  <c r="E1027" i="6" s="1"/>
  <c r="E1028" i="6" s="1"/>
  <c r="E1029" i="6" s="1"/>
  <c r="E1030" i="6" s="1"/>
  <c r="E1031" i="6" s="1"/>
  <c r="E1032" i="6" s="1"/>
  <c r="E1033" i="6" s="1"/>
  <c r="E1034" i="6" s="1"/>
  <c r="E1035" i="6" s="1"/>
  <c r="E1036" i="6" s="1"/>
  <c r="E1037" i="6" s="1"/>
  <c r="E1038" i="6" s="1"/>
  <c r="E1039" i="6" s="1"/>
  <c r="E1040" i="6" s="1"/>
  <c r="E1041" i="6" s="1"/>
  <c r="E1042" i="6" s="1"/>
  <c r="E1043" i="6" s="1"/>
  <c r="E1044" i="6" s="1"/>
  <c r="E1045" i="6" s="1"/>
  <c r="E1046" i="6" s="1"/>
  <c r="E1047" i="6" s="1"/>
  <c r="E1048" i="6" s="1"/>
  <c r="E1049" i="6" s="1"/>
  <c r="E1050" i="6" s="1"/>
  <c r="E1051" i="6" s="1"/>
  <c r="E1052" i="6" s="1"/>
  <c r="E1053" i="6" s="1"/>
  <c r="E1054" i="6" s="1"/>
  <c r="E1055" i="6" s="1"/>
  <c r="E1056" i="6" s="1"/>
  <c r="E1057" i="6" s="1"/>
  <c r="E1058" i="6" s="1"/>
  <c r="E1059" i="6" s="1"/>
  <c r="E1060" i="6" s="1"/>
  <c r="E1061" i="6" s="1"/>
  <c r="E1062" i="6" s="1"/>
  <c r="E1063" i="6" s="1"/>
  <c r="E1064" i="6" s="1"/>
  <c r="E1065" i="6" s="1"/>
  <c r="E1066" i="6" s="1"/>
  <c r="E1067" i="6" s="1"/>
  <c r="E1068" i="6" s="1"/>
  <c r="E1069" i="6" s="1"/>
  <c r="E1070" i="6" s="1"/>
  <c r="E1071" i="6" s="1"/>
  <c r="E1072" i="6" s="1"/>
  <c r="E1073" i="6" s="1"/>
  <c r="E2023" i="6"/>
  <c r="E2024" i="6" s="1"/>
  <c r="E2025" i="6" s="1"/>
  <c r="E2026" i="6" s="1"/>
  <c r="E2027" i="6" s="1"/>
  <c r="E2028" i="6" s="1"/>
  <c r="E2029" i="6" s="1"/>
  <c r="E2030" i="6" s="1"/>
  <c r="E2031" i="6" s="1"/>
  <c r="E2032" i="6" s="1"/>
  <c r="E2033" i="6" s="1"/>
  <c r="E2034" i="6" s="1"/>
  <c r="E2035" i="6" s="1"/>
  <c r="E2036" i="6" s="1"/>
  <c r="E2037" i="6" s="1"/>
  <c r="E2038" i="6" s="1"/>
  <c r="E2039" i="6" s="1"/>
  <c r="E2040" i="6" s="1"/>
  <c r="E2041" i="6" s="1"/>
  <c r="E2042" i="6" s="1"/>
  <c r="E2043" i="6" s="1"/>
  <c r="E2044" i="6" s="1"/>
  <c r="E2045" i="6" s="1"/>
  <c r="E2046" i="6" s="1"/>
  <c r="E2047" i="6" s="1"/>
  <c r="E2048" i="6" s="1"/>
  <c r="E2049" i="6" s="1"/>
  <c r="E2050" i="6" s="1"/>
  <c r="E2051" i="6" s="1"/>
  <c r="E2052" i="6" s="1"/>
  <c r="E2053" i="6" s="1"/>
  <c r="E2054" i="6" s="1"/>
  <c r="E2055" i="6" s="1"/>
  <c r="E2056" i="6" s="1"/>
  <c r="E2057" i="6" s="1"/>
  <c r="E2058" i="6" s="1"/>
  <c r="E2059" i="6" s="1"/>
  <c r="E2060" i="6" s="1"/>
  <c r="E2061" i="6" s="1"/>
  <c r="E2062" i="6" s="1"/>
  <c r="E2063" i="6" s="1"/>
  <c r="E2064" i="6" s="1"/>
  <c r="E2065" i="6" s="1"/>
  <c r="E2066" i="6" s="1"/>
  <c r="E2067" i="6" s="1"/>
  <c r="E2068" i="6" s="1"/>
  <c r="E2069" i="6" s="1"/>
  <c r="E2070" i="6" s="1"/>
  <c r="E2071" i="6" s="1"/>
  <c r="E2072" i="6" s="1"/>
  <c r="E2073" i="6" s="1"/>
  <c r="E2074" i="6" s="1"/>
  <c r="E2075" i="6" s="1"/>
  <c r="E2076" i="6" s="1"/>
  <c r="E2077" i="6" s="1"/>
  <c r="E2078" i="6" s="1"/>
  <c r="E2079" i="6" s="1"/>
  <c r="E2080" i="6" s="1"/>
  <c r="E2081" i="6" s="1"/>
  <c r="E2590" i="6"/>
  <c r="E2591" i="6" s="1"/>
  <c r="E2592" i="6" s="1"/>
  <c r="E2593" i="6" s="1"/>
  <c r="E2594" i="6" s="1"/>
  <c r="E2595" i="6" s="1"/>
  <c r="E2596" i="6" s="1"/>
  <c r="E2597" i="6" s="1"/>
  <c r="E2598" i="6" s="1"/>
  <c r="E2599" i="6" s="1"/>
  <c r="E2600" i="6" s="1"/>
  <c r="E2601" i="6" s="1"/>
  <c r="E2602" i="6" s="1"/>
  <c r="E2603" i="6" s="1"/>
  <c r="E2604" i="6" s="1"/>
  <c r="E2605" i="6" s="1"/>
  <c r="E2606" i="6" s="1"/>
  <c r="E2607" i="6" s="1"/>
  <c r="E2608" i="6" s="1"/>
  <c r="E2609" i="6" s="1"/>
  <c r="E2610" i="6" s="1"/>
  <c r="E2611" i="6" s="1"/>
  <c r="E2612" i="6" s="1"/>
  <c r="E2613" i="6" s="1"/>
  <c r="E2614" i="6" s="1"/>
  <c r="E2615" i="6" s="1"/>
  <c r="E2616" i="6" s="1"/>
  <c r="E2617" i="6" s="1"/>
  <c r="E2618" i="6" s="1"/>
  <c r="E2619" i="6" s="1"/>
  <c r="E2620" i="6" s="1"/>
  <c r="E2621" i="6" s="1"/>
  <c r="E2622" i="6" s="1"/>
  <c r="E2623" i="6" s="1"/>
  <c r="E2624" i="6" s="1"/>
  <c r="E2625" i="6" s="1"/>
  <c r="E2626" i="6" s="1"/>
  <c r="E2627" i="6" s="1"/>
  <c r="E2628" i="6" s="1"/>
  <c r="E2629" i="6" s="1"/>
  <c r="E2630" i="6" s="1"/>
  <c r="E2631" i="6" s="1"/>
  <c r="E2632" i="6" s="1"/>
  <c r="E2633" i="6" s="1"/>
  <c r="E2634" i="6" s="1"/>
  <c r="E2635" i="6" s="1"/>
  <c r="E2636" i="6" s="1"/>
  <c r="E2637" i="6" s="1"/>
  <c r="E2638" i="6" s="1"/>
  <c r="E2639" i="6" s="1"/>
  <c r="E2640" i="6" s="1"/>
  <c r="E2641" i="6" s="1"/>
  <c r="E2642" i="6" s="1"/>
  <c r="E2643" i="6" s="1"/>
  <c r="E2644" i="6" s="1"/>
  <c r="E2645" i="6" s="1"/>
  <c r="E2646" i="6" s="1"/>
  <c r="E2647" i="6" s="1"/>
  <c r="E2648" i="6" s="1"/>
  <c r="E8257" i="6"/>
  <c r="E8258" i="6" s="1"/>
  <c r="E8259" i="6" s="1"/>
  <c r="E8260" i="6" s="1"/>
  <c r="E8261" i="6" s="1"/>
  <c r="E8262" i="6" s="1"/>
  <c r="E8263" i="6" s="1"/>
  <c r="E8264" i="6" s="1"/>
  <c r="E8265" i="6" s="1"/>
  <c r="E8266" i="6" s="1"/>
  <c r="E8267" i="6" s="1"/>
  <c r="E8268" i="6" s="1"/>
  <c r="E8269" i="6" s="1"/>
  <c r="E8270" i="6" s="1"/>
  <c r="E8271" i="6" s="1"/>
  <c r="E8272" i="6" s="1"/>
  <c r="E8273" i="6" s="1"/>
  <c r="E8274" i="6" s="1"/>
  <c r="E8275" i="6" s="1"/>
  <c r="E8276" i="6" s="1"/>
  <c r="E8277" i="6" s="1"/>
  <c r="E8278" i="6" s="1"/>
  <c r="E8279" i="6" s="1"/>
  <c r="E8280" i="6" s="1"/>
  <c r="E8281" i="6" s="1"/>
  <c r="E8282" i="6" s="1"/>
  <c r="E8283" i="6" s="1"/>
  <c r="E8284" i="6" s="1"/>
  <c r="E8285" i="6" s="1"/>
  <c r="E8286" i="6" s="1"/>
  <c r="E8287" i="6" s="1"/>
  <c r="E8288" i="6" s="1"/>
  <c r="E8289" i="6" s="1"/>
  <c r="E8290" i="6" s="1"/>
  <c r="E8291" i="6" s="1"/>
  <c r="E8292" i="6" s="1"/>
  <c r="E8293" i="6" s="1"/>
  <c r="E8294" i="6" s="1"/>
  <c r="E8295" i="6" s="1"/>
  <c r="E8296" i="6" s="1"/>
  <c r="E8297" i="6" s="1"/>
  <c r="E8298" i="6" s="1"/>
  <c r="E8299" i="6" s="1"/>
  <c r="E8300" i="6" s="1"/>
  <c r="E8301" i="6" s="1"/>
  <c r="E8302" i="6" s="1"/>
  <c r="E8303" i="6" s="1"/>
  <c r="E8304" i="6" s="1"/>
  <c r="E8305" i="6" s="1"/>
  <c r="E8306" i="6" s="1"/>
  <c r="E8307" i="6" s="1"/>
  <c r="E8308" i="6" s="1"/>
  <c r="E8309" i="6" s="1"/>
  <c r="E8310" i="6" s="1"/>
  <c r="E8311" i="6" s="1"/>
  <c r="E8312" i="6" s="1"/>
  <c r="E8313" i="6" s="1"/>
  <c r="E8314" i="6" s="1"/>
  <c r="E8315" i="6" s="1"/>
  <c r="E574" i="6"/>
  <c r="E575" i="6" s="1"/>
  <c r="E576" i="6" s="1"/>
  <c r="E577" i="6" s="1"/>
  <c r="E578" i="6" s="1"/>
  <c r="E579" i="6" s="1"/>
  <c r="E580" i="6" s="1"/>
  <c r="E581" i="6" s="1"/>
  <c r="E582" i="6" s="1"/>
  <c r="E583" i="6" s="1"/>
  <c r="E584" i="6" s="1"/>
  <c r="E585" i="6" s="1"/>
  <c r="E586" i="6" s="1"/>
  <c r="E587" i="6" s="1"/>
  <c r="E588" i="6" s="1"/>
  <c r="E589" i="6" s="1"/>
  <c r="E590" i="6" s="1"/>
  <c r="E591" i="6" s="1"/>
  <c r="E592" i="6" s="1"/>
  <c r="E593" i="6" s="1"/>
  <c r="E594" i="6" s="1"/>
  <c r="E595" i="6" s="1"/>
  <c r="E596" i="6" s="1"/>
  <c r="E597" i="6" s="1"/>
  <c r="E598" i="6" s="1"/>
  <c r="E599" i="6" s="1"/>
  <c r="E600" i="6" s="1"/>
  <c r="E601" i="6" s="1"/>
  <c r="E602" i="6" s="1"/>
  <c r="E603" i="6" s="1"/>
  <c r="E604" i="6" s="1"/>
  <c r="E605" i="6" s="1"/>
  <c r="E606" i="6" s="1"/>
  <c r="E607" i="6" s="1"/>
  <c r="E608" i="6" s="1"/>
  <c r="E609" i="6" s="1"/>
  <c r="E610" i="6" s="1"/>
  <c r="E611" i="6" s="1"/>
  <c r="E612" i="6" s="1"/>
  <c r="E613" i="6" s="1"/>
  <c r="E614" i="6" s="1"/>
  <c r="E615" i="6" s="1"/>
  <c r="E616" i="6" s="1"/>
  <c r="E617" i="6" s="1"/>
  <c r="E618" i="6" s="1"/>
  <c r="E619" i="6" s="1"/>
  <c r="E620" i="6" s="1"/>
  <c r="E621" i="6" s="1"/>
  <c r="E622" i="6" s="1"/>
  <c r="E623" i="6" s="1"/>
  <c r="E624" i="6" s="1"/>
  <c r="E625" i="6" s="1"/>
  <c r="E626" i="6" s="1"/>
  <c r="E627" i="6" s="1"/>
  <c r="E628" i="6" s="1"/>
  <c r="E629" i="6" s="1"/>
  <c r="E630" i="6" s="1"/>
  <c r="E631" i="6" s="1"/>
  <c r="E632" i="6" s="1"/>
  <c r="E1078" i="6"/>
  <c r="E1079" i="6" s="1"/>
  <c r="E1080" i="6" s="1"/>
  <c r="E1081" i="6" s="1"/>
  <c r="E1082" i="6" s="1"/>
  <c r="E1083" i="6" s="1"/>
  <c r="E1084" i="6" s="1"/>
  <c r="E1085" i="6" s="1"/>
  <c r="E1086" i="6" s="1"/>
  <c r="E1087" i="6" s="1"/>
  <c r="E1088" i="6" s="1"/>
  <c r="E1089" i="6" s="1"/>
  <c r="E1090" i="6" s="1"/>
  <c r="E1091" i="6" s="1"/>
  <c r="E1092" i="6" s="1"/>
  <c r="E1093" i="6" s="1"/>
  <c r="E1094" i="6" s="1"/>
  <c r="E1095" i="6" s="1"/>
  <c r="E1096" i="6" s="1"/>
  <c r="E1097" i="6" s="1"/>
  <c r="E1098" i="6" s="1"/>
  <c r="E1099" i="6" s="1"/>
  <c r="E1100" i="6" s="1"/>
  <c r="E1101" i="6" s="1"/>
  <c r="E1102" i="6" s="1"/>
  <c r="E1103" i="6" s="1"/>
  <c r="E1104" i="6" s="1"/>
  <c r="E1105" i="6" s="1"/>
  <c r="E1106" i="6" s="1"/>
  <c r="E1107" i="6" s="1"/>
  <c r="E1108" i="6" s="1"/>
  <c r="E1109" i="6" s="1"/>
  <c r="E1110" i="6" s="1"/>
  <c r="E1111" i="6" s="1"/>
  <c r="E1112" i="6" s="1"/>
  <c r="E1113" i="6" s="1"/>
  <c r="E1114" i="6" s="1"/>
  <c r="E1115" i="6" s="1"/>
  <c r="E1116" i="6" s="1"/>
  <c r="E1117" i="6" s="1"/>
  <c r="E1118" i="6" s="1"/>
  <c r="E1119" i="6" s="1"/>
  <c r="E1120" i="6" s="1"/>
  <c r="E1121" i="6" s="1"/>
  <c r="E1122" i="6" s="1"/>
  <c r="E1123" i="6" s="1"/>
  <c r="E1124" i="6" s="1"/>
  <c r="E1125" i="6" s="1"/>
  <c r="E1126" i="6" s="1"/>
  <c r="E1127" i="6" s="1"/>
  <c r="E1128" i="6" s="1"/>
  <c r="E1129" i="6" s="1"/>
  <c r="E1130" i="6" s="1"/>
  <c r="E1131" i="6" s="1"/>
  <c r="E1132" i="6" s="1"/>
  <c r="E1133" i="6" s="1"/>
  <c r="E1134" i="6" s="1"/>
  <c r="E1135" i="6" s="1"/>
  <c r="E1136" i="6" s="1"/>
  <c r="E1582" i="6"/>
  <c r="E1583" i="6" s="1"/>
  <c r="E1584" i="6" s="1"/>
  <c r="E1585" i="6" s="1"/>
  <c r="E1586" i="6" s="1"/>
  <c r="E1587" i="6" s="1"/>
  <c r="E1588" i="6" s="1"/>
  <c r="E1589" i="6" s="1"/>
  <c r="E1590" i="6" s="1"/>
  <c r="E1591" i="6" s="1"/>
  <c r="E1592" i="6" s="1"/>
  <c r="E1593" i="6" s="1"/>
  <c r="E1594" i="6" s="1"/>
  <c r="E1595" i="6" s="1"/>
  <c r="E1596" i="6" s="1"/>
  <c r="E1597" i="6" s="1"/>
  <c r="E1598" i="6" s="1"/>
  <c r="E1599" i="6" s="1"/>
  <c r="E1600" i="6" s="1"/>
  <c r="E1601" i="6" s="1"/>
  <c r="E1602" i="6" s="1"/>
  <c r="E1603" i="6" s="1"/>
  <c r="E1604" i="6" s="1"/>
  <c r="E1605" i="6" s="1"/>
  <c r="E1606" i="6" s="1"/>
  <c r="E1607" i="6" s="1"/>
  <c r="E1608" i="6" s="1"/>
  <c r="E1609" i="6" s="1"/>
  <c r="E1610" i="6" s="1"/>
  <c r="E1611" i="6" s="1"/>
  <c r="E1612" i="6" s="1"/>
  <c r="E1613" i="6" s="1"/>
  <c r="E1614" i="6" s="1"/>
  <c r="E1615" i="6" s="1"/>
  <c r="E1616" i="6" s="1"/>
  <c r="E1617" i="6" s="1"/>
  <c r="E1618" i="6" s="1"/>
  <c r="E1619" i="6" s="1"/>
  <c r="E1620" i="6" s="1"/>
  <c r="E1621" i="6" s="1"/>
  <c r="E1622" i="6" s="1"/>
  <c r="E1623" i="6" s="1"/>
  <c r="E1624" i="6" s="1"/>
  <c r="E1625" i="6" s="1"/>
  <c r="E1626" i="6" s="1"/>
  <c r="E1627" i="6" s="1"/>
  <c r="E1628" i="6" s="1"/>
  <c r="E1629" i="6" s="1"/>
  <c r="E1630" i="6" s="1"/>
  <c r="E1631" i="6" s="1"/>
  <c r="E1632" i="6" s="1"/>
  <c r="E1633" i="6" s="1"/>
  <c r="E1634" i="6" s="1"/>
  <c r="E1635" i="6" s="1"/>
  <c r="E1636" i="6" s="1"/>
  <c r="E1637" i="6" s="1"/>
  <c r="E1638" i="6" s="1"/>
  <c r="E1639" i="6" s="1"/>
  <c r="E1640" i="6" s="1"/>
  <c r="E2086" i="6"/>
  <c r="E2087" i="6" s="1"/>
  <c r="E2088" i="6" s="1"/>
  <c r="E2089" i="6" s="1"/>
  <c r="E2090" i="6" s="1"/>
  <c r="E2091" i="6" s="1"/>
  <c r="E2092" i="6" s="1"/>
  <c r="E2093" i="6" s="1"/>
  <c r="E2094" i="6" s="1"/>
  <c r="E2095" i="6" s="1"/>
  <c r="E2096" i="6" s="1"/>
  <c r="E2097" i="6" s="1"/>
  <c r="E2098" i="6" s="1"/>
  <c r="E2099" i="6" s="1"/>
  <c r="E2100" i="6" s="1"/>
  <c r="E2101" i="6" s="1"/>
  <c r="E2102" i="6" s="1"/>
  <c r="E2103" i="6" s="1"/>
  <c r="E2104" i="6" s="1"/>
  <c r="E2105" i="6" s="1"/>
  <c r="E2106" i="6" s="1"/>
  <c r="E2107" i="6" s="1"/>
  <c r="E2108" i="6" s="1"/>
  <c r="E2109" i="6" s="1"/>
  <c r="E2110" i="6" s="1"/>
  <c r="E2111" i="6" s="1"/>
  <c r="E2112" i="6" s="1"/>
  <c r="E2113" i="6" s="1"/>
  <c r="E2114" i="6" s="1"/>
  <c r="E2115" i="6" s="1"/>
  <c r="E2116" i="6" s="1"/>
  <c r="E2117" i="6" s="1"/>
  <c r="E2118" i="6" s="1"/>
  <c r="E2119" i="6" s="1"/>
  <c r="E2120" i="6" s="1"/>
  <c r="E2121" i="6" s="1"/>
  <c r="E2122" i="6" s="1"/>
  <c r="E2123" i="6" s="1"/>
  <c r="E2124" i="6" s="1"/>
  <c r="E2125" i="6" s="1"/>
  <c r="E2126" i="6" s="1"/>
  <c r="E2127" i="6" s="1"/>
  <c r="E2128" i="6" s="1"/>
  <c r="E2129" i="6" s="1"/>
  <c r="E2130" i="6" s="1"/>
  <c r="E2131" i="6" s="1"/>
  <c r="E2132" i="6" s="1"/>
  <c r="E2133" i="6" s="1"/>
  <c r="E2134" i="6" s="1"/>
  <c r="E2135" i="6" s="1"/>
  <c r="E2136" i="6" s="1"/>
  <c r="E2137" i="6" s="1"/>
  <c r="E2138" i="6" s="1"/>
  <c r="E2139" i="6" s="1"/>
  <c r="E2140" i="6" s="1"/>
  <c r="E2141" i="6" s="1"/>
  <c r="E2142" i="6" s="1"/>
  <c r="E2143" i="6" s="1"/>
  <c r="E2144" i="6" s="1"/>
  <c r="E2716" i="6"/>
  <c r="E2717" i="6" s="1"/>
  <c r="E2718" i="6" s="1"/>
  <c r="E2719" i="6" s="1"/>
  <c r="E2720" i="6" s="1"/>
  <c r="E2721" i="6" s="1"/>
  <c r="E2722" i="6" s="1"/>
  <c r="E2723" i="6" s="1"/>
  <c r="E2724" i="6" s="1"/>
  <c r="E2725" i="6" s="1"/>
  <c r="E2726" i="6" s="1"/>
  <c r="E2727" i="6" s="1"/>
  <c r="E2728" i="6" s="1"/>
  <c r="E2729" i="6" s="1"/>
  <c r="E2730" i="6" s="1"/>
  <c r="E2731" i="6" s="1"/>
  <c r="E2732" i="6" s="1"/>
  <c r="E2733" i="6" s="1"/>
  <c r="E2734" i="6" s="1"/>
  <c r="E2735" i="6" s="1"/>
  <c r="E2736" i="6" s="1"/>
  <c r="E2737" i="6" s="1"/>
  <c r="E2738" i="6" s="1"/>
  <c r="E2739" i="6" s="1"/>
  <c r="E2740" i="6" s="1"/>
  <c r="E2741" i="6" s="1"/>
  <c r="E2742" i="6" s="1"/>
  <c r="E2743" i="6" s="1"/>
  <c r="E2744" i="6" s="1"/>
  <c r="E2745" i="6" s="1"/>
  <c r="E2746" i="6" s="1"/>
  <c r="E2747" i="6" s="1"/>
  <c r="E2748" i="6" s="1"/>
  <c r="E2749" i="6" s="1"/>
  <c r="E2750" i="6" s="1"/>
  <c r="E2751" i="6" s="1"/>
  <c r="E2752" i="6" s="1"/>
  <c r="E2753" i="6" s="1"/>
  <c r="E2754" i="6" s="1"/>
  <c r="E2755" i="6" s="1"/>
  <c r="E2756" i="6" s="1"/>
  <c r="E2757" i="6" s="1"/>
  <c r="E2758" i="6" s="1"/>
  <c r="E2759" i="6" s="1"/>
  <c r="E2760" i="6" s="1"/>
  <c r="E2761" i="6" s="1"/>
  <c r="E2762" i="6" s="1"/>
  <c r="E2763" i="6" s="1"/>
  <c r="E2764" i="6" s="1"/>
  <c r="E2765" i="6" s="1"/>
  <c r="E2766" i="6" s="1"/>
  <c r="E2767" i="6" s="1"/>
  <c r="E2768" i="6" s="1"/>
  <c r="E2769" i="6" s="1"/>
  <c r="E2770" i="6" s="1"/>
  <c r="E2771" i="6" s="1"/>
  <c r="E2772" i="6" s="1"/>
  <c r="E2773" i="6" s="1"/>
  <c r="E2774" i="6" s="1"/>
  <c r="E3724" i="6"/>
  <c r="E3725" i="6" s="1"/>
  <c r="E3726" i="6" s="1"/>
  <c r="E3727" i="6" s="1"/>
  <c r="E3728" i="6" s="1"/>
  <c r="E3729" i="6" s="1"/>
  <c r="E3730" i="6" s="1"/>
  <c r="E3731" i="6" s="1"/>
  <c r="E3732" i="6" s="1"/>
  <c r="E3733" i="6" s="1"/>
  <c r="E3734" i="6" s="1"/>
  <c r="E3735" i="6" s="1"/>
  <c r="E3736" i="6" s="1"/>
  <c r="E3737" i="6" s="1"/>
  <c r="E3738" i="6" s="1"/>
  <c r="E3739" i="6" s="1"/>
  <c r="E3740" i="6" s="1"/>
  <c r="E3741" i="6" s="1"/>
  <c r="E3742" i="6" s="1"/>
  <c r="E3743" i="6" s="1"/>
  <c r="E3744" i="6" s="1"/>
  <c r="E3745" i="6" s="1"/>
  <c r="E3746" i="6" s="1"/>
  <c r="E3747" i="6" s="1"/>
  <c r="E3748" i="6" s="1"/>
  <c r="E3749" i="6" s="1"/>
  <c r="E3750" i="6" s="1"/>
  <c r="E3751" i="6" s="1"/>
  <c r="E3752" i="6" s="1"/>
  <c r="E3753" i="6" s="1"/>
  <c r="E3754" i="6" s="1"/>
  <c r="E3755" i="6" s="1"/>
  <c r="E3756" i="6" s="1"/>
  <c r="E3757" i="6" s="1"/>
  <c r="E3758" i="6" s="1"/>
  <c r="E3759" i="6" s="1"/>
  <c r="E3760" i="6" s="1"/>
  <c r="E3761" i="6" s="1"/>
  <c r="E3762" i="6" s="1"/>
  <c r="E3763" i="6" s="1"/>
  <c r="E3764" i="6" s="1"/>
  <c r="E3765" i="6" s="1"/>
  <c r="E3766" i="6" s="1"/>
  <c r="E3767" i="6" s="1"/>
  <c r="E3768" i="6" s="1"/>
  <c r="E3769" i="6" s="1"/>
  <c r="E3770" i="6" s="1"/>
  <c r="E3771" i="6" s="1"/>
  <c r="E3772" i="6" s="1"/>
  <c r="E3773" i="6" s="1"/>
  <c r="E3774" i="6" s="1"/>
  <c r="E3775" i="6" s="1"/>
  <c r="E3776" i="6" s="1"/>
  <c r="E3777" i="6" s="1"/>
  <c r="E3778" i="6" s="1"/>
  <c r="E3779" i="6" s="1"/>
  <c r="E3780" i="6" s="1"/>
  <c r="E3781" i="6" s="1"/>
  <c r="E3782" i="6" s="1"/>
  <c r="E4228" i="6"/>
  <c r="E4229" i="6" s="1"/>
  <c r="E4230" i="6" s="1"/>
  <c r="E4231" i="6" s="1"/>
  <c r="E4232" i="6" s="1"/>
  <c r="E4233" i="6" s="1"/>
  <c r="E4234" i="6" s="1"/>
  <c r="E4235" i="6" s="1"/>
  <c r="E4236" i="6" s="1"/>
  <c r="E4237" i="6" s="1"/>
  <c r="E4238" i="6" s="1"/>
  <c r="E4239" i="6" s="1"/>
  <c r="E4240" i="6" s="1"/>
  <c r="E4241" i="6" s="1"/>
  <c r="E4242" i="6" s="1"/>
  <c r="E4243" i="6" s="1"/>
  <c r="E4244" i="6" s="1"/>
  <c r="E4245" i="6" s="1"/>
  <c r="E4246" i="6" s="1"/>
  <c r="E4247" i="6" s="1"/>
  <c r="E4248" i="6" s="1"/>
  <c r="E4249" i="6" s="1"/>
  <c r="E4250" i="6" s="1"/>
  <c r="E4251" i="6" s="1"/>
  <c r="E4252" i="6" s="1"/>
  <c r="E4253" i="6" s="1"/>
  <c r="E4254" i="6" s="1"/>
  <c r="E4255" i="6" s="1"/>
  <c r="E4256" i="6" s="1"/>
  <c r="E4257" i="6" s="1"/>
  <c r="E4258" i="6" s="1"/>
  <c r="E4259" i="6" s="1"/>
  <c r="E4260" i="6" s="1"/>
  <c r="E4261" i="6" s="1"/>
  <c r="E4262" i="6" s="1"/>
  <c r="E4263" i="6" s="1"/>
  <c r="E4264" i="6" s="1"/>
  <c r="E4265" i="6" s="1"/>
  <c r="E4266" i="6" s="1"/>
  <c r="E4267" i="6" s="1"/>
  <c r="E4268" i="6" s="1"/>
  <c r="E4269" i="6" s="1"/>
  <c r="E4270" i="6" s="1"/>
  <c r="E4271" i="6" s="1"/>
  <c r="E4272" i="6" s="1"/>
  <c r="E4273" i="6" s="1"/>
  <c r="E4274" i="6" s="1"/>
  <c r="E4275" i="6" s="1"/>
  <c r="E4276" i="6" s="1"/>
  <c r="E4277" i="6" s="1"/>
  <c r="E4278" i="6" s="1"/>
  <c r="E4279" i="6" s="1"/>
  <c r="E4280" i="6" s="1"/>
  <c r="E4281" i="6" s="1"/>
  <c r="E4282" i="6" s="1"/>
  <c r="E4283" i="6" s="1"/>
  <c r="E4284" i="6" s="1"/>
  <c r="E4285" i="6" s="1"/>
  <c r="E4286" i="6" s="1"/>
  <c r="E6055" i="6"/>
  <c r="E6056" i="6" s="1"/>
  <c r="E6057" i="6" s="1"/>
  <c r="E6058" i="6" s="1"/>
  <c r="E6059" i="6" s="1"/>
  <c r="E6060" i="6" s="1"/>
  <c r="E6061" i="6" s="1"/>
  <c r="E6062" i="6" s="1"/>
  <c r="E6063" i="6" s="1"/>
  <c r="E6064" i="6" s="1"/>
  <c r="E6065" i="6" s="1"/>
  <c r="E6066" i="6" s="1"/>
  <c r="E6067" i="6" s="1"/>
  <c r="E6068" i="6" s="1"/>
  <c r="E6069" i="6" s="1"/>
  <c r="E6070" i="6" s="1"/>
  <c r="E6071" i="6" s="1"/>
  <c r="E6072" i="6" s="1"/>
  <c r="E6073" i="6" s="1"/>
  <c r="E6074" i="6" s="1"/>
  <c r="E6075" i="6" s="1"/>
  <c r="E6076" i="6" s="1"/>
  <c r="E6077" i="6" s="1"/>
  <c r="E6078" i="6" s="1"/>
  <c r="E6079" i="6" s="1"/>
  <c r="E6080" i="6" s="1"/>
  <c r="E6081" i="6" s="1"/>
  <c r="E6082" i="6" s="1"/>
  <c r="E6083" i="6" s="1"/>
  <c r="E6084" i="6" s="1"/>
  <c r="E6085" i="6" s="1"/>
  <c r="E6086" i="6" s="1"/>
  <c r="E6087" i="6" s="1"/>
  <c r="E6088" i="6" s="1"/>
  <c r="E6089" i="6" s="1"/>
  <c r="E6090" i="6" s="1"/>
  <c r="E6091" i="6" s="1"/>
  <c r="E6092" i="6" s="1"/>
  <c r="E6093" i="6" s="1"/>
  <c r="E6094" i="6" s="1"/>
  <c r="E6095" i="6" s="1"/>
  <c r="E6096" i="6" s="1"/>
  <c r="E6097" i="6" s="1"/>
  <c r="E6098" i="6" s="1"/>
  <c r="E6099" i="6" s="1"/>
  <c r="E6100" i="6" s="1"/>
  <c r="E6101" i="6" s="1"/>
  <c r="E6102" i="6" s="1"/>
  <c r="E6103" i="6" s="1"/>
  <c r="E6104" i="6" s="1"/>
  <c r="E6105" i="6" s="1"/>
  <c r="E6106" i="6" s="1"/>
  <c r="E6107" i="6" s="1"/>
  <c r="E6108" i="6" s="1"/>
  <c r="E6109" i="6" s="1"/>
  <c r="E6110" i="6" s="1"/>
  <c r="E6111" i="6" s="1"/>
  <c r="E6112" i="6" s="1"/>
  <c r="E6113" i="6" s="1"/>
  <c r="E6559" i="6"/>
  <c r="E6560" i="6" s="1"/>
  <c r="E6561" i="6" s="1"/>
  <c r="E6562" i="6" s="1"/>
  <c r="E6563" i="6" s="1"/>
  <c r="E6564" i="6" s="1"/>
  <c r="E6565" i="6" s="1"/>
  <c r="E6566" i="6" s="1"/>
  <c r="E6567" i="6" s="1"/>
  <c r="E6568" i="6" s="1"/>
  <c r="E6569" i="6" s="1"/>
  <c r="E6570" i="6" s="1"/>
  <c r="E6571" i="6" s="1"/>
  <c r="E6572" i="6" s="1"/>
  <c r="E6573" i="6" s="1"/>
  <c r="E6574" i="6" s="1"/>
  <c r="E6575" i="6" s="1"/>
  <c r="E6576" i="6" s="1"/>
  <c r="E6577" i="6" s="1"/>
  <c r="E6578" i="6" s="1"/>
  <c r="E6579" i="6" s="1"/>
  <c r="E6580" i="6" s="1"/>
  <c r="E6581" i="6" s="1"/>
  <c r="E6582" i="6" s="1"/>
  <c r="E6583" i="6" s="1"/>
  <c r="E6584" i="6" s="1"/>
  <c r="E6585" i="6" s="1"/>
  <c r="E6586" i="6" s="1"/>
  <c r="E6587" i="6" s="1"/>
  <c r="E6588" i="6" s="1"/>
  <c r="E6589" i="6" s="1"/>
  <c r="E6590" i="6" s="1"/>
  <c r="E6591" i="6" s="1"/>
  <c r="E6592" i="6" s="1"/>
  <c r="E6593" i="6" s="1"/>
  <c r="E6594" i="6" s="1"/>
  <c r="E6595" i="6" s="1"/>
  <c r="E6596" i="6" s="1"/>
  <c r="E6597" i="6" s="1"/>
  <c r="E6598" i="6" s="1"/>
  <c r="E6599" i="6" s="1"/>
  <c r="E6600" i="6" s="1"/>
  <c r="E6601" i="6" s="1"/>
  <c r="E6602" i="6" s="1"/>
  <c r="E6603" i="6" s="1"/>
  <c r="E6604" i="6" s="1"/>
  <c r="E6605" i="6" s="1"/>
  <c r="E6606" i="6" s="1"/>
  <c r="E6607" i="6" s="1"/>
  <c r="E6608" i="6" s="1"/>
  <c r="E6609" i="6" s="1"/>
  <c r="E6610" i="6" s="1"/>
  <c r="E6611" i="6" s="1"/>
  <c r="E6612" i="6" s="1"/>
  <c r="E6613" i="6" s="1"/>
  <c r="E6614" i="6" s="1"/>
  <c r="E6615" i="6" s="1"/>
  <c r="E6616" i="6" s="1"/>
  <c r="E6617" i="6" s="1"/>
  <c r="E7756" i="6"/>
  <c r="E7757" i="6" s="1"/>
  <c r="E7758" i="6" s="1"/>
  <c r="E7759" i="6" s="1"/>
  <c r="E7760" i="6" s="1"/>
  <c r="E7761" i="6" s="1"/>
  <c r="E7762" i="6" s="1"/>
  <c r="E7763" i="6" s="1"/>
  <c r="E7764" i="6" s="1"/>
  <c r="E7765" i="6" s="1"/>
  <c r="E7766" i="6" s="1"/>
  <c r="E7767" i="6" s="1"/>
  <c r="E7768" i="6" s="1"/>
  <c r="E7769" i="6" s="1"/>
  <c r="E7770" i="6" s="1"/>
  <c r="E7771" i="6" s="1"/>
  <c r="E7772" i="6" s="1"/>
  <c r="E7773" i="6" s="1"/>
  <c r="E7774" i="6" s="1"/>
  <c r="E7775" i="6" s="1"/>
  <c r="E7776" i="6" s="1"/>
  <c r="E7777" i="6" s="1"/>
  <c r="E7778" i="6" s="1"/>
  <c r="E7779" i="6" s="1"/>
  <c r="E7780" i="6" s="1"/>
  <c r="E7781" i="6" s="1"/>
  <c r="E7782" i="6" s="1"/>
  <c r="E7783" i="6" s="1"/>
  <c r="E7784" i="6" s="1"/>
  <c r="E7785" i="6" s="1"/>
  <c r="E7786" i="6" s="1"/>
  <c r="E7787" i="6" s="1"/>
  <c r="E7788" i="6" s="1"/>
  <c r="E7789" i="6" s="1"/>
  <c r="E7790" i="6" s="1"/>
  <c r="E7791" i="6" s="1"/>
  <c r="E7792" i="6" s="1"/>
  <c r="E7793" i="6" s="1"/>
  <c r="E7794" i="6" s="1"/>
  <c r="E7795" i="6" s="1"/>
  <c r="E7796" i="6" s="1"/>
  <c r="E7797" i="6" s="1"/>
  <c r="E7798" i="6" s="1"/>
  <c r="E7799" i="6" s="1"/>
  <c r="E7800" i="6" s="1"/>
  <c r="E7801" i="6" s="1"/>
  <c r="E7802" i="6" s="1"/>
  <c r="E7803" i="6" s="1"/>
  <c r="E7804" i="6" s="1"/>
  <c r="E7805" i="6" s="1"/>
  <c r="E7806" i="6" s="1"/>
  <c r="E7807" i="6" s="1"/>
  <c r="E7808" i="6" s="1"/>
  <c r="E7809" i="6" s="1"/>
  <c r="E7810" i="6" s="1"/>
  <c r="E7811" i="6" s="1"/>
  <c r="E7812" i="6" s="1"/>
  <c r="E7813" i="6" s="1"/>
  <c r="E7814" i="6" s="1"/>
  <c r="E66" i="6"/>
  <c r="E67" i="6" s="1"/>
  <c r="E68" i="6" s="1"/>
  <c r="E69" i="6" s="1"/>
  <c r="E70" i="6" s="1"/>
  <c r="E71" i="6" s="1"/>
  <c r="E72" i="6" s="1"/>
  <c r="E73" i="6" s="1"/>
  <c r="E74" i="6" s="1"/>
  <c r="E75" i="6" s="1"/>
  <c r="E76" i="6" s="1"/>
  <c r="E77" i="6" s="1"/>
  <c r="E78" i="6" s="1"/>
  <c r="E79" i="6" s="1"/>
  <c r="E80" i="6" s="1"/>
  <c r="E81" i="6" s="1"/>
  <c r="E82" i="6" s="1"/>
  <c r="E83" i="6" s="1"/>
  <c r="E84" i="6" s="1"/>
  <c r="E85" i="6" s="1"/>
  <c r="E86" i="6" s="1"/>
  <c r="E87" i="6" s="1"/>
  <c r="E88" i="6" s="1"/>
  <c r="E89" i="6" s="1"/>
  <c r="E90" i="6" s="1"/>
  <c r="E91" i="6" s="1"/>
  <c r="E92" i="6" s="1"/>
  <c r="E93" i="6" s="1"/>
  <c r="E94" i="6" s="1"/>
  <c r="E95" i="6" s="1"/>
  <c r="E96" i="6" s="1"/>
  <c r="E97" i="6" s="1"/>
  <c r="E98" i="6" s="1"/>
  <c r="E99" i="6" s="1"/>
  <c r="E100" i="6" s="1"/>
  <c r="E101" i="6" s="1"/>
  <c r="E102" i="6" s="1"/>
  <c r="E103" i="6" s="1"/>
  <c r="E104" i="6" s="1"/>
  <c r="E105" i="6" s="1"/>
  <c r="E106" i="6" s="1"/>
  <c r="E107" i="6" s="1"/>
  <c r="E108" i="6" s="1"/>
  <c r="E109" i="6" s="1"/>
  <c r="E110" i="6" s="1"/>
  <c r="E111" i="6" s="1"/>
  <c r="E112" i="6" s="1"/>
  <c r="E113" i="6" s="1"/>
  <c r="E114" i="6" s="1"/>
  <c r="E115" i="6" s="1"/>
  <c r="E116" i="6" s="1"/>
  <c r="E117" i="6" s="1"/>
  <c r="E118" i="6" s="1"/>
  <c r="E119" i="6" s="1"/>
  <c r="E120" i="6" s="1"/>
  <c r="E121" i="6" s="1"/>
  <c r="E122" i="6" s="1"/>
  <c r="E123" i="6" s="1"/>
  <c r="E124" i="6" s="1"/>
  <c r="E126" i="6" s="1"/>
  <c r="E127" i="6" s="1"/>
  <c r="E128" i="6" s="1"/>
  <c r="E129" i="6" s="1"/>
  <c r="E130" i="6" s="1"/>
  <c r="E131" i="6" s="1"/>
  <c r="E132" i="6" s="1"/>
  <c r="E133" i="6" s="1"/>
  <c r="E134" i="6" s="1"/>
  <c r="E135" i="6" s="1"/>
  <c r="E136" i="6" s="1"/>
  <c r="E137" i="6" s="1"/>
  <c r="E138" i="6" s="1"/>
  <c r="E139" i="6" s="1"/>
  <c r="E4543" i="6"/>
  <c r="E4544" i="6" s="1"/>
  <c r="E4545" i="6" s="1"/>
  <c r="E4546" i="6" s="1"/>
  <c r="E4547" i="6" s="1"/>
  <c r="E4548" i="6" s="1"/>
  <c r="E4549" i="6" s="1"/>
  <c r="E4550" i="6" s="1"/>
  <c r="E4551" i="6" s="1"/>
  <c r="E4552" i="6" s="1"/>
  <c r="E4553" i="6" s="1"/>
  <c r="E4554" i="6" s="1"/>
  <c r="E4555" i="6" s="1"/>
  <c r="E4556" i="6" s="1"/>
  <c r="E4557" i="6" s="1"/>
  <c r="E4558" i="6" s="1"/>
  <c r="E4559" i="6" s="1"/>
  <c r="E4560" i="6" s="1"/>
  <c r="E4561" i="6" s="1"/>
  <c r="E4562" i="6" s="1"/>
  <c r="E4563" i="6" s="1"/>
  <c r="E4564" i="6" s="1"/>
  <c r="E4565" i="6" s="1"/>
  <c r="E4566" i="6" s="1"/>
  <c r="E4567" i="6" s="1"/>
  <c r="E4568" i="6" s="1"/>
  <c r="E4569" i="6" s="1"/>
  <c r="E4570" i="6" s="1"/>
  <c r="E4571" i="6" s="1"/>
  <c r="E4572" i="6" s="1"/>
  <c r="E4573" i="6" s="1"/>
  <c r="E4574" i="6" s="1"/>
  <c r="E4575" i="6" s="1"/>
  <c r="E4576" i="6" s="1"/>
  <c r="E4577" i="6" s="1"/>
  <c r="E4578" i="6" s="1"/>
  <c r="E4579" i="6" s="1"/>
  <c r="E4580" i="6" s="1"/>
  <c r="E4581" i="6" s="1"/>
  <c r="E4582" i="6" s="1"/>
  <c r="E4583" i="6" s="1"/>
  <c r="E4584" i="6" s="1"/>
  <c r="E4585" i="6" s="1"/>
  <c r="E4586" i="6" s="1"/>
  <c r="E4587" i="6" s="1"/>
  <c r="E4588" i="6" s="1"/>
  <c r="E4589" i="6" s="1"/>
  <c r="E4590" i="6" s="1"/>
  <c r="E4591" i="6" s="1"/>
  <c r="E4592" i="6" s="1"/>
  <c r="E4593" i="6" s="1"/>
  <c r="E4594" i="6" s="1"/>
  <c r="E4595" i="6" s="1"/>
  <c r="E4596" i="6" s="1"/>
  <c r="E4597" i="6" s="1"/>
  <c r="E4598" i="6" s="1"/>
  <c r="E4599" i="6" s="1"/>
  <c r="E4600" i="6" s="1"/>
  <c r="E4601" i="6" s="1"/>
  <c r="E2149" i="6"/>
  <c r="E2150" i="6" s="1"/>
  <c r="E2151" i="6" s="1"/>
  <c r="E2152" i="6" s="1"/>
  <c r="E2153" i="6" s="1"/>
  <c r="E2154" i="6" s="1"/>
  <c r="E2155" i="6" s="1"/>
  <c r="E2156" i="6" s="1"/>
  <c r="E2157" i="6" s="1"/>
  <c r="E2158" i="6" s="1"/>
  <c r="E2159" i="6" s="1"/>
  <c r="E2160" i="6" s="1"/>
  <c r="E2161" i="6" s="1"/>
  <c r="E2162" i="6" s="1"/>
  <c r="E2163" i="6" s="1"/>
  <c r="E2164" i="6" s="1"/>
  <c r="E2165" i="6" s="1"/>
  <c r="E2166" i="6" s="1"/>
  <c r="E2167" i="6" s="1"/>
  <c r="E2168" i="6" s="1"/>
  <c r="E2169" i="6" s="1"/>
  <c r="E2170" i="6" s="1"/>
  <c r="E2171" i="6" s="1"/>
  <c r="E2172" i="6" s="1"/>
  <c r="E2173" i="6" s="1"/>
  <c r="E2174" i="6" s="1"/>
  <c r="E2175" i="6" s="1"/>
  <c r="E2176" i="6" s="1"/>
  <c r="E2177" i="6" s="1"/>
  <c r="E2178" i="6" s="1"/>
  <c r="E2179" i="6" s="1"/>
  <c r="E2180" i="6" s="1"/>
  <c r="E2181" i="6" s="1"/>
  <c r="E2182" i="6" s="1"/>
  <c r="E2183" i="6" s="1"/>
  <c r="E2184" i="6" s="1"/>
  <c r="E2185" i="6" s="1"/>
  <c r="E2186" i="6" s="1"/>
  <c r="E2187" i="6" s="1"/>
  <c r="E2188" i="6" s="1"/>
  <c r="E2189" i="6" s="1"/>
  <c r="E2190" i="6" s="1"/>
  <c r="E2191" i="6" s="1"/>
  <c r="E2192" i="6" s="1"/>
  <c r="E2193" i="6" s="1"/>
  <c r="E2194" i="6" s="1"/>
  <c r="E2195" i="6" s="1"/>
  <c r="E2196" i="6" s="1"/>
  <c r="E2197" i="6" s="1"/>
  <c r="E2198" i="6" s="1"/>
  <c r="E2199" i="6" s="1"/>
  <c r="E2200" i="6" s="1"/>
  <c r="E2201" i="6" s="1"/>
  <c r="E2202" i="6" s="1"/>
  <c r="E2203" i="6" s="1"/>
  <c r="E2204" i="6" s="1"/>
  <c r="E2205" i="6" s="1"/>
  <c r="E2206" i="6" s="1"/>
  <c r="E2207" i="6" s="1"/>
  <c r="E2779" i="6"/>
  <c r="E2780" i="6" s="1"/>
  <c r="E2781" i="6" s="1"/>
  <c r="E2782" i="6" s="1"/>
  <c r="E2783" i="6" s="1"/>
  <c r="E2784" i="6" s="1"/>
  <c r="E2785" i="6" s="1"/>
  <c r="E2786" i="6" s="1"/>
  <c r="E2787" i="6" s="1"/>
  <c r="E2788" i="6" s="1"/>
  <c r="E2789" i="6" s="1"/>
  <c r="E2790" i="6" s="1"/>
  <c r="E2791" i="6" s="1"/>
  <c r="E2792" i="6" s="1"/>
  <c r="E2793" i="6" s="1"/>
  <c r="E2794" i="6" s="1"/>
  <c r="E2795" i="6" s="1"/>
  <c r="E2796" i="6" s="1"/>
  <c r="E2797" i="6" s="1"/>
  <c r="E2798" i="6" s="1"/>
  <c r="E2799" i="6" s="1"/>
  <c r="E2800" i="6" s="1"/>
  <c r="E2801" i="6" s="1"/>
  <c r="E2802" i="6" s="1"/>
  <c r="E2803" i="6" s="1"/>
  <c r="E2804" i="6" s="1"/>
  <c r="E2805" i="6" s="1"/>
  <c r="E2806" i="6" s="1"/>
  <c r="E2807" i="6" s="1"/>
  <c r="E2808" i="6" s="1"/>
  <c r="E2809" i="6" s="1"/>
  <c r="E2810" i="6" s="1"/>
  <c r="E2811" i="6" s="1"/>
  <c r="E2812" i="6" s="1"/>
  <c r="E2813" i="6" s="1"/>
  <c r="E2814" i="6" s="1"/>
  <c r="E2815" i="6" s="1"/>
  <c r="E2816" i="6" s="1"/>
  <c r="E2817" i="6" s="1"/>
  <c r="E2818" i="6" s="1"/>
  <c r="E2819" i="6" s="1"/>
  <c r="E2820" i="6" s="1"/>
  <c r="E2821" i="6" s="1"/>
  <c r="E2822" i="6" s="1"/>
  <c r="E2823" i="6" s="1"/>
  <c r="E2824" i="6" s="1"/>
  <c r="E2825" i="6" s="1"/>
  <c r="E2826" i="6" s="1"/>
  <c r="E2827" i="6" s="1"/>
  <c r="E2828" i="6" s="1"/>
  <c r="E2829" i="6" s="1"/>
  <c r="E2830" i="6" s="1"/>
  <c r="E2831" i="6" s="1"/>
  <c r="E2832" i="6" s="1"/>
  <c r="E2833" i="6" s="1"/>
  <c r="E2834" i="6" s="1"/>
  <c r="E2835" i="6" s="1"/>
  <c r="E2836" i="6" s="1"/>
  <c r="E2837" i="6" s="1"/>
  <c r="E3283" i="6"/>
  <c r="E3284" i="6" s="1"/>
  <c r="E3285" i="6" s="1"/>
  <c r="E3286" i="6" s="1"/>
  <c r="E3287" i="6" s="1"/>
  <c r="E3288" i="6" s="1"/>
  <c r="E3289" i="6" s="1"/>
  <c r="E3290" i="6" s="1"/>
  <c r="E3291" i="6" s="1"/>
  <c r="E3292" i="6" s="1"/>
  <c r="E3293" i="6" s="1"/>
  <c r="E3294" i="6" s="1"/>
  <c r="E3295" i="6" s="1"/>
  <c r="E3296" i="6" s="1"/>
  <c r="E3297" i="6" s="1"/>
  <c r="E3298" i="6" s="1"/>
  <c r="E3299" i="6" s="1"/>
  <c r="E3300" i="6" s="1"/>
  <c r="E3301" i="6" s="1"/>
  <c r="E3302" i="6" s="1"/>
  <c r="E3303" i="6" s="1"/>
  <c r="E3304" i="6" s="1"/>
  <c r="E3305" i="6" s="1"/>
  <c r="E3306" i="6" s="1"/>
  <c r="E3307" i="6" s="1"/>
  <c r="E3308" i="6" s="1"/>
  <c r="E3309" i="6" s="1"/>
  <c r="E3310" i="6" s="1"/>
  <c r="E3311" i="6" s="1"/>
  <c r="E3312" i="6" s="1"/>
  <c r="E3313" i="6" s="1"/>
  <c r="E3314" i="6" s="1"/>
  <c r="E3315" i="6" s="1"/>
  <c r="E3316" i="6" s="1"/>
  <c r="E3317" i="6" s="1"/>
  <c r="E3318" i="6" s="1"/>
  <c r="E3319" i="6" s="1"/>
  <c r="E3320" i="6" s="1"/>
  <c r="E3321" i="6" s="1"/>
  <c r="E3322" i="6" s="1"/>
  <c r="E3323" i="6" s="1"/>
  <c r="E3324" i="6" s="1"/>
  <c r="E3325" i="6" s="1"/>
  <c r="E3326" i="6" s="1"/>
  <c r="E3327" i="6" s="1"/>
  <c r="E3328" i="6" s="1"/>
  <c r="E3329" i="6" s="1"/>
  <c r="E3330" i="6" s="1"/>
  <c r="E3331" i="6" s="1"/>
  <c r="E3332" i="6" s="1"/>
  <c r="E3333" i="6" s="1"/>
  <c r="E3334" i="6" s="1"/>
  <c r="E3335" i="6" s="1"/>
  <c r="E3336" i="6" s="1"/>
  <c r="E3337" i="6" s="1"/>
  <c r="E3338" i="6" s="1"/>
  <c r="E3339" i="6" s="1"/>
  <c r="E3340" i="6" s="1"/>
  <c r="E3341" i="6" s="1"/>
  <c r="E4354" i="6"/>
  <c r="E4355" i="6" s="1"/>
  <c r="E4356" i="6" s="1"/>
  <c r="E4357" i="6" s="1"/>
  <c r="E4358" i="6" s="1"/>
  <c r="E4359" i="6" s="1"/>
  <c r="E4360" i="6" s="1"/>
  <c r="E4361" i="6" s="1"/>
  <c r="E4362" i="6" s="1"/>
  <c r="E4363" i="6" s="1"/>
  <c r="E4364" i="6" s="1"/>
  <c r="E4365" i="6" s="1"/>
  <c r="E4366" i="6" s="1"/>
  <c r="E4367" i="6" s="1"/>
  <c r="E4368" i="6" s="1"/>
  <c r="E4369" i="6" s="1"/>
  <c r="E4370" i="6" s="1"/>
  <c r="E4371" i="6" s="1"/>
  <c r="E4372" i="6" s="1"/>
  <c r="E4373" i="6" s="1"/>
  <c r="E4374" i="6" s="1"/>
  <c r="E4375" i="6" s="1"/>
  <c r="E4376" i="6" s="1"/>
  <c r="E4377" i="6" s="1"/>
  <c r="E4378" i="6" s="1"/>
  <c r="E4379" i="6" s="1"/>
  <c r="E4380" i="6" s="1"/>
  <c r="E4381" i="6" s="1"/>
  <c r="E4382" i="6" s="1"/>
  <c r="E4383" i="6" s="1"/>
  <c r="E4384" i="6" s="1"/>
  <c r="E4385" i="6" s="1"/>
  <c r="E4386" i="6" s="1"/>
  <c r="E4387" i="6" s="1"/>
  <c r="E4388" i="6" s="1"/>
  <c r="E4389" i="6" s="1"/>
  <c r="E4390" i="6" s="1"/>
  <c r="E4391" i="6" s="1"/>
  <c r="E4392" i="6" s="1"/>
  <c r="E4393" i="6" s="1"/>
  <c r="E4394" i="6" s="1"/>
  <c r="E4395" i="6" s="1"/>
  <c r="E4396" i="6" s="1"/>
  <c r="E4397" i="6" s="1"/>
  <c r="E4398" i="6" s="1"/>
  <c r="E4399" i="6" s="1"/>
  <c r="E4400" i="6" s="1"/>
  <c r="E4401" i="6" s="1"/>
  <c r="E4402" i="6" s="1"/>
  <c r="E4403" i="6" s="1"/>
  <c r="E4404" i="6" s="1"/>
  <c r="E4405" i="6" s="1"/>
  <c r="E4406" i="6" s="1"/>
  <c r="E4407" i="6" s="1"/>
  <c r="E4408" i="6" s="1"/>
  <c r="E4409" i="6" s="1"/>
  <c r="E4410" i="6" s="1"/>
  <c r="E4411" i="6" s="1"/>
  <c r="E4412" i="6" s="1"/>
  <c r="E5110" i="6"/>
  <c r="E5111" i="6" s="1"/>
  <c r="E5112" i="6" s="1"/>
  <c r="E5113" i="6" s="1"/>
  <c r="E5114" i="6" s="1"/>
  <c r="E5115" i="6" s="1"/>
  <c r="E5116" i="6" s="1"/>
  <c r="E5117" i="6" s="1"/>
  <c r="E5118" i="6" s="1"/>
  <c r="E5119" i="6" s="1"/>
  <c r="E5120" i="6" s="1"/>
  <c r="E5121" i="6" s="1"/>
  <c r="E5122" i="6" s="1"/>
  <c r="E5123" i="6" s="1"/>
  <c r="E5124" i="6" s="1"/>
  <c r="E5125" i="6" s="1"/>
  <c r="E5126" i="6" s="1"/>
  <c r="E5127" i="6" s="1"/>
  <c r="E5128" i="6" s="1"/>
  <c r="E5129" i="6" s="1"/>
  <c r="E5130" i="6" s="1"/>
  <c r="E5131" i="6" s="1"/>
  <c r="E5132" i="6" s="1"/>
  <c r="E5133" i="6" s="1"/>
  <c r="E5134" i="6" s="1"/>
  <c r="E5135" i="6" s="1"/>
  <c r="E5136" i="6" s="1"/>
  <c r="E5137" i="6" s="1"/>
  <c r="E5138" i="6" s="1"/>
  <c r="E5139" i="6" s="1"/>
  <c r="E5140" i="6" s="1"/>
  <c r="E5141" i="6" s="1"/>
  <c r="E5142" i="6" s="1"/>
  <c r="E5143" i="6" s="1"/>
  <c r="E5144" i="6" s="1"/>
  <c r="E5145" i="6" s="1"/>
  <c r="E5146" i="6" s="1"/>
  <c r="E5147" i="6" s="1"/>
  <c r="E5148" i="6" s="1"/>
  <c r="E5149" i="6" s="1"/>
  <c r="E5150" i="6" s="1"/>
  <c r="E5151" i="6" s="1"/>
  <c r="E5152" i="6" s="1"/>
  <c r="E5153" i="6" s="1"/>
  <c r="E5154" i="6" s="1"/>
  <c r="E5155" i="6" s="1"/>
  <c r="E5156" i="6" s="1"/>
  <c r="E5157" i="6" s="1"/>
  <c r="E5158" i="6" s="1"/>
  <c r="E5159" i="6" s="1"/>
  <c r="E5160" i="6" s="1"/>
  <c r="E5161" i="6" s="1"/>
  <c r="E5162" i="6" s="1"/>
  <c r="E5163" i="6" s="1"/>
  <c r="E5164" i="6" s="1"/>
  <c r="E5165" i="6" s="1"/>
  <c r="E5166" i="6" s="1"/>
  <c r="E5167" i="6" s="1"/>
  <c r="E5168" i="6" s="1"/>
  <c r="E5614" i="6"/>
  <c r="E5615" i="6" s="1"/>
  <c r="E5616" i="6" s="1"/>
  <c r="E5617" i="6" s="1"/>
  <c r="E5618" i="6" s="1"/>
  <c r="E5619" i="6" s="1"/>
  <c r="E5620" i="6" s="1"/>
  <c r="E5621" i="6" s="1"/>
  <c r="E5622" i="6" s="1"/>
  <c r="E5623" i="6" s="1"/>
  <c r="E5624" i="6" s="1"/>
  <c r="E5625" i="6" s="1"/>
  <c r="E5626" i="6" s="1"/>
  <c r="E5627" i="6" s="1"/>
  <c r="E5628" i="6" s="1"/>
  <c r="E5629" i="6" s="1"/>
  <c r="E5630" i="6" s="1"/>
  <c r="E5631" i="6" s="1"/>
  <c r="E5632" i="6" s="1"/>
  <c r="E5633" i="6" s="1"/>
  <c r="E5634" i="6" s="1"/>
  <c r="E5635" i="6" s="1"/>
  <c r="E5636" i="6" s="1"/>
  <c r="E5637" i="6" s="1"/>
  <c r="E5638" i="6" s="1"/>
  <c r="E5639" i="6" s="1"/>
  <c r="E5640" i="6" s="1"/>
  <c r="E5641" i="6" s="1"/>
  <c r="E5642" i="6" s="1"/>
  <c r="E5643" i="6" s="1"/>
  <c r="E5644" i="6" s="1"/>
  <c r="E5645" i="6" s="1"/>
  <c r="E5646" i="6" s="1"/>
  <c r="E5647" i="6" s="1"/>
  <c r="E5648" i="6" s="1"/>
  <c r="E5649" i="6" s="1"/>
  <c r="E5650" i="6" s="1"/>
  <c r="E5651" i="6" s="1"/>
  <c r="E5652" i="6" s="1"/>
  <c r="E5653" i="6" s="1"/>
  <c r="E5654" i="6" s="1"/>
  <c r="E5655" i="6" s="1"/>
  <c r="E5656" i="6" s="1"/>
  <c r="E5657" i="6" s="1"/>
  <c r="E5658" i="6" s="1"/>
  <c r="E5659" i="6" s="1"/>
  <c r="E5660" i="6" s="1"/>
  <c r="E5661" i="6" s="1"/>
  <c r="E5662" i="6" s="1"/>
  <c r="E5663" i="6" s="1"/>
  <c r="E5664" i="6" s="1"/>
  <c r="E5665" i="6" s="1"/>
  <c r="E5666" i="6" s="1"/>
  <c r="E5667" i="6" s="1"/>
  <c r="E5668" i="6" s="1"/>
  <c r="E5669" i="6" s="1"/>
  <c r="E5670" i="6" s="1"/>
  <c r="E5671" i="6" s="1"/>
  <c r="E5672" i="6" s="1"/>
  <c r="E6118" i="6"/>
  <c r="E6119" i="6" s="1"/>
  <c r="E6120" i="6" s="1"/>
  <c r="E6121" i="6" s="1"/>
  <c r="E6122" i="6" s="1"/>
  <c r="E6123" i="6" s="1"/>
  <c r="E6124" i="6" s="1"/>
  <c r="E6125" i="6" s="1"/>
  <c r="E6126" i="6" s="1"/>
  <c r="E6127" i="6" s="1"/>
  <c r="E6128" i="6" s="1"/>
  <c r="E6129" i="6" s="1"/>
  <c r="E6130" i="6" s="1"/>
  <c r="E6131" i="6" s="1"/>
  <c r="E6132" i="6" s="1"/>
  <c r="E6133" i="6" s="1"/>
  <c r="E6134" i="6" s="1"/>
  <c r="E6135" i="6" s="1"/>
  <c r="E6136" i="6" s="1"/>
  <c r="E6137" i="6" s="1"/>
  <c r="E6138" i="6" s="1"/>
  <c r="E6139" i="6" s="1"/>
  <c r="E6140" i="6" s="1"/>
  <c r="E6141" i="6" s="1"/>
  <c r="E6142" i="6" s="1"/>
  <c r="E6143" i="6" s="1"/>
  <c r="E6144" i="6" s="1"/>
  <c r="E6145" i="6" s="1"/>
  <c r="E6146" i="6" s="1"/>
  <c r="E6147" i="6" s="1"/>
  <c r="E6148" i="6" s="1"/>
  <c r="E6149" i="6" s="1"/>
  <c r="E6150" i="6" s="1"/>
  <c r="E6151" i="6" s="1"/>
  <c r="E6152" i="6" s="1"/>
  <c r="E6153" i="6" s="1"/>
  <c r="E6154" i="6" s="1"/>
  <c r="E6155" i="6" s="1"/>
  <c r="E6156" i="6" s="1"/>
  <c r="E6157" i="6" s="1"/>
  <c r="E6158" i="6" s="1"/>
  <c r="E6159" i="6" s="1"/>
  <c r="E6160" i="6" s="1"/>
  <c r="E6161" i="6" s="1"/>
  <c r="E6162" i="6" s="1"/>
  <c r="E6163" i="6" s="1"/>
  <c r="E6164" i="6" s="1"/>
  <c r="E6165" i="6" s="1"/>
  <c r="E6166" i="6" s="1"/>
  <c r="E6167" i="6" s="1"/>
  <c r="E6168" i="6" s="1"/>
  <c r="E6169" i="6" s="1"/>
  <c r="E6170" i="6" s="1"/>
  <c r="E6171" i="6" s="1"/>
  <c r="E6172" i="6" s="1"/>
  <c r="E6173" i="6" s="1"/>
  <c r="E6174" i="6" s="1"/>
  <c r="E6175" i="6" s="1"/>
  <c r="E6176" i="6" s="1"/>
  <c r="E6622" i="6"/>
  <c r="E6623" i="6" s="1"/>
  <c r="E6624" i="6" s="1"/>
  <c r="E6625" i="6" s="1"/>
  <c r="E6626" i="6" s="1"/>
  <c r="E6627" i="6" s="1"/>
  <c r="E6628" i="6" s="1"/>
  <c r="E6629" i="6" s="1"/>
  <c r="E6630" i="6" s="1"/>
  <c r="E6631" i="6" s="1"/>
  <c r="E6632" i="6" s="1"/>
  <c r="E6633" i="6" s="1"/>
  <c r="E6634" i="6" s="1"/>
  <c r="E6635" i="6" s="1"/>
  <c r="E6636" i="6" s="1"/>
  <c r="E6637" i="6" s="1"/>
  <c r="E6638" i="6" s="1"/>
  <c r="E6639" i="6" s="1"/>
  <c r="E6640" i="6" s="1"/>
  <c r="E6641" i="6" s="1"/>
  <c r="E6642" i="6" s="1"/>
  <c r="E6643" i="6" s="1"/>
  <c r="E6644" i="6" s="1"/>
  <c r="E6645" i="6" s="1"/>
  <c r="E6646" i="6" s="1"/>
  <c r="E6647" i="6" s="1"/>
  <c r="E6648" i="6" s="1"/>
  <c r="E6649" i="6" s="1"/>
  <c r="E6650" i="6" s="1"/>
  <c r="E6651" i="6" s="1"/>
  <c r="E6652" i="6" s="1"/>
  <c r="E6653" i="6" s="1"/>
  <c r="E6654" i="6" s="1"/>
  <c r="E6655" i="6" s="1"/>
  <c r="E6656" i="6" s="1"/>
  <c r="E6657" i="6" s="1"/>
  <c r="E6658" i="6" s="1"/>
  <c r="E6659" i="6" s="1"/>
  <c r="E6660" i="6" s="1"/>
  <c r="E6661" i="6" s="1"/>
  <c r="E6662" i="6" s="1"/>
  <c r="E6663" i="6" s="1"/>
  <c r="E6664" i="6" s="1"/>
  <c r="E6665" i="6" s="1"/>
  <c r="E6666" i="6" s="1"/>
  <c r="E6667" i="6" s="1"/>
  <c r="E6668" i="6" s="1"/>
  <c r="E6669" i="6" s="1"/>
  <c r="E6670" i="6" s="1"/>
  <c r="E6671" i="6" s="1"/>
  <c r="E6672" i="6" s="1"/>
  <c r="E6673" i="6" s="1"/>
  <c r="E6674" i="6" s="1"/>
  <c r="E6675" i="6" s="1"/>
  <c r="E6676" i="6" s="1"/>
  <c r="E6677" i="6" s="1"/>
  <c r="E6678" i="6" s="1"/>
  <c r="E6679" i="6" s="1"/>
  <c r="E6680" i="6" s="1"/>
  <c r="E7315" i="6"/>
  <c r="E7316" i="6" s="1"/>
  <c r="E7317" i="6" s="1"/>
  <c r="E7318" i="6" s="1"/>
  <c r="E7319" i="6" s="1"/>
  <c r="E7320" i="6" s="1"/>
  <c r="E7321" i="6" s="1"/>
  <c r="E7322" i="6" s="1"/>
  <c r="E7323" i="6" s="1"/>
  <c r="E7324" i="6" s="1"/>
  <c r="E7325" i="6" s="1"/>
  <c r="E7326" i="6" s="1"/>
  <c r="E7327" i="6" s="1"/>
  <c r="E7328" i="6" s="1"/>
  <c r="E7329" i="6" s="1"/>
  <c r="E7330" i="6" s="1"/>
  <c r="E7331" i="6" s="1"/>
  <c r="E7332" i="6" s="1"/>
  <c r="E7333" i="6" s="1"/>
  <c r="E7334" i="6" s="1"/>
  <c r="E7335" i="6" s="1"/>
  <c r="E7336" i="6" s="1"/>
  <c r="E7337" i="6" s="1"/>
  <c r="E7338" i="6" s="1"/>
  <c r="E7339" i="6" s="1"/>
  <c r="E7340" i="6" s="1"/>
  <c r="E7341" i="6" s="1"/>
  <c r="E7342" i="6" s="1"/>
  <c r="E7343" i="6" s="1"/>
  <c r="E7344" i="6" s="1"/>
  <c r="E7345" i="6" s="1"/>
  <c r="E7346" i="6" s="1"/>
  <c r="E7347" i="6" s="1"/>
  <c r="E7348" i="6" s="1"/>
  <c r="E7349" i="6" s="1"/>
  <c r="E7350" i="6" s="1"/>
  <c r="E7351" i="6" s="1"/>
  <c r="E7352" i="6" s="1"/>
  <c r="E7353" i="6" s="1"/>
  <c r="E7354" i="6" s="1"/>
  <c r="E7355" i="6" s="1"/>
  <c r="E7356" i="6" s="1"/>
  <c r="E7357" i="6" s="1"/>
  <c r="E7358" i="6" s="1"/>
  <c r="E7359" i="6" s="1"/>
  <c r="E7360" i="6" s="1"/>
  <c r="E7361" i="6" s="1"/>
  <c r="E7362" i="6" s="1"/>
  <c r="E7363" i="6" s="1"/>
  <c r="E7364" i="6" s="1"/>
  <c r="E7365" i="6" s="1"/>
  <c r="E7366" i="6" s="1"/>
  <c r="E7367" i="6" s="1"/>
  <c r="E7368" i="6" s="1"/>
  <c r="E7369" i="6" s="1"/>
  <c r="E7370" i="6" s="1"/>
  <c r="E7371" i="6" s="1"/>
  <c r="E7372" i="6" s="1"/>
  <c r="E7373" i="6" s="1"/>
  <c r="E7879" i="6"/>
  <c r="E7880" i="6" s="1"/>
  <c r="E7881" i="6" s="1"/>
  <c r="E7882" i="6" s="1"/>
  <c r="E7883" i="6" s="1"/>
  <c r="E7884" i="6" s="1"/>
  <c r="E7885" i="6" s="1"/>
  <c r="E7886" i="6" s="1"/>
  <c r="E7887" i="6" s="1"/>
  <c r="E7888" i="6" s="1"/>
  <c r="E7889" i="6" s="1"/>
  <c r="E7890" i="6" s="1"/>
  <c r="E7891" i="6" s="1"/>
  <c r="E7892" i="6" s="1"/>
  <c r="E7893" i="6" s="1"/>
  <c r="E7894" i="6" s="1"/>
  <c r="E7895" i="6" s="1"/>
  <c r="E7896" i="6" s="1"/>
  <c r="E7897" i="6" s="1"/>
  <c r="E7898" i="6" s="1"/>
  <c r="E7899" i="6" s="1"/>
  <c r="E7900" i="6" s="1"/>
  <c r="E7901" i="6" s="1"/>
  <c r="E7902" i="6" s="1"/>
  <c r="E7903" i="6" s="1"/>
  <c r="E7904" i="6" s="1"/>
  <c r="E7905" i="6" s="1"/>
  <c r="E7906" i="6" s="1"/>
  <c r="E7907" i="6" s="1"/>
  <c r="E7908" i="6" s="1"/>
  <c r="E7909" i="6" s="1"/>
  <c r="E7910" i="6" s="1"/>
  <c r="E7911" i="6" s="1"/>
  <c r="E7912" i="6" s="1"/>
  <c r="E7913" i="6" s="1"/>
  <c r="E7914" i="6" s="1"/>
  <c r="E7915" i="6" s="1"/>
  <c r="E7916" i="6" s="1"/>
  <c r="E7917" i="6" s="1"/>
  <c r="E7918" i="6" s="1"/>
  <c r="E7919" i="6" s="1"/>
  <c r="E7920" i="6" s="1"/>
  <c r="E7921" i="6" s="1"/>
  <c r="E7922" i="6" s="1"/>
  <c r="E7923" i="6" s="1"/>
  <c r="E7924" i="6" s="1"/>
  <c r="E7925" i="6" s="1"/>
  <c r="E7926" i="6" s="1"/>
  <c r="E7927" i="6" s="1"/>
  <c r="E7928" i="6" s="1"/>
  <c r="E7929" i="6" s="1"/>
  <c r="E7930" i="6" s="1"/>
  <c r="E7931" i="6" s="1"/>
  <c r="E7932" i="6" s="1"/>
  <c r="E7933" i="6" s="1"/>
  <c r="E7934" i="6" s="1"/>
  <c r="E7935" i="6" s="1"/>
  <c r="E7936" i="6" s="1"/>
  <c r="E7937" i="6" s="1"/>
  <c r="E7063" i="6"/>
  <c r="E7064" i="6" s="1"/>
  <c r="E7065" i="6" s="1"/>
  <c r="E7066" i="6" s="1"/>
  <c r="E7067" i="6" s="1"/>
  <c r="E7068" i="6" s="1"/>
  <c r="E7069" i="6" s="1"/>
  <c r="E7070" i="6" s="1"/>
  <c r="E7071" i="6" s="1"/>
  <c r="E7072" i="6" s="1"/>
  <c r="E7073" i="6" s="1"/>
  <c r="E7074" i="6" s="1"/>
  <c r="E7075" i="6" s="1"/>
  <c r="E7076" i="6" s="1"/>
  <c r="E7077" i="6" s="1"/>
  <c r="E7078" i="6" s="1"/>
  <c r="E7079" i="6" s="1"/>
  <c r="E7080" i="6" s="1"/>
  <c r="E7081" i="6" s="1"/>
  <c r="E7082" i="6" s="1"/>
  <c r="E7083" i="6" s="1"/>
  <c r="E7084" i="6" s="1"/>
  <c r="E7085" i="6" s="1"/>
  <c r="E7086" i="6" s="1"/>
  <c r="E7087" i="6" s="1"/>
  <c r="E7088" i="6" s="1"/>
  <c r="E7089" i="6" s="1"/>
  <c r="E7090" i="6" s="1"/>
  <c r="E7091" i="6" s="1"/>
  <c r="E7092" i="6" s="1"/>
  <c r="E7093" i="6" s="1"/>
  <c r="E7094" i="6" s="1"/>
  <c r="E7095" i="6" s="1"/>
  <c r="E7096" i="6" s="1"/>
  <c r="E7097" i="6" s="1"/>
  <c r="E7098" i="6" s="1"/>
  <c r="E7099" i="6" s="1"/>
  <c r="E7100" i="6" s="1"/>
  <c r="E7101" i="6" s="1"/>
  <c r="E7102" i="6" s="1"/>
  <c r="E7103" i="6" s="1"/>
  <c r="E7104" i="6" s="1"/>
  <c r="E7105" i="6" s="1"/>
  <c r="E7106" i="6" s="1"/>
  <c r="E7107" i="6" s="1"/>
  <c r="E7108" i="6" s="1"/>
  <c r="E7109" i="6" s="1"/>
  <c r="E7110" i="6" s="1"/>
  <c r="E7111" i="6" s="1"/>
  <c r="E7112" i="6" s="1"/>
  <c r="E7113" i="6" s="1"/>
  <c r="E7114" i="6" s="1"/>
  <c r="E7115" i="6" s="1"/>
  <c r="E7116" i="6" s="1"/>
  <c r="E7117" i="6" s="1"/>
  <c r="E7118" i="6" s="1"/>
  <c r="E7119" i="6" s="1"/>
  <c r="E7120" i="6" s="1"/>
  <c r="E7121" i="6" s="1"/>
  <c r="E142" i="6"/>
  <c r="E143" i="6" s="1"/>
  <c r="E144" i="6" s="1"/>
  <c r="E145" i="6" s="1"/>
  <c r="E146" i="6" s="1"/>
  <c r="E147" i="6" s="1"/>
  <c r="E148" i="6" s="1"/>
  <c r="E149" i="6" s="1"/>
  <c r="E150" i="6" s="1"/>
  <c r="E151" i="6" s="1"/>
  <c r="E152" i="6" s="1"/>
  <c r="E153" i="6" s="1"/>
  <c r="E154" i="6" s="1"/>
  <c r="E155" i="6" s="1"/>
  <c r="E156" i="6" s="1"/>
  <c r="E157" i="6" s="1"/>
  <c r="E158" i="6" s="1"/>
  <c r="E159" i="6" s="1"/>
  <c r="E160" i="6" s="1"/>
  <c r="E161" i="6" s="1"/>
  <c r="E162" i="6" s="1"/>
  <c r="E163" i="6" s="1"/>
  <c r="E164" i="6" s="1"/>
  <c r="E165" i="6" s="1"/>
  <c r="E166" i="6" s="1"/>
  <c r="E167" i="6" s="1"/>
  <c r="E168" i="6" s="1"/>
  <c r="E169" i="6" s="1"/>
  <c r="E170" i="6" s="1"/>
  <c r="E171" i="6" s="1"/>
  <c r="E172" i="6" s="1"/>
  <c r="E173" i="6" s="1"/>
  <c r="E174" i="6" s="1"/>
  <c r="E175" i="6" s="1"/>
  <c r="E176" i="6" s="1"/>
  <c r="E177" i="6" s="1"/>
  <c r="E178" i="6" s="1"/>
  <c r="E179" i="6" s="1"/>
  <c r="E180" i="6" s="1"/>
  <c r="E181" i="6" s="1"/>
  <c r="E182" i="6" s="1"/>
  <c r="E183" i="6" s="1"/>
  <c r="E184" i="6" s="1"/>
  <c r="E185" i="6" s="1"/>
  <c r="E186" i="6" s="1"/>
  <c r="E187" i="6" s="1"/>
  <c r="E188" i="6" s="1"/>
  <c r="E189" i="6" s="1"/>
  <c r="E190" i="6" s="1"/>
  <c r="E191" i="6" s="1"/>
  <c r="E192" i="6" s="1"/>
  <c r="E193" i="6" s="1"/>
  <c r="E194" i="6" s="1"/>
  <c r="E195" i="6" s="1"/>
  <c r="E196" i="6" s="1"/>
  <c r="E197" i="6" s="1"/>
  <c r="E198" i="6" s="1"/>
  <c r="E199" i="6" s="1"/>
  <c r="E202" i="6"/>
  <c r="E203" i="6" s="1"/>
  <c r="E204" i="6" s="1"/>
  <c r="E205" i="6" s="1"/>
  <c r="E206" i="6" s="1"/>
  <c r="E207" i="6" s="1"/>
  <c r="E208" i="6" s="1"/>
  <c r="E209" i="6" s="1"/>
  <c r="E210" i="6" s="1"/>
  <c r="E211" i="6" s="1"/>
  <c r="E212" i="6" s="1"/>
  <c r="E213" i="6" s="1"/>
  <c r="E214" i="6" s="1"/>
  <c r="E215" i="6" s="1"/>
  <c r="E216" i="6" s="1"/>
  <c r="E217" i="6" s="1"/>
  <c r="E218" i="6" s="1"/>
  <c r="E219" i="6" s="1"/>
  <c r="E220" i="6" s="1"/>
  <c r="E221" i="6" s="1"/>
  <c r="E222" i="6" s="1"/>
  <c r="E223" i="6" s="1"/>
  <c r="E224" i="6" s="1"/>
  <c r="E225" i="6" s="1"/>
  <c r="E226" i="6" s="1"/>
  <c r="E227" i="6" s="1"/>
  <c r="E228" i="6" s="1"/>
  <c r="E229" i="6" s="1"/>
  <c r="E230" i="6" s="1"/>
  <c r="E231" i="6" s="1"/>
  <c r="E232" i="6" s="1"/>
  <c r="E233" i="6" s="1"/>
  <c r="E234" i="6" s="1"/>
  <c r="E235" i="6" s="1"/>
  <c r="E236" i="6" s="1"/>
  <c r="E237" i="6" s="1"/>
  <c r="E238" i="6" s="1"/>
  <c r="E239" i="6" s="1"/>
  <c r="E240" i="6" s="1"/>
  <c r="E241" i="6" s="1"/>
  <c r="E242" i="6" s="1"/>
  <c r="E243" i="6" s="1"/>
  <c r="E244" i="6" s="1"/>
  <c r="E245" i="6" s="1"/>
  <c r="E246" i="6" s="1"/>
  <c r="E247" i="6" s="1"/>
  <c r="E248" i="6" s="1"/>
  <c r="E249" i="6" s="1"/>
  <c r="E250" i="6" s="1"/>
  <c r="E251" i="6" s="1"/>
  <c r="E252" i="6" s="1"/>
  <c r="E253" i="6" s="1"/>
  <c r="E254" i="6" s="1"/>
  <c r="E255" i="6" s="1"/>
  <c r="E256" i="6" s="1"/>
  <c r="E257" i="6" s="1"/>
  <c r="E258" i="6" s="1"/>
  <c r="E259" i="6" s="1"/>
  <c r="E260" i="6" s="1"/>
  <c r="E700" i="6"/>
  <c r="E701" i="6" s="1"/>
  <c r="E702" i="6" s="1"/>
  <c r="E703" i="6" s="1"/>
  <c r="E704" i="6" s="1"/>
  <c r="E705" i="6" s="1"/>
  <c r="E706" i="6" s="1"/>
  <c r="E707" i="6" s="1"/>
  <c r="E708" i="6" s="1"/>
  <c r="E709" i="6" s="1"/>
  <c r="E710" i="6" s="1"/>
  <c r="E711" i="6" s="1"/>
  <c r="E712" i="6" s="1"/>
  <c r="E713" i="6" s="1"/>
  <c r="E714" i="6" s="1"/>
  <c r="E715" i="6" s="1"/>
  <c r="E716" i="6" s="1"/>
  <c r="E717" i="6" s="1"/>
  <c r="E718" i="6" s="1"/>
  <c r="E719" i="6" s="1"/>
  <c r="E720" i="6" s="1"/>
  <c r="E721" i="6" s="1"/>
  <c r="E722" i="6" s="1"/>
  <c r="E723" i="6" s="1"/>
  <c r="E724" i="6" s="1"/>
  <c r="E725" i="6" s="1"/>
  <c r="E726" i="6" s="1"/>
  <c r="E727" i="6" s="1"/>
  <c r="E728" i="6" s="1"/>
  <c r="E729" i="6" s="1"/>
  <c r="E730" i="6" s="1"/>
  <c r="E731" i="6" s="1"/>
  <c r="E732" i="6" s="1"/>
  <c r="E733" i="6" s="1"/>
  <c r="E734" i="6" s="1"/>
  <c r="E735" i="6" s="1"/>
  <c r="E736" i="6" s="1"/>
  <c r="E737" i="6" s="1"/>
  <c r="E738" i="6" s="1"/>
  <c r="E739" i="6" s="1"/>
  <c r="E740" i="6" s="1"/>
  <c r="E741" i="6" s="1"/>
  <c r="E742" i="6" s="1"/>
  <c r="E743" i="6" s="1"/>
  <c r="E744" i="6" s="1"/>
  <c r="E745" i="6" s="1"/>
  <c r="E746" i="6" s="1"/>
  <c r="E747" i="6" s="1"/>
  <c r="E748" i="6" s="1"/>
  <c r="E749" i="6" s="1"/>
  <c r="E750" i="6" s="1"/>
  <c r="E751" i="6" s="1"/>
  <c r="E752" i="6" s="1"/>
  <c r="E753" i="6" s="1"/>
  <c r="E754" i="6" s="1"/>
  <c r="E755" i="6" s="1"/>
  <c r="E756" i="6" s="1"/>
  <c r="E757" i="6" s="1"/>
  <c r="E758" i="6" s="1"/>
  <c r="E1708" i="6"/>
  <c r="E1709" i="6" s="1"/>
  <c r="E1710" i="6" s="1"/>
  <c r="E1711" i="6" s="1"/>
  <c r="E1712" i="6" s="1"/>
  <c r="E1713" i="6" s="1"/>
  <c r="E1714" i="6" s="1"/>
  <c r="E1715" i="6" s="1"/>
  <c r="E1716" i="6" s="1"/>
  <c r="E1717" i="6" s="1"/>
  <c r="E1718" i="6" s="1"/>
  <c r="E1719" i="6" s="1"/>
  <c r="E1720" i="6" s="1"/>
  <c r="E1721" i="6" s="1"/>
  <c r="E1722" i="6" s="1"/>
  <c r="E1723" i="6" s="1"/>
  <c r="E1724" i="6" s="1"/>
  <c r="E1725" i="6" s="1"/>
  <c r="E1726" i="6" s="1"/>
  <c r="E1727" i="6" s="1"/>
  <c r="E1728" i="6" s="1"/>
  <c r="E1729" i="6" s="1"/>
  <c r="E1730" i="6" s="1"/>
  <c r="E1731" i="6" s="1"/>
  <c r="E1732" i="6" s="1"/>
  <c r="E1733" i="6" s="1"/>
  <c r="E1734" i="6" s="1"/>
  <c r="E1735" i="6" s="1"/>
  <c r="E1736" i="6" s="1"/>
  <c r="E1737" i="6" s="1"/>
  <c r="E1738" i="6" s="1"/>
  <c r="E1739" i="6" s="1"/>
  <c r="E1740" i="6" s="1"/>
  <c r="E1741" i="6" s="1"/>
  <c r="E1742" i="6" s="1"/>
  <c r="E1743" i="6" s="1"/>
  <c r="E1744" i="6" s="1"/>
  <c r="E1745" i="6" s="1"/>
  <c r="E1746" i="6" s="1"/>
  <c r="E1747" i="6" s="1"/>
  <c r="E1748" i="6" s="1"/>
  <c r="E1749" i="6" s="1"/>
  <c r="E1750" i="6" s="1"/>
  <c r="E1751" i="6" s="1"/>
  <c r="E1752" i="6" s="1"/>
  <c r="E1753" i="6" s="1"/>
  <c r="E1754" i="6" s="1"/>
  <c r="E1755" i="6" s="1"/>
  <c r="E1756" i="6" s="1"/>
  <c r="E1757" i="6" s="1"/>
  <c r="E1758" i="6" s="1"/>
  <c r="E1759" i="6" s="1"/>
  <c r="E1760" i="6" s="1"/>
  <c r="E1761" i="6" s="1"/>
  <c r="E1762" i="6" s="1"/>
  <c r="E1763" i="6" s="1"/>
  <c r="E1764" i="6" s="1"/>
  <c r="E1765" i="6" s="1"/>
  <c r="E1766" i="6" s="1"/>
  <c r="E2212" i="6"/>
  <c r="E2213" i="6" s="1"/>
  <c r="E2214" i="6" s="1"/>
  <c r="E2215" i="6" s="1"/>
  <c r="E2216" i="6" s="1"/>
  <c r="E2217" i="6" s="1"/>
  <c r="E2218" i="6" s="1"/>
  <c r="E2219" i="6" s="1"/>
  <c r="E2220" i="6" s="1"/>
  <c r="E2221" i="6" s="1"/>
  <c r="E2222" i="6" s="1"/>
  <c r="E2223" i="6" s="1"/>
  <c r="E2224" i="6" s="1"/>
  <c r="E2225" i="6" s="1"/>
  <c r="E2226" i="6" s="1"/>
  <c r="E2227" i="6" s="1"/>
  <c r="E2228" i="6" s="1"/>
  <c r="E2229" i="6" s="1"/>
  <c r="E2230" i="6" s="1"/>
  <c r="E2231" i="6" s="1"/>
  <c r="E2232" i="6" s="1"/>
  <c r="E2233" i="6" s="1"/>
  <c r="E2234" i="6" s="1"/>
  <c r="E2235" i="6" s="1"/>
  <c r="E2236" i="6" s="1"/>
  <c r="E2237" i="6" s="1"/>
  <c r="E2238" i="6" s="1"/>
  <c r="E2239" i="6" s="1"/>
  <c r="E2240" i="6" s="1"/>
  <c r="E2241" i="6" s="1"/>
  <c r="E2242" i="6" s="1"/>
  <c r="E2243" i="6" s="1"/>
  <c r="E2244" i="6" s="1"/>
  <c r="E2245" i="6" s="1"/>
  <c r="E2246" i="6" s="1"/>
  <c r="E2247" i="6" s="1"/>
  <c r="E2248" i="6" s="1"/>
  <c r="E2249" i="6" s="1"/>
  <c r="E2250" i="6" s="1"/>
  <c r="E2251" i="6" s="1"/>
  <c r="E2252" i="6" s="1"/>
  <c r="E2253" i="6" s="1"/>
  <c r="E2254" i="6" s="1"/>
  <c r="E2255" i="6" s="1"/>
  <c r="E2256" i="6" s="1"/>
  <c r="E2257" i="6" s="1"/>
  <c r="E2258" i="6" s="1"/>
  <c r="E2259" i="6" s="1"/>
  <c r="E2260" i="6" s="1"/>
  <c r="E2261" i="6" s="1"/>
  <c r="E2262" i="6" s="1"/>
  <c r="E2263" i="6" s="1"/>
  <c r="E2264" i="6" s="1"/>
  <c r="E2265" i="6" s="1"/>
  <c r="E2266" i="6" s="1"/>
  <c r="E2267" i="6" s="1"/>
  <c r="E2268" i="6" s="1"/>
  <c r="E2269" i="6" s="1"/>
  <c r="E2270" i="6" s="1"/>
  <c r="E2842" i="6"/>
  <c r="E2843" i="6" s="1"/>
  <c r="E2844" i="6" s="1"/>
  <c r="E2845" i="6" s="1"/>
  <c r="E2846" i="6" s="1"/>
  <c r="E2847" i="6" s="1"/>
  <c r="E2848" i="6" s="1"/>
  <c r="E2849" i="6" s="1"/>
  <c r="E2850" i="6" s="1"/>
  <c r="E2851" i="6" s="1"/>
  <c r="E2852" i="6" s="1"/>
  <c r="E2853" i="6" s="1"/>
  <c r="E2854" i="6" s="1"/>
  <c r="E2855" i="6" s="1"/>
  <c r="E2856" i="6" s="1"/>
  <c r="E2857" i="6" s="1"/>
  <c r="E2858" i="6" s="1"/>
  <c r="E2859" i="6" s="1"/>
  <c r="E2860" i="6" s="1"/>
  <c r="E2861" i="6" s="1"/>
  <c r="E2862" i="6" s="1"/>
  <c r="E2863" i="6" s="1"/>
  <c r="E2864" i="6" s="1"/>
  <c r="E2865" i="6" s="1"/>
  <c r="E2866" i="6" s="1"/>
  <c r="E2867" i="6" s="1"/>
  <c r="E2868" i="6" s="1"/>
  <c r="E2869" i="6" s="1"/>
  <c r="E2870" i="6" s="1"/>
  <c r="E2871" i="6" s="1"/>
  <c r="E2872" i="6" s="1"/>
  <c r="E2873" i="6" s="1"/>
  <c r="E2874" i="6" s="1"/>
  <c r="E2875" i="6" s="1"/>
  <c r="E2876" i="6" s="1"/>
  <c r="E2877" i="6" s="1"/>
  <c r="E2878" i="6" s="1"/>
  <c r="E2879" i="6" s="1"/>
  <c r="E2880" i="6" s="1"/>
  <c r="E2881" i="6" s="1"/>
  <c r="E2882" i="6" s="1"/>
  <c r="E2883" i="6" s="1"/>
  <c r="E2884" i="6" s="1"/>
  <c r="E2885" i="6" s="1"/>
  <c r="E2886" i="6" s="1"/>
  <c r="E2887" i="6" s="1"/>
  <c r="E2888" i="6" s="1"/>
  <c r="E2889" i="6" s="1"/>
  <c r="E2890" i="6" s="1"/>
  <c r="E2891" i="6" s="1"/>
  <c r="E2892" i="6" s="1"/>
  <c r="E2893" i="6" s="1"/>
  <c r="E2894" i="6" s="1"/>
  <c r="E2895" i="6" s="1"/>
  <c r="E2896" i="6" s="1"/>
  <c r="E2897" i="6" s="1"/>
  <c r="E2898" i="6" s="1"/>
  <c r="E2899" i="6" s="1"/>
  <c r="E2900" i="6" s="1"/>
  <c r="E3346" i="6"/>
  <c r="E3347" i="6" s="1"/>
  <c r="E3348" i="6" s="1"/>
  <c r="E3349" i="6" s="1"/>
  <c r="E3350" i="6" s="1"/>
  <c r="E3351" i="6" s="1"/>
  <c r="E3352" i="6" s="1"/>
  <c r="E3353" i="6" s="1"/>
  <c r="E3354" i="6" s="1"/>
  <c r="E3355" i="6" s="1"/>
  <c r="E3356" i="6" s="1"/>
  <c r="E3357" i="6" s="1"/>
  <c r="E3358" i="6" s="1"/>
  <c r="E3359" i="6" s="1"/>
  <c r="E3360" i="6" s="1"/>
  <c r="E3361" i="6" s="1"/>
  <c r="E3362" i="6" s="1"/>
  <c r="E3363" i="6" s="1"/>
  <c r="E3364" i="6" s="1"/>
  <c r="E3365" i="6" s="1"/>
  <c r="E3366" i="6" s="1"/>
  <c r="E3367" i="6" s="1"/>
  <c r="E3368" i="6" s="1"/>
  <c r="E3369" i="6" s="1"/>
  <c r="E3370" i="6" s="1"/>
  <c r="E3371" i="6" s="1"/>
  <c r="E3372" i="6" s="1"/>
  <c r="E3373" i="6" s="1"/>
  <c r="E3374" i="6" s="1"/>
  <c r="E3375" i="6" s="1"/>
  <c r="E3376" i="6" s="1"/>
  <c r="E3377" i="6" s="1"/>
  <c r="E3378" i="6" s="1"/>
  <c r="E3379" i="6" s="1"/>
  <c r="E3380" i="6" s="1"/>
  <c r="E3381" i="6" s="1"/>
  <c r="E3382" i="6" s="1"/>
  <c r="E3383" i="6" s="1"/>
  <c r="E3384" i="6" s="1"/>
  <c r="E3385" i="6" s="1"/>
  <c r="E3386" i="6" s="1"/>
  <c r="E3387" i="6" s="1"/>
  <c r="E3388" i="6" s="1"/>
  <c r="E3389" i="6" s="1"/>
  <c r="E3390" i="6" s="1"/>
  <c r="E3391" i="6" s="1"/>
  <c r="E3392" i="6" s="1"/>
  <c r="E3393" i="6" s="1"/>
  <c r="E3394" i="6" s="1"/>
  <c r="E3395" i="6" s="1"/>
  <c r="E3396" i="6" s="1"/>
  <c r="E3397" i="6" s="1"/>
  <c r="E3398" i="6" s="1"/>
  <c r="E3399" i="6" s="1"/>
  <c r="E3400" i="6" s="1"/>
  <c r="E3401" i="6" s="1"/>
  <c r="E3402" i="6" s="1"/>
  <c r="E3403" i="6" s="1"/>
  <c r="E3404" i="6" s="1"/>
  <c r="E3850" i="6"/>
  <c r="E3851" i="6" s="1"/>
  <c r="E3852" i="6" s="1"/>
  <c r="E3853" i="6" s="1"/>
  <c r="E3854" i="6" s="1"/>
  <c r="E3855" i="6" s="1"/>
  <c r="E3856" i="6" s="1"/>
  <c r="E3857" i="6" s="1"/>
  <c r="E3858" i="6" s="1"/>
  <c r="E3859" i="6" s="1"/>
  <c r="E3860" i="6" s="1"/>
  <c r="E3861" i="6" s="1"/>
  <c r="E3862" i="6" s="1"/>
  <c r="E3863" i="6" s="1"/>
  <c r="E3864" i="6" s="1"/>
  <c r="E3865" i="6" s="1"/>
  <c r="E3866" i="6" s="1"/>
  <c r="E3867" i="6" s="1"/>
  <c r="E3868" i="6" s="1"/>
  <c r="E3869" i="6" s="1"/>
  <c r="E3870" i="6" s="1"/>
  <c r="E3871" i="6" s="1"/>
  <c r="E3872" i="6" s="1"/>
  <c r="E3873" i="6" s="1"/>
  <c r="E3874" i="6" s="1"/>
  <c r="E3875" i="6" s="1"/>
  <c r="E3876" i="6" s="1"/>
  <c r="E3877" i="6" s="1"/>
  <c r="E3878" i="6" s="1"/>
  <c r="E3879" i="6" s="1"/>
  <c r="E3880" i="6" s="1"/>
  <c r="E3881" i="6" s="1"/>
  <c r="E3882" i="6" s="1"/>
  <c r="E3883" i="6" s="1"/>
  <c r="E3884" i="6" s="1"/>
  <c r="E3885" i="6" s="1"/>
  <c r="E3886" i="6" s="1"/>
  <c r="E3887" i="6" s="1"/>
  <c r="E3888" i="6" s="1"/>
  <c r="E3889" i="6" s="1"/>
  <c r="E3890" i="6" s="1"/>
  <c r="E3891" i="6" s="1"/>
  <c r="E3892" i="6" s="1"/>
  <c r="E3893" i="6" s="1"/>
  <c r="E3894" i="6" s="1"/>
  <c r="E3895" i="6" s="1"/>
  <c r="E3896" i="6" s="1"/>
  <c r="E3897" i="6" s="1"/>
  <c r="E3898" i="6" s="1"/>
  <c r="E3899" i="6" s="1"/>
  <c r="E3900" i="6" s="1"/>
  <c r="E3901" i="6" s="1"/>
  <c r="E3902" i="6" s="1"/>
  <c r="E3903" i="6" s="1"/>
  <c r="E3904" i="6" s="1"/>
  <c r="E3905" i="6" s="1"/>
  <c r="E3906" i="6" s="1"/>
  <c r="E3907" i="6" s="1"/>
  <c r="E3908" i="6" s="1"/>
  <c r="E4417" i="6"/>
  <c r="E4418" i="6" s="1"/>
  <c r="E4419" i="6" s="1"/>
  <c r="E4420" i="6" s="1"/>
  <c r="E4421" i="6" s="1"/>
  <c r="E4422" i="6" s="1"/>
  <c r="E4423" i="6" s="1"/>
  <c r="E4424" i="6" s="1"/>
  <c r="E4425" i="6" s="1"/>
  <c r="E4426" i="6" s="1"/>
  <c r="E4427" i="6" s="1"/>
  <c r="E4428" i="6" s="1"/>
  <c r="E4429" i="6" s="1"/>
  <c r="E4430" i="6" s="1"/>
  <c r="E4431" i="6" s="1"/>
  <c r="E4432" i="6" s="1"/>
  <c r="E4433" i="6" s="1"/>
  <c r="E4434" i="6" s="1"/>
  <c r="E4435" i="6" s="1"/>
  <c r="E4436" i="6" s="1"/>
  <c r="E4437" i="6" s="1"/>
  <c r="E4438" i="6" s="1"/>
  <c r="E4439" i="6" s="1"/>
  <c r="E4440" i="6" s="1"/>
  <c r="E4441" i="6" s="1"/>
  <c r="E4442" i="6" s="1"/>
  <c r="E4443" i="6" s="1"/>
  <c r="E4444" i="6" s="1"/>
  <c r="E4445" i="6" s="1"/>
  <c r="E4446" i="6" s="1"/>
  <c r="E4447" i="6" s="1"/>
  <c r="E4448" i="6" s="1"/>
  <c r="E4449" i="6" s="1"/>
  <c r="E4450" i="6" s="1"/>
  <c r="E4451" i="6" s="1"/>
  <c r="E4452" i="6" s="1"/>
  <c r="E4453" i="6" s="1"/>
  <c r="E4454" i="6" s="1"/>
  <c r="E4455" i="6" s="1"/>
  <c r="E4456" i="6" s="1"/>
  <c r="E4457" i="6" s="1"/>
  <c r="E4458" i="6" s="1"/>
  <c r="E4459" i="6" s="1"/>
  <c r="E4460" i="6" s="1"/>
  <c r="E4461" i="6" s="1"/>
  <c r="E4462" i="6" s="1"/>
  <c r="E4463" i="6" s="1"/>
  <c r="E4464" i="6" s="1"/>
  <c r="E4465" i="6" s="1"/>
  <c r="E4466" i="6" s="1"/>
  <c r="E4467" i="6" s="1"/>
  <c r="E4468" i="6" s="1"/>
  <c r="E4469" i="6" s="1"/>
  <c r="E4470" i="6" s="1"/>
  <c r="E4471" i="6" s="1"/>
  <c r="E4472" i="6" s="1"/>
  <c r="E4473" i="6" s="1"/>
  <c r="E4474" i="6" s="1"/>
  <c r="E4475" i="6" s="1"/>
  <c r="E6181" i="6"/>
  <c r="E6182" i="6" s="1"/>
  <c r="E6183" i="6" s="1"/>
  <c r="E6184" i="6" s="1"/>
  <c r="E6185" i="6" s="1"/>
  <c r="E6186" i="6" s="1"/>
  <c r="E6187" i="6" s="1"/>
  <c r="E6188" i="6" s="1"/>
  <c r="E6189" i="6" s="1"/>
  <c r="E6190" i="6" s="1"/>
  <c r="E6191" i="6" s="1"/>
  <c r="E6192" i="6" s="1"/>
  <c r="E6193" i="6" s="1"/>
  <c r="E6194" i="6" s="1"/>
  <c r="E6195" i="6" s="1"/>
  <c r="E6196" i="6" s="1"/>
  <c r="E6197" i="6" s="1"/>
  <c r="E6198" i="6" s="1"/>
  <c r="E6199" i="6" s="1"/>
  <c r="E6200" i="6" s="1"/>
  <c r="E6201" i="6" s="1"/>
  <c r="E6202" i="6" s="1"/>
  <c r="E6203" i="6" s="1"/>
  <c r="E6204" i="6" s="1"/>
  <c r="E6205" i="6" s="1"/>
  <c r="E6206" i="6" s="1"/>
  <c r="E6207" i="6" s="1"/>
  <c r="E6208" i="6" s="1"/>
  <c r="E6209" i="6" s="1"/>
  <c r="E6210" i="6" s="1"/>
  <c r="E6211" i="6" s="1"/>
  <c r="E6212" i="6" s="1"/>
  <c r="E6213" i="6" s="1"/>
  <c r="E6214" i="6" s="1"/>
  <c r="E6215" i="6" s="1"/>
  <c r="E6216" i="6" s="1"/>
  <c r="E6217" i="6" s="1"/>
  <c r="E6218" i="6" s="1"/>
  <c r="E6219" i="6" s="1"/>
  <c r="E6220" i="6" s="1"/>
  <c r="E6221" i="6" s="1"/>
  <c r="E6222" i="6" s="1"/>
  <c r="E6223" i="6" s="1"/>
  <c r="E6224" i="6" s="1"/>
  <c r="E6225" i="6" s="1"/>
  <c r="E6226" i="6" s="1"/>
  <c r="E6227" i="6" s="1"/>
  <c r="E6228" i="6" s="1"/>
  <c r="E6229" i="6" s="1"/>
  <c r="E6230" i="6" s="1"/>
  <c r="E6231" i="6" s="1"/>
  <c r="E6232" i="6" s="1"/>
  <c r="E6233" i="6" s="1"/>
  <c r="E6234" i="6" s="1"/>
  <c r="E6235" i="6" s="1"/>
  <c r="E6236" i="6" s="1"/>
  <c r="E6237" i="6" s="1"/>
  <c r="E6238" i="6" s="1"/>
  <c r="E6239" i="6" s="1"/>
  <c r="E7378" i="6"/>
  <c r="E7379" i="6" s="1"/>
  <c r="E7380" i="6" s="1"/>
  <c r="E7381" i="6" s="1"/>
  <c r="E7382" i="6" s="1"/>
  <c r="E7383" i="6" s="1"/>
  <c r="E7384" i="6" s="1"/>
  <c r="E7385" i="6" s="1"/>
  <c r="E7386" i="6" s="1"/>
  <c r="E7387" i="6" s="1"/>
  <c r="E7388" i="6" s="1"/>
  <c r="E7389" i="6" s="1"/>
  <c r="E7390" i="6" s="1"/>
  <c r="E7391" i="6" s="1"/>
  <c r="E7392" i="6" s="1"/>
  <c r="E7393" i="6" s="1"/>
  <c r="E7394" i="6" s="1"/>
  <c r="E7395" i="6" s="1"/>
  <c r="E7396" i="6" s="1"/>
  <c r="E7397" i="6" s="1"/>
  <c r="E7398" i="6" s="1"/>
  <c r="E7399" i="6" s="1"/>
  <c r="E7400" i="6" s="1"/>
  <c r="E7401" i="6" s="1"/>
  <c r="E7402" i="6" s="1"/>
  <c r="E7403" i="6" s="1"/>
  <c r="E7404" i="6" s="1"/>
  <c r="E7405" i="6" s="1"/>
  <c r="E7406" i="6" s="1"/>
  <c r="E7407" i="6" s="1"/>
  <c r="E7408" i="6" s="1"/>
  <c r="E7409" i="6" s="1"/>
  <c r="E7410" i="6" s="1"/>
  <c r="E7411" i="6" s="1"/>
  <c r="E7412" i="6" s="1"/>
  <c r="E7413" i="6" s="1"/>
  <c r="E7414" i="6" s="1"/>
  <c r="E7415" i="6" s="1"/>
  <c r="E7416" i="6" s="1"/>
  <c r="E7417" i="6" s="1"/>
  <c r="E7418" i="6" s="1"/>
  <c r="E7419" i="6" s="1"/>
  <c r="E7420" i="6" s="1"/>
  <c r="E7421" i="6" s="1"/>
  <c r="E7422" i="6" s="1"/>
  <c r="E7423" i="6" s="1"/>
  <c r="E7424" i="6" s="1"/>
  <c r="E7425" i="6" s="1"/>
  <c r="E7426" i="6" s="1"/>
  <c r="E7427" i="6" s="1"/>
  <c r="E7428" i="6" s="1"/>
  <c r="E7429" i="6" s="1"/>
  <c r="E7430" i="6" s="1"/>
  <c r="E7431" i="6" s="1"/>
  <c r="E7432" i="6" s="1"/>
  <c r="E7433" i="6" s="1"/>
  <c r="E7434" i="6" s="1"/>
  <c r="E7435" i="6" s="1"/>
  <c r="E7436" i="6" s="1"/>
  <c r="E7942" i="6"/>
  <c r="E7943" i="6" s="1"/>
  <c r="E7944" i="6" s="1"/>
  <c r="E7945" i="6" s="1"/>
  <c r="E7946" i="6" s="1"/>
  <c r="E7947" i="6" s="1"/>
  <c r="E7948" i="6" s="1"/>
  <c r="E7949" i="6" s="1"/>
  <c r="E7950" i="6" s="1"/>
  <c r="E7951" i="6" s="1"/>
  <c r="E7952" i="6" s="1"/>
  <c r="E7953" i="6" s="1"/>
  <c r="E7954" i="6" s="1"/>
  <c r="E7955" i="6" s="1"/>
  <c r="E7956" i="6" s="1"/>
  <c r="E7957" i="6" s="1"/>
  <c r="E7958" i="6" s="1"/>
  <c r="E7959" i="6" s="1"/>
  <c r="E7960" i="6" s="1"/>
  <c r="E7961" i="6" s="1"/>
  <c r="E7962" i="6" s="1"/>
  <c r="E7963" i="6" s="1"/>
  <c r="E7964" i="6" s="1"/>
  <c r="E7965" i="6" s="1"/>
  <c r="E7966" i="6" s="1"/>
  <c r="E7967" i="6" s="1"/>
  <c r="E7968" i="6" s="1"/>
  <c r="E7969" i="6" s="1"/>
  <c r="E7970" i="6" s="1"/>
  <c r="E7971" i="6" s="1"/>
  <c r="E7972" i="6" s="1"/>
  <c r="E7973" i="6" s="1"/>
  <c r="E7974" i="6" s="1"/>
  <c r="E7975" i="6" s="1"/>
  <c r="E7976" i="6" s="1"/>
  <c r="E7977" i="6" s="1"/>
  <c r="E7978" i="6" s="1"/>
  <c r="E7979" i="6" s="1"/>
  <c r="E7980" i="6" s="1"/>
  <c r="E7981" i="6" s="1"/>
  <c r="E7982" i="6" s="1"/>
  <c r="E7983" i="6" s="1"/>
  <c r="E7984" i="6" s="1"/>
  <c r="E7985" i="6" s="1"/>
  <c r="E7986" i="6" s="1"/>
  <c r="E7987" i="6" s="1"/>
  <c r="E7988" i="6" s="1"/>
  <c r="E7989" i="6" s="1"/>
  <c r="E7990" i="6" s="1"/>
  <c r="E7991" i="6" s="1"/>
  <c r="E7992" i="6" s="1"/>
  <c r="E7993" i="6" s="1"/>
  <c r="E7994" i="6" s="1"/>
  <c r="E7995" i="6" s="1"/>
  <c r="E7996" i="6" s="1"/>
  <c r="E7997" i="6" s="1"/>
  <c r="E7998" i="6" s="1"/>
  <c r="E7999" i="6" s="1"/>
  <c r="E8000" i="6" s="1"/>
  <c r="E2338" i="6"/>
  <c r="E2339" i="6" s="1"/>
  <c r="E2340" i="6" s="1"/>
  <c r="E2341" i="6" s="1"/>
  <c r="E2342" i="6" s="1"/>
  <c r="E2343" i="6" s="1"/>
  <c r="E2344" i="6" s="1"/>
  <c r="E2345" i="6" s="1"/>
  <c r="E2346" i="6" s="1"/>
  <c r="E2347" i="6" s="1"/>
  <c r="E2348" i="6" s="1"/>
  <c r="E2349" i="6" s="1"/>
  <c r="E2350" i="6" s="1"/>
  <c r="E2351" i="6" s="1"/>
  <c r="E2352" i="6" s="1"/>
  <c r="E2353" i="6" s="1"/>
  <c r="E2354" i="6" s="1"/>
  <c r="E2355" i="6" s="1"/>
  <c r="E2356" i="6" s="1"/>
  <c r="E2357" i="6" s="1"/>
  <c r="E2358" i="6" s="1"/>
  <c r="E2359" i="6" s="1"/>
  <c r="E2360" i="6" s="1"/>
  <c r="E2361" i="6" s="1"/>
  <c r="E2362" i="6" s="1"/>
  <c r="E2363" i="6" s="1"/>
  <c r="E2364" i="6" s="1"/>
  <c r="E2365" i="6" s="1"/>
  <c r="E2366" i="6" s="1"/>
  <c r="E2367" i="6" s="1"/>
  <c r="E2368" i="6" s="1"/>
  <c r="E2369" i="6" s="1"/>
  <c r="E2370" i="6" s="1"/>
  <c r="E2371" i="6" s="1"/>
  <c r="E2372" i="6" s="1"/>
  <c r="E2373" i="6" s="1"/>
  <c r="E2374" i="6" s="1"/>
  <c r="E2375" i="6" s="1"/>
  <c r="E2376" i="6" s="1"/>
  <c r="E2377" i="6" s="1"/>
  <c r="E2378" i="6" s="1"/>
  <c r="E2379" i="6" s="1"/>
  <c r="E2380" i="6" s="1"/>
  <c r="E2381" i="6" s="1"/>
  <c r="E2382" i="6" s="1"/>
  <c r="E2383" i="6" s="1"/>
  <c r="E2384" i="6" s="1"/>
  <c r="E2385" i="6" s="1"/>
  <c r="E2386" i="6" s="1"/>
  <c r="E2387" i="6" s="1"/>
  <c r="E2388" i="6" s="1"/>
  <c r="E2389" i="6" s="1"/>
  <c r="E2390" i="6" s="1"/>
  <c r="E2391" i="6" s="1"/>
  <c r="E2392" i="6" s="1"/>
  <c r="E2393" i="6" s="1"/>
  <c r="E2394" i="6" s="1"/>
  <c r="E2395" i="6" s="1"/>
  <c r="E2396" i="6" s="1"/>
  <c r="E262" i="6"/>
  <c r="E263" i="6" s="1"/>
  <c r="E264" i="6" s="1"/>
  <c r="E265" i="6" s="1"/>
  <c r="E266" i="6" s="1"/>
  <c r="E267" i="6" s="1"/>
  <c r="E268" i="6" s="1"/>
  <c r="E269" i="6" s="1"/>
  <c r="E270" i="6" s="1"/>
  <c r="E271" i="6" s="1"/>
  <c r="E272" i="6" s="1"/>
  <c r="E273" i="6" s="1"/>
  <c r="E274" i="6" s="1"/>
  <c r="E275" i="6" s="1"/>
  <c r="E276" i="6" s="1"/>
  <c r="E277" i="6" s="1"/>
  <c r="E278" i="6" s="1"/>
  <c r="E279" i="6" s="1"/>
  <c r="E280" i="6" s="1"/>
  <c r="E281" i="6" s="1"/>
  <c r="E282" i="6" s="1"/>
  <c r="E283" i="6" s="1"/>
  <c r="E284" i="6" s="1"/>
  <c r="E285" i="6" s="1"/>
  <c r="E286" i="6" s="1"/>
  <c r="E287" i="6" s="1"/>
  <c r="E288" i="6" s="1"/>
  <c r="E289" i="6" s="1"/>
  <c r="E290" i="6" s="1"/>
  <c r="E291" i="6" s="1"/>
  <c r="E292" i="6" s="1"/>
  <c r="E293" i="6" s="1"/>
  <c r="E294" i="6" s="1"/>
  <c r="E295" i="6" s="1"/>
  <c r="E296" i="6" s="1"/>
  <c r="E297" i="6" s="1"/>
  <c r="E298" i="6" s="1"/>
  <c r="E299" i="6" s="1"/>
  <c r="E300" i="6" s="1"/>
  <c r="E301" i="6" s="1"/>
  <c r="E302" i="6" s="1"/>
  <c r="E303" i="6" s="1"/>
  <c r="E304" i="6" s="1"/>
  <c r="E305" i="6" s="1"/>
  <c r="E306" i="6" s="1"/>
  <c r="E307" i="6" s="1"/>
  <c r="E308" i="6" s="1"/>
  <c r="E309" i="6" s="1"/>
  <c r="E310" i="6" s="1"/>
  <c r="E311" i="6" s="1"/>
  <c r="E312" i="6" s="1"/>
  <c r="E313" i="6" s="1"/>
  <c r="E314" i="6" s="1"/>
  <c r="E315" i="6" s="1"/>
  <c r="E316" i="6" s="1"/>
  <c r="E317" i="6" s="1"/>
  <c r="E318" i="6" s="1"/>
  <c r="E319" i="6" s="1"/>
  <c r="E320" i="6" s="1"/>
  <c r="E1267" i="6"/>
  <c r="E1268" i="6" s="1"/>
  <c r="E1269" i="6" s="1"/>
  <c r="E1270" i="6" s="1"/>
  <c r="E1271" i="6" s="1"/>
  <c r="E1272" i="6" s="1"/>
  <c r="E1273" i="6" s="1"/>
  <c r="E1274" i="6" s="1"/>
  <c r="E1275" i="6" s="1"/>
  <c r="E1276" i="6" s="1"/>
  <c r="E1277" i="6" s="1"/>
  <c r="E1278" i="6" s="1"/>
  <c r="E1279" i="6" s="1"/>
  <c r="E1280" i="6" s="1"/>
  <c r="E1281" i="6" s="1"/>
  <c r="E1282" i="6" s="1"/>
  <c r="E1283" i="6" s="1"/>
  <c r="E1284" i="6" s="1"/>
  <c r="E1285" i="6" s="1"/>
  <c r="E1286" i="6" s="1"/>
  <c r="E1287" i="6" s="1"/>
  <c r="E1288" i="6" s="1"/>
  <c r="E1289" i="6" s="1"/>
  <c r="E1290" i="6" s="1"/>
  <c r="E1291" i="6" s="1"/>
  <c r="E1292" i="6" s="1"/>
  <c r="E1293" i="6" s="1"/>
  <c r="E1294" i="6" s="1"/>
  <c r="E1295" i="6" s="1"/>
  <c r="E1296" i="6" s="1"/>
  <c r="E1297" i="6" s="1"/>
  <c r="E1298" i="6" s="1"/>
  <c r="E1299" i="6" s="1"/>
  <c r="E1300" i="6" s="1"/>
  <c r="E1301" i="6" s="1"/>
  <c r="E1302" i="6" s="1"/>
  <c r="E1303" i="6" s="1"/>
  <c r="E1304" i="6" s="1"/>
  <c r="E1305" i="6" s="1"/>
  <c r="E1306" i="6" s="1"/>
  <c r="E1307" i="6" s="1"/>
  <c r="E1308" i="6" s="1"/>
  <c r="E1309" i="6" s="1"/>
  <c r="E1310" i="6" s="1"/>
  <c r="E1311" i="6" s="1"/>
  <c r="E1312" i="6" s="1"/>
  <c r="E1313" i="6" s="1"/>
  <c r="E1314" i="6" s="1"/>
  <c r="E1315" i="6" s="1"/>
  <c r="E1316" i="6" s="1"/>
  <c r="E1317" i="6" s="1"/>
  <c r="E1318" i="6" s="1"/>
  <c r="E1319" i="6" s="1"/>
  <c r="E1320" i="6" s="1"/>
  <c r="E1321" i="6" s="1"/>
  <c r="E1322" i="6" s="1"/>
  <c r="E1323" i="6" s="1"/>
  <c r="E1324" i="6" s="1"/>
  <c r="E1325" i="6" s="1"/>
  <c r="E2275" i="6"/>
  <c r="E2276" i="6" s="1"/>
  <c r="E2277" i="6" s="1"/>
  <c r="E2278" i="6" s="1"/>
  <c r="E2279" i="6" s="1"/>
  <c r="E2280" i="6" s="1"/>
  <c r="E2281" i="6" s="1"/>
  <c r="E2282" i="6" s="1"/>
  <c r="E2283" i="6" s="1"/>
  <c r="E2284" i="6" s="1"/>
  <c r="E2285" i="6" s="1"/>
  <c r="E2286" i="6" s="1"/>
  <c r="E2287" i="6" s="1"/>
  <c r="E2288" i="6" s="1"/>
  <c r="E2289" i="6" s="1"/>
  <c r="E2290" i="6" s="1"/>
  <c r="E2291" i="6" s="1"/>
  <c r="E2292" i="6" s="1"/>
  <c r="E2293" i="6" s="1"/>
  <c r="E2294" i="6" s="1"/>
  <c r="E2295" i="6" s="1"/>
  <c r="E2296" i="6" s="1"/>
  <c r="E2297" i="6" s="1"/>
  <c r="E2298" i="6" s="1"/>
  <c r="E2299" i="6" s="1"/>
  <c r="E2300" i="6" s="1"/>
  <c r="E2301" i="6" s="1"/>
  <c r="E2302" i="6" s="1"/>
  <c r="E2303" i="6" s="1"/>
  <c r="E2304" i="6" s="1"/>
  <c r="E2305" i="6" s="1"/>
  <c r="E2306" i="6" s="1"/>
  <c r="E2307" i="6" s="1"/>
  <c r="E2308" i="6" s="1"/>
  <c r="E2309" i="6" s="1"/>
  <c r="E2310" i="6" s="1"/>
  <c r="E2311" i="6" s="1"/>
  <c r="E2312" i="6" s="1"/>
  <c r="E2313" i="6" s="1"/>
  <c r="E2314" i="6" s="1"/>
  <c r="E2315" i="6" s="1"/>
  <c r="E2316" i="6" s="1"/>
  <c r="E2317" i="6" s="1"/>
  <c r="E2318" i="6" s="1"/>
  <c r="E2319" i="6" s="1"/>
  <c r="E2320" i="6" s="1"/>
  <c r="E2321" i="6" s="1"/>
  <c r="E2322" i="6" s="1"/>
  <c r="E2323" i="6" s="1"/>
  <c r="E2324" i="6" s="1"/>
  <c r="E2325" i="6" s="1"/>
  <c r="E2326" i="6" s="1"/>
  <c r="E2327" i="6" s="1"/>
  <c r="E2328" i="6" s="1"/>
  <c r="E2329" i="6" s="1"/>
  <c r="E2330" i="6" s="1"/>
  <c r="E2331" i="6" s="1"/>
  <c r="E2332" i="6" s="1"/>
  <c r="E2333" i="6" s="1"/>
  <c r="E3409" i="6"/>
  <c r="E3410" i="6" s="1"/>
  <c r="E3411" i="6" s="1"/>
  <c r="E3412" i="6" s="1"/>
  <c r="E3413" i="6" s="1"/>
  <c r="E3414" i="6" s="1"/>
  <c r="E3415" i="6" s="1"/>
  <c r="E3416" i="6" s="1"/>
  <c r="E3417" i="6" s="1"/>
  <c r="E3418" i="6" s="1"/>
  <c r="E3419" i="6" s="1"/>
  <c r="E3420" i="6" s="1"/>
  <c r="E3421" i="6" s="1"/>
  <c r="E3422" i="6" s="1"/>
  <c r="E3423" i="6" s="1"/>
  <c r="E3424" i="6" s="1"/>
  <c r="E3425" i="6" s="1"/>
  <c r="E3426" i="6" s="1"/>
  <c r="E3427" i="6" s="1"/>
  <c r="E3428" i="6" s="1"/>
  <c r="E3429" i="6" s="1"/>
  <c r="E3430" i="6" s="1"/>
  <c r="E3431" i="6" s="1"/>
  <c r="E3432" i="6" s="1"/>
  <c r="E3433" i="6" s="1"/>
  <c r="E3434" i="6" s="1"/>
  <c r="E3435" i="6" s="1"/>
  <c r="E3436" i="6" s="1"/>
  <c r="E3437" i="6" s="1"/>
  <c r="E3438" i="6" s="1"/>
  <c r="E3439" i="6" s="1"/>
  <c r="E3440" i="6" s="1"/>
  <c r="E3441" i="6" s="1"/>
  <c r="E3442" i="6" s="1"/>
  <c r="E3443" i="6" s="1"/>
  <c r="E3444" i="6" s="1"/>
  <c r="E3445" i="6" s="1"/>
  <c r="E3446" i="6" s="1"/>
  <c r="E3447" i="6" s="1"/>
  <c r="E3448" i="6" s="1"/>
  <c r="E3449" i="6" s="1"/>
  <c r="E3450" i="6" s="1"/>
  <c r="E3451" i="6" s="1"/>
  <c r="E3452" i="6" s="1"/>
  <c r="E3453" i="6" s="1"/>
  <c r="E3454" i="6" s="1"/>
  <c r="E3455" i="6" s="1"/>
  <c r="E3456" i="6" s="1"/>
  <c r="E3457" i="6" s="1"/>
  <c r="E3458" i="6" s="1"/>
  <c r="E3459" i="6" s="1"/>
  <c r="E3460" i="6" s="1"/>
  <c r="E3461" i="6" s="1"/>
  <c r="E3462" i="6" s="1"/>
  <c r="E3463" i="6" s="1"/>
  <c r="E3464" i="6" s="1"/>
  <c r="E3465" i="6" s="1"/>
  <c r="E3466" i="6" s="1"/>
  <c r="E3467" i="6" s="1"/>
  <c r="E3913" i="6"/>
  <c r="E3914" i="6" s="1"/>
  <c r="E3915" i="6" s="1"/>
  <c r="E3916" i="6" s="1"/>
  <c r="E3917" i="6" s="1"/>
  <c r="E3918" i="6" s="1"/>
  <c r="E3919" i="6" s="1"/>
  <c r="E3920" i="6" s="1"/>
  <c r="E3921" i="6" s="1"/>
  <c r="E3922" i="6" s="1"/>
  <c r="E3923" i="6" s="1"/>
  <c r="E3924" i="6" s="1"/>
  <c r="E3925" i="6" s="1"/>
  <c r="E3926" i="6" s="1"/>
  <c r="E3927" i="6" s="1"/>
  <c r="E3928" i="6" s="1"/>
  <c r="E3929" i="6" s="1"/>
  <c r="E3930" i="6" s="1"/>
  <c r="E3931" i="6" s="1"/>
  <c r="E3932" i="6" s="1"/>
  <c r="E3933" i="6" s="1"/>
  <c r="E3934" i="6" s="1"/>
  <c r="E3935" i="6" s="1"/>
  <c r="E3936" i="6" s="1"/>
  <c r="E3937" i="6" s="1"/>
  <c r="E3938" i="6" s="1"/>
  <c r="E3939" i="6" s="1"/>
  <c r="E3940" i="6" s="1"/>
  <c r="E3941" i="6" s="1"/>
  <c r="E3942" i="6" s="1"/>
  <c r="E3943" i="6" s="1"/>
  <c r="E3944" i="6" s="1"/>
  <c r="E3945" i="6" s="1"/>
  <c r="E3946" i="6" s="1"/>
  <c r="E3947" i="6" s="1"/>
  <c r="E3948" i="6" s="1"/>
  <c r="E3949" i="6" s="1"/>
  <c r="E3950" i="6" s="1"/>
  <c r="E3951" i="6" s="1"/>
  <c r="E3952" i="6" s="1"/>
  <c r="E3953" i="6" s="1"/>
  <c r="E3954" i="6" s="1"/>
  <c r="E3955" i="6" s="1"/>
  <c r="E3956" i="6" s="1"/>
  <c r="E3957" i="6" s="1"/>
  <c r="E3958" i="6" s="1"/>
  <c r="E3959" i="6" s="1"/>
  <c r="E3960" i="6" s="1"/>
  <c r="E3961" i="6" s="1"/>
  <c r="E3962" i="6" s="1"/>
  <c r="E3963" i="6" s="1"/>
  <c r="E3964" i="6" s="1"/>
  <c r="E3965" i="6" s="1"/>
  <c r="E3966" i="6" s="1"/>
  <c r="E3967" i="6" s="1"/>
  <c r="E3968" i="6" s="1"/>
  <c r="E3969" i="6" s="1"/>
  <c r="E3970" i="6" s="1"/>
  <c r="E3971" i="6" s="1"/>
  <c r="E5740" i="6"/>
  <c r="E5741" i="6" s="1"/>
  <c r="E5742" i="6" s="1"/>
  <c r="E5743" i="6" s="1"/>
  <c r="E5744" i="6" s="1"/>
  <c r="E5745" i="6" s="1"/>
  <c r="E5746" i="6" s="1"/>
  <c r="E5747" i="6" s="1"/>
  <c r="E5748" i="6" s="1"/>
  <c r="E5749" i="6" s="1"/>
  <c r="E5750" i="6" s="1"/>
  <c r="E5751" i="6" s="1"/>
  <c r="E5752" i="6" s="1"/>
  <c r="E5753" i="6" s="1"/>
  <c r="E5754" i="6" s="1"/>
  <c r="E5755" i="6" s="1"/>
  <c r="E5756" i="6" s="1"/>
  <c r="E5757" i="6" s="1"/>
  <c r="E5758" i="6" s="1"/>
  <c r="E5759" i="6" s="1"/>
  <c r="E5760" i="6" s="1"/>
  <c r="E5761" i="6" s="1"/>
  <c r="E5762" i="6" s="1"/>
  <c r="E5763" i="6" s="1"/>
  <c r="E5764" i="6" s="1"/>
  <c r="E5765" i="6" s="1"/>
  <c r="E5766" i="6" s="1"/>
  <c r="E5767" i="6" s="1"/>
  <c r="E5768" i="6" s="1"/>
  <c r="E5769" i="6" s="1"/>
  <c r="E5770" i="6" s="1"/>
  <c r="E5771" i="6" s="1"/>
  <c r="E5772" i="6" s="1"/>
  <c r="E5773" i="6" s="1"/>
  <c r="E5774" i="6" s="1"/>
  <c r="E5775" i="6" s="1"/>
  <c r="E5776" i="6" s="1"/>
  <c r="E5777" i="6" s="1"/>
  <c r="E5778" i="6" s="1"/>
  <c r="E5779" i="6" s="1"/>
  <c r="E5780" i="6" s="1"/>
  <c r="E5781" i="6" s="1"/>
  <c r="E5782" i="6" s="1"/>
  <c r="E5783" i="6" s="1"/>
  <c r="E5784" i="6" s="1"/>
  <c r="E5785" i="6" s="1"/>
  <c r="E5786" i="6" s="1"/>
  <c r="E5787" i="6" s="1"/>
  <c r="E5788" i="6" s="1"/>
  <c r="E5789" i="6" s="1"/>
  <c r="E5790" i="6" s="1"/>
  <c r="E5791" i="6" s="1"/>
  <c r="E5792" i="6" s="1"/>
  <c r="E5793" i="6" s="1"/>
  <c r="E5794" i="6" s="1"/>
  <c r="E5795" i="6" s="1"/>
  <c r="E5796" i="6" s="1"/>
  <c r="E5797" i="6" s="1"/>
  <c r="E5798" i="6" s="1"/>
  <c r="E6244" i="6"/>
  <c r="E6245" i="6" s="1"/>
  <c r="E6246" i="6" s="1"/>
  <c r="E6247" i="6" s="1"/>
  <c r="E6248" i="6" s="1"/>
  <c r="E6249" i="6" s="1"/>
  <c r="E6250" i="6" s="1"/>
  <c r="E6251" i="6" s="1"/>
  <c r="E6252" i="6" s="1"/>
  <c r="E6253" i="6" s="1"/>
  <c r="E6254" i="6" s="1"/>
  <c r="E6255" i="6" s="1"/>
  <c r="E6256" i="6" s="1"/>
  <c r="E6257" i="6" s="1"/>
  <c r="E6258" i="6" s="1"/>
  <c r="E6259" i="6" s="1"/>
  <c r="E6260" i="6" s="1"/>
  <c r="E6261" i="6" s="1"/>
  <c r="E6262" i="6" s="1"/>
  <c r="E6263" i="6" s="1"/>
  <c r="E6264" i="6" s="1"/>
  <c r="E6265" i="6" s="1"/>
  <c r="E6266" i="6" s="1"/>
  <c r="E6267" i="6" s="1"/>
  <c r="E6268" i="6" s="1"/>
  <c r="E6269" i="6" s="1"/>
  <c r="E6270" i="6" s="1"/>
  <c r="E6271" i="6" s="1"/>
  <c r="E6272" i="6" s="1"/>
  <c r="E6273" i="6" s="1"/>
  <c r="E6274" i="6" s="1"/>
  <c r="E6275" i="6" s="1"/>
  <c r="E6276" i="6" s="1"/>
  <c r="E6277" i="6" s="1"/>
  <c r="E6278" i="6" s="1"/>
  <c r="E6279" i="6" s="1"/>
  <c r="E6280" i="6" s="1"/>
  <c r="E6281" i="6" s="1"/>
  <c r="E6282" i="6" s="1"/>
  <c r="E6283" i="6" s="1"/>
  <c r="E6284" i="6" s="1"/>
  <c r="E6285" i="6" s="1"/>
  <c r="E6286" i="6" s="1"/>
  <c r="E6287" i="6" s="1"/>
  <c r="E6288" i="6" s="1"/>
  <c r="E6289" i="6" s="1"/>
  <c r="E6290" i="6" s="1"/>
  <c r="E6291" i="6" s="1"/>
  <c r="E6292" i="6" s="1"/>
  <c r="E6293" i="6" s="1"/>
  <c r="E6294" i="6" s="1"/>
  <c r="E6295" i="6" s="1"/>
  <c r="E6296" i="6" s="1"/>
  <c r="E6297" i="6" s="1"/>
  <c r="E6298" i="6" s="1"/>
  <c r="E6299" i="6" s="1"/>
  <c r="E6300" i="6" s="1"/>
  <c r="E6301" i="6" s="1"/>
  <c r="E6302" i="6" s="1"/>
  <c r="E6748" i="6"/>
  <c r="E6749" i="6" s="1"/>
  <c r="E6750" i="6" s="1"/>
  <c r="E6751" i="6" s="1"/>
  <c r="E6752" i="6" s="1"/>
  <c r="E6753" i="6" s="1"/>
  <c r="E6754" i="6" s="1"/>
  <c r="E6755" i="6" s="1"/>
  <c r="E6756" i="6" s="1"/>
  <c r="E6757" i="6" s="1"/>
  <c r="E6758" i="6" s="1"/>
  <c r="E6759" i="6" s="1"/>
  <c r="E6760" i="6" s="1"/>
  <c r="E6761" i="6" s="1"/>
  <c r="E6762" i="6" s="1"/>
  <c r="E6763" i="6" s="1"/>
  <c r="E6764" i="6" s="1"/>
  <c r="E6765" i="6" s="1"/>
  <c r="E6766" i="6" s="1"/>
  <c r="E6767" i="6" s="1"/>
  <c r="E6768" i="6" s="1"/>
  <c r="E6769" i="6" s="1"/>
  <c r="E6770" i="6" s="1"/>
  <c r="E6771" i="6" s="1"/>
  <c r="E6772" i="6" s="1"/>
  <c r="E6773" i="6" s="1"/>
  <c r="E6774" i="6" s="1"/>
  <c r="E6775" i="6" s="1"/>
  <c r="E6776" i="6" s="1"/>
  <c r="E6777" i="6" s="1"/>
  <c r="E6778" i="6" s="1"/>
  <c r="E6779" i="6" s="1"/>
  <c r="E6780" i="6" s="1"/>
  <c r="E6781" i="6" s="1"/>
  <c r="E6782" i="6" s="1"/>
  <c r="E6783" i="6" s="1"/>
  <c r="E6784" i="6" s="1"/>
  <c r="E6785" i="6" s="1"/>
  <c r="E6786" i="6" s="1"/>
  <c r="E6787" i="6" s="1"/>
  <c r="E6788" i="6" s="1"/>
  <c r="E6789" i="6" s="1"/>
  <c r="E6790" i="6" s="1"/>
  <c r="E6791" i="6" s="1"/>
  <c r="E6792" i="6" s="1"/>
  <c r="E6793" i="6" s="1"/>
  <c r="E6794" i="6" s="1"/>
  <c r="E6795" i="6" s="1"/>
  <c r="E6796" i="6" s="1"/>
  <c r="E6797" i="6" s="1"/>
  <c r="E6798" i="6" s="1"/>
  <c r="E6799" i="6" s="1"/>
  <c r="E6800" i="6" s="1"/>
  <c r="E6801" i="6" s="1"/>
  <c r="E6802" i="6" s="1"/>
  <c r="E6803" i="6" s="1"/>
  <c r="E6804" i="6" s="1"/>
  <c r="E6805" i="6" s="1"/>
  <c r="E6806" i="6" s="1"/>
  <c r="E7441" i="6"/>
  <c r="E7442" i="6" s="1"/>
  <c r="E7443" i="6" s="1"/>
  <c r="E7444" i="6" s="1"/>
  <c r="E7445" i="6" s="1"/>
  <c r="E7446" i="6" s="1"/>
  <c r="E7447" i="6" s="1"/>
  <c r="E7448" i="6" s="1"/>
  <c r="E7449" i="6" s="1"/>
  <c r="E7450" i="6" s="1"/>
  <c r="E7451" i="6" s="1"/>
  <c r="E7452" i="6" s="1"/>
  <c r="E7453" i="6" s="1"/>
  <c r="E7454" i="6" s="1"/>
  <c r="E7455" i="6" s="1"/>
  <c r="E7456" i="6" s="1"/>
  <c r="E7457" i="6" s="1"/>
  <c r="E7458" i="6" s="1"/>
  <c r="E7459" i="6" s="1"/>
  <c r="E7460" i="6" s="1"/>
  <c r="E7461" i="6" s="1"/>
  <c r="E7462" i="6" s="1"/>
  <c r="E7463" i="6" s="1"/>
  <c r="E7464" i="6" s="1"/>
  <c r="E7465" i="6" s="1"/>
  <c r="E7466" i="6" s="1"/>
  <c r="E7467" i="6" s="1"/>
  <c r="E7468" i="6" s="1"/>
  <c r="E7469" i="6" s="1"/>
  <c r="E7470" i="6" s="1"/>
  <c r="E7471" i="6" s="1"/>
  <c r="E7472" i="6" s="1"/>
  <c r="E7473" i="6" s="1"/>
  <c r="E7474" i="6" s="1"/>
  <c r="E7475" i="6" s="1"/>
  <c r="E7476" i="6" s="1"/>
  <c r="E7477" i="6" s="1"/>
  <c r="E7478" i="6" s="1"/>
  <c r="E7479" i="6" s="1"/>
  <c r="E7480" i="6" s="1"/>
  <c r="E7481" i="6" s="1"/>
  <c r="E7482" i="6" s="1"/>
  <c r="E7483" i="6" s="1"/>
  <c r="E7484" i="6" s="1"/>
  <c r="E7485" i="6" s="1"/>
  <c r="E7486" i="6" s="1"/>
  <c r="E7487" i="6" s="1"/>
  <c r="E7488" i="6" s="1"/>
  <c r="E7489" i="6" s="1"/>
  <c r="E7490" i="6" s="1"/>
  <c r="E7491" i="6" s="1"/>
  <c r="E7492" i="6" s="1"/>
  <c r="E7493" i="6" s="1"/>
  <c r="E7494" i="6" s="1"/>
  <c r="E7495" i="6" s="1"/>
  <c r="E7496" i="6" s="1"/>
  <c r="E7497" i="6" s="1"/>
  <c r="E7498" i="6" s="1"/>
  <c r="E7499" i="6" s="1"/>
  <c r="E322" i="6"/>
  <c r="E323" i="6" s="1"/>
  <c r="E324" i="6" s="1"/>
  <c r="E325" i="6" s="1"/>
  <c r="E326" i="6" s="1"/>
  <c r="E327" i="6" s="1"/>
  <c r="E328" i="6" s="1"/>
  <c r="E329" i="6" s="1"/>
  <c r="E330" i="6" s="1"/>
  <c r="E331" i="6" s="1"/>
  <c r="E332" i="6" s="1"/>
  <c r="E333" i="6" s="1"/>
  <c r="E334" i="6" s="1"/>
  <c r="E335" i="6" s="1"/>
  <c r="E336" i="6" s="1"/>
  <c r="E337" i="6" s="1"/>
  <c r="E338" i="6" s="1"/>
  <c r="E339" i="6" s="1"/>
  <c r="E340" i="6" s="1"/>
  <c r="E341" i="6" s="1"/>
  <c r="E342" i="6" s="1"/>
  <c r="E343" i="6" s="1"/>
  <c r="E344" i="6" s="1"/>
  <c r="E345" i="6" s="1"/>
  <c r="E346" i="6" s="1"/>
  <c r="E347" i="6" s="1"/>
  <c r="E348" i="6" s="1"/>
  <c r="E349" i="6" s="1"/>
  <c r="E350" i="6" s="1"/>
  <c r="E351" i="6" s="1"/>
  <c r="E352" i="6" s="1"/>
  <c r="E353" i="6" s="1"/>
  <c r="E354" i="6" s="1"/>
  <c r="E355" i="6" s="1"/>
  <c r="E356" i="6" s="1"/>
  <c r="E357" i="6" s="1"/>
  <c r="E358" i="6" s="1"/>
  <c r="E359" i="6" s="1"/>
  <c r="E360" i="6" s="1"/>
  <c r="E361" i="6" s="1"/>
  <c r="E362" i="6" s="1"/>
  <c r="E363" i="6" s="1"/>
  <c r="E364" i="6" s="1"/>
  <c r="E365" i="6" s="1"/>
  <c r="E366" i="6" s="1"/>
  <c r="E367" i="6" s="1"/>
  <c r="E368" i="6" s="1"/>
  <c r="E369" i="6" s="1"/>
  <c r="E370" i="6" s="1"/>
  <c r="E371" i="6" s="1"/>
  <c r="E372" i="6" s="1"/>
  <c r="E373" i="6" s="1"/>
  <c r="E374" i="6" s="1"/>
  <c r="E375" i="6" s="1"/>
  <c r="E376" i="6" s="1"/>
  <c r="E377" i="6" s="1"/>
  <c r="E378" i="6" s="1"/>
  <c r="E379" i="6" s="1"/>
  <c r="E380" i="6" s="1"/>
  <c r="E826" i="6"/>
  <c r="E827" i="6" s="1"/>
  <c r="E828" i="6" s="1"/>
  <c r="E829" i="6" s="1"/>
  <c r="E830" i="6" s="1"/>
  <c r="E831" i="6" s="1"/>
  <c r="E832" i="6" s="1"/>
  <c r="E833" i="6" s="1"/>
  <c r="E834" i="6" s="1"/>
  <c r="E835" i="6" s="1"/>
  <c r="E836" i="6" s="1"/>
  <c r="E837" i="6" s="1"/>
  <c r="E838" i="6" s="1"/>
  <c r="E839" i="6" s="1"/>
  <c r="E840" i="6" s="1"/>
  <c r="E841" i="6" s="1"/>
  <c r="E842" i="6" s="1"/>
  <c r="E843" i="6" s="1"/>
  <c r="E844" i="6" s="1"/>
  <c r="E845" i="6" s="1"/>
  <c r="E846" i="6" s="1"/>
  <c r="E847" i="6" s="1"/>
  <c r="E848" i="6" s="1"/>
  <c r="E849" i="6" s="1"/>
  <c r="E850" i="6" s="1"/>
  <c r="E851" i="6" s="1"/>
  <c r="E852" i="6" s="1"/>
  <c r="E853" i="6" s="1"/>
  <c r="E854" i="6" s="1"/>
  <c r="E855" i="6" s="1"/>
  <c r="E856" i="6" s="1"/>
  <c r="E857" i="6" s="1"/>
  <c r="E858" i="6" s="1"/>
  <c r="E859" i="6" s="1"/>
  <c r="E860" i="6" s="1"/>
  <c r="E861" i="6" s="1"/>
  <c r="E862" i="6" s="1"/>
  <c r="E863" i="6" s="1"/>
  <c r="E864" i="6" s="1"/>
  <c r="E865" i="6" s="1"/>
  <c r="E866" i="6" s="1"/>
  <c r="E867" i="6" s="1"/>
  <c r="E868" i="6" s="1"/>
  <c r="E869" i="6" s="1"/>
  <c r="E870" i="6" s="1"/>
  <c r="E871" i="6" s="1"/>
  <c r="E872" i="6" s="1"/>
  <c r="E873" i="6" s="1"/>
  <c r="E874" i="6" s="1"/>
  <c r="E875" i="6" s="1"/>
  <c r="E876" i="6" s="1"/>
  <c r="E877" i="6" s="1"/>
  <c r="E878" i="6" s="1"/>
  <c r="E879" i="6" s="1"/>
  <c r="E880" i="6" s="1"/>
  <c r="E881" i="6" s="1"/>
  <c r="E882" i="6" s="1"/>
  <c r="E883" i="6" s="1"/>
  <c r="E884" i="6" s="1"/>
  <c r="E1330" i="6"/>
  <c r="E1331" i="6" s="1"/>
  <c r="E1332" i="6" s="1"/>
  <c r="E1333" i="6" s="1"/>
  <c r="E1334" i="6" s="1"/>
  <c r="E1335" i="6" s="1"/>
  <c r="E1336" i="6" s="1"/>
  <c r="E1337" i="6" s="1"/>
  <c r="E1338" i="6" s="1"/>
  <c r="E1339" i="6" s="1"/>
  <c r="E1340" i="6" s="1"/>
  <c r="E1341" i="6" s="1"/>
  <c r="E1342" i="6" s="1"/>
  <c r="E1343" i="6" s="1"/>
  <c r="E1344" i="6" s="1"/>
  <c r="E1345" i="6" s="1"/>
  <c r="E1346" i="6" s="1"/>
  <c r="E1347" i="6" s="1"/>
  <c r="E1348" i="6" s="1"/>
  <c r="E1349" i="6" s="1"/>
  <c r="E1350" i="6" s="1"/>
  <c r="E1351" i="6" s="1"/>
  <c r="E1352" i="6" s="1"/>
  <c r="E1353" i="6" s="1"/>
  <c r="E1354" i="6" s="1"/>
  <c r="E1355" i="6" s="1"/>
  <c r="E1356" i="6" s="1"/>
  <c r="E1357" i="6" s="1"/>
  <c r="E1358" i="6" s="1"/>
  <c r="E1359" i="6" s="1"/>
  <c r="E1360" i="6" s="1"/>
  <c r="E1361" i="6" s="1"/>
  <c r="E1362" i="6" s="1"/>
  <c r="E1363" i="6" s="1"/>
  <c r="E1364" i="6" s="1"/>
  <c r="E1365" i="6" s="1"/>
  <c r="E1366" i="6" s="1"/>
  <c r="E1367" i="6" s="1"/>
  <c r="E1368" i="6" s="1"/>
  <c r="E1369" i="6" s="1"/>
  <c r="E1370" i="6" s="1"/>
  <c r="E1371" i="6" s="1"/>
  <c r="E1372" i="6" s="1"/>
  <c r="E1373" i="6" s="1"/>
  <c r="E1374" i="6" s="1"/>
  <c r="E1375" i="6" s="1"/>
  <c r="E1376" i="6" s="1"/>
  <c r="E1377" i="6" s="1"/>
  <c r="E1378" i="6" s="1"/>
  <c r="E1379" i="6" s="1"/>
  <c r="E1380" i="6" s="1"/>
  <c r="E1381" i="6" s="1"/>
  <c r="E1382" i="6" s="1"/>
  <c r="E1383" i="6" s="1"/>
  <c r="E1384" i="6" s="1"/>
  <c r="E1385" i="6" s="1"/>
  <c r="E1386" i="6" s="1"/>
  <c r="E1387" i="6" s="1"/>
  <c r="E1388" i="6" s="1"/>
  <c r="E1834" i="6"/>
  <c r="E1835" i="6" s="1"/>
  <c r="E1836" i="6" s="1"/>
  <c r="E1837" i="6" s="1"/>
  <c r="E1838" i="6" s="1"/>
  <c r="E1839" i="6" s="1"/>
  <c r="E1840" i="6" s="1"/>
  <c r="E1841" i="6" s="1"/>
  <c r="E1842" i="6" s="1"/>
  <c r="E1843" i="6" s="1"/>
  <c r="E1844" i="6" s="1"/>
  <c r="E1845" i="6" s="1"/>
  <c r="E1846" i="6" s="1"/>
  <c r="E1847" i="6" s="1"/>
  <c r="E1848" i="6" s="1"/>
  <c r="E1849" i="6" s="1"/>
  <c r="E1850" i="6" s="1"/>
  <c r="E1851" i="6" s="1"/>
  <c r="E1852" i="6" s="1"/>
  <c r="E1853" i="6" s="1"/>
  <c r="E1854" i="6" s="1"/>
  <c r="E1855" i="6" s="1"/>
  <c r="E1856" i="6" s="1"/>
  <c r="E1857" i="6" s="1"/>
  <c r="E1858" i="6" s="1"/>
  <c r="E1859" i="6" s="1"/>
  <c r="E1860" i="6" s="1"/>
  <c r="E1861" i="6" s="1"/>
  <c r="E1862" i="6" s="1"/>
  <c r="E1863" i="6" s="1"/>
  <c r="E1864" i="6" s="1"/>
  <c r="E1865" i="6" s="1"/>
  <c r="E1866" i="6" s="1"/>
  <c r="E1867" i="6" s="1"/>
  <c r="E1868" i="6" s="1"/>
  <c r="E1869" i="6" s="1"/>
  <c r="E1870" i="6" s="1"/>
  <c r="E1871" i="6" s="1"/>
  <c r="E1872" i="6" s="1"/>
  <c r="E1873" i="6" s="1"/>
  <c r="E1874" i="6" s="1"/>
  <c r="E1875" i="6" s="1"/>
  <c r="E1876" i="6" s="1"/>
  <c r="E1877" i="6" s="1"/>
  <c r="E1878" i="6" s="1"/>
  <c r="E1879" i="6" s="1"/>
  <c r="E1880" i="6" s="1"/>
  <c r="E1881" i="6" s="1"/>
  <c r="E1882" i="6" s="1"/>
  <c r="E1883" i="6" s="1"/>
  <c r="E1884" i="6" s="1"/>
  <c r="E1885" i="6" s="1"/>
  <c r="E1886" i="6" s="1"/>
  <c r="E1887" i="6" s="1"/>
  <c r="E1888" i="6" s="1"/>
  <c r="E1889" i="6" s="1"/>
  <c r="E1890" i="6" s="1"/>
  <c r="E1891" i="6" s="1"/>
  <c r="E1892" i="6" s="1"/>
  <c r="E2401" i="6"/>
  <c r="E2402" i="6" s="1"/>
  <c r="E2403" i="6" s="1"/>
  <c r="E2404" i="6" s="1"/>
  <c r="E2405" i="6" s="1"/>
  <c r="E2406" i="6" s="1"/>
  <c r="E2407" i="6" s="1"/>
  <c r="E2408" i="6" s="1"/>
  <c r="E2409" i="6" s="1"/>
  <c r="E2410" i="6" s="1"/>
  <c r="E2411" i="6" s="1"/>
  <c r="E2412" i="6" s="1"/>
  <c r="E2413" i="6" s="1"/>
  <c r="E2414" i="6" s="1"/>
  <c r="E2415" i="6" s="1"/>
  <c r="E2416" i="6" s="1"/>
  <c r="E2417" i="6" s="1"/>
  <c r="E2418" i="6" s="1"/>
  <c r="E2419" i="6" s="1"/>
  <c r="E2420" i="6" s="1"/>
  <c r="E2421" i="6" s="1"/>
  <c r="E2422" i="6" s="1"/>
  <c r="E2423" i="6" s="1"/>
  <c r="E2424" i="6" s="1"/>
  <c r="E2425" i="6" s="1"/>
  <c r="E2426" i="6" s="1"/>
  <c r="E2427" i="6" s="1"/>
  <c r="E2428" i="6" s="1"/>
  <c r="E2429" i="6" s="1"/>
  <c r="E2430" i="6" s="1"/>
  <c r="E2431" i="6" s="1"/>
  <c r="E2432" i="6" s="1"/>
  <c r="E2433" i="6" s="1"/>
  <c r="E2434" i="6" s="1"/>
  <c r="E2435" i="6" s="1"/>
  <c r="E2436" i="6" s="1"/>
  <c r="E2437" i="6" s="1"/>
  <c r="E2438" i="6" s="1"/>
  <c r="E2439" i="6" s="1"/>
  <c r="E2440" i="6" s="1"/>
  <c r="E2441" i="6" s="1"/>
  <c r="E2442" i="6" s="1"/>
  <c r="E2443" i="6" s="1"/>
  <c r="E2444" i="6" s="1"/>
  <c r="E2445" i="6" s="1"/>
  <c r="E2446" i="6" s="1"/>
  <c r="E2447" i="6" s="1"/>
  <c r="E2448" i="6" s="1"/>
  <c r="E2449" i="6" s="1"/>
  <c r="E2450" i="6" s="1"/>
  <c r="E2451" i="6" s="1"/>
  <c r="E2452" i="6" s="1"/>
  <c r="E2453" i="6" s="1"/>
  <c r="E2454" i="6" s="1"/>
  <c r="E2455" i="6" s="1"/>
  <c r="E2456" i="6" s="1"/>
  <c r="E2457" i="6" s="1"/>
  <c r="E2458" i="6" s="1"/>
  <c r="E2459" i="6" s="1"/>
  <c r="E4606" i="6"/>
  <c r="E4607" i="6" s="1"/>
  <c r="E4608" i="6" s="1"/>
  <c r="E4609" i="6" s="1"/>
  <c r="E4610" i="6" s="1"/>
  <c r="E4611" i="6" s="1"/>
  <c r="E4612" i="6" s="1"/>
  <c r="E4613" i="6" s="1"/>
  <c r="E4614" i="6" s="1"/>
  <c r="E4615" i="6" s="1"/>
  <c r="E4616" i="6" s="1"/>
  <c r="E4617" i="6" s="1"/>
  <c r="E4618" i="6" s="1"/>
  <c r="E4619" i="6" s="1"/>
  <c r="E4620" i="6" s="1"/>
  <c r="E4621" i="6" s="1"/>
  <c r="E4622" i="6" s="1"/>
  <c r="E4623" i="6" s="1"/>
  <c r="E4624" i="6" s="1"/>
  <c r="E4625" i="6" s="1"/>
  <c r="E4626" i="6" s="1"/>
  <c r="E4627" i="6" s="1"/>
  <c r="E4628" i="6" s="1"/>
  <c r="E4629" i="6" s="1"/>
  <c r="E4630" i="6" s="1"/>
  <c r="E4631" i="6" s="1"/>
  <c r="E4632" i="6" s="1"/>
  <c r="E4633" i="6" s="1"/>
  <c r="E4634" i="6" s="1"/>
  <c r="E4635" i="6" s="1"/>
  <c r="E4636" i="6" s="1"/>
  <c r="E4637" i="6" s="1"/>
  <c r="E4638" i="6" s="1"/>
  <c r="E4639" i="6" s="1"/>
  <c r="E4640" i="6" s="1"/>
  <c r="E4641" i="6" s="1"/>
  <c r="E4642" i="6" s="1"/>
  <c r="E4643" i="6" s="1"/>
  <c r="E4644" i="6" s="1"/>
  <c r="E4645" i="6" s="1"/>
  <c r="E4646" i="6" s="1"/>
  <c r="E4647" i="6" s="1"/>
  <c r="E4648" i="6" s="1"/>
  <c r="E4649" i="6" s="1"/>
  <c r="E4650" i="6" s="1"/>
  <c r="E4651" i="6" s="1"/>
  <c r="E4652" i="6" s="1"/>
  <c r="E4653" i="6" s="1"/>
  <c r="E4654" i="6" s="1"/>
  <c r="E4655" i="6" s="1"/>
  <c r="E4656" i="6" s="1"/>
  <c r="E4657" i="6" s="1"/>
  <c r="E4658" i="6" s="1"/>
  <c r="E4659" i="6" s="1"/>
  <c r="E4660" i="6" s="1"/>
  <c r="E4661" i="6" s="1"/>
  <c r="E4662" i="6" s="1"/>
  <c r="E4663" i="6" s="1"/>
  <c r="E4664" i="6" s="1"/>
  <c r="E5299" i="6"/>
  <c r="E5300" i="6" s="1"/>
  <c r="E5301" i="6" s="1"/>
  <c r="E5302" i="6" s="1"/>
  <c r="E5303" i="6" s="1"/>
  <c r="E5304" i="6" s="1"/>
  <c r="E5305" i="6" s="1"/>
  <c r="E5306" i="6" s="1"/>
  <c r="E5307" i="6" s="1"/>
  <c r="E5308" i="6" s="1"/>
  <c r="E5309" i="6" s="1"/>
  <c r="E5310" i="6" s="1"/>
  <c r="E5311" i="6" s="1"/>
  <c r="E5312" i="6" s="1"/>
  <c r="E5313" i="6" s="1"/>
  <c r="E5314" i="6" s="1"/>
  <c r="E5315" i="6" s="1"/>
  <c r="E5316" i="6" s="1"/>
  <c r="E5317" i="6" s="1"/>
  <c r="E5318" i="6" s="1"/>
  <c r="E5319" i="6" s="1"/>
  <c r="E5320" i="6" s="1"/>
  <c r="E5321" i="6" s="1"/>
  <c r="E5322" i="6" s="1"/>
  <c r="E5323" i="6" s="1"/>
  <c r="E5324" i="6" s="1"/>
  <c r="E5325" i="6" s="1"/>
  <c r="E5326" i="6" s="1"/>
  <c r="E5327" i="6" s="1"/>
  <c r="E5328" i="6" s="1"/>
  <c r="E5329" i="6" s="1"/>
  <c r="E5330" i="6" s="1"/>
  <c r="E5331" i="6" s="1"/>
  <c r="E5332" i="6" s="1"/>
  <c r="E5333" i="6" s="1"/>
  <c r="E5334" i="6" s="1"/>
  <c r="E5335" i="6" s="1"/>
  <c r="E5336" i="6" s="1"/>
  <c r="E5337" i="6" s="1"/>
  <c r="E5338" i="6" s="1"/>
  <c r="E5339" i="6" s="1"/>
  <c r="E5340" i="6" s="1"/>
  <c r="E5341" i="6" s="1"/>
  <c r="E5342" i="6" s="1"/>
  <c r="E5343" i="6" s="1"/>
  <c r="E5344" i="6" s="1"/>
  <c r="E5345" i="6" s="1"/>
  <c r="E5346" i="6" s="1"/>
  <c r="E5347" i="6" s="1"/>
  <c r="E5348" i="6" s="1"/>
  <c r="E5349" i="6" s="1"/>
  <c r="E5350" i="6" s="1"/>
  <c r="E5351" i="6" s="1"/>
  <c r="E5352" i="6" s="1"/>
  <c r="E5353" i="6" s="1"/>
  <c r="E5354" i="6" s="1"/>
  <c r="E5355" i="6" s="1"/>
  <c r="E5356" i="6" s="1"/>
  <c r="E5357" i="6" s="1"/>
  <c r="E6307" i="6"/>
  <c r="E6308" i="6" s="1"/>
  <c r="E6309" i="6" s="1"/>
  <c r="E6310" i="6" s="1"/>
  <c r="E6311" i="6" s="1"/>
  <c r="E6312" i="6" s="1"/>
  <c r="E6313" i="6" s="1"/>
  <c r="E6314" i="6" s="1"/>
  <c r="E6315" i="6" s="1"/>
  <c r="E6316" i="6" s="1"/>
  <c r="E6317" i="6" s="1"/>
  <c r="E6318" i="6" s="1"/>
  <c r="E6319" i="6" s="1"/>
  <c r="E6320" i="6" s="1"/>
  <c r="E6321" i="6" s="1"/>
  <c r="E6322" i="6" s="1"/>
  <c r="E6323" i="6" s="1"/>
  <c r="E6324" i="6" s="1"/>
  <c r="E6325" i="6" s="1"/>
  <c r="E6326" i="6" s="1"/>
  <c r="E6327" i="6" s="1"/>
  <c r="E6328" i="6" s="1"/>
  <c r="E6329" i="6" s="1"/>
  <c r="E6330" i="6" s="1"/>
  <c r="E6331" i="6" s="1"/>
  <c r="E6332" i="6" s="1"/>
  <c r="E6333" i="6" s="1"/>
  <c r="E6334" i="6" s="1"/>
  <c r="E6335" i="6" s="1"/>
  <c r="E6336" i="6" s="1"/>
  <c r="E6337" i="6" s="1"/>
  <c r="E6338" i="6" s="1"/>
  <c r="E6339" i="6" s="1"/>
  <c r="E6340" i="6" s="1"/>
  <c r="E6341" i="6" s="1"/>
  <c r="E6342" i="6" s="1"/>
  <c r="E6343" i="6" s="1"/>
  <c r="E6344" i="6" s="1"/>
  <c r="E6345" i="6" s="1"/>
  <c r="E6346" i="6" s="1"/>
  <c r="E6347" i="6" s="1"/>
  <c r="E6348" i="6" s="1"/>
  <c r="E6349" i="6" s="1"/>
  <c r="E6350" i="6" s="1"/>
  <c r="E6351" i="6" s="1"/>
  <c r="E6352" i="6" s="1"/>
  <c r="E6353" i="6" s="1"/>
  <c r="E6354" i="6" s="1"/>
  <c r="E6355" i="6" s="1"/>
  <c r="E6356" i="6" s="1"/>
  <c r="E6357" i="6" s="1"/>
  <c r="E6358" i="6" s="1"/>
  <c r="E6359" i="6" s="1"/>
  <c r="E6360" i="6" s="1"/>
  <c r="E6361" i="6" s="1"/>
  <c r="E6362" i="6" s="1"/>
  <c r="E6363" i="6" s="1"/>
  <c r="E6364" i="6" s="1"/>
  <c r="E6365" i="6" s="1"/>
  <c r="E6811" i="6"/>
  <c r="E6812" i="6" s="1"/>
  <c r="E6813" i="6" s="1"/>
  <c r="E6814" i="6" s="1"/>
  <c r="E6815" i="6" s="1"/>
  <c r="E6816" i="6" s="1"/>
  <c r="E6817" i="6" s="1"/>
  <c r="E6818" i="6" s="1"/>
  <c r="E6819" i="6" s="1"/>
  <c r="E6820" i="6" s="1"/>
  <c r="E6821" i="6" s="1"/>
  <c r="E6822" i="6" s="1"/>
  <c r="E6823" i="6" s="1"/>
  <c r="E6824" i="6" s="1"/>
  <c r="E6825" i="6" s="1"/>
  <c r="E6826" i="6" s="1"/>
  <c r="E6827" i="6" s="1"/>
  <c r="E6828" i="6" s="1"/>
  <c r="E6829" i="6" s="1"/>
  <c r="E6830" i="6" s="1"/>
  <c r="E6831" i="6" s="1"/>
  <c r="E6832" i="6" s="1"/>
  <c r="E6833" i="6" s="1"/>
  <c r="E6834" i="6" s="1"/>
  <c r="E6835" i="6" s="1"/>
  <c r="E6836" i="6" s="1"/>
  <c r="E6837" i="6" s="1"/>
  <c r="E6838" i="6" s="1"/>
  <c r="E6839" i="6" s="1"/>
  <c r="E6840" i="6" s="1"/>
  <c r="E6841" i="6" s="1"/>
  <c r="E6842" i="6" s="1"/>
  <c r="E6843" i="6" s="1"/>
  <c r="E6844" i="6" s="1"/>
  <c r="E6845" i="6" s="1"/>
  <c r="E6846" i="6" s="1"/>
  <c r="E6847" i="6" s="1"/>
  <c r="E6848" i="6" s="1"/>
  <c r="E6849" i="6" s="1"/>
  <c r="E6850" i="6" s="1"/>
  <c r="E6851" i="6" s="1"/>
  <c r="E6852" i="6" s="1"/>
  <c r="E6853" i="6" s="1"/>
  <c r="E6854" i="6" s="1"/>
  <c r="E6855" i="6" s="1"/>
  <c r="E6856" i="6" s="1"/>
  <c r="E6857" i="6" s="1"/>
  <c r="E6858" i="6" s="1"/>
  <c r="E6859" i="6" s="1"/>
  <c r="E6860" i="6" s="1"/>
  <c r="E6861" i="6" s="1"/>
  <c r="E6862" i="6" s="1"/>
  <c r="E6863" i="6" s="1"/>
  <c r="E6864" i="6" s="1"/>
  <c r="E6865" i="6" s="1"/>
  <c r="E6866" i="6" s="1"/>
  <c r="E6867" i="6" s="1"/>
  <c r="E6868" i="6" s="1"/>
  <c r="E6869" i="6" s="1"/>
  <c r="E8068" i="6"/>
  <c r="E8069" i="6" s="1"/>
  <c r="E8070" i="6" s="1"/>
  <c r="E8071" i="6" s="1"/>
  <c r="E8072" i="6" s="1"/>
  <c r="E8073" i="6" s="1"/>
  <c r="E8074" i="6" s="1"/>
  <c r="E8075" i="6" s="1"/>
  <c r="E8076" i="6" s="1"/>
  <c r="E8077" i="6" s="1"/>
  <c r="E8078" i="6" s="1"/>
  <c r="E8079" i="6" s="1"/>
  <c r="E8080" i="6" s="1"/>
  <c r="E8081" i="6" s="1"/>
  <c r="E8082" i="6" s="1"/>
  <c r="E8083" i="6" s="1"/>
  <c r="E8084" i="6" s="1"/>
  <c r="E8085" i="6" s="1"/>
  <c r="E8086" i="6" s="1"/>
  <c r="E8087" i="6" s="1"/>
  <c r="E8088" i="6" s="1"/>
  <c r="E8089" i="6" s="1"/>
  <c r="E8090" i="6" s="1"/>
  <c r="E8091" i="6" s="1"/>
  <c r="E8092" i="6" s="1"/>
  <c r="E8093" i="6" s="1"/>
  <c r="E8094" i="6" s="1"/>
  <c r="E8095" i="6" s="1"/>
  <c r="E8096" i="6" s="1"/>
  <c r="E8097" i="6" s="1"/>
  <c r="E8098" i="6" s="1"/>
  <c r="E8099" i="6" s="1"/>
  <c r="E8100" i="6" s="1"/>
  <c r="E8101" i="6" s="1"/>
  <c r="E8102" i="6" s="1"/>
  <c r="E8103" i="6" s="1"/>
  <c r="E8104" i="6" s="1"/>
  <c r="E8105" i="6" s="1"/>
  <c r="E8106" i="6" s="1"/>
  <c r="E8107" i="6" s="1"/>
  <c r="E8108" i="6" s="1"/>
  <c r="E8109" i="6" s="1"/>
  <c r="E8110" i="6" s="1"/>
  <c r="E8111" i="6" s="1"/>
  <c r="E8112" i="6" s="1"/>
  <c r="E8113" i="6" s="1"/>
  <c r="E8114" i="6" s="1"/>
  <c r="E8115" i="6" s="1"/>
  <c r="E8116" i="6" s="1"/>
  <c r="E8117" i="6" s="1"/>
  <c r="E8118" i="6" s="1"/>
  <c r="E8119" i="6" s="1"/>
  <c r="E8120" i="6" s="1"/>
  <c r="E8121" i="6" s="1"/>
  <c r="E8122" i="6" s="1"/>
  <c r="E8123" i="6" s="1"/>
  <c r="E8124" i="6" s="1"/>
  <c r="E8125" i="6" s="1"/>
  <c r="E8126" i="6" s="1"/>
  <c r="E5047" i="6"/>
  <c r="E5048" i="6" s="1"/>
  <c r="E5049" i="6" s="1"/>
  <c r="E5050" i="6" s="1"/>
  <c r="E5051" i="6" s="1"/>
  <c r="E5052" i="6" s="1"/>
  <c r="E5053" i="6" s="1"/>
  <c r="E5054" i="6" s="1"/>
  <c r="E5055" i="6" s="1"/>
  <c r="E5056" i="6" s="1"/>
  <c r="E5057" i="6" s="1"/>
  <c r="E5058" i="6" s="1"/>
  <c r="E5059" i="6" s="1"/>
  <c r="E5060" i="6" s="1"/>
  <c r="E5061" i="6" s="1"/>
  <c r="E5062" i="6" s="1"/>
  <c r="E5063" i="6" s="1"/>
  <c r="E5064" i="6" s="1"/>
  <c r="E5065" i="6" s="1"/>
  <c r="E5066" i="6" s="1"/>
  <c r="E5067" i="6" s="1"/>
  <c r="E5068" i="6" s="1"/>
  <c r="E5069" i="6" s="1"/>
  <c r="E5070" i="6" s="1"/>
  <c r="E5071" i="6" s="1"/>
  <c r="E5072" i="6" s="1"/>
  <c r="E5073" i="6" s="1"/>
  <c r="E5074" i="6" s="1"/>
  <c r="E5075" i="6" s="1"/>
  <c r="E5076" i="6" s="1"/>
  <c r="E5077" i="6" s="1"/>
  <c r="E5078" i="6" s="1"/>
  <c r="E5079" i="6" s="1"/>
  <c r="E5080" i="6" s="1"/>
  <c r="E5081" i="6" s="1"/>
  <c r="E5082" i="6" s="1"/>
  <c r="E5083" i="6" s="1"/>
  <c r="E5084" i="6" s="1"/>
  <c r="E5085" i="6" s="1"/>
  <c r="E5086" i="6" s="1"/>
  <c r="E5087" i="6" s="1"/>
  <c r="E5088" i="6" s="1"/>
  <c r="E5089" i="6" s="1"/>
  <c r="E5090" i="6" s="1"/>
  <c r="E5091" i="6" s="1"/>
  <c r="E5092" i="6" s="1"/>
  <c r="E5093" i="6" s="1"/>
  <c r="E5094" i="6" s="1"/>
  <c r="E5095" i="6" s="1"/>
  <c r="E5096" i="6" s="1"/>
  <c r="E5097" i="6" s="1"/>
  <c r="E5098" i="6" s="1"/>
  <c r="E5099" i="6" s="1"/>
  <c r="E5100" i="6" s="1"/>
  <c r="E5101" i="6" s="1"/>
  <c r="E5102" i="6" s="1"/>
  <c r="E5103" i="6" s="1"/>
  <c r="E5104" i="6" s="1"/>
  <c r="E5105" i="6" s="1"/>
  <c r="E385" i="6"/>
  <c r="E386" i="6" s="1"/>
  <c r="E387" i="6" s="1"/>
  <c r="E388" i="6" s="1"/>
  <c r="E389" i="6" s="1"/>
  <c r="E390" i="6" s="1"/>
  <c r="E391" i="6" s="1"/>
  <c r="E392" i="6" s="1"/>
  <c r="E393" i="6" s="1"/>
  <c r="E394" i="6" s="1"/>
  <c r="E395" i="6" s="1"/>
  <c r="E396" i="6" s="1"/>
  <c r="E397" i="6" s="1"/>
  <c r="E398" i="6" s="1"/>
  <c r="E399" i="6" s="1"/>
  <c r="E400" i="6" s="1"/>
  <c r="E401" i="6" s="1"/>
  <c r="E402" i="6" s="1"/>
  <c r="E403" i="6" s="1"/>
  <c r="E404" i="6" s="1"/>
  <c r="E405" i="6" s="1"/>
  <c r="E406" i="6" s="1"/>
  <c r="E407" i="6" s="1"/>
  <c r="E408" i="6" s="1"/>
  <c r="E409" i="6" s="1"/>
  <c r="E410" i="6" s="1"/>
  <c r="E411" i="6" s="1"/>
  <c r="E412" i="6" s="1"/>
  <c r="E413" i="6" s="1"/>
  <c r="E414" i="6" s="1"/>
  <c r="E415" i="6" s="1"/>
  <c r="E416" i="6" s="1"/>
  <c r="E417" i="6" s="1"/>
  <c r="E418" i="6" s="1"/>
  <c r="E419" i="6" s="1"/>
  <c r="E420" i="6" s="1"/>
  <c r="E421" i="6" s="1"/>
  <c r="E422" i="6" s="1"/>
  <c r="E423" i="6" s="1"/>
  <c r="E424" i="6" s="1"/>
  <c r="E425" i="6" s="1"/>
  <c r="E426" i="6" s="1"/>
  <c r="E427" i="6" s="1"/>
  <c r="E428" i="6" s="1"/>
  <c r="E429" i="6" s="1"/>
  <c r="E430" i="6" s="1"/>
  <c r="E431" i="6" s="1"/>
  <c r="E432" i="6" s="1"/>
  <c r="E433" i="6" s="1"/>
  <c r="E434" i="6" s="1"/>
  <c r="E435" i="6" s="1"/>
  <c r="E436" i="6" s="1"/>
  <c r="E437" i="6" s="1"/>
  <c r="E438" i="6" s="1"/>
  <c r="E439" i="6" s="1"/>
  <c r="E440" i="6" s="1"/>
  <c r="E441" i="6" s="1"/>
  <c r="E442" i="6" s="1"/>
  <c r="E443" i="6" s="1"/>
  <c r="E1393" i="6"/>
  <c r="E1394" i="6" s="1"/>
  <c r="E1395" i="6" s="1"/>
  <c r="E1396" i="6" s="1"/>
  <c r="E1397" i="6" s="1"/>
  <c r="E1398" i="6" s="1"/>
  <c r="E1399" i="6" s="1"/>
  <c r="E1400" i="6" s="1"/>
  <c r="E1401" i="6" s="1"/>
  <c r="E1402" i="6" s="1"/>
  <c r="E1403" i="6" s="1"/>
  <c r="E1404" i="6" s="1"/>
  <c r="E1405" i="6" s="1"/>
  <c r="E1406" i="6" s="1"/>
  <c r="E1407" i="6" s="1"/>
  <c r="E1408" i="6" s="1"/>
  <c r="E1409" i="6" s="1"/>
  <c r="E1410" i="6" s="1"/>
  <c r="E1411" i="6" s="1"/>
  <c r="E1412" i="6" s="1"/>
  <c r="E1413" i="6" s="1"/>
  <c r="E1414" i="6" s="1"/>
  <c r="E1415" i="6" s="1"/>
  <c r="E1416" i="6" s="1"/>
  <c r="E1417" i="6" s="1"/>
  <c r="E1418" i="6" s="1"/>
  <c r="E1419" i="6" s="1"/>
  <c r="E1420" i="6" s="1"/>
  <c r="E1421" i="6" s="1"/>
  <c r="E1422" i="6" s="1"/>
  <c r="E1423" i="6" s="1"/>
  <c r="E1424" i="6" s="1"/>
  <c r="E1425" i="6" s="1"/>
  <c r="E1426" i="6" s="1"/>
  <c r="E1427" i="6" s="1"/>
  <c r="E1428" i="6" s="1"/>
  <c r="E1429" i="6" s="1"/>
  <c r="E1430" i="6" s="1"/>
  <c r="E1431" i="6" s="1"/>
  <c r="E1432" i="6" s="1"/>
  <c r="E1433" i="6" s="1"/>
  <c r="E1434" i="6" s="1"/>
  <c r="E1435" i="6" s="1"/>
  <c r="E1436" i="6" s="1"/>
  <c r="E1437" i="6" s="1"/>
  <c r="E1438" i="6" s="1"/>
  <c r="E1439" i="6" s="1"/>
  <c r="E1440" i="6" s="1"/>
  <c r="E1441" i="6" s="1"/>
  <c r="E1442" i="6" s="1"/>
  <c r="E1443" i="6" s="1"/>
  <c r="E1444" i="6" s="1"/>
  <c r="E1445" i="6" s="1"/>
  <c r="E1446" i="6" s="1"/>
  <c r="E1447" i="6" s="1"/>
  <c r="E1448" i="6" s="1"/>
  <c r="E1449" i="6" s="1"/>
  <c r="E1450" i="6" s="1"/>
  <c r="E1451" i="6" s="1"/>
  <c r="E1897" i="6"/>
  <c r="E1898" i="6" s="1"/>
  <c r="E1899" i="6" s="1"/>
  <c r="E1900" i="6" s="1"/>
  <c r="E1901" i="6" s="1"/>
  <c r="E1902" i="6" s="1"/>
  <c r="E1903" i="6" s="1"/>
  <c r="E1904" i="6" s="1"/>
  <c r="E1905" i="6" s="1"/>
  <c r="E1906" i="6" s="1"/>
  <c r="E1907" i="6" s="1"/>
  <c r="E1908" i="6" s="1"/>
  <c r="E1909" i="6" s="1"/>
  <c r="E1910" i="6" s="1"/>
  <c r="E1911" i="6" s="1"/>
  <c r="E1912" i="6" s="1"/>
  <c r="E1913" i="6" s="1"/>
  <c r="E1914" i="6" s="1"/>
  <c r="E1915" i="6" s="1"/>
  <c r="E1916" i="6" s="1"/>
  <c r="E1917" i="6" s="1"/>
  <c r="E1918" i="6" s="1"/>
  <c r="E1919" i="6" s="1"/>
  <c r="E1920" i="6" s="1"/>
  <c r="E1921" i="6" s="1"/>
  <c r="E1922" i="6" s="1"/>
  <c r="E1923" i="6" s="1"/>
  <c r="E1924" i="6" s="1"/>
  <c r="E1925" i="6" s="1"/>
  <c r="E1926" i="6" s="1"/>
  <c r="E1927" i="6" s="1"/>
  <c r="E1928" i="6" s="1"/>
  <c r="E1929" i="6" s="1"/>
  <c r="E1930" i="6" s="1"/>
  <c r="E1931" i="6" s="1"/>
  <c r="E1932" i="6" s="1"/>
  <c r="E1933" i="6" s="1"/>
  <c r="E1934" i="6" s="1"/>
  <c r="E1935" i="6" s="1"/>
  <c r="E1936" i="6" s="1"/>
  <c r="E1937" i="6" s="1"/>
  <c r="E1938" i="6" s="1"/>
  <c r="E1939" i="6" s="1"/>
  <c r="E1940" i="6" s="1"/>
  <c r="E1941" i="6" s="1"/>
  <c r="E1942" i="6" s="1"/>
  <c r="E1943" i="6" s="1"/>
  <c r="E1944" i="6" s="1"/>
  <c r="E1945" i="6" s="1"/>
  <c r="E1946" i="6" s="1"/>
  <c r="E1947" i="6" s="1"/>
  <c r="E1948" i="6" s="1"/>
  <c r="E1949" i="6" s="1"/>
  <c r="E1950" i="6" s="1"/>
  <c r="E1951" i="6" s="1"/>
  <c r="E1952" i="6" s="1"/>
  <c r="E1953" i="6" s="1"/>
  <c r="E1954" i="6" s="1"/>
  <c r="E1955" i="6" s="1"/>
  <c r="E3031" i="6"/>
  <c r="E3032" i="6" s="1"/>
  <c r="E3033" i="6" s="1"/>
  <c r="E3034" i="6" s="1"/>
  <c r="E3035" i="6" s="1"/>
  <c r="E3036" i="6" s="1"/>
  <c r="E3037" i="6" s="1"/>
  <c r="E3038" i="6" s="1"/>
  <c r="E3039" i="6" s="1"/>
  <c r="E3040" i="6" s="1"/>
  <c r="E3041" i="6" s="1"/>
  <c r="E3042" i="6" s="1"/>
  <c r="E3043" i="6" s="1"/>
  <c r="E3044" i="6" s="1"/>
  <c r="E3045" i="6" s="1"/>
  <c r="E3046" i="6" s="1"/>
  <c r="E3047" i="6" s="1"/>
  <c r="E3048" i="6" s="1"/>
  <c r="E3049" i="6" s="1"/>
  <c r="E3050" i="6" s="1"/>
  <c r="E3051" i="6" s="1"/>
  <c r="E3052" i="6" s="1"/>
  <c r="E3053" i="6" s="1"/>
  <c r="E3054" i="6" s="1"/>
  <c r="E3055" i="6" s="1"/>
  <c r="E3056" i="6" s="1"/>
  <c r="E3057" i="6" s="1"/>
  <c r="E3058" i="6" s="1"/>
  <c r="E3059" i="6" s="1"/>
  <c r="E3060" i="6" s="1"/>
  <c r="E3061" i="6" s="1"/>
  <c r="E3062" i="6" s="1"/>
  <c r="E3063" i="6" s="1"/>
  <c r="E3064" i="6" s="1"/>
  <c r="E3065" i="6" s="1"/>
  <c r="E3066" i="6" s="1"/>
  <c r="E3067" i="6" s="1"/>
  <c r="E3068" i="6" s="1"/>
  <c r="E3069" i="6" s="1"/>
  <c r="E3070" i="6" s="1"/>
  <c r="E3071" i="6" s="1"/>
  <c r="E3072" i="6" s="1"/>
  <c r="E3073" i="6" s="1"/>
  <c r="E3074" i="6" s="1"/>
  <c r="E3075" i="6" s="1"/>
  <c r="E3076" i="6" s="1"/>
  <c r="E3077" i="6" s="1"/>
  <c r="E3078" i="6" s="1"/>
  <c r="E3079" i="6" s="1"/>
  <c r="E3080" i="6" s="1"/>
  <c r="E3081" i="6" s="1"/>
  <c r="E3082" i="6" s="1"/>
  <c r="E3083" i="6" s="1"/>
  <c r="E3084" i="6" s="1"/>
  <c r="E3085" i="6" s="1"/>
  <c r="E3086" i="6" s="1"/>
  <c r="E3087" i="6" s="1"/>
  <c r="E3088" i="6" s="1"/>
  <c r="E3089" i="6" s="1"/>
  <c r="E4039" i="6"/>
  <c r="E4040" i="6" s="1"/>
  <c r="E4041" i="6" s="1"/>
  <c r="E4042" i="6" s="1"/>
  <c r="E4043" i="6" s="1"/>
  <c r="E4044" i="6" s="1"/>
  <c r="E4045" i="6" s="1"/>
  <c r="E4046" i="6" s="1"/>
  <c r="E4047" i="6" s="1"/>
  <c r="E4048" i="6" s="1"/>
  <c r="E4049" i="6" s="1"/>
  <c r="E4050" i="6" s="1"/>
  <c r="E4051" i="6" s="1"/>
  <c r="E4052" i="6" s="1"/>
  <c r="E4053" i="6" s="1"/>
  <c r="E4054" i="6" s="1"/>
  <c r="E4055" i="6" s="1"/>
  <c r="E4056" i="6" s="1"/>
  <c r="E4057" i="6" s="1"/>
  <c r="E4058" i="6" s="1"/>
  <c r="E4059" i="6" s="1"/>
  <c r="E4060" i="6" s="1"/>
  <c r="E4061" i="6" s="1"/>
  <c r="E4062" i="6" s="1"/>
  <c r="E4063" i="6" s="1"/>
  <c r="E4064" i="6" s="1"/>
  <c r="E4065" i="6" s="1"/>
  <c r="E4066" i="6" s="1"/>
  <c r="E4067" i="6" s="1"/>
  <c r="E4068" i="6" s="1"/>
  <c r="E4069" i="6" s="1"/>
  <c r="E4070" i="6" s="1"/>
  <c r="E4071" i="6" s="1"/>
  <c r="E4072" i="6" s="1"/>
  <c r="E4073" i="6" s="1"/>
  <c r="E4074" i="6" s="1"/>
  <c r="E4075" i="6" s="1"/>
  <c r="E4076" i="6" s="1"/>
  <c r="E4077" i="6" s="1"/>
  <c r="E4078" i="6" s="1"/>
  <c r="E4079" i="6" s="1"/>
  <c r="E4080" i="6" s="1"/>
  <c r="E4081" i="6" s="1"/>
  <c r="E4082" i="6" s="1"/>
  <c r="E4083" i="6" s="1"/>
  <c r="E4084" i="6" s="1"/>
  <c r="E4085" i="6" s="1"/>
  <c r="E4086" i="6" s="1"/>
  <c r="E4087" i="6" s="1"/>
  <c r="E4088" i="6" s="1"/>
  <c r="E4089" i="6" s="1"/>
  <c r="E4090" i="6" s="1"/>
  <c r="E4091" i="6" s="1"/>
  <c r="E4092" i="6" s="1"/>
  <c r="E4093" i="6" s="1"/>
  <c r="E4094" i="6" s="1"/>
  <c r="E4095" i="6" s="1"/>
  <c r="E4096" i="6" s="1"/>
  <c r="E4097" i="6" s="1"/>
  <c r="E4732" i="6"/>
  <c r="E4733" i="6" s="1"/>
  <c r="E4734" i="6" s="1"/>
  <c r="E4735" i="6" s="1"/>
  <c r="E4736" i="6" s="1"/>
  <c r="E4737" i="6" s="1"/>
  <c r="E4738" i="6" s="1"/>
  <c r="E4739" i="6" s="1"/>
  <c r="E4740" i="6" s="1"/>
  <c r="E4741" i="6" s="1"/>
  <c r="E4742" i="6" s="1"/>
  <c r="E4743" i="6" s="1"/>
  <c r="E4744" i="6" s="1"/>
  <c r="E4745" i="6" s="1"/>
  <c r="E4746" i="6" s="1"/>
  <c r="E4747" i="6" s="1"/>
  <c r="E4748" i="6" s="1"/>
  <c r="E4749" i="6" s="1"/>
  <c r="E4750" i="6" s="1"/>
  <c r="E4751" i="6" s="1"/>
  <c r="E4752" i="6" s="1"/>
  <c r="E4753" i="6" s="1"/>
  <c r="E4754" i="6" s="1"/>
  <c r="E4755" i="6" s="1"/>
  <c r="E4756" i="6" s="1"/>
  <c r="E4757" i="6" s="1"/>
  <c r="E4758" i="6" s="1"/>
  <c r="E4759" i="6" s="1"/>
  <c r="E4760" i="6" s="1"/>
  <c r="E4761" i="6" s="1"/>
  <c r="E4762" i="6" s="1"/>
  <c r="E4763" i="6" s="1"/>
  <c r="E4764" i="6" s="1"/>
  <c r="E4765" i="6" s="1"/>
  <c r="E4766" i="6" s="1"/>
  <c r="E4767" i="6" s="1"/>
  <c r="E4768" i="6" s="1"/>
  <c r="E4769" i="6" s="1"/>
  <c r="E4770" i="6" s="1"/>
  <c r="E4771" i="6" s="1"/>
  <c r="E4772" i="6" s="1"/>
  <c r="E4773" i="6" s="1"/>
  <c r="E4774" i="6" s="1"/>
  <c r="E4775" i="6" s="1"/>
  <c r="E4776" i="6" s="1"/>
  <c r="E4777" i="6" s="1"/>
  <c r="E4778" i="6" s="1"/>
  <c r="E4779" i="6" s="1"/>
  <c r="E4780" i="6" s="1"/>
  <c r="E4781" i="6" s="1"/>
  <c r="E4782" i="6" s="1"/>
  <c r="E4783" i="6" s="1"/>
  <c r="E4784" i="6" s="1"/>
  <c r="E4785" i="6" s="1"/>
  <c r="E4786" i="6" s="1"/>
  <c r="E4787" i="6" s="1"/>
  <c r="E4788" i="6" s="1"/>
  <c r="E4789" i="6" s="1"/>
  <c r="E4790" i="6" s="1"/>
  <c r="E5362" i="6"/>
  <c r="E5363" i="6" s="1"/>
  <c r="E5364" i="6" s="1"/>
  <c r="E5365" i="6" s="1"/>
  <c r="E5366" i="6" s="1"/>
  <c r="E5367" i="6" s="1"/>
  <c r="E5368" i="6" s="1"/>
  <c r="E5369" i="6" s="1"/>
  <c r="E5370" i="6" s="1"/>
  <c r="E5371" i="6" s="1"/>
  <c r="E5372" i="6" s="1"/>
  <c r="E5373" i="6" s="1"/>
  <c r="E5374" i="6" s="1"/>
  <c r="E5375" i="6" s="1"/>
  <c r="E5376" i="6" s="1"/>
  <c r="E5377" i="6" s="1"/>
  <c r="E5378" i="6" s="1"/>
  <c r="E5379" i="6" s="1"/>
  <c r="E5380" i="6" s="1"/>
  <c r="E5381" i="6" s="1"/>
  <c r="E5382" i="6" s="1"/>
  <c r="E5383" i="6" s="1"/>
  <c r="E5384" i="6" s="1"/>
  <c r="E5385" i="6" s="1"/>
  <c r="E5386" i="6" s="1"/>
  <c r="E5387" i="6" s="1"/>
  <c r="E5388" i="6" s="1"/>
  <c r="E5389" i="6" s="1"/>
  <c r="E5390" i="6" s="1"/>
  <c r="E5391" i="6" s="1"/>
  <c r="E5392" i="6" s="1"/>
  <c r="E5393" i="6" s="1"/>
  <c r="E5394" i="6" s="1"/>
  <c r="E5395" i="6" s="1"/>
  <c r="E5396" i="6" s="1"/>
  <c r="E5397" i="6" s="1"/>
  <c r="E5398" i="6" s="1"/>
  <c r="E5399" i="6" s="1"/>
  <c r="E5400" i="6" s="1"/>
  <c r="E5401" i="6" s="1"/>
  <c r="E5402" i="6" s="1"/>
  <c r="E5403" i="6" s="1"/>
  <c r="E5404" i="6" s="1"/>
  <c r="E5405" i="6" s="1"/>
  <c r="E5406" i="6" s="1"/>
  <c r="E5407" i="6" s="1"/>
  <c r="E5408" i="6" s="1"/>
  <c r="E5409" i="6" s="1"/>
  <c r="E5410" i="6" s="1"/>
  <c r="E5411" i="6" s="1"/>
  <c r="E5412" i="6" s="1"/>
  <c r="E5413" i="6" s="1"/>
  <c r="E5414" i="6" s="1"/>
  <c r="E5415" i="6" s="1"/>
  <c r="E5416" i="6" s="1"/>
  <c r="E5417" i="6" s="1"/>
  <c r="E5418" i="6" s="1"/>
  <c r="E5419" i="6" s="1"/>
  <c r="E5420" i="6" s="1"/>
  <c r="E5866" i="6"/>
  <c r="E5867" i="6" s="1"/>
  <c r="E5868" i="6" s="1"/>
  <c r="E5869" i="6" s="1"/>
  <c r="E5870" i="6" s="1"/>
  <c r="E5871" i="6" s="1"/>
  <c r="E5872" i="6" s="1"/>
  <c r="E5873" i="6" s="1"/>
  <c r="E5874" i="6" s="1"/>
  <c r="E5875" i="6" s="1"/>
  <c r="E5876" i="6" s="1"/>
  <c r="E5877" i="6" s="1"/>
  <c r="E5878" i="6" s="1"/>
  <c r="E5879" i="6" s="1"/>
  <c r="E5880" i="6" s="1"/>
  <c r="E5881" i="6" s="1"/>
  <c r="E5882" i="6" s="1"/>
  <c r="E5883" i="6" s="1"/>
  <c r="E5884" i="6" s="1"/>
  <c r="E5885" i="6" s="1"/>
  <c r="E5886" i="6" s="1"/>
  <c r="E5887" i="6" s="1"/>
  <c r="E5888" i="6" s="1"/>
  <c r="E5889" i="6" s="1"/>
  <c r="E5890" i="6" s="1"/>
  <c r="E5891" i="6" s="1"/>
  <c r="E5892" i="6" s="1"/>
  <c r="E5893" i="6" s="1"/>
  <c r="E5894" i="6" s="1"/>
  <c r="E5895" i="6" s="1"/>
  <c r="E5896" i="6" s="1"/>
  <c r="E5897" i="6" s="1"/>
  <c r="E5898" i="6" s="1"/>
  <c r="E5899" i="6" s="1"/>
  <c r="E5900" i="6" s="1"/>
  <c r="E5901" i="6" s="1"/>
  <c r="E5902" i="6" s="1"/>
  <c r="E5903" i="6" s="1"/>
  <c r="E5904" i="6" s="1"/>
  <c r="E5905" i="6" s="1"/>
  <c r="E5906" i="6" s="1"/>
  <c r="E5907" i="6" s="1"/>
  <c r="E5908" i="6" s="1"/>
  <c r="E5909" i="6" s="1"/>
  <c r="E5910" i="6" s="1"/>
  <c r="E5911" i="6" s="1"/>
  <c r="E5912" i="6" s="1"/>
  <c r="E5913" i="6" s="1"/>
  <c r="E5914" i="6" s="1"/>
  <c r="E5915" i="6" s="1"/>
  <c r="E5916" i="6" s="1"/>
  <c r="E5917" i="6" s="1"/>
  <c r="E5918" i="6" s="1"/>
  <c r="E5919" i="6" s="1"/>
  <c r="E5920" i="6" s="1"/>
  <c r="E5921" i="6" s="1"/>
  <c r="E5922" i="6" s="1"/>
  <c r="E5923" i="6" s="1"/>
  <c r="E5924" i="6" s="1"/>
  <c r="E6370" i="6"/>
  <c r="E6371" i="6" s="1"/>
  <c r="E6372" i="6" s="1"/>
  <c r="E6373" i="6" s="1"/>
  <c r="E6374" i="6" s="1"/>
  <c r="E6375" i="6" s="1"/>
  <c r="E6376" i="6" s="1"/>
  <c r="E6377" i="6" s="1"/>
  <c r="E6378" i="6" s="1"/>
  <c r="E6379" i="6" s="1"/>
  <c r="E6380" i="6" s="1"/>
  <c r="E6381" i="6" s="1"/>
  <c r="E6382" i="6" s="1"/>
  <c r="E6383" i="6" s="1"/>
  <c r="E6384" i="6" s="1"/>
  <c r="E6385" i="6" s="1"/>
  <c r="E6386" i="6" s="1"/>
  <c r="E6387" i="6" s="1"/>
  <c r="E6388" i="6" s="1"/>
  <c r="E6389" i="6" s="1"/>
  <c r="E6390" i="6" s="1"/>
  <c r="E6391" i="6" s="1"/>
  <c r="E6392" i="6" s="1"/>
  <c r="E6393" i="6" s="1"/>
  <c r="E6394" i="6" s="1"/>
  <c r="E6395" i="6" s="1"/>
  <c r="E6396" i="6" s="1"/>
  <c r="E6397" i="6" s="1"/>
  <c r="E6398" i="6" s="1"/>
  <c r="E6399" i="6" s="1"/>
  <c r="E6400" i="6" s="1"/>
  <c r="E6401" i="6" s="1"/>
  <c r="E6402" i="6" s="1"/>
  <c r="E6403" i="6" s="1"/>
  <c r="E6404" i="6" s="1"/>
  <c r="E6405" i="6" s="1"/>
  <c r="E6406" i="6" s="1"/>
  <c r="E6407" i="6" s="1"/>
  <c r="E6408" i="6" s="1"/>
  <c r="E6409" i="6" s="1"/>
  <c r="E6410" i="6" s="1"/>
  <c r="E6411" i="6" s="1"/>
  <c r="E6412" i="6" s="1"/>
  <c r="E6413" i="6" s="1"/>
  <c r="E6414" i="6" s="1"/>
  <c r="E6415" i="6" s="1"/>
  <c r="E6416" i="6" s="1"/>
  <c r="E6417" i="6" s="1"/>
  <c r="E6418" i="6" s="1"/>
  <c r="E6419" i="6" s="1"/>
  <c r="E6420" i="6" s="1"/>
  <c r="E6421" i="6" s="1"/>
  <c r="E6422" i="6" s="1"/>
  <c r="E6423" i="6" s="1"/>
  <c r="E6424" i="6" s="1"/>
  <c r="E6425" i="6" s="1"/>
  <c r="E6426" i="6" s="1"/>
  <c r="E6427" i="6" s="1"/>
  <c r="E6428" i="6" s="1"/>
  <c r="E6874" i="6"/>
  <c r="E6875" i="6" s="1"/>
  <c r="E6876" i="6" s="1"/>
  <c r="E6877" i="6" s="1"/>
  <c r="E6878" i="6" s="1"/>
  <c r="E6879" i="6" s="1"/>
  <c r="E6880" i="6" s="1"/>
  <c r="E6881" i="6" s="1"/>
  <c r="E6882" i="6" s="1"/>
  <c r="E6883" i="6" s="1"/>
  <c r="E6884" i="6" s="1"/>
  <c r="E6885" i="6" s="1"/>
  <c r="E6886" i="6" s="1"/>
  <c r="E6887" i="6" s="1"/>
  <c r="E6888" i="6" s="1"/>
  <c r="E6889" i="6" s="1"/>
  <c r="E6890" i="6" s="1"/>
  <c r="E6891" i="6" s="1"/>
  <c r="E6892" i="6" s="1"/>
  <c r="E6893" i="6" s="1"/>
  <c r="E6894" i="6" s="1"/>
  <c r="E6895" i="6" s="1"/>
  <c r="E6896" i="6" s="1"/>
  <c r="E6897" i="6" s="1"/>
  <c r="E6898" i="6" s="1"/>
  <c r="E6899" i="6" s="1"/>
  <c r="E6900" i="6" s="1"/>
  <c r="E6901" i="6" s="1"/>
  <c r="E6902" i="6" s="1"/>
  <c r="E6903" i="6" s="1"/>
  <c r="E6904" i="6" s="1"/>
  <c r="E6905" i="6" s="1"/>
  <c r="E6906" i="6" s="1"/>
  <c r="E6907" i="6" s="1"/>
  <c r="E6908" i="6" s="1"/>
  <c r="E6909" i="6" s="1"/>
  <c r="E6910" i="6" s="1"/>
  <c r="E6911" i="6" s="1"/>
  <c r="E6912" i="6" s="1"/>
  <c r="E6913" i="6" s="1"/>
  <c r="E6914" i="6" s="1"/>
  <c r="E6915" i="6" s="1"/>
  <c r="E6916" i="6" s="1"/>
  <c r="E6917" i="6" s="1"/>
  <c r="E6918" i="6" s="1"/>
  <c r="E6919" i="6" s="1"/>
  <c r="E6920" i="6" s="1"/>
  <c r="E6921" i="6" s="1"/>
  <c r="E6922" i="6" s="1"/>
  <c r="E6923" i="6" s="1"/>
  <c r="E6924" i="6" s="1"/>
  <c r="E6925" i="6" s="1"/>
  <c r="E6926" i="6" s="1"/>
  <c r="E6927" i="6" s="1"/>
  <c r="E6928" i="6" s="1"/>
  <c r="E6929" i="6" s="1"/>
  <c r="E6930" i="6" s="1"/>
  <c r="E6931" i="6" s="1"/>
  <c r="E6932" i="6" s="1"/>
  <c r="E4795" i="6"/>
  <c r="E4796" i="6" s="1"/>
  <c r="E4797" i="6" s="1"/>
  <c r="E4798" i="6" s="1"/>
  <c r="E4799" i="6" s="1"/>
  <c r="E4800" i="6" s="1"/>
  <c r="E4801" i="6" s="1"/>
  <c r="E4802" i="6" s="1"/>
  <c r="E4803" i="6" s="1"/>
  <c r="E4804" i="6" s="1"/>
  <c r="E4805" i="6" s="1"/>
  <c r="E4806" i="6" s="1"/>
  <c r="E4807" i="6" s="1"/>
  <c r="E4808" i="6" s="1"/>
  <c r="E4809" i="6" s="1"/>
  <c r="E4810" i="6" s="1"/>
  <c r="E4811" i="6" s="1"/>
  <c r="E4812" i="6" s="1"/>
  <c r="E4813" i="6" s="1"/>
  <c r="E4814" i="6" s="1"/>
  <c r="E4815" i="6" s="1"/>
  <c r="E4816" i="6" s="1"/>
  <c r="E4817" i="6" s="1"/>
  <c r="E4818" i="6" s="1"/>
  <c r="E4819" i="6" s="1"/>
  <c r="E4820" i="6" s="1"/>
  <c r="E4821" i="6" s="1"/>
  <c r="E4822" i="6" s="1"/>
  <c r="E4823" i="6" s="1"/>
  <c r="E4824" i="6" s="1"/>
  <c r="E4825" i="6" s="1"/>
  <c r="E4826" i="6" s="1"/>
  <c r="E4827" i="6" s="1"/>
  <c r="E4828" i="6" s="1"/>
  <c r="E4829" i="6" s="1"/>
  <c r="E4830" i="6" s="1"/>
  <c r="E4831" i="6" s="1"/>
  <c r="E4832" i="6" s="1"/>
  <c r="E4833" i="6" s="1"/>
  <c r="E4834" i="6" s="1"/>
  <c r="E4835" i="6" s="1"/>
  <c r="E4836" i="6" s="1"/>
  <c r="E4837" i="6" s="1"/>
  <c r="E4838" i="6" s="1"/>
  <c r="E4839" i="6" s="1"/>
  <c r="E4840" i="6" s="1"/>
  <c r="E4841" i="6" s="1"/>
  <c r="E4842" i="6" s="1"/>
  <c r="E4843" i="6" s="1"/>
  <c r="E4844" i="6" s="1"/>
  <c r="E4845" i="6" s="1"/>
  <c r="E4846" i="6" s="1"/>
  <c r="E4847" i="6" s="1"/>
  <c r="E4848" i="6" s="1"/>
  <c r="E4849" i="6" s="1"/>
  <c r="E4850" i="6" s="1"/>
  <c r="E4851" i="6" s="1"/>
  <c r="E4852" i="6" s="1"/>
  <c r="E4853" i="6" s="1"/>
  <c r="E889" i="6"/>
  <c r="E890" i="6" s="1"/>
  <c r="E891" i="6" s="1"/>
  <c r="E892" i="6" s="1"/>
  <c r="E893" i="6" s="1"/>
  <c r="E894" i="6" s="1"/>
  <c r="E895" i="6" s="1"/>
  <c r="E896" i="6" s="1"/>
  <c r="E897" i="6" s="1"/>
  <c r="E898" i="6" s="1"/>
  <c r="E899" i="6" s="1"/>
  <c r="E900" i="6" s="1"/>
  <c r="E901" i="6" s="1"/>
  <c r="E902" i="6" s="1"/>
  <c r="E903" i="6" s="1"/>
  <c r="E904" i="6" s="1"/>
  <c r="E905" i="6" s="1"/>
  <c r="E906" i="6" s="1"/>
  <c r="E907" i="6" s="1"/>
  <c r="E908" i="6" s="1"/>
  <c r="E909" i="6" s="1"/>
  <c r="E910" i="6" s="1"/>
  <c r="E911" i="6" s="1"/>
  <c r="E912" i="6" s="1"/>
  <c r="E913" i="6" s="1"/>
  <c r="E914" i="6" s="1"/>
  <c r="E915" i="6" s="1"/>
  <c r="E916" i="6" s="1"/>
  <c r="E917" i="6" s="1"/>
  <c r="E918" i="6" s="1"/>
  <c r="E919" i="6" s="1"/>
  <c r="E920" i="6" s="1"/>
  <c r="E921" i="6" s="1"/>
  <c r="E922" i="6" s="1"/>
  <c r="E923" i="6" s="1"/>
  <c r="E924" i="6" s="1"/>
  <c r="E925" i="6" s="1"/>
  <c r="E926" i="6" s="1"/>
  <c r="E927" i="6" s="1"/>
  <c r="E928" i="6" s="1"/>
  <c r="E929" i="6" s="1"/>
  <c r="E930" i="6" s="1"/>
  <c r="E931" i="6" s="1"/>
  <c r="E932" i="6" s="1"/>
  <c r="E933" i="6" s="1"/>
  <c r="E934" i="6" s="1"/>
  <c r="E935" i="6" s="1"/>
  <c r="E936" i="6" s="1"/>
  <c r="E937" i="6" s="1"/>
  <c r="E938" i="6" s="1"/>
  <c r="E939" i="6" s="1"/>
  <c r="E940" i="6" s="1"/>
  <c r="E941" i="6" s="1"/>
  <c r="E942" i="6" s="1"/>
  <c r="E943" i="6" s="1"/>
  <c r="E944" i="6" s="1"/>
  <c r="E945" i="6" s="1"/>
  <c r="E946" i="6" s="1"/>
  <c r="E947" i="6" s="1"/>
  <c r="E2905" i="6"/>
  <c r="E2906" i="6" s="1"/>
  <c r="E2907" i="6" s="1"/>
  <c r="E2908" i="6" s="1"/>
  <c r="E2909" i="6" s="1"/>
  <c r="E2910" i="6" s="1"/>
  <c r="E2911" i="6" s="1"/>
  <c r="E2912" i="6" s="1"/>
  <c r="E2913" i="6" s="1"/>
  <c r="E2914" i="6" s="1"/>
  <c r="E2915" i="6" s="1"/>
  <c r="E2916" i="6" s="1"/>
  <c r="E2917" i="6" s="1"/>
  <c r="E2918" i="6" s="1"/>
  <c r="E2919" i="6" s="1"/>
  <c r="E2920" i="6" s="1"/>
  <c r="E2921" i="6" s="1"/>
  <c r="E2922" i="6" s="1"/>
  <c r="E2923" i="6" s="1"/>
  <c r="E2924" i="6" s="1"/>
  <c r="E2925" i="6" s="1"/>
  <c r="E2926" i="6" s="1"/>
  <c r="E2927" i="6" s="1"/>
  <c r="E2928" i="6" s="1"/>
  <c r="E2929" i="6" s="1"/>
  <c r="E2930" i="6" s="1"/>
  <c r="E2931" i="6" s="1"/>
  <c r="E2932" i="6" s="1"/>
  <c r="E2933" i="6" s="1"/>
  <c r="E2934" i="6" s="1"/>
  <c r="E2935" i="6" s="1"/>
  <c r="E2936" i="6" s="1"/>
  <c r="E2937" i="6" s="1"/>
  <c r="E2938" i="6" s="1"/>
  <c r="E2939" i="6" s="1"/>
  <c r="E2940" i="6" s="1"/>
  <c r="E2941" i="6" s="1"/>
  <c r="E2942" i="6" s="1"/>
  <c r="E2943" i="6" s="1"/>
  <c r="E2944" i="6" s="1"/>
  <c r="E2945" i="6" s="1"/>
  <c r="E2946" i="6" s="1"/>
  <c r="E2947" i="6" s="1"/>
  <c r="E2948" i="6" s="1"/>
  <c r="E2949" i="6" s="1"/>
  <c r="E2950" i="6" s="1"/>
  <c r="E2951" i="6" s="1"/>
  <c r="E2952" i="6" s="1"/>
  <c r="E2953" i="6" s="1"/>
  <c r="E2954" i="6" s="1"/>
  <c r="E2955" i="6" s="1"/>
  <c r="E2956" i="6" s="1"/>
  <c r="E2957" i="6" s="1"/>
  <c r="E2958" i="6" s="1"/>
  <c r="E2959" i="6" s="1"/>
  <c r="E2960" i="6" s="1"/>
  <c r="E2961" i="6" s="1"/>
  <c r="E2962" i="6" s="1"/>
  <c r="E2963" i="6" s="1"/>
  <c r="E4921" i="6"/>
  <c r="E4922" i="6" s="1"/>
  <c r="E4923" i="6" s="1"/>
  <c r="E4924" i="6" s="1"/>
  <c r="E4925" i="6" s="1"/>
  <c r="E4926" i="6" s="1"/>
  <c r="E4927" i="6" s="1"/>
  <c r="E4928" i="6" s="1"/>
  <c r="E4929" i="6" s="1"/>
  <c r="E4930" i="6" s="1"/>
  <c r="E4931" i="6" s="1"/>
  <c r="E4932" i="6" s="1"/>
  <c r="E4933" i="6" s="1"/>
  <c r="E4934" i="6" s="1"/>
  <c r="E4935" i="6" s="1"/>
  <c r="E4936" i="6" s="1"/>
  <c r="E4937" i="6" s="1"/>
  <c r="E4938" i="6" s="1"/>
  <c r="E4939" i="6" s="1"/>
  <c r="E4940" i="6" s="1"/>
  <c r="E4941" i="6" s="1"/>
  <c r="E4942" i="6" s="1"/>
  <c r="E4943" i="6" s="1"/>
  <c r="E4944" i="6" s="1"/>
  <c r="E4945" i="6" s="1"/>
  <c r="E4946" i="6" s="1"/>
  <c r="E4947" i="6" s="1"/>
  <c r="E4948" i="6" s="1"/>
  <c r="E4949" i="6" s="1"/>
  <c r="E4950" i="6" s="1"/>
  <c r="E4951" i="6" s="1"/>
  <c r="E4952" i="6" s="1"/>
  <c r="E4953" i="6" s="1"/>
  <c r="E4954" i="6" s="1"/>
  <c r="E4955" i="6" s="1"/>
  <c r="E4956" i="6" s="1"/>
  <c r="E4957" i="6" s="1"/>
  <c r="E4958" i="6" s="1"/>
  <c r="E4959" i="6" s="1"/>
  <c r="E4960" i="6" s="1"/>
  <c r="E4961" i="6" s="1"/>
  <c r="E4962" i="6" s="1"/>
  <c r="E4963" i="6" s="1"/>
  <c r="E4964" i="6" s="1"/>
  <c r="E4965" i="6" s="1"/>
  <c r="E4966" i="6" s="1"/>
  <c r="E4967" i="6" s="1"/>
  <c r="E4968" i="6" s="1"/>
  <c r="E4969" i="6" s="1"/>
  <c r="E4970" i="6" s="1"/>
  <c r="E4971" i="6" s="1"/>
  <c r="E4972" i="6" s="1"/>
  <c r="E4973" i="6" s="1"/>
  <c r="E4974" i="6" s="1"/>
  <c r="E4975" i="6" s="1"/>
  <c r="E4976" i="6" s="1"/>
  <c r="E4977" i="6" s="1"/>
  <c r="E4978" i="6" s="1"/>
  <c r="E4979" i="6" s="1"/>
  <c r="E6937" i="6"/>
  <c r="E6938" i="6" s="1"/>
  <c r="E6939" i="6" s="1"/>
  <c r="E6940" i="6" s="1"/>
  <c r="E6941" i="6" s="1"/>
  <c r="E6942" i="6" s="1"/>
  <c r="E6943" i="6" s="1"/>
  <c r="E6944" i="6" s="1"/>
  <c r="E6945" i="6" s="1"/>
  <c r="E6946" i="6" s="1"/>
  <c r="E6947" i="6" s="1"/>
  <c r="E6948" i="6" s="1"/>
  <c r="E6949" i="6" s="1"/>
  <c r="E6950" i="6" s="1"/>
  <c r="E6951" i="6" s="1"/>
  <c r="E6952" i="6" s="1"/>
  <c r="E6953" i="6" s="1"/>
  <c r="E6954" i="6" s="1"/>
  <c r="E6955" i="6" s="1"/>
  <c r="E6956" i="6" s="1"/>
  <c r="E6957" i="6" s="1"/>
  <c r="E6958" i="6" s="1"/>
  <c r="E6959" i="6" s="1"/>
  <c r="E6960" i="6" s="1"/>
  <c r="E6961" i="6" s="1"/>
  <c r="E6962" i="6" s="1"/>
  <c r="E6963" i="6" s="1"/>
  <c r="E6964" i="6" s="1"/>
  <c r="E6965" i="6" s="1"/>
  <c r="E6966" i="6" s="1"/>
  <c r="E6967" i="6" s="1"/>
  <c r="E6968" i="6" s="1"/>
  <c r="E6969" i="6" s="1"/>
  <c r="E6970" i="6" s="1"/>
  <c r="E6971" i="6" s="1"/>
  <c r="E6972" i="6" s="1"/>
  <c r="E6973" i="6" s="1"/>
  <c r="E6974" i="6" s="1"/>
  <c r="E6975" i="6" s="1"/>
  <c r="E6976" i="6" s="1"/>
  <c r="E6977" i="6" s="1"/>
  <c r="E6978" i="6" s="1"/>
  <c r="E6979" i="6" s="1"/>
  <c r="E6980" i="6" s="1"/>
  <c r="E6981" i="6" s="1"/>
  <c r="E6982" i="6" s="1"/>
  <c r="E6983" i="6" s="1"/>
  <c r="E6984" i="6" s="1"/>
  <c r="E6985" i="6" s="1"/>
  <c r="E6986" i="6" s="1"/>
  <c r="E6987" i="6" s="1"/>
  <c r="E6988" i="6" s="1"/>
  <c r="E6989" i="6" s="1"/>
  <c r="E6990" i="6" s="1"/>
  <c r="E6991" i="6" s="1"/>
  <c r="E6992" i="6" s="1"/>
  <c r="E6993" i="6" s="1"/>
  <c r="E6994" i="6" s="1"/>
  <c r="E6995" i="6" s="1"/>
  <c r="E1519" i="6"/>
  <c r="E1520" i="6" s="1"/>
  <c r="E1521" i="6" s="1"/>
  <c r="E1522" i="6" s="1"/>
  <c r="E1523" i="6" s="1"/>
  <c r="E1524" i="6" s="1"/>
  <c r="E1525" i="6" s="1"/>
  <c r="E1526" i="6" s="1"/>
  <c r="E1527" i="6" s="1"/>
  <c r="E1528" i="6" s="1"/>
  <c r="E1529" i="6" s="1"/>
  <c r="E1530" i="6" s="1"/>
  <c r="E1531" i="6" s="1"/>
  <c r="E1532" i="6" s="1"/>
  <c r="E1533" i="6" s="1"/>
  <c r="E1534" i="6" s="1"/>
  <c r="E1535" i="6" s="1"/>
  <c r="E1536" i="6" s="1"/>
  <c r="E1537" i="6" s="1"/>
  <c r="E1538" i="6" s="1"/>
  <c r="E1539" i="6" s="1"/>
  <c r="E1540" i="6" s="1"/>
  <c r="E1541" i="6" s="1"/>
  <c r="E1542" i="6" s="1"/>
  <c r="E1543" i="6" s="1"/>
  <c r="E1544" i="6" s="1"/>
  <c r="E1545" i="6" s="1"/>
  <c r="E1546" i="6" s="1"/>
  <c r="E1547" i="6" s="1"/>
  <c r="E1548" i="6" s="1"/>
  <c r="E1549" i="6" s="1"/>
  <c r="E1550" i="6" s="1"/>
  <c r="E1551" i="6" s="1"/>
  <c r="E1552" i="6" s="1"/>
  <c r="E1553" i="6" s="1"/>
  <c r="E1554" i="6" s="1"/>
  <c r="E1555" i="6" s="1"/>
  <c r="E1556" i="6" s="1"/>
  <c r="E1557" i="6" s="1"/>
  <c r="E1558" i="6" s="1"/>
  <c r="E1559" i="6" s="1"/>
  <c r="E1560" i="6" s="1"/>
  <c r="E1561" i="6" s="1"/>
  <c r="E1562" i="6" s="1"/>
  <c r="E1563" i="6" s="1"/>
  <c r="E1564" i="6" s="1"/>
  <c r="E1565" i="6" s="1"/>
  <c r="E1566" i="6" s="1"/>
  <c r="E1567" i="6" s="1"/>
  <c r="E1568" i="6" s="1"/>
  <c r="E1569" i="6" s="1"/>
  <c r="E1570" i="6" s="1"/>
  <c r="E1571" i="6" s="1"/>
  <c r="E1572" i="6" s="1"/>
  <c r="E1573" i="6" s="1"/>
  <c r="E1574" i="6" s="1"/>
  <c r="E1575" i="6" s="1"/>
  <c r="E1576" i="6" s="1"/>
  <c r="E1577" i="6" s="1"/>
  <c r="E3535" i="6"/>
  <c r="E3536" i="6" s="1"/>
  <c r="E3537" i="6" s="1"/>
  <c r="E3538" i="6" s="1"/>
  <c r="E3539" i="6" s="1"/>
  <c r="E3540" i="6" s="1"/>
  <c r="E3541" i="6" s="1"/>
  <c r="E3542" i="6" s="1"/>
  <c r="E3543" i="6" s="1"/>
  <c r="E3544" i="6" s="1"/>
  <c r="E3545" i="6" s="1"/>
  <c r="E3546" i="6" s="1"/>
  <c r="E3547" i="6" s="1"/>
  <c r="E3548" i="6" s="1"/>
  <c r="E3549" i="6" s="1"/>
  <c r="E3550" i="6" s="1"/>
  <c r="E3551" i="6" s="1"/>
  <c r="E3552" i="6" s="1"/>
  <c r="E3553" i="6" s="1"/>
  <c r="E3554" i="6" s="1"/>
  <c r="E3555" i="6" s="1"/>
  <c r="E3556" i="6" s="1"/>
  <c r="E3557" i="6" s="1"/>
  <c r="E3558" i="6" s="1"/>
  <c r="E3559" i="6" s="1"/>
  <c r="E3560" i="6" s="1"/>
  <c r="E3561" i="6" s="1"/>
  <c r="E3562" i="6" s="1"/>
  <c r="E3563" i="6" s="1"/>
  <c r="E3564" i="6" s="1"/>
  <c r="E3565" i="6" s="1"/>
  <c r="E3566" i="6" s="1"/>
  <c r="E3567" i="6" s="1"/>
  <c r="E3568" i="6" s="1"/>
  <c r="E3569" i="6" s="1"/>
  <c r="E3570" i="6" s="1"/>
  <c r="E3571" i="6" s="1"/>
  <c r="E3572" i="6" s="1"/>
  <c r="E3573" i="6" s="1"/>
  <c r="E3574" i="6" s="1"/>
  <c r="E3575" i="6" s="1"/>
  <c r="E3576" i="6" s="1"/>
  <c r="E3577" i="6" s="1"/>
  <c r="E3578" i="6" s="1"/>
  <c r="E3579" i="6" s="1"/>
  <c r="E3580" i="6" s="1"/>
  <c r="E3581" i="6" s="1"/>
  <c r="E3582" i="6" s="1"/>
  <c r="E3583" i="6" s="1"/>
  <c r="E3584" i="6" s="1"/>
  <c r="E3585" i="6" s="1"/>
  <c r="E3586" i="6" s="1"/>
  <c r="E3587" i="6" s="1"/>
  <c r="E3588" i="6" s="1"/>
  <c r="E3589" i="6" s="1"/>
  <c r="E3590" i="6" s="1"/>
  <c r="E3591" i="6" s="1"/>
  <c r="E3592" i="6" s="1"/>
  <c r="E3593" i="6" s="1"/>
  <c r="E5551" i="6"/>
  <c r="E5552" i="6" s="1"/>
  <c r="E5553" i="6" s="1"/>
  <c r="E5554" i="6" s="1"/>
  <c r="E5555" i="6" s="1"/>
  <c r="E5556" i="6" s="1"/>
  <c r="E5557" i="6" s="1"/>
  <c r="E5558" i="6" s="1"/>
  <c r="E5559" i="6" s="1"/>
  <c r="E5560" i="6" s="1"/>
  <c r="E5561" i="6" s="1"/>
  <c r="E5562" i="6" s="1"/>
  <c r="E5563" i="6" s="1"/>
  <c r="E5564" i="6" s="1"/>
  <c r="E5565" i="6" s="1"/>
  <c r="E5566" i="6" s="1"/>
  <c r="E5567" i="6" s="1"/>
  <c r="E5568" i="6" s="1"/>
  <c r="E5569" i="6" s="1"/>
  <c r="E5570" i="6" s="1"/>
  <c r="E5571" i="6" s="1"/>
  <c r="E5572" i="6" s="1"/>
  <c r="E5573" i="6" s="1"/>
  <c r="E5574" i="6" s="1"/>
  <c r="E5575" i="6" s="1"/>
  <c r="E5576" i="6" s="1"/>
  <c r="E5577" i="6" s="1"/>
  <c r="E5578" i="6" s="1"/>
  <c r="E5579" i="6" s="1"/>
  <c r="E5580" i="6" s="1"/>
  <c r="E5581" i="6" s="1"/>
  <c r="E5582" i="6" s="1"/>
  <c r="E5583" i="6" s="1"/>
  <c r="E5584" i="6" s="1"/>
  <c r="E5585" i="6" s="1"/>
  <c r="E5586" i="6" s="1"/>
  <c r="E5587" i="6" s="1"/>
  <c r="E5588" i="6" s="1"/>
  <c r="E5589" i="6" s="1"/>
  <c r="E5590" i="6" s="1"/>
  <c r="E5591" i="6" s="1"/>
  <c r="E5592" i="6" s="1"/>
  <c r="E5593" i="6" s="1"/>
  <c r="E5594" i="6" s="1"/>
  <c r="E5595" i="6" s="1"/>
  <c r="E5596" i="6" s="1"/>
  <c r="E5597" i="6" s="1"/>
  <c r="E5598" i="6" s="1"/>
  <c r="E5599" i="6" s="1"/>
  <c r="E5600" i="6" s="1"/>
  <c r="E5601" i="6" s="1"/>
  <c r="E5602" i="6" s="1"/>
  <c r="E5603" i="6" s="1"/>
  <c r="E5604" i="6" s="1"/>
  <c r="E5605" i="6" s="1"/>
  <c r="E5606" i="6" s="1"/>
  <c r="E5607" i="6" s="1"/>
  <c r="E5608" i="6" s="1"/>
  <c r="E5609" i="6" s="1"/>
  <c r="E7567" i="6"/>
  <c r="E7568" i="6" s="1"/>
  <c r="E7569" i="6" s="1"/>
  <c r="E7570" i="6" s="1"/>
  <c r="E7571" i="6" s="1"/>
  <c r="E7572" i="6" s="1"/>
  <c r="E7573" i="6" s="1"/>
  <c r="E7574" i="6" s="1"/>
  <c r="E7575" i="6" s="1"/>
  <c r="E7576" i="6" s="1"/>
  <c r="E7577" i="6" s="1"/>
  <c r="E7578" i="6" s="1"/>
  <c r="E7579" i="6" s="1"/>
  <c r="E7580" i="6" s="1"/>
  <c r="E7581" i="6" s="1"/>
  <c r="E7582" i="6" s="1"/>
  <c r="E7583" i="6" s="1"/>
  <c r="E7584" i="6" s="1"/>
  <c r="E7585" i="6" s="1"/>
  <c r="E7586" i="6" s="1"/>
  <c r="E7587" i="6" s="1"/>
  <c r="E7588" i="6" s="1"/>
  <c r="E7589" i="6" s="1"/>
  <c r="E7590" i="6" s="1"/>
  <c r="E7591" i="6" s="1"/>
  <c r="E7592" i="6" s="1"/>
  <c r="E7593" i="6" s="1"/>
  <c r="E7594" i="6" s="1"/>
  <c r="E7595" i="6" s="1"/>
  <c r="E7596" i="6" s="1"/>
  <c r="E7597" i="6" s="1"/>
  <c r="E7598" i="6" s="1"/>
  <c r="E7599" i="6" s="1"/>
  <c r="E7600" i="6" s="1"/>
  <c r="E7601" i="6" s="1"/>
  <c r="E7602" i="6" s="1"/>
  <c r="E7603" i="6" s="1"/>
  <c r="E7604" i="6" s="1"/>
  <c r="E7605" i="6" s="1"/>
  <c r="E7606" i="6" s="1"/>
  <c r="E7607" i="6" s="1"/>
  <c r="E7608" i="6" s="1"/>
  <c r="E7609" i="6" s="1"/>
  <c r="E7610" i="6" s="1"/>
  <c r="E7611" i="6" s="1"/>
  <c r="E7612" i="6" s="1"/>
  <c r="E7613" i="6" s="1"/>
  <c r="E7614" i="6" s="1"/>
  <c r="E7615" i="6" s="1"/>
  <c r="E7616" i="6" s="1"/>
  <c r="E7617" i="6" s="1"/>
  <c r="E7618" i="6" s="1"/>
  <c r="E7619" i="6" s="1"/>
  <c r="E7620" i="6" s="1"/>
  <c r="E7621" i="6" s="1"/>
  <c r="E7622" i="6" s="1"/>
  <c r="E7623" i="6" s="1"/>
  <c r="E7624" i="6" s="1"/>
  <c r="E7625" i="6" s="1"/>
  <c r="E4102" i="6"/>
  <c r="E4103" i="6" s="1"/>
  <c r="E4104" i="6" s="1"/>
  <c r="E4105" i="6" s="1"/>
  <c r="E4106" i="6" s="1"/>
  <c r="E4107" i="6" s="1"/>
  <c r="E4108" i="6" s="1"/>
  <c r="E4109" i="6" s="1"/>
  <c r="E4110" i="6" s="1"/>
  <c r="E4111" i="6" s="1"/>
  <c r="E4112" i="6" s="1"/>
  <c r="E4113" i="6" s="1"/>
  <c r="E4114" i="6" s="1"/>
  <c r="E4115" i="6" s="1"/>
  <c r="E4116" i="6" s="1"/>
  <c r="E4117" i="6" s="1"/>
  <c r="E4118" i="6" s="1"/>
  <c r="E4119" i="6" s="1"/>
  <c r="E4120" i="6" s="1"/>
  <c r="E4121" i="6" s="1"/>
  <c r="E4122" i="6" s="1"/>
  <c r="E4123" i="6" s="1"/>
  <c r="E4124" i="6" s="1"/>
  <c r="E4125" i="6" s="1"/>
  <c r="E4126" i="6" s="1"/>
  <c r="E4127" i="6" s="1"/>
  <c r="E4128" i="6" s="1"/>
  <c r="E4129" i="6" s="1"/>
  <c r="E4130" i="6" s="1"/>
  <c r="E4131" i="6" s="1"/>
  <c r="E4132" i="6" s="1"/>
  <c r="E4133" i="6" s="1"/>
  <c r="E4134" i="6" s="1"/>
  <c r="E4135" i="6" s="1"/>
  <c r="E4136" i="6" s="1"/>
  <c r="E4137" i="6" s="1"/>
  <c r="E4138" i="6" s="1"/>
  <c r="E4139" i="6" s="1"/>
  <c r="E4140" i="6" s="1"/>
  <c r="E4141" i="6" s="1"/>
  <c r="E4142" i="6" s="1"/>
  <c r="E4143" i="6" s="1"/>
  <c r="E4144" i="6" s="1"/>
  <c r="E4145" i="6" s="1"/>
  <c r="E4146" i="6" s="1"/>
  <c r="E4147" i="6" s="1"/>
  <c r="E4148" i="6" s="1"/>
  <c r="E4149" i="6" s="1"/>
  <c r="E4150" i="6" s="1"/>
  <c r="E4151" i="6" s="1"/>
  <c r="E4152" i="6" s="1"/>
  <c r="E4153" i="6" s="1"/>
  <c r="E4154" i="6" s="1"/>
  <c r="E4155" i="6" s="1"/>
  <c r="E4156" i="6" s="1"/>
  <c r="E4157" i="6" s="1"/>
  <c r="E4158" i="6" s="1"/>
  <c r="E4159" i="6" s="1"/>
  <c r="E4160" i="6" s="1"/>
  <c r="E8131" i="6"/>
  <c r="E8132" i="6" s="1"/>
  <c r="E8133" i="6" s="1"/>
  <c r="E8134" i="6" s="1"/>
  <c r="E8135" i="6" s="1"/>
  <c r="E8136" i="6" s="1"/>
  <c r="E8137" i="6" s="1"/>
  <c r="E8138" i="6" s="1"/>
  <c r="E8139" i="6" s="1"/>
  <c r="E8140" i="6" s="1"/>
  <c r="E8141" i="6" s="1"/>
  <c r="E8142" i="6" s="1"/>
  <c r="E8143" i="6" s="1"/>
  <c r="E8144" i="6" s="1"/>
  <c r="E8145" i="6" s="1"/>
  <c r="E8146" i="6" s="1"/>
  <c r="E8147" i="6" s="1"/>
  <c r="E8148" i="6" s="1"/>
  <c r="E8149" i="6" s="1"/>
  <c r="E8150" i="6" s="1"/>
  <c r="E8151" i="6" s="1"/>
  <c r="E8152" i="6" s="1"/>
  <c r="E8153" i="6" s="1"/>
  <c r="E8154" i="6" s="1"/>
  <c r="E8155" i="6" s="1"/>
  <c r="E8156" i="6" s="1"/>
  <c r="E8157" i="6" s="1"/>
  <c r="E8158" i="6" s="1"/>
  <c r="E8159" i="6" s="1"/>
  <c r="E8160" i="6" s="1"/>
  <c r="E8161" i="6" s="1"/>
  <c r="E8162" i="6" s="1"/>
  <c r="E8163" i="6" s="1"/>
  <c r="E8164" i="6" s="1"/>
  <c r="E8165" i="6" s="1"/>
  <c r="E8166" i="6" s="1"/>
  <c r="E8167" i="6" s="1"/>
  <c r="E8168" i="6" s="1"/>
  <c r="E8169" i="6" s="1"/>
  <c r="E8170" i="6" s="1"/>
  <c r="E8171" i="6" s="1"/>
  <c r="E8172" i="6" s="1"/>
  <c r="E8173" i="6" s="1"/>
  <c r="E8174" i="6" s="1"/>
  <c r="E8175" i="6" s="1"/>
  <c r="E8176" i="6" s="1"/>
  <c r="E8177" i="6" s="1"/>
  <c r="E8178" i="6" s="1"/>
  <c r="E8179" i="6" s="1"/>
  <c r="E8180" i="6" s="1"/>
  <c r="E8181" i="6" s="1"/>
  <c r="E8182" i="6" s="1"/>
  <c r="E8183" i="6" s="1"/>
  <c r="E8184" i="6" s="1"/>
  <c r="E8185" i="6" s="1"/>
  <c r="E8186" i="6" s="1"/>
  <c r="E8187" i="6" s="1"/>
  <c r="E8188" i="6" s="1"/>
  <c r="E8189" i="6" s="1"/>
  <c r="E637" i="6"/>
  <c r="E638" i="6" s="1"/>
  <c r="E639" i="6" s="1"/>
  <c r="E640" i="6" s="1"/>
  <c r="E641" i="6" s="1"/>
  <c r="E642" i="6" s="1"/>
  <c r="E643" i="6" s="1"/>
  <c r="E644" i="6" s="1"/>
  <c r="E645" i="6" s="1"/>
  <c r="E646" i="6" s="1"/>
  <c r="E647" i="6" s="1"/>
  <c r="E648" i="6" s="1"/>
  <c r="E649" i="6" s="1"/>
  <c r="E650" i="6" s="1"/>
  <c r="E651" i="6" s="1"/>
  <c r="E652" i="6" s="1"/>
  <c r="E653" i="6" s="1"/>
  <c r="E654" i="6" s="1"/>
  <c r="E655" i="6" s="1"/>
  <c r="E656" i="6" s="1"/>
  <c r="E657" i="6" s="1"/>
  <c r="E658" i="6" s="1"/>
  <c r="E659" i="6" s="1"/>
  <c r="E660" i="6" s="1"/>
  <c r="E661" i="6" s="1"/>
  <c r="E662" i="6" s="1"/>
  <c r="E663" i="6" s="1"/>
  <c r="E664" i="6" s="1"/>
  <c r="E665" i="6" s="1"/>
  <c r="E666" i="6" s="1"/>
  <c r="E667" i="6" s="1"/>
  <c r="E668" i="6" s="1"/>
  <c r="E669" i="6" s="1"/>
  <c r="E670" i="6" s="1"/>
  <c r="E671" i="6" s="1"/>
  <c r="E672" i="6" s="1"/>
  <c r="E673" i="6" s="1"/>
  <c r="E674" i="6" s="1"/>
  <c r="E675" i="6" s="1"/>
  <c r="E676" i="6" s="1"/>
  <c r="E677" i="6" s="1"/>
  <c r="E678" i="6" s="1"/>
  <c r="E679" i="6" s="1"/>
  <c r="E680" i="6" s="1"/>
  <c r="E681" i="6" s="1"/>
  <c r="E682" i="6" s="1"/>
  <c r="E683" i="6" s="1"/>
  <c r="E684" i="6" s="1"/>
  <c r="E685" i="6" s="1"/>
  <c r="E686" i="6" s="1"/>
  <c r="E687" i="6" s="1"/>
  <c r="E688" i="6" s="1"/>
  <c r="E689" i="6" s="1"/>
  <c r="E690" i="6" s="1"/>
  <c r="E691" i="6" s="1"/>
  <c r="E692" i="6" s="1"/>
  <c r="E693" i="6" s="1"/>
  <c r="E694" i="6" s="1"/>
  <c r="E695" i="6" s="1"/>
  <c r="E1141" i="6"/>
  <c r="E1142" i="6" s="1"/>
  <c r="E1143" i="6" s="1"/>
  <c r="E1144" i="6" s="1"/>
  <c r="E1145" i="6" s="1"/>
  <c r="E1146" i="6" s="1"/>
  <c r="E1147" i="6" s="1"/>
  <c r="E1148" i="6" s="1"/>
  <c r="E1149" i="6" s="1"/>
  <c r="E1150" i="6" s="1"/>
  <c r="E1151" i="6" s="1"/>
  <c r="E1152" i="6" s="1"/>
  <c r="E1153" i="6" s="1"/>
  <c r="E1154" i="6" s="1"/>
  <c r="E1155" i="6" s="1"/>
  <c r="E1156" i="6" s="1"/>
  <c r="E1157" i="6" s="1"/>
  <c r="E1158" i="6" s="1"/>
  <c r="E1159" i="6" s="1"/>
  <c r="E1160" i="6" s="1"/>
  <c r="E1161" i="6" s="1"/>
  <c r="E1162" i="6" s="1"/>
  <c r="E1163" i="6" s="1"/>
  <c r="E1164" i="6" s="1"/>
  <c r="E1165" i="6" s="1"/>
  <c r="E1166" i="6" s="1"/>
  <c r="E1167" i="6" s="1"/>
  <c r="E1168" i="6" s="1"/>
  <c r="E1169" i="6" s="1"/>
  <c r="E1170" i="6" s="1"/>
  <c r="E1171" i="6" s="1"/>
  <c r="E1172" i="6" s="1"/>
  <c r="E1173" i="6" s="1"/>
  <c r="E1174" i="6" s="1"/>
  <c r="E1175" i="6" s="1"/>
  <c r="E1176" i="6" s="1"/>
  <c r="E1177" i="6" s="1"/>
  <c r="E1178" i="6" s="1"/>
  <c r="E1179" i="6" s="1"/>
  <c r="E1180" i="6" s="1"/>
  <c r="E1181" i="6" s="1"/>
  <c r="E1182" i="6" s="1"/>
  <c r="E1183" i="6" s="1"/>
  <c r="E1184" i="6" s="1"/>
  <c r="E1185" i="6" s="1"/>
  <c r="E1186" i="6" s="1"/>
  <c r="E1187" i="6" s="1"/>
  <c r="E1188" i="6" s="1"/>
  <c r="E1189" i="6" s="1"/>
  <c r="E1190" i="6" s="1"/>
  <c r="E1191" i="6" s="1"/>
  <c r="E1192" i="6" s="1"/>
  <c r="E1193" i="6" s="1"/>
  <c r="E1194" i="6" s="1"/>
  <c r="E1195" i="6" s="1"/>
  <c r="E1196" i="6" s="1"/>
  <c r="E1197" i="6" s="1"/>
  <c r="E1198" i="6" s="1"/>
  <c r="E1199" i="6" s="1"/>
  <c r="E1645" i="6"/>
  <c r="E1646" i="6" s="1"/>
  <c r="E1647" i="6" s="1"/>
  <c r="E1648" i="6" s="1"/>
  <c r="E1649" i="6" s="1"/>
  <c r="E1650" i="6" s="1"/>
  <c r="E1651" i="6" s="1"/>
  <c r="E1652" i="6" s="1"/>
  <c r="E1653" i="6" s="1"/>
  <c r="E1654" i="6" s="1"/>
  <c r="E1655" i="6" s="1"/>
  <c r="E1656" i="6" s="1"/>
  <c r="E1657" i="6" s="1"/>
  <c r="E1658" i="6" s="1"/>
  <c r="E1659" i="6" s="1"/>
  <c r="E1660" i="6" s="1"/>
  <c r="E1661" i="6" s="1"/>
  <c r="E1662" i="6" s="1"/>
  <c r="E1663" i="6" s="1"/>
  <c r="E1664" i="6" s="1"/>
  <c r="E1665" i="6" s="1"/>
  <c r="E1666" i="6" s="1"/>
  <c r="E1667" i="6" s="1"/>
  <c r="E1668" i="6" s="1"/>
  <c r="E1669" i="6" s="1"/>
  <c r="E1670" i="6" s="1"/>
  <c r="E1671" i="6" s="1"/>
  <c r="E1672" i="6" s="1"/>
  <c r="E1673" i="6" s="1"/>
  <c r="E1674" i="6" s="1"/>
  <c r="E1675" i="6" s="1"/>
  <c r="E1676" i="6" s="1"/>
  <c r="E1677" i="6" s="1"/>
  <c r="E1678" i="6" s="1"/>
  <c r="E1679" i="6" s="1"/>
  <c r="E1680" i="6" s="1"/>
  <c r="E1681" i="6" s="1"/>
  <c r="E1682" i="6" s="1"/>
  <c r="E1683" i="6" s="1"/>
  <c r="E1684" i="6" s="1"/>
  <c r="E1685" i="6" s="1"/>
  <c r="E1686" i="6" s="1"/>
  <c r="E1687" i="6" s="1"/>
  <c r="E1688" i="6" s="1"/>
  <c r="E1689" i="6" s="1"/>
  <c r="E1690" i="6" s="1"/>
  <c r="E1691" i="6" s="1"/>
  <c r="E1692" i="6" s="1"/>
  <c r="E1693" i="6" s="1"/>
  <c r="E1694" i="6" s="1"/>
  <c r="E1695" i="6" s="1"/>
  <c r="E1696" i="6" s="1"/>
  <c r="E1697" i="6" s="1"/>
  <c r="E1698" i="6" s="1"/>
  <c r="E1699" i="6" s="1"/>
  <c r="E1700" i="6" s="1"/>
  <c r="E1701" i="6" s="1"/>
  <c r="E1702" i="6" s="1"/>
  <c r="E1703" i="6" s="1"/>
  <c r="E2653" i="6"/>
  <c r="E2654" i="6" s="1"/>
  <c r="E2655" i="6" s="1"/>
  <c r="E2656" i="6" s="1"/>
  <c r="E2657" i="6" s="1"/>
  <c r="E2658" i="6" s="1"/>
  <c r="E2659" i="6" s="1"/>
  <c r="E2660" i="6" s="1"/>
  <c r="E2661" i="6" s="1"/>
  <c r="E2662" i="6" s="1"/>
  <c r="E2663" i="6" s="1"/>
  <c r="E2664" i="6" s="1"/>
  <c r="E2665" i="6" s="1"/>
  <c r="E2666" i="6" s="1"/>
  <c r="E2667" i="6" s="1"/>
  <c r="E2668" i="6" s="1"/>
  <c r="E2669" i="6" s="1"/>
  <c r="E2670" i="6" s="1"/>
  <c r="E2671" i="6" s="1"/>
  <c r="E2672" i="6" s="1"/>
  <c r="E2673" i="6" s="1"/>
  <c r="E2674" i="6" s="1"/>
  <c r="E2675" i="6" s="1"/>
  <c r="E2676" i="6" s="1"/>
  <c r="E2677" i="6" s="1"/>
  <c r="E2678" i="6" s="1"/>
  <c r="E2679" i="6" s="1"/>
  <c r="E2680" i="6" s="1"/>
  <c r="E2681" i="6" s="1"/>
  <c r="E2682" i="6" s="1"/>
  <c r="E2683" i="6" s="1"/>
  <c r="E2684" i="6" s="1"/>
  <c r="E2685" i="6" s="1"/>
  <c r="E2686" i="6" s="1"/>
  <c r="E2687" i="6" s="1"/>
  <c r="E2688" i="6" s="1"/>
  <c r="E2689" i="6" s="1"/>
  <c r="E2690" i="6" s="1"/>
  <c r="E2691" i="6" s="1"/>
  <c r="E2692" i="6" s="1"/>
  <c r="E2693" i="6" s="1"/>
  <c r="E2694" i="6" s="1"/>
  <c r="E2695" i="6" s="1"/>
  <c r="E2696" i="6" s="1"/>
  <c r="E2697" i="6" s="1"/>
  <c r="E2698" i="6" s="1"/>
  <c r="E2699" i="6" s="1"/>
  <c r="E2700" i="6" s="1"/>
  <c r="E2701" i="6" s="1"/>
  <c r="E2702" i="6" s="1"/>
  <c r="E2703" i="6" s="1"/>
  <c r="E2704" i="6" s="1"/>
  <c r="E2705" i="6" s="1"/>
  <c r="E2706" i="6" s="1"/>
  <c r="E2707" i="6" s="1"/>
  <c r="E2708" i="6" s="1"/>
  <c r="E2709" i="6" s="1"/>
  <c r="E2710" i="6" s="1"/>
  <c r="E2711" i="6" s="1"/>
  <c r="E3157" i="6"/>
  <c r="E3158" i="6" s="1"/>
  <c r="E3159" i="6" s="1"/>
  <c r="E3160" i="6" s="1"/>
  <c r="E3161" i="6" s="1"/>
  <c r="E3162" i="6" s="1"/>
  <c r="E3163" i="6" s="1"/>
  <c r="E3164" i="6" s="1"/>
  <c r="E3165" i="6" s="1"/>
  <c r="E3166" i="6" s="1"/>
  <c r="E3167" i="6" s="1"/>
  <c r="E3168" i="6" s="1"/>
  <c r="E3169" i="6" s="1"/>
  <c r="E3170" i="6" s="1"/>
  <c r="E3171" i="6" s="1"/>
  <c r="E3172" i="6" s="1"/>
  <c r="E3173" i="6" s="1"/>
  <c r="E3174" i="6" s="1"/>
  <c r="E3175" i="6" s="1"/>
  <c r="E3176" i="6" s="1"/>
  <c r="E3177" i="6" s="1"/>
  <c r="E3178" i="6" s="1"/>
  <c r="E3179" i="6" s="1"/>
  <c r="E3180" i="6" s="1"/>
  <c r="E3181" i="6" s="1"/>
  <c r="E3182" i="6" s="1"/>
  <c r="E3183" i="6" s="1"/>
  <c r="E3184" i="6" s="1"/>
  <c r="E3185" i="6" s="1"/>
  <c r="E3186" i="6" s="1"/>
  <c r="E3187" i="6" s="1"/>
  <c r="E3188" i="6" s="1"/>
  <c r="E3189" i="6" s="1"/>
  <c r="E3190" i="6" s="1"/>
  <c r="E3191" i="6" s="1"/>
  <c r="E3192" i="6" s="1"/>
  <c r="E3193" i="6" s="1"/>
  <c r="E3194" i="6" s="1"/>
  <c r="E3195" i="6" s="1"/>
  <c r="E3196" i="6" s="1"/>
  <c r="E3197" i="6" s="1"/>
  <c r="E3198" i="6" s="1"/>
  <c r="E3199" i="6" s="1"/>
  <c r="E3200" i="6" s="1"/>
  <c r="E3201" i="6" s="1"/>
  <c r="E3202" i="6" s="1"/>
  <c r="E3203" i="6" s="1"/>
  <c r="E3204" i="6" s="1"/>
  <c r="E3205" i="6" s="1"/>
  <c r="E3206" i="6" s="1"/>
  <c r="E3207" i="6" s="1"/>
  <c r="E3208" i="6" s="1"/>
  <c r="E3209" i="6" s="1"/>
  <c r="E3210" i="6" s="1"/>
  <c r="E3211" i="6" s="1"/>
  <c r="E3212" i="6" s="1"/>
  <c r="E3213" i="6" s="1"/>
  <c r="E3214" i="6" s="1"/>
  <c r="E3215" i="6" s="1"/>
  <c r="E3661" i="6"/>
  <c r="E3662" i="6" s="1"/>
  <c r="E3663" i="6" s="1"/>
  <c r="E3664" i="6" s="1"/>
  <c r="E3665" i="6" s="1"/>
  <c r="E3666" i="6" s="1"/>
  <c r="E3667" i="6" s="1"/>
  <c r="E3668" i="6" s="1"/>
  <c r="E3669" i="6" s="1"/>
  <c r="E3670" i="6" s="1"/>
  <c r="E3671" i="6" s="1"/>
  <c r="E3672" i="6" s="1"/>
  <c r="E3673" i="6" s="1"/>
  <c r="E3674" i="6" s="1"/>
  <c r="E3675" i="6" s="1"/>
  <c r="E3676" i="6" s="1"/>
  <c r="E3677" i="6" s="1"/>
  <c r="E3678" i="6" s="1"/>
  <c r="E3679" i="6" s="1"/>
  <c r="E3680" i="6" s="1"/>
  <c r="E3681" i="6" s="1"/>
  <c r="E3682" i="6" s="1"/>
  <c r="E3683" i="6" s="1"/>
  <c r="E3684" i="6" s="1"/>
  <c r="E3685" i="6" s="1"/>
  <c r="E3686" i="6" s="1"/>
  <c r="E3687" i="6" s="1"/>
  <c r="E3688" i="6" s="1"/>
  <c r="E3689" i="6" s="1"/>
  <c r="E3690" i="6" s="1"/>
  <c r="E3691" i="6" s="1"/>
  <c r="E3692" i="6" s="1"/>
  <c r="E3693" i="6" s="1"/>
  <c r="E3694" i="6" s="1"/>
  <c r="E3695" i="6" s="1"/>
  <c r="E3696" i="6" s="1"/>
  <c r="E3697" i="6" s="1"/>
  <c r="E3698" i="6" s="1"/>
  <c r="E3699" i="6" s="1"/>
  <c r="E3700" i="6" s="1"/>
  <c r="E3701" i="6" s="1"/>
  <c r="E3702" i="6" s="1"/>
  <c r="E3703" i="6" s="1"/>
  <c r="E3704" i="6" s="1"/>
  <c r="E3705" i="6" s="1"/>
  <c r="E3706" i="6" s="1"/>
  <c r="E3707" i="6" s="1"/>
  <c r="E3708" i="6" s="1"/>
  <c r="E3709" i="6" s="1"/>
  <c r="E3710" i="6" s="1"/>
  <c r="E3711" i="6" s="1"/>
  <c r="E3712" i="6" s="1"/>
  <c r="E3713" i="6" s="1"/>
  <c r="E3714" i="6" s="1"/>
  <c r="E3715" i="6" s="1"/>
  <c r="E3716" i="6" s="1"/>
  <c r="E3717" i="6" s="1"/>
  <c r="E3718" i="6" s="1"/>
  <c r="E3719" i="6" s="1"/>
  <c r="E4165" i="6"/>
  <c r="E4166" i="6" s="1"/>
  <c r="E4167" i="6" s="1"/>
  <c r="E4168" i="6" s="1"/>
  <c r="E4169" i="6" s="1"/>
  <c r="E4170" i="6" s="1"/>
  <c r="E4171" i="6" s="1"/>
  <c r="E4172" i="6" s="1"/>
  <c r="E4173" i="6" s="1"/>
  <c r="E4174" i="6" s="1"/>
  <c r="E4175" i="6" s="1"/>
  <c r="E4176" i="6" s="1"/>
  <c r="E4177" i="6" s="1"/>
  <c r="E4178" i="6" s="1"/>
  <c r="E4179" i="6" s="1"/>
  <c r="E4180" i="6" s="1"/>
  <c r="E4181" i="6" s="1"/>
  <c r="E4182" i="6" s="1"/>
  <c r="E4183" i="6" s="1"/>
  <c r="E4184" i="6" s="1"/>
  <c r="E4185" i="6" s="1"/>
  <c r="E4186" i="6" s="1"/>
  <c r="E4187" i="6" s="1"/>
  <c r="E4188" i="6" s="1"/>
  <c r="E4189" i="6" s="1"/>
  <c r="E4190" i="6" s="1"/>
  <c r="E4191" i="6" s="1"/>
  <c r="E4192" i="6" s="1"/>
  <c r="E4193" i="6" s="1"/>
  <c r="E4194" i="6" s="1"/>
  <c r="E4195" i="6" s="1"/>
  <c r="E4196" i="6" s="1"/>
  <c r="E4197" i="6" s="1"/>
  <c r="E4198" i="6" s="1"/>
  <c r="E4199" i="6" s="1"/>
  <c r="E4200" i="6" s="1"/>
  <c r="E4201" i="6" s="1"/>
  <c r="E4202" i="6" s="1"/>
  <c r="E4203" i="6" s="1"/>
  <c r="E4204" i="6" s="1"/>
  <c r="E4205" i="6" s="1"/>
  <c r="E4206" i="6" s="1"/>
  <c r="E4207" i="6" s="1"/>
  <c r="E4208" i="6" s="1"/>
  <c r="E4209" i="6" s="1"/>
  <c r="E4210" i="6" s="1"/>
  <c r="E4211" i="6" s="1"/>
  <c r="E4212" i="6" s="1"/>
  <c r="E4213" i="6" s="1"/>
  <c r="E4214" i="6" s="1"/>
  <c r="E4215" i="6" s="1"/>
  <c r="E4216" i="6" s="1"/>
  <c r="E4217" i="6" s="1"/>
  <c r="E4218" i="6" s="1"/>
  <c r="E4219" i="6" s="1"/>
  <c r="E4220" i="6" s="1"/>
  <c r="E4221" i="6" s="1"/>
  <c r="E4222" i="6" s="1"/>
  <c r="E4223" i="6" s="1"/>
  <c r="E4669" i="6"/>
  <c r="E4670" i="6" s="1"/>
  <c r="E4671" i="6" s="1"/>
  <c r="E4672" i="6" s="1"/>
  <c r="E4673" i="6" s="1"/>
  <c r="E4674" i="6" s="1"/>
  <c r="E4675" i="6" s="1"/>
  <c r="E4676" i="6" s="1"/>
  <c r="E4677" i="6" s="1"/>
  <c r="E4678" i="6" s="1"/>
  <c r="E4679" i="6" s="1"/>
  <c r="E4680" i="6" s="1"/>
  <c r="E4681" i="6" s="1"/>
  <c r="E4682" i="6" s="1"/>
  <c r="E4683" i="6" s="1"/>
  <c r="E4684" i="6" s="1"/>
  <c r="E4685" i="6" s="1"/>
  <c r="E4686" i="6" s="1"/>
  <c r="E4687" i="6" s="1"/>
  <c r="E4688" i="6" s="1"/>
  <c r="E4689" i="6" s="1"/>
  <c r="E4690" i="6" s="1"/>
  <c r="E4691" i="6" s="1"/>
  <c r="E4692" i="6" s="1"/>
  <c r="E4693" i="6" s="1"/>
  <c r="E4694" i="6" s="1"/>
  <c r="E4695" i="6" s="1"/>
  <c r="E4696" i="6" s="1"/>
  <c r="E4697" i="6" s="1"/>
  <c r="E4698" i="6" s="1"/>
  <c r="E4699" i="6" s="1"/>
  <c r="E4700" i="6" s="1"/>
  <c r="E4701" i="6" s="1"/>
  <c r="E4702" i="6" s="1"/>
  <c r="E4703" i="6" s="1"/>
  <c r="E4704" i="6" s="1"/>
  <c r="E4705" i="6" s="1"/>
  <c r="E4706" i="6" s="1"/>
  <c r="E4707" i="6" s="1"/>
  <c r="E4708" i="6" s="1"/>
  <c r="E4709" i="6" s="1"/>
  <c r="E4710" i="6" s="1"/>
  <c r="E4711" i="6" s="1"/>
  <c r="E4712" i="6" s="1"/>
  <c r="E4713" i="6" s="1"/>
  <c r="E4714" i="6" s="1"/>
  <c r="E4715" i="6" s="1"/>
  <c r="E4716" i="6" s="1"/>
  <c r="E4717" i="6" s="1"/>
  <c r="E4718" i="6" s="1"/>
  <c r="E4719" i="6" s="1"/>
  <c r="E4720" i="6" s="1"/>
  <c r="E4721" i="6" s="1"/>
  <c r="E4722" i="6" s="1"/>
  <c r="E4723" i="6" s="1"/>
  <c r="E4724" i="6" s="1"/>
  <c r="E4725" i="6" s="1"/>
  <c r="E4726" i="6" s="1"/>
  <c r="E4727" i="6" s="1"/>
  <c r="E5173" i="6"/>
  <c r="E5174" i="6" s="1"/>
  <c r="E5175" i="6" s="1"/>
  <c r="E5176" i="6" s="1"/>
  <c r="E5177" i="6" s="1"/>
  <c r="E5178" i="6" s="1"/>
  <c r="E5179" i="6" s="1"/>
  <c r="E5180" i="6" s="1"/>
  <c r="E5181" i="6" s="1"/>
  <c r="E5182" i="6" s="1"/>
  <c r="E5183" i="6" s="1"/>
  <c r="E5184" i="6" s="1"/>
  <c r="E5185" i="6" s="1"/>
  <c r="E5186" i="6" s="1"/>
  <c r="E5187" i="6" s="1"/>
  <c r="E5188" i="6" s="1"/>
  <c r="E5189" i="6" s="1"/>
  <c r="E5190" i="6" s="1"/>
  <c r="E5191" i="6" s="1"/>
  <c r="E5192" i="6" s="1"/>
  <c r="E5193" i="6" s="1"/>
  <c r="E5194" i="6" s="1"/>
  <c r="E5195" i="6" s="1"/>
  <c r="E5196" i="6" s="1"/>
  <c r="E5197" i="6" s="1"/>
  <c r="E5198" i="6" s="1"/>
  <c r="E5199" i="6" s="1"/>
  <c r="E5200" i="6" s="1"/>
  <c r="E5201" i="6" s="1"/>
  <c r="E5202" i="6" s="1"/>
  <c r="E5203" i="6" s="1"/>
  <c r="E5204" i="6" s="1"/>
  <c r="E5205" i="6" s="1"/>
  <c r="E5206" i="6" s="1"/>
  <c r="E5207" i="6" s="1"/>
  <c r="E5208" i="6" s="1"/>
  <c r="E5209" i="6" s="1"/>
  <c r="E5210" i="6" s="1"/>
  <c r="E5211" i="6" s="1"/>
  <c r="E5212" i="6" s="1"/>
  <c r="E5213" i="6" s="1"/>
  <c r="E5214" i="6" s="1"/>
  <c r="E5215" i="6" s="1"/>
  <c r="E5216" i="6" s="1"/>
  <c r="E5217" i="6" s="1"/>
  <c r="E5218" i="6" s="1"/>
  <c r="E5219" i="6" s="1"/>
  <c r="E5220" i="6" s="1"/>
  <c r="E5221" i="6" s="1"/>
  <c r="E5222" i="6" s="1"/>
  <c r="E5223" i="6" s="1"/>
  <c r="E5224" i="6" s="1"/>
  <c r="E5225" i="6" s="1"/>
  <c r="E5226" i="6" s="1"/>
  <c r="E5227" i="6" s="1"/>
  <c r="E5228" i="6" s="1"/>
  <c r="E5229" i="6" s="1"/>
  <c r="E5230" i="6" s="1"/>
  <c r="E5231" i="6" s="1"/>
  <c r="E5677" i="6"/>
  <c r="E5678" i="6" s="1"/>
  <c r="E5679" i="6" s="1"/>
  <c r="E5680" i="6" s="1"/>
  <c r="E5681" i="6" s="1"/>
  <c r="E5682" i="6" s="1"/>
  <c r="E5683" i="6" s="1"/>
  <c r="E5684" i="6" s="1"/>
  <c r="E5685" i="6" s="1"/>
  <c r="E5686" i="6" s="1"/>
  <c r="E5687" i="6" s="1"/>
  <c r="E5688" i="6" s="1"/>
  <c r="E5689" i="6" s="1"/>
  <c r="E5690" i="6" s="1"/>
  <c r="E5691" i="6" s="1"/>
  <c r="E5692" i="6" s="1"/>
  <c r="E5693" i="6" s="1"/>
  <c r="E5694" i="6" s="1"/>
  <c r="E5695" i="6" s="1"/>
  <c r="E5696" i="6" s="1"/>
  <c r="E5697" i="6" s="1"/>
  <c r="E5698" i="6" s="1"/>
  <c r="E5699" i="6" s="1"/>
  <c r="E5700" i="6" s="1"/>
  <c r="E5701" i="6" s="1"/>
  <c r="E5702" i="6" s="1"/>
  <c r="E5703" i="6" s="1"/>
  <c r="E5704" i="6" s="1"/>
  <c r="E5705" i="6" s="1"/>
  <c r="E5706" i="6" s="1"/>
  <c r="E5707" i="6" s="1"/>
  <c r="E5708" i="6" s="1"/>
  <c r="E5709" i="6" s="1"/>
  <c r="E5710" i="6" s="1"/>
  <c r="E5711" i="6" s="1"/>
  <c r="E5712" i="6" s="1"/>
  <c r="E5713" i="6" s="1"/>
  <c r="E5714" i="6" s="1"/>
  <c r="E5715" i="6" s="1"/>
  <c r="E5716" i="6" s="1"/>
  <c r="E5717" i="6" s="1"/>
  <c r="E5718" i="6" s="1"/>
  <c r="E5719" i="6" s="1"/>
  <c r="E5720" i="6" s="1"/>
  <c r="E5721" i="6" s="1"/>
  <c r="E5722" i="6" s="1"/>
  <c r="E5723" i="6" s="1"/>
  <c r="E5724" i="6" s="1"/>
  <c r="E5725" i="6" s="1"/>
  <c r="E5726" i="6" s="1"/>
  <c r="E5727" i="6" s="1"/>
  <c r="E5728" i="6" s="1"/>
  <c r="E5729" i="6" s="1"/>
  <c r="E5730" i="6" s="1"/>
  <c r="E5731" i="6" s="1"/>
  <c r="E5732" i="6" s="1"/>
  <c r="E5733" i="6" s="1"/>
  <c r="E5734" i="6" s="1"/>
  <c r="E5735" i="6" s="1"/>
  <c r="E6685" i="6"/>
  <c r="E6686" i="6" s="1"/>
  <c r="E6687" i="6" s="1"/>
  <c r="E6688" i="6" s="1"/>
  <c r="E6689" i="6" s="1"/>
  <c r="E6690" i="6" s="1"/>
  <c r="E6691" i="6" s="1"/>
  <c r="E6692" i="6" s="1"/>
  <c r="E6693" i="6" s="1"/>
  <c r="E6694" i="6" s="1"/>
  <c r="E6695" i="6" s="1"/>
  <c r="E6696" i="6" s="1"/>
  <c r="E6697" i="6" s="1"/>
  <c r="E6698" i="6" s="1"/>
  <c r="E6699" i="6" s="1"/>
  <c r="E6700" i="6" s="1"/>
  <c r="E6701" i="6" s="1"/>
  <c r="E6702" i="6" s="1"/>
  <c r="E6703" i="6" s="1"/>
  <c r="E6704" i="6" s="1"/>
  <c r="E6705" i="6" s="1"/>
  <c r="E6706" i="6" s="1"/>
  <c r="E6707" i="6" s="1"/>
  <c r="E6708" i="6" s="1"/>
  <c r="E6709" i="6" s="1"/>
  <c r="E6710" i="6" s="1"/>
  <c r="E6711" i="6" s="1"/>
  <c r="E6712" i="6" s="1"/>
  <c r="E6713" i="6" s="1"/>
  <c r="E6714" i="6" s="1"/>
  <c r="E6715" i="6" s="1"/>
  <c r="E6716" i="6" s="1"/>
  <c r="E6717" i="6" s="1"/>
  <c r="E6718" i="6" s="1"/>
  <c r="E6719" i="6" s="1"/>
  <c r="E6720" i="6" s="1"/>
  <c r="E6721" i="6" s="1"/>
  <c r="E6722" i="6" s="1"/>
  <c r="E6723" i="6" s="1"/>
  <c r="E6724" i="6" s="1"/>
  <c r="E6725" i="6" s="1"/>
  <c r="E6726" i="6" s="1"/>
  <c r="E6727" i="6" s="1"/>
  <c r="E6728" i="6" s="1"/>
  <c r="E6729" i="6" s="1"/>
  <c r="E6730" i="6" s="1"/>
  <c r="E6731" i="6" s="1"/>
  <c r="E6732" i="6" s="1"/>
  <c r="E6733" i="6" s="1"/>
  <c r="E6734" i="6" s="1"/>
  <c r="E6735" i="6" s="1"/>
  <c r="E6736" i="6" s="1"/>
  <c r="E6737" i="6" s="1"/>
  <c r="E6738" i="6" s="1"/>
  <c r="E6739" i="6" s="1"/>
  <c r="E6740" i="6" s="1"/>
  <c r="E6741" i="6" s="1"/>
  <c r="E6742" i="6" s="1"/>
  <c r="E6743" i="6" s="1"/>
  <c r="E7189" i="6"/>
  <c r="E7190" i="6" s="1"/>
  <c r="E7191" i="6" s="1"/>
  <c r="E7192" i="6" s="1"/>
  <c r="E7193" i="6" s="1"/>
  <c r="E7194" i="6" s="1"/>
  <c r="E7195" i="6" s="1"/>
  <c r="E7196" i="6" s="1"/>
  <c r="E7197" i="6" s="1"/>
  <c r="E7198" i="6" s="1"/>
  <c r="E7199" i="6" s="1"/>
  <c r="E7200" i="6" s="1"/>
  <c r="E7201" i="6" s="1"/>
  <c r="E7202" i="6" s="1"/>
  <c r="E7203" i="6" s="1"/>
  <c r="E7204" i="6" s="1"/>
  <c r="E7205" i="6" s="1"/>
  <c r="E7206" i="6" s="1"/>
  <c r="E7207" i="6" s="1"/>
  <c r="E7208" i="6" s="1"/>
  <c r="E7209" i="6" s="1"/>
  <c r="E7210" i="6" s="1"/>
  <c r="E7211" i="6" s="1"/>
  <c r="E7212" i="6" s="1"/>
  <c r="E7213" i="6" s="1"/>
  <c r="E7214" i="6" s="1"/>
  <c r="E7215" i="6" s="1"/>
  <c r="E7216" i="6" s="1"/>
  <c r="E7217" i="6" s="1"/>
  <c r="E7218" i="6" s="1"/>
  <c r="E7219" i="6" s="1"/>
  <c r="E7220" i="6" s="1"/>
  <c r="E7221" i="6" s="1"/>
  <c r="E7222" i="6" s="1"/>
  <c r="E7223" i="6" s="1"/>
  <c r="E7224" i="6" s="1"/>
  <c r="E7225" i="6" s="1"/>
  <c r="E7226" i="6" s="1"/>
  <c r="E7227" i="6" s="1"/>
  <c r="E7228" i="6" s="1"/>
  <c r="E7229" i="6" s="1"/>
  <c r="E7230" i="6" s="1"/>
  <c r="E7231" i="6" s="1"/>
  <c r="E7232" i="6" s="1"/>
  <c r="E7233" i="6" s="1"/>
  <c r="E7234" i="6" s="1"/>
  <c r="E7235" i="6" s="1"/>
  <c r="E7236" i="6" s="1"/>
  <c r="E7237" i="6" s="1"/>
  <c r="E7238" i="6" s="1"/>
  <c r="E7239" i="6" s="1"/>
  <c r="E7240" i="6" s="1"/>
  <c r="E7241" i="6" s="1"/>
  <c r="E7242" i="6" s="1"/>
  <c r="E7243" i="6" s="1"/>
  <c r="E7244" i="6" s="1"/>
  <c r="E7245" i="6" s="1"/>
  <c r="E7246" i="6" s="1"/>
  <c r="E7247" i="6" s="1"/>
  <c r="E7693" i="6"/>
  <c r="E7694" i="6" s="1"/>
  <c r="E7695" i="6" s="1"/>
  <c r="E7696" i="6" s="1"/>
  <c r="E7697" i="6" s="1"/>
  <c r="E7698" i="6" s="1"/>
  <c r="E7699" i="6" s="1"/>
  <c r="E7700" i="6" s="1"/>
  <c r="E7701" i="6" s="1"/>
  <c r="E7702" i="6" s="1"/>
  <c r="E7703" i="6" s="1"/>
  <c r="E7704" i="6" s="1"/>
  <c r="E7705" i="6" s="1"/>
  <c r="E7706" i="6" s="1"/>
  <c r="E7707" i="6" s="1"/>
  <c r="E7708" i="6" s="1"/>
  <c r="E7709" i="6" s="1"/>
  <c r="E7710" i="6" s="1"/>
  <c r="E7711" i="6" s="1"/>
  <c r="E7712" i="6" s="1"/>
  <c r="E7713" i="6" s="1"/>
  <c r="E7714" i="6" s="1"/>
  <c r="E7715" i="6" s="1"/>
  <c r="E7716" i="6" s="1"/>
  <c r="E7717" i="6" s="1"/>
  <c r="E7718" i="6" s="1"/>
  <c r="E7719" i="6" s="1"/>
  <c r="E7720" i="6" s="1"/>
  <c r="E7721" i="6" s="1"/>
  <c r="E7722" i="6" s="1"/>
  <c r="E7723" i="6" s="1"/>
  <c r="E7724" i="6" s="1"/>
  <c r="E7725" i="6" s="1"/>
  <c r="E7726" i="6" s="1"/>
  <c r="E7727" i="6" s="1"/>
  <c r="E7728" i="6" s="1"/>
  <c r="E7729" i="6" s="1"/>
  <c r="E7730" i="6" s="1"/>
  <c r="E7731" i="6" s="1"/>
  <c r="E7732" i="6" s="1"/>
  <c r="E7733" i="6" s="1"/>
  <c r="E7734" i="6" s="1"/>
  <c r="E7735" i="6" s="1"/>
  <c r="E7736" i="6" s="1"/>
  <c r="E7737" i="6" s="1"/>
  <c r="E7738" i="6" s="1"/>
  <c r="E7739" i="6" s="1"/>
  <c r="E7740" i="6" s="1"/>
  <c r="E7741" i="6" s="1"/>
  <c r="E7742" i="6" s="1"/>
  <c r="E7743" i="6" s="1"/>
  <c r="E7744" i="6" s="1"/>
  <c r="E7745" i="6" s="1"/>
  <c r="E7746" i="6" s="1"/>
  <c r="E7747" i="6" s="1"/>
  <c r="E7748" i="6" s="1"/>
  <c r="E7749" i="6" s="1"/>
  <c r="E7750" i="6" s="1"/>
  <c r="E7751" i="6" s="1"/>
  <c r="E8194" i="6"/>
  <c r="E8195" i="6" s="1"/>
  <c r="E8196" i="6" s="1"/>
  <c r="E8197" i="6" s="1"/>
  <c r="E8198" i="6" s="1"/>
  <c r="E8199" i="6" s="1"/>
  <c r="E8200" i="6" s="1"/>
  <c r="E8201" i="6" s="1"/>
  <c r="E8202" i="6" s="1"/>
  <c r="E8203" i="6" s="1"/>
  <c r="E8204" i="6" s="1"/>
  <c r="E8205" i="6" s="1"/>
  <c r="E8206" i="6" s="1"/>
  <c r="E8207" i="6" s="1"/>
  <c r="E8208" i="6" s="1"/>
  <c r="E8209" i="6" s="1"/>
  <c r="E8210" i="6" s="1"/>
  <c r="E8211" i="6" s="1"/>
  <c r="E8212" i="6" s="1"/>
  <c r="E8213" i="6" s="1"/>
  <c r="E8214" i="6" s="1"/>
  <c r="E8215" i="6" s="1"/>
  <c r="E8216" i="6" s="1"/>
  <c r="E8217" i="6" s="1"/>
  <c r="E8218" i="6" s="1"/>
  <c r="E8219" i="6" s="1"/>
  <c r="E8220" i="6" s="1"/>
  <c r="E8221" i="6" s="1"/>
  <c r="E8222" i="6" s="1"/>
  <c r="E8223" i="6" s="1"/>
  <c r="E8224" i="6" s="1"/>
  <c r="E8225" i="6" s="1"/>
  <c r="E8226" i="6" s="1"/>
  <c r="E8227" i="6" s="1"/>
  <c r="E8228" i="6" s="1"/>
  <c r="E8229" i="6" s="1"/>
  <c r="E8230" i="6" s="1"/>
  <c r="E8231" i="6" s="1"/>
  <c r="E8232" i="6" s="1"/>
  <c r="E8233" i="6" s="1"/>
  <c r="E8234" i="6" s="1"/>
  <c r="E8235" i="6" s="1"/>
  <c r="E8236" i="6" s="1"/>
  <c r="E8237" i="6" s="1"/>
  <c r="E8238" i="6" s="1"/>
  <c r="E8239" i="6" s="1"/>
  <c r="E8240" i="6" s="1"/>
  <c r="E8241" i="6" s="1"/>
  <c r="E8242" i="6" s="1"/>
  <c r="E8243" i="6" s="1"/>
  <c r="E8244" i="6" s="1"/>
  <c r="E8245" i="6" s="1"/>
  <c r="E8246" i="6" s="1"/>
  <c r="E8247" i="6" s="1"/>
  <c r="E8248" i="6" s="1"/>
  <c r="E8249" i="6" s="1"/>
  <c r="E8250" i="6" s="1"/>
  <c r="E8251" i="6" s="1"/>
  <c r="E8252" i="6" s="1"/>
  <c r="E1204" i="6"/>
  <c r="E1205" i="6" s="1"/>
  <c r="E1206" i="6" s="1"/>
  <c r="E1207" i="6" s="1"/>
  <c r="E1208" i="6" s="1"/>
  <c r="E1209" i="6" s="1"/>
  <c r="E1210" i="6" s="1"/>
  <c r="E1211" i="6" s="1"/>
  <c r="E1212" i="6" s="1"/>
  <c r="E1213" i="6" s="1"/>
  <c r="E1214" i="6" s="1"/>
  <c r="E1215" i="6" s="1"/>
  <c r="E1216" i="6" s="1"/>
  <c r="E1217" i="6" s="1"/>
  <c r="E1218" i="6" s="1"/>
  <c r="E1219" i="6" s="1"/>
  <c r="E1220" i="6" s="1"/>
  <c r="E1221" i="6" s="1"/>
  <c r="E1222" i="6" s="1"/>
  <c r="E1223" i="6" s="1"/>
  <c r="E1224" i="6" s="1"/>
  <c r="E1225" i="6" s="1"/>
  <c r="E1226" i="6" s="1"/>
  <c r="E1227" i="6" s="1"/>
  <c r="E1228" i="6" s="1"/>
  <c r="E1229" i="6" s="1"/>
  <c r="E1230" i="6" s="1"/>
  <c r="E1231" i="6" s="1"/>
  <c r="E1232" i="6" s="1"/>
  <c r="E1233" i="6" s="1"/>
  <c r="E1234" i="6" s="1"/>
  <c r="E1235" i="6" s="1"/>
  <c r="E1236" i="6" s="1"/>
  <c r="E1237" i="6" s="1"/>
  <c r="E1238" i="6" s="1"/>
  <c r="E1239" i="6" s="1"/>
  <c r="E1240" i="6" s="1"/>
  <c r="E1241" i="6" s="1"/>
  <c r="E1242" i="6" s="1"/>
  <c r="E1243" i="6" s="1"/>
  <c r="E1244" i="6" s="1"/>
  <c r="E1245" i="6" s="1"/>
  <c r="E1246" i="6" s="1"/>
  <c r="E1247" i="6" s="1"/>
  <c r="E1248" i="6" s="1"/>
  <c r="E1249" i="6" s="1"/>
  <c r="E1250" i="6" s="1"/>
  <c r="E1251" i="6" s="1"/>
  <c r="E1252" i="6" s="1"/>
  <c r="E1253" i="6" s="1"/>
  <c r="E1254" i="6" s="1"/>
  <c r="E1255" i="6" s="1"/>
  <c r="E1256" i="6" s="1"/>
  <c r="E1257" i="6" s="1"/>
  <c r="E1258" i="6" s="1"/>
  <c r="E1259" i="6" s="1"/>
  <c r="E1260" i="6" s="1"/>
  <c r="E1261" i="6" s="1"/>
  <c r="E1262" i="6" s="1"/>
  <c r="E3220" i="6"/>
  <c r="E3221" i="6" s="1"/>
  <c r="E3222" i="6" s="1"/>
  <c r="E3223" i="6" s="1"/>
  <c r="E3224" i="6" s="1"/>
  <c r="E3225" i="6" s="1"/>
  <c r="E3226" i="6" s="1"/>
  <c r="E3227" i="6" s="1"/>
  <c r="E3228" i="6" s="1"/>
  <c r="E3229" i="6" s="1"/>
  <c r="E3230" i="6" s="1"/>
  <c r="E3231" i="6" s="1"/>
  <c r="E3232" i="6" s="1"/>
  <c r="E3233" i="6" s="1"/>
  <c r="E3234" i="6" s="1"/>
  <c r="E3235" i="6" s="1"/>
  <c r="E3236" i="6" s="1"/>
  <c r="E3237" i="6" s="1"/>
  <c r="E3238" i="6" s="1"/>
  <c r="E3239" i="6" s="1"/>
  <c r="E3240" i="6" s="1"/>
  <c r="E3241" i="6" s="1"/>
  <c r="E3242" i="6" s="1"/>
  <c r="E3243" i="6" s="1"/>
  <c r="E3244" i="6" s="1"/>
  <c r="E3245" i="6" s="1"/>
  <c r="E3246" i="6" s="1"/>
  <c r="E3247" i="6" s="1"/>
  <c r="E3248" i="6" s="1"/>
  <c r="E3249" i="6" s="1"/>
  <c r="E3250" i="6" s="1"/>
  <c r="E3251" i="6" s="1"/>
  <c r="E3252" i="6" s="1"/>
  <c r="E3253" i="6" s="1"/>
  <c r="E3254" i="6" s="1"/>
  <c r="E3255" i="6" s="1"/>
  <c r="E3256" i="6" s="1"/>
  <c r="E3257" i="6" s="1"/>
  <c r="E3258" i="6" s="1"/>
  <c r="E3259" i="6" s="1"/>
  <c r="E3260" i="6" s="1"/>
  <c r="E3261" i="6" s="1"/>
  <c r="E3262" i="6" s="1"/>
  <c r="E3263" i="6" s="1"/>
  <c r="E3264" i="6" s="1"/>
  <c r="E3265" i="6" s="1"/>
  <c r="E3266" i="6" s="1"/>
  <c r="E3267" i="6" s="1"/>
  <c r="E3268" i="6" s="1"/>
  <c r="E3269" i="6" s="1"/>
  <c r="E3270" i="6" s="1"/>
  <c r="E3271" i="6" s="1"/>
  <c r="E3272" i="6" s="1"/>
  <c r="E3273" i="6" s="1"/>
  <c r="E3274" i="6" s="1"/>
  <c r="E3275" i="6" s="1"/>
  <c r="E3276" i="6" s="1"/>
  <c r="E3277" i="6" s="1"/>
  <c r="E3278" i="6" s="1"/>
  <c r="E5236" i="6"/>
  <c r="E5237" i="6" s="1"/>
  <c r="E5238" i="6" s="1"/>
  <c r="E5239" i="6" s="1"/>
  <c r="E5240" i="6" s="1"/>
  <c r="E5241" i="6" s="1"/>
  <c r="E5242" i="6" s="1"/>
  <c r="E5243" i="6" s="1"/>
  <c r="E5244" i="6" s="1"/>
  <c r="E5245" i="6" s="1"/>
  <c r="E5246" i="6" s="1"/>
  <c r="E5247" i="6" s="1"/>
  <c r="E5248" i="6" s="1"/>
  <c r="E5249" i="6" s="1"/>
  <c r="E5250" i="6" s="1"/>
  <c r="E5251" i="6" s="1"/>
  <c r="E5252" i="6" s="1"/>
  <c r="E5253" i="6" s="1"/>
  <c r="E5254" i="6" s="1"/>
  <c r="E5255" i="6" s="1"/>
  <c r="E5256" i="6" s="1"/>
  <c r="E5257" i="6" s="1"/>
  <c r="E5258" i="6" s="1"/>
  <c r="E5259" i="6" s="1"/>
  <c r="E5260" i="6" s="1"/>
  <c r="E5261" i="6" s="1"/>
  <c r="E5262" i="6" s="1"/>
  <c r="E5263" i="6" s="1"/>
  <c r="E5264" i="6" s="1"/>
  <c r="E5265" i="6" s="1"/>
  <c r="E5266" i="6" s="1"/>
  <c r="E5267" i="6" s="1"/>
  <c r="E5268" i="6" s="1"/>
  <c r="E5269" i="6" s="1"/>
  <c r="E5270" i="6" s="1"/>
  <c r="E5271" i="6" s="1"/>
  <c r="E5272" i="6" s="1"/>
  <c r="E5273" i="6" s="1"/>
  <c r="E5274" i="6" s="1"/>
  <c r="E5275" i="6" s="1"/>
  <c r="E5276" i="6" s="1"/>
  <c r="E5277" i="6" s="1"/>
  <c r="E5278" i="6" s="1"/>
  <c r="E5279" i="6" s="1"/>
  <c r="E5280" i="6" s="1"/>
  <c r="E5281" i="6" s="1"/>
  <c r="E5282" i="6" s="1"/>
  <c r="E5283" i="6" s="1"/>
  <c r="E5284" i="6" s="1"/>
  <c r="E5285" i="6" s="1"/>
  <c r="E5286" i="6" s="1"/>
  <c r="E5287" i="6" s="1"/>
  <c r="E5288" i="6" s="1"/>
  <c r="E5289" i="6" s="1"/>
  <c r="E5290" i="6" s="1"/>
  <c r="E5291" i="6" s="1"/>
  <c r="E5292" i="6" s="1"/>
  <c r="E5293" i="6" s="1"/>
  <c r="E5294" i="6" s="1"/>
  <c r="E7252" i="6"/>
  <c r="E7253" i="6" s="1"/>
  <c r="E7254" i="6" s="1"/>
  <c r="E7255" i="6" s="1"/>
  <c r="E7256" i="6" s="1"/>
  <c r="E7257" i="6" s="1"/>
  <c r="E7258" i="6" s="1"/>
  <c r="E7259" i="6" s="1"/>
  <c r="E7260" i="6" s="1"/>
  <c r="E7261" i="6" s="1"/>
  <c r="E7262" i="6" s="1"/>
  <c r="E7263" i="6" s="1"/>
  <c r="E7264" i="6" s="1"/>
  <c r="E7265" i="6" s="1"/>
  <c r="E7266" i="6" s="1"/>
  <c r="E7267" i="6" s="1"/>
  <c r="E7268" i="6" s="1"/>
  <c r="E7269" i="6" s="1"/>
  <c r="E7270" i="6" s="1"/>
  <c r="E7271" i="6" s="1"/>
  <c r="E7272" i="6" s="1"/>
  <c r="E7273" i="6" s="1"/>
  <c r="E7274" i="6" s="1"/>
  <c r="E7275" i="6" s="1"/>
  <c r="E7276" i="6" s="1"/>
  <c r="E7277" i="6" s="1"/>
  <c r="E7278" i="6" s="1"/>
  <c r="E7279" i="6" s="1"/>
  <c r="E7280" i="6" s="1"/>
  <c r="E7281" i="6" s="1"/>
  <c r="E7282" i="6" s="1"/>
  <c r="E7283" i="6" s="1"/>
  <c r="E7284" i="6" s="1"/>
  <c r="E7285" i="6" s="1"/>
  <c r="E7286" i="6" s="1"/>
  <c r="E7287" i="6" s="1"/>
  <c r="E7288" i="6" s="1"/>
  <c r="E7289" i="6" s="1"/>
  <c r="E7290" i="6" s="1"/>
  <c r="E7291" i="6" s="1"/>
  <c r="E7292" i="6" s="1"/>
  <c r="E7293" i="6" s="1"/>
  <c r="E7294" i="6" s="1"/>
  <c r="E7295" i="6" s="1"/>
  <c r="E7296" i="6" s="1"/>
  <c r="E7297" i="6" s="1"/>
  <c r="E7298" i="6" s="1"/>
  <c r="E7299" i="6" s="1"/>
  <c r="E7300" i="6" s="1"/>
  <c r="E7301" i="6" s="1"/>
  <c r="E7302" i="6" s="1"/>
  <c r="E7303" i="6" s="1"/>
  <c r="E7304" i="6" s="1"/>
  <c r="E7305" i="6" s="1"/>
  <c r="E7306" i="6" s="1"/>
  <c r="E7307" i="6" s="1"/>
  <c r="E7308" i="6" s="1"/>
  <c r="E7309" i="6" s="1"/>
  <c r="E7310" i="6" s="1"/>
  <c r="E1771" i="6"/>
  <c r="E1772" i="6" s="1"/>
  <c r="E1773" i="6" s="1"/>
  <c r="E1774" i="6" s="1"/>
  <c r="E1775" i="6" s="1"/>
  <c r="E1776" i="6" s="1"/>
  <c r="E1777" i="6" s="1"/>
  <c r="E1778" i="6" s="1"/>
  <c r="E1779" i="6" s="1"/>
  <c r="E1780" i="6" s="1"/>
  <c r="E1781" i="6" s="1"/>
  <c r="E1782" i="6" s="1"/>
  <c r="E1783" i="6" s="1"/>
  <c r="E1784" i="6" s="1"/>
  <c r="E1785" i="6" s="1"/>
  <c r="E1786" i="6" s="1"/>
  <c r="E1787" i="6" s="1"/>
  <c r="E1788" i="6" s="1"/>
  <c r="E1789" i="6" s="1"/>
  <c r="E1790" i="6" s="1"/>
  <c r="E1791" i="6" s="1"/>
  <c r="E1792" i="6" s="1"/>
  <c r="E1793" i="6" s="1"/>
  <c r="E1794" i="6" s="1"/>
  <c r="E1795" i="6" s="1"/>
  <c r="E1796" i="6" s="1"/>
  <c r="E1797" i="6" s="1"/>
  <c r="E1798" i="6" s="1"/>
  <c r="E1799" i="6" s="1"/>
  <c r="E1800" i="6" s="1"/>
  <c r="E1801" i="6" s="1"/>
  <c r="E1802" i="6" s="1"/>
  <c r="E1803" i="6" s="1"/>
  <c r="E1804" i="6" s="1"/>
  <c r="E1805" i="6" s="1"/>
  <c r="E1806" i="6" s="1"/>
  <c r="E1807" i="6" s="1"/>
  <c r="E1808" i="6" s="1"/>
  <c r="E1809" i="6" s="1"/>
  <c r="E1810" i="6" s="1"/>
  <c r="E1811" i="6" s="1"/>
  <c r="E1812" i="6" s="1"/>
  <c r="E1813" i="6" s="1"/>
  <c r="E1814" i="6" s="1"/>
  <c r="E1815" i="6" s="1"/>
  <c r="E1816" i="6" s="1"/>
  <c r="E1817" i="6" s="1"/>
  <c r="E1818" i="6" s="1"/>
  <c r="E1819" i="6" s="1"/>
  <c r="E1820" i="6" s="1"/>
  <c r="E1821" i="6" s="1"/>
  <c r="E1822" i="6" s="1"/>
  <c r="E1823" i="6" s="1"/>
  <c r="E1824" i="6" s="1"/>
  <c r="E1825" i="6" s="1"/>
  <c r="E1826" i="6" s="1"/>
  <c r="E1827" i="6" s="1"/>
  <c r="E1828" i="6" s="1"/>
  <c r="E1829" i="6" s="1"/>
  <c r="E3787" i="6"/>
  <c r="E3788" i="6" s="1"/>
  <c r="E3789" i="6" s="1"/>
  <c r="E3790" i="6" s="1"/>
  <c r="E3791" i="6" s="1"/>
  <c r="E3792" i="6" s="1"/>
  <c r="E3793" i="6" s="1"/>
  <c r="E3794" i="6" s="1"/>
  <c r="E3795" i="6" s="1"/>
  <c r="E3796" i="6" s="1"/>
  <c r="E3797" i="6" s="1"/>
  <c r="E3798" i="6" s="1"/>
  <c r="E3799" i="6" s="1"/>
  <c r="E3800" i="6" s="1"/>
  <c r="E3801" i="6" s="1"/>
  <c r="E3802" i="6" s="1"/>
  <c r="E3803" i="6" s="1"/>
  <c r="E3804" i="6" s="1"/>
  <c r="E3805" i="6" s="1"/>
  <c r="E3806" i="6" s="1"/>
  <c r="E3807" i="6" s="1"/>
  <c r="E3808" i="6" s="1"/>
  <c r="E3809" i="6" s="1"/>
  <c r="E3810" i="6" s="1"/>
  <c r="E3811" i="6" s="1"/>
  <c r="E3812" i="6" s="1"/>
  <c r="E3813" i="6" s="1"/>
  <c r="E3814" i="6" s="1"/>
  <c r="E3815" i="6" s="1"/>
  <c r="E3816" i="6" s="1"/>
  <c r="E3817" i="6" s="1"/>
  <c r="E3818" i="6" s="1"/>
  <c r="E3819" i="6" s="1"/>
  <c r="E3820" i="6" s="1"/>
  <c r="E3821" i="6" s="1"/>
  <c r="E3822" i="6" s="1"/>
  <c r="E3823" i="6" s="1"/>
  <c r="E3824" i="6" s="1"/>
  <c r="E3825" i="6" s="1"/>
  <c r="E3826" i="6" s="1"/>
  <c r="E3827" i="6" s="1"/>
  <c r="E3828" i="6" s="1"/>
  <c r="E3829" i="6" s="1"/>
  <c r="E3830" i="6" s="1"/>
  <c r="E3831" i="6" s="1"/>
  <c r="E3832" i="6" s="1"/>
  <c r="E3833" i="6" s="1"/>
  <c r="E3834" i="6" s="1"/>
  <c r="E3835" i="6" s="1"/>
  <c r="E3836" i="6" s="1"/>
  <c r="E3837" i="6" s="1"/>
  <c r="E3838" i="6" s="1"/>
  <c r="E3839" i="6" s="1"/>
  <c r="E3840" i="6" s="1"/>
  <c r="E3841" i="6" s="1"/>
  <c r="E3842" i="6" s="1"/>
  <c r="E3843" i="6" s="1"/>
  <c r="E3844" i="6" s="1"/>
  <c r="E3845" i="6" s="1"/>
  <c r="E5803" i="6"/>
  <c r="E5804" i="6" s="1"/>
  <c r="E5805" i="6" s="1"/>
  <c r="E5806" i="6" s="1"/>
  <c r="E5807" i="6" s="1"/>
  <c r="E5808" i="6" s="1"/>
  <c r="E5809" i="6" s="1"/>
  <c r="E5810" i="6" s="1"/>
  <c r="E5811" i="6" s="1"/>
  <c r="E5812" i="6" s="1"/>
  <c r="E5813" i="6" s="1"/>
  <c r="E5814" i="6" s="1"/>
  <c r="E5815" i="6" s="1"/>
  <c r="E5816" i="6" s="1"/>
  <c r="E5817" i="6" s="1"/>
  <c r="E5818" i="6" s="1"/>
  <c r="E5819" i="6" s="1"/>
  <c r="E5820" i="6" s="1"/>
  <c r="E5821" i="6" s="1"/>
  <c r="E5822" i="6" s="1"/>
  <c r="E5823" i="6" s="1"/>
  <c r="E5824" i="6" s="1"/>
  <c r="E5825" i="6" s="1"/>
  <c r="E5826" i="6" s="1"/>
  <c r="E5827" i="6" s="1"/>
  <c r="E5828" i="6" s="1"/>
  <c r="E5829" i="6" s="1"/>
  <c r="E5830" i="6" s="1"/>
  <c r="E5831" i="6" s="1"/>
  <c r="E5832" i="6" s="1"/>
  <c r="E5833" i="6" s="1"/>
  <c r="E5834" i="6" s="1"/>
  <c r="E5835" i="6" s="1"/>
  <c r="E5836" i="6" s="1"/>
  <c r="E5837" i="6" s="1"/>
  <c r="E5838" i="6" s="1"/>
  <c r="E5839" i="6" s="1"/>
  <c r="E5840" i="6" s="1"/>
  <c r="E5841" i="6" s="1"/>
  <c r="E5842" i="6" s="1"/>
  <c r="E5843" i="6" s="1"/>
  <c r="E5844" i="6" s="1"/>
  <c r="E5845" i="6" s="1"/>
  <c r="E5846" i="6" s="1"/>
  <c r="E5847" i="6" s="1"/>
  <c r="E5848" i="6" s="1"/>
  <c r="E5849" i="6" s="1"/>
  <c r="E5850" i="6" s="1"/>
  <c r="E5851" i="6" s="1"/>
  <c r="E5852" i="6" s="1"/>
  <c r="E5853" i="6" s="1"/>
  <c r="E5854" i="6" s="1"/>
  <c r="E5855" i="6" s="1"/>
  <c r="E5856" i="6" s="1"/>
  <c r="E5857" i="6" s="1"/>
  <c r="E5858" i="6" s="1"/>
  <c r="E5859" i="6" s="1"/>
  <c r="E5860" i="6" s="1"/>
  <c r="E5861" i="6" s="1"/>
  <c r="E7819" i="6"/>
  <c r="E7820" i="6" s="1"/>
  <c r="E7821" i="6" s="1"/>
  <c r="E7822" i="6" s="1"/>
  <c r="E7823" i="6" s="1"/>
  <c r="E7824" i="6" s="1"/>
  <c r="E7825" i="6" s="1"/>
  <c r="E7826" i="6" s="1"/>
  <c r="E7827" i="6" s="1"/>
  <c r="E7828" i="6" s="1"/>
  <c r="E7829" i="6" s="1"/>
  <c r="E7830" i="6" s="1"/>
  <c r="E7831" i="6" s="1"/>
  <c r="E7832" i="6" s="1"/>
  <c r="E7833" i="6" s="1"/>
  <c r="E7834" i="6" s="1"/>
  <c r="E7835" i="6" s="1"/>
  <c r="E7836" i="6" s="1"/>
  <c r="E7837" i="6" s="1"/>
  <c r="E7838" i="6" s="1"/>
  <c r="E7839" i="6" s="1"/>
  <c r="E7840" i="6" s="1"/>
  <c r="E7841" i="6" s="1"/>
  <c r="E7842" i="6" s="1"/>
  <c r="E7843" i="6" s="1"/>
  <c r="E7844" i="6" s="1"/>
  <c r="E7845" i="6" s="1"/>
  <c r="E7846" i="6" s="1"/>
  <c r="E7847" i="6" s="1"/>
  <c r="E7848" i="6" s="1"/>
  <c r="E7849" i="6" s="1"/>
  <c r="E7850" i="6" s="1"/>
  <c r="E7851" i="6" s="1"/>
  <c r="E7852" i="6" s="1"/>
  <c r="E7853" i="6" s="1"/>
  <c r="E7854" i="6" s="1"/>
  <c r="E7855" i="6" s="1"/>
  <c r="E7856" i="6" s="1"/>
  <c r="E7857" i="6" s="1"/>
  <c r="E7858" i="6" s="1"/>
  <c r="E7859" i="6" s="1"/>
  <c r="E7860" i="6" s="1"/>
  <c r="E7861" i="6" s="1"/>
  <c r="E7862" i="6" s="1"/>
  <c r="E7863" i="6" s="1"/>
  <c r="E7864" i="6" s="1"/>
  <c r="E7865" i="6" s="1"/>
  <c r="E7866" i="6" s="1"/>
  <c r="E7867" i="6" s="1"/>
  <c r="E7868" i="6" s="1"/>
  <c r="E7869" i="6" s="1"/>
  <c r="E7870" i="6" s="1"/>
  <c r="E7871" i="6" s="1"/>
  <c r="E7872" i="6" s="1"/>
  <c r="E7873" i="6" s="1"/>
  <c r="E7874" i="6" s="1"/>
  <c r="E7875" i="6" s="1"/>
  <c r="E7876" i="6" s="1"/>
  <c r="E7877" i="6" s="1"/>
  <c r="E8318" i="6"/>
  <c r="E8319" i="6" s="1"/>
  <c r="E8320" i="6" s="1"/>
  <c r="E8321" i="6" s="1"/>
  <c r="E8322" i="6" s="1"/>
  <c r="E8323" i="6" s="1"/>
  <c r="E8324" i="6" s="1"/>
  <c r="E8325" i="6" s="1"/>
  <c r="E8326" i="6" s="1"/>
  <c r="E8327" i="6" s="1"/>
  <c r="E8328" i="6" s="1"/>
  <c r="E8329" i="6" s="1"/>
  <c r="E8330" i="6" s="1"/>
  <c r="E8331" i="6" s="1"/>
  <c r="E8332" i="6" s="1"/>
  <c r="E8333" i="6" s="1"/>
  <c r="E8334" i="6" s="1"/>
  <c r="E8335" i="6" s="1"/>
  <c r="E8336" i="6" s="1"/>
  <c r="E8337" i="6" s="1"/>
  <c r="E8338" i="6" s="1"/>
  <c r="E8339" i="6" s="1"/>
  <c r="E8340" i="6" s="1"/>
  <c r="E8341" i="6" s="1"/>
  <c r="E8342" i="6" s="1"/>
  <c r="E8343" i="6" s="1"/>
  <c r="E8344" i="6" s="1"/>
  <c r="E8345" i="6" s="1"/>
  <c r="E8346" i="6" s="1"/>
  <c r="E8347" i="6" s="1"/>
  <c r="E8348" i="6" s="1"/>
  <c r="E8349" i="6" s="1"/>
  <c r="E8350" i="6" s="1"/>
  <c r="E8351" i="6" s="1"/>
  <c r="E8352" i="6" s="1"/>
  <c r="E8353" i="6" s="1"/>
  <c r="E8354" i="6" s="1"/>
  <c r="E8355" i="6" s="1"/>
  <c r="E8356" i="6" s="1"/>
  <c r="E8357" i="6" s="1"/>
  <c r="E8358" i="6" s="1"/>
  <c r="E8359" i="6" s="1"/>
  <c r="E8360" i="6" s="1"/>
  <c r="E8361" i="6" s="1"/>
  <c r="E8362" i="6" s="1"/>
  <c r="E8363" i="6" s="1"/>
  <c r="E8364" i="6" s="1"/>
  <c r="E8365" i="6" s="1"/>
  <c r="E8366" i="6" s="1"/>
  <c r="E8367" i="6" s="1"/>
  <c r="E8368" i="6" s="1"/>
  <c r="E8369" i="6" s="1"/>
  <c r="E8370" i="6" s="1"/>
  <c r="E8371" i="6" s="1"/>
  <c r="E8372" i="6" s="1"/>
  <c r="E8373" i="6" s="1"/>
  <c r="E8374" i="6" s="1"/>
  <c r="E8375" i="6" s="1"/>
  <c r="E8376" i="6" s="1"/>
  <c r="E448" i="6"/>
  <c r="E449" i="6" s="1"/>
  <c r="E450" i="6" s="1"/>
  <c r="E451" i="6" s="1"/>
  <c r="E452" i="6" s="1"/>
  <c r="E453" i="6" s="1"/>
  <c r="E454" i="6" s="1"/>
  <c r="E455" i="6" s="1"/>
  <c r="E456" i="6" s="1"/>
  <c r="E457" i="6" s="1"/>
  <c r="E458" i="6" s="1"/>
  <c r="E459" i="6" s="1"/>
  <c r="E460" i="6" s="1"/>
  <c r="E461" i="6" s="1"/>
  <c r="E462" i="6" s="1"/>
  <c r="E463" i="6" s="1"/>
  <c r="E464" i="6" s="1"/>
  <c r="E465" i="6" s="1"/>
  <c r="E466" i="6" s="1"/>
  <c r="E467" i="6" s="1"/>
  <c r="E468" i="6" s="1"/>
  <c r="E469" i="6" s="1"/>
  <c r="E470" i="6" s="1"/>
  <c r="E471" i="6" s="1"/>
  <c r="E472" i="6" s="1"/>
  <c r="E473" i="6" s="1"/>
  <c r="E474" i="6" s="1"/>
  <c r="E475" i="6" s="1"/>
  <c r="E476" i="6" s="1"/>
  <c r="E477" i="6" s="1"/>
  <c r="E478" i="6" s="1"/>
  <c r="E479" i="6" s="1"/>
  <c r="E480" i="6" s="1"/>
  <c r="E481" i="6" s="1"/>
  <c r="E482" i="6" s="1"/>
  <c r="E483" i="6" s="1"/>
  <c r="E484" i="6" s="1"/>
  <c r="E485" i="6" s="1"/>
  <c r="E486" i="6" s="1"/>
  <c r="E487" i="6" s="1"/>
  <c r="E488" i="6" s="1"/>
  <c r="E489" i="6" s="1"/>
  <c r="E490" i="6" s="1"/>
  <c r="E491" i="6" s="1"/>
  <c r="E492" i="6" s="1"/>
  <c r="E493" i="6" s="1"/>
  <c r="E494" i="6" s="1"/>
  <c r="E495" i="6" s="1"/>
  <c r="E496" i="6" s="1"/>
  <c r="E497" i="6" s="1"/>
  <c r="E498" i="6" s="1"/>
  <c r="E499" i="6" s="1"/>
  <c r="E500" i="6" s="1"/>
  <c r="E501" i="6" s="1"/>
  <c r="E502" i="6" s="1"/>
  <c r="E503" i="6" s="1"/>
  <c r="E504" i="6" s="1"/>
  <c r="E505" i="6" s="1"/>
  <c r="E506" i="6" s="1"/>
  <c r="E952" i="6"/>
  <c r="E953" i="6" s="1"/>
  <c r="E954" i="6" s="1"/>
  <c r="E955" i="6" s="1"/>
  <c r="E956" i="6" s="1"/>
  <c r="E957" i="6" s="1"/>
  <c r="E958" i="6" s="1"/>
  <c r="E959" i="6" s="1"/>
  <c r="E960" i="6" s="1"/>
  <c r="E961" i="6" s="1"/>
  <c r="E962" i="6" s="1"/>
  <c r="E963" i="6" s="1"/>
  <c r="E964" i="6" s="1"/>
  <c r="E965" i="6" s="1"/>
  <c r="E966" i="6" s="1"/>
  <c r="E967" i="6" s="1"/>
  <c r="E968" i="6" s="1"/>
  <c r="E969" i="6" s="1"/>
  <c r="E970" i="6" s="1"/>
  <c r="E971" i="6" s="1"/>
  <c r="E972" i="6" s="1"/>
  <c r="E973" i="6" s="1"/>
  <c r="E974" i="6" s="1"/>
  <c r="E975" i="6" s="1"/>
  <c r="E976" i="6" s="1"/>
  <c r="E977" i="6" s="1"/>
  <c r="E978" i="6" s="1"/>
  <c r="E979" i="6" s="1"/>
  <c r="E980" i="6" s="1"/>
  <c r="E981" i="6" s="1"/>
  <c r="E982" i="6" s="1"/>
  <c r="E983" i="6" s="1"/>
  <c r="E984" i="6" s="1"/>
  <c r="E985" i="6" s="1"/>
  <c r="E986" i="6" s="1"/>
  <c r="E987" i="6" s="1"/>
  <c r="E988" i="6" s="1"/>
  <c r="E989" i="6" s="1"/>
  <c r="E990" i="6" s="1"/>
  <c r="E991" i="6" s="1"/>
  <c r="E992" i="6" s="1"/>
  <c r="E993" i="6" s="1"/>
  <c r="E994" i="6" s="1"/>
  <c r="E995" i="6" s="1"/>
  <c r="E996" i="6" s="1"/>
  <c r="E997" i="6" s="1"/>
  <c r="E998" i="6" s="1"/>
  <c r="E999" i="6" s="1"/>
  <c r="E1000" i="6" s="1"/>
  <c r="E1001" i="6" s="1"/>
  <c r="E1002" i="6" s="1"/>
  <c r="E1003" i="6" s="1"/>
  <c r="E1004" i="6" s="1"/>
  <c r="E1005" i="6" s="1"/>
  <c r="E1006" i="6" s="1"/>
  <c r="E1007" i="6" s="1"/>
  <c r="E1008" i="6" s="1"/>
  <c r="E1009" i="6" s="1"/>
  <c r="E1010" i="6" s="1"/>
  <c r="E1456" i="6"/>
  <c r="E1457" i="6" s="1"/>
  <c r="E1458" i="6" s="1"/>
  <c r="E1459" i="6" s="1"/>
  <c r="E1460" i="6" s="1"/>
  <c r="E1461" i="6" s="1"/>
  <c r="E1462" i="6" s="1"/>
  <c r="E1463" i="6" s="1"/>
  <c r="E1464" i="6" s="1"/>
  <c r="E1465" i="6" s="1"/>
  <c r="E1466" i="6" s="1"/>
  <c r="E1467" i="6" s="1"/>
  <c r="E1468" i="6" s="1"/>
  <c r="E1469" i="6" s="1"/>
  <c r="E1470" i="6" s="1"/>
  <c r="E1471" i="6" s="1"/>
  <c r="E1472" i="6" s="1"/>
  <c r="E1473" i="6" s="1"/>
  <c r="E1474" i="6" s="1"/>
  <c r="E1475" i="6" s="1"/>
  <c r="E1476" i="6" s="1"/>
  <c r="E1477" i="6" s="1"/>
  <c r="E1478" i="6" s="1"/>
  <c r="E1479" i="6" s="1"/>
  <c r="E1480" i="6" s="1"/>
  <c r="E1481" i="6" s="1"/>
  <c r="E1482" i="6" s="1"/>
  <c r="E1483" i="6" s="1"/>
  <c r="E1484" i="6" s="1"/>
  <c r="E1485" i="6" s="1"/>
  <c r="E1486" i="6" s="1"/>
  <c r="E1487" i="6" s="1"/>
  <c r="E1488" i="6" s="1"/>
  <c r="E1489" i="6" s="1"/>
  <c r="E1490" i="6" s="1"/>
  <c r="E1491" i="6" s="1"/>
  <c r="E1492" i="6" s="1"/>
  <c r="E1493" i="6" s="1"/>
  <c r="E1494" i="6" s="1"/>
  <c r="E1495" i="6" s="1"/>
  <c r="E1496" i="6" s="1"/>
  <c r="E1497" i="6" s="1"/>
  <c r="E1498" i="6" s="1"/>
  <c r="E1499" i="6" s="1"/>
  <c r="E1500" i="6" s="1"/>
  <c r="E1501" i="6" s="1"/>
  <c r="E1502" i="6" s="1"/>
  <c r="E1503" i="6" s="1"/>
  <c r="E1504" i="6" s="1"/>
  <c r="E1505" i="6" s="1"/>
  <c r="E1506" i="6" s="1"/>
  <c r="E1507" i="6" s="1"/>
  <c r="E1508" i="6" s="1"/>
  <c r="E1509" i="6" s="1"/>
  <c r="E1510" i="6" s="1"/>
  <c r="E1511" i="6" s="1"/>
  <c r="E1512" i="6" s="1"/>
  <c r="E1513" i="6" s="1"/>
  <c r="E1514" i="6" s="1"/>
  <c r="E1960" i="6"/>
  <c r="E1961" i="6" s="1"/>
  <c r="E1962" i="6" s="1"/>
  <c r="E1963" i="6" s="1"/>
  <c r="E1964" i="6" s="1"/>
  <c r="E1965" i="6" s="1"/>
  <c r="E1966" i="6" s="1"/>
  <c r="E1967" i="6" s="1"/>
  <c r="E1968" i="6" s="1"/>
  <c r="E1969" i="6" s="1"/>
  <c r="E1970" i="6" s="1"/>
  <c r="E1971" i="6" s="1"/>
  <c r="E1972" i="6" s="1"/>
  <c r="E1973" i="6" s="1"/>
  <c r="E1974" i="6" s="1"/>
  <c r="E1975" i="6" s="1"/>
  <c r="E1976" i="6" s="1"/>
  <c r="E1977" i="6" s="1"/>
  <c r="E1978" i="6" s="1"/>
  <c r="E1979" i="6" s="1"/>
  <c r="E1980" i="6" s="1"/>
  <c r="E1981" i="6" s="1"/>
  <c r="E1982" i="6" s="1"/>
  <c r="E1983" i="6" s="1"/>
  <c r="E1984" i="6" s="1"/>
  <c r="E1985" i="6" s="1"/>
  <c r="E1986" i="6" s="1"/>
  <c r="E1987" i="6" s="1"/>
  <c r="E1988" i="6" s="1"/>
  <c r="E1989" i="6" s="1"/>
  <c r="E1990" i="6" s="1"/>
  <c r="E1991" i="6" s="1"/>
  <c r="E1992" i="6" s="1"/>
  <c r="E1993" i="6" s="1"/>
  <c r="E1994" i="6" s="1"/>
  <c r="E1995" i="6" s="1"/>
  <c r="E1996" i="6" s="1"/>
  <c r="E1997" i="6" s="1"/>
  <c r="E1998" i="6" s="1"/>
  <c r="E1999" i="6" s="1"/>
  <c r="E2000" i="6" s="1"/>
  <c r="E2001" i="6" s="1"/>
  <c r="E2002" i="6" s="1"/>
  <c r="E2003" i="6" s="1"/>
  <c r="E2004" i="6" s="1"/>
  <c r="E2005" i="6" s="1"/>
  <c r="E2006" i="6" s="1"/>
  <c r="E2007" i="6" s="1"/>
  <c r="E2008" i="6" s="1"/>
  <c r="E2009" i="6" s="1"/>
  <c r="E2010" i="6" s="1"/>
  <c r="E2011" i="6" s="1"/>
  <c r="E2012" i="6" s="1"/>
  <c r="E2013" i="6" s="1"/>
  <c r="E2014" i="6" s="1"/>
  <c r="E2015" i="6" s="1"/>
  <c r="E2016" i="6" s="1"/>
  <c r="E2017" i="6" s="1"/>
  <c r="E2018" i="6" s="1"/>
  <c r="E2464" i="6"/>
  <c r="E2465" i="6" s="1"/>
  <c r="E2466" i="6" s="1"/>
  <c r="E2467" i="6" s="1"/>
  <c r="E2468" i="6" s="1"/>
  <c r="E2469" i="6" s="1"/>
  <c r="E2470" i="6" s="1"/>
  <c r="E2471" i="6" s="1"/>
  <c r="E2472" i="6" s="1"/>
  <c r="E2473" i="6" s="1"/>
  <c r="E2474" i="6" s="1"/>
  <c r="E2475" i="6" s="1"/>
  <c r="E2476" i="6" s="1"/>
  <c r="E2477" i="6" s="1"/>
  <c r="E2478" i="6" s="1"/>
  <c r="E2479" i="6" s="1"/>
  <c r="E2480" i="6" s="1"/>
  <c r="E2481" i="6" s="1"/>
  <c r="E2482" i="6" s="1"/>
  <c r="E2483" i="6" s="1"/>
  <c r="E2484" i="6" s="1"/>
  <c r="E2485" i="6" s="1"/>
  <c r="E2486" i="6" s="1"/>
  <c r="E2487" i="6" s="1"/>
  <c r="E2488" i="6" s="1"/>
  <c r="E2489" i="6" s="1"/>
  <c r="E2490" i="6" s="1"/>
  <c r="E2491" i="6" s="1"/>
  <c r="E2492" i="6" s="1"/>
  <c r="E2493" i="6" s="1"/>
  <c r="E2494" i="6" s="1"/>
  <c r="E2495" i="6" s="1"/>
  <c r="E2496" i="6" s="1"/>
  <c r="E2497" i="6" s="1"/>
  <c r="E2498" i="6" s="1"/>
  <c r="E2499" i="6" s="1"/>
  <c r="E2500" i="6" s="1"/>
  <c r="E2501" i="6" s="1"/>
  <c r="E2502" i="6" s="1"/>
  <c r="E2503" i="6" s="1"/>
  <c r="E2504" i="6" s="1"/>
  <c r="E2505" i="6" s="1"/>
  <c r="E2506" i="6" s="1"/>
  <c r="E2507" i="6" s="1"/>
  <c r="E2508" i="6" s="1"/>
  <c r="E2509" i="6" s="1"/>
  <c r="E2510" i="6" s="1"/>
  <c r="E2511" i="6" s="1"/>
  <c r="E2512" i="6" s="1"/>
  <c r="E2513" i="6" s="1"/>
  <c r="E2514" i="6" s="1"/>
  <c r="E2515" i="6" s="1"/>
  <c r="E2516" i="6" s="1"/>
  <c r="E2517" i="6" s="1"/>
  <c r="E2518" i="6" s="1"/>
  <c r="E2519" i="6" s="1"/>
  <c r="E2520" i="6" s="1"/>
  <c r="E2521" i="6" s="1"/>
  <c r="E2522" i="6" s="1"/>
  <c r="E2968" i="6"/>
  <c r="E2969" i="6" s="1"/>
  <c r="E2970" i="6" s="1"/>
  <c r="E2971" i="6" s="1"/>
  <c r="E2972" i="6" s="1"/>
  <c r="E2973" i="6" s="1"/>
  <c r="E2974" i="6" s="1"/>
  <c r="E2975" i="6" s="1"/>
  <c r="E2976" i="6" s="1"/>
  <c r="E2977" i="6" s="1"/>
  <c r="E2978" i="6" s="1"/>
  <c r="E2979" i="6" s="1"/>
  <c r="E2980" i="6" s="1"/>
  <c r="E2981" i="6" s="1"/>
  <c r="E2982" i="6" s="1"/>
  <c r="E2983" i="6" s="1"/>
  <c r="E2984" i="6" s="1"/>
  <c r="E2985" i="6" s="1"/>
  <c r="E2986" i="6" s="1"/>
  <c r="E2987" i="6" s="1"/>
  <c r="E2988" i="6" s="1"/>
  <c r="E2989" i="6" s="1"/>
  <c r="E2990" i="6" s="1"/>
  <c r="E2991" i="6" s="1"/>
  <c r="E2992" i="6" s="1"/>
  <c r="E2993" i="6" s="1"/>
  <c r="E2994" i="6" s="1"/>
  <c r="E2995" i="6" s="1"/>
  <c r="E2996" i="6" s="1"/>
  <c r="E2997" i="6" s="1"/>
  <c r="E2998" i="6" s="1"/>
  <c r="E2999" i="6" s="1"/>
  <c r="E3000" i="6" s="1"/>
  <c r="E3001" i="6" s="1"/>
  <c r="E3002" i="6" s="1"/>
  <c r="E3003" i="6" s="1"/>
  <c r="E3004" i="6" s="1"/>
  <c r="E3005" i="6" s="1"/>
  <c r="E3006" i="6" s="1"/>
  <c r="E3007" i="6" s="1"/>
  <c r="E3008" i="6" s="1"/>
  <c r="E3009" i="6" s="1"/>
  <c r="E3010" i="6" s="1"/>
  <c r="E3011" i="6" s="1"/>
  <c r="E3012" i="6" s="1"/>
  <c r="E3013" i="6" s="1"/>
  <c r="E3014" i="6" s="1"/>
  <c r="E3015" i="6" s="1"/>
  <c r="E3016" i="6" s="1"/>
  <c r="E3017" i="6" s="1"/>
  <c r="E3018" i="6" s="1"/>
  <c r="E3019" i="6" s="1"/>
  <c r="E3020" i="6" s="1"/>
  <c r="E3021" i="6" s="1"/>
  <c r="E3022" i="6" s="1"/>
  <c r="E3023" i="6" s="1"/>
  <c r="E3024" i="6" s="1"/>
  <c r="E3025" i="6" s="1"/>
  <c r="E3026" i="6" s="1"/>
  <c r="E3472" i="6"/>
  <c r="E3473" i="6" s="1"/>
  <c r="E3474" i="6" s="1"/>
  <c r="E3475" i="6" s="1"/>
  <c r="E3476" i="6" s="1"/>
  <c r="E3477" i="6" s="1"/>
  <c r="E3478" i="6" s="1"/>
  <c r="E3479" i="6" s="1"/>
  <c r="E3480" i="6" s="1"/>
  <c r="E3481" i="6" s="1"/>
  <c r="E3482" i="6" s="1"/>
  <c r="E3483" i="6" s="1"/>
  <c r="E3484" i="6" s="1"/>
  <c r="E3485" i="6" s="1"/>
  <c r="E3486" i="6" s="1"/>
  <c r="E3487" i="6" s="1"/>
  <c r="E3488" i="6" s="1"/>
  <c r="E3489" i="6" s="1"/>
  <c r="E3490" i="6" s="1"/>
  <c r="E3491" i="6" s="1"/>
  <c r="E3492" i="6" s="1"/>
  <c r="E3493" i="6" s="1"/>
  <c r="E3494" i="6" s="1"/>
  <c r="E3495" i="6" s="1"/>
  <c r="E3496" i="6" s="1"/>
  <c r="E3497" i="6" s="1"/>
  <c r="E3498" i="6" s="1"/>
  <c r="E3499" i="6" s="1"/>
  <c r="E3500" i="6" s="1"/>
  <c r="E3501" i="6" s="1"/>
  <c r="E3502" i="6" s="1"/>
  <c r="E3503" i="6" s="1"/>
  <c r="E3504" i="6" s="1"/>
  <c r="E3505" i="6" s="1"/>
  <c r="E3506" i="6" s="1"/>
  <c r="E3507" i="6" s="1"/>
  <c r="E3508" i="6" s="1"/>
  <c r="E3509" i="6" s="1"/>
  <c r="E3510" i="6" s="1"/>
  <c r="E3511" i="6" s="1"/>
  <c r="E3512" i="6" s="1"/>
  <c r="E3513" i="6" s="1"/>
  <c r="E3514" i="6" s="1"/>
  <c r="E3515" i="6" s="1"/>
  <c r="E3516" i="6" s="1"/>
  <c r="E3517" i="6" s="1"/>
  <c r="E3518" i="6" s="1"/>
  <c r="E3519" i="6" s="1"/>
  <c r="E3520" i="6" s="1"/>
  <c r="E3521" i="6" s="1"/>
  <c r="E3522" i="6" s="1"/>
  <c r="E3523" i="6" s="1"/>
  <c r="E3524" i="6" s="1"/>
  <c r="E3525" i="6" s="1"/>
  <c r="E3526" i="6" s="1"/>
  <c r="E3527" i="6" s="1"/>
  <c r="E3528" i="6" s="1"/>
  <c r="E3529" i="6" s="1"/>
  <c r="E3530" i="6" s="1"/>
  <c r="E3976" i="6"/>
  <c r="E3977" i="6" s="1"/>
  <c r="E3978" i="6" s="1"/>
  <c r="E3979" i="6" s="1"/>
  <c r="E3980" i="6" s="1"/>
  <c r="E3981" i="6" s="1"/>
  <c r="E3982" i="6" s="1"/>
  <c r="E3983" i="6" s="1"/>
  <c r="E3984" i="6" s="1"/>
  <c r="E3985" i="6" s="1"/>
  <c r="E3986" i="6" s="1"/>
  <c r="E3987" i="6" s="1"/>
  <c r="E3988" i="6" s="1"/>
  <c r="E3989" i="6" s="1"/>
  <c r="E3990" i="6" s="1"/>
  <c r="E3991" i="6" s="1"/>
  <c r="E3992" i="6" s="1"/>
  <c r="E3993" i="6" s="1"/>
  <c r="E3994" i="6" s="1"/>
  <c r="E3995" i="6" s="1"/>
  <c r="E3996" i="6" s="1"/>
  <c r="E3997" i="6" s="1"/>
  <c r="E3998" i="6" s="1"/>
  <c r="E3999" i="6" s="1"/>
  <c r="E4000" i="6" s="1"/>
  <c r="E4001" i="6" s="1"/>
  <c r="E4002" i="6" s="1"/>
  <c r="E4003" i="6" s="1"/>
  <c r="E4004" i="6" s="1"/>
  <c r="E4005" i="6" s="1"/>
  <c r="E4006" i="6" s="1"/>
  <c r="E4007" i="6" s="1"/>
  <c r="E4008" i="6" s="1"/>
  <c r="E4009" i="6" s="1"/>
  <c r="E4010" i="6" s="1"/>
  <c r="E4011" i="6" s="1"/>
  <c r="E4012" i="6" s="1"/>
  <c r="E4013" i="6" s="1"/>
  <c r="E4014" i="6" s="1"/>
  <c r="E4015" i="6" s="1"/>
  <c r="E4016" i="6" s="1"/>
  <c r="E4017" i="6" s="1"/>
  <c r="E4018" i="6" s="1"/>
  <c r="E4019" i="6" s="1"/>
  <c r="E4020" i="6" s="1"/>
  <c r="E4021" i="6" s="1"/>
  <c r="E4022" i="6" s="1"/>
  <c r="E4023" i="6" s="1"/>
  <c r="E4024" i="6" s="1"/>
  <c r="E4025" i="6" s="1"/>
  <c r="E4026" i="6" s="1"/>
  <c r="E4027" i="6" s="1"/>
  <c r="E4028" i="6" s="1"/>
  <c r="E4029" i="6" s="1"/>
  <c r="E4030" i="6" s="1"/>
  <c r="E4031" i="6" s="1"/>
  <c r="E4032" i="6" s="1"/>
  <c r="E4033" i="6" s="1"/>
  <c r="E4034" i="6" s="1"/>
  <c r="E4480" i="6"/>
  <c r="E4481" i="6" s="1"/>
  <c r="E4482" i="6" s="1"/>
  <c r="E4483" i="6" s="1"/>
  <c r="E4484" i="6" s="1"/>
  <c r="E4485" i="6" s="1"/>
  <c r="E4486" i="6" s="1"/>
  <c r="E4487" i="6" s="1"/>
  <c r="E4488" i="6" s="1"/>
  <c r="E4489" i="6" s="1"/>
  <c r="E4490" i="6" s="1"/>
  <c r="E4491" i="6" s="1"/>
  <c r="E4492" i="6" s="1"/>
  <c r="E4493" i="6" s="1"/>
  <c r="E4494" i="6" s="1"/>
  <c r="E4495" i="6" s="1"/>
  <c r="E4496" i="6" s="1"/>
  <c r="E4497" i="6" s="1"/>
  <c r="E4498" i="6" s="1"/>
  <c r="E4499" i="6" s="1"/>
  <c r="E4500" i="6" s="1"/>
  <c r="E4501" i="6" s="1"/>
  <c r="E4502" i="6" s="1"/>
  <c r="E4503" i="6" s="1"/>
  <c r="E4504" i="6" s="1"/>
  <c r="E4505" i="6" s="1"/>
  <c r="E4506" i="6" s="1"/>
  <c r="E4507" i="6" s="1"/>
  <c r="E4508" i="6" s="1"/>
  <c r="E4509" i="6" s="1"/>
  <c r="E4510" i="6" s="1"/>
  <c r="E4511" i="6" s="1"/>
  <c r="E4512" i="6" s="1"/>
  <c r="E4513" i="6" s="1"/>
  <c r="E4514" i="6" s="1"/>
  <c r="E4515" i="6" s="1"/>
  <c r="E4516" i="6" s="1"/>
  <c r="E4517" i="6" s="1"/>
  <c r="E4518" i="6" s="1"/>
  <c r="E4519" i="6" s="1"/>
  <c r="E4520" i="6" s="1"/>
  <c r="E4521" i="6" s="1"/>
  <c r="E4522" i="6" s="1"/>
  <c r="E4523" i="6" s="1"/>
  <c r="E4524" i="6" s="1"/>
  <c r="E4525" i="6" s="1"/>
  <c r="E4526" i="6" s="1"/>
  <c r="E4527" i="6" s="1"/>
  <c r="E4528" i="6" s="1"/>
  <c r="E4529" i="6" s="1"/>
  <c r="E4530" i="6" s="1"/>
  <c r="E4531" i="6" s="1"/>
  <c r="E4532" i="6" s="1"/>
  <c r="E4533" i="6" s="1"/>
  <c r="E4534" i="6" s="1"/>
  <c r="E4535" i="6" s="1"/>
  <c r="E4536" i="6" s="1"/>
  <c r="E4537" i="6" s="1"/>
  <c r="E4538" i="6" s="1"/>
  <c r="E4984" i="6"/>
  <c r="E4985" i="6" s="1"/>
  <c r="E4986" i="6" s="1"/>
  <c r="E4987" i="6" s="1"/>
  <c r="E4988" i="6" s="1"/>
  <c r="E4989" i="6" s="1"/>
  <c r="E4990" i="6" s="1"/>
  <c r="E4991" i="6" s="1"/>
  <c r="E4992" i="6" s="1"/>
  <c r="E4993" i="6" s="1"/>
  <c r="E4994" i="6" s="1"/>
  <c r="E4995" i="6" s="1"/>
  <c r="E4996" i="6" s="1"/>
  <c r="E4997" i="6" s="1"/>
  <c r="E4998" i="6" s="1"/>
  <c r="E4999" i="6" s="1"/>
  <c r="E5000" i="6" s="1"/>
  <c r="E5001" i="6" s="1"/>
  <c r="E5002" i="6" s="1"/>
  <c r="E5003" i="6" s="1"/>
  <c r="E5004" i="6" s="1"/>
  <c r="E5005" i="6" s="1"/>
  <c r="E5006" i="6" s="1"/>
  <c r="E5007" i="6" s="1"/>
  <c r="E5008" i="6" s="1"/>
  <c r="E5009" i="6" s="1"/>
  <c r="E5010" i="6" s="1"/>
  <c r="E5011" i="6" s="1"/>
  <c r="E5012" i="6" s="1"/>
  <c r="E5013" i="6" s="1"/>
  <c r="E5014" i="6" s="1"/>
  <c r="E5015" i="6" s="1"/>
  <c r="E5016" i="6" s="1"/>
  <c r="E5017" i="6" s="1"/>
  <c r="E5018" i="6" s="1"/>
  <c r="E5019" i="6" s="1"/>
  <c r="E5020" i="6" s="1"/>
  <c r="E5021" i="6" s="1"/>
  <c r="E5022" i="6" s="1"/>
  <c r="E5023" i="6" s="1"/>
  <c r="E5024" i="6" s="1"/>
  <c r="E5025" i="6" s="1"/>
  <c r="E5026" i="6" s="1"/>
  <c r="E5027" i="6" s="1"/>
  <c r="E5028" i="6" s="1"/>
  <c r="E5029" i="6" s="1"/>
  <c r="E5030" i="6" s="1"/>
  <c r="E5031" i="6" s="1"/>
  <c r="E5032" i="6" s="1"/>
  <c r="E5033" i="6" s="1"/>
  <c r="E5034" i="6" s="1"/>
  <c r="E5035" i="6" s="1"/>
  <c r="E5036" i="6" s="1"/>
  <c r="E5037" i="6" s="1"/>
  <c r="E5038" i="6" s="1"/>
  <c r="E5039" i="6" s="1"/>
  <c r="E5040" i="6" s="1"/>
  <c r="E5041" i="6" s="1"/>
  <c r="E5042" i="6" s="1"/>
  <c r="E5488" i="6"/>
  <c r="E5489" i="6" s="1"/>
  <c r="E5490" i="6" s="1"/>
  <c r="E5491" i="6" s="1"/>
  <c r="E5492" i="6" s="1"/>
  <c r="E5493" i="6" s="1"/>
  <c r="E5494" i="6" s="1"/>
  <c r="E5495" i="6" s="1"/>
  <c r="E5496" i="6" s="1"/>
  <c r="E5497" i="6" s="1"/>
  <c r="E5498" i="6" s="1"/>
  <c r="E5499" i="6" s="1"/>
  <c r="E5500" i="6" s="1"/>
  <c r="E5501" i="6" s="1"/>
  <c r="E5502" i="6" s="1"/>
  <c r="E5503" i="6" s="1"/>
  <c r="E5504" i="6" s="1"/>
  <c r="E5505" i="6" s="1"/>
  <c r="E5506" i="6" s="1"/>
  <c r="E5507" i="6" s="1"/>
  <c r="E5508" i="6" s="1"/>
  <c r="E5509" i="6" s="1"/>
  <c r="E5510" i="6" s="1"/>
  <c r="E5511" i="6" s="1"/>
  <c r="E5512" i="6" s="1"/>
  <c r="E5513" i="6" s="1"/>
  <c r="E5514" i="6" s="1"/>
  <c r="E5515" i="6" s="1"/>
  <c r="E5516" i="6" s="1"/>
  <c r="E5517" i="6" s="1"/>
  <c r="E5518" i="6" s="1"/>
  <c r="E5519" i="6" s="1"/>
  <c r="E5520" i="6" s="1"/>
  <c r="E5521" i="6" s="1"/>
  <c r="E5522" i="6" s="1"/>
  <c r="E5523" i="6" s="1"/>
  <c r="E5524" i="6" s="1"/>
  <c r="E5525" i="6" s="1"/>
  <c r="E5526" i="6" s="1"/>
  <c r="E5527" i="6" s="1"/>
  <c r="E5528" i="6" s="1"/>
  <c r="E5529" i="6" s="1"/>
  <c r="E5530" i="6" s="1"/>
  <c r="E5531" i="6" s="1"/>
  <c r="E5532" i="6" s="1"/>
  <c r="E5533" i="6" s="1"/>
  <c r="E5534" i="6" s="1"/>
  <c r="E5535" i="6" s="1"/>
  <c r="E5536" i="6" s="1"/>
  <c r="E5537" i="6" s="1"/>
  <c r="E5538" i="6" s="1"/>
  <c r="E5539" i="6" s="1"/>
  <c r="E5540" i="6" s="1"/>
  <c r="E5541" i="6" s="1"/>
  <c r="E5542" i="6" s="1"/>
  <c r="E5543" i="6" s="1"/>
  <c r="E5544" i="6" s="1"/>
  <c r="E5545" i="6" s="1"/>
  <c r="E5546" i="6" s="1"/>
  <c r="E5992" i="6"/>
  <c r="E5993" i="6" s="1"/>
  <c r="E5994" i="6" s="1"/>
  <c r="E5995" i="6" s="1"/>
  <c r="E5996" i="6" s="1"/>
  <c r="E5997" i="6" s="1"/>
  <c r="E5998" i="6" s="1"/>
  <c r="E5999" i="6" s="1"/>
  <c r="E6000" i="6" s="1"/>
  <c r="E6001" i="6" s="1"/>
  <c r="E6002" i="6" s="1"/>
  <c r="E6003" i="6" s="1"/>
  <c r="E6004" i="6" s="1"/>
  <c r="E6005" i="6" s="1"/>
  <c r="E6006" i="6" s="1"/>
  <c r="E6007" i="6" s="1"/>
  <c r="E6008" i="6" s="1"/>
  <c r="E6009" i="6" s="1"/>
  <c r="E6010" i="6" s="1"/>
  <c r="E6011" i="6" s="1"/>
  <c r="E6012" i="6" s="1"/>
  <c r="E6013" i="6" s="1"/>
  <c r="E6014" i="6" s="1"/>
  <c r="E6015" i="6" s="1"/>
  <c r="E6016" i="6" s="1"/>
  <c r="E6017" i="6" s="1"/>
  <c r="E6018" i="6" s="1"/>
  <c r="E6019" i="6" s="1"/>
  <c r="E6020" i="6" s="1"/>
  <c r="E6021" i="6" s="1"/>
  <c r="E6022" i="6" s="1"/>
  <c r="E6023" i="6" s="1"/>
  <c r="E6024" i="6" s="1"/>
  <c r="E6025" i="6" s="1"/>
  <c r="E6026" i="6" s="1"/>
  <c r="E6027" i="6" s="1"/>
  <c r="E6028" i="6" s="1"/>
  <c r="E6029" i="6" s="1"/>
  <c r="E6030" i="6" s="1"/>
  <c r="E6031" i="6" s="1"/>
  <c r="E6032" i="6" s="1"/>
  <c r="E6033" i="6" s="1"/>
  <c r="E6034" i="6" s="1"/>
  <c r="E6035" i="6" s="1"/>
  <c r="E6036" i="6" s="1"/>
  <c r="E6037" i="6" s="1"/>
  <c r="E6038" i="6" s="1"/>
  <c r="E6039" i="6" s="1"/>
  <c r="E6040" i="6" s="1"/>
  <c r="E6041" i="6" s="1"/>
  <c r="E6042" i="6" s="1"/>
  <c r="E6043" i="6" s="1"/>
  <c r="E6044" i="6" s="1"/>
  <c r="E6045" i="6" s="1"/>
  <c r="E6046" i="6" s="1"/>
  <c r="E6047" i="6" s="1"/>
  <c r="E6048" i="6" s="1"/>
  <c r="E6049" i="6" s="1"/>
  <c r="E6050" i="6" s="1"/>
  <c r="E6496" i="6"/>
  <c r="E6497" i="6" s="1"/>
  <c r="E6498" i="6" s="1"/>
  <c r="E6499" i="6" s="1"/>
  <c r="E6500" i="6" s="1"/>
  <c r="E6501" i="6" s="1"/>
  <c r="E6502" i="6" s="1"/>
  <c r="E6503" i="6" s="1"/>
  <c r="E6504" i="6" s="1"/>
  <c r="E6505" i="6" s="1"/>
  <c r="E6506" i="6" s="1"/>
  <c r="E6507" i="6" s="1"/>
  <c r="E6508" i="6" s="1"/>
  <c r="E6509" i="6" s="1"/>
  <c r="E6510" i="6" s="1"/>
  <c r="E6511" i="6" s="1"/>
  <c r="E6512" i="6" s="1"/>
  <c r="E6513" i="6" s="1"/>
  <c r="E6514" i="6" s="1"/>
  <c r="E6515" i="6" s="1"/>
  <c r="E6516" i="6" s="1"/>
  <c r="E6517" i="6" s="1"/>
  <c r="E6518" i="6" s="1"/>
  <c r="E6519" i="6" s="1"/>
  <c r="E6520" i="6" s="1"/>
  <c r="E6521" i="6" s="1"/>
  <c r="E6522" i="6" s="1"/>
  <c r="E6523" i="6" s="1"/>
  <c r="E6524" i="6" s="1"/>
  <c r="E6525" i="6" s="1"/>
  <c r="E6526" i="6" s="1"/>
  <c r="E6527" i="6" s="1"/>
  <c r="E6528" i="6" s="1"/>
  <c r="E6529" i="6" s="1"/>
  <c r="E6530" i="6" s="1"/>
  <c r="E6531" i="6" s="1"/>
  <c r="E6532" i="6" s="1"/>
  <c r="E6533" i="6" s="1"/>
  <c r="E6534" i="6" s="1"/>
  <c r="E6535" i="6" s="1"/>
  <c r="E6536" i="6" s="1"/>
  <c r="E6537" i="6" s="1"/>
  <c r="E6538" i="6" s="1"/>
  <c r="E6539" i="6" s="1"/>
  <c r="E6540" i="6" s="1"/>
  <c r="E6541" i="6" s="1"/>
  <c r="E6542" i="6" s="1"/>
  <c r="E6543" i="6" s="1"/>
  <c r="E6544" i="6" s="1"/>
  <c r="E6545" i="6" s="1"/>
  <c r="E6546" i="6" s="1"/>
  <c r="E6547" i="6" s="1"/>
  <c r="E6548" i="6" s="1"/>
  <c r="E6549" i="6" s="1"/>
  <c r="E6550" i="6" s="1"/>
  <c r="E6551" i="6" s="1"/>
  <c r="E6552" i="6" s="1"/>
  <c r="E6553" i="6" s="1"/>
  <c r="E6554" i="6" s="1"/>
  <c r="E7000" i="6"/>
  <c r="E7001" i="6" s="1"/>
  <c r="E7002" i="6" s="1"/>
  <c r="E7003" i="6" s="1"/>
  <c r="E7004" i="6" s="1"/>
  <c r="E7005" i="6" s="1"/>
  <c r="E7006" i="6" s="1"/>
  <c r="E7007" i="6" s="1"/>
  <c r="E7008" i="6" s="1"/>
  <c r="E7009" i="6" s="1"/>
  <c r="E7010" i="6" s="1"/>
  <c r="E7011" i="6" s="1"/>
  <c r="E7012" i="6" s="1"/>
  <c r="E7013" i="6" s="1"/>
  <c r="E7014" i="6" s="1"/>
  <c r="E7015" i="6" s="1"/>
  <c r="E7016" i="6" s="1"/>
  <c r="E7017" i="6" s="1"/>
  <c r="E7018" i="6" s="1"/>
  <c r="E7019" i="6" s="1"/>
  <c r="E7020" i="6" s="1"/>
  <c r="E7021" i="6" s="1"/>
  <c r="E7022" i="6" s="1"/>
  <c r="E7023" i="6" s="1"/>
  <c r="E7024" i="6" s="1"/>
  <c r="E7025" i="6" s="1"/>
  <c r="E7026" i="6" s="1"/>
  <c r="E7027" i="6" s="1"/>
  <c r="E7028" i="6" s="1"/>
  <c r="E7029" i="6" s="1"/>
  <c r="E7030" i="6" s="1"/>
  <c r="E7031" i="6" s="1"/>
  <c r="E7032" i="6" s="1"/>
  <c r="E7033" i="6" s="1"/>
  <c r="E7034" i="6" s="1"/>
  <c r="E7035" i="6" s="1"/>
  <c r="E7036" i="6" s="1"/>
  <c r="E7037" i="6" s="1"/>
  <c r="E7038" i="6" s="1"/>
  <c r="E7039" i="6" s="1"/>
  <c r="E7040" i="6" s="1"/>
  <c r="E7041" i="6" s="1"/>
  <c r="E7042" i="6" s="1"/>
  <c r="E7043" i="6" s="1"/>
  <c r="E7044" i="6" s="1"/>
  <c r="E7045" i="6" s="1"/>
  <c r="E7046" i="6" s="1"/>
  <c r="E7047" i="6" s="1"/>
  <c r="E7048" i="6" s="1"/>
  <c r="E7049" i="6" s="1"/>
  <c r="E7050" i="6" s="1"/>
  <c r="E7051" i="6" s="1"/>
  <c r="E7052" i="6" s="1"/>
  <c r="E7053" i="6" s="1"/>
  <c r="E7054" i="6" s="1"/>
  <c r="E7055" i="6" s="1"/>
  <c r="E7056" i="6" s="1"/>
  <c r="E7057" i="6" s="1"/>
  <c r="E7058" i="6" s="1"/>
  <c r="E7504" i="6"/>
  <c r="E7505" i="6" s="1"/>
  <c r="E7506" i="6" s="1"/>
  <c r="E7507" i="6" s="1"/>
  <c r="E7508" i="6" s="1"/>
  <c r="E7509" i="6" s="1"/>
  <c r="E7510" i="6" s="1"/>
  <c r="E7511" i="6" s="1"/>
  <c r="E7512" i="6" s="1"/>
  <c r="E7513" i="6" s="1"/>
  <c r="E7514" i="6" s="1"/>
  <c r="E7515" i="6" s="1"/>
  <c r="E7516" i="6" s="1"/>
  <c r="E7517" i="6" s="1"/>
  <c r="E7518" i="6" s="1"/>
  <c r="E7519" i="6" s="1"/>
  <c r="E7520" i="6" s="1"/>
  <c r="E7521" i="6" s="1"/>
  <c r="E7522" i="6" s="1"/>
  <c r="E7523" i="6" s="1"/>
  <c r="E7524" i="6" s="1"/>
  <c r="E7525" i="6" s="1"/>
  <c r="E7526" i="6" s="1"/>
  <c r="E7527" i="6" s="1"/>
  <c r="E7528" i="6" s="1"/>
  <c r="E7529" i="6" s="1"/>
  <c r="E7530" i="6" s="1"/>
  <c r="E7531" i="6" s="1"/>
  <c r="E7532" i="6" s="1"/>
  <c r="E7533" i="6" s="1"/>
  <c r="E7534" i="6" s="1"/>
  <c r="E7535" i="6" s="1"/>
  <c r="E7536" i="6" s="1"/>
  <c r="E7537" i="6" s="1"/>
  <c r="E7538" i="6" s="1"/>
  <c r="E7539" i="6" s="1"/>
  <c r="E7540" i="6" s="1"/>
  <c r="E7541" i="6" s="1"/>
  <c r="E7542" i="6" s="1"/>
  <c r="E7543" i="6" s="1"/>
  <c r="E7544" i="6" s="1"/>
  <c r="E7545" i="6" s="1"/>
  <c r="E7546" i="6" s="1"/>
  <c r="E7547" i="6" s="1"/>
  <c r="E7548" i="6" s="1"/>
  <c r="E7549" i="6" s="1"/>
  <c r="E7550" i="6" s="1"/>
  <c r="E7551" i="6" s="1"/>
  <c r="E7552" i="6" s="1"/>
  <c r="E7553" i="6" s="1"/>
  <c r="E7554" i="6" s="1"/>
  <c r="E7555" i="6" s="1"/>
  <c r="E7556" i="6" s="1"/>
  <c r="E7557" i="6" s="1"/>
  <c r="E7558" i="6" s="1"/>
  <c r="E7559" i="6" s="1"/>
  <c r="E7560" i="6" s="1"/>
  <c r="E7561" i="6" s="1"/>
  <c r="E7562" i="6" s="1"/>
  <c r="E8005" i="6"/>
  <c r="E8006" i="6" s="1"/>
  <c r="E8007" i="6" s="1"/>
  <c r="E8008" i="6" s="1"/>
  <c r="E8009" i="6" s="1"/>
  <c r="E8010" i="6" s="1"/>
  <c r="E8011" i="6" s="1"/>
  <c r="E8012" i="6" s="1"/>
  <c r="E8013" i="6" s="1"/>
  <c r="E8014" i="6" s="1"/>
  <c r="E8015" i="6" s="1"/>
  <c r="E8016" i="6" s="1"/>
  <c r="E8017" i="6" s="1"/>
  <c r="E8018" i="6" s="1"/>
  <c r="E8019" i="6" s="1"/>
  <c r="E8020" i="6" s="1"/>
  <c r="E8021" i="6" s="1"/>
  <c r="E8022" i="6" s="1"/>
  <c r="E8023" i="6" s="1"/>
  <c r="E8024" i="6" s="1"/>
  <c r="E8025" i="6" s="1"/>
  <c r="E8026" i="6" s="1"/>
  <c r="E8027" i="6" s="1"/>
  <c r="E8028" i="6" s="1"/>
  <c r="E8029" i="6" s="1"/>
  <c r="E8030" i="6" s="1"/>
  <c r="E8031" i="6" s="1"/>
  <c r="E8032" i="6" s="1"/>
  <c r="E8033" i="6" s="1"/>
  <c r="E8034" i="6" s="1"/>
  <c r="E8035" i="6" s="1"/>
  <c r="E8036" i="6" s="1"/>
  <c r="E8037" i="6" s="1"/>
  <c r="E8038" i="6" s="1"/>
  <c r="E8039" i="6" s="1"/>
  <c r="E8040" i="6" s="1"/>
  <c r="E8041" i="6" s="1"/>
  <c r="E8042" i="6" s="1"/>
  <c r="E8043" i="6" s="1"/>
  <c r="E8044" i="6" s="1"/>
  <c r="E8045" i="6" s="1"/>
  <c r="E8046" i="6" s="1"/>
  <c r="E8047" i="6" s="1"/>
  <c r="E8048" i="6" s="1"/>
  <c r="E8049" i="6" s="1"/>
  <c r="E8050" i="6" s="1"/>
  <c r="E8051" i="6" s="1"/>
  <c r="E8052" i="6" s="1"/>
  <c r="E8053" i="6" s="1"/>
  <c r="E8054" i="6" s="1"/>
  <c r="E8055" i="6" s="1"/>
  <c r="E8056" i="6" s="1"/>
  <c r="E8057" i="6" s="1"/>
  <c r="E8058" i="6" s="1"/>
  <c r="E8059" i="6" s="1"/>
  <c r="E8060" i="6" s="1"/>
  <c r="E8061" i="6" s="1"/>
  <c r="E8062" i="6" s="1"/>
  <c r="E8063" i="6" s="1"/>
</calcChain>
</file>

<file path=xl/sharedStrings.xml><?xml version="1.0" encoding="utf-8"?>
<sst xmlns="http://schemas.openxmlformats.org/spreadsheetml/2006/main" count="63548" uniqueCount="5364">
  <si>
    <t>edge:-gneE80.0</t>
  </si>
  <si>
    <t>edge:-gneE80.17</t>
  </si>
  <si>
    <t>edge:-gneE41</t>
  </si>
  <si>
    <t>edge:gneE44</t>
  </si>
  <si>
    <t>edge:-388756838#2</t>
  </si>
  <si>
    <t>edge:-388756838#1</t>
  </si>
  <si>
    <t>edge:-388756838#0</t>
  </si>
  <si>
    <t>edge:42706817#0</t>
  </si>
  <si>
    <t>edge:386547310</t>
  </si>
  <si>
    <t>edge:gneE69</t>
  </si>
  <si>
    <t>edge:-388756839#1</t>
  </si>
  <si>
    <t>edge:-388756839#0</t>
  </si>
  <si>
    <t>edge:-194358837#2</t>
  </si>
  <si>
    <t>edge:-194358837#0</t>
  </si>
  <si>
    <t>edge:194358838#0</t>
  </si>
  <si>
    <t>edge:194358838#1</t>
  </si>
  <si>
    <t>edge:194358838#2</t>
  </si>
  <si>
    <t>edge:194358838#3</t>
  </si>
  <si>
    <t>edge:387422135#0</t>
  </si>
  <si>
    <t>edge:424769003#0</t>
  </si>
  <si>
    <t>edge:424769003#1</t>
  </si>
  <si>
    <t>edge:-30953396#1</t>
  </si>
  <si>
    <t>edge:-30953396#0</t>
  </si>
  <si>
    <t>edge:-424769006</t>
  </si>
  <si>
    <t>edge:-424769005</t>
  </si>
  <si>
    <t>edge:-424769002</t>
  </si>
  <si>
    <t>edge:-30953391</t>
  </si>
  <si>
    <t>edge:-43569848</t>
  </si>
  <si>
    <t>edge:-43569827#9</t>
  </si>
  <si>
    <t>edge:-43569827#6</t>
  </si>
  <si>
    <t>edge:-43569827#1</t>
  </si>
  <si>
    <t>edge:-43569827#0</t>
  </si>
  <si>
    <t>edge:28555332</t>
  </si>
  <si>
    <t>edge:387422130#1</t>
  </si>
  <si>
    <t>edge:62203285#11</t>
  </si>
  <si>
    <t>edge:62203285#13</t>
  </si>
  <si>
    <t>edge:62203285#14.0</t>
  </si>
  <si>
    <t>edge:62203285#14.24</t>
  </si>
  <si>
    <t>edge:30908387</t>
  </si>
  <si>
    <t>edge:30908366#1-AddedOnRampEdge</t>
  </si>
  <si>
    <t>edge:30908366#1</t>
  </si>
  <si>
    <t>edge:121643863</t>
  </si>
  <si>
    <t>edge:121643862</t>
  </si>
  <si>
    <t>edge:51758697#0</t>
  </si>
  <si>
    <t>edge:51758697#1-AddedOnRampEdge</t>
  </si>
  <si>
    <t>edge:51758697#1</t>
  </si>
  <si>
    <t>edge:-12114396#5</t>
  </si>
  <si>
    <t>edge:-12114396#3</t>
  </si>
  <si>
    <t>edge:-12114396#1</t>
  </si>
  <si>
    <t>edge:485017383#0</t>
  </si>
  <si>
    <t>edge:485017382#0</t>
  </si>
  <si>
    <t>edge:485017382#1</t>
  </si>
  <si>
    <t>edge:211575484#0</t>
  </si>
  <si>
    <t>edge:211575484#1</t>
  </si>
  <si>
    <t>edge:485017379</t>
  </si>
  <si>
    <t>edge:485017376</t>
  </si>
  <si>
    <t>edge:485017373#0</t>
  </si>
  <si>
    <t>edge:42706828#0</t>
  </si>
  <si>
    <t>edge:42706828#2</t>
  </si>
  <si>
    <t>edge:12182281#0</t>
  </si>
  <si>
    <t>edge:12182281#3</t>
  </si>
  <si>
    <t>edge:12182281#5</t>
  </si>
  <si>
    <t>edge:12182281#6</t>
  </si>
  <si>
    <t>edge:12182281#7</t>
  </si>
  <si>
    <t>edge:12182281#8</t>
  </si>
  <si>
    <t>edge:-12175537#3</t>
  </si>
  <si>
    <t>edge:-12175537#2</t>
  </si>
  <si>
    <t>edge:194358837#1</t>
  </si>
  <si>
    <t>edge:-50033059#4</t>
  </si>
  <si>
    <t>edge:-50033059#3</t>
  </si>
  <si>
    <t>edge:-50033059#2</t>
  </si>
  <si>
    <t>edge:-50033059#1</t>
  </si>
  <si>
    <t>edge:-50033558#8</t>
  </si>
  <si>
    <t>edge:-50033558#5</t>
  </si>
  <si>
    <t>edge:-50033558#3</t>
  </si>
  <si>
    <t>edge:-50033558#2</t>
  </si>
  <si>
    <t>edge:-12187610#5</t>
  </si>
  <si>
    <t>edge:-12187610#2</t>
  </si>
  <si>
    <t>edge:-484953508#2</t>
  </si>
  <si>
    <t>edge:484953509#0</t>
  </si>
  <si>
    <t>edge:484953509#2</t>
  </si>
  <si>
    <t>edge:-12175523#1</t>
  </si>
  <si>
    <t>edge:12134222#0</t>
  </si>
  <si>
    <t>edge:12134222#2</t>
  </si>
  <si>
    <t>edge:12134222#3</t>
  </si>
  <si>
    <t>edge:12180696#6</t>
  </si>
  <si>
    <t>edge:386547306#0</t>
  </si>
  <si>
    <t>edge:-gneE20.0</t>
  </si>
  <si>
    <t>edge:-gneE21.54</t>
  </si>
  <si>
    <t>edge:-gneE21.0</t>
  </si>
  <si>
    <t>edge:59435515#0</t>
  </si>
  <si>
    <t>edge:59435515#1</t>
  </si>
  <si>
    <t>edge:59435515#3</t>
  </si>
  <si>
    <t>edge:-12134222#2</t>
  </si>
  <si>
    <t>edge:-12134222#1</t>
  </si>
  <si>
    <t>edge:-450827391#1</t>
  </si>
  <si>
    <t>edge:-450827381</t>
  </si>
  <si>
    <t>edge:-450827397#1</t>
  </si>
  <si>
    <t>edge:12180696#0</t>
  </si>
  <si>
    <t>edge:12180696#2</t>
  </si>
  <si>
    <t>edge:386547311#6</t>
  </si>
  <si>
    <t>edge:386547311#8</t>
  </si>
  <si>
    <t>edge:386547311#9</t>
  </si>
  <si>
    <t>edge:386547311#11</t>
  </si>
  <si>
    <t>edge:386547311#13</t>
  </si>
  <si>
    <t>edge:12117702#0</t>
  </si>
  <si>
    <t>edge:12117702#4</t>
  </si>
  <si>
    <t>edge:12117702#7</t>
  </si>
  <si>
    <t>edge:12117702#9</t>
  </si>
  <si>
    <t>edge:450844953#0</t>
  </si>
  <si>
    <t>edge:450844953#2</t>
  </si>
  <si>
    <t>edge:450844953#3</t>
  </si>
  <si>
    <t>edge:450844947#0</t>
  </si>
  <si>
    <t>edge:388533142#0</t>
  </si>
  <si>
    <t>edge:388533142#2</t>
  </si>
  <si>
    <t>edge:388533142#4</t>
  </si>
  <si>
    <t>edge:62623926#0</t>
  </si>
  <si>
    <t>edge:62623926#1</t>
  </si>
  <si>
    <t>edge:450844950#0</t>
  </si>
  <si>
    <t>edge:38502259#0.19</t>
  </si>
  <si>
    <t>edge:43357850.4841.18</t>
  </si>
  <si>
    <t>edge:gneE46</t>
  </si>
  <si>
    <t>edge:49887339#0.596</t>
  </si>
  <si>
    <t>edge:49887339#0-AddedOffRampEdge</t>
  </si>
  <si>
    <t>edge:49887339#1</t>
  </si>
  <si>
    <t>edge:49887339#1-AddedOffRampEdge</t>
  </si>
  <si>
    <t>edge:104524021</t>
  </si>
  <si>
    <t>edge:104524021-AddedOffRampEdge</t>
  </si>
  <si>
    <t>edge:50192637#0</t>
  </si>
  <si>
    <t>edge:50192637#1-AddedOnRampEdge</t>
  </si>
  <si>
    <t>edge:50192637#1.0.0</t>
  </si>
  <si>
    <t>edge:50192637#1.0.382.0.0</t>
  </si>
  <si>
    <t>edge:50192637#1.697</t>
  </si>
  <si>
    <t>edge:50192637#1-AddedOffRampEdge</t>
  </si>
  <si>
    <t>edge:30953181#1</t>
  </si>
  <si>
    <t>edge:30953181#2-AddedOnRampEdge</t>
  </si>
  <si>
    <t>edge:30953181#2</t>
  </si>
  <si>
    <t>edge:30953181#3-AddedOnRampEdge</t>
  </si>
  <si>
    <t>edge:30953181#3</t>
  </si>
  <si>
    <t>edge:30953181#3-AddedOffRampEdge</t>
  </si>
  <si>
    <t>edge:30952933#1.0</t>
  </si>
  <si>
    <t>edge:30952933#1.199</t>
  </si>
  <si>
    <t>edge:386995479#2</t>
  </si>
  <si>
    <t>edge:386995479#3</t>
  </si>
  <si>
    <t>edge:386995479#4</t>
  </si>
  <si>
    <t>edge:386995479#5</t>
  </si>
  <si>
    <t>edge:386995479#6</t>
  </si>
  <si>
    <t>edge:386995490#0.0</t>
  </si>
  <si>
    <t>edge:12154359#1.20</t>
  </si>
  <si>
    <t>edge:12154359#2</t>
  </si>
  <si>
    <t>edge:12154359#3</t>
  </si>
  <si>
    <t>edge:12154359#4</t>
  </si>
  <si>
    <t>edge:42706837#6</t>
  </si>
  <si>
    <t>edge:42706837#7</t>
  </si>
  <si>
    <t>edge:42706837#8</t>
  </si>
  <si>
    <t>edge:12155177#0</t>
  </si>
  <si>
    <t>edge:12155177#1</t>
  </si>
  <si>
    <t>edge:12155177#2</t>
  </si>
  <si>
    <t>edge:387422153#1</t>
  </si>
  <si>
    <t>edge:gneE73</t>
  </si>
  <si>
    <t>edge:gneE75.0</t>
  </si>
  <si>
    <t>edge:gneE80.125</t>
  </si>
  <si>
    <t>edge:32121111#9</t>
  </si>
  <si>
    <t>edge:-12157718#3</t>
  </si>
  <si>
    <t>edge:-12157718#2</t>
  </si>
  <si>
    <t>edge:-12157718#1</t>
  </si>
  <si>
    <t>edge:-12199713#4</t>
  </si>
  <si>
    <t>edge:-386995514#6</t>
  </si>
  <si>
    <t>edge:-386995514#5</t>
  </si>
  <si>
    <t>edge:12175533#3</t>
  </si>
  <si>
    <t>edge:42706825#4</t>
  </si>
  <si>
    <t>edge:42706825#5</t>
  </si>
  <si>
    <t>edge:12189876#0</t>
  </si>
  <si>
    <t>edge:12189876#2</t>
  </si>
  <si>
    <t>edge:424801339#0</t>
  </si>
  <si>
    <t>edge:62646509#0</t>
  </si>
  <si>
    <t>edge:424801338#0</t>
  </si>
  <si>
    <t>edge:424801338#1</t>
  </si>
  <si>
    <t>edge:450844933#1</t>
  </si>
  <si>
    <t>edge:196207115#0</t>
  </si>
  <si>
    <t>edge:196207115#2</t>
  </si>
  <si>
    <t>edge:196207115#3</t>
  </si>
  <si>
    <t>edge:196355332#0</t>
  </si>
  <si>
    <t>edge:450844979#0.0</t>
  </si>
  <si>
    <t>edge:12114109#0.45.0</t>
  </si>
  <si>
    <t>edge:59671945#0.30</t>
  </si>
  <si>
    <t>edge:62093806#0</t>
  </si>
  <si>
    <t>edge:-262962068#1</t>
  </si>
  <si>
    <t>edge:-424080774</t>
  </si>
  <si>
    <t>edge:-32122059#1</t>
  </si>
  <si>
    <t>edge:-32122059#0</t>
  </si>
  <si>
    <t>edge:-196393940#2</t>
  </si>
  <si>
    <t>edge:62203285#0</t>
  </si>
  <si>
    <t>edge:62203285#3</t>
  </si>
  <si>
    <t>edge:62203285#5</t>
  </si>
  <si>
    <t>edge:62203285#6</t>
  </si>
  <si>
    <t>edge:12142298#1</t>
  </si>
  <si>
    <t>edge:62203286#2</t>
  </si>
  <si>
    <t>edge:59676508#0</t>
  </si>
  <si>
    <t>edge:-59676508#0</t>
  </si>
  <si>
    <t>edge:-62203286#2</t>
  </si>
  <si>
    <t>edge:-12142298#1</t>
  </si>
  <si>
    <t>edge:-12142298#0</t>
  </si>
  <si>
    <t>edge:42706664#8</t>
  </si>
  <si>
    <t>edge:12186741#4</t>
  </si>
  <si>
    <t>edge:12186741#5</t>
  </si>
  <si>
    <t>edge:-62203286#0</t>
  </si>
  <si>
    <t>edge:62203285#8</t>
  </si>
  <si>
    <t>edge:62203285#9</t>
  </si>
  <si>
    <t>edge:62203285#10</t>
  </si>
  <si>
    <t>edge:484953508#1</t>
  </si>
  <si>
    <t>edge:-12187610#1</t>
  </si>
  <si>
    <t>edge:-424769197#2</t>
  </si>
  <si>
    <t>edge:-424080769#1</t>
  </si>
  <si>
    <t>edge:-424769177</t>
  </si>
  <si>
    <t>edge:-386547298#1</t>
  </si>
  <si>
    <t>edge:-424080767#1</t>
  </si>
  <si>
    <t>edge:-424080771#1</t>
  </si>
  <si>
    <t>edge:-386547297#1</t>
  </si>
  <si>
    <t>edge:-424080772#2</t>
  </si>
  <si>
    <t>edge:-424080772#1</t>
  </si>
  <si>
    <t>edge:-262962065#1</t>
  </si>
  <si>
    <t>edge:-262962063</t>
  </si>
  <si>
    <t>edge:-424080764</t>
  </si>
  <si>
    <t>edge:-424080768#1</t>
  </si>
  <si>
    <t>edge:-424080766</t>
  </si>
  <si>
    <t>edge:-104526265#1</t>
  </si>
  <si>
    <t>edge:12142723#0</t>
  </si>
  <si>
    <t>edge:50978397</t>
  </si>
  <si>
    <t>edge:32118649#0</t>
  </si>
  <si>
    <t>edge:32118649#1</t>
  </si>
  <si>
    <t>edge:-12187745</t>
  </si>
  <si>
    <t>edge:12142723#5</t>
  </si>
  <si>
    <t>edge:196207110#0</t>
  </si>
  <si>
    <t>edge:196355327#2</t>
  </si>
  <si>
    <t>edge:195815883#2</t>
  </si>
  <si>
    <t>edge:195815883#3</t>
  </si>
  <si>
    <t>edge:394179820#4</t>
  </si>
  <si>
    <t>edge:196355327#1</t>
  </si>
  <si>
    <t>edge:196207110#2</t>
  </si>
  <si>
    <t>edge:12140627#0</t>
  </si>
  <si>
    <t>edge:63060729#0</t>
  </si>
  <si>
    <t>edge:63060729#4</t>
  </si>
  <si>
    <t>edge:63060729#7</t>
  </si>
  <si>
    <t>edge:63060729#10</t>
  </si>
  <si>
    <t>edge:12114396#4</t>
  </si>
  <si>
    <t>edge:484953505</t>
  </si>
  <si>
    <t>edge:-393884751</t>
  </si>
  <si>
    <t>edge:12159702</t>
  </si>
  <si>
    <t>edge:424764853</t>
  </si>
  <si>
    <t>edge:12149178#0</t>
  </si>
  <si>
    <t>edge:12149178#1</t>
  </si>
  <si>
    <t>edge:12149178#2</t>
  </si>
  <si>
    <t>edge:145605533#0</t>
  </si>
  <si>
    <t>edge:145605533#1-AddedOnRampEdge</t>
  </si>
  <si>
    <t>edge:145605533#1</t>
  </si>
  <si>
    <t>edge:145605511#1-AddedOnRampEdge</t>
  </si>
  <si>
    <t>edge:145605511#12</t>
  </si>
  <si>
    <t>edge:145605511#1.148</t>
  </si>
  <si>
    <t>edge:12144152#0</t>
  </si>
  <si>
    <t>edge:32121146#2</t>
  </si>
  <si>
    <t>edge:388533144#11</t>
  </si>
  <si>
    <t>edge:450695475#0</t>
  </si>
  <si>
    <t>edge:62646494#0</t>
  </si>
  <si>
    <t>edge:424801336#0</t>
  </si>
  <si>
    <t>edge:484842168#0</t>
  </si>
  <si>
    <t>edge:283621820</t>
  </si>
  <si>
    <t>edge:50033030#0</t>
  </si>
  <si>
    <t>edge:-424801341</t>
  </si>
  <si>
    <t>edge:-283621822#1</t>
  </si>
  <si>
    <t>edge:-424801343#1</t>
  </si>
  <si>
    <t>edge:-424801343#0</t>
  </si>
  <si>
    <t>edge:63060732#2.0</t>
  </si>
  <si>
    <t>edge:273888488.10</t>
  </si>
  <si>
    <t>edge:-12122468#1</t>
  </si>
  <si>
    <t>edge:12122468#1</t>
  </si>
  <si>
    <t>edge:273888485.0</t>
  </si>
  <si>
    <t>edge:50033027</t>
  </si>
  <si>
    <t>edge:50033028#0</t>
  </si>
  <si>
    <t>edge:50033028#3</t>
  </si>
  <si>
    <t>edge:50033028#5</t>
  </si>
  <si>
    <t>edge:50033028#6</t>
  </si>
  <si>
    <t>edge:49991646</t>
  </si>
  <si>
    <t>edge:386547300#0</t>
  </si>
  <si>
    <t>edge:386550018#0</t>
  </si>
  <si>
    <t>edge:386550018#0-AddedOffRampEdge</t>
  </si>
  <si>
    <t>edge:386550018#1</t>
  </si>
  <si>
    <t>edge:49991638</t>
  </si>
  <si>
    <t>edge:-12144161#0</t>
  </si>
  <si>
    <t>edge:12144161#0</t>
  </si>
  <si>
    <t>edge:12144161#1</t>
  </si>
  <si>
    <t>edge:49991657</t>
  </si>
  <si>
    <t>edge:283621821#1</t>
  </si>
  <si>
    <t>edge:283621821#1-AddedOffRampEdge</t>
  </si>
  <si>
    <t>edge:12122485</t>
  </si>
  <si>
    <t>edge:49991647#2</t>
  </si>
  <si>
    <t>edge:63060732#0</t>
  </si>
  <si>
    <t>edge:63060732#1</t>
  </si>
  <si>
    <t>edge:-12122468#0</t>
  </si>
  <si>
    <t>edge:-424081469</t>
  </si>
  <si>
    <t>edge:-424081473</t>
  </si>
  <si>
    <t>edge:-424081472</t>
  </si>
  <si>
    <t>edge:-424987520</t>
  </si>
  <si>
    <t>edge:-30953029#1</t>
  </si>
  <si>
    <t>edge:-30953029#0</t>
  </si>
  <si>
    <t>edge:-424987519</t>
  </si>
  <si>
    <t>edge:170366765</t>
  </si>
  <si>
    <t>edge:12173391</t>
  </si>
  <si>
    <t>edge:132508920#2</t>
  </si>
  <si>
    <t>edge:196355307#1</t>
  </si>
  <si>
    <t>edge:196393937</t>
  </si>
  <si>
    <t>edge:-132508530</t>
  </si>
  <si>
    <t>edge:-310296140#9</t>
  </si>
  <si>
    <t>edge:-310296140#8</t>
  </si>
  <si>
    <t>edge:-310296140#7</t>
  </si>
  <si>
    <t>edge:-310296140#2</t>
  </si>
  <si>
    <t>edge:-310296140#1</t>
  </si>
  <si>
    <t>edge:459461788#11</t>
  </si>
  <si>
    <t>edge:459461788#12</t>
  </si>
  <si>
    <t>edge:459461788#13</t>
  </si>
  <si>
    <t>edge:459461788#14</t>
  </si>
  <si>
    <t>edge:459461788#15</t>
  </si>
  <si>
    <t>edge:-170366767#4</t>
  </si>
  <si>
    <t>edge:-170366767#3</t>
  </si>
  <si>
    <t>edge:-170366767#2</t>
  </si>
  <si>
    <t>edge:-170366767#0</t>
  </si>
  <si>
    <t>edge:-12173391</t>
  </si>
  <si>
    <t>edge:-170366765</t>
  </si>
  <si>
    <t>edge:12169718#0</t>
  </si>
  <si>
    <t>edge:12169718#1</t>
  </si>
  <si>
    <t>edge:424804090#0</t>
  </si>
  <si>
    <t>edge:424804090#1</t>
  </si>
  <si>
    <t>edge:12198567#0</t>
  </si>
  <si>
    <t>edge:12198567#1</t>
  </si>
  <si>
    <t>edge:424080762#4</t>
  </si>
  <si>
    <t>edge:424080762#5</t>
  </si>
  <si>
    <t>edge:179915585#2</t>
  </si>
  <si>
    <t>edge:12171853#2</t>
  </si>
  <si>
    <t>edge:12198567#4</t>
  </si>
  <si>
    <t>edge:12198567#5</t>
  </si>
  <si>
    <t>edge:132508740#0</t>
  </si>
  <si>
    <t>edge:132508740#2</t>
  </si>
  <si>
    <t>edge:-12165829#1</t>
  </si>
  <si>
    <t>edge:132508646#0</t>
  </si>
  <si>
    <t>edge:132508646#2</t>
  </si>
  <si>
    <t>edge:132508646#3</t>
  </si>
  <si>
    <t>edge:196355310#0</t>
  </si>
  <si>
    <t>edge:394179820#1</t>
  </si>
  <si>
    <t>edge:394179820#2</t>
  </si>
  <si>
    <t>edge:394179820#3</t>
  </si>
  <si>
    <t>edge:450844975</t>
  </si>
  <si>
    <t>edge:450844970#0</t>
  </si>
  <si>
    <t>edge:12144152#2</t>
  </si>
  <si>
    <t>edge:12144152#4</t>
  </si>
  <si>
    <t>edge:12166276#0</t>
  </si>
  <si>
    <t>edge:12166276#2</t>
  </si>
  <si>
    <t>edge:388533144#6</t>
  </si>
  <si>
    <t>edge:137364609#0</t>
  </si>
  <si>
    <t>edge:137364609#3</t>
  </si>
  <si>
    <t>edge:137364609#5</t>
  </si>
  <si>
    <t>edge:450695473#0</t>
  </si>
  <si>
    <t>edge:386547305#0</t>
  </si>
  <si>
    <t>edge:gneE23</t>
  </si>
  <si>
    <t>edge:-12165855#3.1535</t>
  </si>
  <si>
    <t>edge:386547306#4</t>
  </si>
  <si>
    <t>edge:386547306#6</t>
  </si>
  <si>
    <t>edge:-28555309#1</t>
  </si>
  <si>
    <t>edge:49991658</t>
  </si>
  <si>
    <t>edge:424801340</t>
  </si>
  <si>
    <t>edge:424801342</t>
  </si>
  <si>
    <t>edge:-50033029</t>
  </si>
  <si>
    <t>edge:50033050#0</t>
  </si>
  <si>
    <t>edge:50033050#2</t>
  </si>
  <si>
    <t>edge:424799828</t>
  </si>
  <si>
    <t>edge:424799825</t>
  </si>
  <si>
    <t>edge:424799826</t>
  </si>
  <si>
    <t>edge:-12168663#6</t>
  </si>
  <si>
    <t>edge:-484953513#2</t>
  </si>
  <si>
    <t>edge:51049946#0</t>
  </si>
  <si>
    <t>edge:424801337#0</t>
  </si>
  <si>
    <t>edge:357338497#0</t>
  </si>
  <si>
    <t>edge:357338497#2</t>
  </si>
  <si>
    <t>edge:450695460#0</t>
  </si>
  <si>
    <t>edge:-32121146#3</t>
  </si>
  <si>
    <t>edge:-32121146#1</t>
  </si>
  <si>
    <t>edge:12187610#0</t>
  </si>
  <si>
    <t>edge:12187610#2</t>
  </si>
  <si>
    <t>edge:12187610#3</t>
  </si>
  <si>
    <t>edge:-62105579</t>
  </si>
  <si>
    <t>edge:-32121234#1</t>
  </si>
  <si>
    <t>edge:-32121234#0</t>
  </si>
  <si>
    <t>edge:-264253834#2</t>
  </si>
  <si>
    <t>edge:-12156992#3</t>
  </si>
  <si>
    <t>edge:-12156992#2</t>
  </si>
  <si>
    <t>edge:-12156992#1</t>
  </si>
  <si>
    <t>edge:-424080761#1</t>
  </si>
  <si>
    <t>edge:-62623960</t>
  </si>
  <si>
    <t>edge:62623959#0</t>
  </si>
  <si>
    <t>edge:386547296#0</t>
  </si>
  <si>
    <t>edge:30953497#2</t>
  </si>
  <si>
    <t>edge:30953497#3</t>
  </si>
  <si>
    <t>edge:42706585#0</t>
  </si>
  <si>
    <t>edge:42706585#1</t>
  </si>
  <si>
    <t>edge:30953320</t>
  </si>
  <si>
    <t>edge:30953320-AddedOffRampEdge</t>
  </si>
  <si>
    <t>edge:30953315</t>
  </si>
  <si>
    <t>edge:104526276-AddedOnRampEdge</t>
  </si>
  <si>
    <t>edge:104526276</t>
  </si>
  <si>
    <t>edge:-gneE44</t>
  </si>
  <si>
    <t>edge:gneE41</t>
  </si>
  <si>
    <t>edge:gneE80.0</t>
  </si>
  <si>
    <t>edge:254666172#0</t>
  </si>
  <si>
    <t>edge:-386995551</t>
  </si>
  <si>
    <t>edge:-386995537</t>
  </si>
  <si>
    <t>edge:-51050425#2</t>
  </si>
  <si>
    <t>edge:12162659#0</t>
  </si>
  <si>
    <t>edge:12162659#1</t>
  </si>
  <si>
    <t>edge:12162659#2</t>
  </si>
  <si>
    <t>edge:386995507#5</t>
  </si>
  <si>
    <t>edge:386995507#6</t>
  </si>
  <si>
    <t>edge:386995507#7</t>
  </si>
  <si>
    <t>edge:43357814#0</t>
  </si>
  <si>
    <t>edge:43357814#1</t>
  </si>
  <si>
    <t>edge:42706837#4</t>
  </si>
  <si>
    <t>edge:42706837#5</t>
  </si>
  <si>
    <t>edge:12154359#5</t>
  </si>
  <si>
    <t>edge:12175537#10</t>
  </si>
  <si>
    <t>edge:12175537#11</t>
  </si>
  <si>
    <t>edge:12175537#12</t>
  </si>
  <si>
    <t>edge:12175537#13</t>
  </si>
  <si>
    <t>edge:12172918#1</t>
  </si>
  <si>
    <t>edge:12172918#2</t>
  </si>
  <si>
    <t>edge:394179820#0</t>
  </si>
  <si>
    <t>edge:173543402#9</t>
  </si>
  <si>
    <t>edge:132508983#0</t>
  </si>
  <si>
    <t>edge:132508983#3</t>
  </si>
  <si>
    <t>edge:132508734#3</t>
  </si>
  <si>
    <t>edge:132508734#4</t>
  </si>
  <si>
    <t>edge:132508734#5</t>
  </si>
  <si>
    <t>edge:132508734#6</t>
  </si>
  <si>
    <t>edge:132508734#7</t>
  </si>
  <si>
    <t>edge:132508734#8</t>
  </si>
  <si>
    <t>edge:132508734#9</t>
  </si>
  <si>
    <t>edge:424804090#3</t>
  </si>
  <si>
    <t>edge:424804090#4</t>
  </si>
  <si>
    <t>edge:450844982#0.19</t>
  </si>
  <si>
    <t>edge:62203497#0</t>
  </si>
  <si>
    <t>edge:62203497#2</t>
  </si>
  <si>
    <t>edge:62203497#3</t>
  </si>
  <si>
    <t>edge:34685684#2</t>
  </si>
  <si>
    <t>edge:388533143#0</t>
  </si>
  <si>
    <t>edge:12202008#2.0</t>
  </si>
  <si>
    <t>edge:12202008#2.171</t>
  </si>
  <si>
    <t>edge:62646499#2</t>
  </si>
  <si>
    <t>edge:450827424#0</t>
  </si>
  <si>
    <t>edge:62646508#0</t>
  </si>
  <si>
    <t>edge:60185970#0</t>
  </si>
  <si>
    <t>edge:60185970#2</t>
  </si>
  <si>
    <t>edge:42706874#2</t>
  </si>
  <si>
    <t>edge:450844956#2</t>
  </si>
  <si>
    <t>edge:-43538931#0</t>
  </si>
  <si>
    <t>edge:32118649#3</t>
  </si>
  <si>
    <t>edge:32118649#4</t>
  </si>
  <si>
    <t>edge:32118649#5</t>
  </si>
  <si>
    <t>edge:32118649#6</t>
  </si>
  <si>
    <t>edge:62203498#0</t>
  </si>
  <si>
    <t>edge:12142723#3</t>
  </si>
  <si>
    <t>edge:12142723#4</t>
  </si>
  <si>
    <t>edge:12187745</t>
  </si>
  <si>
    <t>edge:32118649#2</t>
  </si>
  <si>
    <t>edge:62094032#0.9</t>
  </si>
  <si>
    <t>edge:283621821#2</t>
  </si>
  <si>
    <t>edge:288513230#0</t>
  </si>
  <si>
    <t>edge:288513232</t>
  </si>
  <si>
    <t>edge:484842173</t>
  </si>
  <si>
    <t>edge:49991649#0</t>
  </si>
  <si>
    <t>edge:424986163#0</t>
  </si>
  <si>
    <t>edge:-484953514#2</t>
  </si>
  <si>
    <t>edge:-284556051#4</t>
  </si>
  <si>
    <t>edge:-284556051#2</t>
  </si>
  <si>
    <t>edge:51050278#0.0</t>
  </si>
  <si>
    <t>edge:gneE16</t>
  </si>
  <si>
    <t>edge:196393940#0</t>
  </si>
  <si>
    <t>edge:196393940#1</t>
  </si>
  <si>
    <t>edge:196207112#0</t>
  </si>
  <si>
    <t>edge:32122059#1</t>
  </si>
  <si>
    <t>edge:424080774</t>
  </si>
  <si>
    <t>edge:262962068#0.0</t>
  </si>
  <si>
    <t>edge:30953497#0</t>
  </si>
  <si>
    <t>edge:-gneE46.0</t>
  </si>
  <si>
    <t>edge:386547296#1</t>
  </si>
  <si>
    <t>edge:424080773#0</t>
  </si>
  <si>
    <t>edge:104523976#1</t>
  </si>
  <si>
    <t>edge:262962063</t>
  </si>
  <si>
    <t>edge:424080770#0</t>
  </si>
  <si>
    <t>edge:424080772#0</t>
  </si>
  <si>
    <t>edge:424080772#2</t>
  </si>
  <si>
    <t>edge:386547297#0</t>
  </si>
  <si>
    <t>edge:424080771#0</t>
  </si>
  <si>
    <t>edge:424080767#0</t>
  </si>
  <si>
    <t>edge:386547298#0</t>
  </si>
  <si>
    <t>edge:424769177</t>
  </si>
  <si>
    <t>edge:424080769#0</t>
  </si>
  <si>
    <t>edge:55179414#0</t>
  </si>
  <si>
    <t>edge:55179413#0</t>
  </si>
  <si>
    <t>edge:424769182</t>
  </si>
  <si>
    <t>edge:-450827405#2</t>
  </si>
  <si>
    <t>edge:-450827400#2</t>
  </si>
  <si>
    <t>edge:-450827382</t>
  </si>
  <si>
    <t>edge:-450827385#1</t>
  </si>
  <si>
    <t>edge:12180696#4</t>
  </si>
  <si>
    <t>edge:gneE36</t>
  </si>
  <si>
    <t>edge:--gneE83.0</t>
  </si>
  <si>
    <t>edge:62203285#2</t>
  </si>
  <si>
    <t>edge:62203285#7</t>
  </si>
  <si>
    <t>edge:35920555#0.0</t>
  </si>
  <si>
    <t>edge:35920555#0.75</t>
  </si>
  <si>
    <t>edge:62203066</t>
  </si>
  <si>
    <t>edge:43331031.0</t>
  </si>
  <si>
    <t>edge:43331031.436</t>
  </si>
  <si>
    <t>edge:-43538931#1</t>
  </si>
  <si>
    <t>edge:42706664#7</t>
  </si>
  <si>
    <t>edge:12142298#0</t>
  </si>
  <si>
    <t>edge:12186741#2</t>
  </si>
  <si>
    <t>edge:196355310#1</t>
  </si>
  <si>
    <t>edge:12150213#8</t>
  </si>
  <si>
    <t>edge:12150213#9</t>
  </si>
  <si>
    <t>edge:12150213#10</t>
  </si>
  <si>
    <t>edge:12150213#11</t>
  </si>
  <si>
    <t>edge:49991647#1</t>
  </si>
  <si>
    <t>edge:63060732#2.116</t>
  </si>
  <si>
    <t>edge:50033055</t>
  </si>
  <si>
    <t>edge:63060727</t>
  </si>
  <si>
    <t>edge:59435515#4</t>
  </si>
  <si>
    <t>edge:-196393940#0</t>
  </si>
  <si>
    <t>edge:357338496#0</t>
  </si>
  <si>
    <t>edge:357338487#0</t>
  </si>
  <si>
    <t>edge:-12134222#6</t>
  </si>
  <si>
    <t>edge:-12134222#4</t>
  </si>
  <si>
    <t>edge:12175523#0</t>
  </si>
  <si>
    <t>edge:484953509#4</t>
  </si>
  <si>
    <t>edge:51050030#0</t>
  </si>
  <si>
    <t>edge:51050030#4</t>
  </si>
  <si>
    <t>edge:51050030#7</t>
  </si>
  <si>
    <t>edge:gneE35</t>
  </si>
  <si>
    <t>edge:-gneE34.0</t>
  </si>
  <si>
    <t>edge:31909473.0</t>
  </si>
  <si>
    <t>edge:31909473.857</t>
  </si>
  <si>
    <t>edge:62634019#1-AddedOnRampEdge</t>
  </si>
  <si>
    <t>edge:62634019#1</t>
  </si>
  <si>
    <t>edge:30953036</t>
  </si>
  <si>
    <t>edge:424081476</t>
  </si>
  <si>
    <t>edge:12198567#2</t>
  </si>
  <si>
    <t>edge:12198567#3</t>
  </si>
  <si>
    <t>edge:173543402#8</t>
  </si>
  <si>
    <t>edge:179915585#0</t>
  </si>
  <si>
    <t>edge:193223837#0</t>
  </si>
  <si>
    <t>edge:193223837#1</t>
  </si>
  <si>
    <t>edge:193223837#3</t>
  </si>
  <si>
    <t>edge:132508920#4</t>
  </si>
  <si>
    <t>edge:132508920#5</t>
  </si>
  <si>
    <t>edge:132508920#8</t>
  </si>
  <si>
    <t>edge:132508920#9</t>
  </si>
  <si>
    <t>edge:132508920#10</t>
  </si>
  <si>
    <t>edge:132508920#12</t>
  </si>
  <si>
    <t>edge:132508897#0</t>
  </si>
  <si>
    <t>edge:132508897#1</t>
  </si>
  <si>
    <t>edge:132508897#2</t>
  </si>
  <si>
    <t>edge:132508897#3</t>
  </si>
  <si>
    <t>edge:12134479#1</t>
  </si>
  <si>
    <t>edge:12134479#5</t>
  </si>
  <si>
    <t>edge:450844973#0</t>
  </si>
  <si>
    <t>edge:388533145#0</t>
  </si>
  <si>
    <t>edge:50033054</t>
  </si>
  <si>
    <t>edge:50033029</t>
  </si>
  <si>
    <t>edge:12144152#6</t>
  </si>
  <si>
    <t>edge:12144152#7</t>
  </si>
  <si>
    <t>edge:450844965#0</t>
  </si>
  <si>
    <t>edge:388533144#0</t>
  </si>
  <si>
    <t>edge:283621823</t>
  </si>
  <si>
    <t>edge:386547301-AddedOnRampEdge</t>
  </si>
  <si>
    <t>edge:386547301</t>
  </si>
  <si>
    <t>edge:424801344#0</t>
  </si>
  <si>
    <t>edge:424801343#1</t>
  </si>
  <si>
    <t>edge:283621822#0</t>
  </si>
  <si>
    <t>edge:424801341</t>
  </si>
  <si>
    <t>edge:28555309#0</t>
  </si>
  <si>
    <t>edge:62646499#0</t>
  </si>
  <si>
    <t>edge:62646508#2</t>
  </si>
  <si>
    <t>edge:424799820</t>
  </si>
  <si>
    <t>edge:424799823#0</t>
  </si>
  <si>
    <t>edge:42706833#0</t>
  </si>
  <si>
    <t>edge:42706833#2</t>
  </si>
  <si>
    <t>edge:-42706825#7</t>
  </si>
  <si>
    <t>edge:12199713#0</t>
  </si>
  <si>
    <t>edge:12199713#1</t>
  </si>
  <si>
    <t>edge:32121111#12</t>
  </si>
  <si>
    <t>edge:-51155368#7</t>
  </si>
  <si>
    <t>edge:-51155368#5</t>
  </si>
  <si>
    <t>edge:-51155368#3</t>
  </si>
  <si>
    <t>edge:357338496#2</t>
  </si>
  <si>
    <t>edge:450695461#0</t>
  </si>
  <si>
    <t>edge:51049745#0</t>
  </si>
  <si>
    <t>edge:51049745#2</t>
  </si>
  <si>
    <t>edge:51049745#3</t>
  </si>
  <si>
    <t>edge:484842179#16.0</t>
  </si>
  <si>
    <t>edge:50033058#3</t>
  </si>
  <si>
    <t>edge:-386995507#1</t>
  </si>
  <si>
    <t>edge:386995514#7</t>
  </si>
  <si>
    <t>edge:386995514#9</t>
  </si>
  <si>
    <t>edge:450827405#0</t>
  </si>
  <si>
    <t>edge:262962062</t>
  </si>
  <si>
    <t>edge:-55179413#2</t>
  </si>
  <si>
    <t>edge:50033058#2</t>
  </si>
  <si>
    <t>edge:194358837#0</t>
  </si>
  <si>
    <t>edge:12175537#2</t>
  </si>
  <si>
    <t>edge:12175537#3</t>
  </si>
  <si>
    <t>edge:12175537#4</t>
  </si>
  <si>
    <t>edge:12175537#5</t>
  </si>
  <si>
    <t>edge:12175537#6</t>
  </si>
  <si>
    <t>edge:12175537#7</t>
  </si>
  <si>
    <t>edge:43357814#3</t>
  </si>
  <si>
    <t>edge:386995526#0</t>
  </si>
  <si>
    <t>edge:386995526#1</t>
  </si>
  <si>
    <t>edge:386995537</t>
  </si>
  <si>
    <t>edge:386995551</t>
  </si>
  <si>
    <t>edge:387422153#0</t>
  </si>
  <si>
    <t>edge:121319046</t>
  </si>
  <si>
    <t>edge:12188656</t>
  </si>
  <si>
    <t>edge:50033558#3</t>
  </si>
  <si>
    <t>edge:51155368#11</t>
  </si>
  <si>
    <t>edge:42706831#0</t>
  </si>
  <si>
    <t>edge:42706831#4</t>
  </si>
  <si>
    <t>edge:42706831#5</t>
  </si>
  <si>
    <t>edge:42706831#6</t>
  </si>
  <si>
    <t>edge:42706874#0</t>
  </si>
  <si>
    <t>edge:43539397#3</t>
  </si>
  <si>
    <t>edge:43569816#0</t>
  </si>
  <si>
    <t>edge:49914076#0</t>
  </si>
  <si>
    <t>edge:12159673#0</t>
  </si>
  <si>
    <t>edge:12159673#1</t>
  </si>
  <si>
    <t>edge:393884751</t>
  </si>
  <si>
    <t>edge:43569848</t>
  </si>
  <si>
    <t>edge:30953391</t>
  </si>
  <si>
    <t>edge:12113092</t>
  </si>
  <si>
    <t>edge:386995507#1</t>
  </si>
  <si>
    <t>edge:386995507#2</t>
  </si>
  <si>
    <t>edge:386995507#3</t>
  </si>
  <si>
    <t>edge:386995507#4</t>
  </si>
  <si>
    <t>edge:12161358#9</t>
  </si>
  <si>
    <t>edge:12161358#10</t>
  </si>
  <si>
    <t>edge:12161358#11</t>
  </si>
  <si>
    <t>edge:12171305#0</t>
  </si>
  <si>
    <t>edge:12178852#1</t>
  </si>
  <si>
    <t>edge:12154359#6</t>
  </si>
  <si>
    <t>edge:12154359#7</t>
  </si>
  <si>
    <t>edge:387422150#1</t>
  </si>
  <si>
    <t>edge:387422150#2</t>
  </si>
  <si>
    <t>edge:51155368#0</t>
  </si>
  <si>
    <t>edge:50033558#6</t>
  </si>
  <si>
    <t>edge:50033059#0</t>
  </si>
  <si>
    <t>edge:50033059#2</t>
  </si>
  <si>
    <t>edge:50033059#3</t>
  </si>
  <si>
    <t>edge:50033059#4</t>
  </si>
  <si>
    <t>edge:484953507#1</t>
  </si>
  <si>
    <t>edge:42706837#0</t>
  </si>
  <si>
    <t>edge:42706837#1</t>
  </si>
  <si>
    <t>edge:12161358#8</t>
  </si>
  <si>
    <t>edge:-386995507#5</t>
  </si>
  <si>
    <t>edge:42706828#6</t>
  </si>
  <si>
    <t>edge:484953506#1</t>
  </si>
  <si>
    <t>edge:484953506#2</t>
  </si>
  <si>
    <t>edge:484953506#3</t>
  </si>
  <si>
    <t>edge:484953506#4</t>
  </si>
  <si>
    <t>edge:12157002#0</t>
  </si>
  <si>
    <t>edge:12157002#1</t>
  </si>
  <si>
    <t>edge:12186058#2</t>
  </si>
  <si>
    <t>edge:485017381#0</t>
  </si>
  <si>
    <t>edge:485017381#1</t>
  </si>
  <si>
    <t>edge:62634019#2.0</t>
  </si>
  <si>
    <t>edge:62634019#2.242</t>
  </si>
  <si>
    <t>edge:62634019#3-AddedOnRampEdge</t>
  </si>
  <si>
    <t>edge:62634019#3</t>
  </si>
  <si>
    <t>edge:62634019#3-AddedOffRampEdge</t>
  </si>
  <si>
    <t>edge:30953251#1.0</t>
  </si>
  <si>
    <t>edge:30953251#1-AddedOffRampEdge</t>
  </si>
  <si>
    <t>edge:30953251#2.0</t>
  </si>
  <si>
    <t>edge:132508920#3</t>
  </si>
  <si>
    <t>edge:424080762#0</t>
  </si>
  <si>
    <t>edge:424080762#1</t>
  </si>
  <si>
    <t>edge:424080762#2</t>
  </si>
  <si>
    <t>edge:424080762#3</t>
  </si>
  <si>
    <t>edge:12171853#3</t>
  </si>
  <si>
    <t>edge:12171853#4</t>
  </si>
  <si>
    <t>edge:12171853#5</t>
  </si>
  <si>
    <t>edge:12171853#6</t>
  </si>
  <si>
    <t>edge:-386995514#4</t>
  </si>
  <si>
    <t>edge:-386995514#3</t>
  </si>
  <si>
    <t>edge:-386995514#2</t>
  </si>
  <si>
    <t>edge:-386995514#1</t>
  </si>
  <si>
    <t>edge:12159500#1</t>
  </si>
  <si>
    <t>edge:484953510#2</t>
  </si>
  <si>
    <t>edge:42706825#0</t>
  </si>
  <si>
    <t>edge:42706825#2</t>
  </si>
  <si>
    <t>edge:12123285#0</t>
  </si>
  <si>
    <t>edge:12123285#1</t>
  </si>
  <si>
    <t>edge:12123285#2</t>
  </si>
  <si>
    <t>edge:12176631</t>
  </si>
  <si>
    <t>edge:12167196#0.0.0</t>
  </si>
  <si>
    <t>edge:50189796</t>
  </si>
  <si>
    <t>edge:50189564</t>
  </si>
  <si>
    <t>edge:50189577</t>
  </si>
  <si>
    <t>edge:62203295</t>
  </si>
  <si>
    <t>edge:424081472</t>
  </si>
  <si>
    <t>edge:424081473</t>
  </si>
  <si>
    <t>edge:424081470</t>
  </si>
  <si>
    <t>edge:30953025#0</t>
  </si>
  <si>
    <t>edge:30953025#2</t>
  </si>
  <si>
    <t>edge:30953025#3</t>
  </si>
  <si>
    <t>edge:30953025#4</t>
  </si>
  <si>
    <t>edge:50033060#0</t>
  </si>
  <si>
    <t>edge:34685684#0</t>
  </si>
  <si>
    <t>edge:12189045#0</t>
  </si>
  <si>
    <t>edge:62623987#0</t>
  </si>
  <si>
    <t>edge:62623987#1</t>
  </si>
  <si>
    <t>edge:-12142631</t>
  </si>
  <si>
    <t>edge:12202018</t>
  </si>
  <si>
    <t>edge:62623986#1</t>
  </si>
  <si>
    <t>edge:62623986#2</t>
  </si>
  <si>
    <t>edge:-12189051#1</t>
  </si>
  <si>
    <t>edge:12119506#0</t>
  </si>
  <si>
    <t>edge:12156992#4</t>
  </si>
  <si>
    <t>edge:12156992#5</t>
  </si>
  <si>
    <t>edge:12156992#6</t>
  </si>
  <si>
    <t>edge:12156992#7</t>
  </si>
  <si>
    <t>edge:12156992#8</t>
  </si>
  <si>
    <t>edge:12156992#9</t>
  </si>
  <si>
    <t>edge:12148522#0</t>
  </si>
  <si>
    <t>edge:-12186058#4</t>
  </si>
  <si>
    <t>edge:-12186058#1</t>
  </si>
  <si>
    <t>edge:-386995465#1</t>
  </si>
  <si>
    <t>edge:-386995504#1</t>
  </si>
  <si>
    <t>edge:-386995486#1</t>
  </si>
  <si>
    <t>edge:-386995486#0</t>
  </si>
  <si>
    <t>edge:-386995514#9</t>
  </si>
  <si>
    <t>edge:-386995514#7</t>
  </si>
  <si>
    <t>edge:-12199713#2</t>
  </si>
  <si>
    <t>edge:-42706825#4</t>
  </si>
  <si>
    <t>edge:-42706825#3</t>
  </si>
  <si>
    <t>edge:-42706825#1</t>
  </si>
  <si>
    <t>edge:-484953510#2</t>
  </si>
  <si>
    <t>edge:386547309#7</t>
  </si>
  <si>
    <t>edge:386547309#9</t>
  </si>
  <si>
    <t>edge:450827385#0</t>
  </si>
  <si>
    <t>edge:450827382</t>
  </si>
  <si>
    <t>edge:450827400#0</t>
  </si>
  <si>
    <t>edge:43538931#0</t>
  </si>
  <si>
    <t>edge:12111747.0</t>
  </si>
  <si>
    <t>edge:12189453#0.0.0</t>
  </si>
  <si>
    <t>edge:-32121146#5</t>
  </si>
  <si>
    <t>edge:388533143#2</t>
  </si>
  <si>
    <t>edge:-42706823#3</t>
  </si>
  <si>
    <t>edge:-42706823#1</t>
  </si>
  <si>
    <t>edge:-12180988#5</t>
  </si>
  <si>
    <t>edge:-12156992#4</t>
  </si>
  <si>
    <t>edge:32121234#0</t>
  </si>
  <si>
    <t>edge:32121234#1</t>
  </si>
  <si>
    <t>edge:32121234#2</t>
  </si>
  <si>
    <t>edge:12203859#0</t>
  </si>
  <si>
    <t>edge:12203859#1</t>
  </si>
  <si>
    <t>edge:gneE59.30.0.0</t>
  </si>
  <si>
    <t>edge:gneE59.0.0</t>
  </si>
  <si>
    <t>edge:gneE59.0.12</t>
  </si>
  <si>
    <t>edge:gneE62.13</t>
  </si>
  <si>
    <t>edge:gneE81.0</t>
  </si>
  <si>
    <t>edge:gneE6.0</t>
  </si>
  <si>
    <t>edge:424765883</t>
  </si>
  <si>
    <t>edge:gneE87</t>
  </si>
  <si>
    <t>edge:196393957</t>
  </si>
  <si>
    <t>edge:132508433.0</t>
  </si>
  <si>
    <t>edge:-gneE6.0</t>
  </si>
  <si>
    <t>edge:gneE81.299.0</t>
  </si>
  <si>
    <t>edge:12138964.1128</t>
  </si>
  <si>
    <t>edge:196393941#8</t>
  </si>
  <si>
    <t>edge:196393974#0</t>
  </si>
  <si>
    <t>edge:49914077</t>
  </si>
  <si>
    <t>edge:424767578</t>
  </si>
  <si>
    <t>edge:43569819</t>
  </si>
  <si>
    <t>edge:387422128#1</t>
  </si>
  <si>
    <t>edge:43569827#0</t>
  </si>
  <si>
    <t>edge:43569827#1</t>
  </si>
  <si>
    <t>edge:43569827#2</t>
  </si>
  <si>
    <t>edge:43569827#7</t>
  </si>
  <si>
    <t>edge:388756841#0</t>
  </si>
  <si>
    <t>edge:43539369#3</t>
  </si>
  <si>
    <t>edge:43539369#4</t>
  </si>
  <si>
    <t>edge:43539368#0</t>
  </si>
  <si>
    <t>edge:132508717#4</t>
  </si>
  <si>
    <t>edge:43539378#1</t>
  </si>
  <si>
    <t>edge:424769002</t>
  </si>
  <si>
    <t>edge:424769005</t>
  </si>
  <si>
    <t>edge:424769006</t>
  </si>
  <si>
    <t>edge:424769004</t>
  </si>
  <si>
    <t>edge:104526265#0.14</t>
  </si>
  <si>
    <t>edge:424080766</t>
  </si>
  <si>
    <t>edge:424080768#0</t>
  </si>
  <si>
    <t>edge:43539369#2</t>
  </si>
  <si>
    <t>edge:12113482</t>
  </si>
  <si>
    <t>edge:424769007</t>
  </si>
  <si>
    <t>edge:132508717#0</t>
  </si>
  <si>
    <t>edge:12149210#1</t>
  </si>
  <si>
    <t>edge:12151897#1</t>
  </si>
  <si>
    <t>edge:gneE81.299.145</t>
  </si>
  <si>
    <t>edge:12178843#0</t>
  </si>
  <si>
    <t>edge:12178843#1</t>
  </si>
  <si>
    <t>edge:12178843#2</t>
  </si>
  <si>
    <t>edge:12178843#3</t>
  </si>
  <si>
    <t>edge:-12156992#6</t>
  </si>
  <si>
    <t>edge:-12156992#5</t>
  </si>
  <si>
    <t>edge:12186909#0</t>
  </si>
  <si>
    <t>edge:12150608#0</t>
  </si>
  <si>
    <t>edge:-12156992#10</t>
  </si>
  <si>
    <t>edge:-12156992#8</t>
  </si>
  <si>
    <t>edge:-12156992#7</t>
  </si>
  <si>
    <t>edge:12186909#1</t>
  </si>
  <si>
    <t>edge:12186909#2</t>
  </si>
  <si>
    <t>edge:-51155368#10</t>
  </si>
  <si>
    <t>edge:121319040#0</t>
  </si>
  <si>
    <t>edge:12186909#6</t>
  </si>
  <si>
    <t>edge:386995479#0</t>
  </si>
  <si>
    <t>edge:386995479#1</t>
  </si>
  <si>
    <t>edge:386995495#0</t>
  </si>
  <si>
    <t>edge:32121111#3</t>
  </si>
  <si>
    <t>edge:12152013#0</t>
  </si>
  <si>
    <t>edge:43357814#2</t>
  </si>
  <si>
    <t>edge:12175537#8</t>
  </si>
  <si>
    <t>edge:12175537#9</t>
  </si>
  <si>
    <t>edge:386995531#1</t>
  </si>
  <si>
    <t>edge:386995531#2</t>
  </si>
  <si>
    <t>edge:386995531#3</t>
  </si>
  <si>
    <t>edge:386995531#4</t>
  </si>
  <si>
    <t>edge:12186909#4</t>
  </si>
  <si>
    <t>edge:386995499#0</t>
  </si>
  <si>
    <t>edge:386995499#2</t>
  </si>
  <si>
    <t>edge:-51155368#13</t>
  </si>
  <si>
    <t>edge:-12177521#1</t>
  </si>
  <si>
    <t>edge:-12177521#0</t>
  </si>
  <si>
    <t>edge:121319040#1</t>
  </si>
  <si>
    <t>edge:386995507#0</t>
  </si>
  <si>
    <t>edge:310315797#0</t>
  </si>
  <si>
    <t>edge:310315797#1</t>
  </si>
  <si>
    <t>edge:310315797#2</t>
  </si>
  <si>
    <t>edge:12185366#9</t>
  </si>
  <si>
    <t>edge:387422145#0</t>
  </si>
  <si>
    <t>edge:387422145#3</t>
  </si>
  <si>
    <t>edge:12157718#4</t>
  </si>
  <si>
    <t>edge:12157718#5</t>
  </si>
  <si>
    <t>edge:12157718#7</t>
  </si>
  <si>
    <t>edge:12157718#9</t>
  </si>
  <si>
    <t>edge:12157718#10</t>
  </si>
  <si>
    <t>edge:50033558#2</t>
  </si>
  <si>
    <t>edge:-12188656</t>
  </si>
  <si>
    <t>edge:-121319046</t>
  </si>
  <si>
    <t>edge:50033558#4</t>
  </si>
  <si>
    <t>edge:30953396#1</t>
  </si>
  <si>
    <t>edge:387422132#0</t>
  </si>
  <si>
    <t>edge:387422132#1</t>
  </si>
  <si>
    <t>edge:486653633#0</t>
  </si>
  <si>
    <t>edge:486653633#1</t>
  </si>
  <si>
    <t>edge:486653633#2</t>
  </si>
  <si>
    <t>edge:486653633#3</t>
  </si>
  <si>
    <t>edge:42706828#4</t>
  </si>
  <si>
    <t>edge:12202537#1</t>
  </si>
  <si>
    <t>edge:12202537#2</t>
  </si>
  <si>
    <t>edge:12202537#3</t>
  </si>
  <si>
    <t>edge:12185366#2</t>
  </si>
  <si>
    <t>edge:12185366#3</t>
  </si>
  <si>
    <t>edge:12185366#4</t>
  </si>
  <si>
    <t>edge:12185366#5</t>
  </si>
  <si>
    <t>edge:12185366#7</t>
  </si>
  <si>
    <t>edge:-12157718#6</t>
  </si>
  <si>
    <t>edge:-12157718#4</t>
  </si>
  <si>
    <t>edge:-121319040#0</t>
  </si>
  <si>
    <t>edge:12158873</t>
  </si>
  <si>
    <t>edge:121643865#0</t>
  </si>
  <si>
    <t>edge:12110705</t>
  </si>
  <si>
    <t>edge:50715233#0</t>
  </si>
  <si>
    <t>edge:50715233#0-AddedOffRampEdge</t>
  </si>
  <si>
    <t>edge:50715233#1.0</t>
  </si>
  <si>
    <t>edge:gneE59.30.0.55</t>
  </si>
  <si>
    <t>edge:43539373#0.0.292.17</t>
  </si>
  <si>
    <t>edge:gneE58</t>
  </si>
  <si>
    <t>edge:gneE56</t>
  </si>
  <si>
    <t>edge:gneE54.0</t>
  </si>
  <si>
    <t>edge:43570920#0.22</t>
  </si>
  <si>
    <t>edge:43570920#3</t>
  </si>
  <si>
    <t>edge:43570920#5</t>
  </si>
  <si>
    <t>edge:404615579</t>
  </si>
  <si>
    <t>edge:43569828#0</t>
  </si>
  <si>
    <t>edge:121643865#1</t>
  </si>
  <si>
    <t>edge:62203360#0</t>
  </si>
  <si>
    <t>edge:12159135</t>
  </si>
  <si>
    <t>edge:12149408#0</t>
  </si>
  <si>
    <t>edge:43539372</t>
  </si>
  <si>
    <t>edge:12167183.0</t>
  </si>
  <si>
    <t>edge:43539378#0.15</t>
  </si>
  <si>
    <t>edge:291433360#0</t>
  </si>
  <si>
    <t>edge:291433361#0</t>
  </si>
  <si>
    <t>edge:388756840</t>
  </si>
  <si>
    <t>edge:485017368</t>
  </si>
  <si>
    <t>edge:485017367#0</t>
  </si>
  <si>
    <t>edge:12185366#0</t>
  </si>
  <si>
    <t>edge:12178852#0</t>
  </si>
  <si>
    <t>edge:12171305#1</t>
  </si>
  <si>
    <t>edge:42706797#2</t>
  </si>
  <si>
    <t>edge:42706797#4.13</t>
  </si>
  <si>
    <t>edge:42706797#5</t>
  </si>
  <si>
    <t>edge:387422148#0</t>
  </si>
  <si>
    <t>edge:387422148#1</t>
  </si>
  <si>
    <t>edge:12172918#0</t>
  </si>
  <si>
    <t>edge:-12175537#13</t>
  </si>
  <si>
    <t>edge:-12175537#10</t>
  </si>
  <si>
    <t>edge:-12175537#9</t>
  </si>
  <si>
    <t>edge:-12175537#8</t>
  </si>
  <si>
    <t>edge:-12175537#7</t>
  </si>
  <si>
    <t>edge:-12175537#6</t>
  </si>
  <si>
    <t>edge:-12175537#5</t>
  </si>
  <si>
    <t>edge:-12175537#4</t>
  </si>
  <si>
    <t>edge:12182281#9</t>
  </si>
  <si>
    <t>edge:12182281#10</t>
  </si>
  <si>
    <t>edge:388756838#0</t>
  </si>
  <si>
    <t>edge:12136923#0</t>
  </si>
  <si>
    <t>edge:386547309#0</t>
  </si>
  <si>
    <t>edge:386547309#2</t>
  </si>
  <si>
    <t>edge:386547309#3</t>
  </si>
  <si>
    <t>edge:386547309#5</t>
  </si>
  <si>
    <t>edge:-484953510#1</t>
  </si>
  <si>
    <t>edge:12159500#2</t>
  </si>
  <si>
    <t>edge:50033058#0</t>
  </si>
  <si>
    <t>edge:42706797#0</t>
  </si>
  <si>
    <t>edge:-12171305#1</t>
  </si>
  <si>
    <t>edge:386995495#1</t>
  </si>
  <si>
    <t>edge:-386995507#7</t>
  </si>
  <si>
    <t>edge:12152013#1</t>
  </si>
  <si>
    <t>edge:12152013#2</t>
  </si>
  <si>
    <t>edge:12152013#3</t>
  </si>
  <si>
    <t>edge:12152013#4</t>
  </si>
  <si>
    <t>edge:-51050425#3</t>
  </si>
  <si>
    <t>edge:-386995507#4</t>
  </si>
  <si>
    <t>edge:-386995507#3</t>
  </si>
  <si>
    <t>edge:12157718#3</t>
  </si>
  <si>
    <t>edge:32121111#10</t>
  </si>
  <si>
    <t>edge:32121111#11</t>
  </si>
  <si>
    <t>edge:12177521#2</t>
  </si>
  <si>
    <t>edge:32121111#14</t>
  </si>
  <si>
    <t>edge:386995486#1</t>
  </si>
  <si>
    <t>edge:32121111#1</t>
  </si>
  <si>
    <t>edge:32121111#2</t>
  </si>
  <si>
    <t>edge:42706837#3</t>
  </si>
  <si>
    <t>edge:386995531#0</t>
  </si>
  <si>
    <t>edge:101350669</t>
  </si>
  <si>
    <t>edge:386995545#0</t>
  </si>
  <si>
    <t>edge:12175533#2</t>
  </si>
  <si>
    <t>edge:194358817#0</t>
  </si>
  <si>
    <t>edge:194358817#1</t>
  </si>
  <si>
    <t>edge:194358817#2</t>
  </si>
  <si>
    <t>edge:-12157718#10</t>
  </si>
  <si>
    <t>edge:-12157718#9</t>
  </si>
  <si>
    <t>edge:-12157718#8</t>
  </si>
  <si>
    <t xml:space="preserve">python C:\Sumo\SUMO-0.31.0\sumo-0.31.0\tools\visualization\plot_net_selection.py -n C:\Users\Biko\Dropbox\PhD\Research\Models\SUMO\SUMO_DropBox\Run-Files-Dropbox\W_Philly_OSM_Clipped-9.1-DB.net.xml </t>
  </si>
  <si>
    <t xml:space="preserve"> --xlabel [m] --ylabel [m] --xticks 2252.80,6549.77,1000,16 --yticks 1956.49,6600,1000,16 --selected-width 1 --edge-width .5 </t>
  </si>
  <si>
    <t>-o Flow_Router_1.png</t>
  </si>
  <si>
    <t>-i C:\Sumo\runs\West_Philly\DFROUTER-output\Flow_Router_text_Files\</t>
  </si>
  <si>
    <t xml:space="preserve"> --edge-color #606060 --selected-color #800000 /</t>
  </si>
  <si>
    <t>edge:42706837#2</t>
  </si>
  <si>
    <t>edge:-51050425#4</t>
  </si>
  <si>
    <t>edge:-12175537#1</t>
  </si>
  <si>
    <t>edge:12177498</t>
  </si>
  <si>
    <t>edge:12157151#0</t>
  </si>
  <si>
    <t>edge:104526277</t>
  </si>
  <si>
    <t>edge:30953215#1-AddedOnRampEdge</t>
  </si>
  <si>
    <t>edge:30953215#1</t>
  </si>
  <si>
    <t>edge:59435515#2</t>
  </si>
  <si>
    <t>edge:12177521#3</t>
  </si>
  <si>
    <t>edge:194358815</t>
  </si>
  <si>
    <t>edge:12114363#0</t>
  </si>
  <si>
    <t>edge:12114363#1</t>
  </si>
  <si>
    <t>edge:12175537#0</t>
  </si>
  <si>
    <t>edge:485017371#0</t>
  </si>
  <si>
    <t>edge:12167232#0</t>
  </si>
  <si>
    <t>edge:12167232#1</t>
  </si>
  <si>
    <t>edge:12167232#2</t>
  </si>
  <si>
    <t>edge:51050425#4</t>
  </si>
  <si>
    <t>edge:387422150#0</t>
  </si>
  <si>
    <t>edge:-424769003#1</t>
  </si>
  <si>
    <t>edge:-424769003#0</t>
  </si>
  <si>
    <t>edge:-12157718#12</t>
  </si>
  <si>
    <t>edge:-386995521#1</t>
  </si>
  <si>
    <t>edge:-386995521#0</t>
  </si>
  <si>
    <t>edge:386995486#0</t>
  </si>
  <si>
    <t>edge:-484953510#0</t>
  </si>
  <si>
    <t>edge:gneE37</t>
  </si>
  <si>
    <t>edge:gneE38</t>
  </si>
  <si>
    <t>edge:-12159761#2</t>
  </si>
  <si>
    <t>edge:-12159761#1</t>
  </si>
  <si>
    <t>edge:-12159761#0</t>
  </si>
  <si>
    <t>edge:-194358817#2</t>
  </si>
  <si>
    <t>edge:-194358817#1</t>
  </si>
  <si>
    <t>edge:-194358817#0</t>
  </si>
  <si>
    <t>edge:12159485</t>
  </si>
  <si>
    <t>edge:12161358#7</t>
  </si>
  <si>
    <t>edge:386995521#0</t>
  </si>
  <si>
    <t>edge:386995521#1</t>
  </si>
  <si>
    <t>edge:-386995526#1</t>
  </si>
  <si>
    <t>edge:-386995526#0</t>
  </si>
  <si>
    <t>edge:-43357814#3</t>
  </si>
  <si>
    <t>edge:-43357814#2</t>
  </si>
  <si>
    <t>edge:42706837#9</t>
  </si>
  <si>
    <t>edge:-12177521#3</t>
  </si>
  <si>
    <t>edge:-12177521#2</t>
  </si>
  <si>
    <t>edge:12174155#0</t>
  </si>
  <si>
    <t>edge:12167232#3</t>
  </si>
  <si>
    <t>edge:12149571#1</t>
  </si>
  <si>
    <t>edge:12175533#0</t>
  </si>
  <si>
    <t>edge:132508983#5</t>
  </si>
  <si>
    <t>edge:170366766</t>
  </si>
  <si>
    <t>edge:170366768</t>
  </si>
  <si>
    <t>edge:30953029#0</t>
  </si>
  <si>
    <t>edge:30953029#1</t>
  </si>
  <si>
    <t>edge:424987520</t>
  </si>
  <si>
    <t>edge:12122468#0</t>
  </si>
  <si>
    <t>edge:388756839#0</t>
  </si>
  <si>
    <t>edge:388756839#1</t>
  </si>
  <si>
    <t>edge:196355327#5</t>
  </si>
  <si>
    <t>edge:62203286#0</t>
  </si>
  <si>
    <t>edge:43538931#1</t>
  </si>
  <si>
    <t>edge:12142729#6</t>
  </si>
  <si>
    <t>edge:12142729#7</t>
  </si>
  <si>
    <t>edge:-310296140#6</t>
  </si>
  <si>
    <t>edge:-310296140#5</t>
  </si>
  <si>
    <t>edge:-310296140#4</t>
  </si>
  <si>
    <t>edge:12189051#0</t>
  </si>
  <si>
    <t>edge:279870839#0</t>
  </si>
  <si>
    <t>edge:279870839#2</t>
  </si>
  <si>
    <t>edge:450844960#0</t>
  </si>
  <si>
    <t>edge:132508717#5</t>
  </si>
  <si>
    <t>edge:196393941#6</t>
  </si>
  <si>
    <t>edge:196393941#7</t>
  </si>
  <si>
    <t>edge:gneE81.299.79</t>
  </si>
  <si>
    <t>edge:-gneE8</t>
  </si>
  <si>
    <t>edge:12154353#0</t>
  </si>
  <si>
    <t>edge:196393941#1</t>
  </si>
  <si>
    <t>edge:196393941#2</t>
  </si>
  <si>
    <t>edge:28533986</t>
  </si>
  <si>
    <t>edge:49960982#2</t>
  </si>
  <si>
    <t>edge:12157002#3</t>
  </si>
  <si>
    <t>edge:12157002#5</t>
  </si>
  <si>
    <t>edge:-485017374</t>
  </si>
  <si>
    <t>edge:12111949#0</t>
  </si>
  <si>
    <t>edge:43539384#1.0</t>
  </si>
  <si>
    <t>edge:gneE82</t>
  </si>
  <si>
    <t>edge:424804090#2</t>
  </si>
  <si>
    <t>edge:12152219#0</t>
  </si>
  <si>
    <t>edge:12152219#1</t>
  </si>
  <si>
    <t>edge:12152236</t>
  </si>
  <si>
    <t>edge:-351053388#2</t>
  </si>
  <si>
    <t>edge:12112003</t>
  </si>
  <si>
    <t>edge:-gneE45</t>
  </si>
  <si>
    <t>edge:-485017363</t>
  </si>
  <si>
    <t>edge:-43117585#0</t>
  </si>
  <si>
    <t>edge:12157718#12</t>
  </si>
  <si>
    <t>edge:424764852</t>
  </si>
  <si>
    <t>edge:12149417#0</t>
  </si>
  <si>
    <t>edge:12149417#2</t>
  </si>
  <si>
    <t>edge:43539373#0.0.0</t>
  </si>
  <si>
    <t>edge:310315797#4</t>
  </si>
  <si>
    <t>edge:310315797#5</t>
  </si>
  <si>
    <t>edge:12172067</t>
  </si>
  <si>
    <t>edge:42706828#7</t>
  </si>
  <si>
    <t>edge:12152033</t>
  </si>
  <si>
    <t>edge:-386995521#3</t>
  </si>
  <si>
    <t>edge:-386995521#2</t>
  </si>
  <si>
    <t>edge:386995545#2</t>
  </si>
  <si>
    <t>edge:-386995507#6</t>
  </si>
  <si>
    <t>edge:12138978</t>
  </si>
  <si>
    <t>edge:12201597#2</t>
  </si>
  <si>
    <t>edge:386995521#2</t>
  </si>
  <si>
    <t>edge:386995521#3</t>
  </si>
  <si>
    <t>edge:12172225</t>
  </si>
  <si>
    <t>edge:43357813</t>
  </si>
  <si>
    <t>Router3_1</t>
  </si>
  <si>
    <t>Router3_2</t>
  </si>
  <si>
    <t>Router3_3</t>
  </si>
  <si>
    <t>Router3_4</t>
  </si>
  <si>
    <t>Router3_5</t>
  </si>
  <si>
    <t>Router3_6</t>
  </si>
  <si>
    <t>Router3_7</t>
  </si>
  <si>
    <t>Router3_8</t>
  </si>
  <si>
    <t>Router3_9</t>
  </si>
  <si>
    <t>Router3_10</t>
  </si>
  <si>
    <t>Router3_11</t>
  </si>
  <si>
    <t>Router3_12</t>
  </si>
  <si>
    <t>Router3_13</t>
  </si>
  <si>
    <t>Router3_14</t>
  </si>
  <si>
    <t>Router3_15</t>
  </si>
  <si>
    <t>Router3_16</t>
  </si>
  <si>
    <t>Router3_17</t>
  </si>
  <si>
    <t>Router3_18</t>
  </si>
  <si>
    <t>Router3_19</t>
  </si>
  <si>
    <t>Router3_20</t>
  </si>
  <si>
    <t>Router3_21</t>
  </si>
  <si>
    <t>Router3_22</t>
  </si>
  <si>
    <t>Router3_23</t>
  </si>
  <si>
    <t>Router3_24</t>
  </si>
  <si>
    <t>Router3_25</t>
  </si>
  <si>
    <t>Router3_26</t>
  </si>
  <si>
    <t>Router3_27</t>
  </si>
  <si>
    <t>Router3_28</t>
  </si>
  <si>
    <t>Router3_29</t>
  </si>
  <si>
    <t>Router3_30</t>
  </si>
  <si>
    <t>Router3_31</t>
  </si>
  <si>
    <t>Router3_32</t>
  </si>
  <si>
    <t>Router3_33</t>
  </si>
  <si>
    <t>Router3_34</t>
  </si>
  <si>
    <t>Router3_35</t>
  </si>
  <si>
    <t>Router3_36</t>
  </si>
  <si>
    <t>Router3_37</t>
  </si>
  <si>
    <t>Router3_38</t>
  </si>
  <si>
    <t>Router3_39</t>
  </si>
  <si>
    <t>Router3_40</t>
  </si>
  <si>
    <t>Router3_41</t>
  </si>
  <si>
    <t>Router3_42</t>
  </si>
  <si>
    <t>Router3_43</t>
  </si>
  <si>
    <t>Router3_44</t>
  </si>
  <si>
    <t>Router3_45</t>
  </si>
  <si>
    <t>Router3_46</t>
  </si>
  <si>
    <t>Router3_47</t>
  </si>
  <si>
    <t>Router3_48</t>
  </si>
  <si>
    <t>Router3_49</t>
  </si>
  <si>
    <t>Router3_50</t>
  </si>
  <si>
    <t>Router3_51</t>
  </si>
  <si>
    <t>Router3_52</t>
  </si>
  <si>
    <t>Router3_53</t>
  </si>
  <si>
    <t>Router3_54</t>
  </si>
  <si>
    <t>Router3_55</t>
  </si>
  <si>
    <t>Router3_56</t>
  </si>
  <si>
    <t>Router3_57</t>
  </si>
  <si>
    <t>Router3_58</t>
  </si>
  <si>
    <t>Router3_59</t>
  </si>
  <si>
    <t>Router3_60</t>
  </si>
  <si>
    <t>Router3_61</t>
  </si>
  <si>
    <t>Router3_62</t>
  </si>
  <si>
    <t>Router3_63</t>
  </si>
  <si>
    <t>Router3_64</t>
  </si>
  <si>
    <t>Router3_65</t>
  </si>
  <si>
    <t>Router3_66</t>
  </si>
  <si>
    <t>Router3_67</t>
  </si>
  <si>
    <t>Router3_68</t>
  </si>
  <si>
    <t>Router3_69</t>
  </si>
  <si>
    <t>Router3_70</t>
  </si>
  <si>
    <t>Router3_71</t>
  </si>
  <si>
    <t>Router3_72</t>
  </si>
  <si>
    <t>Router3_73</t>
  </si>
  <si>
    <t>Router3_74</t>
  </si>
  <si>
    <t>Router3_75</t>
  </si>
  <si>
    <t>Router3_76</t>
  </si>
  <si>
    <t>Router3_77</t>
  </si>
  <si>
    <t>Router3_78</t>
  </si>
  <si>
    <t>Router3_79</t>
  </si>
  <si>
    <t>Router3_80</t>
  </si>
  <si>
    <t>Router3_81</t>
  </si>
  <si>
    <t>Router3_82</t>
  </si>
  <si>
    <t>Router3_83</t>
  </si>
  <si>
    <t>Router3_84</t>
  </si>
  <si>
    <t>Router3_85</t>
  </si>
  <si>
    <t>Router3_86</t>
  </si>
  <si>
    <t>Router3_87</t>
  </si>
  <si>
    <t>Router3_88</t>
  </si>
  <si>
    <t>Router3_89</t>
  </si>
  <si>
    <t>Router3_90</t>
  </si>
  <si>
    <t>Router3_91</t>
  </si>
  <si>
    <t>Router3_92</t>
  </si>
  <si>
    <t>Router3_93</t>
  </si>
  <si>
    <t>Router3_94</t>
  </si>
  <si>
    <t>Router3_95</t>
  </si>
  <si>
    <t>Router3_96</t>
  </si>
  <si>
    <t>Router3_97</t>
  </si>
  <si>
    <t>Router3_98</t>
  </si>
  <si>
    <t>Router3_99</t>
  </si>
  <si>
    <t>Router3_100</t>
  </si>
  <si>
    <t>Router3_101</t>
  </si>
  <si>
    <t>Router3_102</t>
  </si>
  <si>
    <t>Router3_103</t>
  </si>
  <si>
    <t>Router3_104</t>
  </si>
  <si>
    <t>Router3_105</t>
  </si>
  <si>
    <t>Router3_106</t>
  </si>
  <si>
    <t>Router3_107</t>
  </si>
  <si>
    <t>Router3_108</t>
  </si>
  <si>
    <t>Router3_109</t>
  </si>
  <si>
    <t>Router3_110</t>
  </si>
  <si>
    <t>Router3_111</t>
  </si>
  <si>
    <t>Router3_112</t>
  </si>
  <si>
    <t>Router3_113</t>
  </si>
  <si>
    <t>Router3_114</t>
  </si>
  <si>
    <t>Router3_115</t>
  </si>
  <si>
    <t>Router3_116</t>
  </si>
  <si>
    <t>Router3_117</t>
  </si>
  <si>
    <t>Router3_118</t>
  </si>
  <si>
    <t>Router3_119</t>
  </si>
  <si>
    <t>Router3_120</t>
  </si>
  <si>
    <t>Router3_121</t>
  </si>
  <si>
    <t>Router3_122</t>
  </si>
  <si>
    <t>Router3_123</t>
  </si>
  <si>
    <t>Router3_124</t>
  </si>
  <si>
    <t>Router3_125</t>
  </si>
  <si>
    <t>Router3_126</t>
  </si>
  <si>
    <t>Router3_127</t>
  </si>
  <si>
    <t>Router3_128</t>
  </si>
  <si>
    <t>Router3_129</t>
  </si>
  <si>
    <t>Router3_130</t>
  </si>
  <si>
    <t>Router3_131</t>
  </si>
  <si>
    <t>Router3_132</t>
  </si>
  <si>
    <t>Router3_133</t>
  </si>
  <si>
    <t>Router3_134</t>
  </si>
  <si>
    <t>Router3_135</t>
  </si>
  <si>
    <t>Router3_136</t>
  </si>
  <si>
    <t>Router3_137</t>
  </si>
  <si>
    <t>Router3_138</t>
  </si>
  <si>
    <t>Router3_139</t>
  </si>
  <si>
    <t>Router3_140</t>
  </si>
  <si>
    <t>Router3_141</t>
  </si>
  <si>
    <t>Router3_142</t>
  </si>
  <si>
    <t>Router3_143</t>
  </si>
  <si>
    <t>Router3_144</t>
  </si>
  <si>
    <t>Router3_145</t>
  </si>
  <si>
    <t>Router3_146</t>
  </si>
  <si>
    <t>Router3_147</t>
  </si>
  <si>
    <t>Router3_148</t>
  </si>
  <si>
    <t>Router3_149</t>
  </si>
  <si>
    <t>Router3_150</t>
  </si>
  <si>
    <t>Router3_151</t>
  </si>
  <si>
    <t>Router3_152</t>
  </si>
  <si>
    <t>Router3_153</t>
  </si>
  <si>
    <t>Router3_154</t>
  </si>
  <si>
    <t>Router3_155</t>
  </si>
  <si>
    <t>Router3_156</t>
  </si>
  <si>
    <t>Router3_157</t>
  </si>
  <si>
    <t>Router3_158</t>
  </si>
  <si>
    <t>Router3_159</t>
  </si>
  <si>
    <t>Router3_160</t>
  </si>
  <si>
    <t>Router3_161</t>
  </si>
  <si>
    <t>Router3_162</t>
  </si>
  <si>
    <t>Router3_163</t>
  </si>
  <si>
    <t>Router3_164</t>
  </si>
  <si>
    <t>Router3_165</t>
  </si>
  <si>
    <t>Router3_166</t>
  </si>
  <si>
    <t>Flowrouter-3-Router3_1.txt</t>
  </si>
  <si>
    <t>Flowrouter-3-Router3_10.txt</t>
  </si>
  <si>
    <t>Flowrouter-3-Router3_100.txt</t>
  </si>
  <si>
    <t>Flowrouter-3-Router3_101.txt</t>
  </si>
  <si>
    <t>Flowrouter-3-Router3_102.txt</t>
  </si>
  <si>
    <t>Flowrouter-3-Router3_103.txt</t>
  </si>
  <si>
    <t>Flowrouter-3-Router3_104.txt</t>
  </si>
  <si>
    <t>Flowrouter-3-Router3_105.txt</t>
  </si>
  <si>
    <t>Flowrouter-3-Router3_106.txt</t>
  </si>
  <si>
    <t>Flowrouter-3-Router3_107.txt</t>
  </si>
  <si>
    <t>Flowrouter-3-Router3_108.txt</t>
  </si>
  <si>
    <t>Flowrouter-3-Router3_109.txt</t>
  </si>
  <si>
    <t>Flowrouter-3-Router3_11.txt</t>
  </si>
  <si>
    <t>Flowrouter-3-Router3_110.txt</t>
  </si>
  <si>
    <t>Flowrouter-3-Router3_111.txt</t>
  </si>
  <si>
    <t>Flowrouter-3-Router3_112.txt</t>
  </si>
  <si>
    <t>Flowrouter-3-Router3_113.txt</t>
  </si>
  <si>
    <t>Flowrouter-3-Router3_114.txt</t>
  </si>
  <si>
    <t>Flowrouter-3-Router3_115.txt</t>
  </si>
  <si>
    <t>Flowrouter-3-Router3_116.txt</t>
  </si>
  <si>
    <t>Flowrouter-3-Router3_117.txt</t>
  </si>
  <si>
    <t>Flowrouter-3-Router3_118.txt</t>
  </si>
  <si>
    <t>Flowrouter-3-Router3_119.txt</t>
  </si>
  <si>
    <t>Flowrouter-3-Router3_12.txt</t>
  </si>
  <si>
    <t>Flowrouter-3-Router3_120.txt</t>
  </si>
  <si>
    <t>Flowrouter-3-Router3_121.txt</t>
  </si>
  <si>
    <t>Flowrouter-3-Router3_122.txt</t>
  </si>
  <si>
    <t>Flowrouter-3-Router3_123.txt</t>
  </si>
  <si>
    <t>Flowrouter-3-Router3_124.txt</t>
  </si>
  <si>
    <t>Flowrouter-3-Router3_125.txt</t>
  </si>
  <si>
    <t>Flowrouter-3-Router3_126.txt</t>
  </si>
  <si>
    <t>Flowrouter-3-Router3_127.txt</t>
  </si>
  <si>
    <t>Flowrouter-3-Router3_128.txt</t>
  </si>
  <si>
    <t>Flowrouter-3-Router3_129.txt</t>
  </si>
  <si>
    <t>Flowrouter-3-Router3_13.txt</t>
  </si>
  <si>
    <t>Flowrouter-3-Router3_130.txt</t>
  </si>
  <si>
    <t>Flowrouter-3-Router3_131.txt</t>
  </si>
  <si>
    <t>Flowrouter-3-Router3_132.txt</t>
  </si>
  <si>
    <t>Flowrouter-3-Router3_133.txt</t>
  </si>
  <si>
    <t>Flowrouter-3-Router3_134.txt</t>
  </si>
  <si>
    <t>Flowrouter-3-Router3_135.txt</t>
  </si>
  <si>
    <t>Flowrouter-3-Router3_136.txt</t>
  </si>
  <si>
    <t>Flowrouter-3-Router3_137.txt</t>
  </si>
  <si>
    <t>Flowrouter-3-Router3_138.txt</t>
  </si>
  <si>
    <t>Flowrouter-3-Router3_139.txt</t>
  </si>
  <si>
    <t>Flowrouter-3-Router3_14.txt</t>
  </si>
  <si>
    <t>Flowrouter-3-Router3_140.txt</t>
  </si>
  <si>
    <t>Flowrouter-3-Router3_141.txt</t>
  </si>
  <si>
    <t>Flowrouter-3-Router3_142.txt</t>
  </si>
  <si>
    <t>Flowrouter-3-Router3_143.txt</t>
  </si>
  <si>
    <t>Flowrouter-3-Router3_144.txt</t>
  </si>
  <si>
    <t>Flowrouter-3-Router3_145.txt</t>
  </si>
  <si>
    <t>Flowrouter-3-Router3_146.txt</t>
  </si>
  <si>
    <t>Flowrouter-3-Router3_147.txt</t>
  </si>
  <si>
    <t>Flowrouter-3-Router3_148.txt</t>
  </si>
  <si>
    <t>Flowrouter-3-Router3_149.txt</t>
  </si>
  <si>
    <t>Flowrouter-3-Router3_15.txt</t>
  </si>
  <si>
    <t>Flowrouter-3-Router3_150.txt</t>
  </si>
  <si>
    <t>Flowrouter-3-Router3_151.txt</t>
  </si>
  <si>
    <t>Flowrouter-3-Router3_152.txt</t>
  </si>
  <si>
    <t>Flowrouter-3-Router3_153.txt</t>
  </si>
  <si>
    <t>Flowrouter-3-Router3_154.txt</t>
  </si>
  <si>
    <t>Flowrouter-3-Router3_155.txt</t>
  </si>
  <si>
    <t>Flowrouter-3-Router3_156.txt</t>
  </si>
  <si>
    <t>Flowrouter-3-Router3_157.txt</t>
  </si>
  <si>
    <t>Flowrouter-3-Router3_158.txt</t>
  </si>
  <si>
    <t>Flowrouter-3-Router3_159.txt</t>
  </si>
  <si>
    <t>Flowrouter-3-Router3_16.txt</t>
  </si>
  <si>
    <t>Flowrouter-3-Router3_160.txt</t>
  </si>
  <si>
    <t>Flowrouter-3-Router3_161.txt</t>
  </si>
  <si>
    <t>Flowrouter-3-Router3_162.txt</t>
  </si>
  <si>
    <t>Flowrouter-3-Router3_163.txt</t>
  </si>
  <si>
    <t>Flowrouter-3-Router3_164.txt</t>
  </si>
  <si>
    <t>Flowrouter-3-Router3_165.txt</t>
  </si>
  <si>
    <t>Flowrouter-3-Router3_166.txt</t>
  </si>
  <si>
    <t>Flowrouter-3-Router3_17.txt</t>
  </si>
  <si>
    <t>Flowrouter-3-Router3_18.txt</t>
  </si>
  <si>
    <t>Flowrouter-3-Router3_19.txt</t>
  </si>
  <si>
    <t>Flowrouter-3-Router3_2.txt</t>
  </si>
  <si>
    <t>Flowrouter-3-Router3_20.txt</t>
  </si>
  <si>
    <t>Flowrouter-3-Router3_21.txt</t>
  </si>
  <si>
    <t>Flowrouter-3-Router3_22.txt</t>
  </si>
  <si>
    <t>Flowrouter-3-Router3_23.txt</t>
  </si>
  <si>
    <t>Flowrouter-3-Router3_24.txt</t>
  </si>
  <si>
    <t>Flowrouter-3-Router3_25.txt</t>
  </si>
  <si>
    <t>Flowrouter-3-Router3_26.txt</t>
  </si>
  <si>
    <t>Flowrouter-3-Router3_27.txt</t>
  </si>
  <si>
    <t>Flowrouter-3-Router3_28.txt</t>
  </si>
  <si>
    <t>Flowrouter-3-Router3_29.txt</t>
  </si>
  <si>
    <t>Flowrouter-3-Router3_3.txt</t>
  </si>
  <si>
    <t>Flowrouter-3-Router3_30.txt</t>
  </si>
  <si>
    <t>Flowrouter-3-Router3_31.txt</t>
  </si>
  <si>
    <t>Flowrouter-3-Router3_32.txt</t>
  </si>
  <si>
    <t>Flowrouter-3-Router3_33.txt</t>
  </si>
  <si>
    <t>Flowrouter-3-Router3_34.txt</t>
  </si>
  <si>
    <t>Flowrouter-3-Router3_35.txt</t>
  </si>
  <si>
    <t>Flowrouter-3-Router3_36.txt</t>
  </si>
  <si>
    <t>Flowrouter-3-Router3_37.txt</t>
  </si>
  <si>
    <t>Flowrouter-3-Router3_38.txt</t>
  </si>
  <si>
    <t>Flowrouter-3-Router3_39.txt</t>
  </si>
  <si>
    <t>Flowrouter-3-Router3_4.txt</t>
  </si>
  <si>
    <t>Flowrouter-3-Router3_40.txt</t>
  </si>
  <si>
    <t>Flowrouter-3-Router3_41.txt</t>
  </si>
  <si>
    <t>Flowrouter-3-Router3_42.txt</t>
  </si>
  <si>
    <t>Flowrouter-3-Router3_43.txt</t>
  </si>
  <si>
    <t>Flowrouter-3-Router3_44.txt</t>
  </si>
  <si>
    <t>Flowrouter-3-Router3_45.txt</t>
  </si>
  <si>
    <t>Flowrouter-3-Router3_46.txt</t>
  </si>
  <si>
    <t>Flowrouter-3-Router3_47.txt</t>
  </si>
  <si>
    <t>Flowrouter-3-Router3_48.txt</t>
  </si>
  <si>
    <t>Flowrouter-3-Router3_49.txt</t>
  </si>
  <si>
    <t>Flowrouter-3-Router3_5.txt</t>
  </si>
  <si>
    <t>Flowrouter-3-Router3_50.txt</t>
  </si>
  <si>
    <t>Flowrouter-3-Router3_51.txt</t>
  </si>
  <si>
    <t>Flowrouter-3-Router3_52.txt</t>
  </si>
  <si>
    <t>Flowrouter-3-Router3_53.txt</t>
  </si>
  <si>
    <t>Flowrouter-3-Router3_54.txt</t>
  </si>
  <si>
    <t>Flowrouter-3-Router3_55.txt</t>
  </si>
  <si>
    <t>Flowrouter-3-Router3_56.txt</t>
  </si>
  <si>
    <t>Flowrouter-3-Router3_57.txt</t>
  </si>
  <si>
    <t>Flowrouter-3-Router3_58.txt</t>
  </si>
  <si>
    <t>Flowrouter-3-Router3_59.txt</t>
  </si>
  <si>
    <t>Flowrouter-3-Router3_6.txt</t>
  </si>
  <si>
    <t>Flowrouter-3-Router3_60.txt</t>
  </si>
  <si>
    <t>Flowrouter-3-Router3_61.txt</t>
  </si>
  <si>
    <t>Flowrouter-3-Router3_62.txt</t>
  </si>
  <si>
    <t>Flowrouter-3-Router3_63.txt</t>
  </si>
  <si>
    <t>Flowrouter-3-Router3_64.txt</t>
  </si>
  <si>
    <t>Flowrouter-3-Router3_65.txt</t>
  </si>
  <si>
    <t>Flowrouter-3-Router3_66.txt</t>
  </si>
  <si>
    <t>Flowrouter-3-Router3_67.txt</t>
  </si>
  <si>
    <t>Flowrouter-3-Router3_68.txt</t>
  </si>
  <si>
    <t>Flowrouter-3-Router3_69.txt</t>
  </si>
  <si>
    <t>Flowrouter-3-Router3_7.txt</t>
  </si>
  <si>
    <t>Flowrouter-3-Router3_70.txt</t>
  </si>
  <si>
    <t>Flowrouter-3-Router3_71.txt</t>
  </si>
  <si>
    <t>Flowrouter-3-Router3_72.txt</t>
  </si>
  <si>
    <t>Flowrouter-3-Router3_73.txt</t>
  </si>
  <si>
    <t>Flowrouter-3-Router3_74.txt</t>
  </si>
  <si>
    <t>Flowrouter-3-Router3_75.txt</t>
  </si>
  <si>
    <t>Flowrouter-3-Router3_76.txt</t>
  </si>
  <si>
    <t>Flowrouter-3-Router3_77.txt</t>
  </si>
  <si>
    <t>Flowrouter-3-Router3_78.txt</t>
  </si>
  <si>
    <t>Flowrouter-3-Router3_79.txt</t>
  </si>
  <si>
    <t>Flowrouter-3-Router3_8.txt</t>
  </si>
  <si>
    <t>Flowrouter-3-Router3_80.txt</t>
  </si>
  <si>
    <t>Flowrouter-3-Router3_81.txt</t>
  </si>
  <si>
    <t>Flowrouter-3-Router3_82.txt</t>
  </si>
  <si>
    <t>Flowrouter-3-Router3_83.txt</t>
  </si>
  <si>
    <t>Flowrouter-3-Router3_84.txt</t>
  </si>
  <si>
    <t>Flowrouter-3-Router3_85.txt</t>
  </si>
  <si>
    <t>Flowrouter-3-Router3_86.txt</t>
  </si>
  <si>
    <t>Flowrouter-3-Router3_87.txt</t>
  </si>
  <si>
    <t>Flowrouter-3-Router3_88.txt</t>
  </si>
  <si>
    <t>Flowrouter-3-Router3_89.txt</t>
  </si>
  <si>
    <t>Flowrouter-3-Router3_9.txt</t>
  </si>
  <si>
    <t>Flowrouter-3-Router3_90.txt</t>
  </si>
  <si>
    <t>Flowrouter-3-Router3_91.txt</t>
  </si>
  <si>
    <t>Flowrouter-3-Router3_92.txt</t>
  </si>
  <si>
    <t>Flowrouter-3-Router3_93.txt</t>
  </si>
  <si>
    <t>Flowrouter-3-Router3_94.txt</t>
  </si>
  <si>
    <t>Flowrouter-3-Router3_95.txt</t>
  </si>
  <si>
    <t>Flowrouter-3-Router3_96.txt</t>
  </si>
  <si>
    <t>Flowrouter-3-Router3_97.txt</t>
  </si>
  <si>
    <t>Flowrouter-3-Router3_98.txt</t>
  </si>
  <si>
    <t>Flowrouter-3-Router3_99.txt</t>
  </si>
  <si>
    <t xml:space="preserve"> --edge-color #606060 --selected-color #800000 --title "</t>
  </si>
  <si>
    <t>" /</t>
  </si>
  <si>
    <t>FlowRouter-3-Edges-Used.txt</t>
  </si>
  <si>
    <t>-gneE80.0</t>
  </si>
  <si>
    <t>-gneE80.17</t>
  </si>
  <si>
    <t>-gneE41</t>
  </si>
  <si>
    <t>gneE44</t>
  </si>
  <si>
    <t>-388756838#2</t>
  </si>
  <si>
    <t>-388756838#1</t>
  </si>
  <si>
    <t>-388756838#0</t>
  </si>
  <si>
    <t>-388756839#1</t>
  </si>
  <si>
    <t>-388756839#0</t>
  </si>
  <si>
    <t>-194358837#2</t>
  </si>
  <si>
    <t>-194358837#0</t>
  </si>
  <si>
    <t>194358838#0</t>
  </si>
  <si>
    <t>-386995507#1</t>
  </si>
  <si>
    <t>12157718#3</t>
  </si>
  <si>
    <t>32121111#10</t>
  </si>
  <si>
    <t>386995486#1</t>
  </si>
  <si>
    <t>386995479#0</t>
  </si>
  <si>
    <t>12157718#5</t>
  </si>
  <si>
    <t>12157718#7</t>
  </si>
  <si>
    <t>485017373#0</t>
  </si>
  <si>
    <t>387422135#0</t>
  </si>
  <si>
    <t>424769003#0</t>
  </si>
  <si>
    <t>424769003#1</t>
  </si>
  <si>
    <t>-30953396#1</t>
  </si>
  <si>
    <t>-30953396#0</t>
  </si>
  <si>
    <t>12149178#0</t>
  </si>
  <si>
    <t>12149178#2</t>
  </si>
  <si>
    <t>145605533#0</t>
  </si>
  <si>
    <t>145605533#1-AddedOnRampEdge</t>
  </si>
  <si>
    <t>145605533#1</t>
  </si>
  <si>
    <t>145605511#1-AddedOnRampEdge</t>
  </si>
  <si>
    <t>145605511#12</t>
  </si>
  <si>
    <t>145605511#1.148</t>
  </si>
  <si>
    <t>42706817#0</t>
  </si>
  <si>
    <t>gneE69</t>
  </si>
  <si>
    <t>194358838#1</t>
  </si>
  <si>
    <t>194358838#2</t>
  </si>
  <si>
    <t>194358838#3</t>
  </si>
  <si>
    <t>387422145#0</t>
  </si>
  <si>
    <t>387422145#3</t>
  </si>
  <si>
    <t>386995499#0</t>
  </si>
  <si>
    <t>386995499#2</t>
  </si>
  <si>
    <t>-51155368#13</t>
  </si>
  <si>
    <t>-51155368#10</t>
  </si>
  <si>
    <t>-51155368#7</t>
  </si>
  <si>
    <t>121319040#0</t>
  </si>
  <si>
    <t>121319040#1</t>
  </si>
  <si>
    <t>386995507#0</t>
  </si>
  <si>
    <t>386995507#1</t>
  </si>
  <si>
    <t>386995507#2</t>
  </si>
  <si>
    <t>386995507#3</t>
  </si>
  <si>
    <t>12182281#7</t>
  </si>
  <si>
    <t>42706837#0</t>
  </si>
  <si>
    <t>42706837#1</t>
  </si>
  <si>
    <t>42706837#2</t>
  </si>
  <si>
    <t>42706837#3</t>
  </si>
  <si>
    <t>43357814#2</t>
  </si>
  <si>
    <t>43357814#3</t>
  </si>
  <si>
    <t>386995526#0</t>
  </si>
  <si>
    <t>386995526#1</t>
  </si>
  <si>
    <t>-51050425#4</t>
  </si>
  <si>
    <t>-51050425#3</t>
  </si>
  <si>
    <t>-51050425#2</t>
  </si>
  <si>
    <t>12162659#0</t>
  </si>
  <si>
    <t>12162659#1</t>
  </si>
  <si>
    <t>-12175537#4</t>
  </si>
  <si>
    <t>-12175537#3</t>
  </si>
  <si>
    <t>-12175537#2</t>
  </si>
  <si>
    <t>-12175537#1</t>
  </si>
  <si>
    <t>-50033059#3</t>
  </si>
  <si>
    <t>-50033059#2</t>
  </si>
  <si>
    <t>-386995514#7</t>
  </si>
  <si>
    <t>-12199713#2</t>
  </si>
  <si>
    <t>42706833#2</t>
  </si>
  <si>
    <t>51155368#0</t>
  </si>
  <si>
    <t>-50033558#5</t>
  </si>
  <si>
    <t>-50033558#3</t>
  </si>
  <si>
    <t>-50033558#2</t>
  </si>
  <si>
    <t>-32121234#1</t>
  </si>
  <si>
    <t>-32121234#0</t>
  </si>
  <si>
    <t>42706874#0</t>
  </si>
  <si>
    <t>42706874#2</t>
  </si>
  <si>
    <t>12144152#0</t>
  </si>
  <si>
    <t>12144152#2</t>
  </si>
  <si>
    <t>12144152#4</t>
  </si>
  <si>
    <t>12144152#6</t>
  </si>
  <si>
    <t>12157151#0</t>
  </si>
  <si>
    <t>12166276#2</t>
  </si>
  <si>
    <t>-32121146#5</t>
  </si>
  <si>
    <t>12117702#9</t>
  </si>
  <si>
    <t>450844953#0</t>
  </si>
  <si>
    <t>450844953#2</t>
  </si>
  <si>
    <t>450844953#3</t>
  </si>
  <si>
    <t>450844947#0</t>
  </si>
  <si>
    <t>388533142#0</t>
  </si>
  <si>
    <t>388533142#2</t>
  </si>
  <si>
    <t>12189045#0</t>
  </si>
  <si>
    <t>62623987#0</t>
  </si>
  <si>
    <t>62623987#1</t>
  </si>
  <si>
    <t>62623986#1</t>
  </si>
  <si>
    <t>62623986#2</t>
  </si>
  <si>
    <t>-12189051#1</t>
  </si>
  <si>
    <t>-424080768#1</t>
  </si>
  <si>
    <t>-104526265#1</t>
  </si>
  <si>
    <t>30953497#0</t>
  </si>
  <si>
    <t>30953497#2</t>
  </si>
  <si>
    <t>30953497#3</t>
  </si>
  <si>
    <t>42706585#0</t>
  </si>
  <si>
    <t>42706585#1</t>
  </si>
  <si>
    <t>30953320-AddedOffRampEdge</t>
  </si>
  <si>
    <t>30953215#1-AddedOnRampEdge</t>
  </si>
  <si>
    <t>30953215#1</t>
  </si>
  <si>
    <t>121643865#0</t>
  </si>
  <si>
    <t>121643865#1</t>
  </si>
  <si>
    <t>55179414#0</t>
  </si>
  <si>
    <t>55179413#0</t>
  </si>
  <si>
    <t>-450827405#2</t>
  </si>
  <si>
    <t>-450827400#2</t>
  </si>
  <si>
    <t>-450827385#1</t>
  </si>
  <si>
    <t>-450827391#1</t>
  </si>
  <si>
    <t>-450827397#1</t>
  </si>
  <si>
    <t>12180696#0</t>
  </si>
  <si>
    <t>59435515#1</t>
  </si>
  <si>
    <t>59435515#2</t>
  </si>
  <si>
    <t>59435515#3</t>
  </si>
  <si>
    <t>59435515#4</t>
  </si>
  <si>
    <t>424801338#1</t>
  </si>
  <si>
    <t>12117702#0</t>
  </si>
  <si>
    <t>12117702#4</t>
  </si>
  <si>
    <t>12117702#7</t>
  </si>
  <si>
    <t>-32121146#3</t>
  </si>
  <si>
    <t>-32121146#1</t>
  </si>
  <si>
    <t>-424769197#2</t>
  </si>
  <si>
    <t>-262962068#1</t>
  </si>
  <si>
    <t>-32122059#1</t>
  </si>
  <si>
    <t>-32122059#0</t>
  </si>
  <si>
    <t>-196393940#2</t>
  </si>
  <si>
    <t>-196393940#0</t>
  </si>
  <si>
    <t>35920555#0.0</t>
  </si>
  <si>
    <t>35920555#0.75</t>
  </si>
  <si>
    <t>104526276-AddedOnRampEdge</t>
  </si>
  <si>
    <t>51758697#0</t>
  </si>
  <si>
    <t>51758697#1-AddedOnRampEdge</t>
  </si>
  <si>
    <t>51758697#1</t>
  </si>
  <si>
    <t>388533142#4</t>
  </si>
  <si>
    <t>62623926#0</t>
  </si>
  <si>
    <t>62623926#1</t>
  </si>
  <si>
    <t>450844950#0</t>
  </si>
  <si>
    <t>38502259#0.19</t>
  </si>
  <si>
    <t>450844933#1</t>
  </si>
  <si>
    <t>196207110#0</t>
  </si>
  <si>
    <t>196207110#2</t>
  </si>
  <si>
    <t>12202008#2.0</t>
  </si>
  <si>
    <t>12202008#2.171</t>
  </si>
  <si>
    <t>62646499#2</t>
  </si>
  <si>
    <t>450827424#0</t>
  </si>
  <si>
    <t>450827405#0</t>
  </si>
  <si>
    <t>-55179413#2</t>
  </si>
  <si>
    <t>12187610#0</t>
  </si>
  <si>
    <t>12187610#2</t>
  </si>
  <si>
    <t>12187610#3</t>
  </si>
  <si>
    <t>12186909#0</t>
  </si>
  <si>
    <t>12186909#1</t>
  </si>
  <si>
    <t>12186909#2</t>
  </si>
  <si>
    <t>12186909#4</t>
  </si>
  <si>
    <t>12177521#2</t>
  </si>
  <si>
    <t>12177521#3</t>
  </si>
  <si>
    <t>211575484#1</t>
  </si>
  <si>
    <t>-386995465#1</t>
  </si>
  <si>
    <t>-386995504#1</t>
  </si>
  <si>
    <t>-386995486#1</t>
  </si>
  <si>
    <t>32121111#11</t>
  </si>
  <si>
    <t>-12177521#0</t>
  </si>
  <si>
    <t>-121319040#0</t>
  </si>
  <si>
    <t>-51155368#5</t>
  </si>
  <si>
    <t>-42706825#7</t>
  </si>
  <si>
    <t>-42706825#4</t>
  </si>
  <si>
    <t>-42706825#3</t>
  </si>
  <si>
    <t>-42706825#1</t>
  </si>
  <si>
    <t>194358817#0</t>
  </si>
  <si>
    <t>194358817#1</t>
  </si>
  <si>
    <t>194358817#2</t>
  </si>
  <si>
    <t>12114363#0</t>
  </si>
  <si>
    <t>12114363#1</t>
  </si>
  <si>
    <t>-50033059#4</t>
  </si>
  <si>
    <t>12175537#0</t>
  </si>
  <si>
    <t>12175537#2</t>
  </si>
  <si>
    <t>485017371#0</t>
  </si>
  <si>
    <t>484953507#1</t>
  </si>
  <si>
    <t>12182281#8</t>
  </si>
  <si>
    <t>12182281#9</t>
  </si>
  <si>
    <t>12167232#0</t>
  </si>
  <si>
    <t>12167232#1</t>
  </si>
  <si>
    <t>12167232#2</t>
  </si>
  <si>
    <t>12152013#4</t>
  </si>
  <si>
    <t>51050425#4</t>
  </si>
  <si>
    <t>387422150#0</t>
  </si>
  <si>
    <t>387422150#1</t>
  </si>
  <si>
    <t>386995531#3</t>
  </si>
  <si>
    <t>386995531#4</t>
  </si>
  <si>
    <t>12172918#2</t>
  </si>
  <si>
    <t>gneE73</t>
  </si>
  <si>
    <t>gneE75.0</t>
  </si>
  <si>
    <t>gneE80.125</t>
  </si>
  <si>
    <t>12186909#6</t>
  </si>
  <si>
    <t>30953396#1</t>
  </si>
  <si>
    <t>-424769003#1</t>
  </si>
  <si>
    <t>-424769003#0</t>
  </si>
  <si>
    <t>12157002#0</t>
  </si>
  <si>
    <t>12157002#1</t>
  </si>
  <si>
    <t>12186058#2</t>
  </si>
  <si>
    <t>485017381#0</t>
  </si>
  <si>
    <t>-12157718#12</t>
  </si>
  <si>
    <t>-12157718#10</t>
  </si>
  <si>
    <t>-12157718#9</t>
  </si>
  <si>
    <t>-12157718#8</t>
  </si>
  <si>
    <t>-12157718#6</t>
  </si>
  <si>
    <t>386995479#1</t>
  </si>
  <si>
    <t>386995479#2</t>
  </si>
  <si>
    <t>386995479#3</t>
  </si>
  <si>
    <t>386995479#4</t>
  </si>
  <si>
    <t>386995479#5</t>
  </si>
  <si>
    <t>386995479#6</t>
  </si>
  <si>
    <t>386995490#0.0</t>
  </si>
  <si>
    <t>12154359#1.20</t>
  </si>
  <si>
    <t>12154359#2</t>
  </si>
  <si>
    <t>-386995521#1</t>
  </si>
  <si>
    <t>-386995521#0</t>
  </si>
  <si>
    <t>43357814#0</t>
  </si>
  <si>
    <t>43357814#1</t>
  </si>
  <si>
    <t>42706837#4</t>
  </si>
  <si>
    <t>42706837#5</t>
  </si>
  <si>
    <t>12154359#5</t>
  </si>
  <si>
    <t>12154359#6</t>
  </si>
  <si>
    <t>386995531#1</t>
  </si>
  <si>
    <t>386995531#2</t>
  </si>
  <si>
    <t>51155368#11</t>
  </si>
  <si>
    <t>42706831#0</t>
  </si>
  <si>
    <t>42706831#4</t>
  </si>
  <si>
    <t>42706831#5</t>
  </si>
  <si>
    <t>42706831#6</t>
  </si>
  <si>
    <t>32121234#0</t>
  </si>
  <si>
    <t>32121234#1</t>
  </si>
  <si>
    <t>32121234#2</t>
  </si>
  <si>
    <t>50033558#2</t>
  </si>
  <si>
    <t>50033558#3</t>
  </si>
  <si>
    <t>50033558#4</t>
  </si>
  <si>
    <t>50033558#6</t>
  </si>
  <si>
    <t>50033058#0</t>
  </si>
  <si>
    <t>386995514#9</t>
  </si>
  <si>
    <t>386995486#0</t>
  </si>
  <si>
    <t>-484953510#2</t>
  </si>
  <si>
    <t>-484953510#1</t>
  </si>
  <si>
    <t>-484953510#0</t>
  </si>
  <si>
    <t>gneE37</t>
  </si>
  <si>
    <t>gneE38</t>
  </si>
  <si>
    <t>-12159761#2</t>
  </si>
  <si>
    <t>-12159761#1</t>
  </si>
  <si>
    <t>-12159761#0</t>
  </si>
  <si>
    <t>-194358817#2</t>
  </si>
  <si>
    <t>-194358817#1</t>
  </si>
  <si>
    <t>-194358817#0</t>
  </si>
  <si>
    <t>-386995514#2</t>
  </si>
  <si>
    <t>-386995514#1</t>
  </si>
  <si>
    <t>12159500#1</t>
  </si>
  <si>
    <t>12159500#2</t>
  </si>
  <si>
    <t>51050030#7</t>
  </si>
  <si>
    <t>gneE35</t>
  </si>
  <si>
    <t>-gneE34.0</t>
  </si>
  <si>
    <t>--gneE83.0</t>
  </si>
  <si>
    <t>12175537#3</t>
  </si>
  <si>
    <t>12175537#4</t>
  </si>
  <si>
    <t>12162659#2</t>
  </si>
  <si>
    <t>12161358#7</t>
  </si>
  <si>
    <t>12161358#8</t>
  </si>
  <si>
    <t>386995507#6</t>
  </si>
  <si>
    <t>386995507#7</t>
  </si>
  <si>
    <t>386995521#0</t>
  </si>
  <si>
    <t>386995521#1</t>
  </si>
  <si>
    <t>12154359#3</t>
  </si>
  <si>
    <t>12154359#4</t>
  </si>
  <si>
    <t>12154359#7</t>
  </si>
  <si>
    <t>-386995526#1</t>
  </si>
  <si>
    <t>-386995526#0</t>
  </si>
  <si>
    <t>-43357814#3</t>
  </si>
  <si>
    <t>-43357814#2</t>
  </si>
  <si>
    <t>42706837#6</t>
  </si>
  <si>
    <t>42706837#7</t>
  </si>
  <si>
    <t>42706837#8</t>
  </si>
  <si>
    <t>42706837#9</t>
  </si>
  <si>
    <t>12172918#0</t>
  </si>
  <si>
    <t>12172918#1</t>
  </si>
  <si>
    <t>12175537#8</t>
  </si>
  <si>
    <t>12175537#9</t>
  </si>
  <si>
    <t>12175537#10</t>
  </si>
  <si>
    <t>12175537#11</t>
  </si>
  <si>
    <t>12175537#12</t>
  </si>
  <si>
    <t>12175537#13</t>
  </si>
  <si>
    <t>12175537#5</t>
  </si>
  <si>
    <t>12175537#6</t>
  </si>
  <si>
    <t>12175537#7</t>
  </si>
  <si>
    <t>12155177#0</t>
  </si>
  <si>
    <t>310315797#2</t>
  </si>
  <si>
    <t>12185366#9</t>
  </si>
  <si>
    <t>-12157718#4</t>
  </si>
  <si>
    <t>-12157718#3</t>
  </si>
  <si>
    <t>-12157718#2</t>
  </si>
  <si>
    <t>-12157718#1</t>
  </si>
  <si>
    <t>-12199713#4</t>
  </si>
  <si>
    <t>386995514#7</t>
  </si>
  <si>
    <t>-50033059#1</t>
  </si>
  <si>
    <t>-50033558#8</t>
  </si>
  <si>
    <t>-51155368#3</t>
  </si>
  <si>
    <t>12203859#0</t>
  </si>
  <si>
    <t>12203859#1</t>
  </si>
  <si>
    <t>12189453#0.0.0</t>
  </si>
  <si>
    <t>450844982#0.19</t>
  </si>
  <si>
    <t>62203497#0</t>
  </si>
  <si>
    <t>62203497#2</t>
  </si>
  <si>
    <t>62203497#3</t>
  </si>
  <si>
    <t>12134479#1</t>
  </si>
  <si>
    <t>34685684#0</t>
  </si>
  <si>
    <t>34685684#2</t>
  </si>
  <si>
    <t>388533143#0</t>
  </si>
  <si>
    <t>388533143#2</t>
  </si>
  <si>
    <t>12140627#0</t>
  </si>
  <si>
    <t>63060729#0</t>
  </si>
  <si>
    <t>-264253834#2</t>
  </si>
  <si>
    <t>12156992#4</t>
  </si>
  <si>
    <t>12156992#5</t>
  </si>
  <si>
    <t>12156992#6</t>
  </si>
  <si>
    <t>12156992#7</t>
  </si>
  <si>
    <t>12156992#8</t>
  </si>
  <si>
    <t>12156992#9</t>
  </si>
  <si>
    <t>-12114396#5</t>
  </si>
  <si>
    <t>-12114396#3</t>
  </si>
  <si>
    <t>-12114396#1</t>
  </si>
  <si>
    <t>485017383#0</t>
  </si>
  <si>
    <t>485017382#0</t>
  </si>
  <si>
    <t>485017382#1</t>
  </si>
  <si>
    <t>211575484#0</t>
  </si>
  <si>
    <t>-12177521#3</t>
  </si>
  <si>
    <t>-12177521#2</t>
  </si>
  <si>
    <t>-12177521#1</t>
  </si>
  <si>
    <t>32121111#12</t>
  </si>
  <si>
    <t>32121111#14</t>
  </si>
  <si>
    <t>-12187610#5</t>
  </si>
  <si>
    <t>-12187610#2</t>
  </si>
  <si>
    <t>-12187610#1</t>
  </si>
  <si>
    <t>12150608#0</t>
  </si>
  <si>
    <t>32121146#2</t>
  </si>
  <si>
    <t>12174155#0</t>
  </si>
  <si>
    <t>-12175537#10</t>
  </si>
  <si>
    <t>-12175537#9</t>
  </si>
  <si>
    <t>-12175537#8</t>
  </si>
  <si>
    <t>-12175537#7</t>
  </si>
  <si>
    <t>12152013#3</t>
  </si>
  <si>
    <t>12167232#3</t>
  </si>
  <si>
    <t>386995531#0</t>
  </si>
  <si>
    <t>-gneE44</t>
  </si>
  <si>
    <t>gneE41</t>
  </si>
  <si>
    <t>gneE80.0</t>
  </si>
  <si>
    <t>60185970#0</t>
  </si>
  <si>
    <t>60185970#2</t>
  </si>
  <si>
    <t>12149571#1</t>
  </si>
  <si>
    <t>42706833#0</t>
  </si>
  <si>
    <t>12189876#0</t>
  </si>
  <si>
    <t>12189876#2</t>
  </si>
  <si>
    <t>484953508#1</t>
  </si>
  <si>
    <t>12199713#0</t>
  </si>
  <si>
    <t>12199713#1</t>
  </si>
  <si>
    <t>-386995514#6</t>
  </si>
  <si>
    <t>-386995514#5</t>
  </si>
  <si>
    <t>-386995514#4</t>
  </si>
  <si>
    <t>-386995514#3</t>
  </si>
  <si>
    <t>12155177#1</t>
  </si>
  <si>
    <t>12155177#2</t>
  </si>
  <si>
    <t>387422153#1</t>
  </si>
  <si>
    <t>-424080769#1</t>
  </si>
  <si>
    <t>-386547298#1</t>
  </si>
  <si>
    <t>-424080767#1</t>
  </si>
  <si>
    <t>-424080771#1</t>
  </si>
  <si>
    <t>-386547297#1</t>
  </si>
  <si>
    <t>-424080772#2</t>
  </si>
  <si>
    <t>-424080772#1</t>
  </si>
  <si>
    <t>-424080761#1</t>
  </si>
  <si>
    <t>62623959#0</t>
  </si>
  <si>
    <t>386547296#0</t>
  </si>
  <si>
    <t>386547296#1</t>
  </si>
  <si>
    <t>424080773#0</t>
  </si>
  <si>
    <t>50715233#0</t>
  </si>
  <si>
    <t>50715233#0-AddedOffRampEdge</t>
  </si>
  <si>
    <t>50715233#1.0</t>
  </si>
  <si>
    <t>62203285#14.24</t>
  </si>
  <si>
    <t>30908366#1-AddedOnRampEdge</t>
  </si>
  <si>
    <t>30908366#1</t>
  </si>
  <si>
    <t>-gneE46.0</t>
  </si>
  <si>
    <t>43357850.4841.18</t>
  </si>
  <si>
    <t>gneE46</t>
  </si>
  <si>
    <t>49887339#0.596</t>
  </si>
  <si>
    <t>49887339#0-AddedOffRampEdge</t>
  </si>
  <si>
    <t>49887339#1</t>
  </si>
  <si>
    <t>49887339#1-AddedOffRampEdge</t>
  </si>
  <si>
    <t>104524021-AddedOffRampEdge</t>
  </si>
  <si>
    <t>50192637#0</t>
  </si>
  <si>
    <t>50192637#1-AddedOnRampEdge</t>
  </si>
  <si>
    <t>50192637#1.0.0</t>
  </si>
  <si>
    <t>50192637#1.0.382.0.0</t>
  </si>
  <si>
    <t>50192637#1.697</t>
  </si>
  <si>
    <t>50192637#1-AddedOffRampEdge</t>
  </si>
  <si>
    <t>30953181#1</t>
  </si>
  <si>
    <t>30953181#2-AddedOnRampEdge</t>
  </si>
  <si>
    <t>30953181#2</t>
  </si>
  <si>
    <t>30953181#3-AddedOnRampEdge</t>
  </si>
  <si>
    <t>30953181#3</t>
  </si>
  <si>
    <t>30953181#3-AddedOffRampEdge</t>
  </si>
  <si>
    <t>30952933#1.0</t>
  </si>
  <si>
    <t>30952933#1.199</t>
  </si>
  <si>
    <t>32121111#9</t>
  </si>
  <si>
    <t>12157718#4</t>
  </si>
  <si>
    <t>-386995486#0</t>
  </si>
  <si>
    <t>-386995514#9</t>
  </si>
  <si>
    <t>50033058#2</t>
  </si>
  <si>
    <t>50033058#3</t>
  </si>
  <si>
    <t>194358837#0</t>
  </si>
  <si>
    <t>194358837#1</t>
  </si>
  <si>
    <t>12175533#0</t>
  </si>
  <si>
    <t>12175533#2</t>
  </si>
  <si>
    <t>12175533#3</t>
  </si>
  <si>
    <t>42706825#4</t>
  </si>
  <si>
    <t>42706825#5</t>
  </si>
  <si>
    <t>484953509#0</t>
  </si>
  <si>
    <t>484953509#2</t>
  </si>
  <si>
    <t>-12175523#1</t>
  </si>
  <si>
    <t>12134222#0</t>
  </si>
  <si>
    <t>12134222#2</t>
  </si>
  <si>
    <t>12134222#3</t>
  </si>
  <si>
    <t>386547311#11</t>
  </si>
  <si>
    <t>386547311#13</t>
  </si>
  <si>
    <t>357338496#0</t>
  </si>
  <si>
    <t>357338496#2</t>
  </si>
  <si>
    <t>450695461#0</t>
  </si>
  <si>
    <t>62646494#0</t>
  </si>
  <si>
    <t>424801336#0</t>
  </si>
  <si>
    <t>484842168#0</t>
  </si>
  <si>
    <t>-28555309#1</t>
  </si>
  <si>
    <t>-283621822#1</t>
  </si>
  <si>
    <t>-424801343#1</t>
  </si>
  <si>
    <t>-424801343#0</t>
  </si>
  <si>
    <t>386550018#0</t>
  </si>
  <si>
    <t>386550018#0-AddedOffRampEdge</t>
  </si>
  <si>
    <t>386550018#1</t>
  </si>
  <si>
    <t>-12144161#0</t>
  </si>
  <si>
    <t>12144161#0</t>
  </si>
  <si>
    <t>12144161#1</t>
  </si>
  <si>
    <t>283621821#1</t>
  </si>
  <si>
    <t>283621821#1-AddedOffRampEdge</t>
  </si>
  <si>
    <t>49991647#2</t>
  </si>
  <si>
    <t>63060732#0</t>
  </si>
  <si>
    <t>63060732#1</t>
  </si>
  <si>
    <t>63060732#2.0</t>
  </si>
  <si>
    <t>-12122468#1</t>
  </si>
  <si>
    <t>-12122468#0</t>
  </si>
  <si>
    <t>-30953029#1</t>
  </si>
  <si>
    <t>-30953029#0</t>
  </si>
  <si>
    <t>12123285#0</t>
  </si>
  <si>
    <t>12123285#1</t>
  </si>
  <si>
    <t>12123285#2</t>
  </si>
  <si>
    <t>424804090#0</t>
  </si>
  <si>
    <t>424804090#1</t>
  </si>
  <si>
    <t>12198567#0</t>
  </si>
  <si>
    <t>12198567#1</t>
  </si>
  <si>
    <t>12198567#2</t>
  </si>
  <si>
    <t>12198567#3</t>
  </si>
  <si>
    <t>12171853#3</t>
  </si>
  <si>
    <t>12171853#4</t>
  </si>
  <si>
    <t>12171853#5</t>
  </si>
  <si>
    <t>12171853#6</t>
  </si>
  <si>
    <t>132508920#8</t>
  </si>
  <si>
    <t>132508920#9</t>
  </si>
  <si>
    <t>132508920#10</t>
  </si>
  <si>
    <t>132508920#12</t>
  </si>
  <si>
    <t>132508983#0</t>
  </si>
  <si>
    <t>132508983#3</t>
  </si>
  <si>
    <t>132508983#5</t>
  </si>
  <si>
    <t>132508740#0</t>
  </si>
  <si>
    <t>132508740#2</t>
  </si>
  <si>
    <t>-12165829#1</t>
  </si>
  <si>
    <t>132508646#0</t>
  </si>
  <si>
    <t>132508646#2</t>
  </si>
  <si>
    <t>132508646#3</t>
  </si>
  <si>
    <t>394179820#0</t>
  </si>
  <si>
    <t>394179820#1</t>
  </si>
  <si>
    <t>394179820#2</t>
  </si>
  <si>
    <t>394179820#3</t>
  </si>
  <si>
    <t>450844970#0</t>
  </si>
  <si>
    <t>196355332#0</t>
  </si>
  <si>
    <t>450844979#0.0</t>
  </si>
  <si>
    <t>30953029#0</t>
  </si>
  <si>
    <t>30953029#1</t>
  </si>
  <si>
    <t>12122468#0</t>
  </si>
  <si>
    <t>12122468#1</t>
  </si>
  <si>
    <t>50033050#0</t>
  </si>
  <si>
    <t>50033028#0</t>
  </si>
  <si>
    <t>50033028#3</t>
  </si>
  <si>
    <t>50033028#5</t>
  </si>
  <si>
    <t>50033028#6</t>
  </si>
  <si>
    <t>386547300#0</t>
  </si>
  <si>
    <t>386547301-AddedOnRampEdge</t>
  </si>
  <si>
    <t>424801344#0</t>
  </si>
  <si>
    <t>424801343#1</t>
  </si>
  <si>
    <t>283621822#0</t>
  </si>
  <si>
    <t>28555309#0</t>
  </si>
  <si>
    <t>49991649#0</t>
  </si>
  <si>
    <t>424986163#0</t>
  </si>
  <si>
    <t>51049946#0</t>
  </si>
  <si>
    <t>424801337#0</t>
  </si>
  <si>
    <t>357338497#0</t>
  </si>
  <si>
    <t>357338497#2</t>
  </si>
  <si>
    <t>450695460#0</t>
  </si>
  <si>
    <t>62646499#0</t>
  </si>
  <si>
    <t>62646508#0</t>
  </si>
  <si>
    <t>62646508#2</t>
  </si>
  <si>
    <t>424799823#0</t>
  </si>
  <si>
    <t>50033059#0</t>
  </si>
  <si>
    <t>50033059#2</t>
  </si>
  <si>
    <t>50033059#3</t>
  </si>
  <si>
    <t>50033059#4</t>
  </si>
  <si>
    <t>388756839#0</t>
  </si>
  <si>
    <t>388756839#1</t>
  </si>
  <si>
    <t>388756838#0</t>
  </si>
  <si>
    <t>12136923#0</t>
  </si>
  <si>
    <t>386547309#0</t>
  </si>
  <si>
    <t>386547309#2</t>
  </si>
  <si>
    <t>386547309#3</t>
  </si>
  <si>
    <t>386547309#5</t>
  </si>
  <si>
    <t>386547309#7</t>
  </si>
  <si>
    <t>51050030#4</t>
  </si>
  <si>
    <t>283621821#2</t>
  </si>
  <si>
    <t>49991647#1</t>
  </si>
  <si>
    <t>63060732#2.116</t>
  </si>
  <si>
    <t>50033050#2</t>
  </si>
  <si>
    <t>-12168663#6</t>
  </si>
  <si>
    <t>-484953513#2</t>
  </si>
  <si>
    <t>254666172#0</t>
  </si>
  <si>
    <t>387422150#2</t>
  </si>
  <si>
    <t>387422153#0</t>
  </si>
  <si>
    <t>195815883#2</t>
  </si>
  <si>
    <t>195815883#3</t>
  </si>
  <si>
    <t>394179820#4</t>
  </si>
  <si>
    <t>196355327#1</t>
  </si>
  <si>
    <t>196355327#2</t>
  </si>
  <si>
    <t>196355327#5</t>
  </si>
  <si>
    <t>62203285#0</t>
  </si>
  <si>
    <t>62203285#2</t>
  </si>
  <si>
    <t>62203285#3</t>
  </si>
  <si>
    <t>62203285#5</t>
  </si>
  <si>
    <t>42706664#7</t>
  </si>
  <si>
    <t>42706664#8</t>
  </si>
  <si>
    <t>12186741#4</t>
  </si>
  <si>
    <t>12186741#5</t>
  </si>
  <si>
    <t>62203285#6</t>
  </si>
  <si>
    <t>62203285#7</t>
  </si>
  <si>
    <t>62203286#0</t>
  </si>
  <si>
    <t>-12142298#1</t>
  </si>
  <si>
    <t>-12142298#0</t>
  </si>
  <si>
    <t>12114109#0.45.0</t>
  </si>
  <si>
    <t>196207115#0</t>
  </si>
  <si>
    <t>196207115#2</t>
  </si>
  <si>
    <t>196207115#3</t>
  </si>
  <si>
    <t>43538931#0</t>
  </si>
  <si>
    <t>43538931#1</t>
  </si>
  <si>
    <t>-43538931#1</t>
  </si>
  <si>
    <t>-43538931#0</t>
  </si>
  <si>
    <t>12148522#0</t>
  </si>
  <si>
    <t>485017381#1</t>
  </si>
  <si>
    <t>32118649#4</t>
  </si>
  <si>
    <t>32118649#5</t>
  </si>
  <si>
    <t>32118649#6</t>
  </si>
  <si>
    <t>196355310#0</t>
  </si>
  <si>
    <t>196355310#1</t>
  </si>
  <si>
    <t>12150213#8</t>
  </si>
  <si>
    <t>12150213#9</t>
  </si>
  <si>
    <t>12150213#10</t>
  </si>
  <si>
    <t>12150213#11</t>
  </si>
  <si>
    <t>173543402#8</t>
  </si>
  <si>
    <t>173543402#9</t>
  </si>
  <si>
    <t>132508734#3</t>
  </si>
  <si>
    <t>132508734#4</t>
  </si>
  <si>
    <t>132508734#5</t>
  </si>
  <si>
    <t>132508734#6</t>
  </si>
  <si>
    <t>132508734#7</t>
  </si>
  <si>
    <t>132508734#8</t>
  </si>
  <si>
    <t>132508734#9</t>
  </si>
  <si>
    <t>193223837#3</t>
  </si>
  <si>
    <t>12142729#6</t>
  </si>
  <si>
    <t>12142729#7</t>
  </si>
  <si>
    <t>196355307#1</t>
  </si>
  <si>
    <t>-310296140#9</t>
  </si>
  <si>
    <t>-310296140#8</t>
  </si>
  <si>
    <t>-310296140#7</t>
  </si>
  <si>
    <t>-310296140#6</t>
  </si>
  <si>
    <t>-310296140#5</t>
  </si>
  <si>
    <t>-310296140#4</t>
  </si>
  <si>
    <t>-310296140#2</t>
  </si>
  <si>
    <t>-310296140#1</t>
  </si>
  <si>
    <t>459461788#11</t>
  </si>
  <si>
    <t>459461788#12</t>
  </si>
  <si>
    <t>459461788#13</t>
  </si>
  <si>
    <t>459461788#14</t>
  </si>
  <si>
    <t>459461788#15</t>
  </si>
  <si>
    <t>-170366767#4</t>
  </si>
  <si>
    <t>-170366767#3</t>
  </si>
  <si>
    <t>-170366767#2</t>
  </si>
  <si>
    <t>-170366767#0</t>
  </si>
  <si>
    <t>196393940#0</t>
  </si>
  <si>
    <t>12142298#0</t>
  </si>
  <si>
    <t>12142298#1</t>
  </si>
  <si>
    <t>62203286#2</t>
  </si>
  <si>
    <t>12186741#2</t>
  </si>
  <si>
    <t>12142723#0</t>
  </si>
  <si>
    <t>12142723#3</t>
  </si>
  <si>
    <t>12142723#4</t>
  </si>
  <si>
    <t>32118649#2</t>
  </si>
  <si>
    <t>32118649#3</t>
  </si>
  <si>
    <t>12142723#5</t>
  </si>
  <si>
    <t>196207112#0</t>
  </si>
  <si>
    <t>32122059#1</t>
  </si>
  <si>
    <t>262962068#0.0</t>
  </si>
  <si>
    <t>104526265#0.14</t>
  </si>
  <si>
    <t>424080768#0</t>
  </si>
  <si>
    <t>104523976#1</t>
  </si>
  <si>
    <t>12189051#0</t>
  </si>
  <si>
    <t>424080770#0</t>
  </si>
  <si>
    <t>424080772#0</t>
  </si>
  <si>
    <t>12119506#0</t>
  </si>
  <si>
    <t>-12156992#1</t>
  </si>
  <si>
    <t>279870839#0</t>
  </si>
  <si>
    <t>279870839#2</t>
  </si>
  <si>
    <t>450844960#0</t>
  </si>
  <si>
    <t>62203285#8</t>
  </si>
  <si>
    <t>62203285#9</t>
  </si>
  <si>
    <t>62203285#10</t>
  </si>
  <si>
    <t>62203285#11</t>
  </si>
  <si>
    <t>62203285#13</t>
  </si>
  <si>
    <t>62203285#14.0</t>
  </si>
  <si>
    <t>gneE59.30.0.55</t>
  </si>
  <si>
    <t>gneE59.30.0.0</t>
  </si>
  <si>
    <t>43539373#0.0.292.17</t>
  </si>
  <si>
    <t>gneE58</t>
  </si>
  <si>
    <t>gneE56</t>
  </si>
  <si>
    <t>gneE54.0</t>
  </si>
  <si>
    <t>62203360#0</t>
  </si>
  <si>
    <t>291433361#0</t>
  </si>
  <si>
    <t>-gneE6.0</t>
  </si>
  <si>
    <t>gneE6.0</t>
  </si>
  <si>
    <t>43539378#0.15</t>
  </si>
  <si>
    <t>132508717#5</t>
  </si>
  <si>
    <t>196393974#0</t>
  </si>
  <si>
    <t>387422130#1</t>
  </si>
  <si>
    <t>132508717#0</t>
  </si>
  <si>
    <t>12149210#1</t>
  </si>
  <si>
    <t>12151897#1</t>
  </si>
  <si>
    <t>196393941#6</t>
  </si>
  <si>
    <t>196393941#7</t>
  </si>
  <si>
    <t>196393941#8</t>
  </si>
  <si>
    <t>gneE87</t>
  </si>
  <si>
    <t>388756841#0</t>
  </si>
  <si>
    <t>49914076#0</t>
  </si>
  <si>
    <t>12159673#0</t>
  </si>
  <si>
    <t>12159673#1</t>
  </si>
  <si>
    <t>gneE59.0.0</t>
  </si>
  <si>
    <t>gneE59.0.12</t>
  </si>
  <si>
    <t>gneE81.299.0</t>
  </si>
  <si>
    <t>gneE81.299.79</t>
  </si>
  <si>
    <t>gneE81.299.145</t>
  </si>
  <si>
    <t>-gneE8</t>
  </si>
  <si>
    <t>12154353#0</t>
  </si>
  <si>
    <t>196393941#1</t>
  </si>
  <si>
    <t>196393941#2</t>
  </si>
  <si>
    <t>43539369#2</t>
  </si>
  <si>
    <t>12178843#2</t>
  </si>
  <si>
    <t>12178843#3</t>
  </si>
  <si>
    <t>49960982#2</t>
  </si>
  <si>
    <t>43569828#0</t>
  </si>
  <si>
    <t>387422128#1</t>
  </si>
  <si>
    <t>43569827#0</t>
  </si>
  <si>
    <t>43569827#1</t>
  </si>
  <si>
    <t>43569827#2</t>
  </si>
  <si>
    <t>43569827#7</t>
  </si>
  <si>
    <t>387422132#0</t>
  </si>
  <si>
    <t>387422132#1</t>
  </si>
  <si>
    <t>486653633#0</t>
  </si>
  <si>
    <t>484953506#3</t>
  </si>
  <si>
    <t>484953506#4</t>
  </si>
  <si>
    <t>12157002#3</t>
  </si>
  <si>
    <t>12157002#5</t>
  </si>
  <si>
    <t>12114396#4</t>
  </si>
  <si>
    <t>-12156992#10</t>
  </si>
  <si>
    <t>-12156992#8</t>
  </si>
  <si>
    <t>-12156992#7</t>
  </si>
  <si>
    <t>-12156992#6</t>
  </si>
  <si>
    <t>-12156992#5</t>
  </si>
  <si>
    <t>-12156992#4</t>
  </si>
  <si>
    <t>-12156992#3</t>
  </si>
  <si>
    <t>-12156992#2</t>
  </si>
  <si>
    <t>-262962065#1</t>
  </si>
  <si>
    <t>43570920#0.22</t>
  </si>
  <si>
    <t>132508717#4</t>
  </si>
  <si>
    <t>43539378#1</t>
  </si>
  <si>
    <t>12149408#0</t>
  </si>
  <si>
    <t>42706828#0</t>
  </si>
  <si>
    <t>42706828#2</t>
  </si>
  <si>
    <t>12182281#0</t>
  </si>
  <si>
    <t>12182281#3</t>
  </si>
  <si>
    <t>12182281#5</t>
  </si>
  <si>
    <t>12182281#6</t>
  </si>
  <si>
    <t>386995507#4</t>
  </si>
  <si>
    <t>386995507#5</t>
  </si>
  <si>
    <t>12152013#1</t>
  </si>
  <si>
    <t>12152013#2</t>
  </si>
  <si>
    <t>-12175537#6</t>
  </si>
  <si>
    <t>-12175537#5</t>
  </si>
  <si>
    <t>12182281#10</t>
  </si>
  <si>
    <t>59676508#0</t>
  </si>
  <si>
    <t>-59676508#0</t>
  </si>
  <si>
    <t>-62203286#2</t>
  </si>
  <si>
    <t>-62203286#0</t>
  </si>
  <si>
    <t>291433360#0</t>
  </si>
  <si>
    <t>12111949#0</t>
  </si>
  <si>
    <t>43539384#1.0</t>
  </si>
  <si>
    <t>gneE82</t>
  </si>
  <si>
    <t>gneE62.13</t>
  </si>
  <si>
    <t>gneE81.0</t>
  </si>
  <si>
    <t>32118649#0</t>
  </si>
  <si>
    <t>32118649#1</t>
  </si>
  <si>
    <t>62634019#1-AddedOnRampEdge</t>
  </si>
  <si>
    <t>62634019#1</t>
  </si>
  <si>
    <t>12169718#0</t>
  </si>
  <si>
    <t>12169718#1</t>
  </si>
  <si>
    <t>424804090#2</t>
  </si>
  <si>
    <t>424804090#3</t>
  </si>
  <si>
    <t>424804090#4</t>
  </si>
  <si>
    <t>132508920#2</t>
  </si>
  <si>
    <t>132508920#3</t>
  </si>
  <si>
    <t>132508920#4</t>
  </si>
  <si>
    <t>132508920#5</t>
  </si>
  <si>
    <t>424080762#0</t>
  </si>
  <si>
    <t>424080762#1</t>
  </si>
  <si>
    <t>424080762#2</t>
  </si>
  <si>
    <t>424080762#3</t>
  </si>
  <si>
    <t>424080762#4</t>
  </si>
  <si>
    <t>424080762#5</t>
  </si>
  <si>
    <t>179915585#2</t>
  </si>
  <si>
    <t>12171853#2</t>
  </si>
  <si>
    <t>12198567#4</t>
  </si>
  <si>
    <t>12198567#5</t>
  </si>
  <si>
    <t>12152219#0</t>
  </si>
  <si>
    <t>12152219#1</t>
  </si>
  <si>
    <t>132508897#0</t>
  </si>
  <si>
    <t>132508897#1</t>
  </si>
  <si>
    <t>132508897#2</t>
  </si>
  <si>
    <t>132508897#3</t>
  </si>
  <si>
    <t>196393940#1</t>
  </si>
  <si>
    <t>179915585#0</t>
  </si>
  <si>
    <t>193223837#0</t>
  </si>
  <si>
    <t>193223837#1</t>
  </si>
  <si>
    <t>59671945#0.30</t>
  </si>
  <si>
    <t>62093806#0</t>
  </si>
  <si>
    <t>30953025#0</t>
  </si>
  <si>
    <t>30953025#2</t>
  </si>
  <si>
    <t>30953025#3</t>
  </si>
  <si>
    <t>30953025#4</t>
  </si>
  <si>
    <t>50033060#0</t>
  </si>
  <si>
    <t>12134479#5</t>
  </si>
  <si>
    <t>450844973#0</t>
  </si>
  <si>
    <t>388533144#0</t>
  </si>
  <si>
    <t>388533144#6</t>
  </si>
  <si>
    <t>388533144#11</t>
  </si>
  <si>
    <t>450695475#0</t>
  </si>
  <si>
    <t>137364609#0</t>
  </si>
  <si>
    <t>137364609#3</t>
  </si>
  <si>
    <t>137364609#5</t>
  </si>
  <si>
    <t>450695473#0</t>
  </si>
  <si>
    <t>386547305#0</t>
  </si>
  <si>
    <t>gneE23</t>
  </si>
  <si>
    <t>-gneE20.0</t>
  </si>
  <si>
    <t>-gneE21.54</t>
  </si>
  <si>
    <t>-gneE21.0</t>
  </si>
  <si>
    <t>59435515#0</t>
  </si>
  <si>
    <t>gneE36</t>
  </si>
  <si>
    <t>62634019#2.0</t>
  </si>
  <si>
    <t>62634019#2.242</t>
  </si>
  <si>
    <t>62634019#3-AddedOnRampEdge</t>
  </si>
  <si>
    <t>62634019#3</t>
  </si>
  <si>
    <t>62634019#3-AddedOffRampEdge</t>
  </si>
  <si>
    <t>424080772#2</t>
  </si>
  <si>
    <t>386547297#0</t>
  </si>
  <si>
    <t>424080771#0</t>
  </si>
  <si>
    <t>424080767#0</t>
  </si>
  <si>
    <t>386547298#0</t>
  </si>
  <si>
    <t>424080769#0</t>
  </si>
  <si>
    <t>-484953508#2</t>
  </si>
  <si>
    <t>424801339#0</t>
  </si>
  <si>
    <t>62646509#0</t>
  </si>
  <si>
    <t>424801338#0</t>
  </si>
  <si>
    <t>484953510#2</t>
  </si>
  <si>
    <t>42706825#0</t>
  </si>
  <si>
    <t>42706825#2</t>
  </si>
  <si>
    <t>-12186058#4</t>
  </si>
  <si>
    <t>-12186058#1</t>
  </si>
  <si>
    <t>12178843#0</t>
  </si>
  <si>
    <t>12178843#1</t>
  </si>
  <si>
    <t>43539369#3</t>
  </si>
  <si>
    <t>43539369#4</t>
  </si>
  <si>
    <t>43539368#0</t>
  </si>
  <si>
    <t>43570920#3</t>
  </si>
  <si>
    <t>43570920#5</t>
  </si>
  <si>
    <t>43539397#3</t>
  </si>
  <si>
    <t>43569816#0</t>
  </si>
  <si>
    <t>12167196#0.0.0</t>
  </si>
  <si>
    <t>12149178#1</t>
  </si>
  <si>
    <t>357338487#0</t>
  </si>
  <si>
    <t>-12134222#6</t>
  </si>
  <si>
    <t>-12134222#4</t>
  </si>
  <si>
    <t>-12134222#2</t>
  </si>
  <si>
    <t>-12134222#1</t>
  </si>
  <si>
    <t>12175523#0</t>
  </si>
  <si>
    <t>484953509#4</t>
  </si>
  <si>
    <t>51050030#0</t>
  </si>
  <si>
    <t>386547309#9</t>
  </si>
  <si>
    <t>12180696#2</t>
  </si>
  <si>
    <t>12180696#4</t>
  </si>
  <si>
    <t>12180696#6</t>
  </si>
  <si>
    <t>386547306#0</t>
  </si>
  <si>
    <t>386547306#4</t>
  </si>
  <si>
    <t>386547306#6</t>
  </si>
  <si>
    <t>51049745#0</t>
  </si>
  <si>
    <t>51049745#2</t>
  </si>
  <si>
    <t>51049745#3</t>
  </si>
  <si>
    <t>484842179#16.0</t>
  </si>
  <si>
    <t>62094032#0.9</t>
  </si>
  <si>
    <t>288513230#0</t>
  </si>
  <si>
    <t>50033030#0</t>
  </si>
  <si>
    <t>386547311#6</t>
  </si>
  <si>
    <t>386547311#8</t>
  </si>
  <si>
    <t>386547311#9</t>
  </si>
  <si>
    <t>450827385#0</t>
  </si>
  <si>
    <t>450827400#0</t>
  </si>
  <si>
    <t>62203498#0</t>
  </si>
  <si>
    <t>12166276#0</t>
  </si>
  <si>
    <t>-351053388#2</t>
  </si>
  <si>
    <t>12144152#7</t>
  </si>
  <si>
    <t>450844965#0</t>
  </si>
  <si>
    <t>388533145#0</t>
  </si>
  <si>
    <t>-484953514#2</t>
  </si>
  <si>
    <t>-284556051#4</t>
  </si>
  <si>
    <t>-284556051#2</t>
  </si>
  <si>
    <t>51050278#0.0</t>
  </si>
  <si>
    <t>gneE16</t>
  </si>
  <si>
    <t>-12165855#3.1535</t>
  </si>
  <si>
    <t>-12180988#5</t>
  </si>
  <si>
    <t>63060729#4</t>
  </si>
  <si>
    <t>63060729#7</t>
  </si>
  <si>
    <t>63060729#10</t>
  </si>
  <si>
    <t>-42706823#3</t>
  </si>
  <si>
    <t>-42706823#1</t>
  </si>
  <si>
    <t>30953251#1.0</t>
  </si>
  <si>
    <t>30953251#1-AddedOffRampEdge</t>
  </si>
  <si>
    <t>30953251#2.0</t>
  </si>
  <si>
    <t>-gneE45</t>
  </si>
  <si>
    <t>-43117585#0</t>
  </si>
  <si>
    <t>12185366#0</t>
  </si>
  <si>
    <t>12185366#2</t>
  </si>
  <si>
    <t>12185366#3</t>
  </si>
  <si>
    <t>12185366#4</t>
  </si>
  <si>
    <t>12185366#5</t>
  </si>
  <si>
    <t>12185366#7</t>
  </si>
  <si>
    <t>42706797#0</t>
  </si>
  <si>
    <t>-12171305#1</t>
  </si>
  <si>
    <t>12178852#1</t>
  </si>
  <si>
    <t>32121111#1</t>
  </si>
  <si>
    <t>32121111#2</t>
  </si>
  <si>
    <t>32121111#3</t>
  </si>
  <si>
    <t>12152013#0</t>
  </si>
  <si>
    <t>-43569827#9</t>
  </si>
  <si>
    <t>-43569827#6</t>
  </si>
  <si>
    <t>-43569827#1</t>
  </si>
  <si>
    <t>-43569827#0</t>
  </si>
  <si>
    <t>12157718#9</t>
  </si>
  <si>
    <t>12157718#10</t>
  </si>
  <si>
    <t>12157718#12</t>
  </si>
  <si>
    <t>12149417#0</t>
  </si>
  <si>
    <t>12149417#2</t>
  </si>
  <si>
    <t>43539373#0.0.0</t>
  </si>
  <si>
    <t>310315797#4</t>
  </si>
  <si>
    <t>310315797#5</t>
  </si>
  <si>
    <t>486653633#2</t>
  </si>
  <si>
    <t>486653633#3</t>
  </si>
  <si>
    <t>42706828#4</t>
  </si>
  <si>
    <t>42706828#6</t>
  </si>
  <si>
    <t>42706828#7</t>
  </si>
  <si>
    <t>12161358#11</t>
  </si>
  <si>
    <t>12171305#0</t>
  </si>
  <si>
    <t>12171305#1</t>
  </si>
  <si>
    <t>42706797#2</t>
  </si>
  <si>
    <t>42706797#4.13</t>
  </si>
  <si>
    <t>42706797#5</t>
  </si>
  <si>
    <t>387422148#0</t>
  </si>
  <si>
    <t>-386995521#3</t>
  </si>
  <si>
    <t>-386995521#2</t>
  </si>
  <si>
    <t>386995545#0</t>
  </si>
  <si>
    <t>386995545#2</t>
  </si>
  <si>
    <t>450844956#2</t>
  </si>
  <si>
    <t>12202537#1</t>
  </si>
  <si>
    <t>12202537#2</t>
  </si>
  <si>
    <t>12202537#3</t>
  </si>
  <si>
    <t>485017367#0</t>
  </si>
  <si>
    <t>12178852#0</t>
  </si>
  <si>
    <t>386995495#0</t>
  </si>
  <si>
    <t>386995495#1</t>
  </si>
  <si>
    <t>-386995507#7</t>
  </si>
  <si>
    <t>-386995507#6</t>
  </si>
  <si>
    <t>-386995507#5</t>
  </si>
  <si>
    <t>-386995507#4</t>
  </si>
  <si>
    <t>-386995507#3</t>
  </si>
  <si>
    <t>310315797#0</t>
  </si>
  <si>
    <t>310315797#1</t>
  </si>
  <si>
    <t>12201597#2</t>
  </si>
  <si>
    <t>12161358#9</t>
  </si>
  <si>
    <t>12161358#10</t>
  </si>
  <si>
    <t>387422148#1</t>
  </si>
  <si>
    <t>386995521#2</t>
  </si>
  <si>
    <t>386995521#3</t>
  </si>
  <si>
    <t>-12175537#13</t>
  </si>
  <si>
    <t>484953506#1</t>
  </si>
  <si>
    <t>484953506#2</t>
  </si>
  <si>
    <t>486653633#1</t>
  </si>
  <si>
    <t>CHESTNUT-38th-to-34th-EB-2017-RouteProbe</t>
  </si>
  <si>
    <t>CHESNUT-33rd-to-30th-EB-2017-RouteProbe</t>
  </si>
  <si>
    <t>Powelton-33rd-to-32nd-BTH-2017-RouteProbe</t>
  </si>
  <si>
    <t>CIVIC-HEALTH-to-UNIave-NB-2017-RouteProbe</t>
  </si>
  <si>
    <t>I-76-SOUTH-to-UNI-EB-2015-RouteProbe</t>
  </si>
  <si>
    <t>I-76-SPGF-to-676-EB-2015-RouteProbe</t>
  </si>
  <si>
    <t>I-76-676-to-SPGD-WB-2015-RouteProbe</t>
  </si>
  <si>
    <t>JFK-boltbus-30th-market-WB-2016-RouteProbe</t>
  </si>
  <si>
    <t>MARKET-JKF-to-33rd-WB-2016-RouteProbe</t>
  </si>
  <si>
    <t>MARKET-33rd-to-JFK-EB-2016-RouteProbe</t>
  </si>
  <si>
    <t>38th-Market-to-Powelton-SB-2016-RouteProbe</t>
  </si>
  <si>
    <t>38th-Market-to-Powelton-NB-2016-RouteProbe</t>
  </si>
  <si>
    <t>23rd-Spruce-to-Grays-SB-2015-RouteProbe</t>
  </si>
  <si>
    <t>196355320#9</t>
  </si>
  <si>
    <t>SOUTH-ST-BRIDGE-WB-2015-RouteProbe</t>
  </si>
  <si>
    <t>MARKET-st-BRIDGE-WB-2015-RouteProbe</t>
  </si>
  <si>
    <t>JKF-SCHave-to-23rd-EB-2015-RouteProbe</t>
  </si>
  <si>
    <t>676-on-ramp-24th-EB-2016-RouteProbe</t>
  </si>
  <si>
    <t>BFPW-otr-lane-22nd-Oval-NB-2015-RouteProbe</t>
  </si>
  <si>
    <t>387162760#0</t>
  </si>
  <si>
    <t>BFPW-inner-lane-22nd-Oval-NB-2015-RouteProbe</t>
  </si>
  <si>
    <t>21st-southST-to-Bain-SB-2015-RouteProbe</t>
  </si>
  <si>
    <t>310296135#0</t>
  </si>
  <si>
    <t>22nd-Bain-to-southST-NB-2016-RouteProbe</t>
  </si>
  <si>
    <t>132508920#0</t>
  </si>
  <si>
    <t>GRAYS-southST-to-Bain-SB-2015-RouteProbe</t>
  </si>
  <si>
    <t>26th-Bain-to-South-NB-2015-RouteProbe</t>
  </si>
  <si>
    <t>TANEY-southST-to-Bain-SB-2015-RouteProbe</t>
  </si>
  <si>
    <t>27th-Bain-to-SouthST-NB-2015-RouteProbe</t>
  </si>
  <si>
    <t>KILLave-27th-to-Bain-SB-2015-RouteProbe</t>
  </si>
  <si>
    <t>30th-CIRA-to-JFK-SB-2015-RouteProbe</t>
  </si>
  <si>
    <t>262962066#0</t>
  </si>
  <si>
    <t>MARKET-29th-to-30th-WB-2015-RouteProbe</t>
  </si>
  <si>
    <t>MARKET-34th-to-38th-WB-2015-RouteProbe</t>
  </si>
  <si>
    <t>MARKET-38th-to-34th-EB-2015-RouteProbe</t>
  </si>
  <si>
    <t>33rd-Chesnut-to-Market-NB-2015-RouteProbe</t>
  </si>
  <si>
    <t>22nd-Chesnut-to-Market-NB-2015-RouteProbe</t>
  </si>
  <si>
    <t>676-on-ramp-from-30-n-76-2016-RouteProbe</t>
  </si>
  <si>
    <t>SPGRst-22nd-to-23rd-WB-2014-RouteProbe</t>
  </si>
  <si>
    <t>SPGRst-23rd-to-22nd-EB-2014-RouteProbe</t>
  </si>
  <si>
    <t>MARKET-21st-to-22nd-WB-2014-RouteProbe</t>
  </si>
  <si>
    <t>34th-Market-to-Chesnut-SB-2014-RouteProbe</t>
  </si>
  <si>
    <t>SPGRst-38th-33rd-EB-2013-RouteProbe</t>
  </si>
  <si>
    <t>33rd-SouthST-to-Walnut-NB-2013-RouteProbe</t>
  </si>
  <si>
    <t>WALNUT-76-to-33rd-WB-2013-RouteProbe</t>
  </si>
  <si>
    <t>WALNUT-20th-22nd-WB-2013-RouteProbe</t>
  </si>
  <si>
    <t>34th-market-to-LanAVE-SB-2013-RouteProbe</t>
  </si>
  <si>
    <t>LOCUST-23rd-to-22nd-EB-2012-RouteProbe</t>
  </si>
  <si>
    <t>21st-market-to-chesnut-SB-2012-RouteProbe</t>
  </si>
  <si>
    <t>12150213#0</t>
  </si>
  <si>
    <t>22nd-SPGRst-to-PAave-NB-2012-RouteProbe</t>
  </si>
  <si>
    <t>SPGRst-BFPW-to-PAave-EB-2012-RouteProbe</t>
  </si>
  <si>
    <t>RACE-bonsal-to-23rd-WB-2012-RouteProbe</t>
  </si>
  <si>
    <t>12203864#2</t>
  </si>
  <si>
    <t>SPRUCE-23rd-to-24th-WB-2012-RouteProbe</t>
  </si>
  <si>
    <t>PINE-24th-to-23rd-EB-2012-RouteProbe</t>
  </si>
  <si>
    <t>LOMBARD-23rd-to-24th-WB-2012-RouteProbe</t>
  </si>
  <si>
    <t>SOUTHst-24th-to-23rd-EB-2012-RouteProbe</t>
  </si>
  <si>
    <t>38th-Spruce-to-Walnut-NB-2012-RouteProbe</t>
  </si>
  <si>
    <t>Market-33rd-to-34th-WB-2012-RouteProbe</t>
  </si>
  <si>
    <t>LanAVE-34th-to-38th-BTH-2012-RouteProbe</t>
  </si>
  <si>
    <t>38th-Powelton-to-LanAVE-SB-2012-RouteProbe</t>
  </si>
  <si>
    <t>38th-Powelton-to-LanAVE-NB-2012-RouteProbe</t>
  </si>
  <si>
    <t>33rd-LanAVE-to-Powelton-NB-2012-RouteProbe</t>
  </si>
  <si>
    <t>LOMBARD-21st-to-22nd-WB-2011-RouteProbe</t>
  </si>
  <si>
    <t>271683344#17</t>
  </si>
  <si>
    <t>SPRUCE-21st-to-22nd-WB-2011-RouteProbe</t>
  </si>
  <si>
    <t>34th-Race-to-Cherry-SB-2011-RouteProbe</t>
  </si>
  <si>
    <t>34th-Walnut-to-Spruce-SB-2011-RouteProbe</t>
  </si>
  <si>
    <t>33rd-powelton-to-SPGRst-NB-2011-RouteProbe</t>
  </si>
  <si>
    <t>POWELTON-40th-to-39th-BTH-2011-RouteProbe</t>
  </si>
  <si>
    <t>Walnut-34th-to-36th-WB-2011-RouteProbe</t>
  </si>
  <si>
    <t>CROSKEY-arch-to-Cherry-NB-2009-RouteProbe</t>
  </si>
  <si>
    <t>Ludlowst-32nd-to-30th-BOTH-2009-RouteProbe</t>
  </si>
  <si>
    <t>22ndst-676-overpass-EB-2010-RouteProbe</t>
  </si>
  <si>
    <t>676-on-ramp-to-76-WB-2010-RouteProbe</t>
  </si>
  <si>
    <t>76-on-ramp-30th-676-WB-2010-RouteProbe</t>
  </si>
  <si>
    <t>76-to-676-EB-2010-RouteProbe</t>
  </si>
  <si>
    <t>Chestnut-34th-to-33rd-EB-2009-RouteProbe</t>
  </si>
  <si>
    <t>Walnut-31st-to-30th-WB-2009-RouteProbe</t>
  </si>
  <si>
    <t>33rd-Wal-to-Chest-NB-2009-RouteProbe</t>
  </si>
  <si>
    <t>I-676-EB-Exit-Ramp-to-23rd-09-RouteProbe</t>
  </si>
  <si>
    <t>23rd-Wal-to-Chesnut-SB-2009-RouteProbe</t>
  </si>
  <si>
    <t>GRAYS-Chirstina-to-Bainbr-WB-09-RouteProbe</t>
  </si>
  <si>
    <t>310296140#5</t>
  </si>
  <si>
    <t>UniAVE-CivicBLVD-to-BaltAVE-NB-09-RouteProbe</t>
  </si>
  <si>
    <t>38th-Spruce-to-Walnut-SB-2009-RouteProbe</t>
  </si>
  <si>
    <t>Chestnut-40th-39th-EB-2009-RouteProbe</t>
  </si>
  <si>
    <t>MarketST-40th-to-39th-WB-2009-RouteProbe</t>
  </si>
  <si>
    <t>Archst-front-of-Cira-Center-09-RouteProbe</t>
  </si>
  <si>
    <t>UniAVE-76ramp-CIVICblvd-2009-RouteProbe</t>
  </si>
  <si>
    <t>WALNUTst-44th-38th-WB-2009-RouteProbe</t>
  </si>
  <si>
    <t>SOUTHst-Convention-I-76-WB-2008-RouteProbe</t>
  </si>
  <si>
    <t>I-76-on-ramp-South-to-WB-2008-RouteProbe</t>
  </si>
  <si>
    <t>I-76-off-Ramp-from-EB-Southst-Bridge-2008-RouteProbe</t>
  </si>
  <si>
    <t>36th-Ludlow-2-Market-NB-2005-RouteProbe</t>
  </si>
  <si>
    <t>SCHUYKILLave-Market-JKF-SB-2004-RouteProbe</t>
  </si>
  <si>
    <t>Lancaster-SHEDWICK-35th-WB-2003-RouteProbe</t>
  </si>
  <si>
    <t>CHRISTIAN-23rd-22nd-BOTH-2001-RouteProbe</t>
  </si>
  <si>
    <t>459461788#7</t>
  </si>
  <si>
    <t>Grays-Kater-2-South-SB-1995-RouteProbe</t>
  </si>
  <si>
    <t>Southst-33rd-Convention-BOTH-1996-RouteProbe</t>
  </si>
  <si>
    <t>31st-Powelton-to-SPGRst-NB-1996-RouteProbe</t>
  </si>
  <si>
    <t>40th-Ches-to-Wal-1995-RouteProbe</t>
  </si>
  <si>
    <t>I-676-on_ramp-30STsta-1995-RouteProbe</t>
  </si>
  <si>
    <t>BARINGst-38-34-BOTH-dir-2000-RouteProbe</t>
  </si>
  <si>
    <t>39st-Wal_to_Market-SB-1999-RouteProbe</t>
  </si>
  <si>
    <t>12134222#5</t>
  </si>
  <si>
    <t>30thStST_to_76-676_ramp-RouteProbe</t>
  </si>
  <si>
    <t>676to76_EB-2012-RouteProbe</t>
  </si>
  <si>
    <t>76_to_676-RouteProbe</t>
  </si>
  <si>
    <t>3400-3300-Market-WB-probe</t>
  </si>
  <si>
    <t>3400-3300-Market-EB-probe</t>
  </si>
  <si>
    <t>BFPW_to_676_NB-1997-RouteProbe</t>
  </si>
  <si>
    <t>38th-Walnut-to-Chestnut-NB-1998-RouteProbe</t>
  </si>
  <si>
    <t>34thST_Ches_to_Wal-SB-08-RouteProbe</t>
  </si>
  <si>
    <t>34thSt_SGSt_to_Poweltonave-SB08-RouteProbe</t>
  </si>
  <si>
    <t>SGst-Bridge-EB-RouteProbe</t>
  </si>
  <si>
    <t>I-76-SOUTH-to-UNI-WB-2015-RouteProbe</t>
  </si>
  <si>
    <t>ChestnutST-Bridge-EB-2017-RouteProbe</t>
  </si>
  <si>
    <t>I-76-SPGRST-to-Girdard-WB-2015-RouteProbe</t>
  </si>
  <si>
    <t>Cobbs-CreekBrd-WB-2016-RouteProbe</t>
  </si>
  <si>
    <t>Cobbs-CreekBrd-EB-2016-Source-RouteProbe</t>
  </si>
  <si>
    <t>gneE86</t>
  </si>
  <si>
    <t>Chestnut-22nd-to-20th-EB-2013-RouteProbe</t>
  </si>
  <si>
    <t>Market-22-to-21-EB-Sink-2014-RouteProbe</t>
  </si>
  <si>
    <t>JFK-Brdg-WB-2015-RouteProbe</t>
  </si>
  <si>
    <t>JFK-22nd-to-21st-EB-2012-RouteProbe</t>
  </si>
  <si>
    <t>LanAVE-BTH-EB-2015-Source-RouteProbe</t>
  </si>
  <si>
    <t>LanAVE-BTH-WB-2015-Sink-RouteProbe</t>
  </si>
  <si>
    <t>I-76-WB-2015-Source-RouteProbe</t>
  </si>
  <si>
    <t>I-76-EB-2015-Source-RouteProbe</t>
  </si>
  <si>
    <t>34st-BRDG-NB-2017-Source-RouteProbe</t>
  </si>
  <si>
    <t>BaltiAVe-NB-2014-RouteProbe</t>
  </si>
  <si>
    <t>-484842179#0</t>
  </si>
  <si>
    <t>BaltiAVe-SB-2014-RouteProbe</t>
  </si>
  <si>
    <t>gneE32.0</t>
  </si>
  <si>
    <t>Grays-SouthWest-EB-1995-Source-RouteProbe</t>
  </si>
  <si>
    <t>310296140#0</t>
  </si>
  <si>
    <t>676-on_ramp-10th-WB-Source-RouteProbe</t>
  </si>
  <si>
    <t>676-EB-2010-Sink-RouteProbe</t>
  </si>
  <si>
    <t>SPGDst-Bridge-Over-River-EB-16-RouteProbe</t>
  </si>
  <si>
    <t>SPGDst-Bridge-Over-River-WB-16-RouteProbe</t>
  </si>
  <si>
    <t>SPGDst-76-to-31st-WB-2009-RouteProbe</t>
  </si>
  <si>
    <t>SPGDst-33rd-to-31st-EB-2009-RouteProbe</t>
  </si>
  <si>
    <t>Route Probe Name</t>
  </si>
  <si>
    <t>Edge Prob is on</t>
  </si>
  <si>
    <t>Number of Routes with Edge</t>
  </si>
  <si>
    <t>SCHKILLave-76-JKF</t>
  </si>
  <si>
    <t>to</t>
  </si>
  <si>
    <t>-264351493#1</t>
  </si>
  <si>
    <t>gneE1</t>
  </si>
  <si>
    <t>&lt;routes&gt;</t>
  </si>
  <si>
    <t xml:space="preserve">    &lt;route id="</t>
  </si>
  <si>
    <t>edges="49887339#0.596 49887339#0-AddedOffRampEdge 49887339#1 49887339#1-AddedOffRampEdge 104524021 104524021-AddedOffRampEdge 12158873 121643865#0 12110705 50715233#0 50715233#0-AddedOffRampEdge 50715233#1.0 62203285#14.24 gneE59.30.0.55 gneE59.30.0.0 gneE59.0.0 gneE59.0.12 62203360#0 291433361#0 132508433.0 -gneE6.0 gneE81.299.0 gneE81.299.79 gneE81.299.145 -gneE8 12154353#0 196393941#1 196393941#2 28533986 43539369#2 12178843#2 12178843#3 49960982#2 43569828#0 387422128#1 43569827#0 43569827#1 43569827#2 43569827#7 43569848 30953391 424769002 424769005 424769006 424769004 30953396#1 387422132#0 387422132#1 486653633#0 484953506#3 484953506#4 424769003#0 424769003#1 387422132#0 387422132#1 388756840 12202537#1 12202537#2 12202537#3 485017368 485017367#0 12185366#0 12178852#0 12178852#1 386995495#0 386995495#1 -386995507#7 -386995507#6 -386995507#5 -386995507#4 -386995507#3 310315797#0 310315797#1 386995479#3 12182281#5 12182281#6 12182281#7 12182281#8 -12175537#3 12138978 12201597#2 12114363#1 -50033059#4 12175537#0 12175537#2 12175537#3 12175537#4 12162659#2 12159485 12161358#7 12161358#8 386995507#6 386995507#7 386995521#0 386995521#1 12154359#3 12154359#4 12154359#5 12154359#6 12154359#7 101350669 -386995537 -386995526#1 -386995526#0 -43357814#3 12175537#8 12175537#9 12175537#10 12175537#11 12175537#12 12155177#1 386995531#4 12172918#2 gneE73 gneE75.0 gneE80.125"/&gt;</t>
  </si>
  <si>
    <t>&lt;/routes&gt;</t>
  </si>
  <si>
    <t xml:space="preserve"> edges="-gneE80.0 -gneE80.17 -gneE41 gneE44 -388756838#2 -388756838#1 -388756838#0 42706817#0 386547310 gneE69 -388756838#2 -388756838#1 -388756838#0 -388756839#1 -388756839#0 -194358837#2 -194358837#0 194358838#0 194358838#1 194358838#2 194358838#3 387422145#0 387422145#3 386995499#0 386995499#2 -51155368#13 -51155368#10 -51155368#7 121319040#0 121319040#1 386995507#0 386995507#1 386995507#2 386995507#3 12182281#7 42706837#0 42706837#1 42706837#2 42706837#3 43357814#2 43357814#3 386995526#0 386995526#1 -51050425#4 -51050425#3 -51050425#2 12162659#0 12162659#1 -12175537#4 -12175537#3 -12175537#2 -12175537#1 -50033059#3 -50033059#2 -386995514#7 -12199713#2 12177498 42706833#2 51155368#0 -50033558#5 -50033558#3 -50033558#2 -62105579 -32121234#1 -32121234#0 42706874#0 42706874#2 55179414#0 55179413#0 424769182 -450827405#2 -450827400#2 -450827382 -450827385#1 -450827391#1 -450827381 -450827397#1 12180696#0 59435515#1 59435515#2 59435515#3 59435515#4 424801338#1 12117702#0 12117702#4 12117702#7 -32121146#3 12202008#2.0 12202008#2.171 62646499#2 450827424#0 450827405#0 262962062 -55179413#2 12187610#0 12187610#2 12187610#3 -62105579 12186909#0 12186909#1 12186909#2 51155368#11 42706831#0 42706831#4 42706831#5 42706831#6 32121234#0 32121234#1 32121234#2 50033558#2 50033558#3 50033558#4 50033558#6 50033058#0 386995514#9 386995486#0 32121111#11 -12177521#0 -121319040#0 -51155368#5 -50033558#5 -50033558#3 -12188656 -121319046 -42706825#7 -42706825#4 -42706825#3 -42706825#1 194358815 194358817#0 194358817#1 194358817#2 12114363#0 12114363#1 -50033059#4 12175537#0 12175537#2 12175537#3 12175537#4 12175537#5 12175537#6 12175537#7 -43357814#2 42706837#4 42706837#5 42706837#6 42706837#7 42706837#8 42706837#9 12172918#0 12172918#1 12172918#2 gneE73 gneE75.0 gneE80.125"/&gt;</t>
  </si>
  <si>
    <t xml:space="preserve"> edges="-gneE80.0 -gneE80.17 -gneE41 gneE44 -388756838#2 -388756838#1 -388756838#0 42706817#0 386547310 gneE69 -388756838#2 -388756838#1 -388756838#0 -388756839#1 -388756839#0 -194358837#2 -194358837#0 194358838#0 194358838#1 194358838#2 194358838#3 387422145#0 387422145#3 386995499#0 386995499#2 -51155368#13 -51155368#10 -51155368#7 121319040#0 121319040#1 386995507#0 386995507#1 386995507#2 386995507#3 12182281#7 42706837#0 42706837#1 42706837#2 42706837#3 43357814#2 43357814#3 386995526#0 386995526#1 -51050425#4 -51050425#3 -51050425#2 12162659#0 12162659#1 -12175537#4 -12175537#3 -12175537#2 -12175537#1 -50033059#3 -50033059#2 -386995514#7 -12199713#2 12177498 42706833#2 51155368#0 -50033558#5 -50033558#3 -50033558#2 -62105579 -32121234#1 -32121234#0 42706874#0 42706874#2 55179414#0 55179413#0 424769182 -450827405#2 -450827400#2 -450827382 -450827385#1 -450827391#1 -450827381 -450827397#1 12180696#0 59435515#1 59435515#2 59435515#3 59435515#4 424801338#1 12117702#0 12117702#4 12117702#7 -32121146#3 12202008#2.0 12202008#2.171 62646499#2 450827424#0 450827405#0 262962062 -55179413#2 12187610#0 60185970#0 60185970#2 12149571#1 12187610#3 50033558#2 50033558#3 50033558#4 50033558#6 42706833#0 42706833#2 12189876#0 12189876#2 484953508#1 60185970#0 60185970#2 12149571#1 12187610#3 50033558#2 -12188656 -121319046 -42706825#7 12199713#0 12199713#1 -386995514#6 -386995514#5 -386995514#4 -386995514#3 194358817#0 194358817#1 194358817#2 12114363#0 12114363#1 -50033059#4 12175537#0 12175537#2 12175537#3 12175537#4 12175537#5 12175537#6 12175537#7 12175537#8 12175537#9 12175537#10 12175537#11 12175537#12 12155177#1 12155177#2 387422153#1 gneE73 gneE75.0 gneE80.125"/&gt;</t>
  </si>
  <si>
    <t xml:space="preserve"> edges="-gneE80.0 -gneE80.17 -gneE41 gneE44 -388756838#2 -388756838#1 -388756838#0 -388756839#1 -388756839#0 -194358837#2 -194358837#0 194358838#0 -386995507#1 12157718#3 32121111#10 386995486#1 386995479#0 12157718#5 12157718#7 485017376 485017373#0 387422135#0 424769003#0 424769003#1 -30953396#1 -30953396#0 -424769006 -424769005 -424769002 -30953391 -43569848 -393884751 12159702 424764853 12149178#0 50189796 50189564 12149178#2 145605533#0 145605533#1-AddedOnRampEdge 145605533#1 145605511#1-AddedOnRampEdge 145605511#12 145605511#1.148"/&gt;</t>
  </si>
  <si>
    <t xml:space="preserve"> edges="-gneE80.0 -gneE80.17 -gneE41 gneE44 -388756838#2 -388756838#1 -388756838#0 42706817#0 386547310 gneE69 -388756838#2 -388756838#1 -388756838#0 -388756839#1 -388756839#0 -194358837#2 -194358837#0 194358838#0 194358838#1 194358838#2 194358838#3 387422145#0 387422145#3 386995499#0 386995499#2 -51155368#13 -51155368#10 -51155368#7 121319040#0 121319040#1 386995507#0 386995507#1 386995507#2 386995507#3 12182281#7 42706837#0 42706837#1 42706837#2 42706837#3 43357814#2 43357814#3 386995526#0 386995526#1 -51050425#4 -51050425#3 -51050425#2 12162659#0 12162659#1 -12175537#4 -12175537#3 -12175537#2 -12175537#1 -50033059#3 -50033059#2 -386995514#7 -12199713#2 12177498 42706833#2 51155368#0 -50033558#5 -50033558#3 -50033558#2 -62105579 -32121234#1 -32121234#0 42706874#0 42706874#2 12144152#0 12144152#2 12144152#4 12144152#6 12157151#0 12166276#2 -32121146#5 12117702#9 450844953#0 450844953#2 450844953#3 450844947#0 388533142#0 388533142#2 12189045#0 62623987#0 62623987#1 -12142631 12202018 62623986#1 62623986#2 -12189051#1 -262962063 -424080764 -424080768#1 -424080766 -104526265#1 30953497#0 30953497#2 30953497#3 42706585#0 42706585#1 30953320 30953320-AddedOffRampEdge 104526277 30953215#1-AddedOnRampEdge 30953215#1 121643865#0 121643865#1 145605511#1-AddedOnRampEdge 145605511#12 145605511#1.148"/&gt;</t>
  </si>
  <si>
    <t xml:space="preserve"> edges="-gneE80.0 -gneE80.17 -gneE41 gneE44 -388756838#2 -388756838#1 -388756838#0 42706817#0 386547310 gneE69 -388756838#2 -388756838#1 -388756838#0 -388756839#1 -388756839#0 -194358837#2 -194358837#0 194358838#0 194358838#1 194358838#2 194358838#3 387422145#0 387422145#3 386995499#0 386995499#2 -51155368#13 -51155368#10 -51155368#7 121319040#0 121319040#1 386995507#0 386995507#1 386995507#2 386995507#3 12182281#7 42706837#0 42706837#1 42706837#2 42706837#3 43357814#2 43357814#3 386995526#0 386995526#1 -51050425#4 -51050425#3 -51050425#2 12162659#0 12162659#1 -12175537#4 -12175537#3 -12175537#2 -12175537#1 -50033059#3 -50033059#2 -386995514#7 -12199713#2 12177498 42706833#2 51155368#0 -50033558#5 -50033558#3 -50033558#2 -62105579 -32121234#1 -32121234#0 42706874#0 42706874#2 55179414#0 55179413#0 424769182 -450827405#2 -450827400#2 -450827382 -450827385#1 -450827391#1 -450827381 -450827397#1 12180696#0 59435515#1 59435515#2 59435515#3 59435515#4 424801338#1 12117702#0 12117702#4 12117702#7 -32121146#3 -32121146#1 -424769197#2 12144152#0 12144152#2 12144152#4 12144152#6 12157151#0 12166276#2 -32121146#5 12117702#9 450844953#0 450844953#2 450844953#3 450844947#0 388533142#0 388533142#2 12189045#0 62623987#0 62623987#1 -12142631 12202018 62623986#1 62623986#2 -12189051#1 -262962063 -424080764 -424080768#1 -424080766 -104526265#1 -262962068#1 -424080774 -32122059#1 -32122059#0 -196393940#2 -196393940#0"/&gt;</t>
  </si>
  <si>
    <t xml:space="preserve"> edges="-gneE80.0 -gneE80.17 -gneE41 gneE44 -388756838#2 -388756838#1 -388756838#0 42706817#0 386547310 gneE69 -388756838#2 -388756838#1 -388756838#0 -388756839#1 -388756839#0 -194358837#2 -194358837#0 194358838#0 194358838#1 194358838#2 194358838#3 387422145#0 387422145#3 386995499#0 386995499#2 -51155368#13 -51155368#10 -51155368#7 121319040#0 121319040#1 386995507#0 386995507#1 386995507#2 386995507#3 12182281#7 42706837#0 42706837#1 42706837#2 42706837#3 43357814#2 43357814#3 386995526#0 386995526#1 -51050425#4 -51050425#3 -51050425#2 12162659#0 12162659#1 -12175537#4 -12175537#3 -12175537#2 -12175537#1 -50033059#3 -50033059#2 -386995514#7 -12199713#2 12177498 42706833#2 51155368#0 -50033558#5 -50033558#3 -50033558#2 -62105579 -32121234#1 -32121234#0 42706874#0 42706874#2 55179414#0 55179413#0 424769182 -450827405#2 -450827400#2 -450827382 -450827385#1 -450827391#1 -450827381 -450827397#1 12180696#0 59435515#1 59435515#2 59435515#3 59435515#4 424801338#1 12117702#0 12117702#4 12117702#7 -32121146#3 -32121146#1 -424769197#2 12144152#0 12144152#2 12144152#4 12144152#6 12157151#0 12166276#2 -32121146#5 12117702#9 450844953#0 450844953#2 450844953#3 450844947#0 388533142#0 388533142#2 12189045#0 62623987#0 62623987#1 -12142631 12202018 62623986#1 62623986#2 -12189051#1 -262962063 -424080764 -424080768#1 -424080766 -104526265#1 30953497#0 30953497#2 30953497#3 42706585#0 42706585#1 30953320 30953320-AddedOffRampEdge 104526277 30953215#1-AddedOnRampEdge 30953215#1 121643865#0 121643865#1 145605511#1-AddedOnRampEdge 145605511#12 145605511#1.148"/&gt;</t>
  </si>
  <si>
    <t xml:space="preserve"> edges="-gneE80.0 -gneE80.17 -gneE41 gneE44 -388756838#2 -388756838#1 -388756838#0 42706817#0 386547310 gneE69 -388756838#2 -388756838#1 -388756838#0 -388756839#1 -388756839#0 -194358837#2 -194358837#0 194358838#0 194358838#1 194358838#2 194358838#3 387422145#0 387422145#3 386995499#0 386995499#2 -51155368#13 -51155368#10 -51155368#7 121319040#0 121319040#1 386995507#0 386995507#1 386995507#2 386995507#3 12182281#7 42706837#0 42706837#1 42706837#2 42706837#3 43357814#2 43357814#3 386995526#0 386995526#1 -51050425#4 -51050425#3 -51050425#2 12162659#0 12162659#1 -12175537#4 -12175537#3 -12175537#2 -12175537#1 -50033059#3 -50033059#2 -386995514#7 -12199713#2 12177498 42706833#2 51155368#0 -50033558#5 -50033558#3 -50033558#2 -62105579 -32121234#1 -32121234#0 42706874#0 42706874#2 55179414#0 55179413#0 424769182 -450827405#2 -450827400#2 -450827382 -450827385#1 -450827391#1 -450827381 -450827397#1 12180696#0 59435515#1 59435515#2 59435515#3 59435515#4 424801338#1 12117702#0 12117702#4 12117702#7 -32121146#3 -32121146#1 -424769197#2 12144152#0 12144152#2 12144152#4 12144152#6 12157151#0 12166276#2 -32121146#5 12117702#9 450844953#0 450844953#2 450844953#3 450844947#0 388533142#0 388533142#2 12189045#0 62623987#0 62623987#1 -12142631 12202018 62623986#1 62623986#2 -12189051#1 -262962063 -424080764 -424080768#1 -424080766 -104526265#1 30953497#0 30953497#2 35920555#0.0 35920555#0.75 62203066 43331031.0 43331031.436 42706585#0 42706585#1 30953320 30953320-AddedOffRampEdge 30953315 104526276-AddedOnRampEdge 104526276 51758697#0 51758697#1-AddedOnRampEdge 51758697#1"/&gt;</t>
  </si>
  <si>
    <t xml:space="preserve"> edges="-gneE80.0 -gneE80.17 -gneE41 gneE44 -388756838#2 -388756838#1 -388756838#0 42706817#0 386547310 gneE69 -388756838#2 -388756838#1 -388756838#0 -388756839#1 -388756839#0 -194358837#2 -194358837#0 194358838#0 194358838#1 194358838#2 194358838#3 387422145#0 387422145#3 386995499#0 386995499#2 -51155368#13 -51155368#10 -51155368#7 121319040#0 121319040#1 386995507#0 386995507#1 386995507#2 386995507#3 12182281#7 42706837#0 42706837#1 42706837#2 42706837#3 43357814#2 43357814#3 386995526#0 386995526#1 -51050425#4 -51050425#3 -51050425#2 12162659#0 12162659#1 -12175537#4 -12175537#3 -12175537#2 -12175537#1 -50033059#3 -50033059#2 -386995514#7 -12199713#2 12177498 42706833#2 51155368#0 -50033558#5 -50033558#3 -50033558#2 -62105579 -32121234#1 -32121234#0 42706874#0 42706874#2 55179414#0 55179413#0 424769182 -450827405#2 -450827400#2 -450827382 -450827385#1 -450827391#1 -450827381 -450827397#1 12180696#0 59435515#1 59435515#2 59435515#3 59435515#4 424801338#1 12117702#0 12117702#4 12117702#7 -32121146#3 -32121146#1 -424769197#2 12144152#0 12144152#2 12144152#4 12144152#6 12157151#0 12166276#2 -32121146#5 12117702#9 450844953#0 450844953#2 450844953#3 450844947#0 388533142#0 388533142#2 388533142#4 62623926#0 62623926#1 450844950#0 38502259#0.19 450844933#1 196207110#0 196207110#2"/&gt;</t>
  </si>
  <si>
    <t xml:space="preserve"> edges="-gneE80.0 -gneE80.17 -gneE41 gneE44 -388756838#2 -388756838#1 -388756838#0 42706817#0 386547310 gneE69 -388756838#2 -388756838#1 -388756838#0 -388756839#1 -388756839#0 -194358837#2 -194358837#0 194358838#0 194358838#1 194358838#2 194358838#3 387422145#0 387422145#3 386995499#0 386995499#2 -51155368#13 -51155368#10 -51155368#7 121319040#0 121319040#1 386995507#0 386995507#1 386995507#2 386995507#3 12182281#7 42706837#0 42706837#1 42706837#2 42706837#3 43357814#2 43357814#3 386995526#0 386995526#1 -51050425#4 -51050425#3 -51050425#2 12162659#0 12162659#1 -12175537#4 -12175537#3 -12175537#2 -12175537#1 -50033059#3 -50033059#2 -386995514#7 -12199713#2 12177498 42706833#2 51155368#0 -50033558#5 -50033558#3 -50033558#2 -62105579 -32121234#1 -32121234#0 42706874#0 42706874#2 55179414#0 55179413#0 424769182 -450827405#2 -450827400#2 -450827382 -450827385#1 -450827391#1 -450827381 -450827397#1 12180696#0 59435515#1 59435515#2 59435515#3 59435515#4 424801338#1 12117702#0 12117702#4 12117702#7 -32121146#3 12202008#2.0 12202008#2.171 62646499#2 450827424#0 450827405#0 262962062 -55179413#2 12187610#0 12187610#2 12187610#3 -62105579 12186909#0 12186909#1 12186909#2 12186909#4 12177521#2 12177521#3 211575484#1 485017379 -386995465#1 -386995504#1 -386995486#1 32121111#11 -12177521#0 -121319040#0 -51155368#5 -50033558#5 -50033558#3 -12188656 -121319046 -42706825#7 -42706825#4 -42706825#3 -42706825#1 194358815 194358817#0 194358817#1 194358817#2 12114363#0 12114363#1 -50033059#4 12175537#0 12175537#2 485017371#0 484953507#1 12182281#8 12182281#9 12167232#0 12167232#1 12167232#2 12152013#4 51050425#4 386995537 386995551 387422150#0 387422150#1 386995531#3 386995531#4 12172918#2 gneE73 gneE75.0 gneE80.125"/&gt;</t>
  </si>
  <si>
    <t xml:space="preserve"> edges="-gneE80.0 -gneE80.17 -gneE41 gneE44 -388756838#2 -388756838#1 -388756838#0 42706817#0 386547310 gneE69 -388756838#2 -388756838#1 -388756838#0 -388756839#1 -388756839#0 -194358837#2 -194358837#0 194358838#0 194358838#1 194358838#2 194358838#3 387422145#0 387422145#3 386995499#0 386995499#2 -51155368#13 -51155368#10 -51155368#7 121319040#0 121319040#1 386995507#0 386995507#1 386995507#2 386995507#3 12182281#7 42706837#0 42706837#1 42706837#2 42706837#3 43357814#2 43357814#3 386995526#0 386995526#1 -51050425#4 -51050425#3 -51050425#2 12162659#0 12162659#1 -12175537#4 -12175537#3 -12175537#2 -12175537#1 -50033059#3 -50033059#2 -386995514#7 -12199713#2 12177498 42706833#2 51155368#0 -50033558#5 -50033558#3 -50033558#2 -62105579 -32121234#1 -32121234#0 42706874#0 42706874#2 55179414#0 55179413#0 424769182 -450827405#2 -450827400#2 -450827382 -450827385#1 -450827391#1 -450827381 -450827397#1 12180696#0 59435515#1 59435515#2 59435515#3 59435515#4 424801338#1 12117702#0 12117702#4 12117702#7 -32121146#3 12202008#2.0 12202008#2.171 62646499#2 450827424#0 450827405#0 262962062 -55179413#2 12187610#0 12187610#2 12187610#3 -62105579 12186909#0 12186909#1 12186909#2 12186909#4 12186909#6 386995479#0 12157718#5 12157718#7 485017376 485017373#0 387422135#0 424769003#0 424769003#1 -30953396#1 -30953396#0 -424769006 -424769005 -424769002 -30953391 -43569848 -393884751 12159702 424764853 12149178#0 50189796 50189564 12149178#2 145605533#0 145605533#1-AddedOnRampEdge 145605533#1 145605511#1-AddedOnRampEdge 145605511#12 145605511#1.148"/&gt;</t>
  </si>
  <si>
    <t xml:space="preserve"> edges="-gneE80.0 -gneE80.17 -gneE41 gneE44 -388756838#2 -388756838#1 -388756838#0 42706817#0 386547310 gneE69 -388756838#2 -388756838#1 -388756838#0 -388756839#1 -388756839#0 -194358837#2 -194358837#0 194358838#0 194358838#1 194358838#2 194358838#3 387422145#0 387422145#3 386995499#0 386995499#2 -51155368#13 -51155368#10 -51155368#7 121319040#0 121319040#1 386995507#0 386995507#1 386995507#2 386995507#3 12182281#7 42706837#0 42706837#1 42706837#2 42706837#3 43357814#2 43357814#3 386995526#0 386995526#1 -51050425#4 -51050425#3 -51050425#2 12162659#0 12162659#1 -12175537#4 -12175537#3 -12175537#2 -12175537#1 -50033059#3 -50033059#2 -386995514#7 -12199713#2 12177498 42706833#2 51155368#0 -50033558#5 -50033558#3 -50033558#2 -62105579 -32121234#1 -32121234#0 42706874#0 42706874#2 55179414#0 55179413#0 424769182 -450827405#2 -450827400#2 -450827382 -450827385#1 -450827391#1 -450827381 -450827397#1 12180696#0 59435515#1 59435515#2 59435515#3 59435515#4 424801338#1 12117702#0 12117702#4 12117702#7 -32121146#3 12202008#2.0 12202008#2.171 62646499#2 450827424#0 450827405#0 262962062 -55179413#2 12187610#0 12187610#2 12187610#3 -62105579 12186909#0 12186909#1 12186909#2 12186909#4 12186909#6 386995479#0 12157718#5 12157718#7 485017376 485017373#0 387422135#0 424769003#0 424769003#1 -30953396#1 30953396#1 -424769003#1 -424769003#0 12157002#0 12157002#1 12186058#2 485017381#0 -12157718#12 -12157718#10 -12157718#9 -12157718#8 -12157718#6 386995479#1 386995479#2 386995479#3 386995479#4 386995479#5 386995479#6 386995490#0.0 12154359#1.20 12154359#2 -386995521#1 -386995521#0 43357814#0 43357814#1 42706837#4 42706837#5 12154359#5 12154359#6 386995531#1 386995531#2 386995531#3 386995531#4 12172918#2 gneE73 gneE75.0 gneE80.125"/&gt;</t>
  </si>
  <si>
    <t xml:space="preserve"> edges="-gneE80.0 -gneE80.17 -gneE41 gneE44 -388756838#2 -388756838#1 -388756838#0 42706817#0 386547310 gneE69 -388756838#2 -388756838#1 -388756838#0 -388756839#1 -388756839#0 -194358837#2 -194358837#0 194358838#0 194358838#1 194358838#2 194358838#3 387422145#0 387422145#3 386995499#0 386995499#2 -51155368#13 -51155368#10 -51155368#7 121319040#0 121319040#1 386995507#0 386995507#1 386995507#2 386995507#3 12182281#7 42706837#0 42706837#1 42706837#2 42706837#3 43357814#2 43357814#3 386995526#0 386995526#1 -51050425#4 -51050425#3 -51050425#2 12162659#0 12162659#1 -12175537#4 -12175537#3 -12175537#2 -12175537#1 -50033059#3 -50033059#2 -386995514#7 -12199713#2 12177498 42706833#2 51155368#0 -50033558#5 -50033558#3 -50033558#2 -62105579 -32121234#1 -32121234#0 42706874#0 42706874#2 55179414#0 55179413#0 424769182 -450827405#2 -450827400#2 -450827382 -450827385#1 -450827391#1 -450827381 -450827397#1 12180696#0 59435515#1 59435515#2 59435515#3 59435515#4 424801338#1 12117702#0 12117702#4 12117702#7 -32121146#3 12202008#2.0 12202008#2.171 62646499#2 450827424#0 450827405#0 262962062 -55179413#2 12187610#0 12187610#2 12187610#3 -62105579 12186909#0 12186909#1 12186909#2 51155368#11 42706831#0 42706831#4 42706831#5 42706831#6 32121234#0 32121234#1 32121234#2 50033558#2 50033558#3 50033558#4 50033558#6 50033058#0 386995514#9 386995486#0 32121111#11 -12177521#0 -121319040#0 -51155368#5 -50033558#5 -50033558#3 -12188656 -121319046 -42706825#7 -42706825#4 -42706825#3 -42706825#1 -484953510#2 -484953510#1 -484953510#0 gneE37 gneE38 -12159761#2 -12159761#1 -12159761#0 -194358817#2 -194358817#1 -194358817#0 -386995514#2 -386995514#1 12159500#1 12159500#2 51050030#7 gneE35 -gneE34.0 --gneE83.0"/&gt;</t>
  </si>
  <si>
    <t xml:space="preserve"> edges="-gneE80.0 -gneE80.17 -gneE41 gneE44 -388756838#2 -388756838#1 -388756838#0 42706817#0 386547310 gneE69 -388756838#2 -388756838#1 -388756838#0 -388756839#1 -388756839#0 -194358837#2 -194358837#0 194358838#0 194358838#1 194358838#2 194358838#3 387422145#0 387422145#3 386995499#0 386995499#2 -51155368#13 -51155368#10 -51155368#7 121319040#0 121319040#1 386995507#0 386995507#1 386995507#2 386995507#3 12182281#7 42706837#0 42706837#1 42706837#2 42706837#3 43357814#2 43357814#3 386995526#0 386995526#1 -51050425#4 -51050425#3 -51050425#2 12162659#0 12162659#1 -12175537#4 -12175537#3 -12175537#2 -12175537#1 -50033059#3 -50033059#2 -386995514#7 -12199713#2 12177498 42706833#2 51155368#0 -50033558#5 -50033558#3 -50033558#2 -62105579 -32121234#1 -32121234#0 42706874#0 42706874#2 55179414#0 55179413#0 424769182 -450827405#2 -450827400#2 -450827382 -450827385#1 -450827391#1 -450827381 -450827397#1 12180696#0 59435515#1 59435515#2 59435515#3 59435515#4 424801338#1 12117702#0 12117702#4 12117702#7 -32121146#3 12202008#2.0 12202008#2.171 62646499#2 450827424#0 450827405#0 262962062 -55179413#2 12187610#0 12187610#2 12187610#3 -62105579 12186909#0 12186909#1 12186909#2 51155368#11 42706831#0 42706831#4 42706831#5 42706831#6 32121234#0 32121234#1 32121234#2 50033558#2 50033558#3 50033558#4 50033558#6 50033058#0 386995514#9 386995486#0 32121111#11 -12177521#0 -121319040#0 -51155368#5 -50033558#5 -50033558#3 -12188656 -121319046 -42706825#7 -42706825#4 -42706825#3 -42706825#1 -484953510#2 -484953510#1 -484953510#0 gneE37 gneE38 -12159761#2 -12159761#1 -12159761#0 12114363#0 12114363#1 -50033059#4 12175537#0 12175537#2 12175537#3 12175537#4 12162659#2 12159485 12161358#7 12161358#8 386995507#6 386995507#7 386995521#0 386995521#1 12154359#3 12154359#4 12154359#5 12154359#6 12154359#7 101350669 -386995537 -386995526#1 -386995526#0 -43357814#3 -43357814#2 42706837#4 42706837#5 42706837#6 42706837#7 42706837#8 42706837#9 12172918#0 12172918#1 12172918#2 gneE73 gneE75.0 gneE80.125"/&gt;</t>
  </si>
  <si>
    <t xml:space="preserve"> edges="-gneE80.0 -gneE80.17 -gneE41 gneE44 -388756838#2 -388756838#1 -388756838#0 42706817#0 386547310 gneE69 -388756838#2 -388756838#1 -388756838#0 -388756839#1 -388756839#0 -194358837#2 -194358837#0 194358838#0 194358838#1 194358838#2 194358838#3 387422145#0 387422145#3 386995499#0 386995499#2 -51155368#13 -51155368#10 -51155368#7 121319040#0 121319040#1 386995507#0 386995507#1 386995507#2 386995507#3 12182281#7 42706837#0 42706837#1 42706837#2 42706837#3 43357814#2 43357814#3 386995526#0 386995526#1 -51050425#4 -51050425#3 -51050425#2 12162659#0 12162659#1 -12175537#4 -12175537#3 -12175537#2 -12175537#1 -50033059#3 -50033059#2 -386995514#7 -12199713#2 12177498 42706833#2 51155368#0 -50033558#5 -50033558#3 -50033558#2 -62105579 -32121234#1 -32121234#0 42706874#0 42706874#2 55179414#0 55179413#0 424769182 -450827405#2 -450827400#2 -450827382 -450827385#1 -450827391#1 -450827381 -450827397#1 12180696#0 59435515#1 59435515#2 59435515#3 59435515#4 424801338#1 12117702#0 12117702#4 12117702#7 -32121146#3 12202008#2.0 12202008#2.171 62646499#2 450827424#0 450827405#0 262962062 -55179413#2 12187610#0 12187610#2 12187610#3 -62105579 12186909#0 12186909#1 12186909#2 51155368#11 42706831#0 42706831#4 42706831#5 42706831#6 32121234#0 32121234#1 32121234#2 50033558#2 50033558#3 50033558#4 50033558#6 50033058#0 386995514#9 386995486#0 32121111#11 -12177521#0 -121319040#0 -51155368#5 -50033558#5 -50033558#3 -12188656 -121319046 -42706825#7 -42706825#4 -42706825#3 -42706825#1 -484953510#2 -484953510#1 -484953510#0 gneE37 gneE38 -12159761#2 -12159761#1 -12159761#0 12114363#0 12114363#1 -50033059#4 12175537#0 12175537#2 12175537#3 12175537#4 12162659#2 12159485 12161358#7 12161358#8 386995507#6 386995507#7 386995521#0 386995521#1 12154359#3 12154359#4 12154359#5 12154359#6 12154359#7 101350669 -386995537 -386995526#1 -386995526#0 -43357814#3 12175537#8 12175537#9 12175537#10 12175537#11 12175537#12 12175537#13 12172918#1 12172918#2 gneE73 gneE75.0 gneE80.125"/&gt;</t>
  </si>
  <si>
    <t xml:space="preserve"> edges="-gneE80.0 -gneE80.17 -gneE41 gneE44 -388756838#2 -388756838#1 -388756838#0 42706817#0 386547310 gneE69 -388756838#2 -388756838#1 -388756838#0 -388756839#1 -388756839#0 -194358837#2 -194358837#0 194358838#0 194358838#1 194358838#2 194358838#3 387422145#0 387422145#3 386995499#0 386995499#2 -51155368#13 -51155368#10 -51155368#7 121319040#0 121319040#1 386995507#0 386995507#1 386995507#2 386995507#3 12182281#7 42706837#0 42706837#1 42706837#2 42706837#3 43357814#2 43357814#3 386995526#0 386995526#1 -51050425#4 -51050425#3 -51050425#2 12162659#0 12162659#1 -12175537#4 -12175537#3 -12175537#2 -12175537#1 -50033059#3 -50033059#2 -386995514#7 -12199713#2 12177498 42706833#2 51155368#0 -50033558#5 -50033558#3 -50033558#2 -62105579 -32121234#1 -32121234#0 42706874#0 42706874#2 55179414#0 55179413#0 424769182 -450827405#2 -450827400#2 -450827382 -450827385#1 -450827391#1 -450827381 -450827397#1 12180696#0 59435515#1 59435515#2 59435515#3 59435515#4 424801338#1 12117702#0 12117702#4 12117702#7 -32121146#3 12202008#2.0 12202008#2.171 62646499#2 450827424#0 450827405#0 262962062 -55179413#2 12187610#0 12187610#2 12187610#3 -62105579 12186909#0 12186909#1 12186909#2 51155368#11 42706831#0 42706831#4 42706831#5 42706831#6 32121234#0 32121234#1 32121234#2 50033558#2 50033558#3 50033558#4 50033558#6 50033058#0 386995514#9 386995486#0 32121111#11 -12177521#0 -121319040#0 -51155368#5 -50033558#5 -50033558#3 -12188656 -121319046 -42706825#7 -42706825#4 -42706825#3 -42706825#1 -484953510#2 -484953510#1 -484953510#0 gneE37 gneE38 -12159761#2 -12159761#1 -12159761#0 12114363#0 12114363#1 -50033059#4 12175537#0 12175537#2 12175537#3 12175537#4 12175537#5 12175537#6 12175537#7 -43357814#2 42706837#4 42706837#5 42706837#6 42706837#7 42706837#8 12155177#0 12175537#13 12172918#1 12172918#2 gneE73 gneE75.0 -gneE80.17 -gneE41 gneE44 -388756838#2 -388756838#1 -388756838#0 42706817#0 386547310 gneE69 -388756838#2 -388756838#1 -388756838#0 -388756839#1 -388756839#0 -194358837#2 -194358837#0 194358838#0 194358838#1 194358838#2 386995479#2 310315797#2 12185366#9 387422145#0 -12157718#6 -12157718#4 -12157718#3 -12157718#2 -12157718#1 -12199713#4 386995514#7 -50033059#1 -50033558#8 -51155368#3 121319046 12188656 -50033558#2 12203859#0 12203859#1 42706831#4 42706831#5 42706831#6 42706874#0 42706874#2 12144152#0 12144152#2 450844953#0 450844953#2 450844953#3 450844947#0 388533142#0 388533142#2 388533142#4 62623926#0 62623926#1 450844950#0 12189453#0.0.0 450844982#0.19 62203497#0 62203497#2 62203497#3 12134479#1 34685684#0 34685684#2 388533143#0 388533143#2 12140627#0 63060729#0 -264253834#2 12156992#4 12156992#5 12156992#6 12156992#7 12156992#8 12156992#9 -12114396#5 -12114396#3 -12114396#1 485017383#0 485017382#0 485017382#1 211575484#0 -12177521#3 -12177521#2 -12177521#1 32121111#12 32121111#14 -12187610#5 -12187610#2 -12187610#1 12150608#0 32121146#2 12117702#9 450844953#0 450844953#2 450844953#3 450844947#0 388533142#0 388533142#2 388533142#4 62623926#0 62623926#1 450844950#0 38502259#0.19 450844933#1 196207110#0 196207110#2"/&gt;</t>
  </si>
  <si>
    <t xml:space="preserve"> edges="-gneE80.0 -gneE80.17 -gneE41 gneE44 -388756838#2 -388756838#1 -388756838#0 42706817#0 386547310 gneE69 -388756838#2 -388756838#1 -388756838#0 -388756839#1 -388756839#0 -194358837#2 -194358837#0 194358838#0 194358838#1 194358838#2 194358838#3 387422145#0 387422145#3 386995499#0 386995499#2 -51155368#13 -51155368#10 -51155368#7 121319040#0 121319040#1 386995507#0 386995507#1 386995507#2 386995507#3 12182281#7 42706837#0 42706837#1 42706837#2 42706837#3 43357814#2 43357814#3 386995526#0 386995526#1 -51050425#4 -51050425#3 -51050425#2 12162659#0 12162659#1 -12175537#4 -12175537#3 -12175537#2 -12175537#1 -50033059#3 -50033059#2 -386995514#7 -12199713#2 12177498 42706833#2 51155368#0 -50033558#5 -50033558#3 -50033558#2 -62105579 -32121234#1 -32121234#0 42706874#0 42706874#2 55179414#0 55179413#0 424769182 -450827405#2 -450827400#2 -450827382 -450827385#1 -450827391#1 -450827381 -450827397#1 12180696#0 59435515#1 59435515#2 59435515#3 59435515#4 424801338#1 12117702#0 12117702#4 12117702#7 -32121146#3 12202008#2.0 12202008#2.171 62646499#2 450827424#0 450827405#0 262962062 -55179413#2 12187610#0 12187610#2 12187610#3 -62105579 12186909#0 12186909#1 12186909#2 51155368#11 42706831#0 42706831#4 42706831#5 42706831#6 32121234#0 32121234#1 32121234#2 50033558#2 50033558#3 50033558#4 50033558#6 50033058#0 386995514#9 386995486#0 32121111#11 -12177521#0 -121319040#0 -51155368#5 -50033558#5 -50033558#3 -12188656 -121319046 -42706825#7 -42706825#4 -42706825#3 -42706825#1 -484953510#2 -484953510#1 -484953510#0 gneE37 gneE38 -12159761#2 -12159761#1 -12159761#0 12114363#0 12114363#1 -50033059#4 12175537#0 12175537#2 12175537#3 12175537#4 12175537#5 12175537#6 12175537#7 -43357814#2 42706837#4 42706837#5 42706837#6 42706837#7 42706837#8 12155177#0 12175537#13 12172918#1 12172918#2 gneE73 gneE75.0 gneE80.125"/&gt;</t>
  </si>
  <si>
    <t xml:space="preserve"> edges="-gneE80.0 -gneE80.17 -gneE41 gneE44 -388756838#2 -388756838#1 -388756838#0 42706817#0 386547310 gneE69 -388756838#2 -388756838#1 -388756838#0 -388756839#1 -388756839#0 -194358837#2 -194358837#0 194358838#0 194358838#1 194358838#2 194358838#3 387422145#0 387422145#3 386995499#0 386995499#2 -51155368#13 -51155368#10 -51155368#7 121319040#0 121319040#1 386995507#0 386995507#1 386995507#2 386995507#3 12182281#7 42706837#0 42706837#1 42706837#2 42706837#3 43357814#2 43357814#3 386995526#0 386995526#1 -51050425#4 -51050425#3 -51050425#2 12162659#0 12162659#1 -12175537#4 -12175537#3 -12175537#2 -12175537#1 -50033059#3 -50033059#2 -386995514#7 -12199713#2 12177498 42706833#2 51155368#0 -50033558#5 -50033558#3 -50033558#2 -62105579 -32121234#1 -32121234#0 42706874#0 42706874#2 55179414#0 55179413#0 424769182 -450827405#2 -450827400#2 -450827382 -450827385#1 -450827391#1 -450827381 -450827397#1 12180696#0 59435515#1 59435515#2 59435515#3 59435515#4 424801338#1 12117702#0 12117702#4 12117702#7 -32121146#3 12202008#2.0 12202008#2.171 62646499#2 450827424#0 450827405#0 262962062 -55179413#2 12187610#0 12187610#2 12187610#3 -62105579 12186909#0 12186909#1 12186909#2 51155368#11 42706831#0 42706831#4 42706831#5 42706831#6 32121234#0 32121234#1 32121234#2 50033558#2 50033558#3 50033558#4 50033558#6 50033058#0 386995514#9 386995486#0 32121111#11 -12177521#0 -121319040#0 -51155368#5 -50033558#5 -50033558#3 -12188656 -121319046 -42706825#7 -42706825#4 -42706825#3 -42706825#1 -484953510#2 -484953510#1 -484953510#0 gneE37 gneE38 -12159761#2 -12159761#1 -12159761#0 12114363#0 12114363#1 -50033059#4 12175537#0 12175537#2 12175537#3 12175537#4 12175537#5 12175537#6 12175537#7 12175537#8 12175537#9 12154359#6 386995531#1 12174155#0 -12175537#10 -12175537#9 -12175537#8 -12175537#7 12152013#3 12167232#3 386995531#0 12154359#7 101350669 -386995537 -386995526#1 -386995526#0 -43357814#3 -43357814#2 42706837#4 42706837#5 42706837#6 42706837#7 42706837#8 42706837#9 12172918#0 12172918#1 12172918#2 gneE73 gneE75.0 -gneE80.17 -gneE41 gneE44 -388756838#2 -388756838#1 -388756838#0 42706817#0 386547310 gneE69 -gneE44 gneE41 gneE80.0 gneE80.125"/&gt;</t>
  </si>
  <si>
    <t xml:space="preserve"> edges="-gneE80.0 -gneE80.17 -gneE41 gneE44 -388756838#2 -388756838#1 -388756838#0 42706817#0 386547310 gneE69 -388756838#2 -388756838#1 -388756838#0 -388756839#1 -388756839#0 -194358837#2 -194358837#0 194358838#0 194358838#1 194358838#2 194358838#3 387422145#0 387422145#3 386995499#0 386995499#2 -51155368#13 -51155368#10 -51155368#7 121319040#0 121319040#1 386995507#0 386995507#1 386995507#2 386995507#3 12182281#7 42706837#0 42706837#1 42706837#2 42706837#3 43357814#2 43357814#3 386995526#0 386995526#1 -51050425#4 -51050425#3 -51050425#2 12162659#0 12162659#1 -12175537#4 -12175537#3 -12175537#2 -12175537#1 -50033059#3 -50033059#2 -386995514#7 -12199713#2 12177498 42706833#2 51155368#0 -50033558#5 -50033558#3 -50033558#2 -62105579 -32121234#1 -32121234#0 42706874#0 42706874#2 55179414#0 55179413#0 424769182 -450827405#2 -450827400#2 -450827382 -450827385#1 -450827391#1 -450827381 -450827397#1 12180696#0 59435515#1 59435515#2 59435515#3 59435515#4 424801338#1 12117702#0 12117702#4 12117702#7 -32121146#3 12202008#2.0 12202008#2.171 62646499#2 450827424#0 450827405#0 262962062 -55179413#2 12187610#0 12187610#2 12187610#3 -62105579 12186909#0 12186909#1 12186909#2 51155368#11 42706831#0 42706831#4 42706831#5 42706831#6 32121234#0 32121234#1 32121234#2 50033558#2 50033558#3 50033558#4 50033558#6 50033058#0 386995514#9 386995486#0 32121111#11 -12177521#0 -121319040#0 -51155368#5 -50033558#5 -50033558#3 -12188656 -121319046 -42706825#7 -42706825#4 -42706825#3 -42706825#1 -484953510#2 -484953510#1 -484953510#0 gneE37 gneE38 -12159761#2 -12159761#1 -12159761#0 12114363#0 12114363#1 -50033059#4 12175537#0 12175537#2 12175537#3 12175537#4 12175537#5 12175537#6 12175537#7 12175537#8 12175537#9 12154359#6 386995531#1 12174155#0 -12175537#10 -12175537#9 -12175537#8 -12175537#7 12152013#3 12167232#3 386995531#0 12154359#7 101350669 -386995537 -386995526#1 -386995526#0 -43357814#3 -43357814#2 42706837#4 42706837#5 42706837#6 42706837#7 42706837#8 42706837#9 12172918#0 12172918#1 12172918#2 gneE73 gneE75.0 gneE80.125"/&gt;</t>
  </si>
  <si>
    <t xml:space="preserve"> edges="-gneE80.0 -gneE80.17 -gneE41 gneE44 -388756838#2 -388756838#1 -388756838#0 42706817#0 386547310 gneE69 -388756838#2 -388756838#1 -388756838#0 -388756839#1 -388756839#0 -194358837#2 -194358837#0 194358838#0 194358838#1 194358838#2 194358838#3 387422145#0 387422145#3 386995499#0 386995499#2 42706831#0 42706831#4 42706831#5 42706831#6 42706874#0 42706874#2 -424080769#1 -424769177 -386547298#1 -424080767#1 -424080771#1 -386547297#1 -424080772#2 -424080772#1 -424080761#1 -62623960 62623959#0 386547296#0 386547296#1 424080773#0 -424080768#1 -424080766 -104526265#1 30953497#0 30953497#2 30953497#3 42706585#0 42706585#1 30953320 30953320-AddedOffRampEdge 104526277 30953215#1-AddedOnRampEdge 30953215#1 121643865#0 12110705 50715233#0 50715233#0-AddedOffRampEdge 50715233#1.0 62203285#14.24 30908387 30908366#1-AddedOnRampEdge 30908366#1 121643863 121643862 51758697#0 51758697#1-AddedOnRampEdge 51758697#1 -gneE46.0 43357850.4841.18 gneE46 49887339#0.596 49887339#0-AddedOffRampEdge 49887339#1 49887339#1-AddedOffRampEdge 104524021 104524021-AddedOffRampEdge 50192637#0 50192637#1-AddedOnRampEdge 50192637#1.0.0 50192637#1.0.382.0.0 50192637#1.697 50192637#1-AddedOffRampEdge 30953181#1 30953181#2-AddedOnRampEdge 30953181#2 30953181#3-AddedOnRampEdge 30953181#3 30953181#3-AddedOffRampEdge 30952933#1.0 30952933#1.199"/&gt;</t>
  </si>
  <si>
    <t xml:space="preserve"> edges="-gneE80.0 -gneE80.17 -gneE41 gneE44 -388756838#2 -388756838#1 -388756838#0 42706817#0 386547310 gneE69 -388756838#2 -388756838#1 -388756838#0 -388756839#1 -388756839#0 -194358837#2 -194358837#0 194358838#0 194358838#1 194358838#2 386995479#2 310315797#2 12185366#9 387422145#0 -12157718#6 -12157718#4 -12157718#3 -12157718#2 -12157718#1 -12199713#4 -386995514#6 -386995514#5 -386995514#4 -386995514#3 -386995514#2 -386995514#1 12159500#1 12159500#2 51050030#7 gneE35 -gneE34.0 --gneE83.0"/&gt;</t>
  </si>
  <si>
    <t xml:space="preserve"> edges="-gneE80.0 -gneE80.17 -gneE41 gneE44 -388756838#2 -388756838#1 -388756838#0 42706817#0 386547310 gneE69 -388756838#2 -388756838#1 -388756838#0 -388756839#1 -388756839#0 -194358837#2 -194358837#0 194358838#0 194358838#1 194358838#2 386995479#2 310315797#2 12185366#9 387422145#0 -12157718#6 -12157718#4 -12157718#3 -12157718#2 -12157718#1 -12199713#4 386995514#7 -50033059#1 -50033558#8 -51155368#3 121319046 12188656 -50033558#2 12203859#0 12203859#1 42706831#4 42706831#5 42706831#6 42706874#0 42706874#2 12144152#0 12144152#2 450844953#0 450844953#2 450844953#3 450844947#0 388533142#0 388533142#2 388533142#4 62623926#0 62623926#1 450844950#0 12189453#0.0.0 450844982#0.19 62203497#0 62203497#2 62203497#3 12134479#1 34685684#0 34685684#2 388533143#0 388533143#2 12140627#0 63060729#0 -264253834#2 12156992#4 12156992#5 12156992#6 12156992#7 12156992#8 12156992#9 -12114396#5 -12114396#3 -12114396#1 485017383#0 485017382#0 485017382#1 211575484#0 -12177521#3 -12177521#2 -12177521#1 32121111#12 32121111#14 -12187610#5 -12187610#2 -12187610#1 12150608#0 32121146#2 12117702#9 450844953#0 450844953#2 450844953#3 450844947#0 388533142#0 388533142#2 388533142#4 62623926#0 62623926#1 450844950#0 38502259#0.19 450844933#1 196207110#0 196207110#2"/&gt;</t>
  </si>
  <si>
    <t xml:space="preserve"> edges="-gneE80.0 -gneE80.17 -gneE41 gneE44 -388756838#2 -388756838#1 -388756838#0 42706817#0 386547310 gneE69 -388756838#2 -388756838#1 -388756838#0 -388756839#1 -388756839#0 -194358837#2 -194358837#0 194358838#0 194358838#1 32121111#9 12157718#4 12157718#5 12157718#7 485017376 485017373#0 387422135#0 424769003#0 424769003#1 -30953396#1 -30953396#0 -424769006 -424769005 -424769002 -30953391 -43569848 -393884751 12159702 424764853 12149178#0 50189796 50189564 12149178#2 145605533#0 145605533#1-AddedOnRampEdge 145605533#1 145605511#1-AddedOnRampEdge 145605511#12 145605511#1.148"/&gt;</t>
  </si>
  <si>
    <t xml:space="preserve"> edges="-gneE80.0 -gneE80.17 -gneE41 gneE44 -388756838#2 -388756838#1 -388756838#0 42706817#0 386547310 gneE69 -388756838#2 -388756838#1 -388756838#0 -388756839#1 -388756839#0 -194358837#2 -194358837#0 194358838#0 194358838#1 32121111#9 32121111#10 -386995486#0 -386995514#9 50033058#2 50033058#3 194358837#0 194358837#1 12175533#0 12175533#2 12175533#3 42706825#4 42706825#5 12189876#0 12189876#2 484953509#0 484953509#2 -12175523#1 12134222#0 12134222#2 12134222#3 386547311#11 386547311#13 357338496#0 357338496#2 450695461#0 62646494#0 424801336#0 484842168#0 283621820 -28555309#1 -424801341 -283621822#1 -424801343#1 -424801343#0 49991658 424801340 424801342 386550018#0 386550018#0-AddedOffRampEdge 386550018#1 49991638 -12144161#0 12144161#0 12144161#1 49991657 283621821#1 283621821#1-AddedOffRampEdge 12122485 49991647#2 63060732#0 63060732#1 63060732#2.0 273888488.10 -12122468#1 -12122468#0 -424081469 -424081473 -424081472 -424987520 -30953029#1 -30953029#0 -424987519 170366765 12173391 12123285#0 12123285#1 12123285#2 12176631 424804090#0 424804090#1 12198567#0 12198567#1 12198567#2 12198567#3 12171853#3 12171853#4 12171853#5 12171853#6 132508920#8 132508920#9 132508920#10 132508920#12 132508983#0 132508983#3 132508983#5 132508740#0 132508740#2 -12165829#1 132508646#0 132508646#2 132508646#3 394179820#0 394179820#1 394179820#2 394179820#3 450844975 450844970#0 196355332#0 450844979#0.0 450844982#0.19 62203497#0 62203497#2 62203497#3 12134479#1 34685684#0 34685684#2 388533143#0 388533143#2 12140627#0 63060729#0 -264253834#2 12156992#4 12156992#5 12156992#6 12156992#7 12156992#8 12156992#9 -12114396#5 -12114396#3 -12114396#1 485017383#0 485017382#0 485017382#1 211575484#0 -12177521#3 -12177521#2 -12177521#1 32121111#12 32121111#14 -12187610#5 -12187610#2 -12187610#1 12150608#0 32121146#2 12117702#9 450844953#0 450844953#2 450844953#3 450844947#0 388533142#0 388533142#2 388533142#4 62623926#0 62623926#1 450844950#0 38502259#0.19 450844933#1 196207110#0 196207110#2"/&gt;</t>
  </si>
  <si>
    <t xml:space="preserve"> edges="-gneE80.0 -gneE80.17 -gneE41 gneE44 -388756838#2 -388756838#1 -388756838#0 42706817#0 386547310 gneE69 -388756838#2 -388756838#1 -388756838#0 -388756839#1 -388756839#0 -194358837#2 -194358837#0 194358838#0 194358838#1 32121111#9 32121111#10 -386995486#0 -386995514#9 50033058#2 50033058#3 194358837#0 194358837#1 12175533#0 12175533#2 12175533#3 42706825#4 42706825#5 12189876#0 12189876#2 484953509#0 484953509#2 -12175523#1 12134222#0 12134222#2 12134222#3 386547311#11 386547311#13 357338496#0 357338496#2 450695461#0 62646494#0 424801336#0 484842168#0 283621820 -28555309#1 -424801341 -283621822#1 -424801343#1 -424801343#0 49991658 424801340 424801342 386550018#0 386550018#0-AddedOffRampEdge 386550018#1 49991638 -12144161#0 12144161#0 12144161#1 49991657 283621821#1 283621821#1-AddedOffRampEdge 12122485 49991647#2 63060732#0 63060732#1 63060732#2.0 273888488.10 -12122468#1 -12122468#0 -424081469 -424081473 -424081472 -424987520 -30953029#1 -30953029#0 -424987519 170366765 12173391 12123285#0 170366766 -170366765 170366768 30953029#0 30953029#1 424987520 424081472 424081473 424081470 12122468#0 12122468#1 273888485.0 50033027 -50033029 50033050#0 50033055 63060727 50033029 50033028#0 50033028#3 50033028#5 50033028#6 49991646 386547300#0 283621823 386547301-AddedOnRampEdge 386547301 424801344#0 424801343#1 283621822#0 424801341 28555309#0 49991649#0 424986163#0 51049946#0 424801337#0 357338497#0 357338497#2 450695460#0 62646499#0 62646499#2 450827424#0 62646508#0 62646508#2 424799820 424799823#0 50033059#0 50033059#2 50033059#3 50033059#4 388756839#0 388756839#1 388756838#0 12136923#0 386547309#0 386547309#2 386547309#3 386547309#5 386547309#7 51050030#4 51050030#7 gneE35 -gneE34.0 --gneE83.0"/&gt;</t>
  </si>
  <si>
    <t xml:space="preserve"> edges="-gneE80.0 -gneE80.17 -gneE41 gneE44 -388756838#2 -388756838#1 -388756838#0 42706817#0 386547310 gneE69 -388756838#2 -388756838#1 -388756838#0 -388756839#1 -388756839#0 -194358837#2 -194358837#0 194358838#0 194358838#1 32121111#9 32121111#10 -386995486#0 -386995514#9 50033058#2 50033058#3 194358837#0 194358837#1 12175533#0 12175533#2 12175533#3 42706825#4 42706825#5 12189876#0 12189876#2 484953509#0 484953509#2 -12175523#1 12134222#0 12134222#2 12134222#3 386547311#11 386547311#13 357338496#0 357338496#2 450695461#0 62646494#0 424801336#0 484842168#0 283621820 -28555309#1 -424801341 -283621822#1 -424801343#1 -424801343#0 49991658 424801340 424801342 386550018#0 386550018#0-AddedOffRampEdge 386550018#1 49991638 -12144161#0 12144161#0 12144161#1 49991657 283621821#1 283621821#1-AddedOffRampEdge 283621821#2 49991647#1 49991647#2 63060732#0 63060732#1 63060732#2.0 63060732#2.116 50033027 -50033029 50033050#0 50033050#2 424799828 424799825 424799826 -12168663#6 -484953513#2 484842168#0 283621820 -28555309#1 -424801341 -283621822#1 -424801343#1 -424801343#0 49991658 424801340 424801342 386550018#0 386550018#0-AddedOffRampEdge 386550018#1 49991638 -12144161#0 12144161#0 12144161#1 49991657 283621821#1 283621821#1-AddedOffRampEdge 12122485 49991647#2 63060732#0 63060732#1 63060732#2.0 273888488.10 -12122468#1 -12122468#0 -424081469 -424081473 -424081472 -424987520 -30953029#1 -30953029#0 -424987519 170366765 12173391 12123285#0 170366766 -170366765 170366768 30953029#0 30953029#1 424987520 424081472 424081473 424081470 12122468#0 12122468#1 273888485.0 50033027 -50033029 50033050#0 50033055 63060727 50033029 50033028#0 50033028#3 50033028#5 50033028#6 49991646 386547300#0 283621823 386547301-AddedOnRampEdge 386547301 424801344#0 424801343#1 283621822#0 424801341 28555309#0 49991649#0 424986163#0 51049946#0 424801337#0 357338497#0 357338497#2 450695460#0 62646499#0 62646499#2 450827424#0 62646508#0 62646508#2 424799820 424799823#0 50033059#0 50033059#2 50033059#3 50033059#4 388756839#0 388756839#1 388756838#0 12136923#0 386547309#0 386547309#2 386547309#3 386547309#5 386547309#7 51050030#4 51050030#7 gneE35 -gneE34.0 --gneE83.0"/&gt;</t>
  </si>
  <si>
    <t xml:space="preserve"> edges="-gneE80.0 -gneE80.17 -gneE41 gneE44 -388756838#2 -388756838#1 -388756838#0 42706817#0 386547310 gneE69 -388756838#2 -388756838#1 -388756838#0 -388756839#1 -388756839#0 -194358837#2 -194358837#0 194358838#0 194358838#1 32121111#9 32121111#10 -386995486#0 -386995514#9 50033058#2 50033058#3 194358837#0 194358837#1 12175533#0 12175533#2 12175533#3 42706825#4 42706825#5 12189876#0 12189876#2 484953509#0 484953509#2 -12175523#1 12134222#0 12134222#2 12134222#3 386547311#11 386547311#13 357338496#0 357338496#2 450695461#0 62646494#0 424801336#0 484842168#0 283621820 -28555309#1 -424801341 -283621822#1 -424801343#1 -424801343#0 49991658 424801340 424801342 386550018#0 386550018#0-AddedOffRampEdge 386550018#1 49991638 -12144161#0 12144161#0 12144161#1 49991657 283621821#1 283621821#1-AddedOffRampEdge 283621821#2 49991647#1 49991647#2 63060732#0 63060732#1 63060732#2.0 63060732#2.116 50033027 -50033029 50033050#0 50033050#2 424799828 424799825 424799826 50033054 63060727 50033029 50033028#0 50033028#3 50033028#5 50033028#6 49991646 386547300#0 283621823 386547301-AddedOnRampEdge 386547301 424801344#0 424801343#1 283621822#0 424801341 28555309#0 49991649#0 424986163#0 51049946#0 424801337#0 357338497#0 357338497#2 450695460#0 62646499#0 62646499#2 450827424#0 62646508#0 62646508#2 424799820 424799823#0 50033059#0 50033059#2 50033059#3 50033059#4 388756839#0 388756839#1 388756838#0 12136923#0 386547309#0 386547309#2 386547309#3 386547309#5 386547309#7 51050030#4 51050030#7 gneE35 -gneE34.0 --gneE83.0"/&gt;</t>
  </si>
  <si>
    <t xml:space="preserve"> edges="-gneE80.0 -gneE80.17 -gneE41 gneE44 -388756838#2 -388756838#1 -388756838#0 42706817#0 386547310 gneE69 -gneE44 gneE41 254666172#0 -386995551 -386995537 -386995526#1 -386995526#0 -43357814#3 12175537#8 12175537#9 12154359#6 386995531#1 12174155#0 -12175537#10 -12175537#9 -12175537#8 -12175537#7 12152013#3 12167232#3 386995531#0 12154359#7 101350669 -386995537 -386995526#1 -386995526#0 -43357814#3 12175537#8 12175537#9 12154359#6 386995531#1 386995531#2 387422150#2 12175537#12 12155177#1 386995531#4 12172918#2 gneE73 gneE75.0 -gneE80.17 -gneE41 gneE44 -388756838#2 -388756838#1 -388756838#0 42706817#0 386547310 gneE69 -gneE44 gneE41 gneE80.0 gneE80.125"/&gt;</t>
  </si>
  <si>
    <t xml:space="preserve"> edges="-gneE80.0 -gneE80.17 -gneE41 gneE44 -388756838#2 -388756838#1 -388756838#0 42706817#0 386547310 gneE69 -gneE44 gneE41 254666172#0 -386995551 -386995537 -386995526#1 -386995526#0 -43357814#3 12175537#8 12175537#9 12154359#6 386995531#1 12174155#0 -12175537#10 -12175537#9 -12175537#8 -12175537#7 12152013#3 12167232#3 386995531#0 12154359#7 101350669 -386995537 -386995526#1 -386995526#0 -43357814#3 12175537#8 12175537#9 12154359#6 386995531#1 386995531#2 387422150#2 12175537#12 12155177#1 386995531#4 12172918#2 gneE73 gneE75.0 gneE80.125"/&gt;</t>
  </si>
  <si>
    <t xml:space="preserve"> edges="-gneE80.0 -gneE80.17 -gneE41 gneE44 -388756838#2 -388756838#1 -388756838#0 42706817#0 386547310 gneE69 -gneE44 gneE41 254666172#0 -386995551 -386995537 -386995526#1 -386995526#0 -43357814#3 12175537#8 12175537#9 12154359#6 386995531#1 12174155#0 -12175537#10 -12175537#9 -12175537#8 -12175537#7 12152013#3 12167232#3 386995531#0 12154359#7 101350669 -386995537 -386995526#1 -386995526#0 -43357814#3 12175537#8 12175537#9 12175537#10 12175537#11 12175537#12 12175537#13 12172918#1 12172918#2 gneE73 gneE75.0 gneE80.125"/&gt;</t>
  </si>
  <si>
    <t xml:space="preserve"> edges="-gneE80.0 -gneE80.17 -gneE41 gneE44 -388756838#2 -388756838#1 -388756838#0 42706817#0 386547310 gneE69 -gneE44 gneE41 254666172#0 -386995551 -386995537 -386995526#1 -386995526#0 -43357814#3 12175537#8 12175537#9 12175537#10 12175537#11 12175537#12 12155177#1 386995531#4 12172918#2 gneE73 gneE75.0 gneE80.125"/&gt;</t>
  </si>
  <si>
    <t xml:space="preserve"> edges="-gneE80.0 -gneE80.17 -gneE41 gneE44 -388756838#2 -388756838#1 -388756838#0 42706817#0 386547310 gneE69 -gneE44 gneE41 254666172#0 -386995551 -386995537 -386995526#1 -386995526#0 -43357814#3 12175537#8 12175537#9 12175537#10 12175537#11 12175537#12 12175537#13 12172918#1 12172918#2 gneE73 gneE75.0 gneE80.125"/&gt;</t>
  </si>
  <si>
    <t xml:space="preserve"> edges="-gneE80.0 -gneE80.17 -gneE41 gneE44 -388756838#2 -388756838#1 -388756838#0 42706817#0 386547310 gneE69 -gneE44 gneE41 254666172#0 387422150#0 387422150#1 387422150#2 12175537#12 12155177#1 386995531#4 12172918#2 gneE73 gneE75.0 -gneE80.17 -gneE41 gneE44 -388756838#2 -388756838#1 -388756838#0 42706817#0 386547310 gneE69 -gneE44 gneE41 gneE80.0 gneE80.125"/&gt;</t>
  </si>
  <si>
    <t xml:space="preserve"> edges="-gneE80.0 -gneE80.17 -gneE41 gneE44 -388756838#2 -388756838#1 -388756838#0 42706817#0 386547310 gneE69 -gneE44 gneE41 254666172#0 387422153#0 387422153#1 gneE73 gneE75.0 -gneE80.17 -gneE41 gneE44 -388756838#2 -388756838#1 -388756838#0 42706817#0 386547310 gneE69 -388756838#2 -388756838#1 -388756838#0 -388756839#1 -388756839#0 -194358837#2 -194358837#0 194358838#0 194358838#1 194358838#2 386995479#2 310315797#2 12185366#9 387422145#0 -12157718#6 -12157718#4 -12157718#3 -12157718#2 -12157718#1 -12199713#4 -386995514#6 -386995514#5 -386995514#4 -386995514#3 -386995514#2 -386995514#1 12159500#1 12159500#2 51050030#7 gneE35 -gneE34.0 --gneE83.0"/&gt;</t>
  </si>
  <si>
    <t xml:space="preserve"> edges="-gneE80.0 -gneE80.17 -gneE41 gneE44 -388756838#2 -388756838#1 -388756838#0 42706817#0 386547310 gneE69 -gneE44 gneE41 254666172#0 387422153#0 387422153#1 gneE73 gneE75.0 -gneE80.17 -gneE41 gneE44 -388756838#2 -388756838#1 -388756838#0 42706817#0 386547310 gneE69 -gneE44 gneE41 gneE80.0 gneE80.125"/&gt;</t>
  </si>
  <si>
    <t xml:space="preserve"> edges="-gneE80.0 -gneE80.17 -gneE41 gneE44 -388756838#2 -388756838#1 -388756838#0 42706817#0 386547310 gneE69 -gneE44 gneE41 254666172#0 387422153#0 387422153#1 gneE73 gneE75.0 gneE80.125"/&gt;</t>
  </si>
  <si>
    <t xml:space="preserve"> edges="-gneE80.0 -gneE80.17 -gneE41 gneE44 -388756838#2 -388756838#1 -388756838#0 42706817#0 386547310 gneE69 -gneE44 gneE41 gneE80.0 gneE80.125"/&gt;</t>
  </si>
  <si>
    <t xml:space="preserve"> edges="-gneE80.0 -gneE80.17 254666172#0 387422153#0 387422153#1 gneE73 gneE75.0 gneE80.125"/&gt;</t>
  </si>
  <si>
    <t xml:space="preserve"> edges="195815883#2 195815883#3 394179820#4 196355327#1 196355327#2 196355327#5 -196393940#0"/&gt;</t>
  </si>
  <si>
    <t xml:space="preserve"> edges="195815883#2 195815883#3 394179820#4 196355327#1 196355327#2 196355327#5 62203285#0 62203285#2 62203285#3 62203285#5 42706664#7 42706664#8 12186741#4 12186741#5 -196393940#2 -196393940#0"/&gt;</t>
  </si>
  <si>
    <t xml:space="preserve"> edges="195815883#2 195815883#3 394179820#4 196355327#1 196355327#2 196355327#5 62203285#0 62203285#2 62203285#3 62203285#5 62203285#6 62203285#7 62203286#0 -12142298#1 -12142298#0 42706664#8 12186741#4 12186741#5 -196393940#2 -196393940#0"/&gt;</t>
  </si>
  <si>
    <t xml:space="preserve"> edges="195815883#2 195815883#3 450844975 450844970#0 196355332#0 450844979#0.0 12114109#0.45.0 38502259#0.19 450844933#1 196207115#0 196207115#2 196207115#3 196355332#0 450844979#0.0 450844982#0.19 62203497#0 62203497#2 62203497#3 12134479#1 34685684#0 34685684#2 388533143#0 388533143#2 12140627#0 63060729#0 -264253834#2 12156992#4 12156992#5 12156992#6 12156992#7 12156992#8 12156992#9 -12114396#5 -12114396#3 -12114396#1 485017383#0 485017382#0 485017382#1 211575484#0 -12177521#3 -12177521#2 -12177521#1 32121111#12 32121111#14 -12187610#5 -12187610#2 -12187610#1 12150608#0 32121146#2 12117702#9 450844953#0 450844953#2 450844953#3 450844947#0 388533142#0 388533142#2 388533142#4 62623926#0 62623926#1 450844950#0 38502259#0.19 450844933#1 196207110#0 196207110#2"/&gt;</t>
  </si>
  <si>
    <t xml:space="preserve"> edges="195815883#2 195815883#3 450844975 450844970#0 196355332#0 450844979#0.0 12114109#0.45.0 38502259#0.19 450844933#1 196207115#0 196207115#2 43538931#0 43538931#1 -43538931#1 -43538931#0 196207115#3 196355332#0 450844979#0.0 450844982#0.19 62203497#0 62203497#2 62203497#3 12134479#1 34685684#0 34685684#2 388533143#0 388533143#2 12140627#0 63060729#0 -264253834#2 12156992#4 12156992#5 12156992#6 12156992#7 12156992#8 12156992#9 -12114396#5 -12114396#3 -12114396#1 485017383#0 485017382#0 485017382#1 211575484#0 -12177521#3 -12177521#2 -12177521#1 32121111#12 32121111#14 -12187610#5 -12187610#2 -12187610#1 12150608#0 32121146#2 12117702#9 450844953#0 450844953#2 450844953#3 450844947#0 388533142#0 388533142#2 388533142#4 62623926#0 62623926#1 450844950#0 38502259#0.19 450844933#1 196207110#0 196207110#2"/&gt;</t>
  </si>
  <si>
    <t xml:space="preserve"> edges="195815883#2 195815883#3 450844975 450844970#0 196355332#0 450844979#0.0 12114109#0.45.0 38502259#0.19 450844933#1 196207115#0 196207115#2 43538931#0 43538931#1 -43538931#1 -43538931#0 196207115#3 196355332#0 450844979#0.0 450844982#0.19 62203497#0 62203497#2 62203497#3 12134479#1 34685684#0 34685684#2 450844947#0 388533142#0 388533142#2 388533142#4 62623926#0 62623926#1 450844950#0 12189453#0.0.0 450844982#0.19 62203497#0 62203497#2 62203497#3 12134479#1 34685684#0 34685684#2 388533143#0 388533143#2 12140627#0 63060729#0 -264253834#2 12156992#4 12156992#5 12156992#6 12156992#7 12156992#8 12156992#9 484953505 12148522#0 485017381#0 485017381#1 -30953396#1 -30953396#0 -424769006 -424769005 -424769002 -30953391 -43569848 -393884751 12159702 424764853 12149178#0 50189796 50189564 12149178#2 145605533#0 145605533#1-AddedOnRampEdge 145605533#1 145605511#1-AddedOnRampEdge 145605511#12 145605511#1.148"/&gt;</t>
  </si>
  <si>
    <t xml:space="preserve"> edges="195815883#2 195815883#3 450844975 450844970#0 196355332#0 450844979#0.0 12114109#0.45.0 38502259#0.19 450844933#1 196207115#0 196207115#2 43538931#0 43538931#1 32118649#4 32118649#5 32118649#6 132508646#0 132508646#2 132508646#3 196355310#0 196355310#1 12150213#8 12150213#9 12150213#10 12150213#11 173543402#8 173543402#9 132508983#0 132508983#3 132508734#3 132508734#4 132508734#5 132508734#6 132508734#7 132508734#8 132508734#9 193223837#3 12142729#6 12142729#7 196355307#1 196393937 -132508530 -310296140#9 -310296140#8 -310296140#7 -310296140#6 -310296140#5 -310296140#4 -310296140#2 -310296140#1 459461788#11 459461788#12 459461788#13 459461788#14 459461788#15 -170366767#4 -170366767#3 -170366767#2 -170366767#0 -12173391 -170366765 170366768 30953029#0 30953029#1 424987520 424081472 424081473 424081470 12122468#0 12122468#1 273888485.0 50033027 -50033029 50033050#0 50033055 63060727 50033029 50033028#0 50033028#3 50033028#5 50033028#6 49991646 386547300#0 283621823 386547301-AddedOnRampEdge 386547301 424801344#0 424801343#1 283621822#0 424801341 28555309#0 49991649#0 424986163#0 51049946#0 424801337#0 357338497#0 357338497#2 450695460#0 62646499#0 62646499#2 450827424#0 62646508#0 62646508#2 424799820 424799823#0 50033059#0 50033059#2 50033059#3 50033059#4 388756839#0 388756839#1 388756838#0 12136923#0 386547309#0 386547309#2 386547309#3 386547309#5 386547309#7 51050030#4 51050030#7 gneE35 -gneE34.0 --gneE83.0"/&gt;</t>
  </si>
  <si>
    <t xml:space="preserve"> edges="196393940#0 62203285#0 62203285#2 62203285#3 62203285#5 42706664#7 12142298#0 12142298#1 62203286#2 12186741#2 12186741#4 12186741#5 12142723#0 12142723#3 12142723#4 12187745 32118649#2 32118649#3 -43538931#1 -43538931#0 196207115#3 196355332#0 450844979#0.0 450844982#0.19 62203497#0 62203497#2 62203497#3 12134479#1 34685684#0 34685684#2 388533143#0 388533143#2 12140627#0 63060729#0 -264253834#2 12156992#4 12156992#5 12156992#6 12156992#7 12156992#8 12156992#9 -12114396#5 -12114396#3 -12114396#1 485017383#0 485017382#0 485017382#1 211575484#0 -12177521#3 -12177521#2 -12177521#1 32121111#12 32121111#14 -12187610#5 -12187610#2 -12187610#1 12150608#0 32121146#2 12117702#9 450844953#0 450844953#2 450844953#3 450844947#0 388533142#0 388533142#2 388533142#4 62623926#0 62623926#1 450844950#0 38502259#0.19 450844933#1 196207110#0 196207110#2"/&gt;</t>
  </si>
  <si>
    <t xml:space="preserve"> edges="196393940#0 62203285#0 62203285#2 62203285#3 62203285#5 42706664#7 42706664#8 12186741#4 12186741#5 -196393940#2 -196393940#0"/&gt;</t>
  </si>
  <si>
    <t xml:space="preserve"> edges="196393940#0 62203285#0 62203285#2 62203285#3 62203285#5 42706664#7 42706664#8 12186741#4 12186741#5 12142723#0 12142723#3 12142723#4 12187745 -12187745 12142723#5 196207110#0 196207110#2"/&gt;</t>
  </si>
  <si>
    <t xml:space="preserve"> edges="196393940#0 62203285#0 62203285#2 62203285#3 62203285#5 42706664#7 42706664#8 12186741#4 12186741#5 12142723#0 12142723#3 12142723#4 12187745 32118649#2 32118649#3 -43538931#1 -43538931#0 196207115#3 196355332#0 450844979#0.0 450844982#0.19 62203497#0 62203497#2 62203497#3 12134479#1 34685684#0 34685684#2 450844947#0 388533142#0 388533142#2 388533142#4 62623926#0 62623926#1 450844950#0 12189453#0.0.0 450844982#0.19 62203497#0 62203497#2 62203497#3 12134479#1 34685684#0 34685684#2 388533143#0 388533143#2 12140627#0 63060729#0 -264253834#2 12156992#4 12156992#5 12156992#6 12156992#7 12156992#8 12156992#9 484953505 12148522#0 485017381#0 485017381#1 -30953396#1 -30953396#0 -424769006 -424769005 -424769002 -30953391 -43569848 -393884751 12159702 424764853 12149178#0 50189796 50189564 12149178#2 145605533#0 145605533#1-AddedOnRampEdge 145605533#1 145605511#1-AddedOnRampEdge 145605511#12 145605511#1.148"/&gt;</t>
  </si>
  <si>
    <t xml:space="preserve"> edges="196393940#0 62203285#0 62203285#2 62203285#3 62203285#5 42706664#7 42706664#8 12186741#4 12186741#5 196207112#0 32122059#1 424080774 262962068#0.0 104526265#0.14 424080766 424080768#0 104523976#1 262962063 12189051#0 -12189051#1 424080770#0 424080772#0 12119506#0 -12156992#1 -386547297#1 -424080772#2 -424080772#1 -424080761#1 -62623960 62623959#0 386547296#0 386547296#1 424080773#0 279870839#0 279870839#2 450844960#0 62623926#1 450844950#0 38502259#0.19 450844933#1 196207115#0 196207115#2 196207115#3 196355332#0 450844979#0.0 450844982#0.19 62203497#0 62203497#2 62203497#3 12134479#1 34685684#0 34685684#2 388533143#0 388533143#2 12140627#0 63060729#0 -264253834#2 12156992#4 12156992#5 12156992#6 12156992#7 12156992#8 12156992#9 -12114396#5 -12114396#3 -12114396#1 485017383#0 485017382#0 485017382#1 211575484#0 -12177521#3 -12177521#2 -12177521#1 32121111#12 32121111#14 -12187610#5 -12187610#2 -12187610#1 12150608#0 32121146#2 12117702#9 450844953#0 450844953#2 450844953#3 450844947#0 388533142#0 388533142#2 388533142#4 62623926#0 62623926#1 450844950#0 38502259#0.19 450844933#1 196207110#0 196207110#2"/&gt;</t>
  </si>
  <si>
    <t xml:space="preserve"> edges="196393940#0 62203285#0 62203285#2 62203285#3 62203285#5 62203285#6 62203285#7 62203285#8 62203285#9 62203285#10 62203285#11 62203285#13 62203285#14.0 62203285#14.24 gneE59.30.0.55 gneE59.30.0.0 43539373#0.0.292.17 gneE58 gneE56 gneE54.0 62203360#0 291433361#0 132508433.0 -gneE6.0 gneE6.0 424765883 43539378#0.15 132508717#5 196393974#0 49914077 424767578 387422130#1 132508717#0 12149210#1 12151897#1 196393941#6 196393941#7 196393941#8 gneE87 196393974#0 388756841#0 49914076#0 12159673#0 12159673#1 393884751 43569848 30953391 12113092 51758697#1-AddedOnRampEdge 51758697#1"/&gt;</t>
  </si>
  <si>
    <t xml:space="preserve"> edges="196393940#0 62203285#0 62203285#2 62203285#3 62203285#5 62203285#6 62203285#7 62203285#8 62203285#9 62203285#10 62203285#11 62203285#13 62203285#14.0 62203285#14.24 gneE59.30.0.55 gneE59.30.0.0 gneE59.0.0 gneE59.0.12 62203360#0 291433361#0 132508433.0 -gneE6.0 gneE81.299.0 gneE81.299.79 gneE81.299.145 -gneE8 12154353#0 196393941#1 196393941#2 28533986 43539369#2 12178843#2 12178843#3 49960982#2 43569828#0 387422128#1 43569827#0 43569827#1 43569827#2 43569827#7 43569848 30953391 424769002 424769005 424769006 424769004 30953396#1 387422132#0 387422132#1 486653633#0 484953506#3 484953506#4 12157002#0 12157002#1 12157002#3 12157002#5 12114396#4 -12156992#10 -12156992#8 -12156992#7 -12156992#6 -12156992#5 -12156992#4 -12156992#3 -12156992#2 -12156992#1 -386547297#1 -424080772#2 -424080772#1 -262962065#1 -262962063 -424080764 -424080768#1 -424080766 -104526265#1 30953497#0 30953497#2 30953497#3 42706585#0 42706585#1 30953320 30953320-AddedOffRampEdge 104526277 30953215#1-AddedOnRampEdge 30953215#1 121643865#0 12110705 50715233#0 50715233#0-AddedOffRampEdge 50715233#1.0 62203285#14.24 gneE59.30.0.55 gneE59.30.0.0 43539373#0.0.292.17 gneE58 gneE56 gneE54.0 62203360#0 291433361#0 132508433.0 -gneE6.0 gneE6.0 424765883 43539378#0.15 132508717#5 196393974#0 49914077 424767578 387422130#1 132508717#0 12149210#1 12151897#1 196393941#6 196393941#7 196393941#8 gneE87 196393974#0 388756841#0 49914076#0 12159673#0 12159673#1 393884751 43569848 30953391 12113092 51758697#1-AddedOnRampEdge 51758697#1"/&gt;</t>
  </si>
  <si>
    <t xml:space="preserve"> edges="196393940#0 62203285#0 62203285#2 62203285#3 62203285#5 62203285#6 62203285#7 62203285#8 62203285#9 62203285#10 62203285#11 62203285#13 62203285#14.0 62203285#14.24 gneE59.30.0.55 gneE59.30.0.0 gneE59.0.0 gneE59.0.12 62203360#0 291433361#0 132508433.0 -gneE6.0 gneE81.299.0 gneE81.299.79 gneE81.299.145 -gneE8 12154353#0 196393941#1 196393941#2 28533986 43539369#2 12178843#2 12178843#3 49960982#2 43569828#0 387422128#1 43569827#0 43569827#1 43569827#2 43569827#7 43569848 30953391 424769002 424769005 424769006 424769004 30953396#1 387422132#0 387422132#1 486653633#0 484953506#3 484953506#4 12157002#0 12157002#1 12157002#3 12157002#5 12114396#4 -12156992#10 -12156992#8 -12156992#7 -12156992#6 -12156992#5 -12156992#4 -12156992#3 -12156992#2 -12156992#1 -386547297#1 -424080772#2 -424080772#1 -262962065#1 -262962063 -424080764 -424080768#1 -424080766 -104526265#1 30953497#0 30953497#2 30953497#3 42706585#0 42706585#1 30953320 30953320-AddedOffRampEdge 104526277 30953215#1-AddedOnRampEdge 30953215#1 121643865#0 12110705 50715233#0 50715233#0-AddedOffRampEdge 50715233#1.0 62203285#14.24 gneE59.30.0.55 gneE59.30.0.0 43539373#0.0.292.17 gneE58 gneE56 gneE54.0 62203360#0 291433361#0 132508433.0 -gneE6.0 gneE6.0 424765883 43570920#0.22 132508717#4 43539378#1 43569848 30953391 12113092 51758697#1-AddedOnRampEdge 51758697#1"/&gt;</t>
  </si>
  <si>
    <t xml:space="preserve"> edges="196393940#0 62203285#0 62203285#2 62203285#3 62203285#5 62203285#6 62203285#7 62203285#8 62203285#9 62203285#10 62203285#11 62203285#13 62203285#14.0 62203285#14.24 gneE59.30.0.55 gneE59.30.0.0 gneE59.0.0 gneE59.0.12 62203360#0 291433361#0 132508433.0 -gneE6.0 gneE81.299.0 gneE81.299.79 gneE81.299.145 -gneE8 12154353#0 196393941#1 196393941#2 28533986 43539369#2 12178843#2 12178843#3 49960982#2 43569828#0 387422128#1 43569827#0 43569827#1 43569827#2 43569827#7 43569848 30953391 424769002 424769005 424769006 424769004 30953396#1 387422132#0 387422132#1 486653633#0 484953506#3 484953506#4 12157002#0 12157002#1 12157002#3 12157002#5 12114396#4 -12156992#10 -12156992#8 -12156992#7 -12156992#6 -12156992#5 -12156992#4 -12156992#3 -12156992#2 -12156992#1 -386547297#1 -424080772#2 -424080772#1 -262962065#1 -262962063 -424080764 -424080768#1 -424080766 -104526265#1 30953497#0 30953497#2 30953497#3 42706585#0 42706585#1 30953320 30953320-AddedOffRampEdge 104526277 30953215#1-AddedOnRampEdge 30953215#1 121643865#0 12110705 50715233#0 50715233#0-AddedOffRampEdge 50715233#1.0 62203285#14.24 gneE59.30.0.55 gneE59.30.0.0 gneE59.0.0 gneE59.0.12 62203360#0 12159135 12149408#0 49914077 424767578 43569819 387422128#1 43569827#0 43569827#1 43569827#2 43569827#7 43569848 30953391 424769002 424769005 424769006 424769004 30953396#1 -424769003#1 -424769003#0 -485017374 42706828#0 42706828#2 12182281#0 12182281#3 12182281#5 12182281#6 386995507#4 386995507#5 386995507#6 12152013#1 12152013#2 -12175537#6 -12175537#5 -12175537#4 12182281#9 12182281#10 -388756839#1 -388756839#0 -50033059#4 -50033059#3 -50033059#2 -50033059#1 42706833#0 42706833#2 12189876#0 12189876#2 484953508#1 60185970#0 60185970#2 12149571#1 12187610#3 50033558#2 -12188656 -121319046 -42706825#7 12199713#0 12199713#1 -386995514#6 -386995514#5 -386995514#4 -386995514#3 194358817#0 194358817#1 194358817#2 12114363#0 12114363#1 -50033059#4 12175537#0 12175537#2 12175537#3 12175537#4 12175537#5 12175537#6 12175537#7 12175537#8 12175537#9 12175537#10 12175537#11 12175537#12 12155177#1 12155177#2 387422153#1 gneE73 gneE75.0 gneE80.125"/&gt;</t>
  </si>
  <si>
    <t xml:space="preserve"> edges="196393940#0 62203285#0 62203285#2 62203285#3 62203285#5 62203285#6 62203285#7 62203286#0 -12142298#1 -12142298#0 42706664#8 12186741#4 12186741#5 12142723#0 12142723#3 12142723#4 12142723#5 196207110#0 196207110#2"/&gt;</t>
  </si>
  <si>
    <t xml:space="preserve"> edges="196393940#0 62203285#0 62203285#2 62203285#3 62203285#5 62203285#6 62203285#7 62203286#0 -12142298#1 -12142298#0 42706664#8 12186741#4 12186741#5 12142723#0 12142723#3 12142723#4 12187745 -12187745 12142723#5 196207110#0 196207110#2"/&gt;</t>
  </si>
  <si>
    <t xml:space="preserve"> edges="196393940#0 62203285#0 62203285#2 62203285#3 62203285#5 62203285#6 62203285#7 62203286#0 -12142298#1 -12142298#0 42706664#8 12186741#4 12186741#5 12142723#0 12142723#3 12142723#4 12187745 32118649#2 32118649#3 -43538931#1 -43538931#0 196207115#3 196355332#0 450844979#0.0 450844982#0.19 62203497#0 62203497#2 62203497#3 12134479#1 34685684#0 34685684#2 388533143#0 388533143#2 12140627#0 63060729#0 -264253834#2 12156992#4 12156992#5 12156992#6 12156992#7 12156992#8 12156992#9 -12114396#5 -12114396#3 -12114396#1 485017383#0 485017382#0 485017382#1 211575484#0 -12177521#3 -12177521#2 -12177521#1 32121111#12 32121111#14 -12187610#5 -12187610#2 -12187610#1 12150608#0 32121146#2 12117702#9 450844953#0 450844953#2 450844953#3 450844947#0 388533142#0 388533142#2 388533142#4 62623926#0 62623926#1 450844950#0 38502259#0.19 450844933#1 196207110#0 196207110#2"/&gt;</t>
  </si>
  <si>
    <t xml:space="preserve"> edges="196393940#0 62203285#0 62203285#2 62203285#3 62203285#5 62203285#6 62203285#7 62203286#0 62203286#2 12186741#2 12186741#4 12186741#5 -196393940#2 -196393940#0"/&gt;</t>
  </si>
  <si>
    <t xml:space="preserve"> edges="196393940#0 62203285#0 62203285#2 62203285#3 62203285#5 62203285#6 62203285#7 62203286#0 62203286#2 12186741#2 12186741#4 12186741#5 12142723#0 12142723#3 12142723#4 12142723#5 196207110#0 196207110#2"/&gt;</t>
  </si>
  <si>
    <t xml:space="preserve"> edges="196393940#0 62203285#0 62203285#2 62203285#3 62203285#5 62203285#6 62203285#7 62203286#0 62203286#2 59676508#0 -59676508#0 -62203286#2 -62203286#0 62203285#8 62203285#9 62203285#10 62203285#11 62203285#13 62203285#14.0 62203285#14.24 gneE59.30.0.55 gneE59.30.0.0 gneE59.0.0 gneE59.0.12 62203360#0 12159135 12149408#0 49914077 424767578 43569819 387422128#1 43569827#0 43569827#1 43569827#2 43569827#7 43569848 30953391 424769002 424769005 424769006 424769004 30953396#1 -424769003#1 -424769003#0 -485017374 42706828#0 42706828#2 12182281#0 12182281#3 12182281#5 12182281#6 386995507#4 386995507#5 386995507#6 12152013#1 12152013#2 -12175537#6 -12175537#5 -12175537#4 12182281#9 12182281#10 -388756839#1 -388756839#0 -50033059#4 -50033059#3 -50033059#2 -50033059#1 42706833#0 42706833#2 12189876#0 12189876#2 484953508#1 60185970#0 60185970#2 12149571#1 12187610#3 50033558#2 -12188656 -121319046 -42706825#7 12199713#0 12199713#1 -386995514#6 -386995514#5 -386995514#4 -386995514#3 194358817#0 194358817#1 194358817#2 12114363#0 12114363#1 -50033059#4 12175537#0 12175537#2 12175537#3 12175537#4 12175537#5 12175537#6 12175537#7 12175537#8 12175537#9 12175537#10 12175537#11 12175537#12 12155177#1 12155177#2 387422153#1 gneE73 gneE75.0 gneE80.125"/&gt;</t>
  </si>
  <si>
    <t xml:space="preserve"> edges="196393940#0 62203285#0 62203285#2 62203285#3 62203285#5 62203285#6 62203285#7 62203286#0 62203286#2 59676508#0 -59676508#0 -62203286#2 -62203286#0 62203285#8 62203285#9 62203285#10 62203285#11 62203285#13 62203285#14.0 62203285#14.24 gneE59.30.0.55 gneE59.30.0.0 gneE59.0.0 gneE59.0.12 62203360#0 12159135 291433360#0 388756841#0 49914076#0 12111949#0 43539384#1.0 424764853 43539372 12167183.0 gneE82 gneE56 gneE54.0 gneE62.13 gneE81.0 gneE6.0 424765883 43539378#0.15 43539378#1 43569848 30953391 12113092 51758697#1-AddedOnRampEdge 51758697#1"/&gt;</t>
  </si>
  <si>
    <t xml:space="preserve"> edges="196393940#0 62203285#0 62203285#2 62203285#3 62203285#5 62203285#6 62203285#7 62203286#0 62203286#2 59676508#0 -59676508#0 -62203286#2 -62203286#0 62203285#8 62203285#9 62203285#10 62203285#11 62203285#13 62203285#14.0 62203285#14.24 gneE59.30.0.55 gneE59.30.0.0 gneE59.0.0 gneE59.0.12 62203360#0 291433361#0 132508433.0 -gneE6.0 gneE81.299.0 gneE81.299.79 gneE81.299.145 -gneE8 12154353#0 196393941#1 196393941#2 28533986 43539369#2 12178843#2 12178843#3 49960982#2 43569828#0 387422128#1 43569827#0 43569827#1 43569827#2 43569827#7 43569848 30953391 424769002 424769005 424769006 424769004 30953396#1 387422132#0 387422132#1 486653633#0 484953506#3 484953506#4 12157002#0 12157002#1 12157002#3 12157002#5 12114396#4 -12156992#10 -12156992#8 -12156992#7 -12156992#6 -12156992#5 -12156992#4 -12156992#3 -12156992#2 -12156992#1 -386547297#1 -424080772#2 -424080772#1 -262962065#1 -262962063 -424080764 -424080768#1 -424080766 -104526265#1 30953497#0 30953497#2 30953497#3 42706585#0 42706585#1 30953320 30953320-AddedOffRampEdge 104526277 30953215#1-AddedOnRampEdge 30953215#1 121643865#0 12110705 50715233#0 50715233#0-AddedOffRampEdge 50715233#1.0 62203285#14.24 gneE59.30.0.55 gneE59.30.0.0 43539373#0.0.292.17 gneE58 gneE56 gneE54.0 62203360#0 291433361#0 132508433.0 -gneE6.0 gneE6.0 424765883 43539378#0.15 132508717#5 196393974#0 49914077 424767578 387422130#1 132508717#0 12149210#1 12151897#1 196393941#6 196393941#7 196393941#8 gneE87 196393974#0 388756841#0 49914076#0 12159673#0 12159673#1 393884751 43569848 30953391 12113092 51758697#1-AddedOnRampEdge 51758697#1"/&gt;</t>
  </si>
  <si>
    <t xml:space="preserve"> edges="196393940#0 62203285#0 62203285#2 62203285#3 62203285#5 62203285#6 62203285#7 62203286#0 62203286#2 59676508#0 -59676508#0 -62203286#2 -62203286#0 62203285#8 62203285#9 62203285#10 62203285#11 62203285#13 62203285#14.0 62203285#14.24 gneE59.30.0.55 gneE59.30.0.0 gneE59.0.0 gneE59.0.12 62203360#0 291433361#0 132508433.0 -gneE6.0 gneE81.299.0 gneE81.299.79 gneE81.299.145 -gneE8 12154353#0 196393941#1 196393941#2 28533986 43539369#2 12178843#2 12178843#3 49960982#2 43569828#0 387422128#1 43569827#0 43569827#1 43569827#2 43569827#7 43569848 30953391 424769002 424769005 424769006 424769004 30953396#1 387422132#0 387422132#1 486653633#0 484953506#3 484953506#4 12157002#0 12157002#1 12157002#3 12157002#5 12114396#4 -12156992#10 -12156992#8 -12156992#7 -12156992#6 -12156992#5 -12156992#4 -12156992#3 -12156992#2 -12156992#1 -386547297#1 -424080772#2 -424080772#1 -262962065#1 -262962063 -424080764 -424080768#1 -424080766 -104526265#1 30953497#0 30953497#2 35920555#0.0 35920555#0.75 62203066 43331031.0 43331031.436 42706585#0 42706585#1 30953320 30953320-AddedOffRampEdge 30953315 104526276-AddedOnRampEdge 104526276 51758697#0 51758697#1-AddedOnRampEdge 51758697#1"/&gt;</t>
  </si>
  <si>
    <t xml:space="preserve"> edges="196393940#0 62203285#0 62203285#2 62203285#3 62203285#5 62203285#6 62203285#7 62203286#0 62203286#2 59676508#0 -59676508#0 12186741#2 12186741#4 12186741#5 12142723#0 12142723#3 12142723#4 12142723#5 196207110#0 196207110#2"/&gt;</t>
  </si>
  <si>
    <t xml:space="preserve"> edges="196393940#0 62203285#0 62203285#2 62203285#3 62203285#5 62203285#6 62203285#7 62203286#0 62203286#2 59676508#0 -59676508#0 12186741#2 12186741#4 12186741#5 12142723#0 50978397 32118649#0 32118649#1 -12187745 12142723#5 196207110#0 196207110#2"/&gt;</t>
  </si>
  <si>
    <t xml:space="preserve"> edges="31909473.0 31909473.857 62634019#1-AddedOnRampEdge 62634019#1 30953036 424081476 -424987520 -30953029#1 -30953029#0 -424987519 12169718#0 12169718#1 424804090#0 424804090#1 424804090#2 424804090#3 424804090#4 132508920#2 132508920#3 132508920#4 132508920#5 424080762#0 424080762#1 424080762#2 424080762#3 424080762#4 424080762#5 179915585#2 12171853#2 12198567#4 12198567#5 12152219#0 12152219#1 12152236 132508920#12 132508897#0 132508897#1 132508897#2 132508897#3 394179820#0 394179820#1 394179820#2 394179820#3 394179820#4 196355327#1 196355327#2 196355327#5 196393940#1 196207112#0 32122059#1 424080774 262962068#0.0 104526265#0.14 424080766 424080768#0 104523976#1 262962063 12189051#0 -12189051#1 424080770#0 424080772#0 12119506#0 -12156992#1 -386547297#1 -424080772#2 -424080772#1 -424080761#1 -62623960 62623959#0 386547296#0 386547296#1 424080773#0 279870839#0 279870839#2 450844960#0 62623926#1 450844950#0 38502259#0.19 450844933#1 196207115#0 196207115#2 196207115#3 196355332#0 450844979#0.0 450844982#0.19 62203497#0 62203497#2 62203497#3 12134479#1 34685684#0 34685684#2 388533143#0 388533143#2 12140627#0 63060729#0 -264253834#2 12156992#4 12156992#5 12156992#6 12156992#7 12156992#8 12156992#9 -12114396#5 -12114396#3 -12114396#1 485017383#0 485017382#0 485017382#1 211575484#0 -12177521#3 -12177521#2 -12177521#1 32121111#12 32121111#14 -12187610#5 -12187610#2 -12187610#1 12150608#0 32121146#2 12117702#9 450844953#0 450844953#2 450844953#3 450844947#0 388533142#0 388533142#2 388533142#4 62623926#0 62623926#1 450844950#0 38502259#0.19 450844933#1 196207110#0 196355327#2 196355327#5 -196393940#0"/&gt;</t>
  </si>
  <si>
    <t xml:space="preserve"> edges="31909473.0 31909473.857 62634019#1-AddedOnRampEdge 62634019#1 30953036 424081476 -424987520 -30953029#1 -30953029#0 -424987519 12169718#0 12169718#1 424804090#0 424804090#1 424804090#2 424804090#3 424804090#4 132508920#2 132508920#3 132508920#4 132508920#5 424080762#0 424080762#1 424080762#2 424080762#3 424080762#4 424080762#5 179915585#2 12171853#2 12198567#4 12198567#5 12152219#0 12152219#1 12152236 132508920#12 132508897#0 132508897#1 132508897#2 132508897#3 394179820#0 394179820#1 394179820#2 394179820#3 394179820#4 196355327#1 196355327#2 196355327#5 196393940#1 196207112#0 32122059#1 424080774 262962068#0.0 30953497#0 30953497#2 30953497#3 42706585#0 42706585#1 30953320 30953320-AddedOffRampEdge 104526277 30953215#1-AddedOnRampEdge 30953215#1 121643865#0 12110705 50715233#0 50715233#0-AddedOffRampEdge 50715233#1.0 62203285#14.24 gneE59.30.0.55 gneE59.30.0.0 43539373#0.0.292.17 gneE58 gneE56 gneE54.0 62203360#0 291433361#0 132508433.0 -gneE6.0 gneE6.0 424765883 43570920#0.22 132508717#4 43539378#1 43569848 30953391 12113092 51758697#1-AddedOnRampEdge 51758697#1"/&gt;</t>
  </si>
  <si>
    <t xml:space="preserve"> edges="31909473.0 31909473.857 62634019#1-AddedOnRampEdge 62634019#1 30953036 424081476 -424987520 -30953029#1 -30953029#0 -424987519 12169718#0 12169718#1 424804090#0 424804090#1 424804090#2 424804090#3 424804090#4 132508920#2 132508920#3 132508920#4 132508920#5 424080762#0 424080762#1 424080762#2 424080762#3 424080762#4 424080762#5 179915585#2 12171853#2 12198567#4 12198567#5 12152219#0 12152219#1 12152236 132508920#12 132508897#0 132508897#1 132508897#2 132508897#3 394179820#0 394179820#1 394179820#2 394179820#3 394179820#4 196355327#1 196355327#2 196355327#5 196393940#1 196207112#0 32122059#1 424080774 262962068#0.0 30953497#0 30953497#2 30953497#3 42706585#0 42706585#1 30953320 30953320-AddedOffRampEdge 104526277 30953215#1-AddedOnRampEdge 30953215#1 121643865#0 121643865#1 145605511#1-AddedOnRampEdge 145605511#12 145605511#1.148"/&gt;</t>
  </si>
  <si>
    <t xml:space="preserve"> edges="31909473.0 31909473.857 62634019#1-AddedOnRampEdge 62634019#1 30953036 424081476 -424987520 -30953029#1 -30953029#0 -424987519 12169718#0 179915585#0 193223837#0 193223837#1 12198567#1 12198567#2 12198567#3 12171853#3 12171853#4 12171853#5 12171853#6 132508920#8 132508920#9 132508920#10 132508920#12 132508983#0 132508983#3 132508983#5 132508740#0 132508740#2 -12165829#1 132508646#0 132508646#2 132508646#3 394179820#0 394179820#1 394179820#2 394179820#3 450844975 450844970#0 196355332#0 450844979#0.0 12114109#0.45.0 59671945#0.30 62093806#0 30953497#0 30953497#2 30953497#3 42706585#0 42706585#1 30953320 30953320-AddedOffRampEdge 104526277 30953215#1-AddedOnRampEdge 30953215#1 121643865#0 12110705 50715233#0 50715233#0-AddedOffRampEdge 50715233#1.0 62203285#14.24 gneE59.30.0.55 gneE59.30.0.0 43539373#0.0.292.17 gneE58 gneE56 gneE54.0 62203360#0 291433361#0 132508433.0 -gneE6.0 gneE6.0 424765883 43539378#0.15 132508717#5 196393974#0 49914077 424767578 387422130#1 132508717#0 12149210#1 12151897#1 196393941#6 196393941#7 196393941#8 gneE87 196393974#0 388756841#0 49914076#0 12159673#0 12159673#1 393884751 43569848 30953391 12113092 51758697#1-AddedOnRampEdge 51758697#1"/&gt;</t>
  </si>
  <si>
    <t xml:space="preserve"> edges="31909473.0 31909473.857 62634019#1-AddedOnRampEdge 62634019#1 30953036 424081476 -424987520 -30953029#1 -30953029#0 -424987519 12169718#0 179915585#0 193223837#0 193223837#1 12198567#1 12198567#2 12198567#3 12171853#3 12171853#4 12171853#5 12171853#6 132508920#8 132508920#9 132508920#10 132508920#12 132508983#0 132508983#3 132508983#5 132508740#0 132508740#2 -12165829#1 132508646#0 132508646#2 132508646#3 394179820#0 394179820#1 394179820#2 394179820#3 450844975 450844970#0 196355332#0 450844979#0.0 12114109#0.45.0 59671945#0.30 62093806#0 30953497#0 30953497#2 30953497#3 42706585#0 42706585#1 30953320 30953320-AddedOffRampEdge 104526277 30953215#1-AddedOnRampEdge 30953215#1 121643865#0 12110705 50715233#0 50715233#0-AddedOffRampEdge 50715233#1.0 62203285#14.24 gneE59.30.0.55 gneE59.30.0.0 43539373#0.0.292.17 gneE58 gneE56 gneE54.0 62203360#0 291433361#0 132508433.0 -gneE6.0 gneE6.0 424765883 43570920#0.22 132508717#4 43539378#1 43569848 30953391 12113092 51758697#1-AddedOnRampEdge 51758697#1"/&gt;</t>
  </si>
  <si>
    <t xml:space="preserve"> edges="31909473.0 31909473.857 62634019#1-AddedOnRampEdge 62634019#1 30953036 424081476 -424987520 -30953029#1 -30953029#0 -424987519 12169718#0 179915585#0 193223837#0 193223837#1 12198567#1 12198567#2 12198567#3 12171853#3 12171853#4 12171853#5 12171853#6 132508920#8 132508920#9 132508920#10 132508920#12 132508983#0 132508983#3 132508983#5 132508740#0 132508740#2 -12165829#1 132508646#0 132508646#2 132508646#3 394179820#0 394179820#1 394179820#2 394179820#3 450844975 450844970#0 196355332#0 450844979#0.0 12114109#0.45.0 59671945#0.30 62093806#0 30953497#0 30953497#2 35920555#0.0 35920555#0.75 62203066 43331031.0 43331031.436 42706585#0 42706585#1 30953320 30953320-AddedOffRampEdge 30953315 104526276-AddedOnRampEdge 104526276 51758697#0 51758697#1-AddedOnRampEdge 51758697#1"/&gt;</t>
  </si>
  <si>
    <t xml:space="preserve"> edges="31909473.0 31909473.857 62634019#1-AddedOnRampEdge 62634019#1 30953036 424081476 424081472 424081473 424081470 30953025#0 30953025#2 30953025#3 30953025#4 50033060#0 12134479#5 450844973#0 388533144#0 388533144#6 388533144#11 450695475#0 137364609#0 137364609#3 137364609#5 450695473#0 386547305#0 gneE23 -gneE20.0 -gneE21.54 -gneE21.0 59435515#0 59435515#1 59435515#2 59435515#3 59435515#4 424801338#1 12117702#0 12117702#4 12117702#7 -32121146#3 -32121146#1 -424769197#2 12144152#0 12144152#2 12144152#4 12144152#6 12157151#0 12166276#2 -32121146#5 12117702#9 450844953#0 450844953#2 450844953#3 450844947#0 388533142#0 388533142#2 12189045#0 62623987#0 62623987#1 -12142631 12202018 62623986#1 62623986#2 -12189051#1 -262962063 -424080764 -424080768#1 -424080766 -104526265#1 30953497#0 30953497#2 30953497#3 42706585#0 42706585#1 30953320 30953320-AddedOffRampEdge 104526277 30953215#1-AddedOnRampEdge 30953215#1 121643865#0 12110705 50715233#0 50715233#0-AddedOffRampEdge 50715233#1.0 62203285#14.24 30908387 30908366#1-AddedOnRampEdge 30908366#1 121643863 121643862 51758697#0 51758697#1-AddedOnRampEdge 51758697#1 -gneE46.0 43357850.4841.18 gneE46 49887339#0.596 49887339#0-AddedOffRampEdge 49887339#1 49887339#1-AddedOffRampEdge 104524021 104524021-AddedOffRampEdge 50192637#0 50192637#1-AddedOnRampEdge 50192637#1.0.0 50192637#1.0.382.0.0 50192637#1.697 50192637#1-AddedOffRampEdge 30953181#1 30953181#2-AddedOnRampEdge 30953181#2 30953181#3-AddedOnRampEdge 30953181#3 30953181#3-AddedOffRampEdge 30952933#1.0 30952933#1.199"/&gt;</t>
  </si>
  <si>
    <t xml:space="preserve"> edges="31909473.0 31909473.857 62634019#1-AddedOnRampEdge 62634019#1 30953036 424081476 424081472 424081473 424081470 30953025#0 30953025#2 30953025#3 30953025#4 50033060#0 12134479#5 450844973#0 388533144#0 388533144#6 388533144#11 450695475#0 137364609#0 137364609#3 137364609#5 450695473#0 386547305#0 gneE23 -gneE20.0 -gneE21.54 -gneE21.0 59435515#0 59435515#1 59435515#2 59435515#3 59435515#4 424801338#1 12117702#0 12117702#4 12117702#7 -32121146#3 12202008#2.0 12202008#2.171 62646499#2 450827424#0 450827405#0 262962062 -55179413#2 12187610#0 12187610#2 12187610#3 -62105579 12186909#0 12186909#1 12186909#2 12186909#4 12177521#2 12177521#3 211575484#1 485017379 -386995465#1 -386995504#1 -386995486#1 32121111#11 -12177521#0 -121319040#0 -51155368#5 -50033558#5 -50033558#3 -12188656 -121319046 -42706825#7 -42706825#4 -42706825#3 -42706825#1 194358815 194358817#0 194358817#1 194358817#2 12114363#0 12114363#1 -50033059#4 12175537#0 12175537#2 12175537#3 12175537#4 12175537#5 12175537#6 12175537#7 -43357814#2 42706837#4 42706837#5 42706837#6 42706837#7 42706837#8 42706837#9 12172918#0 12172918#1 12172918#2 gneE73 gneE75.0 -gneE80.17 -gneE41 gneE44 -388756838#2 -388756838#1 -388756838#0 42706817#0 386547310 gneE69 -gneE44 gneE41 gneE80.0 gneE80.125"/&gt;</t>
  </si>
  <si>
    <t xml:space="preserve"> edges="31909473.0 31909473.857 62634019#1-AddedOnRampEdge 62634019#1 30953036 424081476 424081472 424081473 424081470 30953025#0 30953025#2 30953025#3 30953025#4 50033060#0 12134479#5 450844973#0 388533144#0 388533144#6 388533144#11 450695475#0 137364609#0 137364609#3 137364609#5 450695473#0 386547305#0 gneE23 -gneE20.0 -gneE21.54 -gneE21.0 59435515#0 59435515#1 59435515#2 59435515#3 59435515#4 424801338#1 12117702#0 12117702#4 12117702#7 -32121146#3 12202008#2.0 12202008#2.171 62646499#2 450827424#0 450827405#0 262962062 -55179413#2 12187610#0 12187610#2 12187610#3 -62105579 12186909#0 12186909#1 12186909#2 12186909#4 12177521#2 12177521#3 211575484#1 485017379 -386995465#1 -386995504#1 -386995486#1 32121111#11 -12177521#0 -121319040#0 -51155368#5 -50033558#5 -50033558#3 -12188656 -121319046 -42706825#7 -42706825#4 -42706825#3 -42706825#1 194358815 194358817#0 194358817#1 194358817#2 12114363#0 12114363#1 -50033059#4 12175537#0 12175537#2 12175537#3 12175537#4 12175537#5 12175537#6 12175537#7 -43357814#2 42706837#4 42706837#5 42706837#6 42706837#7 42706837#8 42706837#9 12172918#0 12172918#1 12172918#2 gneE73 gneE75.0 gneE80.125"/&gt;</t>
  </si>
  <si>
    <t xml:space="preserve"> edges="31909473.0 31909473.857 62634019#1-AddedOnRampEdge 62634019#1 30953036 424081476 424081472 424081473 424081470 30953025#0 30953025#2 30953025#3 30953025#4 50033060#0 12134479#5 450844973#0 388533144#0 388533144#6 388533144#11 450695475#0 137364609#0 137364609#3 137364609#5 450695473#0 386547305#0 gneE23 -gneE20.0 -gneE21.54 -gneE21.0 59435515#0 59435515#1 59435515#2 59435515#3 59435515#4 424801338#1 12117702#0 12117702#4 12117702#7 -32121146#3 12202008#2.0 12202008#2.171 62646499#2 450827424#0 450827405#0 262962062 -55179413#2 12187610#0 12187610#2 12187610#3 -62105579 12186909#0 12186909#1 12186909#2 12186909#4 12177521#2 12177521#3 211575484#1 485017379 -386995465#1 -386995504#1 -386995486#1 32121111#11 -12177521#0 -121319040#0 -51155368#5 -50033558#5 -50033558#3 -12188656 -121319046 -42706825#7 -42706825#4 -42706825#3 -42706825#1 194358815 194358817#0 194358817#1 194358817#2 12114363#0 12114363#1 -50033059#4 12175537#0 12175537#2 485017371#0 484953507#1 12182281#8 12182281#9 12167232#0 12167232#1 12167232#2 12152013#4 51050425#4 386995537 386995551 387422150#0 387422150#1 386995531#3 386995531#4 12172918#2 gneE73 gneE75.0 gneE80.125"/&gt;</t>
  </si>
  <si>
    <t xml:space="preserve"> edges="31909473.0 31909473.857 62634019#1-AddedOnRampEdge 62634019#1 30953036 424081476 424081472 424081473 424081470 30953025#0 30953025#2 30953025#3 30953025#4 50033060#0 12134479#5 450844973#0 388533144#0 388533144#6 388533144#11 450695475#0 137364609#0 137364609#3 137364609#5 450695473#0 386547305#0 gneE23 -gneE20.0 -gneE21.54 -gneE21.0 59435515#0 59435515#1 59435515#2 59435515#3 59435515#4 424801338#1 12117702#0 12117702#4 12117702#7 -32121146#3 12202008#2.0 12202008#2.171 62646499#2 450827424#0 450827405#0 262962062 -55179413#2 12187610#0 12187610#2 12187610#3 -62105579 12186909#0 12186909#1 12186909#2 51155368#11 42706831#0 42706831#4 42706831#5 42706831#6 32121234#0 32121234#1 32121234#2 50033558#2 50033558#3 50033558#4 50033558#6 50033058#0 386995514#9 386995486#0 32121111#11 -12177521#0 -121319040#0 -51155368#5 -50033558#5 -50033558#3 -12188656 -121319046 -42706825#7 -42706825#4 -42706825#3 -42706825#1 -484953510#2 -484953510#1 -484953510#0 gneE37 gneE38 -12159761#2 -12159761#1 -12159761#0 12114363#0 12114363#1 -50033059#4 12175537#0 12175537#2 12175537#3 12175537#4 12162659#2 12159485 12161358#7 12161358#8 386995507#6 386995507#7 386995521#0 386995521#1 12154359#3 12154359#4 12154359#5 12154359#6 12154359#7 101350669 -386995537 -386995526#1 -386995526#0 -43357814#3 -43357814#2 42706837#4 42706837#5 42706837#6 42706837#7 42706837#8 42706837#9 12172918#0 12172918#1 12172918#2 gneE73 gneE75.0 gneE80.125"/&gt;</t>
  </si>
  <si>
    <t xml:space="preserve"> edges="31909473.0 31909473.857 62634019#1-AddedOnRampEdge 62634019#1 30953036 424081476 424081472 424081473 424081470 30953025#0 30953025#2 30953025#3 30953025#4 50033060#0 12134479#5 450844973#0 388533144#0 388533144#6 388533144#11 450695475#0 137364609#0 137364609#3 137364609#5 450695473#0 386547305#0 gneE23 -gneE20.0 -gneE21.54 -gneE21.0 gneE36 --gneE83.0"/&gt;</t>
  </si>
  <si>
    <t xml:space="preserve"> edges="31909473.0 31909473.857 62634019#1-AddedOnRampEdge 62634019#1 62634019#2.0 62634019#2.242 62634019#3-AddedOnRampEdge 62634019#3 62634019#3-AddedOffRampEdge 12111747.0 12189453#0.0.0 450844982#0.19 62203497#0 62203497#2 62203497#3 12134479#1 34685684#0 34685684#2 450844947#0 388533142#0 388533142#2 12189045#0 62623987#0 62623987#1 -12142631 12202018 62623986#1 62623986#2 -12189051#1 424080770#0 424080772#0 424080772#2 386547297#0 424080771#0 424080767#0 386547298#0 424769177 424080769#0 55179414#0 12187610#0 -484953508#2 424801339#0 62646509#0 424801338#0 424801338#1 12117702#0 12117702#4 12117702#7 -32121146#3 -32121146#1 55179413#0 424769182 -450827405#2 -450827400#2 -450827382 -450827385#1 12134222#0 12134222#2 12134222#3 386547311#11 386547311#13 357338496#0 357338496#2 450695461#0 62646494#0 424801336#0 484842168#0 283621820 -28555309#1 -424801341 -283621822#1 -424801343#1 -424801343#0 49991658 424801340 424801342 386550018#0 386550018#0-AddedOffRampEdge 386550018#1 49991638 -12144161#0 12144161#0 12144161#1 49991657 283621821#1 283621821#1-AddedOffRampEdge 283621821#2 49991647#1 49991647#2 63060732#0 63060732#1 63060732#2.0 63060732#2.116 50033027 -50033029 50033050#0 50033050#2 424799828 424799825 424799826 50033054 63060727 50033029 50033028#0 50033028#3 50033028#5 50033028#6 49991646 386547300#0 283621823 386547301-AddedOnRampEdge 386547301 424801344#0 424801343#1 283621822#0 424801341 28555309#0 49991649#0 424986163#0 51049946#0 424801337#0 357338497#0 357338497#2 450695460#0 62646499#0 62646499#2 450827424#0 62646508#0 62646508#2 424799820 424799823#0 50033059#0 50033059#2 50033059#3 50033059#4 388756839#0 388756839#1 388756838#0 12136923#0 386547309#0 386547309#2 386547309#3 386547309#5 386547309#7 51050030#4 51050030#7 gneE35 -gneE34.0 --gneE83.0"/&gt;</t>
  </si>
  <si>
    <t xml:space="preserve"> edges="31909473.0 31909473.857 62634019#1-AddedOnRampEdge 62634019#1 62634019#2.0 62634019#2.242 62634019#3-AddedOnRampEdge 62634019#3 62634019#3-AddedOffRampEdge 12111747.0 12189453#0.0.0 450844982#0.19 62203497#0 62203497#2 62203497#3 12134479#1 34685684#0 34685684#2 450844947#0 388533142#0 388533142#2 12189045#0 62623987#0 62623987#1 -12142631 12202018 62623986#1 62623986#2 -12189051#1 424080770#0 424080772#0 424080772#2 386547297#0 424080771#0 424080767#0 386547298#0 424769177 424080769#0 55179414#0 12187610#0 -484953508#2 424801339#0 62646509#0 424801338#0 424801338#1 12117702#0 12117702#4 12117702#7 -32121146#3 -32121146#1 55179413#0 424769182 -450827405#2 -450827400#2 -450827382 -450827385#1 12134222#0 12134222#2 12134222#3 386547311#11 386547311#13 357338496#0 357338496#2 450695461#0 62646494#0 424801336#0 484842168#0 283621820 -28555309#1 -424801341 -283621822#1 -424801343#1 -424801343#0 49991658 424801340 424801342 386550018#0 386550018#0-AddedOffRampEdge 386550018#1 49991638 -12144161#0 12144161#0 12144161#1 49991657 283621821#1 283621821#1-AddedOffRampEdge 283621821#2 49991647#1 49991647#2 63060732#0 63060732#1 63060732#2.0 63060732#2.116 50033027 -50033029 50033050#0 50033050#2 424799828 424799825 424799826 50033054 63060727 50033029 50033028#0 50033028#3 50033028#5 50033028#6 49991646 386547300#0 283621823 386547301-AddedOnRampEdge 386547301 424801344#0 424801343#1 283621822#0 424801341 28555309#0 49991649#0 424986163#0 51049946#0 424801337#0 357338497#0 357338497#2 450695460#0 62646499#0 62646499#2 450827424#0 62646508#0 62646508#2 424799820 424799823#0 50033059#0 50033059#2 50033059#3 50033059#4 388756839#0 388756839#1 388756838#0 12136923#0 386547309#0 386547309#2 386547309#3 386547309#5 484953510#2 42706825#0 42706825#2 42706825#4 42706825#5 424799823#0 42706833#0 42706833#2 -42706825#7 12199713#0 12199713#1 -386995514#6 -386995514#5 -386995514#4 -386995514#3 -386995514#2 -386995514#1 12159500#1 12159500#2 51050030#7 gneE35 -gneE34.0 --gneE83.0"/&gt;</t>
  </si>
  <si>
    <t xml:space="preserve"> edges="31909473.0 31909473.857 62634019#1-AddedOnRampEdge 62634019#1 62634019#2.0 62634019#2.242 62634019#3-AddedOnRampEdge 62634019#3 62634019#3-AddedOffRampEdge 12111747.0 12189453#0.0.0 450844982#0.19 62203497#0 62203497#2 62203497#3 12134479#1 34685684#0 34685684#2 450844947#0 388533142#0 388533142#2 12189045#0 62623987#0 62623987#1 -12142631 12202018 62623986#1 62623986#2 -12189051#1 424080770#0 424080772#0 424080772#2 386547297#0 424080771#0 424080767#0 386547298#0 424769177 424080769#0 55179414#0 12187610#0 -484953508#2 424801339#0 62646509#0 424801338#0 424801338#1 12117702#0 12117702#4 12117702#7 -32121146#3 -32121146#1 55179413#0 424769182 -450827405#2 -450827400#2 -450827382 -450827385#1 12134222#0 12134222#2 12134222#3 386547311#11 386547311#13 357338496#0 357338496#2 450695461#0 62646494#0 424801336#0 484842168#0 283621820 -28555309#1 -424801341 -283621822#1 -424801343#1 -424801343#0 49991658 424801340 424801342 386550018#0 386550018#0-AddedOffRampEdge 386550018#1 49991638 -12144161#0 12144161#0 12144161#1 49991657 283621821#1 283621821#1-AddedOffRampEdge 283621821#2 49991647#1 49991647#2 63060732#0 63060732#1 63060732#2.0 63060732#2.116 50033027 -50033029 50033050#0 50033050#2 424799828 424799825 424799826 50033054 63060727 50033029 50033028#0 50033028#3 50033028#5 50033028#6 49991646 386547300#0 283621823 386547301-AddedOnRampEdge 386547301 424801344#0 424801343#1 283621822#0 424801341 28555309#0 49991649#0 424986163#0 51049946#0 424801337#0 357338497#0 357338497#2 450695460#0 62646499#0 62646499#2 450827424#0 62646508#0 62646508#2 424799820 424799823#0 50033059#0 50033059#2 50033059#3 50033059#4 388756839#0 388756839#1 388756838#0 12136923#0 386547309#0 386547309#2 386547309#3 386547309#5 484953510#2 42706825#0 42706825#2 42706825#4 42706825#5 424799823#0 42706833#0 42706833#2 12189876#0 12189876#2 484953508#1 60185970#0 60185970#2 12149571#1 12187610#3 50033558#2 50033558#3 50033558#4 50033558#6 50033058#0 386995514#9 386995486#0 32121111#11 -12177521#0 -121319040#0 -51155368#5 -50033558#5 -50033558#3 -12188656 -121319046 -42706825#7 -42706825#4 -42706825#3 -42706825#1 194358815 194358817#0 194358817#1 194358817#2 12114363#0 12114363#1 -50033059#4 12175537#0 12175537#2 485017371#0 484953507#1 12182281#8 12182281#9 12167232#0 12167232#1 12167232#2 12152013#4 51050425#4 386995537 386995551 387422150#0 387422150#1 386995531#3 386995531#4 12172918#2 gneE73 gneE75.0 gneE80.125"/&gt;</t>
  </si>
  <si>
    <t xml:space="preserve"> edges="31909473.0 31909473.857 62634019#1-AddedOnRampEdge 62634019#1 62634019#2.0 62634019#2.242 62634019#3-AddedOnRampEdge 62634019#3 62634019#3-AddedOffRampEdge 12111747.0 12189453#0.0.0 450844982#0.19 62203497#0 62203497#2 62203497#3 12134479#1 34685684#0 34685684#2 450844947#0 388533142#0 388533142#2 12189045#0 62623987#0 62623987#1 -12142631 12202018 62623986#1 62623986#2 -12189051#1 424080770#0 424080772#0 424080772#2 386547297#0 424080771#0 424080767#0 386547298#0 424769177 424080769#0 55179414#0 12187610#0 60185970#0 60185970#2 12149571#1 12187610#3 50033558#2 -12188656 -121319046 -42706825#7 12199713#0 12199713#1 -386995514#6 -386995514#5 -386995514#4 -386995514#3 194358817#0 194358817#1 194358817#2 12114363#0 12114363#1 -50033059#4 12175537#0 12175537#2 12175537#3 12175537#4 12175537#5 12175537#6 12175537#7 12175537#8 12175537#9 12175537#10 12175537#11 12175537#12 12155177#1 12155177#2 387422153#1 gneE73 gneE75.0 gneE80.125"/&gt;</t>
  </si>
  <si>
    <t xml:space="preserve"> edges="31909473.0 31909473.857 62634019#1-AddedOnRampEdge 62634019#1 62634019#2.0 62634019#2.242 62634019#3-AddedOnRampEdge 62634019#3 62634019#3-AddedOffRampEdge 12111747.0 12189453#0.0.0 450844982#0.19 62203497#0 62203497#2 62203497#3 12134479#1 34685684#0 34685684#2 450844947#0 388533142#0 388533142#2 12189045#0 62623987#0 62623987#1 -12142631 12202018 62623986#1 62623986#2 -12189051#1 424080770#0 424080772#0 424080772#2 386547297#0 424080771#0 424080767#0 386547298#0 424769177 424080769#0 55179414#0 12187610#0 60185970#0 60185970#2 12149571#1 12187610#3 50033558#2 50033558#3 50033558#4 50033558#6 50033058#0 386995514#9 386995486#0 32121111#11 -12177521#0 -121319040#0 -51155368#5 -50033558#5 -50033558#3 -12188656 -121319046 -42706825#7 -42706825#4 -42706825#3 -42706825#1 194358815 194358817#0 194358817#1 194358817#2 12114363#0 12114363#1 -50033059#4 12175537#0 12175537#2 485017371#0 484953507#1 12182281#8 12182281#9 12167232#0 12167232#1 12167232#2 12152013#4 51050425#4 386995537 386995551 387422150#0 387422150#1 386995531#3 386995531#4 12172918#2 gneE73 gneE75.0 gneE80.125"/&gt;</t>
  </si>
  <si>
    <t xml:space="preserve"> edges="31909473.0 31909473.857 62634019#1-AddedOnRampEdge 62634019#1 62634019#2.0 62634019#2.242 62634019#3-AddedOnRampEdge 62634019#3 62634019#3-AddedOffRampEdge 12111747.0 12189453#0.0.0 450844982#0.19 62203497#0 62203497#2 62203497#3 12134479#1 34685684#0 34685684#2 450844947#0 388533142#0 388533142#2 388533142#4 62623926#0 62623926#1 450844950#0 12189453#0.0.0 450844982#0.19 62203497#0 62203497#2 62203497#3 12134479#1 34685684#0 34685684#2 388533143#0 388533143#2 12140627#0 63060729#0 -264253834#2 12156992#4 12156992#5 12156992#6 12156992#7 12156992#8 12156992#9 484953505 12148522#0 -12186058#4 -12186058#1 -386995465#1 -386995504#1 386995479#0 12157718#5 12157718#7 485017376 485017373#0 387422135#0 424769003#0 424769003#1 -30953396#1 -30953396#0 -424769006 -424769005 -424769002 -30953391 -43569848 -393884751 12159702 424764853 12149178#0 50189796 50189564 12149178#2 145605533#0 145605533#1-AddedOnRampEdge 145605533#1 145605511#1-AddedOnRampEdge 145605511#12 145605511#1.148"/&gt;</t>
  </si>
  <si>
    <t xml:space="preserve"> edges="31909473.0 31909473.857 62634019#1-AddedOnRampEdge 62634019#1 62634019#2.0 62634019#2.242 62634019#3-AddedOnRampEdge 62634019#3 62634019#3-AddedOffRampEdge 12111747.0 38502259#0.19 450844933#1 196207110#0 196207110#2"/&gt;</t>
  </si>
  <si>
    <t xml:space="preserve"> edges="31909473.0 31909473.857 62634019#1-AddedOnRampEdge 62634019#1 62634019#2.0 62634019#2.242 62634019#3-AddedOnRampEdge 62634019#3 62634019#3-AddedOffRampEdge 12111747.0 59671945#0.30 62093806#0 104526265#0.14 424080766 424080768#0 104523976#1 262962063 12189051#0 -12189051#1 -262962063 -424080764 -424080768#1 -424080766 -104526265#1 -262962068#1 -424080774 -32122059#1 -32122059#0 -196393940#2 -196393940#0"/&gt;</t>
  </si>
  <si>
    <t xml:space="preserve"> edges="31909473.0 31909473.857 62634019#1-AddedOnRampEdge 62634019#1 62634019#2.0 62634019#2.242 62634019#3-AddedOnRampEdge 62634019#3 62634019#3-AddedOffRampEdge 12111747.0 59671945#0.30 62093806#0 104526265#0.14 424080766 424080768#0 104523976#1 262962063 12189051#0 -12189051#1 -262962063 -424080764 -424080768#1 -424080766 -104526265#1 30953497#0 30953497#2 30953497#3 42706585#0 42706585#1 30953320 30953320-AddedOffRampEdge 104526277 30953215#1-AddedOnRampEdge 30953215#1 121643865#0 12110705 50715233#0 50715233#0-AddedOffRampEdge 50715233#1.0 62203285#14.24 30908387 30908366#1-AddedOnRampEdge 30908366#1 121643863 121643862 51758697#0 51758697#1-AddedOnRampEdge 51758697#1 -gneE46.0 43357850.4841.18 gneE46 49887339#0.596 49887339#0-AddedOffRampEdge 49887339#1 49887339#1-AddedOffRampEdge 104524021 104524021-AddedOffRampEdge 50192637#0 50192637#1-AddedOnRampEdge 50192637#1.0.0 50192637#1.0.382.0.0 50192637#1.697 50192637#1-AddedOffRampEdge 30953181#1 30953181#2-AddedOnRampEdge 30953181#2 30953181#3-AddedOnRampEdge 30953181#3 30953181#3-AddedOffRampEdge 30952933#1.0 30952933#1.199"/&gt;</t>
  </si>
  <si>
    <t xml:space="preserve"> edges="31909473.0 31909473.857 62634019#1-AddedOnRampEdge 62634019#1 62634019#2.0 62634019#2.242 62634019#3-AddedOnRampEdge 62634019#3 62634019#3-AddedOffRampEdge 12111747.0 59671945#0.30 62093806#0 104526265#0.14 424080766 424080768#0 104523976#1 262962063 12189051#0 -12189051#1 -262962063 -424080764 -424080768#1 -424080766 -104526265#1 30953497#0 30953497#2 30953497#3 42706585#0 42706585#1 30953320 30953320-AddedOffRampEdge 104526277 30953215#1-AddedOnRampEdge 30953215#1 121643865#0 12110705 50715233#0 50715233#0-AddedOffRampEdge 50715233#1.0 62203285#14.24 gneE59.30.0.55 gneE59.30.0.0 43539373#0.0.292.17 gneE58 gneE56 gneE54.0 62203360#0 291433361#0 132508433.0 -gneE6.0 gneE6.0 424765883 43570920#0.22 132508717#4 43539378#1 43569848 30953391 12113092 51758697#1-AddedOnRampEdge 51758697#1 -gneE46.0 43357850.4841.18 gneE46 49887339#0.596 49887339#0-AddedOffRampEdge 49887339#1 49887339#1-AddedOffRampEdge 104524021 104524021-AddedOffRampEdge 50192637#0 50192637#1-AddedOnRampEdge 50192637#1.0.0 50192637#1.0.382.0.0 50192637#1.697 50192637#1-AddedOffRampEdge 30953181#1 30953181#2-AddedOnRampEdge 30953181#2 30953181#3-AddedOnRampEdge 30953181#3 30953181#3-AddedOffRampEdge 30952933#1.0 30952933#1.199"/&gt;</t>
  </si>
  <si>
    <t xml:space="preserve"> edges="31909473.0 31909473.857 62634019#1-AddedOnRampEdge 62634019#1 62634019#2.0 62634019#2.242 62634019#3-AddedOnRampEdge 62634019#3 62634019#3-AddedOffRampEdge 12111747.0 59671945#0.30 62093806#0 104526265#0.14 424080766 424080768#0 104523976#1 262962063 12189051#0 -12189051#1 -262962063 -424080764 -424080768#1 -424080766 -104526265#1 30953497#0 30953497#2 30953497#3 42706585#0 42706585#1 30953320 30953320-AddedOffRampEdge 104526277 30953215#1-AddedOnRampEdge 30953215#1 121643865#0 12110705 50715233#0 50715233#0-AddedOffRampEdge 50715233#1.0 62203285#14.24 gneE59.30.0.55 gneE59.30.0.0 43539373#0.0.292.17 gneE58 gneE56 gneE54.0 62203360#0 291433361#0 132508433.0 -gneE6.0 gneE6.0 424765883 43570920#0.22 132508717#4 43539378#1 43569848 30953391 12113092 51758697#1-AddedOnRampEdge 51758697#1"/&gt;</t>
  </si>
  <si>
    <t xml:space="preserve"> edges="31909473.0 31909473.857 62634019#1-AddedOnRampEdge 62634019#1 62634019#2.0 62634019#2.242 62634019#3-AddedOnRampEdge 62634019#3 62634019#3-AddedOffRampEdge 12111747.0 59671945#0.30 62093806#0 104526265#0.14 424080766 424080768#0 104523976#1 262962063 12189051#0 -12189051#1 -262962063 -424080764 -424080768#1 -424080766 -104526265#1 30953497#0 30953497#2 30953497#3 42706585#0 42706585#1 30953320 30953320-AddedOffRampEdge 104526277 30953215#1-AddedOnRampEdge 30953215#1 121643865#0 12110705 50715233#0 50715233#0-AddedOffRampEdge 50715233#1.0 62203285#14.24 gneE59.30.0.55 gneE59.30.0.0 43539373#0.0.292.17 gneE58 gneE56 gneE54.0 gneE62.13 gneE81.0 gneE6.0 424765883 gneE87 196393957 132508433.0 -gneE6.0 gneE81.299.0 gneE81.299.79 gneE81.299.145 12178843#0 12178843#1 43539369#3 43539369#4 43539368#0 43570920#3 43570920#5 404615579 43569828#0 43539397#3 43569816#0 49914076#0 12167196#0.0.0 424764853 12149178#0 12149178#1 12149178#2 50189577 62203295 145605533#1-AddedOnRampEdge 145605533#1 145605511#1-AddedOnRampEdge 145605511#12 145605511#1.148"/&gt;</t>
  </si>
  <si>
    <t xml:space="preserve"> edges="31909473.0 31909473.857 62634019#1-AddedOnRampEdge 62634019#1 62634019#2.0 62634019#2.242 62634019#3-AddedOnRampEdge 62634019#3 62634019#3-AddedOffRampEdge 12111747.0 59671945#0.30 62093806#0 104526265#0.14 424080766 424080768#0 104523976#1 262962063 12189051#0 -12189051#1 -262962063 -424080764 -424080768#1 -424080766 -104526265#1 30953497#0 30953497#2 30953497#3 42706585#0 42706585#1 30953320 30953320-AddedOffRampEdge 104526277 30953215#1-AddedOnRampEdge 30953215#1 121643865#0 12110705 50715233#0 50715233#0-AddedOffRampEdge 50715233#1.0 62203285#14.24 gneE59.30.0.55 gneE59.30.0.0 43539373#0.0.292.17 gneE58 gneE56 gneE54.0 gneE62.13 gneE81.0 gneE81.299.0 12138964.1128 196393941#8 gneE87 196393974#0 49914077 424767578 43569819 387422128#1 43569827#0 43569827#1 43569827#2 43569827#7 43569848 30953391 424769002 424769005 424769006 424769004 30953396#1 -424769003#1 -424769003#0 -485017374 42706828#0 42706828#2 12182281#0 12182281#3 12182281#5 12182281#6 386995507#4 386995507#5 386995507#6 12152013#1 12152013#2 -12175537#6 -12175537#5 -12175537#4 12182281#9 12182281#10 -388756839#1 -388756839#0 -50033059#4 -50033059#3 -50033059#2 -50033059#1 42706833#0 42706833#2 12189876#0 12189876#2 484953508#1 60185970#0 60185970#2 12149571#1 12187610#3 50033558#2 -12188656 -121319046 -42706825#7 12199713#0 12199713#1 -386995514#6 -386995514#5 -386995514#4 -386995514#3 194358817#0 194358817#1 194358817#2 12114363#0 12114363#1 -50033059#4 12175537#0 12175537#2 12175537#3 12175537#4 12175537#5 12175537#6 12175537#7 12175537#8 12175537#9 12175537#10 12175537#11 12175537#12 12155177#1 12155177#2 387422153#1 gneE73 gneE75.0 gneE80.125"/&gt;</t>
  </si>
  <si>
    <t xml:space="preserve"> edges="31909473.0 31909473.857 62634019#1-AddedOnRampEdge 62634019#1 62634019#2.0 62634019#2.242 62634019#3-AddedOnRampEdge 62634019#3 62634019#3-AddedOffRampEdge 12111747.0 59671945#0.30 62093806#0 104526265#0.14 424080766 424080768#0 104523976#1 262962063 12189051#0 -12189051#1 -262962063 -424080764 -424080768#1 -424080766 -104526265#1 30953497#0 30953497#2 30953497#3 42706585#0 42706585#1 30953320 30953320-AddedOffRampEdge 104526277 30953215#1-AddedOnRampEdge 30953215#1 121643865#0 12110705 50715233#0 50715233#0-AddedOffRampEdge 50715233#1.0 62203285#14.24 gneE59.30.0.55 gneE59.30.0.0 gneE59.0.0 gneE59.0.12 62203360#0 291433361#0 132508433.0 -gneE6.0 gneE81.299.0 gneE81.299.79 gneE81.299.145 -gneE8 12154353#0 196393941#1 196393941#2 28533986 43539369#2 12178843#2 12178843#3 49960982#2 43569828#0 387422128#1 43569827#0 43569827#1 43569827#2 43569827#7 43569848 30953391 424769002 424769005 424769006 424769004 30953396#1 387422132#0 387422132#1 486653633#0 484953506#3 484953506#4 12157002#0 12157002#1 12157002#3 12157002#5 12114396#4 -12156992#10 -12156992#8 -12156992#7 -12156992#6 -12156992#5 -12156992#4 -12156992#3 -12156992#2 -12156992#1 -386547297#1 -424080772#2 -424080772#1 -262962065#1 -262962063 -424080764 -424080768#1 -424080766 -104526265#1 30953497#0 30953497#2 35920555#0.0 35920555#0.75 62203066 43331031.0 43331031.436 42706585#0 42706585#1 30953320 30953320-AddedOffRampEdge 30953315 104526276-AddedOnRampEdge 104526276 51758697#0 51758697#1-AddedOnRampEdge 51758697#1"/&gt;</t>
  </si>
  <si>
    <t xml:space="preserve"> edges="31909473.0 31909473.857 62634019#1-AddedOnRampEdge 62634019#1 62634019#2.0 62634019#2.242 62634019#3-AddedOnRampEdge 62634019#3 62634019#3-AddedOffRampEdge 12111747.0 59671945#0.30 62093806#0 104526265#0.14 424080766 424080768#0 104523976#1 262962063 12189051#0 -12189051#1 424080770#0 424080772#0 12119506#0 -12156992#1 -386547297#1 -424080772#2 -424080772#1 -424080761#1 -62623960 62623959#0 386547296#0 386547296#1 424080773#0 279870839#0 279870839#2 450844960#0 62623926#1 450844950#0 38502259#0.19 450844933#1 196207115#0 196207115#2 196207115#3 196355332#0 450844979#0.0 450844982#0.19 62203497#0 62203497#2 62203497#3 12134479#1 34685684#0 34685684#2 388533143#0 388533143#2 12140627#0 63060729#0 -264253834#2 12156992#4 12156992#5 12156992#6 12156992#7 12156992#8 12156992#9 -12114396#5 -12114396#3 -12114396#1 485017383#0 485017382#0 485017382#1 211575484#0 -12177521#3 -12177521#2 -12177521#1 32121111#12 32121111#14 -12187610#5 -12187610#2 -12187610#1 12150608#0 32121146#2 12117702#9 450844953#0 450844953#2 450844953#3 450844947#0 388533142#0 388533142#2 388533142#4 62623926#0 62623926#1 450844950#0 38502259#0.19 450844933#1 196207110#0 196207110#2"/&gt;</t>
  </si>
  <si>
    <t xml:space="preserve"> edges="31909473.0 31909473.857 62634019#1-AddedOnRampEdge 62634019#1 62634019#2.0 62634019#2.242 62634019#3-AddedOnRampEdge 62634019#3 62634019#3-AddedOffRampEdge 12111747.0 59671945#0.30 62093806#0 104526265#0.14 424080766 424080768#0 104523976#1 262962063 12189051#0 -12189051#1 424080770#0 424080772#0 12119506#0 -12156992#1 -386547297#1 -424080772#2 -424080772#1 -424080761#1 -62623960 62623959#0 386547296#0 386547296#1 424080773#0 279870839#0 279870839#2 450844960#0 62623926#1 450844950#0 38502259#0.19 450844933#1 196207115#0 196207115#2 196207115#3 196355332#0 450844979#0.0 450844982#0.19 62203497#0 62203497#2 62203497#3 12134479#1 34685684#0 34685684#2 388533143#0 388533143#2 12140627#0 63060729#0 -264253834#2 12156992#4 12156992#5 12156992#6 12156992#7 12156992#8 12156992#9 -12114396#5 -12114396#3 -12114396#1 485017383#0 485017382#0 485017382#1 211575484#0 -12177521#3 -12177521#2 -12177521#1 32121111#12 32121111#14 -12187610#5 -12187610#2 -12187610#1 12150608#0 32121146#2 12117702#9 450844953#0 450844953#2 450844953#3 450844947#0 388533142#0 388533142#2 388533142#4 62623926#0 62623926#1 450844950#0 38502259#0.19 450844933#1 196207110#0 196355327#2 196355327#5 -196393940#0"/&gt;</t>
  </si>
  <si>
    <t xml:space="preserve"> edges="31909473.0 31909473.857 62634019#1-AddedOnRampEdge 62634019#1 62634019#2.0 62634019#2.242 62634019#3-AddedOnRampEdge 62634019#3 62634019#3-AddedOffRampEdge 12111747.0 59671945#0.30 62093806#0 104526265#0.14 424080766 424080768#0 104523976#1 262962063 12189051#0 -12189051#1 424080770#0 424080772#0 12119506#0 -12156992#1 -386547297#1 -424080772#2 -424080772#1 -424080761#1 -62623960 62623959#0 386547296#0 386547296#1 424080773#0 279870839#0 279870839#2 450844960#0 62623926#1 450844950#0 38502259#0.19 450844933#1 196207115#0 196207115#2 196207115#3 196355332#0 450844979#0.0 450844982#0.19 62203497#0 62203497#2 62203497#3 12134479#1 34685684#0 34685684#2 388533143#0 388533143#2 12140627#0 63060729#0 -264253834#2 12156992#4 12156992#5 12156992#6 12156992#7 12156992#8 12156992#9 484953505 12148522#0 -12186058#4 -12186058#1 -386995465#1 -386995504#1 386995479#0 12157718#5 12157718#7 485017376 485017373#0 387422135#0 424769003#0 424769003#1 -30953396#1 -30953396#0 -424769006 -424769005 -424769002 -30953391 -43569848 -393884751 12159702 424764853 12149178#0 50189796 50189564 12149178#2 145605533#0 145605533#1-AddedOnRampEdge 145605533#1 145605511#1-AddedOnRampEdge 145605511#12 145605511#1.148"/&gt;</t>
  </si>
  <si>
    <t xml:space="preserve"> edges="31909473.0 31909473.857 62634019#1-AddedOnRampEdge 62634019#1 62634019#2.0 62634019#2.242 62634019#3-AddedOnRampEdge 62634019#3 62634019#3-AddedOffRampEdge 12111747.0 59671945#0.30 62093806#0 104526265#0.14 424080766 424080768#0 104523976#1 262962063 12189051#0 -12189051#1 424080770#0 424080772#0 12119506#0 -12156992#1 -386547297#1 -424080772#2 -424080772#1 -424080761#1 -62623960 62623959#0 386547296#0 386547296#1 424080773#0 279870839#0 279870839#2 450844960#0 62623926#1 450844950#0 38502259#0.19 450844933#1 196207115#0 196207115#2 196207115#3 196355332#0 450844979#0.0 450844982#0.19 62203497#0 62203497#2 62203497#3 12134479#1 34685684#0 34685684#2 388533143#0 388533143#2 12140627#0 63060729#0 -264253834#2 12156992#4 12156992#5 12156992#6 12156992#7 12156992#8 12156992#9 484953505 12148522#0 485017381#0 485017381#1 -30953396#1 30953396#1 -424769003#1 -424769003#0 12157002#0 12157002#1 12157002#3 12157002#5 12114396#4 -12156992#10 -12156992#8 -12156992#7 -12156992#6 -12156992#5 -12156992#4 -12156992#3 -12156992#2 -12156992#1 -386547297#1 -424080772#2 -424080772#1 -262962065#1 -262962063 -424080764 -424080768#1 -424080766 -104526265#1 -262962068#1 -424080774 -32122059#1 -32122059#0 -196393940#2 -196393940#0"/&gt;</t>
  </si>
  <si>
    <t xml:space="preserve"> edges="31909473.0 31909473.857 62634019#1-AddedOnRampEdge 62634019#1 62634019#2.0 62634019#2.242 62634019#3-AddedOnRampEdge 62634019#3 62634019#3-AddedOffRampEdge 12111747.0 59671945#0.30 62093806#0 104526265#0.14 424080766 424080768#0 104523976#1 262962063 12189051#0 -12189051#1 424080770#0 424080772#0 12119506#0 -12156992#1 -386547297#1 -424080772#2 -424080772#1 -424080761#1 -62623960 62623959#0 386547296#0 386547296#1 424080773#0 279870839#0 279870839#2 450844960#0 62623926#1 450844950#0 38502259#0.19 450844933#1 196207115#0 196207115#2 196207115#3 196355332#0 450844979#0.0 450844982#0.19 62203497#0 62203497#2 62203497#3 12134479#1 34685684#0 34685684#2 388533143#0 388533143#2 12140627#0 63060729#0 -264253834#2 12156992#4 12156992#5 12156992#6 12156992#7 12156992#8 12156992#9 484953505 12148522#0 485017381#0 485017381#1 -30953396#1 30953396#1 -424769003#1 -424769003#0 12157002#0 12157002#1 12157002#3 12157002#5 12114396#4 -12156992#10 -12156992#8 -12156992#7 -12156992#6 -12156992#5 -12156992#4 -12156992#3 -12156992#2 -12156992#1 -386547297#1 -424080772#2 -424080772#1 -262962065#1 -262962063 -424080764 -424080768#1 -424080766 -104526265#1 30953497#0 30953497#2 30953497#3 42706585#0 42706585#1 30953320 30953320-AddedOffRampEdge 104526277 30953215#1-AddedOnRampEdge 30953215#1 121643865#0 12110705 50715233#0 50715233#0-AddedOffRampEdge 50715233#1.0 62203285#14.24 gneE59.30.0.55 gneE59.30.0.0 43539373#0.0.292.17 gneE58 gneE56 gneE54.0 gneE62.13 gneE81.0 gneE6.0 424765883 43539378#0.15 43539378#1 -393884751 12159702 424764853 12149178#0 50189796 50189564 12149178#2 145605533#0 145605533#1-AddedOnRampEdge 145605533#1 145605511#1-AddedOnRampEdge 145605511#12 145605511#1.148"/&gt;</t>
  </si>
  <si>
    <t xml:space="preserve"> edges="31909473.0 31909473.857 62634019#1-AddedOnRampEdge 62634019#1 62634019#2.0 62634019#2.242 62634019#3-AddedOnRampEdge 62634019#3 62634019#3-AddedOffRampEdge 12111747.0 59671945#0.30 62093806#0 104526265#0.14 424080766 424080768#0 104523976#1 262962063 12189051#0 -12189051#1 424080770#0 424080772#0 12119506#0 -12156992#1 -386547297#1 -424080772#2 -424080772#1 -424080761#1 -62623960 62623959#0 386547296#0 386547296#1 424080773#0 279870839#0 279870839#2 450844960#0 62623926#1 450844950#0 38502259#0.19 450844933#1 196207115#0 196207115#2 196207115#3 196355332#0 450844979#0.0 450844982#0.19 62203497#0 62203497#2 62203497#3 12134479#1 34685684#0 34685684#2 388533143#0 388533143#2 12140627#0 63060729#0 -264253834#2 12156992#4 12156992#5 12156992#6 12156992#7 12156992#8 12156992#9 484953505 12148522#0 485017381#0 485017381#1 -30953396#1 30953396#1 -424769003#1 -424769003#0 12157002#0 12157002#1 12186058#2 485017381#0 -12157718#12 -12157718#10 -12157718#9 -12157718#8 -12157718#6 386995479#1 386995479#2 386995479#3 386995479#4 386995479#5 386995479#6 386995490#0.0 12154359#1.20 12154359#2 -386995521#1 -386995521#0 43357814#0 43357814#1 42706837#4 42706837#5 12154359#5 12154359#6 386995531#1 386995531#2 386995531#3 386995531#4 12172918#2 gneE73 gneE75.0 gneE80.125"/&gt;</t>
  </si>
  <si>
    <t xml:space="preserve"> edges="31909473.0 31909473.857 62634019#1-AddedOnRampEdge 62634019#1 62634019#2.0 62634019#2.242 62634019#3-AddedOnRampEdge 62634019#3 62634019#3-AddedOffRampEdge 12111747.0 59671945#0.30 62093806#0 104526265#0.14 424080766 424080768#0 104523976#1 262962063 12189051#0 -12189051#1 424080770#0 424080772#0 424080772#2 386547297#0 424080771#0 424080767#0 386547298#0 424769177 424080769#0 55179414#0 12187610#0 -484953508#2 424801339#0 62646509#0 424801338#0 424801338#1 12117702#0 12117702#4 12117702#7 -32121146#3 -32121146#1 55179413#0 424769182 -450827405#2 -450827400#2 -450827382 -450827385#1 12134222#0 12134222#2 12134222#3 386547311#11 386547311#13 357338496#0 357338496#2 450695461#0 62646494#0 424801336#0 484842168#0 283621820 -28555309#1 -424801341 -283621822#1 -424801343#1 -424801343#0 49991658 424801340 424801342 386550018#0 386550018#0-AddedOffRampEdge 386550018#1 49991638 -12144161#0 12144161#0 12144161#1 49991657 283621821#1 283621821#1-AddedOffRampEdge 283621821#2 49991647#1 49991647#2 63060732#0 63060732#1 63060732#2.0 63060732#2.116 50033027 -50033029 50033050#0 50033050#2 424799828 424799825 424799826 50033054 63060727 50033029 50033028#0 50033028#3 50033028#5 50033028#6 49991646 386547300#0 283621823 386547301-AddedOnRampEdge 386547301 424801344#0 424801343#1 283621822#0 424801341 28555309#0 49991649#0 424986163#0 51049946#0 424801337#0 357338497#0 357338497#2 450695460#0 62646499#0 62646499#2 450827424#0 62646508#0 62646508#2 424799820 424799823#0 50033059#0 50033059#2 50033059#3 50033059#4 388756839#0 388756839#1 388756838#0 12136923#0 386547309#0 386547309#2 386547309#3 386547309#5 386547309#7 51050030#4 51050030#7 gneE35 -gneE34.0 --gneE83.0"/&gt;</t>
  </si>
  <si>
    <t xml:space="preserve"> edges="31909473.0 31909473.857 62634019#1-AddedOnRampEdge 62634019#1 62634019#2.0 62634019#2.242 62634019#3-AddedOnRampEdge 62634019#3 62634019#3-AddedOffRampEdge 12111747.0 59671945#0.30 62093806#0 104526265#0.14 424080766 424080768#0 104523976#1 262962063 12189051#0 -12189051#1 424080770#0 424080772#0 424080772#2 386547297#0 424080771#0 424080767#0 386547298#0 424769177 424080769#0 55179414#0 12187610#0 -484953508#2 424801339#0 62646509#0 424801338#0 424801338#1 357338496#0 357338487#0 -12134222#6 -12134222#4 -12134222#2 -12134222#1 12175523#0 484953509#4 51050030#0 386547309#9 12180696#0 12180696#2 12180696#4 12180696#6 386547306#0 386547306#4 386547306#6 51049745#0 51049745#2 51049745#3 484842179#16.0 62094032#0.9 288513230#0 288513232 484842173 50033030#0 -424801341 -283621822#1 -424801343#1 -424801343#0 49991658 424801340 424801342 386550018#0 386550018#0-AddedOffRampEdge 386550018#1 49991638 -12144161#0 12144161#0 12144161#1 49991657 283621821#1 283621821#1-AddedOffRampEdge 283621821#2 49991647#1 49991647#2 63060732#0 63060732#1 63060732#2.0 63060732#2.116 50033027 -50033029 50033050#0 50033050#2 424799828 424799825 424799826 50033054 63060727 50033029 50033028#0 50033028#3 50033028#5 50033028#6 49991646 386547300#0 283621823 386547301-AddedOnRampEdge 386547301 424801344#0 424801343#1 283621822#0 424801341 28555309#0 49991649#0 424986163#0 51049946#0 424801337#0 357338497#0 357338497#2 450695460#0 62646499#0 62646499#2 450827424#0 62646508#0 62646508#2 424799820 424799823#0 50033059#0 50033059#2 50033059#3 50033059#4 388756839#0 388756839#1 388756838#0 12136923#0 386547309#0 386547309#2 386547309#3 386547309#5 386547309#7 51050030#4 51050030#7 gneE35 -gneE34.0 --gneE83.0"/&gt;</t>
  </si>
  <si>
    <t xml:space="preserve"> edges="31909473.0 31909473.857 62634019#1-AddedOnRampEdge 62634019#1 62634019#2.0 62634019#2.242 62634019#3-AddedOnRampEdge 62634019#3 62634019#3-AddedOffRampEdge 12111747.0 59671945#0.30 62093806#0 104526265#0.14 424080766 424080768#0 104523976#1 262962063 12189051#0 -12189051#1 424080770#0 424080772#0 424080772#2 386547297#0 424080771#0 424080767#0 386547298#0 424769177 424080769#0 55179414#0 12187610#0 -484953508#2 424801339#0 62646509#0 424801338#0 424801338#1 357338496#0 357338487#0 -12134222#6 -12134222#4 -12134222#2 -12134222#1 12175523#0 484953509#4 51050030#0 386547309#9 12180696#0 12180696#2 386547311#6 386547311#8 386547311#9 -12134222#4 -12134222#2 -12134222#1 12175523#0 484953509#4 51050030#0 386547309#9 12180696#0 12180696#2 12180696#4 12180696#6 386547306#0 386547306#4 386547306#6 51049745#0 51049745#2 51049745#3 484842179#16.0 62094032#0.9 288513230#0 288513232 484842173 50033030#0 -424801341 -283621822#1 -424801343#1 -424801343#0 49991658 424801340 424801342 386550018#0 386550018#0-AddedOffRampEdge 386550018#1 49991638 -12144161#0 12144161#0 12144161#1 49991657 283621821#1 283621821#1-AddedOffRampEdge 283621821#2 49991647#1 49991647#2 63060732#0 63060732#1 63060732#2.0 63060732#2.116 50033027 -50033029 50033050#0 50033050#2 424799828 424799825 424799826 50033054 63060727 50033029 50033028#0 50033028#3 50033028#5 50033028#6 49991646 386547300#0 283621823 386547301-AddedOnRampEdge 386547301 424801344#0 424801343#1 283621822#0 424801341 28555309#0 49991649#0 424986163#0 51049946#0 424801337#0 357338497#0 357338497#2 450695460#0 62646499#0 62646499#2 450827424#0 62646508#0 62646508#2 424799820 424799823#0 50033059#0 50033059#2 50033059#3 50033059#4 388756839#0 388756839#1 388756838#0 12136923#0 386547309#0 386547309#2 386547309#3 386547309#5 386547309#7 51050030#4 51050030#7 gneE35 -gneE34.0 --gneE83.0"/&gt;</t>
  </si>
  <si>
    <t xml:space="preserve"> edges="31909473.0 31909473.857 62634019#1-AddedOnRampEdge 62634019#1 62634019#2.0 62634019#2.242 62634019#3-AddedOnRampEdge 62634019#3 62634019#3-AddedOffRampEdge 12111747.0 59671945#0.30 62093806#0 104526265#0.14 424080766 424080768#0 104523976#1 262962063 12189051#0 -12189051#1 424080770#0 424080772#0 424080772#2 386547297#0 424080771#0 424080767#0 386547298#0 424769177 424080769#0 55179414#0 12187610#0 -484953508#2 424801339#0 62646509#0 424801338#0 424801338#1 357338496#0 357338487#0 -12134222#6 -12134222#4 -12134222#2 -12134222#1 12175523#0 484953509#4 51050030#0 386547309#9 12180696#0 12180696#2 386547311#6 386547311#8 386547311#9 -12134222#4 -12134222#2 -12134222#1 12175523#0 484953509#4 51050030#0 386547309#9 12180696#0 12180696#2 386547311#6 386547311#8 386547311#9 -12134222#4 -12134222#2 -12134222#1 450827385#0 450827382 450827400#0 62646509#0 424801338#0 424801338#1 12117702#0 12117702#4 12117702#7 -32121146#3 -32121146#1 55179413#0 424769182 -450827405#2 -450827400#2 -450827382 -450827385#1 12134222#0 12134222#2 12134222#3 386547311#11 386547311#13 357338496#0 357338496#2 450695461#0 62646494#0 424801336#0 484842168#0 283621820 -28555309#1 -424801341 -283621822#1 -424801343#1 -424801343#0 49991658 424801340 424801342 386550018#0 386550018#0-AddedOffRampEdge 386550018#1 49991638 -12144161#0 12144161#0 12144161#1 49991657 283621821#1 283621821#1-AddedOffRampEdge 283621821#2 49991647#1 49991647#2 63060732#0 63060732#1 63060732#2.0 63060732#2.116 50033027 -50033029 50033050#0 50033050#2 424799828 424799825 424799826 50033054 63060727 50033029 50033028#0 50033028#3 50033028#5 50033028#6 49991646 386547300#0 283621823 386547301-AddedOnRampEdge 386547301 424801344#0 424801343#1 283621822#0 424801341 28555309#0 49991649#0 424986163#0 51049946#0 424801337#0 357338497#0 357338497#2 450695460#0 62646499#0 62646499#2 450827424#0 62646508#0 62646508#2 424799820 424799823#0 50033059#0 50033059#2 50033059#3 50033059#4 388756839#0 388756839#1 388756838#0 12136923#0 386547309#0 386547309#2 386547309#3 386547309#5 386547309#7 51050030#4 51050030#7 gneE35 -gneE34.0 --gneE83.0"/&gt;</t>
  </si>
  <si>
    <t xml:space="preserve"> edges="31909473.0 31909473.857 62634019#1-AddedOnRampEdge 62634019#1 62634019#2.0 62634019#2.242 62634019#3-AddedOnRampEdge 62634019#3 62634019#3-AddedOffRampEdge 12111747.0 59671945#0.30 62093806#0 30953497#0 30953497#2 35920555#0.0 35920555#0.75 62203066 43331031.0 43331031.436 42706585#0 42706585#1 30953320 30953320-AddedOffRampEdge 30953315 104526276-AddedOnRampEdge 104526276 51758697#0 51758697#1-AddedOnRampEdge 51758697#1"/&gt;</t>
  </si>
  <si>
    <t xml:space="preserve"> edges="31909473.0 31909473.857 62634019#1-AddedOnRampEdge 62634019#1 62634019#2.0 62634019#2.242 62634019#3-AddedOnRampEdge 62634019#3 62634019#3-AddedOffRampEdge 12111747.0 62203498#0 62093806#0 104526265#0.14 424080766 424080768#0 104523976#1 262962063 424080770#0 -424080761#1 -62623960 62623959#0 386547296#0 386547296#1 424080773#0 104523976#1 262962063 424080770#0 424080772#0 424080772#2 386547297#0 424080771#0 424080767#0 386547298#0 424769177 424080769#0 55179414#0 55179413#0 424769182 -450827405#2 -450827400#2 -450827382 -450827385#1 -450827391#1 -450827381 -450827397#1 12180696#0 59435515#1 59435515#2 59435515#3 59435515#4 424801338#1 12117702#0 12117702#4 12117702#7 -32121146#3 12202008#2.0 12202008#2.171 62646499#2 450827424#0 450827405#0 262962062 -55179413#2 12187610#0 12187610#2 12187610#3 -62105579 12186909#0 12186909#1 12186909#2 12186909#4 12186909#6 386995479#0 12157718#5 12157718#7 485017376 485017373#0 387422135#0 424769003#0 424769003#1 -30953396#1 -30953396#0 -424769006 -424769005 -424769002 -30953391 -43569848 -393884751 12159702 424764853 12149178#0 50189796 50189564 12149178#2 145605533#0 145605533#1-AddedOnRampEdge 145605533#1 145605511#1-AddedOnRampEdge 145605511#12 145605511#1.148"/&gt;</t>
  </si>
  <si>
    <t xml:space="preserve"> edges="31909473.0 31909473.857 62634019#1-AddedOnRampEdge 62634019#1 62634019#2.0 62634019#2.242 62634019#3-AddedOnRampEdge 62634019#3 62634019#3-AddedOffRampEdge 12111747.0 62203498#0 62093806#0 104526265#0.14 424080766 424080768#0 104523976#1 262962063 424080770#0 -424080761#1 -62623960 62623959#0 386547296#0 386547296#1 424080773#0 279870839#0 279870839#2 450844960#0 62623926#1 450844950#0 38502259#0.19 450844933#1 196207110#0 196207110#2"/&gt;</t>
  </si>
  <si>
    <t xml:space="preserve"> edges="31909473.0 31909473.857 62634019#1-AddedOnRampEdge 62634019#1 62634019#2.0 62634019#2.242 62634019#3-AddedOnRampEdge 62634019#3 62634019#3-AddedOffRampEdge 12111747.0 62203498#0 62093806#0 104526265#0.14 424080766 424080768#0 104523976#1 262962063 424080770#0 -424080761#1 -62623960 62623959#0 386547296#0 386547296#1 424080773#0 279870839#0 279870839#2 450844960#0 62623926#1 450844950#0 38502259#0.19 450844933#1 196207110#0 196355327#2 196355327#5 -196393940#0"/&gt;</t>
  </si>
  <si>
    <t xml:space="preserve"> edges="31909473.0 31909473.857 62634019#1-AddedOnRampEdge 62634019#1 62634019#2.0 62634019#2.242 62634019#3-AddedOnRampEdge 62634019#3 62634019#3-AddedOffRampEdge 12111747.0 62203498#0 62093806#0 104526265#0.14 424080766 424080768#0 104523976#1 262962063 424080770#0 424080772#0 424080772#2 386547297#0 424080771#0 424080767#0 386547298#0 424769177 424080769#0 12144152#0 12144152#2 12144152#4 12144152#6 12157151#0 12166276#2 -32121146#5 12117702#9 450844953#0 450844953#2 450844953#3 450844947#0 388533142#0 388533142#2 12189045#0 62623987#0 62623987#1 -12142631 12202018 62623986#1 62623986#2 -12189051#1 -262962063 -424080764 -424080768#1 -424080766 -104526265#1 -262962068#1 -424080774 -32122059#1 -32122059#0 -196393940#2 -196393940#0"/&gt;</t>
  </si>
  <si>
    <t xml:space="preserve"> edges="31909473.0 31909473.857 62634019#1-AddedOnRampEdge 62634019#1 62634019#2.0 62634019#2.242 62634019#3-AddedOnRampEdge 62634019#3 62634019#3-AddedOffRampEdge 12111747.0 62203498#0 62093806#0 104526265#0.14 424080766 424080768#0 104523976#1 262962063 424080770#0 424080772#0 424080772#2 386547297#0 424080771#0 424080767#0 386547298#0 424769177 424080769#0 12144152#0 12144152#2 12144152#4 12166276#0 -351053388#2 12144152#7 450844965#0 388533145#0 -12168663#6 -484953513#2 -484953514#2 -284556051#4 -284556051#2 51050278#0.0 gneE16 -12165855#3.1535 386547306#4 386547306#6 51049745#0 51049745#2 51049745#3 484842179#16.0 62094032#0.9 288513230#0 288513232 484842173 50033030#0 -424801341 -283621822#1 -424801343#1 -424801343#0 49991658 424801340 424801342 386550018#0 386550018#0-AddedOffRampEdge 386550018#1 49991638 -12144161#0 12144161#0 12144161#1 49991657 283621821#1 283621821#1-AddedOffRampEdge 283621821#2 49991647#1 49991647#2 63060732#0 63060732#1 63060732#2.0 63060732#2.116 50033027 -50033029 50033050#0 50033050#2 424799828 424799825 424799826 50033054 63060727 50033029 50033028#0 50033028#3 50033028#5 50033028#6 49991646 386547300#0 283621823 386547301-AddedOnRampEdge 386547301 424801344#0 424801343#1 283621822#0 424801341 28555309#0 49991649#0 424986163#0 51049946#0 424801337#0 357338497#0 357338497#2 450695460#0 62646499#0 62646499#2 450827424#0 62646508#0 62646508#2 424799820 424799823#0 50033059#0 50033059#2 50033059#3 50033059#4 388756839#0 388756839#1 388756838#0 12136923#0 386547309#0 386547309#2 386547309#3 386547309#5 386547309#7 51050030#4 51050030#7 gneE35 -gneE34.0 --gneE83.0"/&gt;</t>
  </si>
  <si>
    <t xml:space="preserve"> edges="31909473.0 31909473.857 62634019#1-AddedOnRampEdge 62634019#1 62634019#2.0 62634019#2.242 62634019#3-AddedOnRampEdge 62634019#3 62634019#3-AddedOffRampEdge 12111747.0 62203498#0 62093806#0 104526265#0.14 424080766 424080768#0 104523976#1 262962063 424080770#0 424080772#0 424080772#2 386547297#0 424080771#0 424080767#0 386547298#0 424769177 424080769#0 12144152#0 12144152#2 12144152#4 12166276#0 -351053388#2 12144152#7 450844965#0 388533145#0 -12168663#6 -484953513#2 -484953514#2 -284556051#4 -284556051#2 51050278#0.0 gneE16 -12165855#3.1535 386547306#4 386547306#6 51049745#0 51049745#2 51049745#3 484842179#16.0 62094032#0.9 288513230#0 288513232 484842173 50033030#0 -424801341 -283621822#1 -424801343#1 -424801343#0 49991658 424801340 424801342 386550018#0 386550018#0-AddedOffRampEdge 386550018#1 49991638 -12144161#0 12144161#0 12144161#1 49991657 283621821#1 283621821#1-AddedOffRampEdge 283621821#2 49991647#1 49991647#2 63060732#0 63060732#1 63060732#2.0 63060732#2.116 50033027 -50033029 50033050#0 50033050#2 424799828 424799825 424799826 50033054 63060727 50033029 50033028#0 50033028#3 50033028#5 50033028#6 49991646 386547300#0 283621823 386547301-AddedOnRampEdge 386547301 424801344#0 424801343#1 283621822#0 424801341 28555309#0 49991649#0 424986163#0 51049946#0 424801337#0 357338497#0 357338497#2 450695460#0 62646499#0 62646499#2 450827424#0 62646508#0 62646508#2 424799820 424799823#0 50033059#0 50033059#2 50033059#3 50033059#4 388756839#0 388756839#1 388756838#0 12136923#0 386547309#0 386547309#2 386547309#3 386547309#5 484953510#2 42706825#0 42706825#2 42706825#4 42706825#5 121319046 12188656 -50033558#2 12203859#0 12203859#1 42706831#4 42706831#5 -12180988#5 63060729#4 63060729#7 63060729#10 -42706823#3 -42706823#1 42706831#0 42706831#4 42706831#5 42706831#6 32121234#0 32121234#1 32121234#2 50033558#2 50033558#3 50033558#4 50033558#6 50033058#0 386995514#9 386995486#0 32121111#11 -12177521#0 -121319040#0 -51155368#5 -50033558#5 -50033558#3 -12188656 -121319046 -42706825#7 -42706825#4 -42706825#3 -42706825#1 194358815 194358817#0 194358817#1 194358817#2 12114363#0 12114363#1 -50033059#4 12175537#0 12175537#2 485017371#0 484953507#1 12182281#8 12182281#9 12167232#0 12167232#1 12167232#2 12152013#4 51050425#4 386995537 386995551 387422150#0 387422150#1 386995531#3 386995531#4 12172918#2 gneE73 gneE75.0 gneE80.125"/&gt;</t>
  </si>
  <si>
    <t xml:space="preserve"> edges="31909473.0 31909473.857 62634019#1-AddedOnRampEdge 62634019#1 62634019#2.0 62634019#2.242 62634019#3-AddedOnRampEdge 62634019#3 62634019#3-AddedOffRampEdge 12111747.0 62203498#0 62093806#0 104526265#0.14 424080766 424080768#0 104523976#1 262962063 424080770#0 424080772#0 424080772#2 386547297#0 424080771#0 424080767#0 386547298#0 424769177 424080769#0 12144152#0 12144152#2 450844953#0 450844953#2 450844953#3 450844947#0 388533142#0 388533142#2 388533142#4 62623926#0 62623926#1 450844950#0 12189453#0.0.0 450844982#0.19 62203497#0 62203497#2 62203497#3 12134479#1 34685684#0 34685684#2 388533143#0 388533143#2 12140627#0 63060729#0 -264253834#2 12156992#4 12156992#5 12156992#6 12156992#7 12156992#8 12156992#9 484953505 12148522#0 485017381#0 485017381#1 -30953396#1 30953396#1 -424769003#1 -424769003#0 12157002#0 12157002#1 12186058#2 485017381#0 -12157718#12 -12157718#10 -12157718#9 -12157718#8 -12157718#6 386995479#1 386995479#2 386995479#3 386995479#4 386995479#5 386995479#6 386995490#0.0 12154359#1.20 12154359#2 -386995521#1 -386995521#0 43357814#0 43357814#1 42706837#4 42706837#5 12154359#5 12154359#6 386995531#1 386995531#2 386995531#3 386995531#4 12172918#2 gneE73 gneE75.0 gneE80.125"/&gt;</t>
  </si>
  <si>
    <t xml:space="preserve"> edges="31909473.0 31909473.857 62634019#1-AddedOnRampEdge 62634019#1 62634019#2.0 62634019#2.242 62634019#3-AddedOnRampEdge 62634019#3 62634019#3-AddedOffRampEdge 12111747.0 62203498#0 62093806#0 104526265#0.14 424080766 424080768#0 104523976#1 262962063 424080770#0 424080772#0 424080772#2 386547297#0 424080771#0 424080767#0 386547298#0 424769177 424080769#0 12144152#0 12144152#2 450844953#0 450844953#2 450844953#3 450844947#0 388533142#0 388533142#2 388533142#4 62623926#0 62623926#1 450844950#0 12189453#0.0.0 450844982#0.19 62203497#0 62203497#2 62203497#3 12134479#1 34685684#0 34685684#2 450844947#0 388533142#0 388533142#2 12189045#0 62623987#0 62623987#1 -12142631 12202018 62623986#1 62623986#2 -12189051#1 -262962063 -424080764 -424080768#1 -424080766 -104526265#1 -262962068#1 -424080774 -32122059#1 -32122059#0 -196393940#2 -196393940#0"/&gt;</t>
  </si>
  <si>
    <t xml:space="preserve"> edges="31909473.0 31909473.857 62634019#1-AddedOnRampEdge 62634019#1 62634019#2.0 62634019#2.242 62634019#3-AddedOnRampEdge 62634019#3 62634019#3-AddedOffRampEdge 30953251#1.0 30953251#1-AddedOffRampEdge 12112003 30953215#1-AddedOnRampEdge 30953215#1 121643865#0 12110705 50715233#0 50715233#0-AddedOffRampEdge 50715233#1.0 62203285#14.24 30908387 30908366#1-AddedOnRampEdge 30908366#1 121643863 121643862 51758697#0 51758697#1-AddedOnRampEdge 51758697#1 -gneE46.0 43357850.4841.18 gneE46 49887339#0.596 49887339#0-AddedOffRampEdge 49887339#1 49887339#1-AddedOffRampEdge 104524021 104524021-AddedOffRampEdge 50192637#0 50192637#1-AddedOnRampEdge 50192637#1.0.0 50192637#1.0.382.0.0 50192637#1.697 50192637#1-AddedOffRampEdge 30953181#1 30953181#2-AddedOnRampEdge 30953181#2 30953181#3-AddedOnRampEdge 30953181#3 30953181#3-AddedOffRampEdge 30952933#1.0 30952933#1.199"/&gt;</t>
  </si>
  <si>
    <t xml:space="preserve"> edges="31909473.0 31909473.857 62634019#1-AddedOnRampEdge 62634019#1 62634019#2.0 62634019#2.242 62634019#3-AddedOnRampEdge 62634019#3 62634019#3-AddedOffRampEdge 30953251#1.0 30953251#1-AddedOffRampEdge 12112003 30953215#1-AddedOnRampEdge 30953215#1 121643865#0 12110705 50715233#0 50715233#0-AddedOffRampEdge 50715233#1.0 62203285#14.24 30908387 30908366#1-AddedOnRampEdge 30908366#1 121643863 121643862 51758697#0 51758697#1-AddedOnRampEdge 51758697#1"/&gt;</t>
  </si>
  <si>
    <t xml:space="preserve"> edges="31909473.0 31909473.857 62634019#1-AddedOnRampEdge 62634019#1 62634019#2.0 62634019#2.242 62634019#3-AddedOnRampEdge 62634019#3 62634019#3-AddedOffRampEdge 30953251#1.0 30953251#1-AddedOffRampEdge 12112003 30953215#1-AddedOnRampEdge 30953215#1 121643865#0 12110705 50715233#0 50715233#0-AddedOffRampEdge 50715233#1.0 62203285#14.24 gneE59.30.0.55 gneE59.30.0.0 gneE59.0.0 gneE59.0.12 62203360#0 12159135 12149408#0 49914077 424767578 43569819 387422128#1 43569827#0 43569827#1 43569827#2 43569827#7 43569848 30953391 424769002 424769005 424769006 424769004 30953396#1 -424769003#1 -424769003#0 -485017374 42706828#0 42706828#2 12182281#0 12182281#3 12182281#5 12182281#6 386995507#4 386995507#5 386995507#6 12152013#1 12152013#2 -12175537#6 -12175537#5 -12175537#4 12182281#9 12182281#10 -388756839#1 -388756839#0 -50033059#4 -50033059#3 -50033059#2 -50033059#1 -50033558#8 -51155368#3 121319046 12188656 -50033558#2 12203859#0 12203859#1 42706831#4 42706831#5 42706831#6 42706874#0 42706874#2 12144152#0 12144152#2 450844953#0 450844953#2 450844953#3 450844947#0 388533142#0 388533142#2 388533142#4 62623926#0 62623926#1 450844950#0 12189453#0.0.0 450844982#0.19 62203497#0 62203497#2 62203497#3 12134479#1 34685684#0 34685684#2 388533143#0 388533143#2 12140627#0 63060729#0 -264253834#2 12156992#4 12156992#5 12156992#6 12156992#7 12156992#8 12156992#9 -12114396#5 -12114396#3 -12114396#1 485017383#0 485017382#0 485017382#1 211575484#0 -12177521#3 -12177521#2 -12177521#1 32121111#12 32121111#14 -12187610#5 -12187610#2 -12187610#1 12150608#0 32121146#2 12117702#9 450844953#0 450844953#2 450844953#3 450844947#0 388533142#0 388533142#2 388533142#4 62623926#0 62623926#1 450844950#0 38502259#0.19 450844933#1 196207110#0 196207110#2"/&gt;</t>
  </si>
  <si>
    <t xml:space="preserve"> edges="31909473.0 31909473.857 62634019#1-AddedOnRampEdge 62634019#1 62634019#2.0 62634019#2.242 62634019#3-AddedOnRampEdge 62634019#3 62634019#3-AddedOffRampEdge 30953251#1.0 30953251#1-AddedOffRampEdge 12112003 30953215#1-AddedOnRampEdge 30953215#1 121643865#0 12110705 50715233#0 50715233#0-AddedOffRampEdge 50715233#1.0 62203285#14.24 gneE59.30.0.55 gneE59.30.0.0 gneE59.0.0 gneE59.0.12 62203360#0 12159135 12149408#0 49914077 424767578 43569819 387422128#1 43569827#0 43569827#1 43569827#2 43569827#7 43569848 30953391 424769002 424769005 424769006 424769004 30953396#1 -424769003#1 -424769003#0 -485017374 42706828#0 42706828#2 12182281#0 12182281#3 12182281#5 12182281#6 386995507#4 386995507#5 386995507#6 12152013#1 12152013#2 -12175537#6 -12175537#5 -12175537#4 12182281#9 12182281#10 -388756839#1 -388756839#0 -50033059#4 -50033059#3 -50033059#2 -50033059#1 42706833#0 42706833#2 12189876#0 12189876#2 484953508#1 60185970#0 60185970#2 12149571#1 12187610#3 50033558#2 -12188656 -121319046 -42706825#7 12199713#0 12199713#1 -386995514#6 -386995514#5 -386995514#4 -386995514#3 194358817#0 194358817#1 194358817#2 12114363#0 12114363#1 -50033059#4 12175537#0 12175537#2 12175537#3 12175537#4 12175537#5 12175537#6 12175537#7 12175537#8 12175537#9 12175537#10 12175537#11 12175537#12 12155177#1 12155177#2 387422153#1 gneE73 gneE75.0 gneE80.125"/&gt;</t>
  </si>
  <si>
    <t xml:space="preserve"> edges="31909473.0 31909473.857 62634019#1-AddedOnRampEdge 62634019#1 62634019#2.0 62634019#2.242 62634019#3-AddedOnRampEdge 62634019#3 62634019#3-AddedOffRampEdge 30953251#1.0 30953251#1-AddedOffRampEdge 12112003 30953215#1-AddedOnRampEdge 30953215#1 121643865#0 12110705 50715233#0 50715233#0-AddedOffRampEdge 50715233#1.0 62203285#14.24 gneE59.30.0.55 gneE59.30.0.0 gneE59.0.0 gneE59.0.12 62203360#0 12159135 291433360#0 388756841#0 49914076#0 12111949#0 43539384#1.0 424764853 12149178#0 12149178#1 12149178#2 50189577 62203295 145605533#1-AddedOnRampEdge 145605533#1 145605511#1-AddedOnRampEdge 145605511#12 145605511#1.148"/&gt;</t>
  </si>
  <si>
    <t xml:space="preserve"> edges="31909473.0 31909473.857 62634019#1-AddedOnRampEdge 62634019#1 62634019#2.0 62634019#2.242 62634019#3-AddedOnRampEdge 62634019#3 62634019#3-AddedOffRampEdge 30953251#1.0 30953251#1-AddedOffRampEdge 12112003 30953215#1-AddedOnRampEdge 30953215#1 121643865#0 12110705 50715233#0 50715233#0-AddedOffRampEdge 50715233#1.0 62203285#14.24 gneE59.30.0.55 gneE59.30.0.0 gneE59.0.0 gneE59.0.12 62203360#0 12159135 291433360#0 388756841#0 49914076#0 12111949#0 43539384#1.0 424764853 43539372 12167183.0 gneE82 gneE56 gneE54.0 gneE62.13 gneE81.0 gneE6.0 424765883 43539378#0.15 43539378#1 -393884751 12159702 424764853 12149178#0 50189796 50189564 12149178#2 145605533#0 145605533#1-AddedOnRampEdge 145605533#1 145605511#1-AddedOnRampEdge 145605511#12 145605511#1.148"/&gt;</t>
  </si>
  <si>
    <t xml:space="preserve"> edges="31909473.0 31909473.857 62634019#1-AddedOnRampEdge 62634019#1 62634019#2.0 62634019#2.242 62634019#3-AddedOnRampEdge 62634019#3 62634019#3-AddedOffRampEdge 30953251#1.0 30953251#1-AddedOffRampEdge 12112003 30953215#1-AddedOnRampEdge 30953215#1 121643865#0 12110705 50715233#0 50715233#0-AddedOffRampEdge 50715233#1.0 62203285#14.24 gneE59.30.0.55 gneE59.30.0.0 gneE59.0.0 gneE59.0.12 62203360#0 291433361#0 132508433.0 -gneE6.0 gneE81.299.0 gneE81.299.79 gneE81.299.145 -gneE8 12154353#0 196393941#1 196393941#2 28533986 43539369#2 12178843#2 12178843#3 49960982#2 43569828#0 387422128#1 43569827#0 43569827#1 43569827#2 43569827#7 43569848 30953391 424769002 424769005 424769006 424769004 30953396#1 387422132#0 387422132#1 486653633#0 484953506#3 484953506#4 12157002#0 12157002#1 12157002#3 12157002#5 12114396#4 -12156992#10 -12156992#8 -12156992#7 -12156992#6 -12156992#5 -12156992#4 -12156992#3 -12156992#2 -12156992#1 -386547297#1 -424080772#2 -424080772#1 -262962065#1 -262962063 -424080764 -424080768#1 -424080766 -104526265#1 -262962068#1 -424080774 -32122059#1 -32122059#0 -196393940#2 -196393940#0"/&gt;</t>
  </si>
  <si>
    <t xml:space="preserve"> edges="31909473.0 31909473.857 62634019#1-AddedOnRampEdge 62634019#1 62634019#2.0 62634019#2.242 62634019#3-AddedOnRampEdge 62634019#3 62634019#3-AddedOffRampEdge 30953251#1.0 30953251#1-AddedOffRampEdge 12112003 30953215#1-AddedOnRampEdge 30953215#1 121643865#0 12110705 50715233#0 50715233#0-AddedOffRampEdge 50715233#1.0 62203285#14.24 gneE59.30.0.55 gneE59.30.0.0 gneE59.0.0 gneE59.0.12 62203360#0 291433361#0 132508433.0 -gneE6.0 gneE81.299.0 gneE81.299.79 gneE81.299.145 -gneE8 12154353#0 196393941#1 196393941#2 28533986 43539369#2 12178843#2 12178843#3 49960982#2 43569828#0 387422128#1 43569827#0 43569827#1 43569827#2 43569827#7 43569848 30953391 424769002 424769005 424769006 424769004 30953396#1 387422132#0 387422132#1 486653633#0 484953506#3 484953506#4 12157002#0 12157002#1 12157002#3 12157002#5 12114396#4 -12156992#10 -12156992#8 -12156992#7 -12156992#6 -12156992#5 -12156992#4 -12156992#3 -12156992#2 -12156992#1 -386547297#1 -424080772#2 -424080772#1 -262962065#1 -262962063 -424080764 -424080768#1 -424080766 -104526265#1 30953497#0 30953497#2 30953497#3 42706585#0 42706585#1 30953320 30953320-AddedOffRampEdge 104526277 30953215#1-AddedOnRampEdge 30953215#1 121643865#0 12110705 50715233#0 50715233#0-AddedOffRampEdge 50715233#1.0 62203285#14.24 gneE59.30.0.55 gneE59.30.0.0 gneE59.0.0 gneE59.0.12 62203360#0 12159135 12149408#0 49914077 424767578 43569819 387422128#1 43569827#0 43569827#1 43569827#2 43569827#7 43569848 30953391 424769002 424769005 424769006 424769004 30953396#1 -424769003#1 -424769003#0 -485017374 42706828#0 42706828#2 12182281#0 12182281#3 12182281#5 12182281#6 386995507#4 386995507#5 386995507#6 12152013#1 12152013#2 -12175537#6 -12175537#5 -12175537#4 12182281#9 12182281#10 -388756839#1 -388756839#0 -50033059#4 -50033059#3 -50033059#2 -50033059#1 -50033558#8 -51155368#3 121319046 12188656 -50033558#2 12203859#0 12203859#1 42706831#4 42706831#5 42706831#6 42706874#0 42706874#2 12144152#0 12144152#2 450844953#0 450844953#2 450844953#3 450844947#0 388533142#0 388533142#2 388533142#4 62623926#0 62623926#1 450844950#0 12189453#0.0.0 450844982#0.19 62203497#0 62203497#2 62203497#3 12134479#1 34685684#0 34685684#2 388533143#0 388533143#2 12140627#0 63060729#0 -264253834#2 12156992#4 12156992#5 12156992#6 12156992#7 12156992#8 12156992#9 -12114396#5 -12114396#3 -12114396#1 485017383#0 485017382#0 485017382#1 211575484#0 -12177521#3 -12177521#2 -12177521#1 32121111#12 32121111#14 -12187610#5 -12187610#2 -12187610#1 12150608#0 32121146#2 12117702#9 450844953#0 450844953#2 450844953#3 450844947#0 388533142#0 388533142#2 388533142#4 62623926#0 62623926#1 450844950#0 38502259#0.19 450844933#1 196207110#0 196207110#2"/&gt;</t>
  </si>
  <si>
    <t xml:space="preserve"> edges="31909473.0 31909473.857 62634019#1-AddedOnRampEdge 62634019#1 62634019#2.0 62634019#2.242 62634019#3-AddedOnRampEdge 62634019#3 62634019#3-AddedOffRampEdge 30953251#1.0 30953251#1-AddedOffRampEdge 12112003 30953215#1-AddedOnRampEdge 30953215#1 121643865#0 12110705 50715233#0 50715233#0-AddedOffRampEdge 50715233#1.0 62203285#14.24 gneE59.30.0.55 gneE59.30.0.0 gneE59.0.0 gneE59.0.12 62203360#0 291433361#0 132508433.0 -gneE6.0 gneE81.299.0 gneE81.299.79 gneE81.299.145 -gneE8 12154353#0 196393941#1 196393941#2 28533986 43539369#2 12178843#2 12178843#3 49960982#2 43569828#0 387422128#1 43569827#0 43569827#1 43569827#2 43569827#7 43569848 30953391 424769002 424769005 424769006 424769004 30953396#1 387422132#0 387422132#1 486653633#0 484953506#3 484953506#4 12157002#0 12157002#1 12157002#3 12157002#5 12114396#4 -12156992#10 -12156992#8 -12156992#7 -12156992#6 -12156992#5 -12156992#4 -12156992#3 -12156992#2 -12156992#1 -386547297#1 -424080772#2 -424080772#1 -262962065#1 -262962063 -424080764 -424080768#1 -424080766 -104526265#1 30953497#0 30953497#2 30953497#3 42706585#0 42706585#1 30953320 30953320-AddedOffRampEdge 104526277 30953215#1-AddedOnRampEdge 30953215#1 121643865#0 12110705 50715233#0 50715233#0-AddedOffRampEdge 50715233#1.0 62203285#14.24 gneE59.30.0.55 gneE59.30.0.0 gneE59.0.0 gneE59.0.12 62203360#0 12159135 12149408#0 49914077 424767578 43569819 387422128#1 43569827#0 43569827#1 43569827#2 43569827#7 43569848 30953391 424769002 424769005 424769006 424769004 30953396#1 -424769003#1 -424769003#0 -485017374 42706828#0 42706828#2 12182281#0 12182281#3 12182281#5 12182281#6 386995507#4 386995507#5 386995507#6 12152013#1 12152013#2 -12175537#6 -12175537#5 -12175537#4 12182281#9 12182281#10 -388756839#1 -388756839#0 -50033059#4 -50033059#3 -50033059#2 -50033059#1 42706833#0 42706833#2 -42706825#7 12199713#0 12199713#1 -386995514#6 -386995514#5 -386995514#4 -386995514#3 -386995514#2 -386995514#1 12159500#1 12159500#2 51050030#7 gneE35 -gneE34.0 --gneE83.0"/&gt;</t>
  </si>
  <si>
    <t xml:space="preserve"> edges="31909473.0 31909473.857 62634019#1-AddedOnRampEdge 62634019#1 62634019#2.0 62634019#2.242 62634019#3-AddedOnRampEdge 62634019#3 62634019#3-AddedOffRampEdge 30953251#1.0 30953251#1-AddedOffRampEdge 12112003 30953215#1-AddedOnRampEdge 30953215#1 121643865#0 12110705 50715233#0 50715233#0-AddedOffRampEdge 50715233#1.0 62203285#14.24 gneE59.30.0.55 gneE59.30.0.0 gneE59.0.0 gneE59.0.12 62203360#0 291433361#0 132508433.0 -gneE6.0 gneE81.299.0 gneE81.299.79 gneE81.299.145 -gneE8 12154353#0 196393941#1 196393941#2 28533986 43539369#2 12178843#2 12178843#3 49960982#2 43569828#0 387422128#1 43569827#0 43569827#1 43569827#2 43569827#7 43569848 30953391 424769002 424769005 424769006 424769004 30953396#1 387422132#0 387422132#1 486653633#0 484953506#3 484953506#4 12157002#0 12157002#1 12157002#3 12157002#5 12114396#4 -12156992#10 -12156992#8 -12156992#7 -12156992#6 -12156992#5 -12156992#4 -12156992#3 -12156992#2 -12156992#1 -386547297#1 -424080772#2 -424080772#1 -262962065#1 -262962063 -424080764 -424080768#1 -424080766 -104526265#1 30953497#0 30953497#2 35920555#0.0 35920555#0.75 62203066 43331031.0 43331031.436 42706585#0 42706585#1 30953320 30953320-AddedOffRampEdge 30953315 104526276-AddedOnRampEdge 104526276 51758697#0 51758697#1-AddedOnRampEdge 51758697#1"/&gt;</t>
  </si>
  <si>
    <t xml:space="preserve"> edges="31909473.0 31909473.857 62634019#1-AddedOnRampEdge 62634019#1 62634019#2.0 62634019#2.242 62634019#3-AddedOnRampEdge 62634019#3 62634019#3-AddedOffRampEdge 30953251#1.0 30953251#1-AddedOffRampEdge 30953251#2.0 104526276-AddedOnRampEdge 104526276 51758697#0 51758697#1-AddedOnRampEdge 51758697#1 -gneE46.0 43357850.4841.18 -gneE45 -485017363 -43117585#0 12185366#0 12185366#2 12185366#3 12185366#4 12185366#5 12185366#7 12185366#9 387422145#0 -12157718#6 386995479#1 386995479#2 386995479#3 386995479#4 386995479#5 386995479#6 386995490#0.0 12154359#1.20 12154359#2 12154359#3 12154359#4 42706837#6 42706837#7 42706837#8 12155177#0 12155177#1 386995531#4 12172918#2 gneE73 gneE75.0 gneE80.125"/&gt;</t>
  </si>
  <si>
    <t xml:space="preserve"> edges="31909473.0 31909473.857 62634019#1-AddedOnRampEdge 62634019#1 62634019#2.0 62634019#2.242 62634019#3-AddedOnRampEdge 62634019#3 62634019#3-AddedOffRampEdge 30953251#1.0 30953251#1-AddedOffRampEdge 30953251#2.0 104526276-AddedOnRampEdge 104526276 51758697#0 51758697#1-AddedOnRampEdge 51758697#1 -gneE46.0 43357850.4841.18 -gneE45 -485017363 -43117585#0 12185366#0 12185366#2 12185366#3 12185366#4 12185366#5 12185366#7 12185366#9 387422145#0 -12157718#6 386995479#1 386995479#2 386995479#3 386995479#4 386995479#5 386995479#6 386995490#0.0 12154359#1.20 12154359#2 12154359#3 12154359#4 42706837#6 42706837#7 42706837#8 12155177#0 12175537#13 12172918#1 12172918#2 gneE73 gneE75.0 gneE80.125"/&gt;</t>
  </si>
  <si>
    <t xml:space="preserve"> edges="31909473.0 31909473.857 62634019#1-AddedOnRampEdge 62634019#1 62634019#2.0 62634019#2.242 62634019#3-AddedOnRampEdge 62634019#3 62634019#3-AddedOffRampEdge 30953251#1.0 30953251#1-AddedOffRampEdge 30953251#2.0 104526276-AddedOnRampEdge 104526276 51758697#0 51758697#1-AddedOnRampEdge 51758697#1 -gneE46.0 43357850.4841.18 -gneE45 -485017363 -43117585#0 42706797#0 -12171305#1 12178852#1 386995490#0.0 12154359#1.20 32121111#1 32121111#2 32121111#3 12152013#0 386995507#7 43357814#0 43357814#1 42706837#4 42706837#5 42706837#6 42706837#7 42706837#8 12155177#0 12175537#13 12172918#1 12172918#2 gneE73 gneE75.0 gneE80.125"/&gt;</t>
  </si>
  <si>
    <t xml:space="preserve"> edges="31909473.0 31909473.857 62634019#1-AddedOnRampEdge 62634019#1 62634019#2.0 62634019#2.242 62634019#3-AddedOnRampEdge 62634019#3 62634019#3-AddedOffRampEdge 30953251#1.0 30953251#1-AddedOffRampEdge 30953251#2.0 104526276-AddedOnRampEdge 104526276 51758697#0 51758697#1-AddedOnRampEdge 51758697#1 -gneE46.0 43357850.4841.18 gneE46 49887339#0.596 49887339#0-AddedOffRampEdge 49887339#1 49887339#1-AddedOffRampEdge 104524021 104524021-AddedOffRampEdge 50192637#0 50192637#1-AddedOnRampEdge 50192637#1.0.0 50192637#1.0.382.0.0 50192637#1.697 50192637#1-AddedOffRampEdge 30953181#1 30953181#2-AddedOnRampEdge 30953181#2 30953181#3-AddedOnRampEdge 30953181#3 30953181#3-AddedOffRampEdge 30952933#1.0 30952933#1.199"/&gt;</t>
  </si>
  <si>
    <t xml:space="preserve"> edges="49887339#0.596 49887339#0-AddedOffRampEdge 12113482 424769007 -424769002 -30953391 -43569848 -393884751 12159702 424764853 12149178#0 50189796 50189564 12149178#2 145605533#0 145605533#1-AddedOnRampEdge 145605533#1 145605511#1-AddedOnRampEdge 145605511#12 145605511#1.148"/&gt;</t>
  </si>
  <si>
    <t xml:space="preserve"> edges="49887339#0.596 49887339#0-AddedOffRampEdge 12113482 424769007 -424769002 -30953391 -43569848 -43569827#9 -43569827#6 -43569827#1 -43569827#0 28555332 387422130#1 132508717#0 12149210#1 12151897#1 196393941#6 196393941#7 196393941#8 gneE87 196393974#0 388756841#0 49914076#0 12159673#0 12159673#1 393884751 43569848 30953391 12113092 51758697#1-AddedOnRampEdge 51758697#1 -gneE46.0 43357850.4841.18 gneE46 49887339#0.596 49887339#0-AddedOffRampEdge 49887339#1 49887339#1-AddedOffRampEdge 104524021 104524021-AddedOffRampEdge 50192637#0 50192637#1-AddedOnRampEdge 50192637#1.0.0 50192637#1.0.382.0.0 50192637#1.697 50192637#1-AddedOffRampEdge 30953181#1 30953181#2-AddedOnRampEdge 30953181#2 30953181#3-AddedOnRampEdge 30953181#3 30953181#3-AddedOffRampEdge 30952933#1.0 30952933#1.199"/&gt;</t>
  </si>
  <si>
    <t xml:space="preserve"> edges="49887339#0.596 49887339#0-AddedOffRampEdge 12113482 424769007 -424769002 -30953391 -43569848 -43569827#9 -43569827#6 -43569827#1 -43569827#0 28555332 387422130#1 132508717#0 12149210#1 12151897#1 196393941#6 196393941#7 196393941#8 gneE87 196393974#0 388756841#0 49914076#0 12159673#0 12159673#1 393884751 43569848 30953391 424769002 424769005 424769006 424769004 30953396#1 -424769003#1 -424769003#0 -485017374 42706828#0 42706828#2 12182281#0 12185366#7 12185366#9 387422145#0 12157718#7 12157718#9 12157718#10 12157718#12 485017381#1 -30953396#1 -30953396#0 -424769006 -424769005 -424769002 -30953391 -43569848 -393884751 12159702 424764853 12149178#0 50189796 50189564 12149178#2 145605533#0 145605533#1-AddedOnRampEdge 145605533#1 145605511#1-AddedOnRampEdge 145605511#12 145605511#1.148"/&gt;</t>
  </si>
  <si>
    <t xml:space="preserve"> edges="49887339#0.596 49887339#0-AddedOffRampEdge 12113482 424769007 -424769002 -30953391 -43569848 -43569827#9 -43569827#6 -43569827#1 -43569827#0 28555332 43569816#0 49914076#0 12111949#0 43539384#1.0 424764853 12149178#0 12149178#1 12149178#2 50189577 62203295 145605533#1-AddedOnRampEdge 145605533#1 145605511#1-AddedOnRampEdge 145605511#12 145605511#1.148"/&gt;</t>
  </si>
  <si>
    <t xml:space="preserve"> edges="49887339#0.596 49887339#0-AddedOffRampEdge 12113482 424769007 -424769002 -30953391 -43569848 -43569827#9 -43569827#6 -43569827#1 -43569827#0 28555332 43569816#0 49914076#0 12167196#0.0.0 424764853 12149178#0 12149178#1 12149178#2 145605533#0 145605533#1-AddedOnRampEdge 145605533#1 145605511#1-AddedOnRampEdge 145605511#12 145605511#1.148"/&gt;</t>
  </si>
  <si>
    <t xml:space="preserve"> edges="49887339#0.596 49887339#0-AddedOffRampEdge 12113482 424769007 -424769002 -30953391 -43569848 -43569827#9 -43569827#6 -43569827#1 -43569827#0 28555332 43569816#0 49914076#0 12167196#0.0.0 424764853 43539372 424764852 12149417#0 12149417#2 12159135 291433360#0 388756841#0 49914076#0 12111949#0 43539384#1.0 424764853 43539372 12167183.0 gneE82 gneE56 gneE54.0 gneE62.13 gneE81.0 gneE6.0 424765883 43539378#0.15 43539378#1 -393884751 12159702 424764853 12149178#0 50189796 50189564 12149178#2 145605533#0 145605533#1-AddedOnRampEdge 145605533#1 145605511#1-AddedOnRampEdge 145605511#12 145605511#1.148"/&gt;</t>
  </si>
  <si>
    <t xml:space="preserve"> edges="49887339#0.596 49887339#0-AddedOffRampEdge 12113482 424769007 -424769002 -30953391 -43569848 -43569827#9 -43569827#6 -43569827#1 -43569827#0 28555332 43569816#0 49914076#0 12167196#0.0.0 424764853 43539372 424764852 12149417#0 12149417#2 12159135 291433360#0 388756841#0 49914076#0 12111949#0 43539384#1.0 424764853 43539372 12167183.0 gneE82 gneE56 gneE54.0 gneE62.13 gneE81.0 gneE6.0 424765883 43539378#0.15 43539378#1 43569848 30953391 12113092 51758697#1-AddedOnRampEdge 51758697#1"/&gt;</t>
  </si>
  <si>
    <t xml:space="preserve"> edges="49887339#0.596 49887339#0-AddedOffRampEdge 12113482 424769007 -424769002 -30953391 -43569848 -43569827#9 -43569827#6 -43569827#1 -43569827#0 28555332 43569816#0 49914076#0 12167196#0.0.0 424764853 43539372 43539373#0.0.0 43539373#0.0.292.17 gneE58 gneE56 gneE54.0 gneE62.13 gneE81.0 gneE6.0 424765883 gneE87 196393957 132508433.0 -gneE6.0 gneE81.299.0 gneE81.299.79 gneE81.299.145 12178843#0 12178843#1 43539369#3 43539369#4 43539368#0 43570920#3 43570920#5 404615579 43569828#0 43539397#3 43569816#0 49914076#0 12167196#0.0.0 424764853 12149178#0 12149178#1 12149178#2 50189577 62203295 145605533#1-AddedOnRampEdge 145605533#1 145605511#1-AddedOnRampEdge 145605511#12 145605511#1.148"/&gt;</t>
  </si>
  <si>
    <t xml:space="preserve"> edges="49887339#0.596 49887339#0-AddedOffRampEdge 12113482 424769007 -424769002 12113092 51758697#1-AddedOnRampEdge 51758697#1"/&gt;</t>
  </si>
  <si>
    <t xml:space="preserve"> edges="49887339#0.596 49887339#0-AddedOffRampEdge 12113482 424769007 424769005 424769006 424769004 30953396#1 -30953396#1 -30953396#0 -424769006 -424769005 -424769002 12113092 51758697#1-AddedOnRampEdge 51758697#1"/&gt;</t>
  </si>
  <si>
    <t xml:space="preserve"> edges="49887339#0.596 49887339#0-AddedOffRampEdge 12113482 424769007 424769005 424769006 424769004 30953396#1 -30953396#1 30953396#1 -424769003#1 -424769003#0 -485017374 42706828#0 310315797#4 310315797#5 12172067 486653633#2 486653633#3 42706828#4 42706828#6 42706828#7 12152033 12185366#3 12185366#4 12185366#5 12182281#3 386995479#4 386995479#5 12161358#11 12171305#0 12171305#1 42706797#2 42706797#4.13 42706797#5 387422148#0 -386995521#3 -386995521#2 12154359#3 12154359#4 12154359#5 -12175537#9 -12175537#8 -12175537#7 12152013#3 12167232#3 386995531#0 12154359#7 101350669 386995545#0 386995545#2 gneE41 gneE80.0 gneE80.125"/&gt;</t>
  </si>
  <si>
    <t xml:space="preserve"> edges="49887339#0.596 49887339#0-AddedOffRampEdge 12113482 424769007 424769005 424769006 424769004 30953396#1 -30953396#1 30953396#1 -424769003#1 -424769003#0 12157002#0 12157002#1 12157002#3 12157002#5 12114396#4 -12156992#10 -12156992#8 -12156992#7 -12156992#6 -12156992#5 -12156992#4 -12156992#3 -12156992#2 -12156992#1 -386547297#1 -424080772#2 -424080772#1 -262962065#1 -262962063 -424080764 -424080768#1 -424080766 -104526265#1 -262962068#1 -424080774 -32122059#1 -32122059#0 -196393940#2 -196393940#0"/&gt;</t>
  </si>
  <si>
    <t xml:space="preserve"> edges="49887339#0.596 49887339#0-AddedOffRampEdge 12113482 424769007 424769005 424769006 424769004 30953396#1 -30953396#1 30953396#1 -424769003#1 -424769003#0 12157002#0 12157002#1 12157002#3 12157002#5 12114396#4 -12156992#10 -12156992#8 -12156992#7 -12156992#6 -12156992#5 -12156992#4 -12156992#3 -12156992#2 -12156992#1 -386547297#1 -424080772#2 -424080772#1 -262962065#1 -262962063 -424080764 -424080768#1 -424080766 -104526265#1 450844956#2 12189453#0.0.0 450844982#0.19 62203497#0 62203497#2 62203497#3 12134479#1 34685684#0 34685684#2 450844947#0 388533142#0 388533142#2 388533142#4 62623926#0 62623926#1 450844950#0 12189453#0.0.0 450844982#0.19 62203497#0 62203497#2 62203497#3 12134479#1 34685684#0 34685684#2 388533143#0 388533143#2 12140627#0 63060729#0 -264253834#2 12156992#4 12156992#5 12156992#6 12156992#7 12156992#8 12156992#9 484953505 12148522#0 485017381#0 485017381#1 -30953396#1 -30953396#0 -424769006 -424769005 -424769002 -30953391 -43569848 -393884751 12159702 424764853 12149178#0 50189796 50189564 12149178#2 145605533#0 145605533#1-AddedOnRampEdge 145605533#1 145605511#1-AddedOnRampEdge 145605511#12 145605511#1.148"/&gt;</t>
  </si>
  <si>
    <t xml:space="preserve"> edges="49887339#0.596 49887339#0-AddedOffRampEdge 49887339#1 49887339#1-AddedOffRampEdge 104524021 104524021-AddedOffRampEdge 12158873 121643865#0 12110705 50715233#0 50715233#0-AddedOffRampEdge 50715233#1.0 62203285#14.24 gneE59.30.0.55 gneE59.30.0.0 43539373#0.0.292.17 gneE58 gneE56 gneE54.0 62203360#0 291433361#0 132508433.0 -gneE6.0 gneE6.0 424765883 43539378#0.15 132508717#5 196393974#0 49914077 424767578 387422130#1 132508717#0 12149210#1 12151897#1 196393941#6 196393941#7 196393941#8 gneE87 196393974#0 388756841#0 49914076#0 12159673#0 12159673#1 393884751 43569848 30953391 12113092 51758697#1-AddedOnRampEdge 51758697#1"/&gt;</t>
  </si>
  <si>
    <t xml:space="preserve"> edges="49887339#0.596 49887339#0-AddedOffRampEdge 49887339#1 49887339#1-AddedOffRampEdge 104524021 104524021-AddedOffRampEdge 12158873 121643865#0 12110705 50715233#0 50715233#0-AddedOffRampEdge 50715233#1.0 62203285#14.24 gneE59.30.0.55 gneE59.30.0.0 43539373#0.0.292.17 gneE58 gneE56 gneE54.0 62203360#0 291433361#0 132508433.0 -gneE6.0 gneE6.0 424765883 43570920#0.22 132508717#4 43539378#1 43569848 30953391 12113092 51758697#1-AddedOnRampEdge 51758697#1"/&gt;</t>
  </si>
  <si>
    <t xml:space="preserve"> edges="49887339#0.596 49887339#0-AddedOffRampEdge 49887339#1 49887339#1-AddedOffRampEdge 104524021 104524021-AddedOffRampEdge 12158873 121643865#0 12110705 50715233#0 50715233#0-AddedOffRampEdge 50715233#1.0 62203285#14.24 gneE59.30.0.55 gneE59.30.0.0 43539373#0.0.292.17 gneE58 gneE56 gneE54.0 gneE62.13 gneE81.0 gneE6.0 424765883 43539378#0.15 43539378#1 -393884751 12159702 424764853 12149178#0 50189796 50189564 12149178#2 145605533#0 145605533#1-AddedOnRampEdge 145605533#1 145605511#1-AddedOnRampEdge 145605511#12 145605511#1.148"/&gt;</t>
  </si>
  <si>
    <t xml:space="preserve"> edges="49887339#0.596 49887339#0-AddedOffRampEdge 49887339#1 49887339#1-AddedOffRampEdge 104524021 104524021-AddedOffRampEdge 12158873 121643865#0 12110705 50715233#0 50715233#0-AddedOffRampEdge 50715233#1.0 62203285#14.24 gneE59.30.0.55 gneE59.30.0.0 43539373#0.0.292.17 gneE58 gneE56 gneE54.0 gneE62.13 gneE81.0 gneE81.299.0 gneE81.299.79 gneE81.299.145 12178843#0 12178843#1 43539369#3 43539369#4 43539368#0 43570920#3 43570920#5 404615579 43569828#0 43539397#3 43569816#0 49914076#0 12167196#0.0.0 424764853 12149178#0 12149178#1 12149178#2 50189577 62203295 145605533#1-AddedOnRampEdge 145605533#1 145605511#1-AddedOnRampEdge 145605511#12 145605511#1.148"/&gt;</t>
  </si>
  <si>
    <t xml:space="preserve"> edges="49887339#0.596 49887339#0-AddedOffRampEdge 49887339#1 49887339#1-AddedOffRampEdge 104524021 104524021-AddedOffRampEdge 12158873 121643865#0 12110705 50715233#0 50715233#0-AddedOffRampEdge 50715233#1.0 62203285#14.24 gneE59.30.0.55 gneE59.30.0.0 gneE59.0.0 gneE59.0.12 62203360#0 12159135 291433360#0 388756841#0 49914076#0 12111949#0 43539384#1.0 424764853 43539372 12167183.0 gneE82 gneE56 gneE54.0 gneE62.13 gneE81.0 gneE6.0 424765883 43539378#0.15 43539378#1 -393884751 12159702 424764853 12149178#0 50189796 50189564 12149178#2 145605533#0 145605533#1-AddedOnRampEdge 145605533#1 145605511#1-AddedOnRampEdge 145605511#12 145605511#1.148"/&gt;</t>
  </si>
  <si>
    <t xml:space="preserve"> edges="49887339#0.596 49887339#0-AddedOffRampEdge 49887339#1 49887339#1-AddedOffRampEdge 104524021 104524021-AddedOffRampEdge 12158873 121643865#0 12110705 50715233#0 50715233#0-AddedOffRampEdge 50715233#1.0 62203285#14.24 gneE59.30.0.55 gneE59.30.0.0 gneE59.0.0 gneE59.0.12 62203360#0 12159135 291433360#0 388756841#0 49914076#0 12111949#0 43539384#1.0 424764853 43539372 12167183.0 gneE82 gneE56 gneE54.0 gneE62.13 gneE81.0 gneE6.0 424765883 43539378#0.15 43539378#1 43569848 30953391 12113092 51758697#1-AddedOnRampEdge 51758697#1"/&gt;</t>
  </si>
  <si>
    <t xml:space="preserve"> edges="49887339#0.596 49887339#0-AddedOffRampEdge 49887339#1 49887339#1-AddedOffRampEdge 104524021 104524021-AddedOffRampEdge 12158873 121643865#0 12110705 50715233#0 50715233#0-AddedOffRampEdge 50715233#1.0 62203285#14.24 gneE59.30.0.55 gneE59.30.0.0 gneE59.0.0 gneE59.0.12 62203360#0 291433361#0 132508433.0 -gneE6.0 gneE81.299.0 gneE81.299.79 gneE81.299.145 -gneE8 12154353#0 196393941#1 196393941#2 28533986 43539369#2 12178843#2 12178843#3 49960982#2 43569828#0 387422128#1 43569827#0 43569827#1 43569827#2 43569827#7 43569848 30953391 424769002 424769005 424769006 424769004 30953396#1 387422132#0 387422132#1 486653633#0 484953506#3 484953506#4 12157002#0 12157002#1 12157002#3 12157002#5 12114396#4 -12156992#10 -12156992#8 -12156992#7 -12156992#6 -12156992#5 -12156992#4 -12156992#3 -12156992#2 -12156992#1 -386547297#1 -424080772#2 -424080772#1 -262962065#1 -262962063 -424080764 -424080768#1 -424080766 -104526265#1 -262962068#1 -424080774 -32122059#1 -32122059#0 -196393940#2 -196393940#0"/&gt;</t>
  </si>
  <si>
    <t xml:space="preserve"> edges="49887339#0.596 49887339#0-AddedOffRampEdge 49887339#1 49887339#1-AddedOffRampEdge 104524021 104524021-AddedOffRampEdge 12158873 121643865#0 12110705 50715233#0 50715233#0-AddedOffRampEdge 50715233#1.0 62203285#14.24 gneE59.30.0.55 gneE59.30.0.0 gneE59.0.0 gneE59.0.12 62203360#0 291433361#0 132508433.0 -gneE6.0 gneE81.299.0 gneE81.299.79 gneE81.299.145 -gneE8 12154353#0 196393941#1 196393941#2 28533986 43539369#2 12178843#2 12178843#3 49960982#2 43569828#0 387422128#1 43569827#0 43569827#1 43569827#2 43569827#7 43569848 30953391 424769002 424769005 424769006 424769004 30953396#1 387422132#0 387422132#1 486653633#0 484953506#3 484953506#4 12157002#0 12157002#1 12157002#3 12157002#5 12114396#4 -12156992#10 -12156992#8 -12156992#7 -12156992#6 -12156992#5 -12156992#4 -12156992#3 -12156992#2 -12156992#1 -386547297#1 -424080772#2 -424080772#1 -262962065#1 -262962063 -424080764 -424080768#1 -424080766 -104526265#1 30953497#0 30953497#2 30953497#3 42706585#0 42706585#1 30953320 30953320-AddedOffRampEdge 104526277 30953215#1-AddedOnRampEdge 30953215#1 121643865#0 12110705 50715233#0 50715233#0-AddedOffRampEdge 50715233#1.0 62203285#14.24 gneE59.30.0.55 gneE59.30.0.0 43539373#0.0.292.17 gneE58 gneE56 gneE54.0 62203360#0 291433361#0 132508433.0 -gneE6.0 gneE6.0 424765883 43539378#0.15 132508717#5 196393974#0 49914077 424767578 387422130#1 132508717#0 12149210#1 12151897#1 196393941#6 196393941#7 196393941#8 gneE87 196393974#0 388756841#0 49914076#0 12159673#0 12159673#1 393884751 43569848 30953391 12113092 51758697#1-AddedOnRampEdge 51758697#1 -gneE46.0 43357850.4841.18 gneE46 49887339#0.596 49887339#0-AddedOffRampEdge 49887339#1 49887339#1-AddedOffRampEdge 104524021 104524021-AddedOffRampEdge 50192637#0 50192637#1-AddedOnRampEdge 50192637#1.0.0 50192637#1.0.382.0.0 50192637#1.697 50192637#1-AddedOffRampEdge 30953181#1 30953181#2-AddedOnRampEdge 30953181#2 30953181#3-AddedOnRampEdge 30953181#3 30953181#3-AddedOffRampEdge 30952933#1.0 30952933#1.199"/&gt;</t>
  </si>
  <si>
    <t xml:space="preserve"> edges="49887339#0.596 49887339#0-AddedOffRampEdge 49887339#1 49887339#1-AddedOffRampEdge 104524021 104524021-AddedOffRampEdge 12158873 121643865#0 12110705 50715233#0 50715233#0-AddedOffRampEdge 50715233#1.0 62203285#14.24 gneE59.30.0.55 gneE59.30.0.0 gneE59.0.0 gneE59.0.12 62203360#0 291433361#0 132508433.0 -gneE6.0 gneE81.299.0 gneE81.299.79 gneE81.299.145 -gneE8 12154353#0 196393941#1 196393941#2 28533986 43539369#2 12178843#2 12178843#3 49960982#2 43569828#0 387422128#1 43569827#0 43569827#1 43569827#2 43569827#7 43569848 30953391 424769002 424769005 424769006 424769004 30953396#1 387422132#0 387422132#1 486653633#0 484953506#3 484953506#4 12157002#0 12157002#1 12157002#3 12157002#5 12114396#4 -12156992#10 -12156992#8 -12156992#7 -12156992#6 -12156992#5 -12156992#4 -12156992#3 -12156992#2 -12156992#1 -386547297#1 -424080772#2 -424080772#1 -262962065#1 -262962063 -424080764 -424080768#1 -424080766 -104526265#1 30953497#0 30953497#2 35920555#0.0 35920555#0.75 62203066 43331031.0 43331031.436 42706585#0 42706585#1 30953320 30953320-AddedOffRampEdge 30953315 104526276-AddedOnRampEdge 104526276 51758697#0 51758697#1-AddedOnRampEdge 51758697#1"/&gt;</t>
  </si>
  <si>
    <t xml:space="preserve"> edges="49887339#0.596 49887339#0-AddedOffRampEdge 49887339#1 49887339#1-AddedOffRampEdge 104524021 104524021-AddedOffRampEdge 12158873 121643865#0 12110705 50715233#0 50715233#0-AddedOffRampEdge 50715233#1.0 62203285#14.24 gneE59.30.0.55 gneE59.30.0.0 gneE59.0.0 gneE59.0.12 62203360#0 291433361#0 132508433.0 -gneE6.0 gneE81.299.0 gneE81.299.79 gneE81.299.145 -gneE8 12154353#0 196393941#1 196393941#2 28533986 43539369#2 12178843#2 12178843#3 49960982#2 43569828#0 387422128#1 43569827#0 43569827#1 43569827#2 43569827#7 43569848 30953391 424769002 424769005 424769006 424769004 30953396#1 387422132#0 387422132#1 486653633#0 484953506#3 484953506#4 424769003#0 424769003#1 387422132#0 387422132#1 388756840 12202537#1 12202537#2 12202537#3 485017368 485017367#0 12185366#0 12178852#0 12178852#1 386995495#0 386995495#1 -386995507#7 -386995507#6 -386995507#5 -386995507#4 -386995507#3 310315797#0 310315797#1 386995479#3 12182281#5 12182281#6 12182281#7 12182281#8 -12175537#3 12138978 12201597#2 12114363#1 -50033059#4 12175537#0 12175537#2 12175537#3 12175537#4 12162659#2 12159485 12161358#7 12161358#8 386995507#6 386995507#7 386995521#0 386995521#1 12154359#3 12154359#4 12154359#5 12154359#6 12154359#7 101350669 -386995537 -386995526#1 -386995526#0 -43357814#3 12175537#8 12175537#9 12154359#6 386995531#1 386995531#2 387422150#2 12175537#12 12155177#1 386995531#4 12172918#2 gneE73 gneE75.0 gneE80.125"/&gt;</t>
  </si>
  <si>
    <t xml:space="preserve"> edges="49887339#0.596 49887339#0-AddedOffRampEdge 49887339#1 49887339#1-AddedOffRampEdge 104524021 104524021-AddedOffRampEdge 12158873 121643865#0 12110705 50715233#0 50715233#0-AddedOffRampEdge 50715233#1.0 62203285#14.24 gneE59.30.0.55 gneE59.30.0.0 gneE59.0.0 gneE59.0.12 62203360#0 291433361#0 132508433.0 -gneE6.0 gneE81.299.0 gneE81.299.79 gneE81.299.145 -gneE8 12154353#0 196393941#1 196393941#2 28533986 43539369#2 12178843#2 12178843#3 49960982#2 43569828#0 387422128#1 43569827#0 43569827#1 43569827#2 43569827#7 43569848 30953391 424769002 424769005 424769006 424769004 30953396#1 387422132#0 387422132#1 486653633#0 484953506#3 484953506#4 424769003#0 424769003#1 387422132#0 387422132#1 388756840 12202537#1 12202537#2 12202537#3 485017368 485017367#0 12185366#0 12178852#0 12178852#1 386995495#0 386995495#1 -386995507#7 -386995507#6 -386995507#5 -386995507#4 -386995507#3 310315797#0 310315797#1 386995479#3 12182281#5 12182281#6 12182281#7 12182281#8 -12175537#3 12138978 12201597#2 12114363#1 -50033059#4 12175537#0 12175537#2 12175537#3 12175537#4 12175537#5 12175537#6 12175537#7 -43357814#2 42706837#4 42706837#5 42706837#6 42706837#7 42706837#8 12155177#0 12175537#13 12172918#1 12172918#2 gneE73 gneE75.0 gneE80.125"/&gt;</t>
  </si>
  <si>
    <t xml:space="preserve"> edges="49887339#0.596 49887339#0-AddedOffRampEdge 49887339#1 49887339#1-AddedOffRampEdge 104524021 104524021-AddedOffRampEdge 12158873 121643865#0 12110705 50715233#0 50715233#0-AddedOffRampEdge 50715233#1.0 62203285#14.24 gneE59.30.0.55 gneE59.30.0.0 gneE59.0.0 gneE59.0.12 62203360#0 291433361#0 132508433.0 -gneE6.0 gneE81.299.0 gneE81.299.79 gneE81.299.145 -gneE8 12154353#0 196393941#1 196393941#2 28533986 43539369#2 12178843#2 12178843#3 49960982#2 43569828#0 387422128#1 43569827#0 43569827#1 43569827#2 43569827#7 43569848 30953391 424769002 424769005 424769006 424769004 30953396#1 387422132#0 387422132#1 486653633#0 484953506#3 484953506#4 424769003#0 424769003#1 387422132#0 387422132#1 388756840 12202537#1 12202537#2 12202537#3 485017368 485017367#0 12185366#0 12178852#0 12178852#1 386995495#0 386995495#1 -386995507#7 -386995507#6 -386995507#5 -386995507#4 -386995507#3 310315797#0 310315797#1 386995479#3 12182281#5 12182281#6 12182281#7 12182281#8 -12175537#3 12138978 12201597#2 12114363#1 -50033059#4 12175537#0 12175537#2 12175537#3 12175537#4 12175537#5 12175537#6 12175537#7 -43357814#2 42706837#4 42706837#5 42706837#6 42706837#7 42706837#8 42706837#9 12172918#0 12172918#1 12172918#2 gneE73 gneE75.0 gneE80.125"/&gt;</t>
  </si>
  <si>
    <t xml:space="preserve"> edges="49887339#0.596 49887339#0-AddedOffRampEdge 49887339#1 49887339#1-AddedOffRampEdge 104524021 104524021-AddedOffRampEdge 12158873 121643865#0 12110705 50715233#0 50715233#0-AddedOffRampEdge 50715233#1.0 62203285#14.24 gneE59.30.0.55 gneE59.30.0.0 gneE59.0.0 gneE59.0.12 62203360#0 291433361#0 132508433.0 -gneE6.0 gneE81.299.0 gneE81.299.79 gneE81.299.145 -gneE8 12154353#0 196393941#1 196393941#2 28533986 43539369#2 12178843#2 12178843#3 49960982#2 43569828#0 387422128#1 43569827#0 43569827#1 43569827#2 43569827#7 43569848 30953391 424769002 424769005 424769006 424769004 30953396#1 387422132#0 387422132#1 486653633#0 484953506#3 484953506#4 424769003#0 424769003#1 387422132#0 387422132#1 388756840 12202537#1 12202537#2 12202537#3 485017368 485017367#0 12185366#0 12178852#0 12178852#1 386995495#0 386995495#1 -386995507#7 -386995507#6 -386995507#5 -386995507#4 -386995507#3 310315797#0 310315797#1 386995479#3 12182281#5 12182281#6 12182281#7 12182281#8 -12175537#3 12138978 12201597#2 12114363#1 -50033059#4 12175537#0 12175537#2 12175537#3 12175537#4 12175537#5 12175537#6 12175537#7 12175537#8 12175537#9 12154359#6 386995531#1 12174155#0 -12175537#10 -12175537#9 -12175537#8 -12175537#7 12152013#3 12167232#3 386995531#0 12154359#7 101350669 -386995537 -386995526#1 -386995526#0 -43357814#3 -43357814#2 42706837#4 42706837#5 42706837#6 42706837#7 42706837#8 42706837#9 12172918#0 12172918#1 12172918#2 gneE73 gneE75.0 gneE80.125"/&gt;</t>
  </si>
  <si>
    <t xml:space="preserve"> edges="49887339#0.596 49887339#0-AddedOffRampEdge 49887339#1 49887339#1-AddedOffRampEdge 104524021 104524021-AddedOffRampEdge 12158873 121643865#0 12110705 50715233#0 50715233#0-AddedOffRampEdge 50715233#1.0 62203285#14.24 gneE59.30.0.55 gneE59.30.0.0 gneE59.0.0 gneE59.0.12 62203360#0 291433361#0 132508433.0 -gneE6.0 gneE81.299.0 gneE81.299.79 gneE81.299.145 -gneE8 12154353#0 196393941#1 196393941#2 28533986 43539369#2 12178843#2 12178843#3 49960982#2 43569828#0 387422128#1 43569827#0 43569827#1 43569827#2 43569827#7 43569848 30953391 424769002 424769005 424769006 424769004 30953396#1 387422132#0 387422132#1 486653633#0 484953506#3 484953506#4 424769003#0 424769003#1 387422132#0 387422132#1 388756840 12202537#1 12202537#2 12202537#3 485017368 485017367#0 12185366#0 12178852#0 12178852#1 386995495#0 386995495#1 -386995507#7 -386995507#6 -386995507#5 -386995507#4 -386995507#3 310315797#0 310315797#1 386995479#3 12182281#5 12182281#6 12182281#7 12182281#8 -12175537#3 12138978 12201597#2 12114363#1 -50033059#4 12175537#0 12175537#2 12175537#3 12175537#4 12175537#5 12175537#6 12175537#7 12175537#8 12175537#9 12154359#6 386995531#1 12174155#0 -12175537#10 -12175537#9 -12175537#8 -12175537#7 12152013#3 12167232#3 386995531#0 12154359#7 101350669 -386995537 -386995526#1 -386995526#0 -43357814#3 12175537#8 12175537#9 12175537#10 12175537#11 12175537#12 12175537#13 12172918#1 12172918#2 gneE73 gneE75.0 gneE80.125"/&gt;</t>
  </si>
  <si>
    <t xml:space="preserve"> edges="49887339#0.596 49887339#0-AddedOffRampEdge 49887339#1 49887339#1-AddedOffRampEdge 104524021 104524021-AddedOffRampEdge 12158873 121643865#0 12110705 50715233#0 50715233#0-AddedOffRampEdge 50715233#1.0 62203285#14.24 gneE59.30.0.55 gneE59.30.0.0 gneE59.0.0 gneE59.0.12 62203360#0 291433361#0 132508433.0 -gneE6.0 gneE81.299.0 gneE81.299.79 gneE81.299.145 -gneE8 12154353#0 196393941#1 196393941#2 28533986 43539369#2 12178843#2 12178843#3 49960982#2 43569828#0 387422128#1 43569827#0 43569827#1 43569827#2 43569827#7 43569848 30953391 424769002 424769005 424769006 424769004 30953396#1 387422132#0 387422132#1 486653633#0 484953506#3 484953506#4 424769003#0 424769003#1 387422132#0 387422132#1 388756840 12202537#1 12202537#2 12202537#3 485017368 485017367#0 12185366#0 12178852#0 12178852#1 386995495#0 386995495#1 -386995507#7 -386995507#6 -386995507#5 -386995507#4 -386995507#3 310315797#0 310315797#1 386995479#3 12182281#5 12182281#6 12182281#7 12182281#8 -12175537#3 485017371#0 484953507#1 12182281#8 12182281#9 12167232#0 12167232#1 12167232#2 12152013#4 51050425#4 386995537 386995551 387422150#0 387422150#1 386995531#3 386995531#4 12172918#2 gneE73 gneE75.0 gneE80.125"/&gt;</t>
  </si>
  <si>
    <t xml:space="preserve"> edges="49887339#0.596 49887339#0-AddedOffRampEdge 49887339#1 49887339#1-AddedOffRampEdge 104524021 104524021-AddedOffRampEdge 12158873 121643865#0 12110705 50715233#0 50715233#0-AddedOffRampEdge 50715233#1.0 62203285#14.24 gneE59.30.0.55 gneE59.30.0.0 gneE59.0.0 gneE59.0.12 62203360#0 291433361#0 132508433.0 -gneE6.0 gneE81.299.0 gneE81.299.79 gneE81.299.145 -gneE8 12154353#0 196393941#1 196393941#2 28533986 43539369#2 12178843#2 12178843#3 49960982#2 43569828#0 387422128#1 43569827#0 43569827#1 43569827#2 43569827#7 43569848 30953391 424769002 424769005 424769006 424769004 30953396#1 387422132#0 387422132#1 486653633#0 484953506#3 484953506#4 424769003#0 424769003#1 387422132#0 387422132#1 388756840 12202537#1 12202537#2 12202537#3 485017368 485017367#0 12185366#0 12178852#0 12178852#1 386995495#0 386995495#1 -386995507#7 -386995507#6 -386995507#5 -386995507#4 -386995507#3 310315797#0 310315797#1 386995479#3 12182281#5 12182281#6 386995507#4 386995507#5 12161358#9 12161358#10 12161358#11 12171305#0 12171305#1 42706797#2 42706797#4.13 42706797#5 387422148#0 387422148#1 12172918#0 12172918#1 12172918#2 gneE73 gneE75.0 gneE80.125"/&gt;</t>
  </si>
  <si>
    <t xml:space="preserve"> edges="49887339#0.596 49887339#0-AddedOffRampEdge 49887339#1 49887339#1-AddedOffRampEdge 104524021 104524021-AddedOffRampEdge 12158873 121643865#0 12110705 50715233#0 50715233#0-AddedOffRampEdge 50715233#1.0 62203285#14.24 gneE59.30.0.55 gneE59.30.0.0 gneE59.0.0 gneE59.0.12 62203360#0 291433361#0 132508433.0 -gneE6.0 gneE81.299.0 gneE81.299.79 gneE81.299.145 -gneE8 12154353#0 196393941#1 196393941#2 28533986 43539369#2 12178843#2 12178843#3 49960982#2 43569828#0 387422128#1 43569827#0 43569827#1 43569827#2 43569827#7 43569848 30953391 424769002 424769005 424769006 424769004 30953396#1 387422132#0 387422132#1 486653633#0 484953506#3 484953506#4 424769003#0 424769003#1 387422132#0 387422132#1 388756840 12202537#1 12202537#2 12202537#3 485017368 485017367#0 12185366#0 12178852#0 12178852#1 386995495#0 386995495#1 -386995507#7 -386995507#6 -386995507#5 -386995507#4 -386995507#3 310315797#0 310315797#1 386995479#3 12182281#5 12182281#6 386995507#4 386995507#5 386995507#6 386995507#7 386995521#0 386995521#1 386995521#2 386995521#3 387422148#1 12172918#0 -12175537#13 12155177#1 12155177#2 387422153#1 gneE73 gneE75.0 gneE80.125"/&gt;</t>
  </si>
  <si>
    <t xml:space="preserve"> edges="49887339#0.596 49887339#0-AddedOffRampEdge 49887339#1 49887339#1-AddedOffRampEdge 104524021 104524021-AddedOffRampEdge 12158873 121643865#0 12110705 50715233#0 50715233#0-AddedOffRampEdge 50715233#1.0 62203285#14.24 gneE59.30.0.55 gneE59.30.0.0 gneE59.0.0 gneE59.0.12 62203360#0 291433361#0 132508433.0 -gneE6.0 gneE81.299.0 gneE81.299.79 gneE81.299.145 -gneE8 12154353#0 196393941#1 196393941#2 28533986 43539369#2 12178843#2 12178843#3 49960982#2 43569828#0 387422128#1 43569827#0 43569827#1 43569827#2 43569827#7 43569848 30953391 424769002 424769005 424769006 424769004 30953396#1 387422132#0 387422132#1 486653633#0 484953506#3 484953506#4 424769003#0 424769003#1 387422132#0 387422132#1 388756840 12202537#1 12202537#2 12202537#3 485017368 485017367#0 12185366#0 12178852#0 12178852#1 386995495#0 386995495#1 -386995507#7 -386995507#6 -386995507#5 -386995507#4 -386995507#3 310315797#0 310315797#1 386995479#3 386995479#4 386995479#5 386995479#6 386995490#0.0 12154359#1.20 12154359#2 -386995521#1 -386995521#0 43357814#0 43357814#1 42706837#4 42706837#5 12154359#5 12154359#6 386995531#1 386995531#2 386995531#3 386995531#4 12172918#2 gneE73 gneE75.0 gneE80.125"/&gt;</t>
  </si>
  <si>
    <t xml:space="preserve"> edges="49887339#0.596 49887339#0-AddedOffRampEdge 49887339#1 49887339#1-AddedOffRampEdge 104524021 104524021-AddedOffRampEdge 12158873 121643865#0 12110705 50715233#0 50715233#0-AddedOffRampEdge 50715233#1.0 62203285#14.24 gneE59.30.0.55 gneE59.30.0.0 gneE59.0.0 gneE59.0.12 62203360#0 291433361#0 132508433.0 -gneE6.0 gneE81.299.0 gneE81.299.79 gneE81.299.145 -gneE8 12154353#0 196393941#1 196393941#2 28533986 43539369#2 12178843#2 12178843#3 49960982#2 43569828#0 387422128#1 43569827#0 43569827#1 43569827#2 43569827#7 43569848 30953391 424769002 424769005 424769006 424769004 30953396#1 387422132#0 387422132#1 486653633#0 484953506#3 484953506#4 424769003#0 424769003#1 387422132#0 387422132#1 388756840 12202537#1 12202537#2 12202537#3 485017368 485017367#0 12185366#0 12178852#0 12178852#1 386995495#0 386995495#1 -386995507#7 -386995507#6 12161358#9 12161358#10 12161358#11 12171305#0 12171305#1 42706797#2 42706797#4.13 42706797#5 387422148#0 387422148#1 12172918#0 12172918#1 12172918#2 gneE73 gneE75.0 gneE80.125"/&gt;</t>
  </si>
  <si>
    <t xml:space="preserve"> edges="49887339#0.596 49887339#0-AddedOffRampEdge 49887339#1 49887339#1-AddedOffRampEdge 104524021 104524021-AddedOffRampEdge 12158873 121643865#0 12110705 50715233#0 50715233#0-AddedOffRampEdge 50715233#1.0 62203285#14.24 gneE59.30.0.55 gneE59.30.0.0 gneE59.0.0 gneE59.0.12 62203360#0 291433361#0 132508433.0 -gneE6.0 gneE81.299.0 gneE81.299.79 gneE81.299.145 -gneE8 12154353#0 196393941#1 196393941#2 28533986 43539369#2 12178843#2 12178843#3 49960982#2 43569828#0 387422128#1 43569827#0 43569827#1 43569827#2 43569827#7 43569848 30953391 424769002 424769005 424769006 424769004 30953396#1 387422132#0 387422132#1 486653633#0 484953506#3 484953506#4 424769003#0 424769003#1 387422132#0 387422132#1 388756840 12202537#1 12202537#2 12202537#3 485017368 485017367#0 12185366#0 12178852#0 12178852#1 386995495#0 386995495#1 -386995507#7 -386995507#6 12161358#9 12161358#10 386995479#6 386995490#0.0 12154359#1.20 12154359#2 -386995521#1 12172225 32121111#2 32121111#3 12152013#0 12152013#1 12152013#2 12175537#7 -43357814#2 42706837#4 42706837#5 42706837#6 42706837#7 42706837#8 12155177#0 12175537#13 12172918#1 12172918#2 gneE73 gneE75.0 gneE80.125"/&gt;</t>
  </si>
  <si>
    <t xml:space="preserve"> edges="49887339#0.596 49887339#0-AddedOffRampEdge 49887339#1 49887339#1-AddedOffRampEdge 104524021 104524021-AddedOffRampEdge 12158873 121643865#0 12110705 50715233#0 50715233#0-AddedOffRampEdge 50715233#1.0 62203285#14.24 gneE59.30.0.55 gneE59.30.0.0 gneE59.0.0 gneE59.0.12 62203360#0 291433361#0 132508433.0 -gneE6.0 gneE81.299.0 gneE81.299.79 gneE81.299.145 -gneE8 12154353#0 196393941#1 196393941#2 28533986 43539369#2 12178843#2 12178843#3 49960982#2 43569828#0 387422128#1 43569827#0 43569827#1 43569827#2 43569827#7 43569848 30953391 424769002 424769005 424769006 424769004 30953396#1 387422132#0 387422132#1 486653633#0 484953506#3 484953506#4 424769003#0 424769003#1 387422132#0 387422132#1 388756840 12202537#1 12202537#2 12202537#3 485017368 485017367#0 12185366#0 12178852#0 12178852#1 386995495#0 386995495#1 -386995507#7 -386995507#6 12161358#9 12161358#10 386995479#6 386995490#0.0 12154359#1.20 12154359#2 -386995521#1 12172225 32121111#2 32121111#3 12152013#0 12152013#1 12152013#2 12175537#7 -43357814#2 42706837#4 42706837#5 42706837#6 42706837#7 42706837#8 42706837#9 12172918#0 12172918#1 12172918#2 gneE73 gneE75.0 gneE80.125"/&gt;</t>
  </si>
  <si>
    <t xml:space="preserve"> edges="49887339#0.596 49887339#0-AddedOffRampEdge 49887339#1 49887339#1-AddedOffRampEdge 104524021 104524021-AddedOffRampEdge 12158873 121643865#0 12110705 50715233#0 50715233#0-AddedOffRampEdge 50715233#1.0 62203285#14.24 gneE59.30.0.55 gneE59.30.0.0 gneE59.0.0 gneE59.0.12 62203360#0 291433361#0 132508433.0 -gneE6.0 gneE81.299.0 gneE81.299.79 gneE81.299.145 -gneE8 12154353#0 196393941#1 196393941#2 28533986 43539369#2 12178843#2 12178843#3 49960982#2 43569828#0 387422128#1 43569827#0 43569827#1 43569827#2 43569827#7 43569848 30953391 424769002 424769005 424769006 424769004 30953396#1 387422132#0 387422132#1 486653633#0 484953506#3 484953506#4 424769003#0 424769003#1 387422132#0 387422132#1 388756840 12202537#1 12202537#2 12202537#3 485017368 485017367#0 12185366#0 12178852#0 12178852#1 386995495#0 386995495#1 -386995507#7 -386995507#6 12161358#9 12161358#10 386995479#6 386995490#0.0 12154359#1.20 32121111#1 32121111#2 32121111#3 12152013#0 12152013#1 12152013#2 12175537#7 -43357814#2 42706837#4 42706837#5 42706837#6 42706837#7 42706837#8 12155177#0 12175537#13 12172918#1 12172918#2 gneE73 gneE75.0 gneE80.125"/&gt;</t>
  </si>
  <si>
    <t xml:space="preserve"> edges="49887339#0.596 49887339#0-AddedOffRampEdge 49887339#1 49887339#1-AddedOffRampEdge 104524021 104524021-AddedOffRampEdge 12158873 121643865#0 12110705 50715233#0 50715233#0-AddedOffRampEdge 50715233#1.0 62203285#14.24 gneE59.30.0.55 gneE59.30.0.0 gneE59.0.0 gneE59.0.12 62203360#0 291433361#0 132508433.0 -gneE6.0 gneE81.299.0 gneE81.299.79 gneE81.299.145 -gneE8 12154353#0 196393941#1 196393941#2 28533986 43539369#2 12178843#2 12178843#3 49960982#2 43569828#0 387422128#1 43569827#0 43569827#1 43569827#2 43569827#7 43569848 30953391 424769002 424769005 424769006 424769004 30953396#1 387422132#0 387422132#1 486653633#0 484953506#3 484953506#4 424769003#0 424769003#1 387422132#0 387422132#1 388756840 12202537#1 12202537#2 12202537#3 485017368 485017367#0 12185366#0 12178852#0 12178852#1 386995495#0 386995495#1 -386995507#7 -386995507#6 12161358#9 12161358#10 386995479#6 386995490#0.0 12154359#1.20 32121111#1 32121111#2 32121111#3 12152013#0 12152013#1 12152013#2 12175537#7 12175537#8 12175537#9 12175537#10 12175537#11 12175537#12 12155177#1 386995531#4 12172918#2 gneE73 gneE75.0 gneE80.125"/&gt;</t>
  </si>
  <si>
    <t xml:space="preserve"> edges="49887339#0.596 49887339#0-AddedOffRampEdge 49887339#1 49887339#1-AddedOffRampEdge 104524021 104524021-AddedOffRampEdge 12158873 121643865#0 12110705 50715233#0 50715233#0-AddedOffRampEdge 50715233#1.0 62203285#14.24 gneE59.30.0.55 gneE59.30.0.0 gneE59.0.0 gneE59.0.12 62203360#0 291433361#0 132508433.0 -gneE6.0 gneE81.299.0 gneE81.299.79 gneE81.299.145 -gneE8 12154353#0 196393941#1 196393941#2 28533986 43539369#2 12178843#2 12178843#3 49960982#2 43569828#0 387422128#1 43569827#0 43569827#1 43569827#2 43569827#7 43569848 30953391 424769002 424769005 424769006 424769004 30953396#1 387422132#0 387422132#1 486653633#0 484953506#3 484953506#4 424769003#0 424769003#1 387422132#0 387422132#1 388756840 12202537#1 43357813 484953506#1 484953506#2 486653633#1 486653633#2 486653633#3 12182281#0 12182281#3 386995479#4 386995479#5 12161358#11 12171305#0 12171305#1 42706797#2 42706797#4.13 42706797#5 387422148#0 387422148#1 12172918#0 12172918#1 12172918#2 gneE73 gneE75.0 gneE80.125"/&gt;</t>
  </si>
  <si>
    <t xml:space="preserve"> edges="49887339#0.596 49887339#0-AddedOffRampEdge 49887339#1 49887339#1-AddedOffRampEdge 104524021 104524021-AddedOffRampEdge 12158873 121643865#0 121643865#1 145605511#1-AddedOnRampEdge 145605511#12 145605511#1.148"/&gt;</t>
  </si>
  <si>
    <t xml:space="preserve"> edges="49887339#0.596 49887339#0-AddedOffRampEdge 49887339#1 49887339#1-AddedOffRampEdge 104524021 104524021-AddedOffRampEdge 50192637#0 50192637#1-AddedOnRampEdge 50192637#1.0.0 50192637#1.0.382.0.0 50192637#1.697 50192637#1-AddedOffRampEdge 30953181#1 30953181#2-AddedOnRampEdge 30953181#2 30953181#3-AddedOnRampEdge 30953181#3 30953181#3-AddedOffRampEdge 30952933#1.0 30952933#1.199"/&gt;</t>
  </si>
  <si>
    <t xml:space="preserve"> edges="62203360#0 12159135 291433360#0 388756841#0 49914076#0 12111949#0 43539384#1.0 424764853 43539372 12167183.0 gneE82 gneE56 gneE54.0 gneE62.13 gneE81.0 gneE6.0 424765883 43539378#0.15 43539378#1 -393884751 12159702 424764853 12149178#0 50189796 50189564 12149178#2 145605533#0 145605533#1-AddedOnRampEdge 145605533#1 145605511#1-AddedOnRampEdge 145605511#12 145605511#1.148"/&gt;</t>
  </si>
  <si>
    <t xml:space="preserve"> edges="62203360#0 291433361#0 132508433.0 -gneE6.0 gneE6.0 424765883 43539378#0.15 132508717#5 196393974#0 49914077 424767578 387422130#1 132508717#0 12149210#1 12151897#1 196393941#6 196393941#7 196393941#8 gneE87 196393974#0 388756841#0 49914076#0 12159673#0 12159673#1 393884751 43569848 30953391 12113092 51758697#1-AddedOnRampEdge 51758697#1"/&gt;</t>
  </si>
  <si>
    <t xml:space="preserve"> edges="62203360#0 291433361#0 132508433.0 -gneE6.0 gneE6.0 424765883 43570920#0.22 132508717#4 43539378#1 43569848 30953391 12113092 51758697#1-AddedOnRampEdge 51758697#1"/&gt;</t>
  </si>
  <si>
    <t>&lt;routeDistribution id="</t>
  </si>
  <si>
    <t>"&gt;</t>
  </si>
  <si>
    <t>X</t>
  </si>
  <si>
    <t>&lt;routeDistribution id="CHESTNUT-38th-to-34th-EB-2017-RouteProbe"&gt;</t>
  </si>
  <si>
    <t xml:space="preserve">    &lt;route id="Router3_7" edges="-gneE80.0 -gneE80.17 -gneE41 gneE44 -388756838#2 -388756838#1 -388756838#0 42706817#0 386547310 gneE69 -388756838#2 -388756838#1 -388756838#0 -388756839#1 -388756839#0 -194358837#2 -194358837#0 194358838#0 194358838#1 194358838#2 194358838#3 387422145#0 387422145#3 386995499#0 386995499#2 -51155368#13 -51155368#10 -51155368#7 121319040#0 121319040#1 386995507#0 386995507#1 386995507#2 386995507#3 12182281#7 42706837#0 42706837#1 42706837#2 42706837#3 43357814#2 43357814#3 386995526#0 386995526#1 -51050425#4 -51050425#3 -51050425#2 12162659#0 12162659#1 -12175537#4 -12175537#3 -12175537#2 -12175537#1 -50033059#3 -50033059#2 -386995514#7 -12199713#2 12177498 42706833#2 51155368#0 -50033558#5 -50033558#3 -50033558#2 -62105579 -32121234#1 -32121234#0 42706874#0 42706874#2 55179414#0 55179413#0 424769182 -450827405#2 -450827400#2 -450827382 -450827385#1 -450827391#1 -450827381 -450827397#1 12180696#0 59435515#1 59435515#2 59435515#3 59435515#4 424801338#1 12117702#0 12117702#4 12117702#7 -32121146#3 -32121146#1 -424769197#2 12144152#0 12144152#2 12144152#4 12144152#6 12157151#0 12166276#2 -32121146#5 12117702#9 450844953#0 450844953#2 450844953#3 450844947#0 388533142#0 388533142#2 12189045#0 62623987#0 62623987#1 -12142631 12202018 62623986#1 62623986#2 -12189051#1 -262962063 -424080764 -424080768#1 -424080766 -104526265#1 30953497#0 30953497#2 35920555#0.0 35920555#0.75 62203066 43331031.0 43331031.436 42706585#0 42706585#1 30953320 30953320-AddedOffRampEdge 30953315 104526276-AddedOnRampEdge 104526276 51758697#0 51758697#1-AddedOnRampEdge 51758697#1" probability="0.037037037037037"/&gt;</t>
  </si>
  <si>
    <t xml:space="preserve">    &lt;route id="Router3_8" edges="-gneE80.0 -gneE80.17 -gneE41 gneE44 -388756838#2 -388756838#1 -388756838#0 42706817#0 386547310 gneE69 -388756838#2 -388756838#1 -388756838#0 -388756839#1 -388756839#0 -194358837#2 -194358837#0 194358838#0 194358838#1 194358838#2 194358838#3 387422145#0 387422145#3 386995499#0 386995499#2 -51155368#13 -51155368#10 -51155368#7 121319040#0 121319040#1 386995507#0 386995507#1 386995507#2 386995507#3 12182281#7 42706837#0 42706837#1 42706837#2 42706837#3 43357814#2 43357814#3 386995526#0 386995526#1 -51050425#4 -51050425#3 -51050425#2 12162659#0 12162659#1 -12175537#4 -12175537#3 -12175537#2 -12175537#1 -50033059#3 -50033059#2 -386995514#7 -12199713#2 12177498 42706833#2 51155368#0 -50033558#5 -50033558#3 -50033558#2 -62105579 -32121234#1 -32121234#0 42706874#0 42706874#2 55179414#0 55179413#0 424769182 -450827405#2 -450827400#2 -450827382 -450827385#1 -450827391#1 -450827381 -450827397#1 12180696#0 59435515#1 59435515#2 59435515#3 59435515#4 424801338#1 12117702#0 12117702#4 12117702#7 -32121146#3 -32121146#1 -424769197#2 12144152#0 12144152#2 12144152#4 12144152#6 12157151#0 12166276#2 -32121146#5 12117702#9 450844953#0 450844953#2 450844953#3 450844947#0 388533142#0 388533142#2 388533142#4 62623926#0 62623926#1 450844950#0 38502259#0.19 450844933#1 196207110#0 196207110#2" probability="0.037037037037037"/&gt;</t>
  </si>
  <si>
    <t xml:space="preserve">    &lt;route id="Router3_9" edges="-gneE80.0 -gneE80.17 -gneE41 gneE44 -388756838#2 -388756838#1 -388756838#0 42706817#0 386547310 gneE69 -388756838#2 -388756838#1 -388756838#0 -388756839#1 -388756839#0 -194358837#2 -194358837#0 194358838#0 194358838#1 194358838#2 194358838#3 387422145#0 387422145#3 386995499#0 386995499#2 -51155368#13 -51155368#10 -51155368#7 121319040#0 121319040#1 386995507#0 386995507#1 386995507#2 386995507#3 12182281#7 42706837#0 42706837#1 42706837#2 42706837#3 43357814#2 43357814#3 386995526#0 386995526#1 -51050425#4 -51050425#3 -51050425#2 12162659#0 12162659#1 -12175537#4 -12175537#3 -12175537#2 -12175537#1 -50033059#3 -50033059#2 -386995514#7 -12199713#2 12177498 42706833#2 51155368#0 -50033558#5 -50033558#3 -50033558#2 -62105579 -32121234#1 -32121234#0 42706874#0 42706874#2 55179414#0 55179413#0 424769182 -450827405#2 -450827400#2 -450827382 -450827385#1 -450827391#1 -450827381 -450827397#1 12180696#0 59435515#1 59435515#2 59435515#3 59435515#4 424801338#1 12117702#0 12117702#4 12117702#7 -32121146#3 12202008#2.0 12202008#2.171 62646499#2 450827424#0 450827405#0 262962062 -55179413#2 12187610#0 12187610#2 12187610#3 -62105579 12186909#0 12186909#1 12186909#2 12186909#4 12177521#2 12177521#3 211575484#1 485017379 -386995465#1 -386995504#1 -386995486#1 32121111#11 -12177521#0 -121319040#0 -51155368#5 -50033558#5 -50033558#3 -12188656 -121319046 -42706825#7 -42706825#4 -42706825#3 -42706825#1 194358815 194358817#0 194358817#1 194358817#2 12114363#0 12114363#1 -50033059#4 12175537#0 12175537#2 485017371#0 484953507#1 12182281#8 12182281#9 12167232#0 12167232#1 12167232#2 12152013#4 51050425#4 386995537 386995551 387422150#0 387422150#1 386995531#3 386995531#4 12172918#2 gneE73 gneE75.0 gneE80.125" probability="0.037037037037037"/&gt;</t>
  </si>
  <si>
    <t xml:space="preserve">    &lt;route id="Router3_10" edges="-gneE80.0 -gneE80.17 -gneE41 gneE44 -388756838#2 -388756838#1 -388756838#0 42706817#0 386547310 gneE69 -388756838#2 -388756838#1 -388756838#0 -388756839#1 -388756839#0 -194358837#2 -194358837#0 194358838#0 194358838#1 194358838#2 194358838#3 387422145#0 387422145#3 386995499#0 386995499#2 -51155368#13 -51155368#10 -51155368#7 121319040#0 121319040#1 386995507#0 386995507#1 386995507#2 386995507#3 12182281#7 42706837#0 42706837#1 42706837#2 42706837#3 43357814#2 43357814#3 386995526#0 386995526#1 -51050425#4 -51050425#3 -51050425#2 12162659#0 12162659#1 -12175537#4 -12175537#3 -12175537#2 -12175537#1 -50033059#3 -50033059#2 -386995514#7 -12199713#2 12177498 42706833#2 51155368#0 -50033558#5 -50033558#3 -50033558#2 -62105579 -32121234#1 -32121234#0 42706874#0 42706874#2 55179414#0 55179413#0 424769182 -450827405#2 -450827400#2 -450827382 -450827385#1 -450827391#1 -450827381 -450827397#1 12180696#0 59435515#1 59435515#2 59435515#3 59435515#4 424801338#1 12117702#0 12117702#4 12117702#7 -32121146#3 12202008#2.0 12202008#2.171 62646499#2 450827424#0 450827405#0 262962062 -55179413#2 12187610#0 12187610#2 12187610#3 -62105579 12186909#0 12186909#1 12186909#2 12186909#4 12186909#6 386995479#0 12157718#5 12157718#7 485017376 485017373#0 387422135#0 424769003#0 424769003#1 -30953396#1 -30953396#0 -424769006 -424769005 -424769002 -30953391 -43569848 -393884751 12159702 424764853 12149178#0 50189796 50189564 12149178#2 145605533#0 145605533#1-AddedOnRampEdge 145605533#1 145605511#1-AddedOnRampEdge 145605511#12 145605511#1.148" probability="0.037037037037037"/&gt;</t>
  </si>
  <si>
    <t xml:space="preserve">    &lt;route id="Router3_11" edges="-gneE80.0 -gneE80.17 -gneE41 gneE44 -388756838#2 -388756838#1 -388756838#0 42706817#0 386547310 gneE69 -388756838#2 -388756838#1 -388756838#0 -388756839#1 -388756839#0 -194358837#2 -194358837#0 194358838#0 194358838#1 194358838#2 194358838#3 387422145#0 387422145#3 386995499#0 386995499#2 -51155368#13 -51155368#10 -51155368#7 121319040#0 121319040#1 386995507#0 386995507#1 386995507#2 386995507#3 12182281#7 42706837#0 42706837#1 42706837#2 42706837#3 43357814#2 43357814#3 386995526#0 386995526#1 -51050425#4 -51050425#3 -51050425#2 12162659#0 12162659#1 -12175537#4 -12175537#3 -12175537#2 -12175537#1 -50033059#3 -50033059#2 -386995514#7 -12199713#2 12177498 42706833#2 51155368#0 -50033558#5 -50033558#3 -50033558#2 -62105579 -32121234#1 -32121234#0 42706874#0 42706874#2 55179414#0 55179413#0 424769182 -450827405#2 -450827400#2 -450827382 -450827385#1 -450827391#1 -450827381 -450827397#1 12180696#0 59435515#1 59435515#2 59435515#3 59435515#4 424801338#1 12117702#0 12117702#4 12117702#7 -32121146#3 12202008#2.0 12202008#2.171 62646499#2 450827424#0 450827405#0 262962062 -55179413#2 12187610#0 12187610#2 12187610#3 -62105579 12186909#0 12186909#1 12186909#2 12186909#4 12186909#6 386995479#0 12157718#5 12157718#7 485017376 485017373#0 387422135#0 424769003#0 424769003#1 -30953396#1 30953396#1 -424769003#1 -424769003#0 12157002#0 12157002#1 12186058#2 485017381#0 -12157718#12 -12157718#10 -12157718#9 -12157718#8 -12157718#6 386995479#1 386995479#2 386995479#3 386995479#4 386995479#5 386995479#6 386995490#0.0 12154359#1.20 12154359#2 -386995521#1 -386995521#0 43357814#0 43357814#1 42706837#4 42706837#5 12154359#5 12154359#6 386995531#1 386995531#2 386995531#3 386995531#4 12172918#2 gneE73 gneE75.0 gneE80.125" probability="0.037037037037037"/&gt;</t>
  </si>
  <si>
    <t xml:space="preserve">    &lt;route id="Router3_12" edges="-gneE80.0 -gneE80.17 -gneE41 gneE44 -388756838#2 -388756838#1 -388756838#0 42706817#0 386547310 gneE69 -388756838#2 -388756838#1 -388756838#0 -388756839#1 -388756839#0 -194358837#2 -194358837#0 194358838#0 194358838#1 194358838#2 194358838#3 387422145#0 387422145#3 386995499#0 386995499#2 -51155368#13 -51155368#10 -51155368#7 121319040#0 121319040#1 386995507#0 386995507#1 386995507#2 386995507#3 12182281#7 42706837#0 42706837#1 42706837#2 42706837#3 43357814#2 43357814#3 386995526#0 386995526#1 -51050425#4 -51050425#3 -51050425#2 12162659#0 12162659#1 -12175537#4 -12175537#3 -12175537#2 -12175537#1 -50033059#3 -50033059#2 -386995514#7 -12199713#2 12177498 42706833#2 51155368#0 -50033558#5 -50033558#3 -50033558#2 -62105579 -32121234#1 -32121234#0 42706874#0 42706874#2 55179414#0 55179413#0 424769182 -450827405#2 -450827400#2 -450827382 -450827385#1 -450827391#1 -450827381 -450827397#1 12180696#0 59435515#1 59435515#2 59435515#3 59435515#4 424801338#1 12117702#0 12117702#4 12117702#7 -32121146#3 12202008#2.0 12202008#2.171 62646499#2 450827424#0 450827405#0 262962062 -55179413#2 12187610#0 12187610#2 12187610#3 -62105579 12186909#0 12186909#1 12186909#2 51155368#11 42706831#0 42706831#4 42706831#5 42706831#6 32121234#0 32121234#1 32121234#2 50033558#2 50033558#3 50033558#4 50033558#6 50033058#0 386995514#9 386995486#0 32121111#11 -12177521#0 -121319040#0 -51155368#5 -50033558#5 -50033558#3 -12188656 -121319046 -42706825#7 -42706825#4 -42706825#3 -42706825#1 -484953510#2 -484953510#1 -484953510#0 gneE37 gneE38 -12159761#2 -12159761#1 -12159761#0 -194358817#2 -194358817#1 -194358817#0 -386995514#2 -386995514#1 12159500#1 12159500#2 51050030#7 gneE35 -gneE34.0 --gneE83.0" probability="0.037037037037037"/&gt;</t>
  </si>
  <si>
    <t xml:space="preserve">    &lt;route id="Router3_13" edges="-gneE80.0 -gneE80.17 -gneE41 gneE44 -388756838#2 -388756838#1 -388756838#0 42706817#0 386547310 gneE69 -388756838#2 -388756838#1 -388756838#0 -388756839#1 -388756839#0 -194358837#2 -194358837#0 194358838#0 194358838#1 194358838#2 194358838#3 387422145#0 387422145#3 386995499#0 386995499#2 -51155368#13 -51155368#10 -51155368#7 121319040#0 121319040#1 386995507#0 386995507#1 386995507#2 386995507#3 12182281#7 42706837#0 42706837#1 42706837#2 42706837#3 43357814#2 43357814#3 386995526#0 386995526#1 -51050425#4 -51050425#3 -51050425#2 12162659#0 12162659#1 -12175537#4 -12175537#3 -12175537#2 -12175537#1 -50033059#3 -50033059#2 -386995514#7 -12199713#2 12177498 42706833#2 51155368#0 -50033558#5 -50033558#3 -50033558#2 -62105579 -32121234#1 -32121234#0 42706874#0 42706874#2 55179414#0 55179413#0 424769182 -450827405#2 -450827400#2 -450827382 -450827385#1 -450827391#1 -450827381 -450827397#1 12180696#0 59435515#1 59435515#2 59435515#3 59435515#4 424801338#1 12117702#0 12117702#4 12117702#7 -32121146#3 12202008#2.0 12202008#2.171 62646499#2 450827424#0 450827405#0 262962062 -55179413#2 12187610#0 12187610#2 12187610#3 -62105579 12186909#0 12186909#1 12186909#2 51155368#11 42706831#0 42706831#4 42706831#5 42706831#6 32121234#0 32121234#1 32121234#2 50033558#2 50033558#3 50033558#4 50033558#6 50033058#0 386995514#9 386995486#0 32121111#11 -12177521#0 -121319040#0 -51155368#5 -50033558#5 -50033558#3 -12188656 -121319046 -42706825#7 -42706825#4 -42706825#3 -42706825#1 -484953510#2 -484953510#1 -484953510#0 gneE37 gneE38 -12159761#2 -12159761#1 -12159761#0 12114363#0 12114363#1 -50033059#4 12175537#0 12175537#2 12175537#3 12175537#4 12162659#2 12159485 12161358#7 12161358#8 386995507#6 386995507#7 386995521#0 386995521#1 12154359#3 12154359#4 12154359#5 12154359#6 12154359#7 101350669 -386995537 -386995526#1 -386995526#0 -43357814#3 -43357814#2 42706837#4 42706837#5 42706837#6 42706837#7 42706837#8 42706837#9 12172918#0 12172918#1 12172918#2 gneE73 gneE75.0 gneE80.125" probability="0.037037037037037"/&gt;</t>
  </si>
  <si>
    <t xml:space="preserve">    &lt;route id="Router3_14" edges="-gneE80.0 -gneE80.17 -gneE41 gneE44 -388756838#2 -388756838#1 -388756838#0 42706817#0 386547310 gneE69 -388756838#2 -388756838#1 -388756838#0 -388756839#1 -388756839#0 -194358837#2 -194358837#0 194358838#0 194358838#1 194358838#2 194358838#3 387422145#0 387422145#3 386995499#0 386995499#2 -51155368#13 -51155368#10 -51155368#7 121319040#0 121319040#1 386995507#0 386995507#1 386995507#2 386995507#3 12182281#7 42706837#0 42706837#1 42706837#2 42706837#3 43357814#2 43357814#3 386995526#0 386995526#1 -51050425#4 -51050425#3 -51050425#2 12162659#0 12162659#1 -12175537#4 -12175537#3 -12175537#2 -12175537#1 -50033059#3 -50033059#2 -386995514#7 -12199713#2 12177498 42706833#2 51155368#0 -50033558#5 -50033558#3 -50033558#2 -62105579 -32121234#1 -32121234#0 42706874#0 42706874#2 55179414#0 55179413#0 424769182 -450827405#2 -450827400#2 -450827382 -450827385#1 -450827391#1 -450827381 -450827397#1 12180696#0 59435515#1 59435515#2 59435515#3 59435515#4 424801338#1 12117702#0 12117702#4 12117702#7 -32121146#3 12202008#2.0 12202008#2.171 62646499#2 450827424#0 450827405#0 262962062 -55179413#2 12187610#0 12187610#2 12187610#3 -62105579 12186909#0 12186909#1 12186909#2 51155368#11 42706831#0 42706831#4 42706831#5 42706831#6 32121234#0 32121234#1 32121234#2 50033558#2 50033558#3 50033558#4 50033558#6 50033058#0 386995514#9 386995486#0 32121111#11 -12177521#0 -121319040#0 -51155368#5 -50033558#5 -50033558#3 -12188656 -121319046 -42706825#7 -42706825#4 -42706825#3 -42706825#1 -484953510#2 -484953510#1 -484953510#0 gneE37 gneE38 -12159761#2 -12159761#1 -12159761#0 12114363#0 12114363#1 -50033059#4 12175537#0 12175537#2 12175537#3 12175537#4 12162659#2 12159485 12161358#7 12161358#8 386995507#6 386995507#7 386995521#0 386995521#1 12154359#3 12154359#4 12154359#5 12154359#6 12154359#7 101350669 -386995537 -386995526#1 -386995526#0 -43357814#3 12175537#8 12175537#9 12175537#10 12175537#11 12175537#12 12175537#13 12172918#1 12172918#2 gneE73 gneE75.0 gneE80.125" probability="0.037037037037037"/&gt;</t>
  </si>
  <si>
    <t xml:space="preserve">    &lt;route id="Router3_15" edges="-gneE80.0 -gneE80.17 -gneE41 gneE44 -388756838#2 -388756838#1 -388756838#0 42706817#0 386547310 gneE69 -388756838#2 -388756838#1 -388756838#0 -388756839#1 -388756839#0 -194358837#2 -194358837#0 194358838#0 194358838#1 194358838#2 194358838#3 387422145#0 387422145#3 386995499#0 386995499#2 -51155368#13 -51155368#10 -51155368#7 121319040#0 121319040#1 386995507#0 386995507#1 386995507#2 386995507#3 12182281#7 42706837#0 42706837#1 42706837#2 42706837#3 43357814#2 43357814#3 386995526#0 386995526#1 -51050425#4 -51050425#3 -51050425#2 12162659#0 12162659#1 -12175537#4 -12175537#3 -12175537#2 -12175537#1 -50033059#3 -50033059#2 -386995514#7 -12199713#2 12177498 42706833#2 51155368#0 -50033558#5 -50033558#3 -50033558#2 -62105579 -32121234#1 -32121234#0 42706874#0 42706874#2 55179414#0 55179413#0 424769182 -450827405#2 -450827400#2 -450827382 -450827385#1 -450827391#1 -450827381 -450827397#1 12180696#0 59435515#1 59435515#2 59435515#3 59435515#4 424801338#1 12117702#0 12117702#4 12117702#7 -32121146#3 12202008#2.0 12202008#2.171 62646499#2 450827424#0 450827405#0 262962062 -55179413#2 12187610#0 12187610#2 12187610#3 -62105579 12186909#0 12186909#1 12186909#2 51155368#11 42706831#0 42706831#4 42706831#5 42706831#6 32121234#0 32121234#1 32121234#2 50033558#2 50033558#3 50033558#4 50033558#6 50033058#0 386995514#9 386995486#0 32121111#11 -12177521#0 -121319040#0 -51155368#5 -50033558#5 -50033558#3 -12188656 -121319046 -42706825#7 -42706825#4 -42706825#3 -42706825#1 -484953510#2 -484953510#1 -484953510#0 gneE37 gneE38 -12159761#2 -12159761#1 -12159761#0 12114363#0 12114363#1 -50033059#4 12175537#0 12175537#2 12175537#3 12175537#4 12175537#5 12175537#6 12175537#7 -43357814#2 42706837#4 42706837#5 42706837#6 42706837#7 42706837#8 12155177#0 12175537#13 12172918#1 12172918#2 gneE73 gneE75.0 -gneE80.17 -gneE41 gneE44 -388756838#2 -388756838#1 -388756838#0 42706817#0 386547310 gneE69 -388756838#2 -388756838#1 -388756838#0 -388756839#1 -388756839#0 -194358837#2 -194358837#0 194358838#0 194358838#1 194358838#2 386995479#2 310315797#2 12185366#9 387422145#0 -12157718#6 -12157718#4 -12157718#3 -12157718#2 -12157718#1 -12199713#4 386995514#7 -50033059#1 -50033558#8 -51155368#3 121319046 12188656 -50033558#2 12203859#0 12203859#1 42706831#4 42706831#5 42706831#6 42706874#0 42706874#2 12144152#0 12144152#2 450844953#0 450844953#2 450844953#3 450844947#0 388533142#0 388533142#2 388533142#4 62623926#0 62623926#1 450844950#0 12189453#0.0.0 450844982#0.19 62203497#0 62203497#2 62203497#3 12134479#1 34685684#0 34685684#2 388533143#0 388533143#2 12140627#0 63060729#0 -264253834#2 12156992#4 12156992#5 12156992#6 12156992#7 12156992#8 12156992#9 -12114396#5 -12114396#3 -12114396#1 485017383#0 485017382#0 485017382#1 211575484#0 -12177521#3 -12177521#2 -12177521#1 32121111#12 32121111#14 -12187610#5 -12187610#2 -12187610#1 12150608#0 32121146#2 12117702#9 450844953#0 450844953#2 450844953#3 450844947#0 388533142#0 388533142#2 388533142#4 62623926#0 62623926#1 450844950#0 38502259#0.19 450844933#1 196207110#0 196207110#2" probability="0.037037037037037"/&gt;</t>
  </si>
  <si>
    <t xml:space="preserve">    &lt;route id="Router3_16" edges="-gneE80.0 -gneE80.17 -gneE41 gneE44 -388756838#2 -388756838#1 -388756838#0 42706817#0 386547310 gneE69 -388756838#2 -388756838#1 -388756838#0 -388756839#1 -388756839#0 -194358837#2 -194358837#0 194358838#0 194358838#1 194358838#2 194358838#3 387422145#0 387422145#3 386995499#0 386995499#2 -51155368#13 -51155368#10 -51155368#7 121319040#0 121319040#1 386995507#0 386995507#1 386995507#2 386995507#3 12182281#7 42706837#0 42706837#1 42706837#2 42706837#3 43357814#2 43357814#3 386995526#0 386995526#1 -51050425#4 -51050425#3 -51050425#2 12162659#0 12162659#1 -12175537#4 -12175537#3 -12175537#2 -12175537#1 -50033059#3 -50033059#2 -386995514#7 -12199713#2 12177498 42706833#2 51155368#0 -50033558#5 -50033558#3 -50033558#2 -62105579 -32121234#1 -32121234#0 42706874#0 42706874#2 55179414#0 55179413#0 424769182 -450827405#2 -450827400#2 -450827382 -450827385#1 -450827391#1 -450827381 -450827397#1 12180696#0 59435515#1 59435515#2 59435515#3 59435515#4 424801338#1 12117702#0 12117702#4 12117702#7 -32121146#3 12202008#2.0 12202008#2.171 62646499#2 450827424#0 450827405#0 262962062 -55179413#2 12187610#0 12187610#2 12187610#3 -62105579 12186909#0 12186909#1 12186909#2 51155368#11 42706831#0 42706831#4 42706831#5 42706831#6 32121234#0 32121234#1 32121234#2 50033558#2 50033558#3 50033558#4 50033558#6 50033058#0 386995514#9 386995486#0 32121111#11 -12177521#0 -121319040#0 -51155368#5 -50033558#5 -50033558#3 -12188656 -121319046 -42706825#7 -42706825#4 -42706825#3 -42706825#1 -484953510#2 -484953510#1 -484953510#0 gneE37 gneE38 -12159761#2 -12159761#1 -12159761#0 12114363#0 12114363#1 -50033059#4 12175537#0 12175537#2 12175537#3 12175537#4 12175537#5 12175537#6 12175537#7 -43357814#2 42706837#4 42706837#5 42706837#6 42706837#7 42706837#8 12155177#0 12175537#13 12172918#1 12172918#2 gneE73 gneE75.0 gneE80.125" probability="0.037037037037037"/&gt;</t>
  </si>
  <si>
    <t xml:space="preserve">    &lt;route id="Router3_17" edges="-gneE80.0 -gneE80.17 -gneE41 gneE44 -388756838#2 -388756838#1 -388756838#0 42706817#0 386547310 gneE69 -388756838#2 -388756838#1 -388756838#0 -388756839#1 -388756839#0 -194358837#2 -194358837#0 194358838#0 194358838#1 194358838#2 194358838#3 387422145#0 387422145#3 386995499#0 386995499#2 -51155368#13 -51155368#10 -51155368#7 121319040#0 121319040#1 386995507#0 386995507#1 386995507#2 386995507#3 12182281#7 42706837#0 42706837#1 42706837#2 42706837#3 43357814#2 43357814#3 386995526#0 386995526#1 -51050425#4 -51050425#3 -51050425#2 12162659#0 12162659#1 -12175537#4 -12175537#3 -12175537#2 -12175537#1 -50033059#3 -50033059#2 -386995514#7 -12199713#2 12177498 42706833#2 51155368#0 -50033558#5 -50033558#3 -50033558#2 -62105579 -32121234#1 -32121234#0 42706874#0 42706874#2 55179414#0 55179413#0 424769182 -450827405#2 -450827400#2 -450827382 -450827385#1 -450827391#1 -450827381 -450827397#1 12180696#0 59435515#1 59435515#2 59435515#3 59435515#4 424801338#1 12117702#0 12117702#4 12117702#7 -32121146#3 12202008#2.0 12202008#2.171 62646499#2 450827424#0 450827405#0 262962062 -55179413#2 12187610#0 12187610#2 12187610#3 -62105579 12186909#0 12186909#1 12186909#2 51155368#11 42706831#0 42706831#4 42706831#5 42706831#6 32121234#0 32121234#1 32121234#2 50033558#2 50033558#3 50033558#4 50033558#6 50033058#0 386995514#9 386995486#0 32121111#11 -12177521#0 -121319040#0 -51155368#5 -50033558#5 -50033558#3 -12188656 -121319046 -42706825#7 -42706825#4 -42706825#3 -42706825#1 -484953510#2 -484953510#1 -484953510#0 gneE37 gneE38 -12159761#2 -12159761#1 -12159761#0 12114363#0 12114363#1 -50033059#4 12175537#0 12175537#2 12175537#3 12175537#4 12175537#5 12175537#6 12175537#7 12175537#8 12175537#9 12154359#6 386995531#1 12174155#0 -12175537#10 -12175537#9 -12175537#8 -12175537#7 12152013#3 12167232#3 386995531#0 12154359#7 101350669 -386995537 -386995526#1 -386995526#0 -43357814#3 -43357814#2 42706837#4 42706837#5 42706837#6 42706837#7 42706837#8 42706837#9 12172918#0 12172918#1 12172918#2 gneE73 gneE75.0 -gneE80.17 -gneE41 gneE44 -388756838#2 -388756838#1 -388756838#0 42706817#0 386547310 gneE69 -gneE44 gneE41 gneE80.0 gneE80.125" probability="0.037037037037037"/&gt;</t>
  </si>
  <si>
    <t xml:space="preserve">    &lt;route id="Router3_18" edges="-gneE80.0 -gneE80.17 -gneE41 gneE44 -388756838#2 -388756838#1 -388756838#0 42706817#0 386547310 gneE69 -388756838#2 -388756838#1 -388756838#0 -388756839#1 -388756839#0 -194358837#2 -194358837#0 194358838#0 194358838#1 194358838#2 194358838#3 387422145#0 387422145#3 386995499#0 386995499#2 -51155368#13 -51155368#10 -51155368#7 121319040#0 121319040#1 386995507#0 386995507#1 386995507#2 386995507#3 12182281#7 42706837#0 42706837#1 42706837#2 42706837#3 43357814#2 43357814#3 386995526#0 386995526#1 -51050425#4 -51050425#3 -51050425#2 12162659#0 12162659#1 -12175537#4 -12175537#3 -12175537#2 -12175537#1 -50033059#3 -50033059#2 -386995514#7 -12199713#2 12177498 42706833#2 51155368#0 -50033558#5 -50033558#3 -50033558#2 -62105579 -32121234#1 -32121234#0 42706874#0 42706874#2 55179414#0 55179413#0 424769182 -450827405#2 -450827400#2 -450827382 -450827385#1 -450827391#1 -450827381 -450827397#1 12180696#0 59435515#1 59435515#2 59435515#3 59435515#4 424801338#1 12117702#0 12117702#4 12117702#7 -32121146#3 12202008#2.0 12202008#2.171 62646499#2 450827424#0 450827405#0 262962062 -55179413#2 12187610#0 12187610#2 12187610#3 -62105579 12186909#0 12186909#1 12186909#2 51155368#11 42706831#0 42706831#4 42706831#5 42706831#6 32121234#0 32121234#1 32121234#2 50033558#2 50033558#3 50033558#4 50033558#6 50033058#0 386995514#9 386995486#0 32121111#11 -12177521#0 -121319040#0 -51155368#5 -50033558#5 -50033558#3 -12188656 -121319046 -42706825#7 -42706825#4 -42706825#3 -42706825#1 -484953510#2 -484953510#1 -484953510#0 gneE37 gneE38 -12159761#2 -12159761#1 -12159761#0 12114363#0 12114363#1 -50033059#4 12175537#0 12175537#2 12175537#3 12175537#4 12175537#5 12175537#6 12175537#7 12175537#8 12175537#9 12154359#6 386995531#1 12174155#0 -12175537#10 -12175537#9 -12175537#8 -12175537#7 12152013#3 12167232#3 386995531#0 12154359#7 101350669 -386995537 -386995526#1 -386995526#0 -43357814#3 -43357814#2 42706837#4 42706837#5 42706837#6 42706837#7 42706837#8 42706837#9 12172918#0 12172918#1 12172918#2 gneE73 gneE75.0 gneE80.125" probability="0.037037037037037"/&gt;</t>
  </si>
  <si>
    <t xml:space="preserve">    &lt;route id="Router3_71" edges="31909473.0 31909473.857 62634019#1-AddedOnRampEdge 62634019#1 30953036 424081476 424081472 424081473 424081470 30953025#0 30953025#2 30953025#3 30953025#4 50033060#0 12134479#5 450844973#0 388533144#0 388533144#6 388533144#11 450695475#0 137364609#0 137364609#3 137364609#5 450695473#0 386547305#0 gneE23 -gneE20.0 -gneE21.54 -gneE21.0 59435515#0 59435515#1 59435515#2 59435515#3 59435515#4 424801338#1 12117702#0 12117702#4 12117702#7 -32121146#3 -32121146#1 -424769197#2 12144152#0 12144152#2 12144152#4 12144152#6 12157151#0 12166276#2 -32121146#5 12117702#9 450844953#0 450844953#2 450844953#3 450844947#0 388533142#0 388533142#2 12189045#0 62623987#0 62623987#1 -12142631 12202018 62623986#1 62623986#2 -12189051#1 -262962063 -424080764 -424080768#1 -424080766 -104526265#1 30953497#0 30953497#2 30953497#3 42706585#0 42706585#1 30953320 30953320-AddedOffRampEdge 104526277 30953215#1-AddedOnRampEdge 30953215#1 121643865#0 12110705 50715233#0 50715233#0-AddedOffRampEdge 50715233#1.0 62203285#14.24 30908387 30908366#1-AddedOnRampEdge 30908366#1 121643863 121643862 51758697#0 51758697#1-AddedOnRampEdge 51758697#1 -gneE46.0 43357850.4841.18 gneE46 49887339#0.596 49887339#0-AddedOffRampEdge 49887339#1 49887339#1-AddedOffRampEdge 104524021 104524021-AddedOffRampEdge 50192637#0 50192637#1-AddedOnRampEdge 50192637#1.0.0 50192637#1.0.382.0.0 50192637#1.697 50192637#1-AddedOffRampEdge 30953181#1 30953181#2-AddedOnRampEdge 30953181#2 30953181#3-AddedOnRampEdge 30953181#3 30953181#3-AddedOffRampEdge 30952933#1.0 30952933#1.199" probability="0.037037037037037"/&gt;</t>
  </si>
  <si>
    <t xml:space="preserve">    &lt;route id="Router3_72" edges="31909473.0 31909473.857 62634019#1-AddedOnRampEdge 62634019#1 30953036 424081476 424081472 424081473 424081470 30953025#0 30953025#2 30953025#3 30953025#4 50033060#0 12134479#5 450844973#0 388533144#0 388533144#6 388533144#11 450695475#0 137364609#0 137364609#3 137364609#5 450695473#0 386547305#0 gneE23 -gneE20.0 -gneE21.54 -gneE21.0 59435515#0 59435515#1 59435515#2 59435515#3 59435515#4 424801338#1 12117702#0 12117702#4 12117702#7 -32121146#3 12202008#2.0 12202008#2.171 62646499#2 450827424#0 450827405#0 262962062 -55179413#2 12187610#0 12187610#2 12187610#3 -62105579 12186909#0 12186909#1 12186909#2 12186909#4 12177521#2 12177521#3 211575484#1 485017379 -386995465#1 -386995504#1 -386995486#1 32121111#11 -12177521#0 -121319040#0 -51155368#5 -50033558#5 -50033558#3 -12188656 -121319046 -42706825#7 -42706825#4 -42706825#3 -42706825#1 194358815 194358817#0 194358817#1 194358817#2 12114363#0 12114363#1 -50033059#4 12175537#0 12175537#2 12175537#3 12175537#4 12175537#5 12175537#6 12175537#7 -43357814#2 42706837#4 42706837#5 42706837#6 42706837#7 42706837#8 42706837#9 12172918#0 12172918#1 12172918#2 gneE73 gneE75.0 -gneE80.17 -gneE41 gneE44 -388756838#2 -388756838#1 -388756838#0 42706817#0 386547310 gneE69 -gneE44 gneE41 gneE80.0 gneE80.125" probability="0.037037037037037"/&gt;</t>
  </si>
  <si>
    <t xml:space="preserve">    &lt;route id="Router3_73" edges="31909473.0 31909473.857 62634019#1-AddedOnRampEdge 62634019#1 30953036 424081476 424081472 424081473 424081470 30953025#0 30953025#2 30953025#3 30953025#4 50033060#0 12134479#5 450844973#0 388533144#0 388533144#6 388533144#11 450695475#0 137364609#0 137364609#3 137364609#5 450695473#0 386547305#0 gneE23 -gneE20.0 -gneE21.54 -gneE21.0 59435515#0 59435515#1 59435515#2 59435515#3 59435515#4 424801338#1 12117702#0 12117702#4 12117702#7 -32121146#3 12202008#2.0 12202008#2.171 62646499#2 450827424#0 450827405#0 262962062 -55179413#2 12187610#0 12187610#2 12187610#3 -62105579 12186909#0 12186909#1 12186909#2 12186909#4 12177521#2 12177521#3 211575484#1 485017379 -386995465#1 -386995504#1 -386995486#1 32121111#11 -12177521#0 -121319040#0 -51155368#5 -50033558#5 -50033558#3 -12188656 -121319046 -42706825#7 -42706825#4 -42706825#3 -42706825#1 194358815 194358817#0 194358817#1 194358817#2 12114363#0 12114363#1 -50033059#4 12175537#0 12175537#2 12175537#3 12175537#4 12175537#5 12175537#6 12175537#7 -43357814#2 42706837#4 42706837#5 42706837#6 42706837#7 42706837#8 42706837#9 12172918#0 12172918#1 12172918#2 gneE73 gneE75.0 gneE80.125" probability="0.037037037037037"/&gt;</t>
  </si>
  <si>
    <t xml:space="preserve">    &lt;route id="Router3_74" edges="31909473.0 31909473.857 62634019#1-AddedOnRampEdge 62634019#1 30953036 424081476 424081472 424081473 424081470 30953025#0 30953025#2 30953025#3 30953025#4 50033060#0 12134479#5 450844973#0 388533144#0 388533144#6 388533144#11 450695475#0 137364609#0 137364609#3 137364609#5 450695473#0 386547305#0 gneE23 -gneE20.0 -gneE21.54 -gneE21.0 59435515#0 59435515#1 59435515#2 59435515#3 59435515#4 424801338#1 12117702#0 12117702#4 12117702#7 -32121146#3 12202008#2.0 12202008#2.171 62646499#2 450827424#0 450827405#0 262962062 -55179413#2 12187610#0 12187610#2 12187610#3 -62105579 12186909#0 12186909#1 12186909#2 12186909#4 12177521#2 12177521#3 211575484#1 485017379 -386995465#1 -386995504#1 -386995486#1 32121111#11 -12177521#0 -121319040#0 -51155368#5 -50033558#5 -50033558#3 -12188656 -121319046 -42706825#7 -42706825#4 -42706825#3 -42706825#1 194358815 194358817#0 194358817#1 194358817#2 12114363#0 12114363#1 -50033059#4 12175537#0 12175537#2 485017371#0 484953507#1 12182281#8 12182281#9 12167232#0 12167232#1 12167232#2 12152013#4 51050425#4 386995537 386995551 387422150#0 387422150#1 386995531#3 386995531#4 12172918#2 gneE73 gneE75.0 gneE80.125" probability="0.037037037037037"/&gt;</t>
  </si>
  <si>
    <t xml:space="preserve">    &lt;route id="Router3_75" edges="31909473.0 31909473.857 62634019#1-AddedOnRampEdge 62634019#1 30953036 424081476 424081472 424081473 424081470 30953025#0 30953025#2 30953025#3 30953025#4 50033060#0 12134479#5 450844973#0 388533144#0 388533144#6 388533144#11 450695475#0 137364609#0 137364609#3 137364609#5 450695473#0 386547305#0 gneE23 -gneE20.0 -gneE21.54 -gneE21.0 59435515#0 59435515#1 59435515#2 59435515#3 59435515#4 424801338#1 12117702#0 12117702#4 12117702#7 -32121146#3 12202008#2.0 12202008#2.171 62646499#2 450827424#0 450827405#0 262962062 -55179413#2 12187610#0 12187610#2 12187610#3 -62105579 12186909#0 12186909#1 12186909#2 51155368#11 42706831#0 42706831#4 42706831#5 42706831#6 32121234#0 32121234#1 32121234#2 50033558#2 50033558#3 50033558#4 50033558#6 50033058#0 386995514#9 386995486#0 32121111#11 -12177521#0 -121319040#0 -51155368#5 -50033558#5 -50033558#3 -12188656 -121319046 -42706825#7 -42706825#4 -42706825#3 -42706825#1 -484953510#2 -484953510#1 -484953510#0 gneE37 gneE38 -12159761#2 -12159761#1 -12159761#0 12114363#0 12114363#1 -50033059#4 12175537#0 12175537#2 12175537#3 12175537#4 12162659#2 12159485 12161358#7 12161358#8 386995507#6 386995507#7 386995521#0 386995521#1 12154359#3 12154359#4 12154359#5 12154359#6 12154359#7 101350669 -386995537 -386995526#1 -386995526#0 -43357814#3 -43357814#2 42706837#4 42706837#5 42706837#6 42706837#7 42706837#8 42706837#9 12172918#0 12172918#1 12172918#2 gneE73 gneE75.0 gneE80.125" probability="0.037037037037037"/&gt;</t>
  </si>
  <si>
    <t xml:space="preserve">    &lt;route id="Router3_77" edges="31909473.0 31909473.857 62634019#1-AddedOnRampEdge 62634019#1 62634019#2.0 62634019#2.242 62634019#3-AddedOnRampEdge 62634019#3 62634019#3-AddedOffRampEdge 12111747.0 12189453#0.0.0 450844982#0.19 62203497#0 62203497#2 62203497#3 12134479#1 34685684#0 34685684#2 450844947#0 388533142#0 388533142#2 12189045#0 62623987#0 62623987#1 -12142631 12202018 62623986#1 62623986#2 -12189051#1 424080770#0 424080772#0 424080772#2 386547297#0 424080771#0 424080767#0 386547298#0 424769177 424080769#0 55179414#0 12187610#0 -484953508#2 424801339#0 62646509#0 424801338#0 424801338#1 12117702#0 12117702#4 12117702#7 -32121146#3 -32121146#1 55179413#0 424769182 -450827405#2 -450827400#2 -450827382 -450827385#1 12134222#0 12134222#2 12134222#3 386547311#11 386547311#13 357338496#0 357338496#2 450695461#0 62646494#0 424801336#0 484842168#0 283621820 -28555309#1 -424801341 -283621822#1 -424801343#1 -424801343#0 49991658 424801340 424801342 386550018#0 386550018#0-AddedOffRampEdge 386550018#1 49991638 -12144161#0 12144161#0 12144161#1 49991657 283621821#1 283621821#1-AddedOffRampEdge 283621821#2 49991647#1 49991647#2 63060732#0 63060732#1 63060732#2.0 63060732#2.116 50033027 -50033029 50033050#0 50033050#2 424799828 424799825 424799826 50033054 63060727 50033029 50033028#0 50033028#3 50033028#5 50033028#6 49991646 386547300#0 283621823 386547301-AddedOnRampEdge 386547301 424801344#0 424801343#1 283621822#0 424801341 28555309#0 49991649#0 424986163#0 51049946#0 424801337#0 357338497#0 357338497#2 450695460#0 62646499#0 62646499#2 450827424#0 62646508#0 62646508#2 424799820 424799823#0 50033059#0 50033059#2 50033059#3 50033059#4 388756839#0 388756839#1 388756838#0 12136923#0 386547309#0 386547309#2 386547309#3 386547309#5 386547309#7 51050030#4 51050030#7 gneE35 -gneE34.0 --gneE83.0" probability="0.037037037037037"/&gt;</t>
  </si>
  <si>
    <t xml:space="preserve">    &lt;route id="Router3_78" edges="31909473.0 31909473.857 62634019#1-AddedOnRampEdge 62634019#1 62634019#2.0 62634019#2.242 62634019#3-AddedOnRampEdge 62634019#3 62634019#3-AddedOffRampEdge 12111747.0 12189453#0.0.0 450844982#0.19 62203497#0 62203497#2 62203497#3 12134479#1 34685684#0 34685684#2 450844947#0 388533142#0 388533142#2 12189045#0 62623987#0 62623987#1 -12142631 12202018 62623986#1 62623986#2 -12189051#1 424080770#0 424080772#0 424080772#2 386547297#0 424080771#0 424080767#0 386547298#0 424769177 424080769#0 55179414#0 12187610#0 -484953508#2 424801339#0 62646509#0 424801338#0 424801338#1 12117702#0 12117702#4 12117702#7 -32121146#3 -32121146#1 55179413#0 424769182 -450827405#2 -450827400#2 -450827382 -450827385#1 12134222#0 12134222#2 12134222#3 386547311#11 386547311#13 357338496#0 357338496#2 450695461#0 62646494#0 424801336#0 484842168#0 283621820 -28555309#1 -424801341 -283621822#1 -424801343#1 -424801343#0 49991658 424801340 424801342 386550018#0 386550018#0-AddedOffRampEdge 386550018#1 49991638 -12144161#0 12144161#0 12144161#1 49991657 283621821#1 283621821#1-AddedOffRampEdge 283621821#2 49991647#1 49991647#2 63060732#0 63060732#1 63060732#2.0 63060732#2.116 50033027 -50033029 50033050#0 50033050#2 424799828 424799825 424799826 50033054 63060727 50033029 50033028#0 50033028#3 50033028#5 50033028#6 49991646 386547300#0 283621823 386547301-AddedOnRampEdge 386547301 424801344#0 424801343#1 283621822#0 424801341 28555309#0 49991649#0 424986163#0 51049946#0 424801337#0 357338497#0 357338497#2 450695460#0 62646499#0 62646499#2 450827424#0 62646508#0 62646508#2 424799820 424799823#0 50033059#0 50033059#2 50033059#3 50033059#4 388756839#0 388756839#1 388756838#0 12136923#0 386547309#0 386547309#2 386547309#3 386547309#5 484953510#2 42706825#0 42706825#2 42706825#4 42706825#5 424799823#0 42706833#0 42706833#2 -42706825#7 12199713#0 12199713#1 -386995514#6 -386995514#5 -386995514#4 -386995514#3 -386995514#2 -386995514#1 12159500#1 12159500#2 51050030#7 gneE35 -gneE34.0 --gneE83.0" probability="0.037037037037037"/&gt;</t>
  </si>
  <si>
    <t xml:space="preserve">    &lt;route id="Router3_79" edges="31909473.0 31909473.857 62634019#1-AddedOnRampEdge 62634019#1 62634019#2.0 62634019#2.242 62634019#3-AddedOnRampEdge 62634019#3 62634019#3-AddedOffRampEdge 12111747.0 12189453#0.0.0 450844982#0.19 62203497#0 62203497#2 62203497#3 12134479#1 34685684#0 34685684#2 450844947#0 388533142#0 388533142#2 12189045#0 62623987#0 62623987#1 -12142631 12202018 62623986#1 62623986#2 -12189051#1 424080770#0 424080772#0 424080772#2 386547297#0 424080771#0 424080767#0 386547298#0 424769177 424080769#0 55179414#0 12187610#0 -484953508#2 424801339#0 62646509#0 424801338#0 424801338#1 12117702#0 12117702#4 12117702#7 -32121146#3 -32121146#1 55179413#0 424769182 -450827405#2 -450827400#2 -450827382 -450827385#1 12134222#0 12134222#2 12134222#3 386547311#11 386547311#13 357338496#0 357338496#2 450695461#0 62646494#0 424801336#0 484842168#0 283621820 -28555309#1 -424801341 -283621822#1 -424801343#1 -424801343#0 49991658 424801340 424801342 386550018#0 386550018#0-AddedOffRampEdge 386550018#1 49991638 -12144161#0 12144161#0 12144161#1 49991657 283621821#1 283621821#1-AddedOffRampEdge 283621821#2 49991647#1 49991647#2 63060732#0 63060732#1 63060732#2.0 63060732#2.116 50033027 -50033029 50033050#0 50033050#2 424799828 424799825 424799826 50033054 63060727 50033029 50033028#0 50033028#3 50033028#5 50033028#6 49991646 386547300#0 283621823 386547301-AddedOnRampEdge 386547301 424801344#0 424801343#1 283621822#0 424801341 28555309#0 49991649#0 424986163#0 51049946#0 424801337#0 357338497#0 357338497#2 450695460#0 62646499#0 62646499#2 450827424#0 62646508#0 62646508#2 424799820 424799823#0 50033059#0 50033059#2 50033059#3 50033059#4 388756839#0 388756839#1 388756838#0 12136923#0 386547309#0 386547309#2 386547309#3 386547309#5 484953510#2 42706825#0 42706825#2 42706825#4 42706825#5 424799823#0 42706833#0 42706833#2 12189876#0 12189876#2 484953508#1 60185970#0 60185970#2 12149571#1 12187610#3 50033558#2 50033558#3 50033558#4 50033558#6 50033058#0 386995514#9 386995486#0 32121111#11 -12177521#0 -121319040#0 -51155368#5 -50033558#5 -50033558#3 -12188656 -121319046 -42706825#7 -42706825#4 -42706825#3 -42706825#1 194358815 194358817#0 194358817#1 194358817#2 12114363#0 12114363#1 -50033059#4 12175537#0 12175537#2 485017371#0 484953507#1 12182281#8 12182281#9 12167232#0 12167232#1 12167232#2 12152013#4 51050425#4 386995537 386995551 387422150#0 387422150#1 386995531#3 386995531#4 12172918#2 gneE73 gneE75.0 gneE80.125" probability="0.037037037037037"/&gt;</t>
  </si>
  <si>
    <t xml:space="preserve">    &lt;route id="Router3_97" edges="31909473.0 31909473.857 62634019#1-AddedOnRampEdge 62634019#1 62634019#2.0 62634019#2.242 62634019#3-AddedOnRampEdge 62634019#3 62634019#3-AddedOffRampEdge 12111747.0 59671945#0.30 62093806#0 104526265#0.14 424080766 424080768#0 104523976#1 262962063 12189051#0 -12189051#1 424080770#0 424080772#0 424080772#2 386547297#0 424080771#0 424080767#0 386547298#0 424769177 424080769#0 55179414#0 12187610#0 -484953508#2 424801339#0 62646509#0 424801338#0 424801338#1 12117702#0 12117702#4 12117702#7 -32121146#3 -32121146#1 55179413#0 424769182 -450827405#2 -450827400#2 -450827382 -450827385#1 12134222#0 12134222#2 12134222#3 386547311#11 386547311#13 357338496#0 357338496#2 450695461#0 62646494#0 424801336#0 484842168#0 283621820 -28555309#1 -424801341 -283621822#1 -424801343#1 -424801343#0 49991658 424801340 424801342 386550018#0 386550018#0-AddedOffRampEdge 386550018#1 49991638 -12144161#0 12144161#0 12144161#1 49991657 283621821#1 283621821#1-AddedOffRampEdge 283621821#2 49991647#1 49991647#2 63060732#0 63060732#1 63060732#2.0 63060732#2.116 50033027 -50033029 50033050#0 50033050#2 424799828 424799825 424799826 50033054 63060727 50033029 50033028#0 50033028#3 50033028#5 50033028#6 49991646 386547300#0 283621823 386547301-AddedOnRampEdge 386547301 424801344#0 424801343#1 283621822#0 424801341 28555309#0 49991649#0 424986163#0 51049946#0 424801337#0 357338497#0 357338497#2 450695460#0 62646499#0 62646499#2 450827424#0 62646508#0 62646508#2 424799820 424799823#0 50033059#0 50033059#2 50033059#3 50033059#4 388756839#0 388756839#1 388756838#0 12136923#0 386547309#0 386547309#2 386547309#3 386547309#5 386547309#7 51050030#4 51050030#7 gneE35 -gneE34.0 --gneE83.0" probability="0.037037037037037"/&gt;</t>
  </si>
  <si>
    <t xml:space="preserve">    &lt;route id="Router3_100" edges="31909473.0 31909473.857 62634019#1-AddedOnRampEdge 62634019#1 62634019#2.0 62634019#2.242 62634019#3-AddedOnRampEdge 62634019#3 62634019#3-AddedOffRampEdge 12111747.0 59671945#0.30 62093806#0 104526265#0.14 424080766 424080768#0 104523976#1 262962063 12189051#0 -12189051#1 424080770#0 424080772#0 424080772#2 386547297#0 424080771#0 424080767#0 386547298#0 424769177 424080769#0 55179414#0 12187610#0 -484953508#2 424801339#0 62646509#0 424801338#0 424801338#1 357338496#0 357338487#0 -12134222#6 -12134222#4 -12134222#2 -12134222#1 12175523#0 484953509#4 51050030#0 386547309#9 12180696#0 12180696#2 386547311#6 386547311#8 386547311#9 -12134222#4 -12134222#2 -12134222#1 12175523#0 484953509#4 51050030#0 386547309#9 12180696#0 12180696#2 386547311#6 386547311#8 386547311#9 -12134222#4 -12134222#2 -12134222#1 450827385#0 450827382 450827400#0 62646509#0 424801338#0 424801338#1 12117702#0 12117702#4 12117702#7 -32121146#3 -32121146#1 55179413#0 424769182 -450827405#2 -450827400#2 -450827382 -450827385#1 12134222#0 12134222#2 12134222#3 386547311#11 386547311#13 357338496#0 357338496#2 450695461#0 62646494#0 424801336#0 484842168#0 283621820 -28555309#1 -424801341 -283621822#1 -424801343#1 -424801343#0 49991658 424801340 424801342 386550018#0 386550018#0-AddedOffRampEdge 386550018#1 49991638 -12144161#0 12144161#0 12144161#1 49991657 283621821#1 283621821#1-AddedOffRampEdge 283621821#2 49991647#1 49991647#2 63060732#0 63060732#1 63060732#2.0 63060732#2.116 50033027 -50033029 50033050#0 50033050#2 424799828 424799825 424799826 50033054 63060727 50033029 50033028#0 50033028#3 50033028#5 50033028#6 49991646 386547300#0 283621823 386547301-AddedOnRampEdge 386547301 424801344#0 424801343#1 283621822#0 424801341 28555309#0 49991649#0 424986163#0 51049946#0 424801337#0 357338497#0 357338497#2 450695460#0 62646499#0 62646499#2 450827424#0 62646508#0 62646508#2 424799820 424799823#0 50033059#0 50033059#2 50033059#3 50033059#4 388756839#0 388756839#1 388756838#0 12136923#0 386547309#0 386547309#2 386547309#3 386547309#5 386547309#7 51050030#4 51050030#7 gneE35 -gneE34.0 --gneE83.0" probability="0.037037037037037"/&gt;</t>
  </si>
  <si>
    <t xml:space="preserve">    &lt;route id="Router3_102" edges="31909473.0 31909473.857 62634019#1-AddedOnRampEdge 62634019#1 62634019#2.0 62634019#2.242 62634019#3-AddedOnRampEdge 62634019#3 62634019#3-AddedOffRampEdge 12111747.0 62203498#0 62093806#0 104526265#0.14 424080766 424080768#0 104523976#1 262962063 424080770#0 -424080761#1 -62623960 62623959#0 386547296#0 386547296#1 424080773#0 104523976#1 262962063 424080770#0 424080772#0 424080772#2 386547297#0 424080771#0 424080767#0 386547298#0 424769177 424080769#0 55179414#0 55179413#0 424769182 -450827405#2 -450827400#2 -450827382 -450827385#1 -450827391#1 -450827381 -450827397#1 12180696#0 59435515#1 59435515#2 59435515#3 59435515#4 424801338#1 12117702#0 12117702#4 12117702#7 -32121146#3 12202008#2.0 12202008#2.171 62646499#2 450827424#0 450827405#0 262962062 -55179413#2 12187610#0 12187610#2 12187610#3 -62105579 12186909#0 12186909#1 12186909#2 12186909#4 12186909#6 386995479#0 12157718#5 12157718#7 485017376 485017373#0 387422135#0 424769003#0 424769003#1 -30953396#1 -30953396#0 -424769006 -424769005 -424769002 -30953391 -43569848 -393884751 12159702 424764853 12149178#0 50189796 50189564 12149178#2 145605533#0 145605533#1-AddedOnRampEdge 145605533#1 145605511#1-AddedOnRampEdge 145605511#12 145605511#1.148" probability="0.037037037037037"/&gt;</t>
  </si>
  <si>
    <t xml:space="preserve">    &lt;route id="Router3_3" edges="-gneE80.0 -gneE80.17 -gneE41 gneE44 -388756838#2 -388756838#1 -388756838#0 -388756839#1 -388756839#0 -194358837#2 -194358837#0 194358838#0 -386995507#1 12157718#3 32121111#10 386995486#1 386995479#0 12157718#5 12157718#7 485017376 485017373#0 387422135#0 424769003#0 424769003#1 -30953396#1 -30953396#0 -424769006 -424769005 -424769002 -30953391 -43569848 -393884751 12159702 424764853 12149178#0 50189796 50189564 12149178#2 145605533#0 145605533#1-AddedOnRampEdge 145605533#1 145605511#1-AddedOnRampEdge 145605511#12 145605511#1.148" probability="0.037037037037037"/&gt;</t>
  </si>
  <si>
    <t xml:space="preserve">    &lt;route id="Router3_4" edges="-gneE80.0 -gneE80.17 -gneE41 gneE44 -388756838#2 -388756838#1 -388756838#0 42706817#0 386547310 gneE69 -388756838#2 -388756838#1 -388756838#0 -388756839#1 -388756839#0 -194358837#2 -194358837#0 194358838#0 194358838#1 194358838#2 194358838#3 387422145#0 387422145#3 386995499#0 386995499#2 -51155368#13 -51155368#10 -51155368#7 121319040#0 121319040#1 386995507#0 386995507#1 386995507#2 386995507#3 12182281#7 42706837#0 42706837#1 42706837#2 42706837#3 43357814#2 43357814#3 386995526#0 386995526#1 -51050425#4 -51050425#3 -51050425#2 12162659#0 12162659#1 -12175537#4 -12175537#3 -12175537#2 -12175537#1 -50033059#3 -50033059#2 -386995514#7 -12199713#2 12177498 42706833#2 51155368#0 -50033558#5 -50033558#3 -50033558#2 -62105579 -32121234#1 -32121234#0 42706874#0 42706874#2 12144152#0 12144152#2 12144152#4 12144152#6 12157151#0 12166276#2 -32121146#5 12117702#9 450844953#0 450844953#2 450844953#3 450844947#0 388533142#0 388533142#2 12189045#0 62623987#0 62623987#1 -12142631 12202018 62623986#1 62623986#2 -12189051#1 -262962063 -424080764 -424080768#1 -424080766 -104526265#1 30953497#0 30953497#2 30953497#3 42706585#0 42706585#1 30953320 30953320-AddedOffRampEdge 104526277 30953215#1-AddedOnRampEdge 30953215#1 121643865#0 121643865#1 145605511#1-AddedOnRampEdge 145605511#12 145605511#1.148" probability="0.037037037037037"/&gt;</t>
  </si>
  <si>
    <t>&lt;/routeDistribution&gt;</t>
  </si>
  <si>
    <t/>
  </si>
  <si>
    <t>&lt;routeDistribution id="SPGDst-33rd-to-31st-EB-2009-RouteProbe"&gt;</t>
  </si>
  <si>
    <t xml:space="preserve">    &lt;route id="Router3_82" edges="31909473.0 31909473.857 62634019#1-AddedOnRampEdge 62634019#1 62634019#2.0 62634019#2.242 62634019#3-AddedOnRampEdge 62634019#3 62634019#3-AddedOffRampEdge 12111747.0 12189453#0.0.0 450844982#0.19 62203497#0 62203497#2 62203497#3 12134479#1 34685684#0 34685684#2 450844947#0 388533142#0 388533142#2 388533142#4 62623926#0 62623926#1 450844950#0 12189453#0.0.0 450844982#0.19 62203497#0 62203497#2 62203497#3 12134479#1 34685684#0 34685684#2 388533143#0 388533143#2 12140627#0 63060729#0 -264253834#2 12156992#4 12156992#5 12156992#6 12156992#7 12156992#8 12156992#9 484953505 12148522#0 -12186058#4 -12186058#1 -386995465#1 -386995504#1 386995479#0 12157718#5 12157718#7 485017376 485017373#0 387422135#0 424769003#0 424769003#1 -30953396#1 -30953396#0 -424769006 -424769005 -424769002 -30953391 -43569848 -393884751 12159702 424764853 12149178#0 50189796 50189564 12149178#2 145605533#0 145605533#1-AddedOnRampEdge 145605533#1 145605511#1-AddedOnRampEdge 145605511#12 145605511#1.148" probability="0.0434782608695652"/&gt;</t>
  </si>
  <si>
    <t xml:space="preserve">    &lt;route id="Router3_93" edges="31909473.0 31909473.857 62634019#1-AddedOnRampEdge 62634019#1 62634019#2.0 62634019#2.242 62634019#3-AddedOnRampEdge 62634019#3 62634019#3-AddedOffRampEdge 12111747.0 59671945#0.30 62093806#0 104526265#0.14 424080766 424080768#0 104523976#1 262962063 12189051#0 -12189051#1 424080770#0 424080772#0 12119506#0 -12156992#1 -386547297#1 -424080772#2 -424080772#1 -424080761#1 -62623960 62623959#0 386547296#0 386547296#1 424080773#0 279870839#0 279870839#2 450844960#0 62623926#1 450844950#0 38502259#0.19 450844933#1 196207115#0 196207115#2 196207115#3 196355332#0 450844979#0.0 450844982#0.19 62203497#0 62203497#2 62203497#3 12134479#1 34685684#0 34685684#2 388533143#0 388533143#2 12140627#0 63060729#0 -264253834#2 12156992#4 12156992#5 12156992#6 12156992#7 12156992#8 12156992#9 484953505 12148522#0 -12186058#4 -12186058#1 -386995465#1 -386995504#1 386995479#0 12157718#5 12157718#7 485017376 485017373#0 387422135#0 424769003#0 424769003#1 -30953396#1 -30953396#0 -424769006 -424769005 -424769002 -30953391 -43569848 -393884751 12159702 424764853 12149178#0 50189796 50189564 12149178#2 145605533#0 145605533#1-AddedOnRampEdge 145605533#1 145605511#1-AddedOnRampEdge 145605511#12 145605511#1.148" probability="0.0434782608695652"/&gt;</t>
  </si>
  <si>
    <t xml:space="preserve">    &lt;route id="Router3_102" edges="31909473.0 31909473.857 62634019#1-AddedOnRampEdge 62634019#1 62634019#2.0 62634019#2.242 62634019#3-AddedOnRampEdge 62634019#3 62634019#3-AddedOffRampEdge 12111747.0 62203498#0 62093806#0 104526265#0.14 424080766 424080768#0 104523976#1 262962063 424080770#0 -424080761#1 -62623960 62623959#0 386547296#0 386547296#1 424080773#0 104523976#1 262962063 424080770#0 424080772#0 424080772#2 386547297#0 424080771#0 424080767#0 386547298#0 424769177 424080769#0 55179414#0 55179413#0 424769182 -450827405#2 -450827400#2 -450827382 -450827385#1 -450827391#1 -450827381 -450827397#1 12180696#0 59435515#1 59435515#2 59435515#3 59435515#4 424801338#1 12117702#0 12117702#4 12117702#7 -32121146#3 12202008#2.0 12202008#2.171 62646499#2 450827424#0 450827405#0 262962062 -55179413#2 12187610#0 12187610#2 12187610#3 -62105579 12186909#0 12186909#1 12186909#2 12186909#4 12186909#6 386995479#0 12157718#5 12157718#7 485017376 485017373#0 387422135#0 424769003#0 424769003#1 -30953396#1 -30953396#0 -424769006 -424769005 -424769002 -30953391 -43569848 -393884751 12159702 424764853 12149178#0 50189796 50189564 12149178#2 145605533#0 145605533#1-AddedOnRampEdge 145605533#1 145605511#1-AddedOnRampEdge 145605511#12 145605511#1.148" probability="0.0434782608695652"/&gt;</t>
  </si>
  <si>
    <t xml:space="preserve">    &lt;route id="Router3_146" edges="49887339#0.596 49887339#0-AddedOffRampEdge 49887339#1 49887339#1-AddedOffRampEdge 104524021 104524021-AddedOffRampEdge 12158873 121643865#0 12110705 50715233#0 50715233#0-AddedOffRampEdge 50715233#1.0 62203285#14.24 gneE59.30.0.55 gneE59.30.0.0 gneE59.0.0 gneE59.0.12 62203360#0 291433361#0 132508433.0 -gneE6.0 gneE81.299.0 gneE81.299.79 gneE81.299.145 -gneE8 12154353#0 196393941#1 196393941#2 28533986 43539369#2 12178843#2 12178843#3 49960982#2 43569828#0 387422128#1 43569827#0 43569827#1 43569827#2 43569827#7 43569848 30953391 424769002 424769005 424769006 424769004 30953396#1 387422132#0 387422132#1 486653633#0 484953506#3 484953506#4 424769003#0 424769003#1 387422132#0 387422132#1 388756840 12202537#1 12202537#2 12202537#3 485017368 485017367#0 12185366#0 12178852#0 12178852#1 386995495#0 386995495#1 -386995507#7 -386995507#6 -386995507#5 -386995507#4 -386995507#3 310315797#0 310315797#1 386995479#3 12182281#5 12182281#6 12182281#7 12182281#8 -12175537#3 12138978 12201597#2 12114363#1 -50033059#4 12175537#0 12175537#2 12175537#3 12175537#4 12162659#2 12159485 12161358#7 12161358#8 386995507#6 386995507#7 386995521#0 386995521#1 12154359#3 12154359#4 12154359#5 12154359#6 12154359#7 101350669 -386995537 -386995526#1 -386995526#0 -43357814#3 12175537#8 12175537#9 12154359#6 386995531#1 386995531#2 387422150#2 12175537#12 12155177#1 386995531#4 12172918#2 gneE73 gneE75.0 gneE80.125" probability="0.0434782608695652"/&gt;</t>
  </si>
  <si>
    <t>&lt;route id="Router3_147"edges="49887339#0.596 49887339#0-AddedOffRampEdge 49887339#1 49887339#1-AddedOffRampEdge 104524021 104524021-AddedOffRampEdge 12158873 121643865#0 12110705 50715233#0 50715233#0-AddedOffRampEdge 50715233#1.0 62203285#14.24 gneE59.30.0.55 gneE59.30.0.0 gneE59.0.0 gneE59.0.12 62203360#0 291433361#0 132508433.0 -gneE6.0 gneE81.299.0 gneE81.299.79 gneE81.299.145 -gneE8 12154353#0 196393941#1 196393941#2 28533986 43539369#2 12178843#2 12178843#3 49960982#2 43569828#0 387422128#1 43569827#0 43569827#1 43569827#2 43569827#7 43569848 30953391 424769002 424769005 424769006 424769004 30953396#1 387422132#0 387422132#1 486653633#0 484953506#3 484953506#4 424769003#0 424769003#1 387422132#0 387422132#1 388756840 12202537#1 12202537#2 12202537#3 485017368 485017367#0 12185366#0 12178852#0 12178852#1 386995495#0 386995495#1 -386995507#7 -386995507#6 -386995507#5 -386995507#4 -386995507#3 310315797#0 310315797#1 386995479#3 12182281#5 12182281#6 12182281#7 12182281#8 -12175537#3 12138978 12201597#2 12114363#1 -50033059#4 12175537#0 12175537#2 12175537#3 12175537#4 12162659#2 12159485 12161358#7 12161358#8 386995507#6 386995507#7 386995521#0 386995521#1 12154359#3 12154359#4 12154359#5 12154359#6 12154359#7 101350669 -386995537 -386995526#1 -386995526#0 -43357814#3 12175537#8 12175537#9 12175537#10 12175537#11 12175537#12 12155177#1 386995531#4 12172918#2 gneE73 gneE75.0 gneE80.125"/&gt;" probability="0.0434782608695652"/&gt;</t>
  </si>
  <si>
    <t xml:space="preserve">    &lt;route id="Router3_148" edges="49887339#0.596 49887339#0-AddedOffRampEdge 49887339#1 49887339#1-AddedOffRampEdge 104524021 104524021-AddedOffRampEdge 12158873 121643865#0 12110705 50715233#0 50715233#0-AddedOffRampEdge 50715233#1.0 62203285#14.24 gneE59.30.0.55 gneE59.30.0.0 gneE59.0.0 gneE59.0.12 62203360#0 291433361#0 132508433.0 -gneE6.0 gneE81.299.0 gneE81.299.79 gneE81.299.145 -gneE8 12154353#0 196393941#1 196393941#2 28533986 43539369#2 12178843#2 12178843#3 49960982#2 43569828#0 387422128#1 43569827#0 43569827#1 43569827#2 43569827#7 43569848 30953391 424769002 424769005 424769006 424769004 30953396#1 387422132#0 387422132#1 486653633#0 484953506#3 484953506#4 424769003#0 424769003#1 387422132#0 387422132#1 388756840 12202537#1 12202537#2 12202537#3 485017368 485017367#0 12185366#0 12178852#0 12178852#1 386995495#0 386995495#1 -386995507#7 -386995507#6 -386995507#5 -386995507#4 -386995507#3 310315797#0 310315797#1 386995479#3 12182281#5 12182281#6 12182281#7 12182281#8 -12175537#3 12138978 12201597#2 12114363#1 -50033059#4 12175537#0 12175537#2 12175537#3 12175537#4 12175537#5 12175537#6 12175537#7 -43357814#2 42706837#4 42706837#5 42706837#6 42706837#7 42706837#8 12155177#0 12175537#13 12172918#1 12172918#2 gneE73 gneE75.0 gneE80.125" probability="0.0434782608695652"/&gt;</t>
  </si>
  <si>
    <t xml:space="preserve">    &lt;route id="Router3_149" edges="49887339#0.596 49887339#0-AddedOffRampEdge 49887339#1 49887339#1-AddedOffRampEdge 104524021 104524021-AddedOffRampEdge 12158873 121643865#0 12110705 50715233#0 50715233#0-AddedOffRampEdge 50715233#1.0 62203285#14.24 gneE59.30.0.55 gneE59.30.0.0 gneE59.0.0 gneE59.0.12 62203360#0 291433361#0 132508433.0 -gneE6.0 gneE81.299.0 gneE81.299.79 gneE81.299.145 -gneE8 12154353#0 196393941#1 196393941#2 28533986 43539369#2 12178843#2 12178843#3 49960982#2 43569828#0 387422128#1 43569827#0 43569827#1 43569827#2 43569827#7 43569848 30953391 424769002 424769005 424769006 424769004 30953396#1 387422132#0 387422132#1 486653633#0 484953506#3 484953506#4 424769003#0 424769003#1 387422132#0 387422132#1 388756840 12202537#1 12202537#2 12202537#3 485017368 485017367#0 12185366#0 12178852#0 12178852#1 386995495#0 386995495#1 -386995507#7 -386995507#6 -386995507#5 -386995507#4 -386995507#3 310315797#0 310315797#1 386995479#3 12182281#5 12182281#6 12182281#7 12182281#8 -12175537#3 12138978 12201597#2 12114363#1 -50033059#4 12175537#0 12175537#2 12175537#3 12175537#4 12175537#5 12175537#6 12175537#7 -43357814#2 42706837#4 42706837#5 42706837#6 42706837#7 42706837#8 42706837#9 12172918#0 12172918#1 12172918#2 gneE73 gneE75.0 gneE80.125" probability="0.0434782608695652"/&gt;</t>
  </si>
  <si>
    <t xml:space="preserve">    &lt;route id="Router3_150" edges="49887339#0.596 49887339#0-AddedOffRampEdge 49887339#1 49887339#1-AddedOffRampEdge 104524021 104524021-AddedOffRampEdge 12158873 121643865#0 12110705 50715233#0 50715233#0-AddedOffRampEdge 50715233#1.0 62203285#14.24 gneE59.30.0.55 gneE59.30.0.0 gneE59.0.0 gneE59.0.12 62203360#0 291433361#0 132508433.0 -gneE6.0 gneE81.299.0 gneE81.299.79 gneE81.299.145 -gneE8 12154353#0 196393941#1 196393941#2 28533986 43539369#2 12178843#2 12178843#3 49960982#2 43569828#0 387422128#1 43569827#0 43569827#1 43569827#2 43569827#7 43569848 30953391 424769002 424769005 424769006 424769004 30953396#1 387422132#0 387422132#1 486653633#0 484953506#3 484953506#4 424769003#0 424769003#1 387422132#0 387422132#1 388756840 12202537#1 12202537#2 12202537#3 485017368 485017367#0 12185366#0 12178852#0 12178852#1 386995495#0 386995495#1 -386995507#7 -386995507#6 -386995507#5 -386995507#4 -386995507#3 310315797#0 310315797#1 386995479#3 12182281#5 12182281#6 12182281#7 12182281#8 -12175537#3 12138978 12201597#2 12114363#1 -50033059#4 12175537#0 12175537#2 12175537#3 12175537#4 12175537#5 12175537#6 12175537#7 12175537#8 12175537#9 12154359#6 386995531#1 12174155#0 -12175537#10 -12175537#9 -12175537#8 -12175537#7 12152013#3 12167232#3 386995531#0 12154359#7 101350669 -386995537 -386995526#1 -386995526#0 -43357814#3 -43357814#2 42706837#4 42706837#5 42706837#6 42706837#7 42706837#8 42706837#9 12172918#0 12172918#1 12172918#2 gneE73 gneE75.0 gneE80.125" probability="0.0434782608695652"/&gt;</t>
  </si>
  <si>
    <t xml:space="preserve">    &lt;route id="Router3_151" edges="49887339#0.596 49887339#0-AddedOffRampEdge 49887339#1 49887339#1-AddedOffRampEdge 104524021 104524021-AddedOffRampEdge 12158873 121643865#0 12110705 50715233#0 50715233#0-AddedOffRampEdge 50715233#1.0 62203285#14.24 gneE59.30.0.55 gneE59.30.0.0 gneE59.0.0 gneE59.0.12 62203360#0 291433361#0 132508433.0 -gneE6.0 gneE81.299.0 gneE81.299.79 gneE81.299.145 -gneE8 12154353#0 196393941#1 196393941#2 28533986 43539369#2 12178843#2 12178843#3 49960982#2 43569828#0 387422128#1 43569827#0 43569827#1 43569827#2 43569827#7 43569848 30953391 424769002 424769005 424769006 424769004 30953396#1 387422132#0 387422132#1 486653633#0 484953506#3 484953506#4 424769003#0 424769003#1 387422132#0 387422132#1 388756840 12202537#1 12202537#2 12202537#3 485017368 485017367#0 12185366#0 12178852#0 12178852#1 386995495#0 386995495#1 -386995507#7 -386995507#6 -386995507#5 -386995507#4 -386995507#3 310315797#0 310315797#1 386995479#3 12182281#5 12182281#6 12182281#7 12182281#8 -12175537#3 12138978 12201597#2 12114363#1 -50033059#4 12175537#0 12175537#2 12175537#3 12175537#4 12175537#5 12175537#6 12175537#7 12175537#8 12175537#9 12154359#6 386995531#1 12174155#0 -12175537#10 -12175537#9 -12175537#8 -12175537#7 12152013#3 12167232#3 386995531#0 12154359#7 101350669 -386995537 -386995526#1 -386995526#0 -43357814#3 12175537#8 12175537#9 12175537#10 12175537#11 12175537#12 12175537#13 12172918#1 12172918#2 gneE73 gneE75.0 gneE80.125" probability="0.0434782608695652"/&gt;</t>
  </si>
  <si>
    <t xml:space="preserve">    &lt;route id="Router3_152" edges="49887339#0.596 49887339#0-AddedOffRampEdge 49887339#1 49887339#1-AddedOffRampEdge 104524021 104524021-AddedOffRampEdge 12158873 121643865#0 12110705 50715233#0 50715233#0-AddedOffRampEdge 50715233#1.0 62203285#14.24 gneE59.30.0.55 gneE59.30.0.0 gneE59.0.0 gneE59.0.12 62203360#0 291433361#0 132508433.0 -gneE6.0 gneE81.299.0 gneE81.299.79 gneE81.299.145 -gneE8 12154353#0 196393941#1 196393941#2 28533986 43539369#2 12178843#2 12178843#3 49960982#2 43569828#0 387422128#1 43569827#0 43569827#1 43569827#2 43569827#7 43569848 30953391 424769002 424769005 424769006 424769004 30953396#1 387422132#0 387422132#1 486653633#0 484953506#3 484953506#4 424769003#0 424769003#1 387422132#0 387422132#1 388756840 12202537#1 12202537#2 12202537#3 485017368 485017367#0 12185366#0 12178852#0 12178852#1 386995495#0 386995495#1 -386995507#7 -386995507#6 -386995507#5 -386995507#4 -386995507#3 310315797#0 310315797#1 386995479#3 12182281#5 12182281#6 12182281#7 12182281#8 -12175537#3 485017371#0 484953507#1 12182281#8 12182281#9 12167232#0 12167232#1 12167232#2 12152013#4 51050425#4 386995537 386995551 387422150#0 387422150#1 386995531#3 386995531#4 12172918#2 gneE73 gneE75.0 gneE80.125" probability="0.0434782608695652"/&gt;</t>
  </si>
  <si>
    <t xml:space="preserve">    &lt;route id="Router3_153" edges="49887339#0.596 49887339#0-AddedOffRampEdge 49887339#1 49887339#1-AddedOffRampEdge 104524021 104524021-AddedOffRampEdge 12158873 121643865#0 12110705 50715233#0 50715233#0-AddedOffRampEdge 50715233#1.0 62203285#14.24 gneE59.30.0.55 gneE59.30.0.0 gneE59.0.0 gneE59.0.12 62203360#0 291433361#0 132508433.0 -gneE6.0 gneE81.299.0 gneE81.299.79 gneE81.299.145 -gneE8 12154353#0 196393941#1 196393941#2 28533986 43539369#2 12178843#2 12178843#3 49960982#2 43569828#0 387422128#1 43569827#0 43569827#1 43569827#2 43569827#7 43569848 30953391 424769002 424769005 424769006 424769004 30953396#1 387422132#0 387422132#1 486653633#0 484953506#3 484953506#4 424769003#0 424769003#1 387422132#0 387422132#1 388756840 12202537#1 12202537#2 12202537#3 485017368 485017367#0 12185366#0 12178852#0 12178852#1 386995495#0 386995495#1 -386995507#7 -386995507#6 -386995507#5 -386995507#4 -386995507#3 310315797#0 310315797#1 386995479#3 12182281#5 12182281#6 386995507#4 386995507#5 12161358#9 12161358#10 12161358#11 12171305#0 12171305#1 42706797#2 42706797#4.13 42706797#5 387422148#0 387422148#1 12172918#0 12172918#1 12172918#2 gneE73 gneE75.0 gneE80.125" probability="0.0434782608695652"/&gt;</t>
  </si>
  <si>
    <t xml:space="preserve">    &lt;route id="Router3_154" edges="49887339#0.596 49887339#0-AddedOffRampEdge 49887339#1 49887339#1-AddedOffRampEdge 104524021 104524021-AddedOffRampEdge 12158873 121643865#0 12110705 50715233#0 50715233#0-AddedOffRampEdge 50715233#1.0 62203285#14.24 gneE59.30.0.55 gneE59.30.0.0 gneE59.0.0 gneE59.0.12 62203360#0 291433361#0 132508433.0 -gneE6.0 gneE81.299.0 gneE81.299.79 gneE81.299.145 -gneE8 12154353#0 196393941#1 196393941#2 28533986 43539369#2 12178843#2 12178843#3 49960982#2 43569828#0 387422128#1 43569827#0 43569827#1 43569827#2 43569827#7 43569848 30953391 424769002 424769005 424769006 424769004 30953396#1 387422132#0 387422132#1 486653633#0 484953506#3 484953506#4 424769003#0 424769003#1 387422132#0 387422132#1 388756840 12202537#1 12202537#2 12202537#3 485017368 485017367#0 12185366#0 12178852#0 12178852#1 386995495#0 386995495#1 -386995507#7 -386995507#6 -386995507#5 -386995507#4 -386995507#3 310315797#0 310315797#1 386995479#3 12182281#5 12182281#6 386995507#4 386995507#5 386995507#6 386995507#7 386995521#0 386995521#1 386995521#2 386995521#3 387422148#1 12172918#0 -12175537#13 12155177#1 12155177#2 387422153#1 gneE73 gneE75.0 gneE80.125" probability="0.0434782608695652"/&gt;</t>
  </si>
  <si>
    <t xml:space="preserve">    &lt;route id="Router3_155" edges="49887339#0.596 49887339#0-AddedOffRampEdge 49887339#1 49887339#1-AddedOffRampEdge 104524021 104524021-AddedOffRampEdge 12158873 121643865#0 12110705 50715233#0 50715233#0-AddedOffRampEdge 50715233#1.0 62203285#14.24 gneE59.30.0.55 gneE59.30.0.0 gneE59.0.0 gneE59.0.12 62203360#0 291433361#0 132508433.0 -gneE6.0 gneE81.299.0 gneE81.299.79 gneE81.299.145 -gneE8 12154353#0 196393941#1 196393941#2 28533986 43539369#2 12178843#2 12178843#3 49960982#2 43569828#0 387422128#1 43569827#0 43569827#1 43569827#2 43569827#7 43569848 30953391 424769002 424769005 424769006 424769004 30953396#1 387422132#0 387422132#1 486653633#0 484953506#3 484953506#4 424769003#0 424769003#1 387422132#0 387422132#1 388756840 12202537#1 12202537#2 12202537#3 485017368 485017367#0 12185366#0 12178852#0 12178852#1 386995495#0 386995495#1 -386995507#7 -386995507#6 -386995507#5 -386995507#4 -386995507#3 310315797#0 310315797#1 386995479#3 386995479#4 386995479#5 386995479#6 386995490#0.0 12154359#1.20 12154359#2 -386995521#1 -386995521#0 43357814#0 43357814#1 42706837#4 42706837#5 12154359#5 12154359#6 386995531#1 386995531#2 386995531#3 386995531#4 12172918#2 gneE73 gneE75.0 gneE80.125" probability="0.0434782608695652"/&gt;</t>
  </si>
  <si>
    <t xml:space="preserve">    &lt;route id="Router3_156" edges="49887339#0.596 49887339#0-AddedOffRampEdge 49887339#1 49887339#1-AddedOffRampEdge 104524021 104524021-AddedOffRampEdge 12158873 121643865#0 12110705 50715233#0 50715233#0-AddedOffRampEdge 50715233#1.0 62203285#14.24 gneE59.30.0.55 gneE59.30.0.0 gneE59.0.0 gneE59.0.12 62203360#0 291433361#0 132508433.0 -gneE6.0 gneE81.299.0 gneE81.299.79 gneE81.299.145 -gneE8 12154353#0 196393941#1 196393941#2 28533986 43539369#2 12178843#2 12178843#3 49960982#2 43569828#0 387422128#1 43569827#0 43569827#1 43569827#2 43569827#7 43569848 30953391 424769002 424769005 424769006 424769004 30953396#1 387422132#0 387422132#1 486653633#0 484953506#3 484953506#4 424769003#0 424769003#1 387422132#0 387422132#1 388756840 12202537#1 12202537#2 12202537#3 485017368 485017367#0 12185366#0 12178852#0 12178852#1 386995495#0 386995495#1 -386995507#7 -386995507#6 12161358#9 12161358#10 12161358#11 12171305#0 12171305#1 42706797#2 42706797#4.13 42706797#5 387422148#0 387422148#1 12172918#0 12172918#1 12172918#2 gneE73 gneE75.0 gneE80.125" probability="0.0434782608695652"/&gt;</t>
  </si>
  <si>
    <t xml:space="preserve">    &lt;route id="Router3_157" edges="49887339#0.596 49887339#0-AddedOffRampEdge 49887339#1 49887339#1-AddedOffRampEdge 104524021 104524021-AddedOffRampEdge 12158873 121643865#0 12110705 50715233#0 50715233#0-AddedOffRampEdge 50715233#1.0 62203285#14.24 gneE59.30.0.55 gneE59.30.0.0 gneE59.0.0 gneE59.0.12 62203360#0 291433361#0 132508433.0 -gneE6.0 gneE81.299.0 gneE81.299.79 gneE81.299.145 -gneE8 12154353#0 196393941#1 196393941#2 28533986 43539369#2 12178843#2 12178843#3 49960982#2 43569828#0 387422128#1 43569827#0 43569827#1 43569827#2 43569827#7 43569848 30953391 424769002 424769005 424769006 424769004 30953396#1 387422132#0 387422132#1 486653633#0 484953506#3 484953506#4 424769003#0 424769003#1 387422132#0 387422132#1 388756840 12202537#1 12202537#2 12202537#3 485017368 485017367#0 12185366#0 12178852#0 12178852#1 386995495#0 386995495#1 -386995507#7 -386995507#6 12161358#9 12161358#10 386995479#6 386995490#0.0 12154359#1.20 12154359#2 -386995521#1 12172225 32121111#2 32121111#3 12152013#0 12152013#1 12152013#2 12175537#7 -43357814#2 42706837#4 42706837#5 42706837#6 42706837#7 42706837#8 12155177#0 12175537#13 12172918#1 12172918#2 gneE73 gneE75.0 gneE80.125" probability="0.0434782608695652"/&gt;</t>
  </si>
  <si>
    <t xml:space="preserve">    &lt;route id="Router3_158" edges="49887339#0.596 49887339#0-AddedOffRampEdge 49887339#1 49887339#1-AddedOffRampEdge 104524021 104524021-AddedOffRampEdge 12158873 121643865#0 12110705 50715233#0 50715233#0-AddedOffRampEdge 50715233#1.0 62203285#14.24 gneE59.30.0.55 gneE59.30.0.0 gneE59.0.0 gneE59.0.12 62203360#0 291433361#0 132508433.0 -gneE6.0 gneE81.299.0 gneE81.299.79 gneE81.299.145 -gneE8 12154353#0 196393941#1 196393941#2 28533986 43539369#2 12178843#2 12178843#3 49960982#2 43569828#0 387422128#1 43569827#0 43569827#1 43569827#2 43569827#7 43569848 30953391 424769002 424769005 424769006 424769004 30953396#1 387422132#0 387422132#1 486653633#0 484953506#3 484953506#4 424769003#0 424769003#1 387422132#0 387422132#1 388756840 12202537#1 12202537#2 12202537#3 485017368 485017367#0 12185366#0 12178852#0 12178852#1 386995495#0 386995495#1 -386995507#7 -386995507#6 12161358#9 12161358#10 386995479#6 386995490#0.0 12154359#1.20 12154359#2 -386995521#1 12172225 32121111#2 32121111#3 12152013#0 12152013#1 12152013#2 12175537#7 -43357814#2 42706837#4 42706837#5 42706837#6 42706837#7 42706837#8 42706837#9 12172918#0 12172918#1 12172918#2 gneE73 gneE75.0 gneE80.125" probability="0.0434782608695652"/&gt;</t>
  </si>
  <si>
    <t xml:space="preserve">    &lt;route id="Router3_159" edges="49887339#0.596 49887339#0-AddedOffRampEdge 49887339#1 49887339#1-AddedOffRampEdge 104524021 104524021-AddedOffRampEdge 12158873 121643865#0 12110705 50715233#0 50715233#0-AddedOffRampEdge 50715233#1.0 62203285#14.24 gneE59.30.0.55 gneE59.30.0.0 gneE59.0.0 gneE59.0.12 62203360#0 291433361#0 132508433.0 -gneE6.0 gneE81.299.0 gneE81.299.79 gneE81.299.145 -gneE8 12154353#0 196393941#1 196393941#2 28533986 43539369#2 12178843#2 12178843#3 49960982#2 43569828#0 387422128#1 43569827#0 43569827#1 43569827#2 43569827#7 43569848 30953391 424769002 424769005 424769006 424769004 30953396#1 387422132#0 387422132#1 486653633#0 484953506#3 484953506#4 424769003#0 424769003#1 387422132#0 387422132#1 388756840 12202537#1 12202537#2 12202537#3 485017368 485017367#0 12185366#0 12178852#0 12178852#1 386995495#0 386995495#1 -386995507#7 -386995507#6 12161358#9 12161358#10 386995479#6 386995490#0.0 12154359#1.20 32121111#1 32121111#2 32121111#3 12152013#0 12152013#1 12152013#2 12175537#7 -43357814#2 42706837#4 42706837#5 42706837#6 42706837#7 42706837#8 12155177#0 12175537#13 12172918#1 12172918#2 gneE73 gneE75.0 gneE80.125" probability="0.0434782608695652"/&gt;</t>
  </si>
  <si>
    <t xml:space="preserve">    &lt;route id="Router3_160" edges="49887339#0.596 49887339#0-AddedOffRampEdge 49887339#1 49887339#1-AddedOffRampEdge 104524021 104524021-AddedOffRampEdge 12158873 121643865#0 12110705 50715233#0 50715233#0-AddedOffRampEdge 50715233#1.0 62203285#14.24 gneE59.30.0.55 gneE59.30.0.0 gneE59.0.0 gneE59.0.12 62203360#0 291433361#0 132508433.0 -gneE6.0 gneE81.299.0 gneE81.299.79 gneE81.299.145 -gneE8 12154353#0 196393941#1 196393941#2 28533986 43539369#2 12178843#2 12178843#3 49960982#2 43569828#0 387422128#1 43569827#0 43569827#1 43569827#2 43569827#7 43569848 30953391 424769002 424769005 424769006 424769004 30953396#1 387422132#0 387422132#1 486653633#0 484953506#3 484953506#4 424769003#0 424769003#1 387422132#0 387422132#1 388756840 12202537#1 12202537#2 12202537#3 485017368 485017367#0 12185366#0 12178852#0 12178852#1 386995495#0 386995495#1 -386995507#7 -386995507#6 12161358#9 12161358#10 386995479#6 386995490#0.0 12154359#1.20 32121111#1 32121111#2 32121111#3 12152013#0 12152013#1 12152013#2 12175537#7 12175537#8 12175537#9 12175537#10 12175537#11 12175537#12 12155177#1 386995531#4 12172918#2 gneE73 gneE75.0 gneE80.125" probability="0.0434782608695652"/&gt;</t>
  </si>
  <si>
    <t xml:space="preserve">    &lt;route id="Router3_161" edges="49887339#0.596 49887339#0-AddedOffRampEdge 49887339#1 49887339#1-AddedOffRampEdge 104524021 104524021-AddedOffRampEdge 12158873 121643865#0 12110705 50715233#0 50715233#0-AddedOffRampEdge 50715233#1.0 62203285#14.24 gneE59.30.0.55 gneE59.30.0.0 gneE59.0.0 gneE59.0.12 62203360#0 291433361#0 132508433.0 -gneE6.0 gneE81.299.0 gneE81.299.79 gneE81.299.145 -gneE8 12154353#0 196393941#1 196393941#2 28533986 43539369#2 12178843#2 12178843#3 49960982#2 43569828#0 387422128#1 43569827#0 43569827#1 43569827#2 43569827#7 43569848 30953391 424769002 424769005 424769006 424769004 30953396#1 387422132#0 387422132#1 486653633#0 484953506#3 484953506#4 424769003#0 424769003#1 387422132#0 387422132#1 388756840 12202537#1 43357813 484953506#1 484953506#2 486653633#1 486653633#2 486653633#3 12182281#0 12182281#3 386995479#4 386995479#5 12161358#11 12171305#0 12171305#1 42706797#2 42706797#4.13 42706797#5 387422148#0 387422148#1 12172918#0 12172918#1 12172918#2 gneE73 gneE75.0 gneE80.125" probability="0.0434782608695652"/&gt;</t>
  </si>
  <si>
    <t xml:space="preserve">    &lt;route id="Router3_9" edges="-gneE80.0 -gneE80.17 -gneE41 gneE44 -388756838#2 -388756838#1 -388756838#0 42706817#0 386547310 gneE69 -388756838#2 -388756838#1 -388756838#0 -388756839#1 -388756839#0 -194358837#2 -194358837#0 194358838#0 194358838#1 194358838#2 194358838#3 387422145#0 387422145#3 386995499#0 386995499#2 -51155368#13 -51155368#10 -51155368#7 121319040#0 121319040#1 386995507#0 386995507#1 386995507#2 386995507#3 12182281#7 42706837#0 42706837#1 42706837#2 42706837#3 43357814#2 43357814#3 386995526#0 386995526#1 -51050425#4 -51050425#3 -51050425#2 12162659#0 12162659#1 -12175537#4 -12175537#3 -12175537#2 -12175537#1 -50033059#3 -50033059#2 -386995514#7 -12199713#2 12177498 42706833#2 51155368#0 -50033558#5 -50033558#3 -50033558#2 -62105579 -32121234#1 -32121234#0 42706874#0 42706874#2 55179414#0 55179413#0 424769182 -450827405#2 -450827400#2 -450827382 -450827385#1 -450827391#1 -450827381 -450827397#1 12180696#0 59435515#1 59435515#2 59435515#3 59435515#4 424801338#1 12117702#0 12117702#4 12117702#7 -32121146#3 12202008#2.0 12202008#2.171 62646499#2 450827424#0 450827405#0 262962062 -55179413#2 12187610#0 12187610#2 12187610#3 -62105579 12186909#0 12186909#1 12186909#2 12186909#4 12177521#2 12177521#3 211575484#1 485017379 -386995465#1 -386995504#1 -386995486#1 32121111#11 -12177521#0 -121319040#0 -51155368#5 -50033558#5 -50033558#3 -12188656 -121319046 -42706825#7 -42706825#4 -42706825#3 -42706825#1 194358815 194358817#0 194358817#1 194358817#2 12114363#0 12114363#1 -50033059#4 12175537#0 12175537#2 485017371#0 484953507#1 12182281#8 12182281#9 12167232#0 12167232#1 12167232#2 12152013#4 51050425#4 386995537 386995551 387422150#0 387422150#1 386995531#3 386995531#4 12172918#2 gneE73 gneE75.0 gneE80.125" probability="0.0434782608695652"/&gt;</t>
  </si>
  <si>
    <t xml:space="preserve">    &lt;route id="Router3_53" edges="196393940#0 62203285#0 62203285#2 62203285#3 62203285#5 62203285#6 62203285#7 62203285#8 62203285#9 62203285#10 62203285#11 62203285#13 62203285#14.0 62203285#14.24 gneE59.30.0.55 gneE59.30.0.0 gneE59.0.0 gneE59.0.12 62203360#0 291433361#0 132508433.0 -gneE6.0 gneE81.299.0 gneE81.299.79 gneE81.299.145 -gneE8 12154353#0 196393941#1 196393941#2 28533986 43539369#2 12178843#2 12178843#3 49960982#2 43569828#0 387422128#1 43569827#0 43569827#1 43569827#2 43569827#7 43569848 30953391 424769002 424769005 424769006 424769004 30953396#1 387422132#0 387422132#1 486653633#0 484953506#3 484953506#4 12157002#0 12157002#1 12157002#3 12157002#5 12114396#4 -12156992#10 -12156992#8 -12156992#7 -12156992#6 -12156992#5 -12156992#4 -12156992#3 -12156992#2 -12156992#1 -386547297#1 -424080772#2 -424080772#1 -262962065#1 -262962063 -424080764 -424080768#1 -424080766 -104526265#1 30953497#0 30953497#2 30953497#3 42706585#0 42706585#1 30953320 30953320-AddedOffRampEdge 104526277 30953215#1-AddedOnRampEdge 30953215#1 121643865#0 12110705 50715233#0 50715233#0-AddedOffRampEdge 50715233#1.0 62203285#14.24 gneE59.30.0.55 gneE59.30.0.0 gneE59.0.0 gneE59.0.12 62203360#0 12159135 12149408#0 49914077 424767578 43569819 387422128#1 43569827#0 43569827#1 43569827#2 43569827#7 43569848 30953391 424769002 424769005 424769006 424769004 30953396#1 -424769003#1 -424769003#0 -485017374 42706828#0 42706828#2 12182281#0 12182281#3 12182281#5 12182281#6 386995507#4 386995507#5 386995507#6 12152013#1 12152013#2 -12175537#6 -12175537#5 -12175537#4 12182281#9 12182281#10 -388756839#1 -388756839#0 -50033059#4 -50033059#3 -50033059#2 -50033059#1 42706833#0 42706833#2 12189876#0 12189876#2 484953508#1 60185970#0 60185970#2 12149571#1 12187610#3 50033558#2 -12188656 -121319046 -42706825#7 12199713#0 12199713#1 -386995514#6 -386995514#5 -386995514#4 -386995514#3 194358817#0 194358817#1 194358817#2 12114363#0 12114363#1 -50033059#4 12175537#0 12175537#2 12175537#3 12175537#4 12175537#5 12175537#6 12175537#7 12175537#8 12175537#9 12175537#10 12175537#11 12175537#12 12155177#1 12155177#2 387422153#1 gneE73 gneE75.0 gneE80.125" probability="0.0434782608695652"/&gt;</t>
  </si>
  <si>
    <t>&lt;routeDistribution id="SPGDst-76-to-31st-WB-2009-RouteProbe"&gt;</t>
  </si>
  <si>
    <t xml:space="preserve">    &lt;route id="Router3_59" edges="196393940#0 62203285#0 62203285#2 62203285#3 62203285#5 62203285#6 62203285#7 62203286#0 62203286#2 59676508#0 -59676508#0 -62203286#2 -62203286#0 62203285#8 62203285#9 62203285#10 62203285#11 62203285#13 62203285#14.0 62203285#14.24 gneE59.30.0.55 gneE59.30.0.0 gneE59.0.0 gneE59.0.12 62203360#0 12159135 12149408#0 49914077 424767578 43569819 387422128#1 43569827#0 43569827#1 43569827#2 43569827#7 43569848 30953391 424769002 424769005 424769006 424769004 30953396#1 -424769003#1 -424769003#0 -485017374 42706828#0 42706828#2 12182281#0 12182281#3 12182281#5 12182281#6 386995507#4 386995507#5 386995507#6 12152013#1 12152013#2 -12175537#6 -12175537#5 -12175537#4 12182281#9 12182281#10 -388756839#1 -388756839#0 -50033059#4 -50033059#3 -50033059#2 -50033059#1 42706833#0 42706833#2 12189876#0 12189876#2 484953508#1 60185970#0 60185970#2 12149571#1 12187610#3 50033558#2 -12188656 -121319046 -42706825#7 12199713#0 12199713#1 -386995514#6 -386995514#5 -386995514#4 -386995514#3 194358817#0 194358817#1 194358817#2 12114363#0 12114363#1 -50033059#4 12175537#0 12175537#2 12175537#3 12175537#4 12175537#5 12175537#6 12175537#7 12175537#8 12175537#9 12175537#10 12175537#11 12175537#12 12155177#1 12155177#2 387422153#1 gneE73 gneE75.0 gneE80.125" probability="0.024390243902439"/&gt;</t>
  </si>
  <si>
    <t xml:space="preserve">    &lt;route id="Router3_61" edges="196393940#0 62203285#0 62203285#2 62203285#3 62203285#5 62203285#6 62203285#7 62203286#0 62203286#2 59676508#0 -59676508#0 -62203286#2 -62203286#0 62203285#8 62203285#9 62203285#10 62203285#11 62203285#13 62203285#14.0 62203285#14.24 gneE59.30.0.55 gneE59.30.0.0 gneE59.0.0 gneE59.0.12 62203360#0 291433361#0 132508433.0 -gneE6.0 gneE81.299.0 gneE81.299.79 gneE81.299.145 -gneE8 12154353#0 196393941#1 196393941#2 28533986 43539369#2 12178843#2 12178843#3 49960982#2 43569828#0 387422128#1 43569827#0 43569827#1 43569827#2 43569827#7 43569848 30953391 424769002 424769005 424769006 424769004 30953396#1 387422132#0 387422132#1 486653633#0 484953506#3 484953506#4 12157002#0 12157002#1 12157002#3 12157002#5 12114396#4 -12156992#10 -12156992#8 -12156992#7 -12156992#6 -12156992#5 -12156992#4 -12156992#3 -12156992#2 -12156992#1 -386547297#1 -424080772#2 -424080772#1 -262962065#1 -262962063 -424080764 -424080768#1 -424080766 -104526265#1 30953497#0 30953497#2 30953497#3 42706585#0 42706585#1 30953320 30953320-AddedOffRampEdge 104526277 30953215#1-AddedOnRampEdge 30953215#1 121643865#0 12110705 50715233#0 50715233#0-AddedOffRampEdge 50715233#1.0 62203285#14.24 gneE59.30.0.55 gneE59.30.0.0 43539373#0.0.292.17 gneE58 gneE56 gneE54.0 62203360#0 291433361#0 132508433.0 -gneE6.0 gneE6.0 424765883 43539378#0.15 132508717#5 196393974#0 49914077 424767578 387422130#1 132508717#0 12149210#1 12151897#1 196393941#6 196393941#7 196393941#8 gneE87 196393974#0 388756841#0 49914076#0 12159673#0 12159673#1 393884751 43569848 30953391 12113092 51758697#1-AddedOnRampEdge 51758697#1" probability="0.024390243902439"/&gt;</t>
  </si>
  <si>
    <t xml:space="preserve">    &lt;route id="Router3_62" edges="196393940#0 62203285#0 62203285#2 62203285#3 62203285#5 62203285#6 62203285#7 62203286#0 62203286#2 59676508#0 -59676508#0 -62203286#2 -62203286#0 62203285#8 62203285#9 62203285#10 62203285#11 62203285#13 62203285#14.0 62203285#14.24 gneE59.30.0.55 gneE59.30.0.0 gneE59.0.0 gneE59.0.12 62203360#0 291433361#0 132508433.0 -gneE6.0 gneE81.299.0 gneE81.299.79 gneE81.299.145 -gneE8 12154353#0 196393941#1 196393941#2 28533986 43539369#2 12178843#2 12178843#3 49960982#2 43569828#0 387422128#1 43569827#0 43569827#1 43569827#2 43569827#7 43569848 30953391 424769002 424769005 424769006 424769004 30953396#1 387422132#0 387422132#1 486653633#0 484953506#3 484953506#4 12157002#0 12157002#1 12157002#3 12157002#5 12114396#4 -12156992#10 -12156992#8 -12156992#7 -12156992#6 -12156992#5 -12156992#4 -12156992#3 -12156992#2 -12156992#1 -386547297#1 -424080772#2 -424080772#1 -262962065#1 -262962063 -424080764 -424080768#1 -424080766 -104526265#1 30953497#0 30953497#2 35920555#0.0 35920555#0.75 62203066 43331031.0 43331031.436 42706585#0 42706585#1 30953320 30953320-AddedOffRampEdge 30953315 104526276-AddedOnRampEdge 104526276 51758697#0 51758697#1-AddedOnRampEdge 51758697#1" probability="0.024390243902439"/&gt;</t>
  </si>
  <si>
    <t xml:space="preserve">    &lt;route id="Router3_89" edges="31909473.0 31909473.857 62634019#1-AddedOnRampEdge 62634019#1 62634019#2.0 62634019#2.242 62634019#3-AddedOnRampEdge 62634019#3 62634019#3-AddedOffRampEdge 12111747.0 59671945#0.30 62093806#0 104526265#0.14 424080766 424080768#0 104523976#1 262962063 12189051#0 -12189051#1 -262962063 -424080764 -424080768#1 -424080766 -104526265#1 30953497#0 30953497#2 30953497#3 42706585#0 42706585#1 30953320 30953320-AddedOffRampEdge 104526277 30953215#1-AddedOnRampEdge 30953215#1 121643865#0 12110705 50715233#0 50715233#0-AddedOffRampEdge 50715233#1.0 62203285#14.24 gneE59.30.0.55 gneE59.30.0.0 43539373#0.0.292.17 gneE58 gneE56 gneE54.0 gneE62.13 gneE81.0 gneE81.299.0 12138964.1128 196393941#8 gneE87 196393974#0 49914077 424767578 43569819 387422128#1 43569827#0 43569827#1 43569827#2 43569827#7 43569848 30953391 424769002 424769005 424769006 424769004 30953396#1 -424769003#1 -424769003#0 -485017374 42706828#0 42706828#2 12182281#0 12182281#3 12182281#5 12182281#6 386995507#4 386995507#5 386995507#6 12152013#1 12152013#2 -12175537#6 -12175537#5 -12175537#4 12182281#9 12182281#10 -388756839#1 -388756839#0 -50033059#4 -50033059#3 -50033059#2 -50033059#1 42706833#0 42706833#2 12189876#0 12189876#2 484953508#1 60185970#0 60185970#2 12149571#1 12187610#3 50033558#2 -12188656 -121319046 -42706825#7 12199713#0 12199713#1 -386995514#6 -386995514#5 -386995514#4 -386995514#3 194358817#0 194358817#1 194358817#2 12114363#0 12114363#1 -50033059#4 12175537#0 12175537#2 12175537#3 12175537#4 12175537#5 12175537#6 12175537#7 12175537#8 12175537#9 12175537#10 12175537#11 12175537#12 12155177#1 12155177#2 387422153#1 gneE73 gneE75.0 gneE80.125" probability="0.024390243902439"/&gt;</t>
  </si>
  <si>
    <t xml:space="preserve">    &lt;route id="Router3_90" edges="31909473.0 31909473.857 62634019#1-AddedOnRampEdge 62634019#1 62634019#2.0 62634019#2.242 62634019#3-AddedOnRampEdge 62634019#3 62634019#3-AddedOffRampEdge 12111747.0 59671945#0.30 62093806#0 104526265#0.14 424080766 424080768#0 104523976#1 262962063 12189051#0 -12189051#1 -262962063 -424080764 -424080768#1 -424080766 -104526265#1 30953497#0 30953497#2 30953497#3 42706585#0 42706585#1 30953320 30953320-AddedOffRampEdge 104526277 30953215#1-AddedOnRampEdge 30953215#1 121643865#0 12110705 50715233#0 50715233#0-AddedOffRampEdge 50715233#1.0 62203285#14.24 gneE59.30.0.55 gneE59.30.0.0 gneE59.0.0 gneE59.0.12 62203360#0 291433361#0 132508433.0 -gneE6.0 gneE81.299.0 gneE81.299.79 gneE81.299.145 -gneE8 12154353#0 196393941#1 196393941#2 28533986 43539369#2 12178843#2 12178843#3 49960982#2 43569828#0 387422128#1 43569827#0 43569827#1 43569827#2 43569827#7 43569848 30953391 424769002 424769005 424769006 424769004 30953396#1 387422132#0 387422132#1 486653633#0 484953506#3 484953506#4 12157002#0 12157002#1 12157002#3 12157002#5 12114396#4 -12156992#10 -12156992#8 -12156992#7 -12156992#6 -12156992#5 -12156992#4 -12156992#3 -12156992#2 -12156992#1 -386547297#1 -424080772#2 -424080772#1 -262962065#1 -262962063 -424080764 -424080768#1 -424080766 -104526265#1 30953497#0 30953497#2 35920555#0.0 35920555#0.75 62203066 43331031.0 43331031.436 42706585#0 42706585#1 30953320 30953320-AddedOffRampEdge 30953315 104526276-AddedOnRampEdge 104526276 51758697#0 51758697#1-AddedOnRampEdge 51758697#1" probability="0.024390243902439"/&gt;</t>
  </si>
  <si>
    <t xml:space="preserve">    &lt;route id="Router3_112" edges="31909473.0 31909473.857 62634019#1-AddedOnRampEdge 62634019#1 62634019#2.0 62634019#2.242 62634019#3-AddedOnRampEdge 62634019#3 62634019#3-AddedOffRampEdge 30953251#1.0 30953251#1-AddedOffRampEdge 12112003 30953215#1-AddedOnRampEdge 30953215#1 121643865#0 12110705 50715233#0 50715233#0-AddedOffRampEdge 50715233#1.0 62203285#14.24 gneE59.30.0.55 gneE59.30.0.0 gneE59.0.0 gneE59.0.12 62203360#0 12159135 12149408#0 49914077 424767578 43569819 387422128#1 43569827#0 43569827#1 43569827#2 43569827#7 43569848 30953391 424769002 424769005 424769006 424769004 30953396#1 -424769003#1 -424769003#0 -485017374 42706828#0 42706828#2 12182281#0 12182281#3 12182281#5 12182281#6 386995507#4 386995507#5 386995507#6 12152013#1 12152013#2 -12175537#6 -12175537#5 -12175537#4 12182281#9 12182281#10 -388756839#1 -388756839#0 -50033059#4 -50033059#3 -50033059#2 -50033059#1 -50033558#8 -51155368#3 121319046 12188656 -50033558#2 12203859#0 12203859#1 42706831#4 42706831#5 42706831#6 42706874#0 42706874#2 12144152#0 12144152#2 450844953#0 450844953#2 450844953#3 450844947#0 388533142#0 388533142#2 388533142#4 62623926#0 62623926#1 450844950#0 12189453#0.0.0 450844982#0.19 62203497#0 62203497#2 62203497#3 12134479#1 34685684#0 34685684#2 388533143#0 388533143#2 12140627#0 63060729#0 -264253834#2 12156992#4 12156992#5 12156992#6 12156992#7 12156992#8 12156992#9 -12114396#5 -12114396#3 -12114396#1 485017383#0 485017382#0 485017382#1 211575484#0 -12177521#3 -12177521#2 -12177521#1 32121111#12 32121111#14 -12187610#5 -12187610#2 -12187610#1 12150608#0 32121146#2 12117702#9 450844953#0 450844953#2 450844953#3 450844947#0 388533142#0 388533142#2 388533142#4 62623926#0 62623926#1 450844950#0 38502259#0.19 450844933#1 196207110#0 196207110#2" probability="0.024390243902439"/&gt;</t>
  </si>
  <si>
    <t xml:space="preserve">    &lt;route id="Router3_113" edges="31909473.0 31909473.857 62634019#1-AddedOnRampEdge 62634019#1 62634019#2.0 62634019#2.242 62634019#3-AddedOnRampEdge 62634019#3 62634019#3-AddedOffRampEdge 30953251#1.0 30953251#1-AddedOffRampEdge 12112003 30953215#1-AddedOnRampEdge 30953215#1 121643865#0 12110705 50715233#0 50715233#0-AddedOffRampEdge 50715233#1.0 62203285#14.24 gneE59.30.0.55 gneE59.30.0.0 gneE59.0.0 gneE59.0.12 62203360#0 12159135 12149408#0 49914077 424767578 43569819 387422128#1 43569827#0 43569827#1 43569827#2 43569827#7 43569848 30953391 424769002 424769005 424769006 424769004 30953396#1 -424769003#1 -424769003#0 -485017374 42706828#0 42706828#2 12182281#0 12182281#3 12182281#5 12182281#6 386995507#4 386995507#5 386995507#6 12152013#1 12152013#2 -12175537#6 -12175537#5 -12175537#4 12182281#9 12182281#10 -388756839#1 -388756839#0 -50033059#4 -50033059#3 -50033059#2 -50033059#1 42706833#0 42706833#2 12189876#0 12189876#2 484953508#1 60185970#0 60185970#2 12149571#1 12187610#3 50033558#2 -12188656 -121319046 -42706825#7 12199713#0 12199713#1 -386995514#6 -386995514#5 -386995514#4 -386995514#3 194358817#0 194358817#1 194358817#2 12114363#0 12114363#1 -50033059#4 12175537#0 12175537#2 12175537#3 12175537#4 12175537#5 12175537#6 12175537#7 12175537#8 12175537#9 12175537#10 12175537#11 12175537#12 12155177#1 12155177#2 387422153#1 gneE73 gneE75.0 gneE80.125" probability="0.024390243902439"/&gt;</t>
  </si>
  <si>
    <t xml:space="preserve">    &lt;route id="Router3_116" edges="31909473.0 31909473.857 62634019#1-AddedOnRampEdge 62634019#1 62634019#2.0 62634019#2.242 62634019#3-AddedOnRampEdge 62634019#3 62634019#3-AddedOffRampEdge 30953251#1.0 30953251#1-AddedOffRampEdge 12112003 30953215#1-AddedOnRampEdge 30953215#1 121643865#0 12110705 50715233#0 50715233#0-AddedOffRampEdge 50715233#1.0 62203285#14.24 gneE59.30.0.55 gneE59.30.0.0 gneE59.0.0 gneE59.0.12 62203360#0 291433361#0 132508433.0 -gneE6.0 gneE81.299.0 gneE81.299.79 gneE81.299.145 -gneE8 12154353#0 196393941#1 196393941#2 28533986 43539369#2 12178843#2 12178843#3 49960982#2 43569828#0 387422128#1 43569827#0 43569827#1 43569827#2 43569827#7 43569848 30953391 424769002 424769005 424769006 424769004 30953396#1 387422132#0 387422132#1 486653633#0 484953506#3 484953506#4 12157002#0 12157002#1 12157002#3 12157002#5 12114396#4 -12156992#10 -12156992#8 -12156992#7 -12156992#6 -12156992#5 -12156992#4 -12156992#3 -12156992#2 -12156992#1 -386547297#1 -424080772#2 -424080772#1 -262962065#1 -262962063 -424080764 -424080768#1 -424080766 -104526265#1 -262962068#1 -424080774 -32122059#1 -32122059#0 -196393940#2 -196393940#0" probability="0.024390243902439"/&gt;</t>
  </si>
  <si>
    <t xml:space="preserve">    &lt;route id="Router3_117" edges="31909473.0 31909473.857 62634019#1-AddedOnRampEdge 62634019#1 62634019#2.0 62634019#2.242 62634019#3-AddedOnRampEdge 62634019#3 62634019#3-AddedOffRampEdge 30953251#1.0 30953251#1-AddedOffRampEdge 12112003 30953215#1-AddedOnRampEdge 30953215#1 121643865#0 12110705 50715233#0 50715233#0-AddedOffRampEdge 50715233#1.0 62203285#14.24 gneE59.30.0.55 gneE59.30.0.0 gneE59.0.0 gneE59.0.12 62203360#0 291433361#0 132508433.0 -gneE6.0 gneE81.299.0 gneE81.299.79 gneE81.299.145 -gneE8 12154353#0 196393941#1 196393941#2 28533986 43539369#2 12178843#2 12178843#3 49960982#2 43569828#0 387422128#1 43569827#0 43569827#1 43569827#2 43569827#7 43569848 30953391 424769002 424769005 424769006 424769004 30953396#1 387422132#0 387422132#1 486653633#0 484953506#3 484953506#4 12157002#0 12157002#1 12157002#3 12157002#5 12114396#4 -12156992#10 -12156992#8 -12156992#7 -12156992#6 -12156992#5 -12156992#4 -12156992#3 -12156992#2 -12156992#1 -386547297#1 -424080772#2 -424080772#1 -262962065#1 -262962063 -424080764 -424080768#1 -424080766 -104526265#1 30953497#0 30953497#2 30953497#3 42706585#0 42706585#1 30953320 30953320-AddedOffRampEdge 104526277 30953215#1-AddedOnRampEdge 30953215#1 121643865#0 12110705 50715233#0 50715233#0-AddedOffRampEdge 50715233#1.0 62203285#14.24 gneE59.30.0.55 gneE59.30.0.0 gneE59.0.0 gneE59.0.12 62203360#0 12159135 12149408#0 49914077 424767578 43569819 387422128#1 43569827#0 43569827#1 43569827#2 43569827#7 43569848 30953391 424769002 424769005 424769006 424769004 30953396#1 -424769003#1 -424769003#0 -485017374 42706828#0 42706828#2 12182281#0 12182281#3 12182281#5 12182281#6 386995507#4 386995507#5 386995507#6 12152013#1 12152013#2 -12175537#6 -12175537#5 -12175537#4 12182281#9 12182281#10 -388756839#1 -388756839#0 -50033059#4 -50033059#3 -50033059#2 -50033059#1 -50033558#8 -51155368#3 121319046 12188656 -50033558#2 12203859#0 12203859#1 42706831#4 42706831#5 42706831#6 42706874#0 42706874#2 12144152#0 12144152#2 450844953#0 450844953#2 450844953#3 450844947#0 388533142#0 388533142#2 388533142#4 62623926#0 62623926#1 450844950#0 12189453#0.0.0 450844982#0.19 62203497#0 62203497#2 62203497#3 12134479#1 34685684#0 34685684#2 388533143#0 388533143#2 12140627#0 63060729#0 -264253834#2 12156992#4 12156992#5 12156992#6 12156992#7 12156992#8 12156992#9 -12114396#5 -12114396#3 -12114396#1 485017383#0 485017382#0 485017382#1 211575484#0 -12177521#3 -12177521#2 -12177521#1 32121111#12 32121111#14 -12187610#5 -12187610#2 -12187610#1 12150608#0 32121146#2 12117702#9 450844953#0 450844953#2 450844953#3 450844947#0 388533142#0 388533142#2 388533142#4 62623926#0 62623926#1 450844950#0 38502259#0.19 450844933#1 196207110#0 196207110#2" probability="0.024390243902439"/&gt;</t>
  </si>
  <si>
    <t xml:space="preserve">    &lt;route id="Router3_118" edges="31909473.0 31909473.857 62634019#1-AddedOnRampEdge 62634019#1 62634019#2.0 62634019#2.242 62634019#3-AddedOnRampEdge 62634019#3 62634019#3-AddedOffRampEdge 30953251#1.0 30953251#1-AddedOffRampEdge 12112003 30953215#1-AddedOnRampEdge 30953215#1 121643865#0 12110705 50715233#0 50715233#0-AddedOffRampEdge 50715233#1.0 62203285#14.24 gneE59.30.0.55 gneE59.30.0.0 gneE59.0.0 gneE59.0.12 62203360#0 291433361#0 132508433.0 -gneE6.0 gneE81.299.0 gneE81.299.79 gneE81.299.145 -gneE8 12154353#0 196393941#1 196393941#2 28533986 43539369#2 12178843#2 12178843#3 49960982#2 43569828#0 387422128#1 43569827#0 43569827#1 43569827#2 43569827#7 43569848 30953391 424769002 424769005 424769006 424769004 30953396#1 387422132#0 387422132#1 486653633#0 484953506#3 484953506#4 12157002#0 12157002#1 12157002#3 12157002#5 12114396#4 -12156992#10 -12156992#8 -12156992#7 -12156992#6 -12156992#5 -12156992#4 -12156992#3 -12156992#2 -12156992#1 -386547297#1 -424080772#2 -424080772#1 -262962065#1 -262962063 -424080764 -424080768#1 -424080766 -104526265#1 30953497#0 30953497#2 30953497#3 42706585#0 42706585#1 30953320 30953320-AddedOffRampEdge 104526277 30953215#1-AddedOnRampEdge 30953215#1 121643865#0 12110705 50715233#0 50715233#0-AddedOffRampEdge 50715233#1.0 62203285#14.24 gneE59.30.0.55 gneE59.30.0.0 gneE59.0.0 gneE59.0.12 62203360#0 12159135 12149408#0 49914077 424767578 43569819 387422128#1 43569827#0 43569827#1 43569827#2 43569827#7 43569848 30953391 424769002 424769005 424769006 424769004 30953396#1 -424769003#1 -424769003#0 -485017374 42706828#0 42706828#2 12182281#0 12182281#3 12182281#5 12182281#6 386995507#4 386995507#5 386995507#6 12152013#1 12152013#2 -12175537#6 -12175537#5 -12175537#4 12182281#9 12182281#10 -388756839#1 -388756839#0 -50033059#4 -50033059#3 -50033059#2 -50033059#1 42706833#0 42706833#2 -42706825#7 12199713#0 12199713#1 -386995514#6 -386995514#5 -386995514#4 -386995514#3 -386995514#2 -386995514#1 12159500#1 12159500#2 51050030#7 gneE35 -gneE34.0 --gneE83.0" probability="0.024390243902439"/&gt;</t>
  </si>
  <si>
    <t xml:space="preserve">    &lt;route id="Router3_119" edges="31909473.0 31909473.857 62634019#1-AddedOnRampEdge 62634019#1 62634019#2.0 62634019#2.242 62634019#3-AddedOnRampEdge 62634019#3 62634019#3-AddedOffRampEdge 30953251#1.0 30953251#1-AddedOffRampEdge 12112003 30953215#1-AddedOnRampEdge 30953215#1 121643865#0 12110705 50715233#0 50715233#0-AddedOffRampEdge 50715233#1.0 62203285#14.24 gneE59.30.0.55 gneE59.30.0.0 gneE59.0.0 gneE59.0.12 62203360#0 291433361#0 132508433.0 -gneE6.0 gneE81.299.0 gneE81.299.79 gneE81.299.145 -gneE8 12154353#0 196393941#1 196393941#2 28533986 43539369#2 12178843#2 12178843#3 49960982#2 43569828#0 387422128#1 43569827#0 43569827#1 43569827#2 43569827#7 43569848 30953391 424769002 424769005 424769006 424769004 30953396#1 387422132#0 387422132#1 486653633#0 484953506#3 484953506#4 12157002#0 12157002#1 12157002#3 12157002#5 12114396#4 -12156992#10 -12156992#8 -12156992#7 -12156992#6 -12156992#5 -12156992#4 -12156992#3 -12156992#2 -12156992#1 -386547297#1 -424080772#2 -424080772#1 -262962065#1 -262962063 -424080764 -424080768#1 -424080766 -104526265#1 30953497#0 30953497#2 35920555#0.0 35920555#0.75 62203066 43331031.0 43331031.436 42706585#0 42706585#1 30953320 30953320-AddedOffRampEdge 30953315 104526276-AddedOnRampEdge 104526276 51758697#0 51758697#1-AddedOnRampEdge 51758697#1" probability="0.024390243902439"/&gt;</t>
  </si>
  <si>
    <t xml:space="preserve">    &lt;route id="Router3_126" edges="49887339#0.596 49887339#0-AddedOffRampEdge 12113482 424769007 -424769002 -30953391 -43569848 -43569827#9 -43569827#6 -43569827#1 -43569827#0 28555332 387422130#1 132508717#0 12149210#1 12151897#1 196393941#6 196393941#7 196393941#8 gneE87 196393974#0 388756841#0 49914076#0 12159673#0 12159673#1 393884751 43569848 30953391 424769002 424769005 424769006 424769004 30953396#1 -424769003#1 -424769003#0 -485017374 42706828#0 42706828#2 12182281#0 12185366#7 12185366#9 387422145#0 12157718#7 12157718#9 12157718#10 12157718#12 485017381#1 -30953396#1 -30953396#0 -424769006 -424769005 -424769002 -30953391 -43569848 -393884751 12159702 424764853 12149178#0 50189796 50189564 12149178#2 145605533#0 145605533#1-AddedOnRampEdge 145605533#1 145605511#1-AddedOnRampEdge 145605511#12 145605511#1.148" probability="0.024390243902439"/&gt;</t>
  </si>
  <si>
    <t xml:space="preserve">    &lt;route id="Router3_133" edges="49887339#0.596 49887339#0-AddedOffRampEdge 12113482 424769007 424769005 424769006 424769004 30953396#1 -30953396#1 -30953396#0 -424769006 -424769005 -424769002 12113092 51758697#1-AddedOnRampEdge 51758697#1" probability="0.024390243902439"/&gt;</t>
  </si>
  <si>
    <t xml:space="preserve">    &lt;route id="Router3_134" edges="49887339#0.596 49887339#0-AddedOffRampEdge 12113482 424769007 424769005 424769006 424769004 30953396#1 -30953396#1 30953396#1 -424769003#1 -424769003#0 -485017374 42706828#0 310315797#4 310315797#5 12172067 486653633#2 486653633#3 42706828#4 42706828#6 42706828#7 12152033 12185366#3 12185366#4 12185366#5 12182281#3 386995479#4 386995479#5 12161358#11 12171305#0 12171305#1 42706797#2 42706797#4.13 42706797#5 387422148#0 -386995521#3 -386995521#2 12154359#3 12154359#4 12154359#5 -12175537#9 -12175537#8 -12175537#7 12152013#3 12167232#3 386995531#0 12154359#7 101350669 386995545#0 386995545#2 gneE41 gneE80.0 gneE80.125" probability="0.024390243902439"/&gt;</t>
  </si>
  <si>
    <t xml:space="preserve">    &lt;route id="Router3_135" edges="49887339#0.596 49887339#0-AddedOffRampEdge 12113482 424769007 424769005 424769006 424769004 30953396#1 -30953396#1 30953396#1 -424769003#1 -424769003#0 12157002#0 12157002#1 12157002#3 12157002#5 12114396#4 -12156992#10 -12156992#8 -12156992#7 -12156992#6 -12156992#5 -12156992#4 -12156992#3 -12156992#2 -12156992#1 -386547297#1 -424080772#2 -424080772#1 -262962065#1 -262962063 -424080764 -424080768#1 -424080766 -104526265#1 -262962068#1 -424080774 -32122059#1 -32122059#0 -196393940#2 -196393940#0" probability="0.024390243902439"/&gt;</t>
  </si>
  <si>
    <t xml:space="preserve">    &lt;route id="Router3_136" edges="49887339#0.596 49887339#0-AddedOffRampEdge 12113482 424769007 424769005 424769006 424769004 30953396#1 -30953396#1 30953396#1 -424769003#1 -424769003#0 12157002#0 12157002#1 12157002#3 12157002#5 12114396#4 -12156992#10 -12156992#8 -12156992#7 -12156992#6 -12156992#5 -12156992#4 -12156992#3 -12156992#2 -12156992#1 -386547297#1 -424080772#2 -424080772#1 -262962065#1 -262962063 -424080764 -424080768#1 -424080766 -104526265#1 450844956#2 12189453#0.0.0 450844982#0.19 62203497#0 62203497#2 62203497#3 12134479#1 34685684#0 34685684#2 450844947#0 388533142#0 388533142#2 388533142#4 62623926#0 62623926#1 450844950#0 12189453#0.0.0 450844982#0.19 62203497#0 62203497#2 62203497#3 12134479#1 34685684#0 34685684#2 388533143#0 388533143#2 12140627#0 63060729#0 -264253834#2 12156992#4 12156992#5 12156992#6 12156992#7 12156992#8 12156992#9 484953505 12148522#0 485017381#0 485017381#1 -30953396#1 -30953396#0 -424769006 -424769005 -424769002 -30953391 -43569848 -393884751 12159702 424764853 12149178#0 50189796 50189564 12149178#2 145605533#0 145605533#1-AddedOnRampEdge 145605533#1 145605511#1-AddedOnRampEdge 145605511#12 145605511#1.148" probability="0.024390243902439"/&gt;</t>
  </si>
  <si>
    <t xml:space="preserve">    &lt;route id="Router3_143" edges="49887339#0.596 49887339#0-AddedOffRampEdge 49887339#1 49887339#1-AddedOffRampEdge 104524021 104524021-AddedOffRampEdge 12158873 121643865#0 12110705 50715233#0 50715233#0-AddedOffRampEdge 50715233#1.0 62203285#14.24 gneE59.30.0.55 gneE59.30.0.0 gneE59.0.0 gneE59.0.12 62203360#0 291433361#0 132508433.0 -gneE6.0 gneE81.299.0 gneE81.299.79 gneE81.299.145 -gneE8 12154353#0 196393941#1 196393941#2 28533986 43539369#2 12178843#2 12178843#3 49960982#2 43569828#0 387422128#1 43569827#0 43569827#1 43569827#2 43569827#7 43569848 30953391 424769002 424769005 424769006 424769004 30953396#1 387422132#0 387422132#1 486653633#0 484953506#3 484953506#4 12157002#0 12157002#1 12157002#3 12157002#5 12114396#4 -12156992#10 -12156992#8 -12156992#7 -12156992#6 -12156992#5 -12156992#4 -12156992#3 -12156992#2 -12156992#1 -386547297#1 -424080772#2 -424080772#1 -262962065#1 -262962063 -424080764 -424080768#1 -424080766 -104526265#1 -262962068#1 -424080774 -32122059#1 -32122059#0 -196393940#2 -196393940#0" probability="0.024390243902439"/&gt;</t>
  </si>
  <si>
    <t xml:space="preserve">    &lt;route id="Router3_144" edges="49887339#0.596 49887339#0-AddedOffRampEdge 49887339#1 49887339#1-AddedOffRampEdge 104524021 104524021-AddedOffRampEdge 12158873 121643865#0 12110705 50715233#0 50715233#0-AddedOffRampEdge 50715233#1.0 62203285#14.24 gneE59.30.0.55 gneE59.30.0.0 gneE59.0.0 gneE59.0.12 62203360#0 291433361#0 132508433.0 -gneE6.0 gneE81.299.0 gneE81.299.79 gneE81.299.145 -gneE8 12154353#0 196393941#1 196393941#2 28533986 43539369#2 12178843#2 12178843#3 49960982#2 43569828#0 387422128#1 43569827#0 43569827#1 43569827#2 43569827#7 43569848 30953391 424769002 424769005 424769006 424769004 30953396#1 387422132#0 387422132#1 486653633#0 484953506#3 484953506#4 12157002#0 12157002#1 12157002#3 12157002#5 12114396#4 -12156992#10 -12156992#8 -12156992#7 -12156992#6 -12156992#5 -12156992#4 -12156992#3 -12156992#2 -12156992#1 -386547297#1 -424080772#2 -424080772#1 -262962065#1 -262962063 -424080764 -424080768#1 -424080766 -104526265#1 30953497#0 30953497#2 30953497#3 42706585#0 42706585#1 30953320 30953320-AddedOffRampEdge 104526277 30953215#1-AddedOnRampEdge 30953215#1 121643865#0 12110705 50715233#0 50715233#0-AddedOffRampEdge 50715233#1.0 62203285#14.24 gneE59.30.0.55 gneE59.30.0.0 43539373#0.0.292.17 gneE58 gneE56 gneE54.0 62203360#0 291433361#0 132508433.0 -gneE6.0 gneE6.0 424765883 43539378#0.15 132508717#5 196393974#0 49914077 424767578 387422130#1 132508717#0 12149210#1 12151897#1 196393941#6 196393941#7 196393941#8 gneE87 196393974#0 388756841#0 49914076#0 12159673#0 12159673#1 393884751 43569848 30953391 12113092 51758697#1-AddedOnRampEdge 51758697#1 -gneE46.0 43357850.4841.18 gneE46 49887339#0.596 49887339#0-AddedOffRampEdge 49887339#1 49887339#1-AddedOffRampEdge 104524021 104524021-AddedOffRampEdge 50192637#0 50192637#1-AddedOnRampEdge 50192637#1.0.0 50192637#1.0.382.0.0 50192637#1.697 50192637#1-AddedOffRampEdge 30953181#1 30953181#2-AddedOnRampEdge 30953181#2 30953181#3-AddedOnRampEdge 30953181#3 30953181#3-AddedOffRampEdge 30952933#1.0 30952933#1.199" probability="0.024390243902439"/&gt;</t>
  </si>
  <si>
    <t xml:space="preserve">    &lt;route id="Router3_145" edges="49887339#0.596 49887339#0-AddedOffRampEdge 49887339#1 49887339#1-AddedOffRampEdge 104524021 104524021-AddedOffRampEdge 12158873 121643865#0 12110705 50715233#0 50715233#0-AddedOffRampEdge 50715233#1.0 62203285#14.24 gneE59.30.0.55 gneE59.30.0.0 gneE59.0.0 gneE59.0.12 62203360#0 291433361#0 132508433.0 -gneE6.0 gneE81.299.0 gneE81.299.79 gneE81.299.145 -gneE8 12154353#0 196393941#1 196393941#2 28533986 43539369#2 12178843#2 12178843#3 49960982#2 43569828#0 387422128#1 43569827#0 43569827#1 43569827#2 43569827#7 43569848 30953391 424769002 424769005 424769006 424769004 30953396#1 387422132#0 387422132#1 486653633#0 484953506#3 484953506#4 12157002#0 12157002#1 12157002#3 12157002#5 12114396#4 -12156992#10 -12156992#8 -12156992#7 -12156992#6 -12156992#5 -12156992#4 -12156992#3 -12156992#2 -12156992#1 -386547297#1 -424080772#2 -424080772#1 -262962065#1 -262962063 -424080764 -424080768#1 -424080766 -104526265#1 30953497#0 30953497#2 35920555#0.0 35920555#0.75 62203066 43331031.0 43331031.436 42706585#0 42706585#1 30953320 30953320-AddedOffRampEdge 30953315 104526276-AddedOnRampEdge 104526276 51758697#0 51758697#1-AddedOnRampEdge 51758697#1" probability="0.024390243902439"/&gt;</t>
  </si>
  <si>
    <t xml:space="preserve">    &lt;route id="Router3_146" edges="49887339#0.596 49887339#0-AddedOffRampEdge 49887339#1 49887339#1-AddedOffRampEdge 104524021 104524021-AddedOffRampEdge 12158873 121643865#0 12110705 50715233#0 50715233#0-AddedOffRampEdge 50715233#1.0 62203285#14.24 gneE59.30.0.55 gneE59.30.0.0 gneE59.0.0 gneE59.0.12 62203360#0 291433361#0 132508433.0 -gneE6.0 gneE81.299.0 gneE81.299.79 gneE81.299.145 -gneE8 12154353#0 196393941#1 196393941#2 28533986 43539369#2 12178843#2 12178843#3 49960982#2 43569828#0 387422128#1 43569827#0 43569827#1 43569827#2 43569827#7 43569848 30953391 424769002 424769005 424769006 424769004 30953396#1 387422132#0 387422132#1 486653633#0 484953506#3 484953506#4 424769003#0 424769003#1 387422132#0 387422132#1 388756840 12202537#1 12202537#2 12202537#3 485017368 485017367#0 12185366#0 12178852#0 12178852#1 386995495#0 386995495#1 -386995507#7 -386995507#6 -386995507#5 -386995507#4 -386995507#3 310315797#0 310315797#1 386995479#3 12182281#5 12182281#6 12182281#7 12182281#8 -12175537#3 12138978 12201597#2 12114363#1 -50033059#4 12175537#0 12175537#2 12175537#3 12175537#4 12162659#2 12159485 12161358#7 12161358#8 386995507#6 386995507#7 386995521#0 386995521#1 12154359#3 12154359#4 12154359#5 12154359#6 12154359#7 101350669 -386995537 -386995526#1 -386995526#0 -43357814#3 12175537#8 12175537#9 12154359#6 386995531#1 386995531#2 387422150#2 12175537#12 12155177#1 386995531#4 12172918#2 gneE73 gneE75.0 gneE80.125" probability="0.024390243902439"/&gt;</t>
  </si>
  <si>
    <t>&lt;route id="Router3_147"edges="49887339#0.596 49887339#0-AddedOffRampEdge 49887339#1 49887339#1-AddedOffRampEdge 104524021 104524021-AddedOffRampEdge 12158873 121643865#0 12110705 50715233#0 50715233#0-AddedOffRampEdge 50715233#1.0 62203285#14.24 gneE59.30.0.55 gneE59.30.0.0 gneE59.0.0 gneE59.0.12 62203360#0 291433361#0 132508433.0 -gneE6.0 gneE81.299.0 gneE81.299.79 gneE81.299.145 -gneE8 12154353#0 196393941#1 196393941#2 28533986 43539369#2 12178843#2 12178843#3 49960982#2 43569828#0 387422128#1 43569827#0 43569827#1 43569827#2 43569827#7 43569848 30953391 424769002 424769005 424769006 424769004 30953396#1 387422132#0 387422132#1 486653633#0 484953506#3 484953506#4 424769003#0 424769003#1 387422132#0 387422132#1 388756840 12202537#1 12202537#2 12202537#3 485017368 485017367#0 12185366#0 12178852#0 12178852#1 386995495#0 386995495#1 -386995507#7 -386995507#6 -386995507#5 -386995507#4 -386995507#3 310315797#0 310315797#1 386995479#3 12182281#5 12182281#6 12182281#7 12182281#8 -12175537#3 12138978 12201597#2 12114363#1 -50033059#4 12175537#0 12175537#2 12175537#3 12175537#4 12162659#2 12159485 12161358#7 12161358#8 386995507#6 386995507#7 386995521#0 386995521#1 12154359#3 12154359#4 12154359#5 12154359#6 12154359#7 101350669 -386995537 -386995526#1 -386995526#0 -43357814#3 12175537#8 12175537#9 12175537#10 12175537#11 12175537#12 12155177#1 386995531#4 12172918#2 gneE73 gneE75.0 gneE80.125"/&gt;" probability="0.024390243902439"/&gt;</t>
  </si>
  <si>
    <t xml:space="preserve">    &lt;route id="Router3_148" edges="49887339#0.596 49887339#0-AddedOffRampEdge 49887339#1 49887339#1-AddedOffRampEdge 104524021 104524021-AddedOffRampEdge 12158873 121643865#0 12110705 50715233#0 50715233#0-AddedOffRampEdge 50715233#1.0 62203285#14.24 gneE59.30.0.55 gneE59.30.0.0 gneE59.0.0 gneE59.0.12 62203360#0 291433361#0 132508433.0 -gneE6.0 gneE81.299.0 gneE81.299.79 gneE81.299.145 -gneE8 12154353#0 196393941#1 196393941#2 28533986 43539369#2 12178843#2 12178843#3 49960982#2 43569828#0 387422128#1 43569827#0 43569827#1 43569827#2 43569827#7 43569848 30953391 424769002 424769005 424769006 424769004 30953396#1 387422132#0 387422132#1 486653633#0 484953506#3 484953506#4 424769003#0 424769003#1 387422132#0 387422132#1 388756840 12202537#1 12202537#2 12202537#3 485017368 485017367#0 12185366#0 12178852#0 12178852#1 386995495#0 386995495#1 -386995507#7 -386995507#6 -386995507#5 -386995507#4 -386995507#3 310315797#0 310315797#1 386995479#3 12182281#5 12182281#6 12182281#7 12182281#8 -12175537#3 12138978 12201597#2 12114363#1 -50033059#4 12175537#0 12175537#2 12175537#3 12175537#4 12175537#5 12175537#6 12175537#7 -43357814#2 42706837#4 42706837#5 42706837#6 42706837#7 42706837#8 12155177#0 12175537#13 12172918#1 12172918#2 gneE73 gneE75.0 gneE80.125" probability="0.024390243902439"/&gt;</t>
  </si>
  <si>
    <t xml:space="preserve">    &lt;route id="Router3_149" edges="49887339#0.596 49887339#0-AddedOffRampEdge 49887339#1 49887339#1-AddedOffRampEdge 104524021 104524021-AddedOffRampEdge 12158873 121643865#0 12110705 50715233#0 50715233#0-AddedOffRampEdge 50715233#1.0 62203285#14.24 gneE59.30.0.55 gneE59.30.0.0 gneE59.0.0 gneE59.0.12 62203360#0 291433361#0 132508433.0 -gneE6.0 gneE81.299.0 gneE81.299.79 gneE81.299.145 -gneE8 12154353#0 196393941#1 196393941#2 28533986 43539369#2 12178843#2 12178843#3 49960982#2 43569828#0 387422128#1 43569827#0 43569827#1 43569827#2 43569827#7 43569848 30953391 424769002 424769005 424769006 424769004 30953396#1 387422132#0 387422132#1 486653633#0 484953506#3 484953506#4 424769003#0 424769003#1 387422132#0 387422132#1 388756840 12202537#1 12202537#2 12202537#3 485017368 485017367#0 12185366#0 12178852#0 12178852#1 386995495#0 386995495#1 -386995507#7 -386995507#6 -386995507#5 -386995507#4 -386995507#3 310315797#0 310315797#1 386995479#3 12182281#5 12182281#6 12182281#7 12182281#8 -12175537#3 12138978 12201597#2 12114363#1 -50033059#4 12175537#0 12175537#2 12175537#3 12175537#4 12175537#5 12175537#6 12175537#7 -43357814#2 42706837#4 42706837#5 42706837#6 42706837#7 42706837#8 42706837#9 12172918#0 12172918#1 12172918#2 gneE73 gneE75.0 gneE80.125" probability="0.024390243902439"/&gt;</t>
  </si>
  <si>
    <t xml:space="preserve">    &lt;route id="Router3_150" edges="49887339#0.596 49887339#0-AddedOffRampEdge 49887339#1 49887339#1-AddedOffRampEdge 104524021 104524021-AddedOffRampEdge 12158873 121643865#0 12110705 50715233#0 50715233#0-AddedOffRampEdge 50715233#1.0 62203285#14.24 gneE59.30.0.55 gneE59.30.0.0 gneE59.0.0 gneE59.0.12 62203360#0 291433361#0 132508433.0 -gneE6.0 gneE81.299.0 gneE81.299.79 gneE81.299.145 -gneE8 12154353#0 196393941#1 196393941#2 28533986 43539369#2 12178843#2 12178843#3 49960982#2 43569828#0 387422128#1 43569827#0 43569827#1 43569827#2 43569827#7 43569848 30953391 424769002 424769005 424769006 424769004 30953396#1 387422132#0 387422132#1 486653633#0 484953506#3 484953506#4 424769003#0 424769003#1 387422132#0 387422132#1 388756840 12202537#1 12202537#2 12202537#3 485017368 485017367#0 12185366#0 12178852#0 12178852#1 386995495#0 386995495#1 -386995507#7 -386995507#6 -386995507#5 -386995507#4 -386995507#3 310315797#0 310315797#1 386995479#3 12182281#5 12182281#6 12182281#7 12182281#8 -12175537#3 12138978 12201597#2 12114363#1 -50033059#4 12175537#0 12175537#2 12175537#3 12175537#4 12175537#5 12175537#6 12175537#7 12175537#8 12175537#9 12154359#6 386995531#1 12174155#0 -12175537#10 -12175537#9 -12175537#8 -12175537#7 12152013#3 12167232#3 386995531#0 12154359#7 101350669 -386995537 -386995526#1 -386995526#0 -43357814#3 -43357814#2 42706837#4 42706837#5 42706837#6 42706837#7 42706837#8 42706837#9 12172918#0 12172918#1 12172918#2 gneE73 gneE75.0 gneE80.125" probability="0.024390243902439"/&gt;</t>
  </si>
  <si>
    <t xml:space="preserve">    &lt;route id="Router3_151" edges="49887339#0.596 49887339#0-AddedOffRampEdge 49887339#1 49887339#1-AddedOffRampEdge 104524021 104524021-AddedOffRampEdge 12158873 121643865#0 12110705 50715233#0 50715233#0-AddedOffRampEdge 50715233#1.0 62203285#14.24 gneE59.30.0.55 gneE59.30.0.0 gneE59.0.0 gneE59.0.12 62203360#0 291433361#0 132508433.0 -gneE6.0 gneE81.299.0 gneE81.299.79 gneE81.299.145 -gneE8 12154353#0 196393941#1 196393941#2 28533986 43539369#2 12178843#2 12178843#3 49960982#2 43569828#0 387422128#1 43569827#0 43569827#1 43569827#2 43569827#7 43569848 30953391 424769002 424769005 424769006 424769004 30953396#1 387422132#0 387422132#1 486653633#0 484953506#3 484953506#4 424769003#0 424769003#1 387422132#0 387422132#1 388756840 12202537#1 12202537#2 12202537#3 485017368 485017367#0 12185366#0 12178852#0 12178852#1 386995495#0 386995495#1 -386995507#7 -386995507#6 -386995507#5 -386995507#4 -386995507#3 310315797#0 310315797#1 386995479#3 12182281#5 12182281#6 12182281#7 12182281#8 -12175537#3 12138978 12201597#2 12114363#1 -50033059#4 12175537#0 12175537#2 12175537#3 12175537#4 12175537#5 12175537#6 12175537#7 12175537#8 12175537#9 12154359#6 386995531#1 12174155#0 -12175537#10 -12175537#9 -12175537#8 -12175537#7 12152013#3 12167232#3 386995531#0 12154359#7 101350669 -386995537 -386995526#1 -386995526#0 -43357814#3 12175537#8 12175537#9 12175537#10 12175537#11 12175537#12 12175537#13 12172918#1 12172918#2 gneE73 gneE75.0 gneE80.125" probability="0.024390243902439"/&gt;</t>
  </si>
  <si>
    <t xml:space="preserve">    &lt;route id="Router3_152" edges="49887339#0.596 49887339#0-AddedOffRampEdge 49887339#1 49887339#1-AddedOffRampEdge 104524021 104524021-AddedOffRampEdge 12158873 121643865#0 12110705 50715233#0 50715233#0-AddedOffRampEdge 50715233#1.0 62203285#14.24 gneE59.30.0.55 gneE59.30.0.0 gneE59.0.0 gneE59.0.12 62203360#0 291433361#0 132508433.0 -gneE6.0 gneE81.299.0 gneE81.299.79 gneE81.299.145 -gneE8 12154353#0 196393941#1 196393941#2 28533986 43539369#2 12178843#2 12178843#3 49960982#2 43569828#0 387422128#1 43569827#0 43569827#1 43569827#2 43569827#7 43569848 30953391 424769002 424769005 424769006 424769004 30953396#1 387422132#0 387422132#1 486653633#0 484953506#3 484953506#4 424769003#0 424769003#1 387422132#0 387422132#1 388756840 12202537#1 12202537#2 12202537#3 485017368 485017367#0 12185366#0 12178852#0 12178852#1 386995495#0 386995495#1 -386995507#7 -386995507#6 -386995507#5 -386995507#4 -386995507#3 310315797#0 310315797#1 386995479#3 12182281#5 12182281#6 12182281#7 12182281#8 -12175537#3 485017371#0 484953507#1 12182281#8 12182281#9 12167232#0 12167232#1 12167232#2 12152013#4 51050425#4 386995537 386995551 387422150#0 387422150#1 386995531#3 386995531#4 12172918#2 gneE73 gneE75.0 gneE80.125" probability="0.024390243902439"/&gt;</t>
  </si>
  <si>
    <t xml:space="preserve">    &lt;route id="Router3_153" edges="49887339#0.596 49887339#0-AddedOffRampEdge 49887339#1 49887339#1-AddedOffRampEdge 104524021 104524021-AddedOffRampEdge 12158873 121643865#0 12110705 50715233#0 50715233#0-AddedOffRampEdge 50715233#1.0 62203285#14.24 gneE59.30.0.55 gneE59.30.0.0 gneE59.0.0 gneE59.0.12 62203360#0 291433361#0 132508433.0 -gneE6.0 gneE81.299.0 gneE81.299.79 gneE81.299.145 -gneE8 12154353#0 196393941#1 196393941#2 28533986 43539369#2 12178843#2 12178843#3 49960982#2 43569828#0 387422128#1 43569827#0 43569827#1 43569827#2 43569827#7 43569848 30953391 424769002 424769005 424769006 424769004 30953396#1 387422132#0 387422132#1 486653633#0 484953506#3 484953506#4 424769003#0 424769003#1 387422132#0 387422132#1 388756840 12202537#1 12202537#2 12202537#3 485017368 485017367#0 12185366#0 12178852#0 12178852#1 386995495#0 386995495#1 -386995507#7 -386995507#6 -386995507#5 -386995507#4 -386995507#3 310315797#0 310315797#1 386995479#3 12182281#5 12182281#6 386995507#4 386995507#5 12161358#9 12161358#10 12161358#11 12171305#0 12171305#1 42706797#2 42706797#4.13 42706797#5 387422148#0 387422148#1 12172918#0 12172918#1 12172918#2 gneE73 gneE75.0 gneE80.125" probability="0.024390243902439"/&gt;</t>
  </si>
  <si>
    <t xml:space="preserve">    &lt;route id="Router3_154" edges="49887339#0.596 49887339#0-AddedOffRampEdge 49887339#1 49887339#1-AddedOffRampEdge 104524021 104524021-AddedOffRampEdge 12158873 121643865#0 12110705 50715233#0 50715233#0-AddedOffRampEdge 50715233#1.0 62203285#14.24 gneE59.30.0.55 gneE59.30.0.0 gneE59.0.0 gneE59.0.12 62203360#0 291433361#0 132508433.0 -gneE6.0 gneE81.299.0 gneE81.299.79 gneE81.299.145 -gneE8 12154353#0 196393941#1 196393941#2 28533986 43539369#2 12178843#2 12178843#3 49960982#2 43569828#0 387422128#1 43569827#0 43569827#1 43569827#2 43569827#7 43569848 30953391 424769002 424769005 424769006 424769004 30953396#1 387422132#0 387422132#1 486653633#0 484953506#3 484953506#4 424769003#0 424769003#1 387422132#0 387422132#1 388756840 12202537#1 12202537#2 12202537#3 485017368 485017367#0 12185366#0 12178852#0 12178852#1 386995495#0 386995495#1 -386995507#7 -386995507#6 -386995507#5 -386995507#4 -386995507#3 310315797#0 310315797#1 386995479#3 12182281#5 12182281#6 386995507#4 386995507#5 386995507#6 386995507#7 386995521#0 386995521#1 386995521#2 386995521#3 387422148#1 12172918#0 -12175537#13 12155177#1 12155177#2 387422153#1 gneE73 gneE75.0 gneE80.125" probability="0.024390243902439"/&gt;</t>
  </si>
  <si>
    <t xml:space="preserve">    &lt;route id="Router3_155" edges="49887339#0.596 49887339#0-AddedOffRampEdge 49887339#1 49887339#1-AddedOffRampEdge 104524021 104524021-AddedOffRampEdge 12158873 121643865#0 12110705 50715233#0 50715233#0-AddedOffRampEdge 50715233#1.0 62203285#14.24 gneE59.30.0.55 gneE59.30.0.0 gneE59.0.0 gneE59.0.12 62203360#0 291433361#0 132508433.0 -gneE6.0 gneE81.299.0 gneE81.299.79 gneE81.299.145 -gneE8 12154353#0 196393941#1 196393941#2 28533986 43539369#2 12178843#2 12178843#3 49960982#2 43569828#0 387422128#1 43569827#0 43569827#1 43569827#2 43569827#7 43569848 30953391 424769002 424769005 424769006 424769004 30953396#1 387422132#0 387422132#1 486653633#0 484953506#3 484953506#4 424769003#0 424769003#1 387422132#0 387422132#1 388756840 12202537#1 12202537#2 12202537#3 485017368 485017367#0 12185366#0 12178852#0 12178852#1 386995495#0 386995495#1 -386995507#7 -386995507#6 -386995507#5 -386995507#4 -386995507#3 310315797#0 310315797#1 386995479#3 386995479#4 386995479#5 386995479#6 386995490#0.0 12154359#1.20 12154359#2 -386995521#1 -386995521#0 43357814#0 43357814#1 42706837#4 42706837#5 12154359#5 12154359#6 386995531#1 386995531#2 386995531#3 386995531#4 12172918#2 gneE73 gneE75.0 gneE80.125" probability="0.024390243902439"/&gt;</t>
  </si>
  <si>
    <t xml:space="preserve">    &lt;route id="Router3_156" edges="49887339#0.596 49887339#0-AddedOffRampEdge 49887339#1 49887339#1-AddedOffRampEdge 104524021 104524021-AddedOffRampEdge 12158873 121643865#0 12110705 50715233#0 50715233#0-AddedOffRampEdge 50715233#1.0 62203285#14.24 gneE59.30.0.55 gneE59.30.0.0 gneE59.0.0 gneE59.0.12 62203360#0 291433361#0 132508433.0 -gneE6.0 gneE81.299.0 gneE81.299.79 gneE81.299.145 -gneE8 12154353#0 196393941#1 196393941#2 28533986 43539369#2 12178843#2 12178843#3 49960982#2 43569828#0 387422128#1 43569827#0 43569827#1 43569827#2 43569827#7 43569848 30953391 424769002 424769005 424769006 424769004 30953396#1 387422132#0 387422132#1 486653633#0 484953506#3 484953506#4 424769003#0 424769003#1 387422132#0 387422132#1 388756840 12202537#1 12202537#2 12202537#3 485017368 485017367#0 12185366#0 12178852#0 12178852#1 386995495#0 386995495#1 -386995507#7 -386995507#6 12161358#9 12161358#10 12161358#11 12171305#0 12171305#1 42706797#2 42706797#4.13 42706797#5 387422148#0 387422148#1 12172918#0 12172918#1 12172918#2 gneE73 gneE75.0 gneE80.125" probability="0.024390243902439"/&gt;</t>
  </si>
  <si>
    <t xml:space="preserve">    &lt;route id="Router3_157" edges="49887339#0.596 49887339#0-AddedOffRampEdge 49887339#1 49887339#1-AddedOffRampEdge 104524021 104524021-AddedOffRampEdge 12158873 121643865#0 12110705 50715233#0 50715233#0-AddedOffRampEdge 50715233#1.0 62203285#14.24 gneE59.30.0.55 gneE59.30.0.0 gneE59.0.0 gneE59.0.12 62203360#0 291433361#0 132508433.0 -gneE6.0 gneE81.299.0 gneE81.299.79 gneE81.299.145 -gneE8 12154353#0 196393941#1 196393941#2 28533986 43539369#2 12178843#2 12178843#3 49960982#2 43569828#0 387422128#1 43569827#0 43569827#1 43569827#2 43569827#7 43569848 30953391 424769002 424769005 424769006 424769004 30953396#1 387422132#0 387422132#1 486653633#0 484953506#3 484953506#4 424769003#0 424769003#1 387422132#0 387422132#1 388756840 12202537#1 12202537#2 12202537#3 485017368 485017367#0 12185366#0 12178852#0 12178852#1 386995495#0 386995495#1 -386995507#7 -386995507#6 12161358#9 12161358#10 386995479#6 386995490#0.0 12154359#1.20 12154359#2 -386995521#1 12172225 32121111#2 32121111#3 12152013#0 12152013#1 12152013#2 12175537#7 -43357814#2 42706837#4 42706837#5 42706837#6 42706837#7 42706837#8 12155177#0 12175537#13 12172918#1 12172918#2 gneE73 gneE75.0 gneE80.125" probability="0.024390243902439"/&gt;</t>
  </si>
  <si>
    <t xml:space="preserve">    &lt;route id="Router3_158" edges="49887339#0.596 49887339#0-AddedOffRampEdge 49887339#1 49887339#1-AddedOffRampEdge 104524021 104524021-AddedOffRampEdge 12158873 121643865#0 12110705 50715233#0 50715233#0-AddedOffRampEdge 50715233#1.0 62203285#14.24 gneE59.30.0.55 gneE59.30.0.0 gneE59.0.0 gneE59.0.12 62203360#0 291433361#0 132508433.0 -gneE6.0 gneE81.299.0 gneE81.299.79 gneE81.299.145 -gneE8 12154353#0 196393941#1 196393941#2 28533986 43539369#2 12178843#2 12178843#3 49960982#2 43569828#0 387422128#1 43569827#0 43569827#1 43569827#2 43569827#7 43569848 30953391 424769002 424769005 424769006 424769004 30953396#1 387422132#0 387422132#1 486653633#0 484953506#3 484953506#4 424769003#0 424769003#1 387422132#0 387422132#1 388756840 12202537#1 12202537#2 12202537#3 485017368 485017367#0 12185366#0 12178852#0 12178852#1 386995495#0 386995495#1 -386995507#7 -386995507#6 12161358#9 12161358#10 386995479#6 386995490#0.0 12154359#1.20 12154359#2 -386995521#1 12172225 32121111#2 32121111#3 12152013#0 12152013#1 12152013#2 12175537#7 -43357814#2 42706837#4 42706837#5 42706837#6 42706837#7 42706837#8 42706837#9 12172918#0 12172918#1 12172918#2 gneE73 gneE75.0 gneE80.125" probability="0.024390243902439"/&gt;</t>
  </si>
  <si>
    <t xml:space="preserve">    &lt;route id="Router3_159" edges="49887339#0.596 49887339#0-AddedOffRampEdge 49887339#1 49887339#1-AddedOffRampEdge 104524021 104524021-AddedOffRampEdge 12158873 121643865#0 12110705 50715233#0 50715233#0-AddedOffRampEdge 50715233#1.0 62203285#14.24 gneE59.30.0.55 gneE59.30.0.0 gneE59.0.0 gneE59.0.12 62203360#0 291433361#0 132508433.0 -gneE6.0 gneE81.299.0 gneE81.299.79 gneE81.299.145 -gneE8 12154353#0 196393941#1 196393941#2 28533986 43539369#2 12178843#2 12178843#3 49960982#2 43569828#0 387422128#1 43569827#0 43569827#1 43569827#2 43569827#7 43569848 30953391 424769002 424769005 424769006 424769004 30953396#1 387422132#0 387422132#1 486653633#0 484953506#3 484953506#4 424769003#0 424769003#1 387422132#0 387422132#1 388756840 12202537#1 12202537#2 12202537#3 485017368 485017367#0 12185366#0 12178852#0 12178852#1 386995495#0 386995495#1 -386995507#7 -386995507#6 12161358#9 12161358#10 386995479#6 386995490#0.0 12154359#1.20 32121111#1 32121111#2 32121111#3 12152013#0 12152013#1 12152013#2 12175537#7 -43357814#2 42706837#4 42706837#5 42706837#6 42706837#7 42706837#8 12155177#0 12175537#13 12172918#1 12172918#2 gneE73 gneE75.0 gneE80.125" probability="0.024390243902439"/&gt;</t>
  </si>
  <si>
    <t xml:space="preserve">    &lt;route id="Router3_160" edges="49887339#0.596 49887339#0-AddedOffRampEdge 49887339#1 49887339#1-AddedOffRampEdge 104524021 104524021-AddedOffRampEdge 12158873 121643865#0 12110705 50715233#0 50715233#0-AddedOffRampEdge 50715233#1.0 62203285#14.24 gneE59.30.0.55 gneE59.30.0.0 gneE59.0.0 gneE59.0.12 62203360#0 291433361#0 132508433.0 -gneE6.0 gneE81.299.0 gneE81.299.79 gneE81.299.145 -gneE8 12154353#0 196393941#1 196393941#2 28533986 43539369#2 12178843#2 12178843#3 49960982#2 43569828#0 387422128#1 43569827#0 43569827#1 43569827#2 43569827#7 43569848 30953391 424769002 424769005 424769006 424769004 30953396#1 387422132#0 387422132#1 486653633#0 484953506#3 484953506#4 424769003#0 424769003#1 387422132#0 387422132#1 388756840 12202537#1 12202537#2 12202537#3 485017368 485017367#0 12185366#0 12178852#0 12178852#1 386995495#0 386995495#1 -386995507#7 -386995507#6 12161358#9 12161358#10 386995479#6 386995490#0.0 12154359#1.20 32121111#1 32121111#2 32121111#3 12152013#0 12152013#1 12152013#2 12175537#7 12175537#8 12175537#9 12175537#10 12175537#11 12175537#12 12155177#1 386995531#4 12172918#2 gneE73 gneE75.0 gneE80.125" probability="0.024390243902439"/&gt;</t>
  </si>
  <si>
    <t xml:space="preserve">    &lt;route id="Router3_161" edges="49887339#0.596 49887339#0-AddedOffRampEdge 49887339#1 49887339#1-AddedOffRampEdge 104524021 104524021-AddedOffRampEdge 12158873 121643865#0 12110705 50715233#0 50715233#0-AddedOffRampEdge 50715233#1.0 62203285#14.24 gneE59.30.0.55 gneE59.30.0.0 gneE59.0.0 gneE59.0.12 62203360#0 291433361#0 132508433.0 -gneE6.0 gneE81.299.0 gneE81.299.79 gneE81.299.145 -gneE8 12154353#0 196393941#1 196393941#2 28533986 43539369#2 12178843#2 12178843#3 49960982#2 43569828#0 387422128#1 43569827#0 43569827#1 43569827#2 43569827#7 43569848 30953391 424769002 424769005 424769006 424769004 30953396#1 387422132#0 387422132#1 486653633#0 484953506#3 484953506#4 424769003#0 424769003#1 387422132#0 387422132#1 388756840 12202537#1 43357813 484953506#1 484953506#2 486653633#1 486653633#2 486653633#3 12182281#0 12182281#3 386995479#4 386995479#5 12161358#11 12171305#0 12171305#1 42706797#2 42706797#4.13 42706797#5 387422148#0 387422148#1 12172918#0 12172918#1 12172918#2 gneE73 gneE75.0 gneE80.125" probability="0.024390243902439"/&gt;</t>
  </si>
  <si>
    <t xml:space="preserve">    &lt;route id="Router3_51" edges="196393940#0 62203285#0 62203285#2 62203285#3 62203285#5 62203285#6 62203285#7 62203285#8 62203285#9 62203285#10 62203285#11 62203285#13 62203285#14.0 62203285#14.24 gneE59.30.0.55 gneE59.30.0.0 gneE59.0.0 gneE59.0.12 62203360#0 291433361#0 132508433.0 -gneE6.0 gneE81.299.0 gneE81.299.79 gneE81.299.145 -gneE8 12154353#0 196393941#1 196393941#2 28533986 43539369#2 12178843#2 12178843#3 49960982#2 43569828#0 387422128#1 43569827#0 43569827#1 43569827#2 43569827#7 43569848 30953391 424769002 424769005 424769006 424769004 30953396#1 387422132#0 387422132#1 486653633#0 484953506#3 484953506#4 12157002#0 12157002#1 12157002#3 12157002#5 12114396#4 -12156992#10 -12156992#8 -12156992#7 -12156992#6 -12156992#5 -12156992#4 -12156992#3 -12156992#2 -12156992#1 -386547297#1 -424080772#2 -424080772#1 -262962065#1 -262962063 -424080764 -424080768#1 -424080766 -104526265#1 30953497#0 30953497#2 30953497#3 42706585#0 42706585#1 30953320 30953320-AddedOffRampEdge 104526277 30953215#1-AddedOnRampEdge 30953215#1 121643865#0 12110705 50715233#0 50715233#0-AddedOffRampEdge 50715233#1.0 62203285#14.24 gneE59.30.0.55 gneE59.30.0.0 43539373#0.0.292.17 gneE58 gneE56 gneE54.0 62203360#0 291433361#0 132508433.0 -gneE6.0 gneE6.0 424765883 43539378#0.15 132508717#5 196393974#0 49914077 424767578 387422130#1 132508717#0 12149210#1 12151897#1 196393941#6 196393941#7 196393941#8 gneE87 196393974#0 388756841#0 49914076#0 12159673#0 12159673#1 393884751 43569848 30953391 12113092 51758697#1-AddedOnRampEdge 51758697#1" probability="0.024390243902439"/&gt;</t>
  </si>
  <si>
    <t xml:space="preserve">    &lt;route id="Router3_52" edges="196393940#0 62203285#0 62203285#2 62203285#3 62203285#5 62203285#6 62203285#7 62203285#8 62203285#9 62203285#10 62203285#11 62203285#13 62203285#14.0 62203285#14.24 gneE59.30.0.55 gneE59.30.0.0 gneE59.0.0 gneE59.0.12 62203360#0 291433361#0 132508433.0 -gneE6.0 gneE81.299.0 gneE81.299.79 gneE81.299.145 -gneE8 12154353#0 196393941#1 196393941#2 28533986 43539369#2 12178843#2 12178843#3 49960982#2 43569828#0 387422128#1 43569827#0 43569827#1 43569827#2 43569827#7 43569848 30953391 424769002 424769005 424769006 424769004 30953396#1 387422132#0 387422132#1 486653633#0 484953506#3 484953506#4 12157002#0 12157002#1 12157002#3 12157002#5 12114396#4 -12156992#10 -12156992#8 -12156992#7 -12156992#6 -12156992#5 -12156992#4 -12156992#3 -12156992#2 -12156992#1 -386547297#1 -424080772#2 -424080772#1 -262962065#1 -262962063 -424080764 -424080768#1 -424080766 -104526265#1 30953497#0 30953497#2 30953497#3 42706585#0 42706585#1 30953320 30953320-AddedOffRampEdge 104526277 30953215#1-AddedOnRampEdge 30953215#1 121643865#0 12110705 50715233#0 50715233#0-AddedOffRampEdge 50715233#1.0 62203285#14.24 gneE59.30.0.55 gneE59.30.0.0 43539373#0.0.292.17 gneE58 gneE56 gneE54.0 62203360#0 291433361#0 132508433.0 -gneE6.0 gneE6.0 424765883 43570920#0.22 132508717#4 43539378#1 43569848 30953391 12113092 51758697#1-AddedOnRampEdge 51758697#1" probability="0.024390243902439"/&gt;</t>
  </si>
  <si>
    <t>&lt;routeDistribution id="SPGDst-Bridge-Over-River-WB-16-RouteProbe"&gt;</t>
  </si>
  <si>
    <t xml:space="preserve">    &lt;route id="Router3_52" edges="196393940#0 62203285#0 62203285#2 62203285#3 62203285#5 62203285#6 62203285#7 62203285#8 62203285#9 62203285#10 62203285#11 62203285#13 62203285#14.0 62203285#14.24 gneE59.30.0.55 gneE59.30.0.0 gneE59.0.0 gneE59.0.12 62203360#0 291433361#0 132508433.0 -gneE6.0 gneE81.299.0 gneE81.299.79 gneE81.299.145 -gneE8 12154353#0 196393941#1 196393941#2 28533986 43539369#2 12178843#2 12178843#3 49960982#2 43569828#0 387422128#1 43569827#0 43569827#1 43569827#2 43569827#7 43569848 30953391 424769002 424769005 424769006 424769004 30953396#1 387422132#0 387422132#1 486653633#0 484953506#3 484953506#4 12157002#0 12157002#1 12157002#3 12157002#5 12114396#4 -12156992#10 -12156992#8 -12156992#7 -12156992#6 -12156992#5 -12156992#4 -12156992#3 -12156992#2 -12156992#1 -386547297#1 -424080772#2 -424080772#1 -262962065#1 -262962063 -424080764 -424080768#1 -424080766 -104526265#1 30953497#0 30953497#2 30953497#3 42706585#0 42706585#1 30953320 30953320-AddedOffRampEdge 104526277 30953215#1-AddedOnRampEdge 30953215#1 121643865#0 12110705 50715233#0 50715233#0-AddedOffRampEdge 50715233#1.0 62203285#14.24 gneE59.30.0.55 gneE59.30.0.0 43539373#0.0.292.17 gneE58 gneE56 gneE54.0 62203360#0 291433361#0 132508433.0 -gneE6.0 gneE6.0 424765883 43570920#0.22 132508717#4 43539378#1 43569848 30953391 12113092 51758697#1-AddedOnRampEdge 51758697#1" probability="0.0181818181818182"/&gt;</t>
  </si>
  <si>
    <t xml:space="preserve">    &lt;route id="Router3_53" edges="196393940#0 62203285#0 62203285#2 62203285#3 62203285#5 62203285#6 62203285#7 62203285#8 62203285#9 62203285#10 62203285#11 62203285#13 62203285#14.0 62203285#14.24 gneE59.30.0.55 gneE59.30.0.0 gneE59.0.0 gneE59.0.12 62203360#0 291433361#0 132508433.0 -gneE6.0 gneE81.299.0 gneE81.299.79 gneE81.299.145 -gneE8 12154353#0 196393941#1 196393941#2 28533986 43539369#2 12178843#2 12178843#3 49960982#2 43569828#0 387422128#1 43569827#0 43569827#1 43569827#2 43569827#7 43569848 30953391 424769002 424769005 424769006 424769004 30953396#1 387422132#0 387422132#1 486653633#0 484953506#3 484953506#4 12157002#0 12157002#1 12157002#3 12157002#5 12114396#4 -12156992#10 -12156992#8 -12156992#7 -12156992#6 -12156992#5 -12156992#4 -12156992#3 -12156992#2 -12156992#1 -386547297#1 -424080772#2 -424080772#1 -262962065#1 -262962063 -424080764 -424080768#1 -424080766 -104526265#1 30953497#0 30953497#2 30953497#3 42706585#0 42706585#1 30953320 30953320-AddedOffRampEdge 104526277 30953215#1-AddedOnRampEdge 30953215#1 121643865#0 12110705 50715233#0 50715233#0-AddedOffRampEdge 50715233#1.0 62203285#14.24 gneE59.30.0.55 gneE59.30.0.0 gneE59.0.0 gneE59.0.12 62203360#0 12159135 12149408#0 49914077 424767578 43569819 387422128#1 43569827#0 43569827#1 43569827#2 43569827#7 43569848 30953391 424769002 424769005 424769006 424769004 30953396#1 -424769003#1 -424769003#0 -485017374 42706828#0 42706828#2 12182281#0 12182281#3 12182281#5 12182281#6 386995507#4 386995507#5 386995507#6 12152013#1 12152013#2 -12175537#6 -12175537#5 -12175537#4 12182281#9 12182281#10 -388756839#1 -388756839#0 -50033059#4 -50033059#3 -50033059#2 -50033059#1 42706833#0 42706833#2 12189876#0 12189876#2 484953508#1 60185970#0 60185970#2 12149571#1 12187610#3 50033558#2 -12188656 -121319046 -42706825#7 12199713#0 12199713#1 -386995514#6 -386995514#5 -386995514#4 -386995514#3 194358817#0 194358817#1 194358817#2 12114363#0 12114363#1 -50033059#4 12175537#0 12175537#2 12175537#3 12175537#4 12175537#5 12175537#6 12175537#7 12175537#8 12175537#9 12175537#10 12175537#11 12175537#12 12155177#1 12155177#2 387422153#1 gneE73 gneE75.0 gneE80.125" probability="0.0181818181818182"/&gt;</t>
  </si>
  <si>
    <t xml:space="preserve">    &lt;route id="Router3_59" edges="196393940#0 62203285#0 62203285#2 62203285#3 62203285#5 62203285#6 62203285#7 62203286#0 62203286#2 59676508#0 -59676508#0 -62203286#2 -62203286#0 62203285#8 62203285#9 62203285#10 62203285#11 62203285#13 62203285#14.0 62203285#14.24 gneE59.30.0.55 gneE59.30.0.0 gneE59.0.0 gneE59.0.12 62203360#0 12159135 12149408#0 49914077 424767578 43569819 387422128#1 43569827#0 43569827#1 43569827#2 43569827#7 43569848 30953391 424769002 424769005 424769006 424769004 30953396#1 -424769003#1 -424769003#0 -485017374 42706828#0 42706828#2 12182281#0 12182281#3 12182281#5 12182281#6 386995507#4 386995507#5 386995507#6 12152013#1 12152013#2 -12175537#6 -12175537#5 -12175537#4 12182281#9 12182281#10 -388756839#1 -388756839#0 -50033059#4 -50033059#3 -50033059#2 -50033059#1 42706833#0 42706833#2 12189876#0 12189876#2 484953508#1 60185970#0 60185970#2 12149571#1 12187610#3 50033558#2 -12188656 -121319046 -42706825#7 12199713#0 12199713#1 -386995514#6 -386995514#5 -386995514#4 -386995514#3 194358817#0 194358817#1 194358817#2 12114363#0 12114363#1 -50033059#4 12175537#0 12175537#2 12175537#3 12175537#4 12175537#5 12175537#6 12175537#7 12175537#8 12175537#9 12175537#10 12175537#11 12175537#12 12155177#1 12155177#2 387422153#1 gneE73 gneE75.0 gneE80.125" probability="0.0181818181818182"/&gt;</t>
  </si>
  <si>
    <t xml:space="preserve">    &lt;route id="Router3_60" edges="196393940#0 62203285#0 62203285#2 62203285#3 62203285#5 62203285#6 62203285#7 62203286#0 62203286#2 59676508#0 -59676508#0 -62203286#2 -62203286#0 62203285#8 62203285#9 62203285#10 62203285#11 62203285#13 62203285#14.0 62203285#14.24 gneE59.30.0.55 gneE59.30.0.0 gneE59.0.0 gneE59.0.12 62203360#0 12159135 291433360#0 388756841#0 49914076#0 12111949#0 43539384#1.0 424764853 43539372 12167183.0 gneE82 gneE56 gneE54.0 gneE62.13 gneE81.0 gneE6.0 424765883 43539378#0.15 43539378#1 43569848 30953391 12113092 51758697#1-AddedOnRampEdge 51758697#1" probability="0.0181818181818182"/&gt;</t>
  </si>
  <si>
    <t xml:space="preserve">    &lt;route id="Router3_61" edges="196393940#0 62203285#0 62203285#2 62203285#3 62203285#5 62203285#6 62203285#7 62203286#0 62203286#2 59676508#0 -59676508#0 -62203286#2 -62203286#0 62203285#8 62203285#9 62203285#10 62203285#11 62203285#13 62203285#14.0 62203285#14.24 gneE59.30.0.55 gneE59.30.0.0 gneE59.0.0 gneE59.0.12 62203360#0 291433361#0 132508433.0 -gneE6.0 gneE81.299.0 gneE81.299.79 gneE81.299.145 -gneE8 12154353#0 196393941#1 196393941#2 28533986 43539369#2 12178843#2 12178843#3 49960982#2 43569828#0 387422128#1 43569827#0 43569827#1 43569827#2 43569827#7 43569848 30953391 424769002 424769005 424769006 424769004 30953396#1 387422132#0 387422132#1 486653633#0 484953506#3 484953506#4 12157002#0 12157002#1 12157002#3 12157002#5 12114396#4 -12156992#10 -12156992#8 -12156992#7 -12156992#6 -12156992#5 -12156992#4 -12156992#3 -12156992#2 -12156992#1 -386547297#1 -424080772#2 -424080772#1 -262962065#1 -262962063 -424080764 -424080768#1 -424080766 -104526265#1 30953497#0 30953497#2 30953497#3 42706585#0 42706585#1 30953320 30953320-AddedOffRampEdge 104526277 30953215#1-AddedOnRampEdge 30953215#1 121643865#0 12110705 50715233#0 50715233#0-AddedOffRampEdge 50715233#1.0 62203285#14.24 gneE59.30.0.55 gneE59.30.0.0 43539373#0.0.292.17 gneE58 gneE56 gneE54.0 62203360#0 291433361#0 132508433.0 -gneE6.0 gneE6.0 424765883 43539378#0.15 132508717#5 196393974#0 49914077 424767578 387422130#1 132508717#0 12149210#1 12151897#1 196393941#6 196393941#7 196393941#8 gneE87 196393974#0 388756841#0 49914076#0 12159673#0 12159673#1 393884751 43569848 30953391 12113092 51758697#1-AddedOnRampEdge 51758697#1" probability="0.0181818181818182"/&gt;</t>
  </si>
  <si>
    <t xml:space="preserve">    &lt;route id="Router3_62" edges="196393940#0 62203285#0 62203285#2 62203285#3 62203285#5 62203285#6 62203285#7 62203286#0 62203286#2 59676508#0 -59676508#0 -62203286#2 -62203286#0 62203285#8 62203285#9 62203285#10 62203285#11 62203285#13 62203285#14.0 62203285#14.24 gneE59.30.0.55 gneE59.30.0.0 gneE59.0.0 gneE59.0.12 62203360#0 291433361#0 132508433.0 -gneE6.0 gneE81.299.0 gneE81.299.79 gneE81.299.145 -gneE8 12154353#0 196393941#1 196393941#2 28533986 43539369#2 12178843#2 12178843#3 49960982#2 43569828#0 387422128#1 43569827#0 43569827#1 43569827#2 43569827#7 43569848 30953391 424769002 424769005 424769006 424769004 30953396#1 387422132#0 387422132#1 486653633#0 484953506#3 484953506#4 12157002#0 12157002#1 12157002#3 12157002#5 12114396#4 -12156992#10 -12156992#8 -12156992#7 -12156992#6 -12156992#5 -12156992#4 -12156992#3 -12156992#2 -12156992#1 -386547297#1 -424080772#2 -424080772#1 -262962065#1 -262962063 -424080764 -424080768#1 -424080766 -104526265#1 30953497#0 30953497#2 35920555#0.0 35920555#0.75 62203066 43331031.0 43331031.436 42706585#0 42706585#1 30953320 30953320-AddedOffRampEdge 30953315 104526276-AddedOnRampEdge 104526276 51758697#0 51758697#1-AddedOnRampEdge 51758697#1" probability="0.0181818181818182"/&gt;</t>
  </si>
  <si>
    <t xml:space="preserve">    &lt;route id="Router3_66" edges="31909473.0 31909473.857 62634019#1-AddedOnRampEdge 62634019#1 30953036 424081476 -424987520 -30953029#1 -30953029#0 -424987519 12169718#0 12169718#1 424804090#0 424804090#1 424804090#2 424804090#3 424804090#4 132508920#2 132508920#3 132508920#4 132508920#5 424080762#0 424080762#1 424080762#2 424080762#3 424080762#4 424080762#5 179915585#2 12171853#2 12198567#4 12198567#5 12152219#0 12152219#1 12152236 132508920#12 132508897#0 132508897#1 132508897#2 132508897#3 394179820#0 394179820#1 394179820#2 394179820#3 394179820#4 196355327#1 196355327#2 196355327#5 196393940#1 196207112#0 32122059#1 424080774 262962068#0.0 30953497#0 30953497#2 30953497#3 42706585#0 42706585#1 30953320 30953320-AddedOffRampEdge 104526277 30953215#1-AddedOnRampEdge 30953215#1 121643865#0 12110705 50715233#0 50715233#0-AddedOffRampEdge 50715233#1.0 62203285#14.24 gneE59.30.0.55 gneE59.30.0.0 43539373#0.0.292.17 gneE58 gneE56 gneE54.0 62203360#0 291433361#0 132508433.0 -gneE6.0 gneE6.0 424765883 43570920#0.22 132508717#4 43539378#1 43569848 30953391 12113092 51758697#1-AddedOnRampEdge 51758697#1" probability="0.0181818181818182"/&gt;</t>
  </si>
  <si>
    <t xml:space="preserve">    &lt;route id="Router3_68" edges="31909473.0 31909473.857 62634019#1-AddedOnRampEdge 62634019#1 30953036 424081476 -424987520 -30953029#1 -30953029#0 -424987519 12169718#0 179915585#0 193223837#0 193223837#1 12198567#1 12198567#2 12198567#3 12171853#3 12171853#4 12171853#5 12171853#6 132508920#8 132508920#9 132508920#10 132508920#12 132508983#0 132508983#3 132508983#5 132508740#0 132508740#2 -12165829#1 132508646#0 132508646#2 132508646#3 394179820#0 394179820#1 394179820#2 394179820#3 450844975 450844970#0 196355332#0 450844979#0.0 12114109#0.45.0 59671945#0.30 62093806#0 30953497#0 30953497#2 30953497#3 42706585#0 42706585#1 30953320 30953320-AddedOffRampEdge 104526277 30953215#1-AddedOnRampEdge 30953215#1 121643865#0 12110705 50715233#0 50715233#0-AddedOffRampEdge 50715233#1.0 62203285#14.24 gneE59.30.0.55 gneE59.30.0.0 43539373#0.0.292.17 gneE58 gneE56 gneE54.0 62203360#0 291433361#0 132508433.0 -gneE6.0 gneE6.0 424765883 43539378#0.15 132508717#5 196393974#0 49914077 424767578 387422130#1 132508717#0 12149210#1 12151897#1 196393941#6 196393941#7 196393941#8 gneE87 196393974#0 388756841#0 49914076#0 12159673#0 12159673#1 393884751 43569848 30953391 12113092 51758697#1-AddedOnRampEdge 51758697#1" probability="0.0181818181818182"/&gt;</t>
  </si>
  <si>
    <t xml:space="preserve">    &lt;route id="Router3_69" edges="31909473.0 31909473.857 62634019#1-AddedOnRampEdge 62634019#1 30953036 424081476 -424987520 -30953029#1 -30953029#0 -424987519 12169718#0 179915585#0 193223837#0 193223837#1 12198567#1 12198567#2 12198567#3 12171853#3 12171853#4 12171853#5 12171853#6 132508920#8 132508920#9 132508920#10 132508920#12 132508983#0 132508983#3 132508983#5 132508740#0 132508740#2 -12165829#1 132508646#0 132508646#2 132508646#3 394179820#0 394179820#1 394179820#2 394179820#3 450844975 450844970#0 196355332#0 450844979#0.0 12114109#0.45.0 59671945#0.30 62093806#0 30953497#0 30953497#2 30953497#3 42706585#0 42706585#1 30953320 30953320-AddedOffRampEdge 104526277 30953215#1-AddedOnRampEdge 30953215#1 121643865#0 12110705 50715233#0 50715233#0-AddedOffRampEdge 50715233#1.0 62203285#14.24 gneE59.30.0.55 gneE59.30.0.0 43539373#0.0.292.17 gneE58 gneE56 gneE54.0 62203360#0 291433361#0 132508433.0 -gneE6.0 gneE6.0 424765883 43570920#0.22 132508717#4 43539378#1 43569848 30953391 12113092 51758697#1-AddedOnRampEdge 51758697#1" probability="0.0181818181818182"/&gt;</t>
  </si>
  <si>
    <t xml:space="preserve">    &lt;route id="Router3_86" edges="31909473.0 31909473.857 62634019#1-AddedOnRampEdge 62634019#1 62634019#2.0 62634019#2.242 62634019#3-AddedOnRampEdge 62634019#3 62634019#3-AddedOffRampEdge 12111747.0 59671945#0.30 62093806#0 104526265#0.14 424080766 424080768#0 104523976#1 262962063 12189051#0 -12189051#1 -262962063 -424080764 -424080768#1 -424080766 -104526265#1 30953497#0 30953497#2 30953497#3 42706585#0 42706585#1 30953320 30953320-AddedOffRampEdge 104526277 30953215#1-AddedOnRampEdge 30953215#1 121643865#0 12110705 50715233#0 50715233#0-AddedOffRampEdge 50715233#1.0 62203285#14.24 gneE59.30.0.55 gneE59.30.0.0 43539373#0.0.292.17 gneE58 gneE56 gneE54.0 62203360#0 291433361#0 132508433.0 -gneE6.0 gneE6.0 424765883 43570920#0.22 132508717#4 43539378#1 43569848 30953391 12113092 51758697#1-AddedOnRampEdge 51758697#1 -gneE46.0 43357850.4841.18 gneE46 49887339#0.596 49887339#0-AddedOffRampEdge 49887339#1 49887339#1-AddedOffRampEdge 104524021 104524021-AddedOffRampEdge 50192637#0 50192637#1-AddedOnRampEdge 50192637#1.0.0 50192637#1.0.382.0.0 50192637#1.697 50192637#1-AddedOffRampEdge 30953181#1 30953181#2-AddedOnRampEdge 30953181#2 30953181#3-AddedOnRampEdge 30953181#3 30953181#3-AddedOffRampEdge 30952933#1.0 30952933#1.199" probability="0.0181818181818182"/&gt;</t>
  </si>
  <si>
    <t xml:space="preserve">    &lt;route id="Router3_87" edges="31909473.0 31909473.857 62634019#1-AddedOnRampEdge 62634019#1 62634019#2.0 62634019#2.242 62634019#3-AddedOnRampEdge 62634019#3 62634019#3-AddedOffRampEdge 12111747.0 59671945#0.30 62093806#0 104526265#0.14 424080766 424080768#0 104523976#1 262962063 12189051#0 -12189051#1 -262962063 -424080764 -424080768#1 -424080766 -104526265#1 30953497#0 30953497#2 30953497#3 42706585#0 42706585#1 30953320 30953320-AddedOffRampEdge 104526277 30953215#1-AddedOnRampEdge 30953215#1 121643865#0 12110705 50715233#0 50715233#0-AddedOffRampEdge 50715233#1.0 62203285#14.24 gneE59.30.0.55 gneE59.30.0.0 43539373#0.0.292.17 gneE58 gneE56 gneE54.0 62203360#0 291433361#0 132508433.0 -gneE6.0 gneE6.0 424765883 43570920#0.22 132508717#4 43539378#1 43569848 30953391 12113092 51758697#1-AddedOnRampEdge 51758697#1" probability="0.0181818181818182"/&gt;</t>
  </si>
  <si>
    <t xml:space="preserve">    &lt;route id="Router3_89" edges="31909473.0 31909473.857 62634019#1-AddedOnRampEdge 62634019#1 62634019#2.0 62634019#2.242 62634019#3-AddedOnRampEdge 62634019#3 62634019#3-AddedOffRampEdge 12111747.0 59671945#0.30 62093806#0 104526265#0.14 424080766 424080768#0 104523976#1 262962063 12189051#0 -12189051#1 -262962063 -424080764 -424080768#1 -424080766 -104526265#1 30953497#0 30953497#2 30953497#3 42706585#0 42706585#1 30953320 30953320-AddedOffRampEdge 104526277 30953215#1-AddedOnRampEdge 30953215#1 121643865#0 12110705 50715233#0 50715233#0-AddedOffRampEdge 50715233#1.0 62203285#14.24 gneE59.30.0.55 gneE59.30.0.0 43539373#0.0.292.17 gneE58 gneE56 gneE54.0 gneE62.13 gneE81.0 gneE81.299.0 12138964.1128 196393941#8 gneE87 196393974#0 49914077 424767578 43569819 387422128#1 43569827#0 43569827#1 43569827#2 43569827#7 43569848 30953391 424769002 424769005 424769006 424769004 30953396#1 -424769003#1 -424769003#0 -485017374 42706828#0 42706828#2 12182281#0 12182281#3 12182281#5 12182281#6 386995507#4 386995507#5 386995507#6 12152013#1 12152013#2 -12175537#6 -12175537#5 -12175537#4 12182281#9 12182281#10 -388756839#1 -388756839#0 -50033059#4 -50033059#3 -50033059#2 -50033059#1 42706833#0 42706833#2 12189876#0 12189876#2 484953508#1 60185970#0 60185970#2 12149571#1 12187610#3 50033558#2 -12188656 -121319046 -42706825#7 12199713#0 12199713#1 -386995514#6 -386995514#5 -386995514#4 -386995514#3 194358817#0 194358817#1 194358817#2 12114363#0 12114363#1 -50033059#4 12175537#0 12175537#2 12175537#3 12175537#4 12175537#5 12175537#6 12175537#7 12175537#8 12175537#9 12175537#10 12175537#11 12175537#12 12155177#1 12155177#2 387422153#1 gneE73 gneE75.0 gneE80.125" probability="0.0181818181818182"/&gt;</t>
  </si>
  <si>
    <t xml:space="preserve">    &lt;route id="Router3_90" edges="31909473.0 31909473.857 62634019#1-AddedOnRampEdge 62634019#1 62634019#2.0 62634019#2.242 62634019#3-AddedOnRampEdge 62634019#3 62634019#3-AddedOffRampEdge 12111747.0 59671945#0.30 62093806#0 104526265#0.14 424080766 424080768#0 104523976#1 262962063 12189051#0 -12189051#1 -262962063 -424080764 -424080768#1 -424080766 -104526265#1 30953497#0 30953497#2 30953497#3 42706585#0 42706585#1 30953320 30953320-AddedOffRampEdge 104526277 30953215#1-AddedOnRampEdge 30953215#1 121643865#0 12110705 50715233#0 50715233#0-AddedOffRampEdge 50715233#1.0 62203285#14.24 gneE59.30.0.55 gneE59.30.0.0 gneE59.0.0 gneE59.0.12 62203360#0 291433361#0 132508433.0 -gneE6.0 gneE81.299.0 gneE81.299.79 gneE81.299.145 -gneE8 12154353#0 196393941#1 196393941#2 28533986 43539369#2 12178843#2 12178843#3 49960982#2 43569828#0 387422128#1 43569827#0 43569827#1 43569827#2 43569827#7 43569848 30953391 424769002 424769005 424769006 424769004 30953396#1 387422132#0 387422132#1 486653633#0 484953506#3 484953506#4 12157002#0 12157002#1 12157002#3 12157002#5 12114396#4 -12156992#10 -12156992#8 -12156992#7 -12156992#6 -12156992#5 -12156992#4 -12156992#3 -12156992#2 -12156992#1 -386547297#1 -424080772#2 -424080772#1 -262962065#1 -262962063 -424080764 -424080768#1 -424080766 -104526265#1 30953497#0 30953497#2 35920555#0.0 35920555#0.75 62203066 43331031.0 43331031.436 42706585#0 42706585#1 30953320 30953320-AddedOffRampEdge 30953315 104526276-AddedOnRampEdge 104526276 51758697#0 51758697#1-AddedOnRampEdge 51758697#1" probability="0.0181818181818182"/&gt;</t>
  </si>
  <si>
    <t xml:space="preserve">    &lt;route id="Router3_112" edges="31909473.0 31909473.857 62634019#1-AddedOnRampEdge 62634019#1 62634019#2.0 62634019#2.242 62634019#3-AddedOnRampEdge 62634019#3 62634019#3-AddedOffRampEdge 30953251#1.0 30953251#1-AddedOffRampEdge 12112003 30953215#1-AddedOnRampEdge 30953215#1 121643865#0 12110705 50715233#0 50715233#0-AddedOffRampEdge 50715233#1.0 62203285#14.24 gneE59.30.0.55 gneE59.30.0.0 gneE59.0.0 gneE59.0.12 62203360#0 12159135 12149408#0 49914077 424767578 43569819 387422128#1 43569827#0 43569827#1 43569827#2 43569827#7 43569848 30953391 424769002 424769005 424769006 424769004 30953396#1 -424769003#1 -424769003#0 -485017374 42706828#0 42706828#2 12182281#0 12182281#3 12182281#5 12182281#6 386995507#4 386995507#5 386995507#6 12152013#1 12152013#2 -12175537#6 -12175537#5 -12175537#4 12182281#9 12182281#10 -388756839#1 -388756839#0 -50033059#4 -50033059#3 -50033059#2 -50033059#1 -50033558#8 -51155368#3 121319046 12188656 -50033558#2 12203859#0 12203859#1 42706831#4 42706831#5 42706831#6 42706874#0 42706874#2 12144152#0 12144152#2 450844953#0 450844953#2 450844953#3 450844947#0 388533142#0 388533142#2 388533142#4 62623926#0 62623926#1 450844950#0 12189453#0.0.0 450844982#0.19 62203497#0 62203497#2 62203497#3 12134479#1 34685684#0 34685684#2 388533143#0 388533143#2 12140627#0 63060729#0 -264253834#2 12156992#4 12156992#5 12156992#6 12156992#7 12156992#8 12156992#9 -12114396#5 -12114396#3 -12114396#1 485017383#0 485017382#0 485017382#1 211575484#0 -12177521#3 -12177521#2 -12177521#1 32121111#12 32121111#14 -12187610#5 -12187610#2 -12187610#1 12150608#0 32121146#2 12117702#9 450844953#0 450844953#2 450844953#3 450844947#0 388533142#0 388533142#2 388533142#4 62623926#0 62623926#1 450844950#0 38502259#0.19 450844933#1 196207110#0 196207110#2" probability="0.0181818181818182"/&gt;</t>
  </si>
  <si>
    <t xml:space="preserve">    &lt;route id="Router3_113" edges="31909473.0 31909473.857 62634019#1-AddedOnRampEdge 62634019#1 62634019#2.0 62634019#2.242 62634019#3-AddedOnRampEdge 62634019#3 62634019#3-AddedOffRampEdge 30953251#1.0 30953251#1-AddedOffRampEdge 12112003 30953215#1-AddedOnRampEdge 30953215#1 121643865#0 12110705 50715233#0 50715233#0-AddedOffRampEdge 50715233#1.0 62203285#14.24 gneE59.30.0.55 gneE59.30.0.0 gneE59.0.0 gneE59.0.12 62203360#0 12159135 12149408#0 49914077 424767578 43569819 387422128#1 43569827#0 43569827#1 43569827#2 43569827#7 43569848 30953391 424769002 424769005 424769006 424769004 30953396#1 -424769003#1 -424769003#0 -485017374 42706828#0 42706828#2 12182281#0 12182281#3 12182281#5 12182281#6 386995507#4 386995507#5 386995507#6 12152013#1 12152013#2 -12175537#6 -12175537#5 -12175537#4 12182281#9 12182281#10 -388756839#1 -388756839#0 -50033059#4 -50033059#3 -50033059#2 -50033059#1 42706833#0 42706833#2 12189876#0 12189876#2 484953508#1 60185970#0 60185970#2 12149571#1 12187610#3 50033558#2 -12188656 -121319046 -42706825#7 12199713#0 12199713#1 -386995514#6 -386995514#5 -386995514#4 -386995514#3 194358817#0 194358817#1 194358817#2 12114363#0 12114363#1 -50033059#4 12175537#0 12175537#2 12175537#3 12175537#4 12175537#5 12175537#6 12175537#7 12175537#8 12175537#9 12175537#10 12175537#11 12175537#12 12155177#1 12155177#2 387422153#1 gneE73 gneE75.0 gneE80.125" probability="0.0181818181818182"/&gt;</t>
  </si>
  <si>
    <t xml:space="preserve">    &lt;route id="Router3_116" edges="31909473.0 31909473.857 62634019#1-AddedOnRampEdge 62634019#1 62634019#2.0 62634019#2.242 62634019#3-AddedOnRampEdge 62634019#3 62634019#3-AddedOffRampEdge 30953251#1.0 30953251#1-AddedOffRampEdge 12112003 30953215#1-AddedOnRampEdge 30953215#1 121643865#0 12110705 50715233#0 50715233#0-AddedOffRampEdge 50715233#1.0 62203285#14.24 gneE59.30.0.55 gneE59.30.0.0 gneE59.0.0 gneE59.0.12 62203360#0 291433361#0 132508433.0 -gneE6.0 gneE81.299.0 gneE81.299.79 gneE81.299.145 -gneE8 12154353#0 196393941#1 196393941#2 28533986 43539369#2 12178843#2 12178843#3 49960982#2 43569828#0 387422128#1 43569827#0 43569827#1 43569827#2 43569827#7 43569848 30953391 424769002 424769005 424769006 424769004 30953396#1 387422132#0 387422132#1 486653633#0 484953506#3 484953506#4 12157002#0 12157002#1 12157002#3 12157002#5 12114396#4 -12156992#10 -12156992#8 -12156992#7 -12156992#6 -12156992#5 -12156992#4 -12156992#3 -12156992#2 -12156992#1 -386547297#1 -424080772#2 -424080772#1 -262962065#1 -262962063 -424080764 -424080768#1 -424080766 -104526265#1 -262962068#1 -424080774 -32122059#1 -32122059#0 -196393940#2 -196393940#0" probability="0.0181818181818182"/&gt;</t>
  </si>
  <si>
    <t xml:space="preserve">    &lt;route id="Router3_117" edges="31909473.0 31909473.857 62634019#1-AddedOnRampEdge 62634019#1 62634019#2.0 62634019#2.242 62634019#3-AddedOnRampEdge 62634019#3 62634019#3-AddedOffRampEdge 30953251#1.0 30953251#1-AddedOffRampEdge 12112003 30953215#1-AddedOnRampEdge 30953215#1 121643865#0 12110705 50715233#0 50715233#0-AddedOffRampEdge 50715233#1.0 62203285#14.24 gneE59.30.0.55 gneE59.30.0.0 gneE59.0.0 gneE59.0.12 62203360#0 291433361#0 132508433.0 -gneE6.0 gneE81.299.0 gneE81.299.79 gneE81.299.145 -gneE8 12154353#0 196393941#1 196393941#2 28533986 43539369#2 12178843#2 12178843#3 49960982#2 43569828#0 387422128#1 43569827#0 43569827#1 43569827#2 43569827#7 43569848 30953391 424769002 424769005 424769006 424769004 30953396#1 387422132#0 387422132#1 486653633#0 484953506#3 484953506#4 12157002#0 12157002#1 12157002#3 12157002#5 12114396#4 -12156992#10 -12156992#8 -12156992#7 -12156992#6 -12156992#5 -12156992#4 -12156992#3 -12156992#2 -12156992#1 -386547297#1 -424080772#2 -424080772#1 -262962065#1 -262962063 -424080764 -424080768#1 -424080766 -104526265#1 30953497#0 30953497#2 30953497#3 42706585#0 42706585#1 30953320 30953320-AddedOffRampEdge 104526277 30953215#1-AddedOnRampEdge 30953215#1 121643865#0 12110705 50715233#0 50715233#0-AddedOffRampEdge 50715233#1.0 62203285#14.24 gneE59.30.0.55 gneE59.30.0.0 gneE59.0.0 gneE59.0.12 62203360#0 12159135 12149408#0 49914077 424767578 43569819 387422128#1 43569827#0 43569827#1 43569827#2 43569827#7 43569848 30953391 424769002 424769005 424769006 424769004 30953396#1 -424769003#1 -424769003#0 -485017374 42706828#0 42706828#2 12182281#0 12182281#3 12182281#5 12182281#6 386995507#4 386995507#5 386995507#6 12152013#1 12152013#2 -12175537#6 -12175537#5 -12175537#4 12182281#9 12182281#10 -388756839#1 -388756839#0 -50033059#4 -50033059#3 -50033059#2 -50033059#1 -50033558#8 -51155368#3 121319046 12188656 -50033558#2 12203859#0 12203859#1 42706831#4 42706831#5 42706831#6 42706874#0 42706874#2 12144152#0 12144152#2 450844953#0 450844953#2 450844953#3 450844947#0 388533142#0 388533142#2 388533142#4 62623926#0 62623926#1 450844950#0 12189453#0.0.0 450844982#0.19 62203497#0 62203497#2 62203497#3 12134479#1 34685684#0 34685684#2 388533143#0 388533143#2 12140627#0 63060729#0 -264253834#2 12156992#4 12156992#5 12156992#6 12156992#7 12156992#8 12156992#9 -12114396#5 -12114396#3 -12114396#1 485017383#0 485017382#0 485017382#1 211575484#0 -12177521#3 -12177521#2 -12177521#1 32121111#12 32121111#14 -12187610#5 -12187610#2 -12187610#1 12150608#0 32121146#2 12117702#9 450844953#0 450844953#2 450844953#3 450844947#0 388533142#0 388533142#2 388533142#4 62623926#0 62623926#1 450844950#0 38502259#0.19 450844933#1 196207110#0 196207110#2" probability="0.0181818181818182"/&gt;</t>
  </si>
  <si>
    <t xml:space="preserve">    &lt;route id="Router3_118" edges="31909473.0 31909473.857 62634019#1-AddedOnRampEdge 62634019#1 62634019#2.0 62634019#2.242 62634019#3-AddedOnRampEdge 62634019#3 62634019#3-AddedOffRampEdge 30953251#1.0 30953251#1-AddedOffRampEdge 12112003 30953215#1-AddedOnRampEdge 30953215#1 121643865#0 12110705 50715233#0 50715233#0-AddedOffRampEdge 50715233#1.0 62203285#14.24 gneE59.30.0.55 gneE59.30.0.0 gneE59.0.0 gneE59.0.12 62203360#0 291433361#0 132508433.0 -gneE6.0 gneE81.299.0 gneE81.299.79 gneE81.299.145 -gneE8 12154353#0 196393941#1 196393941#2 28533986 43539369#2 12178843#2 12178843#3 49960982#2 43569828#0 387422128#1 43569827#0 43569827#1 43569827#2 43569827#7 43569848 30953391 424769002 424769005 424769006 424769004 30953396#1 387422132#0 387422132#1 486653633#0 484953506#3 484953506#4 12157002#0 12157002#1 12157002#3 12157002#5 12114396#4 -12156992#10 -12156992#8 -12156992#7 -12156992#6 -12156992#5 -12156992#4 -12156992#3 -12156992#2 -12156992#1 -386547297#1 -424080772#2 -424080772#1 -262962065#1 -262962063 -424080764 -424080768#1 -424080766 -104526265#1 30953497#0 30953497#2 30953497#3 42706585#0 42706585#1 30953320 30953320-AddedOffRampEdge 104526277 30953215#1-AddedOnRampEdge 30953215#1 121643865#0 12110705 50715233#0 50715233#0-AddedOffRampEdge 50715233#1.0 62203285#14.24 gneE59.30.0.55 gneE59.30.0.0 gneE59.0.0 gneE59.0.12 62203360#0 12159135 12149408#0 49914077 424767578 43569819 387422128#1 43569827#0 43569827#1 43569827#2 43569827#7 43569848 30953391 424769002 424769005 424769006 424769004 30953396#1 -424769003#1 -424769003#0 -485017374 42706828#0 42706828#2 12182281#0 12182281#3 12182281#5 12182281#6 386995507#4 386995507#5 386995507#6 12152013#1 12152013#2 -12175537#6 -12175537#5 -12175537#4 12182281#9 12182281#10 -388756839#1 -388756839#0 -50033059#4 -50033059#3 -50033059#2 -50033059#1 42706833#0 42706833#2 -42706825#7 12199713#0 12199713#1 -386995514#6 -386995514#5 -386995514#4 -386995514#3 -386995514#2 -386995514#1 12159500#1 12159500#2 51050030#7 gneE35 -gneE34.0 --gneE83.0" probability="0.0181818181818182"/&gt;</t>
  </si>
  <si>
    <t xml:space="preserve">    &lt;route id="Router3_119" edges="31909473.0 31909473.857 62634019#1-AddedOnRampEdge 62634019#1 62634019#2.0 62634019#2.242 62634019#3-AddedOnRampEdge 62634019#3 62634019#3-AddedOffRampEdge 30953251#1.0 30953251#1-AddedOffRampEdge 12112003 30953215#1-AddedOnRampEdge 30953215#1 121643865#0 12110705 50715233#0 50715233#0-AddedOffRampEdge 50715233#1.0 62203285#14.24 gneE59.30.0.55 gneE59.30.0.0 gneE59.0.0 gneE59.0.12 62203360#0 291433361#0 132508433.0 -gneE6.0 gneE81.299.0 gneE81.299.79 gneE81.299.145 -gneE8 12154353#0 196393941#1 196393941#2 28533986 43539369#2 12178843#2 12178843#3 49960982#2 43569828#0 387422128#1 43569827#0 43569827#1 43569827#2 43569827#7 43569848 30953391 424769002 424769005 424769006 424769004 30953396#1 387422132#0 387422132#1 486653633#0 484953506#3 484953506#4 12157002#0 12157002#1 12157002#3 12157002#5 12114396#4 -12156992#10 -12156992#8 -12156992#7 -12156992#6 -12156992#5 -12156992#4 -12156992#3 -12156992#2 -12156992#1 -386547297#1 -424080772#2 -424080772#1 -262962065#1 -262962063 -424080764 -424080768#1 -424080766 -104526265#1 30953497#0 30953497#2 35920555#0.0 35920555#0.75 62203066 43331031.0 43331031.436 42706585#0 42706585#1 30953320 30953320-AddedOffRampEdge 30953315 104526276-AddedOnRampEdge 104526276 51758697#0 51758697#1-AddedOnRampEdge 51758697#1" probability="0.0181818181818182"/&gt;</t>
  </si>
  <si>
    <t xml:space="preserve">    &lt;route id="Router3_125" edges="49887339#0.596 49887339#0-AddedOffRampEdge 12113482 424769007 -424769002 -30953391 -43569848 -43569827#9 -43569827#6 -43569827#1 -43569827#0 28555332 387422130#1 132508717#0 12149210#1 12151897#1 196393941#6 196393941#7 196393941#8 gneE87 196393974#0 388756841#0 49914076#0 12159673#0 12159673#1 393884751 43569848 30953391 12113092 51758697#1-AddedOnRampEdge 51758697#1 -gneE46.0 43357850.4841.18 gneE46 49887339#0.596 49887339#0-AddedOffRampEdge 49887339#1 49887339#1-AddedOffRampEdge 104524021 104524021-AddedOffRampEdge 50192637#0 50192637#1-AddedOnRampEdge 50192637#1.0.0 50192637#1.0.382.0.0 50192637#1.697 50192637#1-AddedOffRampEdge 30953181#1 30953181#2-AddedOnRampEdge 30953181#2 30953181#3-AddedOnRampEdge 30953181#3 30953181#3-AddedOffRampEdge 30952933#1.0 30952933#1.199" probability="0.0181818181818182"/&gt;</t>
  </si>
  <si>
    <t xml:space="preserve">    &lt;route id="Router3_126" edges="49887339#0.596 49887339#0-AddedOffRampEdge 12113482 424769007 -424769002 -30953391 -43569848 -43569827#9 -43569827#6 -43569827#1 -43569827#0 28555332 387422130#1 132508717#0 12149210#1 12151897#1 196393941#6 196393941#7 196393941#8 gneE87 196393974#0 388756841#0 49914076#0 12159673#0 12159673#1 393884751 43569848 30953391 424769002 424769005 424769006 424769004 30953396#1 -424769003#1 -424769003#0 -485017374 42706828#0 42706828#2 12182281#0 12185366#7 12185366#9 387422145#0 12157718#7 12157718#9 12157718#10 12157718#12 485017381#1 -30953396#1 -30953396#0 -424769006 -424769005 -424769002 -30953391 -43569848 -393884751 12159702 424764853 12149178#0 50189796 50189564 12149178#2 145605533#0 145605533#1-AddedOnRampEdge 145605533#1 145605511#1-AddedOnRampEdge 145605511#12 145605511#1.148" probability="0.0181818181818182"/&gt;</t>
  </si>
  <si>
    <t xml:space="preserve">    &lt;route id="Router3_130" edges="49887339#0.596 49887339#0-AddedOffRampEdge 12113482 424769007 -424769002 -30953391 -43569848 -43569827#9 -43569827#6 -43569827#1 -43569827#0 28555332 43569816#0 49914076#0 12167196#0.0.0 424764853 43539372 424764852 12149417#0 12149417#2 12159135 291433360#0 388756841#0 49914076#0 12111949#0 43539384#1.0 424764853 43539372 12167183.0 gneE82 gneE56 gneE54.0 gneE62.13 gneE81.0 gneE6.0 424765883 43539378#0.15 43539378#1 43569848 30953391 12113092 51758697#1-AddedOnRampEdge 51758697#1" probability="0.0181818181818182"/&gt;</t>
  </si>
  <si>
    <t xml:space="preserve">    &lt;route id="Router3_137" edges="49887339#0.596 49887339#0-AddedOffRampEdge 49887339#1 49887339#1-AddedOffRampEdge 104524021 104524021-AddedOffRampEdge 12158873 121643865#0 12110705 50715233#0 50715233#0-AddedOffRampEdge 50715233#1.0 62203285#14.24 gneE59.30.0.55 gneE59.30.0.0 43539373#0.0.292.17 gneE58 gneE56 gneE54.0 62203360#0 291433361#0 132508433.0 -gneE6.0 gneE6.0 424765883 43539378#0.15 132508717#5 196393974#0 49914077 424767578 387422130#1 132508717#0 12149210#1 12151897#1 196393941#6 196393941#7 196393941#8 gneE87 196393974#0 388756841#0 49914076#0 12159673#0 12159673#1 393884751 43569848 30953391 12113092 51758697#1-AddedOnRampEdge 51758697#1" probability="0.0181818181818182"/&gt;</t>
  </si>
  <si>
    <t xml:space="preserve">    &lt;route id="Router3_138" edges="49887339#0.596 49887339#0-AddedOffRampEdge 49887339#1 49887339#1-AddedOffRampEdge 104524021 104524021-AddedOffRampEdge 12158873 121643865#0 12110705 50715233#0 50715233#0-AddedOffRampEdge 50715233#1.0 62203285#14.24 gneE59.30.0.55 gneE59.30.0.0 43539373#0.0.292.17 gneE58 gneE56 gneE54.0 62203360#0 291433361#0 132508433.0 -gneE6.0 gneE6.0 424765883 43570920#0.22 132508717#4 43539378#1 43569848 30953391 12113092 51758697#1-AddedOnRampEdge 51758697#1" probability="0.0181818181818182"/&gt;</t>
  </si>
  <si>
    <t xml:space="preserve">    &lt;route id="Router3_142" edges="49887339#0.596 49887339#0-AddedOffRampEdge 49887339#1 49887339#1-AddedOffRampEdge 104524021 104524021-AddedOffRampEdge 12158873 121643865#0 12110705 50715233#0 50715233#0-AddedOffRampEdge 50715233#1.0 62203285#14.24 gneE59.30.0.55 gneE59.30.0.0 gneE59.0.0 gneE59.0.12 62203360#0 12159135 291433360#0 388756841#0 49914076#0 12111949#0 43539384#1.0 424764853 43539372 12167183.0 gneE82 gneE56 gneE54.0 gneE62.13 gneE81.0 gneE6.0 424765883 43539378#0.15 43539378#1 43569848 30953391 12113092 51758697#1-AddedOnRampEdge 51758697#1" probability="0.0181818181818182"/&gt;</t>
  </si>
  <si>
    <t xml:space="preserve">    &lt;route id="Router3_143" edges="49887339#0.596 49887339#0-AddedOffRampEdge 49887339#1 49887339#1-AddedOffRampEdge 104524021 104524021-AddedOffRampEdge 12158873 121643865#0 12110705 50715233#0 50715233#0-AddedOffRampEdge 50715233#1.0 62203285#14.24 gneE59.30.0.55 gneE59.30.0.0 gneE59.0.0 gneE59.0.12 62203360#0 291433361#0 132508433.0 -gneE6.0 gneE81.299.0 gneE81.299.79 gneE81.299.145 -gneE8 12154353#0 196393941#1 196393941#2 28533986 43539369#2 12178843#2 12178843#3 49960982#2 43569828#0 387422128#1 43569827#0 43569827#1 43569827#2 43569827#7 43569848 30953391 424769002 424769005 424769006 424769004 30953396#1 387422132#0 387422132#1 486653633#0 484953506#3 484953506#4 12157002#0 12157002#1 12157002#3 12157002#5 12114396#4 -12156992#10 -12156992#8 -12156992#7 -12156992#6 -12156992#5 -12156992#4 -12156992#3 -12156992#2 -12156992#1 -386547297#1 -424080772#2 -424080772#1 -262962065#1 -262962063 -424080764 -424080768#1 -424080766 -104526265#1 -262962068#1 -424080774 -32122059#1 -32122059#0 -196393940#2 -196393940#0" probability="0.0181818181818182"/&gt;</t>
  </si>
  <si>
    <t xml:space="preserve">    &lt;route id="Router3_144" edges="49887339#0.596 49887339#0-AddedOffRampEdge 49887339#1 49887339#1-AddedOffRampEdge 104524021 104524021-AddedOffRampEdge 12158873 121643865#0 12110705 50715233#0 50715233#0-AddedOffRampEdge 50715233#1.0 62203285#14.24 gneE59.30.0.55 gneE59.30.0.0 gneE59.0.0 gneE59.0.12 62203360#0 291433361#0 132508433.0 -gneE6.0 gneE81.299.0 gneE81.299.79 gneE81.299.145 -gneE8 12154353#0 196393941#1 196393941#2 28533986 43539369#2 12178843#2 12178843#3 49960982#2 43569828#0 387422128#1 43569827#0 43569827#1 43569827#2 43569827#7 43569848 30953391 424769002 424769005 424769006 424769004 30953396#1 387422132#0 387422132#1 486653633#0 484953506#3 484953506#4 12157002#0 12157002#1 12157002#3 12157002#5 12114396#4 -12156992#10 -12156992#8 -12156992#7 -12156992#6 -12156992#5 -12156992#4 -12156992#3 -12156992#2 -12156992#1 -386547297#1 -424080772#2 -424080772#1 -262962065#1 -262962063 -424080764 -424080768#1 -424080766 -104526265#1 30953497#0 30953497#2 30953497#3 42706585#0 42706585#1 30953320 30953320-AddedOffRampEdge 104526277 30953215#1-AddedOnRampEdge 30953215#1 121643865#0 12110705 50715233#0 50715233#0-AddedOffRampEdge 50715233#1.0 62203285#14.24 gneE59.30.0.55 gneE59.30.0.0 43539373#0.0.292.17 gneE58 gneE56 gneE54.0 62203360#0 291433361#0 132508433.0 -gneE6.0 gneE6.0 424765883 43539378#0.15 132508717#5 196393974#0 49914077 424767578 387422130#1 132508717#0 12149210#1 12151897#1 196393941#6 196393941#7 196393941#8 gneE87 196393974#0 388756841#0 49914076#0 12159673#0 12159673#1 393884751 43569848 30953391 12113092 51758697#1-AddedOnRampEdge 51758697#1 -gneE46.0 43357850.4841.18 gneE46 49887339#0.596 49887339#0-AddedOffRampEdge 49887339#1 49887339#1-AddedOffRampEdge 104524021 104524021-AddedOffRampEdge 50192637#0 50192637#1-AddedOnRampEdge 50192637#1.0.0 50192637#1.0.382.0.0 50192637#1.697 50192637#1-AddedOffRampEdge 30953181#1 30953181#2-AddedOnRampEdge 30953181#2 30953181#3-AddedOnRampEdge 30953181#3 30953181#3-AddedOffRampEdge 30952933#1.0 30952933#1.199" probability="0.0181818181818182"/&gt;</t>
  </si>
  <si>
    <t xml:space="preserve">    &lt;route id="Router3_145" edges="49887339#0.596 49887339#0-AddedOffRampEdge 49887339#1 49887339#1-AddedOffRampEdge 104524021 104524021-AddedOffRampEdge 12158873 121643865#0 12110705 50715233#0 50715233#0-AddedOffRampEdge 50715233#1.0 62203285#14.24 gneE59.30.0.55 gneE59.30.0.0 gneE59.0.0 gneE59.0.12 62203360#0 291433361#0 132508433.0 -gneE6.0 gneE81.299.0 gneE81.299.79 gneE81.299.145 -gneE8 12154353#0 196393941#1 196393941#2 28533986 43539369#2 12178843#2 12178843#3 49960982#2 43569828#0 387422128#1 43569827#0 43569827#1 43569827#2 43569827#7 43569848 30953391 424769002 424769005 424769006 424769004 30953396#1 387422132#0 387422132#1 486653633#0 484953506#3 484953506#4 12157002#0 12157002#1 12157002#3 12157002#5 12114396#4 -12156992#10 -12156992#8 -12156992#7 -12156992#6 -12156992#5 -12156992#4 -12156992#3 -12156992#2 -12156992#1 -386547297#1 -424080772#2 -424080772#1 -262962065#1 -262962063 -424080764 -424080768#1 -424080766 -104526265#1 30953497#0 30953497#2 35920555#0.0 35920555#0.75 62203066 43331031.0 43331031.436 42706585#0 42706585#1 30953320 30953320-AddedOffRampEdge 30953315 104526276-AddedOnRampEdge 104526276 51758697#0 51758697#1-AddedOnRampEdge 51758697#1" probability="0.0181818181818182"/&gt;</t>
  </si>
  <si>
    <t xml:space="preserve">    &lt;route id="Router3_146" edges="49887339#0.596 49887339#0-AddedOffRampEdge 49887339#1 49887339#1-AddedOffRampEdge 104524021 104524021-AddedOffRampEdge 12158873 121643865#0 12110705 50715233#0 50715233#0-AddedOffRampEdge 50715233#1.0 62203285#14.24 gneE59.30.0.55 gneE59.30.0.0 gneE59.0.0 gneE59.0.12 62203360#0 291433361#0 132508433.0 -gneE6.0 gneE81.299.0 gneE81.299.79 gneE81.299.145 -gneE8 12154353#0 196393941#1 196393941#2 28533986 43539369#2 12178843#2 12178843#3 49960982#2 43569828#0 387422128#1 43569827#0 43569827#1 43569827#2 43569827#7 43569848 30953391 424769002 424769005 424769006 424769004 30953396#1 387422132#0 387422132#1 486653633#0 484953506#3 484953506#4 424769003#0 424769003#1 387422132#0 387422132#1 388756840 12202537#1 12202537#2 12202537#3 485017368 485017367#0 12185366#0 12178852#0 12178852#1 386995495#0 386995495#1 -386995507#7 -386995507#6 -386995507#5 -386995507#4 -386995507#3 310315797#0 310315797#1 386995479#3 12182281#5 12182281#6 12182281#7 12182281#8 -12175537#3 12138978 12201597#2 12114363#1 -50033059#4 12175537#0 12175537#2 12175537#3 12175537#4 12162659#2 12159485 12161358#7 12161358#8 386995507#6 386995507#7 386995521#0 386995521#1 12154359#3 12154359#4 12154359#5 12154359#6 12154359#7 101350669 -386995537 -386995526#1 -386995526#0 -43357814#3 12175537#8 12175537#9 12154359#6 386995531#1 386995531#2 387422150#2 12175537#12 12155177#1 386995531#4 12172918#2 gneE73 gneE75.0 gneE80.125" probability="0.0181818181818182"/&gt;</t>
  </si>
  <si>
    <t>&lt;route id="Router3_147"edges="49887339#0.596 49887339#0-AddedOffRampEdge 49887339#1 49887339#1-AddedOffRampEdge 104524021 104524021-AddedOffRampEdge 12158873 121643865#0 12110705 50715233#0 50715233#0-AddedOffRampEdge 50715233#1.0 62203285#14.24 gneE59.30.0.55 gneE59.30.0.0 gneE59.0.0 gneE59.0.12 62203360#0 291433361#0 132508433.0 -gneE6.0 gneE81.299.0 gneE81.299.79 gneE81.299.145 -gneE8 12154353#0 196393941#1 196393941#2 28533986 43539369#2 12178843#2 12178843#3 49960982#2 43569828#0 387422128#1 43569827#0 43569827#1 43569827#2 43569827#7 43569848 30953391 424769002 424769005 424769006 424769004 30953396#1 387422132#0 387422132#1 486653633#0 484953506#3 484953506#4 424769003#0 424769003#1 387422132#0 387422132#1 388756840 12202537#1 12202537#2 12202537#3 485017368 485017367#0 12185366#0 12178852#0 12178852#1 386995495#0 386995495#1 -386995507#7 -386995507#6 -386995507#5 -386995507#4 -386995507#3 310315797#0 310315797#1 386995479#3 12182281#5 12182281#6 12182281#7 12182281#8 -12175537#3 12138978 12201597#2 12114363#1 -50033059#4 12175537#0 12175537#2 12175537#3 12175537#4 12162659#2 12159485 12161358#7 12161358#8 386995507#6 386995507#7 386995521#0 386995521#1 12154359#3 12154359#4 12154359#5 12154359#6 12154359#7 101350669 -386995537 -386995526#1 -386995526#0 -43357814#3 12175537#8 12175537#9 12175537#10 12175537#11 12175537#12 12155177#1 386995531#4 12172918#2 gneE73 gneE75.0 gneE80.125"/&gt;" probability="0.0181818181818182"/&gt;</t>
  </si>
  <si>
    <t xml:space="preserve">    &lt;route id="Router3_148" edges="49887339#0.596 49887339#0-AddedOffRampEdge 49887339#1 49887339#1-AddedOffRampEdge 104524021 104524021-AddedOffRampEdge 12158873 121643865#0 12110705 50715233#0 50715233#0-AddedOffRampEdge 50715233#1.0 62203285#14.24 gneE59.30.0.55 gneE59.30.0.0 gneE59.0.0 gneE59.0.12 62203360#0 291433361#0 132508433.0 -gneE6.0 gneE81.299.0 gneE81.299.79 gneE81.299.145 -gneE8 12154353#0 196393941#1 196393941#2 28533986 43539369#2 12178843#2 12178843#3 49960982#2 43569828#0 387422128#1 43569827#0 43569827#1 43569827#2 43569827#7 43569848 30953391 424769002 424769005 424769006 424769004 30953396#1 387422132#0 387422132#1 486653633#0 484953506#3 484953506#4 424769003#0 424769003#1 387422132#0 387422132#1 388756840 12202537#1 12202537#2 12202537#3 485017368 485017367#0 12185366#0 12178852#0 12178852#1 386995495#0 386995495#1 -386995507#7 -386995507#6 -386995507#5 -386995507#4 -386995507#3 310315797#0 310315797#1 386995479#3 12182281#5 12182281#6 12182281#7 12182281#8 -12175537#3 12138978 12201597#2 12114363#1 -50033059#4 12175537#0 12175537#2 12175537#3 12175537#4 12175537#5 12175537#6 12175537#7 -43357814#2 42706837#4 42706837#5 42706837#6 42706837#7 42706837#8 12155177#0 12175537#13 12172918#1 12172918#2 gneE73 gneE75.0 gneE80.125" probability="0.0181818181818182"/&gt;</t>
  </si>
  <si>
    <t xml:space="preserve">    &lt;route id="Router3_149" edges="49887339#0.596 49887339#0-AddedOffRampEdge 49887339#1 49887339#1-AddedOffRampEdge 104524021 104524021-AddedOffRampEdge 12158873 121643865#0 12110705 50715233#0 50715233#0-AddedOffRampEdge 50715233#1.0 62203285#14.24 gneE59.30.0.55 gneE59.30.0.0 gneE59.0.0 gneE59.0.12 62203360#0 291433361#0 132508433.0 -gneE6.0 gneE81.299.0 gneE81.299.79 gneE81.299.145 -gneE8 12154353#0 196393941#1 196393941#2 28533986 43539369#2 12178843#2 12178843#3 49960982#2 43569828#0 387422128#1 43569827#0 43569827#1 43569827#2 43569827#7 43569848 30953391 424769002 424769005 424769006 424769004 30953396#1 387422132#0 387422132#1 486653633#0 484953506#3 484953506#4 424769003#0 424769003#1 387422132#0 387422132#1 388756840 12202537#1 12202537#2 12202537#3 485017368 485017367#0 12185366#0 12178852#0 12178852#1 386995495#0 386995495#1 -386995507#7 -386995507#6 -386995507#5 -386995507#4 -386995507#3 310315797#0 310315797#1 386995479#3 12182281#5 12182281#6 12182281#7 12182281#8 -12175537#3 12138978 12201597#2 12114363#1 -50033059#4 12175537#0 12175537#2 12175537#3 12175537#4 12175537#5 12175537#6 12175537#7 -43357814#2 42706837#4 42706837#5 42706837#6 42706837#7 42706837#8 42706837#9 12172918#0 12172918#1 12172918#2 gneE73 gneE75.0 gneE80.125" probability="0.0181818181818182"/&gt;</t>
  </si>
  <si>
    <t xml:space="preserve">    &lt;route id="Router3_150" edges="49887339#0.596 49887339#0-AddedOffRampEdge 49887339#1 49887339#1-AddedOffRampEdge 104524021 104524021-AddedOffRampEdge 12158873 121643865#0 12110705 50715233#0 50715233#0-AddedOffRampEdge 50715233#1.0 62203285#14.24 gneE59.30.0.55 gneE59.30.0.0 gneE59.0.0 gneE59.0.12 62203360#0 291433361#0 132508433.0 -gneE6.0 gneE81.299.0 gneE81.299.79 gneE81.299.145 -gneE8 12154353#0 196393941#1 196393941#2 28533986 43539369#2 12178843#2 12178843#3 49960982#2 43569828#0 387422128#1 43569827#0 43569827#1 43569827#2 43569827#7 43569848 30953391 424769002 424769005 424769006 424769004 30953396#1 387422132#0 387422132#1 486653633#0 484953506#3 484953506#4 424769003#0 424769003#1 387422132#0 387422132#1 388756840 12202537#1 12202537#2 12202537#3 485017368 485017367#0 12185366#0 12178852#0 12178852#1 386995495#0 386995495#1 -386995507#7 -386995507#6 -386995507#5 -386995507#4 -386995507#3 310315797#0 310315797#1 386995479#3 12182281#5 12182281#6 12182281#7 12182281#8 -12175537#3 12138978 12201597#2 12114363#1 -50033059#4 12175537#0 12175537#2 12175537#3 12175537#4 12175537#5 12175537#6 12175537#7 12175537#8 12175537#9 12154359#6 386995531#1 12174155#0 -12175537#10 -12175537#9 -12175537#8 -12175537#7 12152013#3 12167232#3 386995531#0 12154359#7 101350669 -386995537 -386995526#1 -386995526#0 -43357814#3 -43357814#2 42706837#4 42706837#5 42706837#6 42706837#7 42706837#8 42706837#9 12172918#0 12172918#1 12172918#2 gneE73 gneE75.0 gneE80.125" probability="0.0181818181818182"/&gt;</t>
  </si>
  <si>
    <t xml:space="preserve">    &lt;route id="Router3_151" edges="49887339#0.596 49887339#0-AddedOffRampEdge 49887339#1 49887339#1-AddedOffRampEdge 104524021 104524021-AddedOffRampEdge 12158873 121643865#0 12110705 50715233#0 50715233#0-AddedOffRampEdge 50715233#1.0 62203285#14.24 gneE59.30.0.55 gneE59.30.0.0 gneE59.0.0 gneE59.0.12 62203360#0 291433361#0 132508433.0 -gneE6.0 gneE81.299.0 gneE81.299.79 gneE81.299.145 -gneE8 12154353#0 196393941#1 196393941#2 28533986 43539369#2 12178843#2 12178843#3 49960982#2 43569828#0 387422128#1 43569827#0 43569827#1 43569827#2 43569827#7 43569848 30953391 424769002 424769005 424769006 424769004 30953396#1 387422132#0 387422132#1 486653633#0 484953506#3 484953506#4 424769003#0 424769003#1 387422132#0 387422132#1 388756840 12202537#1 12202537#2 12202537#3 485017368 485017367#0 12185366#0 12178852#0 12178852#1 386995495#0 386995495#1 -386995507#7 -386995507#6 -386995507#5 -386995507#4 -386995507#3 310315797#0 310315797#1 386995479#3 12182281#5 12182281#6 12182281#7 12182281#8 -12175537#3 12138978 12201597#2 12114363#1 -50033059#4 12175537#0 12175537#2 12175537#3 12175537#4 12175537#5 12175537#6 12175537#7 12175537#8 12175537#9 12154359#6 386995531#1 12174155#0 -12175537#10 -12175537#9 -12175537#8 -12175537#7 12152013#3 12167232#3 386995531#0 12154359#7 101350669 -386995537 -386995526#1 -386995526#0 -43357814#3 12175537#8 12175537#9 12175537#10 12175537#11 12175537#12 12175537#13 12172918#1 12172918#2 gneE73 gneE75.0 gneE80.125" probability="0.0181818181818182"/&gt;</t>
  </si>
  <si>
    <t xml:space="preserve">    &lt;route id="Router3_152" edges="49887339#0.596 49887339#0-AddedOffRampEdge 49887339#1 49887339#1-AddedOffRampEdge 104524021 104524021-AddedOffRampEdge 12158873 121643865#0 12110705 50715233#0 50715233#0-AddedOffRampEdge 50715233#1.0 62203285#14.24 gneE59.30.0.55 gneE59.30.0.0 gneE59.0.0 gneE59.0.12 62203360#0 291433361#0 132508433.0 -gneE6.0 gneE81.299.0 gneE81.299.79 gneE81.299.145 -gneE8 12154353#0 196393941#1 196393941#2 28533986 43539369#2 12178843#2 12178843#3 49960982#2 43569828#0 387422128#1 43569827#0 43569827#1 43569827#2 43569827#7 43569848 30953391 424769002 424769005 424769006 424769004 30953396#1 387422132#0 387422132#1 486653633#0 484953506#3 484953506#4 424769003#0 424769003#1 387422132#0 387422132#1 388756840 12202537#1 12202537#2 12202537#3 485017368 485017367#0 12185366#0 12178852#0 12178852#1 386995495#0 386995495#1 -386995507#7 -386995507#6 -386995507#5 -386995507#4 -386995507#3 310315797#0 310315797#1 386995479#3 12182281#5 12182281#6 12182281#7 12182281#8 -12175537#3 485017371#0 484953507#1 12182281#8 12182281#9 12167232#0 12167232#1 12167232#2 12152013#4 51050425#4 386995537 386995551 387422150#0 387422150#1 386995531#3 386995531#4 12172918#2 gneE73 gneE75.0 gneE80.125" probability="0.0181818181818182"/&gt;</t>
  </si>
  <si>
    <t xml:space="preserve">    &lt;route id="Router3_153" edges="49887339#0.596 49887339#0-AddedOffRampEdge 49887339#1 49887339#1-AddedOffRampEdge 104524021 104524021-AddedOffRampEdge 12158873 121643865#0 12110705 50715233#0 50715233#0-AddedOffRampEdge 50715233#1.0 62203285#14.24 gneE59.30.0.55 gneE59.30.0.0 gneE59.0.0 gneE59.0.12 62203360#0 291433361#0 132508433.0 -gneE6.0 gneE81.299.0 gneE81.299.79 gneE81.299.145 -gneE8 12154353#0 196393941#1 196393941#2 28533986 43539369#2 12178843#2 12178843#3 49960982#2 43569828#0 387422128#1 43569827#0 43569827#1 43569827#2 43569827#7 43569848 30953391 424769002 424769005 424769006 424769004 30953396#1 387422132#0 387422132#1 486653633#0 484953506#3 484953506#4 424769003#0 424769003#1 387422132#0 387422132#1 388756840 12202537#1 12202537#2 12202537#3 485017368 485017367#0 12185366#0 12178852#0 12178852#1 386995495#0 386995495#1 -386995507#7 -386995507#6 -386995507#5 -386995507#4 -386995507#3 310315797#0 310315797#1 386995479#3 12182281#5 12182281#6 386995507#4 386995507#5 12161358#9 12161358#10 12161358#11 12171305#0 12171305#1 42706797#2 42706797#4.13 42706797#5 387422148#0 387422148#1 12172918#0 12172918#1 12172918#2 gneE73 gneE75.0 gneE80.125" probability="0.0181818181818182"/&gt;</t>
  </si>
  <si>
    <t xml:space="preserve">    &lt;route id="Router3_154" edges="49887339#0.596 49887339#0-AddedOffRampEdge 49887339#1 49887339#1-AddedOffRampEdge 104524021 104524021-AddedOffRampEdge 12158873 121643865#0 12110705 50715233#0 50715233#0-AddedOffRampEdge 50715233#1.0 62203285#14.24 gneE59.30.0.55 gneE59.30.0.0 gneE59.0.0 gneE59.0.12 62203360#0 291433361#0 132508433.0 -gneE6.0 gneE81.299.0 gneE81.299.79 gneE81.299.145 -gneE8 12154353#0 196393941#1 196393941#2 28533986 43539369#2 12178843#2 12178843#3 49960982#2 43569828#0 387422128#1 43569827#0 43569827#1 43569827#2 43569827#7 43569848 30953391 424769002 424769005 424769006 424769004 30953396#1 387422132#0 387422132#1 486653633#0 484953506#3 484953506#4 424769003#0 424769003#1 387422132#0 387422132#1 388756840 12202537#1 12202537#2 12202537#3 485017368 485017367#0 12185366#0 12178852#0 12178852#1 386995495#0 386995495#1 -386995507#7 -386995507#6 -386995507#5 -386995507#4 -386995507#3 310315797#0 310315797#1 386995479#3 12182281#5 12182281#6 386995507#4 386995507#5 386995507#6 386995507#7 386995521#0 386995521#1 386995521#2 386995521#3 387422148#1 12172918#0 -12175537#13 12155177#1 12155177#2 387422153#1 gneE73 gneE75.0 gneE80.125" probability="0.0181818181818182"/&gt;</t>
  </si>
  <si>
    <t xml:space="preserve">    &lt;route id="Router3_155" edges="49887339#0.596 49887339#0-AddedOffRampEdge 49887339#1 49887339#1-AddedOffRampEdge 104524021 104524021-AddedOffRampEdge 12158873 121643865#0 12110705 50715233#0 50715233#0-AddedOffRampEdge 50715233#1.0 62203285#14.24 gneE59.30.0.55 gneE59.30.0.0 gneE59.0.0 gneE59.0.12 62203360#0 291433361#0 132508433.0 -gneE6.0 gneE81.299.0 gneE81.299.79 gneE81.299.145 -gneE8 12154353#0 196393941#1 196393941#2 28533986 43539369#2 12178843#2 12178843#3 49960982#2 43569828#0 387422128#1 43569827#0 43569827#1 43569827#2 43569827#7 43569848 30953391 424769002 424769005 424769006 424769004 30953396#1 387422132#0 387422132#1 486653633#0 484953506#3 484953506#4 424769003#0 424769003#1 387422132#0 387422132#1 388756840 12202537#1 12202537#2 12202537#3 485017368 485017367#0 12185366#0 12178852#0 12178852#1 386995495#0 386995495#1 -386995507#7 -386995507#6 -386995507#5 -386995507#4 -386995507#3 310315797#0 310315797#1 386995479#3 386995479#4 386995479#5 386995479#6 386995490#0.0 12154359#1.20 12154359#2 -386995521#1 -386995521#0 43357814#0 43357814#1 42706837#4 42706837#5 12154359#5 12154359#6 386995531#1 386995531#2 386995531#3 386995531#4 12172918#2 gneE73 gneE75.0 gneE80.125" probability="0.0181818181818182"/&gt;</t>
  </si>
  <si>
    <t xml:space="preserve">    &lt;route id="Router3_156" edges="49887339#0.596 49887339#0-AddedOffRampEdge 49887339#1 49887339#1-AddedOffRampEdge 104524021 104524021-AddedOffRampEdge 12158873 121643865#0 12110705 50715233#0 50715233#0-AddedOffRampEdge 50715233#1.0 62203285#14.24 gneE59.30.0.55 gneE59.30.0.0 gneE59.0.0 gneE59.0.12 62203360#0 291433361#0 132508433.0 -gneE6.0 gneE81.299.0 gneE81.299.79 gneE81.299.145 -gneE8 12154353#0 196393941#1 196393941#2 28533986 43539369#2 12178843#2 12178843#3 49960982#2 43569828#0 387422128#1 43569827#0 43569827#1 43569827#2 43569827#7 43569848 30953391 424769002 424769005 424769006 424769004 30953396#1 387422132#0 387422132#1 486653633#0 484953506#3 484953506#4 424769003#0 424769003#1 387422132#0 387422132#1 388756840 12202537#1 12202537#2 12202537#3 485017368 485017367#0 12185366#0 12178852#0 12178852#1 386995495#0 386995495#1 -386995507#7 -386995507#6 12161358#9 12161358#10 12161358#11 12171305#0 12171305#1 42706797#2 42706797#4.13 42706797#5 387422148#0 387422148#1 12172918#0 12172918#1 12172918#2 gneE73 gneE75.0 gneE80.125" probability="0.0181818181818182"/&gt;</t>
  </si>
  <si>
    <t xml:space="preserve">    &lt;route id="Router3_157" edges="49887339#0.596 49887339#0-AddedOffRampEdge 49887339#1 49887339#1-AddedOffRampEdge 104524021 104524021-AddedOffRampEdge 12158873 121643865#0 12110705 50715233#0 50715233#0-AddedOffRampEdge 50715233#1.0 62203285#14.24 gneE59.30.0.55 gneE59.30.0.0 gneE59.0.0 gneE59.0.12 62203360#0 291433361#0 132508433.0 -gneE6.0 gneE81.299.0 gneE81.299.79 gneE81.299.145 -gneE8 12154353#0 196393941#1 196393941#2 28533986 43539369#2 12178843#2 12178843#3 49960982#2 43569828#0 387422128#1 43569827#0 43569827#1 43569827#2 43569827#7 43569848 30953391 424769002 424769005 424769006 424769004 30953396#1 387422132#0 387422132#1 486653633#0 484953506#3 484953506#4 424769003#0 424769003#1 387422132#0 387422132#1 388756840 12202537#1 12202537#2 12202537#3 485017368 485017367#0 12185366#0 12178852#0 12178852#1 386995495#0 386995495#1 -386995507#7 -386995507#6 12161358#9 12161358#10 386995479#6 386995490#0.0 12154359#1.20 12154359#2 -386995521#1 12172225 32121111#2 32121111#3 12152013#0 12152013#1 12152013#2 12175537#7 -43357814#2 42706837#4 42706837#5 42706837#6 42706837#7 42706837#8 12155177#0 12175537#13 12172918#1 12172918#2 gneE73 gneE75.0 gneE80.125" probability="0.0181818181818182"/&gt;</t>
  </si>
  <si>
    <t xml:space="preserve">    &lt;route id="Router3_158" edges="49887339#0.596 49887339#0-AddedOffRampEdge 49887339#1 49887339#1-AddedOffRampEdge 104524021 104524021-AddedOffRampEdge 12158873 121643865#0 12110705 50715233#0 50715233#0-AddedOffRampEdge 50715233#1.0 62203285#14.24 gneE59.30.0.55 gneE59.30.0.0 gneE59.0.0 gneE59.0.12 62203360#0 291433361#0 132508433.0 -gneE6.0 gneE81.299.0 gneE81.299.79 gneE81.299.145 -gneE8 12154353#0 196393941#1 196393941#2 28533986 43539369#2 12178843#2 12178843#3 49960982#2 43569828#0 387422128#1 43569827#0 43569827#1 43569827#2 43569827#7 43569848 30953391 424769002 424769005 424769006 424769004 30953396#1 387422132#0 387422132#1 486653633#0 484953506#3 484953506#4 424769003#0 424769003#1 387422132#0 387422132#1 388756840 12202537#1 12202537#2 12202537#3 485017368 485017367#0 12185366#0 12178852#0 12178852#1 386995495#0 386995495#1 -386995507#7 -386995507#6 12161358#9 12161358#10 386995479#6 386995490#0.0 12154359#1.20 12154359#2 -386995521#1 12172225 32121111#2 32121111#3 12152013#0 12152013#1 12152013#2 12175537#7 -43357814#2 42706837#4 42706837#5 42706837#6 42706837#7 42706837#8 42706837#9 12172918#0 12172918#1 12172918#2 gneE73 gneE75.0 gneE80.125" probability="0.0181818181818182"/&gt;</t>
  </si>
  <si>
    <t xml:space="preserve">    &lt;route id="Router3_159" edges="49887339#0.596 49887339#0-AddedOffRampEdge 49887339#1 49887339#1-AddedOffRampEdge 104524021 104524021-AddedOffRampEdge 12158873 121643865#0 12110705 50715233#0 50715233#0-AddedOffRampEdge 50715233#1.0 62203285#14.24 gneE59.30.0.55 gneE59.30.0.0 gneE59.0.0 gneE59.0.12 62203360#0 291433361#0 132508433.0 -gneE6.0 gneE81.299.0 gneE81.299.79 gneE81.299.145 -gneE8 12154353#0 196393941#1 196393941#2 28533986 43539369#2 12178843#2 12178843#3 49960982#2 43569828#0 387422128#1 43569827#0 43569827#1 43569827#2 43569827#7 43569848 30953391 424769002 424769005 424769006 424769004 30953396#1 387422132#0 387422132#1 486653633#0 484953506#3 484953506#4 424769003#0 424769003#1 387422132#0 387422132#1 388756840 12202537#1 12202537#2 12202537#3 485017368 485017367#0 12185366#0 12178852#0 12178852#1 386995495#0 386995495#1 -386995507#7 -386995507#6 12161358#9 12161358#10 386995479#6 386995490#0.0 12154359#1.20 32121111#1 32121111#2 32121111#3 12152013#0 12152013#1 12152013#2 12175537#7 -43357814#2 42706837#4 42706837#5 42706837#6 42706837#7 42706837#8 12155177#0 12175537#13 12172918#1 12172918#2 gneE73 gneE75.0 gneE80.125" probability="0.0181818181818182"/&gt;</t>
  </si>
  <si>
    <t xml:space="preserve">    &lt;route id="Router3_160" edges="49887339#0.596 49887339#0-AddedOffRampEdge 49887339#1 49887339#1-AddedOffRampEdge 104524021 104524021-AddedOffRampEdge 12158873 121643865#0 12110705 50715233#0 50715233#0-AddedOffRampEdge 50715233#1.0 62203285#14.24 gneE59.30.0.55 gneE59.30.0.0 gneE59.0.0 gneE59.0.12 62203360#0 291433361#0 132508433.0 -gneE6.0 gneE81.299.0 gneE81.299.79 gneE81.299.145 -gneE8 12154353#0 196393941#1 196393941#2 28533986 43539369#2 12178843#2 12178843#3 49960982#2 43569828#0 387422128#1 43569827#0 43569827#1 43569827#2 43569827#7 43569848 30953391 424769002 424769005 424769006 424769004 30953396#1 387422132#0 387422132#1 486653633#0 484953506#3 484953506#4 424769003#0 424769003#1 387422132#0 387422132#1 388756840 12202537#1 12202537#2 12202537#3 485017368 485017367#0 12185366#0 12178852#0 12178852#1 386995495#0 386995495#1 -386995507#7 -386995507#6 12161358#9 12161358#10 386995479#6 386995490#0.0 12154359#1.20 32121111#1 32121111#2 32121111#3 12152013#0 12152013#1 12152013#2 12175537#7 12175537#8 12175537#9 12175537#10 12175537#11 12175537#12 12155177#1 386995531#4 12172918#2 gneE73 gneE75.0 gneE80.125" probability="0.0181818181818182"/&gt;</t>
  </si>
  <si>
    <t xml:space="preserve">    &lt;route id="Router3_161" edges="49887339#0.596 49887339#0-AddedOffRampEdge 49887339#1 49887339#1-AddedOffRampEdge 104524021 104524021-AddedOffRampEdge 12158873 121643865#0 12110705 50715233#0 50715233#0-AddedOffRampEdge 50715233#1.0 62203285#14.24 gneE59.30.0.55 gneE59.30.0.0 gneE59.0.0 gneE59.0.12 62203360#0 291433361#0 132508433.0 -gneE6.0 gneE81.299.0 gneE81.299.79 gneE81.299.145 -gneE8 12154353#0 196393941#1 196393941#2 28533986 43539369#2 12178843#2 12178843#3 49960982#2 43569828#0 387422128#1 43569827#0 43569827#1 43569827#2 43569827#7 43569848 30953391 424769002 424769005 424769006 424769004 30953396#1 387422132#0 387422132#1 486653633#0 484953506#3 484953506#4 424769003#0 424769003#1 387422132#0 387422132#1 388756840 12202537#1 43357813 484953506#1 484953506#2 486653633#1 486653633#2 486653633#3 12182281#0 12182281#3 386995479#4 386995479#5 12161358#11 12171305#0 12171305#1 42706797#2 42706797#4.13 42706797#5 387422148#0 387422148#1 12172918#0 12172918#1 12172918#2 gneE73 gneE75.0 gneE80.125" probability="0.0181818181818182"/&gt;</t>
  </si>
  <si>
    <t xml:space="preserve">    &lt;route id="Router3_165" edges="62203360#0 291433361#0 132508433.0 -gneE6.0 gneE6.0 424765883 43539378#0.15 132508717#5 196393974#0 49914077 424767578 387422130#1 132508717#0 12149210#1 12151897#1 196393941#6 196393941#7 196393941#8 gneE87 196393974#0 388756841#0 49914076#0 12159673#0 12159673#1 393884751 43569848 30953391 12113092 51758697#1-AddedOnRampEdge 51758697#1" probability="0.0181818181818182"/&gt;</t>
  </si>
  <si>
    <t xml:space="preserve">    &lt;route id="Router3_166" edges="62203360#0 291433361#0 132508433.0 -gneE6.0 gneE6.0 424765883 43570920#0.22 132508717#4 43539378#1 43569848 30953391 12113092 51758697#1-AddedOnRampEdge 51758697#1" probability="0.0181818181818182"/&gt;</t>
  </si>
  <si>
    <t xml:space="preserve">    &lt;route id="Router3_65" edges="31909473.0 31909473.857 62634019#1-AddedOnRampEdge 62634019#1 30953036 424081476 -424987520 -30953029#1 -30953029#0 -424987519 12169718#0 12169718#1 424804090#0 424804090#1 424804090#2 424804090#3 424804090#4 132508920#2 132508920#3 132508920#4 132508920#5 424080762#0 424080762#1 424080762#2 424080762#3 424080762#4 424080762#5 179915585#2 12171853#2 12198567#4 12198567#5 12152219#0 12152219#1 12152236 132508920#12 132508897#0 132508897#1 132508897#2 132508897#3 394179820#0 394179820#1 394179820#2 394179820#3 394179820#4 196355327#1 196355327#2 196355327#5 196393940#1 196207112#0 32122059#1 424080774 262962068#0.0 104526265#0.14 424080766 424080768#0 104523976#1 262962063 12189051#0 -12189051#1 424080770#0 424080772#0 12119506#0 -12156992#1 -386547297#1 -424080772#2 -424080772#1 -424080761#1 -62623960 62623959#0 386547296#0 386547296#1 424080773#0 279870839#0 279870839#2 450844960#0 62623926#1 450844950#0 38502259#0.19 450844933#1 196207115#0 196207115#2 196207115#3 196355332#0 450844979#0.0 450844982#0.19 62203497#0 62203497#2 62203497#3 12134479#1 34685684#0 34685684#2 388533143#0 388533143#2 12140627#0 63060729#0 -264253834#2 12156992#4 12156992#5 12156992#6 12156992#7 12156992#8 12156992#9 -12114396#5 -12114396#3 -12114396#1 485017383#0 485017382#0 485017382#1 211575484#0 -12177521#3 -12177521#2 -12177521#1 32121111#12 32121111#14 -12187610#5 -12187610#2 -12187610#1 12150608#0 32121146#2 12117702#9 450844953#0 450844953#2 450844953#3 450844947#0 388533142#0 388533142#2 388533142#4 62623926#0 62623926#1 450844950#0 38502259#0.19 450844933#1 196207110#0 196355327#2 196355327#5 -196393940#0" probability="0.0181818181818182"/&gt;</t>
  </si>
  <si>
    <t>&lt;routeDistribution id="SPGDst-Bridge-Over-River-EB-16-RouteProbe"&gt;</t>
  </si>
  <si>
    <t xml:space="preserve">    &lt;route id="Router3_48" edges="196393940#0 62203285#0 62203285#2 62203285#3 62203285#5 42706664#7 42706664#8 12186741#4 12186741#5 12142723#0 12142723#3 12142723#4 12187745 32118649#2 32118649#3 -43538931#1 -43538931#0 196207115#3 196355332#0 450844979#0.0 450844982#0.19 62203497#0 62203497#2 62203497#3 12134479#1 34685684#0 34685684#2 450844947#0 388533142#0 388533142#2 388533142#4 62623926#0 62623926#1 450844950#0 12189453#0.0.0 450844982#0.19 62203497#0 62203497#2 62203497#3 12134479#1 34685684#0 34685684#2 388533143#0 388533143#2 12140627#0 63060729#0 -264253834#2 12156992#4 12156992#5 12156992#6 12156992#7 12156992#8 12156992#9 484953505 12148522#0 485017381#0 485017381#1 -30953396#1 -30953396#0 -424769006 -424769005 -424769002 -30953391 -43569848 -393884751 12159702 424764853 12149178#0 50189796 50189564 12149178#2 145605533#0 145605533#1-AddedOnRampEdge 145605533#1 145605511#1-AddedOnRampEdge 145605511#12 145605511#1.148" probability="0.0555555555555556"/&gt;</t>
  </si>
  <si>
    <t xml:space="preserve">    &lt;route id="Router3_82" edges="31909473.0 31909473.857 62634019#1-AddedOnRampEdge 62634019#1 62634019#2.0 62634019#2.242 62634019#3-AddedOnRampEdge 62634019#3 62634019#3-AddedOffRampEdge 12111747.0 12189453#0.0.0 450844982#0.19 62203497#0 62203497#2 62203497#3 12134479#1 34685684#0 34685684#2 450844947#0 388533142#0 388533142#2 388533142#4 62623926#0 62623926#1 450844950#0 12189453#0.0.0 450844982#0.19 62203497#0 62203497#2 62203497#3 12134479#1 34685684#0 34685684#2 388533143#0 388533143#2 12140627#0 63060729#0 -264253834#2 12156992#4 12156992#5 12156992#6 12156992#7 12156992#8 12156992#9 484953505 12148522#0 -12186058#4 -12186058#1 -386995465#1 -386995504#1 386995479#0 12157718#5 12157718#7 485017376 485017373#0 387422135#0 424769003#0 424769003#1 -30953396#1 -30953396#0 -424769006 -424769005 -424769002 -30953391 -43569848 -393884751 12159702 424764853 12149178#0 50189796 50189564 12149178#2 145605533#0 145605533#1-AddedOnRampEdge 145605533#1 145605511#1-AddedOnRampEdge 145605511#12 145605511#1.148" probability="0.0555555555555556"/&gt;</t>
  </si>
  <si>
    <t xml:space="preserve">    &lt;route id="Router3_93" edges="31909473.0 31909473.857 62634019#1-AddedOnRampEdge 62634019#1 62634019#2.0 62634019#2.242 62634019#3-AddedOnRampEdge 62634019#3 62634019#3-AddedOffRampEdge 12111747.0 59671945#0.30 62093806#0 104526265#0.14 424080766 424080768#0 104523976#1 262962063 12189051#0 -12189051#1 424080770#0 424080772#0 12119506#0 -12156992#1 -386547297#1 -424080772#2 -424080772#1 -424080761#1 -62623960 62623959#0 386547296#0 386547296#1 424080773#0 279870839#0 279870839#2 450844960#0 62623926#1 450844950#0 38502259#0.19 450844933#1 196207115#0 196207115#2 196207115#3 196355332#0 450844979#0.0 450844982#0.19 62203497#0 62203497#2 62203497#3 12134479#1 34685684#0 34685684#2 388533143#0 388533143#2 12140627#0 63060729#0 -264253834#2 12156992#4 12156992#5 12156992#6 12156992#7 12156992#8 12156992#9 484953505 12148522#0 -12186058#4 -12186058#1 -386995465#1 -386995504#1 386995479#0 12157718#5 12157718#7 485017376 485017373#0 387422135#0 424769003#0 424769003#1 -30953396#1 -30953396#0 -424769006 -424769005 -424769002 -30953391 -43569848 -393884751 12159702 424764853 12149178#0 50189796 50189564 12149178#2 145605533#0 145605533#1-AddedOnRampEdge 145605533#1 145605511#1-AddedOnRampEdge 145605511#12 145605511#1.148" probability="0.0555555555555556"/&gt;</t>
  </si>
  <si>
    <t xml:space="preserve">    &lt;route id="Router3_102" edges="31909473.0 31909473.857 62634019#1-AddedOnRampEdge 62634019#1 62634019#2.0 62634019#2.242 62634019#3-AddedOnRampEdge 62634019#3 62634019#3-AddedOffRampEdge 12111747.0 62203498#0 62093806#0 104526265#0.14 424080766 424080768#0 104523976#1 262962063 424080770#0 -424080761#1 -62623960 62623959#0 386547296#0 386547296#1 424080773#0 104523976#1 262962063 424080770#0 424080772#0 424080772#2 386547297#0 424080771#0 424080767#0 386547298#0 424769177 424080769#0 55179414#0 55179413#0 424769182 -450827405#2 -450827400#2 -450827382 -450827385#1 -450827391#1 -450827381 -450827397#1 12180696#0 59435515#1 59435515#2 59435515#3 59435515#4 424801338#1 12117702#0 12117702#4 12117702#7 -32121146#3 12202008#2.0 12202008#2.171 62646499#2 450827424#0 450827405#0 262962062 -55179413#2 12187610#0 12187610#2 12187610#3 -62105579 12186909#0 12186909#1 12186909#2 12186909#4 12186909#6 386995479#0 12157718#5 12157718#7 485017376 485017373#0 387422135#0 424769003#0 424769003#1 -30953396#1 -30953396#0 -424769006 -424769005 -424769002 -30953391 -43569848 -393884751 12159702 424764853 12149178#0 50189796 50189564 12149178#2 145605533#0 145605533#1-AddedOnRampEdge 145605533#1 145605511#1-AddedOnRampEdge 145605511#12 145605511#1.148" probability="0.0555555555555556"/&gt;</t>
  </si>
  <si>
    <t xml:space="preserve">    &lt;route id="Router3_124" edges="49887339#0.596 49887339#0-AddedOffRampEdge 12113482 424769007 -424769002 -30953391 -43569848 -393884751 12159702 424764853 12149178#0 50189796 50189564 12149178#2 145605533#0 145605533#1-AddedOnRampEdge 145605533#1 145605511#1-AddedOnRampEdge 145605511#12 145605511#1.148" probability="0.0555555555555556"/&gt;</t>
  </si>
  <si>
    <t xml:space="preserve">    &lt;route id="Router3_125" edges="49887339#0.596 49887339#0-AddedOffRampEdge 12113482 424769007 -424769002 -30953391 -43569848 -43569827#9 -43569827#6 -43569827#1 -43569827#0 28555332 387422130#1 132508717#0 12149210#1 12151897#1 196393941#6 196393941#7 196393941#8 gneE87 196393974#0 388756841#0 49914076#0 12159673#0 12159673#1 393884751 43569848 30953391 12113092 51758697#1-AddedOnRampEdge 51758697#1 -gneE46.0 43357850.4841.18 gneE46 49887339#0.596 49887339#0-AddedOffRampEdge 49887339#1 49887339#1-AddedOffRampEdge 104524021 104524021-AddedOffRampEdge 50192637#0 50192637#1-AddedOnRampEdge 50192637#1.0.0 50192637#1.0.382.0.0 50192637#1.697 50192637#1-AddedOffRampEdge 30953181#1 30953181#2-AddedOnRampEdge 30953181#2 30953181#3-AddedOnRampEdge 30953181#3 30953181#3-AddedOffRampEdge 30952933#1.0 30952933#1.199" probability="0.0555555555555556"/&gt;</t>
  </si>
  <si>
    <t xml:space="preserve">    &lt;route id="Router3_126" edges="49887339#0.596 49887339#0-AddedOffRampEdge 12113482 424769007 -424769002 -30953391 -43569848 -43569827#9 -43569827#6 -43569827#1 -43569827#0 28555332 387422130#1 132508717#0 12149210#1 12151897#1 196393941#6 196393941#7 196393941#8 gneE87 196393974#0 388756841#0 49914076#0 12159673#0 12159673#1 393884751 43569848 30953391 424769002 424769005 424769006 424769004 30953396#1 -424769003#1 -424769003#0 -485017374 42706828#0 42706828#2 12182281#0 12185366#7 12185366#9 387422145#0 12157718#7 12157718#9 12157718#10 12157718#12 485017381#1 -30953396#1 -30953396#0 -424769006 -424769005 -424769002 -30953391 -43569848 -393884751 12159702 424764853 12149178#0 50189796 50189564 12149178#2 145605533#0 145605533#1-AddedOnRampEdge 145605533#1 145605511#1-AddedOnRampEdge 145605511#12 145605511#1.148" probability="0.0555555555555556"/&gt;</t>
  </si>
  <si>
    <t xml:space="preserve">    &lt;route id="Router3_127" edges="49887339#0.596 49887339#0-AddedOffRampEdge 12113482 424769007 -424769002 -30953391 -43569848 -43569827#9 -43569827#6 -43569827#1 -43569827#0 28555332 43569816#0 49914076#0 12111949#0 43539384#1.0 424764853 12149178#0 12149178#1 12149178#2 50189577 62203295 145605533#1-AddedOnRampEdge 145605533#1 145605511#1-AddedOnRampEdge 145605511#12 145605511#1.148" probability="0.0555555555555556"/&gt;</t>
  </si>
  <si>
    <t xml:space="preserve">    &lt;route id="Router3_128" edges="49887339#0.596 49887339#0-AddedOffRampEdge 12113482 424769007 -424769002 -30953391 -43569848 -43569827#9 -43569827#6 -43569827#1 -43569827#0 28555332 43569816#0 49914076#0 12167196#0.0.0 424764853 12149178#0 12149178#1 12149178#2 145605533#0 145605533#1-AddedOnRampEdge 145605533#1 145605511#1-AddedOnRampEdge 145605511#12 145605511#1.148" probability="0.0555555555555556"/&gt;</t>
  </si>
  <si>
    <t xml:space="preserve">    &lt;route id="Router3_129" edges="49887339#0.596 49887339#0-AddedOffRampEdge 12113482 424769007 -424769002 -30953391 -43569848 -43569827#9 -43569827#6 -43569827#1 -43569827#0 28555332 43569816#0 49914076#0 12167196#0.0.0 424764853 43539372 424764852 12149417#0 12149417#2 12159135 291433360#0 388756841#0 49914076#0 12111949#0 43539384#1.0 424764853 43539372 12167183.0 gneE82 gneE56 gneE54.0 gneE62.13 gneE81.0 gneE6.0 424765883 43539378#0.15 43539378#1 -393884751 12159702 424764853 12149178#0 50189796 50189564 12149178#2 145605533#0 145605533#1-AddedOnRampEdge 145605533#1 145605511#1-AddedOnRampEdge 145605511#12 145605511#1.148" probability="0.0555555555555556"/&gt;</t>
  </si>
  <si>
    <t xml:space="preserve">    &lt;route id="Router3_130" edges="49887339#0.596 49887339#0-AddedOffRampEdge 12113482 424769007 -424769002 -30953391 -43569848 -43569827#9 -43569827#6 -43569827#1 -43569827#0 28555332 43569816#0 49914076#0 12167196#0.0.0 424764853 43539372 424764852 12149417#0 12149417#2 12159135 291433360#0 388756841#0 49914076#0 12111949#0 43539384#1.0 424764853 43539372 12167183.0 gneE82 gneE56 gneE54.0 gneE62.13 gneE81.0 gneE6.0 424765883 43539378#0.15 43539378#1 43569848 30953391 12113092 51758697#1-AddedOnRampEdge 51758697#1" probability="0.0555555555555556"/&gt;</t>
  </si>
  <si>
    <t xml:space="preserve">    &lt;route id="Router3_131" edges="49887339#0.596 49887339#0-AddedOffRampEdge 12113482 424769007 -424769002 -30953391 -43569848 -43569827#9 -43569827#6 -43569827#1 -43569827#0 28555332 43569816#0 49914076#0 12167196#0.0.0 424764853 43539372 43539373#0.0.0 43539373#0.0.292.17 gneE58 gneE56 gneE54.0 gneE62.13 gneE81.0 gneE6.0 424765883 gneE87 196393957 132508433.0 -gneE6.0 gneE81.299.0 gneE81.299.79 gneE81.299.145 12178843#0 12178843#1 43539369#3 43539369#4 43539368#0 43570920#3 43570920#5 404615579 43569828#0 43539397#3 43569816#0 49914076#0 12167196#0.0.0 424764853 12149178#0 12149178#1 12149178#2 50189577 62203295 145605533#1-AddedOnRampEdge 145605533#1 145605511#1-AddedOnRampEdge 145605511#12 145605511#1.148" probability="0.0555555555555556"/&gt;</t>
  </si>
  <si>
    <t xml:space="preserve">    &lt;route id="Router3_136" edges="49887339#0.596 49887339#0-AddedOffRampEdge 12113482 424769007 424769005 424769006 424769004 30953396#1 -30953396#1 30953396#1 -424769003#1 -424769003#0 12157002#0 12157002#1 12157002#3 12157002#5 12114396#4 -12156992#10 -12156992#8 -12156992#7 -12156992#6 -12156992#5 -12156992#4 -12156992#3 -12156992#2 -12156992#1 -386547297#1 -424080772#2 -424080772#1 -262962065#1 -262962063 -424080764 -424080768#1 -424080766 -104526265#1 450844956#2 12189453#0.0.0 450844982#0.19 62203497#0 62203497#2 62203497#3 12134479#1 34685684#0 34685684#2 450844947#0 388533142#0 388533142#2 388533142#4 62623926#0 62623926#1 450844950#0 12189453#0.0.0 450844982#0.19 62203497#0 62203497#2 62203497#3 12134479#1 34685684#0 34685684#2 388533143#0 388533143#2 12140627#0 63060729#0 -264253834#2 12156992#4 12156992#5 12156992#6 12156992#7 12156992#8 12156992#9 484953505 12148522#0 485017381#0 485017381#1 -30953396#1 -30953396#0 -424769006 -424769005 -424769002 -30953391 -43569848 -393884751 12159702 424764853 12149178#0 50189796 50189564 12149178#2 145605533#0 145605533#1-AddedOnRampEdge 145605533#1 145605511#1-AddedOnRampEdge 145605511#12 145605511#1.148" probability="0.0555555555555556"/&gt;</t>
  </si>
  <si>
    <t xml:space="preserve">    &lt;route id="Router3_7" edges="-gneE80.0 -gneE80.17 -gneE41 gneE44 -388756838#2 -388756838#1 -388756838#0 42706817#0 386547310 gneE69 -388756838#2 -388756838#1 -388756838#0 -388756839#1 -388756839#0 -194358837#2 -194358837#0 194358838#0 194358838#1 194358838#2 194358838#3 387422145#0 387422145#3 386995499#0 386995499#2 -51155368#13 -51155368#10 -51155368#7 121319040#0 121319040#1 386995507#0 386995507#1 386995507#2 386995507#3 12182281#7 42706837#0 42706837#1 42706837#2 42706837#3 43357814#2 43357814#3 386995526#0 386995526#1 -51050425#4 -51050425#3 -51050425#2 12162659#0 12162659#1 -12175537#4 -12175537#3 -12175537#2 -12175537#1 -50033059#3 -50033059#2 -386995514#7 -12199713#2 12177498 42706833#2 51155368#0 -50033558#5 -50033558#3 -50033558#2 -62105579 -32121234#1 -32121234#0 42706874#0 42706874#2 55179414#0 55179413#0 424769182 -450827405#2 -450827400#2 -450827382 -450827385#1 -450827391#1 -450827381 -450827397#1 12180696#0 59435515#1 59435515#2 59435515#3 59435515#4 424801338#1 12117702#0 12117702#4 12117702#7 -32121146#3 -32121146#1 -424769197#2 12144152#0 12144152#2 12144152#4 12144152#6 12157151#0 12166276#2 -32121146#5 12117702#9 450844953#0 450844953#2 450844953#3 450844947#0 388533142#0 388533142#2 12189045#0 62623987#0 62623987#1 -12142631 12202018 62623986#1 62623986#2 -12189051#1 -262962063 -424080764 -424080768#1 -424080766 -104526265#1 30953497#0 30953497#2 35920555#0.0 35920555#0.75 62203066 43331031.0 43331031.436 42706585#0 42706585#1 30953320 30953320-AddedOffRampEdge 30953315 104526276-AddedOnRampEdge 104526276 51758697#0 51758697#1-AddedOnRampEdge 51758697#1" probability="0.0555555555555556"/&gt;</t>
  </si>
  <si>
    <t xml:space="preserve">    &lt;route id="Router3_10" edges="-gneE80.0 -gneE80.17 -gneE41 gneE44 -388756838#2 -388756838#1 -388756838#0 42706817#0 386547310 gneE69 -388756838#2 -388756838#1 -388756838#0 -388756839#1 -388756839#0 -194358837#2 -194358837#0 194358838#0 194358838#1 194358838#2 194358838#3 387422145#0 387422145#3 386995499#0 386995499#2 -51155368#13 -51155368#10 -51155368#7 121319040#0 121319040#1 386995507#0 386995507#1 386995507#2 386995507#3 12182281#7 42706837#0 42706837#1 42706837#2 42706837#3 43357814#2 43357814#3 386995526#0 386995526#1 -51050425#4 -51050425#3 -51050425#2 12162659#0 12162659#1 -12175537#4 -12175537#3 -12175537#2 -12175537#1 -50033059#3 -50033059#2 -386995514#7 -12199713#2 12177498 42706833#2 51155368#0 -50033558#5 -50033558#3 -50033558#2 -62105579 -32121234#1 -32121234#0 42706874#0 42706874#2 55179414#0 55179413#0 424769182 -450827405#2 -450827400#2 -450827382 -450827385#1 -450827391#1 -450827381 -450827397#1 12180696#0 59435515#1 59435515#2 59435515#3 59435515#4 424801338#1 12117702#0 12117702#4 12117702#7 -32121146#3 12202008#2.0 12202008#2.171 62646499#2 450827424#0 450827405#0 262962062 -55179413#2 12187610#0 12187610#2 12187610#3 -62105579 12186909#0 12186909#1 12186909#2 12186909#4 12186909#6 386995479#0 12157718#5 12157718#7 485017376 485017373#0 387422135#0 424769003#0 424769003#1 -30953396#1 -30953396#0 -424769006 -424769005 -424769002 -30953391 -43569848 -393884751 12159702 424764853 12149178#0 50189796 50189564 12149178#2 145605533#0 145605533#1-AddedOnRampEdge 145605533#1 145605511#1-AddedOnRampEdge 145605511#12 145605511#1.148" probability="0.0555555555555556"/&gt;</t>
  </si>
  <si>
    <t>&lt;routeDistribution id="676-EB-2010-Sink-RouteProbe"&gt;</t>
  </si>
  <si>
    <t xml:space="preserve">    &lt;route id="Router3_22" edges="-gneE80.0 -gneE80.17 -gneE41 gneE44 -388756838#2 -388756838#1 -388756838#0 42706817#0 386547310 gneE69 -388756838#2 -388756838#1 -388756838#0 -388756839#1 -388756839#0 -194358837#2 -194358837#0 194358838#0 194358838#1 32121111#9 12157718#4 12157718#5 12157718#7 485017376 485017373#0 387422135#0 424769003#0 424769003#1 -30953396#1 -30953396#0 -424769006 -424769005 -424769002 -30953391 -43569848 -393884751 12159702 424764853 12149178#0 50189796 50189564 12149178#2 145605533#0 145605533#1-AddedOnRampEdge 145605533#1 145605511#1-AddedOnRampEdge 145605511#12 145605511#1.148" probability="0.037037037037037"/&gt;</t>
  </si>
  <si>
    <t xml:space="preserve">    &lt;route id="Router3_43" edges="195815883#2 195815883#3 450844975 450844970#0 196355332#0 450844979#0.0 12114109#0.45.0 38502259#0.19 450844933#1 196207115#0 196207115#2 43538931#0 43538931#1 -43538931#1 -43538931#0 196207115#3 196355332#0 450844979#0.0 450844982#0.19 62203497#0 62203497#2 62203497#3 12134479#1 34685684#0 34685684#2 450844947#0 388533142#0 388533142#2 388533142#4 62623926#0 62623926#1 450844950#0 12189453#0.0.0 450844982#0.19 62203497#0 62203497#2 62203497#3 12134479#1 34685684#0 34685684#2 388533143#0 388533143#2 12140627#0 63060729#0 -264253834#2 12156992#4 12156992#5 12156992#6 12156992#7 12156992#8 12156992#9 484953505 12148522#0 485017381#0 485017381#1 -30953396#1 -30953396#0 -424769006 -424769005 -424769002 -30953391 -43569848 -393884751 12159702 424764853 12149178#0 50189796 50189564 12149178#2 145605533#0 145605533#1-AddedOnRampEdge 145605533#1 145605511#1-AddedOnRampEdge 145605511#12 145605511#1.148" probability="0.037037037037037"/&gt;</t>
  </si>
  <si>
    <t xml:space="preserve">    &lt;route id="Router3_48" edges="196393940#0 62203285#0 62203285#2 62203285#3 62203285#5 42706664#7 42706664#8 12186741#4 12186741#5 12142723#0 12142723#3 12142723#4 12187745 32118649#2 32118649#3 -43538931#1 -43538931#0 196207115#3 196355332#0 450844979#0.0 450844982#0.19 62203497#0 62203497#2 62203497#3 12134479#1 34685684#0 34685684#2 450844947#0 388533142#0 388533142#2 388533142#4 62623926#0 62623926#1 450844950#0 12189453#0.0.0 450844982#0.19 62203497#0 62203497#2 62203497#3 12134479#1 34685684#0 34685684#2 388533143#0 388533143#2 12140627#0 63060729#0 -264253834#2 12156992#4 12156992#5 12156992#6 12156992#7 12156992#8 12156992#9 484953505 12148522#0 485017381#0 485017381#1 -30953396#1 -30953396#0 -424769006 -424769005 -424769002 -30953391 -43569848 -393884751 12159702 424764853 12149178#0 50189796 50189564 12149178#2 145605533#0 145605533#1-AddedOnRampEdge 145605533#1 145605511#1-AddedOnRampEdge 145605511#12 145605511#1.148" probability="0.037037037037037"/&gt;</t>
  </si>
  <si>
    <t xml:space="preserve">    &lt;route id="Router3_67" edges="31909473.0 31909473.857 62634019#1-AddedOnRampEdge 62634019#1 30953036 424081476 -424987520 -30953029#1 -30953029#0 -424987519 12169718#0 12169718#1 424804090#0 424804090#1 424804090#2 424804090#3 424804090#4 132508920#2 132508920#3 132508920#4 132508920#5 424080762#0 424080762#1 424080762#2 424080762#3 424080762#4 424080762#5 179915585#2 12171853#2 12198567#4 12198567#5 12152219#0 12152219#1 12152236 132508920#12 132508897#0 132508897#1 132508897#2 132508897#3 394179820#0 394179820#1 394179820#2 394179820#3 394179820#4 196355327#1 196355327#2 196355327#5 196393940#1 196207112#0 32122059#1 424080774 262962068#0.0 30953497#0 30953497#2 30953497#3 42706585#0 42706585#1 30953320 30953320-AddedOffRampEdge 104526277 30953215#1-AddedOnRampEdge 30953215#1 121643865#0 121643865#1 145605511#1-AddedOnRampEdge 145605511#12 145605511#1.148" probability="0.037037037037037"/&gt;</t>
  </si>
  <si>
    <t xml:space="preserve">    &lt;route id="Router3_82" edges="31909473.0 31909473.857 62634019#1-AddedOnRampEdge 62634019#1 62634019#2.0 62634019#2.242 62634019#3-AddedOnRampEdge 62634019#3 62634019#3-AddedOffRampEdge 12111747.0 12189453#0.0.0 450844982#0.19 62203497#0 62203497#2 62203497#3 12134479#1 34685684#0 34685684#2 450844947#0 388533142#0 388533142#2 388533142#4 62623926#0 62623926#1 450844950#0 12189453#0.0.0 450844982#0.19 62203497#0 62203497#2 62203497#3 12134479#1 34685684#0 34685684#2 388533143#0 388533143#2 12140627#0 63060729#0 -264253834#2 12156992#4 12156992#5 12156992#6 12156992#7 12156992#8 12156992#9 484953505 12148522#0 -12186058#4 -12186058#1 -386995465#1 -386995504#1 386995479#0 12157718#5 12157718#7 485017376 485017373#0 387422135#0 424769003#0 424769003#1 -30953396#1 -30953396#0 -424769006 -424769005 -424769002 -30953391 -43569848 -393884751 12159702 424764853 12149178#0 50189796 50189564 12149178#2 145605533#0 145605533#1-AddedOnRampEdge 145605533#1 145605511#1-AddedOnRampEdge 145605511#12 145605511#1.148" probability="0.037037037037037"/&gt;</t>
  </si>
  <si>
    <t xml:space="preserve">    &lt;route id="Router3_88" edges="31909473.0 31909473.857 62634019#1-AddedOnRampEdge 62634019#1 62634019#2.0 62634019#2.242 62634019#3-AddedOnRampEdge 62634019#3 62634019#3-AddedOffRampEdge 12111747.0 59671945#0.30 62093806#0 104526265#0.14 424080766 424080768#0 104523976#1 262962063 12189051#0 -12189051#1 -262962063 -424080764 -424080768#1 -424080766 -104526265#1 30953497#0 30953497#2 30953497#3 42706585#0 42706585#1 30953320 30953320-AddedOffRampEdge 104526277 30953215#1-AddedOnRampEdge 30953215#1 121643865#0 12110705 50715233#0 50715233#0-AddedOffRampEdge 50715233#1.0 62203285#14.24 gneE59.30.0.55 gneE59.30.0.0 43539373#0.0.292.17 gneE58 gneE56 gneE54.0 gneE62.13 gneE81.0 gneE6.0 424765883 gneE87 196393957 132508433.0 -gneE6.0 gneE81.299.0 gneE81.299.79 gneE81.299.145 12178843#0 12178843#1 43539369#3 43539369#4 43539368#0 43570920#3 43570920#5 404615579 43569828#0 43539397#3 43569816#0 49914076#0 12167196#0.0.0 424764853 12149178#0 12149178#1 12149178#2 50189577 62203295 145605533#1-AddedOnRampEdge 145605533#1 145605511#1-AddedOnRampEdge 145605511#12 145605511#1.148" probability="0.037037037037037"/&gt;</t>
  </si>
  <si>
    <t xml:space="preserve">    &lt;route id="Router3_93" edges="31909473.0 31909473.857 62634019#1-AddedOnRampEdge 62634019#1 62634019#2.0 62634019#2.242 62634019#3-AddedOnRampEdge 62634019#3 62634019#3-AddedOffRampEdge 12111747.0 59671945#0.30 62093806#0 104526265#0.14 424080766 424080768#0 104523976#1 262962063 12189051#0 -12189051#1 424080770#0 424080772#0 12119506#0 -12156992#1 -386547297#1 -424080772#2 -424080772#1 -424080761#1 -62623960 62623959#0 386547296#0 386547296#1 424080773#0 279870839#0 279870839#2 450844960#0 62623926#1 450844950#0 38502259#0.19 450844933#1 196207115#0 196207115#2 196207115#3 196355332#0 450844979#0.0 450844982#0.19 62203497#0 62203497#2 62203497#3 12134479#1 34685684#0 34685684#2 388533143#0 388533143#2 12140627#0 63060729#0 -264253834#2 12156992#4 12156992#5 12156992#6 12156992#7 12156992#8 12156992#9 484953505 12148522#0 -12186058#4 -12186058#1 -386995465#1 -386995504#1 386995479#0 12157718#5 12157718#7 485017376 485017373#0 387422135#0 424769003#0 424769003#1 -30953396#1 -30953396#0 -424769006 -424769005 -424769002 -30953391 -43569848 -393884751 12159702 424764853 12149178#0 50189796 50189564 12149178#2 145605533#0 145605533#1-AddedOnRampEdge 145605533#1 145605511#1-AddedOnRampEdge 145605511#12 145605511#1.148" probability="0.037037037037037"/&gt;</t>
  </si>
  <si>
    <t xml:space="preserve">    &lt;route id="Router3_95" edges="31909473.0 31909473.857 62634019#1-AddedOnRampEdge 62634019#1 62634019#2.0 62634019#2.242 62634019#3-AddedOnRampEdge 62634019#3 62634019#3-AddedOffRampEdge 12111747.0 59671945#0.30 62093806#0 104526265#0.14 424080766 424080768#0 104523976#1 262962063 12189051#0 -12189051#1 424080770#0 424080772#0 12119506#0 -12156992#1 -386547297#1 -424080772#2 -424080772#1 -424080761#1 -62623960 62623959#0 386547296#0 386547296#1 424080773#0 279870839#0 279870839#2 450844960#0 62623926#1 450844950#0 38502259#0.19 450844933#1 196207115#0 196207115#2 196207115#3 196355332#0 450844979#0.0 450844982#0.19 62203497#0 62203497#2 62203497#3 12134479#1 34685684#0 34685684#2 388533143#0 388533143#2 12140627#0 63060729#0 -264253834#2 12156992#4 12156992#5 12156992#6 12156992#7 12156992#8 12156992#9 484953505 12148522#0 485017381#0 485017381#1 -30953396#1 30953396#1 -424769003#1 -424769003#0 12157002#0 12157002#1 12157002#3 12157002#5 12114396#4 -12156992#10 -12156992#8 -12156992#7 -12156992#6 -12156992#5 -12156992#4 -12156992#3 -12156992#2 -12156992#1 -386547297#1 -424080772#2 -424080772#1 -262962065#1 -262962063 -424080764 -424080768#1 -424080766 -104526265#1 30953497#0 30953497#2 30953497#3 42706585#0 42706585#1 30953320 30953320-AddedOffRampEdge 104526277 30953215#1-AddedOnRampEdge 30953215#1 121643865#0 12110705 50715233#0 50715233#0-AddedOffRampEdge 50715233#1.0 62203285#14.24 gneE59.30.0.55 gneE59.30.0.0 43539373#0.0.292.17 gneE58 gneE56 gneE54.0 gneE62.13 gneE81.0 gneE6.0 424765883 43539378#0.15 43539378#1 -393884751 12159702 424764853 12149178#0 50189796 50189564 12149178#2 145605533#0 145605533#1-AddedOnRampEdge 145605533#1 145605511#1-AddedOnRampEdge 145605511#12 145605511#1.148" probability="0.037037037037037"/&gt;</t>
  </si>
  <si>
    <t xml:space="preserve">    &lt;route id="Router3_114" edges="31909473.0 31909473.857 62634019#1-AddedOnRampEdge 62634019#1 62634019#2.0 62634019#2.242 62634019#3-AddedOnRampEdge 62634019#3 62634019#3-AddedOffRampEdge 30953251#1.0 30953251#1-AddedOffRampEdge 12112003 30953215#1-AddedOnRampEdge 30953215#1 121643865#0 12110705 50715233#0 50715233#0-AddedOffRampEdge 50715233#1.0 62203285#14.24 gneE59.30.0.55 gneE59.30.0.0 gneE59.0.0 gneE59.0.12 62203360#0 12159135 291433360#0 388756841#0 49914076#0 12111949#0 43539384#1.0 424764853 12149178#0 12149178#1 12149178#2 50189577 62203295 145605533#1-AddedOnRampEdge 145605533#1 145605511#1-AddedOnRampEdge 145605511#12 145605511#1.148" probability="0.037037037037037"/&gt;</t>
  </si>
  <si>
    <t xml:space="preserve">    &lt;route id="Router3_115" edges="31909473.0 31909473.857 62634019#1-AddedOnRampEdge 62634019#1 62634019#2.0 62634019#2.242 62634019#3-AddedOnRampEdge 62634019#3 62634019#3-AddedOffRampEdge 30953251#1.0 30953251#1-AddedOffRampEdge 12112003 30953215#1-AddedOnRampEdge 30953215#1 121643865#0 12110705 50715233#0 50715233#0-AddedOffRampEdge 50715233#1.0 62203285#14.24 gneE59.30.0.55 gneE59.30.0.0 gneE59.0.0 gneE59.0.12 62203360#0 12159135 291433360#0 388756841#0 49914076#0 12111949#0 43539384#1.0 424764853 43539372 12167183.0 gneE82 gneE56 gneE54.0 gneE62.13 gneE81.0 gneE6.0 424765883 43539378#0.15 43539378#1 -393884751 12159702 424764853 12149178#0 50189796 50189564 12149178#2 145605533#0 145605533#1-AddedOnRampEdge 145605533#1 145605511#1-AddedOnRampEdge 145605511#12 145605511#1.148" probability="0.037037037037037"/&gt;</t>
  </si>
  <si>
    <t xml:space="preserve">    &lt;route id="Router3_124" edges="49887339#0.596 49887339#0-AddedOffRampEdge 12113482 424769007 -424769002 -30953391 -43569848 -393884751 12159702 424764853 12149178#0 50189796 50189564 12149178#2 145605533#0 145605533#1-AddedOnRampEdge 145605533#1 145605511#1-AddedOnRampEdge 145605511#12 145605511#1.148" probability="0.037037037037037"/&gt;</t>
  </si>
  <si>
    <t xml:space="preserve">    &lt;route id="Router3_126" edges="49887339#0.596 49887339#0-AddedOffRampEdge 12113482 424769007 -424769002 -30953391 -43569848 -43569827#9 -43569827#6 -43569827#1 -43569827#0 28555332 387422130#1 132508717#0 12149210#1 12151897#1 196393941#6 196393941#7 196393941#8 gneE87 196393974#0 388756841#0 49914076#0 12159673#0 12159673#1 393884751 43569848 30953391 424769002 424769005 424769006 424769004 30953396#1 -424769003#1 -424769003#0 -485017374 42706828#0 42706828#2 12182281#0 12185366#7 12185366#9 387422145#0 12157718#7 12157718#9 12157718#10 12157718#12 485017381#1 -30953396#1 -30953396#0 -424769006 -424769005 -424769002 -30953391 -43569848 -393884751 12159702 424764853 12149178#0 50189796 50189564 12149178#2 145605533#0 145605533#1-AddedOnRampEdge 145605533#1 145605511#1-AddedOnRampEdge 145605511#12 145605511#1.148" probability="0.037037037037037"/&gt;</t>
  </si>
  <si>
    <t xml:space="preserve">    &lt;route id="Router3_127" edges="49887339#0.596 49887339#0-AddedOffRampEdge 12113482 424769007 -424769002 -30953391 -43569848 -43569827#9 -43569827#6 -43569827#1 -43569827#0 28555332 43569816#0 49914076#0 12111949#0 43539384#1.0 424764853 12149178#0 12149178#1 12149178#2 50189577 62203295 145605533#1-AddedOnRampEdge 145605533#1 145605511#1-AddedOnRampEdge 145605511#12 145605511#1.148" probability="0.037037037037037"/&gt;</t>
  </si>
  <si>
    <t xml:space="preserve">    &lt;route id="Router3_128" edges="49887339#0.596 49887339#0-AddedOffRampEdge 12113482 424769007 -424769002 -30953391 -43569848 -43569827#9 -43569827#6 -43569827#1 -43569827#0 28555332 43569816#0 49914076#0 12167196#0.0.0 424764853 12149178#0 12149178#1 12149178#2 145605533#0 145605533#1-AddedOnRampEdge 145605533#1 145605511#1-AddedOnRampEdge 145605511#12 145605511#1.148" probability="0.037037037037037"/&gt;</t>
  </si>
  <si>
    <t xml:space="preserve">    &lt;route id="Router3_129" edges="49887339#0.596 49887339#0-AddedOffRampEdge 12113482 424769007 -424769002 -30953391 -43569848 -43569827#9 -43569827#6 -43569827#1 -43569827#0 28555332 43569816#0 49914076#0 12167196#0.0.0 424764853 43539372 424764852 12149417#0 12149417#2 12159135 291433360#0 388756841#0 49914076#0 12111949#0 43539384#1.0 424764853 43539372 12167183.0 gneE82 gneE56 gneE54.0 gneE62.13 gneE81.0 gneE6.0 424765883 43539378#0.15 43539378#1 -393884751 12159702 424764853 12149178#0 50189796 50189564 12149178#2 145605533#0 145605533#1-AddedOnRampEdge 145605533#1 145605511#1-AddedOnRampEdge 145605511#12 145605511#1.148" probability="0.037037037037037"/&gt;</t>
  </si>
  <si>
    <t xml:space="preserve">    &lt;route id="Router3_131" edges="49887339#0.596 49887339#0-AddedOffRampEdge 12113482 424769007 -424769002 -30953391 -43569848 -43569827#9 -43569827#6 -43569827#1 -43569827#0 28555332 43569816#0 49914076#0 12167196#0.0.0 424764853 43539372 43539373#0.0.0 43539373#0.0.292.17 gneE58 gneE56 gneE54.0 gneE62.13 gneE81.0 gneE6.0 424765883 gneE87 196393957 132508433.0 -gneE6.0 gneE81.299.0 gneE81.299.79 gneE81.299.145 12178843#0 12178843#1 43539369#3 43539369#4 43539368#0 43570920#3 43570920#5 404615579 43569828#0 43539397#3 43569816#0 49914076#0 12167196#0.0.0 424764853 12149178#0 12149178#1 12149178#2 50189577 62203295 145605533#1-AddedOnRampEdge 145605533#1 145605511#1-AddedOnRampEdge 145605511#12 145605511#1.148" probability="0.037037037037037"/&gt;</t>
  </si>
  <si>
    <t xml:space="preserve">    &lt;route id="Router3_136" edges="49887339#0.596 49887339#0-AddedOffRampEdge 12113482 424769007 424769005 424769006 424769004 30953396#1 -30953396#1 30953396#1 -424769003#1 -424769003#0 12157002#0 12157002#1 12157002#3 12157002#5 12114396#4 -12156992#10 -12156992#8 -12156992#7 -12156992#6 -12156992#5 -12156992#4 -12156992#3 -12156992#2 -12156992#1 -386547297#1 -424080772#2 -424080772#1 -262962065#1 -262962063 -424080764 -424080768#1 -424080766 -104526265#1 450844956#2 12189453#0.0.0 450844982#0.19 62203497#0 62203497#2 62203497#3 12134479#1 34685684#0 34685684#2 450844947#0 388533142#0 388533142#2 388533142#4 62623926#0 62623926#1 450844950#0 12189453#0.0.0 450844982#0.19 62203497#0 62203497#2 62203497#3 12134479#1 34685684#0 34685684#2 388533143#0 388533143#2 12140627#0 63060729#0 -264253834#2 12156992#4 12156992#5 12156992#6 12156992#7 12156992#8 12156992#9 484953505 12148522#0 485017381#0 485017381#1 -30953396#1 -30953396#0 -424769006 -424769005 -424769002 -30953391 -43569848 -393884751 12159702 424764853 12149178#0 50189796 50189564 12149178#2 145605533#0 145605533#1-AddedOnRampEdge 145605533#1 145605511#1-AddedOnRampEdge 145605511#12 145605511#1.148" probability="0.037037037037037"/&gt;</t>
  </si>
  <si>
    <t xml:space="preserve">    &lt;route id="Router3_139" edges="49887339#0.596 49887339#0-AddedOffRampEdge 49887339#1 49887339#1-AddedOffRampEdge 104524021 104524021-AddedOffRampEdge 12158873 121643865#0 12110705 50715233#0 50715233#0-AddedOffRampEdge 50715233#1.0 62203285#14.24 gneE59.30.0.55 gneE59.30.0.0 43539373#0.0.292.17 gneE58 gneE56 gneE54.0 gneE62.13 gneE81.0 gneE6.0 424765883 43539378#0.15 43539378#1 -393884751 12159702 424764853 12149178#0 50189796 50189564 12149178#2 145605533#0 145605533#1-AddedOnRampEdge 145605533#1 145605511#1-AddedOnRampEdge 145605511#12 145605511#1.148" probability="0.037037037037037"/&gt;</t>
  </si>
  <si>
    <t xml:space="preserve">    &lt;route id="Router3_140" edges="49887339#0.596 49887339#0-AddedOffRampEdge 49887339#1 49887339#1-AddedOffRampEdge 104524021 104524021-AddedOffRampEdge 12158873 121643865#0 12110705 50715233#0 50715233#0-AddedOffRampEdge 50715233#1.0 62203285#14.24 gneE59.30.0.55 gneE59.30.0.0 43539373#0.0.292.17 gneE58 gneE56 gneE54.0 gneE62.13 gneE81.0 gneE81.299.0 gneE81.299.79 gneE81.299.145 12178843#0 12178843#1 43539369#3 43539369#4 43539368#0 43570920#3 43570920#5 404615579 43569828#0 43539397#3 43569816#0 49914076#0 12167196#0.0.0 424764853 12149178#0 12149178#1 12149178#2 50189577 62203295 145605533#1-AddedOnRampEdge 145605533#1 145605511#1-AddedOnRampEdge 145605511#12 145605511#1.148" probability="0.037037037037037"/&gt;</t>
  </si>
  <si>
    <t xml:space="preserve">    &lt;route id="Router3_141" edges="49887339#0.596 49887339#0-AddedOffRampEdge 49887339#1 49887339#1-AddedOffRampEdge 104524021 104524021-AddedOffRampEdge 12158873 121643865#0 12110705 50715233#0 50715233#0-AddedOffRampEdge 50715233#1.0 62203285#14.24 gneE59.30.0.55 gneE59.30.0.0 gneE59.0.0 gneE59.0.12 62203360#0 12159135 291433360#0 388756841#0 49914076#0 12111949#0 43539384#1.0 424764853 43539372 12167183.0 gneE82 gneE56 gneE54.0 gneE62.13 gneE81.0 gneE6.0 424765883 43539378#0.15 43539378#1 -393884751 12159702 424764853 12149178#0 50189796 50189564 12149178#2 145605533#0 145605533#1-AddedOnRampEdge 145605533#1 145605511#1-AddedOnRampEdge 145605511#12 145605511#1.148" probability="0.037037037037037"/&gt;</t>
  </si>
  <si>
    <t xml:space="preserve">    &lt;route id="Router3_162" edges="49887339#0.596 49887339#0-AddedOffRampEdge 49887339#1 49887339#1-AddedOffRampEdge 104524021 104524021-AddedOffRampEdge 12158873 121643865#0 121643865#1 145605511#1-AddedOnRampEdge 145605511#12 145605511#1.148" probability="0.037037037037037"/&gt;</t>
  </si>
  <si>
    <t xml:space="preserve">    &lt;route id="Router3_164" edges="62203360#0 12159135 291433360#0 388756841#0 49914076#0 12111949#0 43539384#1.0 424764853 43539372 12167183.0 gneE82 gneE56 gneE54.0 gneE62.13 gneE81.0 gneE6.0 424765883 43539378#0.15 43539378#1 -393884751 12159702 424764853 12149178#0 50189796 50189564 12149178#2 145605533#0 145605533#1-AddedOnRampEdge 145605533#1 145605511#1-AddedOnRampEdge 145605511#12 145605511#1.148" probability="0.037037037037037"/&gt;</t>
  </si>
  <si>
    <t xml:space="preserve">    &lt;route id="Router3_1" edges="-gneE80.0 -gneE80.17 -gneE41 gneE44 -388756838#2 -388756838#1 -388756838#0 42706817#0 386547310 gneE69 -388756838#2 -388756838#1 -388756838#0 -388756839#1 -388756839#0 -194358837#2 -194358837#0 194358838#0 194358838#1 194358838#2 194358838#3 387422145#0 387422145#3 386995499#0 386995499#2 -51155368#13 -51155368#10 -51155368#7 121319040#0 121319040#1 386995507#0 386995507#1 386995507#2 386995507#3 12182281#7 42706837#0 42706837#1 42706837#2 42706837#3 43357814#2 43357814#3 386995526#0 386995526#1 -51050425#4 -51050425#3 -51050425#2 12162659#0 12162659#1 -12175537#4 -12175537#3 -12175537#2 -12175537#1 -50033059#3 -50033059#2 -386995514#7 -12199713#2 12177498 42706833#2 51155368#0 -50033558#5 -50033558#3 -50033558#2 -62105579 -32121234#1 -32121234#0 42706874#0 42706874#2 55179414#0 55179413#0 424769182 -450827405#2 -450827400#2 -450827382 -450827385#1 -450827391#1 -450827381 -450827397#1 12180696#0 59435515#1 59435515#2 59435515#3 59435515#4 424801338#1 12117702#0 12117702#4 12117702#7 -32121146#3 12202008#2.0 12202008#2.171 62646499#2 450827424#0 450827405#0 262962062 -55179413#2 12187610#0 12187610#2 12187610#3 -62105579 12186909#0 12186909#1 12186909#2 51155368#11 42706831#0 42706831#4 42706831#5 42706831#6 32121234#0 32121234#1 32121234#2 50033558#2 50033558#3 50033558#4 50033558#6 50033058#0 386995514#9 386995486#0 32121111#11 -12177521#0 -121319040#0 -51155368#5 -50033558#5 -50033558#3 -12188656 -121319046 -42706825#7 -42706825#4 -42706825#3 -42706825#1 194358815 194358817#0 194358817#1 194358817#2 12114363#0 12114363#1 -50033059#4 12175537#0 12175537#2 12175537#3 12175537#4 12175537#5 12175537#6 12175537#7 -43357814#2 42706837#4 42706837#5 42706837#6 42706837#7 42706837#8 42706837#9 12172918#0 12172918#1 12172918#2 gneE73 gneE75.0 gneE80.125" probability="0.037037037037037"/&gt;</t>
  </si>
  <si>
    <t>&lt;routeDistribution id="676-on_ramp-10th-WB-Source-RouteProbe"&gt;</t>
  </si>
  <si>
    <t>&lt;routeDistribution id="Grays-SouthWest-EB-1995-Source-RouteProbe"&gt;</t>
  </si>
  <si>
    <t>&lt;routeDistribution id="BaltiAVe-SB-2014-RouteProbe"&gt;</t>
  </si>
  <si>
    <t>&lt;routeDistribution id="BaltiAVe-NB-2014-RouteProbe"&gt;</t>
  </si>
  <si>
    <t>&lt;routeDistribution id="34st-BRDG-NB-2017-Source-RouteProbe"&gt;</t>
  </si>
  <si>
    <t xml:space="preserve">    &lt;route id="Router3_26" edges="-gneE80.0 -gneE80.17 -gneE41 gneE44 -388756838#2 -388756838#1 -388756838#0 42706817#0 386547310 gneE69 -388756838#2 -388756838#1 -388756838#0 -388756839#1 -388756839#0 -194358837#2 -194358837#0 194358838#0 194358838#1 32121111#9 32121111#10 -386995486#0 -386995514#9 50033058#2 50033058#3 194358837#0 194358837#1 12175533#0 12175533#2 12175533#3 42706825#4 42706825#5 12189876#0 12189876#2 484953509#0 484953509#2 -12175523#1 12134222#0 12134222#2 12134222#3 386547311#11 386547311#13 357338496#0 357338496#2 450695461#0 62646494#0 424801336#0 484842168#0 283621820 -28555309#1 -424801341 -283621822#1 -424801343#1 -424801343#0 49991658 424801340 424801342 386550018#0 386550018#0-AddedOffRampEdge 386550018#1 49991638 -12144161#0 12144161#0 12144161#1 49991657 283621821#1 283621821#1-AddedOffRampEdge 283621821#2 49991647#1 49991647#2 63060732#0 63060732#1 63060732#2.0 63060732#2.116 50033027 -50033029 50033050#0 50033050#2 424799828 424799825 424799826 50033054 63060727 50033029 50033028#0 50033028#3 50033028#5 50033028#6 49991646 386547300#0 283621823 386547301-AddedOnRampEdge 386547301 424801344#0 424801343#1 283621822#0 424801341 28555309#0 49991649#0 424986163#0 51049946#0 424801337#0 357338497#0 357338497#2 450695460#0 62646499#0 62646499#2 450827424#0 62646508#0 62646508#2 424799820 424799823#0 50033059#0 50033059#2 50033059#3 50033059#4 388756839#0 388756839#1 388756838#0 12136923#0 386547309#0 386547309#2 386547309#3 386547309#5 386547309#7 51050030#4 51050030#7 gneE35 -gneE34.0 --gneE83.0" probability="0.0714285714285714"/&gt;</t>
  </si>
  <si>
    <t xml:space="preserve">    &lt;route id="Router3_77" edges="31909473.0 31909473.857 62634019#1-AddedOnRampEdge 62634019#1 62634019#2.0 62634019#2.242 62634019#3-AddedOnRampEdge 62634019#3 62634019#3-AddedOffRampEdge 12111747.0 12189453#0.0.0 450844982#0.19 62203497#0 62203497#2 62203497#3 12134479#1 34685684#0 34685684#2 450844947#0 388533142#0 388533142#2 12189045#0 62623987#0 62623987#1 -12142631 12202018 62623986#1 62623986#2 -12189051#1 424080770#0 424080772#0 424080772#2 386547297#0 424080771#0 424080767#0 386547298#0 424769177 424080769#0 55179414#0 12187610#0 -484953508#2 424801339#0 62646509#0 424801338#0 424801338#1 12117702#0 12117702#4 12117702#7 -32121146#3 -32121146#1 55179413#0 424769182 -450827405#2 -450827400#2 -450827382 -450827385#1 12134222#0 12134222#2 12134222#3 386547311#11 386547311#13 357338496#0 357338496#2 450695461#0 62646494#0 424801336#0 484842168#0 283621820 -28555309#1 -424801341 -283621822#1 -424801343#1 -424801343#0 49991658 424801340 424801342 386550018#0 386550018#0-AddedOffRampEdge 386550018#1 49991638 -12144161#0 12144161#0 12144161#1 49991657 283621821#1 283621821#1-AddedOffRampEdge 283621821#2 49991647#1 49991647#2 63060732#0 63060732#1 63060732#2.0 63060732#2.116 50033027 -50033029 50033050#0 50033050#2 424799828 424799825 424799826 50033054 63060727 50033029 50033028#0 50033028#3 50033028#5 50033028#6 49991646 386547300#0 283621823 386547301-AddedOnRampEdge 386547301 424801344#0 424801343#1 283621822#0 424801341 28555309#0 49991649#0 424986163#0 51049946#0 424801337#0 357338497#0 357338497#2 450695460#0 62646499#0 62646499#2 450827424#0 62646508#0 62646508#2 424799820 424799823#0 50033059#0 50033059#2 50033059#3 50033059#4 388756839#0 388756839#1 388756838#0 12136923#0 386547309#0 386547309#2 386547309#3 386547309#5 386547309#7 51050030#4 51050030#7 gneE35 -gneE34.0 --gneE83.0" probability="0.0714285714285714"/&gt;</t>
  </si>
  <si>
    <t xml:space="preserve">    &lt;route id="Router3_78" edges="31909473.0 31909473.857 62634019#1-AddedOnRampEdge 62634019#1 62634019#2.0 62634019#2.242 62634019#3-AddedOnRampEdge 62634019#3 62634019#3-AddedOffRampEdge 12111747.0 12189453#0.0.0 450844982#0.19 62203497#0 62203497#2 62203497#3 12134479#1 34685684#0 34685684#2 450844947#0 388533142#0 388533142#2 12189045#0 62623987#0 62623987#1 -12142631 12202018 62623986#1 62623986#2 -12189051#1 424080770#0 424080772#0 424080772#2 386547297#0 424080771#0 424080767#0 386547298#0 424769177 424080769#0 55179414#0 12187610#0 -484953508#2 424801339#0 62646509#0 424801338#0 424801338#1 12117702#0 12117702#4 12117702#7 -32121146#3 -32121146#1 55179413#0 424769182 -450827405#2 -450827400#2 -450827382 -450827385#1 12134222#0 12134222#2 12134222#3 386547311#11 386547311#13 357338496#0 357338496#2 450695461#0 62646494#0 424801336#0 484842168#0 283621820 -28555309#1 -424801341 -283621822#1 -424801343#1 -424801343#0 49991658 424801340 424801342 386550018#0 386550018#0-AddedOffRampEdge 386550018#1 49991638 -12144161#0 12144161#0 12144161#1 49991657 283621821#1 283621821#1-AddedOffRampEdge 283621821#2 49991647#1 49991647#2 63060732#0 63060732#1 63060732#2.0 63060732#2.116 50033027 -50033029 50033050#0 50033050#2 424799828 424799825 424799826 50033054 63060727 50033029 50033028#0 50033028#3 50033028#5 50033028#6 49991646 386547300#0 283621823 386547301-AddedOnRampEdge 386547301 424801344#0 424801343#1 283621822#0 424801341 28555309#0 49991649#0 424986163#0 51049946#0 424801337#0 357338497#0 357338497#2 450695460#0 62646499#0 62646499#2 450827424#0 62646508#0 62646508#2 424799820 424799823#0 50033059#0 50033059#2 50033059#3 50033059#4 388756839#0 388756839#1 388756838#0 12136923#0 386547309#0 386547309#2 386547309#3 386547309#5 484953510#2 42706825#0 42706825#2 42706825#4 42706825#5 424799823#0 42706833#0 42706833#2 -42706825#7 12199713#0 12199713#1 -386995514#6 -386995514#5 -386995514#4 -386995514#3 -386995514#2 -386995514#1 12159500#1 12159500#2 51050030#7 gneE35 -gneE34.0 --gneE83.0" probability="0.0714285714285714"/&gt;</t>
  </si>
  <si>
    <t xml:space="preserve">    &lt;route id="Router3_79" edges="31909473.0 31909473.857 62634019#1-AddedOnRampEdge 62634019#1 62634019#2.0 62634019#2.242 62634019#3-AddedOnRampEdge 62634019#3 62634019#3-AddedOffRampEdge 12111747.0 12189453#0.0.0 450844982#0.19 62203497#0 62203497#2 62203497#3 12134479#1 34685684#0 34685684#2 450844947#0 388533142#0 388533142#2 12189045#0 62623987#0 62623987#1 -12142631 12202018 62623986#1 62623986#2 -12189051#1 424080770#0 424080772#0 424080772#2 386547297#0 424080771#0 424080767#0 386547298#0 424769177 424080769#0 55179414#0 12187610#0 -484953508#2 424801339#0 62646509#0 424801338#0 424801338#1 12117702#0 12117702#4 12117702#7 -32121146#3 -32121146#1 55179413#0 424769182 -450827405#2 -450827400#2 -450827382 -450827385#1 12134222#0 12134222#2 12134222#3 386547311#11 386547311#13 357338496#0 357338496#2 450695461#0 62646494#0 424801336#0 484842168#0 283621820 -28555309#1 -424801341 -283621822#1 -424801343#1 -424801343#0 49991658 424801340 424801342 386550018#0 386550018#0-AddedOffRampEdge 386550018#1 49991638 -12144161#0 12144161#0 12144161#1 49991657 283621821#1 283621821#1-AddedOffRampEdge 283621821#2 49991647#1 49991647#2 63060732#0 63060732#1 63060732#2.0 63060732#2.116 50033027 -50033029 50033050#0 50033050#2 424799828 424799825 424799826 50033054 63060727 50033029 50033028#0 50033028#3 50033028#5 50033028#6 49991646 386547300#0 283621823 386547301-AddedOnRampEdge 386547301 424801344#0 424801343#1 283621822#0 424801341 28555309#0 49991649#0 424986163#0 51049946#0 424801337#0 357338497#0 357338497#2 450695460#0 62646499#0 62646499#2 450827424#0 62646508#0 62646508#2 424799820 424799823#0 50033059#0 50033059#2 50033059#3 50033059#4 388756839#0 388756839#1 388756838#0 12136923#0 386547309#0 386547309#2 386547309#3 386547309#5 484953510#2 42706825#0 42706825#2 42706825#4 42706825#5 424799823#0 42706833#0 42706833#2 12189876#0 12189876#2 484953508#1 60185970#0 60185970#2 12149571#1 12187610#3 50033558#2 50033558#3 50033558#4 50033558#6 50033058#0 386995514#9 386995486#0 32121111#11 -12177521#0 -121319040#0 -51155368#5 -50033558#5 -50033558#3 -12188656 -121319046 -42706825#7 -42706825#4 -42706825#3 -42706825#1 194358815 194358817#0 194358817#1 194358817#2 12114363#0 12114363#1 -50033059#4 12175537#0 12175537#2 485017371#0 484953507#1 12182281#8 12182281#9 12167232#0 12167232#1 12167232#2 12152013#4 51050425#4 386995537 386995551 387422150#0 387422150#1 386995531#3 386995531#4 12172918#2 gneE73 gneE75.0 gneE80.125" probability="0.0714285714285714"/&gt;</t>
  </si>
  <si>
    <t xml:space="preserve">    &lt;route id="Router3_97" edges="31909473.0 31909473.857 62634019#1-AddedOnRampEdge 62634019#1 62634019#2.0 62634019#2.242 62634019#3-AddedOnRampEdge 62634019#3 62634019#3-AddedOffRampEdge 12111747.0 59671945#0.30 62093806#0 104526265#0.14 424080766 424080768#0 104523976#1 262962063 12189051#0 -12189051#1 424080770#0 424080772#0 424080772#2 386547297#0 424080771#0 424080767#0 386547298#0 424769177 424080769#0 55179414#0 12187610#0 -484953508#2 424801339#0 62646509#0 424801338#0 424801338#1 12117702#0 12117702#4 12117702#7 -32121146#3 -32121146#1 55179413#0 424769182 -450827405#2 -450827400#2 -450827382 -450827385#1 12134222#0 12134222#2 12134222#3 386547311#11 386547311#13 357338496#0 357338496#2 450695461#0 62646494#0 424801336#0 484842168#0 283621820 -28555309#1 -424801341 -283621822#1 -424801343#1 -424801343#0 49991658 424801340 424801342 386550018#0 386550018#0-AddedOffRampEdge 386550018#1 49991638 -12144161#0 12144161#0 12144161#1 49991657 283621821#1 283621821#1-AddedOffRampEdge 283621821#2 49991647#1 49991647#2 63060732#0 63060732#1 63060732#2.0 63060732#2.116 50033027 -50033029 50033050#0 50033050#2 424799828 424799825 424799826 50033054 63060727 50033029 50033028#0 50033028#3 50033028#5 50033028#6 49991646 386547300#0 283621823 386547301-AddedOnRampEdge 386547301 424801344#0 424801343#1 283621822#0 424801341 28555309#0 49991649#0 424986163#0 51049946#0 424801337#0 357338497#0 357338497#2 450695460#0 62646499#0 62646499#2 450827424#0 62646508#0 62646508#2 424799820 424799823#0 50033059#0 50033059#2 50033059#3 50033059#4 388756839#0 388756839#1 388756838#0 12136923#0 386547309#0 386547309#2 386547309#3 386547309#5 386547309#7 51050030#4 51050030#7 gneE35 -gneE34.0 --gneE83.0" probability="0.0714285714285714"/&gt;</t>
  </si>
  <si>
    <t xml:space="preserve">    &lt;route id="Router3_98" edges="31909473.0 31909473.857 62634019#1-AddedOnRampEdge 62634019#1 62634019#2.0 62634019#2.242 62634019#3-AddedOnRampEdge 62634019#3 62634019#3-AddedOffRampEdge 12111747.0 59671945#0.30 62093806#0 104526265#0.14 424080766 424080768#0 104523976#1 262962063 12189051#0 -12189051#1 424080770#0 424080772#0 424080772#2 386547297#0 424080771#0 424080767#0 386547298#0 424769177 424080769#0 55179414#0 12187610#0 -484953508#2 424801339#0 62646509#0 424801338#0 424801338#1 357338496#0 357338487#0 -12134222#6 -12134222#4 -12134222#2 -12134222#1 12175523#0 484953509#4 51050030#0 386547309#9 12180696#0 12180696#2 12180696#4 12180696#6 386547306#0 386547306#4 386547306#6 51049745#0 51049745#2 51049745#3 484842179#16.0 62094032#0.9 288513230#0 288513232 484842173 50033030#0 -424801341 -283621822#1 -424801343#1 -424801343#0 49991658 424801340 424801342 386550018#0 386550018#0-AddedOffRampEdge 386550018#1 49991638 -12144161#0 12144161#0 12144161#1 49991657 283621821#1 283621821#1-AddedOffRampEdge 283621821#2 49991647#1 49991647#2 63060732#0 63060732#1 63060732#2.0 63060732#2.116 50033027 -50033029 50033050#0 50033050#2 424799828 424799825 424799826 50033054 63060727 50033029 50033028#0 50033028#3 50033028#5 50033028#6 49991646 386547300#0 283621823 386547301-AddedOnRampEdge 386547301 424801344#0 424801343#1 283621822#0 424801341 28555309#0 49991649#0 424986163#0 51049946#0 424801337#0 357338497#0 357338497#2 450695460#0 62646499#0 62646499#2 450827424#0 62646508#0 62646508#2 424799820 424799823#0 50033059#0 50033059#2 50033059#3 50033059#4 388756839#0 388756839#1 388756838#0 12136923#0 386547309#0 386547309#2 386547309#3 386547309#5 386547309#7 51050030#4 51050030#7 gneE35 -gneE34.0 --gneE83.0" probability="0.0714285714285714"/&gt;</t>
  </si>
  <si>
    <t xml:space="preserve">    &lt;route id="Router3_99" edges="31909473.0 31909473.857 62634019#1-AddedOnRampEdge 62634019#1 62634019#2.0 62634019#2.242 62634019#3-AddedOnRampEdge 62634019#3 62634019#3-AddedOffRampEdge 12111747.0 59671945#0.30 62093806#0 104526265#0.14 424080766 424080768#0 104523976#1 262962063 12189051#0 -12189051#1 424080770#0 424080772#0 424080772#2 386547297#0 424080771#0 424080767#0 386547298#0 424769177 424080769#0 55179414#0 12187610#0 -484953508#2 424801339#0 62646509#0 424801338#0 424801338#1 357338496#0 357338487#0 -12134222#6 -12134222#4 -12134222#2 -12134222#1 12175523#0 484953509#4 51050030#0 386547309#9 12180696#0 12180696#2 386547311#6 386547311#8 386547311#9 -12134222#4 -12134222#2 -12134222#1 12175523#0 484953509#4 51050030#0 386547309#9 12180696#0 12180696#2 12180696#4 12180696#6 386547306#0 386547306#4 386547306#6 51049745#0 51049745#2 51049745#3 484842179#16.0 62094032#0.9 288513230#0 288513232 484842173 50033030#0 -424801341 -283621822#1 -424801343#1 -424801343#0 49991658 424801340 424801342 386550018#0 386550018#0-AddedOffRampEdge 386550018#1 49991638 -12144161#0 12144161#0 12144161#1 49991657 283621821#1 283621821#1-AddedOffRampEdge 283621821#2 49991647#1 49991647#2 63060732#0 63060732#1 63060732#2.0 63060732#2.116 50033027 -50033029 50033050#0 50033050#2 424799828 424799825 424799826 50033054 63060727 50033029 50033028#0 50033028#3 50033028#5 50033028#6 49991646 386547300#0 283621823 386547301-AddedOnRampEdge 386547301 424801344#0 424801343#1 283621822#0 424801341 28555309#0 49991649#0 424986163#0 51049946#0 424801337#0 357338497#0 357338497#2 450695460#0 62646499#0 62646499#2 450827424#0 62646508#0 62646508#2 424799820 424799823#0 50033059#0 50033059#2 50033059#3 50033059#4 388756839#0 388756839#1 388756838#0 12136923#0 386547309#0 386547309#2 386547309#3 386547309#5 386547309#7 51050030#4 51050030#7 gneE35 -gneE34.0 --gneE83.0" probability="0.0714285714285714"/&gt;</t>
  </si>
  <si>
    <t xml:space="preserve">    &lt;route id="Router3_100" edges="31909473.0 31909473.857 62634019#1-AddedOnRampEdge 62634019#1 62634019#2.0 62634019#2.242 62634019#3-AddedOnRampEdge 62634019#3 62634019#3-AddedOffRampEdge 12111747.0 59671945#0.30 62093806#0 104526265#0.14 424080766 424080768#0 104523976#1 262962063 12189051#0 -12189051#1 424080770#0 424080772#0 424080772#2 386547297#0 424080771#0 424080767#0 386547298#0 424769177 424080769#0 55179414#0 12187610#0 -484953508#2 424801339#0 62646509#0 424801338#0 424801338#1 357338496#0 357338487#0 -12134222#6 -12134222#4 -12134222#2 -12134222#1 12175523#0 484953509#4 51050030#0 386547309#9 12180696#0 12180696#2 386547311#6 386547311#8 386547311#9 -12134222#4 -12134222#2 -12134222#1 12175523#0 484953509#4 51050030#0 386547309#9 12180696#0 12180696#2 386547311#6 386547311#8 386547311#9 -12134222#4 -12134222#2 -12134222#1 450827385#0 450827382 450827400#0 62646509#0 424801338#0 424801338#1 12117702#0 12117702#4 12117702#7 -32121146#3 -32121146#1 55179413#0 424769182 -450827405#2 -450827400#2 -450827382 -450827385#1 12134222#0 12134222#2 12134222#3 386547311#11 386547311#13 357338496#0 357338496#2 450695461#0 62646494#0 424801336#0 484842168#0 283621820 -28555309#1 -424801341 -283621822#1 -424801343#1 -424801343#0 49991658 424801340 424801342 386550018#0 386550018#0-AddedOffRampEdge 386550018#1 49991638 -12144161#0 12144161#0 12144161#1 49991657 283621821#1 283621821#1-AddedOffRampEdge 283621821#2 49991647#1 49991647#2 63060732#0 63060732#1 63060732#2.0 63060732#2.116 50033027 -50033029 50033050#0 50033050#2 424799828 424799825 424799826 50033054 63060727 50033029 50033028#0 50033028#3 50033028#5 50033028#6 49991646 386547300#0 283621823 386547301-AddedOnRampEdge 386547301 424801344#0 424801343#1 283621822#0 424801341 28555309#0 49991649#0 424986163#0 51049946#0 424801337#0 357338497#0 357338497#2 450695460#0 62646499#0 62646499#2 450827424#0 62646508#0 62646508#2 424799820 424799823#0 50033059#0 50033059#2 50033059#3 50033059#4 388756839#0 388756839#1 388756838#0 12136923#0 386547309#0 386547309#2 386547309#3 386547309#5 386547309#7 51050030#4 51050030#7 gneE35 -gneE34.0 --gneE83.0" probability="0.0714285714285714"/&gt;</t>
  </si>
  <si>
    <t xml:space="preserve">    &lt;route id="Router3_106" edges="31909473.0 31909473.857 62634019#1-AddedOnRampEdge 62634019#1 62634019#2.0 62634019#2.242 62634019#3-AddedOnRampEdge 62634019#3 62634019#3-AddedOffRampEdge 12111747.0 62203498#0 62093806#0 104526265#0.14 424080766 424080768#0 104523976#1 262962063 424080770#0 424080772#0 424080772#2 386547297#0 424080771#0 424080767#0 386547298#0 424769177 424080769#0 12144152#0 12144152#2 12144152#4 12166276#0 -351053388#2 12144152#7 450844965#0 388533145#0 -12168663#6 -484953513#2 -484953514#2 -284556051#4 -284556051#2 51050278#0.0 gneE16 -12165855#3.1535 386547306#4 386547306#6 51049745#0 51049745#2 51049745#3 484842179#16.0 62094032#0.9 288513230#0 288513232 484842173 50033030#0 -424801341 -283621822#1 -424801343#1 -424801343#0 49991658 424801340 424801342 386550018#0 386550018#0-AddedOffRampEdge 386550018#1 49991638 -12144161#0 12144161#0 12144161#1 49991657 283621821#1 283621821#1-AddedOffRampEdge 283621821#2 49991647#1 49991647#2 63060732#0 63060732#1 63060732#2.0 63060732#2.116 50033027 -50033029 50033050#0 50033050#2 424799828 424799825 424799826 50033054 63060727 50033029 50033028#0 50033028#3 50033028#5 50033028#6 49991646 386547300#0 283621823 386547301-AddedOnRampEdge 386547301 424801344#0 424801343#1 283621822#0 424801341 28555309#0 49991649#0 424986163#0 51049946#0 424801337#0 357338497#0 357338497#2 450695460#0 62646499#0 62646499#2 450827424#0 62646508#0 62646508#2 424799820 424799823#0 50033059#0 50033059#2 50033059#3 50033059#4 388756839#0 388756839#1 388756838#0 12136923#0 386547309#0 386547309#2 386547309#3 386547309#5 386547309#7 51050030#4 51050030#7 gneE35 -gneE34.0 --gneE83.0" probability="0.0714285714285714"/&gt;</t>
  </si>
  <si>
    <t xml:space="preserve">    &lt;route id="Router3_107" edges="31909473.0 31909473.857 62634019#1-AddedOnRampEdge 62634019#1 62634019#2.0 62634019#2.242 62634019#3-AddedOnRampEdge 62634019#3 62634019#3-AddedOffRampEdge 12111747.0 62203498#0 62093806#0 104526265#0.14 424080766 424080768#0 104523976#1 262962063 424080770#0 424080772#0 424080772#2 386547297#0 424080771#0 424080767#0 386547298#0 424769177 424080769#0 12144152#0 12144152#2 12144152#4 12166276#0 -351053388#2 12144152#7 450844965#0 388533145#0 -12168663#6 -484953513#2 -484953514#2 -284556051#4 -284556051#2 51050278#0.0 gneE16 -12165855#3.1535 386547306#4 386547306#6 51049745#0 51049745#2 51049745#3 484842179#16.0 62094032#0.9 288513230#0 288513232 484842173 50033030#0 -424801341 -283621822#1 -424801343#1 -424801343#0 49991658 424801340 424801342 386550018#0 386550018#0-AddedOffRampEdge 386550018#1 49991638 -12144161#0 12144161#0 12144161#1 49991657 283621821#1 283621821#1-AddedOffRampEdge 283621821#2 49991647#1 49991647#2 63060732#0 63060732#1 63060732#2.0 63060732#2.116 50033027 -50033029 50033050#0 50033050#2 424799828 424799825 424799826 50033054 63060727 50033029 50033028#0 50033028#3 50033028#5 50033028#6 49991646 386547300#0 283621823 386547301-AddedOnRampEdge 386547301 424801344#0 424801343#1 283621822#0 424801341 28555309#0 49991649#0 424986163#0 51049946#0 424801337#0 357338497#0 357338497#2 450695460#0 62646499#0 62646499#2 450827424#0 62646508#0 62646508#2 424799820 424799823#0 50033059#0 50033059#2 50033059#3 50033059#4 388756839#0 388756839#1 388756838#0 12136923#0 386547309#0 386547309#2 386547309#3 386547309#5 484953510#2 42706825#0 42706825#2 42706825#4 42706825#5 121319046 12188656 -50033558#2 12203859#0 12203859#1 42706831#4 42706831#5 -12180988#5 63060729#4 63060729#7 63060729#10 -42706823#3 -42706823#1 42706831#0 42706831#4 42706831#5 42706831#6 32121234#0 32121234#1 32121234#2 50033558#2 50033558#3 50033558#4 50033558#6 50033058#0 386995514#9 386995486#0 32121111#11 -12177521#0 -121319040#0 -51155368#5 -50033558#5 -50033558#3 -12188656 -121319046 -42706825#7 -42706825#4 -42706825#3 -42706825#1 194358815 194358817#0 194358817#1 194358817#2 12114363#0 12114363#1 -50033059#4 12175537#0 12175537#2 485017371#0 484953507#1 12182281#8 12182281#9 12167232#0 12167232#1 12167232#2 12152013#4 51050425#4 386995537 386995551 387422150#0 387422150#1 386995531#3 386995531#4 12172918#2 gneE73 gneE75.0 gneE80.125" probability="0.0714285714285714"/&gt;</t>
  </si>
  <si>
    <t xml:space="preserve">    &lt;route id="Router3_23" edges="-gneE80.0 -gneE80.17 -gneE41 gneE44 -388756838#2 -388756838#1 -388756838#0 42706817#0 386547310 gneE69 -388756838#2 -388756838#1 -388756838#0 -388756839#1 -388756839#0 -194358837#2 -194358837#0 194358838#0 194358838#1 32121111#9 32121111#10 -386995486#0 -386995514#9 50033058#2 50033058#3 194358837#0 194358837#1 12175533#0 12175533#2 12175533#3 42706825#4 42706825#5 12189876#0 12189876#2 484953509#0 484953509#2 -12175523#1 12134222#0 12134222#2 12134222#3 386547311#11 386547311#13 357338496#0 357338496#2 450695461#0 62646494#0 424801336#0 484842168#0 283621820 -28555309#1 -424801341 -283621822#1 -424801343#1 -424801343#0 49991658 424801340 424801342 386550018#0 386550018#0-AddedOffRampEdge 386550018#1 49991638 -12144161#0 12144161#0 12144161#1 49991657 283621821#1 283621821#1-AddedOffRampEdge 12122485 49991647#2 63060732#0 63060732#1 63060732#2.0 273888488.10 -12122468#1 -12122468#0 -424081469 -424081473 -424081472 -424987520 -30953029#1 -30953029#0 -424987519 170366765 12173391 12123285#0 12123285#1 12123285#2 12176631 424804090#0 424804090#1 12198567#0 12198567#1 12198567#2 12198567#3 12171853#3 12171853#4 12171853#5 12171853#6 132508920#8 132508920#9 132508920#10 132508920#12 132508983#0 132508983#3 132508983#5 132508740#0 132508740#2 -12165829#1 132508646#0 132508646#2 132508646#3 394179820#0 394179820#1 394179820#2 394179820#3 450844975 450844970#0 196355332#0 450844979#0.0 450844982#0.19 62203497#0 62203497#2 62203497#3 12134479#1 34685684#0 34685684#2 388533143#0 388533143#2 12140627#0 63060729#0 -264253834#2 12156992#4 12156992#5 12156992#6 12156992#7 12156992#8 12156992#9 -12114396#5 -12114396#3 -12114396#1 485017383#0 485017382#0 485017382#1 211575484#0 -12177521#3 -12177521#2 -12177521#1 32121111#12 32121111#14 -12187610#5 -12187610#2 -12187610#1 12150608#0 32121146#2 12117702#9 450844953#0 450844953#2 450844953#3 450844947#0 388533142#0 388533142#2 388533142#4 62623926#0 62623926#1 450844950#0 38502259#0.19 450844933#1 196207110#0 196207110#2" probability="0.0714285714285714"/&gt;</t>
  </si>
  <si>
    <t xml:space="preserve">    &lt;route id="Router3_24" edges="-gneE80.0 -gneE80.17 -gneE41 gneE44 -388756838#2 -388756838#1 -388756838#0 42706817#0 386547310 gneE69 -388756838#2 -388756838#1 -388756838#0 -388756839#1 -388756839#0 -194358837#2 -194358837#0 194358838#0 194358838#1 32121111#9 32121111#10 -386995486#0 -386995514#9 50033058#2 50033058#3 194358837#0 194358837#1 12175533#0 12175533#2 12175533#3 42706825#4 42706825#5 12189876#0 12189876#2 484953509#0 484953509#2 -12175523#1 12134222#0 12134222#2 12134222#3 386547311#11 386547311#13 357338496#0 357338496#2 450695461#0 62646494#0 424801336#0 484842168#0 283621820 -28555309#1 -424801341 -283621822#1 -424801343#1 -424801343#0 49991658 424801340 424801342 386550018#0 386550018#0-AddedOffRampEdge 386550018#1 49991638 -12144161#0 12144161#0 12144161#1 49991657 283621821#1 283621821#1-AddedOffRampEdge 12122485 49991647#2 63060732#0 63060732#1 63060732#2.0 273888488.10 -12122468#1 -12122468#0 -424081469 -424081473 -424081472 -424987520 -30953029#1 -30953029#0 -424987519 170366765 12173391 12123285#0 170366766 -170366765 170366768 30953029#0 30953029#1 424987520 424081472 424081473 424081470 12122468#0 12122468#1 273888485.0 50033027 -50033029 50033050#0 50033055 63060727 50033029 50033028#0 50033028#3 50033028#5 50033028#6 49991646 386547300#0 283621823 386547301-AddedOnRampEdge 386547301 424801344#0 424801343#1 283621822#0 424801341 28555309#0 49991649#0 424986163#0 51049946#0 424801337#0 357338497#0 357338497#2 450695460#0 62646499#0 62646499#2 450827424#0 62646508#0 62646508#2 424799820 424799823#0 50033059#0 50033059#2 50033059#3 50033059#4 388756839#0 388756839#1 388756838#0 12136923#0 386547309#0 386547309#2 386547309#3 386547309#5 386547309#7 51050030#4 51050030#7 gneE35 -gneE34.0 --gneE83.0" probability="0.0714285714285714"/&gt;</t>
  </si>
  <si>
    <t>&lt;routeDistribution id="I-76-EB-2015-Source-RouteProbe"&gt;</t>
  </si>
  <si>
    <t xml:space="preserve">    &lt;route id="Router3_110" edges="31909473.0 31909473.857 62634019#1-AddedOnRampEdge 62634019#1 62634019#2.0 62634019#2.242 62634019#3-AddedOnRampEdge 62634019#3 62634019#3-AddedOffRampEdge 30953251#1.0 30953251#1-AddedOffRampEdge 12112003 30953215#1-AddedOnRampEdge 30953215#1 121643865#0 12110705 50715233#0 50715233#0-AddedOffRampEdge 50715233#1.0 62203285#14.24 30908387 30908366#1-AddedOnRampEdge 30908366#1 121643863 121643862 51758697#0 51758697#1-AddedOnRampEdge 51758697#1 -gneE46.0 43357850.4841.18 gneE46 49887339#0.596 49887339#0-AddedOffRampEdge 49887339#1 49887339#1-AddedOffRampEdge 104524021 104524021-AddedOffRampEdge 50192637#0 50192637#1-AddedOnRampEdge 50192637#1.0.0 50192637#1.0.382.0.0 50192637#1.697 50192637#1-AddedOffRampEdge 30953181#1 30953181#2-AddedOnRampEdge 30953181#2 30953181#3-AddedOnRampEdge 30953181#3 30953181#3-AddedOffRampEdge 30952933#1.0 30952933#1.199" probability="0.0208333333333333"/&gt;</t>
  </si>
  <si>
    <t xml:space="preserve">    &lt;route id="Router3_123" edges="31909473.0 31909473.857 62634019#1-AddedOnRampEdge 62634019#1 62634019#2.0 62634019#2.242 62634019#3-AddedOnRampEdge 62634019#3 62634019#3-AddedOffRampEdge 30953251#1.0 30953251#1-AddedOffRampEdge 30953251#2.0 104526276-AddedOnRampEdge 104526276 51758697#0 51758697#1-AddedOnRampEdge 51758697#1 -gneE46.0 43357850.4841.18 gneE46 49887339#0.596 49887339#0-AddedOffRampEdge 49887339#1 49887339#1-AddedOffRampEdge 104524021 104524021-AddedOffRampEdge 50192637#0 50192637#1-AddedOnRampEdge 50192637#1.0.0 50192637#1.0.382.0.0 50192637#1.697 50192637#1-AddedOffRampEdge 30953181#1 30953181#2-AddedOnRampEdge 30953181#2 30953181#3-AddedOnRampEdge 30953181#3 30953181#3-AddedOffRampEdge 30952933#1.0 30952933#1.199" probability="0.0208333333333333"/&gt;</t>
  </si>
  <si>
    <t xml:space="preserve">    &lt;route id="Router3_124" edges="49887339#0.596 49887339#0-AddedOffRampEdge 12113482 424769007 -424769002 -30953391 -43569848 -393884751 12159702 424764853 12149178#0 50189796 50189564 12149178#2 145605533#0 145605533#1-AddedOnRampEdge 145605533#1 145605511#1-AddedOnRampEdge 145605511#12 145605511#1.148" probability="0.0208333333333333"/&gt;</t>
  </si>
  <si>
    <t xml:space="preserve">    &lt;route id="Router3_125" edges="49887339#0.596 49887339#0-AddedOffRampEdge 12113482 424769007 -424769002 -30953391 -43569848 -43569827#9 -43569827#6 -43569827#1 -43569827#0 28555332 387422130#1 132508717#0 12149210#1 12151897#1 196393941#6 196393941#7 196393941#8 gneE87 196393974#0 388756841#0 49914076#0 12159673#0 12159673#1 393884751 43569848 30953391 12113092 51758697#1-AddedOnRampEdge 51758697#1 -gneE46.0 43357850.4841.18 gneE46 49887339#0.596 49887339#0-AddedOffRampEdge 49887339#1 49887339#1-AddedOffRampEdge 104524021 104524021-AddedOffRampEdge 50192637#0 50192637#1-AddedOnRampEdge 50192637#1.0.0 50192637#1.0.382.0.0 50192637#1.697 50192637#1-AddedOffRampEdge 30953181#1 30953181#2-AddedOnRampEdge 30953181#2 30953181#3-AddedOnRampEdge 30953181#3 30953181#3-AddedOffRampEdge 30952933#1.0 30952933#1.199" probability="0.0208333333333333"/&gt;</t>
  </si>
  <si>
    <t xml:space="preserve">    &lt;route id="Router3_126" edges="49887339#0.596 49887339#0-AddedOffRampEdge 12113482 424769007 -424769002 -30953391 -43569848 -43569827#9 -43569827#6 -43569827#1 -43569827#0 28555332 387422130#1 132508717#0 12149210#1 12151897#1 196393941#6 196393941#7 196393941#8 gneE87 196393974#0 388756841#0 49914076#0 12159673#0 12159673#1 393884751 43569848 30953391 424769002 424769005 424769006 424769004 30953396#1 -424769003#1 -424769003#0 -485017374 42706828#0 42706828#2 12182281#0 12185366#7 12185366#9 387422145#0 12157718#7 12157718#9 12157718#10 12157718#12 485017381#1 -30953396#1 -30953396#0 -424769006 -424769005 -424769002 -30953391 -43569848 -393884751 12159702 424764853 12149178#0 50189796 50189564 12149178#2 145605533#0 145605533#1-AddedOnRampEdge 145605533#1 145605511#1-AddedOnRampEdge 145605511#12 145605511#1.148" probability="0.0208333333333333"/&gt;</t>
  </si>
  <si>
    <t xml:space="preserve">    &lt;route id="Router3_127" edges="49887339#0.596 49887339#0-AddedOffRampEdge 12113482 424769007 -424769002 -30953391 -43569848 -43569827#9 -43569827#6 -43569827#1 -43569827#0 28555332 43569816#0 49914076#0 12111949#0 43539384#1.0 424764853 12149178#0 12149178#1 12149178#2 50189577 62203295 145605533#1-AddedOnRampEdge 145605533#1 145605511#1-AddedOnRampEdge 145605511#12 145605511#1.148" probability="0.0208333333333333"/&gt;</t>
  </si>
  <si>
    <t xml:space="preserve">    &lt;route id="Router3_128" edges="49887339#0.596 49887339#0-AddedOffRampEdge 12113482 424769007 -424769002 -30953391 -43569848 -43569827#9 -43569827#6 -43569827#1 -43569827#0 28555332 43569816#0 49914076#0 12167196#0.0.0 424764853 12149178#0 12149178#1 12149178#2 145605533#0 145605533#1-AddedOnRampEdge 145605533#1 145605511#1-AddedOnRampEdge 145605511#12 145605511#1.148" probability="0.0208333333333333"/&gt;</t>
  </si>
  <si>
    <t xml:space="preserve">    &lt;route id="Router3_129" edges="49887339#0.596 49887339#0-AddedOffRampEdge 12113482 424769007 -424769002 -30953391 -43569848 -43569827#9 -43569827#6 -43569827#1 -43569827#0 28555332 43569816#0 49914076#0 12167196#0.0.0 424764853 43539372 424764852 12149417#0 12149417#2 12159135 291433360#0 388756841#0 49914076#0 12111949#0 43539384#1.0 424764853 43539372 12167183.0 gneE82 gneE56 gneE54.0 gneE62.13 gneE81.0 gneE6.0 424765883 43539378#0.15 43539378#1 -393884751 12159702 424764853 12149178#0 50189796 50189564 12149178#2 145605533#0 145605533#1-AddedOnRampEdge 145605533#1 145605511#1-AddedOnRampEdge 145605511#12 145605511#1.148" probability="0.0208333333333333"/&gt;</t>
  </si>
  <si>
    <t xml:space="preserve">    &lt;route id="Router3_130" edges="49887339#0.596 49887339#0-AddedOffRampEdge 12113482 424769007 -424769002 -30953391 -43569848 -43569827#9 -43569827#6 -43569827#1 -43569827#0 28555332 43569816#0 49914076#0 12167196#0.0.0 424764853 43539372 424764852 12149417#0 12149417#2 12159135 291433360#0 388756841#0 49914076#0 12111949#0 43539384#1.0 424764853 43539372 12167183.0 gneE82 gneE56 gneE54.0 gneE62.13 gneE81.0 gneE6.0 424765883 43539378#0.15 43539378#1 43569848 30953391 12113092 51758697#1-AddedOnRampEdge 51758697#1" probability="0.0208333333333333"/&gt;</t>
  </si>
  <si>
    <t xml:space="preserve">    &lt;route id="Router3_131" edges="49887339#0.596 49887339#0-AddedOffRampEdge 12113482 424769007 -424769002 -30953391 -43569848 -43569827#9 -43569827#6 -43569827#1 -43569827#0 28555332 43569816#0 49914076#0 12167196#0.0.0 424764853 43539372 43539373#0.0.0 43539373#0.0.292.17 gneE58 gneE56 gneE54.0 gneE62.13 gneE81.0 gneE6.0 424765883 gneE87 196393957 132508433.0 -gneE6.0 gneE81.299.0 gneE81.299.79 gneE81.299.145 12178843#0 12178843#1 43539369#3 43539369#4 43539368#0 43570920#3 43570920#5 404615579 43569828#0 43539397#3 43569816#0 49914076#0 12167196#0.0.0 424764853 12149178#0 12149178#1 12149178#2 50189577 62203295 145605533#1-AddedOnRampEdge 145605533#1 145605511#1-AddedOnRampEdge 145605511#12 145605511#1.148" probability="0.0208333333333333"/&gt;</t>
  </si>
  <si>
    <t xml:space="preserve">    &lt;route id="Router3_132" edges="49887339#0.596 49887339#0-AddedOffRampEdge 12113482 424769007 -424769002 12113092 51758697#1-AddedOnRampEdge 51758697#1" probability="0.0208333333333333"/&gt;</t>
  </si>
  <si>
    <t xml:space="preserve">    &lt;route id="Router3_133" edges="49887339#0.596 49887339#0-AddedOffRampEdge 12113482 424769007 424769005 424769006 424769004 30953396#1 -30953396#1 -30953396#0 -424769006 -424769005 -424769002 12113092 51758697#1-AddedOnRampEdge 51758697#1" probability="0.0208333333333333"/&gt;</t>
  </si>
  <si>
    <t xml:space="preserve">    &lt;route id="Router3_134" edges="49887339#0.596 49887339#0-AddedOffRampEdge 12113482 424769007 424769005 424769006 424769004 30953396#1 -30953396#1 30953396#1 -424769003#1 -424769003#0 -485017374 42706828#0 310315797#4 310315797#5 12172067 486653633#2 486653633#3 42706828#4 42706828#6 42706828#7 12152033 12185366#3 12185366#4 12185366#5 12182281#3 386995479#4 386995479#5 12161358#11 12171305#0 12171305#1 42706797#2 42706797#4.13 42706797#5 387422148#0 -386995521#3 -386995521#2 12154359#3 12154359#4 12154359#5 -12175537#9 -12175537#8 -12175537#7 12152013#3 12167232#3 386995531#0 12154359#7 101350669 386995545#0 386995545#2 gneE41 gneE80.0 gneE80.125" probability="0.0208333333333333"/&gt;</t>
  </si>
  <si>
    <t xml:space="preserve">    &lt;route id="Router3_135" edges="49887339#0.596 49887339#0-AddedOffRampEdge 12113482 424769007 424769005 424769006 424769004 30953396#1 -30953396#1 30953396#1 -424769003#1 -424769003#0 12157002#0 12157002#1 12157002#3 12157002#5 12114396#4 -12156992#10 -12156992#8 -12156992#7 -12156992#6 -12156992#5 -12156992#4 -12156992#3 -12156992#2 -12156992#1 -386547297#1 -424080772#2 -424080772#1 -262962065#1 -262962063 -424080764 -424080768#1 -424080766 -104526265#1 -262962068#1 -424080774 -32122059#1 -32122059#0 -196393940#2 -196393940#0" probability="0.0208333333333333"/&gt;</t>
  </si>
  <si>
    <t xml:space="preserve">    &lt;route id="Router3_136" edges="49887339#0.596 49887339#0-AddedOffRampEdge 12113482 424769007 424769005 424769006 424769004 30953396#1 -30953396#1 30953396#1 -424769003#1 -424769003#0 12157002#0 12157002#1 12157002#3 12157002#5 12114396#4 -12156992#10 -12156992#8 -12156992#7 -12156992#6 -12156992#5 -12156992#4 -12156992#3 -12156992#2 -12156992#1 -386547297#1 -424080772#2 -424080772#1 -262962065#1 -262962063 -424080764 -424080768#1 -424080766 -104526265#1 450844956#2 12189453#0.0.0 450844982#0.19 62203497#0 62203497#2 62203497#3 12134479#1 34685684#0 34685684#2 450844947#0 388533142#0 388533142#2 388533142#4 62623926#0 62623926#1 450844950#0 12189453#0.0.0 450844982#0.19 62203497#0 62203497#2 62203497#3 12134479#1 34685684#0 34685684#2 388533143#0 388533143#2 12140627#0 63060729#0 -264253834#2 12156992#4 12156992#5 12156992#6 12156992#7 12156992#8 12156992#9 484953505 12148522#0 485017381#0 485017381#1 -30953396#1 -30953396#0 -424769006 -424769005 -424769002 -30953391 -43569848 -393884751 12159702 424764853 12149178#0 50189796 50189564 12149178#2 145605533#0 145605533#1-AddedOnRampEdge 145605533#1 145605511#1-AddedOnRampEdge 145605511#12 145605511#1.148" probability="0.0208333333333333"/&gt;</t>
  </si>
  <si>
    <t xml:space="preserve">    &lt;route id="Router3_137" edges="49887339#0.596 49887339#0-AddedOffRampEdge 49887339#1 49887339#1-AddedOffRampEdge 104524021 104524021-AddedOffRampEdge 12158873 121643865#0 12110705 50715233#0 50715233#0-AddedOffRampEdge 50715233#1.0 62203285#14.24 gneE59.30.0.55 gneE59.30.0.0 43539373#0.0.292.17 gneE58 gneE56 gneE54.0 62203360#0 291433361#0 132508433.0 -gneE6.0 gneE6.0 424765883 43539378#0.15 132508717#5 196393974#0 49914077 424767578 387422130#1 132508717#0 12149210#1 12151897#1 196393941#6 196393941#7 196393941#8 gneE87 196393974#0 388756841#0 49914076#0 12159673#0 12159673#1 393884751 43569848 30953391 12113092 51758697#1-AddedOnRampEdge 51758697#1" probability="0.0208333333333333"/&gt;</t>
  </si>
  <si>
    <t xml:space="preserve">    &lt;route id="Router3_138" edges="49887339#0.596 49887339#0-AddedOffRampEdge 49887339#1 49887339#1-AddedOffRampEdge 104524021 104524021-AddedOffRampEdge 12158873 121643865#0 12110705 50715233#0 50715233#0-AddedOffRampEdge 50715233#1.0 62203285#14.24 gneE59.30.0.55 gneE59.30.0.0 43539373#0.0.292.17 gneE58 gneE56 gneE54.0 62203360#0 291433361#0 132508433.0 -gneE6.0 gneE6.0 424765883 43570920#0.22 132508717#4 43539378#1 43569848 30953391 12113092 51758697#1-AddedOnRampEdge 51758697#1" probability="0.0208333333333333"/&gt;</t>
  </si>
  <si>
    <t xml:space="preserve">    &lt;route id="Router3_139" edges="49887339#0.596 49887339#0-AddedOffRampEdge 49887339#1 49887339#1-AddedOffRampEdge 104524021 104524021-AddedOffRampEdge 12158873 121643865#0 12110705 50715233#0 50715233#0-AddedOffRampEdge 50715233#1.0 62203285#14.24 gneE59.30.0.55 gneE59.30.0.0 43539373#0.0.292.17 gneE58 gneE56 gneE54.0 gneE62.13 gneE81.0 gneE6.0 424765883 43539378#0.15 43539378#1 -393884751 12159702 424764853 12149178#0 50189796 50189564 12149178#2 145605533#0 145605533#1-AddedOnRampEdge 145605533#1 145605511#1-AddedOnRampEdge 145605511#12 145605511#1.148" probability="0.0208333333333333"/&gt;</t>
  </si>
  <si>
    <t xml:space="preserve">    &lt;route id="Router3_140" edges="49887339#0.596 49887339#0-AddedOffRampEdge 49887339#1 49887339#1-AddedOffRampEdge 104524021 104524021-AddedOffRampEdge 12158873 121643865#0 12110705 50715233#0 50715233#0-AddedOffRampEdge 50715233#1.0 62203285#14.24 gneE59.30.0.55 gneE59.30.0.0 43539373#0.0.292.17 gneE58 gneE56 gneE54.0 gneE62.13 gneE81.0 gneE81.299.0 gneE81.299.79 gneE81.299.145 12178843#0 12178843#1 43539369#3 43539369#4 43539368#0 43570920#3 43570920#5 404615579 43569828#0 43539397#3 43569816#0 49914076#0 12167196#0.0.0 424764853 12149178#0 12149178#1 12149178#2 50189577 62203295 145605533#1-AddedOnRampEdge 145605533#1 145605511#1-AddedOnRampEdge 145605511#12 145605511#1.148" probability="0.0208333333333333"/&gt;</t>
  </si>
  <si>
    <t xml:space="preserve">    &lt;route id="Router3_141" edges="49887339#0.596 49887339#0-AddedOffRampEdge 49887339#1 49887339#1-AddedOffRampEdge 104524021 104524021-AddedOffRampEdge 12158873 121643865#0 12110705 50715233#0 50715233#0-AddedOffRampEdge 50715233#1.0 62203285#14.24 gneE59.30.0.55 gneE59.30.0.0 gneE59.0.0 gneE59.0.12 62203360#0 12159135 291433360#0 388756841#0 49914076#0 12111949#0 43539384#1.0 424764853 43539372 12167183.0 gneE82 gneE56 gneE54.0 gneE62.13 gneE81.0 gneE6.0 424765883 43539378#0.15 43539378#1 -393884751 12159702 424764853 12149178#0 50189796 50189564 12149178#2 145605533#0 145605533#1-AddedOnRampEdge 145605533#1 145605511#1-AddedOnRampEdge 145605511#12 145605511#1.148" probability="0.0208333333333333"/&gt;</t>
  </si>
  <si>
    <t xml:space="preserve">    &lt;route id="Router3_142" edges="49887339#0.596 49887339#0-AddedOffRampEdge 49887339#1 49887339#1-AddedOffRampEdge 104524021 104524021-AddedOffRampEdge 12158873 121643865#0 12110705 50715233#0 50715233#0-AddedOffRampEdge 50715233#1.0 62203285#14.24 gneE59.30.0.55 gneE59.30.0.0 gneE59.0.0 gneE59.0.12 62203360#0 12159135 291433360#0 388756841#0 49914076#0 12111949#0 43539384#1.0 424764853 43539372 12167183.0 gneE82 gneE56 gneE54.0 gneE62.13 gneE81.0 gneE6.0 424765883 43539378#0.15 43539378#1 43569848 30953391 12113092 51758697#1-AddedOnRampEdge 51758697#1" probability="0.0208333333333333"/&gt;</t>
  </si>
  <si>
    <t xml:space="preserve">    &lt;route id="Router3_143" edges="49887339#0.596 49887339#0-AddedOffRampEdge 49887339#1 49887339#1-AddedOffRampEdge 104524021 104524021-AddedOffRampEdge 12158873 121643865#0 12110705 50715233#0 50715233#0-AddedOffRampEdge 50715233#1.0 62203285#14.24 gneE59.30.0.55 gneE59.30.0.0 gneE59.0.0 gneE59.0.12 62203360#0 291433361#0 132508433.0 -gneE6.0 gneE81.299.0 gneE81.299.79 gneE81.299.145 -gneE8 12154353#0 196393941#1 196393941#2 28533986 43539369#2 12178843#2 12178843#3 49960982#2 43569828#0 387422128#1 43569827#0 43569827#1 43569827#2 43569827#7 43569848 30953391 424769002 424769005 424769006 424769004 30953396#1 387422132#0 387422132#1 486653633#0 484953506#3 484953506#4 12157002#0 12157002#1 12157002#3 12157002#5 12114396#4 -12156992#10 -12156992#8 -12156992#7 -12156992#6 -12156992#5 -12156992#4 -12156992#3 -12156992#2 -12156992#1 -386547297#1 -424080772#2 -424080772#1 -262962065#1 -262962063 -424080764 -424080768#1 -424080766 -104526265#1 -262962068#1 -424080774 -32122059#1 -32122059#0 -196393940#2 -196393940#0" probability="0.0208333333333333"/&gt;</t>
  </si>
  <si>
    <t xml:space="preserve">    &lt;route id="Router3_144" edges="49887339#0.596 49887339#0-AddedOffRampEdge 49887339#1 49887339#1-AddedOffRampEdge 104524021 104524021-AddedOffRampEdge 12158873 121643865#0 12110705 50715233#0 50715233#0-AddedOffRampEdge 50715233#1.0 62203285#14.24 gneE59.30.0.55 gneE59.30.0.0 gneE59.0.0 gneE59.0.12 62203360#0 291433361#0 132508433.0 -gneE6.0 gneE81.299.0 gneE81.299.79 gneE81.299.145 -gneE8 12154353#0 196393941#1 196393941#2 28533986 43539369#2 12178843#2 12178843#3 49960982#2 43569828#0 387422128#1 43569827#0 43569827#1 43569827#2 43569827#7 43569848 30953391 424769002 424769005 424769006 424769004 30953396#1 387422132#0 387422132#1 486653633#0 484953506#3 484953506#4 12157002#0 12157002#1 12157002#3 12157002#5 12114396#4 -12156992#10 -12156992#8 -12156992#7 -12156992#6 -12156992#5 -12156992#4 -12156992#3 -12156992#2 -12156992#1 -386547297#1 -424080772#2 -424080772#1 -262962065#1 -262962063 -424080764 -424080768#1 -424080766 -104526265#1 30953497#0 30953497#2 30953497#3 42706585#0 42706585#1 30953320 30953320-AddedOffRampEdge 104526277 30953215#1-AddedOnRampEdge 30953215#1 121643865#0 12110705 50715233#0 50715233#0-AddedOffRampEdge 50715233#1.0 62203285#14.24 gneE59.30.0.55 gneE59.30.0.0 43539373#0.0.292.17 gneE58 gneE56 gneE54.0 62203360#0 291433361#0 132508433.0 -gneE6.0 gneE6.0 424765883 43539378#0.15 132508717#5 196393974#0 49914077 424767578 387422130#1 132508717#0 12149210#1 12151897#1 196393941#6 196393941#7 196393941#8 gneE87 196393974#0 388756841#0 49914076#0 12159673#0 12159673#1 393884751 43569848 30953391 12113092 51758697#1-AddedOnRampEdge 51758697#1 -gneE46.0 43357850.4841.18 gneE46 49887339#0.596 49887339#0-AddedOffRampEdge 49887339#1 49887339#1-AddedOffRampEdge 104524021 104524021-AddedOffRampEdge 50192637#0 50192637#1-AddedOnRampEdge 50192637#1.0.0 50192637#1.0.382.0.0 50192637#1.697 50192637#1-AddedOffRampEdge 30953181#1 30953181#2-AddedOnRampEdge 30953181#2 30953181#3-AddedOnRampEdge 30953181#3 30953181#3-AddedOffRampEdge 30952933#1.0 30952933#1.199" probability="0.0208333333333333"/&gt;</t>
  </si>
  <si>
    <t xml:space="preserve">    &lt;route id="Router3_145" edges="49887339#0.596 49887339#0-AddedOffRampEdge 49887339#1 49887339#1-AddedOffRampEdge 104524021 104524021-AddedOffRampEdge 12158873 121643865#0 12110705 50715233#0 50715233#0-AddedOffRampEdge 50715233#1.0 62203285#14.24 gneE59.30.0.55 gneE59.30.0.0 gneE59.0.0 gneE59.0.12 62203360#0 291433361#0 132508433.0 -gneE6.0 gneE81.299.0 gneE81.299.79 gneE81.299.145 -gneE8 12154353#0 196393941#1 196393941#2 28533986 43539369#2 12178843#2 12178843#3 49960982#2 43569828#0 387422128#1 43569827#0 43569827#1 43569827#2 43569827#7 43569848 30953391 424769002 424769005 424769006 424769004 30953396#1 387422132#0 387422132#1 486653633#0 484953506#3 484953506#4 12157002#0 12157002#1 12157002#3 12157002#5 12114396#4 -12156992#10 -12156992#8 -12156992#7 -12156992#6 -12156992#5 -12156992#4 -12156992#3 -12156992#2 -12156992#1 -386547297#1 -424080772#2 -424080772#1 -262962065#1 -262962063 -424080764 -424080768#1 -424080766 -104526265#1 30953497#0 30953497#2 35920555#0.0 35920555#0.75 62203066 43331031.0 43331031.436 42706585#0 42706585#1 30953320 30953320-AddedOffRampEdge 30953315 104526276-AddedOnRampEdge 104526276 51758697#0 51758697#1-AddedOnRampEdge 51758697#1" probability="0.0208333333333333"/&gt;</t>
  </si>
  <si>
    <t xml:space="preserve">    &lt;route id="Router3_146" edges="49887339#0.596 49887339#0-AddedOffRampEdge 49887339#1 49887339#1-AddedOffRampEdge 104524021 104524021-AddedOffRampEdge 12158873 121643865#0 12110705 50715233#0 50715233#0-AddedOffRampEdge 50715233#1.0 62203285#14.24 gneE59.30.0.55 gneE59.30.0.0 gneE59.0.0 gneE59.0.12 62203360#0 291433361#0 132508433.0 -gneE6.0 gneE81.299.0 gneE81.299.79 gneE81.299.145 -gneE8 12154353#0 196393941#1 196393941#2 28533986 43539369#2 12178843#2 12178843#3 49960982#2 43569828#0 387422128#1 43569827#0 43569827#1 43569827#2 43569827#7 43569848 30953391 424769002 424769005 424769006 424769004 30953396#1 387422132#0 387422132#1 486653633#0 484953506#3 484953506#4 424769003#0 424769003#1 387422132#0 387422132#1 388756840 12202537#1 12202537#2 12202537#3 485017368 485017367#0 12185366#0 12178852#0 12178852#1 386995495#0 386995495#1 -386995507#7 -386995507#6 -386995507#5 -386995507#4 -386995507#3 310315797#0 310315797#1 386995479#3 12182281#5 12182281#6 12182281#7 12182281#8 -12175537#3 12138978 12201597#2 12114363#1 -50033059#4 12175537#0 12175537#2 12175537#3 12175537#4 12162659#2 12159485 12161358#7 12161358#8 386995507#6 386995507#7 386995521#0 386995521#1 12154359#3 12154359#4 12154359#5 12154359#6 12154359#7 101350669 -386995537 -386995526#1 -386995526#0 -43357814#3 12175537#8 12175537#9 12154359#6 386995531#1 386995531#2 387422150#2 12175537#12 12155177#1 386995531#4 12172918#2 gneE73 gneE75.0 gneE80.125" probability="0.0208333333333333"/&gt;</t>
  </si>
  <si>
    <t>&lt;route id="Router3_147"edges="49887339#0.596 49887339#0-AddedOffRampEdge 49887339#1 49887339#1-AddedOffRampEdge 104524021 104524021-AddedOffRampEdge 12158873 121643865#0 12110705 50715233#0 50715233#0-AddedOffRampEdge 50715233#1.0 62203285#14.24 gneE59.30.0.55 gneE59.30.0.0 gneE59.0.0 gneE59.0.12 62203360#0 291433361#0 132508433.0 -gneE6.0 gneE81.299.0 gneE81.299.79 gneE81.299.145 -gneE8 12154353#0 196393941#1 196393941#2 28533986 43539369#2 12178843#2 12178843#3 49960982#2 43569828#0 387422128#1 43569827#0 43569827#1 43569827#2 43569827#7 43569848 30953391 424769002 424769005 424769006 424769004 30953396#1 387422132#0 387422132#1 486653633#0 484953506#3 484953506#4 424769003#0 424769003#1 387422132#0 387422132#1 388756840 12202537#1 12202537#2 12202537#3 485017368 485017367#0 12185366#0 12178852#0 12178852#1 386995495#0 386995495#1 -386995507#7 -386995507#6 -386995507#5 -386995507#4 -386995507#3 310315797#0 310315797#1 386995479#3 12182281#5 12182281#6 12182281#7 12182281#8 -12175537#3 12138978 12201597#2 12114363#1 -50033059#4 12175537#0 12175537#2 12175537#3 12175537#4 12162659#2 12159485 12161358#7 12161358#8 386995507#6 386995507#7 386995521#0 386995521#1 12154359#3 12154359#4 12154359#5 12154359#6 12154359#7 101350669 -386995537 -386995526#1 -386995526#0 -43357814#3 12175537#8 12175537#9 12175537#10 12175537#11 12175537#12 12155177#1 386995531#4 12172918#2 gneE73 gneE75.0 gneE80.125"/&gt;" probability="0.0208333333333333"/&gt;</t>
  </si>
  <si>
    <t xml:space="preserve">    &lt;route id="Router3_148" edges="49887339#0.596 49887339#0-AddedOffRampEdge 49887339#1 49887339#1-AddedOffRampEdge 104524021 104524021-AddedOffRampEdge 12158873 121643865#0 12110705 50715233#0 50715233#0-AddedOffRampEdge 50715233#1.0 62203285#14.24 gneE59.30.0.55 gneE59.30.0.0 gneE59.0.0 gneE59.0.12 62203360#0 291433361#0 132508433.0 -gneE6.0 gneE81.299.0 gneE81.299.79 gneE81.299.145 -gneE8 12154353#0 196393941#1 196393941#2 28533986 43539369#2 12178843#2 12178843#3 49960982#2 43569828#0 387422128#1 43569827#0 43569827#1 43569827#2 43569827#7 43569848 30953391 424769002 424769005 424769006 424769004 30953396#1 387422132#0 387422132#1 486653633#0 484953506#3 484953506#4 424769003#0 424769003#1 387422132#0 387422132#1 388756840 12202537#1 12202537#2 12202537#3 485017368 485017367#0 12185366#0 12178852#0 12178852#1 386995495#0 386995495#1 -386995507#7 -386995507#6 -386995507#5 -386995507#4 -386995507#3 310315797#0 310315797#1 386995479#3 12182281#5 12182281#6 12182281#7 12182281#8 -12175537#3 12138978 12201597#2 12114363#1 -50033059#4 12175537#0 12175537#2 12175537#3 12175537#4 12175537#5 12175537#6 12175537#7 -43357814#2 42706837#4 42706837#5 42706837#6 42706837#7 42706837#8 12155177#0 12175537#13 12172918#1 12172918#2 gneE73 gneE75.0 gneE80.125" probability="0.0208333333333333"/&gt;</t>
  </si>
  <si>
    <t xml:space="preserve">    &lt;route id="Router3_149" edges="49887339#0.596 49887339#0-AddedOffRampEdge 49887339#1 49887339#1-AddedOffRampEdge 104524021 104524021-AddedOffRampEdge 12158873 121643865#0 12110705 50715233#0 50715233#0-AddedOffRampEdge 50715233#1.0 62203285#14.24 gneE59.30.0.55 gneE59.30.0.0 gneE59.0.0 gneE59.0.12 62203360#0 291433361#0 132508433.0 -gneE6.0 gneE81.299.0 gneE81.299.79 gneE81.299.145 -gneE8 12154353#0 196393941#1 196393941#2 28533986 43539369#2 12178843#2 12178843#3 49960982#2 43569828#0 387422128#1 43569827#0 43569827#1 43569827#2 43569827#7 43569848 30953391 424769002 424769005 424769006 424769004 30953396#1 387422132#0 387422132#1 486653633#0 484953506#3 484953506#4 424769003#0 424769003#1 387422132#0 387422132#1 388756840 12202537#1 12202537#2 12202537#3 485017368 485017367#0 12185366#0 12178852#0 12178852#1 386995495#0 386995495#1 -386995507#7 -386995507#6 -386995507#5 -386995507#4 -386995507#3 310315797#0 310315797#1 386995479#3 12182281#5 12182281#6 12182281#7 12182281#8 -12175537#3 12138978 12201597#2 12114363#1 -50033059#4 12175537#0 12175537#2 12175537#3 12175537#4 12175537#5 12175537#6 12175537#7 -43357814#2 42706837#4 42706837#5 42706837#6 42706837#7 42706837#8 42706837#9 12172918#0 12172918#1 12172918#2 gneE73 gneE75.0 gneE80.125" probability="0.0208333333333333"/&gt;</t>
  </si>
  <si>
    <t xml:space="preserve">    &lt;route id="Router3_150" edges="49887339#0.596 49887339#0-AddedOffRampEdge 49887339#1 49887339#1-AddedOffRampEdge 104524021 104524021-AddedOffRampEdge 12158873 121643865#0 12110705 50715233#0 50715233#0-AddedOffRampEdge 50715233#1.0 62203285#14.24 gneE59.30.0.55 gneE59.30.0.0 gneE59.0.0 gneE59.0.12 62203360#0 291433361#0 132508433.0 -gneE6.0 gneE81.299.0 gneE81.299.79 gneE81.299.145 -gneE8 12154353#0 196393941#1 196393941#2 28533986 43539369#2 12178843#2 12178843#3 49960982#2 43569828#0 387422128#1 43569827#0 43569827#1 43569827#2 43569827#7 43569848 30953391 424769002 424769005 424769006 424769004 30953396#1 387422132#0 387422132#1 486653633#0 484953506#3 484953506#4 424769003#0 424769003#1 387422132#0 387422132#1 388756840 12202537#1 12202537#2 12202537#3 485017368 485017367#0 12185366#0 12178852#0 12178852#1 386995495#0 386995495#1 -386995507#7 -386995507#6 -386995507#5 -386995507#4 -386995507#3 310315797#0 310315797#1 386995479#3 12182281#5 12182281#6 12182281#7 12182281#8 -12175537#3 12138978 12201597#2 12114363#1 -50033059#4 12175537#0 12175537#2 12175537#3 12175537#4 12175537#5 12175537#6 12175537#7 12175537#8 12175537#9 12154359#6 386995531#1 12174155#0 -12175537#10 -12175537#9 -12175537#8 -12175537#7 12152013#3 12167232#3 386995531#0 12154359#7 101350669 -386995537 -386995526#1 -386995526#0 -43357814#3 -43357814#2 42706837#4 42706837#5 42706837#6 42706837#7 42706837#8 42706837#9 12172918#0 12172918#1 12172918#2 gneE73 gneE75.0 gneE80.125" probability="0.0208333333333333"/&gt;</t>
  </si>
  <si>
    <t xml:space="preserve">    &lt;route id="Router3_151" edges="49887339#0.596 49887339#0-AddedOffRampEdge 49887339#1 49887339#1-AddedOffRampEdge 104524021 104524021-AddedOffRampEdge 12158873 121643865#0 12110705 50715233#0 50715233#0-AddedOffRampEdge 50715233#1.0 62203285#14.24 gneE59.30.0.55 gneE59.30.0.0 gneE59.0.0 gneE59.0.12 62203360#0 291433361#0 132508433.0 -gneE6.0 gneE81.299.0 gneE81.299.79 gneE81.299.145 -gneE8 12154353#0 196393941#1 196393941#2 28533986 43539369#2 12178843#2 12178843#3 49960982#2 43569828#0 387422128#1 43569827#0 43569827#1 43569827#2 43569827#7 43569848 30953391 424769002 424769005 424769006 424769004 30953396#1 387422132#0 387422132#1 486653633#0 484953506#3 484953506#4 424769003#0 424769003#1 387422132#0 387422132#1 388756840 12202537#1 12202537#2 12202537#3 485017368 485017367#0 12185366#0 12178852#0 12178852#1 386995495#0 386995495#1 -386995507#7 -386995507#6 -386995507#5 -386995507#4 -386995507#3 310315797#0 310315797#1 386995479#3 12182281#5 12182281#6 12182281#7 12182281#8 -12175537#3 12138978 12201597#2 12114363#1 -50033059#4 12175537#0 12175537#2 12175537#3 12175537#4 12175537#5 12175537#6 12175537#7 12175537#8 12175537#9 12154359#6 386995531#1 12174155#0 -12175537#10 -12175537#9 -12175537#8 -12175537#7 12152013#3 12167232#3 386995531#0 12154359#7 101350669 -386995537 -386995526#1 -386995526#0 -43357814#3 12175537#8 12175537#9 12175537#10 12175537#11 12175537#12 12175537#13 12172918#1 12172918#2 gneE73 gneE75.0 gneE80.125" probability="0.0208333333333333"/&gt;</t>
  </si>
  <si>
    <t xml:space="preserve">    &lt;route id="Router3_152" edges="49887339#0.596 49887339#0-AddedOffRampEdge 49887339#1 49887339#1-AddedOffRampEdge 104524021 104524021-AddedOffRampEdge 12158873 121643865#0 12110705 50715233#0 50715233#0-AddedOffRampEdge 50715233#1.0 62203285#14.24 gneE59.30.0.55 gneE59.30.0.0 gneE59.0.0 gneE59.0.12 62203360#0 291433361#0 132508433.0 -gneE6.0 gneE81.299.0 gneE81.299.79 gneE81.299.145 -gneE8 12154353#0 196393941#1 196393941#2 28533986 43539369#2 12178843#2 12178843#3 49960982#2 43569828#0 387422128#1 43569827#0 43569827#1 43569827#2 43569827#7 43569848 30953391 424769002 424769005 424769006 424769004 30953396#1 387422132#0 387422132#1 486653633#0 484953506#3 484953506#4 424769003#0 424769003#1 387422132#0 387422132#1 388756840 12202537#1 12202537#2 12202537#3 485017368 485017367#0 12185366#0 12178852#0 12178852#1 386995495#0 386995495#1 -386995507#7 -386995507#6 -386995507#5 -386995507#4 -386995507#3 310315797#0 310315797#1 386995479#3 12182281#5 12182281#6 12182281#7 12182281#8 -12175537#3 485017371#0 484953507#1 12182281#8 12182281#9 12167232#0 12167232#1 12167232#2 12152013#4 51050425#4 386995537 386995551 387422150#0 387422150#1 386995531#3 386995531#4 12172918#2 gneE73 gneE75.0 gneE80.125" probability="0.0208333333333333"/&gt;</t>
  </si>
  <si>
    <t xml:space="preserve">    &lt;route id="Router3_153" edges="49887339#0.596 49887339#0-AddedOffRampEdge 49887339#1 49887339#1-AddedOffRampEdge 104524021 104524021-AddedOffRampEdge 12158873 121643865#0 12110705 50715233#0 50715233#0-AddedOffRampEdge 50715233#1.0 62203285#14.24 gneE59.30.0.55 gneE59.30.0.0 gneE59.0.0 gneE59.0.12 62203360#0 291433361#0 132508433.0 -gneE6.0 gneE81.299.0 gneE81.299.79 gneE81.299.145 -gneE8 12154353#0 196393941#1 196393941#2 28533986 43539369#2 12178843#2 12178843#3 49960982#2 43569828#0 387422128#1 43569827#0 43569827#1 43569827#2 43569827#7 43569848 30953391 424769002 424769005 424769006 424769004 30953396#1 387422132#0 387422132#1 486653633#0 484953506#3 484953506#4 424769003#0 424769003#1 387422132#0 387422132#1 388756840 12202537#1 12202537#2 12202537#3 485017368 485017367#0 12185366#0 12178852#0 12178852#1 386995495#0 386995495#1 -386995507#7 -386995507#6 -386995507#5 -386995507#4 -386995507#3 310315797#0 310315797#1 386995479#3 12182281#5 12182281#6 386995507#4 386995507#5 12161358#9 12161358#10 12161358#11 12171305#0 12171305#1 42706797#2 42706797#4.13 42706797#5 387422148#0 387422148#1 12172918#0 12172918#1 12172918#2 gneE73 gneE75.0 gneE80.125" probability="0.0208333333333333"/&gt;</t>
  </si>
  <si>
    <t xml:space="preserve">    &lt;route id="Router3_154" edges="49887339#0.596 49887339#0-AddedOffRampEdge 49887339#1 49887339#1-AddedOffRampEdge 104524021 104524021-AddedOffRampEdge 12158873 121643865#0 12110705 50715233#0 50715233#0-AddedOffRampEdge 50715233#1.0 62203285#14.24 gneE59.30.0.55 gneE59.30.0.0 gneE59.0.0 gneE59.0.12 62203360#0 291433361#0 132508433.0 -gneE6.0 gneE81.299.0 gneE81.299.79 gneE81.299.145 -gneE8 12154353#0 196393941#1 196393941#2 28533986 43539369#2 12178843#2 12178843#3 49960982#2 43569828#0 387422128#1 43569827#0 43569827#1 43569827#2 43569827#7 43569848 30953391 424769002 424769005 424769006 424769004 30953396#1 387422132#0 387422132#1 486653633#0 484953506#3 484953506#4 424769003#0 424769003#1 387422132#0 387422132#1 388756840 12202537#1 12202537#2 12202537#3 485017368 485017367#0 12185366#0 12178852#0 12178852#1 386995495#0 386995495#1 -386995507#7 -386995507#6 -386995507#5 -386995507#4 -386995507#3 310315797#0 310315797#1 386995479#3 12182281#5 12182281#6 386995507#4 386995507#5 386995507#6 386995507#7 386995521#0 386995521#1 386995521#2 386995521#3 387422148#1 12172918#0 -12175537#13 12155177#1 12155177#2 387422153#1 gneE73 gneE75.0 gneE80.125" probability="0.0208333333333333"/&gt;</t>
  </si>
  <si>
    <t xml:space="preserve">    &lt;route id="Router3_155" edges="49887339#0.596 49887339#0-AddedOffRampEdge 49887339#1 49887339#1-AddedOffRampEdge 104524021 104524021-AddedOffRampEdge 12158873 121643865#0 12110705 50715233#0 50715233#0-AddedOffRampEdge 50715233#1.0 62203285#14.24 gneE59.30.0.55 gneE59.30.0.0 gneE59.0.0 gneE59.0.12 62203360#0 291433361#0 132508433.0 -gneE6.0 gneE81.299.0 gneE81.299.79 gneE81.299.145 -gneE8 12154353#0 196393941#1 196393941#2 28533986 43539369#2 12178843#2 12178843#3 49960982#2 43569828#0 387422128#1 43569827#0 43569827#1 43569827#2 43569827#7 43569848 30953391 424769002 424769005 424769006 424769004 30953396#1 387422132#0 387422132#1 486653633#0 484953506#3 484953506#4 424769003#0 424769003#1 387422132#0 387422132#1 388756840 12202537#1 12202537#2 12202537#3 485017368 485017367#0 12185366#0 12178852#0 12178852#1 386995495#0 386995495#1 -386995507#7 -386995507#6 -386995507#5 -386995507#4 -386995507#3 310315797#0 310315797#1 386995479#3 386995479#4 386995479#5 386995479#6 386995490#0.0 12154359#1.20 12154359#2 -386995521#1 -386995521#0 43357814#0 43357814#1 42706837#4 42706837#5 12154359#5 12154359#6 386995531#1 386995531#2 386995531#3 386995531#4 12172918#2 gneE73 gneE75.0 gneE80.125" probability="0.0208333333333333"/&gt;</t>
  </si>
  <si>
    <t xml:space="preserve">    &lt;route id="Router3_156" edges="49887339#0.596 49887339#0-AddedOffRampEdge 49887339#1 49887339#1-AddedOffRampEdge 104524021 104524021-AddedOffRampEdge 12158873 121643865#0 12110705 50715233#0 50715233#0-AddedOffRampEdge 50715233#1.0 62203285#14.24 gneE59.30.0.55 gneE59.30.0.0 gneE59.0.0 gneE59.0.12 62203360#0 291433361#0 132508433.0 -gneE6.0 gneE81.299.0 gneE81.299.79 gneE81.299.145 -gneE8 12154353#0 196393941#1 196393941#2 28533986 43539369#2 12178843#2 12178843#3 49960982#2 43569828#0 387422128#1 43569827#0 43569827#1 43569827#2 43569827#7 43569848 30953391 424769002 424769005 424769006 424769004 30953396#1 387422132#0 387422132#1 486653633#0 484953506#3 484953506#4 424769003#0 424769003#1 387422132#0 387422132#1 388756840 12202537#1 12202537#2 12202537#3 485017368 485017367#0 12185366#0 12178852#0 12178852#1 386995495#0 386995495#1 -386995507#7 -386995507#6 12161358#9 12161358#10 12161358#11 12171305#0 12171305#1 42706797#2 42706797#4.13 42706797#5 387422148#0 387422148#1 12172918#0 12172918#1 12172918#2 gneE73 gneE75.0 gneE80.125" probability="0.0208333333333333"/&gt;</t>
  </si>
  <si>
    <t xml:space="preserve">    &lt;route id="Router3_157" edges="49887339#0.596 49887339#0-AddedOffRampEdge 49887339#1 49887339#1-AddedOffRampEdge 104524021 104524021-AddedOffRampEdge 12158873 121643865#0 12110705 50715233#0 50715233#0-AddedOffRampEdge 50715233#1.0 62203285#14.24 gneE59.30.0.55 gneE59.30.0.0 gneE59.0.0 gneE59.0.12 62203360#0 291433361#0 132508433.0 -gneE6.0 gneE81.299.0 gneE81.299.79 gneE81.299.145 -gneE8 12154353#0 196393941#1 196393941#2 28533986 43539369#2 12178843#2 12178843#3 49960982#2 43569828#0 387422128#1 43569827#0 43569827#1 43569827#2 43569827#7 43569848 30953391 424769002 424769005 424769006 424769004 30953396#1 387422132#0 387422132#1 486653633#0 484953506#3 484953506#4 424769003#0 424769003#1 387422132#0 387422132#1 388756840 12202537#1 12202537#2 12202537#3 485017368 485017367#0 12185366#0 12178852#0 12178852#1 386995495#0 386995495#1 -386995507#7 -386995507#6 12161358#9 12161358#10 386995479#6 386995490#0.0 12154359#1.20 12154359#2 -386995521#1 12172225 32121111#2 32121111#3 12152013#0 12152013#1 12152013#2 12175537#7 -43357814#2 42706837#4 42706837#5 42706837#6 42706837#7 42706837#8 12155177#0 12175537#13 12172918#1 12172918#2 gneE73 gneE75.0 gneE80.125" probability="0.0208333333333333"/&gt;</t>
  </si>
  <si>
    <t xml:space="preserve">    &lt;route id="Router3_158" edges="49887339#0.596 49887339#0-AddedOffRampEdge 49887339#1 49887339#1-AddedOffRampEdge 104524021 104524021-AddedOffRampEdge 12158873 121643865#0 12110705 50715233#0 50715233#0-AddedOffRampEdge 50715233#1.0 62203285#14.24 gneE59.30.0.55 gneE59.30.0.0 gneE59.0.0 gneE59.0.12 62203360#0 291433361#0 132508433.0 -gneE6.0 gneE81.299.0 gneE81.299.79 gneE81.299.145 -gneE8 12154353#0 196393941#1 196393941#2 28533986 43539369#2 12178843#2 12178843#3 49960982#2 43569828#0 387422128#1 43569827#0 43569827#1 43569827#2 43569827#7 43569848 30953391 424769002 424769005 424769006 424769004 30953396#1 387422132#0 387422132#1 486653633#0 484953506#3 484953506#4 424769003#0 424769003#1 387422132#0 387422132#1 388756840 12202537#1 12202537#2 12202537#3 485017368 485017367#0 12185366#0 12178852#0 12178852#1 386995495#0 386995495#1 -386995507#7 -386995507#6 12161358#9 12161358#10 386995479#6 386995490#0.0 12154359#1.20 12154359#2 -386995521#1 12172225 32121111#2 32121111#3 12152013#0 12152013#1 12152013#2 12175537#7 -43357814#2 42706837#4 42706837#5 42706837#6 42706837#7 42706837#8 42706837#9 12172918#0 12172918#1 12172918#2 gneE73 gneE75.0 gneE80.125" probability="0.0208333333333333"/&gt;</t>
  </si>
  <si>
    <t xml:space="preserve">    &lt;route id="Router3_159" edges="49887339#0.596 49887339#0-AddedOffRampEdge 49887339#1 49887339#1-AddedOffRampEdge 104524021 104524021-AddedOffRampEdge 12158873 121643865#0 12110705 50715233#0 50715233#0-AddedOffRampEdge 50715233#1.0 62203285#14.24 gneE59.30.0.55 gneE59.30.0.0 gneE59.0.0 gneE59.0.12 62203360#0 291433361#0 132508433.0 -gneE6.0 gneE81.299.0 gneE81.299.79 gneE81.299.145 -gneE8 12154353#0 196393941#1 196393941#2 28533986 43539369#2 12178843#2 12178843#3 49960982#2 43569828#0 387422128#1 43569827#0 43569827#1 43569827#2 43569827#7 43569848 30953391 424769002 424769005 424769006 424769004 30953396#1 387422132#0 387422132#1 486653633#0 484953506#3 484953506#4 424769003#0 424769003#1 387422132#0 387422132#1 388756840 12202537#1 12202537#2 12202537#3 485017368 485017367#0 12185366#0 12178852#0 12178852#1 386995495#0 386995495#1 -386995507#7 -386995507#6 12161358#9 12161358#10 386995479#6 386995490#0.0 12154359#1.20 32121111#1 32121111#2 32121111#3 12152013#0 12152013#1 12152013#2 12175537#7 -43357814#2 42706837#4 42706837#5 42706837#6 42706837#7 42706837#8 12155177#0 12175537#13 12172918#1 12172918#2 gneE73 gneE75.0 gneE80.125" probability="0.0208333333333333"/&gt;</t>
  </si>
  <si>
    <t xml:space="preserve">    &lt;route id="Router3_160" edges="49887339#0.596 49887339#0-AddedOffRampEdge 49887339#1 49887339#1-AddedOffRampEdge 104524021 104524021-AddedOffRampEdge 12158873 121643865#0 12110705 50715233#0 50715233#0-AddedOffRampEdge 50715233#1.0 62203285#14.24 gneE59.30.0.55 gneE59.30.0.0 gneE59.0.0 gneE59.0.12 62203360#0 291433361#0 132508433.0 -gneE6.0 gneE81.299.0 gneE81.299.79 gneE81.299.145 -gneE8 12154353#0 196393941#1 196393941#2 28533986 43539369#2 12178843#2 12178843#3 49960982#2 43569828#0 387422128#1 43569827#0 43569827#1 43569827#2 43569827#7 43569848 30953391 424769002 424769005 424769006 424769004 30953396#1 387422132#0 387422132#1 486653633#0 484953506#3 484953506#4 424769003#0 424769003#1 387422132#0 387422132#1 388756840 12202537#1 12202537#2 12202537#3 485017368 485017367#0 12185366#0 12178852#0 12178852#1 386995495#0 386995495#1 -386995507#7 -386995507#6 12161358#9 12161358#10 386995479#6 386995490#0.0 12154359#1.20 32121111#1 32121111#2 32121111#3 12152013#0 12152013#1 12152013#2 12175537#7 12175537#8 12175537#9 12175537#10 12175537#11 12175537#12 12155177#1 386995531#4 12172918#2 gneE73 gneE75.0 gneE80.125" probability="0.0208333333333333"/&gt;</t>
  </si>
  <si>
    <t xml:space="preserve">    &lt;route id="Router3_161" edges="49887339#0.596 49887339#0-AddedOffRampEdge 49887339#1 49887339#1-AddedOffRampEdge 104524021 104524021-AddedOffRampEdge 12158873 121643865#0 12110705 50715233#0 50715233#0-AddedOffRampEdge 50715233#1.0 62203285#14.24 gneE59.30.0.55 gneE59.30.0.0 gneE59.0.0 gneE59.0.12 62203360#0 291433361#0 132508433.0 -gneE6.0 gneE81.299.0 gneE81.299.79 gneE81.299.145 -gneE8 12154353#0 196393941#1 196393941#2 28533986 43539369#2 12178843#2 12178843#3 49960982#2 43569828#0 387422128#1 43569827#0 43569827#1 43569827#2 43569827#7 43569848 30953391 424769002 424769005 424769006 424769004 30953396#1 387422132#0 387422132#1 486653633#0 484953506#3 484953506#4 424769003#0 424769003#1 387422132#0 387422132#1 388756840 12202537#1 43357813 484953506#1 484953506#2 486653633#1 486653633#2 486653633#3 12182281#0 12182281#3 386995479#4 386995479#5 12161358#11 12171305#0 12171305#1 42706797#2 42706797#4.13 42706797#5 387422148#0 387422148#1 12172918#0 12172918#1 12172918#2 gneE73 gneE75.0 gneE80.125" probability="0.0208333333333333"/&gt;</t>
  </si>
  <si>
    <t xml:space="preserve">    &lt;route id="Router3_162" edges="49887339#0.596 49887339#0-AddedOffRampEdge 49887339#1 49887339#1-AddedOffRampEdge 104524021 104524021-AddedOffRampEdge 12158873 121643865#0 121643865#1 145605511#1-AddedOnRampEdge 145605511#12 145605511#1.148" probability="0.0208333333333333"/&gt;</t>
  </si>
  <si>
    <t xml:space="preserve">    &lt;route id="Router3_163" edges="49887339#0.596 49887339#0-AddedOffRampEdge 49887339#1 49887339#1-AddedOffRampEdge 104524021 104524021-AddedOffRampEdge 50192637#0 50192637#1-AddedOnRampEdge 50192637#1.0.0 50192637#1.0.382.0.0 50192637#1.697 50192637#1-AddedOffRampEdge 30953181#1 30953181#2-AddedOnRampEdge 30953181#2 30953181#3-AddedOnRampEdge 30953181#3 30953181#3-AddedOffRampEdge 30952933#1.0 30952933#1.199" probability="0.0208333333333333"/&gt;</t>
  </si>
  <si>
    <t xml:space="preserve">    &lt;route id="Router3_19" edges="-gneE80.0 -gneE80.17 -gneE41 gneE44 -388756838#2 -388756838#1 -388756838#0 42706817#0 386547310 gneE69 -388756838#2 -388756838#1 -388756838#0 -388756839#1 -388756839#0 -194358837#2 -194358837#0 194358838#0 194358838#1 194358838#2 194358838#3 387422145#0 387422145#3 386995499#0 386995499#2 42706831#0 42706831#4 42706831#5 42706831#6 42706874#0 42706874#2 -424080769#1 -424769177 -386547298#1 -424080767#1 -424080771#1 -386547297#1 -424080772#2 -424080772#1 -424080761#1 -62623960 62623959#0 386547296#0 386547296#1 424080773#0 -424080768#1 -424080766 -104526265#1 30953497#0 30953497#2 30953497#3 42706585#0 42706585#1 30953320 30953320-AddedOffRampEdge 104526277 30953215#1-AddedOnRampEdge 30953215#1 121643865#0 12110705 50715233#0 50715233#0-AddedOffRampEdge 50715233#1.0 62203285#14.24 30908387 30908366#1-AddedOnRampEdge 30908366#1 121643863 121643862 51758697#0 51758697#1-AddedOnRampEdge 51758697#1 -gneE46.0 43357850.4841.18 gneE46 49887339#0.596 49887339#0-AddedOffRampEdge 49887339#1 49887339#1-AddedOffRampEdge 104524021 104524021-AddedOffRampEdge 50192637#0 50192637#1-AddedOnRampEdge 50192637#1.0.0 50192637#1.0.382.0.0 50192637#1.697 50192637#1-AddedOffRampEdge 30953181#1 30953181#2-AddedOnRampEdge 30953181#2 30953181#3-AddedOnRampEdge 30953181#3 30953181#3-AddedOffRampEdge 30952933#1.0 30952933#1.199" probability="0.0208333333333333"/&gt;</t>
  </si>
  <si>
    <t xml:space="preserve">    &lt;route id="Router3_71" edges="31909473.0 31909473.857 62634019#1-AddedOnRampEdge 62634019#1 30953036 424081476 424081472 424081473 424081470 30953025#0 30953025#2 30953025#3 30953025#4 50033060#0 12134479#5 450844973#0 388533144#0 388533144#6 388533144#11 450695475#0 137364609#0 137364609#3 137364609#5 450695473#0 386547305#0 gneE23 -gneE20.0 -gneE21.54 -gneE21.0 59435515#0 59435515#1 59435515#2 59435515#3 59435515#4 424801338#1 12117702#0 12117702#4 12117702#7 -32121146#3 -32121146#1 -424769197#2 12144152#0 12144152#2 12144152#4 12144152#6 12157151#0 12166276#2 -32121146#5 12117702#9 450844953#0 450844953#2 450844953#3 450844947#0 388533142#0 388533142#2 12189045#0 62623987#0 62623987#1 -12142631 12202018 62623986#1 62623986#2 -12189051#1 -262962063 -424080764 -424080768#1 -424080766 -104526265#1 30953497#0 30953497#2 30953497#3 42706585#0 42706585#1 30953320 30953320-AddedOffRampEdge 104526277 30953215#1-AddedOnRampEdge 30953215#1 121643865#0 12110705 50715233#0 50715233#0-AddedOffRampEdge 50715233#1.0 62203285#14.24 30908387 30908366#1-AddedOnRampEdge 30908366#1 121643863 121643862 51758697#0 51758697#1-AddedOnRampEdge 51758697#1 -gneE46.0 43357850.4841.18 gneE46 49887339#0.596 49887339#0-AddedOffRampEdge 49887339#1 49887339#1-AddedOffRampEdge 104524021 104524021-AddedOffRampEdge 50192637#0 50192637#1-AddedOnRampEdge 50192637#1.0.0 50192637#1.0.382.0.0 50192637#1.697 50192637#1-AddedOffRampEdge 30953181#1 30953181#2-AddedOnRampEdge 30953181#2 30953181#3-AddedOnRampEdge 30953181#3 30953181#3-AddedOffRampEdge 30952933#1.0 30952933#1.199" probability="0.0208333333333333"/&gt;</t>
  </si>
  <si>
    <t>&lt;routeDistribution id="I-76-WB-2015-Source-RouteProbe"&gt;</t>
  </si>
  <si>
    <t xml:space="preserve">    &lt;route id="Router3_69" edges="31909473.0 31909473.857 62634019#1-AddedOnRampEdge 62634019#1 30953036 424081476 -424987520 -30953029#1 -30953029#0 -424987519 12169718#0 179915585#0 193223837#0 193223837#1 12198567#1 12198567#2 12198567#3 12171853#3 12171853#4 12171853#5 12171853#6 132508920#8 132508920#9 132508920#10 132508920#12 132508983#0 132508983#3 132508983#5 132508740#0 132508740#2 -12165829#1 132508646#0 132508646#2 132508646#3 394179820#0 394179820#1 394179820#2 394179820#3 450844975 450844970#0 196355332#0 450844979#0.0 12114109#0.45.0 59671945#0.30 62093806#0 30953497#0 30953497#2 30953497#3 42706585#0 42706585#1 30953320 30953320-AddedOffRampEdge 104526277 30953215#1-AddedOnRampEdge 30953215#1 121643865#0 12110705 50715233#0 50715233#0-AddedOffRampEdge 50715233#1.0 62203285#14.24 gneE59.30.0.55 gneE59.30.0.0 43539373#0.0.292.17 gneE58 gneE56 gneE54.0 62203360#0 291433361#0 132508433.0 -gneE6.0 gneE6.0 424765883 43570920#0.22 132508717#4 43539378#1 43569848 30953391 12113092 51758697#1-AddedOnRampEdge 51758697#1" probability="0.0169491525423729"/&gt;</t>
  </si>
  <si>
    <t xml:space="preserve">    &lt;route id="Router3_70" edges="31909473.0 31909473.857 62634019#1-AddedOnRampEdge 62634019#1 30953036 424081476 -424987520 -30953029#1 -30953029#0 -424987519 12169718#0 179915585#0 193223837#0 193223837#1 12198567#1 12198567#2 12198567#3 12171853#3 12171853#4 12171853#5 12171853#6 132508920#8 132508920#9 132508920#10 132508920#12 132508983#0 132508983#3 132508983#5 132508740#0 132508740#2 -12165829#1 132508646#0 132508646#2 132508646#3 394179820#0 394179820#1 394179820#2 394179820#3 450844975 450844970#0 196355332#0 450844979#0.0 12114109#0.45.0 59671945#0.30 62093806#0 30953497#0 30953497#2 35920555#0.0 35920555#0.75 62203066 43331031.0 43331031.436 42706585#0 42706585#1 30953320 30953320-AddedOffRampEdge 30953315 104526276-AddedOnRampEdge 104526276 51758697#0 51758697#1-AddedOnRampEdge 51758697#1" probability="0.0169491525423729"/&gt;</t>
  </si>
  <si>
    <t xml:space="preserve">    &lt;route id="Router3_71" edges="31909473.0 31909473.857 62634019#1-AddedOnRampEdge 62634019#1 30953036 424081476 424081472 424081473 424081470 30953025#0 30953025#2 30953025#3 30953025#4 50033060#0 12134479#5 450844973#0 388533144#0 388533144#6 388533144#11 450695475#0 137364609#0 137364609#3 137364609#5 450695473#0 386547305#0 gneE23 -gneE20.0 -gneE21.54 -gneE21.0 59435515#0 59435515#1 59435515#2 59435515#3 59435515#4 424801338#1 12117702#0 12117702#4 12117702#7 -32121146#3 -32121146#1 -424769197#2 12144152#0 12144152#2 12144152#4 12144152#6 12157151#0 12166276#2 -32121146#5 12117702#9 450844953#0 450844953#2 450844953#3 450844947#0 388533142#0 388533142#2 12189045#0 62623987#0 62623987#1 -12142631 12202018 62623986#1 62623986#2 -12189051#1 -262962063 -424080764 -424080768#1 -424080766 -104526265#1 30953497#0 30953497#2 30953497#3 42706585#0 42706585#1 30953320 30953320-AddedOffRampEdge 104526277 30953215#1-AddedOnRampEdge 30953215#1 121643865#0 12110705 50715233#0 50715233#0-AddedOffRampEdge 50715233#1.0 62203285#14.24 30908387 30908366#1-AddedOnRampEdge 30908366#1 121643863 121643862 51758697#0 51758697#1-AddedOnRampEdge 51758697#1 -gneE46.0 43357850.4841.18 gneE46 49887339#0.596 49887339#0-AddedOffRampEdge 49887339#1 49887339#1-AddedOffRampEdge 104524021 104524021-AddedOffRampEdge 50192637#0 50192637#1-AddedOnRampEdge 50192637#1.0.0 50192637#1.0.382.0.0 50192637#1.697 50192637#1-AddedOffRampEdge 30953181#1 30953181#2-AddedOnRampEdge 30953181#2 30953181#3-AddedOnRampEdge 30953181#3 30953181#3-AddedOffRampEdge 30952933#1.0 30952933#1.199" probability="0.0169491525423729"/&gt;</t>
  </si>
  <si>
    <t xml:space="preserve">    &lt;route id="Router3_72" edges="31909473.0 31909473.857 62634019#1-AddedOnRampEdge 62634019#1 30953036 424081476 424081472 424081473 424081470 30953025#0 30953025#2 30953025#3 30953025#4 50033060#0 12134479#5 450844973#0 388533144#0 388533144#6 388533144#11 450695475#0 137364609#0 137364609#3 137364609#5 450695473#0 386547305#0 gneE23 -gneE20.0 -gneE21.54 -gneE21.0 59435515#0 59435515#1 59435515#2 59435515#3 59435515#4 424801338#1 12117702#0 12117702#4 12117702#7 -32121146#3 12202008#2.0 12202008#2.171 62646499#2 450827424#0 450827405#0 262962062 -55179413#2 12187610#0 12187610#2 12187610#3 -62105579 12186909#0 12186909#1 12186909#2 12186909#4 12177521#2 12177521#3 211575484#1 485017379 -386995465#1 -386995504#1 -386995486#1 32121111#11 -12177521#0 -121319040#0 -51155368#5 -50033558#5 -50033558#3 -12188656 -121319046 -42706825#7 -42706825#4 -42706825#3 -42706825#1 194358815 194358817#0 194358817#1 194358817#2 12114363#0 12114363#1 -50033059#4 12175537#0 12175537#2 12175537#3 12175537#4 12175537#5 12175537#6 12175537#7 -43357814#2 42706837#4 42706837#5 42706837#6 42706837#7 42706837#8 42706837#9 12172918#0 12172918#1 12172918#2 gneE73 gneE75.0 -gneE80.17 -gneE41 gneE44 -388756838#2 -388756838#1 -388756838#0 42706817#0 386547310 gneE69 -gneE44 gneE41 gneE80.0 gneE80.125" probability="0.0169491525423729"/&gt;</t>
  </si>
  <si>
    <t xml:space="preserve">    &lt;route id="Router3_73" edges="31909473.0 31909473.857 62634019#1-AddedOnRampEdge 62634019#1 30953036 424081476 424081472 424081473 424081470 30953025#0 30953025#2 30953025#3 30953025#4 50033060#0 12134479#5 450844973#0 388533144#0 388533144#6 388533144#11 450695475#0 137364609#0 137364609#3 137364609#5 450695473#0 386547305#0 gneE23 -gneE20.0 -gneE21.54 -gneE21.0 59435515#0 59435515#1 59435515#2 59435515#3 59435515#4 424801338#1 12117702#0 12117702#4 12117702#7 -32121146#3 12202008#2.0 12202008#2.171 62646499#2 450827424#0 450827405#0 262962062 -55179413#2 12187610#0 12187610#2 12187610#3 -62105579 12186909#0 12186909#1 12186909#2 12186909#4 12177521#2 12177521#3 211575484#1 485017379 -386995465#1 -386995504#1 -386995486#1 32121111#11 -12177521#0 -121319040#0 -51155368#5 -50033558#5 -50033558#3 -12188656 -121319046 -42706825#7 -42706825#4 -42706825#3 -42706825#1 194358815 194358817#0 194358817#1 194358817#2 12114363#0 12114363#1 -50033059#4 12175537#0 12175537#2 12175537#3 12175537#4 12175537#5 12175537#6 12175537#7 -43357814#2 42706837#4 42706837#5 42706837#6 42706837#7 42706837#8 42706837#9 12172918#0 12172918#1 12172918#2 gneE73 gneE75.0 gneE80.125" probability="0.0169491525423729"/&gt;</t>
  </si>
  <si>
    <t xml:space="preserve">    &lt;route id="Router3_74" edges="31909473.0 31909473.857 62634019#1-AddedOnRampEdge 62634019#1 30953036 424081476 424081472 424081473 424081470 30953025#0 30953025#2 30953025#3 30953025#4 50033060#0 12134479#5 450844973#0 388533144#0 388533144#6 388533144#11 450695475#0 137364609#0 137364609#3 137364609#5 450695473#0 386547305#0 gneE23 -gneE20.0 -gneE21.54 -gneE21.0 59435515#0 59435515#1 59435515#2 59435515#3 59435515#4 424801338#1 12117702#0 12117702#4 12117702#7 -32121146#3 12202008#2.0 12202008#2.171 62646499#2 450827424#0 450827405#0 262962062 -55179413#2 12187610#0 12187610#2 12187610#3 -62105579 12186909#0 12186909#1 12186909#2 12186909#4 12177521#2 12177521#3 211575484#1 485017379 -386995465#1 -386995504#1 -386995486#1 32121111#11 -12177521#0 -121319040#0 -51155368#5 -50033558#5 -50033558#3 -12188656 -121319046 -42706825#7 -42706825#4 -42706825#3 -42706825#1 194358815 194358817#0 194358817#1 194358817#2 12114363#0 12114363#1 -50033059#4 12175537#0 12175537#2 485017371#0 484953507#1 12182281#8 12182281#9 12167232#0 12167232#1 12167232#2 12152013#4 51050425#4 386995537 386995551 387422150#0 387422150#1 386995531#3 386995531#4 12172918#2 gneE73 gneE75.0 gneE80.125" probability="0.0169491525423729"/&gt;</t>
  </si>
  <si>
    <t xml:space="preserve">    &lt;route id="Router3_75" edges="31909473.0 31909473.857 62634019#1-AddedOnRampEdge 62634019#1 30953036 424081476 424081472 424081473 424081470 30953025#0 30953025#2 30953025#3 30953025#4 50033060#0 12134479#5 450844973#0 388533144#0 388533144#6 388533144#11 450695475#0 137364609#0 137364609#3 137364609#5 450695473#0 386547305#0 gneE23 -gneE20.0 -gneE21.54 -gneE21.0 59435515#0 59435515#1 59435515#2 59435515#3 59435515#4 424801338#1 12117702#0 12117702#4 12117702#7 -32121146#3 12202008#2.0 12202008#2.171 62646499#2 450827424#0 450827405#0 262962062 -55179413#2 12187610#0 12187610#2 12187610#3 -62105579 12186909#0 12186909#1 12186909#2 51155368#11 42706831#0 42706831#4 42706831#5 42706831#6 32121234#0 32121234#1 32121234#2 50033558#2 50033558#3 50033558#4 50033558#6 50033058#0 386995514#9 386995486#0 32121111#11 -12177521#0 -121319040#0 -51155368#5 -50033558#5 -50033558#3 -12188656 -121319046 -42706825#7 -42706825#4 -42706825#3 -42706825#1 -484953510#2 -484953510#1 -484953510#0 gneE37 gneE38 -12159761#2 -12159761#1 -12159761#0 12114363#0 12114363#1 -50033059#4 12175537#0 12175537#2 12175537#3 12175537#4 12162659#2 12159485 12161358#7 12161358#8 386995507#6 386995507#7 386995521#0 386995521#1 12154359#3 12154359#4 12154359#5 12154359#6 12154359#7 101350669 -386995537 -386995526#1 -386995526#0 -43357814#3 -43357814#2 42706837#4 42706837#5 42706837#6 42706837#7 42706837#8 42706837#9 12172918#0 12172918#1 12172918#2 gneE73 gneE75.0 gneE80.125" probability="0.0169491525423729"/&gt;</t>
  </si>
  <si>
    <t xml:space="preserve">    &lt;route id="Router3_76" edges="31909473.0 31909473.857 62634019#1-AddedOnRampEdge 62634019#1 30953036 424081476 424081472 424081473 424081470 30953025#0 30953025#2 30953025#3 30953025#4 50033060#0 12134479#5 450844973#0 388533144#0 388533144#6 388533144#11 450695475#0 137364609#0 137364609#3 137364609#5 450695473#0 386547305#0 gneE23 -gneE20.0 -gneE21.54 -gneE21.0 gneE36 --gneE83.0" probability="0.0169491525423729"/&gt;</t>
  </si>
  <si>
    <t xml:space="preserve">    &lt;route id="Router3_77" edges="31909473.0 31909473.857 62634019#1-AddedOnRampEdge 62634019#1 62634019#2.0 62634019#2.242 62634019#3-AddedOnRampEdge 62634019#3 62634019#3-AddedOffRampEdge 12111747.0 12189453#0.0.0 450844982#0.19 62203497#0 62203497#2 62203497#3 12134479#1 34685684#0 34685684#2 450844947#0 388533142#0 388533142#2 12189045#0 62623987#0 62623987#1 -12142631 12202018 62623986#1 62623986#2 -12189051#1 424080770#0 424080772#0 424080772#2 386547297#0 424080771#0 424080767#0 386547298#0 424769177 424080769#0 55179414#0 12187610#0 -484953508#2 424801339#0 62646509#0 424801338#0 424801338#1 12117702#0 12117702#4 12117702#7 -32121146#3 -32121146#1 55179413#0 424769182 -450827405#2 -450827400#2 -450827382 -450827385#1 12134222#0 12134222#2 12134222#3 386547311#11 386547311#13 357338496#0 357338496#2 450695461#0 62646494#0 424801336#0 484842168#0 283621820 -28555309#1 -424801341 -283621822#1 -424801343#1 -424801343#0 49991658 424801340 424801342 386550018#0 386550018#0-AddedOffRampEdge 386550018#1 49991638 -12144161#0 12144161#0 12144161#1 49991657 283621821#1 283621821#1-AddedOffRampEdge 283621821#2 49991647#1 49991647#2 63060732#0 63060732#1 63060732#2.0 63060732#2.116 50033027 -50033029 50033050#0 50033050#2 424799828 424799825 424799826 50033054 63060727 50033029 50033028#0 50033028#3 50033028#5 50033028#6 49991646 386547300#0 283621823 386547301-AddedOnRampEdge 386547301 424801344#0 424801343#1 283621822#0 424801341 28555309#0 49991649#0 424986163#0 51049946#0 424801337#0 357338497#0 357338497#2 450695460#0 62646499#0 62646499#2 450827424#0 62646508#0 62646508#2 424799820 424799823#0 50033059#0 50033059#2 50033059#3 50033059#4 388756839#0 388756839#1 388756838#0 12136923#0 386547309#0 386547309#2 386547309#3 386547309#5 386547309#7 51050030#4 51050030#7 gneE35 -gneE34.0 --gneE83.0" probability="0.0169491525423729"/&gt;</t>
  </si>
  <si>
    <t xml:space="preserve">    &lt;route id="Router3_78" edges="31909473.0 31909473.857 62634019#1-AddedOnRampEdge 62634019#1 62634019#2.0 62634019#2.242 62634019#3-AddedOnRampEdge 62634019#3 62634019#3-AddedOffRampEdge 12111747.0 12189453#0.0.0 450844982#0.19 62203497#0 62203497#2 62203497#3 12134479#1 34685684#0 34685684#2 450844947#0 388533142#0 388533142#2 12189045#0 62623987#0 62623987#1 -12142631 12202018 62623986#1 62623986#2 -12189051#1 424080770#0 424080772#0 424080772#2 386547297#0 424080771#0 424080767#0 386547298#0 424769177 424080769#0 55179414#0 12187610#0 -484953508#2 424801339#0 62646509#0 424801338#0 424801338#1 12117702#0 12117702#4 12117702#7 -32121146#3 -32121146#1 55179413#0 424769182 -450827405#2 -450827400#2 -450827382 -450827385#1 12134222#0 12134222#2 12134222#3 386547311#11 386547311#13 357338496#0 357338496#2 450695461#0 62646494#0 424801336#0 484842168#0 283621820 -28555309#1 -424801341 -283621822#1 -424801343#1 -424801343#0 49991658 424801340 424801342 386550018#0 386550018#0-AddedOffRampEdge 386550018#1 49991638 -12144161#0 12144161#0 12144161#1 49991657 283621821#1 283621821#1-AddedOffRampEdge 283621821#2 49991647#1 49991647#2 63060732#0 63060732#1 63060732#2.0 63060732#2.116 50033027 -50033029 50033050#0 50033050#2 424799828 424799825 424799826 50033054 63060727 50033029 50033028#0 50033028#3 50033028#5 50033028#6 49991646 386547300#0 283621823 386547301-AddedOnRampEdge 386547301 424801344#0 424801343#1 283621822#0 424801341 28555309#0 49991649#0 424986163#0 51049946#0 424801337#0 357338497#0 357338497#2 450695460#0 62646499#0 62646499#2 450827424#0 62646508#0 62646508#2 424799820 424799823#0 50033059#0 50033059#2 50033059#3 50033059#4 388756839#0 388756839#1 388756838#0 12136923#0 386547309#0 386547309#2 386547309#3 386547309#5 484953510#2 42706825#0 42706825#2 42706825#4 42706825#5 424799823#0 42706833#0 42706833#2 -42706825#7 12199713#0 12199713#1 -386995514#6 -386995514#5 -386995514#4 -386995514#3 -386995514#2 -386995514#1 12159500#1 12159500#2 51050030#7 gneE35 -gneE34.0 --gneE83.0" probability="0.0169491525423729"/&gt;</t>
  </si>
  <si>
    <t xml:space="preserve">    &lt;route id="Router3_79" edges="31909473.0 31909473.857 62634019#1-AddedOnRampEdge 62634019#1 62634019#2.0 62634019#2.242 62634019#3-AddedOnRampEdge 62634019#3 62634019#3-AddedOffRampEdge 12111747.0 12189453#0.0.0 450844982#0.19 62203497#0 62203497#2 62203497#3 12134479#1 34685684#0 34685684#2 450844947#0 388533142#0 388533142#2 12189045#0 62623987#0 62623987#1 -12142631 12202018 62623986#1 62623986#2 -12189051#1 424080770#0 424080772#0 424080772#2 386547297#0 424080771#0 424080767#0 386547298#0 424769177 424080769#0 55179414#0 12187610#0 -484953508#2 424801339#0 62646509#0 424801338#0 424801338#1 12117702#0 12117702#4 12117702#7 -32121146#3 -32121146#1 55179413#0 424769182 -450827405#2 -450827400#2 -450827382 -450827385#1 12134222#0 12134222#2 12134222#3 386547311#11 386547311#13 357338496#0 357338496#2 450695461#0 62646494#0 424801336#0 484842168#0 283621820 -28555309#1 -424801341 -283621822#1 -424801343#1 -424801343#0 49991658 424801340 424801342 386550018#0 386550018#0-AddedOffRampEdge 386550018#1 49991638 -12144161#0 12144161#0 12144161#1 49991657 283621821#1 283621821#1-AddedOffRampEdge 283621821#2 49991647#1 49991647#2 63060732#0 63060732#1 63060732#2.0 63060732#2.116 50033027 -50033029 50033050#0 50033050#2 424799828 424799825 424799826 50033054 63060727 50033029 50033028#0 50033028#3 50033028#5 50033028#6 49991646 386547300#0 283621823 386547301-AddedOnRampEdge 386547301 424801344#0 424801343#1 283621822#0 424801341 28555309#0 49991649#0 424986163#0 51049946#0 424801337#0 357338497#0 357338497#2 450695460#0 62646499#0 62646499#2 450827424#0 62646508#0 62646508#2 424799820 424799823#0 50033059#0 50033059#2 50033059#3 50033059#4 388756839#0 388756839#1 388756838#0 12136923#0 386547309#0 386547309#2 386547309#3 386547309#5 484953510#2 42706825#0 42706825#2 42706825#4 42706825#5 424799823#0 42706833#0 42706833#2 12189876#0 12189876#2 484953508#1 60185970#0 60185970#2 12149571#1 12187610#3 50033558#2 50033558#3 50033558#4 50033558#6 50033058#0 386995514#9 386995486#0 32121111#11 -12177521#0 -121319040#0 -51155368#5 -50033558#5 -50033558#3 -12188656 -121319046 -42706825#7 -42706825#4 -42706825#3 -42706825#1 194358815 194358817#0 194358817#1 194358817#2 12114363#0 12114363#1 -50033059#4 12175537#0 12175537#2 485017371#0 484953507#1 12182281#8 12182281#9 12167232#0 12167232#1 12167232#2 12152013#4 51050425#4 386995537 386995551 387422150#0 387422150#1 386995531#3 386995531#4 12172918#2 gneE73 gneE75.0 gneE80.125" probability="0.0169491525423729"/&gt;</t>
  </si>
  <si>
    <t xml:space="preserve">    &lt;route id="Router3_80" edges="31909473.0 31909473.857 62634019#1-AddedOnRampEdge 62634019#1 62634019#2.0 62634019#2.242 62634019#3-AddedOnRampEdge 62634019#3 62634019#3-AddedOffRampEdge 12111747.0 12189453#0.0.0 450844982#0.19 62203497#0 62203497#2 62203497#3 12134479#1 34685684#0 34685684#2 450844947#0 388533142#0 388533142#2 12189045#0 62623987#0 62623987#1 -12142631 12202018 62623986#1 62623986#2 -12189051#1 424080770#0 424080772#0 424080772#2 386547297#0 424080771#0 424080767#0 386547298#0 424769177 424080769#0 55179414#0 12187610#0 60185970#0 60185970#2 12149571#1 12187610#3 50033558#2 -12188656 -121319046 -42706825#7 12199713#0 12199713#1 -386995514#6 -386995514#5 -386995514#4 -386995514#3 194358817#0 194358817#1 194358817#2 12114363#0 12114363#1 -50033059#4 12175537#0 12175537#2 12175537#3 12175537#4 12175537#5 12175537#6 12175537#7 12175537#8 12175537#9 12175537#10 12175537#11 12175537#12 12155177#1 12155177#2 387422153#1 gneE73 gneE75.0 gneE80.125" probability="0.0169491525423729"/&gt;</t>
  </si>
  <si>
    <t xml:space="preserve">    &lt;route id="Router3_81" edges="31909473.0 31909473.857 62634019#1-AddedOnRampEdge 62634019#1 62634019#2.0 62634019#2.242 62634019#3-AddedOnRampEdge 62634019#3 62634019#3-AddedOffRampEdge 12111747.0 12189453#0.0.0 450844982#0.19 62203497#0 62203497#2 62203497#3 12134479#1 34685684#0 34685684#2 450844947#0 388533142#0 388533142#2 12189045#0 62623987#0 62623987#1 -12142631 12202018 62623986#1 62623986#2 -12189051#1 424080770#0 424080772#0 424080772#2 386547297#0 424080771#0 424080767#0 386547298#0 424769177 424080769#0 55179414#0 12187610#0 60185970#0 60185970#2 12149571#1 12187610#3 50033558#2 50033558#3 50033558#4 50033558#6 50033058#0 386995514#9 386995486#0 32121111#11 -12177521#0 -121319040#0 -51155368#5 -50033558#5 -50033558#3 -12188656 -121319046 -42706825#7 -42706825#4 -42706825#3 -42706825#1 194358815 194358817#0 194358817#1 194358817#2 12114363#0 12114363#1 -50033059#4 12175537#0 12175537#2 485017371#0 484953507#1 12182281#8 12182281#9 12167232#0 12167232#1 12167232#2 12152013#4 51050425#4 386995537 386995551 387422150#0 387422150#1 386995531#3 386995531#4 12172918#2 gneE73 gneE75.0 gneE80.125" probability="0.0169491525423729"/&gt;</t>
  </si>
  <si>
    <t xml:space="preserve">    &lt;route id="Router3_82" edges="31909473.0 31909473.857 62634019#1-AddedOnRampEdge 62634019#1 62634019#2.0 62634019#2.242 62634019#3-AddedOnRampEdge 62634019#3 62634019#3-AddedOffRampEdge 12111747.0 12189453#0.0.0 450844982#0.19 62203497#0 62203497#2 62203497#3 12134479#1 34685684#0 34685684#2 450844947#0 388533142#0 388533142#2 388533142#4 62623926#0 62623926#1 450844950#0 12189453#0.0.0 450844982#0.19 62203497#0 62203497#2 62203497#3 12134479#1 34685684#0 34685684#2 388533143#0 388533143#2 12140627#0 63060729#0 -264253834#2 12156992#4 12156992#5 12156992#6 12156992#7 12156992#8 12156992#9 484953505 12148522#0 -12186058#4 -12186058#1 -386995465#1 -386995504#1 386995479#0 12157718#5 12157718#7 485017376 485017373#0 387422135#0 424769003#0 424769003#1 -30953396#1 -30953396#0 -424769006 -424769005 -424769002 -30953391 -43569848 -393884751 12159702 424764853 12149178#0 50189796 50189564 12149178#2 145605533#0 145605533#1-AddedOnRampEdge 145605533#1 145605511#1-AddedOnRampEdge 145605511#12 145605511#1.148" probability="0.0169491525423729"/&gt;</t>
  </si>
  <si>
    <t xml:space="preserve">    &lt;route id="Router3_83" edges="31909473.0 31909473.857 62634019#1-AddedOnRampEdge 62634019#1 62634019#2.0 62634019#2.242 62634019#3-AddedOnRampEdge 62634019#3 62634019#3-AddedOffRampEdge 12111747.0 38502259#0.19 450844933#1 196207110#0 196207110#2" probability="0.0169491525423729"/&gt;</t>
  </si>
  <si>
    <t xml:space="preserve">    &lt;route id="Router3_84" edges="31909473.0 31909473.857 62634019#1-AddedOnRampEdge 62634019#1 62634019#2.0 62634019#2.242 62634019#3-AddedOnRampEdge 62634019#3 62634019#3-AddedOffRampEdge 12111747.0 59671945#0.30 62093806#0 104526265#0.14 424080766 424080768#0 104523976#1 262962063 12189051#0 -12189051#1 -262962063 -424080764 -424080768#1 -424080766 -104526265#1 -262962068#1 -424080774 -32122059#1 -32122059#0 -196393940#2 -196393940#0" probability="0.0169491525423729"/&gt;</t>
  </si>
  <si>
    <t xml:space="preserve">    &lt;route id="Router3_85" edges="31909473.0 31909473.857 62634019#1-AddedOnRampEdge 62634019#1 62634019#2.0 62634019#2.242 62634019#3-AddedOnRampEdge 62634019#3 62634019#3-AddedOffRampEdge 12111747.0 59671945#0.30 62093806#0 104526265#0.14 424080766 424080768#0 104523976#1 262962063 12189051#0 -12189051#1 -262962063 -424080764 -424080768#1 -424080766 -104526265#1 30953497#0 30953497#2 30953497#3 42706585#0 42706585#1 30953320 30953320-AddedOffRampEdge 104526277 30953215#1-AddedOnRampEdge 30953215#1 121643865#0 12110705 50715233#0 50715233#0-AddedOffRampEdge 50715233#1.0 62203285#14.24 30908387 30908366#1-AddedOnRampEdge 30908366#1 121643863 121643862 51758697#0 51758697#1-AddedOnRampEdge 51758697#1 -gneE46.0 43357850.4841.18 gneE46 49887339#0.596 49887339#0-AddedOffRampEdge 49887339#1 49887339#1-AddedOffRampEdge 104524021 104524021-AddedOffRampEdge 50192637#0 50192637#1-AddedOnRampEdge 50192637#1.0.0 50192637#1.0.382.0.0 50192637#1.697 50192637#1-AddedOffRampEdge 30953181#1 30953181#2-AddedOnRampEdge 30953181#2 30953181#3-AddedOnRampEdge 30953181#3 30953181#3-AddedOffRampEdge 30952933#1.0 30952933#1.199" probability="0.0169491525423729"/&gt;</t>
  </si>
  <si>
    <t xml:space="preserve">    &lt;route id="Router3_86" edges="31909473.0 31909473.857 62634019#1-AddedOnRampEdge 62634019#1 62634019#2.0 62634019#2.242 62634019#3-AddedOnRampEdge 62634019#3 62634019#3-AddedOffRampEdge 12111747.0 59671945#0.30 62093806#0 104526265#0.14 424080766 424080768#0 104523976#1 262962063 12189051#0 -12189051#1 -262962063 -424080764 -424080768#1 -424080766 -104526265#1 30953497#0 30953497#2 30953497#3 42706585#0 42706585#1 30953320 30953320-AddedOffRampEdge 104526277 30953215#1-AddedOnRampEdge 30953215#1 121643865#0 12110705 50715233#0 50715233#0-AddedOffRampEdge 50715233#1.0 62203285#14.24 gneE59.30.0.55 gneE59.30.0.0 43539373#0.0.292.17 gneE58 gneE56 gneE54.0 62203360#0 291433361#0 132508433.0 -gneE6.0 gneE6.0 424765883 43570920#0.22 132508717#4 43539378#1 43569848 30953391 12113092 51758697#1-AddedOnRampEdge 51758697#1 -gneE46.0 43357850.4841.18 gneE46 49887339#0.596 49887339#0-AddedOffRampEdge 49887339#1 49887339#1-AddedOffRampEdge 104524021 104524021-AddedOffRampEdge 50192637#0 50192637#1-AddedOnRampEdge 50192637#1.0.0 50192637#1.0.382.0.0 50192637#1.697 50192637#1-AddedOffRampEdge 30953181#1 30953181#2-AddedOnRampEdge 30953181#2 30953181#3-AddedOnRampEdge 30953181#3 30953181#3-AddedOffRampEdge 30952933#1.0 30952933#1.199" probability="0.0169491525423729"/&gt;</t>
  </si>
  <si>
    <t xml:space="preserve">    &lt;route id="Router3_87" edges="31909473.0 31909473.857 62634019#1-AddedOnRampEdge 62634019#1 62634019#2.0 62634019#2.242 62634019#3-AddedOnRampEdge 62634019#3 62634019#3-AddedOffRampEdge 12111747.0 59671945#0.30 62093806#0 104526265#0.14 424080766 424080768#0 104523976#1 262962063 12189051#0 -12189051#1 -262962063 -424080764 -424080768#1 -424080766 -104526265#1 30953497#0 30953497#2 30953497#3 42706585#0 42706585#1 30953320 30953320-AddedOffRampEdge 104526277 30953215#1-AddedOnRampEdge 30953215#1 121643865#0 12110705 50715233#0 50715233#0-AddedOffRampEdge 50715233#1.0 62203285#14.24 gneE59.30.0.55 gneE59.30.0.0 43539373#0.0.292.17 gneE58 gneE56 gneE54.0 62203360#0 291433361#0 132508433.0 -gneE6.0 gneE6.0 424765883 43570920#0.22 132508717#4 43539378#1 43569848 30953391 12113092 51758697#1-AddedOnRampEdge 51758697#1" probability="0.0169491525423729"/&gt;</t>
  </si>
  <si>
    <t xml:space="preserve">    &lt;route id="Router3_88" edges="31909473.0 31909473.857 62634019#1-AddedOnRampEdge 62634019#1 62634019#2.0 62634019#2.242 62634019#3-AddedOnRampEdge 62634019#3 62634019#3-AddedOffRampEdge 12111747.0 59671945#0.30 62093806#0 104526265#0.14 424080766 424080768#0 104523976#1 262962063 12189051#0 -12189051#1 -262962063 -424080764 -424080768#1 -424080766 -104526265#1 30953497#0 30953497#2 30953497#3 42706585#0 42706585#1 30953320 30953320-AddedOffRampEdge 104526277 30953215#1-AddedOnRampEdge 30953215#1 121643865#0 12110705 50715233#0 50715233#0-AddedOffRampEdge 50715233#1.0 62203285#14.24 gneE59.30.0.55 gneE59.30.0.0 43539373#0.0.292.17 gneE58 gneE56 gneE54.0 gneE62.13 gneE81.0 gneE6.0 424765883 gneE87 196393957 132508433.0 -gneE6.0 gneE81.299.0 gneE81.299.79 gneE81.299.145 12178843#0 12178843#1 43539369#3 43539369#4 43539368#0 43570920#3 43570920#5 404615579 43569828#0 43539397#3 43569816#0 49914076#0 12167196#0.0.0 424764853 12149178#0 12149178#1 12149178#2 50189577 62203295 145605533#1-AddedOnRampEdge 145605533#1 145605511#1-AddedOnRampEdge 145605511#12 145605511#1.148" probability="0.0169491525423729"/&gt;</t>
  </si>
  <si>
    <t xml:space="preserve">    &lt;route id="Router3_89" edges="31909473.0 31909473.857 62634019#1-AddedOnRampEdge 62634019#1 62634019#2.0 62634019#2.242 62634019#3-AddedOnRampEdge 62634019#3 62634019#3-AddedOffRampEdge 12111747.0 59671945#0.30 62093806#0 104526265#0.14 424080766 424080768#0 104523976#1 262962063 12189051#0 -12189051#1 -262962063 -424080764 -424080768#1 -424080766 -104526265#1 30953497#0 30953497#2 30953497#3 42706585#0 42706585#1 30953320 30953320-AddedOffRampEdge 104526277 30953215#1-AddedOnRampEdge 30953215#1 121643865#0 12110705 50715233#0 50715233#0-AddedOffRampEdge 50715233#1.0 62203285#14.24 gneE59.30.0.55 gneE59.30.0.0 43539373#0.0.292.17 gneE58 gneE56 gneE54.0 gneE62.13 gneE81.0 gneE81.299.0 12138964.1128 196393941#8 gneE87 196393974#0 49914077 424767578 43569819 387422128#1 43569827#0 43569827#1 43569827#2 43569827#7 43569848 30953391 424769002 424769005 424769006 424769004 30953396#1 -424769003#1 -424769003#0 -485017374 42706828#0 42706828#2 12182281#0 12182281#3 12182281#5 12182281#6 386995507#4 386995507#5 386995507#6 12152013#1 12152013#2 -12175537#6 -12175537#5 -12175537#4 12182281#9 12182281#10 -388756839#1 -388756839#0 -50033059#4 -50033059#3 -50033059#2 -50033059#1 42706833#0 42706833#2 12189876#0 12189876#2 484953508#1 60185970#0 60185970#2 12149571#1 12187610#3 50033558#2 -12188656 -121319046 -42706825#7 12199713#0 12199713#1 -386995514#6 -386995514#5 -386995514#4 -386995514#3 194358817#0 194358817#1 194358817#2 12114363#0 12114363#1 -50033059#4 12175537#0 12175537#2 12175537#3 12175537#4 12175537#5 12175537#6 12175537#7 12175537#8 12175537#9 12175537#10 12175537#11 12175537#12 12155177#1 12155177#2 387422153#1 gneE73 gneE75.0 gneE80.125" probability="0.0169491525423729"/&gt;</t>
  </si>
  <si>
    <t xml:space="preserve">    &lt;route id="Router3_90" edges="31909473.0 31909473.857 62634019#1-AddedOnRampEdge 62634019#1 62634019#2.0 62634019#2.242 62634019#3-AddedOnRampEdge 62634019#3 62634019#3-AddedOffRampEdge 12111747.0 59671945#0.30 62093806#0 104526265#0.14 424080766 424080768#0 104523976#1 262962063 12189051#0 -12189051#1 -262962063 -424080764 -424080768#1 -424080766 -104526265#1 30953497#0 30953497#2 30953497#3 42706585#0 42706585#1 30953320 30953320-AddedOffRampEdge 104526277 30953215#1-AddedOnRampEdge 30953215#1 121643865#0 12110705 50715233#0 50715233#0-AddedOffRampEdge 50715233#1.0 62203285#14.24 gneE59.30.0.55 gneE59.30.0.0 gneE59.0.0 gneE59.0.12 62203360#0 291433361#0 132508433.0 -gneE6.0 gneE81.299.0 gneE81.299.79 gneE81.299.145 -gneE8 12154353#0 196393941#1 196393941#2 28533986 43539369#2 12178843#2 12178843#3 49960982#2 43569828#0 387422128#1 43569827#0 43569827#1 43569827#2 43569827#7 43569848 30953391 424769002 424769005 424769006 424769004 30953396#1 387422132#0 387422132#1 486653633#0 484953506#3 484953506#4 12157002#0 12157002#1 12157002#3 12157002#5 12114396#4 -12156992#10 -12156992#8 -12156992#7 -12156992#6 -12156992#5 -12156992#4 -12156992#3 -12156992#2 -12156992#1 -386547297#1 -424080772#2 -424080772#1 -262962065#1 -262962063 -424080764 -424080768#1 -424080766 -104526265#1 30953497#0 30953497#2 35920555#0.0 35920555#0.75 62203066 43331031.0 43331031.436 42706585#0 42706585#1 30953320 30953320-AddedOffRampEdge 30953315 104526276-AddedOnRampEdge 104526276 51758697#0 51758697#1-AddedOnRampEdge 51758697#1" probability="0.0169491525423729"/&gt;</t>
  </si>
  <si>
    <t xml:space="preserve">    &lt;route id="Router3_91" edges="31909473.0 31909473.857 62634019#1-AddedOnRampEdge 62634019#1 62634019#2.0 62634019#2.242 62634019#3-AddedOnRampEdge 62634019#3 62634019#3-AddedOffRampEdge 12111747.0 59671945#0.30 62093806#0 104526265#0.14 424080766 424080768#0 104523976#1 262962063 12189051#0 -12189051#1 424080770#0 424080772#0 12119506#0 -12156992#1 -386547297#1 -424080772#2 -424080772#1 -424080761#1 -62623960 62623959#0 386547296#0 386547296#1 424080773#0 279870839#0 279870839#2 450844960#0 62623926#1 450844950#0 38502259#0.19 450844933#1 196207115#0 196207115#2 196207115#3 196355332#0 450844979#0.0 450844982#0.19 62203497#0 62203497#2 62203497#3 12134479#1 34685684#0 34685684#2 388533143#0 388533143#2 12140627#0 63060729#0 -264253834#2 12156992#4 12156992#5 12156992#6 12156992#7 12156992#8 12156992#9 -12114396#5 -12114396#3 -12114396#1 485017383#0 485017382#0 485017382#1 211575484#0 -12177521#3 -12177521#2 -12177521#1 32121111#12 32121111#14 -12187610#5 -12187610#2 -12187610#1 12150608#0 32121146#2 12117702#9 450844953#0 450844953#2 450844953#3 450844947#0 388533142#0 388533142#2 388533142#4 62623926#0 62623926#1 450844950#0 38502259#0.19 450844933#1 196207110#0 196207110#2" probability="0.0169491525423729"/&gt;</t>
  </si>
  <si>
    <t xml:space="preserve">    &lt;route id="Router3_92" edges="31909473.0 31909473.857 62634019#1-AddedOnRampEdge 62634019#1 62634019#2.0 62634019#2.242 62634019#3-AddedOnRampEdge 62634019#3 62634019#3-AddedOffRampEdge 12111747.0 59671945#0.30 62093806#0 104526265#0.14 424080766 424080768#0 104523976#1 262962063 12189051#0 -12189051#1 424080770#0 424080772#0 12119506#0 -12156992#1 -386547297#1 -424080772#2 -424080772#1 -424080761#1 -62623960 62623959#0 386547296#0 386547296#1 424080773#0 279870839#0 279870839#2 450844960#0 62623926#1 450844950#0 38502259#0.19 450844933#1 196207115#0 196207115#2 196207115#3 196355332#0 450844979#0.0 450844982#0.19 62203497#0 62203497#2 62203497#3 12134479#1 34685684#0 34685684#2 388533143#0 388533143#2 12140627#0 63060729#0 -264253834#2 12156992#4 12156992#5 12156992#6 12156992#7 12156992#8 12156992#9 -12114396#5 -12114396#3 -12114396#1 485017383#0 485017382#0 485017382#1 211575484#0 -12177521#3 -12177521#2 -12177521#1 32121111#12 32121111#14 -12187610#5 -12187610#2 -12187610#1 12150608#0 32121146#2 12117702#9 450844953#0 450844953#2 450844953#3 450844947#0 388533142#0 388533142#2 388533142#4 62623926#0 62623926#1 450844950#0 38502259#0.19 450844933#1 196207110#0 196355327#2 196355327#5 -196393940#0" probability="0.0169491525423729"/&gt;</t>
  </si>
  <si>
    <t xml:space="preserve">    &lt;route id="Router3_93" edges="31909473.0 31909473.857 62634019#1-AddedOnRampEdge 62634019#1 62634019#2.0 62634019#2.242 62634019#3-AddedOnRampEdge 62634019#3 62634019#3-AddedOffRampEdge 12111747.0 59671945#0.30 62093806#0 104526265#0.14 424080766 424080768#0 104523976#1 262962063 12189051#0 -12189051#1 424080770#0 424080772#0 12119506#0 -12156992#1 -386547297#1 -424080772#2 -424080772#1 -424080761#1 -62623960 62623959#0 386547296#0 386547296#1 424080773#0 279870839#0 279870839#2 450844960#0 62623926#1 450844950#0 38502259#0.19 450844933#1 196207115#0 196207115#2 196207115#3 196355332#0 450844979#0.0 450844982#0.19 62203497#0 62203497#2 62203497#3 12134479#1 34685684#0 34685684#2 388533143#0 388533143#2 12140627#0 63060729#0 -264253834#2 12156992#4 12156992#5 12156992#6 12156992#7 12156992#8 12156992#9 484953505 12148522#0 -12186058#4 -12186058#1 -386995465#1 -386995504#1 386995479#0 12157718#5 12157718#7 485017376 485017373#0 387422135#0 424769003#0 424769003#1 -30953396#1 -30953396#0 -424769006 -424769005 -424769002 -30953391 -43569848 -393884751 12159702 424764853 12149178#0 50189796 50189564 12149178#2 145605533#0 145605533#1-AddedOnRampEdge 145605533#1 145605511#1-AddedOnRampEdge 145605511#12 145605511#1.148" probability="0.0169491525423729"/&gt;</t>
  </si>
  <si>
    <t xml:space="preserve">    &lt;route id="Router3_94" edges="31909473.0 31909473.857 62634019#1-AddedOnRampEdge 62634019#1 62634019#2.0 62634019#2.242 62634019#3-AddedOnRampEdge 62634019#3 62634019#3-AddedOffRampEdge 12111747.0 59671945#0.30 62093806#0 104526265#0.14 424080766 424080768#0 104523976#1 262962063 12189051#0 -12189051#1 424080770#0 424080772#0 12119506#0 -12156992#1 -386547297#1 -424080772#2 -424080772#1 -424080761#1 -62623960 62623959#0 386547296#0 386547296#1 424080773#0 279870839#0 279870839#2 450844960#0 62623926#1 450844950#0 38502259#0.19 450844933#1 196207115#0 196207115#2 196207115#3 196355332#0 450844979#0.0 450844982#0.19 62203497#0 62203497#2 62203497#3 12134479#1 34685684#0 34685684#2 388533143#0 388533143#2 12140627#0 63060729#0 -264253834#2 12156992#4 12156992#5 12156992#6 12156992#7 12156992#8 12156992#9 484953505 12148522#0 485017381#0 485017381#1 -30953396#1 30953396#1 -424769003#1 -424769003#0 12157002#0 12157002#1 12157002#3 12157002#5 12114396#4 -12156992#10 -12156992#8 -12156992#7 -12156992#6 -12156992#5 -12156992#4 -12156992#3 -12156992#2 -12156992#1 -386547297#1 -424080772#2 -424080772#1 -262962065#1 -262962063 -424080764 -424080768#1 -424080766 -104526265#1 -262962068#1 -424080774 -32122059#1 -32122059#0 -196393940#2 -196393940#0" probability="0.0169491525423729"/&gt;</t>
  </si>
  <si>
    <t xml:space="preserve">    &lt;route id="Router3_95" edges="31909473.0 31909473.857 62634019#1-AddedOnRampEdge 62634019#1 62634019#2.0 62634019#2.242 62634019#3-AddedOnRampEdge 62634019#3 62634019#3-AddedOffRampEdge 12111747.0 59671945#0.30 62093806#0 104526265#0.14 424080766 424080768#0 104523976#1 262962063 12189051#0 -12189051#1 424080770#0 424080772#0 12119506#0 -12156992#1 -386547297#1 -424080772#2 -424080772#1 -424080761#1 -62623960 62623959#0 386547296#0 386547296#1 424080773#0 279870839#0 279870839#2 450844960#0 62623926#1 450844950#0 38502259#0.19 450844933#1 196207115#0 196207115#2 196207115#3 196355332#0 450844979#0.0 450844982#0.19 62203497#0 62203497#2 62203497#3 12134479#1 34685684#0 34685684#2 388533143#0 388533143#2 12140627#0 63060729#0 -264253834#2 12156992#4 12156992#5 12156992#6 12156992#7 12156992#8 12156992#9 484953505 12148522#0 485017381#0 485017381#1 -30953396#1 30953396#1 -424769003#1 -424769003#0 12157002#0 12157002#1 12157002#3 12157002#5 12114396#4 -12156992#10 -12156992#8 -12156992#7 -12156992#6 -12156992#5 -12156992#4 -12156992#3 -12156992#2 -12156992#1 -386547297#1 -424080772#2 -424080772#1 -262962065#1 -262962063 -424080764 -424080768#1 -424080766 -104526265#1 30953497#0 30953497#2 30953497#3 42706585#0 42706585#1 30953320 30953320-AddedOffRampEdge 104526277 30953215#1-AddedOnRampEdge 30953215#1 121643865#0 12110705 50715233#0 50715233#0-AddedOffRampEdge 50715233#1.0 62203285#14.24 gneE59.30.0.55 gneE59.30.0.0 43539373#0.0.292.17 gneE58 gneE56 gneE54.0 gneE62.13 gneE81.0 gneE6.0 424765883 43539378#0.15 43539378#1 -393884751 12159702 424764853 12149178#0 50189796 50189564 12149178#2 145605533#0 145605533#1-AddedOnRampEdge 145605533#1 145605511#1-AddedOnRampEdge 145605511#12 145605511#1.148" probability="0.0169491525423729"/&gt;</t>
  </si>
  <si>
    <t xml:space="preserve">    &lt;route id="Router3_96" edges="31909473.0 31909473.857 62634019#1-AddedOnRampEdge 62634019#1 62634019#2.0 62634019#2.242 62634019#3-AddedOnRampEdge 62634019#3 62634019#3-AddedOffRampEdge 12111747.0 59671945#0.30 62093806#0 104526265#0.14 424080766 424080768#0 104523976#1 262962063 12189051#0 -12189051#1 424080770#0 424080772#0 12119506#0 -12156992#1 -386547297#1 -424080772#2 -424080772#1 -424080761#1 -62623960 62623959#0 386547296#0 386547296#1 424080773#0 279870839#0 279870839#2 450844960#0 62623926#1 450844950#0 38502259#0.19 450844933#1 196207115#0 196207115#2 196207115#3 196355332#0 450844979#0.0 450844982#0.19 62203497#0 62203497#2 62203497#3 12134479#1 34685684#0 34685684#2 388533143#0 388533143#2 12140627#0 63060729#0 -264253834#2 12156992#4 12156992#5 12156992#6 12156992#7 12156992#8 12156992#9 484953505 12148522#0 485017381#0 485017381#1 -30953396#1 30953396#1 -424769003#1 -424769003#0 12157002#0 12157002#1 12186058#2 485017381#0 -12157718#12 -12157718#10 -12157718#9 -12157718#8 -12157718#6 386995479#1 386995479#2 386995479#3 386995479#4 386995479#5 386995479#6 386995490#0.0 12154359#1.20 12154359#2 -386995521#1 -386995521#0 43357814#0 43357814#1 42706837#4 42706837#5 12154359#5 12154359#6 386995531#1 386995531#2 386995531#3 386995531#4 12172918#2 gneE73 gneE75.0 gneE80.125" probability="0.0169491525423729"/&gt;</t>
  </si>
  <si>
    <t xml:space="preserve">    &lt;route id="Router3_97" edges="31909473.0 31909473.857 62634019#1-AddedOnRampEdge 62634019#1 62634019#2.0 62634019#2.242 62634019#3-AddedOnRampEdge 62634019#3 62634019#3-AddedOffRampEdge 12111747.0 59671945#0.30 62093806#0 104526265#0.14 424080766 424080768#0 104523976#1 262962063 12189051#0 -12189051#1 424080770#0 424080772#0 424080772#2 386547297#0 424080771#0 424080767#0 386547298#0 424769177 424080769#0 55179414#0 12187610#0 -484953508#2 424801339#0 62646509#0 424801338#0 424801338#1 12117702#0 12117702#4 12117702#7 -32121146#3 -32121146#1 55179413#0 424769182 -450827405#2 -450827400#2 -450827382 -450827385#1 12134222#0 12134222#2 12134222#3 386547311#11 386547311#13 357338496#0 357338496#2 450695461#0 62646494#0 424801336#0 484842168#0 283621820 -28555309#1 -424801341 -283621822#1 -424801343#1 -424801343#0 49991658 424801340 424801342 386550018#0 386550018#0-AddedOffRampEdge 386550018#1 49991638 -12144161#0 12144161#0 12144161#1 49991657 283621821#1 283621821#1-AddedOffRampEdge 283621821#2 49991647#1 49991647#2 63060732#0 63060732#1 63060732#2.0 63060732#2.116 50033027 -50033029 50033050#0 50033050#2 424799828 424799825 424799826 50033054 63060727 50033029 50033028#0 50033028#3 50033028#5 50033028#6 49991646 386547300#0 283621823 386547301-AddedOnRampEdge 386547301 424801344#0 424801343#1 283621822#0 424801341 28555309#0 49991649#0 424986163#0 51049946#0 424801337#0 357338497#0 357338497#2 450695460#0 62646499#0 62646499#2 450827424#0 62646508#0 62646508#2 424799820 424799823#0 50033059#0 50033059#2 50033059#3 50033059#4 388756839#0 388756839#1 388756838#0 12136923#0 386547309#0 386547309#2 386547309#3 386547309#5 386547309#7 51050030#4 51050030#7 gneE35 -gneE34.0 --gneE83.0" probability="0.0169491525423729"/&gt;</t>
  </si>
  <si>
    <t xml:space="preserve">    &lt;route id="Router3_98" edges="31909473.0 31909473.857 62634019#1-AddedOnRampEdge 62634019#1 62634019#2.0 62634019#2.242 62634019#3-AddedOnRampEdge 62634019#3 62634019#3-AddedOffRampEdge 12111747.0 59671945#0.30 62093806#0 104526265#0.14 424080766 424080768#0 104523976#1 262962063 12189051#0 -12189051#1 424080770#0 424080772#0 424080772#2 386547297#0 424080771#0 424080767#0 386547298#0 424769177 424080769#0 55179414#0 12187610#0 -484953508#2 424801339#0 62646509#0 424801338#0 424801338#1 357338496#0 357338487#0 -12134222#6 -12134222#4 -12134222#2 -12134222#1 12175523#0 484953509#4 51050030#0 386547309#9 12180696#0 12180696#2 12180696#4 12180696#6 386547306#0 386547306#4 386547306#6 51049745#0 51049745#2 51049745#3 484842179#16.0 62094032#0.9 288513230#0 288513232 484842173 50033030#0 -424801341 -283621822#1 -424801343#1 -424801343#0 49991658 424801340 424801342 386550018#0 386550018#0-AddedOffRampEdge 386550018#1 49991638 -12144161#0 12144161#0 12144161#1 49991657 283621821#1 283621821#1-AddedOffRampEdge 283621821#2 49991647#1 49991647#2 63060732#0 63060732#1 63060732#2.0 63060732#2.116 50033027 -50033029 50033050#0 50033050#2 424799828 424799825 424799826 50033054 63060727 50033029 50033028#0 50033028#3 50033028#5 50033028#6 49991646 386547300#0 283621823 386547301-AddedOnRampEdge 386547301 424801344#0 424801343#1 283621822#0 424801341 28555309#0 49991649#0 424986163#0 51049946#0 424801337#0 357338497#0 357338497#2 450695460#0 62646499#0 62646499#2 450827424#0 62646508#0 62646508#2 424799820 424799823#0 50033059#0 50033059#2 50033059#3 50033059#4 388756839#0 388756839#1 388756838#0 12136923#0 386547309#0 386547309#2 386547309#3 386547309#5 386547309#7 51050030#4 51050030#7 gneE35 -gneE34.0 --gneE83.0" probability="0.0169491525423729"/&gt;</t>
  </si>
  <si>
    <t xml:space="preserve">    &lt;route id="Router3_99" edges="31909473.0 31909473.857 62634019#1-AddedOnRampEdge 62634019#1 62634019#2.0 62634019#2.242 62634019#3-AddedOnRampEdge 62634019#3 62634019#3-AddedOffRampEdge 12111747.0 59671945#0.30 62093806#0 104526265#0.14 424080766 424080768#0 104523976#1 262962063 12189051#0 -12189051#1 424080770#0 424080772#0 424080772#2 386547297#0 424080771#0 424080767#0 386547298#0 424769177 424080769#0 55179414#0 12187610#0 -484953508#2 424801339#0 62646509#0 424801338#0 424801338#1 357338496#0 357338487#0 -12134222#6 -12134222#4 -12134222#2 -12134222#1 12175523#0 484953509#4 51050030#0 386547309#9 12180696#0 12180696#2 386547311#6 386547311#8 386547311#9 -12134222#4 -12134222#2 -12134222#1 12175523#0 484953509#4 51050030#0 386547309#9 12180696#0 12180696#2 12180696#4 12180696#6 386547306#0 386547306#4 386547306#6 51049745#0 51049745#2 51049745#3 484842179#16.0 62094032#0.9 288513230#0 288513232 484842173 50033030#0 -424801341 -283621822#1 -424801343#1 -424801343#0 49991658 424801340 424801342 386550018#0 386550018#0-AddedOffRampEdge 386550018#1 49991638 -12144161#0 12144161#0 12144161#1 49991657 283621821#1 283621821#1-AddedOffRampEdge 283621821#2 49991647#1 49991647#2 63060732#0 63060732#1 63060732#2.0 63060732#2.116 50033027 -50033029 50033050#0 50033050#2 424799828 424799825 424799826 50033054 63060727 50033029 50033028#0 50033028#3 50033028#5 50033028#6 49991646 386547300#0 283621823 386547301-AddedOnRampEdge 386547301 424801344#0 424801343#1 283621822#0 424801341 28555309#0 49991649#0 424986163#0 51049946#0 424801337#0 357338497#0 357338497#2 450695460#0 62646499#0 62646499#2 450827424#0 62646508#0 62646508#2 424799820 424799823#0 50033059#0 50033059#2 50033059#3 50033059#4 388756839#0 388756839#1 388756838#0 12136923#0 386547309#0 386547309#2 386547309#3 386547309#5 386547309#7 51050030#4 51050030#7 gneE35 -gneE34.0 --gneE83.0" probability="0.0169491525423729"/&gt;</t>
  </si>
  <si>
    <t xml:space="preserve">    &lt;route id="Router3_100" edges="31909473.0 31909473.857 62634019#1-AddedOnRampEdge 62634019#1 62634019#2.0 62634019#2.242 62634019#3-AddedOnRampEdge 62634019#3 62634019#3-AddedOffRampEdge 12111747.0 59671945#0.30 62093806#0 104526265#0.14 424080766 424080768#0 104523976#1 262962063 12189051#0 -12189051#1 424080770#0 424080772#0 424080772#2 386547297#0 424080771#0 424080767#0 386547298#0 424769177 424080769#0 55179414#0 12187610#0 -484953508#2 424801339#0 62646509#0 424801338#0 424801338#1 357338496#0 357338487#0 -12134222#6 -12134222#4 -12134222#2 -12134222#1 12175523#0 484953509#4 51050030#0 386547309#9 12180696#0 12180696#2 386547311#6 386547311#8 386547311#9 -12134222#4 -12134222#2 -12134222#1 12175523#0 484953509#4 51050030#0 386547309#9 12180696#0 12180696#2 386547311#6 386547311#8 386547311#9 -12134222#4 -12134222#2 -12134222#1 450827385#0 450827382 450827400#0 62646509#0 424801338#0 424801338#1 12117702#0 12117702#4 12117702#7 -32121146#3 -32121146#1 55179413#0 424769182 -450827405#2 -450827400#2 -450827382 -450827385#1 12134222#0 12134222#2 12134222#3 386547311#11 386547311#13 357338496#0 357338496#2 450695461#0 62646494#0 424801336#0 484842168#0 283621820 -28555309#1 -424801341 -283621822#1 -424801343#1 -424801343#0 49991658 424801340 424801342 386550018#0 386550018#0-AddedOffRampEdge 386550018#1 49991638 -12144161#0 12144161#0 12144161#1 49991657 283621821#1 283621821#1-AddedOffRampEdge 283621821#2 49991647#1 49991647#2 63060732#0 63060732#1 63060732#2.0 63060732#2.116 50033027 -50033029 50033050#0 50033050#2 424799828 424799825 424799826 50033054 63060727 50033029 50033028#0 50033028#3 50033028#5 50033028#6 49991646 386547300#0 283621823 386547301-AddedOnRampEdge 386547301 424801344#0 424801343#1 283621822#0 424801341 28555309#0 49991649#0 424986163#0 51049946#0 424801337#0 357338497#0 357338497#2 450695460#0 62646499#0 62646499#2 450827424#0 62646508#0 62646508#2 424799820 424799823#0 50033059#0 50033059#2 50033059#3 50033059#4 388756839#0 388756839#1 388756838#0 12136923#0 386547309#0 386547309#2 386547309#3 386547309#5 386547309#7 51050030#4 51050030#7 gneE35 -gneE34.0 --gneE83.0" probability="0.0169491525423729"/&gt;</t>
  </si>
  <si>
    <t xml:space="preserve">    &lt;route id="Router3_101" edges="31909473.0 31909473.857 62634019#1-AddedOnRampEdge 62634019#1 62634019#2.0 62634019#2.242 62634019#3-AddedOnRampEdge 62634019#3 62634019#3-AddedOffRampEdge 12111747.0 59671945#0.30 62093806#0 30953497#0 30953497#2 35920555#0.0 35920555#0.75 62203066 43331031.0 43331031.436 42706585#0 42706585#1 30953320 30953320-AddedOffRampEdge 30953315 104526276-AddedOnRampEdge 104526276 51758697#0 51758697#1-AddedOnRampEdge 51758697#1" probability="0.0169491525423729"/&gt;</t>
  </si>
  <si>
    <t xml:space="preserve">    &lt;route id="Router3_102" edges="31909473.0 31909473.857 62634019#1-AddedOnRampEdge 62634019#1 62634019#2.0 62634019#2.242 62634019#3-AddedOnRampEdge 62634019#3 62634019#3-AddedOffRampEdge 12111747.0 62203498#0 62093806#0 104526265#0.14 424080766 424080768#0 104523976#1 262962063 424080770#0 -424080761#1 -62623960 62623959#0 386547296#0 386547296#1 424080773#0 104523976#1 262962063 424080770#0 424080772#0 424080772#2 386547297#0 424080771#0 424080767#0 386547298#0 424769177 424080769#0 55179414#0 55179413#0 424769182 -450827405#2 -450827400#2 -450827382 -450827385#1 -450827391#1 -450827381 -450827397#1 12180696#0 59435515#1 59435515#2 59435515#3 59435515#4 424801338#1 12117702#0 12117702#4 12117702#7 -32121146#3 12202008#2.0 12202008#2.171 62646499#2 450827424#0 450827405#0 262962062 -55179413#2 12187610#0 12187610#2 12187610#3 -62105579 12186909#0 12186909#1 12186909#2 12186909#4 12186909#6 386995479#0 12157718#5 12157718#7 485017376 485017373#0 387422135#0 424769003#0 424769003#1 -30953396#1 -30953396#0 -424769006 -424769005 -424769002 -30953391 -43569848 -393884751 12159702 424764853 12149178#0 50189796 50189564 12149178#2 145605533#0 145605533#1-AddedOnRampEdge 145605533#1 145605511#1-AddedOnRampEdge 145605511#12 145605511#1.148" probability="0.0169491525423729"/&gt;</t>
  </si>
  <si>
    <t xml:space="preserve">    &lt;route id="Router3_103" edges="31909473.0 31909473.857 62634019#1-AddedOnRampEdge 62634019#1 62634019#2.0 62634019#2.242 62634019#3-AddedOnRampEdge 62634019#3 62634019#3-AddedOffRampEdge 12111747.0 62203498#0 62093806#0 104526265#0.14 424080766 424080768#0 104523976#1 262962063 424080770#0 -424080761#1 -62623960 62623959#0 386547296#0 386547296#1 424080773#0 279870839#0 279870839#2 450844960#0 62623926#1 450844950#0 38502259#0.19 450844933#1 196207110#0 196207110#2" probability="0.0169491525423729"/&gt;</t>
  </si>
  <si>
    <t xml:space="preserve">    &lt;route id="Router3_104" edges="31909473.0 31909473.857 62634019#1-AddedOnRampEdge 62634019#1 62634019#2.0 62634019#2.242 62634019#3-AddedOnRampEdge 62634019#3 62634019#3-AddedOffRampEdge 12111747.0 62203498#0 62093806#0 104526265#0.14 424080766 424080768#0 104523976#1 262962063 424080770#0 -424080761#1 -62623960 62623959#0 386547296#0 386547296#1 424080773#0 279870839#0 279870839#2 450844960#0 62623926#1 450844950#0 38502259#0.19 450844933#1 196207110#0 196355327#2 196355327#5 -196393940#0" probability="0.0169491525423729"/&gt;</t>
  </si>
  <si>
    <t xml:space="preserve">    &lt;route id="Router3_105" edges="31909473.0 31909473.857 62634019#1-AddedOnRampEdge 62634019#1 62634019#2.0 62634019#2.242 62634019#3-AddedOnRampEdge 62634019#3 62634019#3-AddedOffRampEdge 12111747.0 62203498#0 62093806#0 104526265#0.14 424080766 424080768#0 104523976#1 262962063 424080770#0 424080772#0 424080772#2 386547297#0 424080771#0 424080767#0 386547298#0 424769177 424080769#0 12144152#0 12144152#2 12144152#4 12144152#6 12157151#0 12166276#2 -32121146#5 12117702#9 450844953#0 450844953#2 450844953#3 450844947#0 388533142#0 388533142#2 12189045#0 62623987#0 62623987#1 -12142631 12202018 62623986#1 62623986#2 -12189051#1 -262962063 -424080764 -424080768#1 -424080766 -104526265#1 -262962068#1 -424080774 -32122059#1 -32122059#0 -196393940#2 -196393940#0" probability="0.0169491525423729"/&gt;</t>
  </si>
  <si>
    <t xml:space="preserve">    &lt;route id="Router3_106" edges="31909473.0 31909473.857 62634019#1-AddedOnRampEdge 62634019#1 62634019#2.0 62634019#2.242 62634019#3-AddedOnRampEdge 62634019#3 62634019#3-AddedOffRampEdge 12111747.0 62203498#0 62093806#0 104526265#0.14 424080766 424080768#0 104523976#1 262962063 424080770#0 424080772#0 424080772#2 386547297#0 424080771#0 424080767#0 386547298#0 424769177 424080769#0 12144152#0 12144152#2 12144152#4 12166276#0 -351053388#2 12144152#7 450844965#0 388533145#0 -12168663#6 -484953513#2 -484953514#2 -284556051#4 -284556051#2 51050278#0.0 gneE16 -12165855#3.1535 386547306#4 386547306#6 51049745#0 51049745#2 51049745#3 484842179#16.0 62094032#0.9 288513230#0 288513232 484842173 50033030#0 -424801341 -283621822#1 -424801343#1 -424801343#0 49991658 424801340 424801342 386550018#0 386550018#0-AddedOffRampEdge 386550018#1 49991638 -12144161#0 12144161#0 12144161#1 49991657 283621821#1 283621821#1-AddedOffRampEdge 283621821#2 49991647#1 49991647#2 63060732#0 63060732#1 63060732#2.0 63060732#2.116 50033027 -50033029 50033050#0 50033050#2 424799828 424799825 424799826 50033054 63060727 50033029 50033028#0 50033028#3 50033028#5 50033028#6 49991646 386547300#0 283621823 386547301-AddedOnRampEdge 386547301 424801344#0 424801343#1 283621822#0 424801341 28555309#0 49991649#0 424986163#0 51049946#0 424801337#0 357338497#0 357338497#2 450695460#0 62646499#0 62646499#2 450827424#0 62646508#0 62646508#2 424799820 424799823#0 50033059#0 50033059#2 50033059#3 50033059#4 388756839#0 388756839#1 388756838#0 12136923#0 386547309#0 386547309#2 386547309#3 386547309#5 386547309#7 51050030#4 51050030#7 gneE35 -gneE34.0 --gneE83.0" probability="0.0169491525423729"/&gt;</t>
  </si>
  <si>
    <t xml:space="preserve">    &lt;route id="Router3_107" edges="31909473.0 31909473.857 62634019#1-AddedOnRampEdge 62634019#1 62634019#2.0 62634019#2.242 62634019#3-AddedOnRampEdge 62634019#3 62634019#3-AddedOffRampEdge 12111747.0 62203498#0 62093806#0 104526265#0.14 424080766 424080768#0 104523976#1 262962063 424080770#0 424080772#0 424080772#2 386547297#0 424080771#0 424080767#0 386547298#0 424769177 424080769#0 12144152#0 12144152#2 12144152#4 12166276#0 -351053388#2 12144152#7 450844965#0 388533145#0 -12168663#6 -484953513#2 -484953514#2 -284556051#4 -284556051#2 51050278#0.0 gneE16 -12165855#3.1535 386547306#4 386547306#6 51049745#0 51049745#2 51049745#3 484842179#16.0 62094032#0.9 288513230#0 288513232 484842173 50033030#0 -424801341 -283621822#1 -424801343#1 -424801343#0 49991658 424801340 424801342 386550018#0 386550018#0-AddedOffRampEdge 386550018#1 49991638 -12144161#0 12144161#0 12144161#1 49991657 283621821#1 283621821#1-AddedOffRampEdge 283621821#2 49991647#1 49991647#2 63060732#0 63060732#1 63060732#2.0 63060732#2.116 50033027 -50033029 50033050#0 50033050#2 424799828 424799825 424799826 50033054 63060727 50033029 50033028#0 50033028#3 50033028#5 50033028#6 49991646 386547300#0 283621823 386547301-AddedOnRampEdge 386547301 424801344#0 424801343#1 283621822#0 424801341 28555309#0 49991649#0 424986163#0 51049946#0 424801337#0 357338497#0 357338497#2 450695460#0 62646499#0 62646499#2 450827424#0 62646508#0 62646508#2 424799820 424799823#0 50033059#0 50033059#2 50033059#3 50033059#4 388756839#0 388756839#1 388756838#0 12136923#0 386547309#0 386547309#2 386547309#3 386547309#5 484953510#2 42706825#0 42706825#2 42706825#4 42706825#5 121319046 12188656 -50033558#2 12203859#0 12203859#1 42706831#4 42706831#5 -12180988#5 63060729#4 63060729#7 63060729#10 -42706823#3 -42706823#1 42706831#0 42706831#4 42706831#5 42706831#6 32121234#0 32121234#1 32121234#2 50033558#2 50033558#3 50033558#4 50033558#6 50033058#0 386995514#9 386995486#0 32121111#11 -12177521#0 -121319040#0 -51155368#5 -50033558#5 -50033558#3 -12188656 -121319046 -42706825#7 -42706825#4 -42706825#3 -42706825#1 194358815 194358817#0 194358817#1 194358817#2 12114363#0 12114363#1 -50033059#4 12175537#0 12175537#2 485017371#0 484953507#1 12182281#8 12182281#9 12167232#0 12167232#1 12167232#2 12152013#4 51050425#4 386995537 386995551 387422150#0 387422150#1 386995531#3 386995531#4 12172918#2 gneE73 gneE75.0 gneE80.125" probability="0.0169491525423729"/&gt;</t>
  </si>
  <si>
    <t xml:space="preserve">    &lt;route id="Router3_108" edges="31909473.0 31909473.857 62634019#1-AddedOnRampEdge 62634019#1 62634019#2.0 62634019#2.242 62634019#3-AddedOnRampEdge 62634019#3 62634019#3-AddedOffRampEdge 12111747.0 62203498#0 62093806#0 104526265#0.14 424080766 424080768#0 104523976#1 262962063 424080770#0 424080772#0 424080772#2 386547297#0 424080771#0 424080767#0 386547298#0 424769177 424080769#0 12144152#0 12144152#2 450844953#0 450844953#2 450844953#3 450844947#0 388533142#0 388533142#2 388533142#4 62623926#0 62623926#1 450844950#0 12189453#0.0.0 450844982#0.19 62203497#0 62203497#2 62203497#3 12134479#1 34685684#0 34685684#2 388533143#0 388533143#2 12140627#0 63060729#0 -264253834#2 12156992#4 12156992#5 12156992#6 12156992#7 12156992#8 12156992#9 484953505 12148522#0 485017381#0 485017381#1 -30953396#1 30953396#1 -424769003#1 -424769003#0 12157002#0 12157002#1 12186058#2 485017381#0 -12157718#12 -12157718#10 -12157718#9 -12157718#8 -12157718#6 386995479#1 386995479#2 386995479#3 386995479#4 386995479#5 386995479#6 386995490#0.0 12154359#1.20 12154359#2 -386995521#1 -386995521#0 43357814#0 43357814#1 42706837#4 42706837#5 12154359#5 12154359#6 386995531#1 386995531#2 386995531#3 386995531#4 12172918#2 gneE73 gneE75.0 gneE80.125" probability="0.0169491525423729"/&gt;</t>
  </si>
  <si>
    <t xml:space="preserve">    &lt;route id="Router3_109" edges="31909473.0 31909473.857 62634019#1-AddedOnRampEdge 62634019#1 62634019#2.0 62634019#2.242 62634019#3-AddedOnRampEdge 62634019#3 62634019#3-AddedOffRampEdge 12111747.0 62203498#0 62093806#0 104526265#0.14 424080766 424080768#0 104523976#1 262962063 424080770#0 424080772#0 424080772#2 386547297#0 424080771#0 424080767#0 386547298#0 424769177 424080769#0 12144152#0 12144152#2 450844953#0 450844953#2 450844953#3 450844947#0 388533142#0 388533142#2 388533142#4 62623926#0 62623926#1 450844950#0 12189453#0.0.0 450844982#0.19 62203497#0 62203497#2 62203497#3 12134479#1 34685684#0 34685684#2 450844947#0 388533142#0 388533142#2 12189045#0 62623987#0 62623987#1 -12142631 12202018 62623986#1 62623986#2 -12189051#1 -262962063 -424080764 -424080768#1 -424080766 -104526265#1 -262962068#1 -424080774 -32122059#1 -32122059#0 -196393940#2 -196393940#0" probability="0.0169491525423729"/&gt;</t>
  </si>
  <si>
    <t xml:space="preserve">    &lt;route id="Router3_110" edges="31909473.0 31909473.857 62634019#1-AddedOnRampEdge 62634019#1 62634019#2.0 62634019#2.242 62634019#3-AddedOnRampEdge 62634019#3 62634019#3-AddedOffRampEdge 30953251#1.0 30953251#1-AddedOffRampEdge 12112003 30953215#1-AddedOnRampEdge 30953215#1 121643865#0 12110705 50715233#0 50715233#0-AddedOffRampEdge 50715233#1.0 62203285#14.24 30908387 30908366#1-AddedOnRampEdge 30908366#1 121643863 121643862 51758697#0 51758697#1-AddedOnRampEdge 51758697#1 -gneE46.0 43357850.4841.18 gneE46 49887339#0.596 49887339#0-AddedOffRampEdge 49887339#1 49887339#1-AddedOffRampEdge 104524021 104524021-AddedOffRampEdge 50192637#0 50192637#1-AddedOnRampEdge 50192637#1.0.0 50192637#1.0.382.0.0 50192637#1.697 50192637#1-AddedOffRampEdge 30953181#1 30953181#2-AddedOnRampEdge 30953181#2 30953181#3-AddedOnRampEdge 30953181#3 30953181#3-AddedOffRampEdge 30952933#1.0 30952933#1.199" probability="0.0169491525423729"/&gt;</t>
  </si>
  <si>
    <t xml:space="preserve">    &lt;route id="Router3_111" edges="31909473.0 31909473.857 62634019#1-AddedOnRampEdge 62634019#1 62634019#2.0 62634019#2.242 62634019#3-AddedOnRampEdge 62634019#3 62634019#3-AddedOffRampEdge 30953251#1.0 30953251#1-AddedOffRampEdge 12112003 30953215#1-AddedOnRampEdge 30953215#1 121643865#0 12110705 50715233#0 50715233#0-AddedOffRampEdge 50715233#1.0 62203285#14.24 30908387 30908366#1-AddedOnRampEdge 30908366#1 121643863 121643862 51758697#0 51758697#1-AddedOnRampEdge 51758697#1" probability="0.0169491525423729"/&gt;</t>
  </si>
  <si>
    <t xml:space="preserve">    &lt;route id="Router3_112" edges="31909473.0 31909473.857 62634019#1-AddedOnRampEdge 62634019#1 62634019#2.0 62634019#2.242 62634019#3-AddedOnRampEdge 62634019#3 62634019#3-AddedOffRampEdge 30953251#1.0 30953251#1-AddedOffRampEdge 12112003 30953215#1-AddedOnRampEdge 30953215#1 121643865#0 12110705 50715233#0 50715233#0-AddedOffRampEdge 50715233#1.0 62203285#14.24 gneE59.30.0.55 gneE59.30.0.0 gneE59.0.0 gneE59.0.12 62203360#0 12159135 12149408#0 49914077 424767578 43569819 387422128#1 43569827#0 43569827#1 43569827#2 43569827#7 43569848 30953391 424769002 424769005 424769006 424769004 30953396#1 -424769003#1 -424769003#0 -485017374 42706828#0 42706828#2 12182281#0 12182281#3 12182281#5 12182281#6 386995507#4 386995507#5 386995507#6 12152013#1 12152013#2 -12175537#6 -12175537#5 -12175537#4 12182281#9 12182281#10 -388756839#1 -388756839#0 -50033059#4 -50033059#3 -50033059#2 -50033059#1 -50033558#8 -51155368#3 121319046 12188656 -50033558#2 12203859#0 12203859#1 42706831#4 42706831#5 42706831#6 42706874#0 42706874#2 12144152#0 12144152#2 450844953#0 450844953#2 450844953#3 450844947#0 388533142#0 388533142#2 388533142#4 62623926#0 62623926#1 450844950#0 12189453#0.0.0 450844982#0.19 62203497#0 62203497#2 62203497#3 12134479#1 34685684#0 34685684#2 388533143#0 388533143#2 12140627#0 63060729#0 -264253834#2 12156992#4 12156992#5 12156992#6 12156992#7 12156992#8 12156992#9 -12114396#5 -12114396#3 -12114396#1 485017383#0 485017382#0 485017382#1 211575484#0 -12177521#3 -12177521#2 -12177521#1 32121111#12 32121111#14 -12187610#5 -12187610#2 -12187610#1 12150608#0 32121146#2 12117702#9 450844953#0 450844953#2 450844953#3 450844947#0 388533142#0 388533142#2 388533142#4 62623926#0 62623926#1 450844950#0 38502259#0.19 450844933#1 196207110#0 196207110#2" probability="0.0169491525423729"/&gt;</t>
  </si>
  <si>
    <t xml:space="preserve">    &lt;route id="Router3_113" edges="31909473.0 31909473.857 62634019#1-AddedOnRampEdge 62634019#1 62634019#2.0 62634019#2.242 62634019#3-AddedOnRampEdge 62634019#3 62634019#3-AddedOffRampEdge 30953251#1.0 30953251#1-AddedOffRampEdge 12112003 30953215#1-AddedOnRampEdge 30953215#1 121643865#0 12110705 50715233#0 50715233#0-AddedOffRampEdge 50715233#1.0 62203285#14.24 gneE59.30.0.55 gneE59.30.0.0 gneE59.0.0 gneE59.0.12 62203360#0 12159135 12149408#0 49914077 424767578 43569819 387422128#1 43569827#0 43569827#1 43569827#2 43569827#7 43569848 30953391 424769002 424769005 424769006 424769004 30953396#1 -424769003#1 -424769003#0 -485017374 42706828#0 42706828#2 12182281#0 12182281#3 12182281#5 12182281#6 386995507#4 386995507#5 386995507#6 12152013#1 12152013#2 -12175537#6 -12175537#5 -12175537#4 12182281#9 12182281#10 -388756839#1 -388756839#0 -50033059#4 -50033059#3 -50033059#2 -50033059#1 42706833#0 42706833#2 12189876#0 12189876#2 484953508#1 60185970#0 60185970#2 12149571#1 12187610#3 50033558#2 -12188656 -121319046 -42706825#7 12199713#0 12199713#1 -386995514#6 -386995514#5 -386995514#4 -386995514#3 194358817#0 194358817#1 194358817#2 12114363#0 12114363#1 -50033059#4 12175537#0 12175537#2 12175537#3 12175537#4 12175537#5 12175537#6 12175537#7 12175537#8 12175537#9 12175537#10 12175537#11 12175537#12 12155177#1 12155177#2 387422153#1 gneE73 gneE75.0 gneE80.125" probability="0.0169491525423729"/&gt;</t>
  </si>
  <si>
    <t xml:space="preserve">    &lt;route id="Router3_114" edges="31909473.0 31909473.857 62634019#1-AddedOnRampEdge 62634019#1 62634019#2.0 62634019#2.242 62634019#3-AddedOnRampEdge 62634019#3 62634019#3-AddedOffRampEdge 30953251#1.0 30953251#1-AddedOffRampEdge 12112003 30953215#1-AddedOnRampEdge 30953215#1 121643865#0 12110705 50715233#0 50715233#0-AddedOffRampEdge 50715233#1.0 62203285#14.24 gneE59.30.0.55 gneE59.30.0.0 gneE59.0.0 gneE59.0.12 62203360#0 12159135 291433360#0 388756841#0 49914076#0 12111949#0 43539384#1.0 424764853 12149178#0 12149178#1 12149178#2 50189577 62203295 145605533#1-AddedOnRampEdge 145605533#1 145605511#1-AddedOnRampEdge 145605511#12 145605511#1.148" probability="0.0169491525423729"/&gt;</t>
  </si>
  <si>
    <t xml:space="preserve">    &lt;route id="Router3_115" edges="31909473.0 31909473.857 62634019#1-AddedOnRampEdge 62634019#1 62634019#2.0 62634019#2.242 62634019#3-AddedOnRampEdge 62634019#3 62634019#3-AddedOffRampEdge 30953251#1.0 30953251#1-AddedOffRampEdge 12112003 30953215#1-AddedOnRampEdge 30953215#1 121643865#0 12110705 50715233#0 50715233#0-AddedOffRampEdge 50715233#1.0 62203285#14.24 gneE59.30.0.55 gneE59.30.0.0 gneE59.0.0 gneE59.0.12 62203360#0 12159135 291433360#0 388756841#0 49914076#0 12111949#0 43539384#1.0 424764853 43539372 12167183.0 gneE82 gneE56 gneE54.0 gneE62.13 gneE81.0 gneE6.0 424765883 43539378#0.15 43539378#1 -393884751 12159702 424764853 12149178#0 50189796 50189564 12149178#2 145605533#0 145605533#1-AddedOnRampEdge 145605533#1 145605511#1-AddedOnRampEdge 145605511#12 145605511#1.148" probability="0.0169491525423729"/&gt;</t>
  </si>
  <si>
    <t xml:space="preserve">    &lt;route id="Router3_116" edges="31909473.0 31909473.857 62634019#1-AddedOnRampEdge 62634019#1 62634019#2.0 62634019#2.242 62634019#3-AddedOnRampEdge 62634019#3 62634019#3-AddedOffRampEdge 30953251#1.0 30953251#1-AddedOffRampEdge 12112003 30953215#1-AddedOnRampEdge 30953215#1 121643865#0 12110705 50715233#0 50715233#0-AddedOffRampEdge 50715233#1.0 62203285#14.24 gneE59.30.0.55 gneE59.30.0.0 gneE59.0.0 gneE59.0.12 62203360#0 291433361#0 132508433.0 -gneE6.0 gneE81.299.0 gneE81.299.79 gneE81.299.145 -gneE8 12154353#0 196393941#1 196393941#2 28533986 43539369#2 12178843#2 12178843#3 49960982#2 43569828#0 387422128#1 43569827#0 43569827#1 43569827#2 43569827#7 43569848 30953391 424769002 424769005 424769006 424769004 30953396#1 387422132#0 387422132#1 486653633#0 484953506#3 484953506#4 12157002#0 12157002#1 12157002#3 12157002#5 12114396#4 -12156992#10 -12156992#8 -12156992#7 -12156992#6 -12156992#5 -12156992#4 -12156992#3 -12156992#2 -12156992#1 -386547297#1 -424080772#2 -424080772#1 -262962065#1 -262962063 -424080764 -424080768#1 -424080766 -104526265#1 -262962068#1 -424080774 -32122059#1 -32122059#0 -196393940#2 -196393940#0" probability="0.0169491525423729"/&gt;</t>
  </si>
  <si>
    <t xml:space="preserve">    &lt;route id="Router3_117" edges="31909473.0 31909473.857 62634019#1-AddedOnRampEdge 62634019#1 62634019#2.0 62634019#2.242 62634019#3-AddedOnRampEdge 62634019#3 62634019#3-AddedOffRampEdge 30953251#1.0 30953251#1-AddedOffRampEdge 12112003 30953215#1-AddedOnRampEdge 30953215#1 121643865#0 12110705 50715233#0 50715233#0-AddedOffRampEdge 50715233#1.0 62203285#14.24 gneE59.30.0.55 gneE59.30.0.0 gneE59.0.0 gneE59.0.12 62203360#0 291433361#0 132508433.0 -gneE6.0 gneE81.299.0 gneE81.299.79 gneE81.299.145 -gneE8 12154353#0 196393941#1 196393941#2 28533986 43539369#2 12178843#2 12178843#3 49960982#2 43569828#0 387422128#1 43569827#0 43569827#1 43569827#2 43569827#7 43569848 30953391 424769002 424769005 424769006 424769004 30953396#1 387422132#0 387422132#1 486653633#0 484953506#3 484953506#4 12157002#0 12157002#1 12157002#3 12157002#5 12114396#4 -12156992#10 -12156992#8 -12156992#7 -12156992#6 -12156992#5 -12156992#4 -12156992#3 -12156992#2 -12156992#1 -386547297#1 -424080772#2 -424080772#1 -262962065#1 -262962063 -424080764 -424080768#1 -424080766 -104526265#1 30953497#0 30953497#2 30953497#3 42706585#0 42706585#1 30953320 30953320-AddedOffRampEdge 104526277 30953215#1-AddedOnRampEdge 30953215#1 121643865#0 12110705 50715233#0 50715233#0-AddedOffRampEdge 50715233#1.0 62203285#14.24 gneE59.30.0.55 gneE59.30.0.0 gneE59.0.0 gneE59.0.12 62203360#0 12159135 12149408#0 49914077 424767578 43569819 387422128#1 43569827#0 43569827#1 43569827#2 43569827#7 43569848 30953391 424769002 424769005 424769006 424769004 30953396#1 -424769003#1 -424769003#0 -485017374 42706828#0 42706828#2 12182281#0 12182281#3 12182281#5 12182281#6 386995507#4 386995507#5 386995507#6 12152013#1 12152013#2 -12175537#6 -12175537#5 -12175537#4 12182281#9 12182281#10 -388756839#1 -388756839#0 -50033059#4 -50033059#3 -50033059#2 -50033059#1 -50033558#8 -51155368#3 121319046 12188656 -50033558#2 12203859#0 12203859#1 42706831#4 42706831#5 42706831#6 42706874#0 42706874#2 12144152#0 12144152#2 450844953#0 450844953#2 450844953#3 450844947#0 388533142#0 388533142#2 388533142#4 62623926#0 62623926#1 450844950#0 12189453#0.0.0 450844982#0.19 62203497#0 62203497#2 62203497#3 12134479#1 34685684#0 34685684#2 388533143#0 388533143#2 12140627#0 63060729#0 -264253834#2 12156992#4 12156992#5 12156992#6 12156992#7 12156992#8 12156992#9 -12114396#5 -12114396#3 -12114396#1 485017383#0 485017382#0 485017382#1 211575484#0 -12177521#3 -12177521#2 -12177521#1 32121111#12 32121111#14 -12187610#5 -12187610#2 -12187610#1 12150608#0 32121146#2 12117702#9 450844953#0 450844953#2 450844953#3 450844947#0 388533142#0 388533142#2 388533142#4 62623926#0 62623926#1 450844950#0 38502259#0.19 450844933#1 196207110#0 196207110#2" probability="0.0169491525423729"/&gt;</t>
  </si>
  <si>
    <t xml:space="preserve">    &lt;route id="Router3_118" edges="31909473.0 31909473.857 62634019#1-AddedOnRampEdge 62634019#1 62634019#2.0 62634019#2.242 62634019#3-AddedOnRampEdge 62634019#3 62634019#3-AddedOffRampEdge 30953251#1.0 30953251#1-AddedOffRampEdge 12112003 30953215#1-AddedOnRampEdge 30953215#1 121643865#0 12110705 50715233#0 50715233#0-AddedOffRampEdge 50715233#1.0 62203285#14.24 gneE59.30.0.55 gneE59.30.0.0 gneE59.0.0 gneE59.0.12 62203360#0 291433361#0 132508433.0 -gneE6.0 gneE81.299.0 gneE81.299.79 gneE81.299.145 -gneE8 12154353#0 196393941#1 196393941#2 28533986 43539369#2 12178843#2 12178843#3 49960982#2 43569828#0 387422128#1 43569827#0 43569827#1 43569827#2 43569827#7 43569848 30953391 424769002 424769005 424769006 424769004 30953396#1 387422132#0 387422132#1 486653633#0 484953506#3 484953506#4 12157002#0 12157002#1 12157002#3 12157002#5 12114396#4 -12156992#10 -12156992#8 -12156992#7 -12156992#6 -12156992#5 -12156992#4 -12156992#3 -12156992#2 -12156992#1 -386547297#1 -424080772#2 -424080772#1 -262962065#1 -262962063 -424080764 -424080768#1 -424080766 -104526265#1 30953497#0 30953497#2 30953497#3 42706585#0 42706585#1 30953320 30953320-AddedOffRampEdge 104526277 30953215#1-AddedOnRampEdge 30953215#1 121643865#0 12110705 50715233#0 50715233#0-AddedOffRampEdge 50715233#1.0 62203285#14.24 gneE59.30.0.55 gneE59.30.0.0 gneE59.0.0 gneE59.0.12 62203360#0 12159135 12149408#0 49914077 424767578 43569819 387422128#1 43569827#0 43569827#1 43569827#2 43569827#7 43569848 30953391 424769002 424769005 424769006 424769004 30953396#1 -424769003#1 -424769003#0 -485017374 42706828#0 42706828#2 12182281#0 12182281#3 12182281#5 12182281#6 386995507#4 386995507#5 386995507#6 12152013#1 12152013#2 -12175537#6 -12175537#5 -12175537#4 12182281#9 12182281#10 -388756839#1 -388756839#0 -50033059#4 -50033059#3 -50033059#2 -50033059#1 42706833#0 42706833#2 -42706825#7 12199713#0 12199713#1 -386995514#6 -386995514#5 -386995514#4 -386995514#3 -386995514#2 -386995514#1 12159500#1 12159500#2 51050030#7 gneE35 -gneE34.0 --gneE83.0" probability="0.0169491525423729"/&gt;</t>
  </si>
  <si>
    <t xml:space="preserve">    &lt;route id="Router3_119" edges="31909473.0 31909473.857 62634019#1-AddedOnRampEdge 62634019#1 62634019#2.0 62634019#2.242 62634019#3-AddedOnRampEdge 62634019#3 62634019#3-AddedOffRampEdge 30953251#1.0 30953251#1-AddedOffRampEdge 12112003 30953215#1-AddedOnRampEdge 30953215#1 121643865#0 12110705 50715233#0 50715233#0-AddedOffRampEdge 50715233#1.0 62203285#14.24 gneE59.30.0.55 gneE59.30.0.0 gneE59.0.0 gneE59.0.12 62203360#0 291433361#0 132508433.0 -gneE6.0 gneE81.299.0 gneE81.299.79 gneE81.299.145 -gneE8 12154353#0 196393941#1 196393941#2 28533986 43539369#2 12178843#2 12178843#3 49960982#2 43569828#0 387422128#1 43569827#0 43569827#1 43569827#2 43569827#7 43569848 30953391 424769002 424769005 424769006 424769004 30953396#1 387422132#0 387422132#1 486653633#0 484953506#3 484953506#4 12157002#0 12157002#1 12157002#3 12157002#5 12114396#4 -12156992#10 -12156992#8 -12156992#7 -12156992#6 -12156992#5 -12156992#4 -12156992#3 -12156992#2 -12156992#1 -386547297#1 -424080772#2 -424080772#1 -262962065#1 -262962063 -424080764 -424080768#1 -424080766 -104526265#1 30953497#0 30953497#2 35920555#0.0 35920555#0.75 62203066 43331031.0 43331031.436 42706585#0 42706585#1 30953320 30953320-AddedOffRampEdge 30953315 104526276-AddedOnRampEdge 104526276 51758697#0 51758697#1-AddedOnRampEdge 51758697#1" probability="0.0169491525423729"/&gt;</t>
  </si>
  <si>
    <t xml:space="preserve">    &lt;route id="Router3_120" edges="31909473.0 31909473.857 62634019#1-AddedOnRampEdge 62634019#1 62634019#2.0 62634019#2.242 62634019#3-AddedOnRampEdge 62634019#3 62634019#3-AddedOffRampEdge 30953251#1.0 30953251#1-AddedOffRampEdge 30953251#2.0 104526276-AddedOnRampEdge 104526276 51758697#0 51758697#1-AddedOnRampEdge 51758697#1 -gneE46.0 43357850.4841.18 -gneE45 -485017363 -43117585#0 12185366#0 12185366#2 12185366#3 12185366#4 12185366#5 12185366#7 12185366#9 387422145#0 -12157718#6 386995479#1 386995479#2 386995479#3 386995479#4 386995479#5 386995479#6 386995490#0.0 12154359#1.20 12154359#2 12154359#3 12154359#4 42706837#6 42706837#7 42706837#8 12155177#0 12155177#1 386995531#4 12172918#2 gneE73 gneE75.0 gneE80.125" probability="0.0169491525423729"/&gt;</t>
  </si>
  <si>
    <t xml:space="preserve">    &lt;route id="Router3_121" edges="31909473.0 31909473.857 62634019#1-AddedOnRampEdge 62634019#1 62634019#2.0 62634019#2.242 62634019#3-AddedOnRampEdge 62634019#3 62634019#3-AddedOffRampEdge 30953251#1.0 30953251#1-AddedOffRampEdge 30953251#2.0 104526276-AddedOnRampEdge 104526276 51758697#0 51758697#1-AddedOnRampEdge 51758697#1 -gneE46.0 43357850.4841.18 -gneE45 -485017363 -43117585#0 12185366#0 12185366#2 12185366#3 12185366#4 12185366#5 12185366#7 12185366#9 387422145#0 -12157718#6 386995479#1 386995479#2 386995479#3 386995479#4 386995479#5 386995479#6 386995490#0.0 12154359#1.20 12154359#2 12154359#3 12154359#4 42706837#6 42706837#7 42706837#8 12155177#0 12175537#13 12172918#1 12172918#2 gneE73 gneE75.0 gneE80.125" probability="0.0169491525423729"/&gt;</t>
  </si>
  <si>
    <t xml:space="preserve">    &lt;route id="Router3_122" edges="31909473.0 31909473.857 62634019#1-AddedOnRampEdge 62634019#1 62634019#2.0 62634019#2.242 62634019#3-AddedOnRampEdge 62634019#3 62634019#3-AddedOffRampEdge 30953251#1.0 30953251#1-AddedOffRampEdge 30953251#2.0 104526276-AddedOnRampEdge 104526276 51758697#0 51758697#1-AddedOnRampEdge 51758697#1 -gneE46.0 43357850.4841.18 -gneE45 -485017363 -43117585#0 42706797#0 -12171305#1 12178852#1 386995490#0.0 12154359#1.20 32121111#1 32121111#2 32121111#3 12152013#0 386995507#7 43357814#0 43357814#1 42706837#4 42706837#5 42706837#6 42706837#7 42706837#8 12155177#0 12175537#13 12172918#1 12172918#2 gneE73 gneE75.0 gneE80.125" probability="0.0169491525423729"/&gt;</t>
  </si>
  <si>
    <t xml:space="preserve">    &lt;route id="Router3_123" edges="31909473.0 31909473.857 62634019#1-AddedOnRampEdge 62634019#1 62634019#2.0 62634019#2.242 62634019#3-AddedOnRampEdge 62634019#3 62634019#3-AddedOffRampEdge 30953251#1.0 30953251#1-AddedOffRampEdge 30953251#2.0 104526276-AddedOnRampEdge 104526276 51758697#0 51758697#1-AddedOnRampEdge 51758697#1 -gneE46.0 43357850.4841.18 gneE46 49887339#0.596 49887339#0-AddedOffRampEdge 49887339#1 49887339#1-AddedOffRampEdge 104524021 104524021-AddedOffRampEdge 50192637#0 50192637#1-AddedOnRampEdge 50192637#1.0.0 50192637#1.0.382.0.0 50192637#1.697 50192637#1-AddedOffRampEdge 30953181#1 30953181#2-AddedOnRampEdge 30953181#2 30953181#3-AddedOnRampEdge 30953181#3 30953181#3-AddedOffRampEdge 30952933#1.0 30952933#1.199" probability="0.0169491525423729"/&gt;</t>
  </si>
  <si>
    <t xml:space="preserve">    &lt;route id="Router3_65" edges="31909473.0 31909473.857 62634019#1-AddedOnRampEdge 62634019#1 30953036 424081476 -424987520 -30953029#1 -30953029#0 -424987519 12169718#0 12169718#1 424804090#0 424804090#1 424804090#2 424804090#3 424804090#4 132508920#2 132508920#3 132508920#4 132508920#5 424080762#0 424080762#1 424080762#2 424080762#3 424080762#4 424080762#5 179915585#2 12171853#2 12198567#4 12198567#5 12152219#0 12152219#1 12152236 132508920#12 132508897#0 132508897#1 132508897#2 132508897#3 394179820#0 394179820#1 394179820#2 394179820#3 394179820#4 196355327#1 196355327#2 196355327#5 196393940#1 196207112#0 32122059#1 424080774 262962068#0.0 104526265#0.14 424080766 424080768#0 104523976#1 262962063 12189051#0 -12189051#1 424080770#0 424080772#0 12119506#0 -12156992#1 -386547297#1 -424080772#2 -424080772#1 -424080761#1 -62623960 62623959#0 386547296#0 386547296#1 424080773#0 279870839#0 279870839#2 450844960#0 62623926#1 450844950#0 38502259#0.19 450844933#1 196207115#0 196207115#2 196207115#3 196355332#0 450844979#0.0 450844982#0.19 62203497#0 62203497#2 62203497#3 12134479#1 34685684#0 34685684#2 388533143#0 388533143#2 12140627#0 63060729#0 -264253834#2 12156992#4 12156992#5 12156992#6 12156992#7 12156992#8 12156992#9 -12114396#5 -12114396#3 -12114396#1 485017383#0 485017382#0 485017382#1 211575484#0 -12177521#3 -12177521#2 -12177521#1 32121111#12 32121111#14 -12187610#5 -12187610#2 -12187610#1 12150608#0 32121146#2 12117702#9 450844953#0 450844953#2 450844953#3 450844947#0 388533142#0 388533142#2 388533142#4 62623926#0 62623926#1 450844950#0 38502259#0.19 450844933#1 196207110#0 196355327#2 196355327#5 -196393940#0" probability="0.0169491525423729"/&gt;</t>
  </si>
  <si>
    <t xml:space="preserve">    &lt;route id="Router3_66" edges="31909473.0 31909473.857 62634019#1-AddedOnRampEdge 62634019#1 30953036 424081476 -424987520 -30953029#1 -30953029#0 -424987519 12169718#0 12169718#1 424804090#0 424804090#1 424804090#2 424804090#3 424804090#4 132508920#2 132508920#3 132508920#4 132508920#5 424080762#0 424080762#1 424080762#2 424080762#3 424080762#4 424080762#5 179915585#2 12171853#2 12198567#4 12198567#5 12152219#0 12152219#1 12152236 132508920#12 132508897#0 132508897#1 132508897#2 132508897#3 394179820#0 394179820#1 394179820#2 394179820#3 394179820#4 196355327#1 196355327#2 196355327#5 196393940#1 196207112#0 32122059#1 424080774 262962068#0.0 30953497#0 30953497#2 30953497#3 42706585#0 42706585#1 30953320 30953320-AddedOffRampEdge 104526277 30953215#1-AddedOnRampEdge 30953215#1 121643865#0 12110705 50715233#0 50715233#0-AddedOffRampEdge 50715233#1.0 62203285#14.24 gneE59.30.0.55 gneE59.30.0.0 43539373#0.0.292.17 gneE58 gneE56 gneE54.0 62203360#0 291433361#0 132508433.0 -gneE6.0 gneE6.0 424765883 43570920#0.22 132508717#4 43539378#1 43569848 30953391 12113092 51758697#1-AddedOnRampEdge 51758697#1" probability="0.0169491525423729"/&gt;</t>
  </si>
  <si>
    <t>&lt;routeDistribution id="LanAVE-BTH-WB-2015-Sink-RouteProbe"&gt;</t>
  </si>
  <si>
    <t xml:space="preserve">    &lt;route id="Router3_36" edges="-gneE80.0 -gneE80.17 -gneE41 gneE44 -388756838#2 -388756838#1 -388756838#0 42706817#0 386547310 gneE69 -gneE44 gneE41 gneE80.0 gneE80.125" probability="0.142857142857143"/&gt;</t>
  </si>
  <si>
    <t xml:space="preserve">    &lt;route id="Router3_72" edges="31909473.0 31909473.857 62634019#1-AddedOnRampEdge 62634019#1 30953036 424081476 424081472 424081473 424081470 30953025#0 30953025#2 30953025#3 30953025#4 50033060#0 12134479#5 450844973#0 388533144#0 388533144#6 388533144#11 450695475#0 137364609#0 137364609#3 137364609#5 450695473#0 386547305#0 gneE23 -gneE20.0 -gneE21.54 -gneE21.0 59435515#0 59435515#1 59435515#2 59435515#3 59435515#4 424801338#1 12117702#0 12117702#4 12117702#7 -32121146#3 12202008#2.0 12202008#2.171 62646499#2 450827424#0 450827405#0 262962062 -55179413#2 12187610#0 12187610#2 12187610#3 -62105579 12186909#0 12186909#1 12186909#2 12186909#4 12177521#2 12177521#3 211575484#1 485017379 -386995465#1 -386995504#1 -386995486#1 32121111#11 -12177521#0 -121319040#0 -51155368#5 -50033558#5 -50033558#3 -12188656 -121319046 -42706825#7 -42706825#4 -42706825#3 -42706825#1 194358815 194358817#0 194358817#1 194358817#2 12114363#0 12114363#1 -50033059#4 12175537#0 12175537#2 12175537#3 12175537#4 12175537#5 12175537#6 12175537#7 -43357814#2 42706837#4 42706837#5 42706837#6 42706837#7 42706837#8 42706837#9 12172918#0 12172918#1 12172918#2 gneE73 gneE75.0 -gneE80.17 -gneE41 gneE44 -388756838#2 -388756838#1 -388756838#0 42706817#0 386547310 gneE69 -gneE44 gneE41 gneE80.0 gneE80.125" probability="0.142857142857143"/&gt;</t>
  </si>
  <si>
    <t xml:space="preserve">    &lt;route id="Router3_134" edges="49887339#0.596 49887339#0-AddedOffRampEdge 12113482 424769007 424769005 424769006 424769004 30953396#1 -30953396#1 30953396#1 -424769003#1 -424769003#0 -485017374 42706828#0 310315797#4 310315797#5 12172067 486653633#2 486653633#3 42706828#4 42706828#6 42706828#7 12152033 12185366#3 12185366#4 12185366#5 12182281#3 386995479#4 386995479#5 12161358#11 12171305#0 12171305#1 42706797#2 42706797#4.13 42706797#5 387422148#0 -386995521#3 -386995521#2 12154359#3 12154359#4 12154359#5 -12175537#9 -12175537#8 -12175537#7 12152013#3 12167232#3 386995531#0 12154359#7 101350669 386995545#0 386995545#2 gneE41 gneE80.0 gneE80.125" probability="0.142857142857143"/&gt;</t>
  </si>
  <si>
    <t xml:space="preserve">    &lt;route id="Router3_1" edges="-gneE80.0 -gneE80.17 -gneE41 gneE44 -388756838#2 -388756838#1 -388756838#0 42706817#0 386547310 gneE69 -388756838#2 -388756838#1 -388756838#0 -388756839#1 -388756839#0 -194358837#2 -194358837#0 194358838#0 194358838#1 194358838#2 194358838#3 387422145#0 387422145#3 386995499#0 386995499#2 -51155368#13 -51155368#10 -51155368#7 121319040#0 121319040#1 386995507#0 386995507#1 386995507#2 386995507#3 12182281#7 42706837#0 42706837#1 42706837#2 42706837#3 43357814#2 43357814#3 386995526#0 386995526#1 -51050425#4 -51050425#3 -51050425#2 12162659#0 12162659#1 -12175537#4 -12175537#3 -12175537#2 -12175537#1 -50033059#3 -50033059#2 -386995514#7 -12199713#2 12177498 42706833#2 51155368#0 -50033558#5 -50033558#3 -50033558#2 -62105579 -32121234#1 -32121234#0 42706874#0 42706874#2 55179414#0 55179413#0 424769182 -450827405#2 -450827400#2 -450827382 -450827385#1 -450827391#1 -450827381 -450827397#1 12180696#0 59435515#1 59435515#2 59435515#3 59435515#4 424801338#1 12117702#0 12117702#4 12117702#7 -32121146#3 12202008#2.0 12202008#2.171 62646499#2 450827424#0 450827405#0 262962062 -55179413#2 12187610#0 12187610#2 12187610#3 -62105579 12186909#0 12186909#1 12186909#2 51155368#11 42706831#0 42706831#4 42706831#5 42706831#6 32121234#0 32121234#1 32121234#2 50033558#2 50033558#3 50033558#4 50033558#6 50033058#0 386995514#9 386995486#0 32121111#11 -12177521#0 -121319040#0 -51155368#5 -50033558#5 -50033558#3 -12188656 -121319046 -42706825#7 -42706825#4 -42706825#3 -42706825#1 194358815 194358817#0 194358817#1 194358817#2 12114363#0 12114363#1 -50033059#4 12175537#0 12175537#2 12175537#3 12175537#4 12175537#5 12175537#6 12175537#7 -43357814#2 42706837#4 42706837#5 42706837#6 42706837#7 42706837#8 42706837#9 12172918#0 12172918#1 12172918#2 gneE73 gneE75.0 gneE80.125" probability="0.142857142857143"/&gt;</t>
  </si>
  <si>
    <t xml:space="preserve">    &lt;route id="Router3_2" edges="-gneE80.0 -gneE80.17 -gneE41 gneE44 -388756838#2 -388756838#1 -388756838#0 42706817#0 386547310 gneE69 -388756838#2 -388756838#1 -388756838#0 -388756839#1 -388756839#0 -194358837#2 -194358837#0 194358838#0 194358838#1 194358838#2 194358838#3 387422145#0 387422145#3 386995499#0 386995499#2 -51155368#13 -51155368#10 -51155368#7 121319040#0 121319040#1 386995507#0 386995507#1 386995507#2 386995507#3 12182281#7 42706837#0 42706837#1 42706837#2 42706837#3 43357814#2 43357814#3 386995526#0 386995526#1 -51050425#4 -51050425#3 -51050425#2 12162659#0 12162659#1 -12175537#4 -12175537#3 -12175537#2 -12175537#1 -50033059#3 -50033059#2 -386995514#7 -12199713#2 12177498 42706833#2 51155368#0 -50033558#5 -50033558#3 -50033558#2 -62105579 -32121234#1 -32121234#0 42706874#0 42706874#2 55179414#0 55179413#0 424769182 -450827405#2 -450827400#2 -450827382 -450827385#1 -450827391#1 -450827381 -450827397#1 12180696#0 59435515#1 59435515#2 59435515#3 59435515#4 424801338#1 12117702#0 12117702#4 12117702#7 -32121146#3 12202008#2.0 12202008#2.171 62646499#2 450827424#0 450827405#0 262962062 -55179413#2 12187610#0 60185970#0 60185970#2 12149571#1 12187610#3 50033558#2 50033558#3 50033558#4 50033558#6 42706833#0 42706833#2 12189876#0 12189876#2 484953508#1 60185970#0 60185970#2 12149571#1 12187610#3 50033558#2 -12188656 -121319046 -42706825#7 12199713#0 12199713#1 -386995514#6 -386995514#5 -386995514#4 -386995514#3 194358817#0 194358817#1 194358817#2 12114363#0 12114363#1 -50033059#4 12175537#0 12175537#2 12175537#3 12175537#4 12175537#5 12175537#6 12175537#7 12175537#8 12175537#9 12175537#10 12175537#11 12175537#12 12155177#1 12155177#2 387422153#1 gneE73 gneE75.0 gneE80.125" probability="0.142857142857143"/&gt;</t>
  </si>
  <si>
    <t>&lt;routeDistribution id="LanAVE-BTH-EB-2015-Source-RouteProbe"&gt;</t>
  </si>
  <si>
    <t xml:space="preserve">    &lt;route id="Router3_5" edges="-gneE80.0 -gneE80.17 -gneE41 gneE44 -388756838#2 -388756838#1 -388756838#0 42706817#0 386547310 gneE69 -388756838#2 -388756838#1 -388756838#0 -388756839#1 -388756839#0 -194358837#2 -194358837#0 194358838#0 194358838#1 194358838#2 194358838#3 387422145#0 387422145#3 386995499#0 386995499#2 -51155368#13 -51155368#10 -51155368#7 121319040#0 121319040#1 386995507#0 386995507#1 386995507#2 386995507#3 12182281#7 42706837#0 42706837#1 42706837#2 42706837#3 43357814#2 43357814#3 386995526#0 386995526#1 -51050425#4 -51050425#3 -51050425#2 12162659#0 12162659#1 -12175537#4 -12175537#3 -12175537#2 -12175537#1 -50033059#3 -50033059#2 -386995514#7 -12199713#2 12177498 42706833#2 51155368#0 -50033558#5 -50033558#3 -50033558#2 -62105579 -32121234#1 -32121234#0 42706874#0 42706874#2 55179414#0 55179413#0 424769182 -450827405#2 -450827400#2 -450827382 -450827385#1 -450827391#1 -450827381 -450827397#1 12180696#0 59435515#1 59435515#2 59435515#3 59435515#4 424801338#1 12117702#0 12117702#4 12117702#7 -32121146#3 -32121146#1 -424769197#2 12144152#0 12144152#2 12144152#4 12144152#6 12157151#0 12166276#2 -32121146#5 12117702#9 450844953#0 450844953#2 450844953#3 450844947#0 388533142#0 388533142#2 12189045#0 62623987#0 62623987#1 -12142631 12202018 62623986#1 62623986#2 -12189051#1 -262962063 -424080764 -424080768#1 -424080766 -104526265#1 -262962068#1 -424080774 -32122059#1 -32122059#0 -196393940#2 -196393940#0" probability="0.027027027027027"/&gt;</t>
  </si>
  <si>
    <t xml:space="preserve">    &lt;route id="Router3_6" edges="-gneE80.0 -gneE80.17 -gneE41 gneE44 -388756838#2 -388756838#1 -388756838#0 42706817#0 386547310 gneE69 -388756838#2 -388756838#1 -388756838#0 -388756839#1 -388756839#0 -194358837#2 -194358837#0 194358838#0 194358838#1 194358838#2 194358838#3 387422145#0 387422145#3 386995499#0 386995499#2 -51155368#13 -51155368#10 -51155368#7 121319040#0 121319040#1 386995507#0 386995507#1 386995507#2 386995507#3 12182281#7 42706837#0 42706837#1 42706837#2 42706837#3 43357814#2 43357814#3 386995526#0 386995526#1 -51050425#4 -51050425#3 -51050425#2 12162659#0 12162659#1 -12175537#4 -12175537#3 -12175537#2 -12175537#1 -50033059#3 -50033059#2 -386995514#7 -12199713#2 12177498 42706833#2 51155368#0 -50033558#5 -50033558#3 -50033558#2 -62105579 -32121234#1 -32121234#0 42706874#0 42706874#2 55179414#0 55179413#0 424769182 -450827405#2 -450827400#2 -450827382 -450827385#1 -450827391#1 -450827381 -450827397#1 12180696#0 59435515#1 59435515#2 59435515#3 59435515#4 424801338#1 12117702#0 12117702#4 12117702#7 -32121146#3 -32121146#1 -424769197#2 12144152#0 12144152#2 12144152#4 12144152#6 12157151#0 12166276#2 -32121146#5 12117702#9 450844953#0 450844953#2 450844953#3 450844947#0 388533142#0 388533142#2 12189045#0 62623987#0 62623987#1 -12142631 12202018 62623986#1 62623986#2 -12189051#1 -262962063 -424080764 -424080768#1 -424080766 -104526265#1 30953497#0 30953497#2 30953497#3 42706585#0 42706585#1 30953320 30953320-AddedOffRampEdge 104526277 30953215#1-AddedOnRampEdge 30953215#1 121643865#0 121643865#1 145605511#1-AddedOnRampEdge 145605511#12 145605511#1.148" probability="0.027027027027027"/&gt;</t>
  </si>
  <si>
    <t xml:space="preserve">    &lt;route id="Router3_7" edges="-gneE80.0 -gneE80.17 -gneE41 gneE44 -388756838#2 -388756838#1 -388756838#0 42706817#0 386547310 gneE69 -388756838#2 -388756838#1 -388756838#0 -388756839#1 -388756839#0 -194358837#2 -194358837#0 194358838#0 194358838#1 194358838#2 194358838#3 387422145#0 387422145#3 386995499#0 386995499#2 -51155368#13 -51155368#10 -51155368#7 121319040#0 121319040#1 386995507#0 386995507#1 386995507#2 386995507#3 12182281#7 42706837#0 42706837#1 42706837#2 42706837#3 43357814#2 43357814#3 386995526#0 386995526#1 -51050425#4 -51050425#3 -51050425#2 12162659#0 12162659#1 -12175537#4 -12175537#3 -12175537#2 -12175537#1 -50033059#3 -50033059#2 -386995514#7 -12199713#2 12177498 42706833#2 51155368#0 -50033558#5 -50033558#3 -50033558#2 -62105579 -32121234#1 -32121234#0 42706874#0 42706874#2 55179414#0 55179413#0 424769182 -450827405#2 -450827400#2 -450827382 -450827385#1 -450827391#1 -450827381 -450827397#1 12180696#0 59435515#1 59435515#2 59435515#3 59435515#4 424801338#1 12117702#0 12117702#4 12117702#7 -32121146#3 -32121146#1 -424769197#2 12144152#0 12144152#2 12144152#4 12144152#6 12157151#0 12166276#2 -32121146#5 12117702#9 450844953#0 450844953#2 450844953#3 450844947#0 388533142#0 388533142#2 12189045#0 62623987#0 62623987#1 -12142631 12202018 62623986#1 62623986#2 -12189051#1 -262962063 -424080764 -424080768#1 -424080766 -104526265#1 30953497#0 30953497#2 35920555#0.0 35920555#0.75 62203066 43331031.0 43331031.436 42706585#0 42706585#1 30953320 30953320-AddedOffRampEdge 30953315 104526276-AddedOnRampEdge 104526276 51758697#0 51758697#1-AddedOnRampEdge 51758697#1" probability="0.027027027027027"/&gt;</t>
  </si>
  <si>
    <t xml:space="preserve">    &lt;route id="Router3_8" edges="-gneE80.0 -gneE80.17 -gneE41 gneE44 -388756838#2 -388756838#1 -388756838#0 42706817#0 386547310 gneE69 -388756838#2 -388756838#1 -388756838#0 -388756839#1 -388756839#0 -194358837#2 -194358837#0 194358838#0 194358838#1 194358838#2 194358838#3 387422145#0 387422145#3 386995499#0 386995499#2 -51155368#13 -51155368#10 -51155368#7 121319040#0 121319040#1 386995507#0 386995507#1 386995507#2 386995507#3 12182281#7 42706837#0 42706837#1 42706837#2 42706837#3 43357814#2 43357814#3 386995526#0 386995526#1 -51050425#4 -51050425#3 -51050425#2 12162659#0 12162659#1 -12175537#4 -12175537#3 -12175537#2 -12175537#1 -50033059#3 -50033059#2 -386995514#7 -12199713#2 12177498 42706833#2 51155368#0 -50033558#5 -50033558#3 -50033558#2 -62105579 -32121234#1 -32121234#0 42706874#0 42706874#2 55179414#0 55179413#0 424769182 -450827405#2 -450827400#2 -450827382 -450827385#1 -450827391#1 -450827381 -450827397#1 12180696#0 59435515#1 59435515#2 59435515#3 59435515#4 424801338#1 12117702#0 12117702#4 12117702#7 -32121146#3 -32121146#1 -424769197#2 12144152#0 12144152#2 12144152#4 12144152#6 12157151#0 12166276#2 -32121146#5 12117702#9 450844953#0 450844953#2 450844953#3 450844947#0 388533142#0 388533142#2 388533142#4 62623926#0 62623926#1 450844950#0 38502259#0.19 450844933#1 196207110#0 196207110#2" probability="0.027027027027027"/&gt;</t>
  </si>
  <si>
    <t xml:space="preserve">    &lt;route id="Router3_9" edges="-gneE80.0 -gneE80.17 -gneE41 gneE44 -388756838#2 -388756838#1 -388756838#0 42706817#0 386547310 gneE69 -388756838#2 -388756838#1 -388756838#0 -388756839#1 -388756839#0 -194358837#2 -194358837#0 194358838#0 194358838#1 194358838#2 194358838#3 387422145#0 387422145#3 386995499#0 386995499#2 -51155368#13 -51155368#10 -51155368#7 121319040#0 121319040#1 386995507#0 386995507#1 386995507#2 386995507#3 12182281#7 42706837#0 42706837#1 42706837#2 42706837#3 43357814#2 43357814#3 386995526#0 386995526#1 -51050425#4 -51050425#3 -51050425#2 12162659#0 12162659#1 -12175537#4 -12175537#3 -12175537#2 -12175537#1 -50033059#3 -50033059#2 -386995514#7 -12199713#2 12177498 42706833#2 51155368#0 -50033558#5 -50033558#3 -50033558#2 -62105579 -32121234#1 -32121234#0 42706874#0 42706874#2 55179414#0 55179413#0 424769182 -450827405#2 -450827400#2 -450827382 -450827385#1 -450827391#1 -450827381 -450827397#1 12180696#0 59435515#1 59435515#2 59435515#3 59435515#4 424801338#1 12117702#0 12117702#4 12117702#7 -32121146#3 12202008#2.0 12202008#2.171 62646499#2 450827424#0 450827405#0 262962062 -55179413#2 12187610#0 12187610#2 12187610#3 -62105579 12186909#0 12186909#1 12186909#2 12186909#4 12177521#2 12177521#3 211575484#1 485017379 -386995465#1 -386995504#1 -386995486#1 32121111#11 -12177521#0 -121319040#0 -51155368#5 -50033558#5 -50033558#3 -12188656 -121319046 -42706825#7 -42706825#4 -42706825#3 -42706825#1 194358815 194358817#0 194358817#1 194358817#2 12114363#0 12114363#1 -50033059#4 12175537#0 12175537#2 485017371#0 484953507#1 12182281#8 12182281#9 12167232#0 12167232#1 12167232#2 12152013#4 51050425#4 386995537 386995551 387422150#0 387422150#1 386995531#3 386995531#4 12172918#2 gneE73 gneE75.0 gneE80.125" probability="0.027027027027027"/&gt;</t>
  </si>
  <si>
    <t xml:space="preserve">    &lt;route id="Router3_10" edges="-gneE80.0 -gneE80.17 -gneE41 gneE44 -388756838#2 -388756838#1 -388756838#0 42706817#0 386547310 gneE69 -388756838#2 -388756838#1 -388756838#0 -388756839#1 -388756839#0 -194358837#2 -194358837#0 194358838#0 194358838#1 194358838#2 194358838#3 387422145#0 387422145#3 386995499#0 386995499#2 -51155368#13 -51155368#10 -51155368#7 121319040#0 121319040#1 386995507#0 386995507#1 386995507#2 386995507#3 12182281#7 42706837#0 42706837#1 42706837#2 42706837#3 43357814#2 43357814#3 386995526#0 386995526#1 -51050425#4 -51050425#3 -51050425#2 12162659#0 12162659#1 -12175537#4 -12175537#3 -12175537#2 -12175537#1 -50033059#3 -50033059#2 -386995514#7 -12199713#2 12177498 42706833#2 51155368#0 -50033558#5 -50033558#3 -50033558#2 -62105579 -32121234#1 -32121234#0 42706874#0 42706874#2 55179414#0 55179413#0 424769182 -450827405#2 -450827400#2 -450827382 -450827385#1 -450827391#1 -450827381 -450827397#1 12180696#0 59435515#1 59435515#2 59435515#3 59435515#4 424801338#1 12117702#0 12117702#4 12117702#7 -32121146#3 12202008#2.0 12202008#2.171 62646499#2 450827424#0 450827405#0 262962062 -55179413#2 12187610#0 12187610#2 12187610#3 -62105579 12186909#0 12186909#1 12186909#2 12186909#4 12186909#6 386995479#0 12157718#5 12157718#7 485017376 485017373#0 387422135#0 424769003#0 424769003#1 -30953396#1 -30953396#0 -424769006 -424769005 -424769002 -30953391 -43569848 -393884751 12159702 424764853 12149178#0 50189796 50189564 12149178#2 145605533#0 145605533#1-AddedOnRampEdge 145605533#1 145605511#1-AddedOnRampEdge 145605511#12 145605511#1.148" probability="0.027027027027027"/&gt;</t>
  </si>
  <si>
    <t xml:space="preserve">    &lt;route id="Router3_11" edges="-gneE80.0 -gneE80.17 -gneE41 gneE44 -388756838#2 -388756838#1 -388756838#0 42706817#0 386547310 gneE69 -388756838#2 -388756838#1 -388756838#0 -388756839#1 -388756839#0 -194358837#2 -194358837#0 194358838#0 194358838#1 194358838#2 194358838#3 387422145#0 387422145#3 386995499#0 386995499#2 -51155368#13 -51155368#10 -51155368#7 121319040#0 121319040#1 386995507#0 386995507#1 386995507#2 386995507#3 12182281#7 42706837#0 42706837#1 42706837#2 42706837#3 43357814#2 43357814#3 386995526#0 386995526#1 -51050425#4 -51050425#3 -51050425#2 12162659#0 12162659#1 -12175537#4 -12175537#3 -12175537#2 -12175537#1 -50033059#3 -50033059#2 -386995514#7 -12199713#2 12177498 42706833#2 51155368#0 -50033558#5 -50033558#3 -50033558#2 -62105579 -32121234#1 -32121234#0 42706874#0 42706874#2 55179414#0 55179413#0 424769182 -450827405#2 -450827400#2 -450827382 -450827385#1 -450827391#1 -450827381 -450827397#1 12180696#0 59435515#1 59435515#2 59435515#3 59435515#4 424801338#1 12117702#0 12117702#4 12117702#7 -32121146#3 12202008#2.0 12202008#2.171 62646499#2 450827424#0 450827405#0 262962062 -55179413#2 12187610#0 12187610#2 12187610#3 -62105579 12186909#0 12186909#1 12186909#2 12186909#4 12186909#6 386995479#0 12157718#5 12157718#7 485017376 485017373#0 387422135#0 424769003#0 424769003#1 -30953396#1 30953396#1 -424769003#1 -424769003#0 12157002#0 12157002#1 12186058#2 485017381#0 -12157718#12 -12157718#10 -12157718#9 -12157718#8 -12157718#6 386995479#1 386995479#2 386995479#3 386995479#4 386995479#5 386995479#6 386995490#0.0 12154359#1.20 12154359#2 -386995521#1 -386995521#0 43357814#0 43357814#1 42706837#4 42706837#5 12154359#5 12154359#6 386995531#1 386995531#2 386995531#3 386995531#4 12172918#2 gneE73 gneE75.0 gneE80.125" probability="0.027027027027027"/&gt;</t>
  </si>
  <si>
    <t xml:space="preserve">    &lt;route id="Router3_12" edges="-gneE80.0 -gneE80.17 -gneE41 gneE44 -388756838#2 -388756838#1 -388756838#0 42706817#0 386547310 gneE69 -388756838#2 -388756838#1 -388756838#0 -388756839#1 -388756839#0 -194358837#2 -194358837#0 194358838#0 194358838#1 194358838#2 194358838#3 387422145#0 387422145#3 386995499#0 386995499#2 -51155368#13 -51155368#10 -51155368#7 121319040#0 121319040#1 386995507#0 386995507#1 386995507#2 386995507#3 12182281#7 42706837#0 42706837#1 42706837#2 42706837#3 43357814#2 43357814#3 386995526#0 386995526#1 -51050425#4 -51050425#3 -51050425#2 12162659#0 12162659#1 -12175537#4 -12175537#3 -12175537#2 -12175537#1 -50033059#3 -50033059#2 -386995514#7 -12199713#2 12177498 42706833#2 51155368#0 -50033558#5 -50033558#3 -50033558#2 -62105579 -32121234#1 -32121234#0 42706874#0 42706874#2 55179414#0 55179413#0 424769182 -450827405#2 -450827400#2 -450827382 -450827385#1 -450827391#1 -450827381 -450827397#1 12180696#0 59435515#1 59435515#2 59435515#3 59435515#4 424801338#1 12117702#0 12117702#4 12117702#7 -32121146#3 12202008#2.0 12202008#2.171 62646499#2 450827424#0 450827405#0 262962062 -55179413#2 12187610#0 12187610#2 12187610#3 -62105579 12186909#0 12186909#1 12186909#2 51155368#11 42706831#0 42706831#4 42706831#5 42706831#6 32121234#0 32121234#1 32121234#2 50033558#2 50033558#3 50033558#4 50033558#6 50033058#0 386995514#9 386995486#0 32121111#11 -12177521#0 -121319040#0 -51155368#5 -50033558#5 -50033558#3 -12188656 -121319046 -42706825#7 -42706825#4 -42706825#3 -42706825#1 -484953510#2 -484953510#1 -484953510#0 gneE37 gneE38 -12159761#2 -12159761#1 -12159761#0 -194358817#2 -194358817#1 -194358817#0 -386995514#2 -386995514#1 12159500#1 12159500#2 51050030#7 gneE35 -gneE34.0 --gneE83.0" probability="0.027027027027027"/&gt;</t>
  </si>
  <si>
    <t xml:space="preserve">    &lt;route id="Router3_13" edges="-gneE80.0 -gneE80.17 -gneE41 gneE44 -388756838#2 -388756838#1 -388756838#0 42706817#0 386547310 gneE69 -388756838#2 -388756838#1 -388756838#0 -388756839#1 -388756839#0 -194358837#2 -194358837#0 194358838#0 194358838#1 194358838#2 194358838#3 387422145#0 387422145#3 386995499#0 386995499#2 -51155368#13 -51155368#10 -51155368#7 121319040#0 121319040#1 386995507#0 386995507#1 386995507#2 386995507#3 12182281#7 42706837#0 42706837#1 42706837#2 42706837#3 43357814#2 43357814#3 386995526#0 386995526#1 -51050425#4 -51050425#3 -51050425#2 12162659#0 12162659#1 -12175537#4 -12175537#3 -12175537#2 -12175537#1 -50033059#3 -50033059#2 -386995514#7 -12199713#2 12177498 42706833#2 51155368#0 -50033558#5 -50033558#3 -50033558#2 -62105579 -32121234#1 -32121234#0 42706874#0 42706874#2 55179414#0 55179413#0 424769182 -450827405#2 -450827400#2 -450827382 -450827385#1 -450827391#1 -450827381 -450827397#1 12180696#0 59435515#1 59435515#2 59435515#3 59435515#4 424801338#1 12117702#0 12117702#4 12117702#7 -32121146#3 12202008#2.0 12202008#2.171 62646499#2 450827424#0 450827405#0 262962062 -55179413#2 12187610#0 12187610#2 12187610#3 -62105579 12186909#0 12186909#1 12186909#2 51155368#11 42706831#0 42706831#4 42706831#5 42706831#6 32121234#0 32121234#1 32121234#2 50033558#2 50033558#3 50033558#4 50033558#6 50033058#0 386995514#9 386995486#0 32121111#11 -12177521#0 -121319040#0 -51155368#5 -50033558#5 -50033558#3 -12188656 -121319046 -42706825#7 -42706825#4 -42706825#3 -42706825#1 -484953510#2 -484953510#1 -484953510#0 gneE37 gneE38 -12159761#2 -12159761#1 -12159761#0 12114363#0 12114363#1 -50033059#4 12175537#0 12175537#2 12175537#3 12175537#4 12162659#2 12159485 12161358#7 12161358#8 386995507#6 386995507#7 386995521#0 386995521#1 12154359#3 12154359#4 12154359#5 12154359#6 12154359#7 101350669 -386995537 -386995526#1 -386995526#0 -43357814#3 -43357814#2 42706837#4 42706837#5 42706837#6 42706837#7 42706837#8 42706837#9 12172918#0 12172918#1 12172918#2 gneE73 gneE75.0 gneE80.125" probability="0.027027027027027"/&gt;</t>
  </si>
  <si>
    <t xml:space="preserve">    &lt;route id="Router3_14" edges="-gneE80.0 -gneE80.17 -gneE41 gneE44 -388756838#2 -388756838#1 -388756838#0 42706817#0 386547310 gneE69 -388756838#2 -388756838#1 -388756838#0 -388756839#1 -388756839#0 -194358837#2 -194358837#0 194358838#0 194358838#1 194358838#2 194358838#3 387422145#0 387422145#3 386995499#0 386995499#2 -51155368#13 -51155368#10 -51155368#7 121319040#0 121319040#1 386995507#0 386995507#1 386995507#2 386995507#3 12182281#7 42706837#0 42706837#1 42706837#2 42706837#3 43357814#2 43357814#3 386995526#0 386995526#1 -51050425#4 -51050425#3 -51050425#2 12162659#0 12162659#1 -12175537#4 -12175537#3 -12175537#2 -12175537#1 -50033059#3 -50033059#2 -386995514#7 -12199713#2 12177498 42706833#2 51155368#0 -50033558#5 -50033558#3 -50033558#2 -62105579 -32121234#1 -32121234#0 42706874#0 42706874#2 55179414#0 55179413#0 424769182 -450827405#2 -450827400#2 -450827382 -450827385#1 -450827391#1 -450827381 -450827397#1 12180696#0 59435515#1 59435515#2 59435515#3 59435515#4 424801338#1 12117702#0 12117702#4 12117702#7 -32121146#3 12202008#2.0 12202008#2.171 62646499#2 450827424#0 450827405#0 262962062 -55179413#2 12187610#0 12187610#2 12187610#3 -62105579 12186909#0 12186909#1 12186909#2 51155368#11 42706831#0 42706831#4 42706831#5 42706831#6 32121234#0 32121234#1 32121234#2 50033558#2 50033558#3 50033558#4 50033558#6 50033058#0 386995514#9 386995486#0 32121111#11 -12177521#0 -121319040#0 -51155368#5 -50033558#5 -50033558#3 -12188656 -121319046 -42706825#7 -42706825#4 -42706825#3 -42706825#1 -484953510#2 -484953510#1 -484953510#0 gneE37 gneE38 -12159761#2 -12159761#1 -12159761#0 12114363#0 12114363#1 -50033059#4 12175537#0 12175537#2 12175537#3 12175537#4 12162659#2 12159485 12161358#7 12161358#8 386995507#6 386995507#7 386995521#0 386995521#1 12154359#3 12154359#4 12154359#5 12154359#6 12154359#7 101350669 -386995537 -386995526#1 -386995526#0 -43357814#3 12175537#8 12175537#9 12175537#10 12175537#11 12175537#12 12175537#13 12172918#1 12172918#2 gneE73 gneE75.0 gneE80.125" probability="0.027027027027027"/&gt;</t>
  </si>
  <si>
    <t xml:space="preserve">    &lt;route id="Router3_15" edges="-gneE80.0 -gneE80.17 -gneE41 gneE44 -388756838#2 -388756838#1 -388756838#0 42706817#0 386547310 gneE69 -388756838#2 -388756838#1 -388756838#0 -388756839#1 -388756839#0 -194358837#2 -194358837#0 194358838#0 194358838#1 194358838#2 194358838#3 387422145#0 387422145#3 386995499#0 386995499#2 -51155368#13 -51155368#10 -51155368#7 121319040#0 121319040#1 386995507#0 386995507#1 386995507#2 386995507#3 12182281#7 42706837#0 42706837#1 42706837#2 42706837#3 43357814#2 43357814#3 386995526#0 386995526#1 -51050425#4 -51050425#3 -51050425#2 12162659#0 12162659#1 -12175537#4 -12175537#3 -12175537#2 -12175537#1 -50033059#3 -50033059#2 -386995514#7 -12199713#2 12177498 42706833#2 51155368#0 -50033558#5 -50033558#3 -50033558#2 -62105579 -32121234#1 -32121234#0 42706874#0 42706874#2 55179414#0 55179413#0 424769182 -450827405#2 -450827400#2 -450827382 -450827385#1 -450827391#1 -450827381 -450827397#1 12180696#0 59435515#1 59435515#2 59435515#3 59435515#4 424801338#1 12117702#0 12117702#4 12117702#7 -32121146#3 12202008#2.0 12202008#2.171 62646499#2 450827424#0 450827405#0 262962062 -55179413#2 12187610#0 12187610#2 12187610#3 -62105579 12186909#0 12186909#1 12186909#2 51155368#11 42706831#0 42706831#4 42706831#5 42706831#6 32121234#0 32121234#1 32121234#2 50033558#2 50033558#3 50033558#4 50033558#6 50033058#0 386995514#9 386995486#0 32121111#11 -12177521#0 -121319040#0 -51155368#5 -50033558#5 -50033558#3 -12188656 -121319046 -42706825#7 -42706825#4 -42706825#3 -42706825#1 -484953510#2 -484953510#1 -484953510#0 gneE37 gneE38 -12159761#2 -12159761#1 -12159761#0 12114363#0 12114363#1 -50033059#4 12175537#0 12175537#2 12175537#3 12175537#4 12175537#5 12175537#6 12175537#7 -43357814#2 42706837#4 42706837#5 42706837#6 42706837#7 42706837#8 12155177#0 12175537#13 12172918#1 12172918#2 gneE73 gneE75.0 -gneE80.17 -gneE41 gneE44 -388756838#2 -388756838#1 -388756838#0 42706817#0 386547310 gneE69 -388756838#2 -388756838#1 -388756838#0 -388756839#1 -388756839#0 -194358837#2 -194358837#0 194358838#0 194358838#1 194358838#2 386995479#2 310315797#2 12185366#9 387422145#0 -12157718#6 -12157718#4 -12157718#3 -12157718#2 -12157718#1 -12199713#4 386995514#7 -50033059#1 -50033558#8 -51155368#3 121319046 12188656 -50033558#2 12203859#0 12203859#1 42706831#4 42706831#5 42706831#6 42706874#0 42706874#2 12144152#0 12144152#2 450844953#0 450844953#2 450844953#3 450844947#0 388533142#0 388533142#2 388533142#4 62623926#0 62623926#1 450844950#0 12189453#0.0.0 450844982#0.19 62203497#0 62203497#2 62203497#3 12134479#1 34685684#0 34685684#2 388533143#0 388533143#2 12140627#0 63060729#0 -264253834#2 12156992#4 12156992#5 12156992#6 12156992#7 12156992#8 12156992#9 -12114396#5 -12114396#3 -12114396#1 485017383#0 485017382#0 485017382#1 211575484#0 -12177521#3 -12177521#2 -12177521#1 32121111#12 32121111#14 -12187610#5 -12187610#2 -12187610#1 12150608#0 32121146#2 12117702#9 450844953#0 450844953#2 450844953#3 450844947#0 388533142#0 388533142#2 388533142#4 62623926#0 62623926#1 450844950#0 38502259#0.19 450844933#1 196207110#0 196207110#2" probability="0.027027027027027"/&gt;</t>
  </si>
  <si>
    <t xml:space="preserve">    &lt;route id="Router3_16" edges="-gneE80.0 -gneE80.17 -gneE41 gneE44 -388756838#2 -388756838#1 -388756838#0 42706817#0 386547310 gneE69 -388756838#2 -388756838#1 -388756838#0 -388756839#1 -388756839#0 -194358837#2 -194358837#0 194358838#0 194358838#1 194358838#2 194358838#3 387422145#0 387422145#3 386995499#0 386995499#2 -51155368#13 -51155368#10 -51155368#7 121319040#0 121319040#1 386995507#0 386995507#1 386995507#2 386995507#3 12182281#7 42706837#0 42706837#1 42706837#2 42706837#3 43357814#2 43357814#3 386995526#0 386995526#1 -51050425#4 -51050425#3 -51050425#2 12162659#0 12162659#1 -12175537#4 -12175537#3 -12175537#2 -12175537#1 -50033059#3 -50033059#2 -386995514#7 -12199713#2 12177498 42706833#2 51155368#0 -50033558#5 -50033558#3 -50033558#2 -62105579 -32121234#1 -32121234#0 42706874#0 42706874#2 55179414#0 55179413#0 424769182 -450827405#2 -450827400#2 -450827382 -450827385#1 -450827391#1 -450827381 -450827397#1 12180696#0 59435515#1 59435515#2 59435515#3 59435515#4 424801338#1 12117702#0 12117702#4 12117702#7 -32121146#3 12202008#2.0 12202008#2.171 62646499#2 450827424#0 450827405#0 262962062 -55179413#2 12187610#0 12187610#2 12187610#3 -62105579 12186909#0 12186909#1 12186909#2 51155368#11 42706831#0 42706831#4 42706831#5 42706831#6 32121234#0 32121234#1 32121234#2 50033558#2 50033558#3 50033558#4 50033558#6 50033058#0 386995514#9 386995486#0 32121111#11 -12177521#0 -121319040#0 -51155368#5 -50033558#5 -50033558#3 -12188656 -121319046 -42706825#7 -42706825#4 -42706825#3 -42706825#1 -484953510#2 -484953510#1 -484953510#0 gneE37 gneE38 -12159761#2 -12159761#1 -12159761#0 12114363#0 12114363#1 -50033059#4 12175537#0 12175537#2 12175537#3 12175537#4 12175537#5 12175537#6 12175537#7 -43357814#2 42706837#4 42706837#5 42706837#6 42706837#7 42706837#8 12155177#0 12175537#13 12172918#1 12172918#2 gneE73 gneE75.0 gneE80.125" probability="0.027027027027027"/&gt;</t>
  </si>
  <si>
    <t xml:space="preserve">    &lt;route id="Router3_17" edges="-gneE80.0 -gneE80.17 -gneE41 gneE44 -388756838#2 -388756838#1 -388756838#0 42706817#0 386547310 gneE69 -388756838#2 -388756838#1 -388756838#0 -388756839#1 -388756839#0 -194358837#2 -194358837#0 194358838#0 194358838#1 194358838#2 194358838#3 387422145#0 387422145#3 386995499#0 386995499#2 -51155368#13 -51155368#10 -51155368#7 121319040#0 121319040#1 386995507#0 386995507#1 386995507#2 386995507#3 12182281#7 42706837#0 42706837#1 42706837#2 42706837#3 43357814#2 43357814#3 386995526#0 386995526#1 -51050425#4 -51050425#3 -51050425#2 12162659#0 12162659#1 -12175537#4 -12175537#3 -12175537#2 -12175537#1 -50033059#3 -50033059#2 -386995514#7 -12199713#2 12177498 42706833#2 51155368#0 -50033558#5 -50033558#3 -50033558#2 -62105579 -32121234#1 -32121234#0 42706874#0 42706874#2 55179414#0 55179413#0 424769182 -450827405#2 -450827400#2 -450827382 -450827385#1 -450827391#1 -450827381 -450827397#1 12180696#0 59435515#1 59435515#2 59435515#3 59435515#4 424801338#1 12117702#0 12117702#4 12117702#7 -32121146#3 12202008#2.0 12202008#2.171 62646499#2 450827424#0 450827405#0 262962062 -55179413#2 12187610#0 12187610#2 12187610#3 -62105579 12186909#0 12186909#1 12186909#2 51155368#11 42706831#0 42706831#4 42706831#5 42706831#6 32121234#0 32121234#1 32121234#2 50033558#2 50033558#3 50033558#4 50033558#6 50033058#0 386995514#9 386995486#0 32121111#11 -12177521#0 -121319040#0 -51155368#5 -50033558#5 -50033558#3 -12188656 -121319046 -42706825#7 -42706825#4 -42706825#3 -42706825#1 -484953510#2 -484953510#1 -484953510#0 gneE37 gneE38 -12159761#2 -12159761#1 -12159761#0 12114363#0 12114363#1 -50033059#4 12175537#0 12175537#2 12175537#3 12175537#4 12175537#5 12175537#6 12175537#7 12175537#8 12175537#9 12154359#6 386995531#1 12174155#0 -12175537#10 -12175537#9 -12175537#8 -12175537#7 12152013#3 12167232#3 386995531#0 12154359#7 101350669 -386995537 -386995526#1 -386995526#0 -43357814#3 -43357814#2 42706837#4 42706837#5 42706837#6 42706837#7 42706837#8 42706837#9 12172918#0 12172918#1 12172918#2 gneE73 gneE75.0 -gneE80.17 -gneE41 gneE44 -388756838#2 -388756838#1 -388756838#0 42706817#0 386547310 gneE69 -gneE44 gneE41 gneE80.0 gneE80.125" probability="0.027027027027027"/&gt;</t>
  </si>
  <si>
    <t xml:space="preserve">    &lt;route id="Router3_18" edges="-gneE80.0 -gneE80.17 -gneE41 gneE44 -388756838#2 -388756838#1 -388756838#0 42706817#0 386547310 gneE69 -388756838#2 -388756838#1 -388756838#0 -388756839#1 -388756839#0 -194358837#2 -194358837#0 194358838#0 194358838#1 194358838#2 194358838#3 387422145#0 387422145#3 386995499#0 386995499#2 -51155368#13 -51155368#10 -51155368#7 121319040#0 121319040#1 386995507#0 386995507#1 386995507#2 386995507#3 12182281#7 42706837#0 42706837#1 42706837#2 42706837#3 43357814#2 43357814#3 386995526#0 386995526#1 -51050425#4 -51050425#3 -51050425#2 12162659#0 12162659#1 -12175537#4 -12175537#3 -12175537#2 -12175537#1 -50033059#3 -50033059#2 -386995514#7 -12199713#2 12177498 42706833#2 51155368#0 -50033558#5 -50033558#3 -50033558#2 -62105579 -32121234#1 -32121234#0 42706874#0 42706874#2 55179414#0 55179413#0 424769182 -450827405#2 -450827400#2 -450827382 -450827385#1 -450827391#1 -450827381 -450827397#1 12180696#0 59435515#1 59435515#2 59435515#3 59435515#4 424801338#1 12117702#0 12117702#4 12117702#7 -32121146#3 12202008#2.0 12202008#2.171 62646499#2 450827424#0 450827405#0 262962062 -55179413#2 12187610#0 12187610#2 12187610#3 -62105579 12186909#0 12186909#1 12186909#2 51155368#11 42706831#0 42706831#4 42706831#5 42706831#6 32121234#0 32121234#1 32121234#2 50033558#2 50033558#3 50033558#4 50033558#6 50033058#0 386995514#9 386995486#0 32121111#11 -12177521#0 -121319040#0 -51155368#5 -50033558#5 -50033558#3 -12188656 -121319046 -42706825#7 -42706825#4 -42706825#3 -42706825#1 -484953510#2 -484953510#1 -484953510#0 gneE37 gneE38 -12159761#2 -12159761#1 -12159761#0 12114363#0 12114363#1 -50033059#4 12175537#0 12175537#2 12175537#3 12175537#4 12175537#5 12175537#6 12175537#7 12175537#8 12175537#9 12154359#6 386995531#1 12174155#0 -12175537#10 -12175537#9 -12175537#8 -12175537#7 12152013#3 12167232#3 386995531#0 12154359#7 101350669 -386995537 -386995526#1 -386995526#0 -43357814#3 -43357814#2 42706837#4 42706837#5 42706837#6 42706837#7 42706837#8 42706837#9 12172918#0 12172918#1 12172918#2 gneE73 gneE75.0 gneE80.125" probability="0.027027027027027"/&gt;</t>
  </si>
  <si>
    <t xml:space="preserve">    &lt;route id="Router3_19" edges="-gneE80.0 -gneE80.17 -gneE41 gneE44 -388756838#2 -388756838#1 -388756838#0 42706817#0 386547310 gneE69 -388756838#2 -388756838#1 -388756838#0 -388756839#1 -388756839#0 -194358837#2 -194358837#0 194358838#0 194358838#1 194358838#2 194358838#3 387422145#0 387422145#3 386995499#0 386995499#2 42706831#0 42706831#4 42706831#5 42706831#6 42706874#0 42706874#2 -424080769#1 -424769177 -386547298#1 -424080767#1 -424080771#1 -386547297#1 -424080772#2 -424080772#1 -424080761#1 -62623960 62623959#0 386547296#0 386547296#1 424080773#0 -424080768#1 -424080766 -104526265#1 30953497#0 30953497#2 30953497#3 42706585#0 42706585#1 30953320 30953320-AddedOffRampEdge 104526277 30953215#1-AddedOnRampEdge 30953215#1 121643865#0 12110705 50715233#0 50715233#0-AddedOffRampEdge 50715233#1.0 62203285#14.24 30908387 30908366#1-AddedOnRampEdge 30908366#1 121643863 121643862 51758697#0 51758697#1-AddedOnRampEdge 51758697#1 -gneE46.0 43357850.4841.18 gneE46 49887339#0.596 49887339#0-AddedOffRampEdge 49887339#1 49887339#1-AddedOffRampEdge 104524021 104524021-AddedOffRampEdge 50192637#0 50192637#1-AddedOnRampEdge 50192637#1.0.0 50192637#1.0.382.0.0 50192637#1.697 50192637#1-AddedOffRampEdge 30953181#1 30953181#2-AddedOnRampEdge 30953181#2 30953181#3-AddedOnRampEdge 30953181#3 30953181#3-AddedOffRampEdge 30952933#1.0 30952933#1.199" probability="0.027027027027027"/&gt;</t>
  </si>
  <si>
    <t xml:space="preserve">    &lt;route id="Router3_20" edges="-gneE80.0 -gneE80.17 -gneE41 gneE44 -388756838#2 -388756838#1 -388756838#0 42706817#0 386547310 gneE69 -388756838#2 -388756838#1 -388756838#0 -388756839#1 -388756839#0 -194358837#2 -194358837#0 194358838#0 194358838#1 194358838#2 386995479#2 310315797#2 12185366#9 387422145#0 -12157718#6 -12157718#4 -12157718#3 -12157718#2 -12157718#1 -12199713#4 -386995514#6 -386995514#5 -386995514#4 -386995514#3 -386995514#2 -386995514#1 12159500#1 12159500#2 51050030#7 gneE35 -gneE34.0 --gneE83.0" probability="0.027027027027027"/&gt;</t>
  </si>
  <si>
    <t xml:space="preserve">    &lt;route id="Router3_21" edges="-gneE80.0 -gneE80.17 -gneE41 gneE44 -388756838#2 -388756838#1 -388756838#0 42706817#0 386547310 gneE69 -388756838#2 -388756838#1 -388756838#0 -388756839#1 -388756839#0 -194358837#2 -194358837#0 194358838#0 194358838#1 194358838#2 386995479#2 310315797#2 12185366#9 387422145#0 -12157718#6 -12157718#4 -12157718#3 -12157718#2 -12157718#1 -12199713#4 386995514#7 -50033059#1 -50033558#8 -51155368#3 121319046 12188656 -50033558#2 12203859#0 12203859#1 42706831#4 42706831#5 42706831#6 42706874#0 42706874#2 12144152#0 12144152#2 450844953#0 450844953#2 450844953#3 450844947#0 388533142#0 388533142#2 388533142#4 62623926#0 62623926#1 450844950#0 12189453#0.0.0 450844982#0.19 62203497#0 62203497#2 62203497#3 12134479#1 34685684#0 34685684#2 388533143#0 388533143#2 12140627#0 63060729#0 -264253834#2 12156992#4 12156992#5 12156992#6 12156992#7 12156992#8 12156992#9 -12114396#5 -12114396#3 -12114396#1 485017383#0 485017382#0 485017382#1 211575484#0 -12177521#3 -12177521#2 -12177521#1 32121111#12 32121111#14 -12187610#5 -12187610#2 -12187610#1 12150608#0 32121146#2 12117702#9 450844953#0 450844953#2 450844953#3 450844947#0 388533142#0 388533142#2 388533142#4 62623926#0 62623926#1 450844950#0 38502259#0.19 450844933#1 196207110#0 196207110#2" probability="0.027027027027027"/&gt;</t>
  </si>
  <si>
    <t xml:space="preserve">    &lt;route id="Router3_22" edges="-gneE80.0 -gneE80.17 -gneE41 gneE44 -388756838#2 -388756838#1 -388756838#0 42706817#0 386547310 gneE69 -388756838#2 -388756838#1 -388756838#0 -388756839#1 -388756839#0 -194358837#2 -194358837#0 194358838#0 194358838#1 32121111#9 12157718#4 12157718#5 12157718#7 485017376 485017373#0 387422135#0 424769003#0 424769003#1 -30953396#1 -30953396#0 -424769006 -424769005 -424769002 -30953391 -43569848 -393884751 12159702 424764853 12149178#0 50189796 50189564 12149178#2 145605533#0 145605533#1-AddedOnRampEdge 145605533#1 145605511#1-AddedOnRampEdge 145605511#12 145605511#1.148" probability="0.027027027027027"/&gt;</t>
  </si>
  <si>
    <t xml:space="preserve">    &lt;route id="Router3_23" edges="-gneE80.0 -gneE80.17 -gneE41 gneE44 -388756838#2 -388756838#1 -388756838#0 42706817#0 386547310 gneE69 -388756838#2 -388756838#1 -388756838#0 -388756839#1 -388756839#0 -194358837#2 -194358837#0 194358838#0 194358838#1 32121111#9 32121111#10 -386995486#0 -386995514#9 50033058#2 50033058#3 194358837#0 194358837#1 12175533#0 12175533#2 12175533#3 42706825#4 42706825#5 12189876#0 12189876#2 484953509#0 484953509#2 -12175523#1 12134222#0 12134222#2 12134222#3 386547311#11 386547311#13 357338496#0 357338496#2 450695461#0 62646494#0 424801336#0 484842168#0 283621820 -28555309#1 -424801341 -283621822#1 -424801343#1 -424801343#0 49991658 424801340 424801342 386550018#0 386550018#0-AddedOffRampEdge 386550018#1 49991638 -12144161#0 12144161#0 12144161#1 49991657 283621821#1 283621821#1-AddedOffRampEdge 12122485 49991647#2 63060732#0 63060732#1 63060732#2.0 273888488.10 -12122468#1 -12122468#0 -424081469 -424081473 -424081472 -424987520 -30953029#1 -30953029#0 -424987519 170366765 12173391 12123285#0 12123285#1 12123285#2 12176631 424804090#0 424804090#1 12198567#0 12198567#1 12198567#2 12198567#3 12171853#3 12171853#4 12171853#5 12171853#6 132508920#8 132508920#9 132508920#10 132508920#12 132508983#0 132508983#3 132508983#5 132508740#0 132508740#2 -12165829#1 132508646#0 132508646#2 132508646#3 394179820#0 394179820#1 394179820#2 394179820#3 450844975 450844970#0 196355332#0 450844979#0.0 450844982#0.19 62203497#0 62203497#2 62203497#3 12134479#1 34685684#0 34685684#2 388533143#0 388533143#2 12140627#0 63060729#0 -264253834#2 12156992#4 12156992#5 12156992#6 12156992#7 12156992#8 12156992#9 -12114396#5 -12114396#3 -12114396#1 485017383#0 485017382#0 485017382#1 211575484#0 -12177521#3 -12177521#2 -12177521#1 32121111#12 32121111#14 -12187610#5 -12187610#2 -12187610#1 12150608#0 32121146#2 12117702#9 450844953#0 450844953#2 450844953#3 450844947#0 388533142#0 388533142#2 388533142#4 62623926#0 62623926#1 450844950#0 38502259#0.19 450844933#1 196207110#0 196207110#2" probability="0.027027027027027"/&gt;</t>
  </si>
  <si>
    <t xml:space="preserve">    &lt;route id="Router3_24" edges="-gneE80.0 -gneE80.17 -gneE41 gneE44 -388756838#2 -388756838#1 -388756838#0 42706817#0 386547310 gneE69 -388756838#2 -388756838#1 -388756838#0 -388756839#1 -388756839#0 -194358837#2 -194358837#0 194358838#0 194358838#1 32121111#9 32121111#10 -386995486#0 -386995514#9 50033058#2 50033058#3 194358837#0 194358837#1 12175533#0 12175533#2 12175533#3 42706825#4 42706825#5 12189876#0 12189876#2 484953509#0 484953509#2 -12175523#1 12134222#0 12134222#2 12134222#3 386547311#11 386547311#13 357338496#0 357338496#2 450695461#0 62646494#0 424801336#0 484842168#0 283621820 -28555309#1 -424801341 -283621822#1 -424801343#1 -424801343#0 49991658 424801340 424801342 386550018#0 386550018#0-AddedOffRampEdge 386550018#1 49991638 -12144161#0 12144161#0 12144161#1 49991657 283621821#1 283621821#1-AddedOffRampEdge 12122485 49991647#2 63060732#0 63060732#1 63060732#2.0 273888488.10 -12122468#1 -12122468#0 -424081469 -424081473 -424081472 -424987520 -30953029#1 -30953029#0 -424987519 170366765 12173391 12123285#0 170366766 -170366765 170366768 30953029#0 30953029#1 424987520 424081472 424081473 424081470 12122468#0 12122468#1 273888485.0 50033027 -50033029 50033050#0 50033055 63060727 50033029 50033028#0 50033028#3 50033028#5 50033028#6 49991646 386547300#0 283621823 386547301-AddedOnRampEdge 386547301 424801344#0 424801343#1 283621822#0 424801341 28555309#0 49991649#0 424986163#0 51049946#0 424801337#0 357338497#0 357338497#2 450695460#0 62646499#0 62646499#2 450827424#0 62646508#0 62646508#2 424799820 424799823#0 50033059#0 50033059#2 50033059#3 50033059#4 388756839#0 388756839#1 388756838#0 12136923#0 386547309#0 386547309#2 386547309#3 386547309#5 386547309#7 51050030#4 51050030#7 gneE35 -gneE34.0 --gneE83.0" probability="0.027027027027027"/&gt;</t>
  </si>
  <si>
    <t xml:space="preserve">    &lt;route id="Router3_25" edges="-gneE80.0 -gneE80.17 -gneE41 gneE44 -388756838#2 -388756838#1 -388756838#0 42706817#0 386547310 gneE69 -388756838#2 -388756838#1 -388756838#0 -388756839#1 -388756839#0 -194358837#2 -194358837#0 194358838#0 194358838#1 32121111#9 32121111#10 -386995486#0 -386995514#9 50033058#2 50033058#3 194358837#0 194358837#1 12175533#0 12175533#2 12175533#3 42706825#4 42706825#5 12189876#0 12189876#2 484953509#0 484953509#2 -12175523#1 12134222#0 12134222#2 12134222#3 386547311#11 386547311#13 357338496#0 357338496#2 450695461#0 62646494#0 424801336#0 484842168#0 283621820 -28555309#1 -424801341 -283621822#1 -424801343#1 -424801343#0 49991658 424801340 424801342 386550018#0 386550018#0-AddedOffRampEdge 386550018#1 49991638 -12144161#0 12144161#0 12144161#1 49991657 283621821#1 283621821#1-AddedOffRampEdge 283621821#2 49991647#1 49991647#2 63060732#0 63060732#1 63060732#2.0 63060732#2.116 50033027 -50033029 50033050#0 50033050#2 424799828 424799825 424799826 -12168663#6 -484953513#2 484842168#0 283621820 -28555309#1 -424801341 -283621822#1 -424801343#1 -424801343#0 49991658 424801340 424801342 386550018#0 386550018#0-AddedOffRampEdge 386550018#1 49991638 -12144161#0 12144161#0 12144161#1 49991657 283621821#1 283621821#1-AddedOffRampEdge 12122485 49991647#2 63060732#0 63060732#1 63060732#2.0 273888488.10 -12122468#1 -12122468#0 -424081469 -424081473 -424081472 -424987520 -30953029#1 -30953029#0 -424987519 170366765 12173391 12123285#0 170366766 -170366765 170366768 30953029#0 30953029#1 424987520 424081472 424081473 424081470 12122468#0 12122468#1 273888485.0 50033027 -50033029 50033050#0 50033055 63060727 50033029 50033028#0 50033028#3 50033028#5 50033028#6 49991646 386547300#0 283621823 386547301-AddedOnRampEdge 386547301 424801344#0 424801343#1 283621822#0 424801341 28555309#0 49991649#0 424986163#0 51049946#0 424801337#0 357338497#0 357338497#2 450695460#0 62646499#0 62646499#2 450827424#0 62646508#0 62646508#2 424799820 424799823#0 50033059#0 50033059#2 50033059#3 50033059#4 388756839#0 388756839#1 388756838#0 12136923#0 386547309#0 386547309#2 386547309#3 386547309#5 386547309#7 51050030#4 51050030#7 gneE35 -gneE34.0 --gneE83.0" probability="0.027027027027027"/&gt;</t>
  </si>
  <si>
    <t xml:space="preserve">    &lt;route id="Router3_26" edges="-gneE80.0 -gneE80.17 -gneE41 gneE44 -388756838#2 -388756838#1 -388756838#0 42706817#0 386547310 gneE69 -388756838#2 -388756838#1 -388756838#0 -388756839#1 -388756839#0 -194358837#2 -194358837#0 194358838#0 194358838#1 32121111#9 32121111#10 -386995486#0 -386995514#9 50033058#2 50033058#3 194358837#0 194358837#1 12175533#0 12175533#2 12175533#3 42706825#4 42706825#5 12189876#0 12189876#2 484953509#0 484953509#2 -12175523#1 12134222#0 12134222#2 12134222#3 386547311#11 386547311#13 357338496#0 357338496#2 450695461#0 62646494#0 424801336#0 484842168#0 283621820 -28555309#1 -424801341 -283621822#1 -424801343#1 -424801343#0 49991658 424801340 424801342 386550018#0 386550018#0-AddedOffRampEdge 386550018#1 49991638 -12144161#0 12144161#0 12144161#1 49991657 283621821#1 283621821#1-AddedOffRampEdge 283621821#2 49991647#1 49991647#2 63060732#0 63060732#1 63060732#2.0 63060732#2.116 50033027 -50033029 50033050#0 50033050#2 424799828 424799825 424799826 50033054 63060727 50033029 50033028#0 50033028#3 50033028#5 50033028#6 49991646 386547300#0 283621823 386547301-AddedOnRampEdge 386547301 424801344#0 424801343#1 283621822#0 424801341 28555309#0 49991649#0 424986163#0 51049946#0 424801337#0 357338497#0 357338497#2 450695460#0 62646499#0 62646499#2 450827424#0 62646508#0 62646508#2 424799820 424799823#0 50033059#0 50033059#2 50033059#3 50033059#4 388756839#0 388756839#1 388756838#0 12136923#0 386547309#0 386547309#2 386547309#3 386547309#5 386547309#7 51050030#4 51050030#7 gneE35 -gneE34.0 --gneE83.0" probability="0.027027027027027"/&gt;</t>
  </si>
  <si>
    <t xml:space="preserve">    &lt;route id="Router3_27" edges="-gneE80.0 -gneE80.17 -gneE41 gneE44 -388756838#2 -388756838#1 -388756838#0 42706817#0 386547310 gneE69 -gneE44 gneE41 254666172#0 -386995551 -386995537 -386995526#1 -386995526#0 -43357814#3 12175537#8 12175537#9 12154359#6 386995531#1 12174155#0 -12175537#10 -12175537#9 -12175537#8 -12175537#7 12152013#3 12167232#3 386995531#0 12154359#7 101350669 -386995537 -386995526#1 -386995526#0 -43357814#3 12175537#8 12175537#9 12154359#6 386995531#1 386995531#2 387422150#2 12175537#12 12155177#1 386995531#4 12172918#2 gneE73 gneE75.0 -gneE80.17 -gneE41 gneE44 -388756838#2 -388756838#1 -388756838#0 42706817#0 386547310 gneE69 -gneE44 gneE41 gneE80.0 gneE80.125" probability="0.027027027027027"/&gt;</t>
  </si>
  <si>
    <t xml:space="preserve">    &lt;route id="Router3_28" edges="-gneE80.0 -gneE80.17 -gneE41 gneE44 -388756838#2 -388756838#1 -388756838#0 42706817#0 386547310 gneE69 -gneE44 gneE41 254666172#0 -386995551 -386995537 -386995526#1 -386995526#0 -43357814#3 12175537#8 12175537#9 12154359#6 386995531#1 12174155#0 -12175537#10 -12175537#9 -12175537#8 -12175537#7 12152013#3 12167232#3 386995531#0 12154359#7 101350669 -386995537 -386995526#1 -386995526#0 -43357814#3 12175537#8 12175537#9 12154359#6 386995531#1 386995531#2 387422150#2 12175537#12 12155177#1 386995531#4 12172918#2 gneE73 gneE75.0 gneE80.125" probability="0.027027027027027"/&gt;</t>
  </si>
  <si>
    <t xml:space="preserve">    &lt;route id="Router3_29" edges="-gneE80.0 -gneE80.17 -gneE41 gneE44 -388756838#2 -388756838#1 -388756838#0 42706817#0 386547310 gneE69 -gneE44 gneE41 254666172#0 -386995551 -386995537 -386995526#1 -386995526#0 -43357814#3 12175537#8 12175537#9 12154359#6 386995531#1 12174155#0 -12175537#10 -12175537#9 -12175537#8 -12175537#7 12152013#3 12167232#3 386995531#0 12154359#7 101350669 -386995537 -386995526#1 -386995526#0 -43357814#3 12175537#8 12175537#9 12175537#10 12175537#11 12175537#12 12175537#13 12172918#1 12172918#2 gneE73 gneE75.0 gneE80.125" probability="0.027027027027027"/&gt;</t>
  </si>
  <si>
    <t xml:space="preserve">    &lt;route id="Router3_30" edges="-gneE80.0 -gneE80.17 -gneE41 gneE44 -388756838#2 -388756838#1 -388756838#0 42706817#0 386547310 gneE69 -gneE44 gneE41 254666172#0 -386995551 -386995537 -386995526#1 -386995526#0 -43357814#3 12175537#8 12175537#9 12175537#10 12175537#11 12175537#12 12155177#1 386995531#4 12172918#2 gneE73 gneE75.0 gneE80.125" probability="0.027027027027027"/&gt;</t>
  </si>
  <si>
    <t xml:space="preserve">    &lt;route id="Router3_31" edges="-gneE80.0 -gneE80.17 -gneE41 gneE44 -388756838#2 -388756838#1 -388756838#0 42706817#0 386547310 gneE69 -gneE44 gneE41 254666172#0 -386995551 -386995537 -386995526#1 -386995526#0 -43357814#3 12175537#8 12175537#9 12175537#10 12175537#11 12175537#12 12175537#13 12172918#1 12172918#2 gneE73 gneE75.0 gneE80.125" probability="0.027027027027027"/&gt;</t>
  </si>
  <si>
    <t xml:space="preserve">    &lt;route id="Router3_32" edges="-gneE80.0 -gneE80.17 -gneE41 gneE44 -388756838#2 -388756838#1 -388756838#0 42706817#0 386547310 gneE69 -gneE44 gneE41 254666172#0 387422150#0 387422150#1 387422150#2 12175537#12 12155177#1 386995531#4 12172918#2 gneE73 gneE75.0 -gneE80.17 -gneE41 gneE44 -388756838#2 -388756838#1 -388756838#0 42706817#0 386547310 gneE69 -gneE44 gneE41 gneE80.0 gneE80.125" probability="0.027027027027027"/&gt;</t>
  </si>
  <si>
    <t xml:space="preserve">    &lt;route id="Router3_33" edges="-gneE80.0 -gneE80.17 -gneE41 gneE44 -388756838#2 -388756838#1 -388756838#0 42706817#0 386547310 gneE69 -gneE44 gneE41 254666172#0 387422153#0 387422153#1 gneE73 gneE75.0 -gneE80.17 -gneE41 gneE44 -388756838#2 -388756838#1 -388756838#0 42706817#0 386547310 gneE69 -388756838#2 -388756838#1 -388756838#0 -388756839#1 -388756839#0 -194358837#2 -194358837#0 194358838#0 194358838#1 194358838#2 386995479#2 310315797#2 12185366#9 387422145#0 -12157718#6 -12157718#4 -12157718#3 -12157718#2 -12157718#1 -12199713#4 -386995514#6 -386995514#5 -386995514#4 -386995514#3 -386995514#2 -386995514#1 12159500#1 12159500#2 51050030#7 gneE35 -gneE34.0 --gneE83.0" probability="0.027027027027027"/&gt;</t>
  </si>
  <si>
    <t xml:space="preserve">    &lt;route id="Router3_34" edges="-gneE80.0 -gneE80.17 -gneE41 gneE44 -388756838#2 -388756838#1 -388756838#0 42706817#0 386547310 gneE69 -gneE44 gneE41 254666172#0 387422153#0 387422153#1 gneE73 gneE75.0 -gneE80.17 -gneE41 gneE44 -388756838#2 -388756838#1 -388756838#0 42706817#0 386547310 gneE69 -gneE44 gneE41 gneE80.0 gneE80.125" probability="0.027027027027027"/&gt;</t>
  </si>
  <si>
    <t xml:space="preserve">    &lt;route id="Router3_35" edges="-gneE80.0 -gneE80.17 -gneE41 gneE44 -388756838#2 -388756838#1 -388756838#0 42706817#0 386547310 gneE69 -gneE44 gneE41 254666172#0 387422153#0 387422153#1 gneE73 gneE75.0 gneE80.125" probability="0.027027027027027"/&gt;</t>
  </si>
  <si>
    <t xml:space="preserve">    &lt;route id="Router3_36" edges="-gneE80.0 -gneE80.17 -gneE41 gneE44 -388756838#2 -388756838#1 -388756838#0 42706817#0 386547310 gneE69 -gneE44 gneE41 gneE80.0 gneE80.125" probability="0.027027027027027"/&gt;</t>
  </si>
  <si>
    <t xml:space="preserve">    &lt;route id="Router3_37" edges="-gneE80.0 -gneE80.17 254666172#0 387422153#0 387422153#1 gneE73 gneE75.0 gneE80.125" probability="0.027027027027027"/&gt;</t>
  </si>
  <si>
    <t>&lt;routeDistribution id="JFK-22nd-to-21st-EB-2012-RouteProbe"&gt;</t>
  </si>
  <si>
    <t xml:space="preserve">    &lt;route id="Router3_101" edges="31909473.0 31909473.857 62634019#1-AddedOnRampEdge 62634019#1 62634019#2.0 62634019#2.242 62634019#3-AddedOnRampEdge 62634019#3 62634019#3-AddedOffRampEdge 12111747.0 59671945#0.30 62093806#0 30953497#0 30953497#2 35920555#0.0 35920555#0.75 62203066 43331031.0 43331031.436 42706585#0 42706585#1 30953320 30953320-AddedOffRampEdge 30953315 104526276-AddedOnRampEdge 104526276 51758697#0 51758697#1-AddedOnRampEdge 51758697#1" probability="0.142857142857143"/&gt;</t>
  </si>
  <si>
    <t xml:space="preserve">    &lt;route id="Router3_119" edges="31909473.0 31909473.857 62634019#1-AddedOnRampEdge 62634019#1 62634019#2.0 62634019#2.242 62634019#3-AddedOnRampEdge 62634019#3 62634019#3-AddedOffRampEdge 30953251#1.0 30953251#1-AddedOffRampEdge 12112003 30953215#1-AddedOnRampEdge 30953215#1 121643865#0 12110705 50715233#0 50715233#0-AddedOffRampEdge 50715233#1.0 62203285#14.24 gneE59.30.0.55 gneE59.30.0.0 gneE59.0.0 gneE59.0.12 62203360#0 291433361#0 132508433.0 -gneE6.0 gneE81.299.0 gneE81.299.79 gneE81.299.145 -gneE8 12154353#0 196393941#1 196393941#2 28533986 43539369#2 12178843#2 12178843#3 49960982#2 43569828#0 387422128#1 43569827#0 43569827#1 43569827#2 43569827#7 43569848 30953391 424769002 424769005 424769006 424769004 30953396#1 387422132#0 387422132#1 486653633#0 484953506#3 484953506#4 12157002#0 12157002#1 12157002#3 12157002#5 12114396#4 -12156992#10 -12156992#8 -12156992#7 -12156992#6 -12156992#5 -12156992#4 -12156992#3 -12156992#2 -12156992#1 -386547297#1 -424080772#2 -424080772#1 -262962065#1 -262962063 -424080764 -424080768#1 -424080766 -104526265#1 30953497#0 30953497#2 35920555#0.0 35920555#0.75 62203066 43331031.0 43331031.436 42706585#0 42706585#1 30953320 30953320-AddedOffRampEdge 30953315 104526276-AddedOnRampEdge 104526276 51758697#0 51758697#1-AddedOnRampEdge 51758697#1" probability="0.142857142857143"/&gt;</t>
  </si>
  <si>
    <t xml:space="preserve">    &lt;route id="Router3_145" edges="49887339#0.596 49887339#0-AddedOffRampEdge 49887339#1 49887339#1-AddedOffRampEdge 104524021 104524021-AddedOffRampEdge 12158873 121643865#0 12110705 50715233#0 50715233#0-AddedOffRampEdge 50715233#1.0 62203285#14.24 gneE59.30.0.55 gneE59.30.0.0 gneE59.0.0 gneE59.0.12 62203360#0 291433361#0 132508433.0 -gneE6.0 gneE81.299.0 gneE81.299.79 gneE81.299.145 -gneE8 12154353#0 196393941#1 196393941#2 28533986 43539369#2 12178843#2 12178843#3 49960982#2 43569828#0 387422128#1 43569827#0 43569827#1 43569827#2 43569827#7 43569848 30953391 424769002 424769005 424769006 424769004 30953396#1 387422132#0 387422132#1 486653633#0 484953506#3 484953506#4 12157002#0 12157002#1 12157002#3 12157002#5 12114396#4 -12156992#10 -12156992#8 -12156992#7 -12156992#6 -12156992#5 -12156992#4 -12156992#3 -12156992#2 -12156992#1 -386547297#1 -424080772#2 -424080772#1 -262962065#1 -262962063 -424080764 -424080768#1 -424080766 -104526265#1 30953497#0 30953497#2 35920555#0.0 35920555#0.75 62203066 43331031.0 43331031.436 42706585#0 42706585#1 30953320 30953320-AddedOffRampEdge 30953315 104526276-AddedOnRampEdge 104526276 51758697#0 51758697#1-AddedOnRampEdge 51758697#1" probability="0.142857142857143"/&gt;</t>
  </si>
  <si>
    <t xml:space="preserve">    &lt;route id="Router3_88" edges="31909473.0 31909473.857 62634019#1-AddedOnRampEdge 62634019#1 62634019#2.0 62634019#2.242 62634019#3-AddedOnRampEdge 62634019#3 62634019#3-AddedOffRampEdge 12111747.0 59671945#0.30 62093806#0 104526265#0.14 424080766 424080768#0 104523976#1 262962063 12189051#0 -12189051#1 -262962063 -424080764 -424080768#1 -424080766 -104526265#1 30953497#0 30953497#2 30953497#3 42706585#0 42706585#1 30953320 30953320-AddedOffRampEdge 104526277 30953215#1-AddedOnRampEdge 30953215#1 121643865#0 12110705 50715233#0 50715233#0-AddedOffRampEdge 50715233#1.0 62203285#14.24 gneE59.30.0.55 gneE59.30.0.0 43539373#0.0.292.17 gneE58 gneE56 gneE54.0 gneE62.13 gneE81.0 gneE6.0 424765883 gneE87 196393957 132508433.0 -gneE6.0 gneE81.299.0 gneE81.299.79 gneE81.299.145 12178843#0 12178843#1 43539369#3 43539369#4 43539368#0 43570920#3 43570920#5 404615579 43569828#0 43539397#3 43569816#0 49914076#0 12167196#0.0.0 424764853 12149178#0 12149178#1 12149178#2 50189577 62203295 145605533#1-AddedOnRampEdge 145605533#1 145605511#1-AddedOnRampEdge 145605511#12 145605511#1.148" probability="0.142857142857143"/&gt;</t>
  </si>
  <si>
    <t xml:space="preserve">    &lt;route id="Router3_114" edges="31909473.0 31909473.857 62634019#1-AddedOnRampEdge 62634019#1 62634019#2.0 62634019#2.242 62634019#3-AddedOnRampEdge 62634019#3 62634019#3-AddedOffRampEdge 30953251#1.0 30953251#1-AddedOffRampEdge 12112003 30953215#1-AddedOnRampEdge 30953215#1 121643865#0 12110705 50715233#0 50715233#0-AddedOffRampEdge 50715233#1.0 62203285#14.24 gneE59.30.0.55 gneE59.30.0.0 gneE59.0.0 gneE59.0.12 62203360#0 12159135 291433360#0 388756841#0 49914076#0 12111949#0 43539384#1.0 424764853 12149178#0 12149178#1 12149178#2 50189577 62203295 145605533#1-AddedOnRampEdge 145605533#1 145605511#1-AddedOnRampEdge 145605511#12 145605511#1.148" probability="0.142857142857143"/&gt;</t>
  </si>
  <si>
    <t>&lt;routeDistribution id="JFK-Brdg-WB-2015-RouteProbe"&gt;</t>
  </si>
  <si>
    <t xml:space="preserve">    &lt;route id="Router3_5" edges="-gneE80.0 -gneE80.17 -gneE41 gneE44 -388756838#2 -388756838#1 -388756838#0 42706817#0 386547310 gneE69 -388756838#2 -388756838#1 -388756838#0 -388756839#1 -388756839#0 -194358837#2 -194358837#0 194358838#0 194358838#1 194358838#2 194358838#3 387422145#0 387422145#3 386995499#0 386995499#2 -51155368#13 -51155368#10 -51155368#7 121319040#0 121319040#1 386995507#0 386995507#1 386995507#2 386995507#3 12182281#7 42706837#0 42706837#1 42706837#2 42706837#3 43357814#2 43357814#3 386995526#0 386995526#1 -51050425#4 -51050425#3 -51050425#2 12162659#0 12162659#1 -12175537#4 -12175537#3 -12175537#2 -12175537#1 -50033059#3 -50033059#2 -386995514#7 -12199713#2 12177498 42706833#2 51155368#0 -50033558#5 -50033558#3 -50033558#2 -62105579 -32121234#1 -32121234#0 42706874#0 42706874#2 55179414#0 55179413#0 424769182 -450827405#2 -450827400#2 -450827382 -450827385#1 -450827391#1 -450827381 -450827397#1 12180696#0 59435515#1 59435515#2 59435515#3 59435515#4 424801338#1 12117702#0 12117702#4 12117702#7 -32121146#3 -32121146#1 -424769197#2 12144152#0 12144152#2 12144152#4 12144152#6 12157151#0 12166276#2 -32121146#5 12117702#9 450844953#0 450844953#2 450844953#3 450844947#0 388533142#0 388533142#2 12189045#0 62623987#0 62623987#1 -12142631 12202018 62623986#1 62623986#2 -12189051#1 -262962063 -424080764 -424080768#1 -424080766 -104526265#1 -262962068#1 -424080774 -32122059#1 -32122059#0 -196393940#2 -196393940#0" probability="0.142857142857143"/&gt;</t>
  </si>
  <si>
    <t xml:space="preserve">    &lt;route id="Router3_62" edges="196393940#0 62203285#0 62203285#2 62203285#3 62203285#5 62203285#6 62203285#7 62203286#0 62203286#2 59676508#0 -59676508#0 -62203286#2 -62203286#0 62203285#8 62203285#9 62203285#10 62203285#11 62203285#13 62203285#14.0 62203285#14.24 gneE59.30.0.55 gneE59.30.0.0 gneE59.0.0 gneE59.0.12 62203360#0 291433361#0 132508433.0 -gneE6.0 gneE81.299.0 gneE81.299.79 gneE81.299.145 -gneE8 12154353#0 196393941#1 196393941#2 28533986 43539369#2 12178843#2 12178843#3 49960982#2 43569828#0 387422128#1 43569827#0 43569827#1 43569827#2 43569827#7 43569848 30953391 424769002 424769005 424769006 424769004 30953396#1 387422132#0 387422132#1 486653633#0 484953506#3 484953506#4 12157002#0 12157002#1 12157002#3 12157002#5 12114396#4 -12156992#10 -12156992#8 -12156992#7 -12156992#6 -12156992#5 -12156992#4 -12156992#3 -12156992#2 -12156992#1 -386547297#1 -424080772#2 -424080772#1 -262962065#1 -262962063 -424080764 -424080768#1 -424080766 -104526265#1 30953497#0 30953497#2 35920555#0.0 35920555#0.75 62203066 43331031.0 43331031.436 42706585#0 42706585#1 30953320 30953320-AddedOffRampEdge 30953315 104526276-AddedOnRampEdge 104526276 51758697#0 51758697#1-AddedOnRampEdge 51758697#1" probability="0.142857142857143"/&gt;</t>
  </si>
  <si>
    <t>&lt;routeDistribution id="Market-22-to-21-EB-Sink-2014-RouteProbe"&gt;</t>
  </si>
  <si>
    <t xml:space="preserve">    &lt;route id="Router3_46" edges="196393940#0 62203285#0 62203285#2 62203285#3 62203285#5 42706664#7 42706664#8 12186741#4 12186741#5 -196393940#2 -196393940#0" probability="0.0625"/&gt;</t>
  </si>
  <si>
    <t xml:space="preserve">    &lt;route id="Router3_57" edges="196393940#0 62203285#0 62203285#2 62203285#3 62203285#5 62203285#6 62203285#7 62203286#0 62203286#2 12186741#2 12186741#4 12186741#5 -196393940#2 -196393940#0" probability="0.0625"/&gt;</t>
  </si>
  <si>
    <t xml:space="preserve">    &lt;route id="Router3_65" edges="31909473.0 31909473.857 62634019#1-AddedOnRampEdge 62634019#1 30953036 424081476 -424987520 -30953029#1 -30953029#0 -424987519 12169718#0 12169718#1 424804090#0 424804090#1 424804090#2 424804090#3 424804090#4 132508920#2 132508920#3 132508920#4 132508920#5 424080762#0 424080762#1 424080762#2 424080762#3 424080762#4 424080762#5 179915585#2 12171853#2 12198567#4 12198567#5 12152219#0 12152219#1 12152236 132508920#12 132508897#0 132508897#1 132508897#2 132508897#3 394179820#0 394179820#1 394179820#2 394179820#3 394179820#4 196355327#1 196355327#2 196355327#5 196393940#1 196207112#0 32122059#1 424080774 262962068#0.0 104526265#0.14 424080766 424080768#0 104523976#1 262962063 12189051#0 -12189051#1 424080770#0 424080772#0 12119506#0 -12156992#1 -386547297#1 -424080772#2 -424080772#1 -424080761#1 -62623960 62623959#0 386547296#0 386547296#1 424080773#0 279870839#0 279870839#2 450844960#0 62623926#1 450844950#0 38502259#0.19 450844933#1 196207115#0 196207115#2 196207115#3 196355332#0 450844979#0.0 450844982#0.19 62203497#0 62203497#2 62203497#3 12134479#1 34685684#0 34685684#2 388533143#0 388533143#2 12140627#0 63060729#0 -264253834#2 12156992#4 12156992#5 12156992#6 12156992#7 12156992#8 12156992#9 -12114396#5 -12114396#3 -12114396#1 485017383#0 485017382#0 485017382#1 211575484#0 -12177521#3 -12177521#2 -12177521#1 32121111#12 32121111#14 -12187610#5 -12187610#2 -12187610#1 12150608#0 32121146#2 12117702#9 450844953#0 450844953#2 450844953#3 450844947#0 388533142#0 388533142#2 388533142#4 62623926#0 62623926#1 450844950#0 38502259#0.19 450844933#1 196207110#0 196355327#2 196355327#5 -196393940#0" probability="0.0625"/&gt;</t>
  </si>
  <si>
    <t xml:space="preserve">    &lt;route id="Router3_84" edges="31909473.0 31909473.857 62634019#1-AddedOnRampEdge 62634019#1 62634019#2.0 62634019#2.242 62634019#3-AddedOnRampEdge 62634019#3 62634019#3-AddedOffRampEdge 12111747.0 59671945#0.30 62093806#0 104526265#0.14 424080766 424080768#0 104523976#1 262962063 12189051#0 -12189051#1 -262962063 -424080764 -424080768#1 -424080766 -104526265#1 -262962068#1 -424080774 -32122059#1 -32122059#0 -196393940#2 -196393940#0" probability="0.0625"/&gt;</t>
  </si>
  <si>
    <t xml:space="preserve">    &lt;route id="Router3_92" edges="31909473.0 31909473.857 62634019#1-AddedOnRampEdge 62634019#1 62634019#2.0 62634019#2.242 62634019#3-AddedOnRampEdge 62634019#3 62634019#3-AddedOffRampEdge 12111747.0 59671945#0.30 62093806#0 104526265#0.14 424080766 424080768#0 104523976#1 262962063 12189051#0 -12189051#1 424080770#0 424080772#0 12119506#0 -12156992#1 -386547297#1 -424080772#2 -424080772#1 -424080761#1 -62623960 62623959#0 386547296#0 386547296#1 424080773#0 279870839#0 279870839#2 450844960#0 62623926#1 450844950#0 38502259#0.19 450844933#1 196207115#0 196207115#2 196207115#3 196355332#0 450844979#0.0 450844982#0.19 62203497#0 62203497#2 62203497#3 12134479#1 34685684#0 34685684#2 388533143#0 388533143#2 12140627#0 63060729#0 -264253834#2 12156992#4 12156992#5 12156992#6 12156992#7 12156992#8 12156992#9 -12114396#5 -12114396#3 -12114396#1 485017383#0 485017382#0 485017382#1 211575484#0 -12177521#3 -12177521#2 -12177521#1 32121111#12 32121111#14 -12187610#5 -12187610#2 -12187610#1 12150608#0 32121146#2 12117702#9 450844953#0 450844953#2 450844953#3 450844947#0 388533142#0 388533142#2 388533142#4 62623926#0 62623926#1 450844950#0 38502259#0.19 450844933#1 196207110#0 196355327#2 196355327#5 -196393940#0" probability="0.0625"/&gt;</t>
  </si>
  <si>
    <t xml:space="preserve">    &lt;route id="Router3_94" edges="31909473.0 31909473.857 62634019#1-AddedOnRampEdge 62634019#1 62634019#2.0 62634019#2.242 62634019#3-AddedOnRampEdge 62634019#3 62634019#3-AddedOffRampEdge 12111747.0 59671945#0.30 62093806#0 104526265#0.14 424080766 424080768#0 104523976#1 262962063 12189051#0 -12189051#1 424080770#0 424080772#0 12119506#0 -12156992#1 -386547297#1 -424080772#2 -424080772#1 -424080761#1 -62623960 62623959#0 386547296#0 386547296#1 424080773#0 279870839#0 279870839#2 450844960#0 62623926#1 450844950#0 38502259#0.19 450844933#1 196207115#0 196207115#2 196207115#3 196355332#0 450844979#0.0 450844982#0.19 62203497#0 62203497#2 62203497#3 12134479#1 34685684#0 34685684#2 388533143#0 388533143#2 12140627#0 63060729#0 -264253834#2 12156992#4 12156992#5 12156992#6 12156992#7 12156992#8 12156992#9 484953505 12148522#0 485017381#0 485017381#1 -30953396#1 30953396#1 -424769003#1 -424769003#0 12157002#0 12157002#1 12157002#3 12157002#5 12114396#4 -12156992#10 -12156992#8 -12156992#7 -12156992#6 -12156992#5 -12156992#4 -12156992#3 -12156992#2 -12156992#1 -386547297#1 -424080772#2 -424080772#1 -262962065#1 -262962063 -424080764 -424080768#1 -424080766 -104526265#1 -262962068#1 -424080774 -32122059#1 -32122059#0 -196393940#2 -196393940#0" probability="0.0625"/&gt;</t>
  </si>
  <si>
    <t xml:space="preserve">    &lt;route id="Router3_104" edges="31909473.0 31909473.857 62634019#1-AddedOnRampEdge 62634019#1 62634019#2.0 62634019#2.242 62634019#3-AddedOnRampEdge 62634019#3 62634019#3-AddedOffRampEdge 12111747.0 62203498#0 62093806#0 104526265#0.14 424080766 424080768#0 104523976#1 262962063 424080770#0 -424080761#1 -62623960 62623959#0 386547296#0 386547296#1 424080773#0 279870839#0 279870839#2 450844960#0 62623926#1 450844950#0 38502259#0.19 450844933#1 196207110#0 196355327#2 196355327#5 -196393940#0" probability="0.0625"/&gt;</t>
  </si>
  <si>
    <t xml:space="preserve">    &lt;route id="Router3_105" edges="31909473.0 31909473.857 62634019#1-AddedOnRampEdge 62634019#1 62634019#2.0 62634019#2.242 62634019#3-AddedOnRampEdge 62634019#3 62634019#3-AddedOffRampEdge 12111747.0 62203498#0 62093806#0 104526265#0.14 424080766 424080768#0 104523976#1 262962063 424080770#0 424080772#0 424080772#2 386547297#0 424080771#0 424080767#0 386547298#0 424769177 424080769#0 12144152#0 12144152#2 12144152#4 12144152#6 12157151#0 12166276#2 -32121146#5 12117702#9 450844953#0 450844953#2 450844953#3 450844947#0 388533142#0 388533142#2 12189045#0 62623987#0 62623987#1 -12142631 12202018 62623986#1 62623986#2 -12189051#1 -262962063 -424080764 -424080768#1 -424080766 -104526265#1 -262962068#1 -424080774 -32122059#1 -32122059#0 -196393940#2 -196393940#0" probability="0.0625"/&gt;</t>
  </si>
  <si>
    <t xml:space="preserve">    &lt;route id="Router3_109" edges="31909473.0 31909473.857 62634019#1-AddedOnRampEdge 62634019#1 62634019#2.0 62634019#2.242 62634019#3-AddedOnRampEdge 62634019#3 62634019#3-AddedOffRampEdge 12111747.0 62203498#0 62093806#0 104526265#0.14 424080766 424080768#0 104523976#1 262962063 424080770#0 424080772#0 424080772#2 386547297#0 424080771#0 424080767#0 386547298#0 424769177 424080769#0 12144152#0 12144152#2 450844953#0 450844953#2 450844953#3 450844947#0 388533142#0 388533142#2 388533142#4 62623926#0 62623926#1 450844950#0 12189453#0.0.0 450844982#0.19 62203497#0 62203497#2 62203497#3 12134479#1 34685684#0 34685684#2 450844947#0 388533142#0 388533142#2 12189045#0 62623987#0 62623987#1 -12142631 12202018 62623986#1 62623986#2 -12189051#1 -262962063 -424080764 -424080768#1 -424080766 -104526265#1 -262962068#1 -424080774 -32122059#1 -32122059#0 -196393940#2 -196393940#0" probability="0.0625"/&gt;</t>
  </si>
  <si>
    <t xml:space="preserve">    &lt;route id="Router3_116" edges="31909473.0 31909473.857 62634019#1-AddedOnRampEdge 62634019#1 62634019#2.0 62634019#2.242 62634019#3-AddedOnRampEdge 62634019#3 62634019#3-AddedOffRampEdge 30953251#1.0 30953251#1-AddedOffRampEdge 12112003 30953215#1-AddedOnRampEdge 30953215#1 121643865#0 12110705 50715233#0 50715233#0-AddedOffRampEdge 50715233#1.0 62203285#14.24 gneE59.30.0.55 gneE59.30.0.0 gneE59.0.0 gneE59.0.12 62203360#0 291433361#0 132508433.0 -gneE6.0 gneE81.299.0 gneE81.299.79 gneE81.299.145 -gneE8 12154353#0 196393941#1 196393941#2 28533986 43539369#2 12178843#2 12178843#3 49960982#2 43569828#0 387422128#1 43569827#0 43569827#1 43569827#2 43569827#7 43569848 30953391 424769002 424769005 424769006 424769004 30953396#1 387422132#0 387422132#1 486653633#0 484953506#3 484953506#4 12157002#0 12157002#1 12157002#3 12157002#5 12114396#4 -12156992#10 -12156992#8 -12156992#7 -12156992#6 -12156992#5 -12156992#4 -12156992#3 -12156992#2 -12156992#1 -386547297#1 -424080772#2 -424080772#1 -262962065#1 -262962063 -424080764 -424080768#1 -424080766 -104526265#1 -262962068#1 -424080774 -32122059#1 -32122059#0 -196393940#2 -196393940#0" probability="0.0625"/&gt;</t>
  </si>
  <si>
    <t xml:space="preserve">    &lt;route id="Router3_135" edges="49887339#0.596 49887339#0-AddedOffRampEdge 12113482 424769007 424769005 424769006 424769004 30953396#1 -30953396#1 30953396#1 -424769003#1 -424769003#0 12157002#0 12157002#1 12157002#3 12157002#5 12114396#4 -12156992#10 -12156992#8 -12156992#7 -12156992#6 -12156992#5 -12156992#4 -12156992#3 -12156992#2 -12156992#1 -386547297#1 -424080772#2 -424080772#1 -262962065#1 -262962063 -424080764 -424080768#1 -424080766 -104526265#1 -262962068#1 -424080774 -32122059#1 -32122059#0 -196393940#2 -196393940#0" probability="0.0625"/&gt;</t>
  </si>
  <si>
    <t xml:space="preserve">    &lt;route id="Router3_143" edges="49887339#0.596 49887339#0-AddedOffRampEdge 49887339#1 49887339#1-AddedOffRampEdge 104524021 104524021-AddedOffRampEdge 12158873 121643865#0 12110705 50715233#0 50715233#0-AddedOffRampEdge 50715233#1.0 62203285#14.24 gneE59.30.0.55 gneE59.30.0.0 gneE59.0.0 gneE59.0.12 62203360#0 291433361#0 132508433.0 -gneE6.0 gneE81.299.0 gneE81.299.79 gneE81.299.145 -gneE8 12154353#0 196393941#1 196393941#2 28533986 43539369#2 12178843#2 12178843#3 49960982#2 43569828#0 387422128#1 43569827#0 43569827#1 43569827#2 43569827#7 43569848 30953391 424769002 424769005 424769006 424769004 30953396#1 387422132#0 387422132#1 486653633#0 484953506#3 484953506#4 12157002#0 12157002#1 12157002#3 12157002#5 12114396#4 -12156992#10 -12156992#8 -12156992#7 -12156992#6 -12156992#5 -12156992#4 -12156992#3 -12156992#2 -12156992#1 -386547297#1 -424080772#2 -424080772#1 -262962065#1 -262962063 -424080764 -424080768#1 -424080766 -104526265#1 -262962068#1 -424080774 -32122059#1 -32122059#0 -196393940#2 -196393940#0" probability="0.0625"/&gt;</t>
  </si>
  <si>
    <t xml:space="preserve">    &lt;route id="Router3_66" edges="31909473.0 31909473.857 62634019#1-AddedOnRampEdge 62634019#1 30953036 424081476 -424987520 -30953029#1 -30953029#0 -424987519 12169718#0 12169718#1 424804090#0 424804090#1 424804090#2 424804090#3 424804090#4 132508920#2 132508920#3 132508920#4 132508920#5 424080762#0 424080762#1 424080762#2 424080762#3 424080762#4 424080762#5 179915585#2 12171853#2 12198567#4 12198567#5 12152219#0 12152219#1 12152236 132508920#12 132508897#0 132508897#1 132508897#2 132508897#3 394179820#0 394179820#1 394179820#2 394179820#3 394179820#4 196355327#1 196355327#2 196355327#5 196393940#1 196207112#0 32122059#1 424080774 262962068#0.0 30953497#0 30953497#2 30953497#3 42706585#0 42706585#1 30953320 30953320-AddedOffRampEdge 104526277 30953215#1-AddedOnRampEdge 30953215#1 121643865#0 12110705 50715233#0 50715233#0-AddedOffRampEdge 50715233#1.0 62203285#14.24 gneE59.30.0.55 gneE59.30.0.0 43539373#0.0.292.17 gneE58 gneE56 gneE54.0 62203360#0 291433361#0 132508433.0 -gneE6.0 gneE6.0 424765883 43570920#0.22 132508717#4 43539378#1 43569848 30953391 12113092 51758697#1-AddedOnRampEdge 51758697#1" probability="0.0625"/&gt;</t>
  </si>
  <si>
    <t>&lt;routeDistribution id="Chestnut-22nd-to-20th-EB-2013-RouteProbe"&gt;</t>
  </si>
  <si>
    <t xml:space="preserve">    &lt;route id="Router3_41" edges="195815883#2 195815883#3 450844975 450844970#0 196355332#0 450844979#0.0 12114109#0.45.0 38502259#0.19 450844933#1 196207115#0 196207115#2 196207115#3 196355332#0 450844979#0.0 450844982#0.19 62203497#0 62203497#2 62203497#3 12134479#1 34685684#0 34685684#2 388533143#0 388533143#2 12140627#0 63060729#0 -264253834#2 12156992#4 12156992#5 12156992#6 12156992#7 12156992#8 12156992#9 -12114396#5 -12114396#3 -12114396#1 485017383#0 485017382#0 485017382#1 211575484#0 -12177521#3 -12177521#2 -12177521#1 32121111#12 32121111#14 -12187610#5 -12187610#2 -12187610#1 12150608#0 32121146#2 12117702#9 450844953#0 450844953#2 450844953#3 450844947#0 388533142#0 388533142#2 388533142#4 62623926#0 62623926#1 450844950#0 38502259#0.19 450844933#1 196207110#0 196207110#2" probability="0.05"/&gt;</t>
  </si>
  <si>
    <t xml:space="preserve">    &lt;route id="Router3_42" edges="195815883#2 195815883#3 450844975 450844970#0 196355332#0 450844979#0.0 12114109#0.45.0 38502259#0.19 450844933#1 196207115#0 196207115#2 43538931#0 43538931#1 -43538931#1 -43538931#0 196207115#3 196355332#0 450844979#0.0 450844982#0.19 62203497#0 62203497#2 62203497#3 12134479#1 34685684#0 34685684#2 388533143#0 388533143#2 12140627#0 63060729#0 -264253834#2 12156992#4 12156992#5 12156992#6 12156992#7 12156992#8 12156992#9 -12114396#5 -12114396#3 -12114396#1 485017383#0 485017382#0 485017382#1 211575484#0 -12177521#3 -12177521#2 -12177521#1 32121111#12 32121111#14 -12187610#5 -12187610#2 -12187610#1 12150608#0 32121146#2 12117702#9 450844953#0 450844953#2 450844953#3 450844947#0 388533142#0 388533142#2 388533142#4 62623926#0 62623926#1 450844950#0 38502259#0.19 450844933#1 196207110#0 196207110#2" probability="0.05"/&gt;</t>
  </si>
  <si>
    <t xml:space="preserve">    &lt;route id="Router3_45" edges="196393940#0 62203285#0 62203285#2 62203285#3 62203285#5 42706664#7 12142298#0 12142298#1 62203286#2 12186741#2 12186741#4 12186741#5 12142723#0 12142723#3 12142723#4 12187745 32118649#2 32118649#3 -43538931#1 -43538931#0 196207115#3 196355332#0 450844979#0.0 450844982#0.19 62203497#0 62203497#2 62203497#3 12134479#1 34685684#0 34685684#2 388533143#0 388533143#2 12140627#0 63060729#0 -264253834#2 12156992#4 12156992#5 12156992#6 12156992#7 12156992#8 12156992#9 -12114396#5 -12114396#3 -12114396#1 485017383#0 485017382#0 485017382#1 211575484#0 -12177521#3 -12177521#2 -12177521#1 32121111#12 32121111#14 -12187610#5 -12187610#2 -12187610#1 12150608#0 32121146#2 12117702#9 450844953#0 450844953#2 450844953#3 450844947#0 388533142#0 388533142#2 388533142#4 62623926#0 62623926#1 450844950#0 38502259#0.19 450844933#1 196207110#0 196207110#2" probability="0.05"/&gt;</t>
  </si>
  <si>
    <t xml:space="preserve">    &lt;route id="Router3_47" edges="196393940#0 62203285#0 62203285#2 62203285#3 62203285#5 42706664#7 42706664#8 12186741#4 12186741#5 12142723#0 12142723#3 12142723#4 12187745 -12187745 12142723#5 196207110#0 196207110#2" probability="0.05"/&gt;</t>
  </si>
  <si>
    <t xml:space="preserve">    &lt;route id="Router3_49" edges="196393940#0 62203285#0 62203285#2 62203285#3 62203285#5 42706664#7 42706664#8 12186741#4 12186741#5 196207112#0 32122059#1 424080774 262962068#0.0 104526265#0.14 424080766 424080768#0 104523976#1 262962063 12189051#0 -12189051#1 424080770#0 424080772#0 12119506#0 -12156992#1 -386547297#1 -424080772#2 -424080772#1 -424080761#1 -62623960 62623959#0 386547296#0 386547296#1 424080773#0 279870839#0 279870839#2 450844960#0 62623926#1 450844950#0 38502259#0.19 450844933#1 196207115#0 196207115#2 196207115#3 196355332#0 450844979#0.0 450844982#0.19 62203497#0 62203497#2 62203497#3 12134479#1 34685684#0 34685684#2 388533143#0 388533143#2 12140627#0 63060729#0 -264253834#2 12156992#4 12156992#5 12156992#6 12156992#7 12156992#8 12156992#9 -12114396#5 -12114396#3 -12114396#1 485017383#0 485017382#0 485017382#1 211575484#0 -12177521#3 -12177521#2 -12177521#1 32121111#12 32121111#14 -12187610#5 -12187610#2 -12187610#1 12150608#0 32121146#2 12117702#9 450844953#0 450844953#2 450844953#3 450844947#0 388533142#0 388533142#2 388533142#4 62623926#0 62623926#1 450844950#0 38502259#0.19 450844933#1 196207110#0 196207110#2" probability="0.05"/&gt;</t>
  </si>
  <si>
    <t xml:space="preserve">    &lt;route id="Router3_54" edges="196393940#0 62203285#0 62203285#2 62203285#3 62203285#5 62203285#6 62203285#7 62203286#0 -12142298#1 -12142298#0 42706664#8 12186741#4 12186741#5 12142723#0 12142723#3 12142723#4 12142723#5 196207110#0 196207110#2" probability="0.05"/&gt;</t>
  </si>
  <si>
    <t xml:space="preserve">    &lt;route id="Router3_55" edges="196393940#0 62203285#0 62203285#2 62203285#3 62203285#5 62203285#6 62203285#7 62203286#0 -12142298#1 -12142298#0 42706664#8 12186741#4 12186741#5 12142723#0 12142723#3 12142723#4 12187745 -12187745 12142723#5 196207110#0 196207110#2" probability="0.05"/&gt;</t>
  </si>
  <si>
    <t xml:space="preserve">    &lt;route id="Router3_56" edges="196393940#0 62203285#0 62203285#2 62203285#3 62203285#5 62203285#6 62203285#7 62203286#0 -12142298#1 -12142298#0 42706664#8 12186741#4 12186741#5 12142723#0 12142723#3 12142723#4 12187745 32118649#2 32118649#3 -43538931#1 -43538931#0 196207115#3 196355332#0 450844979#0.0 450844982#0.19 62203497#0 62203497#2 62203497#3 12134479#1 34685684#0 34685684#2 388533143#0 388533143#2 12140627#0 63060729#0 -264253834#2 12156992#4 12156992#5 12156992#6 12156992#7 12156992#8 12156992#9 -12114396#5 -12114396#3 -12114396#1 485017383#0 485017382#0 485017382#1 211575484#0 -12177521#3 -12177521#2 -12177521#1 32121111#12 32121111#14 -12187610#5 -12187610#2 -12187610#1 12150608#0 32121146#2 12117702#9 450844953#0 450844953#2 450844953#3 450844947#0 388533142#0 388533142#2 388533142#4 62623926#0 62623926#1 450844950#0 38502259#0.19 450844933#1 196207110#0 196207110#2" probability="0.05"/&gt;</t>
  </si>
  <si>
    <t xml:space="preserve">    &lt;route id="Router3_58" edges="196393940#0 62203285#0 62203285#2 62203285#3 62203285#5 62203285#6 62203285#7 62203286#0 62203286#2 12186741#2 12186741#4 12186741#5 12142723#0 12142723#3 12142723#4 12142723#5 196207110#0 196207110#2" probability="0.05"/&gt;</t>
  </si>
  <si>
    <t xml:space="preserve">    &lt;route id="Router3_63" edges="196393940#0 62203285#0 62203285#2 62203285#3 62203285#5 62203285#6 62203285#7 62203286#0 62203286#2 59676508#0 -59676508#0 12186741#2 12186741#4 12186741#5 12142723#0 12142723#3 12142723#4 12142723#5 196207110#0 196207110#2" probability="0.05"/&gt;</t>
  </si>
  <si>
    <t xml:space="preserve">    &lt;route id="Router3_64" edges="196393940#0 62203285#0 62203285#2 62203285#3 62203285#5 62203285#6 62203285#7 62203286#0 62203286#2 59676508#0 -59676508#0 12186741#2 12186741#4 12186741#5 12142723#0 50978397 32118649#0 32118649#1 -12187745 12142723#5 196207110#0 196207110#2" probability="0.05"/&gt;</t>
  </si>
  <si>
    <t xml:space="preserve">    &lt;route id="Router3_83" edges="31909473.0 31909473.857 62634019#1-AddedOnRampEdge 62634019#1 62634019#2.0 62634019#2.242 62634019#3-AddedOnRampEdge 62634019#3 62634019#3-AddedOffRampEdge 12111747.0 38502259#0.19 450844933#1 196207110#0 196207110#2" probability="0.05"/&gt;</t>
  </si>
  <si>
    <t xml:space="preserve">    &lt;route id="Router3_91" edges="31909473.0 31909473.857 62634019#1-AddedOnRampEdge 62634019#1 62634019#2.0 62634019#2.242 62634019#3-AddedOnRampEdge 62634019#3 62634019#3-AddedOffRampEdge 12111747.0 59671945#0.30 62093806#0 104526265#0.14 424080766 424080768#0 104523976#1 262962063 12189051#0 -12189051#1 424080770#0 424080772#0 12119506#0 -12156992#1 -386547297#1 -424080772#2 -424080772#1 -424080761#1 -62623960 62623959#0 386547296#0 386547296#1 424080773#0 279870839#0 279870839#2 450844960#0 62623926#1 450844950#0 38502259#0.19 450844933#1 196207115#0 196207115#2 196207115#3 196355332#0 450844979#0.0 450844982#0.19 62203497#0 62203497#2 62203497#3 12134479#1 34685684#0 34685684#2 388533143#0 388533143#2 12140627#0 63060729#0 -264253834#2 12156992#4 12156992#5 12156992#6 12156992#7 12156992#8 12156992#9 -12114396#5 -12114396#3 -12114396#1 485017383#0 485017382#0 485017382#1 211575484#0 -12177521#3 -12177521#2 -12177521#1 32121111#12 32121111#14 -12187610#5 -12187610#2 -12187610#1 12150608#0 32121146#2 12117702#9 450844953#0 450844953#2 450844953#3 450844947#0 388533142#0 388533142#2 388533142#4 62623926#0 62623926#1 450844950#0 38502259#0.19 450844933#1 196207110#0 196207110#2" probability="0.05"/&gt;</t>
  </si>
  <si>
    <t xml:space="preserve">    &lt;route id="Router3_103" edges="31909473.0 31909473.857 62634019#1-AddedOnRampEdge 62634019#1 62634019#2.0 62634019#2.242 62634019#3-AddedOnRampEdge 62634019#3 62634019#3-AddedOffRampEdge 12111747.0 62203498#0 62093806#0 104526265#0.14 424080766 424080768#0 104523976#1 262962063 424080770#0 -424080761#1 -62623960 62623959#0 386547296#0 386547296#1 424080773#0 279870839#0 279870839#2 450844960#0 62623926#1 450844950#0 38502259#0.19 450844933#1 196207110#0 196207110#2" probability="0.05"/&gt;</t>
  </si>
  <si>
    <t xml:space="preserve">    &lt;route id="Router3_112" edges="31909473.0 31909473.857 62634019#1-AddedOnRampEdge 62634019#1 62634019#2.0 62634019#2.242 62634019#3-AddedOnRampEdge 62634019#3 62634019#3-AddedOffRampEdge 30953251#1.0 30953251#1-AddedOffRampEdge 12112003 30953215#1-AddedOnRampEdge 30953215#1 121643865#0 12110705 50715233#0 50715233#0-AddedOffRampEdge 50715233#1.0 62203285#14.24 gneE59.30.0.55 gneE59.30.0.0 gneE59.0.0 gneE59.0.12 62203360#0 12159135 12149408#0 49914077 424767578 43569819 387422128#1 43569827#0 43569827#1 43569827#2 43569827#7 43569848 30953391 424769002 424769005 424769006 424769004 30953396#1 -424769003#1 -424769003#0 -485017374 42706828#0 42706828#2 12182281#0 12182281#3 12182281#5 12182281#6 386995507#4 386995507#5 386995507#6 12152013#1 12152013#2 -12175537#6 -12175537#5 -12175537#4 12182281#9 12182281#10 -388756839#1 -388756839#0 -50033059#4 -50033059#3 -50033059#2 -50033059#1 -50033558#8 -51155368#3 121319046 12188656 -50033558#2 12203859#0 12203859#1 42706831#4 42706831#5 42706831#6 42706874#0 42706874#2 12144152#0 12144152#2 450844953#0 450844953#2 450844953#3 450844947#0 388533142#0 388533142#2 388533142#4 62623926#0 62623926#1 450844950#0 12189453#0.0.0 450844982#0.19 62203497#0 62203497#2 62203497#3 12134479#1 34685684#0 34685684#2 388533143#0 388533143#2 12140627#0 63060729#0 -264253834#2 12156992#4 12156992#5 12156992#6 12156992#7 12156992#8 12156992#9 -12114396#5 -12114396#3 -12114396#1 485017383#0 485017382#0 485017382#1 211575484#0 -12177521#3 -12177521#2 -12177521#1 32121111#12 32121111#14 -12187610#5 -12187610#2 -12187610#1 12150608#0 32121146#2 12117702#9 450844953#0 450844953#2 450844953#3 450844947#0 388533142#0 388533142#2 388533142#4 62623926#0 62623926#1 450844950#0 38502259#0.19 450844933#1 196207110#0 196207110#2" probability="0.05"/&gt;</t>
  </si>
  <si>
    <t xml:space="preserve">    &lt;route id="Router3_117" edges="31909473.0 31909473.857 62634019#1-AddedOnRampEdge 62634019#1 62634019#2.0 62634019#2.242 62634019#3-AddedOnRampEdge 62634019#3 62634019#3-AddedOffRampEdge 30953251#1.0 30953251#1-AddedOffRampEdge 12112003 30953215#1-AddedOnRampEdge 30953215#1 121643865#0 12110705 50715233#0 50715233#0-AddedOffRampEdge 50715233#1.0 62203285#14.24 gneE59.30.0.55 gneE59.30.0.0 gneE59.0.0 gneE59.0.12 62203360#0 291433361#0 132508433.0 -gneE6.0 gneE81.299.0 gneE81.299.79 gneE81.299.145 -gneE8 12154353#0 196393941#1 196393941#2 28533986 43539369#2 12178843#2 12178843#3 49960982#2 43569828#0 387422128#1 43569827#0 43569827#1 43569827#2 43569827#7 43569848 30953391 424769002 424769005 424769006 424769004 30953396#1 387422132#0 387422132#1 486653633#0 484953506#3 484953506#4 12157002#0 12157002#1 12157002#3 12157002#5 12114396#4 -12156992#10 -12156992#8 -12156992#7 -12156992#6 -12156992#5 -12156992#4 -12156992#3 -12156992#2 -12156992#1 -386547297#1 -424080772#2 -424080772#1 -262962065#1 -262962063 -424080764 -424080768#1 -424080766 -104526265#1 30953497#0 30953497#2 30953497#3 42706585#0 42706585#1 30953320 30953320-AddedOffRampEdge 104526277 30953215#1-AddedOnRampEdge 30953215#1 121643865#0 12110705 50715233#0 50715233#0-AddedOffRampEdge 50715233#1.0 62203285#14.24 gneE59.30.0.55 gneE59.30.0.0 gneE59.0.0 gneE59.0.12 62203360#0 12159135 12149408#0 49914077 424767578 43569819 387422128#1 43569827#0 43569827#1 43569827#2 43569827#7 43569848 30953391 424769002 424769005 424769006 424769004 30953396#1 -424769003#1 -424769003#0 -485017374 42706828#0 42706828#2 12182281#0 12182281#3 12182281#5 12182281#6 386995507#4 386995507#5 386995507#6 12152013#1 12152013#2 -12175537#6 -12175537#5 -12175537#4 12182281#9 12182281#10 -388756839#1 -388756839#0 -50033059#4 -50033059#3 -50033059#2 -50033059#1 -50033558#8 -51155368#3 121319046 12188656 -50033558#2 12203859#0 12203859#1 42706831#4 42706831#5 42706831#6 42706874#0 42706874#2 12144152#0 12144152#2 450844953#0 450844953#2 450844953#3 450844947#0 388533142#0 388533142#2 388533142#4 62623926#0 62623926#1 450844950#0 12189453#0.0.0 450844982#0.19 62203497#0 62203497#2 62203497#3 12134479#1 34685684#0 34685684#2 388533143#0 388533143#2 12140627#0 63060729#0 -264253834#2 12156992#4 12156992#5 12156992#6 12156992#7 12156992#8 12156992#9 -12114396#5 -12114396#3 -12114396#1 485017383#0 485017382#0 485017382#1 211575484#0 -12177521#3 -12177521#2 -12177521#1 32121111#12 32121111#14 -12187610#5 -12187610#2 -12187610#1 12150608#0 32121146#2 12117702#9 450844953#0 450844953#2 450844953#3 450844947#0 388533142#0 388533142#2 388533142#4 62623926#0 62623926#1 450844950#0 38502259#0.19 450844933#1 196207110#0 196207110#2" probability="0.05"/&gt;</t>
  </si>
  <si>
    <t xml:space="preserve">    &lt;route id="Router3_65" edges="31909473.0 31909473.857 62634019#1-AddedOnRampEdge 62634019#1 30953036 424081476 -424987520 -30953029#1 -30953029#0 -424987519 12169718#0 12169718#1 424804090#0 424804090#1 424804090#2 424804090#3 424804090#4 132508920#2 132508920#3 132508920#4 132508920#5 424080762#0 424080762#1 424080762#2 424080762#3 424080762#4 424080762#5 179915585#2 12171853#2 12198567#4 12198567#5 12152219#0 12152219#1 12152236 132508920#12 132508897#0 132508897#1 132508897#2 132508897#3 394179820#0 394179820#1 394179820#2 394179820#3 394179820#4 196355327#1 196355327#2 196355327#5 196393940#1 196207112#0 32122059#1 424080774 262962068#0.0 104526265#0.14 424080766 424080768#0 104523976#1 262962063 12189051#0 -12189051#1 424080770#0 424080772#0 12119506#0 -12156992#1 -386547297#1 -424080772#2 -424080772#1 -424080761#1 -62623960 62623959#0 386547296#0 386547296#1 424080773#0 279870839#0 279870839#2 450844960#0 62623926#1 450844950#0 38502259#0.19 450844933#1 196207115#0 196207115#2 196207115#3 196355332#0 450844979#0.0 450844982#0.19 62203497#0 62203497#2 62203497#3 12134479#1 34685684#0 34685684#2 388533143#0 388533143#2 12140627#0 63060729#0 -264253834#2 12156992#4 12156992#5 12156992#6 12156992#7 12156992#8 12156992#9 -12114396#5 -12114396#3 -12114396#1 485017383#0 485017382#0 485017382#1 211575484#0 -12177521#3 -12177521#2 -12177521#1 32121111#12 32121111#14 -12187610#5 -12187610#2 -12187610#1 12150608#0 32121146#2 12117702#9 450844953#0 450844953#2 450844953#3 450844947#0 388533142#0 388533142#2 388533142#4 62623926#0 62623926#1 450844950#0 38502259#0.19 450844933#1 196207110#0 196355327#2 196355327#5 -196393940#0" probability="0.05"/&gt;</t>
  </si>
  <si>
    <t>&lt;routeDistribution id="Cobbs-CreekBrd-EB-2016-Source-RouteProbe"&gt;</t>
  </si>
  <si>
    <t>&lt;routeDistribution id="Cobbs-CreekBrd-WB-2016-RouteProbe"&gt;</t>
  </si>
  <si>
    <t xml:space="preserve">    &lt;route id="Router3_26" edges="-gneE80.0 -gneE80.17 -gneE41 gneE44 -388756838#2 -388756838#1 -388756838#0 42706817#0 386547310 gneE69 -388756838#2 -388756838#1 -388756838#0 -388756839#1 -388756839#0 -194358837#2 -194358837#0 194358838#0 194358838#1 32121111#9 32121111#10 -386995486#0 -386995514#9 50033058#2 50033058#3 194358837#0 194358837#1 12175533#0 12175533#2 12175533#3 42706825#4 42706825#5 12189876#0 12189876#2 484953509#0 484953509#2 -12175523#1 12134222#0 12134222#2 12134222#3 386547311#11 386547311#13 357338496#0 357338496#2 450695461#0 62646494#0 424801336#0 484842168#0 283621820 -28555309#1 -424801341 -283621822#1 -424801343#1 -424801343#0 49991658 424801340 424801342 386550018#0 386550018#0-AddedOffRampEdge 386550018#1 49991638 -12144161#0 12144161#0 12144161#1 49991657 283621821#1 283621821#1-AddedOffRampEdge 283621821#2 49991647#1 49991647#2 63060732#0 63060732#1 63060732#2.0 63060732#2.116 50033027 -50033029 50033050#0 50033050#2 424799828 424799825 424799826 50033054 63060727 50033029 50033028#0 50033028#3 50033028#5 50033028#6 49991646 386547300#0 283621823 386547301-AddedOnRampEdge 386547301 424801344#0 424801343#1 283621822#0 424801341 28555309#0 49991649#0 424986163#0 51049946#0 424801337#0 357338497#0 357338497#2 450695460#0 62646499#0 62646499#2 450827424#0 62646508#0 62646508#2 424799820 424799823#0 50033059#0 50033059#2 50033059#3 50033059#4 388756839#0 388756839#1 388756838#0 12136923#0 386547309#0 386547309#2 386547309#3 386547309#5 386547309#7 51050030#4 51050030#7 gneE35 -gneE34.0 --gneE83.0" probability="0.0625"/&gt;</t>
  </si>
  <si>
    <t xml:space="preserve">    &lt;route id="Router3_33" edges="-gneE80.0 -gneE80.17 -gneE41 gneE44 -388756838#2 -388756838#1 -388756838#0 42706817#0 386547310 gneE69 -gneE44 gneE41 254666172#0 387422153#0 387422153#1 gneE73 gneE75.0 -gneE80.17 -gneE41 gneE44 -388756838#2 -388756838#1 -388756838#0 42706817#0 386547310 gneE69 -388756838#2 -388756838#1 -388756838#0 -388756839#1 -388756839#0 -194358837#2 -194358837#0 194358838#0 194358838#1 194358838#2 386995479#2 310315797#2 12185366#9 387422145#0 -12157718#6 -12157718#4 -12157718#3 -12157718#2 -12157718#1 -12199713#4 -386995514#6 -386995514#5 -386995514#4 -386995514#3 -386995514#2 -386995514#1 12159500#1 12159500#2 51050030#7 gneE35 -gneE34.0 --gneE83.0" probability="0.0625"/&gt;</t>
  </si>
  <si>
    <t xml:space="preserve">    &lt;route id="Router3_44" edges="195815883#2 195815883#3 450844975 450844970#0 196355332#0 450844979#0.0 12114109#0.45.0 38502259#0.19 450844933#1 196207115#0 196207115#2 43538931#0 43538931#1 32118649#4 32118649#5 32118649#6 132508646#0 132508646#2 132508646#3 196355310#0 196355310#1 12150213#8 12150213#9 12150213#10 12150213#11 173543402#8 173543402#9 132508983#0 132508983#3 132508734#3 132508734#4 132508734#5 132508734#6 132508734#7 132508734#8 132508734#9 193223837#3 12142729#6 12142729#7 196355307#1 196393937 -132508530 -310296140#9 -310296140#8 -310296140#7 -310296140#6 -310296140#5 -310296140#4 -310296140#2 -310296140#1 459461788#11 459461788#12 459461788#13 459461788#14 459461788#15 -170366767#4 -170366767#3 -170366767#2 -170366767#0 -12173391 -170366765 170366768 30953029#0 30953029#1 424987520 424081472 424081473 424081470 12122468#0 12122468#1 273888485.0 50033027 -50033029 50033050#0 50033055 63060727 50033029 50033028#0 50033028#3 50033028#5 50033028#6 49991646 386547300#0 283621823 386547301-AddedOnRampEdge 386547301 424801344#0 424801343#1 283621822#0 424801341 28555309#0 49991649#0 424986163#0 51049946#0 424801337#0 357338497#0 357338497#2 450695460#0 62646499#0 62646499#2 450827424#0 62646508#0 62646508#2 424799820 424799823#0 50033059#0 50033059#2 50033059#3 50033059#4 388756839#0 388756839#1 388756838#0 12136923#0 386547309#0 386547309#2 386547309#3 386547309#5 386547309#7 51050030#4 51050030#7 gneE35 -gneE34.0 --gneE83.0" probability="0.0625"/&gt;</t>
  </si>
  <si>
    <t xml:space="preserve">    &lt;route id="Router3_76" edges="31909473.0 31909473.857 62634019#1-AddedOnRampEdge 62634019#1 30953036 424081476 424081472 424081473 424081470 30953025#0 30953025#2 30953025#3 30953025#4 50033060#0 12134479#5 450844973#0 388533144#0 388533144#6 388533144#11 450695475#0 137364609#0 137364609#3 137364609#5 450695473#0 386547305#0 gneE23 -gneE20.0 -gneE21.54 -gneE21.0 gneE36 --gneE83.0" probability="0.0625"/&gt;</t>
  </si>
  <si>
    <t xml:space="preserve">    &lt;route id="Router3_77" edges="31909473.0 31909473.857 62634019#1-AddedOnRampEdge 62634019#1 62634019#2.0 62634019#2.242 62634019#3-AddedOnRampEdge 62634019#3 62634019#3-AddedOffRampEdge 12111747.0 12189453#0.0.0 450844982#0.19 62203497#0 62203497#2 62203497#3 12134479#1 34685684#0 34685684#2 450844947#0 388533142#0 388533142#2 12189045#0 62623987#0 62623987#1 -12142631 12202018 62623986#1 62623986#2 -12189051#1 424080770#0 424080772#0 424080772#2 386547297#0 424080771#0 424080767#0 386547298#0 424769177 424080769#0 55179414#0 12187610#0 -484953508#2 424801339#0 62646509#0 424801338#0 424801338#1 12117702#0 12117702#4 12117702#7 -32121146#3 -32121146#1 55179413#0 424769182 -450827405#2 -450827400#2 -450827382 -450827385#1 12134222#0 12134222#2 12134222#3 386547311#11 386547311#13 357338496#0 357338496#2 450695461#0 62646494#0 424801336#0 484842168#0 283621820 -28555309#1 -424801341 -283621822#1 -424801343#1 -424801343#0 49991658 424801340 424801342 386550018#0 386550018#0-AddedOffRampEdge 386550018#1 49991638 -12144161#0 12144161#0 12144161#1 49991657 283621821#1 283621821#1-AddedOffRampEdge 283621821#2 49991647#1 49991647#2 63060732#0 63060732#1 63060732#2.0 63060732#2.116 50033027 -50033029 50033050#0 50033050#2 424799828 424799825 424799826 50033054 63060727 50033029 50033028#0 50033028#3 50033028#5 50033028#6 49991646 386547300#0 283621823 386547301-AddedOnRampEdge 386547301 424801344#0 424801343#1 283621822#0 424801341 28555309#0 49991649#0 424986163#0 51049946#0 424801337#0 357338497#0 357338497#2 450695460#0 62646499#0 62646499#2 450827424#0 62646508#0 62646508#2 424799820 424799823#0 50033059#0 50033059#2 50033059#3 50033059#4 388756839#0 388756839#1 388756838#0 12136923#0 386547309#0 386547309#2 386547309#3 386547309#5 386547309#7 51050030#4 51050030#7 gneE35 -gneE34.0 --gneE83.0" probability="0.0625"/&gt;</t>
  </si>
  <si>
    <t xml:space="preserve">    &lt;route id="Router3_78" edges="31909473.0 31909473.857 62634019#1-AddedOnRampEdge 62634019#1 62634019#2.0 62634019#2.242 62634019#3-AddedOnRampEdge 62634019#3 62634019#3-AddedOffRampEdge 12111747.0 12189453#0.0.0 450844982#0.19 62203497#0 62203497#2 62203497#3 12134479#1 34685684#0 34685684#2 450844947#0 388533142#0 388533142#2 12189045#0 62623987#0 62623987#1 -12142631 12202018 62623986#1 62623986#2 -12189051#1 424080770#0 424080772#0 424080772#2 386547297#0 424080771#0 424080767#0 386547298#0 424769177 424080769#0 55179414#0 12187610#0 -484953508#2 424801339#0 62646509#0 424801338#0 424801338#1 12117702#0 12117702#4 12117702#7 -32121146#3 -32121146#1 55179413#0 424769182 -450827405#2 -450827400#2 -450827382 -450827385#1 12134222#0 12134222#2 12134222#3 386547311#11 386547311#13 357338496#0 357338496#2 450695461#0 62646494#0 424801336#0 484842168#0 283621820 -28555309#1 -424801341 -283621822#1 -424801343#1 -424801343#0 49991658 424801340 424801342 386550018#0 386550018#0-AddedOffRampEdge 386550018#1 49991638 -12144161#0 12144161#0 12144161#1 49991657 283621821#1 283621821#1-AddedOffRampEdge 283621821#2 49991647#1 49991647#2 63060732#0 63060732#1 63060732#2.0 63060732#2.116 50033027 -50033029 50033050#0 50033050#2 424799828 424799825 424799826 50033054 63060727 50033029 50033028#0 50033028#3 50033028#5 50033028#6 49991646 386547300#0 283621823 386547301-AddedOnRampEdge 386547301 424801344#0 424801343#1 283621822#0 424801341 28555309#0 49991649#0 424986163#0 51049946#0 424801337#0 357338497#0 357338497#2 450695460#0 62646499#0 62646499#2 450827424#0 62646508#0 62646508#2 424799820 424799823#0 50033059#0 50033059#2 50033059#3 50033059#4 388756839#0 388756839#1 388756838#0 12136923#0 386547309#0 386547309#2 386547309#3 386547309#5 484953510#2 42706825#0 42706825#2 42706825#4 42706825#5 424799823#0 42706833#0 42706833#2 -42706825#7 12199713#0 12199713#1 -386995514#6 -386995514#5 -386995514#4 -386995514#3 -386995514#2 -386995514#1 12159500#1 12159500#2 51050030#7 gneE35 -gneE34.0 --gneE83.0" probability="0.0625"/&gt;</t>
  </si>
  <si>
    <t xml:space="preserve">    &lt;route id="Router3_97" edges="31909473.0 31909473.857 62634019#1-AddedOnRampEdge 62634019#1 62634019#2.0 62634019#2.242 62634019#3-AddedOnRampEdge 62634019#3 62634019#3-AddedOffRampEdge 12111747.0 59671945#0.30 62093806#0 104526265#0.14 424080766 424080768#0 104523976#1 262962063 12189051#0 -12189051#1 424080770#0 424080772#0 424080772#2 386547297#0 424080771#0 424080767#0 386547298#0 424769177 424080769#0 55179414#0 12187610#0 -484953508#2 424801339#0 62646509#0 424801338#0 424801338#1 12117702#0 12117702#4 12117702#7 -32121146#3 -32121146#1 55179413#0 424769182 -450827405#2 -450827400#2 -450827382 -450827385#1 12134222#0 12134222#2 12134222#3 386547311#11 386547311#13 357338496#0 357338496#2 450695461#0 62646494#0 424801336#0 484842168#0 283621820 -28555309#1 -424801341 -283621822#1 -424801343#1 -424801343#0 49991658 424801340 424801342 386550018#0 386550018#0-AddedOffRampEdge 386550018#1 49991638 -12144161#0 12144161#0 12144161#1 49991657 283621821#1 283621821#1-AddedOffRampEdge 283621821#2 49991647#1 49991647#2 63060732#0 63060732#1 63060732#2.0 63060732#2.116 50033027 -50033029 50033050#0 50033050#2 424799828 424799825 424799826 50033054 63060727 50033029 50033028#0 50033028#3 50033028#5 50033028#6 49991646 386547300#0 283621823 386547301-AddedOnRampEdge 386547301 424801344#0 424801343#1 283621822#0 424801341 28555309#0 49991649#0 424986163#0 51049946#0 424801337#0 357338497#0 357338497#2 450695460#0 62646499#0 62646499#2 450827424#0 62646508#0 62646508#2 424799820 424799823#0 50033059#0 50033059#2 50033059#3 50033059#4 388756839#0 388756839#1 388756838#0 12136923#0 386547309#0 386547309#2 386547309#3 386547309#5 386547309#7 51050030#4 51050030#7 gneE35 -gneE34.0 --gneE83.0" probability="0.0625"/&gt;</t>
  </si>
  <si>
    <t xml:space="preserve">    &lt;route id="Router3_98" edges="31909473.0 31909473.857 62634019#1-AddedOnRampEdge 62634019#1 62634019#2.0 62634019#2.242 62634019#3-AddedOnRampEdge 62634019#3 62634019#3-AddedOffRampEdge 12111747.0 59671945#0.30 62093806#0 104526265#0.14 424080766 424080768#0 104523976#1 262962063 12189051#0 -12189051#1 424080770#0 424080772#0 424080772#2 386547297#0 424080771#0 424080767#0 386547298#0 424769177 424080769#0 55179414#0 12187610#0 -484953508#2 424801339#0 62646509#0 424801338#0 424801338#1 357338496#0 357338487#0 -12134222#6 -12134222#4 -12134222#2 -12134222#1 12175523#0 484953509#4 51050030#0 386547309#9 12180696#0 12180696#2 12180696#4 12180696#6 386547306#0 386547306#4 386547306#6 51049745#0 51049745#2 51049745#3 484842179#16.0 62094032#0.9 288513230#0 288513232 484842173 50033030#0 -424801341 -283621822#1 -424801343#1 -424801343#0 49991658 424801340 424801342 386550018#0 386550018#0-AddedOffRampEdge 386550018#1 49991638 -12144161#0 12144161#0 12144161#1 49991657 283621821#1 283621821#1-AddedOffRampEdge 283621821#2 49991647#1 49991647#2 63060732#0 63060732#1 63060732#2.0 63060732#2.116 50033027 -50033029 50033050#0 50033050#2 424799828 424799825 424799826 50033054 63060727 50033029 50033028#0 50033028#3 50033028#5 50033028#6 49991646 386547300#0 283621823 386547301-AddedOnRampEdge 386547301 424801344#0 424801343#1 283621822#0 424801341 28555309#0 49991649#0 424986163#0 51049946#0 424801337#0 357338497#0 357338497#2 450695460#0 62646499#0 62646499#2 450827424#0 62646508#0 62646508#2 424799820 424799823#0 50033059#0 50033059#2 50033059#3 50033059#4 388756839#0 388756839#1 388756838#0 12136923#0 386547309#0 386547309#2 386547309#3 386547309#5 386547309#7 51050030#4 51050030#7 gneE35 -gneE34.0 --gneE83.0" probability="0.0625"/&gt;</t>
  </si>
  <si>
    <t xml:space="preserve">    &lt;route id="Router3_99" edges="31909473.0 31909473.857 62634019#1-AddedOnRampEdge 62634019#1 62634019#2.0 62634019#2.242 62634019#3-AddedOnRampEdge 62634019#3 62634019#3-AddedOffRampEdge 12111747.0 59671945#0.30 62093806#0 104526265#0.14 424080766 424080768#0 104523976#1 262962063 12189051#0 -12189051#1 424080770#0 424080772#0 424080772#2 386547297#0 424080771#0 424080767#0 386547298#0 424769177 424080769#0 55179414#0 12187610#0 -484953508#2 424801339#0 62646509#0 424801338#0 424801338#1 357338496#0 357338487#0 -12134222#6 -12134222#4 -12134222#2 -12134222#1 12175523#0 484953509#4 51050030#0 386547309#9 12180696#0 12180696#2 386547311#6 386547311#8 386547311#9 -12134222#4 -12134222#2 -12134222#1 12175523#0 484953509#4 51050030#0 386547309#9 12180696#0 12180696#2 12180696#4 12180696#6 386547306#0 386547306#4 386547306#6 51049745#0 51049745#2 51049745#3 484842179#16.0 62094032#0.9 288513230#0 288513232 484842173 50033030#0 -424801341 -283621822#1 -424801343#1 -424801343#0 49991658 424801340 424801342 386550018#0 386550018#0-AddedOffRampEdge 386550018#1 49991638 -12144161#0 12144161#0 12144161#1 49991657 283621821#1 283621821#1-AddedOffRampEdge 283621821#2 49991647#1 49991647#2 63060732#0 63060732#1 63060732#2.0 63060732#2.116 50033027 -50033029 50033050#0 50033050#2 424799828 424799825 424799826 50033054 63060727 50033029 50033028#0 50033028#3 50033028#5 50033028#6 49991646 386547300#0 283621823 386547301-AddedOnRampEdge 386547301 424801344#0 424801343#1 283621822#0 424801341 28555309#0 49991649#0 424986163#0 51049946#0 424801337#0 357338497#0 357338497#2 450695460#0 62646499#0 62646499#2 450827424#0 62646508#0 62646508#2 424799820 424799823#0 50033059#0 50033059#2 50033059#3 50033059#4 388756839#0 388756839#1 388756838#0 12136923#0 386547309#0 386547309#2 386547309#3 386547309#5 386547309#7 51050030#4 51050030#7 gneE35 -gneE34.0 --gneE83.0" probability="0.0625"/&gt;</t>
  </si>
  <si>
    <t xml:space="preserve">    &lt;route id="Router3_100" edges="31909473.0 31909473.857 62634019#1-AddedOnRampEdge 62634019#1 62634019#2.0 62634019#2.242 62634019#3-AddedOnRampEdge 62634019#3 62634019#3-AddedOffRampEdge 12111747.0 59671945#0.30 62093806#0 104526265#0.14 424080766 424080768#0 104523976#1 262962063 12189051#0 -12189051#1 424080770#0 424080772#0 424080772#2 386547297#0 424080771#0 424080767#0 386547298#0 424769177 424080769#0 55179414#0 12187610#0 -484953508#2 424801339#0 62646509#0 424801338#0 424801338#1 357338496#0 357338487#0 -12134222#6 -12134222#4 -12134222#2 -12134222#1 12175523#0 484953509#4 51050030#0 386547309#9 12180696#0 12180696#2 386547311#6 386547311#8 386547311#9 -12134222#4 -12134222#2 -12134222#1 12175523#0 484953509#4 51050030#0 386547309#9 12180696#0 12180696#2 386547311#6 386547311#8 386547311#9 -12134222#4 -12134222#2 -12134222#1 450827385#0 450827382 450827400#0 62646509#0 424801338#0 424801338#1 12117702#0 12117702#4 12117702#7 -32121146#3 -32121146#1 55179413#0 424769182 -450827405#2 -450827400#2 -450827382 -450827385#1 12134222#0 12134222#2 12134222#3 386547311#11 386547311#13 357338496#0 357338496#2 450695461#0 62646494#0 424801336#0 484842168#0 283621820 -28555309#1 -424801341 -283621822#1 -424801343#1 -424801343#0 49991658 424801340 424801342 386550018#0 386550018#0-AddedOffRampEdge 386550018#1 49991638 -12144161#0 12144161#0 12144161#1 49991657 283621821#1 283621821#1-AddedOffRampEdge 283621821#2 49991647#1 49991647#2 63060732#0 63060732#1 63060732#2.0 63060732#2.116 50033027 -50033029 50033050#0 50033050#2 424799828 424799825 424799826 50033054 63060727 50033029 50033028#0 50033028#3 50033028#5 50033028#6 49991646 386547300#0 283621823 386547301-AddedOnRampEdge 386547301 424801344#0 424801343#1 283621822#0 424801341 28555309#0 49991649#0 424986163#0 51049946#0 424801337#0 357338497#0 357338497#2 450695460#0 62646499#0 62646499#2 450827424#0 62646508#0 62646508#2 424799820 424799823#0 50033059#0 50033059#2 50033059#3 50033059#4 388756839#0 388756839#1 388756838#0 12136923#0 386547309#0 386547309#2 386547309#3 386547309#5 386547309#7 51050030#4 51050030#7 gneE35 -gneE34.0 --gneE83.0" probability="0.0625"/&gt;</t>
  </si>
  <si>
    <t xml:space="preserve">    &lt;route id="Router3_106" edges="31909473.0 31909473.857 62634019#1-AddedOnRampEdge 62634019#1 62634019#2.0 62634019#2.242 62634019#3-AddedOnRampEdge 62634019#3 62634019#3-AddedOffRampEdge 12111747.0 62203498#0 62093806#0 104526265#0.14 424080766 424080768#0 104523976#1 262962063 424080770#0 424080772#0 424080772#2 386547297#0 424080771#0 424080767#0 386547298#0 424769177 424080769#0 12144152#0 12144152#2 12144152#4 12166276#0 -351053388#2 12144152#7 450844965#0 388533145#0 -12168663#6 -484953513#2 -484953514#2 -284556051#4 -284556051#2 51050278#0.0 gneE16 -12165855#3.1535 386547306#4 386547306#6 51049745#0 51049745#2 51049745#3 484842179#16.0 62094032#0.9 288513230#0 288513232 484842173 50033030#0 -424801341 -283621822#1 -424801343#1 -424801343#0 49991658 424801340 424801342 386550018#0 386550018#0-AddedOffRampEdge 386550018#1 49991638 -12144161#0 12144161#0 12144161#1 49991657 283621821#1 283621821#1-AddedOffRampEdge 283621821#2 49991647#1 49991647#2 63060732#0 63060732#1 63060732#2.0 63060732#2.116 50033027 -50033029 50033050#0 50033050#2 424799828 424799825 424799826 50033054 63060727 50033029 50033028#0 50033028#3 50033028#5 50033028#6 49991646 386547300#0 283621823 386547301-AddedOnRampEdge 386547301 424801344#0 424801343#1 283621822#0 424801341 28555309#0 49991649#0 424986163#0 51049946#0 424801337#0 357338497#0 357338497#2 450695460#0 62646499#0 62646499#2 450827424#0 62646508#0 62646508#2 424799820 424799823#0 50033059#0 50033059#2 50033059#3 50033059#4 388756839#0 388756839#1 388756838#0 12136923#0 386547309#0 386547309#2 386547309#3 386547309#5 386547309#7 51050030#4 51050030#7 gneE35 -gneE34.0 --gneE83.0" probability="0.0625"/&gt;</t>
  </si>
  <si>
    <t xml:space="preserve">    &lt;route id="Router3_118" edges="31909473.0 31909473.857 62634019#1-AddedOnRampEdge 62634019#1 62634019#2.0 62634019#2.242 62634019#3-AddedOnRampEdge 62634019#3 62634019#3-AddedOffRampEdge 30953251#1.0 30953251#1-AddedOffRampEdge 12112003 30953215#1-AddedOnRampEdge 30953215#1 121643865#0 12110705 50715233#0 50715233#0-AddedOffRampEdge 50715233#1.0 62203285#14.24 gneE59.30.0.55 gneE59.30.0.0 gneE59.0.0 gneE59.0.12 62203360#0 291433361#0 132508433.0 -gneE6.0 gneE81.299.0 gneE81.299.79 gneE81.299.145 -gneE8 12154353#0 196393941#1 196393941#2 28533986 43539369#2 12178843#2 12178843#3 49960982#2 43569828#0 387422128#1 43569827#0 43569827#1 43569827#2 43569827#7 43569848 30953391 424769002 424769005 424769006 424769004 30953396#1 387422132#0 387422132#1 486653633#0 484953506#3 484953506#4 12157002#0 12157002#1 12157002#3 12157002#5 12114396#4 -12156992#10 -12156992#8 -12156992#7 -12156992#6 -12156992#5 -12156992#4 -12156992#3 -12156992#2 -12156992#1 -386547297#1 -424080772#2 -424080772#1 -262962065#1 -262962063 -424080764 -424080768#1 -424080766 -104526265#1 30953497#0 30953497#2 30953497#3 42706585#0 42706585#1 30953320 30953320-AddedOffRampEdge 104526277 30953215#1-AddedOnRampEdge 30953215#1 121643865#0 12110705 50715233#0 50715233#0-AddedOffRampEdge 50715233#1.0 62203285#14.24 gneE59.30.0.55 gneE59.30.0.0 gneE59.0.0 gneE59.0.12 62203360#0 12159135 12149408#0 49914077 424767578 43569819 387422128#1 43569827#0 43569827#1 43569827#2 43569827#7 43569848 30953391 424769002 424769005 424769006 424769004 30953396#1 -424769003#1 -424769003#0 -485017374 42706828#0 42706828#2 12182281#0 12182281#3 12182281#5 12182281#6 386995507#4 386995507#5 386995507#6 12152013#1 12152013#2 -12175537#6 -12175537#5 -12175537#4 12182281#9 12182281#10 -388756839#1 -388756839#0 -50033059#4 -50033059#3 -50033059#2 -50033059#1 42706833#0 42706833#2 -42706825#7 12199713#0 12199713#1 -386995514#6 -386995514#5 -386995514#4 -386995514#3 -386995514#2 -386995514#1 12159500#1 12159500#2 51050030#7 gneE35 -gneE34.0 --gneE83.0" probability="0.0625"/&gt;</t>
  </si>
  <si>
    <t xml:space="preserve">    &lt;route id="Router3_50" edges="196393940#0 62203285#0 62203285#2 62203285#3 62203285#5 62203285#6 62203285#7 62203285#8 62203285#9 62203285#10 62203285#11 62203285#13 62203285#14.0 62203285#14.24 gneE59.30.0.55 gneE59.30.0.0 43539373#0.0.292.17 gneE58 gneE56 gneE54.0 62203360#0 291433361#0 132508433.0 -gneE6.0 gneE6.0 424765883 43539378#0.15 132508717#5 196393974#0 49914077 424767578 387422130#1 132508717#0 12149210#1 12151897#1 196393941#6 196393941#7 196393941#8 gneE87 196393974#0 388756841#0 49914076#0 12159673#0 12159673#1 393884751 43569848 30953391 12113092 51758697#1-AddedOnRampEdge 51758697#1" probability="0.0625"/&gt;</t>
  </si>
  <si>
    <t xml:space="preserve">    &lt;route id="Router3_51" edges="196393940#0 62203285#0 62203285#2 62203285#3 62203285#5 62203285#6 62203285#7 62203285#8 62203285#9 62203285#10 62203285#11 62203285#13 62203285#14.0 62203285#14.24 gneE59.30.0.55 gneE59.30.0.0 gneE59.0.0 gneE59.0.12 62203360#0 291433361#0 132508433.0 -gneE6.0 gneE81.299.0 gneE81.299.79 gneE81.299.145 -gneE8 12154353#0 196393941#1 196393941#2 28533986 43539369#2 12178843#2 12178843#3 49960982#2 43569828#0 387422128#1 43569827#0 43569827#1 43569827#2 43569827#7 43569848 30953391 424769002 424769005 424769006 424769004 30953396#1 387422132#0 387422132#1 486653633#0 484953506#3 484953506#4 12157002#0 12157002#1 12157002#3 12157002#5 12114396#4 -12156992#10 -12156992#8 -12156992#7 -12156992#6 -12156992#5 -12156992#4 -12156992#3 -12156992#2 -12156992#1 -386547297#1 -424080772#2 -424080772#1 -262962065#1 -262962063 -424080764 -424080768#1 -424080766 -104526265#1 30953497#0 30953497#2 30953497#3 42706585#0 42706585#1 30953320 30953320-AddedOffRampEdge 104526277 30953215#1-AddedOnRampEdge 30953215#1 121643865#0 12110705 50715233#0 50715233#0-AddedOffRampEdge 50715233#1.0 62203285#14.24 gneE59.30.0.55 gneE59.30.0.0 43539373#0.0.292.17 gneE58 gneE56 gneE54.0 62203360#0 291433361#0 132508433.0 -gneE6.0 gneE6.0 424765883 43539378#0.15 132508717#5 196393974#0 49914077 424767578 387422130#1 132508717#0 12149210#1 12151897#1 196393941#6 196393941#7 196393941#8 gneE87 196393974#0 388756841#0 49914076#0 12159673#0 12159673#1 393884751 43569848 30953391 12113092 51758697#1-AddedOnRampEdge 51758697#1" probability="0.0625"/&gt;</t>
  </si>
  <si>
    <t>&lt;routeDistribution id="I-76-SPGRST-to-Girdard-WB-2015-RouteProbe"&gt;</t>
  </si>
  <si>
    <t xml:space="preserve">    &lt;route id="Router3_52" edges="196393940#0 62203285#0 62203285#2 62203285#3 62203285#5 62203285#6 62203285#7 62203285#8 62203285#9 62203285#10 62203285#11 62203285#13 62203285#14.0 62203285#14.24 gneE59.30.0.55 gneE59.30.0.0 gneE59.0.0 gneE59.0.12 62203360#0 291433361#0 132508433.0 -gneE6.0 gneE81.299.0 gneE81.299.79 gneE81.299.145 -gneE8 12154353#0 196393941#1 196393941#2 28533986 43539369#2 12178843#2 12178843#3 49960982#2 43569828#0 387422128#1 43569827#0 43569827#1 43569827#2 43569827#7 43569848 30953391 424769002 424769005 424769006 424769004 30953396#1 387422132#0 387422132#1 486653633#0 484953506#3 484953506#4 12157002#0 12157002#1 12157002#3 12157002#5 12114396#4 -12156992#10 -12156992#8 -12156992#7 -12156992#6 -12156992#5 -12156992#4 -12156992#3 -12156992#2 -12156992#1 -386547297#1 -424080772#2 -424080772#1 -262962065#1 -262962063 -424080764 -424080768#1 -424080766 -104526265#1 30953497#0 30953497#2 30953497#3 42706585#0 42706585#1 30953320 30953320-AddedOffRampEdge 104526277 30953215#1-AddedOnRampEdge 30953215#1 121643865#0 12110705 50715233#0 50715233#0-AddedOffRampEdge 50715233#1.0 62203285#14.24 gneE59.30.0.55 gneE59.30.0.0 43539373#0.0.292.17 gneE58 gneE56 gneE54.0 62203360#0 291433361#0 132508433.0 -gneE6.0 gneE6.0 424765883 43570920#0.22 132508717#4 43539378#1 43569848 30953391 12113092 51758697#1-AddedOnRampEdge 51758697#1" probability="0.0277777777777778"/&gt;</t>
  </si>
  <si>
    <t xml:space="preserve">    &lt;route id="Router3_60" edges="196393940#0 62203285#0 62203285#2 62203285#3 62203285#5 62203285#6 62203285#7 62203286#0 62203286#2 59676508#0 -59676508#0 -62203286#2 -62203286#0 62203285#8 62203285#9 62203285#10 62203285#11 62203285#13 62203285#14.0 62203285#14.24 gneE59.30.0.55 gneE59.30.0.0 gneE59.0.0 gneE59.0.12 62203360#0 12159135 291433360#0 388756841#0 49914076#0 12111949#0 43539384#1.0 424764853 43539372 12167183.0 gneE82 gneE56 gneE54.0 gneE62.13 gneE81.0 gneE6.0 424765883 43539378#0.15 43539378#1 43569848 30953391 12113092 51758697#1-AddedOnRampEdge 51758697#1" probability="0.0277777777777778"/&gt;</t>
  </si>
  <si>
    <t xml:space="preserve">    &lt;route id="Router3_61" edges="196393940#0 62203285#0 62203285#2 62203285#3 62203285#5 62203285#6 62203285#7 62203286#0 62203286#2 59676508#0 -59676508#0 -62203286#2 -62203286#0 62203285#8 62203285#9 62203285#10 62203285#11 62203285#13 62203285#14.0 62203285#14.24 gneE59.30.0.55 gneE59.30.0.0 gneE59.0.0 gneE59.0.12 62203360#0 291433361#0 132508433.0 -gneE6.0 gneE81.299.0 gneE81.299.79 gneE81.299.145 -gneE8 12154353#0 196393941#1 196393941#2 28533986 43539369#2 12178843#2 12178843#3 49960982#2 43569828#0 387422128#1 43569827#0 43569827#1 43569827#2 43569827#7 43569848 30953391 424769002 424769005 424769006 424769004 30953396#1 387422132#0 387422132#1 486653633#0 484953506#3 484953506#4 12157002#0 12157002#1 12157002#3 12157002#5 12114396#4 -12156992#10 -12156992#8 -12156992#7 -12156992#6 -12156992#5 -12156992#4 -12156992#3 -12156992#2 -12156992#1 -386547297#1 -424080772#2 -424080772#1 -262962065#1 -262962063 -424080764 -424080768#1 -424080766 -104526265#1 30953497#0 30953497#2 30953497#3 42706585#0 42706585#1 30953320 30953320-AddedOffRampEdge 104526277 30953215#1-AddedOnRampEdge 30953215#1 121643865#0 12110705 50715233#0 50715233#0-AddedOffRampEdge 50715233#1.0 62203285#14.24 gneE59.30.0.55 gneE59.30.0.0 43539373#0.0.292.17 gneE58 gneE56 gneE54.0 62203360#0 291433361#0 132508433.0 -gneE6.0 gneE6.0 424765883 43539378#0.15 132508717#5 196393974#0 49914077 424767578 387422130#1 132508717#0 12149210#1 12151897#1 196393941#6 196393941#7 196393941#8 gneE87 196393974#0 388756841#0 49914076#0 12159673#0 12159673#1 393884751 43569848 30953391 12113092 51758697#1-AddedOnRampEdge 51758697#1" probability="0.0277777777777778"/&gt;</t>
  </si>
  <si>
    <t xml:space="preserve">    &lt;route id="Router3_62" edges="196393940#0 62203285#0 62203285#2 62203285#3 62203285#5 62203285#6 62203285#7 62203286#0 62203286#2 59676508#0 -59676508#0 -62203286#2 -62203286#0 62203285#8 62203285#9 62203285#10 62203285#11 62203285#13 62203285#14.0 62203285#14.24 gneE59.30.0.55 gneE59.30.0.0 gneE59.0.0 gneE59.0.12 62203360#0 291433361#0 132508433.0 -gneE6.0 gneE81.299.0 gneE81.299.79 gneE81.299.145 -gneE8 12154353#0 196393941#1 196393941#2 28533986 43539369#2 12178843#2 12178843#3 49960982#2 43569828#0 387422128#1 43569827#0 43569827#1 43569827#2 43569827#7 43569848 30953391 424769002 424769005 424769006 424769004 30953396#1 387422132#0 387422132#1 486653633#0 484953506#3 484953506#4 12157002#0 12157002#1 12157002#3 12157002#5 12114396#4 -12156992#10 -12156992#8 -12156992#7 -12156992#6 -12156992#5 -12156992#4 -12156992#3 -12156992#2 -12156992#1 -386547297#1 -424080772#2 -424080772#1 -262962065#1 -262962063 -424080764 -424080768#1 -424080766 -104526265#1 30953497#0 30953497#2 35920555#0.0 35920555#0.75 62203066 43331031.0 43331031.436 42706585#0 42706585#1 30953320 30953320-AddedOffRampEdge 30953315 104526276-AddedOnRampEdge 104526276 51758697#0 51758697#1-AddedOnRampEdge 51758697#1" probability="0.0277777777777778"/&gt;</t>
  </si>
  <si>
    <t xml:space="preserve">    &lt;route id="Router3_66" edges="31909473.0 31909473.857 62634019#1-AddedOnRampEdge 62634019#1 30953036 424081476 -424987520 -30953029#1 -30953029#0 -424987519 12169718#0 12169718#1 424804090#0 424804090#1 424804090#2 424804090#3 424804090#4 132508920#2 132508920#3 132508920#4 132508920#5 424080762#0 424080762#1 424080762#2 424080762#3 424080762#4 424080762#5 179915585#2 12171853#2 12198567#4 12198567#5 12152219#0 12152219#1 12152236 132508920#12 132508897#0 132508897#1 132508897#2 132508897#3 394179820#0 394179820#1 394179820#2 394179820#3 394179820#4 196355327#1 196355327#2 196355327#5 196393940#1 196207112#0 32122059#1 424080774 262962068#0.0 30953497#0 30953497#2 30953497#3 42706585#0 42706585#1 30953320 30953320-AddedOffRampEdge 104526277 30953215#1-AddedOnRampEdge 30953215#1 121643865#0 12110705 50715233#0 50715233#0-AddedOffRampEdge 50715233#1.0 62203285#14.24 gneE59.30.0.55 gneE59.30.0.0 43539373#0.0.292.17 gneE58 gneE56 gneE54.0 62203360#0 291433361#0 132508433.0 -gneE6.0 gneE6.0 424765883 43570920#0.22 132508717#4 43539378#1 43569848 30953391 12113092 51758697#1-AddedOnRampEdge 51758697#1" probability="0.0277777777777778"/&gt;</t>
  </si>
  <si>
    <t xml:space="preserve">    &lt;route id="Router3_68" edges="31909473.0 31909473.857 62634019#1-AddedOnRampEdge 62634019#1 30953036 424081476 -424987520 -30953029#1 -30953029#0 -424987519 12169718#0 179915585#0 193223837#0 193223837#1 12198567#1 12198567#2 12198567#3 12171853#3 12171853#4 12171853#5 12171853#6 132508920#8 132508920#9 132508920#10 132508920#12 132508983#0 132508983#3 132508983#5 132508740#0 132508740#2 -12165829#1 132508646#0 132508646#2 132508646#3 394179820#0 394179820#1 394179820#2 394179820#3 450844975 450844970#0 196355332#0 450844979#0.0 12114109#0.45.0 59671945#0.30 62093806#0 30953497#0 30953497#2 30953497#3 42706585#0 42706585#1 30953320 30953320-AddedOffRampEdge 104526277 30953215#1-AddedOnRampEdge 30953215#1 121643865#0 12110705 50715233#0 50715233#0-AddedOffRampEdge 50715233#1.0 62203285#14.24 gneE59.30.0.55 gneE59.30.0.0 43539373#0.0.292.17 gneE58 gneE56 gneE54.0 62203360#0 291433361#0 132508433.0 -gneE6.0 gneE6.0 424765883 43539378#0.15 132508717#5 196393974#0 49914077 424767578 387422130#1 132508717#0 12149210#1 12151897#1 196393941#6 196393941#7 196393941#8 gneE87 196393974#0 388756841#0 49914076#0 12159673#0 12159673#1 393884751 43569848 30953391 12113092 51758697#1-AddedOnRampEdge 51758697#1" probability="0.0277777777777778"/&gt;</t>
  </si>
  <si>
    <t xml:space="preserve">    &lt;route id="Router3_69" edges="31909473.0 31909473.857 62634019#1-AddedOnRampEdge 62634019#1 30953036 424081476 -424987520 -30953029#1 -30953029#0 -424987519 12169718#0 179915585#0 193223837#0 193223837#1 12198567#1 12198567#2 12198567#3 12171853#3 12171853#4 12171853#5 12171853#6 132508920#8 132508920#9 132508920#10 132508920#12 132508983#0 132508983#3 132508983#5 132508740#0 132508740#2 -12165829#1 132508646#0 132508646#2 132508646#3 394179820#0 394179820#1 394179820#2 394179820#3 450844975 450844970#0 196355332#0 450844979#0.0 12114109#0.45.0 59671945#0.30 62093806#0 30953497#0 30953497#2 30953497#3 42706585#0 42706585#1 30953320 30953320-AddedOffRampEdge 104526277 30953215#1-AddedOnRampEdge 30953215#1 121643865#0 12110705 50715233#0 50715233#0-AddedOffRampEdge 50715233#1.0 62203285#14.24 gneE59.30.0.55 gneE59.30.0.0 43539373#0.0.292.17 gneE58 gneE56 gneE54.0 62203360#0 291433361#0 132508433.0 -gneE6.0 gneE6.0 424765883 43570920#0.22 132508717#4 43539378#1 43569848 30953391 12113092 51758697#1-AddedOnRampEdge 51758697#1" probability="0.0277777777777778"/&gt;</t>
  </si>
  <si>
    <t xml:space="preserve">    &lt;route id="Router3_70" edges="31909473.0 31909473.857 62634019#1-AddedOnRampEdge 62634019#1 30953036 424081476 -424987520 -30953029#1 -30953029#0 -424987519 12169718#0 179915585#0 193223837#0 193223837#1 12198567#1 12198567#2 12198567#3 12171853#3 12171853#4 12171853#5 12171853#6 132508920#8 132508920#9 132508920#10 132508920#12 132508983#0 132508983#3 132508983#5 132508740#0 132508740#2 -12165829#1 132508646#0 132508646#2 132508646#3 394179820#0 394179820#1 394179820#2 394179820#3 450844975 450844970#0 196355332#0 450844979#0.0 12114109#0.45.0 59671945#0.30 62093806#0 30953497#0 30953497#2 35920555#0.0 35920555#0.75 62203066 43331031.0 43331031.436 42706585#0 42706585#1 30953320 30953320-AddedOffRampEdge 30953315 104526276-AddedOnRampEdge 104526276 51758697#0 51758697#1-AddedOnRampEdge 51758697#1" probability="0.0277777777777778"/&gt;</t>
  </si>
  <si>
    <t xml:space="preserve">    &lt;route id="Router3_71" edges="31909473.0 31909473.857 62634019#1-AddedOnRampEdge 62634019#1 30953036 424081476 424081472 424081473 424081470 30953025#0 30953025#2 30953025#3 30953025#4 50033060#0 12134479#5 450844973#0 388533144#0 388533144#6 388533144#11 450695475#0 137364609#0 137364609#3 137364609#5 450695473#0 386547305#0 gneE23 -gneE20.0 -gneE21.54 -gneE21.0 59435515#0 59435515#1 59435515#2 59435515#3 59435515#4 424801338#1 12117702#0 12117702#4 12117702#7 -32121146#3 -32121146#1 -424769197#2 12144152#0 12144152#2 12144152#4 12144152#6 12157151#0 12166276#2 -32121146#5 12117702#9 450844953#0 450844953#2 450844953#3 450844947#0 388533142#0 388533142#2 12189045#0 62623987#0 62623987#1 -12142631 12202018 62623986#1 62623986#2 -12189051#1 -262962063 -424080764 -424080768#1 -424080766 -104526265#1 30953497#0 30953497#2 30953497#3 42706585#0 42706585#1 30953320 30953320-AddedOffRampEdge 104526277 30953215#1-AddedOnRampEdge 30953215#1 121643865#0 12110705 50715233#0 50715233#0-AddedOffRampEdge 50715233#1.0 62203285#14.24 30908387 30908366#1-AddedOnRampEdge 30908366#1 121643863 121643862 51758697#0 51758697#1-AddedOnRampEdge 51758697#1 -gneE46.0 43357850.4841.18 gneE46 49887339#0.596 49887339#0-AddedOffRampEdge 49887339#1 49887339#1-AddedOffRampEdge 104524021 104524021-AddedOffRampEdge 50192637#0 50192637#1-AddedOnRampEdge 50192637#1.0.0 50192637#1.0.382.0.0 50192637#1.697 50192637#1-AddedOffRampEdge 30953181#1 30953181#2-AddedOnRampEdge 30953181#2 30953181#3-AddedOnRampEdge 30953181#3 30953181#3-AddedOffRampEdge 30952933#1.0 30952933#1.199" probability="0.0277777777777778"/&gt;</t>
  </si>
  <si>
    <t xml:space="preserve">    &lt;route id="Router3_85" edges="31909473.0 31909473.857 62634019#1-AddedOnRampEdge 62634019#1 62634019#2.0 62634019#2.242 62634019#3-AddedOnRampEdge 62634019#3 62634019#3-AddedOffRampEdge 12111747.0 59671945#0.30 62093806#0 104526265#0.14 424080766 424080768#0 104523976#1 262962063 12189051#0 -12189051#1 -262962063 -424080764 -424080768#1 -424080766 -104526265#1 30953497#0 30953497#2 30953497#3 42706585#0 42706585#1 30953320 30953320-AddedOffRampEdge 104526277 30953215#1-AddedOnRampEdge 30953215#1 121643865#0 12110705 50715233#0 50715233#0-AddedOffRampEdge 50715233#1.0 62203285#14.24 30908387 30908366#1-AddedOnRampEdge 30908366#1 121643863 121643862 51758697#0 51758697#1-AddedOnRampEdge 51758697#1 -gneE46.0 43357850.4841.18 gneE46 49887339#0.596 49887339#0-AddedOffRampEdge 49887339#1 49887339#1-AddedOffRampEdge 104524021 104524021-AddedOffRampEdge 50192637#0 50192637#1-AddedOnRampEdge 50192637#1.0.0 50192637#1.0.382.0.0 50192637#1.697 50192637#1-AddedOffRampEdge 30953181#1 30953181#2-AddedOnRampEdge 30953181#2 30953181#3-AddedOnRampEdge 30953181#3 30953181#3-AddedOffRampEdge 30952933#1.0 30952933#1.199" probability="0.0277777777777778"/&gt;</t>
  </si>
  <si>
    <t xml:space="preserve">    &lt;route id="Router3_86" edges="31909473.0 31909473.857 62634019#1-AddedOnRampEdge 62634019#1 62634019#2.0 62634019#2.242 62634019#3-AddedOnRampEdge 62634019#3 62634019#3-AddedOffRampEdge 12111747.0 59671945#0.30 62093806#0 104526265#0.14 424080766 424080768#0 104523976#1 262962063 12189051#0 -12189051#1 -262962063 -424080764 -424080768#1 -424080766 -104526265#1 30953497#0 30953497#2 30953497#3 42706585#0 42706585#1 30953320 30953320-AddedOffRampEdge 104526277 30953215#1-AddedOnRampEdge 30953215#1 121643865#0 12110705 50715233#0 50715233#0-AddedOffRampEdge 50715233#1.0 62203285#14.24 gneE59.30.0.55 gneE59.30.0.0 43539373#0.0.292.17 gneE58 gneE56 gneE54.0 62203360#0 291433361#0 132508433.0 -gneE6.0 gneE6.0 424765883 43570920#0.22 132508717#4 43539378#1 43569848 30953391 12113092 51758697#1-AddedOnRampEdge 51758697#1 -gneE46.0 43357850.4841.18 gneE46 49887339#0.596 49887339#0-AddedOffRampEdge 49887339#1 49887339#1-AddedOffRampEdge 104524021 104524021-AddedOffRampEdge 50192637#0 50192637#1-AddedOnRampEdge 50192637#1.0.0 50192637#1.0.382.0.0 50192637#1.697 50192637#1-AddedOffRampEdge 30953181#1 30953181#2-AddedOnRampEdge 30953181#2 30953181#3-AddedOnRampEdge 30953181#3 30953181#3-AddedOffRampEdge 30952933#1.0 30952933#1.199" probability="0.0277777777777778"/&gt;</t>
  </si>
  <si>
    <t xml:space="preserve">    &lt;route id="Router3_87" edges="31909473.0 31909473.857 62634019#1-AddedOnRampEdge 62634019#1 62634019#2.0 62634019#2.242 62634019#3-AddedOnRampEdge 62634019#3 62634019#3-AddedOffRampEdge 12111747.0 59671945#0.30 62093806#0 104526265#0.14 424080766 424080768#0 104523976#1 262962063 12189051#0 -12189051#1 -262962063 -424080764 -424080768#1 -424080766 -104526265#1 30953497#0 30953497#2 30953497#3 42706585#0 42706585#1 30953320 30953320-AddedOffRampEdge 104526277 30953215#1-AddedOnRampEdge 30953215#1 121643865#0 12110705 50715233#0 50715233#0-AddedOffRampEdge 50715233#1.0 62203285#14.24 gneE59.30.0.55 gneE59.30.0.0 43539373#0.0.292.17 gneE58 gneE56 gneE54.0 62203360#0 291433361#0 132508433.0 -gneE6.0 gneE6.0 424765883 43570920#0.22 132508717#4 43539378#1 43569848 30953391 12113092 51758697#1-AddedOnRampEdge 51758697#1" probability="0.0277777777777778"/&gt;</t>
  </si>
  <si>
    <t xml:space="preserve">    &lt;route id="Router3_90" edges="31909473.0 31909473.857 62634019#1-AddedOnRampEdge 62634019#1 62634019#2.0 62634019#2.242 62634019#3-AddedOnRampEdge 62634019#3 62634019#3-AddedOffRampEdge 12111747.0 59671945#0.30 62093806#0 104526265#0.14 424080766 424080768#0 104523976#1 262962063 12189051#0 -12189051#1 -262962063 -424080764 -424080768#1 -424080766 -104526265#1 30953497#0 30953497#2 30953497#3 42706585#0 42706585#1 30953320 30953320-AddedOffRampEdge 104526277 30953215#1-AddedOnRampEdge 30953215#1 121643865#0 12110705 50715233#0 50715233#0-AddedOffRampEdge 50715233#1.0 62203285#14.24 gneE59.30.0.55 gneE59.30.0.0 gneE59.0.0 gneE59.0.12 62203360#0 291433361#0 132508433.0 -gneE6.0 gneE81.299.0 gneE81.299.79 gneE81.299.145 -gneE8 12154353#0 196393941#1 196393941#2 28533986 43539369#2 12178843#2 12178843#3 49960982#2 43569828#0 387422128#1 43569827#0 43569827#1 43569827#2 43569827#7 43569848 30953391 424769002 424769005 424769006 424769004 30953396#1 387422132#0 387422132#1 486653633#0 484953506#3 484953506#4 12157002#0 12157002#1 12157002#3 12157002#5 12114396#4 -12156992#10 -12156992#8 -12156992#7 -12156992#6 -12156992#5 -12156992#4 -12156992#3 -12156992#2 -12156992#1 -386547297#1 -424080772#2 -424080772#1 -262962065#1 -262962063 -424080764 -424080768#1 -424080766 -104526265#1 30953497#0 30953497#2 35920555#0.0 35920555#0.75 62203066 43331031.0 43331031.436 42706585#0 42706585#1 30953320 30953320-AddedOffRampEdge 30953315 104526276-AddedOnRampEdge 104526276 51758697#0 51758697#1-AddedOnRampEdge 51758697#1" probability="0.0277777777777778"/&gt;</t>
  </si>
  <si>
    <t xml:space="preserve">    &lt;route id="Router3_101" edges="31909473.0 31909473.857 62634019#1-AddedOnRampEdge 62634019#1 62634019#2.0 62634019#2.242 62634019#3-AddedOnRampEdge 62634019#3 62634019#3-AddedOffRampEdge 12111747.0 59671945#0.30 62093806#0 30953497#0 30953497#2 35920555#0.0 35920555#0.75 62203066 43331031.0 43331031.436 42706585#0 42706585#1 30953320 30953320-AddedOffRampEdge 30953315 104526276-AddedOnRampEdge 104526276 51758697#0 51758697#1-AddedOnRampEdge 51758697#1" probability="0.0277777777777778"/&gt;</t>
  </si>
  <si>
    <t xml:space="preserve">    &lt;route id="Router3_110" edges="31909473.0 31909473.857 62634019#1-AddedOnRampEdge 62634019#1 62634019#2.0 62634019#2.242 62634019#3-AddedOnRampEdge 62634019#3 62634019#3-AddedOffRampEdge 30953251#1.0 30953251#1-AddedOffRampEdge 12112003 30953215#1-AddedOnRampEdge 30953215#1 121643865#0 12110705 50715233#0 50715233#0-AddedOffRampEdge 50715233#1.0 62203285#14.24 30908387 30908366#1-AddedOnRampEdge 30908366#1 121643863 121643862 51758697#0 51758697#1-AddedOnRampEdge 51758697#1 -gneE46.0 43357850.4841.18 gneE46 49887339#0.596 49887339#0-AddedOffRampEdge 49887339#1 49887339#1-AddedOffRampEdge 104524021 104524021-AddedOffRampEdge 50192637#0 50192637#1-AddedOnRampEdge 50192637#1.0.0 50192637#1.0.382.0.0 50192637#1.697 50192637#1-AddedOffRampEdge 30953181#1 30953181#2-AddedOnRampEdge 30953181#2 30953181#3-AddedOnRampEdge 30953181#3 30953181#3-AddedOffRampEdge 30952933#1.0 30952933#1.199" probability="0.0277777777777778"/&gt;</t>
  </si>
  <si>
    <t xml:space="preserve">    &lt;route id="Router3_111" edges="31909473.0 31909473.857 62634019#1-AddedOnRampEdge 62634019#1 62634019#2.0 62634019#2.242 62634019#3-AddedOnRampEdge 62634019#3 62634019#3-AddedOffRampEdge 30953251#1.0 30953251#1-AddedOffRampEdge 12112003 30953215#1-AddedOnRampEdge 30953215#1 121643865#0 12110705 50715233#0 50715233#0-AddedOffRampEdge 50715233#1.0 62203285#14.24 30908387 30908366#1-AddedOnRampEdge 30908366#1 121643863 121643862 51758697#0 51758697#1-AddedOnRampEdge 51758697#1" probability="0.0277777777777778"/&gt;</t>
  </si>
  <si>
    <t xml:space="preserve">    &lt;route id="Router3_119" edges="31909473.0 31909473.857 62634019#1-AddedOnRampEdge 62634019#1 62634019#2.0 62634019#2.242 62634019#3-AddedOnRampEdge 62634019#3 62634019#3-AddedOffRampEdge 30953251#1.0 30953251#1-AddedOffRampEdge 12112003 30953215#1-AddedOnRampEdge 30953215#1 121643865#0 12110705 50715233#0 50715233#0-AddedOffRampEdge 50715233#1.0 62203285#14.24 gneE59.30.0.55 gneE59.30.0.0 gneE59.0.0 gneE59.0.12 62203360#0 291433361#0 132508433.0 -gneE6.0 gneE81.299.0 gneE81.299.79 gneE81.299.145 -gneE8 12154353#0 196393941#1 196393941#2 28533986 43539369#2 12178843#2 12178843#3 49960982#2 43569828#0 387422128#1 43569827#0 43569827#1 43569827#2 43569827#7 43569848 30953391 424769002 424769005 424769006 424769004 30953396#1 387422132#0 387422132#1 486653633#0 484953506#3 484953506#4 12157002#0 12157002#1 12157002#3 12157002#5 12114396#4 -12156992#10 -12156992#8 -12156992#7 -12156992#6 -12156992#5 -12156992#4 -12156992#3 -12156992#2 -12156992#1 -386547297#1 -424080772#2 -424080772#1 -262962065#1 -262962063 -424080764 -424080768#1 -424080766 -104526265#1 30953497#0 30953497#2 35920555#0.0 35920555#0.75 62203066 43331031.0 43331031.436 42706585#0 42706585#1 30953320 30953320-AddedOffRampEdge 30953315 104526276-AddedOnRampEdge 104526276 51758697#0 51758697#1-AddedOnRampEdge 51758697#1" probability="0.0277777777777778"/&gt;</t>
  </si>
  <si>
    <t xml:space="preserve">    &lt;route id="Router3_120" edges="31909473.0 31909473.857 62634019#1-AddedOnRampEdge 62634019#1 62634019#2.0 62634019#2.242 62634019#3-AddedOnRampEdge 62634019#3 62634019#3-AddedOffRampEdge 30953251#1.0 30953251#1-AddedOffRampEdge 30953251#2.0 104526276-AddedOnRampEdge 104526276 51758697#0 51758697#1-AddedOnRampEdge 51758697#1 -gneE46.0 43357850.4841.18 -gneE45 -485017363 -43117585#0 12185366#0 12185366#2 12185366#3 12185366#4 12185366#5 12185366#7 12185366#9 387422145#0 -12157718#6 386995479#1 386995479#2 386995479#3 386995479#4 386995479#5 386995479#6 386995490#0.0 12154359#1.20 12154359#2 12154359#3 12154359#4 42706837#6 42706837#7 42706837#8 12155177#0 12155177#1 386995531#4 12172918#2 gneE73 gneE75.0 gneE80.125" probability="0.0277777777777778"/&gt;</t>
  </si>
  <si>
    <t xml:space="preserve">    &lt;route id="Router3_121" edges="31909473.0 31909473.857 62634019#1-AddedOnRampEdge 62634019#1 62634019#2.0 62634019#2.242 62634019#3-AddedOnRampEdge 62634019#3 62634019#3-AddedOffRampEdge 30953251#1.0 30953251#1-AddedOffRampEdge 30953251#2.0 104526276-AddedOnRampEdge 104526276 51758697#0 51758697#1-AddedOnRampEdge 51758697#1 -gneE46.0 43357850.4841.18 -gneE45 -485017363 -43117585#0 12185366#0 12185366#2 12185366#3 12185366#4 12185366#5 12185366#7 12185366#9 387422145#0 -12157718#6 386995479#1 386995479#2 386995479#3 386995479#4 386995479#5 386995479#6 386995490#0.0 12154359#1.20 12154359#2 12154359#3 12154359#4 42706837#6 42706837#7 42706837#8 12155177#0 12175537#13 12172918#1 12172918#2 gneE73 gneE75.0 gneE80.125" probability="0.0277777777777778"/&gt;</t>
  </si>
  <si>
    <t xml:space="preserve">    &lt;route id="Router3_122" edges="31909473.0 31909473.857 62634019#1-AddedOnRampEdge 62634019#1 62634019#2.0 62634019#2.242 62634019#3-AddedOnRampEdge 62634019#3 62634019#3-AddedOffRampEdge 30953251#1.0 30953251#1-AddedOffRampEdge 30953251#2.0 104526276-AddedOnRampEdge 104526276 51758697#0 51758697#1-AddedOnRampEdge 51758697#1 -gneE46.0 43357850.4841.18 -gneE45 -485017363 -43117585#0 42706797#0 -12171305#1 12178852#1 386995490#0.0 12154359#1.20 32121111#1 32121111#2 32121111#3 12152013#0 386995507#7 43357814#0 43357814#1 42706837#4 42706837#5 42706837#6 42706837#7 42706837#8 12155177#0 12175537#13 12172918#1 12172918#2 gneE73 gneE75.0 gneE80.125" probability="0.0277777777777778"/&gt;</t>
  </si>
  <si>
    <t xml:space="preserve">    &lt;route id="Router3_123" edges="31909473.0 31909473.857 62634019#1-AddedOnRampEdge 62634019#1 62634019#2.0 62634019#2.242 62634019#3-AddedOnRampEdge 62634019#3 62634019#3-AddedOffRampEdge 30953251#1.0 30953251#1-AddedOffRampEdge 30953251#2.0 104526276-AddedOnRampEdge 104526276 51758697#0 51758697#1-AddedOnRampEdge 51758697#1 -gneE46.0 43357850.4841.18 gneE46 49887339#0.596 49887339#0-AddedOffRampEdge 49887339#1 49887339#1-AddedOffRampEdge 104524021 104524021-AddedOffRampEdge 50192637#0 50192637#1-AddedOnRampEdge 50192637#1.0.0 50192637#1.0.382.0.0 50192637#1.697 50192637#1-AddedOffRampEdge 30953181#1 30953181#2-AddedOnRampEdge 30953181#2 30953181#3-AddedOnRampEdge 30953181#3 30953181#3-AddedOffRampEdge 30952933#1.0 30952933#1.199" probability="0.0277777777777778"/&gt;</t>
  </si>
  <si>
    <t xml:space="preserve">    &lt;route id="Router3_125" edges="49887339#0.596 49887339#0-AddedOffRampEdge 12113482 424769007 -424769002 -30953391 -43569848 -43569827#9 -43569827#6 -43569827#1 -43569827#0 28555332 387422130#1 132508717#0 12149210#1 12151897#1 196393941#6 196393941#7 196393941#8 gneE87 196393974#0 388756841#0 49914076#0 12159673#0 12159673#1 393884751 43569848 30953391 12113092 51758697#1-AddedOnRampEdge 51758697#1 -gneE46.0 43357850.4841.18 gneE46 49887339#0.596 49887339#0-AddedOffRampEdge 49887339#1 49887339#1-AddedOffRampEdge 104524021 104524021-AddedOffRampEdge 50192637#0 50192637#1-AddedOnRampEdge 50192637#1.0.0 50192637#1.0.382.0.0 50192637#1.697 50192637#1-AddedOffRampEdge 30953181#1 30953181#2-AddedOnRampEdge 30953181#2 30953181#3-AddedOnRampEdge 30953181#3 30953181#3-AddedOffRampEdge 30952933#1.0 30952933#1.199" probability="0.0277777777777778"/&gt;</t>
  </si>
  <si>
    <t xml:space="preserve">    &lt;route id="Router3_130" edges="49887339#0.596 49887339#0-AddedOffRampEdge 12113482 424769007 -424769002 -30953391 -43569848 -43569827#9 -43569827#6 -43569827#1 -43569827#0 28555332 43569816#0 49914076#0 12167196#0.0.0 424764853 43539372 424764852 12149417#0 12149417#2 12159135 291433360#0 388756841#0 49914076#0 12111949#0 43539384#1.0 424764853 43539372 12167183.0 gneE82 gneE56 gneE54.0 gneE62.13 gneE81.0 gneE6.0 424765883 43539378#0.15 43539378#1 43569848 30953391 12113092 51758697#1-AddedOnRampEdge 51758697#1" probability="0.0277777777777778"/&gt;</t>
  </si>
  <si>
    <t xml:space="preserve">    &lt;route id="Router3_132" edges="49887339#0.596 49887339#0-AddedOffRampEdge 12113482 424769007 -424769002 12113092 51758697#1-AddedOnRampEdge 51758697#1" probability="0.0277777777777778"/&gt;</t>
  </si>
  <si>
    <t xml:space="preserve">    &lt;route id="Router3_133" edges="49887339#0.596 49887339#0-AddedOffRampEdge 12113482 424769007 424769005 424769006 424769004 30953396#1 -30953396#1 -30953396#0 -424769006 -424769005 -424769002 12113092 51758697#1-AddedOnRampEdge 51758697#1" probability="0.0277777777777778"/&gt;</t>
  </si>
  <si>
    <t xml:space="preserve">    &lt;route id="Router3_137" edges="49887339#0.596 49887339#0-AddedOffRampEdge 49887339#1 49887339#1-AddedOffRampEdge 104524021 104524021-AddedOffRampEdge 12158873 121643865#0 12110705 50715233#0 50715233#0-AddedOffRampEdge 50715233#1.0 62203285#14.24 gneE59.30.0.55 gneE59.30.0.0 43539373#0.0.292.17 gneE58 gneE56 gneE54.0 62203360#0 291433361#0 132508433.0 -gneE6.0 gneE6.0 424765883 43539378#0.15 132508717#5 196393974#0 49914077 424767578 387422130#1 132508717#0 12149210#1 12151897#1 196393941#6 196393941#7 196393941#8 gneE87 196393974#0 388756841#0 49914076#0 12159673#0 12159673#1 393884751 43569848 30953391 12113092 51758697#1-AddedOnRampEdge 51758697#1" probability="0.0277777777777778"/&gt;</t>
  </si>
  <si>
    <t xml:space="preserve">    &lt;route id="Router3_138" edges="49887339#0.596 49887339#0-AddedOffRampEdge 49887339#1 49887339#1-AddedOffRampEdge 104524021 104524021-AddedOffRampEdge 12158873 121643865#0 12110705 50715233#0 50715233#0-AddedOffRampEdge 50715233#1.0 62203285#14.24 gneE59.30.0.55 gneE59.30.0.0 43539373#0.0.292.17 gneE58 gneE56 gneE54.0 62203360#0 291433361#0 132508433.0 -gneE6.0 gneE6.0 424765883 43570920#0.22 132508717#4 43539378#1 43569848 30953391 12113092 51758697#1-AddedOnRampEdge 51758697#1" probability="0.0277777777777778"/&gt;</t>
  </si>
  <si>
    <t xml:space="preserve">    &lt;route id="Router3_142" edges="49887339#0.596 49887339#0-AddedOffRampEdge 49887339#1 49887339#1-AddedOffRampEdge 104524021 104524021-AddedOffRampEdge 12158873 121643865#0 12110705 50715233#0 50715233#0-AddedOffRampEdge 50715233#1.0 62203285#14.24 gneE59.30.0.55 gneE59.30.0.0 gneE59.0.0 gneE59.0.12 62203360#0 12159135 291433360#0 388756841#0 49914076#0 12111949#0 43539384#1.0 424764853 43539372 12167183.0 gneE82 gneE56 gneE54.0 gneE62.13 gneE81.0 gneE6.0 424765883 43539378#0.15 43539378#1 43569848 30953391 12113092 51758697#1-AddedOnRampEdge 51758697#1" probability="0.0277777777777778"/&gt;</t>
  </si>
  <si>
    <t xml:space="preserve">    &lt;route id="Router3_144" edges="49887339#0.596 49887339#0-AddedOffRampEdge 49887339#1 49887339#1-AddedOffRampEdge 104524021 104524021-AddedOffRampEdge 12158873 121643865#0 12110705 50715233#0 50715233#0-AddedOffRampEdge 50715233#1.0 62203285#14.24 gneE59.30.0.55 gneE59.30.0.0 gneE59.0.0 gneE59.0.12 62203360#0 291433361#0 132508433.0 -gneE6.0 gneE81.299.0 gneE81.299.79 gneE81.299.145 -gneE8 12154353#0 196393941#1 196393941#2 28533986 43539369#2 12178843#2 12178843#3 49960982#2 43569828#0 387422128#1 43569827#0 43569827#1 43569827#2 43569827#7 43569848 30953391 424769002 424769005 424769006 424769004 30953396#1 387422132#0 387422132#1 486653633#0 484953506#3 484953506#4 12157002#0 12157002#1 12157002#3 12157002#5 12114396#4 -12156992#10 -12156992#8 -12156992#7 -12156992#6 -12156992#5 -12156992#4 -12156992#3 -12156992#2 -12156992#1 -386547297#1 -424080772#2 -424080772#1 -262962065#1 -262962063 -424080764 -424080768#1 -424080766 -104526265#1 30953497#0 30953497#2 30953497#3 42706585#0 42706585#1 30953320 30953320-AddedOffRampEdge 104526277 30953215#1-AddedOnRampEdge 30953215#1 121643865#0 12110705 50715233#0 50715233#0-AddedOffRampEdge 50715233#1.0 62203285#14.24 gneE59.30.0.55 gneE59.30.0.0 43539373#0.0.292.17 gneE58 gneE56 gneE54.0 62203360#0 291433361#0 132508433.0 -gneE6.0 gneE6.0 424765883 43539378#0.15 132508717#5 196393974#0 49914077 424767578 387422130#1 132508717#0 12149210#1 12151897#1 196393941#6 196393941#7 196393941#8 gneE87 196393974#0 388756841#0 49914076#0 12159673#0 12159673#1 393884751 43569848 30953391 12113092 51758697#1-AddedOnRampEdge 51758697#1 -gneE46.0 43357850.4841.18 gneE46 49887339#0.596 49887339#0-AddedOffRampEdge 49887339#1 49887339#1-AddedOffRampEdge 104524021 104524021-AddedOffRampEdge 50192637#0 50192637#1-AddedOnRampEdge 50192637#1.0.0 50192637#1.0.382.0.0 50192637#1.697 50192637#1-AddedOffRampEdge 30953181#1 30953181#2-AddedOnRampEdge 30953181#2 30953181#3-AddedOnRampEdge 30953181#3 30953181#3-AddedOffRampEdge 30952933#1.0 30952933#1.199" probability="0.0277777777777778"/&gt;</t>
  </si>
  <si>
    <t xml:space="preserve">    &lt;route id="Router3_145" edges="49887339#0.596 49887339#0-AddedOffRampEdge 49887339#1 49887339#1-AddedOffRampEdge 104524021 104524021-AddedOffRampEdge 12158873 121643865#0 12110705 50715233#0 50715233#0-AddedOffRampEdge 50715233#1.0 62203285#14.24 gneE59.30.0.55 gneE59.30.0.0 gneE59.0.0 gneE59.0.12 62203360#0 291433361#0 132508433.0 -gneE6.0 gneE81.299.0 gneE81.299.79 gneE81.299.145 -gneE8 12154353#0 196393941#1 196393941#2 28533986 43539369#2 12178843#2 12178843#3 49960982#2 43569828#0 387422128#1 43569827#0 43569827#1 43569827#2 43569827#7 43569848 30953391 424769002 424769005 424769006 424769004 30953396#1 387422132#0 387422132#1 486653633#0 484953506#3 484953506#4 12157002#0 12157002#1 12157002#3 12157002#5 12114396#4 -12156992#10 -12156992#8 -12156992#7 -12156992#6 -12156992#5 -12156992#4 -12156992#3 -12156992#2 -12156992#1 -386547297#1 -424080772#2 -424080772#1 -262962065#1 -262962063 -424080764 -424080768#1 -424080766 -104526265#1 30953497#0 30953497#2 35920555#0.0 35920555#0.75 62203066 43331031.0 43331031.436 42706585#0 42706585#1 30953320 30953320-AddedOffRampEdge 30953315 104526276-AddedOnRampEdge 104526276 51758697#0 51758697#1-AddedOnRampEdge 51758697#1" probability="0.0277777777777778"/&gt;</t>
  </si>
  <si>
    <t xml:space="preserve">    &lt;route id="Router3_165" edges="62203360#0 291433361#0 132508433.0 -gneE6.0 gneE6.0 424765883 43539378#0.15 132508717#5 196393974#0 49914077 424767578 387422130#1 132508717#0 12149210#1 12151897#1 196393941#6 196393941#7 196393941#8 gneE87 196393974#0 388756841#0 49914076#0 12159673#0 12159673#1 393884751 43569848 30953391 12113092 51758697#1-AddedOnRampEdge 51758697#1" probability="0.0277777777777778"/&gt;</t>
  </si>
  <si>
    <t xml:space="preserve">    &lt;route id="Router3_166" edges="62203360#0 291433361#0 132508433.0 -gneE6.0 gneE6.0 424765883 43570920#0.22 132508717#4 43539378#1 43569848 30953391 12113092 51758697#1-AddedOnRampEdge 51758697#1" probability="0.0277777777777778"/&gt;</t>
  </si>
  <si>
    <t xml:space="preserve">    &lt;route id="Router3_5" edges="-gneE80.0 -gneE80.17 -gneE41 gneE44 -388756838#2 -388756838#1 -388756838#0 42706817#0 386547310 gneE69 -388756838#2 -388756838#1 -388756838#0 -388756839#1 -388756839#0 -194358837#2 -194358837#0 194358838#0 194358838#1 194358838#2 194358838#3 387422145#0 387422145#3 386995499#0 386995499#2 -51155368#13 -51155368#10 -51155368#7 121319040#0 121319040#1 386995507#0 386995507#1 386995507#2 386995507#3 12182281#7 42706837#0 42706837#1 42706837#2 42706837#3 43357814#2 43357814#3 386995526#0 386995526#1 -51050425#4 -51050425#3 -51050425#2 12162659#0 12162659#1 -12175537#4 -12175537#3 -12175537#2 -12175537#1 -50033059#3 -50033059#2 -386995514#7 -12199713#2 12177498 42706833#2 51155368#0 -50033558#5 -50033558#3 -50033558#2 -62105579 -32121234#1 -32121234#0 42706874#0 42706874#2 55179414#0 55179413#0 424769182 -450827405#2 -450827400#2 -450827382 -450827385#1 -450827391#1 -450827381 -450827397#1 12180696#0 59435515#1 59435515#2 59435515#3 59435515#4 424801338#1 12117702#0 12117702#4 12117702#7 -32121146#3 -32121146#1 -424769197#2 12144152#0 12144152#2 12144152#4 12144152#6 12157151#0 12166276#2 -32121146#5 12117702#9 450844953#0 450844953#2 450844953#3 450844947#0 388533142#0 388533142#2 12189045#0 62623987#0 62623987#1 -12142631 12202018 62623986#1 62623986#2 -12189051#1 -262962063 -424080764 -424080768#1 -424080766 -104526265#1 -262962068#1 -424080774 -32122059#1 -32122059#0 -196393940#2 -196393940#0" probability="0.0277777777777778"/&gt;</t>
  </si>
  <si>
    <t xml:space="preserve">    &lt;route id="Router3_19" edges="-gneE80.0 -gneE80.17 -gneE41 gneE44 -388756838#2 -388756838#1 -388756838#0 42706817#0 386547310 gneE69 -388756838#2 -388756838#1 -388756838#0 -388756839#1 -388756839#0 -194358837#2 -194358837#0 194358838#0 194358838#1 194358838#2 194358838#3 387422145#0 387422145#3 386995499#0 386995499#2 42706831#0 42706831#4 42706831#5 42706831#6 42706874#0 42706874#2 -424080769#1 -424769177 -386547298#1 -424080767#1 -424080771#1 -386547297#1 -424080772#2 -424080772#1 -424080761#1 -62623960 62623959#0 386547296#0 386547296#1 424080773#0 -424080768#1 -424080766 -104526265#1 30953497#0 30953497#2 30953497#3 42706585#0 42706585#1 30953320 30953320-AddedOffRampEdge 104526277 30953215#1-AddedOnRampEdge 30953215#1 121643865#0 12110705 50715233#0 50715233#0-AddedOffRampEdge 50715233#1.0 62203285#14.24 30908387 30908366#1-AddedOnRampEdge 30908366#1 121643863 121643862 51758697#0 51758697#1-AddedOnRampEdge 51758697#1 -gneE46.0 43357850.4841.18 gneE46 49887339#0.596 49887339#0-AddedOffRampEdge 49887339#1 49887339#1-AddedOffRampEdge 104524021 104524021-AddedOffRampEdge 50192637#0 50192637#1-AddedOnRampEdge 50192637#1.0.0 50192637#1.0.382.0.0 50192637#1.697 50192637#1-AddedOffRampEdge 30953181#1 30953181#2-AddedOnRampEdge 30953181#2 30953181#3-AddedOnRampEdge 30953181#3 30953181#3-AddedOffRampEdge 30952933#1.0 30952933#1.199" probability="0.0277777777777778"/&gt;</t>
  </si>
  <si>
    <t>&lt;routeDistribution id="ChestnutST-Bridge-EB-2017-RouteProbe"&gt;</t>
  </si>
  <si>
    <t xml:space="preserve">    &lt;route id="Router3_41" edges="195815883#2 195815883#3 450844975 450844970#0 196355332#0 450844979#0.0 12114109#0.45.0 38502259#0.19 450844933#1 196207115#0 196207115#2 196207115#3 196355332#0 450844979#0.0 450844982#0.19 62203497#0 62203497#2 62203497#3 12134479#1 34685684#0 34685684#2 388533143#0 388533143#2 12140627#0 63060729#0 -264253834#2 12156992#4 12156992#5 12156992#6 12156992#7 12156992#8 12156992#9 -12114396#5 -12114396#3 -12114396#1 485017383#0 485017382#0 485017382#1 211575484#0 -12177521#3 -12177521#2 -12177521#1 32121111#12 32121111#14 -12187610#5 -12187610#2 -12187610#1 12150608#0 32121146#2 12117702#9 450844953#0 450844953#2 450844953#3 450844947#0 388533142#0 388533142#2 388533142#4 62623926#0 62623926#1 450844950#0 38502259#0.19 450844933#1 196207110#0 196207110#2" probability="0.0344827586206897"/&gt;</t>
  </si>
  <si>
    <t xml:space="preserve">    &lt;route id="Router3_42" edges="195815883#2 195815883#3 450844975 450844970#0 196355332#0 450844979#0.0 12114109#0.45.0 38502259#0.19 450844933#1 196207115#0 196207115#2 43538931#0 43538931#1 -43538931#1 -43538931#0 196207115#3 196355332#0 450844979#0.0 450844982#0.19 62203497#0 62203497#2 62203497#3 12134479#1 34685684#0 34685684#2 388533143#0 388533143#2 12140627#0 63060729#0 -264253834#2 12156992#4 12156992#5 12156992#6 12156992#7 12156992#8 12156992#9 -12114396#5 -12114396#3 -12114396#1 485017383#0 485017382#0 485017382#1 211575484#0 -12177521#3 -12177521#2 -12177521#1 32121111#12 32121111#14 -12187610#5 -12187610#2 -12187610#1 12150608#0 32121146#2 12117702#9 450844953#0 450844953#2 450844953#3 450844947#0 388533142#0 388533142#2 388533142#4 62623926#0 62623926#1 450844950#0 38502259#0.19 450844933#1 196207110#0 196207110#2" probability="0.0344827586206897"/&gt;</t>
  </si>
  <si>
    <t xml:space="preserve">    &lt;route id="Router3_43" edges="195815883#2 195815883#3 450844975 450844970#0 196355332#0 450844979#0.0 12114109#0.45.0 38502259#0.19 450844933#1 196207115#0 196207115#2 43538931#0 43538931#1 -43538931#1 -43538931#0 196207115#3 196355332#0 450844979#0.0 450844982#0.19 62203497#0 62203497#2 62203497#3 12134479#1 34685684#0 34685684#2 450844947#0 388533142#0 388533142#2 388533142#4 62623926#0 62623926#1 450844950#0 12189453#0.0.0 450844982#0.19 62203497#0 62203497#2 62203497#3 12134479#1 34685684#0 34685684#2 388533143#0 388533143#2 12140627#0 63060729#0 -264253834#2 12156992#4 12156992#5 12156992#6 12156992#7 12156992#8 12156992#9 484953505 12148522#0 485017381#0 485017381#1 -30953396#1 -30953396#0 -424769006 -424769005 -424769002 -30953391 -43569848 -393884751 12159702 424764853 12149178#0 50189796 50189564 12149178#2 145605533#0 145605533#1-AddedOnRampEdge 145605533#1 145605511#1-AddedOnRampEdge 145605511#12 145605511#1.148" probability="0.0344827586206897"/&gt;</t>
  </si>
  <si>
    <t xml:space="preserve">    &lt;route id="Router3_44" edges="195815883#2 195815883#3 450844975 450844970#0 196355332#0 450844979#0.0 12114109#0.45.0 38502259#0.19 450844933#1 196207115#0 196207115#2 43538931#0 43538931#1 32118649#4 32118649#5 32118649#6 132508646#0 132508646#2 132508646#3 196355310#0 196355310#1 12150213#8 12150213#9 12150213#10 12150213#11 173543402#8 173543402#9 132508983#0 132508983#3 132508734#3 132508734#4 132508734#5 132508734#6 132508734#7 132508734#8 132508734#9 193223837#3 12142729#6 12142729#7 196355307#1 196393937 -132508530 -310296140#9 -310296140#8 -310296140#7 -310296140#6 -310296140#5 -310296140#4 -310296140#2 -310296140#1 459461788#11 459461788#12 459461788#13 459461788#14 459461788#15 -170366767#4 -170366767#3 -170366767#2 -170366767#0 -12173391 -170366765 170366768 30953029#0 30953029#1 424987520 424081472 424081473 424081470 12122468#0 12122468#1 273888485.0 50033027 -50033029 50033050#0 50033055 63060727 50033029 50033028#0 50033028#3 50033028#5 50033028#6 49991646 386547300#0 283621823 386547301-AddedOnRampEdge 386547301 424801344#0 424801343#1 283621822#0 424801341 28555309#0 49991649#0 424986163#0 51049946#0 424801337#0 357338497#0 357338497#2 450695460#0 62646499#0 62646499#2 450827424#0 62646508#0 62646508#2 424799820 424799823#0 50033059#0 50033059#2 50033059#3 50033059#4 388756839#0 388756839#1 388756838#0 12136923#0 386547309#0 386547309#2 386547309#3 386547309#5 386547309#7 51050030#4 51050030#7 gneE35 -gneE34.0 --gneE83.0" probability="0.0344827586206897"/&gt;</t>
  </si>
  <si>
    <t xml:space="preserve">    &lt;route id="Router3_45" edges="196393940#0 62203285#0 62203285#2 62203285#3 62203285#5 42706664#7 12142298#0 12142298#1 62203286#2 12186741#2 12186741#4 12186741#5 12142723#0 12142723#3 12142723#4 12187745 32118649#2 32118649#3 -43538931#1 -43538931#0 196207115#3 196355332#0 450844979#0.0 450844982#0.19 62203497#0 62203497#2 62203497#3 12134479#1 34685684#0 34685684#2 388533143#0 388533143#2 12140627#0 63060729#0 -264253834#2 12156992#4 12156992#5 12156992#6 12156992#7 12156992#8 12156992#9 -12114396#5 -12114396#3 -12114396#1 485017383#0 485017382#0 485017382#1 211575484#0 -12177521#3 -12177521#2 -12177521#1 32121111#12 32121111#14 -12187610#5 -12187610#2 -12187610#1 12150608#0 32121146#2 12117702#9 450844953#0 450844953#2 450844953#3 450844947#0 388533142#0 388533142#2 388533142#4 62623926#0 62623926#1 450844950#0 38502259#0.19 450844933#1 196207110#0 196207110#2" probability="0.0344827586206897"/&gt;</t>
  </si>
  <si>
    <t xml:space="preserve">    &lt;route id="Router3_49" edges="196393940#0 62203285#0 62203285#2 62203285#3 62203285#5 42706664#7 42706664#8 12186741#4 12186741#5 196207112#0 32122059#1 424080774 262962068#0.0 104526265#0.14 424080766 424080768#0 104523976#1 262962063 12189051#0 -12189051#1 424080770#0 424080772#0 12119506#0 -12156992#1 -386547297#1 -424080772#2 -424080772#1 -424080761#1 -62623960 62623959#0 386547296#0 386547296#1 424080773#0 279870839#0 279870839#2 450844960#0 62623926#1 450844950#0 38502259#0.19 450844933#1 196207115#0 196207115#2 196207115#3 196355332#0 450844979#0.0 450844982#0.19 62203497#0 62203497#2 62203497#3 12134479#1 34685684#0 34685684#2 388533143#0 388533143#2 12140627#0 63060729#0 -264253834#2 12156992#4 12156992#5 12156992#6 12156992#7 12156992#8 12156992#9 -12114396#5 -12114396#3 -12114396#1 485017383#0 485017382#0 485017382#1 211575484#0 -12177521#3 -12177521#2 -12177521#1 32121111#12 32121111#14 -12187610#5 -12187610#2 -12187610#1 12150608#0 32121146#2 12117702#9 450844953#0 450844953#2 450844953#3 450844947#0 388533142#0 388533142#2 388533142#4 62623926#0 62623926#1 450844950#0 38502259#0.19 450844933#1 196207110#0 196207110#2" probability="0.0344827586206897"/&gt;</t>
  </si>
  <si>
    <t xml:space="preserve">    &lt;route id="Router3_56" edges="196393940#0 62203285#0 62203285#2 62203285#3 62203285#5 62203285#6 62203285#7 62203286#0 -12142298#1 -12142298#0 42706664#8 12186741#4 12186741#5 12142723#0 12142723#3 12142723#4 12187745 32118649#2 32118649#3 -43538931#1 -43538931#0 196207115#3 196355332#0 450844979#0.0 450844982#0.19 62203497#0 62203497#2 62203497#3 12134479#1 34685684#0 34685684#2 388533143#0 388533143#2 12140627#0 63060729#0 -264253834#2 12156992#4 12156992#5 12156992#6 12156992#7 12156992#8 12156992#9 -12114396#5 -12114396#3 -12114396#1 485017383#0 485017382#0 485017382#1 211575484#0 -12177521#3 -12177521#2 -12177521#1 32121111#12 32121111#14 -12187610#5 -12187610#2 -12187610#1 12150608#0 32121146#2 12117702#9 450844953#0 450844953#2 450844953#3 450844947#0 388533142#0 388533142#2 388533142#4 62623926#0 62623926#1 450844950#0 38502259#0.19 450844933#1 196207110#0 196207110#2" probability="0.0344827586206897"/&gt;</t>
  </si>
  <si>
    <t xml:space="preserve">    &lt;route id="Router3_65" edges="31909473.0 31909473.857 62634019#1-AddedOnRampEdge 62634019#1 30953036 424081476 -424987520 -30953029#1 -30953029#0 -424987519 12169718#0 12169718#1 424804090#0 424804090#1 424804090#2 424804090#3 424804090#4 132508920#2 132508920#3 132508920#4 132508920#5 424080762#0 424080762#1 424080762#2 424080762#3 424080762#4 424080762#5 179915585#2 12171853#2 12198567#4 12198567#5 12152219#0 12152219#1 12152236 132508920#12 132508897#0 132508897#1 132508897#2 132508897#3 394179820#0 394179820#1 394179820#2 394179820#3 394179820#4 196355327#1 196355327#2 196355327#5 196393940#1 196207112#0 32122059#1 424080774 262962068#0.0 104526265#0.14 424080766 424080768#0 104523976#1 262962063 12189051#0 -12189051#1 424080770#0 424080772#0 12119506#0 -12156992#1 -386547297#1 -424080772#2 -424080772#1 -424080761#1 -62623960 62623959#0 386547296#0 386547296#1 424080773#0 279870839#0 279870839#2 450844960#0 62623926#1 450844950#0 38502259#0.19 450844933#1 196207115#0 196207115#2 196207115#3 196355332#0 450844979#0.0 450844982#0.19 62203497#0 62203497#2 62203497#3 12134479#1 34685684#0 34685684#2 388533143#0 388533143#2 12140627#0 63060729#0 -264253834#2 12156992#4 12156992#5 12156992#6 12156992#7 12156992#8 12156992#9 -12114396#5 -12114396#3 -12114396#1 485017383#0 485017382#0 485017382#1 211575484#0 -12177521#3 -12177521#2 -12177521#1 32121111#12 32121111#14 -12187610#5 -12187610#2 -12187610#1 12150608#0 32121146#2 12117702#9 450844953#0 450844953#2 450844953#3 450844947#0 388533142#0 388533142#2 388533142#4 62623926#0 62623926#1 450844950#0 38502259#0.19 450844933#1 196207110#0 196355327#2 196355327#5 -196393940#0" probability="0.0344827586206897"/&gt;</t>
  </si>
  <si>
    <t xml:space="preserve">    &lt;route id="Router3_83" edges="31909473.0 31909473.857 62634019#1-AddedOnRampEdge 62634019#1 62634019#2.0 62634019#2.242 62634019#3-AddedOnRampEdge 62634019#3 62634019#3-AddedOffRampEdge 12111747.0 38502259#0.19 450844933#1 196207110#0 196207110#2" probability="0.0344827586206897"/&gt;</t>
  </si>
  <si>
    <t xml:space="preserve">    &lt;route id="Router3_91" edges="31909473.0 31909473.857 62634019#1-AddedOnRampEdge 62634019#1 62634019#2.0 62634019#2.242 62634019#3-AddedOnRampEdge 62634019#3 62634019#3-AddedOffRampEdge 12111747.0 59671945#0.30 62093806#0 104526265#0.14 424080766 424080768#0 104523976#1 262962063 12189051#0 -12189051#1 424080770#0 424080772#0 12119506#0 -12156992#1 -386547297#1 -424080772#2 -424080772#1 -424080761#1 -62623960 62623959#0 386547296#0 386547296#1 424080773#0 279870839#0 279870839#2 450844960#0 62623926#1 450844950#0 38502259#0.19 450844933#1 196207115#0 196207115#2 196207115#3 196355332#0 450844979#0.0 450844982#0.19 62203497#0 62203497#2 62203497#3 12134479#1 34685684#0 34685684#2 388533143#0 388533143#2 12140627#0 63060729#0 -264253834#2 12156992#4 12156992#5 12156992#6 12156992#7 12156992#8 12156992#9 -12114396#5 -12114396#3 -12114396#1 485017383#0 485017382#0 485017382#1 211575484#0 -12177521#3 -12177521#2 -12177521#1 32121111#12 32121111#14 -12187610#5 -12187610#2 -12187610#1 12150608#0 32121146#2 12117702#9 450844953#0 450844953#2 450844953#3 450844947#0 388533142#0 388533142#2 388533142#4 62623926#0 62623926#1 450844950#0 38502259#0.19 450844933#1 196207110#0 196207110#2" probability="0.0344827586206897"/&gt;</t>
  </si>
  <si>
    <t xml:space="preserve">    &lt;route id="Router3_92" edges="31909473.0 31909473.857 62634019#1-AddedOnRampEdge 62634019#1 62634019#2.0 62634019#2.242 62634019#3-AddedOnRampEdge 62634019#3 62634019#3-AddedOffRampEdge 12111747.0 59671945#0.30 62093806#0 104526265#0.14 424080766 424080768#0 104523976#1 262962063 12189051#0 -12189051#1 424080770#0 424080772#0 12119506#0 -12156992#1 -386547297#1 -424080772#2 -424080772#1 -424080761#1 -62623960 62623959#0 386547296#0 386547296#1 424080773#0 279870839#0 279870839#2 450844960#0 62623926#1 450844950#0 38502259#0.19 450844933#1 196207115#0 196207115#2 196207115#3 196355332#0 450844979#0.0 450844982#0.19 62203497#0 62203497#2 62203497#3 12134479#1 34685684#0 34685684#2 388533143#0 388533143#2 12140627#0 63060729#0 -264253834#2 12156992#4 12156992#5 12156992#6 12156992#7 12156992#8 12156992#9 -12114396#5 -12114396#3 -12114396#1 485017383#0 485017382#0 485017382#1 211575484#0 -12177521#3 -12177521#2 -12177521#1 32121111#12 32121111#14 -12187610#5 -12187610#2 -12187610#1 12150608#0 32121146#2 12117702#9 450844953#0 450844953#2 450844953#3 450844947#0 388533142#0 388533142#2 388533142#4 62623926#0 62623926#1 450844950#0 38502259#0.19 450844933#1 196207110#0 196355327#2 196355327#5 -196393940#0" probability="0.0344827586206897"/&gt;</t>
  </si>
  <si>
    <t xml:space="preserve">    &lt;route id="Router3_93" edges="31909473.0 31909473.857 62634019#1-AddedOnRampEdge 62634019#1 62634019#2.0 62634019#2.242 62634019#3-AddedOnRampEdge 62634019#3 62634019#3-AddedOffRampEdge 12111747.0 59671945#0.30 62093806#0 104526265#0.14 424080766 424080768#0 104523976#1 262962063 12189051#0 -12189051#1 424080770#0 424080772#0 12119506#0 -12156992#1 -386547297#1 -424080772#2 -424080772#1 -424080761#1 -62623960 62623959#0 386547296#0 386547296#1 424080773#0 279870839#0 279870839#2 450844960#0 62623926#1 450844950#0 38502259#0.19 450844933#1 196207115#0 196207115#2 196207115#3 196355332#0 450844979#0.0 450844982#0.19 62203497#0 62203497#2 62203497#3 12134479#1 34685684#0 34685684#2 388533143#0 388533143#2 12140627#0 63060729#0 -264253834#2 12156992#4 12156992#5 12156992#6 12156992#7 12156992#8 12156992#9 484953505 12148522#0 -12186058#4 -12186058#1 -386995465#1 -386995504#1 386995479#0 12157718#5 12157718#7 485017376 485017373#0 387422135#0 424769003#0 424769003#1 -30953396#1 -30953396#0 -424769006 -424769005 -424769002 -30953391 -43569848 -393884751 12159702 424764853 12149178#0 50189796 50189564 12149178#2 145605533#0 145605533#1-AddedOnRampEdge 145605533#1 145605511#1-AddedOnRampEdge 145605511#12 145605511#1.148" probability="0.0344827586206897"/&gt;</t>
  </si>
  <si>
    <t xml:space="preserve">    &lt;route id="Router3_94" edges="31909473.0 31909473.857 62634019#1-AddedOnRampEdge 62634019#1 62634019#2.0 62634019#2.242 62634019#3-AddedOnRampEdge 62634019#3 62634019#3-AddedOffRampEdge 12111747.0 59671945#0.30 62093806#0 104526265#0.14 424080766 424080768#0 104523976#1 262962063 12189051#0 -12189051#1 424080770#0 424080772#0 12119506#0 -12156992#1 -386547297#1 -424080772#2 -424080772#1 -424080761#1 -62623960 62623959#0 386547296#0 386547296#1 424080773#0 279870839#0 279870839#2 450844960#0 62623926#1 450844950#0 38502259#0.19 450844933#1 196207115#0 196207115#2 196207115#3 196355332#0 450844979#0.0 450844982#0.19 62203497#0 62203497#2 62203497#3 12134479#1 34685684#0 34685684#2 388533143#0 388533143#2 12140627#0 63060729#0 -264253834#2 12156992#4 12156992#5 12156992#6 12156992#7 12156992#8 12156992#9 484953505 12148522#0 485017381#0 485017381#1 -30953396#1 30953396#1 -424769003#1 -424769003#0 12157002#0 12157002#1 12157002#3 12157002#5 12114396#4 -12156992#10 -12156992#8 -12156992#7 -12156992#6 -12156992#5 -12156992#4 -12156992#3 -12156992#2 -12156992#1 -386547297#1 -424080772#2 -424080772#1 -262962065#1 -262962063 -424080764 -424080768#1 -424080766 -104526265#1 -262962068#1 -424080774 -32122059#1 -32122059#0 -196393940#2 -196393940#0" probability="0.0344827586206897"/&gt;</t>
  </si>
  <si>
    <t xml:space="preserve">    &lt;route id="Router3_95" edges="31909473.0 31909473.857 62634019#1-AddedOnRampEdge 62634019#1 62634019#2.0 62634019#2.242 62634019#3-AddedOnRampEdge 62634019#3 62634019#3-AddedOffRampEdge 12111747.0 59671945#0.30 62093806#0 104526265#0.14 424080766 424080768#0 104523976#1 262962063 12189051#0 -12189051#1 424080770#0 424080772#0 12119506#0 -12156992#1 -386547297#1 -424080772#2 -424080772#1 -424080761#1 -62623960 62623959#0 386547296#0 386547296#1 424080773#0 279870839#0 279870839#2 450844960#0 62623926#1 450844950#0 38502259#0.19 450844933#1 196207115#0 196207115#2 196207115#3 196355332#0 450844979#0.0 450844982#0.19 62203497#0 62203497#2 62203497#3 12134479#1 34685684#0 34685684#2 388533143#0 388533143#2 12140627#0 63060729#0 -264253834#2 12156992#4 12156992#5 12156992#6 12156992#7 12156992#8 12156992#9 484953505 12148522#0 485017381#0 485017381#1 -30953396#1 30953396#1 -424769003#1 -424769003#0 12157002#0 12157002#1 12157002#3 12157002#5 12114396#4 -12156992#10 -12156992#8 -12156992#7 -12156992#6 -12156992#5 -12156992#4 -12156992#3 -12156992#2 -12156992#1 -386547297#1 -424080772#2 -424080772#1 -262962065#1 -262962063 -424080764 -424080768#1 -424080766 -104526265#1 30953497#0 30953497#2 30953497#3 42706585#0 42706585#1 30953320 30953320-AddedOffRampEdge 104526277 30953215#1-AddedOnRampEdge 30953215#1 121643865#0 12110705 50715233#0 50715233#0-AddedOffRampEdge 50715233#1.0 62203285#14.24 gneE59.30.0.55 gneE59.30.0.0 43539373#0.0.292.17 gneE58 gneE56 gneE54.0 gneE62.13 gneE81.0 gneE6.0 424765883 43539378#0.15 43539378#1 -393884751 12159702 424764853 12149178#0 50189796 50189564 12149178#2 145605533#0 145605533#1-AddedOnRampEdge 145605533#1 145605511#1-AddedOnRampEdge 145605511#12 145605511#1.148" probability="0.0344827586206897"/&gt;</t>
  </si>
  <si>
    <t xml:space="preserve">    &lt;route id="Router3_96" edges="31909473.0 31909473.857 62634019#1-AddedOnRampEdge 62634019#1 62634019#2.0 62634019#2.242 62634019#3-AddedOnRampEdge 62634019#3 62634019#3-AddedOffRampEdge 12111747.0 59671945#0.30 62093806#0 104526265#0.14 424080766 424080768#0 104523976#1 262962063 12189051#0 -12189051#1 424080770#0 424080772#0 12119506#0 -12156992#1 -386547297#1 -424080772#2 -424080772#1 -424080761#1 -62623960 62623959#0 386547296#0 386547296#1 424080773#0 279870839#0 279870839#2 450844960#0 62623926#1 450844950#0 38502259#0.19 450844933#1 196207115#0 196207115#2 196207115#3 196355332#0 450844979#0.0 450844982#0.19 62203497#0 62203497#2 62203497#3 12134479#1 34685684#0 34685684#2 388533143#0 388533143#2 12140627#0 63060729#0 -264253834#2 12156992#4 12156992#5 12156992#6 12156992#7 12156992#8 12156992#9 484953505 12148522#0 485017381#0 485017381#1 -30953396#1 30953396#1 -424769003#1 -424769003#0 12157002#0 12157002#1 12186058#2 485017381#0 -12157718#12 -12157718#10 -12157718#9 -12157718#8 -12157718#6 386995479#1 386995479#2 386995479#3 386995479#4 386995479#5 386995479#6 386995490#0.0 12154359#1.20 12154359#2 -386995521#1 -386995521#0 43357814#0 43357814#1 42706837#4 42706837#5 12154359#5 12154359#6 386995531#1 386995531#2 386995531#3 386995531#4 12172918#2 gneE73 gneE75.0 gneE80.125" probability="0.0344827586206897"/&gt;</t>
  </si>
  <si>
    <t xml:space="preserve">    &lt;route id="Router3_103" edges="31909473.0 31909473.857 62634019#1-AddedOnRampEdge 62634019#1 62634019#2.0 62634019#2.242 62634019#3-AddedOnRampEdge 62634019#3 62634019#3-AddedOffRampEdge 12111747.0 62203498#0 62093806#0 104526265#0.14 424080766 424080768#0 104523976#1 262962063 424080770#0 -424080761#1 -62623960 62623959#0 386547296#0 386547296#1 424080773#0 279870839#0 279870839#2 450844960#0 62623926#1 450844950#0 38502259#0.19 450844933#1 196207110#0 196207110#2" probability="0.0344827586206897"/&gt;</t>
  </si>
  <si>
    <t xml:space="preserve">    &lt;route id="Router3_104" edges="31909473.0 31909473.857 62634019#1-AddedOnRampEdge 62634019#1 62634019#2.0 62634019#2.242 62634019#3-AddedOnRampEdge 62634019#3 62634019#3-AddedOffRampEdge 12111747.0 62203498#0 62093806#0 104526265#0.14 424080766 424080768#0 104523976#1 262962063 424080770#0 -424080761#1 -62623960 62623959#0 386547296#0 386547296#1 424080773#0 279870839#0 279870839#2 450844960#0 62623926#1 450844950#0 38502259#0.19 450844933#1 196207110#0 196355327#2 196355327#5 -196393940#0" probability="0.0344827586206897"/&gt;</t>
  </si>
  <si>
    <t xml:space="preserve">    &lt;route id="Router3_112" edges="31909473.0 31909473.857 62634019#1-AddedOnRampEdge 62634019#1 62634019#2.0 62634019#2.242 62634019#3-AddedOnRampEdge 62634019#3 62634019#3-AddedOffRampEdge 30953251#1.0 30953251#1-AddedOffRampEdge 12112003 30953215#1-AddedOnRampEdge 30953215#1 121643865#0 12110705 50715233#0 50715233#0-AddedOffRampEdge 50715233#1.0 62203285#14.24 gneE59.30.0.55 gneE59.30.0.0 gneE59.0.0 gneE59.0.12 62203360#0 12159135 12149408#0 49914077 424767578 43569819 387422128#1 43569827#0 43569827#1 43569827#2 43569827#7 43569848 30953391 424769002 424769005 424769006 424769004 30953396#1 -424769003#1 -424769003#0 -485017374 42706828#0 42706828#2 12182281#0 12182281#3 12182281#5 12182281#6 386995507#4 386995507#5 386995507#6 12152013#1 12152013#2 -12175537#6 -12175537#5 -12175537#4 12182281#9 12182281#10 -388756839#1 -388756839#0 -50033059#4 -50033059#3 -50033059#2 -50033059#1 -50033558#8 -51155368#3 121319046 12188656 -50033558#2 12203859#0 12203859#1 42706831#4 42706831#5 42706831#6 42706874#0 42706874#2 12144152#0 12144152#2 450844953#0 450844953#2 450844953#3 450844947#0 388533142#0 388533142#2 388533142#4 62623926#0 62623926#1 450844950#0 12189453#0.0.0 450844982#0.19 62203497#0 62203497#2 62203497#3 12134479#1 34685684#0 34685684#2 388533143#0 388533143#2 12140627#0 63060729#0 -264253834#2 12156992#4 12156992#5 12156992#6 12156992#7 12156992#8 12156992#9 -12114396#5 -12114396#3 -12114396#1 485017383#0 485017382#0 485017382#1 211575484#0 -12177521#3 -12177521#2 -12177521#1 32121111#12 32121111#14 -12187610#5 -12187610#2 -12187610#1 12150608#0 32121146#2 12117702#9 450844953#0 450844953#2 450844953#3 450844947#0 388533142#0 388533142#2 388533142#4 62623926#0 62623926#1 450844950#0 38502259#0.19 450844933#1 196207110#0 196207110#2" probability="0.0344827586206897"/&gt;</t>
  </si>
  <si>
    <t xml:space="preserve">    &lt;route id="Router3_117" edges="31909473.0 31909473.857 62634019#1-AddedOnRampEdge 62634019#1 62634019#2.0 62634019#2.242 62634019#3-AddedOnRampEdge 62634019#3 62634019#3-AddedOffRampEdge 30953251#1.0 30953251#1-AddedOffRampEdge 12112003 30953215#1-AddedOnRampEdge 30953215#1 121643865#0 12110705 50715233#0 50715233#0-AddedOffRampEdge 50715233#1.0 62203285#14.24 gneE59.30.0.55 gneE59.30.0.0 gneE59.0.0 gneE59.0.12 62203360#0 291433361#0 132508433.0 -gneE6.0 gneE81.299.0 gneE81.299.79 gneE81.299.145 -gneE8 12154353#0 196393941#1 196393941#2 28533986 43539369#2 12178843#2 12178843#3 49960982#2 43569828#0 387422128#1 43569827#0 43569827#1 43569827#2 43569827#7 43569848 30953391 424769002 424769005 424769006 424769004 30953396#1 387422132#0 387422132#1 486653633#0 484953506#3 484953506#4 12157002#0 12157002#1 12157002#3 12157002#5 12114396#4 -12156992#10 -12156992#8 -12156992#7 -12156992#6 -12156992#5 -12156992#4 -12156992#3 -12156992#2 -12156992#1 -386547297#1 -424080772#2 -424080772#1 -262962065#1 -262962063 -424080764 -424080768#1 -424080766 -104526265#1 30953497#0 30953497#2 30953497#3 42706585#0 42706585#1 30953320 30953320-AddedOffRampEdge 104526277 30953215#1-AddedOnRampEdge 30953215#1 121643865#0 12110705 50715233#0 50715233#0-AddedOffRampEdge 50715233#1.0 62203285#14.24 gneE59.30.0.55 gneE59.30.0.0 gneE59.0.0 gneE59.0.12 62203360#0 12159135 12149408#0 49914077 424767578 43569819 387422128#1 43569827#0 43569827#1 43569827#2 43569827#7 43569848 30953391 424769002 424769005 424769006 424769004 30953396#1 -424769003#1 -424769003#0 -485017374 42706828#0 42706828#2 12182281#0 12182281#3 12182281#5 12182281#6 386995507#4 386995507#5 386995507#6 12152013#1 12152013#2 -12175537#6 -12175537#5 -12175537#4 12182281#9 12182281#10 -388756839#1 -388756839#0 -50033059#4 -50033059#3 -50033059#2 -50033059#1 -50033558#8 -51155368#3 121319046 12188656 -50033558#2 12203859#0 12203859#1 42706831#4 42706831#5 42706831#6 42706874#0 42706874#2 12144152#0 12144152#2 450844953#0 450844953#2 450844953#3 450844947#0 388533142#0 388533142#2 388533142#4 62623926#0 62623926#1 450844950#0 12189453#0.0.0 450844982#0.19 62203497#0 62203497#2 62203497#3 12134479#1 34685684#0 34685684#2 388533143#0 388533143#2 12140627#0 63060729#0 -264253834#2 12156992#4 12156992#5 12156992#6 12156992#7 12156992#8 12156992#9 -12114396#5 -12114396#3 -12114396#1 485017383#0 485017382#0 485017382#1 211575484#0 -12177521#3 -12177521#2 -12177521#1 32121111#12 32121111#14 -12187610#5 -12187610#2 -12187610#1 12150608#0 32121146#2 12117702#9 450844953#0 450844953#2 450844953#3 450844947#0 388533142#0 388533142#2 388533142#4 62623926#0 62623926#1 450844950#0 38502259#0.19 450844933#1 196207110#0 196207110#2" probability="0.0344827586206897"/&gt;</t>
  </si>
  <si>
    <t xml:space="preserve">    &lt;route id="Router3_2" edges="-gneE80.0 -gneE80.17 -gneE41 gneE44 -388756838#2 -388756838#1 -388756838#0 42706817#0 386547310 gneE69 -388756838#2 -388756838#1 -388756838#0 -388756839#1 -388756839#0 -194358837#2 -194358837#0 194358838#0 194358838#1 194358838#2 194358838#3 387422145#0 387422145#3 386995499#0 386995499#2 -51155368#13 -51155368#10 -51155368#7 121319040#0 121319040#1 386995507#0 386995507#1 386995507#2 386995507#3 12182281#7 42706837#0 42706837#1 42706837#2 42706837#3 43357814#2 43357814#3 386995526#0 386995526#1 -51050425#4 -51050425#3 -51050425#2 12162659#0 12162659#1 -12175537#4 -12175537#3 -12175537#2 -12175537#1 -50033059#3 -50033059#2 -386995514#7 -12199713#2 12177498 42706833#2 51155368#0 -50033558#5 -50033558#3 -50033558#2 -62105579 -32121234#1 -32121234#0 42706874#0 42706874#2 55179414#0 55179413#0 424769182 -450827405#2 -450827400#2 -450827382 -450827385#1 -450827391#1 -450827381 -450827397#1 12180696#0 59435515#1 59435515#2 59435515#3 59435515#4 424801338#1 12117702#0 12117702#4 12117702#7 -32121146#3 12202008#2.0 12202008#2.171 62646499#2 450827424#0 450827405#0 262962062 -55179413#2 12187610#0 60185970#0 60185970#2 12149571#1 12187610#3 50033558#2 50033558#3 50033558#4 50033558#6 42706833#0 42706833#2 12189876#0 12189876#2 484953508#1 60185970#0 60185970#2 12149571#1 12187610#3 50033558#2 -12188656 -121319046 -42706825#7 12199713#0 12199713#1 -386995514#6 -386995514#5 -386995514#4 -386995514#3 194358817#0 194358817#1 194358817#2 12114363#0 12114363#1 -50033059#4 12175537#0 12175537#2 12175537#3 12175537#4 12175537#5 12175537#6 12175537#7 12175537#8 12175537#9 12175537#10 12175537#11 12175537#12 12155177#1 12155177#2 387422153#1 gneE73 gneE75.0 gneE80.125" probability="0.0344827586206897"/&gt;</t>
  </si>
  <si>
    <t xml:space="preserve">    &lt;route id="Router3_3" edges="-gneE80.0 -gneE80.17 -gneE41 gneE44 -388756838#2 -388756838#1 -388756838#0 -388756839#1 -388756839#0 -194358837#2 -194358837#0 194358838#0 -386995507#1 12157718#3 32121111#10 386995486#1 386995479#0 12157718#5 12157718#7 485017376 485017373#0 387422135#0 424769003#0 424769003#1 -30953396#1 -30953396#0 -424769006 -424769005 -424769002 -30953391 -43569848 -393884751 12159702 424764853 12149178#0 50189796 50189564 12149178#2 145605533#0 145605533#1-AddedOnRampEdge 145605533#1 145605511#1-AddedOnRampEdge 145605511#12 145605511#1.148" probability="0.0344827586206897"/&gt;</t>
  </si>
  <si>
    <t>&lt;routeDistribution id="I-76-SOUTH-to-UNI-WB-2015-RouteProbe"&gt;</t>
  </si>
  <si>
    <t>&lt;routeDistribution id="SGst-Bridge-EB-RouteProbe"&gt;</t>
  </si>
  <si>
    <t xml:space="preserve">    &lt;route id="Router3_48" edges="196393940#0 62203285#0 62203285#2 62203285#3 62203285#5 42706664#7 42706664#8 12186741#4 12186741#5 12142723#0 12142723#3 12142723#4 12187745 32118649#2 32118649#3 -43538931#1 -43538931#0 196207115#3 196355332#0 450844979#0.0 450844982#0.19 62203497#0 62203497#2 62203497#3 12134479#1 34685684#0 34685684#2 450844947#0 388533142#0 388533142#2 388533142#4 62623926#0 62623926#1 450844950#0 12189453#0.0.0 450844982#0.19 62203497#0 62203497#2 62203497#3 12134479#1 34685684#0 34685684#2 388533143#0 388533143#2 12140627#0 63060729#0 -264253834#2 12156992#4 12156992#5 12156992#6 12156992#7 12156992#8 12156992#9 484953505 12148522#0 485017381#0 485017381#1 -30953396#1 -30953396#0 -424769006 -424769005 -424769002 -30953391 -43569848 -393884751 12159702 424764853 12149178#0 50189796 50189564 12149178#2 145605533#0 145605533#1-AddedOnRampEdge 145605533#1 145605511#1-AddedOnRampEdge 145605511#12 145605511#1.148" probability="0.0909090909090909"/&gt;</t>
  </si>
  <si>
    <t xml:space="preserve">    &lt;route id="Router3_82" edges="31909473.0 31909473.857 62634019#1-AddedOnRampEdge 62634019#1 62634019#2.0 62634019#2.242 62634019#3-AddedOnRampEdge 62634019#3 62634019#3-AddedOffRampEdge 12111747.0 12189453#0.0.0 450844982#0.19 62203497#0 62203497#2 62203497#3 12134479#1 34685684#0 34685684#2 450844947#0 388533142#0 388533142#2 388533142#4 62623926#0 62623926#1 450844950#0 12189453#0.0.0 450844982#0.19 62203497#0 62203497#2 62203497#3 12134479#1 34685684#0 34685684#2 388533143#0 388533143#2 12140627#0 63060729#0 -264253834#2 12156992#4 12156992#5 12156992#6 12156992#7 12156992#8 12156992#9 484953505 12148522#0 -12186058#4 -12186058#1 -386995465#1 -386995504#1 386995479#0 12157718#5 12157718#7 485017376 485017373#0 387422135#0 424769003#0 424769003#1 -30953396#1 -30953396#0 -424769006 -424769005 -424769002 -30953391 -43569848 -393884751 12159702 424764853 12149178#0 50189796 50189564 12149178#2 145605533#0 145605533#1-AddedOnRampEdge 145605533#1 145605511#1-AddedOnRampEdge 145605511#12 145605511#1.148" probability="0.0909090909090909"/&gt;</t>
  </si>
  <si>
    <t xml:space="preserve">    &lt;route id="Router3_93" edges="31909473.0 31909473.857 62634019#1-AddedOnRampEdge 62634019#1 62634019#2.0 62634019#2.242 62634019#3-AddedOnRampEdge 62634019#3 62634019#3-AddedOffRampEdge 12111747.0 59671945#0.30 62093806#0 104526265#0.14 424080766 424080768#0 104523976#1 262962063 12189051#0 -12189051#1 424080770#0 424080772#0 12119506#0 -12156992#1 -386547297#1 -424080772#2 -424080772#1 -424080761#1 -62623960 62623959#0 386547296#0 386547296#1 424080773#0 279870839#0 279870839#2 450844960#0 62623926#1 450844950#0 38502259#0.19 450844933#1 196207115#0 196207115#2 196207115#3 196355332#0 450844979#0.0 450844982#0.19 62203497#0 62203497#2 62203497#3 12134479#1 34685684#0 34685684#2 388533143#0 388533143#2 12140627#0 63060729#0 -264253834#2 12156992#4 12156992#5 12156992#6 12156992#7 12156992#8 12156992#9 484953505 12148522#0 -12186058#4 -12186058#1 -386995465#1 -386995504#1 386995479#0 12157718#5 12157718#7 485017376 485017373#0 387422135#0 424769003#0 424769003#1 -30953396#1 -30953396#0 -424769006 -424769005 -424769002 -30953391 -43569848 -393884751 12159702 424764853 12149178#0 50189796 50189564 12149178#2 145605533#0 145605533#1-AddedOnRampEdge 145605533#1 145605511#1-AddedOnRampEdge 145605511#12 145605511#1.148" probability="0.0909090909090909"/&gt;</t>
  </si>
  <si>
    <t xml:space="preserve">    &lt;route id="Router3_102" edges="31909473.0 31909473.857 62634019#1-AddedOnRampEdge 62634019#1 62634019#2.0 62634019#2.242 62634019#3-AddedOnRampEdge 62634019#3 62634019#3-AddedOffRampEdge 12111747.0 62203498#0 62093806#0 104526265#0.14 424080766 424080768#0 104523976#1 262962063 424080770#0 -424080761#1 -62623960 62623959#0 386547296#0 386547296#1 424080773#0 104523976#1 262962063 424080770#0 424080772#0 424080772#2 386547297#0 424080771#0 424080767#0 386547298#0 424769177 424080769#0 55179414#0 55179413#0 424769182 -450827405#2 -450827400#2 -450827382 -450827385#1 -450827391#1 -450827381 -450827397#1 12180696#0 59435515#1 59435515#2 59435515#3 59435515#4 424801338#1 12117702#0 12117702#4 12117702#7 -32121146#3 12202008#2.0 12202008#2.171 62646499#2 450827424#0 450827405#0 262962062 -55179413#2 12187610#0 12187610#2 12187610#3 -62105579 12186909#0 12186909#1 12186909#2 12186909#4 12186909#6 386995479#0 12157718#5 12157718#7 485017376 485017373#0 387422135#0 424769003#0 424769003#1 -30953396#1 -30953396#0 -424769006 -424769005 -424769002 -30953391 -43569848 -393884751 12159702 424764853 12149178#0 50189796 50189564 12149178#2 145605533#0 145605533#1-AddedOnRampEdge 145605533#1 145605511#1-AddedOnRampEdge 145605511#12 145605511#1.148" probability="0.0909090909090909"/&gt;</t>
  </si>
  <si>
    <t xml:space="preserve">    &lt;route id="Router3_126" edges="49887339#0.596 49887339#0-AddedOffRampEdge 12113482 424769007 -424769002 -30953391 -43569848 -43569827#9 -43569827#6 -43569827#1 -43569827#0 28555332 387422130#1 132508717#0 12149210#1 12151897#1 196393941#6 196393941#7 196393941#8 gneE87 196393974#0 388756841#0 49914076#0 12159673#0 12159673#1 393884751 43569848 30953391 424769002 424769005 424769006 424769004 30953396#1 -424769003#1 -424769003#0 -485017374 42706828#0 42706828#2 12182281#0 12185366#7 12185366#9 387422145#0 12157718#7 12157718#9 12157718#10 12157718#12 485017381#1 -30953396#1 -30953396#0 -424769006 -424769005 -424769002 -30953391 -43569848 -393884751 12159702 424764853 12149178#0 50189796 50189564 12149178#2 145605533#0 145605533#1-AddedOnRampEdge 145605533#1 145605511#1-AddedOnRampEdge 145605511#12 145605511#1.148" probability="0.0909090909090909"/&gt;</t>
  </si>
  <si>
    <t xml:space="preserve">    &lt;route id="Router3_133" edges="49887339#0.596 49887339#0-AddedOffRampEdge 12113482 424769007 424769005 424769006 424769004 30953396#1 -30953396#1 -30953396#0 -424769006 -424769005 -424769002 12113092 51758697#1-AddedOnRampEdge 51758697#1" probability="0.0909090909090909"/&gt;</t>
  </si>
  <si>
    <t xml:space="preserve">    &lt;route id="Router3_136" edges="49887339#0.596 49887339#0-AddedOffRampEdge 12113482 424769007 424769005 424769006 424769004 30953396#1 -30953396#1 30953396#1 -424769003#1 -424769003#0 12157002#0 12157002#1 12157002#3 12157002#5 12114396#4 -12156992#10 -12156992#8 -12156992#7 -12156992#6 -12156992#5 -12156992#4 -12156992#3 -12156992#2 -12156992#1 -386547297#1 -424080772#2 -424080772#1 -262962065#1 -262962063 -424080764 -424080768#1 -424080766 -104526265#1 450844956#2 12189453#0.0.0 450844982#0.19 62203497#0 62203497#2 62203497#3 12134479#1 34685684#0 34685684#2 450844947#0 388533142#0 388533142#2 388533142#4 62623926#0 62623926#1 450844950#0 12189453#0.0.0 450844982#0.19 62203497#0 62203497#2 62203497#3 12134479#1 34685684#0 34685684#2 388533143#0 388533143#2 12140627#0 63060729#0 -264253834#2 12156992#4 12156992#5 12156992#6 12156992#7 12156992#8 12156992#9 484953505 12148522#0 485017381#0 485017381#1 -30953396#1 -30953396#0 -424769006 -424769005 -424769002 -30953391 -43569848 -393884751 12159702 424764853 12149178#0 50189796 50189564 12149178#2 145605533#0 145605533#1-AddedOnRampEdge 145605533#1 145605511#1-AddedOnRampEdge 145605511#12 145605511#1.148" probability="0.0909090909090909"/&gt;</t>
  </si>
  <si>
    <t xml:space="preserve">    &lt;route id="Router3_1" edges="-gneE80.0 -gneE80.17 -gneE41 gneE44 -388756838#2 -388756838#1 -388756838#0 42706817#0 386547310 gneE69 -388756838#2 -388756838#1 -388756838#0 -388756839#1 -388756839#0 -194358837#2 -194358837#0 194358838#0 194358838#1 194358838#2 194358838#3 387422145#0 387422145#3 386995499#0 386995499#2 -51155368#13 -51155368#10 -51155368#7 121319040#0 121319040#1 386995507#0 386995507#1 386995507#2 386995507#3 12182281#7 42706837#0 42706837#1 42706837#2 42706837#3 43357814#2 43357814#3 386995526#0 386995526#1 -51050425#4 -51050425#3 -51050425#2 12162659#0 12162659#1 -12175537#4 -12175537#3 -12175537#2 -12175537#1 -50033059#3 -50033059#2 -386995514#7 -12199713#2 12177498 42706833#2 51155368#0 -50033558#5 -50033558#3 -50033558#2 -62105579 -32121234#1 -32121234#0 42706874#0 42706874#2 55179414#0 55179413#0 424769182 -450827405#2 -450827400#2 -450827382 -450827385#1 -450827391#1 -450827381 -450827397#1 12180696#0 59435515#1 59435515#2 59435515#3 59435515#4 424801338#1 12117702#0 12117702#4 12117702#7 -32121146#3 12202008#2.0 12202008#2.171 62646499#2 450827424#0 450827405#0 262962062 -55179413#2 12187610#0 12187610#2 12187610#3 -62105579 12186909#0 12186909#1 12186909#2 51155368#11 42706831#0 42706831#4 42706831#5 42706831#6 32121234#0 32121234#1 32121234#2 50033558#2 50033558#3 50033558#4 50033558#6 50033058#0 386995514#9 386995486#0 32121111#11 -12177521#0 -121319040#0 -51155368#5 -50033558#5 -50033558#3 -12188656 -121319046 -42706825#7 -42706825#4 -42706825#3 -42706825#1 194358815 194358817#0 194358817#1 194358817#2 12114363#0 12114363#1 -50033059#4 12175537#0 12175537#2 12175537#3 12175537#4 12175537#5 12175537#6 12175537#7 -43357814#2 42706837#4 42706837#5 42706837#6 42706837#7 42706837#8 42706837#9 12172918#0 12172918#1 12172918#2 gneE73 gneE75.0 gneE80.125" probability="0.0909090909090909"/&gt;</t>
  </si>
  <si>
    <t xml:space="preserve">    &lt;route id="Router3_8" edges="-gneE80.0 -gneE80.17 -gneE41 gneE44 -388756838#2 -388756838#1 -388756838#0 42706817#0 386547310 gneE69 -388756838#2 -388756838#1 -388756838#0 -388756839#1 -388756839#0 -194358837#2 -194358837#0 194358838#0 194358838#1 194358838#2 194358838#3 387422145#0 387422145#3 386995499#0 386995499#2 -51155368#13 -51155368#10 -51155368#7 121319040#0 121319040#1 386995507#0 386995507#1 386995507#2 386995507#3 12182281#7 42706837#0 42706837#1 42706837#2 42706837#3 43357814#2 43357814#3 386995526#0 386995526#1 -51050425#4 -51050425#3 -51050425#2 12162659#0 12162659#1 -12175537#4 -12175537#3 -12175537#2 -12175537#1 -50033059#3 -50033059#2 -386995514#7 -12199713#2 12177498 42706833#2 51155368#0 -50033558#5 -50033558#3 -50033558#2 -62105579 -32121234#1 -32121234#0 42706874#0 42706874#2 55179414#0 55179413#0 424769182 -450827405#2 -450827400#2 -450827382 -450827385#1 -450827391#1 -450827381 -450827397#1 12180696#0 59435515#1 59435515#2 59435515#3 59435515#4 424801338#1 12117702#0 12117702#4 12117702#7 -32121146#3 -32121146#1 -424769197#2 12144152#0 12144152#2 12144152#4 12144152#6 12157151#0 12166276#2 -32121146#5 12117702#9 450844953#0 450844953#2 450844953#3 450844947#0 388533142#0 388533142#2 388533142#4 62623926#0 62623926#1 450844950#0 38502259#0.19 450844933#1 196207110#0 196207110#2" probability="0.0909090909090909"/&gt;</t>
  </si>
  <si>
    <t>&lt;routeDistribution id="34thSt_SGSt_to_Poweltonave-SB08-RouteProbe"&gt;</t>
  </si>
  <si>
    <t xml:space="preserve">    &lt;route id="Router3_6" edges="-gneE80.0 -gneE80.17 -gneE41 gneE44 -388756838#2 -388756838#1 -388756838#0 42706817#0 386547310 gneE69 -388756838#2 -388756838#1 -388756838#0 -388756839#1 -388756839#0 -194358837#2 -194358837#0 194358838#0 194358838#1 194358838#2 194358838#3 387422145#0 387422145#3 386995499#0 386995499#2 -51155368#13 -51155368#10 -51155368#7 121319040#0 121319040#1 386995507#0 386995507#1 386995507#2 386995507#3 12182281#7 42706837#0 42706837#1 42706837#2 42706837#3 43357814#2 43357814#3 386995526#0 386995526#1 -51050425#4 -51050425#3 -51050425#2 12162659#0 12162659#1 -12175537#4 -12175537#3 -12175537#2 -12175537#1 -50033059#3 -50033059#2 -386995514#7 -12199713#2 12177498 42706833#2 51155368#0 -50033558#5 -50033558#3 -50033558#2 -62105579 -32121234#1 -32121234#0 42706874#0 42706874#2 55179414#0 55179413#0 424769182 -450827405#2 -450827400#2 -450827382 -450827385#1 -450827391#1 -450827381 -450827397#1 12180696#0 59435515#1 59435515#2 59435515#3 59435515#4 424801338#1 12117702#0 12117702#4 12117702#7 -32121146#3 -32121146#1 -424769197#2 12144152#0 12144152#2 12144152#4 12144152#6 12157151#0 12166276#2 -32121146#5 12117702#9 450844953#0 450844953#2 450844953#3 450844947#0 388533142#0 388533142#2 12189045#0 62623987#0 62623987#1 -12142631 12202018 62623986#1 62623986#2 -12189051#1 -262962063 -424080764 -424080768#1 -424080766 -104526265#1 30953497#0 30953497#2 30953497#3 42706585#0 42706585#1 30953320 30953320-AddedOffRampEdge 104526277 30953215#1-AddedOnRampEdge 30953215#1 121643865#0 121643865#1 145605511#1-AddedOnRampEdge 145605511#12 145605511#1.148" probability="0.04"/&gt;</t>
  </si>
  <si>
    <t xml:space="preserve">    &lt;route id="Router3_7" edges="-gneE80.0 -gneE80.17 -gneE41 gneE44 -388756838#2 -388756838#1 -388756838#0 42706817#0 386547310 gneE69 -388756838#2 -388756838#1 -388756838#0 -388756839#1 -388756839#0 -194358837#2 -194358837#0 194358838#0 194358838#1 194358838#2 194358838#3 387422145#0 387422145#3 386995499#0 386995499#2 -51155368#13 -51155368#10 -51155368#7 121319040#0 121319040#1 386995507#0 386995507#1 386995507#2 386995507#3 12182281#7 42706837#0 42706837#1 42706837#2 42706837#3 43357814#2 43357814#3 386995526#0 386995526#1 -51050425#4 -51050425#3 -51050425#2 12162659#0 12162659#1 -12175537#4 -12175537#3 -12175537#2 -12175537#1 -50033059#3 -50033059#2 -386995514#7 -12199713#2 12177498 42706833#2 51155368#0 -50033558#5 -50033558#3 -50033558#2 -62105579 -32121234#1 -32121234#0 42706874#0 42706874#2 55179414#0 55179413#0 424769182 -450827405#2 -450827400#2 -450827382 -450827385#1 -450827391#1 -450827381 -450827397#1 12180696#0 59435515#1 59435515#2 59435515#3 59435515#4 424801338#1 12117702#0 12117702#4 12117702#7 -32121146#3 -32121146#1 -424769197#2 12144152#0 12144152#2 12144152#4 12144152#6 12157151#0 12166276#2 -32121146#5 12117702#9 450844953#0 450844953#2 450844953#3 450844947#0 388533142#0 388533142#2 12189045#0 62623987#0 62623987#1 -12142631 12202018 62623986#1 62623986#2 -12189051#1 -262962063 -424080764 -424080768#1 -424080766 -104526265#1 30953497#0 30953497#2 35920555#0.0 35920555#0.75 62203066 43331031.0 43331031.436 42706585#0 42706585#1 30953320 30953320-AddedOffRampEdge 30953315 104526276-AddedOnRampEdge 104526276 51758697#0 51758697#1-AddedOnRampEdge 51758697#1" probability="0.04"/&gt;</t>
  </si>
  <si>
    <t xml:space="preserve">    &lt;route id="Router3_8" edges="-gneE80.0 -gneE80.17 -gneE41 gneE44 -388756838#2 -388756838#1 -388756838#0 42706817#0 386547310 gneE69 -388756838#2 -388756838#1 -388756838#0 -388756839#1 -388756839#0 -194358837#2 -194358837#0 194358838#0 194358838#1 194358838#2 194358838#3 387422145#0 387422145#3 386995499#0 386995499#2 -51155368#13 -51155368#10 -51155368#7 121319040#0 121319040#1 386995507#0 386995507#1 386995507#2 386995507#3 12182281#7 42706837#0 42706837#1 42706837#2 42706837#3 43357814#2 43357814#3 386995526#0 386995526#1 -51050425#4 -51050425#3 -51050425#2 12162659#0 12162659#1 -12175537#4 -12175537#3 -12175537#2 -12175537#1 -50033059#3 -50033059#2 -386995514#7 -12199713#2 12177498 42706833#2 51155368#0 -50033558#5 -50033558#3 -50033558#2 -62105579 -32121234#1 -32121234#0 42706874#0 42706874#2 55179414#0 55179413#0 424769182 -450827405#2 -450827400#2 -450827382 -450827385#1 -450827391#1 -450827381 -450827397#1 12180696#0 59435515#1 59435515#2 59435515#3 59435515#4 424801338#1 12117702#0 12117702#4 12117702#7 -32121146#3 -32121146#1 -424769197#2 12144152#0 12144152#2 12144152#4 12144152#6 12157151#0 12166276#2 -32121146#5 12117702#9 450844953#0 450844953#2 450844953#3 450844947#0 388533142#0 388533142#2 388533142#4 62623926#0 62623926#1 450844950#0 38502259#0.19 450844933#1 196207110#0 196207110#2" probability="0.04"/&gt;</t>
  </si>
  <si>
    <t xml:space="preserve">    &lt;route id="Router3_9" edges="-gneE80.0 -gneE80.17 -gneE41 gneE44 -388756838#2 -388756838#1 -388756838#0 42706817#0 386547310 gneE69 -388756838#2 -388756838#1 -388756838#0 -388756839#1 -388756839#0 -194358837#2 -194358837#0 194358838#0 194358838#1 194358838#2 194358838#3 387422145#0 387422145#3 386995499#0 386995499#2 -51155368#13 -51155368#10 -51155368#7 121319040#0 121319040#1 386995507#0 386995507#1 386995507#2 386995507#3 12182281#7 42706837#0 42706837#1 42706837#2 42706837#3 43357814#2 43357814#3 386995526#0 386995526#1 -51050425#4 -51050425#3 -51050425#2 12162659#0 12162659#1 -12175537#4 -12175537#3 -12175537#2 -12175537#1 -50033059#3 -50033059#2 -386995514#7 -12199713#2 12177498 42706833#2 51155368#0 -50033558#5 -50033558#3 -50033558#2 -62105579 -32121234#1 -32121234#0 42706874#0 42706874#2 55179414#0 55179413#0 424769182 -450827405#2 -450827400#2 -450827382 -450827385#1 -450827391#1 -450827381 -450827397#1 12180696#0 59435515#1 59435515#2 59435515#3 59435515#4 424801338#1 12117702#0 12117702#4 12117702#7 -32121146#3 12202008#2.0 12202008#2.171 62646499#2 450827424#0 450827405#0 262962062 -55179413#2 12187610#0 12187610#2 12187610#3 -62105579 12186909#0 12186909#1 12186909#2 12186909#4 12177521#2 12177521#3 211575484#1 485017379 -386995465#1 -386995504#1 -386995486#1 32121111#11 -12177521#0 -121319040#0 -51155368#5 -50033558#5 -50033558#3 -12188656 -121319046 -42706825#7 -42706825#4 -42706825#3 -42706825#1 194358815 194358817#0 194358817#1 194358817#2 12114363#0 12114363#1 -50033059#4 12175537#0 12175537#2 485017371#0 484953507#1 12182281#8 12182281#9 12167232#0 12167232#1 12167232#2 12152013#4 51050425#4 386995537 386995551 387422150#0 387422150#1 386995531#3 386995531#4 12172918#2 gneE73 gneE75.0 gneE80.125" probability="0.04"/&gt;</t>
  </si>
  <si>
    <t xml:space="preserve">    &lt;route id="Router3_10" edges="-gneE80.0 -gneE80.17 -gneE41 gneE44 -388756838#2 -388756838#1 -388756838#0 42706817#0 386547310 gneE69 -388756838#2 -388756838#1 -388756838#0 -388756839#1 -388756839#0 -194358837#2 -194358837#0 194358838#0 194358838#1 194358838#2 194358838#3 387422145#0 387422145#3 386995499#0 386995499#2 -51155368#13 -51155368#10 -51155368#7 121319040#0 121319040#1 386995507#0 386995507#1 386995507#2 386995507#3 12182281#7 42706837#0 42706837#1 42706837#2 42706837#3 43357814#2 43357814#3 386995526#0 386995526#1 -51050425#4 -51050425#3 -51050425#2 12162659#0 12162659#1 -12175537#4 -12175537#3 -12175537#2 -12175537#1 -50033059#3 -50033059#2 -386995514#7 -12199713#2 12177498 42706833#2 51155368#0 -50033558#5 -50033558#3 -50033558#2 -62105579 -32121234#1 -32121234#0 42706874#0 42706874#2 55179414#0 55179413#0 424769182 -450827405#2 -450827400#2 -450827382 -450827385#1 -450827391#1 -450827381 -450827397#1 12180696#0 59435515#1 59435515#2 59435515#3 59435515#4 424801338#1 12117702#0 12117702#4 12117702#7 -32121146#3 12202008#2.0 12202008#2.171 62646499#2 450827424#0 450827405#0 262962062 -55179413#2 12187610#0 12187610#2 12187610#3 -62105579 12186909#0 12186909#1 12186909#2 12186909#4 12186909#6 386995479#0 12157718#5 12157718#7 485017376 485017373#0 387422135#0 424769003#0 424769003#1 -30953396#1 -30953396#0 -424769006 -424769005 -424769002 -30953391 -43569848 -393884751 12159702 424764853 12149178#0 50189796 50189564 12149178#2 145605533#0 145605533#1-AddedOnRampEdge 145605533#1 145605511#1-AddedOnRampEdge 145605511#12 145605511#1.148" probability="0.04"/&gt;</t>
  </si>
  <si>
    <t xml:space="preserve">    &lt;route id="Router3_11" edges="-gneE80.0 -gneE80.17 -gneE41 gneE44 -388756838#2 -388756838#1 -388756838#0 42706817#0 386547310 gneE69 -388756838#2 -388756838#1 -388756838#0 -388756839#1 -388756839#0 -194358837#2 -194358837#0 194358838#0 194358838#1 194358838#2 194358838#3 387422145#0 387422145#3 386995499#0 386995499#2 -51155368#13 -51155368#10 -51155368#7 121319040#0 121319040#1 386995507#0 386995507#1 386995507#2 386995507#3 12182281#7 42706837#0 42706837#1 42706837#2 42706837#3 43357814#2 43357814#3 386995526#0 386995526#1 -51050425#4 -51050425#3 -51050425#2 12162659#0 12162659#1 -12175537#4 -12175537#3 -12175537#2 -12175537#1 -50033059#3 -50033059#2 -386995514#7 -12199713#2 12177498 42706833#2 51155368#0 -50033558#5 -50033558#3 -50033558#2 -62105579 -32121234#1 -32121234#0 42706874#0 42706874#2 55179414#0 55179413#0 424769182 -450827405#2 -450827400#2 -450827382 -450827385#1 -450827391#1 -450827381 -450827397#1 12180696#0 59435515#1 59435515#2 59435515#3 59435515#4 424801338#1 12117702#0 12117702#4 12117702#7 -32121146#3 12202008#2.0 12202008#2.171 62646499#2 450827424#0 450827405#0 262962062 -55179413#2 12187610#0 12187610#2 12187610#3 -62105579 12186909#0 12186909#1 12186909#2 12186909#4 12186909#6 386995479#0 12157718#5 12157718#7 485017376 485017373#0 387422135#0 424769003#0 424769003#1 -30953396#1 30953396#1 -424769003#1 -424769003#0 12157002#0 12157002#1 12186058#2 485017381#0 -12157718#12 -12157718#10 -12157718#9 -12157718#8 -12157718#6 386995479#1 386995479#2 386995479#3 386995479#4 386995479#5 386995479#6 386995490#0.0 12154359#1.20 12154359#2 -386995521#1 -386995521#0 43357814#0 43357814#1 42706837#4 42706837#5 12154359#5 12154359#6 386995531#1 386995531#2 386995531#3 386995531#4 12172918#2 gneE73 gneE75.0 gneE80.125" probability="0.04"/&gt;</t>
  </si>
  <si>
    <t xml:space="preserve">    &lt;route id="Router3_12" edges="-gneE80.0 -gneE80.17 -gneE41 gneE44 -388756838#2 -388756838#1 -388756838#0 42706817#0 386547310 gneE69 -388756838#2 -388756838#1 -388756838#0 -388756839#1 -388756839#0 -194358837#2 -194358837#0 194358838#0 194358838#1 194358838#2 194358838#3 387422145#0 387422145#3 386995499#0 386995499#2 -51155368#13 -51155368#10 -51155368#7 121319040#0 121319040#1 386995507#0 386995507#1 386995507#2 386995507#3 12182281#7 42706837#0 42706837#1 42706837#2 42706837#3 43357814#2 43357814#3 386995526#0 386995526#1 -51050425#4 -51050425#3 -51050425#2 12162659#0 12162659#1 -12175537#4 -12175537#3 -12175537#2 -12175537#1 -50033059#3 -50033059#2 -386995514#7 -12199713#2 12177498 42706833#2 51155368#0 -50033558#5 -50033558#3 -50033558#2 -62105579 -32121234#1 -32121234#0 42706874#0 42706874#2 55179414#0 55179413#0 424769182 -450827405#2 -450827400#2 -450827382 -450827385#1 -450827391#1 -450827381 -450827397#1 12180696#0 59435515#1 59435515#2 59435515#3 59435515#4 424801338#1 12117702#0 12117702#4 12117702#7 -32121146#3 12202008#2.0 12202008#2.171 62646499#2 450827424#0 450827405#0 262962062 -55179413#2 12187610#0 12187610#2 12187610#3 -62105579 12186909#0 12186909#1 12186909#2 51155368#11 42706831#0 42706831#4 42706831#5 42706831#6 32121234#0 32121234#1 32121234#2 50033558#2 50033558#3 50033558#4 50033558#6 50033058#0 386995514#9 386995486#0 32121111#11 -12177521#0 -121319040#0 -51155368#5 -50033558#5 -50033558#3 -12188656 -121319046 -42706825#7 -42706825#4 -42706825#3 -42706825#1 -484953510#2 -484953510#1 -484953510#0 gneE37 gneE38 -12159761#2 -12159761#1 -12159761#0 -194358817#2 -194358817#1 -194358817#0 -386995514#2 -386995514#1 12159500#1 12159500#2 51050030#7 gneE35 -gneE34.0 --gneE83.0" probability="0.04"/&gt;</t>
  </si>
  <si>
    <t xml:space="preserve">    &lt;route id="Router3_13" edges="-gneE80.0 -gneE80.17 -gneE41 gneE44 -388756838#2 -388756838#1 -388756838#0 42706817#0 386547310 gneE69 -388756838#2 -388756838#1 -388756838#0 -388756839#1 -388756839#0 -194358837#2 -194358837#0 194358838#0 194358838#1 194358838#2 194358838#3 387422145#0 387422145#3 386995499#0 386995499#2 -51155368#13 -51155368#10 -51155368#7 121319040#0 121319040#1 386995507#0 386995507#1 386995507#2 386995507#3 12182281#7 42706837#0 42706837#1 42706837#2 42706837#3 43357814#2 43357814#3 386995526#0 386995526#1 -51050425#4 -51050425#3 -51050425#2 12162659#0 12162659#1 -12175537#4 -12175537#3 -12175537#2 -12175537#1 -50033059#3 -50033059#2 -386995514#7 -12199713#2 12177498 42706833#2 51155368#0 -50033558#5 -50033558#3 -50033558#2 -62105579 -32121234#1 -32121234#0 42706874#0 42706874#2 55179414#0 55179413#0 424769182 -450827405#2 -450827400#2 -450827382 -450827385#1 -450827391#1 -450827381 -450827397#1 12180696#0 59435515#1 59435515#2 59435515#3 59435515#4 424801338#1 12117702#0 12117702#4 12117702#7 -32121146#3 12202008#2.0 12202008#2.171 62646499#2 450827424#0 450827405#0 262962062 -55179413#2 12187610#0 12187610#2 12187610#3 -62105579 12186909#0 12186909#1 12186909#2 51155368#11 42706831#0 42706831#4 42706831#5 42706831#6 32121234#0 32121234#1 32121234#2 50033558#2 50033558#3 50033558#4 50033558#6 50033058#0 386995514#9 386995486#0 32121111#11 -12177521#0 -121319040#0 -51155368#5 -50033558#5 -50033558#3 -12188656 -121319046 -42706825#7 -42706825#4 -42706825#3 -42706825#1 -484953510#2 -484953510#1 -484953510#0 gneE37 gneE38 -12159761#2 -12159761#1 -12159761#0 12114363#0 12114363#1 -50033059#4 12175537#0 12175537#2 12175537#3 12175537#4 12162659#2 12159485 12161358#7 12161358#8 386995507#6 386995507#7 386995521#0 386995521#1 12154359#3 12154359#4 12154359#5 12154359#6 12154359#7 101350669 -386995537 -386995526#1 -386995526#0 -43357814#3 -43357814#2 42706837#4 42706837#5 42706837#6 42706837#7 42706837#8 42706837#9 12172918#0 12172918#1 12172918#2 gneE73 gneE75.0 gneE80.125" probability="0.04"/&gt;</t>
  </si>
  <si>
    <t xml:space="preserve">    &lt;route id="Router3_14" edges="-gneE80.0 -gneE80.17 -gneE41 gneE44 -388756838#2 -388756838#1 -388756838#0 42706817#0 386547310 gneE69 -388756838#2 -388756838#1 -388756838#0 -388756839#1 -388756839#0 -194358837#2 -194358837#0 194358838#0 194358838#1 194358838#2 194358838#3 387422145#0 387422145#3 386995499#0 386995499#2 -51155368#13 -51155368#10 -51155368#7 121319040#0 121319040#1 386995507#0 386995507#1 386995507#2 386995507#3 12182281#7 42706837#0 42706837#1 42706837#2 42706837#3 43357814#2 43357814#3 386995526#0 386995526#1 -51050425#4 -51050425#3 -51050425#2 12162659#0 12162659#1 -12175537#4 -12175537#3 -12175537#2 -12175537#1 -50033059#3 -50033059#2 -386995514#7 -12199713#2 12177498 42706833#2 51155368#0 -50033558#5 -50033558#3 -50033558#2 -62105579 -32121234#1 -32121234#0 42706874#0 42706874#2 55179414#0 55179413#0 424769182 -450827405#2 -450827400#2 -450827382 -450827385#1 -450827391#1 -450827381 -450827397#1 12180696#0 59435515#1 59435515#2 59435515#3 59435515#4 424801338#1 12117702#0 12117702#4 12117702#7 -32121146#3 12202008#2.0 12202008#2.171 62646499#2 450827424#0 450827405#0 262962062 -55179413#2 12187610#0 12187610#2 12187610#3 -62105579 12186909#0 12186909#1 12186909#2 51155368#11 42706831#0 42706831#4 42706831#5 42706831#6 32121234#0 32121234#1 32121234#2 50033558#2 50033558#3 50033558#4 50033558#6 50033058#0 386995514#9 386995486#0 32121111#11 -12177521#0 -121319040#0 -51155368#5 -50033558#5 -50033558#3 -12188656 -121319046 -42706825#7 -42706825#4 -42706825#3 -42706825#1 -484953510#2 -484953510#1 -484953510#0 gneE37 gneE38 -12159761#2 -12159761#1 -12159761#0 12114363#0 12114363#1 -50033059#4 12175537#0 12175537#2 12175537#3 12175537#4 12162659#2 12159485 12161358#7 12161358#8 386995507#6 386995507#7 386995521#0 386995521#1 12154359#3 12154359#4 12154359#5 12154359#6 12154359#7 101350669 -386995537 -386995526#1 -386995526#0 -43357814#3 12175537#8 12175537#9 12175537#10 12175537#11 12175537#12 12175537#13 12172918#1 12172918#2 gneE73 gneE75.0 gneE80.125" probability="0.04"/&gt;</t>
  </si>
  <si>
    <t xml:space="preserve">    &lt;route id="Router3_15" edges="-gneE80.0 -gneE80.17 -gneE41 gneE44 -388756838#2 -388756838#1 -388756838#0 42706817#0 386547310 gneE69 -388756838#2 -388756838#1 -388756838#0 -388756839#1 -388756839#0 -194358837#2 -194358837#0 194358838#0 194358838#1 194358838#2 194358838#3 387422145#0 387422145#3 386995499#0 386995499#2 -51155368#13 -51155368#10 -51155368#7 121319040#0 121319040#1 386995507#0 386995507#1 386995507#2 386995507#3 12182281#7 42706837#0 42706837#1 42706837#2 42706837#3 43357814#2 43357814#3 386995526#0 386995526#1 -51050425#4 -51050425#3 -51050425#2 12162659#0 12162659#1 -12175537#4 -12175537#3 -12175537#2 -12175537#1 -50033059#3 -50033059#2 -386995514#7 -12199713#2 12177498 42706833#2 51155368#0 -50033558#5 -50033558#3 -50033558#2 -62105579 -32121234#1 -32121234#0 42706874#0 42706874#2 55179414#0 55179413#0 424769182 -450827405#2 -450827400#2 -450827382 -450827385#1 -450827391#1 -450827381 -450827397#1 12180696#0 59435515#1 59435515#2 59435515#3 59435515#4 424801338#1 12117702#0 12117702#4 12117702#7 -32121146#3 12202008#2.0 12202008#2.171 62646499#2 450827424#0 450827405#0 262962062 -55179413#2 12187610#0 12187610#2 12187610#3 -62105579 12186909#0 12186909#1 12186909#2 51155368#11 42706831#0 42706831#4 42706831#5 42706831#6 32121234#0 32121234#1 32121234#2 50033558#2 50033558#3 50033558#4 50033558#6 50033058#0 386995514#9 386995486#0 32121111#11 -12177521#0 -121319040#0 -51155368#5 -50033558#5 -50033558#3 -12188656 -121319046 -42706825#7 -42706825#4 -42706825#3 -42706825#1 -484953510#2 -484953510#1 -484953510#0 gneE37 gneE38 -12159761#2 -12159761#1 -12159761#0 12114363#0 12114363#1 -50033059#4 12175537#0 12175537#2 12175537#3 12175537#4 12175537#5 12175537#6 12175537#7 -43357814#2 42706837#4 42706837#5 42706837#6 42706837#7 42706837#8 12155177#0 12175537#13 12172918#1 12172918#2 gneE73 gneE75.0 -gneE80.17 -gneE41 gneE44 -388756838#2 -388756838#1 -388756838#0 42706817#0 386547310 gneE69 -388756838#2 -388756838#1 -388756838#0 -388756839#1 -388756839#0 -194358837#2 -194358837#0 194358838#0 194358838#1 194358838#2 386995479#2 310315797#2 12185366#9 387422145#0 -12157718#6 -12157718#4 -12157718#3 -12157718#2 -12157718#1 -12199713#4 386995514#7 -50033059#1 -50033558#8 -51155368#3 121319046 12188656 -50033558#2 12203859#0 12203859#1 42706831#4 42706831#5 42706831#6 42706874#0 42706874#2 12144152#0 12144152#2 450844953#0 450844953#2 450844953#3 450844947#0 388533142#0 388533142#2 388533142#4 62623926#0 62623926#1 450844950#0 12189453#0.0.0 450844982#0.19 62203497#0 62203497#2 62203497#3 12134479#1 34685684#0 34685684#2 388533143#0 388533143#2 12140627#0 63060729#0 -264253834#2 12156992#4 12156992#5 12156992#6 12156992#7 12156992#8 12156992#9 -12114396#5 -12114396#3 -12114396#1 485017383#0 485017382#0 485017382#1 211575484#0 -12177521#3 -12177521#2 -12177521#1 32121111#12 32121111#14 -12187610#5 -12187610#2 -12187610#1 12150608#0 32121146#2 12117702#9 450844953#0 450844953#2 450844953#3 450844947#0 388533142#0 388533142#2 388533142#4 62623926#0 62623926#1 450844950#0 38502259#0.19 450844933#1 196207110#0 196207110#2" probability="0.04"/&gt;</t>
  </si>
  <si>
    <t xml:space="preserve">    &lt;route id="Router3_16" edges="-gneE80.0 -gneE80.17 -gneE41 gneE44 -388756838#2 -388756838#1 -388756838#0 42706817#0 386547310 gneE69 -388756838#2 -388756838#1 -388756838#0 -388756839#1 -388756839#0 -194358837#2 -194358837#0 194358838#0 194358838#1 194358838#2 194358838#3 387422145#0 387422145#3 386995499#0 386995499#2 -51155368#13 -51155368#10 -51155368#7 121319040#0 121319040#1 386995507#0 386995507#1 386995507#2 386995507#3 12182281#7 42706837#0 42706837#1 42706837#2 42706837#3 43357814#2 43357814#3 386995526#0 386995526#1 -51050425#4 -51050425#3 -51050425#2 12162659#0 12162659#1 -12175537#4 -12175537#3 -12175537#2 -12175537#1 -50033059#3 -50033059#2 -386995514#7 -12199713#2 12177498 42706833#2 51155368#0 -50033558#5 -50033558#3 -50033558#2 -62105579 -32121234#1 -32121234#0 42706874#0 42706874#2 55179414#0 55179413#0 424769182 -450827405#2 -450827400#2 -450827382 -450827385#1 -450827391#1 -450827381 -450827397#1 12180696#0 59435515#1 59435515#2 59435515#3 59435515#4 424801338#1 12117702#0 12117702#4 12117702#7 -32121146#3 12202008#2.0 12202008#2.171 62646499#2 450827424#0 450827405#0 262962062 -55179413#2 12187610#0 12187610#2 12187610#3 -62105579 12186909#0 12186909#1 12186909#2 51155368#11 42706831#0 42706831#4 42706831#5 42706831#6 32121234#0 32121234#1 32121234#2 50033558#2 50033558#3 50033558#4 50033558#6 50033058#0 386995514#9 386995486#0 32121111#11 -12177521#0 -121319040#0 -51155368#5 -50033558#5 -50033558#3 -12188656 -121319046 -42706825#7 -42706825#4 -42706825#3 -42706825#1 -484953510#2 -484953510#1 -484953510#0 gneE37 gneE38 -12159761#2 -12159761#1 -12159761#0 12114363#0 12114363#1 -50033059#4 12175537#0 12175537#2 12175537#3 12175537#4 12175537#5 12175537#6 12175537#7 -43357814#2 42706837#4 42706837#5 42706837#6 42706837#7 42706837#8 12155177#0 12175537#13 12172918#1 12172918#2 gneE73 gneE75.0 gneE80.125" probability="0.04"/&gt;</t>
  </si>
  <si>
    <t xml:space="preserve">    &lt;route id="Router3_17" edges="-gneE80.0 -gneE80.17 -gneE41 gneE44 -388756838#2 -388756838#1 -388756838#0 42706817#0 386547310 gneE69 -388756838#2 -388756838#1 -388756838#0 -388756839#1 -388756839#0 -194358837#2 -194358837#0 194358838#0 194358838#1 194358838#2 194358838#3 387422145#0 387422145#3 386995499#0 386995499#2 -51155368#13 -51155368#10 -51155368#7 121319040#0 121319040#1 386995507#0 386995507#1 386995507#2 386995507#3 12182281#7 42706837#0 42706837#1 42706837#2 42706837#3 43357814#2 43357814#3 386995526#0 386995526#1 -51050425#4 -51050425#3 -51050425#2 12162659#0 12162659#1 -12175537#4 -12175537#3 -12175537#2 -12175537#1 -50033059#3 -50033059#2 -386995514#7 -12199713#2 12177498 42706833#2 51155368#0 -50033558#5 -50033558#3 -50033558#2 -62105579 -32121234#1 -32121234#0 42706874#0 42706874#2 55179414#0 55179413#0 424769182 -450827405#2 -450827400#2 -450827382 -450827385#1 -450827391#1 -450827381 -450827397#1 12180696#0 59435515#1 59435515#2 59435515#3 59435515#4 424801338#1 12117702#0 12117702#4 12117702#7 -32121146#3 12202008#2.0 12202008#2.171 62646499#2 450827424#0 450827405#0 262962062 -55179413#2 12187610#0 12187610#2 12187610#3 -62105579 12186909#0 12186909#1 12186909#2 51155368#11 42706831#0 42706831#4 42706831#5 42706831#6 32121234#0 32121234#1 32121234#2 50033558#2 50033558#3 50033558#4 50033558#6 50033058#0 386995514#9 386995486#0 32121111#11 -12177521#0 -121319040#0 -51155368#5 -50033558#5 -50033558#3 -12188656 -121319046 -42706825#7 -42706825#4 -42706825#3 -42706825#1 -484953510#2 -484953510#1 -484953510#0 gneE37 gneE38 -12159761#2 -12159761#1 -12159761#0 12114363#0 12114363#1 -50033059#4 12175537#0 12175537#2 12175537#3 12175537#4 12175537#5 12175537#6 12175537#7 12175537#8 12175537#9 12154359#6 386995531#1 12174155#0 -12175537#10 -12175537#9 -12175537#8 -12175537#7 12152013#3 12167232#3 386995531#0 12154359#7 101350669 -386995537 -386995526#1 -386995526#0 -43357814#3 -43357814#2 42706837#4 42706837#5 42706837#6 42706837#7 42706837#8 42706837#9 12172918#0 12172918#1 12172918#2 gneE73 gneE75.0 -gneE80.17 -gneE41 gneE44 -388756838#2 -388756838#1 -388756838#0 42706817#0 386547310 gneE69 -gneE44 gneE41 gneE80.0 gneE80.125" probability="0.04"/&gt;</t>
  </si>
  <si>
    <t xml:space="preserve">    &lt;route id="Router3_18" edges="-gneE80.0 -gneE80.17 -gneE41 gneE44 -388756838#2 -388756838#1 -388756838#0 42706817#0 386547310 gneE69 -388756838#2 -388756838#1 -388756838#0 -388756839#1 -388756839#0 -194358837#2 -194358837#0 194358838#0 194358838#1 194358838#2 194358838#3 387422145#0 387422145#3 386995499#0 386995499#2 -51155368#13 -51155368#10 -51155368#7 121319040#0 121319040#1 386995507#0 386995507#1 386995507#2 386995507#3 12182281#7 42706837#0 42706837#1 42706837#2 42706837#3 43357814#2 43357814#3 386995526#0 386995526#1 -51050425#4 -51050425#3 -51050425#2 12162659#0 12162659#1 -12175537#4 -12175537#3 -12175537#2 -12175537#1 -50033059#3 -50033059#2 -386995514#7 -12199713#2 12177498 42706833#2 51155368#0 -50033558#5 -50033558#3 -50033558#2 -62105579 -32121234#1 -32121234#0 42706874#0 42706874#2 55179414#0 55179413#0 424769182 -450827405#2 -450827400#2 -450827382 -450827385#1 -450827391#1 -450827381 -450827397#1 12180696#0 59435515#1 59435515#2 59435515#3 59435515#4 424801338#1 12117702#0 12117702#4 12117702#7 -32121146#3 12202008#2.0 12202008#2.171 62646499#2 450827424#0 450827405#0 262962062 -55179413#2 12187610#0 12187610#2 12187610#3 -62105579 12186909#0 12186909#1 12186909#2 51155368#11 42706831#0 42706831#4 42706831#5 42706831#6 32121234#0 32121234#1 32121234#2 50033558#2 50033558#3 50033558#4 50033558#6 50033058#0 386995514#9 386995486#0 32121111#11 -12177521#0 -121319040#0 -51155368#5 -50033558#5 -50033558#3 -12188656 -121319046 -42706825#7 -42706825#4 -42706825#3 -42706825#1 -484953510#2 -484953510#1 -484953510#0 gneE37 gneE38 -12159761#2 -12159761#1 -12159761#0 12114363#0 12114363#1 -50033059#4 12175537#0 12175537#2 12175537#3 12175537#4 12175537#5 12175537#6 12175537#7 12175537#8 12175537#9 12154359#6 386995531#1 12174155#0 -12175537#10 -12175537#9 -12175537#8 -12175537#7 12152013#3 12167232#3 386995531#0 12154359#7 101350669 -386995537 -386995526#1 -386995526#0 -43357814#3 -43357814#2 42706837#4 42706837#5 42706837#6 42706837#7 42706837#8 42706837#9 12172918#0 12172918#1 12172918#2 gneE73 gneE75.0 gneE80.125" probability="0.04"/&gt;</t>
  </si>
  <si>
    <t xml:space="preserve">    &lt;route id="Router3_19" edges="-gneE80.0 -gneE80.17 -gneE41 gneE44 -388756838#2 -388756838#1 -388756838#0 42706817#0 386547310 gneE69 -388756838#2 -388756838#1 -388756838#0 -388756839#1 -388756839#0 -194358837#2 -194358837#0 194358838#0 194358838#1 194358838#2 194358838#3 387422145#0 387422145#3 386995499#0 386995499#2 42706831#0 42706831#4 42706831#5 42706831#6 42706874#0 42706874#2 -424080769#1 -424769177 -386547298#1 -424080767#1 -424080771#1 -386547297#1 -424080772#2 -424080772#1 -424080761#1 -62623960 62623959#0 386547296#0 386547296#1 424080773#0 -424080768#1 -424080766 -104526265#1 30953497#0 30953497#2 30953497#3 42706585#0 42706585#1 30953320 30953320-AddedOffRampEdge 104526277 30953215#1-AddedOnRampEdge 30953215#1 121643865#0 12110705 50715233#0 50715233#0-AddedOffRampEdge 50715233#1.0 62203285#14.24 30908387 30908366#1-AddedOnRampEdge 30908366#1 121643863 121643862 51758697#0 51758697#1-AddedOnRampEdge 51758697#1 -gneE46.0 43357850.4841.18 gneE46 49887339#0.596 49887339#0-AddedOffRampEdge 49887339#1 49887339#1-AddedOffRampEdge 104524021 104524021-AddedOffRampEdge 50192637#0 50192637#1-AddedOnRampEdge 50192637#1.0.0 50192637#1.0.382.0.0 50192637#1.697 50192637#1-AddedOffRampEdge 30953181#1 30953181#2-AddedOnRampEdge 30953181#2 30953181#3-AddedOnRampEdge 30953181#3 30953181#3-AddedOffRampEdge 30952933#1.0 30952933#1.199" probability="0.04"/&gt;</t>
  </si>
  <si>
    <t xml:space="preserve">    &lt;route id="Router3_20" edges="-gneE80.0 -gneE80.17 -gneE41 gneE44 -388756838#2 -388756838#1 -388756838#0 42706817#0 386547310 gneE69 -388756838#2 -388756838#1 -388756838#0 -388756839#1 -388756839#0 -194358837#2 -194358837#0 194358838#0 194358838#1 194358838#2 386995479#2 310315797#2 12185366#9 387422145#0 -12157718#6 -12157718#4 -12157718#3 -12157718#2 -12157718#1 -12199713#4 -386995514#6 -386995514#5 -386995514#4 -386995514#3 -386995514#2 -386995514#1 12159500#1 12159500#2 51050030#7 gneE35 -gneE34.0 --gneE83.0" probability="0.04"/&gt;</t>
  </si>
  <si>
    <t xml:space="preserve">    &lt;route id="Router3_21" edges="-gneE80.0 -gneE80.17 -gneE41 gneE44 -388756838#2 -388756838#1 -388756838#0 42706817#0 386547310 gneE69 -388756838#2 -388756838#1 -388756838#0 -388756839#1 -388756839#0 -194358837#2 -194358837#0 194358838#0 194358838#1 194358838#2 386995479#2 310315797#2 12185366#9 387422145#0 -12157718#6 -12157718#4 -12157718#3 -12157718#2 -12157718#1 -12199713#4 386995514#7 -50033059#1 -50033558#8 -51155368#3 121319046 12188656 -50033558#2 12203859#0 12203859#1 42706831#4 42706831#5 42706831#6 42706874#0 42706874#2 12144152#0 12144152#2 450844953#0 450844953#2 450844953#3 450844947#0 388533142#0 388533142#2 388533142#4 62623926#0 62623926#1 450844950#0 12189453#0.0.0 450844982#0.19 62203497#0 62203497#2 62203497#3 12134479#1 34685684#0 34685684#2 388533143#0 388533143#2 12140627#0 63060729#0 -264253834#2 12156992#4 12156992#5 12156992#6 12156992#7 12156992#8 12156992#9 -12114396#5 -12114396#3 -12114396#1 485017383#0 485017382#0 485017382#1 211575484#0 -12177521#3 -12177521#2 -12177521#1 32121111#12 32121111#14 -12187610#5 -12187610#2 -12187610#1 12150608#0 32121146#2 12117702#9 450844953#0 450844953#2 450844953#3 450844947#0 388533142#0 388533142#2 388533142#4 62623926#0 62623926#1 450844950#0 38502259#0.19 450844933#1 196207110#0 196207110#2" probability="0.04"/&gt;</t>
  </si>
  <si>
    <t xml:space="preserve">    &lt;route id="Router3_33" edges="-gneE80.0 -gneE80.17 -gneE41 gneE44 -388756838#2 -388756838#1 -388756838#0 42706817#0 386547310 gneE69 -gneE44 gneE41 254666172#0 387422153#0 387422153#1 gneE73 gneE75.0 -gneE80.17 -gneE41 gneE44 -388756838#2 -388756838#1 -388756838#0 42706817#0 386547310 gneE69 -388756838#2 -388756838#1 -388756838#0 -388756839#1 -388756839#0 -194358837#2 -194358837#0 194358838#0 194358838#1 194358838#2 386995479#2 310315797#2 12185366#9 387422145#0 -12157718#6 -12157718#4 -12157718#3 -12157718#2 -12157718#1 -12199713#4 -386995514#6 -386995514#5 -386995514#4 -386995514#3 -386995514#2 -386995514#1 12159500#1 12159500#2 51050030#7 gneE35 -gneE34.0 --gneE83.0" probability="0.04"/&gt;</t>
  </si>
  <si>
    <t xml:space="preserve">    &lt;route id="Router3_120" edges="31909473.0 31909473.857 62634019#1-AddedOnRampEdge 62634019#1 62634019#2.0 62634019#2.242 62634019#3-AddedOnRampEdge 62634019#3 62634019#3-AddedOffRampEdge 30953251#1.0 30953251#1-AddedOffRampEdge 30953251#2.0 104526276-AddedOnRampEdge 104526276 51758697#0 51758697#1-AddedOnRampEdge 51758697#1 -gneE46.0 43357850.4841.18 -gneE45 -485017363 -43117585#0 12185366#0 12185366#2 12185366#3 12185366#4 12185366#5 12185366#7 12185366#9 387422145#0 -12157718#6 386995479#1 386995479#2 386995479#3 386995479#4 386995479#5 386995479#6 386995490#0.0 12154359#1.20 12154359#2 12154359#3 12154359#4 42706837#6 42706837#7 42706837#8 12155177#0 12155177#1 386995531#4 12172918#2 gneE73 gneE75.0 gneE80.125" probability="0.04"/&gt;</t>
  </si>
  <si>
    <t xml:space="preserve">    &lt;route id="Router3_121" edges="31909473.0 31909473.857 62634019#1-AddedOnRampEdge 62634019#1 62634019#2.0 62634019#2.242 62634019#3-AddedOnRampEdge 62634019#3 62634019#3-AddedOffRampEdge 30953251#1.0 30953251#1-AddedOffRampEdge 30953251#2.0 104526276-AddedOnRampEdge 104526276 51758697#0 51758697#1-AddedOnRampEdge 51758697#1 -gneE46.0 43357850.4841.18 -gneE45 -485017363 -43117585#0 12185366#0 12185366#2 12185366#3 12185366#4 12185366#5 12185366#7 12185366#9 387422145#0 -12157718#6 386995479#1 386995479#2 386995479#3 386995479#4 386995479#5 386995479#6 386995490#0.0 12154359#1.20 12154359#2 12154359#3 12154359#4 42706837#6 42706837#7 42706837#8 12155177#0 12175537#13 12172918#1 12172918#2 gneE73 gneE75.0 gneE80.125" probability="0.04"/&gt;</t>
  </si>
  <si>
    <t xml:space="preserve">    &lt;route id="Router3_126" edges="49887339#0.596 49887339#0-AddedOffRampEdge 12113482 424769007 -424769002 -30953391 -43569848 -43569827#9 -43569827#6 -43569827#1 -43569827#0 28555332 387422130#1 132508717#0 12149210#1 12151897#1 196393941#6 196393941#7 196393941#8 gneE87 196393974#0 388756841#0 49914076#0 12159673#0 12159673#1 393884751 43569848 30953391 424769002 424769005 424769006 424769004 30953396#1 -424769003#1 -424769003#0 -485017374 42706828#0 42706828#2 12182281#0 12185366#7 12185366#9 387422145#0 12157718#7 12157718#9 12157718#10 12157718#12 485017381#1 -30953396#1 -30953396#0 -424769006 -424769005 -424769002 -30953391 -43569848 -393884751 12159702 424764853 12149178#0 50189796 50189564 12149178#2 145605533#0 145605533#1-AddedOnRampEdge 145605533#1 145605511#1-AddedOnRampEdge 145605511#12 145605511#1.148" probability="0.04"/&gt;</t>
  </si>
  <si>
    <t xml:space="preserve">    &lt;route id="Router3_2" edges="-gneE80.0 -gneE80.17 -gneE41 gneE44 -388756838#2 -388756838#1 -388756838#0 42706817#0 386547310 gneE69 -388756838#2 -388756838#1 -388756838#0 -388756839#1 -388756839#0 -194358837#2 -194358837#0 194358838#0 194358838#1 194358838#2 194358838#3 387422145#0 387422145#3 386995499#0 386995499#2 -51155368#13 -51155368#10 -51155368#7 121319040#0 121319040#1 386995507#0 386995507#1 386995507#2 386995507#3 12182281#7 42706837#0 42706837#1 42706837#2 42706837#3 43357814#2 43357814#3 386995526#0 386995526#1 -51050425#4 -51050425#3 -51050425#2 12162659#0 12162659#1 -12175537#4 -12175537#3 -12175537#2 -12175537#1 -50033059#3 -50033059#2 -386995514#7 -12199713#2 12177498 42706833#2 51155368#0 -50033558#5 -50033558#3 -50033558#2 -62105579 -32121234#1 -32121234#0 42706874#0 42706874#2 55179414#0 55179413#0 424769182 -450827405#2 -450827400#2 -450827382 -450827385#1 -450827391#1 -450827381 -450827397#1 12180696#0 59435515#1 59435515#2 59435515#3 59435515#4 424801338#1 12117702#0 12117702#4 12117702#7 -32121146#3 12202008#2.0 12202008#2.171 62646499#2 450827424#0 450827405#0 262962062 -55179413#2 12187610#0 60185970#0 60185970#2 12149571#1 12187610#3 50033558#2 50033558#3 50033558#4 50033558#6 42706833#0 42706833#2 12189876#0 12189876#2 484953508#1 60185970#0 60185970#2 12149571#1 12187610#3 50033558#2 -12188656 -121319046 -42706825#7 12199713#0 12199713#1 -386995514#6 -386995514#5 -386995514#4 -386995514#3 194358817#0 194358817#1 194358817#2 12114363#0 12114363#1 -50033059#4 12175537#0 12175537#2 12175537#3 12175537#4 12175537#5 12175537#6 12175537#7 12175537#8 12175537#9 12175537#10 12175537#11 12175537#12 12155177#1 12155177#2 387422153#1 gneE73 gneE75.0 gneE80.125" probability="0.04"/&gt;</t>
  </si>
  <si>
    <t xml:space="preserve">    &lt;route id="Router3_3" edges="-gneE80.0 -gneE80.17 -gneE41 gneE44 -388756838#2 -388756838#1 -388756838#0 -388756839#1 -388756839#0 -194358837#2 -194358837#0 194358838#0 -386995507#1 12157718#3 32121111#10 386995486#1 386995479#0 12157718#5 12157718#7 485017376 485017373#0 387422135#0 424769003#0 424769003#1 -30953396#1 -30953396#0 -424769006 -424769005 -424769002 -30953391 -43569848 -393884751 12159702 424764853 12149178#0 50189796 50189564 12149178#2 145605533#0 145605533#1-AddedOnRampEdge 145605533#1 145605511#1-AddedOnRampEdge 145605511#12 145605511#1.148" probability="0.04"/&gt;</t>
  </si>
  <si>
    <t>&lt;routeDistribution id="34thST_Ches_to_Wal-SB-08-RouteProbe"&gt;</t>
  </si>
  <si>
    <t xml:space="preserve">    &lt;route id="Router3_6" edges="-gneE80.0 -gneE80.17 -gneE41 gneE44 -388756838#2 -388756838#1 -388756838#0 42706817#0 386547310 gneE69 -388756838#2 -388756838#1 -388756838#0 -388756839#1 -388756839#0 -194358837#2 -194358837#0 194358838#0 194358838#1 194358838#2 194358838#3 387422145#0 387422145#3 386995499#0 386995499#2 -51155368#13 -51155368#10 -51155368#7 121319040#0 121319040#1 386995507#0 386995507#1 386995507#2 386995507#3 12182281#7 42706837#0 42706837#1 42706837#2 42706837#3 43357814#2 43357814#3 386995526#0 386995526#1 -51050425#4 -51050425#3 -51050425#2 12162659#0 12162659#1 -12175537#4 -12175537#3 -12175537#2 -12175537#1 -50033059#3 -50033059#2 -386995514#7 -12199713#2 12177498 42706833#2 51155368#0 -50033558#5 -50033558#3 -50033558#2 -62105579 -32121234#1 -32121234#0 42706874#0 42706874#2 55179414#0 55179413#0 424769182 -450827405#2 -450827400#2 -450827382 -450827385#1 -450827391#1 -450827381 -450827397#1 12180696#0 59435515#1 59435515#2 59435515#3 59435515#4 424801338#1 12117702#0 12117702#4 12117702#7 -32121146#3 -32121146#1 -424769197#2 12144152#0 12144152#2 12144152#4 12144152#6 12157151#0 12166276#2 -32121146#5 12117702#9 450844953#0 450844953#2 450844953#3 450844947#0 388533142#0 388533142#2 12189045#0 62623987#0 62623987#1 -12142631 12202018 62623986#1 62623986#2 -12189051#1 -262962063 -424080764 -424080768#1 -424080766 -104526265#1 30953497#0 30953497#2 30953497#3 42706585#0 42706585#1 30953320 30953320-AddedOffRampEdge 104526277 30953215#1-AddedOnRampEdge 30953215#1 121643865#0 121643865#1 145605511#1-AddedOnRampEdge 145605511#12 145605511#1.148" probability="0.111111111111111"/&gt;</t>
  </si>
  <si>
    <t xml:space="preserve">    &lt;route id="Router3_71" edges="31909473.0 31909473.857 62634019#1-AddedOnRampEdge 62634019#1 30953036 424081476 424081472 424081473 424081470 30953025#0 30953025#2 30953025#3 30953025#4 50033060#0 12134479#5 450844973#0 388533144#0 388533144#6 388533144#11 450695475#0 137364609#0 137364609#3 137364609#5 450695473#0 386547305#0 gneE23 -gneE20.0 -gneE21.54 -gneE21.0 59435515#0 59435515#1 59435515#2 59435515#3 59435515#4 424801338#1 12117702#0 12117702#4 12117702#7 -32121146#3 -32121146#1 -424769197#2 12144152#0 12144152#2 12144152#4 12144152#6 12157151#0 12166276#2 -32121146#5 12117702#9 450844953#0 450844953#2 450844953#3 450844947#0 388533142#0 388533142#2 12189045#0 62623987#0 62623987#1 -12142631 12202018 62623986#1 62623986#2 -12189051#1 -262962063 -424080764 -424080768#1 -424080766 -104526265#1 30953497#0 30953497#2 30953497#3 42706585#0 42706585#1 30953320 30953320-AddedOffRampEdge 104526277 30953215#1-AddedOnRampEdge 30953215#1 121643865#0 12110705 50715233#0 50715233#0-AddedOffRampEdge 50715233#1.0 62203285#14.24 30908387 30908366#1-AddedOnRampEdge 30908366#1 121643863 121643862 51758697#0 51758697#1-AddedOnRampEdge 51758697#1 -gneE46.0 43357850.4841.18 gneE46 49887339#0.596 49887339#0-AddedOffRampEdge 49887339#1 49887339#1-AddedOffRampEdge 104524021 104524021-AddedOffRampEdge 50192637#0 50192637#1-AddedOnRampEdge 50192637#1.0.0 50192637#1.0.382.0.0 50192637#1.697 50192637#1-AddedOffRampEdge 30953181#1 30953181#2-AddedOnRampEdge 30953181#2 30953181#3-AddedOnRampEdge 30953181#3 30953181#3-AddedOffRampEdge 30952933#1.0 30952933#1.199" probability="0.111111111111111"/&gt;</t>
  </si>
  <si>
    <t xml:space="preserve">    &lt;route id="Router3_105" edges="31909473.0 31909473.857 62634019#1-AddedOnRampEdge 62634019#1 62634019#2.0 62634019#2.242 62634019#3-AddedOnRampEdge 62634019#3 62634019#3-AddedOffRampEdge 12111747.0 62203498#0 62093806#0 104526265#0.14 424080766 424080768#0 104523976#1 262962063 424080770#0 424080772#0 424080772#2 386547297#0 424080771#0 424080767#0 386547298#0 424769177 424080769#0 12144152#0 12144152#2 12144152#4 12144152#6 12157151#0 12166276#2 -32121146#5 12117702#9 450844953#0 450844953#2 450844953#3 450844947#0 388533142#0 388533142#2 12189045#0 62623987#0 62623987#1 -12142631 12202018 62623986#1 62623986#2 -12189051#1 -262962063 -424080764 -424080768#1 -424080766 -104526265#1 -262962068#1 -424080774 -32122059#1 -32122059#0 -196393940#2 -196393940#0" probability="0.111111111111111"/&gt;</t>
  </si>
  <si>
    <t xml:space="preserve">    &lt;route id="Router3_106" edges="31909473.0 31909473.857 62634019#1-AddedOnRampEdge 62634019#1 62634019#2.0 62634019#2.242 62634019#3-AddedOnRampEdge 62634019#3 62634019#3-AddedOffRampEdge 12111747.0 62203498#0 62093806#0 104526265#0.14 424080766 424080768#0 104523976#1 262962063 424080770#0 424080772#0 424080772#2 386547297#0 424080771#0 424080767#0 386547298#0 424769177 424080769#0 12144152#0 12144152#2 12144152#4 12166276#0 -351053388#2 12144152#7 450844965#0 388533145#0 -12168663#6 -484953513#2 -484953514#2 -284556051#4 -284556051#2 51050278#0.0 gneE16 -12165855#3.1535 386547306#4 386547306#6 51049745#0 51049745#2 51049745#3 484842179#16.0 62094032#0.9 288513230#0 288513232 484842173 50033030#0 -424801341 -283621822#1 -424801343#1 -424801343#0 49991658 424801340 424801342 386550018#0 386550018#0-AddedOffRampEdge 386550018#1 49991638 -12144161#0 12144161#0 12144161#1 49991657 283621821#1 283621821#1-AddedOffRampEdge 283621821#2 49991647#1 49991647#2 63060732#0 63060732#1 63060732#2.0 63060732#2.116 50033027 -50033029 50033050#0 50033050#2 424799828 424799825 424799826 50033054 63060727 50033029 50033028#0 50033028#3 50033028#5 50033028#6 49991646 386547300#0 283621823 386547301-AddedOnRampEdge 386547301 424801344#0 424801343#1 283621822#0 424801341 28555309#0 49991649#0 424986163#0 51049946#0 424801337#0 357338497#0 357338497#2 450695460#0 62646499#0 62646499#2 450827424#0 62646508#0 62646508#2 424799820 424799823#0 50033059#0 50033059#2 50033059#3 50033059#4 388756839#0 388756839#1 388756838#0 12136923#0 386547309#0 386547309#2 386547309#3 386547309#5 386547309#7 51050030#4 51050030#7 gneE35 -gneE34.0 --gneE83.0" probability="0.111111111111111"/&gt;</t>
  </si>
  <si>
    <t xml:space="preserve">    &lt;route id="Router3_107" edges="31909473.0 31909473.857 62634019#1-AddedOnRampEdge 62634019#1 62634019#2.0 62634019#2.242 62634019#3-AddedOnRampEdge 62634019#3 62634019#3-AddedOffRampEdge 12111747.0 62203498#0 62093806#0 104526265#0.14 424080766 424080768#0 104523976#1 262962063 424080770#0 424080772#0 424080772#2 386547297#0 424080771#0 424080767#0 386547298#0 424769177 424080769#0 12144152#0 12144152#2 12144152#4 12166276#0 -351053388#2 12144152#7 450844965#0 388533145#0 -12168663#6 -484953513#2 -484953514#2 -284556051#4 -284556051#2 51050278#0.0 gneE16 -12165855#3.1535 386547306#4 386547306#6 51049745#0 51049745#2 51049745#3 484842179#16.0 62094032#0.9 288513230#0 288513232 484842173 50033030#0 -424801341 -283621822#1 -424801343#1 -424801343#0 49991658 424801340 424801342 386550018#0 386550018#0-AddedOffRampEdge 386550018#1 49991638 -12144161#0 12144161#0 12144161#1 49991657 283621821#1 283621821#1-AddedOffRampEdge 283621821#2 49991647#1 49991647#2 63060732#0 63060732#1 63060732#2.0 63060732#2.116 50033027 -50033029 50033050#0 50033050#2 424799828 424799825 424799826 50033054 63060727 50033029 50033028#0 50033028#3 50033028#5 50033028#6 49991646 386547300#0 283621823 386547301-AddedOnRampEdge 386547301 424801344#0 424801343#1 283621822#0 424801341 28555309#0 49991649#0 424986163#0 51049946#0 424801337#0 357338497#0 357338497#2 450695460#0 62646499#0 62646499#2 450827424#0 62646508#0 62646508#2 424799820 424799823#0 50033059#0 50033059#2 50033059#3 50033059#4 388756839#0 388756839#1 388756838#0 12136923#0 386547309#0 386547309#2 386547309#3 386547309#5 484953510#2 42706825#0 42706825#2 42706825#4 42706825#5 121319046 12188656 -50033558#2 12203859#0 12203859#1 42706831#4 42706831#5 -12180988#5 63060729#4 63060729#7 63060729#10 -42706823#3 -42706823#1 42706831#0 42706831#4 42706831#5 42706831#6 32121234#0 32121234#1 32121234#2 50033558#2 50033558#3 50033558#4 50033558#6 50033058#0 386995514#9 386995486#0 32121111#11 -12177521#0 -121319040#0 -51155368#5 -50033558#5 -50033558#3 -12188656 -121319046 -42706825#7 -42706825#4 -42706825#3 -42706825#1 194358815 194358817#0 194358817#1 194358817#2 12114363#0 12114363#1 -50033059#4 12175537#0 12175537#2 485017371#0 484953507#1 12182281#8 12182281#9 12167232#0 12167232#1 12167232#2 12152013#4 51050425#4 386995537 386995551 387422150#0 387422150#1 386995531#3 386995531#4 12172918#2 gneE73 gneE75.0 gneE80.125" probability="0.111111111111111"/&gt;</t>
  </si>
  <si>
    <t xml:space="preserve">    &lt;route id="Router3_2" edges="-gneE80.0 -gneE80.17 -gneE41 gneE44 -388756838#2 -388756838#1 -388756838#0 42706817#0 386547310 gneE69 -388756838#2 -388756838#1 -388756838#0 -388756839#1 -388756839#0 -194358837#2 -194358837#0 194358838#0 194358838#1 194358838#2 194358838#3 387422145#0 387422145#3 386995499#0 386995499#2 -51155368#13 -51155368#10 -51155368#7 121319040#0 121319040#1 386995507#0 386995507#1 386995507#2 386995507#3 12182281#7 42706837#0 42706837#1 42706837#2 42706837#3 43357814#2 43357814#3 386995526#0 386995526#1 -51050425#4 -51050425#3 -51050425#2 12162659#0 12162659#1 -12175537#4 -12175537#3 -12175537#2 -12175537#1 -50033059#3 -50033059#2 -386995514#7 -12199713#2 12177498 42706833#2 51155368#0 -50033558#5 -50033558#3 -50033558#2 -62105579 -32121234#1 -32121234#0 42706874#0 42706874#2 55179414#0 55179413#0 424769182 -450827405#2 -450827400#2 -450827382 -450827385#1 -450827391#1 -450827381 -450827397#1 12180696#0 59435515#1 59435515#2 59435515#3 59435515#4 424801338#1 12117702#0 12117702#4 12117702#7 -32121146#3 12202008#2.0 12202008#2.171 62646499#2 450827424#0 450827405#0 262962062 -55179413#2 12187610#0 60185970#0 60185970#2 12149571#1 12187610#3 50033558#2 50033558#3 50033558#4 50033558#6 42706833#0 42706833#2 12189876#0 12189876#2 484953508#1 60185970#0 60185970#2 12149571#1 12187610#3 50033558#2 -12188656 -121319046 -42706825#7 12199713#0 12199713#1 -386995514#6 -386995514#5 -386995514#4 -386995514#3 194358817#0 194358817#1 194358817#2 12114363#0 12114363#1 -50033059#4 12175537#0 12175537#2 12175537#3 12175537#4 12175537#5 12175537#6 12175537#7 12175537#8 12175537#9 12175537#10 12175537#11 12175537#12 12155177#1 12155177#2 387422153#1 gneE73 gneE75.0 gneE80.125" probability="0.111111111111111"/&gt;</t>
  </si>
  <si>
    <t xml:space="preserve">    &lt;route id="Router3_3" edges="-gneE80.0 -gneE80.17 -gneE41 gneE44 -388756838#2 -388756838#1 -388756838#0 -388756839#1 -388756839#0 -194358837#2 -194358837#0 194358838#0 -386995507#1 12157718#3 32121111#10 386995486#1 386995479#0 12157718#5 12157718#7 485017376 485017373#0 387422135#0 424769003#0 424769003#1 -30953396#1 -30953396#0 -424769006 -424769005 -424769002 -30953391 -43569848 -393884751 12159702 424764853 12149178#0 50189796 50189564 12149178#2 145605533#0 145605533#1-AddedOnRampEdge 145605533#1 145605511#1-AddedOnRampEdge 145605511#12 145605511#1.148" probability="0.111111111111111"/&gt;</t>
  </si>
  <si>
    <t>&lt;routeDistribution id="38th-Walnut-to-Chestnut-NB-1998-RouteProbe"&gt;</t>
  </si>
  <si>
    <t xml:space="preserve">    &lt;route id="Router3_77" edges="31909473.0 31909473.857 62634019#1-AddedOnRampEdge 62634019#1 62634019#2.0 62634019#2.242 62634019#3-AddedOnRampEdge 62634019#3 62634019#3-AddedOffRampEdge 12111747.0 12189453#0.0.0 450844982#0.19 62203497#0 62203497#2 62203497#3 12134479#1 34685684#0 34685684#2 450844947#0 388533142#0 388533142#2 12189045#0 62623987#0 62623987#1 -12142631 12202018 62623986#1 62623986#2 -12189051#1 424080770#0 424080772#0 424080772#2 386547297#0 424080771#0 424080767#0 386547298#0 424769177 424080769#0 55179414#0 12187610#0 -484953508#2 424801339#0 62646509#0 424801338#0 424801338#1 12117702#0 12117702#4 12117702#7 -32121146#3 -32121146#1 55179413#0 424769182 -450827405#2 -450827400#2 -450827382 -450827385#1 12134222#0 12134222#2 12134222#3 386547311#11 386547311#13 357338496#0 357338496#2 450695461#0 62646494#0 424801336#0 484842168#0 283621820 -28555309#1 -424801341 -283621822#1 -424801343#1 -424801343#0 49991658 424801340 424801342 386550018#0 386550018#0-AddedOffRampEdge 386550018#1 49991638 -12144161#0 12144161#0 12144161#1 49991657 283621821#1 283621821#1-AddedOffRampEdge 283621821#2 49991647#1 49991647#2 63060732#0 63060732#1 63060732#2.0 63060732#2.116 50033027 -50033029 50033050#0 50033050#2 424799828 424799825 424799826 50033054 63060727 50033029 50033028#0 50033028#3 50033028#5 50033028#6 49991646 386547300#0 283621823 386547301-AddedOnRampEdge 386547301 424801344#0 424801343#1 283621822#0 424801341 28555309#0 49991649#0 424986163#0 51049946#0 424801337#0 357338497#0 357338497#2 450695460#0 62646499#0 62646499#2 450827424#0 62646508#0 62646508#2 424799820 424799823#0 50033059#0 50033059#2 50033059#3 50033059#4 388756839#0 388756839#1 388756838#0 12136923#0 386547309#0 386547309#2 386547309#3 386547309#5 386547309#7 51050030#4 51050030#7 gneE35 -gneE34.0 --gneE83.0" probability="0.0769230769230769"/&gt;</t>
  </si>
  <si>
    <t xml:space="preserve">    &lt;route id="Router3_78" edges="31909473.0 31909473.857 62634019#1-AddedOnRampEdge 62634019#1 62634019#2.0 62634019#2.242 62634019#3-AddedOnRampEdge 62634019#3 62634019#3-AddedOffRampEdge 12111747.0 12189453#0.0.0 450844982#0.19 62203497#0 62203497#2 62203497#3 12134479#1 34685684#0 34685684#2 450844947#0 388533142#0 388533142#2 12189045#0 62623987#0 62623987#1 -12142631 12202018 62623986#1 62623986#2 -12189051#1 424080770#0 424080772#0 424080772#2 386547297#0 424080771#0 424080767#0 386547298#0 424769177 424080769#0 55179414#0 12187610#0 -484953508#2 424801339#0 62646509#0 424801338#0 424801338#1 12117702#0 12117702#4 12117702#7 -32121146#3 -32121146#1 55179413#0 424769182 -450827405#2 -450827400#2 -450827382 -450827385#1 12134222#0 12134222#2 12134222#3 386547311#11 386547311#13 357338496#0 357338496#2 450695461#0 62646494#0 424801336#0 484842168#0 283621820 -28555309#1 -424801341 -283621822#1 -424801343#1 -424801343#0 49991658 424801340 424801342 386550018#0 386550018#0-AddedOffRampEdge 386550018#1 49991638 -12144161#0 12144161#0 12144161#1 49991657 283621821#1 283621821#1-AddedOffRampEdge 283621821#2 49991647#1 49991647#2 63060732#0 63060732#1 63060732#2.0 63060732#2.116 50033027 -50033029 50033050#0 50033050#2 424799828 424799825 424799826 50033054 63060727 50033029 50033028#0 50033028#3 50033028#5 50033028#6 49991646 386547300#0 283621823 386547301-AddedOnRampEdge 386547301 424801344#0 424801343#1 283621822#0 424801341 28555309#0 49991649#0 424986163#0 51049946#0 424801337#0 357338497#0 357338497#2 450695460#0 62646499#0 62646499#2 450827424#0 62646508#0 62646508#2 424799820 424799823#0 50033059#0 50033059#2 50033059#3 50033059#4 388756839#0 388756839#1 388756838#0 12136923#0 386547309#0 386547309#2 386547309#3 386547309#5 484953510#2 42706825#0 42706825#2 42706825#4 42706825#5 424799823#0 42706833#0 42706833#2 -42706825#7 12199713#0 12199713#1 -386995514#6 -386995514#5 -386995514#4 -386995514#3 -386995514#2 -386995514#1 12159500#1 12159500#2 51050030#7 gneE35 -gneE34.0 --gneE83.0" probability="0.0769230769230769"/&gt;</t>
  </si>
  <si>
    <t xml:space="preserve">    &lt;route id="Router3_79" edges="31909473.0 31909473.857 62634019#1-AddedOnRampEdge 62634019#1 62634019#2.0 62634019#2.242 62634019#3-AddedOnRampEdge 62634019#3 62634019#3-AddedOffRampEdge 12111747.0 12189453#0.0.0 450844982#0.19 62203497#0 62203497#2 62203497#3 12134479#1 34685684#0 34685684#2 450844947#0 388533142#0 388533142#2 12189045#0 62623987#0 62623987#1 -12142631 12202018 62623986#1 62623986#2 -12189051#1 424080770#0 424080772#0 424080772#2 386547297#0 424080771#0 424080767#0 386547298#0 424769177 424080769#0 55179414#0 12187610#0 -484953508#2 424801339#0 62646509#0 424801338#0 424801338#1 12117702#0 12117702#4 12117702#7 -32121146#3 -32121146#1 55179413#0 424769182 -450827405#2 -450827400#2 -450827382 -450827385#1 12134222#0 12134222#2 12134222#3 386547311#11 386547311#13 357338496#0 357338496#2 450695461#0 62646494#0 424801336#0 484842168#0 283621820 -28555309#1 -424801341 -283621822#1 -424801343#1 -424801343#0 49991658 424801340 424801342 386550018#0 386550018#0-AddedOffRampEdge 386550018#1 49991638 -12144161#0 12144161#0 12144161#1 49991657 283621821#1 283621821#1-AddedOffRampEdge 283621821#2 49991647#1 49991647#2 63060732#0 63060732#1 63060732#2.0 63060732#2.116 50033027 -50033029 50033050#0 50033050#2 424799828 424799825 424799826 50033054 63060727 50033029 50033028#0 50033028#3 50033028#5 50033028#6 49991646 386547300#0 283621823 386547301-AddedOnRampEdge 386547301 424801344#0 424801343#1 283621822#0 424801341 28555309#0 49991649#0 424986163#0 51049946#0 424801337#0 357338497#0 357338497#2 450695460#0 62646499#0 62646499#2 450827424#0 62646508#0 62646508#2 424799820 424799823#0 50033059#0 50033059#2 50033059#3 50033059#4 388756839#0 388756839#1 388756838#0 12136923#0 386547309#0 386547309#2 386547309#3 386547309#5 484953510#2 42706825#0 42706825#2 42706825#4 42706825#5 424799823#0 42706833#0 42706833#2 12189876#0 12189876#2 484953508#1 60185970#0 60185970#2 12149571#1 12187610#3 50033558#2 50033558#3 50033558#4 50033558#6 50033058#0 386995514#9 386995486#0 32121111#11 -12177521#0 -121319040#0 -51155368#5 -50033558#5 -50033558#3 -12188656 -121319046 -42706825#7 -42706825#4 -42706825#3 -42706825#1 194358815 194358817#0 194358817#1 194358817#2 12114363#0 12114363#1 -50033059#4 12175537#0 12175537#2 485017371#0 484953507#1 12182281#8 12182281#9 12167232#0 12167232#1 12167232#2 12152013#4 51050425#4 386995537 386995551 387422150#0 387422150#1 386995531#3 386995531#4 12172918#2 gneE73 gneE75.0 gneE80.125" probability="0.0769230769230769"/&gt;</t>
  </si>
  <si>
    <t xml:space="preserve">    &lt;route id="Router3_97" edges="31909473.0 31909473.857 62634019#1-AddedOnRampEdge 62634019#1 62634019#2.0 62634019#2.242 62634019#3-AddedOnRampEdge 62634019#3 62634019#3-AddedOffRampEdge 12111747.0 59671945#0.30 62093806#0 104526265#0.14 424080766 424080768#0 104523976#1 262962063 12189051#0 -12189051#1 424080770#0 424080772#0 424080772#2 386547297#0 424080771#0 424080767#0 386547298#0 424769177 424080769#0 55179414#0 12187610#0 -484953508#2 424801339#0 62646509#0 424801338#0 424801338#1 12117702#0 12117702#4 12117702#7 -32121146#3 -32121146#1 55179413#0 424769182 -450827405#2 -450827400#2 -450827382 -450827385#1 12134222#0 12134222#2 12134222#3 386547311#11 386547311#13 357338496#0 357338496#2 450695461#0 62646494#0 424801336#0 484842168#0 283621820 -28555309#1 -424801341 -283621822#1 -424801343#1 -424801343#0 49991658 424801340 424801342 386550018#0 386550018#0-AddedOffRampEdge 386550018#1 49991638 -12144161#0 12144161#0 12144161#1 49991657 283621821#1 283621821#1-AddedOffRampEdge 283621821#2 49991647#1 49991647#2 63060732#0 63060732#1 63060732#2.0 63060732#2.116 50033027 -50033029 50033050#0 50033050#2 424799828 424799825 424799826 50033054 63060727 50033029 50033028#0 50033028#3 50033028#5 50033028#6 49991646 386547300#0 283621823 386547301-AddedOnRampEdge 386547301 424801344#0 424801343#1 283621822#0 424801341 28555309#0 49991649#0 424986163#0 51049946#0 424801337#0 357338497#0 357338497#2 450695460#0 62646499#0 62646499#2 450827424#0 62646508#0 62646508#2 424799820 424799823#0 50033059#0 50033059#2 50033059#3 50033059#4 388756839#0 388756839#1 388756838#0 12136923#0 386547309#0 386547309#2 386547309#3 386547309#5 386547309#7 51050030#4 51050030#7 gneE35 -gneE34.0 --gneE83.0" probability="0.0769230769230769"/&gt;</t>
  </si>
  <si>
    <t xml:space="preserve">    &lt;route id="Router3_98" edges="31909473.0 31909473.857 62634019#1-AddedOnRampEdge 62634019#1 62634019#2.0 62634019#2.242 62634019#3-AddedOnRampEdge 62634019#3 62634019#3-AddedOffRampEdge 12111747.0 59671945#0.30 62093806#0 104526265#0.14 424080766 424080768#0 104523976#1 262962063 12189051#0 -12189051#1 424080770#0 424080772#0 424080772#2 386547297#0 424080771#0 424080767#0 386547298#0 424769177 424080769#0 55179414#0 12187610#0 -484953508#2 424801339#0 62646509#0 424801338#0 424801338#1 357338496#0 357338487#0 -12134222#6 -12134222#4 -12134222#2 -12134222#1 12175523#0 484953509#4 51050030#0 386547309#9 12180696#0 12180696#2 12180696#4 12180696#6 386547306#0 386547306#4 386547306#6 51049745#0 51049745#2 51049745#3 484842179#16.0 62094032#0.9 288513230#0 288513232 484842173 50033030#0 -424801341 -283621822#1 -424801343#1 -424801343#0 49991658 424801340 424801342 386550018#0 386550018#0-AddedOffRampEdge 386550018#1 49991638 -12144161#0 12144161#0 12144161#1 49991657 283621821#1 283621821#1-AddedOffRampEdge 283621821#2 49991647#1 49991647#2 63060732#0 63060732#1 63060732#2.0 63060732#2.116 50033027 -50033029 50033050#0 50033050#2 424799828 424799825 424799826 50033054 63060727 50033029 50033028#0 50033028#3 50033028#5 50033028#6 49991646 386547300#0 283621823 386547301-AddedOnRampEdge 386547301 424801344#0 424801343#1 283621822#0 424801341 28555309#0 49991649#0 424986163#0 51049946#0 424801337#0 357338497#0 357338497#2 450695460#0 62646499#0 62646499#2 450827424#0 62646508#0 62646508#2 424799820 424799823#0 50033059#0 50033059#2 50033059#3 50033059#4 388756839#0 388756839#1 388756838#0 12136923#0 386547309#0 386547309#2 386547309#3 386547309#5 386547309#7 51050030#4 51050030#7 gneE35 -gneE34.0 --gneE83.0" probability="0.0769230769230769"/&gt;</t>
  </si>
  <si>
    <t xml:space="preserve">    &lt;route id="Router3_99" edges="31909473.0 31909473.857 62634019#1-AddedOnRampEdge 62634019#1 62634019#2.0 62634019#2.242 62634019#3-AddedOnRampEdge 62634019#3 62634019#3-AddedOffRampEdge 12111747.0 59671945#0.30 62093806#0 104526265#0.14 424080766 424080768#0 104523976#1 262962063 12189051#0 -12189051#1 424080770#0 424080772#0 424080772#2 386547297#0 424080771#0 424080767#0 386547298#0 424769177 424080769#0 55179414#0 12187610#0 -484953508#2 424801339#0 62646509#0 424801338#0 424801338#1 357338496#0 357338487#0 -12134222#6 -12134222#4 -12134222#2 -12134222#1 12175523#0 484953509#4 51050030#0 386547309#9 12180696#0 12180696#2 386547311#6 386547311#8 386547311#9 -12134222#4 -12134222#2 -12134222#1 12175523#0 484953509#4 51050030#0 386547309#9 12180696#0 12180696#2 12180696#4 12180696#6 386547306#0 386547306#4 386547306#6 51049745#0 51049745#2 51049745#3 484842179#16.0 62094032#0.9 288513230#0 288513232 484842173 50033030#0 -424801341 -283621822#1 -424801343#1 -424801343#0 49991658 424801340 424801342 386550018#0 386550018#0-AddedOffRampEdge 386550018#1 49991638 -12144161#0 12144161#0 12144161#1 49991657 283621821#1 283621821#1-AddedOffRampEdge 283621821#2 49991647#1 49991647#2 63060732#0 63060732#1 63060732#2.0 63060732#2.116 50033027 -50033029 50033050#0 50033050#2 424799828 424799825 424799826 50033054 63060727 50033029 50033028#0 50033028#3 50033028#5 50033028#6 49991646 386547300#0 283621823 386547301-AddedOnRampEdge 386547301 424801344#0 424801343#1 283621822#0 424801341 28555309#0 49991649#0 424986163#0 51049946#0 424801337#0 357338497#0 357338497#2 450695460#0 62646499#0 62646499#2 450827424#0 62646508#0 62646508#2 424799820 424799823#0 50033059#0 50033059#2 50033059#3 50033059#4 388756839#0 388756839#1 388756838#0 12136923#0 386547309#0 386547309#2 386547309#3 386547309#5 386547309#7 51050030#4 51050030#7 gneE35 -gneE34.0 --gneE83.0" probability="0.0769230769230769"/&gt;</t>
  </si>
  <si>
    <t xml:space="preserve">    &lt;route id="Router3_100" edges="31909473.0 31909473.857 62634019#1-AddedOnRampEdge 62634019#1 62634019#2.0 62634019#2.242 62634019#3-AddedOnRampEdge 62634019#3 62634019#3-AddedOffRampEdge 12111747.0 59671945#0.30 62093806#0 104526265#0.14 424080766 424080768#0 104523976#1 262962063 12189051#0 -12189051#1 424080770#0 424080772#0 424080772#2 386547297#0 424080771#0 424080767#0 386547298#0 424769177 424080769#0 55179414#0 12187610#0 -484953508#2 424801339#0 62646509#0 424801338#0 424801338#1 357338496#0 357338487#0 -12134222#6 -12134222#4 -12134222#2 -12134222#1 12175523#0 484953509#4 51050030#0 386547309#9 12180696#0 12180696#2 386547311#6 386547311#8 386547311#9 -12134222#4 -12134222#2 -12134222#1 12175523#0 484953509#4 51050030#0 386547309#9 12180696#0 12180696#2 386547311#6 386547311#8 386547311#9 -12134222#4 -12134222#2 -12134222#1 450827385#0 450827382 450827400#0 62646509#0 424801338#0 424801338#1 12117702#0 12117702#4 12117702#7 -32121146#3 -32121146#1 55179413#0 424769182 -450827405#2 -450827400#2 -450827382 -450827385#1 12134222#0 12134222#2 12134222#3 386547311#11 386547311#13 357338496#0 357338496#2 450695461#0 62646494#0 424801336#0 484842168#0 283621820 -28555309#1 -424801341 -283621822#1 -424801343#1 -424801343#0 49991658 424801340 424801342 386550018#0 386550018#0-AddedOffRampEdge 386550018#1 49991638 -12144161#0 12144161#0 12144161#1 49991657 283621821#1 283621821#1-AddedOffRampEdge 283621821#2 49991647#1 49991647#2 63060732#0 63060732#1 63060732#2.0 63060732#2.116 50033027 -50033029 50033050#0 50033050#2 424799828 424799825 424799826 50033054 63060727 50033029 50033028#0 50033028#3 50033028#5 50033028#6 49991646 386547300#0 283621823 386547301-AddedOnRampEdge 386547301 424801344#0 424801343#1 283621822#0 424801341 28555309#0 49991649#0 424986163#0 51049946#0 424801337#0 357338497#0 357338497#2 450695460#0 62646499#0 62646499#2 450827424#0 62646508#0 62646508#2 424799820 424799823#0 50033059#0 50033059#2 50033059#3 50033059#4 388756839#0 388756839#1 388756838#0 12136923#0 386547309#0 386547309#2 386547309#3 386547309#5 386547309#7 51050030#4 51050030#7 gneE35 -gneE34.0 --gneE83.0" probability="0.0769230769230769"/&gt;</t>
  </si>
  <si>
    <t xml:space="preserve">    &lt;route id="Router3_106" edges="31909473.0 31909473.857 62634019#1-AddedOnRampEdge 62634019#1 62634019#2.0 62634019#2.242 62634019#3-AddedOnRampEdge 62634019#3 62634019#3-AddedOffRampEdge 12111747.0 62203498#0 62093806#0 104526265#0.14 424080766 424080768#0 104523976#1 262962063 424080770#0 424080772#0 424080772#2 386547297#0 424080771#0 424080767#0 386547298#0 424769177 424080769#0 12144152#0 12144152#2 12144152#4 12166276#0 -351053388#2 12144152#7 450844965#0 388533145#0 -12168663#6 -484953513#2 -484953514#2 -284556051#4 -284556051#2 51050278#0.0 gneE16 -12165855#3.1535 386547306#4 386547306#6 51049745#0 51049745#2 51049745#3 484842179#16.0 62094032#0.9 288513230#0 288513232 484842173 50033030#0 -424801341 -283621822#1 -424801343#1 -424801343#0 49991658 424801340 424801342 386550018#0 386550018#0-AddedOffRampEdge 386550018#1 49991638 -12144161#0 12144161#0 12144161#1 49991657 283621821#1 283621821#1-AddedOffRampEdge 283621821#2 49991647#1 49991647#2 63060732#0 63060732#1 63060732#2.0 63060732#2.116 50033027 -50033029 50033050#0 50033050#2 424799828 424799825 424799826 50033054 63060727 50033029 50033028#0 50033028#3 50033028#5 50033028#6 49991646 386547300#0 283621823 386547301-AddedOnRampEdge 386547301 424801344#0 424801343#1 283621822#0 424801341 28555309#0 49991649#0 424986163#0 51049946#0 424801337#0 357338497#0 357338497#2 450695460#0 62646499#0 62646499#2 450827424#0 62646508#0 62646508#2 424799820 424799823#0 50033059#0 50033059#2 50033059#3 50033059#4 388756839#0 388756839#1 388756838#0 12136923#0 386547309#0 386547309#2 386547309#3 386547309#5 386547309#7 51050030#4 51050030#7 gneE35 -gneE34.0 --gneE83.0" probability="0.0769230769230769"/&gt;</t>
  </si>
  <si>
    <t xml:space="preserve">    &lt;route id="Router3_107" edges="31909473.0 31909473.857 62634019#1-AddedOnRampEdge 62634019#1 62634019#2.0 62634019#2.242 62634019#3-AddedOnRampEdge 62634019#3 62634019#3-AddedOffRampEdge 12111747.0 62203498#0 62093806#0 104526265#0.14 424080766 424080768#0 104523976#1 262962063 424080770#0 424080772#0 424080772#2 386547297#0 424080771#0 424080767#0 386547298#0 424769177 424080769#0 12144152#0 12144152#2 12144152#4 12166276#0 -351053388#2 12144152#7 450844965#0 388533145#0 -12168663#6 -484953513#2 -484953514#2 -284556051#4 -284556051#2 51050278#0.0 gneE16 -12165855#3.1535 386547306#4 386547306#6 51049745#0 51049745#2 51049745#3 484842179#16.0 62094032#0.9 288513230#0 288513232 484842173 50033030#0 -424801341 -283621822#1 -424801343#1 -424801343#0 49991658 424801340 424801342 386550018#0 386550018#0-AddedOffRampEdge 386550018#1 49991638 -12144161#0 12144161#0 12144161#1 49991657 283621821#1 283621821#1-AddedOffRampEdge 283621821#2 49991647#1 49991647#2 63060732#0 63060732#1 63060732#2.0 63060732#2.116 50033027 -50033029 50033050#0 50033050#2 424799828 424799825 424799826 50033054 63060727 50033029 50033028#0 50033028#3 50033028#5 50033028#6 49991646 386547300#0 283621823 386547301-AddedOnRampEdge 386547301 424801344#0 424801343#1 283621822#0 424801341 28555309#0 49991649#0 424986163#0 51049946#0 424801337#0 357338497#0 357338497#2 450695460#0 62646499#0 62646499#2 450827424#0 62646508#0 62646508#2 424799820 424799823#0 50033059#0 50033059#2 50033059#3 50033059#4 388756839#0 388756839#1 388756838#0 12136923#0 386547309#0 386547309#2 386547309#3 386547309#5 484953510#2 42706825#0 42706825#2 42706825#4 42706825#5 121319046 12188656 -50033558#2 12203859#0 12203859#1 42706831#4 42706831#5 -12180988#5 63060729#4 63060729#7 63060729#10 -42706823#3 -42706823#1 42706831#0 42706831#4 42706831#5 42706831#6 32121234#0 32121234#1 32121234#2 50033558#2 50033558#3 50033558#4 50033558#6 50033058#0 386995514#9 386995486#0 32121111#11 -12177521#0 -121319040#0 -51155368#5 -50033558#5 -50033558#3 -12188656 -121319046 -42706825#7 -42706825#4 -42706825#3 -42706825#1 194358815 194358817#0 194358817#1 194358817#2 12114363#0 12114363#1 -50033059#4 12175537#0 12175537#2 485017371#0 484953507#1 12182281#8 12182281#9 12167232#0 12167232#1 12167232#2 12152013#4 51050425#4 386995537 386995551 387422150#0 387422150#1 386995531#3 386995531#4 12172918#2 gneE73 gneE75.0 gneE80.125" probability="0.0769230769230769"/&gt;</t>
  </si>
  <si>
    <t xml:space="preserve">    &lt;route id="Router3_24" edges="-gneE80.0 -gneE80.17 -gneE41 gneE44 -388756838#2 -388756838#1 -388756838#0 42706817#0 386547310 gneE69 -388756838#2 -388756838#1 -388756838#0 -388756839#1 -388756839#0 -194358837#2 -194358837#0 194358838#0 194358838#1 32121111#9 32121111#10 -386995486#0 -386995514#9 50033058#2 50033058#3 194358837#0 194358837#1 12175533#0 12175533#2 12175533#3 42706825#4 42706825#5 12189876#0 12189876#2 484953509#0 484953509#2 -12175523#1 12134222#0 12134222#2 12134222#3 386547311#11 386547311#13 357338496#0 357338496#2 450695461#0 62646494#0 424801336#0 484842168#0 283621820 -28555309#1 -424801341 -283621822#1 -424801343#1 -424801343#0 49991658 424801340 424801342 386550018#0 386550018#0-AddedOffRampEdge 386550018#1 49991638 -12144161#0 12144161#0 12144161#1 49991657 283621821#1 283621821#1-AddedOffRampEdge 12122485 49991647#2 63060732#0 63060732#1 63060732#2.0 273888488.10 -12122468#1 -12122468#0 -424081469 -424081473 -424081472 -424987520 -30953029#1 -30953029#0 -424987519 170366765 12173391 12123285#0 170366766 -170366765 170366768 30953029#0 30953029#1 424987520 424081472 424081473 424081470 12122468#0 12122468#1 273888485.0 50033027 -50033029 50033050#0 50033055 63060727 50033029 50033028#0 50033028#3 50033028#5 50033028#6 49991646 386547300#0 283621823 386547301-AddedOnRampEdge 386547301 424801344#0 424801343#1 283621822#0 424801341 28555309#0 49991649#0 424986163#0 51049946#0 424801337#0 357338497#0 357338497#2 450695460#0 62646499#0 62646499#2 450827424#0 62646508#0 62646508#2 424799820 424799823#0 50033059#0 50033059#2 50033059#3 50033059#4 388756839#0 388756839#1 388756838#0 12136923#0 386547309#0 386547309#2 386547309#3 386547309#5 386547309#7 51050030#4 51050030#7 gneE35 -gneE34.0 --gneE83.0" probability="0.0769230769230769"/&gt;</t>
  </si>
  <si>
    <t xml:space="preserve">    &lt;route id="Router3_25" edges="-gneE80.0 -gneE80.17 -gneE41 gneE44 -388756838#2 -388756838#1 -388756838#0 42706817#0 386547310 gneE69 -388756838#2 -388756838#1 -388756838#0 -388756839#1 -388756839#0 -194358837#2 -194358837#0 194358838#0 194358838#1 32121111#9 32121111#10 -386995486#0 -386995514#9 50033058#2 50033058#3 194358837#0 194358837#1 12175533#0 12175533#2 12175533#3 42706825#4 42706825#5 12189876#0 12189876#2 484953509#0 484953509#2 -12175523#1 12134222#0 12134222#2 12134222#3 386547311#11 386547311#13 357338496#0 357338496#2 450695461#0 62646494#0 424801336#0 484842168#0 283621820 -28555309#1 -424801341 -283621822#1 -424801343#1 -424801343#0 49991658 424801340 424801342 386550018#0 386550018#0-AddedOffRampEdge 386550018#1 49991638 -12144161#0 12144161#0 12144161#1 49991657 283621821#1 283621821#1-AddedOffRampEdge 283621821#2 49991647#1 49991647#2 63060732#0 63060732#1 63060732#2.0 63060732#2.116 50033027 -50033029 50033050#0 50033050#2 424799828 424799825 424799826 -12168663#6 -484953513#2 484842168#0 283621820 -28555309#1 -424801341 -283621822#1 -424801343#1 -424801343#0 49991658 424801340 424801342 386550018#0 386550018#0-AddedOffRampEdge 386550018#1 49991638 -12144161#0 12144161#0 12144161#1 49991657 283621821#1 283621821#1-AddedOffRampEdge 12122485 49991647#2 63060732#0 63060732#1 63060732#2.0 273888488.10 -12122468#1 -12122468#0 -424081469 -424081473 -424081472 -424987520 -30953029#1 -30953029#0 -424987519 170366765 12173391 12123285#0 170366766 -170366765 170366768 30953029#0 30953029#1 424987520 424081472 424081473 424081470 12122468#0 12122468#1 273888485.0 50033027 -50033029 50033050#0 50033055 63060727 50033029 50033028#0 50033028#3 50033028#5 50033028#6 49991646 386547300#0 283621823 386547301-AddedOnRampEdge 386547301 424801344#0 424801343#1 283621822#0 424801341 28555309#0 49991649#0 424986163#0 51049946#0 424801337#0 357338497#0 357338497#2 450695460#0 62646499#0 62646499#2 450827424#0 62646508#0 62646508#2 424799820 424799823#0 50033059#0 50033059#2 50033059#3 50033059#4 388756839#0 388756839#1 388756838#0 12136923#0 386547309#0 386547309#2 386547309#3 386547309#5 386547309#7 51050030#4 51050030#7 gneE35 -gneE34.0 --gneE83.0" probability="0.0769230769230769"/&gt;</t>
  </si>
  <si>
    <t>&lt;routeDistribution id="BFPW_to_676_NB-1997-RouteProbe"&gt;</t>
  </si>
  <si>
    <t xml:space="preserve">    &lt;route id="Router3_111" edges="31909473.0 31909473.857 62634019#1-AddedOnRampEdge 62634019#1 62634019#2.0 62634019#2.242 62634019#3-AddedOnRampEdge 62634019#3 62634019#3-AddedOffRampEdge 30953251#1.0 30953251#1-AddedOffRampEdge 12112003 30953215#1-AddedOnRampEdge 30953215#1 121643865#0 12110705 50715233#0 50715233#0-AddedOffRampEdge 50715233#1.0 62203285#14.24 30908387 30908366#1-AddedOnRampEdge 30908366#1 121643863 121643862 51758697#0 51758697#1-AddedOnRampEdge 51758697#1" probability="0.2"/&gt;</t>
  </si>
  <si>
    <t xml:space="preserve">    &lt;route id="Router3_65" edges="31909473.0 31909473.857 62634019#1-AddedOnRampEdge 62634019#1 30953036 424081476 -424987520 -30953029#1 -30953029#0 -424987519 12169718#0 12169718#1 424804090#0 424804090#1 424804090#2 424804090#3 424804090#4 132508920#2 132508920#3 132508920#4 132508920#5 424080762#0 424080762#1 424080762#2 424080762#3 424080762#4 424080762#5 179915585#2 12171853#2 12198567#4 12198567#5 12152219#0 12152219#1 12152236 132508920#12 132508897#0 132508897#1 132508897#2 132508897#3 394179820#0 394179820#1 394179820#2 394179820#3 394179820#4 196355327#1 196355327#2 196355327#5 196393940#1 196207112#0 32122059#1 424080774 262962068#0.0 104526265#0.14 424080766 424080768#0 104523976#1 262962063 12189051#0 -12189051#1 424080770#0 424080772#0 12119506#0 -12156992#1 -386547297#1 -424080772#2 -424080772#1 -424080761#1 -62623960 62623959#0 386547296#0 386547296#1 424080773#0 279870839#0 279870839#2 450844960#0 62623926#1 450844950#0 38502259#0.19 450844933#1 196207115#0 196207115#2 196207115#3 196355332#0 450844979#0.0 450844982#0.19 62203497#0 62203497#2 62203497#3 12134479#1 34685684#0 34685684#2 388533143#0 388533143#2 12140627#0 63060729#0 -264253834#2 12156992#4 12156992#5 12156992#6 12156992#7 12156992#8 12156992#9 -12114396#5 -12114396#3 -12114396#1 485017383#0 485017382#0 485017382#1 211575484#0 -12177521#3 -12177521#2 -12177521#1 32121111#12 32121111#14 -12187610#5 -12187610#2 -12187610#1 12150608#0 32121146#2 12117702#9 450844953#0 450844953#2 450844953#3 450844947#0 388533142#0 388533142#2 388533142#4 62623926#0 62623926#1 450844950#0 38502259#0.19 450844933#1 196207110#0 196355327#2 196355327#5 -196393940#0" probability="0.2"/&gt;</t>
  </si>
  <si>
    <t xml:space="preserve">    &lt;route id="Router3_66" edges="31909473.0 31909473.857 62634019#1-AddedOnRampEdge 62634019#1 30953036 424081476 -424987520 -30953029#1 -30953029#0 -424987519 12169718#0 12169718#1 424804090#0 424804090#1 424804090#2 424804090#3 424804090#4 132508920#2 132508920#3 132508920#4 132508920#5 424080762#0 424080762#1 424080762#2 424080762#3 424080762#4 424080762#5 179915585#2 12171853#2 12198567#4 12198567#5 12152219#0 12152219#1 12152236 132508920#12 132508897#0 132508897#1 132508897#2 132508897#3 394179820#0 394179820#1 394179820#2 394179820#3 394179820#4 196355327#1 196355327#2 196355327#5 196393940#1 196207112#0 32122059#1 424080774 262962068#0.0 30953497#0 30953497#2 30953497#3 42706585#0 42706585#1 30953320 30953320-AddedOffRampEdge 104526277 30953215#1-AddedOnRampEdge 30953215#1 121643865#0 12110705 50715233#0 50715233#0-AddedOffRampEdge 50715233#1.0 62203285#14.24 gneE59.30.0.55 gneE59.30.0.0 43539373#0.0.292.17 gneE58 gneE56 gneE54.0 62203360#0 291433361#0 132508433.0 -gneE6.0 gneE6.0 424765883 43570920#0.22 132508717#4 43539378#1 43569848 30953391 12113092 51758697#1-AddedOnRampEdge 51758697#1" probability="0.2"/&gt;</t>
  </si>
  <si>
    <t>&lt;routeDistribution id="3400-3300-Market-EB-probe"&gt;</t>
  </si>
  <si>
    <t xml:space="preserve">    &lt;route id="Router3_53" edges="196393940#0 62203285#0 62203285#2 62203285#3 62203285#5 62203285#6 62203285#7 62203285#8 62203285#9 62203285#10 62203285#11 62203285#13 62203285#14.0 62203285#14.24 gneE59.30.0.55 gneE59.30.0.0 gneE59.0.0 gneE59.0.12 62203360#0 291433361#0 132508433.0 -gneE6.0 gneE81.299.0 gneE81.299.79 gneE81.299.145 -gneE8 12154353#0 196393941#1 196393941#2 28533986 43539369#2 12178843#2 12178843#3 49960982#2 43569828#0 387422128#1 43569827#0 43569827#1 43569827#2 43569827#7 43569848 30953391 424769002 424769005 424769006 424769004 30953396#1 387422132#0 387422132#1 486653633#0 484953506#3 484953506#4 12157002#0 12157002#1 12157002#3 12157002#5 12114396#4 -12156992#10 -12156992#8 -12156992#7 -12156992#6 -12156992#5 -12156992#4 -12156992#3 -12156992#2 -12156992#1 -386547297#1 -424080772#2 -424080772#1 -262962065#1 -262962063 -424080764 -424080768#1 -424080766 -104526265#1 30953497#0 30953497#2 30953497#3 42706585#0 42706585#1 30953320 30953320-AddedOffRampEdge 104526277 30953215#1-AddedOnRampEdge 30953215#1 121643865#0 12110705 50715233#0 50715233#0-AddedOffRampEdge 50715233#1.0 62203285#14.24 gneE59.30.0.55 gneE59.30.0.0 gneE59.0.0 gneE59.0.12 62203360#0 12159135 12149408#0 49914077 424767578 43569819 387422128#1 43569827#0 43569827#1 43569827#2 43569827#7 43569848 30953391 424769002 424769005 424769006 424769004 30953396#1 -424769003#1 -424769003#0 -485017374 42706828#0 42706828#2 12182281#0 12182281#3 12182281#5 12182281#6 386995507#4 386995507#5 386995507#6 12152013#1 12152013#2 -12175537#6 -12175537#5 -12175537#4 12182281#9 12182281#10 -388756839#1 -388756839#0 -50033059#4 -50033059#3 -50033059#2 -50033059#1 42706833#0 42706833#2 12189876#0 12189876#2 484953508#1 60185970#0 60185970#2 12149571#1 12187610#3 50033558#2 -12188656 -121319046 -42706825#7 12199713#0 12199713#1 -386995514#6 -386995514#5 -386995514#4 -386995514#3 194358817#0 194358817#1 194358817#2 12114363#0 12114363#1 -50033059#4 12175537#0 12175537#2 12175537#3 12175537#4 12175537#5 12175537#6 12175537#7 12175537#8 12175537#9 12175537#10 12175537#11 12175537#12 12155177#1 12155177#2 387422153#1 gneE73 gneE75.0 gneE80.125" probability="0.0384615384615385"/&gt;</t>
  </si>
  <si>
    <t xml:space="preserve">    &lt;route id="Router3_61" edges="196393940#0 62203285#0 62203285#2 62203285#3 62203285#5 62203285#6 62203285#7 62203286#0 62203286#2 59676508#0 -59676508#0 -62203286#2 -62203286#0 62203285#8 62203285#9 62203285#10 62203285#11 62203285#13 62203285#14.0 62203285#14.24 gneE59.30.0.55 gneE59.30.0.0 gneE59.0.0 gneE59.0.12 62203360#0 291433361#0 132508433.0 -gneE6.0 gneE81.299.0 gneE81.299.79 gneE81.299.145 -gneE8 12154353#0 196393941#1 196393941#2 28533986 43539369#2 12178843#2 12178843#3 49960982#2 43569828#0 387422128#1 43569827#0 43569827#1 43569827#2 43569827#7 43569848 30953391 424769002 424769005 424769006 424769004 30953396#1 387422132#0 387422132#1 486653633#0 484953506#3 484953506#4 12157002#0 12157002#1 12157002#3 12157002#5 12114396#4 -12156992#10 -12156992#8 -12156992#7 -12156992#6 -12156992#5 -12156992#4 -12156992#3 -12156992#2 -12156992#1 -386547297#1 -424080772#2 -424080772#1 -262962065#1 -262962063 -424080764 -424080768#1 -424080766 -104526265#1 30953497#0 30953497#2 30953497#3 42706585#0 42706585#1 30953320 30953320-AddedOffRampEdge 104526277 30953215#1-AddedOnRampEdge 30953215#1 121643865#0 12110705 50715233#0 50715233#0-AddedOffRampEdge 50715233#1.0 62203285#14.24 gneE59.30.0.55 gneE59.30.0.0 43539373#0.0.292.17 gneE58 gneE56 gneE54.0 62203360#0 291433361#0 132508433.0 -gneE6.0 gneE6.0 424765883 43539378#0.15 132508717#5 196393974#0 49914077 424767578 387422130#1 132508717#0 12149210#1 12151897#1 196393941#6 196393941#7 196393941#8 gneE87 196393974#0 388756841#0 49914076#0 12159673#0 12159673#1 393884751 43569848 30953391 12113092 51758697#1-AddedOnRampEdge 51758697#1" probability="0.0384615384615385"/&gt;</t>
  </si>
  <si>
    <t xml:space="preserve">    &lt;route id="Router3_62" edges="196393940#0 62203285#0 62203285#2 62203285#3 62203285#5 62203285#6 62203285#7 62203286#0 62203286#2 59676508#0 -59676508#0 -62203286#2 -62203286#0 62203285#8 62203285#9 62203285#10 62203285#11 62203285#13 62203285#14.0 62203285#14.24 gneE59.30.0.55 gneE59.30.0.0 gneE59.0.0 gneE59.0.12 62203360#0 291433361#0 132508433.0 -gneE6.0 gneE81.299.0 gneE81.299.79 gneE81.299.145 -gneE8 12154353#0 196393941#1 196393941#2 28533986 43539369#2 12178843#2 12178843#3 49960982#2 43569828#0 387422128#1 43569827#0 43569827#1 43569827#2 43569827#7 43569848 30953391 424769002 424769005 424769006 424769004 30953396#1 387422132#0 387422132#1 486653633#0 484953506#3 484953506#4 12157002#0 12157002#1 12157002#3 12157002#5 12114396#4 -12156992#10 -12156992#8 -12156992#7 -12156992#6 -12156992#5 -12156992#4 -12156992#3 -12156992#2 -12156992#1 -386547297#1 -424080772#2 -424080772#1 -262962065#1 -262962063 -424080764 -424080768#1 -424080766 -104526265#1 30953497#0 30953497#2 35920555#0.0 35920555#0.75 62203066 43331031.0 43331031.436 42706585#0 42706585#1 30953320 30953320-AddedOffRampEdge 30953315 104526276-AddedOnRampEdge 104526276 51758697#0 51758697#1-AddedOnRampEdge 51758697#1" probability="0.0384615384615385"/&gt;</t>
  </si>
  <si>
    <t xml:space="preserve">    &lt;route id="Router3_65" edges="31909473.0 31909473.857 62634019#1-AddedOnRampEdge 62634019#1 30953036 424081476 -424987520 -30953029#1 -30953029#0 -424987519 12169718#0 12169718#1 424804090#0 424804090#1 424804090#2 424804090#3 424804090#4 132508920#2 132508920#3 132508920#4 132508920#5 424080762#0 424080762#1 424080762#2 424080762#3 424080762#4 424080762#5 179915585#2 12171853#2 12198567#4 12198567#5 12152219#0 12152219#1 12152236 132508920#12 132508897#0 132508897#1 132508897#2 132508897#3 394179820#0 394179820#1 394179820#2 394179820#3 394179820#4 196355327#1 196355327#2 196355327#5 196393940#1 196207112#0 32122059#1 424080774 262962068#0.0 104526265#0.14 424080766 424080768#0 104523976#1 262962063 12189051#0 -12189051#1 424080770#0 424080772#0 12119506#0 -12156992#1 -386547297#1 -424080772#2 -424080772#1 -424080761#1 -62623960 62623959#0 386547296#0 386547296#1 424080773#0 279870839#0 279870839#2 450844960#0 62623926#1 450844950#0 38502259#0.19 450844933#1 196207115#0 196207115#2 196207115#3 196355332#0 450844979#0.0 450844982#0.19 62203497#0 62203497#2 62203497#3 12134479#1 34685684#0 34685684#2 388533143#0 388533143#2 12140627#0 63060729#0 -264253834#2 12156992#4 12156992#5 12156992#6 12156992#7 12156992#8 12156992#9 -12114396#5 -12114396#3 -12114396#1 485017383#0 485017382#0 485017382#1 211575484#0 -12177521#3 -12177521#2 -12177521#1 32121111#12 32121111#14 -12187610#5 -12187610#2 -12187610#1 12150608#0 32121146#2 12117702#9 450844953#0 450844953#2 450844953#3 450844947#0 388533142#0 388533142#2 388533142#4 62623926#0 62623926#1 450844950#0 38502259#0.19 450844933#1 196207110#0 196355327#2 196355327#5 -196393940#0" probability="0.0384615384615385"/&gt;</t>
  </si>
  <si>
    <t xml:space="preserve">    &lt;route id="Router3_90" edges="31909473.0 31909473.857 62634019#1-AddedOnRampEdge 62634019#1 62634019#2.0 62634019#2.242 62634019#3-AddedOnRampEdge 62634019#3 62634019#3-AddedOffRampEdge 12111747.0 59671945#0.30 62093806#0 104526265#0.14 424080766 424080768#0 104523976#1 262962063 12189051#0 -12189051#1 -262962063 -424080764 -424080768#1 -424080766 -104526265#1 30953497#0 30953497#2 30953497#3 42706585#0 42706585#1 30953320 30953320-AddedOffRampEdge 104526277 30953215#1-AddedOnRampEdge 30953215#1 121643865#0 12110705 50715233#0 50715233#0-AddedOffRampEdge 50715233#1.0 62203285#14.24 gneE59.30.0.55 gneE59.30.0.0 gneE59.0.0 gneE59.0.12 62203360#0 291433361#0 132508433.0 -gneE6.0 gneE81.299.0 gneE81.299.79 gneE81.299.145 -gneE8 12154353#0 196393941#1 196393941#2 28533986 43539369#2 12178843#2 12178843#3 49960982#2 43569828#0 387422128#1 43569827#0 43569827#1 43569827#2 43569827#7 43569848 30953391 424769002 424769005 424769006 424769004 30953396#1 387422132#0 387422132#1 486653633#0 484953506#3 484953506#4 12157002#0 12157002#1 12157002#3 12157002#5 12114396#4 -12156992#10 -12156992#8 -12156992#7 -12156992#6 -12156992#5 -12156992#4 -12156992#3 -12156992#2 -12156992#1 -386547297#1 -424080772#2 -424080772#1 -262962065#1 -262962063 -424080764 -424080768#1 -424080766 -104526265#1 30953497#0 30953497#2 35920555#0.0 35920555#0.75 62203066 43331031.0 43331031.436 42706585#0 42706585#1 30953320 30953320-AddedOffRampEdge 30953315 104526276-AddedOnRampEdge 104526276 51758697#0 51758697#1-AddedOnRampEdge 51758697#1" probability="0.0384615384615385"/&gt;</t>
  </si>
  <si>
    <t xml:space="preserve">    &lt;route id="Router3_91" edges="31909473.0 31909473.857 62634019#1-AddedOnRampEdge 62634019#1 62634019#2.0 62634019#2.242 62634019#3-AddedOnRampEdge 62634019#3 62634019#3-AddedOffRampEdge 12111747.0 59671945#0.30 62093806#0 104526265#0.14 424080766 424080768#0 104523976#1 262962063 12189051#0 -12189051#1 424080770#0 424080772#0 12119506#0 -12156992#1 -386547297#1 -424080772#2 -424080772#1 -424080761#1 -62623960 62623959#0 386547296#0 386547296#1 424080773#0 279870839#0 279870839#2 450844960#0 62623926#1 450844950#0 38502259#0.19 450844933#1 196207115#0 196207115#2 196207115#3 196355332#0 450844979#0.0 450844982#0.19 62203497#0 62203497#2 62203497#3 12134479#1 34685684#0 34685684#2 388533143#0 388533143#2 12140627#0 63060729#0 -264253834#2 12156992#4 12156992#5 12156992#6 12156992#7 12156992#8 12156992#9 -12114396#5 -12114396#3 -12114396#1 485017383#0 485017382#0 485017382#1 211575484#0 -12177521#3 -12177521#2 -12177521#1 32121111#12 32121111#14 -12187610#5 -12187610#2 -12187610#1 12150608#0 32121146#2 12117702#9 450844953#0 450844953#2 450844953#3 450844947#0 388533142#0 388533142#2 388533142#4 62623926#0 62623926#1 450844950#0 38502259#0.19 450844933#1 196207110#0 196207110#2" probability="0.0384615384615385"/&gt;</t>
  </si>
  <si>
    <t xml:space="preserve">    &lt;route id="Router3_92" edges="31909473.0 31909473.857 62634019#1-AddedOnRampEdge 62634019#1 62634019#2.0 62634019#2.242 62634019#3-AddedOnRampEdge 62634019#3 62634019#3-AddedOffRampEdge 12111747.0 59671945#0.30 62093806#0 104526265#0.14 424080766 424080768#0 104523976#1 262962063 12189051#0 -12189051#1 424080770#0 424080772#0 12119506#0 -12156992#1 -386547297#1 -424080772#2 -424080772#1 -424080761#1 -62623960 62623959#0 386547296#0 386547296#1 424080773#0 279870839#0 279870839#2 450844960#0 62623926#1 450844950#0 38502259#0.19 450844933#1 196207115#0 196207115#2 196207115#3 196355332#0 450844979#0.0 450844982#0.19 62203497#0 62203497#2 62203497#3 12134479#1 34685684#0 34685684#2 388533143#0 388533143#2 12140627#0 63060729#0 -264253834#2 12156992#4 12156992#5 12156992#6 12156992#7 12156992#8 12156992#9 -12114396#5 -12114396#3 -12114396#1 485017383#0 485017382#0 485017382#1 211575484#0 -12177521#3 -12177521#2 -12177521#1 32121111#12 32121111#14 -12187610#5 -12187610#2 -12187610#1 12150608#0 32121146#2 12117702#9 450844953#0 450844953#2 450844953#3 450844947#0 388533142#0 388533142#2 388533142#4 62623926#0 62623926#1 450844950#0 38502259#0.19 450844933#1 196207110#0 196355327#2 196355327#5 -196393940#0" probability="0.0384615384615385"/&gt;</t>
  </si>
  <si>
    <t xml:space="preserve">    &lt;route id="Router3_93" edges="31909473.0 31909473.857 62634019#1-AddedOnRampEdge 62634019#1 62634019#2.0 62634019#2.242 62634019#3-AddedOnRampEdge 62634019#3 62634019#3-AddedOffRampEdge 12111747.0 59671945#0.30 62093806#0 104526265#0.14 424080766 424080768#0 104523976#1 262962063 12189051#0 -12189051#1 424080770#0 424080772#0 12119506#0 -12156992#1 -386547297#1 -424080772#2 -424080772#1 -424080761#1 -62623960 62623959#0 386547296#0 386547296#1 424080773#0 279870839#0 279870839#2 450844960#0 62623926#1 450844950#0 38502259#0.19 450844933#1 196207115#0 196207115#2 196207115#3 196355332#0 450844979#0.0 450844982#0.19 62203497#0 62203497#2 62203497#3 12134479#1 34685684#0 34685684#2 388533143#0 388533143#2 12140627#0 63060729#0 -264253834#2 12156992#4 12156992#5 12156992#6 12156992#7 12156992#8 12156992#9 484953505 12148522#0 -12186058#4 -12186058#1 -386995465#1 -386995504#1 386995479#0 12157718#5 12157718#7 485017376 485017373#0 387422135#0 424769003#0 424769003#1 -30953396#1 -30953396#0 -424769006 -424769005 -424769002 -30953391 -43569848 -393884751 12159702 424764853 12149178#0 50189796 50189564 12149178#2 145605533#0 145605533#1-AddedOnRampEdge 145605533#1 145605511#1-AddedOnRampEdge 145605511#12 145605511#1.148" probability="0.0384615384615385"/&gt;</t>
  </si>
  <si>
    <t xml:space="preserve">    &lt;route id="Router3_94" edges="31909473.0 31909473.857 62634019#1-AddedOnRampEdge 62634019#1 62634019#2.0 62634019#2.242 62634019#3-AddedOnRampEdge 62634019#3 62634019#3-AddedOffRampEdge 12111747.0 59671945#0.30 62093806#0 104526265#0.14 424080766 424080768#0 104523976#1 262962063 12189051#0 -12189051#1 424080770#0 424080772#0 12119506#0 -12156992#1 -386547297#1 -424080772#2 -424080772#1 -424080761#1 -62623960 62623959#0 386547296#0 386547296#1 424080773#0 279870839#0 279870839#2 450844960#0 62623926#1 450844950#0 38502259#0.19 450844933#1 196207115#0 196207115#2 196207115#3 196355332#0 450844979#0.0 450844982#0.19 62203497#0 62203497#2 62203497#3 12134479#1 34685684#0 34685684#2 388533143#0 388533143#2 12140627#0 63060729#0 -264253834#2 12156992#4 12156992#5 12156992#6 12156992#7 12156992#8 12156992#9 484953505 12148522#0 485017381#0 485017381#1 -30953396#1 30953396#1 -424769003#1 -424769003#0 12157002#0 12157002#1 12157002#3 12157002#5 12114396#4 -12156992#10 -12156992#8 -12156992#7 -12156992#6 -12156992#5 -12156992#4 -12156992#3 -12156992#2 -12156992#1 -386547297#1 -424080772#2 -424080772#1 -262962065#1 -262962063 -424080764 -424080768#1 -424080766 -104526265#1 -262962068#1 -424080774 -32122059#1 -32122059#0 -196393940#2 -196393940#0" probability="0.0384615384615385"/&gt;</t>
  </si>
  <si>
    <t xml:space="preserve">    &lt;route id="Router3_95" edges="31909473.0 31909473.857 62634019#1-AddedOnRampEdge 62634019#1 62634019#2.0 62634019#2.242 62634019#3-AddedOnRampEdge 62634019#3 62634019#3-AddedOffRampEdge 12111747.0 59671945#0.30 62093806#0 104526265#0.14 424080766 424080768#0 104523976#1 262962063 12189051#0 -12189051#1 424080770#0 424080772#0 12119506#0 -12156992#1 -386547297#1 -424080772#2 -424080772#1 -424080761#1 -62623960 62623959#0 386547296#0 386547296#1 424080773#0 279870839#0 279870839#2 450844960#0 62623926#1 450844950#0 38502259#0.19 450844933#1 196207115#0 196207115#2 196207115#3 196355332#0 450844979#0.0 450844982#0.19 62203497#0 62203497#2 62203497#3 12134479#1 34685684#0 34685684#2 388533143#0 388533143#2 12140627#0 63060729#0 -264253834#2 12156992#4 12156992#5 12156992#6 12156992#7 12156992#8 12156992#9 484953505 12148522#0 485017381#0 485017381#1 -30953396#1 30953396#1 -424769003#1 -424769003#0 12157002#0 12157002#1 12157002#3 12157002#5 12114396#4 -12156992#10 -12156992#8 -12156992#7 -12156992#6 -12156992#5 -12156992#4 -12156992#3 -12156992#2 -12156992#1 -386547297#1 -424080772#2 -424080772#1 -262962065#1 -262962063 -424080764 -424080768#1 -424080766 -104526265#1 30953497#0 30953497#2 30953497#3 42706585#0 42706585#1 30953320 30953320-AddedOffRampEdge 104526277 30953215#1-AddedOnRampEdge 30953215#1 121643865#0 12110705 50715233#0 50715233#0-AddedOffRampEdge 50715233#1.0 62203285#14.24 gneE59.30.0.55 gneE59.30.0.0 43539373#0.0.292.17 gneE58 gneE56 gneE54.0 gneE62.13 gneE81.0 gneE6.0 424765883 43539378#0.15 43539378#1 -393884751 12159702 424764853 12149178#0 50189796 50189564 12149178#2 145605533#0 145605533#1-AddedOnRampEdge 145605533#1 145605511#1-AddedOnRampEdge 145605511#12 145605511#1.148" probability="0.0384615384615385"/&gt;</t>
  </si>
  <si>
    <t xml:space="preserve">    &lt;route id="Router3_96" edges="31909473.0 31909473.857 62634019#1-AddedOnRampEdge 62634019#1 62634019#2.0 62634019#2.242 62634019#3-AddedOnRampEdge 62634019#3 62634019#3-AddedOffRampEdge 12111747.0 59671945#0.30 62093806#0 104526265#0.14 424080766 424080768#0 104523976#1 262962063 12189051#0 -12189051#1 424080770#0 424080772#0 12119506#0 -12156992#1 -386547297#1 -424080772#2 -424080772#1 -424080761#1 -62623960 62623959#0 386547296#0 386547296#1 424080773#0 279870839#0 279870839#2 450844960#0 62623926#1 450844950#0 38502259#0.19 450844933#1 196207115#0 196207115#2 196207115#3 196355332#0 450844979#0.0 450844982#0.19 62203497#0 62203497#2 62203497#3 12134479#1 34685684#0 34685684#2 388533143#0 388533143#2 12140627#0 63060729#0 -264253834#2 12156992#4 12156992#5 12156992#6 12156992#7 12156992#8 12156992#9 484953505 12148522#0 485017381#0 485017381#1 -30953396#1 30953396#1 -424769003#1 -424769003#0 12157002#0 12157002#1 12186058#2 485017381#0 -12157718#12 -12157718#10 -12157718#9 -12157718#8 -12157718#6 386995479#1 386995479#2 386995479#3 386995479#4 386995479#5 386995479#6 386995490#0.0 12154359#1.20 12154359#2 -386995521#1 -386995521#0 43357814#0 43357814#1 42706837#4 42706837#5 12154359#5 12154359#6 386995531#1 386995531#2 386995531#3 386995531#4 12172918#2 gneE73 gneE75.0 gneE80.125" probability="0.0384615384615385"/&gt;</t>
  </si>
  <si>
    <t xml:space="preserve">    &lt;route id="Router3_116" edges="31909473.0 31909473.857 62634019#1-AddedOnRampEdge 62634019#1 62634019#2.0 62634019#2.242 62634019#3-AddedOnRampEdge 62634019#3 62634019#3-AddedOffRampEdge 30953251#1.0 30953251#1-AddedOffRampEdge 12112003 30953215#1-AddedOnRampEdge 30953215#1 121643865#0 12110705 50715233#0 50715233#0-AddedOffRampEdge 50715233#1.0 62203285#14.24 gneE59.30.0.55 gneE59.30.0.0 gneE59.0.0 gneE59.0.12 62203360#0 291433361#0 132508433.0 -gneE6.0 gneE81.299.0 gneE81.299.79 gneE81.299.145 -gneE8 12154353#0 196393941#1 196393941#2 28533986 43539369#2 12178843#2 12178843#3 49960982#2 43569828#0 387422128#1 43569827#0 43569827#1 43569827#2 43569827#7 43569848 30953391 424769002 424769005 424769006 424769004 30953396#1 387422132#0 387422132#1 486653633#0 484953506#3 484953506#4 12157002#0 12157002#1 12157002#3 12157002#5 12114396#4 -12156992#10 -12156992#8 -12156992#7 -12156992#6 -12156992#5 -12156992#4 -12156992#3 -12156992#2 -12156992#1 -386547297#1 -424080772#2 -424080772#1 -262962065#1 -262962063 -424080764 -424080768#1 -424080766 -104526265#1 -262962068#1 -424080774 -32122059#1 -32122059#0 -196393940#2 -196393940#0" probability="0.0384615384615385"/&gt;</t>
  </si>
  <si>
    <t xml:space="preserve">    &lt;route id="Router3_117" edges="31909473.0 31909473.857 62634019#1-AddedOnRampEdge 62634019#1 62634019#2.0 62634019#2.242 62634019#3-AddedOnRampEdge 62634019#3 62634019#3-AddedOffRampEdge 30953251#1.0 30953251#1-AddedOffRampEdge 12112003 30953215#1-AddedOnRampEdge 30953215#1 121643865#0 12110705 50715233#0 50715233#0-AddedOffRampEdge 50715233#1.0 62203285#14.24 gneE59.30.0.55 gneE59.30.0.0 gneE59.0.0 gneE59.0.12 62203360#0 291433361#0 132508433.0 -gneE6.0 gneE81.299.0 gneE81.299.79 gneE81.299.145 -gneE8 12154353#0 196393941#1 196393941#2 28533986 43539369#2 12178843#2 12178843#3 49960982#2 43569828#0 387422128#1 43569827#0 43569827#1 43569827#2 43569827#7 43569848 30953391 424769002 424769005 424769006 424769004 30953396#1 387422132#0 387422132#1 486653633#0 484953506#3 484953506#4 12157002#0 12157002#1 12157002#3 12157002#5 12114396#4 -12156992#10 -12156992#8 -12156992#7 -12156992#6 -12156992#5 -12156992#4 -12156992#3 -12156992#2 -12156992#1 -386547297#1 -424080772#2 -424080772#1 -262962065#1 -262962063 -424080764 -424080768#1 -424080766 -104526265#1 30953497#0 30953497#2 30953497#3 42706585#0 42706585#1 30953320 30953320-AddedOffRampEdge 104526277 30953215#1-AddedOnRampEdge 30953215#1 121643865#0 12110705 50715233#0 50715233#0-AddedOffRampEdge 50715233#1.0 62203285#14.24 gneE59.30.0.55 gneE59.30.0.0 gneE59.0.0 gneE59.0.12 62203360#0 12159135 12149408#0 49914077 424767578 43569819 387422128#1 43569827#0 43569827#1 43569827#2 43569827#7 43569848 30953391 424769002 424769005 424769006 424769004 30953396#1 -424769003#1 -424769003#0 -485017374 42706828#0 42706828#2 12182281#0 12182281#3 12182281#5 12182281#6 386995507#4 386995507#5 386995507#6 12152013#1 12152013#2 -12175537#6 -12175537#5 -12175537#4 12182281#9 12182281#10 -388756839#1 -388756839#0 -50033059#4 -50033059#3 -50033059#2 -50033059#1 -50033558#8 -51155368#3 121319046 12188656 -50033558#2 12203859#0 12203859#1 42706831#4 42706831#5 42706831#6 42706874#0 42706874#2 12144152#0 12144152#2 450844953#0 450844953#2 450844953#3 450844947#0 388533142#0 388533142#2 388533142#4 62623926#0 62623926#1 450844950#0 12189453#0.0.0 450844982#0.19 62203497#0 62203497#2 62203497#3 12134479#1 34685684#0 34685684#2 388533143#0 388533143#2 12140627#0 63060729#0 -264253834#2 12156992#4 12156992#5 12156992#6 12156992#7 12156992#8 12156992#9 -12114396#5 -12114396#3 -12114396#1 485017383#0 485017382#0 485017382#1 211575484#0 -12177521#3 -12177521#2 -12177521#1 32121111#12 32121111#14 -12187610#5 -12187610#2 -12187610#1 12150608#0 32121146#2 12117702#9 450844953#0 450844953#2 450844953#3 450844947#0 388533142#0 388533142#2 388533142#4 62623926#0 62623926#1 450844950#0 38502259#0.19 450844933#1 196207110#0 196207110#2" probability="0.0384615384615385"/&gt;</t>
  </si>
  <si>
    <t xml:space="preserve">    &lt;route id="Router3_118" edges="31909473.0 31909473.857 62634019#1-AddedOnRampEdge 62634019#1 62634019#2.0 62634019#2.242 62634019#3-AddedOnRampEdge 62634019#3 62634019#3-AddedOffRampEdge 30953251#1.0 30953251#1-AddedOffRampEdge 12112003 30953215#1-AddedOnRampEdge 30953215#1 121643865#0 12110705 50715233#0 50715233#0-AddedOffRampEdge 50715233#1.0 62203285#14.24 gneE59.30.0.55 gneE59.30.0.0 gneE59.0.0 gneE59.0.12 62203360#0 291433361#0 132508433.0 -gneE6.0 gneE81.299.0 gneE81.299.79 gneE81.299.145 -gneE8 12154353#0 196393941#1 196393941#2 28533986 43539369#2 12178843#2 12178843#3 49960982#2 43569828#0 387422128#1 43569827#0 43569827#1 43569827#2 43569827#7 43569848 30953391 424769002 424769005 424769006 424769004 30953396#1 387422132#0 387422132#1 486653633#0 484953506#3 484953506#4 12157002#0 12157002#1 12157002#3 12157002#5 12114396#4 -12156992#10 -12156992#8 -12156992#7 -12156992#6 -12156992#5 -12156992#4 -12156992#3 -12156992#2 -12156992#1 -386547297#1 -424080772#2 -424080772#1 -262962065#1 -262962063 -424080764 -424080768#1 -424080766 -104526265#1 30953497#0 30953497#2 30953497#3 42706585#0 42706585#1 30953320 30953320-AddedOffRampEdge 104526277 30953215#1-AddedOnRampEdge 30953215#1 121643865#0 12110705 50715233#0 50715233#0-AddedOffRampEdge 50715233#1.0 62203285#14.24 gneE59.30.0.55 gneE59.30.0.0 gneE59.0.0 gneE59.0.12 62203360#0 12159135 12149408#0 49914077 424767578 43569819 387422128#1 43569827#0 43569827#1 43569827#2 43569827#7 43569848 30953391 424769002 424769005 424769006 424769004 30953396#1 -424769003#1 -424769003#0 -485017374 42706828#0 42706828#2 12182281#0 12182281#3 12182281#5 12182281#6 386995507#4 386995507#5 386995507#6 12152013#1 12152013#2 -12175537#6 -12175537#5 -12175537#4 12182281#9 12182281#10 -388756839#1 -388756839#0 -50033059#4 -50033059#3 -50033059#2 -50033059#1 42706833#0 42706833#2 -42706825#7 12199713#0 12199713#1 -386995514#6 -386995514#5 -386995514#4 -386995514#3 -386995514#2 -386995514#1 12159500#1 12159500#2 51050030#7 gneE35 -gneE34.0 --gneE83.0" probability="0.0384615384615385"/&gt;</t>
  </si>
  <si>
    <t xml:space="preserve">    &lt;route id="Router3_119" edges="31909473.0 31909473.857 62634019#1-AddedOnRampEdge 62634019#1 62634019#2.0 62634019#2.242 62634019#3-AddedOnRampEdge 62634019#3 62634019#3-AddedOffRampEdge 30953251#1.0 30953251#1-AddedOffRampEdge 12112003 30953215#1-AddedOnRampEdge 30953215#1 121643865#0 12110705 50715233#0 50715233#0-AddedOffRampEdge 50715233#1.0 62203285#14.24 gneE59.30.0.55 gneE59.30.0.0 gneE59.0.0 gneE59.0.12 62203360#0 291433361#0 132508433.0 -gneE6.0 gneE81.299.0 gneE81.299.79 gneE81.299.145 -gneE8 12154353#0 196393941#1 196393941#2 28533986 43539369#2 12178843#2 12178843#3 49960982#2 43569828#0 387422128#1 43569827#0 43569827#1 43569827#2 43569827#7 43569848 30953391 424769002 424769005 424769006 424769004 30953396#1 387422132#0 387422132#1 486653633#0 484953506#3 484953506#4 12157002#0 12157002#1 12157002#3 12157002#5 12114396#4 -12156992#10 -12156992#8 -12156992#7 -12156992#6 -12156992#5 -12156992#4 -12156992#3 -12156992#2 -12156992#1 -386547297#1 -424080772#2 -424080772#1 -262962065#1 -262962063 -424080764 -424080768#1 -424080766 -104526265#1 30953497#0 30953497#2 35920555#0.0 35920555#0.75 62203066 43331031.0 43331031.436 42706585#0 42706585#1 30953320 30953320-AddedOffRampEdge 30953315 104526276-AddedOnRampEdge 104526276 51758697#0 51758697#1-AddedOnRampEdge 51758697#1" probability="0.0384615384615385"/&gt;</t>
  </si>
  <si>
    <t xml:space="preserve">    &lt;route id="Router3_135" edges="49887339#0.596 49887339#0-AddedOffRampEdge 12113482 424769007 424769005 424769006 424769004 30953396#1 -30953396#1 30953396#1 -424769003#1 -424769003#0 12157002#0 12157002#1 12157002#3 12157002#5 12114396#4 -12156992#10 -12156992#8 -12156992#7 -12156992#6 -12156992#5 -12156992#4 -12156992#3 -12156992#2 -12156992#1 -386547297#1 -424080772#2 -424080772#1 -262962065#1 -262962063 -424080764 -424080768#1 -424080766 -104526265#1 -262962068#1 -424080774 -32122059#1 -32122059#0 -196393940#2 -196393940#0" probability="0.0384615384615385"/&gt;</t>
  </si>
  <si>
    <t xml:space="preserve">    &lt;route id="Router3_136" edges="49887339#0.596 49887339#0-AddedOffRampEdge 12113482 424769007 424769005 424769006 424769004 30953396#1 -30953396#1 30953396#1 -424769003#1 -424769003#0 12157002#0 12157002#1 12157002#3 12157002#5 12114396#4 -12156992#10 -12156992#8 -12156992#7 -12156992#6 -12156992#5 -12156992#4 -12156992#3 -12156992#2 -12156992#1 -386547297#1 -424080772#2 -424080772#1 -262962065#1 -262962063 -424080764 -424080768#1 -424080766 -104526265#1 450844956#2 12189453#0.0.0 450844982#0.19 62203497#0 62203497#2 62203497#3 12134479#1 34685684#0 34685684#2 450844947#0 388533142#0 388533142#2 388533142#4 62623926#0 62623926#1 450844950#0 12189453#0.0.0 450844982#0.19 62203497#0 62203497#2 62203497#3 12134479#1 34685684#0 34685684#2 388533143#0 388533143#2 12140627#0 63060729#0 -264253834#2 12156992#4 12156992#5 12156992#6 12156992#7 12156992#8 12156992#9 484953505 12148522#0 485017381#0 485017381#1 -30953396#1 -30953396#0 -424769006 -424769005 -424769002 -30953391 -43569848 -393884751 12159702 424764853 12149178#0 50189796 50189564 12149178#2 145605533#0 145605533#1-AddedOnRampEdge 145605533#1 145605511#1-AddedOnRampEdge 145605511#12 145605511#1.148" probability="0.0384615384615385"/&gt;</t>
  </si>
  <si>
    <t xml:space="preserve">    &lt;route id="Router3_143" edges="49887339#0.596 49887339#0-AddedOffRampEdge 49887339#1 49887339#1-AddedOffRampEdge 104524021 104524021-AddedOffRampEdge 12158873 121643865#0 12110705 50715233#0 50715233#0-AddedOffRampEdge 50715233#1.0 62203285#14.24 gneE59.30.0.55 gneE59.30.0.0 gneE59.0.0 gneE59.0.12 62203360#0 291433361#0 132508433.0 -gneE6.0 gneE81.299.0 gneE81.299.79 gneE81.299.145 -gneE8 12154353#0 196393941#1 196393941#2 28533986 43539369#2 12178843#2 12178843#3 49960982#2 43569828#0 387422128#1 43569827#0 43569827#1 43569827#2 43569827#7 43569848 30953391 424769002 424769005 424769006 424769004 30953396#1 387422132#0 387422132#1 486653633#0 484953506#3 484953506#4 12157002#0 12157002#1 12157002#3 12157002#5 12114396#4 -12156992#10 -12156992#8 -12156992#7 -12156992#6 -12156992#5 -12156992#4 -12156992#3 -12156992#2 -12156992#1 -386547297#1 -424080772#2 -424080772#1 -262962065#1 -262962063 -424080764 -424080768#1 -424080766 -104526265#1 -262962068#1 -424080774 -32122059#1 -32122059#0 -196393940#2 -196393940#0" probability="0.0384615384615385"/&gt;</t>
  </si>
  <si>
    <t xml:space="preserve">    &lt;route id="Router3_144" edges="49887339#0.596 49887339#0-AddedOffRampEdge 49887339#1 49887339#1-AddedOffRampEdge 104524021 104524021-AddedOffRampEdge 12158873 121643865#0 12110705 50715233#0 50715233#0-AddedOffRampEdge 50715233#1.0 62203285#14.24 gneE59.30.0.55 gneE59.30.0.0 gneE59.0.0 gneE59.0.12 62203360#0 291433361#0 132508433.0 -gneE6.0 gneE81.299.0 gneE81.299.79 gneE81.299.145 -gneE8 12154353#0 196393941#1 196393941#2 28533986 43539369#2 12178843#2 12178843#3 49960982#2 43569828#0 387422128#1 43569827#0 43569827#1 43569827#2 43569827#7 43569848 30953391 424769002 424769005 424769006 424769004 30953396#1 387422132#0 387422132#1 486653633#0 484953506#3 484953506#4 12157002#0 12157002#1 12157002#3 12157002#5 12114396#4 -12156992#10 -12156992#8 -12156992#7 -12156992#6 -12156992#5 -12156992#4 -12156992#3 -12156992#2 -12156992#1 -386547297#1 -424080772#2 -424080772#1 -262962065#1 -262962063 -424080764 -424080768#1 -424080766 -104526265#1 30953497#0 30953497#2 30953497#3 42706585#0 42706585#1 30953320 30953320-AddedOffRampEdge 104526277 30953215#1-AddedOnRampEdge 30953215#1 121643865#0 12110705 50715233#0 50715233#0-AddedOffRampEdge 50715233#1.0 62203285#14.24 gneE59.30.0.55 gneE59.30.0.0 43539373#0.0.292.17 gneE58 gneE56 gneE54.0 62203360#0 291433361#0 132508433.0 -gneE6.0 gneE6.0 424765883 43539378#0.15 132508717#5 196393974#0 49914077 424767578 387422130#1 132508717#0 12149210#1 12151897#1 196393941#6 196393941#7 196393941#8 gneE87 196393974#0 388756841#0 49914076#0 12159673#0 12159673#1 393884751 43569848 30953391 12113092 51758697#1-AddedOnRampEdge 51758697#1 -gneE46.0 43357850.4841.18 gneE46 49887339#0.596 49887339#0-AddedOffRampEdge 49887339#1 49887339#1-AddedOffRampEdge 104524021 104524021-AddedOffRampEdge 50192637#0 50192637#1-AddedOnRampEdge 50192637#1.0.0 50192637#1.0.382.0.0 50192637#1.697 50192637#1-AddedOffRampEdge 30953181#1 30953181#2-AddedOnRampEdge 30953181#2 30953181#3-AddedOnRampEdge 30953181#3 30953181#3-AddedOffRampEdge 30952933#1.0 30952933#1.199" probability="0.0384615384615385"/&gt;</t>
  </si>
  <si>
    <t xml:space="preserve">    &lt;route id="Router3_145" edges="49887339#0.596 49887339#0-AddedOffRampEdge 49887339#1 49887339#1-AddedOffRampEdge 104524021 104524021-AddedOffRampEdge 12158873 121643865#0 12110705 50715233#0 50715233#0-AddedOffRampEdge 50715233#1.0 62203285#14.24 gneE59.30.0.55 gneE59.30.0.0 gneE59.0.0 gneE59.0.12 62203360#0 291433361#0 132508433.0 -gneE6.0 gneE81.299.0 gneE81.299.79 gneE81.299.145 -gneE8 12154353#0 196393941#1 196393941#2 28533986 43539369#2 12178843#2 12178843#3 49960982#2 43569828#0 387422128#1 43569827#0 43569827#1 43569827#2 43569827#7 43569848 30953391 424769002 424769005 424769006 424769004 30953396#1 387422132#0 387422132#1 486653633#0 484953506#3 484953506#4 12157002#0 12157002#1 12157002#3 12157002#5 12114396#4 -12156992#10 -12156992#8 -12156992#7 -12156992#6 -12156992#5 -12156992#4 -12156992#3 -12156992#2 -12156992#1 -386547297#1 -424080772#2 -424080772#1 -262962065#1 -262962063 -424080764 -424080768#1 -424080766 -104526265#1 30953497#0 30953497#2 35920555#0.0 35920555#0.75 62203066 43331031.0 43331031.436 42706585#0 42706585#1 30953320 30953320-AddedOffRampEdge 30953315 104526276-AddedOnRampEdge 104526276 51758697#0 51758697#1-AddedOnRampEdge 51758697#1" probability="0.0384615384615385"/&gt;</t>
  </si>
  <si>
    <t xml:space="preserve">    &lt;route id="Router3_77" edges="31909473.0 31909473.857 62634019#1-AddedOnRampEdge 62634019#1 62634019#2.0 62634019#2.242 62634019#3-AddedOnRampEdge 62634019#3 62634019#3-AddedOffRampEdge 12111747.0 12189453#0.0.0 450844982#0.19 62203497#0 62203497#2 62203497#3 12134479#1 34685684#0 34685684#2 450844947#0 388533142#0 388533142#2 12189045#0 62623987#0 62623987#1 -12142631 12202018 62623986#1 62623986#2 -12189051#1 424080770#0 424080772#0 424080772#2 386547297#0 424080771#0 424080767#0 386547298#0 424769177 424080769#0 55179414#0 12187610#0 -484953508#2 424801339#0 62646509#0 424801338#0 424801338#1 12117702#0 12117702#4 12117702#7 -32121146#3 -32121146#1 55179413#0 424769182 -450827405#2 -450827400#2 -450827382 -450827385#1 12134222#0 12134222#2 12134222#3 386547311#11 386547311#13 357338496#0 357338496#2 450695461#0 62646494#0 424801336#0 484842168#0 283621820 -28555309#1 -424801341 -283621822#1 -424801343#1 -424801343#0 49991658 424801340 424801342 386550018#0 386550018#0-AddedOffRampEdge 386550018#1 49991638 -12144161#0 12144161#0 12144161#1 49991657 283621821#1 283621821#1-AddedOffRampEdge 283621821#2 49991647#1 49991647#2 63060732#0 63060732#1 63060732#2.0 63060732#2.116 50033027 -50033029 50033050#0 50033050#2 424799828 424799825 424799826 50033054 63060727 50033029 50033028#0 50033028#3 50033028#5 50033028#6 49991646 386547300#0 283621823 386547301-AddedOnRampEdge 386547301 424801344#0 424801343#1 283621822#0 424801341 28555309#0 49991649#0 424986163#0 51049946#0 424801337#0 357338497#0 357338497#2 450695460#0 62646499#0 62646499#2 450827424#0 62646508#0 62646508#2 424799820 424799823#0 50033059#0 50033059#2 50033059#3 50033059#4 388756839#0 388756839#1 388756838#0 12136923#0 386547309#0 386547309#2 386547309#3 386547309#5 386547309#7 51050030#4 51050030#7 gneE35 -gneE34.0 --gneE83.0" probability="0.0384615384615385"/&gt;</t>
  </si>
  <si>
    <t xml:space="preserve">    &lt;route id="Router3_78" edges="31909473.0 31909473.857 62634019#1-AddedOnRampEdge 62634019#1 62634019#2.0 62634019#2.242 62634019#3-AddedOnRampEdge 62634019#3 62634019#3-AddedOffRampEdge 12111747.0 12189453#0.0.0 450844982#0.19 62203497#0 62203497#2 62203497#3 12134479#1 34685684#0 34685684#2 450844947#0 388533142#0 388533142#2 12189045#0 62623987#0 62623987#1 -12142631 12202018 62623986#1 62623986#2 -12189051#1 424080770#0 424080772#0 424080772#2 386547297#0 424080771#0 424080767#0 386547298#0 424769177 424080769#0 55179414#0 12187610#0 -484953508#2 424801339#0 62646509#0 424801338#0 424801338#1 12117702#0 12117702#4 12117702#7 -32121146#3 -32121146#1 55179413#0 424769182 -450827405#2 -450827400#2 -450827382 -450827385#1 12134222#0 12134222#2 12134222#3 386547311#11 386547311#13 357338496#0 357338496#2 450695461#0 62646494#0 424801336#0 484842168#0 283621820 -28555309#1 -424801341 -283621822#1 -424801343#1 -424801343#0 49991658 424801340 424801342 386550018#0 386550018#0-AddedOffRampEdge 386550018#1 49991638 -12144161#0 12144161#0 12144161#1 49991657 283621821#1 283621821#1-AddedOffRampEdge 283621821#2 49991647#1 49991647#2 63060732#0 63060732#1 63060732#2.0 63060732#2.116 50033027 -50033029 50033050#0 50033050#2 424799828 424799825 424799826 50033054 63060727 50033029 50033028#0 50033028#3 50033028#5 50033028#6 49991646 386547300#0 283621823 386547301-AddedOnRampEdge 386547301 424801344#0 424801343#1 283621822#0 424801341 28555309#0 49991649#0 424986163#0 51049946#0 424801337#0 357338497#0 357338497#2 450695460#0 62646499#0 62646499#2 450827424#0 62646508#0 62646508#2 424799820 424799823#0 50033059#0 50033059#2 50033059#3 50033059#4 388756839#0 388756839#1 388756838#0 12136923#0 386547309#0 386547309#2 386547309#3 386547309#5 484953510#2 42706825#0 42706825#2 42706825#4 42706825#5 424799823#0 42706833#0 42706833#2 -42706825#7 12199713#0 12199713#1 -386995514#6 -386995514#5 -386995514#4 -386995514#3 -386995514#2 -386995514#1 12159500#1 12159500#2 51050030#7 gneE35 -gneE34.0 --gneE83.0" probability="0.0384615384615385"/&gt;</t>
  </si>
  <si>
    <t>&lt;routeDistribution id="3400-3300-Market-WB-probe"&gt;</t>
  </si>
  <si>
    <t xml:space="preserve">    &lt;route id="Router3_81" edges="31909473.0 31909473.857 62634019#1-AddedOnRampEdge 62634019#1 62634019#2.0 62634019#2.242 62634019#3-AddedOnRampEdge 62634019#3 62634019#3-AddedOffRampEdge 12111747.0 12189453#0.0.0 450844982#0.19 62203497#0 62203497#2 62203497#3 12134479#1 34685684#0 34685684#2 450844947#0 388533142#0 388533142#2 12189045#0 62623987#0 62623987#1 -12142631 12202018 62623986#1 62623986#2 -12189051#1 424080770#0 424080772#0 424080772#2 386547297#0 424080771#0 424080767#0 386547298#0 424769177 424080769#0 55179414#0 12187610#0 60185970#0 60185970#2 12149571#1 12187610#3 50033558#2 50033558#3 50033558#4 50033558#6 50033058#0 386995514#9 386995486#0 32121111#11 -12177521#0 -121319040#0 -51155368#5 -50033558#5 -50033558#3 -12188656 -121319046 -42706825#7 -42706825#4 -42706825#3 -42706825#1 194358815 194358817#0 194358817#1 194358817#2 12114363#0 12114363#1 -50033059#4 12175537#0 12175537#2 485017371#0 484953507#1 12182281#8 12182281#9 12167232#0 12167232#1 12167232#2 12152013#4 51050425#4 386995537 386995551 387422150#0 387422150#1 386995531#3 386995531#4 12172918#2 gneE73 gneE75.0 gneE80.125" probability="0.0666666666666667"/&gt;</t>
  </si>
  <si>
    <t xml:space="preserve">    &lt;route id="Router3_97" edges="31909473.0 31909473.857 62634019#1-AddedOnRampEdge 62634019#1 62634019#2.0 62634019#2.242 62634019#3-AddedOnRampEdge 62634019#3 62634019#3-AddedOffRampEdge 12111747.0 59671945#0.30 62093806#0 104526265#0.14 424080766 424080768#0 104523976#1 262962063 12189051#0 -12189051#1 424080770#0 424080772#0 424080772#2 386547297#0 424080771#0 424080767#0 386547298#0 424769177 424080769#0 55179414#0 12187610#0 -484953508#2 424801339#0 62646509#0 424801338#0 424801338#1 12117702#0 12117702#4 12117702#7 -32121146#3 -32121146#1 55179413#0 424769182 -450827405#2 -450827400#2 -450827382 -450827385#1 12134222#0 12134222#2 12134222#3 386547311#11 386547311#13 357338496#0 357338496#2 450695461#0 62646494#0 424801336#0 484842168#0 283621820 -28555309#1 -424801341 -283621822#1 -424801343#1 -424801343#0 49991658 424801340 424801342 386550018#0 386550018#0-AddedOffRampEdge 386550018#1 49991638 -12144161#0 12144161#0 12144161#1 49991657 283621821#1 283621821#1-AddedOffRampEdge 283621821#2 49991647#1 49991647#2 63060732#0 63060732#1 63060732#2.0 63060732#2.116 50033027 -50033029 50033050#0 50033050#2 424799828 424799825 424799826 50033054 63060727 50033029 50033028#0 50033028#3 50033028#5 50033028#6 49991646 386547300#0 283621823 386547301-AddedOnRampEdge 386547301 424801344#0 424801343#1 283621822#0 424801341 28555309#0 49991649#0 424986163#0 51049946#0 424801337#0 357338497#0 357338497#2 450695460#0 62646499#0 62646499#2 450827424#0 62646508#0 62646508#2 424799820 424799823#0 50033059#0 50033059#2 50033059#3 50033059#4 388756839#0 388756839#1 388756838#0 12136923#0 386547309#0 386547309#2 386547309#3 386547309#5 386547309#7 51050030#4 51050030#7 gneE35 -gneE34.0 --gneE83.0" probability="0.0666666666666667"/&gt;</t>
  </si>
  <si>
    <t xml:space="preserve">    &lt;route id="Router3_98" edges="31909473.0 31909473.857 62634019#1-AddedOnRampEdge 62634019#1 62634019#2.0 62634019#2.242 62634019#3-AddedOnRampEdge 62634019#3 62634019#3-AddedOffRampEdge 12111747.0 59671945#0.30 62093806#0 104526265#0.14 424080766 424080768#0 104523976#1 262962063 12189051#0 -12189051#1 424080770#0 424080772#0 424080772#2 386547297#0 424080771#0 424080767#0 386547298#0 424769177 424080769#0 55179414#0 12187610#0 -484953508#2 424801339#0 62646509#0 424801338#0 424801338#1 357338496#0 357338487#0 -12134222#6 -12134222#4 -12134222#2 -12134222#1 12175523#0 484953509#4 51050030#0 386547309#9 12180696#0 12180696#2 12180696#4 12180696#6 386547306#0 386547306#4 386547306#6 51049745#0 51049745#2 51049745#3 484842179#16.0 62094032#0.9 288513230#0 288513232 484842173 50033030#0 -424801341 -283621822#1 -424801343#1 -424801343#0 49991658 424801340 424801342 386550018#0 386550018#0-AddedOffRampEdge 386550018#1 49991638 -12144161#0 12144161#0 12144161#1 49991657 283621821#1 283621821#1-AddedOffRampEdge 283621821#2 49991647#1 49991647#2 63060732#0 63060732#1 63060732#2.0 63060732#2.116 50033027 -50033029 50033050#0 50033050#2 424799828 424799825 424799826 50033054 63060727 50033029 50033028#0 50033028#3 50033028#5 50033028#6 49991646 386547300#0 283621823 386547301-AddedOnRampEdge 386547301 424801344#0 424801343#1 283621822#0 424801341 28555309#0 49991649#0 424986163#0 51049946#0 424801337#0 357338497#0 357338497#2 450695460#0 62646499#0 62646499#2 450827424#0 62646508#0 62646508#2 424799820 424799823#0 50033059#0 50033059#2 50033059#3 50033059#4 388756839#0 388756839#1 388756838#0 12136923#0 386547309#0 386547309#2 386547309#3 386547309#5 386547309#7 51050030#4 51050030#7 gneE35 -gneE34.0 --gneE83.0" probability="0.0666666666666667"/&gt;</t>
  </si>
  <si>
    <t xml:space="preserve">    &lt;route id="Router3_99" edges="31909473.0 31909473.857 62634019#1-AddedOnRampEdge 62634019#1 62634019#2.0 62634019#2.242 62634019#3-AddedOnRampEdge 62634019#3 62634019#3-AddedOffRampEdge 12111747.0 59671945#0.30 62093806#0 104526265#0.14 424080766 424080768#0 104523976#1 262962063 12189051#0 -12189051#1 424080770#0 424080772#0 424080772#2 386547297#0 424080771#0 424080767#0 386547298#0 424769177 424080769#0 55179414#0 12187610#0 -484953508#2 424801339#0 62646509#0 424801338#0 424801338#1 357338496#0 357338487#0 -12134222#6 -12134222#4 -12134222#2 -12134222#1 12175523#0 484953509#4 51050030#0 386547309#9 12180696#0 12180696#2 386547311#6 386547311#8 386547311#9 -12134222#4 -12134222#2 -12134222#1 12175523#0 484953509#4 51050030#0 386547309#9 12180696#0 12180696#2 12180696#4 12180696#6 386547306#0 386547306#4 386547306#6 51049745#0 51049745#2 51049745#3 484842179#16.0 62094032#0.9 288513230#0 288513232 484842173 50033030#0 -424801341 -283621822#1 -424801343#1 -424801343#0 49991658 424801340 424801342 386550018#0 386550018#0-AddedOffRampEdge 386550018#1 49991638 -12144161#0 12144161#0 12144161#1 49991657 283621821#1 283621821#1-AddedOffRampEdge 283621821#2 49991647#1 49991647#2 63060732#0 63060732#1 63060732#2.0 63060732#2.116 50033027 -50033029 50033050#0 50033050#2 424799828 424799825 424799826 50033054 63060727 50033029 50033028#0 50033028#3 50033028#5 50033028#6 49991646 386547300#0 283621823 386547301-AddedOnRampEdge 386547301 424801344#0 424801343#1 283621822#0 424801341 28555309#0 49991649#0 424986163#0 51049946#0 424801337#0 357338497#0 357338497#2 450695460#0 62646499#0 62646499#2 450827424#0 62646508#0 62646508#2 424799820 424799823#0 50033059#0 50033059#2 50033059#3 50033059#4 388756839#0 388756839#1 388756838#0 12136923#0 386547309#0 386547309#2 386547309#3 386547309#5 386547309#7 51050030#4 51050030#7 gneE35 -gneE34.0 --gneE83.0" probability="0.0666666666666667"/&gt;</t>
  </si>
  <si>
    <t xml:space="preserve">    &lt;route id="Router3_100" edges="31909473.0 31909473.857 62634019#1-AddedOnRampEdge 62634019#1 62634019#2.0 62634019#2.242 62634019#3-AddedOnRampEdge 62634019#3 62634019#3-AddedOffRampEdge 12111747.0 59671945#0.30 62093806#0 104526265#0.14 424080766 424080768#0 104523976#1 262962063 12189051#0 -12189051#1 424080770#0 424080772#0 424080772#2 386547297#0 424080771#0 424080767#0 386547298#0 424769177 424080769#0 55179414#0 12187610#0 -484953508#2 424801339#0 62646509#0 424801338#0 424801338#1 357338496#0 357338487#0 -12134222#6 -12134222#4 -12134222#2 -12134222#1 12175523#0 484953509#4 51050030#0 386547309#9 12180696#0 12180696#2 386547311#6 386547311#8 386547311#9 -12134222#4 -12134222#2 -12134222#1 12175523#0 484953509#4 51050030#0 386547309#9 12180696#0 12180696#2 386547311#6 386547311#8 386547311#9 -12134222#4 -12134222#2 -12134222#1 450827385#0 450827382 450827400#0 62646509#0 424801338#0 424801338#1 12117702#0 12117702#4 12117702#7 -32121146#3 -32121146#1 55179413#0 424769182 -450827405#2 -450827400#2 -450827382 -450827385#1 12134222#0 12134222#2 12134222#3 386547311#11 386547311#13 357338496#0 357338496#2 450695461#0 62646494#0 424801336#0 484842168#0 283621820 -28555309#1 -424801341 -283621822#1 -424801343#1 -424801343#0 49991658 424801340 424801342 386550018#0 386550018#0-AddedOffRampEdge 386550018#1 49991638 -12144161#0 12144161#0 12144161#1 49991657 283621821#1 283621821#1-AddedOffRampEdge 283621821#2 49991647#1 49991647#2 63060732#0 63060732#1 63060732#2.0 63060732#2.116 50033027 -50033029 50033050#0 50033050#2 424799828 424799825 424799826 50033054 63060727 50033029 50033028#0 50033028#3 50033028#5 50033028#6 49991646 386547300#0 283621823 386547301-AddedOnRampEdge 386547301 424801344#0 424801343#1 283621822#0 424801341 28555309#0 49991649#0 424986163#0 51049946#0 424801337#0 357338497#0 357338497#2 450695460#0 62646499#0 62646499#2 450827424#0 62646508#0 62646508#2 424799820 424799823#0 50033059#0 50033059#2 50033059#3 50033059#4 388756839#0 388756839#1 388756838#0 12136923#0 386547309#0 386547309#2 386547309#3 386547309#5 386547309#7 51050030#4 51050030#7 gneE35 -gneE34.0 --gneE83.0" probability="0.0666666666666667"/&gt;</t>
  </si>
  <si>
    <t xml:space="preserve">    &lt;route id="Router3_102" edges="31909473.0 31909473.857 62634019#1-AddedOnRampEdge 62634019#1 62634019#2.0 62634019#2.242 62634019#3-AddedOnRampEdge 62634019#3 62634019#3-AddedOffRampEdge 12111747.0 62203498#0 62093806#0 104526265#0.14 424080766 424080768#0 104523976#1 262962063 424080770#0 -424080761#1 -62623960 62623959#0 386547296#0 386547296#1 424080773#0 104523976#1 262962063 424080770#0 424080772#0 424080772#2 386547297#0 424080771#0 424080767#0 386547298#0 424769177 424080769#0 55179414#0 55179413#0 424769182 -450827405#2 -450827400#2 -450827382 -450827385#1 -450827391#1 -450827381 -450827397#1 12180696#0 59435515#1 59435515#2 59435515#3 59435515#4 424801338#1 12117702#0 12117702#4 12117702#7 -32121146#3 12202008#2.0 12202008#2.171 62646499#2 450827424#0 450827405#0 262962062 -55179413#2 12187610#0 12187610#2 12187610#3 -62105579 12186909#0 12186909#1 12186909#2 12186909#4 12186909#6 386995479#0 12157718#5 12157718#7 485017376 485017373#0 387422135#0 424769003#0 424769003#1 -30953396#1 -30953396#0 -424769006 -424769005 -424769002 -30953391 -43569848 -393884751 12159702 424764853 12149178#0 50189796 50189564 12149178#2 145605533#0 145605533#1-AddedOnRampEdge 145605533#1 145605511#1-AddedOnRampEdge 145605511#12 145605511#1.148" probability="0.0666666666666667"/&gt;</t>
  </si>
  <si>
    <t xml:space="preserve">    &lt;route id="Router3_105" edges="31909473.0 31909473.857 62634019#1-AddedOnRampEdge 62634019#1 62634019#2.0 62634019#2.242 62634019#3-AddedOnRampEdge 62634019#3 62634019#3-AddedOffRampEdge 12111747.0 62203498#0 62093806#0 104526265#0.14 424080766 424080768#0 104523976#1 262962063 424080770#0 424080772#0 424080772#2 386547297#0 424080771#0 424080767#0 386547298#0 424769177 424080769#0 12144152#0 12144152#2 12144152#4 12144152#6 12157151#0 12166276#2 -32121146#5 12117702#9 450844953#0 450844953#2 450844953#3 450844947#0 388533142#0 388533142#2 12189045#0 62623987#0 62623987#1 -12142631 12202018 62623986#1 62623986#2 -12189051#1 -262962063 -424080764 -424080768#1 -424080766 -104526265#1 -262962068#1 -424080774 -32122059#1 -32122059#0 -196393940#2 -196393940#0" probability="0.0666666666666667"/&gt;</t>
  </si>
  <si>
    <t xml:space="preserve">    &lt;route id="Router3_106" edges="31909473.0 31909473.857 62634019#1-AddedOnRampEdge 62634019#1 62634019#2.0 62634019#2.242 62634019#3-AddedOnRampEdge 62634019#3 62634019#3-AddedOffRampEdge 12111747.0 62203498#0 62093806#0 104526265#0.14 424080766 424080768#0 104523976#1 262962063 424080770#0 424080772#0 424080772#2 386547297#0 424080771#0 424080767#0 386547298#0 424769177 424080769#0 12144152#0 12144152#2 12144152#4 12166276#0 -351053388#2 12144152#7 450844965#0 388533145#0 -12168663#6 -484953513#2 -484953514#2 -284556051#4 -284556051#2 51050278#0.0 gneE16 -12165855#3.1535 386547306#4 386547306#6 51049745#0 51049745#2 51049745#3 484842179#16.0 62094032#0.9 288513230#0 288513232 484842173 50033030#0 -424801341 -283621822#1 -424801343#1 -424801343#0 49991658 424801340 424801342 386550018#0 386550018#0-AddedOffRampEdge 386550018#1 49991638 -12144161#0 12144161#0 12144161#1 49991657 283621821#1 283621821#1-AddedOffRampEdge 283621821#2 49991647#1 49991647#2 63060732#0 63060732#1 63060732#2.0 63060732#2.116 50033027 -50033029 50033050#0 50033050#2 424799828 424799825 424799826 50033054 63060727 50033029 50033028#0 50033028#3 50033028#5 50033028#6 49991646 386547300#0 283621823 386547301-AddedOnRampEdge 386547301 424801344#0 424801343#1 283621822#0 424801341 28555309#0 49991649#0 424986163#0 51049946#0 424801337#0 357338497#0 357338497#2 450695460#0 62646499#0 62646499#2 450827424#0 62646508#0 62646508#2 424799820 424799823#0 50033059#0 50033059#2 50033059#3 50033059#4 388756839#0 388756839#1 388756838#0 12136923#0 386547309#0 386547309#2 386547309#3 386547309#5 386547309#7 51050030#4 51050030#7 gneE35 -gneE34.0 --gneE83.0" probability="0.0666666666666667"/&gt;</t>
  </si>
  <si>
    <t xml:space="preserve">    &lt;route id="Router3_107" edges="31909473.0 31909473.857 62634019#1-AddedOnRampEdge 62634019#1 62634019#2.0 62634019#2.242 62634019#3-AddedOnRampEdge 62634019#3 62634019#3-AddedOffRampEdge 12111747.0 62203498#0 62093806#0 104526265#0.14 424080766 424080768#0 104523976#1 262962063 424080770#0 424080772#0 424080772#2 386547297#0 424080771#0 424080767#0 386547298#0 424769177 424080769#0 12144152#0 12144152#2 12144152#4 12166276#0 -351053388#2 12144152#7 450844965#0 388533145#0 -12168663#6 -484953513#2 -484953514#2 -284556051#4 -284556051#2 51050278#0.0 gneE16 -12165855#3.1535 386547306#4 386547306#6 51049745#0 51049745#2 51049745#3 484842179#16.0 62094032#0.9 288513230#0 288513232 484842173 50033030#0 -424801341 -283621822#1 -424801343#1 -424801343#0 49991658 424801340 424801342 386550018#0 386550018#0-AddedOffRampEdge 386550018#1 49991638 -12144161#0 12144161#0 12144161#1 49991657 283621821#1 283621821#1-AddedOffRampEdge 283621821#2 49991647#1 49991647#2 63060732#0 63060732#1 63060732#2.0 63060732#2.116 50033027 -50033029 50033050#0 50033050#2 424799828 424799825 424799826 50033054 63060727 50033029 50033028#0 50033028#3 50033028#5 50033028#6 49991646 386547300#0 283621823 386547301-AddedOnRampEdge 386547301 424801344#0 424801343#1 283621822#0 424801341 28555309#0 49991649#0 424986163#0 51049946#0 424801337#0 357338497#0 357338497#2 450695460#0 62646499#0 62646499#2 450827424#0 62646508#0 62646508#2 424799820 424799823#0 50033059#0 50033059#2 50033059#3 50033059#4 388756839#0 388756839#1 388756838#0 12136923#0 386547309#0 386547309#2 386547309#3 386547309#5 484953510#2 42706825#0 42706825#2 42706825#4 42706825#5 121319046 12188656 -50033558#2 12203859#0 12203859#1 42706831#4 42706831#5 -12180988#5 63060729#4 63060729#7 63060729#10 -42706823#3 -42706823#1 42706831#0 42706831#4 42706831#5 42706831#6 32121234#0 32121234#1 32121234#2 50033558#2 50033558#3 50033558#4 50033558#6 50033058#0 386995514#9 386995486#0 32121111#11 -12177521#0 -121319040#0 -51155368#5 -50033558#5 -50033558#3 -12188656 -121319046 -42706825#7 -42706825#4 -42706825#3 -42706825#1 194358815 194358817#0 194358817#1 194358817#2 12114363#0 12114363#1 -50033059#4 12175537#0 12175537#2 485017371#0 484953507#1 12182281#8 12182281#9 12167232#0 12167232#1 12167232#2 12152013#4 51050425#4 386995537 386995551 387422150#0 387422150#1 386995531#3 386995531#4 12172918#2 gneE73 gneE75.0 gneE80.125" probability="0.0666666666666667"/&gt;</t>
  </si>
  <si>
    <t xml:space="preserve">    &lt;route id="Router3_108" edges="31909473.0 31909473.857 62634019#1-AddedOnRampEdge 62634019#1 62634019#2.0 62634019#2.242 62634019#3-AddedOnRampEdge 62634019#3 62634019#3-AddedOffRampEdge 12111747.0 62203498#0 62093806#0 104526265#0.14 424080766 424080768#0 104523976#1 262962063 424080770#0 424080772#0 424080772#2 386547297#0 424080771#0 424080767#0 386547298#0 424769177 424080769#0 12144152#0 12144152#2 450844953#0 450844953#2 450844953#3 450844947#0 388533142#0 388533142#2 388533142#4 62623926#0 62623926#1 450844950#0 12189453#0.0.0 450844982#0.19 62203497#0 62203497#2 62203497#3 12134479#1 34685684#0 34685684#2 388533143#0 388533143#2 12140627#0 63060729#0 -264253834#2 12156992#4 12156992#5 12156992#6 12156992#7 12156992#8 12156992#9 484953505 12148522#0 485017381#0 485017381#1 -30953396#1 30953396#1 -424769003#1 -424769003#0 12157002#0 12157002#1 12186058#2 485017381#0 -12157718#12 -12157718#10 -12157718#9 -12157718#8 -12157718#6 386995479#1 386995479#2 386995479#3 386995479#4 386995479#5 386995479#6 386995490#0.0 12154359#1.20 12154359#2 -386995521#1 -386995521#0 43357814#0 43357814#1 42706837#4 42706837#5 12154359#5 12154359#6 386995531#1 386995531#2 386995531#3 386995531#4 12172918#2 gneE73 gneE75.0 gneE80.125" probability="0.0666666666666667"/&gt;</t>
  </si>
  <si>
    <t xml:space="preserve">    &lt;route id="Router3_109" edges="31909473.0 31909473.857 62634019#1-AddedOnRampEdge 62634019#1 62634019#2.0 62634019#2.242 62634019#3-AddedOnRampEdge 62634019#3 62634019#3-AddedOffRampEdge 12111747.0 62203498#0 62093806#0 104526265#0.14 424080766 424080768#0 104523976#1 262962063 424080770#0 424080772#0 424080772#2 386547297#0 424080771#0 424080767#0 386547298#0 424769177 424080769#0 12144152#0 12144152#2 450844953#0 450844953#2 450844953#3 450844947#0 388533142#0 388533142#2 388533142#4 62623926#0 62623926#1 450844950#0 12189453#0.0.0 450844982#0.19 62203497#0 62203497#2 62203497#3 12134479#1 34685684#0 34685684#2 450844947#0 388533142#0 388533142#2 12189045#0 62623987#0 62623987#1 -12142631 12202018 62623986#1 62623986#2 -12189051#1 -262962063 -424080764 -424080768#1 -424080766 -104526265#1 -262962068#1 -424080774 -32122059#1 -32122059#0 -196393940#2 -196393940#0" probability="0.0666666666666667"/&gt;</t>
  </si>
  <si>
    <t xml:space="preserve">    &lt;route id="Router3_19" edges="-gneE80.0 -gneE80.17 -gneE41 gneE44 -388756838#2 -388756838#1 -388756838#0 42706817#0 386547310 gneE69 -388756838#2 -388756838#1 -388756838#0 -388756839#1 -388756839#0 -194358837#2 -194358837#0 194358838#0 194358838#1 194358838#2 194358838#3 387422145#0 387422145#3 386995499#0 386995499#2 42706831#0 42706831#4 42706831#5 42706831#6 42706874#0 42706874#2 -424080769#1 -424769177 -386547298#1 -424080767#1 -424080771#1 -386547297#1 -424080772#2 -424080772#1 -424080761#1 -62623960 62623959#0 386547296#0 386547296#1 424080773#0 -424080768#1 -424080766 -104526265#1 30953497#0 30953497#2 30953497#3 42706585#0 42706585#1 30953320 30953320-AddedOffRampEdge 104526277 30953215#1-AddedOnRampEdge 30953215#1 121643865#0 12110705 50715233#0 50715233#0-AddedOffRampEdge 50715233#1.0 62203285#14.24 30908387 30908366#1-AddedOnRampEdge 30908366#1 121643863 121643862 51758697#0 51758697#1-AddedOnRampEdge 51758697#1 -gneE46.0 43357850.4841.18 gneE46 49887339#0.596 49887339#0-AddedOffRampEdge 49887339#1 49887339#1-AddedOffRampEdge 104524021 104524021-AddedOffRampEdge 50192637#0 50192637#1-AddedOnRampEdge 50192637#1.0.0 50192637#1.0.382.0.0 50192637#1.697 50192637#1-AddedOffRampEdge 30953181#1 30953181#2-AddedOnRampEdge 30953181#2 30953181#3-AddedOnRampEdge 30953181#3 30953181#3-AddedOffRampEdge 30952933#1.0 30952933#1.199" probability="0.0666666666666667"/&gt;</t>
  </si>
  <si>
    <t xml:space="preserve">    &lt;route id="Router3_49" edges="196393940#0 62203285#0 62203285#2 62203285#3 62203285#5 42706664#7 42706664#8 12186741#4 12186741#5 196207112#0 32122059#1 424080774 262962068#0.0 104526265#0.14 424080766 424080768#0 104523976#1 262962063 12189051#0 -12189051#1 424080770#0 424080772#0 12119506#0 -12156992#1 -386547297#1 -424080772#2 -424080772#1 -424080761#1 -62623960 62623959#0 386547296#0 386547296#1 424080773#0 279870839#0 279870839#2 450844960#0 62623926#1 450844950#0 38502259#0.19 450844933#1 196207115#0 196207115#2 196207115#3 196355332#0 450844979#0.0 450844982#0.19 62203497#0 62203497#2 62203497#3 12134479#1 34685684#0 34685684#2 388533143#0 388533143#2 12140627#0 63060729#0 -264253834#2 12156992#4 12156992#5 12156992#6 12156992#7 12156992#8 12156992#9 -12114396#5 -12114396#3 -12114396#1 485017383#0 485017382#0 485017382#1 211575484#0 -12177521#3 -12177521#2 -12177521#1 32121111#12 32121111#14 -12187610#5 -12187610#2 -12187610#1 12150608#0 32121146#2 12117702#9 450844953#0 450844953#2 450844953#3 450844947#0 388533142#0 388533142#2 388533142#4 62623926#0 62623926#1 450844950#0 38502259#0.19 450844933#1 196207110#0 196207110#2" probability="0.0666666666666667"/&gt;</t>
  </si>
  <si>
    <t>&lt;routeDistribution id="76_to_676-RouteProbe"&gt;</t>
  </si>
  <si>
    <t xml:space="preserve">    &lt;route id="Router3_110" edges="31909473.0 31909473.857 62634019#1-AddedOnRampEdge 62634019#1 62634019#2.0 62634019#2.242 62634019#3-AddedOnRampEdge 62634019#3 62634019#3-AddedOffRampEdge 30953251#1.0 30953251#1-AddedOffRampEdge 12112003 30953215#1-AddedOnRampEdge 30953215#1 121643865#0 12110705 50715233#0 50715233#0-AddedOffRampEdge 50715233#1.0 62203285#14.24 30908387 30908366#1-AddedOnRampEdge 30908366#1 121643863 121643862 51758697#0 51758697#1-AddedOnRampEdge 51758697#1 -gneE46.0 43357850.4841.18 gneE46 49887339#0.596 49887339#0-AddedOffRampEdge 49887339#1 49887339#1-AddedOffRampEdge 104524021 104524021-AddedOffRampEdge 50192637#0 50192637#1-AddedOnRampEdge 50192637#1.0.0 50192637#1.0.382.0.0 50192637#1.697 50192637#1-AddedOffRampEdge 30953181#1 30953181#2-AddedOnRampEdge 30953181#2 30953181#3-AddedOnRampEdge 30953181#3 30953181#3-AddedOffRampEdge 30952933#1.0 30952933#1.199" probability="0.0285714285714286"/&gt;</t>
  </si>
  <si>
    <t xml:space="preserve">    &lt;route id="Router3_123" edges="31909473.0 31909473.857 62634019#1-AddedOnRampEdge 62634019#1 62634019#2.0 62634019#2.242 62634019#3-AddedOnRampEdge 62634019#3 62634019#3-AddedOffRampEdge 30953251#1.0 30953251#1-AddedOffRampEdge 30953251#2.0 104526276-AddedOnRampEdge 104526276 51758697#0 51758697#1-AddedOnRampEdge 51758697#1 -gneE46.0 43357850.4841.18 gneE46 49887339#0.596 49887339#0-AddedOffRampEdge 49887339#1 49887339#1-AddedOffRampEdge 104524021 104524021-AddedOffRampEdge 50192637#0 50192637#1-AddedOnRampEdge 50192637#1.0.0 50192637#1.0.382.0.0 50192637#1.697 50192637#1-AddedOffRampEdge 30953181#1 30953181#2-AddedOnRampEdge 30953181#2 30953181#3-AddedOnRampEdge 30953181#3 30953181#3-AddedOffRampEdge 30952933#1.0 30952933#1.199" probability="0.0285714285714286"/&gt;</t>
  </si>
  <si>
    <t xml:space="preserve">    &lt;route id="Router3_125" edges="49887339#0.596 49887339#0-AddedOffRampEdge 12113482 424769007 -424769002 -30953391 -43569848 -43569827#9 -43569827#6 -43569827#1 -43569827#0 28555332 387422130#1 132508717#0 12149210#1 12151897#1 196393941#6 196393941#7 196393941#8 gneE87 196393974#0 388756841#0 49914076#0 12159673#0 12159673#1 393884751 43569848 30953391 12113092 51758697#1-AddedOnRampEdge 51758697#1 -gneE46.0 43357850.4841.18 gneE46 49887339#0.596 49887339#0-AddedOffRampEdge 49887339#1 49887339#1-AddedOffRampEdge 104524021 104524021-AddedOffRampEdge 50192637#0 50192637#1-AddedOnRampEdge 50192637#1.0.0 50192637#1.0.382.0.0 50192637#1.697 50192637#1-AddedOffRampEdge 30953181#1 30953181#2-AddedOnRampEdge 30953181#2 30953181#3-AddedOnRampEdge 30953181#3 30953181#3-AddedOffRampEdge 30952933#1.0 30952933#1.199" probability="0.0285714285714286"/&gt;</t>
  </si>
  <si>
    <t xml:space="preserve">    &lt;route id="Router3_137" edges="49887339#0.596 49887339#0-AddedOffRampEdge 49887339#1 49887339#1-AddedOffRampEdge 104524021 104524021-AddedOffRampEdge 12158873 121643865#0 12110705 50715233#0 50715233#0-AddedOffRampEdge 50715233#1.0 62203285#14.24 gneE59.30.0.55 gneE59.30.0.0 43539373#0.0.292.17 gneE58 gneE56 gneE54.0 62203360#0 291433361#0 132508433.0 -gneE6.0 gneE6.0 424765883 43539378#0.15 132508717#5 196393974#0 49914077 424767578 387422130#1 132508717#0 12149210#1 12151897#1 196393941#6 196393941#7 196393941#8 gneE87 196393974#0 388756841#0 49914076#0 12159673#0 12159673#1 393884751 43569848 30953391 12113092 51758697#1-AddedOnRampEdge 51758697#1" probability="0.0285714285714286"/&gt;</t>
  </si>
  <si>
    <t xml:space="preserve">    &lt;route id="Router3_138" edges="49887339#0.596 49887339#0-AddedOffRampEdge 49887339#1 49887339#1-AddedOffRampEdge 104524021 104524021-AddedOffRampEdge 12158873 121643865#0 12110705 50715233#0 50715233#0-AddedOffRampEdge 50715233#1.0 62203285#14.24 gneE59.30.0.55 gneE59.30.0.0 43539373#0.0.292.17 gneE58 gneE56 gneE54.0 62203360#0 291433361#0 132508433.0 -gneE6.0 gneE6.0 424765883 43570920#0.22 132508717#4 43539378#1 43569848 30953391 12113092 51758697#1-AddedOnRampEdge 51758697#1" probability="0.0285714285714286"/&gt;</t>
  </si>
  <si>
    <t xml:space="preserve">    &lt;route id="Router3_139" edges="49887339#0.596 49887339#0-AddedOffRampEdge 49887339#1 49887339#1-AddedOffRampEdge 104524021 104524021-AddedOffRampEdge 12158873 121643865#0 12110705 50715233#0 50715233#0-AddedOffRampEdge 50715233#1.0 62203285#14.24 gneE59.30.0.55 gneE59.30.0.0 43539373#0.0.292.17 gneE58 gneE56 gneE54.0 gneE62.13 gneE81.0 gneE6.0 424765883 43539378#0.15 43539378#1 -393884751 12159702 424764853 12149178#0 50189796 50189564 12149178#2 145605533#0 145605533#1-AddedOnRampEdge 145605533#1 145605511#1-AddedOnRampEdge 145605511#12 145605511#1.148" probability="0.0285714285714286"/&gt;</t>
  </si>
  <si>
    <t xml:space="preserve">    &lt;route id="Router3_140" edges="49887339#0.596 49887339#0-AddedOffRampEdge 49887339#1 49887339#1-AddedOffRampEdge 104524021 104524021-AddedOffRampEdge 12158873 121643865#0 12110705 50715233#0 50715233#0-AddedOffRampEdge 50715233#1.0 62203285#14.24 gneE59.30.0.55 gneE59.30.0.0 43539373#0.0.292.17 gneE58 gneE56 gneE54.0 gneE62.13 gneE81.0 gneE81.299.0 gneE81.299.79 gneE81.299.145 12178843#0 12178843#1 43539369#3 43539369#4 43539368#0 43570920#3 43570920#5 404615579 43569828#0 43539397#3 43569816#0 49914076#0 12167196#0.0.0 424764853 12149178#0 12149178#1 12149178#2 50189577 62203295 145605533#1-AddedOnRampEdge 145605533#1 145605511#1-AddedOnRampEdge 145605511#12 145605511#1.148" probability="0.0285714285714286"/&gt;</t>
  </si>
  <si>
    <t xml:space="preserve">    &lt;route id="Router3_141" edges="49887339#0.596 49887339#0-AddedOffRampEdge 49887339#1 49887339#1-AddedOffRampEdge 104524021 104524021-AddedOffRampEdge 12158873 121643865#0 12110705 50715233#0 50715233#0-AddedOffRampEdge 50715233#1.0 62203285#14.24 gneE59.30.0.55 gneE59.30.0.0 gneE59.0.0 gneE59.0.12 62203360#0 12159135 291433360#0 388756841#0 49914076#0 12111949#0 43539384#1.0 424764853 43539372 12167183.0 gneE82 gneE56 gneE54.0 gneE62.13 gneE81.0 gneE6.0 424765883 43539378#0.15 43539378#1 -393884751 12159702 424764853 12149178#0 50189796 50189564 12149178#2 145605533#0 145605533#1-AddedOnRampEdge 145605533#1 145605511#1-AddedOnRampEdge 145605511#12 145605511#1.148" probability="0.0285714285714286"/&gt;</t>
  </si>
  <si>
    <t xml:space="preserve">    &lt;route id="Router3_142" edges="49887339#0.596 49887339#0-AddedOffRampEdge 49887339#1 49887339#1-AddedOffRampEdge 104524021 104524021-AddedOffRampEdge 12158873 121643865#0 12110705 50715233#0 50715233#0-AddedOffRampEdge 50715233#1.0 62203285#14.24 gneE59.30.0.55 gneE59.30.0.0 gneE59.0.0 gneE59.0.12 62203360#0 12159135 291433360#0 388756841#0 49914076#0 12111949#0 43539384#1.0 424764853 43539372 12167183.0 gneE82 gneE56 gneE54.0 gneE62.13 gneE81.0 gneE6.0 424765883 43539378#0.15 43539378#1 43569848 30953391 12113092 51758697#1-AddedOnRampEdge 51758697#1" probability="0.0285714285714286"/&gt;</t>
  </si>
  <si>
    <t xml:space="preserve">    &lt;route id="Router3_143" edges="49887339#0.596 49887339#0-AddedOffRampEdge 49887339#1 49887339#1-AddedOffRampEdge 104524021 104524021-AddedOffRampEdge 12158873 121643865#0 12110705 50715233#0 50715233#0-AddedOffRampEdge 50715233#1.0 62203285#14.24 gneE59.30.0.55 gneE59.30.0.0 gneE59.0.0 gneE59.0.12 62203360#0 291433361#0 132508433.0 -gneE6.0 gneE81.299.0 gneE81.299.79 gneE81.299.145 -gneE8 12154353#0 196393941#1 196393941#2 28533986 43539369#2 12178843#2 12178843#3 49960982#2 43569828#0 387422128#1 43569827#0 43569827#1 43569827#2 43569827#7 43569848 30953391 424769002 424769005 424769006 424769004 30953396#1 387422132#0 387422132#1 486653633#0 484953506#3 484953506#4 12157002#0 12157002#1 12157002#3 12157002#5 12114396#4 -12156992#10 -12156992#8 -12156992#7 -12156992#6 -12156992#5 -12156992#4 -12156992#3 -12156992#2 -12156992#1 -386547297#1 -424080772#2 -424080772#1 -262962065#1 -262962063 -424080764 -424080768#1 -424080766 -104526265#1 -262962068#1 -424080774 -32122059#1 -32122059#0 -196393940#2 -196393940#0" probability="0.0285714285714286"/&gt;</t>
  </si>
  <si>
    <t xml:space="preserve">    &lt;route id="Router3_144" edges="49887339#0.596 49887339#0-AddedOffRampEdge 49887339#1 49887339#1-AddedOffRampEdge 104524021 104524021-AddedOffRampEdge 12158873 121643865#0 12110705 50715233#0 50715233#0-AddedOffRampEdge 50715233#1.0 62203285#14.24 gneE59.30.0.55 gneE59.30.0.0 gneE59.0.0 gneE59.0.12 62203360#0 291433361#0 132508433.0 -gneE6.0 gneE81.299.0 gneE81.299.79 gneE81.299.145 -gneE8 12154353#0 196393941#1 196393941#2 28533986 43539369#2 12178843#2 12178843#3 49960982#2 43569828#0 387422128#1 43569827#0 43569827#1 43569827#2 43569827#7 43569848 30953391 424769002 424769005 424769006 424769004 30953396#1 387422132#0 387422132#1 486653633#0 484953506#3 484953506#4 12157002#0 12157002#1 12157002#3 12157002#5 12114396#4 -12156992#10 -12156992#8 -12156992#7 -12156992#6 -12156992#5 -12156992#4 -12156992#3 -12156992#2 -12156992#1 -386547297#1 -424080772#2 -424080772#1 -262962065#1 -262962063 -424080764 -424080768#1 -424080766 -104526265#1 30953497#0 30953497#2 30953497#3 42706585#0 42706585#1 30953320 30953320-AddedOffRampEdge 104526277 30953215#1-AddedOnRampEdge 30953215#1 121643865#0 12110705 50715233#0 50715233#0-AddedOffRampEdge 50715233#1.0 62203285#14.24 gneE59.30.0.55 gneE59.30.0.0 43539373#0.0.292.17 gneE58 gneE56 gneE54.0 62203360#0 291433361#0 132508433.0 -gneE6.0 gneE6.0 424765883 43539378#0.15 132508717#5 196393974#0 49914077 424767578 387422130#1 132508717#0 12149210#1 12151897#1 196393941#6 196393941#7 196393941#8 gneE87 196393974#0 388756841#0 49914076#0 12159673#0 12159673#1 393884751 43569848 30953391 12113092 51758697#1-AddedOnRampEdge 51758697#1 -gneE46.0 43357850.4841.18 gneE46 49887339#0.596 49887339#0-AddedOffRampEdge 49887339#1 49887339#1-AddedOffRampEdge 104524021 104524021-AddedOffRampEdge 50192637#0 50192637#1-AddedOnRampEdge 50192637#1.0.0 50192637#1.0.382.0.0 50192637#1.697 50192637#1-AddedOffRampEdge 30953181#1 30953181#2-AddedOnRampEdge 30953181#2 30953181#3-AddedOnRampEdge 30953181#3 30953181#3-AddedOffRampEdge 30952933#1.0 30952933#1.199" probability="0.0285714285714286"/&gt;</t>
  </si>
  <si>
    <t xml:space="preserve">    &lt;route id="Router3_145" edges="49887339#0.596 49887339#0-AddedOffRampEdge 49887339#1 49887339#1-AddedOffRampEdge 104524021 104524021-AddedOffRampEdge 12158873 121643865#0 12110705 50715233#0 50715233#0-AddedOffRampEdge 50715233#1.0 62203285#14.24 gneE59.30.0.55 gneE59.30.0.0 gneE59.0.0 gneE59.0.12 62203360#0 291433361#0 132508433.0 -gneE6.0 gneE81.299.0 gneE81.299.79 gneE81.299.145 -gneE8 12154353#0 196393941#1 196393941#2 28533986 43539369#2 12178843#2 12178843#3 49960982#2 43569828#0 387422128#1 43569827#0 43569827#1 43569827#2 43569827#7 43569848 30953391 424769002 424769005 424769006 424769004 30953396#1 387422132#0 387422132#1 486653633#0 484953506#3 484953506#4 12157002#0 12157002#1 12157002#3 12157002#5 12114396#4 -12156992#10 -12156992#8 -12156992#7 -12156992#6 -12156992#5 -12156992#4 -12156992#3 -12156992#2 -12156992#1 -386547297#1 -424080772#2 -424080772#1 -262962065#1 -262962063 -424080764 -424080768#1 -424080766 -104526265#1 30953497#0 30953497#2 35920555#0.0 35920555#0.75 62203066 43331031.0 43331031.436 42706585#0 42706585#1 30953320 30953320-AddedOffRampEdge 30953315 104526276-AddedOnRampEdge 104526276 51758697#0 51758697#1-AddedOnRampEdge 51758697#1" probability="0.0285714285714286"/&gt;</t>
  </si>
  <si>
    <t xml:space="preserve">    &lt;route id="Router3_146" edges="49887339#0.596 49887339#0-AddedOffRampEdge 49887339#1 49887339#1-AddedOffRampEdge 104524021 104524021-AddedOffRampEdge 12158873 121643865#0 12110705 50715233#0 50715233#0-AddedOffRampEdge 50715233#1.0 62203285#14.24 gneE59.30.0.55 gneE59.30.0.0 gneE59.0.0 gneE59.0.12 62203360#0 291433361#0 132508433.0 -gneE6.0 gneE81.299.0 gneE81.299.79 gneE81.299.145 -gneE8 12154353#0 196393941#1 196393941#2 28533986 43539369#2 12178843#2 12178843#3 49960982#2 43569828#0 387422128#1 43569827#0 43569827#1 43569827#2 43569827#7 43569848 30953391 424769002 424769005 424769006 424769004 30953396#1 387422132#0 387422132#1 486653633#0 484953506#3 484953506#4 424769003#0 424769003#1 387422132#0 387422132#1 388756840 12202537#1 12202537#2 12202537#3 485017368 485017367#0 12185366#0 12178852#0 12178852#1 386995495#0 386995495#1 -386995507#7 -386995507#6 -386995507#5 -386995507#4 -386995507#3 310315797#0 310315797#1 386995479#3 12182281#5 12182281#6 12182281#7 12182281#8 -12175537#3 12138978 12201597#2 12114363#1 -50033059#4 12175537#0 12175537#2 12175537#3 12175537#4 12162659#2 12159485 12161358#7 12161358#8 386995507#6 386995507#7 386995521#0 386995521#1 12154359#3 12154359#4 12154359#5 12154359#6 12154359#7 101350669 -386995537 -386995526#1 -386995526#0 -43357814#3 12175537#8 12175537#9 12154359#6 386995531#1 386995531#2 387422150#2 12175537#12 12155177#1 386995531#4 12172918#2 gneE73 gneE75.0 gneE80.125" probability="0.0285714285714286"/&gt;</t>
  </si>
  <si>
    <t>&lt;route id="Router3_147"edges="49887339#0.596 49887339#0-AddedOffRampEdge 49887339#1 49887339#1-AddedOffRampEdge 104524021 104524021-AddedOffRampEdge 12158873 121643865#0 12110705 50715233#0 50715233#0-AddedOffRampEdge 50715233#1.0 62203285#14.24 gneE59.30.0.55 gneE59.30.0.0 gneE59.0.0 gneE59.0.12 62203360#0 291433361#0 132508433.0 -gneE6.0 gneE81.299.0 gneE81.299.79 gneE81.299.145 -gneE8 12154353#0 196393941#1 196393941#2 28533986 43539369#2 12178843#2 12178843#3 49960982#2 43569828#0 387422128#1 43569827#0 43569827#1 43569827#2 43569827#7 43569848 30953391 424769002 424769005 424769006 424769004 30953396#1 387422132#0 387422132#1 486653633#0 484953506#3 484953506#4 424769003#0 424769003#1 387422132#0 387422132#1 388756840 12202537#1 12202537#2 12202537#3 485017368 485017367#0 12185366#0 12178852#0 12178852#1 386995495#0 386995495#1 -386995507#7 -386995507#6 -386995507#5 -386995507#4 -386995507#3 310315797#0 310315797#1 386995479#3 12182281#5 12182281#6 12182281#7 12182281#8 -12175537#3 12138978 12201597#2 12114363#1 -50033059#4 12175537#0 12175537#2 12175537#3 12175537#4 12162659#2 12159485 12161358#7 12161358#8 386995507#6 386995507#7 386995521#0 386995521#1 12154359#3 12154359#4 12154359#5 12154359#6 12154359#7 101350669 -386995537 -386995526#1 -386995526#0 -43357814#3 12175537#8 12175537#9 12175537#10 12175537#11 12175537#12 12155177#1 386995531#4 12172918#2 gneE73 gneE75.0 gneE80.125"/&gt;" probability="0.0285714285714286"/&gt;</t>
  </si>
  <si>
    <t xml:space="preserve">    &lt;route id="Router3_148" edges="49887339#0.596 49887339#0-AddedOffRampEdge 49887339#1 49887339#1-AddedOffRampEdge 104524021 104524021-AddedOffRampEdge 12158873 121643865#0 12110705 50715233#0 50715233#0-AddedOffRampEdge 50715233#1.0 62203285#14.24 gneE59.30.0.55 gneE59.30.0.0 gneE59.0.0 gneE59.0.12 62203360#0 291433361#0 132508433.0 -gneE6.0 gneE81.299.0 gneE81.299.79 gneE81.299.145 -gneE8 12154353#0 196393941#1 196393941#2 28533986 43539369#2 12178843#2 12178843#3 49960982#2 43569828#0 387422128#1 43569827#0 43569827#1 43569827#2 43569827#7 43569848 30953391 424769002 424769005 424769006 424769004 30953396#1 387422132#0 387422132#1 486653633#0 484953506#3 484953506#4 424769003#0 424769003#1 387422132#0 387422132#1 388756840 12202537#1 12202537#2 12202537#3 485017368 485017367#0 12185366#0 12178852#0 12178852#1 386995495#0 386995495#1 -386995507#7 -386995507#6 -386995507#5 -386995507#4 -386995507#3 310315797#0 310315797#1 386995479#3 12182281#5 12182281#6 12182281#7 12182281#8 -12175537#3 12138978 12201597#2 12114363#1 -50033059#4 12175537#0 12175537#2 12175537#3 12175537#4 12175537#5 12175537#6 12175537#7 -43357814#2 42706837#4 42706837#5 42706837#6 42706837#7 42706837#8 12155177#0 12175537#13 12172918#1 12172918#2 gneE73 gneE75.0 gneE80.125" probability="0.0285714285714286"/&gt;</t>
  </si>
  <si>
    <t xml:space="preserve">    &lt;route id="Router3_149" edges="49887339#0.596 49887339#0-AddedOffRampEdge 49887339#1 49887339#1-AddedOffRampEdge 104524021 104524021-AddedOffRampEdge 12158873 121643865#0 12110705 50715233#0 50715233#0-AddedOffRampEdge 50715233#1.0 62203285#14.24 gneE59.30.0.55 gneE59.30.0.0 gneE59.0.0 gneE59.0.12 62203360#0 291433361#0 132508433.0 -gneE6.0 gneE81.299.0 gneE81.299.79 gneE81.299.145 -gneE8 12154353#0 196393941#1 196393941#2 28533986 43539369#2 12178843#2 12178843#3 49960982#2 43569828#0 387422128#1 43569827#0 43569827#1 43569827#2 43569827#7 43569848 30953391 424769002 424769005 424769006 424769004 30953396#1 387422132#0 387422132#1 486653633#0 484953506#3 484953506#4 424769003#0 424769003#1 387422132#0 387422132#1 388756840 12202537#1 12202537#2 12202537#3 485017368 485017367#0 12185366#0 12178852#0 12178852#1 386995495#0 386995495#1 -386995507#7 -386995507#6 -386995507#5 -386995507#4 -386995507#3 310315797#0 310315797#1 386995479#3 12182281#5 12182281#6 12182281#7 12182281#8 -12175537#3 12138978 12201597#2 12114363#1 -50033059#4 12175537#0 12175537#2 12175537#3 12175537#4 12175537#5 12175537#6 12175537#7 -43357814#2 42706837#4 42706837#5 42706837#6 42706837#7 42706837#8 42706837#9 12172918#0 12172918#1 12172918#2 gneE73 gneE75.0 gneE80.125" probability="0.0285714285714286"/&gt;</t>
  </si>
  <si>
    <t xml:space="preserve">    &lt;route id="Router3_150" edges="49887339#0.596 49887339#0-AddedOffRampEdge 49887339#1 49887339#1-AddedOffRampEdge 104524021 104524021-AddedOffRampEdge 12158873 121643865#0 12110705 50715233#0 50715233#0-AddedOffRampEdge 50715233#1.0 62203285#14.24 gneE59.30.0.55 gneE59.30.0.0 gneE59.0.0 gneE59.0.12 62203360#0 291433361#0 132508433.0 -gneE6.0 gneE81.299.0 gneE81.299.79 gneE81.299.145 -gneE8 12154353#0 196393941#1 196393941#2 28533986 43539369#2 12178843#2 12178843#3 49960982#2 43569828#0 387422128#1 43569827#0 43569827#1 43569827#2 43569827#7 43569848 30953391 424769002 424769005 424769006 424769004 30953396#1 387422132#0 387422132#1 486653633#0 484953506#3 484953506#4 424769003#0 424769003#1 387422132#0 387422132#1 388756840 12202537#1 12202537#2 12202537#3 485017368 485017367#0 12185366#0 12178852#0 12178852#1 386995495#0 386995495#1 -386995507#7 -386995507#6 -386995507#5 -386995507#4 -386995507#3 310315797#0 310315797#1 386995479#3 12182281#5 12182281#6 12182281#7 12182281#8 -12175537#3 12138978 12201597#2 12114363#1 -50033059#4 12175537#0 12175537#2 12175537#3 12175537#4 12175537#5 12175537#6 12175537#7 12175537#8 12175537#9 12154359#6 386995531#1 12174155#0 -12175537#10 -12175537#9 -12175537#8 -12175537#7 12152013#3 12167232#3 386995531#0 12154359#7 101350669 -386995537 -386995526#1 -386995526#0 -43357814#3 -43357814#2 42706837#4 42706837#5 42706837#6 42706837#7 42706837#8 42706837#9 12172918#0 12172918#1 12172918#2 gneE73 gneE75.0 gneE80.125" probability="0.0285714285714286"/&gt;</t>
  </si>
  <si>
    <t xml:space="preserve">    &lt;route id="Router3_151" edges="49887339#0.596 49887339#0-AddedOffRampEdge 49887339#1 49887339#1-AddedOffRampEdge 104524021 104524021-AddedOffRampEdge 12158873 121643865#0 12110705 50715233#0 50715233#0-AddedOffRampEdge 50715233#1.0 62203285#14.24 gneE59.30.0.55 gneE59.30.0.0 gneE59.0.0 gneE59.0.12 62203360#0 291433361#0 132508433.0 -gneE6.0 gneE81.299.0 gneE81.299.79 gneE81.299.145 -gneE8 12154353#0 196393941#1 196393941#2 28533986 43539369#2 12178843#2 12178843#3 49960982#2 43569828#0 387422128#1 43569827#0 43569827#1 43569827#2 43569827#7 43569848 30953391 424769002 424769005 424769006 424769004 30953396#1 387422132#0 387422132#1 486653633#0 484953506#3 484953506#4 424769003#0 424769003#1 387422132#0 387422132#1 388756840 12202537#1 12202537#2 12202537#3 485017368 485017367#0 12185366#0 12178852#0 12178852#1 386995495#0 386995495#1 -386995507#7 -386995507#6 -386995507#5 -386995507#4 -386995507#3 310315797#0 310315797#1 386995479#3 12182281#5 12182281#6 12182281#7 12182281#8 -12175537#3 12138978 12201597#2 12114363#1 -50033059#4 12175537#0 12175537#2 12175537#3 12175537#4 12175537#5 12175537#6 12175537#7 12175537#8 12175537#9 12154359#6 386995531#1 12174155#0 -12175537#10 -12175537#9 -12175537#8 -12175537#7 12152013#3 12167232#3 386995531#0 12154359#7 101350669 -386995537 -386995526#1 -386995526#0 -43357814#3 12175537#8 12175537#9 12175537#10 12175537#11 12175537#12 12175537#13 12172918#1 12172918#2 gneE73 gneE75.0 gneE80.125" probability="0.0285714285714286"/&gt;</t>
  </si>
  <si>
    <t xml:space="preserve">    &lt;route id="Router3_152" edges="49887339#0.596 49887339#0-AddedOffRampEdge 49887339#1 49887339#1-AddedOffRampEdge 104524021 104524021-AddedOffRampEdge 12158873 121643865#0 12110705 50715233#0 50715233#0-AddedOffRampEdge 50715233#1.0 62203285#14.24 gneE59.30.0.55 gneE59.30.0.0 gneE59.0.0 gneE59.0.12 62203360#0 291433361#0 132508433.0 -gneE6.0 gneE81.299.0 gneE81.299.79 gneE81.299.145 -gneE8 12154353#0 196393941#1 196393941#2 28533986 43539369#2 12178843#2 12178843#3 49960982#2 43569828#0 387422128#1 43569827#0 43569827#1 43569827#2 43569827#7 43569848 30953391 424769002 424769005 424769006 424769004 30953396#1 387422132#0 387422132#1 486653633#0 484953506#3 484953506#4 424769003#0 424769003#1 387422132#0 387422132#1 388756840 12202537#1 12202537#2 12202537#3 485017368 485017367#0 12185366#0 12178852#0 12178852#1 386995495#0 386995495#1 -386995507#7 -386995507#6 -386995507#5 -386995507#4 -386995507#3 310315797#0 310315797#1 386995479#3 12182281#5 12182281#6 12182281#7 12182281#8 -12175537#3 485017371#0 484953507#1 12182281#8 12182281#9 12167232#0 12167232#1 12167232#2 12152013#4 51050425#4 386995537 386995551 387422150#0 387422150#1 386995531#3 386995531#4 12172918#2 gneE73 gneE75.0 gneE80.125" probability="0.0285714285714286"/&gt;</t>
  </si>
  <si>
    <t xml:space="preserve">    &lt;route id="Router3_153" edges="49887339#0.596 49887339#0-AddedOffRampEdge 49887339#1 49887339#1-AddedOffRampEdge 104524021 104524021-AddedOffRampEdge 12158873 121643865#0 12110705 50715233#0 50715233#0-AddedOffRampEdge 50715233#1.0 62203285#14.24 gneE59.30.0.55 gneE59.30.0.0 gneE59.0.0 gneE59.0.12 62203360#0 291433361#0 132508433.0 -gneE6.0 gneE81.299.0 gneE81.299.79 gneE81.299.145 -gneE8 12154353#0 196393941#1 196393941#2 28533986 43539369#2 12178843#2 12178843#3 49960982#2 43569828#0 387422128#1 43569827#0 43569827#1 43569827#2 43569827#7 43569848 30953391 424769002 424769005 424769006 424769004 30953396#1 387422132#0 387422132#1 486653633#0 484953506#3 484953506#4 424769003#0 424769003#1 387422132#0 387422132#1 388756840 12202537#1 12202537#2 12202537#3 485017368 485017367#0 12185366#0 12178852#0 12178852#1 386995495#0 386995495#1 -386995507#7 -386995507#6 -386995507#5 -386995507#4 -386995507#3 310315797#0 310315797#1 386995479#3 12182281#5 12182281#6 386995507#4 386995507#5 12161358#9 12161358#10 12161358#11 12171305#0 12171305#1 42706797#2 42706797#4.13 42706797#5 387422148#0 387422148#1 12172918#0 12172918#1 12172918#2 gneE73 gneE75.0 gneE80.125" probability="0.0285714285714286"/&gt;</t>
  </si>
  <si>
    <t xml:space="preserve">    &lt;route id="Router3_154" edges="49887339#0.596 49887339#0-AddedOffRampEdge 49887339#1 49887339#1-AddedOffRampEdge 104524021 104524021-AddedOffRampEdge 12158873 121643865#0 12110705 50715233#0 50715233#0-AddedOffRampEdge 50715233#1.0 62203285#14.24 gneE59.30.0.55 gneE59.30.0.0 gneE59.0.0 gneE59.0.12 62203360#0 291433361#0 132508433.0 -gneE6.0 gneE81.299.0 gneE81.299.79 gneE81.299.145 -gneE8 12154353#0 196393941#1 196393941#2 28533986 43539369#2 12178843#2 12178843#3 49960982#2 43569828#0 387422128#1 43569827#0 43569827#1 43569827#2 43569827#7 43569848 30953391 424769002 424769005 424769006 424769004 30953396#1 387422132#0 387422132#1 486653633#0 484953506#3 484953506#4 424769003#0 424769003#1 387422132#0 387422132#1 388756840 12202537#1 12202537#2 12202537#3 485017368 485017367#0 12185366#0 12178852#0 12178852#1 386995495#0 386995495#1 -386995507#7 -386995507#6 -386995507#5 -386995507#4 -386995507#3 310315797#0 310315797#1 386995479#3 12182281#5 12182281#6 386995507#4 386995507#5 386995507#6 386995507#7 386995521#0 386995521#1 386995521#2 386995521#3 387422148#1 12172918#0 -12175537#13 12155177#1 12155177#2 387422153#1 gneE73 gneE75.0 gneE80.125" probability="0.0285714285714286"/&gt;</t>
  </si>
  <si>
    <t xml:space="preserve">    &lt;route id="Router3_155" edges="49887339#0.596 49887339#0-AddedOffRampEdge 49887339#1 49887339#1-AddedOffRampEdge 104524021 104524021-AddedOffRampEdge 12158873 121643865#0 12110705 50715233#0 50715233#0-AddedOffRampEdge 50715233#1.0 62203285#14.24 gneE59.30.0.55 gneE59.30.0.0 gneE59.0.0 gneE59.0.12 62203360#0 291433361#0 132508433.0 -gneE6.0 gneE81.299.0 gneE81.299.79 gneE81.299.145 -gneE8 12154353#0 196393941#1 196393941#2 28533986 43539369#2 12178843#2 12178843#3 49960982#2 43569828#0 387422128#1 43569827#0 43569827#1 43569827#2 43569827#7 43569848 30953391 424769002 424769005 424769006 424769004 30953396#1 387422132#0 387422132#1 486653633#0 484953506#3 484953506#4 424769003#0 424769003#1 387422132#0 387422132#1 388756840 12202537#1 12202537#2 12202537#3 485017368 485017367#0 12185366#0 12178852#0 12178852#1 386995495#0 386995495#1 -386995507#7 -386995507#6 -386995507#5 -386995507#4 -386995507#3 310315797#0 310315797#1 386995479#3 386995479#4 386995479#5 386995479#6 386995490#0.0 12154359#1.20 12154359#2 -386995521#1 -386995521#0 43357814#0 43357814#1 42706837#4 42706837#5 12154359#5 12154359#6 386995531#1 386995531#2 386995531#3 386995531#4 12172918#2 gneE73 gneE75.0 gneE80.125" probability="0.0285714285714286"/&gt;</t>
  </si>
  <si>
    <t xml:space="preserve">    &lt;route id="Router3_156" edges="49887339#0.596 49887339#0-AddedOffRampEdge 49887339#1 49887339#1-AddedOffRampEdge 104524021 104524021-AddedOffRampEdge 12158873 121643865#0 12110705 50715233#0 50715233#0-AddedOffRampEdge 50715233#1.0 62203285#14.24 gneE59.30.0.55 gneE59.30.0.0 gneE59.0.0 gneE59.0.12 62203360#0 291433361#0 132508433.0 -gneE6.0 gneE81.299.0 gneE81.299.79 gneE81.299.145 -gneE8 12154353#0 196393941#1 196393941#2 28533986 43539369#2 12178843#2 12178843#3 49960982#2 43569828#0 387422128#1 43569827#0 43569827#1 43569827#2 43569827#7 43569848 30953391 424769002 424769005 424769006 424769004 30953396#1 387422132#0 387422132#1 486653633#0 484953506#3 484953506#4 424769003#0 424769003#1 387422132#0 387422132#1 388756840 12202537#1 12202537#2 12202537#3 485017368 485017367#0 12185366#0 12178852#0 12178852#1 386995495#0 386995495#1 -386995507#7 -386995507#6 12161358#9 12161358#10 12161358#11 12171305#0 12171305#1 42706797#2 42706797#4.13 42706797#5 387422148#0 387422148#1 12172918#0 12172918#1 12172918#2 gneE73 gneE75.0 gneE80.125" probability="0.0285714285714286"/&gt;</t>
  </si>
  <si>
    <t xml:space="preserve">    &lt;route id="Router3_157" edges="49887339#0.596 49887339#0-AddedOffRampEdge 49887339#1 49887339#1-AddedOffRampEdge 104524021 104524021-AddedOffRampEdge 12158873 121643865#0 12110705 50715233#0 50715233#0-AddedOffRampEdge 50715233#1.0 62203285#14.24 gneE59.30.0.55 gneE59.30.0.0 gneE59.0.0 gneE59.0.12 62203360#0 291433361#0 132508433.0 -gneE6.0 gneE81.299.0 gneE81.299.79 gneE81.299.145 -gneE8 12154353#0 196393941#1 196393941#2 28533986 43539369#2 12178843#2 12178843#3 49960982#2 43569828#0 387422128#1 43569827#0 43569827#1 43569827#2 43569827#7 43569848 30953391 424769002 424769005 424769006 424769004 30953396#1 387422132#0 387422132#1 486653633#0 484953506#3 484953506#4 424769003#0 424769003#1 387422132#0 387422132#1 388756840 12202537#1 12202537#2 12202537#3 485017368 485017367#0 12185366#0 12178852#0 12178852#1 386995495#0 386995495#1 -386995507#7 -386995507#6 12161358#9 12161358#10 386995479#6 386995490#0.0 12154359#1.20 12154359#2 -386995521#1 12172225 32121111#2 32121111#3 12152013#0 12152013#1 12152013#2 12175537#7 -43357814#2 42706837#4 42706837#5 42706837#6 42706837#7 42706837#8 12155177#0 12175537#13 12172918#1 12172918#2 gneE73 gneE75.0 gneE80.125" probability="0.0285714285714286"/&gt;</t>
  </si>
  <si>
    <t xml:space="preserve">    &lt;route id="Router3_158" edges="49887339#0.596 49887339#0-AddedOffRampEdge 49887339#1 49887339#1-AddedOffRampEdge 104524021 104524021-AddedOffRampEdge 12158873 121643865#0 12110705 50715233#0 50715233#0-AddedOffRampEdge 50715233#1.0 62203285#14.24 gneE59.30.0.55 gneE59.30.0.0 gneE59.0.0 gneE59.0.12 62203360#0 291433361#0 132508433.0 -gneE6.0 gneE81.299.0 gneE81.299.79 gneE81.299.145 -gneE8 12154353#0 196393941#1 196393941#2 28533986 43539369#2 12178843#2 12178843#3 49960982#2 43569828#0 387422128#1 43569827#0 43569827#1 43569827#2 43569827#7 43569848 30953391 424769002 424769005 424769006 424769004 30953396#1 387422132#0 387422132#1 486653633#0 484953506#3 484953506#4 424769003#0 424769003#1 387422132#0 387422132#1 388756840 12202537#1 12202537#2 12202537#3 485017368 485017367#0 12185366#0 12178852#0 12178852#1 386995495#0 386995495#1 -386995507#7 -386995507#6 12161358#9 12161358#10 386995479#6 386995490#0.0 12154359#1.20 12154359#2 -386995521#1 12172225 32121111#2 32121111#3 12152013#0 12152013#1 12152013#2 12175537#7 -43357814#2 42706837#4 42706837#5 42706837#6 42706837#7 42706837#8 42706837#9 12172918#0 12172918#1 12172918#2 gneE73 gneE75.0 gneE80.125" probability="0.0285714285714286"/&gt;</t>
  </si>
  <si>
    <t xml:space="preserve">    &lt;route id="Router3_159" edges="49887339#0.596 49887339#0-AddedOffRampEdge 49887339#1 49887339#1-AddedOffRampEdge 104524021 104524021-AddedOffRampEdge 12158873 121643865#0 12110705 50715233#0 50715233#0-AddedOffRampEdge 50715233#1.0 62203285#14.24 gneE59.30.0.55 gneE59.30.0.0 gneE59.0.0 gneE59.0.12 62203360#0 291433361#0 132508433.0 -gneE6.0 gneE81.299.0 gneE81.299.79 gneE81.299.145 -gneE8 12154353#0 196393941#1 196393941#2 28533986 43539369#2 12178843#2 12178843#3 49960982#2 43569828#0 387422128#1 43569827#0 43569827#1 43569827#2 43569827#7 43569848 30953391 424769002 424769005 424769006 424769004 30953396#1 387422132#0 387422132#1 486653633#0 484953506#3 484953506#4 424769003#0 424769003#1 387422132#0 387422132#1 388756840 12202537#1 12202537#2 12202537#3 485017368 485017367#0 12185366#0 12178852#0 12178852#1 386995495#0 386995495#1 -386995507#7 -386995507#6 12161358#9 12161358#10 386995479#6 386995490#0.0 12154359#1.20 32121111#1 32121111#2 32121111#3 12152013#0 12152013#1 12152013#2 12175537#7 -43357814#2 42706837#4 42706837#5 42706837#6 42706837#7 42706837#8 12155177#0 12175537#13 12172918#1 12172918#2 gneE73 gneE75.0 gneE80.125" probability="0.0285714285714286"/&gt;</t>
  </si>
  <si>
    <t xml:space="preserve">    &lt;route id="Router3_160" edges="49887339#0.596 49887339#0-AddedOffRampEdge 49887339#1 49887339#1-AddedOffRampEdge 104524021 104524021-AddedOffRampEdge 12158873 121643865#0 12110705 50715233#0 50715233#0-AddedOffRampEdge 50715233#1.0 62203285#14.24 gneE59.30.0.55 gneE59.30.0.0 gneE59.0.0 gneE59.0.12 62203360#0 291433361#0 132508433.0 -gneE6.0 gneE81.299.0 gneE81.299.79 gneE81.299.145 -gneE8 12154353#0 196393941#1 196393941#2 28533986 43539369#2 12178843#2 12178843#3 49960982#2 43569828#0 387422128#1 43569827#0 43569827#1 43569827#2 43569827#7 43569848 30953391 424769002 424769005 424769006 424769004 30953396#1 387422132#0 387422132#1 486653633#0 484953506#3 484953506#4 424769003#0 424769003#1 387422132#0 387422132#1 388756840 12202537#1 12202537#2 12202537#3 485017368 485017367#0 12185366#0 12178852#0 12178852#1 386995495#0 386995495#1 -386995507#7 -386995507#6 12161358#9 12161358#10 386995479#6 386995490#0.0 12154359#1.20 32121111#1 32121111#2 32121111#3 12152013#0 12152013#1 12152013#2 12175537#7 12175537#8 12175537#9 12175537#10 12175537#11 12175537#12 12155177#1 386995531#4 12172918#2 gneE73 gneE75.0 gneE80.125" probability="0.0285714285714286"/&gt;</t>
  </si>
  <si>
    <t xml:space="preserve">    &lt;route id="Router3_161" edges="49887339#0.596 49887339#0-AddedOffRampEdge 49887339#1 49887339#1-AddedOffRampEdge 104524021 104524021-AddedOffRampEdge 12158873 121643865#0 12110705 50715233#0 50715233#0-AddedOffRampEdge 50715233#1.0 62203285#14.24 gneE59.30.0.55 gneE59.30.0.0 gneE59.0.0 gneE59.0.12 62203360#0 291433361#0 132508433.0 -gneE6.0 gneE81.299.0 gneE81.299.79 gneE81.299.145 -gneE8 12154353#0 196393941#1 196393941#2 28533986 43539369#2 12178843#2 12178843#3 49960982#2 43569828#0 387422128#1 43569827#0 43569827#1 43569827#2 43569827#7 43569848 30953391 424769002 424769005 424769006 424769004 30953396#1 387422132#0 387422132#1 486653633#0 484953506#3 484953506#4 424769003#0 424769003#1 387422132#0 387422132#1 388756840 12202537#1 43357813 484953506#1 484953506#2 486653633#1 486653633#2 486653633#3 12182281#0 12182281#3 386995479#4 386995479#5 12161358#11 12171305#0 12171305#1 42706797#2 42706797#4.13 42706797#5 387422148#0 387422148#1 12172918#0 12172918#1 12172918#2 gneE73 gneE75.0 gneE80.125" probability="0.0285714285714286"/&gt;</t>
  </si>
  <si>
    <t xml:space="preserve">    &lt;route id="Router3_162" edges="49887339#0.596 49887339#0-AddedOffRampEdge 49887339#1 49887339#1-AddedOffRampEdge 104524021 104524021-AddedOffRampEdge 12158873 121643865#0 121643865#1 145605511#1-AddedOnRampEdge 145605511#12 145605511#1.148" probability="0.0285714285714286"/&gt;</t>
  </si>
  <si>
    <t xml:space="preserve">    &lt;route id="Router3_163" edges="49887339#0.596 49887339#0-AddedOffRampEdge 49887339#1 49887339#1-AddedOffRampEdge 104524021 104524021-AddedOffRampEdge 50192637#0 50192637#1-AddedOnRampEdge 50192637#1.0.0 50192637#1.0.382.0.0 50192637#1.697 50192637#1-AddedOffRampEdge 30953181#1 30953181#2-AddedOnRampEdge 30953181#2 30953181#3-AddedOnRampEdge 30953181#3 30953181#3-AddedOffRampEdge 30952933#1.0 30952933#1.199" probability="0.0285714285714286"/&gt;</t>
  </si>
  <si>
    <t xml:space="preserve">    &lt;route id="Router3_5" edges="-gneE80.0 -gneE80.17 -gneE41 gneE44 -388756838#2 -388756838#1 -388756838#0 42706817#0 386547310 gneE69 -388756838#2 -388756838#1 -388756838#0 -388756839#1 -388756839#0 -194358837#2 -194358837#0 194358838#0 194358838#1 194358838#2 194358838#3 387422145#0 387422145#3 386995499#0 386995499#2 -51155368#13 -51155368#10 -51155368#7 121319040#0 121319040#1 386995507#0 386995507#1 386995507#2 386995507#3 12182281#7 42706837#0 42706837#1 42706837#2 42706837#3 43357814#2 43357814#3 386995526#0 386995526#1 -51050425#4 -51050425#3 -51050425#2 12162659#0 12162659#1 -12175537#4 -12175537#3 -12175537#2 -12175537#1 -50033059#3 -50033059#2 -386995514#7 -12199713#2 12177498 42706833#2 51155368#0 -50033558#5 -50033558#3 -50033558#2 -62105579 -32121234#1 -32121234#0 42706874#0 42706874#2 55179414#0 55179413#0 424769182 -450827405#2 -450827400#2 -450827382 -450827385#1 -450827391#1 -450827381 -450827397#1 12180696#0 59435515#1 59435515#2 59435515#3 59435515#4 424801338#1 12117702#0 12117702#4 12117702#7 -32121146#3 -32121146#1 -424769197#2 12144152#0 12144152#2 12144152#4 12144152#6 12157151#0 12166276#2 -32121146#5 12117702#9 450844953#0 450844953#2 450844953#3 450844947#0 388533142#0 388533142#2 12189045#0 62623987#0 62623987#1 -12142631 12202018 62623986#1 62623986#2 -12189051#1 -262962063 -424080764 -424080768#1 -424080766 -104526265#1 -262962068#1 -424080774 -32122059#1 -32122059#0 -196393940#2 -196393940#0" probability="0.0285714285714286"/&gt;</t>
  </si>
  <si>
    <t xml:space="preserve">    &lt;route id="Router3_62" edges="196393940#0 62203285#0 62203285#2 62203285#3 62203285#5 62203285#6 62203285#7 62203286#0 62203286#2 59676508#0 -59676508#0 -62203286#2 -62203286#0 62203285#8 62203285#9 62203285#10 62203285#11 62203285#13 62203285#14.0 62203285#14.24 gneE59.30.0.55 gneE59.30.0.0 gneE59.0.0 gneE59.0.12 62203360#0 291433361#0 132508433.0 -gneE6.0 gneE81.299.0 gneE81.299.79 gneE81.299.145 -gneE8 12154353#0 196393941#1 196393941#2 28533986 43539369#2 12178843#2 12178843#3 49960982#2 43569828#0 387422128#1 43569827#0 43569827#1 43569827#2 43569827#7 43569848 30953391 424769002 424769005 424769006 424769004 30953396#1 387422132#0 387422132#1 486653633#0 484953506#3 484953506#4 12157002#0 12157002#1 12157002#3 12157002#5 12114396#4 -12156992#10 -12156992#8 -12156992#7 -12156992#6 -12156992#5 -12156992#4 -12156992#3 -12156992#2 -12156992#1 -386547297#1 -424080772#2 -424080772#1 -262962065#1 -262962063 -424080764 -424080768#1 -424080766 -104526265#1 30953497#0 30953497#2 35920555#0.0 35920555#0.75 62203066 43331031.0 43331031.436 42706585#0 42706585#1 30953320 30953320-AddedOffRampEdge 30953315 104526276-AddedOnRampEdge 104526276 51758697#0 51758697#1-AddedOnRampEdge 51758697#1" probability="0.0285714285714286"/&gt;</t>
  </si>
  <si>
    <t>&lt;routeDistribution id="676to76_EB-2012-RouteProbe"&gt;</t>
  </si>
  <si>
    <t xml:space="preserve">    &lt;route id="Router3_71" edges="31909473.0 31909473.857 62634019#1-AddedOnRampEdge 62634019#1 30953036 424081476 424081472 424081473 424081470 30953025#0 30953025#2 30953025#3 30953025#4 50033060#0 12134479#5 450844973#0 388533144#0 388533144#6 388533144#11 450695475#0 137364609#0 137364609#3 137364609#5 450695473#0 386547305#0 gneE23 -gneE20.0 -gneE21.54 -gneE21.0 59435515#0 59435515#1 59435515#2 59435515#3 59435515#4 424801338#1 12117702#0 12117702#4 12117702#7 -32121146#3 -32121146#1 -424769197#2 12144152#0 12144152#2 12144152#4 12144152#6 12157151#0 12166276#2 -32121146#5 12117702#9 450844953#0 450844953#2 450844953#3 450844947#0 388533142#0 388533142#2 12189045#0 62623987#0 62623987#1 -12142631 12202018 62623986#1 62623986#2 -12189051#1 -262962063 -424080764 -424080768#1 -424080766 -104526265#1 30953497#0 30953497#2 30953497#3 42706585#0 42706585#1 30953320 30953320-AddedOffRampEdge 104526277 30953215#1-AddedOnRampEdge 30953215#1 121643865#0 12110705 50715233#0 50715233#0-AddedOffRampEdge 50715233#1.0 62203285#14.24 30908387 30908366#1-AddedOnRampEdge 30908366#1 121643863 121643862 51758697#0 51758697#1-AddedOnRampEdge 51758697#1 -gneE46.0 43357850.4841.18 gneE46 49887339#0.596 49887339#0-AddedOffRampEdge 49887339#1 49887339#1-AddedOffRampEdge 104524021 104524021-AddedOffRampEdge 50192637#0 50192637#1-AddedOnRampEdge 50192637#1.0.0 50192637#1.0.382.0.0 50192637#1.697 50192637#1-AddedOffRampEdge 30953181#1 30953181#2-AddedOnRampEdge 30953181#2 30953181#3-AddedOnRampEdge 30953181#3 30953181#3-AddedOffRampEdge 30952933#1.0 30952933#1.199" probability="0.0625"/&gt;</t>
  </si>
  <si>
    <t xml:space="preserve">    &lt;route id="Router3_85" edges="31909473.0 31909473.857 62634019#1-AddedOnRampEdge 62634019#1 62634019#2.0 62634019#2.242 62634019#3-AddedOnRampEdge 62634019#3 62634019#3-AddedOffRampEdge 12111747.0 59671945#0.30 62093806#0 104526265#0.14 424080766 424080768#0 104523976#1 262962063 12189051#0 -12189051#1 -262962063 -424080764 -424080768#1 -424080766 -104526265#1 30953497#0 30953497#2 30953497#3 42706585#0 42706585#1 30953320 30953320-AddedOffRampEdge 104526277 30953215#1-AddedOnRampEdge 30953215#1 121643865#0 12110705 50715233#0 50715233#0-AddedOffRampEdge 50715233#1.0 62203285#14.24 30908387 30908366#1-AddedOnRampEdge 30908366#1 121643863 121643862 51758697#0 51758697#1-AddedOnRampEdge 51758697#1 -gneE46.0 43357850.4841.18 gneE46 49887339#0.596 49887339#0-AddedOffRampEdge 49887339#1 49887339#1-AddedOffRampEdge 104524021 104524021-AddedOffRampEdge 50192637#0 50192637#1-AddedOnRampEdge 50192637#1.0.0 50192637#1.0.382.0.0 50192637#1.697 50192637#1-AddedOffRampEdge 30953181#1 30953181#2-AddedOnRampEdge 30953181#2 30953181#3-AddedOnRampEdge 30953181#3 30953181#3-AddedOffRampEdge 30952933#1.0 30952933#1.199" probability="0.0625"/&gt;</t>
  </si>
  <si>
    <t xml:space="preserve">    &lt;route id="Router3_90" edges="31909473.0 31909473.857 62634019#1-AddedOnRampEdge 62634019#1 62634019#2.0 62634019#2.242 62634019#3-AddedOnRampEdge 62634019#3 62634019#3-AddedOffRampEdge 12111747.0 59671945#0.30 62093806#0 104526265#0.14 424080766 424080768#0 104523976#1 262962063 12189051#0 -12189051#1 -262962063 -424080764 -424080768#1 -424080766 -104526265#1 30953497#0 30953497#2 30953497#3 42706585#0 42706585#1 30953320 30953320-AddedOffRampEdge 104526277 30953215#1-AddedOnRampEdge 30953215#1 121643865#0 12110705 50715233#0 50715233#0-AddedOffRampEdge 50715233#1.0 62203285#14.24 gneE59.30.0.55 gneE59.30.0.0 gneE59.0.0 gneE59.0.12 62203360#0 291433361#0 132508433.0 -gneE6.0 gneE81.299.0 gneE81.299.79 gneE81.299.145 -gneE8 12154353#0 196393941#1 196393941#2 28533986 43539369#2 12178843#2 12178843#3 49960982#2 43569828#0 387422128#1 43569827#0 43569827#1 43569827#2 43569827#7 43569848 30953391 424769002 424769005 424769006 424769004 30953396#1 387422132#0 387422132#1 486653633#0 484953506#3 484953506#4 12157002#0 12157002#1 12157002#3 12157002#5 12114396#4 -12156992#10 -12156992#8 -12156992#7 -12156992#6 -12156992#5 -12156992#4 -12156992#3 -12156992#2 -12156992#1 -386547297#1 -424080772#2 -424080772#1 -262962065#1 -262962063 -424080764 -424080768#1 -424080766 -104526265#1 30953497#0 30953497#2 35920555#0.0 35920555#0.75 62203066 43331031.0 43331031.436 42706585#0 42706585#1 30953320 30953320-AddedOffRampEdge 30953315 104526276-AddedOnRampEdge 104526276 51758697#0 51758697#1-AddedOnRampEdge 51758697#1" probability="0.0625"/&gt;</t>
  </si>
  <si>
    <t xml:space="preserve">    &lt;route id="Router3_101" edges="31909473.0 31909473.857 62634019#1-AddedOnRampEdge 62634019#1 62634019#2.0 62634019#2.242 62634019#3-AddedOnRampEdge 62634019#3 62634019#3-AddedOffRampEdge 12111747.0 59671945#0.30 62093806#0 30953497#0 30953497#2 35920555#0.0 35920555#0.75 62203066 43331031.0 43331031.436 42706585#0 42706585#1 30953320 30953320-AddedOffRampEdge 30953315 104526276-AddedOnRampEdge 104526276 51758697#0 51758697#1-AddedOnRampEdge 51758697#1" probability="0.0625"/&gt;</t>
  </si>
  <si>
    <t xml:space="preserve">    &lt;route id="Router3_110" edges="31909473.0 31909473.857 62634019#1-AddedOnRampEdge 62634019#1 62634019#2.0 62634019#2.242 62634019#3-AddedOnRampEdge 62634019#3 62634019#3-AddedOffRampEdge 30953251#1.0 30953251#1-AddedOffRampEdge 12112003 30953215#1-AddedOnRampEdge 30953215#1 121643865#0 12110705 50715233#0 50715233#0-AddedOffRampEdge 50715233#1.0 62203285#14.24 30908387 30908366#1-AddedOnRampEdge 30908366#1 121643863 121643862 51758697#0 51758697#1-AddedOnRampEdge 51758697#1 -gneE46.0 43357850.4841.18 gneE46 49887339#0.596 49887339#0-AddedOffRampEdge 49887339#1 49887339#1-AddedOffRampEdge 104524021 104524021-AddedOffRampEdge 50192637#0 50192637#1-AddedOnRampEdge 50192637#1.0.0 50192637#1.0.382.0.0 50192637#1.697 50192637#1-AddedOffRampEdge 30953181#1 30953181#2-AddedOnRampEdge 30953181#2 30953181#3-AddedOnRampEdge 30953181#3 30953181#3-AddedOffRampEdge 30952933#1.0 30952933#1.199" probability="0.0625"/&gt;</t>
  </si>
  <si>
    <t xml:space="preserve">    &lt;route id="Router3_111" edges="31909473.0 31909473.857 62634019#1-AddedOnRampEdge 62634019#1 62634019#2.0 62634019#2.242 62634019#3-AddedOnRampEdge 62634019#3 62634019#3-AddedOffRampEdge 30953251#1.0 30953251#1-AddedOffRampEdge 12112003 30953215#1-AddedOnRampEdge 30953215#1 121643865#0 12110705 50715233#0 50715233#0-AddedOffRampEdge 50715233#1.0 62203285#14.24 30908387 30908366#1-AddedOnRampEdge 30908366#1 121643863 121643862 51758697#0 51758697#1-AddedOnRampEdge 51758697#1" probability="0.0625"/&gt;</t>
  </si>
  <si>
    <t xml:space="preserve">    &lt;route id="Router3_119" edges="31909473.0 31909473.857 62634019#1-AddedOnRampEdge 62634019#1 62634019#2.0 62634019#2.242 62634019#3-AddedOnRampEdge 62634019#3 62634019#3-AddedOffRampEdge 30953251#1.0 30953251#1-AddedOffRampEdge 12112003 30953215#1-AddedOnRampEdge 30953215#1 121643865#0 12110705 50715233#0 50715233#0-AddedOffRampEdge 50715233#1.0 62203285#14.24 gneE59.30.0.55 gneE59.30.0.0 gneE59.0.0 gneE59.0.12 62203360#0 291433361#0 132508433.0 -gneE6.0 gneE81.299.0 gneE81.299.79 gneE81.299.145 -gneE8 12154353#0 196393941#1 196393941#2 28533986 43539369#2 12178843#2 12178843#3 49960982#2 43569828#0 387422128#1 43569827#0 43569827#1 43569827#2 43569827#7 43569848 30953391 424769002 424769005 424769006 424769004 30953396#1 387422132#0 387422132#1 486653633#0 484953506#3 484953506#4 12157002#0 12157002#1 12157002#3 12157002#5 12114396#4 -12156992#10 -12156992#8 -12156992#7 -12156992#6 -12156992#5 -12156992#4 -12156992#3 -12156992#2 -12156992#1 -386547297#1 -424080772#2 -424080772#1 -262962065#1 -262962063 -424080764 -424080768#1 -424080766 -104526265#1 30953497#0 30953497#2 35920555#0.0 35920555#0.75 62203066 43331031.0 43331031.436 42706585#0 42706585#1 30953320 30953320-AddedOffRampEdge 30953315 104526276-AddedOnRampEdge 104526276 51758697#0 51758697#1-AddedOnRampEdge 51758697#1" probability="0.0625"/&gt;</t>
  </si>
  <si>
    <t xml:space="preserve">    &lt;route id="Router3_120" edges="31909473.0 31909473.857 62634019#1-AddedOnRampEdge 62634019#1 62634019#2.0 62634019#2.242 62634019#3-AddedOnRampEdge 62634019#3 62634019#3-AddedOffRampEdge 30953251#1.0 30953251#1-AddedOffRampEdge 30953251#2.0 104526276-AddedOnRampEdge 104526276 51758697#0 51758697#1-AddedOnRampEdge 51758697#1 -gneE46.0 43357850.4841.18 -gneE45 -485017363 -43117585#0 12185366#0 12185366#2 12185366#3 12185366#4 12185366#5 12185366#7 12185366#9 387422145#0 -12157718#6 386995479#1 386995479#2 386995479#3 386995479#4 386995479#5 386995479#6 386995490#0.0 12154359#1.20 12154359#2 12154359#3 12154359#4 42706837#6 42706837#7 42706837#8 12155177#0 12155177#1 386995531#4 12172918#2 gneE73 gneE75.0 gneE80.125" probability="0.0625"/&gt;</t>
  </si>
  <si>
    <t xml:space="preserve">    &lt;route id="Router3_121" edges="31909473.0 31909473.857 62634019#1-AddedOnRampEdge 62634019#1 62634019#2.0 62634019#2.242 62634019#3-AddedOnRampEdge 62634019#3 62634019#3-AddedOffRampEdge 30953251#1.0 30953251#1-AddedOffRampEdge 30953251#2.0 104526276-AddedOnRampEdge 104526276 51758697#0 51758697#1-AddedOnRampEdge 51758697#1 -gneE46.0 43357850.4841.18 -gneE45 -485017363 -43117585#0 12185366#0 12185366#2 12185366#3 12185366#4 12185366#5 12185366#7 12185366#9 387422145#0 -12157718#6 386995479#1 386995479#2 386995479#3 386995479#4 386995479#5 386995479#6 386995490#0.0 12154359#1.20 12154359#2 12154359#3 12154359#4 42706837#6 42706837#7 42706837#8 12155177#0 12175537#13 12172918#1 12172918#2 gneE73 gneE75.0 gneE80.125" probability="0.0625"/&gt;</t>
  </si>
  <si>
    <t xml:space="preserve">    &lt;route id="Router3_122" edges="31909473.0 31909473.857 62634019#1-AddedOnRampEdge 62634019#1 62634019#2.0 62634019#2.242 62634019#3-AddedOnRampEdge 62634019#3 62634019#3-AddedOffRampEdge 30953251#1.0 30953251#1-AddedOffRampEdge 30953251#2.0 104526276-AddedOnRampEdge 104526276 51758697#0 51758697#1-AddedOnRampEdge 51758697#1 -gneE46.0 43357850.4841.18 -gneE45 -485017363 -43117585#0 42706797#0 -12171305#1 12178852#1 386995490#0.0 12154359#1.20 32121111#1 32121111#2 32121111#3 12152013#0 386995507#7 43357814#0 43357814#1 42706837#4 42706837#5 42706837#6 42706837#7 42706837#8 12155177#0 12175537#13 12172918#1 12172918#2 gneE73 gneE75.0 gneE80.125" probability="0.0625"/&gt;</t>
  </si>
  <si>
    <t xml:space="preserve">    &lt;route id="Router3_123" edges="31909473.0 31909473.857 62634019#1-AddedOnRampEdge 62634019#1 62634019#2.0 62634019#2.242 62634019#3-AddedOnRampEdge 62634019#3 62634019#3-AddedOffRampEdge 30953251#1.0 30953251#1-AddedOffRampEdge 30953251#2.0 104526276-AddedOnRampEdge 104526276 51758697#0 51758697#1-AddedOnRampEdge 51758697#1 -gneE46.0 43357850.4841.18 gneE46 49887339#0.596 49887339#0-AddedOffRampEdge 49887339#1 49887339#1-AddedOffRampEdge 104524021 104524021-AddedOffRampEdge 50192637#0 50192637#1-AddedOnRampEdge 50192637#1.0.0 50192637#1.0.382.0.0 50192637#1.697 50192637#1-AddedOffRampEdge 30953181#1 30953181#2-AddedOnRampEdge 30953181#2 30953181#3-AddedOnRampEdge 30953181#3 30953181#3-AddedOffRampEdge 30952933#1.0 30952933#1.199" probability="0.0625"/&gt;</t>
  </si>
  <si>
    <t xml:space="preserve">    &lt;route id="Router3_145" edges="49887339#0.596 49887339#0-AddedOffRampEdge 49887339#1 49887339#1-AddedOffRampEdge 104524021 104524021-AddedOffRampEdge 12158873 121643865#0 12110705 50715233#0 50715233#0-AddedOffRampEdge 50715233#1.0 62203285#14.24 gneE59.30.0.55 gneE59.30.0.0 gneE59.0.0 gneE59.0.12 62203360#0 291433361#0 132508433.0 -gneE6.0 gneE81.299.0 gneE81.299.79 gneE81.299.145 -gneE8 12154353#0 196393941#1 196393941#2 28533986 43539369#2 12178843#2 12178843#3 49960982#2 43569828#0 387422128#1 43569827#0 43569827#1 43569827#2 43569827#7 43569848 30953391 424769002 424769005 424769006 424769004 30953396#1 387422132#0 387422132#1 486653633#0 484953506#3 484953506#4 12157002#0 12157002#1 12157002#3 12157002#5 12114396#4 -12156992#10 -12156992#8 -12156992#7 -12156992#6 -12156992#5 -12156992#4 -12156992#3 -12156992#2 -12156992#1 -386547297#1 -424080772#2 -424080772#1 -262962065#1 -262962063 -424080764 -424080768#1 -424080766 -104526265#1 30953497#0 30953497#2 35920555#0.0 35920555#0.75 62203066 43331031.0 43331031.436 42706585#0 42706585#1 30953320 30953320-AddedOffRampEdge 30953315 104526276-AddedOnRampEdge 104526276 51758697#0 51758697#1-AddedOnRampEdge 51758697#1" probability="0.0625"/&gt;</t>
  </si>
  <si>
    <t xml:space="preserve">    &lt;route id="Router3_5" edges="-gneE80.0 -gneE80.17 -gneE41 gneE44 -388756838#2 -388756838#1 -388756838#0 42706817#0 386547310 gneE69 -388756838#2 -388756838#1 -388756838#0 -388756839#1 -388756839#0 -194358837#2 -194358837#0 194358838#0 194358838#1 194358838#2 194358838#3 387422145#0 387422145#3 386995499#0 386995499#2 -51155368#13 -51155368#10 -51155368#7 121319040#0 121319040#1 386995507#0 386995507#1 386995507#2 386995507#3 12182281#7 42706837#0 42706837#1 42706837#2 42706837#3 43357814#2 43357814#3 386995526#0 386995526#1 -51050425#4 -51050425#3 -51050425#2 12162659#0 12162659#1 -12175537#4 -12175537#3 -12175537#2 -12175537#1 -50033059#3 -50033059#2 -386995514#7 -12199713#2 12177498 42706833#2 51155368#0 -50033558#5 -50033558#3 -50033558#2 -62105579 -32121234#1 -32121234#0 42706874#0 42706874#2 55179414#0 55179413#0 424769182 -450827405#2 -450827400#2 -450827382 -450827385#1 -450827391#1 -450827381 -450827397#1 12180696#0 59435515#1 59435515#2 59435515#3 59435515#4 424801338#1 12117702#0 12117702#4 12117702#7 -32121146#3 -32121146#1 -424769197#2 12144152#0 12144152#2 12144152#4 12144152#6 12157151#0 12166276#2 -32121146#5 12117702#9 450844953#0 450844953#2 450844953#3 450844947#0 388533142#0 388533142#2 12189045#0 62623987#0 62623987#1 -12142631 12202018 62623986#1 62623986#2 -12189051#1 -262962063 -424080764 -424080768#1 -424080766 -104526265#1 -262962068#1 -424080774 -32122059#1 -32122059#0 -196393940#2 -196393940#0" probability="0.0625"/&gt;</t>
  </si>
  <si>
    <t xml:space="preserve">    &lt;route id="Router3_19" edges="-gneE80.0 -gneE80.17 -gneE41 gneE44 -388756838#2 -388756838#1 -388756838#0 42706817#0 386547310 gneE69 -388756838#2 -388756838#1 -388756838#0 -388756839#1 -388756839#0 -194358837#2 -194358837#0 194358838#0 194358838#1 194358838#2 194358838#3 387422145#0 387422145#3 386995499#0 386995499#2 42706831#0 42706831#4 42706831#5 42706831#6 42706874#0 42706874#2 -424080769#1 -424769177 -386547298#1 -424080767#1 -424080771#1 -386547297#1 -424080772#2 -424080772#1 -424080761#1 -62623960 62623959#0 386547296#0 386547296#1 424080773#0 -424080768#1 -424080766 -104526265#1 30953497#0 30953497#2 30953497#3 42706585#0 42706585#1 30953320 30953320-AddedOffRampEdge 104526277 30953215#1-AddedOnRampEdge 30953215#1 121643865#0 12110705 50715233#0 50715233#0-AddedOffRampEdge 50715233#1.0 62203285#14.24 30908387 30908366#1-AddedOnRampEdge 30908366#1 121643863 121643862 51758697#0 51758697#1-AddedOnRampEdge 51758697#1 -gneE46.0 43357850.4841.18 gneE46 49887339#0.596 49887339#0-AddedOffRampEdge 49887339#1 49887339#1-AddedOffRampEdge 104524021 104524021-AddedOffRampEdge 50192637#0 50192637#1-AddedOnRampEdge 50192637#1.0.0 50192637#1.0.382.0.0 50192637#1.697 50192637#1-AddedOffRampEdge 30953181#1 30953181#2-AddedOnRampEdge 30953181#2 30953181#3-AddedOnRampEdge 30953181#3 30953181#3-AddedOffRampEdge 30952933#1.0 30952933#1.199" probability="0.0625"/&gt;</t>
  </si>
  <si>
    <t>&lt;routeDistribution id="30thStST_to_76-676_ramp-RouteProbe"&gt;</t>
  </si>
  <si>
    <t xml:space="preserve">    &lt;route id="Router3_51" edges="196393940#0 62203285#0 62203285#2 62203285#3 62203285#5 62203285#6 62203285#7 62203285#8 62203285#9 62203285#10 62203285#11 62203285#13 62203285#14.0 62203285#14.24 gneE59.30.0.55 gneE59.30.0.0 gneE59.0.0 gneE59.0.12 62203360#0 291433361#0 132508433.0 -gneE6.0 gneE81.299.0 gneE81.299.79 gneE81.299.145 -gneE8 12154353#0 196393941#1 196393941#2 28533986 43539369#2 12178843#2 12178843#3 49960982#2 43569828#0 387422128#1 43569827#0 43569827#1 43569827#2 43569827#7 43569848 30953391 424769002 424769005 424769006 424769004 30953396#1 387422132#0 387422132#1 486653633#0 484953506#3 484953506#4 12157002#0 12157002#1 12157002#3 12157002#5 12114396#4 -12156992#10 -12156992#8 -12156992#7 -12156992#6 -12156992#5 -12156992#4 -12156992#3 -12156992#2 -12156992#1 -386547297#1 -424080772#2 -424080772#1 -262962065#1 -262962063 -424080764 -424080768#1 -424080766 -104526265#1 30953497#0 30953497#2 30953497#3 42706585#0 42706585#1 30953320 30953320-AddedOffRampEdge 104526277 30953215#1-AddedOnRampEdge 30953215#1 121643865#0 12110705 50715233#0 50715233#0-AddedOffRampEdge 50715233#1.0 62203285#14.24 gneE59.30.0.55 gneE59.30.0.0 43539373#0.0.292.17 gneE58 gneE56 gneE54.0 62203360#0 291433361#0 132508433.0 -gneE6.0 gneE6.0 424765883 43539378#0.15 132508717#5 196393974#0 49914077 424767578 387422130#1 132508717#0 12149210#1 12151897#1 196393941#6 196393941#7 196393941#8 gneE87 196393974#0 388756841#0 49914076#0 12159673#0 12159673#1 393884751 43569848 30953391 12113092 51758697#1-AddedOnRampEdge 51758697#1" probability="0.0344827586206897"/&gt;</t>
  </si>
  <si>
    <t xml:space="preserve">    &lt;route id="Router3_52" edges="196393940#0 62203285#0 62203285#2 62203285#3 62203285#5 62203285#6 62203285#7 62203285#8 62203285#9 62203285#10 62203285#11 62203285#13 62203285#14.0 62203285#14.24 gneE59.30.0.55 gneE59.30.0.0 gneE59.0.0 gneE59.0.12 62203360#0 291433361#0 132508433.0 -gneE6.0 gneE81.299.0 gneE81.299.79 gneE81.299.145 -gneE8 12154353#0 196393941#1 196393941#2 28533986 43539369#2 12178843#2 12178843#3 49960982#2 43569828#0 387422128#1 43569827#0 43569827#1 43569827#2 43569827#7 43569848 30953391 424769002 424769005 424769006 424769004 30953396#1 387422132#0 387422132#1 486653633#0 484953506#3 484953506#4 12157002#0 12157002#1 12157002#3 12157002#5 12114396#4 -12156992#10 -12156992#8 -12156992#7 -12156992#6 -12156992#5 -12156992#4 -12156992#3 -12156992#2 -12156992#1 -386547297#1 -424080772#2 -424080772#1 -262962065#1 -262962063 -424080764 -424080768#1 -424080766 -104526265#1 30953497#0 30953497#2 30953497#3 42706585#0 42706585#1 30953320 30953320-AddedOffRampEdge 104526277 30953215#1-AddedOnRampEdge 30953215#1 121643865#0 12110705 50715233#0 50715233#0-AddedOffRampEdge 50715233#1.0 62203285#14.24 gneE59.30.0.55 gneE59.30.0.0 43539373#0.0.292.17 gneE58 gneE56 gneE54.0 62203360#0 291433361#0 132508433.0 -gneE6.0 gneE6.0 424765883 43570920#0.22 132508717#4 43539378#1 43569848 30953391 12113092 51758697#1-AddedOnRampEdge 51758697#1" probability="0.0344827586206897"/&gt;</t>
  </si>
  <si>
    <t xml:space="preserve">    &lt;route id="Router3_53" edges="196393940#0 62203285#0 62203285#2 62203285#3 62203285#5 62203285#6 62203285#7 62203285#8 62203285#9 62203285#10 62203285#11 62203285#13 62203285#14.0 62203285#14.24 gneE59.30.0.55 gneE59.30.0.0 gneE59.0.0 gneE59.0.12 62203360#0 291433361#0 132508433.0 -gneE6.0 gneE81.299.0 gneE81.299.79 gneE81.299.145 -gneE8 12154353#0 196393941#1 196393941#2 28533986 43539369#2 12178843#2 12178843#3 49960982#2 43569828#0 387422128#1 43569827#0 43569827#1 43569827#2 43569827#7 43569848 30953391 424769002 424769005 424769006 424769004 30953396#1 387422132#0 387422132#1 486653633#0 484953506#3 484953506#4 12157002#0 12157002#1 12157002#3 12157002#5 12114396#4 -12156992#10 -12156992#8 -12156992#7 -12156992#6 -12156992#5 -12156992#4 -12156992#3 -12156992#2 -12156992#1 -386547297#1 -424080772#2 -424080772#1 -262962065#1 -262962063 -424080764 -424080768#1 -424080766 -104526265#1 30953497#0 30953497#2 30953497#3 42706585#0 42706585#1 30953320 30953320-AddedOffRampEdge 104526277 30953215#1-AddedOnRampEdge 30953215#1 121643865#0 12110705 50715233#0 50715233#0-AddedOffRampEdge 50715233#1.0 62203285#14.24 gneE59.30.0.55 gneE59.30.0.0 gneE59.0.0 gneE59.0.12 62203360#0 12159135 12149408#0 49914077 424767578 43569819 387422128#1 43569827#0 43569827#1 43569827#2 43569827#7 43569848 30953391 424769002 424769005 424769006 424769004 30953396#1 -424769003#1 -424769003#0 -485017374 42706828#0 42706828#2 12182281#0 12182281#3 12182281#5 12182281#6 386995507#4 386995507#5 386995507#6 12152013#1 12152013#2 -12175537#6 -12175537#5 -12175537#4 12182281#9 12182281#10 -388756839#1 -388756839#0 -50033059#4 -50033059#3 -50033059#2 -50033059#1 42706833#0 42706833#2 12189876#0 12189876#2 484953508#1 60185970#0 60185970#2 12149571#1 12187610#3 50033558#2 -12188656 -121319046 -42706825#7 12199713#0 12199713#1 -386995514#6 -386995514#5 -386995514#4 -386995514#3 194358817#0 194358817#1 194358817#2 12114363#0 12114363#1 -50033059#4 12175537#0 12175537#2 12175537#3 12175537#4 12175537#5 12175537#6 12175537#7 12175537#8 12175537#9 12175537#10 12175537#11 12175537#12 12155177#1 12155177#2 387422153#1 gneE73 gneE75.0 gneE80.125" probability="0.0344827586206897"/&gt;</t>
  </si>
  <si>
    <t xml:space="preserve">    &lt;route id="Router3_61" edges="196393940#0 62203285#0 62203285#2 62203285#3 62203285#5 62203285#6 62203285#7 62203286#0 62203286#2 59676508#0 -59676508#0 -62203286#2 -62203286#0 62203285#8 62203285#9 62203285#10 62203285#11 62203285#13 62203285#14.0 62203285#14.24 gneE59.30.0.55 gneE59.30.0.0 gneE59.0.0 gneE59.0.12 62203360#0 291433361#0 132508433.0 -gneE6.0 gneE81.299.0 gneE81.299.79 gneE81.299.145 -gneE8 12154353#0 196393941#1 196393941#2 28533986 43539369#2 12178843#2 12178843#3 49960982#2 43569828#0 387422128#1 43569827#0 43569827#1 43569827#2 43569827#7 43569848 30953391 424769002 424769005 424769006 424769004 30953396#1 387422132#0 387422132#1 486653633#0 484953506#3 484953506#4 12157002#0 12157002#1 12157002#3 12157002#5 12114396#4 -12156992#10 -12156992#8 -12156992#7 -12156992#6 -12156992#5 -12156992#4 -12156992#3 -12156992#2 -12156992#1 -386547297#1 -424080772#2 -424080772#1 -262962065#1 -262962063 -424080764 -424080768#1 -424080766 -104526265#1 30953497#0 30953497#2 30953497#3 42706585#0 42706585#1 30953320 30953320-AddedOffRampEdge 104526277 30953215#1-AddedOnRampEdge 30953215#1 121643865#0 12110705 50715233#0 50715233#0-AddedOffRampEdge 50715233#1.0 62203285#14.24 gneE59.30.0.55 gneE59.30.0.0 43539373#0.0.292.17 gneE58 gneE56 gneE54.0 62203360#0 291433361#0 132508433.0 -gneE6.0 gneE6.0 424765883 43539378#0.15 132508717#5 196393974#0 49914077 424767578 387422130#1 132508717#0 12149210#1 12151897#1 196393941#6 196393941#7 196393941#8 gneE87 196393974#0 388756841#0 49914076#0 12159673#0 12159673#1 393884751 43569848 30953391 12113092 51758697#1-AddedOnRampEdge 51758697#1" probability="0.0344827586206897"/&gt;</t>
  </si>
  <si>
    <t xml:space="preserve">    &lt;route id="Router3_62" edges="196393940#0 62203285#0 62203285#2 62203285#3 62203285#5 62203285#6 62203285#7 62203286#0 62203286#2 59676508#0 -59676508#0 -62203286#2 -62203286#0 62203285#8 62203285#9 62203285#10 62203285#11 62203285#13 62203285#14.0 62203285#14.24 gneE59.30.0.55 gneE59.30.0.0 gneE59.0.0 gneE59.0.12 62203360#0 291433361#0 132508433.0 -gneE6.0 gneE81.299.0 gneE81.299.79 gneE81.299.145 -gneE8 12154353#0 196393941#1 196393941#2 28533986 43539369#2 12178843#2 12178843#3 49960982#2 43569828#0 387422128#1 43569827#0 43569827#1 43569827#2 43569827#7 43569848 30953391 424769002 424769005 424769006 424769004 30953396#1 387422132#0 387422132#1 486653633#0 484953506#3 484953506#4 12157002#0 12157002#1 12157002#3 12157002#5 12114396#4 -12156992#10 -12156992#8 -12156992#7 -12156992#6 -12156992#5 -12156992#4 -12156992#3 -12156992#2 -12156992#1 -386547297#1 -424080772#2 -424080772#1 -262962065#1 -262962063 -424080764 -424080768#1 -424080766 -104526265#1 30953497#0 30953497#2 35920555#0.0 35920555#0.75 62203066 43331031.0 43331031.436 42706585#0 42706585#1 30953320 30953320-AddedOffRampEdge 30953315 104526276-AddedOnRampEdge 104526276 51758697#0 51758697#1-AddedOnRampEdge 51758697#1" probability="0.0344827586206897"/&gt;</t>
  </si>
  <si>
    <t xml:space="preserve">    &lt;route id="Router3_66" edges="31909473.0 31909473.857 62634019#1-AddedOnRampEdge 62634019#1 30953036 424081476 -424987520 -30953029#1 -30953029#0 -424987519 12169718#0 12169718#1 424804090#0 424804090#1 424804090#2 424804090#3 424804090#4 132508920#2 132508920#3 132508920#4 132508920#5 424080762#0 424080762#1 424080762#2 424080762#3 424080762#4 424080762#5 179915585#2 12171853#2 12198567#4 12198567#5 12152219#0 12152219#1 12152236 132508920#12 132508897#0 132508897#1 132508897#2 132508897#3 394179820#0 394179820#1 394179820#2 394179820#3 394179820#4 196355327#1 196355327#2 196355327#5 196393940#1 196207112#0 32122059#1 424080774 262962068#0.0 30953497#0 30953497#2 30953497#3 42706585#0 42706585#1 30953320 30953320-AddedOffRampEdge 104526277 30953215#1-AddedOnRampEdge 30953215#1 121643865#0 12110705 50715233#0 50715233#0-AddedOffRampEdge 50715233#1.0 62203285#14.24 gneE59.30.0.55 gneE59.30.0.0 43539373#0.0.292.17 gneE58 gneE56 gneE54.0 62203360#0 291433361#0 132508433.0 -gneE6.0 gneE6.0 424765883 43570920#0.22 132508717#4 43539378#1 43569848 30953391 12113092 51758697#1-AddedOnRampEdge 51758697#1" probability="0.0344827586206897"/&gt;</t>
  </si>
  <si>
    <t xml:space="preserve">    &lt;route id="Router3_67" edges="31909473.0 31909473.857 62634019#1-AddedOnRampEdge 62634019#1 30953036 424081476 -424987520 -30953029#1 -30953029#0 -424987519 12169718#0 12169718#1 424804090#0 424804090#1 424804090#2 424804090#3 424804090#4 132508920#2 132508920#3 132508920#4 132508920#5 424080762#0 424080762#1 424080762#2 424080762#3 424080762#4 424080762#5 179915585#2 12171853#2 12198567#4 12198567#5 12152219#0 12152219#1 12152236 132508920#12 132508897#0 132508897#1 132508897#2 132508897#3 394179820#0 394179820#1 394179820#2 394179820#3 394179820#4 196355327#1 196355327#2 196355327#5 196393940#1 196207112#0 32122059#1 424080774 262962068#0.0 30953497#0 30953497#2 30953497#3 42706585#0 42706585#1 30953320 30953320-AddedOffRampEdge 104526277 30953215#1-AddedOnRampEdge 30953215#1 121643865#0 121643865#1 145605511#1-AddedOnRampEdge 145605511#12 145605511#1.148" probability="0.0344827586206897"/&gt;</t>
  </si>
  <si>
    <t xml:space="preserve">    &lt;route id="Router3_68" edges="31909473.0 31909473.857 62634019#1-AddedOnRampEdge 62634019#1 30953036 424081476 -424987520 -30953029#1 -30953029#0 -424987519 12169718#0 179915585#0 193223837#0 193223837#1 12198567#1 12198567#2 12198567#3 12171853#3 12171853#4 12171853#5 12171853#6 132508920#8 132508920#9 132508920#10 132508920#12 132508983#0 132508983#3 132508983#5 132508740#0 132508740#2 -12165829#1 132508646#0 132508646#2 132508646#3 394179820#0 394179820#1 394179820#2 394179820#3 450844975 450844970#0 196355332#0 450844979#0.0 12114109#0.45.0 59671945#0.30 62093806#0 30953497#0 30953497#2 30953497#3 42706585#0 42706585#1 30953320 30953320-AddedOffRampEdge 104526277 30953215#1-AddedOnRampEdge 30953215#1 121643865#0 12110705 50715233#0 50715233#0-AddedOffRampEdge 50715233#1.0 62203285#14.24 gneE59.30.0.55 gneE59.30.0.0 43539373#0.0.292.17 gneE58 gneE56 gneE54.0 62203360#0 291433361#0 132508433.0 -gneE6.0 gneE6.0 424765883 43539378#0.15 132508717#5 196393974#0 49914077 424767578 387422130#1 132508717#0 12149210#1 12151897#1 196393941#6 196393941#7 196393941#8 gneE87 196393974#0 388756841#0 49914076#0 12159673#0 12159673#1 393884751 43569848 30953391 12113092 51758697#1-AddedOnRampEdge 51758697#1" probability="0.0344827586206897"/&gt;</t>
  </si>
  <si>
    <t xml:space="preserve">    &lt;route id="Router3_69" edges="31909473.0 31909473.857 62634019#1-AddedOnRampEdge 62634019#1 30953036 424081476 -424987520 -30953029#1 -30953029#0 -424987519 12169718#0 179915585#0 193223837#0 193223837#1 12198567#1 12198567#2 12198567#3 12171853#3 12171853#4 12171853#5 12171853#6 132508920#8 132508920#9 132508920#10 132508920#12 132508983#0 132508983#3 132508983#5 132508740#0 132508740#2 -12165829#1 132508646#0 132508646#2 132508646#3 394179820#0 394179820#1 394179820#2 394179820#3 450844975 450844970#0 196355332#0 450844979#0.0 12114109#0.45.0 59671945#0.30 62093806#0 30953497#0 30953497#2 30953497#3 42706585#0 42706585#1 30953320 30953320-AddedOffRampEdge 104526277 30953215#1-AddedOnRampEdge 30953215#1 121643865#0 12110705 50715233#0 50715233#0-AddedOffRampEdge 50715233#1.0 62203285#14.24 gneE59.30.0.55 gneE59.30.0.0 43539373#0.0.292.17 gneE58 gneE56 gneE54.0 62203360#0 291433361#0 132508433.0 -gneE6.0 gneE6.0 424765883 43570920#0.22 132508717#4 43539378#1 43569848 30953391 12113092 51758697#1-AddedOnRampEdge 51758697#1" probability="0.0344827586206897"/&gt;</t>
  </si>
  <si>
    <t xml:space="preserve">    &lt;route id="Router3_70" edges="31909473.0 31909473.857 62634019#1-AddedOnRampEdge 62634019#1 30953036 424081476 -424987520 -30953029#1 -30953029#0 -424987519 12169718#0 179915585#0 193223837#0 193223837#1 12198567#1 12198567#2 12198567#3 12171853#3 12171853#4 12171853#5 12171853#6 132508920#8 132508920#9 132508920#10 132508920#12 132508983#0 132508983#3 132508983#5 132508740#0 132508740#2 -12165829#1 132508646#0 132508646#2 132508646#3 394179820#0 394179820#1 394179820#2 394179820#3 450844975 450844970#0 196355332#0 450844979#0.0 12114109#0.45.0 59671945#0.30 62093806#0 30953497#0 30953497#2 35920555#0.0 35920555#0.75 62203066 43331031.0 43331031.436 42706585#0 42706585#1 30953320 30953320-AddedOffRampEdge 30953315 104526276-AddedOnRampEdge 104526276 51758697#0 51758697#1-AddedOnRampEdge 51758697#1" probability="0.0344827586206897"/&gt;</t>
  </si>
  <si>
    <t xml:space="preserve">    &lt;route id="Router3_71" edges="31909473.0 31909473.857 62634019#1-AddedOnRampEdge 62634019#1 30953036 424081476 424081472 424081473 424081470 30953025#0 30953025#2 30953025#3 30953025#4 50033060#0 12134479#5 450844973#0 388533144#0 388533144#6 388533144#11 450695475#0 137364609#0 137364609#3 137364609#5 450695473#0 386547305#0 gneE23 -gneE20.0 -gneE21.54 -gneE21.0 59435515#0 59435515#1 59435515#2 59435515#3 59435515#4 424801338#1 12117702#0 12117702#4 12117702#7 -32121146#3 -32121146#1 -424769197#2 12144152#0 12144152#2 12144152#4 12144152#6 12157151#0 12166276#2 -32121146#5 12117702#9 450844953#0 450844953#2 450844953#3 450844947#0 388533142#0 388533142#2 12189045#0 62623987#0 62623987#1 -12142631 12202018 62623986#1 62623986#2 -12189051#1 -262962063 -424080764 -424080768#1 -424080766 -104526265#1 30953497#0 30953497#2 30953497#3 42706585#0 42706585#1 30953320 30953320-AddedOffRampEdge 104526277 30953215#1-AddedOnRampEdge 30953215#1 121643865#0 12110705 50715233#0 50715233#0-AddedOffRampEdge 50715233#1.0 62203285#14.24 30908387 30908366#1-AddedOnRampEdge 30908366#1 121643863 121643862 51758697#0 51758697#1-AddedOnRampEdge 51758697#1 -gneE46.0 43357850.4841.18 gneE46 49887339#0.596 49887339#0-AddedOffRampEdge 49887339#1 49887339#1-AddedOffRampEdge 104524021 104524021-AddedOffRampEdge 50192637#0 50192637#1-AddedOnRampEdge 50192637#1.0.0 50192637#1.0.382.0.0 50192637#1.697 50192637#1-AddedOffRampEdge 30953181#1 30953181#2-AddedOnRampEdge 30953181#2 30953181#3-AddedOnRampEdge 30953181#3 30953181#3-AddedOffRampEdge 30952933#1.0 30952933#1.199" probability="0.0344827586206897"/&gt;</t>
  </si>
  <si>
    <t xml:space="preserve">    &lt;route id="Router3_85" edges="31909473.0 31909473.857 62634019#1-AddedOnRampEdge 62634019#1 62634019#2.0 62634019#2.242 62634019#3-AddedOnRampEdge 62634019#3 62634019#3-AddedOffRampEdge 12111747.0 59671945#0.30 62093806#0 104526265#0.14 424080766 424080768#0 104523976#1 262962063 12189051#0 -12189051#1 -262962063 -424080764 -424080768#1 -424080766 -104526265#1 30953497#0 30953497#2 30953497#3 42706585#0 42706585#1 30953320 30953320-AddedOffRampEdge 104526277 30953215#1-AddedOnRampEdge 30953215#1 121643865#0 12110705 50715233#0 50715233#0-AddedOffRampEdge 50715233#1.0 62203285#14.24 30908387 30908366#1-AddedOnRampEdge 30908366#1 121643863 121643862 51758697#0 51758697#1-AddedOnRampEdge 51758697#1 -gneE46.0 43357850.4841.18 gneE46 49887339#0.596 49887339#0-AddedOffRampEdge 49887339#1 49887339#1-AddedOffRampEdge 104524021 104524021-AddedOffRampEdge 50192637#0 50192637#1-AddedOnRampEdge 50192637#1.0.0 50192637#1.0.382.0.0 50192637#1.697 50192637#1-AddedOffRampEdge 30953181#1 30953181#2-AddedOnRampEdge 30953181#2 30953181#3-AddedOnRampEdge 30953181#3 30953181#3-AddedOffRampEdge 30952933#1.0 30952933#1.199" probability="0.0344827586206897"/&gt;</t>
  </si>
  <si>
    <t xml:space="preserve">    &lt;route id="Router3_86" edges="31909473.0 31909473.857 62634019#1-AddedOnRampEdge 62634019#1 62634019#2.0 62634019#2.242 62634019#3-AddedOnRampEdge 62634019#3 62634019#3-AddedOffRampEdge 12111747.0 59671945#0.30 62093806#0 104526265#0.14 424080766 424080768#0 104523976#1 262962063 12189051#0 -12189051#1 -262962063 -424080764 -424080768#1 -424080766 -104526265#1 30953497#0 30953497#2 30953497#3 42706585#0 42706585#1 30953320 30953320-AddedOffRampEdge 104526277 30953215#1-AddedOnRampEdge 30953215#1 121643865#0 12110705 50715233#0 50715233#0-AddedOffRampEdge 50715233#1.0 62203285#14.24 gneE59.30.0.55 gneE59.30.0.0 43539373#0.0.292.17 gneE58 gneE56 gneE54.0 62203360#0 291433361#0 132508433.0 -gneE6.0 gneE6.0 424765883 43570920#0.22 132508717#4 43539378#1 43569848 30953391 12113092 51758697#1-AddedOnRampEdge 51758697#1 -gneE46.0 43357850.4841.18 gneE46 49887339#0.596 49887339#0-AddedOffRampEdge 49887339#1 49887339#1-AddedOffRampEdge 104524021 104524021-AddedOffRampEdge 50192637#0 50192637#1-AddedOnRampEdge 50192637#1.0.0 50192637#1.0.382.0.0 50192637#1.697 50192637#1-AddedOffRampEdge 30953181#1 30953181#2-AddedOnRampEdge 30953181#2 30953181#3-AddedOnRampEdge 30953181#3 30953181#3-AddedOffRampEdge 30952933#1.0 30952933#1.199" probability="0.0344827586206897"/&gt;</t>
  </si>
  <si>
    <t xml:space="preserve">    &lt;route id="Router3_87" edges="31909473.0 31909473.857 62634019#1-AddedOnRampEdge 62634019#1 62634019#2.0 62634019#2.242 62634019#3-AddedOnRampEdge 62634019#3 62634019#3-AddedOffRampEdge 12111747.0 59671945#0.30 62093806#0 104526265#0.14 424080766 424080768#0 104523976#1 262962063 12189051#0 -12189051#1 -262962063 -424080764 -424080768#1 -424080766 -104526265#1 30953497#0 30953497#2 30953497#3 42706585#0 42706585#1 30953320 30953320-AddedOffRampEdge 104526277 30953215#1-AddedOnRampEdge 30953215#1 121643865#0 12110705 50715233#0 50715233#0-AddedOffRampEdge 50715233#1.0 62203285#14.24 gneE59.30.0.55 gneE59.30.0.0 43539373#0.0.292.17 gneE58 gneE56 gneE54.0 62203360#0 291433361#0 132508433.0 -gneE6.0 gneE6.0 424765883 43570920#0.22 132508717#4 43539378#1 43569848 30953391 12113092 51758697#1-AddedOnRampEdge 51758697#1" probability="0.0344827586206897"/&gt;</t>
  </si>
  <si>
    <t xml:space="preserve">    &lt;route id="Router3_88" edges="31909473.0 31909473.857 62634019#1-AddedOnRampEdge 62634019#1 62634019#2.0 62634019#2.242 62634019#3-AddedOnRampEdge 62634019#3 62634019#3-AddedOffRampEdge 12111747.0 59671945#0.30 62093806#0 104526265#0.14 424080766 424080768#0 104523976#1 262962063 12189051#0 -12189051#1 -262962063 -424080764 -424080768#1 -424080766 -104526265#1 30953497#0 30953497#2 30953497#3 42706585#0 42706585#1 30953320 30953320-AddedOffRampEdge 104526277 30953215#1-AddedOnRampEdge 30953215#1 121643865#0 12110705 50715233#0 50715233#0-AddedOffRampEdge 50715233#1.0 62203285#14.24 gneE59.30.0.55 gneE59.30.0.0 43539373#0.0.292.17 gneE58 gneE56 gneE54.0 gneE62.13 gneE81.0 gneE6.0 424765883 gneE87 196393957 132508433.0 -gneE6.0 gneE81.299.0 gneE81.299.79 gneE81.299.145 12178843#0 12178843#1 43539369#3 43539369#4 43539368#0 43570920#3 43570920#5 404615579 43569828#0 43539397#3 43569816#0 49914076#0 12167196#0.0.0 424764853 12149178#0 12149178#1 12149178#2 50189577 62203295 145605533#1-AddedOnRampEdge 145605533#1 145605511#1-AddedOnRampEdge 145605511#12 145605511#1.148" probability="0.0344827586206897"/&gt;</t>
  </si>
  <si>
    <t xml:space="preserve">    &lt;route id="Router3_89" edges="31909473.0 31909473.857 62634019#1-AddedOnRampEdge 62634019#1 62634019#2.0 62634019#2.242 62634019#3-AddedOnRampEdge 62634019#3 62634019#3-AddedOffRampEdge 12111747.0 59671945#0.30 62093806#0 104526265#0.14 424080766 424080768#0 104523976#1 262962063 12189051#0 -12189051#1 -262962063 -424080764 -424080768#1 -424080766 -104526265#1 30953497#0 30953497#2 30953497#3 42706585#0 42706585#1 30953320 30953320-AddedOffRampEdge 104526277 30953215#1-AddedOnRampEdge 30953215#1 121643865#0 12110705 50715233#0 50715233#0-AddedOffRampEdge 50715233#1.0 62203285#14.24 gneE59.30.0.55 gneE59.30.0.0 43539373#0.0.292.17 gneE58 gneE56 gneE54.0 gneE62.13 gneE81.0 gneE81.299.0 12138964.1128 196393941#8 gneE87 196393974#0 49914077 424767578 43569819 387422128#1 43569827#0 43569827#1 43569827#2 43569827#7 43569848 30953391 424769002 424769005 424769006 424769004 30953396#1 -424769003#1 -424769003#0 -485017374 42706828#0 42706828#2 12182281#0 12182281#3 12182281#5 12182281#6 386995507#4 386995507#5 386995507#6 12152013#1 12152013#2 -12175537#6 -12175537#5 -12175537#4 12182281#9 12182281#10 -388756839#1 -388756839#0 -50033059#4 -50033059#3 -50033059#2 -50033059#1 42706833#0 42706833#2 12189876#0 12189876#2 484953508#1 60185970#0 60185970#2 12149571#1 12187610#3 50033558#2 -12188656 -121319046 -42706825#7 12199713#0 12199713#1 -386995514#6 -386995514#5 -386995514#4 -386995514#3 194358817#0 194358817#1 194358817#2 12114363#0 12114363#1 -50033059#4 12175537#0 12175537#2 12175537#3 12175537#4 12175537#5 12175537#6 12175537#7 12175537#8 12175537#9 12175537#10 12175537#11 12175537#12 12155177#1 12155177#2 387422153#1 gneE73 gneE75.0 gneE80.125" probability="0.0344827586206897"/&gt;</t>
  </si>
  <si>
    <t xml:space="preserve">    &lt;route id="Router3_90" edges="31909473.0 31909473.857 62634019#1-AddedOnRampEdge 62634019#1 62634019#2.0 62634019#2.242 62634019#3-AddedOnRampEdge 62634019#3 62634019#3-AddedOffRampEdge 12111747.0 59671945#0.30 62093806#0 104526265#0.14 424080766 424080768#0 104523976#1 262962063 12189051#0 -12189051#1 -262962063 -424080764 -424080768#1 -424080766 -104526265#1 30953497#0 30953497#2 30953497#3 42706585#0 42706585#1 30953320 30953320-AddedOffRampEdge 104526277 30953215#1-AddedOnRampEdge 30953215#1 121643865#0 12110705 50715233#0 50715233#0-AddedOffRampEdge 50715233#1.0 62203285#14.24 gneE59.30.0.55 gneE59.30.0.0 gneE59.0.0 gneE59.0.12 62203360#0 291433361#0 132508433.0 -gneE6.0 gneE81.299.0 gneE81.299.79 gneE81.299.145 -gneE8 12154353#0 196393941#1 196393941#2 28533986 43539369#2 12178843#2 12178843#3 49960982#2 43569828#0 387422128#1 43569827#0 43569827#1 43569827#2 43569827#7 43569848 30953391 424769002 424769005 424769006 424769004 30953396#1 387422132#0 387422132#1 486653633#0 484953506#3 484953506#4 12157002#0 12157002#1 12157002#3 12157002#5 12114396#4 -12156992#10 -12156992#8 -12156992#7 -12156992#6 -12156992#5 -12156992#4 -12156992#3 -12156992#2 -12156992#1 -386547297#1 -424080772#2 -424080772#1 -262962065#1 -262962063 -424080764 -424080768#1 -424080766 -104526265#1 30953497#0 30953497#2 35920555#0.0 35920555#0.75 62203066 43331031.0 43331031.436 42706585#0 42706585#1 30953320 30953320-AddedOffRampEdge 30953315 104526276-AddedOnRampEdge 104526276 51758697#0 51758697#1-AddedOnRampEdge 51758697#1" probability="0.0344827586206897"/&gt;</t>
  </si>
  <si>
    <t xml:space="preserve">    &lt;route id="Router3_101" edges="31909473.0 31909473.857 62634019#1-AddedOnRampEdge 62634019#1 62634019#2.0 62634019#2.242 62634019#3-AddedOnRampEdge 62634019#3 62634019#3-AddedOffRampEdge 12111747.0 59671945#0.30 62093806#0 30953497#0 30953497#2 35920555#0.0 35920555#0.75 62203066 43331031.0 43331031.436 42706585#0 42706585#1 30953320 30953320-AddedOffRampEdge 30953315 104526276-AddedOnRampEdge 104526276 51758697#0 51758697#1-AddedOnRampEdge 51758697#1" probability="0.0344827586206897"/&gt;</t>
  </si>
  <si>
    <t xml:space="preserve">    &lt;route id="Router3_118" edges="31909473.0 31909473.857 62634019#1-AddedOnRampEdge 62634019#1 62634019#2.0 62634019#2.242 62634019#3-AddedOnRampEdge 62634019#3 62634019#3-AddedOffRampEdge 30953251#1.0 30953251#1-AddedOffRampEdge 12112003 30953215#1-AddedOnRampEdge 30953215#1 121643865#0 12110705 50715233#0 50715233#0-AddedOffRampEdge 50715233#1.0 62203285#14.24 gneE59.30.0.55 gneE59.30.0.0 gneE59.0.0 gneE59.0.12 62203360#0 291433361#0 132508433.0 -gneE6.0 gneE81.299.0 gneE81.299.79 gneE81.299.145 -gneE8 12154353#0 196393941#1 196393941#2 28533986 43539369#2 12178843#2 12178843#3 49960982#2 43569828#0 387422128#1 43569827#0 43569827#1 43569827#2 43569827#7 43569848 30953391 424769002 424769005 424769006 424769004 30953396#1 387422132#0 387422132#1 486653633#0 484953506#3 484953506#4 12157002#0 12157002#1 12157002#3 12157002#5 12114396#4 -12156992#10 -12156992#8 -12156992#7 -12156992#6 -12156992#5 -12156992#4 -12156992#3 -12156992#2 -12156992#1 -386547297#1 -424080772#2 -424080772#1 -262962065#1 -262962063 -424080764 -424080768#1 -424080766 -104526265#1 30953497#0 30953497#2 30953497#3 42706585#0 42706585#1 30953320 30953320-AddedOffRampEdge 104526277 30953215#1-AddedOnRampEdge 30953215#1 121643865#0 12110705 50715233#0 50715233#0-AddedOffRampEdge 50715233#1.0 62203285#14.24 gneE59.30.0.55 gneE59.30.0.0 gneE59.0.0 gneE59.0.12 62203360#0 12159135 12149408#0 49914077 424767578 43569819 387422128#1 43569827#0 43569827#1 43569827#2 43569827#7 43569848 30953391 424769002 424769005 424769006 424769004 30953396#1 -424769003#1 -424769003#0 -485017374 42706828#0 42706828#2 12182281#0 12182281#3 12182281#5 12182281#6 386995507#4 386995507#5 386995507#6 12152013#1 12152013#2 -12175537#6 -12175537#5 -12175537#4 12182281#9 12182281#10 -388756839#1 -388756839#0 -50033059#4 -50033059#3 -50033059#2 -50033059#1 42706833#0 42706833#2 -42706825#7 12199713#0 12199713#1 -386995514#6 -386995514#5 -386995514#4 -386995514#3 -386995514#2 -386995514#1 12159500#1 12159500#2 51050030#7 gneE35 -gneE34.0 --gneE83.0" probability="0.0344827586206897"/&gt;</t>
  </si>
  <si>
    <t xml:space="preserve">    &lt;route id="Router3_119" edges="31909473.0 31909473.857 62634019#1-AddedOnRampEdge 62634019#1 62634019#2.0 62634019#2.242 62634019#3-AddedOnRampEdge 62634019#3 62634019#3-AddedOffRampEdge 30953251#1.0 30953251#1-AddedOffRampEdge 12112003 30953215#1-AddedOnRampEdge 30953215#1 121643865#0 12110705 50715233#0 50715233#0-AddedOffRampEdge 50715233#1.0 62203285#14.24 gneE59.30.0.55 gneE59.30.0.0 gneE59.0.0 gneE59.0.12 62203360#0 291433361#0 132508433.0 -gneE6.0 gneE81.299.0 gneE81.299.79 gneE81.299.145 -gneE8 12154353#0 196393941#1 196393941#2 28533986 43539369#2 12178843#2 12178843#3 49960982#2 43569828#0 387422128#1 43569827#0 43569827#1 43569827#2 43569827#7 43569848 30953391 424769002 424769005 424769006 424769004 30953396#1 387422132#0 387422132#1 486653633#0 484953506#3 484953506#4 12157002#0 12157002#1 12157002#3 12157002#5 12114396#4 -12156992#10 -12156992#8 -12156992#7 -12156992#6 -12156992#5 -12156992#4 -12156992#3 -12156992#2 -12156992#1 -386547297#1 -424080772#2 -424080772#1 -262962065#1 -262962063 -424080764 -424080768#1 -424080766 -104526265#1 30953497#0 30953497#2 35920555#0.0 35920555#0.75 62203066 43331031.0 43331031.436 42706585#0 42706585#1 30953320 30953320-AddedOffRampEdge 30953315 104526276-AddedOnRampEdge 104526276 51758697#0 51758697#1-AddedOnRampEdge 51758697#1" probability="0.0344827586206897"/&gt;</t>
  </si>
  <si>
    <t xml:space="preserve">    &lt;route id="Router3_144" edges="49887339#0.596 49887339#0-AddedOffRampEdge 49887339#1 49887339#1-AddedOffRampEdge 104524021 104524021-AddedOffRampEdge 12158873 121643865#0 12110705 50715233#0 50715233#0-AddedOffRampEdge 50715233#1.0 62203285#14.24 gneE59.30.0.55 gneE59.30.0.0 gneE59.0.0 gneE59.0.12 62203360#0 291433361#0 132508433.0 -gneE6.0 gneE81.299.0 gneE81.299.79 gneE81.299.145 -gneE8 12154353#0 196393941#1 196393941#2 28533986 43539369#2 12178843#2 12178843#3 49960982#2 43569828#0 387422128#1 43569827#0 43569827#1 43569827#2 43569827#7 43569848 30953391 424769002 424769005 424769006 424769004 30953396#1 387422132#0 387422132#1 486653633#0 484953506#3 484953506#4 12157002#0 12157002#1 12157002#3 12157002#5 12114396#4 -12156992#10 -12156992#8 -12156992#7 -12156992#6 -12156992#5 -12156992#4 -12156992#3 -12156992#2 -12156992#1 -386547297#1 -424080772#2 -424080772#1 -262962065#1 -262962063 -424080764 -424080768#1 -424080766 -104526265#1 30953497#0 30953497#2 30953497#3 42706585#0 42706585#1 30953320 30953320-AddedOffRampEdge 104526277 30953215#1-AddedOnRampEdge 30953215#1 121643865#0 12110705 50715233#0 50715233#0-AddedOffRampEdge 50715233#1.0 62203285#14.24 gneE59.30.0.55 gneE59.30.0.0 43539373#0.0.292.17 gneE58 gneE56 gneE54.0 62203360#0 291433361#0 132508433.0 -gneE6.0 gneE6.0 424765883 43539378#0.15 132508717#5 196393974#0 49914077 424767578 387422130#1 132508717#0 12149210#1 12151897#1 196393941#6 196393941#7 196393941#8 gneE87 196393974#0 388756841#0 49914076#0 12159673#0 12159673#1 393884751 43569848 30953391 12113092 51758697#1-AddedOnRampEdge 51758697#1 -gneE46.0 43357850.4841.18 gneE46 49887339#0.596 49887339#0-AddedOffRampEdge 49887339#1 49887339#1-AddedOffRampEdge 104524021 104524021-AddedOffRampEdge 50192637#0 50192637#1-AddedOnRampEdge 50192637#1.0.0 50192637#1.0.382.0.0 50192637#1.697 50192637#1-AddedOffRampEdge 30953181#1 30953181#2-AddedOnRampEdge 30953181#2 30953181#3-AddedOnRampEdge 30953181#3 30953181#3-AddedOffRampEdge 30952933#1.0 30952933#1.199" probability="0.0344827586206897"/&gt;</t>
  </si>
  <si>
    <t xml:space="preserve">    &lt;route id="Router3_145" edges="49887339#0.596 49887339#0-AddedOffRampEdge 49887339#1 49887339#1-AddedOffRampEdge 104524021 104524021-AddedOffRampEdge 12158873 121643865#0 12110705 50715233#0 50715233#0-AddedOffRampEdge 50715233#1.0 62203285#14.24 gneE59.30.0.55 gneE59.30.0.0 gneE59.0.0 gneE59.0.12 62203360#0 291433361#0 132508433.0 -gneE6.0 gneE81.299.0 gneE81.299.79 gneE81.299.145 -gneE8 12154353#0 196393941#1 196393941#2 28533986 43539369#2 12178843#2 12178843#3 49960982#2 43569828#0 387422128#1 43569827#0 43569827#1 43569827#2 43569827#7 43569848 30953391 424769002 424769005 424769006 424769004 30953396#1 387422132#0 387422132#1 486653633#0 484953506#3 484953506#4 12157002#0 12157002#1 12157002#3 12157002#5 12114396#4 -12156992#10 -12156992#8 -12156992#7 -12156992#6 -12156992#5 -12156992#4 -12156992#3 -12156992#2 -12156992#1 -386547297#1 -424080772#2 -424080772#1 -262962065#1 -262962063 -424080764 -424080768#1 -424080766 -104526265#1 30953497#0 30953497#2 35920555#0.0 35920555#0.75 62203066 43331031.0 43331031.436 42706585#0 42706585#1 30953320 30953320-AddedOffRampEdge 30953315 104526276-AddedOnRampEdge 104526276 51758697#0 51758697#1-AddedOnRampEdge 51758697#1" probability="0.0344827586206897"/&gt;</t>
  </si>
  <si>
    <t xml:space="preserve">    &lt;route id="Router3_50" edges="196393940#0 62203285#0 62203285#2 62203285#3 62203285#5 62203285#6 62203285#7 62203285#8 62203285#9 62203285#10 62203285#11 62203285#13 62203285#14.0 62203285#14.24 gneE59.30.0.55 gneE59.30.0.0 43539373#0.0.292.17 gneE58 gneE56 gneE54.0 62203360#0 291433361#0 132508433.0 -gneE6.0 gneE6.0 424765883 43539378#0.15 132508717#5 196393974#0 49914077 424767578 387422130#1 132508717#0 12149210#1 12151897#1 196393941#6 196393941#7 196393941#8 gneE87 196393974#0 388756841#0 49914076#0 12159673#0 12159673#1 393884751 43569848 30953391 12113092 51758697#1-AddedOnRampEdge 51758697#1" probability="0.0344827586206897"/&gt;</t>
  </si>
  <si>
    <t>&lt;routeDistribution id="39st-Wal_to_Market-SB-1999-RouteProbe"&gt;</t>
  </si>
  <si>
    <t>&lt;routeDistribution id="BARINGst-38-34-BOTH-dir-2000-RouteProbe"&gt;</t>
  </si>
  <si>
    <t xml:space="preserve">    &lt;route id="Router3_1" edges="-gneE80.0 -gneE80.17 -gneE41 gneE44 -388756838#2 -388756838#1 -388756838#0 42706817#0 386547310 gneE69 -388756838#2 -388756838#1 -388756838#0 -388756839#1 -388756839#0 -194358837#2 -194358837#0 194358838#0 194358838#1 194358838#2 194358838#3 387422145#0 387422145#3 386995499#0 386995499#2 -51155368#13 -51155368#10 -51155368#7 121319040#0 121319040#1 386995507#0 386995507#1 386995507#2 386995507#3 12182281#7 42706837#0 42706837#1 42706837#2 42706837#3 43357814#2 43357814#3 386995526#0 386995526#1 -51050425#4 -51050425#3 -51050425#2 12162659#0 12162659#1 -12175537#4 -12175537#3 -12175537#2 -12175537#1 -50033059#3 -50033059#2 -386995514#7 -12199713#2 12177498 42706833#2 51155368#0 -50033558#5 -50033558#3 -50033558#2 -62105579 -32121234#1 -32121234#0 42706874#0 42706874#2 55179414#0 55179413#0 424769182 -450827405#2 -450827400#2 -450827382 -450827385#1 -450827391#1 -450827381 -450827397#1 12180696#0 59435515#1 59435515#2 59435515#3 59435515#4 424801338#1 12117702#0 12117702#4 12117702#7 -32121146#3 12202008#2.0 12202008#2.171 62646499#2 450827424#0 450827405#0 262962062 -55179413#2 12187610#0 12187610#2 12187610#3 -62105579 12186909#0 12186909#1 12186909#2 51155368#11 42706831#0 42706831#4 42706831#5 42706831#6 32121234#0 32121234#1 32121234#2 50033558#2 50033558#3 50033558#4 50033558#6 50033058#0 386995514#9 386995486#0 32121111#11 -12177521#0 -121319040#0 -51155368#5 -50033558#5 -50033558#3 -12188656 -121319046 -42706825#7 -42706825#4 -42706825#3 -42706825#1 194358815 194358817#0 194358817#1 194358817#2 12114363#0 12114363#1 -50033059#4 12175537#0 12175537#2 12175537#3 12175537#4 12175537#5 12175537#6 12175537#7 -43357814#2 42706837#4 42706837#5 42706837#6 42706837#7 42706837#8 42706837#9 12172918#0 12172918#1 12172918#2 gneE73 gneE75.0 gneE80.125" probability="1"/&gt;</t>
  </si>
  <si>
    <t>&lt;routeDistribution id="I-676-on_ramp-30STsta-1995-RouteProbe"&gt;</t>
  </si>
  <si>
    <t xml:space="preserve">    &lt;route id="Router3_52" edges="196393940#0 62203285#0 62203285#2 62203285#3 62203285#5 62203285#6 62203285#7 62203285#8 62203285#9 62203285#10 62203285#11 62203285#13 62203285#14.0 62203285#14.24 gneE59.30.0.55 gneE59.30.0.0 gneE59.0.0 gneE59.0.12 62203360#0 291433361#0 132508433.0 -gneE6.0 gneE81.299.0 gneE81.299.79 gneE81.299.145 -gneE8 12154353#0 196393941#1 196393941#2 28533986 43539369#2 12178843#2 12178843#3 49960982#2 43569828#0 387422128#1 43569827#0 43569827#1 43569827#2 43569827#7 43569848 30953391 424769002 424769005 424769006 424769004 30953396#1 387422132#0 387422132#1 486653633#0 484953506#3 484953506#4 12157002#0 12157002#1 12157002#3 12157002#5 12114396#4 -12156992#10 -12156992#8 -12156992#7 -12156992#6 -12156992#5 -12156992#4 -12156992#3 -12156992#2 -12156992#1 -386547297#1 -424080772#2 -424080772#1 -262962065#1 -262962063 -424080764 -424080768#1 -424080766 -104526265#1 30953497#0 30953497#2 30953497#3 42706585#0 42706585#1 30953320 30953320-AddedOffRampEdge 104526277 30953215#1-AddedOnRampEdge 30953215#1 121643865#0 12110705 50715233#0 50715233#0-AddedOffRampEdge 50715233#1.0 62203285#14.24 gneE59.30.0.55 gneE59.30.0.0 43539373#0.0.292.17 gneE58 gneE56 gneE54.0 62203360#0 291433361#0 132508433.0 -gneE6.0 gneE6.0 424765883 43570920#0.22 132508717#4 43539378#1 43569848 30953391 12113092 51758697#1-AddedOnRampEdge 51758697#1" probability="0.0454545454545455"/&gt;</t>
  </si>
  <si>
    <t xml:space="preserve">    &lt;route id="Router3_53" edges="196393940#0 62203285#0 62203285#2 62203285#3 62203285#5 62203285#6 62203285#7 62203285#8 62203285#9 62203285#10 62203285#11 62203285#13 62203285#14.0 62203285#14.24 gneE59.30.0.55 gneE59.30.0.0 gneE59.0.0 gneE59.0.12 62203360#0 291433361#0 132508433.0 -gneE6.0 gneE81.299.0 gneE81.299.79 gneE81.299.145 -gneE8 12154353#0 196393941#1 196393941#2 28533986 43539369#2 12178843#2 12178843#3 49960982#2 43569828#0 387422128#1 43569827#0 43569827#1 43569827#2 43569827#7 43569848 30953391 424769002 424769005 424769006 424769004 30953396#1 387422132#0 387422132#1 486653633#0 484953506#3 484953506#4 12157002#0 12157002#1 12157002#3 12157002#5 12114396#4 -12156992#10 -12156992#8 -12156992#7 -12156992#6 -12156992#5 -12156992#4 -12156992#3 -12156992#2 -12156992#1 -386547297#1 -424080772#2 -424080772#1 -262962065#1 -262962063 -424080764 -424080768#1 -424080766 -104526265#1 30953497#0 30953497#2 30953497#3 42706585#0 42706585#1 30953320 30953320-AddedOffRampEdge 104526277 30953215#1-AddedOnRampEdge 30953215#1 121643865#0 12110705 50715233#0 50715233#0-AddedOffRampEdge 50715233#1.0 62203285#14.24 gneE59.30.0.55 gneE59.30.0.0 gneE59.0.0 gneE59.0.12 62203360#0 12159135 12149408#0 49914077 424767578 43569819 387422128#1 43569827#0 43569827#1 43569827#2 43569827#7 43569848 30953391 424769002 424769005 424769006 424769004 30953396#1 -424769003#1 -424769003#0 -485017374 42706828#0 42706828#2 12182281#0 12182281#3 12182281#5 12182281#6 386995507#4 386995507#5 386995507#6 12152013#1 12152013#2 -12175537#6 -12175537#5 -12175537#4 12182281#9 12182281#10 -388756839#1 -388756839#0 -50033059#4 -50033059#3 -50033059#2 -50033059#1 42706833#0 42706833#2 12189876#0 12189876#2 484953508#1 60185970#0 60185970#2 12149571#1 12187610#3 50033558#2 -12188656 -121319046 -42706825#7 12199713#0 12199713#1 -386995514#6 -386995514#5 -386995514#4 -386995514#3 194358817#0 194358817#1 194358817#2 12114363#0 12114363#1 -50033059#4 12175537#0 12175537#2 12175537#3 12175537#4 12175537#5 12175537#6 12175537#7 12175537#8 12175537#9 12175537#10 12175537#11 12175537#12 12155177#1 12155177#2 387422153#1 gneE73 gneE75.0 gneE80.125" probability="0.0454545454545455"/&gt;</t>
  </si>
  <si>
    <t xml:space="preserve">    &lt;route id="Router3_61" edges="196393940#0 62203285#0 62203285#2 62203285#3 62203285#5 62203285#6 62203285#7 62203286#0 62203286#2 59676508#0 -59676508#0 -62203286#2 -62203286#0 62203285#8 62203285#9 62203285#10 62203285#11 62203285#13 62203285#14.0 62203285#14.24 gneE59.30.0.55 gneE59.30.0.0 gneE59.0.0 gneE59.0.12 62203360#0 291433361#0 132508433.0 -gneE6.0 gneE81.299.0 gneE81.299.79 gneE81.299.145 -gneE8 12154353#0 196393941#1 196393941#2 28533986 43539369#2 12178843#2 12178843#3 49960982#2 43569828#0 387422128#1 43569827#0 43569827#1 43569827#2 43569827#7 43569848 30953391 424769002 424769005 424769006 424769004 30953396#1 387422132#0 387422132#1 486653633#0 484953506#3 484953506#4 12157002#0 12157002#1 12157002#3 12157002#5 12114396#4 -12156992#10 -12156992#8 -12156992#7 -12156992#6 -12156992#5 -12156992#4 -12156992#3 -12156992#2 -12156992#1 -386547297#1 -424080772#2 -424080772#1 -262962065#1 -262962063 -424080764 -424080768#1 -424080766 -104526265#1 30953497#0 30953497#2 30953497#3 42706585#0 42706585#1 30953320 30953320-AddedOffRampEdge 104526277 30953215#1-AddedOnRampEdge 30953215#1 121643865#0 12110705 50715233#0 50715233#0-AddedOffRampEdge 50715233#1.0 62203285#14.24 gneE59.30.0.55 gneE59.30.0.0 43539373#0.0.292.17 gneE58 gneE56 gneE54.0 62203360#0 291433361#0 132508433.0 -gneE6.0 gneE6.0 424765883 43539378#0.15 132508717#5 196393974#0 49914077 424767578 387422130#1 132508717#0 12149210#1 12151897#1 196393941#6 196393941#7 196393941#8 gneE87 196393974#0 388756841#0 49914076#0 12159673#0 12159673#1 393884751 43569848 30953391 12113092 51758697#1-AddedOnRampEdge 51758697#1" probability="0.0454545454545455"/&gt;</t>
  </si>
  <si>
    <t xml:space="preserve">    &lt;route id="Router3_66" edges="31909473.0 31909473.857 62634019#1-AddedOnRampEdge 62634019#1 30953036 424081476 -424987520 -30953029#1 -30953029#0 -424987519 12169718#0 12169718#1 424804090#0 424804090#1 424804090#2 424804090#3 424804090#4 132508920#2 132508920#3 132508920#4 132508920#5 424080762#0 424080762#1 424080762#2 424080762#3 424080762#4 424080762#5 179915585#2 12171853#2 12198567#4 12198567#5 12152219#0 12152219#1 12152236 132508920#12 132508897#0 132508897#1 132508897#2 132508897#3 394179820#0 394179820#1 394179820#2 394179820#3 394179820#4 196355327#1 196355327#2 196355327#5 196393940#1 196207112#0 32122059#1 424080774 262962068#0.0 30953497#0 30953497#2 30953497#3 42706585#0 42706585#1 30953320 30953320-AddedOffRampEdge 104526277 30953215#1-AddedOnRampEdge 30953215#1 121643865#0 12110705 50715233#0 50715233#0-AddedOffRampEdge 50715233#1.0 62203285#14.24 gneE59.30.0.55 gneE59.30.0.0 43539373#0.0.292.17 gneE58 gneE56 gneE54.0 62203360#0 291433361#0 132508433.0 -gneE6.0 gneE6.0 424765883 43570920#0.22 132508717#4 43539378#1 43569848 30953391 12113092 51758697#1-AddedOnRampEdge 51758697#1" probability="0.0454545454545455"/&gt;</t>
  </si>
  <si>
    <t xml:space="preserve">    &lt;route id="Router3_67" edges="31909473.0 31909473.857 62634019#1-AddedOnRampEdge 62634019#1 30953036 424081476 -424987520 -30953029#1 -30953029#0 -424987519 12169718#0 12169718#1 424804090#0 424804090#1 424804090#2 424804090#3 424804090#4 132508920#2 132508920#3 132508920#4 132508920#5 424080762#0 424080762#1 424080762#2 424080762#3 424080762#4 424080762#5 179915585#2 12171853#2 12198567#4 12198567#5 12152219#0 12152219#1 12152236 132508920#12 132508897#0 132508897#1 132508897#2 132508897#3 394179820#0 394179820#1 394179820#2 394179820#3 394179820#4 196355327#1 196355327#2 196355327#5 196393940#1 196207112#0 32122059#1 424080774 262962068#0.0 30953497#0 30953497#2 30953497#3 42706585#0 42706585#1 30953320 30953320-AddedOffRampEdge 104526277 30953215#1-AddedOnRampEdge 30953215#1 121643865#0 121643865#1 145605511#1-AddedOnRampEdge 145605511#12 145605511#1.148" probability="0.0454545454545455"/&gt;</t>
  </si>
  <si>
    <t xml:space="preserve">    &lt;route id="Router3_68" edges="31909473.0 31909473.857 62634019#1-AddedOnRampEdge 62634019#1 30953036 424081476 -424987520 -30953029#1 -30953029#0 -424987519 12169718#0 179915585#0 193223837#0 193223837#1 12198567#1 12198567#2 12198567#3 12171853#3 12171853#4 12171853#5 12171853#6 132508920#8 132508920#9 132508920#10 132508920#12 132508983#0 132508983#3 132508983#5 132508740#0 132508740#2 -12165829#1 132508646#0 132508646#2 132508646#3 394179820#0 394179820#1 394179820#2 394179820#3 450844975 450844970#0 196355332#0 450844979#0.0 12114109#0.45.0 59671945#0.30 62093806#0 30953497#0 30953497#2 30953497#3 42706585#0 42706585#1 30953320 30953320-AddedOffRampEdge 104526277 30953215#1-AddedOnRampEdge 30953215#1 121643865#0 12110705 50715233#0 50715233#0-AddedOffRampEdge 50715233#1.0 62203285#14.24 gneE59.30.0.55 gneE59.30.0.0 43539373#0.0.292.17 gneE58 gneE56 gneE54.0 62203360#0 291433361#0 132508433.0 -gneE6.0 gneE6.0 424765883 43539378#0.15 132508717#5 196393974#0 49914077 424767578 387422130#1 132508717#0 12149210#1 12151897#1 196393941#6 196393941#7 196393941#8 gneE87 196393974#0 388756841#0 49914076#0 12159673#0 12159673#1 393884751 43569848 30953391 12113092 51758697#1-AddedOnRampEdge 51758697#1" probability="0.0454545454545455"/&gt;</t>
  </si>
  <si>
    <t xml:space="preserve">    &lt;route id="Router3_69" edges="31909473.0 31909473.857 62634019#1-AddedOnRampEdge 62634019#1 30953036 424081476 -424987520 -30953029#1 -30953029#0 -424987519 12169718#0 179915585#0 193223837#0 193223837#1 12198567#1 12198567#2 12198567#3 12171853#3 12171853#4 12171853#5 12171853#6 132508920#8 132508920#9 132508920#10 132508920#12 132508983#0 132508983#3 132508983#5 132508740#0 132508740#2 -12165829#1 132508646#0 132508646#2 132508646#3 394179820#0 394179820#1 394179820#2 394179820#3 450844975 450844970#0 196355332#0 450844979#0.0 12114109#0.45.0 59671945#0.30 62093806#0 30953497#0 30953497#2 30953497#3 42706585#0 42706585#1 30953320 30953320-AddedOffRampEdge 104526277 30953215#1-AddedOnRampEdge 30953215#1 121643865#0 12110705 50715233#0 50715233#0-AddedOffRampEdge 50715233#1.0 62203285#14.24 gneE59.30.0.55 gneE59.30.0.0 43539373#0.0.292.17 gneE58 gneE56 gneE54.0 62203360#0 291433361#0 132508433.0 -gneE6.0 gneE6.0 424765883 43570920#0.22 132508717#4 43539378#1 43569848 30953391 12113092 51758697#1-AddedOnRampEdge 51758697#1" probability="0.0454545454545455"/&gt;</t>
  </si>
  <si>
    <t xml:space="preserve">    &lt;route id="Router3_71" edges="31909473.0 31909473.857 62634019#1-AddedOnRampEdge 62634019#1 30953036 424081476 424081472 424081473 424081470 30953025#0 30953025#2 30953025#3 30953025#4 50033060#0 12134479#5 450844973#0 388533144#0 388533144#6 388533144#11 450695475#0 137364609#0 137364609#3 137364609#5 450695473#0 386547305#0 gneE23 -gneE20.0 -gneE21.54 -gneE21.0 59435515#0 59435515#1 59435515#2 59435515#3 59435515#4 424801338#1 12117702#0 12117702#4 12117702#7 -32121146#3 -32121146#1 -424769197#2 12144152#0 12144152#2 12144152#4 12144152#6 12157151#0 12166276#2 -32121146#5 12117702#9 450844953#0 450844953#2 450844953#3 450844947#0 388533142#0 388533142#2 12189045#0 62623987#0 62623987#1 -12142631 12202018 62623986#1 62623986#2 -12189051#1 -262962063 -424080764 -424080768#1 -424080766 -104526265#1 30953497#0 30953497#2 30953497#3 42706585#0 42706585#1 30953320 30953320-AddedOffRampEdge 104526277 30953215#1-AddedOnRampEdge 30953215#1 121643865#0 12110705 50715233#0 50715233#0-AddedOffRampEdge 50715233#1.0 62203285#14.24 30908387 30908366#1-AddedOnRampEdge 30908366#1 121643863 121643862 51758697#0 51758697#1-AddedOnRampEdge 51758697#1 -gneE46.0 43357850.4841.18 gneE46 49887339#0.596 49887339#0-AddedOffRampEdge 49887339#1 49887339#1-AddedOffRampEdge 104524021 104524021-AddedOffRampEdge 50192637#0 50192637#1-AddedOnRampEdge 50192637#1.0.0 50192637#1.0.382.0.0 50192637#1.697 50192637#1-AddedOffRampEdge 30953181#1 30953181#2-AddedOnRampEdge 30953181#2 30953181#3-AddedOnRampEdge 30953181#3 30953181#3-AddedOffRampEdge 30952933#1.0 30952933#1.199" probability="0.0454545454545455"/&gt;</t>
  </si>
  <si>
    <t xml:space="preserve">    &lt;route id="Router3_85" edges="31909473.0 31909473.857 62634019#1-AddedOnRampEdge 62634019#1 62634019#2.0 62634019#2.242 62634019#3-AddedOnRampEdge 62634019#3 62634019#3-AddedOffRampEdge 12111747.0 59671945#0.30 62093806#0 104526265#0.14 424080766 424080768#0 104523976#1 262962063 12189051#0 -12189051#1 -262962063 -424080764 -424080768#1 -424080766 -104526265#1 30953497#0 30953497#2 30953497#3 42706585#0 42706585#1 30953320 30953320-AddedOffRampEdge 104526277 30953215#1-AddedOnRampEdge 30953215#1 121643865#0 12110705 50715233#0 50715233#0-AddedOffRampEdge 50715233#1.0 62203285#14.24 30908387 30908366#1-AddedOnRampEdge 30908366#1 121643863 121643862 51758697#0 51758697#1-AddedOnRampEdge 51758697#1 -gneE46.0 43357850.4841.18 gneE46 49887339#0.596 49887339#0-AddedOffRampEdge 49887339#1 49887339#1-AddedOffRampEdge 104524021 104524021-AddedOffRampEdge 50192637#0 50192637#1-AddedOnRampEdge 50192637#1.0.0 50192637#1.0.382.0.0 50192637#1.697 50192637#1-AddedOffRampEdge 30953181#1 30953181#2-AddedOnRampEdge 30953181#2 30953181#3-AddedOnRampEdge 30953181#3 30953181#3-AddedOffRampEdge 30952933#1.0 30952933#1.199" probability="0.0454545454545455"/&gt;</t>
  </si>
  <si>
    <t xml:space="preserve">    &lt;route id="Router3_86" edges="31909473.0 31909473.857 62634019#1-AddedOnRampEdge 62634019#1 62634019#2.0 62634019#2.242 62634019#3-AddedOnRampEdge 62634019#3 62634019#3-AddedOffRampEdge 12111747.0 59671945#0.30 62093806#0 104526265#0.14 424080766 424080768#0 104523976#1 262962063 12189051#0 -12189051#1 -262962063 -424080764 -424080768#1 -424080766 -104526265#1 30953497#0 30953497#2 30953497#3 42706585#0 42706585#1 30953320 30953320-AddedOffRampEdge 104526277 30953215#1-AddedOnRampEdge 30953215#1 121643865#0 12110705 50715233#0 50715233#0-AddedOffRampEdge 50715233#1.0 62203285#14.24 gneE59.30.0.55 gneE59.30.0.0 43539373#0.0.292.17 gneE58 gneE56 gneE54.0 62203360#0 291433361#0 132508433.0 -gneE6.0 gneE6.0 424765883 43570920#0.22 132508717#4 43539378#1 43569848 30953391 12113092 51758697#1-AddedOnRampEdge 51758697#1 -gneE46.0 43357850.4841.18 gneE46 49887339#0.596 49887339#0-AddedOffRampEdge 49887339#1 49887339#1-AddedOffRampEdge 104524021 104524021-AddedOffRampEdge 50192637#0 50192637#1-AddedOnRampEdge 50192637#1.0.0 50192637#1.0.382.0.0 50192637#1.697 50192637#1-AddedOffRampEdge 30953181#1 30953181#2-AddedOnRampEdge 30953181#2 30953181#3-AddedOnRampEdge 30953181#3 30953181#3-AddedOffRampEdge 30952933#1.0 30952933#1.199" probability="0.0454545454545455"/&gt;</t>
  </si>
  <si>
    <t xml:space="preserve">    &lt;route id="Router3_87" edges="31909473.0 31909473.857 62634019#1-AddedOnRampEdge 62634019#1 62634019#2.0 62634019#2.242 62634019#3-AddedOnRampEdge 62634019#3 62634019#3-AddedOffRampEdge 12111747.0 59671945#0.30 62093806#0 104526265#0.14 424080766 424080768#0 104523976#1 262962063 12189051#0 -12189051#1 -262962063 -424080764 -424080768#1 -424080766 -104526265#1 30953497#0 30953497#2 30953497#3 42706585#0 42706585#1 30953320 30953320-AddedOffRampEdge 104526277 30953215#1-AddedOnRampEdge 30953215#1 121643865#0 12110705 50715233#0 50715233#0-AddedOffRampEdge 50715233#1.0 62203285#14.24 gneE59.30.0.55 gneE59.30.0.0 43539373#0.0.292.17 gneE58 gneE56 gneE54.0 62203360#0 291433361#0 132508433.0 -gneE6.0 gneE6.0 424765883 43570920#0.22 132508717#4 43539378#1 43569848 30953391 12113092 51758697#1-AddedOnRampEdge 51758697#1" probability="0.0454545454545455"/&gt;</t>
  </si>
  <si>
    <t xml:space="preserve">    &lt;route id="Router3_88" edges="31909473.0 31909473.857 62634019#1-AddedOnRampEdge 62634019#1 62634019#2.0 62634019#2.242 62634019#3-AddedOnRampEdge 62634019#3 62634019#3-AddedOffRampEdge 12111747.0 59671945#0.30 62093806#0 104526265#0.14 424080766 424080768#0 104523976#1 262962063 12189051#0 -12189051#1 -262962063 -424080764 -424080768#1 -424080766 -104526265#1 30953497#0 30953497#2 30953497#3 42706585#0 42706585#1 30953320 30953320-AddedOffRampEdge 104526277 30953215#1-AddedOnRampEdge 30953215#1 121643865#0 12110705 50715233#0 50715233#0-AddedOffRampEdge 50715233#1.0 62203285#14.24 gneE59.30.0.55 gneE59.30.0.0 43539373#0.0.292.17 gneE58 gneE56 gneE54.0 gneE62.13 gneE81.0 gneE6.0 424765883 gneE87 196393957 132508433.0 -gneE6.0 gneE81.299.0 gneE81.299.79 gneE81.299.145 12178843#0 12178843#1 43539369#3 43539369#4 43539368#0 43570920#3 43570920#5 404615579 43569828#0 43539397#3 43569816#0 49914076#0 12167196#0.0.0 424764853 12149178#0 12149178#1 12149178#2 50189577 62203295 145605533#1-AddedOnRampEdge 145605533#1 145605511#1-AddedOnRampEdge 145605511#12 145605511#1.148" probability="0.0454545454545455"/&gt;</t>
  </si>
  <si>
    <t xml:space="preserve">    &lt;route id="Router3_89" edges="31909473.0 31909473.857 62634019#1-AddedOnRampEdge 62634019#1 62634019#2.0 62634019#2.242 62634019#3-AddedOnRampEdge 62634019#3 62634019#3-AddedOffRampEdge 12111747.0 59671945#0.30 62093806#0 104526265#0.14 424080766 424080768#0 104523976#1 262962063 12189051#0 -12189051#1 -262962063 -424080764 -424080768#1 -424080766 -104526265#1 30953497#0 30953497#2 30953497#3 42706585#0 42706585#1 30953320 30953320-AddedOffRampEdge 104526277 30953215#1-AddedOnRampEdge 30953215#1 121643865#0 12110705 50715233#0 50715233#0-AddedOffRampEdge 50715233#1.0 62203285#14.24 gneE59.30.0.55 gneE59.30.0.0 43539373#0.0.292.17 gneE58 gneE56 gneE54.0 gneE62.13 gneE81.0 gneE81.299.0 12138964.1128 196393941#8 gneE87 196393974#0 49914077 424767578 43569819 387422128#1 43569827#0 43569827#1 43569827#2 43569827#7 43569848 30953391 424769002 424769005 424769006 424769004 30953396#1 -424769003#1 -424769003#0 -485017374 42706828#0 42706828#2 12182281#0 12182281#3 12182281#5 12182281#6 386995507#4 386995507#5 386995507#6 12152013#1 12152013#2 -12175537#6 -12175537#5 -12175537#4 12182281#9 12182281#10 -388756839#1 -388756839#0 -50033059#4 -50033059#3 -50033059#2 -50033059#1 42706833#0 42706833#2 12189876#0 12189876#2 484953508#1 60185970#0 60185970#2 12149571#1 12187610#3 50033558#2 -12188656 -121319046 -42706825#7 12199713#0 12199713#1 -386995514#6 -386995514#5 -386995514#4 -386995514#3 194358817#0 194358817#1 194358817#2 12114363#0 12114363#1 -50033059#4 12175537#0 12175537#2 12175537#3 12175537#4 12175537#5 12175537#6 12175537#7 12175537#8 12175537#9 12175537#10 12175537#11 12175537#12 12155177#1 12155177#2 387422153#1 gneE73 gneE75.0 gneE80.125" probability="0.0454545454545455"/&gt;</t>
  </si>
  <si>
    <t xml:space="preserve">    &lt;route id="Router3_90" edges="31909473.0 31909473.857 62634019#1-AddedOnRampEdge 62634019#1 62634019#2.0 62634019#2.242 62634019#3-AddedOnRampEdge 62634019#3 62634019#3-AddedOffRampEdge 12111747.0 59671945#0.30 62093806#0 104526265#0.14 424080766 424080768#0 104523976#1 262962063 12189051#0 -12189051#1 -262962063 -424080764 -424080768#1 -424080766 -104526265#1 30953497#0 30953497#2 30953497#3 42706585#0 42706585#1 30953320 30953320-AddedOffRampEdge 104526277 30953215#1-AddedOnRampEdge 30953215#1 121643865#0 12110705 50715233#0 50715233#0-AddedOffRampEdge 50715233#1.0 62203285#14.24 gneE59.30.0.55 gneE59.30.0.0 gneE59.0.0 gneE59.0.12 62203360#0 291433361#0 132508433.0 -gneE6.0 gneE81.299.0 gneE81.299.79 gneE81.299.145 -gneE8 12154353#0 196393941#1 196393941#2 28533986 43539369#2 12178843#2 12178843#3 49960982#2 43569828#0 387422128#1 43569827#0 43569827#1 43569827#2 43569827#7 43569848 30953391 424769002 424769005 424769006 424769004 30953396#1 387422132#0 387422132#1 486653633#0 484953506#3 484953506#4 12157002#0 12157002#1 12157002#3 12157002#5 12114396#4 -12156992#10 -12156992#8 -12156992#7 -12156992#6 -12156992#5 -12156992#4 -12156992#3 -12156992#2 -12156992#1 -386547297#1 -424080772#2 -424080772#1 -262962065#1 -262962063 -424080764 -424080768#1 -424080766 -104526265#1 30953497#0 30953497#2 35920555#0.0 35920555#0.75 62203066 43331031.0 43331031.436 42706585#0 42706585#1 30953320 30953320-AddedOffRampEdge 30953315 104526276-AddedOnRampEdge 104526276 51758697#0 51758697#1-AddedOnRampEdge 51758697#1" probability="0.0454545454545455"/&gt;</t>
  </si>
  <si>
    <t xml:space="preserve">    &lt;route id="Router3_95" edges="31909473.0 31909473.857 62634019#1-AddedOnRampEdge 62634019#1 62634019#2.0 62634019#2.242 62634019#3-AddedOnRampEdge 62634019#3 62634019#3-AddedOffRampEdge 12111747.0 59671945#0.30 62093806#0 104526265#0.14 424080766 424080768#0 104523976#1 262962063 12189051#0 -12189051#1 424080770#0 424080772#0 12119506#0 -12156992#1 -386547297#1 -424080772#2 -424080772#1 -424080761#1 -62623960 62623959#0 386547296#0 386547296#1 424080773#0 279870839#0 279870839#2 450844960#0 62623926#1 450844950#0 38502259#0.19 450844933#1 196207115#0 196207115#2 196207115#3 196355332#0 450844979#0.0 450844982#0.19 62203497#0 62203497#2 62203497#3 12134479#1 34685684#0 34685684#2 388533143#0 388533143#2 12140627#0 63060729#0 -264253834#2 12156992#4 12156992#5 12156992#6 12156992#7 12156992#8 12156992#9 484953505 12148522#0 485017381#0 485017381#1 -30953396#1 30953396#1 -424769003#1 -424769003#0 12157002#0 12157002#1 12157002#3 12157002#5 12114396#4 -12156992#10 -12156992#8 -12156992#7 -12156992#6 -12156992#5 -12156992#4 -12156992#3 -12156992#2 -12156992#1 -386547297#1 -424080772#2 -424080772#1 -262962065#1 -262962063 -424080764 -424080768#1 -424080766 -104526265#1 30953497#0 30953497#2 30953497#3 42706585#0 42706585#1 30953320 30953320-AddedOffRampEdge 104526277 30953215#1-AddedOnRampEdge 30953215#1 121643865#0 12110705 50715233#0 50715233#0-AddedOffRampEdge 50715233#1.0 62203285#14.24 gneE59.30.0.55 gneE59.30.0.0 43539373#0.0.292.17 gneE58 gneE56 gneE54.0 gneE62.13 gneE81.0 gneE6.0 424765883 43539378#0.15 43539378#1 -393884751 12159702 424764853 12149178#0 50189796 50189564 12149178#2 145605533#0 145605533#1-AddedOnRampEdge 145605533#1 145605511#1-AddedOnRampEdge 145605511#12 145605511#1.148" probability="0.0454545454545455"/&gt;</t>
  </si>
  <si>
    <t xml:space="preserve">    &lt;route id="Router3_117" edges="31909473.0 31909473.857 62634019#1-AddedOnRampEdge 62634019#1 62634019#2.0 62634019#2.242 62634019#3-AddedOnRampEdge 62634019#3 62634019#3-AddedOffRampEdge 30953251#1.0 30953251#1-AddedOffRampEdge 12112003 30953215#1-AddedOnRampEdge 30953215#1 121643865#0 12110705 50715233#0 50715233#0-AddedOffRampEdge 50715233#1.0 62203285#14.24 gneE59.30.0.55 gneE59.30.0.0 gneE59.0.0 gneE59.0.12 62203360#0 291433361#0 132508433.0 -gneE6.0 gneE81.299.0 gneE81.299.79 gneE81.299.145 -gneE8 12154353#0 196393941#1 196393941#2 28533986 43539369#2 12178843#2 12178843#3 49960982#2 43569828#0 387422128#1 43569827#0 43569827#1 43569827#2 43569827#7 43569848 30953391 424769002 424769005 424769006 424769004 30953396#1 387422132#0 387422132#1 486653633#0 484953506#3 484953506#4 12157002#0 12157002#1 12157002#3 12157002#5 12114396#4 -12156992#10 -12156992#8 -12156992#7 -12156992#6 -12156992#5 -12156992#4 -12156992#3 -12156992#2 -12156992#1 -386547297#1 -424080772#2 -424080772#1 -262962065#1 -262962063 -424080764 -424080768#1 -424080766 -104526265#1 30953497#0 30953497#2 30953497#3 42706585#0 42706585#1 30953320 30953320-AddedOffRampEdge 104526277 30953215#1-AddedOnRampEdge 30953215#1 121643865#0 12110705 50715233#0 50715233#0-AddedOffRampEdge 50715233#1.0 62203285#14.24 gneE59.30.0.55 gneE59.30.0.0 gneE59.0.0 gneE59.0.12 62203360#0 12159135 12149408#0 49914077 424767578 43569819 387422128#1 43569827#0 43569827#1 43569827#2 43569827#7 43569848 30953391 424769002 424769005 424769006 424769004 30953396#1 -424769003#1 -424769003#0 -485017374 42706828#0 42706828#2 12182281#0 12182281#3 12182281#5 12182281#6 386995507#4 386995507#5 386995507#6 12152013#1 12152013#2 -12175537#6 -12175537#5 -12175537#4 12182281#9 12182281#10 -388756839#1 -388756839#0 -50033059#4 -50033059#3 -50033059#2 -50033059#1 -50033558#8 -51155368#3 121319046 12188656 -50033558#2 12203859#0 12203859#1 42706831#4 42706831#5 42706831#6 42706874#0 42706874#2 12144152#0 12144152#2 450844953#0 450844953#2 450844953#3 450844947#0 388533142#0 388533142#2 388533142#4 62623926#0 62623926#1 450844950#0 12189453#0.0.0 450844982#0.19 62203497#0 62203497#2 62203497#3 12134479#1 34685684#0 34685684#2 388533143#0 388533143#2 12140627#0 63060729#0 -264253834#2 12156992#4 12156992#5 12156992#6 12156992#7 12156992#8 12156992#9 -12114396#5 -12114396#3 -12114396#1 485017383#0 485017382#0 485017382#1 211575484#0 -12177521#3 -12177521#2 -12177521#1 32121111#12 32121111#14 -12187610#5 -12187610#2 -12187610#1 12150608#0 32121146#2 12117702#9 450844953#0 450844953#2 450844953#3 450844947#0 388533142#0 388533142#2 388533142#4 62623926#0 62623926#1 450844950#0 38502259#0.19 450844933#1 196207110#0 196207110#2" probability="0.0454545454545455"/&gt;</t>
  </si>
  <si>
    <t xml:space="preserve">    &lt;route id="Router3_118" edges="31909473.0 31909473.857 62634019#1-AddedOnRampEdge 62634019#1 62634019#2.0 62634019#2.242 62634019#3-AddedOnRampEdge 62634019#3 62634019#3-AddedOffRampEdge 30953251#1.0 30953251#1-AddedOffRampEdge 12112003 30953215#1-AddedOnRampEdge 30953215#1 121643865#0 12110705 50715233#0 50715233#0-AddedOffRampEdge 50715233#1.0 62203285#14.24 gneE59.30.0.55 gneE59.30.0.0 gneE59.0.0 gneE59.0.12 62203360#0 291433361#0 132508433.0 -gneE6.0 gneE81.299.0 gneE81.299.79 gneE81.299.145 -gneE8 12154353#0 196393941#1 196393941#2 28533986 43539369#2 12178843#2 12178843#3 49960982#2 43569828#0 387422128#1 43569827#0 43569827#1 43569827#2 43569827#7 43569848 30953391 424769002 424769005 424769006 424769004 30953396#1 387422132#0 387422132#1 486653633#0 484953506#3 484953506#4 12157002#0 12157002#1 12157002#3 12157002#5 12114396#4 -12156992#10 -12156992#8 -12156992#7 -12156992#6 -12156992#5 -12156992#4 -12156992#3 -12156992#2 -12156992#1 -386547297#1 -424080772#2 -424080772#1 -262962065#1 -262962063 -424080764 -424080768#1 -424080766 -104526265#1 30953497#0 30953497#2 30953497#3 42706585#0 42706585#1 30953320 30953320-AddedOffRampEdge 104526277 30953215#1-AddedOnRampEdge 30953215#1 121643865#0 12110705 50715233#0 50715233#0-AddedOffRampEdge 50715233#1.0 62203285#14.24 gneE59.30.0.55 gneE59.30.0.0 gneE59.0.0 gneE59.0.12 62203360#0 12159135 12149408#0 49914077 424767578 43569819 387422128#1 43569827#0 43569827#1 43569827#2 43569827#7 43569848 30953391 424769002 424769005 424769006 424769004 30953396#1 -424769003#1 -424769003#0 -485017374 42706828#0 42706828#2 12182281#0 12182281#3 12182281#5 12182281#6 386995507#4 386995507#5 386995507#6 12152013#1 12152013#2 -12175537#6 -12175537#5 -12175537#4 12182281#9 12182281#10 -388756839#1 -388756839#0 -50033059#4 -50033059#3 -50033059#2 -50033059#1 42706833#0 42706833#2 -42706825#7 12199713#0 12199713#1 -386995514#6 -386995514#5 -386995514#4 -386995514#3 -386995514#2 -386995514#1 12159500#1 12159500#2 51050030#7 gneE35 -gneE34.0 --gneE83.0" probability="0.0454545454545455"/&gt;</t>
  </si>
  <si>
    <t xml:space="preserve">    &lt;route id="Router3_144" edges="49887339#0.596 49887339#0-AddedOffRampEdge 49887339#1 49887339#1-AddedOffRampEdge 104524021 104524021-AddedOffRampEdge 12158873 121643865#0 12110705 50715233#0 50715233#0-AddedOffRampEdge 50715233#1.0 62203285#14.24 gneE59.30.0.55 gneE59.30.0.0 gneE59.0.0 gneE59.0.12 62203360#0 291433361#0 132508433.0 -gneE6.0 gneE81.299.0 gneE81.299.79 gneE81.299.145 -gneE8 12154353#0 196393941#1 196393941#2 28533986 43539369#2 12178843#2 12178843#3 49960982#2 43569828#0 387422128#1 43569827#0 43569827#1 43569827#2 43569827#7 43569848 30953391 424769002 424769005 424769006 424769004 30953396#1 387422132#0 387422132#1 486653633#0 484953506#3 484953506#4 12157002#0 12157002#1 12157002#3 12157002#5 12114396#4 -12156992#10 -12156992#8 -12156992#7 -12156992#6 -12156992#5 -12156992#4 -12156992#3 -12156992#2 -12156992#1 -386547297#1 -424080772#2 -424080772#1 -262962065#1 -262962063 -424080764 -424080768#1 -424080766 -104526265#1 30953497#0 30953497#2 30953497#3 42706585#0 42706585#1 30953320 30953320-AddedOffRampEdge 104526277 30953215#1-AddedOnRampEdge 30953215#1 121643865#0 12110705 50715233#0 50715233#0-AddedOffRampEdge 50715233#1.0 62203285#14.24 gneE59.30.0.55 gneE59.30.0.0 43539373#0.0.292.17 gneE58 gneE56 gneE54.0 62203360#0 291433361#0 132508433.0 -gneE6.0 gneE6.0 424765883 43539378#0.15 132508717#5 196393974#0 49914077 424767578 387422130#1 132508717#0 12149210#1 12151897#1 196393941#6 196393941#7 196393941#8 gneE87 196393974#0 388756841#0 49914076#0 12159673#0 12159673#1 393884751 43569848 30953391 12113092 51758697#1-AddedOnRampEdge 51758697#1 -gneE46.0 43357850.4841.18 gneE46 49887339#0.596 49887339#0-AddedOffRampEdge 49887339#1 49887339#1-AddedOffRampEdge 104524021 104524021-AddedOffRampEdge 50192637#0 50192637#1-AddedOnRampEdge 50192637#1.0.0 50192637#1.0.382.0.0 50192637#1.697 50192637#1-AddedOffRampEdge 30953181#1 30953181#2-AddedOnRampEdge 30953181#2 30953181#3-AddedOnRampEdge 30953181#3 30953181#3-AddedOffRampEdge 30952933#1.0 30952933#1.199" probability="0.0454545454545455"/&gt;</t>
  </si>
  <si>
    <t xml:space="preserve">    &lt;route id="Router3_13" edges="-gneE80.0 -gneE80.17 -gneE41 gneE44 -388756838#2 -388756838#1 -388756838#0 42706817#0 386547310 gneE69 -388756838#2 -388756838#1 -388756838#0 -388756839#1 -388756839#0 -194358837#2 -194358837#0 194358838#0 194358838#1 194358838#2 194358838#3 387422145#0 387422145#3 386995499#0 386995499#2 -51155368#13 -51155368#10 -51155368#7 121319040#0 121319040#1 386995507#0 386995507#1 386995507#2 386995507#3 12182281#7 42706837#0 42706837#1 42706837#2 42706837#3 43357814#2 43357814#3 386995526#0 386995526#1 -51050425#4 -51050425#3 -51050425#2 12162659#0 12162659#1 -12175537#4 -12175537#3 -12175537#2 -12175537#1 -50033059#3 -50033059#2 -386995514#7 -12199713#2 12177498 42706833#2 51155368#0 -50033558#5 -50033558#3 -50033558#2 -62105579 -32121234#1 -32121234#0 42706874#0 42706874#2 55179414#0 55179413#0 424769182 -450827405#2 -450827400#2 -450827382 -450827385#1 -450827391#1 -450827381 -450827397#1 12180696#0 59435515#1 59435515#2 59435515#3 59435515#4 424801338#1 12117702#0 12117702#4 12117702#7 -32121146#3 12202008#2.0 12202008#2.171 62646499#2 450827424#0 450827405#0 262962062 -55179413#2 12187610#0 12187610#2 12187610#3 -62105579 12186909#0 12186909#1 12186909#2 51155368#11 42706831#0 42706831#4 42706831#5 42706831#6 32121234#0 32121234#1 32121234#2 50033558#2 50033558#3 50033558#4 50033558#6 50033058#0 386995514#9 386995486#0 32121111#11 -12177521#0 -121319040#0 -51155368#5 -50033558#5 -50033558#3 -12188656 -121319046 -42706825#7 -42706825#4 -42706825#3 -42706825#1 -484953510#2 -484953510#1 -484953510#0 gneE37 gneE38 -12159761#2 -12159761#1 -12159761#0 12114363#0 12114363#1 -50033059#4 12175537#0 12175537#2 12175537#3 12175537#4 12162659#2 12159485 12161358#7 12161358#8 386995507#6 386995507#7 386995521#0 386995521#1 12154359#3 12154359#4 12154359#5 12154359#6 12154359#7 101350669 -386995537 -386995526#1 -386995526#0 -43357814#3 -43357814#2 42706837#4 42706837#5 42706837#6 42706837#7 42706837#8 42706837#9 12172918#0 12172918#1 12172918#2 gneE73 gneE75.0 gneE80.125" probability="0.0454545454545455"/&gt;</t>
  </si>
  <si>
    <t xml:space="preserve">    &lt;route id="Router3_21" edges="-gneE80.0 -gneE80.17 -gneE41 gneE44 -388756838#2 -388756838#1 -388756838#0 42706817#0 386547310 gneE69 -388756838#2 -388756838#1 -388756838#0 -388756839#1 -388756839#0 -194358837#2 -194358837#0 194358838#0 194358838#1 194358838#2 386995479#2 310315797#2 12185366#9 387422145#0 -12157718#6 -12157718#4 -12157718#3 -12157718#2 -12157718#1 -12199713#4 386995514#7 -50033059#1 -50033558#8 -51155368#3 121319046 12188656 -50033558#2 12203859#0 12203859#1 42706831#4 42706831#5 42706831#6 42706874#0 42706874#2 12144152#0 12144152#2 450844953#0 450844953#2 450844953#3 450844947#0 388533142#0 388533142#2 388533142#4 62623926#0 62623926#1 450844950#0 12189453#0.0.0 450844982#0.19 62203497#0 62203497#2 62203497#3 12134479#1 34685684#0 34685684#2 388533143#0 388533143#2 12140627#0 63060729#0 -264253834#2 12156992#4 12156992#5 12156992#6 12156992#7 12156992#8 12156992#9 -12114396#5 -12114396#3 -12114396#1 485017383#0 485017382#0 485017382#1 211575484#0 -12177521#3 -12177521#2 -12177521#1 32121111#12 32121111#14 -12187610#5 -12187610#2 -12187610#1 12150608#0 32121146#2 12117702#9 450844953#0 450844953#2 450844953#3 450844947#0 388533142#0 388533142#2 388533142#4 62623926#0 62623926#1 450844950#0 38502259#0.19 450844933#1 196207110#0 196207110#2" probability="0.0454545454545455"/&gt;</t>
  </si>
  <si>
    <t>&lt;routeDistribution id="40th-Ches-to-Wal-1995-RouteProbe"&gt;</t>
  </si>
  <si>
    <t>&lt;routeDistribution id="31st-Powelton-to-SPGRst-NB-1996-RouteProbe"&gt;</t>
  </si>
  <si>
    <t xml:space="preserve">    &lt;route id="Router3_95" edges="31909473.0 31909473.857 62634019#1-AddedOnRampEdge 62634019#1 62634019#2.0 62634019#2.242 62634019#3-AddedOnRampEdge 62634019#3 62634019#3-AddedOffRampEdge 12111747.0 59671945#0.30 62093806#0 104526265#0.14 424080766 424080768#0 104523976#1 262962063 12189051#0 -12189051#1 424080770#0 424080772#0 12119506#0 -12156992#1 -386547297#1 -424080772#2 -424080772#1 -424080761#1 -62623960 62623959#0 386547296#0 386547296#1 424080773#0 279870839#0 279870839#2 450844960#0 62623926#1 450844950#0 38502259#0.19 450844933#1 196207115#0 196207115#2 196207115#3 196355332#0 450844979#0.0 450844982#0.19 62203497#0 62203497#2 62203497#3 12134479#1 34685684#0 34685684#2 388533143#0 388533143#2 12140627#0 63060729#0 -264253834#2 12156992#4 12156992#5 12156992#6 12156992#7 12156992#8 12156992#9 484953505 12148522#0 485017381#0 485017381#1 -30953396#1 30953396#1 -424769003#1 -424769003#0 12157002#0 12157002#1 12157002#3 12157002#5 12114396#4 -12156992#10 -12156992#8 -12156992#7 -12156992#6 -12156992#5 -12156992#4 -12156992#3 -12156992#2 -12156992#1 -386547297#1 -424080772#2 -424080772#1 -262962065#1 -262962063 -424080764 -424080768#1 -424080766 -104526265#1 30953497#0 30953497#2 30953497#3 42706585#0 42706585#1 30953320 30953320-AddedOffRampEdge 104526277 30953215#1-AddedOnRampEdge 30953215#1 121643865#0 12110705 50715233#0 50715233#0-AddedOffRampEdge 50715233#1.0 62203285#14.24 gneE59.30.0.55 gneE59.30.0.0 43539373#0.0.292.17 gneE58 gneE56 gneE54.0 gneE62.13 gneE81.0 gneE6.0 424765883 43539378#0.15 43539378#1 -393884751 12159702 424764853 12149178#0 50189796 50189564 12149178#2 145605533#0 145605533#1-AddedOnRampEdge 145605533#1 145605511#1-AddedOnRampEdge 145605511#12 145605511#1.148" probability="0.1"/&gt;</t>
  </si>
  <si>
    <t xml:space="preserve">    &lt;route id="Router3_96" edges="31909473.0 31909473.857 62634019#1-AddedOnRampEdge 62634019#1 62634019#2.0 62634019#2.242 62634019#3-AddedOnRampEdge 62634019#3 62634019#3-AddedOffRampEdge 12111747.0 59671945#0.30 62093806#0 104526265#0.14 424080766 424080768#0 104523976#1 262962063 12189051#0 -12189051#1 424080770#0 424080772#0 12119506#0 -12156992#1 -386547297#1 -424080772#2 -424080772#1 -424080761#1 -62623960 62623959#0 386547296#0 386547296#1 424080773#0 279870839#0 279870839#2 450844960#0 62623926#1 450844950#0 38502259#0.19 450844933#1 196207115#0 196207115#2 196207115#3 196355332#0 450844979#0.0 450844982#0.19 62203497#0 62203497#2 62203497#3 12134479#1 34685684#0 34685684#2 388533143#0 388533143#2 12140627#0 63060729#0 -264253834#2 12156992#4 12156992#5 12156992#6 12156992#7 12156992#8 12156992#9 484953505 12148522#0 485017381#0 485017381#1 -30953396#1 30953396#1 -424769003#1 -424769003#0 12157002#0 12157002#1 12186058#2 485017381#0 -12157718#12 -12157718#10 -12157718#9 -12157718#8 -12157718#6 386995479#1 386995479#2 386995479#3 386995479#4 386995479#5 386995479#6 386995490#0.0 12154359#1.20 12154359#2 -386995521#1 -386995521#0 43357814#0 43357814#1 42706837#4 42706837#5 12154359#5 12154359#6 386995531#1 386995531#2 386995531#3 386995531#4 12172918#2 gneE73 gneE75.0 gneE80.125" probability="0.1"/&gt;</t>
  </si>
  <si>
    <t xml:space="preserve">    &lt;route id="Router3_108" edges="31909473.0 31909473.857 62634019#1-AddedOnRampEdge 62634019#1 62634019#2.0 62634019#2.242 62634019#3-AddedOnRampEdge 62634019#3 62634019#3-AddedOffRampEdge 12111747.0 62203498#0 62093806#0 104526265#0.14 424080766 424080768#0 104523976#1 262962063 424080770#0 424080772#0 424080772#2 386547297#0 424080771#0 424080767#0 386547298#0 424769177 424080769#0 12144152#0 12144152#2 450844953#0 450844953#2 450844953#3 450844947#0 388533142#0 388533142#2 388533142#4 62623926#0 62623926#1 450844950#0 12189453#0.0.0 450844982#0.19 62203497#0 62203497#2 62203497#3 12134479#1 34685684#0 34685684#2 388533143#0 388533143#2 12140627#0 63060729#0 -264253834#2 12156992#4 12156992#5 12156992#6 12156992#7 12156992#8 12156992#9 484953505 12148522#0 485017381#0 485017381#1 -30953396#1 30953396#1 -424769003#1 -424769003#0 12157002#0 12157002#1 12186058#2 485017381#0 -12157718#12 -12157718#10 -12157718#9 -12157718#8 -12157718#6 386995479#1 386995479#2 386995479#3 386995479#4 386995479#5 386995479#6 386995490#0.0 12154359#1.20 12154359#2 -386995521#1 -386995521#0 43357814#0 43357814#1 42706837#4 42706837#5 12154359#5 12154359#6 386995531#1 386995531#2 386995531#3 386995531#4 12172918#2 gneE73 gneE75.0 gneE80.125" probability="0.1"/&gt;</t>
  </si>
  <si>
    <t xml:space="preserve">    &lt;route id="Router3_136" edges="49887339#0.596 49887339#0-AddedOffRampEdge 12113482 424769007 424769005 424769006 424769004 30953396#1 -30953396#1 30953396#1 -424769003#1 -424769003#0 12157002#0 12157002#1 12157002#3 12157002#5 12114396#4 -12156992#10 -12156992#8 -12156992#7 -12156992#6 -12156992#5 -12156992#4 -12156992#3 -12156992#2 -12156992#1 -386547297#1 -424080772#2 -424080772#1 -262962065#1 -262962063 -424080764 -424080768#1 -424080766 -104526265#1 450844956#2 12189453#0.0.0 450844982#0.19 62203497#0 62203497#2 62203497#3 12134479#1 34685684#0 34685684#2 450844947#0 388533142#0 388533142#2 388533142#4 62623926#0 62623926#1 450844950#0 12189453#0.0.0 450844982#0.19 62203497#0 62203497#2 62203497#3 12134479#1 34685684#0 34685684#2 388533143#0 388533143#2 12140627#0 63060729#0 -264253834#2 12156992#4 12156992#5 12156992#6 12156992#7 12156992#8 12156992#9 484953505 12148522#0 485017381#0 485017381#1 -30953396#1 -30953396#0 -424769006 -424769005 -424769002 -30953391 -43569848 -393884751 12159702 424764853 12149178#0 50189796 50189564 12149178#2 145605533#0 145605533#1-AddedOnRampEdge 145605533#1 145605511#1-AddedOnRampEdge 145605511#12 145605511#1.148" probability="0.1"/&gt;</t>
  </si>
  <si>
    <t xml:space="preserve">    &lt;route id="Router3_43" edges="195815883#2 195815883#3 450844975 450844970#0 196355332#0 450844979#0.0 12114109#0.45.0 38502259#0.19 450844933#1 196207115#0 196207115#2 43538931#0 43538931#1 -43538931#1 -43538931#0 196207115#3 196355332#0 450844979#0.0 450844982#0.19 62203497#0 62203497#2 62203497#3 12134479#1 34685684#0 34685684#2 450844947#0 388533142#0 388533142#2 388533142#4 62623926#0 62623926#1 450844950#0 12189453#0.0.0 450844982#0.19 62203497#0 62203497#2 62203497#3 12134479#1 34685684#0 34685684#2 388533143#0 388533143#2 12140627#0 63060729#0 -264253834#2 12156992#4 12156992#5 12156992#6 12156992#7 12156992#8 12156992#9 484953505 12148522#0 485017381#0 485017381#1 -30953396#1 -30953396#0 -424769006 -424769005 -424769002 -30953391 -43569848 -393884751 12159702 424764853 12149178#0 50189796 50189564 12149178#2 145605533#0 145605533#1-AddedOnRampEdge 145605533#1 145605511#1-AddedOnRampEdge 145605511#12 145605511#1.148" probability="0.1"/&gt;</t>
  </si>
  <si>
    <t xml:space="preserve">    &lt;route id="Router3_48" edges="196393940#0 62203285#0 62203285#2 62203285#3 62203285#5 42706664#7 42706664#8 12186741#4 12186741#5 12142723#0 12142723#3 12142723#4 12187745 32118649#2 32118649#3 -43538931#1 -43538931#0 196207115#3 196355332#0 450844979#0.0 450844982#0.19 62203497#0 62203497#2 62203497#3 12134479#1 34685684#0 34685684#2 450844947#0 388533142#0 388533142#2 388533142#4 62623926#0 62623926#1 450844950#0 12189453#0.0.0 450844982#0.19 62203497#0 62203497#2 62203497#3 12134479#1 34685684#0 34685684#2 388533143#0 388533143#2 12140627#0 63060729#0 -264253834#2 12156992#4 12156992#5 12156992#6 12156992#7 12156992#8 12156992#9 484953505 12148522#0 485017381#0 485017381#1 -30953396#1 -30953396#0 -424769006 -424769005 -424769002 -30953391 -43569848 -393884751 12159702 424764853 12149178#0 50189796 50189564 12149178#2 145605533#0 145605533#1-AddedOnRampEdge 145605533#1 145605511#1-AddedOnRampEdge 145605511#12 145605511#1.148" probability="0.1"/&gt;</t>
  </si>
  <si>
    <t>&lt;routeDistribution id="Southst-33rd-Convention-BOTH-1996-RouteProbe"&gt;</t>
  </si>
  <si>
    <t xml:space="preserve">    &lt;route id="Router3_75" edges="31909473.0 31909473.857 62634019#1-AddedOnRampEdge 62634019#1 30953036 424081476 424081472 424081473 424081470 30953025#0 30953025#2 30953025#3 30953025#4 50033060#0 12134479#5 450844973#0 388533144#0 388533144#6 388533144#11 450695475#0 137364609#0 137364609#3 137364609#5 450695473#0 386547305#0 gneE23 -gneE20.0 -gneE21.54 -gneE21.0 59435515#0 59435515#1 59435515#2 59435515#3 59435515#4 424801338#1 12117702#0 12117702#4 12117702#7 -32121146#3 12202008#2.0 12202008#2.171 62646499#2 450827424#0 450827405#0 262962062 -55179413#2 12187610#0 12187610#2 12187610#3 -62105579 12186909#0 12186909#1 12186909#2 51155368#11 42706831#0 42706831#4 42706831#5 42706831#6 32121234#0 32121234#1 32121234#2 50033558#2 50033558#3 50033558#4 50033558#6 50033058#0 386995514#9 386995486#0 32121111#11 -12177521#0 -121319040#0 -51155368#5 -50033558#5 -50033558#3 -12188656 -121319046 -42706825#7 -42706825#4 -42706825#3 -42706825#1 -484953510#2 -484953510#1 -484953510#0 gneE37 gneE38 -12159761#2 -12159761#1 -12159761#0 12114363#0 12114363#1 -50033059#4 12175537#0 12175537#2 12175537#3 12175537#4 12162659#2 12159485 12161358#7 12161358#8 386995507#6 386995507#7 386995521#0 386995521#1 12154359#3 12154359#4 12154359#5 12154359#6 12154359#7 101350669 -386995537 -386995526#1 -386995526#0 -43357814#3 -43357814#2 42706837#4 42706837#5 42706837#6 42706837#7 42706837#8 42706837#9 12172918#0 12172918#1 12172918#2 gneE73 gneE75.0 gneE80.125" probability="0.166666666666667"/&gt;</t>
  </si>
  <si>
    <t xml:space="preserve">    &lt;route id="Router3_76" edges="31909473.0 31909473.857 62634019#1-AddedOnRampEdge 62634019#1 30953036 424081476 424081472 424081473 424081470 30953025#0 30953025#2 30953025#3 30953025#4 50033060#0 12134479#5 450844973#0 388533144#0 388533144#6 388533144#11 450695475#0 137364609#0 137364609#3 137364609#5 450695473#0 386547305#0 gneE23 -gneE20.0 -gneE21.54 -gneE21.0 gneE36 --gneE83.0" probability="0.166666666666667"/&gt;</t>
  </si>
  <si>
    <t xml:space="preserve">    &lt;route id="Router3_71" edges="31909473.0 31909473.857 62634019#1-AddedOnRampEdge 62634019#1 30953036 424081476 424081472 424081473 424081470 30953025#0 30953025#2 30953025#3 30953025#4 50033060#0 12134479#5 450844973#0 388533144#0 388533144#6 388533144#11 450695475#0 137364609#0 137364609#3 137364609#5 450695473#0 386547305#0 gneE23 -gneE20.0 -gneE21.54 -gneE21.0 59435515#0 59435515#1 59435515#2 59435515#3 59435515#4 424801338#1 12117702#0 12117702#4 12117702#7 -32121146#3 -32121146#1 -424769197#2 12144152#0 12144152#2 12144152#4 12144152#6 12157151#0 12166276#2 -32121146#5 12117702#9 450844953#0 450844953#2 450844953#3 450844947#0 388533142#0 388533142#2 12189045#0 62623987#0 62623987#1 -12142631 12202018 62623986#1 62623986#2 -12189051#1 -262962063 -424080764 -424080768#1 -424080766 -104526265#1 30953497#0 30953497#2 30953497#3 42706585#0 42706585#1 30953320 30953320-AddedOffRampEdge 104526277 30953215#1-AddedOnRampEdge 30953215#1 121643865#0 12110705 50715233#0 50715233#0-AddedOffRampEdge 50715233#1.0 62203285#14.24 30908387 30908366#1-AddedOnRampEdge 30908366#1 121643863 121643862 51758697#0 51758697#1-AddedOnRampEdge 51758697#1 -gneE46.0 43357850.4841.18 gneE46 49887339#0.596 49887339#0-AddedOffRampEdge 49887339#1 49887339#1-AddedOffRampEdge 104524021 104524021-AddedOffRampEdge 50192637#0 50192637#1-AddedOnRampEdge 50192637#1.0.0 50192637#1.0.382.0.0 50192637#1.697 50192637#1-AddedOffRampEdge 30953181#1 30953181#2-AddedOnRampEdge 30953181#2 30953181#3-AddedOnRampEdge 30953181#3 30953181#3-AddedOffRampEdge 30952933#1.0 30952933#1.199" probability="0.166666666666667"/&gt;</t>
  </si>
  <si>
    <t xml:space="preserve">    &lt;route id="Router3_72" edges="31909473.0 31909473.857 62634019#1-AddedOnRampEdge 62634019#1 30953036 424081476 424081472 424081473 424081470 30953025#0 30953025#2 30953025#3 30953025#4 50033060#0 12134479#5 450844973#0 388533144#0 388533144#6 388533144#11 450695475#0 137364609#0 137364609#3 137364609#5 450695473#0 386547305#0 gneE23 -gneE20.0 -gneE21.54 -gneE21.0 59435515#0 59435515#1 59435515#2 59435515#3 59435515#4 424801338#1 12117702#0 12117702#4 12117702#7 -32121146#3 12202008#2.0 12202008#2.171 62646499#2 450827424#0 450827405#0 262962062 -55179413#2 12187610#0 12187610#2 12187610#3 -62105579 12186909#0 12186909#1 12186909#2 12186909#4 12177521#2 12177521#3 211575484#1 485017379 -386995465#1 -386995504#1 -386995486#1 32121111#11 -12177521#0 -121319040#0 -51155368#5 -50033558#5 -50033558#3 -12188656 -121319046 -42706825#7 -42706825#4 -42706825#3 -42706825#1 194358815 194358817#0 194358817#1 194358817#2 12114363#0 12114363#1 -50033059#4 12175537#0 12175537#2 12175537#3 12175537#4 12175537#5 12175537#6 12175537#7 -43357814#2 42706837#4 42706837#5 42706837#6 42706837#7 42706837#8 42706837#9 12172918#0 12172918#1 12172918#2 gneE73 gneE75.0 -gneE80.17 -gneE41 gneE44 -388756838#2 -388756838#1 -388756838#0 42706817#0 386547310 gneE69 -gneE44 gneE41 gneE80.0 gneE80.125" probability="0.166666666666667"/&gt;</t>
  </si>
  <si>
    <t>&lt;routeDistribution id="Grays-Kater-2-South-SB-1995-RouteProbe"&gt;</t>
  </si>
  <si>
    <t xml:space="preserve">    &lt;route id="Router3_44" edges="195815883#2 195815883#3 450844975 450844970#0 196355332#0 450844979#0.0 12114109#0.45.0 38502259#0.19 450844933#1 196207115#0 196207115#2 43538931#0 43538931#1 32118649#4 32118649#5 32118649#6 132508646#0 132508646#2 132508646#3 196355310#0 196355310#1 12150213#8 12150213#9 12150213#10 12150213#11 173543402#8 173543402#9 132508983#0 132508983#3 132508734#3 132508734#4 132508734#5 132508734#6 132508734#7 132508734#8 132508734#9 193223837#3 12142729#6 12142729#7 196355307#1 196393937 -132508530 -310296140#9 -310296140#8 -310296140#7 -310296140#6 -310296140#5 -310296140#4 -310296140#2 -310296140#1 459461788#11 459461788#12 459461788#13 459461788#14 459461788#15 -170366767#4 -170366767#3 -170366767#2 -170366767#0 -12173391 -170366765 170366768 30953029#0 30953029#1 424987520 424081472 424081473 424081470 12122468#0 12122468#1 273888485.0 50033027 -50033029 50033050#0 50033055 63060727 50033029 50033028#0 50033028#3 50033028#5 50033028#6 49991646 386547300#0 283621823 386547301-AddedOnRampEdge 386547301 424801344#0 424801343#1 283621822#0 424801341 28555309#0 49991649#0 424986163#0 51049946#0 424801337#0 357338497#0 357338497#2 450695460#0 62646499#0 62646499#2 450827424#0 62646508#0 62646508#2 424799820 424799823#0 50033059#0 50033059#2 50033059#3 50033059#4 388756839#0 388756839#1 388756838#0 12136923#0 386547309#0 386547309#2 386547309#3 386547309#5 386547309#7 51050030#4 51050030#7 gneE35 -gneE34.0 --gneE83.0" probability="1"/&gt;</t>
  </si>
  <si>
    <t>&lt;routeDistribution id="CHRISTIAN-23rd-22nd-BOTH-2001-RouteProbe"&gt;</t>
  </si>
  <si>
    <t>&lt;routeDistribution id="Lancaster-SHEDWICK-35th-WB-2003-RouteProbe"&gt;</t>
  </si>
  <si>
    <t xml:space="preserve">    &lt;route id="Router3_6" edges="-gneE80.0 -gneE80.17 -gneE41 gneE44 -388756838#2 -388756838#1 -388756838#0 42706817#0 386547310 gneE69 -388756838#2 -388756838#1 -388756838#0 -388756839#1 -388756839#0 -194358837#2 -194358837#0 194358838#0 194358838#1 194358838#2 194358838#3 387422145#0 387422145#3 386995499#0 386995499#2 -51155368#13 -51155368#10 -51155368#7 121319040#0 121319040#1 386995507#0 386995507#1 386995507#2 386995507#3 12182281#7 42706837#0 42706837#1 42706837#2 42706837#3 43357814#2 43357814#3 386995526#0 386995526#1 -51050425#4 -51050425#3 -51050425#2 12162659#0 12162659#1 -12175537#4 -12175537#3 -12175537#2 -12175537#1 -50033059#3 -50033059#2 -386995514#7 -12199713#2 12177498 42706833#2 51155368#0 -50033558#5 -50033558#3 -50033558#2 -62105579 -32121234#1 -32121234#0 42706874#0 42706874#2 55179414#0 55179413#0 424769182 -450827405#2 -450827400#2 -450827382 -450827385#1 -450827391#1 -450827381 -450827397#1 12180696#0 59435515#1 59435515#2 59435515#3 59435515#4 424801338#1 12117702#0 12117702#4 12117702#7 -32121146#3 -32121146#1 -424769197#2 12144152#0 12144152#2 12144152#4 12144152#6 12157151#0 12166276#2 -32121146#5 12117702#9 450844953#0 450844953#2 450844953#3 450844947#0 388533142#0 388533142#2 12189045#0 62623987#0 62623987#1 -12142631 12202018 62623986#1 62623986#2 -12189051#1 -262962063 -424080764 -424080768#1 -424080766 -104526265#1 30953497#0 30953497#2 30953497#3 42706585#0 42706585#1 30953320 30953320-AddedOffRampEdge 104526277 30953215#1-AddedOnRampEdge 30953215#1 121643865#0 121643865#1 145605511#1-AddedOnRampEdge 145605511#12 145605511#1.148" probability="0.0588235294117647"/&gt;</t>
  </si>
  <si>
    <t xml:space="preserve">    &lt;route id="Router3_7" edges="-gneE80.0 -gneE80.17 -gneE41 gneE44 -388756838#2 -388756838#1 -388756838#0 42706817#0 386547310 gneE69 -388756838#2 -388756838#1 -388756838#0 -388756839#1 -388756839#0 -194358837#2 -194358837#0 194358838#0 194358838#1 194358838#2 194358838#3 387422145#0 387422145#3 386995499#0 386995499#2 -51155368#13 -51155368#10 -51155368#7 121319040#0 121319040#1 386995507#0 386995507#1 386995507#2 386995507#3 12182281#7 42706837#0 42706837#1 42706837#2 42706837#3 43357814#2 43357814#3 386995526#0 386995526#1 -51050425#4 -51050425#3 -51050425#2 12162659#0 12162659#1 -12175537#4 -12175537#3 -12175537#2 -12175537#1 -50033059#3 -50033059#2 -386995514#7 -12199713#2 12177498 42706833#2 51155368#0 -50033558#5 -50033558#3 -50033558#2 -62105579 -32121234#1 -32121234#0 42706874#0 42706874#2 55179414#0 55179413#0 424769182 -450827405#2 -450827400#2 -450827382 -450827385#1 -450827391#1 -450827381 -450827397#1 12180696#0 59435515#1 59435515#2 59435515#3 59435515#4 424801338#1 12117702#0 12117702#4 12117702#7 -32121146#3 -32121146#1 -424769197#2 12144152#0 12144152#2 12144152#4 12144152#6 12157151#0 12166276#2 -32121146#5 12117702#9 450844953#0 450844953#2 450844953#3 450844947#0 388533142#0 388533142#2 12189045#0 62623987#0 62623987#1 -12142631 12202018 62623986#1 62623986#2 -12189051#1 -262962063 -424080764 -424080768#1 -424080766 -104526265#1 30953497#0 30953497#2 35920555#0.0 35920555#0.75 62203066 43331031.0 43331031.436 42706585#0 42706585#1 30953320 30953320-AddedOffRampEdge 30953315 104526276-AddedOnRampEdge 104526276 51758697#0 51758697#1-AddedOnRampEdge 51758697#1" probability="0.0588235294117647"/&gt;</t>
  </si>
  <si>
    <t xml:space="preserve">    &lt;route id="Router3_8" edges="-gneE80.0 -gneE80.17 -gneE41 gneE44 -388756838#2 -388756838#1 -388756838#0 42706817#0 386547310 gneE69 -388756838#2 -388756838#1 -388756838#0 -388756839#1 -388756839#0 -194358837#2 -194358837#0 194358838#0 194358838#1 194358838#2 194358838#3 387422145#0 387422145#3 386995499#0 386995499#2 -51155368#13 -51155368#10 -51155368#7 121319040#0 121319040#1 386995507#0 386995507#1 386995507#2 386995507#3 12182281#7 42706837#0 42706837#1 42706837#2 42706837#3 43357814#2 43357814#3 386995526#0 386995526#1 -51050425#4 -51050425#3 -51050425#2 12162659#0 12162659#1 -12175537#4 -12175537#3 -12175537#2 -12175537#1 -50033059#3 -50033059#2 -386995514#7 -12199713#2 12177498 42706833#2 51155368#0 -50033558#5 -50033558#3 -50033558#2 -62105579 -32121234#1 -32121234#0 42706874#0 42706874#2 55179414#0 55179413#0 424769182 -450827405#2 -450827400#2 -450827382 -450827385#1 -450827391#1 -450827381 -450827397#1 12180696#0 59435515#1 59435515#2 59435515#3 59435515#4 424801338#1 12117702#0 12117702#4 12117702#7 -32121146#3 -32121146#1 -424769197#2 12144152#0 12144152#2 12144152#4 12144152#6 12157151#0 12166276#2 -32121146#5 12117702#9 450844953#0 450844953#2 450844953#3 450844947#0 388533142#0 388533142#2 388533142#4 62623926#0 62623926#1 450844950#0 38502259#0.19 450844933#1 196207110#0 196207110#2" probability="0.0588235294117647"/&gt;</t>
  </si>
  <si>
    <t xml:space="preserve">    &lt;route id="Router3_9" edges="-gneE80.0 -gneE80.17 -gneE41 gneE44 -388756838#2 -388756838#1 -388756838#0 42706817#0 386547310 gneE69 -388756838#2 -388756838#1 -388756838#0 -388756839#1 -388756839#0 -194358837#2 -194358837#0 194358838#0 194358838#1 194358838#2 194358838#3 387422145#0 387422145#3 386995499#0 386995499#2 -51155368#13 -51155368#10 -51155368#7 121319040#0 121319040#1 386995507#0 386995507#1 386995507#2 386995507#3 12182281#7 42706837#0 42706837#1 42706837#2 42706837#3 43357814#2 43357814#3 386995526#0 386995526#1 -51050425#4 -51050425#3 -51050425#2 12162659#0 12162659#1 -12175537#4 -12175537#3 -12175537#2 -12175537#1 -50033059#3 -50033059#2 -386995514#7 -12199713#2 12177498 42706833#2 51155368#0 -50033558#5 -50033558#3 -50033558#2 -62105579 -32121234#1 -32121234#0 42706874#0 42706874#2 55179414#0 55179413#0 424769182 -450827405#2 -450827400#2 -450827382 -450827385#1 -450827391#1 -450827381 -450827397#1 12180696#0 59435515#1 59435515#2 59435515#3 59435515#4 424801338#1 12117702#0 12117702#4 12117702#7 -32121146#3 12202008#2.0 12202008#2.171 62646499#2 450827424#0 450827405#0 262962062 -55179413#2 12187610#0 12187610#2 12187610#3 -62105579 12186909#0 12186909#1 12186909#2 12186909#4 12177521#2 12177521#3 211575484#1 485017379 -386995465#1 -386995504#1 -386995486#1 32121111#11 -12177521#0 -121319040#0 -51155368#5 -50033558#5 -50033558#3 -12188656 -121319046 -42706825#7 -42706825#4 -42706825#3 -42706825#1 194358815 194358817#0 194358817#1 194358817#2 12114363#0 12114363#1 -50033059#4 12175537#0 12175537#2 485017371#0 484953507#1 12182281#8 12182281#9 12167232#0 12167232#1 12167232#2 12152013#4 51050425#4 386995537 386995551 387422150#0 387422150#1 386995531#3 386995531#4 12172918#2 gneE73 gneE75.0 gneE80.125" probability="0.0588235294117647"/&gt;</t>
  </si>
  <si>
    <t xml:space="preserve">    &lt;route id="Router3_10" edges="-gneE80.0 -gneE80.17 -gneE41 gneE44 -388756838#2 -388756838#1 -388756838#0 42706817#0 386547310 gneE69 -388756838#2 -388756838#1 -388756838#0 -388756839#1 -388756839#0 -194358837#2 -194358837#0 194358838#0 194358838#1 194358838#2 194358838#3 387422145#0 387422145#3 386995499#0 386995499#2 -51155368#13 -51155368#10 -51155368#7 121319040#0 121319040#1 386995507#0 386995507#1 386995507#2 386995507#3 12182281#7 42706837#0 42706837#1 42706837#2 42706837#3 43357814#2 43357814#3 386995526#0 386995526#1 -51050425#4 -51050425#3 -51050425#2 12162659#0 12162659#1 -12175537#4 -12175537#3 -12175537#2 -12175537#1 -50033059#3 -50033059#2 -386995514#7 -12199713#2 12177498 42706833#2 51155368#0 -50033558#5 -50033558#3 -50033558#2 -62105579 -32121234#1 -32121234#0 42706874#0 42706874#2 55179414#0 55179413#0 424769182 -450827405#2 -450827400#2 -450827382 -450827385#1 -450827391#1 -450827381 -450827397#1 12180696#0 59435515#1 59435515#2 59435515#3 59435515#4 424801338#1 12117702#0 12117702#4 12117702#7 -32121146#3 12202008#2.0 12202008#2.171 62646499#2 450827424#0 450827405#0 262962062 -55179413#2 12187610#0 12187610#2 12187610#3 -62105579 12186909#0 12186909#1 12186909#2 12186909#4 12186909#6 386995479#0 12157718#5 12157718#7 485017376 485017373#0 387422135#0 424769003#0 424769003#1 -30953396#1 -30953396#0 -424769006 -424769005 -424769002 -30953391 -43569848 -393884751 12159702 424764853 12149178#0 50189796 50189564 12149178#2 145605533#0 145605533#1-AddedOnRampEdge 145605533#1 145605511#1-AddedOnRampEdge 145605511#12 145605511#1.148" probability="0.0588235294117647"/&gt;</t>
  </si>
  <si>
    <t xml:space="preserve">    &lt;route id="Router3_11" edges="-gneE80.0 -gneE80.17 -gneE41 gneE44 -388756838#2 -388756838#1 -388756838#0 42706817#0 386547310 gneE69 -388756838#2 -388756838#1 -388756838#0 -388756839#1 -388756839#0 -194358837#2 -194358837#0 194358838#0 194358838#1 194358838#2 194358838#3 387422145#0 387422145#3 386995499#0 386995499#2 -51155368#13 -51155368#10 -51155368#7 121319040#0 121319040#1 386995507#0 386995507#1 386995507#2 386995507#3 12182281#7 42706837#0 42706837#1 42706837#2 42706837#3 43357814#2 43357814#3 386995526#0 386995526#1 -51050425#4 -51050425#3 -51050425#2 12162659#0 12162659#1 -12175537#4 -12175537#3 -12175537#2 -12175537#1 -50033059#3 -50033059#2 -386995514#7 -12199713#2 12177498 42706833#2 51155368#0 -50033558#5 -50033558#3 -50033558#2 -62105579 -32121234#1 -32121234#0 42706874#0 42706874#2 55179414#0 55179413#0 424769182 -450827405#2 -450827400#2 -450827382 -450827385#1 -450827391#1 -450827381 -450827397#1 12180696#0 59435515#1 59435515#2 59435515#3 59435515#4 424801338#1 12117702#0 12117702#4 12117702#7 -32121146#3 12202008#2.0 12202008#2.171 62646499#2 450827424#0 450827405#0 262962062 -55179413#2 12187610#0 12187610#2 12187610#3 -62105579 12186909#0 12186909#1 12186909#2 12186909#4 12186909#6 386995479#0 12157718#5 12157718#7 485017376 485017373#0 387422135#0 424769003#0 424769003#1 -30953396#1 30953396#1 -424769003#1 -424769003#0 12157002#0 12157002#1 12186058#2 485017381#0 -12157718#12 -12157718#10 -12157718#9 -12157718#8 -12157718#6 386995479#1 386995479#2 386995479#3 386995479#4 386995479#5 386995479#6 386995490#0.0 12154359#1.20 12154359#2 -386995521#1 -386995521#0 43357814#0 43357814#1 42706837#4 42706837#5 12154359#5 12154359#6 386995531#1 386995531#2 386995531#3 386995531#4 12172918#2 gneE73 gneE75.0 gneE80.125" probability="0.0588235294117647"/&gt;</t>
  </si>
  <si>
    <t xml:space="preserve">    &lt;route id="Router3_12" edges="-gneE80.0 -gneE80.17 -gneE41 gneE44 -388756838#2 -388756838#1 -388756838#0 42706817#0 386547310 gneE69 -388756838#2 -388756838#1 -388756838#0 -388756839#1 -388756839#0 -194358837#2 -194358837#0 194358838#0 194358838#1 194358838#2 194358838#3 387422145#0 387422145#3 386995499#0 386995499#2 -51155368#13 -51155368#10 -51155368#7 121319040#0 121319040#1 386995507#0 386995507#1 386995507#2 386995507#3 12182281#7 42706837#0 42706837#1 42706837#2 42706837#3 43357814#2 43357814#3 386995526#0 386995526#1 -51050425#4 -51050425#3 -51050425#2 12162659#0 12162659#1 -12175537#4 -12175537#3 -12175537#2 -12175537#1 -50033059#3 -50033059#2 -386995514#7 -12199713#2 12177498 42706833#2 51155368#0 -50033558#5 -50033558#3 -50033558#2 -62105579 -32121234#1 -32121234#0 42706874#0 42706874#2 55179414#0 55179413#0 424769182 -450827405#2 -450827400#2 -450827382 -450827385#1 -450827391#1 -450827381 -450827397#1 12180696#0 59435515#1 59435515#2 59435515#3 59435515#4 424801338#1 12117702#0 12117702#4 12117702#7 -32121146#3 12202008#2.0 12202008#2.171 62646499#2 450827424#0 450827405#0 262962062 -55179413#2 12187610#0 12187610#2 12187610#3 -62105579 12186909#0 12186909#1 12186909#2 51155368#11 42706831#0 42706831#4 42706831#5 42706831#6 32121234#0 32121234#1 32121234#2 50033558#2 50033558#3 50033558#4 50033558#6 50033058#0 386995514#9 386995486#0 32121111#11 -12177521#0 -121319040#0 -51155368#5 -50033558#5 -50033558#3 -12188656 -121319046 -42706825#7 -42706825#4 -42706825#3 -42706825#1 -484953510#2 -484953510#1 -484953510#0 gneE37 gneE38 -12159761#2 -12159761#1 -12159761#0 -194358817#2 -194358817#1 -194358817#0 -386995514#2 -386995514#1 12159500#1 12159500#2 51050030#7 gneE35 -gneE34.0 --gneE83.0" probability="0.0588235294117647"/&gt;</t>
  </si>
  <si>
    <t xml:space="preserve">    &lt;route id="Router3_13" edges="-gneE80.0 -gneE80.17 -gneE41 gneE44 -388756838#2 -388756838#1 -388756838#0 42706817#0 386547310 gneE69 -388756838#2 -388756838#1 -388756838#0 -388756839#1 -388756839#0 -194358837#2 -194358837#0 194358838#0 194358838#1 194358838#2 194358838#3 387422145#0 387422145#3 386995499#0 386995499#2 -51155368#13 -51155368#10 -51155368#7 121319040#0 121319040#1 386995507#0 386995507#1 386995507#2 386995507#3 12182281#7 42706837#0 42706837#1 42706837#2 42706837#3 43357814#2 43357814#3 386995526#0 386995526#1 -51050425#4 -51050425#3 -51050425#2 12162659#0 12162659#1 -12175537#4 -12175537#3 -12175537#2 -12175537#1 -50033059#3 -50033059#2 -386995514#7 -12199713#2 12177498 42706833#2 51155368#0 -50033558#5 -50033558#3 -50033558#2 -62105579 -32121234#1 -32121234#0 42706874#0 42706874#2 55179414#0 55179413#0 424769182 -450827405#2 -450827400#2 -450827382 -450827385#1 -450827391#1 -450827381 -450827397#1 12180696#0 59435515#1 59435515#2 59435515#3 59435515#4 424801338#1 12117702#0 12117702#4 12117702#7 -32121146#3 12202008#2.0 12202008#2.171 62646499#2 450827424#0 450827405#0 262962062 -55179413#2 12187610#0 12187610#2 12187610#3 -62105579 12186909#0 12186909#1 12186909#2 51155368#11 42706831#0 42706831#4 42706831#5 42706831#6 32121234#0 32121234#1 32121234#2 50033558#2 50033558#3 50033558#4 50033558#6 50033058#0 386995514#9 386995486#0 32121111#11 -12177521#0 -121319040#0 -51155368#5 -50033558#5 -50033558#3 -12188656 -121319046 -42706825#7 -42706825#4 -42706825#3 -42706825#1 -484953510#2 -484953510#1 -484953510#0 gneE37 gneE38 -12159761#2 -12159761#1 -12159761#0 12114363#0 12114363#1 -50033059#4 12175537#0 12175537#2 12175537#3 12175537#4 12162659#2 12159485 12161358#7 12161358#8 386995507#6 386995507#7 386995521#0 386995521#1 12154359#3 12154359#4 12154359#5 12154359#6 12154359#7 101350669 -386995537 -386995526#1 -386995526#0 -43357814#3 -43357814#2 42706837#4 42706837#5 42706837#6 42706837#7 42706837#8 42706837#9 12172918#0 12172918#1 12172918#2 gneE73 gneE75.0 gneE80.125" probability="0.0588235294117647"/&gt;</t>
  </si>
  <si>
    <t xml:space="preserve">    &lt;route id="Router3_14" edges="-gneE80.0 -gneE80.17 -gneE41 gneE44 -388756838#2 -388756838#1 -388756838#0 42706817#0 386547310 gneE69 -388756838#2 -388756838#1 -388756838#0 -388756839#1 -388756839#0 -194358837#2 -194358837#0 194358838#0 194358838#1 194358838#2 194358838#3 387422145#0 387422145#3 386995499#0 386995499#2 -51155368#13 -51155368#10 -51155368#7 121319040#0 121319040#1 386995507#0 386995507#1 386995507#2 386995507#3 12182281#7 42706837#0 42706837#1 42706837#2 42706837#3 43357814#2 43357814#3 386995526#0 386995526#1 -51050425#4 -51050425#3 -51050425#2 12162659#0 12162659#1 -12175537#4 -12175537#3 -12175537#2 -12175537#1 -50033059#3 -50033059#2 -386995514#7 -12199713#2 12177498 42706833#2 51155368#0 -50033558#5 -50033558#3 -50033558#2 -62105579 -32121234#1 -32121234#0 42706874#0 42706874#2 55179414#0 55179413#0 424769182 -450827405#2 -450827400#2 -450827382 -450827385#1 -450827391#1 -450827381 -450827397#1 12180696#0 59435515#1 59435515#2 59435515#3 59435515#4 424801338#1 12117702#0 12117702#4 12117702#7 -32121146#3 12202008#2.0 12202008#2.171 62646499#2 450827424#0 450827405#0 262962062 -55179413#2 12187610#0 12187610#2 12187610#3 -62105579 12186909#0 12186909#1 12186909#2 51155368#11 42706831#0 42706831#4 42706831#5 42706831#6 32121234#0 32121234#1 32121234#2 50033558#2 50033558#3 50033558#4 50033558#6 50033058#0 386995514#9 386995486#0 32121111#11 -12177521#0 -121319040#0 -51155368#5 -50033558#5 -50033558#3 -12188656 -121319046 -42706825#7 -42706825#4 -42706825#3 -42706825#1 -484953510#2 -484953510#1 -484953510#0 gneE37 gneE38 -12159761#2 -12159761#1 -12159761#0 12114363#0 12114363#1 -50033059#4 12175537#0 12175537#2 12175537#3 12175537#4 12162659#2 12159485 12161358#7 12161358#8 386995507#6 386995507#7 386995521#0 386995521#1 12154359#3 12154359#4 12154359#5 12154359#6 12154359#7 101350669 -386995537 -386995526#1 -386995526#0 -43357814#3 12175537#8 12175537#9 12175537#10 12175537#11 12175537#12 12175537#13 12172918#1 12172918#2 gneE73 gneE75.0 gneE80.125" probability="0.0588235294117647"/&gt;</t>
  </si>
  <si>
    <t xml:space="preserve">    &lt;route id="Router3_15" edges="-gneE80.0 -gneE80.17 -gneE41 gneE44 -388756838#2 -388756838#1 -388756838#0 42706817#0 386547310 gneE69 -388756838#2 -388756838#1 -388756838#0 -388756839#1 -388756839#0 -194358837#2 -194358837#0 194358838#0 194358838#1 194358838#2 194358838#3 387422145#0 387422145#3 386995499#0 386995499#2 -51155368#13 -51155368#10 -51155368#7 121319040#0 121319040#1 386995507#0 386995507#1 386995507#2 386995507#3 12182281#7 42706837#0 42706837#1 42706837#2 42706837#3 43357814#2 43357814#3 386995526#0 386995526#1 -51050425#4 -51050425#3 -51050425#2 12162659#0 12162659#1 -12175537#4 -12175537#3 -12175537#2 -12175537#1 -50033059#3 -50033059#2 -386995514#7 -12199713#2 12177498 42706833#2 51155368#0 -50033558#5 -50033558#3 -50033558#2 -62105579 -32121234#1 -32121234#0 42706874#0 42706874#2 55179414#0 55179413#0 424769182 -450827405#2 -450827400#2 -450827382 -450827385#1 -450827391#1 -450827381 -450827397#1 12180696#0 59435515#1 59435515#2 59435515#3 59435515#4 424801338#1 12117702#0 12117702#4 12117702#7 -32121146#3 12202008#2.0 12202008#2.171 62646499#2 450827424#0 450827405#0 262962062 -55179413#2 12187610#0 12187610#2 12187610#3 -62105579 12186909#0 12186909#1 12186909#2 51155368#11 42706831#0 42706831#4 42706831#5 42706831#6 32121234#0 32121234#1 32121234#2 50033558#2 50033558#3 50033558#4 50033558#6 50033058#0 386995514#9 386995486#0 32121111#11 -12177521#0 -121319040#0 -51155368#5 -50033558#5 -50033558#3 -12188656 -121319046 -42706825#7 -42706825#4 -42706825#3 -42706825#1 -484953510#2 -484953510#1 -484953510#0 gneE37 gneE38 -12159761#2 -12159761#1 -12159761#0 12114363#0 12114363#1 -50033059#4 12175537#0 12175537#2 12175537#3 12175537#4 12175537#5 12175537#6 12175537#7 -43357814#2 42706837#4 42706837#5 42706837#6 42706837#7 42706837#8 12155177#0 12175537#13 12172918#1 12172918#2 gneE73 gneE75.0 -gneE80.17 -gneE41 gneE44 -388756838#2 -388756838#1 -388756838#0 42706817#0 386547310 gneE69 -388756838#2 -388756838#1 -388756838#0 -388756839#1 -388756839#0 -194358837#2 -194358837#0 194358838#0 194358838#1 194358838#2 386995479#2 310315797#2 12185366#9 387422145#0 -12157718#6 -12157718#4 -12157718#3 -12157718#2 -12157718#1 -12199713#4 386995514#7 -50033059#1 -50033558#8 -51155368#3 121319046 12188656 -50033558#2 12203859#0 12203859#1 42706831#4 42706831#5 42706831#6 42706874#0 42706874#2 12144152#0 12144152#2 450844953#0 450844953#2 450844953#3 450844947#0 388533142#0 388533142#2 388533142#4 62623926#0 62623926#1 450844950#0 12189453#0.0.0 450844982#0.19 62203497#0 62203497#2 62203497#3 12134479#1 34685684#0 34685684#2 388533143#0 388533143#2 12140627#0 63060729#0 -264253834#2 12156992#4 12156992#5 12156992#6 12156992#7 12156992#8 12156992#9 -12114396#5 -12114396#3 -12114396#1 485017383#0 485017382#0 485017382#1 211575484#0 -12177521#3 -12177521#2 -12177521#1 32121111#12 32121111#14 -12187610#5 -12187610#2 -12187610#1 12150608#0 32121146#2 12117702#9 450844953#0 450844953#2 450844953#3 450844947#0 388533142#0 388533142#2 388533142#4 62623926#0 62623926#1 450844950#0 38502259#0.19 450844933#1 196207110#0 196207110#2" probability="0.0588235294117647"/&gt;</t>
  </si>
  <si>
    <t xml:space="preserve">    &lt;route id="Router3_16" edges="-gneE80.0 -gneE80.17 -gneE41 gneE44 -388756838#2 -388756838#1 -388756838#0 42706817#0 386547310 gneE69 -388756838#2 -388756838#1 -388756838#0 -388756839#1 -388756839#0 -194358837#2 -194358837#0 194358838#0 194358838#1 194358838#2 194358838#3 387422145#0 387422145#3 386995499#0 386995499#2 -51155368#13 -51155368#10 -51155368#7 121319040#0 121319040#1 386995507#0 386995507#1 386995507#2 386995507#3 12182281#7 42706837#0 42706837#1 42706837#2 42706837#3 43357814#2 43357814#3 386995526#0 386995526#1 -51050425#4 -51050425#3 -51050425#2 12162659#0 12162659#1 -12175537#4 -12175537#3 -12175537#2 -12175537#1 -50033059#3 -50033059#2 -386995514#7 -12199713#2 12177498 42706833#2 51155368#0 -50033558#5 -50033558#3 -50033558#2 -62105579 -32121234#1 -32121234#0 42706874#0 42706874#2 55179414#0 55179413#0 424769182 -450827405#2 -450827400#2 -450827382 -450827385#1 -450827391#1 -450827381 -450827397#1 12180696#0 59435515#1 59435515#2 59435515#3 59435515#4 424801338#1 12117702#0 12117702#4 12117702#7 -32121146#3 12202008#2.0 12202008#2.171 62646499#2 450827424#0 450827405#0 262962062 -55179413#2 12187610#0 12187610#2 12187610#3 -62105579 12186909#0 12186909#1 12186909#2 51155368#11 42706831#0 42706831#4 42706831#5 42706831#6 32121234#0 32121234#1 32121234#2 50033558#2 50033558#3 50033558#4 50033558#6 50033058#0 386995514#9 386995486#0 32121111#11 -12177521#0 -121319040#0 -51155368#5 -50033558#5 -50033558#3 -12188656 -121319046 -42706825#7 -42706825#4 -42706825#3 -42706825#1 -484953510#2 -484953510#1 -484953510#0 gneE37 gneE38 -12159761#2 -12159761#1 -12159761#0 12114363#0 12114363#1 -50033059#4 12175537#0 12175537#2 12175537#3 12175537#4 12175537#5 12175537#6 12175537#7 -43357814#2 42706837#4 42706837#5 42706837#6 42706837#7 42706837#8 12155177#0 12175537#13 12172918#1 12172918#2 gneE73 gneE75.0 gneE80.125" probability="0.0588235294117647"/&gt;</t>
  </si>
  <si>
    <t xml:space="preserve">    &lt;route id="Router3_17" edges="-gneE80.0 -gneE80.17 -gneE41 gneE44 -388756838#2 -388756838#1 -388756838#0 42706817#0 386547310 gneE69 -388756838#2 -388756838#1 -388756838#0 -388756839#1 -388756839#0 -194358837#2 -194358837#0 194358838#0 194358838#1 194358838#2 194358838#3 387422145#0 387422145#3 386995499#0 386995499#2 -51155368#13 -51155368#10 -51155368#7 121319040#0 121319040#1 386995507#0 386995507#1 386995507#2 386995507#3 12182281#7 42706837#0 42706837#1 42706837#2 42706837#3 43357814#2 43357814#3 386995526#0 386995526#1 -51050425#4 -51050425#3 -51050425#2 12162659#0 12162659#1 -12175537#4 -12175537#3 -12175537#2 -12175537#1 -50033059#3 -50033059#2 -386995514#7 -12199713#2 12177498 42706833#2 51155368#0 -50033558#5 -50033558#3 -50033558#2 -62105579 -32121234#1 -32121234#0 42706874#0 42706874#2 55179414#0 55179413#0 424769182 -450827405#2 -450827400#2 -450827382 -450827385#1 -450827391#1 -450827381 -450827397#1 12180696#0 59435515#1 59435515#2 59435515#3 59435515#4 424801338#1 12117702#0 12117702#4 12117702#7 -32121146#3 12202008#2.0 12202008#2.171 62646499#2 450827424#0 450827405#0 262962062 -55179413#2 12187610#0 12187610#2 12187610#3 -62105579 12186909#0 12186909#1 12186909#2 51155368#11 42706831#0 42706831#4 42706831#5 42706831#6 32121234#0 32121234#1 32121234#2 50033558#2 50033558#3 50033558#4 50033558#6 50033058#0 386995514#9 386995486#0 32121111#11 -12177521#0 -121319040#0 -51155368#5 -50033558#5 -50033558#3 -12188656 -121319046 -42706825#7 -42706825#4 -42706825#3 -42706825#1 -484953510#2 -484953510#1 -484953510#0 gneE37 gneE38 -12159761#2 -12159761#1 -12159761#0 12114363#0 12114363#1 -50033059#4 12175537#0 12175537#2 12175537#3 12175537#4 12175537#5 12175537#6 12175537#7 12175537#8 12175537#9 12154359#6 386995531#1 12174155#0 -12175537#10 -12175537#9 -12175537#8 -12175537#7 12152013#3 12167232#3 386995531#0 12154359#7 101350669 -386995537 -386995526#1 -386995526#0 -43357814#3 -43357814#2 42706837#4 42706837#5 42706837#6 42706837#7 42706837#8 42706837#9 12172918#0 12172918#1 12172918#2 gneE73 gneE75.0 -gneE80.17 -gneE41 gneE44 -388756838#2 -388756838#1 -388756838#0 42706817#0 386547310 gneE69 -gneE44 gneE41 gneE80.0 gneE80.125" probability="0.0588235294117647"/&gt;</t>
  </si>
  <si>
    <t xml:space="preserve">    &lt;route id="Router3_18" edges="-gneE80.0 -gneE80.17 -gneE41 gneE44 -388756838#2 -388756838#1 -388756838#0 42706817#0 386547310 gneE69 -388756838#2 -388756838#1 -388756838#0 -388756839#1 -388756839#0 -194358837#2 -194358837#0 194358838#0 194358838#1 194358838#2 194358838#3 387422145#0 387422145#3 386995499#0 386995499#2 -51155368#13 -51155368#10 -51155368#7 121319040#0 121319040#1 386995507#0 386995507#1 386995507#2 386995507#3 12182281#7 42706837#0 42706837#1 42706837#2 42706837#3 43357814#2 43357814#3 386995526#0 386995526#1 -51050425#4 -51050425#3 -51050425#2 12162659#0 12162659#1 -12175537#4 -12175537#3 -12175537#2 -12175537#1 -50033059#3 -50033059#2 -386995514#7 -12199713#2 12177498 42706833#2 51155368#0 -50033558#5 -50033558#3 -50033558#2 -62105579 -32121234#1 -32121234#0 42706874#0 42706874#2 55179414#0 55179413#0 424769182 -450827405#2 -450827400#2 -450827382 -450827385#1 -450827391#1 -450827381 -450827397#1 12180696#0 59435515#1 59435515#2 59435515#3 59435515#4 424801338#1 12117702#0 12117702#4 12117702#7 -32121146#3 12202008#2.0 12202008#2.171 62646499#2 450827424#0 450827405#0 262962062 -55179413#2 12187610#0 12187610#2 12187610#3 -62105579 12186909#0 12186909#1 12186909#2 51155368#11 42706831#0 42706831#4 42706831#5 42706831#6 32121234#0 32121234#1 32121234#2 50033558#2 50033558#3 50033558#4 50033558#6 50033058#0 386995514#9 386995486#0 32121111#11 -12177521#0 -121319040#0 -51155368#5 -50033558#5 -50033558#3 -12188656 -121319046 -42706825#7 -42706825#4 -42706825#3 -42706825#1 -484953510#2 -484953510#1 -484953510#0 gneE37 gneE38 -12159761#2 -12159761#1 -12159761#0 12114363#0 12114363#1 -50033059#4 12175537#0 12175537#2 12175537#3 12175537#4 12175537#5 12175537#6 12175537#7 12175537#8 12175537#9 12154359#6 386995531#1 12174155#0 -12175537#10 -12175537#9 -12175537#8 -12175537#7 12152013#3 12167232#3 386995531#0 12154359#7 101350669 -386995537 -386995526#1 -386995526#0 -43357814#3 -43357814#2 42706837#4 42706837#5 42706837#6 42706837#7 42706837#8 42706837#9 12172918#0 12172918#1 12172918#2 gneE73 gneE75.0 gneE80.125" probability="0.0588235294117647"/&gt;</t>
  </si>
  <si>
    <t>&lt;routeDistribution id="SCHUYKILLave-Market-JKF-SB-2004-RouteProbe"&gt;</t>
  </si>
  <si>
    <t xml:space="preserve">    &lt;route id="Router3_19" edges="-gneE80.0 -gneE80.17 -gneE41 gneE44 -388756838#2 -388756838#1 -388756838#0 42706817#0 386547310 gneE69 -388756838#2 -388756838#1 -388756838#0 -388756839#1 -388756839#0 -194358837#2 -194358837#0 194358838#0 194358838#1 194358838#2 194358838#3 387422145#0 387422145#3 386995499#0 386995499#2 42706831#0 42706831#4 42706831#5 42706831#6 42706874#0 42706874#2 -424080769#1 -424769177 -386547298#1 -424080767#1 -424080771#1 -386547297#1 -424080772#2 -424080772#1 -424080761#1 -62623960 62623959#0 386547296#0 386547296#1 424080773#0 -424080768#1 -424080766 -104526265#1 30953497#0 30953497#2 30953497#3 42706585#0 42706585#1 30953320 30953320-AddedOffRampEdge 104526277 30953215#1-AddedOnRampEdge 30953215#1 121643865#0 12110705 50715233#0 50715233#0-AddedOffRampEdge 50715233#1.0 62203285#14.24 30908387 30908366#1-AddedOnRampEdge 30908366#1 121643863 121643862 51758697#0 51758697#1-AddedOnRampEdge 51758697#1 -gneE46.0 43357850.4841.18 gneE46 49887339#0.596 49887339#0-AddedOffRampEdge 49887339#1 49887339#1-AddedOffRampEdge 104524021 104524021-AddedOffRampEdge 50192637#0 50192637#1-AddedOnRampEdge 50192637#1.0.0 50192637#1.0.382.0.0 50192637#1.697 50192637#1-AddedOffRampEdge 30953181#1 30953181#2-AddedOnRampEdge 30953181#2 30953181#3-AddedOnRampEdge 30953181#3 30953181#3-AddedOffRampEdge 30952933#1.0 30952933#1.199" probability="0.03125"/&gt;</t>
  </si>
  <si>
    <t xml:space="preserve">    &lt;route id="Router3_51" edges="196393940#0 62203285#0 62203285#2 62203285#3 62203285#5 62203285#6 62203285#7 62203285#8 62203285#9 62203285#10 62203285#11 62203285#13 62203285#14.0 62203285#14.24 gneE59.30.0.55 gneE59.30.0.0 gneE59.0.0 gneE59.0.12 62203360#0 291433361#0 132508433.0 -gneE6.0 gneE81.299.0 gneE81.299.79 gneE81.299.145 -gneE8 12154353#0 196393941#1 196393941#2 28533986 43539369#2 12178843#2 12178843#3 49960982#2 43569828#0 387422128#1 43569827#0 43569827#1 43569827#2 43569827#7 43569848 30953391 424769002 424769005 424769006 424769004 30953396#1 387422132#0 387422132#1 486653633#0 484953506#3 484953506#4 12157002#0 12157002#1 12157002#3 12157002#5 12114396#4 -12156992#10 -12156992#8 -12156992#7 -12156992#6 -12156992#5 -12156992#4 -12156992#3 -12156992#2 -12156992#1 -386547297#1 -424080772#2 -424080772#1 -262962065#1 -262962063 -424080764 -424080768#1 -424080766 -104526265#1 30953497#0 30953497#2 30953497#3 42706585#0 42706585#1 30953320 30953320-AddedOffRampEdge 104526277 30953215#1-AddedOnRampEdge 30953215#1 121643865#0 12110705 50715233#0 50715233#0-AddedOffRampEdge 50715233#1.0 62203285#14.24 gneE59.30.0.55 gneE59.30.0.0 43539373#0.0.292.17 gneE58 gneE56 gneE54.0 62203360#0 291433361#0 132508433.0 -gneE6.0 gneE6.0 424765883 43539378#0.15 132508717#5 196393974#0 49914077 424767578 387422130#1 132508717#0 12149210#1 12151897#1 196393941#6 196393941#7 196393941#8 gneE87 196393974#0 388756841#0 49914076#0 12159673#0 12159673#1 393884751 43569848 30953391 12113092 51758697#1-AddedOnRampEdge 51758697#1" probability="0.03125"/&gt;</t>
  </si>
  <si>
    <t xml:space="preserve">    &lt;route id="Router3_52" edges="196393940#0 62203285#0 62203285#2 62203285#3 62203285#5 62203285#6 62203285#7 62203285#8 62203285#9 62203285#10 62203285#11 62203285#13 62203285#14.0 62203285#14.24 gneE59.30.0.55 gneE59.30.0.0 gneE59.0.0 gneE59.0.12 62203360#0 291433361#0 132508433.0 -gneE6.0 gneE81.299.0 gneE81.299.79 gneE81.299.145 -gneE8 12154353#0 196393941#1 196393941#2 28533986 43539369#2 12178843#2 12178843#3 49960982#2 43569828#0 387422128#1 43569827#0 43569827#1 43569827#2 43569827#7 43569848 30953391 424769002 424769005 424769006 424769004 30953396#1 387422132#0 387422132#1 486653633#0 484953506#3 484953506#4 12157002#0 12157002#1 12157002#3 12157002#5 12114396#4 -12156992#10 -12156992#8 -12156992#7 -12156992#6 -12156992#5 -12156992#4 -12156992#3 -12156992#2 -12156992#1 -386547297#1 -424080772#2 -424080772#1 -262962065#1 -262962063 -424080764 -424080768#1 -424080766 -104526265#1 30953497#0 30953497#2 30953497#3 42706585#0 42706585#1 30953320 30953320-AddedOffRampEdge 104526277 30953215#1-AddedOnRampEdge 30953215#1 121643865#0 12110705 50715233#0 50715233#0-AddedOffRampEdge 50715233#1.0 62203285#14.24 gneE59.30.0.55 gneE59.30.0.0 43539373#0.0.292.17 gneE58 gneE56 gneE54.0 62203360#0 291433361#0 132508433.0 -gneE6.0 gneE6.0 424765883 43570920#0.22 132508717#4 43539378#1 43569848 30953391 12113092 51758697#1-AddedOnRampEdge 51758697#1" probability="0.03125"/&gt;</t>
  </si>
  <si>
    <t xml:space="preserve">    &lt;route id="Router3_53" edges="196393940#0 62203285#0 62203285#2 62203285#3 62203285#5 62203285#6 62203285#7 62203285#8 62203285#9 62203285#10 62203285#11 62203285#13 62203285#14.0 62203285#14.24 gneE59.30.0.55 gneE59.30.0.0 gneE59.0.0 gneE59.0.12 62203360#0 291433361#0 132508433.0 -gneE6.0 gneE81.299.0 gneE81.299.79 gneE81.299.145 -gneE8 12154353#0 196393941#1 196393941#2 28533986 43539369#2 12178843#2 12178843#3 49960982#2 43569828#0 387422128#1 43569827#0 43569827#1 43569827#2 43569827#7 43569848 30953391 424769002 424769005 424769006 424769004 30953396#1 387422132#0 387422132#1 486653633#0 484953506#3 484953506#4 12157002#0 12157002#1 12157002#3 12157002#5 12114396#4 -12156992#10 -12156992#8 -12156992#7 -12156992#6 -12156992#5 -12156992#4 -12156992#3 -12156992#2 -12156992#1 -386547297#1 -424080772#2 -424080772#1 -262962065#1 -262962063 -424080764 -424080768#1 -424080766 -104526265#1 30953497#0 30953497#2 30953497#3 42706585#0 42706585#1 30953320 30953320-AddedOffRampEdge 104526277 30953215#1-AddedOnRampEdge 30953215#1 121643865#0 12110705 50715233#0 50715233#0-AddedOffRampEdge 50715233#1.0 62203285#14.24 gneE59.30.0.55 gneE59.30.0.0 gneE59.0.0 gneE59.0.12 62203360#0 12159135 12149408#0 49914077 424767578 43569819 387422128#1 43569827#0 43569827#1 43569827#2 43569827#7 43569848 30953391 424769002 424769005 424769006 424769004 30953396#1 -424769003#1 -424769003#0 -485017374 42706828#0 42706828#2 12182281#0 12182281#3 12182281#5 12182281#6 386995507#4 386995507#5 386995507#6 12152013#1 12152013#2 -12175537#6 -12175537#5 -12175537#4 12182281#9 12182281#10 -388756839#1 -388756839#0 -50033059#4 -50033059#3 -50033059#2 -50033059#1 42706833#0 42706833#2 12189876#0 12189876#2 484953508#1 60185970#0 60185970#2 12149571#1 12187610#3 50033558#2 -12188656 -121319046 -42706825#7 12199713#0 12199713#1 -386995514#6 -386995514#5 -386995514#4 -386995514#3 194358817#0 194358817#1 194358817#2 12114363#0 12114363#1 -50033059#4 12175537#0 12175537#2 12175537#3 12175537#4 12175537#5 12175537#6 12175537#7 12175537#8 12175537#9 12175537#10 12175537#11 12175537#12 12155177#1 12155177#2 387422153#1 gneE73 gneE75.0 gneE80.125" probability="0.03125"/&gt;</t>
  </si>
  <si>
    <t xml:space="preserve">    &lt;route id="Router3_61" edges="196393940#0 62203285#0 62203285#2 62203285#3 62203285#5 62203285#6 62203285#7 62203286#0 62203286#2 59676508#0 -59676508#0 -62203286#2 -62203286#0 62203285#8 62203285#9 62203285#10 62203285#11 62203285#13 62203285#14.0 62203285#14.24 gneE59.30.0.55 gneE59.30.0.0 gneE59.0.0 gneE59.0.12 62203360#0 291433361#0 132508433.0 -gneE6.0 gneE81.299.0 gneE81.299.79 gneE81.299.145 -gneE8 12154353#0 196393941#1 196393941#2 28533986 43539369#2 12178843#2 12178843#3 49960982#2 43569828#0 387422128#1 43569827#0 43569827#1 43569827#2 43569827#7 43569848 30953391 424769002 424769005 424769006 424769004 30953396#1 387422132#0 387422132#1 486653633#0 484953506#3 484953506#4 12157002#0 12157002#1 12157002#3 12157002#5 12114396#4 -12156992#10 -12156992#8 -12156992#7 -12156992#6 -12156992#5 -12156992#4 -12156992#3 -12156992#2 -12156992#1 -386547297#1 -424080772#2 -424080772#1 -262962065#1 -262962063 -424080764 -424080768#1 -424080766 -104526265#1 30953497#0 30953497#2 30953497#3 42706585#0 42706585#1 30953320 30953320-AddedOffRampEdge 104526277 30953215#1-AddedOnRampEdge 30953215#1 121643865#0 12110705 50715233#0 50715233#0-AddedOffRampEdge 50715233#1.0 62203285#14.24 gneE59.30.0.55 gneE59.30.0.0 43539373#0.0.292.17 gneE58 gneE56 gneE54.0 62203360#0 291433361#0 132508433.0 -gneE6.0 gneE6.0 424765883 43539378#0.15 132508717#5 196393974#0 49914077 424767578 387422130#1 132508717#0 12149210#1 12151897#1 196393941#6 196393941#7 196393941#8 gneE87 196393974#0 388756841#0 49914076#0 12159673#0 12159673#1 393884751 43569848 30953391 12113092 51758697#1-AddedOnRampEdge 51758697#1" probability="0.03125"/&gt;</t>
  </si>
  <si>
    <t xml:space="preserve">    &lt;route id="Router3_62" edges="196393940#0 62203285#0 62203285#2 62203285#3 62203285#5 62203285#6 62203285#7 62203286#0 62203286#2 59676508#0 -59676508#0 -62203286#2 -62203286#0 62203285#8 62203285#9 62203285#10 62203285#11 62203285#13 62203285#14.0 62203285#14.24 gneE59.30.0.55 gneE59.30.0.0 gneE59.0.0 gneE59.0.12 62203360#0 291433361#0 132508433.0 -gneE6.0 gneE81.299.0 gneE81.299.79 gneE81.299.145 -gneE8 12154353#0 196393941#1 196393941#2 28533986 43539369#2 12178843#2 12178843#3 49960982#2 43569828#0 387422128#1 43569827#0 43569827#1 43569827#2 43569827#7 43569848 30953391 424769002 424769005 424769006 424769004 30953396#1 387422132#0 387422132#1 486653633#0 484953506#3 484953506#4 12157002#0 12157002#1 12157002#3 12157002#5 12114396#4 -12156992#10 -12156992#8 -12156992#7 -12156992#6 -12156992#5 -12156992#4 -12156992#3 -12156992#2 -12156992#1 -386547297#1 -424080772#2 -424080772#1 -262962065#1 -262962063 -424080764 -424080768#1 -424080766 -104526265#1 30953497#0 30953497#2 35920555#0.0 35920555#0.75 62203066 43331031.0 43331031.436 42706585#0 42706585#1 30953320 30953320-AddedOffRampEdge 30953315 104526276-AddedOnRampEdge 104526276 51758697#0 51758697#1-AddedOnRampEdge 51758697#1" probability="0.03125"/&gt;</t>
  </si>
  <si>
    <t xml:space="preserve">    &lt;route id="Router3_71" edges="31909473.0 31909473.857 62634019#1-AddedOnRampEdge 62634019#1 30953036 424081476 424081472 424081473 424081470 30953025#0 30953025#2 30953025#3 30953025#4 50033060#0 12134479#5 450844973#0 388533144#0 388533144#6 388533144#11 450695475#0 137364609#0 137364609#3 137364609#5 450695473#0 386547305#0 gneE23 -gneE20.0 -gneE21.54 -gneE21.0 59435515#0 59435515#1 59435515#2 59435515#3 59435515#4 424801338#1 12117702#0 12117702#4 12117702#7 -32121146#3 -32121146#1 -424769197#2 12144152#0 12144152#2 12144152#4 12144152#6 12157151#0 12166276#2 -32121146#5 12117702#9 450844953#0 450844953#2 450844953#3 450844947#0 388533142#0 388533142#2 12189045#0 62623987#0 62623987#1 -12142631 12202018 62623986#1 62623986#2 -12189051#1 -262962063 -424080764 -424080768#1 -424080766 -104526265#1 30953497#0 30953497#2 30953497#3 42706585#0 42706585#1 30953320 30953320-AddedOffRampEdge 104526277 30953215#1-AddedOnRampEdge 30953215#1 121643865#0 12110705 50715233#0 50715233#0-AddedOffRampEdge 50715233#1.0 62203285#14.24 30908387 30908366#1-AddedOnRampEdge 30908366#1 121643863 121643862 51758697#0 51758697#1-AddedOnRampEdge 51758697#1 -gneE46.0 43357850.4841.18 gneE46 49887339#0.596 49887339#0-AddedOffRampEdge 49887339#1 49887339#1-AddedOffRampEdge 104524021 104524021-AddedOffRampEdge 50192637#0 50192637#1-AddedOnRampEdge 50192637#1.0.0 50192637#1.0.382.0.0 50192637#1.697 50192637#1-AddedOffRampEdge 30953181#1 30953181#2-AddedOnRampEdge 30953181#2 30953181#3-AddedOnRampEdge 30953181#3 30953181#3-AddedOffRampEdge 30952933#1.0 30952933#1.199" probability="0.03125"/&gt;</t>
  </si>
  <si>
    <t xml:space="preserve">    &lt;route id="Router3_84" edges="31909473.0 31909473.857 62634019#1-AddedOnRampEdge 62634019#1 62634019#2.0 62634019#2.242 62634019#3-AddedOnRampEdge 62634019#3 62634019#3-AddedOffRampEdge 12111747.0 59671945#0.30 62093806#0 104526265#0.14 424080766 424080768#0 104523976#1 262962063 12189051#0 -12189051#1 -262962063 -424080764 -424080768#1 -424080766 -104526265#1 -262962068#1 -424080774 -32122059#1 -32122059#0 -196393940#2 -196393940#0" probability="0.03125"/&gt;</t>
  </si>
  <si>
    <t xml:space="preserve">    &lt;route id="Router3_85" edges="31909473.0 31909473.857 62634019#1-AddedOnRampEdge 62634019#1 62634019#2.0 62634019#2.242 62634019#3-AddedOnRampEdge 62634019#3 62634019#3-AddedOffRampEdge 12111747.0 59671945#0.30 62093806#0 104526265#0.14 424080766 424080768#0 104523976#1 262962063 12189051#0 -12189051#1 -262962063 -424080764 -424080768#1 -424080766 -104526265#1 30953497#0 30953497#2 30953497#3 42706585#0 42706585#1 30953320 30953320-AddedOffRampEdge 104526277 30953215#1-AddedOnRampEdge 30953215#1 121643865#0 12110705 50715233#0 50715233#0-AddedOffRampEdge 50715233#1.0 62203285#14.24 30908387 30908366#1-AddedOnRampEdge 30908366#1 121643863 121643862 51758697#0 51758697#1-AddedOnRampEdge 51758697#1 -gneE46.0 43357850.4841.18 gneE46 49887339#0.596 49887339#0-AddedOffRampEdge 49887339#1 49887339#1-AddedOffRampEdge 104524021 104524021-AddedOffRampEdge 50192637#0 50192637#1-AddedOnRampEdge 50192637#1.0.0 50192637#1.0.382.0.0 50192637#1.697 50192637#1-AddedOffRampEdge 30953181#1 30953181#2-AddedOnRampEdge 30953181#2 30953181#3-AddedOnRampEdge 30953181#3 30953181#3-AddedOffRampEdge 30952933#1.0 30952933#1.199" probability="0.03125"/&gt;</t>
  </si>
  <si>
    <t xml:space="preserve">    &lt;route id="Router3_86" edges="31909473.0 31909473.857 62634019#1-AddedOnRampEdge 62634019#1 62634019#2.0 62634019#2.242 62634019#3-AddedOnRampEdge 62634019#3 62634019#3-AddedOffRampEdge 12111747.0 59671945#0.30 62093806#0 104526265#0.14 424080766 424080768#0 104523976#1 262962063 12189051#0 -12189051#1 -262962063 -424080764 -424080768#1 -424080766 -104526265#1 30953497#0 30953497#2 30953497#3 42706585#0 42706585#1 30953320 30953320-AddedOffRampEdge 104526277 30953215#1-AddedOnRampEdge 30953215#1 121643865#0 12110705 50715233#0 50715233#0-AddedOffRampEdge 50715233#1.0 62203285#14.24 gneE59.30.0.55 gneE59.30.0.0 43539373#0.0.292.17 gneE58 gneE56 gneE54.0 62203360#0 291433361#0 132508433.0 -gneE6.0 gneE6.0 424765883 43570920#0.22 132508717#4 43539378#1 43569848 30953391 12113092 51758697#1-AddedOnRampEdge 51758697#1 -gneE46.0 43357850.4841.18 gneE46 49887339#0.596 49887339#0-AddedOffRampEdge 49887339#1 49887339#1-AddedOffRampEdge 104524021 104524021-AddedOffRampEdge 50192637#0 50192637#1-AddedOnRampEdge 50192637#1.0.0 50192637#1.0.382.0.0 50192637#1.697 50192637#1-AddedOffRampEdge 30953181#1 30953181#2-AddedOnRampEdge 30953181#2 30953181#3-AddedOnRampEdge 30953181#3 30953181#3-AddedOffRampEdge 30952933#1.0 30952933#1.199" probability="0.03125"/&gt;</t>
  </si>
  <si>
    <t xml:space="preserve">    &lt;route id="Router3_87" edges="31909473.0 31909473.857 62634019#1-AddedOnRampEdge 62634019#1 62634019#2.0 62634019#2.242 62634019#3-AddedOnRampEdge 62634019#3 62634019#3-AddedOffRampEdge 12111747.0 59671945#0.30 62093806#0 104526265#0.14 424080766 424080768#0 104523976#1 262962063 12189051#0 -12189051#1 -262962063 -424080764 -424080768#1 -424080766 -104526265#1 30953497#0 30953497#2 30953497#3 42706585#0 42706585#1 30953320 30953320-AddedOffRampEdge 104526277 30953215#1-AddedOnRampEdge 30953215#1 121643865#0 12110705 50715233#0 50715233#0-AddedOffRampEdge 50715233#1.0 62203285#14.24 gneE59.30.0.55 gneE59.30.0.0 43539373#0.0.292.17 gneE58 gneE56 gneE54.0 62203360#0 291433361#0 132508433.0 -gneE6.0 gneE6.0 424765883 43570920#0.22 132508717#4 43539378#1 43569848 30953391 12113092 51758697#1-AddedOnRampEdge 51758697#1" probability="0.03125"/&gt;</t>
  </si>
  <si>
    <t xml:space="preserve">    &lt;route id="Router3_88" edges="31909473.0 31909473.857 62634019#1-AddedOnRampEdge 62634019#1 62634019#2.0 62634019#2.242 62634019#3-AddedOnRampEdge 62634019#3 62634019#3-AddedOffRampEdge 12111747.0 59671945#0.30 62093806#0 104526265#0.14 424080766 424080768#0 104523976#1 262962063 12189051#0 -12189051#1 -262962063 -424080764 -424080768#1 -424080766 -104526265#1 30953497#0 30953497#2 30953497#3 42706585#0 42706585#1 30953320 30953320-AddedOffRampEdge 104526277 30953215#1-AddedOnRampEdge 30953215#1 121643865#0 12110705 50715233#0 50715233#0-AddedOffRampEdge 50715233#1.0 62203285#14.24 gneE59.30.0.55 gneE59.30.0.0 43539373#0.0.292.17 gneE58 gneE56 gneE54.0 gneE62.13 gneE81.0 gneE6.0 424765883 gneE87 196393957 132508433.0 -gneE6.0 gneE81.299.0 gneE81.299.79 gneE81.299.145 12178843#0 12178843#1 43539369#3 43539369#4 43539368#0 43570920#3 43570920#5 404615579 43569828#0 43539397#3 43569816#0 49914076#0 12167196#0.0.0 424764853 12149178#0 12149178#1 12149178#2 50189577 62203295 145605533#1-AddedOnRampEdge 145605533#1 145605511#1-AddedOnRampEdge 145605511#12 145605511#1.148" probability="0.03125"/&gt;</t>
  </si>
  <si>
    <t xml:space="preserve">    &lt;route id="Router3_89" edges="31909473.0 31909473.857 62634019#1-AddedOnRampEdge 62634019#1 62634019#2.0 62634019#2.242 62634019#3-AddedOnRampEdge 62634019#3 62634019#3-AddedOffRampEdge 12111747.0 59671945#0.30 62093806#0 104526265#0.14 424080766 424080768#0 104523976#1 262962063 12189051#0 -12189051#1 -262962063 -424080764 -424080768#1 -424080766 -104526265#1 30953497#0 30953497#2 30953497#3 42706585#0 42706585#1 30953320 30953320-AddedOffRampEdge 104526277 30953215#1-AddedOnRampEdge 30953215#1 121643865#0 12110705 50715233#0 50715233#0-AddedOffRampEdge 50715233#1.0 62203285#14.24 gneE59.30.0.55 gneE59.30.0.0 43539373#0.0.292.17 gneE58 gneE56 gneE54.0 gneE62.13 gneE81.0 gneE81.299.0 12138964.1128 196393941#8 gneE87 196393974#0 49914077 424767578 43569819 387422128#1 43569827#0 43569827#1 43569827#2 43569827#7 43569848 30953391 424769002 424769005 424769006 424769004 30953396#1 -424769003#1 -424769003#0 -485017374 42706828#0 42706828#2 12182281#0 12182281#3 12182281#5 12182281#6 386995507#4 386995507#5 386995507#6 12152013#1 12152013#2 -12175537#6 -12175537#5 -12175537#4 12182281#9 12182281#10 -388756839#1 -388756839#0 -50033059#4 -50033059#3 -50033059#2 -50033059#1 42706833#0 42706833#2 12189876#0 12189876#2 484953508#1 60185970#0 60185970#2 12149571#1 12187610#3 50033558#2 -12188656 -121319046 -42706825#7 12199713#0 12199713#1 -386995514#6 -386995514#5 -386995514#4 -386995514#3 194358817#0 194358817#1 194358817#2 12114363#0 12114363#1 -50033059#4 12175537#0 12175537#2 12175537#3 12175537#4 12175537#5 12175537#6 12175537#7 12175537#8 12175537#9 12175537#10 12175537#11 12175537#12 12155177#1 12155177#2 387422153#1 gneE73 gneE75.0 gneE80.125" probability="0.03125"/&gt;</t>
  </si>
  <si>
    <t xml:space="preserve">    &lt;route id="Router3_90" edges="31909473.0 31909473.857 62634019#1-AddedOnRampEdge 62634019#1 62634019#2.0 62634019#2.242 62634019#3-AddedOnRampEdge 62634019#3 62634019#3-AddedOffRampEdge 12111747.0 59671945#0.30 62093806#0 104526265#0.14 424080766 424080768#0 104523976#1 262962063 12189051#0 -12189051#1 -262962063 -424080764 -424080768#1 -424080766 -104526265#1 30953497#0 30953497#2 30953497#3 42706585#0 42706585#1 30953320 30953320-AddedOffRampEdge 104526277 30953215#1-AddedOnRampEdge 30953215#1 121643865#0 12110705 50715233#0 50715233#0-AddedOffRampEdge 50715233#1.0 62203285#14.24 gneE59.30.0.55 gneE59.30.0.0 gneE59.0.0 gneE59.0.12 62203360#0 291433361#0 132508433.0 -gneE6.0 gneE81.299.0 gneE81.299.79 gneE81.299.145 -gneE8 12154353#0 196393941#1 196393941#2 28533986 43539369#2 12178843#2 12178843#3 49960982#2 43569828#0 387422128#1 43569827#0 43569827#1 43569827#2 43569827#7 43569848 30953391 424769002 424769005 424769006 424769004 30953396#1 387422132#0 387422132#1 486653633#0 484953506#3 484953506#4 12157002#0 12157002#1 12157002#3 12157002#5 12114396#4 -12156992#10 -12156992#8 -12156992#7 -12156992#6 -12156992#5 -12156992#4 -12156992#3 -12156992#2 -12156992#1 -386547297#1 -424080772#2 -424080772#1 -262962065#1 -262962063 -424080764 -424080768#1 -424080766 -104526265#1 30953497#0 30953497#2 35920555#0.0 35920555#0.75 62203066 43331031.0 43331031.436 42706585#0 42706585#1 30953320 30953320-AddedOffRampEdge 30953315 104526276-AddedOnRampEdge 104526276 51758697#0 51758697#1-AddedOnRampEdge 51758697#1" probability="0.03125"/&gt;</t>
  </si>
  <si>
    <t xml:space="preserve">    &lt;route id="Router3_94" edges="31909473.0 31909473.857 62634019#1-AddedOnRampEdge 62634019#1 62634019#2.0 62634019#2.242 62634019#3-AddedOnRampEdge 62634019#3 62634019#3-AddedOffRampEdge 12111747.0 59671945#0.30 62093806#0 104526265#0.14 424080766 424080768#0 104523976#1 262962063 12189051#0 -12189051#1 424080770#0 424080772#0 12119506#0 -12156992#1 -386547297#1 -424080772#2 -424080772#1 -424080761#1 -62623960 62623959#0 386547296#0 386547296#1 424080773#0 279870839#0 279870839#2 450844960#0 62623926#1 450844950#0 38502259#0.19 450844933#1 196207115#0 196207115#2 196207115#3 196355332#0 450844979#0.0 450844982#0.19 62203497#0 62203497#2 62203497#3 12134479#1 34685684#0 34685684#2 388533143#0 388533143#2 12140627#0 63060729#0 -264253834#2 12156992#4 12156992#5 12156992#6 12156992#7 12156992#8 12156992#9 484953505 12148522#0 485017381#0 485017381#1 -30953396#1 30953396#1 -424769003#1 -424769003#0 12157002#0 12157002#1 12157002#3 12157002#5 12114396#4 -12156992#10 -12156992#8 -12156992#7 -12156992#6 -12156992#5 -12156992#4 -12156992#3 -12156992#2 -12156992#1 -386547297#1 -424080772#2 -424080772#1 -262962065#1 -262962063 -424080764 -424080768#1 -424080766 -104526265#1 -262962068#1 -424080774 -32122059#1 -32122059#0 -196393940#2 -196393940#0" probability="0.03125"/&gt;</t>
  </si>
  <si>
    <t xml:space="preserve">    &lt;route id="Router3_95" edges="31909473.0 31909473.857 62634019#1-AddedOnRampEdge 62634019#1 62634019#2.0 62634019#2.242 62634019#3-AddedOnRampEdge 62634019#3 62634019#3-AddedOffRampEdge 12111747.0 59671945#0.30 62093806#0 104526265#0.14 424080766 424080768#0 104523976#1 262962063 12189051#0 -12189051#1 424080770#0 424080772#0 12119506#0 -12156992#1 -386547297#1 -424080772#2 -424080772#1 -424080761#1 -62623960 62623959#0 386547296#0 386547296#1 424080773#0 279870839#0 279870839#2 450844960#0 62623926#1 450844950#0 38502259#0.19 450844933#1 196207115#0 196207115#2 196207115#3 196355332#0 450844979#0.0 450844982#0.19 62203497#0 62203497#2 62203497#3 12134479#1 34685684#0 34685684#2 388533143#0 388533143#2 12140627#0 63060729#0 -264253834#2 12156992#4 12156992#5 12156992#6 12156992#7 12156992#8 12156992#9 484953505 12148522#0 485017381#0 485017381#1 -30953396#1 30953396#1 -424769003#1 -424769003#0 12157002#0 12157002#1 12157002#3 12157002#5 12114396#4 -12156992#10 -12156992#8 -12156992#7 -12156992#6 -12156992#5 -12156992#4 -12156992#3 -12156992#2 -12156992#1 -386547297#1 -424080772#2 -424080772#1 -262962065#1 -262962063 -424080764 -424080768#1 -424080766 -104526265#1 30953497#0 30953497#2 30953497#3 42706585#0 42706585#1 30953320 30953320-AddedOffRampEdge 104526277 30953215#1-AddedOnRampEdge 30953215#1 121643865#0 12110705 50715233#0 50715233#0-AddedOffRampEdge 50715233#1.0 62203285#14.24 gneE59.30.0.55 gneE59.30.0.0 43539373#0.0.292.17 gneE58 gneE56 gneE54.0 gneE62.13 gneE81.0 gneE6.0 424765883 43539378#0.15 43539378#1 -393884751 12159702 424764853 12149178#0 50189796 50189564 12149178#2 145605533#0 145605533#1-AddedOnRampEdge 145605533#1 145605511#1-AddedOnRampEdge 145605511#12 145605511#1.148" probability="0.03125"/&gt;</t>
  </si>
  <si>
    <t xml:space="preserve">    &lt;route id="Router3_105" edges="31909473.0 31909473.857 62634019#1-AddedOnRampEdge 62634019#1 62634019#2.0 62634019#2.242 62634019#3-AddedOnRampEdge 62634019#3 62634019#3-AddedOffRampEdge 12111747.0 62203498#0 62093806#0 104526265#0.14 424080766 424080768#0 104523976#1 262962063 424080770#0 424080772#0 424080772#2 386547297#0 424080771#0 424080767#0 386547298#0 424769177 424080769#0 12144152#0 12144152#2 12144152#4 12144152#6 12157151#0 12166276#2 -32121146#5 12117702#9 450844953#0 450844953#2 450844953#3 450844947#0 388533142#0 388533142#2 12189045#0 62623987#0 62623987#1 -12142631 12202018 62623986#1 62623986#2 -12189051#1 -262962063 -424080764 -424080768#1 -424080766 -104526265#1 -262962068#1 -424080774 -32122059#1 -32122059#0 -196393940#2 -196393940#0" probability="0.03125"/&gt;</t>
  </si>
  <si>
    <t xml:space="preserve">    &lt;route id="Router3_109" edges="31909473.0 31909473.857 62634019#1-AddedOnRampEdge 62634019#1 62634019#2.0 62634019#2.242 62634019#3-AddedOnRampEdge 62634019#3 62634019#3-AddedOffRampEdge 12111747.0 62203498#0 62093806#0 104526265#0.14 424080766 424080768#0 104523976#1 262962063 424080770#0 424080772#0 424080772#2 386547297#0 424080771#0 424080767#0 386547298#0 424769177 424080769#0 12144152#0 12144152#2 450844953#0 450844953#2 450844953#3 450844947#0 388533142#0 388533142#2 388533142#4 62623926#0 62623926#1 450844950#0 12189453#0.0.0 450844982#0.19 62203497#0 62203497#2 62203497#3 12134479#1 34685684#0 34685684#2 450844947#0 388533142#0 388533142#2 12189045#0 62623987#0 62623987#1 -12142631 12202018 62623986#1 62623986#2 -12189051#1 -262962063 -424080764 -424080768#1 -424080766 -104526265#1 -262962068#1 -424080774 -32122059#1 -32122059#0 -196393940#2 -196393940#0" probability="0.03125"/&gt;</t>
  </si>
  <si>
    <t xml:space="preserve">    &lt;route id="Router3_116" edges="31909473.0 31909473.857 62634019#1-AddedOnRampEdge 62634019#1 62634019#2.0 62634019#2.242 62634019#3-AddedOnRampEdge 62634019#3 62634019#3-AddedOffRampEdge 30953251#1.0 30953251#1-AddedOffRampEdge 12112003 30953215#1-AddedOnRampEdge 30953215#1 121643865#0 12110705 50715233#0 50715233#0-AddedOffRampEdge 50715233#1.0 62203285#14.24 gneE59.30.0.55 gneE59.30.0.0 gneE59.0.0 gneE59.0.12 62203360#0 291433361#0 132508433.0 -gneE6.0 gneE81.299.0 gneE81.299.79 gneE81.299.145 -gneE8 12154353#0 196393941#1 196393941#2 28533986 43539369#2 12178843#2 12178843#3 49960982#2 43569828#0 387422128#1 43569827#0 43569827#1 43569827#2 43569827#7 43569848 30953391 424769002 424769005 424769006 424769004 30953396#1 387422132#0 387422132#1 486653633#0 484953506#3 484953506#4 12157002#0 12157002#1 12157002#3 12157002#5 12114396#4 -12156992#10 -12156992#8 -12156992#7 -12156992#6 -12156992#5 -12156992#4 -12156992#3 -12156992#2 -12156992#1 -386547297#1 -424080772#2 -424080772#1 -262962065#1 -262962063 -424080764 -424080768#1 -424080766 -104526265#1 -262962068#1 -424080774 -32122059#1 -32122059#0 -196393940#2 -196393940#0" probability="0.03125"/&gt;</t>
  </si>
  <si>
    <t xml:space="preserve">    &lt;route id="Router3_117" edges="31909473.0 31909473.857 62634019#1-AddedOnRampEdge 62634019#1 62634019#2.0 62634019#2.242 62634019#3-AddedOnRampEdge 62634019#3 62634019#3-AddedOffRampEdge 30953251#1.0 30953251#1-AddedOffRampEdge 12112003 30953215#1-AddedOnRampEdge 30953215#1 121643865#0 12110705 50715233#0 50715233#0-AddedOffRampEdge 50715233#1.0 62203285#14.24 gneE59.30.0.55 gneE59.30.0.0 gneE59.0.0 gneE59.0.12 62203360#0 291433361#0 132508433.0 -gneE6.0 gneE81.299.0 gneE81.299.79 gneE81.299.145 -gneE8 12154353#0 196393941#1 196393941#2 28533986 43539369#2 12178843#2 12178843#3 49960982#2 43569828#0 387422128#1 43569827#0 43569827#1 43569827#2 43569827#7 43569848 30953391 424769002 424769005 424769006 424769004 30953396#1 387422132#0 387422132#1 486653633#0 484953506#3 484953506#4 12157002#0 12157002#1 12157002#3 12157002#5 12114396#4 -12156992#10 -12156992#8 -12156992#7 -12156992#6 -12156992#5 -12156992#4 -12156992#3 -12156992#2 -12156992#1 -386547297#1 -424080772#2 -424080772#1 -262962065#1 -262962063 -424080764 -424080768#1 -424080766 -104526265#1 30953497#0 30953497#2 30953497#3 42706585#0 42706585#1 30953320 30953320-AddedOffRampEdge 104526277 30953215#1-AddedOnRampEdge 30953215#1 121643865#0 12110705 50715233#0 50715233#0-AddedOffRampEdge 50715233#1.0 62203285#14.24 gneE59.30.0.55 gneE59.30.0.0 gneE59.0.0 gneE59.0.12 62203360#0 12159135 12149408#0 49914077 424767578 43569819 387422128#1 43569827#0 43569827#1 43569827#2 43569827#7 43569848 30953391 424769002 424769005 424769006 424769004 30953396#1 -424769003#1 -424769003#0 -485017374 42706828#0 42706828#2 12182281#0 12182281#3 12182281#5 12182281#6 386995507#4 386995507#5 386995507#6 12152013#1 12152013#2 -12175537#6 -12175537#5 -12175537#4 12182281#9 12182281#10 -388756839#1 -388756839#0 -50033059#4 -50033059#3 -50033059#2 -50033059#1 -50033558#8 -51155368#3 121319046 12188656 -50033558#2 12203859#0 12203859#1 42706831#4 42706831#5 42706831#6 42706874#0 42706874#2 12144152#0 12144152#2 450844953#0 450844953#2 450844953#3 450844947#0 388533142#0 388533142#2 388533142#4 62623926#0 62623926#1 450844950#0 12189453#0.0.0 450844982#0.19 62203497#0 62203497#2 62203497#3 12134479#1 34685684#0 34685684#2 388533143#0 388533143#2 12140627#0 63060729#0 -264253834#2 12156992#4 12156992#5 12156992#6 12156992#7 12156992#8 12156992#9 -12114396#5 -12114396#3 -12114396#1 485017383#0 485017382#0 485017382#1 211575484#0 -12177521#3 -12177521#2 -12177521#1 32121111#12 32121111#14 -12187610#5 -12187610#2 -12187610#1 12150608#0 32121146#2 12117702#9 450844953#0 450844953#2 450844953#3 450844947#0 388533142#0 388533142#2 388533142#4 62623926#0 62623926#1 450844950#0 38502259#0.19 450844933#1 196207110#0 196207110#2" probability="0.03125"/&gt;</t>
  </si>
  <si>
    <t xml:space="preserve">    &lt;route id="Router3_118" edges="31909473.0 31909473.857 62634019#1-AddedOnRampEdge 62634019#1 62634019#2.0 62634019#2.242 62634019#3-AddedOnRampEdge 62634019#3 62634019#3-AddedOffRampEdge 30953251#1.0 30953251#1-AddedOffRampEdge 12112003 30953215#1-AddedOnRampEdge 30953215#1 121643865#0 12110705 50715233#0 50715233#0-AddedOffRampEdge 50715233#1.0 62203285#14.24 gneE59.30.0.55 gneE59.30.0.0 gneE59.0.0 gneE59.0.12 62203360#0 291433361#0 132508433.0 -gneE6.0 gneE81.299.0 gneE81.299.79 gneE81.299.145 -gneE8 12154353#0 196393941#1 196393941#2 28533986 43539369#2 12178843#2 12178843#3 49960982#2 43569828#0 387422128#1 43569827#0 43569827#1 43569827#2 43569827#7 43569848 30953391 424769002 424769005 424769006 424769004 30953396#1 387422132#0 387422132#1 486653633#0 484953506#3 484953506#4 12157002#0 12157002#1 12157002#3 12157002#5 12114396#4 -12156992#10 -12156992#8 -12156992#7 -12156992#6 -12156992#5 -12156992#4 -12156992#3 -12156992#2 -12156992#1 -386547297#1 -424080772#2 -424080772#1 -262962065#1 -262962063 -424080764 -424080768#1 -424080766 -104526265#1 30953497#0 30953497#2 30953497#3 42706585#0 42706585#1 30953320 30953320-AddedOffRampEdge 104526277 30953215#1-AddedOnRampEdge 30953215#1 121643865#0 12110705 50715233#0 50715233#0-AddedOffRampEdge 50715233#1.0 62203285#14.24 gneE59.30.0.55 gneE59.30.0.0 gneE59.0.0 gneE59.0.12 62203360#0 12159135 12149408#0 49914077 424767578 43569819 387422128#1 43569827#0 43569827#1 43569827#2 43569827#7 43569848 30953391 424769002 424769005 424769006 424769004 30953396#1 -424769003#1 -424769003#0 -485017374 42706828#0 42706828#2 12182281#0 12182281#3 12182281#5 12182281#6 386995507#4 386995507#5 386995507#6 12152013#1 12152013#2 -12175537#6 -12175537#5 -12175537#4 12182281#9 12182281#10 -388756839#1 -388756839#0 -50033059#4 -50033059#3 -50033059#2 -50033059#1 42706833#0 42706833#2 -42706825#7 12199713#0 12199713#1 -386995514#6 -386995514#5 -386995514#4 -386995514#3 -386995514#2 -386995514#1 12159500#1 12159500#2 51050030#7 gneE35 -gneE34.0 --gneE83.0" probability="0.03125"/&gt;</t>
  </si>
  <si>
    <t xml:space="preserve">    &lt;route id="Router3_119" edges="31909473.0 31909473.857 62634019#1-AddedOnRampEdge 62634019#1 62634019#2.0 62634019#2.242 62634019#3-AddedOnRampEdge 62634019#3 62634019#3-AddedOffRampEdge 30953251#1.0 30953251#1-AddedOffRampEdge 12112003 30953215#1-AddedOnRampEdge 30953215#1 121643865#0 12110705 50715233#0 50715233#0-AddedOffRampEdge 50715233#1.0 62203285#14.24 gneE59.30.0.55 gneE59.30.0.0 gneE59.0.0 gneE59.0.12 62203360#0 291433361#0 132508433.0 -gneE6.0 gneE81.299.0 gneE81.299.79 gneE81.299.145 -gneE8 12154353#0 196393941#1 196393941#2 28533986 43539369#2 12178843#2 12178843#3 49960982#2 43569828#0 387422128#1 43569827#0 43569827#1 43569827#2 43569827#7 43569848 30953391 424769002 424769005 424769006 424769004 30953396#1 387422132#0 387422132#1 486653633#0 484953506#3 484953506#4 12157002#0 12157002#1 12157002#3 12157002#5 12114396#4 -12156992#10 -12156992#8 -12156992#7 -12156992#6 -12156992#5 -12156992#4 -12156992#3 -12156992#2 -12156992#1 -386547297#1 -424080772#2 -424080772#1 -262962065#1 -262962063 -424080764 -424080768#1 -424080766 -104526265#1 30953497#0 30953497#2 35920555#0.0 35920555#0.75 62203066 43331031.0 43331031.436 42706585#0 42706585#1 30953320 30953320-AddedOffRampEdge 30953315 104526276-AddedOnRampEdge 104526276 51758697#0 51758697#1-AddedOnRampEdge 51758697#1" probability="0.03125"/&gt;</t>
  </si>
  <si>
    <t xml:space="preserve">    &lt;route id="Router3_135" edges="49887339#0.596 49887339#0-AddedOffRampEdge 12113482 424769007 424769005 424769006 424769004 30953396#1 -30953396#1 30953396#1 -424769003#1 -424769003#0 12157002#0 12157002#1 12157002#3 12157002#5 12114396#4 -12156992#10 -12156992#8 -12156992#7 -12156992#6 -12156992#5 -12156992#4 -12156992#3 -12156992#2 -12156992#1 -386547297#1 -424080772#2 -424080772#1 -262962065#1 -262962063 -424080764 -424080768#1 -424080766 -104526265#1 -262962068#1 -424080774 -32122059#1 -32122059#0 -196393940#2 -196393940#0" probability="0.03125"/&gt;</t>
  </si>
  <si>
    <t xml:space="preserve">    &lt;route id="Router3_136" edges="49887339#0.596 49887339#0-AddedOffRampEdge 12113482 424769007 424769005 424769006 424769004 30953396#1 -30953396#1 30953396#1 -424769003#1 -424769003#0 12157002#0 12157002#1 12157002#3 12157002#5 12114396#4 -12156992#10 -12156992#8 -12156992#7 -12156992#6 -12156992#5 -12156992#4 -12156992#3 -12156992#2 -12156992#1 -386547297#1 -424080772#2 -424080772#1 -262962065#1 -262962063 -424080764 -424080768#1 -424080766 -104526265#1 450844956#2 12189453#0.0.0 450844982#0.19 62203497#0 62203497#2 62203497#3 12134479#1 34685684#0 34685684#2 450844947#0 388533142#0 388533142#2 388533142#4 62623926#0 62623926#1 450844950#0 12189453#0.0.0 450844982#0.19 62203497#0 62203497#2 62203497#3 12134479#1 34685684#0 34685684#2 388533143#0 388533143#2 12140627#0 63060729#0 -264253834#2 12156992#4 12156992#5 12156992#6 12156992#7 12156992#8 12156992#9 484953505 12148522#0 485017381#0 485017381#1 -30953396#1 -30953396#0 -424769006 -424769005 -424769002 -30953391 -43569848 -393884751 12159702 424764853 12149178#0 50189796 50189564 12149178#2 145605533#0 145605533#1-AddedOnRampEdge 145605533#1 145605511#1-AddedOnRampEdge 145605511#12 145605511#1.148" probability="0.03125"/&gt;</t>
  </si>
  <si>
    <t xml:space="preserve">    &lt;route id="Router3_143" edges="49887339#0.596 49887339#0-AddedOffRampEdge 49887339#1 49887339#1-AddedOffRampEdge 104524021 104524021-AddedOffRampEdge 12158873 121643865#0 12110705 50715233#0 50715233#0-AddedOffRampEdge 50715233#1.0 62203285#14.24 gneE59.30.0.55 gneE59.30.0.0 gneE59.0.0 gneE59.0.12 62203360#0 291433361#0 132508433.0 -gneE6.0 gneE81.299.0 gneE81.299.79 gneE81.299.145 -gneE8 12154353#0 196393941#1 196393941#2 28533986 43539369#2 12178843#2 12178843#3 49960982#2 43569828#0 387422128#1 43569827#0 43569827#1 43569827#2 43569827#7 43569848 30953391 424769002 424769005 424769006 424769004 30953396#1 387422132#0 387422132#1 486653633#0 484953506#3 484953506#4 12157002#0 12157002#1 12157002#3 12157002#5 12114396#4 -12156992#10 -12156992#8 -12156992#7 -12156992#6 -12156992#5 -12156992#4 -12156992#3 -12156992#2 -12156992#1 -386547297#1 -424080772#2 -424080772#1 -262962065#1 -262962063 -424080764 -424080768#1 -424080766 -104526265#1 -262962068#1 -424080774 -32122059#1 -32122059#0 -196393940#2 -196393940#0" probability="0.03125"/&gt;</t>
  </si>
  <si>
    <t xml:space="preserve">    &lt;route id="Router3_144" edges="49887339#0.596 49887339#0-AddedOffRampEdge 49887339#1 49887339#1-AddedOffRampEdge 104524021 104524021-AddedOffRampEdge 12158873 121643865#0 12110705 50715233#0 50715233#0-AddedOffRampEdge 50715233#1.0 62203285#14.24 gneE59.30.0.55 gneE59.30.0.0 gneE59.0.0 gneE59.0.12 62203360#0 291433361#0 132508433.0 -gneE6.0 gneE81.299.0 gneE81.299.79 gneE81.299.145 -gneE8 12154353#0 196393941#1 196393941#2 28533986 43539369#2 12178843#2 12178843#3 49960982#2 43569828#0 387422128#1 43569827#0 43569827#1 43569827#2 43569827#7 43569848 30953391 424769002 424769005 424769006 424769004 30953396#1 387422132#0 387422132#1 486653633#0 484953506#3 484953506#4 12157002#0 12157002#1 12157002#3 12157002#5 12114396#4 -12156992#10 -12156992#8 -12156992#7 -12156992#6 -12156992#5 -12156992#4 -12156992#3 -12156992#2 -12156992#1 -386547297#1 -424080772#2 -424080772#1 -262962065#1 -262962063 -424080764 -424080768#1 -424080766 -104526265#1 30953497#0 30953497#2 30953497#3 42706585#0 42706585#1 30953320 30953320-AddedOffRampEdge 104526277 30953215#1-AddedOnRampEdge 30953215#1 121643865#0 12110705 50715233#0 50715233#0-AddedOffRampEdge 50715233#1.0 62203285#14.24 gneE59.30.0.55 gneE59.30.0.0 43539373#0.0.292.17 gneE58 gneE56 gneE54.0 62203360#0 291433361#0 132508433.0 -gneE6.0 gneE6.0 424765883 43539378#0.15 132508717#5 196393974#0 49914077 424767578 387422130#1 132508717#0 12149210#1 12151897#1 196393941#6 196393941#7 196393941#8 gneE87 196393974#0 388756841#0 49914076#0 12159673#0 12159673#1 393884751 43569848 30953391 12113092 51758697#1-AddedOnRampEdge 51758697#1 -gneE46.0 43357850.4841.18 gneE46 49887339#0.596 49887339#0-AddedOffRampEdge 49887339#1 49887339#1-AddedOffRampEdge 104524021 104524021-AddedOffRampEdge 50192637#0 50192637#1-AddedOnRampEdge 50192637#1.0.0 50192637#1.0.382.0.0 50192637#1.697 50192637#1-AddedOffRampEdge 30953181#1 30953181#2-AddedOnRampEdge 30953181#2 30953181#3-AddedOnRampEdge 30953181#3 30953181#3-AddedOffRampEdge 30952933#1.0 30952933#1.199" probability="0.03125"/&gt;</t>
  </si>
  <si>
    <t xml:space="preserve">    &lt;route id="Router3_145" edges="49887339#0.596 49887339#0-AddedOffRampEdge 49887339#1 49887339#1-AddedOffRampEdge 104524021 104524021-AddedOffRampEdge 12158873 121643865#0 12110705 50715233#0 50715233#0-AddedOffRampEdge 50715233#1.0 62203285#14.24 gneE59.30.0.55 gneE59.30.0.0 gneE59.0.0 gneE59.0.12 62203360#0 291433361#0 132508433.0 -gneE6.0 gneE81.299.0 gneE81.299.79 gneE81.299.145 -gneE8 12154353#0 196393941#1 196393941#2 28533986 43539369#2 12178843#2 12178843#3 49960982#2 43569828#0 387422128#1 43569827#0 43569827#1 43569827#2 43569827#7 43569848 30953391 424769002 424769005 424769006 424769004 30953396#1 387422132#0 387422132#1 486653633#0 484953506#3 484953506#4 12157002#0 12157002#1 12157002#3 12157002#5 12114396#4 -12156992#10 -12156992#8 -12156992#7 -12156992#6 -12156992#5 -12156992#4 -12156992#3 -12156992#2 -12156992#1 -386547297#1 -424080772#2 -424080772#1 -262962065#1 -262962063 -424080764 -424080768#1 -424080766 -104526265#1 30953497#0 30953497#2 35920555#0.0 35920555#0.75 62203066 43331031.0 43331031.436 42706585#0 42706585#1 30953320 30953320-AddedOffRampEdge 30953315 104526276-AddedOnRampEdge 104526276 51758697#0 51758697#1-AddedOnRampEdge 51758697#1" probability="0.03125"/&gt;</t>
  </si>
  <si>
    <t xml:space="preserve">    &lt;route id="Router3_5" edges="-gneE80.0 -gneE80.17 -gneE41 gneE44 -388756838#2 -388756838#1 -388756838#0 42706817#0 386547310 gneE69 -388756838#2 -388756838#1 -388756838#0 -388756839#1 -388756839#0 -194358837#2 -194358837#0 194358838#0 194358838#1 194358838#2 194358838#3 387422145#0 387422145#3 386995499#0 386995499#2 -51155368#13 -51155368#10 -51155368#7 121319040#0 121319040#1 386995507#0 386995507#1 386995507#2 386995507#3 12182281#7 42706837#0 42706837#1 42706837#2 42706837#3 43357814#2 43357814#3 386995526#0 386995526#1 -51050425#4 -51050425#3 -51050425#2 12162659#0 12162659#1 -12175537#4 -12175537#3 -12175537#2 -12175537#1 -50033059#3 -50033059#2 -386995514#7 -12199713#2 12177498 42706833#2 51155368#0 -50033558#5 -50033558#3 -50033558#2 -62105579 -32121234#1 -32121234#0 42706874#0 42706874#2 55179414#0 55179413#0 424769182 -450827405#2 -450827400#2 -450827382 -450827385#1 -450827391#1 -450827381 -450827397#1 12180696#0 59435515#1 59435515#2 59435515#3 59435515#4 424801338#1 12117702#0 12117702#4 12117702#7 -32121146#3 -32121146#1 -424769197#2 12144152#0 12144152#2 12144152#4 12144152#6 12157151#0 12166276#2 -32121146#5 12117702#9 450844953#0 450844953#2 450844953#3 450844947#0 388533142#0 388533142#2 12189045#0 62623987#0 62623987#1 -12142631 12202018 62623986#1 62623986#2 -12189051#1 -262962063 -424080764 -424080768#1 -424080766 -104526265#1 -262962068#1 -424080774 -32122059#1 -32122059#0 -196393940#2 -196393940#0" probability="0.03125"/&gt;</t>
  </si>
  <si>
    <t>&lt;routeDistribution id="36th-Ludlow-2-Market-NB-2005-RouteProbe"&gt;</t>
  </si>
  <si>
    <t xml:space="preserve">    &lt;route id="Router3_2" edges="-gneE80.0 -gneE80.17 -gneE41 gneE44 -388756838#2 -388756838#1 -388756838#0 42706817#0 386547310 gneE69 -388756838#2 -388756838#1 -388756838#0 -388756839#1 -388756839#0 -194358837#2 -194358837#0 194358838#0 194358838#1 194358838#2 194358838#3 387422145#0 387422145#3 386995499#0 386995499#2 -51155368#13 -51155368#10 -51155368#7 121319040#0 121319040#1 386995507#0 386995507#1 386995507#2 386995507#3 12182281#7 42706837#0 42706837#1 42706837#2 42706837#3 43357814#2 43357814#3 386995526#0 386995526#1 -51050425#4 -51050425#3 -51050425#2 12162659#0 12162659#1 -12175537#4 -12175537#3 -12175537#2 -12175537#1 -50033059#3 -50033059#2 -386995514#7 -12199713#2 12177498 42706833#2 51155368#0 -50033558#5 -50033558#3 -50033558#2 -62105579 -32121234#1 -32121234#0 42706874#0 42706874#2 55179414#0 55179413#0 424769182 -450827405#2 -450827400#2 -450827382 -450827385#1 -450827391#1 -450827381 -450827397#1 12180696#0 59435515#1 59435515#2 59435515#3 59435515#4 424801338#1 12117702#0 12117702#4 12117702#7 -32121146#3 12202008#2.0 12202008#2.171 62646499#2 450827424#0 450827405#0 262962062 -55179413#2 12187610#0 60185970#0 60185970#2 12149571#1 12187610#3 50033558#2 50033558#3 50033558#4 50033558#6 42706833#0 42706833#2 12189876#0 12189876#2 484953508#1 60185970#0 60185970#2 12149571#1 12187610#3 50033558#2 -12188656 -121319046 -42706825#7 12199713#0 12199713#1 -386995514#6 -386995514#5 -386995514#4 -386995514#3 194358817#0 194358817#1 194358817#2 12114363#0 12114363#1 -50033059#4 12175537#0 12175537#2 12175537#3 12175537#4 12175537#5 12175537#6 12175537#7 12175537#8 12175537#9 12175537#10 12175537#11 12175537#12 12155177#1 12155177#2 387422153#1 gneE73 gneE75.0 gneE80.125" probability="0.037037037037037"/&gt;</t>
  </si>
  <si>
    <t>&lt;routeDistribution id="I-76-off-Ramp-from-EB-Southst-Bridge-2008-RouteProbe"&gt;</t>
  </si>
  <si>
    <t>&lt;routeDistribution id="I-76-on-ramp-South-to-WB-2008-RouteProbe"&gt;</t>
  </si>
  <si>
    <t>&lt;routeDistribution id="SOUTHst-Convention-I-76-WB-2008-RouteProbe"&gt;</t>
  </si>
  <si>
    <t xml:space="preserve">    &lt;route id="Router3_24" edges="-gneE80.0 -gneE80.17 -gneE41 gneE44 -388756838#2 -388756838#1 -388756838#0 42706817#0 386547310 gneE69 -388756838#2 -388756838#1 -388756838#0 -388756839#1 -388756839#0 -194358837#2 -194358837#0 194358838#0 194358838#1 32121111#9 32121111#10 -386995486#0 -386995514#9 50033058#2 50033058#3 194358837#0 194358837#1 12175533#0 12175533#2 12175533#3 42706825#4 42706825#5 12189876#0 12189876#2 484953509#0 484953509#2 -12175523#1 12134222#0 12134222#2 12134222#3 386547311#11 386547311#13 357338496#0 357338496#2 450695461#0 62646494#0 424801336#0 484842168#0 283621820 -28555309#1 -424801341 -283621822#1 -424801343#1 -424801343#0 49991658 424801340 424801342 386550018#0 386550018#0-AddedOffRampEdge 386550018#1 49991638 -12144161#0 12144161#0 12144161#1 49991657 283621821#1 283621821#1-AddedOffRampEdge 12122485 49991647#2 63060732#0 63060732#1 63060732#2.0 273888488.10 -12122468#1 -12122468#0 -424081469 -424081473 -424081472 -424987520 -30953029#1 -30953029#0 -424987519 170366765 12173391 12123285#0 170366766 -170366765 170366768 30953029#0 30953029#1 424987520 424081472 424081473 424081470 12122468#0 12122468#1 273888485.0 50033027 -50033029 50033050#0 50033055 63060727 50033029 50033028#0 50033028#3 50033028#5 50033028#6 49991646 386547300#0 283621823 386547301-AddedOnRampEdge 386547301 424801344#0 424801343#1 283621822#0 424801341 28555309#0 49991649#0 424986163#0 51049946#0 424801337#0 357338497#0 357338497#2 450695460#0 62646499#0 62646499#2 450827424#0 62646508#0 62646508#2 424799820 424799823#0 50033059#0 50033059#2 50033059#3 50033059#4 388756839#0 388756839#1 388756838#0 12136923#0 386547309#0 386547309#2 386547309#3 386547309#5 386547309#7 51050030#4 51050030#7 gneE35 -gneE34.0 --gneE83.0" probability="0.333333333333333"/&gt;</t>
  </si>
  <si>
    <t>&lt;routeDistribution id="WALNUTst-44th-38th-WB-2009-RouteProbe"&gt;</t>
  </si>
  <si>
    <t>&lt;routeDistribution id="UniAVE-76ramp-CIVICblvd-2009-RouteProbe"&gt;</t>
  </si>
  <si>
    <t>&lt;routeDistribution id="Archst-front-of-Cira-Center-09-RouteProbe"&gt;</t>
  </si>
  <si>
    <t>&lt;routeDistribution id="MarketST-40th-to-39th-WB-2009-RouteProbe"&gt;</t>
  </si>
  <si>
    <t xml:space="preserve">    &lt;route id="Router3_102" edges="31909473.0 31909473.857 62634019#1-AddedOnRampEdge 62634019#1 62634019#2.0 62634019#2.242 62634019#3-AddedOnRampEdge 62634019#3 62634019#3-AddedOffRampEdge 12111747.0 62203498#0 62093806#0 104526265#0.14 424080766 424080768#0 104523976#1 262962063 424080770#0 -424080761#1 -62623960 62623959#0 386547296#0 386547296#1 424080773#0 104523976#1 262962063 424080770#0 424080772#0 424080772#2 386547297#0 424080771#0 424080767#0 386547298#0 424769177 424080769#0 55179414#0 55179413#0 424769182 -450827405#2 -450827400#2 -450827382 -450827385#1 -450827391#1 -450827381 -450827397#1 12180696#0 59435515#1 59435515#2 59435515#3 59435515#4 424801338#1 12117702#0 12117702#4 12117702#7 -32121146#3 12202008#2.0 12202008#2.171 62646499#2 450827424#0 450827405#0 262962062 -55179413#2 12187610#0 12187610#2 12187610#3 -62105579 12186909#0 12186909#1 12186909#2 12186909#4 12186909#6 386995479#0 12157718#5 12157718#7 485017376 485017373#0 387422135#0 424769003#0 424769003#1 -30953396#1 -30953396#0 -424769006 -424769005 -424769002 -30953391 -43569848 -393884751 12159702 424764853 12149178#0 50189796 50189564 12149178#2 145605533#0 145605533#1-AddedOnRampEdge 145605533#1 145605511#1-AddedOnRampEdge 145605511#12 145605511#1.148" probability="0.0588235294117647"/&gt;</t>
  </si>
  <si>
    <t xml:space="preserve">    &lt;route id="Router3_23" edges="-gneE80.0 -gneE80.17 -gneE41 gneE44 -388756838#2 -388756838#1 -388756838#0 42706817#0 386547310 gneE69 -388756838#2 -388756838#1 -388756838#0 -388756839#1 -388756839#0 -194358837#2 -194358837#0 194358838#0 194358838#1 32121111#9 32121111#10 -386995486#0 -386995514#9 50033058#2 50033058#3 194358837#0 194358837#1 12175533#0 12175533#2 12175533#3 42706825#4 42706825#5 12189876#0 12189876#2 484953509#0 484953509#2 -12175523#1 12134222#0 12134222#2 12134222#3 386547311#11 386547311#13 357338496#0 357338496#2 450695461#0 62646494#0 424801336#0 484842168#0 283621820 -28555309#1 -424801341 -283621822#1 -424801343#1 -424801343#0 49991658 424801340 424801342 386550018#0 386550018#0-AddedOffRampEdge 386550018#1 49991638 -12144161#0 12144161#0 12144161#1 49991657 283621821#1 283621821#1-AddedOffRampEdge 12122485 49991647#2 63060732#0 63060732#1 63060732#2.0 273888488.10 -12122468#1 -12122468#0 -424081469 -424081473 -424081472 -424987520 -30953029#1 -30953029#0 -424987519 170366765 12173391 12123285#0 12123285#1 12123285#2 12176631 424804090#0 424804090#1 12198567#0 12198567#1 12198567#2 12198567#3 12171853#3 12171853#4 12171853#5 12171853#6 132508920#8 132508920#9 132508920#10 132508920#12 132508983#0 132508983#3 132508983#5 132508740#0 132508740#2 -12165829#1 132508646#0 132508646#2 132508646#3 394179820#0 394179820#1 394179820#2 394179820#3 450844975 450844970#0 196355332#0 450844979#0.0 450844982#0.19 62203497#0 62203497#2 62203497#3 12134479#1 34685684#0 34685684#2 388533143#0 388533143#2 12140627#0 63060729#0 -264253834#2 12156992#4 12156992#5 12156992#6 12156992#7 12156992#8 12156992#9 -12114396#5 -12114396#3 -12114396#1 485017383#0 485017382#0 485017382#1 211575484#0 -12177521#3 -12177521#2 -12177521#1 32121111#12 32121111#14 -12187610#5 -12187610#2 -12187610#1 12150608#0 32121146#2 12117702#9 450844953#0 450844953#2 450844953#3 450844947#0 388533142#0 388533142#2 388533142#4 62623926#0 62623926#1 450844950#0 38502259#0.19 450844933#1 196207110#0 196207110#2" probability="0.0588235294117647"/&gt;</t>
  </si>
  <si>
    <t xml:space="preserve">    &lt;route id="Router3_24" edges="-gneE80.0 -gneE80.17 -gneE41 gneE44 -388756838#2 -388756838#1 -388756838#0 42706817#0 386547310 gneE69 -388756838#2 -388756838#1 -388756838#0 -388756839#1 -388756839#0 -194358837#2 -194358837#0 194358838#0 194358838#1 32121111#9 32121111#10 -386995486#0 -386995514#9 50033058#2 50033058#3 194358837#0 194358837#1 12175533#0 12175533#2 12175533#3 42706825#4 42706825#5 12189876#0 12189876#2 484953509#0 484953509#2 -12175523#1 12134222#0 12134222#2 12134222#3 386547311#11 386547311#13 357338496#0 357338496#2 450695461#0 62646494#0 424801336#0 484842168#0 283621820 -28555309#1 -424801341 -283621822#1 -424801343#1 -424801343#0 49991658 424801340 424801342 386550018#0 386550018#0-AddedOffRampEdge 386550018#1 49991638 -12144161#0 12144161#0 12144161#1 49991657 283621821#1 283621821#1-AddedOffRampEdge 12122485 49991647#2 63060732#0 63060732#1 63060732#2.0 273888488.10 -12122468#1 -12122468#0 -424081469 -424081473 -424081472 -424987520 -30953029#1 -30953029#0 -424987519 170366765 12173391 12123285#0 170366766 -170366765 170366768 30953029#0 30953029#1 424987520 424081472 424081473 424081470 12122468#0 12122468#1 273888485.0 50033027 -50033029 50033050#0 50033055 63060727 50033029 50033028#0 50033028#3 50033028#5 50033028#6 49991646 386547300#0 283621823 386547301-AddedOnRampEdge 386547301 424801344#0 424801343#1 283621822#0 424801341 28555309#0 49991649#0 424986163#0 51049946#0 424801337#0 357338497#0 357338497#2 450695460#0 62646499#0 62646499#2 450827424#0 62646508#0 62646508#2 424799820 424799823#0 50033059#0 50033059#2 50033059#3 50033059#4 388756839#0 388756839#1 388756838#0 12136923#0 386547309#0 386547309#2 386547309#3 386547309#5 386547309#7 51050030#4 51050030#7 gneE35 -gneE34.0 --gneE83.0" probability="0.0588235294117647"/&gt;</t>
  </si>
  <si>
    <t>&lt;routeDistribution id="Chestnut-40th-39th-EB-2009-RouteProbe"&gt;</t>
  </si>
  <si>
    <t xml:space="preserve">    &lt;route id="Router3_100" edges="31909473.0 31909473.857 62634019#1-AddedOnRampEdge 62634019#1 62634019#2.0 62634019#2.242 62634019#3-AddedOnRampEdge 62634019#3 62634019#3-AddedOffRampEdge 12111747.0 59671945#0.30 62093806#0 104526265#0.14 424080766 424080768#0 104523976#1 262962063 12189051#0 -12189051#1 424080770#0 424080772#0 424080772#2 386547297#0 424080771#0 424080767#0 386547298#0 424769177 424080769#0 55179414#0 12187610#0 -484953508#2 424801339#0 62646509#0 424801338#0 424801338#1 357338496#0 357338487#0 -12134222#6 -12134222#4 -12134222#2 -12134222#1 12175523#0 484953509#4 51050030#0 386547309#9 12180696#0 12180696#2 386547311#6 386547311#8 386547311#9 -12134222#4 -12134222#2 -12134222#1 12175523#0 484953509#4 51050030#0 386547309#9 12180696#0 12180696#2 386547311#6 386547311#8 386547311#9 -12134222#4 -12134222#2 -12134222#1 450827385#0 450827382 450827400#0 62646509#0 424801338#0 424801338#1 12117702#0 12117702#4 12117702#7 -32121146#3 -32121146#1 55179413#0 424769182 -450827405#2 -450827400#2 -450827382 -450827385#1 12134222#0 12134222#2 12134222#3 386547311#11 386547311#13 357338496#0 357338496#2 450695461#0 62646494#0 424801336#0 484842168#0 283621820 -28555309#1 -424801341 -283621822#1 -424801343#1 -424801343#0 49991658 424801340 424801342 386550018#0 386550018#0-AddedOffRampEdge 386550018#1 49991638 -12144161#0 12144161#0 12144161#1 49991657 283621821#1 283621821#1-AddedOffRampEdge 283621821#2 49991647#1 49991647#2 63060732#0 63060732#1 63060732#2.0 63060732#2.116 50033027 -50033029 50033050#0 50033050#2 424799828 424799825 424799826 50033054 63060727 50033029 50033028#0 50033028#3 50033028#5 50033028#6 49991646 386547300#0 283621823 386547301-AddedOnRampEdge 386547301 424801344#0 424801343#1 283621822#0 424801341 28555309#0 49991649#0 424986163#0 51049946#0 424801337#0 357338497#0 357338497#2 450695460#0 62646499#0 62646499#2 450827424#0 62646508#0 62646508#2 424799820 424799823#0 50033059#0 50033059#2 50033059#3 50033059#4 388756839#0 388756839#1 388756838#0 12136923#0 386547309#0 386547309#2 386547309#3 386547309#5 386547309#7 51050030#4 51050030#7 gneE35 -gneE34.0 --gneE83.0" probability="0.333333333333333"/&gt;</t>
  </si>
  <si>
    <t>&lt;routeDistribution id="38th-Spruce-to-Walnut-SB-2009-RouteProbe"&gt;</t>
  </si>
  <si>
    <t>&lt;routeDistribution id="UniAVE-CivicBLVD-to-BaltAVE-NB-09-RouteProbe"&gt;</t>
  </si>
  <si>
    <t xml:space="preserve">    &lt;route id="Router3_23" edges="-gneE80.0 -gneE80.17 -gneE41 gneE44 -388756838#2 -388756838#1 -388756838#0 42706817#0 386547310 gneE69 -388756838#2 -388756838#1 -388756838#0 -388756839#1 -388756839#0 -194358837#2 -194358837#0 194358838#0 194358838#1 32121111#9 32121111#10 -386995486#0 -386995514#9 50033058#2 50033058#3 194358837#0 194358837#1 12175533#0 12175533#2 12175533#3 42706825#4 42706825#5 12189876#0 12189876#2 484953509#0 484953509#2 -12175523#1 12134222#0 12134222#2 12134222#3 386547311#11 386547311#13 357338496#0 357338496#2 450695461#0 62646494#0 424801336#0 484842168#0 283621820 -28555309#1 -424801341 -283621822#1 -424801343#1 -424801343#0 49991658 424801340 424801342 386550018#0 386550018#0-AddedOffRampEdge 386550018#1 49991638 -12144161#0 12144161#0 12144161#1 49991657 283621821#1 283621821#1-AddedOffRampEdge 12122485 49991647#2 63060732#0 63060732#1 63060732#2.0 273888488.10 -12122468#1 -12122468#0 -424081469 -424081473 -424081472 -424987520 -30953029#1 -30953029#0 -424987519 170366765 12173391 12123285#0 12123285#1 12123285#2 12176631 424804090#0 424804090#1 12198567#0 12198567#1 12198567#2 12198567#3 12171853#3 12171853#4 12171853#5 12171853#6 132508920#8 132508920#9 132508920#10 132508920#12 132508983#0 132508983#3 132508983#5 132508740#0 132508740#2 -12165829#1 132508646#0 132508646#2 132508646#3 394179820#0 394179820#1 394179820#2 394179820#3 450844975 450844970#0 196355332#0 450844979#0.0 450844982#0.19 62203497#0 62203497#2 62203497#3 12134479#1 34685684#0 34685684#2 388533143#0 388533143#2 12140627#0 63060729#0 -264253834#2 12156992#4 12156992#5 12156992#6 12156992#7 12156992#8 12156992#9 -12114396#5 -12114396#3 -12114396#1 485017383#0 485017382#0 485017382#1 211575484#0 -12177521#3 -12177521#2 -12177521#1 32121111#12 32121111#14 -12187610#5 -12187610#2 -12187610#1 12150608#0 32121146#2 12117702#9 450844953#0 450844953#2 450844953#3 450844947#0 388533142#0 388533142#2 388533142#4 62623926#0 62623926#1 450844950#0 38502259#0.19 450844933#1 196207110#0 196207110#2" probability="0.0769230769230769"/&gt;</t>
  </si>
  <si>
    <t>&lt;routeDistribution id="GRAYS-Chirstina-to-Bainbr-WB-09-RouteProbe"&gt;</t>
  </si>
  <si>
    <t>&lt;routeDistribution id="23rd-Wal-to-Chesnut-SB-2009-RouteProbe"&gt;</t>
  </si>
  <si>
    <t xml:space="preserve">    &lt;route id="Router3_48" edges="196393940#0 62203285#0 62203285#2 62203285#3 62203285#5 42706664#7 42706664#8 12186741#4 12186741#5 12142723#0 12142723#3 12142723#4 12187745 32118649#2 32118649#3 -43538931#1 -43538931#0 196207115#3 196355332#0 450844979#0.0 450844982#0.19 62203497#0 62203497#2 62203497#3 12134479#1 34685684#0 34685684#2 450844947#0 388533142#0 388533142#2 388533142#4 62623926#0 62623926#1 450844950#0 12189453#0.0.0 450844982#0.19 62203497#0 62203497#2 62203497#3 12134479#1 34685684#0 34685684#2 388533143#0 388533143#2 12140627#0 63060729#0 -264253834#2 12156992#4 12156992#5 12156992#6 12156992#7 12156992#8 12156992#9 484953505 12148522#0 485017381#0 485017381#1 -30953396#1 -30953396#0 -424769006 -424769005 -424769002 -30953391 -43569848 -393884751 12159702 424764853 12149178#0 50189796 50189564 12149178#2 145605533#0 145605533#1-AddedOnRampEdge 145605533#1 145605511#1-AddedOnRampEdge 145605511#12 145605511#1.148" probability="0.0714285714285714"/&gt;</t>
  </si>
  <si>
    <t xml:space="preserve">    &lt;route id="Router3_49" edges="196393940#0 62203285#0 62203285#2 62203285#3 62203285#5 42706664#7 42706664#8 12186741#4 12186741#5 196207112#0 32122059#1 424080774 262962068#0.0 104526265#0.14 424080766 424080768#0 104523976#1 262962063 12189051#0 -12189051#1 424080770#0 424080772#0 12119506#0 -12156992#1 -386547297#1 -424080772#2 -424080772#1 -424080761#1 -62623960 62623959#0 386547296#0 386547296#1 424080773#0 279870839#0 279870839#2 450844960#0 62623926#1 450844950#0 38502259#0.19 450844933#1 196207115#0 196207115#2 196207115#3 196355332#0 450844979#0.0 450844982#0.19 62203497#0 62203497#2 62203497#3 12134479#1 34685684#0 34685684#2 388533143#0 388533143#2 12140627#0 63060729#0 -264253834#2 12156992#4 12156992#5 12156992#6 12156992#7 12156992#8 12156992#9 -12114396#5 -12114396#3 -12114396#1 485017383#0 485017382#0 485017382#1 211575484#0 -12177521#3 -12177521#2 -12177521#1 32121111#12 32121111#14 -12187610#5 -12187610#2 -12187610#1 12150608#0 32121146#2 12117702#9 450844953#0 450844953#2 450844953#3 450844947#0 388533142#0 388533142#2 388533142#4 62623926#0 62623926#1 450844950#0 38502259#0.19 450844933#1 196207110#0 196207110#2" probability="0.0714285714285714"/&gt;</t>
  </si>
  <si>
    <t xml:space="preserve">    &lt;route id="Router3_56" edges="196393940#0 62203285#0 62203285#2 62203285#3 62203285#5 62203285#6 62203285#7 62203286#0 -12142298#1 -12142298#0 42706664#8 12186741#4 12186741#5 12142723#0 12142723#3 12142723#4 12187745 32118649#2 32118649#3 -43538931#1 -43538931#0 196207115#3 196355332#0 450844979#0.0 450844982#0.19 62203497#0 62203497#2 62203497#3 12134479#1 34685684#0 34685684#2 388533143#0 388533143#2 12140627#0 63060729#0 -264253834#2 12156992#4 12156992#5 12156992#6 12156992#7 12156992#8 12156992#9 -12114396#5 -12114396#3 -12114396#1 485017383#0 485017382#0 485017382#1 211575484#0 -12177521#3 -12177521#2 -12177521#1 32121111#12 32121111#14 -12187610#5 -12187610#2 -12187610#1 12150608#0 32121146#2 12117702#9 450844953#0 450844953#2 450844953#3 450844947#0 388533142#0 388533142#2 388533142#4 62623926#0 62623926#1 450844950#0 38502259#0.19 450844933#1 196207110#0 196207110#2" probability="0.0714285714285714"/&gt;</t>
  </si>
  <si>
    <t xml:space="preserve">    &lt;route id="Router3_65" edges="31909473.0 31909473.857 62634019#1-AddedOnRampEdge 62634019#1 30953036 424081476 -424987520 -30953029#1 -30953029#0 -424987519 12169718#0 12169718#1 424804090#0 424804090#1 424804090#2 424804090#3 424804090#4 132508920#2 132508920#3 132508920#4 132508920#5 424080762#0 424080762#1 424080762#2 424080762#3 424080762#4 424080762#5 179915585#2 12171853#2 12198567#4 12198567#5 12152219#0 12152219#1 12152236 132508920#12 132508897#0 132508897#1 132508897#2 132508897#3 394179820#0 394179820#1 394179820#2 394179820#3 394179820#4 196355327#1 196355327#2 196355327#5 196393940#1 196207112#0 32122059#1 424080774 262962068#0.0 104526265#0.14 424080766 424080768#0 104523976#1 262962063 12189051#0 -12189051#1 424080770#0 424080772#0 12119506#0 -12156992#1 -386547297#1 -424080772#2 -424080772#1 -424080761#1 -62623960 62623959#0 386547296#0 386547296#1 424080773#0 279870839#0 279870839#2 450844960#0 62623926#1 450844950#0 38502259#0.19 450844933#1 196207115#0 196207115#2 196207115#3 196355332#0 450844979#0.0 450844982#0.19 62203497#0 62203497#2 62203497#3 12134479#1 34685684#0 34685684#2 388533143#0 388533143#2 12140627#0 63060729#0 -264253834#2 12156992#4 12156992#5 12156992#6 12156992#7 12156992#8 12156992#9 -12114396#5 -12114396#3 -12114396#1 485017383#0 485017382#0 485017382#1 211575484#0 -12177521#3 -12177521#2 -12177521#1 32121111#12 32121111#14 -12187610#5 -12187610#2 -12187610#1 12150608#0 32121146#2 12117702#9 450844953#0 450844953#2 450844953#3 450844947#0 388533142#0 388533142#2 388533142#4 62623926#0 62623926#1 450844950#0 38502259#0.19 450844933#1 196207110#0 196355327#2 196355327#5 -196393940#0" probability="0.0714285714285714"/&gt;</t>
  </si>
  <si>
    <t xml:space="preserve">    &lt;route id="Router3_91" edges="31909473.0 31909473.857 62634019#1-AddedOnRampEdge 62634019#1 62634019#2.0 62634019#2.242 62634019#3-AddedOnRampEdge 62634019#3 62634019#3-AddedOffRampEdge 12111747.0 59671945#0.30 62093806#0 104526265#0.14 424080766 424080768#0 104523976#1 262962063 12189051#0 -12189051#1 424080770#0 424080772#0 12119506#0 -12156992#1 -386547297#1 -424080772#2 -424080772#1 -424080761#1 -62623960 62623959#0 386547296#0 386547296#1 424080773#0 279870839#0 279870839#2 450844960#0 62623926#1 450844950#0 38502259#0.19 450844933#1 196207115#0 196207115#2 196207115#3 196355332#0 450844979#0.0 450844982#0.19 62203497#0 62203497#2 62203497#3 12134479#1 34685684#0 34685684#2 388533143#0 388533143#2 12140627#0 63060729#0 -264253834#2 12156992#4 12156992#5 12156992#6 12156992#7 12156992#8 12156992#9 -12114396#5 -12114396#3 -12114396#1 485017383#0 485017382#0 485017382#1 211575484#0 -12177521#3 -12177521#2 -12177521#1 32121111#12 32121111#14 -12187610#5 -12187610#2 -12187610#1 12150608#0 32121146#2 12117702#9 450844953#0 450844953#2 450844953#3 450844947#0 388533142#0 388533142#2 388533142#4 62623926#0 62623926#1 450844950#0 38502259#0.19 450844933#1 196207110#0 196207110#2" probability="0.0714285714285714"/&gt;</t>
  </si>
  <si>
    <t xml:space="preserve">    &lt;route id="Router3_92" edges="31909473.0 31909473.857 62634019#1-AddedOnRampEdge 62634019#1 62634019#2.0 62634019#2.242 62634019#3-AddedOnRampEdge 62634019#3 62634019#3-AddedOffRampEdge 12111747.0 59671945#0.30 62093806#0 104526265#0.14 424080766 424080768#0 104523976#1 262962063 12189051#0 -12189051#1 424080770#0 424080772#0 12119506#0 -12156992#1 -386547297#1 -424080772#2 -424080772#1 -424080761#1 -62623960 62623959#0 386547296#0 386547296#1 424080773#0 279870839#0 279870839#2 450844960#0 62623926#1 450844950#0 38502259#0.19 450844933#1 196207115#0 196207115#2 196207115#3 196355332#0 450844979#0.0 450844982#0.19 62203497#0 62203497#2 62203497#3 12134479#1 34685684#0 34685684#2 388533143#0 388533143#2 12140627#0 63060729#0 -264253834#2 12156992#4 12156992#5 12156992#6 12156992#7 12156992#8 12156992#9 -12114396#5 -12114396#3 -12114396#1 485017383#0 485017382#0 485017382#1 211575484#0 -12177521#3 -12177521#2 -12177521#1 32121111#12 32121111#14 -12187610#5 -12187610#2 -12187610#1 12150608#0 32121146#2 12117702#9 450844953#0 450844953#2 450844953#3 450844947#0 388533142#0 388533142#2 388533142#4 62623926#0 62623926#1 450844950#0 38502259#0.19 450844933#1 196207110#0 196355327#2 196355327#5 -196393940#0" probability="0.0714285714285714"/&gt;</t>
  </si>
  <si>
    <t xml:space="preserve">    &lt;route id="Router3_93" edges="31909473.0 31909473.857 62634019#1-AddedOnRampEdge 62634019#1 62634019#2.0 62634019#2.242 62634019#3-AddedOnRampEdge 62634019#3 62634019#3-AddedOffRampEdge 12111747.0 59671945#0.30 62093806#0 104526265#0.14 424080766 424080768#0 104523976#1 262962063 12189051#0 -12189051#1 424080770#0 424080772#0 12119506#0 -12156992#1 -386547297#1 -424080772#2 -424080772#1 -424080761#1 -62623960 62623959#0 386547296#0 386547296#1 424080773#0 279870839#0 279870839#2 450844960#0 62623926#1 450844950#0 38502259#0.19 450844933#1 196207115#0 196207115#2 196207115#3 196355332#0 450844979#0.0 450844982#0.19 62203497#0 62203497#2 62203497#3 12134479#1 34685684#0 34685684#2 388533143#0 388533143#2 12140627#0 63060729#0 -264253834#2 12156992#4 12156992#5 12156992#6 12156992#7 12156992#8 12156992#9 484953505 12148522#0 -12186058#4 -12186058#1 -386995465#1 -386995504#1 386995479#0 12157718#5 12157718#7 485017376 485017373#0 387422135#0 424769003#0 424769003#1 -30953396#1 -30953396#0 -424769006 -424769005 -424769002 -30953391 -43569848 -393884751 12159702 424764853 12149178#0 50189796 50189564 12149178#2 145605533#0 145605533#1-AddedOnRampEdge 145605533#1 145605511#1-AddedOnRampEdge 145605511#12 145605511#1.148" probability="0.0714285714285714"/&gt;</t>
  </si>
  <si>
    <t xml:space="preserve">    &lt;route id="Router3_94" edges="31909473.0 31909473.857 62634019#1-AddedOnRampEdge 62634019#1 62634019#2.0 62634019#2.242 62634019#3-AddedOnRampEdge 62634019#3 62634019#3-AddedOffRampEdge 12111747.0 59671945#0.30 62093806#0 104526265#0.14 424080766 424080768#0 104523976#1 262962063 12189051#0 -12189051#1 424080770#0 424080772#0 12119506#0 -12156992#1 -386547297#1 -424080772#2 -424080772#1 -424080761#1 -62623960 62623959#0 386547296#0 386547296#1 424080773#0 279870839#0 279870839#2 450844960#0 62623926#1 450844950#0 38502259#0.19 450844933#1 196207115#0 196207115#2 196207115#3 196355332#0 450844979#0.0 450844982#0.19 62203497#0 62203497#2 62203497#3 12134479#1 34685684#0 34685684#2 388533143#0 388533143#2 12140627#0 63060729#0 -264253834#2 12156992#4 12156992#5 12156992#6 12156992#7 12156992#8 12156992#9 484953505 12148522#0 485017381#0 485017381#1 -30953396#1 30953396#1 -424769003#1 -424769003#0 12157002#0 12157002#1 12157002#3 12157002#5 12114396#4 -12156992#10 -12156992#8 -12156992#7 -12156992#6 -12156992#5 -12156992#4 -12156992#3 -12156992#2 -12156992#1 -386547297#1 -424080772#2 -424080772#1 -262962065#1 -262962063 -424080764 -424080768#1 -424080766 -104526265#1 -262962068#1 -424080774 -32122059#1 -32122059#0 -196393940#2 -196393940#0" probability="0.0714285714285714"/&gt;</t>
  </si>
  <si>
    <t xml:space="preserve">    &lt;route id="Router3_95" edges="31909473.0 31909473.857 62634019#1-AddedOnRampEdge 62634019#1 62634019#2.0 62634019#2.242 62634019#3-AddedOnRampEdge 62634019#3 62634019#3-AddedOffRampEdge 12111747.0 59671945#0.30 62093806#0 104526265#0.14 424080766 424080768#0 104523976#1 262962063 12189051#0 -12189051#1 424080770#0 424080772#0 12119506#0 -12156992#1 -386547297#1 -424080772#2 -424080772#1 -424080761#1 -62623960 62623959#0 386547296#0 386547296#1 424080773#0 279870839#0 279870839#2 450844960#0 62623926#1 450844950#0 38502259#0.19 450844933#1 196207115#0 196207115#2 196207115#3 196355332#0 450844979#0.0 450844982#0.19 62203497#0 62203497#2 62203497#3 12134479#1 34685684#0 34685684#2 388533143#0 388533143#2 12140627#0 63060729#0 -264253834#2 12156992#4 12156992#5 12156992#6 12156992#7 12156992#8 12156992#9 484953505 12148522#0 485017381#0 485017381#1 -30953396#1 30953396#1 -424769003#1 -424769003#0 12157002#0 12157002#1 12157002#3 12157002#5 12114396#4 -12156992#10 -12156992#8 -12156992#7 -12156992#6 -12156992#5 -12156992#4 -12156992#3 -12156992#2 -12156992#1 -386547297#1 -424080772#2 -424080772#1 -262962065#1 -262962063 -424080764 -424080768#1 -424080766 -104526265#1 30953497#0 30953497#2 30953497#3 42706585#0 42706585#1 30953320 30953320-AddedOffRampEdge 104526277 30953215#1-AddedOnRampEdge 30953215#1 121643865#0 12110705 50715233#0 50715233#0-AddedOffRampEdge 50715233#1.0 62203285#14.24 gneE59.30.0.55 gneE59.30.0.0 43539373#0.0.292.17 gneE58 gneE56 gneE54.0 gneE62.13 gneE81.0 gneE6.0 424765883 43539378#0.15 43539378#1 -393884751 12159702 424764853 12149178#0 50189796 50189564 12149178#2 145605533#0 145605533#1-AddedOnRampEdge 145605533#1 145605511#1-AddedOnRampEdge 145605511#12 145605511#1.148" probability="0.0714285714285714"/&gt;</t>
  </si>
  <si>
    <t xml:space="preserve">    &lt;route id="Router3_96" edges="31909473.0 31909473.857 62634019#1-AddedOnRampEdge 62634019#1 62634019#2.0 62634019#2.242 62634019#3-AddedOnRampEdge 62634019#3 62634019#3-AddedOffRampEdge 12111747.0 59671945#0.30 62093806#0 104526265#0.14 424080766 424080768#0 104523976#1 262962063 12189051#0 -12189051#1 424080770#0 424080772#0 12119506#0 -12156992#1 -386547297#1 -424080772#2 -424080772#1 -424080761#1 -62623960 62623959#0 386547296#0 386547296#1 424080773#0 279870839#0 279870839#2 450844960#0 62623926#1 450844950#0 38502259#0.19 450844933#1 196207115#0 196207115#2 196207115#3 196355332#0 450844979#0.0 450844982#0.19 62203497#0 62203497#2 62203497#3 12134479#1 34685684#0 34685684#2 388533143#0 388533143#2 12140627#0 63060729#0 -264253834#2 12156992#4 12156992#5 12156992#6 12156992#7 12156992#8 12156992#9 484953505 12148522#0 485017381#0 485017381#1 -30953396#1 30953396#1 -424769003#1 -424769003#0 12157002#0 12157002#1 12186058#2 485017381#0 -12157718#12 -12157718#10 -12157718#9 -12157718#8 -12157718#6 386995479#1 386995479#2 386995479#3 386995479#4 386995479#5 386995479#6 386995490#0.0 12154359#1.20 12154359#2 -386995521#1 -386995521#0 43357814#0 43357814#1 42706837#4 42706837#5 12154359#5 12154359#6 386995531#1 386995531#2 386995531#3 386995531#4 12172918#2 gneE73 gneE75.0 gneE80.125" probability="0.0714285714285714"/&gt;</t>
  </si>
  <si>
    <t xml:space="preserve">    &lt;route id="Router3_44" edges="195815883#2 195815883#3 450844975 450844970#0 196355332#0 450844979#0.0 12114109#0.45.0 38502259#0.19 450844933#1 196207115#0 196207115#2 43538931#0 43538931#1 32118649#4 32118649#5 32118649#6 132508646#0 132508646#2 132508646#3 196355310#0 196355310#1 12150213#8 12150213#9 12150213#10 12150213#11 173543402#8 173543402#9 132508983#0 132508983#3 132508734#3 132508734#4 132508734#5 132508734#6 132508734#7 132508734#8 132508734#9 193223837#3 12142729#6 12142729#7 196355307#1 196393937 -132508530 -310296140#9 -310296140#8 -310296140#7 -310296140#6 -310296140#5 -310296140#4 -310296140#2 -310296140#1 459461788#11 459461788#12 459461788#13 459461788#14 459461788#15 -170366767#4 -170366767#3 -170366767#2 -170366767#0 -12173391 -170366765 170366768 30953029#0 30953029#1 424987520 424081472 424081473 424081470 12122468#0 12122468#1 273888485.0 50033027 -50033029 50033050#0 50033055 63060727 50033029 50033028#0 50033028#3 50033028#5 50033028#6 49991646 386547300#0 283621823 386547301-AddedOnRampEdge 386547301 424801344#0 424801343#1 283621822#0 424801341 28555309#0 49991649#0 424986163#0 51049946#0 424801337#0 357338497#0 357338497#2 450695460#0 62646499#0 62646499#2 450827424#0 62646508#0 62646508#2 424799820 424799823#0 50033059#0 50033059#2 50033059#3 50033059#4 388756839#0 388756839#1 388756838#0 12136923#0 386547309#0 386547309#2 386547309#3 386547309#5 386547309#7 51050030#4 51050030#7 gneE35 -gneE34.0 --gneE83.0" probability="0.0714285714285714"/&gt;</t>
  </si>
  <si>
    <t>&lt;routeDistribution id="I-676-EB-Exit-Ramp-to-23rd-09-RouteProbe"&gt;</t>
  </si>
  <si>
    <t>&lt;routeDistribution id="33rd-Wal-to-Chest-NB-2009-RouteProbe"&gt;</t>
  </si>
  <si>
    <t xml:space="preserve">    &lt;route id="Router3_42" edges="195815883#2 195815883#3 450844975 450844970#0 196355332#0 450844979#0.0 12114109#0.45.0 38502259#0.19 450844933#1 196207115#0 196207115#2 43538931#0 43538931#1 -43538931#1 -43538931#0 196207115#3 196355332#0 450844979#0.0 450844982#0.19 62203497#0 62203497#2 62203497#3 12134479#1 34685684#0 34685684#2 388533143#0 388533143#2 12140627#0 63060729#0 -264253834#2 12156992#4 12156992#5 12156992#6 12156992#7 12156992#8 12156992#9 -12114396#5 -12114396#3 -12114396#1 485017383#0 485017382#0 485017382#1 211575484#0 -12177521#3 -12177521#2 -12177521#1 32121111#12 32121111#14 -12187610#5 -12187610#2 -12187610#1 12150608#0 32121146#2 12117702#9 450844953#0 450844953#2 450844953#3 450844947#0 388533142#0 388533142#2 388533142#4 62623926#0 62623926#1 450844950#0 38502259#0.19 450844933#1 196207110#0 196207110#2" probability="0.03125"/&gt;</t>
  </si>
  <si>
    <t xml:space="preserve">    &lt;route id="Router3_43" edges="195815883#2 195815883#3 450844975 450844970#0 196355332#0 450844979#0.0 12114109#0.45.0 38502259#0.19 450844933#1 196207115#0 196207115#2 43538931#0 43538931#1 -43538931#1 -43538931#0 196207115#3 196355332#0 450844979#0.0 450844982#0.19 62203497#0 62203497#2 62203497#3 12134479#1 34685684#0 34685684#2 450844947#0 388533142#0 388533142#2 388533142#4 62623926#0 62623926#1 450844950#0 12189453#0.0.0 450844982#0.19 62203497#0 62203497#2 62203497#3 12134479#1 34685684#0 34685684#2 388533143#0 388533143#2 12140627#0 63060729#0 -264253834#2 12156992#4 12156992#5 12156992#6 12156992#7 12156992#8 12156992#9 484953505 12148522#0 485017381#0 485017381#1 -30953396#1 -30953396#0 -424769006 -424769005 -424769002 -30953391 -43569848 -393884751 12159702 424764853 12149178#0 50189796 50189564 12149178#2 145605533#0 145605533#1-AddedOnRampEdge 145605533#1 145605511#1-AddedOnRampEdge 145605511#12 145605511#1.148" probability="0.03125"/&gt;</t>
  </si>
  <si>
    <t xml:space="preserve">    &lt;route id="Router3_45" edges="196393940#0 62203285#0 62203285#2 62203285#3 62203285#5 42706664#7 12142298#0 12142298#1 62203286#2 12186741#2 12186741#4 12186741#5 12142723#0 12142723#3 12142723#4 12187745 32118649#2 32118649#3 -43538931#1 -43538931#0 196207115#3 196355332#0 450844979#0.0 450844982#0.19 62203497#0 62203497#2 62203497#3 12134479#1 34685684#0 34685684#2 388533143#0 388533143#2 12140627#0 63060729#0 -264253834#2 12156992#4 12156992#5 12156992#6 12156992#7 12156992#8 12156992#9 -12114396#5 -12114396#3 -12114396#1 485017383#0 485017382#0 485017382#1 211575484#0 -12177521#3 -12177521#2 -12177521#1 32121111#12 32121111#14 -12187610#5 -12187610#2 -12187610#1 12150608#0 32121146#2 12117702#9 450844953#0 450844953#2 450844953#3 450844947#0 388533142#0 388533142#2 388533142#4 62623926#0 62623926#1 450844950#0 38502259#0.19 450844933#1 196207110#0 196207110#2" probability="0.03125"/&gt;</t>
  </si>
  <si>
    <t xml:space="preserve">    &lt;route id="Router3_48" edges="196393940#0 62203285#0 62203285#2 62203285#3 62203285#5 42706664#7 42706664#8 12186741#4 12186741#5 12142723#0 12142723#3 12142723#4 12187745 32118649#2 32118649#3 -43538931#1 -43538931#0 196207115#3 196355332#0 450844979#0.0 450844982#0.19 62203497#0 62203497#2 62203497#3 12134479#1 34685684#0 34685684#2 450844947#0 388533142#0 388533142#2 388533142#4 62623926#0 62623926#1 450844950#0 12189453#0.0.0 450844982#0.19 62203497#0 62203497#2 62203497#3 12134479#1 34685684#0 34685684#2 388533143#0 388533143#2 12140627#0 63060729#0 -264253834#2 12156992#4 12156992#5 12156992#6 12156992#7 12156992#8 12156992#9 484953505 12148522#0 485017381#0 485017381#1 -30953396#1 -30953396#0 -424769006 -424769005 -424769002 -30953391 -43569848 -393884751 12159702 424764853 12149178#0 50189796 50189564 12149178#2 145605533#0 145605533#1-AddedOnRampEdge 145605533#1 145605511#1-AddedOnRampEdge 145605511#12 145605511#1.148" probability="0.03125"/&gt;</t>
  </si>
  <si>
    <t xml:space="preserve">    &lt;route id="Router3_49" edges="196393940#0 62203285#0 62203285#2 62203285#3 62203285#5 42706664#7 42706664#8 12186741#4 12186741#5 196207112#0 32122059#1 424080774 262962068#0.0 104526265#0.14 424080766 424080768#0 104523976#1 262962063 12189051#0 -12189051#1 424080770#0 424080772#0 12119506#0 -12156992#1 -386547297#1 -424080772#2 -424080772#1 -424080761#1 -62623960 62623959#0 386547296#0 386547296#1 424080773#0 279870839#0 279870839#2 450844960#0 62623926#1 450844950#0 38502259#0.19 450844933#1 196207115#0 196207115#2 196207115#3 196355332#0 450844979#0.0 450844982#0.19 62203497#0 62203497#2 62203497#3 12134479#1 34685684#0 34685684#2 388533143#0 388533143#2 12140627#0 63060729#0 -264253834#2 12156992#4 12156992#5 12156992#6 12156992#7 12156992#8 12156992#9 -12114396#5 -12114396#3 -12114396#1 485017383#0 485017382#0 485017382#1 211575484#0 -12177521#3 -12177521#2 -12177521#1 32121111#12 32121111#14 -12187610#5 -12187610#2 -12187610#1 12150608#0 32121146#2 12117702#9 450844953#0 450844953#2 450844953#3 450844947#0 388533142#0 388533142#2 388533142#4 62623926#0 62623926#1 450844950#0 38502259#0.19 450844933#1 196207110#0 196207110#2" probability="0.03125"/&gt;</t>
  </si>
  <si>
    <t xml:space="preserve">    &lt;route id="Router3_56" edges="196393940#0 62203285#0 62203285#2 62203285#3 62203285#5 62203285#6 62203285#7 62203286#0 -12142298#1 -12142298#0 42706664#8 12186741#4 12186741#5 12142723#0 12142723#3 12142723#4 12187745 32118649#2 32118649#3 -43538931#1 -43538931#0 196207115#3 196355332#0 450844979#0.0 450844982#0.19 62203497#0 62203497#2 62203497#3 12134479#1 34685684#0 34685684#2 388533143#0 388533143#2 12140627#0 63060729#0 -264253834#2 12156992#4 12156992#5 12156992#6 12156992#7 12156992#8 12156992#9 -12114396#5 -12114396#3 -12114396#1 485017383#0 485017382#0 485017382#1 211575484#0 -12177521#3 -12177521#2 -12177521#1 32121111#12 32121111#14 -12187610#5 -12187610#2 -12187610#1 12150608#0 32121146#2 12117702#9 450844953#0 450844953#2 450844953#3 450844947#0 388533142#0 388533142#2 388533142#4 62623926#0 62623926#1 450844950#0 38502259#0.19 450844933#1 196207110#0 196207110#2" probability="0.03125"/&gt;</t>
  </si>
  <si>
    <t xml:space="preserve">    &lt;route id="Router3_65" edges="31909473.0 31909473.857 62634019#1-AddedOnRampEdge 62634019#1 30953036 424081476 -424987520 -30953029#1 -30953029#0 -424987519 12169718#0 12169718#1 424804090#0 424804090#1 424804090#2 424804090#3 424804090#4 132508920#2 132508920#3 132508920#4 132508920#5 424080762#0 424080762#1 424080762#2 424080762#3 424080762#4 424080762#5 179915585#2 12171853#2 12198567#4 12198567#5 12152219#0 12152219#1 12152236 132508920#12 132508897#0 132508897#1 132508897#2 132508897#3 394179820#0 394179820#1 394179820#2 394179820#3 394179820#4 196355327#1 196355327#2 196355327#5 196393940#1 196207112#0 32122059#1 424080774 262962068#0.0 104526265#0.14 424080766 424080768#0 104523976#1 262962063 12189051#0 -12189051#1 424080770#0 424080772#0 12119506#0 -12156992#1 -386547297#1 -424080772#2 -424080772#1 -424080761#1 -62623960 62623959#0 386547296#0 386547296#1 424080773#0 279870839#0 279870839#2 450844960#0 62623926#1 450844950#0 38502259#0.19 450844933#1 196207115#0 196207115#2 196207115#3 196355332#0 450844979#0.0 450844982#0.19 62203497#0 62203497#2 62203497#3 12134479#1 34685684#0 34685684#2 388533143#0 388533143#2 12140627#0 63060729#0 -264253834#2 12156992#4 12156992#5 12156992#6 12156992#7 12156992#8 12156992#9 -12114396#5 -12114396#3 -12114396#1 485017383#0 485017382#0 485017382#1 211575484#0 -12177521#3 -12177521#2 -12177521#1 32121111#12 32121111#14 -12187610#5 -12187610#2 -12187610#1 12150608#0 32121146#2 12117702#9 450844953#0 450844953#2 450844953#3 450844947#0 388533142#0 388533142#2 388533142#4 62623926#0 62623926#1 450844950#0 38502259#0.19 450844933#1 196207110#0 196355327#2 196355327#5 -196393940#0" probability="0.03125"/&gt;</t>
  </si>
  <si>
    <t xml:space="preserve">    &lt;route id="Router3_77" edges="31909473.0 31909473.857 62634019#1-AddedOnRampEdge 62634019#1 62634019#2.0 62634019#2.242 62634019#3-AddedOnRampEdge 62634019#3 62634019#3-AddedOffRampEdge 12111747.0 12189453#0.0.0 450844982#0.19 62203497#0 62203497#2 62203497#3 12134479#1 34685684#0 34685684#2 450844947#0 388533142#0 388533142#2 12189045#0 62623987#0 62623987#1 -12142631 12202018 62623986#1 62623986#2 -12189051#1 424080770#0 424080772#0 424080772#2 386547297#0 424080771#0 424080767#0 386547298#0 424769177 424080769#0 55179414#0 12187610#0 -484953508#2 424801339#0 62646509#0 424801338#0 424801338#1 12117702#0 12117702#4 12117702#7 -32121146#3 -32121146#1 55179413#0 424769182 -450827405#2 -450827400#2 -450827382 -450827385#1 12134222#0 12134222#2 12134222#3 386547311#11 386547311#13 357338496#0 357338496#2 450695461#0 62646494#0 424801336#0 484842168#0 283621820 -28555309#1 -424801341 -283621822#1 -424801343#1 -424801343#0 49991658 424801340 424801342 386550018#0 386550018#0-AddedOffRampEdge 386550018#1 49991638 -12144161#0 12144161#0 12144161#1 49991657 283621821#1 283621821#1-AddedOffRampEdge 283621821#2 49991647#1 49991647#2 63060732#0 63060732#1 63060732#2.0 63060732#2.116 50033027 -50033029 50033050#0 50033050#2 424799828 424799825 424799826 50033054 63060727 50033029 50033028#0 50033028#3 50033028#5 50033028#6 49991646 386547300#0 283621823 386547301-AddedOnRampEdge 386547301 424801344#0 424801343#1 283621822#0 424801341 28555309#0 49991649#0 424986163#0 51049946#0 424801337#0 357338497#0 357338497#2 450695460#0 62646499#0 62646499#2 450827424#0 62646508#0 62646508#2 424799820 424799823#0 50033059#0 50033059#2 50033059#3 50033059#4 388756839#0 388756839#1 388756838#0 12136923#0 386547309#0 386547309#2 386547309#3 386547309#5 386547309#7 51050030#4 51050030#7 gneE35 -gneE34.0 --gneE83.0" probability="0.03125"/&gt;</t>
  </si>
  <si>
    <t xml:space="preserve">    &lt;route id="Router3_78" edges="31909473.0 31909473.857 62634019#1-AddedOnRampEdge 62634019#1 62634019#2.0 62634019#2.242 62634019#3-AddedOnRampEdge 62634019#3 62634019#3-AddedOffRampEdge 12111747.0 12189453#0.0.0 450844982#0.19 62203497#0 62203497#2 62203497#3 12134479#1 34685684#0 34685684#2 450844947#0 388533142#0 388533142#2 12189045#0 62623987#0 62623987#1 -12142631 12202018 62623986#1 62623986#2 -12189051#1 424080770#0 424080772#0 424080772#2 386547297#0 424080771#0 424080767#0 386547298#0 424769177 424080769#0 55179414#0 12187610#0 -484953508#2 424801339#0 62646509#0 424801338#0 424801338#1 12117702#0 12117702#4 12117702#7 -32121146#3 -32121146#1 55179413#0 424769182 -450827405#2 -450827400#2 -450827382 -450827385#1 12134222#0 12134222#2 12134222#3 386547311#11 386547311#13 357338496#0 357338496#2 450695461#0 62646494#0 424801336#0 484842168#0 283621820 -28555309#1 -424801341 -283621822#1 -424801343#1 -424801343#0 49991658 424801340 424801342 386550018#0 386550018#0-AddedOffRampEdge 386550018#1 49991638 -12144161#0 12144161#0 12144161#1 49991657 283621821#1 283621821#1-AddedOffRampEdge 283621821#2 49991647#1 49991647#2 63060732#0 63060732#1 63060732#2.0 63060732#2.116 50033027 -50033029 50033050#0 50033050#2 424799828 424799825 424799826 50033054 63060727 50033029 50033028#0 50033028#3 50033028#5 50033028#6 49991646 386547300#0 283621823 386547301-AddedOnRampEdge 386547301 424801344#0 424801343#1 283621822#0 424801341 28555309#0 49991649#0 424986163#0 51049946#0 424801337#0 357338497#0 357338497#2 450695460#0 62646499#0 62646499#2 450827424#0 62646508#0 62646508#2 424799820 424799823#0 50033059#0 50033059#2 50033059#3 50033059#4 388756839#0 388756839#1 388756838#0 12136923#0 386547309#0 386547309#2 386547309#3 386547309#5 484953510#2 42706825#0 42706825#2 42706825#4 42706825#5 424799823#0 42706833#0 42706833#2 -42706825#7 12199713#0 12199713#1 -386995514#6 -386995514#5 -386995514#4 -386995514#3 -386995514#2 -386995514#1 12159500#1 12159500#2 51050030#7 gneE35 -gneE34.0 --gneE83.0" probability="0.03125"/&gt;</t>
  </si>
  <si>
    <t xml:space="preserve">    &lt;route id="Router3_79" edges="31909473.0 31909473.857 62634019#1-AddedOnRampEdge 62634019#1 62634019#2.0 62634019#2.242 62634019#3-AddedOnRampEdge 62634019#3 62634019#3-AddedOffRampEdge 12111747.0 12189453#0.0.0 450844982#0.19 62203497#0 62203497#2 62203497#3 12134479#1 34685684#0 34685684#2 450844947#0 388533142#0 388533142#2 12189045#0 62623987#0 62623987#1 -12142631 12202018 62623986#1 62623986#2 -12189051#1 424080770#0 424080772#0 424080772#2 386547297#0 424080771#0 424080767#0 386547298#0 424769177 424080769#0 55179414#0 12187610#0 -484953508#2 424801339#0 62646509#0 424801338#0 424801338#1 12117702#0 12117702#4 12117702#7 -32121146#3 -32121146#1 55179413#0 424769182 -450827405#2 -450827400#2 -450827382 -450827385#1 12134222#0 12134222#2 12134222#3 386547311#11 386547311#13 357338496#0 357338496#2 450695461#0 62646494#0 424801336#0 484842168#0 283621820 -28555309#1 -424801341 -283621822#1 -424801343#1 -424801343#0 49991658 424801340 424801342 386550018#0 386550018#0-AddedOffRampEdge 386550018#1 49991638 -12144161#0 12144161#0 12144161#1 49991657 283621821#1 283621821#1-AddedOffRampEdge 283621821#2 49991647#1 49991647#2 63060732#0 63060732#1 63060732#2.0 63060732#2.116 50033027 -50033029 50033050#0 50033050#2 424799828 424799825 424799826 50033054 63060727 50033029 50033028#0 50033028#3 50033028#5 50033028#6 49991646 386547300#0 283621823 386547301-AddedOnRampEdge 386547301 424801344#0 424801343#1 283621822#0 424801341 28555309#0 49991649#0 424986163#0 51049946#0 424801337#0 357338497#0 357338497#2 450695460#0 62646499#0 62646499#2 450827424#0 62646508#0 62646508#2 424799820 424799823#0 50033059#0 50033059#2 50033059#3 50033059#4 388756839#0 388756839#1 388756838#0 12136923#0 386547309#0 386547309#2 386547309#3 386547309#5 484953510#2 42706825#0 42706825#2 42706825#4 42706825#5 424799823#0 42706833#0 42706833#2 12189876#0 12189876#2 484953508#1 60185970#0 60185970#2 12149571#1 12187610#3 50033558#2 50033558#3 50033558#4 50033558#6 50033058#0 386995514#9 386995486#0 32121111#11 -12177521#0 -121319040#0 -51155368#5 -50033558#5 -50033558#3 -12188656 -121319046 -42706825#7 -42706825#4 -42706825#3 -42706825#1 194358815 194358817#0 194358817#1 194358817#2 12114363#0 12114363#1 -50033059#4 12175537#0 12175537#2 485017371#0 484953507#1 12182281#8 12182281#9 12167232#0 12167232#1 12167232#2 12152013#4 51050425#4 386995537 386995551 387422150#0 387422150#1 386995531#3 386995531#4 12172918#2 gneE73 gneE75.0 gneE80.125" probability="0.03125"/&gt;</t>
  </si>
  <si>
    <t xml:space="preserve">    &lt;route id="Router3_80" edges="31909473.0 31909473.857 62634019#1-AddedOnRampEdge 62634019#1 62634019#2.0 62634019#2.242 62634019#3-AddedOnRampEdge 62634019#3 62634019#3-AddedOffRampEdge 12111747.0 12189453#0.0.0 450844982#0.19 62203497#0 62203497#2 62203497#3 12134479#1 34685684#0 34685684#2 450844947#0 388533142#0 388533142#2 12189045#0 62623987#0 62623987#1 -12142631 12202018 62623986#1 62623986#2 -12189051#1 424080770#0 424080772#0 424080772#2 386547297#0 424080771#0 424080767#0 386547298#0 424769177 424080769#0 55179414#0 12187610#0 60185970#0 60185970#2 12149571#1 12187610#3 50033558#2 -12188656 -121319046 -42706825#7 12199713#0 12199713#1 -386995514#6 -386995514#5 -386995514#4 -386995514#3 194358817#0 194358817#1 194358817#2 12114363#0 12114363#1 -50033059#4 12175537#0 12175537#2 12175537#3 12175537#4 12175537#5 12175537#6 12175537#7 12175537#8 12175537#9 12175537#10 12175537#11 12175537#12 12155177#1 12155177#2 387422153#1 gneE73 gneE75.0 gneE80.125" probability="0.03125"/&gt;</t>
  </si>
  <si>
    <t xml:space="preserve">    &lt;route id="Router3_81" edges="31909473.0 31909473.857 62634019#1-AddedOnRampEdge 62634019#1 62634019#2.0 62634019#2.242 62634019#3-AddedOnRampEdge 62634019#3 62634019#3-AddedOffRampEdge 12111747.0 12189453#0.0.0 450844982#0.19 62203497#0 62203497#2 62203497#3 12134479#1 34685684#0 34685684#2 450844947#0 388533142#0 388533142#2 12189045#0 62623987#0 62623987#1 -12142631 12202018 62623986#1 62623986#2 -12189051#1 424080770#0 424080772#0 424080772#2 386547297#0 424080771#0 424080767#0 386547298#0 424769177 424080769#0 55179414#0 12187610#0 60185970#0 60185970#2 12149571#1 12187610#3 50033558#2 50033558#3 50033558#4 50033558#6 50033058#0 386995514#9 386995486#0 32121111#11 -12177521#0 -121319040#0 -51155368#5 -50033558#5 -50033558#3 -12188656 -121319046 -42706825#7 -42706825#4 -42706825#3 -42706825#1 194358815 194358817#0 194358817#1 194358817#2 12114363#0 12114363#1 -50033059#4 12175537#0 12175537#2 485017371#0 484953507#1 12182281#8 12182281#9 12167232#0 12167232#1 12167232#2 12152013#4 51050425#4 386995537 386995551 387422150#0 387422150#1 386995531#3 386995531#4 12172918#2 gneE73 gneE75.0 gneE80.125" probability="0.03125"/&gt;</t>
  </si>
  <si>
    <t xml:space="preserve">    &lt;route id="Router3_82" edges="31909473.0 31909473.857 62634019#1-AddedOnRampEdge 62634019#1 62634019#2.0 62634019#2.242 62634019#3-AddedOnRampEdge 62634019#3 62634019#3-AddedOffRampEdge 12111747.0 12189453#0.0.0 450844982#0.19 62203497#0 62203497#2 62203497#3 12134479#1 34685684#0 34685684#2 450844947#0 388533142#0 388533142#2 388533142#4 62623926#0 62623926#1 450844950#0 12189453#0.0.0 450844982#0.19 62203497#0 62203497#2 62203497#3 12134479#1 34685684#0 34685684#2 388533143#0 388533143#2 12140627#0 63060729#0 -264253834#2 12156992#4 12156992#5 12156992#6 12156992#7 12156992#8 12156992#9 484953505 12148522#0 -12186058#4 -12186058#1 -386995465#1 -386995504#1 386995479#0 12157718#5 12157718#7 485017376 485017373#0 387422135#0 424769003#0 424769003#1 -30953396#1 -30953396#0 -424769006 -424769005 -424769002 -30953391 -43569848 -393884751 12159702 424764853 12149178#0 50189796 50189564 12149178#2 145605533#0 145605533#1-AddedOnRampEdge 145605533#1 145605511#1-AddedOnRampEdge 145605511#12 145605511#1.148" probability="0.03125"/&gt;</t>
  </si>
  <si>
    <t xml:space="preserve">    &lt;route id="Router3_91" edges="31909473.0 31909473.857 62634019#1-AddedOnRampEdge 62634019#1 62634019#2.0 62634019#2.242 62634019#3-AddedOnRampEdge 62634019#3 62634019#3-AddedOffRampEdge 12111747.0 59671945#0.30 62093806#0 104526265#0.14 424080766 424080768#0 104523976#1 262962063 12189051#0 -12189051#1 424080770#0 424080772#0 12119506#0 -12156992#1 -386547297#1 -424080772#2 -424080772#1 -424080761#1 -62623960 62623959#0 386547296#0 386547296#1 424080773#0 279870839#0 279870839#2 450844960#0 62623926#1 450844950#0 38502259#0.19 450844933#1 196207115#0 196207115#2 196207115#3 196355332#0 450844979#0.0 450844982#0.19 62203497#0 62203497#2 62203497#3 12134479#1 34685684#0 34685684#2 388533143#0 388533143#2 12140627#0 63060729#0 -264253834#2 12156992#4 12156992#5 12156992#6 12156992#7 12156992#8 12156992#9 -12114396#5 -12114396#3 -12114396#1 485017383#0 485017382#0 485017382#1 211575484#0 -12177521#3 -12177521#2 -12177521#1 32121111#12 32121111#14 -12187610#5 -12187610#2 -12187610#1 12150608#0 32121146#2 12117702#9 450844953#0 450844953#2 450844953#3 450844947#0 388533142#0 388533142#2 388533142#4 62623926#0 62623926#1 450844950#0 38502259#0.19 450844933#1 196207110#0 196207110#2" probability="0.03125"/&gt;</t>
  </si>
  <si>
    <t xml:space="preserve">    &lt;route id="Router3_92" edges="31909473.0 31909473.857 62634019#1-AddedOnRampEdge 62634019#1 62634019#2.0 62634019#2.242 62634019#3-AddedOnRampEdge 62634019#3 62634019#3-AddedOffRampEdge 12111747.0 59671945#0.30 62093806#0 104526265#0.14 424080766 424080768#0 104523976#1 262962063 12189051#0 -12189051#1 424080770#0 424080772#0 12119506#0 -12156992#1 -386547297#1 -424080772#2 -424080772#1 -424080761#1 -62623960 62623959#0 386547296#0 386547296#1 424080773#0 279870839#0 279870839#2 450844960#0 62623926#1 450844950#0 38502259#0.19 450844933#1 196207115#0 196207115#2 196207115#3 196355332#0 450844979#0.0 450844982#0.19 62203497#0 62203497#2 62203497#3 12134479#1 34685684#0 34685684#2 388533143#0 388533143#2 12140627#0 63060729#0 -264253834#2 12156992#4 12156992#5 12156992#6 12156992#7 12156992#8 12156992#9 -12114396#5 -12114396#3 -12114396#1 485017383#0 485017382#0 485017382#1 211575484#0 -12177521#3 -12177521#2 -12177521#1 32121111#12 32121111#14 -12187610#5 -12187610#2 -12187610#1 12150608#0 32121146#2 12117702#9 450844953#0 450844953#2 450844953#3 450844947#0 388533142#0 388533142#2 388533142#4 62623926#0 62623926#1 450844950#0 38502259#0.19 450844933#1 196207110#0 196355327#2 196355327#5 -196393940#0" probability="0.03125"/&gt;</t>
  </si>
  <si>
    <t xml:space="preserve">    &lt;route id="Router3_93" edges="31909473.0 31909473.857 62634019#1-AddedOnRampEdge 62634019#1 62634019#2.0 62634019#2.242 62634019#3-AddedOnRampEdge 62634019#3 62634019#3-AddedOffRampEdge 12111747.0 59671945#0.30 62093806#0 104526265#0.14 424080766 424080768#0 104523976#1 262962063 12189051#0 -12189051#1 424080770#0 424080772#0 12119506#0 -12156992#1 -386547297#1 -424080772#2 -424080772#1 -424080761#1 -62623960 62623959#0 386547296#0 386547296#1 424080773#0 279870839#0 279870839#2 450844960#0 62623926#1 450844950#0 38502259#0.19 450844933#1 196207115#0 196207115#2 196207115#3 196355332#0 450844979#0.0 450844982#0.19 62203497#0 62203497#2 62203497#3 12134479#1 34685684#0 34685684#2 388533143#0 388533143#2 12140627#0 63060729#0 -264253834#2 12156992#4 12156992#5 12156992#6 12156992#7 12156992#8 12156992#9 484953505 12148522#0 -12186058#4 -12186058#1 -386995465#1 -386995504#1 386995479#0 12157718#5 12157718#7 485017376 485017373#0 387422135#0 424769003#0 424769003#1 -30953396#1 -30953396#0 -424769006 -424769005 -424769002 -30953391 -43569848 -393884751 12159702 424764853 12149178#0 50189796 50189564 12149178#2 145605533#0 145605533#1-AddedOnRampEdge 145605533#1 145605511#1-AddedOnRampEdge 145605511#12 145605511#1.148" probability="0.03125"/&gt;</t>
  </si>
  <si>
    <t xml:space="preserve">    &lt;route id="Router3_96" edges="31909473.0 31909473.857 62634019#1-AddedOnRampEdge 62634019#1 62634019#2.0 62634019#2.242 62634019#3-AddedOnRampEdge 62634019#3 62634019#3-AddedOffRampEdge 12111747.0 59671945#0.30 62093806#0 104526265#0.14 424080766 424080768#0 104523976#1 262962063 12189051#0 -12189051#1 424080770#0 424080772#0 12119506#0 -12156992#1 -386547297#1 -424080772#2 -424080772#1 -424080761#1 -62623960 62623959#0 386547296#0 386547296#1 424080773#0 279870839#0 279870839#2 450844960#0 62623926#1 450844950#0 38502259#0.19 450844933#1 196207115#0 196207115#2 196207115#3 196355332#0 450844979#0.0 450844982#0.19 62203497#0 62203497#2 62203497#3 12134479#1 34685684#0 34685684#2 388533143#0 388533143#2 12140627#0 63060729#0 -264253834#2 12156992#4 12156992#5 12156992#6 12156992#7 12156992#8 12156992#9 484953505 12148522#0 485017381#0 485017381#1 -30953396#1 30953396#1 -424769003#1 -424769003#0 12157002#0 12157002#1 12186058#2 485017381#0 -12157718#12 -12157718#10 -12157718#9 -12157718#8 -12157718#6 386995479#1 386995479#2 386995479#3 386995479#4 386995479#5 386995479#6 386995490#0.0 12154359#1.20 12154359#2 -386995521#1 -386995521#0 43357814#0 43357814#1 42706837#4 42706837#5 12154359#5 12154359#6 386995531#1 386995531#2 386995531#3 386995531#4 12172918#2 gneE73 gneE75.0 gneE80.125" probability="0.03125"/&gt;</t>
  </si>
  <si>
    <t xml:space="preserve">    &lt;route id="Router3_108" edges="31909473.0 31909473.857 62634019#1-AddedOnRampEdge 62634019#1 62634019#2.0 62634019#2.242 62634019#3-AddedOnRampEdge 62634019#3 62634019#3-AddedOffRampEdge 12111747.0 62203498#0 62093806#0 104526265#0.14 424080766 424080768#0 104523976#1 262962063 424080770#0 424080772#0 424080772#2 386547297#0 424080771#0 424080767#0 386547298#0 424769177 424080769#0 12144152#0 12144152#2 450844953#0 450844953#2 450844953#3 450844947#0 388533142#0 388533142#2 388533142#4 62623926#0 62623926#1 450844950#0 12189453#0.0.0 450844982#0.19 62203497#0 62203497#2 62203497#3 12134479#1 34685684#0 34685684#2 388533143#0 388533143#2 12140627#0 63060729#0 -264253834#2 12156992#4 12156992#5 12156992#6 12156992#7 12156992#8 12156992#9 484953505 12148522#0 485017381#0 485017381#1 -30953396#1 30953396#1 -424769003#1 -424769003#0 12157002#0 12157002#1 12186058#2 485017381#0 -12157718#12 -12157718#10 -12157718#9 -12157718#8 -12157718#6 386995479#1 386995479#2 386995479#3 386995479#4 386995479#5 386995479#6 386995490#0.0 12154359#1.20 12154359#2 -386995521#1 -386995521#0 43357814#0 43357814#1 42706837#4 42706837#5 12154359#5 12154359#6 386995531#1 386995531#2 386995531#3 386995531#4 12172918#2 gneE73 gneE75.0 gneE80.125" probability="0.03125"/&gt;</t>
  </si>
  <si>
    <t xml:space="preserve">    &lt;route id="Router3_112" edges="31909473.0 31909473.857 62634019#1-AddedOnRampEdge 62634019#1 62634019#2.0 62634019#2.242 62634019#3-AddedOnRampEdge 62634019#3 62634019#3-AddedOffRampEdge 30953251#1.0 30953251#1-AddedOffRampEdge 12112003 30953215#1-AddedOnRampEdge 30953215#1 121643865#0 12110705 50715233#0 50715233#0-AddedOffRampEdge 50715233#1.0 62203285#14.24 gneE59.30.0.55 gneE59.30.0.0 gneE59.0.0 gneE59.0.12 62203360#0 12159135 12149408#0 49914077 424767578 43569819 387422128#1 43569827#0 43569827#1 43569827#2 43569827#7 43569848 30953391 424769002 424769005 424769006 424769004 30953396#1 -424769003#1 -424769003#0 -485017374 42706828#0 42706828#2 12182281#0 12182281#3 12182281#5 12182281#6 386995507#4 386995507#5 386995507#6 12152013#1 12152013#2 -12175537#6 -12175537#5 -12175537#4 12182281#9 12182281#10 -388756839#1 -388756839#0 -50033059#4 -50033059#3 -50033059#2 -50033059#1 -50033558#8 -51155368#3 121319046 12188656 -50033558#2 12203859#0 12203859#1 42706831#4 42706831#5 42706831#6 42706874#0 42706874#2 12144152#0 12144152#2 450844953#0 450844953#2 450844953#3 450844947#0 388533142#0 388533142#2 388533142#4 62623926#0 62623926#1 450844950#0 12189453#0.0.0 450844982#0.19 62203497#0 62203497#2 62203497#3 12134479#1 34685684#0 34685684#2 388533143#0 388533143#2 12140627#0 63060729#0 -264253834#2 12156992#4 12156992#5 12156992#6 12156992#7 12156992#8 12156992#9 -12114396#5 -12114396#3 -12114396#1 485017383#0 485017382#0 485017382#1 211575484#0 -12177521#3 -12177521#2 -12177521#1 32121111#12 32121111#14 -12187610#5 -12187610#2 -12187610#1 12150608#0 32121146#2 12117702#9 450844953#0 450844953#2 450844953#3 450844947#0 388533142#0 388533142#2 388533142#4 62623926#0 62623926#1 450844950#0 38502259#0.19 450844933#1 196207110#0 196207110#2" probability="0.03125"/&gt;</t>
  </si>
  <si>
    <t xml:space="preserve">    &lt;route id="Router3_13" edges="-gneE80.0 -gneE80.17 -gneE41 gneE44 -388756838#2 -388756838#1 -388756838#0 42706817#0 386547310 gneE69 -388756838#2 -388756838#1 -388756838#0 -388756839#1 -388756839#0 -194358837#2 -194358837#0 194358838#0 194358838#1 194358838#2 194358838#3 387422145#0 387422145#3 386995499#0 386995499#2 -51155368#13 -51155368#10 -51155368#7 121319040#0 121319040#1 386995507#0 386995507#1 386995507#2 386995507#3 12182281#7 42706837#0 42706837#1 42706837#2 42706837#3 43357814#2 43357814#3 386995526#0 386995526#1 -51050425#4 -51050425#3 -51050425#2 12162659#0 12162659#1 -12175537#4 -12175537#3 -12175537#2 -12175537#1 -50033059#3 -50033059#2 -386995514#7 -12199713#2 12177498 42706833#2 51155368#0 -50033558#5 -50033558#3 -50033558#2 -62105579 -32121234#1 -32121234#0 42706874#0 42706874#2 55179414#0 55179413#0 424769182 -450827405#2 -450827400#2 -450827382 -450827385#1 -450827391#1 -450827381 -450827397#1 12180696#0 59435515#1 59435515#2 59435515#3 59435515#4 424801338#1 12117702#0 12117702#4 12117702#7 -32121146#3 12202008#2.0 12202008#2.171 62646499#2 450827424#0 450827405#0 262962062 -55179413#2 12187610#0 12187610#2 12187610#3 -62105579 12186909#0 12186909#1 12186909#2 51155368#11 42706831#0 42706831#4 42706831#5 42706831#6 32121234#0 32121234#1 32121234#2 50033558#2 50033558#3 50033558#4 50033558#6 50033058#0 386995514#9 386995486#0 32121111#11 -12177521#0 -121319040#0 -51155368#5 -50033558#5 -50033558#3 -12188656 -121319046 -42706825#7 -42706825#4 -42706825#3 -42706825#1 -484953510#2 -484953510#1 -484953510#0 gneE37 gneE38 -12159761#2 -12159761#1 -12159761#0 12114363#0 12114363#1 -50033059#4 12175537#0 12175537#2 12175537#3 12175537#4 12162659#2 12159485 12161358#7 12161358#8 386995507#6 386995507#7 386995521#0 386995521#1 12154359#3 12154359#4 12154359#5 12154359#6 12154359#7 101350669 -386995537 -386995526#1 -386995526#0 -43357814#3 -43357814#2 42706837#4 42706837#5 42706837#6 42706837#7 42706837#8 42706837#9 12172918#0 12172918#1 12172918#2 gneE73 gneE75.0 gneE80.125" probability="0.03125"/&gt;</t>
  </si>
  <si>
    <t xml:space="preserve">    &lt;route id="Router3_21" edges="-gneE80.0 -gneE80.17 -gneE41 gneE44 -388756838#2 -388756838#1 -388756838#0 42706817#0 386547310 gneE69 -388756838#2 -388756838#1 -388756838#0 -388756839#1 -388756839#0 -194358837#2 -194358837#0 194358838#0 194358838#1 194358838#2 386995479#2 310315797#2 12185366#9 387422145#0 -12157718#6 -12157718#4 -12157718#3 -12157718#2 -12157718#1 -12199713#4 386995514#7 -50033059#1 -50033558#8 -51155368#3 121319046 12188656 -50033558#2 12203859#0 12203859#1 42706831#4 42706831#5 42706831#6 42706874#0 42706874#2 12144152#0 12144152#2 450844953#0 450844953#2 450844953#3 450844947#0 388533142#0 388533142#2 388533142#4 62623926#0 62623926#1 450844950#0 12189453#0.0.0 450844982#0.19 62203497#0 62203497#2 62203497#3 12134479#1 34685684#0 34685684#2 388533143#0 388533143#2 12140627#0 63060729#0 -264253834#2 12156992#4 12156992#5 12156992#6 12156992#7 12156992#8 12156992#9 -12114396#5 -12114396#3 -12114396#1 485017383#0 485017382#0 485017382#1 211575484#0 -12177521#3 -12177521#2 -12177521#1 32121111#12 32121111#14 -12187610#5 -12187610#2 -12187610#1 12150608#0 32121146#2 12117702#9 450844953#0 450844953#2 450844953#3 450844947#0 388533142#0 388533142#2 388533142#4 62623926#0 62623926#1 450844950#0 38502259#0.19 450844933#1 196207110#0 196207110#2" probability="0.03125"/&gt;</t>
  </si>
  <si>
    <t>&lt;routeDistribution id="Walnut-31st-to-30th-WB-2009-RouteProbe"&gt;</t>
  </si>
  <si>
    <t>&lt;routeDistribution id="Chestnut-34th-to-33rd-EB-2009-RouteProbe"&gt;</t>
  </si>
  <si>
    <t xml:space="preserve">    &lt;route id="Router3_6" edges="-gneE80.0 -gneE80.17 -gneE41 gneE44 -388756838#2 -388756838#1 -388756838#0 42706817#0 386547310 gneE69 -388756838#2 -388756838#1 -388756838#0 -388756839#1 -388756839#0 -194358837#2 -194358837#0 194358838#0 194358838#1 194358838#2 194358838#3 387422145#0 387422145#3 386995499#0 386995499#2 -51155368#13 -51155368#10 -51155368#7 121319040#0 121319040#1 386995507#0 386995507#1 386995507#2 386995507#3 12182281#7 42706837#0 42706837#1 42706837#2 42706837#3 43357814#2 43357814#3 386995526#0 386995526#1 -51050425#4 -51050425#3 -51050425#2 12162659#0 12162659#1 -12175537#4 -12175537#3 -12175537#2 -12175537#1 -50033059#3 -50033059#2 -386995514#7 -12199713#2 12177498 42706833#2 51155368#0 -50033558#5 -50033558#3 -50033558#2 -62105579 -32121234#1 -32121234#0 42706874#0 42706874#2 55179414#0 55179413#0 424769182 -450827405#2 -450827400#2 -450827382 -450827385#1 -450827391#1 -450827381 -450827397#1 12180696#0 59435515#1 59435515#2 59435515#3 59435515#4 424801338#1 12117702#0 12117702#4 12117702#7 -32121146#3 -32121146#1 -424769197#2 12144152#0 12144152#2 12144152#4 12144152#6 12157151#0 12166276#2 -32121146#5 12117702#9 450844953#0 450844953#2 450844953#3 450844947#0 388533142#0 388533142#2 12189045#0 62623987#0 62623987#1 -12142631 12202018 62623986#1 62623986#2 -12189051#1 -262962063 -424080764 -424080768#1 -424080766 -104526265#1 30953497#0 30953497#2 30953497#3 42706585#0 42706585#1 30953320 30953320-AddedOffRampEdge 104526277 30953215#1-AddedOnRampEdge 30953215#1 121643865#0 121643865#1 145605511#1-AddedOnRampEdge 145605511#12 145605511#1.148" probability="0.0384615384615385"/&gt;</t>
  </si>
  <si>
    <t xml:space="preserve">    &lt;route id="Router3_13" edges="-gneE80.0 -gneE80.17 -gneE41 gneE44 -388756838#2 -388756838#1 -388756838#0 42706817#0 386547310 gneE69 -388756838#2 -388756838#1 -388756838#0 -388756839#1 -388756839#0 -194358837#2 -194358837#0 194358838#0 194358838#1 194358838#2 194358838#3 387422145#0 387422145#3 386995499#0 386995499#2 -51155368#13 -51155368#10 -51155368#7 121319040#0 121319040#1 386995507#0 386995507#1 386995507#2 386995507#3 12182281#7 42706837#0 42706837#1 42706837#2 42706837#3 43357814#2 43357814#3 386995526#0 386995526#1 -51050425#4 -51050425#3 -51050425#2 12162659#0 12162659#1 -12175537#4 -12175537#3 -12175537#2 -12175537#1 -50033059#3 -50033059#2 -386995514#7 -12199713#2 12177498 42706833#2 51155368#0 -50033558#5 -50033558#3 -50033558#2 -62105579 -32121234#1 -32121234#0 42706874#0 42706874#2 55179414#0 55179413#0 424769182 -450827405#2 -450827400#2 -450827382 -450827385#1 -450827391#1 -450827381 -450827397#1 12180696#0 59435515#1 59435515#2 59435515#3 59435515#4 424801338#1 12117702#0 12117702#4 12117702#7 -32121146#3 12202008#2.0 12202008#2.171 62646499#2 450827424#0 450827405#0 262962062 -55179413#2 12187610#0 12187610#2 12187610#3 -62105579 12186909#0 12186909#1 12186909#2 51155368#11 42706831#0 42706831#4 42706831#5 42706831#6 32121234#0 32121234#1 32121234#2 50033558#2 50033558#3 50033558#4 50033558#6 50033058#0 386995514#9 386995486#0 32121111#11 -12177521#0 -121319040#0 -51155368#5 -50033558#5 -50033558#3 -12188656 -121319046 -42706825#7 -42706825#4 -42706825#3 -42706825#1 -484953510#2 -484953510#1 -484953510#0 gneE37 gneE38 -12159761#2 -12159761#1 -12159761#0 12114363#0 12114363#1 -50033059#4 12175537#0 12175537#2 12175537#3 12175537#4 12162659#2 12159485 12161358#7 12161358#8 386995507#6 386995507#7 386995521#0 386995521#1 12154359#3 12154359#4 12154359#5 12154359#6 12154359#7 101350669 -386995537 -386995526#1 -386995526#0 -43357814#3 -43357814#2 42706837#4 42706837#5 42706837#6 42706837#7 42706837#8 42706837#9 12172918#0 12172918#1 12172918#2 gneE73 gneE75.0 gneE80.125" probability="0.0384615384615385"/&gt;</t>
  </si>
  <si>
    <t xml:space="preserve">    &lt;route id="Router3_21" edges="-gneE80.0 -gneE80.17 -gneE41 gneE44 -388756838#2 -388756838#1 -388756838#0 42706817#0 386547310 gneE69 -388756838#2 -388756838#1 -388756838#0 -388756839#1 -388756839#0 -194358837#2 -194358837#0 194358838#0 194358838#1 194358838#2 386995479#2 310315797#2 12185366#9 387422145#0 -12157718#6 -12157718#4 -12157718#3 -12157718#2 -12157718#1 -12199713#4 386995514#7 -50033059#1 -50033558#8 -51155368#3 121319046 12188656 -50033558#2 12203859#0 12203859#1 42706831#4 42706831#5 42706831#6 42706874#0 42706874#2 12144152#0 12144152#2 450844953#0 450844953#2 450844953#3 450844947#0 388533142#0 388533142#2 388533142#4 62623926#0 62623926#1 450844950#0 12189453#0.0.0 450844982#0.19 62203497#0 62203497#2 62203497#3 12134479#1 34685684#0 34685684#2 388533143#0 388533143#2 12140627#0 63060729#0 -264253834#2 12156992#4 12156992#5 12156992#6 12156992#7 12156992#8 12156992#9 -12114396#5 -12114396#3 -12114396#1 485017383#0 485017382#0 485017382#1 211575484#0 -12177521#3 -12177521#2 -12177521#1 32121111#12 32121111#14 -12187610#5 -12187610#2 -12187610#1 12150608#0 32121146#2 12117702#9 450844953#0 450844953#2 450844953#3 450844947#0 388533142#0 388533142#2 388533142#4 62623926#0 62623926#1 450844950#0 38502259#0.19 450844933#1 196207110#0 196207110#2" probability="0.0384615384615385"/&gt;</t>
  </si>
  <si>
    <t xml:space="preserve">    &lt;route id="Router3_23" edges="-gneE80.0 -gneE80.17 -gneE41 gneE44 -388756838#2 -388756838#1 -388756838#0 42706817#0 386547310 gneE69 -388756838#2 -388756838#1 -388756838#0 -388756839#1 -388756839#0 -194358837#2 -194358837#0 194358838#0 194358838#1 32121111#9 32121111#10 -386995486#0 -386995514#9 50033058#2 50033058#3 194358837#0 194358837#1 12175533#0 12175533#2 12175533#3 42706825#4 42706825#5 12189876#0 12189876#2 484953509#0 484953509#2 -12175523#1 12134222#0 12134222#2 12134222#3 386547311#11 386547311#13 357338496#0 357338496#2 450695461#0 62646494#0 424801336#0 484842168#0 283621820 -28555309#1 -424801341 -283621822#1 -424801343#1 -424801343#0 49991658 424801340 424801342 386550018#0 386550018#0-AddedOffRampEdge 386550018#1 49991638 -12144161#0 12144161#0 12144161#1 49991657 283621821#1 283621821#1-AddedOffRampEdge 12122485 49991647#2 63060732#0 63060732#1 63060732#2.0 273888488.10 -12122468#1 -12122468#0 -424081469 -424081473 -424081472 -424987520 -30953029#1 -30953029#0 -424987519 170366765 12173391 12123285#0 12123285#1 12123285#2 12176631 424804090#0 424804090#1 12198567#0 12198567#1 12198567#2 12198567#3 12171853#3 12171853#4 12171853#5 12171853#6 132508920#8 132508920#9 132508920#10 132508920#12 132508983#0 132508983#3 132508983#5 132508740#0 132508740#2 -12165829#1 132508646#0 132508646#2 132508646#3 394179820#0 394179820#1 394179820#2 394179820#3 450844975 450844970#0 196355332#0 450844979#0.0 450844982#0.19 62203497#0 62203497#2 62203497#3 12134479#1 34685684#0 34685684#2 388533143#0 388533143#2 12140627#0 63060729#0 -264253834#2 12156992#4 12156992#5 12156992#6 12156992#7 12156992#8 12156992#9 -12114396#5 -12114396#3 -12114396#1 485017383#0 485017382#0 485017382#1 211575484#0 -12177521#3 -12177521#2 -12177521#1 32121111#12 32121111#14 -12187610#5 -12187610#2 -12187610#1 12150608#0 32121146#2 12117702#9 450844953#0 450844953#2 450844953#3 450844947#0 388533142#0 388533142#2 388533142#4 62623926#0 62623926#1 450844950#0 38502259#0.19 450844933#1 196207110#0 196207110#2" probability="0.0384615384615385"/&gt;</t>
  </si>
  <si>
    <t xml:space="preserve">    &lt;route id="Router3_41" edges="195815883#2 195815883#3 450844975 450844970#0 196355332#0 450844979#0.0 12114109#0.45.0 38502259#0.19 450844933#1 196207115#0 196207115#2 196207115#3 196355332#0 450844979#0.0 450844982#0.19 62203497#0 62203497#2 62203497#3 12134479#1 34685684#0 34685684#2 388533143#0 388533143#2 12140627#0 63060729#0 -264253834#2 12156992#4 12156992#5 12156992#6 12156992#7 12156992#8 12156992#9 -12114396#5 -12114396#3 -12114396#1 485017383#0 485017382#0 485017382#1 211575484#0 -12177521#3 -12177521#2 -12177521#1 32121111#12 32121111#14 -12187610#5 -12187610#2 -12187610#1 12150608#0 32121146#2 12117702#9 450844953#0 450844953#2 450844953#3 450844947#0 388533142#0 388533142#2 388533142#4 62623926#0 62623926#1 450844950#0 38502259#0.19 450844933#1 196207110#0 196207110#2" probability="0.0384615384615385"/&gt;</t>
  </si>
  <si>
    <t xml:space="preserve">    &lt;route id="Router3_42" edges="195815883#2 195815883#3 450844975 450844970#0 196355332#0 450844979#0.0 12114109#0.45.0 38502259#0.19 450844933#1 196207115#0 196207115#2 43538931#0 43538931#1 -43538931#1 -43538931#0 196207115#3 196355332#0 450844979#0.0 450844982#0.19 62203497#0 62203497#2 62203497#3 12134479#1 34685684#0 34685684#2 388533143#0 388533143#2 12140627#0 63060729#0 -264253834#2 12156992#4 12156992#5 12156992#6 12156992#7 12156992#8 12156992#9 -12114396#5 -12114396#3 -12114396#1 485017383#0 485017382#0 485017382#1 211575484#0 -12177521#3 -12177521#2 -12177521#1 32121111#12 32121111#14 -12187610#5 -12187610#2 -12187610#1 12150608#0 32121146#2 12117702#9 450844953#0 450844953#2 450844953#3 450844947#0 388533142#0 388533142#2 388533142#4 62623926#0 62623926#1 450844950#0 38502259#0.19 450844933#1 196207110#0 196207110#2" probability="0.0384615384615385"/&gt;</t>
  </si>
  <si>
    <t xml:space="preserve">    &lt;route id="Router3_45" edges="196393940#0 62203285#0 62203285#2 62203285#3 62203285#5 42706664#7 12142298#0 12142298#1 62203286#2 12186741#2 12186741#4 12186741#5 12142723#0 12142723#3 12142723#4 12187745 32118649#2 32118649#3 -43538931#1 -43538931#0 196207115#3 196355332#0 450844979#0.0 450844982#0.19 62203497#0 62203497#2 62203497#3 12134479#1 34685684#0 34685684#2 388533143#0 388533143#2 12140627#0 63060729#0 -264253834#2 12156992#4 12156992#5 12156992#6 12156992#7 12156992#8 12156992#9 -12114396#5 -12114396#3 -12114396#1 485017383#0 485017382#0 485017382#1 211575484#0 -12177521#3 -12177521#2 -12177521#1 32121111#12 32121111#14 -12187610#5 -12187610#2 -12187610#1 12150608#0 32121146#2 12117702#9 450844953#0 450844953#2 450844953#3 450844947#0 388533142#0 388533142#2 388533142#4 62623926#0 62623926#1 450844950#0 38502259#0.19 450844933#1 196207110#0 196207110#2" probability="0.0384615384615385"/&gt;</t>
  </si>
  <si>
    <t xml:space="preserve">    &lt;route id="Router3_49" edges="196393940#0 62203285#0 62203285#2 62203285#3 62203285#5 42706664#7 42706664#8 12186741#4 12186741#5 196207112#0 32122059#1 424080774 262962068#0.0 104526265#0.14 424080766 424080768#0 104523976#1 262962063 12189051#0 -12189051#1 424080770#0 424080772#0 12119506#0 -12156992#1 -386547297#1 -424080772#2 -424080772#1 -424080761#1 -62623960 62623959#0 386547296#0 386547296#1 424080773#0 279870839#0 279870839#2 450844960#0 62623926#1 450844950#0 38502259#0.19 450844933#1 196207115#0 196207115#2 196207115#3 196355332#0 450844979#0.0 450844982#0.19 62203497#0 62203497#2 62203497#3 12134479#1 34685684#0 34685684#2 388533143#0 388533143#2 12140627#0 63060729#0 -264253834#2 12156992#4 12156992#5 12156992#6 12156992#7 12156992#8 12156992#9 -12114396#5 -12114396#3 -12114396#1 485017383#0 485017382#0 485017382#1 211575484#0 -12177521#3 -12177521#2 -12177521#1 32121111#12 32121111#14 -12187610#5 -12187610#2 -12187610#1 12150608#0 32121146#2 12117702#9 450844953#0 450844953#2 450844953#3 450844947#0 388533142#0 388533142#2 388533142#4 62623926#0 62623926#1 450844950#0 38502259#0.19 450844933#1 196207110#0 196207110#2" probability="0.0384615384615385"/&gt;</t>
  </si>
  <si>
    <t xml:space="preserve">    &lt;route id="Router3_56" edges="196393940#0 62203285#0 62203285#2 62203285#3 62203285#5 62203285#6 62203285#7 62203286#0 -12142298#1 -12142298#0 42706664#8 12186741#4 12186741#5 12142723#0 12142723#3 12142723#4 12187745 32118649#2 32118649#3 -43538931#1 -43538931#0 196207115#3 196355332#0 450844979#0.0 450844982#0.19 62203497#0 62203497#2 62203497#3 12134479#1 34685684#0 34685684#2 388533143#0 388533143#2 12140627#0 63060729#0 -264253834#2 12156992#4 12156992#5 12156992#6 12156992#7 12156992#8 12156992#9 -12114396#5 -12114396#3 -12114396#1 485017383#0 485017382#0 485017382#1 211575484#0 -12177521#3 -12177521#2 -12177521#1 32121111#12 32121111#14 -12187610#5 -12187610#2 -12187610#1 12150608#0 32121146#2 12117702#9 450844953#0 450844953#2 450844953#3 450844947#0 388533142#0 388533142#2 388533142#4 62623926#0 62623926#1 450844950#0 38502259#0.19 450844933#1 196207110#0 196207110#2" probability="0.0384615384615385"/&gt;</t>
  </si>
  <si>
    <t xml:space="preserve">    &lt;route id="Router3_71" edges="31909473.0 31909473.857 62634019#1-AddedOnRampEdge 62634019#1 30953036 424081476 424081472 424081473 424081470 30953025#0 30953025#2 30953025#3 30953025#4 50033060#0 12134479#5 450844973#0 388533144#0 388533144#6 388533144#11 450695475#0 137364609#0 137364609#3 137364609#5 450695473#0 386547305#0 gneE23 -gneE20.0 -gneE21.54 -gneE21.0 59435515#0 59435515#1 59435515#2 59435515#3 59435515#4 424801338#1 12117702#0 12117702#4 12117702#7 -32121146#3 -32121146#1 -424769197#2 12144152#0 12144152#2 12144152#4 12144152#6 12157151#0 12166276#2 -32121146#5 12117702#9 450844953#0 450844953#2 450844953#3 450844947#0 388533142#0 388533142#2 12189045#0 62623987#0 62623987#1 -12142631 12202018 62623986#1 62623986#2 -12189051#1 -262962063 -424080764 -424080768#1 -424080766 -104526265#1 30953497#0 30953497#2 30953497#3 42706585#0 42706585#1 30953320 30953320-AddedOffRampEdge 104526277 30953215#1-AddedOnRampEdge 30953215#1 121643865#0 12110705 50715233#0 50715233#0-AddedOffRampEdge 50715233#1.0 62203285#14.24 30908387 30908366#1-AddedOnRampEdge 30908366#1 121643863 121643862 51758697#0 51758697#1-AddedOnRampEdge 51758697#1 -gneE46.0 43357850.4841.18 gneE46 49887339#0.596 49887339#0-AddedOffRampEdge 49887339#1 49887339#1-AddedOffRampEdge 104524021 104524021-AddedOffRampEdge 50192637#0 50192637#1-AddedOnRampEdge 50192637#1.0.0 50192637#1.0.382.0.0 50192637#1.697 50192637#1-AddedOffRampEdge 30953181#1 30953181#2-AddedOnRampEdge 30953181#2 30953181#3-AddedOnRampEdge 30953181#3 30953181#3-AddedOffRampEdge 30952933#1.0 30952933#1.199" probability="0.0384615384615385"/&gt;</t>
  </si>
  <si>
    <t xml:space="preserve">    &lt;route id="Router3_105" edges="31909473.0 31909473.857 62634019#1-AddedOnRampEdge 62634019#1 62634019#2.0 62634019#2.242 62634019#3-AddedOnRampEdge 62634019#3 62634019#3-AddedOffRampEdge 12111747.0 62203498#0 62093806#0 104526265#0.14 424080766 424080768#0 104523976#1 262962063 424080770#0 424080772#0 424080772#2 386547297#0 424080771#0 424080767#0 386547298#0 424769177 424080769#0 12144152#0 12144152#2 12144152#4 12144152#6 12157151#0 12166276#2 -32121146#5 12117702#9 450844953#0 450844953#2 450844953#3 450844947#0 388533142#0 388533142#2 12189045#0 62623987#0 62623987#1 -12142631 12202018 62623986#1 62623986#2 -12189051#1 -262962063 -424080764 -424080768#1 -424080766 -104526265#1 -262962068#1 -424080774 -32122059#1 -32122059#0 -196393940#2 -196393940#0" probability="0.0384615384615385"/&gt;</t>
  </si>
  <si>
    <t xml:space="preserve">    &lt;route id="Router3_108" edges="31909473.0 31909473.857 62634019#1-AddedOnRampEdge 62634019#1 62634019#2.0 62634019#2.242 62634019#3-AddedOnRampEdge 62634019#3 62634019#3-AddedOffRampEdge 12111747.0 62203498#0 62093806#0 104526265#0.14 424080766 424080768#0 104523976#1 262962063 424080770#0 424080772#0 424080772#2 386547297#0 424080771#0 424080767#0 386547298#0 424769177 424080769#0 12144152#0 12144152#2 450844953#0 450844953#2 450844953#3 450844947#0 388533142#0 388533142#2 388533142#4 62623926#0 62623926#1 450844950#0 12189453#0.0.0 450844982#0.19 62203497#0 62203497#2 62203497#3 12134479#1 34685684#0 34685684#2 388533143#0 388533143#2 12140627#0 63060729#0 -264253834#2 12156992#4 12156992#5 12156992#6 12156992#7 12156992#8 12156992#9 484953505 12148522#0 485017381#0 485017381#1 -30953396#1 30953396#1 -424769003#1 -424769003#0 12157002#0 12157002#1 12186058#2 485017381#0 -12157718#12 -12157718#10 -12157718#9 -12157718#8 -12157718#6 386995479#1 386995479#2 386995479#3 386995479#4 386995479#5 386995479#6 386995490#0.0 12154359#1.20 12154359#2 -386995521#1 -386995521#0 43357814#0 43357814#1 42706837#4 42706837#5 12154359#5 12154359#6 386995531#1 386995531#2 386995531#3 386995531#4 12172918#2 gneE73 gneE75.0 gneE80.125" probability="0.0384615384615385"/&gt;</t>
  </si>
  <si>
    <t xml:space="preserve">    &lt;route id="Router3_109" edges="31909473.0 31909473.857 62634019#1-AddedOnRampEdge 62634019#1 62634019#2.0 62634019#2.242 62634019#3-AddedOnRampEdge 62634019#3 62634019#3-AddedOffRampEdge 12111747.0 62203498#0 62093806#0 104526265#0.14 424080766 424080768#0 104523976#1 262962063 424080770#0 424080772#0 424080772#2 386547297#0 424080771#0 424080767#0 386547298#0 424769177 424080769#0 12144152#0 12144152#2 450844953#0 450844953#2 450844953#3 450844947#0 388533142#0 388533142#2 388533142#4 62623926#0 62623926#1 450844950#0 12189453#0.0.0 450844982#0.19 62203497#0 62203497#2 62203497#3 12134479#1 34685684#0 34685684#2 450844947#0 388533142#0 388533142#2 12189045#0 62623987#0 62623987#1 -12142631 12202018 62623986#1 62623986#2 -12189051#1 -262962063 -424080764 -424080768#1 -424080766 -104526265#1 -262962068#1 -424080774 -32122059#1 -32122059#0 -196393940#2 -196393940#0" probability="0.0384615384615385"/&gt;</t>
  </si>
  <si>
    <t xml:space="preserve">    &lt;route id="Router3_112" edges="31909473.0 31909473.857 62634019#1-AddedOnRampEdge 62634019#1 62634019#2.0 62634019#2.242 62634019#3-AddedOnRampEdge 62634019#3 62634019#3-AddedOffRampEdge 30953251#1.0 30953251#1-AddedOffRampEdge 12112003 30953215#1-AddedOnRampEdge 30953215#1 121643865#0 12110705 50715233#0 50715233#0-AddedOffRampEdge 50715233#1.0 62203285#14.24 gneE59.30.0.55 gneE59.30.0.0 gneE59.0.0 gneE59.0.12 62203360#0 12159135 12149408#0 49914077 424767578 43569819 387422128#1 43569827#0 43569827#1 43569827#2 43569827#7 43569848 30953391 424769002 424769005 424769006 424769004 30953396#1 -424769003#1 -424769003#0 -485017374 42706828#0 42706828#2 12182281#0 12182281#3 12182281#5 12182281#6 386995507#4 386995507#5 386995507#6 12152013#1 12152013#2 -12175537#6 -12175537#5 -12175537#4 12182281#9 12182281#10 -388756839#1 -388756839#0 -50033059#4 -50033059#3 -50033059#2 -50033059#1 -50033558#8 -51155368#3 121319046 12188656 -50033558#2 12203859#0 12203859#1 42706831#4 42706831#5 42706831#6 42706874#0 42706874#2 12144152#0 12144152#2 450844953#0 450844953#2 450844953#3 450844947#0 388533142#0 388533142#2 388533142#4 62623926#0 62623926#1 450844950#0 12189453#0.0.0 450844982#0.19 62203497#0 62203497#2 62203497#3 12134479#1 34685684#0 34685684#2 388533143#0 388533143#2 12140627#0 63060729#0 -264253834#2 12156992#4 12156992#5 12156992#6 12156992#7 12156992#8 12156992#9 -12114396#5 -12114396#3 -12114396#1 485017383#0 485017382#0 485017382#1 211575484#0 -12177521#3 -12177521#2 -12177521#1 32121111#12 32121111#14 -12187610#5 -12187610#2 -12187610#1 12150608#0 32121146#2 12117702#9 450844953#0 450844953#2 450844953#3 450844947#0 388533142#0 388533142#2 388533142#4 62623926#0 62623926#1 450844950#0 38502259#0.19 450844933#1 196207110#0 196207110#2" probability="0.0384615384615385"/&gt;</t>
  </si>
  <si>
    <t xml:space="preserve">    &lt;route id="Router3_2" edges="-gneE80.0 -gneE80.17 -gneE41 gneE44 -388756838#2 -388756838#1 -388756838#0 42706817#0 386547310 gneE69 -388756838#2 -388756838#1 -388756838#0 -388756839#1 -388756839#0 -194358837#2 -194358837#0 194358838#0 194358838#1 194358838#2 194358838#3 387422145#0 387422145#3 386995499#0 386995499#2 -51155368#13 -51155368#10 -51155368#7 121319040#0 121319040#1 386995507#0 386995507#1 386995507#2 386995507#3 12182281#7 42706837#0 42706837#1 42706837#2 42706837#3 43357814#2 43357814#3 386995526#0 386995526#1 -51050425#4 -51050425#3 -51050425#2 12162659#0 12162659#1 -12175537#4 -12175537#3 -12175537#2 -12175537#1 -50033059#3 -50033059#2 -386995514#7 -12199713#2 12177498 42706833#2 51155368#0 -50033558#5 -50033558#3 -50033558#2 -62105579 -32121234#1 -32121234#0 42706874#0 42706874#2 55179414#0 55179413#0 424769182 -450827405#2 -450827400#2 -450827382 -450827385#1 -450827391#1 -450827381 -450827397#1 12180696#0 59435515#1 59435515#2 59435515#3 59435515#4 424801338#1 12117702#0 12117702#4 12117702#7 -32121146#3 12202008#2.0 12202008#2.171 62646499#2 450827424#0 450827405#0 262962062 -55179413#2 12187610#0 60185970#0 60185970#2 12149571#1 12187610#3 50033558#2 50033558#3 50033558#4 50033558#6 42706833#0 42706833#2 12189876#0 12189876#2 484953508#1 60185970#0 60185970#2 12149571#1 12187610#3 50033558#2 -12188656 -121319046 -42706825#7 12199713#0 12199713#1 -386995514#6 -386995514#5 -386995514#4 -386995514#3 194358817#0 194358817#1 194358817#2 12114363#0 12114363#1 -50033059#4 12175537#0 12175537#2 12175537#3 12175537#4 12175537#5 12175537#6 12175537#7 12175537#8 12175537#9 12175537#10 12175537#11 12175537#12 12155177#1 12155177#2 387422153#1 gneE73 gneE75.0 gneE80.125" probability="0.0384615384615385"/&gt;</t>
  </si>
  <si>
    <t xml:space="preserve">    &lt;route id="Router3_3" edges="-gneE80.0 -gneE80.17 -gneE41 gneE44 -388756838#2 -388756838#1 -388756838#0 -388756839#1 -388756839#0 -194358837#2 -194358837#0 194358838#0 -386995507#1 12157718#3 32121111#10 386995486#1 386995479#0 12157718#5 12157718#7 485017376 485017373#0 387422135#0 424769003#0 424769003#1 -30953396#1 -30953396#0 -424769006 -424769005 -424769002 -30953391 -43569848 -393884751 12159702 424764853 12149178#0 50189796 50189564 12149178#2 145605533#0 145605533#1-AddedOnRampEdge 145605533#1 145605511#1-AddedOnRampEdge 145605511#12 145605511#1.148" probability="0.0384615384615385"/&gt;</t>
  </si>
  <si>
    <t>&lt;routeDistribution id="76-to-676-EB-2010-RouteProbe"&gt;</t>
  </si>
  <si>
    <t xml:space="preserve">    &lt;route id="Router3_141" edges="49887339#0.596 49887339#0-AddedOffRampEdge 49887339#1 49887339#1-AddedOffRampEdge 104524021 104524021-AddedOffRampEdge 12158873 121643865#0 12110705 50715233#0 50715233#0-AddedOffRampEdge 50715233#1.0 62203285#14.24 gneE59.30.0.55 gneE59.30.0.0 gneE59.0.0 gneE59.0.12 62203360#0 12159135 291433360#0 388756841#0 49914076#0 12111949#0 43539384#1.0 424764853 43539372 12167183.0 gneE82 gneE56 gneE54.0 gneE62.13 gneE81.0 gneE6.0 424765883 43539378#0.15 43539378#1 -393884751 12159702 424764853 12149178#0 50189796 50189564 12149178#2 145605533#0 145605533#1-AddedOnRampEdge 145605533#1 145605511#1-AddedOnRampEdge 145605511#12 145605511#1.148" probability="0.0384615384615385"/&gt;</t>
  </si>
  <si>
    <t xml:space="preserve">    &lt;route id="Router3_142" edges="49887339#0.596 49887339#0-AddedOffRampEdge 49887339#1 49887339#1-AddedOffRampEdge 104524021 104524021-AddedOffRampEdge 12158873 121643865#0 12110705 50715233#0 50715233#0-AddedOffRampEdge 50715233#1.0 62203285#14.24 gneE59.30.0.55 gneE59.30.0.0 gneE59.0.0 gneE59.0.12 62203360#0 12159135 291433360#0 388756841#0 49914076#0 12111949#0 43539384#1.0 424764853 43539372 12167183.0 gneE82 gneE56 gneE54.0 gneE62.13 gneE81.0 gneE6.0 424765883 43539378#0.15 43539378#1 43569848 30953391 12113092 51758697#1-AddedOnRampEdge 51758697#1" probability="0.0384615384615385"/&gt;</t>
  </si>
  <si>
    <t xml:space="preserve">    &lt;route id="Router3_146" edges="49887339#0.596 49887339#0-AddedOffRampEdge 49887339#1 49887339#1-AddedOffRampEdge 104524021 104524021-AddedOffRampEdge 12158873 121643865#0 12110705 50715233#0 50715233#0-AddedOffRampEdge 50715233#1.0 62203285#14.24 gneE59.30.0.55 gneE59.30.0.0 gneE59.0.0 gneE59.0.12 62203360#0 291433361#0 132508433.0 -gneE6.0 gneE81.299.0 gneE81.299.79 gneE81.299.145 -gneE8 12154353#0 196393941#1 196393941#2 28533986 43539369#2 12178843#2 12178843#3 49960982#2 43569828#0 387422128#1 43569827#0 43569827#1 43569827#2 43569827#7 43569848 30953391 424769002 424769005 424769006 424769004 30953396#1 387422132#0 387422132#1 486653633#0 484953506#3 484953506#4 424769003#0 424769003#1 387422132#0 387422132#1 388756840 12202537#1 12202537#2 12202537#3 485017368 485017367#0 12185366#0 12178852#0 12178852#1 386995495#0 386995495#1 -386995507#7 -386995507#6 -386995507#5 -386995507#4 -386995507#3 310315797#0 310315797#1 386995479#3 12182281#5 12182281#6 12182281#7 12182281#8 -12175537#3 12138978 12201597#2 12114363#1 -50033059#4 12175537#0 12175537#2 12175537#3 12175537#4 12162659#2 12159485 12161358#7 12161358#8 386995507#6 386995507#7 386995521#0 386995521#1 12154359#3 12154359#4 12154359#5 12154359#6 12154359#7 101350669 -386995537 -386995526#1 -386995526#0 -43357814#3 12175537#8 12175537#9 12154359#6 386995531#1 386995531#2 387422150#2 12175537#12 12155177#1 386995531#4 12172918#2 gneE73 gneE75.0 gneE80.125" probability="0.0384615384615385"/&gt;</t>
  </si>
  <si>
    <t>&lt;route id="Router3_147"edges="49887339#0.596 49887339#0-AddedOffRampEdge 49887339#1 49887339#1-AddedOffRampEdge 104524021 104524021-AddedOffRampEdge 12158873 121643865#0 12110705 50715233#0 50715233#0-AddedOffRampEdge 50715233#1.0 62203285#14.24 gneE59.30.0.55 gneE59.30.0.0 gneE59.0.0 gneE59.0.12 62203360#0 291433361#0 132508433.0 -gneE6.0 gneE81.299.0 gneE81.299.79 gneE81.299.145 -gneE8 12154353#0 196393941#1 196393941#2 28533986 43539369#2 12178843#2 12178843#3 49960982#2 43569828#0 387422128#1 43569827#0 43569827#1 43569827#2 43569827#7 43569848 30953391 424769002 424769005 424769006 424769004 30953396#1 387422132#0 387422132#1 486653633#0 484953506#3 484953506#4 424769003#0 424769003#1 387422132#0 387422132#1 388756840 12202537#1 12202537#2 12202537#3 485017368 485017367#0 12185366#0 12178852#0 12178852#1 386995495#0 386995495#1 -386995507#7 -386995507#6 -386995507#5 -386995507#4 -386995507#3 310315797#0 310315797#1 386995479#3 12182281#5 12182281#6 12182281#7 12182281#8 -12175537#3 12138978 12201597#2 12114363#1 -50033059#4 12175537#0 12175537#2 12175537#3 12175537#4 12162659#2 12159485 12161358#7 12161358#8 386995507#6 386995507#7 386995521#0 386995521#1 12154359#3 12154359#4 12154359#5 12154359#6 12154359#7 101350669 -386995537 -386995526#1 -386995526#0 -43357814#3 12175537#8 12175537#9 12175537#10 12175537#11 12175537#12 12155177#1 386995531#4 12172918#2 gneE73 gneE75.0 gneE80.125"/&gt;" probability="0.0384615384615385"/&gt;</t>
  </si>
  <si>
    <t xml:space="preserve">    &lt;route id="Router3_148" edges="49887339#0.596 49887339#0-AddedOffRampEdge 49887339#1 49887339#1-AddedOffRampEdge 104524021 104524021-AddedOffRampEdge 12158873 121643865#0 12110705 50715233#0 50715233#0-AddedOffRampEdge 50715233#1.0 62203285#14.24 gneE59.30.0.55 gneE59.30.0.0 gneE59.0.0 gneE59.0.12 62203360#0 291433361#0 132508433.0 -gneE6.0 gneE81.299.0 gneE81.299.79 gneE81.299.145 -gneE8 12154353#0 196393941#1 196393941#2 28533986 43539369#2 12178843#2 12178843#3 49960982#2 43569828#0 387422128#1 43569827#0 43569827#1 43569827#2 43569827#7 43569848 30953391 424769002 424769005 424769006 424769004 30953396#1 387422132#0 387422132#1 486653633#0 484953506#3 484953506#4 424769003#0 424769003#1 387422132#0 387422132#1 388756840 12202537#1 12202537#2 12202537#3 485017368 485017367#0 12185366#0 12178852#0 12178852#1 386995495#0 386995495#1 -386995507#7 -386995507#6 -386995507#5 -386995507#4 -386995507#3 310315797#0 310315797#1 386995479#3 12182281#5 12182281#6 12182281#7 12182281#8 -12175537#3 12138978 12201597#2 12114363#1 -50033059#4 12175537#0 12175537#2 12175537#3 12175537#4 12175537#5 12175537#6 12175537#7 -43357814#2 42706837#4 42706837#5 42706837#6 42706837#7 42706837#8 12155177#0 12175537#13 12172918#1 12172918#2 gneE73 gneE75.0 gneE80.125" probability="0.0384615384615385"/&gt;</t>
  </si>
  <si>
    <t xml:space="preserve">    &lt;route id="Router3_149" edges="49887339#0.596 49887339#0-AddedOffRampEdge 49887339#1 49887339#1-AddedOffRampEdge 104524021 104524021-AddedOffRampEdge 12158873 121643865#0 12110705 50715233#0 50715233#0-AddedOffRampEdge 50715233#1.0 62203285#14.24 gneE59.30.0.55 gneE59.30.0.0 gneE59.0.0 gneE59.0.12 62203360#0 291433361#0 132508433.0 -gneE6.0 gneE81.299.0 gneE81.299.79 gneE81.299.145 -gneE8 12154353#0 196393941#1 196393941#2 28533986 43539369#2 12178843#2 12178843#3 49960982#2 43569828#0 387422128#1 43569827#0 43569827#1 43569827#2 43569827#7 43569848 30953391 424769002 424769005 424769006 424769004 30953396#1 387422132#0 387422132#1 486653633#0 484953506#3 484953506#4 424769003#0 424769003#1 387422132#0 387422132#1 388756840 12202537#1 12202537#2 12202537#3 485017368 485017367#0 12185366#0 12178852#0 12178852#1 386995495#0 386995495#1 -386995507#7 -386995507#6 -386995507#5 -386995507#4 -386995507#3 310315797#0 310315797#1 386995479#3 12182281#5 12182281#6 12182281#7 12182281#8 -12175537#3 12138978 12201597#2 12114363#1 -50033059#4 12175537#0 12175537#2 12175537#3 12175537#4 12175537#5 12175537#6 12175537#7 -43357814#2 42706837#4 42706837#5 42706837#6 42706837#7 42706837#8 42706837#9 12172918#0 12172918#1 12172918#2 gneE73 gneE75.0 gneE80.125" probability="0.0384615384615385"/&gt;</t>
  </si>
  <si>
    <t xml:space="preserve">    &lt;route id="Router3_150" edges="49887339#0.596 49887339#0-AddedOffRampEdge 49887339#1 49887339#1-AddedOffRampEdge 104524021 104524021-AddedOffRampEdge 12158873 121643865#0 12110705 50715233#0 50715233#0-AddedOffRampEdge 50715233#1.0 62203285#14.24 gneE59.30.0.55 gneE59.30.0.0 gneE59.0.0 gneE59.0.12 62203360#0 291433361#0 132508433.0 -gneE6.0 gneE81.299.0 gneE81.299.79 gneE81.299.145 -gneE8 12154353#0 196393941#1 196393941#2 28533986 43539369#2 12178843#2 12178843#3 49960982#2 43569828#0 387422128#1 43569827#0 43569827#1 43569827#2 43569827#7 43569848 30953391 424769002 424769005 424769006 424769004 30953396#1 387422132#0 387422132#1 486653633#0 484953506#3 484953506#4 424769003#0 424769003#1 387422132#0 387422132#1 388756840 12202537#1 12202537#2 12202537#3 485017368 485017367#0 12185366#0 12178852#0 12178852#1 386995495#0 386995495#1 -386995507#7 -386995507#6 -386995507#5 -386995507#4 -386995507#3 310315797#0 310315797#1 386995479#3 12182281#5 12182281#6 12182281#7 12182281#8 -12175537#3 12138978 12201597#2 12114363#1 -50033059#4 12175537#0 12175537#2 12175537#3 12175537#4 12175537#5 12175537#6 12175537#7 12175537#8 12175537#9 12154359#6 386995531#1 12174155#0 -12175537#10 -12175537#9 -12175537#8 -12175537#7 12152013#3 12167232#3 386995531#0 12154359#7 101350669 -386995537 -386995526#1 -386995526#0 -43357814#3 -43357814#2 42706837#4 42706837#5 42706837#6 42706837#7 42706837#8 42706837#9 12172918#0 12172918#1 12172918#2 gneE73 gneE75.0 gneE80.125" probability="0.0384615384615385"/&gt;</t>
  </si>
  <si>
    <t xml:space="preserve">    &lt;route id="Router3_151" edges="49887339#0.596 49887339#0-AddedOffRampEdge 49887339#1 49887339#1-AddedOffRampEdge 104524021 104524021-AddedOffRampEdge 12158873 121643865#0 12110705 50715233#0 50715233#0-AddedOffRampEdge 50715233#1.0 62203285#14.24 gneE59.30.0.55 gneE59.30.0.0 gneE59.0.0 gneE59.0.12 62203360#0 291433361#0 132508433.0 -gneE6.0 gneE81.299.0 gneE81.299.79 gneE81.299.145 -gneE8 12154353#0 196393941#1 196393941#2 28533986 43539369#2 12178843#2 12178843#3 49960982#2 43569828#0 387422128#1 43569827#0 43569827#1 43569827#2 43569827#7 43569848 30953391 424769002 424769005 424769006 424769004 30953396#1 387422132#0 387422132#1 486653633#0 484953506#3 484953506#4 424769003#0 424769003#1 387422132#0 387422132#1 388756840 12202537#1 12202537#2 12202537#3 485017368 485017367#0 12185366#0 12178852#0 12178852#1 386995495#0 386995495#1 -386995507#7 -386995507#6 -386995507#5 -386995507#4 -386995507#3 310315797#0 310315797#1 386995479#3 12182281#5 12182281#6 12182281#7 12182281#8 -12175537#3 12138978 12201597#2 12114363#1 -50033059#4 12175537#0 12175537#2 12175537#3 12175537#4 12175537#5 12175537#6 12175537#7 12175537#8 12175537#9 12154359#6 386995531#1 12174155#0 -12175537#10 -12175537#9 -12175537#8 -12175537#7 12152013#3 12167232#3 386995531#0 12154359#7 101350669 -386995537 -386995526#1 -386995526#0 -43357814#3 12175537#8 12175537#9 12175537#10 12175537#11 12175537#12 12175537#13 12172918#1 12172918#2 gneE73 gneE75.0 gneE80.125" probability="0.0384615384615385"/&gt;</t>
  </si>
  <si>
    <t xml:space="preserve">    &lt;route id="Router3_152" edges="49887339#0.596 49887339#0-AddedOffRampEdge 49887339#1 49887339#1-AddedOffRampEdge 104524021 104524021-AddedOffRampEdge 12158873 121643865#0 12110705 50715233#0 50715233#0-AddedOffRampEdge 50715233#1.0 62203285#14.24 gneE59.30.0.55 gneE59.30.0.0 gneE59.0.0 gneE59.0.12 62203360#0 291433361#0 132508433.0 -gneE6.0 gneE81.299.0 gneE81.299.79 gneE81.299.145 -gneE8 12154353#0 196393941#1 196393941#2 28533986 43539369#2 12178843#2 12178843#3 49960982#2 43569828#0 387422128#1 43569827#0 43569827#1 43569827#2 43569827#7 43569848 30953391 424769002 424769005 424769006 424769004 30953396#1 387422132#0 387422132#1 486653633#0 484953506#3 484953506#4 424769003#0 424769003#1 387422132#0 387422132#1 388756840 12202537#1 12202537#2 12202537#3 485017368 485017367#0 12185366#0 12178852#0 12178852#1 386995495#0 386995495#1 -386995507#7 -386995507#6 -386995507#5 -386995507#4 -386995507#3 310315797#0 310315797#1 386995479#3 12182281#5 12182281#6 12182281#7 12182281#8 -12175537#3 485017371#0 484953507#1 12182281#8 12182281#9 12167232#0 12167232#1 12167232#2 12152013#4 51050425#4 386995537 386995551 387422150#0 387422150#1 386995531#3 386995531#4 12172918#2 gneE73 gneE75.0 gneE80.125" probability="0.0384615384615385"/&gt;</t>
  </si>
  <si>
    <t xml:space="preserve">    &lt;route id="Router3_153" edges="49887339#0.596 49887339#0-AddedOffRampEdge 49887339#1 49887339#1-AddedOffRampEdge 104524021 104524021-AddedOffRampEdge 12158873 121643865#0 12110705 50715233#0 50715233#0-AddedOffRampEdge 50715233#1.0 62203285#14.24 gneE59.30.0.55 gneE59.30.0.0 gneE59.0.0 gneE59.0.12 62203360#0 291433361#0 132508433.0 -gneE6.0 gneE81.299.0 gneE81.299.79 gneE81.299.145 -gneE8 12154353#0 196393941#1 196393941#2 28533986 43539369#2 12178843#2 12178843#3 49960982#2 43569828#0 387422128#1 43569827#0 43569827#1 43569827#2 43569827#7 43569848 30953391 424769002 424769005 424769006 424769004 30953396#1 387422132#0 387422132#1 486653633#0 484953506#3 484953506#4 424769003#0 424769003#1 387422132#0 387422132#1 388756840 12202537#1 12202537#2 12202537#3 485017368 485017367#0 12185366#0 12178852#0 12178852#1 386995495#0 386995495#1 -386995507#7 -386995507#6 -386995507#5 -386995507#4 -386995507#3 310315797#0 310315797#1 386995479#3 12182281#5 12182281#6 386995507#4 386995507#5 12161358#9 12161358#10 12161358#11 12171305#0 12171305#1 42706797#2 42706797#4.13 42706797#5 387422148#0 387422148#1 12172918#0 12172918#1 12172918#2 gneE73 gneE75.0 gneE80.125" probability="0.0384615384615385"/&gt;</t>
  </si>
  <si>
    <t xml:space="preserve">    &lt;route id="Router3_154" edges="49887339#0.596 49887339#0-AddedOffRampEdge 49887339#1 49887339#1-AddedOffRampEdge 104524021 104524021-AddedOffRampEdge 12158873 121643865#0 12110705 50715233#0 50715233#0-AddedOffRampEdge 50715233#1.0 62203285#14.24 gneE59.30.0.55 gneE59.30.0.0 gneE59.0.0 gneE59.0.12 62203360#0 291433361#0 132508433.0 -gneE6.0 gneE81.299.0 gneE81.299.79 gneE81.299.145 -gneE8 12154353#0 196393941#1 196393941#2 28533986 43539369#2 12178843#2 12178843#3 49960982#2 43569828#0 387422128#1 43569827#0 43569827#1 43569827#2 43569827#7 43569848 30953391 424769002 424769005 424769006 424769004 30953396#1 387422132#0 387422132#1 486653633#0 484953506#3 484953506#4 424769003#0 424769003#1 387422132#0 387422132#1 388756840 12202537#1 12202537#2 12202537#3 485017368 485017367#0 12185366#0 12178852#0 12178852#1 386995495#0 386995495#1 -386995507#7 -386995507#6 -386995507#5 -386995507#4 -386995507#3 310315797#0 310315797#1 386995479#3 12182281#5 12182281#6 386995507#4 386995507#5 386995507#6 386995507#7 386995521#0 386995521#1 386995521#2 386995521#3 387422148#1 12172918#0 -12175537#13 12155177#1 12155177#2 387422153#1 gneE73 gneE75.0 gneE80.125" probability="0.0384615384615385"/&gt;</t>
  </si>
  <si>
    <t xml:space="preserve">    &lt;route id="Router3_155" edges="49887339#0.596 49887339#0-AddedOffRampEdge 49887339#1 49887339#1-AddedOffRampEdge 104524021 104524021-AddedOffRampEdge 12158873 121643865#0 12110705 50715233#0 50715233#0-AddedOffRampEdge 50715233#1.0 62203285#14.24 gneE59.30.0.55 gneE59.30.0.0 gneE59.0.0 gneE59.0.12 62203360#0 291433361#0 132508433.0 -gneE6.0 gneE81.299.0 gneE81.299.79 gneE81.299.145 -gneE8 12154353#0 196393941#1 196393941#2 28533986 43539369#2 12178843#2 12178843#3 49960982#2 43569828#0 387422128#1 43569827#0 43569827#1 43569827#2 43569827#7 43569848 30953391 424769002 424769005 424769006 424769004 30953396#1 387422132#0 387422132#1 486653633#0 484953506#3 484953506#4 424769003#0 424769003#1 387422132#0 387422132#1 388756840 12202537#1 12202537#2 12202537#3 485017368 485017367#0 12185366#0 12178852#0 12178852#1 386995495#0 386995495#1 -386995507#7 -386995507#6 -386995507#5 -386995507#4 -386995507#3 310315797#0 310315797#1 386995479#3 386995479#4 386995479#5 386995479#6 386995490#0.0 12154359#1.20 12154359#2 -386995521#1 -386995521#0 43357814#0 43357814#1 42706837#4 42706837#5 12154359#5 12154359#6 386995531#1 386995531#2 386995531#3 386995531#4 12172918#2 gneE73 gneE75.0 gneE80.125" probability="0.0384615384615385"/&gt;</t>
  </si>
  <si>
    <t xml:space="preserve">    &lt;route id="Router3_156" edges="49887339#0.596 49887339#0-AddedOffRampEdge 49887339#1 49887339#1-AddedOffRampEdge 104524021 104524021-AddedOffRampEdge 12158873 121643865#0 12110705 50715233#0 50715233#0-AddedOffRampEdge 50715233#1.0 62203285#14.24 gneE59.30.0.55 gneE59.30.0.0 gneE59.0.0 gneE59.0.12 62203360#0 291433361#0 132508433.0 -gneE6.0 gneE81.299.0 gneE81.299.79 gneE81.299.145 -gneE8 12154353#0 196393941#1 196393941#2 28533986 43539369#2 12178843#2 12178843#3 49960982#2 43569828#0 387422128#1 43569827#0 43569827#1 43569827#2 43569827#7 43569848 30953391 424769002 424769005 424769006 424769004 30953396#1 387422132#0 387422132#1 486653633#0 484953506#3 484953506#4 424769003#0 424769003#1 387422132#0 387422132#1 388756840 12202537#1 12202537#2 12202537#3 485017368 485017367#0 12185366#0 12178852#0 12178852#1 386995495#0 386995495#1 -386995507#7 -386995507#6 12161358#9 12161358#10 12161358#11 12171305#0 12171305#1 42706797#2 42706797#4.13 42706797#5 387422148#0 387422148#1 12172918#0 12172918#1 12172918#2 gneE73 gneE75.0 gneE80.125" probability="0.0384615384615385"/&gt;</t>
  </si>
  <si>
    <t xml:space="preserve">    &lt;route id="Router3_157" edges="49887339#0.596 49887339#0-AddedOffRampEdge 49887339#1 49887339#1-AddedOffRampEdge 104524021 104524021-AddedOffRampEdge 12158873 121643865#0 12110705 50715233#0 50715233#0-AddedOffRampEdge 50715233#1.0 62203285#14.24 gneE59.30.0.55 gneE59.30.0.0 gneE59.0.0 gneE59.0.12 62203360#0 291433361#0 132508433.0 -gneE6.0 gneE81.299.0 gneE81.299.79 gneE81.299.145 -gneE8 12154353#0 196393941#1 196393941#2 28533986 43539369#2 12178843#2 12178843#3 49960982#2 43569828#0 387422128#1 43569827#0 43569827#1 43569827#2 43569827#7 43569848 30953391 424769002 424769005 424769006 424769004 30953396#1 387422132#0 387422132#1 486653633#0 484953506#3 484953506#4 424769003#0 424769003#1 387422132#0 387422132#1 388756840 12202537#1 12202537#2 12202537#3 485017368 485017367#0 12185366#0 12178852#0 12178852#1 386995495#0 386995495#1 -386995507#7 -386995507#6 12161358#9 12161358#10 386995479#6 386995490#0.0 12154359#1.20 12154359#2 -386995521#1 12172225 32121111#2 32121111#3 12152013#0 12152013#1 12152013#2 12175537#7 -43357814#2 42706837#4 42706837#5 42706837#6 42706837#7 42706837#8 12155177#0 12175537#13 12172918#1 12172918#2 gneE73 gneE75.0 gneE80.125" probability="0.0384615384615385"/&gt;</t>
  </si>
  <si>
    <t xml:space="preserve">    &lt;route id="Router3_158" edges="49887339#0.596 49887339#0-AddedOffRampEdge 49887339#1 49887339#1-AddedOffRampEdge 104524021 104524021-AddedOffRampEdge 12158873 121643865#0 12110705 50715233#0 50715233#0-AddedOffRampEdge 50715233#1.0 62203285#14.24 gneE59.30.0.55 gneE59.30.0.0 gneE59.0.0 gneE59.0.12 62203360#0 291433361#0 132508433.0 -gneE6.0 gneE81.299.0 gneE81.299.79 gneE81.299.145 -gneE8 12154353#0 196393941#1 196393941#2 28533986 43539369#2 12178843#2 12178843#3 49960982#2 43569828#0 387422128#1 43569827#0 43569827#1 43569827#2 43569827#7 43569848 30953391 424769002 424769005 424769006 424769004 30953396#1 387422132#0 387422132#1 486653633#0 484953506#3 484953506#4 424769003#0 424769003#1 387422132#0 387422132#1 388756840 12202537#1 12202537#2 12202537#3 485017368 485017367#0 12185366#0 12178852#0 12178852#1 386995495#0 386995495#1 -386995507#7 -386995507#6 12161358#9 12161358#10 386995479#6 386995490#0.0 12154359#1.20 12154359#2 -386995521#1 12172225 32121111#2 32121111#3 12152013#0 12152013#1 12152013#2 12175537#7 -43357814#2 42706837#4 42706837#5 42706837#6 42706837#7 42706837#8 42706837#9 12172918#0 12172918#1 12172918#2 gneE73 gneE75.0 gneE80.125" probability="0.0384615384615385"/&gt;</t>
  </si>
  <si>
    <t xml:space="preserve">    &lt;route id="Router3_159" edges="49887339#0.596 49887339#0-AddedOffRampEdge 49887339#1 49887339#1-AddedOffRampEdge 104524021 104524021-AddedOffRampEdge 12158873 121643865#0 12110705 50715233#0 50715233#0-AddedOffRampEdge 50715233#1.0 62203285#14.24 gneE59.30.0.55 gneE59.30.0.0 gneE59.0.0 gneE59.0.12 62203360#0 291433361#0 132508433.0 -gneE6.0 gneE81.299.0 gneE81.299.79 gneE81.299.145 -gneE8 12154353#0 196393941#1 196393941#2 28533986 43539369#2 12178843#2 12178843#3 49960982#2 43569828#0 387422128#1 43569827#0 43569827#1 43569827#2 43569827#7 43569848 30953391 424769002 424769005 424769006 424769004 30953396#1 387422132#0 387422132#1 486653633#0 484953506#3 484953506#4 424769003#0 424769003#1 387422132#0 387422132#1 388756840 12202537#1 12202537#2 12202537#3 485017368 485017367#0 12185366#0 12178852#0 12178852#1 386995495#0 386995495#1 -386995507#7 -386995507#6 12161358#9 12161358#10 386995479#6 386995490#0.0 12154359#1.20 32121111#1 32121111#2 32121111#3 12152013#0 12152013#1 12152013#2 12175537#7 -43357814#2 42706837#4 42706837#5 42706837#6 42706837#7 42706837#8 12155177#0 12175537#13 12172918#1 12172918#2 gneE73 gneE75.0 gneE80.125" probability="0.0384615384615385"/&gt;</t>
  </si>
  <si>
    <t xml:space="preserve">    &lt;route id="Router3_160" edges="49887339#0.596 49887339#0-AddedOffRampEdge 49887339#1 49887339#1-AddedOffRampEdge 104524021 104524021-AddedOffRampEdge 12158873 121643865#0 12110705 50715233#0 50715233#0-AddedOffRampEdge 50715233#1.0 62203285#14.24 gneE59.30.0.55 gneE59.30.0.0 gneE59.0.0 gneE59.0.12 62203360#0 291433361#0 132508433.0 -gneE6.0 gneE81.299.0 gneE81.299.79 gneE81.299.145 -gneE8 12154353#0 196393941#1 196393941#2 28533986 43539369#2 12178843#2 12178843#3 49960982#2 43569828#0 387422128#1 43569827#0 43569827#1 43569827#2 43569827#7 43569848 30953391 424769002 424769005 424769006 424769004 30953396#1 387422132#0 387422132#1 486653633#0 484953506#3 484953506#4 424769003#0 424769003#1 387422132#0 387422132#1 388756840 12202537#1 12202537#2 12202537#3 485017368 485017367#0 12185366#0 12178852#0 12178852#1 386995495#0 386995495#1 -386995507#7 -386995507#6 12161358#9 12161358#10 386995479#6 386995490#0.0 12154359#1.20 32121111#1 32121111#2 32121111#3 12152013#0 12152013#1 12152013#2 12175537#7 12175537#8 12175537#9 12175537#10 12175537#11 12175537#12 12155177#1 386995531#4 12172918#2 gneE73 gneE75.0 gneE80.125" probability="0.0384615384615385"/&gt;</t>
  </si>
  <si>
    <t xml:space="preserve">    &lt;route id="Router3_161" edges="49887339#0.596 49887339#0-AddedOffRampEdge 49887339#1 49887339#1-AddedOffRampEdge 104524021 104524021-AddedOffRampEdge 12158873 121643865#0 12110705 50715233#0 50715233#0-AddedOffRampEdge 50715233#1.0 62203285#14.24 gneE59.30.0.55 gneE59.30.0.0 gneE59.0.0 gneE59.0.12 62203360#0 291433361#0 132508433.0 -gneE6.0 gneE81.299.0 gneE81.299.79 gneE81.299.145 -gneE8 12154353#0 196393941#1 196393941#2 28533986 43539369#2 12178843#2 12178843#3 49960982#2 43569828#0 387422128#1 43569827#0 43569827#1 43569827#2 43569827#7 43569848 30953391 424769002 424769005 424769006 424769004 30953396#1 387422132#0 387422132#1 486653633#0 484953506#3 484953506#4 424769003#0 424769003#1 387422132#0 387422132#1 388756840 12202537#1 43357813 484953506#1 484953506#2 486653633#1 486653633#2 486653633#3 12182281#0 12182281#3 386995479#4 386995479#5 12161358#11 12171305#0 12171305#1 42706797#2 42706797#4.13 42706797#5 387422148#0 387422148#1 12172918#0 12172918#1 12172918#2 gneE73 gneE75.0 gneE80.125" probability="0.0384615384615385"/&gt;</t>
  </si>
  <si>
    <t xml:space="preserve">    &lt;route id="Router3_162" edges="49887339#0.596 49887339#0-AddedOffRampEdge 49887339#1 49887339#1-AddedOffRampEdge 104524021 104524021-AddedOffRampEdge 12158873 121643865#0 121643865#1 145605511#1-AddedOnRampEdge 145605511#12 145605511#1.148" probability="0.0384615384615385"/&gt;</t>
  </si>
  <si>
    <t xml:space="preserve">    &lt;route id="Router3_59" edges="196393940#0 62203285#0 62203285#2 62203285#3 62203285#5 62203285#6 62203285#7 62203286#0 62203286#2 59676508#0 -59676508#0 -62203286#2 -62203286#0 62203285#8 62203285#9 62203285#10 62203285#11 62203285#13 62203285#14.0 62203285#14.24 gneE59.30.0.55 gneE59.30.0.0 gneE59.0.0 gneE59.0.12 62203360#0 12159135 12149408#0 49914077 424767578 43569819 387422128#1 43569827#0 43569827#1 43569827#2 43569827#7 43569848 30953391 424769002 424769005 424769006 424769004 30953396#1 -424769003#1 -424769003#0 -485017374 42706828#0 42706828#2 12182281#0 12182281#3 12182281#5 12182281#6 386995507#4 386995507#5 386995507#6 12152013#1 12152013#2 -12175537#6 -12175537#5 -12175537#4 12182281#9 12182281#10 -388756839#1 -388756839#0 -50033059#4 -50033059#3 -50033059#2 -50033059#1 42706833#0 42706833#2 12189876#0 12189876#2 484953508#1 60185970#0 60185970#2 12149571#1 12187610#3 50033558#2 -12188656 -121319046 -42706825#7 12199713#0 12199713#1 -386995514#6 -386995514#5 -386995514#4 -386995514#3 194358817#0 194358817#1 194358817#2 12114363#0 12114363#1 -50033059#4 12175537#0 12175537#2 12175537#3 12175537#4 12175537#5 12175537#6 12175537#7 12175537#8 12175537#9 12175537#10 12175537#11 12175537#12 12155177#1 12155177#2 387422153#1 gneE73 gneE75.0 gneE80.125" probability="0.0384615384615385"/&gt;</t>
  </si>
  <si>
    <t>&lt;routeDistribution id="76-on-ramp-30th-676-WB-2010-RouteProbe"&gt;</t>
  </si>
  <si>
    <t xml:space="preserve">    &lt;route id="Router3_4" edges="-gneE80.0 -gneE80.17 -gneE41 gneE44 -388756838#2 -388756838#1 -388756838#0 42706817#0 386547310 gneE69 -388756838#2 -388756838#1 -388756838#0 -388756839#1 -388756839#0 -194358837#2 -194358837#0 194358838#0 194358838#1 194358838#2 194358838#3 387422145#0 387422145#3 386995499#0 386995499#2 -51155368#13 -51155368#10 -51155368#7 121319040#0 121319040#1 386995507#0 386995507#1 386995507#2 386995507#3 12182281#7 42706837#0 42706837#1 42706837#2 42706837#3 43357814#2 43357814#3 386995526#0 386995526#1 -51050425#4 -51050425#3 -51050425#2 12162659#0 12162659#1 -12175537#4 -12175537#3 -12175537#2 -12175537#1 -50033059#3 -50033059#2 -386995514#7 -12199713#2 12177498 42706833#2 51155368#0 -50033558#5 -50033558#3 -50033558#2 -62105579 -32121234#1 -32121234#0 42706874#0 42706874#2 12144152#0 12144152#2 12144152#4 12144152#6 12157151#0 12166276#2 -32121146#5 12117702#9 450844953#0 450844953#2 450844953#3 450844947#0 388533142#0 388533142#2 12189045#0 62623987#0 62623987#1 -12142631 12202018 62623986#1 62623986#2 -12189051#1 -262962063 -424080764 -424080768#1 -424080766 -104526265#1 30953497#0 30953497#2 30953497#3 42706585#0 42706585#1 30953320 30953320-AddedOffRampEdge 104526277 30953215#1-AddedOnRampEdge 30953215#1 121643865#0 121643865#1 145605511#1-AddedOnRampEdge 145605511#12 145605511#1.148" probability="0.142857142857143"/&gt;</t>
  </si>
  <si>
    <t>&lt;routeDistribution id="676-on-ramp-to-76-WB-2010-RouteProbe"&gt;</t>
  </si>
  <si>
    <t xml:space="preserve">    &lt;route id="Router3_50" edges="196393940#0 62203285#0 62203285#2 62203285#3 62203285#5 62203285#6 62203285#7 62203285#8 62203285#9 62203285#10 62203285#11 62203285#13 62203285#14.0 62203285#14.24 gneE59.30.0.55 gneE59.30.0.0 43539373#0.0.292.17 gneE58 gneE56 gneE54.0 62203360#0 291433361#0 132508433.0 -gneE6.0 gneE6.0 424765883 43539378#0.15 132508717#5 196393974#0 49914077 424767578 387422130#1 132508717#0 12149210#1 12151897#1 196393941#6 196393941#7 196393941#8 gneE87 196393974#0 388756841#0 49914076#0 12159673#0 12159673#1 393884751 43569848 30953391 12113092 51758697#1-AddedOnRampEdge 51758697#1" probability="0.2"/&gt;</t>
  </si>
  <si>
    <t xml:space="preserve">    &lt;route id="Router3_51" edges="196393940#0 62203285#0 62203285#2 62203285#3 62203285#5 62203285#6 62203285#7 62203285#8 62203285#9 62203285#10 62203285#11 62203285#13 62203285#14.0 62203285#14.24 gneE59.30.0.55 gneE59.30.0.0 gneE59.0.0 gneE59.0.12 62203360#0 291433361#0 132508433.0 -gneE6.0 gneE81.299.0 gneE81.299.79 gneE81.299.145 -gneE8 12154353#0 196393941#1 196393941#2 28533986 43539369#2 12178843#2 12178843#3 49960982#2 43569828#0 387422128#1 43569827#0 43569827#1 43569827#2 43569827#7 43569848 30953391 424769002 424769005 424769006 424769004 30953396#1 387422132#0 387422132#1 486653633#0 484953506#3 484953506#4 12157002#0 12157002#1 12157002#3 12157002#5 12114396#4 -12156992#10 -12156992#8 -12156992#7 -12156992#6 -12156992#5 -12156992#4 -12156992#3 -12156992#2 -12156992#1 -386547297#1 -424080772#2 -424080772#1 -262962065#1 -262962063 -424080764 -424080768#1 -424080766 -104526265#1 30953497#0 30953497#2 30953497#3 42706585#0 42706585#1 30953320 30953320-AddedOffRampEdge 104526277 30953215#1-AddedOnRampEdge 30953215#1 121643865#0 12110705 50715233#0 50715233#0-AddedOffRampEdge 50715233#1.0 62203285#14.24 gneE59.30.0.55 gneE59.30.0.0 43539373#0.0.292.17 gneE58 gneE56 gneE54.0 62203360#0 291433361#0 132508433.0 -gneE6.0 gneE6.0 424765883 43539378#0.15 132508717#5 196393974#0 49914077 424767578 387422130#1 132508717#0 12149210#1 12151897#1 196393941#6 196393941#7 196393941#8 gneE87 196393974#0 388756841#0 49914076#0 12159673#0 12159673#1 393884751 43569848 30953391 12113092 51758697#1-AddedOnRampEdge 51758697#1" probability="0.2"/&gt;</t>
  </si>
  <si>
    <t>&lt;routeDistribution id="22ndst-676-overpass-EB-2010-RouteProbe"&gt;</t>
  </si>
  <si>
    <t xml:space="preserve">    &lt;route id="Router3_52" edges="196393940#0 62203285#0 62203285#2 62203285#3 62203285#5 62203285#6 62203285#7 62203285#8 62203285#9 62203285#10 62203285#11 62203285#13 62203285#14.0 62203285#14.24 gneE59.30.0.55 gneE59.30.0.0 gneE59.0.0 gneE59.0.12 62203360#0 291433361#0 132508433.0 -gneE6.0 gneE81.299.0 gneE81.299.79 gneE81.299.145 -gneE8 12154353#0 196393941#1 196393941#2 28533986 43539369#2 12178843#2 12178843#3 49960982#2 43569828#0 387422128#1 43569827#0 43569827#1 43569827#2 43569827#7 43569848 30953391 424769002 424769005 424769006 424769004 30953396#1 387422132#0 387422132#1 486653633#0 484953506#3 484953506#4 12157002#0 12157002#1 12157002#3 12157002#5 12114396#4 -12156992#10 -12156992#8 -12156992#7 -12156992#6 -12156992#5 -12156992#4 -12156992#3 -12156992#2 -12156992#1 -386547297#1 -424080772#2 -424080772#1 -262962065#1 -262962063 -424080764 -424080768#1 -424080766 -104526265#1 30953497#0 30953497#2 30953497#3 42706585#0 42706585#1 30953320 30953320-AddedOffRampEdge 104526277 30953215#1-AddedOnRampEdge 30953215#1 121643865#0 12110705 50715233#0 50715233#0-AddedOffRampEdge 50715233#1.0 62203285#14.24 gneE59.30.0.55 gneE59.30.0.0 43539373#0.0.292.17 gneE58 gneE56 gneE54.0 62203360#0 291433361#0 132508433.0 -gneE6.0 gneE6.0 424765883 43570920#0.22 132508717#4 43539378#1 43569848 30953391 12113092 51758697#1-AddedOnRampEdge 51758697#1" probability="0.0161290322580645"/&gt;</t>
  </si>
  <si>
    <t xml:space="preserve">    &lt;route id="Router3_53" edges="196393940#0 62203285#0 62203285#2 62203285#3 62203285#5 62203285#6 62203285#7 62203285#8 62203285#9 62203285#10 62203285#11 62203285#13 62203285#14.0 62203285#14.24 gneE59.30.0.55 gneE59.30.0.0 gneE59.0.0 gneE59.0.12 62203360#0 291433361#0 132508433.0 -gneE6.0 gneE81.299.0 gneE81.299.79 gneE81.299.145 -gneE8 12154353#0 196393941#1 196393941#2 28533986 43539369#2 12178843#2 12178843#3 49960982#2 43569828#0 387422128#1 43569827#0 43569827#1 43569827#2 43569827#7 43569848 30953391 424769002 424769005 424769006 424769004 30953396#1 387422132#0 387422132#1 486653633#0 484953506#3 484953506#4 12157002#0 12157002#1 12157002#3 12157002#5 12114396#4 -12156992#10 -12156992#8 -12156992#7 -12156992#6 -12156992#5 -12156992#4 -12156992#3 -12156992#2 -12156992#1 -386547297#1 -424080772#2 -424080772#1 -262962065#1 -262962063 -424080764 -424080768#1 -424080766 -104526265#1 30953497#0 30953497#2 30953497#3 42706585#0 42706585#1 30953320 30953320-AddedOffRampEdge 104526277 30953215#1-AddedOnRampEdge 30953215#1 121643865#0 12110705 50715233#0 50715233#0-AddedOffRampEdge 50715233#1.0 62203285#14.24 gneE59.30.0.55 gneE59.30.0.0 gneE59.0.0 gneE59.0.12 62203360#0 12159135 12149408#0 49914077 424767578 43569819 387422128#1 43569827#0 43569827#1 43569827#2 43569827#7 43569848 30953391 424769002 424769005 424769006 424769004 30953396#1 -424769003#1 -424769003#0 -485017374 42706828#0 42706828#2 12182281#0 12182281#3 12182281#5 12182281#6 386995507#4 386995507#5 386995507#6 12152013#1 12152013#2 -12175537#6 -12175537#5 -12175537#4 12182281#9 12182281#10 -388756839#1 -388756839#0 -50033059#4 -50033059#3 -50033059#2 -50033059#1 42706833#0 42706833#2 12189876#0 12189876#2 484953508#1 60185970#0 60185970#2 12149571#1 12187610#3 50033558#2 -12188656 -121319046 -42706825#7 12199713#0 12199713#1 -386995514#6 -386995514#5 -386995514#4 -386995514#3 194358817#0 194358817#1 194358817#2 12114363#0 12114363#1 -50033059#4 12175537#0 12175537#2 12175537#3 12175537#4 12175537#5 12175537#6 12175537#7 12175537#8 12175537#9 12175537#10 12175537#11 12175537#12 12155177#1 12155177#2 387422153#1 gneE73 gneE75.0 gneE80.125" probability="0.0161290322580645"/&gt;</t>
  </si>
  <si>
    <t xml:space="preserve">    &lt;route id="Router3_59" edges="196393940#0 62203285#0 62203285#2 62203285#3 62203285#5 62203285#6 62203285#7 62203286#0 62203286#2 59676508#0 -59676508#0 -62203286#2 -62203286#0 62203285#8 62203285#9 62203285#10 62203285#11 62203285#13 62203285#14.0 62203285#14.24 gneE59.30.0.55 gneE59.30.0.0 gneE59.0.0 gneE59.0.12 62203360#0 12159135 12149408#0 49914077 424767578 43569819 387422128#1 43569827#0 43569827#1 43569827#2 43569827#7 43569848 30953391 424769002 424769005 424769006 424769004 30953396#1 -424769003#1 -424769003#0 -485017374 42706828#0 42706828#2 12182281#0 12182281#3 12182281#5 12182281#6 386995507#4 386995507#5 386995507#6 12152013#1 12152013#2 -12175537#6 -12175537#5 -12175537#4 12182281#9 12182281#10 -388756839#1 -388756839#0 -50033059#4 -50033059#3 -50033059#2 -50033059#1 42706833#0 42706833#2 12189876#0 12189876#2 484953508#1 60185970#0 60185970#2 12149571#1 12187610#3 50033558#2 -12188656 -121319046 -42706825#7 12199713#0 12199713#1 -386995514#6 -386995514#5 -386995514#4 -386995514#3 194358817#0 194358817#1 194358817#2 12114363#0 12114363#1 -50033059#4 12175537#0 12175537#2 12175537#3 12175537#4 12175537#5 12175537#6 12175537#7 12175537#8 12175537#9 12175537#10 12175537#11 12175537#12 12155177#1 12155177#2 387422153#1 gneE73 gneE75.0 gneE80.125" probability="0.0161290322580645"/&gt;</t>
  </si>
  <si>
    <t xml:space="preserve">    &lt;route id="Router3_60" edges="196393940#0 62203285#0 62203285#2 62203285#3 62203285#5 62203285#6 62203285#7 62203286#0 62203286#2 59676508#0 -59676508#0 -62203286#2 -62203286#0 62203285#8 62203285#9 62203285#10 62203285#11 62203285#13 62203285#14.0 62203285#14.24 gneE59.30.0.55 gneE59.30.0.0 gneE59.0.0 gneE59.0.12 62203360#0 12159135 291433360#0 388756841#0 49914076#0 12111949#0 43539384#1.0 424764853 43539372 12167183.0 gneE82 gneE56 gneE54.0 gneE62.13 gneE81.0 gneE6.0 424765883 43539378#0.15 43539378#1 43569848 30953391 12113092 51758697#1-AddedOnRampEdge 51758697#1" probability="0.0161290322580645"/&gt;</t>
  </si>
  <si>
    <t xml:space="preserve">    &lt;route id="Router3_61" edges="196393940#0 62203285#0 62203285#2 62203285#3 62203285#5 62203285#6 62203285#7 62203286#0 62203286#2 59676508#0 -59676508#0 -62203286#2 -62203286#0 62203285#8 62203285#9 62203285#10 62203285#11 62203285#13 62203285#14.0 62203285#14.24 gneE59.30.0.55 gneE59.30.0.0 gneE59.0.0 gneE59.0.12 62203360#0 291433361#0 132508433.0 -gneE6.0 gneE81.299.0 gneE81.299.79 gneE81.299.145 -gneE8 12154353#0 196393941#1 196393941#2 28533986 43539369#2 12178843#2 12178843#3 49960982#2 43569828#0 387422128#1 43569827#0 43569827#1 43569827#2 43569827#7 43569848 30953391 424769002 424769005 424769006 424769004 30953396#1 387422132#0 387422132#1 486653633#0 484953506#3 484953506#4 12157002#0 12157002#1 12157002#3 12157002#5 12114396#4 -12156992#10 -12156992#8 -12156992#7 -12156992#6 -12156992#5 -12156992#4 -12156992#3 -12156992#2 -12156992#1 -386547297#1 -424080772#2 -424080772#1 -262962065#1 -262962063 -424080764 -424080768#1 -424080766 -104526265#1 30953497#0 30953497#2 30953497#3 42706585#0 42706585#1 30953320 30953320-AddedOffRampEdge 104526277 30953215#1-AddedOnRampEdge 30953215#1 121643865#0 12110705 50715233#0 50715233#0-AddedOffRampEdge 50715233#1.0 62203285#14.24 gneE59.30.0.55 gneE59.30.0.0 43539373#0.0.292.17 gneE58 gneE56 gneE54.0 62203360#0 291433361#0 132508433.0 -gneE6.0 gneE6.0 424765883 43539378#0.15 132508717#5 196393974#0 49914077 424767578 387422130#1 132508717#0 12149210#1 12151897#1 196393941#6 196393941#7 196393941#8 gneE87 196393974#0 388756841#0 49914076#0 12159673#0 12159673#1 393884751 43569848 30953391 12113092 51758697#1-AddedOnRampEdge 51758697#1" probability="0.0161290322580645"/&gt;</t>
  </si>
  <si>
    <t xml:space="preserve">    &lt;route id="Router3_62" edges="196393940#0 62203285#0 62203285#2 62203285#3 62203285#5 62203285#6 62203285#7 62203286#0 62203286#2 59676508#0 -59676508#0 -62203286#2 -62203286#0 62203285#8 62203285#9 62203285#10 62203285#11 62203285#13 62203285#14.0 62203285#14.24 gneE59.30.0.55 gneE59.30.0.0 gneE59.0.0 gneE59.0.12 62203360#0 291433361#0 132508433.0 -gneE6.0 gneE81.299.0 gneE81.299.79 gneE81.299.145 -gneE8 12154353#0 196393941#1 196393941#2 28533986 43539369#2 12178843#2 12178843#3 49960982#2 43569828#0 387422128#1 43569827#0 43569827#1 43569827#2 43569827#7 43569848 30953391 424769002 424769005 424769006 424769004 30953396#1 387422132#0 387422132#1 486653633#0 484953506#3 484953506#4 12157002#0 12157002#1 12157002#3 12157002#5 12114396#4 -12156992#10 -12156992#8 -12156992#7 -12156992#6 -12156992#5 -12156992#4 -12156992#3 -12156992#2 -12156992#1 -386547297#1 -424080772#2 -424080772#1 -262962065#1 -262962063 -424080764 -424080768#1 -424080766 -104526265#1 30953497#0 30953497#2 35920555#0.0 35920555#0.75 62203066 43331031.0 43331031.436 42706585#0 42706585#1 30953320 30953320-AddedOffRampEdge 30953315 104526276-AddedOnRampEdge 104526276 51758697#0 51758697#1-AddedOnRampEdge 51758697#1" probability="0.0161290322580645"/&gt;</t>
  </si>
  <si>
    <t xml:space="preserve">    &lt;route id="Router3_66" edges="31909473.0 31909473.857 62634019#1-AddedOnRampEdge 62634019#1 30953036 424081476 -424987520 -30953029#1 -30953029#0 -424987519 12169718#0 12169718#1 424804090#0 424804090#1 424804090#2 424804090#3 424804090#4 132508920#2 132508920#3 132508920#4 132508920#5 424080762#0 424080762#1 424080762#2 424080762#3 424080762#4 424080762#5 179915585#2 12171853#2 12198567#4 12198567#5 12152219#0 12152219#1 12152236 132508920#12 132508897#0 132508897#1 132508897#2 132508897#3 394179820#0 394179820#1 394179820#2 394179820#3 394179820#4 196355327#1 196355327#2 196355327#5 196393940#1 196207112#0 32122059#1 424080774 262962068#0.0 30953497#0 30953497#2 30953497#3 42706585#0 42706585#1 30953320 30953320-AddedOffRampEdge 104526277 30953215#1-AddedOnRampEdge 30953215#1 121643865#0 12110705 50715233#0 50715233#0-AddedOffRampEdge 50715233#1.0 62203285#14.24 gneE59.30.0.55 gneE59.30.0.0 43539373#0.0.292.17 gneE58 gneE56 gneE54.0 62203360#0 291433361#0 132508433.0 -gneE6.0 gneE6.0 424765883 43570920#0.22 132508717#4 43539378#1 43569848 30953391 12113092 51758697#1-AddedOnRampEdge 51758697#1" probability="0.0161290322580645"/&gt;</t>
  </si>
  <si>
    <t xml:space="preserve">    &lt;route id="Router3_68" edges="31909473.0 31909473.857 62634019#1-AddedOnRampEdge 62634019#1 30953036 424081476 -424987520 -30953029#1 -30953029#0 -424987519 12169718#0 179915585#0 193223837#0 193223837#1 12198567#1 12198567#2 12198567#3 12171853#3 12171853#4 12171853#5 12171853#6 132508920#8 132508920#9 132508920#10 132508920#12 132508983#0 132508983#3 132508983#5 132508740#0 132508740#2 -12165829#1 132508646#0 132508646#2 132508646#3 394179820#0 394179820#1 394179820#2 394179820#3 450844975 450844970#0 196355332#0 450844979#0.0 12114109#0.45.0 59671945#0.30 62093806#0 30953497#0 30953497#2 30953497#3 42706585#0 42706585#1 30953320 30953320-AddedOffRampEdge 104526277 30953215#1-AddedOnRampEdge 30953215#1 121643865#0 12110705 50715233#0 50715233#0-AddedOffRampEdge 50715233#1.0 62203285#14.24 gneE59.30.0.55 gneE59.30.0.0 43539373#0.0.292.17 gneE58 gneE56 gneE54.0 62203360#0 291433361#0 132508433.0 -gneE6.0 gneE6.0 424765883 43539378#0.15 132508717#5 196393974#0 49914077 424767578 387422130#1 132508717#0 12149210#1 12151897#1 196393941#6 196393941#7 196393941#8 gneE87 196393974#0 388756841#0 49914076#0 12159673#0 12159673#1 393884751 43569848 30953391 12113092 51758697#1-AddedOnRampEdge 51758697#1" probability="0.0161290322580645"/&gt;</t>
  </si>
  <si>
    <t xml:space="preserve">    &lt;route id="Router3_69" edges="31909473.0 31909473.857 62634019#1-AddedOnRampEdge 62634019#1 30953036 424081476 -424987520 -30953029#1 -30953029#0 -424987519 12169718#0 179915585#0 193223837#0 193223837#1 12198567#1 12198567#2 12198567#3 12171853#3 12171853#4 12171853#5 12171853#6 132508920#8 132508920#9 132508920#10 132508920#12 132508983#0 132508983#3 132508983#5 132508740#0 132508740#2 -12165829#1 132508646#0 132508646#2 132508646#3 394179820#0 394179820#1 394179820#2 394179820#3 450844975 450844970#0 196355332#0 450844979#0.0 12114109#0.45.0 59671945#0.30 62093806#0 30953497#0 30953497#2 30953497#3 42706585#0 42706585#1 30953320 30953320-AddedOffRampEdge 104526277 30953215#1-AddedOnRampEdge 30953215#1 121643865#0 12110705 50715233#0 50715233#0-AddedOffRampEdge 50715233#1.0 62203285#14.24 gneE59.30.0.55 gneE59.30.0.0 43539373#0.0.292.17 gneE58 gneE56 gneE54.0 62203360#0 291433361#0 132508433.0 -gneE6.0 gneE6.0 424765883 43570920#0.22 132508717#4 43539378#1 43569848 30953391 12113092 51758697#1-AddedOnRampEdge 51758697#1" probability="0.0161290322580645"/&gt;</t>
  </si>
  <si>
    <t xml:space="preserve">    &lt;route id="Router3_71" edges="31909473.0 31909473.857 62634019#1-AddedOnRampEdge 62634019#1 30953036 424081476 424081472 424081473 424081470 30953025#0 30953025#2 30953025#3 30953025#4 50033060#0 12134479#5 450844973#0 388533144#0 388533144#6 388533144#11 450695475#0 137364609#0 137364609#3 137364609#5 450695473#0 386547305#0 gneE23 -gneE20.0 -gneE21.54 -gneE21.0 59435515#0 59435515#1 59435515#2 59435515#3 59435515#4 424801338#1 12117702#0 12117702#4 12117702#7 -32121146#3 -32121146#1 -424769197#2 12144152#0 12144152#2 12144152#4 12144152#6 12157151#0 12166276#2 -32121146#5 12117702#9 450844953#0 450844953#2 450844953#3 450844947#0 388533142#0 388533142#2 12189045#0 62623987#0 62623987#1 -12142631 12202018 62623986#1 62623986#2 -12189051#1 -262962063 -424080764 -424080768#1 -424080766 -104526265#1 30953497#0 30953497#2 30953497#3 42706585#0 42706585#1 30953320 30953320-AddedOffRampEdge 104526277 30953215#1-AddedOnRampEdge 30953215#1 121643865#0 12110705 50715233#0 50715233#0-AddedOffRampEdge 50715233#1.0 62203285#14.24 30908387 30908366#1-AddedOnRampEdge 30908366#1 121643863 121643862 51758697#0 51758697#1-AddedOnRampEdge 51758697#1 -gneE46.0 43357850.4841.18 gneE46 49887339#0.596 49887339#0-AddedOffRampEdge 49887339#1 49887339#1-AddedOffRampEdge 104524021 104524021-AddedOffRampEdge 50192637#0 50192637#1-AddedOnRampEdge 50192637#1.0.0 50192637#1.0.382.0.0 50192637#1.697 50192637#1-AddedOffRampEdge 30953181#1 30953181#2-AddedOnRampEdge 30953181#2 30953181#3-AddedOnRampEdge 30953181#3 30953181#3-AddedOffRampEdge 30952933#1.0 30952933#1.199" probability="0.0161290322580645"/&gt;</t>
  </si>
  <si>
    <t xml:space="preserve">    &lt;route id="Router3_85" edges="31909473.0 31909473.857 62634019#1-AddedOnRampEdge 62634019#1 62634019#2.0 62634019#2.242 62634019#3-AddedOnRampEdge 62634019#3 62634019#3-AddedOffRampEdge 12111747.0 59671945#0.30 62093806#0 104526265#0.14 424080766 424080768#0 104523976#1 262962063 12189051#0 -12189051#1 -262962063 -424080764 -424080768#1 -424080766 -104526265#1 30953497#0 30953497#2 30953497#3 42706585#0 42706585#1 30953320 30953320-AddedOffRampEdge 104526277 30953215#1-AddedOnRampEdge 30953215#1 121643865#0 12110705 50715233#0 50715233#0-AddedOffRampEdge 50715233#1.0 62203285#14.24 30908387 30908366#1-AddedOnRampEdge 30908366#1 121643863 121643862 51758697#0 51758697#1-AddedOnRampEdge 51758697#1 -gneE46.0 43357850.4841.18 gneE46 49887339#0.596 49887339#0-AddedOffRampEdge 49887339#1 49887339#1-AddedOffRampEdge 104524021 104524021-AddedOffRampEdge 50192637#0 50192637#1-AddedOnRampEdge 50192637#1.0.0 50192637#1.0.382.0.0 50192637#1.697 50192637#1-AddedOffRampEdge 30953181#1 30953181#2-AddedOnRampEdge 30953181#2 30953181#3-AddedOnRampEdge 30953181#3 30953181#3-AddedOffRampEdge 30952933#1.0 30952933#1.199" probability="0.0161290322580645"/&gt;</t>
  </si>
  <si>
    <t xml:space="preserve">    &lt;route id="Router3_86" edges="31909473.0 31909473.857 62634019#1-AddedOnRampEdge 62634019#1 62634019#2.0 62634019#2.242 62634019#3-AddedOnRampEdge 62634019#3 62634019#3-AddedOffRampEdge 12111747.0 59671945#0.30 62093806#0 104526265#0.14 424080766 424080768#0 104523976#1 262962063 12189051#0 -12189051#1 -262962063 -424080764 -424080768#1 -424080766 -104526265#1 30953497#0 30953497#2 30953497#3 42706585#0 42706585#1 30953320 30953320-AddedOffRampEdge 104526277 30953215#1-AddedOnRampEdge 30953215#1 121643865#0 12110705 50715233#0 50715233#0-AddedOffRampEdge 50715233#1.0 62203285#14.24 gneE59.30.0.55 gneE59.30.0.0 43539373#0.0.292.17 gneE58 gneE56 gneE54.0 62203360#0 291433361#0 132508433.0 -gneE6.0 gneE6.0 424765883 43570920#0.22 132508717#4 43539378#1 43569848 30953391 12113092 51758697#1-AddedOnRampEdge 51758697#1 -gneE46.0 43357850.4841.18 gneE46 49887339#0.596 49887339#0-AddedOffRampEdge 49887339#1 49887339#1-AddedOffRampEdge 104524021 104524021-AddedOffRampEdge 50192637#0 50192637#1-AddedOnRampEdge 50192637#1.0.0 50192637#1.0.382.0.0 50192637#1.697 50192637#1-AddedOffRampEdge 30953181#1 30953181#2-AddedOnRampEdge 30953181#2 30953181#3-AddedOnRampEdge 30953181#3 30953181#3-AddedOffRampEdge 30952933#1.0 30952933#1.199" probability="0.0161290322580645"/&gt;</t>
  </si>
  <si>
    <t xml:space="preserve">    &lt;route id="Router3_87" edges="31909473.0 31909473.857 62634019#1-AddedOnRampEdge 62634019#1 62634019#2.0 62634019#2.242 62634019#3-AddedOnRampEdge 62634019#3 62634019#3-AddedOffRampEdge 12111747.0 59671945#0.30 62093806#0 104526265#0.14 424080766 424080768#0 104523976#1 262962063 12189051#0 -12189051#1 -262962063 -424080764 -424080768#1 -424080766 -104526265#1 30953497#0 30953497#2 30953497#3 42706585#0 42706585#1 30953320 30953320-AddedOffRampEdge 104526277 30953215#1-AddedOnRampEdge 30953215#1 121643865#0 12110705 50715233#0 50715233#0-AddedOffRampEdge 50715233#1.0 62203285#14.24 gneE59.30.0.55 gneE59.30.0.0 43539373#0.0.292.17 gneE58 gneE56 gneE54.0 62203360#0 291433361#0 132508433.0 -gneE6.0 gneE6.0 424765883 43570920#0.22 132508717#4 43539378#1 43569848 30953391 12113092 51758697#1-AddedOnRampEdge 51758697#1" probability="0.0161290322580645"/&gt;</t>
  </si>
  <si>
    <t xml:space="preserve">    &lt;route id="Router3_88" edges="31909473.0 31909473.857 62634019#1-AddedOnRampEdge 62634019#1 62634019#2.0 62634019#2.242 62634019#3-AddedOnRampEdge 62634019#3 62634019#3-AddedOffRampEdge 12111747.0 59671945#0.30 62093806#0 104526265#0.14 424080766 424080768#0 104523976#1 262962063 12189051#0 -12189051#1 -262962063 -424080764 -424080768#1 -424080766 -104526265#1 30953497#0 30953497#2 30953497#3 42706585#0 42706585#1 30953320 30953320-AddedOffRampEdge 104526277 30953215#1-AddedOnRampEdge 30953215#1 121643865#0 12110705 50715233#0 50715233#0-AddedOffRampEdge 50715233#1.0 62203285#14.24 gneE59.30.0.55 gneE59.30.0.0 43539373#0.0.292.17 gneE58 gneE56 gneE54.0 gneE62.13 gneE81.0 gneE6.0 424765883 gneE87 196393957 132508433.0 -gneE6.0 gneE81.299.0 gneE81.299.79 gneE81.299.145 12178843#0 12178843#1 43539369#3 43539369#4 43539368#0 43570920#3 43570920#5 404615579 43569828#0 43539397#3 43569816#0 49914076#0 12167196#0.0.0 424764853 12149178#0 12149178#1 12149178#2 50189577 62203295 145605533#1-AddedOnRampEdge 145605533#1 145605511#1-AddedOnRampEdge 145605511#12 145605511#1.148" probability="0.0161290322580645"/&gt;</t>
  </si>
  <si>
    <t xml:space="preserve">    &lt;route id="Router3_89" edges="31909473.0 31909473.857 62634019#1-AddedOnRampEdge 62634019#1 62634019#2.0 62634019#2.242 62634019#3-AddedOnRampEdge 62634019#3 62634019#3-AddedOffRampEdge 12111747.0 59671945#0.30 62093806#0 104526265#0.14 424080766 424080768#0 104523976#1 262962063 12189051#0 -12189051#1 -262962063 -424080764 -424080768#1 -424080766 -104526265#1 30953497#0 30953497#2 30953497#3 42706585#0 42706585#1 30953320 30953320-AddedOffRampEdge 104526277 30953215#1-AddedOnRampEdge 30953215#1 121643865#0 12110705 50715233#0 50715233#0-AddedOffRampEdge 50715233#1.0 62203285#14.24 gneE59.30.0.55 gneE59.30.0.0 43539373#0.0.292.17 gneE58 gneE56 gneE54.0 gneE62.13 gneE81.0 gneE81.299.0 12138964.1128 196393941#8 gneE87 196393974#0 49914077 424767578 43569819 387422128#1 43569827#0 43569827#1 43569827#2 43569827#7 43569848 30953391 424769002 424769005 424769006 424769004 30953396#1 -424769003#1 -424769003#0 -485017374 42706828#0 42706828#2 12182281#0 12182281#3 12182281#5 12182281#6 386995507#4 386995507#5 386995507#6 12152013#1 12152013#2 -12175537#6 -12175537#5 -12175537#4 12182281#9 12182281#10 -388756839#1 -388756839#0 -50033059#4 -50033059#3 -50033059#2 -50033059#1 42706833#0 42706833#2 12189876#0 12189876#2 484953508#1 60185970#0 60185970#2 12149571#1 12187610#3 50033558#2 -12188656 -121319046 -42706825#7 12199713#0 12199713#1 -386995514#6 -386995514#5 -386995514#4 -386995514#3 194358817#0 194358817#1 194358817#2 12114363#0 12114363#1 -50033059#4 12175537#0 12175537#2 12175537#3 12175537#4 12175537#5 12175537#6 12175537#7 12175537#8 12175537#9 12175537#10 12175537#11 12175537#12 12155177#1 12155177#2 387422153#1 gneE73 gneE75.0 gneE80.125" probability="0.0161290322580645"/&gt;</t>
  </si>
  <si>
    <t xml:space="preserve">    &lt;route id="Router3_90" edges="31909473.0 31909473.857 62634019#1-AddedOnRampEdge 62634019#1 62634019#2.0 62634019#2.242 62634019#3-AddedOnRampEdge 62634019#3 62634019#3-AddedOffRampEdge 12111747.0 59671945#0.30 62093806#0 104526265#0.14 424080766 424080768#0 104523976#1 262962063 12189051#0 -12189051#1 -262962063 -424080764 -424080768#1 -424080766 -104526265#1 30953497#0 30953497#2 30953497#3 42706585#0 42706585#1 30953320 30953320-AddedOffRampEdge 104526277 30953215#1-AddedOnRampEdge 30953215#1 121643865#0 12110705 50715233#0 50715233#0-AddedOffRampEdge 50715233#1.0 62203285#14.24 gneE59.30.0.55 gneE59.30.0.0 gneE59.0.0 gneE59.0.12 62203360#0 291433361#0 132508433.0 -gneE6.0 gneE81.299.0 gneE81.299.79 gneE81.299.145 -gneE8 12154353#0 196393941#1 196393941#2 28533986 43539369#2 12178843#2 12178843#3 49960982#2 43569828#0 387422128#1 43569827#0 43569827#1 43569827#2 43569827#7 43569848 30953391 424769002 424769005 424769006 424769004 30953396#1 387422132#0 387422132#1 486653633#0 484953506#3 484953506#4 12157002#0 12157002#1 12157002#3 12157002#5 12114396#4 -12156992#10 -12156992#8 -12156992#7 -12156992#6 -12156992#5 -12156992#4 -12156992#3 -12156992#2 -12156992#1 -386547297#1 -424080772#2 -424080772#1 -262962065#1 -262962063 -424080764 -424080768#1 -424080766 -104526265#1 30953497#0 30953497#2 35920555#0.0 35920555#0.75 62203066 43331031.0 43331031.436 42706585#0 42706585#1 30953320 30953320-AddedOffRampEdge 30953315 104526276-AddedOnRampEdge 104526276 51758697#0 51758697#1-AddedOnRampEdge 51758697#1" probability="0.0161290322580645"/&gt;</t>
  </si>
  <si>
    <t xml:space="preserve">    &lt;route id="Router3_95" edges="31909473.0 31909473.857 62634019#1-AddedOnRampEdge 62634019#1 62634019#2.0 62634019#2.242 62634019#3-AddedOnRampEdge 62634019#3 62634019#3-AddedOffRampEdge 12111747.0 59671945#0.30 62093806#0 104526265#0.14 424080766 424080768#0 104523976#1 262962063 12189051#0 -12189051#1 424080770#0 424080772#0 12119506#0 -12156992#1 -386547297#1 -424080772#2 -424080772#1 -424080761#1 -62623960 62623959#0 386547296#0 386547296#1 424080773#0 279870839#0 279870839#2 450844960#0 62623926#1 450844950#0 38502259#0.19 450844933#1 196207115#0 196207115#2 196207115#3 196355332#0 450844979#0.0 450844982#0.19 62203497#0 62203497#2 62203497#3 12134479#1 34685684#0 34685684#2 388533143#0 388533143#2 12140627#0 63060729#0 -264253834#2 12156992#4 12156992#5 12156992#6 12156992#7 12156992#8 12156992#9 484953505 12148522#0 485017381#0 485017381#1 -30953396#1 30953396#1 -424769003#1 -424769003#0 12157002#0 12157002#1 12157002#3 12157002#5 12114396#4 -12156992#10 -12156992#8 -12156992#7 -12156992#6 -12156992#5 -12156992#4 -12156992#3 -12156992#2 -12156992#1 -386547297#1 -424080772#2 -424080772#1 -262962065#1 -262962063 -424080764 -424080768#1 -424080766 -104526265#1 30953497#0 30953497#2 30953497#3 42706585#0 42706585#1 30953320 30953320-AddedOffRampEdge 104526277 30953215#1-AddedOnRampEdge 30953215#1 121643865#0 12110705 50715233#0 50715233#0-AddedOffRampEdge 50715233#1.0 62203285#14.24 gneE59.30.0.55 gneE59.30.0.0 43539373#0.0.292.17 gneE58 gneE56 gneE54.0 gneE62.13 gneE81.0 gneE6.0 424765883 43539378#0.15 43539378#1 -393884751 12159702 424764853 12149178#0 50189796 50189564 12149178#2 145605533#0 145605533#1-AddedOnRampEdge 145605533#1 145605511#1-AddedOnRampEdge 145605511#12 145605511#1.148" probability="0.0161290322580645"/&gt;</t>
  </si>
  <si>
    <t xml:space="preserve">    &lt;route id="Router3_110" edges="31909473.0 31909473.857 62634019#1-AddedOnRampEdge 62634019#1 62634019#2.0 62634019#2.242 62634019#3-AddedOnRampEdge 62634019#3 62634019#3-AddedOffRampEdge 30953251#1.0 30953251#1-AddedOffRampEdge 12112003 30953215#1-AddedOnRampEdge 30953215#1 121643865#0 12110705 50715233#0 50715233#0-AddedOffRampEdge 50715233#1.0 62203285#14.24 30908387 30908366#1-AddedOnRampEdge 30908366#1 121643863 121643862 51758697#0 51758697#1-AddedOnRampEdge 51758697#1 -gneE46.0 43357850.4841.18 gneE46 49887339#0.596 49887339#0-AddedOffRampEdge 49887339#1 49887339#1-AddedOffRampEdge 104524021 104524021-AddedOffRampEdge 50192637#0 50192637#1-AddedOnRampEdge 50192637#1.0.0 50192637#1.0.382.0.0 50192637#1.697 50192637#1-AddedOffRampEdge 30953181#1 30953181#2-AddedOnRampEdge 30953181#2 30953181#3-AddedOnRampEdge 30953181#3 30953181#3-AddedOffRampEdge 30952933#1.0 30952933#1.199" probability="0.0161290322580645"/&gt;</t>
  </si>
  <si>
    <t xml:space="preserve">    &lt;route id="Router3_111" edges="31909473.0 31909473.857 62634019#1-AddedOnRampEdge 62634019#1 62634019#2.0 62634019#2.242 62634019#3-AddedOnRampEdge 62634019#3 62634019#3-AddedOffRampEdge 30953251#1.0 30953251#1-AddedOffRampEdge 12112003 30953215#1-AddedOnRampEdge 30953215#1 121643865#0 12110705 50715233#0 50715233#0-AddedOffRampEdge 50715233#1.0 62203285#14.24 30908387 30908366#1-AddedOnRampEdge 30908366#1 121643863 121643862 51758697#0 51758697#1-AddedOnRampEdge 51758697#1" probability="0.0161290322580645"/&gt;</t>
  </si>
  <si>
    <t xml:space="preserve">    &lt;route id="Router3_112" edges="31909473.0 31909473.857 62634019#1-AddedOnRampEdge 62634019#1 62634019#2.0 62634019#2.242 62634019#3-AddedOnRampEdge 62634019#3 62634019#3-AddedOffRampEdge 30953251#1.0 30953251#1-AddedOffRampEdge 12112003 30953215#1-AddedOnRampEdge 30953215#1 121643865#0 12110705 50715233#0 50715233#0-AddedOffRampEdge 50715233#1.0 62203285#14.24 gneE59.30.0.55 gneE59.30.0.0 gneE59.0.0 gneE59.0.12 62203360#0 12159135 12149408#0 49914077 424767578 43569819 387422128#1 43569827#0 43569827#1 43569827#2 43569827#7 43569848 30953391 424769002 424769005 424769006 424769004 30953396#1 -424769003#1 -424769003#0 -485017374 42706828#0 42706828#2 12182281#0 12182281#3 12182281#5 12182281#6 386995507#4 386995507#5 386995507#6 12152013#1 12152013#2 -12175537#6 -12175537#5 -12175537#4 12182281#9 12182281#10 -388756839#1 -388756839#0 -50033059#4 -50033059#3 -50033059#2 -50033059#1 -50033558#8 -51155368#3 121319046 12188656 -50033558#2 12203859#0 12203859#1 42706831#4 42706831#5 42706831#6 42706874#0 42706874#2 12144152#0 12144152#2 450844953#0 450844953#2 450844953#3 450844947#0 388533142#0 388533142#2 388533142#4 62623926#0 62623926#1 450844950#0 12189453#0.0.0 450844982#0.19 62203497#0 62203497#2 62203497#3 12134479#1 34685684#0 34685684#2 388533143#0 388533143#2 12140627#0 63060729#0 -264253834#2 12156992#4 12156992#5 12156992#6 12156992#7 12156992#8 12156992#9 -12114396#5 -12114396#3 -12114396#1 485017383#0 485017382#0 485017382#1 211575484#0 -12177521#3 -12177521#2 -12177521#1 32121111#12 32121111#14 -12187610#5 -12187610#2 -12187610#1 12150608#0 32121146#2 12117702#9 450844953#0 450844953#2 450844953#3 450844947#0 388533142#0 388533142#2 388533142#4 62623926#0 62623926#1 450844950#0 38502259#0.19 450844933#1 196207110#0 196207110#2" probability="0.0161290322580645"/&gt;</t>
  </si>
  <si>
    <t xml:space="preserve">    &lt;route id="Router3_113" edges="31909473.0 31909473.857 62634019#1-AddedOnRampEdge 62634019#1 62634019#2.0 62634019#2.242 62634019#3-AddedOnRampEdge 62634019#3 62634019#3-AddedOffRampEdge 30953251#1.0 30953251#1-AddedOffRampEdge 12112003 30953215#1-AddedOnRampEdge 30953215#1 121643865#0 12110705 50715233#0 50715233#0-AddedOffRampEdge 50715233#1.0 62203285#14.24 gneE59.30.0.55 gneE59.30.0.0 gneE59.0.0 gneE59.0.12 62203360#0 12159135 12149408#0 49914077 424767578 43569819 387422128#1 43569827#0 43569827#1 43569827#2 43569827#7 43569848 30953391 424769002 424769005 424769006 424769004 30953396#1 -424769003#1 -424769003#0 -485017374 42706828#0 42706828#2 12182281#0 12182281#3 12182281#5 12182281#6 386995507#4 386995507#5 386995507#6 12152013#1 12152013#2 -12175537#6 -12175537#5 -12175537#4 12182281#9 12182281#10 -388756839#1 -388756839#0 -50033059#4 -50033059#3 -50033059#2 -50033059#1 42706833#0 42706833#2 12189876#0 12189876#2 484953508#1 60185970#0 60185970#2 12149571#1 12187610#3 50033558#2 -12188656 -121319046 -42706825#7 12199713#0 12199713#1 -386995514#6 -386995514#5 -386995514#4 -386995514#3 194358817#0 194358817#1 194358817#2 12114363#0 12114363#1 -50033059#4 12175537#0 12175537#2 12175537#3 12175537#4 12175537#5 12175537#6 12175537#7 12175537#8 12175537#9 12175537#10 12175537#11 12175537#12 12155177#1 12155177#2 387422153#1 gneE73 gneE75.0 gneE80.125" probability="0.0161290322580645"/&gt;</t>
  </si>
  <si>
    <t xml:space="preserve">    &lt;route id="Router3_114" edges="31909473.0 31909473.857 62634019#1-AddedOnRampEdge 62634019#1 62634019#2.0 62634019#2.242 62634019#3-AddedOnRampEdge 62634019#3 62634019#3-AddedOffRampEdge 30953251#1.0 30953251#1-AddedOffRampEdge 12112003 30953215#1-AddedOnRampEdge 30953215#1 121643865#0 12110705 50715233#0 50715233#0-AddedOffRampEdge 50715233#1.0 62203285#14.24 gneE59.30.0.55 gneE59.30.0.0 gneE59.0.0 gneE59.0.12 62203360#0 12159135 291433360#0 388756841#0 49914076#0 12111949#0 43539384#1.0 424764853 12149178#0 12149178#1 12149178#2 50189577 62203295 145605533#1-AddedOnRampEdge 145605533#1 145605511#1-AddedOnRampEdge 145605511#12 145605511#1.148" probability="0.0161290322580645"/&gt;</t>
  </si>
  <si>
    <t xml:space="preserve">    &lt;route id="Router3_115" edges="31909473.0 31909473.857 62634019#1-AddedOnRampEdge 62634019#1 62634019#2.0 62634019#2.242 62634019#3-AddedOnRampEdge 62634019#3 62634019#3-AddedOffRampEdge 30953251#1.0 30953251#1-AddedOffRampEdge 12112003 30953215#1-AddedOnRampEdge 30953215#1 121643865#0 12110705 50715233#0 50715233#0-AddedOffRampEdge 50715233#1.0 62203285#14.24 gneE59.30.0.55 gneE59.30.0.0 gneE59.0.0 gneE59.0.12 62203360#0 12159135 291433360#0 388756841#0 49914076#0 12111949#0 43539384#1.0 424764853 43539372 12167183.0 gneE82 gneE56 gneE54.0 gneE62.13 gneE81.0 gneE6.0 424765883 43539378#0.15 43539378#1 -393884751 12159702 424764853 12149178#0 50189796 50189564 12149178#2 145605533#0 145605533#1-AddedOnRampEdge 145605533#1 145605511#1-AddedOnRampEdge 145605511#12 145605511#1.148" probability="0.0161290322580645"/&gt;</t>
  </si>
  <si>
    <t xml:space="preserve">    &lt;route id="Router3_116" edges="31909473.0 31909473.857 62634019#1-AddedOnRampEdge 62634019#1 62634019#2.0 62634019#2.242 62634019#3-AddedOnRampEdge 62634019#3 62634019#3-AddedOffRampEdge 30953251#1.0 30953251#1-AddedOffRampEdge 12112003 30953215#1-AddedOnRampEdge 30953215#1 121643865#0 12110705 50715233#0 50715233#0-AddedOffRampEdge 50715233#1.0 62203285#14.24 gneE59.30.0.55 gneE59.30.0.0 gneE59.0.0 gneE59.0.12 62203360#0 291433361#0 132508433.0 -gneE6.0 gneE81.299.0 gneE81.299.79 gneE81.299.145 -gneE8 12154353#0 196393941#1 196393941#2 28533986 43539369#2 12178843#2 12178843#3 49960982#2 43569828#0 387422128#1 43569827#0 43569827#1 43569827#2 43569827#7 43569848 30953391 424769002 424769005 424769006 424769004 30953396#1 387422132#0 387422132#1 486653633#0 484953506#3 484953506#4 12157002#0 12157002#1 12157002#3 12157002#5 12114396#4 -12156992#10 -12156992#8 -12156992#7 -12156992#6 -12156992#5 -12156992#4 -12156992#3 -12156992#2 -12156992#1 -386547297#1 -424080772#2 -424080772#1 -262962065#1 -262962063 -424080764 -424080768#1 -424080766 -104526265#1 -262962068#1 -424080774 -32122059#1 -32122059#0 -196393940#2 -196393940#0" probability="0.0161290322580645"/&gt;</t>
  </si>
  <si>
    <t xml:space="preserve">    &lt;route id="Router3_117" edges="31909473.0 31909473.857 62634019#1-AddedOnRampEdge 62634019#1 62634019#2.0 62634019#2.242 62634019#3-AddedOnRampEdge 62634019#3 62634019#3-AddedOffRampEdge 30953251#1.0 30953251#1-AddedOffRampEdge 12112003 30953215#1-AddedOnRampEdge 30953215#1 121643865#0 12110705 50715233#0 50715233#0-AddedOffRampEdge 50715233#1.0 62203285#14.24 gneE59.30.0.55 gneE59.30.0.0 gneE59.0.0 gneE59.0.12 62203360#0 291433361#0 132508433.0 -gneE6.0 gneE81.299.0 gneE81.299.79 gneE81.299.145 -gneE8 12154353#0 196393941#1 196393941#2 28533986 43539369#2 12178843#2 12178843#3 49960982#2 43569828#0 387422128#1 43569827#0 43569827#1 43569827#2 43569827#7 43569848 30953391 424769002 424769005 424769006 424769004 30953396#1 387422132#0 387422132#1 486653633#0 484953506#3 484953506#4 12157002#0 12157002#1 12157002#3 12157002#5 12114396#4 -12156992#10 -12156992#8 -12156992#7 -12156992#6 -12156992#5 -12156992#4 -12156992#3 -12156992#2 -12156992#1 -386547297#1 -424080772#2 -424080772#1 -262962065#1 -262962063 -424080764 -424080768#1 -424080766 -104526265#1 30953497#0 30953497#2 30953497#3 42706585#0 42706585#1 30953320 30953320-AddedOffRampEdge 104526277 30953215#1-AddedOnRampEdge 30953215#1 121643865#0 12110705 50715233#0 50715233#0-AddedOffRampEdge 50715233#1.0 62203285#14.24 gneE59.30.0.55 gneE59.30.0.0 gneE59.0.0 gneE59.0.12 62203360#0 12159135 12149408#0 49914077 424767578 43569819 387422128#1 43569827#0 43569827#1 43569827#2 43569827#7 43569848 30953391 424769002 424769005 424769006 424769004 30953396#1 -424769003#1 -424769003#0 -485017374 42706828#0 42706828#2 12182281#0 12182281#3 12182281#5 12182281#6 386995507#4 386995507#5 386995507#6 12152013#1 12152013#2 -12175537#6 -12175537#5 -12175537#4 12182281#9 12182281#10 -388756839#1 -388756839#0 -50033059#4 -50033059#3 -50033059#2 -50033059#1 -50033558#8 -51155368#3 121319046 12188656 -50033558#2 12203859#0 12203859#1 42706831#4 42706831#5 42706831#6 42706874#0 42706874#2 12144152#0 12144152#2 450844953#0 450844953#2 450844953#3 450844947#0 388533142#0 388533142#2 388533142#4 62623926#0 62623926#1 450844950#0 12189453#0.0.0 450844982#0.19 62203497#0 62203497#2 62203497#3 12134479#1 34685684#0 34685684#2 388533143#0 388533143#2 12140627#0 63060729#0 -264253834#2 12156992#4 12156992#5 12156992#6 12156992#7 12156992#8 12156992#9 -12114396#5 -12114396#3 -12114396#1 485017383#0 485017382#0 485017382#1 211575484#0 -12177521#3 -12177521#2 -12177521#1 32121111#12 32121111#14 -12187610#5 -12187610#2 -12187610#1 12150608#0 32121146#2 12117702#9 450844953#0 450844953#2 450844953#3 450844947#0 388533142#0 388533142#2 388533142#4 62623926#0 62623926#1 450844950#0 38502259#0.19 450844933#1 196207110#0 196207110#2" probability="0.0161290322580645"/&gt;</t>
  </si>
  <si>
    <t xml:space="preserve">    &lt;route id="Router3_118" edges="31909473.0 31909473.857 62634019#1-AddedOnRampEdge 62634019#1 62634019#2.0 62634019#2.242 62634019#3-AddedOnRampEdge 62634019#3 62634019#3-AddedOffRampEdge 30953251#1.0 30953251#1-AddedOffRampEdge 12112003 30953215#1-AddedOnRampEdge 30953215#1 121643865#0 12110705 50715233#0 50715233#0-AddedOffRampEdge 50715233#1.0 62203285#14.24 gneE59.30.0.55 gneE59.30.0.0 gneE59.0.0 gneE59.0.12 62203360#0 291433361#0 132508433.0 -gneE6.0 gneE81.299.0 gneE81.299.79 gneE81.299.145 -gneE8 12154353#0 196393941#1 196393941#2 28533986 43539369#2 12178843#2 12178843#3 49960982#2 43569828#0 387422128#1 43569827#0 43569827#1 43569827#2 43569827#7 43569848 30953391 424769002 424769005 424769006 424769004 30953396#1 387422132#0 387422132#1 486653633#0 484953506#3 484953506#4 12157002#0 12157002#1 12157002#3 12157002#5 12114396#4 -12156992#10 -12156992#8 -12156992#7 -12156992#6 -12156992#5 -12156992#4 -12156992#3 -12156992#2 -12156992#1 -386547297#1 -424080772#2 -424080772#1 -262962065#1 -262962063 -424080764 -424080768#1 -424080766 -104526265#1 30953497#0 30953497#2 30953497#3 42706585#0 42706585#1 30953320 30953320-AddedOffRampEdge 104526277 30953215#1-AddedOnRampEdge 30953215#1 121643865#0 12110705 50715233#0 50715233#0-AddedOffRampEdge 50715233#1.0 62203285#14.24 gneE59.30.0.55 gneE59.30.0.0 gneE59.0.0 gneE59.0.12 62203360#0 12159135 12149408#0 49914077 424767578 43569819 387422128#1 43569827#0 43569827#1 43569827#2 43569827#7 43569848 30953391 424769002 424769005 424769006 424769004 30953396#1 -424769003#1 -424769003#0 -485017374 42706828#0 42706828#2 12182281#0 12182281#3 12182281#5 12182281#6 386995507#4 386995507#5 386995507#6 12152013#1 12152013#2 -12175537#6 -12175537#5 -12175537#4 12182281#9 12182281#10 -388756839#1 -388756839#0 -50033059#4 -50033059#3 -50033059#2 -50033059#1 42706833#0 42706833#2 -42706825#7 12199713#0 12199713#1 -386995514#6 -386995514#5 -386995514#4 -386995514#3 -386995514#2 -386995514#1 12159500#1 12159500#2 51050030#7 gneE35 -gneE34.0 --gneE83.0" probability="0.0161290322580645"/&gt;</t>
  </si>
  <si>
    <t xml:space="preserve">    &lt;route id="Router3_119" edges="31909473.0 31909473.857 62634019#1-AddedOnRampEdge 62634019#1 62634019#2.0 62634019#2.242 62634019#3-AddedOnRampEdge 62634019#3 62634019#3-AddedOffRampEdge 30953251#1.0 30953251#1-AddedOffRampEdge 12112003 30953215#1-AddedOnRampEdge 30953215#1 121643865#0 12110705 50715233#0 50715233#0-AddedOffRampEdge 50715233#1.0 62203285#14.24 gneE59.30.0.55 gneE59.30.0.0 gneE59.0.0 gneE59.0.12 62203360#0 291433361#0 132508433.0 -gneE6.0 gneE81.299.0 gneE81.299.79 gneE81.299.145 -gneE8 12154353#0 196393941#1 196393941#2 28533986 43539369#2 12178843#2 12178843#3 49960982#2 43569828#0 387422128#1 43569827#0 43569827#1 43569827#2 43569827#7 43569848 30953391 424769002 424769005 424769006 424769004 30953396#1 387422132#0 387422132#1 486653633#0 484953506#3 484953506#4 12157002#0 12157002#1 12157002#3 12157002#5 12114396#4 -12156992#10 -12156992#8 -12156992#7 -12156992#6 -12156992#5 -12156992#4 -12156992#3 -12156992#2 -12156992#1 -386547297#1 -424080772#2 -424080772#1 -262962065#1 -262962063 -424080764 -424080768#1 -424080766 -104526265#1 30953497#0 30953497#2 35920555#0.0 35920555#0.75 62203066 43331031.0 43331031.436 42706585#0 42706585#1 30953320 30953320-AddedOffRampEdge 30953315 104526276-AddedOnRampEdge 104526276 51758697#0 51758697#1-AddedOnRampEdge 51758697#1" probability="0.0161290322580645"/&gt;</t>
  </si>
  <si>
    <t xml:space="preserve">    &lt;route id="Router3_137" edges="49887339#0.596 49887339#0-AddedOffRampEdge 49887339#1 49887339#1-AddedOffRampEdge 104524021 104524021-AddedOffRampEdge 12158873 121643865#0 12110705 50715233#0 50715233#0-AddedOffRampEdge 50715233#1.0 62203285#14.24 gneE59.30.0.55 gneE59.30.0.0 43539373#0.0.292.17 gneE58 gneE56 gneE54.0 62203360#0 291433361#0 132508433.0 -gneE6.0 gneE6.0 424765883 43539378#0.15 132508717#5 196393974#0 49914077 424767578 387422130#1 132508717#0 12149210#1 12151897#1 196393941#6 196393941#7 196393941#8 gneE87 196393974#0 388756841#0 49914076#0 12159673#0 12159673#1 393884751 43569848 30953391 12113092 51758697#1-AddedOnRampEdge 51758697#1" probability="0.0161290322580645"/&gt;</t>
  </si>
  <si>
    <t xml:space="preserve">    &lt;route id="Router3_138" edges="49887339#0.596 49887339#0-AddedOffRampEdge 49887339#1 49887339#1-AddedOffRampEdge 104524021 104524021-AddedOffRampEdge 12158873 121643865#0 12110705 50715233#0 50715233#0-AddedOffRampEdge 50715233#1.0 62203285#14.24 gneE59.30.0.55 gneE59.30.0.0 43539373#0.0.292.17 gneE58 gneE56 gneE54.0 62203360#0 291433361#0 132508433.0 -gneE6.0 gneE6.0 424765883 43570920#0.22 132508717#4 43539378#1 43569848 30953391 12113092 51758697#1-AddedOnRampEdge 51758697#1" probability="0.0161290322580645"/&gt;</t>
  </si>
  <si>
    <t xml:space="preserve">    &lt;route id="Router3_139" edges="49887339#0.596 49887339#0-AddedOffRampEdge 49887339#1 49887339#1-AddedOffRampEdge 104524021 104524021-AddedOffRampEdge 12158873 121643865#0 12110705 50715233#0 50715233#0-AddedOffRampEdge 50715233#1.0 62203285#14.24 gneE59.30.0.55 gneE59.30.0.0 43539373#0.0.292.17 gneE58 gneE56 gneE54.0 gneE62.13 gneE81.0 gneE6.0 424765883 43539378#0.15 43539378#1 -393884751 12159702 424764853 12149178#0 50189796 50189564 12149178#2 145605533#0 145605533#1-AddedOnRampEdge 145605533#1 145605511#1-AddedOnRampEdge 145605511#12 145605511#1.148" probability="0.0161290322580645"/&gt;</t>
  </si>
  <si>
    <t xml:space="preserve">    &lt;route id="Router3_140" edges="49887339#0.596 49887339#0-AddedOffRampEdge 49887339#1 49887339#1-AddedOffRampEdge 104524021 104524021-AddedOffRampEdge 12158873 121643865#0 12110705 50715233#0 50715233#0-AddedOffRampEdge 50715233#1.0 62203285#14.24 gneE59.30.0.55 gneE59.30.0.0 43539373#0.0.292.17 gneE58 gneE56 gneE54.0 gneE62.13 gneE81.0 gneE81.299.0 gneE81.299.79 gneE81.299.145 12178843#0 12178843#1 43539369#3 43539369#4 43539368#0 43570920#3 43570920#5 404615579 43569828#0 43539397#3 43569816#0 49914076#0 12167196#0.0.0 424764853 12149178#0 12149178#1 12149178#2 50189577 62203295 145605533#1-AddedOnRampEdge 145605533#1 145605511#1-AddedOnRampEdge 145605511#12 145605511#1.148" probability="0.0161290322580645"/&gt;</t>
  </si>
  <si>
    <t xml:space="preserve">    &lt;route id="Router3_141" edges="49887339#0.596 49887339#0-AddedOffRampEdge 49887339#1 49887339#1-AddedOffRampEdge 104524021 104524021-AddedOffRampEdge 12158873 121643865#0 12110705 50715233#0 50715233#0-AddedOffRampEdge 50715233#1.0 62203285#14.24 gneE59.30.0.55 gneE59.30.0.0 gneE59.0.0 gneE59.0.12 62203360#0 12159135 291433360#0 388756841#0 49914076#0 12111949#0 43539384#1.0 424764853 43539372 12167183.0 gneE82 gneE56 gneE54.0 gneE62.13 gneE81.0 gneE6.0 424765883 43539378#0.15 43539378#1 -393884751 12159702 424764853 12149178#0 50189796 50189564 12149178#2 145605533#0 145605533#1-AddedOnRampEdge 145605533#1 145605511#1-AddedOnRampEdge 145605511#12 145605511#1.148" probability="0.0161290322580645"/&gt;</t>
  </si>
  <si>
    <t xml:space="preserve">    &lt;route id="Router3_142" edges="49887339#0.596 49887339#0-AddedOffRampEdge 49887339#1 49887339#1-AddedOffRampEdge 104524021 104524021-AddedOffRampEdge 12158873 121643865#0 12110705 50715233#0 50715233#0-AddedOffRampEdge 50715233#1.0 62203285#14.24 gneE59.30.0.55 gneE59.30.0.0 gneE59.0.0 gneE59.0.12 62203360#0 12159135 291433360#0 388756841#0 49914076#0 12111949#0 43539384#1.0 424764853 43539372 12167183.0 gneE82 gneE56 gneE54.0 gneE62.13 gneE81.0 gneE6.0 424765883 43539378#0.15 43539378#1 43569848 30953391 12113092 51758697#1-AddedOnRampEdge 51758697#1" probability="0.0161290322580645"/&gt;</t>
  </si>
  <si>
    <t xml:space="preserve">    &lt;route id="Router3_143" edges="49887339#0.596 49887339#0-AddedOffRampEdge 49887339#1 49887339#1-AddedOffRampEdge 104524021 104524021-AddedOffRampEdge 12158873 121643865#0 12110705 50715233#0 50715233#0-AddedOffRampEdge 50715233#1.0 62203285#14.24 gneE59.30.0.55 gneE59.30.0.0 gneE59.0.0 gneE59.0.12 62203360#0 291433361#0 132508433.0 -gneE6.0 gneE81.299.0 gneE81.299.79 gneE81.299.145 -gneE8 12154353#0 196393941#1 196393941#2 28533986 43539369#2 12178843#2 12178843#3 49960982#2 43569828#0 387422128#1 43569827#0 43569827#1 43569827#2 43569827#7 43569848 30953391 424769002 424769005 424769006 424769004 30953396#1 387422132#0 387422132#1 486653633#0 484953506#3 484953506#4 12157002#0 12157002#1 12157002#3 12157002#5 12114396#4 -12156992#10 -12156992#8 -12156992#7 -12156992#6 -12156992#5 -12156992#4 -12156992#3 -12156992#2 -12156992#1 -386547297#1 -424080772#2 -424080772#1 -262962065#1 -262962063 -424080764 -424080768#1 -424080766 -104526265#1 -262962068#1 -424080774 -32122059#1 -32122059#0 -196393940#2 -196393940#0" probability="0.0161290322580645"/&gt;</t>
  </si>
  <si>
    <t xml:space="preserve">    &lt;route id="Router3_144" edges="49887339#0.596 49887339#0-AddedOffRampEdge 49887339#1 49887339#1-AddedOffRampEdge 104524021 104524021-AddedOffRampEdge 12158873 121643865#0 12110705 50715233#0 50715233#0-AddedOffRampEdge 50715233#1.0 62203285#14.24 gneE59.30.0.55 gneE59.30.0.0 gneE59.0.0 gneE59.0.12 62203360#0 291433361#0 132508433.0 -gneE6.0 gneE81.299.0 gneE81.299.79 gneE81.299.145 -gneE8 12154353#0 196393941#1 196393941#2 28533986 43539369#2 12178843#2 12178843#3 49960982#2 43569828#0 387422128#1 43569827#0 43569827#1 43569827#2 43569827#7 43569848 30953391 424769002 424769005 424769006 424769004 30953396#1 387422132#0 387422132#1 486653633#0 484953506#3 484953506#4 12157002#0 12157002#1 12157002#3 12157002#5 12114396#4 -12156992#10 -12156992#8 -12156992#7 -12156992#6 -12156992#5 -12156992#4 -12156992#3 -12156992#2 -12156992#1 -386547297#1 -424080772#2 -424080772#1 -262962065#1 -262962063 -424080764 -424080768#1 -424080766 -104526265#1 30953497#0 30953497#2 30953497#3 42706585#0 42706585#1 30953320 30953320-AddedOffRampEdge 104526277 30953215#1-AddedOnRampEdge 30953215#1 121643865#0 12110705 50715233#0 50715233#0-AddedOffRampEdge 50715233#1.0 62203285#14.24 gneE59.30.0.55 gneE59.30.0.0 43539373#0.0.292.17 gneE58 gneE56 gneE54.0 62203360#0 291433361#0 132508433.0 -gneE6.0 gneE6.0 424765883 43539378#0.15 132508717#5 196393974#0 49914077 424767578 387422130#1 132508717#0 12149210#1 12151897#1 196393941#6 196393941#7 196393941#8 gneE87 196393974#0 388756841#0 49914076#0 12159673#0 12159673#1 393884751 43569848 30953391 12113092 51758697#1-AddedOnRampEdge 51758697#1 -gneE46.0 43357850.4841.18 gneE46 49887339#0.596 49887339#0-AddedOffRampEdge 49887339#1 49887339#1-AddedOffRampEdge 104524021 104524021-AddedOffRampEdge 50192637#0 50192637#1-AddedOnRampEdge 50192637#1.0.0 50192637#1.0.382.0.0 50192637#1.697 50192637#1-AddedOffRampEdge 30953181#1 30953181#2-AddedOnRampEdge 30953181#2 30953181#3-AddedOnRampEdge 30953181#3 30953181#3-AddedOffRampEdge 30952933#1.0 30952933#1.199" probability="0.0161290322580645"/&gt;</t>
  </si>
  <si>
    <t xml:space="preserve">    &lt;route id="Router3_145" edges="49887339#0.596 49887339#0-AddedOffRampEdge 49887339#1 49887339#1-AddedOffRampEdge 104524021 104524021-AddedOffRampEdge 12158873 121643865#0 12110705 50715233#0 50715233#0-AddedOffRampEdge 50715233#1.0 62203285#14.24 gneE59.30.0.55 gneE59.30.0.0 gneE59.0.0 gneE59.0.12 62203360#0 291433361#0 132508433.0 -gneE6.0 gneE81.299.0 gneE81.299.79 gneE81.299.145 -gneE8 12154353#0 196393941#1 196393941#2 28533986 43539369#2 12178843#2 12178843#3 49960982#2 43569828#0 387422128#1 43569827#0 43569827#1 43569827#2 43569827#7 43569848 30953391 424769002 424769005 424769006 424769004 30953396#1 387422132#0 387422132#1 486653633#0 484953506#3 484953506#4 12157002#0 12157002#1 12157002#3 12157002#5 12114396#4 -12156992#10 -12156992#8 -12156992#7 -12156992#6 -12156992#5 -12156992#4 -12156992#3 -12156992#2 -12156992#1 -386547297#1 -424080772#2 -424080772#1 -262962065#1 -262962063 -424080764 -424080768#1 -424080766 -104526265#1 30953497#0 30953497#2 35920555#0.0 35920555#0.75 62203066 43331031.0 43331031.436 42706585#0 42706585#1 30953320 30953320-AddedOffRampEdge 30953315 104526276-AddedOnRampEdge 104526276 51758697#0 51758697#1-AddedOnRampEdge 51758697#1" probability="0.0161290322580645"/&gt;</t>
  </si>
  <si>
    <t xml:space="preserve">    &lt;route id="Router3_146" edges="49887339#0.596 49887339#0-AddedOffRampEdge 49887339#1 49887339#1-AddedOffRampEdge 104524021 104524021-AddedOffRampEdge 12158873 121643865#0 12110705 50715233#0 50715233#0-AddedOffRampEdge 50715233#1.0 62203285#14.24 gneE59.30.0.55 gneE59.30.0.0 gneE59.0.0 gneE59.0.12 62203360#0 291433361#0 132508433.0 -gneE6.0 gneE81.299.0 gneE81.299.79 gneE81.299.145 -gneE8 12154353#0 196393941#1 196393941#2 28533986 43539369#2 12178843#2 12178843#3 49960982#2 43569828#0 387422128#1 43569827#0 43569827#1 43569827#2 43569827#7 43569848 30953391 424769002 424769005 424769006 424769004 30953396#1 387422132#0 387422132#1 486653633#0 484953506#3 484953506#4 424769003#0 424769003#1 387422132#0 387422132#1 388756840 12202537#1 12202537#2 12202537#3 485017368 485017367#0 12185366#0 12178852#0 12178852#1 386995495#0 386995495#1 -386995507#7 -386995507#6 -386995507#5 -386995507#4 -386995507#3 310315797#0 310315797#1 386995479#3 12182281#5 12182281#6 12182281#7 12182281#8 -12175537#3 12138978 12201597#2 12114363#1 -50033059#4 12175537#0 12175537#2 12175537#3 12175537#4 12162659#2 12159485 12161358#7 12161358#8 386995507#6 386995507#7 386995521#0 386995521#1 12154359#3 12154359#4 12154359#5 12154359#6 12154359#7 101350669 -386995537 -386995526#1 -386995526#0 -43357814#3 12175537#8 12175537#9 12154359#6 386995531#1 386995531#2 387422150#2 12175537#12 12155177#1 386995531#4 12172918#2 gneE73 gneE75.0 gneE80.125" probability="0.0161290322580645"/&gt;</t>
  </si>
  <si>
    <t>&lt;route id="Router3_147"edges="49887339#0.596 49887339#0-AddedOffRampEdge 49887339#1 49887339#1-AddedOffRampEdge 104524021 104524021-AddedOffRampEdge 12158873 121643865#0 12110705 50715233#0 50715233#0-AddedOffRampEdge 50715233#1.0 62203285#14.24 gneE59.30.0.55 gneE59.30.0.0 gneE59.0.0 gneE59.0.12 62203360#0 291433361#0 132508433.0 -gneE6.0 gneE81.299.0 gneE81.299.79 gneE81.299.145 -gneE8 12154353#0 196393941#1 196393941#2 28533986 43539369#2 12178843#2 12178843#3 49960982#2 43569828#0 387422128#1 43569827#0 43569827#1 43569827#2 43569827#7 43569848 30953391 424769002 424769005 424769006 424769004 30953396#1 387422132#0 387422132#1 486653633#0 484953506#3 484953506#4 424769003#0 424769003#1 387422132#0 387422132#1 388756840 12202537#1 12202537#2 12202537#3 485017368 485017367#0 12185366#0 12178852#0 12178852#1 386995495#0 386995495#1 -386995507#7 -386995507#6 -386995507#5 -386995507#4 -386995507#3 310315797#0 310315797#1 386995479#3 12182281#5 12182281#6 12182281#7 12182281#8 -12175537#3 12138978 12201597#2 12114363#1 -50033059#4 12175537#0 12175537#2 12175537#3 12175537#4 12162659#2 12159485 12161358#7 12161358#8 386995507#6 386995507#7 386995521#0 386995521#1 12154359#3 12154359#4 12154359#5 12154359#6 12154359#7 101350669 -386995537 -386995526#1 -386995526#0 -43357814#3 12175537#8 12175537#9 12175537#10 12175537#11 12175537#12 12155177#1 386995531#4 12172918#2 gneE73 gneE75.0 gneE80.125"/&gt;" probability="0.0161290322580645"/&gt;</t>
  </si>
  <si>
    <t xml:space="preserve">    &lt;route id="Router3_148" edges="49887339#0.596 49887339#0-AddedOffRampEdge 49887339#1 49887339#1-AddedOffRampEdge 104524021 104524021-AddedOffRampEdge 12158873 121643865#0 12110705 50715233#0 50715233#0-AddedOffRampEdge 50715233#1.0 62203285#14.24 gneE59.30.0.55 gneE59.30.0.0 gneE59.0.0 gneE59.0.12 62203360#0 291433361#0 132508433.0 -gneE6.0 gneE81.299.0 gneE81.299.79 gneE81.299.145 -gneE8 12154353#0 196393941#1 196393941#2 28533986 43539369#2 12178843#2 12178843#3 49960982#2 43569828#0 387422128#1 43569827#0 43569827#1 43569827#2 43569827#7 43569848 30953391 424769002 424769005 424769006 424769004 30953396#1 387422132#0 387422132#1 486653633#0 484953506#3 484953506#4 424769003#0 424769003#1 387422132#0 387422132#1 388756840 12202537#1 12202537#2 12202537#3 485017368 485017367#0 12185366#0 12178852#0 12178852#1 386995495#0 386995495#1 -386995507#7 -386995507#6 -386995507#5 -386995507#4 -386995507#3 310315797#0 310315797#1 386995479#3 12182281#5 12182281#6 12182281#7 12182281#8 -12175537#3 12138978 12201597#2 12114363#1 -50033059#4 12175537#0 12175537#2 12175537#3 12175537#4 12175537#5 12175537#6 12175537#7 -43357814#2 42706837#4 42706837#5 42706837#6 42706837#7 42706837#8 12155177#0 12175537#13 12172918#1 12172918#2 gneE73 gneE75.0 gneE80.125" probability="0.0161290322580645"/&gt;</t>
  </si>
  <si>
    <t xml:space="preserve">    &lt;route id="Router3_149" edges="49887339#0.596 49887339#0-AddedOffRampEdge 49887339#1 49887339#1-AddedOffRampEdge 104524021 104524021-AddedOffRampEdge 12158873 121643865#0 12110705 50715233#0 50715233#0-AddedOffRampEdge 50715233#1.0 62203285#14.24 gneE59.30.0.55 gneE59.30.0.0 gneE59.0.0 gneE59.0.12 62203360#0 291433361#0 132508433.0 -gneE6.0 gneE81.299.0 gneE81.299.79 gneE81.299.145 -gneE8 12154353#0 196393941#1 196393941#2 28533986 43539369#2 12178843#2 12178843#3 49960982#2 43569828#0 387422128#1 43569827#0 43569827#1 43569827#2 43569827#7 43569848 30953391 424769002 424769005 424769006 424769004 30953396#1 387422132#0 387422132#1 486653633#0 484953506#3 484953506#4 424769003#0 424769003#1 387422132#0 387422132#1 388756840 12202537#1 12202537#2 12202537#3 485017368 485017367#0 12185366#0 12178852#0 12178852#1 386995495#0 386995495#1 -386995507#7 -386995507#6 -386995507#5 -386995507#4 -386995507#3 310315797#0 310315797#1 386995479#3 12182281#5 12182281#6 12182281#7 12182281#8 -12175537#3 12138978 12201597#2 12114363#1 -50033059#4 12175537#0 12175537#2 12175537#3 12175537#4 12175537#5 12175537#6 12175537#7 -43357814#2 42706837#4 42706837#5 42706837#6 42706837#7 42706837#8 42706837#9 12172918#0 12172918#1 12172918#2 gneE73 gneE75.0 gneE80.125" probability="0.0161290322580645"/&gt;</t>
  </si>
  <si>
    <t xml:space="preserve">    &lt;route id="Router3_150" edges="49887339#0.596 49887339#0-AddedOffRampEdge 49887339#1 49887339#1-AddedOffRampEdge 104524021 104524021-AddedOffRampEdge 12158873 121643865#0 12110705 50715233#0 50715233#0-AddedOffRampEdge 50715233#1.0 62203285#14.24 gneE59.30.0.55 gneE59.30.0.0 gneE59.0.0 gneE59.0.12 62203360#0 291433361#0 132508433.0 -gneE6.0 gneE81.299.0 gneE81.299.79 gneE81.299.145 -gneE8 12154353#0 196393941#1 196393941#2 28533986 43539369#2 12178843#2 12178843#3 49960982#2 43569828#0 387422128#1 43569827#0 43569827#1 43569827#2 43569827#7 43569848 30953391 424769002 424769005 424769006 424769004 30953396#1 387422132#0 387422132#1 486653633#0 484953506#3 484953506#4 424769003#0 424769003#1 387422132#0 387422132#1 388756840 12202537#1 12202537#2 12202537#3 485017368 485017367#0 12185366#0 12178852#0 12178852#1 386995495#0 386995495#1 -386995507#7 -386995507#6 -386995507#5 -386995507#4 -386995507#3 310315797#0 310315797#1 386995479#3 12182281#5 12182281#6 12182281#7 12182281#8 -12175537#3 12138978 12201597#2 12114363#1 -50033059#4 12175537#0 12175537#2 12175537#3 12175537#4 12175537#5 12175537#6 12175537#7 12175537#8 12175537#9 12154359#6 386995531#1 12174155#0 -12175537#10 -12175537#9 -12175537#8 -12175537#7 12152013#3 12167232#3 386995531#0 12154359#7 101350669 -386995537 -386995526#1 -386995526#0 -43357814#3 -43357814#2 42706837#4 42706837#5 42706837#6 42706837#7 42706837#8 42706837#9 12172918#0 12172918#1 12172918#2 gneE73 gneE75.0 gneE80.125" probability="0.0161290322580645"/&gt;</t>
  </si>
  <si>
    <t xml:space="preserve">    &lt;route id="Router3_151" edges="49887339#0.596 49887339#0-AddedOffRampEdge 49887339#1 49887339#1-AddedOffRampEdge 104524021 104524021-AddedOffRampEdge 12158873 121643865#0 12110705 50715233#0 50715233#0-AddedOffRampEdge 50715233#1.0 62203285#14.24 gneE59.30.0.55 gneE59.30.0.0 gneE59.0.0 gneE59.0.12 62203360#0 291433361#0 132508433.0 -gneE6.0 gneE81.299.0 gneE81.299.79 gneE81.299.145 -gneE8 12154353#0 196393941#1 196393941#2 28533986 43539369#2 12178843#2 12178843#3 49960982#2 43569828#0 387422128#1 43569827#0 43569827#1 43569827#2 43569827#7 43569848 30953391 424769002 424769005 424769006 424769004 30953396#1 387422132#0 387422132#1 486653633#0 484953506#3 484953506#4 424769003#0 424769003#1 387422132#0 387422132#1 388756840 12202537#1 12202537#2 12202537#3 485017368 485017367#0 12185366#0 12178852#0 12178852#1 386995495#0 386995495#1 -386995507#7 -386995507#6 -386995507#5 -386995507#4 -386995507#3 310315797#0 310315797#1 386995479#3 12182281#5 12182281#6 12182281#7 12182281#8 -12175537#3 12138978 12201597#2 12114363#1 -50033059#4 12175537#0 12175537#2 12175537#3 12175537#4 12175537#5 12175537#6 12175537#7 12175537#8 12175537#9 12154359#6 386995531#1 12174155#0 -12175537#10 -12175537#9 -12175537#8 -12175537#7 12152013#3 12167232#3 386995531#0 12154359#7 101350669 -386995537 -386995526#1 -386995526#0 -43357814#3 12175537#8 12175537#9 12175537#10 12175537#11 12175537#12 12175537#13 12172918#1 12172918#2 gneE73 gneE75.0 gneE80.125" probability="0.0161290322580645"/&gt;</t>
  </si>
  <si>
    <t xml:space="preserve">    &lt;route id="Router3_152" edges="49887339#0.596 49887339#0-AddedOffRampEdge 49887339#1 49887339#1-AddedOffRampEdge 104524021 104524021-AddedOffRampEdge 12158873 121643865#0 12110705 50715233#0 50715233#0-AddedOffRampEdge 50715233#1.0 62203285#14.24 gneE59.30.0.55 gneE59.30.0.0 gneE59.0.0 gneE59.0.12 62203360#0 291433361#0 132508433.0 -gneE6.0 gneE81.299.0 gneE81.299.79 gneE81.299.145 -gneE8 12154353#0 196393941#1 196393941#2 28533986 43539369#2 12178843#2 12178843#3 49960982#2 43569828#0 387422128#1 43569827#0 43569827#1 43569827#2 43569827#7 43569848 30953391 424769002 424769005 424769006 424769004 30953396#1 387422132#0 387422132#1 486653633#0 484953506#3 484953506#4 424769003#0 424769003#1 387422132#0 387422132#1 388756840 12202537#1 12202537#2 12202537#3 485017368 485017367#0 12185366#0 12178852#0 12178852#1 386995495#0 386995495#1 -386995507#7 -386995507#6 -386995507#5 -386995507#4 -386995507#3 310315797#0 310315797#1 386995479#3 12182281#5 12182281#6 12182281#7 12182281#8 -12175537#3 485017371#0 484953507#1 12182281#8 12182281#9 12167232#0 12167232#1 12167232#2 12152013#4 51050425#4 386995537 386995551 387422150#0 387422150#1 386995531#3 386995531#4 12172918#2 gneE73 gneE75.0 gneE80.125" probability="0.0161290322580645"/&gt;</t>
  </si>
  <si>
    <t xml:space="preserve">    &lt;route id="Router3_153" edges="49887339#0.596 49887339#0-AddedOffRampEdge 49887339#1 49887339#1-AddedOffRampEdge 104524021 104524021-AddedOffRampEdge 12158873 121643865#0 12110705 50715233#0 50715233#0-AddedOffRampEdge 50715233#1.0 62203285#14.24 gneE59.30.0.55 gneE59.30.0.0 gneE59.0.0 gneE59.0.12 62203360#0 291433361#0 132508433.0 -gneE6.0 gneE81.299.0 gneE81.299.79 gneE81.299.145 -gneE8 12154353#0 196393941#1 196393941#2 28533986 43539369#2 12178843#2 12178843#3 49960982#2 43569828#0 387422128#1 43569827#0 43569827#1 43569827#2 43569827#7 43569848 30953391 424769002 424769005 424769006 424769004 30953396#1 387422132#0 387422132#1 486653633#0 484953506#3 484953506#4 424769003#0 424769003#1 387422132#0 387422132#1 388756840 12202537#1 12202537#2 12202537#3 485017368 485017367#0 12185366#0 12178852#0 12178852#1 386995495#0 386995495#1 -386995507#7 -386995507#6 -386995507#5 -386995507#4 -386995507#3 310315797#0 310315797#1 386995479#3 12182281#5 12182281#6 386995507#4 386995507#5 12161358#9 12161358#10 12161358#11 12171305#0 12171305#1 42706797#2 42706797#4.13 42706797#5 387422148#0 387422148#1 12172918#0 12172918#1 12172918#2 gneE73 gneE75.0 gneE80.125" probability="0.0161290322580645"/&gt;</t>
  </si>
  <si>
    <t xml:space="preserve">    &lt;route id="Router3_154" edges="49887339#0.596 49887339#0-AddedOffRampEdge 49887339#1 49887339#1-AddedOffRampEdge 104524021 104524021-AddedOffRampEdge 12158873 121643865#0 12110705 50715233#0 50715233#0-AddedOffRampEdge 50715233#1.0 62203285#14.24 gneE59.30.0.55 gneE59.30.0.0 gneE59.0.0 gneE59.0.12 62203360#0 291433361#0 132508433.0 -gneE6.0 gneE81.299.0 gneE81.299.79 gneE81.299.145 -gneE8 12154353#0 196393941#1 196393941#2 28533986 43539369#2 12178843#2 12178843#3 49960982#2 43569828#0 387422128#1 43569827#0 43569827#1 43569827#2 43569827#7 43569848 30953391 424769002 424769005 424769006 424769004 30953396#1 387422132#0 387422132#1 486653633#0 484953506#3 484953506#4 424769003#0 424769003#1 387422132#0 387422132#1 388756840 12202537#1 12202537#2 12202537#3 485017368 485017367#0 12185366#0 12178852#0 12178852#1 386995495#0 386995495#1 -386995507#7 -386995507#6 -386995507#5 -386995507#4 -386995507#3 310315797#0 310315797#1 386995479#3 12182281#5 12182281#6 386995507#4 386995507#5 386995507#6 386995507#7 386995521#0 386995521#1 386995521#2 386995521#3 387422148#1 12172918#0 -12175537#13 12155177#1 12155177#2 387422153#1 gneE73 gneE75.0 gneE80.125" probability="0.0161290322580645"/&gt;</t>
  </si>
  <si>
    <t xml:space="preserve">    &lt;route id="Router3_155" edges="49887339#0.596 49887339#0-AddedOffRampEdge 49887339#1 49887339#1-AddedOffRampEdge 104524021 104524021-AddedOffRampEdge 12158873 121643865#0 12110705 50715233#0 50715233#0-AddedOffRampEdge 50715233#1.0 62203285#14.24 gneE59.30.0.55 gneE59.30.0.0 gneE59.0.0 gneE59.0.12 62203360#0 291433361#0 132508433.0 -gneE6.0 gneE81.299.0 gneE81.299.79 gneE81.299.145 -gneE8 12154353#0 196393941#1 196393941#2 28533986 43539369#2 12178843#2 12178843#3 49960982#2 43569828#0 387422128#1 43569827#0 43569827#1 43569827#2 43569827#7 43569848 30953391 424769002 424769005 424769006 424769004 30953396#1 387422132#0 387422132#1 486653633#0 484953506#3 484953506#4 424769003#0 424769003#1 387422132#0 387422132#1 388756840 12202537#1 12202537#2 12202537#3 485017368 485017367#0 12185366#0 12178852#0 12178852#1 386995495#0 386995495#1 -386995507#7 -386995507#6 -386995507#5 -386995507#4 -386995507#3 310315797#0 310315797#1 386995479#3 386995479#4 386995479#5 386995479#6 386995490#0.0 12154359#1.20 12154359#2 -386995521#1 -386995521#0 43357814#0 43357814#1 42706837#4 42706837#5 12154359#5 12154359#6 386995531#1 386995531#2 386995531#3 386995531#4 12172918#2 gneE73 gneE75.0 gneE80.125" probability="0.0161290322580645"/&gt;</t>
  </si>
  <si>
    <t xml:space="preserve">    &lt;route id="Router3_156" edges="49887339#0.596 49887339#0-AddedOffRampEdge 49887339#1 49887339#1-AddedOffRampEdge 104524021 104524021-AddedOffRampEdge 12158873 121643865#0 12110705 50715233#0 50715233#0-AddedOffRampEdge 50715233#1.0 62203285#14.24 gneE59.30.0.55 gneE59.30.0.0 gneE59.0.0 gneE59.0.12 62203360#0 291433361#0 132508433.0 -gneE6.0 gneE81.299.0 gneE81.299.79 gneE81.299.145 -gneE8 12154353#0 196393941#1 196393941#2 28533986 43539369#2 12178843#2 12178843#3 49960982#2 43569828#0 387422128#1 43569827#0 43569827#1 43569827#2 43569827#7 43569848 30953391 424769002 424769005 424769006 424769004 30953396#1 387422132#0 387422132#1 486653633#0 484953506#3 484953506#4 424769003#0 424769003#1 387422132#0 387422132#1 388756840 12202537#1 12202537#2 12202537#3 485017368 485017367#0 12185366#0 12178852#0 12178852#1 386995495#0 386995495#1 -386995507#7 -386995507#6 12161358#9 12161358#10 12161358#11 12171305#0 12171305#1 42706797#2 42706797#4.13 42706797#5 387422148#0 387422148#1 12172918#0 12172918#1 12172918#2 gneE73 gneE75.0 gneE80.125" probability="0.0161290322580645"/&gt;</t>
  </si>
  <si>
    <t xml:space="preserve">    &lt;route id="Router3_157" edges="49887339#0.596 49887339#0-AddedOffRampEdge 49887339#1 49887339#1-AddedOffRampEdge 104524021 104524021-AddedOffRampEdge 12158873 121643865#0 12110705 50715233#0 50715233#0-AddedOffRampEdge 50715233#1.0 62203285#14.24 gneE59.30.0.55 gneE59.30.0.0 gneE59.0.0 gneE59.0.12 62203360#0 291433361#0 132508433.0 -gneE6.0 gneE81.299.0 gneE81.299.79 gneE81.299.145 -gneE8 12154353#0 196393941#1 196393941#2 28533986 43539369#2 12178843#2 12178843#3 49960982#2 43569828#0 387422128#1 43569827#0 43569827#1 43569827#2 43569827#7 43569848 30953391 424769002 424769005 424769006 424769004 30953396#1 387422132#0 387422132#1 486653633#0 484953506#3 484953506#4 424769003#0 424769003#1 387422132#0 387422132#1 388756840 12202537#1 12202537#2 12202537#3 485017368 485017367#0 12185366#0 12178852#0 12178852#1 386995495#0 386995495#1 -386995507#7 -386995507#6 12161358#9 12161358#10 386995479#6 386995490#0.0 12154359#1.20 12154359#2 -386995521#1 12172225 32121111#2 32121111#3 12152013#0 12152013#1 12152013#2 12175537#7 -43357814#2 42706837#4 42706837#5 42706837#6 42706837#7 42706837#8 12155177#0 12175537#13 12172918#1 12172918#2 gneE73 gneE75.0 gneE80.125" probability="0.0161290322580645"/&gt;</t>
  </si>
  <si>
    <t xml:space="preserve">    &lt;route id="Router3_158" edges="49887339#0.596 49887339#0-AddedOffRampEdge 49887339#1 49887339#1-AddedOffRampEdge 104524021 104524021-AddedOffRampEdge 12158873 121643865#0 12110705 50715233#0 50715233#0-AddedOffRampEdge 50715233#1.0 62203285#14.24 gneE59.30.0.55 gneE59.30.0.0 gneE59.0.0 gneE59.0.12 62203360#0 291433361#0 132508433.0 -gneE6.0 gneE81.299.0 gneE81.299.79 gneE81.299.145 -gneE8 12154353#0 196393941#1 196393941#2 28533986 43539369#2 12178843#2 12178843#3 49960982#2 43569828#0 387422128#1 43569827#0 43569827#1 43569827#2 43569827#7 43569848 30953391 424769002 424769005 424769006 424769004 30953396#1 387422132#0 387422132#1 486653633#0 484953506#3 484953506#4 424769003#0 424769003#1 387422132#0 387422132#1 388756840 12202537#1 12202537#2 12202537#3 485017368 485017367#0 12185366#0 12178852#0 12178852#1 386995495#0 386995495#1 -386995507#7 -386995507#6 12161358#9 12161358#10 386995479#6 386995490#0.0 12154359#1.20 12154359#2 -386995521#1 12172225 32121111#2 32121111#3 12152013#0 12152013#1 12152013#2 12175537#7 -43357814#2 42706837#4 42706837#5 42706837#6 42706837#7 42706837#8 42706837#9 12172918#0 12172918#1 12172918#2 gneE73 gneE75.0 gneE80.125" probability="0.0161290322580645"/&gt;</t>
  </si>
  <si>
    <t xml:space="preserve">    &lt;route id="Router3_159" edges="49887339#0.596 49887339#0-AddedOffRampEdge 49887339#1 49887339#1-AddedOffRampEdge 104524021 104524021-AddedOffRampEdge 12158873 121643865#0 12110705 50715233#0 50715233#0-AddedOffRampEdge 50715233#1.0 62203285#14.24 gneE59.30.0.55 gneE59.30.0.0 gneE59.0.0 gneE59.0.12 62203360#0 291433361#0 132508433.0 -gneE6.0 gneE81.299.0 gneE81.299.79 gneE81.299.145 -gneE8 12154353#0 196393941#1 196393941#2 28533986 43539369#2 12178843#2 12178843#3 49960982#2 43569828#0 387422128#1 43569827#0 43569827#1 43569827#2 43569827#7 43569848 30953391 424769002 424769005 424769006 424769004 30953396#1 387422132#0 387422132#1 486653633#0 484953506#3 484953506#4 424769003#0 424769003#1 387422132#0 387422132#1 388756840 12202537#1 12202537#2 12202537#3 485017368 485017367#0 12185366#0 12178852#0 12178852#1 386995495#0 386995495#1 -386995507#7 -386995507#6 12161358#9 12161358#10 386995479#6 386995490#0.0 12154359#1.20 32121111#1 32121111#2 32121111#3 12152013#0 12152013#1 12152013#2 12175537#7 -43357814#2 42706837#4 42706837#5 42706837#6 42706837#7 42706837#8 12155177#0 12175537#13 12172918#1 12172918#2 gneE73 gneE75.0 gneE80.125" probability="0.0161290322580645"/&gt;</t>
  </si>
  <si>
    <t xml:space="preserve">    &lt;route id="Router3_160" edges="49887339#0.596 49887339#0-AddedOffRampEdge 49887339#1 49887339#1-AddedOffRampEdge 104524021 104524021-AddedOffRampEdge 12158873 121643865#0 12110705 50715233#0 50715233#0-AddedOffRampEdge 50715233#1.0 62203285#14.24 gneE59.30.0.55 gneE59.30.0.0 gneE59.0.0 gneE59.0.12 62203360#0 291433361#0 132508433.0 -gneE6.0 gneE81.299.0 gneE81.299.79 gneE81.299.145 -gneE8 12154353#0 196393941#1 196393941#2 28533986 43539369#2 12178843#2 12178843#3 49960982#2 43569828#0 387422128#1 43569827#0 43569827#1 43569827#2 43569827#7 43569848 30953391 424769002 424769005 424769006 424769004 30953396#1 387422132#0 387422132#1 486653633#0 484953506#3 484953506#4 424769003#0 424769003#1 387422132#0 387422132#1 388756840 12202537#1 12202537#2 12202537#3 485017368 485017367#0 12185366#0 12178852#0 12178852#1 386995495#0 386995495#1 -386995507#7 -386995507#6 12161358#9 12161358#10 386995479#6 386995490#0.0 12154359#1.20 32121111#1 32121111#2 32121111#3 12152013#0 12152013#1 12152013#2 12175537#7 12175537#8 12175537#9 12175537#10 12175537#11 12175537#12 12155177#1 386995531#4 12172918#2 gneE73 gneE75.0 gneE80.125" probability="0.0161290322580645"/&gt;</t>
  </si>
  <si>
    <t xml:space="preserve">    &lt;route id="Router3_161" edges="49887339#0.596 49887339#0-AddedOffRampEdge 49887339#1 49887339#1-AddedOffRampEdge 104524021 104524021-AddedOffRampEdge 12158873 121643865#0 12110705 50715233#0 50715233#0-AddedOffRampEdge 50715233#1.0 62203285#14.24 gneE59.30.0.55 gneE59.30.0.0 gneE59.0.0 gneE59.0.12 62203360#0 291433361#0 132508433.0 -gneE6.0 gneE81.299.0 gneE81.299.79 gneE81.299.145 -gneE8 12154353#0 196393941#1 196393941#2 28533986 43539369#2 12178843#2 12178843#3 49960982#2 43569828#0 387422128#1 43569827#0 43569827#1 43569827#2 43569827#7 43569848 30953391 424769002 424769005 424769006 424769004 30953396#1 387422132#0 387422132#1 486653633#0 484953506#3 484953506#4 424769003#0 424769003#1 387422132#0 387422132#1 388756840 12202537#1 43357813 484953506#1 484953506#2 486653633#1 486653633#2 486653633#3 12182281#0 12182281#3 386995479#4 386995479#5 12161358#11 12171305#0 12171305#1 42706797#2 42706797#4.13 42706797#5 387422148#0 387422148#1 12172918#0 12172918#1 12172918#2 gneE73 gneE75.0 gneE80.125" probability="0.0161290322580645"/&gt;</t>
  </si>
  <si>
    <t xml:space="preserve">    &lt;route id="Router3_39" edges="195815883#2 195815883#3 394179820#4 196355327#1 196355327#2 196355327#5 62203285#0 62203285#2 62203285#3 62203285#5 42706664#7 42706664#8 12186741#4 12186741#5 -196393940#2 -196393940#0" probability="0.0161290322580645"/&gt;</t>
  </si>
  <si>
    <t>&lt;routeDistribution id="Ludlowst-32nd-to-30th-BOTH-2009-RouteProbe"&gt;</t>
  </si>
  <si>
    <t>&lt;routeDistribution id="CROSKEY-arch-to-Cherry-NB-2009-RouteProbe"&gt;</t>
  </si>
  <si>
    <t xml:space="preserve">    &lt;route id="Router3_45" edges="196393940#0 62203285#0 62203285#2 62203285#3 62203285#5 42706664#7 12142298#0 12142298#1 62203286#2 12186741#2 12186741#4 12186741#5 12142723#0 12142723#3 12142723#4 12187745 32118649#2 32118649#3 -43538931#1 -43538931#0 196207115#3 196355332#0 450844979#0.0 450844982#0.19 62203497#0 62203497#2 62203497#3 12134479#1 34685684#0 34685684#2 388533143#0 388533143#2 12140627#0 63060729#0 -264253834#2 12156992#4 12156992#5 12156992#6 12156992#7 12156992#8 12156992#9 -12114396#5 -12114396#3 -12114396#1 485017383#0 485017382#0 485017382#1 211575484#0 -12177521#3 -12177521#2 -12177521#1 32121111#12 32121111#14 -12187610#5 -12187610#2 -12187610#1 12150608#0 32121146#2 12117702#9 450844953#0 450844953#2 450844953#3 450844947#0 388533142#0 388533142#2 388533142#4 62623926#0 62623926#1 450844950#0 38502259#0.19 450844933#1 196207110#0 196207110#2" probability="1"/&gt;</t>
  </si>
  <si>
    <t>&lt;routeDistribution id="Walnut-34th-to-36th-WB-2011-RouteProbe"&gt;</t>
  </si>
  <si>
    <t>&lt;routeDistribution id="POWELTON-40th-to-39th-BTH-2011-RouteProbe"&gt;</t>
  </si>
  <si>
    <t xml:space="preserve">    &lt;route id="Router3_11" edges="-gneE80.0 -gneE80.17 -gneE41 gneE44 -388756838#2 -388756838#1 -388756838#0 42706817#0 386547310 gneE69 -388756838#2 -388756838#1 -388756838#0 -388756839#1 -388756839#0 -194358837#2 -194358837#0 194358838#0 194358838#1 194358838#2 194358838#3 387422145#0 387422145#3 386995499#0 386995499#2 -51155368#13 -51155368#10 -51155368#7 121319040#0 121319040#1 386995507#0 386995507#1 386995507#2 386995507#3 12182281#7 42706837#0 42706837#1 42706837#2 42706837#3 43357814#2 43357814#3 386995526#0 386995526#1 -51050425#4 -51050425#3 -51050425#2 12162659#0 12162659#1 -12175537#4 -12175537#3 -12175537#2 -12175537#1 -50033059#3 -50033059#2 -386995514#7 -12199713#2 12177498 42706833#2 51155368#0 -50033558#5 -50033558#3 -50033558#2 -62105579 -32121234#1 -32121234#0 42706874#0 42706874#2 55179414#0 55179413#0 424769182 -450827405#2 -450827400#2 -450827382 -450827385#1 -450827391#1 -450827381 -450827397#1 12180696#0 59435515#1 59435515#2 59435515#3 59435515#4 424801338#1 12117702#0 12117702#4 12117702#7 -32121146#3 12202008#2.0 12202008#2.171 62646499#2 450827424#0 450827405#0 262962062 -55179413#2 12187610#0 12187610#2 12187610#3 -62105579 12186909#0 12186909#1 12186909#2 12186909#4 12186909#6 386995479#0 12157718#5 12157718#7 485017376 485017373#0 387422135#0 424769003#0 424769003#1 -30953396#1 30953396#1 -424769003#1 -424769003#0 12157002#0 12157002#1 12186058#2 485017381#0 -12157718#12 -12157718#10 -12157718#9 -12157718#8 -12157718#6 386995479#1 386995479#2 386995479#3 386995479#4 386995479#5 386995479#6 386995490#0.0 12154359#1.20 12154359#2 -386995521#1 -386995521#0 43357814#0 43357814#1 42706837#4 42706837#5 12154359#5 12154359#6 386995531#1 386995531#2 386995531#3 386995531#4 12172918#2 gneE73 gneE75.0 gneE80.125" probability="0.333333333333333"/&gt;</t>
  </si>
  <si>
    <t>&lt;routeDistribution id="33rd-powelton-to-SPGRst-NB-2011-RouteProbe"&gt;</t>
  </si>
  <si>
    <t>&lt;routeDistribution id="34th-Walnut-to-Spruce-SB-2011-RouteProbe"&gt;</t>
  </si>
  <si>
    <t xml:space="preserve">    &lt;route id="Router3_106" edges="31909473.0 31909473.857 62634019#1-AddedOnRampEdge 62634019#1 62634019#2.0 62634019#2.242 62634019#3-AddedOnRampEdge 62634019#3 62634019#3-AddedOffRampEdge 12111747.0 62203498#0 62093806#0 104526265#0.14 424080766 424080768#0 104523976#1 262962063 424080770#0 424080772#0 424080772#2 386547297#0 424080771#0 424080767#0 386547298#0 424769177 424080769#0 12144152#0 12144152#2 12144152#4 12166276#0 -351053388#2 12144152#7 450844965#0 388533145#0 -12168663#6 -484953513#2 -484953514#2 -284556051#4 -284556051#2 51050278#0.0 gneE16 -12165855#3.1535 386547306#4 386547306#6 51049745#0 51049745#2 51049745#3 484842179#16.0 62094032#0.9 288513230#0 288513232 484842173 50033030#0 -424801341 -283621822#1 -424801343#1 -424801343#0 49991658 424801340 424801342 386550018#0 386550018#0-AddedOffRampEdge 386550018#1 49991638 -12144161#0 12144161#0 12144161#1 49991657 283621821#1 283621821#1-AddedOffRampEdge 283621821#2 49991647#1 49991647#2 63060732#0 63060732#1 63060732#2.0 63060732#2.116 50033027 -50033029 50033050#0 50033050#2 424799828 424799825 424799826 50033054 63060727 50033029 50033028#0 50033028#3 50033028#5 50033028#6 49991646 386547300#0 283621823 386547301-AddedOnRampEdge 386547301 424801344#0 424801343#1 283621822#0 424801341 28555309#0 49991649#0 424986163#0 51049946#0 424801337#0 357338497#0 357338497#2 450695460#0 62646499#0 62646499#2 450827424#0 62646508#0 62646508#2 424799820 424799823#0 50033059#0 50033059#2 50033059#3 50033059#4 388756839#0 388756839#1 388756838#0 12136923#0 386547309#0 386547309#2 386547309#3 386547309#5 386547309#7 51050030#4 51050030#7 gneE35 -gneE34.0 --gneE83.0" probability="0.5"/&gt;</t>
  </si>
  <si>
    <t>&lt;routeDistribution id="34th-Race-to-Cherry-SB-2011-RouteProbe"&gt;</t>
  </si>
  <si>
    <t xml:space="preserve">    &lt;route id="Router3_13" edges="-gneE80.0 -gneE80.17 -gneE41 gneE44 -388756838#2 -388756838#1 -388756838#0 42706817#0 386547310 gneE69 -388756838#2 -388756838#1 -388756838#0 -388756839#1 -388756839#0 -194358837#2 -194358837#0 194358838#0 194358838#1 194358838#2 194358838#3 387422145#0 387422145#3 386995499#0 386995499#2 -51155368#13 -51155368#10 -51155368#7 121319040#0 121319040#1 386995507#0 386995507#1 386995507#2 386995507#3 12182281#7 42706837#0 42706837#1 42706837#2 42706837#3 43357814#2 43357814#3 386995526#0 386995526#1 -51050425#4 -51050425#3 -51050425#2 12162659#0 12162659#1 -12175537#4 -12175537#3 -12175537#2 -12175537#1 -50033059#3 -50033059#2 -386995514#7 -12199713#2 12177498 42706833#2 51155368#0 -50033558#5 -50033558#3 -50033558#2 -62105579 -32121234#1 -32121234#0 42706874#0 42706874#2 55179414#0 55179413#0 424769182 -450827405#2 -450827400#2 -450827382 -450827385#1 -450827391#1 -450827381 -450827397#1 12180696#0 59435515#1 59435515#2 59435515#3 59435515#4 424801338#1 12117702#0 12117702#4 12117702#7 -32121146#3 12202008#2.0 12202008#2.171 62646499#2 450827424#0 450827405#0 262962062 -55179413#2 12187610#0 12187610#2 12187610#3 -62105579 12186909#0 12186909#1 12186909#2 51155368#11 42706831#0 42706831#4 42706831#5 42706831#6 32121234#0 32121234#1 32121234#2 50033558#2 50033558#3 50033558#4 50033558#6 50033058#0 386995514#9 386995486#0 32121111#11 -12177521#0 -121319040#0 -51155368#5 -50033558#5 -50033558#3 -12188656 -121319046 -42706825#7 -42706825#4 -42706825#3 -42706825#1 -484953510#2 -484953510#1 -484953510#0 gneE37 gneE38 -12159761#2 -12159761#1 -12159761#0 12114363#0 12114363#1 -50033059#4 12175537#0 12175537#2 12175537#3 12175537#4 12162659#2 12159485 12161358#7 12161358#8 386995507#6 386995507#7 386995521#0 386995521#1 12154359#3 12154359#4 12154359#5 12154359#6 12154359#7 101350669 -386995537 -386995526#1 -386995526#0 -43357814#3 -43357814#2 42706837#4 42706837#5 42706837#6 42706837#7 42706837#8 42706837#9 12172918#0 12172918#1 12172918#2 gneE73 gneE75.0 gneE80.125" probability="0.0625"/&gt;</t>
  </si>
  <si>
    <t xml:space="preserve">    &lt;route id="Router3_14" edges="-gneE80.0 -gneE80.17 -gneE41 gneE44 -388756838#2 -388756838#1 -388756838#0 42706817#0 386547310 gneE69 -388756838#2 -388756838#1 -388756838#0 -388756839#1 -388756839#0 -194358837#2 -194358837#0 194358838#0 194358838#1 194358838#2 194358838#3 387422145#0 387422145#3 386995499#0 386995499#2 -51155368#13 -51155368#10 -51155368#7 121319040#0 121319040#1 386995507#0 386995507#1 386995507#2 386995507#3 12182281#7 42706837#0 42706837#1 42706837#2 42706837#3 43357814#2 43357814#3 386995526#0 386995526#1 -51050425#4 -51050425#3 -51050425#2 12162659#0 12162659#1 -12175537#4 -12175537#3 -12175537#2 -12175537#1 -50033059#3 -50033059#2 -386995514#7 -12199713#2 12177498 42706833#2 51155368#0 -50033558#5 -50033558#3 -50033558#2 -62105579 -32121234#1 -32121234#0 42706874#0 42706874#2 55179414#0 55179413#0 424769182 -450827405#2 -450827400#2 -450827382 -450827385#1 -450827391#1 -450827381 -450827397#1 12180696#0 59435515#1 59435515#2 59435515#3 59435515#4 424801338#1 12117702#0 12117702#4 12117702#7 -32121146#3 12202008#2.0 12202008#2.171 62646499#2 450827424#0 450827405#0 262962062 -55179413#2 12187610#0 12187610#2 12187610#3 -62105579 12186909#0 12186909#1 12186909#2 51155368#11 42706831#0 42706831#4 42706831#5 42706831#6 32121234#0 32121234#1 32121234#2 50033558#2 50033558#3 50033558#4 50033558#6 50033058#0 386995514#9 386995486#0 32121111#11 -12177521#0 -121319040#0 -51155368#5 -50033558#5 -50033558#3 -12188656 -121319046 -42706825#7 -42706825#4 -42706825#3 -42706825#1 -484953510#2 -484953510#1 -484953510#0 gneE37 gneE38 -12159761#2 -12159761#1 -12159761#0 12114363#0 12114363#1 -50033059#4 12175537#0 12175537#2 12175537#3 12175537#4 12162659#2 12159485 12161358#7 12161358#8 386995507#6 386995507#7 386995521#0 386995521#1 12154359#3 12154359#4 12154359#5 12154359#6 12154359#7 101350669 -386995537 -386995526#1 -386995526#0 -43357814#3 12175537#8 12175537#9 12175537#10 12175537#11 12175537#12 12175537#13 12172918#1 12172918#2 gneE73 gneE75.0 gneE80.125" probability="0.0625"/&gt;</t>
  </si>
  <si>
    <t xml:space="preserve">    &lt;route id="Router3_15" edges="-gneE80.0 -gneE80.17 -gneE41 gneE44 -388756838#2 -388756838#1 -388756838#0 42706817#0 386547310 gneE69 -388756838#2 -388756838#1 -388756838#0 -388756839#1 -388756839#0 -194358837#2 -194358837#0 194358838#0 194358838#1 194358838#2 194358838#3 387422145#0 387422145#3 386995499#0 386995499#2 -51155368#13 -51155368#10 -51155368#7 121319040#0 121319040#1 386995507#0 386995507#1 386995507#2 386995507#3 12182281#7 42706837#0 42706837#1 42706837#2 42706837#3 43357814#2 43357814#3 386995526#0 386995526#1 -51050425#4 -51050425#3 -51050425#2 12162659#0 12162659#1 -12175537#4 -12175537#3 -12175537#2 -12175537#1 -50033059#3 -50033059#2 -386995514#7 -12199713#2 12177498 42706833#2 51155368#0 -50033558#5 -50033558#3 -50033558#2 -62105579 -32121234#1 -32121234#0 42706874#0 42706874#2 55179414#0 55179413#0 424769182 -450827405#2 -450827400#2 -450827382 -450827385#1 -450827391#1 -450827381 -450827397#1 12180696#0 59435515#1 59435515#2 59435515#3 59435515#4 424801338#1 12117702#0 12117702#4 12117702#7 -32121146#3 12202008#2.0 12202008#2.171 62646499#2 450827424#0 450827405#0 262962062 -55179413#2 12187610#0 12187610#2 12187610#3 -62105579 12186909#0 12186909#1 12186909#2 51155368#11 42706831#0 42706831#4 42706831#5 42706831#6 32121234#0 32121234#1 32121234#2 50033558#2 50033558#3 50033558#4 50033558#6 50033058#0 386995514#9 386995486#0 32121111#11 -12177521#0 -121319040#0 -51155368#5 -50033558#5 -50033558#3 -12188656 -121319046 -42706825#7 -42706825#4 -42706825#3 -42706825#1 -484953510#2 -484953510#1 -484953510#0 gneE37 gneE38 -12159761#2 -12159761#1 -12159761#0 12114363#0 12114363#1 -50033059#4 12175537#0 12175537#2 12175537#3 12175537#4 12175537#5 12175537#6 12175537#7 -43357814#2 42706837#4 42706837#5 42706837#6 42706837#7 42706837#8 12155177#0 12175537#13 12172918#1 12172918#2 gneE73 gneE75.0 -gneE80.17 -gneE41 gneE44 -388756838#2 -388756838#1 -388756838#0 42706817#0 386547310 gneE69 -388756838#2 -388756838#1 -388756838#0 -388756839#1 -388756839#0 -194358837#2 -194358837#0 194358838#0 194358838#1 194358838#2 386995479#2 310315797#2 12185366#9 387422145#0 -12157718#6 -12157718#4 -12157718#3 -12157718#2 -12157718#1 -12199713#4 386995514#7 -50033059#1 -50033558#8 -51155368#3 121319046 12188656 -50033558#2 12203859#0 12203859#1 42706831#4 42706831#5 42706831#6 42706874#0 42706874#2 12144152#0 12144152#2 450844953#0 450844953#2 450844953#3 450844947#0 388533142#0 388533142#2 388533142#4 62623926#0 62623926#1 450844950#0 12189453#0.0.0 450844982#0.19 62203497#0 62203497#2 62203497#3 12134479#1 34685684#0 34685684#2 388533143#0 388533143#2 12140627#0 63060729#0 -264253834#2 12156992#4 12156992#5 12156992#6 12156992#7 12156992#8 12156992#9 -12114396#5 -12114396#3 -12114396#1 485017383#0 485017382#0 485017382#1 211575484#0 -12177521#3 -12177521#2 -12177521#1 32121111#12 32121111#14 -12187610#5 -12187610#2 -12187610#1 12150608#0 32121146#2 12117702#9 450844953#0 450844953#2 450844953#3 450844947#0 388533142#0 388533142#2 388533142#4 62623926#0 62623926#1 450844950#0 38502259#0.19 450844933#1 196207110#0 196207110#2" probability="0.0625"/&gt;</t>
  </si>
  <si>
    <t xml:space="preserve">    &lt;route id="Router3_16" edges="-gneE80.0 -gneE80.17 -gneE41 gneE44 -388756838#2 -388756838#1 -388756838#0 42706817#0 386547310 gneE69 -388756838#2 -388756838#1 -388756838#0 -388756839#1 -388756839#0 -194358837#2 -194358837#0 194358838#0 194358838#1 194358838#2 194358838#3 387422145#0 387422145#3 386995499#0 386995499#2 -51155368#13 -51155368#10 -51155368#7 121319040#0 121319040#1 386995507#0 386995507#1 386995507#2 386995507#3 12182281#7 42706837#0 42706837#1 42706837#2 42706837#3 43357814#2 43357814#3 386995526#0 386995526#1 -51050425#4 -51050425#3 -51050425#2 12162659#0 12162659#1 -12175537#4 -12175537#3 -12175537#2 -12175537#1 -50033059#3 -50033059#2 -386995514#7 -12199713#2 12177498 42706833#2 51155368#0 -50033558#5 -50033558#3 -50033558#2 -62105579 -32121234#1 -32121234#0 42706874#0 42706874#2 55179414#0 55179413#0 424769182 -450827405#2 -450827400#2 -450827382 -450827385#1 -450827391#1 -450827381 -450827397#1 12180696#0 59435515#1 59435515#2 59435515#3 59435515#4 424801338#1 12117702#0 12117702#4 12117702#7 -32121146#3 12202008#2.0 12202008#2.171 62646499#2 450827424#0 450827405#0 262962062 -55179413#2 12187610#0 12187610#2 12187610#3 -62105579 12186909#0 12186909#1 12186909#2 51155368#11 42706831#0 42706831#4 42706831#5 42706831#6 32121234#0 32121234#1 32121234#2 50033558#2 50033558#3 50033558#4 50033558#6 50033058#0 386995514#9 386995486#0 32121111#11 -12177521#0 -121319040#0 -51155368#5 -50033558#5 -50033558#3 -12188656 -121319046 -42706825#7 -42706825#4 -42706825#3 -42706825#1 -484953510#2 -484953510#1 -484953510#0 gneE37 gneE38 -12159761#2 -12159761#1 -12159761#0 12114363#0 12114363#1 -50033059#4 12175537#0 12175537#2 12175537#3 12175537#4 12175537#5 12175537#6 12175537#7 -43357814#2 42706837#4 42706837#5 42706837#6 42706837#7 42706837#8 12155177#0 12175537#13 12172918#1 12172918#2 gneE73 gneE75.0 gneE80.125" probability="0.0625"/&gt;</t>
  </si>
  <si>
    <t xml:space="preserve">    &lt;route id="Router3_17" edges="-gneE80.0 -gneE80.17 -gneE41 gneE44 -388756838#2 -388756838#1 -388756838#0 42706817#0 386547310 gneE69 -388756838#2 -388756838#1 -388756838#0 -388756839#1 -388756839#0 -194358837#2 -194358837#0 194358838#0 194358838#1 194358838#2 194358838#3 387422145#0 387422145#3 386995499#0 386995499#2 -51155368#13 -51155368#10 -51155368#7 121319040#0 121319040#1 386995507#0 386995507#1 386995507#2 386995507#3 12182281#7 42706837#0 42706837#1 42706837#2 42706837#3 43357814#2 43357814#3 386995526#0 386995526#1 -51050425#4 -51050425#3 -51050425#2 12162659#0 12162659#1 -12175537#4 -12175537#3 -12175537#2 -12175537#1 -50033059#3 -50033059#2 -386995514#7 -12199713#2 12177498 42706833#2 51155368#0 -50033558#5 -50033558#3 -50033558#2 -62105579 -32121234#1 -32121234#0 42706874#0 42706874#2 55179414#0 55179413#0 424769182 -450827405#2 -450827400#2 -450827382 -450827385#1 -450827391#1 -450827381 -450827397#1 12180696#0 59435515#1 59435515#2 59435515#3 59435515#4 424801338#1 12117702#0 12117702#4 12117702#7 -32121146#3 12202008#2.0 12202008#2.171 62646499#2 450827424#0 450827405#0 262962062 -55179413#2 12187610#0 12187610#2 12187610#3 -62105579 12186909#0 12186909#1 12186909#2 51155368#11 42706831#0 42706831#4 42706831#5 42706831#6 32121234#0 32121234#1 32121234#2 50033558#2 50033558#3 50033558#4 50033558#6 50033058#0 386995514#9 386995486#0 32121111#11 -12177521#0 -121319040#0 -51155368#5 -50033558#5 -50033558#3 -12188656 -121319046 -42706825#7 -42706825#4 -42706825#3 -42706825#1 -484953510#2 -484953510#1 -484953510#0 gneE37 gneE38 -12159761#2 -12159761#1 -12159761#0 12114363#0 12114363#1 -50033059#4 12175537#0 12175537#2 12175537#3 12175537#4 12175537#5 12175537#6 12175537#7 12175537#8 12175537#9 12154359#6 386995531#1 12174155#0 -12175537#10 -12175537#9 -12175537#8 -12175537#7 12152013#3 12167232#3 386995531#0 12154359#7 101350669 -386995537 -386995526#1 -386995526#0 -43357814#3 -43357814#2 42706837#4 42706837#5 42706837#6 42706837#7 42706837#8 42706837#9 12172918#0 12172918#1 12172918#2 gneE73 gneE75.0 -gneE80.17 -gneE41 gneE44 -388756838#2 -388756838#1 -388756838#0 42706817#0 386547310 gneE69 -gneE44 gneE41 gneE80.0 gneE80.125" probability="0.0625"/&gt;</t>
  </si>
  <si>
    <t xml:space="preserve">    &lt;route id="Router3_21" edges="-gneE80.0 -gneE80.17 -gneE41 gneE44 -388756838#2 -388756838#1 -388756838#0 42706817#0 386547310 gneE69 -388756838#2 -388756838#1 -388756838#0 -388756839#1 -388756839#0 -194358837#2 -194358837#0 194358838#0 194358838#1 194358838#2 386995479#2 310315797#2 12185366#9 387422145#0 -12157718#6 -12157718#4 -12157718#3 -12157718#2 -12157718#1 -12199713#4 386995514#7 -50033059#1 -50033558#8 -51155368#3 121319046 12188656 -50033558#2 12203859#0 12203859#1 42706831#4 42706831#5 42706831#6 42706874#0 42706874#2 12144152#0 12144152#2 450844953#0 450844953#2 450844953#3 450844947#0 388533142#0 388533142#2 388533142#4 62623926#0 62623926#1 450844950#0 12189453#0.0.0 450844982#0.19 62203497#0 62203497#2 62203497#3 12134479#1 34685684#0 34685684#2 388533143#0 388533143#2 12140627#0 63060729#0 -264253834#2 12156992#4 12156992#5 12156992#6 12156992#7 12156992#8 12156992#9 -12114396#5 -12114396#3 -12114396#1 485017383#0 485017382#0 485017382#1 211575484#0 -12177521#3 -12177521#2 -12177521#1 32121111#12 32121111#14 -12187610#5 -12187610#2 -12187610#1 12150608#0 32121146#2 12117702#9 450844953#0 450844953#2 450844953#3 450844947#0 388533142#0 388533142#2 388533142#4 62623926#0 62623926#1 450844950#0 38502259#0.19 450844933#1 196207110#0 196207110#2" probability="0.0625"/&gt;</t>
  </si>
  <si>
    <t xml:space="preserve">    &lt;route id="Router3_75" edges="31909473.0 31909473.857 62634019#1-AddedOnRampEdge 62634019#1 30953036 424081476 424081472 424081473 424081470 30953025#0 30953025#2 30953025#3 30953025#4 50033060#0 12134479#5 450844973#0 388533144#0 388533144#6 388533144#11 450695475#0 137364609#0 137364609#3 137364609#5 450695473#0 386547305#0 gneE23 -gneE20.0 -gneE21.54 -gneE21.0 59435515#0 59435515#1 59435515#2 59435515#3 59435515#4 424801338#1 12117702#0 12117702#4 12117702#7 -32121146#3 12202008#2.0 12202008#2.171 62646499#2 450827424#0 450827405#0 262962062 -55179413#2 12187610#0 12187610#2 12187610#3 -62105579 12186909#0 12186909#1 12186909#2 51155368#11 42706831#0 42706831#4 42706831#5 42706831#6 32121234#0 32121234#1 32121234#2 50033558#2 50033558#3 50033558#4 50033558#6 50033058#0 386995514#9 386995486#0 32121111#11 -12177521#0 -121319040#0 -51155368#5 -50033558#5 -50033558#3 -12188656 -121319046 -42706825#7 -42706825#4 -42706825#3 -42706825#1 -484953510#2 -484953510#1 -484953510#0 gneE37 gneE38 -12159761#2 -12159761#1 -12159761#0 12114363#0 12114363#1 -50033059#4 12175537#0 12175537#2 12175537#3 12175537#4 12162659#2 12159485 12161358#7 12161358#8 386995507#6 386995507#7 386995521#0 386995521#1 12154359#3 12154359#4 12154359#5 12154359#6 12154359#7 101350669 -386995537 -386995526#1 -386995526#0 -43357814#3 -43357814#2 42706837#4 42706837#5 42706837#6 42706837#7 42706837#8 42706837#9 12172918#0 12172918#1 12172918#2 gneE73 gneE75.0 gneE80.125" probability="0.0625"/&gt;</t>
  </si>
  <si>
    <t xml:space="preserve">    &lt;route id="Router3_107" edges="31909473.0 31909473.857 62634019#1-AddedOnRampEdge 62634019#1 62634019#2.0 62634019#2.242 62634019#3-AddedOnRampEdge 62634019#3 62634019#3-AddedOffRampEdge 12111747.0 62203498#0 62093806#0 104526265#0.14 424080766 424080768#0 104523976#1 262962063 424080770#0 424080772#0 424080772#2 386547297#0 424080771#0 424080767#0 386547298#0 424769177 424080769#0 12144152#0 12144152#2 12144152#4 12166276#0 -351053388#2 12144152#7 450844965#0 388533145#0 -12168663#6 -484953513#2 -484953514#2 -284556051#4 -284556051#2 51050278#0.0 gneE16 -12165855#3.1535 386547306#4 386547306#6 51049745#0 51049745#2 51049745#3 484842179#16.0 62094032#0.9 288513230#0 288513232 484842173 50033030#0 -424801341 -283621822#1 -424801343#1 -424801343#0 49991658 424801340 424801342 386550018#0 386550018#0-AddedOffRampEdge 386550018#1 49991638 -12144161#0 12144161#0 12144161#1 49991657 283621821#1 283621821#1-AddedOffRampEdge 283621821#2 49991647#1 49991647#2 63060732#0 63060732#1 63060732#2.0 63060732#2.116 50033027 -50033029 50033050#0 50033050#2 424799828 424799825 424799826 50033054 63060727 50033029 50033028#0 50033028#3 50033028#5 50033028#6 49991646 386547300#0 283621823 386547301-AddedOnRampEdge 386547301 424801344#0 424801343#1 283621822#0 424801341 28555309#0 49991649#0 424986163#0 51049946#0 424801337#0 357338497#0 357338497#2 450695460#0 62646499#0 62646499#2 450827424#0 62646508#0 62646508#2 424799820 424799823#0 50033059#0 50033059#2 50033059#3 50033059#4 388756839#0 388756839#1 388756838#0 12136923#0 386547309#0 386547309#2 386547309#3 386547309#5 484953510#2 42706825#0 42706825#2 42706825#4 42706825#5 121319046 12188656 -50033558#2 12203859#0 12203859#1 42706831#4 42706831#5 -12180988#5 63060729#4 63060729#7 63060729#10 -42706823#3 -42706823#1 42706831#0 42706831#4 42706831#5 42706831#6 32121234#0 32121234#1 32121234#2 50033558#2 50033558#3 50033558#4 50033558#6 50033058#0 386995514#9 386995486#0 32121111#11 -12177521#0 -121319040#0 -51155368#5 -50033558#5 -50033558#3 -12188656 -121319046 -42706825#7 -42706825#4 -42706825#3 -42706825#1 194358815 194358817#0 194358817#1 194358817#2 12114363#0 12114363#1 -50033059#4 12175537#0 12175537#2 485017371#0 484953507#1 12182281#8 12182281#9 12167232#0 12167232#1 12167232#2 12152013#4 51050425#4 386995537 386995551 387422150#0 387422150#1 386995531#3 386995531#4 12172918#2 gneE73 gneE75.0 gneE80.125" probability="0.0625"/&gt;</t>
  </si>
  <si>
    <t xml:space="preserve">    &lt;route id="Router3_112" edges="31909473.0 31909473.857 62634019#1-AddedOnRampEdge 62634019#1 62634019#2.0 62634019#2.242 62634019#3-AddedOnRampEdge 62634019#3 62634019#3-AddedOffRampEdge 30953251#1.0 30953251#1-AddedOffRampEdge 12112003 30953215#1-AddedOnRampEdge 30953215#1 121643865#0 12110705 50715233#0 50715233#0-AddedOffRampEdge 50715233#1.0 62203285#14.24 gneE59.30.0.55 gneE59.30.0.0 gneE59.0.0 gneE59.0.12 62203360#0 12159135 12149408#0 49914077 424767578 43569819 387422128#1 43569827#0 43569827#1 43569827#2 43569827#7 43569848 30953391 424769002 424769005 424769006 424769004 30953396#1 -424769003#1 -424769003#0 -485017374 42706828#0 42706828#2 12182281#0 12182281#3 12182281#5 12182281#6 386995507#4 386995507#5 386995507#6 12152013#1 12152013#2 -12175537#6 -12175537#5 -12175537#4 12182281#9 12182281#10 -388756839#1 -388756839#0 -50033059#4 -50033059#3 -50033059#2 -50033059#1 -50033558#8 -51155368#3 121319046 12188656 -50033558#2 12203859#0 12203859#1 42706831#4 42706831#5 42706831#6 42706874#0 42706874#2 12144152#0 12144152#2 450844953#0 450844953#2 450844953#3 450844947#0 388533142#0 388533142#2 388533142#4 62623926#0 62623926#1 450844950#0 12189453#0.0.0 450844982#0.19 62203497#0 62203497#2 62203497#3 12134479#1 34685684#0 34685684#2 388533143#0 388533143#2 12140627#0 63060729#0 -264253834#2 12156992#4 12156992#5 12156992#6 12156992#7 12156992#8 12156992#9 -12114396#5 -12114396#3 -12114396#1 485017383#0 485017382#0 485017382#1 211575484#0 -12177521#3 -12177521#2 -12177521#1 32121111#12 32121111#14 -12187610#5 -12187610#2 -12187610#1 12150608#0 32121146#2 12117702#9 450844953#0 450844953#2 450844953#3 450844947#0 388533142#0 388533142#2 388533142#4 62623926#0 62623926#1 450844950#0 38502259#0.19 450844933#1 196207110#0 196207110#2" probability="0.0625"/&gt;</t>
  </si>
  <si>
    <t xml:space="preserve">    &lt;route id="Router3_117" edges="31909473.0 31909473.857 62634019#1-AddedOnRampEdge 62634019#1 62634019#2.0 62634019#2.242 62634019#3-AddedOnRampEdge 62634019#3 62634019#3-AddedOffRampEdge 30953251#1.0 30953251#1-AddedOffRampEdge 12112003 30953215#1-AddedOnRampEdge 30953215#1 121643865#0 12110705 50715233#0 50715233#0-AddedOffRampEdge 50715233#1.0 62203285#14.24 gneE59.30.0.55 gneE59.30.0.0 gneE59.0.0 gneE59.0.12 62203360#0 291433361#0 132508433.0 -gneE6.0 gneE81.299.0 gneE81.299.79 gneE81.299.145 -gneE8 12154353#0 196393941#1 196393941#2 28533986 43539369#2 12178843#2 12178843#3 49960982#2 43569828#0 387422128#1 43569827#0 43569827#1 43569827#2 43569827#7 43569848 30953391 424769002 424769005 424769006 424769004 30953396#1 387422132#0 387422132#1 486653633#0 484953506#3 484953506#4 12157002#0 12157002#1 12157002#3 12157002#5 12114396#4 -12156992#10 -12156992#8 -12156992#7 -12156992#6 -12156992#5 -12156992#4 -12156992#3 -12156992#2 -12156992#1 -386547297#1 -424080772#2 -424080772#1 -262962065#1 -262962063 -424080764 -424080768#1 -424080766 -104526265#1 30953497#0 30953497#2 30953497#3 42706585#0 42706585#1 30953320 30953320-AddedOffRampEdge 104526277 30953215#1-AddedOnRampEdge 30953215#1 121643865#0 12110705 50715233#0 50715233#0-AddedOffRampEdge 50715233#1.0 62203285#14.24 gneE59.30.0.55 gneE59.30.0.0 gneE59.0.0 gneE59.0.12 62203360#0 12159135 12149408#0 49914077 424767578 43569819 387422128#1 43569827#0 43569827#1 43569827#2 43569827#7 43569848 30953391 424769002 424769005 424769006 424769004 30953396#1 -424769003#1 -424769003#0 -485017374 42706828#0 42706828#2 12182281#0 12182281#3 12182281#5 12182281#6 386995507#4 386995507#5 386995507#6 12152013#1 12152013#2 -12175537#6 -12175537#5 -12175537#4 12182281#9 12182281#10 -388756839#1 -388756839#0 -50033059#4 -50033059#3 -50033059#2 -50033059#1 -50033558#8 -51155368#3 121319046 12188656 -50033558#2 12203859#0 12203859#1 42706831#4 42706831#5 42706831#6 42706874#0 42706874#2 12144152#0 12144152#2 450844953#0 450844953#2 450844953#3 450844947#0 388533142#0 388533142#2 388533142#4 62623926#0 62623926#1 450844950#0 12189453#0.0.0 450844982#0.19 62203497#0 62203497#2 62203497#3 12134479#1 34685684#0 34685684#2 388533143#0 388533143#2 12140627#0 63060729#0 -264253834#2 12156992#4 12156992#5 12156992#6 12156992#7 12156992#8 12156992#9 -12114396#5 -12114396#3 -12114396#1 485017383#0 485017382#0 485017382#1 211575484#0 -12177521#3 -12177521#2 -12177521#1 32121111#12 32121111#14 -12187610#5 -12187610#2 -12187610#1 12150608#0 32121146#2 12117702#9 450844953#0 450844953#2 450844953#3 450844947#0 388533142#0 388533142#2 388533142#4 62623926#0 62623926#1 450844950#0 38502259#0.19 450844933#1 196207110#0 196207110#2" probability="0.0625"/&gt;</t>
  </si>
  <si>
    <t xml:space="preserve">    &lt;route id="Router3_10" edges="-gneE80.0 -gneE80.17 -gneE41 gneE44 -388756838#2 -388756838#1 -388756838#0 42706817#0 386547310 gneE69 -388756838#2 -388756838#1 -388756838#0 -388756839#1 -388756839#0 -194358837#2 -194358837#0 194358838#0 194358838#1 194358838#2 194358838#3 387422145#0 387422145#3 386995499#0 386995499#2 -51155368#13 -51155368#10 -51155368#7 121319040#0 121319040#1 386995507#0 386995507#1 386995507#2 386995507#3 12182281#7 42706837#0 42706837#1 42706837#2 42706837#3 43357814#2 43357814#3 386995526#0 386995526#1 -51050425#4 -51050425#3 -51050425#2 12162659#0 12162659#1 -12175537#4 -12175537#3 -12175537#2 -12175537#1 -50033059#3 -50033059#2 -386995514#7 -12199713#2 12177498 42706833#2 51155368#0 -50033558#5 -50033558#3 -50033558#2 -62105579 -32121234#1 -32121234#0 42706874#0 42706874#2 55179414#0 55179413#0 424769182 -450827405#2 -450827400#2 -450827382 -450827385#1 -450827391#1 -450827381 -450827397#1 12180696#0 59435515#1 59435515#2 59435515#3 59435515#4 424801338#1 12117702#0 12117702#4 12117702#7 -32121146#3 12202008#2.0 12202008#2.171 62646499#2 450827424#0 450827405#0 262962062 -55179413#2 12187610#0 12187610#2 12187610#3 -62105579 12186909#0 12186909#1 12186909#2 12186909#4 12186909#6 386995479#0 12157718#5 12157718#7 485017376 485017373#0 387422135#0 424769003#0 424769003#1 -30953396#1 -30953396#0 -424769006 -424769005 -424769002 -30953391 -43569848 -393884751 12159702 424764853 12149178#0 50189796 50189564 12149178#2 145605533#0 145605533#1-AddedOnRampEdge 145605533#1 145605511#1-AddedOnRampEdge 145605511#12 145605511#1.148" probability="0.0625"/&gt;</t>
  </si>
  <si>
    <t xml:space="preserve">    &lt;route id="Router3_11" edges="-gneE80.0 -gneE80.17 -gneE41 gneE44 -388756838#2 -388756838#1 -388756838#0 42706817#0 386547310 gneE69 -388756838#2 -388756838#1 -388756838#0 -388756839#1 -388756839#0 -194358837#2 -194358837#0 194358838#0 194358838#1 194358838#2 194358838#3 387422145#0 387422145#3 386995499#0 386995499#2 -51155368#13 -51155368#10 -51155368#7 121319040#0 121319040#1 386995507#0 386995507#1 386995507#2 386995507#3 12182281#7 42706837#0 42706837#1 42706837#2 42706837#3 43357814#2 43357814#3 386995526#0 386995526#1 -51050425#4 -51050425#3 -51050425#2 12162659#0 12162659#1 -12175537#4 -12175537#3 -12175537#2 -12175537#1 -50033059#3 -50033059#2 -386995514#7 -12199713#2 12177498 42706833#2 51155368#0 -50033558#5 -50033558#3 -50033558#2 -62105579 -32121234#1 -32121234#0 42706874#0 42706874#2 55179414#0 55179413#0 424769182 -450827405#2 -450827400#2 -450827382 -450827385#1 -450827391#1 -450827381 -450827397#1 12180696#0 59435515#1 59435515#2 59435515#3 59435515#4 424801338#1 12117702#0 12117702#4 12117702#7 -32121146#3 12202008#2.0 12202008#2.171 62646499#2 450827424#0 450827405#0 262962062 -55179413#2 12187610#0 12187610#2 12187610#3 -62105579 12186909#0 12186909#1 12186909#2 12186909#4 12186909#6 386995479#0 12157718#5 12157718#7 485017376 485017373#0 387422135#0 424769003#0 424769003#1 -30953396#1 30953396#1 -424769003#1 -424769003#0 12157002#0 12157002#1 12186058#2 485017381#0 -12157718#12 -12157718#10 -12157718#9 -12157718#8 -12157718#6 386995479#1 386995479#2 386995479#3 386995479#4 386995479#5 386995479#6 386995490#0.0 12154359#1.20 12154359#2 -386995521#1 -386995521#0 43357814#0 43357814#1 42706837#4 42706837#5 12154359#5 12154359#6 386995531#1 386995531#2 386995531#3 386995531#4 12172918#2 gneE73 gneE75.0 gneE80.125" probability="0.0625"/&gt;</t>
  </si>
  <si>
    <t>&lt;routeDistribution id="SPRUCE-21st-to-22nd-WB-2011-RouteProbe"&gt;</t>
  </si>
  <si>
    <t>&lt;routeDistribution id="LOMBARD-21st-to-22nd-WB-2011-RouteProbe"&gt;</t>
  </si>
  <si>
    <t>&lt;routeDistribution id="33rd-LanAVE-to-Powelton-NB-2012-RouteProbe"&gt;</t>
  </si>
  <si>
    <t xml:space="preserve">    &lt;route id="Router3_107" edges="31909473.0 31909473.857 62634019#1-AddedOnRampEdge 62634019#1 62634019#2.0 62634019#2.242 62634019#3-AddedOnRampEdge 62634019#3 62634019#3-AddedOffRampEdge 12111747.0 62203498#0 62093806#0 104526265#0.14 424080766 424080768#0 104523976#1 262962063 424080770#0 424080772#0 424080772#2 386547297#0 424080771#0 424080767#0 386547298#0 424769177 424080769#0 12144152#0 12144152#2 12144152#4 12166276#0 -351053388#2 12144152#7 450844965#0 388533145#0 -12168663#6 -484953513#2 -484953514#2 -284556051#4 -284556051#2 51050278#0.0 gneE16 -12165855#3.1535 386547306#4 386547306#6 51049745#0 51049745#2 51049745#3 484842179#16.0 62094032#0.9 288513230#0 288513232 484842173 50033030#0 -424801341 -283621822#1 -424801343#1 -424801343#0 49991658 424801340 424801342 386550018#0 386550018#0-AddedOffRampEdge 386550018#1 49991638 -12144161#0 12144161#0 12144161#1 49991657 283621821#1 283621821#1-AddedOffRampEdge 283621821#2 49991647#1 49991647#2 63060732#0 63060732#1 63060732#2.0 63060732#2.116 50033027 -50033029 50033050#0 50033050#2 424799828 424799825 424799826 50033054 63060727 50033029 50033028#0 50033028#3 50033028#5 50033028#6 49991646 386547300#0 283621823 386547301-AddedOnRampEdge 386547301 424801344#0 424801343#1 283621822#0 424801341 28555309#0 49991649#0 424986163#0 51049946#0 424801337#0 357338497#0 357338497#2 450695460#0 62646499#0 62646499#2 450827424#0 62646508#0 62646508#2 424799820 424799823#0 50033059#0 50033059#2 50033059#3 50033059#4 388756839#0 388756839#1 388756838#0 12136923#0 386547309#0 386547309#2 386547309#3 386547309#5 484953510#2 42706825#0 42706825#2 42706825#4 42706825#5 121319046 12188656 -50033558#2 12203859#0 12203859#1 42706831#4 42706831#5 -12180988#5 63060729#4 63060729#7 63060729#10 -42706823#3 -42706823#1 42706831#0 42706831#4 42706831#5 42706831#6 32121234#0 32121234#1 32121234#2 50033558#2 50033558#3 50033558#4 50033558#6 50033058#0 386995514#9 386995486#0 32121111#11 -12177521#0 -121319040#0 -51155368#5 -50033558#5 -50033558#3 -12188656 -121319046 -42706825#7 -42706825#4 -42706825#3 -42706825#1 194358815 194358817#0 194358817#1 194358817#2 12114363#0 12114363#1 -50033059#4 12175537#0 12175537#2 485017371#0 484953507#1 12182281#8 12182281#9 12167232#0 12167232#1 12167232#2 12152013#4 51050425#4 386995537 386995551 387422150#0 387422150#1 386995531#3 386995531#4 12172918#2 gneE73 gneE75.0 gneE80.125" probability="1"/&gt;</t>
  </si>
  <si>
    <t>&lt;routeDistribution id="38th-Powelton-to-LanAVE-NB-2012-RouteProbe"&gt;</t>
  </si>
  <si>
    <t xml:space="preserve">    &lt;route id="Router3_77" edges="31909473.0 31909473.857 62634019#1-AddedOnRampEdge 62634019#1 62634019#2.0 62634019#2.242 62634019#3-AddedOnRampEdge 62634019#3 62634019#3-AddedOffRampEdge 12111747.0 12189453#0.0.0 450844982#0.19 62203497#0 62203497#2 62203497#3 12134479#1 34685684#0 34685684#2 450844947#0 388533142#0 388533142#2 12189045#0 62623987#0 62623987#1 -12142631 12202018 62623986#1 62623986#2 -12189051#1 424080770#0 424080772#0 424080772#2 386547297#0 424080771#0 424080767#0 386547298#0 424769177 424080769#0 55179414#0 12187610#0 -484953508#2 424801339#0 62646509#0 424801338#0 424801338#1 12117702#0 12117702#4 12117702#7 -32121146#3 -32121146#1 55179413#0 424769182 -450827405#2 -450827400#2 -450827382 -450827385#1 12134222#0 12134222#2 12134222#3 386547311#11 386547311#13 357338496#0 357338496#2 450695461#0 62646494#0 424801336#0 484842168#0 283621820 -28555309#1 -424801341 -283621822#1 -424801343#1 -424801343#0 49991658 424801340 424801342 386550018#0 386550018#0-AddedOffRampEdge 386550018#1 49991638 -12144161#0 12144161#0 12144161#1 49991657 283621821#1 283621821#1-AddedOffRampEdge 283621821#2 49991647#1 49991647#2 63060732#0 63060732#1 63060732#2.0 63060732#2.116 50033027 -50033029 50033050#0 50033050#2 424799828 424799825 424799826 50033054 63060727 50033029 50033028#0 50033028#3 50033028#5 50033028#6 49991646 386547300#0 283621823 386547301-AddedOnRampEdge 386547301 424801344#0 424801343#1 283621822#0 424801341 28555309#0 49991649#0 424986163#0 51049946#0 424801337#0 357338497#0 357338497#2 450695460#0 62646499#0 62646499#2 450827424#0 62646508#0 62646508#2 424799820 424799823#0 50033059#0 50033059#2 50033059#3 50033059#4 388756839#0 388756839#1 388756838#0 12136923#0 386547309#0 386547309#2 386547309#3 386547309#5 386547309#7 51050030#4 51050030#7 gneE35 -gneE34.0 --gneE83.0" probability="0.0666666666666667"/&gt;</t>
  </si>
  <si>
    <t xml:space="preserve">    &lt;route id="Router3_78" edges="31909473.0 31909473.857 62634019#1-AddedOnRampEdge 62634019#1 62634019#2.0 62634019#2.242 62634019#3-AddedOnRampEdge 62634019#3 62634019#3-AddedOffRampEdge 12111747.0 12189453#0.0.0 450844982#0.19 62203497#0 62203497#2 62203497#3 12134479#1 34685684#0 34685684#2 450844947#0 388533142#0 388533142#2 12189045#0 62623987#0 62623987#1 -12142631 12202018 62623986#1 62623986#2 -12189051#1 424080770#0 424080772#0 424080772#2 386547297#0 424080771#0 424080767#0 386547298#0 424769177 424080769#0 55179414#0 12187610#0 -484953508#2 424801339#0 62646509#0 424801338#0 424801338#1 12117702#0 12117702#4 12117702#7 -32121146#3 -32121146#1 55179413#0 424769182 -450827405#2 -450827400#2 -450827382 -450827385#1 12134222#0 12134222#2 12134222#3 386547311#11 386547311#13 357338496#0 357338496#2 450695461#0 62646494#0 424801336#0 484842168#0 283621820 -28555309#1 -424801341 -283621822#1 -424801343#1 -424801343#0 49991658 424801340 424801342 386550018#0 386550018#0-AddedOffRampEdge 386550018#1 49991638 -12144161#0 12144161#0 12144161#1 49991657 283621821#1 283621821#1-AddedOffRampEdge 283621821#2 49991647#1 49991647#2 63060732#0 63060732#1 63060732#2.0 63060732#2.116 50033027 -50033029 50033050#0 50033050#2 424799828 424799825 424799826 50033054 63060727 50033029 50033028#0 50033028#3 50033028#5 50033028#6 49991646 386547300#0 283621823 386547301-AddedOnRampEdge 386547301 424801344#0 424801343#1 283621822#0 424801341 28555309#0 49991649#0 424986163#0 51049946#0 424801337#0 357338497#0 357338497#2 450695460#0 62646499#0 62646499#2 450827424#0 62646508#0 62646508#2 424799820 424799823#0 50033059#0 50033059#2 50033059#3 50033059#4 388756839#0 388756839#1 388756838#0 12136923#0 386547309#0 386547309#2 386547309#3 386547309#5 484953510#2 42706825#0 42706825#2 42706825#4 42706825#5 424799823#0 42706833#0 42706833#2 -42706825#7 12199713#0 12199713#1 -386995514#6 -386995514#5 -386995514#4 -386995514#3 -386995514#2 -386995514#1 12159500#1 12159500#2 51050030#7 gneE35 -gneE34.0 --gneE83.0" probability="0.0666666666666667"/&gt;</t>
  </si>
  <si>
    <t xml:space="preserve">    &lt;route id="Router3_79" edges="31909473.0 31909473.857 62634019#1-AddedOnRampEdge 62634019#1 62634019#2.0 62634019#2.242 62634019#3-AddedOnRampEdge 62634019#3 62634019#3-AddedOffRampEdge 12111747.0 12189453#0.0.0 450844982#0.19 62203497#0 62203497#2 62203497#3 12134479#1 34685684#0 34685684#2 450844947#0 388533142#0 388533142#2 12189045#0 62623987#0 62623987#1 -12142631 12202018 62623986#1 62623986#2 -12189051#1 424080770#0 424080772#0 424080772#2 386547297#0 424080771#0 424080767#0 386547298#0 424769177 424080769#0 55179414#0 12187610#0 -484953508#2 424801339#0 62646509#0 424801338#0 424801338#1 12117702#0 12117702#4 12117702#7 -32121146#3 -32121146#1 55179413#0 424769182 -450827405#2 -450827400#2 -450827382 -450827385#1 12134222#0 12134222#2 12134222#3 386547311#11 386547311#13 357338496#0 357338496#2 450695461#0 62646494#0 424801336#0 484842168#0 283621820 -28555309#1 -424801341 -283621822#1 -424801343#1 -424801343#0 49991658 424801340 424801342 386550018#0 386550018#0-AddedOffRampEdge 386550018#1 49991638 -12144161#0 12144161#0 12144161#1 49991657 283621821#1 283621821#1-AddedOffRampEdge 283621821#2 49991647#1 49991647#2 63060732#0 63060732#1 63060732#2.0 63060732#2.116 50033027 -50033029 50033050#0 50033050#2 424799828 424799825 424799826 50033054 63060727 50033029 50033028#0 50033028#3 50033028#5 50033028#6 49991646 386547300#0 283621823 386547301-AddedOnRampEdge 386547301 424801344#0 424801343#1 283621822#0 424801341 28555309#0 49991649#0 424986163#0 51049946#0 424801337#0 357338497#0 357338497#2 450695460#0 62646499#0 62646499#2 450827424#0 62646508#0 62646508#2 424799820 424799823#0 50033059#0 50033059#2 50033059#3 50033059#4 388756839#0 388756839#1 388756838#0 12136923#0 386547309#0 386547309#2 386547309#3 386547309#5 484953510#2 42706825#0 42706825#2 42706825#4 42706825#5 424799823#0 42706833#0 42706833#2 12189876#0 12189876#2 484953508#1 60185970#0 60185970#2 12149571#1 12187610#3 50033558#2 50033558#3 50033558#4 50033558#6 50033058#0 386995514#9 386995486#0 32121111#11 -12177521#0 -121319040#0 -51155368#5 -50033558#5 -50033558#3 -12188656 -121319046 -42706825#7 -42706825#4 -42706825#3 -42706825#1 194358815 194358817#0 194358817#1 194358817#2 12114363#0 12114363#1 -50033059#4 12175537#0 12175537#2 485017371#0 484953507#1 12182281#8 12182281#9 12167232#0 12167232#1 12167232#2 12152013#4 51050425#4 386995537 386995551 387422150#0 387422150#1 386995531#3 386995531#4 12172918#2 gneE73 gneE75.0 gneE80.125" probability="0.0666666666666667"/&gt;</t>
  </si>
  <si>
    <t xml:space="preserve">    &lt;route id="Router3_23" edges="-gneE80.0 -gneE80.17 -gneE41 gneE44 -388756838#2 -388756838#1 -388756838#0 42706817#0 386547310 gneE69 -388756838#2 -388756838#1 -388756838#0 -388756839#1 -388756839#0 -194358837#2 -194358837#0 194358838#0 194358838#1 32121111#9 32121111#10 -386995486#0 -386995514#9 50033058#2 50033058#3 194358837#0 194358837#1 12175533#0 12175533#2 12175533#3 42706825#4 42706825#5 12189876#0 12189876#2 484953509#0 484953509#2 -12175523#1 12134222#0 12134222#2 12134222#3 386547311#11 386547311#13 357338496#0 357338496#2 450695461#0 62646494#0 424801336#0 484842168#0 283621820 -28555309#1 -424801341 -283621822#1 -424801343#1 -424801343#0 49991658 424801340 424801342 386550018#0 386550018#0-AddedOffRampEdge 386550018#1 49991638 -12144161#0 12144161#0 12144161#1 49991657 283621821#1 283621821#1-AddedOffRampEdge 12122485 49991647#2 63060732#0 63060732#1 63060732#2.0 273888488.10 -12122468#1 -12122468#0 -424081469 -424081473 -424081472 -424987520 -30953029#1 -30953029#0 -424987519 170366765 12173391 12123285#0 12123285#1 12123285#2 12176631 424804090#0 424804090#1 12198567#0 12198567#1 12198567#2 12198567#3 12171853#3 12171853#4 12171853#5 12171853#6 132508920#8 132508920#9 132508920#10 132508920#12 132508983#0 132508983#3 132508983#5 132508740#0 132508740#2 -12165829#1 132508646#0 132508646#2 132508646#3 394179820#0 394179820#1 394179820#2 394179820#3 450844975 450844970#0 196355332#0 450844979#0.0 450844982#0.19 62203497#0 62203497#2 62203497#3 12134479#1 34685684#0 34685684#2 388533143#0 388533143#2 12140627#0 63060729#0 -264253834#2 12156992#4 12156992#5 12156992#6 12156992#7 12156992#8 12156992#9 -12114396#5 -12114396#3 -12114396#1 485017383#0 485017382#0 485017382#1 211575484#0 -12177521#3 -12177521#2 -12177521#1 32121111#12 32121111#14 -12187610#5 -12187610#2 -12187610#1 12150608#0 32121146#2 12117702#9 450844953#0 450844953#2 450844953#3 450844947#0 388533142#0 388533142#2 388533142#4 62623926#0 62623926#1 450844950#0 38502259#0.19 450844933#1 196207110#0 196207110#2" probability="0.0666666666666667"/&gt;</t>
  </si>
  <si>
    <t xml:space="preserve">    &lt;route id="Router3_24" edges="-gneE80.0 -gneE80.17 -gneE41 gneE44 -388756838#2 -388756838#1 -388756838#0 42706817#0 386547310 gneE69 -388756838#2 -388756838#1 -388756838#0 -388756839#1 -388756839#0 -194358837#2 -194358837#0 194358838#0 194358838#1 32121111#9 32121111#10 -386995486#0 -386995514#9 50033058#2 50033058#3 194358837#0 194358837#1 12175533#0 12175533#2 12175533#3 42706825#4 42706825#5 12189876#0 12189876#2 484953509#0 484953509#2 -12175523#1 12134222#0 12134222#2 12134222#3 386547311#11 386547311#13 357338496#0 357338496#2 450695461#0 62646494#0 424801336#0 484842168#0 283621820 -28555309#1 -424801341 -283621822#1 -424801343#1 -424801343#0 49991658 424801340 424801342 386550018#0 386550018#0-AddedOffRampEdge 386550018#1 49991638 -12144161#0 12144161#0 12144161#1 49991657 283621821#1 283621821#1-AddedOffRampEdge 12122485 49991647#2 63060732#0 63060732#1 63060732#2.0 273888488.10 -12122468#1 -12122468#0 -424081469 -424081473 -424081472 -424987520 -30953029#1 -30953029#0 -424987519 170366765 12173391 12123285#0 170366766 -170366765 170366768 30953029#0 30953029#1 424987520 424081472 424081473 424081470 12122468#0 12122468#1 273888485.0 50033027 -50033029 50033050#0 50033055 63060727 50033029 50033028#0 50033028#3 50033028#5 50033028#6 49991646 386547300#0 283621823 386547301-AddedOnRampEdge 386547301 424801344#0 424801343#1 283621822#0 424801341 28555309#0 49991649#0 424986163#0 51049946#0 424801337#0 357338497#0 357338497#2 450695460#0 62646499#0 62646499#2 450827424#0 62646508#0 62646508#2 424799820 424799823#0 50033059#0 50033059#2 50033059#3 50033059#4 388756839#0 388756839#1 388756838#0 12136923#0 386547309#0 386547309#2 386547309#3 386547309#5 386547309#7 51050030#4 51050030#7 gneE35 -gneE34.0 --gneE83.0" probability="0.0666666666666667"/&gt;</t>
  </si>
  <si>
    <t>&lt;routeDistribution id="38th-Powelton-to-LanAVE-SB-2012-RouteProbe"&gt;</t>
  </si>
  <si>
    <t xml:space="preserve">    &lt;route id="Router3_79" edges="31909473.0 31909473.857 62634019#1-AddedOnRampEdge 62634019#1 62634019#2.0 62634019#2.242 62634019#3-AddedOnRampEdge 62634019#3 62634019#3-AddedOffRampEdge 12111747.0 12189453#0.0.0 450844982#0.19 62203497#0 62203497#2 62203497#3 12134479#1 34685684#0 34685684#2 450844947#0 388533142#0 388533142#2 12189045#0 62623987#0 62623987#1 -12142631 12202018 62623986#1 62623986#2 -12189051#1 424080770#0 424080772#0 424080772#2 386547297#0 424080771#0 424080767#0 386547298#0 424769177 424080769#0 55179414#0 12187610#0 -484953508#2 424801339#0 62646509#0 424801338#0 424801338#1 12117702#0 12117702#4 12117702#7 -32121146#3 -32121146#1 55179413#0 424769182 -450827405#2 -450827400#2 -450827382 -450827385#1 12134222#0 12134222#2 12134222#3 386547311#11 386547311#13 357338496#0 357338496#2 450695461#0 62646494#0 424801336#0 484842168#0 283621820 -28555309#1 -424801341 -283621822#1 -424801343#1 -424801343#0 49991658 424801340 424801342 386550018#0 386550018#0-AddedOffRampEdge 386550018#1 49991638 -12144161#0 12144161#0 12144161#1 49991657 283621821#1 283621821#1-AddedOffRampEdge 283621821#2 49991647#1 49991647#2 63060732#0 63060732#1 63060732#2.0 63060732#2.116 50033027 -50033029 50033050#0 50033050#2 424799828 424799825 424799826 50033054 63060727 50033029 50033028#0 50033028#3 50033028#5 50033028#6 49991646 386547300#0 283621823 386547301-AddedOnRampEdge 386547301 424801344#0 424801343#1 283621822#0 424801341 28555309#0 49991649#0 424986163#0 51049946#0 424801337#0 357338497#0 357338497#2 450695460#0 62646499#0 62646499#2 450827424#0 62646508#0 62646508#2 424799820 424799823#0 50033059#0 50033059#2 50033059#3 50033059#4 388756839#0 388756839#1 388756838#0 12136923#0 386547309#0 386547309#2 386547309#3 386547309#5 484953510#2 42706825#0 42706825#2 42706825#4 42706825#5 424799823#0 42706833#0 42706833#2 12189876#0 12189876#2 484953508#1 60185970#0 60185970#2 12149571#1 12187610#3 50033558#2 50033558#3 50033558#4 50033558#6 50033058#0 386995514#9 386995486#0 32121111#11 -12177521#0 -121319040#0 -51155368#5 -50033558#5 -50033558#3 -12188656 -121319046 -42706825#7 -42706825#4 -42706825#3 -42706825#1 194358815 194358817#0 194358817#1 194358817#2 12114363#0 12114363#1 -50033059#4 12175537#0 12175537#2 485017371#0 484953507#1 12182281#8 12182281#9 12167232#0 12167232#1 12167232#2 12152013#4 51050425#4 386995537 386995551 387422150#0 387422150#1 386995531#3 386995531#4 12172918#2 gneE73 gneE75.0 gneE80.125" probability="0.125"/&gt;</t>
  </si>
  <si>
    <t xml:space="preserve">    &lt;route id="Router3_89" edges="31909473.0 31909473.857 62634019#1-AddedOnRampEdge 62634019#1 62634019#2.0 62634019#2.242 62634019#3-AddedOnRampEdge 62634019#3 62634019#3-AddedOffRampEdge 12111747.0 59671945#0.30 62093806#0 104526265#0.14 424080766 424080768#0 104523976#1 262962063 12189051#0 -12189051#1 -262962063 -424080764 -424080768#1 -424080766 -104526265#1 30953497#0 30953497#2 30953497#3 42706585#0 42706585#1 30953320 30953320-AddedOffRampEdge 104526277 30953215#1-AddedOnRampEdge 30953215#1 121643865#0 12110705 50715233#0 50715233#0-AddedOffRampEdge 50715233#1.0 62203285#14.24 gneE59.30.0.55 gneE59.30.0.0 43539373#0.0.292.17 gneE58 gneE56 gneE54.0 gneE62.13 gneE81.0 gneE81.299.0 12138964.1128 196393941#8 gneE87 196393974#0 49914077 424767578 43569819 387422128#1 43569827#0 43569827#1 43569827#2 43569827#7 43569848 30953391 424769002 424769005 424769006 424769004 30953396#1 -424769003#1 -424769003#0 -485017374 42706828#0 42706828#2 12182281#0 12182281#3 12182281#5 12182281#6 386995507#4 386995507#5 386995507#6 12152013#1 12152013#2 -12175537#6 -12175537#5 -12175537#4 12182281#9 12182281#10 -388756839#1 -388756839#0 -50033059#4 -50033059#3 -50033059#2 -50033059#1 42706833#0 42706833#2 12189876#0 12189876#2 484953508#1 60185970#0 60185970#2 12149571#1 12187610#3 50033558#2 -12188656 -121319046 -42706825#7 12199713#0 12199713#1 -386995514#6 -386995514#5 -386995514#4 -386995514#3 194358817#0 194358817#1 194358817#2 12114363#0 12114363#1 -50033059#4 12175537#0 12175537#2 12175537#3 12175537#4 12175537#5 12175537#6 12175537#7 12175537#8 12175537#9 12175537#10 12175537#11 12175537#12 12155177#1 12155177#2 387422153#1 gneE73 gneE75.0 gneE80.125" probability="0.125"/&gt;</t>
  </si>
  <si>
    <t xml:space="preserve">    &lt;route id="Router3_113" edges="31909473.0 31909473.857 62634019#1-AddedOnRampEdge 62634019#1 62634019#2.0 62634019#2.242 62634019#3-AddedOnRampEdge 62634019#3 62634019#3-AddedOffRampEdge 30953251#1.0 30953251#1-AddedOffRampEdge 12112003 30953215#1-AddedOnRampEdge 30953215#1 121643865#0 12110705 50715233#0 50715233#0-AddedOffRampEdge 50715233#1.0 62203285#14.24 gneE59.30.0.55 gneE59.30.0.0 gneE59.0.0 gneE59.0.12 62203360#0 12159135 12149408#0 49914077 424767578 43569819 387422128#1 43569827#0 43569827#1 43569827#2 43569827#7 43569848 30953391 424769002 424769005 424769006 424769004 30953396#1 -424769003#1 -424769003#0 -485017374 42706828#0 42706828#2 12182281#0 12182281#3 12182281#5 12182281#6 386995507#4 386995507#5 386995507#6 12152013#1 12152013#2 -12175537#6 -12175537#5 -12175537#4 12182281#9 12182281#10 -388756839#1 -388756839#0 -50033059#4 -50033059#3 -50033059#2 -50033059#1 42706833#0 42706833#2 12189876#0 12189876#2 484953508#1 60185970#0 60185970#2 12149571#1 12187610#3 50033558#2 -12188656 -121319046 -42706825#7 12199713#0 12199713#1 -386995514#6 -386995514#5 -386995514#4 -386995514#3 194358817#0 194358817#1 194358817#2 12114363#0 12114363#1 -50033059#4 12175537#0 12175537#2 12175537#3 12175537#4 12175537#5 12175537#6 12175537#7 12175537#8 12175537#9 12175537#10 12175537#11 12175537#12 12155177#1 12155177#2 387422153#1 gneE73 gneE75.0 gneE80.125" probability="0.125"/&gt;</t>
  </si>
  <si>
    <t xml:space="preserve">    &lt;route id="Router3_118" edges="31909473.0 31909473.857 62634019#1-AddedOnRampEdge 62634019#1 62634019#2.0 62634019#2.242 62634019#3-AddedOnRampEdge 62634019#3 62634019#3-AddedOffRampEdge 30953251#1.0 30953251#1-AddedOffRampEdge 12112003 30953215#1-AddedOnRampEdge 30953215#1 121643865#0 12110705 50715233#0 50715233#0-AddedOffRampEdge 50715233#1.0 62203285#14.24 gneE59.30.0.55 gneE59.30.0.0 gneE59.0.0 gneE59.0.12 62203360#0 291433361#0 132508433.0 -gneE6.0 gneE81.299.0 gneE81.299.79 gneE81.299.145 -gneE8 12154353#0 196393941#1 196393941#2 28533986 43539369#2 12178843#2 12178843#3 49960982#2 43569828#0 387422128#1 43569827#0 43569827#1 43569827#2 43569827#7 43569848 30953391 424769002 424769005 424769006 424769004 30953396#1 387422132#0 387422132#1 486653633#0 484953506#3 484953506#4 12157002#0 12157002#1 12157002#3 12157002#5 12114396#4 -12156992#10 -12156992#8 -12156992#7 -12156992#6 -12156992#5 -12156992#4 -12156992#3 -12156992#2 -12156992#1 -386547297#1 -424080772#2 -424080772#1 -262962065#1 -262962063 -424080764 -424080768#1 -424080766 -104526265#1 30953497#0 30953497#2 30953497#3 42706585#0 42706585#1 30953320 30953320-AddedOffRampEdge 104526277 30953215#1-AddedOnRampEdge 30953215#1 121643865#0 12110705 50715233#0 50715233#0-AddedOffRampEdge 50715233#1.0 62203285#14.24 gneE59.30.0.55 gneE59.30.0.0 gneE59.0.0 gneE59.0.12 62203360#0 12159135 12149408#0 49914077 424767578 43569819 387422128#1 43569827#0 43569827#1 43569827#2 43569827#7 43569848 30953391 424769002 424769005 424769006 424769004 30953396#1 -424769003#1 -424769003#0 -485017374 42706828#0 42706828#2 12182281#0 12182281#3 12182281#5 12182281#6 386995507#4 386995507#5 386995507#6 12152013#1 12152013#2 -12175537#6 -12175537#5 -12175537#4 12182281#9 12182281#10 -388756839#1 -388756839#0 -50033059#4 -50033059#3 -50033059#2 -50033059#1 42706833#0 42706833#2 -42706825#7 12199713#0 12199713#1 -386995514#6 -386995514#5 -386995514#4 -386995514#3 -386995514#2 -386995514#1 12159500#1 12159500#2 51050030#7 gneE35 -gneE34.0 --gneE83.0" probability="0.125"/&gt;</t>
  </si>
  <si>
    <t xml:space="preserve">    &lt;route id="Router3_2" edges="-gneE80.0 -gneE80.17 -gneE41 gneE44 -388756838#2 -388756838#1 -388756838#0 42706817#0 386547310 gneE69 -388756838#2 -388756838#1 -388756838#0 -388756839#1 -388756839#0 -194358837#2 -194358837#0 194358838#0 194358838#1 194358838#2 194358838#3 387422145#0 387422145#3 386995499#0 386995499#2 -51155368#13 -51155368#10 -51155368#7 121319040#0 121319040#1 386995507#0 386995507#1 386995507#2 386995507#3 12182281#7 42706837#0 42706837#1 42706837#2 42706837#3 43357814#2 43357814#3 386995526#0 386995526#1 -51050425#4 -51050425#3 -51050425#2 12162659#0 12162659#1 -12175537#4 -12175537#3 -12175537#2 -12175537#1 -50033059#3 -50033059#2 -386995514#7 -12199713#2 12177498 42706833#2 51155368#0 -50033558#5 -50033558#3 -50033558#2 -62105579 -32121234#1 -32121234#0 42706874#0 42706874#2 55179414#0 55179413#0 424769182 -450827405#2 -450827400#2 -450827382 -450827385#1 -450827391#1 -450827381 -450827397#1 12180696#0 59435515#1 59435515#2 59435515#3 59435515#4 424801338#1 12117702#0 12117702#4 12117702#7 -32121146#3 12202008#2.0 12202008#2.171 62646499#2 450827424#0 450827405#0 262962062 -55179413#2 12187610#0 60185970#0 60185970#2 12149571#1 12187610#3 50033558#2 50033558#3 50033558#4 50033558#6 42706833#0 42706833#2 12189876#0 12189876#2 484953508#1 60185970#0 60185970#2 12149571#1 12187610#3 50033558#2 -12188656 -121319046 -42706825#7 12199713#0 12199713#1 -386995514#6 -386995514#5 -386995514#4 -386995514#3 194358817#0 194358817#1 194358817#2 12114363#0 12114363#1 -50033059#4 12175537#0 12175537#2 12175537#3 12175537#4 12175537#5 12175537#6 12175537#7 12175537#8 12175537#9 12175537#10 12175537#11 12175537#12 12155177#1 12155177#2 387422153#1 gneE73 gneE75.0 gneE80.125" probability="0.125"/&gt;</t>
  </si>
  <si>
    <t xml:space="preserve">    &lt;route id="Router3_3" edges="-gneE80.0 -gneE80.17 -gneE41 gneE44 -388756838#2 -388756838#1 -388756838#0 -388756839#1 -388756839#0 -194358837#2 -194358837#0 194358838#0 -386995507#1 12157718#3 32121111#10 386995486#1 386995479#0 12157718#5 12157718#7 485017376 485017373#0 387422135#0 424769003#0 424769003#1 -30953396#1 -30953396#0 -424769006 -424769005 -424769002 -30953391 -43569848 -393884751 12159702 424764853 12149178#0 50189796 50189564 12149178#2 145605533#0 145605533#1-AddedOnRampEdge 145605533#1 145605511#1-AddedOnRampEdge 145605511#12 145605511#1.148" probability="0.125"/&gt;</t>
  </si>
  <si>
    <t>&lt;routeDistribution id="LanAVE-34th-to-38th-BTH-2012-RouteProbe"&gt;</t>
  </si>
  <si>
    <t xml:space="preserve">    &lt;route id="Router3_14" edges="-gneE80.0 -gneE80.17 -gneE41 gneE44 -388756838#2 -388756838#1 -388756838#0 42706817#0 386547310 gneE69 -388756838#2 -388756838#1 -388756838#0 -388756839#1 -388756839#0 -194358837#2 -194358837#0 194358838#0 194358838#1 194358838#2 194358838#3 387422145#0 387422145#3 386995499#0 386995499#2 -51155368#13 -51155368#10 -51155368#7 121319040#0 121319040#1 386995507#0 386995507#1 386995507#2 386995507#3 12182281#7 42706837#0 42706837#1 42706837#2 42706837#3 43357814#2 43357814#3 386995526#0 386995526#1 -51050425#4 -51050425#3 -51050425#2 12162659#0 12162659#1 -12175537#4 -12175537#3 -12175537#2 -12175537#1 -50033059#3 -50033059#2 -386995514#7 -12199713#2 12177498 42706833#2 51155368#0 -50033558#5 -50033558#3 -50033558#2 -62105579 -32121234#1 -32121234#0 42706874#0 42706874#2 55179414#0 55179413#0 424769182 -450827405#2 -450827400#2 -450827382 -450827385#1 -450827391#1 -450827381 -450827397#1 12180696#0 59435515#1 59435515#2 59435515#3 59435515#4 424801338#1 12117702#0 12117702#4 12117702#7 -32121146#3 12202008#2.0 12202008#2.171 62646499#2 450827424#0 450827405#0 262962062 -55179413#2 12187610#0 12187610#2 12187610#3 -62105579 12186909#0 12186909#1 12186909#2 51155368#11 42706831#0 42706831#4 42706831#5 42706831#6 32121234#0 32121234#1 32121234#2 50033558#2 50033558#3 50033558#4 50033558#6 50033058#0 386995514#9 386995486#0 32121111#11 -12177521#0 -121319040#0 -51155368#5 -50033558#5 -50033558#3 -12188656 -121319046 -42706825#7 -42706825#4 -42706825#3 -42706825#1 -484953510#2 -484953510#1 -484953510#0 gneE37 gneE38 -12159761#2 -12159761#1 -12159761#0 12114363#0 12114363#1 -50033059#4 12175537#0 12175537#2 12175537#3 12175537#4 12162659#2 12159485 12161358#7 12161358#8 386995507#6 386995507#7 386995521#0 386995521#1 12154359#3 12154359#4 12154359#5 12154359#6 12154359#7 101350669 -386995537 -386995526#1 -386995526#0 -43357814#3 12175537#8 12175537#9 12175537#10 12175537#11 12175537#12 12175537#13 12172918#1 12172918#2 gneE73 gneE75.0 gneE80.125" probability="0.1"/&gt;</t>
  </si>
  <si>
    <t xml:space="preserve">    &lt;route id="Router3_15" edges="-gneE80.0 -gneE80.17 -gneE41 gneE44 -388756838#2 -388756838#1 -388756838#0 42706817#0 386547310 gneE69 -388756838#2 -388756838#1 -388756838#0 -388756839#1 -388756839#0 -194358837#2 -194358837#0 194358838#0 194358838#1 194358838#2 194358838#3 387422145#0 387422145#3 386995499#0 386995499#2 -51155368#13 -51155368#10 -51155368#7 121319040#0 121319040#1 386995507#0 386995507#1 386995507#2 386995507#3 12182281#7 42706837#0 42706837#1 42706837#2 42706837#3 43357814#2 43357814#3 386995526#0 386995526#1 -51050425#4 -51050425#3 -51050425#2 12162659#0 12162659#1 -12175537#4 -12175537#3 -12175537#2 -12175537#1 -50033059#3 -50033059#2 -386995514#7 -12199713#2 12177498 42706833#2 51155368#0 -50033558#5 -50033558#3 -50033558#2 -62105579 -32121234#1 -32121234#0 42706874#0 42706874#2 55179414#0 55179413#0 424769182 -450827405#2 -450827400#2 -450827382 -450827385#1 -450827391#1 -450827381 -450827397#1 12180696#0 59435515#1 59435515#2 59435515#3 59435515#4 424801338#1 12117702#0 12117702#4 12117702#7 -32121146#3 12202008#2.0 12202008#2.171 62646499#2 450827424#0 450827405#0 262962062 -55179413#2 12187610#0 12187610#2 12187610#3 -62105579 12186909#0 12186909#1 12186909#2 51155368#11 42706831#0 42706831#4 42706831#5 42706831#6 32121234#0 32121234#1 32121234#2 50033558#2 50033558#3 50033558#4 50033558#6 50033058#0 386995514#9 386995486#0 32121111#11 -12177521#0 -121319040#0 -51155368#5 -50033558#5 -50033558#3 -12188656 -121319046 -42706825#7 -42706825#4 -42706825#3 -42706825#1 -484953510#2 -484953510#1 -484953510#0 gneE37 gneE38 -12159761#2 -12159761#1 -12159761#0 12114363#0 12114363#1 -50033059#4 12175537#0 12175537#2 12175537#3 12175537#4 12175537#5 12175537#6 12175537#7 -43357814#2 42706837#4 42706837#5 42706837#6 42706837#7 42706837#8 12155177#0 12175537#13 12172918#1 12172918#2 gneE73 gneE75.0 -gneE80.17 -gneE41 gneE44 -388756838#2 -388756838#1 -388756838#0 42706817#0 386547310 gneE69 -388756838#2 -388756838#1 -388756838#0 -388756839#1 -388756839#0 -194358837#2 -194358837#0 194358838#0 194358838#1 194358838#2 386995479#2 310315797#2 12185366#9 387422145#0 -12157718#6 -12157718#4 -12157718#3 -12157718#2 -12157718#1 -12199713#4 386995514#7 -50033059#1 -50033558#8 -51155368#3 121319046 12188656 -50033558#2 12203859#0 12203859#1 42706831#4 42706831#5 42706831#6 42706874#0 42706874#2 12144152#0 12144152#2 450844953#0 450844953#2 450844953#3 450844947#0 388533142#0 388533142#2 388533142#4 62623926#0 62623926#1 450844950#0 12189453#0.0.0 450844982#0.19 62203497#0 62203497#2 62203497#3 12134479#1 34685684#0 34685684#2 388533143#0 388533143#2 12140627#0 63060729#0 -264253834#2 12156992#4 12156992#5 12156992#6 12156992#7 12156992#8 12156992#9 -12114396#5 -12114396#3 -12114396#1 485017383#0 485017382#0 485017382#1 211575484#0 -12177521#3 -12177521#2 -12177521#1 32121111#12 32121111#14 -12187610#5 -12187610#2 -12187610#1 12150608#0 32121146#2 12117702#9 450844953#0 450844953#2 450844953#3 450844947#0 388533142#0 388533142#2 388533142#4 62623926#0 62623926#1 450844950#0 38502259#0.19 450844933#1 196207110#0 196207110#2" probability="0.1"/&gt;</t>
  </si>
  <si>
    <t xml:space="preserve">    &lt;route id="Router3_16" edges="-gneE80.0 -gneE80.17 -gneE41 gneE44 -388756838#2 -388756838#1 -388756838#0 42706817#0 386547310 gneE69 -388756838#2 -388756838#1 -388756838#0 -388756839#1 -388756839#0 -194358837#2 -194358837#0 194358838#0 194358838#1 194358838#2 194358838#3 387422145#0 387422145#3 386995499#0 386995499#2 -51155368#13 -51155368#10 -51155368#7 121319040#0 121319040#1 386995507#0 386995507#1 386995507#2 386995507#3 12182281#7 42706837#0 42706837#1 42706837#2 42706837#3 43357814#2 43357814#3 386995526#0 386995526#1 -51050425#4 -51050425#3 -51050425#2 12162659#0 12162659#1 -12175537#4 -12175537#3 -12175537#2 -12175537#1 -50033059#3 -50033059#2 -386995514#7 -12199713#2 12177498 42706833#2 51155368#0 -50033558#5 -50033558#3 -50033558#2 -62105579 -32121234#1 -32121234#0 42706874#0 42706874#2 55179414#0 55179413#0 424769182 -450827405#2 -450827400#2 -450827382 -450827385#1 -450827391#1 -450827381 -450827397#1 12180696#0 59435515#1 59435515#2 59435515#3 59435515#4 424801338#1 12117702#0 12117702#4 12117702#7 -32121146#3 12202008#2.0 12202008#2.171 62646499#2 450827424#0 450827405#0 262962062 -55179413#2 12187610#0 12187610#2 12187610#3 -62105579 12186909#0 12186909#1 12186909#2 51155368#11 42706831#0 42706831#4 42706831#5 42706831#6 32121234#0 32121234#1 32121234#2 50033558#2 50033558#3 50033558#4 50033558#6 50033058#0 386995514#9 386995486#0 32121111#11 -12177521#0 -121319040#0 -51155368#5 -50033558#5 -50033558#3 -12188656 -121319046 -42706825#7 -42706825#4 -42706825#3 -42706825#1 -484953510#2 -484953510#1 -484953510#0 gneE37 gneE38 -12159761#2 -12159761#1 -12159761#0 12114363#0 12114363#1 -50033059#4 12175537#0 12175537#2 12175537#3 12175537#4 12175537#5 12175537#6 12175537#7 -43357814#2 42706837#4 42706837#5 42706837#6 42706837#7 42706837#8 12155177#0 12175537#13 12172918#1 12172918#2 gneE73 gneE75.0 gneE80.125" probability="0.1"/&gt;</t>
  </si>
  <si>
    <t xml:space="preserve">    &lt;route id="Router3_17" edges="-gneE80.0 -gneE80.17 -gneE41 gneE44 -388756838#2 -388756838#1 -388756838#0 42706817#0 386547310 gneE69 -388756838#2 -388756838#1 -388756838#0 -388756839#1 -388756839#0 -194358837#2 -194358837#0 194358838#0 194358838#1 194358838#2 194358838#3 387422145#0 387422145#3 386995499#0 386995499#2 -51155368#13 -51155368#10 -51155368#7 121319040#0 121319040#1 386995507#0 386995507#1 386995507#2 386995507#3 12182281#7 42706837#0 42706837#1 42706837#2 42706837#3 43357814#2 43357814#3 386995526#0 386995526#1 -51050425#4 -51050425#3 -51050425#2 12162659#0 12162659#1 -12175537#4 -12175537#3 -12175537#2 -12175537#1 -50033059#3 -50033059#2 -386995514#7 -12199713#2 12177498 42706833#2 51155368#0 -50033558#5 -50033558#3 -50033558#2 -62105579 -32121234#1 -32121234#0 42706874#0 42706874#2 55179414#0 55179413#0 424769182 -450827405#2 -450827400#2 -450827382 -450827385#1 -450827391#1 -450827381 -450827397#1 12180696#0 59435515#1 59435515#2 59435515#3 59435515#4 424801338#1 12117702#0 12117702#4 12117702#7 -32121146#3 12202008#2.0 12202008#2.171 62646499#2 450827424#0 450827405#0 262962062 -55179413#2 12187610#0 12187610#2 12187610#3 -62105579 12186909#0 12186909#1 12186909#2 51155368#11 42706831#0 42706831#4 42706831#5 42706831#6 32121234#0 32121234#1 32121234#2 50033558#2 50033558#3 50033558#4 50033558#6 50033058#0 386995514#9 386995486#0 32121111#11 -12177521#0 -121319040#0 -51155368#5 -50033558#5 -50033558#3 -12188656 -121319046 -42706825#7 -42706825#4 -42706825#3 -42706825#1 -484953510#2 -484953510#1 -484953510#0 gneE37 gneE38 -12159761#2 -12159761#1 -12159761#0 12114363#0 12114363#1 -50033059#4 12175537#0 12175537#2 12175537#3 12175537#4 12175537#5 12175537#6 12175537#7 12175537#8 12175537#9 12154359#6 386995531#1 12174155#0 -12175537#10 -12175537#9 -12175537#8 -12175537#7 12152013#3 12167232#3 386995531#0 12154359#7 101350669 -386995537 -386995526#1 -386995526#0 -43357814#3 -43357814#2 42706837#4 42706837#5 42706837#6 42706837#7 42706837#8 42706837#9 12172918#0 12172918#1 12172918#2 gneE73 gneE75.0 -gneE80.17 -gneE41 gneE44 -388756838#2 -388756838#1 -388756838#0 42706817#0 386547310 gneE69 -gneE44 gneE41 gneE80.0 gneE80.125" probability="0.1"/&gt;</t>
  </si>
  <si>
    <t xml:space="preserve">    &lt;route id="Router3_75" edges="31909473.0 31909473.857 62634019#1-AddedOnRampEdge 62634019#1 30953036 424081476 424081472 424081473 424081470 30953025#0 30953025#2 30953025#3 30953025#4 50033060#0 12134479#5 450844973#0 388533144#0 388533144#6 388533144#11 450695475#0 137364609#0 137364609#3 137364609#5 450695473#0 386547305#0 gneE23 -gneE20.0 -gneE21.54 -gneE21.0 59435515#0 59435515#1 59435515#2 59435515#3 59435515#4 424801338#1 12117702#0 12117702#4 12117702#7 -32121146#3 12202008#2.0 12202008#2.171 62646499#2 450827424#0 450827405#0 262962062 -55179413#2 12187610#0 12187610#2 12187610#3 -62105579 12186909#0 12186909#1 12186909#2 51155368#11 42706831#0 42706831#4 42706831#5 42706831#6 32121234#0 32121234#1 32121234#2 50033558#2 50033558#3 50033558#4 50033558#6 50033058#0 386995514#9 386995486#0 32121111#11 -12177521#0 -121319040#0 -51155368#5 -50033558#5 -50033558#3 -12188656 -121319046 -42706825#7 -42706825#4 -42706825#3 -42706825#1 -484953510#2 -484953510#1 -484953510#0 gneE37 gneE38 -12159761#2 -12159761#1 -12159761#0 12114363#0 12114363#1 -50033059#4 12175537#0 12175537#2 12175537#3 12175537#4 12162659#2 12159485 12161358#7 12161358#8 386995507#6 386995507#7 386995521#0 386995521#1 12154359#3 12154359#4 12154359#5 12154359#6 12154359#7 101350669 -386995537 -386995526#1 -386995526#0 -43357814#3 -43357814#2 42706837#4 42706837#5 42706837#6 42706837#7 42706837#8 42706837#9 12172918#0 12172918#1 12172918#2 gneE73 gneE75.0 gneE80.125" probability="0.1"/&gt;</t>
  </si>
  <si>
    <t xml:space="preserve">    &lt;route id="Router3_107" edges="31909473.0 31909473.857 62634019#1-AddedOnRampEdge 62634019#1 62634019#2.0 62634019#2.242 62634019#3-AddedOnRampEdge 62634019#3 62634019#3-AddedOffRampEdge 12111747.0 62203498#0 62093806#0 104526265#0.14 424080766 424080768#0 104523976#1 262962063 424080770#0 424080772#0 424080772#2 386547297#0 424080771#0 424080767#0 386547298#0 424769177 424080769#0 12144152#0 12144152#2 12144152#4 12166276#0 -351053388#2 12144152#7 450844965#0 388533145#0 -12168663#6 -484953513#2 -484953514#2 -284556051#4 -284556051#2 51050278#0.0 gneE16 -12165855#3.1535 386547306#4 386547306#6 51049745#0 51049745#2 51049745#3 484842179#16.0 62094032#0.9 288513230#0 288513232 484842173 50033030#0 -424801341 -283621822#1 -424801343#1 -424801343#0 49991658 424801340 424801342 386550018#0 386550018#0-AddedOffRampEdge 386550018#1 49991638 -12144161#0 12144161#0 12144161#1 49991657 283621821#1 283621821#1-AddedOffRampEdge 283621821#2 49991647#1 49991647#2 63060732#0 63060732#1 63060732#2.0 63060732#2.116 50033027 -50033029 50033050#0 50033050#2 424799828 424799825 424799826 50033054 63060727 50033029 50033028#0 50033028#3 50033028#5 50033028#6 49991646 386547300#0 283621823 386547301-AddedOnRampEdge 386547301 424801344#0 424801343#1 283621822#0 424801341 28555309#0 49991649#0 424986163#0 51049946#0 424801337#0 357338497#0 357338497#2 450695460#0 62646499#0 62646499#2 450827424#0 62646508#0 62646508#2 424799820 424799823#0 50033059#0 50033059#2 50033059#3 50033059#4 388756839#0 388756839#1 388756838#0 12136923#0 386547309#0 386547309#2 386547309#3 386547309#5 484953510#2 42706825#0 42706825#2 42706825#4 42706825#5 121319046 12188656 -50033558#2 12203859#0 12203859#1 42706831#4 42706831#5 -12180988#5 63060729#4 63060729#7 63060729#10 -42706823#3 -42706823#1 42706831#0 42706831#4 42706831#5 42706831#6 32121234#0 32121234#1 32121234#2 50033558#2 50033558#3 50033558#4 50033558#6 50033058#0 386995514#9 386995486#0 32121111#11 -12177521#0 -121319040#0 -51155368#5 -50033558#5 -50033558#3 -12188656 -121319046 -42706825#7 -42706825#4 -42706825#3 -42706825#1 194358815 194358817#0 194358817#1 194358817#2 12114363#0 12114363#1 -50033059#4 12175537#0 12175537#2 485017371#0 484953507#1 12182281#8 12182281#9 12167232#0 12167232#1 12167232#2 12152013#4 51050425#4 386995537 386995551 387422150#0 387422150#1 386995531#3 386995531#4 12172918#2 gneE73 gneE75.0 gneE80.125" probability="0.1"/&gt;</t>
  </si>
  <si>
    <t xml:space="preserve">    &lt;route id="Router3_2" edges="-gneE80.0 -gneE80.17 -gneE41 gneE44 -388756838#2 -388756838#1 -388756838#0 42706817#0 386547310 gneE69 -388756838#2 -388756838#1 -388756838#0 -388756839#1 -388756839#0 -194358837#2 -194358837#0 194358838#0 194358838#1 194358838#2 194358838#3 387422145#0 387422145#3 386995499#0 386995499#2 -51155368#13 -51155368#10 -51155368#7 121319040#0 121319040#1 386995507#0 386995507#1 386995507#2 386995507#3 12182281#7 42706837#0 42706837#1 42706837#2 42706837#3 43357814#2 43357814#3 386995526#0 386995526#1 -51050425#4 -51050425#3 -51050425#2 12162659#0 12162659#1 -12175537#4 -12175537#3 -12175537#2 -12175537#1 -50033059#3 -50033059#2 -386995514#7 -12199713#2 12177498 42706833#2 51155368#0 -50033558#5 -50033558#3 -50033558#2 -62105579 -32121234#1 -32121234#0 42706874#0 42706874#2 55179414#0 55179413#0 424769182 -450827405#2 -450827400#2 -450827382 -450827385#1 -450827391#1 -450827381 -450827397#1 12180696#0 59435515#1 59435515#2 59435515#3 59435515#4 424801338#1 12117702#0 12117702#4 12117702#7 -32121146#3 12202008#2.0 12202008#2.171 62646499#2 450827424#0 450827405#0 262962062 -55179413#2 12187610#0 60185970#0 60185970#2 12149571#1 12187610#3 50033558#2 50033558#3 50033558#4 50033558#6 42706833#0 42706833#2 12189876#0 12189876#2 484953508#1 60185970#0 60185970#2 12149571#1 12187610#3 50033558#2 -12188656 -121319046 -42706825#7 12199713#0 12199713#1 -386995514#6 -386995514#5 -386995514#4 -386995514#3 194358817#0 194358817#1 194358817#2 12114363#0 12114363#1 -50033059#4 12175537#0 12175537#2 12175537#3 12175537#4 12175537#5 12175537#6 12175537#7 12175537#8 12175537#9 12175537#10 12175537#11 12175537#12 12155177#1 12155177#2 387422153#1 gneE73 gneE75.0 gneE80.125" probability="0.1"/&gt;</t>
  </si>
  <si>
    <t xml:space="preserve">    &lt;route id="Router3_3" edges="-gneE80.0 -gneE80.17 -gneE41 gneE44 -388756838#2 -388756838#1 -388756838#0 -388756839#1 -388756839#0 -194358837#2 -194358837#0 194358838#0 -386995507#1 12157718#3 32121111#10 386995486#1 386995479#0 12157718#5 12157718#7 485017376 485017373#0 387422135#0 424769003#0 424769003#1 -30953396#1 -30953396#0 -424769006 -424769005 -424769002 -30953391 -43569848 -393884751 12159702 424764853 12149178#0 50189796 50189564 12149178#2 145605533#0 145605533#1-AddedOnRampEdge 145605533#1 145605511#1-AddedOnRampEdge 145605511#12 145605511#1.148" probability="0.1"/&gt;</t>
  </si>
  <si>
    <t>&lt;routeDistribution id="Market-33rd-to-34th-WB-2012-RouteProbe"&gt;</t>
  </si>
  <si>
    <t xml:space="preserve">    &lt;route id="Router3_19" edges="-gneE80.0 -gneE80.17 -gneE41 gneE44 -388756838#2 -388756838#1 -388756838#0 42706817#0 386547310 gneE69 -388756838#2 -388756838#1 -388756838#0 -388756839#1 -388756839#0 -194358837#2 -194358837#0 194358838#0 194358838#1 194358838#2 194358838#3 387422145#0 387422145#3 386995499#0 386995499#2 42706831#0 42706831#4 42706831#5 42706831#6 42706874#0 42706874#2 -424080769#1 -424769177 -386547298#1 -424080767#1 -424080771#1 -386547297#1 -424080772#2 -424080772#1 -424080761#1 -62623960 62623959#0 386547296#0 386547296#1 424080773#0 -424080768#1 -424080766 -104526265#1 30953497#0 30953497#2 30953497#3 42706585#0 42706585#1 30953320 30953320-AddedOffRampEdge 104526277 30953215#1-AddedOnRampEdge 30953215#1 121643865#0 12110705 50715233#0 50715233#0-AddedOffRampEdge 50715233#1.0 62203285#14.24 30908387 30908366#1-AddedOnRampEdge 30908366#1 121643863 121643862 51758697#0 51758697#1-AddedOnRampEdge 51758697#1 -gneE46.0 43357850.4841.18 gneE46 49887339#0.596 49887339#0-AddedOffRampEdge 49887339#1 49887339#1-AddedOffRampEdge 104524021 104524021-AddedOffRampEdge 50192637#0 50192637#1-AddedOnRampEdge 50192637#1.0.0 50192637#1.0.382.0.0 50192637#1.697 50192637#1-AddedOffRampEdge 30953181#1 30953181#2-AddedOnRampEdge 30953181#2 30953181#3-AddedOnRampEdge 30953181#3 30953181#3-AddedOffRampEdge 30952933#1.0 30952933#1.199" probability="1"/&gt;</t>
  </si>
  <si>
    <t>&lt;routeDistribution id="38th-Spruce-to-Walnut-NB-2012-RouteProbe"&gt;</t>
  </si>
  <si>
    <t>&lt;routeDistribution id="SOUTHst-24th-to-23rd-EB-2012-RouteProbe"&gt;</t>
  </si>
  <si>
    <t xml:space="preserve">    &lt;route id="Router3_66" edges="31909473.0 31909473.857 62634019#1-AddedOnRampEdge 62634019#1 30953036 424081476 -424987520 -30953029#1 -30953029#0 -424987519 12169718#0 12169718#1 424804090#0 424804090#1 424804090#2 424804090#3 424804090#4 132508920#2 132508920#3 132508920#4 132508920#5 424080762#0 424080762#1 424080762#2 424080762#3 424080762#4 424080762#5 179915585#2 12171853#2 12198567#4 12198567#5 12152219#0 12152219#1 12152236 132508920#12 132508897#0 132508897#1 132508897#2 132508897#3 394179820#0 394179820#1 394179820#2 394179820#3 394179820#4 196355327#1 196355327#2 196355327#5 196393940#1 196207112#0 32122059#1 424080774 262962068#0.0 30953497#0 30953497#2 30953497#3 42706585#0 42706585#1 30953320 30953320-AddedOffRampEdge 104526277 30953215#1-AddedOnRampEdge 30953215#1 121643865#0 12110705 50715233#0 50715233#0-AddedOffRampEdge 50715233#1.0 62203285#14.24 gneE59.30.0.55 gneE59.30.0.0 43539373#0.0.292.17 gneE58 gneE56 gneE54.0 62203360#0 291433361#0 132508433.0 -gneE6.0 gneE6.0 424765883 43570920#0.22 132508717#4 43539378#1 43569848 30953391 12113092 51758697#1-AddedOnRampEdge 51758697#1" probability="0.333333333333333"/&gt;</t>
  </si>
  <si>
    <t>&lt;routeDistribution id="LOMBARD-23rd-to-24th-WB-2012-RouteProbe"&gt;</t>
  </si>
  <si>
    <t>&lt;routeDistribution id="PINE-24th-to-23rd-EB-2012-RouteProbe"&gt;</t>
  </si>
  <si>
    <t xml:space="preserve">    &lt;route id="Router3_23" edges="-gneE80.0 -gneE80.17 -gneE41 gneE44 -388756838#2 -388756838#1 -388756838#0 42706817#0 386547310 gneE69 -388756838#2 -388756838#1 -388756838#0 -388756839#1 -388756839#0 -194358837#2 -194358837#0 194358838#0 194358838#1 32121111#9 32121111#10 -386995486#0 -386995514#9 50033058#2 50033058#3 194358837#0 194358837#1 12175533#0 12175533#2 12175533#3 42706825#4 42706825#5 12189876#0 12189876#2 484953509#0 484953509#2 -12175523#1 12134222#0 12134222#2 12134222#3 386547311#11 386547311#13 357338496#0 357338496#2 450695461#0 62646494#0 424801336#0 484842168#0 283621820 -28555309#1 -424801341 -283621822#1 -424801343#1 -424801343#0 49991658 424801340 424801342 386550018#0 386550018#0-AddedOffRampEdge 386550018#1 49991638 -12144161#0 12144161#0 12144161#1 49991657 283621821#1 283621821#1-AddedOffRampEdge 12122485 49991647#2 63060732#0 63060732#1 63060732#2.0 273888488.10 -12122468#1 -12122468#0 -424081469 -424081473 -424081472 -424987520 -30953029#1 -30953029#0 -424987519 170366765 12173391 12123285#0 12123285#1 12123285#2 12176631 424804090#0 424804090#1 12198567#0 12198567#1 12198567#2 12198567#3 12171853#3 12171853#4 12171853#5 12171853#6 132508920#8 132508920#9 132508920#10 132508920#12 132508983#0 132508983#3 132508983#5 132508740#0 132508740#2 -12165829#1 132508646#0 132508646#2 132508646#3 394179820#0 394179820#1 394179820#2 394179820#3 450844975 450844970#0 196355332#0 450844979#0.0 450844982#0.19 62203497#0 62203497#2 62203497#3 12134479#1 34685684#0 34685684#2 388533143#0 388533143#2 12140627#0 63060729#0 -264253834#2 12156992#4 12156992#5 12156992#6 12156992#7 12156992#8 12156992#9 -12114396#5 -12114396#3 -12114396#1 485017383#0 485017382#0 485017382#1 211575484#0 -12177521#3 -12177521#2 -12177521#1 32121111#12 32121111#14 -12187610#5 -12187610#2 -12187610#1 12150608#0 32121146#2 12117702#9 450844953#0 450844953#2 450844953#3 450844947#0 388533142#0 388533142#2 388533142#4 62623926#0 62623926#1 450844950#0 38502259#0.19 450844933#1 196207110#0 196207110#2" probability="0.25"/&gt;</t>
  </si>
  <si>
    <t xml:space="preserve">    &lt;route id="Router3_68" edges="31909473.0 31909473.857 62634019#1-AddedOnRampEdge 62634019#1 30953036 424081476 -424987520 -30953029#1 -30953029#0 -424987519 12169718#0 179915585#0 193223837#0 193223837#1 12198567#1 12198567#2 12198567#3 12171853#3 12171853#4 12171853#5 12171853#6 132508920#8 132508920#9 132508920#10 132508920#12 132508983#0 132508983#3 132508983#5 132508740#0 132508740#2 -12165829#1 132508646#0 132508646#2 132508646#3 394179820#0 394179820#1 394179820#2 394179820#3 450844975 450844970#0 196355332#0 450844979#0.0 12114109#0.45.0 59671945#0.30 62093806#0 30953497#0 30953497#2 30953497#3 42706585#0 42706585#1 30953320 30953320-AddedOffRampEdge 104526277 30953215#1-AddedOnRampEdge 30953215#1 121643865#0 12110705 50715233#0 50715233#0-AddedOffRampEdge 50715233#1.0 62203285#14.24 gneE59.30.0.55 gneE59.30.0.0 43539373#0.0.292.17 gneE58 gneE56 gneE54.0 62203360#0 291433361#0 132508433.0 -gneE6.0 gneE6.0 424765883 43539378#0.15 132508717#5 196393974#0 49914077 424767578 387422130#1 132508717#0 12149210#1 12151897#1 196393941#6 196393941#7 196393941#8 gneE87 196393974#0 388756841#0 49914076#0 12159673#0 12159673#1 393884751 43569848 30953391 12113092 51758697#1-AddedOnRampEdge 51758697#1" probability="0.25"/&gt;</t>
  </si>
  <si>
    <t>&lt;routeDistribution id="SPRUCE-23rd-to-24th-WB-2012-RouteProbe"&gt;</t>
  </si>
  <si>
    <t xml:space="preserve">    &lt;route id="Router3_70" edges="31909473.0 31909473.857 62634019#1-AddedOnRampEdge 62634019#1 30953036 424081476 -424987520 -30953029#1 -30953029#0 -424987519 12169718#0 179915585#0 193223837#0 193223837#1 12198567#1 12198567#2 12198567#3 12171853#3 12171853#4 12171853#5 12171853#6 132508920#8 132508920#9 132508920#10 132508920#12 132508983#0 132508983#3 132508983#5 132508740#0 132508740#2 -12165829#1 132508646#0 132508646#2 132508646#3 394179820#0 394179820#1 394179820#2 394179820#3 450844975 450844970#0 196355332#0 450844979#0.0 12114109#0.45.0 59671945#0.30 62093806#0 30953497#0 30953497#2 35920555#0.0 35920555#0.75 62203066 43331031.0 43331031.436 42706585#0 42706585#1 30953320 30953320-AddedOffRampEdge 30953315 104526276-AddedOnRampEdge 104526276 51758697#0 51758697#1-AddedOnRampEdge 51758697#1" probability="0.2"/&gt;</t>
  </si>
  <si>
    <t xml:space="preserve">    &lt;route id="Router3_23" edges="-gneE80.0 -gneE80.17 -gneE41 gneE44 -388756838#2 -388756838#1 -388756838#0 42706817#0 386547310 gneE69 -388756838#2 -388756838#1 -388756838#0 -388756839#1 -388756839#0 -194358837#2 -194358837#0 194358838#0 194358838#1 32121111#9 32121111#10 -386995486#0 -386995514#9 50033058#2 50033058#3 194358837#0 194358837#1 12175533#0 12175533#2 12175533#3 42706825#4 42706825#5 12189876#0 12189876#2 484953509#0 484953509#2 -12175523#1 12134222#0 12134222#2 12134222#3 386547311#11 386547311#13 357338496#0 357338496#2 450695461#0 62646494#0 424801336#0 484842168#0 283621820 -28555309#1 -424801341 -283621822#1 -424801343#1 -424801343#0 49991658 424801340 424801342 386550018#0 386550018#0-AddedOffRampEdge 386550018#1 49991638 -12144161#0 12144161#0 12144161#1 49991657 283621821#1 283621821#1-AddedOffRampEdge 12122485 49991647#2 63060732#0 63060732#1 63060732#2.0 273888488.10 -12122468#1 -12122468#0 -424081469 -424081473 -424081472 -424987520 -30953029#1 -30953029#0 -424987519 170366765 12173391 12123285#0 12123285#1 12123285#2 12176631 424804090#0 424804090#1 12198567#0 12198567#1 12198567#2 12198567#3 12171853#3 12171853#4 12171853#5 12171853#6 132508920#8 132508920#9 132508920#10 132508920#12 132508983#0 132508983#3 132508983#5 132508740#0 132508740#2 -12165829#1 132508646#0 132508646#2 132508646#3 394179820#0 394179820#1 394179820#2 394179820#3 450844975 450844970#0 196355332#0 450844979#0.0 450844982#0.19 62203497#0 62203497#2 62203497#3 12134479#1 34685684#0 34685684#2 388533143#0 388533143#2 12140627#0 63060729#0 -264253834#2 12156992#4 12156992#5 12156992#6 12156992#7 12156992#8 12156992#9 -12114396#5 -12114396#3 -12114396#1 485017383#0 485017382#0 485017382#1 211575484#0 -12177521#3 -12177521#2 -12177521#1 32121111#12 32121111#14 -12187610#5 -12187610#2 -12187610#1 12150608#0 32121146#2 12117702#9 450844953#0 450844953#2 450844953#3 450844947#0 388533142#0 388533142#2 388533142#4 62623926#0 62623926#1 450844950#0 38502259#0.19 450844933#1 196207110#0 196207110#2" probability="0.2"/&gt;</t>
  </si>
  <si>
    <t xml:space="preserve">    &lt;route id="Router3_68" edges="31909473.0 31909473.857 62634019#1-AddedOnRampEdge 62634019#1 30953036 424081476 -424987520 -30953029#1 -30953029#0 -424987519 12169718#0 179915585#0 193223837#0 193223837#1 12198567#1 12198567#2 12198567#3 12171853#3 12171853#4 12171853#5 12171853#6 132508920#8 132508920#9 132508920#10 132508920#12 132508983#0 132508983#3 132508983#5 132508740#0 132508740#2 -12165829#1 132508646#0 132508646#2 132508646#3 394179820#0 394179820#1 394179820#2 394179820#3 450844975 450844970#0 196355332#0 450844979#0.0 12114109#0.45.0 59671945#0.30 62093806#0 30953497#0 30953497#2 30953497#3 42706585#0 42706585#1 30953320 30953320-AddedOffRampEdge 104526277 30953215#1-AddedOnRampEdge 30953215#1 121643865#0 12110705 50715233#0 50715233#0-AddedOffRampEdge 50715233#1.0 62203285#14.24 gneE59.30.0.55 gneE59.30.0.0 43539373#0.0.292.17 gneE58 gneE56 gneE54.0 62203360#0 291433361#0 132508433.0 -gneE6.0 gneE6.0 424765883 43539378#0.15 132508717#5 196393974#0 49914077 424767578 387422130#1 132508717#0 12149210#1 12151897#1 196393941#6 196393941#7 196393941#8 gneE87 196393974#0 388756841#0 49914076#0 12159673#0 12159673#1 393884751 43569848 30953391 12113092 51758697#1-AddedOnRampEdge 51758697#1" probability="0.2"/&gt;</t>
  </si>
  <si>
    <t>&lt;routeDistribution id="RACE-bonsal-to-23rd-WB-2012-RouteProbe"&gt;</t>
  </si>
  <si>
    <t>&lt;routeDistribution id="SPGRst-BFPW-to-PAave-EB-2012-RouteProbe"&gt;</t>
  </si>
  <si>
    <t xml:space="preserve">    &lt;route id="Router3_52" edges="196393940#0 62203285#0 62203285#2 62203285#3 62203285#5 62203285#6 62203285#7 62203285#8 62203285#9 62203285#10 62203285#11 62203285#13 62203285#14.0 62203285#14.24 gneE59.30.0.55 gneE59.30.0.0 gneE59.0.0 gneE59.0.12 62203360#0 291433361#0 132508433.0 -gneE6.0 gneE81.299.0 gneE81.299.79 gneE81.299.145 -gneE8 12154353#0 196393941#1 196393941#2 28533986 43539369#2 12178843#2 12178843#3 49960982#2 43569828#0 387422128#1 43569827#0 43569827#1 43569827#2 43569827#7 43569848 30953391 424769002 424769005 424769006 424769004 30953396#1 387422132#0 387422132#1 486653633#0 484953506#3 484953506#4 12157002#0 12157002#1 12157002#3 12157002#5 12114396#4 -12156992#10 -12156992#8 -12156992#7 -12156992#6 -12156992#5 -12156992#4 -12156992#3 -12156992#2 -12156992#1 -386547297#1 -424080772#2 -424080772#1 -262962065#1 -262962063 -424080764 -424080768#1 -424080766 -104526265#1 30953497#0 30953497#2 30953497#3 42706585#0 42706585#1 30953320 30953320-AddedOffRampEdge 104526277 30953215#1-AddedOnRampEdge 30953215#1 121643865#0 12110705 50715233#0 50715233#0-AddedOffRampEdge 50715233#1.0 62203285#14.24 gneE59.30.0.55 gneE59.30.0.0 43539373#0.0.292.17 gneE58 gneE56 gneE54.0 62203360#0 291433361#0 132508433.0 -gneE6.0 gneE6.0 424765883 43570920#0.22 132508717#4 43539378#1 43569848 30953391 12113092 51758697#1-AddedOnRampEdge 51758697#1" probability="0.0232558139534884"/&gt;</t>
  </si>
  <si>
    <t xml:space="preserve">    &lt;route id="Router3_53" edges="196393940#0 62203285#0 62203285#2 62203285#3 62203285#5 62203285#6 62203285#7 62203285#8 62203285#9 62203285#10 62203285#11 62203285#13 62203285#14.0 62203285#14.24 gneE59.30.0.55 gneE59.30.0.0 gneE59.0.0 gneE59.0.12 62203360#0 291433361#0 132508433.0 -gneE6.0 gneE81.299.0 gneE81.299.79 gneE81.299.145 -gneE8 12154353#0 196393941#1 196393941#2 28533986 43539369#2 12178843#2 12178843#3 49960982#2 43569828#0 387422128#1 43569827#0 43569827#1 43569827#2 43569827#7 43569848 30953391 424769002 424769005 424769006 424769004 30953396#1 387422132#0 387422132#1 486653633#0 484953506#3 484953506#4 12157002#0 12157002#1 12157002#3 12157002#5 12114396#4 -12156992#10 -12156992#8 -12156992#7 -12156992#6 -12156992#5 -12156992#4 -12156992#3 -12156992#2 -12156992#1 -386547297#1 -424080772#2 -424080772#1 -262962065#1 -262962063 -424080764 -424080768#1 -424080766 -104526265#1 30953497#0 30953497#2 30953497#3 42706585#0 42706585#1 30953320 30953320-AddedOffRampEdge 104526277 30953215#1-AddedOnRampEdge 30953215#1 121643865#0 12110705 50715233#0 50715233#0-AddedOffRampEdge 50715233#1.0 62203285#14.24 gneE59.30.0.55 gneE59.30.0.0 gneE59.0.0 gneE59.0.12 62203360#0 12159135 12149408#0 49914077 424767578 43569819 387422128#1 43569827#0 43569827#1 43569827#2 43569827#7 43569848 30953391 424769002 424769005 424769006 424769004 30953396#1 -424769003#1 -424769003#0 -485017374 42706828#0 42706828#2 12182281#0 12182281#3 12182281#5 12182281#6 386995507#4 386995507#5 386995507#6 12152013#1 12152013#2 -12175537#6 -12175537#5 -12175537#4 12182281#9 12182281#10 -388756839#1 -388756839#0 -50033059#4 -50033059#3 -50033059#2 -50033059#1 42706833#0 42706833#2 12189876#0 12189876#2 484953508#1 60185970#0 60185970#2 12149571#1 12187610#3 50033558#2 -12188656 -121319046 -42706825#7 12199713#0 12199713#1 -386995514#6 -386995514#5 -386995514#4 -386995514#3 194358817#0 194358817#1 194358817#2 12114363#0 12114363#1 -50033059#4 12175537#0 12175537#2 12175537#3 12175537#4 12175537#5 12175537#6 12175537#7 12175537#8 12175537#9 12175537#10 12175537#11 12175537#12 12155177#1 12155177#2 387422153#1 gneE73 gneE75.0 gneE80.125" probability="0.0232558139534884"/&gt;</t>
  </si>
  <si>
    <t xml:space="preserve">    &lt;route id="Router3_61" edges="196393940#0 62203285#0 62203285#2 62203285#3 62203285#5 62203285#6 62203285#7 62203286#0 62203286#2 59676508#0 -59676508#0 -62203286#2 -62203286#0 62203285#8 62203285#9 62203285#10 62203285#11 62203285#13 62203285#14.0 62203285#14.24 gneE59.30.0.55 gneE59.30.0.0 gneE59.0.0 gneE59.0.12 62203360#0 291433361#0 132508433.0 -gneE6.0 gneE81.299.0 gneE81.299.79 gneE81.299.145 -gneE8 12154353#0 196393941#1 196393941#2 28533986 43539369#2 12178843#2 12178843#3 49960982#2 43569828#0 387422128#1 43569827#0 43569827#1 43569827#2 43569827#7 43569848 30953391 424769002 424769005 424769006 424769004 30953396#1 387422132#0 387422132#1 486653633#0 484953506#3 484953506#4 12157002#0 12157002#1 12157002#3 12157002#5 12114396#4 -12156992#10 -12156992#8 -12156992#7 -12156992#6 -12156992#5 -12156992#4 -12156992#3 -12156992#2 -12156992#1 -386547297#1 -424080772#2 -424080772#1 -262962065#1 -262962063 -424080764 -424080768#1 -424080766 -104526265#1 30953497#0 30953497#2 30953497#3 42706585#0 42706585#1 30953320 30953320-AddedOffRampEdge 104526277 30953215#1-AddedOnRampEdge 30953215#1 121643865#0 12110705 50715233#0 50715233#0-AddedOffRampEdge 50715233#1.0 62203285#14.24 gneE59.30.0.55 gneE59.30.0.0 43539373#0.0.292.17 gneE58 gneE56 gneE54.0 62203360#0 291433361#0 132508433.0 -gneE6.0 gneE6.0 424765883 43539378#0.15 132508717#5 196393974#0 49914077 424767578 387422130#1 132508717#0 12149210#1 12151897#1 196393941#6 196393941#7 196393941#8 gneE87 196393974#0 388756841#0 49914076#0 12159673#0 12159673#1 393884751 43569848 30953391 12113092 51758697#1-AddedOnRampEdge 51758697#1" probability="0.0232558139534884"/&gt;</t>
  </si>
  <si>
    <t xml:space="preserve">    &lt;route id="Router3_62" edges="196393940#0 62203285#0 62203285#2 62203285#3 62203285#5 62203285#6 62203285#7 62203286#0 62203286#2 59676508#0 -59676508#0 -62203286#2 -62203286#0 62203285#8 62203285#9 62203285#10 62203285#11 62203285#13 62203285#14.0 62203285#14.24 gneE59.30.0.55 gneE59.30.0.0 gneE59.0.0 gneE59.0.12 62203360#0 291433361#0 132508433.0 -gneE6.0 gneE81.299.0 gneE81.299.79 gneE81.299.145 -gneE8 12154353#0 196393941#1 196393941#2 28533986 43539369#2 12178843#2 12178843#3 49960982#2 43569828#0 387422128#1 43569827#0 43569827#1 43569827#2 43569827#7 43569848 30953391 424769002 424769005 424769006 424769004 30953396#1 387422132#0 387422132#1 486653633#0 484953506#3 484953506#4 12157002#0 12157002#1 12157002#3 12157002#5 12114396#4 -12156992#10 -12156992#8 -12156992#7 -12156992#6 -12156992#5 -12156992#4 -12156992#3 -12156992#2 -12156992#1 -386547297#1 -424080772#2 -424080772#1 -262962065#1 -262962063 -424080764 -424080768#1 -424080766 -104526265#1 30953497#0 30953497#2 35920555#0.0 35920555#0.75 62203066 43331031.0 43331031.436 42706585#0 42706585#1 30953320 30953320-AddedOffRampEdge 30953315 104526276-AddedOnRampEdge 104526276 51758697#0 51758697#1-AddedOnRampEdge 51758697#1" probability="0.0232558139534884"/&gt;</t>
  </si>
  <si>
    <t xml:space="preserve">    &lt;route id="Router3_66" edges="31909473.0 31909473.857 62634019#1-AddedOnRampEdge 62634019#1 30953036 424081476 -424987520 -30953029#1 -30953029#0 -424987519 12169718#0 12169718#1 424804090#0 424804090#1 424804090#2 424804090#3 424804090#4 132508920#2 132508920#3 132508920#4 132508920#5 424080762#0 424080762#1 424080762#2 424080762#3 424080762#4 424080762#5 179915585#2 12171853#2 12198567#4 12198567#5 12152219#0 12152219#1 12152236 132508920#12 132508897#0 132508897#1 132508897#2 132508897#3 394179820#0 394179820#1 394179820#2 394179820#3 394179820#4 196355327#1 196355327#2 196355327#5 196393940#1 196207112#0 32122059#1 424080774 262962068#0.0 30953497#0 30953497#2 30953497#3 42706585#0 42706585#1 30953320 30953320-AddedOffRampEdge 104526277 30953215#1-AddedOnRampEdge 30953215#1 121643865#0 12110705 50715233#0 50715233#0-AddedOffRampEdge 50715233#1.0 62203285#14.24 gneE59.30.0.55 gneE59.30.0.0 43539373#0.0.292.17 gneE58 gneE56 gneE54.0 62203360#0 291433361#0 132508433.0 -gneE6.0 gneE6.0 424765883 43570920#0.22 132508717#4 43539378#1 43569848 30953391 12113092 51758697#1-AddedOnRampEdge 51758697#1" probability="0.0232558139534884"/&gt;</t>
  </si>
  <si>
    <t xml:space="preserve">    &lt;route id="Router3_68" edges="31909473.0 31909473.857 62634019#1-AddedOnRampEdge 62634019#1 30953036 424081476 -424987520 -30953029#1 -30953029#0 -424987519 12169718#0 179915585#0 193223837#0 193223837#1 12198567#1 12198567#2 12198567#3 12171853#3 12171853#4 12171853#5 12171853#6 132508920#8 132508920#9 132508920#10 132508920#12 132508983#0 132508983#3 132508983#5 132508740#0 132508740#2 -12165829#1 132508646#0 132508646#2 132508646#3 394179820#0 394179820#1 394179820#2 394179820#3 450844975 450844970#0 196355332#0 450844979#0.0 12114109#0.45.0 59671945#0.30 62093806#0 30953497#0 30953497#2 30953497#3 42706585#0 42706585#1 30953320 30953320-AddedOffRampEdge 104526277 30953215#1-AddedOnRampEdge 30953215#1 121643865#0 12110705 50715233#0 50715233#0-AddedOffRampEdge 50715233#1.0 62203285#14.24 gneE59.30.0.55 gneE59.30.0.0 43539373#0.0.292.17 gneE58 gneE56 gneE54.0 62203360#0 291433361#0 132508433.0 -gneE6.0 gneE6.0 424765883 43539378#0.15 132508717#5 196393974#0 49914077 424767578 387422130#1 132508717#0 12149210#1 12151897#1 196393941#6 196393941#7 196393941#8 gneE87 196393974#0 388756841#0 49914076#0 12159673#0 12159673#1 393884751 43569848 30953391 12113092 51758697#1-AddedOnRampEdge 51758697#1" probability="0.0232558139534884"/&gt;</t>
  </si>
  <si>
    <t xml:space="preserve">    &lt;route id="Router3_69" edges="31909473.0 31909473.857 62634019#1-AddedOnRampEdge 62634019#1 30953036 424081476 -424987520 -30953029#1 -30953029#0 -424987519 12169718#0 179915585#0 193223837#0 193223837#1 12198567#1 12198567#2 12198567#3 12171853#3 12171853#4 12171853#5 12171853#6 132508920#8 132508920#9 132508920#10 132508920#12 132508983#0 132508983#3 132508983#5 132508740#0 132508740#2 -12165829#1 132508646#0 132508646#2 132508646#3 394179820#0 394179820#1 394179820#2 394179820#3 450844975 450844970#0 196355332#0 450844979#0.0 12114109#0.45.0 59671945#0.30 62093806#0 30953497#0 30953497#2 30953497#3 42706585#0 42706585#1 30953320 30953320-AddedOffRampEdge 104526277 30953215#1-AddedOnRampEdge 30953215#1 121643865#0 12110705 50715233#0 50715233#0-AddedOffRampEdge 50715233#1.0 62203285#14.24 gneE59.30.0.55 gneE59.30.0.0 43539373#0.0.292.17 gneE58 gneE56 gneE54.0 62203360#0 291433361#0 132508433.0 -gneE6.0 gneE6.0 424765883 43570920#0.22 132508717#4 43539378#1 43569848 30953391 12113092 51758697#1-AddedOnRampEdge 51758697#1" probability="0.0232558139534884"/&gt;</t>
  </si>
  <si>
    <t xml:space="preserve">    &lt;route id="Router3_86" edges="31909473.0 31909473.857 62634019#1-AddedOnRampEdge 62634019#1 62634019#2.0 62634019#2.242 62634019#3-AddedOnRampEdge 62634019#3 62634019#3-AddedOffRampEdge 12111747.0 59671945#0.30 62093806#0 104526265#0.14 424080766 424080768#0 104523976#1 262962063 12189051#0 -12189051#1 -262962063 -424080764 -424080768#1 -424080766 -104526265#1 30953497#0 30953497#2 30953497#3 42706585#0 42706585#1 30953320 30953320-AddedOffRampEdge 104526277 30953215#1-AddedOnRampEdge 30953215#1 121643865#0 12110705 50715233#0 50715233#0-AddedOffRampEdge 50715233#1.0 62203285#14.24 gneE59.30.0.55 gneE59.30.0.0 43539373#0.0.292.17 gneE58 gneE56 gneE54.0 62203360#0 291433361#0 132508433.0 -gneE6.0 gneE6.0 424765883 43570920#0.22 132508717#4 43539378#1 43569848 30953391 12113092 51758697#1-AddedOnRampEdge 51758697#1 -gneE46.0 43357850.4841.18 gneE46 49887339#0.596 49887339#0-AddedOffRampEdge 49887339#1 49887339#1-AddedOffRampEdge 104524021 104524021-AddedOffRampEdge 50192637#0 50192637#1-AddedOnRampEdge 50192637#1.0.0 50192637#1.0.382.0.0 50192637#1.697 50192637#1-AddedOffRampEdge 30953181#1 30953181#2-AddedOnRampEdge 30953181#2 30953181#3-AddedOnRampEdge 30953181#3 30953181#3-AddedOffRampEdge 30952933#1.0 30952933#1.199" probability="0.0232558139534884"/&gt;</t>
  </si>
  <si>
    <t xml:space="preserve">    &lt;route id="Router3_87" edges="31909473.0 31909473.857 62634019#1-AddedOnRampEdge 62634019#1 62634019#2.0 62634019#2.242 62634019#3-AddedOnRampEdge 62634019#3 62634019#3-AddedOffRampEdge 12111747.0 59671945#0.30 62093806#0 104526265#0.14 424080766 424080768#0 104523976#1 262962063 12189051#0 -12189051#1 -262962063 -424080764 -424080768#1 -424080766 -104526265#1 30953497#0 30953497#2 30953497#3 42706585#0 42706585#1 30953320 30953320-AddedOffRampEdge 104526277 30953215#1-AddedOnRampEdge 30953215#1 121643865#0 12110705 50715233#0 50715233#0-AddedOffRampEdge 50715233#1.0 62203285#14.24 gneE59.30.0.55 gneE59.30.0.0 43539373#0.0.292.17 gneE58 gneE56 gneE54.0 62203360#0 291433361#0 132508433.0 -gneE6.0 gneE6.0 424765883 43570920#0.22 132508717#4 43539378#1 43569848 30953391 12113092 51758697#1-AddedOnRampEdge 51758697#1" probability="0.0232558139534884"/&gt;</t>
  </si>
  <si>
    <t xml:space="preserve">    &lt;route id="Router3_90" edges="31909473.0 31909473.857 62634019#1-AddedOnRampEdge 62634019#1 62634019#2.0 62634019#2.242 62634019#3-AddedOnRampEdge 62634019#3 62634019#3-AddedOffRampEdge 12111747.0 59671945#0.30 62093806#0 104526265#0.14 424080766 424080768#0 104523976#1 262962063 12189051#0 -12189051#1 -262962063 -424080764 -424080768#1 -424080766 -104526265#1 30953497#0 30953497#2 30953497#3 42706585#0 42706585#1 30953320 30953320-AddedOffRampEdge 104526277 30953215#1-AddedOnRampEdge 30953215#1 121643865#0 12110705 50715233#0 50715233#0-AddedOffRampEdge 50715233#1.0 62203285#14.24 gneE59.30.0.55 gneE59.30.0.0 gneE59.0.0 gneE59.0.12 62203360#0 291433361#0 132508433.0 -gneE6.0 gneE81.299.0 gneE81.299.79 gneE81.299.145 -gneE8 12154353#0 196393941#1 196393941#2 28533986 43539369#2 12178843#2 12178843#3 49960982#2 43569828#0 387422128#1 43569827#0 43569827#1 43569827#2 43569827#7 43569848 30953391 424769002 424769005 424769006 424769004 30953396#1 387422132#0 387422132#1 486653633#0 484953506#3 484953506#4 12157002#0 12157002#1 12157002#3 12157002#5 12114396#4 -12156992#10 -12156992#8 -12156992#7 -12156992#6 -12156992#5 -12156992#4 -12156992#3 -12156992#2 -12156992#1 -386547297#1 -424080772#2 -424080772#1 -262962065#1 -262962063 -424080764 -424080768#1 -424080766 -104526265#1 30953497#0 30953497#2 35920555#0.0 35920555#0.75 62203066 43331031.0 43331031.436 42706585#0 42706585#1 30953320 30953320-AddedOffRampEdge 30953315 104526276-AddedOnRampEdge 104526276 51758697#0 51758697#1-AddedOnRampEdge 51758697#1" probability="0.0232558139534884"/&gt;</t>
  </si>
  <si>
    <t xml:space="preserve">    &lt;route id="Router3_116" edges="31909473.0 31909473.857 62634019#1-AddedOnRampEdge 62634019#1 62634019#2.0 62634019#2.242 62634019#3-AddedOnRampEdge 62634019#3 62634019#3-AddedOffRampEdge 30953251#1.0 30953251#1-AddedOffRampEdge 12112003 30953215#1-AddedOnRampEdge 30953215#1 121643865#0 12110705 50715233#0 50715233#0-AddedOffRampEdge 50715233#1.0 62203285#14.24 gneE59.30.0.55 gneE59.30.0.0 gneE59.0.0 gneE59.0.12 62203360#0 291433361#0 132508433.0 -gneE6.0 gneE81.299.0 gneE81.299.79 gneE81.299.145 -gneE8 12154353#0 196393941#1 196393941#2 28533986 43539369#2 12178843#2 12178843#3 49960982#2 43569828#0 387422128#1 43569827#0 43569827#1 43569827#2 43569827#7 43569848 30953391 424769002 424769005 424769006 424769004 30953396#1 387422132#0 387422132#1 486653633#0 484953506#3 484953506#4 12157002#0 12157002#1 12157002#3 12157002#5 12114396#4 -12156992#10 -12156992#8 -12156992#7 -12156992#6 -12156992#5 -12156992#4 -12156992#3 -12156992#2 -12156992#1 -386547297#1 -424080772#2 -424080772#1 -262962065#1 -262962063 -424080764 -424080768#1 -424080766 -104526265#1 -262962068#1 -424080774 -32122059#1 -32122059#0 -196393940#2 -196393940#0" probability="0.0232558139534884"/&gt;</t>
  </si>
  <si>
    <t xml:space="preserve">    &lt;route id="Router3_117" edges="31909473.0 31909473.857 62634019#1-AddedOnRampEdge 62634019#1 62634019#2.0 62634019#2.242 62634019#3-AddedOnRampEdge 62634019#3 62634019#3-AddedOffRampEdge 30953251#1.0 30953251#1-AddedOffRampEdge 12112003 30953215#1-AddedOnRampEdge 30953215#1 121643865#0 12110705 50715233#0 50715233#0-AddedOffRampEdge 50715233#1.0 62203285#14.24 gneE59.30.0.55 gneE59.30.0.0 gneE59.0.0 gneE59.0.12 62203360#0 291433361#0 132508433.0 -gneE6.0 gneE81.299.0 gneE81.299.79 gneE81.299.145 -gneE8 12154353#0 196393941#1 196393941#2 28533986 43539369#2 12178843#2 12178843#3 49960982#2 43569828#0 387422128#1 43569827#0 43569827#1 43569827#2 43569827#7 43569848 30953391 424769002 424769005 424769006 424769004 30953396#1 387422132#0 387422132#1 486653633#0 484953506#3 484953506#4 12157002#0 12157002#1 12157002#3 12157002#5 12114396#4 -12156992#10 -12156992#8 -12156992#7 -12156992#6 -12156992#5 -12156992#4 -12156992#3 -12156992#2 -12156992#1 -386547297#1 -424080772#2 -424080772#1 -262962065#1 -262962063 -424080764 -424080768#1 -424080766 -104526265#1 30953497#0 30953497#2 30953497#3 42706585#0 42706585#1 30953320 30953320-AddedOffRampEdge 104526277 30953215#1-AddedOnRampEdge 30953215#1 121643865#0 12110705 50715233#0 50715233#0-AddedOffRampEdge 50715233#1.0 62203285#14.24 gneE59.30.0.55 gneE59.30.0.0 gneE59.0.0 gneE59.0.12 62203360#0 12159135 12149408#0 49914077 424767578 43569819 387422128#1 43569827#0 43569827#1 43569827#2 43569827#7 43569848 30953391 424769002 424769005 424769006 424769004 30953396#1 -424769003#1 -424769003#0 -485017374 42706828#0 42706828#2 12182281#0 12182281#3 12182281#5 12182281#6 386995507#4 386995507#5 386995507#6 12152013#1 12152013#2 -12175537#6 -12175537#5 -12175537#4 12182281#9 12182281#10 -388756839#1 -388756839#0 -50033059#4 -50033059#3 -50033059#2 -50033059#1 -50033558#8 -51155368#3 121319046 12188656 -50033558#2 12203859#0 12203859#1 42706831#4 42706831#5 42706831#6 42706874#0 42706874#2 12144152#0 12144152#2 450844953#0 450844953#2 450844953#3 450844947#0 388533142#0 388533142#2 388533142#4 62623926#0 62623926#1 450844950#0 12189453#0.0.0 450844982#0.19 62203497#0 62203497#2 62203497#3 12134479#1 34685684#0 34685684#2 388533143#0 388533143#2 12140627#0 63060729#0 -264253834#2 12156992#4 12156992#5 12156992#6 12156992#7 12156992#8 12156992#9 -12114396#5 -12114396#3 -12114396#1 485017383#0 485017382#0 485017382#1 211575484#0 -12177521#3 -12177521#2 -12177521#1 32121111#12 32121111#14 -12187610#5 -12187610#2 -12187610#1 12150608#0 32121146#2 12117702#9 450844953#0 450844953#2 450844953#3 450844947#0 388533142#0 388533142#2 388533142#4 62623926#0 62623926#1 450844950#0 38502259#0.19 450844933#1 196207110#0 196207110#2" probability="0.0232558139534884"/&gt;</t>
  </si>
  <si>
    <t xml:space="preserve">    &lt;route id="Router3_118" edges="31909473.0 31909473.857 62634019#1-AddedOnRampEdge 62634019#1 62634019#2.0 62634019#2.242 62634019#3-AddedOnRampEdge 62634019#3 62634019#3-AddedOffRampEdge 30953251#1.0 30953251#1-AddedOffRampEdge 12112003 30953215#1-AddedOnRampEdge 30953215#1 121643865#0 12110705 50715233#0 50715233#0-AddedOffRampEdge 50715233#1.0 62203285#14.24 gneE59.30.0.55 gneE59.30.0.0 gneE59.0.0 gneE59.0.12 62203360#0 291433361#0 132508433.0 -gneE6.0 gneE81.299.0 gneE81.299.79 gneE81.299.145 -gneE8 12154353#0 196393941#1 196393941#2 28533986 43539369#2 12178843#2 12178843#3 49960982#2 43569828#0 387422128#1 43569827#0 43569827#1 43569827#2 43569827#7 43569848 30953391 424769002 424769005 424769006 424769004 30953396#1 387422132#0 387422132#1 486653633#0 484953506#3 484953506#4 12157002#0 12157002#1 12157002#3 12157002#5 12114396#4 -12156992#10 -12156992#8 -12156992#7 -12156992#6 -12156992#5 -12156992#4 -12156992#3 -12156992#2 -12156992#1 -386547297#1 -424080772#2 -424080772#1 -262962065#1 -262962063 -424080764 -424080768#1 -424080766 -104526265#1 30953497#0 30953497#2 30953497#3 42706585#0 42706585#1 30953320 30953320-AddedOffRampEdge 104526277 30953215#1-AddedOnRampEdge 30953215#1 121643865#0 12110705 50715233#0 50715233#0-AddedOffRampEdge 50715233#1.0 62203285#14.24 gneE59.30.0.55 gneE59.30.0.0 gneE59.0.0 gneE59.0.12 62203360#0 12159135 12149408#0 49914077 424767578 43569819 387422128#1 43569827#0 43569827#1 43569827#2 43569827#7 43569848 30953391 424769002 424769005 424769006 424769004 30953396#1 -424769003#1 -424769003#0 -485017374 42706828#0 42706828#2 12182281#0 12182281#3 12182281#5 12182281#6 386995507#4 386995507#5 386995507#6 12152013#1 12152013#2 -12175537#6 -12175537#5 -12175537#4 12182281#9 12182281#10 -388756839#1 -388756839#0 -50033059#4 -50033059#3 -50033059#2 -50033059#1 42706833#0 42706833#2 -42706825#7 12199713#0 12199713#1 -386995514#6 -386995514#5 -386995514#4 -386995514#3 -386995514#2 -386995514#1 12159500#1 12159500#2 51050030#7 gneE35 -gneE34.0 --gneE83.0" probability="0.0232558139534884"/&gt;</t>
  </si>
  <si>
    <t xml:space="preserve">    &lt;route id="Router3_119" edges="31909473.0 31909473.857 62634019#1-AddedOnRampEdge 62634019#1 62634019#2.0 62634019#2.242 62634019#3-AddedOnRampEdge 62634019#3 62634019#3-AddedOffRampEdge 30953251#1.0 30953251#1-AddedOffRampEdge 12112003 30953215#1-AddedOnRampEdge 30953215#1 121643865#0 12110705 50715233#0 50715233#0-AddedOffRampEdge 50715233#1.0 62203285#14.24 gneE59.30.0.55 gneE59.30.0.0 gneE59.0.0 gneE59.0.12 62203360#0 291433361#0 132508433.0 -gneE6.0 gneE81.299.0 gneE81.299.79 gneE81.299.145 -gneE8 12154353#0 196393941#1 196393941#2 28533986 43539369#2 12178843#2 12178843#3 49960982#2 43569828#0 387422128#1 43569827#0 43569827#1 43569827#2 43569827#7 43569848 30953391 424769002 424769005 424769006 424769004 30953396#1 387422132#0 387422132#1 486653633#0 484953506#3 484953506#4 12157002#0 12157002#1 12157002#3 12157002#5 12114396#4 -12156992#10 -12156992#8 -12156992#7 -12156992#6 -12156992#5 -12156992#4 -12156992#3 -12156992#2 -12156992#1 -386547297#1 -424080772#2 -424080772#1 -262962065#1 -262962063 -424080764 -424080768#1 -424080766 -104526265#1 30953497#0 30953497#2 35920555#0.0 35920555#0.75 62203066 43331031.0 43331031.436 42706585#0 42706585#1 30953320 30953320-AddedOffRampEdge 30953315 104526276-AddedOnRampEdge 104526276 51758697#0 51758697#1-AddedOnRampEdge 51758697#1" probability="0.0232558139534884"/&gt;</t>
  </si>
  <si>
    <t xml:space="preserve">    &lt;route id="Router3_137" edges="49887339#0.596 49887339#0-AddedOffRampEdge 49887339#1 49887339#1-AddedOffRampEdge 104524021 104524021-AddedOffRampEdge 12158873 121643865#0 12110705 50715233#0 50715233#0-AddedOffRampEdge 50715233#1.0 62203285#14.24 gneE59.30.0.55 gneE59.30.0.0 43539373#0.0.292.17 gneE58 gneE56 gneE54.0 62203360#0 291433361#0 132508433.0 -gneE6.0 gneE6.0 424765883 43539378#0.15 132508717#5 196393974#0 49914077 424767578 387422130#1 132508717#0 12149210#1 12151897#1 196393941#6 196393941#7 196393941#8 gneE87 196393974#0 388756841#0 49914076#0 12159673#0 12159673#1 393884751 43569848 30953391 12113092 51758697#1-AddedOnRampEdge 51758697#1" probability="0.0232558139534884"/&gt;</t>
  </si>
  <si>
    <t xml:space="preserve">    &lt;route id="Router3_138" edges="49887339#0.596 49887339#0-AddedOffRampEdge 49887339#1 49887339#1-AddedOffRampEdge 104524021 104524021-AddedOffRampEdge 12158873 121643865#0 12110705 50715233#0 50715233#0-AddedOffRampEdge 50715233#1.0 62203285#14.24 gneE59.30.0.55 gneE59.30.0.0 43539373#0.0.292.17 gneE58 gneE56 gneE54.0 62203360#0 291433361#0 132508433.0 -gneE6.0 gneE6.0 424765883 43570920#0.22 132508717#4 43539378#1 43569848 30953391 12113092 51758697#1-AddedOnRampEdge 51758697#1" probability="0.0232558139534884"/&gt;</t>
  </si>
  <si>
    <t xml:space="preserve">    &lt;route id="Router3_143" edges="49887339#0.596 49887339#0-AddedOffRampEdge 49887339#1 49887339#1-AddedOffRampEdge 104524021 104524021-AddedOffRampEdge 12158873 121643865#0 12110705 50715233#0 50715233#0-AddedOffRampEdge 50715233#1.0 62203285#14.24 gneE59.30.0.55 gneE59.30.0.0 gneE59.0.0 gneE59.0.12 62203360#0 291433361#0 132508433.0 -gneE6.0 gneE81.299.0 gneE81.299.79 gneE81.299.145 -gneE8 12154353#0 196393941#1 196393941#2 28533986 43539369#2 12178843#2 12178843#3 49960982#2 43569828#0 387422128#1 43569827#0 43569827#1 43569827#2 43569827#7 43569848 30953391 424769002 424769005 424769006 424769004 30953396#1 387422132#0 387422132#1 486653633#0 484953506#3 484953506#4 12157002#0 12157002#1 12157002#3 12157002#5 12114396#4 -12156992#10 -12156992#8 -12156992#7 -12156992#6 -12156992#5 -12156992#4 -12156992#3 -12156992#2 -12156992#1 -386547297#1 -424080772#2 -424080772#1 -262962065#1 -262962063 -424080764 -424080768#1 -424080766 -104526265#1 -262962068#1 -424080774 -32122059#1 -32122059#0 -196393940#2 -196393940#0" probability="0.0232558139534884"/&gt;</t>
  </si>
  <si>
    <t xml:space="preserve">    &lt;route id="Router3_144" edges="49887339#0.596 49887339#0-AddedOffRampEdge 49887339#1 49887339#1-AddedOffRampEdge 104524021 104524021-AddedOffRampEdge 12158873 121643865#0 12110705 50715233#0 50715233#0-AddedOffRampEdge 50715233#1.0 62203285#14.24 gneE59.30.0.55 gneE59.30.0.0 gneE59.0.0 gneE59.0.12 62203360#0 291433361#0 132508433.0 -gneE6.0 gneE81.299.0 gneE81.299.79 gneE81.299.145 -gneE8 12154353#0 196393941#1 196393941#2 28533986 43539369#2 12178843#2 12178843#3 49960982#2 43569828#0 387422128#1 43569827#0 43569827#1 43569827#2 43569827#7 43569848 30953391 424769002 424769005 424769006 424769004 30953396#1 387422132#0 387422132#1 486653633#0 484953506#3 484953506#4 12157002#0 12157002#1 12157002#3 12157002#5 12114396#4 -12156992#10 -12156992#8 -12156992#7 -12156992#6 -12156992#5 -12156992#4 -12156992#3 -12156992#2 -12156992#1 -386547297#1 -424080772#2 -424080772#1 -262962065#1 -262962063 -424080764 -424080768#1 -424080766 -104526265#1 30953497#0 30953497#2 30953497#3 42706585#0 42706585#1 30953320 30953320-AddedOffRampEdge 104526277 30953215#1-AddedOnRampEdge 30953215#1 121643865#0 12110705 50715233#0 50715233#0-AddedOffRampEdge 50715233#1.0 62203285#14.24 gneE59.30.0.55 gneE59.30.0.0 43539373#0.0.292.17 gneE58 gneE56 gneE54.0 62203360#0 291433361#0 132508433.0 -gneE6.0 gneE6.0 424765883 43539378#0.15 132508717#5 196393974#0 49914077 424767578 387422130#1 132508717#0 12149210#1 12151897#1 196393941#6 196393941#7 196393941#8 gneE87 196393974#0 388756841#0 49914076#0 12159673#0 12159673#1 393884751 43569848 30953391 12113092 51758697#1-AddedOnRampEdge 51758697#1 -gneE46.0 43357850.4841.18 gneE46 49887339#0.596 49887339#0-AddedOffRampEdge 49887339#1 49887339#1-AddedOffRampEdge 104524021 104524021-AddedOffRampEdge 50192637#0 50192637#1-AddedOnRampEdge 50192637#1.0.0 50192637#1.0.382.0.0 50192637#1.697 50192637#1-AddedOffRampEdge 30953181#1 30953181#2-AddedOnRampEdge 30953181#2 30953181#3-AddedOnRampEdge 30953181#3 30953181#3-AddedOffRampEdge 30952933#1.0 30952933#1.199" probability="0.0232558139534884"/&gt;</t>
  </si>
  <si>
    <t xml:space="preserve">    &lt;route id="Router3_145" edges="49887339#0.596 49887339#0-AddedOffRampEdge 49887339#1 49887339#1-AddedOffRampEdge 104524021 104524021-AddedOffRampEdge 12158873 121643865#0 12110705 50715233#0 50715233#0-AddedOffRampEdge 50715233#1.0 62203285#14.24 gneE59.30.0.55 gneE59.30.0.0 gneE59.0.0 gneE59.0.12 62203360#0 291433361#0 132508433.0 -gneE6.0 gneE81.299.0 gneE81.299.79 gneE81.299.145 -gneE8 12154353#0 196393941#1 196393941#2 28533986 43539369#2 12178843#2 12178843#3 49960982#2 43569828#0 387422128#1 43569827#0 43569827#1 43569827#2 43569827#7 43569848 30953391 424769002 424769005 424769006 424769004 30953396#1 387422132#0 387422132#1 486653633#0 484953506#3 484953506#4 12157002#0 12157002#1 12157002#3 12157002#5 12114396#4 -12156992#10 -12156992#8 -12156992#7 -12156992#6 -12156992#5 -12156992#4 -12156992#3 -12156992#2 -12156992#1 -386547297#1 -424080772#2 -424080772#1 -262962065#1 -262962063 -424080764 -424080768#1 -424080766 -104526265#1 30953497#0 30953497#2 35920555#0.0 35920555#0.75 62203066 43331031.0 43331031.436 42706585#0 42706585#1 30953320 30953320-AddedOffRampEdge 30953315 104526276-AddedOnRampEdge 104526276 51758697#0 51758697#1-AddedOnRampEdge 51758697#1" probability="0.0232558139534884"/&gt;</t>
  </si>
  <si>
    <t xml:space="preserve">    &lt;route id="Router3_146" edges="49887339#0.596 49887339#0-AddedOffRampEdge 49887339#1 49887339#1-AddedOffRampEdge 104524021 104524021-AddedOffRampEdge 12158873 121643865#0 12110705 50715233#0 50715233#0-AddedOffRampEdge 50715233#1.0 62203285#14.24 gneE59.30.0.55 gneE59.30.0.0 gneE59.0.0 gneE59.0.12 62203360#0 291433361#0 132508433.0 -gneE6.0 gneE81.299.0 gneE81.299.79 gneE81.299.145 -gneE8 12154353#0 196393941#1 196393941#2 28533986 43539369#2 12178843#2 12178843#3 49960982#2 43569828#0 387422128#1 43569827#0 43569827#1 43569827#2 43569827#7 43569848 30953391 424769002 424769005 424769006 424769004 30953396#1 387422132#0 387422132#1 486653633#0 484953506#3 484953506#4 424769003#0 424769003#1 387422132#0 387422132#1 388756840 12202537#1 12202537#2 12202537#3 485017368 485017367#0 12185366#0 12178852#0 12178852#1 386995495#0 386995495#1 -386995507#7 -386995507#6 -386995507#5 -386995507#4 -386995507#3 310315797#0 310315797#1 386995479#3 12182281#5 12182281#6 12182281#7 12182281#8 -12175537#3 12138978 12201597#2 12114363#1 -50033059#4 12175537#0 12175537#2 12175537#3 12175537#4 12162659#2 12159485 12161358#7 12161358#8 386995507#6 386995507#7 386995521#0 386995521#1 12154359#3 12154359#4 12154359#5 12154359#6 12154359#7 101350669 -386995537 -386995526#1 -386995526#0 -43357814#3 12175537#8 12175537#9 12154359#6 386995531#1 386995531#2 387422150#2 12175537#12 12155177#1 386995531#4 12172918#2 gneE73 gneE75.0 gneE80.125" probability="0.0232558139534884"/&gt;</t>
  </si>
  <si>
    <t>&lt;route id="Router3_147"edges="49887339#0.596 49887339#0-AddedOffRampEdge 49887339#1 49887339#1-AddedOffRampEdge 104524021 104524021-AddedOffRampEdge 12158873 121643865#0 12110705 50715233#0 50715233#0-AddedOffRampEdge 50715233#1.0 62203285#14.24 gneE59.30.0.55 gneE59.30.0.0 gneE59.0.0 gneE59.0.12 62203360#0 291433361#0 132508433.0 -gneE6.0 gneE81.299.0 gneE81.299.79 gneE81.299.145 -gneE8 12154353#0 196393941#1 196393941#2 28533986 43539369#2 12178843#2 12178843#3 49960982#2 43569828#0 387422128#1 43569827#0 43569827#1 43569827#2 43569827#7 43569848 30953391 424769002 424769005 424769006 424769004 30953396#1 387422132#0 387422132#1 486653633#0 484953506#3 484953506#4 424769003#0 424769003#1 387422132#0 387422132#1 388756840 12202537#1 12202537#2 12202537#3 485017368 485017367#0 12185366#0 12178852#0 12178852#1 386995495#0 386995495#1 -386995507#7 -386995507#6 -386995507#5 -386995507#4 -386995507#3 310315797#0 310315797#1 386995479#3 12182281#5 12182281#6 12182281#7 12182281#8 -12175537#3 12138978 12201597#2 12114363#1 -50033059#4 12175537#0 12175537#2 12175537#3 12175537#4 12162659#2 12159485 12161358#7 12161358#8 386995507#6 386995507#7 386995521#0 386995521#1 12154359#3 12154359#4 12154359#5 12154359#6 12154359#7 101350669 -386995537 -386995526#1 -386995526#0 -43357814#3 12175537#8 12175537#9 12175537#10 12175537#11 12175537#12 12155177#1 386995531#4 12172918#2 gneE73 gneE75.0 gneE80.125"/&gt;" probability="0.0232558139534884"/&gt;</t>
  </si>
  <si>
    <t xml:space="preserve">    &lt;route id="Router3_148" edges="49887339#0.596 49887339#0-AddedOffRampEdge 49887339#1 49887339#1-AddedOffRampEdge 104524021 104524021-AddedOffRampEdge 12158873 121643865#0 12110705 50715233#0 50715233#0-AddedOffRampEdge 50715233#1.0 62203285#14.24 gneE59.30.0.55 gneE59.30.0.0 gneE59.0.0 gneE59.0.12 62203360#0 291433361#0 132508433.0 -gneE6.0 gneE81.299.0 gneE81.299.79 gneE81.299.145 -gneE8 12154353#0 196393941#1 196393941#2 28533986 43539369#2 12178843#2 12178843#3 49960982#2 43569828#0 387422128#1 43569827#0 43569827#1 43569827#2 43569827#7 43569848 30953391 424769002 424769005 424769006 424769004 30953396#1 387422132#0 387422132#1 486653633#0 484953506#3 484953506#4 424769003#0 424769003#1 387422132#0 387422132#1 388756840 12202537#1 12202537#2 12202537#3 485017368 485017367#0 12185366#0 12178852#0 12178852#1 386995495#0 386995495#1 -386995507#7 -386995507#6 -386995507#5 -386995507#4 -386995507#3 310315797#0 310315797#1 386995479#3 12182281#5 12182281#6 12182281#7 12182281#8 -12175537#3 12138978 12201597#2 12114363#1 -50033059#4 12175537#0 12175537#2 12175537#3 12175537#4 12175537#5 12175537#6 12175537#7 -43357814#2 42706837#4 42706837#5 42706837#6 42706837#7 42706837#8 12155177#0 12175537#13 12172918#1 12172918#2 gneE73 gneE75.0 gneE80.125" probability="0.0232558139534884"/&gt;</t>
  </si>
  <si>
    <t xml:space="preserve">    &lt;route id="Router3_149" edges="49887339#0.596 49887339#0-AddedOffRampEdge 49887339#1 49887339#1-AddedOffRampEdge 104524021 104524021-AddedOffRampEdge 12158873 121643865#0 12110705 50715233#0 50715233#0-AddedOffRampEdge 50715233#1.0 62203285#14.24 gneE59.30.0.55 gneE59.30.0.0 gneE59.0.0 gneE59.0.12 62203360#0 291433361#0 132508433.0 -gneE6.0 gneE81.299.0 gneE81.299.79 gneE81.299.145 -gneE8 12154353#0 196393941#1 196393941#2 28533986 43539369#2 12178843#2 12178843#3 49960982#2 43569828#0 387422128#1 43569827#0 43569827#1 43569827#2 43569827#7 43569848 30953391 424769002 424769005 424769006 424769004 30953396#1 387422132#0 387422132#1 486653633#0 484953506#3 484953506#4 424769003#0 424769003#1 387422132#0 387422132#1 388756840 12202537#1 12202537#2 12202537#3 485017368 485017367#0 12185366#0 12178852#0 12178852#1 386995495#0 386995495#1 -386995507#7 -386995507#6 -386995507#5 -386995507#4 -386995507#3 310315797#0 310315797#1 386995479#3 12182281#5 12182281#6 12182281#7 12182281#8 -12175537#3 12138978 12201597#2 12114363#1 -50033059#4 12175537#0 12175537#2 12175537#3 12175537#4 12175537#5 12175537#6 12175537#7 -43357814#2 42706837#4 42706837#5 42706837#6 42706837#7 42706837#8 42706837#9 12172918#0 12172918#1 12172918#2 gneE73 gneE75.0 gneE80.125" probability="0.0232558139534884"/&gt;</t>
  </si>
  <si>
    <t xml:space="preserve">    &lt;route id="Router3_150" edges="49887339#0.596 49887339#0-AddedOffRampEdge 49887339#1 49887339#1-AddedOffRampEdge 104524021 104524021-AddedOffRampEdge 12158873 121643865#0 12110705 50715233#0 50715233#0-AddedOffRampEdge 50715233#1.0 62203285#14.24 gneE59.30.0.55 gneE59.30.0.0 gneE59.0.0 gneE59.0.12 62203360#0 291433361#0 132508433.0 -gneE6.0 gneE81.299.0 gneE81.299.79 gneE81.299.145 -gneE8 12154353#0 196393941#1 196393941#2 28533986 43539369#2 12178843#2 12178843#3 49960982#2 43569828#0 387422128#1 43569827#0 43569827#1 43569827#2 43569827#7 43569848 30953391 424769002 424769005 424769006 424769004 30953396#1 387422132#0 387422132#1 486653633#0 484953506#3 484953506#4 424769003#0 424769003#1 387422132#0 387422132#1 388756840 12202537#1 12202537#2 12202537#3 485017368 485017367#0 12185366#0 12178852#0 12178852#1 386995495#0 386995495#1 -386995507#7 -386995507#6 -386995507#5 -386995507#4 -386995507#3 310315797#0 310315797#1 386995479#3 12182281#5 12182281#6 12182281#7 12182281#8 -12175537#3 12138978 12201597#2 12114363#1 -50033059#4 12175537#0 12175537#2 12175537#3 12175537#4 12175537#5 12175537#6 12175537#7 12175537#8 12175537#9 12154359#6 386995531#1 12174155#0 -12175537#10 -12175537#9 -12175537#8 -12175537#7 12152013#3 12167232#3 386995531#0 12154359#7 101350669 -386995537 -386995526#1 -386995526#0 -43357814#3 -43357814#2 42706837#4 42706837#5 42706837#6 42706837#7 42706837#8 42706837#9 12172918#0 12172918#1 12172918#2 gneE73 gneE75.0 gneE80.125" probability="0.0232558139534884"/&gt;</t>
  </si>
  <si>
    <t xml:space="preserve">    &lt;route id="Router3_151" edges="49887339#0.596 49887339#0-AddedOffRampEdge 49887339#1 49887339#1-AddedOffRampEdge 104524021 104524021-AddedOffRampEdge 12158873 121643865#0 12110705 50715233#0 50715233#0-AddedOffRampEdge 50715233#1.0 62203285#14.24 gneE59.30.0.55 gneE59.30.0.0 gneE59.0.0 gneE59.0.12 62203360#0 291433361#0 132508433.0 -gneE6.0 gneE81.299.0 gneE81.299.79 gneE81.299.145 -gneE8 12154353#0 196393941#1 196393941#2 28533986 43539369#2 12178843#2 12178843#3 49960982#2 43569828#0 387422128#1 43569827#0 43569827#1 43569827#2 43569827#7 43569848 30953391 424769002 424769005 424769006 424769004 30953396#1 387422132#0 387422132#1 486653633#0 484953506#3 484953506#4 424769003#0 424769003#1 387422132#0 387422132#1 388756840 12202537#1 12202537#2 12202537#3 485017368 485017367#0 12185366#0 12178852#0 12178852#1 386995495#0 386995495#1 -386995507#7 -386995507#6 -386995507#5 -386995507#4 -386995507#3 310315797#0 310315797#1 386995479#3 12182281#5 12182281#6 12182281#7 12182281#8 -12175537#3 12138978 12201597#2 12114363#1 -50033059#4 12175537#0 12175537#2 12175537#3 12175537#4 12175537#5 12175537#6 12175537#7 12175537#8 12175537#9 12154359#6 386995531#1 12174155#0 -12175537#10 -12175537#9 -12175537#8 -12175537#7 12152013#3 12167232#3 386995531#0 12154359#7 101350669 -386995537 -386995526#1 -386995526#0 -43357814#3 12175537#8 12175537#9 12175537#10 12175537#11 12175537#12 12175537#13 12172918#1 12172918#2 gneE73 gneE75.0 gneE80.125" probability="0.0232558139534884"/&gt;</t>
  </si>
  <si>
    <t xml:space="preserve">    &lt;route id="Router3_152" edges="49887339#0.596 49887339#0-AddedOffRampEdge 49887339#1 49887339#1-AddedOffRampEdge 104524021 104524021-AddedOffRampEdge 12158873 121643865#0 12110705 50715233#0 50715233#0-AddedOffRampEdge 50715233#1.0 62203285#14.24 gneE59.30.0.55 gneE59.30.0.0 gneE59.0.0 gneE59.0.12 62203360#0 291433361#0 132508433.0 -gneE6.0 gneE81.299.0 gneE81.299.79 gneE81.299.145 -gneE8 12154353#0 196393941#1 196393941#2 28533986 43539369#2 12178843#2 12178843#3 49960982#2 43569828#0 387422128#1 43569827#0 43569827#1 43569827#2 43569827#7 43569848 30953391 424769002 424769005 424769006 424769004 30953396#1 387422132#0 387422132#1 486653633#0 484953506#3 484953506#4 424769003#0 424769003#1 387422132#0 387422132#1 388756840 12202537#1 12202537#2 12202537#3 485017368 485017367#0 12185366#0 12178852#0 12178852#1 386995495#0 386995495#1 -386995507#7 -386995507#6 -386995507#5 -386995507#4 -386995507#3 310315797#0 310315797#1 386995479#3 12182281#5 12182281#6 12182281#7 12182281#8 -12175537#3 485017371#0 484953507#1 12182281#8 12182281#9 12167232#0 12167232#1 12167232#2 12152013#4 51050425#4 386995537 386995551 387422150#0 387422150#1 386995531#3 386995531#4 12172918#2 gneE73 gneE75.0 gneE80.125" probability="0.0232558139534884"/&gt;</t>
  </si>
  <si>
    <t xml:space="preserve">    &lt;route id="Router3_153" edges="49887339#0.596 49887339#0-AddedOffRampEdge 49887339#1 49887339#1-AddedOffRampEdge 104524021 104524021-AddedOffRampEdge 12158873 121643865#0 12110705 50715233#0 50715233#0-AddedOffRampEdge 50715233#1.0 62203285#14.24 gneE59.30.0.55 gneE59.30.0.0 gneE59.0.0 gneE59.0.12 62203360#0 291433361#0 132508433.0 -gneE6.0 gneE81.299.0 gneE81.299.79 gneE81.299.145 -gneE8 12154353#0 196393941#1 196393941#2 28533986 43539369#2 12178843#2 12178843#3 49960982#2 43569828#0 387422128#1 43569827#0 43569827#1 43569827#2 43569827#7 43569848 30953391 424769002 424769005 424769006 424769004 30953396#1 387422132#0 387422132#1 486653633#0 484953506#3 484953506#4 424769003#0 424769003#1 387422132#0 387422132#1 388756840 12202537#1 12202537#2 12202537#3 485017368 485017367#0 12185366#0 12178852#0 12178852#1 386995495#0 386995495#1 -386995507#7 -386995507#6 -386995507#5 -386995507#4 -386995507#3 310315797#0 310315797#1 386995479#3 12182281#5 12182281#6 386995507#4 386995507#5 12161358#9 12161358#10 12161358#11 12171305#0 12171305#1 42706797#2 42706797#4.13 42706797#5 387422148#0 387422148#1 12172918#0 12172918#1 12172918#2 gneE73 gneE75.0 gneE80.125" probability="0.0232558139534884"/&gt;</t>
  </si>
  <si>
    <t xml:space="preserve">    &lt;route id="Router3_154" edges="49887339#0.596 49887339#0-AddedOffRampEdge 49887339#1 49887339#1-AddedOffRampEdge 104524021 104524021-AddedOffRampEdge 12158873 121643865#0 12110705 50715233#0 50715233#0-AddedOffRampEdge 50715233#1.0 62203285#14.24 gneE59.30.0.55 gneE59.30.0.0 gneE59.0.0 gneE59.0.12 62203360#0 291433361#0 132508433.0 -gneE6.0 gneE81.299.0 gneE81.299.79 gneE81.299.145 -gneE8 12154353#0 196393941#1 196393941#2 28533986 43539369#2 12178843#2 12178843#3 49960982#2 43569828#0 387422128#1 43569827#0 43569827#1 43569827#2 43569827#7 43569848 30953391 424769002 424769005 424769006 424769004 30953396#1 387422132#0 387422132#1 486653633#0 484953506#3 484953506#4 424769003#0 424769003#1 387422132#0 387422132#1 388756840 12202537#1 12202537#2 12202537#3 485017368 485017367#0 12185366#0 12178852#0 12178852#1 386995495#0 386995495#1 -386995507#7 -386995507#6 -386995507#5 -386995507#4 -386995507#3 310315797#0 310315797#1 386995479#3 12182281#5 12182281#6 386995507#4 386995507#5 386995507#6 386995507#7 386995521#0 386995521#1 386995521#2 386995521#3 387422148#1 12172918#0 -12175537#13 12155177#1 12155177#2 387422153#1 gneE73 gneE75.0 gneE80.125" probability="0.0232558139534884"/&gt;</t>
  </si>
  <si>
    <t xml:space="preserve">    &lt;route id="Router3_155" edges="49887339#0.596 49887339#0-AddedOffRampEdge 49887339#1 49887339#1-AddedOffRampEdge 104524021 104524021-AddedOffRampEdge 12158873 121643865#0 12110705 50715233#0 50715233#0-AddedOffRampEdge 50715233#1.0 62203285#14.24 gneE59.30.0.55 gneE59.30.0.0 gneE59.0.0 gneE59.0.12 62203360#0 291433361#0 132508433.0 -gneE6.0 gneE81.299.0 gneE81.299.79 gneE81.299.145 -gneE8 12154353#0 196393941#1 196393941#2 28533986 43539369#2 12178843#2 12178843#3 49960982#2 43569828#0 387422128#1 43569827#0 43569827#1 43569827#2 43569827#7 43569848 30953391 424769002 424769005 424769006 424769004 30953396#1 387422132#0 387422132#1 486653633#0 484953506#3 484953506#4 424769003#0 424769003#1 387422132#0 387422132#1 388756840 12202537#1 12202537#2 12202537#3 485017368 485017367#0 12185366#0 12178852#0 12178852#1 386995495#0 386995495#1 -386995507#7 -386995507#6 -386995507#5 -386995507#4 -386995507#3 310315797#0 310315797#1 386995479#3 386995479#4 386995479#5 386995479#6 386995490#0.0 12154359#1.20 12154359#2 -386995521#1 -386995521#0 43357814#0 43357814#1 42706837#4 42706837#5 12154359#5 12154359#6 386995531#1 386995531#2 386995531#3 386995531#4 12172918#2 gneE73 gneE75.0 gneE80.125" probability="0.0232558139534884"/&gt;</t>
  </si>
  <si>
    <t xml:space="preserve">    &lt;route id="Router3_156" edges="49887339#0.596 49887339#0-AddedOffRampEdge 49887339#1 49887339#1-AddedOffRampEdge 104524021 104524021-AddedOffRampEdge 12158873 121643865#0 12110705 50715233#0 50715233#0-AddedOffRampEdge 50715233#1.0 62203285#14.24 gneE59.30.0.55 gneE59.30.0.0 gneE59.0.0 gneE59.0.12 62203360#0 291433361#0 132508433.0 -gneE6.0 gneE81.299.0 gneE81.299.79 gneE81.299.145 -gneE8 12154353#0 196393941#1 196393941#2 28533986 43539369#2 12178843#2 12178843#3 49960982#2 43569828#0 387422128#1 43569827#0 43569827#1 43569827#2 43569827#7 43569848 30953391 424769002 424769005 424769006 424769004 30953396#1 387422132#0 387422132#1 486653633#0 484953506#3 484953506#4 424769003#0 424769003#1 387422132#0 387422132#1 388756840 12202537#1 12202537#2 12202537#3 485017368 485017367#0 12185366#0 12178852#0 12178852#1 386995495#0 386995495#1 -386995507#7 -386995507#6 12161358#9 12161358#10 12161358#11 12171305#0 12171305#1 42706797#2 42706797#4.13 42706797#5 387422148#0 387422148#1 12172918#0 12172918#1 12172918#2 gneE73 gneE75.0 gneE80.125" probability="0.0232558139534884"/&gt;</t>
  </si>
  <si>
    <t xml:space="preserve">    &lt;route id="Router3_157" edges="49887339#0.596 49887339#0-AddedOffRampEdge 49887339#1 49887339#1-AddedOffRampEdge 104524021 104524021-AddedOffRampEdge 12158873 121643865#0 12110705 50715233#0 50715233#0-AddedOffRampEdge 50715233#1.0 62203285#14.24 gneE59.30.0.55 gneE59.30.0.0 gneE59.0.0 gneE59.0.12 62203360#0 291433361#0 132508433.0 -gneE6.0 gneE81.299.0 gneE81.299.79 gneE81.299.145 -gneE8 12154353#0 196393941#1 196393941#2 28533986 43539369#2 12178843#2 12178843#3 49960982#2 43569828#0 387422128#1 43569827#0 43569827#1 43569827#2 43569827#7 43569848 30953391 424769002 424769005 424769006 424769004 30953396#1 387422132#0 387422132#1 486653633#0 484953506#3 484953506#4 424769003#0 424769003#1 387422132#0 387422132#1 388756840 12202537#1 12202537#2 12202537#3 485017368 485017367#0 12185366#0 12178852#0 12178852#1 386995495#0 386995495#1 -386995507#7 -386995507#6 12161358#9 12161358#10 386995479#6 386995490#0.0 12154359#1.20 12154359#2 -386995521#1 12172225 32121111#2 32121111#3 12152013#0 12152013#1 12152013#2 12175537#7 -43357814#2 42706837#4 42706837#5 42706837#6 42706837#7 42706837#8 12155177#0 12175537#13 12172918#1 12172918#2 gneE73 gneE75.0 gneE80.125" probability="0.0232558139534884"/&gt;</t>
  </si>
  <si>
    <t xml:space="preserve">    &lt;route id="Router3_158" edges="49887339#0.596 49887339#0-AddedOffRampEdge 49887339#1 49887339#1-AddedOffRampEdge 104524021 104524021-AddedOffRampEdge 12158873 121643865#0 12110705 50715233#0 50715233#0-AddedOffRampEdge 50715233#1.0 62203285#14.24 gneE59.30.0.55 gneE59.30.0.0 gneE59.0.0 gneE59.0.12 62203360#0 291433361#0 132508433.0 -gneE6.0 gneE81.299.0 gneE81.299.79 gneE81.299.145 -gneE8 12154353#0 196393941#1 196393941#2 28533986 43539369#2 12178843#2 12178843#3 49960982#2 43569828#0 387422128#1 43569827#0 43569827#1 43569827#2 43569827#7 43569848 30953391 424769002 424769005 424769006 424769004 30953396#1 387422132#0 387422132#1 486653633#0 484953506#3 484953506#4 424769003#0 424769003#1 387422132#0 387422132#1 388756840 12202537#1 12202537#2 12202537#3 485017368 485017367#0 12185366#0 12178852#0 12178852#1 386995495#0 386995495#1 -386995507#7 -386995507#6 12161358#9 12161358#10 386995479#6 386995490#0.0 12154359#1.20 12154359#2 -386995521#1 12172225 32121111#2 32121111#3 12152013#0 12152013#1 12152013#2 12175537#7 -43357814#2 42706837#4 42706837#5 42706837#6 42706837#7 42706837#8 42706837#9 12172918#0 12172918#1 12172918#2 gneE73 gneE75.0 gneE80.125" probability="0.0232558139534884"/&gt;</t>
  </si>
  <si>
    <t xml:space="preserve">    &lt;route id="Router3_159" edges="49887339#0.596 49887339#0-AddedOffRampEdge 49887339#1 49887339#1-AddedOffRampEdge 104524021 104524021-AddedOffRampEdge 12158873 121643865#0 12110705 50715233#0 50715233#0-AddedOffRampEdge 50715233#1.0 62203285#14.24 gneE59.30.0.55 gneE59.30.0.0 gneE59.0.0 gneE59.0.12 62203360#0 291433361#0 132508433.0 -gneE6.0 gneE81.299.0 gneE81.299.79 gneE81.299.145 -gneE8 12154353#0 196393941#1 196393941#2 28533986 43539369#2 12178843#2 12178843#3 49960982#2 43569828#0 387422128#1 43569827#0 43569827#1 43569827#2 43569827#7 43569848 30953391 424769002 424769005 424769006 424769004 30953396#1 387422132#0 387422132#1 486653633#0 484953506#3 484953506#4 424769003#0 424769003#1 387422132#0 387422132#1 388756840 12202537#1 12202537#2 12202537#3 485017368 485017367#0 12185366#0 12178852#0 12178852#1 386995495#0 386995495#1 -386995507#7 -386995507#6 12161358#9 12161358#10 386995479#6 386995490#0.0 12154359#1.20 32121111#1 32121111#2 32121111#3 12152013#0 12152013#1 12152013#2 12175537#7 -43357814#2 42706837#4 42706837#5 42706837#6 42706837#7 42706837#8 12155177#0 12175537#13 12172918#1 12172918#2 gneE73 gneE75.0 gneE80.125" probability="0.0232558139534884"/&gt;</t>
  </si>
  <si>
    <t xml:space="preserve">    &lt;route id="Router3_160" edges="49887339#0.596 49887339#0-AddedOffRampEdge 49887339#1 49887339#1-AddedOffRampEdge 104524021 104524021-AddedOffRampEdge 12158873 121643865#0 12110705 50715233#0 50715233#0-AddedOffRampEdge 50715233#1.0 62203285#14.24 gneE59.30.0.55 gneE59.30.0.0 gneE59.0.0 gneE59.0.12 62203360#0 291433361#0 132508433.0 -gneE6.0 gneE81.299.0 gneE81.299.79 gneE81.299.145 -gneE8 12154353#0 196393941#1 196393941#2 28533986 43539369#2 12178843#2 12178843#3 49960982#2 43569828#0 387422128#1 43569827#0 43569827#1 43569827#2 43569827#7 43569848 30953391 424769002 424769005 424769006 424769004 30953396#1 387422132#0 387422132#1 486653633#0 484953506#3 484953506#4 424769003#0 424769003#1 387422132#0 387422132#1 388756840 12202537#1 12202537#2 12202537#3 485017368 485017367#0 12185366#0 12178852#0 12178852#1 386995495#0 386995495#1 -386995507#7 -386995507#6 12161358#9 12161358#10 386995479#6 386995490#0.0 12154359#1.20 32121111#1 32121111#2 32121111#3 12152013#0 12152013#1 12152013#2 12175537#7 12175537#8 12175537#9 12175537#10 12175537#11 12175537#12 12155177#1 386995531#4 12172918#2 gneE73 gneE75.0 gneE80.125" probability="0.0232558139534884"/&gt;</t>
  </si>
  <si>
    <t xml:space="preserve">    &lt;route id="Router3_161" edges="49887339#0.596 49887339#0-AddedOffRampEdge 49887339#1 49887339#1-AddedOffRampEdge 104524021 104524021-AddedOffRampEdge 12158873 121643865#0 12110705 50715233#0 50715233#0-AddedOffRampEdge 50715233#1.0 62203285#14.24 gneE59.30.0.55 gneE59.30.0.0 gneE59.0.0 gneE59.0.12 62203360#0 291433361#0 132508433.0 -gneE6.0 gneE81.299.0 gneE81.299.79 gneE81.299.145 -gneE8 12154353#0 196393941#1 196393941#2 28533986 43539369#2 12178843#2 12178843#3 49960982#2 43569828#0 387422128#1 43569827#0 43569827#1 43569827#2 43569827#7 43569848 30953391 424769002 424769005 424769006 424769004 30953396#1 387422132#0 387422132#1 486653633#0 484953506#3 484953506#4 424769003#0 424769003#1 387422132#0 387422132#1 388756840 12202537#1 43357813 484953506#1 484953506#2 486653633#1 486653633#2 486653633#3 12182281#0 12182281#3 386995479#4 386995479#5 12161358#11 12171305#0 12171305#1 42706797#2 42706797#4.13 42706797#5 387422148#0 387422148#1 12172918#0 12172918#1 12172918#2 gneE73 gneE75.0 gneE80.125" probability="0.0232558139534884"/&gt;</t>
  </si>
  <si>
    <t xml:space="preserve">    &lt;route id="Router3_165" edges="62203360#0 291433361#0 132508433.0 -gneE6.0 gneE6.0 424765883 43539378#0.15 132508717#5 196393974#0 49914077 424767578 387422130#1 132508717#0 12149210#1 12151897#1 196393941#6 196393941#7 196393941#8 gneE87 196393974#0 388756841#0 49914076#0 12159673#0 12159673#1 393884751 43569848 30953391 12113092 51758697#1-AddedOnRampEdge 51758697#1" probability="0.0232558139534884"/&gt;</t>
  </si>
  <si>
    <t xml:space="preserve">    &lt;route id="Router3_166" edges="62203360#0 291433361#0 132508433.0 -gneE6.0 gneE6.0 424765883 43570920#0.22 132508717#4 43539378#1 43569848 30953391 12113092 51758697#1-AddedOnRampEdge 51758697#1" probability="0.0232558139534884"/&gt;</t>
  </si>
  <si>
    <t xml:space="preserve">    &lt;route id="Router3_19" edges="-gneE80.0 -gneE80.17 -gneE41 gneE44 -388756838#2 -388756838#1 -388756838#0 42706817#0 386547310 gneE69 -388756838#2 -388756838#1 -388756838#0 -388756839#1 -388756839#0 -194358837#2 -194358837#0 194358838#0 194358838#1 194358838#2 194358838#3 387422145#0 387422145#3 386995499#0 386995499#2 42706831#0 42706831#4 42706831#5 42706831#6 42706874#0 42706874#2 -424080769#1 -424769177 -386547298#1 -424080767#1 -424080771#1 -386547297#1 -424080772#2 -424080772#1 -424080761#1 -62623960 62623959#0 386547296#0 386547296#1 424080773#0 -424080768#1 -424080766 -104526265#1 30953497#0 30953497#2 30953497#3 42706585#0 42706585#1 30953320 30953320-AddedOffRampEdge 104526277 30953215#1-AddedOnRampEdge 30953215#1 121643865#0 12110705 50715233#0 50715233#0-AddedOffRampEdge 50715233#1.0 62203285#14.24 30908387 30908366#1-AddedOnRampEdge 30908366#1 121643863 121643862 51758697#0 51758697#1-AddedOnRampEdge 51758697#1 -gneE46.0 43357850.4841.18 gneE46 49887339#0.596 49887339#0-AddedOffRampEdge 49887339#1 49887339#1-AddedOffRampEdge 104524021 104524021-AddedOffRampEdge 50192637#0 50192637#1-AddedOnRampEdge 50192637#1.0.0 50192637#1.0.382.0.0 50192637#1.697 50192637#1-AddedOffRampEdge 30953181#1 30953181#2-AddedOnRampEdge 30953181#2 30953181#3-AddedOnRampEdge 30953181#3 30953181#3-AddedOffRampEdge 30952933#1.0 30952933#1.199" probability="0.0232558139534884"/&gt;</t>
  </si>
  <si>
    <t xml:space="preserve">    &lt;route id="Router3_71" edges="31909473.0 31909473.857 62634019#1-AddedOnRampEdge 62634019#1 30953036 424081476 424081472 424081473 424081470 30953025#0 30953025#2 30953025#3 30953025#4 50033060#0 12134479#5 450844973#0 388533144#0 388533144#6 388533144#11 450695475#0 137364609#0 137364609#3 137364609#5 450695473#0 386547305#0 gneE23 -gneE20.0 -gneE21.54 -gneE21.0 59435515#0 59435515#1 59435515#2 59435515#3 59435515#4 424801338#1 12117702#0 12117702#4 12117702#7 -32121146#3 -32121146#1 -424769197#2 12144152#0 12144152#2 12144152#4 12144152#6 12157151#0 12166276#2 -32121146#5 12117702#9 450844953#0 450844953#2 450844953#3 450844947#0 388533142#0 388533142#2 12189045#0 62623987#0 62623987#1 -12142631 12202018 62623986#1 62623986#2 -12189051#1 -262962063 -424080764 -424080768#1 -424080766 -104526265#1 30953497#0 30953497#2 30953497#3 42706585#0 42706585#1 30953320 30953320-AddedOffRampEdge 104526277 30953215#1-AddedOnRampEdge 30953215#1 121643865#0 12110705 50715233#0 50715233#0-AddedOffRampEdge 50715233#1.0 62203285#14.24 30908387 30908366#1-AddedOnRampEdge 30908366#1 121643863 121643862 51758697#0 51758697#1-AddedOnRampEdge 51758697#1 -gneE46.0 43357850.4841.18 gneE46 49887339#0.596 49887339#0-AddedOffRampEdge 49887339#1 49887339#1-AddedOffRampEdge 104524021 104524021-AddedOffRampEdge 50192637#0 50192637#1-AddedOnRampEdge 50192637#1.0.0 50192637#1.0.382.0.0 50192637#1.697 50192637#1-AddedOffRampEdge 30953181#1 30953181#2-AddedOnRampEdge 30953181#2 30953181#3-AddedOnRampEdge 30953181#3 30953181#3-AddedOffRampEdge 30952933#1.0 30952933#1.199" probability="0.0232558139534884"/&gt;</t>
  </si>
  <si>
    <t>&lt;routeDistribution id="22nd-SPGRst-to-PAave-NB-2012-RouteProbe"&gt;</t>
  </si>
  <si>
    <t xml:space="preserve">    &lt;route id="Router3_115" edges="31909473.0 31909473.857 62634019#1-AddedOnRampEdge 62634019#1 62634019#2.0 62634019#2.242 62634019#3-AddedOnRampEdge 62634019#3 62634019#3-AddedOffRampEdge 30953251#1.0 30953251#1-AddedOffRampEdge 12112003 30953215#1-AddedOnRampEdge 30953215#1 121643865#0 12110705 50715233#0 50715233#0-AddedOffRampEdge 50715233#1.0 62203285#14.24 gneE59.30.0.55 gneE59.30.0.0 gneE59.0.0 gneE59.0.12 62203360#0 12159135 291433360#0 388756841#0 49914076#0 12111949#0 43539384#1.0 424764853 43539372 12167183.0 gneE82 gneE56 gneE54.0 gneE62.13 gneE81.0 gneE6.0 424765883 43539378#0.15 43539378#1 -393884751 12159702 424764853 12149178#0 50189796 50189564 12149178#2 145605533#0 145605533#1-AddedOnRampEdge 145605533#1 145605511#1-AddedOnRampEdge 145605511#12 145605511#1.148" probability="0.0769230769230769"/&gt;</t>
  </si>
  <si>
    <t xml:space="preserve">    &lt;route id="Router3_129" edges="49887339#0.596 49887339#0-AddedOffRampEdge 12113482 424769007 -424769002 -30953391 -43569848 -43569827#9 -43569827#6 -43569827#1 -43569827#0 28555332 43569816#0 49914076#0 12167196#0.0.0 424764853 43539372 424764852 12149417#0 12149417#2 12159135 291433360#0 388756841#0 49914076#0 12111949#0 43539384#1.0 424764853 43539372 12167183.0 gneE82 gneE56 gneE54.0 gneE62.13 gneE81.0 gneE6.0 424765883 43539378#0.15 43539378#1 -393884751 12159702 424764853 12149178#0 50189796 50189564 12149178#2 145605533#0 145605533#1-AddedOnRampEdge 145605533#1 145605511#1-AddedOnRampEdge 145605511#12 145605511#1.148" probability="0.0769230769230769"/&gt;</t>
  </si>
  <si>
    <t xml:space="preserve">    &lt;route id="Router3_130" edges="49887339#0.596 49887339#0-AddedOffRampEdge 12113482 424769007 -424769002 -30953391 -43569848 -43569827#9 -43569827#6 -43569827#1 -43569827#0 28555332 43569816#0 49914076#0 12167196#0.0.0 424764853 43539372 424764852 12149417#0 12149417#2 12159135 291433360#0 388756841#0 49914076#0 12111949#0 43539384#1.0 424764853 43539372 12167183.0 gneE82 gneE56 gneE54.0 gneE62.13 gneE81.0 gneE6.0 424765883 43539378#0.15 43539378#1 43569848 30953391 12113092 51758697#1-AddedOnRampEdge 51758697#1" probability="0.0769230769230769"/&gt;</t>
  </si>
  <si>
    <t xml:space="preserve">    &lt;route id="Router3_131" edges="49887339#0.596 49887339#0-AddedOffRampEdge 12113482 424769007 -424769002 -30953391 -43569848 -43569827#9 -43569827#6 -43569827#1 -43569827#0 28555332 43569816#0 49914076#0 12167196#0.0.0 424764853 43539372 43539373#0.0.0 43539373#0.0.292.17 gneE58 gneE56 gneE54.0 gneE62.13 gneE81.0 gneE6.0 424765883 gneE87 196393957 132508433.0 -gneE6.0 gneE81.299.0 gneE81.299.79 gneE81.299.145 12178843#0 12178843#1 43539369#3 43539369#4 43539368#0 43570920#3 43570920#5 404615579 43569828#0 43539397#3 43569816#0 49914076#0 12167196#0.0.0 424764853 12149178#0 12149178#1 12149178#2 50189577 62203295 145605533#1-AddedOnRampEdge 145605533#1 145605511#1-AddedOnRampEdge 145605511#12 145605511#1.148" probability="0.0769230769230769"/&gt;</t>
  </si>
  <si>
    <t xml:space="preserve">    &lt;route id="Router3_139" edges="49887339#0.596 49887339#0-AddedOffRampEdge 49887339#1 49887339#1-AddedOffRampEdge 104524021 104524021-AddedOffRampEdge 12158873 121643865#0 12110705 50715233#0 50715233#0-AddedOffRampEdge 50715233#1.0 62203285#14.24 gneE59.30.0.55 gneE59.30.0.0 43539373#0.0.292.17 gneE58 gneE56 gneE54.0 gneE62.13 gneE81.0 gneE6.0 424765883 43539378#0.15 43539378#1 -393884751 12159702 424764853 12149178#0 50189796 50189564 12149178#2 145605533#0 145605533#1-AddedOnRampEdge 145605533#1 145605511#1-AddedOnRampEdge 145605511#12 145605511#1.148" probability="0.0769230769230769"/&gt;</t>
  </si>
  <si>
    <t xml:space="preserve">    &lt;route id="Router3_140" edges="49887339#0.596 49887339#0-AddedOffRampEdge 49887339#1 49887339#1-AddedOffRampEdge 104524021 104524021-AddedOffRampEdge 12158873 121643865#0 12110705 50715233#0 50715233#0-AddedOffRampEdge 50715233#1.0 62203285#14.24 gneE59.30.0.55 gneE59.30.0.0 43539373#0.0.292.17 gneE58 gneE56 gneE54.0 gneE62.13 gneE81.0 gneE81.299.0 gneE81.299.79 gneE81.299.145 12178843#0 12178843#1 43539369#3 43539369#4 43539368#0 43570920#3 43570920#5 404615579 43569828#0 43539397#3 43569816#0 49914076#0 12167196#0.0.0 424764853 12149178#0 12149178#1 12149178#2 50189577 62203295 145605533#1-AddedOnRampEdge 145605533#1 145605511#1-AddedOnRampEdge 145605511#12 145605511#1.148" probability="0.0769230769230769"/&gt;</t>
  </si>
  <si>
    <t xml:space="preserve">    &lt;route id="Router3_141" edges="49887339#0.596 49887339#0-AddedOffRampEdge 49887339#1 49887339#1-AddedOffRampEdge 104524021 104524021-AddedOffRampEdge 12158873 121643865#0 12110705 50715233#0 50715233#0-AddedOffRampEdge 50715233#1.0 62203285#14.24 gneE59.30.0.55 gneE59.30.0.0 gneE59.0.0 gneE59.0.12 62203360#0 12159135 291433360#0 388756841#0 49914076#0 12111949#0 43539384#1.0 424764853 43539372 12167183.0 gneE82 gneE56 gneE54.0 gneE62.13 gneE81.0 gneE6.0 424765883 43539378#0.15 43539378#1 -393884751 12159702 424764853 12149178#0 50189796 50189564 12149178#2 145605533#0 145605533#1-AddedOnRampEdge 145605533#1 145605511#1-AddedOnRampEdge 145605511#12 145605511#1.148" probability="0.0769230769230769"/&gt;</t>
  </si>
  <si>
    <t xml:space="preserve">    &lt;route id="Router3_142" edges="49887339#0.596 49887339#0-AddedOffRampEdge 49887339#1 49887339#1-AddedOffRampEdge 104524021 104524021-AddedOffRampEdge 12158873 121643865#0 12110705 50715233#0 50715233#0-AddedOffRampEdge 50715233#1.0 62203285#14.24 gneE59.30.0.55 gneE59.30.0.0 gneE59.0.0 gneE59.0.12 62203360#0 12159135 291433360#0 388756841#0 49914076#0 12111949#0 43539384#1.0 424764853 43539372 12167183.0 gneE82 gneE56 gneE54.0 gneE62.13 gneE81.0 gneE6.0 424765883 43539378#0.15 43539378#1 43569848 30953391 12113092 51758697#1-AddedOnRampEdge 51758697#1" probability="0.0769230769230769"/&gt;</t>
  </si>
  <si>
    <t xml:space="preserve">    &lt;route id="Router3_164" edges="62203360#0 12159135 291433360#0 388756841#0 49914076#0 12111949#0 43539384#1.0 424764853 43539372 12167183.0 gneE82 gneE56 gneE54.0 gneE62.13 gneE81.0 gneE6.0 424765883 43539378#0.15 43539378#1 -393884751 12159702 424764853 12149178#0 50189796 50189564 12149178#2 145605533#0 145605533#1-AddedOnRampEdge 145605533#1 145605511#1-AddedOnRampEdge 145605511#12 145605511#1.148" probability="0.0769230769230769"/&gt;</t>
  </si>
  <si>
    <t xml:space="preserve">    &lt;route id="Router3_51" edges="196393940#0 62203285#0 62203285#2 62203285#3 62203285#5 62203285#6 62203285#7 62203285#8 62203285#9 62203285#10 62203285#11 62203285#13 62203285#14.0 62203285#14.24 gneE59.30.0.55 gneE59.30.0.0 gneE59.0.0 gneE59.0.12 62203360#0 291433361#0 132508433.0 -gneE6.0 gneE81.299.0 gneE81.299.79 gneE81.299.145 -gneE8 12154353#0 196393941#1 196393941#2 28533986 43539369#2 12178843#2 12178843#3 49960982#2 43569828#0 387422128#1 43569827#0 43569827#1 43569827#2 43569827#7 43569848 30953391 424769002 424769005 424769006 424769004 30953396#1 387422132#0 387422132#1 486653633#0 484953506#3 484953506#4 12157002#0 12157002#1 12157002#3 12157002#5 12114396#4 -12156992#10 -12156992#8 -12156992#7 -12156992#6 -12156992#5 -12156992#4 -12156992#3 -12156992#2 -12156992#1 -386547297#1 -424080772#2 -424080772#1 -262962065#1 -262962063 -424080764 -424080768#1 -424080766 -104526265#1 30953497#0 30953497#2 30953497#3 42706585#0 42706585#1 30953320 30953320-AddedOffRampEdge 104526277 30953215#1-AddedOnRampEdge 30953215#1 121643865#0 12110705 50715233#0 50715233#0-AddedOffRampEdge 50715233#1.0 62203285#14.24 gneE59.30.0.55 gneE59.30.0.0 43539373#0.0.292.17 gneE58 gneE56 gneE54.0 62203360#0 291433361#0 132508433.0 -gneE6.0 gneE6.0 424765883 43539378#0.15 132508717#5 196393974#0 49914077 424767578 387422130#1 132508717#0 12149210#1 12151897#1 196393941#6 196393941#7 196393941#8 gneE87 196393974#0 388756841#0 49914076#0 12159673#0 12159673#1 393884751 43569848 30953391 12113092 51758697#1-AddedOnRampEdge 51758697#1" probability="0.0769230769230769"/&gt;</t>
  </si>
  <si>
    <t xml:space="preserve">    &lt;route id="Router3_52" edges="196393940#0 62203285#0 62203285#2 62203285#3 62203285#5 62203285#6 62203285#7 62203285#8 62203285#9 62203285#10 62203285#11 62203285#13 62203285#14.0 62203285#14.24 gneE59.30.0.55 gneE59.30.0.0 gneE59.0.0 gneE59.0.12 62203360#0 291433361#0 132508433.0 -gneE6.0 gneE81.299.0 gneE81.299.79 gneE81.299.145 -gneE8 12154353#0 196393941#1 196393941#2 28533986 43539369#2 12178843#2 12178843#3 49960982#2 43569828#0 387422128#1 43569827#0 43569827#1 43569827#2 43569827#7 43569848 30953391 424769002 424769005 424769006 424769004 30953396#1 387422132#0 387422132#1 486653633#0 484953506#3 484953506#4 12157002#0 12157002#1 12157002#3 12157002#5 12114396#4 -12156992#10 -12156992#8 -12156992#7 -12156992#6 -12156992#5 -12156992#4 -12156992#3 -12156992#2 -12156992#1 -386547297#1 -424080772#2 -424080772#1 -262962065#1 -262962063 -424080764 -424080768#1 -424080766 -104526265#1 30953497#0 30953497#2 30953497#3 42706585#0 42706585#1 30953320 30953320-AddedOffRampEdge 104526277 30953215#1-AddedOnRampEdge 30953215#1 121643865#0 12110705 50715233#0 50715233#0-AddedOffRampEdge 50715233#1.0 62203285#14.24 gneE59.30.0.55 gneE59.30.0.0 43539373#0.0.292.17 gneE58 gneE56 gneE54.0 62203360#0 291433361#0 132508433.0 -gneE6.0 gneE6.0 424765883 43570920#0.22 132508717#4 43539378#1 43569848 30953391 12113092 51758697#1-AddedOnRampEdge 51758697#1" probability="0.0769230769230769"/&gt;</t>
  </si>
  <si>
    <t>&lt;routeDistribution id="21st-market-to-chesnut-SB-2012-RouteProbe"&gt;</t>
  </si>
  <si>
    <t>&lt;routeDistribution id="LOCUST-23rd-to-22nd-EB-2012-RouteProbe"&gt;</t>
  </si>
  <si>
    <t>&lt;routeDistribution id="34th-market-to-LanAVE-SB-2013-RouteProbe"&gt;</t>
  </si>
  <si>
    <t xml:space="preserve">    &lt;route id="Router3_6" edges="-gneE80.0 -gneE80.17 -gneE41 gneE44 -388756838#2 -388756838#1 -388756838#0 42706817#0 386547310 gneE69 -388756838#2 -388756838#1 -388756838#0 -388756839#1 -388756839#0 -194358837#2 -194358837#0 194358838#0 194358838#1 194358838#2 194358838#3 387422145#0 387422145#3 386995499#0 386995499#2 -51155368#13 -51155368#10 -51155368#7 121319040#0 121319040#1 386995507#0 386995507#1 386995507#2 386995507#3 12182281#7 42706837#0 42706837#1 42706837#2 42706837#3 43357814#2 43357814#3 386995526#0 386995526#1 -51050425#4 -51050425#3 -51050425#2 12162659#0 12162659#1 -12175537#4 -12175537#3 -12175537#2 -12175537#1 -50033059#3 -50033059#2 -386995514#7 -12199713#2 12177498 42706833#2 51155368#0 -50033558#5 -50033558#3 -50033558#2 -62105579 -32121234#1 -32121234#0 42706874#0 42706874#2 55179414#0 55179413#0 424769182 -450827405#2 -450827400#2 -450827382 -450827385#1 -450827391#1 -450827381 -450827397#1 12180696#0 59435515#1 59435515#2 59435515#3 59435515#4 424801338#1 12117702#0 12117702#4 12117702#7 -32121146#3 -32121146#1 -424769197#2 12144152#0 12144152#2 12144152#4 12144152#6 12157151#0 12166276#2 -32121146#5 12117702#9 450844953#0 450844953#2 450844953#3 450844947#0 388533142#0 388533142#2 12189045#0 62623987#0 62623987#1 -12142631 12202018 62623986#1 62623986#2 -12189051#1 -262962063 -424080764 -424080768#1 -424080766 -104526265#1 30953497#0 30953497#2 30953497#3 42706585#0 42706585#1 30953320 30953320-AddedOffRampEdge 104526277 30953215#1-AddedOnRampEdge 30953215#1 121643865#0 121643865#1 145605511#1-AddedOnRampEdge 145605511#12 145605511#1.148" probability="0.0454545454545455"/&gt;</t>
  </si>
  <si>
    <t xml:space="preserve">    &lt;route id="Router3_7" edges="-gneE80.0 -gneE80.17 -gneE41 gneE44 -388756838#2 -388756838#1 -388756838#0 42706817#0 386547310 gneE69 -388756838#2 -388756838#1 -388756838#0 -388756839#1 -388756839#0 -194358837#2 -194358837#0 194358838#0 194358838#1 194358838#2 194358838#3 387422145#0 387422145#3 386995499#0 386995499#2 -51155368#13 -51155368#10 -51155368#7 121319040#0 121319040#1 386995507#0 386995507#1 386995507#2 386995507#3 12182281#7 42706837#0 42706837#1 42706837#2 42706837#3 43357814#2 43357814#3 386995526#0 386995526#1 -51050425#4 -51050425#3 -51050425#2 12162659#0 12162659#1 -12175537#4 -12175537#3 -12175537#2 -12175537#1 -50033059#3 -50033059#2 -386995514#7 -12199713#2 12177498 42706833#2 51155368#0 -50033558#5 -50033558#3 -50033558#2 -62105579 -32121234#1 -32121234#0 42706874#0 42706874#2 55179414#0 55179413#0 424769182 -450827405#2 -450827400#2 -450827382 -450827385#1 -450827391#1 -450827381 -450827397#1 12180696#0 59435515#1 59435515#2 59435515#3 59435515#4 424801338#1 12117702#0 12117702#4 12117702#7 -32121146#3 -32121146#1 -424769197#2 12144152#0 12144152#2 12144152#4 12144152#6 12157151#0 12166276#2 -32121146#5 12117702#9 450844953#0 450844953#2 450844953#3 450844947#0 388533142#0 388533142#2 12189045#0 62623987#0 62623987#1 -12142631 12202018 62623986#1 62623986#2 -12189051#1 -262962063 -424080764 -424080768#1 -424080766 -104526265#1 30953497#0 30953497#2 35920555#0.0 35920555#0.75 62203066 43331031.0 43331031.436 42706585#0 42706585#1 30953320 30953320-AddedOffRampEdge 30953315 104526276-AddedOnRampEdge 104526276 51758697#0 51758697#1-AddedOnRampEdge 51758697#1" probability="0.0454545454545455"/&gt;</t>
  </si>
  <si>
    <t xml:space="preserve">    &lt;route id="Router3_8" edges="-gneE80.0 -gneE80.17 -gneE41 gneE44 -388756838#2 -388756838#1 -388756838#0 42706817#0 386547310 gneE69 -388756838#2 -388756838#1 -388756838#0 -388756839#1 -388756839#0 -194358837#2 -194358837#0 194358838#0 194358838#1 194358838#2 194358838#3 387422145#0 387422145#3 386995499#0 386995499#2 -51155368#13 -51155368#10 -51155368#7 121319040#0 121319040#1 386995507#0 386995507#1 386995507#2 386995507#3 12182281#7 42706837#0 42706837#1 42706837#2 42706837#3 43357814#2 43357814#3 386995526#0 386995526#1 -51050425#4 -51050425#3 -51050425#2 12162659#0 12162659#1 -12175537#4 -12175537#3 -12175537#2 -12175537#1 -50033059#3 -50033059#2 -386995514#7 -12199713#2 12177498 42706833#2 51155368#0 -50033558#5 -50033558#3 -50033558#2 -62105579 -32121234#1 -32121234#0 42706874#0 42706874#2 55179414#0 55179413#0 424769182 -450827405#2 -450827400#2 -450827382 -450827385#1 -450827391#1 -450827381 -450827397#1 12180696#0 59435515#1 59435515#2 59435515#3 59435515#4 424801338#1 12117702#0 12117702#4 12117702#7 -32121146#3 -32121146#1 -424769197#2 12144152#0 12144152#2 12144152#4 12144152#6 12157151#0 12166276#2 -32121146#5 12117702#9 450844953#0 450844953#2 450844953#3 450844947#0 388533142#0 388533142#2 388533142#4 62623926#0 62623926#1 450844950#0 38502259#0.19 450844933#1 196207110#0 196207110#2" probability="0.0454545454545455"/&gt;</t>
  </si>
  <si>
    <t xml:space="preserve">    &lt;route id="Router3_9" edges="-gneE80.0 -gneE80.17 -gneE41 gneE44 -388756838#2 -388756838#1 -388756838#0 42706817#0 386547310 gneE69 -388756838#2 -388756838#1 -388756838#0 -388756839#1 -388756839#0 -194358837#2 -194358837#0 194358838#0 194358838#1 194358838#2 194358838#3 387422145#0 387422145#3 386995499#0 386995499#2 -51155368#13 -51155368#10 -51155368#7 121319040#0 121319040#1 386995507#0 386995507#1 386995507#2 386995507#3 12182281#7 42706837#0 42706837#1 42706837#2 42706837#3 43357814#2 43357814#3 386995526#0 386995526#1 -51050425#4 -51050425#3 -51050425#2 12162659#0 12162659#1 -12175537#4 -12175537#3 -12175537#2 -12175537#1 -50033059#3 -50033059#2 -386995514#7 -12199713#2 12177498 42706833#2 51155368#0 -50033558#5 -50033558#3 -50033558#2 -62105579 -32121234#1 -32121234#0 42706874#0 42706874#2 55179414#0 55179413#0 424769182 -450827405#2 -450827400#2 -450827382 -450827385#1 -450827391#1 -450827381 -450827397#1 12180696#0 59435515#1 59435515#2 59435515#3 59435515#4 424801338#1 12117702#0 12117702#4 12117702#7 -32121146#3 12202008#2.0 12202008#2.171 62646499#2 450827424#0 450827405#0 262962062 -55179413#2 12187610#0 12187610#2 12187610#3 -62105579 12186909#0 12186909#1 12186909#2 12186909#4 12177521#2 12177521#3 211575484#1 485017379 -386995465#1 -386995504#1 -386995486#1 32121111#11 -12177521#0 -121319040#0 -51155368#5 -50033558#5 -50033558#3 -12188656 -121319046 -42706825#7 -42706825#4 -42706825#3 -42706825#1 194358815 194358817#0 194358817#1 194358817#2 12114363#0 12114363#1 -50033059#4 12175537#0 12175537#2 485017371#0 484953507#1 12182281#8 12182281#9 12167232#0 12167232#1 12167232#2 12152013#4 51050425#4 386995537 386995551 387422150#0 387422150#1 386995531#3 386995531#4 12172918#2 gneE73 gneE75.0 gneE80.125" probability="0.0454545454545455"/&gt;</t>
  </si>
  <si>
    <t xml:space="preserve">    &lt;route id="Router3_10" edges="-gneE80.0 -gneE80.17 -gneE41 gneE44 -388756838#2 -388756838#1 -388756838#0 42706817#0 386547310 gneE69 -388756838#2 -388756838#1 -388756838#0 -388756839#1 -388756839#0 -194358837#2 -194358837#0 194358838#0 194358838#1 194358838#2 194358838#3 387422145#0 387422145#3 386995499#0 386995499#2 -51155368#13 -51155368#10 -51155368#7 121319040#0 121319040#1 386995507#0 386995507#1 386995507#2 386995507#3 12182281#7 42706837#0 42706837#1 42706837#2 42706837#3 43357814#2 43357814#3 386995526#0 386995526#1 -51050425#4 -51050425#3 -51050425#2 12162659#0 12162659#1 -12175537#4 -12175537#3 -12175537#2 -12175537#1 -50033059#3 -50033059#2 -386995514#7 -12199713#2 12177498 42706833#2 51155368#0 -50033558#5 -50033558#3 -50033558#2 -62105579 -32121234#1 -32121234#0 42706874#0 42706874#2 55179414#0 55179413#0 424769182 -450827405#2 -450827400#2 -450827382 -450827385#1 -450827391#1 -450827381 -450827397#1 12180696#0 59435515#1 59435515#2 59435515#3 59435515#4 424801338#1 12117702#0 12117702#4 12117702#7 -32121146#3 12202008#2.0 12202008#2.171 62646499#2 450827424#0 450827405#0 262962062 -55179413#2 12187610#0 12187610#2 12187610#3 -62105579 12186909#0 12186909#1 12186909#2 12186909#4 12186909#6 386995479#0 12157718#5 12157718#7 485017376 485017373#0 387422135#0 424769003#0 424769003#1 -30953396#1 -30953396#0 -424769006 -424769005 -424769002 -30953391 -43569848 -393884751 12159702 424764853 12149178#0 50189796 50189564 12149178#2 145605533#0 145605533#1-AddedOnRampEdge 145605533#1 145605511#1-AddedOnRampEdge 145605511#12 145605511#1.148" probability="0.0454545454545455"/&gt;</t>
  </si>
  <si>
    <t xml:space="preserve">    &lt;route id="Router3_11" edges="-gneE80.0 -gneE80.17 -gneE41 gneE44 -388756838#2 -388756838#1 -388756838#0 42706817#0 386547310 gneE69 -388756838#2 -388756838#1 -388756838#0 -388756839#1 -388756839#0 -194358837#2 -194358837#0 194358838#0 194358838#1 194358838#2 194358838#3 387422145#0 387422145#3 386995499#0 386995499#2 -51155368#13 -51155368#10 -51155368#7 121319040#0 121319040#1 386995507#0 386995507#1 386995507#2 386995507#3 12182281#7 42706837#0 42706837#1 42706837#2 42706837#3 43357814#2 43357814#3 386995526#0 386995526#1 -51050425#4 -51050425#3 -51050425#2 12162659#0 12162659#1 -12175537#4 -12175537#3 -12175537#2 -12175537#1 -50033059#3 -50033059#2 -386995514#7 -12199713#2 12177498 42706833#2 51155368#0 -50033558#5 -50033558#3 -50033558#2 -62105579 -32121234#1 -32121234#0 42706874#0 42706874#2 55179414#0 55179413#0 424769182 -450827405#2 -450827400#2 -450827382 -450827385#1 -450827391#1 -450827381 -450827397#1 12180696#0 59435515#1 59435515#2 59435515#3 59435515#4 424801338#1 12117702#0 12117702#4 12117702#7 -32121146#3 12202008#2.0 12202008#2.171 62646499#2 450827424#0 450827405#0 262962062 -55179413#2 12187610#0 12187610#2 12187610#3 -62105579 12186909#0 12186909#1 12186909#2 12186909#4 12186909#6 386995479#0 12157718#5 12157718#7 485017376 485017373#0 387422135#0 424769003#0 424769003#1 -30953396#1 30953396#1 -424769003#1 -424769003#0 12157002#0 12157002#1 12186058#2 485017381#0 -12157718#12 -12157718#10 -12157718#9 -12157718#8 -12157718#6 386995479#1 386995479#2 386995479#3 386995479#4 386995479#5 386995479#6 386995490#0.0 12154359#1.20 12154359#2 -386995521#1 -386995521#0 43357814#0 43357814#1 42706837#4 42706837#5 12154359#5 12154359#6 386995531#1 386995531#2 386995531#3 386995531#4 12172918#2 gneE73 gneE75.0 gneE80.125" probability="0.0454545454545455"/&gt;</t>
  </si>
  <si>
    <t xml:space="preserve">    &lt;route id="Router3_12" edges="-gneE80.0 -gneE80.17 -gneE41 gneE44 -388756838#2 -388756838#1 -388756838#0 42706817#0 386547310 gneE69 -388756838#2 -388756838#1 -388756838#0 -388756839#1 -388756839#0 -194358837#2 -194358837#0 194358838#0 194358838#1 194358838#2 194358838#3 387422145#0 387422145#3 386995499#0 386995499#2 -51155368#13 -51155368#10 -51155368#7 121319040#0 121319040#1 386995507#0 386995507#1 386995507#2 386995507#3 12182281#7 42706837#0 42706837#1 42706837#2 42706837#3 43357814#2 43357814#3 386995526#0 386995526#1 -51050425#4 -51050425#3 -51050425#2 12162659#0 12162659#1 -12175537#4 -12175537#3 -12175537#2 -12175537#1 -50033059#3 -50033059#2 -386995514#7 -12199713#2 12177498 42706833#2 51155368#0 -50033558#5 -50033558#3 -50033558#2 -62105579 -32121234#1 -32121234#0 42706874#0 42706874#2 55179414#0 55179413#0 424769182 -450827405#2 -450827400#2 -450827382 -450827385#1 -450827391#1 -450827381 -450827397#1 12180696#0 59435515#1 59435515#2 59435515#3 59435515#4 424801338#1 12117702#0 12117702#4 12117702#7 -32121146#3 12202008#2.0 12202008#2.171 62646499#2 450827424#0 450827405#0 262962062 -55179413#2 12187610#0 12187610#2 12187610#3 -62105579 12186909#0 12186909#1 12186909#2 51155368#11 42706831#0 42706831#4 42706831#5 42706831#6 32121234#0 32121234#1 32121234#2 50033558#2 50033558#3 50033558#4 50033558#6 50033058#0 386995514#9 386995486#0 32121111#11 -12177521#0 -121319040#0 -51155368#5 -50033558#5 -50033558#3 -12188656 -121319046 -42706825#7 -42706825#4 -42706825#3 -42706825#1 -484953510#2 -484953510#1 -484953510#0 gneE37 gneE38 -12159761#2 -12159761#1 -12159761#0 -194358817#2 -194358817#1 -194358817#0 -386995514#2 -386995514#1 12159500#1 12159500#2 51050030#7 gneE35 -gneE34.0 --gneE83.0" probability="0.0454545454545455"/&gt;</t>
  </si>
  <si>
    <t xml:space="preserve">    &lt;route id="Router3_14" edges="-gneE80.0 -gneE80.17 -gneE41 gneE44 -388756838#2 -388756838#1 -388756838#0 42706817#0 386547310 gneE69 -388756838#2 -388756838#1 -388756838#0 -388756839#1 -388756839#0 -194358837#2 -194358837#0 194358838#0 194358838#1 194358838#2 194358838#3 387422145#0 387422145#3 386995499#0 386995499#2 -51155368#13 -51155368#10 -51155368#7 121319040#0 121319040#1 386995507#0 386995507#1 386995507#2 386995507#3 12182281#7 42706837#0 42706837#1 42706837#2 42706837#3 43357814#2 43357814#3 386995526#0 386995526#1 -51050425#4 -51050425#3 -51050425#2 12162659#0 12162659#1 -12175537#4 -12175537#3 -12175537#2 -12175537#1 -50033059#3 -50033059#2 -386995514#7 -12199713#2 12177498 42706833#2 51155368#0 -50033558#5 -50033558#3 -50033558#2 -62105579 -32121234#1 -32121234#0 42706874#0 42706874#2 55179414#0 55179413#0 424769182 -450827405#2 -450827400#2 -450827382 -450827385#1 -450827391#1 -450827381 -450827397#1 12180696#0 59435515#1 59435515#2 59435515#3 59435515#4 424801338#1 12117702#0 12117702#4 12117702#7 -32121146#3 12202008#2.0 12202008#2.171 62646499#2 450827424#0 450827405#0 262962062 -55179413#2 12187610#0 12187610#2 12187610#3 -62105579 12186909#0 12186909#1 12186909#2 51155368#11 42706831#0 42706831#4 42706831#5 42706831#6 32121234#0 32121234#1 32121234#2 50033558#2 50033558#3 50033558#4 50033558#6 50033058#0 386995514#9 386995486#0 32121111#11 -12177521#0 -121319040#0 -51155368#5 -50033558#5 -50033558#3 -12188656 -121319046 -42706825#7 -42706825#4 -42706825#3 -42706825#1 -484953510#2 -484953510#1 -484953510#0 gneE37 gneE38 -12159761#2 -12159761#1 -12159761#0 12114363#0 12114363#1 -50033059#4 12175537#0 12175537#2 12175537#3 12175537#4 12162659#2 12159485 12161358#7 12161358#8 386995507#6 386995507#7 386995521#0 386995521#1 12154359#3 12154359#4 12154359#5 12154359#6 12154359#7 101350669 -386995537 -386995526#1 -386995526#0 -43357814#3 12175537#8 12175537#9 12175537#10 12175537#11 12175537#12 12175537#13 12172918#1 12172918#2 gneE73 gneE75.0 gneE80.125" probability="0.0454545454545455"/&gt;</t>
  </si>
  <si>
    <t xml:space="preserve">    &lt;route id="Router3_15" edges="-gneE80.0 -gneE80.17 -gneE41 gneE44 -388756838#2 -388756838#1 -388756838#0 42706817#0 386547310 gneE69 -388756838#2 -388756838#1 -388756838#0 -388756839#1 -388756839#0 -194358837#2 -194358837#0 194358838#0 194358838#1 194358838#2 194358838#3 387422145#0 387422145#3 386995499#0 386995499#2 -51155368#13 -51155368#10 -51155368#7 121319040#0 121319040#1 386995507#0 386995507#1 386995507#2 386995507#3 12182281#7 42706837#0 42706837#1 42706837#2 42706837#3 43357814#2 43357814#3 386995526#0 386995526#1 -51050425#4 -51050425#3 -51050425#2 12162659#0 12162659#1 -12175537#4 -12175537#3 -12175537#2 -12175537#1 -50033059#3 -50033059#2 -386995514#7 -12199713#2 12177498 42706833#2 51155368#0 -50033558#5 -50033558#3 -50033558#2 -62105579 -32121234#1 -32121234#0 42706874#0 42706874#2 55179414#0 55179413#0 424769182 -450827405#2 -450827400#2 -450827382 -450827385#1 -450827391#1 -450827381 -450827397#1 12180696#0 59435515#1 59435515#2 59435515#3 59435515#4 424801338#1 12117702#0 12117702#4 12117702#7 -32121146#3 12202008#2.0 12202008#2.171 62646499#2 450827424#0 450827405#0 262962062 -55179413#2 12187610#0 12187610#2 12187610#3 -62105579 12186909#0 12186909#1 12186909#2 51155368#11 42706831#0 42706831#4 42706831#5 42706831#6 32121234#0 32121234#1 32121234#2 50033558#2 50033558#3 50033558#4 50033558#6 50033058#0 386995514#9 386995486#0 32121111#11 -12177521#0 -121319040#0 -51155368#5 -50033558#5 -50033558#3 -12188656 -121319046 -42706825#7 -42706825#4 -42706825#3 -42706825#1 -484953510#2 -484953510#1 -484953510#0 gneE37 gneE38 -12159761#2 -12159761#1 -12159761#0 12114363#0 12114363#1 -50033059#4 12175537#0 12175537#2 12175537#3 12175537#4 12175537#5 12175537#6 12175537#7 -43357814#2 42706837#4 42706837#5 42706837#6 42706837#7 42706837#8 12155177#0 12175537#13 12172918#1 12172918#2 gneE73 gneE75.0 -gneE80.17 -gneE41 gneE44 -388756838#2 -388756838#1 -388756838#0 42706817#0 386547310 gneE69 -388756838#2 -388756838#1 -388756838#0 -388756839#1 -388756839#0 -194358837#2 -194358837#0 194358838#0 194358838#1 194358838#2 386995479#2 310315797#2 12185366#9 387422145#0 -12157718#6 -12157718#4 -12157718#3 -12157718#2 -12157718#1 -12199713#4 386995514#7 -50033059#1 -50033558#8 -51155368#3 121319046 12188656 -50033558#2 12203859#0 12203859#1 42706831#4 42706831#5 42706831#6 42706874#0 42706874#2 12144152#0 12144152#2 450844953#0 450844953#2 450844953#3 450844947#0 388533142#0 388533142#2 388533142#4 62623926#0 62623926#1 450844950#0 12189453#0.0.0 450844982#0.19 62203497#0 62203497#2 62203497#3 12134479#1 34685684#0 34685684#2 388533143#0 388533143#2 12140627#0 63060729#0 -264253834#2 12156992#4 12156992#5 12156992#6 12156992#7 12156992#8 12156992#9 -12114396#5 -12114396#3 -12114396#1 485017383#0 485017382#0 485017382#1 211575484#0 -12177521#3 -12177521#2 -12177521#1 32121111#12 32121111#14 -12187610#5 -12187610#2 -12187610#1 12150608#0 32121146#2 12117702#9 450844953#0 450844953#2 450844953#3 450844947#0 388533142#0 388533142#2 388533142#4 62623926#0 62623926#1 450844950#0 38502259#0.19 450844933#1 196207110#0 196207110#2" probability="0.0454545454545455"/&gt;</t>
  </si>
  <si>
    <t xml:space="preserve">    &lt;route id="Router3_16" edges="-gneE80.0 -gneE80.17 -gneE41 gneE44 -388756838#2 -388756838#1 -388756838#0 42706817#0 386547310 gneE69 -388756838#2 -388756838#1 -388756838#0 -388756839#1 -388756839#0 -194358837#2 -194358837#0 194358838#0 194358838#1 194358838#2 194358838#3 387422145#0 387422145#3 386995499#0 386995499#2 -51155368#13 -51155368#10 -51155368#7 121319040#0 121319040#1 386995507#0 386995507#1 386995507#2 386995507#3 12182281#7 42706837#0 42706837#1 42706837#2 42706837#3 43357814#2 43357814#3 386995526#0 386995526#1 -51050425#4 -51050425#3 -51050425#2 12162659#0 12162659#1 -12175537#4 -12175537#3 -12175537#2 -12175537#1 -50033059#3 -50033059#2 -386995514#7 -12199713#2 12177498 42706833#2 51155368#0 -50033558#5 -50033558#3 -50033558#2 -62105579 -32121234#1 -32121234#0 42706874#0 42706874#2 55179414#0 55179413#0 424769182 -450827405#2 -450827400#2 -450827382 -450827385#1 -450827391#1 -450827381 -450827397#1 12180696#0 59435515#1 59435515#2 59435515#3 59435515#4 424801338#1 12117702#0 12117702#4 12117702#7 -32121146#3 12202008#2.0 12202008#2.171 62646499#2 450827424#0 450827405#0 262962062 -55179413#2 12187610#0 12187610#2 12187610#3 -62105579 12186909#0 12186909#1 12186909#2 51155368#11 42706831#0 42706831#4 42706831#5 42706831#6 32121234#0 32121234#1 32121234#2 50033558#2 50033558#3 50033558#4 50033558#6 50033058#0 386995514#9 386995486#0 32121111#11 -12177521#0 -121319040#0 -51155368#5 -50033558#5 -50033558#3 -12188656 -121319046 -42706825#7 -42706825#4 -42706825#3 -42706825#1 -484953510#2 -484953510#1 -484953510#0 gneE37 gneE38 -12159761#2 -12159761#1 -12159761#0 12114363#0 12114363#1 -50033059#4 12175537#0 12175537#2 12175537#3 12175537#4 12175537#5 12175537#6 12175537#7 -43357814#2 42706837#4 42706837#5 42706837#6 42706837#7 42706837#8 12155177#0 12175537#13 12172918#1 12172918#2 gneE73 gneE75.0 gneE80.125" probability="0.0454545454545455"/&gt;</t>
  </si>
  <si>
    <t xml:space="preserve">    &lt;route id="Router3_17" edges="-gneE80.0 -gneE80.17 -gneE41 gneE44 -388756838#2 -388756838#1 -388756838#0 42706817#0 386547310 gneE69 -388756838#2 -388756838#1 -388756838#0 -388756839#1 -388756839#0 -194358837#2 -194358837#0 194358838#0 194358838#1 194358838#2 194358838#3 387422145#0 387422145#3 386995499#0 386995499#2 -51155368#13 -51155368#10 -51155368#7 121319040#0 121319040#1 386995507#0 386995507#1 386995507#2 386995507#3 12182281#7 42706837#0 42706837#1 42706837#2 42706837#3 43357814#2 43357814#3 386995526#0 386995526#1 -51050425#4 -51050425#3 -51050425#2 12162659#0 12162659#1 -12175537#4 -12175537#3 -12175537#2 -12175537#1 -50033059#3 -50033059#2 -386995514#7 -12199713#2 12177498 42706833#2 51155368#0 -50033558#5 -50033558#3 -50033558#2 -62105579 -32121234#1 -32121234#0 42706874#0 42706874#2 55179414#0 55179413#0 424769182 -450827405#2 -450827400#2 -450827382 -450827385#1 -450827391#1 -450827381 -450827397#1 12180696#0 59435515#1 59435515#2 59435515#3 59435515#4 424801338#1 12117702#0 12117702#4 12117702#7 -32121146#3 12202008#2.0 12202008#2.171 62646499#2 450827424#0 450827405#0 262962062 -55179413#2 12187610#0 12187610#2 12187610#3 -62105579 12186909#0 12186909#1 12186909#2 51155368#11 42706831#0 42706831#4 42706831#5 42706831#6 32121234#0 32121234#1 32121234#2 50033558#2 50033558#3 50033558#4 50033558#6 50033058#0 386995514#9 386995486#0 32121111#11 -12177521#0 -121319040#0 -51155368#5 -50033558#5 -50033558#3 -12188656 -121319046 -42706825#7 -42706825#4 -42706825#3 -42706825#1 -484953510#2 -484953510#1 -484953510#0 gneE37 gneE38 -12159761#2 -12159761#1 -12159761#0 12114363#0 12114363#1 -50033059#4 12175537#0 12175537#2 12175537#3 12175537#4 12175537#5 12175537#6 12175537#7 12175537#8 12175537#9 12154359#6 386995531#1 12174155#0 -12175537#10 -12175537#9 -12175537#8 -12175537#7 12152013#3 12167232#3 386995531#0 12154359#7 101350669 -386995537 -386995526#1 -386995526#0 -43357814#3 -43357814#2 42706837#4 42706837#5 42706837#6 42706837#7 42706837#8 42706837#9 12172918#0 12172918#1 12172918#2 gneE73 gneE75.0 -gneE80.17 -gneE41 gneE44 -388756838#2 -388756838#1 -388756838#0 42706817#0 386547310 gneE69 -gneE44 gneE41 gneE80.0 gneE80.125" probability="0.0454545454545455"/&gt;</t>
  </si>
  <si>
    <t xml:space="preserve">    &lt;route id="Router3_18" edges="-gneE80.0 -gneE80.17 -gneE41 gneE44 -388756838#2 -388756838#1 -388756838#0 42706817#0 386547310 gneE69 -388756838#2 -388756838#1 -388756838#0 -388756839#1 -388756839#0 -194358837#2 -194358837#0 194358838#0 194358838#1 194358838#2 194358838#3 387422145#0 387422145#3 386995499#0 386995499#2 -51155368#13 -51155368#10 -51155368#7 121319040#0 121319040#1 386995507#0 386995507#1 386995507#2 386995507#3 12182281#7 42706837#0 42706837#1 42706837#2 42706837#3 43357814#2 43357814#3 386995526#0 386995526#1 -51050425#4 -51050425#3 -51050425#2 12162659#0 12162659#1 -12175537#4 -12175537#3 -12175537#2 -12175537#1 -50033059#3 -50033059#2 -386995514#7 -12199713#2 12177498 42706833#2 51155368#0 -50033558#5 -50033558#3 -50033558#2 -62105579 -32121234#1 -32121234#0 42706874#0 42706874#2 55179414#0 55179413#0 424769182 -450827405#2 -450827400#2 -450827382 -450827385#1 -450827391#1 -450827381 -450827397#1 12180696#0 59435515#1 59435515#2 59435515#3 59435515#4 424801338#1 12117702#0 12117702#4 12117702#7 -32121146#3 12202008#2.0 12202008#2.171 62646499#2 450827424#0 450827405#0 262962062 -55179413#2 12187610#0 12187610#2 12187610#3 -62105579 12186909#0 12186909#1 12186909#2 51155368#11 42706831#0 42706831#4 42706831#5 42706831#6 32121234#0 32121234#1 32121234#2 50033558#2 50033558#3 50033558#4 50033558#6 50033058#0 386995514#9 386995486#0 32121111#11 -12177521#0 -121319040#0 -51155368#5 -50033558#5 -50033558#3 -12188656 -121319046 -42706825#7 -42706825#4 -42706825#3 -42706825#1 -484953510#2 -484953510#1 -484953510#0 gneE37 gneE38 -12159761#2 -12159761#1 -12159761#0 12114363#0 12114363#1 -50033059#4 12175537#0 12175537#2 12175537#3 12175537#4 12175537#5 12175537#6 12175537#7 12175537#8 12175537#9 12154359#6 386995531#1 12174155#0 -12175537#10 -12175537#9 -12175537#8 -12175537#7 12152013#3 12167232#3 386995531#0 12154359#7 101350669 -386995537 -386995526#1 -386995526#0 -43357814#3 -43357814#2 42706837#4 42706837#5 42706837#6 42706837#7 42706837#8 42706837#9 12172918#0 12172918#1 12172918#2 gneE73 gneE75.0 gneE80.125" probability="0.0454545454545455"/&gt;</t>
  </si>
  <si>
    <t xml:space="preserve">    &lt;route id="Router3_19" edges="-gneE80.0 -gneE80.17 -gneE41 gneE44 -388756838#2 -388756838#1 -388756838#0 42706817#0 386547310 gneE69 -388756838#2 -388756838#1 -388756838#0 -388756839#1 -388756839#0 -194358837#2 -194358837#0 194358838#0 194358838#1 194358838#2 194358838#3 387422145#0 387422145#3 386995499#0 386995499#2 42706831#0 42706831#4 42706831#5 42706831#6 42706874#0 42706874#2 -424080769#1 -424769177 -386547298#1 -424080767#1 -424080771#1 -386547297#1 -424080772#2 -424080772#1 -424080761#1 -62623960 62623959#0 386547296#0 386547296#1 424080773#0 -424080768#1 -424080766 -104526265#1 30953497#0 30953497#2 30953497#3 42706585#0 42706585#1 30953320 30953320-AddedOffRampEdge 104526277 30953215#1-AddedOnRampEdge 30953215#1 121643865#0 12110705 50715233#0 50715233#0-AddedOffRampEdge 50715233#1.0 62203285#14.24 30908387 30908366#1-AddedOnRampEdge 30908366#1 121643863 121643862 51758697#0 51758697#1-AddedOnRampEdge 51758697#1 -gneE46.0 43357850.4841.18 gneE46 49887339#0.596 49887339#0-AddedOffRampEdge 49887339#1 49887339#1-AddedOffRampEdge 104524021 104524021-AddedOffRampEdge 50192637#0 50192637#1-AddedOnRampEdge 50192637#1.0.0 50192637#1.0.382.0.0 50192637#1.697 50192637#1-AddedOffRampEdge 30953181#1 30953181#2-AddedOnRampEdge 30953181#2 30953181#3-AddedOnRampEdge 30953181#3 30953181#3-AddedOffRampEdge 30952933#1.0 30952933#1.199" probability="0.0454545454545455"/&gt;</t>
  </si>
  <si>
    <t xml:space="preserve">    &lt;route id="Router3_112" edges="31909473.0 31909473.857 62634019#1-AddedOnRampEdge 62634019#1 62634019#2.0 62634019#2.242 62634019#3-AddedOnRampEdge 62634019#3 62634019#3-AddedOffRampEdge 30953251#1.0 30953251#1-AddedOffRampEdge 12112003 30953215#1-AddedOnRampEdge 30953215#1 121643865#0 12110705 50715233#0 50715233#0-AddedOffRampEdge 50715233#1.0 62203285#14.24 gneE59.30.0.55 gneE59.30.0.0 gneE59.0.0 gneE59.0.12 62203360#0 12159135 12149408#0 49914077 424767578 43569819 387422128#1 43569827#0 43569827#1 43569827#2 43569827#7 43569848 30953391 424769002 424769005 424769006 424769004 30953396#1 -424769003#1 -424769003#0 -485017374 42706828#0 42706828#2 12182281#0 12182281#3 12182281#5 12182281#6 386995507#4 386995507#5 386995507#6 12152013#1 12152013#2 -12175537#6 -12175537#5 -12175537#4 12182281#9 12182281#10 -388756839#1 -388756839#0 -50033059#4 -50033059#3 -50033059#2 -50033059#1 -50033558#8 -51155368#3 121319046 12188656 -50033558#2 12203859#0 12203859#1 42706831#4 42706831#5 42706831#6 42706874#0 42706874#2 12144152#0 12144152#2 450844953#0 450844953#2 450844953#3 450844947#0 388533142#0 388533142#2 388533142#4 62623926#0 62623926#1 450844950#0 12189453#0.0.0 450844982#0.19 62203497#0 62203497#2 62203497#3 12134479#1 34685684#0 34685684#2 388533143#0 388533143#2 12140627#0 63060729#0 -264253834#2 12156992#4 12156992#5 12156992#6 12156992#7 12156992#8 12156992#9 -12114396#5 -12114396#3 -12114396#1 485017383#0 485017382#0 485017382#1 211575484#0 -12177521#3 -12177521#2 -12177521#1 32121111#12 32121111#14 -12187610#5 -12187610#2 -12187610#1 12150608#0 32121146#2 12117702#9 450844953#0 450844953#2 450844953#3 450844947#0 388533142#0 388533142#2 388533142#4 62623926#0 62623926#1 450844950#0 38502259#0.19 450844933#1 196207110#0 196207110#2" probability="0.0454545454545455"/&gt;</t>
  </si>
  <si>
    <t xml:space="preserve">    &lt;route id="Router3_120" edges="31909473.0 31909473.857 62634019#1-AddedOnRampEdge 62634019#1 62634019#2.0 62634019#2.242 62634019#3-AddedOnRampEdge 62634019#3 62634019#3-AddedOffRampEdge 30953251#1.0 30953251#1-AddedOffRampEdge 30953251#2.0 104526276-AddedOnRampEdge 104526276 51758697#0 51758697#1-AddedOnRampEdge 51758697#1 -gneE46.0 43357850.4841.18 -gneE45 -485017363 -43117585#0 12185366#0 12185366#2 12185366#3 12185366#4 12185366#5 12185366#7 12185366#9 387422145#0 -12157718#6 386995479#1 386995479#2 386995479#3 386995479#4 386995479#5 386995479#6 386995490#0.0 12154359#1.20 12154359#2 12154359#3 12154359#4 42706837#6 42706837#7 42706837#8 12155177#0 12155177#1 386995531#4 12172918#2 gneE73 gneE75.0 gneE80.125" probability="0.0454545454545455"/&gt;</t>
  </si>
  <si>
    <t xml:space="preserve">    &lt;route id="Router3_121" edges="31909473.0 31909473.857 62634019#1-AddedOnRampEdge 62634019#1 62634019#2.0 62634019#2.242 62634019#3-AddedOnRampEdge 62634019#3 62634019#3-AddedOffRampEdge 30953251#1.0 30953251#1-AddedOffRampEdge 30953251#2.0 104526276-AddedOnRampEdge 104526276 51758697#0 51758697#1-AddedOnRampEdge 51758697#1 -gneE46.0 43357850.4841.18 -gneE45 -485017363 -43117585#0 12185366#0 12185366#2 12185366#3 12185366#4 12185366#5 12185366#7 12185366#9 387422145#0 -12157718#6 386995479#1 386995479#2 386995479#3 386995479#4 386995479#5 386995479#6 386995490#0.0 12154359#1.20 12154359#2 12154359#3 12154359#4 42706837#6 42706837#7 42706837#8 12155177#0 12175537#13 12172918#1 12172918#2 gneE73 gneE75.0 gneE80.125" probability="0.0454545454545455"/&gt;</t>
  </si>
  <si>
    <t>&lt;routeDistribution id="WALNUT-20th-22nd-WB-2013-RouteProbe"&gt;</t>
  </si>
  <si>
    <t xml:space="preserve">    &lt;route id="Router3_42" edges="195815883#2 195815883#3 450844975 450844970#0 196355332#0 450844979#0.0 12114109#0.45.0 38502259#0.19 450844933#1 196207115#0 196207115#2 43538931#0 43538931#1 -43538931#1 -43538931#0 196207115#3 196355332#0 450844979#0.0 450844982#0.19 62203497#0 62203497#2 62203497#3 12134479#1 34685684#0 34685684#2 388533143#0 388533143#2 12140627#0 63060729#0 -264253834#2 12156992#4 12156992#5 12156992#6 12156992#7 12156992#8 12156992#9 -12114396#5 -12114396#3 -12114396#1 485017383#0 485017382#0 485017382#1 211575484#0 -12177521#3 -12177521#2 -12177521#1 32121111#12 32121111#14 -12187610#5 -12187610#2 -12187610#1 12150608#0 32121146#2 12117702#9 450844953#0 450844953#2 450844953#3 450844947#0 388533142#0 388533142#2 388533142#4 62623926#0 62623926#1 450844950#0 38502259#0.19 450844933#1 196207110#0 196207110#2" probability="0.142857142857143"/&gt;</t>
  </si>
  <si>
    <t xml:space="preserve">    &lt;route id="Router3_43" edges="195815883#2 195815883#3 450844975 450844970#0 196355332#0 450844979#0.0 12114109#0.45.0 38502259#0.19 450844933#1 196207115#0 196207115#2 43538931#0 43538931#1 -43538931#1 -43538931#0 196207115#3 196355332#0 450844979#0.0 450844982#0.19 62203497#0 62203497#2 62203497#3 12134479#1 34685684#0 34685684#2 450844947#0 388533142#0 388533142#2 388533142#4 62623926#0 62623926#1 450844950#0 12189453#0.0.0 450844982#0.19 62203497#0 62203497#2 62203497#3 12134479#1 34685684#0 34685684#2 388533143#0 388533143#2 12140627#0 63060729#0 -264253834#2 12156992#4 12156992#5 12156992#6 12156992#7 12156992#8 12156992#9 484953505 12148522#0 485017381#0 485017381#1 -30953396#1 -30953396#0 -424769006 -424769005 -424769002 -30953391 -43569848 -393884751 12159702 424764853 12149178#0 50189796 50189564 12149178#2 145605533#0 145605533#1-AddedOnRampEdge 145605533#1 145605511#1-AddedOnRampEdge 145605511#12 145605511#1.148" probability="0.142857142857143"/&gt;</t>
  </si>
  <si>
    <t xml:space="preserve">    &lt;route id="Router3_44" edges="195815883#2 195815883#3 450844975 450844970#0 196355332#0 450844979#0.0 12114109#0.45.0 38502259#0.19 450844933#1 196207115#0 196207115#2 43538931#0 43538931#1 32118649#4 32118649#5 32118649#6 132508646#0 132508646#2 132508646#3 196355310#0 196355310#1 12150213#8 12150213#9 12150213#10 12150213#11 173543402#8 173543402#9 132508983#0 132508983#3 132508734#3 132508734#4 132508734#5 132508734#6 132508734#7 132508734#8 132508734#9 193223837#3 12142729#6 12142729#7 196355307#1 196393937 -132508530 -310296140#9 -310296140#8 -310296140#7 -310296140#6 -310296140#5 -310296140#4 -310296140#2 -310296140#1 459461788#11 459461788#12 459461788#13 459461788#14 459461788#15 -170366767#4 -170366767#3 -170366767#2 -170366767#0 -12173391 -170366765 170366768 30953029#0 30953029#1 424987520 424081472 424081473 424081470 12122468#0 12122468#1 273888485.0 50033027 -50033029 50033050#0 50033055 63060727 50033029 50033028#0 50033028#3 50033028#5 50033028#6 49991646 386547300#0 283621823 386547301-AddedOnRampEdge 386547301 424801344#0 424801343#1 283621822#0 424801341 28555309#0 49991649#0 424986163#0 51049946#0 424801337#0 357338497#0 357338497#2 450695460#0 62646499#0 62646499#2 450827424#0 62646508#0 62646508#2 424799820 424799823#0 50033059#0 50033059#2 50033059#3 50033059#4 388756839#0 388756839#1 388756838#0 12136923#0 386547309#0 386547309#2 386547309#3 386547309#5 386547309#7 51050030#4 51050030#7 gneE35 -gneE34.0 --gneE83.0" probability="0.142857142857143"/&gt;</t>
  </si>
  <si>
    <t xml:space="preserve">    &lt;route id="Router3_38" edges="195815883#2 195815883#3 394179820#4 196355327#1 196355327#2 196355327#5 -196393940#0" probability="0.142857142857143"/&gt;</t>
  </si>
  <si>
    <t xml:space="preserve">    &lt;route id="Router3_39" edges="195815883#2 195815883#3 394179820#4 196355327#1 196355327#2 196355327#5 62203285#0 62203285#2 62203285#3 62203285#5 42706664#7 42706664#8 12186741#4 12186741#5 -196393940#2 -196393940#0" probability="0.142857142857143"/&gt;</t>
  </si>
  <si>
    <t>&lt;routeDistribution id="WALNUT-76-to-33rd-WB-2013-RouteProbe"&gt;</t>
  </si>
  <si>
    <t xml:space="preserve">    &lt;route id="Router3_44" edges="195815883#2 195815883#3 450844975 450844970#0 196355332#0 450844979#0.0 12114109#0.45.0 38502259#0.19 450844933#1 196207115#0 196207115#2 43538931#0 43538931#1 32118649#4 32118649#5 32118649#6 132508646#0 132508646#2 132508646#3 196355310#0 196355310#1 12150213#8 12150213#9 12150213#10 12150213#11 173543402#8 173543402#9 132508983#0 132508983#3 132508734#3 132508734#4 132508734#5 132508734#6 132508734#7 132508734#8 132508734#9 193223837#3 12142729#6 12142729#7 196355307#1 196393937 -132508530 -310296140#9 -310296140#8 -310296140#7 -310296140#6 -310296140#5 -310296140#4 -310296140#2 -310296140#1 459461788#11 459461788#12 459461788#13 459461788#14 459461788#15 -170366767#4 -170366767#3 -170366767#2 -170366767#0 -12173391 -170366765 170366768 30953029#0 30953029#1 424987520 424081472 424081473 424081470 12122468#0 12122468#1 273888485.0 50033027 -50033029 50033050#0 50033055 63060727 50033029 50033028#0 50033028#3 50033028#5 50033028#6 49991646 386547300#0 283621823 386547301-AddedOnRampEdge 386547301 424801344#0 424801343#1 283621822#0 424801341 28555309#0 49991649#0 424986163#0 51049946#0 424801337#0 357338497#0 357338497#2 450695460#0 62646499#0 62646499#2 450827424#0 62646508#0 62646508#2 424799820 424799823#0 50033059#0 50033059#2 50033059#3 50033059#4 388756839#0 388756839#1 388756838#0 12136923#0 386547309#0 386547309#2 386547309#3 386547309#5 386547309#7 51050030#4 51050030#7 gneE35 -gneE34.0 --gneE83.0" probability="0.03125"/&gt;</t>
  </si>
  <si>
    <t>&lt;routeDistribution id="33rd-SouthST-to-Walnut-NB-2013-RouteProbe"&gt;</t>
  </si>
  <si>
    <t xml:space="preserve">    &lt;route id="Router3_10" edges="-gneE80.0 -gneE80.17 -gneE41 gneE44 -388756838#2 -388756838#1 -388756838#0 42706817#0 386547310 gneE69 -388756838#2 -388756838#1 -388756838#0 -388756839#1 -388756839#0 -194358837#2 -194358837#0 194358838#0 194358838#1 194358838#2 194358838#3 387422145#0 387422145#3 386995499#0 386995499#2 -51155368#13 -51155368#10 -51155368#7 121319040#0 121319040#1 386995507#0 386995507#1 386995507#2 386995507#3 12182281#7 42706837#0 42706837#1 42706837#2 42706837#3 43357814#2 43357814#3 386995526#0 386995526#1 -51050425#4 -51050425#3 -51050425#2 12162659#0 12162659#1 -12175537#4 -12175537#3 -12175537#2 -12175537#1 -50033059#3 -50033059#2 -386995514#7 -12199713#2 12177498 42706833#2 51155368#0 -50033558#5 -50033558#3 -50033558#2 -62105579 -32121234#1 -32121234#0 42706874#0 42706874#2 55179414#0 55179413#0 424769182 -450827405#2 -450827400#2 -450827382 -450827385#1 -450827391#1 -450827381 -450827397#1 12180696#0 59435515#1 59435515#2 59435515#3 59435515#4 424801338#1 12117702#0 12117702#4 12117702#7 -32121146#3 12202008#2.0 12202008#2.171 62646499#2 450827424#0 450827405#0 262962062 -55179413#2 12187610#0 12187610#2 12187610#3 -62105579 12186909#0 12186909#1 12186909#2 12186909#4 12186909#6 386995479#0 12157718#5 12157718#7 485017376 485017373#0 387422135#0 424769003#0 424769003#1 -30953396#1 -30953396#0 -424769006 -424769005 -424769002 -30953391 -43569848 -393884751 12159702 424764853 12149178#0 50189796 50189564 12149178#2 145605533#0 145605533#1-AddedOnRampEdge 145605533#1 145605511#1-AddedOnRampEdge 145605511#12 145605511#1.148" probability="0.166666666666667"/&gt;</t>
  </si>
  <si>
    <t xml:space="preserve">    &lt;route id="Router3_11" edges="-gneE80.0 -gneE80.17 -gneE41 gneE44 -388756838#2 -388756838#1 -388756838#0 42706817#0 386547310 gneE69 -388756838#2 -388756838#1 -388756838#0 -388756839#1 -388756839#0 -194358837#2 -194358837#0 194358838#0 194358838#1 194358838#2 194358838#3 387422145#0 387422145#3 386995499#0 386995499#2 -51155368#13 -51155368#10 -51155368#7 121319040#0 121319040#1 386995507#0 386995507#1 386995507#2 386995507#3 12182281#7 42706837#0 42706837#1 42706837#2 42706837#3 43357814#2 43357814#3 386995526#0 386995526#1 -51050425#4 -51050425#3 -51050425#2 12162659#0 12162659#1 -12175537#4 -12175537#3 -12175537#2 -12175537#1 -50033059#3 -50033059#2 -386995514#7 -12199713#2 12177498 42706833#2 51155368#0 -50033558#5 -50033558#3 -50033558#2 -62105579 -32121234#1 -32121234#0 42706874#0 42706874#2 55179414#0 55179413#0 424769182 -450827405#2 -450827400#2 -450827382 -450827385#1 -450827391#1 -450827381 -450827397#1 12180696#0 59435515#1 59435515#2 59435515#3 59435515#4 424801338#1 12117702#0 12117702#4 12117702#7 -32121146#3 12202008#2.0 12202008#2.171 62646499#2 450827424#0 450827405#0 262962062 -55179413#2 12187610#0 12187610#2 12187610#3 -62105579 12186909#0 12186909#1 12186909#2 12186909#4 12186909#6 386995479#0 12157718#5 12157718#7 485017376 485017373#0 387422135#0 424769003#0 424769003#1 -30953396#1 30953396#1 -424769003#1 -424769003#0 12157002#0 12157002#1 12186058#2 485017381#0 -12157718#12 -12157718#10 -12157718#9 -12157718#8 -12157718#6 386995479#1 386995479#2 386995479#3 386995479#4 386995479#5 386995479#6 386995490#0.0 12154359#1.20 12154359#2 -386995521#1 -386995521#0 43357814#0 43357814#1 42706837#4 42706837#5 12154359#5 12154359#6 386995531#1 386995531#2 386995531#3 386995531#4 12172918#2 gneE73 gneE75.0 gneE80.125" probability="0.166666666666667"/&gt;</t>
  </si>
  <si>
    <t>&lt;routeDistribution id="SCHKILLave-76-JKF"&gt;</t>
  </si>
  <si>
    <t>&lt;routeDistribution id="SPGRst-38th-33rd-EB-2013-RouteProbe"&gt;</t>
  </si>
  <si>
    <t xml:space="preserve">    &lt;route id="Router3_6" edges="-gneE80.0 -gneE80.17 -gneE41 gneE44 -388756838#2 -388756838#1 -388756838#0 42706817#0 386547310 gneE69 -388756838#2 -388756838#1 -388756838#0 -388756839#1 -388756839#0 -194358837#2 -194358837#0 194358838#0 194358838#1 194358838#2 194358838#3 387422145#0 387422145#3 386995499#0 386995499#2 -51155368#13 -51155368#10 -51155368#7 121319040#0 121319040#1 386995507#0 386995507#1 386995507#2 386995507#3 12182281#7 42706837#0 42706837#1 42706837#2 42706837#3 43357814#2 43357814#3 386995526#0 386995526#1 -51050425#4 -51050425#3 -51050425#2 12162659#0 12162659#1 -12175537#4 -12175537#3 -12175537#2 -12175537#1 -50033059#3 -50033059#2 -386995514#7 -12199713#2 12177498 42706833#2 51155368#0 -50033558#5 -50033558#3 -50033558#2 -62105579 -32121234#1 -32121234#0 42706874#0 42706874#2 55179414#0 55179413#0 424769182 -450827405#2 -450827400#2 -450827382 -450827385#1 -450827391#1 -450827381 -450827397#1 12180696#0 59435515#1 59435515#2 59435515#3 59435515#4 424801338#1 12117702#0 12117702#4 12117702#7 -32121146#3 -32121146#1 -424769197#2 12144152#0 12144152#2 12144152#4 12144152#6 12157151#0 12166276#2 -32121146#5 12117702#9 450844953#0 450844953#2 450844953#3 450844947#0 388533142#0 388533142#2 12189045#0 62623987#0 62623987#1 -12142631 12202018 62623986#1 62623986#2 -12189051#1 -262962063 -424080764 -424080768#1 -424080766 -104526265#1 30953497#0 30953497#2 30953497#3 42706585#0 42706585#1 30953320 30953320-AddedOffRampEdge 104526277 30953215#1-AddedOnRampEdge 30953215#1 121643865#0 121643865#1 145605511#1-AddedOnRampEdge 145605511#12 145605511#1.148" probability="0.037037037037037"/&gt;</t>
  </si>
  <si>
    <t xml:space="preserve">    &lt;route id="Router3_19" edges="-gneE80.0 -gneE80.17 -gneE41 gneE44 -388756838#2 -388756838#1 -388756838#0 42706817#0 386547310 gneE69 -388756838#2 -388756838#1 -388756838#0 -388756839#1 -388756839#0 -194358837#2 -194358837#0 194358838#0 194358838#1 194358838#2 194358838#3 387422145#0 387422145#3 386995499#0 386995499#2 42706831#0 42706831#4 42706831#5 42706831#6 42706874#0 42706874#2 -424080769#1 -424769177 -386547298#1 -424080767#1 -424080771#1 -386547297#1 -424080772#2 -424080772#1 -424080761#1 -62623960 62623959#0 386547296#0 386547296#1 424080773#0 -424080768#1 -424080766 -104526265#1 30953497#0 30953497#2 30953497#3 42706585#0 42706585#1 30953320 30953320-AddedOffRampEdge 104526277 30953215#1-AddedOnRampEdge 30953215#1 121643865#0 12110705 50715233#0 50715233#0-AddedOffRampEdge 50715233#1.0 62203285#14.24 30908387 30908366#1-AddedOnRampEdge 30908366#1 121643863 121643862 51758697#0 51758697#1-AddedOnRampEdge 51758697#1 -gneE46.0 43357850.4841.18 gneE46 49887339#0.596 49887339#0-AddedOffRampEdge 49887339#1 49887339#1-AddedOffRampEdge 104524021 104524021-AddedOffRampEdge 50192637#0 50192637#1-AddedOnRampEdge 50192637#1.0.0 50192637#1.0.382.0.0 50192637#1.697 50192637#1-AddedOffRampEdge 30953181#1 30953181#2-AddedOnRampEdge 30953181#2 30953181#3-AddedOnRampEdge 30953181#3 30953181#3-AddedOffRampEdge 30952933#1.0 30952933#1.199" probability="0.037037037037037"/&gt;</t>
  </si>
  <si>
    <t xml:space="preserve">    &lt;route id="Router3_20" edges="-gneE80.0 -gneE80.17 -gneE41 gneE44 -388756838#2 -388756838#1 -388756838#0 42706817#0 386547310 gneE69 -388756838#2 -388756838#1 -388756838#0 -388756839#1 -388756839#0 -194358837#2 -194358837#0 194358838#0 194358838#1 194358838#2 386995479#2 310315797#2 12185366#9 387422145#0 -12157718#6 -12157718#4 -12157718#3 -12157718#2 -12157718#1 -12199713#4 -386995514#6 -386995514#5 -386995514#4 -386995514#3 -386995514#2 -386995514#1 12159500#1 12159500#2 51050030#7 gneE35 -gneE34.0 --gneE83.0" probability="0.037037037037037"/&gt;</t>
  </si>
  <si>
    <t xml:space="preserve">    &lt;route id="Router3_21" edges="-gneE80.0 -gneE80.17 -gneE41 gneE44 -388756838#2 -388756838#1 -388756838#0 42706817#0 386547310 gneE69 -388756838#2 -388756838#1 -388756838#0 -388756839#1 -388756839#0 -194358837#2 -194358837#0 194358838#0 194358838#1 194358838#2 386995479#2 310315797#2 12185366#9 387422145#0 -12157718#6 -12157718#4 -12157718#3 -12157718#2 -12157718#1 -12199713#4 386995514#7 -50033059#1 -50033558#8 -51155368#3 121319046 12188656 -50033558#2 12203859#0 12203859#1 42706831#4 42706831#5 42706831#6 42706874#0 42706874#2 12144152#0 12144152#2 450844953#0 450844953#2 450844953#3 450844947#0 388533142#0 388533142#2 388533142#4 62623926#0 62623926#1 450844950#0 12189453#0.0.0 450844982#0.19 62203497#0 62203497#2 62203497#3 12134479#1 34685684#0 34685684#2 388533143#0 388533143#2 12140627#0 63060729#0 -264253834#2 12156992#4 12156992#5 12156992#6 12156992#7 12156992#8 12156992#9 -12114396#5 -12114396#3 -12114396#1 485017383#0 485017382#0 485017382#1 211575484#0 -12177521#3 -12177521#2 -12177521#1 32121111#12 32121111#14 -12187610#5 -12187610#2 -12187610#1 12150608#0 32121146#2 12117702#9 450844953#0 450844953#2 450844953#3 450844947#0 388533142#0 388533142#2 388533142#4 62623926#0 62623926#1 450844950#0 38502259#0.19 450844933#1 196207110#0 196207110#2" probability="0.037037037037037"/&gt;</t>
  </si>
  <si>
    <t xml:space="preserve">    &lt;route id="Router3_23" edges="-gneE80.0 -gneE80.17 -gneE41 gneE44 -388756838#2 -388756838#1 -388756838#0 42706817#0 386547310 gneE69 -388756838#2 -388756838#1 -388756838#0 -388756839#1 -388756839#0 -194358837#2 -194358837#0 194358838#0 194358838#1 32121111#9 32121111#10 -386995486#0 -386995514#9 50033058#2 50033058#3 194358837#0 194358837#1 12175533#0 12175533#2 12175533#3 42706825#4 42706825#5 12189876#0 12189876#2 484953509#0 484953509#2 -12175523#1 12134222#0 12134222#2 12134222#3 386547311#11 386547311#13 357338496#0 357338496#2 450695461#0 62646494#0 424801336#0 484842168#0 283621820 -28555309#1 -424801341 -283621822#1 -424801343#1 -424801343#0 49991658 424801340 424801342 386550018#0 386550018#0-AddedOffRampEdge 386550018#1 49991638 -12144161#0 12144161#0 12144161#1 49991657 283621821#1 283621821#1-AddedOffRampEdge 12122485 49991647#2 63060732#0 63060732#1 63060732#2.0 273888488.10 -12122468#1 -12122468#0 -424081469 -424081473 -424081472 -424987520 -30953029#1 -30953029#0 -424987519 170366765 12173391 12123285#0 12123285#1 12123285#2 12176631 424804090#0 424804090#1 12198567#0 12198567#1 12198567#2 12198567#3 12171853#3 12171853#4 12171853#5 12171853#6 132508920#8 132508920#9 132508920#10 132508920#12 132508983#0 132508983#3 132508983#5 132508740#0 132508740#2 -12165829#1 132508646#0 132508646#2 132508646#3 394179820#0 394179820#1 394179820#2 394179820#3 450844975 450844970#0 196355332#0 450844979#0.0 450844982#0.19 62203497#0 62203497#2 62203497#3 12134479#1 34685684#0 34685684#2 388533143#0 388533143#2 12140627#0 63060729#0 -264253834#2 12156992#4 12156992#5 12156992#6 12156992#7 12156992#8 12156992#9 -12114396#5 -12114396#3 -12114396#1 485017383#0 485017382#0 485017382#1 211575484#0 -12177521#3 -12177521#2 -12177521#1 32121111#12 32121111#14 -12187610#5 -12187610#2 -12187610#1 12150608#0 32121146#2 12117702#9 450844953#0 450844953#2 450844953#3 450844947#0 388533142#0 388533142#2 388533142#4 62623926#0 62623926#1 450844950#0 38502259#0.19 450844933#1 196207110#0 196207110#2" probability="0.037037037037037"/&gt;</t>
  </si>
  <si>
    <t xml:space="preserve">    &lt;route id="Router3_24" edges="-gneE80.0 -gneE80.17 -gneE41 gneE44 -388756838#2 -388756838#1 -388756838#0 42706817#0 386547310 gneE69 -388756838#2 -388756838#1 -388756838#0 -388756839#1 -388756839#0 -194358837#2 -194358837#0 194358838#0 194358838#1 32121111#9 32121111#10 -386995486#0 -386995514#9 50033058#2 50033058#3 194358837#0 194358837#1 12175533#0 12175533#2 12175533#3 42706825#4 42706825#5 12189876#0 12189876#2 484953509#0 484953509#2 -12175523#1 12134222#0 12134222#2 12134222#3 386547311#11 386547311#13 357338496#0 357338496#2 450695461#0 62646494#0 424801336#0 484842168#0 283621820 -28555309#1 -424801341 -283621822#1 -424801343#1 -424801343#0 49991658 424801340 424801342 386550018#0 386550018#0-AddedOffRampEdge 386550018#1 49991638 -12144161#0 12144161#0 12144161#1 49991657 283621821#1 283621821#1-AddedOffRampEdge 12122485 49991647#2 63060732#0 63060732#1 63060732#2.0 273888488.10 -12122468#1 -12122468#0 -424081469 -424081473 -424081472 -424987520 -30953029#1 -30953029#0 -424987519 170366765 12173391 12123285#0 170366766 -170366765 170366768 30953029#0 30953029#1 424987520 424081472 424081473 424081470 12122468#0 12122468#1 273888485.0 50033027 -50033029 50033050#0 50033055 63060727 50033029 50033028#0 50033028#3 50033028#5 50033028#6 49991646 386547300#0 283621823 386547301-AddedOnRampEdge 386547301 424801344#0 424801343#1 283621822#0 424801341 28555309#0 49991649#0 424986163#0 51049946#0 424801337#0 357338497#0 357338497#2 450695460#0 62646499#0 62646499#2 450827424#0 62646508#0 62646508#2 424799820 424799823#0 50033059#0 50033059#2 50033059#3 50033059#4 388756839#0 388756839#1 388756838#0 12136923#0 386547309#0 386547309#2 386547309#3 386547309#5 386547309#7 51050030#4 51050030#7 gneE35 -gneE34.0 --gneE83.0" probability="0.037037037037037"/&gt;</t>
  </si>
  <si>
    <t xml:space="preserve">    &lt;route id="Router3_25" edges="-gneE80.0 -gneE80.17 -gneE41 gneE44 -388756838#2 -388756838#1 -388756838#0 42706817#0 386547310 gneE69 -388756838#2 -388756838#1 -388756838#0 -388756839#1 -388756839#0 -194358837#2 -194358837#0 194358838#0 194358838#1 32121111#9 32121111#10 -386995486#0 -386995514#9 50033058#2 50033058#3 194358837#0 194358837#1 12175533#0 12175533#2 12175533#3 42706825#4 42706825#5 12189876#0 12189876#2 484953509#0 484953509#2 -12175523#1 12134222#0 12134222#2 12134222#3 386547311#11 386547311#13 357338496#0 357338496#2 450695461#0 62646494#0 424801336#0 484842168#0 283621820 -28555309#1 -424801341 -283621822#1 -424801343#1 -424801343#0 49991658 424801340 424801342 386550018#0 386550018#0-AddedOffRampEdge 386550018#1 49991638 -12144161#0 12144161#0 12144161#1 49991657 283621821#1 283621821#1-AddedOffRampEdge 283621821#2 49991647#1 49991647#2 63060732#0 63060732#1 63060732#2.0 63060732#2.116 50033027 -50033029 50033050#0 50033050#2 424799828 424799825 424799826 -12168663#6 -484953513#2 484842168#0 283621820 -28555309#1 -424801341 -283621822#1 -424801343#1 -424801343#0 49991658 424801340 424801342 386550018#0 386550018#0-AddedOffRampEdge 386550018#1 49991638 -12144161#0 12144161#0 12144161#1 49991657 283621821#1 283621821#1-AddedOffRampEdge 12122485 49991647#2 63060732#0 63060732#1 63060732#2.0 273888488.10 -12122468#1 -12122468#0 -424081469 -424081473 -424081472 -424987520 -30953029#1 -30953029#0 -424987519 170366765 12173391 12123285#0 170366766 -170366765 170366768 30953029#0 30953029#1 424987520 424081472 424081473 424081470 12122468#0 12122468#1 273888485.0 50033027 -50033029 50033050#0 50033055 63060727 50033029 50033028#0 50033028#3 50033028#5 50033028#6 49991646 386547300#0 283621823 386547301-AddedOnRampEdge 386547301 424801344#0 424801343#1 283621822#0 424801341 28555309#0 49991649#0 424986163#0 51049946#0 424801337#0 357338497#0 357338497#2 450695460#0 62646499#0 62646499#2 450827424#0 62646508#0 62646508#2 424799820 424799823#0 50033059#0 50033059#2 50033059#3 50033059#4 388756839#0 388756839#1 388756838#0 12136923#0 386547309#0 386547309#2 386547309#3 386547309#5 386547309#7 51050030#4 51050030#7 gneE35 -gneE34.0 --gneE83.0" probability="0.037037037037037"/&gt;</t>
  </si>
  <si>
    <t xml:space="preserve">    &lt;route id="Router3_26" edges="-gneE80.0 -gneE80.17 -gneE41 gneE44 -388756838#2 -388756838#1 -388756838#0 42706817#0 386547310 gneE69 -388756838#2 -388756838#1 -388756838#0 -388756839#1 -388756839#0 -194358837#2 -194358837#0 194358838#0 194358838#1 32121111#9 32121111#10 -386995486#0 -386995514#9 50033058#2 50033058#3 194358837#0 194358837#1 12175533#0 12175533#2 12175533#3 42706825#4 42706825#5 12189876#0 12189876#2 484953509#0 484953509#2 -12175523#1 12134222#0 12134222#2 12134222#3 386547311#11 386547311#13 357338496#0 357338496#2 450695461#0 62646494#0 424801336#0 484842168#0 283621820 -28555309#1 -424801341 -283621822#1 -424801343#1 -424801343#0 49991658 424801340 424801342 386550018#0 386550018#0-AddedOffRampEdge 386550018#1 49991638 -12144161#0 12144161#0 12144161#1 49991657 283621821#1 283621821#1-AddedOffRampEdge 283621821#2 49991647#1 49991647#2 63060732#0 63060732#1 63060732#2.0 63060732#2.116 50033027 -50033029 50033050#0 50033050#2 424799828 424799825 424799826 50033054 63060727 50033029 50033028#0 50033028#3 50033028#5 50033028#6 49991646 386547300#0 283621823 386547301-AddedOnRampEdge 386547301 424801344#0 424801343#1 283621822#0 424801341 28555309#0 49991649#0 424986163#0 51049946#0 424801337#0 357338497#0 357338497#2 450695460#0 62646499#0 62646499#2 450827424#0 62646508#0 62646508#2 424799820 424799823#0 50033059#0 50033059#2 50033059#3 50033059#4 388756839#0 388756839#1 388756838#0 12136923#0 386547309#0 386547309#2 386547309#3 386547309#5 386547309#7 51050030#4 51050030#7 gneE35 -gneE34.0 --gneE83.0" probability="0.037037037037037"/&gt;</t>
  </si>
  <si>
    <t xml:space="preserve">    &lt;route id="Router3_33" edges="-gneE80.0 -gneE80.17 -gneE41 gneE44 -388756838#2 -388756838#1 -388756838#0 42706817#0 386547310 gneE69 -gneE44 gneE41 254666172#0 387422153#0 387422153#1 gneE73 gneE75.0 -gneE80.17 -gneE41 gneE44 -388756838#2 -388756838#1 -388756838#0 42706817#0 386547310 gneE69 -388756838#2 -388756838#1 -388756838#0 -388756839#1 -388756839#0 -194358837#2 -194358837#0 194358838#0 194358838#1 194358838#2 386995479#2 310315797#2 12185366#9 387422145#0 -12157718#6 -12157718#4 -12157718#3 -12157718#2 -12157718#1 -12199713#4 -386995514#6 -386995514#5 -386995514#4 -386995514#3 -386995514#2 -386995514#1 12159500#1 12159500#2 51050030#7 gneE35 -gneE34.0 --gneE83.0" probability="0.037037037037037"/&gt;</t>
  </si>
  <si>
    <t>&lt;routeDistribution id="34th-Market-to-Chesnut-SB-2014-RouteProbe"&gt;</t>
  </si>
  <si>
    <t xml:space="preserve">    &lt;route id="Router3_6" edges="-gneE80.0 -gneE80.17 -gneE41 gneE44 -388756838#2 -388756838#1 -388756838#0 42706817#0 386547310 gneE69 -388756838#2 -388756838#1 -388756838#0 -388756839#1 -388756839#0 -194358837#2 -194358837#0 194358838#0 194358838#1 194358838#2 194358838#3 387422145#0 387422145#3 386995499#0 386995499#2 -51155368#13 -51155368#10 -51155368#7 121319040#0 121319040#1 386995507#0 386995507#1 386995507#2 386995507#3 12182281#7 42706837#0 42706837#1 42706837#2 42706837#3 43357814#2 43357814#3 386995526#0 386995526#1 -51050425#4 -51050425#3 -51050425#2 12162659#0 12162659#1 -12175537#4 -12175537#3 -12175537#2 -12175537#1 -50033059#3 -50033059#2 -386995514#7 -12199713#2 12177498 42706833#2 51155368#0 -50033558#5 -50033558#3 -50033558#2 -62105579 -32121234#1 -32121234#0 42706874#0 42706874#2 55179414#0 55179413#0 424769182 -450827405#2 -450827400#2 -450827382 -450827385#1 -450827391#1 -450827381 -450827397#1 12180696#0 59435515#1 59435515#2 59435515#3 59435515#4 424801338#1 12117702#0 12117702#4 12117702#7 -32121146#3 -32121146#1 -424769197#2 12144152#0 12144152#2 12144152#4 12144152#6 12157151#0 12166276#2 -32121146#5 12117702#9 450844953#0 450844953#2 450844953#3 450844947#0 388533142#0 388533142#2 12189045#0 62623987#0 62623987#1 -12142631 12202018 62623986#1 62623986#2 -12189051#1 -262962063 -424080764 -424080768#1 -424080766 -104526265#1 30953497#0 30953497#2 30953497#3 42706585#0 42706585#1 30953320 30953320-AddedOffRampEdge 104526277 30953215#1-AddedOnRampEdge 30953215#1 121643865#0 121643865#1 145605511#1-AddedOnRampEdge 145605511#12 145605511#1.148" probability="0.0666666666666667"/&gt;</t>
  </si>
  <si>
    <t xml:space="preserve">    &lt;route id="Router3_13" edges="-gneE80.0 -gneE80.17 -gneE41 gneE44 -388756838#2 -388756838#1 -388756838#0 42706817#0 386547310 gneE69 -388756838#2 -388756838#1 -388756838#0 -388756839#1 -388756839#0 -194358837#2 -194358837#0 194358838#0 194358838#1 194358838#2 194358838#3 387422145#0 387422145#3 386995499#0 386995499#2 -51155368#13 -51155368#10 -51155368#7 121319040#0 121319040#1 386995507#0 386995507#1 386995507#2 386995507#3 12182281#7 42706837#0 42706837#1 42706837#2 42706837#3 43357814#2 43357814#3 386995526#0 386995526#1 -51050425#4 -51050425#3 -51050425#2 12162659#0 12162659#1 -12175537#4 -12175537#3 -12175537#2 -12175537#1 -50033059#3 -50033059#2 -386995514#7 -12199713#2 12177498 42706833#2 51155368#0 -50033558#5 -50033558#3 -50033558#2 -62105579 -32121234#1 -32121234#0 42706874#0 42706874#2 55179414#0 55179413#0 424769182 -450827405#2 -450827400#2 -450827382 -450827385#1 -450827391#1 -450827381 -450827397#1 12180696#0 59435515#1 59435515#2 59435515#3 59435515#4 424801338#1 12117702#0 12117702#4 12117702#7 -32121146#3 12202008#2.0 12202008#2.171 62646499#2 450827424#0 450827405#0 262962062 -55179413#2 12187610#0 12187610#2 12187610#3 -62105579 12186909#0 12186909#1 12186909#2 51155368#11 42706831#0 42706831#4 42706831#5 42706831#6 32121234#0 32121234#1 32121234#2 50033558#2 50033558#3 50033558#4 50033558#6 50033058#0 386995514#9 386995486#0 32121111#11 -12177521#0 -121319040#0 -51155368#5 -50033558#5 -50033558#3 -12188656 -121319046 -42706825#7 -42706825#4 -42706825#3 -42706825#1 -484953510#2 -484953510#1 -484953510#0 gneE37 gneE38 -12159761#2 -12159761#1 -12159761#0 12114363#0 12114363#1 -50033059#4 12175537#0 12175537#2 12175537#3 12175537#4 12162659#2 12159485 12161358#7 12161358#8 386995507#6 386995507#7 386995521#0 386995521#1 12154359#3 12154359#4 12154359#5 12154359#6 12154359#7 101350669 -386995537 -386995526#1 -386995526#0 -43357814#3 -43357814#2 42706837#4 42706837#5 42706837#6 42706837#7 42706837#8 42706837#9 12172918#0 12172918#1 12172918#2 gneE73 gneE75.0 gneE80.125" probability="0.0666666666666667"/&gt;</t>
  </si>
  <si>
    <t xml:space="preserve">    &lt;route id="Router3_21" edges="-gneE80.0 -gneE80.17 -gneE41 gneE44 -388756838#2 -388756838#1 -388756838#0 42706817#0 386547310 gneE69 -388756838#2 -388756838#1 -388756838#0 -388756839#1 -388756839#0 -194358837#2 -194358837#0 194358838#0 194358838#1 194358838#2 386995479#2 310315797#2 12185366#9 387422145#0 -12157718#6 -12157718#4 -12157718#3 -12157718#2 -12157718#1 -12199713#4 386995514#7 -50033059#1 -50033558#8 -51155368#3 121319046 12188656 -50033558#2 12203859#0 12203859#1 42706831#4 42706831#5 42706831#6 42706874#0 42706874#2 12144152#0 12144152#2 450844953#0 450844953#2 450844953#3 450844947#0 388533142#0 388533142#2 388533142#4 62623926#0 62623926#1 450844950#0 12189453#0.0.0 450844982#0.19 62203497#0 62203497#2 62203497#3 12134479#1 34685684#0 34685684#2 388533143#0 388533143#2 12140627#0 63060729#0 -264253834#2 12156992#4 12156992#5 12156992#6 12156992#7 12156992#8 12156992#9 -12114396#5 -12114396#3 -12114396#1 485017383#0 485017382#0 485017382#1 211575484#0 -12177521#3 -12177521#2 -12177521#1 32121111#12 32121111#14 -12187610#5 -12187610#2 -12187610#1 12150608#0 32121146#2 12117702#9 450844953#0 450844953#2 450844953#3 450844947#0 388533142#0 388533142#2 388533142#4 62623926#0 62623926#1 450844950#0 38502259#0.19 450844933#1 196207110#0 196207110#2" probability="0.0666666666666667"/&gt;</t>
  </si>
  <si>
    <t xml:space="preserve">    &lt;route id="Router3_71" edges="31909473.0 31909473.857 62634019#1-AddedOnRampEdge 62634019#1 30953036 424081476 424081472 424081473 424081470 30953025#0 30953025#2 30953025#3 30953025#4 50033060#0 12134479#5 450844973#0 388533144#0 388533144#6 388533144#11 450695475#0 137364609#0 137364609#3 137364609#5 450695473#0 386547305#0 gneE23 -gneE20.0 -gneE21.54 -gneE21.0 59435515#0 59435515#1 59435515#2 59435515#3 59435515#4 424801338#1 12117702#0 12117702#4 12117702#7 -32121146#3 -32121146#1 -424769197#2 12144152#0 12144152#2 12144152#4 12144152#6 12157151#0 12166276#2 -32121146#5 12117702#9 450844953#0 450844953#2 450844953#3 450844947#0 388533142#0 388533142#2 12189045#0 62623987#0 62623987#1 -12142631 12202018 62623986#1 62623986#2 -12189051#1 -262962063 -424080764 -424080768#1 -424080766 -104526265#1 30953497#0 30953497#2 30953497#3 42706585#0 42706585#1 30953320 30953320-AddedOffRampEdge 104526277 30953215#1-AddedOnRampEdge 30953215#1 121643865#0 12110705 50715233#0 50715233#0-AddedOffRampEdge 50715233#1.0 62203285#14.24 30908387 30908366#1-AddedOnRampEdge 30908366#1 121643863 121643862 51758697#0 51758697#1-AddedOnRampEdge 51758697#1 -gneE46.0 43357850.4841.18 gneE46 49887339#0.596 49887339#0-AddedOffRampEdge 49887339#1 49887339#1-AddedOffRampEdge 104524021 104524021-AddedOffRampEdge 50192637#0 50192637#1-AddedOnRampEdge 50192637#1.0.0 50192637#1.0.382.0.0 50192637#1.697 50192637#1-AddedOffRampEdge 30953181#1 30953181#2-AddedOnRampEdge 30953181#2 30953181#3-AddedOnRampEdge 30953181#3 30953181#3-AddedOffRampEdge 30952933#1.0 30952933#1.199" probability="0.0666666666666667"/&gt;</t>
  </si>
  <si>
    <t xml:space="preserve">    &lt;route id="Router3_112" edges="31909473.0 31909473.857 62634019#1-AddedOnRampEdge 62634019#1 62634019#2.0 62634019#2.242 62634019#3-AddedOnRampEdge 62634019#3 62634019#3-AddedOffRampEdge 30953251#1.0 30953251#1-AddedOffRampEdge 12112003 30953215#1-AddedOnRampEdge 30953215#1 121643865#0 12110705 50715233#0 50715233#0-AddedOffRampEdge 50715233#1.0 62203285#14.24 gneE59.30.0.55 gneE59.30.0.0 gneE59.0.0 gneE59.0.12 62203360#0 12159135 12149408#0 49914077 424767578 43569819 387422128#1 43569827#0 43569827#1 43569827#2 43569827#7 43569848 30953391 424769002 424769005 424769006 424769004 30953396#1 -424769003#1 -424769003#0 -485017374 42706828#0 42706828#2 12182281#0 12182281#3 12182281#5 12182281#6 386995507#4 386995507#5 386995507#6 12152013#1 12152013#2 -12175537#6 -12175537#5 -12175537#4 12182281#9 12182281#10 -388756839#1 -388756839#0 -50033059#4 -50033059#3 -50033059#2 -50033059#1 -50033558#8 -51155368#3 121319046 12188656 -50033558#2 12203859#0 12203859#1 42706831#4 42706831#5 42706831#6 42706874#0 42706874#2 12144152#0 12144152#2 450844953#0 450844953#2 450844953#3 450844947#0 388533142#0 388533142#2 388533142#4 62623926#0 62623926#1 450844950#0 12189453#0.0.0 450844982#0.19 62203497#0 62203497#2 62203497#3 12134479#1 34685684#0 34685684#2 388533143#0 388533143#2 12140627#0 63060729#0 -264253834#2 12156992#4 12156992#5 12156992#6 12156992#7 12156992#8 12156992#9 -12114396#5 -12114396#3 -12114396#1 485017383#0 485017382#0 485017382#1 211575484#0 -12177521#3 -12177521#2 -12177521#1 32121111#12 32121111#14 -12187610#5 -12187610#2 -12187610#1 12150608#0 32121146#2 12117702#9 450844953#0 450844953#2 450844953#3 450844947#0 388533142#0 388533142#2 388533142#4 62623926#0 62623926#1 450844950#0 38502259#0.19 450844933#1 196207110#0 196207110#2" probability="0.0666666666666667"/&gt;</t>
  </si>
  <si>
    <t xml:space="preserve">    &lt;route id="Router3_117" edges="31909473.0 31909473.857 62634019#1-AddedOnRampEdge 62634019#1 62634019#2.0 62634019#2.242 62634019#3-AddedOnRampEdge 62634019#3 62634019#3-AddedOffRampEdge 30953251#1.0 30953251#1-AddedOffRampEdge 12112003 30953215#1-AddedOnRampEdge 30953215#1 121643865#0 12110705 50715233#0 50715233#0-AddedOffRampEdge 50715233#1.0 62203285#14.24 gneE59.30.0.55 gneE59.30.0.0 gneE59.0.0 gneE59.0.12 62203360#0 291433361#0 132508433.0 -gneE6.0 gneE81.299.0 gneE81.299.79 gneE81.299.145 -gneE8 12154353#0 196393941#1 196393941#2 28533986 43539369#2 12178843#2 12178843#3 49960982#2 43569828#0 387422128#1 43569827#0 43569827#1 43569827#2 43569827#7 43569848 30953391 424769002 424769005 424769006 424769004 30953396#1 387422132#0 387422132#1 486653633#0 484953506#3 484953506#4 12157002#0 12157002#1 12157002#3 12157002#5 12114396#4 -12156992#10 -12156992#8 -12156992#7 -12156992#6 -12156992#5 -12156992#4 -12156992#3 -12156992#2 -12156992#1 -386547297#1 -424080772#2 -424080772#1 -262962065#1 -262962063 -424080764 -424080768#1 -424080766 -104526265#1 30953497#0 30953497#2 30953497#3 42706585#0 42706585#1 30953320 30953320-AddedOffRampEdge 104526277 30953215#1-AddedOnRampEdge 30953215#1 121643865#0 12110705 50715233#0 50715233#0-AddedOffRampEdge 50715233#1.0 62203285#14.24 gneE59.30.0.55 gneE59.30.0.0 gneE59.0.0 gneE59.0.12 62203360#0 12159135 12149408#0 49914077 424767578 43569819 387422128#1 43569827#0 43569827#1 43569827#2 43569827#7 43569848 30953391 424769002 424769005 424769006 424769004 30953396#1 -424769003#1 -424769003#0 -485017374 42706828#0 42706828#2 12182281#0 12182281#3 12182281#5 12182281#6 386995507#4 386995507#5 386995507#6 12152013#1 12152013#2 -12175537#6 -12175537#5 -12175537#4 12182281#9 12182281#10 -388756839#1 -388756839#0 -50033059#4 -50033059#3 -50033059#2 -50033059#1 -50033558#8 -51155368#3 121319046 12188656 -50033558#2 12203859#0 12203859#1 42706831#4 42706831#5 42706831#6 42706874#0 42706874#2 12144152#0 12144152#2 450844953#0 450844953#2 450844953#3 450844947#0 388533142#0 388533142#2 388533142#4 62623926#0 62623926#1 450844950#0 12189453#0.0.0 450844982#0.19 62203497#0 62203497#2 62203497#3 12134479#1 34685684#0 34685684#2 388533143#0 388533143#2 12140627#0 63060729#0 -264253834#2 12156992#4 12156992#5 12156992#6 12156992#7 12156992#8 12156992#9 -12114396#5 -12114396#3 -12114396#1 485017383#0 485017382#0 485017382#1 211575484#0 -12177521#3 -12177521#2 -12177521#1 32121111#12 32121111#14 -12187610#5 -12187610#2 -12187610#1 12150608#0 32121146#2 12117702#9 450844953#0 450844953#2 450844953#3 450844947#0 388533142#0 388533142#2 388533142#4 62623926#0 62623926#1 450844950#0 38502259#0.19 450844933#1 196207110#0 196207110#2" probability="0.0666666666666667"/&gt;</t>
  </si>
  <si>
    <t xml:space="preserve">    &lt;route id="Router3_2" edges="-gneE80.0 -gneE80.17 -gneE41 gneE44 -388756838#2 -388756838#1 -388756838#0 42706817#0 386547310 gneE69 -388756838#2 -388756838#1 -388756838#0 -388756839#1 -388756839#0 -194358837#2 -194358837#0 194358838#0 194358838#1 194358838#2 194358838#3 387422145#0 387422145#3 386995499#0 386995499#2 -51155368#13 -51155368#10 -51155368#7 121319040#0 121319040#1 386995507#0 386995507#1 386995507#2 386995507#3 12182281#7 42706837#0 42706837#1 42706837#2 42706837#3 43357814#2 43357814#3 386995526#0 386995526#1 -51050425#4 -51050425#3 -51050425#2 12162659#0 12162659#1 -12175537#4 -12175537#3 -12175537#2 -12175537#1 -50033059#3 -50033059#2 -386995514#7 -12199713#2 12177498 42706833#2 51155368#0 -50033558#5 -50033558#3 -50033558#2 -62105579 -32121234#1 -32121234#0 42706874#0 42706874#2 55179414#0 55179413#0 424769182 -450827405#2 -450827400#2 -450827382 -450827385#1 -450827391#1 -450827381 -450827397#1 12180696#0 59435515#1 59435515#2 59435515#3 59435515#4 424801338#1 12117702#0 12117702#4 12117702#7 -32121146#3 12202008#2.0 12202008#2.171 62646499#2 450827424#0 450827405#0 262962062 -55179413#2 12187610#0 60185970#0 60185970#2 12149571#1 12187610#3 50033558#2 50033558#3 50033558#4 50033558#6 42706833#0 42706833#2 12189876#0 12189876#2 484953508#1 60185970#0 60185970#2 12149571#1 12187610#3 50033558#2 -12188656 -121319046 -42706825#7 12199713#0 12199713#1 -386995514#6 -386995514#5 -386995514#4 -386995514#3 194358817#0 194358817#1 194358817#2 12114363#0 12114363#1 -50033059#4 12175537#0 12175537#2 12175537#3 12175537#4 12175537#5 12175537#6 12175537#7 12175537#8 12175537#9 12175537#10 12175537#11 12175537#12 12155177#1 12155177#2 387422153#1 gneE73 gneE75.0 gneE80.125" probability="0.0666666666666667"/&gt;</t>
  </si>
  <si>
    <t xml:space="preserve">    &lt;route id="Router3_3" edges="-gneE80.0 -gneE80.17 -gneE41 gneE44 -388756838#2 -388756838#1 -388756838#0 -388756839#1 -388756839#0 -194358837#2 -194358837#0 194358838#0 -386995507#1 12157718#3 32121111#10 386995486#1 386995479#0 12157718#5 12157718#7 485017376 485017373#0 387422135#0 424769003#0 424769003#1 -30953396#1 -30953396#0 -424769006 -424769005 -424769002 -30953391 -43569848 -393884751 12159702 424764853 12149178#0 50189796 50189564 12149178#2 145605533#0 145605533#1-AddedOnRampEdge 145605533#1 145605511#1-AddedOnRampEdge 145605511#12 145605511#1.148" probability="0.0666666666666667"/&gt;</t>
  </si>
  <si>
    <t>&lt;routeDistribution id="MARKET-21st-to-22nd-WB-2014-RouteProbe"&gt;</t>
  </si>
  <si>
    <t xml:space="preserve">    &lt;route id="Router3_50" edges="196393940#0 62203285#0 62203285#2 62203285#3 62203285#5 62203285#6 62203285#7 62203285#8 62203285#9 62203285#10 62203285#11 62203285#13 62203285#14.0 62203285#14.24 gneE59.30.0.55 gneE59.30.0.0 43539373#0.0.292.17 gneE58 gneE56 gneE54.0 62203360#0 291433361#0 132508433.0 -gneE6.0 gneE6.0 424765883 43539378#0.15 132508717#5 196393974#0 49914077 424767578 387422130#1 132508717#0 12149210#1 12151897#1 196393941#6 196393941#7 196393941#8 gneE87 196393974#0 388756841#0 49914076#0 12159673#0 12159673#1 393884751 43569848 30953391 12113092 51758697#1-AddedOnRampEdge 51758697#1" probability="0.05"/&gt;</t>
  </si>
  <si>
    <t xml:space="preserve">    &lt;route id="Router3_51" edges="196393940#0 62203285#0 62203285#2 62203285#3 62203285#5 62203285#6 62203285#7 62203285#8 62203285#9 62203285#10 62203285#11 62203285#13 62203285#14.0 62203285#14.24 gneE59.30.0.55 gneE59.30.0.0 gneE59.0.0 gneE59.0.12 62203360#0 291433361#0 132508433.0 -gneE6.0 gneE81.299.0 gneE81.299.79 gneE81.299.145 -gneE8 12154353#0 196393941#1 196393941#2 28533986 43539369#2 12178843#2 12178843#3 49960982#2 43569828#0 387422128#1 43569827#0 43569827#1 43569827#2 43569827#7 43569848 30953391 424769002 424769005 424769006 424769004 30953396#1 387422132#0 387422132#1 486653633#0 484953506#3 484953506#4 12157002#0 12157002#1 12157002#3 12157002#5 12114396#4 -12156992#10 -12156992#8 -12156992#7 -12156992#6 -12156992#5 -12156992#4 -12156992#3 -12156992#2 -12156992#1 -386547297#1 -424080772#2 -424080772#1 -262962065#1 -262962063 -424080764 -424080768#1 -424080766 -104526265#1 30953497#0 30953497#2 30953497#3 42706585#0 42706585#1 30953320 30953320-AddedOffRampEdge 104526277 30953215#1-AddedOnRampEdge 30953215#1 121643865#0 12110705 50715233#0 50715233#0-AddedOffRampEdge 50715233#1.0 62203285#14.24 gneE59.30.0.55 gneE59.30.0.0 43539373#0.0.292.17 gneE58 gneE56 gneE54.0 62203360#0 291433361#0 132508433.0 -gneE6.0 gneE6.0 424765883 43539378#0.15 132508717#5 196393974#0 49914077 424767578 387422130#1 132508717#0 12149210#1 12151897#1 196393941#6 196393941#7 196393941#8 gneE87 196393974#0 388756841#0 49914076#0 12159673#0 12159673#1 393884751 43569848 30953391 12113092 51758697#1-AddedOnRampEdge 51758697#1" probability="0.05"/&gt;</t>
  </si>
  <si>
    <t xml:space="preserve">    &lt;route id="Router3_52" edges="196393940#0 62203285#0 62203285#2 62203285#3 62203285#5 62203285#6 62203285#7 62203285#8 62203285#9 62203285#10 62203285#11 62203285#13 62203285#14.0 62203285#14.24 gneE59.30.0.55 gneE59.30.0.0 gneE59.0.0 gneE59.0.12 62203360#0 291433361#0 132508433.0 -gneE6.0 gneE81.299.0 gneE81.299.79 gneE81.299.145 -gneE8 12154353#0 196393941#1 196393941#2 28533986 43539369#2 12178843#2 12178843#3 49960982#2 43569828#0 387422128#1 43569827#0 43569827#1 43569827#2 43569827#7 43569848 30953391 424769002 424769005 424769006 424769004 30953396#1 387422132#0 387422132#1 486653633#0 484953506#3 484953506#4 12157002#0 12157002#1 12157002#3 12157002#5 12114396#4 -12156992#10 -12156992#8 -12156992#7 -12156992#6 -12156992#5 -12156992#4 -12156992#3 -12156992#2 -12156992#1 -386547297#1 -424080772#2 -424080772#1 -262962065#1 -262962063 -424080764 -424080768#1 -424080766 -104526265#1 30953497#0 30953497#2 30953497#3 42706585#0 42706585#1 30953320 30953320-AddedOffRampEdge 104526277 30953215#1-AddedOnRampEdge 30953215#1 121643865#0 12110705 50715233#0 50715233#0-AddedOffRampEdge 50715233#1.0 62203285#14.24 gneE59.30.0.55 gneE59.30.0.0 43539373#0.0.292.17 gneE58 gneE56 gneE54.0 62203360#0 291433361#0 132508433.0 -gneE6.0 gneE6.0 424765883 43570920#0.22 132508717#4 43539378#1 43569848 30953391 12113092 51758697#1-AddedOnRampEdge 51758697#1" probability="0.05"/&gt;</t>
  </si>
  <si>
    <t xml:space="preserve">    &lt;route id="Router3_53" edges="196393940#0 62203285#0 62203285#2 62203285#3 62203285#5 62203285#6 62203285#7 62203285#8 62203285#9 62203285#10 62203285#11 62203285#13 62203285#14.0 62203285#14.24 gneE59.30.0.55 gneE59.30.0.0 gneE59.0.0 gneE59.0.12 62203360#0 291433361#0 132508433.0 -gneE6.0 gneE81.299.0 gneE81.299.79 gneE81.299.145 -gneE8 12154353#0 196393941#1 196393941#2 28533986 43539369#2 12178843#2 12178843#3 49960982#2 43569828#0 387422128#1 43569827#0 43569827#1 43569827#2 43569827#7 43569848 30953391 424769002 424769005 424769006 424769004 30953396#1 387422132#0 387422132#1 486653633#0 484953506#3 484953506#4 12157002#0 12157002#1 12157002#3 12157002#5 12114396#4 -12156992#10 -12156992#8 -12156992#7 -12156992#6 -12156992#5 -12156992#4 -12156992#3 -12156992#2 -12156992#1 -386547297#1 -424080772#2 -424080772#1 -262962065#1 -262962063 -424080764 -424080768#1 -424080766 -104526265#1 30953497#0 30953497#2 30953497#3 42706585#0 42706585#1 30953320 30953320-AddedOffRampEdge 104526277 30953215#1-AddedOnRampEdge 30953215#1 121643865#0 12110705 50715233#0 50715233#0-AddedOffRampEdge 50715233#1.0 62203285#14.24 gneE59.30.0.55 gneE59.30.0.0 gneE59.0.0 gneE59.0.12 62203360#0 12159135 12149408#0 49914077 424767578 43569819 387422128#1 43569827#0 43569827#1 43569827#2 43569827#7 43569848 30953391 424769002 424769005 424769006 424769004 30953396#1 -424769003#1 -424769003#0 -485017374 42706828#0 42706828#2 12182281#0 12182281#3 12182281#5 12182281#6 386995507#4 386995507#5 386995507#6 12152013#1 12152013#2 -12175537#6 -12175537#5 -12175537#4 12182281#9 12182281#10 -388756839#1 -388756839#0 -50033059#4 -50033059#3 -50033059#2 -50033059#1 42706833#0 42706833#2 12189876#0 12189876#2 484953508#1 60185970#0 60185970#2 12149571#1 12187610#3 50033558#2 -12188656 -121319046 -42706825#7 12199713#0 12199713#1 -386995514#6 -386995514#5 -386995514#4 -386995514#3 194358817#0 194358817#1 194358817#2 12114363#0 12114363#1 -50033059#4 12175537#0 12175537#2 12175537#3 12175537#4 12175537#5 12175537#6 12175537#7 12175537#8 12175537#9 12175537#10 12175537#11 12175537#12 12155177#1 12155177#2 387422153#1 gneE73 gneE75.0 gneE80.125" probability="0.05"/&gt;</t>
  </si>
  <si>
    <t xml:space="preserve">    &lt;route id="Router3_57" edges="196393940#0 62203285#0 62203285#2 62203285#3 62203285#5 62203285#6 62203285#7 62203286#0 62203286#2 12186741#2 12186741#4 12186741#5 -196393940#2 -196393940#0" probability="0.05"/&gt;</t>
  </si>
  <si>
    <t xml:space="preserve">    &lt;route id="Router3_59" edges="196393940#0 62203285#0 62203285#2 62203285#3 62203285#5 62203285#6 62203285#7 62203286#0 62203286#2 59676508#0 -59676508#0 -62203286#2 -62203286#0 62203285#8 62203285#9 62203285#10 62203285#11 62203285#13 62203285#14.0 62203285#14.24 gneE59.30.0.55 gneE59.30.0.0 gneE59.0.0 gneE59.0.12 62203360#0 12159135 12149408#0 49914077 424767578 43569819 387422128#1 43569827#0 43569827#1 43569827#2 43569827#7 43569848 30953391 424769002 424769005 424769006 424769004 30953396#1 -424769003#1 -424769003#0 -485017374 42706828#0 42706828#2 12182281#0 12182281#3 12182281#5 12182281#6 386995507#4 386995507#5 386995507#6 12152013#1 12152013#2 -12175537#6 -12175537#5 -12175537#4 12182281#9 12182281#10 -388756839#1 -388756839#0 -50033059#4 -50033059#3 -50033059#2 -50033059#1 42706833#0 42706833#2 12189876#0 12189876#2 484953508#1 60185970#0 60185970#2 12149571#1 12187610#3 50033558#2 -12188656 -121319046 -42706825#7 12199713#0 12199713#1 -386995514#6 -386995514#5 -386995514#4 -386995514#3 194358817#0 194358817#1 194358817#2 12114363#0 12114363#1 -50033059#4 12175537#0 12175537#2 12175537#3 12175537#4 12175537#5 12175537#6 12175537#7 12175537#8 12175537#9 12175537#10 12175537#11 12175537#12 12155177#1 12155177#2 387422153#1 gneE73 gneE75.0 gneE80.125" probability="0.05"/&gt;</t>
  </si>
  <si>
    <t xml:space="preserve">    &lt;route id="Router3_60" edges="196393940#0 62203285#0 62203285#2 62203285#3 62203285#5 62203285#6 62203285#7 62203286#0 62203286#2 59676508#0 -59676508#0 -62203286#2 -62203286#0 62203285#8 62203285#9 62203285#10 62203285#11 62203285#13 62203285#14.0 62203285#14.24 gneE59.30.0.55 gneE59.30.0.0 gneE59.0.0 gneE59.0.12 62203360#0 12159135 291433360#0 388756841#0 49914076#0 12111949#0 43539384#1.0 424764853 43539372 12167183.0 gneE82 gneE56 gneE54.0 gneE62.13 gneE81.0 gneE6.0 424765883 43539378#0.15 43539378#1 43569848 30953391 12113092 51758697#1-AddedOnRampEdge 51758697#1" probability="0.05"/&gt;</t>
  </si>
  <si>
    <t xml:space="preserve">    &lt;route id="Router3_61" edges="196393940#0 62203285#0 62203285#2 62203285#3 62203285#5 62203285#6 62203285#7 62203286#0 62203286#2 59676508#0 -59676508#0 -62203286#2 -62203286#0 62203285#8 62203285#9 62203285#10 62203285#11 62203285#13 62203285#14.0 62203285#14.24 gneE59.30.0.55 gneE59.30.0.0 gneE59.0.0 gneE59.0.12 62203360#0 291433361#0 132508433.0 -gneE6.0 gneE81.299.0 gneE81.299.79 gneE81.299.145 -gneE8 12154353#0 196393941#1 196393941#2 28533986 43539369#2 12178843#2 12178843#3 49960982#2 43569828#0 387422128#1 43569827#0 43569827#1 43569827#2 43569827#7 43569848 30953391 424769002 424769005 424769006 424769004 30953396#1 387422132#0 387422132#1 486653633#0 484953506#3 484953506#4 12157002#0 12157002#1 12157002#3 12157002#5 12114396#4 -12156992#10 -12156992#8 -12156992#7 -12156992#6 -12156992#5 -12156992#4 -12156992#3 -12156992#2 -12156992#1 -386547297#1 -424080772#2 -424080772#1 -262962065#1 -262962063 -424080764 -424080768#1 -424080766 -104526265#1 30953497#0 30953497#2 30953497#3 42706585#0 42706585#1 30953320 30953320-AddedOffRampEdge 104526277 30953215#1-AddedOnRampEdge 30953215#1 121643865#0 12110705 50715233#0 50715233#0-AddedOffRampEdge 50715233#1.0 62203285#14.24 gneE59.30.0.55 gneE59.30.0.0 43539373#0.0.292.17 gneE58 gneE56 gneE54.0 62203360#0 291433361#0 132508433.0 -gneE6.0 gneE6.0 424765883 43539378#0.15 132508717#5 196393974#0 49914077 424767578 387422130#1 132508717#0 12149210#1 12151897#1 196393941#6 196393941#7 196393941#8 gneE87 196393974#0 388756841#0 49914076#0 12159673#0 12159673#1 393884751 43569848 30953391 12113092 51758697#1-AddedOnRampEdge 51758697#1" probability="0.05"/&gt;</t>
  </si>
  <si>
    <t xml:space="preserve">    &lt;route id="Router3_62" edges="196393940#0 62203285#0 62203285#2 62203285#3 62203285#5 62203285#6 62203285#7 62203286#0 62203286#2 59676508#0 -59676508#0 -62203286#2 -62203286#0 62203285#8 62203285#9 62203285#10 62203285#11 62203285#13 62203285#14.0 62203285#14.24 gneE59.30.0.55 gneE59.30.0.0 gneE59.0.0 gneE59.0.12 62203360#0 291433361#0 132508433.0 -gneE6.0 gneE81.299.0 gneE81.299.79 gneE81.299.145 -gneE8 12154353#0 196393941#1 196393941#2 28533986 43539369#2 12178843#2 12178843#3 49960982#2 43569828#0 387422128#1 43569827#0 43569827#1 43569827#2 43569827#7 43569848 30953391 424769002 424769005 424769006 424769004 30953396#1 387422132#0 387422132#1 486653633#0 484953506#3 484953506#4 12157002#0 12157002#1 12157002#3 12157002#5 12114396#4 -12156992#10 -12156992#8 -12156992#7 -12156992#6 -12156992#5 -12156992#4 -12156992#3 -12156992#2 -12156992#1 -386547297#1 -424080772#2 -424080772#1 -262962065#1 -262962063 -424080764 -424080768#1 -424080766 -104526265#1 30953497#0 30953497#2 35920555#0.0 35920555#0.75 62203066 43331031.0 43331031.436 42706585#0 42706585#1 30953320 30953320-AddedOffRampEdge 30953315 104526276-AddedOnRampEdge 104526276 51758697#0 51758697#1-AddedOnRampEdge 51758697#1" probability="0.05"/&gt;</t>
  </si>
  <si>
    <t xml:space="preserve">    &lt;route id="Router3_3" edges="-gneE80.0 -gneE80.17 -gneE41 gneE44 -388756838#2 -388756838#1 -388756838#0 -388756839#1 -388756839#0 -194358837#2 -194358837#0 194358838#0 -386995507#1 12157718#3 32121111#10 386995486#1 386995479#0 12157718#5 12157718#7 485017376 485017373#0 387422135#0 424769003#0 424769003#1 -30953396#1 -30953396#0 -424769006 -424769005 -424769002 -30953391 -43569848 -393884751 12159702 424764853 12149178#0 50189796 50189564 12149178#2 145605533#0 145605533#1-AddedOnRampEdge 145605533#1 145605511#1-AddedOnRampEdge 145605511#12 145605511#1.148" probability="0.05"/&gt;</t>
  </si>
  <si>
    <t xml:space="preserve">    &lt;route id="Router3_38" edges="195815883#2 195815883#3 394179820#4 196355327#1 196355327#2 196355327#5 -196393940#0" probability="0.05"/&gt;</t>
  </si>
  <si>
    <t>&lt;routeDistribution id="SPGRst-23rd-to-22nd-EB-2014-RouteProbe"&gt;</t>
  </si>
  <si>
    <t xml:space="preserve">    &lt;route id="Router3_52" edges="196393940#0 62203285#0 62203285#2 62203285#3 62203285#5 62203285#6 62203285#7 62203285#8 62203285#9 62203285#10 62203285#11 62203285#13 62203285#14.0 62203285#14.24 gneE59.30.0.55 gneE59.30.0.0 gneE59.0.0 gneE59.0.12 62203360#0 291433361#0 132508433.0 -gneE6.0 gneE81.299.0 gneE81.299.79 gneE81.299.145 -gneE8 12154353#0 196393941#1 196393941#2 28533986 43539369#2 12178843#2 12178843#3 49960982#2 43569828#0 387422128#1 43569827#0 43569827#1 43569827#2 43569827#7 43569848 30953391 424769002 424769005 424769006 424769004 30953396#1 387422132#0 387422132#1 486653633#0 484953506#3 484953506#4 12157002#0 12157002#1 12157002#3 12157002#5 12114396#4 -12156992#10 -12156992#8 -12156992#7 -12156992#6 -12156992#5 -12156992#4 -12156992#3 -12156992#2 -12156992#1 -386547297#1 -424080772#2 -424080772#1 -262962065#1 -262962063 -424080764 -424080768#1 -424080766 -104526265#1 30953497#0 30953497#2 30953497#3 42706585#0 42706585#1 30953320 30953320-AddedOffRampEdge 104526277 30953215#1-AddedOnRampEdge 30953215#1 121643865#0 12110705 50715233#0 50715233#0-AddedOffRampEdge 50715233#1.0 62203285#14.24 gneE59.30.0.55 gneE59.30.0.0 43539373#0.0.292.17 gneE58 gneE56 gneE54.0 62203360#0 291433361#0 132508433.0 -gneE6.0 gneE6.0 424765883 43570920#0.22 132508717#4 43539378#1 43569848 30953391 12113092 51758697#1-AddedOnRampEdge 51758697#1" probability="0.0222222222222222"/&gt;</t>
  </si>
  <si>
    <t xml:space="preserve">    &lt;route id="Router3_53" edges="196393940#0 62203285#0 62203285#2 62203285#3 62203285#5 62203285#6 62203285#7 62203285#8 62203285#9 62203285#10 62203285#11 62203285#13 62203285#14.0 62203285#14.24 gneE59.30.0.55 gneE59.30.0.0 gneE59.0.0 gneE59.0.12 62203360#0 291433361#0 132508433.0 -gneE6.0 gneE81.299.0 gneE81.299.79 gneE81.299.145 -gneE8 12154353#0 196393941#1 196393941#2 28533986 43539369#2 12178843#2 12178843#3 49960982#2 43569828#0 387422128#1 43569827#0 43569827#1 43569827#2 43569827#7 43569848 30953391 424769002 424769005 424769006 424769004 30953396#1 387422132#0 387422132#1 486653633#0 484953506#3 484953506#4 12157002#0 12157002#1 12157002#3 12157002#5 12114396#4 -12156992#10 -12156992#8 -12156992#7 -12156992#6 -12156992#5 -12156992#4 -12156992#3 -12156992#2 -12156992#1 -386547297#1 -424080772#2 -424080772#1 -262962065#1 -262962063 -424080764 -424080768#1 -424080766 -104526265#1 30953497#0 30953497#2 30953497#3 42706585#0 42706585#1 30953320 30953320-AddedOffRampEdge 104526277 30953215#1-AddedOnRampEdge 30953215#1 121643865#0 12110705 50715233#0 50715233#0-AddedOffRampEdge 50715233#1.0 62203285#14.24 gneE59.30.0.55 gneE59.30.0.0 gneE59.0.0 gneE59.0.12 62203360#0 12159135 12149408#0 49914077 424767578 43569819 387422128#1 43569827#0 43569827#1 43569827#2 43569827#7 43569848 30953391 424769002 424769005 424769006 424769004 30953396#1 -424769003#1 -424769003#0 -485017374 42706828#0 42706828#2 12182281#0 12182281#3 12182281#5 12182281#6 386995507#4 386995507#5 386995507#6 12152013#1 12152013#2 -12175537#6 -12175537#5 -12175537#4 12182281#9 12182281#10 -388756839#1 -388756839#0 -50033059#4 -50033059#3 -50033059#2 -50033059#1 42706833#0 42706833#2 12189876#0 12189876#2 484953508#1 60185970#0 60185970#2 12149571#1 12187610#3 50033558#2 -12188656 -121319046 -42706825#7 12199713#0 12199713#1 -386995514#6 -386995514#5 -386995514#4 -386995514#3 194358817#0 194358817#1 194358817#2 12114363#0 12114363#1 -50033059#4 12175537#0 12175537#2 12175537#3 12175537#4 12175537#5 12175537#6 12175537#7 12175537#8 12175537#9 12175537#10 12175537#11 12175537#12 12155177#1 12155177#2 387422153#1 gneE73 gneE75.0 gneE80.125" probability="0.0222222222222222"/&gt;</t>
  </si>
  <si>
    <t xml:space="preserve">    &lt;route id="Router3_61" edges="196393940#0 62203285#0 62203285#2 62203285#3 62203285#5 62203285#6 62203285#7 62203286#0 62203286#2 59676508#0 -59676508#0 -62203286#2 -62203286#0 62203285#8 62203285#9 62203285#10 62203285#11 62203285#13 62203285#14.0 62203285#14.24 gneE59.30.0.55 gneE59.30.0.0 gneE59.0.0 gneE59.0.12 62203360#0 291433361#0 132508433.0 -gneE6.0 gneE81.299.0 gneE81.299.79 gneE81.299.145 -gneE8 12154353#0 196393941#1 196393941#2 28533986 43539369#2 12178843#2 12178843#3 49960982#2 43569828#0 387422128#1 43569827#0 43569827#1 43569827#2 43569827#7 43569848 30953391 424769002 424769005 424769006 424769004 30953396#1 387422132#0 387422132#1 486653633#0 484953506#3 484953506#4 12157002#0 12157002#1 12157002#3 12157002#5 12114396#4 -12156992#10 -12156992#8 -12156992#7 -12156992#6 -12156992#5 -12156992#4 -12156992#3 -12156992#2 -12156992#1 -386547297#1 -424080772#2 -424080772#1 -262962065#1 -262962063 -424080764 -424080768#1 -424080766 -104526265#1 30953497#0 30953497#2 30953497#3 42706585#0 42706585#1 30953320 30953320-AddedOffRampEdge 104526277 30953215#1-AddedOnRampEdge 30953215#1 121643865#0 12110705 50715233#0 50715233#0-AddedOffRampEdge 50715233#1.0 62203285#14.24 gneE59.30.0.55 gneE59.30.0.0 43539373#0.0.292.17 gneE58 gneE56 gneE54.0 62203360#0 291433361#0 132508433.0 -gneE6.0 gneE6.0 424765883 43539378#0.15 132508717#5 196393974#0 49914077 424767578 387422130#1 132508717#0 12149210#1 12151897#1 196393941#6 196393941#7 196393941#8 gneE87 196393974#0 388756841#0 49914076#0 12159673#0 12159673#1 393884751 43569848 30953391 12113092 51758697#1-AddedOnRampEdge 51758697#1" probability="0.0222222222222222"/&gt;</t>
  </si>
  <si>
    <t xml:space="preserve">    &lt;route id="Router3_62" edges="196393940#0 62203285#0 62203285#2 62203285#3 62203285#5 62203285#6 62203285#7 62203286#0 62203286#2 59676508#0 -59676508#0 -62203286#2 -62203286#0 62203285#8 62203285#9 62203285#10 62203285#11 62203285#13 62203285#14.0 62203285#14.24 gneE59.30.0.55 gneE59.30.0.0 gneE59.0.0 gneE59.0.12 62203360#0 291433361#0 132508433.0 -gneE6.0 gneE81.299.0 gneE81.299.79 gneE81.299.145 -gneE8 12154353#0 196393941#1 196393941#2 28533986 43539369#2 12178843#2 12178843#3 49960982#2 43569828#0 387422128#1 43569827#0 43569827#1 43569827#2 43569827#7 43569848 30953391 424769002 424769005 424769006 424769004 30953396#1 387422132#0 387422132#1 486653633#0 484953506#3 484953506#4 12157002#0 12157002#1 12157002#3 12157002#5 12114396#4 -12156992#10 -12156992#8 -12156992#7 -12156992#6 -12156992#5 -12156992#4 -12156992#3 -12156992#2 -12156992#1 -386547297#1 -424080772#2 -424080772#1 -262962065#1 -262962063 -424080764 -424080768#1 -424080766 -104526265#1 30953497#0 30953497#2 35920555#0.0 35920555#0.75 62203066 43331031.0 43331031.436 42706585#0 42706585#1 30953320 30953320-AddedOffRampEdge 30953315 104526276-AddedOnRampEdge 104526276 51758697#0 51758697#1-AddedOnRampEdge 51758697#1" probability="0.0222222222222222"/&gt;</t>
  </si>
  <si>
    <t xml:space="preserve">    &lt;route id="Router3_66" edges="31909473.0 31909473.857 62634019#1-AddedOnRampEdge 62634019#1 30953036 424081476 -424987520 -30953029#1 -30953029#0 -424987519 12169718#0 12169718#1 424804090#0 424804090#1 424804090#2 424804090#3 424804090#4 132508920#2 132508920#3 132508920#4 132508920#5 424080762#0 424080762#1 424080762#2 424080762#3 424080762#4 424080762#5 179915585#2 12171853#2 12198567#4 12198567#5 12152219#0 12152219#1 12152236 132508920#12 132508897#0 132508897#1 132508897#2 132508897#3 394179820#0 394179820#1 394179820#2 394179820#3 394179820#4 196355327#1 196355327#2 196355327#5 196393940#1 196207112#0 32122059#1 424080774 262962068#0.0 30953497#0 30953497#2 30953497#3 42706585#0 42706585#1 30953320 30953320-AddedOffRampEdge 104526277 30953215#1-AddedOnRampEdge 30953215#1 121643865#0 12110705 50715233#0 50715233#0-AddedOffRampEdge 50715233#1.0 62203285#14.24 gneE59.30.0.55 gneE59.30.0.0 43539373#0.0.292.17 gneE58 gneE56 gneE54.0 62203360#0 291433361#0 132508433.0 -gneE6.0 gneE6.0 424765883 43570920#0.22 132508717#4 43539378#1 43569848 30953391 12113092 51758697#1-AddedOnRampEdge 51758697#1" probability="0.0222222222222222"/&gt;</t>
  </si>
  <si>
    <t xml:space="preserve">    &lt;route id="Router3_68" edges="31909473.0 31909473.857 62634019#1-AddedOnRampEdge 62634019#1 30953036 424081476 -424987520 -30953029#1 -30953029#0 -424987519 12169718#0 179915585#0 193223837#0 193223837#1 12198567#1 12198567#2 12198567#3 12171853#3 12171853#4 12171853#5 12171853#6 132508920#8 132508920#9 132508920#10 132508920#12 132508983#0 132508983#3 132508983#5 132508740#0 132508740#2 -12165829#1 132508646#0 132508646#2 132508646#3 394179820#0 394179820#1 394179820#2 394179820#3 450844975 450844970#0 196355332#0 450844979#0.0 12114109#0.45.0 59671945#0.30 62093806#0 30953497#0 30953497#2 30953497#3 42706585#0 42706585#1 30953320 30953320-AddedOffRampEdge 104526277 30953215#1-AddedOnRampEdge 30953215#1 121643865#0 12110705 50715233#0 50715233#0-AddedOffRampEdge 50715233#1.0 62203285#14.24 gneE59.30.0.55 gneE59.30.0.0 43539373#0.0.292.17 gneE58 gneE56 gneE54.0 62203360#0 291433361#0 132508433.0 -gneE6.0 gneE6.0 424765883 43539378#0.15 132508717#5 196393974#0 49914077 424767578 387422130#1 132508717#0 12149210#1 12151897#1 196393941#6 196393941#7 196393941#8 gneE87 196393974#0 388756841#0 49914076#0 12159673#0 12159673#1 393884751 43569848 30953391 12113092 51758697#1-AddedOnRampEdge 51758697#1" probability="0.0222222222222222"/&gt;</t>
  </si>
  <si>
    <t xml:space="preserve">    &lt;route id="Router3_69" edges="31909473.0 31909473.857 62634019#1-AddedOnRampEdge 62634019#1 30953036 424081476 -424987520 -30953029#1 -30953029#0 -424987519 12169718#0 179915585#0 193223837#0 193223837#1 12198567#1 12198567#2 12198567#3 12171853#3 12171853#4 12171853#5 12171853#6 132508920#8 132508920#9 132508920#10 132508920#12 132508983#0 132508983#3 132508983#5 132508740#0 132508740#2 -12165829#1 132508646#0 132508646#2 132508646#3 394179820#0 394179820#1 394179820#2 394179820#3 450844975 450844970#0 196355332#0 450844979#0.0 12114109#0.45.0 59671945#0.30 62093806#0 30953497#0 30953497#2 30953497#3 42706585#0 42706585#1 30953320 30953320-AddedOffRampEdge 104526277 30953215#1-AddedOnRampEdge 30953215#1 121643865#0 12110705 50715233#0 50715233#0-AddedOffRampEdge 50715233#1.0 62203285#14.24 gneE59.30.0.55 gneE59.30.0.0 43539373#0.0.292.17 gneE58 gneE56 gneE54.0 62203360#0 291433361#0 132508433.0 -gneE6.0 gneE6.0 424765883 43570920#0.22 132508717#4 43539378#1 43569848 30953391 12113092 51758697#1-AddedOnRampEdge 51758697#1" probability="0.0222222222222222"/&gt;</t>
  </si>
  <si>
    <t xml:space="preserve">    &lt;route id="Router3_86" edges="31909473.0 31909473.857 62634019#1-AddedOnRampEdge 62634019#1 62634019#2.0 62634019#2.242 62634019#3-AddedOnRampEdge 62634019#3 62634019#3-AddedOffRampEdge 12111747.0 59671945#0.30 62093806#0 104526265#0.14 424080766 424080768#0 104523976#1 262962063 12189051#0 -12189051#1 -262962063 -424080764 -424080768#1 -424080766 -104526265#1 30953497#0 30953497#2 30953497#3 42706585#0 42706585#1 30953320 30953320-AddedOffRampEdge 104526277 30953215#1-AddedOnRampEdge 30953215#1 121643865#0 12110705 50715233#0 50715233#0-AddedOffRampEdge 50715233#1.0 62203285#14.24 gneE59.30.0.55 gneE59.30.0.0 43539373#0.0.292.17 gneE58 gneE56 gneE54.0 62203360#0 291433361#0 132508433.0 -gneE6.0 gneE6.0 424765883 43570920#0.22 132508717#4 43539378#1 43569848 30953391 12113092 51758697#1-AddedOnRampEdge 51758697#1 -gneE46.0 43357850.4841.18 gneE46 49887339#0.596 49887339#0-AddedOffRampEdge 49887339#1 49887339#1-AddedOffRampEdge 104524021 104524021-AddedOffRampEdge 50192637#0 50192637#1-AddedOnRampEdge 50192637#1.0.0 50192637#1.0.382.0.0 50192637#1.697 50192637#1-AddedOffRampEdge 30953181#1 30953181#2-AddedOnRampEdge 30953181#2 30953181#3-AddedOnRampEdge 30953181#3 30953181#3-AddedOffRampEdge 30952933#1.0 30952933#1.199" probability="0.0222222222222222"/&gt;</t>
  </si>
  <si>
    <t xml:space="preserve">    &lt;route id="Router3_87" edges="31909473.0 31909473.857 62634019#1-AddedOnRampEdge 62634019#1 62634019#2.0 62634019#2.242 62634019#3-AddedOnRampEdge 62634019#3 62634019#3-AddedOffRampEdge 12111747.0 59671945#0.30 62093806#0 104526265#0.14 424080766 424080768#0 104523976#1 262962063 12189051#0 -12189051#1 -262962063 -424080764 -424080768#1 -424080766 -104526265#1 30953497#0 30953497#2 30953497#3 42706585#0 42706585#1 30953320 30953320-AddedOffRampEdge 104526277 30953215#1-AddedOnRampEdge 30953215#1 121643865#0 12110705 50715233#0 50715233#0-AddedOffRampEdge 50715233#1.0 62203285#14.24 gneE59.30.0.55 gneE59.30.0.0 43539373#0.0.292.17 gneE58 gneE56 gneE54.0 62203360#0 291433361#0 132508433.0 -gneE6.0 gneE6.0 424765883 43570920#0.22 132508717#4 43539378#1 43569848 30953391 12113092 51758697#1-AddedOnRampEdge 51758697#1" probability="0.0222222222222222"/&gt;</t>
  </si>
  <si>
    <t xml:space="preserve">    &lt;route id="Router3_88" edges="31909473.0 31909473.857 62634019#1-AddedOnRampEdge 62634019#1 62634019#2.0 62634019#2.242 62634019#3-AddedOnRampEdge 62634019#3 62634019#3-AddedOffRampEdge 12111747.0 59671945#0.30 62093806#0 104526265#0.14 424080766 424080768#0 104523976#1 262962063 12189051#0 -12189051#1 -262962063 -424080764 -424080768#1 -424080766 -104526265#1 30953497#0 30953497#2 30953497#3 42706585#0 42706585#1 30953320 30953320-AddedOffRampEdge 104526277 30953215#1-AddedOnRampEdge 30953215#1 121643865#0 12110705 50715233#0 50715233#0-AddedOffRampEdge 50715233#1.0 62203285#14.24 gneE59.30.0.55 gneE59.30.0.0 43539373#0.0.292.17 gneE58 gneE56 gneE54.0 gneE62.13 gneE81.0 gneE6.0 424765883 gneE87 196393957 132508433.0 -gneE6.0 gneE81.299.0 gneE81.299.79 gneE81.299.145 12178843#0 12178843#1 43539369#3 43539369#4 43539368#0 43570920#3 43570920#5 404615579 43569828#0 43539397#3 43569816#0 49914076#0 12167196#0.0.0 424764853 12149178#0 12149178#1 12149178#2 50189577 62203295 145605533#1-AddedOnRampEdge 145605533#1 145605511#1-AddedOnRampEdge 145605511#12 145605511#1.148" probability="0.0222222222222222"/&gt;</t>
  </si>
  <si>
    <t xml:space="preserve">    &lt;route id="Router3_90" edges="31909473.0 31909473.857 62634019#1-AddedOnRampEdge 62634019#1 62634019#2.0 62634019#2.242 62634019#3-AddedOnRampEdge 62634019#3 62634019#3-AddedOffRampEdge 12111747.0 59671945#0.30 62093806#0 104526265#0.14 424080766 424080768#0 104523976#1 262962063 12189051#0 -12189051#1 -262962063 -424080764 -424080768#1 -424080766 -104526265#1 30953497#0 30953497#2 30953497#3 42706585#0 42706585#1 30953320 30953320-AddedOffRampEdge 104526277 30953215#1-AddedOnRampEdge 30953215#1 121643865#0 12110705 50715233#0 50715233#0-AddedOffRampEdge 50715233#1.0 62203285#14.24 gneE59.30.0.55 gneE59.30.0.0 gneE59.0.0 gneE59.0.12 62203360#0 291433361#0 132508433.0 -gneE6.0 gneE81.299.0 gneE81.299.79 gneE81.299.145 -gneE8 12154353#0 196393941#1 196393941#2 28533986 43539369#2 12178843#2 12178843#3 49960982#2 43569828#0 387422128#1 43569827#0 43569827#1 43569827#2 43569827#7 43569848 30953391 424769002 424769005 424769006 424769004 30953396#1 387422132#0 387422132#1 486653633#0 484953506#3 484953506#4 12157002#0 12157002#1 12157002#3 12157002#5 12114396#4 -12156992#10 -12156992#8 -12156992#7 -12156992#6 -12156992#5 -12156992#4 -12156992#3 -12156992#2 -12156992#1 -386547297#1 -424080772#2 -424080772#1 -262962065#1 -262962063 -424080764 -424080768#1 -424080766 -104526265#1 30953497#0 30953497#2 35920555#0.0 35920555#0.75 62203066 43331031.0 43331031.436 42706585#0 42706585#1 30953320 30953320-AddedOffRampEdge 30953315 104526276-AddedOnRampEdge 104526276 51758697#0 51758697#1-AddedOnRampEdge 51758697#1" probability="0.0222222222222222"/&gt;</t>
  </si>
  <si>
    <t xml:space="preserve">    &lt;route id="Router3_116" edges="31909473.0 31909473.857 62634019#1-AddedOnRampEdge 62634019#1 62634019#2.0 62634019#2.242 62634019#3-AddedOnRampEdge 62634019#3 62634019#3-AddedOffRampEdge 30953251#1.0 30953251#1-AddedOffRampEdge 12112003 30953215#1-AddedOnRampEdge 30953215#1 121643865#0 12110705 50715233#0 50715233#0-AddedOffRampEdge 50715233#1.0 62203285#14.24 gneE59.30.0.55 gneE59.30.0.0 gneE59.0.0 gneE59.0.12 62203360#0 291433361#0 132508433.0 -gneE6.0 gneE81.299.0 gneE81.299.79 gneE81.299.145 -gneE8 12154353#0 196393941#1 196393941#2 28533986 43539369#2 12178843#2 12178843#3 49960982#2 43569828#0 387422128#1 43569827#0 43569827#1 43569827#2 43569827#7 43569848 30953391 424769002 424769005 424769006 424769004 30953396#1 387422132#0 387422132#1 486653633#0 484953506#3 484953506#4 12157002#0 12157002#1 12157002#3 12157002#5 12114396#4 -12156992#10 -12156992#8 -12156992#7 -12156992#6 -12156992#5 -12156992#4 -12156992#3 -12156992#2 -12156992#1 -386547297#1 -424080772#2 -424080772#1 -262962065#1 -262962063 -424080764 -424080768#1 -424080766 -104526265#1 -262962068#1 -424080774 -32122059#1 -32122059#0 -196393940#2 -196393940#0" probability="0.0222222222222222"/&gt;</t>
  </si>
  <si>
    <t xml:space="preserve">    &lt;route id="Router3_117" edges="31909473.0 31909473.857 62634019#1-AddedOnRampEdge 62634019#1 62634019#2.0 62634019#2.242 62634019#3-AddedOnRampEdge 62634019#3 62634019#3-AddedOffRampEdge 30953251#1.0 30953251#1-AddedOffRampEdge 12112003 30953215#1-AddedOnRampEdge 30953215#1 121643865#0 12110705 50715233#0 50715233#0-AddedOffRampEdge 50715233#1.0 62203285#14.24 gneE59.30.0.55 gneE59.30.0.0 gneE59.0.0 gneE59.0.12 62203360#0 291433361#0 132508433.0 -gneE6.0 gneE81.299.0 gneE81.299.79 gneE81.299.145 -gneE8 12154353#0 196393941#1 196393941#2 28533986 43539369#2 12178843#2 12178843#3 49960982#2 43569828#0 387422128#1 43569827#0 43569827#1 43569827#2 43569827#7 43569848 30953391 424769002 424769005 424769006 424769004 30953396#1 387422132#0 387422132#1 486653633#0 484953506#3 484953506#4 12157002#0 12157002#1 12157002#3 12157002#5 12114396#4 -12156992#10 -12156992#8 -12156992#7 -12156992#6 -12156992#5 -12156992#4 -12156992#3 -12156992#2 -12156992#1 -386547297#1 -424080772#2 -424080772#1 -262962065#1 -262962063 -424080764 -424080768#1 -424080766 -104526265#1 30953497#0 30953497#2 30953497#3 42706585#0 42706585#1 30953320 30953320-AddedOffRampEdge 104526277 30953215#1-AddedOnRampEdge 30953215#1 121643865#0 12110705 50715233#0 50715233#0-AddedOffRampEdge 50715233#1.0 62203285#14.24 gneE59.30.0.55 gneE59.30.0.0 gneE59.0.0 gneE59.0.12 62203360#0 12159135 12149408#0 49914077 424767578 43569819 387422128#1 43569827#0 43569827#1 43569827#2 43569827#7 43569848 30953391 424769002 424769005 424769006 424769004 30953396#1 -424769003#1 -424769003#0 -485017374 42706828#0 42706828#2 12182281#0 12182281#3 12182281#5 12182281#6 386995507#4 386995507#5 386995507#6 12152013#1 12152013#2 -12175537#6 -12175537#5 -12175537#4 12182281#9 12182281#10 -388756839#1 -388756839#0 -50033059#4 -50033059#3 -50033059#2 -50033059#1 -50033558#8 -51155368#3 121319046 12188656 -50033558#2 12203859#0 12203859#1 42706831#4 42706831#5 42706831#6 42706874#0 42706874#2 12144152#0 12144152#2 450844953#0 450844953#2 450844953#3 450844947#0 388533142#0 388533142#2 388533142#4 62623926#0 62623926#1 450844950#0 12189453#0.0.0 450844982#0.19 62203497#0 62203497#2 62203497#3 12134479#1 34685684#0 34685684#2 388533143#0 388533143#2 12140627#0 63060729#0 -264253834#2 12156992#4 12156992#5 12156992#6 12156992#7 12156992#8 12156992#9 -12114396#5 -12114396#3 -12114396#1 485017383#0 485017382#0 485017382#1 211575484#0 -12177521#3 -12177521#2 -12177521#1 32121111#12 32121111#14 -12187610#5 -12187610#2 -12187610#1 12150608#0 32121146#2 12117702#9 450844953#0 450844953#2 450844953#3 450844947#0 388533142#0 388533142#2 388533142#4 62623926#0 62623926#1 450844950#0 38502259#0.19 450844933#1 196207110#0 196207110#2" probability="0.0222222222222222"/&gt;</t>
  </si>
  <si>
    <t xml:space="preserve">    &lt;route id="Router3_118" edges="31909473.0 31909473.857 62634019#1-AddedOnRampEdge 62634019#1 62634019#2.0 62634019#2.242 62634019#3-AddedOnRampEdge 62634019#3 62634019#3-AddedOffRampEdge 30953251#1.0 30953251#1-AddedOffRampEdge 12112003 30953215#1-AddedOnRampEdge 30953215#1 121643865#0 12110705 50715233#0 50715233#0-AddedOffRampEdge 50715233#1.0 62203285#14.24 gneE59.30.0.55 gneE59.30.0.0 gneE59.0.0 gneE59.0.12 62203360#0 291433361#0 132508433.0 -gneE6.0 gneE81.299.0 gneE81.299.79 gneE81.299.145 -gneE8 12154353#0 196393941#1 196393941#2 28533986 43539369#2 12178843#2 12178843#3 49960982#2 43569828#0 387422128#1 43569827#0 43569827#1 43569827#2 43569827#7 43569848 30953391 424769002 424769005 424769006 424769004 30953396#1 387422132#0 387422132#1 486653633#0 484953506#3 484953506#4 12157002#0 12157002#1 12157002#3 12157002#5 12114396#4 -12156992#10 -12156992#8 -12156992#7 -12156992#6 -12156992#5 -12156992#4 -12156992#3 -12156992#2 -12156992#1 -386547297#1 -424080772#2 -424080772#1 -262962065#1 -262962063 -424080764 -424080768#1 -424080766 -104526265#1 30953497#0 30953497#2 30953497#3 42706585#0 42706585#1 30953320 30953320-AddedOffRampEdge 104526277 30953215#1-AddedOnRampEdge 30953215#1 121643865#0 12110705 50715233#0 50715233#0-AddedOffRampEdge 50715233#1.0 62203285#14.24 gneE59.30.0.55 gneE59.30.0.0 gneE59.0.0 gneE59.0.12 62203360#0 12159135 12149408#0 49914077 424767578 43569819 387422128#1 43569827#0 43569827#1 43569827#2 43569827#7 43569848 30953391 424769002 424769005 424769006 424769004 30953396#1 -424769003#1 -424769003#0 -485017374 42706828#0 42706828#2 12182281#0 12182281#3 12182281#5 12182281#6 386995507#4 386995507#5 386995507#6 12152013#1 12152013#2 -12175537#6 -12175537#5 -12175537#4 12182281#9 12182281#10 -388756839#1 -388756839#0 -50033059#4 -50033059#3 -50033059#2 -50033059#1 42706833#0 42706833#2 -42706825#7 12199713#0 12199713#1 -386995514#6 -386995514#5 -386995514#4 -386995514#3 -386995514#2 -386995514#1 12159500#1 12159500#2 51050030#7 gneE35 -gneE34.0 --gneE83.0" probability="0.0222222222222222"/&gt;</t>
  </si>
  <si>
    <t xml:space="preserve">    &lt;route id="Router3_119" edges="31909473.0 31909473.857 62634019#1-AddedOnRampEdge 62634019#1 62634019#2.0 62634019#2.242 62634019#3-AddedOnRampEdge 62634019#3 62634019#3-AddedOffRampEdge 30953251#1.0 30953251#1-AddedOffRampEdge 12112003 30953215#1-AddedOnRampEdge 30953215#1 121643865#0 12110705 50715233#0 50715233#0-AddedOffRampEdge 50715233#1.0 62203285#14.24 gneE59.30.0.55 gneE59.30.0.0 gneE59.0.0 gneE59.0.12 62203360#0 291433361#0 132508433.0 -gneE6.0 gneE81.299.0 gneE81.299.79 gneE81.299.145 -gneE8 12154353#0 196393941#1 196393941#2 28533986 43539369#2 12178843#2 12178843#3 49960982#2 43569828#0 387422128#1 43569827#0 43569827#1 43569827#2 43569827#7 43569848 30953391 424769002 424769005 424769006 424769004 30953396#1 387422132#0 387422132#1 486653633#0 484953506#3 484953506#4 12157002#0 12157002#1 12157002#3 12157002#5 12114396#4 -12156992#10 -12156992#8 -12156992#7 -12156992#6 -12156992#5 -12156992#4 -12156992#3 -12156992#2 -12156992#1 -386547297#1 -424080772#2 -424080772#1 -262962065#1 -262962063 -424080764 -424080768#1 -424080766 -104526265#1 30953497#0 30953497#2 35920555#0.0 35920555#0.75 62203066 43331031.0 43331031.436 42706585#0 42706585#1 30953320 30953320-AddedOffRampEdge 30953315 104526276-AddedOnRampEdge 104526276 51758697#0 51758697#1-AddedOnRampEdge 51758697#1" probability="0.0222222222222222"/&gt;</t>
  </si>
  <si>
    <t xml:space="preserve">    &lt;route id="Router3_131" edges="49887339#0.596 49887339#0-AddedOffRampEdge 12113482 424769007 -424769002 -30953391 -43569848 -43569827#9 -43569827#6 -43569827#1 -43569827#0 28555332 43569816#0 49914076#0 12167196#0.0.0 424764853 43539372 43539373#0.0.0 43539373#0.0.292.17 gneE58 gneE56 gneE54.0 gneE62.13 gneE81.0 gneE6.0 424765883 gneE87 196393957 132508433.0 -gneE6.0 gneE81.299.0 gneE81.299.79 gneE81.299.145 12178843#0 12178843#1 43539369#3 43539369#4 43539368#0 43570920#3 43570920#5 404615579 43569828#0 43539397#3 43569816#0 49914076#0 12167196#0.0.0 424764853 12149178#0 12149178#1 12149178#2 50189577 62203295 145605533#1-AddedOnRampEdge 145605533#1 145605511#1-AddedOnRampEdge 145605511#12 145605511#1.148" probability="0.0222222222222222"/&gt;</t>
  </si>
  <si>
    <t xml:space="preserve">    &lt;route id="Router3_137" edges="49887339#0.596 49887339#0-AddedOffRampEdge 49887339#1 49887339#1-AddedOffRampEdge 104524021 104524021-AddedOffRampEdge 12158873 121643865#0 12110705 50715233#0 50715233#0-AddedOffRampEdge 50715233#1.0 62203285#14.24 gneE59.30.0.55 gneE59.30.0.0 43539373#0.0.292.17 gneE58 gneE56 gneE54.0 62203360#0 291433361#0 132508433.0 -gneE6.0 gneE6.0 424765883 43539378#0.15 132508717#5 196393974#0 49914077 424767578 387422130#1 132508717#0 12149210#1 12151897#1 196393941#6 196393941#7 196393941#8 gneE87 196393974#0 388756841#0 49914076#0 12159673#0 12159673#1 393884751 43569848 30953391 12113092 51758697#1-AddedOnRampEdge 51758697#1" probability="0.0222222222222222"/&gt;</t>
  </si>
  <si>
    <t xml:space="preserve">    &lt;route id="Router3_138" edges="49887339#0.596 49887339#0-AddedOffRampEdge 49887339#1 49887339#1-AddedOffRampEdge 104524021 104524021-AddedOffRampEdge 12158873 121643865#0 12110705 50715233#0 50715233#0-AddedOffRampEdge 50715233#1.0 62203285#14.24 gneE59.30.0.55 gneE59.30.0.0 43539373#0.0.292.17 gneE58 gneE56 gneE54.0 62203360#0 291433361#0 132508433.0 -gneE6.0 gneE6.0 424765883 43570920#0.22 132508717#4 43539378#1 43569848 30953391 12113092 51758697#1-AddedOnRampEdge 51758697#1" probability="0.0222222222222222"/&gt;</t>
  </si>
  <si>
    <t xml:space="preserve">    &lt;route id="Router3_143" edges="49887339#0.596 49887339#0-AddedOffRampEdge 49887339#1 49887339#1-AddedOffRampEdge 104524021 104524021-AddedOffRampEdge 12158873 121643865#0 12110705 50715233#0 50715233#0-AddedOffRampEdge 50715233#1.0 62203285#14.24 gneE59.30.0.55 gneE59.30.0.0 gneE59.0.0 gneE59.0.12 62203360#0 291433361#0 132508433.0 -gneE6.0 gneE81.299.0 gneE81.299.79 gneE81.299.145 -gneE8 12154353#0 196393941#1 196393941#2 28533986 43539369#2 12178843#2 12178843#3 49960982#2 43569828#0 387422128#1 43569827#0 43569827#1 43569827#2 43569827#7 43569848 30953391 424769002 424769005 424769006 424769004 30953396#1 387422132#0 387422132#1 486653633#0 484953506#3 484953506#4 12157002#0 12157002#1 12157002#3 12157002#5 12114396#4 -12156992#10 -12156992#8 -12156992#7 -12156992#6 -12156992#5 -12156992#4 -12156992#3 -12156992#2 -12156992#1 -386547297#1 -424080772#2 -424080772#1 -262962065#1 -262962063 -424080764 -424080768#1 -424080766 -104526265#1 -262962068#1 -424080774 -32122059#1 -32122059#0 -196393940#2 -196393940#0" probability="0.0222222222222222"/&gt;</t>
  </si>
  <si>
    <t xml:space="preserve">    &lt;route id="Router3_144" edges="49887339#0.596 49887339#0-AddedOffRampEdge 49887339#1 49887339#1-AddedOffRampEdge 104524021 104524021-AddedOffRampEdge 12158873 121643865#0 12110705 50715233#0 50715233#0-AddedOffRampEdge 50715233#1.0 62203285#14.24 gneE59.30.0.55 gneE59.30.0.0 gneE59.0.0 gneE59.0.12 62203360#0 291433361#0 132508433.0 -gneE6.0 gneE81.299.0 gneE81.299.79 gneE81.299.145 -gneE8 12154353#0 196393941#1 196393941#2 28533986 43539369#2 12178843#2 12178843#3 49960982#2 43569828#0 387422128#1 43569827#0 43569827#1 43569827#2 43569827#7 43569848 30953391 424769002 424769005 424769006 424769004 30953396#1 387422132#0 387422132#1 486653633#0 484953506#3 484953506#4 12157002#0 12157002#1 12157002#3 12157002#5 12114396#4 -12156992#10 -12156992#8 -12156992#7 -12156992#6 -12156992#5 -12156992#4 -12156992#3 -12156992#2 -12156992#1 -386547297#1 -424080772#2 -424080772#1 -262962065#1 -262962063 -424080764 -424080768#1 -424080766 -104526265#1 30953497#0 30953497#2 30953497#3 42706585#0 42706585#1 30953320 30953320-AddedOffRampEdge 104526277 30953215#1-AddedOnRampEdge 30953215#1 121643865#0 12110705 50715233#0 50715233#0-AddedOffRampEdge 50715233#1.0 62203285#14.24 gneE59.30.0.55 gneE59.30.0.0 43539373#0.0.292.17 gneE58 gneE56 gneE54.0 62203360#0 291433361#0 132508433.0 -gneE6.0 gneE6.0 424765883 43539378#0.15 132508717#5 196393974#0 49914077 424767578 387422130#1 132508717#0 12149210#1 12151897#1 196393941#6 196393941#7 196393941#8 gneE87 196393974#0 388756841#0 49914076#0 12159673#0 12159673#1 393884751 43569848 30953391 12113092 51758697#1-AddedOnRampEdge 51758697#1 -gneE46.0 43357850.4841.18 gneE46 49887339#0.596 49887339#0-AddedOffRampEdge 49887339#1 49887339#1-AddedOffRampEdge 104524021 104524021-AddedOffRampEdge 50192637#0 50192637#1-AddedOnRampEdge 50192637#1.0.0 50192637#1.0.382.0.0 50192637#1.697 50192637#1-AddedOffRampEdge 30953181#1 30953181#2-AddedOnRampEdge 30953181#2 30953181#3-AddedOnRampEdge 30953181#3 30953181#3-AddedOffRampEdge 30952933#1.0 30952933#1.199" probability="0.0222222222222222"/&gt;</t>
  </si>
  <si>
    <t xml:space="preserve">    &lt;route id="Router3_145" edges="49887339#0.596 49887339#0-AddedOffRampEdge 49887339#1 49887339#1-AddedOffRampEdge 104524021 104524021-AddedOffRampEdge 12158873 121643865#0 12110705 50715233#0 50715233#0-AddedOffRampEdge 50715233#1.0 62203285#14.24 gneE59.30.0.55 gneE59.30.0.0 gneE59.0.0 gneE59.0.12 62203360#0 291433361#0 132508433.0 -gneE6.0 gneE81.299.0 gneE81.299.79 gneE81.299.145 -gneE8 12154353#0 196393941#1 196393941#2 28533986 43539369#2 12178843#2 12178843#3 49960982#2 43569828#0 387422128#1 43569827#0 43569827#1 43569827#2 43569827#7 43569848 30953391 424769002 424769005 424769006 424769004 30953396#1 387422132#0 387422132#1 486653633#0 484953506#3 484953506#4 12157002#0 12157002#1 12157002#3 12157002#5 12114396#4 -12156992#10 -12156992#8 -12156992#7 -12156992#6 -12156992#5 -12156992#4 -12156992#3 -12156992#2 -12156992#1 -386547297#1 -424080772#2 -424080772#1 -262962065#1 -262962063 -424080764 -424080768#1 -424080766 -104526265#1 30953497#0 30953497#2 35920555#0.0 35920555#0.75 62203066 43331031.0 43331031.436 42706585#0 42706585#1 30953320 30953320-AddedOffRampEdge 30953315 104526276-AddedOnRampEdge 104526276 51758697#0 51758697#1-AddedOnRampEdge 51758697#1" probability="0.0222222222222222"/&gt;</t>
  </si>
  <si>
    <t xml:space="preserve">    &lt;route id="Router3_146" edges="49887339#0.596 49887339#0-AddedOffRampEdge 49887339#1 49887339#1-AddedOffRampEdge 104524021 104524021-AddedOffRampEdge 12158873 121643865#0 12110705 50715233#0 50715233#0-AddedOffRampEdge 50715233#1.0 62203285#14.24 gneE59.30.0.55 gneE59.30.0.0 gneE59.0.0 gneE59.0.12 62203360#0 291433361#0 132508433.0 -gneE6.0 gneE81.299.0 gneE81.299.79 gneE81.299.145 -gneE8 12154353#0 196393941#1 196393941#2 28533986 43539369#2 12178843#2 12178843#3 49960982#2 43569828#0 387422128#1 43569827#0 43569827#1 43569827#2 43569827#7 43569848 30953391 424769002 424769005 424769006 424769004 30953396#1 387422132#0 387422132#1 486653633#0 484953506#3 484953506#4 424769003#0 424769003#1 387422132#0 387422132#1 388756840 12202537#1 12202537#2 12202537#3 485017368 485017367#0 12185366#0 12178852#0 12178852#1 386995495#0 386995495#1 -386995507#7 -386995507#6 -386995507#5 -386995507#4 -386995507#3 310315797#0 310315797#1 386995479#3 12182281#5 12182281#6 12182281#7 12182281#8 -12175537#3 12138978 12201597#2 12114363#1 -50033059#4 12175537#0 12175537#2 12175537#3 12175537#4 12162659#2 12159485 12161358#7 12161358#8 386995507#6 386995507#7 386995521#0 386995521#1 12154359#3 12154359#4 12154359#5 12154359#6 12154359#7 101350669 -386995537 -386995526#1 -386995526#0 -43357814#3 12175537#8 12175537#9 12154359#6 386995531#1 386995531#2 387422150#2 12175537#12 12155177#1 386995531#4 12172918#2 gneE73 gneE75.0 gneE80.125" probability="0.0222222222222222"/&gt;</t>
  </si>
  <si>
    <t>&lt;route id="Router3_147"edges="49887339#0.596 49887339#0-AddedOffRampEdge 49887339#1 49887339#1-AddedOffRampEdge 104524021 104524021-AddedOffRampEdge 12158873 121643865#0 12110705 50715233#0 50715233#0-AddedOffRampEdge 50715233#1.0 62203285#14.24 gneE59.30.0.55 gneE59.30.0.0 gneE59.0.0 gneE59.0.12 62203360#0 291433361#0 132508433.0 -gneE6.0 gneE81.299.0 gneE81.299.79 gneE81.299.145 -gneE8 12154353#0 196393941#1 196393941#2 28533986 43539369#2 12178843#2 12178843#3 49960982#2 43569828#0 387422128#1 43569827#0 43569827#1 43569827#2 43569827#7 43569848 30953391 424769002 424769005 424769006 424769004 30953396#1 387422132#0 387422132#1 486653633#0 484953506#3 484953506#4 424769003#0 424769003#1 387422132#0 387422132#1 388756840 12202537#1 12202537#2 12202537#3 485017368 485017367#0 12185366#0 12178852#0 12178852#1 386995495#0 386995495#1 -386995507#7 -386995507#6 -386995507#5 -386995507#4 -386995507#3 310315797#0 310315797#1 386995479#3 12182281#5 12182281#6 12182281#7 12182281#8 -12175537#3 12138978 12201597#2 12114363#1 -50033059#4 12175537#0 12175537#2 12175537#3 12175537#4 12162659#2 12159485 12161358#7 12161358#8 386995507#6 386995507#7 386995521#0 386995521#1 12154359#3 12154359#4 12154359#5 12154359#6 12154359#7 101350669 -386995537 -386995526#1 -386995526#0 -43357814#3 12175537#8 12175537#9 12175537#10 12175537#11 12175537#12 12155177#1 386995531#4 12172918#2 gneE73 gneE75.0 gneE80.125"/&gt;" probability="0.0222222222222222"/&gt;</t>
  </si>
  <si>
    <t xml:space="preserve">    &lt;route id="Router3_148" edges="49887339#0.596 49887339#0-AddedOffRampEdge 49887339#1 49887339#1-AddedOffRampEdge 104524021 104524021-AddedOffRampEdge 12158873 121643865#0 12110705 50715233#0 50715233#0-AddedOffRampEdge 50715233#1.0 62203285#14.24 gneE59.30.0.55 gneE59.30.0.0 gneE59.0.0 gneE59.0.12 62203360#0 291433361#0 132508433.0 -gneE6.0 gneE81.299.0 gneE81.299.79 gneE81.299.145 -gneE8 12154353#0 196393941#1 196393941#2 28533986 43539369#2 12178843#2 12178843#3 49960982#2 43569828#0 387422128#1 43569827#0 43569827#1 43569827#2 43569827#7 43569848 30953391 424769002 424769005 424769006 424769004 30953396#1 387422132#0 387422132#1 486653633#0 484953506#3 484953506#4 424769003#0 424769003#1 387422132#0 387422132#1 388756840 12202537#1 12202537#2 12202537#3 485017368 485017367#0 12185366#0 12178852#0 12178852#1 386995495#0 386995495#1 -386995507#7 -386995507#6 -386995507#5 -386995507#4 -386995507#3 310315797#0 310315797#1 386995479#3 12182281#5 12182281#6 12182281#7 12182281#8 -12175537#3 12138978 12201597#2 12114363#1 -50033059#4 12175537#0 12175537#2 12175537#3 12175537#4 12175537#5 12175537#6 12175537#7 -43357814#2 42706837#4 42706837#5 42706837#6 42706837#7 42706837#8 12155177#0 12175537#13 12172918#1 12172918#2 gneE73 gneE75.0 gneE80.125" probability="0.0222222222222222"/&gt;</t>
  </si>
  <si>
    <t xml:space="preserve">    &lt;route id="Router3_149" edges="49887339#0.596 49887339#0-AddedOffRampEdge 49887339#1 49887339#1-AddedOffRampEdge 104524021 104524021-AddedOffRampEdge 12158873 121643865#0 12110705 50715233#0 50715233#0-AddedOffRampEdge 50715233#1.0 62203285#14.24 gneE59.30.0.55 gneE59.30.0.0 gneE59.0.0 gneE59.0.12 62203360#0 291433361#0 132508433.0 -gneE6.0 gneE81.299.0 gneE81.299.79 gneE81.299.145 -gneE8 12154353#0 196393941#1 196393941#2 28533986 43539369#2 12178843#2 12178843#3 49960982#2 43569828#0 387422128#1 43569827#0 43569827#1 43569827#2 43569827#7 43569848 30953391 424769002 424769005 424769006 424769004 30953396#1 387422132#0 387422132#1 486653633#0 484953506#3 484953506#4 424769003#0 424769003#1 387422132#0 387422132#1 388756840 12202537#1 12202537#2 12202537#3 485017368 485017367#0 12185366#0 12178852#0 12178852#1 386995495#0 386995495#1 -386995507#7 -386995507#6 -386995507#5 -386995507#4 -386995507#3 310315797#0 310315797#1 386995479#3 12182281#5 12182281#6 12182281#7 12182281#8 -12175537#3 12138978 12201597#2 12114363#1 -50033059#4 12175537#0 12175537#2 12175537#3 12175537#4 12175537#5 12175537#6 12175537#7 -43357814#2 42706837#4 42706837#5 42706837#6 42706837#7 42706837#8 42706837#9 12172918#0 12172918#1 12172918#2 gneE73 gneE75.0 gneE80.125" probability="0.0222222222222222"/&gt;</t>
  </si>
  <si>
    <t xml:space="preserve">    &lt;route id="Router3_150" edges="49887339#0.596 49887339#0-AddedOffRampEdge 49887339#1 49887339#1-AddedOffRampEdge 104524021 104524021-AddedOffRampEdge 12158873 121643865#0 12110705 50715233#0 50715233#0-AddedOffRampEdge 50715233#1.0 62203285#14.24 gneE59.30.0.55 gneE59.30.0.0 gneE59.0.0 gneE59.0.12 62203360#0 291433361#0 132508433.0 -gneE6.0 gneE81.299.0 gneE81.299.79 gneE81.299.145 -gneE8 12154353#0 196393941#1 196393941#2 28533986 43539369#2 12178843#2 12178843#3 49960982#2 43569828#0 387422128#1 43569827#0 43569827#1 43569827#2 43569827#7 43569848 30953391 424769002 424769005 424769006 424769004 30953396#1 387422132#0 387422132#1 486653633#0 484953506#3 484953506#4 424769003#0 424769003#1 387422132#0 387422132#1 388756840 12202537#1 12202537#2 12202537#3 485017368 485017367#0 12185366#0 12178852#0 12178852#1 386995495#0 386995495#1 -386995507#7 -386995507#6 -386995507#5 -386995507#4 -386995507#3 310315797#0 310315797#1 386995479#3 12182281#5 12182281#6 12182281#7 12182281#8 -12175537#3 12138978 12201597#2 12114363#1 -50033059#4 12175537#0 12175537#2 12175537#3 12175537#4 12175537#5 12175537#6 12175537#7 12175537#8 12175537#9 12154359#6 386995531#1 12174155#0 -12175537#10 -12175537#9 -12175537#8 -12175537#7 12152013#3 12167232#3 386995531#0 12154359#7 101350669 -386995537 -386995526#1 -386995526#0 -43357814#3 -43357814#2 42706837#4 42706837#5 42706837#6 42706837#7 42706837#8 42706837#9 12172918#0 12172918#1 12172918#2 gneE73 gneE75.0 gneE80.125" probability="0.0222222222222222"/&gt;</t>
  </si>
  <si>
    <t xml:space="preserve">    &lt;route id="Router3_151" edges="49887339#0.596 49887339#0-AddedOffRampEdge 49887339#1 49887339#1-AddedOffRampEdge 104524021 104524021-AddedOffRampEdge 12158873 121643865#0 12110705 50715233#0 50715233#0-AddedOffRampEdge 50715233#1.0 62203285#14.24 gneE59.30.0.55 gneE59.30.0.0 gneE59.0.0 gneE59.0.12 62203360#0 291433361#0 132508433.0 -gneE6.0 gneE81.299.0 gneE81.299.79 gneE81.299.145 -gneE8 12154353#0 196393941#1 196393941#2 28533986 43539369#2 12178843#2 12178843#3 49960982#2 43569828#0 387422128#1 43569827#0 43569827#1 43569827#2 43569827#7 43569848 30953391 424769002 424769005 424769006 424769004 30953396#1 387422132#0 387422132#1 486653633#0 484953506#3 484953506#4 424769003#0 424769003#1 387422132#0 387422132#1 388756840 12202537#1 12202537#2 12202537#3 485017368 485017367#0 12185366#0 12178852#0 12178852#1 386995495#0 386995495#1 -386995507#7 -386995507#6 -386995507#5 -386995507#4 -386995507#3 310315797#0 310315797#1 386995479#3 12182281#5 12182281#6 12182281#7 12182281#8 -12175537#3 12138978 12201597#2 12114363#1 -50033059#4 12175537#0 12175537#2 12175537#3 12175537#4 12175537#5 12175537#6 12175537#7 12175537#8 12175537#9 12154359#6 386995531#1 12174155#0 -12175537#10 -12175537#9 -12175537#8 -12175537#7 12152013#3 12167232#3 386995531#0 12154359#7 101350669 -386995537 -386995526#1 -386995526#0 -43357814#3 12175537#8 12175537#9 12175537#10 12175537#11 12175537#12 12175537#13 12172918#1 12172918#2 gneE73 gneE75.0 gneE80.125" probability="0.0222222222222222"/&gt;</t>
  </si>
  <si>
    <t xml:space="preserve">    &lt;route id="Router3_152" edges="49887339#0.596 49887339#0-AddedOffRampEdge 49887339#1 49887339#1-AddedOffRampEdge 104524021 104524021-AddedOffRampEdge 12158873 121643865#0 12110705 50715233#0 50715233#0-AddedOffRampEdge 50715233#1.0 62203285#14.24 gneE59.30.0.55 gneE59.30.0.0 gneE59.0.0 gneE59.0.12 62203360#0 291433361#0 132508433.0 -gneE6.0 gneE81.299.0 gneE81.299.79 gneE81.299.145 -gneE8 12154353#0 196393941#1 196393941#2 28533986 43539369#2 12178843#2 12178843#3 49960982#2 43569828#0 387422128#1 43569827#0 43569827#1 43569827#2 43569827#7 43569848 30953391 424769002 424769005 424769006 424769004 30953396#1 387422132#0 387422132#1 486653633#0 484953506#3 484953506#4 424769003#0 424769003#1 387422132#0 387422132#1 388756840 12202537#1 12202537#2 12202537#3 485017368 485017367#0 12185366#0 12178852#0 12178852#1 386995495#0 386995495#1 -386995507#7 -386995507#6 -386995507#5 -386995507#4 -386995507#3 310315797#0 310315797#1 386995479#3 12182281#5 12182281#6 12182281#7 12182281#8 -12175537#3 485017371#0 484953507#1 12182281#8 12182281#9 12167232#0 12167232#1 12167232#2 12152013#4 51050425#4 386995537 386995551 387422150#0 387422150#1 386995531#3 386995531#4 12172918#2 gneE73 gneE75.0 gneE80.125" probability="0.0222222222222222"/&gt;</t>
  </si>
  <si>
    <t xml:space="preserve">    &lt;route id="Router3_153" edges="49887339#0.596 49887339#0-AddedOffRampEdge 49887339#1 49887339#1-AddedOffRampEdge 104524021 104524021-AddedOffRampEdge 12158873 121643865#0 12110705 50715233#0 50715233#0-AddedOffRampEdge 50715233#1.0 62203285#14.24 gneE59.30.0.55 gneE59.30.0.0 gneE59.0.0 gneE59.0.12 62203360#0 291433361#0 132508433.0 -gneE6.0 gneE81.299.0 gneE81.299.79 gneE81.299.145 -gneE8 12154353#0 196393941#1 196393941#2 28533986 43539369#2 12178843#2 12178843#3 49960982#2 43569828#0 387422128#1 43569827#0 43569827#1 43569827#2 43569827#7 43569848 30953391 424769002 424769005 424769006 424769004 30953396#1 387422132#0 387422132#1 486653633#0 484953506#3 484953506#4 424769003#0 424769003#1 387422132#0 387422132#1 388756840 12202537#1 12202537#2 12202537#3 485017368 485017367#0 12185366#0 12178852#0 12178852#1 386995495#0 386995495#1 -386995507#7 -386995507#6 -386995507#5 -386995507#4 -386995507#3 310315797#0 310315797#1 386995479#3 12182281#5 12182281#6 386995507#4 386995507#5 12161358#9 12161358#10 12161358#11 12171305#0 12171305#1 42706797#2 42706797#4.13 42706797#5 387422148#0 387422148#1 12172918#0 12172918#1 12172918#2 gneE73 gneE75.0 gneE80.125" probability="0.0222222222222222"/&gt;</t>
  </si>
  <si>
    <t xml:space="preserve">    &lt;route id="Router3_154" edges="49887339#0.596 49887339#0-AddedOffRampEdge 49887339#1 49887339#1-AddedOffRampEdge 104524021 104524021-AddedOffRampEdge 12158873 121643865#0 12110705 50715233#0 50715233#0-AddedOffRampEdge 50715233#1.0 62203285#14.24 gneE59.30.0.55 gneE59.30.0.0 gneE59.0.0 gneE59.0.12 62203360#0 291433361#0 132508433.0 -gneE6.0 gneE81.299.0 gneE81.299.79 gneE81.299.145 -gneE8 12154353#0 196393941#1 196393941#2 28533986 43539369#2 12178843#2 12178843#3 49960982#2 43569828#0 387422128#1 43569827#0 43569827#1 43569827#2 43569827#7 43569848 30953391 424769002 424769005 424769006 424769004 30953396#1 387422132#0 387422132#1 486653633#0 484953506#3 484953506#4 424769003#0 424769003#1 387422132#0 387422132#1 388756840 12202537#1 12202537#2 12202537#3 485017368 485017367#0 12185366#0 12178852#0 12178852#1 386995495#0 386995495#1 -386995507#7 -386995507#6 -386995507#5 -386995507#4 -386995507#3 310315797#0 310315797#1 386995479#3 12182281#5 12182281#6 386995507#4 386995507#5 386995507#6 386995507#7 386995521#0 386995521#1 386995521#2 386995521#3 387422148#1 12172918#0 -12175537#13 12155177#1 12155177#2 387422153#1 gneE73 gneE75.0 gneE80.125" probability="0.0222222222222222"/&gt;</t>
  </si>
  <si>
    <t xml:space="preserve">    &lt;route id="Router3_155" edges="49887339#0.596 49887339#0-AddedOffRampEdge 49887339#1 49887339#1-AddedOffRampEdge 104524021 104524021-AddedOffRampEdge 12158873 121643865#0 12110705 50715233#0 50715233#0-AddedOffRampEdge 50715233#1.0 62203285#14.24 gneE59.30.0.55 gneE59.30.0.0 gneE59.0.0 gneE59.0.12 62203360#0 291433361#0 132508433.0 -gneE6.0 gneE81.299.0 gneE81.299.79 gneE81.299.145 -gneE8 12154353#0 196393941#1 196393941#2 28533986 43539369#2 12178843#2 12178843#3 49960982#2 43569828#0 387422128#1 43569827#0 43569827#1 43569827#2 43569827#7 43569848 30953391 424769002 424769005 424769006 424769004 30953396#1 387422132#0 387422132#1 486653633#0 484953506#3 484953506#4 424769003#0 424769003#1 387422132#0 387422132#1 388756840 12202537#1 12202537#2 12202537#3 485017368 485017367#0 12185366#0 12178852#0 12178852#1 386995495#0 386995495#1 -386995507#7 -386995507#6 -386995507#5 -386995507#4 -386995507#3 310315797#0 310315797#1 386995479#3 386995479#4 386995479#5 386995479#6 386995490#0.0 12154359#1.20 12154359#2 -386995521#1 -386995521#0 43357814#0 43357814#1 42706837#4 42706837#5 12154359#5 12154359#6 386995531#1 386995531#2 386995531#3 386995531#4 12172918#2 gneE73 gneE75.0 gneE80.125" probability="0.0222222222222222"/&gt;</t>
  </si>
  <si>
    <t xml:space="preserve">    &lt;route id="Router3_156" edges="49887339#0.596 49887339#0-AddedOffRampEdge 49887339#1 49887339#1-AddedOffRampEdge 104524021 104524021-AddedOffRampEdge 12158873 121643865#0 12110705 50715233#0 50715233#0-AddedOffRampEdge 50715233#1.0 62203285#14.24 gneE59.30.0.55 gneE59.30.0.0 gneE59.0.0 gneE59.0.12 62203360#0 291433361#0 132508433.0 -gneE6.0 gneE81.299.0 gneE81.299.79 gneE81.299.145 -gneE8 12154353#0 196393941#1 196393941#2 28533986 43539369#2 12178843#2 12178843#3 49960982#2 43569828#0 387422128#1 43569827#0 43569827#1 43569827#2 43569827#7 43569848 30953391 424769002 424769005 424769006 424769004 30953396#1 387422132#0 387422132#1 486653633#0 484953506#3 484953506#4 424769003#0 424769003#1 387422132#0 387422132#1 388756840 12202537#1 12202537#2 12202537#3 485017368 485017367#0 12185366#0 12178852#0 12178852#1 386995495#0 386995495#1 -386995507#7 -386995507#6 12161358#9 12161358#10 12161358#11 12171305#0 12171305#1 42706797#2 42706797#4.13 42706797#5 387422148#0 387422148#1 12172918#0 12172918#1 12172918#2 gneE73 gneE75.0 gneE80.125" probability="0.0222222222222222"/&gt;</t>
  </si>
  <si>
    <t xml:space="preserve">    &lt;route id="Router3_157" edges="49887339#0.596 49887339#0-AddedOffRampEdge 49887339#1 49887339#1-AddedOffRampEdge 104524021 104524021-AddedOffRampEdge 12158873 121643865#0 12110705 50715233#0 50715233#0-AddedOffRampEdge 50715233#1.0 62203285#14.24 gneE59.30.0.55 gneE59.30.0.0 gneE59.0.0 gneE59.0.12 62203360#0 291433361#0 132508433.0 -gneE6.0 gneE81.299.0 gneE81.299.79 gneE81.299.145 -gneE8 12154353#0 196393941#1 196393941#2 28533986 43539369#2 12178843#2 12178843#3 49960982#2 43569828#0 387422128#1 43569827#0 43569827#1 43569827#2 43569827#7 43569848 30953391 424769002 424769005 424769006 424769004 30953396#1 387422132#0 387422132#1 486653633#0 484953506#3 484953506#4 424769003#0 424769003#1 387422132#0 387422132#1 388756840 12202537#1 12202537#2 12202537#3 485017368 485017367#0 12185366#0 12178852#0 12178852#1 386995495#0 386995495#1 -386995507#7 -386995507#6 12161358#9 12161358#10 386995479#6 386995490#0.0 12154359#1.20 12154359#2 -386995521#1 12172225 32121111#2 32121111#3 12152013#0 12152013#1 12152013#2 12175537#7 -43357814#2 42706837#4 42706837#5 42706837#6 42706837#7 42706837#8 12155177#0 12175537#13 12172918#1 12172918#2 gneE73 gneE75.0 gneE80.125" probability="0.0222222222222222"/&gt;</t>
  </si>
  <si>
    <t xml:space="preserve">    &lt;route id="Router3_158" edges="49887339#0.596 49887339#0-AddedOffRampEdge 49887339#1 49887339#1-AddedOffRampEdge 104524021 104524021-AddedOffRampEdge 12158873 121643865#0 12110705 50715233#0 50715233#0-AddedOffRampEdge 50715233#1.0 62203285#14.24 gneE59.30.0.55 gneE59.30.0.0 gneE59.0.0 gneE59.0.12 62203360#0 291433361#0 132508433.0 -gneE6.0 gneE81.299.0 gneE81.299.79 gneE81.299.145 -gneE8 12154353#0 196393941#1 196393941#2 28533986 43539369#2 12178843#2 12178843#3 49960982#2 43569828#0 387422128#1 43569827#0 43569827#1 43569827#2 43569827#7 43569848 30953391 424769002 424769005 424769006 424769004 30953396#1 387422132#0 387422132#1 486653633#0 484953506#3 484953506#4 424769003#0 424769003#1 387422132#0 387422132#1 388756840 12202537#1 12202537#2 12202537#3 485017368 485017367#0 12185366#0 12178852#0 12178852#1 386995495#0 386995495#1 -386995507#7 -386995507#6 12161358#9 12161358#10 386995479#6 386995490#0.0 12154359#1.20 12154359#2 -386995521#1 12172225 32121111#2 32121111#3 12152013#0 12152013#1 12152013#2 12175537#7 -43357814#2 42706837#4 42706837#5 42706837#6 42706837#7 42706837#8 42706837#9 12172918#0 12172918#1 12172918#2 gneE73 gneE75.0 gneE80.125" probability="0.0222222222222222"/&gt;</t>
  </si>
  <si>
    <t xml:space="preserve">    &lt;route id="Router3_159" edges="49887339#0.596 49887339#0-AddedOffRampEdge 49887339#1 49887339#1-AddedOffRampEdge 104524021 104524021-AddedOffRampEdge 12158873 121643865#0 12110705 50715233#0 50715233#0-AddedOffRampEdge 50715233#1.0 62203285#14.24 gneE59.30.0.55 gneE59.30.0.0 gneE59.0.0 gneE59.0.12 62203360#0 291433361#0 132508433.0 -gneE6.0 gneE81.299.0 gneE81.299.79 gneE81.299.145 -gneE8 12154353#0 196393941#1 196393941#2 28533986 43539369#2 12178843#2 12178843#3 49960982#2 43569828#0 387422128#1 43569827#0 43569827#1 43569827#2 43569827#7 43569848 30953391 424769002 424769005 424769006 424769004 30953396#1 387422132#0 387422132#1 486653633#0 484953506#3 484953506#4 424769003#0 424769003#1 387422132#0 387422132#1 388756840 12202537#1 12202537#2 12202537#3 485017368 485017367#0 12185366#0 12178852#0 12178852#1 386995495#0 386995495#1 -386995507#7 -386995507#6 12161358#9 12161358#10 386995479#6 386995490#0.0 12154359#1.20 32121111#1 32121111#2 32121111#3 12152013#0 12152013#1 12152013#2 12175537#7 -43357814#2 42706837#4 42706837#5 42706837#6 42706837#7 42706837#8 12155177#0 12175537#13 12172918#1 12172918#2 gneE73 gneE75.0 gneE80.125" probability="0.0222222222222222"/&gt;</t>
  </si>
  <si>
    <t xml:space="preserve">    &lt;route id="Router3_160" edges="49887339#0.596 49887339#0-AddedOffRampEdge 49887339#1 49887339#1-AddedOffRampEdge 104524021 104524021-AddedOffRampEdge 12158873 121643865#0 12110705 50715233#0 50715233#0-AddedOffRampEdge 50715233#1.0 62203285#14.24 gneE59.30.0.55 gneE59.30.0.0 gneE59.0.0 gneE59.0.12 62203360#0 291433361#0 132508433.0 -gneE6.0 gneE81.299.0 gneE81.299.79 gneE81.299.145 -gneE8 12154353#0 196393941#1 196393941#2 28533986 43539369#2 12178843#2 12178843#3 49960982#2 43569828#0 387422128#1 43569827#0 43569827#1 43569827#2 43569827#7 43569848 30953391 424769002 424769005 424769006 424769004 30953396#1 387422132#0 387422132#1 486653633#0 484953506#3 484953506#4 424769003#0 424769003#1 387422132#0 387422132#1 388756840 12202537#1 12202537#2 12202537#3 485017368 485017367#0 12185366#0 12178852#0 12178852#1 386995495#0 386995495#1 -386995507#7 -386995507#6 12161358#9 12161358#10 386995479#6 386995490#0.0 12154359#1.20 32121111#1 32121111#2 32121111#3 12152013#0 12152013#1 12152013#2 12175537#7 12175537#8 12175537#9 12175537#10 12175537#11 12175537#12 12155177#1 386995531#4 12172918#2 gneE73 gneE75.0 gneE80.125" probability="0.0222222222222222"/&gt;</t>
  </si>
  <si>
    <t xml:space="preserve">    &lt;route id="Router3_161" edges="49887339#0.596 49887339#0-AddedOffRampEdge 49887339#1 49887339#1-AddedOffRampEdge 104524021 104524021-AddedOffRampEdge 12158873 121643865#0 12110705 50715233#0 50715233#0-AddedOffRampEdge 50715233#1.0 62203285#14.24 gneE59.30.0.55 gneE59.30.0.0 gneE59.0.0 gneE59.0.12 62203360#0 291433361#0 132508433.0 -gneE6.0 gneE81.299.0 gneE81.299.79 gneE81.299.145 -gneE8 12154353#0 196393941#1 196393941#2 28533986 43539369#2 12178843#2 12178843#3 49960982#2 43569828#0 387422128#1 43569827#0 43569827#1 43569827#2 43569827#7 43569848 30953391 424769002 424769005 424769006 424769004 30953396#1 387422132#0 387422132#1 486653633#0 484953506#3 484953506#4 424769003#0 424769003#1 387422132#0 387422132#1 388756840 12202537#1 43357813 484953506#1 484953506#2 486653633#1 486653633#2 486653633#3 12182281#0 12182281#3 386995479#4 386995479#5 12161358#11 12171305#0 12171305#1 42706797#2 42706797#4.13 42706797#5 387422148#0 387422148#1 12172918#0 12172918#1 12172918#2 gneE73 gneE75.0 gneE80.125" probability="0.0222222222222222"/&gt;</t>
  </si>
  <si>
    <t xml:space="preserve">    &lt;route id="Router3_165" edges="62203360#0 291433361#0 132508433.0 -gneE6.0 gneE6.0 424765883 43539378#0.15 132508717#5 196393974#0 49914077 424767578 387422130#1 132508717#0 12149210#1 12151897#1 196393941#6 196393941#7 196393941#8 gneE87 196393974#0 388756841#0 49914076#0 12159673#0 12159673#1 393884751 43569848 30953391 12113092 51758697#1-AddedOnRampEdge 51758697#1" probability="0.0222222222222222"/&gt;</t>
  </si>
  <si>
    <t xml:space="preserve">    &lt;route id="Router3_166" edges="62203360#0 291433361#0 132508433.0 -gneE6.0 gneE6.0 424765883 43570920#0.22 132508717#4 43539378#1 43569848 30953391 12113092 51758697#1-AddedOnRampEdge 51758697#1" probability="0.0222222222222222"/&gt;</t>
  </si>
  <si>
    <t xml:space="preserve">    &lt;route id="Router3_60" edges="196393940#0 62203285#0 62203285#2 62203285#3 62203285#5 62203285#6 62203285#7 62203286#0 62203286#2 59676508#0 -59676508#0 -62203286#2 -62203286#0 62203285#8 62203285#9 62203285#10 62203285#11 62203285#13 62203285#14.0 62203285#14.24 gneE59.30.0.55 gneE59.30.0.0 gneE59.0.0 gneE59.0.12 62203360#0 12159135 291433360#0 388756841#0 49914076#0 12111949#0 43539384#1.0 424764853 43539372 12167183.0 gneE82 gneE56 gneE54.0 gneE62.13 gneE81.0 gneE6.0 424765883 43539378#0.15 43539378#1 43569848 30953391 12113092 51758697#1-AddedOnRampEdge 51758697#1" probability="0.0222222222222222"/&gt;</t>
  </si>
  <si>
    <t>&lt;routeDistribution id="SPGRst-22nd-to-23rd-WB-2014-RouteProbe"&gt;</t>
  </si>
  <si>
    <t xml:space="preserve">    &lt;route id="Router3_61" edges="196393940#0 62203285#0 62203285#2 62203285#3 62203285#5 62203285#6 62203285#7 62203286#0 62203286#2 59676508#0 -59676508#0 -62203286#2 -62203286#0 62203285#8 62203285#9 62203285#10 62203285#11 62203285#13 62203285#14.0 62203285#14.24 gneE59.30.0.55 gneE59.30.0.0 gneE59.0.0 gneE59.0.12 62203360#0 291433361#0 132508433.0 -gneE6.0 gneE81.299.0 gneE81.299.79 gneE81.299.145 -gneE8 12154353#0 196393941#1 196393941#2 28533986 43539369#2 12178843#2 12178843#3 49960982#2 43569828#0 387422128#1 43569827#0 43569827#1 43569827#2 43569827#7 43569848 30953391 424769002 424769005 424769006 424769004 30953396#1 387422132#0 387422132#1 486653633#0 484953506#3 484953506#4 12157002#0 12157002#1 12157002#3 12157002#5 12114396#4 -12156992#10 -12156992#8 -12156992#7 -12156992#6 -12156992#5 -12156992#4 -12156992#3 -12156992#2 -12156992#1 -386547297#1 -424080772#2 -424080772#1 -262962065#1 -262962063 -424080764 -424080768#1 -424080766 -104526265#1 30953497#0 30953497#2 30953497#3 42706585#0 42706585#1 30953320 30953320-AddedOffRampEdge 104526277 30953215#1-AddedOnRampEdge 30953215#1 121643865#0 12110705 50715233#0 50715233#0-AddedOffRampEdge 50715233#1.0 62203285#14.24 gneE59.30.0.55 gneE59.30.0.0 43539373#0.0.292.17 gneE58 gneE56 gneE54.0 62203360#0 291433361#0 132508433.0 -gneE6.0 gneE6.0 424765883 43539378#0.15 132508717#5 196393974#0 49914077 424767578 387422130#1 132508717#0 12149210#1 12151897#1 196393941#6 196393941#7 196393941#8 gneE87 196393974#0 388756841#0 49914076#0 12159673#0 12159673#1 393884751 43569848 30953391 12113092 51758697#1-AddedOnRampEdge 51758697#1" probability="0.04"/&gt;</t>
  </si>
  <si>
    <t xml:space="preserve">    &lt;route id="Router3_66" edges="31909473.0 31909473.857 62634019#1-AddedOnRampEdge 62634019#1 30953036 424081476 -424987520 -30953029#1 -30953029#0 -424987519 12169718#0 12169718#1 424804090#0 424804090#1 424804090#2 424804090#3 424804090#4 132508920#2 132508920#3 132508920#4 132508920#5 424080762#0 424080762#1 424080762#2 424080762#3 424080762#4 424080762#5 179915585#2 12171853#2 12198567#4 12198567#5 12152219#0 12152219#1 12152236 132508920#12 132508897#0 132508897#1 132508897#2 132508897#3 394179820#0 394179820#1 394179820#2 394179820#3 394179820#4 196355327#1 196355327#2 196355327#5 196393940#1 196207112#0 32122059#1 424080774 262962068#0.0 30953497#0 30953497#2 30953497#3 42706585#0 42706585#1 30953320 30953320-AddedOffRampEdge 104526277 30953215#1-AddedOnRampEdge 30953215#1 121643865#0 12110705 50715233#0 50715233#0-AddedOffRampEdge 50715233#1.0 62203285#14.24 gneE59.30.0.55 gneE59.30.0.0 43539373#0.0.292.17 gneE58 gneE56 gneE54.0 62203360#0 291433361#0 132508433.0 -gneE6.0 gneE6.0 424765883 43570920#0.22 132508717#4 43539378#1 43569848 30953391 12113092 51758697#1-AddedOnRampEdge 51758697#1" probability="0.04"/&gt;</t>
  </si>
  <si>
    <t xml:space="preserve">    &lt;route id="Router3_68" edges="31909473.0 31909473.857 62634019#1-AddedOnRampEdge 62634019#1 30953036 424081476 -424987520 -30953029#1 -30953029#0 -424987519 12169718#0 179915585#0 193223837#0 193223837#1 12198567#1 12198567#2 12198567#3 12171853#3 12171853#4 12171853#5 12171853#6 132508920#8 132508920#9 132508920#10 132508920#12 132508983#0 132508983#3 132508983#5 132508740#0 132508740#2 -12165829#1 132508646#0 132508646#2 132508646#3 394179820#0 394179820#1 394179820#2 394179820#3 450844975 450844970#0 196355332#0 450844979#0.0 12114109#0.45.0 59671945#0.30 62093806#0 30953497#0 30953497#2 30953497#3 42706585#0 42706585#1 30953320 30953320-AddedOffRampEdge 104526277 30953215#1-AddedOnRampEdge 30953215#1 121643865#0 12110705 50715233#0 50715233#0-AddedOffRampEdge 50715233#1.0 62203285#14.24 gneE59.30.0.55 gneE59.30.0.0 43539373#0.0.292.17 gneE58 gneE56 gneE54.0 62203360#0 291433361#0 132508433.0 -gneE6.0 gneE6.0 424765883 43539378#0.15 132508717#5 196393974#0 49914077 424767578 387422130#1 132508717#0 12149210#1 12151897#1 196393941#6 196393941#7 196393941#8 gneE87 196393974#0 388756841#0 49914076#0 12159673#0 12159673#1 393884751 43569848 30953391 12113092 51758697#1-AddedOnRampEdge 51758697#1" probability="0.04"/&gt;</t>
  </si>
  <si>
    <t xml:space="preserve">    &lt;route id="Router3_69" edges="31909473.0 31909473.857 62634019#1-AddedOnRampEdge 62634019#1 30953036 424081476 -424987520 -30953029#1 -30953029#0 -424987519 12169718#0 179915585#0 193223837#0 193223837#1 12198567#1 12198567#2 12198567#3 12171853#3 12171853#4 12171853#5 12171853#6 132508920#8 132508920#9 132508920#10 132508920#12 132508983#0 132508983#3 132508983#5 132508740#0 132508740#2 -12165829#1 132508646#0 132508646#2 132508646#3 394179820#0 394179820#1 394179820#2 394179820#3 450844975 450844970#0 196355332#0 450844979#0.0 12114109#0.45.0 59671945#0.30 62093806#0 30953497#0 30953497#2 30953497#3 42706585#0 42706585#1 30953320 30953320-AddedOffRampEdge 104526277 30953215#1-AddedOnRampEdge 30953215#1 121643865#0 12110705 50715233#0 50715233#0-AddedOffRampEdge 50715233#1.0 62203285#14.24 gneE59.30.0.55 gneE59.30.0.0 43539373#0.0.292.17 gneE58 gneE56 gneE54.0 62203360#0 291433361#0 132508433.0 -gneE6.0 gneE6.0 424765883 43570920#0.22 132508717#4 43539378#1 43569848 30953391 12113092 51758697#1-AddedOnRampEdge 51758697#1" probability="0.04"/&gt;</t>
  </si>
  <si>
    <t xml:space="preserve">    &lt;route id="Router3_86" edges="31909473.0 31909473.857 62634019#1-AddedOnRampEdge 62634019#1 62634019#2.0 62634019#2.242 62634019#3-AddedOnRampEdge 62634019#3 62634019#3-AddedOffRampEdge 12111747.0 59671945#0.30 62093806#0 104526265#0.14 424080766 424080768#0 104523976#1 262962063 12189051#0 -12189051#1 -262962063 -424080764 -424080768#1 -424080766 -104526265#1 30953497#0 30953497#2 30953497#3 42706585#0 42706585#1 30953320 30953320-AddedOffRampEdge 104526277 30953215#1-AddedOnRampEdge 30953215#1 121643865#0 12110705 50715233#0 50715233#0-AddedOffRampEdge 50715233#1.0 62203285#14.24 gneE59.30.0.55 gneE59.30.0.0 43539373#0.0.292.17 gneE58 gneE56 gneE54.0 62203360#0 291433361#0 132508433.0 -gneE6.0 gneE6.0 424765883 43570920#0.22 132508717#4 43539378#1 43569848 30953391 12113092 51758697#1-AddedOnRampEdge 51758697#1 -gneE46.0 43357850.4841.18 gneE46 49887339#0.596 49887339#0-AddedOffRampEdge 49887339#1 49887339#1-AddedOffRampEdge 104524021 104524021-AddedOffRampEdge 50192637#0 50192637#1-AddedOnRampEdge 50192637#1.0.0 50192637#1.0.382.0.0 50192637#1.697 50192637#1-AddedOffRampEdge 30953181#1 30953181#2-AddedOnRampEdge 30953181#2 30953181#3-AddedOnRampEdge 30953181#3 30953181#3-AddedOffRampEdge 30952933#1.0 30952933#1.199" probability="0.04"/&gt;</t>
  </si>
  <si>
    <t xml:space="preserve">    &lt;route id="Router3_87" edges="31909473.0 31909473.857 62634019#1-AddedOnRampEdge 62634019#1 62634019#2.0 62634019#2.242 62634019#3-AddedOnRampEdge 62634019#3 62634019#3-AddedOffRampEdge 12111747.0 59671945#0.30 62093806#0 104526265#0.14 424080766 424080768#0 104523976#1 262962063 12189051#0 -12189051#1 -262962063 -424080764 -424080768#1 -424080766 -104526265#1 30953497#0 30953497#2 30953497#3 42706585#0 42706585#1 30953320 30953320-AddedOffRampEdge 104526277 30953215#1-AddedOnRampEdge 30953215#1 121643865#0 12110705 50715233#0 50715233#0-AddedOffRampEdge 50715233#1.0 62203285#14.24 gneE59.30.0.55 gneE59.30.0.0 43539373#0.0.292.17 gneE58 gneE56 gneE54.0 62203360#0 291433361#0 132508433.0 -gneE6.0 gneE6.0 424765883 43570920#0.22 132508717#4 43539378#1 43569848 30953391 12113092 51758697#1-AddedOnRampEdge 51758697#1" probability="0.04"/&gt;</t>
  </si>
  <si>
    <t xml:space="preserve">    &lt;route id="Router3_88" edges="31909473.0 31909473.857 62634019#1-AddedOnRampEdge 62634019#1 62634019#2.0 62634019#2.242 62634019#3-AddedOnRampEdge 62634019#3 62634019#3-AddedOffRampEdge 12111747.0 59671945#0.30 62093806#0 104526265#0.14 424080766 424080768#0 104523976#1 262962063 12189051#0 -12189051#1 -262962063 -424080764 -424080768#1 -424080766 -104526265#1 30953497#0 30953497#2 30953497#3 42706585#0 42706585#1 30953320 30953320-AddedOffRampEdge 104526277 30953215#1-AddedOnRampEdge 30953215#1 121643865#0 12110705 50715233#0 50715233#0-AddedOffRampEdge 50715233#1.0 62203285#14.24 gneE59.30.0.55 gneE59.30.0.0 43539373#0.0.292.17 gneE58 gneE56 gneE54.0 gneE62.13 gneE81.0 gneE6.0 424765883 gneE87 196393957 132508433.0 -gneE6.0 gneE81.299.0 gneE81.299.79 gneE81.299.145 12178843#0 12178843#1 43539369#3 43539369#4 43539368#0 43570920#3 43570920#5 404615579 43569828#0 43539397#3 43569816#0 49914076#0 12167196#0.0.0 424764853 12149178#0 12149178#1 12149178#2 50189577 62203295 145605533#1-AddedOnRampEdge 145605533#1 145605511#1-AddedOnRampEdge 145605511#12 145605511#1.148" probability="0.04"/&gt;</t>
  </si>
  <si>
    <t xml:space="preserve">    &lt;route id="Router3_95" edges="31909473.0 31909473.857 62634019#1-AddedOnRampEdge 62634019#1 62634019#2.0 62634019#2.242 62634019#3-AddedOnRampEdge 62634019#3 62634019#3-AddedOffRampEdge 12111747.0 59671945#0.30 62093806#0 104526265#0.14 424080766 424080768#0 104523976#1 262962063 12189051#0 -12189051#1 424080770#0 424080772#0 12119506#0 -12156992#1 -386547297#1 -424080772#2 -424080772#1 -424080761#1 -62623960 62623959#0 386547296#0 386547296#1 424080773#0 279870839#0 279870839#2 450844960#0 62623926#1 450844950#0 38502259#0.19 450844933#1 196207115#0 196207115#2 196207115#3 196355332#0 450844979#0.0 450844982#0.19 62203497#0 62203497#2 62203497#3 12134479#1 34685684#0 34685684#2 388533143#0 388533143#2 12140627#0 63060729#0 -264253834#2 12156992#4 12156992#5 12156992#6 12156992#7 12156992#8 12156992#9 484953505 12148522#0 485017381#0 485017381#1 -30953396#1 30953396#1 -424769003#1 -424769003#0 12157002#0 12157002#1 12157002#3 12157002#5 12114396#4 -12156992#10 -12156992#8 -12156992#7 -12156992#6 -12156992#5 -12156992#4 -12156992#3 -12156992#2 -12156992#1 -386547297#1 -424080772#2 -424080772#1 -262962065#1 -262962063 -424080764 -424080768#1 -424080766 -104526265#1 30953497#0 30953497#2 30953497#3 42706585#0 42706585#1 30953320 30953320-AddedOffRampEdge 104526277 30953215#1-AddedOnRampEdge 30953215#1 121643865#0 12110705 50715233#0 50715233#0-AddedOffRampEdge 50715233#1.0 62203285#14.24 gneE59.30.0.55 gneE59.30.0.0 43539373#0.0.292.17 gneE58 gneE56 gneE54.0 gneE62.13 gneE81.0 gneE6.0 424765883 43539378#0.15 43539378#1 -393884751 12159702 424764853 12149178#0 50189796 50189564 12149178#2 145605533#0 145605533#1-AddedOnRampEdge 145605533#1 145605511#1-AddedOnRampEdge 145605511#12 145605511#1.148" probability="0.04"/&gt;</t>
  </si>
  <si>
    <t xml:space="preserve">    &lt;route id="Router3_115" edges="31909473.0 31909473.857 62634019#1-AddedOnRampEdge 62634019#1 62634019#2.0 62634019#2.242 62634019#3-AddedOnRampEdge 62634019#3 62634019#3-AddedOffRampEdge 30953251#1.0 30953251#1-AddedOffRampEdge 12112003 30953215#1-AddedOnRampEdge 30953215#1 121643865#0 12110705 50715233#0 50715233#0-AddedOffRampEdge 50715233#1.0 62203285#14.24 gneE59.30.0.55 gneE59.30.0.0 gneE59.0.0 gneE59.0.12 62203360#0 12159135 291433360#0 388756841#0 49914076#0 12111949#0 43539384#1.0 424764853 43539372 12167183.0 gneE82 gneE56 gneE54.0 gneE62.13 gneE81.0 gneE6.0 424765883 43539378#0.15 43539378#1 -393884751 12159702 424764853 12149178#0 50189796 50189564 12149178#2 145605533#0 145605533#1-AddedOnRampEdge 145605533#1 145605511#1-AddedOnRampEdge 145605511#12 145605511#1.148" probability="0.04"/&gt;</t>
  </si>
  <si>
    <t xml:space="preserve">    &lt;route id="Router3_129" edges="49887339#0.596 49887339#0-AddedOffRampEdge 12113482 424769007 -424769002 -30953391 -43569848 -43569827#9 -43569827#6 -43569827#1 -43569827#0 28555332 43569816#0 49914076#0 12167196#0.0.0 424764853 43539372 424764852 12149417#0 12149417#2 12159135 291433360#0 388756841#0 49914076#0 12111949#0 43539384#1.0 424764853 43539372 12167183.0 gneE82 gneE56 gneE54.0 gneE62.13 gneE81.0 gneE6.0 424765883 43539378#0.15 43539378#1 -393884751 12159702 424764853 12149178#0 50189796 50189564 12149178#2 145605533#0 145605533#1-AddedOnRampEdge 145605533#1 145605511#1-AddedOnRampEdge 145605511#12 145605511#1.148" probability="0.04"/&gt;</t>
  </si>
  <si>
    <t xml:space="preserve">    &lt;route id="Router3_130" edges="49887339#0.596 49887339#0-AddedOffRampEdge 12113482 424769007 -424769002 -30953391 -43569848 -43569827#9 -43569827#6 -43569827#1 -43569827#0 28555332 43569816#0 49914076#0 12167196#0.0.0 424764853 43539372 424764852 12149417#0 12149417#2 12159135 291433360#0 388756841#0 49914076#0 12111949#0 43539384#1.0 424764853 43539372 12167183.0 gneE82 gneE56 gneE54.0 gneE62.13 gneE81.0 gneE6.0 424765883 43539378#0.15 43539378#1 43569848 30953391 12113092 51758697#1-AddedOnRampEdge 51758697#1" probability="0.04"/&gt;</t>
  </si>
  <si>
    <t xml:space="preserve">    &lt;route id="Router3_131" edges="49887339#0.596 49887339#0-AddedOffRampEdge 12113482 424769007 -424769002 -30953391 -43569848 -43569827#9 -43569827#6 -43569827#1 -43569827#0 28555332 43569816#0 49914076#0 12167196#0.0.0 424764853 43539372 43539373#0.0.0 43539373#0.0.292.17 gneE58 gneE56 gneE54.0 gneE62.13 gneE81.0 gneE6.0 424765883 gneE87 196393957 132508433.0 -gneE6.0 gneE81.299.0 gneE81.299.79 gneE81.299.145 12178843#0 12178843#1 43539369#3 43539369#4 43539368#0 43570920#3 43570920#5 404615579 43569828#0 43539397#3 43569816#0 49914076#0 12167196#0.0.0 424764853 12149178#0 12149178#1 12149178#2 50189577 62203295 145605533#1-AddedOnRampEdge 145605533#1 145605511#1-AddedOnRampEdge 145605511#12 145605511#1.148" probability="0.04"/&gt;</t>
  </si>
  <si>
    <t xml:space="preserve">    &lt;route id="Router3_137" edges="49887339#0.596 49887339#0-AddedOffRampEdge 49887339#1 49887339#1-AddedOffRampEdge 104524021 104524021-AddedOffRampEdge 12158873 121643865#0 12110705 50715233#0 50715233#0-AddedOffRampEdge 50715233#1.0 62203285#14.24 gneE59.30.0.55 gneE59.30.0.0 43539373#0.0.292.17 gneE58 gneE56 gneE54.0 62203360#0 291433361#0 132508433.0 -gneE6.0 gneE6.0 424765883 43539378#0.15 132508717#5 196393974#0 49914077 424767578 387422130#1 132508717#0 12149210#1 12151897#1 196393941#6 196393941#7 196393941#8 gneE87 196393974#0 388756841#0 49914076#0 12159673#0 12159673#1 393884751 43569848 30953391 12113092 51758697#1-AddedOnRampEdge 51758697#1" probability="0.04"/&gt;</t>
  </si>
  <si>
    <t xml:space="preserve">    &lt;route id="Router3_138" edges="49887339#0.596 49887339#0-AddedOffRampEdge 49887339#1 49887339#1-AddedOffRampEdge 104524021 104524021-AddedOffRampEdge 12158873 121643865#0 12110705 50715233#0 50715233#0-AddedOffRampEdge 50715233#1.0 62203285#14.24 gneE59.30.0.55 gneE59.30.0.0 43539373#0.0.292.17 gneE58 gneE56 gneE54.0 62203360#0 291433361#0 132508433.0 -gneE6.0 gneE6.0 424765883 43570920#0.22 132508717#4 43539378#1 43569848 30953391 12113092 51758697#1-AddedOnRampEdge 51758697#1" probability="0.04"/&gt;</t>
  </si>
  <si>
    <t xml:space="preserve">    &lt;route id="Router3_139" edges="49887339#0.596 49887339#0-AddedOffRampEdge 49887339#1 49887339#1-AddedOffRampEdge 104524021 104524021-AddedOffRampEdge 12158873 121643865#0 12110705 50715233#0 50715233#0-AddedOffRampEdge 50715233#1.0 62203285#14.24 gneE59.30.0.55 gneE59.30.0.0 43539373#0.0.292.17 gneE58 gneE56 gneE54.0 gneE62.13 gneE81.0 gneE6.0 424765883 43539378#0.15 43539378#1 -393884751 12159702 424764853 12149178#0 50189796 50189564 12149178#2 145605533#0 145605533#1-AddedOnRampEdge 145605533#1 145605511#1-AddedOnRampEdge 145605511#12 145605511#1.148" probability="0.04"/&gt;</t>
  </si>
  <si>
    <t xml:space="preserve">    &lt;route id="Router3_141" edges="49887339#0.596 49887339#0-AddedOffRampEdge 49887339#1 49887339#1-AddedOffRampEdge 104524021 104524021-AddedOffRampEdge 12158873 121643865#0 12110705 50715233#0 50715233#0-AddedOffRampEdge 50715233#1.0 62203285#14.24 gneE59.30.0.55 gneE59.30.0.0 gneE59.0.0 gneE59.0.12 62203360#0 12159135 291433360#0 388756841#0 49914076#0 12111949#0 43539384#1.0 424764853 43539372 12167183.0 gneE82 gneE56 gneE54.0 gneE62.13 gneE81.0 gneE6.0 424765883 43539378#0.15 43539378#1 -393884751 12159702 424764853 12149178#0 50189796 50189564 12149178#2 145605533#0 145605533#1-AddedOnRampEdge 145605533#1 145605511#1-AddedOnRampEdge 145605511#12 145605511#1.148" probability="0.04"/&gt;</t>
  </si>
  <si>
    <t xml:space="preserve">    &lt;route id="Router3_142" edges="49887339#0.596 49887339#0-AddedOffRampEdge 49887339#1 49887339#1-AddedOffRampEdge 104524021 104524021-AddedOffRampEdge 12158873 121643865#0 12110705 50715233#0 50715233#0-AddedOffRampEdge 50715233#1.0 62203285#14.24 gneE59.30.0.55 gneE59.30.0.0 gneE59.0.0 gneE59.0.12 62203360#0 12159135 291433360#0 388756841#0 49914076#0 12111949#0 43539384#1.0 424764853 43539372 12167183.0 gneE82 gneE56 gneE54.0 gneE62.13 gneE81.0 gneE6.0 424765883 43539378#0.15 43539378#1 43569848 30953391 12113092 51758697#1-AddedOnRampEdge 51758697#1" probability="0.04"/&gt;</t>
  </si>
  <si>
    <t xml:space="preserve">    &lt;route id="Router3_144" edges="49887339#0.596 49887339#0-AddedOffRampEdge 49887339#1 49887339#1-AddedOffRampEdge 104524021 104524021-AddedOffRampEdge 12158873 121643865#0 12110705 50715233#0 50715233#0-AddedOffRampEdge 50715233#1.0 62203285#14.24 gneE59.30.0.55 gneE59.30.0.0 gneE59.0.0 gneE59.0.12 62203360#0 291433361#0 132508433.0 -gneE6.0 gneE81.299.0 gneE81.299.79 gneE81.299.145 -gneE8 12154353#0 196393941#1 196393941#2 28533986 43539369#2 12178843#2 12178843#3 49960982#2 43569828#0 387422128#1 43569827#0 43569827#1 43569827#2 43569827#7 43569848 30953391 424769002 424769005 424769006 424769004 30953396#1 387422132#0 387422132#1 486653633#0 484953506#3 484953506#4 12157002#0 12157002#1 12157002#3 12157002#5 12114396#4 -12156992#10 -12156992#8 -12156992#7 -12156992#6 -12156992#5 -12156992#4 -12156992#3 -12156992#2 -12156992#1 -386547297#1 -424080772#2 -424080772#1 -262962065#1 -262962063 -424080764 -424080768#1 -424080766 -104526265#1 30953497#0 30953497#2 30953497#3 42706585#0 42706585#1 30953320 30953320-AddedOffRampEdge 104526277 30953215#1-AddedOnRampEdge 30953215#1 121643865#0 12110705 50715233#0 50715233#0-AddedOffRampEdge 50715233#1.0 62203285#14.24 gneE59.30.0.55 gneE59.30.0.0 43539373#0.0.292.17 gneE58 gneE56 gneE54.0 62203360#0 291433361#0 132508433.0 -gneE6.0 gneE6.0 424765883 43539378#0.15 132508717#5 196393974#0 49914077 424767578 387422130#1 132508717#0 12149210#1 12151897#1 196393941#6 196393941#7 196393941#8 gneE87 196393974#0 388756841#0 49914076#0 12159673#0 12159673#1 393884751 43569848 30953391 12113092 51758697#1-AddedOnRampEdge 51758697#1 -gneE46.0 43357850.4841.18 gneE46 49887339#0.596 49887339#0-AddedOffRampEdge 49887339#1 49887339#1-AddedOffRampEdge 104524021 104524021-AddedOffRampEdge 50192637#0 50192637#1-AddedOnRampEdge 50192637#1.0.0 50192637#1.0.382.0.0 50192637#1.697 50192637#1-AddedOffRampEdge 30953181#1 30953181#2-AddedOnRampEdge 30953181#2 30953181#3-AddedOnRampEdge 30953181#3 30953181#3-AddedOffRampEdge 30952933#1.0 30952933#1.199" probability="0.04"/&gt;</t>
  </si>
  <si>
    <t xml:space="preserve">    &lt;route id="Router3_164" edges="62203360#0 12159135 291433360#0 388756841#0 49914076#0 12111949#0 43539384#1.0 424764853 43539372 12167183.0 gneE82 gneE56 gneE54.0 gneE62.13 gneE81.0 gneE6.0 424765883 43539378#0.15 43539378#1 -393884751 12159702 424764853 12149178#0 50189796 50189564 12149178#2 145605533#0 145605533#1-AddedOnRampEdge 145605533#1 145605511#1-AddedOnRampEdge 145605511#12 145605511#1.148" probability="0.04"/&gt;</t>
  </si>
  <si>
    <t xml:space="preserve">    &lt;route id="Router3_165" edges="62203360#0 291433361#0 132508433.0 -gneE6.0 gneE6.0 424765883 43539378#0.15 132508717#5 196393974#0 49914077 424767578 387422130#1 132508717#0 12149210#1 12151897#1 196393941#6 196393941#7 196393941#8 gneE87 196393974#0 388756841#0 49914076#0 12159673#0 12159673#1 393884751 43569848 30953391 12113092 51758697#1-AddedOnRampEdge 51758697#1" probability="0.04"/&gt;</t>
  </si>
  <si>
    <t xml:space="preserve">    &lt;route id="Router3_166" edges="62203360#0 291433361#0 132508433.0 -gneE6.0 gneE6.0 424765883 43570920#0.22 132508717#4 43539378#1 43569848 30953391 12113092 51758697#1-AddedOnRampEdge 51758697#1" probability="0.04"/&gt;</t>
  </si>
  <si>
    <t xml:space="preserve">    &lt;route id="Router3_50" edges="196393940#0 62203285#0 62203285#2 62203285#3 62203285#5 62203285#6 62203285#7 62203285#8 62203285#9 62203285#10 62203285#11 62203285#13 62203285#14.0 62203285#14.24 gneE59.30.0.55 gneE59.30.0.0 43539373#0.0.292.17 gneE58 gneE56 gneE54.0 62203360#0 291433361#0 132508433.0 -gneE6.0 gneE6.0 424765883 43539378#0.15 132508717#5 196393974#0 49914077 424767578 387422130#1 132508717#0 12149210#1 12151897#1 196393941#6 196393941#7 196393941#8 gneE87 196393974#0 388756841#0 49914076#0 12159673#0 12159673#1 393884751 43569848 30953391 12113092 51758697#1-AddedOnRampEdge 51758697#1" probability="0.04"/&gt;</t>
  </si>
  <si>
    <t xml:space="preserve">    &lt;route id="Router3_51" edges="196393940#0 62203285#0 62203285#2 62203285#3 62203285#5 62203285#6 62203285#7 62203285#8 62203285#9 62203285#10 62203285#11 62203285#13 62203285#14.0 62203285#14.24 gneE59.30.0.55 gneE59.30.0.0 gneE59.0.0 gneE59.0.12 62203360#0 291433361#0 132508433.0 -gneE6.0 gneE81.299.0 gneE81.299.79 gneE81.299.145 -gneE8 12154353#0 196393941#1 196393941#2 28533986 43539369#2 12178843#2 12178843#3 49960982#2 43569828#0 387422128#1 43569827#0 43569827#1 43569827#2 43569827#7 43569848 30953391 424769002 424769005 424769006 424769004 30953396#1 387422132#0 387422132#1 486653633#0 484953506#3 484953506#4 12157002#0 12157002#1 12157002#3 12157002#5 12114396#4 -12156992#10 -12156992#8 -12156992#7 -12156992#6 -12156992#5 -12156992#4 -12156992#3 -12156992#2 -12156992#1 -386547297#1 -424080772#2 -424080772#1 -262962065#1 -262962063 -424080764 -424080768#1 -424080766 -104526265#1 30953497#0 30953497#2 30953497#3 42706585#0 42706585#1 30953320 30953320-AddedOffRampEdge 104526277 30953215#1-AddedOnRampEdge 30953215#1 121643865#0 12110705 50715233#0 50715233#0-AddedOffRampEdge 50715233#1.0 62203285#14.24 gneE59.30.0.55 gneE59.30.0.0 43539373#0.0.292.17 gneE58 gneE56 gneE54.0 62203360#0 291433361#0 132508433.0 -gneE6.0 gneE6.0 424765883 43539378#0.15 132508717#5 196393974#0 49914077 424767578 387422130#1 132508717#0 12149210#1 12151897#1 196393941#6 196393941#7 196393941#8 gneE87 196393974#0 388756841#0 49914076#0 12159673#0 12159673#1 393884751 43569848 30953391 12113092 51758697#1-AddedOnRampEdge 51758697#1" probability="0.04"/&gt;</t>
  </si>
  <si>
    <t>&lt;routeDistribution id="676-on-ramp-from-30-n-76-2016-RouteProbe"&gt;</t>
  </si>
  <si>
    <t xml:space="preserve">    &lt;route id="Router3_114" edges="31909473.0 31909473.857 62634019#1-AddedOnRampEdge 62634019#1 62634019#2.0 62634019#2.242 62634019#3-AddedOnRampEdge 62634019#3 62634019#3-AddedOffRampEdge 30953251#1.0 30953251#1-AddedOffRampEdge 12112003 30953215#1-AddedOnRampEdge 30953215#1 121643865#0 12110705 50715233#0 50715233#0-AddedOffRampEdge 50715233#1.0 62203285#14.24 gneE59.30.0.55 gneE59.30.0.0 gneE59.0.0 gneE59.0.12 62203360#0 12159135 291433360#0 388756841#0 49914076#0 12111949#0 43539384#1.0 424764853 12149178#0 12149178#1 12149178#2 50189577 62203295 145605533#1-AddedOnRampEdge 145605533#1 145605511#1-AddedOnRampEdge 145605511#12 145605511#1.148" probability="0.1"/&gt;</t>
  </si>
  <si>
    <t xml:space="preserve">    &lt;route id="Router3_115" edges="31909473.0 31909473.857 62634019#1-AddedOnRampEdge 62634019#1 62634019#2.0 62634019#2.242 62634019#3-AddedOnRampEdge 62634019#3 62634019#3-AddedOffRampEdge 30953251#1.0 30953251#1-AddedOffRampEdge 12112003 30953215#1-AddedOnRampEdge 30953215#1 121643865#0 12110705 50715233#0 50715233#0-AddedOffRampEdge 50715233#1.0 62203285#14.24 gneE59.30.0.55 gneE59.30.0.0 gneE59.0.0 gneE59.0.12 62203360#0 12159135 291433360#0 388756841#0 49914076#0 12111949#0 43539384#1.0 424764853 43539372 12167183.0 gneE82 gneE56 gneE54.0 gneE62.13 gneE81.0 gneE6.0 424765883 43539378#0.15 43539378#1 -393884751 12159702 424764853 12149178#0 50189796 50189564 12149178#2 145605533#0 145605533#1-AddedOnRampEdge 145605533#1 145605511#1-AddedOnRampEdge 145605511#12 145605511#1.148" probability="0.1"/&gt;</t>
  </si>
  <si>
    <t xml:space="preserve">    &lt;route id="Router3_116" edges="31909473.0 31909473.857 62634019#1-AddedOnRampEdge 62634019#1 62634019#2.0 62634019#2.242 62634019#3-AddedOnRampEdge 62634019#3 62634019#3-AddedOffRampEdge 30953251#1.0 30953251#1-AddedOffRampEdge 12112003 30953215#1-AddedOnRampEdge 30953215#1 121643865#0 12110705 50715233#0 50715233#0-AddedOffRampEdge 50715233#1.0 62203285#14.24 gneE59.30.0.55 gneE59.30.0.0 gneE59.0.0 gneE59.0.12 62203360#0 291433361#0 132508433.0 -gneE6.0 gneE81.299.0 gneE81.299.79 gneE81.299.145 -gneE8 12154353#0 196393941#1 196393941#2 28533986 43539369#2 12178843#2 12178843#3 49960982#2 43569828#0 387422128#1 43569827#0 43569827#1 43569827#2 43569827#7 43569848 30953391 424769002 424769005 424769006 424769004 30953396#1 387422132#0 387422132#1 486653633#0 484953506#3 484953506#4 12157002#0 12157002#1 12157002#3 12157002#5 12114396#4 -12156992#10 -12156992#8 -12156992#7 -12156992#6 -12156992#5 -12156992#4 -12156992#3 -12156992#2 -12156992#1 -386547297#1 -424080772#2 -424080772#1 -262962065#1 -262962063 -424080764 -424080768#1 -424080766 -104526265#1 -262962068#1 -424080774 -32122059#1 -32122059#0 -196393940#2 -196393940#0" probability="0.1"/&gt;</t>
  </si>
  <si>
    <t xml:space="preserve">    &lt;route id="Router3_117" edges="31909473.0 31909473.857 62634019#1-AddedOnRampEdge 62634019#1 62634019#2.0 62634019#2.242 62634019#3-AddedOnRampEdge 62634019#3 62634019#3-AddedOffRampEdge 30953251#1.0 30953251#1-AddedOffRampEdge 12112003 30953215#1-AddedOnRampEdge 30953215#1 121643865#0 12110705 50715233#0 50715233#0-AddedOffRampEdge 50715233#1.0 62203285#14.24 gneE59.30.0.55 gneE59.30.0.0 gneE59.0.0 gneE59.0.12 62203360#0 291433361#0 132508433.0 -gneE6.0 gneE81.299.0 gneE81.299.79 gneE81.299.145 -gneE8 12154353#0 196393941#1 196393941#2 28533986 43539369#2 12178843#2 12178843#3 49960982#2 43569828#0 387422128#1 43569827#0 43569827#1 43569827#2 43569827#7 43569848 30953391 424769002 424769005 424769006 424769004 30953396#1 387422132#0 387422132#1 486653633#0 484953506#3 484953506#4 12157002#0 12157002#1 12157002#3 12157002#5 12114396#4 -12156992#10 -12156992#8 -12156992#7 -12156992#6 -12156992#5 -12156992#4 -12156992#3 -12156992#2 -12156992#1 -386547297#1 -424080772#2 -424080772#1 -262962065#1 -262962063 -424080764 -424080768#1 -424080766 -104526265#1 30953497#0 30953497#2 30953497#3 42706585#0 42706585#1 30953320 30953320-AddedOffRampEdge 104526277 30953215#1-AddedOnRampEdge 30953215#1 121643865#0 12110705 50715233#0 50715233#0-AddedOffRampEdge 50715233#1.0 62203285#14.24 gneE59.30.0.55 gneE59.30.0.0 gneE59.0.0 gneE59.0.12 62203360#0 12159135 12149408#0 49914077 424767578 43569819 387422128#1 43569827#0 43569827#1 43569827#2 43569827#7 43569848 30953391 424769002 424769005 424769006 424769004 30953396#1 -424769003#1 -424769003#0 -485017374 42706828#0 42706828#2 12182281#0 12182281#3 12182281#5 12182281#6 386995507#4 386995507#5 386995507#6 12152013#1 12152013#2 -12175537#6 -12175537#5 -12175537#4 12182281#9 12182281#10 -388756839#1 -388756839#0 -50033059#4 -50033059#3 -50033059#2 -50033059#1 -50033558#8 -51155368#3 121319046 12188656 -50033558#2 12203859#0 12203859#1 42706831#4 42706831#5 42706831#6 42706874#0 42706874#2 12144152#0 12144152#2 450844953#0 450844953#2 450844953#3 450844947#0 388533142#0 388533142#2 388533142#4 62623926#0 62623926#1 450844950#0 12189453#0.0.0 450844982#0.19 62203497#0 62203497#2 62203497#3 12134479#1 34685684#0 34685684#2 388533143#0 388533143#2 12140627#0 63060729#0 -264253834#2 12156992#4 12156992#5 12156992#6 12156992#7 12156992#8 12156992#9 -12114396#5 -12114396#3 -12114396#1 485017383#0 485017382#0 485017382#1 211575484#0 -12177521#3 -12177521#2 -12177521#1 32121111#12 32121111#14 -12187610#5 -12187610#2 -12187610#1 12150608#0 32121146#2 12117702#9 450844953#0 450844953#2 450844953#3 450844947#0 388533142#0 388533142#2 388533142#4 62623926#0 62623926#1 450844950#0 38502259#0.19 450844933#1 196207110#0 196207110#2" probability="0.1"/&gt;</t>
  </si>
  <si>
    <t xml:space="preserve">    &lt;route id="Router3_118" edges="31909473.0 31909473.857 62634019#1-AddedOnRampEdge 62634019#1 62634019#2.0 62634019#2.242 62634019#3-AddedOnRampEdge 62634019#3 62634019#3-AddedOffRampEdge 30953251#1.0 30953251#1-AddedOffRampEdge 12112003 30953215#1-AddedOnRampEdge 30953215#1 121643865#0 12110705 50715233#0 50715233#0-AddedOffRampEdge 50715233#1.0 62203285#14.24 gneE59.30.0.55 gneE59.30.0.0 gneE59.0.0 gneE59.0.12 62203360#0 291433361#0 132508433.0 -gneE6.0 gneE81.299.0 gneE81.299.79 gneE81.299.145 -gneE8 12154353#0 196393941#1 196393941#2 28533986 43539369#2 12178843#2 12178843#3 49960982#2 43569828#0 387422128#1 43569827#0 43569827#1 43569827#2 43569827#7 43569848 30953391 424769002 424769005 424769006 424769004 30953396#1 387422132#0 387422132#1 486653633#0 484953506#3 484953506#4 12157002#0 12157002#1 12157002#3 12157002#5 12114396#4 -12156992#10 -12156992#8 -12156992#7 -12156992#6 -12156992#5 -12156992#4 -12156992#3 -12156992#2 -12156992#1 -386547297#1 -424080772#2 -424080772#1 -262962065#1 -262962063 -424080764 -424080768#1 -424080766 -104526265#1 30953497#0 30953497#2 30953497#3 42706585#0 42706585#1 30953320 30953320-AddedOffRampEdge 104526277 30953215#1-AddedOnRampEdge 30953215#1 121643865#0 12110705 50715233#0 50715233#0-AddedOffRampEdge 50715233#1.0 62203285#14.24 gneE59.30.0.55 gneE59.30.0.0 gneE59.0.0 gneE59.0.12 62203360#0 12159135 12149408#0 49914077 424767578 43569819 387422128#1 43569827#0 43569827#1 43569827#2 43569827#7 43569848 30953391 424769002 424769005 424769006 424769004 30953396#1 -424769003#1 -424769003#0 -485017374 42706828#0 42706828#2 12182281#0 12182281#3 12182281#5 12182281#6 386995507#4 386995507#5 386995507#6 12152013#1 12152013#2 -12175537#6 -12175537#5 -12175537#4 12182281#9 12182281#10 -388756839#1 -388756839#0 -50033059#4 -50033059#3 -50033059#2 -50033059#1 42706833#0 42706833#2 -42706825#7 12199713#0 12199713#1 -386995514#6 -386995514#5 -386995514#4 -386995514#3 -386995514#2 -386995514#1 12159500#1 12159500#2 51050030#7 gneE35 -gneE34.0 --gneE83.0" probability="0.1"/&gt;</t>
  </si>
  <si>
    <t xml:space="preserve">    &lt;route id="Router3_119" edges="31909473.0 31909473.857 62634019#1-AddedOnRampEdge 62634019#1 62634019#2.0 62634019#2.242 62634019#3-AddedOnRampEdge 62634019#3 62634019#3-AddedOffRampEdge 30953251#1.0 30953251#1-AddedOffRampEdge 12112003 30953215#1-AddedOnRampEdge 30953215#1 121643865#0 12110705 50715233#0 50715233#0-AddedOffRampEdge 50715233#1.0 62203285#14.24 gneE59.30.0.55 gneE59.30.0.0 gneE59.0.0 gneE59.0.12 62203360#0 291433361#0 132508433.0 -gneE6.0 gneE81.299.0 gneE81.299.79 gneE81.299.145 -gneE8 12154353#0 196393941#1 196393941#2 28533986 43539369#2 12178843#2 12178843#3 49960982#2 43569828#0 387422128#1 43569827#0 43569827#1 43569827#2 43569827#7 43569848 30953391 424769002 424769005 424769006 424769004 30953396#1 387422132#0 387422132#1 486653633#0 484953506#3 484953506#4 12157002#0 12157002#1 12157002#3 12157002#5 12114396#4 -12156992#10 -12156992#8 -12156992#7 -12156992#6 -12156992#5 -12156992#4 -12156992#3 -12156992#2 -12156992#1 -386547297#1 -424080772#2 -424080772#1 -262962065#1 -262962063 -424080764 -424080768#1 -424080766 -104526265#1 30953497#0 30953497#2 35920555#0.0 35920555#0.75 62203066 43331031.0 43331031.436 42706585#0 42706585#1 30953320 30953320-AddedOffRampEdge 30953315 104526276-AddedOnRampEdge 104526276 51758697#0 51758697#1-AddedOnRampEdge 51758697#1" probability="0.1"/&gt;</t>
  </si>
  <si>
    <t xml:space="preserve">    &lt;route id="Router3_50" edges="196393940#0 62203285#0 62203285#2 62203285#3 62203285#5 62203285#6 62203285#7 62203285#8 62203285#9 62203285#10 62203285#11 62203285#13 62203285#14.0 62203285#14.24 gneE59.30.0.55 gneE59.30.0.0 43539373#0.0.292.17 gneE58 gneE56 gneE54.0 62203360#0 291433361#0 132508433.0 -gneE6.0 gneE6.0 424765883 43539378#0.15 132508717#5 196393974#0 49914077 424767578 387422130#1 132508717#0 12149210#1 12151897#1 196393941#6 196393941#7 196393941#8 gneE87 196393974#0 388756841#0 49914076#0 12159673#0 12159673#1 393884751 43569848 30953391 12113092 51758697#1-AddedOnRampEdge 51758697#1" probability="0.1"/&gt;</t>
  </si>
  <si>
    <t xml:space="preserve">    &lt;route id="Router3_51" edges="196393940#0 62203285#0 62203285#2 62203285#3 62203285#5 62203285#6 62203285#7 62203285#8 62203285#9 62203285#10 62203285#11 62203285#13 62203285#14.0 62203285#14.24 gneE59.30.0.55 gneE59.30.0.0 gneE59.0.0 gneE59.0.12 62203360#0 291433361#0 132508433.0 -gneE6.0 gneE81.299.0 gneE81.299.79 gneE81.299.145 -gneE8 12154353#0 196393941#1 196393941#2 28533986 43539369#2 12178843#2 12178843#3 49960982#2 43569828#0 387422128#1 43569827#0 43569827#1 43569827#2 43569827#7 43569848 30953391 424769002 424769005 424769006 424769004 30953396#1 387422132#0 387422132#1 486653633#0 484953506#3 484953506#4 12157002#0 12157002#1 12157002#3 12157002#5 12114396#4 -12156992#10 -12156992#8 -12156992#7 -12156992#6 -12156992#5 -12156992#4 -12156992#3 -12156992#2 -12156992#1 -386547297#1 -424080772#2 -424080772#1 -262962065#1 -262962063 -424080764 -424080768#1 -424080766 -104526265#1 30953497#0 30953497#2 30953497#3 42706585#0 42706585#1 30953320 30953320-AddedOffRampEdge 104526277 30953215#1-AddedOnRampEdge 30953215#1 121643865#0 12110705 50715233#0 50715233#0-AddedOffRampEdge 50715233#1.0 62203285#14.24 gneE59.30.0.55 gneE59.30.0.0 43539373#0.0.292.17 gneE58 gneE56 gneE54.0 62203360#0 291433361#0 132508433.0 -gneE6.0 gneE6.0 424765883 43539378#0.15 132508717#5 196393974#0 49914077 424767578 387422130#1 132508717#0 12149210#1 12151897#1 196393941#6 196393941#7 196393941#8 gneE87 196393974#0 388756841#0 49914076#0 12159673#0 12159673#1 393884751 43569848 30953391 12113092 51758697#1-AddedOnRampEdge 51758697#1" probability="0.1"/&gt;</t>
  </si>
  <si>
    <t>&lt;routeDistribution id="22nd-Chesnut-to-Market-NB-2015-RouteProbe"&gt;</t>
  </si>
  <si>
    <t xml:space="preserve">    &lt;route id="Router3_65" edges="31909473.0 31909473.857 62634019#1-AddedOnRampEdge 62634019#1 30953036 424081476 -424987520 -30953029#1 -30953029#0 -424987519 12169718#0 12169718#1 424804090#0 424804090#1 424804090#2 424804090#3 424804090#4 132508920#2 132508920#3 132508920#4 132508920#5 424080762#0 424080762#1 424080762#2 424080762#3 424080762#4 424080762#5 179915585#2 12171853#2 12198567#4 12198567#5 12152219#0 12152219#1 12152236 132508920#12 132508897#0 132508897#1 132508897#2 132508897#3 394179820#0 394179820#1 394179820#2 394179820#3 394179820#4 196355327#1 196355327#2 196355327#5 196393940#1 196207112#0 32122059#1 424080774 262962068#0.0 104526265#0.14 424080766 424080768#0 104523976#1 262962063 12189051#0 -12189051#1 424080770#0 424080772#0 12119506#0 -12156992#1 -386547297#1 -424080772#2 -424080772#1 -424080761#1 -62623960 62623959#0 386547296#0 386547296#1 424080773#0 279870839#0 279870839#2 450844960#0 62623926#1 450844950#0 38502259#0.19 450844933#1 196207115#0 196207115#2 196207115#3 196355332#0 450844979#0.0 450844982#0.19 62203497#0 62203497#2 62203497#3 12134479#1 34685684#0 34685684#2 388533143#0 388533143#2 12140627#0 63060729#0 -264253834#2 12156992#4 12156992#5 12156992#6 12156992#7 12156992#8 12156992#9 -12114396#5 -12114396#3 -12114396#1 485017383#0 485017382#0 485017382#1 211575484#0 -12177521#3 -12177521#2 -12177521#1 32121111#12 32121111#14 -12187610#5 -12187610#2 -12187610#1 12150608#0 32121146#2 12117702#9 450844953#0 450844953#2 450844953#3 450844947#0 388533142#0 388533142#2 388533142#4 62623926#0 62623926#1 450844950#0 38502259#0.19 450844933#1 196207110#0 196355327#2 196355327#5 -196393940#0" probability="0.111111111111111"/&gt;</t>
  </si>
  <si>
    <t xml:space="preserve">    &lt;route id="Router3_66" edges="31909473.0 31909473.857 62634019#1-AddedOnRampEdge 62634019#1 30953036 424081476 -424987520 -30953029#1 -30953029#0 -424987519 12169718#0 12169718#1 424804090#0 424804090#1 424804090#2 424804090#3 424804090#4 132508920#2 132508920#3 132508920#4 132508920#5 424080762#0 424080762#1 424080762#2 424080762#3 424080762#4 424080762#5 179915585#2 12171853#2 12198567#4 12198567#5 12152219#0 12152219#1 12152236 132508920#12 132508897#0 132508897#1 132508897#2 132508897#3 394179820#0 394179820#1 394179820#2 394179820#3 394179820#4 196355327#1 196355327#2 196355327#5 196393940#1 196207112#0 32122059#1 424080774 262962068#0.0 30953497#0 30953497#2 30953497#3 42706585#0 42706585#1 30953320 30953320-AddedOffRampEdge 104526277 30953215#1-AddedOnRampEdge 30953215#1 121643865#0 12110705 50715233#0 50715233#0-AddedOffRampEdge 50715233#1.0 62203285#14.24 gneE59.30.0.55 gneE59.30.0.0 43539373#0.0.292.17 gneE58 gneE56 gneE54.0 62203360#0 291433361#0 132508433.0 -gneE6.0 gneE6.0 424765883 43570920#0.22 132508717#4 43539378#1 43569848 30953391 12113092 51758697#1-AddedOnRampEdge 51758697#1" probability="0.111111111111111"/&gt;</t>
  </si>
  <si>
    <t xml:space="preserve">    &lt;route id="Router3_67" edges="31909473.0 31909473.857 62634019#1-AddedOnRampEdge 62634019#1 30953036 424081476 -424987520 -30953029#1 -30953029#0 -424987519 12169718#0 12169718#1 424804090#0 424804090#1 424804090#2 424804090#3 424804090#4 132508920#2 132508920#3 132508920#4 132508920#5 424080762#0 424080762#1 424080762#2 424080762#3 424080762#4 424080762#5 179915585#2 12171853#2 12198567#4 12198567#5 12152219#0 12152219#1 12152236 132508920#12 132508897#0 132508897#1 132508897#2 132508897#3 394179820#0 394179820#1 394179820#2 394179820#3 394179820#4 196355327#1 196355327#2 196355327#5 196393940#1 196207112#0 32122059#1 424080774 262962068#0.0 30953497#0 30953497#2 30953497#3 42706585#0 42706585#1 30953320 30953320-AddedOffRampEdge 104526277 30953215#1-AddedOnRampEdge 30953215#1 121643865#0 121643865#1 145605511#1-AddedOnRampEdge 145605511#12 145605511#1.148" probability="0.111111111111111"/&gt;</t>
  </si>
  <si>
    <t xml:space="preserve">    &lt;route id="Router3_92" edges="31909473.0 31909473.857 62634019#1-AddedOnRampEdge 62634019#1 62634019#2.0 62634019#2.242 62634019#3-AddedOnRampEdge 62634019#3 62634019#3-AddedOffRampEdge 12111747.0 59671945#0.30 62093806#0 104526265#0.14 424080766 424080768#0 104523976#1 262962063 12189051#0 -12189051#1 424080770#0 424080772#0 12119506#0 -12156992#1 -386547297#1 -424080772#2 -424080772#1 -424080761#1 -62623960 62623959#0 386547296#0 386547296#1 424080773#0 279870839#0 279870839#2 450844960#0 62623926#1 450844950#0 38502259#0.19 450844933#1 196207115#0 196207115#2 196207115#3 196355332#0 450844979#0.0 450844982#0.19 62203497#0 62203497#2 62203497#3 12134479#1 34685684#0 34685684#2 388533143#0 388533143#2 12140627#0 63060729#0 -264253834#2 12156992#4 12156992#5 12156992#6 12156992#7 12156992#8 12156992#9 -12114396#5 -12114396#3 -12114396#1 485017383#0 485017382#0 485017382#1 211575484#0 -12177521#3 -12177521#2 -12177521#1 32121111#12 32121111#14 -12187610#5 -12187610#2 -12187610#1 12150608#0 32121146#2 12117702#9 450844953#0 450844953#2 450844953#3 450844947#0 388533142#0 388533142#2 388533142#4 62623926#0 62623926#1 450844950#0 38502259#0.19 450844933#1 196207110#0 196355327#2 196355327#5 -196393940#0" probability="0.111111111111111"/&gt;</t>
  </si>
  <si>
    <t xml:space="preserve">    &lt;route id="Router3_104" edges="31909473.0 31909473.857 62634019#1-AddedOnRampEdge 62634019#1 62634019#2.0 62634019#2.242 62634019#3-AddedOnRampEdge 62634019#3 62634019#3-AddedOffRampEdge 12111747.0 62203498#0 62093806#0 104526265#0.14 424080766 424080768#0 104523976#1 262962063 424080770#0 -424080761#1 -62623960 62623959#0 386547296#0 386547296#1 424080773#0 279870839#0 279870839#2 450844960#0 62623926#1 450844950#0 38502259#0.19 450844933#1 196207110#0 196355327#2 196355327#5 -196393940#0" probability="0.111111111111111"/&gt;</t>
  </si>
  <si>
    <t xml:space="preserve">    &lt;route id="Router3_38" edges="195815883#2 195815883#3 394179820#4 196355327#1 196355327#2 196355327#5 -196393940#0" probability="0.111111111111111"/&gt;</t>
  </si>
  <si>
    <t xml:space="preserve">    &lt;route id="Router3_39" edges="195815883#2 195815883#3 394179820#4 196355327#1 196355327#2 196355327#5 62203285#0 62203285#2 62203285#3 62203285#5 42706664#7 42706664#8 12186741#4 12186741#5 -196393940#2 -196393940#0" probability="0.111111111111111"/&gt;</t>
  </si>
  <si>
    <t>&lt;routeDistribution id="33rd-Chesnut-to-Market-NB-2015-RouteProbe"&gt;</t>
  </si>
  <si>
    <t xml:space="preserve">    &lt;route id="Router3_42" edges="195815883#2 195815883#3 450844975 450844970#0 196355332#0 450844979#0.0 12114109#0.45.0 38502259#0.19 450844933#1 196207115#0 196207115#2 43538931#0 43538931#1 -43538931#1 -43538931#0 196207115#3 196355332#0 450844979#0.0 450844982#0.19 62203497#0 62203497#2 62203497#3 12134479#1 34685684#0 34685684#2 388533143#0 388533143#2 12140627#0 63060729#0 -264253834#2 12156992#4 12156992#5 12156992#6 12156992#7 12156992#8 12156992#9 -12114396#5 -12114396#3 -12114396#1 485017383#0 485017382#0 485017382#1 211575484#0 -12177521#3 -12177521#2 -12177521#1 32121111#12 32121111#14 -12187610#5 -12187610#2 -12187610#1 12150608#0 32121146#2 12117702#9 450844953#0 450844953#2 450844953#3 450844947#0 388533142#0 388533142#2 388533142#4 62623926#0 62623926#1 450844950#0 38502259#0.19 450844933#1 196207110#0 196207110#2" probability="0.0454545454545455"/&gt;</t>
  </si>
  <si>
    <t xml:space="preserve">    &lt;route id="Router3_43" edges="195815883#2 195815883#3 450844975 450844970#0 196355332#0 450844979#0.0 12114109#0.45.0 38502259#0.19 450844933#1 196207115#0 196207115#2 43538931#0 43538931#1 -43538931#1 -43538931#0 196207115#3 196355332#0 450844979#0.0 450844982#0.19 62203497#0 62203497#2 62203497#3 12134479#1 34685684#0 34685684#2 450844947#0 388533142#0 388533142#2 388533142#4 62623926#0 62623926#1 450844950#0 12189453#0.0.0 450844982#0.19 62203497#0 62203497#2 62203497#3 12134479#1 34685684#0 34685684#2 388533143#0 388533143#2 12140627#0 63060729#0 -264253834#2 12156992#4 12156992#5 12156992#6 12156992#7 12156992#8 12156992#9 484953505 12148522#0 485017381#0 485017381#1 -30953396#1 -30953396#0 -424769006 -424769005 -424769002 -30953391 -43569848 -393884751 12159702 424764853 12149178#0 50189796 50189564 12149178#2 145605533#0 145605533#1-AddedOnRampEdge 145605533#1 145605511#1-AddedOnRampEdge 145605511#12 145605511#1.148" probability="0.0454545454545455"/&gt;</t>
  </si>
  <si>
    <t xml:space="preserve">    &lt;route id="Router3_45" edges="196393940#0 62203285#0 62203285#2 62203285#3 62203285#5 42706664#7 12142298#0 12142298#1 62203286#2 12186741#2 12186741#4 12186741#5 12142723#0 12142723#3 12142723#4 12187745 32118649#2 32118649#3 -43538931#1 -43538931#0 196207115#3 196355332#0 450844979#0.0 450844982#0.19 62203497#0 62203497#2 62203497#3 12134479#1 34685684#0 34685684#2 388533143#0 388533143#2 12140627#0 63060729#0 -264253834#2 12156992#4 12156992#5 12156992#6 12156992#7 12156992#8 12156992#9 -12114396#5 -12114396#3 -12114396#1 485017383#0 485017382#0 485017382#1 211575484#0 -12177521#3 -12177521#2 -12177521#1 32121111#12 32121111#14 -12187610#5 -12187610#2 -12187610#1 12150608#0 32121146#2 12117702#9 450844953#0 450844953#2 450844953#3 450844947#0 388533142#0 388533142#2 388533142#4 62623926#0 62623926#1 450844950#0 38502259#0.19 450844933#1 196207110#0 196207110#2" probability="0.0454545454545455"/&gt;</t>
  </si>
  <si>
    <t xml:space="preserve">    &lt;route id="Router3_48" edges="196393940#0 62203285#0 62203285#2 62203285#3 62203285#5 42706664#7 42706664#8 12186741#4 12186741#5 12142723#0 12142723#3 12142723#4 12187745 32118649#2 32118649#3 -43538931#1 -43538931#0 196207115#3 196355332#0 450844979#0.0 450844982#0.19 62203497#0 62203497#2 62203497#3 12134479#1 34685684#0 34685684#2 450844947#0 388533142#0 388533142#2 388533142#4 62623926#0 62623926#1 450844950#0 12189453#0.0.0 450844982#0.19 62203497#0 62203497#2 62203497#3 12134479#1 34685684#0 34685684#2 388533143#0 388533143#2 12140627#0 63060729#0 -264253834#2 12156992#4 12156992#5 12156992#6 12156992#7 12156992#8 12156992#9 484953505 12148522#0 485017381#0 485017381#1 -30953396#1 -30953396#0 -424769006 -424769005 -424769002 -30953391 -43569848 -393884751 12159702 424764853 12149178#0 50189796 50189564 12149178#2 145605533#0 145605533#1-AddedOnRampEdge 145605533#1 145605511#1-AddedOnRampEdge 145605511#12 145605511#1.148" probability="0.0454545454545455"/&gt;</t>
  </si>
  <si>
    <t xml:space="preserve">    &lt;route id="Router3_49" edges="196393940#0 62203285#0 62203285#2 62203285#3 62203285#5 42706664#7 42706664#8 12186741#4 12186741#5 196207112#0 32122059#1 424080774 262962068#0.0 104526265#0.14 424080766 424080768#0 104523976#1 262962063 12189051#0 -12189051#1 424080770#0 424080772#0 12119506#0 -12156992#1 -386547297#1 -424080772#2 -424080772#1 -424080761#1 -62623960 62623959#0 386547296#0 386547296#1 424080773#0 279870839#0 279870839#2 450844960#0 62623926#1 450844950#0 38502259#0.19 450844933#1 196207115#0 196207115#2 196207115#3 196355332#0 450844979#0.0 450844982#0.19 62203497#0 62203497#2 62203497#3 12134479#1 34685684#0 34685684#2 388533143#0 388533143#2 12140627#0 63060729#0 -264253834#2 12156992#4 12156992#5 12156992#6 12156992#7 12156992#8 12156992#9 -12114396#5 -12114396#3 -12114396#1 485017383#0 485017382#0 485017382#1 211575484#0 -12177521#3 -12177521#2 -12177521#1 32121111#12 32121111#14 -12187610#5 -12187610#2 -12187610#1 12150608#0 32121146#2 12117702#9 450844953#0 450844953#2 450844953#3 450844947#0 388533142#0 388533142#2 388533142#4 62623926#0 62623926#1 450844950#0 38502259#0.19 450844933#1 196207110#0 196207110#2" probability="0.0454545454545455"/&gt;</t>
  </si>
  <si>
    <t xml:space="preserve">    &lt;route id="Router3_56" edges="196393940#0 62203285#0 62203285#2 62203285#3 62203285#5 62203285#6 62203285#7 62203286#0 -12142298#1 -12142298#0 42706664#8 12186741#4 12186741#5 12142723#0 12142723#3 12142723#4 12187745 32118649#2 32118649#3 -43538931#1 -43538931#0 196207115#3 196355332#0 450844979#0.0 450844982#0.19 62203497#0 62203497#2 62203497#3 12134479#1 34685684#0 34685684#2 388533143#0 388533143#2 12140627#0 63060729#0 -264253834#2 12156992#4 12156992#5 12156992#6 12156992#7 12156992#8 12156992#9 -12114396#5 -12114396#3 -12114396#1 485017383#0 485017382#0 485017382#1 211575484#0 -12177521#3 -12177521#2 -12177521#1 32121111#12 32121111#14 -12187610#5 -12187610#2 -12187610#1 12150608#0 32121146#2 12117702#9 450844953#0 450844953#2 450844953#3 450844947#0 388533142#0 388533142#2 388533142#4 62623926#0 62623926#1 450844950#0 38502259#0.19 450844933#1 196207110#0 196207110#2" probability="0.0454545454545455"/&gt;</t>
  </si>
  <si>
    <t xml:space="preserve">    &lt;route id="Router3_65" edges="31909473.0 31909473.857 62634019#1-AddedOnRampEdge 62634019#1 30953036 424081476 -424987520 -30953029#1 -30953029#0 -424987519 12169718#0 12169718#1 424804090#0 424804090#1 424804090#2 424804090#3 424804090#4 132508920#2 132508920#3 132508920#4 132508920#5 424080762#0 424080762#1 424080762#2 424080762#3 424080762#4 424080762#5 179915585#2 12171853#2 12198567#4 12198567#5 12152219#0 12152219#1 12152236 132508920#12 132508897#0 132508897#1 132508897#2 132508897#3 394179820#0 394179820#1 394179820#2 394179820#3 394179820#4 196355327#1 196355327#2 196355327#5 196393940#1 196207112#0 32122059#1 424080774 262962068#0.0 104526265#0.14 424080766 424080768#0 104523976#1 262962063 12189051#0 -12189051#1 424080770#0 424080772#0 12119506#0 -12156992#1 -386547297#1 -424080772#2 -424080772#1 -424080761#1 -62623960 62623959#0 386547296#0 386547296#1 424080773#0 279870839#0 279870839#2 450844960#0 62623926#1 450844950#0 38502259#0.19 450844933#1 196207115#0 196207115#2 196207115#3 196355332#0 450844979#0.0 450844982#0.19 62203497#0 62203497#2 62203497#3 12134479#1 34685684#0 34685684#2 388533143#0 388533143#2 12140627#0 63060729#0 -264253834#2 12156992#4 12156992#5 12156992#6 12156992#7 12156992#8 12156992#9 -12114396#5 -12114396#3 -12114396#1 485017383#0 485017382#0 485017382#1 211575484#0 -12177521#3 -12177521#2 -12177521#1 32121111#12 32121111#14 -12187610#5 -12187610#2 -12187610#1 12150608#0 32121146#2 12117702#9 450844953#0 450844953#2 450844953#3 450844947#0 388533142#0 388533142#2 388533142#4 62623926#0 62623926#1 450844950#0 38502259#0.19 450844933#1 196207110#0 196355327#2 196355327#5 -196393940#0" probability="0.0454545454545455"/&gt;</t>
  </si>
  <si>
    <t xml:space="preserve">    &lt;route id="Router3_82" edges="31909473.0 31909473.857 62634019#1-AddedOnRampEdge 62634019#1 62634019#2.0 62634019#2.242 62634019#3-AddedOnRampEdge 62634019#3 62634019#3-AddedOffRampEdge 12111747.0 12189453#0.0.0 450844982#0.19 62203497#0 62203497#2 62203497#3 12134479#1 34685684#0 34685684#2 450844947#0 388533142#0 388533142#2 388533142#4 62623926#0 62623926#1 450844950#0 12189453#0.0.0 450844982#0.19 62203497#0 62203497#2 62203497#3 12134479#1 34685684#0 34685684#2 388533143#0 388533143#2 12140627#0 63060729#0 -264253834#2 12156992#4 12156992#5 12156992#6 12156992#7 12156992#8 12156992#9 484953505 12148522#0 -12186058#4 -12186058#1 -386995465#1 -386995504#1 386995479#0 12157718#5 12157718#7 485017376 485017373#0 387422135#0 424769003#0 424769003#1 -30953396#1 -30953396#0 -424769006 -424769005 -424769002 -30953391 -43569848 -393884751 12159702 424764853 12149178#0 50189796 50189564 12149178#2 145605533#0 145605533#1-AddedOnRampEdge 145605533#1 145605511#1-AddedOnRampEdge 145605511#12 145605511#1.148" probability="0.0454545454545455"/&gt;</t>
  </si>
  <si>
    <t xml:space="preserve">    &lt;route id="Router3_91" edges="31909473.0 31909473.857 62634019#1-AddedOnRampEdge 62634019#1 62634019#2.0 62634019#2.242 62634019#3-AddedOnRampEdge 62634019#3 62634019#3-AddedOffRampEdge 12111747.0 59671945#0.30 62093806#0 104526265#0.14 424080766 424080768#0 104523976#1 262962063 12189051#0 -12189051#1 424080770#0 424080772#0 12119506#0 -12156992#1 -386547297#1 -424080772#2 -424080772#1 -424080761#1 -62623960 62623959#0 386547296#0 386547296#1 424080773#0 279870839#0 279870839#2 450844960#0 62623926#1 450844950#0 38502259#0.19 450844933#1 196207115#0 196207115#2 196207115#3 196355332#0 450844979#0.0 450844982#0.19 62203497#0 62203497#2 62203497#3 12134479#1 34685684#0 34685684#2 388533143#0 388533143#2 12140627#0 63060729#0 -264253834#2 12156992#4 12156992#5 12156992#6 12156992#7 12156992#8 12156992#9 -12114396#5 -12114396#3 -12114396#1 485017383#0 485017382#0 485017382#1 211575484#0 -12177521#3 -12177521#2 -12177521#1 32121111#12 32121111#14 -12187610#5 -12187610#2 -12187610#1 12150608#0 32121146#2 12117702#9 450844953#0 450844953#2 450844953#3 450844947#0 388533142#0 388533142#2 388533142#4 62623926#0 62623926#1 450844950#0 38502259#0.19 450844933#1 196207110#0 196207110#2" probability="0.0454545454545455"/&gt;</t>
  </si>
  <si>
    <t xml:space="preserve">    &lt;route id="Router3_92" edges="31909473.0 31909473.857 62634019#1-AddedOnRampEdge 62634019#1 62634019#2.0 62634019#2.242 62634019#3-AddedOnRampEdge 62634019#3 62634019#3-AddedOffRampEdge 12111747.0 59671945#0.30 62093806#0 104526265#0.14 424080766 424080768#0 104523976#1 262962063 12189051#0 -12189051#1 424080770#0 424080772#0 12119506#0 -12156992#1 -386547297#1 -424080772#2 -424080772#1 -424080761#1 -62623960 62623959#0 386547296#0 386547296#1 424080773#0 279870839#0 279870839#2 450844960#0 62623926#1 450844950#0 38502259#0.19 450844933#1 196207115#0 196207115#2 196207115#3 196355332#0 450844979#0.0 450844982#0.19 62203497#0 62203497#2 62203497#3 12134479#1 34685684#0 34685684#2 388533143#0 388533143#2 12140627#0 63060729#0 -264253834#2 12156992#4 12156992#5 12156992#6 12156992#7 12156992#8 12156992#9 -12114396#5 -12114396#3 -12114396#1 485017383#0 485017382#0 485017382#1 211575484#0 -12177521#3 -12177521#2 -12177521#1 32121111#12 32121111#14 -12187610#5 -12187610#2 -12187610#1 12150608#0 32121146#2 12117702#9 450844953#0 450844953#2 450844953#3 450844947#0 388533142#0 388533142#2 388533142#4 62623926#0 62623926#1 450844950#0 38502259#0.19 450844933#1 196207110#0 196355327#2 196355327#5 -196393940#0" probability="0.0454545454545455"/&gt;</t>
  </si>
  <si>
    <t xml:space="preserve">    &lt;route id="Router3_93" edges="31909473.0 31909473.857 62634019#1-AddedOnRampEdge 62634019#1 62634019#2.0 62634019#2.242 62634019#3-AddedOnRampEdge 62634019#3 62634019#3-AddedOffRampEdge 12111747.0 59671945#0.30 62093806#0 104526265#0.14 424080766 424080768#0 104523976#1 262962063 12189051#0 -12189051#1 424080770#0 424080772#0 12119506#0 -12156992#1 -386547297#1 -424080772#2 -424080772#1 -424080761#1 -62623960 62623959#0 386547296#0 386547296#1 424080773#0 279870839#0 279870839#2 450844960#0 62623926#1 450844950#0 38502259#0.19 450844933#1 196207115#0 196207115#2 196207115#3 196355332#0 450844979#0.0 450844982#0.19 62203497#0 62203497#2 62203497#3 12134479#1 34685684#0 34685684#2 388533143#0 388533143#2 12140627#0 63060729#0 -264253834#2 12156992#4 12156992#5 12156992#6 12156992#7 12156992#8 12156992#9 484953505 12148522#0 -12186058#4 -12186058#1 -386995465#1 -386995504#1 386995479#0 12157718#5 12157718#7 485017376 485017373#0 387422135#0 424769003#0 424769003#1 -30953396#1 -30953396#0 -424769006 -424769005 -424769002 -30953391 -43569848 -393884751 12159702 424764853 12149178#0 50189796 50189564 12149178#2 145605533#0 145605533#1-AddedOnRampEdge 145605533#1 145605511#1-AddedOnRampEdge 145605511#12 145605511#1.148" probability="0.0454545454545455"/&gt;</t>
  </si>
  <si>
    <t xml:space="preserve">    &lt;route id="Router3_94" edges="31909473.0 31909473.857 62634019#1-AddedOnRampEdge 62634019#1 62634019#2.0 62634019#2.242 62634019#3-AddedOnRampEdge 62634019#3 62634019#3-AddedOffRampEdge 12111747.0 59671945#0.30 62093806#0 104526265#0.14 424080766 424080768#0 104523976#1 262962063 12189051#0 -12189051#1 424080770#0 424080772#0 12119506#0 -12156992#1 -386547297#1 -424080772#2 -424080772#1 -424080761#1 -62623960 62623959#0 386547296#0 386547296#1 424080773#0 279870839#0 279870839#2 450844960#0 62623926#1 450844950#0 38502259#0.19 450844933#1 196207115#0 196207115#2 196207115#3 196355332#0 450844979#0.0 450844982#0.19 62203497#0 62203497#2 62203497#3 12134479#1 34685684#0 34685684#2 388533143#0 388533143#2 12140627#0 63060729#0 -264253834#2 12156992#4 12156992#5 12156992#6 12156992#7 12156992#8 12156992#9 484953505 12148522#0 485017381#0 485017381#1 -30953396#1 30953396#1 -424769003#1 -424769003#0 12157002#0 12157002#1 12157002#3 12157002#5 12114396#4 -12156992#10 -12156992#8 -12156992#7 -12156992#6 -12156992#5 -12156992#4 -12156992#3 -12156992#2 -12156992#1 -386547297#1 -424080772#2 -424080772#1 -262962065#1 -262962063 -424080764 -424080768#1 -424080766 -104526265#1 -262962068#1 -424080774 -32122059#1 -32122059#0 -196393940#2 -196393940#0" probability="0.0454545454545455"/&gt;</t>
  </si>
  <si>
    <t xml:space="preserve">    &lt;route id="Router3_96" edges="31909473.0 31909473.857 62634019#1-AddedOnRampEdge 62634019#1 62634019#2.0 62634019#2.242 62634019#3-AddedOnRampEdge 62634019#3 62634019#3-AddedOffRampEdge 12111747.0 59671945#0.30 62093806#0 104526265#0.14 424080766 424080768#0 104523976#1 262962063 12189051#0 -12189051#1 424080770#0 424080772#0 12119506#0 -12156992#1 -386547297#1 -424080772#2 -424080772#1 -424080761#1 -62623960 62623959#0 386547296#0 386547296#1 424080773#0 279870839#0 279870839#2 450844960#0 62623926#1 450844950#0 38502259#0.19 450844933#1 196207115#0 196207115#2 196207115#3 196355332#0 450844979#0.0 450844982#0.19 62203497#0 62203497#2 62203497#3 12134479#1 34685684#0 34685684#2 388533143#0 388533143#2 12140627#0 63060729#0 -264253834#2 12156992#4 12156992#5 12156992#6 12156992#7 12156992#8 12156992#9 484953505 12148522#0 485017381#0 485017381#1 -30953396#1 30953396#1 -424769003#1 -424769003#0 12157002#0 12157002#1 12186058#2 485017381#0 -12157718#12 -12157718#10 -12157718#9 -12157718#8 -12157718#6 386995479#1 386995479#2 386995479#3 386995479#4 386995479#5 386995479#6 386995490#0.0 12154359#1.20 12154359#2 -386995521#1 -386995521#0 43357814#0 43357814#1 42706837#4 42706837#5 12154359#5 12154359#6 386995531#1 386995531#2 386995531#3 386995531#4 12172918#2 gneE73 gneE75.0 gneE80.125" probability="0.0454545454545455"/&gt;</t>
  </si>
  <si>
    <t xml:space="preserve">    &lt;route id="Router3_108" edges="31909473.0 31909473.857 62634019#1-AddedOnRampEdge 62634019#1 62634019#2.0 62634019#2.242 62634019#3-AddedOnRampEdge 62634019#3 62634019#3-AddedOffRampEdge 12111747.0 62203498#0 62093806#0 104526265#0.14 424080766 424080768#0 104523976#1 262962063 424080770#0 424080772#0 424080772#2 386547297#0 424080771#0 424080767#0 386547298#0 424769177 424080769#0 12144152#0 12144152#2 450844953#0 450844953#2 450844953#3 450844947#0 388533142#0 388533142#2 388533142#4 62623926#0 62623926#1 450844950#0 12189453#0.0.0 450844982#0.19 62203497#0 62203497#2 62203497#3 12134479#1 34685684#0 34685684#2 388533143#0 388533143#2 12140627#0 63060729#0 -264253834#2 12156992#4 12156992#5 12156992#6 12156992#7 12156992#8 12156992#9 484953505 12148522#0 485017381#0 485017381#1 -30953396#1 30953396#1 -424769003#1 -424769003#0 12157002#0 12157002#1 12186058#2 485017381#0 -12157718#12 -12157718#10 -12157718#9 -12157718#8 -12157718#6 386995479#1 386995479#2 386995479#3 386995479#4 386995479#5 386995479#6 386995490#0.0 12154359#1.20 12154359#2 -386995521#1 -386995521#0 43357814#0 43357814#1 42706837#4 42706837#5 12154359#5 12154359#6 386995531#1 386995531#2 386995531#3 386995531#4 12172918#2 gneE73 gneE75.0 gneE80.125" probability="0.0454545454545455"/&gt;</t>
  </si>
  <si>
    <t xml:space="preserve">    &lt;route id="Router3_136" edges="49887339#0.596 49887339#0-AddedOffRampEdge 12113482 424769007 424769005 424769006 424769004 30953396#1 -30953396#1 30953396#1 -424769003#1 -424769003#0 12157002#0 12157002#1 12157002#3 12157002#5 12114396#4 -12156992#10 -12156992#8 -12156992#7 -12156992#6 -12156992#5 -12156992#4 -12156992#3 -12156992#2 -12156992#1 -386547297#1 -424080772#2 -424080772#1 -262962065#1 -262962063 -424080764 -424080768#1 -424080766 -104526265#1 450844956#2 12189453#0.0.0 450844982#0.19 62203497#0 62203497#2 62203497#3 12134479#1 34685684#0 34685684#2 450844947#0 388533142#0 388533142#2 388533142#4 62623926#0 62623926#1 450844950#0 12189453#0.0.0 450844982#0.19 62203497#0 62203497#2 62203497#3 12134479#1 34685684#0 34685684#2 388533143#0 388533143#2 12140627#0 63060729#0 -264253834#2 12156992#4 12156992#5 12156992#6 12156992#7 12156992#8 12156992#9 484953505 12148522#0 485017381#0 485017381#1 -30953396#1 -30953396#0 -424769006 -424769005 -424769002 -30953391 -43569848 -393884751 12159702 424764853 12149178#0 50189796 50189564 12149178#2 145605533#0 145605533#1-AddedOnRampEdge 145605533#1 145605511#1-AddedOnRampEdge 145605511#12 145605511#1.148" probability="0.0454545454545455"/&gt;</t>
  </si>
  <si>
    <t>&lt;routeDistribution id="MARKET-38th-to-34th-EB-2015-RouteProbe"&gt;</t>
  </si>
  <si>
    <t xml:space="preserve">    &lt;route id="Router3_72" edges="31909473.0 31909473.857 62634019#1-AddedOnRampEdge 62634019#1 30953036 424081476 424081472 424081473 424081470 30953025#0 30953025#2 30953025#3 30953025#4 50033060#0 12134479#5 450844973#0 388533144#0 388533144#6 388533144#11 450695475#0 137364609#0 137364609#3 137364609#5 450695473#0 386547305#0 gneE23 -gneE20.0 -gneE21.54 -gneE21.0 59435515#0 59435515#1 59435515#2 59435515#3 59435515#4 424801338#1 12117702#0 12117702#4 12117702#7 -32121146#3 12202008#2.0 12202008#2.171 62646499#2 450827424#0 450827405#0 262962062 -55179413#2 12187610#0 12187610#2 12187610#3 -62105579 12186909#0 12186909#1 12186909#2 12186909#4 12177521#2 12177521#3 211575484#1 485017379 -386995465#1 -386995504#1 -386995486#1 32121111#11 -12177521#0 -121319040#0 -51155368#5 -50033558#5 -50033558#3 -12188656 -121319046 -42706825#7 -42706825#4 -42706825#3 -42706825#1 194358815 194358817#0 194358817#1 194358817#2 12114363#0 12114363#1 -50033059#4 12175537#0 12175537#2 12175537#3 12175537#4 12175537#5 12175537#6 12175537#7 -43357814#2 42706837#4 42706837#5 42706837#6 42706837#7 42706837#8 42706837#9 12172918#0 12172918#1 12172918#2 gneE73 gneE75.0 -gneE80.17 -gneE41 gneE44 -388756838#2 -388756838#1 -388756838#0 42706817#0 386547310 gneE69 -gneE44 gneE41 gneE80.0 gneE80.125" probability="0.0588235294117647"/&gt;</t>
  </si>
  <si>
    <t xml:space="preserve">    &lt;route id="Router3_73" edges="31909473.0 31909473.857 62634019#1-AddedOnRampEdge 62634019#1 30953036 424081476 424081472 424081473 424081470 30953025#0 30953025#2 30953025#3 30953025#4 50033060#0 12134479#5 450844973#0 388533144#0 388533144#6 388533144#11 450695475#0 137364609#0 137364609#3 137364609#5 450695473#0 386547305#0 gneE23 -gneE20.0 -gneE21.54 -gneE21.0 59435515#0 59435515#1 59435515#2 59435515#3 59435515#4 424801338#1 12117702#0 12117702#4 12117702#7 -32121146#3 12202008#2.0 12202008#2.171 62646499#2 450827424#0 450827405#0 262962062 -55179413#2 12187610#0 12187610#2 12187610#3 -62105579 12186909#0 12186909#1 12186909#2 12186909#4 12177521#2 12177521#3 211575484#1 485017379 -386995465#1 -386995504#1 -386995486#1 32121111#11 -12177521#0 -121319040#0 -51155368#5 -50033558#5 -50033558#3 -12188656 -121319046 -42706825#7 -42706825#4 -42706825#3 -42706825#1 194358815 194358817#0 194358817#1 194358817#2 12114363#0 12114363#1 -50033059#4 12175537#0 12175537#2 12175537#3 12175537#4 12175537#5 12175537#6 12175537#7 -43357814#2 42706837#4 42706837#5 42706837#6 42706837#7 42706837#8 42706837#9 12172918#0 12172918#1 12172918#2 gneE73 gneE75.0 gneE80.125" probability="0.0588235294117647"/&gt;</t>
  </si>
  <si>
    <t xml:space="preserve">    &lt;route id="Router3_74" edges="31909473.0 31909473.857 62634019#1-AddedOnRampEdge 62634019#1 30953036 424081476 424081472 424081473 424081470 30953025#0 30953025#2 30953025#3 30953025#4 50033060#0 12134479#5 450844973#0 388533144#0 388533144#6 388533144#11 450695475#0 137364609#0 137364609#3 137364609#5 450695473#0 386547305#0 gneE23 -gneE20.0 -gneE21.54 -gneE21.0 59435515#0 59435515#1 59435515#2 59435515#3 59435515#4 424801338#1 12117702#0 12117702#4 12117702#7 -32121146#3 12202008#2.0 12202008#2.171 62646499#2 450827424#0 450827405#0 262962062 -55179413#2 12187610#0 12187610#2 12187610#3 -62105579 12186909#0 12186909#1 12186909#2 12186909#4 12177521#2 12177521#3 211575484#1 485017379 -386995465#1 -386995504#1 -386995486#1 32121111#11 -12177521#0 -121319040#0 -51155368#5 -50033558#5 -50033558#3 -12188656 -121319046 -42706825#7 -42706825#4 -42706825#3 -42706825#1 194358815 194358817#0 194358817#1 194358817#2 12114363#0 12114363#1 -50033059#4 12175537#0 12175537#2 485017371#0 484953507#1 12182281#8 12182281#9 12167232#0 12167232#1 12167232#2 12152013#4 51050425#4 386995537 386995551 387422150#0 387422150#1 386995531#3 386995531#4 12172918#2 gneE73 gneE75.0 gneE80.125" probability="0.0588235294117647"/&gt;</t>
  </si>
  <si>
    <t xml:space="preserve">    &lt;route id="Router3_75" edges="31909473.0 31909473.857 62634019#1-AddedOnRampEdge 62634019#1 30953036 424081476 424081472 424081473 424081470 30953025#0 30953025#2 30953025#3 30953025#4 50033060#0 12134479#5 450844973#0 388533144#0 388533144#6 388533144#11 450695475#0 137364609#0 137364609#3 137364609#5 450695473#0 386547305#0 gneE23 -gneE20.0 -gneE21.54 -gneE21.0 59435515#0 59435515#1 59435515#2 59435515#3 59435515#4 424801338#1 12117702#0 12117702#4 12117702#7 -32121146#3 12202008#2.0 12202008#2.171 62646499#2 450827424#0 450827405#0 262962062 -55179413#2 12187610#0 12187610#2 12187610#3 -62105579 12186909#0 12186909#1 12186909#2 51155368#11 42706831#0 42706831#4 42706831#5 42706831#6 32121234#0 32121234#1 32121234#2 50033558#2 50033558#3 50033558#4 50033558#6 50033058#0 386995514#9 386995486#0 32121111#11 -12177521#0 -121319040#0 -51155368#5 -50033558#5 -50033558#3 -12188656 -121319046 -42706825#7 -42706825#4 -42706825#3 -42706825#1 -484953510#2 -484953510#1 -484953510#0 gneE37 gneE38 -12159761#2 -12159761#1 -12159761#0 12114363#0 12114363#1 -50033059#4 12175537#0 12175537#2 12175537#3 12175537#4 12162659#2 12159485 12161358#7 12161358#8 386995507#6 386995507#7 386995521#0 386995521#1 12154359#3 12154359#4 12154359#5 12154359#6 12154359#7 101350669 -386995537 -386995526#1 -386995526#0 -43357814#3 -43357814#2 42706837#4 42706837#5 42706837#6 42706837#7 42706837#8 42706837#9 12172918#0 12172918#1 12172918#2 gneE73 gneE75.0 gneE80.125" probability="0.0588235294117647"/&gt;</t>
  </si>
  <si>
    <t xml:space="preserve">    &lt;route id="Router3_49" edges="196393940#0 62203285#0 62203285#2 62203285#3 62203285#5 42706664#7 42706664#8 12186741#4 12186741#5 196207112#0 32122059#1 424080774 262962068#0.0 104526265#0.14 424080766 424080768#0 104523976#1 262962063 12189051#0 -12189051#1 424080770#0 424080772#0 12119506#0 -12156992#1 -386547297#1 -424080772#2 -424080772#1 -424080761#1 -62623960 62623959#0 386547296#0 386547296#1 424080773#0 279870839#0 279870839#2 450844960#0 62623926#1 450844950#0 38502259#0.19 450844933#1 196207115#0 196207115#2 196207115#3 196355332#0 450844979#0.0 450844982#0.19 62203497#0 62203497#2 62203497#3 12134479#1 34685684#0 34685684#2 388533143#0 388533143#2 12140627#0 63060729#0 -264253834#2 12156992#4 12156992#5 12156992#6 12156992#7 12156992#8 12156992#9 -12114396#5 -12114396#3 -12114396#1 485017383#0 485017382#0 485017382#1 211575484#0 -12177521#3 -12177521#2 -12177521#1 32121111#12 32121111#14 -12187610#5 -12187610#2 -12187610#1 12150608#0 32121146#2 12117702#9 450844953#0 450844953#2 450844953#3 450844947#0 388533142#0 388533142#2 388533142#4 62623926#0 62623926#1 450844950#0 38502259#0.19 450844933#1 196207110#0 196207110#2" probability="0.0588235294117647"/&gt;</t>
  </si>
  <si>
    <t xml:space="preserve">    &lt;route id="Router3_65" edges="31909473.0 31909473.857 62634019#1-AddedOnRampEdge 62634019#1 30953036 424081476 -424987520 -30953029#1 -30953029#0 -424987519 12169718#0 12169718#1 424804090#0 424804090#1 424804090#2 424804090#3 424804090#4 132508920#2 132508920#3 132508920#4 132508920#5 424080762#0 424080762#1 424080762#2 424080762#3 424080762#4 424080762#5 179915585#2 12171853#2 12198567#4 12198567#5 12152219#0 12152219#1 12152236 132508920#12 132508897#0 132508897#1 132508897#2 132508897#3 394179820#0 394179820#1 394179820#2 394179820#3 394179820#4 196355327#1 196355327#2 196355327#5 196393940#1 196207112#0 32122059#1 424080774 262962068#0.0 104526265#0.14 424080766 424080768#0 104523976#1 262962063 12189051#0 -12189051#1 424080770#0 424080772#0 12119506#0 -12156992#1 -386547297#1 -424080772#2 -424080772#1 -424080761#1 -62623960 62623959#0 386547296#0 386547296#1 424080773#0 279870839#0 279870839#2 450844960#0 62623926#1 450844950#0 38502259#0.19 450844933#1 196207115#0 196207115#2 196207115#3 196355332#0 450844979#0.0 450844982#0.19 62203497#0 62203497#2 62203497#3 12134479#1 34685684#0 34685684#2 388533143#0 388533143#2 12140627#0 63060729#0 -264253834#2 12156992#4 12156992#5 12156992#6 12156992#7 12156992#8 12156992#9 -12114396#5 -12114396#3 -12114396#1 485017383#0 485017382#0 485017382#1 211575484#0 -12177521#3 -12177521#2 -12177521#1 32121111#12 32121111#14 -12187610#5 -12187610#2 -12187610#1 12150608#0 32121146#2 12117702#9 450844953#0 450844953#2 450844953#3 450844947#0 388533142#0 388533142#2 388533142#4 62623926#0 62623926#1 450844950#0 38502259#0.19 450844933#1 196207110#0 196355327#2 196355327#5 -196393940#0" probability="0.0588235294117647"/&gt;</t>
  </si>
  <si>
    <t>&lt;routeDistribution id="MARKET-34th-to-38th-WB-2015-RouteProbe"&gt;</t>
  </si>
  <si>
    <t xml:space="preserve">    &lt;route id="Router3_7" edges="-gneE80.0 -gneE80.17 -gneE41 gneE44 -388756838#2 -388756838#1 -388756838#0 42706817#0 386547310 gneE69 -388756838#2 -388756838#1 -388756838#0 -388756839#1 -388756839#0 -194358837#2 -194358837#0 194358838#0 194358838#1 194358838#2 194358838#3 387422145#0 387422145#3 386995499#0 386995499#2 -51155368#13 -51155368#10 -51155368#7 121319040#0 121319040#1 386995507#0 386995507#1 386995507#2 386995507#3 12182281#7 42706837#0 42706837#1 42706837#2 42706837#3 43357814#2 43357814#3 386995526#0 386995526#1 -51050425#4 -51050425#3 -51050425#2 12162659#0 12162659#1 -12175537#4 -12175537#3 -12175537#2 -12175537#1 -50033059#3 -50033059#2 -386995514#7 -12199713#2 12177498 42706833#2 51155368#0 -50033558#5 -50033558#3 -50033558#2 -62105579 -32121234#1 -32121234#0 42706874#0 42706874#2 55179414#0 55179413#0 424769182 -450827405#2 -450827400#2 -450827382 -450827385#1 -450827391#1 -450827381 -450827397#1 12180696#0 59435515#1 59435515#2 59435515#3 59435515#4 424801338#1 12117702#0 12117702#4 12117702#7 -32121146#3 -32121146#1 -424769197#2 12144152#0 12144152#2 12144152#4 12144152#6 12157151#0 12166276#2 -32121146#5 12117702#9 450844953#0 450844953#2 450844953#3 450844947#0 388533142#0 388533142#2 12189045#0 62623987#0 62623987#1 -12142631 12202018 62623986#1 62623986#2 -12189051#1 -262962063 -424080764 -424080768#1 -424080766 -104526265#1 30953497#0 30953497#2 35920555#0.0 35920555#0.75 62203066 43331031.0 43331031.436 42706585#0 42706585#1 30953320 30953320-AddedOffRampEdge 30953315 104526276-AddedOnRampEdge 104526276 51758697#0 51758697#1-AddedOnRampEdge 51758697#1" probability="0.0384615384615385"/&gt;</t>
  </si>
  <si>
    <t xml:space="preserve">    &lt;route id="Router3_8" edges="-gneE80.0 -gneE80.17 -gneE41 gneE44 -388756838#2 -388756838#1 -388756838#0 42706817#0 386547310 gneE69 -388756838#2 -388756838#1 -388756838#0 -388756839#1 -388756839#0 -194358837#2 -194358837#0 194358838#0 194358838#1 194358838#2 194358838#3 387422145#0 387422145#3 386995499#0 386995499#2 -51155368#13 -51155368#10 -51155368#7 121319040#0 121319040#1 386995507#0 386995507#1 386995507#2 386995507#3 12182281#7 42706837#0 42706837#1 42706837#2 42706837#3 43357814#2 43357814#3 386995526#0 386995526#1 -51050425#4 -51050425#3 -51050425#2 12162659#0 12162659#1 -12175537#4 -12175537#3 -12175537#2 -12175537#1 -50033059#3 -50033059#2 -386995514#7 -12199713#2 12177498 42706833#2 51155368#0 -50033558#5 -50033558#3 -50033558#2 -62105579 -32121234#1 -32121234#0 42706874#0 42706874#2 55179414#0 55179413#0 424769182 -450827405#2 -450827400#2 -450827382 -450827385#1 -450827391#1 -450827381 -450827397#1 12180696#0 59435515#1 59435515#2 59435515#3 59435515#4 424801338#1 12117702#0 12117702#4 12117702#7 -32121146#3 -32121146#1 -424769197#2 12144152#0 12144152#2 12144152#4 12144152#6 12157151#0 12166276#2 -32121146#5 12117702#9 450844953#0 450844953#2 450844953#3 450844947#0 388533142#0 388533142#2 388533142#4 62623926#0 62623926#1 450844950#0 38502259#0.19 450844933#1 196207110#0 196207110#2" probability="0.0384615384615385"/&gt;</t>
  </si>
  <si>
    <t xml:space="preserve">    &lt;route id="Router3_9" edges="-gneE80.0 -gneE80.17 -gneE41 gneE44 -388756838#2 -388756838#1 -388756838#0 42706817#0 386547310 gneE69 -388756838#2 -388756838#1 -388756838#0 -388756839#1 -388756839#0 -194358837#2 -194358837#0 194358838#0 194358838#1 194358838#2 194358838#3 387422145#0 387422145#3 386995499#0 386995499#2 -51155368#13 -51155368#10 -51155368#7 121319040#0 121319040#1 386995507#0 386995507#1 386995507#2 386995507#3 12182281#7 42706837#0 42706837#1 42706837#2 42706837#3 43357814#2 43357814#3 386995526#0 386995526#1 -51050425#4 -51050425#3 -51050425#2 12162659#0 12162659#1 -12175537#4 -12175537#3 -12175537#2 -12175537#1 -50033059#3 -50033059#2 -386995514#7 -12199713#2 12177498 42706833#2 51155368#0 -50033558#5 -50033558#3 -50033558#2 -62105579 -32121234#1 -32121234#0 42706874#0 42706874#2 55179414#0 55179413#0 424769182 -450827405#2 -450827400#2 -450827382 -450827385#1 -450827391#1 -450827381 -450827397#1 12180696#0 59435515#1 59435515#2 59435515#3 59435515#4 424801338#1 12117702#0 12117702#4 12117702#7 -32121146#3 12202008#2.0 12202008#2.171 62646499#2 450827424#0 450827405#0 262962062 -55179413#2 12187610#0 12187610#2 12187610#3 -62105579 12186909#0 12186909#1 12186909#2 12186909#4 12177521#2 12177521#3 211575484#1 485017379 -386995465#1 -386995504#1 -386995486#1 32121111#11 -12177521#0 -121319040#0 -51155368#5 -50033558#5 -50033558#3 -12188656 -121319046 -42706825#7 -42706825#4 -42706825#3 -42706825#1 194358815 194358817#0 194358817#1 194358817#2 12114363#0 12114363#1 -50033059#4 12175537#0 12175537#2 485017371#0 484953507#1 12182281#8 12182281#9 12167232#0 12167232#1 12167232#2 12152013#4 51050425#4 386995537 386995551 387422150#0 387422150#1 386995531#3 386995531#4 12172918#2 gneE73 gneE75.0 gneE80.125" probability="0.0384615384615385"/&gt;</t>
  </si>
  <si>
    <t xml:space="preserve">    &lt;route id="Router3_10" edges="-gneE80.0 -gneE80.17 -gneE41 gneE44 -388756838#2 -388756838#1 -388756838#0 42706817#0 386547310 gneE69 -388756838#2 -388756838#1 -388756838#0 -388756839#1 -388756839#0 -194358837#2 -194358837#0 194358838#0 194358838#1 194358838#2 194358838#3 387422145#0 387422145#3 386995499#0 386995499#2 -51155368#13 -51155368#10 -51155368#7 121319040#0 121319040#1 386995507#0 386995507#1 386995507#2 386995507#3 12182281#7 42706837#0 42706837#1 42706837#2 42706837#3 43357814#2 43357814#3 386995526#0 386995526#1 -51050425#4 -51050425#3 -51050425#2 12162659#0 12162659#1 -12175537#4 -12175537#3 -12175537#2 -12175537#1 -50033059#3 -50033059#2 -386995514#7 -12199713#2 12177498 42706833#2 51155368#0 -50033558#5 -50033558#3 -50033558#2 -62105579 -32121234#1 -32121234#0 42706874#0 42706874#2 55179414#0 55179413#0 424769182 -450827405#2 -450827400#2 -450827382 -450827385#1 -450827391#1 -450827381 -450827397#1 12180696#0 59435515#1 59435515#2 59435515#3 59435515#4 424801338#1 12117702#0 12117702#4 12117702#7 -32121146#3 12202008#2.0 12202008#2.171 62646499#2 450827424#0 450827405#0 262962062 -55179413#2 12187610#0 12187610#2 12187610#3 -62105579 12186909#0 12186909#1 12186909#2 12186909#4 12186909#6 386995479#0 12157718#5 12157718#7 485017376 485017373#0 387422135#0 424769003#0 424769003#1 -30953396#1 -30953396#0 -424769006 -424769005 -424769002 -30953391 -43569848 -393884751 12159702 424764853 12149178#0 50189796 50189564 12149178#2 145605533#0 145605533#1-AddedOnRampEdge 145605533#1 145605511#1-AddedOnRampEdge 145605511#12 145605511#1.148" probability="0.0384615384615385"/&gt;</t>
  </si>
  <si>
    <t xml:space="preserve">    &lt;route id="Router3_11" edges="-gneE80.0 -gneE80.17 -gneE41 gneE44 -388756838#2 -388756838#1 -388756838#0 42706817#0 386547310 gneE69 -388756838#2 -388756838#1 -388756838#0 -388756839#1 -388756839#0 -194358837#2 -194358837#0 194358838#0 194358838#1 194358838#2 194358838#3 387422145#0 387422145#3 386995499#0 386995499#2 -51155368#13 -51155368#10 -51155368#7 121319040#0 121319040#1 386995507#0 386995507#1 386995507#2 386995507#3 12182281#7 42706837#0 42706837#1 42706837#2 42706837#3 43357814#2 43357814#3 386995526#0 386995526#1 -51050425#4 -51050425#3 -51050425#2 12162659#0 12162659#1 -12175537#4 -12175537#3 -12175537#2 -12175537#1 -50033059#3 -50033059#2 -386995514#7 -12199713#2 12177498 42706833#2 51155368#0 -50033558#5 -50033558#3 -50033558#2 -62105579 -32121234#1 -32121234#0 42706874#0 42706874#2 55179414#0 55179413#0 424769182 -450827405#2 -450827400#2 -450827382 -450827385#1 -450827391#1 -450827381 -450827397#1 12180696#0 59435515#1 59435515#2 59435515#3 59435515#4 424801338#1 12117702#0 12117702#4 12117702#7 -32121146#3 12202008#2.0 12202008#2.171 62646499#2 450827424#0 450827405#0 262962062 -55179413#2 12187610#0 12187610#2 12187610#3 -62105579 12186909#0 12186909#1 12186909#2 12186909#4 12186909#6 386995479#0 12157718#5 12157718#7 485017376 485017373#0 387422135#0 424769003#0 424769003#1 -30953396#1 30953396#1 -424769003#1 -424769003#0 12157002#0 12157002#1 12186058#2 485017381#0 -12157718#12 -12157718#10 -12157718#9 -12157718#8 -12157718#6 386995479#1 386995479#2 386995479#3 386995479#4 386995479#5 386995479#6 386995490#0.0 12154359#1.20 12154359#2 -386995521#1 -386995521#0 43357814#0 43357814#1 42706837#4 42706837#5 12154359#5 12154359#6 386995531#1 386995531#2 386995531#3 386995531#4 12172918#2 gneE73 gneE75.0 gneE80.125" probability="0.0384615384615385"/&gt;</t>
  </si>
  <si>
    <t xml:space="preserve">    &lt;route id="Router3_12" edges="-gneE80.0 -gneE80.17 -gneE41 gneE44 -388756838#2 -388756838#1 -388756838#0 42706817#0 386547310 gneE69 -388756838#2 -388756838#1 -388756838#0 -388756839#1 -388756839#0 -194358837#2 -194358837#0 194358838#0 194358838#1 194358838#2 194358838#3 387422145#0 387422145#3 386995499#0 386995499#2 -51155368#13 -51155368#10 -51155368#7 121319040#0 121319040#1 386995507#0 386995507#1 386995507#2 386995507#3 12182281#7 42706837#0 42706837#1 42706837#2 42706837#3 43357814#2 43357814#3 386995526#0 386995526#1 -51050425#4 -51050425#3 -51050425#2 12162659#0 12162659#1 -12175537#4 -12175537#3 -12175537#2 -12175537#1 -50033059#3 -50033059#2 -386995514#7 -12199713#2 12177498 42706833#2 51155368#0 -50033558#5 -50033558#3 -50033558#2 -62105579 -32121234#1 -32121234#0 42706874#0 42706874#2 55179414#0 55179413#0 424769182 -450827405#2 -450827400#2 -450827382 -450827385#1 -450827391#1 -450827381 -450827397#1 12180696#0 59435515#1 59435515#2 59435515#3 59435515#4 424801338#1 12117702#0 12117702#4 12117702#7 -32121146#3 12202008#2.0 12202008#2.171 62646499#2 450827424#0 450827405#0 262962062 -55179413#2 12187610#0 12187610#2 12187610#3 -62105579 12186909#0 12186909#1 12186909#2 51155368#11 42706831#0 42706831#4 42706831#5 42706831#6 32121234#0 32121234#1 32121234#2 50033558#2 50033558#3 50033558#4 50033558#6 50033058#0 386995514#9 386995486#0 32121111#11 -12177521#0 -121319040#0 -51155368#5 -50033558#5 -50033558#3 -12188656 -121319046 -42706825#7 -42706825#4 -42706825#3 -42706825#1 -484953510#2 -484953510#1 -484953510#0 gneE37 gneE38 -12159761#2 -12159761#1 -12159761#0 -194358817#2 -194358817#1 -194358817#0 -386995514#2 -386995514#1 12159500#1 12159500#2 51050030#7 gneE35 -gneE34.0 --gneE83.0" probability="0.0384615384615385"/&gt;</t>
  </si>
  <si>
    <t xml:space="preserve">    &lt;route id="Router3_14" edges="-gneE80.0 -gneE80.17 -gneE41 gneE44 -388756838#2 -388756838#1 -388756838#0 42706817#0 386547310 gneE69 -388756838#2 -388756838#1 -388756838#0 -388756839#1 -388756839#0 -194358837#2 -194358837#0 194358838#0 194358838#1 194358838#2 194358838#3 387422145#0 387422145#3 386995499#0 386995499#2 -51155368#13 -51155368#10 -51155368#7 121319040#0 121319040#1 386995507#0 386995507#1 386995507#2 386995507#3 12182281#7 42706837#0 42706837#1 42706837#2 42706837#3 43357814#2 43357814#3 386995526#0 386995526#1 -51050425#4 -51050425#3 -51050425#2 12162659#0 12162659#1 -12175537#4 -12175537#3 -12175537#2 -12175537#1 -50033059#3 -50033059#2 -386995514#7 -12199713#2 12177498 42706833#2 51155368#0 -50033558#5 -50033558#3 -50033558#2 -62105579 -32121234#1 -32121234#0 42706874#0 42706874#2 55179414#0 55179413#0 424769182 -450827405#2 -450827400#2 -450827382 -450827385#1 -450827391#1 -450827381 -450827397#1 12180696#0 59435515#1 59435515#2 59435515#3 59435515#4 424801338#1 12117702#0 12117702#4 12117702#7 -32121146#3 12202008#2.0 12202008#2.171 62646499#2 450827424#0 450827405#0 262962062 -55179413#2 12187610#0 12187610#2 12187610#3 -62105579 12186909#0 12186909#1 12186909#2 51155368#11 42706831#0 42706831#4 42706831#5 42706831#6 32121234#0 32121234#1 32121234#2 50033558#2 50033558#3 50033558#4 50033558#6 50033058#0 386995514#9 386995486#0 32121111#11 -12177521#0 -121319040#0 -51155368#5 -50033558#5 -50033558#3 -12188656 -121319046 -42706825#7 -42706825#4 -42706825#3 -42706825#1 -484953510#2 -484953510#1 -484953510#0 gneE37 gneE38 -12159761#2 -12159761#1 -12159761#0 12114363#0 12114363#1 -50033059#4 12175537#0 12175537#2 12175537#3 12175537#4 12162659#2 12159485 12161358#7 12161358#8 386995507#6 386995507#7 386995521#0 386995521#1 12154359#3 12154359#4 12154359#5 12154359#6 12154359#7 101350669 -386995537 -386995526#1 -386995526#0 -43357814#3 12175537#8 12175537#9 12175537#10 12175537#11 12175537#12 12175537#13 12172918#1 12172918#2 gneE73 gneE75.0 gneE80.125" probability="0.0384615384615385"/&gt;</t>
  </si>
  <si>
    <t xml:space="preserve">    &lt;route id="Router3_15" edges="-gneE80.0 -gneE80.17 -gneE41 gneE44 -388756838#2 -388756838#1 -388756838#0 42706817#0 386547310 gneE69 -388756838#2 -388756838#1 -388756838#0 -388756839#1 -388756839#0 -194358837#2 -194358837#0 194358838#0 194358838#1 194358838#2 194358838#3 387422145#0 387422145#3 386995499#0 386995499#2 -51155368#13 -51155368#10 -51155368#7 121319040#0 121319040#1 386995507#0 386995507#1 386995507#2 386995507#3 12182281#7 42706837#0 42706837#1 42706837#2 42706837#3 43357814#2 43357814#3 386995526#0 386995526#1 -51050425#4 -51050425#3 -51050425#2 12162659#0 12162659#1 -12175537#4 -12175537#3 -12175537#2 -12175537#1 -50033059#3 -50033059#2 -386995514#7 -12199713#2 12177498 42706833#2 51155368#0 -50033558#5 -50033558#3 -50033558#2 -62105579 -32121234#1 -32121234#0 42706874#0 42706874#2 55179414#0 55179413#0 424769182 -450827405#2 -450827400#2 -450827382 -450827385#1 -450827391#1 -450827381 -450827397#1 12180696#0 59435515#1 59435515#2 59435515#3 59435515#4 424801338#1 12117702#0 12117702#4 12117702#7 -32121146#3 12202008#2.0 12202008#2.171 62646499#2 450827424#0 450827405#0 262962062 -55179413#2 12187610#0 12187610#2 12187610#3 -62105579 12186909#0 12186909#1 12186909#2 51155368#11 42706831#0 42706831#4 42706831#5 42706831#6 32121234#0 32121234#1 32121234#2 50033558#2 50033558#3 50033558#4 50033558#6 50033058#0 386995514#9 386995486#0 32121111#11 -12177521#0 -121319040#0 -51155368#5 -50033558#5 -50033558#3 -12188656 -121319046 -42706825#7 -42706825#4 -42706825#3 -42706825#1 -484953510#2 -484953510#1 -484953510#0 gneE37 gneE38 -12159761#2 -12159761#1 -12159761#0 12114363#0 12114363#1 -50033059#4 12175537#0 12175537#2 12175537#3 12175537#4 12175537#5 12175537#6 12175537#7 -43357814#2 42706837#4 42706837#5 42706837#6 42706837#7 42706837#8 12155177#0 12175537#13 12172918#1 12172918#2 gneE73 gneE75.0 -gneE80.17 -gneE41 gneE44 -388756838#2 -388756838#1 -388756838#0 42706817#0 386547310 gneE69 -388756838#2 -388756838#1 -388756838#0 -388756839#1 -388756839#0 -194358837#2 -194358837#0 194358838#0 194358838#1 194358838#2 386995479#2 310315797#2 12185366#9 387422145#0 -12157718#6 -12157718#4 -12157718#3 -12157718#2 -12157718#1 -12199713#4 386995514#7 -50033059#1 -50033558#8 -51155368#3 121319046 12188656 -50033558#2 12203859#0 12203859#1 42706831#4 42706831#5 42706831#6 42706874#0 42706874#2 12144152#0 12144152#2 450844953#0 450844953#2 450844953#3 450844947#0 388533142#0 388533142#2 388533142#4 62623926#0 62623926#1 450844950#0 12189453#0.0.0 450844982#0.19 62203497#0 62203497#2 62203497#3 12134479#1 34685684#0 34685684#2 388533143#0 388533143#2 12140627#0 63060729#0 -264253834#2 12156992#4 12156992#5 12156992#6 12156992#7 12156992#8 12156992#9 -12114396#5 -12114396#3 -12114396#1 485017383#0 485017382#0 485017382#1 211575484#0 -12177521#3 -12177521#2 -12177521#1 32121111#12 32121111#14 -12187610#5 -12187610#2 -12187610#1 12150608#0 32121146#2 12117702#9 450844953#0 450844953#2 450844953#3 450844947#0 388533142#0 388533142#2 388533142#4 62623926#0 62623926#1 450844950#0 38502259#0.19 450844933#1 196207110#0 196207110#2" probability="0.0384615384615385"/&gt;</t>
  </si>
  <si>
    <t xml:space="preserve">    &lt;route id="Router3_16" edges="-gneE80.0 -gneE80.17 -gneE41 gneE44 -388756838#2 -388756838#1 -388756838#0 42706817#0 386547310 gneE69 -388756838#2 -388756838#1 -388756838#0 -388756839#1 -388756839#0 -194358837#2 -194358837#0 194358838#0 194358838#1 194358838#2 194358838#3 387422145#0 387422145#3 386995499#0 386995499#2 -51155368#13 -51155368#10 -51155368#7 121319040#0 121319040#1 386995507#0 386995507#1 386995507#2 386995507#3 12182281#7 42706837#0 42706837#1 42706837#2 42706837#3 43357814#2 43357814#3 386995526#0 386995526#1 -51050425#4 -51050425#3 -51050425#2 12162659#0 12162659#1 -12175537#4 -12175537#3 -12175537#2 -12175537#1 -50033059#3 -50033059#2 -386995514#7 -12199713#2 12177498 42706833#2 51155368#0 -50033558#5 -50033558#3 -50033558#2 -62105579 -32121234#1 -32121234#0 42706874#0 42706874#2 55179414#0 55179413#0 424769182 -450827405#2 -450827400#2 -450827382 -450827385#1 -450827391#1 -450827381 -450827397#1 12180696#0 59435515#1 59435515#2 59435515#3 59435515#4 424801338#1 12117702#0 12117702#4 12117702#7 -32121146#3 12202008#2.0 12202008#2.171 62646499#2 450827424#0 450827405#0 262962062 -55179413#2 12187610#0 12187610#2 12187610#3 -62105579 12186909#0 12186909#1 12186909#2 51155368#11 42706831#0 42706831#4 42706831#5 42706831#6 32121234#0 32121234#1 32121234#2 50033558#2 50033558#3 50033558#4 50033558#6 50033058#0 386995514#9 386995486#0 32121111#11 -12177521#0 -121319040#0 -51155368#5 -50033558#5 -50033558#3 -12188656 -121319046 -42706825#7 -42706825#4 -42706825#3 -42706825#1 -484953510#2 -484953510#1 -484953510#0 gneE37 gneE38 -12159761#2 -12159761#1 -12159761#0 12114363#0 12114363#1 -50033059#4 12175537#0 12175537#2 12175537#3 12175537#4 12175537#5 12175537#6 12175537#7 -43357814#2 42706837#4 42706837#5 42706837#6 42706837#7 42706837#8 12155177#0 12175537#13 12172918#1 12172918#2 gneE73 gneE75.0 gneE80.125" probability="0.0384615384615385"/&gt;</t>
  </si>
  <si>
    <t xml:space="preserve">    &lt;route id="Router3_17" edges="-gneE80.0 -gneE80.17 -gneE41 gneE44 -388756838#2 -388756838#1 -388756838#0 42706817#0 386547310 gneE69 -388756838#2 -388756838#1 -388756838#0 -388756839#1 -388756839#0 -194358837#2 -194358837#0 194358838#0 194358838#1 194358838#2 194358838#3 387422145#0 387422145#3 386995499#0 386995499#2 -51155368#13 -51155368#10 -51155368#7 121319040#0 121319040#1 386995507#0 386995507#1 386995507#2 386995507#3 12182281#7 42706837#0 42706837#1 42706837#2 42706837#3 43357814#2 43357814#3 386995526#0 386995526#1 -51050425#4 -51050425#3 -51050425#2 12162659#0 12162659#1 -12175537#4 -12175537#3 -12175537#2 -12175537#1 -50033059#3 -50033059#2 -386995514#7 -12199713#2 12177498 42706833#2 51155368#0 -50033558#5 -50033558#3 -50033558#2 -62105579 -32121234#1 -32121234#0 42706874#0 42706874#2 55179414#0 55179413#0 424769182 -450827405#2 -450827400#2 -450827382 -450827385#1 -450827391#1 -450827381 -450827397#1 12180696#0 59435515#1 59435515#2 59435515#3 59435515#4 424801338#1 12117702#0 12117702#4 12117702#7 -32121146#3 12202008#2.0 12202008#2.171 62646499#2 450827424#0 450827405#0 262962062 -55179413#2 12187610#0 12187610#2 12187610#3 -62105579 12186909#0 12186909#1 12186909#2 51155368#11 42706831#0 42706831#4 42706831#5 42706831#6 32121234#0 32121234#1 32121234#2 50033558#2 50033558#3 50033558#4 50033558#6 50033058#0 386995514#9 386995486#0 32121111#11 -12177521#0 -121319040#0 -51155368#5 -50033558#5 -50033558#3 -12188656 -121319046 -42706825#7 -42706825#4 -42706825#3 -42706825#1 -484953510#2 -484953510#1 -484953510#0 gneE37 gneE38 -12159761#2 -12159761#1 -12159761#0 12114363#0 12114363#1 -50033059#4 12175537#0 12175537#2 12175537#3 12175537#4 12175537#5 12175537#6 12175537#7 12175537#8 12175537#9 12154359#6 386995531#1 12174155#0 -12175537#10 -12175537#9 -12175537#8 -12175537#7 12152013#3 12167232#3 386995531#0 12154359#7 101350669 -386995537 -386995526#1 -386995526#0 -43357814#3 -43357814#2 42706837#4 42706837#5 42706837#6 42706837#7 42706837#8 42706837#9 12172918#0 12172918#1 12172918#2 gneE73 gneE75.0 -gneE80.17 -gneE41 gneE44 -388756838#2 -388756838#1 -388756838#0 42706817#0 386547310 gneE69 -gneE44 gneE41 gneE80.0 gneE80.125" probability="0.0384615384615385"/&gt;</t>
  </si>
  <si>
    <t xml:space="preserve">    &lt;route id="Router3_18" edges="-gneE80.0 -gneE80.17 -gneE41 gneE44 -388756838#2 -388756838#1 -388756838#0 42706817#0 386547310 gneE69 -388756838#2 -388756838#1 -388756838#0 -388756839#1 -388756839#0 -194358837#2 -194358837#0 194358838#0 194358838#1 194358838#2 194358838#3 387422145#0 387422145#3 386995499#0 386995499#2 -51155368#13 -51155368#10 -51155368#7 121319040#0 121319040#1 386995507#0 386995507#1 386995507#2 386995507#3 12182281#7 42706837#0 42706837#1 42706837#2 42706837#3 43357814#2 43357814#3 386995526#0 386995526#1 -51050425#4 -51050425#3 -51050425#2 12162659#0 12162659#1 -12175537#4 -12175537#3 -12175537#2 -12175537#1 -50033059#3 -50033059#2 -386995514#7 -12199713#2 12177498 42706833#2 51155368#0 -50033558#5 -50033558#3 -50033558#2 -62105579 -32121234#1 -32121234#0 42706874#0 42706874#2 55179414#0 55179413#0 424769182 -450827405#2 -450827400#2 -450827382 -450827385#1 -450827391#1 -450827381 -450827397#1 12180696#0 59435515#1 59435515#2 59435515#3 59435515#4 424801338#1 12117702#0 12117702#4 12117702#7 -32121146#3 12202008#2.0 12202008#2.171 62646499#2 450827424#0 450827405#0 262962062 -55179413#2 12187610#0 12187610#2 12187610#3 -62105579 12186909#0 12186909#1 12186909#2 51155368#11 42706831#0 42706831#4 42706831#5 42706831#6 32121234#0 32121234#1 32121234#2 50033558#2 50033558#3 50033558#4 50033558#6 50033058#0 386995514#9 386995486#0 32121111#11 -12177521#0 -121319040#0 -51155368#5 -50033558#5 -50033558#3 -12188656 -121319046 -42706825#7 -42706825#4 -42706825#3 -42706825#1 -484953510#2 -484953510#1 -484953510#0 gneE37 gneE38 -12159761#2 -12159761#1 -12159761#0 12114363#0 12114363#1 -50033059#4 12175537#0 12175537#2 12175537#3 12175537#4 12175537#5 12175537#6 12175537#7 12175537#8 12175537#9 12154359#6 386995531#1 12174155#0 -12175537#10 -12175537#9 -12175537#8 -12175537#7 12152013#3 12167232#3 386995531#0 12154359#7 101350669 -386995537 -386995526#1 -386995526#0 -43357814#3 -43357814#2 42706837#4 42706837#5 42706837#6 42706837#7 42706837#8 42706837#9 12172918#0 12172918#1 12172918#2 gneE73 gneE75.0 gneE80.125" probability="0.0384615384615385"/&gt;</t>
  </si>
  <si>
    <t xml:space="preserve">    &lt;route id="Router3_79" edges="31909473.0 31909473.857 62634019#1-AddedOnRampEdge 62634019#1 62634019#2.0 62634019#2.242 62634019#3-AddedOnRampEdge 62634019#3 62634019#3-AddedOffRampEdge 12111747.0 12189453#0.0.0 450844982#0.19 62203497#0 62203497#2 62203497#3 12134479#1 34685684#0 34685684#2 450844947#0 388533142#0 388533142#2 12189045#0 62623987#0 62623987#1 -12142631 12202018 62623986#1 62623986#2 -12189051#1 424080770#0 424080772#0 424080772#2 386547297#0 424080771#0 424080767#0 386547298#0 424769177 424080769#0 55179414#0 12187610#0 -484953508#2 424801339#0 62646509#0 424801338#0 424801338#1 12117702#0 12117702#4 12117702#7 -32121146#3 -32121146#1 55179413#0 424769182 -450827405#2 -450827400#2 -450827382 -450827385#1 12134222#0 12134222#2 12134222#3 386547311#11 386547311#13 357338496#0 357338496#2 450695461#0 62646494#0 424801336#0 484842168#0 283621820 -28555309#1 -424801341 -283621822#1 -424801343#1 -424801343#0 49991658 424801340 424801342 386550018#0 386550018#0-AddedOffRampEdge 386550018#1 49991638 -12144161#0 12144161#0 12144161#1 49991657 283621821#1 283621821#1-AddedOffRampEdge 283621821#2 49991647#1 49991647#2 63060732#0 63060732#1 63060732#2.0 63060732#2.116 50033027 -50033029 50033050#0 50033050#2 424799828 424799825 424799826 50033054 63060727 50033029 50033028#0 50033028#3 50033028#5 50033028#6 49991646 386547300#0 283621823 386547301-AddedOnRampEdge 386547301 424801344#0 424801343#1 283621822#0 424801341 28555309#0 49991649#0 424986163#0 51049946#0 424801337#0 357338497#0 357338497#2 450695460#0 62646499#0 62646499#2 450827424#0 62646508#0 62646508#2 424799820 424799823#0 50033059#0 50033059#2 50033059#3 50033059#4 388756839#0 388756839#1 388756838#0 12136923#0 386547309#0 386547309#2 386547309#3 386547309#5 484953510#2 42706825#0 42706825#2 42706825#4 42706825#5 424799823#0 42706833#0 42706833#2 12189876#0 12189876#2 484953508#1 60185970#0 60185970#2 12149571#1 12187610#3 50033558#2 50033558#3 50033558#4 50033558#6 50033058#0 386995514#9 386995486#0 32121111#11 -12177521#0 -121319040#0 -51155368#5 -50033558#5 -50033558#3 -12188656 -121319046 -42706825#7 -42706825#4 -42706825#3 -42706825#1 194358815 194358817#0 194358817#1 194358817#2 12114363#0 12114363#1 -50033059#4 12175537#0 12175537#2 485017371#0 484953507#1 12182281#8 12182281#9 12167232#0 12167232#1 12167232#2 12152013#4 51050425#4 386995537 386995551 387422150#0 387422150#1 386995531#3 386995531#4 12172918#2 gneE73 gneE75.0 gneE80.125" probability="0.0384615384615385"/&gt;</t>
  </si>
  <si>
    <t xml:space="preserve">    &lt;route id="Router3_80" edges="31909473.0 31909473.857 62634019#1-AddedOnRampEdge 62634019#1 62634019#2.0 62634019#2.242 62634019#3-AddedOnRampEdge 62634019#3 62634019#3-AddedOffRampEdge 12111747.0 12189453#0.0.0 450844982#0.19 62203497#0 62203497#2 62203497#3 12134479#1 34685684#0 34685684#2 450844947#0 388533142#0 388533142#2 12189045#0 62623987#0 62623987#1 -12142631 12202018 62623986#1 62623986#2 -12189051#1 424080770#0 424080772#0 424080772#2 386547297#0 424080771#0 424080767#0 386547298#0 424769177 424080769#0 55179414#0 12187610#0 60185970#0 60185970#2 12149571#1 12187610#3 50033558#2 -12188656 -121319046 -42706825#7 12199713#0 12199713#1 -386995514#6 -386995514#5 -386995514#4 -386995514#3 194358817#0 194358817#1 194358817#2 12114363#0 12114363#1 -50033059#4 12175537#0 12175537#2 12175537#3 12175537#4 12175537#5 12175537#6 12175537#7 12175537#8 12175537#9 12175537#10 12175537#11 12175537#12 12155177#1 12155177#2 387422153#1 gneE73 gneE75.0 gneE80.125" probability="0.0384615384615385"/&gt;</t>
  </si>
  <si>
    <t xml:space="preserve">    &lt;route id="Router3_81" edges="31909473.0 31909473.857 62634019#1-AddedOnRampEdge 62634019#1 62634019#2.0 62634019#2.242 62634019#3-AddedOnRampEdge 62634019#3 62634019#3-AddedOffRampEdge 12111747.0 12189453#0.0.0 450844982#0.19 62203497#0 62203497#2 62203497#3 12134479#1 34685684#0 34685684#2 450844947#0 388533142#0 388533142#2 12189045#0 62623987#0 62623987#1 -12142631 12202018 62623986#1 62623986#2 -12189051#1 424080770#0 424080772#0 424080772#2 386547297#0 424080771#0 424080767#0 386547298#0 424769177 424080769#0 55179414#0 12187610#0 60185970#0 60185970#2 12149571#1 12187610#3 50033558#2 50033558#3 50033558#4 50033558#6 50033058#0 386995514#9 386995486#0 32121111#11 -12177521#0 -121319040#0 -51155368#5 -50033558#5 -50033558#3 -12188656 -121319046 -42706825#7 -42706825#4 -42706825#3 -42706825#1 194358815 194358817#0 194358817#1 194358817#2 12114363#0 12114363#1 -50033059#4 12175537#0 12175537#2 485017371#0 484953507#1 12182281#8 12182281#9 12167232#0 12167232#1 12167232#2 12152013#4 51050425#4 386995537 386995551 387422150#0 387422150#1 386995531#3 386995531#4 12172918#2 gneE73 gneE75.0 gneE80.125" probability="0.0384615384615385"/&gt;</t>
  </si>
  <si>
    <t xml:space="preserve">    &lt;route id="Router3_97" edges="31909473.0 31909473.857 62634019#1-AddedOnRampEdge 62634019#1 62634019#2.0 62634019#2.242 62634019#3-AddedOnRampEdge 62634019#3 62634019#3-AddedOffRampEdge 12111747.0 59671945#0.30 62093806#0 104526265#0.14 424080766 424080768#0 104523976#1 262962063 12189051#0 -12189051#1 424080770#0 424080772#0 424080772#2 386547297#0 424080771#0 424080767#0 386547298#0 424769177 424080769#0 55179414#0 12187610#0 -484953508#2 424801339#0 62646509#0 424801338#0 424801338#1 12117702#0 12117702#4 12117702#7 -32121146#3 -32121146#1 55179413#0 424769182 -450827405#2 -450827400#2 -450827382 -450827385#1 12134222#0 12134222#2 12134222#3 386547311#11 386547311#13 357338496#0 357338496#2 450695461#0 62646494#0 424801336#0 484842168#0 283621820 -28555309#1 -424801341 -283621822#1 -424801343#1 -424801343#0 49991658 424801340 424801342 386550018#0 386550018#0-AddedOffRampEdge 386550018#1 49991638 -12144161#0 12144161#0 12144161#1 49991657 283621821#1 283621821#1-AddedOffRampEdge 283621821#2 49991647#1 49991647#2 63060732#0 63060732#1 63060732#2.0 63060732#2.116 50033027 -50033029 50033050#0 50033050#2 424799828 424799825 424799826 50033054 63060727 50033029 50033028#0 50033028#3 50033028#5 50033028#6 49991646 386547300#0 283621823 386547301-AddedOnRampEdge 386547301 424801344#0 424801343#1 283621822#0 424801341 28555309#0 49991649#0 424986163#0 51049946#0 424801337#0 357338497#0 357338497#2 450695460#0 62646499#0 62646499#2 450827424#0 62646508#0 62646508#2 424799820 424799823#0 50033059#0 50033059#2 50033059#3 50033059#4 388756839#0 388756839#1 388756838#0 12136923#0 386547309#0 386547309#2 386547309#3 386547309#5 386547309#7 51050030#4 51050030#7 gneE35 -gneE34.0 --gneE83.0" probability="0.0384615384615385"/&gt;</t>
  </si>
  <si>
    <t xml:space="preserve">    &lt;route id="Router3_98" edges="31909473.0 31909473.857 62634019#1-AddedOnRampEdge 62634019#1 62634019#2.0 62634019#2.242 62634019#3-AddedOnRampEdge 62634019#3 62634019#3-AddedOffRampEdge 12111747.0 59671945#0.30 62093806#0 104526265#0.14 424080766 424080768#0 104523976#1 262962063 12189051#0 -12189051#1 424080770#0 424080772#0 424080772#2 386547297#0 424080771#0 424080767#0 386547298#0 424769177 424080769#0 55179414#0 12187610#0 -484953508#2 424801339#0 62646509#0 424801338#0 424801338#1 357338496#0 357338487#0 -12134222#6 -12134222#4 -12134222#2 -12134222#1 12175523#0 484953509#4 51050030#0 386547309#9 12180696#0 12180696#2 12180696#4 12180696#6 386547306#0 386547306#4 386547306#6 51049745#0 51049745#2 51049745#3 484842179#16.0 62094032#0.9 288513230#0 288513232 484842173 50033030#0 -424801341 -283621822#1 -424801343#1 -424801343#0 49991658 424801340 424801342 386550018#0 386550018#0-AddedOffRampEdge 386550018#1 49991638 -12144161#0 12144161#0 12144161#1 49991657 283621821#1 283621821#1-AddedOffRampEdge 283621821#2 49991647#1 49991647#2 63060732#0 63060732#1 63060732#2.0 63060732#2.116 50033027 -50033029 50033050#0 50033050#2 424799828 424799825 424799826 50033054 63060727 50033029 50033028#0 50033028#3 50033028#5 50033028#6 49991646 386547300#0 283621823 386547301-AddedOnRampEdge 386547301 424801344#0 424801343#1 283621822#0 424801341 28555309#0 49991649#0 424986163#0 51049946#0 424801337#0 357338497#0 357338497#2 450695460#0 62646499#0 62646499#2 450827424#0 62646508#0 62646508#2 424799820 424799823#0 50033059#0 50033059#2 50033059#3 50033059#4 388756839#0 388756839#1 388756838#0 12136923#0 386547309#0 386547309#2 386547309#3 386547309#5 386547309#7 51050030#4 51050030#7 gneE35 -gneE34.0 --gneE83.0" probability="0.0384615384615385"/&gt;</t>
  </si>
  <si>
    <t xml:space="preserve">    &lt;route id="Router3_99" edges="31909473.0 31909473.857 62634019#1-AddedOnRampEdge 62634019#1 62634019#2.0 62634019#2.242 62634019#3-AddedOnRampEdge 62634019#3 62634019#3-AddedOffRampEdge 12111747.0 59671945#0.30 62093806#0 104526265#0.14 424080766 424080768#0 104523976#1 262962063 12189051#0 -12189051#1 424080770#0 424080772#0 424080772#2 386547297#0 424080771#0 424080767#0 386547298#0 424769177 424080769#0 55179414#0 12187610#0 -484953508#2 424801339#0 62646509#0 424801338#0 424801338#1 357338496#0 357338487#0 -12134222#6 -12134222#4 -12134222#2 -12134222#1 12175523#0 484953509#4 51050030#0 386547309#9 12180696#0 12180696#2 386547311#6 386547311#8 386547311#9 -12134222#4 -12134222#2 -12134222#1 12175523#0 484953509#4 51050030#0 386547309#9 12180696#0 12180696#2 12180696#4 12180696#6 386547306#0 386547306#4 386547306#6 51049745#0 51049745#2 51049745#3 484842179#16.0 62094032#0.9 288513230#0 288513232 484842173 50033030#0 -424801341 -283621822#1 -424801343#1 -424801343#0 49991658 424801340 424801342 386550018#0 386550018#0-AddedOffRampEdge 386550018#1 49991638 -12144161#0 12144161#0 12144161#1 49991657 283621821#1 283621821#1-AddedOffRampEdge 283621821#2 49991647#1 49991647#2 63060732#0 63060732#1 63060732#2.0 63060732#2.116 50033027 -50033029 50033050#0 50033050#2 424799828 424799825 424799826 50033054 63060727 50033029 50033028#0 50033028#3 50033028#5 50033028#6 49991646 386547300#0 283621823 386547301-AddedOnRampEdge 386547301 424801344#0 424801343#1 283621822#0 424801341 28555309#0 49991649#0 424986163#0 51049946#0 424801337#0 357338497#0 357338497#2 450695460#0 62646499#0 62646499#2 450827424#0 62646508#0 62646508#2 424799820 424799823#0 50033059#0 50033059#2 50033059#3 50033059#4 388756839#0 388756839#1 388756838#0 12136923#0 386547309#0 386547309#2 386547309#3 386547309#5 386547309#7 51050030#4 51050030#7 gneE35 -gneE34.0 --gneE83.0" probability="0.0384615384615385"/&gt;</t>
  </si>
  <si>
    <t xml:space="preserve">    &lt;route id="Router3_100" edges="31909473.0 31909473.857 62634019#1-AddedOnRampEdge 62634019#1 62634019#2.0 62634019#2.242 62634019#3-AddedOnRampEdge 62634019#3 62634019#3-AddedOffRampEdge 12111747.0 59671945#0.30 62093806#0 104526265#0.14 424080766 424080768#0 104523976#1 262962063 12189051#0 -12189051#1 424080770#0 424080772#0 424080772#2 386547297#0 424080771#0 424080767#0 386547298#0 424769177 424080769#0 55179414#0 12187610#0 -484953508#2 424801339#0 62646509#0 424801338#0 424801338#1 357338496#0 357338487#0 -12134222#6 -12134222#4 -12134222#2 -12134222#1 12175523#0 484953509#4 51050030#0 386547309#9 12180696#0 12180696#2 386547311#6 386547311#8 386547311#9 -12134222#4 -12134222#2 -12134222#1 12175523#0 484953509#4 51050030#0 386547309#9 12180696#0 12180696#2 386547311#6 386547311#8 386547311#9 -12134222#4 -12134222#2 -12134222#1 450827385#0 450827382 450827400#0 62646509#0 424801338#0 424801338#1 12117702#0 12117702#4 12117702#7 -32121146#3 -32121146#1 55179413#0 424769182 -450827405#2 -450827400#2 -450827382 -450827385#1 12134222#0 12134222#2 12134222#3 386547311#11 386547311#13 357338496#0 357338496#2 450695461#0 62646494#0 424801336#0 484842168#0 283621820 -28555309#1 -424801341 -283621822#1 -424801343#1 -424801343#0 49991658 424801340 424801342 386550018#0 386550018#0-AddedOffRampEdge 386550018#1 49991638 -12144161#0 12144161#0 12144161#1 49991657 283621821#1 283621821#1-AddedOffRampEdge 283621821#2 49991647#1 49991647#2 63060732#0 63060732#1 63060732#2.0 63060732#2.116 50033027 -50033029 50033050#0 50033050#2 424799828 424799825 424799826 50033054 63060727 50033029 50033028#0 50033028#3 50033028#5 50033028#6 49991646 386547300#0 283621823 386547301-AddedOnRampEdge 386547301 424801344#0 424801343#1 283621822#0 424801341 28555309#0 49991649#0 424986163#0 51049946#0 424801337#0 357338497#0 357338497#2 450695460#0 62646499#0 62646499#2 450827424#0 62646508#0 62646508#2 424799820 424799823#0 50033059#0 50033059#2 50033059#3 50033059#4 388756839#0 388756839#1 388756838#0 12136923#0 386547309#0 386547309#2 386547309#3 386547309#5 386547309#7 51050030#4 51050030#7 gneE35 -gneE34.0 --gneE83.0" probability="0.0384615384615385"/&gt;</t>
  </si>
  <si>
    <t xml:space="preserve">    &lt;route id="Router3_102" edges="31909473.0 31909473.857 62634019#1-AddedOnRampEdge 62634019#1 62634019#2.0 62634019#2.242 62634019#3-AddedOnRampEdge 62634019#3 62634019#3-AddedOffRampEdge 12111747.0 62203498#0 62093806#0 104526265#0.14 424080766 424080768#0 104523976#1 262962063 424080770#0 -424080761#1 -62623960 62623959#0 386547296#0 386547296#1 424080773#0 104523976#1 262962063 424080770#0 424080772#0 424080772#2 386547297#0 424080771#0 424080767#0 386547298#0 424769177 424080769#0 55179414#0 55179413#0 424769182 -450827405#2 -450827400#2 -450827382 -450827385#1 -450827391#1 -450827381 -450827397#1 12180696#0 59435515#1 59435515#2 59435515#3 59435515#4 424801338#1 12117702#0 12117702#4 12117702#7 -32121146#3 12202008#2.0 12202008#2.171 62646499#2 450827424#0 450827405#0 262962062 -55179413#2 12187610#0 12187610#2 12187610#3 -62105579 12186909#0 12186909#1 12186909#2 12186909#4 12186909#6 386995479#0 12157718#5 12157718#7 485017376 485017373#0 387422135#0 424769003#0 424769003#1 -30953396#1 -30953396#0 -424769006 -424769005 -424769002 -30953391 -43569848 -393884751 12159702 424764853 12149178#0 50189796 50189564 12149178#2 145605533#0 145605533#1-AddedOnRampEdge 145605533#1 145605511#1-AddedOnRampEdge 145605511#12 145605511#1.148" probability="0.0384615384615385"/&gt;</t>
  </si>
  <si>
    <t xml:space="preserve">    &lt;route id="Router3_72" edges="31909473.0 31909473.857 62634019#1-AddedOnRampEdge 62634019#1 30953036 424081476 424081472 424081473 424081470 30953025#0 30953025#2 30953025#3 30953025#4 50033060#0 12134479#5 450844973#0 388533144#0 388533144#6 388533144#11 450695475#0 137364609#0 137364609#3 137364609#5 450695473#0 386547305#0 gneE23 -gneE20.0 -gneE21.54 -gneE21.0 59435515#0 59435515#1 59435515#2 59435515#3 59435515#4 424801338#1 12117702#0 12117702#4 12117702#7 -32121146#3 12202008#2.0 12202008#2.171 62646499#2 450827424#0 450827405#0 262962062 -55179413#2 12187610#0 12187610#2 12187610#3 -62105579 12186909#0 12186909#1 12186909#2 12186909#4 12177521#2 12177521#3 211575484#1 485017379 -386995465#1 -386995504#1 -386995486#1 32121111#11 -12177521#0 -121319040#0 -51155368#5 -50033558#5 -50033558#3 -12188656 -121319046 -42706825#7 -42706825#4 -42706825#3 -42706825#1 194358815 194358817#0 194358817#1 194358817#2 12114363#0 12114363#1 -50033059#4 12175537#0 12175537#2 12175537#3 12175537#4 12175537#5 12175537#6 12175537#7 -43357814#2 42706837#4 42706837#5 42706837#6 42706837#7 42706837#8 42706837#9 12172918#0 12172918#1 12172918#2 gneE73 gneE75.0 -gneE80.17 -gneE41 gneE44 -388756838#2 -388756838#1 -388756838#0 42706817#0 386547310 gneE69 -gneE44 gneE41 gneE80.0 gneE80.125" probability="0.0384615384615385"/&gt;</t>
  </si>
  <si>
    <t>&lt;routeDistribution id="MARKET-29th-to-30th-WB-2015-RouteProbe"&gt;</t>
  </si>
  <si>
    <t xml:space="preserve">    &lt;route id="Router3_86" edges="31909473.0 31909473.857 62634019#1-AddedOnRampEdge 62634019#1 62634019#2.0 62634019#2.242 62634019#3-AddedOnRampEdge 62634019#3 62634019#3-AddedOffRampEdge 12111747.0 59671945#0.30 62093806#0 104526265#0.14 424080766 424080768#0 104523976#1 262962063 12189051#0 -12189051#1 -262962063 -424080764 -424080768#1 -424080766 -104526265#1 30953497#0 30953497#2 30953497#3 42706585#0 42706585#1 30953320 30953320-AddedOffRampEdge 104526277 30953215#1-AddedOnRampEdge 30953215#1 121643865#0 12110705 50715233#0 50715233#0-AddedOffRampEdge 50715233#1.0 62203285#14.24 gneE59.30.0.55 gneE59.30.0.0 43539373#0.0.292.17 gneE58 gneE56 gneE54.0 62203360#0 291433361#0 132508433.0 -gneE6.0 gneE6.0 424765883 43570920#0.22 132508717#4 43539378#1 43569848 30953391 12113092 51758697#1-AddedOnRampEdge 51758697#1 -gneE46.0 43357850.4841.18 gneE46 49887339#0.596 49887339#0-AddedOffRampEdge 49887339#1 49887339#1-AddedOffRampEdge 104524021 104524021-AddedOffRampEdge 50192637#0 50192637#1-AddedOnRampEdge 50192637#1.0.0 50192637#1.0.382.0.0 50192637#1.697 50192637#1-AddedOffRampEdge 30953181#1 30953181#2-AddedOnRampEdge 30953181#2 30953181#3-AddedOnRampEdge 30953181#3 30953181#3-AddedOffRampEdge 30952933#1.0 30952933#1.199" probability="0.037037037037037"/&gt;</t>
  </si>
  <si>
    <t xml:space="preserve">    &lt;route id="Router3_87" edges="31909473.0 31909473.857 62634019#1-AddedOnRampEdge 62634019#1 62634019#2.0 62634019#2.242 62634019#3-AddedOnRampEdge 62634019#3 62634019#3-AddedOffRampEdge 12111747.0 59671945#0.30 62093806#0 104526265#0.14 424080766 424080768#0 104523976#1 262962063 12189051#0 -12189051#1 -262962063 -424080764 -424080768#1 -424080766 -104526265#1 30953497#0 30953497#2 30953497#3 42706585#0 42706585#1 30953320 30953320-AddedOffRampEdge 104526277 30953215#1-AddedOnRampEdge 30953215#1 121643865#0 12110705 50715233#0 50715233#0-AddedOffRampEdge 50715233#1.0 62203285#14.24 gneE59.30.0.55 gneE59.30.0.0 43539373#0.0.292.17 gneE58 gneE56 gneE54.0 62203360#0 291433361#0 132508433.0 -gneE6.0 gneE6.0 424765883 43570920#0.22 132508717#4 43539378#1 43569848 30953391 12113092 51758697#1-AddedOnRampEdge 51758697#1" probability="0.037037037037037"/&gt;</t>
  </si>
  <si>
    <t xml:space="preserve">    &lt;route id="Router3_89" edges="31909473.0 31909473.857 62634019#1-AddedOnRampEdge 62634019#1 62634019#2.0 62634019#2.242 62634019#3-AddedOnRampEdge 62634019#3 62634019#3-AddedOffRampEdge 12111747.0 59671945#0.30 62093806#0 104526265#0.14 424080766 424080768#0 104523976#1 262962063 12189051#0 -12189051#1 -262962063 -424080764 -424080768#1 -424080766 -104526265#1 30953497#0 30953497#2 30953497#3 42706585#0 42706585#1 30953320 30953320-AddedOffRampEdge 104526277 30953215#1-AddedOnRampEdge 30953215#1 121643865#0 12110705 50715233#0 50715233#0-AddedOffRampEdge 50715233#1.0 62203285#14.24 gneE59.30.0.55 gneE59.30.0.0 43539373#0.0.292.17 gneE58 gneE56 gneE54.0 gneE62.13 gneE81.0 gneE81.299.0 12138964.1128 196393941#8 gneE87 196393974#0 49914077 424767578 43569819 387422128#1 43569827#0 43569827#1 43569827#2 43569827#7 43569848 30953391 424769002 424769005 424769006 424769004 30953396#1 -424769003#1 -424769003#0 -485017374 42706828#0 42706828#2 12182281#0 12182281#3 12182281#5 12182281#6 386995507#4 386995507#5 386995507#6 12152013#1 12152013#2 -12175537#6 -12175537#5 -12175537#4 12182281#9 12182281#10 -388756839#1 -388756839#0 -50033059#4 -50033059#3 -50033059#2 -50033059#1 42706833#0 42706833#2 12189876#0 12189876#2 484953508#1 60185970#0 60185970#2 12149571#1 12187610#3 50033558#2 -12188656 -121319046 -42706825#7 12199713#0 12199713#1 -386995514#6 -386995514#5 -386995514#4 -386995514#3 194358817#0 194358817#1 194358817#2 12114363#0 12114363#1 -50033059#4 12175537#0 12175537#2 12175537#3 12175537#4 12175537#5 12175537#6 12175537#7 12175537#8 12175537#9 12175537#10 12175537#11 12175537#12 12155177#1 12155177#2 387422153#1 gneE73 gneE75.0 gneE80.125" probability="0.037037037037037"/&gt;</t>
  </si>
  <si>
    <t xml:space="preserve">    &lt;route id="Router3_90" edges="31909473.0 31909473.857 62634019#1-AddedOnRampEdge 62634019#1 62634019#2.0 62634019#2.242 62634019#3-AddedOnRampEdge 62634019#3 62634019#3-AddedOffRampEdge 12111747.0 59671945#0.30 62093806#0 104526265#0.14 424080766 424080768#0 104523976#1 262962063 12189051#0 -12189051#1 -262962063 -424080764 -424080768#1 -424080766 -104526265#1 30953497#0 30953497#2 30953497#3 42706585#0 42706585#1 30953320 30953320-AddedOffRampEdge 104526277 30953215#1-AddedOnRampEdge 30953215#1 121643865#0 12110705 50715233#0 50715233#0-AddedOffRampEdge 50715233#1.0 62203285#14.24 gneE59.30.0.55 gneE59.30.0.0 gneE59.0.0 gneE59.0.12 62203360#0 291433361#0 132508433.0 -gneE6.0 gneE81.299.0 gneE81.299.79 gneE81.299.145 -gneE8 12154353#0 196393941#1 196393941#2 28533986 43539369#2 12178843#2 12178843#3 49960982#2 43569828#0 387422128#1 43569827#0 43569827#1 43569827#2 43569827#7 43569848 30953391 424769002 424769005 424769006 424769004 30953396#1 387422132#0 387422132#1 486653633#0 484953506#3 484953506#4 12157002#0 12157002#1 12157002#3 12157002#5 12114396#4 -12156992#10 -12156992#8 -12156992#7 -12156992#6 -12156992#5 -12156992#4 -12156992#3 -12156992#2 -12156992#1 -386547297#1 -424080772#2 -424080772#1 -262962065#1 -262962063 -424080764 -424080768#1 -424080766 -104526265#1 30953497#0 30953497#2 35920555#0.0 35920555#0.75 62203066 43331031.0 43331031.436 42706585#0 42706585#1 30953320 30953320-AddedOffRampEdge 30953315 104526276-AddedOnRampEdge 104526276 51758697#0 51758697#1-AddedOnRampEdge 51758697#1" probability="0.037037037037037"/&gt;</t>
  </si>
  <si>
    <t xml:space="preserve">    &lt;route id="Router3_91" edges="31909473.0 31909473.857 62634019#1-AddedOnRampEdge 62634019#1 62634019#2.0 62634019#2.242 62634019#3-AddedOnRampEdge 62634019#3 62634019#3-AddedOffRampEdge 12111747.0 59671945#0.30 62093806#0 104526265#0.14 424080766 424080768#0 104523976#1 262962063 12189051#0 -12189051#1 424080770#0 424080772#0 12119506#0 -12156992#1 -386547297#1 -424080772#2 -424080772#1 -424080761#1 -62623960 62623959#0 386547296#0 386547296#1 424080773#0 279870839#0 279870839#2 450844960#0 62623926#1 450844950#0 38502259#0.19 450844933#1 196207115#0 196207115#2 196207115#3 196355332#0 450844979#0.0 450844982#0.19 62203497#0 62203497#2 62203497#3 12134479#1 34685684#0 34685684#2 388533143#0 388533143#2 12140627#0 63060729#0 -264253834#2 12156992#4 12156992#5 12156992#6 12156992#7 12156992#8 12156992#9 -12114396#5 -12114396#3 -12114396#1 485017383#0 485017382#0 485017382#1 211575484#0 -12177521#3 -12177521#2 -12177521#1 32121111#12 32121111#14 -12187610#5 -12187610#2 -12187610#1 12150608#0 32121146#2 12117702#9 450844953#0 450844953#2 450844953#3 450844947#0 388533142#0 388533142#2 388533142#4 62623926#0 62623926#1 450844950#0 38502259#0.19 450844933#1 196207110#0 196207110#2" probability="0.037037037037037"/&gt;</t>
  </si>
  <si>
    <t xml:space="preserve">    &lt;route id="Router3_92" edges="31909473.0 31909473.857 62634019#1-AddedOnRampEdge 62634019#1 62634019#2.0 62634019#2.242 62634019#3-AddedOnRampEdge 62634019#3 62634019#3-AddedOffRampEdge 12111747.0 59671945#0.30 62093806#0 104526265#0.14 424080766 424080768#0 104523976#1 262962063 12189051#0 -12189051#1 424080770#0 424080772#0 12119506#0 -12156992#1 -386547297#1 -424080772#2 -424080772#1 -424080761#1 -62623960 62623959#0 386547296#0 386547296#1 424080773#0 279870839#0 279870839#2 450844960#0 62623926#1 450844950#0 38502259#0.19 450844933#1 196207115#0 196207115#2 196207115#3 196355332#0 450844979#0.0 450844982#0.19 62203497#0 62203497#2 62203497#3 12134479#1 34685684#0 34685684#2 388533143#0 388533143#2 12140627#0 63060729#0 -264253834#2 12156992#4 12156992#5 12156992#6 12156992#7 12156992#8 12156992#9 -12114396#5 -12114396#3 -12114396#1 485017383#0 485017382#0 485017382#1 211575484#0 -12177521#3 -12177521#2 -12177521#1 32121111#12 32121111#14 -12187610#5 -12187610#2 -12187610#1 12150608#0 32121146#2 12117702#9 450844953#0 450844953#2 450844953#3 450844947#0 388533142#0 388533142#2 388533142#4 62623926#0 62623926#1 450844950#0 38502259#0.19 450844933#1 196207110#0 196355327#2 196355327#5 -196393940#0" probability="0.037037037037037"/&gt;</t>
  </si>
  <si>
    <t xml:space="preserve">    &lt;route id="Router3_94" edges="31909473.0 31909473.857 62634019#1-AddedOnRampEdge 62634019#1 62634019#2.0 62634019#2.242 62634019#3-AddedOnRampEdge 62634019#3 62634019#3-AddedOffRampEdge 12111747.0 59671945#0.30 62093806#0 104526265#0.14 424080766 424080768#0 104523976#1 262962063 12189051#0 -12189051#1 424080770#0 424080772#0 12119506#0 -12156992#1 -386547297#1 -424080772#2 -424080772#1 -424080761#1 -62623960 62623959#0 386547296#0 386547296#1 424080773#0 279870839#0 279870839#2 450844960#0 62623926#1 450844950#0 38502259#0.19 450844933#1 196207115#0 196207115#2 196207115#3 196355332#0 450844979#0.0 450844982#0.19 62203497#0 62203497#2 62203497#3 12134479#1 34685684#0 34685684#2 388533143#0 388533143#2 12140627#0 63060729#0 -264253834#2 12156992#4 12156992#5 12156992#6 12156992#7 12156992#8 12156992#9 484953505 12148522#0 485017381#0 485017381#1 -30953396#1 30953396#1 -424769003#1 -424769003#0 12157002#0 12157002#1 12157002#3 12157002#5 12114396#4 -12156992#10 -12156992#8 -12156992#7 -12156992#6 -12156992#5 -12156992#4 -12156992#3 -12156992#2 -12156992#1 -386547297#1 -424080772#2 -424080772#1 -262962065#1 -262962063 -424080764 -424080768#1 -424080766 -104526265#1 -262962068#1 -424080774 -32122059#1 -32122059#0 -196393940#2 -196393940#0" probability="0.037037037037037"/&gt;</t>
  </si>
  <si>
    <t xml:space="preserve">    &lt;route id="Router3_96" edges="31909473.0 31909473.857 62634019#1-AddedOnRampEdge 62634019#1 62634019#2.0 62634019#2.242 62634019#3-AddedOnRampEdge 62634019#3 62634019#3-AddedOffRampEdge 12111747.0 59671945#0.30 62093806#0 104526265#0.14 424080766 424080768#0 104523976#1 262962063 12189051#0 -12189051#1 424080770#0 424080772#0 12119506#0 -12156992#1 -386547297#1 -424080772#2 -424080772#1 -424080761#1 -62623960 62623959#0 386547296#0 386547296#1 424080773#0 279870839#0 279870839#2 450844960#0 62623926#1 450844950#0 38502259#0.19 450844933#1 196207115#0 196207115#2 196207115#3 196355332#0 450844979#0.0 450844982#0.19 62203497#0 62203497#2 62203497#3 12134479#1 34685684#0 34685684#2 388533143#0 388533143#2 12140627#0 63060729#0 -264253834#2 12156992#4 12156992#5 12156992#6 12156992#7 12156992#8 12156992#9 484953505 12148522#0 485017381#0 485017381#1 -30953396#1 30953396#1 -424769003#1 -424769003#0 12157002#0 12157002#1 12186058#2 485017381#0 -12157718#12 -12157718#10 -12157718#9 -12157718#8 -12157718#6 386995479#1 386995479#2 386995479#3 386995479#4 386995479#5 386995479#6 386995490#0.0 12154359#1.20 12154359#2 -386995521#1 -386995521#0 43357814#0 43357814#1 42706837#4 42706837#5 12154359#5 12154359#6 386995531#1 386995531#2 386995531#3 386995531#4 12172918#2 gneE73 gneE75.0 gneE80.125" probability="0.037037037037037"/&gt;</t>
  </si>
  <si>
    <t xml:space="preserve">    &lt;route id="Router3_98" edges="31909473.0 31909473.857 62634019#1-AddedOnRampEdge 62634019#1 62634019#2.0 62634019#2.242 62634019#3-AddedOnRampEdge 62634019#3 62634019#3-AddedOffRampEdge 12111747.0 59671945#0.30 62093806#0 104526265#0.14 424080766 424080768#0 104523976#1 262962063 12189051#0 -12189051#1 424080770#0 424080772#0 424080772#2 386547297#0 424080771#0 424080767#0 386547298#0 424769177 424080769#0 55179414#0 12187610#0 -484953508#2 424801339#0 62646509#0 424801338#0 424801338#1 357338496#0 357338487#0 -12134222#6 -12134222#4 -12134222#2 -12134222#1 12175523#0 484953509#4 51050030#0 386547309#9 12180696#0 12180696#2 12180696#4 12180696#6 386547306#0 386547306#4 386547306#6 51049745#0 51049745#2 51049745#3 484842179#16.0 62094032#0.9 288513230#0 288513232 484842173 50033030#0 -424801341 -283621822#1 -424801343#1 -424801343#0 49991658 424801340 424801342 386550018#0 386550018#0-AddedOffRampEdge 386550018#1 49991638 -12144161#0 12144161#0 12144161#1 49991657 283621821#1 283621821#1-AddedOffRampEdge 283621821#2 49991647#1 49991647#2 63060732#0 63060732#1 63060732#2.0 63060732#2.116 50033027 -50033029 50033050#0 50033050#2 424799828 424799825 424799826 50033054 63060727 50033029 50033028#0 50033028#3 50033028#5 50033028#6 49991646 386547300#0 283621823 386547301-AddedOnRampEdge 386547301 424801344#0 424801343#1 283621822#0 424801341 28555309#0 49991649#0 424986163#0 51049946#0 424801337#0 357338497#0 357338497#2 450695460#0 62646499#0 62646499#2 450827424#0 62646508#0 62646508#2 424799820 424799823#0 50033059#0 50033059#2 50033059#3 50033059#4 388756839#0 388756839#1 388756838#0 12136923#0 386547309#0 386547309#2 386547309#3 386547309#5 386547309#7 51050030#4 51050030#7 gneE35 -gneE34.0 --gneE83.0" probability="0.037037037037037"/&gt;</t>
  </si>
  <si>
    <t xml:space="preserve">    &lt;route id="Router3_99" edges="31909473.0 31909473.857 62634019#1-AddedOnRampEdge 62634019#1 62634019#2.0 62634019#2.242 62634019#3-AddedOnRampEdge 62634019#3 62634019#3-AddedOffRampEdge 12111747.0 59671945#0.30 62093806#0 104526265#0.14 424080766 424080768#0 104523976#1 262962063 12189051#0 -12189051#1 424080770#0 424080772#0 424080772#2 386547297#0 424080771#0 424080767#0 386547298#0 424769177 424080769#0 55179414#0 12187610#0 -484953508#2 424801339#0 62646509#0 424801338#0 424801338#1 357338496#0 357338487#0 -12134222#6 -12134222#4 -12134222#2 -12134222#1 12175523#0 484953509#4 51050030#0 386547309#9 12180696#0 12180696#2 386547311#6 386547311#8 386547311#9 -12134222#4 -12134222#2 -12134222#1 12175523#0 484953509#4 51050030#0 386547309#9 12180696#0 12180696#2 12180696#4 12180696#6 386547306#0 386547306#4 386547306#6 51049745#0 51049745#2 51049745#3 484842179#16.0 62094032#0.9 288513230#0 288513232 484842173 50033030#0 -424801341 -283621822#1 -424801343#1 -424801343#0 49991658 424801340 424801342 386550018#0 386550018#0-AddedOffRampEdge 386550018#1 49991638 -12144161#0 12144161#0 12144161#1 49991657 283621821#1 283621821#1-AddedOffRampEdge 283621821#2 49991647#1 49991647#2 63060732#0 63060732#1 63060732#2.0 63060732#2.116 50033027 -50033029 50033050#0 50033050#2 424799828 424799825 424799826 50033054 63060727 50033029 50033028#0 50033028#3 50033028#5 50033028#6 49991646 386547300#0 283621823 386547301-AddedOnRampEdge 386547301 424801344#0 424801343#1 283621822#0 424801341 28555309#0 49991649#0 424986163#0 51049946#0 424801337#0 357338497#0 357338497#2 450695460#0 62646499#0 62646499#2 450827424#0 62646508#0 62646508#2 424799820 424799823#0 50033059#0 50033059#2 50033059#3 50033059#4 388756839#0 388756839#1 388756838#0 12136923#0 386547309#0 386547309#2 386547309#3 386547309#5 386547309#7 51050030#4 51050030#7 gneE35 -gneE34.0 --gneE83.0" probability="0.037037037037037"/&gt;</t>
  </si>
  <si>
    <t xml:space="preserve">    &lt;route id="Router3_103" edges="31909473.0 31909473.857 62634019#1-AddedOnRampEdge 62634019#1 62634019#2.0 62634019#2.242 62634019#3-AddedOnRampEdge 62634019#3 62634019#3-AddedOffRampEdge 12111747.0 62203498#0 62093806#0 104526265#0.14 424080766 424080768#0 104523976#1 262962063 424080770#0 -424080761#1 -62623960 62623959#0 386547296#0 386547296#1 424080773#0 279870839#0 279870839#2 450844960#0 62623926#1 450844950#0 38502259#0.19 450844933#1 196207110#0 196207110#2" probability="0.037037037037037"/&gt;</t>
  </si>
  <si>
    <t xml:space="preserve">    &lt;route id="Router3_104" edges="31909473.0 31909473.857 62634019#1-AddedOnRampEdge 62634019#1 62634019#2.0 62634019#2.242 62634019#3-AddedOnRampEdge 62634019#3 62634019#3-AddedOffRampEdge 12111747.0 62203498#0 62093806#0 104526265#0.14 424080766 424080768#0 104523976#1 262962063 424080770#0 -424080761#1 -62623960 62623959#0 386547296#0 386547296#1 424080773#0 279870839#0 279870839#2 450844960#0 62623926#1 450844950#0 38502259#0.19 450844933#1 196207110#0 196355327#2 196355327#5 -196393940#0" probability="0.037037037037037"/&gt;</t>
  </si>
  <si>
    <t xml:space="preserve">    &lt;route id="Router3_105" edges="31909473.0 31909473.857 62634019#1-AddedOnRampEdge 62634019#1 62634019#2.0 62634019#2.242 62634019#3-AddedOnRampEdge 62634019#3 62634019#3-AddedOffRampEdge 12111747.0 62203498#0 62093806#0 104526265#0.14 424080766 424080768#0 104523976#1 262962063 424080770#0 424080772#0 424080772#2 386547297#0 424080771#0 424080767#0 386547298#0 424769177 424080769#0 12144152#0 12144152#2 12144152#4 12144152#6 12157151#0 12166276#2 -32121146#5 12117702#9 450844953#0 450844953#2 450844953#3 450844947#0 388533142#0 388533142#2 12189045#0 62623987#0 62623987#1 -12142631 12202018 62623986#1 62623986#2 -12189051#1 -262962063 -424080764 -424080768#1 -424080766 -104526265#1 -262962068#1 -424080774 -32122059#1 -32122059#0 -196393940#2 -196393940#0" probability="0.037037037037037"/&gt;</t>
  </si>
  <si>
    <t xml:space="preserve">    &lt;route id="Router3_106" edges="31909473.0 31909473.857 62634019#1-AddedOnRampEdge 62634019#1 62634019#2.0 62634019#2.242 62634019#3-AddedOnRampEdge 62634019#3 62634019#3-AddedOffRampEdge 12111747.0 62203498#0 62093806#0 104526265#0.14 424080766 424080768#0 104523976#1 262962063 424080770#0 424080772#0 424080772#2 386547297#0 424080771#0 424080767#0 386547298#0 424769177 424080769#0 12144152#0 12144152#2 12144152#4 12166276#0 -351053388#2 12144152#7 450844965#0 388533145#0 -12168663#6 -484953513#2 -484953514#2 -284556051#4 -284556051#2 51050278#0.0 gneE16 -12165855#3.1535 386547306#4 386547306#6 51049745#0 51049745#2 51049745#3 484842179#16.0 62094032#0.9 288513230#0 288513232 484842173 50033030#0 -424801341 -283621822#1 -424801343#1 -424801343#0 49991658 424801340 424801342 386550018#0 386550018#0-AddedOffRampEdge 386550018#1 49991638 -12144161#0 12144161#0 12144161#1 49991657 283621821#1 283621821#1-AddedOffRampEdge 283621821#2 49991647#1 49991647#2 63060732#0 63060732#1 63060732#2.0 63060732#2.116 50033027 -50033029 50033050#0 50033050#2 424799828 424799825 424799826 50033054 63060727 50033029 50033028#0 50033028#3 50033028#5 50033028#6 49991646 386547300#0 283621823 386547301-AddedOnRampEdge 386547301 424801344#0 424801343#1 283621822#0 424801341 28555309#0 49991649#0 424986163#0 51049946#0 424801337#0 357338497#0 357338497#2 450695460#0 62646499#0 62646499#2 450827424#0 62646508#0 62646508#2 424799820 424799823#0 50033059#0 50033059#2 50033059#3 50033059#4 388756839#0 388756839#1 388756838#0 12136923#0 386547309#0 386547309#2 386547309#3 386547309#5 386547309#7 51050030#4 51050030#7 gneE35 -gneE34.0 --gneE83.0" probability="0.037037037037037"/&gt;</t>
  </si>
  <si>
    <t xml:space="preserve">    &lt;route id="Router3_107" edges="31909473.0 31909473.857 62634019#1-AddedOnRampEdge 62634019#1 62634019#2.0 62634019#2.242 62634019#3-AddedOnRampEdge 62634019#3 62634019#3-AddedOffRampEdge 12111747.0 62203498#0 62093806#0 104526265#0.14 424080766 424080768#0 104523976#1 262962063 424080770#0 424080772#0 424080772#2 386547297#0 424080771#0 424080767#0 386547298#0 424769177 424080769#0 12144152#0 12144152#2 12144152#4 12166276#0 -351053388#2 12144152#7 450844965#0 388533145#0 -12168663#6 -484953513#2 -484953514#2 -284556051#4 -284556051#2 51050278#0.0 gneE16 -12165855#3.1535 386547306#4 386547306#6 51049745#0 51049745#2 51049745#3 484842179#16.0 62094032#0.9 288513230#0 288513232 484842173 50033030#0 -424801341 -283621822#1 -424801343#1 -424801343#0 49991658 424801340 424801342 386550018#0 386550018#0-AddedOffRampEdge 386550018#1 49991638 -12144161#0 12144161#0 12144161#1 49991657 283621821#1 283621821#1-AddedOffRampEdge 283621821#2 49991647#1 49991647#2 63060732#0 63060732#1 63060732#2.0 63060732#2.116 50033027 -50033029 50033050#0 50033050#2 424799828 424799825 424799826 50033054 63060727 50033029 50033028#0 50033028#3 50033028#5 50033028#6 49991646 386547300#0 283621823 386547301-AddedOnRampEdge 386547301 424801344#0 424801343#1 283621822#0 424801341 28555309#0 49991649#0 424986163#0 51049946#0 424801337#0 357338497#0 357338497#2 450695460#0 62646499#0 62646499#2 450827424#0 62646508#0 62646508#2 424799820 424799823#0 50033059#0 50033059#2 50033059#3 50033059#4 388756839#0 388756839#1 388756838#0 12136923#0 386547309#0 386547309#2 386547309#3 386547309#5 484953510#2 42706825#0 42706825#2 42706825#4 42706825#5 121319046 12188656 -50033558#2 12203859#0 12203859#1 42706831#4 42706831#5 -12180988#5 63060729#4 63060729#7 63060729#10 -42706823#3 -42706823#1 42706831#0 42706831#4 42706831#5 42706831#6 32121234#0 32121234#1 32121234#2 50033558#2 50033558#3 50033558#4 50033558#6 50033058#0 386995514#9 386995486#0 32121111#11 -12177521#0 -121319040#0 -51155368#5 -50033558#5 -50033558#3 -12188656 -121319046 -42706825#7 -42706825#4 -42706825#3 -42706825#1 194358815 194358817#0 194358817#1 194358817#2 12114363#0 12114363#1 -50033059#4 12175537#0 12175537#2 485017371#0 484953507#1 12182281#8 12182281#9 12167232#0 12167232#1 12167232#2 12152013#4 51050425#4 386995537 386995551 387422150#0 387422150#1 386995531#3 386995531#4 12172918#2 gneE73 gneE75.0 gneE80.125" probability="0.037037037037037"/&gt;</t>
  </si>
  <si>
    <t xml:space="preserve">    &lt;route id="Router3_108" edges="31909473.0 31909473.857 62634019#1-AddedOnRampEdge 62634019#1 62634019#2.0 62634019#2.242 62634019#3-AddedOnRampEdge 62634019#3 62634019#3-AddedOffRampEdge 12111747.0 62203498#0 62093806#0 104526265#0.14 424080766 424080768#0 104523976#1 262962063 424080770#0 424080772#0 424080772#2 386547297#0 424080771#0 424080767#0 386547298#0 424769177 424080769#0 12144152#0 12144152#2 450844953#0 450844953#2 450844953#3 450844947#0 388533142#0 388533142#2 388533142#4 62623926#0 62623926#1 450844950#0 12189453#0.0.0 450844982#0.19 62203497#0 62203497#2 62203497#3 12134479#1 34685684#0 34685684#2 388533143#0 388533143#2 12140627#0 63060729#0 -264253834#2 12156992#4 12156992#5 12156992#6 12156992#7 12156992#8 12156992#9 484953505 12148522#0 485017381#0 485017381#1 -30953396#1 30953396#1 -424769003#1 -424769003#0 12157002#0 12157002#1 12186058#2 485017381#0 -12157718#12 -12157718#10 -12157718#9 -12157718#8 -12157718#6 386995479#1 386995479#2 386995479#3 386995479#4 386995479#5 386995479#6 386995490#0.0 12154359#1.20 12154359#2 -386995521#1 -386995521#0 43357814#0 43357814#1 42706837#4 42706837#5 12154359#5 12154359#6 386995531#1 386995531#2 386995531#3 386995531#4 12172918#2 gneE73 gneE75.0 gneE80.125" probability="0.037037037037037"/&gt;</t>
  </si>
  <si>
    <t xml:space="preserve">    &lt;route id="Router3_109" edges="31909473.0 31909473.857 62634019#1-AddedOnRampEdge 62634019#1 62634019#2.0 62634019#2.242 62634019#3-AddedOnRampEdge 62634019#3 62634019#3-AddedOffRampEdge 12111747.0 62203498#0 62093806#0 104526265#0.14 424080766 424080768#0 104523976#1 262962063 424080770#0 424080772#0 424080772#2 386547297#0 424080771#0 424080767#0 386547298#0 424769177 424080769#0 12144152#0 12144152#2 450844953#0 450844953#2 450844953#3 450844947#0 388533142#0 388533142#2 388533142#4 62623926#0 62623926#1 450844950#0 12189453#0.0.0 450844982#0.19 62203497#0 62203497#2 62203497#3 12134479#1 34685684#0 34685684#2 450844947#0 388533142#0 388533142#2 12189045#0 62623987#0 62623987#1 -12142631 12202018 62623986#1 62623986#2 -12189051#1 -262962063 -424080764 -424080768#1 -424080766 -104526265#1 -262962068#1 -424080774 -32122059#1 -32122059#0 -196393940#2 -196393940#0" probability="0.037037037037037"/&gt;</t>
  </si>
  <si>
    <t>&lt;routeDistribution id="30th-CIRA-to-JFK-SB-2015-RouteProbe"&gt;</t>
  </si>
  <si>
    <t>&lt;routeDistribution id="KILLave-27th-to-Bain-SB-2015-RouteProbe"&gt;</t>
  </si>
  <si>
    <t xml:space="preserve">    &lt;route id="Router3_2" edges="-gneE80.0 -gneE80.17 -gneE41 gneE44 -388756838#2 -388756838#1 -388756838#0 42706817#0 386547310 gneE69 -388756838#2 -388756838#1 -388756838#0 -388756839#1 -388756839#0 -194358837#2 -194358837#0 194358838#0 194358838#1 194358838#2 194358838#3 387422145#0 387422145#3 386995499#0 386995499#2 -51155368#13 -51155368#10 -51155368#7 121319040#0 121319040#1 386995507#0 386995507#1 386995507#2 386995507#3 12182281#7 42706837#0 42706837#1 42706837#2 42706837#3 43357814#2 43357814#3 386995526#0 386995526#1 -51050425#4 -51050425#3 -51050425#2 12162659#0 12162659#1 -12175537#4 -12175537#3 -12175537#2 -12175537#1 -50033059#3 -50033059#2 -386995514#7 -12199713#2 12177498 42706833#2 51155368#0 -50033558#5 -50033558#3 -50033558#2 -62105579 -32121234#1 -32121234#0 42706874#0 42706874#2 55179414#0 55179413#0 424769182 -450827405#2 -450827400#2 -450827382 -450827385#1 -450827391#1 -450827381 -450827397#1 12180696#0 59435515#1 59435515#2 59435515#3 59435515#4 424801338#1 12117702#0 12117702#4 12117702#7 -32121146#3 12202008#2.0 12202008#2.171 62646499#2 450827424#0 450827405#0 262962062 -55179413#2 12187610#0 60185970#0 60185970#2 12149571#1 12187610#3 50033558#2 50033558#3 50033558#4 50033558#6 42706833#0 42706833#2 12189876#0 12189876#2 484953508#1 60185970#0 60185970#2 12149571#1 12187610#3 50033558#2 -12188656 -121319046 -42706825#7 12199713#0 12199713#1 -386995514#6 -386995514#5 -386995514#4 -386995514#3 194358817#0 194358817#1 194358817#2 12114363#0 12114363#1 -50033059#4 12175537#0 12175537#2 12175537#3 12175537#4 12175537#5 12175537#6 12175537#7 12175537#8 12175537#9 12175537#10 12175537#11 12175537#12 12155177#1 12155177#2 387422153#1 gneE73 gneE75.0 gneE80.125" probability="0.333333333333333"/&gt;</t>
  </si>
  <si>
    <t>&lt;routeDistribution id="27th-Bain-to-SouthST-NB-2015-RouteProbe"&gt;</t>
  </si>
  <si>
    <t>&lt;routeDistribution id="TANEY-southST-to-Bain-SB-2015-RouteProbe"&gt;</t>
  </si>
  <si>
    <t>&lt;routeDistribution id="26th-Bain-to-South-NB-2015-RouteProbe"&gt;</t>
  </si>
  <si>
    <t xml:space="preserve">    &lt;route id="Router3_23" edges="-gneE80.0 -gneE80.17 -gneE41 gneE44 -388756838#2 -388756838#1 -388756838#0 42706817#0 386547310 gneE69 -388756838#2 -388756838#1 -388756838#0 -388756839#1 -388756839#0 -194358837#2 -194358837#0 194358838#0 194358838#1 32121111#9 32121111#10 -386995486#0 -386995514#9 50033058#2 50033058#3 194358837#0 194358837#1 12175533#0 12175533#2 12175533#3 42706825#4 42706825#5 12189876#0 12189876#2 484953509#0 484953509#2 -12175523#1 12134222#0 12134222#2 12134222#3 386547311#11 386547311#13 357338496#0 357338496#2 450695461#0 62646494#0 424801336#0 484842168#0 283621820 -28555309#1 -424801341 -283621822#1 -424801343#1 -424801343#0 49991658 424801340 424801342 386550018#0 386550018#0-AddedOffRampEdge 386550018#1 49991638 -12144161#0 12144161#0 12144161#1 49991657 283621821#1 283621821#1-AddedOffRampEdge 12122485 49991647#2 63060732#0 63060732#1 63060732#2.0 273888488.10 -12122468#1 -12122468#0 -424081469 -424081473 -424081472 -424987520 -30953029#1 -30953029#0 -424987519 170366765 12173391 12123285#0 12123285#1 12123285#2 12176631 424804090#0 424804090#1 12198567#0 12198567#1 12198567#2 12198567#3 12171853#3 12171853#4 12171853#5 12171853#6 132508920#8 132508920#9 132508920#10 132508920#12 132508983#0 132508983#3 132508983#5 132508740#0 132508740#2 -12165829#1 132508646#0 132508646#2 132508646#3 394179820#0 394179820#1 394179820#2 394179820#3 450844975 450844970#0 196355332#0 450844979#0.0 450844982#0.19 62203497#0 62203497#2 62203497#3 12134479#1 34685684#0 34685684#2 388533143#0 388533143#2 12140627#0 63060729#0 -264253834#2 12156992#4 12156992#5 12156992#6 12156992#7 12156992#8 12156992#9 -12114396#5 -12114396#3 -12114396#1 485017383#0 485017382#0 485017382#1 211575484#0 -12177521#3 -12177521#2 -12177521#1 32121111#12 32121111#14 -12187610#5 -12187610#2 -12187610#1 12150608#0 32121146#2 12117702#9 450844953#0 450844953#2 450844953#3 450844947#0 388533142#0 388533142#2 388533142#4 62623926#0 62623926#1 450844950#0 38502259#0.19 450844933#1 196207110#0 196207110#2" probability="1"/&gt;</t>
  </si>
  <si>
    <t>&lt;routeDistribution id="GRAYS-southST-to-Bain-SB-2015-RouteProbe"&gt;</t>
  </si>
  <si>
    <t>&lt;routeDistribution id="22nd-Bain-to-southST-NB-2016-RouteProbe"&gt;</t>
  </si>
  <si>
    <t>&lt;routeDistribution id="21st-southST-to-Bain-SB-2015-RouteProbe"&gt;</t>
  </si>
  <si>
    <t>&lt;routeDistribution id="BFPW-inner-lane-22nd-Oval-NB-2015-RouteProbe"&gt;</t>
  </si>
  <si>
    <t xml:space="preserve">    &lt;route id="Router3_114" edges="31909473.0 31909473.857 62634019#1-AddedOnRampEdge 62634019#1 62634019#2.0 62634019#2.242 62634019#3-AddedOnRampEdge 62634019#3 62634019#3-AddedOffRampEdge 30953251#1.0 30953251#1-AddedOffRampEdge 12112003 30953215#1-AddedOnRampEdge 30953215#1 121643865#0 12110705 50715233#0 50715233#0-AddedOffRampEdge 50715233#1.0 62203285#14.24 gneE59.30.0.55 gneE59.30.0.0 gneE59.0.0 gneE59.0.12 62203360#0 12159135 291433360#0 388756841#0 49914076#0 12111949#0 43539384#1.0 424764853 12149178#0 12149178#1 12149178#2 50189577 62203295 145605533#1-AddedOnRampEdge 145605533#1 145605511#1-AddedOnRampEdge 145605511#12 145605511#1.148" probability="0.0181818181818182"/&gt;</t>
  </si>
  <si>
    <t xml:space="preserve">    &lt;route id="Router3_115" edges="31909473.0 31909473.857 62634019#1-AddedOnRampEdge 62634019#1 62634019#2.0 62634019#2.242 62634019#3-AddedOnRampEdge 62634019#3 62634019#3-AddedOffRampEdge 30953251#1.0 30953251#1-AddedOffRampEdge 12112003 30953215#1-AddedOnRampEdge 30953215#1 121643865#0 12110705 50715233#0 50715233#0-AddedOffRampEdge 50715233#1.0 62203285#14.24 gneE59.30.0.55 gneE59.30.0.0 gneE59.0.0 gneE59.0.12 62203360#0 12159135 291433360#0 388756841#0 49914076#0 12111949#0 43539384#1.0 424764853 43539372 12167183.0 gneE82 gneE56 gneE54.0 gneE62.13 gneE81.0 gneE6.0 424765883 43539378#0.15 43539378#1 -393884751 12159702 424764853 12149178#0 50189796 50189564 12149178#2 145605533#0 145605533#1-AddedOnRampEdge 145605533#1 145605511#1-AddedOnRampEdge 145605511#12 145605511#1.148" probability="0.0181818181818182"/&gt;</t>
  </si>
  <si>
    <t xml:space="preserve">    &lt;route id="Router3_141" edges="49887339#0.596 49887339#0-AddedOffRampEdge 49887339#1 49887339#1-AddedOffRampEdge 104524021 104524021-AddedOffRampEdge 12158873 121643865#0 12110705 50715233#0 50715233#0-AddedOffRampEdge 50715233#1.0 62203285#14.24 gneE59.30.0.55 gneE59.30.0.0 gneE59.0.0 gneE59.0.12 62203360#0 12159135 291433360#0 388756841#0 49914076#0 12111949#0 43539384#1.0 424764853 43539372 12167183.0 gneE82 gneE56 gneE54.0 gneE62.13 gneE81.0 gneE6.0 424765883 43539378#0.15 43539378#1 -393884751 12159702 424764853 12149178#0 50189796 50189564 12149178#2 145605533#0 145605533#1-AddedOnRampEdge 145605533#1 145605511#1-AddedOnRampEdge 145605511#12 145605511#1.148" probability="0.0181818181818182"/&gt;</t>
  </si>
  <si>
    <t xml:space="preserve">    &lt;route id="Router3_164" edges="62203360#0 12159135 291433360#0 388756841#0 49914076#0 12111949#0 43539384#1.0 424764853 43539372 12167183.0 gneE82 gneE56 gneE54.0 gneE62.13 gneE81.0 gneE6.0 424765883 43539378#0.15 43539378#1 -393884751 12159702 424764853 12149178#0 50189796 50189564 12149178#2 145605533#0 145605533#1-AddedOnRampEdge 145605533#1 145605511#1-AddedOnRampEdge 145605511#12 145605511#1.148" probability="0.0181818181818182"/&gt;</t>
  </si>
  <si>
    <t xml:space="preserve">    &lt;route id="Router3_13" edges="-gneE80.0 -gneE80.17 -gneE41 gneE44 -388756838#2 -388756838#1 -388756838#0 42706817#0 386547310 gneE69 -388756838#2 -388756838#1 -388756838#0 -388756839#1 -388756839#0 -194358837#2 -194358837#0 194358838#0 194358838#1 194358838#2 194358838#3 387422145#0 387422145#3 386995499#0 386995499#2 -51155368#13 -51155368#10 -51155368#7 121319040#0 121319040#1 386995507#0 386995507#1 386995507#2 386995507#3 12182281#7 42706837#0 42706837#1 42706837#2 42706837#3 43357814#2 43357814#3 386995526#0 386995526#1 -51050425#4 -51050425#3 -51050425#2 12162659#0 12162659#1 -12175537#4 -12175537#3 -12175537#2 -12175537#1 -50033059#3 -50033059#2 -386995514#7 -12199713#2 12177498 42706833#2 51155368#0 -50033558#5 -50033558#3 -50033558#2 -62105579 -32121234#1 -32121234#0 42706874#0 42706874#2 55179414#0 55179413#0 424769182 -450827405#2 -450827400#2 -450827382 -450827385#1 -450827391#1 -450827381 -450827397#1 12180696#0 59435515#1 59435515#2 59435515#3 59435515#4 424801338#1 12117702#0 12117702#4 12117702#7 -32121146#3 12202008#2.0 12202008#2.171 62646499#2 450827424#0 450827405#0 262962062 -55179413#2 12187610#0 12187610#2 12187610#3 -62105579 12186909#0 12186909#1 12186909#2 51155368#11 42706831#0 42706831#4 42706831#5 42706831#6 32121234#0 32121234#1 32121234#2 50033558#2 50033558#3 50033558#4 50033558#6 50033058#0 386995514#9 386995486#0 32121111#11 -12177521#0 -121319040#0 -51155368#5 -50033558#5 -50033558#3 -12188656 -121319046 -42706825#7 -42706825#4 -42706825#3 -42706825#1 -484953510#2 -484953510#1 -484953510#0 gneE37 gneE38 -12159761#2 -12159761#1 -12159761#0 12114363#0 12114363#1 -50033059#4 12175537#0 12175537#2 12175537#3 12175537#4 12162659#2 12159485 12161358#7 12161358#8 386995507#6 386995507#7 386995521#0 386995521#1 12154359#3 12154359#4 12154359#5 12154359#6 12154359#7 101350669 -386995537 -386995526#1 -386995526#0 -43357814#3 -43357814#2 42706837#4 42706837#5 42706837#6 42706837#7 42706837#8 42706837#9 12172918#0 12172918#1 12172918#2 gneE73 gneE75.0 gneE80.125" probability="0.0181818181818182"/&gt;</t>
  </si>
  <si>
    <t xml:space="preserve">    &lt;route id="Router3_21" edges="-gneE80.0 -gneE80.17 -gneE41 gneE44 -388756838#2 -388756838#1 -388756838#0 42706817#0 386547310 gneE69 -388756838#2 -388756838#1 -388756838#0 -388756839#1 -388756839#0 -194358837#2 -194358837#0 194358838#0 194358838#1 194358838#2 386995479#2 310315797#2 12185366#9 387422145#0 -12157718#6 -12157718#4 -12157718#3 -12157718#2 -12157718#1 -12199713#4 386995514#7 -50033059#1 -50033558#8 -51155368#3 121319046 12188656 -50033558#2 12203859#0 12203859#1 42706831#4 42706831#5 42706831#6 42706874#0 42706874#2 12144152#0 12144152#2 450844953#0 450844953#2 450844953#3 450844947#0 388533142#0 388533142#2 388533142#4 62623926#0 62623926#1 450844950#0 12189453#0.0.0 450844982#0.19 62203497#0 62203497#2 62203497#3 12134479#1 34685684#0 34685684#2 388533143#0 388533143#2 12140627#0 63060729#0 -264253834#2 12156992#4 12156992#5 12156992#6 12156992#7 12156992#8 12156992#9 -12114396#5 -12114396#3 -12114396#1 485017383#0 485017382#0 485017382#1 211575484#0 -12177521#3 -12177521#2 -12177521#1 32121111#12 32121111#14 -12187610#5 -12187610#2 -12187610#1 12150608#0 32121146#2 12117702#9 450844953#0 450844953#2 450844953#3 450844947#0 388533142#0 388533142#2 388533142#4 62623926#0 62623926#1 450844950#0 38502259#0.19 450844933#1 196207110#0 196207110#2" probability="0.0181818181818182"/&gt;</t>
  </si>
  <si>
    <t>&lt;routeDistribution id="BFPW-otr-lane-22nd-Oval-NB-2015-RouteProbe"&gt;</t>
  </si>
  <si>
    <t>&lt;routeDistribution id="676-on-ramp-24th-EB-2016-RouteProbe"&gt;</t>
  </si>
  <si>
    <t xml:space="preserve">    &lt;route id="Router3_48" edges="196393940#0 62203285#0 62203285#2 62203285#3 62203285#5 42706664#7 42706664#8 12186741#4 12186741#5 12142723#0 12142723#3 12142723#4 12187745 32118649#2 32118649#3 -43538931#1 -43538931#0 196207115#3 196355332#0 450844979#0.0 450844982#0.19 62203497#0 62203497#2 62203497#3 12134479#1 34685684#0 34685684#2 450844947#0 388533142#0 388533142#2 388533142#4 62623926#0 62623926#1 450844950#0 12189453#0.0.0 450844982#0.19 62203497#0 62203497#2 62203497#3 12134479#1 34685684#0 34685684#2 388533143#0 388533143#2 12140627#0 63060729#0 -264253834#2 12156992#4 12156992#5 12156992#6 12156992#7 12156992#8 12156992#9 484953505 12148522#0 485017381#0 485017381#1 -30953396#1 -30953396#0 -424769006 -424769005 -424769002 -30953391 -43569848 -393884751 12159702 424764853 12149178#0 50189796 50189564 12149178#2 145605533#0 145605533#1-AddedOnRampEdge 145605533#1 145605511#1-AddedOnRampEdge 145605511#12 145605511#1.148" probability="0.0434782608695652"/&gt;</t>
  </si>
  <si>
    <t xml:space="preserve">    &lt;route id="Router3_88" edges="31909473.0 31909473.857 62634019#1-AddedOnRampEdge 62634019#1 62634019#2.0 62634019#2.242 62634019#3-AddedOnRampEdge 62634019#3 62634019#3-AddedOffRampEdge 12111747.0 59671945#0.30 62093806#0 104526265#0.14 424080766 424080768#0 104523976#1 262962063 12189051#0 -12189051#1 -262962063 -424080764 -424080768#1 -424080766 -104526265#1 30953497#0 30953497#2 30953497#3 42706585#0 42706585#1 30953320 30953320-AddedOffRampEdge 104526277 30953215#1-AddedOnRampEdge 30953215#1 121643865#0 12110705 50715233#0 50715233#0-AddedOffRampEdge 50715233#1.0 62203285#14.24 gneE59.30.0.55 gneE59.30.0.0 43539373#0.0.292.17 gneE58 gneE56 gneE54.0 gneE62.13 gneE81.0 gneE6.0 424765883 gneE87 196393957 132508433.0 -gneE6.0 gneE81.299.0 gneE81.299.79 gneE81.299.145 12178843#0 12178843#1 43539369#3 43539369#4 43539368#0 43570920#3 43570920#5 404615579 43569828#0 43539397#3 43569816#0 49914076#0 12167196#0.0.0 424764853 12149178#0 12149178#1 12149178#2 50189577 62203295 145605533#1-AddedOnRampEdge 145605533#1 145605511#1-AddedOnRampEdge 145605511#12 145605511#1.148" probability="0.0434782608695652"/&gt;</t>
  </si>
  <si>
    <t xml:space="preserve">    &lt;route id="Router3_95" edges="31909473.0 31909473.857 62634019#1-AddedOnRampEdge 62634019#1 62634019#2.0 62634019#2.242 62634019#3-AddedOnRampEdge 62634019#3 62634019#3-AddedOffRampEdge 12111747.0 59671945#0.30 62093806#0 104526265#0.14 424080766 424080768#0 104523976#1 262962063 12189051#0 -12189051#1 424080770#0 424080772#0 12119506#0 -12156992#1 -386547297#1 -424080772#2 -424080772#1 -424080761#1 -62623960 62623959#0 386547296#0 386547296#1 424080773#0 279870839#0 279870839#2 450844960#0 62623926#1 450844950#0 38502259#0.19 450844933#1 196207115#0 196207115#2 196207115#3 196355332#0 450844979#0.0 450844982#0.19 62203497#0 62203497#2 62203497#3 12134479#1 34685684#0 34685684#2 388533143#0 388533143#2 12140627#0 63060729#0 -264253834#2 12156992#4 12156992#5 12156992#6 12156992#7 12156992#8 12156992#9 484953505 12148522#0 485017381#0 485017381#1 -30953396#1 30953396#1 -424769003#1 -424769003#0 12157002#0 12157002#1 12157002#3 12157002#5 12114396#4 -12156992#10 -12156992#8 -12156992#7 -12156992#6 -12156992#5 -12156992#4 -12156992#3 -12156992#2 -12156992#1 -386547297#1 -424080772#2 -424080772#1 -262962065#1 -262962063 -424080764 -424080768#1 -424080766 -104526265#1 30953497#0 30953497#2 30953497#3 42706585#0 42706585#1 30953320 30953320-AddedOffRampEdge 104526277 30953215#1-AddedOnRampEdge 30953215#1 121643865#0 12110705 50715233#0 50715233#0-AddedOffRampEdge 50715233#1.0 62203285#14.24 gneE59.30.0.55 gneE59.30.0.0 43539373#0.0.292.17 gneE58 gneE56 gneE54.0 gneE62.13 gneE81.0 gneE6.0 424765883 43539378#0.15 43539378#1 -393884751 12159702 424764853 12149178#0 50189796 50189564 12149178#2 145605533#0 145605533#1-AddedOnRampEdge 145605533#1 145605511#1-AddedOnRampEdge 145605511#12 145605511#1.148" probability="0.0434782608695652"/&gt;</t>
  </si>
  <si>
    <t xml:space="preserve">    &lt;route id="Router3_114" edges="31909473.0 31909473.857 62634019#1-AddedOnRampEdge 62634019#1 62634019#2.0 62634019#2.242 62634019#3-AddedOnRampEdge 62634019#3 62634019#3-AddedOffRampEdge 30953251#1.0 30953251#1-AddedOffRampEdge 12112003 30953215#1-AddedOnRampEdge 30953215#1 121643865#0 12110705 50715233#0 50715233#0-AddedOffRampEdge 50715233#1.0 62203285#14.24 gneE59.30.0.55 gneE59.30.0.0 gneE59.0.0 gneE59.0.12 62203360#0 12159135 291433360#0 388756841#0 49914076#0 12111949#0 43539384#1.0 424764853 12149178#0 12149178#1 12149178#2 50189577 62203295 145605533#1-AddedOnRampEdge 145605533#1 145605511#1-AddedOnRampEdge 145605511#12 145605511#1.148" probability="0.0434782608695652"/&gt;</t>
  </si>
  <si>
    <t xml:space="preserve">    &lt;route id="Router3_115" edges="31909473.0 31909473.857 62634019#1-AddedOnRampEdge 62634019#1 62634019#2.0 62634019#2.242 62634019#3-AddedOnRampEdge 62634019#3 62634019#3-AddedOffRampEdge 30953251#1.0 30953251#1-AddedOffRampEdge 12112003 30953215#1-AddedOnRampEdge 30953215#1 121643865#0 12110705 50715233#0 50715233#0-AddedOffRampEdge 50715233#1.0 62203285#14.24 gneE59.30.0.55 gneE59.30.0.0 gneE59.0.0 gneE59.0.12 62203360#0 12159135 291433360#0 388756841#0 49914076#0 12111949#0 43539384#1.0 424764853 43539372 12167183.0 gneE82 gneE56 gneE54.0 gneE62.13 gneE81.0 gneE6.0 424765883 43539378#0.15 43539378#1 -393884751 12159702 424764853 12149178#0 50189796 50189564 12149178#2 145605533#0 145605533#1-AddedOnRampEdge 145605533#1 145605511#1-AddedOnRampEdge 145605511#12 145605511#1.148" probability="0.0434782608695652"/&gt;</t>
  </si>
  <si>
    <t xml:space="preserve">    &lt;route id="Router3_124" edges="49887339#0.596 49887339#0-AddedOffRampEdge 12113482 424769007 -424769002 -30953391 -43569848 -393884751 12159702 424764853 12149178#0 50189796 50189564 12149178#2 145605533#0 145605533#1-AddedOnRampEdge 145605533#1 145605511#1-AddedOnRampEdge 145605511#12 145605511#1.148" probability="0.0434782608695652"/&gt;</t>
  </si>
  <si>
    <t xml:space="preserve">    &lt;route id="Router3_126" edges="49887339#0.596 49887339#0-AddedOffRampEdge 12113482 424769007 -424769002 -30953391 -43569848 -43569827#9 -43569827#6 -43569827#1 -43569827#0 28555332 387422130#1 132508717#0 12149210#1 12151897#1 196393941#6 196393941#7 196393941#8 gneE87 196393974#0 388756841#0 49914076#0 12159673#0 12159673#1 393884751 43569848 30953391 424769002 424769005 424769006 424769004 30953396#1 -424769003#1 -424769003#0 -485017374 42706828#0 42706828#2 12182281#0 12185366#7 12185366#9 387422145#0 12157718#7 12157718#9 12157718#10 12157718#12 485017381#1 -30953396#1 -30953396#0 -424769006 -424769005 -424769002 -30953391 -43569848 -393884751 12159702 424764853 12149178#0 50189796 50189564 12149178#2 145605533#0 145605533#1-AddedOnRampEdge 145605533#1 145605511#1-AddedOnRampEdge 145605511#12 145605511#1.148" probability="0.0434782608695652"/&gt;</t>
  </si>
  <si>
    <t xml:space="preserve">    &lt;route id="Router3_127" edges="49887339#0.596 49887339#0-AddedOffRampEdge 12113482 424769007 -424769002 -30953391 -43569848 -43569827#9 -43569827#6 -43569827#1 -43569827#0 28555332 43569816#0 49914076#0 12111949#0 43539384#1.0 424764853 12149178#0 12149178#1 12149178#2 50189577 62203295 145605533#1-AddedOnRampEdge 145605533#1 145605511#1-AddedOnRampEdge 145605511#12 145605511#1.148" probability="0.0434782608695652"/&gt;</t>
  </si>
  <si>
    <t xml:space="preserve">    &lt;route id="Router3_128" edges="49887339#0.596 49887339#0-AddedOffRampEdge 12113482 424769007 -424769002 -30953391 -43569848 -43569827#9 -43569827#6 -43569827#1 -43569827#0 28555332 43569816#0 49914076#0 12167196#0.0.0 424764853 12149178#0 12149178#1 12149178#2 145605533#0 145605533#1-AddedOnRampEdge 145605533#1 145605511#1-AddedOnRampEdge 145605511#12 145605511#1.148" probability="0.0434782608695652"/&gt;</t>
  </si>
  <si>
    <t xml:space="preserve">    &lt;route id="Router3_129" edges="49887339#0.596 49887339#0-AddedOffRampEdge 12113482 424769007 -424769002 -30953391 -43569848 -43569827#9 -43569827#6 -43569827#1 -43569827#0 28555332 43569816#0 49914076#0 12167196#0.0.0 424764853 43539372 424764852 12149417#0 12149417#2 12159135 291433360#0 388756841#0 49914076#0 12111949#0 43539384#1.0 424764853 43539372 12167183.0 gneE82 gneE56 gneE54.0 gneE62.13 gneE81.0 gneE6.0 424765883 43539378#0.15 43539378#1 -393884751 12159702 424764853 12149178#0 50189796 50189564 12149178#2 145605533#0 145605533#1-AddedOnRampEdge 145605533#1 145605511#1-AddedOnRampEdge 145605511#12 145605511#1.148" probability="0.0434782608695652"/&gt;</t>
  </si>
  <si>
    <t xml:space="preserve">    &lt;route id="Router3_131" edges="49887339#0.596 49887339#0-AddedOffRampEdge 12113482 424769007 -424769002 -30953391 -43569848 -43569827#9 -43569827#6 -43569827#1 -43569827#0 28555332 43569816#0 49914076#0 12167196#0.0.0 424764853 43539372 43539373#0.0.0 43539373#0.0.292.17 gneE58 gneE56 gneE54.0 gneE62.13 gneE81.0 gneE6.0 424765883 gneE87 196393957 132508433.0 -gneE6.0 gneE81.299.0 gneE81.299.79 gneE81.299.145 12178843#0 12178843#1 43539369#3 43539369#4 43539368#0 43570920#3 43570920#5 404615579 43569828#0 43539397#3 43569816#0 49914076#0 12167196#0.0.0 424764853 12149178#0 12149178#1 12149178#2 50189577 62203295 145605533#1-AddedOnRampEdge 145605533#1 145605511#1-AddedOnRampEdge 145605511#12 145605511#1.148" probability="0.0434782608695652"/&gt;</t>
  </si>
  <si>
    <t xml:space="preserve">    &lt;route id="Router3_136" edges="49887339#0.596 49887339#0-AddedOffRampEdge 12113482 424769007 424769005 424769006 424769004 30953396#1 -30953396#1 30953396#1 -424769003#1 -424769003#0 12157002#0 12157002#1 12157002#3 12157002#5 12114396#4 -12156992#10 -12156992#8 -12156992#7 -12156992#6 -12156992#5 -12156992#4 -12156992#3 -12156992#2 -12156992#1 -386547297#1 -424080772#2 -424080772#1 -262962065#1 -262962063 -424080764 -424080768#1 -424080766 -104526265#1 450844956#2 12189453#0.0.0 450844982#0.19 62203497#0 62203497#2 62203497#3 12134479#1 34685684#0 34685684#2 450844947#0 388533142#0 388533142#2 388533142#4 62623926#0 62623926#1 450844950#0 12189453#0.0.0 450844982#0.19 62203497#0 62203497#2 62203497#3 12134479#1 34685684#0 34685684#2 388533143#0 388533143#2 12140627#0 63060729#0 -264253834#2 12156992#4 12156992#5 12156992#6 12156992#7 12156992#8 12156992#9 484953505 12148522#0 485017381#0 485017381#1 -30953396#1 -30953396#0 -424769006 -424769005 -424769002 -30953391 -43569848 -393884751 12159702 424764853 12149178#0 50189796 50189564 12149178#2 145605533#0 145605533#1-AddedOnRampEdge 145605533#1 145605511#1-AddedOnRampEdge 145605511#12 145605511#1.148" probability="0.0434782608695652"/&gt;</t>
  </si>
  <si>
    <t xml:space="preserve">    &lt;route id="Router3_139" edges="49887339#0.596 49887339#0-AddedOffRampEdge 49887339#1 49887339#1-AddedOffRampEdge 104524021 104524021-AddedOffRampEdge 12158873 121643865#0 12110705 50715233#0 50715233#0-AddedOffRampEdge 50715233#1.0 62203285#14.24 gneE59.30.0.55 gneE59.30.0.0 43539373#0.0.292.17 gneE58 gneE56 gneE54.0 gneE62.13 gneE81.0 gneE6.0 424765883 43539378#0.15 43539378#1 -393884751 12159702 424764853 12149178#0 50189796 50189564 12149178#2 145605533#0 145605533#1-AddedOnRampEdge 145605533#1 145605511#1-AddedOnRampEdge 145605511#12 145605511#1.148" probability="0.0434782608695652"/&gt;</t>
  </si>
  <si>
    <t xml:space="preserve">    &lt;route id="Router3_140" edges="49887339#0.596 49887339#0-AddedOffRampEdge 49887339#1 49887339#1-AddedOffRampEdge 104524021 104524021-AddedOffRampEdge 12158873 121643865#0 12110705 50715233#0 50715233#0-AddedOffRampEdge 50715233#1.0 62203285#14.24 gneE59.30.0.55 gneE59.30.0.0 43539373#0.0.292.17 gneE58 gneE56 gneE54.0 gneE62.13 gneE81.0 gneE81.299.0 gneE81.299.79 gneE81.299.145 12178843#0 12178843#1 43539369#3 43539369#4 43539368#0 43570920#3 43570920#5 404615579 43569828#0 43539397#3 43569816#0 49914076#0 12167196#0.0.0 424764853 12149178#0 12149178#1 12149178#2 50189577 62203295 145605533#1-AddedOnRampEdge 145605533#1 145605511#1-AddedOnRampEdge 145605511#12 145605511#1.148" probability="0.0434782608695652"/&gt;</t>
  </si>
  <si>
    <t xml:space="preserve">    &lt;route id="Router3_141" edges="49887339#0.596 49887339#0-AddedOffRampEdge 49887339#1 49887339#1-AddedOffRampEdge 104524021 104524021-AddedOffRampEdge 12158873 121643865#0 12110705 50715233#0 50715233#0-AddedOffRampEdge 50715233#1.0 62203285#14.24 gneE59.30.0.55 gneE59.30.0.0 gneE59.0.0 gneE59.0.12 62203360#0 12159135 291433360#0 388756841#0 49914076#0 12111949#0 43539384#1.0 424764853 43539372 12167183.0 gneE82 gneE56 gneE54.0 gneE62.13 gneE81.0 gneE6.0 424765883 43539378#0.15 43539378#1 -393884751 12159702 424764853 12149178#0 50189796 50189564 12149178#2 145605533#0 145605533#1-AddedOnRampEdge 145605533#1 145605511#1-AddedOnRampEdge 145605511#12 145605511#1.148" probability="0.0434782608695652"/&gt;</t>
  </si>
  <si>
    <t xml:space="preserve">    &lt;route id="Router3_164" edges="62203360#0 12159135 291433360#0 388756841#0 49914076#0 12111949#0 43539384#1.0 424764853 43539372 12167183.0 gneE82 gneE56 gneE54.0 gneE62.13 gneE81.0 gneE6.0 424765883 43539378#0.15 43539378#1 -393884751 12159702 424764853 12149178#0 50189796 50189564 12149178#2 145605533#0 145605533#1-AddedOnRampEdge 145605533#1 145605511#1-AddedOnRampEdge 145605511#12 145605511#1.148" probability="0.0434782608695652"/&gt;</t>
  </si>
  <si>
    <t xml:space="preserve">    &lt;route id="Router3_44" edges="195815883#2 195815883#3 450844975 450844970#0 196355332#0 450844979#0.0 12114109#0.45.0 38502259#0.19 450844933#1 196207115#0 196207115#2 43538931#0 43538931#1 32118649#4 32118649#5 32118649#6 132508646#0 132508646#2 132508646#3 196355310#0 196355310#1 12150213#8 12150213#9 12150213#10 12150213#11 173543402#8 173543402#9 132508983#0 132508983#3 132508734#3 132508734#4 132508734#5 132508734#6 132508734#7 132508734#8 132508734#9 193223837#3 12142729#6 12142729#7 196355307#1 196393937 -132508530 -310296140#9 -310296140#8 -310296140#7 -310296140#6 -310296140#5 -310296140#4 -310296140#2 -310296140#1 459461788#11 459461788#12 459461788#13 459461788#14 459461788#15 -170366767#4 -170366767#3 -170366767#2 -170366767#0 -12173391 -170366765 170366768 30953029#0 30953029#1 424987520 424081472 424081473 424081470 12122468#0 12122468#1 273888485.0 50033027 -50033029 50033050#0 50033055 63060727 50033029 50033028#0 50033028#3 50033028#5 50033028#6 49991646 386547300#0 283621823 386547301-AddedOnRampEdge 386547301 424801344#0 424801343#1 283621822#0 424801341 28555309#0 49991649#0 424986163#0 51049946#0 424801337#0 357338497#0 357338497#2 450695460#0 62646499#0 62646499#2 450827424#0 62646508#0 62646508#2 424799820 424799823#0 50033059#0 50033059#2 50033059#3 50033059#4 388756839#0 388756839#1 388756838#0 12136923#0 386547309#0 386547309#2 386547309#3 386547309#5 386547309#7 51050030#4 51050030#7 gneE35 -gneE34.0 --gneE83.0" probability="0.0434782608695652"/&gt;</t>
  </si>
  <si>
    <t>&lt;routeDistribution id="JKF-SCHave-to-23rd-EB-2015-RouteProbe"&gt;</t>
  </si>
  <si>
    <t>&lt;routeDistribution id="MARKET-st-BRIDGE-WB-2015-RouteProbe"&gt;</t>
  </si>
  <si>
    <t xml:space="preserve">    &lt;route id="Router3_41" edges="195815883#2 195815883#3 450844975 450844970#0 196355332#0 450844979#0.0 12114109#0.45.0 38502259#0.19 450844933#1 196207115#0 196207115#2 196207115#3 196355332#0 450844979#0.0 450844982#0.19 62203497#0 62203497#2 62203497#3 12134479#1 34685684#0 34685684#2 388533143#0 388533143#2 12140627#0 63060729#0 -264253834#2 12156992#4 12156992#5 12156992#6 12156992#7 12156992#8 12156992#9 -12114396#5 -12114396#3 -12114396#1 485017383#0 485017382#0 485017382#1 211575484#0 -12177521#3 -12177521#2 -12177521#1 32121111#12 32121111#14 -12187610#5 -12187610#2 -12187610#1 12150608#0 32121146#2 12117702#9 450844953#0 450844953#2 450844953#3 450844947#0 388533142#0 388533142#2 388533142#4 62623926#0 62623926#1 450844950#0 38502259#0.19 450844933#1 196207110#0 196207110#2" probability="0.25"/&gt;</t>
  </si>
  <si>
    <t xml:space="preserve">    &lt;route id="Router3_42" edges="195815883#2 195815883#3 450844975 450844970#0 196355332#0 450844979#0.0 12114109#0.45.0 38502259#0.19 450844933#1 196207115#0 196207115#2 43538931#0 43538931#1 -43538931#1 -43538931#0 196207115#3 196355332#0 450844979#0.0 450844982#0.19 62203497#0 62203497#2 62203497#3 12134479#1 34685684#0 34685684#2 388533143#0 388533143#2 12140627#0 63060729#0 -264253834#2 12156992#4 12156992#5 12156992#6 12156992#7 12156992#8 12156992#9 -12114396#5 -12114396#3 -12114396#1 485017383#0 485017382#0 485017382#1 211575484#0 -12177521#3 -12177521#2 -12177521#1 32121111#12 32121111#14 -12187610#5 -12187610#2 -12187610#1 12150608#0 32121146#2 12117702#9 450844953#0 450844953#2 450844953#3 450844947#0 388533142#0 388533142#2 388533142#4 62623926#0 62623926#1 450844950#0 38502259#0.19 450844933#1 196207110#0 196207110#2" probability="0.25"/&gt;</t>
  </si>
  <si>
    <t>&lt;routeDistribution id="SOUTH-ST-BRIDGE-WB-2015-RouteProbe"&gt;</t>
  </si>
  <si>
    <t xml:space="preserve">    &lt;route id="Router3_17" edges="-gneE80.0 -gneE80.17 -gneE41 gneE44 -388756838#2 -388756838#1 -388756838#0 42706817#0 386547310 gneE69 -388756838#2 -388756838#1 -388756838#0 -388756839#1 -388756839#0 -194358837#2 -194358837#0 194358838#0 194358838#1 194358838#2 194358838#3 387422145#0 387422145#3 386995499#0 386995499#2 -51155368#13 -51155368#10 -51155368#7 121319040#0 121319040#1 386995507#0 386995507#1 386995507#2 386995507#3 12182281#7 42706837#0 42706837#1 42706837#2 42706837#3 43357814#2 43357814#3 386995526#0 386995526#1 -51050425#4 -51050425#3 -51050425#2 12162659#0 12162659#1 -12175537#4 -12175537#3 -12175537#2 -12175537#1 -50033059#3 -50033059#2 -386995514#7 -12199713#2 12177498 42706833#2 51155368#0 -50033558#5 -50033558#3 -50033558#2 -62105579 -32121234#1 -32121234#0 42706874#0 42706874#2 55179414#0 55179413#0 424769182 -450827405#2 -450827400#2 -450827382 -450827385#1 -450827391#1 -450827381 -450827397#1 12180696#0 59435515#1 59435515#2 59435515#3 59435515#4 424801338#1 12117702#0 12117702#4 12117702#7 -32121146#3 12202008#2.0 12202008#2.171 62646499#2 450827424#0 450827405#0 262962062 -55179413#2 12187610#0 12187610#2 12187610#3 -62105579 12186909#0 12186909#1 12186909#2 51155368#11 42706831#0 42706831#4 42706831#5 42706831#6 32121234#0 32121234#1 32121234#2 50033558#2 50033558#3 50033558#4 50033558#6 50033058#0 386995514#9 386995486#0 32121111#11 -12177521#0 -121319040#0 -51155368#5 -50033558#5 -50033558#3 -12188656 -121319046 -42706825#7 -42706825#4 -42706825#3 -42706825#1 -484953510#2 -484953510#1 -484953510#0 gneE37 gneE38 -12159761#2 -12159761#1 -12159761#0 12114363#0 12114363#1 -50033059#4 12175537#0 12175537#2 12175537#3 12175537#4 12175537#5 12175537#6 12175537#7 12175537#8 12175537#9 12154359#6 386995531#1 12174155#0 -12175537#10 -12175537#9 -12175537#8 -12175537#7 12152013#3 12167232#3 386995531#0 12154359#7 101350669 -386995537 -386995526#1 -386995526#0 -43357814#3 -43357814#2 42706837#4 42706837#5 42706837#6 42706837#7 42706837#8 42706837#9 12172918#0 12172918#1 12172918#2 gneE73 gneE75.0 -gneE80.17 -gneE41 gneE44 -388756838#2 -388756838#1 -388756838#0 42706817#0 386547310 gneE69 -gneE44 gneE41 gneE80.0 gneE80.125" probability="0.333333333333333"/&gt;</t>
  </si>
  <si>
    <t>&lt;routeDistribution id="23rd-Spruce-to-Grays-SB-2015-RouteProbe"&gt;</t>
  </si>
  <si>
    <t>&lt;routeDistribution id="38th-Market-to-Powelton-NB-2016-RouteProbe"&gt;</t>
  </si>
  <si>
    <t xml:space="preserve">    &lt;route id="Router3_26" edges="-gneE80.0 -gneE80.17 -gneE41 gneE44 -388756838#2 -388756838#1 -388756838#0 42706817#0 386547310 gneE69 -388756838#2 -388756838#1 -388756838#0 -388756839#1 -388756839#0 -194358837#2 -194358837#0 194358838#0 194358838#1 32121111#9 32121111#10 -386995486#0 -386995514#9 50033058#2 50033058#3 194358837#0 194358837#1 12175533#0 12175533#2 12175533#3 42706825#4 42706825#5 12189876#0 12189876#2 484953509#0 484953509#2 -12175523#1 12134222#0 12134222#2 12134222#3 386547311#11 386547311#13 357338496#0 357338496#2 450695461#0 62646494#0 424801336#0 484842168#0 283621820 -28555309#1 -424801341 -283621822#1 -424801343#1 -424801343#0 49991658 424801340 424801342 386550018#0 386550018#0-AddedOffRampEdge 386550018#1 49991638 -12144161#0 12144161#0 12144161#1 49991657 283621821#1 283621821#1-AddedOffRampEdge 283621821#2 49991647#1 49991647#2 63060732#0 63060732#1 63060732#2.0 63060732#2.116 50033027 -50033029 50033050#0 50033050#2 424799828 424799825 424799826 50033054 63060727 50033029 50033028#0 50033028#3 50033028#5 50033028#6 49991646 386547300#0 283621823 386547301-AddedOnRampEdge 386547301 424801344#0 424801343#1 283621822#0 424801341 28555309#0 49991649#0 424986163#0 51049946#0 424801337#0 357338497#0 357338497#2 450695460#0 62646499#0 62646499#2 450827424#0 62646508#0 62646508#2 424799820 424799823#0 50033059#0 50033059#2 50033059#3 50033059#4 388756839#0 388756839#1 388756838#0 12136923#0 386547309#0 386547309#2 386547309#3 386547309#5 386547309#7 51050030#4 51050030#7 gneE35 -gneE34.0 --gneE83.0" probability="0.0769230769230769"/&gt;</t>
  </si>
  <si>
    <t>&lt;routeDistribution id="38th-Market-to-Powelton-SB-2016-RouteProbe"&gt;</t>
  </si>
  <si>
    <t xml:space="preserve">    &lt;route id="Router3_26" edges="-gneE80.0 -gneE80.17 -gneE41 gneE44 -388756838#2 -388756838#1 -388756838#0 42706817#0 386547310 gneE69 -388756838#2 -388756838#1 -388756838#0 -388756839#1 -388756839#0 -194358837#2 -194358837#0 194358838#0 194358838#1 32121111#9 32121111#10 -386995486#0 -386995514#9 50033058#2 50033058#3 194358837#0 194358837#1 12175533#0 12175533#2 12175533#3 42706825#4 42706825#5 12189876#0 12189876#2 484953509#0 484953509#2 -12175523#1 12134222#0 12134222#2 12134222#3 386547311#11 386547311#13 357338496#0 357338496#2 450695461#0 62646494#0 424801336#0 484842168#0 283621820 -28555309#1 -424801341 -283621822#1 -424801343#1 -424801343#0 49991658 424801340 424801342 386550018#0 386550018#0-AddedOffRampEdge 386550018#1 49991638 -12144161#0 12144161#0 12144161#1 49991657 283621821#1 283621821#1-AddedOffRampEdge 283621821#2 49991647#1 49991647#2 63060732#0 63060732#1 63060732#2.0 63060732#2.116 50033027 -50033029 50033050#0 50033050#2 424799828 424799825 424799826 50033054 63060727 50033029 50033028#0 50033028#3 50033028#5 50033028#6 49991646 386547300#0 283621823 386547301-AddedOnRampEdge 386547301 424801344#0 424801343#1 283621822#0 424801341 28555309#0 49991649#0 424986163#0 51049946#0 424801337#0 357338497#0 357338497#2 450695460#0 62646499#0 62646499#2 450827424#0 62646508#0 62646508#2 424799820 424799823#0 50033059#0 50033059#2 50033059#3 50033059#4 388756839#0 388756839#1 388756838#0 12136923#0 386547309#0 386547309#2 386547309#3 386547309#5 386547309#7 51050030#4 51050030#7 gneE35 -gneE34.0 --gneE83.0" probability="0.1"/&gt;</t>
  </si>
  <si>
    <t xml:space="preserve">    &lt;route id="Router3_53" edges="196393940#0 62203285#0 62203285#2 62203285#3 62203285#5 62203285#6 62203285#7 62203285#8 62203285#9 62203285#10 62203285#11 62203285#13 62203285#14.0 62203285#14.24 gneE59.30.0.55 gneE59.30.0.0 gneE59.0.0 gneE59.0.12 62203360#0 291433361#0 132508433.0 -gneE6.0 gneE81.299.0 gneE81.299.79 gneE81.299.145 -gneE8 12154353#0 196393941#1 196393941#2 28533986 43539369#2 12178843#2 12178843#3 49960982#2 43569828#0 387422128#1 43569827#0 43569827#1 43569827#2 43569827#7 43569848 30953391 424769002 424769005 424769006 424769004 30953396#1 387422132#0 387422132#1 486653633#0 484953506#3 484953506#4 12157002#0 12157002#1 12157002#3 12157002#5 12114396#4 -12156992#10 -12156992#8 -12156992#7 -12156992#6 -12156992#5 -12156992#4 -12156992#3 -12156992#2 -12156992#1 -386547297#1 -424080772#2 -424080772#1 -262962065#1 -262962063 -424080764 -424080768#1 -424080766 -104526265#1 30953497#0 30953497#2 30953497#3 42706585#0 42706585#1 30953320 30953320-AddedOffRampEdge 104526277 30953215#1-AddedOnRampEdge 30953215#1 121643865#0 12110705 50715233#0 50715233#0-AddedOffRampEdge 50715233#1.0 62203285#14.24 gneE59.30.0.55 gneE59.30.0.0 gneE59.0.0 gneE59.0.12 62203360#0 12159135 12149408#0 49914077 424767578 43569819 387422128#1 43569827#0 43569827#1 43569827#2 43569827#7 43569848 30953391 424769002 424769005 424769006 424769004 30953396#1 -424769003#1 -424769003#0 -485017374 42706828#0 42706828#2 12182281#0 12182281#3 12182281#5 12182281#6 386995507#4 386995507#5 386995507#6 12152013#1 12152013#2 -12175537#6 -12175537#5 -12175537#4 12182281#9 12182281#10 -388756839#1 -388756839#0 -50033059#4 -50033059#3 -50033059#2 -50033059#1 42706833#0 42706833#2 12189876#0 12189876#2 484953508#1 60185970#0 60185970#2 12149571#1 12187610#3 50033558#2 -12188656 -121319046 -42706825#7 12199713#0 12199713#1 -386995514#6 -386995514#5 -386995514#4 -386995514#3 194358817#0 194358817#1 194358817#2 12114363#0 12114363#1 -50033059#4 12175537#0 12175537#2 12175537#3 12175537#4 12175537#5 12175537#6 12175537#7 12175537#8 12175537#9 12175537#10 12175537#11 12175537#12 12155177#1 12155177#2 387422153#1 gneE73 gneE75.0 gneE80.125" probability="0.1"/&gt;</t>
  </si>
  <si>
    <t xml:space="preserve">    &lt;route id="Router3_59" edges="196393940#0 62203285#0 62203285#2 62203285#3 62203285#5 62203285#6 62203285#7 62203286#0 62203286#2 59676508#0 -59676508#0 -62203286#2 -62203286#0 62203285#8 62203285#9 62203285#10 62203285#11 62203285#13 62203285#14.0 62203285#14.24 gneE59.30.0.55 gneE59.30.0.0 gneE59.0.0 gneE59.0.12 62203360#0 12159135 12149408#0 49914077 424767578 43569819 387422128#1 43569827#0 43569827#1 43569827#2 43569827#7 43569848 30953391 424769002 424769005 424769006 424769004 30953396#1 -424769003#1 -424769003#0 -485017374 42706828#0 42706828#2 12182281#0 12182281#3 12182281#5 12182281#6 386995507#4 386995507#5 386995507#6 12152013#1 12152013#2 -12175537#6 -12175537#5 -12175537#4 12182281#9 12182281#10 -388756839#1 -388756839#0 -50033059#4 -50033059#3 -50033059#2 -50033059#1 42706833#0 42706833#2 12189876#0 12189876#2 484953508#1 60185970#0 60185970#2 12149571#1 12187610#3 50033558#2 -12188656 -121319046 -42706825#7 12199713#0 12199713#1 -386995514#6 -386995514#5 -386995514#4 -386995514#3 194358817#0 194358817#1 194358817#2 12114363#0 12114363#1 -50033059#4 12175537#0 12175537#2 12175537#3 12175537#4 12175537#5 12175537#6 12175537#7 12175537#8 12175537#9 12175537#10 12175537#11 12175537#12 12155177#1 12155177#2 387422153#1 gneE73 gneE75.0 gneE80.125" probability="0.1"/&gt;</t>
  </si>
  <si>
    <t xml:space="preserve">    &lt;route id="Router3_79" edges="31909473.0 31909473.857 62634019#1-AddedOnRampEdge 62634019#1 62634019#2.0 62634019#2.242 62634019#3-AddedOnRampEdge 62634019#3 62634019#3-AddedOffRampEdge 12111747.0 12189453#0.0.0 450844982#0.19 62203497#0 62203497#2 62203497#3 12134479#1 34685684#0 34685684#2 450844947#0 388533142#0 388533142#2 12189045#0 62623987#0 62623987#1 -12142631 12202018 62623986#1 62623986#2 -12189051#1 424080770#0 424080772#0 424080772#2 386547297#0 424080771#0 424080767#0 386547298#0 424769177 424080769#0 55179414#0 12187610#0 -484953508#2 424801339#0 62646509#0 424801338#0 424801338#1 12117702#0 12117702#4 12117702#7 -32121146#3 -32121146#1 55179413#0 424769182 -450827405#2 -450827400#2 -450827382 -450827385#1 12134222#0 12134222#2 12134222#3 386547311#11 386547311#13 357338496#0 357338496#2 450695461#0 62646494#0 424801336#0 484842168#0 283621820 -28555309#1 -424801341 -283621822#1 -424801343#1 -424801343#0 49991658 424801340 424801342 386550018#0 386550018#0-AddedOffRampEdge 386550018#1 49991638 -12144161#0 12144161#0 12144161#1 49991657 283621821#1 283621821#1-AddedOffRampEdge 283621821#2 49991647#1 49991647#2 63060732#0 63060732#1 63060732#2.0 63060732#2.116 50033027 -50033029 50033050#0 50033050#2 424799828 424799825 424799826 50033054 63060727 50033029 50033028#0 50033028#3 50033028#5 50033028#6 49991646 386547300#0 283621823 386547301-AddedOnRampEdge 386547301 424801344#0 424801343#1 283621822#0 424801341 28555309#0 49991649#0 424986163#0 51049946#0 424801337#0 357338497#0 357338497#2 450695460#0 62646499#0 62646499#2 450827424#0 62646508#0 62646508#2 424799820 424799823#0 50033059#0 50033059#2 50033059#3 50033059#4 388756839#0 388756839#1 388756838#0 12136923#0 386547309#0 386547309#2 386547309#3 386547309#5 484953510#2 42706825#0 42706825#2 42706825#4 42706825#5 424799823#0 42706833#0 42706833#2 12189876#0 12189876#2 484953508#1 60185970#0 60185970#2 12149571#1 12187610#3 50033558#2 50033558#3 50033558#4 50033558#6 50033058#0 386995514#9 386995486#0 32121111#11 -12177521#0 -121319040#0 -51155368#5 -50033558#5 -50033558#3 -12188656 -121319046 -42706825#7 -42706825#4 -42706825#3 -42706825#1 194358815 194358817#0 194358817#1 194358817#2 12114363#0 12114363#1 -50033059#4 12175537#0 12175537#2 485017371#0 484953507#1 12182281#8 12182281#9 12167232#0 12167232#1 12167232#2 12152013#4 51050425#4 386995537 386995551 387422150#0 387422150#1 386995531#3 386995531#4 12172918#2 gneE73 gneE75.0 gneE80.125" probability="0.1"/&gt;</t>
  </si>
  <si>
    <t xml:space="preserve">    &lt;route id="Router3_89" edges="31909473.0 31909473.857 62634019#1-AddedOnRampEdge 62634019#1 62634019#2.0 62634019#2.242 62634019#3-AddedOnRampEdge 62634019#3 62634019#3-AddedOffRampEdge 12111747.0 59671945#0.30 62093806#0 104526265#0.14 424080766 424080768#0 104523976#1 262962063 12189051#0 -12189051#1 -262962063 -424080764 -424080768#1 -424080766 -104526265#1 30953497#0 30953497#2 30953497#3 42706585#0 42706585#1 30953320 30953320-AddedOffRampEdge 104526277 30953215#1-AddedOnRampEdge 30953215#1 121643865#0 12110705 50715233#0 50715233#0-AddedOffRampEdge 50715233#1.0 62203285#14.24 gneE59.30.0.55 gneE59.30.0.0 43539373#0.0.292.17 gneE58 gneE56 gneE54.0 gneE62.13 gneE81.0 gneE81.299.0 12138964.1128 196393941#8 gneE87 196393974#0 49914077 424767578 43569819 387422128#1 43569827#0 43569827#1 43569827#2 43569827#7 43569848 30953391 424769002 424769005 424769006 424769004 30953396#1 -424769003#1 -424769003#0 -485017374 42706828#0 42706828#2 12182281#0 12182281#3 12182281#5 12182281#6 386995507#4 386995507#5 386995507#6 12152013#1 12152013#2 -12175537#6 -12175537#5 -12175537#4 12182281#9 12182281#10 -388756839#1 -388756839#0 -50033059#4 -50033059#3 -50033059#2 -50033059#1 42706833#0 42706833#2 12189876#0 12189876#2 484953508#1 60185970#0 60185970#2 12149571#1 12187610#3 50033558#2 -12188656 -121319046 -42706825#7 12199713#0 12199713#1 -386995514#6 -386995514#5 -386995514#4 -386995514#3 194358817#0 194358817#1 194358817#2 12114363#0 12114363#1 -50033059#4 12175537#0 12175537#2 12175537#3 12175537#4 12175537#5 12175537#6 12175537#7 12175537#8 12175537#9 12175537#10 12175537#11 12175537#12 12155177#1 12155177#2 387422153#1 gneE73 gneE75.0 gneE80.125" probability="0.1"/&gt;</t>
  </si>
  <si>
    <t xml:space="preserve">    &lt;route id="Router3_113" edges="31909473.0 31909473.857 62634019#1-AddedOnRampEdge 62634019#1 62634019#2.0 62634019#2.242 62634019#3-AddedOnRampEdge 62634019#3 62634019#3-AddedOffRampEdge 30953251#1.0 30953251#1-AddedOffRampEdge 12112003 30953215#1-AddedOnRampEdge 30953215#1 121643865#0 12110705 50715233#0 50715233#0-AddedOffRampEdge 50715233#1.0 62203285#14.24 gneE59.30.0.55 gneE59.30.0.0 gneE59.0.0 gneE59.0.12 62203360#0 12159135 12149408#0 49914077 424767578 43569819 387422128#1 43569827#0 43569827#1 43569827#2 43569827#7 43569848 30953391 424769002 424769005 424769006 424769004 30953396#1 -424769003#1 -424769003#0 -485017374 42706828#0 42706828#2 12182281#0 12182281#3 12182281#5 12182281#6 386995507#4 386995507#5 386995507#6 12152013#1 12152013#2 -12175537#6 -12175537#5 -12175537#4 12182281#9 12182281#10 -388756839#1 -388756839#0 -50033059#4 -50033059#3 -50033059#2 -50033059#1 42706833#0 42706833#2 12189876#0 12189876#2 484953508#1 60185970#0 60185970#2 12149571#1 12187610#3 50033558#2 -12188656 -121319046 -42706825#7 12199713#0 12199713#1 -386995514#6 -386995514#5 -386995514#4 -386995514#3 194358817#0 194358817#1 194358817#2 12114363#0 12114363#1 -50033059#4 12175537#0 12175537#2 12175537#3 12175537#4 12175537#5 12175537#6 12175537#7 12175537#8 12175537#9 12175537#10 12175537#11 12175537#12 12155177#1 12155177#2 387422153#1 gneE73 gneE75.0 gneE80.125" probability="0.1"/&gt;</t>
  </si>
  <si>
    <t xml:space="preserve">    &lt;route id="Router3_18" edges="-gneE80.0 -gneE80.17 -gneE41 gneE44 -388756838#2 -388756838#1 -388756838#0 42706817#0 386547310 gneE69 -388756838#2 -388756838#1 -388756838#0 -388756839#1 -388756839#0 -194358837#2 -194358837#0 194358838#0 194358838#1 194358838#2 194358838#3 387422145#0 387422145#3 386995499#0 386995499#2 -51155368#13 -51155368#10 -51155368#7 121319040#0 121319040#1 386995507#0 386995507#1 386995507#2 386995507#3 12182281#7 42706837#0 42706837#1 42706837#2 42706837#3 43357814#2 43357814#3 386995526#0 386995526#1 -51050425#4 -51050425#3 -51050425#2 12162659#0 12162659#1 -12175537#4 -12175537#3 -12175537#2 -12175537#1 -50033059#3 -50033059#2 -386995514#7 -12199713#2 12177498 42706833#2 51155368#0 -50033558#5 -50033558#3 -50033558#2 -62105579 -32121234#1 -32121234#0 42706874#0 42706874#2 55179414#0 55179413#0 424769182 -450827405#2 -450827400#2 -450827382 -450827385#1 -450827391#1 -450827381 -450827397#1 12180696#0 59435515#1 59435515#2 59435515#3 59435515#4 424801338#1 12117702#0 12117702#4 12117702#7 -32121146#3 12202008#2.0 12202008#2.171 62646499#2 450827424#0 450827405#0 262962062 -55179413#2 12187610#0 12187610#2 12187610#3 -62105579 12186909#0 12186909#1 12186909#2 51155368#11 42706831#0 42706831#4 42706831#5 42706831#6 32121234#0 32121234#1 32121234#2 50033558#2 50033558#3 50033558#4 50033558#6 50033058#0 386995514#9 386995486#0 32121111#11 -12177521#0 -121319040#0 -51155368#5 -50033558#5 -50033558#3 -12188656 -121319046 -42706825#7 -42706825#4 -42706825#3 -42706825#1 -484953510#2 -484953510#1 -484953510#0 gneE37 gneE38 -12159761#2 -12159761#1 -12159761#0 12114363#0 12114363#1 -50033059#4 12175537#0 12175537#2 12175537#3 12175537#4 12175537#5 12175537#6 12175537#7 12175537#8 12175537#9 12154359#6 386995531#1 12174155#0 -12175537#10 -12175537#9 -12175537#8 -12175537#7 12152013#3 12167232#3 386995531#0 12154359#7 101350669 -386995537 -386995526#1 -386995526#0 -43357814#3 -43357814#2 42706837#4 42706837#5 42706837#6 42706837#7 42706837#8 42706837#9 12172918#0 12172918#1 12172918#2 gneE73 gneE75.0 gneE80.125" probability="0.1"/&gt;</t>
  </si>
  <si>
    <t xml:space="preserve">    &lt;route id="Router3_23" edges="-gneE80.0 -gneE80.17 -gneE41 gneE44 -388756838#2 -388756838#1 -388756838#0 42706817#0 386547310 gneE69 -388756838#2 -388756838#1 -388756838#0 -388756839#1 -388756839#0 -194358837#2 -194358837#0 194358838#0 194358838#1 32121111#9 32121111#10 -386995486#0 -386995514#9 50033058#2 50033058#3 194358837#0 194358837#1 12175533#0 12175533#2 12175533#3 42706825#4 42706825#5 12189876#0 12189876#2 484953509#0 484953509#2 -12175523#1 12134222#0 12134222#2 12134222#3 386547311#11 386547311#13 357338496#0 357338496#2 450695461#0 62646494#0 424801336#0 484842168#0 283621820 -28555309#1 -424801341 -283621822#1 -424801343#1 -424801343#0 49991658 424801340 424801342 386550018#0 386550018#0-AddedOffRampEdge 386550018#1 49991638 -12144161#0 12144161#0 12144161#1 49991657 283621821#1 283621821#1-AddedOffRampEdge 12122485 49991647#2 63060732#0 63060732#1 63060732#2.0 273888488.10 -12122468#1 -12122468#0 -424081469 -424081473 -424081472 -424987520 -30953029#1 -30953029#0 -424987519 170366765 12173391 12123285#0 12123285#1 12123285#2 12176631 424804090#0 424804090#1 12198567#0 12198567#1 12198567#2 12198567#3 12171853#3 12171853#4 12171853#5 12171853#6 132508920#8 132508920#9 132508920#10 132508920#12 132508983#0 132508983#3 132508983#5 132508740#0 132508740#2 -12165829#1 132508646#0 132508646#2 132508646#3 394179820#0 394179820#1 394179820#2 394179820#3 450844975 450844970#0 196355332#0 450844979#0.0 450844982#0.19 62203497#0 62203497#2 62203497#3 12134479#1 34685684#0 34685684#2 388533143#0 388533143#2 12140627#0 63060729#0 -264253834#2 12156992#4 12156992#5 12156992#6 12156992#7 12156992#8 12156992#9 -12114396#5 -12114396#3 -12114396#1 485017383#0 485017382#0 485017382#1 211575484#0 -12177521#3 -12177521#2 -12177521#1 32121111#12 32121111#14 -12187610#5 -12187610#2 -12187610#1 12150608#0 32121146#2 12117702#9 450844953#0 450844953#2 450844953#3 450844947#0 388533142#0 388533142#2 388533142#4 62623926#0 62623926#1 450844950#0 38502259#0.19 450844933#1 196207110#0 196207110#2" probability="0.1"/&gt;</t>
  </si>
  <si>
    <t>&lt;routeDistribution id="MARKET-33rd-to-JFK-EB-2016-RouteProbe"&gt;</t>
  </si>
  <si>
    <t>&lt;routeDistribution id="MARKET-JKF-to-33rd-WB-2016-RouteProbe"&gt;</t>
  </si>
  <si>
    <t>&lt;routeDistribution id="JFK-boltbus-30th-market-WB-2016-RouteProbe"&gt;</t>
  </si>
  <si>
    <t>&lt;routeDistribution id="I-76-676-to-SPGD-WB-2015-RouteProbe"&gt;</t>
  </si>
  <si>
    <t>&lt;routeDistribution id="I-76-SPGF-to-676-EB-2015-RouteProbe"&gt;</t>
  </si>
  <si>
    <t xml:space="preserve">    &lt;route id="Router3_50" edges="196393940#0 62203285#0 62203285#2 62203285#3 62203285#5 62203285#6 62203285#7 62203285#8 62203285#9 62203285#10 62203285#11 62203285#13 62203285#14.0 62203285#14.24 gneE59.30.0.55 gneE59.30.0.0 43539373#0.0.292.17 gneE58 gneE56 gneE54.0 62203360#0 291433361#0 132508433.0 -gneE6.0 gneE6.0 424765883 43539378#0.15 132508717#5 196393974#0 49914077 424767578 387422130#1 132508717#0 12149210#1 12151897#1 196393941#6 196393941#7 196393941#8 gneE87 196393974#0 388756841#0 49914076#0 12159673#0 12159673#1 393884751 43569848 30953391 12113092 51758697#1-AddedOnRampEdge 51758697#1" probability="0.0285714285714286"/&gt;</t>
  </si>
  <si>
    <t xml:space="preserve">    &lt;route id="Router3_51" edges="196393940#0 62203285#0 62203285#2 62203285#3 62203285#5 62203285#6 62203285#7 62203285#8 62203285#9 62203285#10 62203285#11 62203285#13 62203285#14.0 62203285#14.24 gneE59.30.0.55 gneE59.30.0.0 gneE59.0.0 gneE59.0.12 62203360#0 291433361#0 132508433.0 -gneE6.0 gneE81.299.0 gneE81.299.79 gneE81.299.145 -gneE8 12154353#0 196393941#1 196393941#2 28533986 43539369#2 12178843#2 12178843#3 49960982#2 43569828#0 387422128#1 43569827#0 43569827#1 43569827#2 43569827#7 43569848 30953391 424769002 424769005 424769006 424769004 30953396#1 387422132#0 387422132#1 486653633#0 484953506#3 484953506#4 12157002#0 12157002#1 12157002#3 12157002#5 12114396#4 -12156992#10 -12156992#8 -12156992#7 -12156992#6 -12156992#5 -12156992#4 -12156992#3 -12156992#2 -12156992#1 -386547297#1 -424080772#2 -424080772#1 -262962065#1 -262962063 -424080764 -424080768#1 -424080766 -104526265#1 30953497#0 30953497#2 30953497#3 42706585#0 42706585#1 30953320 30953320-AddedOffRampEdge 104526277 30953215#1-AddedOnRampEdge 30953215#1 121643865#0 12110705 50715233#0 50715233#0-AddedOffRampEdge 50715233#1.0 62203285#14.24 gneE59.30.0.55 gneE59.30.0.0 43539373#0.0.292.17 gneE58 gneE56 gneE54.0 62203360#0 291433361#0 132508433.0 -gneE6.0 gneE6.0 424765883 43539378#0.15 132508717#5 196393974#0 49914077 424767578 387422130#1 132508717#0 12149210#1 12151897#1 196393941#6 196393941#7 196393941#8 gneE87 196393974#0 388756841#0 49914076#0 12159673#0 12159673#1 393884751 43569848 30953391 12113092 51758697#1-AddedOnRampEdge 51758697#1" probability="0.0285714285714286"/&gt;</t>
  </si>
  <si>
    <t>&lt;routeDistribution id="I-76-SOUTH-to-UNI-EB-2015-RouteProbe"&gt;</t>
  </si>
  <si>
    <t xml:space="preserve">    &lt;route id="Router3_110" edges="31909473.0 31909473.857 62634019#1-AddedOnRampEdge 62634019#1 62634019#2.0 62634019#2.242 62634019#3-AddedOnRampEdge 62634019#3 62634019#3-AddedOffRampEdge 30953251#1.0 30953251#1-AddedOffRampEdge 12112003 30953215#1-AddedOnRampEdge 30953215#1 121643865#0 12110705 50715233#0 50715233#0-AddedOffRampEdge 50715233#1.0 62203285#14.24 30908387 30908366#1-AddedOnRampEdge 30908366#1 121643863 121643862 51758697#0 51758697#1-AddedOnRampEdge 51758697#1 -gneE46.0 43357850.4841.18 gneE46 49887339#0.596 49887339#0-AddedOffRampEdge 49887339#1 49887339#1-AddedOffRampEdge 104524021 104524021-AddedOffRampEdge 50192637#0 50192637#1-AddedOnRampEdge 50192637#1.0.0 50192637#1.0.382.0.0 50192637#1.697 50192637#1-AddedOffRampEdge 30953181#1 30953181#2-AddedOnRampEdge 30953181#2 30953181#3-AddedOnRampEdge 30953181#3 30953181#3-AddedOffRampEdge 30952933#1.0 30952933#1.199" probability="0.111111111111111"/&gt;</t>
  </si>
  <si>
    <t xml:space="preserve">    &lt;route id="Router3_123" edges="31909473.0 31909473.857 62634019#1-AddedOnRampEdge 62634019#1 62634019#2.0 62634019#2.242 62634019#3-AddedOnRampEdge 62634019#3 62634019#3-AddedOffRampEdge 30953251#1.0 30953251#1-AddedOffRampEdge 30953251#2.0 104526276-AddedOnRampEdge 104526276 51758697#0 51758697#1-AddedOnRampEdge 51758697#1 -gneE46.0 43357850.4841.18 gneE46 49887339#0.596 49887339#0-AddedOffRampEdge 49887339#1 49887339#1-AddedOffRampEdge 104524021 104524021-AddedOffRampEdge 50192637#0 50192637#1-AddedOnRampEdge 50192637#1.0.0 50192637#1.0.382.0.0 50192637#1.697 50192637#1-AddedOffRampEdge 30953181#1 30953181#2-AddedOnRampEdge 30953181#2 30953181#3-AddedOnRampEdge 30953181#3 30953181#3-AddedOffRampEdge 30952933#1.0 30952933#1.199" probability="0.111111111111111"/&gt;</t>
  </si>
  <si>
    <t xml:space="preserve">    &lt;route id="Router3_125" edges="49887339#0.596 49887339#0-AddedOffRampEdge 12113482 424769007 -424769002 -30953391 -43569848 -43569827#9 -43569827#6 -43569827#1 -43569827#0 28555332 387422130#1 132508717#0 12149210#1 12151897#1 196393941#6 196393941#7 196393941#8 gneE87 196393974#0 388756841#0 49914076#0 12159673#0 12159673#1 393884751 43569848 30953391 12113092 51758697#1-AddedOnRampEdge 51758697#1 -gneE46.0 43357850.4841.18 gneE46 49887339#0.596 49887339#0-AddedOffRampEdge 49887339#1 49887339#1-AddedOffRampEdge 104524021 104524021-AddedOffRampEdge 50192637#0 50192637#1-AddedOnRampEdge 50192637#1.0.0 50192637#1.0.382.0.0 50192637#1.697 50192637#1-AddedOffRampEdge 30953181#1 30953181#2-AddedOnRampEdge 30953181#2 30953181#3-AddedOnRampEdge 30953181#3 30953181#3-AddedOffRampEdge 30952933#1.0 30952933#1.199" probability="0.111111111111111"/&gt;</t>
  </si>
  <si>
    <t xml:space="preserve">    &lt;route id="Router3_144" edges="49887339#0.596 49887339#0-AddedOffRampEdge 49887339#1 49887339#1-AddedOffRampEdge 104524021 104524021-AddedOffRampEdge 12158873 121643865#0 12110705 50715233#0 50715233#0-AddedOffRampEdge 50715233#1.0 62203285#14.24 gneE59.30.0.55 gneE59.30.0.0 gneE59.0.0 gneE59.0.12 62203360#0 291433361#0 132508433.0 -gneE6.0 gneE81.299.0 gneE81.299.79 gneE81.299.145 -gneE8 12154353#0 196393941#1 196393941#2 28533986 43539369#2 12178843#2 12178843#3 49960982#2 43569828#0 387422128#1 43569827#0 43569827#1 43569827#2 43569827#7 43569848 30953391 424769002 424769005 424769006 424769004 30953396#1 387422132#0 387422132#1 486653633#0 484953506#3 484953506#4 12157002#0 12157002#1 12157002#3 12157002#5 12114396#4 -12156992#10 -12156992#8 -12156992#7 -12156992#6 -12156992#5 -12156992#4 -12156992#3 -12156992#2 -12156992#1 -386547297#1 -424080772#2 -424080772#1 -262962065#1 -262962063 -424080764 -424080768#1 -424080766 -104526265#1 30953497#0 30953497#2 30953497#3 42706585#0 42706585#1 30953320 30953320-AddedOffRampEdge 104526277 30953215#1-AddedOnRampEdge 30953215#1 121643865#0 12110705 50715233#0 50715233#0-AddedOffRampEdge 50715233#1.0 62203285#14.24 gneE59.30.0.55 gneE59.30.0.0 43539373#0.0.292.17 gneE58 gneE56 gneE54.0 62203360#0 291433361#0 132508433.0 -gneE6.0 gneE6.0 424765883 43539378#0.15 132508717#5 196393974#0 49914077 424767578 387422130#1 132508717#0 12149210#1 12151897#1 196393941#6 196393941#7 196393941#8 gneE87 196393974#0 388756841#0 49914076#0 12159673#0 12159673#1 393884751 43569848 30953391 12113092 51758697#1-AddedOnRampEdge 51758697#1 -gneE46.0 43357850.4841.18 gneE46 49887339#0.596 49887339#0-AddedOffRampEdge 49887339#1 49887339#1-AddedOffRampEdge 104524021 104524021-AddedOffRampEdge 50192637#0 50192637#1-AddedOnRampEdge 50192637#1.0.0 50192637#1.0.382.0.0 50192637#1.697 50192637#1-AddedOffRampEdge 30953181#1 30953181#2-AddedOnRampEdge 30953181#2 30953181#3-AddedOnRampEdge 30953181#3 30953181#3-AddedOffRampEdge 30952933#1.0 30952933#1.199" probability="0.111111111111111"/&gt;</t>
  </si>
  <si>
    <t xml:space="preserve">    &lt;route id="Router3_163" edges="49887339#0.596 49887339#0-AddedOffRampEdge 49887339#1 49887339#1-AddedOffRampEdge 104524021 104524021-AddedOffRampEdge 50192637#0 50192637#1-AddedOnRampEdge 50192637#1.0.0 50192637#1.0.382.0.0 50192637#1.697 50192637#1-AddedOffRampEdge 30953181#1 30953181#2-AddedOnRampEdge 30953181#2 30953181#3-AddedOnRampEdge 30953181#3 30953181#3-AddedOffRampEdge 30952933#1.0 30952933#1.199" probability="0.111111111111111"/&gt;</t>
  </si>
  <si>
    <t xml:space="preserve">    &lt;route id="Router3_19" edges="-gneE80.0 -gneE80.17 -gneE41 gneE44 -388756838#2 -388756838#1 -388756838#0 42706817#0 386547310 gneE69 -388756838#2 -388756838#1 -388756838#0 -388756839#1 -388756839#0 -194358837#2 -194358837#0 194358838#0 194358838#1 194358838#2 194358838#3 387422145#0 387422145#3 386995499#0 386995499#2 42706831#0 42706831#4 42706831#5 42706831#6 42706874#0 42706874#2 -424080769#1 -424769177 -386547298#1 -424080767#1 -424080771#1 -386547297#1 -424080772#2 -424080772#1 -424080761#1 -62623960 62623959#0 386547296#0 386547296#1 424080773#0 -424080768#1 -424080766 -104526265#1 30953497#0 30953497#2 30953497#3 42706585#0 42706585#1 30953320 30953320-AddedOffRampEdge 104526277 30953215#1-AddedOnRampEdge 30953215#1 121643865#0 12110705 50715233#0 50715233#0-AddedOffRampEdge 50715233#1.0 62203285#14.24 30908387 30908366#1-AddedOnRampEdge 30908366#1 121643863 121643862 51758697#0 51758697#1-AddedOnRampEdge 51758697#1 -gneE46.0 43357850.4841.18 gneE46 49887339#0.596 49887339#0-AddedOffRampEdge 49887339#1 49887339#1-AddedOffRampEdge 104524021 104524021-AddedOffRampEdge 50192637#0 50192637#1-AddedOnRampEdge 50192637#1.0.0 50192637#1.0.382.0.0 50192637#1.697 50192637#1-AddedOffRampEdge 30953181#1 30953181#2-AddedOnRampEdge 30953181#2 30953181#3-AddedOnRampEdge 30953181#3 30953181#3-AddedOffRampEdge 30952933#1.0 30952933#1.199" probability="0.111111111111111"/&gt;</t>
  </si>
  <si>
    <t>&lt;routeDistribution id="CIVIC-HEALTH-to-UNIave-NB-2017-RouteProbe"&gt;</t>
  </si>
  <si>
    <t>&lt;routeDistribution id="Powelton-33rd-to-32nd-BTH-2017-RouteProbe"&gt;</t>
  </si>
  <si>
    <t xml:space="preserve">    &lt;route id="Router3_42" edges="195815883#2 195815883#3 450844975 450844970#0 196355332#0 450844979#0.0 12114109#0.45.0 38502259#0.19 450844933#1 196207115#0 196207115#2 43538931#0 43538931#1 -43538931#1 -43538931#0 196207115#3 196355332#0 450844979#0.0 450844982#0.19 62203497#0 62203497#2 62203497#3 12134479#1 34685684#0 34685684#2 388533143#0 388533143#2 12140627#0 63060729#0 -264253834#2 12156992#4 12156992#5 12156992#6 12156992#7 12156992#8 12156992#9 -12114396#5 -12114396#3 -12114396#1 485017383#0 485017382#0 485017382#1 211575484#0 -12177521#3 -12177521#2 -12177521#1 32121111#12 32121111#14 -12187610#5 -12187610#2 -12187610#1 12150608#0 32121146#2 12117702#9 450844953#0 450844953#2 450844953#3 450844947#0 388533142#0 388533142#2 388533142#4 62623926#0 62623926#1 450844950#0 38502259#0.19 450844933#1 196207110#0 196207110#2" probability="0.0769230769230769"/&gt;</t>
  </si>
  <si>
    <t xml:space="preserve">    &lt;route id="Router3_45" edges="196393940#0 62203285#0 62203285#2 62203285#3 62203285#5 42706664#7 12142298#0 12142298#1 62203286#2 12186741#2 12186741#4 12186741#5 12142723#0 12142723#3 12142723#4 12187745 32118649#2 32118649#3 -43538931#1 -43538931#0 196207115#3 196355332#0 450844979#0.0 450844982#0.19 62203497#0 62203497#2 62203497#3 12134479#1 34685684#0 34685684#2 388533143#0 388533143#2 12140627#0 63060729#0 -264253834#2 12156992#4 12156992#5 12156992#6 12156992#7 12156992#8 12156992#9 -12114396#5 -12114396#3 -12114396#1 485017383#0 485017382#0 485017382#1 211575484#0 -12177521#3 -12177521#2 -12177521#1 32121111#12 32121111#14 -12187610#5 -12187610#2 -12187610#1 12150608#0 32121146#2 12117702#9 450844953#0 450844953#2 450844953#3 450844947#0 388533142#0 388533142#2 388533142#4 62623926#0 62623926#1 450844950#0 38502259#0.19 450844933#1 196207110#0 196207110#2" probability="0.0769230769230769"/&gt;</t>
  </si>
  <si>
    <t xml:space="preserve">    &lt;route id="Router3_49" edges="196393940#0 62203285#0 62203285#2 62203285#3 62203285#5 42706664#7 42706664#8 12186741#4 12186741#5 196207112#0 32122059#1 424080774 262962068#0.0 104526265#0.14 424080766 424080768#0 104523976#1 262962063 12189051#0 -12189051#1 424080770#0 424080772#0 12119506#0 -12156992#1 -386547297#1 -424080772#2 -424080772#1 -424080761#1 -62623960 62623959#0 386547296#0 386547296#1 424080773#0 279870839#0 279870839#2 450844960#0 62623926#1 450844950#0 38502259#0.19 450844933#1 196207115#0 196207115#2 196207115#3 196355332#0 450844979#0.0 450844982#0.19 62203497#0 62203497#2 62203497#3 12134479#1 34685684#0 34685684#2 388533143#0 388533143#2 12140627#0 63060729#0 -264253834#2 12156992#4 12156992#5 12156992#6 12156992#7 12156992#8 12156992#9 -12114396#5 -12114396#3 -12114396#1 485017383#0 485017382#0 485017382#1 211575484#0 -12177521#3 -12177521#2 -12177521#1 32121111#12 32121111#14 -12187610#5 -12187610#2 -12187610#1 12150608#0 32121146#2 12117702#9 450844953#0 450844953#2 450844953#3 450844947#0 388533142#0 388533142#2 388533142#4 62623926#0 62623926#1 450844950#0 38502259#0.19 450844933#1 196207110#0 196207110#2" probability="0.0769230769230769"/&gt;</t>
  </si>
  <si>
    <t xml:space="preserve">    &lt;route id="Router3_56" edges="196393940#0 62203285#0 62203285#2 62203285#3 62203285#5 62203285#6 62203285#7 62203286#0 -12142298#1 -12142298#0 42706664#8 12186741#4 12186741#5 12142723#0 12142723#3 12142723#4 12187745 32118649#2 32118649#3 -43538931#1 -43538931#0 196207115#3 196355332#0 450844979#0.0 450844982#0.19 62203497#0 62203497#2 62203497#3 12134479#1 34685684#0 34685684#2 388533143#0 388533143#2 12140627#0 63060729#0 -264253834#2 12156992#4 12156992#5 12156992#6 12156992#7 12156992#8 12156992#9 -12114396#5 -12114396#3 -12114396#1 485017383#0 485017382#0 485017382#1 211575484#0 -12177521#3 -12177521#2 -12177521#1 32121111#12 32121111#14 -12187610#5 -12187610#2 -12187610#1 12150608#0 32121146#2 12117702#9 450844953#0 450844953#2 450844953#3 450844947#0 388533142#0 388533142#2 388533142#4 62623926#0 62623926#1 450844950#0 38502259#0.19 450844933#1 196207110#0 196207110#2" probability="0.0769230769230769"/&gt;</t>
  </si>
  <si>
    <t xml:space="preserve">    &lt;route id="Router3_65" edges="31909473.0 31909473.857 62634019#1-AddedOnRampEdge 62634019#1 30953036 424081476 -424987520 -30953029#1 -30953029#0 -424987519 12169718#0 12169718#1 424804090#0 424804090#1 424804090#2 424804090#3 424804090#4 132508920#2 132508920#3 132508920#4 132508920#5 424080762#0 424080762#1 424080762#2 424080762#3 424080762#4 424080762#5 179915585#2 12171853#2 12198567#4 12198567#5 12152219#0 12152219#1 12152236 132508920#12 132508897#0 132508897#1 132508897#2 132508897#3 394179820#0 394179820#1 394179820#2 394179820#3 394179820#4 196355327#1 196355327#2 196355327#5 196393940#1 196207112#0 32122059#1 424080774 262962068#0.0 104526265#0.14 424080766 424080768#0 104523976#1 262962063 12189051#0 -12189051#1 424080770#0 424080772#0 12119506#0 -12156992#1 -386547297#1 -424080772#2 -424080772#1 -424080761#1 -62623960 62623959#0 386547296#0 386547296#1 424080773#0 279870839#0 279870839#2 450844960#0 62623926#1 450844950#0 38502259#0.19 450844933#1 196207115#0 196207115#2 196207115#3 196355332#0 450844979#0.0 450844982#0.19 62203497#0 62203497#2 62203497#3 12134479#1 34685684#0 34685684#2 388533143#0 388533143#2 12140627#0 63060729#0 -264253834#2 12156992#4 12156992#5 12156992#6 12156992#7 12156992#8 12156992#9 -12114396#5 -12114396#3 -12114396#1 485017383#0 485017382#0 485017382#1 211575484#0 -12177521#3 -12177521#2 -12177521#1 32121111#12 32121111#14 -12187610#5 -12187610#2 -12187610#1 12150608#0 32121146#2 12117702#9 450844953#0 450844953#2 450844953#3 450844947#0 388533142#0 388533142#2 388533142#4 62623926#0 62623926#1 450844950#0 38502259#0.19 450844933#1 196207110#0 196355327#2 196355327#5 -196393940#0" probability="0.0769230769230769"/&gt;</t>
  </si>
  <si>
    <t xml:space="preserve">    &lt;route id="Router3_91" edges="31909473.0 31909473.857 62634019#1-AddedOnRampEdge 62634019#1 62634019#2.0 62634019#2.242 62634019#3-AddedOnRampEdge 62634019#3 62634019#3-AddedOffRampEdge 12111747.0 59671945#0.30 62093806#0 104526265#0.14 424080766 424080768#0 104523976#1 262962063 12189051#0 -12189051#1 424080770#0 424080772#0 12119506#0 -12156992#1 -386547297#1 -424080772#2 -424080772#1 -424080761#1 -62623960 62623959#0 386547296#0 386547296#1 424080773#0 279870839#0 279870839#2 450844960#0 62623926#1 450844950#0 38502259#0.19 450844933#1 196207115#0 196207115#2 196207115#3 196355332#0 450844979#0.0 450844982#0.19 62203497#0 62203497#2 62203497#3 12134479#1 34685684#0 34685684#2 388533143#0 388533143#2 12140627#0 63060729#0 -264253834#2 12156992#4 12156992#5 12156992#6 12156992#7 12156992#8 12156992#9 -12114396#5 -12114396#3 -12114396#1 485017383#0 485017382#0 485017382#1 211575484#0 -12177521#3 -12177521#2 -12177521#1 32121111#12 32121111#14 -12187610#5 -12187610#2 -12187610#1 12150608#0 32121146#2 12117702#9 450844953#0 450844953#2 450844953#3 450844947#0 388533142#0 388533142#2 388533142#4 62623926#0 62623926#1 450844950#0 38502259#0.19 450844933#1 196207110#0 196207110#2" probability="0.0769230769230769"/&gt;</t>
  </si>
  <si>
    <t xml:space="preserve">    &lt;route id="Router3_92" edges="31909473.0 31909473.857 62634019#1-AddedOnRampEdge 62634019#1 62634019#2.0 62634019#2.242 62634019#3-AddedOnRampEdge 62634019#3 62634019#3-AddedOffRampEdge 12111747.0 59671945#0.30 62093806#0 104526265#0.14 424080766 424080768#0 104523976#1 262962063 12189051#0 -12189051#1 424080770#0 424080772#0 12119506#0 -12156992#1 -386547297#1 -424080772#2 -424080772#1 -424080761#1 -62623960 62623959#0 386547296#0 386547296#1 424080773#0 279870839#0 279870839#2 450844960#0 62623926#1 450844950#0 38502259#0.19 450844933#1 196207115#0 196207115#2 196207115#3 196355332#0 450844979#0.0 450844982#0.19 62203497#0 62203497#2 62203497#3 12134479#1 34685684#0 34685684#2 388533143#0 388533143#2 12140627#0 63060729#0 -264253834#2 12156992#4 12156992#5 12156992#6 12156992#7 12156992#8 12156992#9 -12114396#5 -12114396#3 -12114396#1 485017383#0 485017382#0 485017382#1 211575484#0 -12177521#3 -12177521#2 -12177521#1 32121111#12 32121111#14 -12187610#5 -12187610#2 -12187610#1 12150608#0 32121146#2 12117702#9 450844953#0 450844953#2 450844953#3 450844947#0 388533142#0 388533142#2 388533142#4 62623926#0 62623926#1 450844950#0 38502259#0.19 450844933#1 196207110#0 196355327#2 196355327#5 -196393940#0" probability="0.0769230769230769"/&gt;</t>
  </si>
  <si>
    <t xml:space="preserve">    &lt;route id="Router3_112" edges="31909473.0 31909473.857 62634019#1-AddedOnRampEdge 62634019#1 62634019#2.0 62634019#2.242 62634019#3-AddedOnRampEdge 62634019#3 62634019#3-AddedOffRampEdge 30953251#1.0 30953251#1-AddedOffRampEdge 12112003 30953215#1-AddedOnRampEdge 30953215#1 121643865#0 12110705 50715233#0 50715233#0-AddedOffRampEdge 50715233#1.0 62203285#14.24 gneE59.30.0.55 gneE59.30.0.0 gneE59.0.0 gneE59.0.12 62203360#0 12159135 12149408#0 49914077 424767578 43569819 387422128#1 43569827#0 43569827#1 43569827#2 43569827#7 43569848 30953391 424769002 424769005 424769006 424769004 30953396#1 -424769003#1 -424769003#0 -485017374 42706828#0 42706828#2 12182281#0 12182281#3 12182281#5 12182281#6 386995507#4 386995507#5 386995507#6 12152013#1 12152013#2 -12175537#6 -12175537#5 -12175537#4 12182281#9 12182281#10 -388756839#1 -388756839#0 -50033059#4 -50033059#3 -50033059#2 -50033059#1 -50033558#8 -51155368#3 121319046 12188656 -50033558#2 12203859#0 12203859#1 42706831#4 42706831#5 42706831#6 42706874#0 42706874#2 12144152#0 12144152#2 450844953#0 450844953#2 450844953#3 450844947#0 388533142#0 388533142#2 388533142#4 62623926#0 62623926#1 450844950#0 12189453#0.0.0 450844982#0.19 62203497#0 62203497#2 62203497#3 12134479#1 34685684#0 34685684#2 388533143#0 388533143#2 12140627#0 63060729#0 -264253834#2 12156992#4 12156992#5 12156992#6 12156992#7 12156992#8 12156992#9 -12114396#5 -12114396#3 -12114396#1 485017383#0 485017382#0 485017382#1 211575484#0 -12177521#3 -12177521#2 -12177521#1 32121111#12 32121111#14 -12187610#5 -12187610#2 -12187610#1 12150608#0 32121146#2 12117702#9 450844953#0 450844953#2 450844953#3 450844947#0 388533142#0 388533142#2 388533142#4 62623926#0 62623926#1 450844950#0 38502259#0.19 450844933#1 196207110#0 196207110#2" probability="0.0769230769230769"/&gt;</t>
  </si>
  <si>
    <t xml:space="preserve">    &lt;route id="Router3_117" edges="31909473.0 31909473.857 62634019#1-AddedOnRampEdge 62634019#1 62634019#2.0 62634019#2.242 62634019#3-AddedOnRampEdge 62634019#3 62634019#3-AddedOffRampEdge 30953251#1.0 30953251#1-AddedOffRampEdge 12112003 30953215#1-AddedOnRampEdge 30953215#1 121643865#0 12110705 50715233#0 50715233#0-AddedOffRampEdge 50715233#1.0 62203285#14.24 gneE59.30.0.55 gneE59.30.0.0 gneE59.0.0 gneE59.0.12 62203360#0 291433361#0 132508433.0 -gneE6.0 gneE81.299.0 gneE81.299.79 gneE81.299.145 -gneE8 12154353#0 196393941#1 196393941#2 28533986 43539369#2 12178843#2 12178843#3 49960982#2 43569828#0 387422128#1 43569827#0 43569827#1 43569827#2 43569827#7 43569848 30953391 424769002 424769005 424769006 424769004 30953396#1 387422132#0 387422132#1 486653633#0 484953506#3 484953506#4 12157002#0 12157002#1 12157002#3 12157002#5 12114396#4 -12156992#10 -12156992#8 -12156992#7 -12156992#6 -12156992#5 -12156992#4 -12156992#3 -12156992#2 -12156992#1 -386547297#1 -424080772#2 -424080772#1 -262962065#1 -262962063 -424080764 -424080768#1 -424080766 -104526265#1 30953497#0 30953497#2 30953497#3 42706585#0 42706585#1 30953320 30953320-AddedOffRampEdge 104526277 30953215#1-AddedOnRampEdge 30953215#1 121643865#0 12110705 50715233#0 50715233#0-AddedOffRampEdge 50715233#1.0 62203285#14.24 gneE59.30.0.55 gneE59.30.0.0 gneE59.0.0 gneE59.0.12 62203360#0 12159135 12149408#0 49914077 424767578 43569819 387422128#1 43569827#0 43569827#1 43569827#2 43569827#7 43569848 30953391 424769002 424769005 424769006 424769004 30953396#1 -424769003#1 -424769003#0 -485017374 42706828#0 42706828#2 12182281#0 12182281#3 12182281#5 12182281#6 386995507#4 386995507#5 386995507#6 12152013#1 12152013#2 -12175537#6 -12175537#5 -12175537#4 12182281#9 12182281#10 -388756839#1 -388756839#0 -50033059#4 -50033059#3 -50033059#2 -50033059#1 -50033558#8 -51155368#3 121319046 12188656 -50033558#2 12203859#0 12203859#1 42706831#4 42706831#5 42706831#6 42706874#0 42706874#2 12144152#0 12144152#2 450844953#0 450844953#2 450844953#3 450844947#0 388533142#0 388533142#2 388533142#4 62623926#0 62623926#1 450844950#0 12189453#0.0.0 450844982#0.19 62203497#0 62203497#2 62203497#3 12134479#1 34685684#0 34685684#2 388533143#0 388533143#2 12140627#0 63060729#0 -264253834#2 12156992#4 12156992#5 12156992#6 12156992#7 12156992#8 12156992#9 -12114396#5 -12114396#3 -12114396#1 485017383#0 485017382#0 485017382#1 211575484#0 -12177521#3 -12177521#2 -12177521#1 32121111#12 32121111#14 -12187610#5 -12187610#2 -12187610#1 12150608#0 32121146#2 12117702#9 450844953#0 450844953#2 450844953#3 450844947#0 388533142#0 388533142#2 388533142#4 62623926#0 62623926#1 450844950#0 38502259#0.19 450844933#1 196207110#0 196207110#2" probability="0.0769230769230769"/&gt;</t>
  </si>
  <si>
    <t>&lt;routeDistribution id="CHESNUT-33rd-to-30th-EB-2017-RouteProbe"&gt;</t>
  </si>
  <si>
    <t xml:space="preserve">    &lt;route id="Router3_6" edges="-gneE80.0 -gneE80.17 -gneE41 gneE44 -388756838#2 -388756838#1 -388756838#0 42706817#0 386547310 gneE69 -388756838#2 -388756838#1 -388756838#0 -388756839#1 -388756839#0 -194358837#2 -194358837#0 194358838#0 194358838#1 194358838#2 194358838#3 387422145#0 387422145#3 386995499#0 386995499#2 -51155368#13 -51155368#10 -51155368#7 121319040#0 121319040#1 386995507#0 386995507#1 386995507#2 386995507#3 12182281#7 42706837#0 42706837#1 42706837#2 42706837#3 43357814#2 43357814#3 386995526#0 386995526#1 -51050425#4 -51050425#3 -51050425#2 12162659#0 12162659#1 -12175537#4 -12175537#3 -12175537#2 -12175537#1 -50033059#3 -50033059#2 -386995514#7 -12199713#2 12177498 42706833#2 51155368#0 -50033558#5 -50033558#3 -50033558#2 -62105579 -32121234#1 -32121234#0 42706874#0 42706874#2 55179414#0 55179413#0 424769182 -450827405#2 -450827400#2 -450827382 -450827385#1 -450827391#1 -450827381 -450827397#1 12180696#0 59435515#1 59435515#2 59435515#3 59435515#4 424801338#1 12117702#0 12117702#4 12117702#7 -32121146#3 -32121146#1 -424769197#2 12144152#0 12144152#2 12144152#4 12144152#6 12157151#0 12166276#2 -32121146#5 12117702#9 450844953#0 450844953#2 450844953#3 450844947#0 388533142#0 388533142#2 12189045#0 62623987#0 62623987#1 -12142631 12202018 62623986#1 62623986#2 -12189051#1 -262962063 -424080764 -424080768#1 -424080766 -104526265#1 30953497#0 30953497#2 30953497#3 42706585#0 42706585#1 30953320 30953320-AddedOffRampEdge 104526277 30953215#1-AddedOnRampEdge 30953215#1 121643865#0 121643865#1 145605511#1-AddedOnRampEdge 145605511#12 145605511#1.148" probability="0.0277777777777778"/&gt;</t>
  </si>
  <si>
    <t xml:space="preserve">    &lt;route id="Router3_13" edges="-gneE80.0 -gneE80.17 -gneE41 gneE44 -388756838#2 -388756838#1 -388756838#0 42706817#0 386547310 gneE69 -388756838#2 -388756838#1 -388756838#0 -388756839#1 -388756839#0 -194358837#2 -194358837#0 194358838#0 194358838#1 194358838#2 194358838#3 387422145#0 387422145#3 386995499#0 386995499#2 -51155368#13 -51155368#10 -51155368#7 121319040#0 121319040#1 386995507#0 386995507#1 386995507#2 386995507#3 12182281#7 42706837#0 42706837#1 42706837#2 42706837#3 43357814#2 43357814#3 386995526#0 386995526#1 -51050425#4 -51050425#3 -51050425#2 12162659#0 12162659#1 -12175537#4 -12175537#3 -12175537#2 -12175537#1 -50033059#3 -50033059#2 -386995514#7 -12199713#2 12177498 42706833#2 51155368#0 -50033558#5 -50033558#3 -50033558#2 -62105579 -32121234#1 -32121234#0 42706874#0 42706874#2 55179414#0 55179413#0 424769182 -450827405#2 -450827400#2 -450827382 -450827385#1 -450827391#1 -450827381 -450827397#1 12180696#0 59435515#1 59435515#2 59435515#3 59435515#4 424801338#1 12117702#0 12117702#4 12117702#7 -32121146#3 12202008#2.0 12202008#2.171 62646499#2 450827424#0 450827405#0 262962062 -55179413#2 12187610#0 12187610#2 12187610#3 -62105579 12186909#0 12186909#1 12186909#2 51155368#11 42706831#0 42706831#4 42706831#5 42706831#6 32121234#0 32121234#1 32121234#2 50033558#2 50033558#3 50033558#4 50033558#6 50033058#0 386995514#9 386995486#0 32121111#11 -12177521#0 -121319040#0 -51155368#5 -50033558#5 -50033558#3 -12188656 -121319046 -42706825#7 -42706825#4 -42706825#3 -42706825#1 -484953510#2 -484953510#1 -484953510#0 gneE37 gneE38 -12159761#2 -12159761#1 -12159761#0 12114363#0 12114363#1 -50033059#4 12175537#0 12175537#2 12175537#3 12175537#4 12162659#2 12159485 12161358#7 12161358#8 386995507#6 386995507#7 386995521#0 386995521#1 12154359#3 12154359#4 12154359#5 12154359#6 12154359#7 101350669 -386995537 -386995526#1 -386995526#0 -43357814#3 -43357814#2 42706837#4 42706837#5 42706837#6 42706837#7 42706837#8 42706837#9 12172918#0 12172918#1 12172918#2 gneE73 gneE75.0 gneE80.125" probability="0.0277777777777778"/&gt;</t>
  </si>
  <si>
    <t xml:space="preserve">    &lt;route id="Router3_21" edges="-gneE80.0 -gneE80.17 -gneE41 gneE44 -388756838#2 -388756838#1 -388756838#0 42706817#0 386547310 gneE69 -388756838#2 -388756838#1 -388756838#0 -388756839#1 -388756839#0 -194358837#2 -194358837#0 194358838#0 194358838#1 194358838#2 386995479#2 310315797#2 12185366#9 387422145#0 -12157718#6 -12157718#4 -12157718#3 -12157718#2 -12157718#1 -12199713#4 386995514#7 -50033059#1 -50033558#8 -51155368#3 121319046 12188656 -50033558#2 12203859#0 12203859#1 42706831#4 42706831#5 42706831#6 42706874#0 42706874#2 12144152#0 12144152#2 450844953#0 450844953#2 450844953#3 450844947#0 388533142#0 388533142#2 388533142#4 62623926#0 62623926#1 450844950#0 12189453#0.0.0 450844982#0.19 62203497#0 62203497#2 62203497#3 12134479#1 34685684#0 34685684#2 388533143#0 388533143#2 12140627#0 63060729#0 -264253834#2 12156992#4 12156992#5 12156992#6 12156992#7 12156992#8 12156992#9 -12114396#5 -12114396#3 -12114396#1 485017383#0 485017382#0 485017382#1 211575484#0 -12177521#3 -12177521#2 -12177521#1 32121111#12 32121111#14 -12187610#5 -12187610#2 -12187610#1 12150608#0 32121146#2 12117702#9 450844953#0 450844953#2 450844953#3 450844947#0 388533142#0 388533142#2 388533142#4 62623926#0 62623926#1 450844950#0 38502259#0.19 450844933#1 196207110#0 196207110#2" probability="0.0277777777777778"/&gt;</t>
  </si>
  <si>
    <t xml:space="preserve">    &lt;route id="Router3_23" edges="-gneE80.0 -gneE80.17 -gneE41 gneE44 -388756838#2 -388756838#1 -388756838#0 42706817#0 386547310 gneE69 -388756838#2 -388756838#1 -388756838#0 -388756839#1 -388756839#0 -194358837#2 -194358837#0 194358838#0 194358838#1 32121111#9 32121111#10 -386995486#0 -386995514#9 50033058#2 50033058#3 194358837#0 194358837#1 12175533#0 12175533#2 12175533#3 42706825#4 42706825#5 12189876#0 12189876#2 484953509#0 484953509#2 -12175523#1 12134222#0 12134222#2 12134222#3 386547311#11 386547311#13 357338496#0 357338496#2 450695461#0 62646494#0 424801336#0 484842168#0 283621820 -28555309#1 -424801341 -283621822#1 -424801343#1 -424801343#0 49991658 424801340 424801342 386550018#0 386550018#0-AddedOffRampEdge 386550018#1 49991638 -12144161#0 12144161#0 12144161#1 49991657 283621821#1 283621821#1-AddedOffRampEdge 12122485 49991647#2 63060732#0 63060732#1 63060732#2.0 273888488.10 -12122468#1 -12122468#0 -424081469 -424081473 -424081472 -424987520 -30953029#1 -30953029#0 -424987519 170366765 12173391 12123285#0 12123285#1 12123285#2 12176631 424804090#0 424804090#1 12198567#0 12198567#1 12198567#2 12198567#3 12171853#3 12171853#4 12171853#5 12171853#6 132508920#8 132508920#9 132508920#10 132508920#12 132508983#0 132508983#3 132508983#5 132508740#0 132508740#2 -12165829#1 132508646#0 132508646#2 132508646#3 394179820#0 394179820#1 394179820#2 394179820#3 450844975 450844970#0 196355332#0 450844979#0.0 450844982#0.19 62203497#0 62203497#2 62203497#3 12134479#1 34685684#0 34685684#2 388533143#0 388533143#2 12140627#0 63060729#0 -264253834#2 12156992#4 12156992#5 12156992#6 12156992#7 12156992#8 12156992#9 -12114396#5 -12114396#3 -12114396#1 485017383#0 485017382#0 485017382#1 211575484#0 -12177521#3 -12177521#2 -12177521#1 32121111#12 32121111#14 -12187610#5 -12187610#2 -12187610#1 12150608#0 32121146#2 12117702#9 450844953#0 450844953#2 450844953#3 450844947#0 388533142#0 388533142#2 388533142#4 62623926#0 62623926#1 450844950#0 38502259#0.19 450844933#1 196207110#0 196207110#2" probability="0.0277777777777778"/&gt;</t>
  </si>
  <si>
    <t xml:space="preserve">    &lt;route id="Router3_41" edges="195815883#2 195815883#3 450844975 450844970#0 196355332#0 450844979#0.0 12114109#0.45.0 38502259#0.19 450844933#1 196207115#0 196207115#2 196207115#3 196355332#0 450844979#0.0 450844982#0.19 62203497#0 62203497#2 62203497#3 12134479#1 34685684#0 34685684#2 388533143#0 388533143#2 12140627#0 63060729#0 -264253834#2 12156992#4 12156992#5 12156992#6 12156992#7 12156992#8 12156992#9 -12114396#5 -12114396#3 -12114396#1 485017383#0 485017382#0 485017382#1 211575484#0 -12177521#3 -12177521#2 -12177521#1 32121111#12 32121111#14 -12187610#5 -12187610#2 -12187610#1 12150608#0 32121146#2 12117702#9 450844953#0 450844953#2 450844953#3 450844947#0 388533142#0 388533142#2 388533142#4 62623926#0 62623926#1 450844950#0 38502259#0.19 450844933#1 196207110#0 196207110#2" probability="0.0277777777777778"/&gt;</t>
  </si>
  <si>
    <t xml:space="preserve">    &lt;route id="Router3_42" edges="195815883#2 195815883#3 450844975 450844970#0 196355332#0 450844979#0.0 12114109#0.45.0 38502259#0.19 450844933#1 196207115#0 196207115#2 43538931#0 43538931#1 -43538931#1 -43538931#0 196207115#3 196355332#0 450844979#0.0 450844982#0.19 62203497#0 62203497#2 62203497#3 12134479#1 34685684#0 34685684#2 388533143#0 388533143#2 12140627#0 63060729#0 -264253834#2 12156992#4 12156992#5 12156992#6 12156992#7 12156992#8 12156992#9 -12114396#5 -12114396#3 -12114396#1 485017383#0 485017382#0 485017382#1 211575484#0 -12177521#3 -12177521#2 -12177521#1 32121111#12 32121111#14 -12187610#5 -12187610#2 -12187610#1 12150608#0 32121146#2 12117702#9 450844953#0 450844953#2 450844953#3 450844947#0 388533142#0 388533142#2 388533142#4 62623926#0 62623926#1 450844950#0 38502259#0.19 450844933#1 196207110#0 196207110#2" probability="0.0277777777777778"/&gt;</t>
  </si>
  <si>
    <t xml:space="preserve">    &lt;route id="Router3_43" edges="195815883#2 195815883#3 450844975 450844970#0 196355332#0 450844979#0.0 12114109#0.45.0 38502259#0.19 450844933#1 196207115#0 196207115#2 43538931#0 43538931#1 -43538931#1 -43538931#0 196207115#3 196355332#0 450844979#0.0 450844982#0.19 62203497#0 62203497#2 62203497#3 12134479#1 34685684#0 34685684#2 450844947#0 388533142#0 388533142#2 388533142#4 62623926#0 62623926#1 450844950#0 12189453#0.0.0 450844982#0.19 62203497#0 62203497#2 62203497#3 12134479#1 34685684#0 34685684#2 388533143#0 388533143#2 12140627#0 63060729#0 -264253834#2 12156992#4 12156992#5 12156992#6 12156992#7 12156992#8 12156992#9 484953505 12148522#0 485017381#0 485017381#1 -30953396#1 -30953396#0 -424769006 -424769005 -424769002 -30953391 -43569848 -393884751 12159702 424764853 12149178#0 50189796 50189564 12149178#2 145605533#0 145605533#1-AddedOnRampEdge 145605533#1 145605511#1-AddedOnRampEdge 145605511#12 145605511#1.148" probability="0.0277777777777778"/&gt;</t>
  </si>
  <si>
    <t xml:space="preserve">    &lt;route id="Router3_45" edges="196393940#0 62203285#0 62203285#2 62203285#3 62203285#5 42706664#7 12142298#0 12142298#1 62203286#2 12186741#2 12186741#4 12186741#5 12142723#0 12142723#3 12142723#4 12187745 32118649#2 32118649#3 -43538931#1 -43538931#0 196207115#3 196355332#0 450844979#0.0 450844982#0.19 62203497#0 62203497#2 62203497#3 12134479#1 34685684#0 34685684#2 388533143#0 388533143#2 12140627#0 63060729#0 -264253834#2 12156992#4 12156992#5 12156992#6 12156992#7 12156992#8 12156992#9 -12114396#5 -12114396#3 -12114396#1 485017383#0 485017382#0 485017382#1 211575484#0 -12177521#3 -12177521#2 -12177521#1 32121111#12 32121111#14 -12187610#5 -12187610#2 -12187610#1 12150608#0 32121146#2 12117702#9 450844953#0 450844953#2 450844953#3 450844947#0 388533142#0 388533142#2 388533142#4 62623926#0 62623926#1 450844950#0 38502259#0.19 450844933#1 196207110#0 196207110#2" probability="0.0277777777777778"/&gt;</t>
  </si>
  <si>
    <t xml:space="preserve">    &lt;route id="Router3_48" edges="196393940#0 62203285#0 62203285#2 62203285#3 62203285#5 42706664#7 42706664#8 12186741#4 12186741#5 12142723#0 12142723#3 12142723#4 12187745 32118649#2 32118649#3 -43538931#1 -43538931#0 196207115#3 196355332#0 450844979#0.0 450844982#0.19 62203497#0 62203497#2 62203497#3 12134479#1 34685684#0 34685684#2 450844947#0 388533142#0 388533142#2 388533142#4 62623926#0 62623926#1 450844950#0 12189453#0.0.0 450844982#0.19 62203497#0 62203497#2 62203497#3 12134479#1 34685684#0 34685684#2 388533143#0 388533143#2 12140627#0 63060729#0 -264253834#2 12156992#4 12156992#5 12156992#6 12156992#7 12156992#8 12156992#9 484953505 12148522#0 485017381#0 485017381#1 -30953396#1 -30953396#0 -424769006 -424769005 -424769002 -30953391 -43569848 -393884751 12159702 424764853 12149178#0 50189796 50189564 12149178#2 145605533#0 145605533#1-AddedOnRampEdge 145605533#1 145605511#1-AddedOnRampEdge 145605511#12 145605511#1.148" probability="0.0277777777777778"/&gt;</t>
  </si>
  <si>
    <t xml:space="preserve">    &lt;route id="Router3_49" edges="196393940#0 62203285#0 62203285#2 62203285#3 62203285#5 42706664#7 42706664#8 12186741#4 12186741#5 196207112#0 32122059#1 424080774 262962068#0.0 104526265#0.14 424080766 424080768#0 104523976#1 262962063 12189051#0 -12189051#1 424080770#0 424080772#0 12119506#0 -12156992#1 -386547297#1 -424080772#2 -424080772#1 -424080761#1 -62623960 62623959#0 386547296#0 386547296#1 424080773#0 279870839#0 279870839#2 450844960#0 62623926#1 450844950#0 38502259#0.19 450844933#1 196207115#0 196207115#2 196207115#3 196355332#0 450844979#0.0 450844982#0.19 62203497#0 62203497#2 62203497#3 12134479#1 34685684#0 34685684#2 388533143#0 388533143#2 12140627#0 63060729#0 -264253834#2 12156992#4 12156992#5 12156992#6 12156992#7 12156992#8 12156992#9 -12114396#5 -12114396#3 -12114396#1 485017383#0 485017382#0 485017382#1 211575484#0 -12177521#3 -12177521#2 -12177521#1 32121111#12 32121111#14 -12187610#5 -12187610#2 -12187610#1 12150608#0 32121146#2 12117702#9 450844953#0 450844953#2 450844953#3 450844947#0 388533142#0 388533142#2 388533142#4 62623926#0 62623926#1 450844950#0 38502259#0.19 450844933#1 196207110#0 196207110#2" probability="0.0277777777777778"/&gt;</t>
  </si>
  <si>
    <t xml:space="preserve">    &lt;route id="Router3_56" edges="196393940#0 62203285#0 62203285#2 62203285#3 62203285#5 62203285#6 62203285#7 62203286#0 -12142298#1 -12142298#0 42706664#8 12186741#4 12186741#5 12142723#0 12142723#3 12142723#4 12187745 32118649#2 32118649#3 -43538931#1 -43538931#0 196207115#3 196355332#0 450844979#0.0 450844982#0.19 62203497#0 62203497#2 62203497#3 12134479#1 34685684#0 34685684#2 388533143#0 388533143#2 12140627#0 63060729#0 -264253834#2 12156992#4 12156992#5 12156992#6 12156992#7 12156992#8 12156992#9 -12114396#5 -12114396#3 -12114396#1 485017383#0 485017382#0 485017382#1 211575484#0 -12177521#3 -12177521#2 -12177521#1 32121111#12 32121111#14 -12187610#5 -12187610#2 -12187610#1 12150608#0 32121146#2 12117702#9 450844953#0 450844953#2 450844953#3 450844947#0 388533142#0 388533142#2 388533142#4 62623926#0 62623926#1 450844950#0 38502259#0.19 450844933#1 196207110#0 196207110#2" probability="0.0277777777777778"/&gt;</t>
  </si>
  <si>
    <t xml:space="preserve">    &lt;route id="Router3_65" edges="31909473.0 31909473.857 62634019#1-AddedOnRampEdge 62634019#1 30953036 424081476 -424987520 -30953029#1 -30953029#0 -424987519 12169718#0 12169718#1 424804090#0 424804090#1 424804090#2 424804090#3 424804090#4 132508920#2 132508920#3 132508920#4 132508920#5 424080762#0 424080762#1 424080762#2 424080762#3 424080762#4 424080762#5 179915585#2 12171853#2 12198567#4 12198567#5 12152219#0 12152219#1 12152236 132508920#12 132508897#0 132508897#1 132508897#2 132508897#3 394179820#0 394179820#1 394179820#2 394179820#3 394179820#4 196355327#1 196355327#2 196355327#5 196393940#1 196207112#0 32122059#1 424080774 262962068#0.0 104526265#0.14 424080766 424080768#0 104523976#1 262962063 12189051#0 -12189051#1 424080770#0 424080772#0 12119506#0 -12156992#1 -386547297#1 -424080772#2 -424080772#1 -424080761#1 -62623960 62623959#0 386547296#0 386547296#1 424080773#0 279870839#0 279870839#2 450844960#0 62623926#1 450844950#0 38502259#0.19 450844933#1 196207115#0 196207115#2 196207115#3 196355332#0 450844979#0.0 450844982#0.19 62203497#0 62203497#2 62203497#3 12134479#1 34685684#0 34685684#2 388533143#0 388533143#2 12140627#0 63060729#0 -264253834#2 12156992#4 12156992#5 12156992#6 12156992#7 12156992#8 12156992#9 -12114396#5 -12114396#3 -12114396#1 485017383#0 485017382#0 485017382#1 211575484#0 -12177521#3 -12177521#2 -12177521#1 32121111#12 32121111#14 -12187610#5 -12187610#2 -12187610#1 12150608#0 32121146#2 12117702#9 450844953#0 450844953#2 450844953#3 450844947#0 388533142#0 388533142#2 388533142#4 62623926#0 62623926#1 450844950#0 38502259#0.19 450844933#1 196207110#0 196355327#2 196355327#5 -196393940#0" probability="0.0277777777777778"/&gt;</t>
  </si>
  <si>
    <t xml:space="preserve">    &lt;route id="Router3_77" edges="31909473.0 31909473.857 62634019#1-AddedOnRampEdge 62634019#1 62634019#2.0 62634019#2.242 62634019#3-AddedOnRampEdge 62634019#3 62634019#3-AddedOffRampEdge 12111747.0 12189453#0.0.0 450844982#0.19 62203497#0 62203497#2 62203497#3 12134479#1 34685684#0 34685684#2 450844947#0 388533142#0 388533142#2 12189045#0 62623987#0 62623987#1 -12142631 12202018 62623986#1 62623986#2 -12189051#1 424080770#0 424080772#0 424080772#2 386547297#0 424080771#0 424080767#0 386547298#0 424769177 424080769#0 55179414#0 12187610#0 -484953508#2 424801339#0 62646509#0 424801338#0 424801338#1 12117702#0 12117702#4 12117702#7 -32121146#3 -32121146#1 55179413#0 424769182 -450827405#2 -450827400#2 -450827382 -450827385#1 12134222#0 12134222#2 12134222#3 386547311#11 386547311#13 357338496#0 357338496#2 450695461#0 62646494#0 424801336#0 484842168#0 283621820 -28555309#1 -424801341 -283621822#1 -424801343#1 -424801343#0 49991658 424801340 424801342 386550018#0 386550018#0-AddedOffRampEdge 386550018#1 49991638 -12144161#0 12144161#0 12144161#1 49991657 283621821#1 283621821#1-AddedOffRampEdge 283621821#2 49991647#1 49991647#2 63060732#0 63060732#1 63060732#2.0 63060732#2.116 50033027 -50033029 50033050#0 50033050#2 424799828 424799825 424799826 50033054 63060727 50033029 50033028#0 50033028#3 50033028#5 50033028#6 49991646 386547300#0 283621823 386547301-AddedOnRampEdge 386547301 424801344#0 424801343#1 283621822#0 424801341 28555309#0 49991649#0 424986163#0 51049946#0 424801337#0 357338497#0 357338497#2 450695460#0 62646499#0 62646499#2 450827424#0 62646508#0 62646508#2 424799820 424799823#0 50033059#0 50033059#2 50033059#3 50033059#4 388756839#0 388756839#1 388756838#0 12136923#0 386547309#0 386547309#2 386547309#3 386547309#5 386547309#7 51050030#4 51050030#7 gneE35 -gneE34.0 --gneE83.0" probability="0.0277777777777778"/&gt;</t>
  </si>
  <si>
    <t xml:space="preserve">    &lt;route id="Router3_78" edges="31909473.0 31909473.857 62634019#1-AddedOnRampEdge 62634019#1 62634019#2.0 62634019#2.242 62634019#3-AddedOnRampEdge 62634019#3 62634019#3-AddedOffRampEdge 12111747.0 12189453#0.0.0 450844982#0.19 62203497#0 62203497#2 62203497#3 12134479#1 34685684#0 34685684#2 450844947#0 388533142#0 388533142#2 12189045#0 62623987#0 62623987#1 -12142631 12202018 62623986#1 62623986#2 -12189051#1 424080770#0 424080772#0 424080772#2 386547297#0 424080771#0 424080767#0 386547298#0 424769177 424080769#0 55179414#0 12187610#0 -484953508#2 424801339#0 62646509#0 424801338#0 424801338#1 12117702#0 12117702#4 12117702#7 -32121146#3 -32121146#1 55179413#0 424769182 -450827405#2 -450827400#2 -450827382 -450827385#1 12134222#0 12134222#2 12134222#3 386547311#11 386547311#13 357338496#0 357338496#2 450695461#0 62646494#0 424801336#0 484842168#0 283621820 -28555309#1 -424801341 -283621822#1 -424801343#1 -424801343#0 49991658 424801340 424801342 386550018#0 386550018#0-AddedOffRampEdge 386550018#1 49991638 -12144161#0 12144161#0 12144161#1 49991657 283621821#1 283621821#1-AddedOffRampEdge 283621821#2 49991647#1 49991647#2 63060732#0 63060732#1 63060732#2.0 63060732#2.116 50033027 -50033029 50033050#0 50033050#2 424799828 424799825 424799826 50033054 63060727 50033029 50033028#0 50033028#3 50033028#5 50033028#6 49991646 386547300#0 283621823 386547301-AddedOnRampEdge 386547301 424801344#0 424801343#1 283621822#0 424801341 28555309#0 49991649#0 424986163#0 51049946#0 424801337#0 357338497#0 357338497#2 450695460#0 62646499#0 62646499#2 450827424#0 62646508#0 62646508#2 424799820 424799823#0 50033059#0 50033059#2 50033059#3 50033059#4 388756839#0 388756839#1 388756838#0 12136923#0 386547309#0 386547309#2 386547309#3 386547309#5 484953510#2 42706825#0 42706825#2 42706825#4 42706825#5 424799823#0 42706833#0 42706833#2 -42706825#7 12199713#0 12199713#1 -386995514#6 -386995514#5 -386995514#4 -386995514#3 -386995514#2 -386995514#1 12159500#1 12159500#2 51050030#7 gneE35 -gneE34.0 --gneE83.0" probability="0.0277777777777778"/&gt;</t>
  </si>
  <si>
    <t xml:space="preserve">    &lt;route id="Router3_79" edges="31909473.0 31909473.857 62634019#1-AddedOnRampEdge 62634019#1 62634019#2.0 62634019#2.242 62634019#3-AddedOnRampEdge 62634019#3 62634019#3-AddedOffRampEdge 12111747.0 12189453#0.0.0 450844982#0.19 62203497#0 62203497#2 62203497#3 12134479#1 34685684#0 34685684#2 450844947#0 388533142#0 388533142#2 12189045#0 62623987#0 62623987#1 -12142631 12202018 62623986#1 62623986#2 -12189051#1 424080770#0 424080772#0 424080772#2 386547297#0 424080771#0 424080767#0 386547298#0 424769177 424080769#0 55179414#0 12187610#0 -484953508#2 424801339#0 62646509#0 424801338#0 424801338#1 12117702#0 12117702#4 12117702#7 -32121146#3 -32121146#1 55179413#0 424769182 -450827405#2 -450827400#2 -450827382 -450827385#1 12134222#0 12134222#2 12134222#3 386547311#11 386547311#13 357338496#0 357338496#2 450695461#0 62646494#0 424801336#0 484842168#0 283621820 -28555309#1 -424801341 -283621822#1 -424801343#1 -424801343#0 49991658 424801340 424801342 386550018#0 386550018#0-AddedOffRampEdge 386550018#1 49991638 -12144161#0 12144161#0 12144161#1 49991657 283621821#1 283621821#1-AddedOffRampEdge 283621821#2 49991647#1 49991647#2 63060732#0 63060732#1 63060732#2.0 63060732#2.116 50033027 -50033029 50033050#0 50033050#2 424799828 424799825 424799826 50033054 63060727 50033029 50033028#0 50033028#3 50033028#5 50033028#6 49991646 386547300#0 283621823 386547301-AddedOnRampEdge 386547301 424801344#0 424801343#1 283621822#0 424801341 28555309#0 49991649#0 424986163#0 51049946#0 424801337#0 357338497#0 357338497#2 450695460#0 62646499#0 62646499#2 450827424#0 62646508#0 62646508#2 424799820 424799823#0 50033059#0 50033059#2 50033059#3 50033059#4 388756839#0 388756839#1 388756838#0 12136923#0 386547309#0 386547309#2 386547309#3 386547309#5 484953510#2 42706825#0 42706825#2 42706825#4 42706825#5 424799823#0 42706833#0 42706833#2 12189876#0 12189876#2 484953508#1 60185970#0 60185970#2 12149571#1 12187610#3 50033558#2 50033558#3 50033558#4 50033558#6 50033058#0 386995514#9 386995486#0 32121111#11 -12177521#0 -121319040#0 -51155368#5 -50033558#5 -50033558#3 -12188656 -121319046 -42706825#7 -42706825#4 -42706825#3 -42706825#1 194358815 194358817#0 194358817#1 194358817#2 12114363#0 12114363#1 -50033059#4 12175537#0 12175537#2 485017371#0 484953507#1 12182281#8 12182281#9 12167232#0 12167232#1 12167232#2 12152013#4 51050425#4 386995537 386995551 387422150#0 387422150#1 386995531#3 386995531#4 12172918#2 gneE73 gneE75.0 gneE80.125" probability="0.0277777777777778"/&gt;</t>
  </si>
  <si>
    <t xml:space="preserve">    &lt;route id="Router3_80" edges="31909473.0 31909473.857 62634019#1-AddedOnRampEdge 62634019#1 62634019#2.0 62634019#2.242 62634019#3-AddedOnRampEdge 62634019#3 62634019#3-AddedOffRampEdge 12111747.0 12189453#0.0.0 450844982#0.19 62203497#0 62203497#2 62203497#3 12134479#1 34685684#0 34685684#2 450844947#0 388533142#0 388533142#2 12189045#0 62623987#0 62623987#1 -12142631 12202018 62623986#1 62623986#2 -12189051#1 424080770#0 424080772#0 424080772#2 386547297#0 424080771#0 424080767#0 386547298#0 424769177 424080769#0 55179414#0 12187610#0 60185970#0 60185970#2 12149571#1 12187610#3 50033558#2 -12188656 -121319046 -42706825#7 12199713#0 12199713#1 -386995514#6 -386995514#5 -386995514#4 -386995514#3 194358817#0 194358817#1 194358817#2 12114363#0 12114363#1 -50033059#4 12175537#0 12175537#2 12175537#3 12175537#4 12175537#5 12175537#6 12175537#7 12175537#8 12175537#9 12175537#10 12175537#11 12175537#12 12155177#1 12155177#2 387422153#1 gneE73 gneE75.0 gneE80.125" probability="0.0277777777777778"/&gt;</t>
  </si>
  <si>
    <t xml:space="preserve">    &lt;route id="Router3_81" edges="31909473.0 31909473.857 62634019#1-AddedOnRampEdge 62634019#1 62634019#2.0 62634019#2.242 62634019#3-AddedOnRampEdge 62634019#3 62634019#3-AddedOffRampEdge 12111747.0 12189453#0.0.0 450844982#0.19 62203497#0 62203497#2 62203497#3 12134479#1 34685684#0 34685684#2 450844947#0 388533142#0 388533142#2 12189045#0 62623987#0 62623987#1 -12142631 12202018 62623986#1 62623986#2 -12189051#1 424080770#0 424080772#0 424080772#2 386547297#0 424080771#0 424080767#0 386547298#0 424769177 424080769#0 55179414#0 12187610#0 60185970#0 60185970#2 12149571#1 12187610#3 50033558#2 50033558#3 50033558#4 50033558#6 50033058#0 386995514#9 386995486#0 32121111#11 -12177521#0 -121319040#0 -51155368#5 -50033558#5 -50033558#3 -12188656 -121319046 -42706825#7 -42706825#4 -42706825#3 -42706825#1 194358815 194358817#0 194358817#1 194358817#2 12114363#0 12114363#1 -50033059#4 12175537#0 12175537#2 485017371#0 484953507#1 12182281#8 12182281#9 12167232#0 12167232#1 12167232#2 12152013#4 51050425#4 386995537 386995551 387422150#0 387422150#1 386995531#3 386995531#4 12172918#2 gneE73 gneE75.0 gneE80.125" probability="0.0277777777777778"/&gt;</t>
  </si>
  <si>
    <t xml:space="preserve">    &lt;route id="Router3_82" edges="31909473.0 31909473.857 62634019#1-AddedOnRampEdge 62634019#1 62634019#2.0 62634019#2.242 62634019#3-AddedOnRampEdge 62634019#3 62634019#3-AddedOffRampEdge 12111747.0 12189453#0.0.0 450844982#0.19 62203497#0 62203497#2 62203497#3 12134479#1 34685684#0 34685684#2 450844947#0 388533142#0 388533142#2 388533142#4 62623926#0 62623926#1 450844950#0 12189453#0.0.0 450844982#0.19 62203497#0 62203497#2 62203497#3 12134479#1 34685684#0 34685684#2 388533143#0 388533143#2 12140627#0 63060729#0 -264253834#2 12156992#4 12156992#5 12156992#6 12156992#7 12156992#8 12156992#9 484953505 12148522#0 -12186058#4 -12186058#1 -386995465#1 -386995504#1 386995479#0 12157718#5 12157718#7 485017376 485017373#0 387422135#0 424769003#0 424769003#1 -30953396#1 -30953396#0 -424769006 -424769005 -424769002 -30953391 -43569848 -393884751 12159702 424764853 12149178#0 50189796 50189564 12149178#2 145605533#0 145605533#1-AddedOnRampEdge 145605533#1 145605511#1-AddedOnRampEdge 145605511#12 145605511#1.148" probability="0.0277777777777778"/&gt;</t>
  </si>
  <si>
    <t xml:space="preserve">    &lt;route id="Router3_91" edges="31909473.0 31909473.857 62634019#1-AddedOnRampEdge 62634019#1 62634019#2.0 62634019#2.242 62634019#3-AddedOnRampEdge 62634019#3 62634019#3-AddedOffRampEdge 12111747.0 59671945#0.30 62093806#0 104526265#0.14 424080766 424080768#0 104523976#1 262962063 12189051#0 -12189051#1 424080770#0 424080772#0 12119506#0 -12156992#1 -386547297#1 -424080772#2 -424080772#1 -424080761#1 -62623960 62623959#0 386547296#0 386547296#1 424080773#0 279870839#0 279870839#2 450844960#0 62623926#1 450844950#0 38502259#0.19 450844933#1 196207115#0 196207115#2 196207115#3 196355332#0 450844979#0.0 450844982#0.19 62203497#0 62203497#2 62203497#3 12134479#1 34685684#0 34685684#2 388533143#0 388533143#2 12140627#0 63060729#0 -264253834#2 12156992#4 12156992#5 12156992#6 12156992#7 12156992#8 12156992#9 -12114396#5 -12114396#3 -12114396#1 485017383#0 485017382#0 485017382#1 211575484#0 -12177521#3 -12177521#2 -12177521#1 32121111#12 32121111#14 -12187610#5 -12187610#2 -12187610#1 12150608#0 32121146#2 12117702#9 450844953#0 450844953#2 450844953#3 450844947#0 388533142#0 388533142#2 388533142#4 62623926#0 62623926#1 450844950#0 38502259#0.19 450844933#1 196207110#0 196207110#2" probability="0.0277777777777778"/&gt;</t>
  </si>
  <si>
    <t xml:space="preserve">    &lt;route id="Router3_92" edges="31909473.0 31909473.857 62634019#1-AddedOnRampEdge 62634019#1 62634019#2.0 62634019#2.242 62634019#3-AddedOnRampEdge 62634019#3 62634019#3-AddedOffRampEdge 12111747.0 59671945#0.30 62093806#0 104526265#0.14 424080766 424080768#0 104523976#1 262962063 12189051#0 -12189051#1 424080770#0 424080772#0 12119506#0 -12156992#1 -386547297#1 -424080772#2 -424080772#1 -424080761#1 -62623960 62623959#0 386547296#0 386547296#1 424080773#0 279870839#0 279870839#2 450844960#0 62623926#1 450844950#0 38502259#0.19 450844933#1 196207115#0 196207115#2 196207115#3 196355332#0 450844979#0.0 450844982#0.19 62203497#0 62203497#2 62203497#3 12134479#1 34685684#0 34685684#2 388533143#0 388533143#2 12140627#0 63060729#0 -264253834#2 12156992#4 12156992#5 12156992#6 12156992#7 12156992#8 12156992#9 -12114396#5 -12114396#3 -12114396#1 485017383#0 485017382#0 485017382#1 211575484#0 -12177521#3 -12177521#2 -12177521#1 32121111#12 32121111#14 -12187610#5 -12187610#2 -12187610#1 12150608#0 32121146#2 12117702#9 450844953#0 450844953#2 450844953#3 450844947#0 388533142#0 388533142#2 388533142#4 62623926#0 62623926#1 450844950#0 38502259#0.19 450844933#1 196207110#0 196355327#2 196355327#5 -196393940#0" probability="0.0277777777777778"/&gt;</t>
  </si>
  <si>
    <t xml:space="preserve">    &lt;route id="Router3_105" edges="31909473.0 31909473.857 62634019#1-AddedOnRampEdge 62634019#1 62634019#2.0 62634019#2.242 62634019#3-AddedOnRampEdge 62634019#3 62634019#3-AddedOffRampEdge 12111747.0 62203498#0 62093806#0 104526265#0.14 424080766 424080768#0 104523976#1 262962063 424080770#0 424080772#0 424080772#2 386547297#0 424080771#0 424080767#0 386547298#0 424769177 424080769#0 12144152#0 12144152#2 12144152#4 12144152#6 12157151#0 12166276#2 -32121146#5 12117702#9 450844953#0 450844953#2 450844953#3 450844947#0 388533142#0 388533142#2 12189045#0 62623987#0 62623987#1 -12142631 12202018 62623986#1 62623986#2 -12189051#1 -262962063 -424080764 -424080768#1 -424080766 -104526265#1 -262962068#1 -424080774 -32122059#1 -32122059#0 -196393940#2 -196393940#0" probability="0.0277777777777778"/&gt;</t>
  </si>
  <si>
    <t xml:space="preserve">    &lt;route id="Router3_108" edges="31909473.0 31909473.857 62634019#1-AddedOnRampEdge 62634019#1 62634019#2.0 62634019#2.242 62634019#3-AddedOnRampEdge 62634019#3 62634019#3-AddedOffRampEdge 12111747.0 62203498#0 62093806#0 104526265#0.14 424080766 424080768#0 104523976#1 262962063 424080770#0 424080772#0 424080772#2 386547297#0 424080771#0 424080767#0 386547298#0 424769177 424080769#0 12144152#0 12144152#2 450844953#0 450844953#2 450844953#3 450844947#0 388533142#0 388533142#2 388533142#4 62623926#0 62623926#1 450844950#0 12189453#0.0.0 450844982#0.19 62203497#0 62203497#2 62203497#3 12134479#1 34685684#0 34685684#2 388533143#0 388533143#2 12140627#0 63060729#0 -264253834#2 12156992#4 12156992#5 12156992#6 12156992#7 12156992#8 12156992#9 484953505 12148522#0 485017381#0 485017381#1 -30953396#1 30953396#1 -424769003#1 -424769003#0 12157002#0 12157002#1 12186058#2 485017381#0 -12157718#12 -12157718#10 -12157718#9 -12157718#8 -12157718#6 386995479#1 386995479#2 386995479#3 386995479#4 386995479#5 386995479#6 386995490#0.0 12154359#1.20 12154359#2 -386995521#1 -386995521#0 43357814#0 43357814#1 42706837#4 42706837#5 12154359#5 12154359#6 386995531#1 386995531#2 386995531#3 386995531#4 12172918#2 gneE73 gneE75.0 gneE80.125" probability="0.0277777777777778"/&gt;</t>
  </si>
  <si>
    <t xml:space="preserve">    &lt;route id="Router3_109" edges="31909473.0 31909473.857 62634019#1-AddedOnRampEdge 62634019#1 62634019#2.0 62634019#2.242 62634019#3-AddedOnRampEdge 62634019#3 62634019#3-AddedOffRampEdge 12111747.0 62203498#0 62093806#0 104526265#0.14 424080766 424080768#0 104523976#1 262962063 424080770#0 424080772#0 424080772#2 386547297#0 424080771#0 424080767#0 386547298#0 424769177 424080769#0 12144152#0 12144152#2 450844953#0 450844953#2 450844953#3 450844947#0 388533142#0 388533142#2 388533142#4 62623926#0 62623926#1 450844950#0 12189453#0.0.0 450844982#0.19 62203497#0 62203497#2 62203497#3 12134479#1 34685684#0 34685684#2 450844947#0 388533142#0 388533142#2 12189045#0 62623987#0 62623987#1 -12142631 12202018 62623986#1 62623986#2 -12189051#1 -262962063 -424080764 -424080768#1 -424080766 -104526265#1 -262962068#1 -424080774 -32122059#1 -32122059#0 -196393940#2 -196393940#0" probability="0.0277777777777778"/&gt;</t>
  </si>
  <si>
    <t xml:space="preserve">    &lt;route id="Router3_112" edges="31909473.0 31909473.857 62634019#1-AddedOnRampEdge 62634019#1 62634019#2.0 62634019#2.242 62634019#3-AddedOnRampEdge 62634019#3 62634019#3-AddedOffRampEdge 30953251#1.0 30953251#1-AddedOffRampEdge 12112003 30953215#1-AddedOnRampEdge 30953215#1 121643865#0 12110705 50715233#0 50715233#0-AddedOffRampEdge 50715233#1.0 62203285#14.24 gneE59.30.0.55 gneE59.30.0.0 gneE59.0.0 gneE59.0.12 62203360#0 12159135 12149408#0 49914077 424767578 43569819 387422128#1 43569827#0 43569827#1 43569827#2 43569827#7 43569848 30953391 424769002 424769005 424769006 424769004 30953396#1 -424769003#1 -424769003#0 -485017374 42706828#0 42706828#2 12182281#0 12182281#3 12182281#5 12182281#6 386995507#4 386995507#5 386995507#6 12152013#1 12152013#2 -12175537#6 -12175537#5 -12175537#4 12182281#9 12182281#10 -388756839#1 -388756839#0 -50033059#4 -50033059#3 -50033059#2 -50033059#1 -50033558#8 -51155368#3 121319046 12188656 -50033558#2 12203859#0 12203859#1 42706831#4 42706831#5 42706831#6 42706874#0 42706874#2 12144152#0 12144152#2 450844953#0 450844953#2 450844953#3 450844947#0 388533142#0 388533142#2 388533142#4 62623926#0 62623926#1 450844950#0 12189453#0.0.0 450844982#0.19 62203497#0 62203497#2 62203497#3 12134479#1 34685684#0 34685684#2 388533143#0 388533143#2 12140627#0 63060729#0 -264253834#2 12156992#4 12156992#5 12156992#6 12156992#7 12156992#8 12156992#9 -12114396#5 -12114396#3 -12114396#1 485017383#0 485017382#0 485017382#1 211575484#0 -12177521#3 -12177521#2 -12177521#1 32121111#12 32121111#14 -12187610#5 -12187610#2 -12187610#1 12150608#0 32121146#2 12117702#9 450844953#0 450844953#2 450844953#3 450844947#0 388533142#0 388533142#2 388533142#4 62623926#0 62623926#1 450844950#0 38502259#0.19 450844933#1 196207110#0 196207110#2" probability="0.0277777777777778"/&gt;</t>
  </si>
  <si>
    <t xml:space="preserve">    &lt;route id="Router3_117" edges="31909473.0 31909473.857 62634019#1-AddedOnRampEdge 62634019#1 62634019#2.0 62634019#2.242 62634019#3-AddedOnRampEdge 62634019#3 62634019#3-AddedOffRampEdge 30953251#1.0 30953251#1-AddedOffRampEdge 12112003 30953215#1-AddedOnRampEdge 30953215#1 121643865#0 12110705 50715233#0 50715233#0-AddedOffRampEdge 50715233#1.0 62203285#14.24 gneE59.30.0.55 gneE59.30.0.0 gneE59.0.0 gneE59.0.12 62203360#0 291433361#0 132508433.0 -gneE6.0 gneE81.299.0 gneE81.299.79 gneE81.299.145 -gneE8 12154353#0 196393941#1 196393941#2 28533986 43539369#2 12178843#2 12178843#3 49960982#2 43569828#0 387422128#1 43569827#0 43569827#1 43569827#2 43569827#7 43569848 30953391 424769002 424769005 424769006 424769004 30953396#1 387422132#0 387422132#1 486653633#0 484953506#3 484953506#4 12157002#0 12157002#1 12157002#3 12157002#5 12114396#4 -12156992#10 -12156992#8 -12156992#7 -12156992#6 -12156992#5 -12156992#4 -12156992#3 -12156992#2 -12156992#1 -386547297#1 -424080772#2 -424080772#1 -262962065#1 -262962063 -424080764 -424080768#1 -424080766 -104526265#1 30953497#0 30953497#2 30953497#3 42706585#0 42706585#1 30953320 30953320-AddedOffRampEdge 104526277 30953215#1-AddedOnRampEdge 30953215#1 121643865#0 12110705 50715233#0 50715233#0-AddedOffRampEdge 50715233#1.0 62203285#14.24 gneE59.30.0.55 gneE59.30.0.0 gneE59.0.0 gneE59.0.12 62203360#0 12159135 12149408#0 49914077 424767578 43569819 387422128#1 43569827#0 43569827#1 43569827#2 43569827#7 43569848 30953391 424769002 424769005 424769006 424769004 30953396#1 -424769003#1 -424769003#0 -485017374 42706828#0 42706828#2 12182281#0 12182281#3 12182281#5 12182281#6 386995507#4 386995507#5 386995507#6 12152013#1 12152013#2 -12175537#6 -12175537#5 -12175537#4 12182281#9 12182281#10 -388756839#1 -388756839#0 -50033059#4 -50033059#3 -50033059#2 -50033059#1 -50033558#8 -51155368#3 121319046 12188656 -50033558#2 12203859#0 12203859#1 42706831#4 42706831#5 42706831#6 42706874#0 42706874#2 12144152#0 12144152#2 450844953#0 450844953#2 450844953#3 450844947#0 388533142#0 388533142#2 388533142#4 62623926#0 62623926#1 450844950#0 12189453#0.0.0 450844982#0.19 62203497#0 62203497#2 62203497#3 12134479#1 34685684#0 34685684#2 388533143#0 388533143#2 12140627#0 63060729#0 -264253834#2 12156992#4 12156992#5 12156992#6 12156992#7 12156992#8 12156992#9 -12114396#5 -12114396#3 -12114396#1 485017383#0 485017382#0 485017382#1 211575484#0 -12177521#3 -12177521#2 -12177521#1 32121111#12 32121111#14 -12187610#5 -12187610#2 -12187610#1 12150608#0 32121146#2 12117702#9 450844953#0 450844953#2 450844953#3 450844947#0 388533142#0 388533142#2 388533142#4 62623926#0 62623926#1 450844950#0 38502259#0.19 450844933#1 196207110#0 196207110#2" probability="0.0277777777777778"/&gt;</t>
  </si>
  <si>
    <t xml:space="preserve">    &lt;route id="Router3_136" edges="49887339#0.596 49887339#0-AddedOffRampEdge 12113482 424769007 424769005 424769006 424769004 30953396#1 -30953396#1 30953396#1 -424769003#1 -424769003#0 12157002#0 12157002#1 12157002#3 12157002#5 12114396#4 -12156992#10 -12156992#8 -12156992#7 -12156992#6 -12156992#5 -12156992#4 -12156992#3 -12156992#2 -12156992#1 -386547297#1 -424080772#2 -424080772#1 -262962065#1 -262962063 -424080764 -424080768#1 -424080766 -104526265#1 450844956#2 12189453#0.0.0 450844982#0.19 62203497#0 62203497#2 62203497#3 12134479#1 34685684#0 34685684#2 450844947#0 388533142#0 388533142#2 388533142#4 62623926#0 62623926#1 450844950#0 12189453#0.0.0 450844982#0.19 62203497#0 62203497#2 62203497#3 12134479#1 34685684#0 34685684#2 388533143#0 388533143#2 12140627#0 63060729#0 -264253834#2 12156992#4 12156992#5 12156992#6 12156992#7 12156992#8 12156992#9 484953505 12148522#0 485017381#0 485017381#1 -30953396#1 -30953396#0 -424769006 -424769005 -424769002 -30953391 -43569848 -393884751 12159702 424764853 12149178#0 50189796 50189564 12149178#2 145605533#0 145605533#1-AddedOnRampEdge 145605533#1 145605511#1-AddedOnRampEdge 145605511#12 145605511#1.148" probability="0.0277777777777778"/&gt;</t>
  </si>
  <si>
    <t>route_-12180067_5.0qPKW</t>
  </si>
  <si>
    <t>route_-12180067_5.1qPKW</t>
  </si>
  <si>
    <t>route_-12180067_5.2qPKW</t>
  </si>
  <si>
    <t>route_-12180067_5.3qPKW</t>
  </si>
  <si>
    <t>route_-12180067_5.4qPKW</t>
  </si>
  <si>
    <t>route_-12180067_5.5qPKW</t>
  </si>
  <si>
    <t>route_-12180067_5.6qPKW</t>
  </si>
  <si>
    <t>route_-12180067_5.7qPKW</t>
  </si>
  <si>
    <t>route_-12180067_5.8qPKW</t>
  </si>
  <si>
    <t>route_-12180067_5.9qPKW</t>
  </si>
  <si>
    <t>route_-12180067_5.10qPKW</t>
  </si>
  <si>
    <t>route_-12180067_5.11qPKW</t>
  </si>
  <si>
    <t>route_-12180067_5.12qPKW</t>
  </si>
  <si>
    <t>route_-12180067_5.13qPKW</t>
  </si>
  <si>
    <t>route_-12180067_5.14qPKW</t>
  </si>
  <si>
    <t>route_-12180067_5.15qPKW</t>
  </si>
  <si>
    <t>route_-12180067_5.16qPKW</t>
  </si>
  <si>
    <t>route_-12180067_5.17qPKW</t>
  </si>
  <si>
    <t>route_-12180067_5.18qPKW</t>
  </si>
  <si>
    <t>route_-12180067_5.19qPKW</t>
  </si>
  <si>
    <t>route_-12180067_5.20qPKW</t>
  </si>
  <si>
    <t>route_-12180067_5.21qPKW</t>
  </si>
  <si>
    <t>route_-12180067_5.22qPKW</t>
  </si>
  <si>
    <t>route_-12180067_5.23qPKW</t>
  </si>
  <si>
    <t>route_-12180067_5.24qPKW</t>
  </si>
  <si>
    <t>route_-12180067_5.25qPKW</t>
  </si>
  <si>
    <t>route_-196358956_2.0qPKW</t>
  </si>
  <si>
    <t>route_-196358956_2.1qPKW</t>
  </si>
  <si>
    <t>route_-196358956_2.2qPKW</t>
  </si>
  <si>
    <t>route_-196358956_2.3qPKW</t>
  </si>
  <si>
    <t>route_-196358956_2.4qPKW</t>
  </si>
  <si>
    <t>route_-196358956_2.5qPKW</t>
  </si>
  <si>
    <t>route_-196358956_2.6qPKW</t>
  </si>
  <si>
    <t>route_-196358956_2.7qPKW</t>
  </si>
  <si>
    <t>route_-196358956_2.8qPKW</t>
  </si>
  <si>
    <t>route_-196358956_2.9qPKW</t>
  </si>
  <si>
    <t>route_-196358956_2.10qPKW</t>
  </si>
  <si>
    <t>route_-196358956_2.11qPKW</t>
  </si>
  <si>
    <t>route_-196358956_2.12qPKW</t>
  </si>
  <si>
    <t>route_-196358956_2.13qPKW</t>
  </si>
  <si>
    <t>route_-196358956_2.14qPKW</t>
  </si>
  <si>
    <t>route_-196358956_2.15qPKW</t>
  </si>
  <si>
    <t>route_-196358956_2.16qPKW</t>
  </si>
  <si>
    <t>route_-196358956_2.17qPKW</t>
  </si>
  <si>
    <t>route_-196358956_2.18qPKW</t>
  </si>
  <si>
    <t>route_-196358956_2.19qPKW</t>
  </si>
  <si>
    <t>route_-196358956_2.20qPKW</t>
  </si>
  <si>
    <t>route_-196358956_2.21qPKW</t>
  </si>
  <si>
    <t>route_-196358956_2.22qPKW</t>
  </si>
  <si>
    <t>route_-196358956_2.23qPKW</t>
  </si>
  <si>
    <t>route_-196358956_2.24qPKW</t>
  </si>
  <si>
    <t>route_-196358983_7.0qPKW</t>
  </si>
  <si>
    <t>route_12150712_3.0qPKW</t>
  </si>
  <si>
    <t>route_12150712_3.1qPKW</t>
  </si>
  <si>
    <t>route_12150712_3.2qPKW</t>
  </si>
  <si>
    <t>route_12150712_3.3qPKW</t>
  </si>
  <si>
    <t>route_12150712_3.4qPKW</t>
  </si>
  <si>
    <t>route_12150712_3.5qPKW</t>
  </si>
  <si>
    <t>route_12150712_3.6qPKW</t>
  </si>
  <si>
    <t>route_12150712_3.7qPKW</t>
  </si>
  <si>
    <t>route_12150712_3.8qPKW</t>
  </si>
  <si>
    <t>route_12150712_3.9qPKW</t>
  </si>
  <si>
    <t>-12180067#5</t>
  </si>
  <si>
    <t>-196358956#2</t>
  </si>
  <si>
    <t>-196358983#7</t>
  </si>
  <si>
    <t>12150712#3</t>
  </si>
  <si>
    <t>-12180067#3</t>
  </si>
  <si>
    <t>12152638#9</t>
  </si>
  <si>
    <t>12150712#4</t>
  </si>
  <si>
    <t>-12156616#2</t>
  </si>
  <si>
    <t>-12180067#2</t>
  </si>
  <si>
    <t>12156616#3</t>
  </si>
  <si>
    <t>12152638#10</t>
  </si>
  <si>
    <t>-196358962#3</t>
  </si>
  <si>
    <t>12150712#5</t>
  </si>
  <si>
    <t>485212838#0</t>
  </si>
  <si>
    <t>-12156616#1</t>
  </si>
  <si>
    <t>-12180067#1</t>
  </si>
  <si>
    <t>12156611#0</t>
  </si>
  <si>
    <t>12156611#1</t>
  </si>
  <si>
    <t>-448887871#2</t>
  </si>
  <si>
    <t>12152638#11</t>
  </si>
  <si>
    <t>-196358962#2</t>
  </si>
  <si>
    <t>134557564#5</t>
  </si>
  <si>
    <t>49887337#0</t>
  </si>
  <si>
    <t>12167296#0</t>
  </si>
  <si>
    <t>12180067#4</t>
  </si>
  <si>
    <t>-12156616#5</t>
  </si>
  <si>
    <t>32203926#0</t>
  </si>
  <si>
    <t>486653624#0</t>
  </si>
  <si>
    <t>-448887871#0</t>
  </si>
  <si>
    <t>-195821728#0</t>
  </si>
  <si>
    <t>-196358962#1</t>
  </si>
  <si>
    <t>12116817#3</t>
  </si>
  <si>
    <t>134557564#6</t>
  </si>
  <si>
    <t>12167296#3</t>
  </si>
  <si>
    <t>49916232#0</t>
  </si>
  <si>
    <t>12180067#3</t>
  </si>
  <si>
    <t>32203926#2</t>
  </si>
  <si>
    <t>12163072#0</t>
  </si>
  <si>
    <t>-196358959#5</t>
  </si>
  <si>
    <t>-12160449#2</t>
  </si>
  <si>
    <t>-196358962#0</t>
  </si>
  <si>
    <t>12116817#4</t>
  </si>
  <si>
    <t>12167300#3</t>
  </si>
  <si>
    <t>12113021#2-AddedOnRampEdge</t>
  </si>
  <si>
    <t>437249227#0</t>
  </si>
  <si>
    <t>32203926#4</t>
  </si>
  <si>
    <t>-196358954#3</t>
  </si>
  <si>
    <t>-196358959#4</t>
  </si>
  <si>
    <t>180860085#0</t>
  </si>
  <si>
    <t>-12160449#1</t>
  </si>
  <si>
    <t>-12202540#2</t>
  </si>
  <si>
    <t>12178236#2</t>
  </si>
  <si>
    <t>-43417498#2</t>
  </si>
  <si>
    <t>196358967#2</t>
  </si>
  <si>
    <t>367835676#0</t>
  </si>
  <si>
    <t>-106455706#8</t>
  </si>
  <si>
    <t>106455706#9</t>
  </si>
  <si>
    <t>106455706#10</t>
  </si>
  <si>
    <t>12113021#2</t>
  </si>
  <si>
    <t>437249227#2-AddedOnRampEdge</t>
  </si>
  <si>
    <t>12180067#6</t>
  </si>
  <si>
    <t>12125400#0</t>
  </si>
  <si>
    <t>12184200#0</t>
  </si>
  <si>
    <t>-196358954#0</t>
  </si>
  <si>
    <t>12185101#0</t>
  </si>
  <si>
    <t>180860085#1</t>
  </si>
  <si>
    <t>-121496098#0</t>
  </si>
  <si>
    <t>12176947#0</t>
  </si>
  <si>
    <t>-43417498#1</t>
  </si>
  <si>
    <t>196358967#3</t>
  </si>
  <si>
    <t>485212835#0</t>
  </si>
  <si>
    <t>-423967359#0</t>
  </si>
  <si>
    <t>43119835#1-AddedOnRampEdge</t>
  </si>
  <si>
    <t>196358954#0</t>
  </si>
  <si>
    <t>437249227#2</t>
  </si>
  <si>
    <t>12180067#7</t>
  </si>
  <si>
    <t>12112251#0</t>
  </si>
  <si>
    <t>12184200#2</t>
  </si>
  <si>
    <t>-196204937#2</t>
  </si>
  <si>
    <t>180860085#2</t>
  </si>
  <si>
    <t>-12200500#6</t>
  </si>
  <si>
    <t>-12158727#0</t>
  </si>
  <si>
    <t>-12188507#0</t>
  </si>
  <si>
    <t>-43417498#0</t>
  </si>
  <si>
    <t>134559122#0</t>
  </si>
  <si>
    <t>-43357850#10</t>
  </si>
  <si>
    <t>43119835#1</t>
  </si>
  <si>
    <t>196358954#1</t>
  </si>
  <si>
    <t>12184200#3-AddedOnRampEdge</t>
  </si>
  <si>
    <t>12180067#9</t>
  </si>
  <si>
    <t>-49940170#0</t>
  </si>
  <si>
    <t>-196204937#1</t>
  </si>
  <si>
    <t>180860085#3</t>
  </si>
  <si>
    <t>-12200500#5</t>
  </si>
  <si>
    <t>-12202540#0</t>
  </si>
  <si>
    <t>12116814#0</t>
  </si>
  <si>
    <t>12202540#0</t>
  </si>
  <si>
    <t>196358980#3</t>
  </si>
  <si>
    <t>134558408#1</t>
  </si>
  <si>
    <t>-43117624#1</t>
  </si>
  <si>
    <t>43119835#1-AddedOffRampEdge</t>
  </si>
  <si>
    <t>12184200#3</t>
  </si>
  <si>
    <t>12125400#2</t>
  </si>
  <si>
    <t>-32203926#5</t>
  </si>
  <si>
    <t>-12200500#4</t>
  </si>
  <si>
    <t>12150976#3</t>
  </si>
  <si>
    <t>12202540#1</t>
  </si>
  <si>
    <t>134557562#0</t>
  </si>
  <si>
    <t>448887871#0</t>
  </si>
  <si>
    <t>-145818794#2</t>
  </si>
  <si>
    <t>-32203926#3</t>
  </si>
  <si>
    <t>12165089#0</t>
  </si>
  <si>
    <t>-12180469#7</t>
  </si>
  <si>
    <t>12202540#2</t>
  </si>
  <si>
    <t>134557562#1</t>
  </si>
  <si>
    <t>-12180067#9</t>
  </si>
  <si>
    <t>-106455704#9</t>
  </si>
  <si>
    <t>106455704#10</t>
  </si>
  <si>
    <t>448887871#1</t>
  </si>
  <si>
    <t>43357850#10</t>
  </si>
  <si>
    <t>-145818794#0</t>
  </si>
  <si>
    <t>145818798#0</t>
  </si>
  <si>
    <t>12165089#1</t>
  </si>
  <si>
    <t>-43117598#3</t>
  </si>
  <si>
    <t>423967058#1</t>
  </si>
  <si>
    <t>196358962#0</t>
  </si>
  <si>
    <t>134557562#2</t>
  </si>
  <si>
    <t>-12180067#7</t>
  </si>
  <si>
    <t>-106455704#3</t>
  </si>
  <si>
    <t>-12172348#3</t>
  </si>
  <si>
    <t>49916266#4</t>
  </si>
  <si>
    <t>-12140031#5</t>
  </si>
  <si>
    <t>12140031#6</t>
  </si>
  <si>
    <t>-12177786#4</t>
  </si>
  <si>
    <t>-424978647#1</t>
  </si>
  <si>
    <t>12180067#0</t>
  </si>
  <si>
    <t>12165089#2</t>
  </si>
  <si>
    <t>12158127#0</t>
  </si>
  <si>
    <t>423967358#0</t>
  </si>
  <si>
    <t>196358962#1</t>
  </si>
  <si>
    <t>134557562#3</t>
  </si>
  <si>
    <t>-12180067#6</t>
  </si>
  <si>
    <t>-12177366#3</t>
  </si>
  <si>
    <t>-12172348#1</t>
  </si>
  <si>
    <t>49916266#1</t>
  </si>
  <si>
    <t>-12132374#1</t>
  </si>
  <si>
    <t>12132374#2</t>
  </si>
  <si>
    <t>12140031#9</t>
  </si>
  <si>
    <t>12172348#2</t>
  </si>
  <si>
    <t>12177786#0</t>
  </si>
  <si>
    <t>-106455706#2</t>
  </si>
  <si>
    <t>43357850#5</t>
  </si>
  <si>
    <t>-12177786#1</t>
  </si>
  <si>
    <t>12180067#2</t>
  </si>
  <si>
    <t>448887909#0</t>
  </si>
  <si>
    <t>12152638#8</t>
  </si>
  <si>
    <t>12175529#0</t>
  </si>
  <si>
    <t>423967358#2</t>
  </si>
  <si>
    <t>12177902#0</t>
  </si>
  <si>
    <t>134557562#4</t>
  </si>
  <si>
    <t>-12140031#10</t>
  </si>
  <si>
    <t>-62105282#5</t>
  </si>
  <si>
    <t>62105282#6</t>
  </si>
  <si>
    <t>-348015507#1</t>
  </si>
  <si>
    <t>-423967358#2</t>
  </si>
  <si>
    <t>12177366#2</t>
  </si>
  <si>
    <t>196358956#0</t>
  </si>
  <si>
    <t>12177786#2</t>
  </si>
  <si>
    <t>-12113348#2</t>
  </si>
  <si>
    <t>12118208#0</t>
  </si>
  <si>
    <t>-423967359#1</t>
  </si>
  <si>
    <t>196358983#7</t>
  </si>
  <si>
    <t>12175529#1</t>
  </si>
  <si>
    <t>12158133#1</t>
  </si>
  <si>
    <t>-12140031#8</t>
  </si>
  <si>
    <t>12177366#0</t>
  </si>
  <si>
    <t>62105282#7</t>
  </si>
  <si>
    <t>-12132374#3</t>
  </si>
  <si>
    <t>-12132369#1</t>
  </si>
  <si>
    <t>49916266#3</t>
  </si>
  <si>
    <t>-423967358#1</t>
  </si>
  <si>
    <t>-106455704#1</t>
  </si>
  <si>
    <t>-12113348#1</t>
  </si>
  <si>
    <t>196358988#0</t>
  </si>
  <si>
    <t>12175529#2</t>
  </si>
  <si>
    <t>12158133#2</t>
  </si>
  <si>
    <t>-423967058#1</t>
  </si>
  <si>
    <t>12140031#0</t>
  </si>
  <si>
    <t>-486653626#1</t>
  </si>
  <si>
    <t>-106455704#14</t>
  </si>
  <si>
    <t>133870836#0</t>
  </si>
  <si>
    <t>12140031#11</t>
  </si>
  <si>
    <t>12118208#3</t>
  </si>
  <si>
    <t>196358983#0</t>
  </si>
  <si>
    <t>-12360140#3</t>
  </si>
  <si>
    <t>134557565#3</t>
  </si>
  <si>
    <t>-423967058#0</t>
  </si>
  <si>
    <t>387423967#0</t>
  </si>
  <si>
    <t>-486653626#0</t>
  </si>
  <si>
    <t>133870831#5</t>
  </si>
  <si>
    <t>12140031#12</t>
  </si>
  <si>
    <t>-12113353#1</t>
  </si>
  <si>
    <t>49940088#0</t>
  </si>
  <si>
    <t>-12360140#2</t>
  </si>
  <si>
    <t>387423967#1</t>
  </si>
  <si>
    <t>-486653627#2</t>
  </si>
  <si>
    <t>-12150976#3</t>
  </si>
  <si>
    <t>106455705#0</t>
  </si>
  <si>
    <t>12124622#0</t>
  </si>
  <si>
    <t>-106455706#11</t>
  </si>
  <si>
    <t>-12124565#0</t>
  </si>
  <si>
    <t>49940088#2</t>
  </si>
  <si>
    <t>-12360140#1</t>
  </si>
  <si>
    <t>134557563#0</t>
  </si>
  <si>
    <t>106455704#4</t>
  </si>
  <si>
    <t>387423967#2</t>
  </si>
  <si>
    <t>12156212#1</t>
  </si>
  <si>
    <t>423967359#0</t>
  </si>
  <si>
    <t>-12116814#0</t>
  </si>
  <si>
    <t>106455705#2</t>
  </si>
  <si>
    <t>12124622#2</t>
  </si>
  <si>
    <t>-106455706#9</t>
  </si>
  <si>
    <t>-12124622#1</t>
  </si>
  <si>
    <t>49940088#3</t>
  </si>
  <si>
    <t>-12360140#0</t>
  </si>
  <si>
    <t>228758486#0</t>
  </si>
  <si>
    <t>133870831#6</t>
  </si>
  <si>
    <t>388756837#0</t>
  </si>
  <si>
    <t>-388756837#1</t>
  </si>
  <si>
    <t>12188507#0</t>
  </si>
  <si>
    <t>12161029#0</t>
  </si>
  <si>
    <t>-12140031#12</t>
  </si>
  <si>
    <t>49940321#0</t>
  </si>
  <si>
    <t>387423965#0-AddedOnRampEdge</t>
  </si>
  <si>
    <t>423967359#1</t>
  </si>
  <si>
    <t>133870834#0</t>
  </si>
  <si>
    <t>388756837#1</t>
  </si>
  <si>
    <t>-62105282#7</t>
  </si>
  <si>
    <t>-43357850#13</t>
  </si>
  <si>
    <t>-12140031#11</t>
  </si>
  <si>
    <t>49940321#1</t>
  </si>
  <si>
    <t>-43357850#9</t>
  </si>
  <si>
    <t>-448845223#1</t>
  </si>
  <si>
    <t>387423965#0</t>
  </si>
  <si>
    <t>-12124565#1</t>
  </si>
  <si>
    <t>-12116817#4</t>
  </si>
  <si>
    <t>388756837#2</t>
  </si>
  <si>
    <t>-62105282#6</t>
  </si>
  <si>
    <t>43357850#11</t>
  </si>
  <si>
    <t>-12177366#1</t>
  </si>
  <si>
    <t>-486653625#1</t>
  </si>
  <si>
    <t>-43357850#4</t>
  </si>
  <si>
    <t>-12152586#1</t>
  </si>
  <si>
    <t>448845219#0</t>
  </si>
  <si>
    <t>49940635#0</t>
  </si>
  <si>
    <t>12167294#0</t>
  </si>
  <si>
    <t>12113353#0</t>
  </si>
  <si>
    <t>12136005#1</t>
  </si>
  <si>
    <t>388756837#3</t>
  </si>
  <si>
    <t>12172348#0</t>
  </si>
  <si>
    <t>-387423967#2</t>
  </si>
  <si>
    <t>-12136005#1</t>
  </si>
  <si>
    <t>-12150976#2</t>
  </si>
  <si>
    <t>12116814#1</t>
  </si>
  <si>
    <t>-12161029#1</t>
  </si>
  <si>
    <t>-62105282#3</t>
  </si>
  <si>
    <t>-486653625#0</t>
  </si>
  <si>
    <t>49940587#0</t>
  </si>
  <si>
    <t>106455706#3</t>
  </si>
  <si>
    <t>-12152586#0</t>
  </si>
  <si>
    <t>-448845188#1</t>
  </si>
  <si>
    <t>49940635#2</t>
  </si>
  <si>
    <t>12165400#1</t>
  </si>
  <si>
    <t>388756837#4</t>
  </si>
  <si>
    <t>-387423967#1</t>
  </si>
  <si>
    <t>-12116817#3</t>
  </si>
  <si>
    <t>62105282#3</t>
  </si>
  <si>
    <t>-12124622#2</t>
  </si>
  <si>
    <t>-62105282#2</t>
  </si>
  <si>
    <t>12151161#0</t>
  </si>
  <si>
    <t>43357850#4</t>
  </si>
  <si>
    <t>-12135383#0</t>
  </si>
  <si>
    <t>-448845176#2</t>
  </si>
  <si>
    <t>133870831#1</t>
  </si>
  <si>
    <t>12113348#1</t>
  </si>
  <si>
    <t>-424803247#1</t>
  </si>
  <si>
    <t>388756837#5</t>
  </si>
  <si>
    <t>-387423967#0</t>
  </si>
  <si>
    <t>-62105282#1</t>
  </si>
  <si>
    <t>62105282#4</t>
  </si>
  <si>
    <t>12124565#0</t>
  </si>
  <si>
    <t>12123568#2</t>
  </si>
  <si>
    <t>145818794#1</t>
  </si>
  <si>
    <t>12207219#0</t>
  </si>
  <si>
    <t>-448845175#3</t>
  </si>
  <si>
    <t>133870831#2</t>
  </si>
  <si>
    <t>49916266#2</t>
  </si>
  <si>
    <t>12113348#2</t>
  </si>
  <si>
    <t>134557563#9</t>
  </si>
  <si>
    <t>106455704#2</t>
  </si>
  <si>
    <t>-62105282#0</t>
  </si>
  <si>
    <t>12113021#0</t>
  </si>
  <si>
    <t>-12150976#1</t>
  </si>
  <si>
    <t>12123568#3</t>
  </si>
  <si>
    <t>196204938#0</t>
  </si>
  <si>
    <t>12207219#1</t>
  </si>
  <si>
    <t>-448845175#2</t>
  </si>
  <si>
    <t>133870833#0</t>
  </si>
  <si>
    <t>-106455706#0</t>
  </si>
  <si>
    <t>12143559#7</t>
  </si>
  <si>
    <t>486653625#0</t>
  </si>
  <si>
    <t>-196358967#3</t>
  </si>
  <si>
    <t>-12150976#0</t>
  </si>
  <si>
    <t>12123568#4</t>
  </si>
  <si>
    <t>196204938#0-AddedOffRampEdge</t>
  </si>
  <si>
    <t>12207219#2</t>
  </si>
  <si>
    <t>-448845183#1</t>
  </si>
  <si>
    <t>106455706#0</t>
  </si>
  <si>
    <t>133870829#0</t>
  </si>
  <si>
    <t>377636731#0</t>
  </si>
  <si>
    <t>486653625#1</t>
  </si>
  <si>
    <t>12150976#0</t>
  </si>
  <si>
    <t>-196358967#2</t>
  </si>
  <si>
    <t>12180812#1</t>
  </si>
  <si>
    <t>-12156212#1</t>
  </si>
  <si>
    <t>-12119526#0</t>
  </si>
  <si>
    <t>-121496098#2</t>
  </si>
  <si>
    <t>106455706#1</t>
  </si>
  <si>
    <t>133870831#4</t>
  </si>
  <si>
    <t>377636731#1</t>
  </si>
  <si>
    <t>-49940321#2</t>
  </si>
  <si>
    <t>196358980#0</t>
  </si>
  <si>
    <t>12180812#2</t>
  </si>
  <si>
    <t>-12156212#0</t>
  </si>
  <si>
    <t>-32203926#7</t>
  </si>
  <si>
    <t>486653626#0</t>
  </si>
  <si>
    <t>-12160449#0</t>
  </si>
  <si>
    <t>377636731#2</t>
  </si>
  <si>
    <t>-49940321#0</t>
  </si>
  <si>
    <t>-43117598#6</t>
  </si>
  <si>
    <t>121486019#0</t>
  </si>
  <si>
    <t>-195659731#1</t>
  </si>
  <si>
    <t>486653626#1</t>
  </si>
  <si>
    <t>-12198826#2</t>
  </si>
  <si>
    <t>42706768#2</t>
  </si>
  <si>
    <t>-43117598#4</t>
  </si>
  <si>
    <t>121486019#2</t>
  </si>
  <si>
    <t>-195659731#0</t>
  </si>
  <si>
    <t>12132369#0</t>
  </si>
  <si>
    <t>-12198826#1</t>
  </si>
  <si>
    <t>-12167300#2</t>
  </si>
  <si>
    <t>49916294#0</t>
  </si>
  <si>
    <t>12200500#0</t>
  </si>
  <si>
    <t>12180469#6</t>
  </si>
  <si>
    <t>121486019#4</t>
  </si>
  <si>
    <t>12123568#0</t>
  </si>
  <si>
    <t>-32203926#1</t>
  </si>
  <si>
    <t>348015507#0</t>
  </si>
  <si>
    <t>-12198826#0</t>
  </si>
  <si>
    <t>195659731#0</t>
  </si>
  <si>
    <t>12200500#2</t>
  </si>
  <si>
    <t>12180469#8</t>
  </si>
  <si>
    <t>121486019#7</t>
  </si>
  <si>
    <t>12123568#1</t>
  </si>
  <si>
    <t>12132374#0</t>
  </si>
  <si>
    <t>12144491#0</t>
  </si>
  <si>
    <t>476192370#0</t>
  </si>
  <si>
    <t>195659731#1</t>
  </si>
  <si>
    <t>12200500#4</t>
  </si>
  <si>
    <t>121486019#8</t>
  </si>
  <si>
    <t>12151161#1</t>
  </si>
  <si>
    <t>12144491#1</t>
  </si>
  <si>
    <t>12156616#2</t>
  </si>
  <si>
    <t>12119526#0</t>
  </si>
  <si>
    <t>196358983#4</t>
  </si>
  <si>
    <t>50111737#1</t>
  </si>
  <si>
    <t>121486019#9</t>
  </si>
  <si>
    <t>12135383#1</t>
  </si>
  <si>
    <t>-12156220#3</t>
  </si>
  <si>
    <t>12119526#1</t>
  </si>
  <si>
    <t>196358983#5</t>
  </si>
  <si>
    <t>134557563#7</t>
  </si>
  <si>
    <t>121486019#11</t>
  </si>
  <si>
    <t>-12156220#2</t>
  </si>
  <si>
    <t>-12175529#2</t>
  </si>
  <si>
    <t>12164460#16</t>
  </si>
  <si>
    <t>134557563#8</t>
  </si>
  <si>
    <t>121486019#12</t>
  </si>
  <si>
    <t>-12156220#1</t>
  </si>
  <si>
    <t>-12175529#1</t>
  </si>
  <si>
    <t>-12150712#6</t>
  </si>
  <si>
    <t>-12165089#4</t>
  </si>
  <si>
    <t>-196358983#4</t>
  </si>
  <si>
    <t>-12180469#0</t>
  </si>
  <si>
    <t>-12180469#8</t>
  </si>
  <si>
    <t>-12150712#4</t>
  </si>
  <si>
    <t>-12165089#3</t>
  </si>
  <si>
    <t>12119534#0</t>
  </si>
  <si>
    <t>-196358983#3</t>
  </si>
  <si>
    <t>12189866#2</t>
  </si>
  <si>
    <t>12156220#3</t>
  </si>
  <si>
    <t>-12150712#3</t>
  </si>
  <si>
    <t>-12165089#2</t>
  </si>
  <si>
    <t>12119534#2</t>
  </si>
  <si>
    <t>-196358983#2</t>
  </si>
  <si>
    <t>12189866#3</t>
  </si>
  <si>
    <t>-12144491#1</t>
  </si>
  <si>
    <t>12164460#15</t>
  </si>
  <si>
    <t>12119534#3</t>
  </si>
  <si>
    <t>-196358983#1</t>
  </si>
  <si>
    <t>-12144491#0</t>
  </si>
  <si>
    <t>12158727#0</t>
  </si>
  <si>
    <t>196358983#6</t>
  </si>
  <si>
    <t>12167234#0</t>
  </si>
  <si>
    <t>196358983#1</t>
  </si>
  <si>
    <t>-196358983#0</t>
  </si>
  <si>
    <t>12167509#0</t>
  </si>
  <si>
    <t>12158727#1</t>
  </si>
  <si>
    <t>-12136768#3</t>
  </si>
  <si>
    <t>196358983#2</t>
  </si>
  <si>
    <t>-12149520#0</t>
  </si>
  <si>
    <t>12167509#1</t>
  </si>
  <si>
    <t>12116810#1</t>
  </si>
  <si>
    <t>-12136768#1</t>
  </si>
  <si>
    <t>196373985#0</t>
  </si>
  <si>
    <t>196358983#3</t>
  </si>
  <si>
    <t>12198832#2</t>
  </si>
  <si>
    <t>196358962#2</t>
  </si>
  <si>
    <t>12164460#2</t>
  </si>
  <si>
    <t>196373985#1</t>
  </si>
  <si>
    <t>12200500#5</t>
  </si>
  <si>
    <t>12156220#1</t>
  </si>
  <si>
    <t>196358962#3</t>
  </si>
  <si>
    <t>12164460#4</t>
  </si>
  <si>
    <t>196373985#3</t>
  </si>
  <si>
    <t>12200500#6</t>
  </si>
  <si>
    <t>448845215#0</t>
  </si>
  <si>
    <t>12164460#6</t>
  </si>
  <si>
    <t>12152638#0</t>
  </si>
  <si>
    <t>121496098#0</t>
  </si>
  <si>
    <t>12118208#2</t>
  </si>
  <si>
    <t>448845223#0</t>
  </si>
  <si>
    <t>12164460#8</t>
  </si>
  <si>
    <t>12152638#2</t>
  </si>
  <si>
    <t>12160449#1</t>
  </si>
  <si>
    <t>-12164460#16</t>
  </si>
  <si>
    <t>12164460#12</t>
  </si>
  <si>
    <t>-12201066#4</t>
  </si>
  <si>
    <t>-12156220#4</t>
  </si>
  <si>
    <t>12360140#0</t>
  </si>
  <si>
    <t>-12165089#1</t>
  </si>
  <si>
    <t>12144491#2</t>
  </si>
  <si>
    <t>-388756837#5</t>
  </si>
  <si>
    <t>12360140#1</t>
  </si>
  <si>
    <t>12156220#0</t>
  </si>
  <si>
    <t>-12164460#17</t>
  </si>
  <si>
    <t>-388756837#4</t>
  </si>
  <si>
    <t>12360140#2</t>
  </si>
  <si>
    <t>-388756837#3</t>
  </si>
  <si>
    <t>12156220#2</t>
  </si>
  <si>
    <t>-12164460#15</t>
  </si>
  <si>
    <t>448887897#0</t>
  </si>
  <si>
    <t>-12164460#14</t>
  </si>
  <si>
    <t>-388756837#2</t>
  </si>
  <si>
    <t>12150980#1</t>
  </si>
  <si>
    <t>12201066#1</t>
  </si>
  <si>
    <t>-388756837#0</t>
  </si>
  <si>
    <t>448887898#0</t>
  </si>
  <si>
    <t>-12164460#7</t>
  </si>
  <si>
    <t>-12164460#5</t>
  </si>
  <si>
    <t>-12164460#3</t>
  </si>
  <si>
    <t>-12164460#1</t>
  </si>
  <si>
    <t>180860083#0</t>
  </si>
  <si>
    <t>12136768#2</t>
  </si>
  <si>
    <t>12136768#4</t>
  </si>
  <si>
    <t>180698021#0</t>
  </si>
  <si>
    <t>12120693#16</t>
  </si>
  <si>
    <t>12120693#17</t>
  </si>
  <si>
    <t>12120693#18</t>
  </si>
  <si>
    <t>12148420#0</t>
  </si>
  <si>
    <t>-12180812#0</t>
  </si>
  <si>
    <t>12149602#5</t>
  </si>
  <si>
    <t>-12123568#3</t>
  </si>
  <si>
    <t>-12136005#0</t>
  </si>
  <si>
    <t>12149602#12</t>
  </si>
  <si>
    <t>-12123568#2</t>
  </si>
  <si>
    <t>12178236#1</t>
  </si>
  <si>
    <t>12152586#1</t>
  </si>
  <si>
    <t>-12135966#1</t>
  </si>
  <si>
    <t>-12123568#1</t>
  </si>
  <si>
    <t>-12170635#3</t>
  </si>
  <si>
    <t>-12123568#0</t>
  </si>
  <si>
    <t>12164460#17</t>
  </si>
  <si>
    <t>-12175602#2</t>
  </si>
  <si>
    <t>-49916294#1</t>
  </si>
  <si>
    <t>-12144491#2</t>
  </si>
  <si>
    <t>-12175602#0</t>
  </si>
  <si>
    <t>180860082#0</t>
  </si>
  <si>
    <t>49916295#0</t>
  </si>
  <si>
    <t>49916295#0-AddedOffRampEdge</t>
  </si>
  <si>
    <t>32203926#6</t>
  </si>
  <si>
    <t>49916295#1</t>
  </si>
  <si>
    <t>12198826#0</t>
  </si>
  <si>
    <t>42706768#0</t>
  </si>
  <si>
    <t>12198826#1</t>
  </si>
  <si>
    <t>-377636731#2</t>
  </si>
  <si>
    <t>12198826#2</t>
  </si>
  <si>
    <t>287178716#0</t>
  </si>
  <si>
    <t>-377636731#1</t>
  </si>
  <si>
    <t>12204583#0</t>
  </si>
  <si>
    <t>287178716#1</t>
  </si>
  <si>
    <t>-377636731#0</t>
  </si>
  <si>
    <t>448845175#3</t>
  </si>
  <si>
    <t>-12149509#1</t>
  </si>
  <si>
    <t>448845176#0</t>
  </si>
  <si>
    <t>-32121248#1</t>
  </si>
  <si>
    <t>448845188#0</t>
  </si>
  <si>
    <t>-32121248#0</t>
  </si>
  <si>
    <t>134557564#0</t>
  </si>
  <si>
    <t>448845185#0</t>
  </si>
  <si>
    <t>134557564#2</t>
  </si>
  <si>
    <t>134557564#3</t>
  </si>
  <si>
    <t>448887892#0</t>
  </si>
  <si>
    <t>-12135966#0</t>
  </si>
  <si>
    <t>134557564#4</t>
  </si>
  <si>
    <t>448887895#0</t>
  </si>
  <si>
    <t>424803247#0</t>
  </si>
  <si>
    <t>448887890#0</t>
  </si>
  <si>
    <t>448887896#0</t>
  </si>
  <si>
    <t>-12178236#2</t>
  </si>
  <si>
    <t>-12178236#1</t>
  </si>
  <si>
    <t>-12178236#0</t>
  </si>
  <si>
    <t>134557563#6</t>
  </si>
  <si>
    <t>448887893#0</t>
  </si>
  <si>
    <t>-50111737#1</t>
  </si>
  <si>
    <t>448887903#0</t>
  </si>
  <si>
    <t>-50111737#0</t>
  </si>
  <si>
    <t>12360140#3</t>
  </si>
  <si>
    <t>12158133#0</t>
  </si>
  <si>
    <t>-448887909#2</t>
  </si>
  <si>
    <t>-180860085#4</t>
  </si>
  <si>
    <t>-180860085#2</t>
  </si>
  <si>
    <t>-180860085#1</t>
  </si>
  <si>
    <t>-196358957#1</t>
  </si>
  <si>
    <t>-196358957#0</t>
  </si>
  <si>
    <t>-12170635#2</t>
  </si>
  <si>
    <t xml:space="preserve">    &lt;vehicle id="1A_Tracker_0" type="Car_communuter-SB" depart="0.00" departLane="best" departPos="free" departSpeed="max" arrivalLane="current" arrivalPos="max" arrivalSpeed="current"&gt;</t>
  </si>
  <si>
    <t xml:space="preserve">        &lt;route edges="197974053#0 197974053#2 -12112251#2 -197974065 12125400#2 -145818794#2 -145818794#0 145818800 43357850#5 43357850#10 -12174962 -106455706#2 -106455706#0 133870829#0 133870831#4 133870831#5 133870831#6 133870834#0 -12124565#1 12113353#0 377438344"/&gt;</t>
  </si>
  <si>
    <t xml:space="preserve">    &lt;/vehicle&gt;</t>
  </si>
  <si>
    <t>" departLane="best" departPos="free" departSpeed="max" arrivalLane="current" arrivalPos="max" arrivalSpeed="current"&gt;</t>
  </si>
  <si>
    <t>Depart Time</t>
  </si>
  <si>
    <t>U_Tracker_Belmont_NB</t>
  </si>
  <si>
    <t>U_Tracker_US1-Belmont_SB-Full</t>
  </si>
  <si>
    <t>" type="TRACKER_CAR" depart="</t>
  </si>
  <si>
    <t xml:space="preserve">    &lt;vehicle id="</t>
  </si>
  <si>
    <t>7am</t>
  </si>
  <si>
    <t>8am</t>
  </si>
  <si>
    <t>9am</t>
  </si>
  <si>
    <t>10am</t>
  </si>
  <si>
    <t>11am</t>
  </si>
  <si>
    <t>12pm</t>
  </si>
  <si>
    <t>1pm</t>
  </si>
  <si>
    <t>2pm</t>
  </si>
  <si>
    <t>3pm</t>
  </si>
  <si>
    <t>4pm</t>
  </si>
  <si>
    <t>5pm</t>
  </si>
  <si>
    <t>6pm</t>
  </si>
  <si>
    <t>7pm</t>
  </si>
  <si>
    <t>8pm</t>
  </si>
  <si>
    <t>6am</t>
  </si>
  <si>
    <t>U_Tracker_-GRD-WB-Belmont_NB</t>
  </si>
  <si>
    <t>U_Tracker_Belmont_SB-Full</t>
  </si>
  <si>
    <t>python C:\Sumo\SUMO-0.31.0\sumo-0.31.0\tools\visualization\plot_net_selection.py -n C:\Users\Biko\Dropbox\PhD\Research\Models\SUMO\SUMO_DropBox\Belmont_Ave-Run\Belmont-AOI-Run_Files\Belmount_AOI-V5.net.xml</t>
  </si>
  <si>
    <t>-i C:\Users\Biko\Dropbox\PhD\Research\Models\SUMO\SUMO_DropBox\Belmont_Ave-Run\Belmont_AOI-Routing\BM-Flow_File\</t>
  </si>
  <si>
    <t xml:space="preserve"> --xlabel [m] --ylabel [m] --xticks 2252.80,6549.77,1000,16 --yticks 1956.49,6600,1000,16 --selected-width 3 --edge-width .5 </t>
  </si>
  <si>
    <t>edge:-12180067#5</t>
  </si>
  <si>
    <t>edge:-12180067#3</t>
  </si>
  <si>
    <t>edge:-12180067#2</t>
  </si>
  <si>
    <t>edge:-12180067#1</t>
  </si>
  <si>
    <t>edge:-424978647#1</t>
  </si>
  <si>
    <t>edge:-423967352</t>
  </si>
  <si>
    <t>edge:-423967359#1</t>
  </si>
  <si>
    <t>edge:-423967359#0</t>
  </si>
  <si>
    <t>edge:-423967356</t>
  </si>
  <si>
    <t>edge:-424978643</t>
  </si>
  <si>
    <t>edge:-423967357</t>
  </si>
  <si>
    <t>edge:-423967353</t>
  </si>
  <si>
    <t>edge:-12140031#5</t>
  </si>
  <si>
    <t>edge:-12132374#1</t>
  </si>
  <si>
    <t>edge:-348015507#1</t>
  </si>
  <si>
    <t>edge:-12132369#1</t>
  </si>
  <si>
    <t>edge:-388756837#5</t>
  </si>
  <si>
    <t>edge:-388756837#4</t>
  </si>
  <si>
    <t>edge:-388756837#3</t>
  </si>
  <si>
    <t>edge:-388756837#2</t>
  </si>
  <si>
    <t>edge:-388756837#1</t>
  </si>
  <si>
    <t>edge:-388756837#0</t>
  </si>
  <si>
    <t>edge:-387423967#2</t>
  </si>
  <si>
    <t>edge:-387423967#1</t>
  </si>
  <si>
    <t>edge:-387423967#0</t>
  </si>
  <si>
    <t>edge:423967358#0</t>
  </si>
  <si>
    <t>edge:423967358#2</t>
  </si>
  <si>
    <t>edge:423967355</t>
  </si>
  <si>
    <t>edge:423967354</t>
  </si>
  <si>
    <t>edge:423967353</t>
  </si>
  <si>
    <t>edge:424978640</t>
  </si>
  <si>
    <t>edge:424978643</t>
  </si>
  <si>
    <t>edge:423967356</t>
  </si>
  <si>
    <t>edge:423967359#0</t>
  </si>
  <si>
    <t>edge:423967359#1</t>
  </si>
  <si>
    <t>edge:423967352</t>
  </si>
  <si>
    <t>edge:424978646</t>
  </si>
  <si>
    <t>edge:12180067#0</t>
  </si>
  <si>
    <t>edge:12180067#2</t>
  </si>
  <si>
    <t>edge:12180067#3</t>
  </si>
  <si>
    <t>edge:12180067#4</t>
  </si>
  <si>
    <t>edge:12180067#6</t>
  </si>
  <si>
    <t>edge:12180067#7</t>
  </si>
  <si>
    <t>edge:12180067#9</t>
  </si>
  <si>
    <t>edge:486653628</t>
  </si>
  <si>
    <t>edge:43117623</t>
  </si>
  <si>
    <t>edge:43357850#10</t>
  </si>
  <si>
    <t>edge:-12174962</t>
  </si>
  <si>
    <t>edge:106455706#3</t>
  </si>
  <si>
    <t>edge:12163074</t>
  </si>
  <si>
    <t>edge:-12167300#2</t>
  </si>
  <si>
    <t>edge:-12167296#2</t>
  </si>
  <si>
    <t>edge:476192370#0</t>
  </si>
  <si>
    <t>edge:49916246</t>
  </si>
  <si>
    <t>edge:12113021#0</t>
  </si>
  <si>
    <t>edge:12113021#2-AddedOnRampEdge</t>
  </si>
  <si>
    <t>edge:12113021#2</t>
  </si>
  <si>
    <t>edge:43119835#1-AddedOnRampEdge</t>
  </si>
  <si>
    <t>edge:43119835#1</t>
  </si>
  <si>
    <t>edge:43119835#1-AddedOffRampEdge</t>
  </si>
  <si>
    <t>edge:12111684</t>
  </si>
  <si>
    <t>edge:134558400</t>
  </si>
  <si>
    <t>edge:485212838#0</t>
  </si>
  <si>
    <t>edge:49887337#0</t>
  </si>
  <si>
    <t>edge:313260439</t>
  </si>
  <si>
    <t>edge:424803249</t>
  </si>
  <si>
    <t>edge:367835676#0</t>
  </si>
  <si>
    <t>edge:485212835#0</t>
  </si>
  <si>
    <t>edge:423972760</t>
  </si>
  <si>
    <t>edge:134558408#1</t>
  </si>
  <si>
    <t>edge:-423967354</t>
  </si>
  <si>
    <t>edge:-423967355</t>
  </si>
  <si>
    <t>edge:-423967358#2</t>
  </si>
  <si>
    <t>edge:-423967358#1</t>
  </si>
  <si>
    <t>edge:-423967058#1</t>
  </si>
  <si>
    <t>edge:-423967058#0</t>
  </si>
  <si>
    <t>edge:-424824620</t>
  </si>
  <si>
    <t>edge:-424824619</t>
  </si>
  <si>
    <t>edge:-12178236#2</t>
  </si>
  <si>
    <t>edge:12188507#0</t>
  </si>
  <si>
    <t>edge:423956980</t>
  </si>
  <si>
    <t>edge:-12116817#4</t>
  </si>
  <si>
    <t>edge:12136005#1</t>
  </si>
  <si>
    <t>edge:-424803245</t>
  </si>
  <si>
    <t>edge:-424803247#1</t>
  </si>
  <si>
    <t>edge:-12150712#6</t>
  </si>
  <si>
    <t>edge:-196358962#3</t>
  </si>
  <si>
    <t>edge:-196358962#2</t>
  </si>
  <si>
    <t>edge:-196358962#1</t>
  </si>
  <si>
    <t>edge:12158133#0</t>
  </si>
  <si>
    <t>edge:12158133#1</t>
  </si>
  <si>
    <t>edge:12139869</t>
  </si>
  <si>
    <t>edge:196358962#3</t>
  </si>
  <si>
    <t>edge:-12150712#4</t>
  </si>
  <si>
    <t>edge:-12150712#3</t>
  </si>
  <si>
    <t>edge:424824619</t>
  </si>
  <si>
    <t>edge:424824620</t>
  </si>
  <si>
    <t>edge:-12150976#3</t>
  </si>
  <si>
    <t>edge:-12150976#2</t>
  </si>
  <si>
    <t>edge:-12150976#1</t>
  </si>
  <si>
    <t>edge:-12150976#0</t>
  </si>
  <si>
    <t>edge:-196358967#2</t>
  </si>
  <si>
    <t>edge:134557563#5</t>
  </si>
  <si>
    <t>edge:12178236#0</t>
  </si>
  <si>
    <t>edge:12136005#0</t>
  </si>
  <si>
    <t>edge:-62105282#7</t>
  </si>
  <si>
    <t>edge:-62105282#6</t>
  </si>
  <si>
    <t>edge:-62105282#5</t>
  </si>
  <si>
    <t>edge:12177366#0</t>
  </si>
  <si>
    <t>edge:-12140031#10</t>
  </si>
  <si>
    <t>edge:12172348#2</t>
  </si>
  <si>
    <t>edge:106455704#4</t>
  </si>
  <si>
    <t>edge:-12177786#4</t>
  </si>
  <si>
    <t>edge:-12177786#1</t>
  </si>
  <si>
    <t>edge:12118208#0</t>
  </si>
  <si>
    <t>edge:12118208#2</t>
  </si>
  <si>
    <t>edge:12118208#3</t>
  </si>
  <si>
    <t>edge:12172348#0</t>
  </si>
  <si>
    <t>edge:344520124</t>
  </si>
  <si>
    <t>edge:12132374#0</t>
  </si>
  <si>
    <t>edge:12140031#0</t>
  </si>
  <si>
    <t>edge:12140031#6</t>
  </si>
  <si>
    <t>edge:12140031#9</t>
  </si>
  <si>
    <t>edge:12177366#2</t>
  </si>
  <si>
    <t>edge:-106455704#1</t>
  </si>
  <si>
    <t>edge:133870836#0</t>
  </si>
  <si>
    <t>edge:133870831#5</t>
  </si>
  <si>
    <t>edge:106455705#0</t>
  </si>
  <si>
    <t>edge:106455705#2</t>
  </si>
  <si>
    <t>edge:-196358967#3</t>
  </si>
  <si>
    <t>edge:-43417498#2</t>
  </si>
  <si>
    <t>edge:165303423</t>
  </si>
  <si>
    <t>edge:165303424</t>
  </si>
  <si>
    <t>edge:50111737#1</t>
  </si>
  <si>
    <t>edge:134557563#7</t>
  </si>
  <si>
    <t>edge:134557563#8</t>
  </si>
  <si>
    <t>edge:-486653626#1</t>
  </si>
  <si>
    <t>edge:-486653626#0</t>
  </si>
  <si>
    <t>edge:-486653627#2</t>
  </si>
  <si>
    <t>edge:12156212#1</t>
  </si>
  <si>
    <t>edge:-388756834</t>
  </si>
  <si>
    <t>edge:-12149505</t>
  </si>
  <si>
    <t>edge:106455704#10</t>
  </si>
  <si>
    <t>edge:49916266#4</t>
  </si>
  <si>
    <t>edge:49916266#1</t>
  </si>
  <si>
    <t>edge:49916265</t>
  </si>
  <si>
    <t>edge:-12132374#3</t>
  </si>
  <si>
    <t>edge:485212848#0</t>
  </si>
  <si>
    <t>edge:485212843</t>
  </si>
  <si>
    <t>edge:-485212845</t>
  </si>
  <si>
    <t>edge:-12124622#2</t>
  </si>
  <si>
    <t>edge:-12124622#1</t>
  </si>
  <si>
    <t>edge:-12140031#12</t>
  </si>
  <si>
    <t>edge:-12140031#11</t>
  </si>
  <si>
    <t>edge:-12177366#1</t>
  </si>
  <si>
    <t>edge:-62105282#3</t>
  </si>
  <si>
    <t>edge:-62105282#2</t>
  </si>
  <si>
    <t>edge:-62105282#1</t>
  </si>
  <si>
    <t>edge:-62105282#0</t>
  </si>
  <si>
    <t>edge:49940635#0</t>
  </si>
  <si>
    <t>edge:12124622#0</t>
  </si>
  <si>
    <t>edge:12124622#2</t>
  </si>
  <si>
    <t>edge:485212845</t>
  </si>
  <si>
    <t>edge:485212849</t>
  </si>
  <si>
    <t>edge:485212844#0</t>
  </si>
  <si>
    <t>edge:42706771</t>
  </si>
  <si>
    <t>edge:12151161#0</t>
  </si>
  <si>
    <t>edge:12151161#1</t>
  </si>
  <si>
    <t>edge:12135383#1</t>
  </si>
  <si>
    <t>edge:-12123568#3</t>
  </si>
  <si>
    <t>edge:-12123568#2</t>
  </si>
  <si>
    <t>edge:-12135383#0</t>
  </si>
  <si>
    <t>edge:12207219#0</t>
  </si>
  <si>
    <t>edge:12123568#1</t>
  </si>
  <si>
    <t>edge:12123568#2</t>
  </si>
  <si>
    <t>edge:12123568#3</t>
  </si>
  <si>
    <t>edge:12123568#4</t>
  </si>
  <si>
    <t>edge:12180812#1</t>
  </si>
  <si>
    <t>edge:12180812#2</t>
  </si>
  <si>
    <t>edge:12119534#0</t>
  </si>
  <si>
    <t>edge:12119534#2</t>
  </si>
  <si>
    <t>edge:12119534#3</t>
  </si>
  <si>
    <t>edge:12167234#0</t>
  </si>
  <si>
    <t>edge:12136768#4</t>
  </si>
  <si>
    <t>edge:12136768#6</t>
  </si>
  <si>
    <t>edge:121486019#4</t>
  </si>
  <si>
    <t>edge:121486019#7</t>
  </si>
  <si>
    <t>edge:121486019#8</t>
  </si>
  <si>
    <t>edge:121486019#9</t>
  </si>
  <si>
    <t>edge:-12201066#6</t>
  </si>
  <si>
    <t>edge:-12201066#5</t>
  </si>
  <si>
    <t>edge:-12201066#4</t>
  </si>
  <si>
    <t>edge:12164460#8</t>
  </si>
  <si>
    <t>edge:12164460#12</t>
  </si>
  <si>
    <t>edge:12164460#15</t>
  </si>
  <si>
    <t>edge:196358983#6</t>
  </si>
  <si>
    <t>edge:196358983#7</t>
  </si>
  <si>
    <t>edge:12156616#3</t>
  </si>
  <si>
    <t>edge:-12156611#0</t>
  </si>
  <si>
    <t>edge:12156611#1</t>
  </si>
  <si>
    <t>edge:486653624#0</t>
  </si>
  <si>
    <t>edge:12163072#0</t>
  </si>
  <si>
    <t>edge:-387423966</t>
  </si>
  <si>
    <t>edge:-424978642.0</t>
  </si>
  <si>
    <t>edge:-424978642.170</t>
  </si>
  <si>
    <t>edge:62105282#0</t>
  </si>
  <si>
    <t>edge:62105282#1</t>
  </si>
  <si>
    <t>edge:62105282#2</t>
  </si>
  <si>
    <t>edge:-12116814#1</t>
  </si>
  <si>
    <t>edge:-12116814#0</t>
  </si>
  <si>
    <t>edge:12178236#2</t>
  </si>
  <si>
    <t>edge:-423956982</t>
  </si>
  <si>
    <t>edge:-424824621</t>
  </si>
  <si>
    <t>edge:-423956981</t>
  </si>
  <si>
    <t>edge:-12136005#1</t>
  </si>
  <si>
    <t>edge:12116817#4</t>
  </si>
  <si>
    <t>edge:12116814#0</t>
  </si>
  <si>
    <t>edge:423956978</t>
  </si>
  <si>
    <t>edge:423967058#1</t>
  </si>
  <si>
    <t>edge:-12156616#2</t>
  </si>
  <si>
    <t>edge:-12156616#1</t>
  </si>
  <si>
    <t>edge:-12119224</t>
  </si>
  <si>
    <t>edge:12167296#3</t>
  </si>
  <si>
    <t>edge:12167300#3</t>
  </si>
  <si>
    <t>edge:-106455706#9</t>
  </si>
  <si>
    <t>edge:-106455706#8</t>
  </si>
  <si>
    <t>edge:12174962</t>
  </si>
  <si>
    <t>edge:-43357850#10</t>
  </si>
  <si>
    <t>edge:-43117624#1</t>
  </si>
  <si>
    <t>edge:-486653628</t>
  </si>
  <si>
    <t>edge:-12180067#9</t>
  </si>
  <si>
    <t>edge:-12180067#7</t>
  </si>
  <si>
    <t>edge:-12180067#6</t>
  </si>
  <si>
    <t>edge:424978639</t>
  </si>
  <si>
    <t>edge:387423966</t>
  </si>
  <si>
    <t>edge:424978644</t>
  </si>
  <si>
    <t>edge:423965484</t>
  </si>
  <si>
    <t>edge:196358954#0</t>
  </si>
  <si>
    <t>edge:196358954#1</t>
  </si>
  <si>
    <t>edge:448887868</t>
  </si>
  <si>
    <t>edge:448887871#0</t>
  </si>
  <si>
    <t>edge:448887871#1</t>
  </si>
  <si>
    <t>edge:448887869</t>
  </si>
  <si>
    <t>edge:448887867</t>
  </si>
  <si>
    <t>edge:196358956#0</t>
  </si>
  <si>
    <t>edge:12180460#0</t>
  </si>
  <si>
    <t>edge:196358988#0</t>
  </si>
  <si>
    <t>edge:49940061</t>
  </si>
  <si>
    <t>edge:196358983#0</t>
  </si>
  <si>
    <t>edge:196358983#1</t>
  </si>
  <si>
    <t>edge:196358983#2</t>
  </si>
  <si>
    <t>edge:196358983#3</t>
  </si>
  <si>
    <t>edge:196358983#4</t>
  </si>
  <si>
    <t>edge:196358983#5</t>
  </si>
  <si>
    <t>edge:12143775#0</t>
  </si>
  <si>
    <t>edge:12153332</t>
  </si>
  <si>
    <t>edge:12198824#1</t>
  </si>
  <si>
    <t>edge:12200500#5</t>
  </si>
  <si>
    <t>edge:12200500#6</t>
  </si>
  <si>
    <t>edge:12144491#1</t>
  </si>
  <si>
    <t>edge:12156220#4</t>
  </si>
  <si>
    <t>edge:12160449#2</t>
  </si>
  <si>
    <t>edge:-12164460#19</t>
  </si>
  <si>
    <t>edge:-12164460#18</t>
  </si>
  <si>
    <t>edge:-12164460#17</t>
  </si>
  <si>
    <t>edge:-12132974</t>
  </si>
  <si>
    <t>edge:-12189483</t>
  </si>
  <si>
    <t>edge:-12156220#1</t>
  </si>
  <si>
    <t>edge:-12156220#0</t>
  </si>
  <si>
    <t>edge:-12165089#0</t>
  </si>
  <si>
    <t>edge:-12200500#3</t>
  </si>
  <si>
    <t>edge:12201066#0</t>
  </si>
  <si>
    <t>edge:12201066#1</t>
  </si>
  <si>
    <t>edge:12201066#4</t>
  </si>
  <si>
    <t>edge:12152638#4</t>
  </si>
  <si>
    <t>edge:12166566#1</t>
  </si>
  <si>
    <t>edge:12166566#2</t>
  </si>
  <si>
    <t>edge:-121486019#11</t>
  </si>
  <si>
    <t>edge:-121486019#10</t>
  </si>
  <si>
    <t>edge:-121486019#8</t>
  </si>
  <si>
    <t>edge:-121486019#7</t>
  </si>
  <si>
    <t>edge:-121486019#5</t>
  </si>
  <si>
    <t>edge:-12136768#8</t>
  </si>
  <si>
    <t>edge:-12136768#5</t>
  </si>
  <si>
    <t>edge:-12136768#3</t>
  </si>
  <si>
    <t>edge:-12136768#1</t>
  </si>
  <si>
    <t>edge:12164460#2</t>
  </si>
  <si>
    <t>edge:12164460#4</t>
  </si>
  <si>
    <t>edge:12203181#0</t>
  </si>
  <si>
    <t>edge:12152638#2</t>
  </si>
  <si>
    <t>edge:12201066#5</t>
  </si>
  <si>
    <t>edge:12201066#6</t>
  </si>
  <si>
    <t>edge:121486019#11</t>
  </si>
  <si>
    <t>edge:121486019#12</t>
  </si>
  <si>
    <t>edge:-12165089#4</t>
  </si>
  <si>
    <t>edge:-12165089#3</t>
  </si>
  <si>
    <t>edge:-12165089#2</t>
  </si>
  <si>
    <t>edge:-12165089#1</t>
  </si>
  <si>
    <t>edge:12156220#0</t>
  </si>
  <si>
    <t>edge:12156220#1</t>
  </si>
  <si>
    <t>edge:12156220#2</t>
  </si>
  <si>
    <t>edge:12156220#3</t>
  </si>
  <si>
    <t>edge:-12144491#1</t>
  </si>
  <si>
    <t>edge:-12144491#0</t>
  </si>
  <si>
    <t>edge:12167509#0</t>
  </si>
  <si>
    <t>edge:12167509#1</t>
  </si>
  <si>
    <t>edge:12198832#2</t>
  </si>
  <si>
    <t>edge:448845180</t>
  </si>
  <si>
    <t>edge:448845215#0</t>
  </si>
  <si>
    <t>edge:448845223#0</t>
  </si>
  <si>
    <t>edge:423966001</t>
  </si>
  <si>
    <t>edge:12360140#0</t>
  </si>
  <si>
    <t>edge:12360140#1</t>
  </si>
  <si>
    <t>edge:-12327906#0</t>
  </si>
  <si>
    <t>edge:-448887870#1</t>
  </si>
  <si>
    <t>edge:-196358956#2</t>
  </si>
  <si>
    <t>edge:-448887867</t>
  </si>
  <si>
    <t>edge:-448887869</t>
  </si>
  <si>
    <t>edge:-448887902</t>
  </si>
  <si>
    <t>edge:-196358958</t>
  </si>
  <si>
    <t>edge:-196358959#5</t>
  </si>
  <si>
    <t>edge:-196358959#4</t>
  </si>
  <si>
    <t>edge:-196358959#3</t>
  </si>
  <si>
    <t>edge:-196204937#2</t>
  </si>
  <si>
    <t>edge:-196204937#1</t>
  </si>
  <si>
    <t>edge:12125400#0</t>
  </si>
  <si>
    <t>edge:12125400#1</t>
  </si>
  <si>
    <t>edge:12125400#2</t>
  </si>
  <si>
    <t>edge:-145818794#2</t>
  </si>
  <si>
    <t>edge:-145818794#0</t>
  </si>
  <si>
    <t>edge:12114874</t>
  </si>
  <si>
    <t>edge:43357850#4</t>
  </si>
  <si>
    <t>edge:43357850#5</t>
  </si>
  <si>
    <t>edge:49916232#0</t>
  </si>
  <si>
    <t>edge:-448887871#2</t>
  </si>
  <si>
    <t>edge:-448887871#0</t>
  </si>
  <si>
    <t>edge:-448887868</t>
  </si>
  <si>
    <t>edge:-196358954#3</t>
  </si>
  <si>
    <t>edge:-196358954#0</t>
  </si>
  <si>
    <t>edge:-423965484</t>
  </si>
  <si>
    <t>edge:-49940170#0</t>
  </si>
  <si>
    <t>edge:-106455704#9</t>
  </si>
  <si>
    <t>edge:-106455704#3</t>
  </si>
  <si>
    <t>edge:-12177366#3</t>
  </si>
  <si>
    <t>edge:12140031#11</t>
  </si>
  <si>
    <t>edge:134559122#0</t>
  </si>
  <si>
    <t>edge:-43117598#6</t>
  </si>
  <si>
    <t>edge:-43117598#4</t>
  </si>
  <si>
    <t>edge:-12180469#5</t>
  </si>
  <si>
    <t>edge:-12180469#3</t>
  </si>
  <si>
    <t>edge:12167228#0</t>
  </si>
  <si>
    <t>edge:12167228#1</t>
  </si>
  <si>
    <t>edge:134557562#1</t>
  </si>
  <si>
    <t>edge:134557562#2</t>
  </si>
  <si>
    <t>edge:134557562#3</t>
  </si>
  <si>
    <t>edge:12112385#3</t>
  </si>
  <si>
    <t>edge:43117580#1-AddedOnRampEdge</t>
  </si>
  <si>
    <t>edge:43117580#1</t>
  </si>
  <si>
    <t>edge:43117580#1-AddedOffRampEdge</t>
  </si>
  <si>
    <t>edge:12113368#0</t>
  </si>
  <si>
    <t>edge:196358980#3</t>
  </si>
  <si>
    <t>edge:134557562#0</t>
  </si>
  <si>
    <t>edge:12184200#0</t>
  </si>
  <si>
    <t>edge:12184200#2</t>
  </si>
  <si>
    <t>edge:12184200#3-AddedOnRampEdge</t>
  </si>
  <si>
    <t>edge:12184200#3</t>
  </si>
  <si>
    <t>edge:49940088#0</t>
  </si>
  <si>
    <t>edge:49940088#2</t>
  </si>
  <si>
    <t>edge:477379747</t>
  </si>
  <si>
    <t>edge:196358992#0</t>
  </si>
  <si>
    <t>edge:196358991#0</t>
  </si>
  <si>
    <t>edge:-486653624#1</t>
  </si>
  <si>
    <t>edge:-12156611#5</t>
  </si>
  <si>
    <t>edge:-12156616#5</t>
  </si>
  <si>
    <t>edge:12167296#0</t>
  </si>
  <si>
    <t>edge:-12163074</t>
  </si>
  <si>
    <t>edge:-106455706#2</t>
  </si>
  <si>
    <t>edge:-106455706#0</t>
  </si>
  <si>
    <t>edge:133870829#0</t>
  </si>
  <si>
    <t>edge:133870837#0</t>
  </si>
  <si>
    <t>edge:106455704#0</t>
  </si>
  <si>
    <t>edge:106455704#2</t>
  </si>
  <si>
    <t>edge:-12172348#3</t>
  </si>
  <si>
    <t>edge:-12172348#1</t>
  </si>
  <si>
    <t>edge:62105282#6</t>
  </si>
  <si>
    <t>edge:62105282#7</t>
  </si>
  <si>
    <t>edge:196358967#3</t>
  </si>
  <si>
    <t>edge:-12175529#2</t>
  </si>
  <si>
    <t>edge:-12175529#1</t>
  </si>
  <si>
    <t>edge:-12175529#0</t>
  </si>
  <si>
    <t>edge:12158123</t>
  </si>
  <si>
    <t>edge:12189866#1</t>
  </si>
  <si>
    <t>edge:12189866#2</t>
  </si>
  <si>
    <t>edge:12189866#3</t>
  </si>
  <si>
    <t>edge:12165819#0</t>
  </si>
  <si>
    <t>edge:12165819#2</t>
  </si>
  <si>
    <t>edge:12165819#4</t>
  </si>
  <si>
    <t>edge:12143331#2</t>
  </si>
  <si>
    <t>edge:12149612#4</t>
  </si>
  <si>
    <t>edge:12149612#5</t>
  </si>
  <si>
    <t>edge:448845222</t>
  </si>
  <si>
    <t>edge:448845221</t>
  </si>
  <si>
    <t>edge:448845220#0</t>
  </si>
  <si>
    <t>edge:448845219#0</t>
  </si>
  <si>
    <t>edge:-448845188#1</t>
  </si>
  <si>
    <t>edge:-448845176#2</t>
  </si>
  <si>
    <t>edge:-448845175#3</t>
  </si>
  <si>
    <t>edge:-448845175#2</t>
  </si>
  <si>
    <t>edge:-448845183#1</t>
  </si>
  <si>
    <t>edge:-121496098#2</t>
  </si>
  <si>
    <t>edge:12160449#1</t>
  </si>
  <si>
    <t>edge:-12156220#4</t>
  </si>
  <si>
    <t>edge:-12156220#3</t>
  </si>
  <si>
    <t>edge:12135978</t>
  </si>
  <si>
    <t>edge:12132974</t>
  </si>
  <si>
    <t>edge:-12164460#16</t>
  </si>
  <si>
    <t>edge:-196358983#5</t>
  </si>
  <si>
    <t>edge:-196358983#4</t>
  </si>
  <si>
    <t>edge:-196358983#3</t>
  </si>
  <si>
    <t>edge:-196358983#2</t>
  </si>
  <si>
    <t>edge:-196358983#1</t>
  </si>
  <si>
    <t>edge:-196358983#0</t>
  </si>
  <si>
    <t>edge:-49940061</t>
  </si>
  <si>
    <t>edge:-49940062</t>
  </si>
  <si>
    <t>edge:49940069</t>
  </si>
  <si>
    <t>edge:12177786#0</t>
  </si>
  <si>
    <t>edge:12165400#0</t>
  </si>
  <si>
    <t>edge:12165400#1</t>
  </si>
  <si>
    <t>edge:49916266#2</t>
  </si>
  <si>
    <t>edge:49916266#3</t>
  </si>
  <si>
    <t>edge:-106455704#14</t>
  </si>
  <si>
    <t>edge:134557564#5</t>
  </si>
  <si>
    <t>edge:134557564#6</t>
  </si>
  <si>
    <t>edge:196358978</t>
  </si>
  <si>
    <t>edge:196358980#0</t>
  </si>
  <si>
    <t>edge:-12180469#0</t>
  </si>
  <si>
    <t>edge:134557565#2</t>
  </si>
  <si>
    <t>edge:134557565#3</t>
  </si>
  <si>
    <t>edge:423972761</t>
  </si>
  <si>
    <t>edge:134557563#0</t>
  </si>
  <si>
    <t>edge:134557563#2</t>
  </si>
  <si>
    <t>edge:12158133#2</t>
  </si>
  <si>
    <t>edge:12150712#3</t>
  </si>
  <si>
    <t>edge:12150712#4</t>
  </si>
  <si>
    <t>edge:12150712#5</t>
  </si>
  <si>
    <t>edge:134557563#9</t>
  </si>
  <si>
    <t>edge:134557563#10</t>
  </si>
  <si>
    <t>edge:-134563759</t>
  </si>
  <si>
    <t>edge:32121248#0</t>
  </si>
  <si>
    <t>edge:32121248#1</t>
  </si>
  <si>
    <t>edge:12149509#0</t>
  </si>
  <si>
    <t>edge:377636731#0</t>
  </si>
  <si>
    <t>edge:377636731#1</t>
  </si>
  <si>
    <t>edge:377636731#2</t>
  </si>
  <si>
    <t>edge:42706768#2</t>
  </si>
  <si>
    <t>edge:49916294#0</t>
  </si>
  <si>
    <t>edge:195659731#0</t>
  </si>
  <si>
    <t>edge:195659731#1</t>
  </si>
  <si>
    <t>edge:12119526#0</t>
  </si>
  <si>
    <t>edge:12119526#1</t>
  </si>
  <si>
    <t>edge:486653625#0</t>
  </si>
  <si>
    <t>edge:486653625#1</t>
  </si>
  <si>
    <t>edge:-49940321#2</t>
  </si>
  <si>
    <t>edge:-49940321#0</t>
  </si>
  <si>
    <t>edge:49940353</t>
  </si>
  <si>
    <t>edge:12200500#0</t>
  </si>
  <si>
    <t>edge:12200500#2</t>
  </si>
  <si>
    <t>edge:12165089#0</t>
  </si>
  <si>
    <t>edge:12165089#1</t>
  </si>
  <si>
    <t>edge:12165089#2</t>
  </si>
  <si>
    <t>edge:12152638#8</t>
  </si>
  <si>
    <t>edge:-12149487#2</t>
  </si>
  <si>
    <t>edge:448887901</t>
  </si>
  <si>
    <t>edge:12149612#0</t>
  </si>
  <si>
    <t>edge:12149612#1</t>
  </si>
  <si>
    <t>edge:12149612#2</t>
  </si>
  <si>
    <t>edge:448845185#0</t>
  </si>
  <si>
    <t>edge:439905810</t>
  </si>
  <si>
    <t>edge:448887892#0</t>
  </si>
  <si>
    <t>edge:448887895#0</t>
  </si>
  <si>
    <t>edge:448887876</t>
  </si>
  <si>
    <t>edge:448887880</t>
  </si>
  <si>
    <t>edge:448887888</t>
  </si>
  <si>
    <t>edge:448887890#0</t>
  </si>
  <si>
    <t>edge:448887870#0</t>
  </si>
  <si>
    <t>edge:12327906#0</t>
  </si>
  <si>
    <t>edge:12360140#2</t>
  </si>
  <si>
    <t>edge:12360140#3</t>
  </si>
  <si>
    <t>edge:12334061</t>
  </si>
  <si>
    <t>edge:-12333487</t>
  </si>
  <si>
    <t>edge:-448887909#2</t>
  </si>
  <si>
    <t>edge:-448887907</t>
  </si>
  <si>
    <t>edge:-448887908</t>
  </si>
  <si>
    <t>edge:-448887906</t>
  </si>
  <si>
    <t>edge:-448887904</t>
  </si>
  <si>
    <t>edge:-180860085#4</t>
  </si>
  <si>
    <t>edge:-180860085#2</t>
  </si>
  <si>
    <t>edge:-180860085#1</t>
  </si>
  <si>
    <t>edge:-196358957#1</t>
  </si>
  <si>
    <t>edge:-196358957#0</t>
  </si>
  <si>
    <t>edge:-12135966#1</t>
  </si>
  <si>
    <t>edge:-12170635#3</t>
  </si>
  <si>
    <t>edge:-12170635#2</t>
  </si>
  <si>
    <t>edge:-12175602#0</t>
  </si>
  <si>
    <t>edge:196204937#2</t>
  </si>
  <si>
    <t>edge:-12185101#6</t>
  </si>
  <si>
    <t>edge:196358959#4</t>
  </si>
  <si>
    <t>edge:180860085#0</t>
  </si>
  <si>
    <t>edge:180860085#1</t>
  </si>
  <si>
    <t>edge:180860085#2</t>
  </si>
  <si>
    <t>edge:180860085#3</t>
  </si>
  <si>
    <t>edge:448887904</t>
  </si>
  <si>
    <t>edge:448887906</t>
  </si>
  <si>
    <t>edge:448887908</t>
  </si>
  <si>
    <t>edge:448887907</t>
  </si>
  <si>
    <t>edge:448887909#0</t>
  </si>
  <si>
    <t>edge:12333487</t>
  </si>
  <si>
    <t>edge:-12334061</t>
  </si>
  <si>
    <t>edge:-12360140#3</t>
  </si>
  <si>
    <t>edge:-12372809</t>
  </si>
  <si>
    <t>edge:-448887893#1</t>
  </si>
  <si>
    <t>edge:-448887874</t>
  </si>
  <si>
    <t>edge:-448887884</t>
  </si>
  <si>
    <t>edge:-180860086</t>
  </si>
  <si>
    <t>edge:-448887896#1</t>
  </si>
  <si>
    <t>edge:-196358983#7</t>
  </si>
  <si>
    <t>edge:-196358983#6</t>
  </si>
  <si>
    <t>edge:-12164460#15</t>
  </si>
  <si>
    <t>edge:-12164460#14</t>
  </si>
  <si>
    <t>edge:12166594</t>
  </si>
  <si>
    <t>edge:-12201066#0</t>
  </si>
  <si>
    <t>edge:-12200500#1</t>
  </si>
  <si>
    <t>edge:49940349#0</t>
  </si>
  <si>
    <t>edge:49940356</t>
  </si>
  <si>
    <t>edge:49940321#1</t>
  </si>
  <si>
    <t>edge:-486653625#1</t>
  </si>
  <si>
    <t>edge:-486653625#0</t>
  </si>
  <si>
    <t>edge:-12119526#1</t>
  </si>
  <si>
    <t>edge:-12119526#0</t>
  </si>
  <si>
    <t>edge:-195659731#1</t>
  </si>
  <si>
    <t>edge:-195659731#0</t>
  </si>
  <si>
    <t>edge:-49916294#1</t>
  </si>
  <si>
    <t>edge:49916295#0</t>
  </si>
  <si>
    <t>edge:49916295#0-AddedOffRampEdge</t>
  </si>
  <si>
    <t>edge:49916295#1</t>
  </si>
  <si>
    <t>edge:42706768#0</t>
  </si>
  <si>
    <t>edge:-377636731#2</t>
  </si>
  <si>
    <t>edge:-377636731#1</t>
  </si>
  <si>
    <t>edge:-274807413#1</t>
  </si>
  <si>
    <t>edge:-32121248#4</t>
  </si>
  <si>
    <t>edge:-32121248#3</t>
  </si>
  <si>
    <t>edge:-32121248#2</t>
  </si>
  <si>
    <t>edge:-32121248#1</t>
  </si>
  <si>
    <t>edge:-32121248#0</t>
  </si>
  <si>
    <t>edge:134563759</t>
  </si>
  <si>
    <t>edge:134557564#0</t>
  </si>
  <si>
    <t>edge:134557564#2</t>
  </si>
  <si>
    <t>edge:134557564#3</t>
  </si>
  <si>
    <t>edge:134557564#4</t>
  </si>
  <si>
    <t>edge:424803247#0</t>
  </si>
  <si>
    <t>edge:424803245</t>
  </si>
  <si>
    <t>edge:423956979</t>
  </si>
  <si>
    <t>edge:424824621</t>
  </si>
  <si>
    <t>edge:-12188507#0</t>
  </si>
  <si>
    <t>edge:-12178236#1</t>
  </si>
  <si>
    <t>edge:-12178236#0</t>
  </si>
  <si>
    <t>edge:134557563#6</t>
  </si>
  <si>
    <t>edge:-50111737#1</t>
  </si>
  <si>
    <t>edge:-165303424</t>
  </si>
  <si>
    <t>edge:-12180469#8</t>
  </si>
  <si>
    <t>edge:-12180469#7</t>
  </si>
  <si>
    <t>edge:-43117598#3</t>
  </si>
  <si>
    <t>edge:12158127#0</t>
  </si>
  <si>
    <t>edge:12175529#0</t>
  </si>
  <si>
    <t>edge:12175529#1</t>
  </si>
  <si>
    <t>edge:12175529#2</t>
  </si>
  <si>
    <t>edge:-12189866#3</t>
  </si>
  <si>
    <t>edge:12188344#0</t>
  </si>
  <si>
    <t>edge:12188344#1</t>
  </si>
  <si>
    <t>edge:12188344#2</t>
  </si>
  <si>
    <t>edge:12188344#3</t>
  </si>
  <si>
    <t>edge:12188344#4</t>
  </si>
  <si>
    <t>edge:12180469#6</t>
  </si>
  <si>
    <t>edge:-43417498#0</t>
  </si>
  <si>
    <t>edge:12202540#0</t>
  </si>
  <si>
    <t>edge:12202540#1</t>
  </si>
  <si>
    <t>edge:12202540#2</t>
  </si>
  <si>
    <t>edge:196358962#0</t>
  </si>
  <si>
    <t>edge:196358962#1</t>
  </si>
  <si>
    <t>edge:196358962#2</t>
  </si>
  <si>
    <t>edge:12116817#3</t>
  </si>
  <si>
    <t>edge:-12116817#3</t>
  </si>
  <si>
    <t>edge:-12136005#0</t>
  </si>
  <si>
    <t>edge:12178236#1</t>
  </si>
  <si>
    <t>edge:12116814#1</t>
  </si>
  <si>
    <t>edge:62105282#3</t>
  </si>
  <si>
    <t>edge:12140031#12</t>
  </si>
  <si>
    <t>edge:49940635#2</t>
  </si>
  <si>
    <t>edge:133870831#1</t>
  </si>
  <si>
    <t>edge:133870831#2</t>
  </si>
  <si>
    <t>edge:133870833#0</t>
  </si>
  <si>
    <t>edge:106455706#0</t>
  </si>
  <si>
    <t>edge:106455706#1</t>
  </si>
  <si>
    <t>edge:12158795</t>
  </si>
  <si>
    <t>edge:12177902#0</t>
  </si>
  <si>
    <t>edge:-12200500#4</t>
  </si>
  <si>
    <t>edge:-12164460#7</t>
  </si>
  <si>
    <t>edge:-12164460#5</t>
  </si>
  <si>
    <t>edge:-12164460#3</t>
  </si>
  <si>
    <t>edge:-12164460#1</t>
  </si>
  <si>
    <t>edge:196373985#0</t>
  </si>
  <si>
    <t>edge:12135021</t>
  </si>
  <si>
    <t>edge:12120693#14</t>
  </si>
  <si>
    <t>edge:12120693#16</t>
  </si>
  <si>
    <t>edge:12120693#17</t>
  </si>
  <si>
    <t>edge:12120693#18</t>
  </si>
  <si>
    <t>edge:-12180812#0</t>
  </si>
  <si>
    <t>edge:-12152586#0</t>
  </si>
  <si>
    <t>route-id134558401.0qPKW</t>
  </si>
  <si>
    <t>edge:134558401</t>
  </si>
  <si>
    <t>edge:12161029#0</t>
  </si>
  <si>
    <t>edge:-43357850#13</t>
  </si>
  <si>
    <t>route-id134558401.1qPKW</t>
  </si>
  <si>
    <t>route-id134558401.2qPKW</t>
  </si>
  <si>
    <t>edge:-43357850#9</t>
  </si>
  <si>
    <t>edge:-145818800</t>
  </si>
  <si>
    <t>edge:12181187</t>
  </si>
  <si>
    <t>edge:145818794#1</t>
  </si>
  <si>
    <t>edge:196204938#0</t>
  </si>
  <si>
    <t>edge:196204938#0-AddedOffRampEdge</t>
  </si>
  <si>
    <t>edge:12181195</t>
  </si>
  <si>
    <t>edge:-32203926#7</t>
  </si>
  <si>
    <t>edge:476451210</t>
  </si>
  <si>
    <t>edge:12175602#0</t>
  </si>
  <si>
    <t>edge:12165640#0</t>
  </si>
  <si>
    <t>edge:12170635#3</t>
  </si>
  <si>
    <t>edge:12135966#1</t>
  </si>
  <si>
    <t>edge:196358957#0</t>
  </si>
  <si>
    <t>edge:180860087</t>
  </si>
  <si>
    <t>edge:12168353#0</t>
  </si>
  <si>
    <t>route-id134558401.3qPKW</t>
  </si>
  <si>
    <t>route-id134558401.4qPKW</t>
  </si>
  <si>
    <t>route-id134558401.5qPKW</t>
  </si>
  <si>
    <t>route-id134558401.6qPKW</t>
  </si>
  <si>
    <t>route-id134558401.7qPKW</t>
  </si>
  <si>
    <t>edge:-43357850#4</t>
  </si>
  <si>
    <t>edge:-12114874</t>
  </si>
  <si>
    <t>edge:145818800</t>
  </si>
  <si>
    <t>route-id134558401.8qPKW</t>
  </si>
  <si>
    <t>route-id134558401.9qPKW</t>
  </si>
  <si>
    <t>route-id134558401.10qPKW</t>
  </si>
  <si>
    <t>route-id-12180067_5.0qPKW</t>
  </si>
  <si>
    <t>route-id-12180067_5.1qPKW</t>
  </si>
  <si>
    <t>route-id-12180067_5.2qPKW</t>
  </si>
  <si>
    <t>route-id-12180067_5.3qPKW</t>
  </si>
  <si>
    <t>route-id-12180067_5.4qPKW</t>
  </si>
  <si>
    <t>route-id-12180067_5.5qPKW</t>
  </si>
  <si>
    <t>route-id-12180067_5.6qPKW</t>
  </si>
  <si>
    <t>route-id-12180067_5.7qPKW</t>
  </si>
  <si>
    <t>route-id-12180067_5.8qPKW</t>
  </si>
  <si>
    <t>route-id-12180067_5.9qPKW</t>
  </si>
  <si>
    <t>route-id-12180067_5.10qPKW</t>
  </si>
  <si>
    <t>route-id-12180067_5.11qPKW</t>
  </si>
  <si>
    <t>route-id-12180067_5.12qPKW</t>
  </si>
  <si>
    <t>route-id-12180067_5.13qPKW</t>
  </si>
  <si>
    <t>route-id-12180067_5.14qPKW</t>
  </si>
  <si>
    <t>route-id-12180067_5.15qPKW</t>
  </si>
  <si>
    <t>route-id-12180067_5.16qPKW</t>
  </si>
  <si>
    <t>route-id-12180067_5.17qPKW</t>
  </si>
  <si>
    <t>route-id-12180067_5.18qPKW</t>
  </si>
  <si>
    <t>route-id-12180067_5.19qPKW</t>
  </si>
  <si>
    <t>route-id-196358956_2.0qPKW</t>
  </si>
  <si>
    <t>route-id-196358956_2.1qPKW</t>
  </si>
  <si>
    <t>route-id-196358956_2.2qPKW</t>
  </si>
  <si>
    <t>route-id-196358956_2.3qPKW</t>
  </si>
  <si>
    <t>route-id-196358956_2.4qPKW</t>
  </si>
  <si>
    <t>route-id-196358956_2.5qPKW</t>
  </si>
  <si>
    <t>route-id-196358956_2.6qPKW</t>
  </si>
  <si>
    <t>route-id-196358956_2.7qPKW</t>
  </si>
  <si>
    <t>route-id-196358956_2.8qPKW</t>
  </si>
  <si>
    <t>route-id-196358983_7.0qPKW</t>
  </si>
  <si>
    <t>route-id-196358983_7.1qPKW</t>
  </si>
  <si>
    <t>route-id-196358983_7.2qPKW</t>
  </si>
  <si>
    <t>route-id-196358983_7.3qPKW</t>
  </si>
  <si>
    <t>route-id-196358983_7.4qPKW</t>
  </si>
  <si>
    <t>route-id-196358983_7.5qPKW</t>
  </si>
  <si>
    <t>route-id-196358983_7.6qPKW</t>
  </si>
  <si>
    <t>route-id-196358983_7.7qPKW</t>
  </si>
  <si>
    <t>route-id-196358983_7.8qPKW</t>
  </si>
  <si>
    <t>route-id12150712_3.0qPKW</t>
  </si>
  <si>
    <t>Belmont-AOI-routes-route-id-12180067_5.0qPKW.txt</t>
  </si>
  <si>
    <t>Belmont-AOI-routes-route-id-12180067_5.10qPKW.txt</t>
  </si>
  <si>
    <t>Belmont-AOI-routes-route-id-12180067_5.11qPKW.txt</t>
  </si>
  <si>
    <t>Belmont-AOI-routes-route-id-12180067_5.12qPKW.txt</t>
  </si>
  <si>
    <t>Belmont-AOI-routes-route-id-12180067_5.13qPKW.txt</t>
  </si>
  <si>
    <t>Belmont-AOI-routes-route-id-12180067_5.14qPKW.txt</t>
  </si>
  <si>
    <t>Belmont-AOI-routes-route-id-12180067_5.15qPKW.txt</t>
  </si>
  <si>
    <t>Belmont-AOI-routes-route-id-12180067_5.16qPKW.txt</t>
  </si>
  <si>
    <t>Belmont-AOI-routes-route-id-12180067_5.17qPKW.txt</t>
  </si>
  <si>
    <t>Belmont-AOI-routes-route-id-12180067_5.18qPKW.txt</t>
  </si>
  <si>
    <t>Belmont-AOI-routes-route-id-12180067_5.19qPKW.txt</t>
  </si>
  <si>
    <t>Belmont-AOI-routes-route-id-12180067_5.1qPKW.txt</t>
  </si>
  <si>
    <t>Belmont-AOI-routes-route-id-12180067_5.2qPKW.txt</t>
  </si>
  <si>
    <t>Belmont-AOI-routes-route-id-12180067_5.3qPKW.txt</t>
  </si>
  <si>
    <t>Belmont-AOI-routes-route-id-12180067_5.4qPKW.txt</t>
  </si>
  <si>
    <t>Belmont-AOI-routes-route-id-12180067_5.5qPKW.txt</t>
  </si>
  <si>
    <t>Belmont-AOI-routes-route-id-12180067_5.6qPKW.txt</t>
  </si>
  <si>
    <t>Belmont-AOI-routes-route-id-12180067_5.7qPKW.txt</t>
  </si>
  <si>
    <t>Belmont-AOI-routes-route-id-12180067_5.8qPKW.txt</t>
  </si>
  <si>
    <t>Belmont-AOI-routes-route-id-12180067_5.9qPKW.txt</t>
  </si>
  <si>
    <t>Belmont-AOI-routes-route-id-196358956_2.0qPKW.txt</t>
  </si>
  <si>
    <t>Belmont-AOI-routes-route-id-196358956_2.1qPKW.txt</t>
  </si>
  <si>
    <t>Belmont-AOI-routes-route-id-196358956_2.2qPKW.txt</t>
  </si>
  <si>
    <t>Belmont-AOI-routes-route-id-196358956_2.3qPKW.txt</t>
  </si>
  <si>
    <t>Belmont-AOI-routes-route-id-196358956_2.4qPKW.txt</t>
  </si>
  <si>
    <t>Belmont-AOI-routes-route-id-196358956_2.5qPKW.txt</t>
  </si>
  <si>
    <t>Belmont-AOI-routes-route-id-196358956_2.6qPKW.txt</t>
  </si>
  <si>
    <t>Belmont-AOI-routes-route-id-196358956_2.7qPKW.txt</t>
  </si>
  <si>
    <t>Belmont-AOI-routes-route-id-196358956_2.8qPKW.txt</t>
  </si>
  <si>
    <t>Belmont-AOI-routes-route-id-196358983_7.0qPKW.txt</t>
  </si>
  <si>
    <t>Belmont-AOI-routes-route-id-196358983_7.1qPKW.txt</t>
  </si>
  <si>
    <t>Belmont-AOI-routes-route-id-196358983_7.2qPKW.txt</t>
  </si>
  <si>
    <t>Belmont-AOI-routes-route-id-196358983_7.3qPKW.txt</t>
  </si>
  <si>
    <t>Belmont-AOI-routes-route-id-196358983_7.4qPKW.txt</t>
  </si>
  <si>
    <t>Belmont-AOI-routes-route-id-196358983_7.5qPKW.txt</t>
  </si>
  <si>
    <t>Belmont-AOI-routes-route-id-196358983_7.6qPKW.txt</t>
  </si>
  <si>
    <t>Belmont-AOI-routes-route-id-196358983_7.7qPKW.txt</t>
  </si>
  <si>
    <t>Belmont-AOI-routes-route-id-196358983_7.8qPKW.txt</t>
  </si>
  <si>
    <t>Belmont-AOI-routes-route-id12150712_3.0qPKW.txt</t>
  </si>
  <si>
    <t>Belmont-AOI-routes-route-id134558401.0qPKW.txt</t>
  </si>
  <si>
    <t>Belmont-AOI-routes-route-id134558401.10qPKW.txt</t>
  </si>
  <si>
    <t>Belmont-AOI-routes-route-id134558401.1qPKW.txt</t>
  </si>
  <si>
    <t>Belmont-AOI-routes-route-id134558401.2qPKW.txt</t>
  </si>
  <si>
    <t>Belmont-AOI-routes-route-id134558401.3qPKW.txt</t>
  </si>
  <si>
    <t>Belmont-AOI-routes-route-id134558401.4qPKW.txt</t>
  </si>
  <si>
    <t>Belmont-AOI-routes-route-id134558401.5qPKW.txt</t>
  </si>
  <si>
    <t>Belmont-AOI-routes-route-id134558401.6qPKW.txt</t>
  </si>
  <si>
    <t>Belmont-AOI-routes-route-id134558401.7qPKW.txt</t>
  </si>
  <si>
    <t>Belmont-AOI-routes-route-id134558401.8qPKW.txt</t>
  </si>
  <si>
    <t>Belmont-AOI-routes-route-id134558401.9qPKW.txt</t>
  </si>
  <si>
    <t xml:space="preserve">        &lt;route edges="12327906#0 12327906#1 134556837 134557563#0 134557563#2 134557563#5 134557563#6 134557563#8 134557565#1 134557565#2 134557565#3 134558408#1 196358954#0 196358954#1 196358956#0 387423966 423956978 423956979 423956980 423965484 423967058#1 423967352 423967353 423967354 423967355 423967356 423967358#0 423967358#2 423967359#0 423967359#1 423972760 423972761 424803245 424803247#0 424803250 424824619 424824620 424824621 424978639 424978640 424978643 424978644 424978646 448887867 448887868 448887869 448887870#0 448887871#0 448887871#1 485212835#0"/&gt;</t>
  </si>
  <si>
    <t xml:space="preserve">        &lt;route edges="12327906#0 12327906#1 134556837 134557565#1 134557565#2 134557565#3 134558408#1 134559123 196358954#0 196358954#1 196358956#0 387423965#0 387423965#0-AddedOnRampEdge 387423966 423965484 423967352 423967353 423967354 423967355 423967356 423967358#0 423967358#2 423967359#0 423967359#1 423972760 423972761 424803250 424978639 424978640 424978643 424978644 424978646 448887867 448887868 448887869 448887870#0 448887871#0 448887871#1 485212835#0 62105282#0 62105282#1 62105282#2 62105282#3 62105282#4 62105282#6 62105282#7"/&gt; </t>
  </si>
  <si>
    <t xml:space="preserve">        &lt;route edges="12149612#0 12149612#1 12149612#2 12149612#4 12149612#5 12150712#3 12150712#4 12150712#5 12319898#0 12319898#1 196358954#0 196358954#1 387423966 423956978 423956979 423956980 423965484 423965996 423965997 423966001 423967058#1 423967352 423967353 423967354 423967355 423967356 423967358#0 423967358#2 423967359#0 423967359#1 424803245 424803247#0 424824619 424824620 424824621 424978163 424978164 424978639 424978640 424978643 424978644 424978646 448845220#0 448845221 448845222 448845223#0 448887868 448887901"/&gt; </t>
  </si>
  <si>
    <t>4am</t>
  </si>
  <si>
    <t>10pm</t>
  </si>
  <si>
    <t xml:space="preserve">        &lt;route edges="-424978161 -12327906#0 -448887870#1 -196358956#2 -448887867 -448887869 -448887871#2 -448887871#0 -448887868 -196358954#3 -196358954#0 -423965484 -49940170#0 -387423966 -424978642.0 -424978642.170 -424978647#1 -423967352 -423967359#1 -423967359#0 -423967356 -424978643 -423967357 -423967353 -423967354 -423967355 -423967358#2 -423967358#1 -423967058#1 -423967058#0 -424824620 -424824619 -423956982 -424824621 -423956981 -424803245 -424803247#1 -12150712#6 -12150712#4 -12150712#3"/&gt;</t>
  </si>
  <si>
    <t xml:space="preserve">        &lt;route edges="12206122 104524022 42705780 448887881 448887891#0 454909270 387423968#0-AddedOnRampEdge 387423968#0 448887894#0 -448887907 -448887908 -448887906 -448887904 -180860085#4 -180860085#2 -180860085#1 -180860085#0 -12149487#2 -196358954#0 -423965484 -49940170#0 -387423966 -424978642.0 -424978642.170 -424978647#1 -423967352 -423967359#1 -423967359#0 -423967356 -424978643 -423967357 -423967353 -423967354 -423967355 -423967358#2 -423967358#1 -423967058#1 -423967058#0 -424824620 -424824619 -423956982 -424824621 -423956981 -424803245 -424803247#1 -12150712#6 -12150712#4 -12150712#3"/&gt;</t>
  </si>
  <si>
    <t>&lt;trip id="</t>
  </si>
  <si>
    <t>" depart="0" from="</t>
  </si>
  <si>
    <t>" to="</t>
  </si>
  <si>
    <t>"/&gt;</t>
  </si>
  <si>
    <t>From</t>
  </si>
  <si>
    <t>12327906#1</t>
  </si>
  <si>
    <t>387423965#0 12149612#1</t>
  </si>
  <si>
    <t>12319898#1</t>
  </si>
  <si>
    <t>U_Tracker_-GRD-WB-Parkside-NB-Belmont_Conchi-NB</t>
  </si>
  <si>
    <t>U_Tracker_-GRD-WB-Belmont_Conchi-NB</t>
  </si>
  <si>
    <t>U_Tracker_-GRD-WB-Belmont-NB</t>
  </si>
  <si>
    <t>-12319898#1</t>
  </si>
  <si>
    <t>U_Tracker_Belmont_Conchi-SB-Full</t>
  </si>
  <si>
    <t>-12149612#2</t>
  </si>
  <si>
    <t>" via="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</si>
</sst>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2"/>
        <bgColor indexed="64"/>
      </patternFill>
    </fill>
  </fills>
  <borders count="7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6">
    <xf numFmtId="0" fontId="0" fillId="0" borderId="0"/>
    <xf numFmtId="0" fontId="1" fillId="2" borderId="0" applyNumberFormat="0" applyBorder="0" applyAlignment="0" applyProtection="0"/>
    <xf numFmtId="0" fontId="2" fillId="3" borderId="0" applyNumberFormat="0" applyBorder="0" applyAlignment="0" applyProtection="0"/>
    <xf numFmtId="0" fontId="3" fillId="4" borderId="1" applyNumberFormat="0" applyAlignment="0" applyProtection="0"/>
    <xf numFmtId="0" fontId="4" fillId="5" borderId="2" applyNumberFormat="0" applyAlignment="0" applyProtection="0"/>
    <xf numFmtId="0" fontId="5" fillId="0" borderId="3" applyNumberFormat="0" applyFill="0" applyAlignment="0" applyProtection="0"/>
  </cellStyleXfs>
  <cellXfs count="39">
    <xf numFmtId="0" fontId="0" fillId="0" borderId="0" xfId="0"/>
    <xf numFmtId="0" fontId="0" fillId="0" borderId="0" xfId="0" quotePrefix="1"/>
    <xf numFmtId="0" fontId="3" fillId="4" borderId="1" xfId="3" quotePrefix="1"/>
    <xf numFmtId="0" fontId="1" fillId="2" borderId="0" xfId="1"/>
    <xf numFmtId="0" fontId="1" fillId="2" borderId="0" xfId="1" quotePrefix="1"/>
    <xf numFmtId="0" fontId="3" fillId="4" borderId="1" xfId="3"/>
    <xf numFmtId="0" fontId="5" fillId="0" borderId="3" xfId="5"/>
    <xf numFmtId="0" fontId="2" fillId="3" borderId="1" xfId="2" applyBorder="1"/>
    <xf numFmtId="0" fontId="5" fillId="0" borderId="0" xfId="5" applyFill="1" applyBorder="1"/>
    <xf numFmtId="0" fontId="4" fillId="5" borderId="2" xfId="4" applyAlignment="1"/>
    <xf numFmtId="0" fontId="0" fillId="0" borderId="2" xfId="0" applyBorder="1"/>
    <xf numFmtId="0" fontId="4" fillId="5" borderId="0" xfId="4" applyBorder="1" applyAlignment="1"/>
    <xf numFmtId="0" fontId="0" fillId="0" borderId="0" xfId="0" applyAlignment="1">
      <alignment horizontal="center"/>
    </xf>
    <xf numFmtId="0" fontId="0" fillId="0" borderId="0" xfId="0" applyBorder="1"/>
    <xf numFmtId="0" fontId="0" fillId="6" borderId="0" xfId="0" applyFill="1"/>
    <xf numFmtId="0" fontId="0" fillId="6" borderId="2" xfId="0" applyFill="1" applyBorder="1"/>
    <xf numFmtId="0" fontId="6" fillId="0" borderId="0" xfId="0" applyFont="1"/>
    <xf numFmtId="0" fontId="0" fillId="7" borderId="0" xfId="0" applyFill="1"/>
    <xf numFmtId="0" fontId="7" fillId="8" borderId="0" xfId="0" applyFont="1" applyFill="1"/>
    <xf numFmtId="0" fontId="7" fillId="7" borderId="0" xfId="0" applyFont="1" applyFill="1"/>
    <xf numFmtId="0" fontId="7" fillId="0" borderId="0" xfId="0" applyFont="1" applyAlignment="1">
      <alignment horizontal="right"/>
    </xf>
    <xf numFmtId="0" fontId="7" fillId="9" borderId="0" xfId="0" applyFont="1" applyFill="1" applyAlignment="1">
      <alignment horizontal="right"/>
    </xf>
    <xf numFmtId="0" fontId="7" fillId="0" borderId="0" xfId="0" applyFont="1"/>
    <xf numFmtId="0" fontId="7" fillId="10" borderId="0" xfId="0" applyFont="1" applyFill="1" applyAlignment="1">
      <alignment horizontal="right"/>
    </xf>
    <xf numFmtId="0" fontId="7" fillId="8" borderId="0" xfId="0" applyFont="1" applyFill="1" applyAlignment="1">
      <alignment horizontal="right"/>
    </xf>
    <xf numFmtId="0" fontId="8" fillId="0" borderId="0" xfId="0" applyFont="1"/>
    <xf numFmtId="0" fontId="8" fillId="0" borderId="0" xfId="0" applyFont="1" applyAlignment="1">
      <alignment horizontal="right"/>
    </xf>
    <xf numFmtId="0" fontId="9" fillId="4" borderId="1" xfId="3" applyFont="1"/>
    <xf numFmtId="0" fontId="8" fillId="0" borderId="0" xfId="0" quotePrefix="1" applyFont="1"/>
    <xf numFmtId="0" fontId="8" fillId="0" borderId="4" xfId="0" applyFont="1" applyBorder="1" applyAlignment="1"/>
    <xf numFmtId="0" fontId="8" fillId="0" borderId="5" xfId="0" applyFont="1" applyBorder="1" applyAlignment="1">
      <alignment horizontal="left" indent="1"/>
    </xf>
    <xf numFmtId="0" fontId="8" fillId="0" borderId="5" xfId="0" applyFont="1" applyBorder="1"/>
    <xf numFmtId="0" fontId="8" fillId="0" borderId="6" xfId="0" applyFont="1" applyBorder="1"/>
    <xf numFmtId="0" fontId="8" fillId="11" borderId="4" xfId="0" applyFont="1" applyFill="1" applyBorder="1" applyAlignment="1"/>
    <xf numFmtId="0" fontId="8" fillId="11" borderId="5" xfId="0" applyFont="1" applyFill="1" applyBorder="1" applyAlignment="1">
      <alignment horizontal="left" indent="1"/>
    </xf>
    <xf numFmtId="0" fontId="8" fillId="11" borderId="5" xfId="0" applyFont="1" applyFill="1" applyBorder="1"/>
    <xf numFmtId="0" fontId="8" fillId="11" borderId="6" xfId="0" applyFont="1" applyFill="1" applyBorder="1"/>
    <xf numFmtId="0" fontId="8" fillId="0" borderId="0" xfId="0" applyFont="1" applyBorder="1"/>
    <xf numFmtId="0" fontId="8" fillId="11" borderId="0" xfId="0" applyFont="1" applyFill="1" applyBorder="1"/>
  </cellXfs>
  <cellStyles count="6">
    <cellStyle name="Good" xfId="1" builtinId="26"/>
    <cellStyle name="Input" xfId="3" builtinId="20"/>
    <cellStyle name="Linked Cell" xfId="5" builtinId="24"/>
    <cellStyle name="Neutral" xfId="2" builtinId="28"/>
    <cellStyle name="Normal" xfId="0" builtinId="0"/>
    <cellStyle name="Output" xfId="4" builtinId="2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B6A220-CE32-4BF4-BA6C-657DFBEDA470}">
  <sheetPr codeName="Sheet2"/>
  <dimension ref="A1:E196"/>
  <sheetViews>
    <sheetView topLeftCell="A16" workbookViewId="0">
      <selection activeCell="E53" sqref="E53:E67"/>
    </sheetView>
  </sheetViews>
  <sheetFormatPr defaultRowHeight="15" x14ac:dyDescent="0.25"/>
  <sheetData>
    <row r="1" spans="1:5" x14ac:dyDescent="0.25">
      <c r="A1" s="3" t="s">
        <v>4599</v>
      </c>
      <c r="B1" s="2" t="s">
        <v>4600</v>
      </c>
      <c r="C1" s="3" t="s">
        <v>4601</v>
      </c>
      <c r="D1" s="2" t="s">
        <v>971</v>
      </c>
      <c r="E1" s="4" t="s">
        <v>973</v>
      </c>
    </row>
    <row r="2" spans="1:5" x14ac:dyDescent="0.25">
      <c r="D2" t="e">
        <f>_xlfn.CONCAT("-o ",LEFT(B2,LEN(B2)-4),".png")</f>
        <v>#VALUE!</v>
      </c>
    </row>
    <row r="3" spans="1:5" x14ac:dyDescent="0.25">
      <c r="B3" s="5" t="s">
        <v>5292</v>
      </c>
      <c r="D3" t="str">
        <f>_xlfn.CONCAT("-o ",LEFT(B3,LEN(B3)-4),".png")</f>
        <v>-o Belmont-AOI-routes-route-id-12180067_5.0qPKW.png</v>
      </c>
      <c r="E3" s="17" t="str">
        <f>_xlfn.CONCAT($A$1,$B$1,B3,$C$1,D3,$E$1)</f>
        <v>python C:\Sumo\SUMO-0.31.0\sumo-0.31.0\tools\visualization\plot_net_selection.py -n C:\Users\Biko\Dropbox\PhD\Research\Models\SUMO\SUMO_DropBox\Belmont_Ave-Run\Belmont-AOI-Run_Files\Belmount_AOI-V5.net.xml-i C:\Users\Biko\Dropbox\PhD\Research\Models\SUMO\SUMO_DropBox\Belmont_Ave-Run\Belmont_AOI-Routing\BM-Flow_File\Belmont-AOI-routes-route-id-12180067_5.0qPKW.txt --xlabel [m] --ylabel [m] --xticks 2252.80,6549.77,1000,16 --yticks 1956.49,6600,1000,16 --selected-width 3 --edge-width .5 -o Belmont-AOI-routes-route-id-12180067_5.0qPKW.png --edge-color #606060 --selected-color #800000 /</v>
      </c>
    </row>
    <row r="4" spans="1:5" x14ac:dyDescent="0.25">
      <c r="B4" s="5" t="s">
        <v>5293</v>
      </c>
      <c r="D4" t="str">
        <f t="shared" ref="D4:D67" si="0">_xlfn.CONCAT("-o ",LEFT(B4,LEN(B4)-4),".png")</f>
        <v>-o Belmont-AOI-routes-route-id-12180067_5.10qPKW.png</v>
      </c>
      <c r="E4" s="17" t="str">
        <f t="shared" ref="E4:E52" si="1">_xlfn.CONCAT($A$1,$B$1,B4,$C$1,D4,$E$1)</f>
        <v>python C:\Sumo\SUMO-0.31.0\sumo-0.31.0\tools\visualization\plot_net_selection.py -n C:\Users\Biko\Dropbox\PhD\Research\Models\SUMO\SUMO_DropBox\Belmont_Ave-Run\Belmont-AOI-Run_Files\Belmount_AOI-V5.net.xml-i C:\Users\Biko\Dropbox\PhD\Research\Models\SUMO\SUMO_DropBox\Belmont_Ave-Run\Belmont_AOI-Routing\BM-Flow_File\Belmont-AOI-routes-route-id-12180067_5.10qPKW.txt --xlabel [m] --ylabel [m] --xticks 2252.80,6549.77,1000,16 --yticks 1956.49,6600,1000,16 --selected-width 3 --edge-width .5 -o Belmont-AOI-routes-route-id-12180067_5.10qPKW.png --edge-color #606060 --selected-color #800000 /</v>
      </c>
    </row>
    <row r="5" spans="1:5" x14ac:dyDescent="0.25">
      <c r="B5" s="5" t="s">
        <v>5294</v>
      </c>
      <c r="D5" t="str">
        <f t="shared" si="0"/>
        <v>-o Belmont-AOI-routes-route-id-12180067_5.11qPKW.png</v>
      </c>
      <c r="E5" s="17" t="str">
        <f t="shared" si="1"/>
        <v>python C:\Sumo\SUMO-0.31.0\sumo-0.31.0\tools\visualization\plot_net_selection.py -n C:\Users\Biko\Dropbox\PhD\Research\Models\SUMO\SUMO_DropBox\Belmont_Ave-Run\Belmont-AOI-Run_Files\Belmount_AOI-V5.net.xml-i C:\Users\Biko\Dropbox\PhD\Research\Models\SUMO\SUMO_DropBox\Belmont_Ave-Run\Belmont_AOI-Routing\BM-Flow_File\Belmont-AOI-routes-route-id-12180067_5.11qPKW.txt --xlabel [m] --ylabel [m] --xticks 2252.80,6549.77,1000,16 --yticks 1956.49,6600,1000,16 --selected-width 3 --edge-width .5 -o Belmont-AOI-routes-route-id-12180067_5.11qPKW.png --edge-color #606060 --selected-color #800000 /</v>
      </c>
    </row>
    <row r="6" spans="1:5" x14ac:dyDescent="0.25">
      <c r="B6" s="5" t="s">
        <v>5295</v>
      </c>
      <c r="D6" t="str">
        <f t="shared" si="0"/>
        <v>-o Belmont-AOI-routes-route-id-12180067_5.12qPKW.png</v>
      </c>
      <c r="E6" s="17" t="str">
        <f t="shared" si="1"/>
        <v>python C:\Sumo\SUMO-0.31.0\sumo-0.31.0\tools\visualization\plot_net_selection.py -n C:\Users\Biko\Dropbox\PhD\Research\Models\SUMO\SUMO_DropBox\Belmont_Ave-Run\Belmont-AOI-Run_Files\Belmount_AOI-V5.net.xml-i C:\Users\Biko\Dropbox\PhD\Research\Models\SUMO\SUMO_DropBox\Belmont_Ave-Run\Belmont_AOI-Routing\BM-Flow_File\Belmont-AOI-routes-route-id-12180067_5.12qPKW.txt --xlabel [m] --ylabel [m] --xticks 2252.80,6549.77,1000,16 --yticks 1956.49,6600,1000,16 --selected-width 3 --edge-width .5 -o Belmont-AOI-routes-route-id-12180067_5.12qPKW.png --edge-color #606060 --selected-color #800000 /</v>
      </c>
    </row>
    <row r="7" spans="1:5" x14ac:dyDescent="0.25">
      <c r="B7" s="5" t="s">
        <v>5296</v>
      </c>
      <c r="D7" t="str">
        <f t="shared" si="0"/>
        <v>-o Belmont-AOI-routes-route-id-12180067_5.13qPKW.png</v>
      </c>
      <c r="E7" s="17" t="str">
        <f t="shared" si="1"/>
        <v>python C:\Sumo\SUMO-0.31.0\sumo-0.31.0\tools\visualization\plot_net_selection.py -n C:\Users\Biko\Dropbox\PhD\Research\Models\SUMO\SUMO_DropBox\Belmont_Ave-Run\Belmont-AOI-Run_Files\Belmount_AOI-V5.net.xml-i C:\Users\Biko\Dropbox\PhD\Research\Models\SUMO\SUMO_DropBox\Belmont_Ave-Run\Belmont_AOI-Routing\BM-Flow_File\Belmont-AOI-routes-route-id-12180067_5.13qPKW.txt --xlabel [m] --ylabel [m] --xticks 2252.80,6549.77,1000,16 --yticks 1956.49,6600,1000,16 --selected-width 3 --edge-width .5 -o Belmont-AOI-routes-route-id-12180067_5.13qPKW.png --edge-color #606060 --selected-color #800000 /</v>
      </c>
    </row>
    <row r="8" spans="1:5" x14ac:dyDescent="0.25">
      <c r="B8" s="5" t="s">
        <v>5297</v>
      </c>
      <c r="D8" t="str">
        <f t="shared" si="0"/>
        <v>-o Belmont-AOI-routes-route-id-12180067_5.14qPKW.png</v>
      </c>
      <c r="E8" s="17" t="str">
        <f t="shared" si="1"/>
        <v>python C:\Sumo\SUMO-0.31.0\sumo-0.31.0\tools\visualization\plot_net_selection.py -n C:\Users\Biko\Dropbox\PhD\Research\Models\SUMO\SUMO_DropBox\Belmont_Ave-Run\Belmont-AOI-Run_Files\Belmount_AOI-V5.net.xml-i C:\Users\Biko\Dropbox\PhD\Research\Models\SUMO\SUMO_DropBox\Belmont_Ave-Run\Belmont_AOI-Routing\BM-Flow_File\Belmont-AOI-routes-route-id-12180067_5.14qPKW.txt --xlabel [m] --ylabel [m] --xticks 2252.80,6549.77,1000,16 --yticks 1956.49,6600,1000,16 --selected-width 3 --edge-width .5 -o Belmont-AOI-routes-route-id-12180067_5.14qPKW.png --edge-color #606060 --selected-color #800000 /</v>
      </c>
    </row>
    <row r="9" spans="1:5" x14ac:dyDescent="0.25">
      <c r="B9" s="5" t="s">
        <v>5298</v>
      </c>
      <c r="D9" t="str">
        <f t="shared" si="0"/>
        <v>-o Belmont-AOI-routes-route-id-12180067_5.15qPKW.png</v>
      </c>
      <c r="E9" s="17" t="str">
        <f t="shared" si="1"/>
        <v>python C:\Sumo\SUMO-0.31.0\sumo-0.31.0\tools\visualization\plot_net_selection.py -n C:\Users\Biko\Dropbox\PhD\Research\Models\SUMO\SUMO_DropBox\Belmont_Ave-Run\Belmont-AOI-Run_Files\Belmount_AOI-V5.net.xml-i C:\Users\Biko\Dropbox\PhD\Research\Models\SUMO\SUMO_DropBox\Belmont_Ave-Run\Belmont_AOI-Routing\BM-Flow_File\Belmont-AOI-routes-route-id-12180067_5.15qPKW.txt --xlabel [m] --ylabel [m] --xticks 2252.80,6549.77,1000,16 --yticks 1956.49,6600,1000,16 --selected-width 3 --edge-width .5 -o Belmont-AOI-routes-route-id-12180067_5.15qPKW.png --edge-color #606060 --selected-color #800000 /</v>
      </c>
    </row>
    <row r="10" spans="1:5" x14ac:dyDescent="0.25">
      <c r="B10" s="5" t="s">
        <v>5299</v>
      </c>
      <c r="D10" t="str">
        <f t="shared" si="0"/>
        <v>-o Belmont-AOI-routes-route-id-12180067_5.16qPKW.png</v>
      </c>
      <c r="E10" s="17" t="str">
        <f t="shared" si="1"/>
        <v>python C:\Sumo\SUMO-0.31.0\sumo-0.31.0\tools\visualization\plot_net_selection.py -n C:\Users\Biko\Dropbox\PhD\Research\Models\SUMO\SUMO_DropBox\Belmont_Ave-Run\Belmont-AOI-Run_Files\Belmount_AOI-V5.net.xml-i C:\Users\Biko\Dropbox\PhD\Research\Models\SUMO\SUMO_DropBox\Belmont_Ave-Run\Belmont_AOI-Routing\BM-Flow_File\Belmont-AOI-routes-route-id-12180067_5.16qPKW.txt --xlabel [m] --ylabel [m] --xticks 2252.80,6549.77,1000,16 --yticks 1956.49,6600,1000,16 --selected-width 3 --edge-width .5 -o Belmont-AOI-routes-route-id-12180067_5.16qPKW.png --edge-color #606060 --selected-color #800000 /</v>
      </c>
    </row>
    <row r="11" spans="1:5" x14ac:dyDescent="0.25">
      <c r="B11" s="5" t="s">
        <v>5300</v>
      </c>
      <c r="D11" t="str">
        <f t="shared" si="0"/>
        <v>-o Belmont-AOI-routes-route-id-12180067_5.17qPKW.png</v>
      </c>
      <c r="E11" s="17" t="str">
        <f t="shared" si="1"/>
        <v>python C:\Sumo\SUMO-0.31.0\sumo-0.31.0\tools\visualization\plot_net_selection.py -n C:\Users\Biko\Dropbox\PhD\Research\Models\SUMO\SUMO_DropBox\Belmont_Ave-Run\Belmont-AOI-Run_Files\Belmount_AOI-V5.net.xml-i C:\Users\Biko\Dropbox\PhD\Research\Models\SUMO\SUMO_DropBox\Belmont_Ave-Run\Belmont_AOI-Routing\BM-Flow_File\Belmont-AOI-routes-route-id-12180067_5.17qPKW.txt --xlabel [m] --ylabel [m] --xticks 2252.80,6549.77,1000,16 --yticks 1956.49,6600,1000,16 --selected-width 3 --edge-width .5 -o Belmont-AOI-routes-route-id-12180067_5.17qPKW.png --edge-color #606060 --selected-color #800000 /</v>
      </c>
    </row>
    <row r="12" spans="1:5" x14ac:dyDescent="0.25">
      <c r="B12" s="5" t="s">
        <v>5301</v>
      </c>
      <c r="D12" t="str">
        <f t="shared" si="0"/>
        <v>-o Belmont-AOI-routes-route-id-12180067_5.18qPKW.png</v>
      </c>
      <c r="E12" s="17" t="str">
        <f t="shared" si="1"/>
        <v>python C:\Sumo\SUMO-0.31.0\sumo-0.31.0\tools\visualization\plot_net_selection.py -n C:\Users\Biko\Dropbox\PhD\Research\Models\SUMO\SUMO_DropBox\Belmont_Ave-Run\Belmont-AOI-Run_Files\Belmount_AOI-V5.net.xml-i C:\Users\Biko\Dropbox\PhD\Research\Models\SUMO\SUMO_DropBox\Belmont_Ave-Run\Belmont_AOI-Routing\BM-Flow_File\Belmont-AOI-routes-route-id-12180067_5.18qPKW.txt --xlabel [m] --ylabel [m] --xticks 2252.80,6549.77,1000,16 --yticks 1956.49,6600,1000,16 --selected-width 3 --edge-width .5 -o Belmont-AOI-routes-route-id-12180067_5.18qPKW.png --edge-color #606060 --selected-color #800000 /</v>
      </c>
    </row>
    <row r="13" spans="1:5" x14ac:dyDescent="0.25">
      <c r="B13" s="5" t="s">
        <v>5302</v>
      </c>
      <c r="D13" t="str">
        <f t="shared" si="0"/>
        <v>-o Belmont-AOI-routes-route-id-12180067_5.19qPKW.png</v>
      </c>
      <c r="E13" s="17" t="str">
        <f t="shared" si="1"/>
        <v>python C:\Sumo\SUMO-0.31.0\sumo-0.31.0\tools\visualization\plot_net_selection.py -n C:\Users\Biko\Dropbox\PhD\Research\Models\SUMO\SUMO_DropBox\Belmont_Ave-Run\Belmont-AOI-Run_Files\Belmount_AOI-V5.net.xml-i C:\Users\Biko\Dropbox\PhD\Research\Models\SUMO\SUMO_DropBox\Belmont_Ave-Run\Belmont_AOI-Routing\BM-Flow_File\Belmont-AOI-routes-route-id-12180067_5.19qPKW.txt --xlabel [m] --ylabel [m] --xticks 2252.80,6549.77,1000,16 --yticks 1956.49,6600,1000,16 --selected-width 3 --edge-width .5 -o Belmont-AOI-routes-route-id-12180067_5.19qPKW.png --edge-color #606060 --selected-color #800000 /</v>
      </c>
    </row>
    <row r="14" spans="1:5" x14ac:dyDescent="0.25">
      <c r="B14" s="5" t="s">
        <v>5303</v>
      </c>
      <c r="D14" t="str">
        <f t="shared" si="0"/>
        <v>-o Belmont-AOI-routes-route-id-12180067_5.1qPKW.png</v>
      </c>
      <c r="E14" s="17" t="str">
        <f t="shared" si="1"/>
        <v>python C:\Sumo\SUMO-0.31.0\sumo-0.31.0\tools\visualization\plot_net_selection.py -n C:\Users\Biko\Dropbox\PhD\Research\Models\SUMO\SUMO_DropBox\Belmont_Ave-Run\Belmont-AOI-Run_Files\Belmount_AOI-V5.net.xml-i C:\Users\Biko\Dropbox\PhD\Research\Models\SUMO\SUMO_DropBox\Belmont_Ave-Run\Belmont_AOI-Routing\BM-Flow_File\Belmont-AOI-routes-route-id-12180067_5.1qPKW.txt --xlabel [m] --ylabel [m] --xticks 2252.80,6549.77,1000,16 --yticks 1956.49,6600,1000,16 --selected-width 3 --edge-width .5 -o Belmont-AOI-routes-route-id-12180067_5.1qPKW.png --edge-color #606060 --selected-color #800000 /</v>
      </c>
    </row>
    <row r="15" spans="1:5" x14ac:dyDescent="0.25">
      <c r="B15" s="5" t="s">
        <v>5304</v>
      </c>
      <c r="D15" t="str">
        <f t="shared" si="0"/>
        <v>-o Belmont-AOI-routes-route-id-12180067_5.2qPKW.png</v>
      </c>
      <c r="E15" s="17" t="str">
        <f t="shared" si="1"/>
        <v>python C:\Sumo\SUMO-0.31.0\sumo-0.31.0\tools\visualization\plot_net_selection.py -n C:\Users\Biko\Dropbox\PhD\Research\Models\SUMO\SUMO_DropBox\Belmont_Ave-Run\Belmont-AOI-Run_Files\Belmount_AOI-V5.net.xml-i C:\Users\Biko\Dropbox\PhD\Research\Models\SUMO\SUMO_DropBox\Belmont_Ave-Run\Belmont_AOI-Routing\BM-Flow_File\Belmont-AOI-routes-route-id-12180067_5.2qPKW.txt --xlabel [m] --ylabel [m] --xticks 2252.80,6549.77,1000,16 --yticks 1956.49,6600,1000,16 --selected-width 3 --edge-width .5 -o Belmont-AOI-routes-route-id-12180067_5.2qPKW.png --edge-color #606060 --selected-color #800000 /</v>
      </c>
    </row>
    <row r="16" spans="1:5" x14ac:dyDescent="0.25">
      <c r="B16" s="5" t="s">
        <v>5305</v>
      </c>
      <c r="D16" t="str">
        <f t="shared" si="0"/>
        <v>-o Belmont-AOI-routes-route-id-12180067_5.3qPKW.png</v>
      </c>
      <c r="E16" s="17" t="str">
        <f t="shared" si="1"/>
        <v>python C:\Sumo\SUMO-0.31.0\sumo-0.31.0\tools\visualization\plot_net_selection.py -n C:\Users\Biko\Dropbox\PhD\Research\Models\SUMO\SUMO_DropBox\Belmont_Ave-Run\Belmont-AOI-Run_Files\Belmount_AOI-V5.net.xml-i C:\Users\Biko\Dropbox\PhD\Research\Models\SUMO\SUMO_DropBox\Belmont_Ave-Run\Belmont_AOI-Routing\BM-Flow_File\Belmont-AOI-routes-route-id-12180067_5.3qPKW.txt --xlabel [m] --ylabel [m] --xticks 2252.80,6549.77,1000,16 --yticks 1956.49,6600,1000,16 --selected-width 3 --edge-width .5 -o Belmont-AOI-routes-route-id-12180067_5.3qPKW.png --edge-color #606060 --selected-color #800000 /</v>
      </c>
    </row>
    <row r="17" spans="2:5" x14ac:dyDescent="0.25">
      <c r="B17" s="5" t="s">
        <v>5306</v>
      </c>
      <c r="D17" t="str">
        <f t="shared" si="0"/>
        <v>-o Belmont-AOI-routes-route-id-12180067_5.4qPKW.png</v>
      </c>
      <c r="E17" s="17" t="str">
        <f t="shared" si="1"/>
        <v>python C:\Sumo\SUMO-0.31.0\sumo-0.31.0\tools\visualization\plot_net_selection.py -n C:\Users\Biko\Dropbox\PhD\Research\Models\SUMO\SUMO_DropBox\Belmont_Ave-Run\Belmont-AOI-Run_Files\Belmount_AOI-V5.net.xml-i C:\Users\Biko\Dropbox\PhD\Research\Models\SUMO\SUMO_DropBox\Belmont_Ave-Run\Belmont_AOI-Routing\BM-Flow_File\Belmont-AOI-routes-route-id-12180067_5.4qPKW.txt --xlabel [m] --ylabel [m] --xticks 2252.80,6549.77,1000,16 --yticks 1956.49,6600,1000,16 --selected-width 3 --edge-width .5 -o Belmont-AOI-routes-route-id-12180067_5.4qPKW.png --edge-color #606060 --selected-color #800000 /</v>
      </c>
    </row>
    <row r="18" spans="2:5" x14ac:dyDescent="0.25">
      <c r="B18" s="5" t="s">
        <v>5307</v>
      </c>
      <c r="D18" t="str">
        <f t="shared" si="0"/>
        <v>-o Belmont-AOI-routes-route-id-12180067_5.5qPKW.png</v>
      </c>
      <c r="E18" s="17" t="str">
        <f t="shared" si="1"/>
        <v>python C:\Sumo\SUMO-0.31.0\sumo-0.31.0\tools\visualization\plot_net_selection.py -n C:\Users\Biko\Dropbox\PhD\Research\Models\SUMO\SUMO_DropBox\Belmont_Ave-Run\Belmont-AOI-Run_Files\Belmount_AOI-V5.net.xml-i C:\Users\Biko\Dropbox\PhD\Research\Models\SUMO\SUMO_DropBox\Belmont_Ave-Run\Belmont_AOI-Routing\BM-Flow_File\Belmont-AOI-routes-route-id-12180067_5.5qPKW.txt --xlabel [m] --ylabel [m] --xticks 2252.80,6549.77,1000,16 --yticks 1956.49,6600,1000,16 --selected-width 3 --edge-width .5 -o Belmont-AOI-routes-route-id-12180067_5.5qPKW.png --edge-color #606060 --selected-color #800000 /</v>
      </c>
    </row>
    <row r="19" spans="2:5" x14ac:dyDescent="0.25">
      <c r="B19" s="5" t="s">
        <v>5308</v>
      </c>
      <c r="D19" t="str">
        <f t="shared" si="0"/>
        <v>-o Belmont-AOI-routes-route-id-12180067_5.6qPKW.png</v>
      </c>
      <c r="E19" s="17" t="str">
        <f t="shared" si="1"/>
        <v>python C:\Sumo\SUMO-0.31.0\sumo-0.31.0\tools\visualization\plot_net_selection.py -n C:\Users\Biko\Dropbox\PhD\Research\Models\SUMO\SUMO_DropBox\Belmont_Ave-Run\Belmont-AOI-Run_Files\Belmount_AOI-V5.net.xml-i C:\Users\Biko\Dropbox\PhD\Research\Models\SUMO\SUMO_DropBox\Belmont_Ave-Run\Belmont_AOI-Routing\BM-Flow_File\Belmont-AOI-routes-route-id-12180067_5.6qPKW.txt --xlabel [m] --ylabel [m] --xticks 2252.80,6549.77,1000,16 --yticks 1956.49,6600,1000,16 --selected-width 3 --edge-width .5 -o Belmont-AOI-routes-route-id-12180067_5.6qPKW.png --edge-color #606060 --selected-color #800000 /</v>
      </c>
    </row>
    <row r="20" spans="2:5" x14ac:dyDescent="0.25">
      <c r="B20" s="5" t="s">
        <v>5309</v>
      </c>
      <c r="D20" t="str">
        <f t="shared" si="0"/>
        <v>-o Belmont-AOI-routes-route-id-12180067_5.7qPKW.png</v>
      </c>
      <c r="E20" s="17" t="str">
        <f t="shared" si="1"/>
        <v>python C:\Sumo\SUMO-0.31.0\sumo-0.31.0\tools\visualization\plot_net_selection.py -n C:\Users\Biko\Dropbox\PhD\Research\Models\SUMO\SUMO_DropBox\Belmont_Ave-Run\Belmont-AOI-Run_Files\Belmount_AOI-V5.net.xml-i C:\Users\Biko\Dropbox\PhD\Research\Models\SUMO\SUMO_DropBox\Belmont_Ave-Run\Belmont_AOI-Routing\BM-Flow_File\Belmont-AOI-routes-route-id-12180067_5.7qPKW.txt --xlabel [m] --ylabel [m] --xticks 2252.80,6549.77,1000,16 --yticks 1956.49,6600,1000,16 --selected-width 3 --edge-width .5 -o Belmont-AOI-routes-route-id-12180067_5.7qPKW.png --edge-color #606060 --selected-color #800000 /</v>
      </c>
    </row>
    <row r="21" spans="2:5" x14ac:dyDescent="0.25">
      <c r="B21" s="5" t="s">
        <v>5310</v>
      </c>
      <c r="D21" t="str">
        <f t="shared" si="0"/>
        <v>-o Belmont-AOI-routes-route-id-12180067_5.8qPKW.png</v>
      </c>
      <c r="E21" s="17" t="str">
        <f t="shared" si="1"/>
        <v>python C:\Sumo\SUMO-0.31.0\sumo-0.31.0\tools\visualization\plot_net_selection.py -n C:\Users\Biko\Dropbox\PhD\Research\Models\SUMO\SUMO_DropBox\Belmont_Ave-Run\Belmont-AOI-Run_Files\Belmount_AOI-V5.net.xml-i C:\Users\Biko\Dropbox\PhD\Research\Models\SUMO\SUMO_DropBox\Belmont_Ave-Run\Belmont_AOI-Routing\BM-Flow_File\Belmont-AOI-routes-route-id-12180067_5.8qPKW.txt --xlabel [m] --ylabel [m] --xticks 2252.80,6549.77,1000,16 --yticks 1956.49,6600,1000,16 --selected-width 3 --edge-width .5 -o Belmont-AOI-routes-route-id-12180067_5.8qPKW.png --edge-color #606060 --selected-color #800000 /</v>
      </c>
    </row>
    <row r="22" spans="2:5" x14ac:dyDescent="0.25">
      <c r="B22" s="5" t="s">
        <v>5311</v>
      </c>
      <c r="D22" t="str">
        <f t="shared" si="0"/>
        <v>-o Belmont-AOI-routes-route-id-12180067_5.9qPKW.png</v>
      </c>
      <c r="E22" s="17" t="str">
        <f t="shared" si="1"/>
        <v>python C:\Sumo\SUMO-0.31.0\sumo-0.31.0\tools\visualization\plot_net_selection.py -n C:\Users\Biko\Dropbox\PhD\Research\Models\SUMO\SUMO_DropBox\Belmont_Ave-Run\Belmont-AOI-Run_Files\Belmount_AOI-V5.net.xml-i C:\Users\Biko\Dropbox\PhD\Research\Models\SUMO\SUMO_DropBox\Belmont_Ave-Run\Belmont_AOI-Routing\BM-Flow_File\Belmont-AOI-routes-route-id-12180067_5.9qPKW.txt --xlabel [m] --ylabel [m] --xticks 2252.80,6549.77,1000,16 --yticks 1956.49,6600,1000,16 --selected-width 3 --edge-width .5 -o Belmont-AOI-routes-route-id-12180067_5.9qPKW.png --edge-color #606060 --selected-color #800000 /</v>
      </c>
    </row>
    <row r="23" spans="2:5" x14ac:dyDescent="0.25">
      <c r="B23" s="5" t="s">
        <v>5312</v>
      </c>
      <c r="D23" t="str">
        <f t="shared" si="0"/>
        <v>-o Belmont-AOI-routes-route-id-196358956_2.0qPKW.png</v>
      </c>
      <c r="E23" s="17" t="str">
        <f t="shared" si="1"/>
        <v>python C:\Sumo\SUMO-0.31.0\sumo-0.31.0\tools\visualization\plot_net_selection.py -n C:\Users\Biko\Dropbox\PhD\Research\Models\SUMO\SUMO_DropBox\Belmont_Ave-Run\Belmont-AOI-Run_Files\Belmount_AOI-V5.net.xml-i C:\Users\Biko\Dropbox\PhD\Research\Models\SUMO\SUMO_DropBox\Belmont_Ave-Run\Belmont_AOI-Routing\BM-Flow_File\Belmont-AOI-routes-route-id-196358956_2.0qPKW.txt --xlabel [m] --ylabel [m] --xticks 2252.80,6549.77,1000,16 --yticks 1956.49,6600,1000,16 --selected-width 3 --edge-width .5 -o Belmont-AOI-routes-route-id-196358956_2.0qPKW.png --edge-color #606060 --selected-color #800000 /</v>
      </c>
    </row>
    <row r="24" spans="2:5" x14ac:dyDescent="0.25">
      <c r="B24" s="5" t="s">
        <v>5313</v>
      </c>
      <c r="D24" t="str">
        <f t="shared" si="0"/>
        <v>-o Belmont-AOI-routes-route-id-196358956_2.1qPKW.png</v>
      </c>
      <c r="E24" s="17" t="str">
        <f t="shared" si="1"/>
        <v>python C:\Sumo\SUMO-0.31.0\sumo-0.31.0\tools\visualization\plot_net_selection.py -n C:\Users\Biko\Dropbox\PhD\Research\Models\SUMO\SUMO_DropBox\Belmont_Ave-Run\Belmont-AOI-Run_Files\Belmount_AOI-V5.net.xml-i C:\Users\Biko\Dropbox\PhD\Research\Models\SUMO\SUMO_DropBox\Belmont_Ave-Run\Belmont_AOI-Routing\BM-Flow_File\Belmont-AOI-routes-route-id-196358956_2.1qPKW.txt --xlabel [m] --ylabel [m] --xticks 2252.80,6549.77,1000,16 --yticks 1956.49,6600,1000,16 --selected-width 3 --edge-width .5 -o Belmont-AOI-routes-route-id-196358956_2.1qPKW.png --edge-color #606060 --selected-color #800000 /</v>
      </c>
    </row>
    <row r="25" spans="2:5" x14ac:dyDescent="0.25">
      <c r="B25" s="5" t="s">
        <v>5314</v>
      </c>
      <c r="D25" t="str">
        <f t="shared" si="0"/>
        <v>-o Belmont-AOI-routes-route-id-196358956_2.2qPKW.png</v>
      </c>
      <c r="E25" s="17" t="str">
        <f t="shared" si="1"/>
        <v>python C:\Sumo\SUMO-0.31.0\sumo-0.31.0\tools\visualization\plot_net_selection.py -n C:\Users\Biko\Dropbox\PhD\Research\Models\SUMO\SUMO_DropBox\Belmont_Ave-Run\Belmont-AOI-Run_Files\Belmount_AOI-V5.net.xml-i C:\Users\Biko\Dropbox\PhD\Research\Models\SUMO\SUMO_DropBox\Belmont_Ave-Run\Belmont_AOI-Routing\BM-Flow_File\Belmont-AOI-routes-route-id-196358956_2.2qPKW.txt --xlabel [m] --ylabel [m] --xticks 2252.80,6549.77,1000,16 --yticks 1956.49,6600,1000,16 --selected-width 3 --edge-width .5 -o Belmont-AOI-routes-route-id-196358956_2.2qPKW.png --edge-color #606060 --selected-color #800000 /</v>
      </c>
    </row>
    <row r="26" spans="2:5" x14ac:dyDescent="0.25">
      <c r="B26" s="5" t="s">
        <v>5315</v>
      </c>
      <c r="D26" t="str">
        <f t="shared" si="0"/>
        <v>-o Belmont-AOI-routes-route-id-196358956_2.3qPKW.png</v>
      </c>
      <c r="E26" s="17" t="str">
        <f t="shared" si="1"/>
        <v>python C:\Sumo\SUMO-0.31.0\sumo-0.31.0\tools\visualization\plot_net_selection.py -n C:\Users\Biko\Dropbox\PhD\Research\Models\SUMO\SUMO_DropBox\Belmont_Ave-Run\Belmont-AOI-Run_Files\Belmount_AOI-V5.net.xml-i C:\Users\Biko\Dropbox\PhD\Research\Models\SUMO\SUMO_DropBox\Belmont_Ave-Run\Belmont_AOI-Routing\BM-Flow_File\Belmont-AOI-routes-route-id-196358956_2.3qPKW.txt --xlabel [m] --ylabel [m] --xticks 2252.80,6549.77,1000,16 --yticks 1956.49,6600,1000,16 --selected-width 3 --edge-width .5 -o Belmont-AOI-routes-route-id-196358956_2.3qPKW.png --edge-color #606060 --selected-color #800000 /</v>
      </c>
    </row>
    <row r="27" spans="2:5" x14ac:dyDescent="0.25">
      <c r="B27" s="5" t="s">
        <v>5316</v>
      </c>
      <c r="D27" t="str">
        <f t="shared" si="0"/>
        <v>-o Belmont-AOI-routes-route-id-196358956_2.4qPKW.png</v>
      </c>
      <c r="E27" s="17" t="str">
        <f t="shared" si="1"/>
        <v>python C:\Sumo\SUMO-0.31.0\sumo-0.31.0\tools\visualization\plot_net_selection.py -n C:\Users\Biko\Dropbox\PhD\Research\Models\SUMO\SUMO_DropBox\Belmont_Ave-Run\Belmont-AOI-Run_Files\Belmount_AOI-V5.net.xml-i C:\Users\Biko\Dropbox\PhD\Research\Models\SUMO\SUMO_DropBox\Belmont_Ave-Run\Belmont_AOI-Routing\BM-Flow_File\Belmont-AOI-routes-route-id-196358956_2.4qPKW.txt --xlabel [m] --ylabel [m] --xticks 2252.80,6549.77,1000,16 --yticks 1956.49,6600,1000,16 --selected-width 3 --edge-width .5 -o Belmont-AOI-routes-route-id-196358956_2.4qPKW.png --edge-color #606060 --selected-color #800000 /</v>
      </c>
    </row>
    <row r="28" spans="2:5" x14ac:dyDescent="0.25">
      <c r="B28" s="5" t="s">
        <v>5317</v>
      </c>
      <c r="D28" t="str">
        <f t="shared" si="0"/>
        <v>-o Belmont-AOI-routes-route-id-196358956_2.5qPKW.png</v>
      </c>
      <c r="E28" s="17" t="str">
        <f t="shared" si="1"/>
        <v>python C:\Sumo\SUMO-0.31.0\sumo-0.31.0\tools\visualization\plot_net_selection.py -n C:\Users\Biko\Dropbox\PhD\Research\Models\SUMO\SUMO_DropBox\Belmont_Ave-Run\Belmont-AOI-Run_Files\Belmount_AOI-V5.net.xml-i C:\Users\Biko\Dropbox\PhD\Research\Models\SUMO\SUMO_DropBox\Belmont_Ave-Run\Belmont_AOI-Routing\BM-Flow_File\Belmont-AOI-routes-route-id-196358956_2.5qPKW.txt --xlabel [m] --ylabel [m] --xticks 2252.80,6549.77,1000,16 --yticks 1956.49,6600,1000,16 --selected-width 3 --edge-width .5 -o Belmont-AOI-routes-route-id-196358956_2.5qPKW.png --edge-color #606060 --selected-color #800000 /</v>
      </c>
    </row>
    <row r="29" spans="2:5" x14ac:dyDescent="0.25">
      <c r="B29" s="5" t="s">
        <v>5318</v>
      </c>
      <c r="D29" t="str">
        <f t="shared" si="0"/>
        <v>-o Belmont-AOI-routes-route-id-196358956_2.6qPKW.png</v>
      </c>
      <c r="E29" s="17" t="str">
        <f t="shared" si="1"/>
        <v>python C:\Sumo\SUMO-0.31.0\sumo-0.31.0\tools\visualization\plot_net_selection.py -n C:\Users\Biko\Dropbox\PhD\Research\Models\SUMO\SUMO_DropBox\Belmont_Ave-Run\Belmont-AOI-Run_Files\Belmount_AOI-V5.net.xml-i C:\Users\Biko\Dropbox\PhD\Research\Models\SUMO\SUMO_DropBox\Belmont_Ave-Run\Belmont_AOI-Routing\BM-Flow_File\Belmont-AOI-routes-route-id-196358956_2.6qPKW.txt --xlabel [m] --ylabel [m] --xticks 2252.80,6549.77,1000,16 --yticks 1956.49,6600,1000,16 --selected-width 3 --edge-width .5 -o Belmont-AOI-routes-route-id-196358956_2.6qPKW.png --edge-color #606060 --selected-color #800000 /</v>
      </c>
    </row>
    <row r="30" spans="2:5" x14ac:dyDescent="0.25">
      <c r="B30" s="5" t="s">
        <v>5319</v>
      </c>
      <c r="D30" t="str">
        <f t="shared" si="0"/>
        <v>-o Belmont-AOI-routes-route-id-196358956_2.7qPKW.png</v>
      </c>
      <c r="E30" s="17" t="str">
        <f t="shared" si="1"/>
        <v>python C:\Sumo\SUMO-0.31.0\sumo-0.31.0\tools\visualization\plot_net_selection.py -n C:\Users\Biko\Dropbox\PhD\Research\Models\SUMO\SUMO_DropBox\Belmont_Ave-Run\Belmont-AOI-Run_Files\Belmount_AOI-V5.net.xml-i C:\Users\Biko\Dropbox\PhD\Research\Models\SUMO\SUMO_DropBox\Belmont_Ave-Run\Belmont_AOI-Routing\BM-Flow_File\Belmont-AOI-routes-route-id-196358956_2.7qPKW.txt --xlabel [m] --ylabel [m] --xticks 2252.80,6549.77,1000,16 --yticks 1956.49,6600,1000,16 --selected-width 3 --edge-width .5 -o Belmont-AOI-routes-route-id-196358956_2.7qPKW.png --edge-color #606060 --selected-color #800000 /</v>
      </c>
    </row>
    <row r="31" spans="2:5" x14ac:dyDescent="0.25">
      <c r="B31" s="5" t="s">
        <v>5320</v>
      </c>
      <c r="D31" t="str">
        <f t="shared" si="0"/>
        <v>-o Belmont-AOI-routes-route-id-196358956_2.8qPKW.png</v>
      </c>
      <c r="E31" s="17" t="str">
        <f t="shared" si="1"/>
        <v>python C:\Sumo\SUMO-0.31.0\sumo-0.31.0\tools\visualization\plot_net_selection.py -n C:\Users\Biko\Dropbox\PhD\Research\Models\SUMO\SUMO_DropBox\Belmont_Ave-Run\Belmont-AOI-Run_Files\Belmount_AOI-V5.net.xml-i C:\Users\Biko\Dropbox\PhD\Research\Models\SUMO\SUMO_DropBox\Belmont_Ave-Run\Belmont_AOI-Routing\BM-Flow_File\Belmont-AOI-routes-route-id-196358956_2.8qPKW.txt --xlabel [m] --ylabel [m] --xticks 2252.80,6549.77,1000,16 --yticks 1956.49,6600,1000,16 --selected-width 3 --edge-width .5 -o Belmont-AOI-routes-route-id-196358956_2.8qPKW.png --edge-color #606060 --selected-color #800000 /</v>
      </c>
    </row>
    <row r="32" spans="2:5" x14ac:dyDescent="0.25">
      <c r="B32" s="5" t="s">
        <v>5321</v>
      </c>
      <c r="D32" t="str">
        <f t="shared" si="0"/>
        <v>-o Belmont-AOI-routes-route-id-196358983_7.0qPKW.png</v>
      </c>
      <c r="E32" s="17" t="str">
        <f t="shared" si="1"/>
        <v>python C:\Sumo\SUMO-0.31.0\sumo-0.31.0\tools\visualization\plot_net_selection.py -n C:\Users\Biko\Dropbox\PhD\Research\Models\SUMO\SUMO_DropBox\Belmont_Ave-Run\Belmont-AOI-Run_Files\Belmount_AOI-V5.net.xml-i C:\Users\Biko\Dropbox\PhD\Research\Models\SUMO\SUMO_DropBox\Belmont_Ave-Run\Belmont_AOI-Routing\BM-Flow_File\Belmont-AOI-routes-route-id-196358983_7.0qPKW.txt --xlabel [m] --ylabel [m] --xticks 2252.80,6549.77,1000,16 --yticks 1956.49,6600,1000,16 --selected-width 3 --edge-width .5 -o Belmont-AOI-routes-route-id-196358983_7.0qPKW.png --edge-color #606060 --selected-color #800000 /</v>
      </c>
    </row>
    <row r="33" spans="2:5" x14ac:dyDescent="0.25">
      <c r="B33" s="5" t="s">
        <v>5322</v>
      </c>
      <c r="D33" t="str">
        <f t="shared" si="0"/>
        <v>-o Belmont-AOI-routes-route-id-196358983_7.1qPKW.png</v>
      </c>
      <c r="E33" s="17" t="str">
        <f t="shared" si="1"/>
        <v>python C:\Sumo\SUMO-0.31.0\sumo-0.31.0\tools\visualization\plot_net_selection.py -n C:\Users\Biko\Dropbox\PhD\Research\Models\SUMO\SUMO_DropBox\Belmont_Ave-Run\Belmont-AOI-Run_Files\Belmount_AOI-V5.net.xml-i C:\Users\Biko\Dropbox\PhD\Research\Models\SUMO\SUMO_DropBox\Belmont_Ave-Run\Belmont_AOI-Routing\BM-Flow_File\Belmont-AOI-routes-route-id-196358983_7.1qPKW.txt --xlabel [m] --ylabel [m] --xticks 2252.80,6549.77,1000,16 --yticks 1956.49,6600,1000,16 --selected-width 3 --edge-width .5 -o Belmont-AOI-routes-route-id-196358983_7.1qPKW.png --edge-color #606060 --selected-color #800000 /</v>
      </c>
    </row>
    <row r="34" spans="2:5" x14ac:dyDescent="0.25">
      <c r="B34" s="5" t="s">
        <v>5323</v>
      </c>
      <c r="D34" t="str">
        <f t="shared" si="0"/>
        <v>-o Belmont-AOI-routes-route-id-196358983_7.2qPKW.png</v>
      </c>
      <c r="E34" s="17" t="str">
        <f t="shared" si="1"/>
        <v>python C:\Sumo\SUMO-0.31.0\sumo-0.31.0\tools\visualization\plot_net_selection.py -n C:\Users\Biko\Dropbox\PhD\Research\Models\SUMO\SUMO_DropBox\Belmont_Ave-Run\Belmont-AOI-Run_Files\Belmount_AOI-V5.net.xml-i C:\Users\Biko\Dropbox\PhD\Research\Models\SUMO\SUMO_DropBox\Belmont_Ave-Run\Belmont_AOI-Routing\BM-Flow_File\Belmont-AOI-routes-route-id-196358983_7.2qPKW.txt --xlabel [m] --ylabel [m] --xticks 2252.80,6549.77,1000,16 --yticks 1956.49,6600,1000,16 --selected-width 3 --edge-width .5 -o Belmont-AOI-routes-route-id-196358983_7.2qPKW.png --edge-color #606060 --selected-color #800000 /</v>
      </c>
    </row>
    <row r="35" spans="2:5" x14ac:dyDescent="0.25">
      <c r="B35" s="5" t="s">
        <v>5324</v>
      </c>
      <c r="D35" t="str">
        <f t="shared" si="0"/>
        <v>-o Belmont-AOI-routes-route-id-196358983_7.3qPKW.png</v>
      </c>
      <c r="E35" s="17" t="str">
        <f t="shared" si="1"/>
        <v>python C:\Sumo\SUMO-0.31.0\sumo-0.31.0\tools\visualization\plot_net_selection.py -n C:\Users\Biko\Dropbox\PhD\Research\Models\SUMO\SUMO_DropBox\Belmont_Ave-Run\Belmont-AOI-Run_Files\Belmount_AOI-V5.net.xml-i C:\Users\Biko\Dropbox\PhD\Research\Models\SUMO\SUMO_DropBox\Belmont_Ave-Run\Belmont_AOI-Routing\BM-Flow_File\Belmont-AOI-routes-route-id-196358983_7.3qPKW.txt --xlabel [m] --ylabel [m] --xticks 2252.80,6549.77,1000,16 --yticks 1956.49,6600,1000,16 --selected-width 3 --edge-width .5 -o Belmont-AOI-routes-route-id-196358983_7.3qPKW.png --edge-color #606060 --selected-color #800000 /</v>
      </c>
    </row>
    <row r="36" spans="2:5" x14ac:dyDescent="0.25">
      <c r="B36" s="5" t="s">
        <v>5325</v>
      </c>
      <c r="D36" t="str">
        <f t="shared" si="0"/>
        <v>-o Belmont-AOI-routes-route-id-196358983_7.4qPKW.png</v>
      </c>
      <c r="E36" s="17" t="str">
        <f t="shared" si="1"/>
        <v>python C:\Sumo\SUMO-0.31.0\sumo-0.31.0\tools\visualization\plot_net_selection.py -n C:\Users\Biko\Dropbox\PhD\Research\Models\SUMO\SUMO_DropBox\Belmont_Ave-Run\Belmont-AOI-Run_Files\Belmount_AOI-V5.net.xml-i C:\Users\Biko\Dropbox\PhD\Research\Models\SUMO\SUMO_DropBox\Belmont_Ave-Run\Belmont_AOI-Routing\BM-Flow_File\Belmont-AOI-routes-route-id-196358983_7.4qPKW.txt --xlabel [m] --ylabel [m] --xticks 2252.80,6549.77,1000,16 --yticks 1956.49,6600,1000,16 --selected-width 3 --edge-width .5 -o Belmont-AOI-routes-route-id-196358983_7.4qPKW.png --edge-color #606060 --selected-color #800000 /</v>
      </c>
    </row>
    <row r="37" spans="2:5" x14ac:dyDescent="0.25">
      <c r="B37" s="5" t="s">
        <v>5326</v>
      </c>
      <c r="D37" t="str">
        <f t="shared" si="0"/>
        <v>-o Belmont-AOI-routes-route-id-196358983_7.5qPKW.png</v>
      </c>
      <c r="E37" s="17" t="str">
        <f t="shared" si="1"/>
        <v>python C:\Sumo\SUMO-0.31.0\sumo-0.31.0\tools\visualization\plot_net_selection.py -n C:\Users\Biko\Dropbox\PhD\Research\Models\SUMO\SUMO_DropBox\Belmont_Ave-Run\Belmont-AOI-Run_Files\Belmount_AOI-V5.net.xml-i C:\Users\Biko\Dropbox\PhD\Research\Models\SUMO\SUMO_DropBox\Belmont_Ave-Run\Belmont_AOI-Routing\BM-Flow_File\Belmont-AOI-routes-route-id-196358983_7.5qPKW.txt --xlabel [m] --ylabel [m] --xticks 2252.80,6549.77,1000,16 --yticks 1956.49,6600,1000,16 --selected-width 3 --edge-width .5 -o Belmont-AOI-routes-route-id-196358983_7.5qPKW.png --edge-color #606060 --selected-color #800000 /</v>
      </c>
    </row>
    <row r="38" spans="2:5" x14ac:dyDescent="0.25">
      <c r="B38" s="5" t="s">
        <v>5327</v>
      </c>
      <c r="D38" t="str">
        <f t="shared" si="0"/>
        <v>-o Belmont-AOI-routes-route-id-196358983_7.6qPKW.png</v>
      </c>
      <c r="E38" s="17" t="str">
        <f t="shared" si="1"/>
        <v>python C:\Sumo\SUMO-0.31.0\sumo-0.31.0\tools\visualization\plot_net_selection.py -n C:\Users\Biko\Dropbox\PhD\Research\Models\SUMO\SUMO_DropBox\Belmont_Ave-Run\Belmont-AOI-Run_Files\Belmount_AOI-V5.net.xml-i C:\Users\Biko\Dropbox\PhD\Research\Models\SUMO\SUMO_DropBox\Belmont_Ave-Run\Belmont_AOI-Routing\BM-Flow_File\Belmont-AOI-routes-route-id-196358983_7.6qPKW.txt --xlabel [m] --ylabel [m] --xticks 2252.80,6549.77,1000,16 --yticks 1956.49,6600,1000,16 --selected-width 3 --edge-width .5 -o Belmont-AOI-routes-route-id-196358983_7.6qPKW.png --edge-color #606060 --selected-color #800000 /</v>
      </c>
    </row>
    <row r="39" spans="2:5" x14ac:dyDescent="0.25">
      <c r="B39" s="5" t="s">
        <v>5328</v>
      </c>
      <c r="D39" t="str">
        <f t="shared" si="0"/>
        <v>-o Belmont-AOI-routes-route-id-196358983_7.7qPKW.png</v>
      </c>
      <c r="E39" s="17" t="str">
        <f t="shared" si="1"/>
        <v>python C:\Sumo\SUMO-0.31.0\sumo-0.31.0\tools\visualization\plot_net_selection.py -n C:\Users\Biko\Dropbox\PhD\Research\Models\SUMO\SUMO_DropBox\Belmont_Ave-Run\Belmont-AOI-Run_Files\Belmount_AOI-V5.net.xml-i C:\Users\Biko\Dropbox\PhD\Research\Models\SUMO\SUMO_DropBox\Belmont_Ave-Run\Belmont_AOI-Routing\BM-Flow_File\Belmont-AOI-routes-route-id-196358983_7.7qPKW.txt --xlabel [m] --ylabel [m] --xticks 2252.80,6549.77,1000,16 --yticks 1956.49,6600,1000,16 --selected-width 3 --edge-width .5 -o Belmont-AOI-routes-route-id-196358983_7.7qPKW.png --edge-color #606060 --selected-color #800000 /</v>
      </c>
    </row>
    <row r="40" spans="2:5" x14ac:dyDescent="0.25">
      <c r="B40" s="5" t="s">
        <v>5329</v>
      </c>
      <c r="D40" t="str">
        <f t="shared" si="0"/>
        <v>-o Belmont-AOI-routes-route-id-196358983_7.8qPKW.png</v>
      </c>
      <c r="E40" s="17" t="str">
        <f t="shared" si="1"/>
        <v>python C:\Sumo\SUMO-0.31.0\sumo-0.31.0\tools\visualization\plot_net_selection.py -n C:\Users\Biko\Dropbox\PhD\Research\Models\SUMO\SUMO_DropBox\Belmont_Ave-Run\Belmont-AOI-Run_Files\Belmount_AOI-V5.net.xml-i C:\Users\Biko\Dropbox\PhD\Research\Models\SUMO\SUMO_DropBox\Belmont_Ave-Run\Belmont_AOI-Routing\BM-Flow_File\Belmont-AOI-routes-route-id-196358983_7.8qPKW.txt --xlabel [m] --ylabel [m] --xticks 2252.80,6549.77,1000,16 --yticks 1956.49,6600,1000,16 --selected-width 3 --edge-width .5 -o Belmont-AOI-routes-route-id-196358983_7.8qPKW.png --edge-color #606060 --selected-color #800000 /</v>
      </c>
    </row>
    <row r="41" spans="2:5" x14ac:dyDescent="0.25">
      <c r="B41" s="5" t="s">
        <v>5330</v>
      </c>
      <c r="D41" t="str">
        <f t="shared" si="0"/>
        <v>-o Belmont-AOI-routes-route-id12150712_3.0qPKW.png</v>
      </c>
      <c r="E41" s="17" t="str">
        <f t="shared" si="1"/>
        <v>python C:\Sumo\SUMO-0.31.0\sumo-0.31.0\tools\visualization\plot_net_selection.py -n C:\Users\Biko\Dropbox\PhD\Research\Models\SUMO\SUMO_DropBox\Belmont_Ave-Run\Belmont-AOI-Run_Files\Belmount_AOI-V5.net.xml-i C:\Users\Biko\Dropbox\PhD\Research\Models\SUMO\SUMO_DropBox\Belmont_Ave-Run\Belmont_AOI-Routing\BM-Flow_File\Belmont-AOI-routes-route-id12150712_3.0qPKW.txt --xlabel [m] --ylabel [m] --xticks 2252.80,6549.77,1000,16 --yticks 1956.49,6600,1000,16 --selected-width 3 --edge-width .5 -o Belmont-AOI-routes-route-id12150712_3.0qPKW.png --edge-color #606060 --selected-color #800000 /</v>
      </c>
    </row>
    <row r="42" spans="2:5" x14ac:dyDescent="0.25">
      <c r="B42" s="5" t="s">
        <v>5331</v>
      </c>
      <c r="D42" t="str">
        <f t="shared" si="0"/>
        <v>-o Belmont-AOI-routes-route-id134558401.0qPKW.png</v>
      </c>
      <c r="E42" s="17" t="str">
        <f t="shared" si="1"/>
        <v>python C:\Sumo\SUMO-0.31.0\sumo-0.31.0\tools\visualization\plot_net_selection.py -n C:\Users\Biko\Dropbox\PhD\Research\Models\SUMO\SUMO_DropBox\Belmont_Ave-Run\Belmont-AOI-Run_Files\Belmount_AOI-V5.net.xml-i C:\Users\Biko\Dropbox\PhD\Research\Models\SUMO\SUMO_DropBox\Belmont_Ave-Run\Belmont_AOI-Routing\BM-Flow_File\Belmont-AOI-routes-route-id134558401.0qPKW.txt --xlabel [m] --ylabel [m] --xticks 2252.80,6549.77,1000,16 --yticks 1956.49,6600,1000,16 --selected-width 3 --edge-width .5 -o Belmont-AOI-routes-route-id134558401.0qPKW.png --edge-color #606060 --selected-color #800000 /</v>
      </c>
    </row>
    <row r="43" spans="2:5" x14ac:dyDescent="0.25">
      <c r="B43" s="5" t="s">
        <v>5332</v>
      </c>
      <c r="D43" t="str">
        <f t="shared" si="0"/>
        <v>-o Belmont-AOI-routes-route-id134558401.10qPKW.png</v>
      </c>
      <c r="E43" s="17" t="str">
        <f t="shared" si="1"/>
        <v>python C:\Sumo\SUMO-0.31.0\sumo-0.31.0\tools\visualization\plot_net_selection.py -n C:\Users\Biko\Dropbox\PhD\Research\Models\SUMO\SUMO_DropBox\Belmont_Ave-Run\Belmont-AOI-Run_Files\Belmount_AOI-V5.net.xml-i C:\Users\Biko\Dropbox\PhD\Research\Models\SUMO\SUMO_DropBox\Belmont_Ave-Run\Belmont_AOI-Routing\BM-Flow_File\Belmont-AOI-routes-route-id134558401.10qPKW.txt --xlabel [m] --ylabel [m] --xticks 2252.80,6549.77,1000,16 --yticks 1956.49,6600,1000,16 --selected-width 3 --edge-width .5 -o Belmont-AOI-routes-route-id134558401.10qPKW.png --edge-color #606060 --selected-color #800000 /</v>
      </c>
    </row>
    <row r="44" spans="2:5" x14ac:dyDescent="0.25">
      <c r="B44" s="5" t="s">
        <v>5333</v>
      </c>
      <c r="D44" t="str">
        <f t="shared" si="0"/>
        <v>-o Belmont-AOI-routes-route-id134558401.1qPKW.png</v>
      </c>
      <c r="E44" s="17" t="str">
        <f t="shared" si="1"/>
        <v>python C:\Sumo\SUMO-0.31.0\sumo-0.31.0\tools\visualization\plot_net_selection.py -n C:\Users\Biko\Dropbox\PhD\Research\Models\SUMO\SUMO_DropBox\Belmont_Ave-Run\Belmont-AOI-Run_Files\Belmount_AOI-V5.net.xml-i C:\Users\Biko\Dropbox\PhD\Research\Models\SUMO\SUMO_DropBox\Belmont_Ave-Run\Belmont_AOI-Routing\BM-Flow_File\Belmont-AOI-routes-route-id134558401.1qPKW.txt --xlabel [m] --ylabel [m] --xticks 2252.80,6549.77,1000,16 --yticks 1956.49,6600,1000,16 --selected-width 3 --edge-width .5 -o Belmont-AOI-routes-route-id134558401.1qPKW.png --edge-color #606060 --selected-color #800000 /</v>
      </c>
    </row>
    <row r="45" spans="2:5" x14ac:dyDescent="0.25">
      <c r="B45" s="5" t="s">
        <v>5334</v>
      </c>
      <c r="D45" t="str">
        <f t="shared" si="0"/>
        <v>-o Belmont-AOI-routes-route-id134558401.2qPKW.png</v>
      </c>
      <c r="E45" s="17" t="str">
        <f t="shared" si="1"/>
        <v>python C:\Sumo\SUMO-0.31.0\sumo-0.31.0\tools\visualization\plot_net_selection.py -n C:\Users\Biko\Dropbox\PhD\Research\Models\SUMO\SUMO_DropBox\Belmont_Ave-Run\Belmont-AOI-Run_Files\Belmount_AOI-V5.net.xml-i C:\Users\Biko\Dropbox\PhD\Research\Models\SUMO\SUMO_DropBox\Belmont_Ave-Run\Belmont_AOI-Routing\BM-Flow_File\Belmont-AOI-routes-route-id134558401.2qPKW.txt --xlabel [m] --ylabel [m] --xticks 2252.80,6549.77,1000,16 --yticks 1956.49,6600,1000,16 --selected-width 3 --edge-width .5 -o Belmont-AOI-routes-route-id134558401.2qPKW.png --edge-color #606060 --selected-color #800000 /</v>
      </c>
    </row>
    <row r="46" spans="2:5" x14ac:dyDescent="0.25">
      <c r="B46" s="5" t="s">
        <v>5335</v>
      </c>
      <c r="D46" t="str">
        <f t="shared" si="0"/>
        <v>-o Belmont-AOI-routes-route-id134558401.3qPKW.png</v>
      </c>
      <c r="E46" s="17" t="str">
        <f t="shared" si="1"/>
        <v>python C:\Sumo\SUMO-0.31.0\sumo-0.31.0\tools\visualization\plot_net_selection.py -n C:\Users\Biko\Dropbox\PhD\Research\Models\SUMO\SUMO_DropBox\Belmont_Ave-Run\Belmont-AOI-Run_Files\Belmount_AOI-V5.net.xml-i C:\Users\Biko\Dropbox\PhD\Research\Models\SUMO\SUMO_DropBox\Belmont_Ave-Run\Belmont_AOI-Routing\BM-Flow_File\Belmont-AOI-routes-route-id134558401.3qPKW.txt --xlabel [m] --ylabel [m] --xticks 2252.80,6549.77,1000,16 --yticks 1956.49,6600,1000,16 --selected-width 3 --edge-width .5 -o Belmont-AOI-routes-route-id134558401.3qPKW.png --edge-color #606060 --selected-color #800000 /</v>
      </c>
    </row>
    <row r="47" spans="2:5" x14ac:dyDescent="0.25">
      <c r="B47" s="5" t="s">
        <v>5336</v>
      </c>
      <c r="D47" t="str">
        <f t="shared" si="0"/>
        <v>-o Belmont-AOI-routes-route-id134558401.4qPKW.png</v>
      </c>
      <c r="E47" s="17" t="str">
        <f t="shared" si="1"/>
        <v>python C:\Sumo\SUMO-0.31.0\sumo-0.31.0\tools\visualization\plot_net_selection.py -n C:\Users\Biko\Dropbox\PhD\Research\Models\SUMO\SUMO_DropBox\Belmont_Ave-Run\Belmont-AOI-Run_Files\Belmount_AOI-V5.net.xml-i C:\Users\Biko\Dropbox\PhD\Research\Models\SUMO\SUMO_DropBox\Belmont_Ave-Run\Belmont_AOI-Routing\BM-Flow_File\Belmont-AOI-routes-route-id134558401.4qPKW.txt --xlabel [m] --ylabel [m] --xticks 2252.80,6549.77,1000,16 --yticks 1956.49,6600,1000,16 --selected-width 3 --edge-width .5 -o Belmont-AOI-routes-route-id134558401.4qPKW.png --edge-color #606060 --selected-color #800000 /</v>
      </c>
    </row>
    <row r="48" spans="2:5" x14ac:dyDescent="0.25">
      <c r="B48" s="5" t="s">
        <v>5337</v>
      </c>
      <c r="D48" t="str">
        <f t="shared" si="0"/>
        <v>-o Belmont-AOI-routes-route-id134558401.5qPKW.png</v>
      </c>
      <c r="E48" s="17" t="str">
        <f t="shared" si="1"/>
        <v>python C:\Sumo\SUMO-0.31.0\sumo-0.31.0\tools\visualization\plot_net_selection.py -n C:\Users\Biko\Dropbox\PhD\Research\Models\SUMO\SUMO_DropBox\Belmont_Ave-Run\Belmont-AOI-Run_Files\Belmount_AOI-V5.net.xml-i C:\Users\Biko\Dropbox\PhD\Research\Models\SUMO\SUMO_DropBox\Belmont_Ave-Run\Belmont_AOI-Routing\BM-Flow_File\Belmont-AOI-routes-route-id134558401.5qPKW.txt --xlabel [m] --ylabel [m] --xticks 2252.80,6549.77,1000,16 --yticks 1956.49,6600,1000,16 --selected-width 3 --edge-width .5 -o Belmont-AOI-routes-route-id134558401.5qPKW.png --edge-color #606060 --selected-color #800000 /</v>
      </c>
    </row>
    <row r="49" spans="2:5" x14ac:dyDescent="0.25">
      <c r="B49" s="5" t="s">
        <v>5338</v>
      </c>
      <c r="D49" t="str">
        <f t="shared" si="0"/>
        <v>-o Belmont-AOI-routes-route-id134558401.6qPKW.png</v>
      </c>
      <c r="E49" s="17" t="str">
        <f t="shared" si="1"/>
        <v>python C:\Sumo\SUMO-0.31.0\sumo-0.31.0\tools\visualization\plot_net_selection.py -n C:\Users\Biko\Dropbox\PhD\Research\Models\SUMO\SUMO_DropBox\Belmont_Ave-Run\Belmont-AOI-Run_Files\Belmount_AOI-V5.net.xml-i C:\Users\Biko\Dropbox\PhD\Research\Models\SUMO\SUMO_DropBox\Belmont_Ave-Run\Belmont_AOI-Routing\BM-Flow_File\Belmont-AOI-routes-route-id134558401.6qPKW.txt --xlabel [m] --ylabel [m] --xticks 2252.80,6549.77,1000,16 --yticks 1956.49,6600,1000,16 --selected-width 3 --edge-width .5 -o Belmont-AOI-routes-route-id134558401.6qPKW.png --edge-color #606060 --selected-color #800000 /</v>
      </c>
    </row>
    <row r="50" spans="2:5" x14ac:dyDescent="0.25">
      <c r="B50" s="5" t="s">
        <v>5339</v>
      </c>
      <c r="D50" t="str">
        <f t="shared" si="0"/>
        <v>-o Belmont-AOI-routes-route-id134558401.7qPKW.png</v>
      </c>
      <c r="E50" s="17" t="str">
        <f t="shared" si="1"/>
        <v>python C:\Sumo\SUMO-0.31.0\sumo-0.31.0\tools\visualization\plot_net_selection.py -n C:\Users\Biko\Dropbox\PhD\Research\Models\SUMO\SUMO_DropBox\Belmont_Ave-Run\Belmont-AOI-Run_Files\Belmount_AOI-V5.net.xml-i C:\Users\Biko\Dropbox\PhD\Research\Models\SUMO\SUMO_DropBox\Belmont_Ave-Run\Belmont_AOI-Routing\BM-Flow_File\Belmont-AOI-routes-route-id134558401.7qPKW.txt --xlabel [m] --ylabel [m] --xticks 2252.80,6549.77,1000,16 --yticks 1956.49,6600,1000,16 --selected-width 3 --edge-width .5 -o Belmont-AOI-routes-route-id134558401.7qPKW.png --edge-color #606060 --selected-color #800000 /</v>
      </c>
    </row>
    <row r="51" spans="2:5" x14ac:dyDescent="0.25">
      <c r="B51" s="5" t="s">
        <v>5340</v>
      </c>
      <c r="D51" t="str">
        <f t="shared" si="0"/>
        <v>-o Belmont-AOI-routes-route-id134558401.8qPKW.png</v>
      </c>
      <c r="E51" s="17" t="str">
        <f t="shared" si="1"/>
        <v>python C:\Sumo\SUMO-0.31.0\sumo-0.31.0\tools\visualization\plot_net_selection.py -n C:\Users\Biko\Dropbox\PhD\Research\Models\SUMO\SUMO_DropBox\Belmont_Ave-Run\Belmont-AOI-Run_Files\Belmount_AOI-V5.net.xml-i C:\Users\Biko\Dropbox\PhD\Research\Models\SUMO\SUMO_DropBox\Belmont_Ave-Run\Belmont_AOI-Routing\BM-Flow_File\Belmont-AOI-routes-route-id134558401.8qPKW.txt --xlabel [m] --ylabel [m] --xticks 2252.80,6549.77,1000,16 --yticks 1956.49,6600,1000,16 --selected-width 3 --edge-width .5 -o Belmont-AOI-routes-route-id134558401.8qPKW.png --edge-color #606060 --selected-color #800000 /</v>
      </c>
    </row>
    <row r="52" spans="2:5" x14ac:dyDescent="0.25">
      <c r="B52" s="5" t="s">
        <v>5341</v>
      </c>
      <c r="D52" t="str">
        <f t="shared" si="0"/>
        <v>-o Belmont-AOI-routes-route-id134558401.9qPKW.png</v>
      </c>
      <c r="E52" s="17" t="str">
        <f t="shared" si="1"/>
        <v>python C:\Sumo\SUMO-0.31.0\sumo-0.31.0\tools\visualization\plot_net_selection.py -n C:\Users\Biko\Dropbox\PhD\Research\Models\SUMO\SUMO_DropBox\Belmont_Ave-Run\Belmont-AOI-Run_Files\Belmount_AOI-V5.net.xml-i C:\Users\Biko\Dropbox\PhD\Research\Models\SUMO\SUMO_DropBox\Belmont_Ave-Run\Belmont_AOI-Routing\BM-Flow_File\Belmont-AOI-routes-route-id134558401.9qPKW.txt --xlabel [m] --ylabel [m] --xticks 2252.80,6549.77,1000,16 --yticks 1956.49,6600,1000,16 --selected-width 3 --edge-width .5 -o Belmont-AOI-routes-route-id134558401.9qPKW.png --edge-color #606060 --selected-color #800000 /</v>
      </c>
    </row>
    <row r="53" spans="2:5" x14ac:dyDescent="0.25">
      <c r="B53" s="5"/>
      <c r="D53" t="e">
        <f t="shared" si="0"/>
        <v>#VALUE!</v>
      </c>
      <c r="E53" s="17"/>
    </row>
    <row r="54" spans="2:5" x14ac:dyDescent="0.25">
      <c r="B54" s="5"/>
      <c r="D54" t="e">
        <f t="shared" si="0"/>
        <v>#VALUE!</v>
      </c>
      <c r="E54" s="17"/>
    </row>
    <row r="55" spans="2:5" x14ac:dyDescent="0.25">
      <c r="B55" s="5"/>
      <c r="D55" t="e">
        <f t="shared" si="0"/>
        <v>#VALUE!</v>
      </c>
      <c r="E55" s="17"/>
    </row>
    <row r="56" spans="2:5" x14ac:dyDescent="0.25">
      <c r="B56" s="5"/>
      <c r="D56" t="e">
        <f t="shared" si="0"/>
        <v>#VALUE!</v>
      </c>
      <c r="E56" s="17"/>
    </row>
    <row r="57" spans="2:5" x14ac:dyDescent="0.25">
      <c r="B57" s="5"/>
      <c r="D57" t="e">
        <f t="shared" si="0"/>
        <v>#VALUE!</v>
      </c>
      <c r="E57" s="17"/>
    </row>
    <row r="58" spans="2:5" x14ac:dyDescent="0.25">
      <c r="B58" s="5"/>
      <c r="D58" t="e">
        <f t="shared" si="0"/>
        <v>#VALUE!</v>
      </c>
      <c r="E58" s="17"/>
    </row>
    <row r="59" spans="2:5" x14ac:dyDescent="0.25">
      <c r="B59" s="5"/>
      <c r="D59" t="e">
        <f t="shared" si="0"/>
        <v>#VALUE!</v>
      </c>
      <c r="E59" s="17"/>
    </row>
    <row r="60" spans="2:5" x14ac:dyDescent="0.25">
      <c r="B60" s="5"/>
      <c r="D60" t="e">
        <f t="shared" si="0"/>
        <v>#VALUE!</v>
      </c>
      <c r="E60" s="17"/>
    </row>
    <row r="61" spans="2:5" x14ac:dyDescent="0.25">
      <c r="B61" s="5"/>
      <c r="D61" t="e">
        <f t="shared" si="0"/>
        <v>#VALUE!</v>
      </c>
      <c r="E61" s="17"/>
    </row>
    <row r="62" spans="2:5" x14ac:dyDescent="0.25">
      <c r="B62" s="5"/>
      <c r="D62" t="e">
        <f t="shared" si="0"/>
        <v>#VALUE!</v>
      </c>
      <c r="E62" s="17"/>
    </row>
    <row r="63" spans="2:5" x14ac:dyDescent="0.25">
      <c r="B63" s="5"/>
      <c r="D63" t="e">
        <f t="shared" si="0"/>
        <v>#VALUE!</v>
      </c>
      <c r="E63" s="17"/>
    </row>
    <row r="64" spans="2:5" x14ac:dyDescent="0.25">
      <c r="B64" s="5"/>
      <c r="D64" t="e">
        <f t="shared" si="0"/>
        <v>#VALUE!</v>
      </c>
      <c r="E64" s="17"/>
    </row>
    <row r="65" spans="2:5" x14ac:dyDescent="0.25">
      <c r="B65" s="5"/>
      <c r="D65" t="e">
        <f t="shared" si="0"/>
        <v>#VALUE!</v>
      </c>
      <c r="E65" s="17"/>
    </row>
    <row r="66" spans="2:5" x14ac:dyDescent="0.25">
      <c r="B66" s="5"/>
      <c r="D66" t="e">
        <f t="shared" si="0"/>
        <v>#VALUE!</v>
      </c>
      <c r="E66" s="17"/>
    </row>
    <row r="67" spans="2:5" x14ac:dyDescent="0.25">
      <c r="D67" t="e">
        <f t="shared" si="0"/>
        <v>#VALUE!</v>
      </c>
    </row>
    <row r="68" spans="2:5" x14ac:dyDescent="0.25">
      <c r="D68" t="e">
        <f t="shared" ref="D68:D131" si="2">_xlfn.CONCAT("-o ",LEFT(B68,LEN(B68)-4),".png")</f>
        <v>#VALUE!</v>
      </c>
      <c r="E68" t="e">
        <f t="shared" ref="E68:E131" si="3">_xlfn.CONCAT($A$1,$B$1,B68,$C$1,D68,$E$1)</f>
        <v>#VALUE!</v>
      </c>
    </row>
    <row r="69" spans="2:5" x14ac:dyDescent="0.25">
      <c r="D69" t="e">
        <f t="shared" si="2"/>
        <v>#VALUE!</v>
      </c>
      <c r="E69" t="e">
        <f t="shared" si="3"/>
        <v>#VALUE!</v>
      </c>
    </row>
    <row r="70" spans="2:5" x14ac:dyDescent="0.25">
      <c r="D70" t="e">
        <f t="shared" si="2"/>
        <v>#VALUE!</v>
      </c>
      <c r="E70" t="e">
        <f t="shared" si="3"/>
        <v>#VALUE!</v>
      </c>
    </row>
    <row r="71" spans="2:5" x14ac:dyDescent="0.25">
      <c r="D71" t="e">
        <f t="shared" si="2"/>
        <v>#VALUE!</v>
      </c>
      <c r="E71" t="e">
        <f t="shared" si="3"/>
        <v>#VALUE!</v>
      </c>
    </row>
    <row r="72" spans="2:5" x14ac:dyDescent="0.25">
      <c r="D72" t="e">
        <f t="shared" si="2"/>
        <v>#VALUE!</v>
      </c>
      <c r="E72" t="e">
        <f t="shared" si="3"/>
        <v>#VALUE!</v>
      </c>
    </row>
    <row r="73" spans="2:5" x14ac:dyDescent="0.25">
      <c r="D73" t="e">
        <f t="shared" si="2"/>
        <v>#VALUE!</v>
      </c>
      <c r="E73" t="e">
        <f t="shared" si="3"/>
        <v>#VALUE!</v>
      </c>
    </row>
    <row r="74" spans="2:5" x14ac:dyDescent="0.25">
      <c r="D74" t="e">
        <f t="shared" si="2"/>
        <v>#VALUE!</v>
      </c>
      <c r="E74" t="e">
        <f t="shared" si="3"/>
        <v>#VALUE!</v>
      </c>
    </row>
    <row r="75" spans="2:5" x14ac:dyDescent="0.25">
      <c r="D75" t="e">
        <f t="shared" si="2"/>
        <v>#VALUE!</v>
      </c>
      <c r="E75" t="e">
        <f t="shared" si="3"/>
        <v>#VALUE!</v>
      </c>
    </row>
    <row r="76" spans="2:5" x14ac:dyDescent="0.25">
      <c r="D76" t="e">
        <f t="shared" si="2"/>
        <v>#VALUE!</v>
      </c>
      <c r="E76" t="e">
        <f t="shared" si="3"/>
        <v>#VALUE!</v>
      </c>
    </row>
    <row r="77" spans="2:5" x14ac:dyDescent="0.25">
      <c r="D77" t="e">
        <f t="shared" si="2"/>
        <v>#VALUE!</v>
      </c>
      <c r="E77" t="e">
        <f t="shared" si="3"/>
        <v>#VALUE!</v>
      </c>
    </row>
    <row r="78" spans="2:5" x14ac:dyDescent="0.25">
      <c r="D78" t="e">
        <f t="shared" si="2"/>
        <v>#VALUE!</v>
      </c>
      <c r="E78" t="e">
        <f t="shared" si="3"/>
        <v>#VALUE!</v>
      </c>
    </row>
    <row r="79" spans="2:5" x14ac:dyDescent="0.25">
      <c r="D79" t="e">
        <f t="shared" si="2"/>
        <v>#VALUE!</v>
      </c>
      <c r="E79" t="e">
        <f t="shared" si="3"/>
        <v>#VALUE!</v>
      </c>
    </row>
    <row r="80" spans="2:5" x14ac:dyDescent="0.25">
      <c r="D80" t="e">
        <f t="shared" si="2"/>
        <v>#VALUE!</v>
      </c>
      <c r="E80" t="e">
        <f t="shared" si="3"/>
        <v>#VALUE!</v>
      </c>
    </row>
    <row r="81" spans="4:5" x14ac:dyDescent="0.25">
      <c r="D81" t="e">
        <f t="shared" si="2"/>
        <v>#VALUE!</v>
      </c>
      <c r="E81" t="e">
        <f t="shared" si="3"/>
        <v>#VALUE!</v>
      </c>
    </row>
    <row r="82" spans="4:5" x14ac:dyDescent="0.25">
      <c r="D82" t="e">
        <f t="shared" si="2"/>
        <v>#VALUE!</v>
      </c>
      <c r="E82" t="e">
        <f t="shared" si="3"/>
        <v>#VALUE!</v>
      </c>
    </row>
    <row r="83" spans="4:5" x14ac:dyDescent="0.25">
      <c r="D83" t="e">
        <f t="shared" si="2"/>
        <v>#VALUE!</v>
      </c>
      <c r="E83" t="e">
        <f t="shared" si="3"/>
        <v>#VALUE!</v>
      </c>
    </row>
    <row r="84" spans="4:5" x14ac:dyDescent="0.25">
      <c r="D84" t="e">
        <f t="shared" si="2"/>
        <v>#VALUE!</v>
      </c>
      <c r="E84" t="e">
        <f t="shared" si="3"/>
        <v>#VALUE!</v>
      </c>
    </row>
    <row r="85" spans="4:5" x14ac:dyDescent="0.25">
      <c r="D85" t="e">
        <f t="shared" si="2"/>
        <v>#VALUE!</v>
      </c>
      <c r="E85" t="e">
        <f t="shared" si="3"/>
        <v>#VALUE!</v>
      </c>
    </row>
    <row r="86" spans="4:5" x14ac:dyDescent="0.25">
      <c r="D86" t="e">
        <f t="shared" si="2"/>
        <v>#VALUE!</v>
      </c>
      <c r="E86" t="e">
        <f t="shared" si="3"/>
        <v>#VALUE!</v>
      </c>
    </row>
    <row r="87" spans="4:5" x14ac:dyDescent="0.25">
      <c r="D87" t="e">
        <f t="shared" si="2"/>
        <v>#VALUE!</v>
      </c>
      <c r="E87" t="e">
        <f t="shared" si="3"/>
        <v>#VALUE!</v>
      </c>
    </row>
    <row r="88" spans="4:5" x14ac:dyDescent="0.25">
      <c r="D88" t="e">
        <f t="shared" si="2"/>
        <v>#VALUE!</v>
      </c>
      <c r="E88" t="e">
        <f t="shared" si="3"/>
        <v>#VALUE!</v>
      </c>
    </row>
    <row r="89" spans="4:5" x14ac:dyDescent="0.25">
      <c r="D89" t="e">
        <f t="shared" si="2"/>
        <v>#VALUE!</v>
      </c>
      <c r="E89" t="e">
        <f t="shared" si="3"/>
        <v>#VALUE!</v>
      </c>
    </row>
    <row r="90" spans="4:5" x14ac:dyDescent="0.25">
      <c r="D90" t="e">
        <f t="shared" si="2"/>
        <v>#VALUE!</v>
      </c>
      <c r="E90" t="e">
        <f t="shared" si="3"/>
        <v>#VALUE!</v>
      </c>
    </row>
    <row r="91" spans="4:5" x14ac:dyDescent="0.25">
      <c r="D91" t="e">
        <f t="shared" si="2"/>
        <v>#VALUE!</v>
      </c>
      <c r="E91" t="e">
        <f t="shared" si="3"/>
        <v>#VALUE!</v>
      </c>
    </row>
    <row r="92" spans="4:5" x14ac:dyDescent="0.25">
      <c r="D92" t="e">
        <f t="shared" si="2"/>
        <v>#VALUE!</v>
      </c>
      <c r="E92" t="e">
        <f t="shared" si="3"/>
        <v>#VALUE!</v>
      </c>
    </row>
    <row r="93" spans="4:5" x14ac:dyDescent="0.25">
      <c r="D93" t="e">
        <f t="shared" si="2"/>
        <v>#VALUE!</v>
      </c>
      <c r="E93" t="e">
        <f t="shared" si="3"/>
        <v>#VALUE!</v>
      </c>
    </row>
    <row r="94" spans="4:5" x14ac:dyDescent="0.25">
      <c r="D94" t="e">
        <f t="shared" si="2"/>
        <v>#VALUE!</v>
      </c>
      <c r="E94" t="e">
        <f t="shared" si="3"/>
        <v>#VALUE!</v>
      </c>
    </row>
    <row r="95" spans="4:5" x14ac:dyDescent="0.25">
      <c r="D95" t="e">
        <f t="shared" si="2"/>
        <v>#VALUE!</v>
      </c>
      <c r="E95" t="e">
        <f t="shared" si="3"/>
        <v>#VALUE!</v>
      </c>
    </row>
    <row r="96" spans="4:5" x14ac:dyDescent="0.25">
      <c r="D96" t="e">
        <f t="shared" si="2"/>
        <v>#VALUE!</v>
      </c>
      <c r="E96" t="e">
        <f t="shared" si="3"/>
        <v>#VALUE!</v>
      </c>
    </row>
    <row r="97" spans="4:5" x14ac:dyDescent="0.25">
      <c r="D97" t="e">
        <f t="shared" si="2"/>
        <v>#VALUE!</v>
      </c>
      <c r="E97" t="e">
        <f t="shared" si="3"/>
        <v>#VALUE!</v>
      </c>
    </row>
    <row r="98" spans="4:5" x14ac:dyDescent="0.25">
      <c r="D98" t="e">
        <f t="shared" si="2"/>
        <v>#VALUE!</v>
      </c>
      <c r="E98" t="e">
        <f t="shared" si="3"/>
        <v>#VALUE!</v>
      </c>
    </row>
    <row r="99" spans="4:5" x14ac:dyDescent="0.25">
      <c r="D99" t="e">
        <f t="shared" si="2"/>
        <v>#VALUE!</v>
      </c>
      <c r="E99" t="e">
        <f t="shared" si="3"/>
        <v>#VALUE!</v>
      </c>
    </row>
    <row r="100" spans="4:5" x14ac:dyDescent="0.25">
      <c r="D100" t="e">
        <f t="shared" si="2"/>
        <v>#VALUE!</v>
      </c>
      <c r="E100" t="e">
        <f t="shared" si="3"/>
        <v>#VALUE!</v>
      </c>
    </row>
    <row r="101" spans="4:5" x14ac:dyDescent="0.25">
      <c r="D101" t="e">
        <f t="shared" si="2"/>
        <v>#VALUE!</v>
      </c>
      <c r="E101" t="e">
        <f t="shared" si="3"/>
        <v>#VALUE!</v>
      </c>
    </row>
    <row r="102" spans="4:5" x14ac:dyDescent="0.25">
      <c r="D102" t="e">
        <f t="shared" si="2"/>
        <v>#VALUE!</v>
      </c>
      <c r="E102" t="e">
        <f t="shared" si="3"/>
        <v>#VALUE!</v>
      </c>
    </row>
    <row r="103" spans="4:5" x14ac:dyDescent="0.25">
      <c r="D103" t="e">
        <f t="shared" si="2"/>
        <v>#VALUE!</v>
      </c>
      <c r="E103" t="e">
        <f t="shared" si="3"/>
        <v>#VALUE!</v>
      </c>
    </row>
    <row r="104" spans="4:5" x14ac:dyDescent="0.25">
      <c r="D104" t="e">
        <f t="shared" si="2"/>
        <v>#VALUE!</v>
      </c>
      <c r="E104" t="e">
        <f t="shared" si="3"/>
        <v>#VALUE!</v>
      </c>
    </row>
    <row r="105" spans="4:5" x14ac:dyDescent="0.25">
      <c r="D105" t="e">
        <f t="shared" si="2"/>
        <v>#VALUE!</v>
      </c>
      <c r="E105" t="e">
        <f t="shared" si="3"/>
        <v>#VALUE!</v>
      </c>
    </row>
    <row r="106" spans="4:5" x14ac:dyDescent="0.25">
      <c r="D106" t="e">
        <f t="shared" si="2"/>
        <v>#VALUE!</v>
      </c>
      <c r="E106" t="e">
        <f t="shared" si="3"/>
        <v>#VALUE!</v>
      </c>
    </row>
    <row r="107" spans="4:5" x14ac:dyDescent="0.25">
      <c r="D107" t="e">
        <f t="shared" si="2"/>
        <v>#VALUE!</v>
      </c>
      <c r="E107" t="e">
        <f t="shared" si="3"/>
        <v>#VALUE!</v>
      </c>
    </row>
    <row r="108" spans="4:5" x14ac:dyDescent="0.25">
      <c r="D108" t="e">
        <f t="shared" si="2"/>
        <v>#VALUE!</v>
      </c>
      <c r="E108" t="e">
        <f t="shared" si="3"/>
        <v>#VALUE!</v>
      </c>
    </row>
    <row r="109" spans="4:5" x14ac:dyDescent="0.25">
      <c r="D109" t="e">
        <f t="shared" si="2"/>
        <v>#VALUE!</v>
      </c>
      <c r="E109" t="e">
        <f t="shared" si="3"/>
        <v>#VALUE!</v>
      </c>
    </row>
    <row r="110" spans="4:5" x14ac:dyDescent="0.25">
      <c r="D110" t="e">
        <f t="shared" si="2"/>
        <v>#VALUE!</v>
      </c>
      <c r="E110" t="e">
        <f t="shared" si="3"/>
        <v>#VALUE!</v>
      </c>
    </row>
    <row r="111" spans="4:5" x14ac:dyDescent="0.25">
      <c r="D111" t="e">
        <f t="shared" si="2"/>
        <v>#VALUE!</v>
      </c>
      <c r="E111" t="e">
        <f t="shared" si="3"/>
        <v>#VALUE!</v>
      </c>
    </row>
    <row r="112" spans="4:5" x14ac:dyDescent="0.25">
      <c r="D112" t="e">
        <f t="shared" si="2"/>
        <v>#VALUE!</v>
      </c>
      <c r="E112" t="e">
        <f t="shared" si="3"/>
        <v>#VALUE!</v>
      </c>
    </row>
    <row r="113" spans="4:5" x14ac:dyDescent="0.25">
      <c r="D113" t="e">
        <f t="shared" si="2"/>
        <v>#VALUE!</v>
      </c>
      <c r="E113" t="e">
        <f t="shared" si="3"/>
        <v>#VALUE!</v>
      </c>
    </row>
    <row r="114" spans="4:5" x14ac:dyDescent="0.25">
      <c r="D114" t="e">
        <f t="shared" si="2"/>
        <v>#VALUE!</v>
      </c>
      <c r="E114" t="e">
        <f t="shared" si="3"/>
        <v>#VALUE!</v>
      </c>
    </row>
    <row r="115" spans="4:5" x14ac:dyDescent="0.25">
      <c r="D115" t="e">
        <f t="shared" si="2"/>
        <v>#VALUE!</v>
      </c>
      <c r="E115" t="e">
        <f t="shared" si="3"/>
        <v>#VALUE!</v>
      </c>
    </row>
    <row r="116" spans="4:5" x14ac:dyDescent="0.25">
      <c r="D116" t="e">
        <f t="shared" si="2"/>
        <v>#VALUE!</v>
      </c>
      <c r="E116" t="e">
        <f t="shared" si="3"/>
        <v>#VALUE!</v>
      </c>
    </row>
    <row r="117" spans="4:5" x14ac:dyDescent="0.25">
      <c r="D117" t="e">
        <f t="shared" si="2"/>
        <v>#VALUE!</v>
      </c>
      <c r="E117" t="e">
        <f t="shared" si="3"/>
        <v>#VALUE!</v>
      </c>
    </row>
    <row r="118" spans="4:5" x14ac:dyDescent="0.25">
      <c r="D118" t="e">
        <f t="shared" si="2"/>
        <v>#VALUE!</v>
      </c>
      <c r="E118" t="e">
        <f t="shared" si="3"/>
        <v>#VALUE!</v>
      </c>
    </row>
    <row r="119" spans="4:5" x14ac:dyDescent="0.25">
      <c r="D119" t="e">
        <f t="shared" si="2"/>
        <v>#VALUE!</v>
      </c>
      <c r="E119" t="e">
        <f t="shared" si="3"/>
        <v>#VALUE!</v>
      </c>
    </row>
    <row r="120" spans="4:5" x14ac:dyDescent="0.25">
      <c r="D120" t="e">
        <f t="shared" si="2"/>
        <v>#VALUE!</v>
      </c>
      <c r="E120" t="e">
        <f t="shared" si="3"/>
        <v>#VALUE!</v>
      </c>
    </row>
    <row r="121" spans="4:5" x14ac:dyDescent="0.25">
      <c r="D121" t="e">
        <f t="shared" si="2"/>
        <v>#VALUE!</v>
      </c>
      <c r="E121" t="e">
        <f t="shared" si="3"/>
        <v>#VALUE!</v>
      </c>
    </row>
    <row r="122" spans="4:5" x14ac:dyDescent="0.25">
      <c r="D122" t="e">
        <f t="shared" si="2"/>
        <v>#VALUE!</v>
      </c>
      <c r="E122" t="e">
        <f t="shared" si="3"/>
        <v>#VALUE!</v>
      </c>
    </row>
    <row r="123" spans="4:5" x14ac:dyDescent="0.25">
      <c r="D123" t="e">
        <f t="shared" si="2"/>
        <v>#VALUE!</v>
      </c>
      <c r="E123" t="e">
        <f t="shared" si="3"/>
        <v>#VALUE!</v>
      </c>
    </row>
    <row r="124" spans="4:5" x14ac:dyDescent="0.25">
      <c r="D124" t="e">
        <f t="shared" si="2"/>
        <v>#VALUE!</v>
      </c>
      <c r="E124" t="e">
        <f t="shared" si="3"/>
        <v>#VALUE!</v>
      </c>
    </row>
    <row r="125" spans="4:5" x14ac:dyDescent="0.25">
      <c r="D125" t="e">
        <f t="shared" si="2"/>
        <v>#VALUE!</v>
      </c>
      <c r="E125" t="e">
        <f t="shared" si="3"/>
        <v>#VALUE!</v>
      </c>
    </row>
    <row r="126" spans="4:5" x14ac:dyDescent="0.25">
      <c r="D126" t="e">
        <f t="shared" si="2"/>
        <v>#VALUE!</v>
      </c>
      <c r="E126" t="e">
        <f t="shared" si="3"/>
        <v>#VALUE!</v>
      </c>
    </row>
    <row r="127" spans="4:5" x14ac:dyDescent="0.25">
      <c r="D127" t="e">
        <f t="shared" si="2"/>
        <v>#VALUE!</v>
      </c>
      <c r="E127" t="e">
        <f t="shared" si="3"/>
        <v>#VALUE!</v>
      </c>
    </row>
    <row r="128" spans="4:5" x14ac:dyDescent="0.25">
      <c r="D128" t="e">
        <f t="shared" si="2"/>
        <v>#VALUE!</v>
      </c>
      <c r="E128" t="e">
        <f t="shared" si="3"/>
        <v>#VALUE!</v>
      </c>
    </row>
    <row r="129" spans="4:5" x14ac:dyDescent="0.25">
      <c r="D129" t="e">
        <f t="shared" si="2"/>
        <v>#VALUE!</v>
      </c>
      <c r="E129" t="e">
        <f t="shared" si="3"/>
        <v>#VALUE!</v>
      </c>
    </row>
    <row r="130" spans="4:5" x14ac:dyDescent="0.25">
      <c r="D130" t="e">
        <f t="shared" si="2"/>
        <v>#VALUE!</v>
      </c>
      <c r="E130" t="e">
        <f t="shared" si="3"/>
        <v>#VALUE!</v>
      </c>
    </row>
    <row r="131" spans="4:5" x14ac:dyDescent="0.25">
      <c r="D131" t="e">
        <f t="shared" si="2"/>
        <v>#VALUE!</v>
      </c>
      <c r="E131" t="e">
        <f t="shared" si="3"/>
        <v>#VALUE!</v>
      </c>
    </row>
    <row r="132" spans="4:5" x14ac:dyDescent="0.25">
      <c r="D132" t="e">
        <f t="shared" ref="D132:D195" si="4">_xlfn.CONCAT("-o ",LEFT(B132,LEN(B132)-4),".png")</f>
        <v>#VALUE!</v>
      </c>
      <c r="E132" t="e">
        <f t="shared" ref="E132:E195" si="5">_xlfn.CONCAT($A$1,$B$1,B132,$C$1,D132,$E$1)</f>
        <v>#VALUE!</v>
      </c>
    </row>
    <row r="133" spans="4:5" x14ac:dyDescent="0.25">
      <c r="D133" t="e">
        <f t="shared" si="4"/>
        <v>#VALUE!</v>
      </c>
      <c r="E133" t="e">
        <f t="shared" si="5"/>
        <v>#VALUE!</v>
      </c>
    </row>
    <row r="134" spans="4:5" x14ac:dyDescent="0.25">
      <c r="D134" t="e">
        <f t="shared" si="4"/>
        <v>#VALUE!</v>
      </c>
      <c r="E134" t="e">
        <f t="shared" si="5"/>
        <v>#VALUE!</v>
      </c>
    </row>
    <row r="135" spans="4:5" x14ac:dyDescent="0.25">
      <c r="D135" t="e">
        <f t="shared" si="4"/>
        <v>#VALUE!</v>
      </c>
      <c r="E135" t="e">
        <f t="shared" si="5"/>
        <v>#VALUE!</v>
      </c>
    </row>
    <row r="136" spans="4:5" x14ac:dyDescent="0.25">
      <c r="D136" t="e">
        <f t="shared" si="4"/>
        <v>#VALUE!</v>
      </c>
      <c r="E136" t="e">
        <f t="shared" si="5"/>
        <v>#VALUE!</v>
      </c>
    </row>
    <row r="137" spans="4:5" x14ac:dyDescent="0.25">
      <c r="D137" t="e">
        <f t="shared" si="4"/>
        <v>#VALUE!</v>
      </c>
      <c r="E137" t="e">
        <f t="shared" si="5"/>
        <v>#VALUE!</v>
      </c>
    </row>
    <row r="138" spans="4:5" x14ac:dyDescent="0.25">
      <c r="D138" t="e">
        <f t="shared" si="4"/>
        <v>#VALUE!</v>
      </c>
      <c r="E138" t="e">
        <f t="shared" si="5"/>
        <v>#VALUE!</v>
      </c>
    </row>
    <row r="139" spans="4:5" x14ac:dyDescent="0.25">
      <c r="D139" t="e">
        <f t="shared" si="4"/>
        <v>#VALUE!</v>
      </c>
      <c r="E139" t="e">
        <f t="shared" si="5"/>
        <v>#VALUE!</v>
      </c>
    </row>
    <row r="140" spans="4:5" x14ac:dyDescent="0.25">
      <c r="D140" t="e">
        <f t="shared" si="4"/>
        <v>#VALUE!</v>
      </c>
      <c r="E140" t="e">
        <f t="shared" si="5"/>
        <v>#VALUE!</v>
      </c>
    </row>
    <row r="141" spans="4:5" x14ac:dyDescent="0.25">
      <c r="D141" t="e">
        <f t="shared" si="4"/>
        <v>#VALUE!</v>
      </c>
      <c r="E141" t="e">
        <f t="shared" si="5"/>
        <v>#VALUE!</v>
      </c>
    </row>
    <row r="142" spans="4:5" x14ac:dyDescent="0.25">
      <c r="D142" t="e">
        <f t="shared" si="4"/>
        <v>#VALUE!</v>
      </c>
      <c r="E142" t="e">
        <f t="shared" si="5"/>
        <v>#VALUE!</v>
      </c>
    </row>
    <row r="143" spans="4:5" x14ac:dyDescent="0.25">
      <c r="D143" t="e">
        <f t="shared" si="4"/>
        <v>#VALUE!</v>
      </c>
      <c r="E143" t="e">
        <f t="shared" si="5"/>
        <v>#VALUE!</v>
      </c>
    </row>
    <row r="144" spans="4:5" x14ac:dyDescent="0.25">
      <c r="D144" t="e">
        <f t="shared" si="4"/>
        <v>#VALUE!</v>
      </c>
      <c r="E144" t="e">
        <f t="shared" si="5"/>
        <v>#VALUE!</v>
      </c>
    </row>
    <row r="145" spans="4:5" x14ac:dyDescent="0.25">
      <c r="D145" t="e">
        <f t="shared" si="4"/>
        <v>#VALUE!</v>
      </c>
      <c r="E145" t="e">
        <f t="shared" si="5"/>
        <v>#VALUE!</v>
      </c>
    </row>
    <row r="146" spans="4:5" x14ac:dyDescent="0.25">
      <c r="D146" t="e">
        <f t="shared" si="4"/>
        <v>#VALUE!</v>
      </c>
      <c r="E146" t="e">
        <f t="shared" si="5"/>
        <v>#VALUE!</v>
      </c>
    </row>
    <row r="147" spans="4:5" x14ac:dyDescent="0.25">
      <c r="D147" t="e">
        <f t="shared" si="4"/>
        <v>#VALUE!</v>
      </c>
      <c r="E147" t="e">
        <f t="shared" si="5"/>
        <v>#VALUE!</v>
      </c>
    </row>
    <row r="148" spans="4:5" x14ac:dyDescent="0.25">
      <c r="D148" t="e">
        <f t="shared" si="4"/>
        <v>#VALUE!</v>
      </c>
      <c r="E148" t="e">
        <f t="shared" si="5"/>
        <v>#VALUE!</v>
      </c>
    </row>
    <row r="149" spans="4:5" x14ac:dyDescent="0.25">
      <c r="D149" t="e">
        <f t="shared" si="4"/>
        <v>#VALUE!</v>
      </c>
      <c r="E149" t="e">
        <f t="shared" si="5"/>
        <v>#VALUE!</v>
      </c>
    </row>
    <row r="150" spans="4:5" x14ac:dyDescent="0.25">
      <c r="D150" t="e">
        <f t="shared" si="4"/>
        <v>#VALUE!</v>
      </c>
      <c r="E150" t="e">
        <f t="shared" si="5"/>
        <v>#VALUE!</v>
      </c>
    </row>
    <row r="151" spans="4:5" x14ac:dyDescent="0.25">
      <c r="D151" t="e">
        <f t="shared" si="4"/>
        <v>#VALUE!</v>
      </c>
      <c r="E151" t="e">
        <f t="shared" si="5"/>
        <v>#VALUE!</v>
      </c>
    </row>
    <row r="152" spans="4:5" x14ac:dyDescent="0.25">
      <c r="D152" t="e">
        <f t="shared" si="4"/>
        <v>#VALUE!</v>
      </c>
      <c r="E152" t="e">
        <f t="shared" si="5"/>
        <v>#VALUE!</v>
      </c>
    </row>
    <row r="153" spans="4:5" x14ac:dyDescent="0.25">
      <c r="D153" t="e">
        <f t="shared" si="4"/>
        <v>#VALUE!</v>
      </c>
      <c r="E153" t="e">
        <f t="shared" si="5"/>
        <v>#VALUE!</v>
      </c>
    </row>
    <row r="154" spans="4:5" x14ac:dyDescent="0.25">
      <c r="D154" t="e">
        <f t="shared" si="4"/>
        <v>#VALUE!</v>
      </c>
      <c r="E154" t="e">
        <f t="shared" si="5"/>
        <v>#VALUE!</v>
      </c>
    </row>
    <row r="155" spans="4:5" x14ac:dyDescent="0.25">
      <c r="D155" t="e">
        <f t="shared" si="4"/>
        <v>#VALUE!</v>
      </c>
      <c r="E155" t="e">
        <f t="shared" si="5"/>
        <v>#VALUE!</v>
      </c>
    </row>
    <row r="156" spans="4:5" x14ac:dyDescent="0.25">
      <c r="D156" t="e">
        <f t="shared" si="4"/>
        <v>#VALUE!</v>
      </c>
      <c r="E156" t="e">
        <f t="shared" si="5"/>
        <v>#VALUE!</v>
      </c>
    </row>
    <row r="157" spans="4:5" x14ac:dyDescent="0.25">
      <c r="D157" t="e">
        <f t="shared" si="4"/>
        <v>#VALUE!</v>
      </c>
      <c r="E157" t="e">
        <f t="shared" si="5"/>
        <v>#VALUE!</v>
      </c>
    </row>
    <row r="158" spans="4:5" x14ac:dyDescent="0.25">
      <c r="D158" t="e">
        <f t="shared" si="4"/>
        <v>#VALUE!</v>
      </c>
      <c r="E158" t="e">
        <f t="shared" si="5"/>
        <v>#VALUE!</v>
      </c>
    </row>
    <row r="159" spans="4:5" x14ac:dyDescent="0.25">
      <c r="D159" t="e">
        <f t="shared" si="4"/>
        <v>#VALUE!</v>
      </c>
      <c r="E159" t="e">
        <f t="shared" si="5"/>
        <v>#VALUE!</v>
      </c>
    </row>
    <row r="160" spans="4:5" x14ac:dyDescent="0.25">
      <c r="D160" t="e">
        <f t="shared" si="4"/>
        <v>#VALUE!</v>
      </c>
      <c r="E160" t="e">
        <f t="shared" si="5"/>
        <v>#VALUE!</v>
      </c>
    </row>
    <row r="161" spans="4:5" x14ac:dyDescent="0.25">
      <c r="D161" t="e">
        <f t="shared" si="4"/>
        <v>#VALUE!</v>
      </c>
      <c r="E161" t="e">
        <f t="shared" si="5"/>
        <v>#VALUE!</v>
      </c>
    </row>
    <row r="162" spans="4:5" x14ac:dyDescent="0.25">
      <c r="D162" t="e">
        <f t="shared" si="4"/>
        <v>#VALUE!</v>
      </c>
      <c r="E162" t="e">
        <f t="shared" si="5"/>
        <v>#VALUE!</v>
      </c>
    </row>
    <row r="163" spans="4:5" x14ac:dyDescent="0.25">
      <c r="D163" t="e">
        <f t="shared" si="4"/>
        <v>#VALUE!</v>
      </c>
      <c r="E163" t="e">
        <f t="shared" si="5"/>
        <v>#VALUE!</v>
      </c>
    </row>
    <row r="164" spans="4:5" x14ac:dyDescent="0.25">
      <c r="D164" t="e">
        <f t="shared" si="4"/>
        <v>#VALUE!</v>
      </c>
      <c r="E164" t="e">
        <f t="shared" si="5"/>
        <v>#VALUE!</v>
      </c>
    </row>
    <row r="165" spans="4:5" x14ac:dyDescent="0.25">
      <c r="D165" t="e">
        <f t="shared" si="4"/>
        <v>#VALUE!</v>
      </c>
      <c r="E165" t="e">
        <f t="shared" si="5"/>
        <v>#VALUE!</v>
      </c>
    </row>
    <row r="166" spans="4:5" x14ac:dyDescent="0.25">
      <c r="D166" t="e">
        <f t="shared" si="4"/>
        <v>#VALUE!</v>
      </c>
      <c r="E166" t="e">
        <f t="shared" si="5"/>
        <v>#VALUE!</v>
      </c>
    </row>
    <row r="167" spans="4:5" x14ac:dyDescent="0.25">
      <c r="D167" t="e">
        <f t="shared" si="4"/>
        <v>#VALUE!</v>
      </c>
      <c r="E167" t="e">
        <f t="shared" si="5"/>
        <v>#VALUE!</v>
      </c>
    </row>
    <row r="168" spans="4:5" x14ac:dyDescent="0.25">
      <c r="D168" t="e">
        <f t="shared" si="4"/>
        <v>#VALUE!</v>
      </c>
      <c r="E168" t="e">
        <f t="shared" si="5"/>
        <v>#VALUE!</v>
      </c>
    </row>
    <row r="169" spans="4:5" x14ac:dyDescent="0.25">
      <c r="D169" t="e">
        <f t="shared" si="4"/>
        <v>#VALUE!</v>
      </c>
      <c r="E169" t="e">
        <f t="shared" si="5"/>
        <v>#VALUE!</v>
      </c>
    </row>
    <row r="170" spans="4:5" x14ac:dyDescent="0.25">
      <c r="D170" t="e">
        <f t="shared" si="4"/>
        <v>#VALUE!</v>
      </c>
      <c r="E170" t="e">
        <f t="shared" si="5"/>
        <v>#VALUE!</v>
      </c>
    </row>
    <row r="171" spans="4:5" x14ac:dyDescent="0.25">
      <c r="D171" t="e">
        <f t="shared" si="4"/>
        <v>#VALUE!</v>
      </c>
      <c r="E171" t="e">
        <f t="shared" si="5"/>
        <v>#VALUE!</v>
      </c>
    </row>
    <row r="172" spans="4:5" x14ac:dyDescent="0.25">
      <c r="D172" t="e">
        <f t="shared" si="4"/>
        <v>#VALUE!</v>
      </c>
      <c r="E172" t="e">
        <f t="shared" si="5"/>
        <v>#VALUE!</v>
      </c>
    </row>
    <row r="173" spans="4:5" x14ac:dyDescent="0.25">
      <c r="D173" t="e">
        <f t="shared" si="4"/>
        <v>#VALUE!</v>
      </c>
      <c r="E173" t="e">
        <f t="shared" si="5"/>
        <v>#VALUE!</v>
      </c>
    </row>
    <row r="174" spans="4:5" x14ac:dyDescent="0.25">
      <c r="D174" t="e">
        <f t="shared" si="4"/>
        <v>#VALUE!</v>
      </c>
      <c r="E174" t="e">
        <f t="shared" si="5"/>
        <v>#VALUE!</v>
      </c>
    </row>
    <row r="175" spans="4:5" x14ac:dyDescent="0.25">
      <c r="D175" t="e">
        <f t="shared" si="4"/>
        <v>#VALUE!</v>
      </c>
      <c r="E175" t="e">
        <f t="shared" si="5"/>
        <v>#VALUE!</v>
      </c>
    </row>
    <row r="176" spans="4:5" x14ac:dyDescent="0.25">
      <c r="D176" t="e">
        <f t="shared" si="4"/>
        <v>#VALUE!</v>
      </c>
      <c r="E176" t="e">
        <f t="shared" si="5"/>
        <v>#VALUE!</v>
      </c>
    </row>
    <row r="177" spans="4:5" x14ac:dyDescent="0.25">
      <c r="D177" t="e">
        <f t="shared" si="4"/>
        <v>#VALUE!</v>
      </c>
      <c r="E177" t="e">
        <f t="shared" si="5"/>
        <v>#VALUE!</v>
      </c>
    </row>
    <row r="178" spans="4:5" x14ac:dyDescent="0.25">
      <c r="D178" t="e">
        <f t="shared" si="4"/>
        <v>#VALUE!</v>
      </c>
      <c r="E178" t="e">
        <f t="shared" si="5"/>
        <v>#VALUE!</v>
      </c>
    </row>
    <row r="179" spans="4:5" x14ac:dyDescent="0.25">
      <c r="D179" t="e">
        <f t="shared" si="4"/>
        <v>#VALUE!</v>
      </c>
      <c r="E179" t="e">
        <f t="shared" si="5"/>
        <v>#VALUE!</v>
      </c>
    </row>
    <row r="180" spans="4:5" x14ac:dyDescent="0.25">
      <c r="D180" t="e">
        <f t="shared" si="4"/>
        <v>#VALUE!</v>
      </c>
      <c r="E180" t="e">
        <f t="shared" si="5"/>
        <v>#VALUE!</v>
      </c>
    </row>
    <row r="181" spans="4:5" x14ac:dyDescent="0.25">
      <c r="D181" t="e">
        <f t="shared" si="4"/>
        <v>#VALUE!</v>
      </c>
      <c r="E181" t="e">
        <f t="shared" si="5"/>
        <v>#VALUE!</v>
      </c>
    </row>
    <row r="182" spans="4:5" x14ac:dyDescent="0.25">
      <c r="D182" t="e">
        <f t="shared" si="4"/>
        <v>#VALUE!</v>
      </c>
      <c r="E182" t="e">
        <f t="shared" si="5"/>
        <v>#VALUE!</v>
      </c>
    </row>
    <row r="183" spans="4:5" x14ac:dyDescent="0.25">
      <c r="D183" t="e">
        <f t="shared" si="4"/>
        <v>#VALUE!</v>
      </c>
      <c r="E183" t="e">
        <f t="shared" si="5"/>
        <v>#VALUE!</v>
      </c>
    </row>
    <row r="184" spans="4:5" x14ac:dyDescent="0.25">
      <c r="D184" t="e">
        <f t="shared" si="4"/>
        <v>#VALUE!</v>
      </c>
      <c r="E184" t="e">
        <f t="shared" si="5"/>
        <v>#VALUE!</v>
      </c>
    </row>
    <row r="185" spans="4:5" x14ac:dyDescent="0.25">
      <c r="D185" t="e">
        <f t="shared" si="4"/>
        <v>#VALUE!</v>
      </c>
      <c r="E185" t="e">
        <f t="shared" si="5"/>
        <v>#VALUE!</v>
      </c>
    </row>
    <row r="186" spans="4:5" x14ac:dyDescent="0.25">
      <c r="D186" t="e">
        <f t="shared" si="4"/>
        <v>#VALUE!</v>
      </c>
      <c r="E186" t="e">
        <f t="shared" si="5"/>
        <v>#VALUE!</v>
      </c>
    </row>
    <row r="187" spans="4:5" x14ac:dyDescent="0.25">
      <c r="D187" t="e">
        <f t="shared" si="4"/>
        <v>#VALUE!</v>
      </c>
      <c r="E187" t="e">
        <f t="shared" si="5"/>
        <v>#VALUE!</v>
      </c>
    </row>
    <row r="188" spans="4:5" x14ac:dyDescent="0.25">
      <c r="D188" t="e">
        <f t="shared" si="4"/>
        <v>#VALUE!</v>
      </c>
      <c r="E188" t="e">
        <f t="shared" si="5"/>
        <v>#VALUE!</v>
      </c>
    </row>
    <row r="189" spans="4:5" x14ac:dyDescent="0.25">
      <c r="D189" t="e">
        <f t="shared" si="4"/>
        <v>#VALUE!</v>
      </c>
      <c r="E189" t="e">
        <f t="shared" si="5"/>
        <v>#VALUE!</v>
      </c>
    </row>
    <row r="190" spans="4:5" x14ac:dyDescent="0.25">
      <c r="D190" t="e">
        <f t="shared" si="4"/>
        <v>#VALUE!</v>
      </c>
      <c r="E190" t="e">
        <f t="shared" si="5"/>
        <v>#VALUE!</v>
      </c>
    </row>
    <row r="191" spans="4:5" x14ac:dyDescent="0.25">
      <c r="D191" t="e">
        <f t="shared" si="4"/>
        <v>#VALUE!</v>
      </c>
      <c r="E191" t="e">
        <f t="shared" si="5"/>
        <v>#VALUE!</v>
      </c>
    </row>
    <row r="192" spans="4:5" x14ac:dyDescent="0.25">
      <c r="D192" t="e">
        <f t="shared" si="4"/>
        <v>#VALUE!</v>
      </c>
      <c r="E192" t="e">
        <f t="shared" si="5"/>
        <v>#VALUE!</v>
      </c>
    </row>
    <row r="193" spans="4:5" x14ac:dyDescent="0.25">
      <c r="D193" t="e">
        <f t="shared" si="4"/>
        <v>#VALUE!</v>
      </c>
      <c r="E193" t="e">
        <f t="shared" si="5"/>
        <v>#VALUE!</v>
      </c>
    </row>
    <row r="194" spans="4:5" x14ac:dyDescent="0.25">
      <c r="D194" t="e">
        <f t="shared" si="4"/>
        <v>#VALUE!</v>
      </c>
      <c r="E194" t="e">
        <f t="shared" si="5"/>
        <v>#VALUE!</v>
      </c>
    </row>
    <row r="195" spans="4:5" x14ac:dyDescent="0.25">
      <c r="D195" t="e">
        <f t="shared" si="4"/>
        <v>#VALUE!</v>
      </c>
      <c r="E195" t="e">
        <f t="shared" si="5"/>
        <v>#VALUE!</v>
      </c>
    </row>
    <row r="196" spans="4:5" x14ac:dyDescent="0.25">
      <c r="D196" t="e">
        <f>_xlfn.CONCAT("-o ",LEFT(B196,LEN(B196)-4),".png")</f>
        <v>#VALUE!</v>
      </c>
      <c r="E196" t="e">
        <f>_xlfn.CONCAT($A$1,$B$1,B196,$C$1,D196,$E$1)</f>
        <v>#VALUE!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99F1F1-BE4B-453B-A617-26F716E960CC}">
  <sheetPr codeName="Sheet7"/>
  <dimension ref="A1:AX162"/>
  <sheetViews>
    <sheetView topLeftCell="V1" workbookViewId="0">
      <selection sqref="A1:AX1"/>
    </sheetView>
  </sheetViews>
  <sheetFormatPr defaultRowHeight="15" x14ac:dyDescent="0.25"/>
  <cols>
    <col min="1" max="16384" width="9.140625" style="16"/>
  </cols>
  <sheetData>
    <row r="1" spans="1:50" x14ac:dyDescent="0.25">
      <c r="A1" s="16" t="s">
        <v>5253</v>
      </c>
      <c r="B1" s="16" t="s">
        <v>5254</v>
      </c>
      <c r="C1" s="16" t="s">
        <v>5255</v>
      </c>
      <c r="D1" s="16" t="s">
        <v>5256</v>
      </c>
      <c r="E1" s="16" t="s">
        <v>5257</v>
      </c>
      <c r="F1" s="16" t="s">
        <v>5258</v>
      </c>
      <c r="G1" s="16" t="s">
        <v>5259</v>
      </c>
      <c r="H1" s="16" t="s">
        <v>5260</v>
      </c>
      <c r="I1" s="16" t="s">
        <v>5261</v>
      </c>
      <c r="J1" s="16" t="s">
        <v>5262</v>
      </c>
      <c r="K1" s="16" t="s">
        <v>5263</v>
      </c>
      <c r="L1" s="16" t="s">
        <v>5264</v>
      </c>
      <c r="M1" s="16" t="s">
        <v>5265</v>
      </c>
      <c r="N1" s="16" t="s">
        <v>5266</v>
      </c>
      <c r="O1" s="16" t="s">
        <v>5267</v>
      </c>
      <c r="P1" s="16" t="s">
        <v>5268</v>
      </c>
      <c r="Q1" s="16" t="s">
        <v>5269</v>
      </c>
      <c r="R1" s="16" t="s">
        <v>5270</v>
      </c>
      <c r="S1" s="16" t="s">
        <v>5271</v>
      </c>
      <c r="T1" s="16" t="s">
        <v>5272</v>
      </c>
      <c r="U1" s="16" t="s">
        <v>5273</v>
      </c>
      <c r="V1" s="16" t="s">
        <v>5274</v>
      </c>
      <c r="W1" s="16" t="s">
        <v>5275</v>
      </c>
      <c r="X1" s="16" t="s">
        <v>5276</v>
      </c>
      <c r="Y1" s="16" t="s">
        <v>5277</v>
      </c>
      <c r="Z1" s="16" t="s">
        <v>5278</v>
      </c>
      <c r="AA1" s="16" t="s">
        <v>5279</v>
      </c>
      <c r="AB1" s="16" t="s">
        <v>5280</v>
      </c>
      <c r="AC1" s="16" t="s">
        <v>5281</v>
      </c>
      <c r="AD1" s="16" t="s">
        <v>5282</v>
      </c>
      <c r="AE1" s="16" t="s">
        <v>5283</v>
      </c>
      <c r="AF1" s="16" t="s">
        <v>5284</v>
      </c>
      <c r="AG1" s="16" t="s">
        <v>5285</v>
      </c>
      <c r="AH1" s="16" t="s">
        <v>5286</v>
      </c>
      <c r="AI1" s="16" t="s">
        <v>5287</v>
      </c>
      <c r="AJ1" s="16" t="s">
        <v>5288</v>
      </c>
      <c r="AK1" s="16" t="s">
        <v>5289</v>
      </c>
      <c r="AL1" s="16" t="s">
        <v>5290</v>
      </c>
      <c r="AM1" s="16" t="s">
        <v>5291</v>
      </c>
      <c r="AN1" s="16" t="s">
        <v>5220</v>
      </c>
      <c r="AO1" s="16" t="s">
        <v>5224</v>
      </c>
      <c r="AP1" s="16" t="s">
        <v>5225</v>
      </c>
      <c r="AQ1" s="16" t="s">
        <v>5242</v>
      </c>
      <c r="AR1" s="16" t="s">
        <v>5243</v>
      </c>
      <c r="AS1" s="16" t="s">
        <v>5244</v>
      </c>
      <c r="AT1" s="16" t="s">
        <v>5245</v>
      </c>
      <c r="AU1" s="16" t="s">
        <v>5246</v>
      </c>
      <c r="AV1" s="16" t="s">
        <v>5250</v>
      </c>
      <c r="AW1" s="16" t="s">
        <v>5251</v>
      </c>
      <c r="AX1" s="16" t="s">
        <v>5252</v>
      </c>
    </row>
    <row r="2" spans="1:50" x14ac:dyDescent="0.25">
      <c r="A2" s="16" t="s">
        <v>4602</v>
      </c>
      <c r="B2" s="16" t="s">
        <v>4602</v>
      </c>
      <c r="C2" s="16" t="s">
        <v>4602</v>
      </c>
      <c r="D2" s="16" t="s">
        <v>4602</v>
      </c>
      <c r="E2" s="16" t="s">
        <v>4602</v>
      </c>
      <c r="F2" s="16" t="s">
        <v>4602</v>
      </c>
      <c r="G2" s="16" t="s">
        <v>4602</v>
      </c>
      <c r="H2" s="16" t="s">
        <v>4602</v>
      </c>
      <c r="I2" s="16" t="s">
        <v>4602</v>
      </c>
      <c r="J2" s="16" t="s">
        <v>4602</v>
      </c>
      <c r="K2" s="16" t="s">
        <v>4602</v>
      </c>
      <c r="L2" s="16" t="s">
        <v>4602</v>
      </c>
      <c r="M2" s="16" t="s">
        <v>4602</v>
      </c>
      <c r="N2" s="16" t="s">
        <v>4602</v>
      </c>
      <c r="O2" s="16" t="s">
        <v>4602</v>
      </c>
      <c r="P2" s="16" t="s">
        <v>4602</v>
      </c>
      <c r="Q2" s="16" t="s">
        <v>4602</v>
      </c>
      <c r="R2" s="16" t="s">
        <v>4602</v>
      </c>
      <c r="S2" s="16" t="s">
        <v>4602</v>
      </c>
      <c r="T2" s="16" t="s">
        <v>4602</v>
      </c>
      <c r="U2" s="16" t="s">
        <v>4917</v>
      </c>
      <c r="V2" s="16" t="s">
        <v>4917</v>
      </c>
      <c r="W2" s="16" t="s">
        <v>4917</v>
      </c>
      <c r="X2" s="16" t="s">
        <v>4917</v>
      </c>
      <c r="Y2" s="16" t="s">
        <v>4917</v>
      </c>
      <c r="Z2" s="16" t="s">
        <v>4917</v>
      </c>
      <c r="AA2" s="16" t="s">
        <v>4917</v>
      </c>
      <c r="AB2" s="16" t="s">
        <v>4917</v>
      </c>
      <c r="AC2" s="16" t="s">
        <v>4917</v>
      </c>
      <c r="AD2" s="16" t="s">
        <v>5127</v>
      </c>
      <c r="AE2" s="16" t="s">
        <v>5127</v>
      </c>
      <c r="AF2" s="16" t="s">
        <v>5127</v>
      </c>
      <c r="AG2" s="16" t="s">
        <v>5127</v>
      </c>
      <c r="AH2" s="16" t="s">
        <v>5127</v>
      </c>
      <c r="AI2" s="16" t="s">
        <v>5127</v>
      </c>
      <c r="AJ2" s="16" t="s">
        <v>5127</v>
      </c>
      <c r="AK2" s="16" t="s">
        <v>5127</v>
      </c>
      <c r="AL2" s="16" t="s">
        <v>5127</v>
      </c>
      <c r="AM2" s="16" t="s">
        <v>5044</v>
      </c>
      <c r="AN2" s="16" t="s">
        <v>5221</v>
      </c>
      <c r="AO2" s="16" t="s">
        <v>5221</v>
      </c>
      <c r="AP2" s="16" t="s">
        <v>5221</v>
      </c>
      <c r="AQ2" s="16" t="s">
        <v>5221</v>
      </c>
      <c r="AR2" s="16" t="s">
        <v>5221</v>
      </c>
      <c r="AS2" s="16" t="s">
        <v>5221</v>
      </c>
      <c r="AT2" s="16" t="s">
        <v>5221</v>
      </c>
      <c r="AU2" s="16" t="s">
        <v>5221</v>
      </c>
      <c r="AV2" s="16" t="s">
        <v>5221</v>
      </c>
      <c r="AW2" s="16" t="s">
        <v>5221</v>
      </c>
      <c r="AX2" s="16" t="s">
        <v>5221</v>
      </c>
    </row>
    <row r="3" spans="1:50" x14ac:dyDescent="0.25">
      <c r="A3" s="16" t="s">
        <v>4603</v>
      </c>
      <c r="B3" s="16" t="s">
        <v>4603</v>
      </c>
      <c r="C3" s="16" t="s">
        <v>4603</v>
      </c>
      <c r="D3" s="16" t="s">
        <v>4603</v>
      </c>
      <c r="E3" s="16" t="s">
        <v>4603</v>
      </c>
      <c r="F3" s="16" t="s">
        <v>4603</v>
      </c>
      <c r="G3" s="16" t="s">
        <v>4603</v>
      </c>
      <c r="H3" s="16" t="s">
        <v>4603</v>
      </c>
      <c r="I3" s="16" t="s">
        <v>4603</v>
      </c>
      <c r="J3" s="16" t="s">
        <v>4603</v>
      </c>
      <c r="K3" s="16" t="s">
        <v>4603</v>
      </c>
      <c r="L3" s="16" t="s">
        <v>4603</v>
      </c>
      <c r="M3" s="16" t="s">
        <v>4603</v>
      </c>
      <c r="N3" s="16" t="s">
        <v>4603</v>
      </c>
      <c r="O3" s="16" t="s">
        <v>4603</v>
      </c>
      <c r="P3" s="16" t="s">
        <v>4603</v>
      </c>
      <c r="Q3" s="16" t="s">
        <v>4603</v>
      </c>
      <c r="R3" s="16" t="s">
        <v>4603</v>
      </c>
      <c r="S3" s="16" t="s">
        <v>4603</v>
      </c>
      <c r="T3" s="16" t="s">
        <v>4603</v>
      </c>
      <c r="U3" s="16" t="s">
        <v>4918</v>
      </c>
      <c r="V3" s="16" t="s">
        <v>4918</v>
      </c>
      <c r="W3" s="16" t="s">
        <v>4918</v>
      </c>
      <c r="X3" s="16" t="s">
        <v>4918</v>
      </c>
      <c r="Y3" s="16" t="s">
        <v>4918</v>
      </c>
      <c r="Z3" s="16" t="s">
        <v>4918</v>
      </c>
      <c r="AA3" s="16" t="s">
        <v>4918</v>
      </c>
      <c r="AB3" s="16" t="s">
        <v>4918</v>
      </c>
      <c r="AC3" s="16" t="s">
        <v>4918</v>
      </c>
      <c r="AD3" s="16" t="s">
        <v>5128</v>
      </c>
      <c r="AE3" s="16" t="s">
        <v>5128</v>
      </c>
      <c r="AF3" s="16" t="s">
        <v>5128</v>
      </c>
      <c r="AG3" s="16" t="s">
        <v>5128</v>
      </c>
      <c r="AH3" s="16" t="s">
        <v>5128</v>
      </c>
      <c r="AI3" s="16" t="s">
        <v>5128</v>
      </c>
      <c r="AJ3" s="16" t="s">
        <v>5128</v>
      </c>
      <c r="AK3" s="16" t="s">
        <v>5128</v>
      </c>
      <c r="AL3" s="16" t="s">
        <v>5128</v>
      </c>
      <c r="AM3" s="16" t="s">
        <v>5045</v>
      </c>
      <c r="AN3" s="16" t="s">
        <v>4663</v>
      </c>
      <c r="AO3" s="16" t="s">
        <v>4663</v>
      </c>
      <c r="AP3" s="16" t="s">
        <v>4663</v>
      </c>
      <c r="AQ3" s="16" t="s">
        <v>4663</v>
      </c>
      <c r="AR3" s="16" t="s">
        <v>4663</v>
      </c>
      <c r="AS3" s="16" t="s">
        <v>4663</v>
      </c>
      <c r="AT3" s="16" t="s">
        <v>4663</v>
      </c>
      <c r="AU3" s="16" t="s">
        <v>4663</v>
      </c>
      <c r="AV3" s="16" t="s">
        <v>4663</v>
      </c>
      <c r="AW3" s="16" t="s">
        <v>4663</v>
      </c>
      <c r="AX3" s="16" t="s">
        <v>4663</v>
      </c>
    </row>
    <row r="4" spans="1:50" x14ac:dyDescent="0.25">
      <c r="A4" s="16" t="s">
        <v>4604</v>
      </c>
      <c r="B4" s="16" t="s">
        <v>4604</v>
      </c>
      <c r="C4" s="16" t="s">
        <v>4604</v>
      </c>
      <c r="D4" s="16" t="s">
        <v>4604</v>
      </c>
      <c r="E4" s="16" t="s">
        <v>4604</v>
      </c>
      <c r="F4" s="16" t="s">
        <v>4604</v>
      </c>
      <c r="G4" s="16" t="s">
        <v>4604</v>
      </c>
      <c r="H4" s="16" t="s">
        <v>4604</v>
      </c>
      <c r="I4" s="16" t="s">
        <v>4604</v>
      </c>
      <c r="J4" s="16" t="s">
        <v>4604</v>
      </c>
      <c r="K4" s="16" t="s">
        <v>4604</v>
      </c>
      <c r="L4" s="16" t="s">
        <v>4799</v>
      </c>
      <c r="M4" s="16" t="s">
        <v>4799</v>
      </c>
      <c r="N4" s="16" t="s">
        <v>4799</v>
      </c>
      <c r="O4" s="16" t="s">
        <v>4799</v>
      </c>
      <c r="P4" s="16" t="s">
        <v>4799</v>
      </c>
      <c r="Q4" s="16" t="s">
        <v>4799</v>
      </c>
      <c r="R4" s="16" t="s">
        <v>4799</v>
      </c>
      <c r="S4" s="16" t="s">
        <v>4799</v>
      </c>
      <c r="T4" s="16" t="s">
        <v>4799</v>
      </c>
      <c r="U4" s="16" t="s">
        <v>4919</v>
      </c>
      <c r="V4" s="16" t="s">
        <v>4919</v>
      </c>
      <c r="W4" s="16" t="s">
        <v>4919</v>
      </c>
      <c r="X4" s="16" t="s">
        <v>4919</v>
      </c>
      <c r="Y4" s="16" t="s">
        <v>4919</v>
      </c>
      <c r="Z4" s="16" t="s">
        <v>4919</v>
      </c>
      <c r="AA4" s="16" t="s">
        <v>4919</v>
      </c>
      <c r="AB4" s="16" t="s">
        <v>4919</v>
      </c>
      <c r="AC4" s="16" t="s">
        <v>4919</v>
      </c>
      <c r="AD4" s="16" t="s">
        <v>5129</v>
      </c>
      <c r="AE4" s="16" t="s">
        <v>5129</v>
      </c>
      <c r="AF4" s="16" t="s">
        <v>5129</v>
      </c>
      <c r="AG4" s="16" t="s">
        <v>5129</v>
      </c>
      <c r="AH4" s="16" t="s">
        <v>5129</v>
      </c>
      <c r="AI4" s="16" t="s">
        <v>5129</v>
      </c>
      <c r="AJ4" s="16" t="s">
        <v>5129</v>
      </c>
      <c r="AK4" s="16" t="s">
        <v>5129</v>
      </c>
      <c r="AL4" s="16" t="s">
        <v>5018</v>
      </c>
      <c r="AM4" s="16" t="s">
        <v>5046</v>
      </c>
      <c r="AN4" s="16" t="s">
        <v>4664</v>
      </c>
      <c r="AO4" s="16" t="s">
        <v>4664</v>
      </c>
      <c r="AP4" s="16" t="s">
        <v>4664</v>
      </c>
      <c r="AQ4" s="16" t="s">
        <v>4664</v>
      </c>
      <c r="AR4" s="16" t="s">
        <v>4664</v>
      </c>
      <c r="AS4" s="16" t="s">
        <v>4664</v>
      </c>
      <c r="AT4" s="16" t="s">
        <v>4664</v>
      </c>
      <c r="AU4" s="16" t="s">
        <v>4664</v>
      </c>
      <c r="AV4" s="16" t="s">
        <v>4664</v>
      </c>
      <c r="AW4" s="16" t="s">
        <v>4664</v>
      </c>
      <c r="AX4" s="16" t="s">
        <v>4664</v>
      </c>
    </row>
    <row r="5" spans="1:50" x14ac:dyDescent="0.25">
      <c r="A5" s="16" t="s">
        <v>4605</v>
      </c>
      <c r="B5" s="16" t="s">
        <v>4605</v>
      </c>
      <c r="C5" s="16" t="s">
        <v>4605</v>
      </c>
      <c r="D5" s="16" t="s">
        <v>4605</v>
      </c>
      <c r="E5" s="16" t="s">
        <v>4605</v>
      </c>
      <c r="F5" s="16" t="s">
        <v>4605</v>
      </c>
      <c r="G5" s="16" t="s">
        <v>4605</v>
      </c>
      <c r="H5" s="16" t="s">
        <v>4605</v>
      </c>
      <c r="I5" s="16" t="s">
        <v>4605</v>
      </c>
      <c r="J5" s="16" t="s">
        <v>4605</v>
      </c>
      <c r="K5" s="16" t="s">
        <v>4605</v>
      </c>
      <c r="L5" s="16" t="s">
        <v>4800</v>
      </c>
      <c r="M5" s="16" t="s">
        <v>4800</v>
      </c>
      <c r="N5" s="16" t="s">
        <v>4801</v>
      </c>
      <c r="O5" s="16" t="s">
        <v>4801</v>
      </c>
      <c r="P5" s="16" t="s">
        <v>4801</v>
      </c>
      <c r="Q5" s="16" t="s">
        <v>4801</v>
      </c>
      <c r="R5" s="16" t="s">
        <v>4801</v>
      </c>
      <c r="S5" s="16" t="s">
        <v>4801</v>
      </c>
      <c r="T5" s="16" t="s">
        <v>4801</v>
      </c>
      <c r="U5" s="16" t="s">
        <v>4936</v>
      </c>
      <c r="V5" s="16" t="s">
        <v>4936</v>
      </c>
      <c r="W5" s="16" t="s">
        <v>4936</v>
      </c>
      <c r="X5" s="16" t="s">
        <v>4936</v>
      </c>
      <c r="Y5" s="16" t="s">
        <v>4936</v>
      </c>
      <c r="Z5" s="16" t="s">
        <v>4920</v>
      </c>
      <c r="AA5" s="16" t="s">
        <v>4920</v>
      </c>
      <c r="AB5" s="16" t="s">
        <v>4920</v>
      </c>
      <c r="AC5" s="16" t="s">
        <v>4920</v>
      </c>
      <c r="AD5" s="16" t="s">
        <v>5130</v>
      </c>
      <c r="AE5" s="16" t="s">
        <v>5130</v>
      </c>
      <c r="AF5" s="16" t="s">
        <v>5130</v>
      </c>
      <c r="AG5" s="16" t="s">
        <v>5130</v>
      </c>
      <c r="AH5" s="16" t="s">
        <v>5130</v>
      </c>
      <c r="AI5" s="16" t="s">
        <v>5130</v>
      </c>
      <c r="AJ5" s="16" t="s">
        <v>5130</v>
      </c>
      <c r="AK5" s="16" t="s">
        <v>5130</v>
      </c>
      <c r="AL5" s="16" t="s">
        <v>5019</v>
      </c>
      <c r="AM5" s="16" t="s">
        <v>5047</v>
      </c>
      <c r="AN5" s="16" t="s">
        <v>4749</v>
      </c>
      <c r="AO5" s="16" t="s">
        <v>4749</v>
      </c>
      <c r="AP5" s="16" t="s">
        <v>4749</v>
      </c>
      <c r="AQ5" s="16" t="s">
        <v>4749</v>
      </c>
      <c r="AR5" s="16" t="s">
        <v>4749</v>
      </c>
      <c r="AS5" s="16" t="s">
        <v>4749</v>
      </c>
      <c r="AT5" s="16" t="s">
        <v>4749</v>
      </c>
      <c r="AU5" s="16" t="s">
        <v>4749</v>
      </c>
      <c r="AV5" s="16" t="s">
        <v>4749</v>
      </c>
      <c r="AW5" s="16" t="s">
        <v>4749</v>
      </c>
      <c r="AX5" s="16" t="s">
        <v>4665</v>
      </c>
    </row>
    <row r="6" spans="1:50" x14ac:dyDescent="0.25">
      <c r="A6" s="16" t="s">
        <v>4606</v>
      </c>
      <c r="B6" s="16" t="s">
        <v>4606</v>
      </c>
      <c r="C6" s="16" t="s">
        <v>4606</v>
      </c>
      <c r="D6" s="16" t="s">
        <v>4606</v>
      </c>
      <c r="E6" s="16" t="s">
        <v>4606</v>
      </c>
      <c r="F6" s="16" t="s">
        <v>4606</v>
      </c>
      <c r="G6" s="16" t="s">
        <v>4606</v>
      </c>
      <c r="H6" s="16" t="s">
        <v>4606</v>
      </c>
      <c r="I6" s="16" t="s">
        <v>4606</v>
      </c>
      <c r="J6" s="16" t="s">
        <v>4606</v>
      </c>
      <c r="K6" s="16" t="s">
        <v>4606</v>
      </c>
      <c r="L6" s="16" t="s">
        <v>4640</v>
      </c>
      <c r="M6" s="16" t="s">
        <v>4640</v>
      </c>
      <c r="N6" s="16" t="s">
        <v>4802</v>
      </c>
      <c r="O6" s="16" t="s">
        <v>4802</v>
      </c>
      <c r="P6" s="16" t="s">
        <v>4802</v>
      </c>
      <c r="Q6" s="16" t="s">
        <v>4802</v>
      </c>
      <c r="R6" s="16" t="s">
        <v>4802</v>
      </c>
      <c r="S6" s="16" t="s">
        <v>4802</v>
      </c>
      <c r="T6" s="16" t="s">
        <v>4802</v>
      </c>
      <c r="U6" s="16" t="s">
        <v>4937</v>
      </c>
      <c r="V6" s="16" t="s">
        <v>4937</v>
      </c>
      <c r="W6" s="16" t="s">
        <v>4937</v>
      </c>
      <c r="X6" s="16" t="s">
        <v>4996</v>
      </c>
      <c r="Y6" s="16" t="s">
        <v>4996</v>
      </c>
      <c r="Z6" s="16" t="s">
        <v>4921</v>
      </c>
      <c r="AA6" s="16" t="s">
        <v>4921</v>
      </c>
      <c r="AB6" s="16" t="s">
        <v>4921</v>
      </c>
      <c r="AC6" s="16" t="s">
        <v>4921</v>
      </c>
      <c r="AD6" s="16" t="s">
        <v>5131</v>
      </c>
      <c r="AE6" s="16" t="s">
        <v>5131</v>
      </c>
      <c r="AF6" s="16" t="s">
        <v>5131</v>
      </c>
      <c r="AG6" s="16" t="s">
        <v>5131</v>
      </c>
      <c r="AH6" s="16" t="s">
        <v>5131</v>
      </c>
      <c r="AI6" s="16" t="s">
        <v>5131</v>
      </c>
      <c r="AJ6" s="16" t="s">
        <v>5131</v>
      </c>
      <c r="AK6" s="16" t="s">
        <v>5131</v>
      </c>
      <c r="AL6" s="16" t="s">
        <v>5207</v>
      </c>
      <c r="AM6" s="16" t="s">
        <v>5048</v>
      </c>
      <c r="AN6" s="16" t="s">
        <v>4750</v>
      </c>
      <c r="AO6" s="16" t="s">
        <v>4750</v>
      </c>
      <c r="AP6" s="16" t="s">
        <v>4750</v>
      </c>
      <c r="AQ6" s="16" t="s">
        <v>4750</v>
      </c>
      <c r="AR6" s="16" t="s">
        <v>4750</v>
      </c>
      <c r="AS6" s="16" t="s">
        <v>4750</v>
      </c>
      <c r="AT6" s="16" t="s">
        <v>4750</v>
      </c>
      <c r="AU6" s="16" t="s">
        <v>4750</v>
      </c>
      <c r="AV6" s="16" t="s">
        <v>4750</v>
      </c>
      <c r="AW6" s="16" t="s">
        <v>4750</v>
      </c>
      <c r="AX6" s="16" t="s">
        <v>4666</v>
      </c>
    </row>
    <row r="7" spans="1:50" x14ac:dyDescent="0.25">
      <c r="A7" s="16" t="s">
        <v>4607</v>
      </c>
      <c r="B7" s="16" t="s">
        <v>4607</v>
      </c>
      <c r="C7" s="16" t="s">
        <v>4607</v>
      </c>
      <c r="D7" s="16" t="s">
        <v>4607</v>
      </c>
      <c r="E7" s="16" t="s">
        <v>4607</v>
      </c>
      <c r="F7" s="16" t="s">
        <v>4607</v>
      </c>
      <c r="G7" s="16" t="s">
        <v>4607</v>
      </c>
      <c r="H7" s="16" t="s">
        <v>4607</v>
      </c>
      <c r="I7" s="16" t="s">
        <v>4607</v>
      </c>
      <c r="J7" s="16" t="s">
        <v>4607</v>
      </c>
      <c r="K7" s="16" t="s">
        <v>4607</v>
      </c>
      <c r="L7" s="16" t="s">
        <v>4641</v>
      </c>
      <c r="M7" s="16" t="s">
        <v>4641</v>
      </c>
      <c r="N7" s="16" t="s">
        <v>4803</v>
      </c>
      <c r="O7" s="16" t="s">
        <v>4803</v>
      </c>
      <c r="P7" s="16" t="s">
        <v>4803</v>
      </c>
      <c r="Q7" s="16" t="s">
        <v>4803</v>
      </c>
      <c r="R7" s="16" t="s">
        <v>4803</v>
      </c>
      <c r="S7" s="16" t="s">
        <v>4803</v>
      </c>
      <c r="T7" s="16" t="s">
        <v>4803</v>
      </c>
      <c r="U7" s="16" t="s">
        <v>4938</v>
      </c>
      <c r="V7" s="16" t="s">
        <v>4938</v>
      </c>
      <c r="W7" s="16" t="s">
        <v>4938</v>
      </c>
      <c r="X7" s="16" t="s">
        <v>4997</v>
      </c>
      <c r="Y7" s="16" t="s">
        <v>4997</v>
      </c>
      <c r="Z7" s="16" t="s">
        <v>4922</v>
      </c>
      <c r="AA7" s="16" t="s">
        <v>4922</v>
      </c>
      <c r="AB7" s="16" t="s">
        <v>4922</v>
      </c>
      <c r="AC7" s="16" t="s">
        <v>4922</v>
      </c>
      <c r="AD7" s="16" t="s">
        <v>5132</v>
      </c>
      <c r="AE7" s="16" t="s">
        <v>5132</v>
      </c>
      <c r="AF7" s="16" t="s">
        <v>5132</v>
      </c>
      <c r="AG7" s="16" t="s">
        <v>5132</v>
      </c>
      <c r="AH7" s="16" t="s">
        <v>5132</v>
      </c>
      <c r="AI7" s="16" t="s">
        <v>5132</v>
      </c>
      <c r="AJ7" s="16" t="s">
        <v>5132</v>
      </c>
      <c r="AK7" s="16" t="s">
        <v>5132</v>
      </c>
      <c r="AL7" s="16" t="s">
        <v>4872</v>
      </c>
      <c r="AM7" s="16" t="s">
        <v>5049</v>
      </c>
      <c r="AN7" s="16" t="s">
        <v>4751</v>
      </c>
      <c r="AO7" s="16" t="s">
        <v>4751</v>
      </c>
      <c r="AP7" s="16" t="s">
        <v>4751</v>
      </c>
      <c r="AQ7" s="16" t="s">
        <v>4751</v>
      </c>
      <c r="AR7" s="16" t="s">
        <v>4751</v>
      </c>
      <c r="AS7" s="16" t="s">
        <v>4751</v>
      </c>
      <c r="AT7" s="16" t="s">
        <v>4751</v>
      </c>
      <c r="AU7" s="16" t="s">
        <v>4751</v>
      </c>
      <c r="AV7" s="16" t="s">
        <v>4751</v>
      </c>
      <c r="AW7" s="16" t="s">
        <v>4751</v>
      </c>
      <c r="AX7" s="16" t="s">
        <v>4667</v>
      </c>
    </row>
    <row r="8" spans="1:50" x14ac:dyDescent="0.25">
      <c r="A8" s="16" t="s">
        <v>4608</v>
      </c>
      <c r="B8" s="16" t="s">
        <v>4608</v>
      </c>
      <c r="C8" s="16" t="s">
        <v>4608</v>
      </c>
      <c r="D8" s="16" t="s">
        <v>4608</v>
      </c>
      <c r="E8" s="16" t="s">
        <v>4608</v>
      </c>
      <c r="F8" s="16" t="s">
        <v>4608</v>
      </c>
      <c r="G8" s="16" t="s">
        <v>4608</v>
      </c>
      <c r="H8" s="16" t="s">
        <v>4608</v>
      </c>
      <c r="I8" s="16" t="s">
        <v>4608</v>
      </c>
      <c r="J8" s="16" t="s">
        <v>4608</v>
      </c>
      <c r="K8" s="16" t="s">
        <v>4608</v>
      </c>
      <c r="L8" s="16" t="s">
        <v>4642</v>
      </c>
      <c r="M8" s="16" t="s">
        <v>4642</v>
      </c>
      <c r="N8" s="16" t="s">
        <v>4804</v>
      </c>
      <c r="O8" s="16" t="s">
        <v>4804</v>
      </c>
      <c r="P8" s="16" t="s">
        <v>4804</v>
      </c>
      <c r="Q8" s="16" t="s">
        <v>4804</v>
      </c>
      <c r="R8" s="16" t="s">
        <v>4804</v>
      </c>
      <c r="S8" s="16" t="s">
        <v>4804</v>
      </c>
      <c r="T8" s="16" t="s">
        <v>4804</v>
      </c>
      <c r="U8" s="16" t="s">
        <v>4939</v>
      </c>
      <c r="V8" s="16" t="s">
        <v>4939</v>
      </c>
      <c r="W8" s="16" t="s">
        <v>4939</v>
      </c>
      <c r="X8" s="16" t="s">
        <v>4998</v>
      </c>
      <c r="Y8" s="16" t="s">
        <v>4998</v>
      </c>
      <c r="Z8" s="16" t="s">
        <v>5073</v>
      </c>
      <c r="AA8" s="16" t="s">
        <v>4923</v>
      </c>
      <c r="AB8" s="16" t="s">
        <v>4923</v>
      </c>
      <c r="AC8" s="16" t="s">
        <v>4923</v>
      </c>
      <c r="AD8" s="16" t="s">
        <v>5133</v>
      </c>
      <c r="AE8" s="16" t="s">
        <v>5133</v>
      </c>
      <c r="AF8" s="16" t="s">
        <v>5133</v>
      </c>
      <c r="AG8" s="16" t="s">
        <v>5133</v>
      </c>
      <c r="AH8" s="16" t="s">
        <v>5133</v>
      </c>
      <c r="AI8" s="16" t="s">
        <v>5133</v>
      </c>
      <c r="AJ8" s="16" t="s">
        <v>5133</v>
      </c>
      <c r="AK8" s="16" t="s">
        <v>5133</v>
      </c>
      <c r="AL8" s="16" t="s">
        <v>4873</v>
      </c>
      <c r="AM8" s="16" t="s">
        <v>5050</v>
      </c>
      <c r="AN8" s="16" t="s">
        <v>4752</v>
      </c>
      <c r="AO8" s="16" t="s">
        <v>4752</v>
      </c>
      <c r="AP8" s="16" t="s">
        <v>4752</v>
      </c>
      <c r="AQ8" s="16" t="s">
        <v>4752</v>
      </c>
      <c r="AR8" s="16" t="s">
        <v>4752</v>
      </c>
      <c r="AS8" s="16" t="s">
        <v>4752</v>
      </c>
      <c r="AT8" s="16" t="s">
        <v>4752</v>
      </c>
      <c r="AU8" s="16" t="s">
        <v>4752</v>
      </c>
      <c r="AV8" s="16" t="s">
        <v>4752</v>
      </c>
      <c r="AW8" s="16" t="s">
        <v>4752</v>
      </c>
      <c r="AX8" s="16" t="s">
        <v>4668</v>
      </c>
    </row>
    <row r="9" spans="1:50" x14ac:dyDescent="0.25">
      <c r="A9" s="16" t="s">
        <v>4609</v>
      </c>
      <c r="B9" s="16" t="s">
        <v>4609</v>
      </c>
      <c r="C9" s="16" t="s">
        <v>4609</v>
      </c>
      <c r="D9" s="16" t="s">
        <v>4609</v>
      </c>
      <c r="E9" s="16" t="s">
        <v>4609</v>
      </c>
      <c r="F9" s="16" t="s">
        <v>4609</v>
      </c>
      <c r="G9" s="16" t="s">
        <v>4609</v>
      </c>
      <c r="H9" s="16" t="s">
        <v>4609</v>
      </c>
      <c r="I9" s="16" t="s">
        <v>4609</v>
      </c>
      <c r="J9" s="16" t="s">
        <v>4609</v>
      </c>
      <c r="K9" s="16" t="s">
        <v>4609</v>
      </c>
      <c r="L9" s="16" t="s">
        <v>4643</v>
      </c>
      <c r="M9" s="16" t="s">
        <v>4643</v>
      </c>
      <c r="N9" s="16" t="s">
        <v>4805</v>
      </c>
      <c r="O9" s="16" t="s">
        <v>4805</v>
      </c>
      <c r="P9" s="16" t="s">
        <v>4805</v>
      </c>
      <c r="Q9" s="16" t="s">
        <v>4805</v>
      </c>
      <c r="R9" s="16" t="s">
        <v>4805</v>
      </c>
      <c r="S9" s="16" t="s">
        <v>4847</v>
      </c>
      <c r="T9" s="16" t="s">
        <v>4847</v>
      </c>
      <c r="U9" s="16" t="s">
        <v>4940</v>
      </c>
      <c r="V9" s="16" t="s">
        <v>4940</v>
      </c>
      <c r="W9" s="16" t="s">
        <v>4940</v>
      </c>
      <c r="X9" s="16" t="s">
        <v>4999</v>
      </c>
      <c r="Y9" s="16" t="s">
        <v>4999</v>
      </c>
      <c r="Z9" s="16" t="s">
        <v>4840</v>
      </c>
      <c r="AA9" s="16" t="s">
        <v>4924</v>
      </c>
      <c r="AB9" s="16" t="s">
        <v>4924</v>
      </c>
      <c r="AC9" s="16" t="s">
        <v>4924</v>
      </c>
      <c r="AD9" s="16" t="s">
        <v>5134</v>
      </c>
      <c r="AE9" s="16" t="s">
        <v>5134</v>
      </c>
      <c r="AF9" s="16" t="s">
        <v>5134</v>
      </c>
      <c r="AG9" s="16" t="s">
        <v>5134</v>
      </c>
      <c r="AH9" s="16" t="s">
        <v>5134</v>
      </c>
      <c r="AI9" s="16" t="s">
        <v>5134</v>
      </c>
      <c r="AJ9" s="16" t="s">
        <v>5134</v>
      </c>
      <c r="AK9" s="16" t="s">
        <v>5134</v>
      </c>
      <c r="AL9" s="16" t="s">
        <v>4874</v>
      </c>
      <c r="AM9" s="16" t="s">
        <v>5051</v>
      </c>
      <c r="AN9" s="16" t="s">
        <v>4753</v>
      </c>
      <c r="AO9" s="16" t="s">
        <v>4753</v>
      </c>
      <c r="AP9" s="16" t="s">
        <v>4753</v>
      </c>
      <c r="AQ9" s="16" t="s">
        <v>4753</v>
      </c>
      <c r="AR9" s="16" t="s">
        <v>4753</v>
      </c>
      <c r="AS9" s="16" t="s">
        <v>4753</v>
      </c>
      <c r="AT9" s="16" t="s">
        <v>4753</v>
      </c>
      <c r="AU9" s="16" t="s">
        <v>4753</v>
      </c>
      <c r="AV9" s="16" t="s">
        <v>4753</v>
      </c>
      <c r="AW9" s="16" t="s">
        <v>4753</v>
      </c>
      <c r="AX9" s="16" t="s">
        <v>4669</v>
      </c>
    </row>
    <row r="10" spans="1:50" x14ac:dyDescent="0.25">
      <c r="A10" s="16" t="s">
        <v>4610</v>
      </c>
      <c r="B10" s="16" t="s">
        <v>4610</v>
      </c>
      <c r="C10" s="16" t="s">
        <v>4610</v>
      </c>
      <c r="D10" s="16" t="s">
        <v>4610</v>
      </c>
      <c r="E10" s="16" t="s">
        <v>4610</v>
      </c>
      <c r="F10" s="16" t="s">
        <v>4610</v>
      </c>
      <c r="G10" s="16" t="s">
        <v>4610</v>
      </c>
      <c r="H10" s="16" t="s">
        <v>4610</v>
      </c>
      <c r="I10" s="16" t="s">
        <v>4610</v>
      </c>
      <c r="J10" s="16" t="s">
        <v>4610</v>
      </c>
      <c r="K10" s="16" t="s">
        <v>4610</v>
      </c>
      <c r="L10" s="16" t="s">
        <v>4644</v>
      </c>
      <c r="M10" s="16" t="s">
        <v>4644</v>
      </c>
      <c r="N10" s="16" t="s">
        <v>4806</v>
      </c>
      <c r="O10" s="16" t="s">
        <v>4806</v>
      </c>
      <c r="P10" s="16" t="s">
        <v>4806</v>
      </c>
      <c r="Q10" s="16" t="s">
        <v>4806</v>
      </c>
      <c r="R10" s="16" t="s">
        <v>4806</v>
      </c>
      <c r="S10" s="16" t="s">
        <v>4848</v>
      </c>
      <c r="T10" s="16" t="s">
        <v>4848</v>
      </c>
      <c r="U10" s="16" t="s">
        <v>4941</v>
      </c>
      <c r="V10" s="16" t="s">
        <v>4941</v>
      </c>
      <c r="W10" s="16" t="s">
        <v>4941</v>
      </c>
      <c r="X10" s="16" t="s">
        <v>5000</v>
      </c>
      <c r="Y10" s="16" t="s">
        <v>5000</v>
      </c>
      <c r="Z10" s="16" t="s">
        <v>4841</v>
      </c>
      <c r="AA10" s="16" t="s">
        <v>4925</v>
      </c>
      <c r="AB10" s="16" t="s">
        <v>4925</v>
      </c>
      <c r="AC10" s="16" t="s">
        <v>4925</v>
      </c>
      <c r="AD10" s="16" t="s">
        <v>5135</v>
      </c>
      <c r="AE10" s="16" t="s">
        <v>5135</v>
      </c>
      <c r="AF10" s="16" t="s">
        <v>5135</v>
      </c>
      <c r="AG10" s="16" t="s">
        <v>5135</v>
      </c>
      <c r="AH10" s="16" t="s">
        <v>5135</v>
      </c>
      <c r="AI10" s="16" t="s">
        <v>5135</v>
      </c>
      <c r="AJ10" s="16" t="s">
        <v>5135</v>
      </c>
      <c r="AK10" s="16" t="s">
        <v>5135</v>
      </c>
      <c r="AL10" s="16" t="s">
        <v>5208</v>
      </c>
      <c r="AM10" s="16" t="s">
        <v>5052</v>
      </c>
      <c r="AN10" s="16" t="s">
        <v>4754</v>
      </c>
      <c r="AO10" s="16" t="s">
        <v>4754</v>
      </c>
      <c r="AP10" s="16" t="s">
        <v>4754</v>
      </c>
      <c r="AQ10" s="16" t="s">
        <v>4754</v>
      </c>
      <c r="AR10" s="16" t="s">
        <v>4754</v>
      </c>
      <c r="AS10" s="16" t="s">
        <v>4754</v>
      </c>
      <c r="AT10" s="16" t="s">
        <v>4754</v>
      </c>
      <c r="AU10" s="16" t="s">
        <v>4754</v>
      </c>
      <c r="AV10" s="16" t="s">
        <v>4754</v>
      </c>
      <c r="AW10" s="16" t="s">
        <v>4754</v>
      </c>
      <c r="AX10" s="16" t="s">
        <v>4670</v>
      </c>
    </row>
    <row r="11" spans="1:50" x14ac:dyDescent="0.25">
      <c r="A11" s="16" t="s">
        <v>4611</v>
      </c>
      <c r="B11" s="16" t="s">
        <v>4611</v>
      </c>
      <c r="C11" s="16" t="s">
        <v>4611</v>
      </c>
      <c r="D11" s="16" t="s">
        <v>4611</v>
      </c>
      <c r="E11" s="16" t="s">
        <v>4611</v>
      </c>
      <c r="F11" s="16" t="s">
        <v>4611</v>
      </c>
      <c r="G11" s="16" t="s">
        <v>4611</v>
      </c>
      <c r="H11" s="16" t="s">
        <v>4611</v>
      </c>
      <c r="I11" s="16" t="s">
        <v>4611</v>
      </c>
      <c r="J11" s="16" t="s">
        <v>4611</v>
      </c>
      <c r="K11" s="16" t="s">
        <v>4611</v>
      </c>
      <c r="L11" s="16" t="s">
        <v>4645</v>
      </c>
      <c r="M11" s="16" t="s">
        <v>4645</v>
      </c>
      <c r="N11" s="16" t="s">
        <v>4714</v>
      </c>
      <c r="O11" s="16" t="s">
        <v>4714</v>
      </c>
      <c r="P11" s="16" t="s">
        <v>4714</v>
      </c>
      <c r="Q11" s="16" t="s">
        <v>4714</v>
      </c>
      <c r="R11" s="16" t="s">
        <v>4714</v>
      </c>
      <c r="S11" s="16" t="s">
        <v>4849</v>
      </c>
      <c r="T11" s="16" t="s">
        <v>4849</v>
      </c>
      <c r="U11" s="16" t="s">
        <v>4942</v>
      </c>
      <c r="V11" s="16" t="s">
        <v>4942</v>
      </c>
      <c r="W11" s="16" t="s">
        <v>4964</v>
      </c>
      <c r="X11" s="16" t="s">
        <v>5001</v>
      </c>
      <c r="Y11" s="16" t="s">
        <v>5001</v>
      </c>
      <c r="Z11" s="16" t="s">
        <v>5074</v>
      </c>
      <c r="AA11" s="16" t="s">
        <v>4926</v>
      </c>
      <c r="AB11" s="16" t="s">
        <v>4926</v>
      </c>
      <c r="AC11" s="16" t="s">
        <v>4926</v>
      </c>
      <c r="AD11" s="16" t="s">
        <v>5136</v>
      </c>
      <c r="AE11" s="16" t="s">
        <v>5136</v>
      </c>
      <c r="AF11" s="16" t="s">
        <v>5136</v>
      </c>
      <c r="AG11" s="16" t="s">
        <v>5136</v>
      </c>
      <c r="AH11" s="16" t="s">
        <v>5136</v>
      </c>
      <c r="AI11" s="16" t="s">
        <v>5136</v>
      </c>
      <c r="AJ11" s="16" t="s">
        <v>5136</v>
      </c>
      <c r="AK11" s="16" t="s">
        <v>5136</v>
      </c>
      <c r="AL11" s="16" t="s">
        <v>5209</v>
      </c>
      <c r="AM11" s="16" t="s">
        <v>5053</v>
      </c>
      <c r="AN11" s="16" t="s">
        <v>4755</v>
      </c>
      <c r="AO11" s="16" t="s">
        <v>4755</v>
      </c>
      <c r="AP11" s="16" t="s">
        <v>4755</v>
      </c>
      <c r="AQ11" s="16" t="s">
        <v>4755</v>
      </c>
      <c r="AR11" s="16" t="s">
        <v>4755</v>
      </c>
      <c r="AS11" s="16" t="s">
        <v>4755</v>
      </c>
      <c r="AT11" s="16" t="s">
        <v>4755</v>
      </c>
      <c r="AU11" s="16" t="s">
        <v>4755</v>
      </c>
      <c r="AV11" s="16" t="s">
        <v>4755</v>
      </c>
      <c r="AW11" s="16" t="s">
        <v>4755</v>
      </c>
      <c r="AX11" s="16" t="s">
        <v>4671</v>
      </c>
    </row>
    <row r="12" spans="1:50" x14ac:dyDescent="0.25">
      <c r="A12" s="16" t="s">
        <v>4612</v>
      </c>
      <c r="B12" s="16" t="s">
        <v>4612</v>
      </c>
      <c r="C12" s="16" t="s">
        <v>4612</v>
      </c>
      <c r="D12" s="16" t="s">
        <v>4612</v>
      </c>
      <c r="E12" s="16" t="s">
        <v>4612</v>
      </c>
      <c r="F12" s="16" t="s">
        <v>4612</v>
      </c>
      <c r="G12" s="16" t="s">
        <v>4612</v>
      </c>
      <c r="H12" s="16" t="s">
        <v>4744</v>
      </c>
      <c r="I12" s="16" t="s">
        <v>4744</v>
      </c>
      <c r="J12" s="16" t="s">
        <v>4744</v>
      </c>
      <c r="K12" s="16" t="s">
        <v>4744</v>
      </c>
      <c r="L12" s="16" t="s">
        <v>4646</v>
      </c>
      <c r="M12" s="16" t="s">
        <v>4646</v>
      </c>
      <c r="N12" s="16" t="s">
        <v>4715</v>
      </c>
      <c r="O12" s="16" t="s">
        <v>4715</v>
      </c>
      <c r="P12" s="16" t="s">
        <v>4715</v>
      </c>
      <c r="Q12" s="16" t="s">
        <v>4715</v>
      </c>
      <c r="R12" s="16" t="s">
        <v>4715</v>
      </c>
      <c r="S12" s="16" t="s">
        <v>4850</v>
      </c>
      <c r="T12" s="16" t="s">
        <v>4850</v>
      </c>
      <c r="U12" s="16" t="s">
        <v>4804</v>
      </c>
      <c r="V12" s="16" t="s">
        <v>4804</v>
      </c>
      <c r="W12" s="16" t="s">
        <v>4965</v>
      </c>
      <c r="X12" s="16" t="s">
        <v>5002</v>
      </c>
      <c r="Y12" s="16" t="s">
        <v>5002</v>
      </c>
      <c r="Z12" s="16" t="s">
        <v>5075</v>
      </c>
      <c r="AA12" s="16" t="s">
        <v>4927</v>
      </c>
      <c r="AB12" s="16" t="s">
        <v>4927</v>
      </c>
      <c r="AC12" s="16" t="s">
        <v>4927</v>
      </c>
      <c r="AD12" s="16" t="s">
        <v>5137</v>
      </c>
      <c r="AE12" s="16" t="s">
        <v>5137</v>
      </c>
      <c r="AF12" s="16" t="s">
        <v>5137</v>
      </c>
      <c r="AG12" s="16" t="s">
        <v>5137</v>
      </c>
      <c r="AH12" s="16" t="s">
        <v>5137</v>
      </c>
      <c r="AI12" s="16" t="s">
        <v>5137</v>
      </c>
      <c r="AJ12" s="16" t="s">
        <v>5137</v>
      </c>
      <c r="AK12" s="16" t="s">
        <v>5137</v>
      </c>
      <c r="AL12" s="16" t="s">
        <v>5210</v>
      </c>
      <c r="AM12" s="16" t="s">
        <v>5054</v>
      </c>
      <c r="AN12" s="16" t="s">
        <v>4756</v>
      </c>
      <c r="AO12" s="16" t="s">
        <v>4756</v>
      </c>
      <c r="AP12" s="16" t="s">
        <v>4756</v>
      </c>
      <c r="AQ12" s="16" t="s">
        <v>4756</v>
      </c>
      <c r="AR12" s="16" t="s">
        <v>4756</v>
      </c>
      <c r="AS12" s="16" t="s">
        <v>4756</v>
      </c>
      <c r="AT12" s="16" t="s">
        <v>4756</v>
      </c>
      <c r="AU12" s="16" t="s">
        <v>4756</v>
      </c>
      <c r="AV12" s="16" t="s">
        <v>4756</v>
      </c>
      <c r="AW12" s="16" t="s">
        <v>4756</v>
      </c>
    </row>
    <row r="13" spans="1:50" x14ac:dyDescent="0.25">
      <c r="A13" s="16" t="s">
        <v>4613</v>
      </c>
      <c r="B13" s="16" t="s">
        <v>4613</v>
      </c>
      <c r="C13" s="16" t="s">
        <v>4613</v>
      </c>
      <c r="D13" s="16" t="s">
        <v>4613</v>
      </c>
      <c r="E13" s="16" t="s">
        <v>4613</v>
      </c>
      <c r="F13" s="16" t="s">
        <v>4613</v>
      </c>
      <c r="G13" s="16" t="s">
        <v>4613</v>
      </c>
      <c r="H13" s="16" t="s">
        <v>4745</v>
      </c>
      <c r="I13" s="16" t="s">
        <v>4745</v>
      </c>
      <c r="J13" s="16" t="s">
        <v>4745</v>
      </c>
      <c r="K13" s="16" t="s">
        <v>4745</v>
      </c>
      <c r="L13" s="16" t="s">
        <v>4647</v>
      </c>
      <c r="M13" s="16" t="s">
        <v>4647</v>
      </c>
      <c r="N13" s="16" t="s">
        <v>4716</v>
      </c>
      <c r="O13" s="16" t="s">
        <v>4716</v>
      </c>
      <c r="P13" s="16" t="s">
        <v>4716</v>
      </c>
      <c r="Q13" s="16" t="s">
        <v>4716</v>
      </c>
      <c r="R13" s="16" t="s">
        <v>4716</v>
      </c>
      <c r="S13" s="16" t="s">
        <v>4851</v>
      </c>
      <c r="T13" s="16" t="s">
        <v>4851</v>
      </c>
      <c r="U13" s="16" t="s">
        <v>4805</v>
      </c>
      <c r="V13" s="16" t="s">
        <v>4805</v>
      </c>
      <c r="W13" s="16" t="s">
        <v>4966</v>
      </c>
      <c r="X13" s="16" t="s">
        <v>5003</v>
      </c>
      <c r="Y13" s="16" t="s">
        <v>5003</v>
      </c>
      <c r="Z13" s="16" t="s">
        <v>5076</v>
      </c>
      <c r="AA13" s="16" t="s">
        <v>4928</v>
      </c>
      <c r="AB13" s="16" t="s">
        <v>4928</v>
      </c>
      <c r="AC13" s="16" t="s">
        <v>4928</v>
      </c>
      <c r="AD13" s="16" t="s">
        <v>5138</v>
      </c>
      <c r="AE13" s="16" t="s">
        <v>5138</v>
      </c>
      <c r="AF13" s="16" t="s">
        <v>5138</v>
      </c>
      <c r="AG13" s="16" t="s">
        <v>5138</v>
      </c>
      <c r="AH13" s="16" t="s">
        <v>5138</v>
      </c>
      <c r="AI13" s="16" t="s">
        <v>5138</v>
      </c>
      <c r="AJ13" s="16" t="s">
        <v>5138</v>
      </c>
      <c r="AK13" s="16" t="s">
        <v>5138</v>
      </c>
      <c r="AL13" s="16" t="s">
        <v>5211</v>
      </c>
      <c r="AM13" s="16" t="s">
        <v>5055</v>
      </c>
      <c r="AN13" s="16" t="s">
        <v>4757</v>
      </c>
      <c r="AO13" s="16" t="s">
        <v>4757</v>
      </c>
      <c r="AP13" s="16" t="s">
        <v>4757</v>
      </c>
      <c r="AQ13" s="16" t="s">
        <v>4757</v>
      </c>
      <c r="AR13" s="16" t="s">
        <v>4757</v>
      </c>
      <c r="AS13" s="16" t="s">
        <v>4757</v>
      </c>
      <c r="AT13" s="16" t="s">
        <v>4757</v>
      </c>
      <c r="AU13" s="16" t="s">
        <v>4757</v>
      </c>
      <c r="AV13" s="16" t="s">
        <v>4757</v>
      </c>
      <c r="AW13" s="16" t="s">
        <v>4757</v>
      </c>
    </row>
    <row r="14" spans="1:50" x14ac:dyDescent="0.25">
      <c r="A14" s="16" t="s">
        <v>4614</v>
      </c>
      <c r="B14" s="16" t="s">
        <v>4614</v>
      </c>
      <c r="C14" s="16" t="s">
        <v>4672</v>
      </c>
      <c r="D14" s="16" t="s">
        <v>4672</v>
      </c>
      <c r="E14" s="16" t="s">
        <v>4672</v>
      </c>
      <c r="F14" s="16" t="s">
        <v>4672</v>
      </c>
      <c r="G14" s="16" t="s">
        <v>4672</v>
      </c>
      <c r="H14" s="16" t="s">
        <v>4746</v>
      </c>
      <c r="I14" s="16" t="s">
        <v>4746</v>
      </c>
      <c r="J14" s="16" t="s">
        <v>4746</v>
      </c>
      <c r="K14" s="16" t="s">
        <v>4746</v>
      </c>
      <c r="L14" s="16" t="s">
        <v>4648</v>
      </c>
      <c r="N14" s="16" t="s">
        <v>4720</v>
      </c>
      <c r="O14" s="16" t="s">
        <v>4720</v>
      </c>
      <c r="P14" s="16" t="s">
        <v>4720</v>
      </c>
      <c r="Q14" s="16" t="s">
        <v>4720</v>
      </c>
      <c r="R14" s="16" t="s">
        <v>4720</v>
      </c>
      <c r="S14" s="16" t="s">
        <v>4856</v>
      </c>
      <c r="T14" s="16" t="s">
        <v>4856</v>
      </c>
      <c r="U14" s="16" t="s">
        <v>4806</v>
      </c>
      <c r="V14" s="16" t="s">
        <v>4806</v>
      </c>
      <c r="W14" s="16" t="s">
        <v>4967</v>
      </c>
      <c r="X14" s="16" t="s">
        <v>5004</v>
      </c>
      <c r="Y14" s="16" t="s">
        <v>5004</v>
      </c>
      <c r="Z14" s="16" t="s">
        <v>5077</v>
      </c>
      <c r="AA14" s="16" t="s">
        <v>4929</v>
      </c>
      <c r="AB14" s="16" t="s">
        <v>4929</v>
      </c>
      <c r="AC14" s="16" t="s">
        <v>4929</v>
      </c>
      <c r="AD14" s="16" t="s">
        <v>5139</v>
      </c>
      <c r="AE14" s="16" t="s">
        <v>5139</v>
      </c>
      <c r="AF14" s="16" t="s">
        <v>5139</v>
      </c>
      <c r="AG14" s="16" t="s">
        <v>5139</v>
      </c>
      <c r="AH14" s="16" t="s">
        <v>5139</v>
      </c>
      <c r="AI14" s="16" t="s">
        <v>5139</v>
      </c>
      <c r="AJ14" s="16" t="s">
        <v>5139</v>
      </c>
      <c r="AK14" s="16" t="s">
        <v>5139</v>
      </c>
      <c r="AL14" s="16" t="s">
        <v>5212</v>
      </c>
      <c r="AM14" s="16" t="s">
        <v>5056</v>
      </c>
      <c r="AN14" s="16" t="s">
        <v>4758</v>
      </c>
      <c r="AO14" s="16" t="s">
        <v>4758</v>
      </c>
      <c r="AP14" s="16" t="s">
        <v>4758</v>
      </c>
      <c r="AQ14" s="16" t="s">
        <v>4758</v>
      </c>
      <c r="AR14" s="16" t="s">
        <v>4758</v>
      </c>
      <c r="AS14" s="16" t="s">
        <v>4758</v>
      </c>
      <c r="AT14" s="16" t="s">
        <v>4758</v>
      </c>
      <c r="AU14" s="16" t="s">
        <v>4758</v>
      </c>
      <c r="AV14" s="16" t="s">
        <v>4758</v>
      </c>
      <c r="AW14" s="16" t="s">
        <v>4758</v>
      </c>
    </row>
    <row r="15" spans="1:50" x14ac:dyDescent="0.25">
      <c r="A15" s="16" t="s">
        <v>4615</v>
      </c>
      <c r="B15" s="16" t="s">
        <v>4615</v>
      </c>
      <c r="C15" s="16" t="s">
        <v>4673</v>
      </c>
      <c r="D15" s="16" t="s">
        <v>4673</v>
      </c>
      <c r="E15" s="16" t="s">
        <v>4673</v>
      </c>
      <c r="F15" s="16" t="s">
        <v>4673</v>
      </c>
      <c r="G15" s="16" t="s">
        <v>4673</v>
      </c>
      <c r="H15" s="16" t="s">
        <v>4747</v>
      </c>
      <c r="I15" s="16" t="s">
        <v>4747</v>
      </c>
      <c r="J15" s="16" t="s">
        <v>4747</v>
      </c>
      <c r="K15" s="16" t="s">
        <v>4747</v>
      </c>
      <c r="L15" s="16" t="s">
        <v>4649</v>
      </c>
      <c r="N15" s="16" t="s">
        <v>4718</v>
      </c>
      <c r="O15" s="16" t="s">
        <v>4718</v>
      </c>
      <c r="P15" s="16" t="s">
        <v>4718</v>
      </c>
      <c r="Q15" s="16" t="s">
        <v>4718</v>
      </c>
      <c r="R15" s="16" t="s">
        <v>4718</v>
      </c>
      <c r="S15" s="16" t="s">
        <v>4857</v>
      </c>
      <c r="T15" s="16" t="s">
        <v>4857</v>
      </c>
      <c r="U15" s="16" t="s">
        <v>4606</v>
      </c>
      <c r="V15" s="16" t="s">
        <v>4606</v>
      </c>
      <c r="W15" s="16" t="s">
        <v>4968</v>
      </c>
      <c r="X15" s="16" t="s">
        <v>5005</v>
      </c>
      <c r="Y15" s="16" t="s">
        <v>5005</v>
      </c>
      <c r="Z15" s="16" t="s">
        <v>5000</v>
      </c>
      <c r="AA15" s="16" t="s">
        <v>4930</v>
      </c>
      <c r="AB15" s="16" t="s">
        <v>4930</v>
      </c>
      <c r="AC15" s="16" t="s">
        <v>4930</v>
      </c>
      <c r="AD15" s="16" t="s">
        <v>5140</v>
      </c>
      <c r="AE15" s="16" t="s">
        <v>5140</v>
      </c>
      <c r="AF15" s="16" t="s">
        <v>5140</v>
      </c>
      <c r="AG15" s="16" t="s">
        <v>5140</v>
      </c>
      <c r="AH15" s="16" t="s">
        <v>5140</v>
      </c>
      <c r="AI15" s="16" t="s">
        <v>5140</v>
      </c>
      <c r="AJ15" s="16" t="s">
        <v>5140</v>
      </c>
      <c r="AK15" s="16" t="s">
        <v>5140</v>
      </c>
      <c r="AL15" s="16" t="s">
        <v>5213</v>
      </c>
      <c r="AM15" s="16" t="s">
        <v>5057</v>
      </c>
      <c r="AN15" s="16" t="s">
        <v>4759</v>
      </c>
      <c r="AO15" s="16" t="s">
        <v>4759</v>
      </c>
      <c r="AP15" s="16" t="s">
        <v>4759</v>
      </c>
      <c r="AQ15" s="16" t="s">
        <v>4759</v>
      </c>
      <c r="AR15" s="16" t="s">
        <v>4759</v>
      </c>
      <c r="AS15" s="16" t="s">
        <v>4759</v>
      </c>
      <c r="AT15" s="16" t="s">
        <v>4759</v>
      </c>
      <c r="AU15" s="16" t="s">
        <v>4759</v>
      </c>
      <c r="AV15" s="16" t="s">
        <v>4759</v>
      </c>
      <c r="AW15" s="16" t="s">
        <v>4759</v>
      </c>
    </row>
    <row r="16" spans="1:50" x14ac:dyDescent="0.25">
      <c r="A16" s="16" t="s">
        <v>4616</v>
      </c>
      <c r="B16" s="16" t="s">
        <v>4616</v>
      </c>
      <c r="C16" s="16" t="s">
        <v>4674</v>
      </c>
      <c r="D16" s="16" t="s">
        <v>4674</v>
      </c>
      <c r="E16" s="16" t="s">
        <v>4674</v>
      </c>
      <c r="F16" s="16" t="s">
        <v>4674</v>
      </c>
      <c r="G16" s="16" t="s">
        <v>4674</v>
      </c>
      <c r="H16" s="16" t="s">
        <v>4748</v>
      </c>
      <c r="I16" s="16" t="s">
        <v>4748</v>
      </c>
      <c r="J16" s="16" t="s">
        <v>4748</v>
      </c>
      <c r="K16" s="16" t="s">
        <v>4748</v>
      </c>
      <c r="L16" s="16" t="s">
        <v>4650</v>
      </c>
      <c r="N16" s="16" t="s">
        <v>4721</v>
      </c>
      <c r="O16" s="16" t="s">
        <v>4721</v>
      </c>
      <c r="P16" s="16" t="s">
        <v>4721</v>
      </c>
      <c r="Q16" s="16" t="s">
        <v>4721</v>
      </c>
      <c r="R16" s="16" t="s">
        <v>4721</v>
      </c>
      <c r="S16" s="16" t="s">
        <v>4858</v>
      </c>
      <c r="T16" s="16" t="s">
        <v>4858</v>
      </c>
      <c r="U16" s="16" t="s">
        <v>4607</v>
      </c>
      <c r="V16" s="16" t="s">
        <v>4607</v>
      </c>
      <c r="W16" s="16" t="s">
        <v>4969</v>
      </c>
      <c r="X16" s="16" t="s">
        <v>5006</v>
      </c>
      <c r="Y16" s="16" t="s">
        <v>5006</v>
      </c>
      <c r="Z16" s="16" t="s">
        <v>5001</v>
      </c>
      <c r="AA16" s="16" t="s">
        <v>4931</v>
      </c>
      <c r="AB16" s="16" t="s">
        <v>4931</v>
      </c>
      <c r="AC16" s="16" t="s">
        <v>4931</v>
      </c>
      <c r="AD16" s="16" t="s">
        <v>5141</v>
      </c>
      <c r="AE16" s="16" t="s">
        <v>5141</v>
      </c>
      <c r="AF16" s="16" t="s">
        <v>5141</v>
      </c>
      <c r="AG16" s="16" t="s">
        <v>5141</v>
      </c>
      <c r="AH16" s="16" t="s">
        <v>5141</v>
      </c>
      <c r="AI16" s="16" t="s">
        <v>5141</v>
      </c>
      <c r="AJ16" s="16" t="s">
        <v>5141</v>
      </c>
      <c r="AK16" s="16" t="s">
        <v>5141</v>
      </c>
      <c r="AL16" s="16" t="s">
        <v>5214</v>
      </c>
      <c r="AM16" s="16" t="s">
        <v>5058</v>
      </c>
      <c r="AN16" s="16" t="s">
        <v>4760</v>
      </c>
      <c r="AO16" s="16" t="s">
        <v>4760</v>
      </c>
      <c r="AP16" s="16" t="s">
        <v>4760</v>
      </c>
      <c r="AQ16" s="16" t="s">
        <v>4760</v>
      </c>
      <c r="AR16" s="16" t="s">
        <v>4760</v>
      </c>
      <c r="AS16" s="16" t="s">
        <v>4760</v>
      </c>
      <c r="AT16" s="16" t="s">
        <v>4760</v>
      </c>
      <c r="AU16" s="16" t="s">
        <v>4760</v>
      </c>
      <c r="AV16" s="16" t="s">
        <v>4760</v>
      </c>
      <c r="AW16" s="16" t="s">
        <v>4760</v>
      </c>
    </row>
    <row r="17" spans="1:49" x14ac:dyDescent="0.25">
      <c r="A17" s="16" t="s">
        <v>4617</v>
      </c>
      <c r="B17" s="16" t="s">
        <v>4617</v>
      </c>
      <c r="C17" s="16" t="s">
        <v>4675</v>
      </c>
      <c r="D17" s="16" t="s">
        <v>4675</v>
      </c>
      <c r="E17" s="16" t="s">
        <v>4675</v>
      </c>
      <c r="F17" s="16" t="s">
        <v>4675</v>
      </c>
      <c r="G17" s="16" t="s">
        <v>4675</v>
      </c>
      <c r="H17" s="16" t="s">
        <v>4615</v>
      </c>
      <c r="I17" s="16" t="s">
        <v>4615</v>
      </c>
      <c r="J17" s="16" t="s">
        <v>4615</v>
      </c>
      <c r="K17" s="16" t="s">
        <v>4615</v>
      </c>
      <c r="L17" s="16" t="s">
        <v>4651</v>
      </c>
      <c r="N17" s="16" t="s">
        <v>4722</v>
      </c>
      <c r="O17" s="16" t="s">
        <v>4722</v>
      </c>
      <c r="P17" s="16" t="s">
        <v>4722</v>
      </c>
      <c r="Q17" s="16" t="s">
        <v>4722</v>
      </c>
      <c r="R17" s="16" t="s">
        <v>4722</v>
      </c>
      <c r="S17" s="16" t="s">
        <v>4853</v>
      </c>
      <c r="T17" s="16" t="s">
        <v>4853</v>
      </c>
      <c r="U17" s="16" t="s">
        <v>4608</v>
      </c>
      <c r="V17" s="16" t="s">
        <v>4608</v>
      </c>
      <c r="W17" s="16" t="s">
        <v>4970</v>
      </c>
      <c r="X17" s="16" t="s">
        <v>5007</v>
      </c>
      <c r="Y17" s="16" t="s">
        <v>5007</v>
      </c>
      <c r="Z17" s="16" t="s">
        <v>5002</v>
      </c>
      <c r="AA17" s="16" t="s">
        <v>4932</v>
      </c>
      <c r="AB17" s="16" t="s">
        <v>4932</v>
      </c>
      <c r="AC17" s="16" t="s">
        <v>4932</v>
      </c>
      <c r="AD17" s="16" t="s">
        <v>5142</v>
      </c>
      <c r="AE17" s="16" t="s">
        <v>5142</v>
      </c>
      <c r="AF17" s="16" t="s">
        <v>5142</v>
      </c>
      <c r="AG17" s="16" t="s">
        <v>5142</v>
      </c>
      <c r="AH17" s="16" t="s">
        <v>5142</v>
      </c>
      <c r="AI17" s="16" t="s">
        <v>5142</v>
      </c>
      <c r="AJ17" s="16" t="s">
        <v>5142</v>
      </c>
      <c r="AK17" s="16" t="s">
        <v>5142</v>
      </c>
      <c r="AL17" s="16" t="s">
        <v>5215</v>
      </c>
      <c r="AM17" s="16" t="s">
        <v>5059</v>
      </c>
      <c r="AN17" s="16" t="s">
        <v>4761</v>
      </c>
      <c r="AO17" s="16" t="s">
        <v>4761</v>
      </c>
      <c r="AP17" s="16" t="s">
        <v>4761</v>
      </c>
      <c r="AQ17" s="16" t="s">
        <v>4761</v>
      </c>
      <c r="AR17" s="16" t="s">
        <v>4761</v>
      </c>
      <c r="AS17" s="16" t="s">
        <v>4761</v>
      </c>
      <c r="AT17" s="16" t="s">
        <v>4761</v>
      </c>
      <c r="AU17" s="16" t="s">
        <v>4761</v>
      </c>
      <c r="AV17" s="16" t="s">
        <v>4761</v>
      </c>
      <c r="AW17" s="16" t="s">
        <v>4761</v>
      </c>
    </row>
    <row r="18" spans="1:49" x14ac:dyDescent="0.25">
      <c r="A18" s="16" t="s">
        <v>4618</v>
      </c>
      <c r="B18" s="16" t="s">
        <v>4618</v>
      </c>
      <c r="C18" s="16" t="s">
        <v>4676</v>
      </c>
      <c r="D18" s="16" t="s">
        <v>4676</v>
      </c>
      <c r="E18" s="16" t="s">
        <v>4707</v>
      </c>
      <c r="F18" s="16" t="s">
        <v>4707</v>
      </c>
      <c r="G18" s="16" t="s">
        <v>4707</v>
      </c>
      <c r="H18" s="16" t="s">
        <v>4616</v>
      </c>
      <c r="I18" s="16" t="s">
        <v>4616</v>
      </c>
      <c r="J18" s="16" t="s">
        <v>4616</v>
      </c>
      <c r="K18" s="16" t="s">
        <v>4616</v>
      </c>
      <c r="L18" s="16" t="s">
        <v>4652</v>
      </c>
      <c r="N18" s="16" t="s">
        <v>4723</v>
      </c>
      <c r="O18" s="16" t="s">
        <v>4723</v>
      </c>
      <c r="P18" s="16" t="s">
        <v>4723</v>
      </c>
      <c r="Q18" s="16" t="s">
        <v>4723</v>
      </c>
      <c r="R18" s="16" t="s">
        <v>4723</v>
      </c>
      <c r="S18" s="16" t="s">
        <v>4859</v>
      </c>
      <c r="T18" s="16" t="s">
        <v>4859</v>
      </c>
      <c r="U18" s="16" t="s">
        <v>4609</v>
      </c>
      <c r="V18" s="16" t="s">
        <v>4609</v>
      </c>
      <c r="W18" s="16" t="s">
        <v>4971</v>
      </c>
      <c r="X18" s="16" t="s">
        <v>5008</v>
      </c>
      <c r="Y18" s="16" t="s">
        <v>5008</v>
      </c>
      <c r="Z18" s="16" t="s">
        <v>5003</v>
      </c>
      <c r="AA18" s="16" t="s">
        <v>4933</v>
      </c>
      <c r="AB18" s="16" t="s">
        <v>4933</v>
      </c>
      <c r="AC18" s="16" t="s">
        <v>4933</v>
      </c>
      <c r="AD18" s="16" t="s">
        <v>5143</v>
      </c>
      <c r="AE18" s="16" t="s">
        <v>5143</v>
      </c>
      <c r="AF18" s="16" t="s">
        <v>5143</v>
      </c>
      <c r="AG18" s="16" t="s">
        <v>5143</v>
      </c>
      <c r="AH18" s="16" t="s">
        <v>5143</v>
      </c>
      <c r="AI18" s="16" t="s">
        <v>5143</v>
      </c>
      <c r="AJ18" s="16" t="s">
        <v>5143</v>
      </c>
      <c r="AK18" s="16" t="s">
        <v>5143</v>
      </c>
      <c r="AL18" s="16" t="s">
        <v>5216</v>
      </c>
      <c r="AM18" s="16" t="s">
        <v>5060</v>
      </c>
      <c r="AN18" s="16" t="s">
        <v>4762</v>
      </c>
      <c r="AO18" s="16" t="s">
        <v>4762</v>
      </c>
      <c r="AP18" s="16" t="s">
        <v>4762</v>
      </c>
      <c r="AQ18" s="16" t="s">
        <v>4762</v>
      </c>
      <c r="AR18" s="16" t="s">
        <v>4762</v>
      </c>
      <c r="AS18" s="16" t="s">
        <v>4762</v>
      </c>
      <c r="AT18" s="16" t="s">
        <v>4762</v>
      </c>
      <c r="AU18" s="16" t="s">
        <v>4762</v>
      </c>
      <c r="AV18" s="16" t="s">
        <v>4762</v>
      </c>
      <c r="AW18" s="16" t="s">
        <v>4762</v>
      </c>
    </row>
    <row r="19" spans="1:49" x14ac:dyDescent="0.25">
      <c r="A19" s="16" t="s">
        <v>4619</v>
      </c>
      <c r="B19" s="16" t="s">
        <v>4619</v>
      </c>
      <c r="C19" s="16" t="s">
        <v>4677</v>
      </c>
      <c r="D19" s="16" t="s">
        <v>4677</v>
      </c>
      <c r="E19" s="16" t="s">
        <v>4708</v>
      </c>
      <c r="F19" s="16" t="s">
        <v>4708</v>
      </c>
      <c r="G19" s="16" t="s">
        <v>4708</v>
      </c>
      <c r="H19" s="16" t="s">
        <v>4617</v>
      </c>
      <c r="I19" s="16" t="s">
        <v>4617</v>
      </c>
      <c r="J19" s="16" t="s">
        <v>4617</v>
      </c>
      <c r="K19" s="16" t="s">
        <v>4617</v>
      </c>
      <c r="L19" s="16" t="s">
        <v>4653</v>
      </c>
      <c r="N19" s="16" t="s">
        <v>4724</v>
      </c>
      <c r="O19" s="16" t="s">
        <v>4724</v>
      </c>
      <c r="P19" s="16" t="s">
        <v>4724</v>
      </c>
      <c r="Q19" s="16" t="s">
        <v>4724</v>
      </c>
      <c r="R19" s="16" t="s">
        <v>4724</v>
      </c>
      <c r="S19" s="16" t="s">
        <v>4860</v>
      </c>
      <c r="T19" s="16" t="s">
        <v>4860</v>
      </c>
      <c r="U19" s="16" t="s">
        <v>4610</v>
      </c>
      <c r="V19" s="16" t="s">
        <v>4610</v>
      </c>
      <c r="W19" s="16" t="s">
        <v>4972</v>
      </c>
      <c r="X19" s="16" t="s">
        <v>5009</v>
      </c>
      <c r="Y19" s="16" t="s">
        <v>5009</v>
      </c>
      <c r="Z19" s="16" t="s">
        <v>5004</v>
      </c>
      <c r="AA19" s="16" t="s">
        <v>4934</v>
      </c>
      <c r="AB19" s="16" t="s">
        <v>4934</v>
      </c>
      <c r="AC19" s="16" t="s">
        <v>4934</v>
      </c>
      <c r="AD19" s="16" t="s">
        <v>5144</v>
      </c>
      <c r="AE19" s="16" t="s">
        <v>5144</v>
      </c>
      <c r="AF19" s="16" t="s">
        <v>5144</v>
      </c>
      <c r="AG19" s="16" t="s">
        <v>5144</v>
      </c>
      <c r="AH19" s="16" t="s">
        <v>5144</v>
      </c>
      <c r="AI19" s="16" t="s">
        <v>5144</v>
      </c>
      <c r="AJ19" s="16" t="s">
        <v>5144</v>
      </c>
      <c r="AK19" s="16" t="s">
        <v>5144</v>
      </c>
      <c r="AL19" s="16" t="s">
        <v>5217</v>
      </c>
      <c r="AM19" s="16" t="s">
        <v>5061</v>
      </c>
      <c r="AN19" s="16" t="s">
        <v>4763</v>
      </c>
      <c r="AO19" s="16" t="s">
        <v>4763</v>
      </c>
      <c r="AP19" s="16" t="s">
        <v>4763</v>
      </c>
      <c r="AQ19" s="16" t="s">
        <v>4763</v>
      </c>
      <c r="AR19" s="16" t="s">
        <v>4763</v>
      </c>
      <c r="AS19" s="16" t="s">
        <v>4763</v>
      </c>
      <c r="AT19" s="16" t="s">
        <v>4763</v>
      </c>
      <c r="AU19" s="16" t="s">
        <v>4763</v>
      </c>
      <c r="AV19" s="16" t="s">
        <v>4763</v>
      </c>
      <c r="AW19" s="16" t="s">
        <v>4763</v>
      </c>
    </row>
    <row r="20" spans="1:49" x14ac:dyDescent="0.25">
      <c r="A20" s="16" t="s">
        <v>4620</v>
      </c>
      <c r="B20" s="16" t="s">
        <v>4620</v>
      </c>
      <c r="C20" s="16" t="s">
        <v>4678</v>
      </c>
      <c r="D20" s="16" t="s">
        <v>4678</v>
      </c>
      <c r="E20" s="16" t="s">
        <v>4709</v>
      </c>
      <c r="F20" s="16" t="s">
        <v>4709</v>
      </c>
      <c r="G20" s="16" t="s">
        <v>4709</v>
      </c>
      <c r="H20" s="16" t="s">
        <v>4618</v>
      </c>
      <c r="I20" s="16" t="s">
        <v>4618</v>
      </c>
      <c r="J20" s="16" t="s">
        <v>4738</v>
      </c>
      <c r="K20" s="16" t="s">
        <v>4767</v>
      </c>
      <c r="L20" s="16" t="s">
        <v>4654</v>
      </c>
      <c r="N20" s="16" t="s">
        <v>4725</v>
      </c>
      <c r="O20" s="16" t="s">
        <v>4725</v>
      </c>
      <c r="P20" s="16" t="s">
        <v>4725</v>
      </c>
      <c r="Q20" s="16" t="s">
        <v>4725</v>
      </c>
      <c r="R20" s="16" t="s">
        <v>4725</v>
      </c>
      <c r="S20" s="16" t="s">
        <v>4861</v>
      </c>
      <c r="T20" s="16" t="s">
        <v>4861</v>
      </c>
      <c r="U20" s="16" t="s">
        <v>4611</v>
      </c>
      <c r="V20" s="16" t="s">
        <v>4611</v>
      </c>
      <c r="W20" s="16" t="s">
        <v>4973</v>
      </c>
      <c r="X20" s="16" t="s">
        <v>5010</v>
      </c>
      <c r="Y20" s="16" t="s">
        <v>5010</v>
      </c>
      <c r="Z20" s="16" t="s">
        <v>5078</v>
      </c>
      <c r="AA20" s="16" t="s">
        <v>4648</v>
      </c>
      <c r="AB20" s="16" t="s">
        <v>4648</v>
      </c>
      <c r="AC20" s="16" t="s">
        <v>4648</v>
      </c>
      <c r="AD20" s="16" t="s">
        <v>5145</v>
      </c>
      <c r="AE20" s="16" t="s">
        <v>5145</v>
      </c>
      <c r="AF20" s="16" t="s">
        <v>5145</v>
      </c>
      <c r="AG20" s="16" t="s">
        <v>5145</v>
      </c>
      <c r="AH20" s="16" t="s">
        <v>5145</v>
      </c>
      <c r="AI20" s="16" t="s">
        <v>5145</v>
      </c>
      <c r="AJ20" s="16" t="s">
        <v>5145</v>
      </c>
      <c r="AK20" s="16" t="s">
        <v>5145</v>
      </c>
      <c r="AL20" s="16" t="s">
        <v>5218</v>
      </c>
      <c r="AM20" s="16" t="s">
        <v>5062</v>
      </c>
      <c r="AN20" s="16" t="s">
        <v>5222</v>
      </c>
      <c r="AO20" s="16" t="s">
        <v>5222</v>
      </c>
      <c r="AP20" s="16" t="s">
        <v>5222</v>
      </c>
      <c r="AQ20" s="16" t="s">
        <v>5222</v>
      </c>
      <c r="AR20" s="16" t="s">
        <v>5222</v>
      </c>
      <c r="AS20" s="16" t="s">
        <v>5222</v>
      </c>
      <c r="AT20" s="16" t="s">
        <v>5222</v>
      </c>
      <c r="AU20" s="16" t="s">
        <v>5222</v>
      </c>
      <c r="AV20" s="16" t="s">
        <v>5222</v>
      </c>
      <c r="AW20" s="16" t="s">
        <v>4764</v>
      </c>
    </row>
    <row r="21" spans="1:49" x14ac:dyDescent="0.25">
      <c r="A21" s="16" t="s">
        <v>4621</v>
      </c>
      <c r="B21" s="16" t="s">
        <v>4621</v>
      </c>
      <c r="C21" s="16" t="s">
        <v>4679</v>
      </c>
      <c r="D21" s="16" t="s">
        <v>4679</v>
      </c>
      <c r="E21" s="16" t="s">
        <v>4710</v>
      </c>
      <c r="F21" s="16" t="s">
        <v>4710</v>
      </c>
      <c r="G21" s="16" t="s">
        <v>4710</v>
      </c>
      <c r="H21" s="16" t="s">
        <v>4619</v>
      </c>
      <c r="I21" s="16" t="s">
        <v>4619</v>
      </c>
      <c r="J21" s="16" t="s">
        <v>4739</v>
      </c>
      <c r="K21" s="16" t="s">
        <v>4768</v>
      </c>
      <c r="L21" s="16" t="s">
        <v>4655</v>
      </c>
      <c r="N21" s="16" t="s">
        <v>4726</v>
      </c>
      <c r="O21" s="16" t="s">
        <v>4726</v>
      </c>
      <c r="P21" s="16" t="s">
        <v>4726</v>
      </c>
      <c r="Q21" s="16" t="s">
        <v>4726</v>
      </c>
      <c r="R21" s="16" t="s">
        <v>4726</v>
      </c>
      <c r="S21" s="16" t="s">
        <v>4862</v>
      </c>
      <c r="T21" s="16" t="s">
        <v>4862</v>
      </c>
      <c r="U21" s="16" t="s">
        <v>4943</v>
      </c>
      <c r="V21" s="16" t="s">
        <v>4943</v>
      </c>
      <c r="W21" s="16" t="s">
        <v>4974</v>
      </c>
      <c r="X21" s="16" t="s">
        <v>5011</v>
      </c>
      <c r="Y21" s="16" t="s">
        <v>5011</v>
      </c>
      <c r="Z21" s="16" t="s">
        <v>5079</v>
      </c>
      <c r="AA21" s="16" t="s">
        <v>4649</v>
      </c>
      <c r="AB21" s="16" t="s">
        <v>4649</v>
      </c>
      <c r="AC21" s="16" t="s">
        <v>4649</v>
      </c>
      <c r="AD21" s="16" t="s">
        <v>5146</v>
      </c>
      <c r="AE21" s="16" t="s">
        <v>5146</v>
      </c>
      <c r="AF21" s="16" t="s">
        <v>5146</v>
      </c>
      <c r="AG21" s="16" t="s">
        <v>5146</v>
      </c>
      <c r="AH21" s="16" t="s">
        <v>5146</v>
      </c>
      <c r="AI21" s="16" t="s">
        <v>5146</v>
      </c>
      <c r="AJ21" s="16" t="s">
        <v>5146</v>
      </c>
      <c r="AK21" s="16" t="s">
        <v>5146</v>
      </c>
      <c r="AL21" s="16" t="s">
        <v>5219</v>
      </c>
      <c r="AM21" s="16" t="s">
        <v>5063</v>
      </c>
      <c r="AN21" s="16" t="s">
        <v>5223</v>
      </c>
      <c r="AO21" s="16" t="s">
        <v>5223</v>
      </c>
      <c r="AP21" s="16" t="s">
        <v>5223</v>
      </c>
      <c r="AQ21" s="16" t="s">
        <v>5223</v>
      </c>
      <c r="AR21" s="16" t="s">
        <v>5223</v>
      </c>
      <c r="AS21" s="16" t="s">
        <v>5223</v>
      </c>
      <c r="AT21" s="16" t="s">
        <v>5223</v>
      </c>
      <c r="AU21" s="16" t="s">
        <v>5223</v>
      </c>
      <c r="AV21" s="16" t="s">
        <v>5223</v>
      </c>
      <c r="AW21" s="16" t="s">
        <v>4765</v>
      </c>
    </row>
    <row r="22" spans="1:49" x14ac:dyDescent="0.25">
      <c r="A22" s="16" t="s">
        <v>4622</v>
      </c>
      <c r="B22" s="16" t="s">
        <v>4622</v>
      </c>
      <c r="C22" s="16" t="s">
        <v>4680</v>
      </c>
      <c r="D22" s="16" t="s">
        <v>4680</v>
      </c>
      <c r="E22" s="16" t="s">
        <v>4711</v>
      </c>
      <c r="F22" s="16" t="s">
        <v>4711</v>
      </c>
      <c r="G22" s="16" t="s">
        <v>4711</v>
      </c>
      <c r="H22" s="16" t="s">
        <v>4620</v>
      </c>
      <c r="I22" s="16" t="s">
        <v>4620</v>
      </c>
      <c r="J22" s="16" t="s">
        <v>4740</v>
      </c>
      <c r="K22" s="16" t="s">
        <v>4769</v>
      </c>
      <c r="L22" s="16" t="s">
        <v>4642</v>
      </c>
      <c r="N22" s="16" t="s">
        <v>4727</v>
      </c>
      <c r="O22" s="16" t="s">
        <v>4727</v>
      </c>
      <c r="P22" s="16" t="s">
        <v>4727</v>
      </c>
      <c r="Q22" s="16" t="s">
        <v>4727</v>
      </c>
      <c r="R22" s="16" t="s">
        <v>4727</v>
      </c>
      <c r="S22" s="16" t="s">
        <v>4863</v>
      </c>
      <c r="T22" s="16" t="s">
        <v>4863</v>
      </c>
      <c r="U22" s="16" t="s">
        <v>4944</v>
      </c>
      <c r="V22" s="16" t="s">
        <v>4944</v>
      </c>
      <c r="W22" s="16" t="s">
        <v>4975</v>
      </c>
      <c r="X22" s="16" t="s">
        <v>5012</v>
      </c>
      <c r="Y22" s="16" t="s">
        <v>5012</v>
      </c>
      <c r="Z22" s="16" t="s">
        <v>5080</v>
      </c>
      <c r="AA22" s="16" t="s">
        <v>4650</v>
      </c>
      <c r="AB22" s="16" t="s">
        <v>4650</v>
      </c>
      <c r="AC22" s="16" t="s">
        <v>4650</v>
      </c>
      <c r="AD22" s="16" t="s">
        <v>5147</v>
      </c>
      <c r="AE22" s="16" t="s">
        <v>5147</v>
      </c>
      <c r="AF22" s="16" t="s">
        <v>5147</v>
      </c>
      <c r="AG22" s="16" t="s">
        <v>5147</v>
      </c>
      <c r="AH22" s="16" t="s">
        <v>5147</v>
      </c>
      <c r="AI22" s="16" t="s">
        <v>5147</v>
      </c>
      <c r="AJ22" s="16" t="s">
        <v>5147</v>
      </c>
      <c r="AK22" s="16" t="s">
        <v>5147</v>
      </c>
      <c r="AL22" s="16" t="s">
        <v>4773</v>
      </c>
      <c r="AM22" s="16" t="s">
        <v>5064</v>
      </c>
      <c r="AN22" s="16" t="s">
        <v>4829</v>
      </c>
      <c r="AO22" s="16" t="s">
        <v>4829</v>
      </c>
      <c r="AP22" s="16" t="s">
        <v>4829</v>
      </c>
      <c r="AQ22" s="16" t="s">
        <v>4829</v>
      </c>
      <c r="AR22" s="16" t="s">
        <v>4829</v>
      </c>
      <c r="AS22" s="16" t="s">
        <v>4829</v>
      </c>
      <c r="AT22" s="16" t="s">
        <v>4829</v>
      </c>
      <c r="AU22" s="16" t="s">
        <v>4829</v>
      </c>
      <c r="AV22" s="16" t="s">
        <v>4829</v>
      </c>
      <c r="AW22" s="16" t="s">
        <v>4766</v>
      </c>
    </row>
    <row r="23" spans="1:49" x14ac:dyDescent="0.25">
      <c r="A23" s="16" t="s">
        <v>4623</v>
      </c>
      <c r="B23" s="16" t="s">
        <v>4623</v>
      </c>
      <c r="C23" s="16" t="s">
        <v>4681</v>
      </c>
      <c r="D23" s="16" t="s">
        <v>4681</v>
      </c>
      <c r="E23" s="16" t="s">
        <v>4712</v>
      </c>
      <c r="F23" s="16" t="s">
        <v>4712</v>
      </c>
      <c r="G23" s="16" t="s">
        <v>4712</v>
      </c>
      <c r="H23" s="16" t="s">
        <v>4621</v>
      </c>
      <c r="I23" s="16" t="s">
        <v>4621</v>
      </c>
      <c r="J23" s="16" t="s">
        <v>4741</v>
      </c>
      <c r="K23" s="16" t="s">
        <v>4770</v>
      </c>
      <c r="L23" s="16" t="s">
        <v>4643</v>
      </c>
      <c r="N23" s="16" t="s">
        <v>4728</v>
      </c>
      <c r="O23" s="16" t="s">
        <v>4728</v>
      </c>
      <c r="P23" s="16" t="s">
        <v>4728</v>
      </c>
      <c r="Q23" s="16" t="s">
        <v>4728</v>
      </c>
      <c r="R23" s="16" t="s">
        <v>4728</v>
      </c>
      <c r="S23" s="16" t="s">
        <v>4864</v>
      </c>
      <c r="T23" s="16" t="s">
        <v>4864</v>
      </c>
      <c r="U23" s="16" t="s">
        <v>4945</v>
      </c>
      <c r="V23" s="16" t="s">
        <v>4945</v>
      </c>
      <c r="W23" s="16" t="s">
        <v>4821</v>
      </c>
      <c r="X23" s="16" t="s">
        <v>5013</v>
      </c>
      <c r="Y23" s="16" t="s">
        <v>5013</v>
      </c>
      <c r="Z23" s="16" t="s">
        <v>5081</v>
      </c>
      <c r="AA23" s="16" t="s">
        <v>4651</v>
      </c>
      <c r="AB23" s="16" t="s">
        <v>4651</v>
      </c>
      <c r="AC23" s="16" t="s">
        <v>4651</v>
      </c>
      <c r="AD23" s="16" t="s">
        <v>5148</v>
      </c>
      <c r="AE23" s="16" t="s">
        <v>5148</v>
      </c>
      <c r="AF23" s="16" t="s">
        <v>5148</v>
      </c>
      <c r="AG23" s="16" t="s">
        <v>5148</v>
      </c>
      <c r="AH23" s="16" t="s">
        <v>5148</v>
      </c>
      <c r="AI23" s="16" t="s">
        <v>5148</v>
      </c>
      <c r="AJ23" s="16" t="s">
        <v>5148</v>
      </c>
      <c r="AK23" s="16" t="s">
        <v>5148</v>
      </c>
      <c r="AL23" s="16" t="s">
        <v>4774</v>
      </c>
      <c r="AM23" s="16" t="s">
        <v>5065</v>
      </c>
      <c r="AN23" s="16" t="s">
        <v>4830</v>
      </c>
      <c r="AO23" s="16" t="s">
        <v>4830</v>
      </c>
      <c r="AP23" s="16" t="s">
        <v>5226</v>
      </c>
      <c r="AQ23" s="16" t="s">
        <v>5226</v>
      </c>
      <c r="AR23" s="16" t="s">
        <v>5226</v>
      </c>
      <c r="AS23" s="16" t="s">
        <v>5226</v>
      </c>
      <c r="AT23" s="16" t="s">
        <v>5226</v>
      </c>
      <c r="AU23" s="16" t="s">
        <v>5226</v>
      </c>
      <c r="AV23" s="16" t="s">
        <v>5226</v>
      </c>
      <c r="AW23" s="16" t="s">
        <v>4669</v>
      </c>
    </row>
    <row r="24" spans="1:49" x14ac:dyDescent="0.25">
      <c r="A24" s="16" t="s">
        <v>4624</v>
      </c>
      <c r="B24" s="16" t="s">
        <v>4624</v>
      </c>
      <c r="C24" s="16" t="s">
        <v>4682</v>
      </c>
      <c r="D24" s="16" t="s">
        <v>4682</v>
      </c>
      <c r="E24" s="16" t="s">
        <v>4713</v>
      </c>
      <c r="F24" s="16" t="s">
        <v>4713</v>
      </c>
      <c r="G24" s="16" t="s">
        <v>4713</v>
      </c>
      <c r="H24" s="16" t="s">
        <v>4622</v>
      </c>
      <c r="I24" s="16" t="s">
        <v>4622</v>
      </c>
      <c r="J24" s="16" t="s">
        <v>4622</v>
      </c>
      <c r="K24" s="16" t="s">
        <v>4771</v>
      </c>
      <c r="L24" s="16" t="s">
        <v>4644</v>
      </c>
      <c r="N24" s="16" t="s">
        <v>4729</v>
      </c>
      <c r="O24" s="16" t="s">
        <v>4729</v>
      </c>
      <c r="P24" s="16" t="s">
        <v>4729</v>
      </c>
      <c r="Q24" s="16" t="s">
        <v>4729</v>
      </c>
      <c r="R24" s="16" t="s">
        <v>4729</v>
      </c>
      <c r="S24" s="16" t="s">
        <v>4865</v>
      </c>
      <c r="T24" s="16" t="s">
        <v>4865</v>
      </c>
      <c r="U24" s="16" t="s">
        <v>4946</v>
      </c>
      <c r="V24" s="16" t="s">
        <v>4946</v>
      </c>
      <c r="W24" s="16" t="s">
        <v>4822</v>
      </c>
      <c r="X24" s="16" t="s">
        <v>5014</v>
      </c>
      <c r="Y24" s="16" t="s">
        <v>5014</v>
      </c>
      <c r="Z24" s="16" t="s">
        <v>5082</v>
      </c>
      <c r="AA24" s="16" t="s">
        <v>4652</v>
      </c>
      <c r="AB24" s="16" t="s">
        <v>4652</v>
      </c>
      <c r="AC24" s="16" t="s">
        <v>4652</v>
      </c>
      <c r="AD24" s="16" t="s">
        <v>5149</v>
      </c>
      <c r="AE24" s="16" t="s">
        <v>5149</v>
      </c>
      <c r="AF24" s="16" t="s">
        <v>5149</v>
      </c>
      <c r="AG24" s="16" t="s">
        <v>5149</v>
      </c>
      <c r="AH24" s="16" t="s">
        <v>5149</v>
      </c>
      <c r="AI24" s="16" t="s">
        <v>5149</v>
      </c>
      <c r="AJ24" s="16" t="s">
        <v>5149</v>
      </c>
      <c r="AK24" s="16" t="s">
        <v>5149</v>
      </c>
      <c r="AL24" s="16" t="s">
        <v>4775</v>
      </c>
      <c r="AM24" s="16" t="s">
        <v>5066</v>
      </c>
      <c r="AN24" s="16" t="s">
        <v>4831</v>
      </c>
      <c r="AO24" s="16" t="s">
        <v>4831</v>
      </c>
      <c r="AP24" s="16" t="s">
        <v>5227</v>
      </c>
      <c r="AQ24" s="16" t="s">
        <v>5227</v>
      </c>
      <c r="AR24" s="16" t="s">
        <v>5227</v>
      </c>
      <c r="AS24" s="16" t="s">
        <v>5227</v>
      </c>
      <c r="AT24" s="16" t="s">
        <v>5227</v>
      </c>
      <c r="AU24" s="16" t="s">
        <v>5247</v>
      </c>
      <c r="AV24" s="16" t="s">
        <v>5247</v>
      </c>
      <c r="AW24" s="16" t="s">
        <v>4670</v>
      </c>
    </row>
    <row r="25" spans="1:49" x14ac:dyDescent="0.25">
      <c r="A25" s="16" t="s">
        <v>4625</v>
      </c>
      <c r="B25" s="16" t="s">
        <v>4625</v>
      </c>
      <c r="C25" s="16" t="s">
        <v>4680</v>
      </c>
      <c r="D25" s="16" t="s">
        <v>4697</v>
      </c>
      <c r="E25" s="16" t="s">
        <v>4633</v>
      </c>
      <c r="F25" s="16" t="s">
        <v>4633</v>
      </c>
      <c r="G25" s="16" t="s">
        <v>4633</v>
      </c>
      <c r="H25" s="16" t="s">
        <v>4623</v>
      </c>
      <c r="I25" s="16" t="s">
        <v>4623</v>
      </c>
      <c r="J25" s="16" t="s">
        <v>4742</v>
      </c>
      <c r="K25" s="16" t="s">
        <v>4772</v>
      </c>
      <c r="L25" s="16" t="s">
        <v>4656</v>
      </c>
      <c r="N25" s="16" t="s">
        <v>4730</v>
      </c>
      <c r="O25" s="16" t="s">
        <v>4730</v>
      </c>
      <c r="P25" s="16" t="s">
        <v>4730</v>
      </c>
      <c r="Q25" s="16" t="s">
        <v>4730</v>
      </c>
      <c r="R25" s="16" t="s">
        <v>4730</v>
      </c>
      <c r="S25" s="16" t="s">
        <v>4866</v>
      </c>
      <c r="T25" s="16" t="s">
        <v>4866</v>
      </c>
      <c r="U25" s="16" t="s">
        <v>4730</v>
      </c>
      <c r="V25" s="16" t="s">
        <v>4730</v>
      </c>
      <c r="W25" s="16" t="s">
        <v>4976</v>
      </c>
      <c r="X25" s="16" t="s">
        <v>5015</v>
      </c>
      <c r="Y25" s="16" t="s">
        <v>5015</v>
      </c>
      <c r="Z25" s="16" t="s">
        <v>5083</v>
      </c>
      <c r="AA25" s="16" t="s">
        <v>4653</v>
      </c>
      <c r="AB25" s="16" t="s">
        <v>4653</v>
      </c>
      <c r="AC25" s="16" t="s">
        <v>4653</v>
      </c>
      <c r="AD25" s="16" t="s">
        <v>5150</v>
      </c>
      <c r="AE25" s="16" t="s">
        <v>5150</v>
      </c>
      <c r="AF25" s="16" t="s">
        <v>5150</v>
      </c>
      <c r="AG25" s="16" t="s">
        <v>5150</v>
      </c>
      <c r="AH25" s="16" t="s">
        <v>5150</v>
      </c>
      <c r="AI25" s="16" t="s">
        <v>5150</v>
      </c>
      <c r="AJ25" s="16" t="s">
        <v>5150</v>
      </c>
      <c r="AK25" s="16" t="s">
        <v>5150</v>
      </c>
      <c r="AL25" s="16" t="s">
        <v>4776</v>
      </c>
      <c r="AM25" s="16" t="s">
        <v>5067</v>
      </c>
      <c r="AN25" s="16" t="s">
        <v>4832</v>
      </c>
      <c r="AO25" s="16" t="s">
        <v>4832</v>
      </c>
      <c r="AP25" s="16" t="s">
        <v>5228</v>
      </c>
      <c r="AQ25" s="16" t="s">
        <v>5228</v>
      </c>
      <c r="AR25" s="16" t="s">
        <v>5228</v>
      </c>
      <c r="AS25" s="16" t="s">
        <v>5228</v>
      </c>
      <c r="AT25" s="16" t="s">
        <v>5228</v>
      </c>
      <c r="AU25" s="16" t="s">
        <v>5248</v>
      </c>
      <c r="AV25" s="16" t="s">
        <v>5248</v>
      </c>
      <c r="AW25" s="16" t="s">
        <v>4671</v>
      </c>
    </row>
    <row r="26" spans="1:49" x14ac:dyDescent="0.25">
      <c r="A26" s="16" t="s">
        <v>4626</v>
      </c>
      <c r="B26" s="16" t="s">
        <v>4626</v>
      </c>
      <c r="C26" s="16" t="s">
        <v>4683</v>
      </c>
      <c r="D26" s="16" t="s">
        <v>4698</v>
      </c>
      <c r="E26" s="16" t="s">
        <v>4634</v>
      </c>
      <c r="F26" s="16" t="s">
        <v>4634</v>
      </c>
      <c r="G26" s="16" t="s">
        <v>4634</v>
      </c>
      <c r="H26" s="16" t="s">
        <v>4624</v>
      </c>
      <c r="I26" s="16" t="s">
        <v>4624</v>
      </c>
      <c r="J26" s="16" t="s">
        <v>4743</v>
      </c>
      <c r="K26" s="16" t="s">
        <v>4769</v>
      </c>
      <c r="L26" s="16" t="s">
        <v>4657</v>
      </c>
      <c r="N26" s="16" t="s">
        <v>4807</v>
      </c>
      <c r="O26" s="16" t="s">
        <v>4807</v>
      </c>
      <c r="P26" s="16" t="s">
        <v>4807</v>
      </c>
      <c r="Q26" s="16" t="s">
        <v>4807</v>
      </c>
      <c r="R26" s="16" t="s">
        <v>4807</v>
      </c>
      <c r="S26" s="16" t="s">
        <v>4867</v>
      </c>
      <c r="T26" s="16" t="s">
        <v>4867</v>
      </c>
      <c r="U26" s="16" t="s">
        <v>4947</v>
      </c>
      <c r="V26" s="16" t="s">
        <v>4947</v>
      </c>
      <c r="W26" s="16" t="s">
        <v>4824</v>
      </c>
      <c r="X26" s="16" t="s">
        <v>5016</v>
      </c>
      <c r="Y26" s="16" t="s">
        <v>5016</v>
      </c>
      <c r="Z26" s="16" t="s">
        <v>5084</v>
      </c>
      <c r="AA26" s="16" t="s">
        <v>4654</v>
      </c>
      <c r="AB26" s="16" t="s">
        <v>4654</v>
      </c>
      <c r="AC26" s="16" t="s">
        <v>4654</v>
      </c>
      <c r="AD26" s="16" t="s">
        <v>5151</v>
      </c>
      <c r="AE26" s="16" t="s">
        <v>5151</v>
      </c>
      <c r="AF26" s="16" t="s">
        <v>5151</v>
      </c>
      <c r="AG26" s="16" t="s">
        <v>5151</v>
      </c>
      <c r="AH26" s="16" t="s">
        <v>5151</v>
      </c>
      <c r="AI26" s="16" t="s">
        <v>5151</v>
      </c>
      <c r="AJ26" s="16" t="s">
        <v>5151</v>
      </c>
      <c r="AK26" s="16" t="s">
        <v>5151</v>
      </c>
      <c r="AL26" s="16" t="s">
        <v>4777</v>
      </c>
      <c r="AM26" s="16" t="s">
        <v>5068</v>
      </c>
      <c r="AN26" s="16" t="s">
        <v>4833</v>
      </c>
      <c r="AO26" s="16" t="s">
        <v>4833</v>
      </c>
      <c r="AP26" s="16" t="s">
        <v>5229</v>
      </c>
      <c r="AQ26" s="16" t="s">
        <v>5229</v>
      </c>
      <c r="AR26" s="16" t="s">
        <v>5229</v>
      </c>
      <c r="AS26" s="16" t="s">
        <v>5229</v>
      </c>
      <c r="AT26" s="16" t="s">
        <v>5229</v>
      </c>
      <c r="AU26" s="16" t="s">
        <v>5249</v>
      </c>
      <c r="AV26" s="16" t="s">
        <v>5249</v>
      </c>
    </row>
    <row r="27" spans="1:49" x14ac:dyDescent="0.25">
      <c r="A27" s="16" t="s">
        <v>4627</v>
      </c>
      <c r="B27" s="16" t="s">
        <v>4627</v>
      </c>
      <c r="C27" s="16" t="s">
        <v>4684</v>
      </c>
      <c r="D27" s="16" t="s">
        <v>4699</v>
      </c>
      <c r="E27" s="16" t="s">
        <v>4635</v>
      </c>
      <c r="F27" s="16" t="s">
        <v>4635</v>
      </c>
      <c r="G27" s="16" t="s">
        <v>4635</v>
      </c>
      <c r="H27" s="16" t="s">
        <v>4625</v>
      </c>
      <c r="I27" s="16" t="s">
        <v>4625</v>
      </c>
      <c r="J27" s="16" t="s">
        <v>4624</v>
      </c>
      <c r="K27" s="16" t="s">
        <v>4773</v>
      </c>
      <c r="L27" s="16" t="s">
        <v>4658</v>
      </c>
      <c r="N27" s="16" t="s">
        <v>4808</v>
      </c>
      <c r="O27" s="16" t="s">
        <v>4808</v>
      </c>
      <c r="P27" s="16" t="s">
        <v>4808</v>
      </c>
      <c r="Q27" s="16" t="s">
        <v>4808</v>
      </c>
      <c r="R27" s="16" t="s">
        <v>4808</v>
      </c>
      <c r="S27" s="16" t="s">
        <v>4868</v>
      </c>
      <c r="T27" s="16" t="s">
        <v>4868</v>
      </c>
      <c r="U27" s="16" t="s">
        <v>4948</v>
      </c>
      <c r="V27" s="16" t="s">
        <v>4962</v>
      </c>
      <c r="W27" s="16" t="s">
        <v>4977</v>
      </c>
      <c r="X27" s="16" t="s">
        <v>5017</v>
      </c>
      <c r="Y27" s="16" t="s">
        <v>5017</v>
      </c>
      <c r="Z27" s="16" t="s">
        <v>5085</v>
      </c>
      <c r="AA27" s="16" t="s">
        <v>4655</v>
      </c>
      <c r="AB27" s="16" t="s">
        <v>4655</v>
      </c>
      <c r="AC27" s="16" t="s">
        <v>4655</v>
      </c>
      <c r="AD27" s="16" t="s">
        <v>5152</v>
      </c>
      <c r="AE27" s="16" t="s">
        <v>5152</v>
      </c>
      <c r="AF27" s="16" t="s">
        <v>5152</v>
      </c>
      <c r="AG27" s="16" t="s">
        <v>5152</v>
      </c>
      <c r="AH27" s="16" t="s">
        <v>5152</v>
      </c>
      <c r="AI27" s="16" t="s">
        <v>5152</v>
      </c>
      <c r="AJ27" s="16" t="s">
        <v>5152</v>
      </c>
      <c r="AK27" s="16" t="s">
        <v>5152</v>
      </c>
      <c r="AL27" s="16" t="s">
        <v>4778</v>
      </c>
      <c r="AM27" s="16" t="s">
        <v>5069</v>
      </c>
      <c r="AN27" s="16" t="s">
        <v>4834</v>
      </c>
      <c r="AO27" s="16" t="s">
        <v>4834</v>
      </c>
      <c r="AP27" s="16" t="s">
        <v>5230</v>
      </c>
      <c r="AQ27" s="16" t="s">
        <v>5230</v>
      </c>
      <c r="AR27" s="16" t="s">
        <v>5230</v>
      </c>
      <c r="AS27" s="16" t="s">
        <v>5230</v>
      </c>
      <c r="AT27" s="16" t="s">
        <v>5230</v>
      </c>
      <c r="AU27" s="16" t="s">
        <v>4934</v>
      </c>
      <c r="AV27" s="16" t="s">
        <v>4934</v>
      </c>
    </row>
    <row r="28" spans="1:49" x14ac:dyDescent="0.25">
      <c r="A28" s="16" t="s">
        <v>4628</v>
      </c>
      <c r="B28" s="16" t="s">
        <v>4628</v>
      </c>
      <c r="C28" s="16" t="s">
        <v>4685</v>
      </c>
      <c r="D28" s="16" t="s">
        <v>4700</v>
      </c>
      <c r="E28" s="16" t="s">
        <v>4636</v>
      </c>
      <c r="F28" s="16" t="s">
        <v>4636</v>
      </c>
      <c r="G28" s="16" t="s">
        <v>4636</v>
      </c>
      <c r="H28" s="16" t="s">
        <v>4626</v>
      </c>
      <c r="I28" s="16" t="s">
        <v>4626</v>
      </c>
      <c r="J28" s="16" t="s">
        <v>4625</v>
      </c>
      <c r="K28" s="16" t="s">
        <v>4774</v>
      </c>
      <c r="L28" s="16" t="s">
        <v>4659</v>
      </c>
      <c r="N28" s="16" t="s">
        <v>4809</v>
      </c>
      <c r="O28" s="16" t="s">
        <v>4809</v>
      </c>
      <c r="P28" s="16" t="s">
        <v>4809</v>
      </c>
      <c r="Q28" s="16" t="s">
        <v>4809</v>
      </c>
      <c r="R28" s="16" t="s">
        <v>4809</v>
      </c>
      <c r="S28" s="16" t="s">
        <v>4869</v>
      </c>
      <c r="T28" s="16" t="s">
        <v>4869</v>
      </c>
      <c r="U28" s="16" t="s">
        <v>4949</v>
      </c>
      <c r="V28" s="16" t="s">
        <v>4963</v>
      </c>
      <c r="W28" s="16" t="s">
        <v>4827</v>
      </c>
      <c r="X28" s="16" t="s">
        <v>5018</v>
      </c>
      <c r="Y28" s="16" t="s">
        <v>5018</v>
      </c>
      <c r="Z28" s="16" t="s">
        <v>5086</v>
      </c>
      <c r="AA28" s="16" t="s">
        <v>4642</v>
      </c>
      <c r="AB28" s="16" t="s">
        <v>4642</v>
      </c>
      <c r="AC28" s="16" t="s">
        <v>4642</v>
      </c>
      <c r="AD28" s="16" t="s">
        <v>5153</v>
      </c>
      <c r="AE28" s="16" t="s">
        <v>5153</v>
      </c>
      <c r="AF28" s="16" t="s">
        <v>5153</v>
      </c>
      <c r="AG28" s="16" t="s">
        <v>5153</v>
      </c>
      <c r="AH28" s="16" t="s">
        <v>5153</v>
      </c>
      <c r="AI28" s="16" t="s">
        <v>5153</v>
      </c>
      <c r="AJ28" s="16" t="s">
        <v>5153</v>
      </c>
      <c r="AK28" s="16" t="s">
        <v>5153</v>
      </c>
      <c r="AL28" s="16" t="s">
        <v>4779</v>
      </c>
      <c r="AM28" s="16" t="s">
        <v>5070</v>
      </c>
      <c r="AN28" s="16" t="s">
        <v>4602</v>
      </c>
      <c r="AO28" s="16" t="s">
        <v>4602</v>
      </c>
      <c r="AP28" s="16" t="s">
        <v>5231</v>
      </c>
      <c r="AQ28" s="16" t="s">
        <v>5231</v>
      </c>
      <c r="AR28" s="16" t="s">
        <v>5231</v>
      </c>
      <c r="AS28" s="16" t="s">
        <v>5231</v>
      </c>
      <c r="AT28" s="16" t="s">
        <v>5231</v>
      </c>
      <c r="AU28" s="16" t="s">
        <v>4648</v>
      </c>
      <c r="AV28" s="16" t="s">
        <v>4648</v>
      </c>
    </row>
    <row r="29" spans="1:49" x14ac:dyDescent="0.25">
      <c r="A29" s="16" t="s">
        <v>4629</v>
      </c>
      <c r="B29" s="16" t="s">
        <v>4629</v>
      </c>
      <c r="C29" s="16" t="s">
        <v>4686</v>
      </c>
      <c r="D29" s="16" t="s">
        <v>4701</v>
      </c>
      <c r="E29" s="16" t="s">
        <v>4637</v>
      </c>
      <c r="F29" s="16" t="s">
        <v>4637</v>
      </c>
      <c r="G29" s="16" t="s">
        <v>4637</v>
      </c>
      <c r="H29" s="16" t="s">
        <v>4627</v>
      </c>
      <c r="I29" s="16" t="s">
        <v>4627</v>
      </c>
      <c r="J29" s="16" t="s">
        <v>4626</v>
      </c>
      <c r="K29" s="16" t="s">
        <v>4775</v>
      </c>
      <c r="L29" s="16" t="s">
        <v>4660</v>
      </c>
      <c r="N29" s="16" t="s">
        <v>4810</v>
      </c>
      <c r="O29" s="16" t="s">
        <v>4810</v>
      </c>
      <c r="P29" s="16" t="s">
        <v>4810</v>
      </c>
      <c r="Q29" s="16" t="s">
        <v>4810</v>
      </c>
      <c r="R29" s="16" t="s">
        <v>4810</v>
      </c>
      <c r="S29" s="16" t="s">
        <v>4870</v>
      </c>
      <c r="T29" s="16" t="s">
        <v>4870</v>
      </c>
      <c r="U29" s="16" t="s">
        <v>4950</v>
      </c>
      <c r="V29" s="16" t="s">
        <v>4954</v>
      </c>
      <c r="W29" s="16" t="s">
        <v>4978</v>
      </c>
      <c r="X29" s="16" t="s">
        <v>5019</v>
      </c>
      <c r="Y29" s="16" t="s">
        <v>5019</v>
      </c>
      <c r="Z29" s="16" t="s">
        <v>5087</v>
      </c>
      <c r="AA29" s="16" t="s">
        <v>4643</v>
      </c>
      <c r="AB29" s="16" t="s">
        <v>4643</v>
      </c>
      <c r="AC29" s="16" t="s">
        <v>4935</v>
      </c>
      <c r="AD29" s="16" t="s">
        <v>5154</v>
      </c>
      <c r="AE29" s="16" t="s">
        <v>5154</v>
      </c>
      <c r="AF29" s="16" t="s">
        <v>5154</v>
      </c>
      <c r="AG29" s="16" t="s">
        <v>5154</v>
      </c>
      <c r="AH29" s="16" t="s">
        <v>5154</v>
      </c>
      <c r="AI29" s="16" t="s">
        <v>5154</v>
      </c>
      <c r="AJ29" s="16" t="s">
        <v>5154</v>
      </c>
      <c r="AK29" s="16" t="s">
        <v>5154</v>
      </c>
      <c r="AL29" s="16" t="s">
        <v>4780</v>
      </c>
      <c r="AM29" s="16" t="s">
        <v>5071</v>
      </c>
      <c r="AN29" s="16" t="s">
        <v>4603</v>
      </c>
      <c r="AO29" s="16" t="s">
        <v>4603</v>
      </c>
      <c r="AP29" s="16" t="s">
        <v>5232</v>
      </c>
      <c r="AQ29" s="16" t="s">
        <v>5232</v>
      </c>
      <c r="AR29" s="16" t="s">
        <v>5232</v>
      </c>
      <c r="AS29" s="16" t="s">
        <v>5232</v>
      </c>
      <c r="AT29" s="16" t="s">
        <v>5232</v>
      </c>
      <c r="AU29" s="16" t="s">
        <v>4649</v>
      </c>
      <c r="AV29" s="16" t="s">
        <v>4649</v>
      </c>
    </row>
    <row r="30" spans="1:49" x14ac:dyDescent="0.25">
      <c r="A30" s="16" t="s">
        <v>4630</v>
      </c>
      <c r="B30" s="16" t="s">
        <v>4630</v>
      </c>
      <c r="C30" s="16" t="s">
        <v>4687</v>
      </c>
      <c r="D30" s="16" t="s">
        <v>4702</v>
      </c>
      <c r="E30" s="16" t="s">
        <v>4638</v>
      </c>
      <c r="F30" s="16" t="s">
        <v>4638</v>
      </c>
      <c r="G30" s="16" t="s">
        <v>4638</v>
      </c>
      <c r="H30" s="16" t="s">
        <v>4628</v>
      </c>
      <c r="I30" s="16" t="s">
        <v>4628</v>
      </c>
      <c r="J30" s="16" t="s">
        <v>4627</v>
      </c>
      <c r="K30" s="16" t="s">
        <v>4776</v>
      </c>
      <c r="L30" s="16" t="s">
        <v>4661</v>
      </c>
      <c r="N30" s="16" t="s">
        <v>4811</v>
      </c>
      <c r="O30" s="16" t="s">
        <v>4811</v>
      </c>
      <c r="P30" s="16" t="s">
        <v>4811</v>
      </c>
      <c r="Q30" s="16" t="s">
        <v>4811</v>
      </c>
      <c r="R30" s="16" t="s">
        <v>4811</v>
      </c>
      <c r="S30" s="16" t="s">
        <v>4871</v>
      </c>
      <c r="T30" s="16" t="s">
        <v>4871</v>
      </c>
      <c r="U30" s="16" t="s">
        <v>4951</v>
      </c>
      <c r="V30" s="16" t="s">
        <v>4955</v>
      </c>
      <c r="W30" s="16" t="s">
        <v>4979</v>
      </c>
      <c r="X30" s="16" t="s">
        <v>5020</v>
      </c>
      <c r="Y30" s="16" t="s">
        <v>5020</v>
      </c>
      <c r="Z30" s="16" t="s">
        <v>5088</v>
      </c>
      <c r="AA30" s="16" t="s">
        <v>4644</v>
      </c>
      <c r="AB30" s="16" t="s">
        <v>4644</v>
      </c>
      <c r="AC30" s="16" t="s">
        <v>4657</v>
      </c>
      <c r="AD30" s="16" t="s">
        <v>5155</v>
      </c>
      <c r="AE30" s="16" t="s">
        <v>5155</v>
      </c>
      <c r="AF30" s="16" t="s">
        <v>5155</v>
      </c>
      <c r="AG30" s="16" t="s">
        <v>5155</v>
      </c>
      <c r="AH30" s="16" t="s">
        <v>5155</v>
      </c>
      <c r="AI30" s="16" t="s">
        <v>5155</v>
      </c>
      <c r="AJ30" s="16" t="s">
        <v>5155</v>
      </c>
      <c r="AK30" s="16" t="s">
        <v>5155</v>
      </c>
      <c r="AL30" s="16" t="s">
        <v>4781</v>
      </c>
      <c r="AM30" s="16" t="s">
        <v>5072</v>
      </c>
      <c r="AN30" s="16" t="s">
        <v>4604</v>
      </c>
      <c r="AO30" s="16" t="s">
        <v>4799</v>
      </c>
      <c r="AP30" s="16" t="s">
        <v>5233</v>
      </c>
      <c r="AQ30" s="16" t="s">
        <v>5233</v>
      </c>
      <c r="AR30" s="16" t="s">
        <v>5233</v>
      </c>
      <c r="AS30" s="16" t="s">
        <v>5233</v>
      </c>
      <c r="AT30" s="16" t="s">
        <v>5233</v>
      </c>
      <c r="AU30" s="16" t="s">
        <v>4650</v>
      </c>
      <c r="AV30" s="16" t="s">
        <v>4650</v>
      </c>
    </row>
    <row r="31" spans="1:49" x14ac:dyDescent="0.25">
      <c r="A31" s="16" t="s">
        <v>4631</v>
      </c>
      <c r="B31" s="16" t="s">
        <v>4631</v>
      </c>
      <c r="C31" s="16" t="s">
        <v>4688</v>
      </c>
      <c r="D31" s="16" t="s">
        <v>4703</v>
      </c>
      <c r="E31" s="16" t="s">
        <v>4714</v>
      </c>
      <c r="F31" s="16" t="s">
        <v>4714</v>
      </c>
      <c r="G31" s="16" t="s">
        <v>4714</v>
      </c>
      <c r="H31" s="16" t="s">
        <v>4629</v>
      </c>
      <c r="I31" s="16" t="s">
        <v>4629</v>
      </c>
      <c r="J31" s="16" t="s">
        <v>4628</v>
      </c>
      <c r="K31" s="16" t="s">
        <v>4777</v>
      </c>
      <c r="L31" s="16" t="s">
        <v>4662</v>
      </c>
      <c r="N31" s="16" t="s">
        <v>4683</v>
      </c>
      <c r="O31" s="16" t="s">
        <v>4812</v>
      </c>
      <c r="P31" s="16" t="s">
        <v>4812</v>
      </c>
      <c r="Q31" s="16" t="s">
        <v>4681</v>
      </c>
      <c r="R31" s="16" t="s">
        <v>4681</v>
      </c>
      <c r="S31" s="16" t="s">
        <v>4872</v>
      </c>
      <c r="T31" s="16" t="s">
        <v>4872</v>
      </c>
      <c r="U31" s="16" t="s">
        <v>4952</v>
      </c>
      <c r="V31" s="16" t="s">
        <v>4956</v>
      </c>
      <c r="W31" s="16" t="s">
        <v>4980</v>
      </c>
      <c r="X31" s="16" t="s">
        <v>5021</v>
      </c>
      <c r="Y31" s="16" t="s">
        <v>5021</v>
      </c>
      <c r="Z31" s="16" t="s">
        <v>5089</v>
      </c>
      <c r="AA31" s="16" t="s">
        <v>4645</v>
      </c>
      <c r="AB31" s="16" t="s">
        <v>4645</v>
      </c>
      <c r="AC31" s="16" t="s">
        <v>4658</v>
      </c>
      <c r="AD31" s="16" t="s">
        <v>5156</v>
      </c>
      <c r="AE31" s="16" t="s">
        <v>5156</v>
      </c>
      <c r="AF31" s="16" t="s">
        <v>5156</v>
      </c>
      <c r="AG31" s="16" t="s">
        <v>5156</v>
      </c>
      <c r="AH31" s="16" t="s">
        <v>5156</v>
      </c>
      <c r="AI31" s="16" t="s">
        <v>5156</v>
      </c>
      <c r="AJ31" s="16" t="s">
        <v>5156</v>
      </c>
      <c r="AK31" s="16" t="s">
        <v>5156</v>
      </c>
      <c r="AL31" s="16" t="s">
        <v>4782</v>
      </c>
      <c r="AM31" s="16" t="s">
        <v>4798</v>
      </c>
      <c r="AN31" s="16" t="s">
        <v>4605</v>
      </c>
      <c r="AO31" s="16" t="s">
        <v>4801</v>
      </c>
      <c r="AP31" s="16" t="s">
        <v>5234</v>
      </c>
      <c r="AQ31" s="16" t="s">
        <v>5234</v>
      </c>
      <c r="AR31" s="16" t="s">
        <v>5234</v>
      </c>
      <c r="AS31" s="16" t="s">
        <v>5234</v>
      </c>
      <c r="AT31" s="16" t="s">
        <v>5234</v>
      </c>
      <c r="AU31" s="16" t="s">
        <v>4651</v>
      </c>
      <c r="AV31" s="16" t="s">
        <v>4651</v>
      </c>
    </row>
    <row r="32" spans="1:49" x14ac:dyDescent="0.25">
      <c r="A32" s="16" t="s">
        <v>4632</v>
      </c>
      <c r="B32" s="16" t="s">
        <v>4632</v>
      </c>
      <c r="C32" s="16" t="s">
        <v>4689</v>
      </c>
      <c r="D32" s="16" t="s">
        <v>4704</v>
      </c>
      <c r="E32" s="16" t="s">
        <v>4715</v>
      </c>
      <c r="F32" s="16" t="s">
        <v>4715</v>
      </c>
      <c r="G32" s="16" t="s">
        <v>4715</v>
      </c>
      <c r="H32" s="16" t="s">
        <v>4630</v>
      </c>
      <c r="I32" s="16" t="s">
        <v>4630</v>
      </c>
      <c r="J32" s="16" t="s">
        <v>4629</v>
      </c>
      <c r="K32" s="16" t="s">
        <v>4778</v>
      </c>
      <c r="L32" s="16" t="s">
        <v>4663</v>
      </c>
      <c r="N32" s="16" t="s">
        <v>4684</v>
      </c>
      <c r="O32" s="16" t="s">
        <v>4813</v>
      </c>
      <c r="P32" s="16" t="s">
        <v>4813</v>
      </c>
      <c r="Q32" s="16" t="s">
        <v>4682</v>
      </c>
      <c r="R32" s="16" t="s">
        <v>4682</v>
      </c>
      <c r="S32" s="16" t="s">
        <v>4873</v>
      </c>
      <c r="T32" s="16" t="s">
        <v>4873</v>
      </c>
      <c r="U32" s="16" t="s">
        <v>4953</v>
      </c>
      <c r="V32" s="16" t="s">
        <v>4957</v>
      </c>
      <c r="W32" s="16" t="s">
        <v>4981</v>
      </c>
      <c r="X32" s="16" t="s">
        <v>5022</v>
      </c>
      <c r="Y32" s="16" t="s">
        <v>5022</v>
      </c>
      <c r="Z32" s="16" t="s">
        <v>5090</v>
      </c>
      <c r="AA32" s="16" t="s">
        <v>4646</v>
      </c>
      <c r="AB32" s="16" t="s">
        <v>4646</v>
      </c>
      <c r="AC32" s="16" t="s">
        <v>4659</v>
      </c>
      <c r="AD32" s="16" t="s">
        <v>5157</v>
      </c>
      <c r="AE32" s="16" t="s">
        <v>5157</v>
      </c>
      <c r="AF32" s="16" t="s">
        <v>5157</v>
      </c>
      <c r="AG32" s="16" t="s">
        <v>5157</v>
      </c>
      <c r="AH32" s="16" t="s">
        <v>5157</v>
      </c>
      <c r="AI32" s="16" t="s">
        <v>5157</v>
      </c>
      <c r="AJ32" s="16" t="s">
        <v>5157</v>
      </c>
      <c r="AK32" s="16" t="s">
        <v>5157</v>
      </c>
      <c r="AL32" s="16" t="s">
        <v>4783</v>
      </c>
      <c r="AN32" s="16" t="s">
        <v>4835</v>
      </c>
      <c r="AO32" s="16" t="s">
        <v>4802</v>
      </c>
      <c r="AP32" s="16" t="s">
        <v>5235</v>
      </c>
      <c r="AQ32" s="16" t="s">
        <v>5235</v>
      </c>
      <c r="AR32" s="16" t="s">
        <v>5235</v>
      </c>
      <c r="AS32" s="16" t="s">
        <v>5235</v>
      </c>
      <c r="AT32" s="16" t="s">
        <v>5235</v>
      </c>
      <c r="AU32" s="16" t="s">
        <v>4652</v>
      </c>
      <c r="AV32" s="16" t="s">
        <v>4652</v>
      </c>
    </row>
    <row r="33" spans="1:48" x14ac:dyDescent="0.25">
      <c r="A33" s="16" t="s">
        <v>4633</v>
      </c>
      <c r="B33" s="16" t="s">
        <v>4633</v>
      </c>
      <c r="C33" s="16" t="s">
        <v>4690</v>
      </c>
      <c r="D33" s="16" t="s">
        <v>4705</v>
      </c>
      <c r="E33" s="16" t="s">
        <v>4716</v>
      </c>
      <c r="F33" s="16" t="s">
        <v>4716</v>
      </c>
      <c r="G33" s="16" t="s">
        <v>4716</v>
      </c>
      <c r="H33" s="16" t="s">
        <v>4631</v>
      </c>
      <c r="I33" s="16" t="s">
        <v>4631</v>
      </c>
      <c r="J33" s="16" t="s">
        <v>4630</v>
      </c>
      <c r="K33" s="16" t="s">
        <v>4779</v>
      </c>
      <c r="L33" s="16" t="s">
        <v>4664</v>
      </c>
      <c r="N33" s="16" t="s">
        <v>4685</v>
      </c>
      <c r="O33" s="16" t="s">
        <v>4814</v>
      </c>
      <c r="P33" s="16" t="s">
        <v>4814</v>
      </c>
      <c r="Q33" s="16" t="s">
        <v>4697</v>
      </c>
      <c r="R33" s="16" t="s">
        <v>4697</v>
      </c>
      <c r="S33" s="16" t="s">
        <v>4874</v>
      </c>
      <c r="T33" s="16" t="s">
        <v>4874</v>
      </c>
      <c r="U33" s="16" t="s">
        <v>4954</v>
      </c>
      <c r="V33" s="16" t="s">
        <v>4958</v>
      </c>
      <c r="W33" s="16" t="s">
        <v>4982</v>
      </c>
      <c r="X33" s="16" t="s">
        <v>5023</v>
      </c>
      <c r="Y33" s="16" t="s">
        <v>5023</v>
      </c>
      <c r="Z33" s="16" t="s">
        <v>5091</v>
      </c>
      <c r="AA33" s="16" t="s">
        <v>4647</v>
      </c>
      <c r="AB33" s="16" t="s">
        <v>4647</v>
      </c>
      <c r="AC33" s="16" t="s">
        <v>4660</v>
      </c>
      <c r="AD33" s="16" t="s">
        <v>5158</v>
      </c>
      <c r="AE33" s="16" t="s">
        <v>5158</v>
      </c>
      <c r="AF33" s="16" t="s">
        <v>5158</v>
      </c>
      <c r="AG33" s="16" t="s">
        <v>5158</v>
      </c>
      <c r="AH33" s="16" t="s">
        <v>5158</v>
      </c>
      <c r="AI33" s="16" t="s">
        <v>5158</v>
      </c>
      <c r="AJ33" s="16" t="s">
        <v>5158</v>
      </c>
      <c r="AK33" s="16" t="s">
        <v>5158</v>
      </c>
      <c r="AL33" s="16" t="s">
        <v>4784</v>
      </c>
      <c r="AN33" s="16" t="s">
        <v>4836</v>
      </c>
      <c r="AO33" s="16" t="s">
        <v>4803</v>
      </c>
      <c r="AP33" s="16" t="s">
        <v>5236</v>
      </c>
      <c r="AQ33" s="16" t="s">
        <v>5236</v>
      </c>
      <c r="AR33" s="16" t="s">
        <v>5236</v>
      </c>
      <c r="AS33" s="16" t="s">
        <v>5236</v>
      </c>
      <c r="AT33" s="16" t="s">
        <v>5236</v>
      </c>
      <c r="AU33" s="16" t="s">
        <v>4653</v>
      </c>
      <c r="AV33" s="16" t="s">
        <v>4653</v>
      </c>
    </row>
    <row r="34" spans="1:48" x14ac:dyDescent="0.25">
      <c r="A34" s="16" t="s">
        <v>4634</v>
      </c>
      <c r="B34" s="16" t="s">
        <v>4634</v>
      </c>
      <c r="C34" s="16" t="s">
        <v>4691</v>
      </c>
      <c r="D34" s="16" t="s">
        <v>4706</v>
      </c>
      <c r="E34" s="16" t="s">
        <v>4717</v>
      </c>
      <c r="F34" s="16" t="s">
        <v>4717</v>
      </c>
      <c r="G34" s="16" t="s">
        <v>4717</v>
      </c>
      <c r="H34" s="16" t="s">
        <v>4632</v>
      </c>
      <c r="I34" s="16" t="s">
        <v>4632</v>
      </c>
      <c r="J34" s="16" t="s">
        <v>4631</v>
      </c>
      <c r="K34" s="16" t="s">
        <v>4780</v>
      </c>
      <c r="L34" s="16" t="s">
        <v>4665</v>
      </c>
      <c r="N34" s="16" t="s">
        <v>4686</v>
      </c>
      <c r="O34" s="16" t="s">
        <v>4815</v>
      </c>
      <c r="P34" s="16" t="s">
        <v>4815</v>
      </c>
      <c r="Q34" s="16" t="s">
        <v>4698</v>
      </c>
      <c r="R34" s="16" t="s">
        <v>4698</v>
      </c>
      <c r="S34" s="16" t="s">
        <v>4875</v>
      </c>
      <c r="T34" s="16" t="s">
        <v>4875</v>
      </c>
      <c r="U34" s="16" t="s">
        <v>4955</v>
      </c>
      <c r="V34" s="16" t="s">
        <v>4959</v>
      </c>
      <c r="W34" s="16" t="s">
        <v>4983</v>
      </c>
      <c r="X34" s="16" t="s">
        <v>5024</v>
      </c>
      <c r="Y34" s="16" t="s">
        <v>5024</v>
      </c>
      <c r="Z34" s="16" t="s">
        <v>5092</v>
      </c>
      <c r="AA34" s="16" t="s">
        <v>4648</v>
      </c>
      <c r="AC34" s="16" t="s">
        <v>4661</v>
      </c>
      <c r="AD34" s="16" t="s">
        <v>5159</v>
      </c>
      <c r="AE34" s="16" t="s">
        <v>5159</v>
      </c>
      <c r="AF34" s="16" t="s">
        <v>5159</v>
      </c>
      <c r="AG34" s="16" t="s">
        <v>5159</v>
      </c>
      <c r="AH34" s="16" t="s">
        <v>5159</v>
      </c>
      <c r="AI34" s="16" t="s">
        <v>5159</v>
      </c>
      <c r="AJ34" s="16" t="s">
        <v>5159</v>
      </c>
      <c r="AK34" s="16" t="s">
        <v>5159</v>
      </c>
      <c r="AL34" s="16" t="s">
        <v>4785</v>
      </c>
      <c r="AN34" s="16" t="s">
        <v>4837</v>
      </c>
      <c r="AO34" s="16" t="s">
        <v>4804</v>
      </c>
      <c r="AP34" s="16" t="s">
        <v>5237</v>
      </c>
      <c r="AQ34" s="16" t="s">
        <v>5237</v>
      </c>
      <c r="AR34" s="16" t="s">
        <v>5237</v>
      </c>
      <c r="AS34" s="16" t="s">
        <v>5237</v>
      </c>
      <c r="AT34" s="16" t="s">
        <v>5237</v>
      </c>
      <c r="AU34" s="16" t="s">
        <v>4654</v>
      </c>
      <c r="AV34" s="16" t="s">
        <v>4654</v>
      </c>
    </row>
    <row r="35" spans="1:48" x14ac:dyDescent="0.25">
      <c r="A35" s="16" t="s">
        <v>4635</v>
      </c>
      <c r="B35" s="16" t="s">
        <v>4635</v>
      </c>
      <c r="C35" s="16" t="s">
        <v>4692</v>
      </c>
      <c r="D35" s="16" t="s">
        <v>4684</v>
      </c>
      <c r="E35" s="16" t="s">
        <v>4718</v>
      </c>
      <c r="F35" s="16" t="s">
        <v>4718</v>
      </c>
      <c r="G35" s="16" t="s">
        <v>4718</v>
      </c>
      <c r="H35" s="16" t="s">
        <v>4633</v>
      </c>
      <c r="I35" s="16" t="s">
        <v>4633</v>
      </c>
      <c r="J35" s="16" t="s">
        <v>4632</v>
      </c>
      <c r="K35" s="16" t="s">
        <v>4781</v>
      </c>
      <c r="L35" s="16" t="s">
        <v>4666</v>
      </c>
      <c r="N35" s="16" t="s">
        <v>4687</v>
      </c>
      <c r="O35" s="16" t="s">
        <v>4816</v>
      </c>
      <c r="P35" s="16" t="s">
        <v>4816</v>
      </c>
      <c r="Q35" s="16" t="s">
        <v>4819</v>
      </c>
      <c r="R35" s="16" t="s">
        <v>4819</v>
      </c>
      <c r="S35" s="16" t="s">
        <v>4876</v>
      </c>
      <c r="T35" s="16" t="s">
        <v>4876</v>
      </c>
      <c r="U35" s="16" t="s">
        <v>4956</v>
      </c>
      <c r="V35" s="16" t="s">
        <v>4960</v>
      </c>
      <c r="W35" s="16" t="s">
        <v>4984</v>
      </c>
      <c r="X35" s="16" t="s">
        <v>5025</v>
      </c>
      <c r="Y35" s="16" t="s">
        <v>5025</v>
      </c>
      <c r="Z35" s="16" t="s">
        <v>5093</v>
      </c>
      <c r="AA35" s="16" t="s">
        <v>4649</v>
      </c>
      <c r="AC35" s="16" t="s">
        <v>4662</v>
      </c>
      <c r="AD35" s="16" t="s">
        <v>5160</v>
      </c>
      <c r="AE35" s="16" t="s">
        <v>5160</v>
      </c>
      <c r="AF35" s="16" t="s">
        <v>5160</v>
      </c>
      <c r="AG35" s="16" t="s">
        <v>5160</v>
      </c>
      <c r="AH35" s="16" t="s">
        <v>5160</v>
      </c>
      <c r="AI35" s="16" t="s">
        <v>5160</v>
      </c>
      <c r="AJ35" s="16" t="s">
        <v>5160</v>
      </c>
      <c r="AK35" s="16" t="s">
        <v>5160</v>
      </c>
      <c r="AL35" s="16" t="s">
        <v>4786</v>
      </c>
      <c r="AN35" s="16" t="s">
        <v>4838</v>
      </c>
      <c r="AO35" s="16" t="s">
        <v>4805</v>
      </c>
      <c r="AP35" s="16" t="s">
        <v>5238</v>
      </c>
      <c r="AQ35" s="16" t="s">
        <v>5238</v>
      </c>
      <c r="AR35" s="16" t="s">
        <v>5238</v>
      </c>
      <c r="AS35" s="16" t="s">
        <v>5238</v>
      </c>
      <c r="AT35" s="16" t="s">
        <v>5238</v>
      </c>
      <c r="AU35" s="16" t="s">
        <v>4655</v>
      </c>
      <c r="AV35" s="16" t="s">
        <v>4655</v>
      </c>
    </row>
    <row r="36" spans="1:48" x14ac:dyDescent="0.25">
      <c r="A36" s="16" t="s">
        <v>4636</v>
      </c>
      <c r="B36" s="16" t="s">
        <v>4636</v>
      </c>
      <c r="C36" s="16" t="s">
        <v>4693</v>
      </c>
      <c r="D36" s="16" t="s">
        <v>4685</v>
      </c>
      <c r="E36" s="16" t="s">
        <v>4616</v>
      </c>
      <c r="F36" s="16" t="s">
        <v>4616</v>
      </c>
      <c r="G36" s="16" t="s">
        <v>4616</v>
      </c>
      <c r="H36" s="16" t="s">
        <v>4634</v>
      </c>
      <c r="I36" s="16" t="s">
        <v>4634</v>
      </c>
      <c r="J36" s="16" t="s">
        <v>4633</v>
      </c>
      <c r="K36" s="16" t="s">
        <v>4782</v>
      </c>
      <c r="L36" s="16" t="s">
        <v>4667</v>
      </c>
      <c r="N36" s="16" t="s">
        <v>4688</v>
      </c>
      <c r="O36" s="16" t="s">
        <v>4817</v>
      </c>
      <c r="P36" s="16" t="s">
        <v>4817</v>
      </c>
      <c r="Q36" s="16" t="s">
        <v>4820</v>
      </c>
      <c r="R36" s="16" t="s">
        <v>4820</v>
      </c>
      <c r="S36" s="16" t="s">
        <v>4877</v>
      </c>
      <c r="T36" s="16" t="s">
        <v>4877</v>
      </c>
      <c r="U36" s="16" t="s">
        <v>4957</v>
      </c>
      <c r="V36" s="16" t="s">
        <v>4961</v>
      </c>
      <c r="W36" s="16" t="s">
        <v>4985</v>
      </c>
      <c r="X36" s="16" t="s">
        <v>5026</v>
      </c>
      <c r="Y36" s="16" t="s">
        <v>5026</v>
      </c>
      <c r="Z36" s="16" t="s">
        <v>5094</v>
      </c>
      <c r="AA36" s="16" t="s">
        <v>4650</v>
      </c>
      <c r="AC36" s="16" t="s">
        <v>4671</v>
      </c>
      <c r="AD36" s="16" t="s">
        <v>5161</v>
      </c>
      <c r="AE36" s="16" t="s">
        <v>5161</v>
      </c>
      <c r="AF36" s="16" t="s">
        <v>5161</v>
      </c>
      <c r="AG36" s="16" t="s">
        <v>5161</v>
      </c>
      <c r="AH36" s="16" t="s">
        <v>5161</v>
      </c>
      <c r="AI36" s="16" t="s">
        <v>5161</v>
      </c>
      <c r="AJ36" s="16" t="s">
        <v>5161</v>
      </c>
      <c r="AK36" s="16" t="s">
        <v>5161</v>
      </c>
      <c r="AL36" s="16" t="s">
        <v>4787</v>
      </c>
      <c r="AN36" s="16" t="s">
        <v>4839</v>
      </c>
      <c r="AO36" s="16" t="s">
        <v>4806</v>
      </c>
      <c r="AP36" s="16" t="s">
        <v>5239</v>
      </c>
      <c r="AQ36" s="16" t="s">
        <v>5239</v>
      </c>
      <c r="AR36" s="16" t="s">
        <v>5239</v>
      </c>
      <c r="AS36" s="16" t="s">
        <v>5239</v>
      </c>
      <c r="AT36" s="16" t="s">
        <v>5239</v>
      </c>
      <c r="AU36" s="16" t="s">
        <v>4642</v>
      </c>
      <c r="AV36" s="16" t="s">
        <v>4642</v>
      </c>
    </row>
    <row r="37" spans="1:48" x14ac:dyDescent="0.25">
      <c r="A37" s="16" t="s">
        <v>4637</v>
      </c>
      <c r="B37" s="16" t="s">
        <v>4637</v>
      </c>
      <c r="C37" s="16" t="s">
        <v>4694</v>
      </c>
      <c r="D37" s="16" t="s">
        <v>4686</v>
      </c>
      <c r="E37" s="16" t="s">
        <v>4617</v>
      </c>
      <c r="F37" s="16" t="s">
        <v>4617</v>
      </c>
      <c r="G37" s="16" t="s">
        <v>4617</v>
      </c>
      <c r="H37" s="16" t="s">
        <v>4635</v>
      </c>
      <c r="I37" s="16" t="s">
        <v>4635</v>
      </c>
      <c r="J37" s="16" t="s">
        <v>4634</v>
      </c>
      <c r="K37" s="16" t="s">
        <v>4783</v>
      </c>
      <c r="L37" s="16" t="s">
        <v>4668</v>
      </c>
      <c r="N37" s="16" t="s">
        <v>4689</v>
      </c>
      <c r="O37" s="16" t="s">
        <v>4818</v>
      </c>
      <c r="P37" s="16" t="s">
        <v>4818</v>
      </c>
      <c r="Q37" s="16" t="s">
        <v>4627</v>
      </c>
      <c r="R37" s="16" t="s">
        <v>4627</v>
      </c>
      <c r="S37" s="16" t="s">
        <v>4878</v>
      </c>
      <c r="T37" s="16" t="s">
        <v>4878</v>
      </c>
      <c r="U37" s="16" t="s">
        <v>4958</v>
      </c>
      <c r="V37" s="16" t="s">
        <v>4832</v>
      </c>
      <c r="W37" s="16" t="s">
        <v>4986</v>
      </c>
      <c r="X37" s="16" t="s">
        <v>5027</v>
      </c>
      <c r="Y37" s="16" t="s">
        <v>5027</v>
      </c>
      <c r="Z37" s="16" t="s">
        <v>5095</v>
      </c>
      <c r="AA37" s="16" t="s">
        <v>4651</v>
      </c>
      <c r="AD37" s="16" t="s">
        <v>5162</v>
      </c>
      <c r="AE37" s="16" t="s">
        <v>5162</v>
      </c>
      <c r="AF37" s="16" t="s">
        <v>5162</v>
      </c>
      <c r="AG37" s="16" t="s">
        <v>5162</v>
      </c>
      <c r="AH37" s="16" t="s">
        <v>5162</v>
      </c>
      <c r="AI37" s="16" t="s">
        <v>5162</v>
      </c>
      <c r="AJ37" s="16" t="s">
        <v>5162</v>
      </c>
      <c r="AK37" s="16" t="s">
        <v>5162</v>
      </c>
      <c r="AL37" s="16" t="s">
        <v>4788</v>
      </c>
      <c r="AN37" s="16" t="s">
        <v>4840</v>
      </c>
      <c r="AO37" s="16" t="s">
        <v>4714</v>
      </c>
      <c r="AP37" s="16" t="s">
        <v>5240</v>
      </c>
      <c r="AQ37" s="16" t="s">
        <v>5240</v>
      </c>
      <c r="AR37" s="16" t="s">
        <v>5240</v>
      </c>
      <c r="AS37" s="16" t="s">
        <v>5240</v>
      </c>
      <c r="AT37" s="16" t="s">
        <v>5240</v>
      </c>
      <c r="AU37" s="16" t="s">
        <v>4643</v>
      </c>
      <c r="AV37" s="16" t="s">
        <v>4935</v>
      </c>
    </row>
    <row r="38" spans="1:48" x14ac:dyDescent="0.25">
      <c r="A38" s="16" t="s">
        <v>4638</v>
      </c>
      <c r="B38" s="16" t="s">
        <v>4638</v>
      </c>
      <c r="C38" s="16" t="s">
        <v>4695</v>
      </c>
      <c r="D38" s="16" t="s">
        <v>4687</v>
      </c>
      <c r="E38" s="16" t="s">
        <v>4618</v>
      </c>
      <c r="F38" s="16" t="s">
        <v>4738</v>
      </c>
      <c r="G38" s="16" t="s">
        <v>4738</v>
      </c>
      <c r="H38" s="16" t="s">
        <v>4636</v>
      </c>
      <c r="I38" s="16" t="s">
        <v>4636</v>
      </c>
      <c r="J38" s="16" t="s">
        <v>4635</v>
      </c>
      <c r="K38" s="16" t="s">
        <v>4784</v>
      </c>
      <c r="L38" s="16" t="s">
        <v>4669</v>
      </c>
      <c r="N38" s="16" t="s">
        <v>4690</v>
      </c>
      <c r="O38" s="16" t="s">
        <v>4700</v>
      </c>
      <c r="P38" s="16" t="s">
        <v>4700</v>
      </c>
      <c r="Q38" s="16" t="s">
        <v>4628</v>
      </c>
      <c r="R38" s="16" t="s">
        <v>4628</v>
      </c>
      <c r="S38" s="16" t="s">
        <v>4879</v>
      </c>
      <c r="T38" s="16" t="s">
        <v>4879</v>
      </c>
      <c r="U38" s="16" t="s">
        <v>4959</v>
      </c>
      <c r="V38" s="16" t="s">
        <v>4833</v>
      </c>
      <c r="W38" s="16" t="s">
        <v>4987</v>
      </c>
      <c r="X38" s="16" t="s">
        <v>5028</v>
      </c>
      <c r="Y38" s="16" t="s">
        <v>5028</v>
      </c>
      <c r="Z38" s="16" t="s">
        <v>5096</v>
      </c>
      <c r="AA38" s="16" t="s">
        <v>4652</v>
      </c>
      <c r="AD38" s="16" t="s">
        <v>5163</v>
      </c>
      <c r="AE38" s="16" t="s">
        <v>5163</v>
      </c>
      <c r="AF38" s="16" t="s">
        <v>5163</v>
      </c>
      <c r="AG38" s="16" t="s">
        <v>5163</v>
      </c>
      <c r="AH38" s="16" t="s">
        <v>5163</v>
      </c>
      <c r="AI38" s="16" t="s">
        <v>5163</v>
      </c>
      <c r="AJ38" s="16" t="s">
        <v>5163</v>
      </c>
      <c r="AK38" s="16" t="s">
        <v>5163</v>
      </c>
      <c r="AL38" s="16" t="s">
        <v>4789</v>
      </c>
      <c r="AN38" s="16" t="s">
        <v>4841</v>
      </c>
      <c r="AO38" s="16" t="s">
        <v>4715</v>
      </c>
      <c r="AP38" s="16" t="s">
        <v>5111</v>
      </c>
      <c r="AQ38" s="16" t="s">
        <v>5111</v>
      </c>
      <c r="AR38" s="16" t="s">
        <v>5111</v>
      </c>
      <c r="AS38" s="16" t="s">
        <v>5111</v>
      </c>
      <c r="AT38" s="16" t="s">
        <v>5111</v>
      </c>
      <c r="AU38" s="16" t="s">
        <v>4644</v>
      </c>
      <c r="AV38" s="16" t="s">
        <v>4657</v>
      </c>
    </row>
    <row r="39" spans="1:48" x14ac:dyDescent="0.25">
      <c r="A39" s="16" t="s">
        <v>4639</v>
      </c>
      <c r="B39" s="16" t="s">
        <v>4639</v>
      </c>
      <c r="C39" s="16" t="s">
        <v>4696</v>
      </c>
      <c r="D39" s="16" t="s">
        <v>4688</v>
      </c>
      <c r="E39" s="16" t="s">
        <v>4619</v>
      </c>
      <c r="F39" s="16" t="s">
        <v>4739</v>
      </c>
      <c r="G39" s="16" t="s">
        <v>4739</v>
      </c>
      <c r="H39" s="16" t="s">
        <v>4637</v>
      </c>
      <c r="I39" s="16" t="s">
        <v>4637</v>
      </c>
      <c r="J39" s="16" t="s">
        <v>4636</v>
      </c>
      <c r="K39" s="16" t="s">
        <v>4785</v>
      </c>
      <c r="L39" s="16" t="s">
        <v>4670</v>
      </c>
      <c r="N39" s="16" t="s">
        <v>4691</v>
      </c>
      <c r="O39" s="16" t="s">
        <v>4701</v>
      </c>
      <c r="P39" s="16" t="s">
        <v>4701</v>
      </c>
      <c r="Q39" s="16" t="s">
        <v>4629</v>
      </c>
      <c r="R39" s="16" t="s">
        <v>4629</v>
      </c>
      <c r="S39" s="16" t="s">
        <v>4880</v>
      </c>
      <c r="T39" s="16" t="s">
        <v>4880</v>
      </c>
      <c r="U39" s="16" t="s">
        <v>4960</v>
      </c>
      <c r="V39" s="16" t="s">
        <v>4834</v>
      </c>
      <c r="W39" s="16" t="s">
        <v>4676</v>
      </c>
      <c r="X39" s="16" t="s">
        <v>5029</v>
      </c>
      <c r="Y39" s="16" t="s">
        <v>5029</v>
      </c>
      <c r="Z39" s="16" t="s">
        <v>5097</v>
      </c>
      <c r="AA39" s="16" t="s">
        <v>4653</v>
      </c>
      <c r="AD39" s="16" t="s">
        <v>5164</v>
      </c>
      <c r="AE39" s="16" t="s">
        <v>5164</v>
      </c>
      <c r="AF39" s="16" t="s">
        <v>5164</v>
      </c>
      <c r="AG39" s="16" t="s">
        <v>5164</v>
      </c>
      <c r="AH39" s="16" t="s">
        <v>5164</v>
      </c>
      <c r="AI39" s="16" t="s">
        <v>5164</v>
      </c>
      <c r="AJ39" s="16" t="s">
        <v>5164</v>
      </c>
      <c r="AK39" s="16" t="s">
        <v>5164</v>
      </c>
      <c r="AL39" s="16" t="s">
        <v>4790</v>
      </c>
      <c r="AN39" s="16" t="s">
        <v>4842</v>
      </c>
      <c r="AO39" s="16" t="s">
        <v>4716</v>
      </c>
      <c r="AP39" s="16" t="s">
        <v>5241</v>
      </c>
      <c r="AQ39" s="16" t="s">
        <v>5241</v>
      </c>
      <c r="AR39" s="16" t="s">
        <v>5241</v>
      </c>
      <c r="AS39" s="16" t="s">
        <v>5241</v>
      </c>
      <c r="AT39" s="16" t="s">
        <v>5241</v>
      </c>
      <c r="AU39" s="16" t="s">
        <v>4656</v>
      </c>
      <c r="AV39" s="16" t="s">
        <v>4658</v>
      </c>
    </row>
    <row r="40" spans="1:48" x14ac:dyDescent="0.25">
      <c r="A40" s="16" t="s">
        <v>4640</v>
      </c>
      <c r="B40" s="16" t="s">
        <v>4640</v>
      </c>
      <c r="D40" s="16" t="s">
        <v>4689</v>
      </c>
      <c r="E40" s="16" t="s">
        <v>4620</v>
      </c>
      <c r="F40" s="16" t="s">
        <v>4740</v>
      </c>
      <c r="G40" s="16" t="s">
        <v>4740</v>
      </c>
      <c r="H40" s="16" t="s">
        <v>4638</v>
      </c>
      <c r="I40" s="16" t="s">
        <v>4638</v>
      </c>
      <c r="J40" s="16" t="s">
        <v>4637</v>
      </c>
      <c r="K40" s="16" t="s">
        <v>4786</v>
      </c>
      <c r="L40" s="16" t="s">
        <v>4671</v>
      </c>
      <c r="N40" s="16" t="s">
        <v>4692</v>
      </c>
      <c r="O40" s="16" t="s">
        <v>4702</v>
      </c>
      <c r="P40" s="16" t="s">
        <v>4702</v>
      </c>
      <c r="Q40" s="16" t="s">
        <v>4630</v>
      </c>
      <c r="R40" s="16" t="s">
        <v>4630</v>
      </c>
      <c r="S40" s="16" t="s">
        <v>4881</v>
      </c>
      <c r="T40" s="16" t="s">
        <v>4881</v>
      </c>
      <c r="U40" s="16" t="s">
        <v>4961</v>
      </c>
      <c r="V40" s="16" t="s">
        <v>4602</v>
      </c>
      <c r="W40" s="16" t="s">
        <v>4677</v>
      </c>
      <c r="X40" s="16" t="s">
        <v>4746</v>
      </c>
      <c r="Y40" s="16" t="s">
        <v>4746</v>
      </c>
      <c r="Z40" s="16" t="s">
        <v>5098</v>
      </c>
      <c r="AA40" s="16" t="s">
        <v>4654</v>
      </c>
      <c r="AD40" s="16" t="s">
        <v>5165</v>
      </c>
      <c r="AE40" s="16" t="s">
        <v>5165</v>
      </c>
      <c r="AF40" s="16" t="s">
        <v>5165</v>
      </c>
      <c r="AG40" s="16" t="s">
        <v>5165</v>
      </c>
      <c r="AH40" s="16" t="s">
        <v>5165</v>
      </c>
      <c r="AI40" s="16" t="s">
        <v>5165</v>
      </c>
      <c r="AJ40" s="16" t="s">
        <v>5165</v>
      </c>
      <c r="AK40" s="16" t="s">
        <v>5165</v>
      </c>
      <c r="AL40" s="16" t="s">
        <v>4791</v>
      </c>
      <c r="AN40" s="16" t="s">
        <v>4843</v>
      </c>
      <c r="AO40" s="16" t="s">
        <v>4720</v>
      </c>
      <c r="AP40" s="16" t="s">
        <v>5125</v>
      </c>
      <c r="AQ40" s="16" t="s">
        <v>5125</v>
      </c>
      <c r="AR40" s="16" t="s">
        <v>5125</v>
      </c>
      <c r="AS40" s="16" t="s">
        <v>5125</v>
      </c>
      <c r="AT40" s="16" t="s">
        <v>5125</v>
      </c>
      <c r="AU40" s="16" t="s">
        <v>4657</v>
      </c>
      <c r="AV40" s="16" t="s">
        <v>4659</v>
      </c>
    </row>
    <row r="41" spans="1:48" x14ac:dyDescent="0.25">
      <c r="A41" s="16" t="s">
        <v>4641</v>
      </c>
      <c r="B41" s="16" t="s">
        <v>4641</v>
      </c>
      <c r="D41" s="16" t="s">
        <v>4690</v>
      </c>
      <c r="E41" s="16" t="s">
        <v>4621</v>
      </c>
      <c r="F41" s="16" t="s">
        <v>4741</v>
      </c>
      <c r="G41" s="16" t="s">
        <v>4741</v>
      </c>
      <c r="H41" s="16" t="s">
        <v>4639</v>
      </c>
      <c r="I41" s="16" t="s">
        <v>4639</v>
      </c>
      <c r="J41" s="16" t="s">
        <v>4638</v>
      </c>
      <c r="K41" s="16" t="s">
        <v>4787</v>
      </c>
      <c r="N41" s="16" t="s">
        <v>4693</v>
      </c>
      <c r="O41" s="16" t="s">
        <v>4703</v>
      </c>
      <c r="P41" s="16" t="s">
        <v>4703</v>
      </c>
      <c r="Q41" s="16" t="s">
        <v>4631</v>
      </c>
      <c r="R41" s="16" t="s">
        <v>4631</v>
      </c>
      <c r="S41" s="16" t="s">
        <v>4882</v>
      </c>
      <c r="T41" s="16" t="s">
        <v>4882</v>
      </c>
      <c r="U41" s="16" t="s">
        <v>4832</v>
      </c>
      <c r="V41" s="16" t="s">
        <v>4603</v>
      </c>
      <c r="W41" s="16" t="s">
        <v>4699</v>
      </c>
      <c r="X41" s="16" t="s">
        <v>5030</v>
      </c>
      <c r="Y41" s="16" t="s">
        <v>5030</v>
      </c>
      <c r="Z41" s="16" t="s">
        <v>5099</v>
      </c>
      <c r="AA41" s="16" t="s">
        <v>4655</v>
      </c>
      <c r="AD41" s="16" t="s">
        <v>5166</v>
      </c>
      <c r="AE41" s="16" t="s">
        <v>5166</v>
      </c>
      <c r="AF41" s="16" t="s">
        <v>5166</v>
      </c>
      <c r="AG41" s="16" t="s">
        <v>5166</v>
      </c>
      <c r="AH41" s="16" t="s">
        <v>5166</v>
      </c>
      <c r="AI41" s="16" t="s">
        <v>5166</v>
      </c>
      <c r="AJ41" s="16" t="s">
        <v>5166</v>
      </c>
      <c r="AK41" s="16" t="s">
        <v>5166</v>
      </c>
      <c r="AL41" s="16" t="s">
        <v>4792</v>
      </c>
      <c r="AN41" s="16" t="s">
        <v>4844</v>
      </c>
      <c r="AO41" s="16" t="s">
        <v>4718</v>
      </c>
      <c r="AP41" s="16" t="s">
        <v>5126</v>
      </c>
      <c r="AQ41" s="16" t="s">
        <v>5126</v>
      </c>
      <c r="AR41" s="16" t="s">
        <v>5126</v>
      </c>
      <c r="AS41" s="16" t="s">
        <v>5126</v>
      </c>
      <c r="AT41" s="16" t="s">
        <v>5126</v>
      </c>
      <c r="AU41" s="16" t="s">
        <v>4658</v>
      </c>
      <c r="AV41" s="16" t="s">
        <v>4660</v>
      </c>
    </row>
    <row r="42" spans="1:48" x14ac:dyDescent="0.25">
      <c r="A42" s="16" t="s">
        <v>4642</v>
      </c>
      <c r="B42" s="16" t="s">
        <v>4642</v>
      </c>
      <c r="D42" s="16" t="s">
        <v>4691</v>
      </c>
      <c r="E42" s="16" t="s">
        <v>4622</v>
      </c>
      <c r="F42" s="16" t="s">
        <v>4622</v>
      </c>
      <c r="G42" s="16" t="s">
        <v>4622</v>
      </c>
      <c r="H42" s="16" t="s">
        <v>4640</v>
      </c>
      <c r="I42" s="16" t="s">
        <v>4640</v>
      </c>
      <c r="J42" s="16" t="s">
        <v>4639</v>
      </c>
      <c r="K42" s="16" t="s">
        <v>4788</v>
      </c>
      <c r="N42" s="16" t="s">
        <v>4694</v>
      </c>
      <c r="O42" s="16" t="s">
        <v>4732</v>
      </c>
      <c r="P42" s="16" t="s">
        <v>4704</v>
      </c>
      <c r="Q42" s="16" t="s">
        <v>4632</v>
      </c>
      <c r="R42" s="16" t="s">
        <v>4632</v>
      </c>
      <c r="S42" s="16" t="s">
        <v>4883</v>
      </c>
      <c r="T42" s="16" t="s">
        <v>4883</v>
      </c>
      <c r="U42" s="16" t="s">
        <v>4833</v>
      </c>
      <c r="V42" s="16" t="s">
        <v>4604</v>
      </c>
      <c r="W42" s="16" t="s">
        <v>4700</v>
      </c>
      <c r="X42" s="16" t="s">
        <v>5031</v>
      </c>
      <c r="Y42" s="16" t="s">
        <v>5031</v>
      </c>
      <c r="Z42" s="16" t="s">
        <v>5100</v>
      </c>
      <c r="AA42" s="16" t="s">
        <v>4642</v>
      </c>
      <c r="AD42" s="16" t="s">
        <v>5167</v>
      </c>
      <c r="AE42" s="16" t="s">
        <v>5167</v>
      </c>
      <c r="AF42" s="16" t="s">
        <v>5167</v>
      </c>
      <c r="AG42" s="16" t="s">
        <v>5167</v>
      </c>
      <c r="AH42" s="16" t="s">
        <v>5167</v>
      </c>
      <c r="AI42" s="16" t="s">
        <v>5167</v>
      </c>
      <c r="AJ42" s="16" t="s">
        <v>5167</v>
      </c>
      <c r="AK42" s="16" t="s">
        <v>5167</v>
      </c>
      <c r="AL42" s="16" t="s">
        <v>4793</v>
      </c>
      <c r="AN42" s="16" t="s">
        <v>4845</v>
      </c>
      <c r="AO42" s="16" t="s">
        <v>4721</v>
      </c>
      <c r="AP42" s="16" t="s">
        <v>4917</v>
      </c>
      <c r="AQ42" s="16" t="s">
        <v>4917</v>
      </c>
      <c r="AR42" s="16" t="s">
        <v>4917</v>
      </c>
      <c r="AS42" s="16" t="s">
        <v>4917</v>
      </c>
      <c r="AT42" s="16" t="s">
        <v>4917</v>
      </c>
      <c r="AU42" s="16" t="s">
        <v>4659</v>
      </c>
      <c r="AV42" s="16" t="s">
        <v>4661</v>
      </c>
    </row>
    <row r="43" spans="1:48" x14ac:dyDescent="0.25">
      <c r="A43" s="16" t="s">
        <v>4643</v>
      </c>
      <c r="B43" s="16" t="s">
        <v>4643</v>
      </c>
      <c r="D43" s="16" t="s">
        <v>4692</v>
      </c>
      <c r="E43" s="16" t="s">
        <v>4623</v>
      </c>
      <c r="F43" s="16" t="s">
        <v>4742</v>
      </c>
      <c r="G43" s="16" t="s">
        <v>4742</v>
      </c>
      <c r="H43" s="16" t="s">
        <v>4641</v>
      </c>
      <c r="I43" s="16" t="s">
        <v>4641</v>
      </c>
      <c r="J43" s="16" t="s">
        <v>4640</v>
      </c>
      <c r="K43" s="16" t="s">
        <v>4789</v>
      </c>
      <c r="N43" s="16" t="s">
        <v>4695</v>
      </c>
      <c r="O43" s="16" t="s">
        <v>4733</v>
      </c>
      <c r="P43" s="16" t="s">
        <v>4705</v>
      </c>
      <c r="Q43" s="16" t="s">
        <v>4633</v>
      </c>
      <c r="R43" s="16" t="s">
        <v>4633</v>
      </c>
      <c r="S43" s="16" t="s">
        <v>4884</v>
      </c>
      <c r="T43" s="16" t="s">
        <v>4884</v>
      </c>
      <c r="U43" s="16" t="s">
        <v>4834</v>
      </c>
      <c r="V43" s="16" t="s">
        <v>4605</v>
      </c>
      <c r="W43" s="16" t="s">
        <v>4701</v>
      </c>
      <c r="X43" s="16" t="s">
        <v>5032</v>
      </c>
      <c r="Y43" s="16" t="s">
        <v>5032</v>
      </c>
      <c r="Z43" s="16" t="s">
        <v>5101</v>
      </c>
      <c r="AA43" s="16" t="s">
        <v>4935</v>
      </c>
      <c r="AD43" s="16" t="s">
        <v>5168</v>
      </c>
      <c r="AE43" s="16" t="s">
        <v>5168</v>
      </c>
      <c r="AF43" s="16" t="s">
        <v>5168</v>
      </c>
      <c r="AG43" s="16" t="s">
        <v>5168</v>
      </c>
      <c r="AH43" s="16" t="s">
        <v>5168</v>
      </c>
      <c r="AI43" s="16" t="s">
        <v>5168</v>
      </c>
      <c r="AJ43" s="16" t="s">
        <v>5168</v>
      </c>
      <c r="AK43" s="16" t="s">
        <v>5168</v>
      </c>
      <c r="AL43" s="16" t="s">
        <v>4794</v>
      </c>
      <c r="AN43" s="16" t="s">
        <v>4846</v>
      </c>
      <c r="AO43" s="16" t="s">
        <v>4722</v>
      </c>
      <c r="AP43" s="16" t="s">
        <v>4918</v>
      </c>
      <c r="AQ43" s="16" t="s">
        <v>4918</v>
      </c>
      <c r="AR43" s="16" t="s">
        <v>4918</v>
      </c>
      <c r="AS43" s="16" t="s">
        <v>4918</v>
      </c>
      <c r="AT43" s="16" t="s">
        <v>4918</v>
      </c>
      <c r="AU43" s="16" t="s">
        <v>4660</v>
      </c>
      <c r="AV43" s="16" t="s">
        <v>4662</v>
      </c>
    </row>
    <row r="44" spans="1:48" x14ac:dyDescent="0.25">
      <c r="A44" s="16" t="s">
        <v>4644</v>
      </c>
      <c r="B44" s="16" t="s">
        <v>4644</v>
      </c>
      <c r="D44" s="16" t="s">
        <v>4693</v>
      </c>
      <c r="E44" s="16" t="s">
        <v>4624</v>
      </c>
      <c r="F44" s="16" t="s">
        <v>4743</v>
      </c>
      <c r="G44" s="16" t="s">
        <v>4743</v>
      </c>
      <c r="H44" s="16" t="s">
        <v>4642</v>
      </c>
      <c r="I44" s="16" t="s">
        <v>4642</v>
      </c>
      <c r="J44" s="16" t="s">
        <v>4641</v>
      </c>
      <c r="K44" s="16" t="s">
        <v>4790</v>
      </c>
      <c r="N44" s="16" t="s">
        <v>4696</v>
      </c>
      <c r="O44" s="16" t="s">
        <v>4734</v>
      </c>
      <c r="P44" s="16" t="s">
        <v>4706</v>
      </c>
      <c r="Q44" s="16" t="s">
        <v>4634</v>
      </c>
      <c r="R44" s="16" t="s">
        <v>4634</v>
      </c>
      <c r="S44" s="16" t="s">
        <v>4885</v>
      </c>
      <c r="T44" s="16" t="s">
        <v>4885</v>
      </c>
      <c r="U44" s="16" t="s">
        <v>4602</v>
      </c>
      <c r="V44" s="16" t="s">
        <v>4835</v>
      </c>
      <c r="W44" s="16" t="s">
        <v>4702</v>
      </c>
      <c r="X44" s="16" t="s">
        <v>4612</v>
      </c>
      <c r="Y44" s="16" t="s">
        <v>4612</v>
      </c>
      <c r="Z44" s="16" t="s">
        <v>5102</v>
      </c>
      <c r="AA44" s="16" t="s">
        <v>4657</v>
      </c>
      <c r="AD44" s="16" t="s">
        <v>5169</v>
      </c>
      <c r="AE44" s="16" t="s">
        <v>5169</v>
      </c>
      <c r="AF44" s="16" t="s">
        <v>5169</v>
      </c>
      <c r="AG44" s="16" t="s">
        <v>5169</v>
      </c>
      <c r="AH44" s="16" t="s">
        <v>5169</v>
      </c>
      <c r="AI44" s="16" t="s">
        <v>5169</v>
      </c>
      <c r="AJ44" s="16" t="s">
        <v>5169</v>
      </c>
      <c r="AK44" s="16" t="s">
        <v>5169</v>
      </c>
      <c r="AL44" s="16" t="s">
        <v>4795</v>
      </c>
      <c r="AO44" s="16" t="s">
        <v>4723</v>
      </c>
      <c r="AP44" s="16" t="s">
        <v>4919</v>
      </c>
      <c r="AQ44" s="16" t="s">
        <v>4919</v>
      </c>
      <c r="AR44" s="16" t="s">
        <v>4919</v>
      </c>
      <c r="AS44" s="16" t="s">
        <v>4919</v>
      </c>
      <c r="AT44" s="16" t="s">
        <v>4919</v>
      </c>
      <c r="AU44" s="16" t="s">
        <v>4661</v>
      </c>
      <c r="AV44" s="16" t="s">
        <v>4671</v>
      </c>
    </row>
    <row r="45" spans="1:48" x14ac:dyDescent="0.25">
      <c r="A45" s="16" t="s">
        <v>4645</v>
      </c>
      <c r="B45" s="16" t="s">
        <v>4645</v>
      </c>
      <c r="D45" s="16" t="s">
        <v>4694</v>
      </c>
      <c r="E45" s="16" t="s">
        <v>4625</v>
      </c>
      <c r="F45" s="16" t="s">
        <v>4624</v>
      </c>
      <c r="G45" s="16" t="s">
        <v>4624</v>
      </c>
      <c r="H45" s="16" t="s">
        <v>4643</v>
      </c>
      <c r="I45" s="16" t="s">
        <v>4643</v>
      </c>
      <c r="J45" s="16" t="s">
        <v>4642</v>
      </c>
      <c r="K45" s="16" t="s">
        <v>4791</v>
      </c>
      <c r="O45" s="16" t="s">
        <v>4735</v>
      </c>
      <c r="P45" s="16" t="s">
        <v>4684</v>
      </c>
      <c r="Q45" s="16" t="s">
        <v>4635</v>
      </c>
      <c r="R45" s="16" t="s">
        <v>4635</v>
      </c>
      <c r="S45" s="16" t="s">
        <v>4886</v>
      </c>
      <c r="T45" s="16" t="s">
        <v>4886</v>
      </c>
      <c r="U45" s="16" t="s">
        <v>4603</v>
      </c>
      <c r="V45" s="16" t="s">
        <v>4836</v>
      </c>
      <c r="W45" s="16" t="s">
        <v>4988</v>
      </c>
      <c r="X45" s="16" t="s">
        <v>4613</v>
      </c>
      <c r="Y45" s="16" t="s">
        <v>4613</v>
      </c>
      <c r="Z45" s="16" t="s">
        <v>5103</v>
      </c>
      <c r="AA45" s="16" t="s">
        <v>4658</v>
      </c>
      <c r="AD45" s="16" t="s">
        <v>5170</v>
      </c>
      <c r="AE45" s="16" t="s">
        <v>5170</v>
      </c>
      <c r="AF45" s="16" t="s">
        <v>5170</v>
      </c>
      <c r="AG45" s="16" t="s">
        <v>5170</v>
      </c>
      <c r="AH45" s="16" t="s">
        <v>5170</v>
      </c>
      <c r="AI45" s="16" t="s">
        <v>5170</v>
      </c>
      <c r="AJ45" s="16" t="s">
        <v>5170</v>
      </c>
      <c r="AK45" s="16" t="s">
        <v>5170</v>
      </c>
      <c r="AL45" s="16" t="s">
        <v>4796</v>
      </c>
      <c r="AO45" s="16" t="s">
        <v>4724</v>
      </c>
      <c r="AP45" s="16" t="s">
        <v>4936</v>
      </c>
      <c r="AQ45" s="16" t="s">
        <v>4936</v>
      </c>
      <c r="AR45" s="16" t="s">
        <v>4936</v>
      </c>
      <c r="AS45" s="16" t="s">
        <v>4936</v>
      </c>
      <c r="AT45" s="16" t="s">
        <v>4920</v>
      </c>
      <c r="AU45" s="16" t="s">
        <v>4662</v>
      </c>
    </row>
    <row r="46" spans="1:48" x14ac:dyDescent="0.25">
      <c r="A46" s="16" t="s">
        <v>4646</v>
      </c>
      <c r="B46" s="16" t="s">
        <v>4646</v>
      </c>
      <c r="D46" s="16" t="s">
        <v>4695</v>
      </c>
      <c r="E46" s="16" t="s">
        <v>4626</v>
      </c>
      <c r="F46" s="16" t="s">
        <v>4625</v>
      </c>
      <c r="G46" s="16" t="s">
        <v>4625</v>
      </c>
      <c r="H46" s="16" t="s">
        <v>4644</v>
      </c>
      <c r="I46" s="16" t="s">
        <v>4644</v>
      </c>
      <c r="J46" s="16" t="s">
        <v>4643</v>
      </c>
      <c r="K46" s="16" t="s">
        <v>4792</v>
      </c>
      <c r="O46" s="16" t="s">
        <v>4736</v>
      </c>
      <c r="P46" s="16" t="s">
        <v>4685</v>
      </c>
      <c r="Q46" s="16" t="s">
        <v>4636</v>
      </c>
      <c r="R46" s="16" t="s">
        <v>4636</v>
      </c>
      <c r="S46" s="16" t="s">
        <v>4887</v>
      </c>
      <c r="T46" s="16" t="s">
        <v>4887</v>
      </c>
      <c r="U46" s="16" t="s">
        <v>4604</v>
      </c>
      <c r="V46" s="16" t="s">
        <v>4837</v>
      </c>
      <c r="W46" s="16" t="s">
        <v>4947</v>
      </c>
      <c r="X46" s="16" t="s">
        <v>4672</v>
      </c>
      <c r="Y46" s="16" t="s">
        <v>4672</v>
      </c>
      <c r="Z46" s="16" t="s">
        <v>5104</v>
      </c>
      <c r="AA46" s="16" t="s">
        <v>4659</v>
      </c>
      <c r="AD46" s="16" t="s">
        <v>5171</v>
      </c>
      <c r="AE46" s="16" t="s">
        <v>5171</v>
      </c>
      <c r="AF46" s="16" t="s">
        <v>5171</v>
      </c>
      <c r="AG46" s="16" t="s">
        <v>5171</v>
      </c>
      <c r="AH46" s="16" t="s">
        <v>5171</v>
      </c>
      <c r="AI46" s="16" t="s">
        <v>5171</v>
      </c>
      <c r="AJ46" s="16" t="s">
        <v>5171</v>
      </c>
      <c r="AK46" s="16" t="s">
        <v>5171</v>
      </c>
      <c r="AL46" s="16" t="s">
        <v>4797</v>
      </c>
      <c r="AO46" s="16" t="s">
        <v>4725</v>
      </c>
      <c r="AP46" s="16" t="s">
        <v>4937</v>
      </c>
      <c r="AQ46" s="16" t="s">
        <v>4937</v>
      </c>
      <c r="AR46" s="16" t="s">
        <v>4996</v>
      </c>
      <c r="AS46" s="16" t="s">
        <v>4996</v>
      </c>
      <c r="AT46" s="16" t="s">
        <v>4921</v>
      </c>
      <c r="AU46" s="16" t="s">
        <v>4663</v>
      </c>
    </row>
    <row r="47" spans="1:48" x14ac:dyDescent="0.25">
      <c r="A47" s="16" t="s">
        <v>4647</v>
      </c>
      <c r="B47" s="16" t="s">
        <v>4647</v>
      </c>
      <c r="D47" s="16" t="s">
        <v>4696</v>
      </c>
      <c r="E47" s="16" t="s">
        <v>4707</v>
      </c>
      <c r="F47" s="16" t="s">
        <v>4626</v>
      </c>
      <c r="G47" s="16" t="s">
        <v>4626</v>
      </c>
      <c r="H47" s="16" t="s">
        <v>4645</v>
      </c>
      <c r="I47" s="16" t="s">
        <v>4645</v>
      </c>
      <c r="J47" s="16" t="s">
        <v>4644</v>
      </c>
      <c r="K47" s="16" t="s">
        <v>4793</v>
      </c>
      <c r="O47" s="16" t="s">
        <v>4737</v>
      </c>
      <c r="P47" s="16" t="s">
        <v>4686</v>
      </c>
      <c r="Q47" s="16" t="s">
        <v>4637</v>
      </c>
      <c r="R47" s="16" t="s">
        <v>4637</v>
      </c>
      <c r="S47" s="16" t="s">
        <v>4888</v>
      </c>
      <c r="T47" s="16" t="s">
        <v>4888</v>
      </c>
      <c r="U47" s="16" t="s">
        <v>4605</v>
      </c>
      <c r="V47" s="16" t="s">
        <v>4838</v>
      </c>
      <c r="W47" s="16" t="s">
        <v>4962</v>
      </c>
      <c r="X47" s="16" t="s">
        <v>4673</v>
      </c>
      <c r="Y47" s="16" t="s">
        <v>4673</v>
      </c>
      <c r="Z47" s="16" t="s">
        <v>5105</v>
      </c>
      <c r="AA47" s="16" t="s">
        <v>4660</v>
      </c>
      <c r="AD47" s="16" t="s">
        <v>5172</v>
      </c>
      <c r="AE47" s="16" t="s">
        <v>5172</v>
      </c>
      <c r="AF47" s="16" t="s">
        <v>5172</v>
      </c>
      <c r="AG47" s="16" t="s">
        <v>5172</v>
      </c>
      <c r="AH47" s="16" t="s">
        <v>5172</v>
      </c>
      <c r="AI47" s="16" t="s">
        <v>5172</v>
      </c>
      <c r="AJ47" s="16" t="s">
        <v>5172</v>
      </c>
      <c r="AK47" s="16" t="s">
        <v>5172</v>
      </c>
      <c r="AL47" s="16" t="s">
        <v>4798</v>
      </c>
      <c r="AO47" s="16" t="s">
        <v>4726</v>
      </c>
      <c r="AP47" s="16" t="s">
        <v>4938</v>
      </c>
      <c r="AQ47" s="16" t="s">
        <v>4938</v>
      </c>
      <c r="AR47" s="16" t="s">
        <v>4997</v>
      </c>
      <c r="AS47" s="16" t="s">
        <v>4997</v>
      </c>
      <c r="AT47" s="16" t="s">
        <v>4922</v>
      </c>
      <c r="AU47" s="16" t="s">
        <v>4664</v>
      </c>
    </row>
    <row r="48" spans="1:48" x14ac:dyDescent="0.25">
      <c r="A48" s="16" t="s">
        <v>4648</v>
      </c>
      <c r="E48" s="16" t="s">
        <v>4708</v>
      </c>
      <c r="F48" s="16" t="s">
        <v>4707</v>
      </c>
      <c r="G48" s="16" t="s">
        <v>4707</v>
      </c>
      <c r="H48" s="16" t="s">
        <v>4646</v>
      </c>
      <c r="I48" s="16" t="s">
        <v>4646</v>
      </c>
      <c r="J48" s="16" t="s">
        <v>4645</v>
      </c>
      <c r="K48" s="16" t="s">
        <v>4794</v>
      </c>
      <c r="O48" s="16" t="s">
        <v>4687</v>
      </c>
      <c r="P48" s="16" t="s">
        <v>4687</v>
      </c>
      <c r="Q48" s="16" t="s">
        <v>4638</v>
      </c>
      <c r="R48" s="16" t="s">
        <v>4638</v>
      </c>
      <c r="S48" s="16" t="s">
        <v>4889</v>
      </c>
      <c r="T48" s="16" t="s">
        <v>4889</v>
      </c>
      <c r="U48" s="16" t="s">
        <v>4835</v>
      </c>
      <c r="V48" s="16" t="s">
        <v>4839</v>
      </c>
      <c r="W48" s="16" t="s">
        <v>4963</v>
      </c>
      <c r="X48" s="16" t="s">
        <v>4674</v>
      </c>
      <c r="Y48" s="16" t="s">
        <v>4674</v>
      </c>
      <c r="Z48" s="16" t="s">
        <v>5106</v>
      </c>
      <c r="AA48" s="16" t="s">
        <v>4661</v>
      </c>
      <c r="AD48" s="16" t="s">
        <v>5173</v>
      </c>
      <c r="AE48" s="16" t="s">
        <v>5173</v>
      </c>
      <c r="AF48" s="16" t="s">
        <v>5173</v>
      </c>
      <c r="AG48" s="16" t="s">
        <v>5173</v>
      </c>
      <c r="AH48" s="16" t="s">
        <v>5173</v>
      </c>
      <c r="AI48" s="16" t="s">
        <v>5173</v>
      </c>
      <c r="AJ48" s="16" t="s">
        <v>5173</v>
      </c>
      <c r="AK48" s="16" t="s">
        <v>5173</v>
      </c>
      <c r="AO48" s="16" t="s">
        <v>4727</v>
      </c>
      <c r="AP48" s="16" t="s">
        <v>4939</v>
      </c>
      <c r="AQ48" s="16" t="s">
        <v>4939</v>
      </c>
      <c r="AR48" s="16" t="s">
        <v>4998</v>
      </c>
      <c r="AS48" s="16" t="s">
        <v>4998</v>
      </c>
      <c r="AT48" s="16" t="s">
        <v>4923</v>
      </c>
      <c r="AU48" s="16" t="s">
        <v>4665</v>
      </c>
    </row>
    <row r="49" spans="1:47" x14ac:dyDescent="0.25">
      <c r="A49" s="16" t="s">
        <v>4649</v>
      </c>
      <c r="E49" s="16" t="s">
        <v>4719</v>
      </c>
      <c r="F49" s="16" t="s">
        <v>4708</v>
      </c>
      <c r="G49" s="16" t="s">
        <v>4708</v>
      </c>
      <c r="H49" s="16" t="s">
        <v>4647</v>
      </c>
      <c r="I49" s="16" t="s">
        <v>4647</v>
      </c>
      <c r="J49" s="16" t="s">
        <v>4646</v>
      </c>
      <c r="K49" s="16" t="s">
        <v>4795</v>
      </c>
      <c r="O49" s="16" t="s">
        <v>4688</v>
      </c>
      <c r="P49" s="16" t="s">
        <v>4688</v>
      </c>
      <c r="Q49" s="16" t="s">
        <v>4639</v>
      </c>
      <c r="R49" s="16" t="s">
        <v>4639</v>
      </c>
      <c r="S49" s="16" t="s">
        <v>4890</v>
      </c>
      <c r="T49" s="16" t="s">
        <v>4890</v>
      </c>
      <c r="U49" s="16" t="s">
        <v>4836</v>
      </c>
      <c r="V49" s="16" t="s">
        <v>4840</v>
      </c>
      <c r="W49" s="16" t="s">
        <v>4954</v>
      </c>
      <c r="X49" s="16" t="s">
        <v>4675</v>
      </c>
      <c r="Y49" s="16" t="s">
        <v>4675</v>
      </c>
      <c r="Z49" s="16" t="s">
        <v>5107</v>
      </c>
      <c r="AA49" s="16" t="s">
        <v>4662</v>
      </c>
      <c r="AD49" s="16" t="s">
        <v>5174</v>
      </c>
      <c r="AE49" s="16" t="s">
        <v>5174</v>
      </c>
      <c r="AF49" s="16" t="s">
        <v>5174</v>
      </c>
      <c r="AG49" s="16" t="s">
        <v>5174</v>
      </c>
      <c r="AH49" s="16" t="s">
        <v>5174</v>
      </c>
      <c r="AI49" s="16" t="s">
        <v>5174</v>
      </c>
      <c r="AJ49" s="16" t="s">
        <v>5174</v>
      </c>
      <c r="AK49" s="16" t="s">
        <v>5174</v>
      </c>
      <c r="AO49" s="16" t="s">
        <v>4728</v>
      </c>
      <c r="AP49" s="16" t="s">
        <v>4940</v>
      </c>
      <c r="AQ49" s="16" t="s">
        <v>4940</v>
      </c>
      <c r="AR49" s="16" t="s">
        <v>4999</v>
      </c>
      <c r="AS49" s="16" t="s">
        <v>4999</v>
      </c>
      <c r="AT49" s="16" t="s">
        <v>4924</v>
      </c>
      <c r="AU49" s="16" t="s">
        <v>4666</v>
      </c>
    </row>
    <row r="50" spans="1:47" x14ac:dyDescent="0.25">
      <c r="A50" s="16" t="s">
        <v>4650</v>
      </c>
      <c r="E50" s="16" t="s">
        <v>4712</v>
      </c>
      <c r="F50" s="16" t="s">
        <v>4709</v>
      </c>
      <c r="G50" s="16" t="s">
        <v>4709</v>
      </c>
      <c r="H50" s="16" t="s">
        <v>4648</v>
      </c>
      <c r="J50" s="16" t="s">
        <v>4647</v>
      </c>
      <c r="K50" s="16" t="s">
        <v>4796</v>
      </c>
      <c r="O50" s="16" t="s">
        <v>4689</v>
      </c>
      <c r="P50" s="16" t="s">
        <v>4689</v>
      </c>
      <c r="Q50" s="16" t="s">
        <v>4640</v>
      </c>
      <c r="R50" s="16" t="s">
        <v>4640</v>
      </c>
      <c r="S50" s="16" t="s">
        <v>4891</v>
      </c>
      <c r="T50" s="16" t="s">
        <v>4891</v>
      </c>
      <c r="U50" s="16" t="s">
        <v>4837</v>
      </c>
      <c r="V50" s="16" t="s">
        <v>4841</v>
      </c>
      <c r="W50" s="16" t="s">
        <v>4989</v>
      </c>
      <c r="X50" s="16" t="s">
        <v>4676</v>
      </c>
      <c r="Y50" s="16" t="s">
        <v>4676</v>
      </c>
      <c r="Z50" s="16" t="s">
        <v>5108</v>
      </c>
      <c r="AA50" s="16" t="s">
        <v>4671</v>
      </c>
      <c r="AD50" s="16" t="s">
        <v>5175</v>
      </c>
      <c r="AE50" s="16" t="s">
        <v>5175</v>
      </c>
      <c r="AF50" s="16" t="s">
        <v>5175</v>
      </c>
      <c r="AG50" s="16" t="s">
        <v>5175</v>
      </c>
      <c r="AH50" s="16" t="s">
        <v>5175</v>
      </c>
      <c r="AI50" s="16" t="s">
        <v>5175</v>
      </c>
      <c r="AJ50" s="16" t="s">
        <v>5175</v>
      </c>
      <c r="AK50" s="16" t="s">
        <v>5175</v>
      </c>
      <c r="AO50" s="16" t="s">
        <v>4729</v>
      </c>
      <c r="AP50" s="16" t="s">
        <v>4941</v>
      </c>
      <c r="AQ50" s="16" t="s">
        <v>4941</v>
      </c>
      <c r="AR50" s="16" t="s">
        <v>5000</v>
      </c>
      <c r="AS50" s="16" t="s">
        <v>5000</v>
      </c>
      <c r="AT50" s="16" t="s">
        <v>4925</v>
      </c>
      <c r="AU50" s="16" t="s">
        <v>4667</v>
      </c>
    </row>
    <row r="51" spans="1:47" x14ac:dyDescent="0.25">
      <c r="A51" s="16" t="s">
        <v>4651</v>
      </c>
      <c r="E51" s="16" t="s">
        <v>4713</v>
      </c>
      <c r="F51" s="16" t="s">
        <v>4710</v>
      </c>
      <c r="G51" s="16" t="s">
        <v>4710</v>
      </c>
      <c r="H51" s="16" t="s">
        <v>4649</v>
      </c>
      <c r="K51" s="16" t="s">
        <v>4797</v>
      </c>
      <c r="O51" s="16" t="s">
        <v>4690</v>
      </c>
      <c r="P51" s="16" t="s">
        <v>4690</v>
      </c>
      <c r="Q51" s="16" t="s">
        <v>4821</v>
      </c>
      <c r="R51" s="16" t="s">
        <v>4821</v>
      </c>
      <c r="S51" s="16" t="s">
        <v>4892</v>
      </c>
      <c r="T51" s="16" t="s">
        <v>4892</v>
      </c>
      <c r="U51" s="16" t="s">
        <v>4838</v>
      </c>
      <c r="V51" s="16" t="s">
        <v>4842</v>
      </c>
      <c r="W51" s="16" t="s">
        <v>4990</v>
      </c>
      <c r="X51" s="16" t="s">
        <v>4677</v>
      </c>
      <c r="Y51" s="16" t="s">
        <v>4677</v>
      </c>
      <c r="Z51" s="16" t="s">
        <v>5109</v>
      </c>
      <c r="AD51" s="16" t="s">
        <v>5176</v>
      </c>
      <c r="AE51" s="16" t="s">
        <v>5176</v>
      </c>
      <c r="AF51" s="16" t="s">
        <v>5176</v>
      </c>
      <c r="AG51" s="16" t="s">
        <v>5176</v>
      </c>
      <c r="AH51" s="16" t="s">
        <v>5176</v>
      </c>
      <c r="AI51" s="16" t="s">
        <v>5176</v>
      </c>
      <c r="AJ51" s="16" t="s">
        <v>5176</v>
      </c>
      <c r="AK51" s="16" t="s">
        <v>5176</v>
      </c>
      <c r="AO51" s="16" t="s">
        <v>4730</v>
      </c>
      <c r="AP51" s="16" t="s">
        <v>4942</v>
      </c>
      <c r="AQ51" s="16" t="s">
        <v>4964</v>
      </c>
      <c r="AR51" s="16" t="s">
        <v>5001</v>
      </c>
      <c r="AS51" s="16" t="s">
        <v>5001</v>
      </c>
      <c r="AT51" s="16" t="s">
        <v>4926</v>
      </c>
      <c r="AU51" s="16" t="s">
        <v>4668</v>
      </c>
    </row>
    <row r="52" spans="1:47" x14ac:dyDescent="0.25">
      <c r="A52" s="16" t="s">
        <v>4652</v>
      </c>
      <c r="E52" s="16" t="s">
        <v>4633</v>
      </c>
      <c r="F52" s="16" t="s">
        <v>4711</v>
      </c>
      <c r="G52" s="16" t="s">
        <v>4711</v>
      </c>
      <c r="H52" s="16" t="s">
        <v>4650</v>
      </c>
      <c r="K52" s="16" t="s">
        <v>4798</v>
      </c>
      <c r="O52" s="16" t="s">
        <v>4691</v>
      </c>
      <c r="P52" s="16" t="s">
        <v>4691</v>
      </c>
      <c r="Q52" s="16" t="s">
        <v>4822</v>
      </c>
      <c r="R52" s="16" t="s">
        <v>4822</v>
      </c>
      <c r="S52" s="16" t="s">
        <v>4893</v>
      </c>
      <c r="T52" s="16" t="s">
        <v>4893</v>
      </c>
      <c r="U52" s="16" t="s">
        <v>4839</v>
      </c>
      <c r="V52" s="16" t="s">
        <v>4843</v>
      </c>
      <c r="W52" s="16" t="s">
        <v>4991</v>
      </c>
      <c r="X52" s="16" t="s">
        <v>4678</v>
      </c>
      <c r="Y52" s="16" t="s">
        <v>4678</v>
      </c>
      <c r="Z52" s="16" t="s">
        <v>5110</v>
      </c>
      <c r="AD52" s="16" t="s">
        <v>5177</v>
      </c>
      <c r="AE52" s="16" t="s">
        <v>5177</v>
      </c>
      <c r="AF52" s="16" t="s">
        <v>5177</v>
      </c>
      <c r="AG52" s="16" t="s">
        <v>5177</v>
      </c>
      <c r="AH52" s="16" t="s">
        <v>5177</v>
      </c>
      <c r="AI52" s="16" t="s">
        <v>5177</v>
      </c>
      <c r="AJ52" s="16" t="s">
        <v>5177</v>
      </c>
      <c r="AK52" s="16" t="s">
        <v>5177</v>
      </c>
      <c r="AO52" s="16" t="s">
        <v>4807</v>
      </c>
      <c r="AP52" s="16" t="s">
        <v>4804</v>
      </c>
      <c r="AQ52" s="16" t="s">
        <v>4965</v>
      </c>
      <c r="AR52" s="16" t="s">
        <v>5002</v>
      </c>
      <c r="AS52" s="16" t="s">
        <v>5002</v>
      </c>
      <c r="AT52" s="16" t="s">
        <v>4927</v>
      </c>
      <c r="AU52" s="16" t="s">
        <v>4669</v>
      </c>
    </row>
    <row r="53" spans="1:47" x14ac:dyDescent="0.25">
      <c r="A53" s="16" t="s">
        <v>4653</v>
      </c>
      <c r="E53" s="16" t="s">
        <v>4634</v>
      </c>
      <c r="F53" s="16" t="s">
        <v>4712</v>
      </c>
      <c r="G53" s="16" t="s">
        <v>4712</v>
      </c>
      <c r="H53" s="16" t="s">
        <v>4651</v>
      </c>
      <c r="O53" s="16" t="s">
        <v>4692</v>
      </c>
      <c r="P53" s="16" t="s">
        <v>4692</v>
      </c>
      <c r="Q53" s="16" t="s">
        <v>4823</v>
      </c>
      <c r="R53" s="16" t="s">
        <v>4823</v>
      </c>
      <c r="S53" s="16" t="s">
        <v>4894</v>
      </c>
      <c r="T53" s="16" t="s">
        <v>4894</v>
      </c>
      <c r="U53" s="16" t="s">
        <v>4840</v>
      </c>
      <c r="V53" s="16" t="s">
        <v>4844</v>
      </c>
      <c r="W53" s="16" t="s">
        <v>4992</v>
      </c>
      <c r="X53" s="16" t="s">
        <v>4679</v>
      </c>
      <c r="Y53" s="16" t="s">
        <v>4679</v>
      </c>
      <c r="Z53" s="16" t="s">
        <v>5111</v>
      </c>
      <c r="AD53" s="16" t="s">
        <v>4955</v>
      </c>
      <c r="AE53" s="16" t="s">
        <v>4955</v>
      </c>
      <c r="AF53" s="16" t="s">
        <v>4955</v>
      </c>
      <c r="AG53" s="16" t="s">
        <v>4955</v>
      </c>
      <c r="AH53" s="16" t="s">
        <v>4955</v>
      </c>
      <c r="AI53" s="16" t="s">
        <v>4955</v>
      </c>
      <c r="AJ53" s="16" t="s">
        <v>4955</v>
      </c>
      <c r="AK53" s="16" t="s">
        <v>4955</v>
      </c>
      <c r="AO53" s="16" t="s">
        <v>4808</v>
      </c>
      <c r="AP53" s="16" t="s">
        <v>4805</v>
      </c>
      <c r="AQ53" s="16" t="s">
        <v>4966</v>
      </c>
      <c r="AR53" s="16" t="s">
        <v>5003</v>
      </c>
      <c r="AS53" s="16" t="s">
        <v>5003</v>
      </c>
      <c r="AT53" s="16" t="s">
        <v>4928</v>
      </c>
      <c r="AU53" s="16" t="s">
        <v>4670</v>
      </c>
    </row>
    <row r="54" spans="1:47" x14ac:dyDescent="0.25">
      <c r="A54" s="16" t="s">
        <v>4654</v>
      </c>
      <c r="E54" s="16" t="s">
        <v>4635</v>
      </c>
      <c r="F54" s="16" t="s">
        <v>4713</v>
      </c>
      <c r="G54" s="16" t="s">
        <v>4713</v>
      </c>
      <c r="H54" s="16" t="s">
        <v>4652</v>
      </c>
      <c r="O54" s="16" t="s">
        <v>4693</v>
      </c>
      <c r="P54" s="16" t="s">
        <v>4693</v>
      </c>
      <c r="Q54" s="16" t="s">
        <v>4824</v>
      </c>
      <c r="R54" s="16" t="s">
        <v>4824</v>
      </c>
      <c r="S54" s="16" t="s">
        <v>4895</v>
      </c>
      <c r="T54" s="16" t="s">
        <v>4895</v>
      </c>
      <c r="U54" s="16" t="s">
        <v>4841</v>
      </c>
      <c r="V54" s="16" t="s">
        <v>4845</v>
      </c>
      <c r="W54" s="16" t="s">
        <v>4993</v>
      </c>
      <c r="X54" s="16" t="s">
        <v>4813</v>
      </c>
      <c r="Y54" s="16" t="s">
        <v>4813</v>
      </c>
      <c r="Z54" s="16" t="s">
        <v>5112</v>
      </c>
      <c r="AD54" s="16" t="s">
        <v>5178</v>
      </c>
      <c r="AE54" s="16" t="s">
        <v>5178</v>
      </c>
      <c r="AF54" s="16" t="s">
        <v>5178</v>
      </c>
      <c r="AG54" s="16" t="s">
        <v>5178</v>
      </c>
      <c r="AH54" s="16" t="s">
        <v>5178</v>
      </c>
      <c r="AI54" s="16" t="s">
        <v>5178</v>
      </c>
      <c r="AJ54" s="16" t="s">
        <v>5178</v>
      </c>
      <c r="AK54" s="16" t="s">
        <v>4956</v>
      </c>
      <c r="AO54" s="16" t="s">
        <v>4809</v>
      </c>
      <c r="AP54" s="16" t="s">
        <v>4806</v>
      </c>
      <c r="AQ54" s="16" t="s">
        <v>4967</v>
      </c>
      <c r="AR54" s="16" t="s">
        <v>5004</v>
      </c>
      <c r="AS54" s="16" t="s">
        <v>5004</v>
      </c>
      <c r="AT54" s="16" t="s">
        <v>4929</v>
      </c>
      <c r="AU54" s="16" t="s">
        <v>4671</v>
      </c>
    </row>
    <row r="55" spans="1:47" x14ac:dyDescent="0.25">
      <c r="A55" s="16" t="s">
        <v>4655</v>
      </c>
      <c r="E55" s="16" t="s">
        <v>4636</v>
      </c>
      <c r="F55" s="16" t="s">
        <v>4633</v>
      </c>
      <c r="G55" s="16" t="s">
        <v>4633</v>
      </c>
      <c r="H55" s="16" t="s">
        <v>4653</v>
      </c>
      <c r="O55" s="16" t="s">
        <v>4694</v>
      </c>
      <c r="P55" s="16" t="s">
        <v>4694</v>
      </c>
      <c r="Q55" s="16" t="s">
        <v>4825</v>
      </c>
      <c r="R55" s="16" t="s">
        <v>4825</v>
      </c>
      <c r="S55" s="16" t="s">
        <v>4896</v>
      </c>
      <c r="T55" s="16" t="s">
        <v>4896</v>
      </c>
      <c r="U55" s="16" t="s">
        <v>4842</v>
      </c>
      <c r="V55" s="16" t="s">
        <v>4846</v>
      </c>
      <c r="W55" s="16" t="s">
        <v>4994</v>
      </c>
      <c r="X55" s="16" t="s">
        <v>4814</v>
      </c>
      <c r="Y55" s="16" t="s">
        <v>4814</v>
      </c>
      <c r="Z55" s="16" t="s">
        <v>5113</v>
      </c>
      <c r="AD55" s="16" t="s">
        <v>5179</v>
      </c>
      <c r="AE55" s="16" t="s">
        <v>5179</v>
      </c>
      <c r="AF55" s="16" t="s">
        <v>5179</v>
      </c>
      <c r="AG55" s="16" t="s">
        <v>5179</v>
      </c>
      <c r="AH55" s="16" t="s">
        <v>5179</v>
      </c>
      <c r="AI55" s="16" t="s">
        <v>5179</v>
      </c>
      <c r="AJ55" s="16" t="s">
        <v>5179</v>
      </c>
      <c r="AK55" s="16" t="s">
        <v>4957</v>
      </c>
      <c r="AO55" s="16" t="s">
        <v>4810</v>
      </c>
      <c r="AP55" s="16" t="s">
        <v>4606</v>
      </c>
      <c r="AQ55" s="16" t="s">
        <v>4968</v>
      </c>
      <c r="AR55" s="16" t="s">
        <v>5005</v>
      </c>
      <c r="AS55" s="16" t="s">
        <v>5005</v>
      </c>
      <c r="AT55" s="16" t="s">
        <v>4930</v>
      </c>
    </row>
    <row r="56" spans="1:47" x14ac:dyDescent="0.25">
      <c r="A56" s="16" t="s">
        <v>4642</v>
      </c>
      <c r="E56" s="16" t="s">
        <v>4637</v>
      </c>
      <c r="F56" s="16" t="s">
        <v>4634</v>
      </c>
      <c r="G56" s="16" t="s">
        <v>4634</v>
      </c>
      <c r="H56" s="16" t="s">
        <v>4654</v>
      </c>
      <c r="O56" s="16" t="s">
        <v>4695</v>
      </c>
      <c r="P56" s="16" t="s">
        <v>4695</v>
      </c>
      <c r="Q56" s="16" t="s">
        <v>4826</v>
      </c>
      <c r="R56" s="16" t="s">
        <v>4826</v>
      </c>
      <c r="S56" s="16" t="s">
        <v>4897</v>
      </c>
      <c r="T56" s="16" t="s">
        <v>4897</v>
      </c>
      <c r="U56" s="16" t="s">
        <v>4843</v>
      </c>
      <c r="W56" s="16" t="s">
        <v>4995</v>
      </c>
      <c r="X56" s="16" t="s">
        <v>4815</v>
      </c>
      <c r="Y56" s="16" t="s">
        <v>4815</v>
      </c>
      <c r="Z56" s="16" t="s">
        <v>5114</v>
      </c>
      <c r="AD56" s="16" t="s">
        <v>5180</v>
      </c>
      <c r="AE56" s="16" t="s">
        <v>5180</v>
      </c>
      <c r="AF56" s="16" t="s">
        <v>5180</v>
      </c>
      <c r="AG56" s="16" t="s">
        <v>5180</v>
      </c>
      <c r="AH56" s="16" t="s">
        <v>5180</v>
      </c>
      <c r="AI56" s="16" t="s">
        <v>5180</v>
      </c>
      <c r="AJ56" s="16" t="s">
        <v>5180</v>
      </c>
      <c r="AK56" s="16" t="s">
        <v>4958</v>
      </c>
      <c r="AO56" s="16" t="s">
        <v>4811</v>
      </c>
      <c r="AP56" s="16" t="s">
        <v>4607</v>
      </c>
      <c r="AQ56" s="16" t="s">
        <v>4969</v>
      </c>
      <c r="AR56" s="16" t="s">
        <v>5006</v>
      </c>
      <c r="AS56" s="16" t="s">
        <v>5006</v>
      </c>
      <c r="AT56" s="16" t="s">
        <v>4931</v>
      </c>
    </row>
    <row r="57" spans="1:47" x14ac:dyDescent="0.25">
      <c r="A57" s="16" t="s">
        <v>4643</v>
      </c>
      <c r="E57" s="16" t="s">
        <v>4638</v>
      </c>
      <c r="F57" s="16" t="s">
        <v>4635</v>
      </c>
      <c r="G57" s="16" t="s">
        <v>4635</v>
      </c>
      <c r="H57" s="16" t="s">
        <v>4655</v>
      </c>
      <c r="O57" s="16" t="s">
        <v>4696</v>
      </c>
      <c r="P57" s="16" t="s">
        <v>4696</v>
      </c>
      <c r="Q57" s="16" t="s">
        <v>4827</v>
      </c>
      <c r="R57" s="16" t="s">
        <v>4827</v>
      </c>
      <c r="S57" s="16" t="s">
        <v>4898</v>
      </c>
      <c r="T57" s="16" t="s">
        <v>4898</v>
      </c>
      <c r="U57" s="16" t="s">
        <v>4844</v>
      </c>
      <c r="W57" s="16" t="s">
        <v>4956</v>
      </c>
      <c r="X57" s="16" t="s">
        <v>4685</v>
      </c>
      <c r="Y57" s="16" t="s">
        <v>4685</v>
      </c>
      <c r="Z57" s="16" t="s">
        <v>5115</v>
      </c>
      <c r="AD57" s="16" t="s">
        <v>5181</v>
      </c>
      <c r="AE57" s="16" t="s">
        <v>5181</v>
      </c>
      <c r="AF57" s="16" t="s">
        <v>5181</v>
      </c>
      <c r="AG57" s="16" t="s">
        <v>5181</v>
      </c>
      <c r="AH57" s="16" t="s">
        <v>5181</v>
      </c>
      <c r="AI57" s="16" t="s">
        <v>5181</v>
      </c>
      <c r="AJ57" s="16" t="s">
        <v>5181</v>
      </c>
      <c r="AK57" s="16" t="s">
        <v>4959</v>
      </c>
      <c r="AO57" s="16" t="s">
        <v>4681</v>
      </c>
      <c r="AP57" s="16" t="s">
        <v>4608</v>
      </c>
      <c r="AQ57" s="16" t="s">
        <v>4970</v>
      </c>
      <c r="AR57" s="16" t="s">
        <v>5007</v>
      </c>
      <c r="AS57" s="16" t="s">
        <v>5007</v>
      </c>
      <c r="AT57" s="16" t="s">
        <v>4932</v>
      </c>
    </row>
    <row r="58" spans="1:47" x14ac:dyDescent="0.25">
      <c r="A58" s="16" t="s">
        <v>4644</v>
      </c>
      <c r="E58" s="16" t="s">
        <v>4714</v>
      </c>
      <c r="F58" s="16" t="s">
        <v>4636</v>
      </c>
      <c r="G58" s="16" t="s">
        <v>4636</v>
      </c>
      <c r="H58" s="16" t="s">
        <v>4642</v>
      </c>
      <c r="Q58" s="16" t="s">
        <v>4828</v>
      </c>
      <c r="R58" s="16" t="s">
        <v>4828</v>
      </c>
      <c r="S58" s="16" t="s">
        <v>4899</v>
      </c>
      <c r="T58" s="16" t="s">
        <v>4899</v>
      </c>
      <c r="U58" s="16" t="s">
        <v>4845</v>
      </c>
      <c r="W58" s="16" t="s">
        <v>4957</v>
      </c>
      <c r="X58" s="16" t="s">
        <v>4686</v>
      </c>
      <c r="Y58" s="16" t="s">
        <v>4686</v>
      </c>
      <c r="Z58" s="16" t="s">
        <v>5116</v>
      </c>
      <c r="AD58" s="16" t="s">
        <v>5182</v>
      </c>
      <c r="AE58" s="16" t="s">
        <v>5182</v>
      </c>
      <c r="AF58" s="16" t="s">
        <v>5182</v>
      </c>
      <c r="AG58" s="16" t="s">
        <v>5182</v>
      </c>
      <c r="AH58" s="16" t="s">
        <v>5182</v>
      </c>
      <c r="AI58" s="16" t="s">
        <v>5182</v>
      </c>
      <c r="AJ58" s="16" t="s">
        <v>5182</v>
      </c>
      <c r="AK58" s="16" t="s">
        <v>4960</v>
      </c>
      <c r="AO58" s="16" t="s">
        <v>4682</v>
      </c>
      <c r="AP58" s="16" t="s">
        <v>4609</v>
      </c>
      <c r="AQ58" s="16" t="s">
        <v>4971</v>
      </c>
      <c r="AR58" s="16" t="s">
        <v>5008</v>
      </c>
      <c r="AS58" s="16" t="s">
        <v>5008</v>
      </c>
      <c r="AT58" s="16" t="s">
        <v>4933</v>
      </c>
    </row>
    <row r="59" spans="1:47" x14ac:dyDescent="0.25">
      <c r="A59" s="16" t="s">
        <v>4656</v>
      </c>
      <c r="E59" s="16" t="s">
        <v>4715</v>
      </c>
      <c r="F59" s="16" t="s">
        <v>4637</v>
      </c>
      <c r="G59" s="16" t="s">
        <v>4637</v>
      </c>
      <c r="H59" s="16" t="s">
        <v>4643</v>
      </c>
      <c r="Q59" s="16" t="s">
        <v>4829</v>
      </c>
      <c r="R59" s="16" t="s">
        <v>4829</v>
      </c>
      <c r="S59" s="16" t="s">
        <v>4900</v>
      </c>
      <c r="T59" s="16" t="s">
        <v>4900</v>
      </c>
      <c r="U59" s="16" t="s">
        <v>4846</v>
      </c>
      <c r="W59" s="16" t="s">
        <v>4958</v>
      </c>
      <c r="X59" s="16" t="s">
        <v>5033</v>
      </c>
      <c r="Y59" s="16" t="s">
        <v>5033</v>
      </c>
      <c r="Z59" s="16" t="s">
        <v>5117</v>
      </c>
      <c r="AD59" s="16" t="s">
        <v>5183</v>
      </c>
      <c r="AE59" s="16" t="s">
        <v>5183</v>
      </c>
      <c r="AF59" s="16" t="s">
        <v>5183</v>
      </c>
      <c r="AG59" s="16" t="s">
        <v>5183</v>
      </c>
      <c r="AH59" s="16" t="s">
        <v>5183</v>
      </c>
      <c r="AI59" s="16" t="s">
        <v>5183</v>
      </c>
      <c r="AJ59" s="16" t="s">
        <v>5183</v>
      </c>
      <c r="AK59" s="16" t="s">
        <v>4961</v>
      </c>
      <c r="AO59" s="16" t="s">
        <v>4697</v>
      </c>
      <c r="AP59" s="16" t="s">
        <v>4610</v>
      </c>
      <c r="AQ59" s="16" t="s">
        <v>4972</v>
      </c>
      <c r="AR59" s="16" t="s">
        <v>5009</v>
      </c>
      <c r="AS59" s="16" t="s">
        <v>5009</v>
      </c>
      <c r="AT59" s="16" t="s">
        <v>4934</v>
      </c>
    </row>
    <row r="60" spans="1:47" x14ac:dyDescent="0.25">
      <c r="A60" s="16" t="s">
        <v>4657</v>
      </c>
      <c r="E60" s="16" t="s">
        <v>4716</v>
      </c>
      <c r="F60" s="16" t="s">
        <v>4638</v>
      </c>
      <c r="G60" s="16" t="s">
        <v>4638</v>
      </c>
      <c r="H60" s="16" t="s">
        <v>4644</v>
      </c>
      <c r="Q60" s="16" t="s">
        <v>4830</v>
      </c>
      <c r="R60" s="16" t="s">
        <v>4830</v>
      </c>
      <c r="S60" s="16" t="s">
        <v>4901</v>
      </c>
      <c r="T60" s="16" t="s">
        <v>4901</v>
      </c>
      <c r="W60" s="16" t="s">
        <v>4959</v>
      </c>
      <c r="X60" s="16" t="s">
        <v>5034</v>
      </c>
      <c r="Y60" s="16" t="s">
        <v>5034</v>
      </c>
      <c r="Z60" s="16" t="s">
        <v>5118</v>
      </c>
      <c r="AD60" s="16" t="s">
        <v>4949</v>
      </c>
      <c r="AE60" s="16" t="s">
        <v>4949</v>
      </c>
      <c r="AF60" s="16" t="s">
        <v>4949</v>
      </c>
      <c r="AG60" s="16" t="s">
        <v>4949</v>
      </c>
      <c r="AH60" s="16" t="s">
        <v>4949</v>
      </c>
      <c r="AI60" s="16" t="s">
        <v>4949</v>
      </c>
      <c r="AJ60" s="16" t="s">
        <v>4949</v>
      </c>
      <c r="AK60" s="16" t="s">
        <v>4832</v>
      </c>
      <c r="AO60" s="16" t="s">
        <v>4698</v>
      </c>
      <c r="AP60" s="16" t="s">
        <v>4611</v>
      </c>
      <c r="AQ60" s="16" t="s">
        <v>4973</v>
      </c>
      <c r="AR60" s="16" t="s">
        <v>5010</v>
      </c>
      <c r="AS60" s="16" t="s">
        <v>5010</v>
      </c>
      <c r="AT60" s="16" t="s">
        <v>4648</v>
      </c>
    </row>
    <row r="61" spans="1:47" x14ac:dyDescent="0.25">
      <c r="A61" s="16" t="s">
        <v>4658</v>
      </c>
      <c r="E61" s="16" t="s">
        <v>4720</v>
      </c>
      <c r="F61" s="16" t="s">
        <v>4714</v>
      </c>
      <c r="G61" s="16" t="s">
        <v>4714</v>
      </c>
      <c r="H61" s="16" t="s">
        <v>4656</v>
      </c>
      <c r="Q61" s="16" t="s">
        <v>4831</v>
      </c>
      <c r="R61" s="16" t="s">
        <v>4831</v>
      </c>
      <c r="S61" s="16" t="s">
        <v>4902</v>
      </c>
      <c r="T61" s="16" t="s">
        <v>4902</v>
      </c>
      <c r="W61" s="16" t="s">
        <v>4960</v>
      </c>
      <c r="X61" s="16" t="s">
        <v>5035</v>
      </c>
      <c r="Y61" s="16" t="s">
        <v>5035</v>
      </c>
      <c r="Z61" s="16" t="s">
        <v>5119</v>
      </c>
      <c r="AD61" s="16" t="s">
        <v>5184</v>
      </c>
      <c r="AE61" s="16" t="s">
        <v>5184</v>
      </c>
      <c r="AF61" s="16" t="s">
        <v>5184</v>
      </c>
      <c r="AG61" s="16" t="s">
        <v>5184</v>
      </c>
      <c r="AH61" s="16" t="s">
        <v>5184</v>
      </c>
      <c r="AI61" s="16" t="s">
        <v>5184</v>
      </c>
      <c r="AJ61" s="16" t="s">
        <v>5184</v>
      </c>
      <c r="AK61" s="16" t="s">
        <v>4833</v>
      </c>
      <c r="AO61" s="16" t="s">
        <v>4819</v>
      </c>
      <c r="AP61" s="16" t="s">
        <v>4943</v>
      </c>
      <c r="AQ61" s="16" t="s">
        <v>4974</v>
      </c>
      <c r="AR61" s="16" t="s">
        <v>5011</v>
      </c>
      <c r="AS61" s="16" t="s">
        <v>5011</v>
      </c>
      <c r="AT61" s="16" t="s">
        <v>4649</v>
      </c>
    </row>
    <row r="62" spans="1:47" x14ac:dyDescent="0.25">
      <c r="A62" s="16" t="s">
        <v>4659</v>
      </c>
      <c r="E62" s="16" t="s">
        <v>4718</v>
      </c>
      <c r="F62" s="16" t="s">
        <v>4715</v>
      </c>
      <c r="G62" s="16" t="s">
        <v>4715</v>
      </c>
      <c r="H62" s="16" t="s">
        <v>4657</v>
      </c>
      <c r="Q62" s="16" t="s">
        <v>4832</v>
      </c>
      <c r="R62" s="16" t="s">
        <v>4832</v>
      </c>
      <c r="S62" s="16" t="s">
        <v>4903</v>
      </c>
      <c r="T62" s="16" t="s">
        <v>4903</v>
      </c>
      <c r="W62" s="16" t="s">
        <v>4961</v>
      </c>
      <c r="X62" s="16" t="s">
        <v>5036</v>
      </c>
      <c r="Y62" s="16" t="s">
        <v>5036</v>
      </c>
      <c r="Z62" s="16" t="s">
        <v>5120</v>
      </c>
      <c r="AD62" s="16" t="s">
        <v>5185</v>
      </c>
      <c r="AE62" s="16" t="s">
        <v>5185</v>
      </c>
      <c r="AF62" s="16" t="s">
        <v>5185</v>
      </c>
      <c r="AG62" s="16" t="s">
        <v>5185</v>
      </c>
      <c r="AH62" s="16" t="s">
        <v>5185</v>
      </c>
      <c r="AI62" s="16" t="s">
        <v>5185</v>
      </c>
      <c r="AJ62" s="16" t="s">
        <v>5185</v>
      </c>
      <c r="AK62" s="16" t="s">
        <v>4834</v>
      </c>
      <c r="AO62" s="16" t="s">
        <v>4820</v>
      </c>
      <c r="AP62" s="16" t="s">
        <v>4944</v>
      </c>
      <c r="AQ62" s="16" t="s">
        <v>4975</v>
      </c>
      <c r="AR62" s="16" t="s">
        <v>5012</v>
      </c>
      <c r="AS62" s="16" t="s">
        <v>5012</v>
      </c>
      <c r="AT62" s="16" t="s">
        <v>4650</v>
      </c>
    </row>
    <row r="63" spans="1:47" x14ac:dyDescent="0.25">
      <c r="A63" s="16" t="s">
        <v>4660</v>
      </c>
      <c r="E63" s="16" t="s">
        <v>4721</v>
      </c>
      <c r="F63" s="16" t="s">
        <v>4716</v>
      </c>
      <c r="G63" s="16" t="s">
        <v>4716</v>
      </c>
      <c r="H63" s="16" t="s">
        <v>4658</v>
      </c>
      <c r="Q63" s="16" t="s">
        <v>4833</v>
      </c>
      <c r="R63" s="16" t="s">
        <v>4833</v>
      </c>
      <c r="S63" s="16" t="s">
        <v>4904</v>
      </c>
      <c r="T63" s="16" t="s">
        <v>4904</v>
      </c>
      <c r="W63" s="16" t="s">
        <v>4832</v>
      </c>
      <c r="X63" s="16" t="s">
        <v>4962</v>
      </c>
      <c r="Y63" s="16" t="s">
        <v>4962</v>
      </c>
      <c r="Z63" s="16" t="s">
        <v>5121</v>
      </c>
      <c r="AD63" s="16" t="s">
        <v>5186</v>
      </c>
      <c r="AE63" s="16" t="s">
        <v>5186</v>
      </c>
      <c r="AF63" s="16" t="s">
        <v>5186</v>
      </c>
      <c r="AG63" s="16" t="s">
        <v>5186</v>
      </c>
      <c r="AH63" s="16" t="s">
        <v>5186</v>
      </c>
      <c r="AI63" s="16" t="s">
        <v>5186</v>
      </c>
      <c r="AJ63" s="16" t="s">
        <v>5186</v>
      </c>
      <c r="AK63" s="16" t="s">
        <v>4602</v>
      </c>
      <c r="AO63" s="16" t="s">
        <v>4627</v>
      </c>
      <c r="AP63" s="16" t="s">
        <v>4945</v>
      </c>
      <c r="AQ63" s="16" t="s">
        <v>4821</v>
      </c>
      <c r="AR63" s="16" t="s">
        <v>5013</v>
      </c>
      <c r="AS63" s="16" t="s">
        <v>5013</v>
      </c>
      <c r="AT63" s="16" t="s">
        <v>4651</v>
      </c>
    </row>
    <row r="64" spans="1:47" x14ac:dyDescent="0.25">
      <c r="A64" s="16" t="s">
        <v>4661</v>
      </c>
      <c r="E64" s="16" t="s">
        <v>4722</v>
      </c>
      <c r="F64" s="16" t="s">
        <v>4717</v>
      </c>
      <c r="G64" s="16" t="s">
        <v>4720</v>
      </c>
      <c r="H64" s="16" t="s">
        <v>4659</v>
      </c>
      <c r="Q64" s="16" t="s">
        <v>4834</v>
      </c>
      <c r="R64" s="16" t="s">
        <v>4834</v>
      </c>
      <c r="S64" s="16" t="s">
        <v>4905</v>
      </c>
      <c r="T64" s="16" t="s">
        <v>4905</v>
      </c>
      <c r="W64" s="16" t="s">
        <v>4833</v>
      </c>
      <c r="X64" s="16" t="s">
        <v>4963</v>
      </c>
      <c r="Y64" s="16" t="s">
        <v>4963</v>
      </c>
      <c r="Z64" s="16" t="s">
        <v>5122</v>
      </c>
      <c r="AD64" s="16" t="s">
        <v>5187</v>
      </c>
      <c r="AE64" s="16" t="s">
        <v>5187</v>
      </c>
      <c r="AF64" s="16" t="s">
        <v>5187</v>
      </c>
      <c r="AG64" s="16" t="s">
        <v>5187</v>
      </c>
      <c r="AH64" s="16" t="s">
        <v>5187</v>
      </c>
      <c r="AI64" s="16" t="s">
        <v>5187</v>
      </c>
      <c r="AJ64" s="16" t="s">
        <v>5187</v>
      </c>
      <c r="AK64" s="16" t="s">
        <v>4603</v>
      </c>
      <c r="AO64" s="16" t="s">
        <v>4628</v>
      </c>
      <c r="AP64" s="16" t="s">
        <v>4946</v>
      </c>
      <c r="AQ64" s="16" t="s">
        <v>4822</v>
      </c>
      <c r="AR64" s="16" t="s">
        <v>5014</v>
      </c>
      <c r="AS64" s="16" t="s">
        <v>5014</v>
      </c>
      <c r="AT64" s="16" t="s">
        <v>4652</v>
      </c>
    </row>
    <row r="65" spans="1:46" x14ac:dyDescent="0.25">
      <c r="A65" s="16" t="s">
        <v>4662</v>
      </c>
      <c r="E65" s="16" t="s">
        <v>4723</v>
      </c>
      <c r="F65" s="16" t="s">
        <v>4718</v>
      </c>
      <c r="G65" s="16" t="s">
        <v>4718</v>
      </c>
      <c r="H65" s="16" t="s">
        <v>4660</v>
      </c>
      <c r="Q65" s="16" t="s">
        <v>4602</v>
      </c>
      <c r="R65" s="16" t="s">
        <v>4602</v>
      </c>
      <c r="S65" s="16" t="s">
        <v>4906</v>
      </c>
      <c r="T65" s="16" t="s">
        <v>4906</v>
      </c>
      <c r="W65" s="16" t="s">
        <v>4834</v>
      </c>
      <c r="X65" s="16" t="s">
        <v>4954</v>
      </c>
      <c r="Y65" s="16" t="s">
        <v>4954</v>
      </c>
      <c r="Z65" s="16" t="s">
        <v>5123</v>
      </c>
      <c r="AD65" s="16" t="s">
        <v>5188</v>
      </c>
      <c r="AE65" s="16" t="s">
        <v>5188</v>
      </c>
      <c r="AF65" s="16" t="s">
        <v>5188</v>
      </c>
      <c r="AG65" s="16" t="s">
        <v>5188</v>
      </c>
      <c r="AH65" s="16" t="s">
        <v>5188</v>
      </c>
      <c r="AI65" s="16" t="s">
        <v>5188</v>
      </c>
      <c r="AJ65" s="16" t="s">
        <v>5188</v>
      </c>
      <c r="AK65" s="16" t="s">
        <v>4604</v>
      </c>
      <c r="AO65" s="16" t="s">
        <v>4629</v>
      </c>
      <c r="AP65" s="16" t="s">
        <v>4730</v>
      </c>
      <c r="AQ65" s="16" t="s">
        <v>4976</v>
      </c>
      <c r="AR65" s="16" t="s">
        <v>5015</v>
      </c>
      <c r="AS65" s="16" t="s">
        <v>5015</v>
      </c>
      <c r="AT65" s="16" t="s">
        <v>4653</v>
      </c>
    </row>
    <row r="66" spans="1:46" x14ac:dyDescent="0.25">
      <c r="A66" s="16" t="s">
        <v>4663</v>
      </c>
      <c r="E66" s="16" t="s">
        <v>4724</v>
      </c>
      <c r="F66" s="16" t="s">
        <v>4616</v>
      </c>
      <c r="G66" s="16" t="s">
        <v>4721</v>
      </c>
      <c r="H66" s="16" t="s">
        <v>4661</v>
      </c>
      <c r="Q66" s="16" t="s">
        <v>4603</v>
      </c>
      <c r="R66" s="16" t="s">
        <v>4603</v>
      </c>
      <c r="S66" s="16" t="s">
        <v>4907</v>
      </c>
      <c r="T66" s="16" t="s">
        <v>4907</v>
      </c>
      <c r="W66" s="16" t="s">
        <v>4602</v>
      </c>
      <c r="X66" s="16" t="s">
        <v>4989</v>
      </c>
      <c r="Y66" s="16" t="s">
        <v>4989</v>
      </c>
      <c r="Z66" s="16" t="s">
        <v>5124</v>
      </c>
      <c r="AD66" s="16" t="s">
        <v>5189</v>
      </c>
      <c r="AE66" s="16" t="s">
        <v>5189</v>
      </c>
      <c r="AF66" s="16" t="s">
        <v>5189</v>
      </c>
      <c r="AG66" s="16" t="s">
        <v>5189</v>
      </c>
      <c r="AH66" s="16" t="s">
        <v>5189</v>
      </c>
      <c r="AI66" s="16" t="s">
        <v>5189</v>
      </c>
      <c r="AJ66" s="16" t="s">
        <v>5189</v>
      </c>
      <c r="AK66" s="16" t="s">
        <v>4605</v>
      </c>
      <c r="AO66" s="16" t="s">
        <v>4630</v>
      </c>
      <c r="AP66" s="16" t="s">
        <v>4947</v>
      </c>
      <c r="AQ66" s="16" t="s">
        <v>4824</v>
      </c>
      <c r="AR66" s="16" t="s">
        <v>5016</v>
      </c>
      <c r="AS66" s="16" t="s">
        <v>5016</v>
      </c>
      <c r="AT66" s="16" t="s">
        <v>4654</v>
      </c>
    </row>
    <row r="67" spans="1:46" x14ac:dyDescent="0.25">
      <c r="A67" s="16" t="s">
        <v>4664</v>
      </c>
      <c r="E67" s="16" t="s">
        <v>4725</v>
      </c>
      <c r="F67" s="16" t="s">
        <v>4617</v>
      </c>
      <c r="G67" s="16" t="s">
        <v>4722</v>
      </c>
      <c r="H67" s="16" t="s">
        <v>4662</v>
      </c>
      <c r="Q67" s="16" t="s">
        <v>4604</v>
      </c>
      <c r="R67" s="16" t="s">
        <v>4799</v>
      </c>
      <c r="S67" s="16" t="s">
        <v>4908</v>
      </c>
      <c r="T67" s="16" t="s">
        <v>4908</v>
      </c>
      <c r="W67" s="16" t="s">
        <v>4603</v>
      </c>
      <c r="X67" s="16" t="s">
        <v>4990</v>
      </c>
      <c r="Y67" s="16" t="s">
        <v>4990</v>
      </c>
      <c r="Z67" s="16" t="s">
        <v>5125</v>
      </c>
      <c r="AD67" s="16" t="s">
        <v>5190</v>
      </c>
      <c r="AE67" s="16" t="s">
        <v>5190</v>
      </c>
      <c r="AF67" s="16" t="s">
        <v>5190</v>
      </c>
      <c r="AG67" s="16" t="s">
        <v>5190</v>
      </c>
      <c r="AH67" s="16" t="s">
        <v>5190</v>
      </c>
      <c r="AI67" s="16" t="s">
        <v>5190</v>
      </c>
      <c r="AJ67" s="16" t="s">
        <v>5190</v>
      </c>
      <c r="AK67" s="16" t="s">
        <v>4835</v>
      </c>
      <c r="AO67" s="16" t="s">
        <v>4631</v>
      </c>
      <c r="AP67" s="16" t="s">
        <v>4948</v>
      </c>
      <c r="AQ67" s="16" t="s">
        <v>4977</v>
      </c>
      <c r="AR67" s="16" t="s">
        <v>5017</v>
      </c>
      <c r="AS67" s="16" t="s">
        <v>5017</v>
      </c>
      <c r="AT67" s="16" t="s">
        <v>4655</v>
      </c>
    </row>
    <row r="68" spans="1:46" x14ac:dyDescent="0.25">
      <c r="A68" s="16" t="s">
        <v>4665</v>
      </c>
      <c r="E68" s="16" t="s">
        <v>4726</v>
      </c>
      <c r="F68" s="16" t="s">
        <v>4618</v>
      </c>
      <c r="G68" s="16" t="s">
        <v>4723</v>
      </c>
      <c r="H68" s="16" t="s">
        <v>4663</v>
      </c>
      <c r="Q68" s="16" t="s">
        <v>4605</v>
      </c>
      <c r="R68" s="16" t="s">
        <v>4801</v>
      </c>
      <c r="S68" s="16" t="s">
        <v>4909</v>
      </c>
      <c r="T68" s="16" t="s">
        <v>4909</v>
      </c>
      <c r="W68" s="16" t="s">
        <v>4799</v>
      </c>
      <c r="X68" s="16" t="s">
        <v>5037</v>
      </c>
      <c r="Y68" s="16" t="s">
        <v>5037</v>
      </c>
      <c r="Z68" s="16" t="s">
        <v>5126</v>
      </c>
      <c r="AD68" s="16" t="s">
        <v>5191</v>
      </c>
      <c r="AE68" s="16" t="s">
        <v>5191</v>
      </c>
      <c r="AF68" s="16" t="s">
        <v>5191</v>
      </c>
      <c r="AG68" s="16" t="s">
        <v>5191</v>
      </c>
      <c r="AH68" s="16" t="s">
        <v>5191</v>
      </c>
      <c r="AI68" s="16" t="s">
        <v>5191</v>
      </c>
      <c r="AJ68" s="16" t="s">
        <v>5191</v>
      </c>
      <c r="AK68" s="16" t="s">
        <v>4836</v>
      </c>
      <c r="AO68" s="16" t="s">
        <v>4632</v>
      </c>
      <c r="AP68" s="16" t="s">
        <v>4949</v>
      </c>
      <c r="AQ68" s="16" t="s">
        <v>4827</v>
      </c>
      <c r="AR68" s="16" t="s">
        <v>5018</v>
      </c>
      <c r="AS68" s="16" t="s">
        <v>5018</v>
      </c>
      <c r="AT68" s="16" t="s">
        <v>4642</v>
      </c>
    </row>
    <row r="69" spans="1:46" x14ac:dyDescent="0.25">
      <c r="A69" s="16" t="s">
        <v>4666</v>
      </c>
      <c r="E69" s="16" t="s">
        <v>4727</v>
      </c>
      <c r="F69" s="16" t="s">
        <v>4619</v>
      </c>
      <c r="G69" s="16" t="s">
        <v>4724</v>
      </c>
      <c r="H69" s="16" t="s">
        <v>4664</v>
      </c>
      <c r="Q69" s="16" t="s">
        <v>4835</v>
      </c>
      <c r="R69" s="16" t="s">
        <v>4802</v>
      </c>
      <c r="S69" s="16" t="s">
        <v>4910</v>
      </c>
      <c r="T69" s="16" t="s">
        <v>4910</v>
      </c>
      <c r="W69" s="16" t="s">
        <v>4801</v>
      </c>
      <c r="X69" s="16" t="s">
        <v>4994</v>
      </c>
      <c r="Y69" s="16" t="s">
        <v>4994</v>
      </c>
      <c r="Z69" s="16" t="s">
        <v>4917</v>
      </c>
      <c r="AD69" s="16" t="s">
        <v>4694</v>
      </c>
      <c r="AE69" s="16" t="s">
        <v>4694</v>
      </c>
      <c r="AF69" s="16" t="s">
        <v>4694</v>
      </c>
      <c r="AG69" s="16" t="s">
        <v>4694</v>
      </c>
      <c r="AH69" s="16" t="s">
        <v>4694</v>
      </c>
      <c r="AI69" s="16" t="s">
        <v>4694</v>
      </c>
      <c r="AJ69" s="16" t="s">
        <v>4694</v>
      </c>
      <c r="AK69" s="16" t="s">
        <v>4837</v>
      </c>
      <c r="AO69" s="16" t="s">
        <v>4633</v>
      </c>
      <c r="AP69" s="16" t="s">
        <v>4950</v>
      </c>
      <c r="AQ69" s="16" t="s">
        <v>4978</v>
      </c>
      <c r="AR69" s="16" t="s">
        <v>5019</v>
      </c>
      <c r="AS69" s="16" t="s">
        <v>5019</v>
      </c>
      <c r="AT69" s="16" t="s">
        <v>4643</v>
      </c>
    </row>
    <row r="70" spans="1:46" x14ac:dyDescent="0.25">
      <c r="A70" s="16" t="s">
        <v>4667</v>
      </c>
      <c r="E70" s="16" t="s">
        <v>4728</v>
      </c>
      <c r="F70" s="16" t="s">
        <v>4620</v>
      </c>
      <c r="G70" s="16" t="s">
        <v>4725</v>
      </c>
      <c r="H70" s="16" t="s">
        <v>4749</v>
      </c>
      <c r="Q70" s="16" t="s">
        <v>4836</v>
      </c>
      <c r="R70" s="16" t="s">
        <v>4803</v>
      </c>
      <c r="S70" s="16" t="s">
        <v>4911</v>
      </c>
      <c r="T70" s="16" t="s">
        <v>4911</v>
      </c>
      <c r="W70" s="16" t="s">
        <v>4802</v>
      </c>
      <c r="X70" s="16" t="s">
        <v>4995</v>
      </c>
      <c r="Y70" s="16" t="s">
        <v>4995</v>
      </c>
      <c r="Z70" s="16" t="s">
        <v>4918</v>
      </c>
      <c r="AD70" s="16" t="s">
        <v>5046</v>
      </c>
      <c r="AE70" s="16" t="s">
        <v>5046</v>
      </c>
      <c r="AF70" s="16" t="s">
        <v>5046</v>
      </c>
      <c r="AG70" s="16" t="s">
        <v>5046</v>
      </c>
      <c r="AH70" s="16" t="s">
        <v>5046</v>
      </c>
      <c r="AI70" s="16" t="s">
        <v>5046</v>
      </c>
      <c r="AJ70" s="16" t="s">
        <v>5046</v>
      </c>
      <c r="AK70" s="16" t="s">
        <v>4838</v>
      </c>
      <c r="AO70" s="16" t="s">
        <v>4634</v>
      </c>
      <c r="AP70" s="16" t="s">
        <v>4951</v>
      </c>
      <c r="AQ70" s="16" t="s">
        <v>4979</v>
      </c>
      <c r="AR70" s="16" t="s">
        <v>5020</v>
      </c>
      <c r="AS70" s="16" t="s">
        <v>5020</v>
      </c>
      <c r="AT70" s="16" t="s">
        <v>4644</v>
      </c>
    </row>
    <row r="71" spans="1:46" x14ac:dyDescent="0.25">
      <c r="A71" s="16" t="s">
        <v>4668</v>
      </c>
      <c r="E71" s="16" t="s">
        <v>4729</v>
      </c>
      <c r="F71" s="16" t="s">
        <v>4621</v>
      </c>
      <c r="G71" s="16" t="s">
        <v>4726</v>
      </c>
      <c r="H71" s="16" t="s">
        <v>4750</v>
      </c>
      <c r="Q71" s="16" t="s">
        <v>4837</v>
      </c>
      <c r="R71" s="16" t="s">
        <v>4804</v>
      </c>
      <c r="S71" s="16" t="s">
        <v>4912</v>
      </c>
      <c r="T71" s="16" t="s">
        <v>4912</v>
      </c>
      <c r="W71" s="16" t="s">
        <v>4803</v>
      </c>
      <c r="X71" s="16" t="s">
        <v>5038</v>
      </c>
      <c r="Y71" s="16" t="s">
        <v>5038</v>
      </c>
      <c r="Z71" s="16" t="s">
        <v>4919</v>
      </c>
      <c r="AD71" s="16" t="s">
        <v>5033</v>
      </c>
      <c r="AE71" s="16" t="s">
        <v>5033</v>
      </c>
      <c r="AF71" s="16" t="s">
        <v>5033</v>
      </c>
      <c r="AG71" s="16" t="s">
        <v>5033</v>
      </c>
      <c r="AH71" s="16" t="s">
        <v>5033</v>
      </c>
      <c r="AI71" s="16" t="s">
        <v>5033</v>
      </c>
      <c r="AJ71" s="16" t="s">
        <v>5033</v>
      </c>
      <c r="AK71" s="16" t="s">
        <v>4839</v>
      </c>
      <c r="AO71" s="16" t="s">
        <v>4635</v>
      </c>
      <c r="AP71" s="16" t="s">
        <v>4952</v>
      </c>
      <c r="AQ71" s="16" t="s">
        <v>4980</v>
      </c>
      <c r="AR71" s="16" t="s">
        <v>5021</v>
      </c>
      <c r="AS71" s="16" t="s">
        <v>5021</v>
      </c>
      <c r="AT71" s="16" t="s">
        <v>4645</v>
      </c>
    </row>
    <row r="72" spans="1:46" x14ac:dyDescent="0.25">
      <c r="A72" s="16" t="s">
        <v>4669</v>
      </c>
      <c r="E72" s="16" t="s">
        <v>4730</v>
      </c>
      <c r="F72" s="16" t="s">
        <v>4622</v>
      </c>
      <c r="G72" s="16" t="s">
        <v>4727</v>
      </c>
      <c r="H72" s="16" t="s">
        <v>4751</v>
      </c>
      <c r="Q72" s="16" t="s">
        <v>4838</v>
      </c>
      <c r="R72" s="16" t="s">
        <v>4847</v>
      </c>
      <c r="S72" s="16" t="s">
        <v>4913</v>
      </c>
      <c r="T72" s="16" t="s">
        <v>4913</v>
      </c>
      <c r="W72" s="16" t="s">
        <v>4804</v>
      </c>
      <c r="X72" s="16" t="s">
        <v>5039</v>
      </c>
      <c r="Y72" s="16" t="s">
        <v>5039</v>
      </c>
      <c r="Z72" s="16" t="s">
        <v>4936</v>
      </c>
      <c r="AD72" s="16" t="s">
        <v>5192</v>
      </c>
      <c r="AE72" s="16" t="s">
        <v>5192</v>
      </c>
      <c r="AF72" s="16" t="s">
        <v>5192</v>
      </c>
      <c r="AG72" s="16" t="s">
        <v>5192</v>
      </c>
      <c r="AH72" s="16" t="s">
        <v>5192</v>
      </c>
      <c r="AI72" s="16" t="s">
        <v>5192</v>
      </c>
      <c r="AJ72" s="16" t="s">
        <v>5192</v>
      </c>
      <c r="AK72" s="16" t="s">
        <v>4840</v>
      </c>
      <c r="AO72" s="16" t="s">
        <v>4636</v>
      </c>
      <c r="AP72" s="16" t="s">
        <v>4953</v>
      </c>
      <c r="AQ72" s="16" t="s">
        <v>4981</v>
      </c>
      <c r="AR72" s="16" t="s">
        <v>5022</v>
      </c>
      <c r="AS72" s="16" t="s">
        <v>5022</v>
      </c>
      <c r="AT72" s="16" t="s">
        <v>4646</v>
      </c>
    </row>
    <row r="73" spans="1:46" x14ac:dyDescent="0.25">
      <c r="A73" s="16" t="s">
        <v>4670</v>
      </c>
      <c r="E73" s="16" t="s">
        <v>4731</v>
      </c>
      <c r="F73" s="16" t="s">
        <v>4623</v>
      </c>
      <c r="G73" s="16" t="s">
        <v>4728</v>
      </c>
      <c r="H73" s="16" t="s">
        <v>4752</v>
      </c>
      <c r="Q73" s="16" t="s">
        <v>4839</v>
      </c>
      <c r="R73" s="16" t="s">
        <v>4848</v>
      </c>
      <c r="S73" s="16" t="s">
        <v>4914</v>
      </c>
      <c r="T73" s="16" t="s">
        <v>4914</v>
      </c>
      <c r="W73" s="16" t="s">
        <v>4805</v>
      </c>
      <c r="X73" s="16" t="s">
        <v>5040</v>
      </c>
      <c r="Y73" s="16" t="s">
        <v>5040</v>
      </c>
      <c r="Z73" s="16" t="s">
        <v>4996</v>
      </c>
      <c r="AD73" s="16" t="s">
        <v>4817</v>
      </c>
      <c r="AE73" s="16" t="s">
        <v>4817</v>
      </c>
      <c r="AF73" s="16" t="s">
        <v>4817</v>
      </c>
      <c r="AG73" s="16" t="s">
        <v>4817</v>
      </c>
      <c r="AH73" s="16" t="s">
        <v>4817</v>
      </c>
      <c r="AI73" s="16" t="s">
        <v>4817</v>
      </c>
      <c r="AJ73" s="16" t="s">
        <v>4817</v>
      </c>
      <c r="AK73" s="16" t="s">
        <v>4841</v>
      </c>
      <c r="AO73" s="16" t="s">
        <v>4637</v>
      </c>
      <c r="AP73" s="16" t="s">
        <v>4954</v>
      </c>
      <c r="AQ73" s="16" t="s">
        <v>4982</v>
      </c>
      <c r="AR73" s="16" t="s">
        <v>5023</v>
      </c>
      <c r="AS73" s="16" t="s">
        <v>5023</v>
      </c>
      <c r="AT73" s="16" t="s">
        <v>4647</v>
      </c>
    </row>
    <row r="74" spans="1:46" x14ac:dyDescent="0.25">
      <c r="A74" s="16" t="s">
        <v>4671</v>
      </c>
      <c r="E74" s="16" t="s">
        <v>4703</v>
      </c>
      <c r="F74" s="16" t="s">
        <v>4624</v>
      </c>
      <c r="G74" s="16" t="s">
        <v>4729</v>
      </c>
      <c r="H74" s="16" t="s">
        <v>4753</v>
      </c>
      <c r="Q74" s="16" t="s">
        <v>4840</v>
      </c>
      <c r="R74" s="16" t="s">
        <v>4849</v>
      </c>
      <c r="S74" s="16" t="s">
        <v>4915</v>
      </c>
      <c r="T74" s="16" t="s">
        <v>4915</v>
      </c>
      <c r="W74" s="16" t="s">
        <v>4806</v>
      </c>
      <c r="X74" s="16" t="s">
        <v>5041</v>
      </c>
      <c r="Y74" s="16" t="s">
        <v>5041</v>
      </c>
      <c r="Z74" s="16" t="s">
        <v>4997</v>
      </c>
      <c r="AD74" s="16" t="s">
        <v>4812</v>
      </c>
      <c r="AE74" s="16" t="s">
        <v>4812</v>
      </c>
      <c r="AF74" s="16" t="s">
        <v>4812</v>
      </c>
      <c r="AG74" s="16" t="s">
        <v>4812</v>
      </c>
      <c r="AH74" s="16" t="s">
        <v>4812</v>
      </c>
      <c r="AI74" s="16" t="s">
        <v>4812</v>
      </c>
      <c r="AJ74" s="16" t="s">
        <v>4812</v>
      </c>
      <c r="AK74" s="16" t="s">
        <v>4842</v>
      </c>
      <c r="AO74" s="16" t="s">
        <v>4638</v>
      </c>
      <c r="AP74" s="16" t="s">
        <v>4955</v>
      </c>
      <c r="AQ74" s="16" t="s">
        <v>4983</v>
      </c>
      <c r="AR74" s="16" t="s">
        <v>5024</v>
      </c>
      <c r="AS74" s="16" t="s">
        <v>5024</v>
      </c>
      <c r="AT74" s="16" t="s">
        <v>4648</v>
      </c>
    </row>
    <row r="75" spans="1:46" x14ac:dyDescent="0.25">
      <c r="E75" s="16" t="s">
        <v>4732</v>
      </c>
      <c r="F75" s="16" t="s">
        <v>4625</v>
      </c>
      <c r="G75" s="16" t="s">
        <v>4730</v>
      </c>
      <c r="H75" s="16" t="s">
        <v>4754</v>
      </c>
      <c r="Q75" s="16" t="s">
        <v>4841</v>
      </c>
      <c r="R75" s="16" t="s">
        <v>4850</v>
      </c>
      <c r="S75" s="16" t="s">
        <v>4916</v>
      </c>
      <c r="T75" s="16" t="s">
        <v>4916</v>
      </c>
      <c r="W75" s="16" t="s">
        <v>4714</v>
      </c>
      <c r="X75" s="16" t="s">
        <v>5042</v>
      </c>
      <c r="Y75" s="16" t="s">
        <v>5042</v>
      </c>
      <c r="Z75" s="16" t="s">
        <v>4998</v>
      </c>
      <c r="AD75" s="16" t="s">
        <v>4813</v>
      </c>
      <c r="AE75" s="16" t="s">
        <v>4813</v>
      </c>
      <c r="AF75" s="16" t="s">
        <v>4813</v>
      </c>
      <c r="AG75" s="16" t="s">
        <v>4813</v>
      </c>
      <c r="AH75" s="16" t="s">
        <v>4813</v>
      </c>
      <c r="AI75" s="16" t="s">
        <v>4813</v>
      </c>
      <c r="AJ75" s="16" t="s">
        <v>4813</v>
      </c>
      <c r="AK75" s="16" t="s">
        <v>4843</v>
      </c>
      <c r="AO75" s="16" t="s">
        <v>4639</v>
      </c>
      <c r="AP75" s="16" t="s">
        <v>4956</v>
      </c>
      <c r="AQ75" s="16" t="s">
        <v>4984</v>
      </c>
      <c r="AR75" s="16" t="s">
        <v>5025</v>
      </c>
      <c r="AS75" s="16" t="s">
        <v>5025</v>
      </c>
      <c r="AT75" s="16" t="s">
        <v>4649</v>
      </c>
    </row>
    <row r="76" spans="1:46" x14ac:dyDescent="0.25">
      <c r="E76" s="16" t="s">
        <v>4733</v>
      </c>
      <c r="F76" s="16" t="s">
        <v>4626</v>
      </c>
      <c r="G76" s="16" t="s">
        <v>4731</v>
      </c>
      <c r="H76" s="16" t="s">
        <v>4755</v>
      </c>
      <c r="Q76" s="16" t="s">
        <v>4842</v>
      </c>
      <c r="R76" s="16" t="s">
        <v>4851</v>
      </c>
      <c r="S76" s="16" t="s">
        <v>4917</v>
      </c>
      <c r="T76" s="16" t="s">
        <v>4917</v>
      </c>
      <c r="W76" s="16" t="s">
        <v>4715</v>
      </c>
      <c r="X76" s="16" t="s">
        <v>4704</v>
      </c>
      <c r="Y76" s="16" t="s">
        <v>4704</v>
      </c>
      <c r="Z76" s="16" t="s">
        <v>4999</v>
      </c>
      <c r="AD76" s="16" t="s">
        <v>4814</v>
      </c>
      <c r="AE76" s="16" t="s">
        <v>4814</v>
      </c>
      <c r="AF76" s="16" t="s">
        <v>4814</v>
      </c>
      <c r="AG76" s="16" t="s">
        <v>4814</v>
      </c>
      <c r="AH76" s="16" t="s">
        <v>4814</v>
      </c>
      <c r="AI76" s="16" t="s">
        <v>4814</v>
      </c>
      <c r="AJ76" s="16" t="s">
        <v>4814</v>
      </c>
      <c r="AK76" s="16" t="s">
        <v>4844</v>
      </c>
      <c r="AO76" s="16" t="s">
        <v>4640</v>
      </c>
      <c r="AP76" s="16" t="s">
        <v>4957</v>
      </c>
      <c r="AQ76" s="16" t="s">
        <v>4985</v>
      </c>
      <c r="AR76" s="16" t="s">
        <v>5026</v>
      </c>
      <c r="AS76" s="16" t="s">
        <v>5026</v>
      </c>
      <c r="AT76" s="16" t="s">
        <v>4650</v>
      </c>
    </row>
    <row r="77" spans="1:46" x14ac:dyDescent="0.25">
      <c r="E77" s="16" t="s">
        <v>4734</v>
      </c>
      <c r="F77" s="16" t="s">
        <v>4707</v>
      </c>
      <c r="G77" s="16" t="s">
        <v>4703</v>
      </c>
      <c r="H77" s="16" t="s">
        <v>4756</v>
      </c>
      <c r="Q77" s="16" t="s">
        <v>4843</v>
      </c>
      <c r="R77" s="16" t="s">
        <v>4852</v>
      </c>
      <c r="S77" s="16" t="s">
        <v>4918</v>
      </c>
      <c r="T77" s="16" t="s">
        <v>4918</v>
      </c>
      <c r="W77" s="16" t="s">
        <v>4716</v>
      </c>
      <c r="X77" s="16" t="s">
        <v>4705</v>
      </c>
      <c r="Y77" s="16" t="s">
        <v>4705</v>
      </c>
      <c r="Z77" s="16" t="s">
        <v>5000</v>
      </c>
      <c r="AD77" s="16" t="s">
        <v>4815</v>
      </c>
      <c r="AE77" s="16" t="s">
        <v>4815</v>
      </c>
      <c r="AF77" s="16" t="s">
        <v>4815</v>
      </c>
      <c r="AG77" s="16" t="s">
        <v>4815</v>
      </c>
      <c r="AH77" s="16" t="s">
        <v>4815</v>
      </c>
      <c r="AI77" s="16" t="s">
        <v>4815</v>
      </c>
      <c r="AJ77" s="16" t="s">
        <v>4815</v>
      </c>
      <c r="AK77" s="16" t="s">
        <v>4845</v>
      </c>
      <c r="AO77" s="16" t="s">
        <v>4821</v>
      </c>
      <c r="AP77" s="16" t="s">
        <v>4958</v>
      </c>
      <c r="AQ77" s="16" t="s">
        <v>4986</v>
      </c>
      <c r="AR77" s="16" t="s">
        <v>5027</v>
      </c>
      <c r="AS77" s="16" t="s">
        <v>5027</v>
      </c>
      <c r="AT77" s="16" t="s">
        <v>4651</v>
      </c>
    </row>
    <row r="78" spans="1:46" x14ac:dyDescent="0.25">
      <c r="E78" s="16" t="s">
        <v>4735</v>
      </c>
      <c r="F78" s="16" t="s">
        <v>4708</v>
      </c>
      <c r="G78" s="16" t="s">
        <v>4732</v>
      </c>
      <c r="H78" s="16" t="s">
        <v>4757</v>
      </c>
      <c r="Q78" s="16" t="s">
        <v>4844</v>
      </c>
      <c r="R78" s="16" t="s">
        <v>4853</v>
      </c>
      <c r="S78" s="16" t="s">
        <v>4919</v>
      </c>
      <c r="T78" s="16" t="s">
        <v>4919</v>
      </c>
      <c r="W78" s="16" t="s">
        <v>4720</v>
      </c>
      <c r="X78" s="16" t="s">
        <v>4706</v>
      </c>
      <c r="Y78" s="16" t="s">
        <v>4706</v>
      </c>
      <c r="Z78" s="16" t="s">
        <v>5001</v>
      </c>
      <c r="AD78" s="16" t="s">
        <v>4816</v>
      </c>
      <c r="AE78" s="16" t="s">
        <v>4816</v>
      </c>
      <c r="AF78" s="16" t="s">
        <v>4816</v>
      </c>
      <c r="AG78" s="16" t="s">
        <v>4816</v>
      </c>
      <c r="AH78" s="16" t="s">
        <v>4816</v>
      </c>
      <c r="AI78" s="16" t="s">
        <v>4816</v>
      </c>
      <c r="AJ78" s="16" t="s">
        <v>4685</v>
      </c>
      <c r="AK78" s="16" t="s">
        <v>4846</v>
      </c>
      <c r="AO78" s="16" t="s">
        <v>4822</v>
      </c>
      <c r="AP78" s="16" t="s">
        <v>4959</v>
      </c>
      <c r="AQ78" s="16" t="s">
        <v>4987</v>
      </c>
      <c r="AR78" s="16" t="s">
        <v>5028</v>
      </c>
      <c r="AS78" s="16" t="s">
        <v>5028</v>
      </c>
      <c r="AT78" s="16" t="s">
        <v>4652</v>
      </c>
    </row>
    <row r="79" spans="1:46" x14ac:dyDescent="0.25">
      <c r="E79" s="16" t="s">
        <v>4736</v>
      </c>
      <c r="F79" s="16" t="s">
        <v>4719</v>
      </c>
      <c r="G79" s="16" t="s">
        <v>4733</v>
      </c>
      <c r="H79" s="16" t="s">
        <v>4758</v>
      </c>
      <c r="Q79" s="16" t="s">
        <v>4845</v>
      </c>
      <c r="R79" s="16" t="s">
        <v>4854</v>
      </c>
      <c r="S79" s="16" t="s">
        <v>4920</v>
      </c>
      <c r="T79" s="16" t="s">
        <v>4920</v>
      </c>
      <c r="W79" s="16" t="s">
        <v>4718</v>
      </c>
      <c r="X79" s="16" t="s">
        <v>4684</v>
      </c>
      <c r="Y79" s="16" t="s">
        <v>4684</v>
      </c>
      <c r="Z79" s="16" t="s">
        <v>5002</v>
      </c>
      <c r="AD79" s="16" t="s">
        <v>5193</v>
      </c>
      <c r="AE79" s="16" t="s">
        <v>5194</v>
      </c>
      <c r="AF79" s="16" t="s">
        <v>5194</v>
      </c>
      <c r="AG79" s="16" t="s">
        <v>5194</v>
      </c>
      <c r="AH79" s="16" t="s">
        <v>5194</v>
      </c>
      <c r="AI79" s="16" t="s">
        <v>5194</v>
      </c>
      <c r="AJ79" s="16" t="s">
        <v>4686</v>
      </c>
      <c r="AO79" s="16" t="s">
        <v>4823</v>
      </c>
      <c r="AP79" s="16" t="s">
        <v>4960</v>
      </c>
      <c r="AQ79" s="16" t="s">
        <v>4676</v>
      </c>
      <c r="AR79" s="16" t="s">
        <v>5029</v>
      </c>
      <c r="AS79" s="16" t="s">
        <v>5029</v>
      </c>
      <c r="AT79" s="16" t="s">
        <v>4653</v>
      </c>
    </row>
    <row r="80" spans="1:46" x14ac:dyDescent="0.25">
      <c r="E80" s="16" t="s">
        <v>4737</v>
      </c>
      <c r="F80" s="16" t="s">
        <v>4712</v>
      </c>
      <c r="G80" s="16" t="s">
        <v>4734</v>
      </c>
      <c r="H80" s="16" t="s">
        <v>4759</v>
      </c>
      <c r="Q80" s="16" t="s">
        <v>4846</v>
      </c>
      <c r="R80" s="16" t="s">
        <v>4855</v>
      </c>
      <c r="S80" s="16" t="s">
        <v>4921</v>
      </c>
      <c r="T80" s="16" t="s">
        <v>4921</v>
      </c>
      <c r="W80" s="16" t="s">
        <v>4721</v>
      </c>
      <c r="X80" s="16" t="s">
        <v>4685</v>
      </c>
      <c r="Y80" s="16" t="s">
        <v>4685</v>
      </c>
      <c r="Z80" s="16" t="s">
        <v>5003</v>
      </c>
      <c r="AD80" s="16" t="s">
        <v>4737</v>
      </c>
      <c r="AE80" s="16" t="s">
        <v>5195</v>
      </c>
      <c r="AF80" s="16" t="s">
        <v>5195</v>
      </c>
      <c r="AG80" s="16" t="s">
        <v>5195</v>
      </c>
      <c r="AH80" s="16" t="s">
        <v>5195</v>
      </c>
      <c r="AI80" s="16" t="s">
        <v>5195</v>
      </c>
      <c r="AJ80" s="16" t="s">
        <v>4687</v>
      </c>
      <c r="AO80" s="16" t="s">
        <v>4824</v>
      </c>
      <c r="AP80" s="16" t="s">
        <v>4961</v>
      </c>
      <c r="AQ80" s="16" t="s">
        <v>4677</v>
      </c>
      <c r="AR80" s="16" t="s">
        <v>4746</v>
      </c>
      <c r="AS80" s="16" t="s">
        <v>4746</v>
      </c>
      <c r="AT80" s="16" t="s">
        <v>4654</v>
      </c>
    </row>
    <row r="81" spans="5:46" x14ac:dyDescent="0.25">
      <c r="E81" s="16" t="s">
        <v>4687</v>
      </c>
      <c r="F81" s="16" t="s">
        <v>4713</v>
      </c>
      <c r="G81" s="16" t="s">
        <v>4735</v>
      </c>
      <c r="H81" s="16" t="s">
        <v>4760</v>
      </c>
      <c r="R81" s="16" t="s">
        <v>4797</v>
      </c>
      <c r="S81" s="16" t="s">
        <v>4922</v>
      </c>
      <c r="T81" s="16" t="s">
        <v>4922</v>
      </c>
      <c r="W81" s="16" t="s">
        <v>4722</v>
      </c>
      <c r="X81" s="16" t="s">
        <v>4686</v>
      </c>
      <c r="Y81" s="16" t="s">
        <v>4686</v>
      </c>
      <c r="Z81" s="16" t="s">
        <v>5004</v>
      </c>
      <c r="AD81" s="16" t="s">
        <v>4687</v>
      </c>
      <c r="AE81" s="16" t="s">
        <v>4818</v>
      </c>
      <c r="AF81" s="16" t="s">
        <v>4818</v>
      </c>
      <c r="AG81" s="16" t="s">
        <v>4818</v>
      </c>
      <c r="AH81" s="16" t="s">
        <v>4681</v>
      </c>
      <c r="AI81" s="16" t="s">
        <v>4681</v>
      </c>
      <c r="AJ81" s="16" t="s">
        <v>4688</v>
      </c>
      <c r="AO81" s="16" t="s">
        <v>4825</v>
      </c>
      <c r="AP81" s="16" t="s">
        <v>4832</v>
      </c>
      <c r="AQ81" s="16" t="s">
        <v>4699</v>
      </c>
      <c r="AR81" s="16" t="s">
        <v>5030</v>
      </c>
      <c r="AS81" s="16" t="s">
        <v>5030</v>
      </c>
      <c r="AT81" s="16" t="s">
        <v>4655</v>
      </c>
    </row>
    <row r="82" spans="5:46" x14ac:dyDescent="0.25">
      <c r="E82" s="16" t="s">
        <v>4688</v>
      </c>
      <c r="F82" s="16" t="s">
        <v>4633</v>
      </c>
      <c r="G82" s="16" t="s">
        <v>4736</v>
      </c>
      <c r="H82" s="16" t="s">
        <v>4761</v>
      </c>
      <c r="R82" s="16" t="s">
        <v>4798</v>
      </c>
      <c r="S82" s="16" t="s">
        <v>4923</v>
      </c>
      <c r="T82" s="16" t="s">
        <v>4923</v>
      </c>
      <c r="W82" s="16" t="s">
        <v>4723</v>
      </c>
      <c r="X82" s="16" t="s">
        <v>4687</v>
      </c>
      <c r="Y82" s="16" t="s">
        <v>4687</v>
      </c>
      <c r="Z82" s="16" t="s">
        <v>5005</v>
      </c>
      <c r="AD82" s="16" t="s">
        <v>4688</v>
      </c>
      <c r="AE82" s="16" t="s">
        <v>5196</v>
      </c>
      <c r="AF82" s="16" t="s">
        <v>5196</v>
      </c>
      <c r="AG82" s="16" t="s">
        <v>5196</v>
      </c>
      <c r="AH82" s="16" t="s">
        <v>4682</v>
      </c>
      <c r="AI82" s="16" t="s">
        <v>4682</v>
      </c>
      <c r="AJ82" s="16" t="s">
        <v>4689</v>
      </c>
      <c r="AO82" s="16" t="s">
        <v>4826</v>
      </c>
      <c r="AP82" s="16" t="s">
        <v>4833</v>
      </c>
      <c r="AQ82" s="16" t="s">
        <v>4700</v>
      </c>
      <c r="AR82" s="16" t="s">
        <v>5031</v>
      </c>
      <c r="AS82" s="16" t="s">
        <v>5031</v>
      </c>
      <c r="AT82" s="16" t="s">
        <v>4642</v>
      </c>
    </row>
    <row r="83" spans="5:46" x14ac:dyDescent="0.25">
      <c r="E83" s="16" t="s">
        <v>4689</v>
      </c>
      <c r="F83" s="16" t="s">
        <v>4634</v>
      </c>
      <c r="G83" s="16" t="s">
        <v>4737</v>
      </c>
      <c r="H83" s="16" t="s">
        <v>4762</v>
      </c>
      <c r="S83" s="16" t="s">
        <v>4924</v>
      </c>
      <c r="T83" s="16" t="s">
        <v>4924</v>
      </c>
      <c r="W83" s="16" t="s">
        <v>4724</v>
      </c>
      <c r="X83" s="16" t="s">
        <v>4688</v>
      </c>
      <c r="Y83" s="16" t="s">
        <v>4688</v>
      </c>
      <c r="Z83" s="16" t="s">
        <v>5006</v>
      </c>
      <c r="AD83" s="16" t="s">
        <v>4689</v>
      </c>
      <c r="AE83" s="16" t="s">
        <v>5197</v>
      </c>
      <c r="AF83" s="16" t="s">
        <v>5197</v>
      </c>
      <c r="AG83" s="16" t="s">
        <v>5197</v>
      </c>
      <c r="AH83" s="16" t="s">
        <v>4680</v>
      </c>
      <c r="AI83" s="16" t="s">
        <v>4697</v>
      </c>
      <c r="AJ83" s="16" t="s">
        <v>5206</v>
      </c>
      <c r="AO83" s="16" t="s">
        <v>4827</v>
      </c>
      <c r="AP83" s="16" t="s">
        <v>4834</v>
      </c>
      <c r="AQ83" s="16" t="s">
        <v>4701</v>
      </c>
      <c r="AR83" s="16" t="s">
        <v>5032</v>
      </c>
      <c r="AS83" s="16" t="s">
        <v>5032</v>
      </c>
      <c r="AT83" s="16" t="s">
        <v>4935</v>
      </c>
    </row>
    <row r="84" spans="5:46" x14ac:dyDescent="0.25">
      <c r="E84" s="16" t="s">
        <v>4690</v>
      </c>
      <c r="F84" s="16" t="s">
        <v>4635</v>
      </c>
      <c r="G84" s="16" t="s">
        <v>4687</v>
      </c>
      <c r="H84" s="16" t="s">
        <v>4763</v>
      </c>
      <c r="S84" s="16" t="s">
        <v>4925</v>
      </c>
      <c r="T84" s="16" t="s">
        <v>4925</v>
      </c>
      <c r="W84" s="16" t="s">
        <v>4725</v>
      </c>
      <c r="X84" s="16" t="s">
        <v>4689</v>
      </c>
      <c r="Y84" s="16" t="s">
        <v>4689</v>
      </c>
      <c r="Z84" s="16" t="s">
        <v>5007</v>
      </c>
      <c r="AD84" s="16" t="s">
        <v>4690</v>
      </c>
      <c r="AE84" s="16" t="s">
        <v>4710</v>
      </c>
      <c r="AF84" s="16" t="s">
        <v>4710</v>
      </c>
      <c r="AG84" s="16" t="s">
        <v>4710</v>
      </c>
      <c r="AH84" s="16" t="s">
        <v>4683</v>
      </c>
      <c r="AI84" s="16" t="s">
        <v>4698</v>
      </c>
      <c r="AJ84" s="16" t="s">
        <v>4692</v>
      </c>
      <c r="AO84" s="16" t="s">
        <v>4828</v>
      </c>
      <c r="AP84" s="16" t="s">
        <v>4602</v>
      </c>
      <c r="AQ84" s="16" t="s">
        <v>4702</v>
      </c>
      <c r="AR84" s="16" t="s">
        <v>4612</v>
      </c>
      <c r="AS84" s="16" t="s">
        <v>4612</v>
      </c>
      <c r="AT84" s="16" t="s">
        <v>4657</v>
      </c>
    </row>
    <row r="85" spans="5:46" x14ac:dyDescent="0.25">
      <c r="E85" s="16" t="s">
        <v>4691</v>
      </c>
      <c r="F85" s="16" t="s">
        <v>4636</v>
      </c>
      <c r="G85" s="16" t="s">
        <v>4688</v>
      </c>
      <c r="H85" s="16" t="s">
        <v>4764</v>
      </c>
      <c r="S85" s="16" t="s">
        <v>4926</v>
      </c>
      <c r="T85" s="16" t="s">
        <v>4926</v>
      </c>
      <c r="W85" s="16" t="s">
        <v>4726</v>
      </c>
      <c r="X85" s="16" t="s">
        <v>4690</v>
      </c>
      <c r="Y85" s="16" t="s">
        <v>4690</v>
      </c>
      <c r="Z85" s="16" t="s">
        <v>5008</v>
      </c>
      <c r="AD85" s="16" t="s">
        <v>4691</v>
      </c>
      <c r="AE85" s="16" t="s">
        <v>4946</v>
      </c>
      <c r="AF85" s="16" t="s">
        <v>4946</v>
      </c>
      <c r="AG85" s="16" t="s">
        <v>4946</v>
      </c>
      <c r="AH85" s="16" t="s">
        <v>4684</v>
      </c>
      <c r="AI85" s="16" t="s">
        <v>4699</v>
      </c>
      <c r="AJ85" s="16" t="s">
        <v>4693</v>
      </c>
      <c r="AO85" s="16" t="s">
        <v>4829</v>
      </c>
      <c r="AP85" s="16" t="s">
        <v>4603</v>
      </c>
      <c r="AQ85" s="16" t="s">
        <v>4988</v>
      </c>
      <c r="AR85" s="16" t="s">
        <v>4613</v>
      </c>
      <c r="AS85" s="16" t="s">
        <v>4613</v>
      </c>
      <c r="AT85" s="16" t="s">
        <v>4658</v>
      </c>
    </row>
    <row r="86" spans="5:46" x14ac:dyDescent="0.25">
      <c r="E86" s="16" t="s">
        <v>4692</v>
      </c>
      <c r="F86" s="16" t="s">
        <v>4637</v>
      </c>
      <c r="G86" s="16" t="s">
        <v>4689</v>
      </c>
      <c r="H86" s="16" t="s">
        <v>4765</v>
      </c>
      <c r="S86" s="16" t="s">
        <v>4927</v>
      </c>
      <c r="T86" s="16" t="s">
        <v>4927</v>
      </c>
      <c r="W86" s="16" t="s">
        <v>4727</v>
      </c>
      <c r="X86" s="16" t="s">
        <v>4691</v>
      </c>
      <c r="Y86" s="16" t="s">
        <v>4691</v>
      </c>
      <c r="Z86" s="16" t="s">
        <v>5009</v>
      </c>
      <c r="AD86" s="16" t="s">
        <v>4692</v>
      </c>
      <c r="AE86" s="16" t="s">
        <v>5198</v>
      </c>
      <c r="AF86" s="16" t="s">
        <v>5198</v>
      </c>
      <c r="AG86" s="16" t="s">
        <v>5198</v>
      </c>
      <c r="AH86" s="16" t="s">
        <v>4685</v>
      </c>
      <c r="AI86" s="16" t="s">
        <v>4700</v>
      </c>
      <c r="AJ86" s="16" t="s">
        <v>4694</v>
      </c>
      <c r="AO86" s="16" t="s">
        <v>4830</v>
      </c>
      <c r="AP86" s="16" t="s">
        <v>4604</v>
      </c>
      <c r="AQ86" s="16" t="s">
        <v>4947</v>
      </c>
      <c r="AR86" s="16" t="s">
        <v>4672</v>
      </c>
      <c r="AS86" s="16" t="s">
        <v>4672</v>
      </c>
      <c r="AT86" s="16" t="s">
        <v>4659</v>
      </c>
    </row>
    <row r="87" spans="5:46" x14ac:dyDescent="0.25">
      <c r="E87" s="16" t="s">
        <v>4693</v>
      </c>
      <c r="F87" s="16" t="s">
        <v>4638</v>
      </c>
      <c r="G87" s="16" t="s">
        <v>4690</v>
      </c>
      <c r="H87" s="16" t="s">
        <v>4766</v>
      </c>
      <c r="S87" s="16" t="s">
        <v>4928</v>
      </c>
      <c r="T87" s="16" t="s">
        <v>4928</v>
      </c>
      <c r="W87" s="16" t="s">
        <v>4728</v>
      </c>
      <c r="X87" s="16" t="s">
        <v>4692</v>
      </c>
      <c r="Y87" s="16" t="s">
        <v>4692</v>
      </c>
      <c r="Z87" s="16" t="s">
        <v>5010</v>
      </c>
      <c r="AD87" s="16" t="s">
        <v>4693</v>
      </c>
      <c r="AE87" s="16" t="s">
        <v>5199</v>
      </c>
      <c r="AF87" s="16" t="s">
        <v>5199</v>
      </c>
      <c r="AG87" s="16" t="s">
        <v>5199</v>
      </c>
      <c r="AH87" s="16" t="s">
        <v>4686</v>
      </c>
      <c r="AI87" s="16" t="s">
        <v>4701</v>
      </c>
      <c r="AJ87" s="16" t="s">
        <v>4695</v>
      </c>
      <c r="AO87" s="16" t="s">
        <v>4831</v>
      </c>
      <c r="AP87" s="16" t="s">
        <v>4605</v>
      </c>
      <c r="AQ87" s="16" t="s">
        <v>4962</v>
      </c>
      <c r="AR87" s="16" t="s">
        <v>4673</v>
      </c>
      <c r="AS87" s="16" t="s">
        <v>4673</v>
      </c>
      <c r="AT87" s="16" t="s">
        <v>4660</v>
      </c>
    </row>
    <row r="88" spans="5:46" x14ac:dyDescent="0.25">
      <c r="E88" s="16" t="s">
        <v>4694</v>
      </c>
      <c r="F88" s="16" t="s">
        <v>4714</v>
      </c>
      <c r="G88" s="16" t="s">
        <v>4691</v>
      </c>
      <c r="H88" s="16" t="s">
        <v>4669</v>
      </c>
      <c r="S88" s="16" t="s">
        <v>4929</v>
      </c>
      <c r="T88" s="16" t="s">
        <v>4929</v>
      </c>
      <c r="W88" s="16" t="s">
        <v>4729</v>
      </c>
      <c r="X88" s="16" t="s">
        <v>4693</v>
      </c>
      <c r="Y88" s="16" t="s">
        <v>5043</v>
      </c>
      <c r="Z88" s="16" t="s">
        <v>5011</v>
      </c>
      <c r="AD88" s="16" t="s">
        <v>4694</v>
      </c>
      <c r="AE88" s="16" t="s">
        <v>5200</v>
      </c>
      <c r="AF88" s="16" t="s">
        <v>5200</v>
      </c>
      <c r="AG88" s="16" t="s">
        <v>5200</v>
      </c>
      <c r="AH88" s="16" t="s">
        <v>4687</v>
      </c>
      <c r="AI88" s="16" t="s">
        <v>4702</v>
      </c>
      <c r="AJ88" s="16" t="s">
        <v>4696</v>
      </c>
      <c r="AO88" s="16" t="s">
        <v>4832</v>
      </c>
      <c r="AP88" s="16" t="s">
        <v>4835</v>
      </c>
      <c r="AQ88" s="16" t="s">
        <v>4963</v>
      </c>
      <c r="AR88" s="16" t="s">
        <v>4674</v>
      </c>
      <c r="AS88" s="16" t="s">
        <v>4674</v>
      </c>
      <c r="AT88" s="16" t="s">
        <v>4661</v>
      </c>
    </row>
    <row r="89" spans="5:46" x14ac:dyDescent="0.25">
      <c r="E89" s="16" t="s">
        <v>4695</v>
      </c>
      <c r="F89" s="16" t="s">
        <v>4715</v>
      </c>
      <c r="G89" s="16" t="s">
        <v>4692</v>
      </c>
      <c r="H89" s="16" t="s">
        <v>4670</v>
      </c>
      <c r="S89" s="16" t="s">
        <v>4930</v>
      </c>
      <c r="T89" s="16" t="s">
        <v>4930</v>
      </c>
      <c r="W89" s="16" t="s">
        <v>4730</v>
      </c>
      <c r="X89" s="16" t="s">
        <v>4694</v>
      </c>
      <c r="Y89" s="16" t="s">
        <v>5044</v>
      </c>
      <c r="Z89" s="16" t="s">
        <v>5012</v>
      </c>
      <c r="AD89" s="16" t="s">
        <v>4695</v>
      </c>
      <c r="AE89" s="16" t="s">
        <v>5201</v>
      </c>
      <c r="AF89" s="16" t="s">
        <v>5201</v>
      </c>
      <c r="AG89" s="16" t="s">
        <v>5201</v>
      </c>
      <c r="AH89" s="16" t="s">
        <v>4688</v>
      </c>
      <c r="AI89" s="16" t="s">
        <v>4703</v>
      </c>
      <c r="AO89" s="16" t="s">
        <v>4833</v>
      </c>
      <c r="AP89" s="16" t="s">
        <v>4836</v>
      </c>
      <c r="AQ89" s="16" t="s">
        <v>4954</v>
      </c>
      <c r="AR89" s="16" t="s">
        <v>4675</v>
      </c>
      <c r="AS89" s="16" t="s">
        <v>4675</v>
      </c>
      <c r="AT89" s="16" t="s">
        <v>4662</v>
      </c>
    </row>
    <row r="90" spans="5:46" x14ac:dyDescent="0.25">
      <c r="E90" s="16" t="s">
        <v>4696</v>
      </c>
      <c r="F90" s="16" t="s">
        <v>4716</v>
      </c>
      <c r="G90" s="16" t="s">
        <v>4693</v>
      </c>
      <c r="H90" s="16" t="s">
        <v>4671</v>
      </c>
      <c r="S90" s="16" t="s">
        <v>4931</v>
      </c>
      <c r="T90" s="16" t="s">
        <v>4931</v>
      </c>
      <c r="W90" s="16" t="s">
        <v>4807</v>
      </c>
      <c r="X90" s="16" t="s">
        <v>4695</v>
      </c>
      <c r="Y90" s="16" t="s">
        <v>5045</v>
      </c>
      <c r="Z90" s="16" t="s">
        <v>5013</v>
      </c>
      <c r="AD90" s="16" t="s">
        <v>4696</v>
      </c>
      <c r="AE90" s="16" t="s">
        <v>5202</v>
      </c>
      <c r="AF90" s="16" t="s">
        <v>5202</v>
      </c>
      <c r="AG90" s="16" t="s">
        <v>5202</v>
      </c>
      <c r="AH90" s="16" t="s">
        <v>4689</v>
      </c>
      <c r="AI90" s="16" t="s">
        <v>4704</v>
      </c>
      <c r="AO90" s="16" t="s">
        <v>4834</v>
      </c>
      <c r="AP90" s="16" t="s">
        <v>4837</v>
      </c>
      <c r="AQ90" s="16" t="s">
        <v>4989</v>
      </c>
      <c r="AR90" s="16" t="s">
        <v>4676</v>
      </c>
      <c r="AS90" s="16" t="s">
        <v>4676</v>
      </c>
      <c r="AT90" s="16" t="s">
        <v>4671</v>
      </c>
    </row>
    <row r="91" spans="5:46" x14ac:dyDescent="0.25">
      <c r="F91" s="16" t="s">
        <v>4720</v>
      </c>
      <c r="G91" s="16" t="s">
        <v>4694</v>
      </c>
      <c r="S91" s="16" t="s">
        <v>4932</v>
      </c>
      <c r="T91" s="16" t="s">
        <v>4932</v>
      </c>
      <c r="W91" s="16" t="s">
        <v>4808</v>
      </c>
      <c r="X91" s="16" t="s">
        <v>4696</v>
      </c>
      <c r="Y91" s="16" t="s">
        <v>5046</v>
      </c>
      <c r="Z91" s="16" t="s">
        <v>5014</v>
      </c>
      <c r="AE91" s="16" t="s">
        <v>5203</v>
      </c>
      <c r="AF91" s="16" t="s">
        <v>5203</v>
      </c>
      <c r="AG91" s="16" t="s">
        <v>5203</v>
      </c>
      <c r="AH91" s="16" t="s">
        <v>4690</v>
      </c>
      <c r="AI91" s="16" t="s">
        <v>4705</v>
      </c>
      <c r="AO91" s="16" t="s">
        <v>4602</v>
      </c>
      <c r="AP91" s="16" t="s">
        <v>4838</v>
      </c>
      <c r="AQ91" s="16" t="s">
        <v>4990</v>
      </c>
      <c r="AR91" s="16" t="s">
        <v>4677</v>
      </c>
      <c r="AS91" s="16" t="s">
        <v>4677</v>
      </c>
    </row>
    <row r="92" spans="5:46" x14ac:dyDescent="0.25">
      <c r="F92" s="16" t="s">
        <v>4718</v>
      </c>
      <c r="G92" s="16" t="s">
        <v>4695</v>
      </c>
      <c r="S92" s="16" t="s">
        <v>4933</v>
      </c>
      <c r="T92" s="16" t="s">
        <v>4933</v>
      </c>
      <c r="W92" s="16" t="s">
        <v>4809</v>
      </c>
      <c r="Y92" s="16" t="s">
        <v>5047</v>
      </c>
      <c r="Z92" s="16" t="s">
        <v>5015</v>
      </c>
      <c r="AE92" s="16" t="s">
        <v>5204</v>
      </c>
      <c r="AF92" s="16" t="s">
        <v>5204</v>
      </c>
      <c r="AG92" s="16" t="s">
        <v>5204</v>
      </c>
      <c r="AH92" s="16" t="s">
        <v>4691</v>
      </c>
      <c r="AI92" s="16" t="s">
        <v>4706</v>
      </c>
      <c r="AO92" s="16" t="s">
        <v>4603</v>
      </c>
      <c r="AP92" s="16" t="s">
        <v>4839</v>
      </c>
      <c r="AQ92" s="16" t="s">
        <v>4991</v>
      </c>
      <c r="AR92" s="16" t="s">
        <v>4678</v>
      </c>
      <c r="AS92" s="16" t="s">
        <v>4678</v>
      </c>
    </row>
    <row r="93" spans="5:46" x14ac:dyDescent="0.25">
      <c r="F93" s="16" t="s">
        <v>4721</v>
      </c>
      <c r="G93" s="16" t="s">
        <v>4696</v>
      </c>
      <c r="S93" s="16" t="s">
        <v>4934</v>
      </c>
      <c r="T93" s="16" t="s">
        <v>4934</v>
      </c>
      <c r="W93" s="16" t="s">
        <v>4810</v>
      </c>
      <c r="Y93" s="16" t="s">
        <v>5048</v>
      </c>
      <c r="Z93" s="16" t="s">
        <v>5016</v>
      </c>
      <c r="AE93" s="16" t="s">
        <v>4650</v>
      </c>
      <c r="AF93" s="16" t="s">
        <v>4650</v>
      </c>
      <c r="AG93" s="16" t="s">
        <v>4650</v>
      </c>
      <c r="AH93" s="16" t="s">
        <v>4692</v>
      </c>
      <c r="AI93" s="16" t="s">
        <v>4684</v>
      </c>
      <c r="AO93" s="16" t="s">
        <v>4799</v>
      </c>
      <c r="AP93" s="16" t="s">
        <v>4840</v>
      </c>
      <c r="AQ93" s="16" t="s">
        <v>4992</v>
      </c>
      <c r="AR93" s="16" t="s">
        <v>4679</v>
      </c>
      <c r="AS93" s="16" t="s">
        <v>4679</v>
      </c>
    </row>
    <row r="94" spans="5:46" x14ac:dyDescent="0.25">
      <c r="F94" s="16" t="s">
        <v>4722</v>
      </c>
      <c r="S94" s="16" t="s">
        <v>4648</v>
      </c>
      <c r="T94" s="16" t="s">
        <v>4648</v>
      </c>
      <c r="W94" s="16" t="s">
        <v>4811</v>
      </c>
      <c r="Y94" s="16" t="s">
        <v>5049</v>
      </c>
      <c r="Z94" s="16" t="s">
        <v>5017</v>
      </c>
      <c r="AE94" s="16" t="s">
        <v>4651</v>
      </c>
      <c r="AF94" s="16" t="s">
        <v>4651</v>
      </c>
      <c r="AG94" s="16" t="s">
        <v>4651</v>
      </c>
      <c r="AH94" s="16" t="s">
        <v>4693</v>
      </c>
      <c r="AI94" s="16" t="s">
        <v>4685</v>
      </c>
      <c r="AO94" s="16" t="s">
        <v>4801</v>
      </c>
      <c r="AP94" s="16" t="s">
        <v>4841</v>
      </c>
      <c r="AQ94" s="16" t="s">
        <v>4993</v>
      </c>
      <c r="AR94" s="16" t="s">
        <v>4813</v>
      </c>
      <c r="AS94" s="16" t="s">
        <v>4813</v>
      </c>
    </row>
    <row r="95" spans="5:46" x14ac:dyDescent="0.25">
      <c r="F95" s="16" t="s">
        <v>4723</v>
      </c>
      <c r="S95" s="16" t="s">
        <v>4649</v>
      </c>
      <c r="T95" s="16" t="s">
        <v>4649</v>
      </c>
      <c r="W95" s="16" t="s">
        <v>4681</v>
      </c>
      <c r="Y95" s="16" t="s">
        <v>5050</v>
      </c>
      <c r="Z95" s="16" t="s">
        <v>5018</v>
      </c>
      <c r="AE95" s="16" t="s">
        <v>4652</v>
      </c>
      <c r="AF95" s="16" t="s">
        <v>4652</v>
      </c>
      <c r="AG95" s="16" t="s">
        <v>4652</v>
      </c>
      <c r="AH95" s="16" t="s">
        <v>4694</v>
      </c>
      <c r="AI95" s="16" t="s">
        <v>4686</v>
      </c>
      <c r="AO95" s="16" t="s">
        <v>4802</v>
      </c>
      <c r="AP95" s="16" t="s">
        <v>4842</v>
      </c>
      <c r="AQ95" s="16" t="s">
        <v>4994</v>
      </c>
      <c r="AR95" s="16" t="s">
        <v>4814</v>
      </c>
      <c r="AS95" s="16" t="s">
        <v>4814</v>
      </c>
    </row>
    <row r="96" spans="5:46" x14ac:dyDescent="0.25">
      <c r="F96" s="16" t="s">
        <v>4724</v>
      </c>
      <c r="S96" s="16" t="s">
        <v>4650</v>
      </c>
      <c r="T96" s="16" t="s">
        <v>4650</v>
      </c>
      <c r="W96" s="16" t="s">
        <v>4682</v>
      </c>
      <c r="Y96" s="16" t="s">
        <v>5051</v>
      </c>
      <c r="Z96" s="16" t="s">
        <v>5019</v>
      </c>
      <c r="AE96" s="16" t="s">
        <v>5205</v>
      </c>
      <c r="AF96" s="16" t="s">
        <v>5205</v>
      </c>
      <c r="AG96" s="16" t="s">
        <v>5205</v>
      </c>
      <c r="AH96" s="16" t="s">
        <v>4695</v>
      </c>
      <c r="AI96" s="16" t="s">
        <v>4687</v>
      </c>
      <c r="AO96" s="16" t="s">
        <v>4803</v>
      </c>
      <c r="AP96" s="16" t="s">
        <v>4843</v>
      </c>
      <c r="AQ96" s="16" t="s">
        <v>4995</v>
      </c>
      <c r="AR96" s="16" t="s">
        <v>4815</v>
      </c>
      <c r="AS96" s="16" t="s">
        <v>4815</v>
      </c>
    </row>
    <row r="97" spans="6:45" x14ac:dyDescent="0.25">
      <c r="F97" s="16" t="s">
        <v>4725</v>
      </c>
      <c r="S97" s="16" t="s">
        <v>4651</v>
      </c>
      <c r="T97" s="16" t="s">
        <v>4651</v>
      </c>
      <c r="W97" s="16" t="s">
        <v>4697</v>
      </c>
      <c r="Y97" s="16" t="s">
        <v>5052</v>
      </c>
      <c r="Z97" s="16" t="s">
        <v>5020</v>
      </c>
      <c r="AE97" s="16" t="s">
        <v>4654</v>
      </c>
      <c r="AF97" s="16" t="s">
        <v>4654</v>
      </c>
      <c r="AG97" s="16" t="s">
        <v>4654</v>
      </c>
      <c r="AH97" s="16" t="s">
        <v>4696</v>
      </c>
      <c r="AI97" s="16" t="s">
        <v>4688</v>
      </c>
      <c r="AO97" s="16" t="s">
        <v>4804</v>
      </c>
      <c r="AP97" s="16" t="s">
        <v>4844</v>
      </c>
      <c r="AQ97" s="16" t="s">
        <v>4956</v>
      </c>
      <c r="AR97" s="16" t="s">
        <v>4685</v>
      </c>
      <c r="AS97" s="16" t="s">
        <v>4685</v>
      </c>
    </row>
    <row r="98" spans="6:45" x14ac:dyDescent="0.25">
      <c r="F98" s="16" t="s">
        <v>4726</v>
      </c>
      <c r="S98" s="16" t="s">
        <v>4652</v>
      </c>
      <c r="T98" s="16" t="s">
        <v>4652</v>
      </c>
      <c r="W98" s="16" t="s">
        <v>4698</v>
      </c>
      <c r="Y98" s="16" t="s">
        <v>5053</v>
      </c>
      <c r="Z98" s="16" t="s">
        <v>5021</v>
      </c>
      <c r="AE98" s="16" t="s">
        <v>4655</v>
      </c>
      <c r="AF98" s="16" t="s">
        <v>4655</v>
      </c>
      <c r="AG98" s="16" t="s">
        <v>4655</v>
      </c>
      <c r="AI98" s="16" t="s">
        <v>4689</v>
      </c>
      <c r="AO98" s="16" t="s">
        <v>4847</v>
      </c>
      <c r="AP98" s="16" t="s">
        <v>4845</v>
      </c>
      <c r="AQ98" s="16" t="s">
        <v>4957</v>
      </c>
      <c r="AR98" s="16" t="s">
        <v>4686</v>
      </c>
      <c r="AS98" s="16" t="s">
        <v>4686</v>
      </c>
    </row>
    <row r="99" spans="6:45" x14ac:dyDescent="0.25">
      <c r="F99" s="16" t="s">
        <v>4727</v>
      </c>
      <c r="S99" s="16" t="s">
        <v>4653</v>
      </c>
      <c r="T99" s="16" t="s">
        <v>4653</v>
      </c>
      <c r="W99" s="16" t="s">
        <v>4819</v>
      </c>
      <c r="Y99" s="16" t="s">
        <v>5054</v>
      </c>
      <c r="Z99" s="16" t="s">
        <v>5022</v>
      </c>
      <c r="AE99" s="16" t="s">
        <v>4642</v>
      </c>
      <c r="AF99" s="16" t="s">
        <v>4642</v>
      </c>
      <c r="AG99" s="16" t="s">
        <v>4642</v>
      </c>
      <c r="AI99" s="16" t="s">
        <v>4690</v>
      </c>
      <c r="AO99" s="16" t="s">
        <v>4848</v>
      </c>
      <c r="AP99" s="16" t="s">
        <v>4846</v>
      </c>
      <c r="AQ99" s="16" t="s">
        <v>4958</v>
      </c>
      <c r="AR99" s="16" t="s">
        <v>5033</v>
      </c>
      <c r="AS99" s="16" t="s">
        <v>5033</v>
      </c>
    </row>
    <row r="100" spans="6:45" x14ac:dyDescent="0.25">
      <c r="F100" s="16" t="s">
        <v>4728</v>
      </c>
      <c r="S100" s="16" t="s">
        <v>4654</v>
      </c>
      <c r="T100" s="16" t="s">
        <v>4654</v>
      </c>
      <c r="W100" s="16" t="s">
        <v>4820</v>
      </c>
      <c r="Y100" s="16" t="s">
        <v>5055</v>
      </c>
      <c r="Z100" s="16" t="s">
        <v>5023</v>
      </c>
      <c r="AE100" s="16" t="s">
        <v>4643</v>
      </c>
      <c r="AF100" s="16" t="s">
        <v>4643</v>
      </c>
      <c r="AG100" s="16" t="s">
        <v>4643</v>
      </c>
      <c r="AI100" s="16" t="s">
        <v>4691</v>
      </c>
      <c r="AO100" s="16" t="s">
        <v>4849</v>
      </c>
      <c r="AQ100" s="16" t="s">
        <v>4959</v>
      </c>
      <c r="AR100" s="16" t="s">
        <v>5034</v>
      </c>
      <c r="AS100" s="16" t="s">
        <v>5034</v>
      </c>
    </row>
    <row r="101" spans="6:45" x14ac:dyDescent="0.25">
      <c r="F101" s="16" t="s">
        <v>4729</v>
      </c>
      <c r="S101" s="16" t="s">
        <v>4655</v>
      </c>
      <c r="T101" s="16" t="s">
        <v>4655</v>
      </c>
      <c r="W101" s="16" t="s">
        <v>4627</v>
      </c>
      <c r="Y101" s="16" t="s">
        <v>5056</v>
      </c>
      <c r="Z101" s="16" t="s">
        <v>5024</v>
      </c>
      <c r="AE101" s="16" t="s">
        <v>4644</v>
      </c>
      <c r="AF101" s="16" t="s">
        <v>4644</v>
      </c>
      <c r="AG101" s="16" t="s">
        <v>4644</v>
      </c>
      <c r="AI101" s="16" t="s">
        <v>4692</v>
      </c>
      <c r="AO101" s="16" t="s">
        <v>4850</v>
      </c>
      <c r="AQ101" s="16" t="s">
        <v>4960</v>
      </c>
      <c r="AR101" s="16" t="s">
        <v>5035</v>
      </c>
      <c r="AS101" s="16" t="s">
        <v>5035</v>
      </c>
    </row>
    <row r="102" spans="6:45" x14ac:dyDescent="0.25">
      <c r="F102" s="16" t="s">
        <v>4730</v>
      </c>
      <c r="S102" s="16" t="s">
        <v>4642</v>
      </c>
      <c r="T102" s="16" t="s">
        <v>4642</v>
      </c>
      <c r="W102" s="16" t="s">
        <v>4628</v>
      </c>
      <c r="Y102" s="16" t="s">
        <v>5057</v>
      </c>
      <c r="Z102" s="16" t="s">
        <v>5025</v>
      </c>
      <c r="AE102" s="16" t="s">
        <v>4645</v>
      </c>
      <c r="AF102" s="16" t="s">
        <v>4645</v>
      </c>
      <c r="AG102" s="16" t="s">
        <v>4645</v>
      </c>
      <c r="AI102" s="16" t="s">
        <v>4693</v>
      </c>
      <c r="AO102" s="16" t="s">
        <v>4851</v>
      </c>
      <c r="AQ102" s="16" t="s">
        <v>4961</v>
      </c>
      <c r="AR102" s="16" t="s">
        <v>5036</v>
      </c>
      <c r="AS102" s="16" t="s">
        <v>5036</v>
      </c>
    </row>
    <row r="103" spans="6:45" x14ac:dyDescent="0.25">
      <c r="F103" s="16" t="s">
        <v>4731</v>
      </c>
      <c r="S103" s="16" t="s">
        <v>4643</v>
      </c>
      <c r="T103" s="16" t="s">
        <v>4643</v>
      </c>
      <c r="W103" s="16" t="s">
        <v>4629</v>
      </c>
      <c r="Y103" s="16" t="s">
        <v>5058</v>
      </c>
      <c r="Z103" s="16" t="s">
        <v>5026</v>
      </c>
      <c r="AE103" s="16" t="s">
        <v>4646</v>
      </c>
      <c r="AF103" s="16" t="s">
        <v>4646</v>
      </c>
      <c r="AG103" s="16" t="s">
        <v>4646</v>
      </c>
      <c r="AI103" s="16" t="s">
        <v>4694</v>
      </c>
      <c r="AO103" s="16" t="s">
        <v>4852</v>
      </c>
      <c r="AQ103" s="16" t="s">
        <v>4832</v>
      </c>
      <c r="AR103" s="16" t="s">
        <v>4962</v>
      </c>
      <c r="AS103" s="16" t="s">
        <v>4962</v>
      </c>
    </row>
    <row r="104" spans="6:45" x14ac:dyDescent="0.25">
      <c r="F104" s="16" t="s">
        <v>4703</v>
      </c>
      <c r="S104" s="16" t="s">
        <v>4644</v>
      </c>
      <c r="T104" s="16" t="s">
        <v>4644</v>
      </c>
      <c r="W104" s="16" t="s">
        <v>4630</v>
      </c>
      <c r="Y104" s="16" t="s">
        <v>5059</v>
      </c>
      <c r="Z104" s="16" t="s">
        <v>5027</v>
      </c>
      <c r="AE104" s="16" t="s">
        <v>4647</v>
      </c>
      <c r="AF104" s="16" t="s">
        <v>4647</v>
      </c>
      <c r="AG104" s="16" t="s">
        <v>4647</v>
      </c>
      <c r="AI104" s="16" t="s">
        <v>4695</v>
      </c>
      <c r="AO104" s="16" t="s">
        <v>4853</v>
      </c>
      <c r="AQ104" s="16" t="s">
        <v>4833</v>
      </c>
      <c r="AR104" s="16" t="s">
        <v>4963</v>
      </c>
      <c r="AS104" s="16" t="s">
        <v>4963</v>
      </c>
    </row>
    <row r="105" spans="6:45" x14ac:dyDescent="0.25">
      <c r="F105" s="16" t="s">
        <v>4732</v>
      </c>
      <c r="S105" s="16" t="s">
        <v>4656</v>
      </c>
      <c r="T105" s="16" t="s">
        <v>4645</v>
      </c>
      <c r="W105" s="16" t="s">
        <v>4631</v>
      </c>
      <c r="Y105" s="16" t="s">
        <v>5060</v>
      </c>
      <c r="Z105" s="16" t="s">
        <v>5028</v>
      </c>
      <c r="AE105" s="16" t="s">
        <v>4648</v>
      </c>
      <c r="AF105" s="16" t="s">
        <v>4648</v>
      </c>
      <c r="AI105" s="16" t="s">
        <v>4696</v>
      </c>
      <c r="AO105" s="16" t="s">
        <v>4854</v>
      </c>
      <c r="AQ105" s="16" t="s">
        <v>4834</v>
      </c>
      <c r="AR105" s="16" t="s">
        <v>4954</v>
      </c>
      <c r="AS105" s="16" t="s">
        <v>4954</v>
      </c>
    </row>
    <row r="106" spans="6:45" x14ac:dyDescent="0.25">
      <c r="F106" s="16" t="s">
        <v>4733</v>
      </c>
      <c r="S106" s="16" t="s">
        <v>4657</v>
      </c>
      <c r="T106" s="16" t="s">
        <v>4646</v>
      </c>
      <c r="W106" s="16" t="s">
        <v>4632</v>
      </c>
      <c r="Y106" s="16" t="s">
        <v>5061</v>
      </c>
      <c r="Z106" s="16" t="s">
        <v>5029</v>
      </c>
      <c r="AE106" s="16" t="s">
        <v>4649</v>
      </c>
      <c r="AF106" s="16" t="s">
        <v>4649</v>
      </c>
      <c r="AO106" s="16" t="s">
        <v>4855</v>
      </c>
      <c r="AQ106" s="16" t="s">
        <v>4602</v>
      </c>
      <c r="AR106" s="16" t="s">
        <v>4989</v>
      </c>
      <c r="AS106" s="16" t="s">
        <v>4989</v>
      </c>
    </row>
    <row r="107" spans="6:45" x14ac:dyDescent="0.25">
      <c r="F107" s="16" t="s">
        <v>4734</v>
      </c>
      <c r="S107" s="16" t="s">
        <v>4658</v>
      </c>
      <c r="T107" s="16" t="s">
        <v>4647</v>
      </c>
      <c r="W107" s="16" t="s">
        <v>4633</v>
      </c>
      <c r="Y107" s="16" t="s">
        <v>5062</v>
      </c>
      <c r="Z107" s="16" t="s">
        <v>4746</v>
      </c>
      <c r="AE107" s="16" t="s">
        <v>4650</v>
      </c>
      <c r="AF107" s="16" t="s">
        <v>4650</v>
      </c>
      <c r="AO107" s="16" t="s">
        <v>4797</v>
      </c>
      <c r="AQ107" s="16" t="s">
        <v>4603</v>
      </c>
      <c r="AR107" s="16" t="s">
        <v>4990</v>
      </c>
      <c r="AS107" s="16" t="s">
        <v>4990</v>
      </c>
    </row>
    <row r="108" spans="6:45" x14ac:dyDescent="0.25">
      <c r="F108" s="16" t="s">
        <v>4735</v>
      </c>
      <c r="S108" s="16" t="s">
        <v>4659</v>
      </c>
      <c r="T108" s="16" t="s">
        <v>4648</v>
      </c>
      <c r="W108" s="16" t="s">
        <v>4634</v>
      </c>
      <c r="Y108" s="16" t="s">
        <v>5063</v>
      </c>
      <c r="Z108" s="16" t="s">
        <v>5030</v>
      </c>
      <c r="AE108" s="16" t="s">
        <v>4651</v>
      </c>
      <c r="AF108" s="16" t="s">
        <v>4651</v>
      </c>
      <c r="AO108" s="16" t="s">
        <v>4798</v>
      </c>
      <c r="AQ108" s="16" t="s">
        <v>4604</v>
      </c>
      <c r="AR108" s="16" t="s">
        <v>5037</v>
      </c>
      <c r="AS108" s="16" t="s">
        <v>5037</v>
      </c>
    </row>
    <row r="109" spans="6:45" x14ac:dyDescent="0.25">
      <c r="F109" s="16" t="s">
        <v>4736</v>
      </c>
      <c r="S109" s="16" t="s">
        <v>4660</v>
      </c>
      <c r="T109" s="16" t="s">
        <v>4649</v>
      </c>
      <c r="W109" s="16" t="s">
        <v>4635</v>
      </c>
      <c r="Y109" s="16" t="s">
        <v>5064</v>
      </c>
      <c r="Z109" s="16" t="s">
        <v>5031</v>
      </c>
      <c r="AE109" s="16" t="s">
        <v>4652</v>
      </c>
      <c r="AF109" s="16" t="s">
        <v>4652</v>
      </c>
      <c r="AQ109" s="16" t="s">
        <v>4605</v>
      </c>
      <c r="AR109" s="16" t="s">
        <v>4994</v>
      </c>
      <c r="AS109" s="16" t="s">
        <v>4994</v>
      </c>
    </row>
    <row r="110" spans="6:45" x14ac:dyDescent="0.25">
      <c r="F110" s="16" t="s">
        <v>4737</v>
      </c>
      <c r="S110" s="16" t="s">
        <v>4661</v>
      </c>
      <c r="T110" s="16" t="s">
        <v>4650</v>
      </c>
      <c r="W110" s="16" t="s">
        <v>4636</v>
      </c>
      <c r="Y110" s="16" t="s">
        <v>5065</v>
      </c>
      <c r="Z110" s="16" t="s">
        <v>5032</v>
      </c>
      <c r="AE110" s="16" t="s">
        <v>4653</v>
      </c>
      <c r="AF110" s="16" t="s">
        <v>4653</v>
      </c>
      <c r="AQ110" s="16" t="s">
        <v>4835</v>
      </c>
      <c r="AR110" s="16" t="s">
        <v>4995</v>
      </c>
      <c r="AS110" s="16" t="s">
        <v>4995</v>
      </c>
    </row>
    <row r="111" spans="6:45" x14ac:dyDescent="0.25">
      <c r="F111" s="16" t="s">
        <v>4687</v>
      </c>
      <c r="S111" s="16" t="s">
        <v>4662</v>
      </c>
      <c r="T111" s="16" t="s">
        <v>4651</v>
      </c>
      <c r="W111" s="16" t="s">
        <v>4637</v>
      </c>
      <c r="Y111" s="16" t="s">
        <v>5066</v>
      </c>
      <c r="Z111" s="16" t="s">
        <v>4612</v>
      </c>
      <c r="AE111" s="16" t="s">
        <v>4654</v>
      </c>
      <c r="AF111" s="16" t="s">
        <v>4654</v>
      </c>
      <c r="AQ111" s="16" t="s">
        <v>4836</v>
      </c>
      <c r="AR111" s="16" t="s">
        <v>4956</v>
      </c>
      <c r="AS111" s="16" t="s">
        <v>5038</v>
      </c>
    </row>
    <row r="112" spans="6:45" x14ac:dyDescent="0.25">
      <c r="F112" s="16" t="s">
        <v>4688</v>
      </c>
      <c r="S112" s="16" t="s">
        <v>4663</v>
      </c>
      <c r="T112" s="16" t="s">
        <v>4652</v>
      </c>
      <c r="W112" s="16" t="s">
        <v>4638</v>
      </c>
      <c r="Y112" s="16" t="s">
        <v>5067</v>
      </c>
      <c r="Z112" s="16" t="s">
        <v>4613</v>
      </c>
      <c r="AE112" s="16" t="s">
        <v>4655</v>
      </c>
      <c r="AF112" s="16" t="s">
        <v>4655</v>
      </c>
      <c r="AQ112" s="16" t="s">
        <v>4837</v>
      </c>
      <c r="AR112" s="16" t="s">
        <v>4957</v>
      </c>
      <c r="AS112" s="16" t="s">
        <v>5039</v>
      </c>
    </row>
    <row r="113" spans="6:45" x14ac:dyDescent="0.25">
      <c r="F113" s="16" t="s">
        <v>4689</v>
      </c>
      <c r="S113" s="16" t="s">
        <v>4664</v>
      </c>
      <c r="T113" s="16" t="s">
        <v>4653</v>
      </c>
      <c r="W113" s="16" t="s">
        <v>4639</v>
      </c>
      <c r="Y113" s="16" t="s">
        <v>5068</v>
      </c>
      <c r="Z113" s="16" t="s">
        <v>4672</v>
      </c>
      <c r="AE113" s="16" t="s">
        <v>4642</v>
      </c>
      <c r="AF113" s="16" t="s">
        <v>4642</v>
      </c>
      <c r="AQ113" s="16" t="s">
        <v>4838</v>
      </c>
      <c r="AR113" s="16" t="s">
        <v>4958</v>
      </c>
      <c r="AS113" s="16" t="s">
        <v>5040</v>
      </c>
    </row>
    <row r="114" spans="6:45" x14ac:dyDescent="0.25">
      <c r="F114" s="16" t="s">
        <v>4690</v>
      </c>
      <c r="S114" s="16" t="s">
        <v>4665</v>
      </c>
      <c r="T114" s="16" t="s">
        <v>4654</v>
      </c>
      <c r="W114" s="16" t="s">
        <v>4640</v>
      </c>
      <c r="Y114" s="16" t="s">
        <v>5069</v>
      </c>
      <c r="Z114" s="16" t="s">
        <v>4673</v>
      </c>
      <c r="AE114" s="16" t="s">
        <v>4643</v>
      </c>
      <c r="AF114" s="16" t="s">
        <v>4643</v>
      </c>
      <c r="AQ114" s="16" t="s">
        <v>4839</v>
      </c>
      <c r="AR114" s="16" t="s">
        <v>4959</v>
      </c>
      <c r="AS114" s="16" t="s">
        <v>5041</v>
      </c>
    </row>
    <row r="115" spans="6:45" x14ac:dyDescent="0.25">
      <c r="F115" s="16" t="s">
        <v>4691</v>
      </c>
      <c r="S115" s="16" t="s">
        <v>4666</v>
      </c>
      <c r="T115" s="16" t="s">
        <v>4655</v>
      </c>
      <c r="W115" s="16" t="s">
        <v>4821</v>
      </c>
      <c r="Y115" s="16" t="s">
        <v>5070</v>
      </c>
      <c r="Z115" s="16" t="s">
        <v>4674</v>
      </c>
      <c r="AE115" s="16" t="s">
        <v>4644</v>
      </c>
      <c r="AF115" s="16" t="s">
        <v>4644</v>
      </c>
      <c r="AQ115" s="16" t="s">
        <v>4840</v>
      </c>
      <c r="AR115" s="16" t="s">
        <v>4960</v>
      </c>
      <c r="AS115" s="16" t="s">
        <v>5042</v>
      </c>
    </row>
    <row r="116" spans="6:45" x14ac:dyDescent="0.25">
      <c r="F116" s="16" t="s">
        <v>4692</v>
      </c>
      <c r="S116" s="16" t="s">
        <v>4667</v>
      </c>
      <c r="T116" s="16" t="s">
        <v>4642</v>
      </c>
      <c r="W116" s="16" t="s">
        <v>4822</v>
      </c>
      <c r="Y116" s="16" t="s">
        <v>5071</v>
      </c>
      <c r="Z116" s="16" t="s">
        <v>4675</v>
      </c>
      <c r="AE116" s="16" t="s">
        <v>4656</v>
      </c>
      <c r="AF116" s="16" t="s">
        <v>4656</v>
      </c>
      <c r="AQ116" s="16" t="s">
        <v>4841</v>
      </c>
      <c r="AR116" s="16" t="s">
        <v>4961</v>
      </c>
      <c r="AS116" s="16" t="s">
        <v>4704</v>
      </c>
    </row>
    <row r="117" spans="6:45" x14ac:dyDescent="0.25">
      <c r="F117" s="16" t="s">
        <v>4693</v>
      </c>
      <c r="S117" s="16" t="s">
        <v>4668</v>
      </c>
      <c r="T117" s="16" t="s">
        <v>4935</v>
      </c>
      <c r="W117" s="16" t="s">
        <v>4823</v>
      </c>
      <c r="Y117" s="16" t="s">
        <v>5072</v>
      </c>
      <c r="Z117" s="16" t="s">
        <v>4676</v>
      </c>
      <c r="AE117" s="16" t="s">
        <v>4657</v>
      </c>
      <c r="AF117" s="16" t="s">
        <v>4657</v>
      </c>
      <c r="AQ117" s="16" t="s">
        <v>4842</v>
      </c>
      <c r="AR117" s="16" t="s">
        <v>4832</v>
      </c>
      <c r="AS117" s="16" t="s">
        <v>4705</v>
      </c>
    </row>
    <row r="118" spans="6:45" x14ac:dyDescent="0.25">
      <c r="F118" s="16" t="s">
        <v>4694</v>
      </c>
      <c r="S118" s="16" t="s">
        <v>4669</v>
      </c>
      <c r="T118" s="16" t="s">
        <v>4657</v>
      </c>
      <c r="W118" s="16" t="s">
        <v>4824</v>
      </c>
      <c r="Y118" s="16" t="s">
        <v>4798</v>
      </c>
      <c r="Z118" s="16" t="s">
        <v>4677</v>
      </c>
      <c r="AE118" s="16" t="s">
        <v>4658</v>
      </c>
      <c r="AF118" s="16" t="s">
        <v>4658</v>
      </c>
      <c r="AQ118" s="16" t="s">
        <v>4843</v>
      </c>
      <c r="AR118" s="16" t="s">
        <v>4833</v>
      </c>
      <c r="AS118" s="16" t="s">
        <v>4706</v>
      </c>
    </row>
    <row r="119" spans="6:45" x14ac:dyDescent="0.25">
      <c r="F119" s="16" t="s">
        <v>4695</v>
      </c>
      <c r="S119" s="16" t="s">
        <v>4670</v>
      </c>
      <c r="T119" s="16" t="s">
        <v>4658</v>
      </c>
      <c r="W119" s="16" t="s">
        <v>4825</v>
      </c>
      <c r="Z119" s="16" t="s">
        <v>4678</v>
      </c>
      <c r="AE119" s="16" t="s">
        <v>4659</v>
      </c>
      <c r="AF119" s="16" t="s">
        <v>4659</v>
      </c>
      <c r="AQ119" s="16" t="s">
        <v>4844</v>
      </c>
      <c r="AR119" s="16" t="s">
        <v>4834</v>
      </c>
      <c r="AS119" s="16" t="s">
        <v>4684</v>
      </c>
    </row>
    <row r="120" spans="6:45" x14ac:dyDescent="0.25">
      <c r="F120" s="16" t="s">
        <v>4696</v>
      </c>
      <c r="S120" s="16" t="s">
        <v>4671</v>
      </c>
      <c r="T120" s="16" t="s">
        <v>4659</v>
      </c>
      <c r="W120" s="16" t="s">
        <v>4826</v>
      </c>
      <c r="Z120" s="16" t="s">
        <v>4679</v>
      </c>
      <c r="AE120" s="16" t="s">
        <v>4660</v>
      </c>
      <c r="AF120" s="16" t="s">
        <v>4660</v>
      </c>
      <c r="AQ120" s="16" t="s">
        <v>4845</v>
      </c>
      <c r="AR120" s="16" t="s">
        <v>4602</v>
      </c>
      <c r="AS120" s="16" t="s">
        <v>4685</v>
      </c>
    </row>
    <row r="121" spans="6:45" x14ac:dyDescent="0.25">
      <c r="T121" s="16" t="s">
        <v>4660</v>
      </c>
      <c r="W121" s="16" t="s">
        <v>4827</v>
      </c>
      <c r="Z121" s="16" t="s">
        <v>4813</v>
      </c>
      <c r="AE121" s="16" t="s">
        <v>4661</v>
      </c>
      <c r="AF121" s="16" t="s">
        <v>4661</v>
      </c>
      <c r="AQ121" s="16" t="s">
        <v>4846</v>
      </c>
      <c r="AR121" s="16" t="s">
        <v>4603</v>
      </c>
      <c r="AS121" s="16" t="s">
        <v>4686</v>
      </c>
    </row>
    <row r="122" spans="6:45" x14ac:dyDescent="0.25">
      <c r="T122" s="16" t="s">
        <v>4661</v>
      </c>
      <c r="W122" s="16" t="s">
        <v>4828</v>
      </c>
      <c r="Z122" s="16" t="s">
        <v>4814</v>
      </c>
      <c r="AE122" s="16" t="s">
        <v>4662</v>
      </c>
      <c r="AF122" s="16" t="s">
        <v>4662</v>
      </c>
      <c r="AR122" s="16" t="s">
        <v>4604</v>
      </c>
      <c r="AS122" s="16" t="s">
        <v>4687</v>
      </c>
    </row>
    <row r="123" spans="6:45" x14ac:dyDescent="0.25">
      <c r="T123" s="16" t="s">
        <v>4662</v>
      </c>
      <c r="W123" s="16" t="s">
        <v>4829</v>
      </c>
      <c r="Z123" s="16" t="s">
        <v>4815</v>
      </c>
      <c r="AE123" s="16" t="s">
        <v>4663</v>
      </c>
      <c r="AF123" s="16" t="s">
        <v>4663</v>
      </c>
      <c r="AR123" s="16" t="s">
        <v>4605</v>
      </c>
      <c r="AS123" s="16" t="s">
        <v>4695</v>
      </c>
    </row>
    <row r="124" spans="6:45" x14ac:dyDescent="0.25">
      <c r="T124" s="16" t="s">
        <v>4671</v>
      </c>
      <c r="W124" s="16" t="s">
        <v>4830</v>
      </c>
      <c r="Z124" s="16" t="s">
        <v>4685</v>
      </c>
      <c r="AE124" s="16" t="s">
        <v>4664</v>
      </c>
      <c r="AF124" s="16" t="s">
        <v>4664</v>
      </c>
      <c r="AR124" s="16" t="s">
        <v>4835</v>
      </c>
      <c r="AS124" s="16" t="s">
        <v>4696</v>
      </c>
    </row>
    <row r="125" spans="6:45" x14ac:dyDescent="0.25">
      <c r="W125" s="16" t="s">
        <v>4831</v>
      </c>
      <c r="Z125" s="16" t="s">
        <v>4686</v>
      </c>
      <c r="AE125" s="16" t="s">
        <v>4749</v>
      </c>
      <c r="AF125" s="16" t="s">
        <v>4665</v>
      </c>
      <c r="AR125" s="16" t="s">
        <v>4836</v>
      </c>
    </row>
    <row r="126" spans="6:45" x14ac:dyDescent="0.25">
      <c r="W126" s="16" t="s">
        <v>4832</v>
      </c>
      <c r="Z126" s="16" t="s">
        <v>5033</v>
      </c>
      <c r="AE126" s="16" t="s">
        <v>4750</v>
      </c>
      <c r="AF126" s="16" t="s">
        <v>4666</v>
      </c>
      <c r="AR126" s="16" t="s">
        <v>4837</v>
      </c>
    </row>
    <row r="127" spans="6:45" x14ac:dyDescent="0.25">
      <c r="W127" s="16" t="s">
        <v>4833</v>
      </c>
      <c r="Z127" s="16" t="s">
        <v>5034</v>
      </c>
      <c r="AE127" s="16" t="s">
        <v>4751</v>
      </c>
      <c r="AF127" s="16" t="s">
        <v>4667</v>
      </c>
      <c r="AR127" s="16" t="s">
        <v>4838</v>
      </c>
    </row>
    <row r="128" spans="6:45" x14ac:dyDescent="0.25">
      <c r="W128" s="16" t="s">
        <v>4834</v>
      </c>
      <c r="Z128" s="16" t="s">
        <v>5035</v>
      </c>
      <c r="AE128" s="16" t="s">
        <v>4752</v>
      </c>
      <c r="AF128" s="16" t="s">
        <v>4668</v>
      </c>
      <c r="AR128" s="16" t="s">
        <v>4839</v>
      </c>
    </row>
    <row r="129" spans="23:44" x14ac:dyDescent="0.25">
      <c r="W129" s="16" t="s">
        <v>4602</v>
      </c>
      <c r="Z129" s="16" t="s">
        <v>5036</v>
      </c>
      <c r="AE129" s="16" t="s">
        <v>4753</v>
      </c>
      <c r="AF129" s="16" t="s">
        <v>4669</v>
      </c>
      <c r="AR129" s="16" t="s">
        <v>4840</v>
      </c>
    </row>
    <row r="130" spans="23:44" x14ac:dyDescent="0.25">
      <c r="W130" s="16" t="s">
        <v>4603</v>
      </c>
      <c r="Z130" s="16" t="s">
        <v>4962</v>
      </c>
      <c r="AE130" s="16" t="s">
        <v>4754</v>
      </c>
      <c r="AF130" s="16" t="s">
        <v>4670</v>
      </c>
      <c r="AR130" s="16" t="s">
        <v>4841</v>
      </c>
    </row>
    <row r="131" spans="23:44" x14ac:dyDescent="0.25">
      <c r="W131" s="16" t="s">
        <v>4799</v>
      </c>
      <c r="Z131" s="16" t="s">
        <v>4963</v>
      </c>
      <c r="AE131" s="16" t="s">
        <v>4755</v>
      </c>
      <c r="AF131" s="16" t="s">
        <v>4671</v>
      </c>
      <c r="AR131" s="16" t="s">
        <v>4842</v>
      </c>
    </row>
    <row r="132" spans="23:44" x14ac:dyDescent="0.25">
      <c r="W132" s="16" t="s">
        <v>4801</v>
      </c>
      <c r="Z132" s="16" t="s">
        <v>4954</v>
      </c>
      <c r="AE132" s="16" t="s">
        <v>4756</v>
      </c>
      <c r="AR132" s="16" t="s">
        <v>4843</v>
      </c>
    </row>
    <row r="133" spans="23:44" x14ac:dyDescent="0.25">
      <c r="W133" s="16" t="s">
        <v>4802</v>
      </c>
      <c r="Z133" s="16" t="s">
        <v>4989</v>
      </c>
      <c r="AE133" s="16" t="s">
        <v>4757</v>
      </c>
      <c r="AR133" s="16" t="s">
        <v>4844</v>
      </c>
    </row>
    <row r="134" spans="23:44" x14ac:dyDescent="0.25">
      <c r="W134" s="16" t="s">
        <v>4803</v>
      </c>
      <c r="Z134" s="16" t="s">
        <v>4990</v>
      </c>
      <c r="AE134" s="16" t="s">
        <v>4758</v>
      </c>
      <c r="AR134" s="16" t="s">
        <v>4845</v>
      </c>
    </row>
    <row r="135" spans="23:44" x14ac:dyDescent="0.25">
      <c r="W135" s="16" t="s">
        <v>4804</v>
      </c>
      <c r="Z135" s="16" t="s">
        <v>5037</v>
      </c>
      <c r="AE135" s="16" t="s">
        <v>4759</v>
      </c>
      <c r="AR135" s="16" t="s">
        <v>4846</v>
      </c>
    </row>
    <row r="136" spans="23:44" x14ac:dyDescent="0.25">
      <c r="W136" s="16" t="s">
        <v>4847</v>
      </c>
      <c r="Z136" s="16" t="s">
        <v>4994</v>
      </c>
      <c r="AE136" s="16" t="s">
        <v>4760</v>
      </c>
    </row>
    <row r="137" spans="23:44" x14ac:dyDescent="0.25">
      <c r="W137" s="16" t="s">
        <v>4848</v>
      </c>
      <c r="Z137" s="16" t="s">
        <v>4995</v>
      </c>
      <c r="AE137" s="16" t="s">
        <v>4761</v>
      </c>
    </row>
    <row r="138" spans="23:44" x14ac:dyDescent="0.25">
      <c r="W138" s="16" t="s">
        <v>4849</v>
      </c>
      <c r="Z138" s="16" t="s">
        <v>4956</v>
      </c>
      <c r="AE138" s="16" t="s">
        <v>4762</v>
      </c>
    </row>
    <row r="139" spans="23:44" x14ac:dyDescent="0.25">
      <c r="W139" s="16" t="s">
        <v>4850</v>
      </c>
      <c r="Z139" s="16" t="s">
        <v>4957</v>
      </c>
      <c r="AE139" s="16" t="s">
        <v>4763</v>
      </c>
    </row>
    <row r="140" spans="23:44" x14ac:dyDescent="0.25">
      <c r="W140" s="16" t="s">
        <v>4851</v>
      </c>
      <c r="Z140" s="16" t="s">
        <v>4958</v>
      </c>
      <c r="AE140" s="16" t="s">
        <v>4764</v>
      </c>
    </row>
    <row r="141" spans="23:44" x14ac:dyDescent="0.25">
      <c r="W141" s="16" t="s">
        <v>4852</v>
      </c>
      <c r="Z141" s="16" t="s">
        <v>4959</v>
      </c>
      <c r="AE141" s="16" t="s">
        <v>4765</v>
      </c>
    </row>
    <row r="142" spans="23:44" x14ac:dyDescent="0.25">
      <c r="W142" s="16" t="s">
        <v>4853</v>
      </c>
      <c r="Z142" s="16" t="s">
        <v>4960</v>
      </c>
      <c r="AE142" s="16" t="s">
        <v>4766</v>
      </c>
    </row>
    <row r="143" spans="23:44" x14ac:dyDescent="0.25">
      <c r="W143" s="16" t="s">
        <v>4854</v>
      </c>
      <c r="Z143" s="16" t="s">
        <v>4961</v>
      </c>
      <c r="AE143" s="16" t="s">
        <v>4669</v>
      </c>
    </row>
    <row r="144" spans="23:44" x14ac:dyDescent="0.25">
      <c r="W144" s="16" t="s">
        <v>4855</v>
      </c>
      <c r="Z144" s="16" t="s">
        <v>4832</v>
      </c>
      <c r="AE144" s="16" t="s">
        <v>4670</v>
      </c>
    </row>
    <row r="145" spans="23:31" x14ac:dyDescent="0.25">
      <c r="W145" s="16" t="s">
        <v>4797</v>
      </c>
      <c r="Z145" s="16" t="s">
        <v>4833</v>
      </c>
      <c r="AE145" s="16" t="s">
        <v>4671</v>
      </c>
    </row>
    <row r="146" spans="23:31" x14ac:dyDescent="0.25">
      <c r="W146" s="16" t="s">
        <v>4798</v>
      </c>
      <c r="Z146" s="16" t="s">
        <v>4834</v>
      </c>
    </row>
    <row r="147" spans="23:31" x14ac:dyDescent="0.25">
      <c r="Z147" s="16" t="s">
        <v>4602</v>
      </c>
    </row>
    <row r="148" spans="23:31" x14ac:dyDescent="0.25">
      <c r="Z148" s="16" t="s">
        <v>4603</v>
      </c>
    </row>
    <row r="149" spans="23:31" x14ac:dyDescent="0.25">
      <c r="Z149" s="16" t="s">
        <v>4604</v>
      </c>
    </row>
    <row r="150" spans="23:31" x14ac:dyDescent="0.25">
      <c r="Z150" s="16" t="s">
        <v>4605</v>
      </c>
    </row>
    <row r="151" spans="23:31" x14ac:dyDescent="0.25">
      <c r="Z151" s="16" t="s">
        <v>4835</v>
      </c>
    </row>
    <row r="152" spans="23:31" x14ac:dyDescent="0.25">
      <c r="Z152" s="16" t="s">
        <v>4836</v>
      </c>
    </row>
    <row r="153" spans="23:31" x14ac:dyDescent="0.25">
      <c r="Z153" s="16" t="s">
        <v>4837</v>
      </c>
    </row>
    <row r="154" spans="23:31" x14ac:dyDescent="0.25">
      <c r="Z154" s="16" t="s">
        <v>4838</v>
      </c>
    </row>
    <row r="155" spans="23:31" x14ac:dyDescent="0.25">
      <c r="Z155" s="16" t="s">
        <v>4839</v>
      </c>
    </row>
    <row r="156" spans="23:31" x14ac:dyDescent="0.25">
      <c r="Z156" s="16" t="s">
        <v>4840</v>
      </c>
    </row>
    <row r="157" spans="23:31" x14ac:dyDescent="0.25">
      <c r="Z157" s="16" t="s">
        <v>4841</v>
      </c>
    </row>
    <row r="158" spans="23:31" x14ac:dyDescent="0.25">
      <c r="Z158" s="16" t="s">
        <v>4842</v>
      </c>
    </row>
    <row r="159" spans="23:31" x14ac:dyDescent="0.25">
      <c r="Z159" s="16" t="s">
        <v>4843</v>
      </c>
    </row>
    <row r="160" spans="23:31" x14ac:dyDescent="0.25">
      <c r="Z160" s="16" t="s">
        <v>4844</v>
      </c>
    </row>
    <row r="161" spans="26:26" x14ac:dyDescent="0.25">
      <c r="Z161" s="16" t="s">
        <v>4845</v>
      </c>
    </row>
    <row r="162" spans="26:26" x14ac:dyDescent="0.25">
      <c r="Z162" s="16" t="s">
        <v>4846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2FBDA7-9482-4F59-A7A5-84C4141BFD20}">
  <sheetPr codeName="Sheet9"/>
  <dimension ref="A1:DT5388"/>
  <sheetViews>
    <sheetView topLeftCell="A5224" zoomScale="85" zoomScaleNormal="85" workbookViewId="0">
      <selection activeCell="B5268" sqref="B5268"/>
    </sheetView>
  </sheetViews>
  <sheetFormatPr defaultRowHeight="15" x14ac:dyDescent="0.25"/>
  <cols>
    <col min="1" max="16384" width="9.140625" style="22"/>
  </cols>
  <sheetData>
    <row r="1" spans="1:48" x14ac:dyDescent="0.25">
      <c r="A1" s="18" t="s">
        <v>3965</v>
      </c>
      <c r="B1" s="18" t="s">
        <v>3965</v>
      </c>
    </row>
    <row r="2" spans="1:48" x14ac:dyDescent="0.25">
      <c r="A2" s="18" t="s">
        <v>4027</v>
      </c>
      <c r="B2" s="18" t="s">
        <v>3965</v>
      </c>
    </row>
    <row r="3" spans="1:48" x14ac:dyDescent="0.25">
      <c r="A3" s="18" t="s">
        <v>4031</v>
      </c>
      <c r="B3" s="18" t="s">
        <v>3965</v>
      </c>
    </row>
    <row r="4" spans="1:48" x14ac:dyDescent="0.25">
      <c r="A4" s="18" t="s">
        <v>4034</v>
      </c>
      <c r="B4" s="18" t="s">
        <v>3965</v>
      </c>
    </row>
    <row r="5" spans="1:48" x14ac:dyDescent="0.25">
      <c r="A5" s="18" t="s">
        <v>4041</v>
      </c>
      <c r="B5" s="18" t="s">
        <v>3965</v>
      </c>
    </row>
    <row r="6" spans="1:48" x14ac:dyDescent="0.25">
      <c r="A6" s="18">
        <v>-12119224</v>
      </c>
      <c r="B6" s="18" t="s">
        <v>3965</v>
      </c>
    </row>
    <row r="7" spans="1:48" x14ac:dyDescent="0.25">
      <c r="A7" s="18" t="s">
        <v>4060</v>
      </c>
      <c r="B7" s="18" t="s">
        <v>3965</v>
      </c>
    </row>
    <row r="8" spans="1:48" x14ac:dyDescent="0.25">
      <c r="A8" s="18">
        <v>-12163074</v>
      </c>
      <c r="B8" s="18" t="s">
        <v>3965</v>
      </c>
    </row>
    <row r="9" spans="1:48" x14ac:dyDescent="0.25">
      <c r="A9" s="18" t="s">
        <v>4082</v>
      </c>
      <c r="B9" s="18" t="s">
        <v>3965</v>
      </c>
    </row>
    <row r="10" spans="1:48" x14ac:dyDescent="0.25">
      <c r="A10" s="18">
        <v>12174962</v>
      </c>
      <c r="B10" s="18" t="s">
        <v>3965</v>
      </c>
    </row>
    <row r="11" spans="1:48" x14ac:dyDescent="0.25">
      <c r="A11" s="18" t="s">
        <v>4112</v>
      </c>
      <c r="B11" s="18" t="s">
        <v>3965</v>
      </c>
    </row>
    <row r="12" spans="1:48" x14ac:dyDescent="0.25">
      <c r="A12" s="18" t="s">
        <v>4126</v>
      </c>
      <c r="B12" s="18" t="s">
        <v>3965</v>
      </c>
    </row>
    <row r="13" spans="1:48" x14ac:dyDescent="0.25">
      <c r="A13" s="18">
        <v>-486653628</v>
      </c>
      <c r="B13" s="18" t="s">
        <v>3965</v>
      </c>
    </row>
    <row r="14" spans="1:48" x14ac:dyDescent="0.25">
      <c r="A14" s="18" t="s">
        <v>4142</v>
      </c>
      <c r="B14" s="18" t="s">
        <v>3965</v>
      </c>
      <c r="AU14" s="20"/>
      <c r="AV14" s="20"/>
    </row>
    <row r="15" spans="1:48" x14ac:dyDescent="0.25">
      <c r="A15" s="18" t="s">
        <v>4154</v>
      </c>
      <c r="B15" s="18" t="s">
        <v>3965</v>
      </c>
      <c r="AK15" s="20"/>
      <c r="AL15" s="20"/>
      <c r="AU15" s="20"/>
      <c r="AV15" s="20"/>
    </row>
    <row r="16" spans="1:48" x14ac:dyDescent="0.25">
      <c r="A16" s="18" t="s">
        <v>4168</v>
      </c>
      <c r="B16" s="18" t="s">
        <v>3965</v>
      </c>
      <c r="AK16" s="20"/>
      <c r="AL16" s="20"/>
      <c r="AU16" s="20"/>
      <c r="AV16" s="20"/>
    </row>
    <row r="17" spans="1:124" x14ac:dyDescent="0.25">
      <c r="A17" s="18" t="s">
        <v>4027</v>
      </c>
      <c r="B17" s="18" t="s">
        <v>3965</v>
      </c>
      <c r="AK17" s="20"/>
      <c r="AL17" s="20"/>
      <c r="AU17" s="20"/>
      <c r="AV17" s="20"/>
    </row>
    <row r="18" spans="1:124" x14ac:dyDescent="0.25">
      <c r="A18" s="18" t="s">
        <v>4031</v>
      </c>
      <c r="B18" s="18" t="s">
        <v>3965</v>
      </c>
      <c r="AK18" s="20"/>
      <c r="AL18" s="20"/>
      <c r="AM18" s="20"/>
      <c r="AN18" s="20"/>
      <c r="AU18" s="20"/>
      <c r="AV18" s="20"/>
      <c r="CY18" s="20"/>
      <c r="CZ18" s="20"/>
    </row>
    <row r="19" spans="1:124" x14ac:dyDescent="0.25">
      <c r="A19" s="18" t="s">
        <v>4035</v>
      </c>
      <c r="B19" s="18" t="s">
        <v>3965</v>
      </c>
      <c r="AK19" s="20"/>
      <c r="AL19" s="20"/>
      <c r="AM19" s="20"/>
      <c r="AN19" s="20"/>
      <c r="AU19" s="20"/>
      <c r="AV19" s="20"/>
      <c r="CY19" s="20"/>
      <c r="CZ19" s="20"/>
    </row>
    <row r="20" spans="1:124" x14ac:dyDescent="0.25">
      <c r="A20" s="18" t="s">
        <v>4042</v>
      </c>
      <c r="B20" s="18" t="s">
        <v>3965</v>
      </c>
      <c r="AK20" s="20"/>
      <c r="AL20" s="20"/>
      <c r="AM20" s="20"/>
      <c r="AN20" s="20"/>
      <c r="AU20" s="20"/>
      <c r="AV20" s="20"/>
      <c r="CY20" s="20"/>
      <c r="CZ20" s="20"/>
    </row>
    <row r="21" spans="1:124" x14ac:dyDescent="0.25">
      <c r="A21" s="18">
        <v>424978639</v>
      </c>
      <c r="B21" s="18" t="s">
        <v>3965</v>
      </c>
      <c r="AK21" s="20"/>
      <c r="AL21" s="20"/>
      <c r="AM21" s="20"/>
      <c r="AN21" s="20"/>
      <c r="AU21" s="20"/>
      <c r="AV21" s="20"/>
      <c r="CY21" s="20"/>
      <c r="CZ21" s="20"/>
    </row>
    <row r="22" spans="1:124" x14ac:dyDescent="0.25">
      <c r="A22" s="18">
        <v>387423966</v>
      </c>
      <c r="B22" s="18" t="s">
        <v>3965</v>
      </c>
      <c r="AK22" s="20"/>
      <c r="AL22" s="20"/>
      <c r="AM22" s="20"/>
      <c r="AN22" s="20"/>
      <c r="AU22" s="20"/>
      <c r="AV22" s="20"/>
      <c r="CY22" s="20"/>
      <c r="CZ22" s="20"/>
    </row>
    <row r="23" spans="1:124" x14ac:dyDescent="0.25">
      <c r="A23" s="18">
        <v>424978644</v>
      </c>
      <c r="B23" s="18" t="s">
        <v>3965</v>
      </c>
      <c r="AK23" s="20"/>
      <c r="AL23" s="20"/>
      <c r="AM23" s="20"/>
      <c r="AN23" s="20"/>
      <c r="AU23" s="20"/>
      <c r="AV23" s="20"/>
      <c r="CY23" s="20"/>
      <c r="CZ23" s="20"/>
    </row>
    <row r="24" spans="1:124" x14ac:dyDescent="0.25">
      <c r="A24" s="18">
        <v>423965484</v>
      </c>
      <c r="B24" s="18" t="s">
        <v>3965</v>
      </c>
      <c r="AK24" s="20"/>
      <c r="AL24" s="20"/>
      <c r="AM24" s="20"/>
      <c r="AN24" s="20"/>
      <c r="AU24" s="20"/>
      <c r="AV24" s="20"/>
      <c r="CC24" s="20"/>
      <c r="CD24" s="20"/>
      <c r="CY24" s="20"/>
      <c r="CZ24" s="20"/>
    </row>
    <row r="25" spans="1:124" x14ac:dyDescent="0.25">
      <c r="A25" s="18" t="s">
        <v>4100</v>
      </c>
      <c r="B25" s="18" t="s">
        <v>3965</v>
      </c>
      <c r="AK25" s="20"/>
      <c r="AL25" s="20"/>
      <c r="AM25" s="20"/>
      <c r="AN25" s="20"/>
      <c r="AU25" s="20"/>
      <c r="AV25" s="20"/>
      <c r="CC25" s="20"/>
      <c r="CD25" s="20"/>
      <c r="CY25" s="20"/>
      <c r="CZ25" s="20"/>
    </row>
    <row r="26" spans="1:124" x14ac:dyDescent="0.25">
      <c r="A26" s="18" t="s">
        <v>4114</v>
      </c>
      <c r="B26" s="18" t="s">
        <v>3965</v>
      </c>
      <c r="AK26" s="20"/>
      <c r="AL26" s="20"/>
      <c r="AM26" s="20"/>
      <c r="AN26" s="20"/>
      <c r="AU26" s="20"/>
      <c r="AV26" s="20"/>
      <c r="CC26" s="20"/>
      <c r="CD26" s="20"/>
      <c r="CY26" s="20"/>
      <c r="CZ26" s="20"/>
    </row>
    <row r="27" spans="1:124" x14ac:dyDescent="0.25">
      <c r="A27" s="18">
        <v>448887868</v>
      </c>
      <c r="B27" s="18" t="s">
        <v>3965</v>
      </c>
      <c r="AK27" s="20"/>
      <c r="AL27" s="20"/>
      <c r="AM27" s="20"/>
      <c r="AN27" s="20"/>
      <c r="AU27" s="20"/>
      <c r="AV27" s="20"/>
      <c r="CC27" s="20"/>
      <c r="CD27" s="20"/>
      <c r="CY27" s="20"/>
      <c r="CZ27" s="20"/>
      <c r="DS27" s="20"/>
      <c r="DT27" s="20"/>
    </row>
    <row r="28" spans="1:124" x14ac:dyDescent="0.25">
      <c r="A28" s="18" t="s">
        <v>4135</v>
      </c>
      <c r="B28" s="18" t="s">
        <v>3965</v>
      </c>
      <c r="AK28" s="20"/>
      <c r="AL28" s="20"/>
      <c r="AM28" s="20"/>
      <c r="AN28" s="20"/>
      <c r="AU28" s="20"/>
      <c r="AV28" s="20"/>
      <c r="CC28" s="20"/>
      <c r="CD28" s="20"/>
      <c r="CY28" s="20"/>
      <c r="CZ28" s="20"/>
      <c r="DS28" s="20"/>
      <c r="DT28" s="20"/>
    </row>
    <row r="29" spans="1:124" x14ac:dyDescent="0.25">
      <c r="A29" s="18" t="s">
        <v>4145</v>
      </c>
      <c r="B29" s="18" t="s">
        <v>3965</v>
      </c>
      <c r="AK29" s="20"/>
      <c r="AL29" s="20"/>
      <c r="AM29" s="20"/>
      <c r="AN29" s="20"/>
      <c r="AU29" s="20"/>
      <c r="AV29" s="20"/>
      <c r="CC29" s="20"/>
      <c r="CD29" s="20"/>
      <c r="CY29" s="20"/>
      <c r="CZ29" s="20"/>
      <c r="DS29" s="20"/>
      <c r="DT29" s="20"/>
    </row>
    <row r="30" spans="1:124" x14ac:dyDescent="0.25">
      <c r="A30" s="18">
        <v>448887869</v>
      </c>
      <c r="B30" s="18" t="s">
        <v>3965</v>
      </c>
      <c r="AK30" s="20"/>
      <c r="AL30" s="20"/>
      <c r="AM30" s="20"/>
      <c r="AN30" s="20"/>
      <c r="AU30" s="20"/>
      <c r="AV30" s="20"/>
      <c r="CC30" s="20"/>
      <c r="CD30" s="20"/>
      <c r="CY30" s="20"/>
      <c r="CZ30" s="20"/>
      <c r="DS30" s="20"/>
      <c r="DT30" s="20"/>
    </row>
    <row r="31" spans="1:124" x14ac:dyDescent="0.25">
      <c r="A31" s="18">
        <v>448887867</v>
      </c>
      <c r="B31" s="18" t="s">
        <v>3965</v>
      </c>
      <c r="AK31" s="20"/>
      <c r="AL31" s="20"/>
      <c r="AM31" s="20"/>
      <c r="AN31" s="20"/>
      <c r="AU31" s="20"/>
      <c r="AV31" s="20"/>
      <c r="CC31" s="20"/>
      <c r="CD31" s="20"/>
      <c r="CY31" s="20"/>
      <c r="CZ31" s="20"/>
      <c r="DS31" s="20"/>
      <c r="DT31" s="20"/>
    </row>
    <row r="32" spans="1:124" x14ac:dyDescent="0.25">
      <c r="A32" s="18" t="s">
        <v>4193</v>
      </c>
      <c r="B32" s="18" t="s">
        <v>3965</v>
      </c>
      <c r="AK32" s="20"/>
      <c r="AL32" s="20"/>
      <c r="AM32" s="20"/>
      <c r="AN32" s="20"/>
      <c r="AU32" s="20"/>
      <c r="AV32" s="20"/>
      <c r="CC32" s="20"/>
      <c r="CD32" s="20"/>
      <c r="CY32" s="20"/>
      <c r="CZ32" s="20"/>
      <c r="DS32" s="20"/>
      <c r="DT32" s="20"/>
    </row>
    <row r="33" spans="1:124" x14ac:dyDescent="0.25">
      <c r="A33" s="19" t="s">
        <v>3966</v>
      </c>
      <c r="B33" s="19" t="s">
        <v>3966</v>
      </c>
      <c r="AK33" s="20"/>
      <c r="AL33" s="20"/>
      <c r="AM33" s="20"/>
      <c r="AN33" s="20"/>
      <c r="AU33" s="20"/>
      <c r="AV33" s="20"/>
      <c r="CC33" s="20"/>
      <c r="CD33" s="20"/>
      <c r="CY33" s="20"/>
      <c r="CZ33" s="20"/>
      <c r="DS33" s="20"/>
      <c r="DT33" s="20"/>
    </row>
    <row r="34" spans="1:124" x14ac:dyDescent="0.25">
      <c r="A34" s="19" t="s">
        <v>4027</v>
      </c>
      <c r="B34" s="19" t="s">
        <v>3966</v>
      </c>
      <c r="AK34" s="20"/>
      <c r="AL34" s="20"/>
      <c r="AM34" s="20"/>
      <c r="AN34" s="20"/>
      <c r="AU34" s="20"/>
      <c r="AV34" s="20"/>
      <c r="CC34" s="20"/>
      <c r="CD34" s="20"/>
      <c r="CY34" s="20"/>
      <c r="CZ34" s="20"/>
      <c r="DS34" s="20"/>
      <c r="DT34" s="20"/>
    </row>
    <row r="35" spans="1:124" x14ac:dyDescent="0.25">
      <c r="A35" s="19" t="s">
        <v>4031</v>
      </c>
      <c r="B35" s="19" t="s">
        <v>3966</v>
      </c>
      <c r="AK35" s="20"/>
      <c r="AL35" s="20"/>
      <c r="AM35" s="20"/>
      <c r="AN35" s="20"/>
      <c r="AU35" s="20"/>
      <c r="AV35" s="20"/>
      <c r="CC35" s="20"/>
      <c r="CD35" s="20"/>
      <c r="CY35" s="20"/>
      <c r="CZ35" s="20"/>
      <c r="DS35" s="20"/>
      <c r="DT35" s="20"/>
    </row>
    <row r="36" spans="1:124" x14ac:dyDescent="0.25">
      <c r="A36" s="19" t="s">
        <v>4034</v>
      </c>
      <c r="B36" s="19" t="s">
        <v>3966</v>
      </c>
      <c r="AK36" s="20"/>
      <c r="AL36" s="20"/>
      <c r="AM36" s="20"/>
      <c r="AN36" s="20"/>
      <c r="AU36" s="20"/>
      <c r="AV36" s="20"/>
      <c r="CC36" s="20"/>
      <c r="CD36" s="20"/>
      <c r="CY36" s="20"/>
      <c r="CZ36" s="20"/>
      <c r="DS36" s="20"/>
      <c r="DT36" s="20"/>
    </row>
    <row r="37" spans="1:124" x14ac:dyDescent="0.25">
      <c r="A37" s="19" t="s">
        <v>4041</v>
      </c>
      <c r="B37" s="19" t="s">
        <v>3966</v>
      </c>
      <c r="AI37" s="20"/>
      <c r="AJ37" s="20"/>
      <c r="AK37" s="20"/>
      <c r="AL37" s="20"/>
      <c r="AM37" s="20"/>
      <c r="AN37" s="20"/>
      <c r="AU37" s="20"/>
      <c r="AV37" s="20"/>
      <c r="CC37" s="20"/>
      <c r="CD37" s="20"/>
      <c r="CY37" s="20"/>
      <c r="CZ37" s="20"/>
      <c r="DS37" s="20"/>
      <c r="DT37" s="20"/>
    </row>
    <row r="38" spans="1:124" x14ac:dyDescent="0.25">
      <c r="A38" s="19">
        <v>-12119224</v>
      </c>
      <c r="B38" s="19" t="s">
        <v>3966</v>
      </c>
      <c r="AI38" s="20"/>
      <c r="AJ38" s="20"/>
      <c r="AK38" s="20"/>
      <c r="AL38" s="20"/>
      <c r="AM38" s="20"/>
      <c r="AN38" s="20"/>
      <c r="AU38" s="20"/>
      <c r="AV38" s="20"/>
      <c r="CC38" s="20"/>
      <c r="CD38" s="20"/>
      <c r="CY38" s="20"/>
      <c r="CZ38" s="20"/>
      <c r="DS38" s="20"/>
      <c r="DT38" s="20"/>
    </row>
    <row r="39" spans="1:124" x14ac:dyDescent="0.25">
      <c r="A39" s="19" t="s">
        <v>4060</v>
      </c>
      <c r="B39" s="19" t="s">
        <v>3966</v>
      </c>
      <c r="AI39" s="20"/>
      <c r="AJ39" s="20"/>
      <c r="AK39" s="20"/>
      <c r="AL39" s="20"/>
      <c r="AM39" s="20"/>
      <c r="AN39" s="20"/>
      <c r="AU39" s="20"/>
      <c r="AV39" s="20"/>
      <c r="CC39" s="20"/>
      <c r="CD39" s="20"/>
      <c r="CY39" s="20"/>
      <c r="CZ39" s="20"/>
      <c r="DS39" s="20"/>
      <c r="DT39" s="20"/>
    </row>
    <row r="40" spans="1:124" x14ac:dyDescent="0.25">
      <c r="A40" s="19">
        <v>-12163074</v>
      </c>
      <c r="B40" s="19" t="s">
        <v>3966</v>
      </c>
      <c r="AG40" s="20"/>
      <c r="AH40" s="20"/>
      <c r="AI40" s="20"/>
      <c r="AJ40" s="20"/>
      <c r="AK40" s="20"/>
      <c r="AL40" s="20"/>
      <c r="AM40" s="20"/>
      <c r="AN40" s="20"/>
      <c r="AU40" s="20"/>
      <c r="AV40" s="20"/>
      <c r="CC40" s="20"/>
      <c r="CD40" s="20"/>
      <c r="CY40" s="20"/>
      <c r="CZ40" s="20"/>
      <c r="DS40" s="20"/>
      <c r="DT40" s="20"/>
    </row>
    <row r="41" spans="1:124" x14ac:dyDescent="0.25">
      <c r="A41" s="19" t="s">
        <v>4083</v>
      </c>
      <c r="B41" s="19" t="s">
        <v>3966</v>
      </c>
      <c r="AG41" s="20"/>
      <c r="AH41" s="20"/>
      <c r="AI41" s="20"/>
      <c r="AJ41" s="20"/>
      <c r="AK41" s="20"/>
      <c r="AL41" s="20"/>
      <c r="AM41" s="20"/>
      <c r="AN41" s="20"/>
      <c r="AU41" s="20"/>
      <c r="AV41" s="20"/>
      <c r="CC41" s="20"/>
      <c r="CD41" s="20"/>
      <c r="CY41" s="20"/>
      <c r="CZ41" s="20"/>
      <c r="DS41" s="20"/>
      <c r="DT41" s="20"/>
    </row>
    <row r="42" spans="1:124" x14ac:dyDescent="0.25">
      <c r="A42" s="19" t="s">
        <v>4084</v>
      </c>
      <c r="B42" s="19" t="s">
        <v>3966</v>
      </c>
      <c r="AG42" s="20"/>
      <c r="AH42" s="20"/>
      <c r="AI42" s="20"/>
      <c r="AJ42" s="20"/>
      <c r="AK42" s="20"/>
      <c r="AL42" s="20"/>
      <c r="AM42" s="20"/>
      <c r="AN42" s="20"/>
      <c r="AU42" s="20"/>
      <c r="AV42" s="20"/>
      <c r="CC42" s="20"/>
      <c r="CD42" s="20"/>
      <c r="CY42" s="20"/>
      <c r="CZ42" s="20"/>
      <c r="DS42" s="20"/>
      <c r="DT42" s="20"/>
    </row>
    <row r="43" spans="1:124" x14ac:dyDescent="0.25">
      <c r="A43" s="19" t="s">
        <v>4098</v>
      </c>
      <c r="B43" s="19" t="s">
        <v>3966</v>
      </c>
      <c r="AG43" s="20"/>
      <c r="AH43" s="20"/>
      <c r="AI43" s="20"/>
      <c r="AJ43" s="20"/>
      <c r="AK43" s="20"/>
      <c r="AL43" s="20"/>
      <c r="AM43" s="20"/>
      <c r="AN43" s="20"/>
      <c r="AU43" s="20"/>
      <c r="AV43" s="20"/>
      <c r="CC43" s="20"/>
      <c r="CD43" s="20"/>
      <c r="CY43" s="20"/>
      <c r="CZ43" s="20"/>
      <c r="DS43" s="20"/>
      <c r="DT43" s="20"/>
    </row>
    <row r="44" spans="1:124" x14ac:dyDescent="0.25">
      <c r="A44" s="19">
        <v>-423967356</v>
      </c>
      <c r="B44" s="19" t="s">
        <v>3966</v>
      </c>
      <c r="AG44" s="20"/>
      <c r="AH44" s="20"/>
      <c r="AI44" s="20"/>
      <c r="AJ44" s="20"/>
      <c r="AK44" s="20"/>
      <c r="AL44" s="20"/>
      <c r="AM44" s="20"/>
      <c r="AN44" s="20"/>
      <c r="AS44" s="20"/>
      <c r="AT44" s="20"/>
      <c r="AU44" s="20"/>
      <c r="AV44" s="20"/>
      <c r="CC44" s="20"/>
      <c r="CD44" s="20"/>
      <c r="CY44" s="20"/>
      <c r="CZ44" s="20"/>
      <c r="DS44" s="20"/>
      <c r="DT44" s="20"/>
    </row>
    <row r="45" spans="1:124" x14ac:dyDescent="0.25">
      <c r="A45" s="19">
        <v>-424978643</v>
      </c>
      <c r="B45" s="19" t="s">
        <v>3966</v>
      </c>
      <c r="AG45" s="20"/>
      <c r="AH45" s="20"/>
      <c r="AI45" s="20"/>
      <c r="AJ45" s="20"/>
      <c r="AK45" s="20"/>
      <c r="AL45" s="20"/>
      <c r="AM45" s="20"/>
      <c r="AN45" s="20"/>
      <c r="AS45" s="20"/>
      <c r="AT45" s="20"/>
      <c r="AU45" s="20"/>
      <c r="AV45" s="20"/>
      <c r="CC45" s="20"/>
      <c r="CD45" s="20"/>
      <c r="CY45" s="20"/>
      <c r="CZ45" s="20"/>
      <c r="DK45" s="20"/>
      <c r="DL45" s="20"/>
      <c r="DS45" s="20"/>
      <c r="DT45" s="20"/>
    </row>
    <row r="46" spans="1:124" x14ac:dyDescent="0.25">
      <c r="A46" s="19" t="s">
        <v>4143</v>
      </c>
      <c r="B46" s="19" t="s">
        <v>3966</v>
      </c>
      <c r="AG46" s="20"/>
      <c r="AH46" s="20"/>
      <c r="AI46" s="20"/>
      <c r="AJ46" s="20"/>
      <c r="AK46" s="20"/>
      <c r="AL46" s="20"/>
      <c r="AM46" s="20"/>
      <c r="AN46" s="20"/>
      <c r="AS46" s="20"/>
      <c r="AT46" s="20"/>
      <c r="AU46" s="20"/>
      <c r="AV46" s="20"/>
      <c r="CC46" s="20"/>
      <c r="CD46" s="20"/>
      <c r="CY46" s="20"/>
      <c r="CZ46" s="20"/>
      <c r="DK46" s="20"/>
      <c r="DL46" s="20"/>
      <c r="DO46" s="20"/>
      <c r="DP46" s="20"/>
      <c r="DS46" s="20"/>
      <c r="DT46" s="20"/>
    </row>
    <row r="47" spans="1:124" x14ac:dyDescent="0.25">
      <c r="A47" s="19" t="s">
        <v>4155</v>
      </c>
      <c r="B47" s="19" t="s">
        <v>3966</v>
      </c>
      <c r="AG47" s="20"/>
      <c r="AH47" s="20"/>
      <c r="AI47" s="20"/>
      <c r="AJ47" s="20"/>
      <c r="AK47" s="20"/>
      <c r="AL47" s="20"/>
      <c r="AM47" s="20"/>
      <c r="AN47" s="20"/>
      <c r="AO47" s="20"/>
      <c r="AP47" s="20"/>
      <c r="AS47" s="20"/>
      <c r="AT47" s="20"/>
      <c r="AU47" s="20"/>
      <c r="AV47" s="20"/>
      <c r="AW47" s="20"/>
      <c r="AX47" s="20"/>
      <c r="BA47" s="20"/>
      <c r="BB47" s="20"/>
      <c r="CC47" s="20"/>
      <c r="CD47" s="20"/>
      <c r="CY47" s="20"/>
      <c r="CZ47" s="20"/>
      <c r="DK47" s="20"/>
      <c r="DL47" s="20"/>
      <c r="DO47" s="20"/>
      <c r="DP47" s="20"/>
      <c r="DS47" s="20"/>
      <c r="DT47" s="20"/>
    </row>
    <row r="48" spans="1:124" x14ac:dyDescent="0.25">
      <c r="A48" s="19" t="s">
        <v>4169</v>
      </c>
      <c r="B48" s="19" t="s">
        <v>3966</v>
      </c>
      <c r="AG48" s="20"/>
      <c r="AH48" s="20"/>
      <c r="AI48" s="20"/>
      <c r="AJ48" s="20"/>
      <c r="AK48" s="20"/>
      <c r="AL48" s="20"/>
      <c r="AM48" s="20"/>
      <c r="AN48" s="20"/>
      <c r="AO48" s="20"/>
      <c r="AP48" s="20"/>
      <c r="AS48" s="20"/>
      <c r="AT48" s="20"/>
      <c r="AU48" s="20"/>
      <c r="AV48" s="20"/>
      <c r="AW48" s="20"/>
      <c r="AX48" s="20"/>
      <c r="BA48" s="20"/>
      <c r="BB48" s="20"/>
      <c r="CC48" s="20"/>
      <c r="CD48" s="20"/>
      <c r="CY48" s="20"/>
      <c r="CZ48" s="20"/>
      <c r="DK48" s="20"/>
      <c r="DL48" s="20"/>
      <c r="DM48" s="20"/>
      <c r="DN48" s="20"/>
      <c r="DO48" s="20"/>
      <c r="DP48" s="20"/>
      <c r="DS48" s="20"/>
      <c r="DT48" s="20"/>
    </row>
    <row r="49" spans="1:124" x14ac:dyDescent="0.25">
      <c r="A49" s="19" t="s">
        <v>4187</v>
      </c>
      <c r="B49" s="19" t="s">
        <v>3966</v>
      </c>
      <c r="AA49" s="20"/>
      <c r="AB49" s="20"/>
      <c r="AG49" s="20"/>
      <c r="AH49" s="20"/>
      <c r="AI49" s="20"/>
      <c r="AJ49" s="20"/>
      <c r="AK49" s="20"/>
      <c r="AL49" s="20"/>
      <c r="AM49" s="20"/>
      <c r="AN49" s="20"/>
      <c r="AO49" s="20"/>
      <c r="AP49" s="20"/>
      <c r="AS49" s="20"/>
      <c r="AT49" s="20"/>
      <c r="AU49" s="20"/>
      <c r="AV49" s="20"/>
      <c r="AW49" s="20"/>
      <c r="AX49" s="20"/>
      <c r="BA49" s="20"/>
      <c r="BB49" s="20"/>
      <c r="CC49" s="20"/>
      <c r="CD49" s="20"/>
      <c r="CY49" s="20"/>
      <c r="CZ49" s="20"/>
      <c r="DK49" s="20"/>
      <c r="DL49" s="20"/>
      <c r="DM49" s="20"/>
      <c r="DN49" s="20"/>
      <c r="DO49" s="20"/>
      <c r="DP49" s="20"/>
      <c r="DS49" s="20"/>
      <c r="DT49" s="20"/>
    </row>
    <row r="50" spans="1:124" x14ac:dyDescent="0.25">
      <c r="A50" s="19" t="s">
        <v>4201</v>
      </c>
      <c r="B50" s="19" t="s">
        <v>3966</v>
      </c>
      <c r="AA50" s="20"/>
      <c r="AB50" s="20"/>
      <c r="AG50" s="20"/>
      <c r="AH50" s="20"/>
      <c r="AI50" s="20"/>
      <c r="AJ50" s="20"/>
      <c r="AK50" s="20"/>
      <c r="AL50" s="20"/>
      <c r="AM50" s="20"/>
      <c r="AN50" s="20"/>
      <c r="AO50" s="20"/>
      <c r="AP50" s="20"/>
      <c r="AS50" s="20"/>
      <c r="AT50" s="20"/>
      <c r="AU50" s="20"/>
      <c r="AV50" s="20"/>
      <c r="AW50" s="20"/>
      <c r="AX50" s="20"/>
      <c r="BA50" s="20"/>
      <c r="BB50" s="20"/>
      <c r="CC50" s="20"/>
      <c r="CD50" s="20"/>
      <c r="CY50" s="20"/>
      <c r="CZ50" s="20"/>
      <c r="DK50" s="20"/>
      <c r="DL50" s="20"/>
      <c r="DM50" s="20"/>
      <c r="DN50" s="20"/>
      <c r="DO50" s="20"/>
      <c r="DP50" s="20"/>
      <c r="DS50" s="20"/>
      <c r="DT50" s="20"/>
    </row>
    <row r="51" spans="1:124" x14ac:dyDescent="0.25">
      <c r="A51" s="19">
        <v>423967353</v>
      </c>
      <c r="B51" s="19" t="s">
        <v>3966</v>
      </c>
      <c r="AA51" s="20"/>
      <c r="AB51" s="20"/>
      <c r="AC51" s="20"/>
      <c r="AD51" s="20"/>
      <c r="AG51" s="20"/>
      <c r="AH51" s="20"/>
      <c r="AI51" s="20"/>
      <c r="AJ51" s="20"/>
      <c r="AK51" s="20"/>
      <c r="AL51" s="20"/>
      <c r="AM51" s="20"/>
      <c r="AN51" s="20"/>
      <c r="AO51" s="20"/>
      <c r="AP51" s="20"/>
      <c r="AS51" s="20"/>
      <c r="AT51" s="20"/>
      <c r="AU51" s="20"/>
      <c r="AV51" s="20"/>
      <c r="AW51" s="20"/>
      <c r="AX51" s="20"/>
      <c r="BA51" s="20"/>
      <c r="BB51" s="20"/>
      <c r="CC51" s="20"/>
      <c r="CD51" s="20"/>
      <c r="CY51" s="20"/>
      <c r="CZ51" s="20"/>
      <c r="DK51" s="20"/>
      <c r="DL51" s="20"/>
      <c r="DM51" s="20"/>
      <c r="DN51" s="20"/>
      <c r="DO51" s="20"/>
      <c r="DP51" s="20"/>
      <c r="DS51" s="20"/>
      <c r="DT51" s="20"/>
    </row>
    <row r="52" spans="1:124" x14ac:dyDescent="0.25">
      <c r="A52" s="19">
        <v>424978640</v>
      </c>
      <c r="B52" s="19" t="s">
        <v>3966</v>
      </c>
      <c r="Q52" s="20"/>
      <c r="R52" s="20"/>
      <c r="S52" s="20"/>
      <c r="T52" s="20"/>
      <c r="AA52" s="20"/>
      <c r="AB52" s="20"/>
      <c r="AC52" s="20"/>
      <c r="AD52" s="20"/>
      <c r="AG52" s="20"/>
      <c r="AH52" s="20"/>
      <c r="AI52" s="20"/>
      <c r="AJ52" s="20"/>
      <c r="AK52" s="20"/>
      <c r="AL52" s="20"/>
      <c r="AM52" s="20"/>
      <c r="AN52" s="20"/>
      <c r="AO52" s="20"/>
      <c r="AP52" s="20"/>
      <c r="AS52" s="20"/>
      <c r="AT52" s="20"/>
      <c r="AU52" s="20"/>
      <c r="AV52" s="20"/>
      <c r="AW52" s="20"/>
      <c r="AX52" s="20"/>
      <c r="BA52" s="20"/>
      <c r="BB52" s="20"/>
      <c r="CC52" s="20"/>
      <c r="CD52" s="20"/>
      <c r="CY52" s="20"/>
      <c r="CZ52" s="20"/>
      <c r="DK52" s="20"/>
      <c r="DL52" s="20"/>
      <c r="DM52" s="20"/>
      <c r="DN52" s="20"/>
      <c r="DO52" s="20"/>
      <c r="DP52" s="20"/>
      <c r="DS52" s="20"/>
      <c r="DT52" s="20"/>
    </row>
    <row r="53" spans="1:124" x14ac:dyDescent="0.25">
      <c r="A53" s="19">
        <v>424978643</v>
      </c>
      <c r="B53" s="19" t="s">
        <v>3966</v>
      </c>
      <c r="Q53" s="20"/>
      <c r="R53" s="20"/>
      <c r="S53" s="20"/>
      <c r="T53" s="20"/>
      <c r="AA53" s="20"/>
      <c r="AB53" s="20"/>
      <c r="AC53" s="20"/>
      <c r="AD53" s="20"/>
      <c r="AG53" s="20"/>
      <c r="AH53" s="20"/>
      <c r="AI53" s="20"/>
      <c r="AJ53" s="20"/>
      <c r="AK53" s="20"/>
      <c r="AL53" s="20"/>
      <c r="AM53" s="20"/>
      <c r="AN53" s="20"/>
      <c r="AO53" s="20"/>
      <c r="AP53" s="20"/>
      <c r="AS53" s="20"/>
      <c r="AT53" s="20"/>
      <c r="AU53" s="20"/>
      <c r="AV53" s="20"/>
      <c r="AW53" s="20"/>
      <c r="AX53" s="20"/>
      <c r="BA53" s="20"/>
      <c r="BB53" s="20"/>
      <c r="CC53" s="20"/>
      <c r="CD53" s="20"/>
      <c r="CY53" s="20"/>
      <c r="CZ53" s="20"/>
      <c r="DK53" s="20"/>
      <c r="DL53" s="20"/>
      <c r="DM53" s="20"/>
      <c r="DN53" s="20"/>
      <c r="DO53" s="20"/>
      <c r="DP53" s="20"/>
      <c r="DS53" s="20"/>
      <c r="DT53" s="20"/>
    </row>
    <row r="54" spans="1:124" x14ac:dyDescent="0.25">
      <c r="A54" s="19">
        <v>423967356</v>
      </c>
      <c r="B54" s="19" t="s">
        <v>3966</v>
      </c>
      <c r="Q54" s="20"/>
      <c r="R54" s="20"/>
      <c r="S54" s="20"/>
      <c r="T54" s="20"/>
      <c r="U54" s="20"/>
      <c r="V54" s="20"/>
      <c r="AA54" s="20"/>
      <c r="AB54" s="20"/>
      <c r="AC54" s="20"/>
      <c r="AD54" s="20"/>
      <c r="AG54" s="20"/>
      <c r="AH54" s="20"/>
      <c r="AI54" s="20"/>
      <c r="AJ54" s="20"/>
      <c r="AK54" s="20"/>
      <c r="AL54" s="20"/>
      <c r="AM54" s="20"/>
      <c r="AN54" s="20"/>
      <c r="AO54" s="20"/>
      <c r="AP54" s="20"/>
      <c r="AS54" s="20"/>
      <c r="AT54" s="20"/>
      <c r="AU54" s="20"/>
      <c r="AV54" s="20"/>
      <c r="AW54" s="20"/>
      <c r="AX54" s="20"/>
      <c r="BA54" s="20"/>
      <c r="BB54" s="20"/>
      <c r="BS54" s="20"/>
      <c r="BT54" s="20"/>
      <c r="CC54" s="20"/>
      <c r="CD54" s="20"/>
      <c r="CY54" s="20"/>
      <c r="CZ54" s="20"/>
      <c r="DK54" s="20"/>
      <c r="DL54" s="20"/>
      <c r="DM54" s="20"/>
      <c r="DN54" s="20"/>
      <c r="DO54" s="20"/>
      <c r="DP54" s="20"/>
      <c r="DS54" s="20"/>
      <c r="DT54" s="20"/>
    </row>
    <row r="55" spans="1:124" x14ac:dyDescent="0.25">
      <c r="A55" s="19" t="s">
        <v>4244</v>
      </c>
      <c r="B55" s="19" t="s">
        <v>3966</v>
      </c>
      <c r="K55" s="20"/>
      <c r="L55" s="20"/>
      <c r="Q55" s="20"/>
      <c r="R55" s="20"/>
      <c r="S55" s="20"/>
      <c r="T55" s="20"/>
      <c r="U55" s="20"/>
      <c r="V55" s="20"/>
      <c r="AA55" s="20"/>
      <c r="AB55" s="20"/>
      <c r="AC55" s="20"/>
      <c r="AD55" s="20"/>
      <c r="AG55" s="20"/>
      <c r="AH55" s="20"/>
      <c r="AI55" s="20"/>
      <c r="AJ55" s="20"/>
      <c r="AK55" s="20"/>
      <c r="AL55" s="20"/>
      <c r="AM55" s="20"/>
      <c r="AN55" s="20"/>
      <c r="AO55" s="20"/>
      <c r="AP55" s="20"/>
      <c r="AS55" s="20"/>
      <c r="AT55" s="20"/>
      <c r="AU55" s="20"/>
      <c r="AV55" s="20"/>
      <c r="AW55" s="20"/>
      <c r="AX55" s="20"/>
      <c r="BA55" s="20"/>
      <c r="BB55" s="20"/>
      <c r="BC55" s="20"/>
      <c r="BD55" s="20"/>
      <c r="BS55" s="20"/>
      <c r="BT55" s="20"/>
      <c r="CC55" s="20"/>
      <c r="CD55" s="20"/>
      <c r="CY55" s="20"/>
      <c r="CZ55" s="20"/>
      <c r="DK55" s="20"/>
      <c r="DL55" s="20"/>
      <c r="DM55" s="20"/>
      <c r="DN55" s="20"/>
      <c r="DO55" s="20"/>
      <c r="DP55" s="20"/>
      <c r="DS55" s="20"/>
      <c r="DT55" s="20"/>
    </row>
    <row r="56" spans="1:124" x14ac:dyDescent="0.25">
      <c r="A56" s="19" t="s">
        <v>4261</v>
      </c>
      <c r="B56" s="19" t="s">
        <v>3966</v>
      </c>
      <c r="K56" s="20"/>
      <c r="L56" s="20"/>
      <c r="Q56" s="20"/>
      <c r="R56" s="20"/>
      <c r="S56" s="20"/>
      <c r="T56" s="20"/>
      <c r="U56" s="20"/>
      <c r="V56" s="20"/>
      <c r="Y56" s="20"/>
      <c r="Z56" s="20"/>
      <c r="AA56" s="20"/>
      <c r="AB56" s="20"/>
      <c r="AC56" s="20"/>
      <c r="AD56" s="20"/>
      <c r="AG56" s="20"/>
      <c r="AH56" s="20"/>
      <c r="AI56" s="20"/>
      <c r="AJ56" s="20"/>
      <c r="AK56" s="20"/>
      <c r="AL56" s="20"/>
      <c r="AM56" s="20"/>
      <c r="AN56" s="20"/>
      <c r="AO56" s="20"/>
      <c r="AP56" s="20"/>
      <c r="AS56" s="20"/>
      <c r="AT56" s="20"/>
      <c r="AU56" s="20"/>
      <c r="AV56" s="20"/>
      <c r="AW56" s="20"/>
      <c r="AX56" s="20"/>
      <c r="BA56" s="20"/>
      <c r="BB56" s="20"/>
      <c r="BC56" s="20"/>
      <c r="BD56" s="20"/>
      <c r="BS56" s="20"/>
      <c r="BT56" s="20"/>
      <c r="BW56" s="20"/>
      <c r="BX56" s="20"/>
      <c r="CC56" s="20"/>
      <c r="CD56" s="20"/>
      <c r="CY56" s="20"/>
      <c r="CZ56" s="20"/>
      <c r="DK56" s="20"/>
      <c r="DL56" s="20"/>
      <c r="DM56" s="20"/>
      <c r="DN56" s="20"/>
      <c r="DO56" s="20"/>
      <c r="DP56" s="20"/>
      <c r="DS56" s="20"/>
      <c r="DT56" s="20"/>
    </row>
    <row r="57" spans="1:124" x14ac:dyDescent="0.25">
      <c r="A57" s="19">
        <v>423967352</v>
      </c>
      <c r="B57" s="19" t="s">
        <v>3966</v>
      </c>
      <c r="I57" s="20"/>
      <c r="J57" s="20"/>
      <c r="K57" s="20"/>
      <c r="L57" s="20"/>
      <c r="Q57" s="20"/>
      <c r="R57" s="20"/>
      <c r="S57" s="20"/>
      <c r="T57" s="20"/>
      <c r="U57" s="20"/>
      <c r="V57" s="20"/>
      <c r="Y57" s="20"/>
      <c r="Z57" s="20"/>
      <c r="AA57" s="20"/>
      <c r="AB57" s="20"/>
      <c r="AC57" s="20"/>
      <c r="AD57" s="20"/>
      <c r="AG57" s="20"/>
      <c r="AH57" s="20"/>
      <c r="AI57" s="20"/>
      <c r="AJ57" s="20"/>
      <c r="AK57" s="20"/>
      <c r="AL57" s="20"/>
      <c r="AM57" s="20"/>
      <c r="AN57" s="20"/>
      <c r="AO57" s="20"/>
      <c r="AP57" s="20"/>
      <c r="AS57" s="20"/>
      <c r="AT57" s="20"/>
      <c r="AU57" s="20"/>
      <c r="AV57" s="20"/>
      <c r="AW57" s="20"/>
      <c r="AX57" s="20"/>
      <c r="BA57" s="20"/>
      <c r="BB57" s="20"/>
      <c r="BC57" s="20"/>
      <c r="BD57" s="20"/>
      <c r="BS57" s="20"/>
      <c r="BT57" s="20"/>
      <c r="BW57" s="20"/>
      <c r="BX57" s="20"/>
      <c r="CC57" s="20"/>
      <c r="CD57" s="20"/>
      <c r="CY57" s="20"/>
      <c r="CZ57" s="20"/>
      <c r="DK57" s="20"/>
      <c r="DL57" s="20"/>
      <c r="DM57" s="20"/>
      <c r="DN57" s="20"/>
      <c r="DO57" s="20"/>
      <c r="DP57" s="20"/>
      <c r="DS57" s="20"/>
      <c r="DT57" s="20"/>
    </row>
    <row r="58" spans="1:124" x14ac:dyDescent="0.25">
      <c r="A58" s="19" t="s">
        <v>4282</v>
      </c>
      <c r="B58" s="19" t="s">
        <v>3966</v>
      </c>
      <c r="I58" s="20"/>
      <c r="J58" s="20"/>
      <c r="K58" s="20"/>
      <c r="L58" s="20"/>
      <c r="Q58" s="20"/>
      <c r="R58" s="20"/>
      <c r="S58" s="20"/>
      <c r="T58" s="20"/>
      <c r="U58" s="20"/>
      <c r="V58" s="20"/>
      <c r="Y58" s="20"/>
      <c r="Z58" s="20"/>
      <c r="AA58" s="20"/>
      <c r="AB58" s="20"/>
      <c r="AC58" s="20"/>
      <c r="AD58" s="20"/>
      <c r="AG58" s="20"/>
      <c r="AH58" s="20"/>
      <c r="AI58" s="20"/>
      <c r="AJ58" s="20"/>
      <c r="AK58" s="20"/>
      <c r="AL58" s="20"/>
      <c r="AM58" s="20"/>
      <c r="AN58" s="20"/>
      <c r="AO58" s="20"/>
      <c r="AP58" s="20"/>
      <c r="AS58" s="20"/>
      <c r="AT58" s="20"/>
      <c r="AU58" s="20"/>
      <c r="AV58" s="20"/>
      <c r="AW58" s="20"/>
      <c r="AX58" s="20"/>
      <c r="BA58" s="20"/>
      <c r="BB58" s="20"/>
      <c r="BC58" s="20"/>
      <c r="BD58" s="20"/>
      <c r="BS58" s="20"/>
      <c r="BT58" s="20"/>
      <c r="BW58" s="20"/>
      <c r="BX58" s="20"/>
      <c r="CC58" s="20"/>
      <c r="CD58" s="20"/>
      <c r="CY58" s="20"/>
      <c r="CZ58" s="20"/>
      <c r="DK58" s="20"/>
      <c r="DL58" s="20"/>
      <c r="DM58" s="20"/>
      <c r="DN58" s="20"/>
      <c r="DO58" s="20"/>
      <c r="DP58" s="20"/>
      <c r="DS58" s="20"/>
      <c r="DT58" s="20"/>
    </row>
    <row r="59" spans="1:124" x14ac:dyDescent="0.25">
      <c r="A59" s="19" t="s">
        <v>4299</v>
      </c>
      <c r="B59" s="19" t="s">
        <v>3966</v>
      </c>
      <c r="I59" s="20"/>
      <c r="J59" s="20"/>
      <c r="K59" s="20"/>
      <c r="L59" s="20"/>
      <c r="Q59" s="20"/>
      <c r="R59" s="20"/>
      <c r="S59" s="20"/>
      <c r="T59" s="20"/>
      <c r="U59" s="20"/>
      <c r="V59" s="20"/>
      <c r="Y59" s="20"/>
      <c r="Z59" s="20"/>
      <c r="AA59" s="20"/>
      <c r="AB59" s="20"/>
      <c r="AC59" s="20"/>
      <c r="AD59" s="20"/>
      <c r="AG59" s="20"/>
      <c r="AH59" s="20"/>
      <c r="AI59" s="20"/>
      <c r="AJ59" s="20"/>
      <c r="AK59" s="20"/>
      <c r="AL59" s="20"/>
      <c r="AM59" s="20"/>
      <c r="AN59" s="20"/>
      <c r="AO59" s="20"/>
      <c r="AP59" s="20"/>
      <c r="AS59" s="20"/>
      <c r="AT59" s="20"/>
      <c r="AU59" s="20"/>
      <c r="AV59" s="20"/>
      <c r="AW59" s="20"/>
      <c r="AX59" s="20"/>
      <c r="BA59" s="20"/>
      <c r="BB59" s="20"/>
      <c r="BC59" s="20"/>
      <c r="BD59" s="20"/>
      <c r="BM59" s="20"/>
      <c r="BN59" s="20"/>
      <c r="BS59" s="20"/>
      <c r="BT59" s="20"/>
      <c r="BW59" s="20"/>
      <c r="BX59" s="20"/>
      <c r="CC59" s="20"/>
      <c r="CD59" s="20"/>
      <c r="CY59" s="20"/>
      <c r="CZ59" s="20"/>
      <c r="DK59" s="20"/>
      <c r="DL59" s="20"/>
      <c r="DM59" s="20"/>
      <c r="DN59" s="20"/>
      <c r="DO59" s="20"/>
      <c r="DP59" s="20"/>
      <c r="DS59" s="20"/>
      <c r="DT59" s="20"/>
    </row>
    <row r="60" spans="1:124" x14ac:dyDescent="0.25">
      <c r="A60" s="19" t="s">
        <v>4171</v>
      </c>
      <c r="B60" s="19" t="s">
        <v>3966</v>
      </c>
      <c r="I60" s="20"/>
      <c r="J60" s="20"/>
      <c r="K60" s="20"/>
      <c r="L60" s="20"/>
      <c r="Q60" s="20"/>
      <c r="R60" s="20"/>
      <c r="S60" s="20"/>
      <c r="T60" s="20"/>
      <c r="U60" s="20"/>
      <c r="V60" s="20"/>
      <c r="Y60" s="20"/>
      <c r="Z60" s="20"/>
      <c r="AA60" s="20"/>
      <c r="AB60" s="20"/>
      <c r="AC60" s="20"/>
      <c r="AD60" s="20"/>
      <c r="AG60" s="20"/>
      <c r="AH60" s="20"/>
      <c r="AI60" s="20"/>
      <c r="AJ60" s="20"/>
      <c r="AK60" s="20"/>
      <c r="AL60" s="20"/>
      <c r="AM60" s="20"/>
      <c r="AN60" s="20"/>
      <c r="AO60" s="20"/>
      <c r="AP60" s="20"/>
      <c r="AQ60" s="20"/>
      <c r="AR60" s="20"/>
      <c r="AS60" s="20"/>
      <c r="AT60" s="20"/>
      <c r="AU60" s="20"/>
      <c r="AV60" s="20"/>
      <c r="AW60" s="20"/>
      <c r="AX60" s="20"/>
      <c r="AY60" s="20"/>
      <c r="AZ60" s="20"/>
      <c r="BA60" s="20"/>
      <c r="BB60" s="20"/>
      <c r="BC60" s="20"/>
      <c r="BD60" s="20"/>
      <c r="BM60" s="20"/>
      <c r="BN60" s="20"/>
      <c r="BS60" s="20"/>
      <c r="BT60" s="20"/>
      <c r="BW60" s="20"/>
      <c r="BX60" s="20"/>
      <c r="CC60" s="20"/>
      <c r="CD60" s="20"/>
      <c r="CY60" s="20"/>
      <c r="CZ60" s="20"/>
      <c r="DK60" s="20"/>
      <c r="DL60" s="20"/>
      <c r="DM60" s="20"/>
      <c r="DN60" s="20"/>
      <c r="DO60" s="20"/>
      <c r="DP60" s="20"/>
      <c r="DS60" s="20"/>
      <c r="DT60" s="20"/>
    </row>
    <row r="61" spans="1:124" x14ac:dyDescent="0.25">
      <c r="A61" s="19">
        <v>49916265</v>
      </c>
      <c r="B61" s="19" t="s">
        <v>3966</v>
      </c>
      <c r="I61" s="20"/>
      <c r="J61" s="20"/>
      <c r="K61" s="20"/>
      <c r="L61" s="20"/>
      <c r="Q61" s="20"/>
      <c r="R61" s="20"/>
      <c r="S61" s="20"/>
      <c r="T61" s="20"/>
      <c r="U61" s="20"/>
      <c r="V61" s="20"/>
      <c r="Y61" s="20"/>
      <c r="Z61" s="20"/>
      <c r="AA61" s="20"/>
      <c r="AB61" s="20"/>
      <c r="AC61" s="20"/>
      <c r="AD61" s="20"/>
      <c r="AG61" s="20"/>
      <c r="AH61" s="20"/>
      <c r="AI61" s="20"/>
      <c r="AJ61" s="20"/>
      <c r="AK61" s="20"/>
      <c r="AL61" s="20"/>
      <c r="AM61" s="20"/>
      <c r="AN61" s="20"/>
      <c r="AO61" s="20"/>
      <c r="AP61" s="20"/>
      <c r="AQ61" s="20"/>
      <c r="AR61" s="20"/>
      <c r="AS61" s="20"/>
      <c r="AT61" s="20"/>
      <c r="AU61" s="20"/>
      <c r="AV61" s="20"/>
      <c r="AW61" s="20"/>
      <c r="AX61" s="20"/>
      <c r="AY61" s="20"/>
      <c r="AZ61" s="20"/>
      <c r="BA61" s="20"/>
      <c r="BB61" s="20"/>
      <c r="BC61" s="20"/>
      <c r="BD61" s="20"/>
      <c r="BG61" s="20"/>
      <c r="BH61" s="20"/>
      <c r="BM61" s="20"/>
      <c r="BN61" s="20"/>
      <c r="BO61" s="20"/>
      <c r="BP61" s="20"/>
      <c r="BS61" s="20"/>
      <c r="BT61" s="20"/>
      <c r="BW61" s="20"/>
      <c r="BX61" s="20"/>
      <c r="CC61" s="20"/>
      <c r="CD61" s="20"/>
      <c r="CY61" s="20"/>
      <c r="CZ61" s="20"/>
      <c r="DK61" s="20"/>
      <c r="DL61" s="20"/>
      <c r="DM61" s="20"/>
      <c r="DN61" s="20"/>
      <c r="DO61" s="20"/>
      <c r="DP61" s="20"/>
      <c r="DS61" s="20"/>
      <c r="DT61" s="20"/>
    </row>
    <row r="62" spans="1:124" x14ac:dyDescent="0.25">
      <c r="A62" s="19" t="s">
        <v>4204</v>
      </c>
      <c r="B62" s="19" t="s">
        <v>3966</v>
      </c>
      <c r="I62" s="20"/>
      <c r="J62" s="20"/>
      <c r="K62" s="20"/>
      <c r="L62" s="20"/>
      <c r="O62" s="20"/>
      <c r="P62" s="20"/>
      <c r="Q62" s="20"/>
      <c r="R62" s="20"/>
      <c r="S62" s="20"/>
      <c r="T62" s="20"/>
      <c r="U62" s="20"/>
      <c r="V62" s="20"/>
      <c r="W62" s="20"/>
      <c r="X62" s="20"/>
      <c r="Y62" s="20"/>
      <c r="Z62" s="20"/>
      <c r="AA62" s="20"/>
      <c r="AB62" s="20"/>
      <c r="AC62" s="20"/>
      <c r="AD62" s="20"/>
      <c r="AG62" s="20"/>
      <c r="AH62" s="20"/>
      <c r="AI62" s="20"/>
      <c r="AJ62" s="20"/>
      <c r="AK62" s="20"/>
      <c r="AL62" s="20"/>
      <c r="AM62" s="20"/>
      <c r="AN62" s="20"/>
      <c r="AO62" s="20"/>
      <c r="AP62" s="20"/>
      <c r="AQ62" s="20"/>
      <c r="AR62" s="20"/>
      <c r="AS62" s="20"/>
      <c r="AT62" s="20"/>
      <c r="AU62" s="20"/>
      <c r="AV62" s="20"/>
      <c r="AW62" s="20"/>
      <c r="AX62" s="20"/>
      <c r="AY62" s="20"/>
      <c r="AZ62" s="20"/>
      <c r="BA62" s="20"/>
      <c r="BB62" s="20"/>
      <c r="BC62" s="20"/>
      <c r="BD62" s="20"/>
      <c r="BE62" s="20"/>
      <c r="BF62" s="20"/>
      <c r="BG62" s="20"/>
      <c r="BH62" s="20"/>
      <c r="BM62" s="20"/>
      <c r="BN62" s="20"/>
      <c r="BO62" s="20"/>
      <c r="BP62" s="20"/>
      <c r="BS62" s="20"/>
      <c r="BT62" s="20"/>
      <c r="BW62" s="20"/>
      <c r="BX62" s="20"/>
      <c r="CC62" s="20"/>
      <c r="CD62" s="20"/>
      <c r="CY62" s="20"/>
      <c r="CZ62" s="20"/>
      <c r="DK62" s="20"/>
      <c r="DL62" s="20"/>
      <c r="DM62" s="20"/>
      <c r="DN62" s="20"/>
      <c r="DO62" s="20"/>
      <c r="DP62" s="20"/>
      <c r="DS62" s="20"/>
      <c r="DT62" s="20"/>
    </row>
    <row r="63" spans="1:124" x14ac:dyDescent="0.25">
      <c r="A63" s="19" t="s">
        <v>4172</v>
      </c>
      <c r="B63" s="19" t="s">
        <v>3966</v>
      </c>
      <c r="I63" s="20"/>
      <c r="J63" s="20"/>
      <c r="K63" s="20"/>
      <c r="L63" s="20"/>
      <c r="O63" s="20"/>
      <c r="P63" s="20"/>
      <c r="Q63" s="20"/>
      <c r="R63" s="20"/>
      <c r="S63" s="20"/>
      <c r="T63" s="20"/>
      <c r="U63" s="20"/>
      <c r="V63" s="20"/>
      <c r="W63" s="20"/>
      <c r="X63" s="20"/>
      <c r="Y63" s="20"/>
      <c r="Z63" s="20"/>
      <c r="AA63" s="20"/>
      <c r="AB63" s="20"/>
      <c r="AC63" s="20"/>
      <c r="AD63" s="20"/>
      <c r="AG63" s="20"/>
      <c r="AH63" s="20"/>
      <c r="AI63" s="20"/>
      <c r="AJ63" s="20"/>
      <c r="AK63" s="20"/>
      <c r="AL63" s="20"/>
      <c r="AM63" s="20"/>
      <c r="AN63" s="20"/>
      <c r="AO63" s="20"/>
      <c r="AP63" s="20"/>
      <c r="AQ63" s="20"/>
      <c r="AR63" s="20"/>
      <c r="AS63" s="20"/>
      <c r="AT63" s="20"/>
      <c r="AU63" s="20"/>
      <c r="AV63" s="20"/>
      <c r="AW63" s="20"/>
      <c r="AX63" s="20"/>
      <c r="AY63" s="20"/>
      <c r="AZ63" s="20"/>
      <c r="BA63" s="20"/>
      <c r="BB63" s="20"/>
      <c r="BC63" s="20"/>
      <c r="BD63" s="20"/>
      <c r="BE63" s="20"/>
      <c r="BF63" s="20"/>
      <c r="BG63" s="20"/>
      <c r="BH63" s="20"/>
      <c r="BM63" s="20"/>
      <c r="BN63" s="20"/>
      <c r="BO63" s="20"/>
      <c r="BP63" s="20"/>
      <c r="BS63" s="20"/>
      <c r="BT63" s="20"/>
      <c r="BW63" s="20"/>
      <c r="BX63" s="20"/>
      <c r="CC63" s="20"/>
      <c r="CD63" s="20"/>
      <c r="CY63" s="20"/>
      <c r="CZ63" s="20"/>
      <c r="DK63" s="20"/>
      <c r="DL63" s="20"/>
      <c r="DM63" s="20"/>
      <c r="DN63" s="20"/>
      <c r="DO63" s="20"/>
      <c r="DP63" s="20"/>
      <c r="DS63" s="20"/>
      <c r="DT63" s="20"/>
    </row>
    <row r="64" spans="1:124" x14ac:dyDescent="0.25">
      <c r="A64" s="19" t="s">
        <v>4190</v>
      </c>
      <c r="B64" s="19" t="s">
        <v>3966</v>
      </c>
      <c r="I64" s="20"/>
      <c r="J64" s="20"/>
      <c r="K64" s="20"/>
      <c r="L64" s="20"/>
      <c r="O64" s="20"/>
      <c r="P64" s="20"/>
      <c r="Q64" s="20"/>
      <c r="R64" s="20"/>
      <c r="S64" s="20"/>
      <c r="T64" s="20"/>
      <c r="U64" s="20"/>
      <c r="V64" s="20"/>
      <c r="W64" s="20"/>
      <c r="X64" s="20"/>
      <c r="Y64" s="20"/>
      <c r="Z64" s="20"/>
      <c r="AA64" s="20"/>
      <c r="AB64" s="20"/>
      <c r="AC64" s="20"/>
      <c r="AD64" s="20"/>
      <c r="AG64" s="20"/>
      <c r="AH64" s="20"/>
      <c r="AI64" s="20"/>
      <c r="AJ64" s="20"/>
      <c r="AK64" s="20"/>
      <c r="AL64" s="20"/>
      <c r="AM64" s="20"/>
      <c r="AN64" s="20"/>
      <c r="AO64" s="20"/>
      <c r="AP64" s="20"/>
      <c r="AQ64" s="20"/>
      <c r="AR64" s="20"/>
      <c r="AS64" s="20"/>
      <c r="AT64" s="20"/>
      <c r="AU64" s="20"/>
      <c r="AV64" s="20"/>
      <c r="AW64" s="20"/>
      <c r="AX64" s="20"/>
      <c r="AY64" s="20"/>
      <c r="AZ64" s="20"/>
      <c r="BA64" s="20"/>
      <c r="BB64" s="20"/>
      <c r="BC64" s="20"/>
      <c r="BD64" s="20"/>
      <c r="BE64" s="20"/>
      <c r="BF64" s="20"/>
      <c r="BG64" s="20"/>
      <c r="BH64" s="20"/>
      <c r="BM64" s="20"/>
      <c r="BN64" s="20"/>
      <c r="BO64" s="20"/>
      <c r="BP64" s="20"/>
      <c r="BS64" s="20"/>
      <c r="BT64" s="20"/>
      <c r="BW64" s="20"/>
      <c r="BX64" s="20"/>
      <c r="CC64" s="20"/>
      <c r="CD64" s="20"/>
      <c r="CY64" s="20"/>
      <c r="CZ64" s="20"/>
      <c r="DK64" s="20"/>
      <c r="DL64" s="20"/>
      <c r="DM64" s="20"/>
      <c r="DN64" s="20"/>
      <c r="DO64" s="20"/>
      <c r="DP64" s="20"/>
      <c r="DS64" s="20"/>
      <c r="DT64" s="20"/>
    </row>
    <row r="65" spans="1:124" x14ac:dyDescent="0.25">
      <c r="A65" s="19" t="s">
        <v>4205</v>
      </c>
      <c r="B65" s="19" t="s">
        <v>3966</v>
      </c>
      <c r="I65" s="20"/>
      <c r="J65" s="20"/>
      <c r="K65" s="20"/>
      <c r="L65" s="20"/>
      <c r="O65" s="20"/>
      <c r="P65" s="20"/>
      <c r="Q65" s="20"/>
      <c r="R65" s="20"/>
      <c r="S65" s="20"/>
      <c r="T65" s="20"/>
      <c r="U65" s="20"/>
      <c r="V65" s="20"/>
      <c r="W65" s="20"/>
      <c r="X65" s="20"/>
      <c r="Y65" s="20"/>
      <c r="Z65" s="20"/>
      <c r="AA65" s="20"/>
      <c r="AB65" s="20"/>
      <c r="AC65" s="20"/>
      <c r="AD65" s="20"/>
      <c r="AG65" s="20"/>
      <c r="AH65" s="20"/>
      <c r="AI65" s="20"/>
      <c r="AJ65" s="20"/>
      <c r="AK65" s="20"/>
      <c r="AL65" s="20"/>
      <c r="AM65" s="20"/>
      <c r="AN65" s="20"/>
      <c r="AO65" s="20"/>
      <c r="AP65" s="20"/>
      <c r="AQ65" s="20"/>
      <c r="AR65" s="20"/>
      <c r="AS65" s="20"/>
      <c r="AT65" s="20"/>
      <c r="AU65" s="20"/>
      <c r="AV65" s="20"/>
      <c r="AW65" s="20"/>
      <c r="AX65" s="20"/>
      <c r="AY65" s="20"/>
      <c r="AZ65" s="20"/>
      <c r="BA65" s="20"/>
      <c r="BB65" s="20"/>
      <c r="BC65" s="20"/>
      <c r="BD65" s="20"/>
      <c r="BE65" s="20"/>
      <c r="BF65" s="20"/>
      <c r="BG65" s="20"/>
      <c r="BH65" s="20"/>
      <c r="BM65" s="20"/>
      <c r="BN65" s="20"/>
      <c r="BO65" s="20"/>
      <c r="BP65" s="20"/>
      <c r="BS65" s="20"/>
      <c r="BT65" s="20"/>
      <c r="BW65" s="20"/>
      <c r="BX65" s="20"/>
      <c r="CC65" s="20"/>
      <c r="CD65" s="20"/>
      <c r="CY65" s="20"/>
      <c r="CZ65" s="20"/>
      <c r="DK65" s="20"/>
      <c r="DL65" s="20"/>
      <c r="DM65" s="20"/>
      <c r="DN65" s="20"/>
      <c r="DO65" s="20"/>
      <c r="DP65" s="20"/>
      <c r="DS65" s="20"/>
      <c r="DT65" s="20"/>
    </row>
    <row r="66" spans="1:124" x14ac:dyDescent="0.25">
      <c r="A66" s="19" t="s">
        <v>4215</v>
      </c>
      <c r="B66" s="19" t="s">
        <v>3966</v>
      </c>
      <c r="I66" s="20"/>
      <c r="J66" s="20"/>
      <c r="K66" s="20"/>
      <c r="L66" s="20"/>
      <c r="O66" s="20"/>
      <c r="P66" s="20"/>
      <c r="Q66" s="20"/>
      <c r="R66" s="20"/>
      <c r="S66" s="20"/>
      <c r="T66" s="20"/>
      <c r="U66" s="20"/>
      <c r="V66" s="20"/>
      <c r="W66" s="20"/>
      <c r="X66" s="20"/>
      <c r="Y66" s="20"/>
      <c r="Z66" s="20"/>
      <c r="AA66" s="20"/>
      <c r="AB66" s="20"/>
      <c r="AC66" s="20"/>
      <c r="AD66" s="20"/>
      <c r="AG66" s="20"/>
      <c r="AH66" s="20"/>
      <c r="AI66" s="20"/>
      <c r="AJ66" s="20"/>
      <c r="AK66" s="20"/>
      <c r="AL66" s="20"/>
      <c r="AM66" s="20"/>
      <c r="AN66" s="20"/>
      <c r="AO66" s="20"/>
      <c r="AP66" s="20"/>
      <c r="AQ66" s="20"/>
      <c r="AR66" s="20"/>
      <c r="AS66" s="20"/>
      <c r="AT66" s="20"/>
      <c r="AU66" s="20"/>
      <c r="AV66" s="20"/>
      <c r="AW66" s="20"/>
      <c r="AX66" s="20"/>
      <c r="AY66" s="20"/>
      <c r="AZ66" s="20"/>
      <c r="BA66" s="20"/>
      <c r="BB66" s="20"/>
      <c r="BC66" s="20"/>
      <c r="BD66" s="20"/>
      <c r="BE66" s="20"/>
      <c r="BF66" s="20"/>
      <c r="BG66" s="20"/>
      <c r="BH66" s="20"/>
      <c r="BM66" s="20"/>
      <c r="BN66" s="20"/>
      <c r="BO66" s="20"/>
      <c r="BP66" s="20"/>
      <c r="BS66" s="20"/>
      <c r="BT66" s="20"/>
      <c r="BW66" s="20"/>
      <c r="BX66" s="20"/>
      <c r="CC66" s="20"/>
      <c r="CD66" s="20"/>
      <c r="CY66" s="20"/>
      <c r="CZ66" s="20"/>
      <c r="DK66" s="20"/>
      <c r="DL66" s="20"/>
      <c r="DM66" s="20"/>
      <c r="DN66" s="20"/>
      <c r="DO66" s="20"/>
      <c r="DP66" s="20"/>
      <c r="DS66" s="20"/>
      <c r="DT66" s="20"/>
    </row>
    <row r="67" spans="1:124" x14ac:dyDescent="0.25">
      <c r="A67" s="19" t="s">
        <v>4225</v>
      </c>
      <c r="B67" s="19" t="s">
        <v>3966</v>
      </c>
      <c r="I67" s="20"/>
      <c r="J67" s="20"/>
      <c r="K67" s="20"/>
      <c r="L67" s="20"/>
      <c r="O67" s="20"/>
      <c r="P67" s="20"/>
      <c r="Q67" s="20"/>
      <c r="R67" s="20"/>
      <c r="S67" s="20"/>
      <c r="T67" s="20"/>
      <c r="U67" s="20"/>
      <c r="V67" s="20"/>
      <c r="W67" s="20"/>
      <c r="X67" s="20"/>
      <c r="Y67" s="20"/>
      <c r="Z67" s="20"/>
      <c r="AA67" s="20"/>
      <c r="AB67" s="20"/>
      <c r="AC67" s="20"/>
      <c r="AD67" s="20"/>
      <c r="AG67" s="20"/>
      <c r="AH67" s="20"/>
      <c r="AI67" s="20"/>
      <c r="AJ67" s="20"/>
      <c r="AK67" s="20"/>
      <c r="AL67" s="20"/>
      <c r="AM67" s="20"/>
      <c r="AN67" s="20"/>
      <c r="AO67" s="20"/>
      <c r="AP67" s="20"/>
      <c r="AQ67" s="20"/>
      <c r="AR67" s="20"/>
      <c r="AS67" s="20"/>
      <c r="AT67" s="20"/>
      <c r="AU67" s="20"/>
      <c r="AV67" s="20"/>
      <c r="AW67" s="20"/>
      <c r="AX67" s="20"/>
      <c r="AY67" s="20"/>
      <c r="AZ67" s="20"/>
      <c r="BA67" s="20"/>
      <c r="BB67" s="20"/>
      <c r="BC67" s="20"/>
      <c r="BD67" s="20"/>
      <c r="BE67" s="20"/>
      <c r="BF67" s="20"/>
      <c r="BG67" s="20"/>
      <c r="BH67" s="20"/>
      <c r="BM67" s="20"/>
      <c r="BN67" s="20"/>
      <c r="BO67" s="20"/>
      <c r="BP67" s="20"/>
      <c r="BS67" s="20"/>
      <c r="BT67" s="20"/>
      <c r="BW67" s="20"/>
      <c r="BX67" s="20"/>
      <c r="CC67" s="20"/>
      <c r="CD67" s="20"/>
      <c r="CY67" s="20"/>
      <c r="CZ67" s="20"/>
      <c r="DK67" s="20"/>
      <c r="DL67" s="20"/>
      <c r="DM67" s="20"/>
      <c r="DN67" s="20"/>
      <c r="DO67" s="20"/>
      <c r="DP67" s="20"/>
      <c r="DS67" s="20"/>
      <c r="DT67" s="20"/>
    </row>
    <row r="68" spans="1:124" x14ac:dyDescent="0.25">
      <c r="A68" s="19" t="s">
        <v>4232</v>
      </c>
      <c r="B68" s="19" t="s">
        <v>3966</v>
      </c>
      <c r="I68" s="20"/>
      <c r="J68" s="20"/>
      <c r="K68" s="20"/>
      <c r="L68" s="20"/>
      <c r="O68" s="20"/>
      <c r="P68" s="20"/>
      <c r="Q68" s="20"/>
      <c r="R68" s="20"/>
      <c r="S68" s="20"/>
      <c r="T68" s="20"/>
      <c r="U68" s="20"/>
      <c r="V68" s="20"/>
      <c r="W68" s="20"/>
      <c r="X68" s="20"/>
      <c r="Y68" s="20"/>
      <c r="Z68" s="20"/>
      <c r="AA68" s="20"/>
      <c r="AB68" s="20"/>
      <c r="AC68" s="20"/>
      <c r="AD68" s="20"/>
      <c r="AE68" s="20"/>
      <c r="AF68" s="20"/>
      <c r="AG68" s="20"/>
      <c r="AH68" s="20"/>
      <c r="AI68" s="20"/>
      <c r="AJ68" s="20"/>
      <c r="AK68" s="20"/>
      <c r="AL68" s="20"/>
      <c r="AM68" s="20"/>
      <c r="AN68" s="20"/>
      <c r="AO68" s="20"/>
      <c r="AP68" s="20"/>
      <c r="AQ68" s="20"/>
      <c r="AR68" s="20"/>
      <c r="AS68" s="20"/>
      <c r="AT68" s="20"/>
      <c r="AU68" s="20"/>
      <c r="AV68" s="20"/>
      <c r="AW68" s="20"/>
      <c r="AX68" s="20"/>
      <c r="AY68" s="20"/>
      <c r="AZ68" s="20"/>
      <c r="BA68" s="20"/>
      <c r="BB68" s="20"/>
      <c r="BC68" s="20"/>
      <c r="BD68" s="20"/>
      <c r="BE68" s="20"/>
      <c r="BF68" s="20"/>
      <c r="BG68" s="20"/>
      <c r="BH68" s="20"/>
      <c r="BM68" s="20"/>
      <c r="BN68" s="20"/>
      <c r="BO68" s="20"/>
      <c r="BP68" s="20"/>
      <c r="BS68" s="20"/>
      <c r="BT68" s="20"/>
      <c r="BW68" s="20"/>
      <c r="BX68" s="20"/>
      <c r="CC68" s="20"/>
      <c r="CD68" s="20"/>
      <c r="CY68" s="20"/>
      <c r="CZ68" s="20"/>
      <c r="DK68" s="20"/>
      <c r="DL68" s="20"/>
      <c r="DM68" s="20"/>
      <c r="DN68" s="20"/>
      <c r="DO68" s="20"/>
      <c r="DP68" s="20"/>
      <c r="DS68" s="20"/>
      <c r="DT68" s="20"/>
    </row>
    <row r="69" spans="1:124" x14ac:dyDescent="0.25">
      <c r="A69" s="19" t="s">
        <v>4243</v>
      </c>
      <c r="B69" s="19" t="s">
        <v>3966</v>
      </c>
      <c r="I69" s="20"/>
      <c r="J69" s="20"/>
      <c r="K69" s="20"/>
      <c r="L69" s="20"/>
      <c r="O69" s="20"/>
      <c r="P69" s="20"/>
      <c r="Q69" s="20"/>
      <c r="R69" s="20"/>
      <c r="S69" s="20"/>
      <c r="T69" s="20"/>
      <c r="U69" s="20"/>
      <c r="V69" s="20"/>
      <c r="W69" s="20"/>
      <c r="X69" s="20"/>
      <c r="Y69" s="20"/>
      <c r="Z69" s="20"/>
      <c r="AA69" s="20"/>
      <c r="AB69" s="20"/>
      <c r="AC69" s="20"/>
      <c r="AD69" s="20"/>
      <c r="AE69" s="20"/>
      <c r="AF69" s="20"/>
      <c r="AG69" s="20"/>
      <c r="AH69" s="20"/>
      <c r="AI69" s="20"/>
      <c r="AJ69" s="20"/>
      <c r="AK69" s="20"/>
      <c r="AL69" s="20"/>
      <c r="AM69" s="20"/>
      <c r="AN69" s="20"/>
      <c r="AO69" s="20"/>
      <c r="AP69" s="20"/>
      <c r="AQ69" s="20"/>
      <c r="AR69" s="20"/>
      <c r="AS69" s="20"/>
      <c r="AT69" s="20"/>
      <c r="AU69" s="20"/>
      <c r="AV69" s="20"/>
      <c r="AW69" s="20"/>
      <c r="AX69" s="20"/>
      <c r="AY69" s="20"/>
      <c r="AZ69" s="20"/>
      <c r="BA69" s="20"/>
      <c r="BB69" s="20"/>
      <c r="BC69" s="20"/>
      <c r="BD69" s="20"/>
      <c r="BE69" s="20"/>
      <c r="BF69" s="20"/>
      <c r="BG69" s="20"/>
      <c r="BH69" s="20"/>
      <c r="BM69" s="20"/>
      <c r="BN69" s="20"/>
      <c r="BO69" s="20"/>
      <c r="BP69" s="20"/>
      <c r="BS69" s="20"/>
      <c r="BT69" s="20"/>
      <c r="BW69" s="20"/>
      <c r="BX69" s="20"/>
      <c r="CA69" s="20"/>
      <c r="CB69" s="20"/>
      <c r="CC69" s="20"/>
      <c r="CD69" s="20"/>
      <c r="CY69" s="20"/>
      <c r="CZ69" s="20"/>
      <c r="DK69" s="20"/>
      <c r="DL69" s="20"/>
      <c r="DM69" s="20"/>
      <c r="DN69" s="20"/>
      <c r="DO69" s="20"/>
      <c r="DP69" s="20"/>
      <c r="DS69" s="20"/>
      <c r="DT69" s="20"/>
    </row>
    <row r="70" spans="1:124" x14ac:dyDescent="0.25">
      <c r="A70" s="19" t="s">
        <v>4255</v>
      </c>
      <c r="B70" s="19" t="s">
        <v>3966</v>
      </c>
      <c r="I70" s="20"/>
      <c r="J70" s="20"/>
      <c r="K70" s="20"/>
      <c r="L70" s="20"/>
      <c r="O70" s="20"/>
      <c r="P70" s="20"/>
      <c r="Q70" s="20"/>
      <c r="R70" s="20"/>
      <c r="S70" s="20"/>
      <c r="T70" s="20"/>
      <c r="U70" s="20"/>
      <c r="V70" s="20"/>
      <c r="W70" s="20"/>
      <c r="X70" s="20"/>
      <c r="Y70" s="20"/>
      <c r="Z70" s="20"/>
      <c r="AA70" s="20"/>
      <c r="AB70" s="20"/>
      <c r="AC70" s="20"/>
      <c r="AD70" s="20"/>
      <c r="AE70" s="20"/>
      <c r="AF70" s="20"/>
      <c r="AG70" s="20"/>
      <c r="AH70" s="20"/>
      <c r="AI70" s="20"/>
      <c r="AJ70" s="20"/>
      <c r="AK70" s="20"/>
      <c r="AL70" s="20"/>
      <c r="AM70" s="20"/>
      <c r="AN70" s="20"/>
      <c r="AO70" s="20"/>
      <c r="AP70" s="20"/>
      <c r="AQ70" s="20"/>
      <c r="AR70" s="20"/>
      <c r="AS70" s="20"/>
      <c r="AT70" s="20"/>
      <c r="AU70" s="20"/>
      <c r="AV70" s="20"/>
      <c r="AW70" s="20"/>
      <c r="AX70" s="20"/>
      <c r="AY70" s="20"/>
      <c r="AZ70" s="20"/>
      <c r="BA70" s="20"/>
      <c r="BB70" s="20"/>
      <c r="BC70" s="20"/>
      <c r="BD70" s="20"/>
      <c r="BE70" s="20"/>
      <c r="BF70" s="20"/>
      <c r="BG70" s="20"/>
      <c r="BH70" s="20"/>
      <c r="BM70" s="20"/>
      <c r="BN70" s="20"/>
      <c r="BO70" s="20"/>
      <c r="BP70" s="20"/>
      <c r="BS70" s="20"/>
      <c r="BT70" s="20"/>
      <c r="BW70" s="20"/>
      <c r="BX70" s="20"/>
      <c r="CA70" s="20"/>
      <c r="CB70" s="20"/>
      <c r="CC70" s="20"/>
      <c r="CD70" s="20"/>
      <c r="CY70" s="20"/>
      <c r="CZ70" s="20"/>
      <c r="DK70" s="20"/>
      <c r="DL70" s="20"/>
      <c r="DM70" s="20"/>
      <c r="DN70" s="20"/>
      <c r="DO70" s="20"/>
      <c r="DP70" s="20"/>
      <c r="DS70" s="20"/>
      <c r="DT70" s="20"/>
    </row>
    <row r="71" spans="1:124" x14ac:dyDescent="0.25">
      <c r="A71" s="19">
        <v>-388756834</v>
      </c>
      <c r="B71" s="19" t="s">
        <v>3966</v>
      </c>
      <c r="I71" s="20"/>
      <c r="J71" s="20"/>
      <c r="K71" s="20"/>
      <c r="L71" s="20"/>
      <c r="O71" s="20"/>
      <c r="P71" s="20"/>
      <c r="Q71" s="20"/>
      <c r="R71" s="20"/>
      <c r="S71" s="20"/>
      <c r="T71" s="20"/>
      <c r="U71" s="20"/>
      <c r="V71" s="20"/>
      <c r="W71" s="20"/>
      <c r="X71" s="20"/>
      <c r="Y71" s="20"/>
      <c r="Z71" s="20"/>
      <c r="AA71" s="20"/>
      <c r="AB71" s="20"/>
      <c r="AC71" s="20"/>
      <c r="AD71" s="20"/>
      <c r="AE71" s="20"/>
      <c r="AF71" s="20"/>
      <c r="AG71" s="20"/>
      <c r="AH71" s="20"/>
      <c r="AI71" s="20"/>
      <c r="AJ71" s="20"/>
      <c r="AK71" s="20"/>
      <c r="AL71" s="20"/>
      <c r="AM71" s="20"/>
      <c r="AN71" s="20"/>
      <c r="AO71" s="20"/>
      <c r="AP71" s="20"/>
      <c r="AQ71" s="20"/>
      <c r="AR71" s="20"/>
      <c r="AS71" s="20"/>
      <c r="AT71" s="20"/>
      <c r="AU71" s="20"/>
      <c r="AV71" s="20"/>
      <c r="AW71" s="20"/>
      <c r="AX71" s="20"/>
      <c r="AY71" s="20"/>
      <c r="AZ71" s="20"/>
      <c r="BA71" s="20"/>
      <c r="BB71" s="20"/>
      <c r="BC71" s="20"/>
      <c r="BD71" s="20"/>
      <c r="BE71" s="20"/>
      <c r="BF71" s="20"/>
      <c r="BG71" s="20"/>
      <c r="BH71" s="20"/>
      <c r="BM71" s="20"/>
      <c r="BN71" s="20"/>
      <c r="BO71" s="20"/>
      <c r="BP71" s="20"/>
      <c r="BS71" s="20"/>
      <c r="BT71" s="20"/>
      <c r="BW71" s="20"/>
      <c r="BX71" s="20"/>
      <c r="CA71" s="20"/>
      <c r="CB71" s="20"/>
      <c r="CC71" s="20"/>
      <c r="CD71" s="20"/>
      <c r="CY71" s="20"/>
      <c r="CZ71" s="20"/>
      <c r="DK71" s="20"/>
      <c r="DL71" s="20"/>
      <c r="DM71" s="20"/>
      <c r="DN71" s="20"/>
      <c r="DO71" s="20"/>
      <c r="DP71" s="20"/>
      <c r="DS71" s="20"/>
      <c r="DT71" s="20"/>
    </row>
    <row r="72" spans="1:124" x14ac:dyDescent="0.25">
      <c r="A72" s="19">
        <v>-12149505</v>
      </c>
      <c r="B72" s="19" t="s">
        <v>3966</v>
      </c>
      <c r="I72" s="20"/>
      <c r="J72" s="20"/>
      <c r="K72" s="20"/>
      <c r="L72" s="20"/>
      <c r="O72" s="20"/>
      <c r="P72" s="20"/>
      <c r="Q72" s="20"/>
      <c r="R72" s="20"/>
      <c r="S72" s="20"/>
      <c r="T72" s="20"/>
      <c r="U72" s="20"/>
      <c r="V72" s="20"/>
      <c r="W72" s="20"/>
      <c r="X72" s="20"/>
      <c r="Y72" s="20"/>
      <c r="Z72" s="20"/>
      <c r="AA72" s="20"/>
      <c r="AB72" s="20"/>
      <c r="AC72" s="20"/>
      <c r="AD72" s="20"/>
      <c r="AE72" s="20"/>
      <c r="AF72" s="20"/>
      <c r="AG72" s="20"/>
      <c r="AH72" s="20"/>
      <c r="AI72" s="20"/>
      <c r="AJ72" s="20"/>
      <c r="AK72" s="20"/>
      <c r="AL72" s="20"/>
      <c r="AM72" s="20"/>
      <c r="AN72" s="20"/>
      <c r="AO72" s="20"/>
      <c r="AP72" s="20"/>
      <c r="AQ72" s="20"/>
      <c r="AR72" s="20"/>
      <c r="AS72" s="20"/>
      <c r="AT72" s="20"/>
      <c r="AU72" s="20"/>
      <c r="AV72" s="20"/>
      <c r="AW72" s="20"/>
      <c r="AX72" s="20"/>
      <c r="AY72" s="20"/>
      <c r="AZ72" s="20"/>
      <c r="BA72" s="20"/>
      <c r="BB72" s="20"/>
      <c r="BC72" s="20"/>
      <c r="BD72" s="20"/>
      <c r="BE72" s="20"/>
      <c r="BF72" s="20"/>
      <c r="BG72" s="20"/>
      <c r="BH72" s="20"/>
      <c r="BM72" s="20"/>
      <c r="BN72" s="20"/>
      <c r="BO72" s="20"/>
      <c r="BP72" s="20"/>
      <c r="BS72" s="20"/>
      <c r="BT72" s="20"/>
      <c r="BW72" s="20"/>
      <c r="BX72" s="20"/>
      <c r="CA72" s="20"/>
      <c r="CB72" s="20"/>
      <c r="CC72" s="20"/>
      <c r="CD72" s="20"/>
      <c r="CY72" s="20"/>
      <c r="CZ72" s="20"/>
      <c r="DA72" s="20"/>
      <c r="DB72" s="20"/>
      <c r="DK72" s="20"/>
      <c r="DL72" s="20"/>
      <c r="DM72" s="20"/>
      <c r="DN72" s="20"/>
      <c r="DO72" s="20"/>
      <c r="DP72" s="20"/>
      <c r="DS72" s="20"/>
      <c r="DT72" s="20"/>
    </row>
    <row r="73" spans="1:124" x14ac:dyDescent="0.25">
      <c r="A73" s="19" t="s">
        <v>4287</v>
      </c>
      <c r="B73" s="19" t="s">
        <v>3966</v>
      </c>
      <c r="I73" s="20"/>
      <c r="J73" s="20"/>
      <c r="K73" s="20"/>
      <c r="L73" s="20"/>
      <c r="O73" s="20"/>
      <c r="P73" s="20"/>
      <c r="Q73" s="20"/>
      <c r="R73" s="20"/>
      <c r="S73" s="20"/>
      <c r="T73" s="20"/>
      <c r="U73" s="20"/>
      <c r="V73" s="20"/>
      <c r="W73" s="20"/>
      <c r="X73" s="20"/>
      <c r="Y73" s="20"/>
      <c r="Z73" s="20"/>
      <c r="AA73" s="20"/>
      <c r="AB73" s="20"/>
      <c r="AC73" s="20"/>
      <c r="AD73" s="20"/>
      <c r="AE73" s="20"/>
      <c r="AF73" s="20"/>
      <c r="AG73" s="20"/>
      <c r="AH73" s="20"/>
      <c r="AI73" s="20"/>
      <c r="AJ73" s="20"/>
      <c r="AK73" s="20"/>
      <c r="AL73" s="20"/>
      <c r="AM73" s="20"/>
      <c r="AN73" s="20"/>
      <c r="AO73" s="20"/>
      <c r="AP73" s="20"/>
      <c r="AQ73" s="20"/>
      <c r="AR73" s="20"/>
      <c r="AS73" s="20"/>
      <c r="AT73" s="20"/>
      <c r="AU73" s="20"/>
      <c r="AV73" s="20"/>
      <c r="AW73" s="20"/>
      <c r="AX73" s="20"/>
      <c r="AY73" s="20"/>
      <c r="AZ73" s="20"/>
      <c r="BA73" s="20"/>
      <c r="BB73" s="20"/>
      <c r="BC73" s="20"/>
      <c r="BD73" s="20"/>
      <c r="BE73" s="20"/>
      <c r="BF73" s="20"/>
      <c r="BG73" s="20"/>
      <c r="BH73" s="20"/>
      <c r="BM73" s="20"/>
      <c r="BN73" s="20"/>
      <c r="BO73" s="20"/>
      <c r="BP73" s="20"/>
      <c r="BS73" s="20"/>
      <c r="BT73" s="20"/>
      <c r="BW73" s="20"/>
      <c r="BX73" s="20"/>
      <c r="CA73" s="20"/>
      <c r="CB73" s="20"/>
      <c r="CC73" s="20"/>
      <c r="CD73" s="20"/>
      <c r="CM73" s="20"/>
      <c r="CN73" s="20"/>
      <c r="CY73" s="20"/>
      <c r="CZ73" s="20"/>
      <c r="DA73" s="20"/>
      <c r="DB73" s="20"/>
      <c r="DK73" s="20"/>
      <c r="DL73" s="20"/>
      <c r="DM73" s="20"/>
      <c r="DN73" s="20"/>
      <c r="DO73" s="20"/>
      <c r="DP73" s="20"/>
      <c r="DS73" s="20"/>
      <c r="DT73" s="20"/>
    </row>
    <row r="74" spans="1:124" x14ac:dyDescent="0.25">
      <c r="A74" s="19" t="s">
        <v>4301</v>
      </c>
      <c r="B74" s="19" t="s">
        <v>3966</v>
      </c>
      <c r="E74" s="20"/>
      <c r="F74" s="20"/>
      <c r="I74" s="20"/>
      <c r="J74" s="20"/>
      <c r="K74" s="20"/>
      <c r="L74" s="20"/>
      <c r="O74" s="20"/>
      <c r="P74" s="20"/>
      <c r="Q74" s="20"/>
      <c r="R74" s="20"/>
      <c r="S74" s="20"/>
      <c r="T74" s="20"/>
      <c r="U74" s="20"/>
      <c r="V74" s="20"/>
      <c r="W74" s="20"/>
      <c r="X74" s="20"/>
      <c r="Y74" s="20"/>
      <c r="Z74" s="20"/>
      <c r="AA74" s="20"/>
      <c r="AB74" s="20"/>
      <c r="AC74" s="20"/>
      <c r="AD74" s="20"/>
      <c r="AE74" s="20"/>
      <c r="AF74" s="20"/>
      <c r="AG74" s="20"/>
      <c r="AH74" s="20"/>
      <c r="AI74" s="20"/>
      <c r="AJ74" s="20"/>
      <c r="AK74" s="20"/>
      <c r="AL74" s="20"/>
      <c r="AM74" s="20"/>
      <c r="AN74" s="20"/>
      <c r="AO74" s="20"/>
      <c r="AP74" s="20"/>
      <c r="AQ74" s="20"/>
      <c r="AR74" s="20"/>
      <c r="AS74" s="20"/>
      <c r="AT74" s="20"/>
      <c r="AU74" s="20"/>
      <c r="AV74" s="20"/>
      <c r="AW74" s="20"/>
      <c r="AX74" s="20"/>
      <c r="AY74" s="20"/>
      <c r="AZ74" s="20"/>
      <c r="BA74" s="20"/>
      <c r="BB74" s="20"/>
      <c r="BC74" s="20"/>
      <c r="BD74" s="20"/>
      <c r="BE74" s="20"/>
      <c r="BF74" s="20"/>
      <c r="BG74" s="20"/>
      <c r="BH74" s="20"/>
      <c r="BM74" s="20"/>
      <c r="BN74" s="20"/>
      <c r="BO74" s="20"/>
      <c r="BP74" s="20"/>
      <c r="BS74" s="20"/>
      <c r="BT74" s="20"/>
      <c r="BW74" s="20"/>
      <c r="BX74" s="20"/>
      <c r="CA74" s="20"/>
      <c r="CB74" s="20"/>
      <c r="CC74" s="20"/>
      <c r="CD74" s="20"/>
      <c r="CM74" s="20"/>
      <c r="CN74" s="20"/>
      <c r="CY74" s="20"/>
      <c r="CZ74" s="20"/>
      <c r="DA74" s="20"/>
      <c r="DB74" s="20"/>
      <c r="DK74" s="20"/>
      <c r="DL74" s="20"/>
      <c r="DM74" s="20"/>
      <c r="DN74" s="20"/>
      <c r="DO74" s="20"/>
      <c r="DP74" s="20"/>
      <c r="DS74" s="20"/>
      <c r="DT74" s="20"/>
    </row>
    <row r="75" spans="1:124" x14ac:dyDescent="0.25">
      <c r="A75" s="19" t="s">
        <v>4314</v>
      </c>
      <c r="B75" s="19" t="s">
        <v>3966</v>
      </c>
      <c r="E75" s="20"/>
      <c r="F75" s="20"/>
      <c r="I75" s="20"/>
      <c r="J75" s="20"/>
      <c r="K75" s="20"/>
      <c r="L75" s="20"/>
      <c r="O75" s="20"/>
      <c r="P75" s="20"/>
      <c r="Q75" s="20"/>
      <c r="R75" s="20"/>
      <c r="S75" s="20"/>
      <c r="T75" s="20"/>
      <c r="U75" s="20"/>
      <c r="V75" s="20"/>
      <c r="W75" s="20"/>
      <c r="X75" s="20"/>
      <c r="Y75" s="20"/>
      <c r="Z75" s="20"/>
      <c r="AA75" s="20"/>
      <c r="AB75" s="20"/>
      <c r="AC75" s="20"/>
      <c r="AD75" s="20"/>
      <c r="AE75" s="20"/>
      <c r="AF75" s="20"/>
      <c r="AG75" s="20"/>
      <c r="AH75" s="20"/>
      <c r="AI75" s="20"/>
      <c r="AJ75" s="20"/>
      <c r="AK75" s="20"/>
      <c r="AL75" s="20"/>
      <c r="AM75" s="20"/>
      <c r="AN75" s="20"/>
      <c r="AO75" s="20"/>
      <c r="AP75" s="20"/>
      <c r="AQ75" s="20"/>
      <c r="AR75" s="20"/>
      <c r="AS75" s="20"/>
      <c r="AT75" s="20"/>
      <c r="AU75" s="20"/>
      <c r="AV75" s="20"/>
      <c r="AW75" s="20"/>
      <c r="AX75" s="20"/>
      <c r="AY75" s="20"/>
      <c r="AZ75" s="20"/>
      <c r="BA75" s="20"/>
      <c r="BB75" s="20"/>
      <c r="BC75" s="20"/>
      <c r="BD75" s="20"/>
      <c r="BE75" s="20"/>
      <c r="BF75" s="20"/>
      <c r="BG75" s="20"/>
      <c r="BH75" s="20"/>
      <c r="BM75" s="20"/>
      <c r="BN75" s="20"/>
      <c r="BO75" s="20"/>
      <c r="BP75" s="20"/>
      <c r="BS75" s="20"/>
      <c r="BT75" s="20"/>
      <c r="BW75" s="20"/>
      <c r="BX75" s="20"/>
      <c r="CA75" s="20"/>
      <c r="CB75" s="20"/>
      <c r="CC75" s="20"/>
      <c r="CD75" s="20"/>
      <c r="CM75" s="20"/>
      <c r="CN75" s="20"/>
      <c r="CY75" s="20"/>
      <c r="CZ75" s="20"/>
      <c r="DA75" s="20"/>
      <c r="DB75" s="20"/>
      <c r="DK75" s="20"/>
      <c r="DL75" s="20"/>
      <c r="DM75" s="20"/>
      <c r="DN75" s="20"/>
      <c r="DO75" s="20"/>
      <c r="DP75" s="20"/>
      <c r="DS75" s="20"/>
      <c r="DT75" s="20"/>
    </row>
    <row r="76" spans="1:124" x14ac:dyDescent="0.25">
      <c r="A76" s="19" t="s">
        <v>4213</v>
      </c>
      <c r="B76" s="19" t="s">
        <v>3966</v>
      </c>
      <c r="E76" s="20"/>
      <c r="F76" s="20"/>
      <c r="I76" s="20"/>
      <c r="J76" s="20"/>
      <c r="K76" s="20"/>
      <c r="L76" s="20"/>
      <c r="O76" s="20"/>
      <c r="P76" s="20"/>
      <c r="Q76" s="20"/>
      <c r="R76" s="20"/>
      <c r="S76" s="20"/>
      <c r="T76" s="20"/>
      <c r="U76" s="20"/>
      <c r="V76" s="20"/>
      <c r="W76" s="20"/>
      <c r="X76" s="20"/>
      <c r="Y76" s="20"/>
      <c r="Z76" s="20"/>
      <c r="AA76" s="20"/>
      <c r="AB76" s="20"/>
      <c r="AC76" s="20"/>
      <c r="AD76" s="20"/>
      <c r="AE76" s="20"/>
      <c r="AF76" s="20"/>
      <c r="AG76" s="20"/>
      <c r="AH76" s="20"/>
      <c r="AI76" s="20"/>
      <c r="AJ76" s="20"/>
      <c r="AK76" s="20"/>
      <c r="AL76" s="20"/>
      <c r="AM76" s="20"/>
      <c r="AN76" s="20"/>
      <c r="AO76" s="20"/>
      <c r="AP76" s="20"/>
      <c r="AQ76" s="20"/>
      <c r="AR76" s="20"/>
      <c r="AS76" s="20"/>
      <c r="AT76" s="20"/>
      <c r="AU76" s="20"/>
      <c r="AV76" s="20"/>
      <c r="AW76" s="20"/>
      <c r="AX76" s="20"/>
      <c r="AY76" s="20"/>
      <c r="AZ76" s="20"/>
      <c r="BA76" s="20"/>
      <c r="BB76" s="20"/>
      <c r="BC76" s="20"/>
      <c r="BD76" s="20"/>
      <c r="BE76" s="20"/>
      <c r="BF76" s="20"/>
      <c r="BG76" s="20"/>
      <c r="BH76" s="20"/>
      <c r="BM76" s="20"/>
      <c r="BN76" s="20"/>
      <c r="BO76" s="20"/>
      <c r="BP76" s="20"/>
      <c r="BS76" s="20"/>
      <c r="BT76" s="20"/>
      <c r="BW76" s="20"/>
      <c r="BX76" s="20"/>
      <c r="CA76" s="20"/>
      <c r="CB76" s="20"/>
      <c r="CC76" s="20"/>
      <c r="CD76" s="20"/>
      <c r="CM76" s="20"/>
      <c r="CN76" s="20"/>
      <c r="CY76" s="20"/>
      <c r="CZ76" s="20"/>
      <c r="DA76" s="20"/>
      <c r="DB76" s="20"/>
      <c r="DK76" s="20"/>
      <c r="DL76" s="20"/>
      <c r="DM76" s="20"/>
      <c r="DN76" s="20"/>
      <c r="DO76" s="20"/>
      <c r="DP76" s="20"/>
      <c r="DS76" s="20"/>
      <c r="DT76" s="20"/>
    </row>
    <row r="77" spans="1:124" x14ac:dyDescent="0.25">
      <c r="A77" s="19" t="s">
        <v>4223</v>
      </c>
      <c r="B77" s="19" t="s">
        <v>3966</v>
      </c>
      <c r="E77" s="20"/>
      <c r="F77" s="20"/>
      <c r="I77" s="20"/>
      <c r="J77" s="20"/>
      <c r="K77" s="20"/>
      <c r="L77" s="20"/>
      <c r="O77" s="20"/>
      <c r="P77" s="20"/>
      <c r="Q77" s="20"/>
      <c r="R77" s="20"/>
      <c r="S77" s="20"/>
      <c r="T77" s="20"/>
      <c r="U77" s="20"/>
      <c r="V77" s="20"/>
      <c r="W77" s="20"/>
      <c r="X77" s="20"/>
      <c r="Y77" s="20"/>
      <c r="Z77" s="20"/>
      <c r="AA77" s="20"/>
      <c r="AB77" s="20"/>
      <c r="AC77" s="20"/>
      <c r="AD77" s="20"/>
      <c r="AE77" s="20"/>
      <c r="AF77" s="20"/>
      <c r="AG77" s="20"/>
      <c r="AH77" s="20"/>
      <c r="AI77" s="20"/>
      <c r="AJ77" s="20"/>
      <c r="AK77" s="20"/>
      <c r="AL77" s="20"/>
      <c r="AM77" s="20"/>
      <c r="AN77" s="20"/>
      <c r="AO77" s="20"/>
      <c r="AP77" s="20"/>
      <c r="AQ77" s="20"/>
      <c r="AR77" s="20"/>
      <c r="AS77" s="20"/>
      <c r="AT77" s="20"/>
      <c r="AU77" s="20"/>
      <c r="AV77" s="20"/>
      <c r="AW77" s="20"/>
      <c r="AX77" s="20"/>
      <c r="AY77" s="20"/>
      <c r="AZ77" s="20"/>
      <c r="BA77" s="20"/>
      <c r="BB77" s="20"/>
      <c r="BC77" s="20"/>
      <c r="BD77" s="20"/>
      <c r="BE77" s="20"/>
      <c r="BF77" s="20"/>
      <c r="BG77" s="20"/>
      <c r="BH77" s="20"/>
      <c r="BM77" s="20"/>
      <c r="BN77" s="20"/>
      <c r="BO77" s="20"/>
      <c r="BP77" s="20"/>
      <c r="BS77" s="20"/>
      <c r="BT77" s="20"/>
      <c r="BW77" s="20"/>
      <c r="BX77" s="20"/>
      <c r="CA77" s="20"/>
      <c r="CB77" s="20"/>
      <c r="CC77" s="20"/>
      <c r="CD77" s="20"/>
      <c r="CM77" s="20"/>
      <c r="CN77" s="20"/>
      <c r="CY77" s="20"/>
      <c r="CZ77" s="20"/>
      <c r="DA77" s="20"/>
      <c r="DB77" s="20"/>
      <c r="DK77" s="20"/>
      <c r="DL77" s="20"/>
      <c r="DM77" s="20"/>
      <c r="DN77" s="20"/>
      <c r="DO77" s="20"/>
      <c r="DP77" s="20"/>
      <c r="DS77" s="20"/>
      <c r="DT77" s="20"/>
    </row>
    <row r="78" spans="1:124" x14ac:dyDescent="0.25">
      <c r="A78" s="19" t="s">
        <v>4233</v>
      </c>
      <c r="B78" s="19" t="s">
        <v>3966</v>
      </c>
      <c r="E78" s="20"/>
      <c r="F78" s="20"/>
      <c r="I78" s="20"/>
      <c r="J78" s="20"/>
      <c r="K78" s="20"/>
      <c r="L78" s="20"/>
      <c r="O78" s="20"/>
      <c r="P78" s="20"/>
      <c r="Q78" s="20"/>
      <c r="R78" s="20"/>
      <c r="S78" s="20"/>
      <c r="T78" s="20"/>
      <c r="U78" s="20"/>
      <c r="V78" s="20"/>
      <c r="W78" s="20"/>
      <c r="X78" s="20"/>
      <c r="Y78" s="20"/>
      <c r="Z78" s="20"/>
      <c r="AA78" s="20"/>
      <c r="AB78" s="20"/>
      <c r="AC78" s="20"/>
      <c r="AD78" s="20"/>
      <c r="AE78" s="20"/>
      <c r="AF78" s="20"/>
      <c r="AG78" s="20"/>
      <c r="AH78" s="20"/>
      <c r="AI78" s="20"/>
      <c r="AJ78" s="20"/>
      <c r="AK78" s="20"/>
      <c r="AL78" s="20"/>
      <c r="AM78" s="20"/>
      <c r="AN78" s="20"/>
      <c r="AO78" s="20"/>
      <c r="AP78" s="20"/>
      <c r="AQ78" s="20"/>
      <c r="AR78" s="20"/>
      <c r="AS78" s="20"/>
      <c r="AT78" s="20"/>
      <c r="AU78" s="20"/>
      <c r="AV78" s="20"/>
      <c r="AW78" s="20"/>
      <c r="AX78" s="20"/>
      <c r="AY78" s="20"/>
      <c r="AZ78" s="20"/>
      <c r="BA78" s="20"/>
      <c r="BB78" s="20"/>
      <c r="BC78" s="20"/>
      <c r="BD78" s="20"/>
      <c r="BE78" s="20"/>
      <c r="BF78" s="20"/>
      <c r="BG78" s="20"/>
      <c r="BH78" s="20"/>
      <c r="BM78" s="20"/>
      <c r="BN78" s="20"/>
      <c r="BO78" s="20"/>
      <c r="BP78" s="20"/>
      <c r="BS78" s="20"/>
      <c r="BT78" s="20"/>
      <c r="BW78" s="20"/>
      <c r="BX78" s="20"/>
      <c r="CA78" s="20"/>
      <c r="CB78" s="20"/>
      <c r="CC78" s="20"/>
      <c r="CD78" s="20"/>
      <c r="CM78" s="20"/>
      <c r="CN78" s="20"/>
      <c r="CY78" s="20"/>
      <c r="CZ78" s="20"/>
      <c r="DA78" s="20"/>
      <c r="DB78" s="20"/>
      <c r="DK78" s="20"/>
      <c r="DL78" s="20"/>
      <c r="DM78" s="20"/>
      <c r="DN78" s="20"/>
      <c r="DO78" s="20"/>
      <c r="DP78" s="20"/>
      <c r="DS78" s="20"/>
      <c r="DT78" s="20"/>
    </row>
    <row r="79" spans="1:124" x14ac:dyDescent="0.25">
      <c r="A79" s="19" t="s">
        <v>4245</v>
      </c>
      <c r="B79" s="19" t="s">
        <v>3966</v>
      </c>
      <c r="E79" s="20"/>
      <c r="F79" s="20"/>
      <c r="I79" s="20"/>
      <c r="J79" s="20"/>
      <c r="K79" s="20"/>
      <c r="L79" s="20"/>
      <c r="O79" s="20"/>
      <c r="P79" s="20"/>
      <c r="Q79" s="20"/>
      <c r="R79" s="20"/>
      <c r="S79" s="20"/>
      <c r="T79" s="20"/>
      <c r="U79" s="20"/>
      <c r="V79" s="20"/>
      <c r="W79" s="20"/>
      <c r="X79" s="20"/>
      <c r="Y79" s="20"/>
      <c r="Z79" s="20"/>
      <c r="AA79" s="20"/>
      <c r="AB79" s="20"/>
      <c r="AC79" s="20"/>
      <c r="AD79" s="20"/>
      <c r="AE79" s="20"/>
      <c r="AF79" s="20"/>
      <c r="AG79" s="20"/>
      <c r="AH79" s="20"/>
      <c r="AI79" s="20"/>
      <c r="AJ79" s="20"/>
      <c r="AK79" s="20"/>
      <c r="AL79" s="20"/>
      <c r="AM79" s="20"/>
      <c r="AN79" s="20"/>
      <c r="AO79" s="20"/>
      <c r="AP79" s="20"/>
      <c r="AQ79" s="20"/>
      <c r="AR79" s="20"/>
      <c r="AS79" s="20"/>
      <c r="AT79" s="20"/>
      <c r="AU79" s="20"/>
      <c r="AV79" s="20"/>
      <c r="AW79" s="20"/>
      <c r="AX79" s="20"/>
      <c r="AY79" s="20"/>
      <c r="AZ79" s="20"/>
      <c r="BA79" s="20"/>
      <c r="BB79" s="20"/>
      <c r="BC79" s="20"/>
      <c r="BD79" s="20"/>
      <c r="BE79" s="20"/>
      <c r="BF79" s="20"/>
      <c r="BG79" s="20"/>
      <c r="BH79" s="20"/>
      <c r="BM79" s="20"/>
      <c r="BN79" s="20"/>
      <c r="BO79" s="20"/>
      <c r="BP79" s="20"/>
      <c r="BS79" s="20"/>
      <c r="BT79" s="20"/>
      <c r="BW79" s="20"/>
      <c r="BX79" s="20"/>
      <c r="BY79" s="20"/>
      <c r="BZ79" s="20"/>
      <c r="CA79" s="20"/>
      <c r="CB79" s="20"/>
      <c r="CC79" s="20"/>
      <c r="CD79" s="20"/>
      <c r="CM79" s="20"/>
      <c r="CN79" s="20"/>
      <c r="CY79" s="20"/>
      <c r="CZ79" s="20"/>
      <c r="DA79" s="20"/>
      <c r="DB79" s="20"/>
      <c r="DK79" s="20"/>
      <c r="DL79" s="20"/>
      <c r="DM79" s="20"/>
      <c r="DN79" s="20"/>
      <c r="DO79" s="20"/>
      <c r="DP79" s="20"/>
      <c r="DS79" s="20"/>
      <c r="DT79" s="20"/>
    </row>
    <row r="80" spans="1:124" x14ac:dyDescent="0.25">
      <c r="A80" s="19" t="s">
        <v>4256</v>
      </c>
      <c r="B80" s="19" t="s">
        <v>3966</v>
      </c>
      <c r="E80" s="20"/>
      <c r="F80" s="20"/>
      <c r="I80" s="20"/>
      <c r="J80" s="20"/>
      <c r="K80" s="20"/>
      <c r="L80" s="20"/>
      <c r="O80" s="20"/>
      <c r="P80" s="20"/>
      <c r="Q80" s="20"/>
      <c r="R80" s="20"/>
      <c r="S80" s="20"/>
      <c r="T80" s="20"/>
      <c r="U80" s="20"/>
      <c r="V80" s="20"/>
      <c r="W80" s="20"/>
      <c r="X80" s="20"/>
      <c r="Y80" s="20"/>
      <c r="Z80" s="20"/>
      <c r="AA80" s="20"/>
      <c r="AB80" s="20"/>
      <c r="AC80" s="20"/>
      <c r="AD80" s="20"/>
      <c r="AE80" s="20"/>
      <c r="AF80" s="20"/>
      <c r="AG80" s="20"/>
      <c r="AH80" s="20"/>
      <c r="AI80" s="20"/>
      <c r="AJ80" s="20"/>
      <c r="AK80" s="20"/>
      <c r="AL80" s="20"/>
      <c r="AM80" s="20"/>
      <c r="AN80" s="20"/>
      <c r="AO80" s="20"/>
      <c r="AP80" s="20"/>
      <c r="AQ80" s="20"/>
      <c r="AR80" s="20"/>
      <c r="AS80" s="20"/>
      <c r="AT80" s="20"/>
      <c r="AU80" s="20"/>
      <c r="AV80" s="20"/>
      <c r="AW80" s="20"/>
      <c r="AX80" s="20"/>
      <c r="AY80" s="20"/>
      <c r="AZ80" s="20"/>
      <c r="BA80" s="20"/>
      <c r="BB80" s="20"/>
      <c r="BC80" s="20"/>
      <c r="BD80" s="20"/>
      <c r="BE80" s="20"/>
      <c r="BF80" s="20"/>
      <c r="BG80" s="20"/>
      <c r="BH80" s="20"/>
      <c r="BM80" s="20"/>
      <c r="BN80" s="20"/>
      <c r="BO80" s="20"/>
      <c r="BP80" s="20"/>
      <c r="BS80" s="20"/>
      <c r="BT80" s="20"/>
      <c r="BW80" s="20"/>
      <c r="BX80" s="20"/>
      <c r="BY80" s="20"/>
      <c r="BZ80" s="20"/>
      <c r="CA80" s="20"/>
      <c r="CB80" s="20"/>
      <c r="CC80" s="20"/>
      <c r="CD80" s="20"/>
      <c r="CM80" s="20"/>
      <c r="CN80" s="20"/>
      <c r="CY80" s="20"/>
      <c r="CZ80" s="20"/>
      <c r="DA80" s="20"/>
      <c r="DB80" s="20"/>
      <c r="DK80" s="20"/>
      <c r="DL80" s="20"/>
      <c r="DM80" s="20"/>
      <c r="DN80" s="20"/>
      <c r="DO80" s="20"/>
      <c r="DP80" s="20"/>
      <c r="DS80" s="20"/>
      <c r="DT80" s="20"/>
    </row>
    <row r="81" spans="1:124" x14ac:dyDescent="0.25">
      <c r="A81" s="19">
        <v>-424824621</v>
      </c>
      <c r="B81" s="19" t="s">
        <v>3966</v>
      </c>
      <c r="E81" s="20"/>
      <c r="F81" s="20"/>
      <c r="I81" s="20"/>
      <c r="J81" s="20"/>
      <c r="K81" s="20"/>
      <c r="L81" s="20"/>
      <c r="O81" s="20"/>
      <c r="P81" s="20"/>
      <c r="Q81" s="20"/>
      <c r="R81" s="20"/>
      <c r="S81" s="20"/>
      <c r="T81" s="20"/>
      <c r="U81" s="20"/>
      <c r="V81" s="20"/>
      <c r="W81" s="20"/>
      <c r="X81" s="20"/>
      <c r="Y81" s="20"/>
      <c r="Z81" s="20"/>
      <c r="AA81" s="20"/>
      <c r="AB81" s="20"/>
      <c r="AC81" s="20"/>
      <c r="AD81" s="20"/>
      <c r="AE81" s="20"/>
      <c r="AF81" s="20"/>
      <c r="AG81" s="20"/>
      <c r="AH81" s="20"/>
      <c r="AI81" s="20"/>
      <c r="AJ81" s="20"/>
      <c r="AK81" s="20"/>
      <c r="AL81" s="20"/>
      <c r="AM81" s="20"/>
      <c r="AN81" s="20"/>
      <c r="AO81" s="20"/>
      <c r="AP81" s="20"/>
      <c r="AQ81" s="20"/>
      <c r="AR81" s="20"/>
      <c r="AS81" s="20"/>
      <c r="AT81" s="20"/>
      <c r="AU81" s="20"/>
      <c r="AV81" s="20"/>
      <c r="AW81" s="20"/>
      <c r="AX81" s="20"/>
      <c r="AY81" s="20"/>
      <c r="AZ81" s="20"/>
      <c r="BA81" s="20"/>
      <c r="BB81" s="20"/>
      <c r="BC81" s="20"/>
      <c r="BD81" s="20"/>
      <c r="BE81" s="20"/>
      <c r="BF81" s="20"/>
      <c r="BG81" s="20"/>
      <c r="BH81" s="20"/>
      <c r="BM81" s="20"/>
      <c r="BN81" s="20"/>
      <c r="BO81" s="20"/>
      <c r="BP81" s="20"/>
      <c r="BS81" s="20"/>
      <c r="BT81" s="20"/>
      <c r="BW81" s="20"/>
      <c r="BX81" s="20"/>
      <c r="BY81" s="20"/>
      <c r="BZ81" s="20"/>
      <c r="CA81" s="20"/>
      <c r="CB81" s="20"/>
      <c r="CC81" s="20"/>
      <c r="CD81" s="20"/>
      <c r="CM81" s="20"/>
      <c r="CN81" s="20"/>
      <c r="CY81" s="20"/>
      <c r="CZ81" s="20"/>
      <c r="DA81" s="20"/>
      <c r="DB81" s="20"/>
      <c r="DI81" s="20"/>
      <c r="DJ81" s="20"/>
      <c r="DK81" s="20"/>
      <c r="DL81" s="20"/>
      <c r="DM81" s="20"/>
      <c r="DN81" s="20"/>
      <c r="DO81" s="20"/>
      <c r="DP81" s="20"/>
      <c r="DS81" s="20"/>
      <c r="DT81" s="20"/>
    </row>
    <row r="82" spans="1:124" x14ac:dyDescent="0.25">
      <c r="A82" s="19">
        <v>-423956981</v>
      </c>
      <c r="B82" s="19" t="s">
        <v>3966</v>
      </c>
      <c r="E82" s="20"/>
      <c r="F82" s="20"/>
      <c r="I82" s="20"/>
      <c r="J82" s="20"/>
      <c r="K82" s="20"/>
      <c r="L82" s="20"/>
      <c r="O82" s="20"/>
      <c r="P82" s="20"/>
      <c r="Q82" s="20"/>
      <c r="R82" s="20"/>
      <c r="S82" s="20"/>
      <c r="T82" s="20"/>
      <c r="U82" s="20"/>
      <c r="V82" s="20"/>
      <c r="W82" s="20"/>
      <c r="X82" s="20"/>
      <c r="Y82" s="20"/>
      <c r="Z82" s="20"/>
      <c r="AA82" s="20"/>
      <c r="AB82" s="20"/>
      <c r="AC82" s="20"/>
      <c r="AD82" s="20"/>
      <c r="AE82" s="20"/>
      <c r="AF82" s="20"/>
      <c r="AG82" s="20"/>
      <c r="AH82" s="20"/>
      <c r="AI82" s="20"/>
      <c r="AJ82" s="20"/>
      <c r="AK82" s="20"/>
      <c r="AL82" s="20"/>
      <c r="AM82" s="20"/>
      <c r="AN82" s="20"/>
      <c r="AO82" s="20"/>
      <c r="AP82" s="20"/>
      <c r="AQ82" s="20"/>
      <c r="AR82" s="20"/>
      <c r="AS82" s="20"/>
      <c r="AT82" s="20"/>
      <c r="AU82" s="20"/>
      <c r="AV82" s="20"/>
      <c r="AW82" s="20"/>
      <c r="AX82" s="20"/>
      <c r="AY82" s="20"/>
      <c r="AZ82" s="20"/>
      <c r="BA82" s="20"/>
      <c r="BB82" s="20"/>
      <c r="BC82" s="20"/>
      <c r="BD82" s="20"/>
      <c r="BE82" s="20"/>
      <c r="BF82" s="20"/>
      <c r="BG82" s="20"/>
      <c r="BH82" s="20"/>
      <c r="BM82" s="20"/>
      <c r="BN82" s="20"/>
      <c r="BO82" s="20"/>
      <c r="BP82" s="20"/>
      <c r="BS82" s="20"/>
      <c r="BT82" s="20"/>
      <c r="BW82" s="20"/>
      <c r="BX82" s="20"/>
      <c r="BY82" s="20"/>
      <c r="BZ82" s="20"/>
      <c r="CA82" s="20"/>
      <c r="CB82" s="20"/>
      <c r="CC82" s="20"/>
      <c r="CD82" s="20"/>
      <c r="CM82" s="20"/>
      <c r="CN82" s="20"/>
      <c r="CY82" s="20"/>
      <c r="CZ82" s="20"/>
      <c r="DA82" s="20"/>
      <c r="DB82" s="20"/>
      <c r="DI82" s="20"/>
      <c r="DJ82" s="20"/>
      <c r="DK82" s="20"/>
      <c r="DL82" s="20"/>
      <c r="DM82" s="20"/>
      <c r="DN82" s="20"/>
      <c r="DO82" s="20"/>
      <c r="DP82" s="20"/>
      <c r="DS82" s="20"/>
      <c r="DT82" s="20"/>
    </row>
    <row r="83" spans="1:124" x14ac:dyDescent="0.25">
      <c r="A83" s="19" t="s">
        <v>4288</v>
      </c>
      <c r="B83" s="19" t="s">
        <v>3966</v>
      </c>
      <c r="E83" s="20"/>
      <c r="F83" s="20"/>
      <c r="I83" s="20"/>
      <c r="J83" s="20"/>
      <c r="K83" s="20"/>
      <c r="L83" s="20"/>
      <c r="O83" s="20"/>
      <c r="P83" s="20"/>
      <c r="Q83" s="20"/>
      <c r="R83" s="20"/>
      <c r="S83" s="20"/>
      <c r="T83" s="20"/>
      <c r="U83" s="20"/>
      <c r="V83" s="20"/>
      <c r="W83" s="20"/>
      <c r="X83" s="20"/>
      <c r="Y83" s="20"/>
      <c r="Z83" s="20"/>
      <c r="AA83" s="20"/>
      <c r="AB83" s="20"/>
      <c r="AC83" s="20"/>
      <c r="AD83" s="20"/>
      <c r="AE83" s="20"/>
      <c r="AF83" s="20"/>
      <c r="AG83" s="20"/>
      <c r="AH83" s="20"/>
      <c r="AI83" s="20"/>
      <c r="AJ83" s="20"/>
      <c r="AK83" s="20"/>
      <c r="AL83" s="20"/>
      <c r="AM83" s="20"/>
      <c r="AN83" s="20"/>
      <c r="AO83" s="20"/>
      <c r="AP83" s="20"/>
      <c r="AQ83" s="20"/>
      <c r="AR83" s="20"/>
      <c r="AS83" s="20"/>
      <c r="AT83" s="20"/>
      <c r="AU83" s="20"/>
      <c r="AV83" s="20"/>
      <c r="AW83" s="20"/>
      <c r="AX83" s="20"/>
      <c r="AY83" s="20"/>
      <c r="AZ83" s="20"/>
      <c r="BA83" s="20"/>
      <c r="BB83" s="20"/>
      <c r="BC83" s="20"/>
      <c r="BD83" s="20"/>
      <c r="BE83" s="20"/>
      <c r="BF83" s="20"/>
      <c r="BG83" s="20"/>
      <c r="BH83" s="20"/>
      <c r="BM83" s="20"/>
      <c r="BN83" s="20"/>
      <c r="BO83" s="20"/>
      <c r="BP83" s="20"/>
      <c r="BS83" s="20"/>
      <c r="BT83" s="20"/>
      <c r="BW83" s="20"/>
      <c r="BX83" s="20"/>
      <c r="BY83" s="20"/>
      <c r="BZ83" s="20"/>
      <c r="CA83" s="20"/>
      <c r="CB83" s="20"/>
      <c r="CC83" s="20"/>
      <c r="CD83" s="20"/>
      <c r="CM83" s="20"/>
      <c r="CN83" s="20"/>
      <c r="CY83" s="20"/>
      <c r="CZ83" s="20"/>
      <c r="DA83" s="20"/>
      <c r="DB83" s="20"/>
      <c r="DI83" s="20"/>
      <c r="DJ83" s="20"/>
      <c r="DK83" s="20"/>
      <c r="DL83" s="20"/>
      <c r="DM83" s="20"/>
      <c r="DN83" s="20"/>
      <c r="DO83" s="20"/>
      <c r="DP83" s="20"/>
      <c r="DS83" s="20"/>
      <c r="DT83" s="20"/>
    </row>
    <row r="84" spans="1:124" x14ac:dyDescent="0.25">
      <c r="A84" s="19" t="s">
        <v>4302</v>
      </c>
      <c r="B84" s="19" t="s">
        <v>3966</v>
      </c>
      <c r="E84" s="20"/>
      <c r="F84" s="20"/>
      <c r="I84" s="20"/>
      <c r="J84" s="20"/>
      <c r="K84" s="20"/>
      <c r="L84" s="20"/>
      <c r="O84" s="20"/>
      <c r="P84" s="20"/>
      <c r="Q84" s="20"/>
      <c r="R84" s="20"/>
      <c r="S84" s="20"/>
      <c r="T84" s="20"/>
      <c r="U84" s="20"/>
      <c r="V84" s="20"/>
      <c r="W84" s="20"/>
      <c r="X84" s="20"/>
      <c r="Y84" s="20"/>
      <c r="Z84" s="20"/>
      <c r="AA84" s="20"/>
      <c r="AB84" s="20"/>
      <c r="AC84" s="20"/>
      <c r="AD84" s="20"/>
      <c r="AE84" s="20"/>
      <c r="AF84" s="20"/>
      <c r="AG84" s="20"/>
      <c r="AH84" s="20"/>
      <c r="AI84" s="20"/>
      <c r="AJ84" s="20"/>
      <c r="AK84" s="20"/>
      <c r="AL84" s="20"/>
      <c r="AM84" s="20"/>
      <c r="AN84" s="20"/>
      <c r="AO84" s="20"/>
      <c r="AP84" s="20"/>
      <c r="AQ84" s="20"/>
      <c r="AR84" s="20"/>
      <c r="AS84" s="20"/>
      <c r="AT84" s="20"/>
      <c r="AU84" s="20"/>
      <c r="AV84" s="20"/>
      <c r="AW84" s="20"/>
      <c r="AX84" s="20"/>
      <c r="AY84" s="20"/>
      <c r="AZ84" s="20"/>
      <c r="BA84" s="20"/>
      <c r="BB84" s="20"/>
      <c r="BC84" s="20"/>
      <c r="BD84" s="20"/>
      <c r="BE84" s="20"/>
      <c r="BF84" s="20"/>
      <c r="BG84" s="20"/>
      <c r="BH84" s="20"/>
      <c r="BM84" s="20"/>
      <c r="BN84" s="20"/>
      <c r="BO84" s="20"/>
      <c r="BP84" s="20"/>
      <c r="BS84" s="20"/>
      <c r="BT84" s="20"/>
      <c r="BW84" s="20"/>
      <c r="BX84" s="20"/>
      <c r="BY84" s="20"/>
      <c r="BZ84" s="20"/>
      <c r="CA84" s="20"/>
      <c r="CB84" s="20"/>
      <c r="CC84" s="20"/>
      <c r="CD84" s="20"/>
      <c r="CM84" s="20"/>
      <c r="CN84" s="20"/>
      <c r="CO84" s="20"/>
      <c r="CP84" s="20"/>
      <c r="CY84" s="20"/>
      <c r="CZ84" s="20"/>
      <c r="DA84" s="20"/>
      <c r="DB84" s="20"/>
      <c r="DI84" s="20"/>
      <c r="DJ84" s="20"/>
      <c r="DK84" s="20"/>
      <c r="DL84" s="20"/>
      <c r="DM84" s="20"/>
      <c r="DN84" s="20"/>
      <c r="DO84" s="20"/>
      <c r="DP84" s="20"/>
      <c r="DS84" s="20"/>
      <c r="DT84" s="20"/>
    </row>
    <row r="85" spans="1:124" x14ac:dyDescent="0.25">
      <c r="A85" s="19" t="s">
        <v>4059</v>
      </c>
      <c r="B85" s="19" t="s">
        <v>3966</v>
      </c>
      <c r="E85" s="20"/>
      <c r="F85" s="20"/>
      <c r="G85" s="20"/>
      <c r="H85" s="20"/>
      <c r="I85" s="20"/>
      <c r="J85" s="20"/>
      <c r="K85" s="20"/>
      <c r="L85" s="20"/>
      <c r="O85" s="20"/>
      <c r="P85" s="20"/>
      <c r="Q85" s="20"/>
      <c r="R85" s="20"/>
      <c r="S85" s="20"/>
      <c r="T85" s="20"/>
      <c r="U85" s="20"/>
      <c r="V85" s="20"/>
      <c r="W85" s="20"/>
      <c r="X85" s="20"/>
      <c r="Y85" s="20"/>
      <c r="Z85" s="20"/>
      <c r="AA85" s="20"/>
      <c r="AB85" s="20"/>
      <c r="AC85" s="20"/>
      <c r="AD85" s="20"/>
      <c r="AE85" s="20"/>
      <c r="AF85" s="20"/>
      <c r="AG85" s="20"/>
      <c r="AH85" s="20"/>
      <c r="AI85" s="20"/>
      <c r="AJ85" s="20"/>
      <c r="AK85" s="20"/>
      <c r="AL85" s="20"/>
      <c r="AM85" s="20"/>
      <c r="AN85" s="20"/>
      <c r="AO85" s="20"/>
      <c r="AP85" s="20"/>
      <c r="AQ85" s="20"/>
      <c r="AR85" s="20"/>
      <c r="AS85" s="20"/>
      <c r="AT85" s="20"/>
      <c r="AU85" s="20"/>
      <c r="AV85" s="20"/>
      <c r="AW85" s="20"/>
      <c r="AX85" s="20"/>
      <c r="AY85" s="20"/>
      <c r="AZ85" s="20"/>
      <c r="BA85" s="20"/>
      <c r="BB85" s="20"/>
      <c r="BC85" s="20"/>
      <c r="BD85" s="20"/>
      <c r="BE85" s="20"/>
      <c r="BF85" s="20"/>
      <c r="BG85" s="20"/>
      <c r="BH85" s="20"/>
      <c r="BM85" s="20"/>
      <c r="BN85" s="20"/>
      <c r="BO85" s="20"/>
      <c r="BP85" s="20"/>
      <c r="BS85" s="20"/>
      <c r="BT85" s="20"/>
      <c r="BW85" s="20"/>
      <c r="BX85" s="20"/>
      <c r="BY85" s="20"/>
      <c r="BZ85" s="20"/>
      <c r="CA85" s="20"/>
      <c r="CB85" s="20"/>
      <c r="CC85" s="20"/>
      <c r="CD85" s="20"/>
      <c r="CM85" s="20"/>
      <c r="CN85" s="20"/>
      <c r="CO85" s="20"/>
      <c r="CP85" s="20"/>
      <c r="CY85" s="20"/>
      <c r="CZ85" s="20"/>
      <c r="DA85" s="20"/>
      <c r="DB85" s="20"/>
      <c r="DI85" s="20"/>
      <c r="DJ85" s="20"/>
      <c r="DK85" s="20"/>
      <c r="DL85" s="20"/>
      <c r="DM85" s="20"/>
      <c r="DN85" s="20"/>
      <c r="DO85" s="20"/>
      <c r="DP85" s="20"/>
      <c r="DS85" s="20"/>
      <c r="DT85" s="20"/>
    </row>
    <row r="86" spans="1:124" x14ac:dyDescent="0.25">
      <c r="A86" s="19">
        <v>196358978</v>
      </c>
      <c r="B86" s="19" t="s">
        <v>3966</v>
      </c>
      <c r="E86" s="20"/>
      <c r="F86" s="20"/>
      <c r="G86" s="20"/>
      <c r="H86" s="20"/>
      <c r="I86" s="20"/>
      <c r="J86" s="20"/>
      <c r="K86" s="20"/>
      <c r="L86" s="20"/>
      <c r="O86" s="20"/>
      <c r="P86" s="20"/>
      <c r="Q86" s="20"/>
      <c r="R86" s="20"/>
      <c r="S86" s="20"/>
      <c r="T86" s="20"/>
      <c r="U86" s="20"/>
      <c r="V86" s="20"/>
      <c r="W86" s="20"/>
      <c r="X86" s="20"/>
      <c r="Y86" s="20"/>
      <c r="Z86" s="20"/>
      <c r="AA86" s="20"/>
      <c r="AB86" s="20"/>
      <c r="AC86" s="20"/>
      <c r="AD86" s="20"/>
      <c r="AE86" s="20"/>
      <c r="AF86" s="20"/>
      <c r="AG86" s="20"/>
      <c r="AH86" s="20"/>
      <c r="AI86" s="20"/>
      <c r="AJ86" s="20"/>
      <c r="AK86" s="20"/>
      <c r="AL86" s="20"/>
      <c r="AM86" s="20"/>
      <c r="AN86" s="20"/>
      <c r="AO86" s="20"/>
      <c r="AP86" s="20"/>
      <c r="AQ86" s="20"/>
      <c r="AR86" s="20"/>
      <c r="AS86" s="20"/>
      <c r="AT86" s="20"/>
      <c r="AU86" s="20"/>
      <c r="AV86" s="20"/>
      <c r="AW86" s="20"/>
      <c r="AX86" s="20"/>
      <c r="AY86" s="20"/>
      <c r="AZ86" s="20"/>
      <c r="BA86" s="20"/>
      <c r="BB86" s="20"/>
      <c r="BC86" s="20"/>
      <c r="BD86" s="20"/>
      <c r="BE86" s="20"/>
      <c r="BF86" s="20"/>
      <c r="BG86" s="20"/>
      <c r="BH86" s="20"/>
      <c r="BM86" s="20"/>
      <c r="BN86" s="20"/>
      <c r="BO86" s="20"/>
      <c r="BP86" s="20"/>
      <c r="BS86" s="20"/>
      <c r="BT86" s="20"/>
      <c r="BW86" s="20"/>
      <c r="BX86" s="20"/>
      <c r="BY86" s="20"/>
      <c r="BZ86" s="20"/>
      <c r="CA86" s="20"/>
      <c r="CB86" s="20"/>
      <c r="CC86" s="20"/>
      <c r="CD86" s="20"/>
      <c r="CM86" s="20"/>
      <c r="CN86" s="20"/>
      <c r="CO86" s="20"/>
      <c r="CP86" s="20"/>
      <c r="CY86" s="20"/>
      <c r="CZ86" s="20"/>
      <c r="DA86" s="20"/>
      <c r="DB86" s="20"/>
      <c r="DI86" s="20"/>
      <c r="DJ86" s="20"/>
      <c r="DK86" s="20"/>
      <c r="DL86" s="20"/>
      <c r="DM86" s="20"/>
      <c r="DN86" s="20"/>
      <c r="DO86" s="20"/>
      <c r="DP86" s="20"/>
      <c r="DS86" s="20"/>
      <c r="DT86" s="20"/>
    </row>
    <row r="87" spans="1:124" x14ac:dyDescent="0.25">
      <c r="A87" s="19" t="s">
        <v>4080</v>
      </c>
      <c r="B87" s="19" t="s">
        <v>3966</v>
      </c>
      <c r="E87" s="20"/>
      <c r="F87" s="20"/>
      <c r="G87" s="20"/>
      <c r="H87" s="20"/>
      <c r="I87" s="20"/>
      <c r="J87" s="20"/>
      <c r="K87" s="20"/>
      <c r="L87" s="20"/>
      <c r="O87" s="20"/>
      <c r="P87" s="20"/>
      <c r="Q87" s="20"/>
      <c r="R87" s="20"/>
      <c r="S87" s="20"/>
      <c r="T87" s="20"/>
      <c r="U87" s="20"/>
      <c r="V87" s="20"/>
      <c r="W87" s="20"/>
      <c r="X87" s="20"/>
      <c r="Y87" s="20"/>
      <c r="Z87" s="20"/>
      <c r="AA87" s="20"/>
      <c r="AB87" s="20"/>
      <c r="AC87" s="20"/>
      <c r="AD87" s="20"/>
      <c r="AE87" s="20"/>
      <c r="AF87" s="20"/>
      <c r="AG87" s="20"/>
      <c r="AH87" s="20"/>
      <c r="AI87" s="20"/>
      <c r="AJ87" s="20"/>
      <c r="AK87" s="20"/>
      <c r="AL87" s="20"/>
      <c r="AM87" s="20"/>
      <c r="AN87" s="20"/>
      <c r="AO87" s="20"/>
      <c r="AP87" s="20"/>
      <c r="AQ87" s="20"/>
      <c r="AR87" s="20"/>
      <c r="AS87" s="20"/>
      <c r="AT87" s="20"/>
      <c r="AU87" s="20"/>
      <c r="AV87" s="20"/>
      <c r="AW87" s="20"/>
      <c r="AX87" s="20"/>
      <c r="AY87" s="20"/>
      <c r="AZ87" s="20"/>
      <c r="BA87" s="20"/>
      <c r="BB87" s="20"/>
      <c r="BC87" s="20"/>
      <c r="BD87" s="20"/>
      <c r="BE87" s="20"/>
      <c r="BF87" s="20"/>
      <c r="BG87" s="20"/>
      <c r="BH87" s="20"/>
      <c r="BM87" s="20"/>
      <c r="BN87" s="20"/>
      <c r="BO87" s="20"/>
      <c r="BP87" s="20"/>
      <c r="BS87" s="20"/>
      <c r="BT87" s="20"/>
      <c r="BW87" s="20"/>
      <c r="BX87" s="20"/>
      <c r="BY87" s="20"/>
      <c r="BZ87" s="20"/>
      <c r="CA87" s="20"/>
      <c r="CB87" s="20"/>
      <c r="CC87" s="20"/>
      <c r="CD87" s="20"/>
      <c r="CM87" s="20"/>
      <c r="CN87" s="20"/>
      <c r="CO87" s="20"/>
      <c r="CP87" s="20"/>
      <c r="CY87" s="20"/>
      <c r="CZ87" s="20"/>
      <c r="DA87" s="20"/>
      <c r="DB87" s="20"/>
      <c r="DI87" s="20"/>
      <c r="DJ87" s="20"/>
      <c r="DK87" s="20"/>
      <c r="DL87" s="20"/>
      <c r="DM87" s="20"/>
      <c r="DN87" s="20"/>
      <c r="DO87" s="20"/>
      <c r="DP87" s="20"/>
      <c r="DS87" s="20"/>
      <c r="DT87" s="20"/>
    </row>
    <row r="88" spans="1:124" x14ac:dyDescent="0.25">
      <c r="A88" s="19" t="s">
        <v>4096</v>
      </c>
      <c r="B88" s="19" t="s">
        <v>3966</v>
      </c>
      <c r="E88" s="20"/>
      <c r="F88" s="20"/>
      <c r="G88" s="20"/>
      <c r="H88" s="20"/>
      <c r="I88" s="20"/>
      <c r="J88" s="20"/>
      <c r="K88" s="20"/>
      <c r="L88" s="20"/>
      <c r="O88" s="20"/>
      <c r="P88" s="20"/>
      <c r="Q88" s="20"/>
      <c r="R88" s="20"/>
      <c r="S88" s="20"/>
      <c r="T88" s="20"/>
      <c r="U88" s="20"/>
      <c r="V88" s="20"/>
      <c r="W88" s="20"/>
      <c r="X88" s="20"/>
      <c r="Y88" s="20"/>
      <c r="Z88" s="20"/>
      <c r="AA88" s="20"/>
      <c r="AB88" s="20"/>
      <c r="AC88" s="20"/>
      <c r="AD88" s="20"/>
      <c r="AE88" s="20"/>
      <c r="AF88" s="20"/>
      <c r="AG88" s="20"/>
      <c r="AH88" s="20"/>
      <c r="AI88" s="20"/>
      <c r="AJ88" s="20"/>
      <c r="AK88" s="20"/>
      <c r="AL88" s="20"/>
      <c r="AM88" s="20"/>
      <c r="AN88" s="20"/>
      <c r="AO88" s="20"/>
      <c r="AP88" s="20"/>
      <c r="AQ88" s="20"/>
      <c r="AR88" s="20"/>
      <c r="AS88" s="20"/>
      <c r="AT88" s="20"/>
      <c r="AU88" s="20"/>
      <c r="AV88" s="20"/>
      <c r="AW88" s="20"/>
      <c r="AX88" s="20"/>
      <c r="AY88" s="20"/>
      <c r="AZ88" s="20"/>
      <c r="BA88" s="20"/>
      <c r="BB88" s="20"/>
      <c r="BC88" s="20"/>
      <c r="BD88" s="20"/>
      <c r="BE88" s="20"/>
      <c r="BF88" s="20"/>
      <c r="BG88" s="20"/>
      <c r="BH88" s="20"/>
      <c r="BM88" s="20"/>
      <c r="BN88" s="20"/>
      <c r="BO88" s="20"/>
      <c r="BP88" s="20"/>
      <c r="BS88" s="20"/>
      <c r="BT88" s="20"/>
      <c r="BW88" s="20"/>
      <c r="BX88" s="20"/>
      <c r="BY88" s="20"/>
      <c r="BZ88" s="20"/>
      <c r="CA88" s="20"/>
      <c r="CB88" s="20"/>
      <c r="CC88" s="20"/>
      <c r="CD88" s="20"/>
      <c r="CM88" s="20"/>
      <c r="CN88" s="20"/>
      <c r="CO88" s="20"/>
      <c r="CP88" s="20"/>
      <c r="CY88" s="20"/>
      <c r="CZ88" s="20"/>
      <c r="DA88" s="20"/>
      <c r="DB88" s="20"/>
      <c r="DI88" s="20"/>
      <c r="DJ88" s="20"/>
      <c r="DK88" s="20"/>
      <c r="DL88" s="20"/>
      <c r="DM88" s="20"/>
      <c r="DN88" s="20"/>
      <c r="DO88" s="20"/>
      <c r="DP88" s="20"/>
      <c r="DS88" s="20"/>
      <c r="DT88" s="20"/>
    </row>
    <row r="89" spans="1:124" x14ac:dyDescent="0.25">
      <c r="A89" s="19" t="s">
        <v>4111</v>
      </c>
      <c r="B89" s="19" t="s">
        <v>3966</v>
      </c>
      <c r="E89" s="20"/>
      <c r="F89" s="20"/>
      <c r="G89" s="20"/>
      <c r="H89" s="20"/>
      <c r="I89" s="20"/>
      <c r="J89" s="20"/>
      <c r="K89" s="20"/>
      <c r="L89" s="20"/>
      <c r="O89" s="20"/>
      <c r="P89" s="20"/>
      <c r="Q89" s="20"/>
      <c r="R89" s="20"/>
      <c r="S89" s="20"/>
      <c r="T89" s="20"/>
      <c r="U89" s="20"/>
      <c r="V89" s="20"/>
      <c r="W89" s="20"/>
      <c r="X89" s="20"/>
      <c r="Y89" s="20"/>
      <c r="Z89" s="20"/>
      <c r="AA89" s="20"/>
      <c r="AB89" s="20"/>
      <c r="AC89" s="20"/>
      <c r="AD89" s="20"/>
      <c r="AE89" s="20"/>
      <c r="AF89" s="20"/>
      <c r="AG89" s="20"/>
      <c r="AH89" s="20"/>
      <c r="AI89" s="20"/>
      <c r="AJ89" s="20"/>
      <c r="AK89" s="20"/>
      <c r="AL89" s="20"/>
      <c r="AM89" s="20"/>
      <c r="AN89" s="20"/>
      <c r="AO89" s="20"/>
      <c r="AP89" s="20"/>
      <c r="AQ89" s="20"/>
      <c r="AR89" s="20"/>
      <c r="AS89" s="20"/>
      <c r="AT89" s="20"/>
      <c r="AU89" s="20"/>
      <c r="AV89" s="20"/>
      <c r="AW89" s="20"/>
      <c r="AX89" s="20"/>
      <c r="AY89" s="20"/>
      <c r="AZ89" s="20"/>
      <c r="BA89" s="20"/>
      <c r="BB89" s="20"/>
      <c r="BC89" s="20"/>
      <c r="BD89" s="20"/>
      <c r="BE89" s="20"/>
      <c r="BF89" s="20"/>
      <c r="BG89" s="20"/>
      <c r="BH89" s="20"/>
      <c r="BM89" s="20"/>
      <c r="BN89" s="20"/>
      <c r="BO89" s="20"/>
      <c r="BP89" s="20"/>
      <c r="BS89" s="20"/>
      <c r="BT89" s="20"/>
      <c r="BW89" s="20"/>
      <c r="BX89" s="20"/>
      <c r="BY89" s="20"/>
      <c r="BZ89" s="20"/>
      <c r="CA89" s="20"/>
      <c r="CB89" s="20"/>
      <c r="CC89" s="20"/>
      <c r="CD89" s="20"/>
      <c r="CM89" s="20"/>
      <c r="CN89" s="20"/>
      <c r="CO89" s="20"/>
      <c r="CP89" s="20"/>
      <c r="CY89" s="20"/>
      <c r="CZ89" s="20"/>
      <c r="DA89" s="20"/>
      <c r="DB89" s="20"/>
      <c r="DI89" s="20"/>
      <c r="DJ89" s="20"/>
      <c r="DK89" s="20"/>
      <c r="DL89" s="20"/>
      <c r="DM89" s="20"/>
      <c r="DN89" s="20"/>
      <c r="DO89" s="20"/>
      <c r="DP89" s="20"/>
      <c r="DS89" s="20"/>
      <c r="DT89" s="20"/>
    </row>
    <row r="90" spans="1:124" x14ac:dyDescent="0.25">
      <c r="A90" s="19" t="s">
        <v>4124</v>
      </c>
      <c r="B90" s="19" t="s">
        <v>3966</v>
      </c>
      <c r="E90" s="20"/>
      <c r="F90" s="20"/>
      <c r="G90" s="20"/>
      <c r="H90" s="20"/>
      <c r="I90" s="20"/>
      <c r="J90" s="20"/>
      <c r="K90" s="20"/>
      <c r="L90" s="20"/>
      <c r="O90" s="20"/>
      <c r="P90" s="20"/>
      <c r="Q90" s="20"/>
      <c r="R90" s="20"/>
      <c r="S90" s="20"/>
      <c r="T90" s="20"/>
      <c r="U90" s="20"/>
      <c r="V90" s="20"/>
      <c r="W90" s="20"/>
      <c r="X90" s="20"/>
      <c r="Y90" s="20"/>
      <c r="Z90" s="20"/>
      <c r="AA90" s="20"/>
      <c r="AB90" s="20"/>
      <c r="AC90" s="20"/>
      <c r="AD90" s="20"/>
      <c r="AE90" s="20"/>
      <c r="AF90" s="20"/>
      <c r="AG90" s="20"/>
      <c r="AH90" s="20"/>
      <c r="AI90" s="20"/>
      <c r="AJ90" s="20"/>
      <c r="AK90" s="20"/>
      <c r="AL90" s="20"/>
      <c r="AM90" s="20"/>
      <c r="AN90" s="20"/>
      <c r="AO90" s="20"/>
      <c r="AP90" s="20"/>
      <c r="AQ90" s="20"/>
      <c r="AR90" s="20"/>
      <c r="AS90" s="20"/>
      <c r="AT90" s="20"/>
      <c r="AU90" s="20"/>
      <c r="AV90" s="20"/>
      <c r="AW90" s="20"/>
      <c r="AX90" s="20"/>
      <c r="AY90" s="20"/>
      <c r="AZ90" s="20"/>
      <c r="BA90" s="20"/>
      <c r="BB90" s="20"/>
      <c r="BC90" s="20"/>
      <c r="BD90" s="20"/>
      <c r="BE90" s="20"/>
      <c r="BF90" s="20"/>
      <c r="BG90" s="20"/>
      <c r="BH90" s="20"/>
      <c r="BM90" s="20"/>
      <c r="BN90" s="20"/>
      <c r="BO90" s="20"/>
      <c r="BP90" s="20"/>
      <c r="BS90" s="20"/>
      <c r="BT90" s="20"/>
      <c r="BW90" s="20"/>
      <c r="BX90" s="20"/>
      <c r="BY90" s="20"/>
      <c r="BZ90" s="20"/>
      <c r="CA90" s="20"/>
      <c r="CB90" s="20"/>
      <c r="CC90" s="20"/>
      <c r="CD90" s="20"/>
      <c r="CM90" s="20"/>
      <c r="CN90" s="20"/>
      <c r="CO90" s="20"/>
      <c r="CP90" s="20"/>
      <c r="CY90" s="20"/>
      <c r="CZ90" s="20"/>
      <c r="DA90" s="20"/>
      <c r="DB90" s="20"/>
      <c r="DI90" s="20"/>
      <c r="DJ90" s="20"/>
      <c r="DK90" s="20"/>
      <c r="DL90" s="20"/>
      <c r="DM90" s="20"/>
      <c r="DN90" s="20"/>
      <c r="DO90" s="20"/>
      <c r="DP90" s="20"/>
      <c r="DS90" s="20"/>
      <c r="DT90" s="20"/>
    </row>
    <row r="91" spans="1:124" x14ac:dyDescent="0.25">
      <c r="A91" s="19" t="s">
        <v>4134</v>
      </c>
      <c r="B91" s="19" t="s">
        <v>3966</v>
      </c>
      <c r="E91" s="20"/>
      <c r="F91" s="20"/>
      <c r="G91" s="20"/>
      <c r="H91" s="20"/>
      <c r="I91" s="20"/>
      <c r="J91" s="20"/>
      <c r="K91" s="20"/>
      <c r="L91" s="20"/>
      <c r="O91" s="20"/>
      <c r="P91" s="20"/>
      <c r="Q91" s="20"/>
      <c r="R91" s="20"/>
      <c r="S91" s="20"/>
      <c r="T91" s="20"/>
      <c r="U91" s="20"/>
      <c r="V91" s="20"/>
      <c r="W91" s="20"/>
      <c r="X91" s="20"/>
      <c r="Y91" s="20"/>
      <c r="Z91" s="20"/>
      <c r="AA91" s="20"/>
      <c r="AB91" s="20"/>
      <c r="AC91" s="20"/>
      <c r="AD91" s="20"/>
      <c r="AE91" s="20"/>
      <c r="AF91" s="20"/>
      <c r="AG91" s="20"/>
      <c r="AH91" s="20"/>
      <c r="AI91" s="20"/>
      <c r="AJ91" s="20"/>
      <c r="AK91" s="20"/>
      <c r="AL91" s="20"/>
      <c r="AM91" s="20"/>
      <c r="AN91" s="20"/>
      <c r="AO91" s="20"/>
      <c r="AP91" s="20"/>
      <c r="AQ91" s="20"/>
      <c r="AR91" s="20"/>
      <c r="AS91" s="20"/>
      <c r="AT91" s="20"/>
      <c r="AU91" s="20"/>
      <c r="AV91" s="20"/>
      <c r="AW91" s="20"/>
      <c r="AX91" s="20"/>
      <c r="AY91" s="20"/>
      <c r="AZ91" s="20"/>
      <c r="BA91" s="20"/>
      <c r="BB91" s="20"/>
      <c r="BC91" s="20"/>
      <c r="BD91" s="20"/>
      <c r="BE91" s="20"/>
      <c r="BF91" s="20"/>
      <c r="BG91" s="20"/>
      <c r="BH91" s="20"/>
      <c r="BM91" s="20"/>
      <c r="BN91" s="20"/>
      <c r="BO91" s="20"/>
      <c r="BP91" s="20"/>
      <c r="BS91" s="20"/>
      <c r="BT91" s="20"/>
      <c r="BW91" s="20"/>
      <c r="BX91" s="20"/>
      <c r="BY91" s="20"/>
      <c r="BZ91" s="20"/>
      <c r="CA91" s="20"/>
      <c r="CB91" s="20"/>
      <c r="CC91" s="20"/>
      <c r="CD91" s="20"/>
      <c r="CM91" s="20"/>
      <c r="CN91" s="20"/>
      <c r="CO91" s="20"/>
      <c r="CP91" s="20"/>
      <c r="CY91" s="20"/>
      <c r="CZ91" s="20"/>
      <c r="DA91" s="20"/>
      <c r="DB91" s="20"/>
      <c r="DI91" s="20"/>
      <c r="DJ91" s="20"/>
      <c r="DK91" s="20"/>
      <c r="DL91" s="20"/>
      <c r="DM91" s="20"/>
      <c r="DN91" s="20"/>
      <c r="DO91" s="20"/>
      <c r="DP91" s="20"/>
      <c r="DS91" s="20"/>
      <c r="DT91" s="20"/>
    </row>
    <row r="92" spans="1:124" x14ac:dyDescent="0.25">
      <c r="A92" s="19" t="s">
        <v>4141</v>
      </c>
      <c r="B92" s="19" t="s">
        <v>3966</v>
      </c>
      <c r="E92" s="20"/>
      <c r="F92" s="20"/>
      <c r="G92" s="20"/>
      <c r="H92" s="20"/>
      <c r="I92" s="20"/>
      <c r="J92" s="20"/>
      <c r="K92" s="20"/>
      <c r="L92" s="20"/>
      <c r="O92" s="20"/>
      <c r="P92" s="20"/>
      <c r="Q92" s="20"/>
      <c r="R92" s="20"/>
      <c r="S92" s="20"/>
      <c r="T92" s="20"/>
      <c r="U92" s="20"/>
      <c r="V92" s="20"/>
      <c r="W92" s="20"/>
      <c r="X92" s="20"/>
      <c r="Y92" s="20"/>
      <c r="Z92" s="20"/>
      <c r="AA92" s="20"/>
      <c r="AB92" s="20"/>
      <c r="AC92" s="20"/>
      <c r="AD92" s="20"/>
      <c r="AE92" s="20"/>
      <c r="AF92" s="20"/>
      <c r="AG92" s="20"/>
      <c r="AH92" s="20"/>
      <c r="AI92" s="20"/>
      <c r="AJ92" s="20"/>
      <c r="AK92" s="20"/>
      <c r="AL92" s="20"/>
      <c r="AM92" s="20"/>
      <c r="AN92" s="20"/>
      <c r="AO92" s="20"/>
      <c r="AP92" s="20"/>
      <c r="AQ92" s="20"/>
      <c r="AR92" s="20"/>
      <c r="AS92" s="20"/>
      <c r="AT92" s="20"/>
      <c r="AU92" s="20"/>
      <c r="AV92" s="20"/>
      <c r="AW92" s="20"/>
      <c r="AX92" s="20"/>
      <c r="AY92" s="20"/>
      <c r="AZ92" s="20"/>
      <c r="BA92" s="20"/>
      <c r="BB92" s="20"/>
      <c r="BC92" s="20"/>
      <c r="BD92" s="20"/>
      <c r="BE92" s="20"/>
      <c r="BF92" s="20"/>
      <c r="BG92" s="20"/>
      <c r="BH92" s="20"/>
      <c r="BM92" s="20"/>
      <c r="BN92" s="20"/>
      <c r="BO92" s="20"/>
      <c r="BP92" s="20"/>
      <c r="BS92" s="20"/>
      <c r="BT92" s="20"/>
      <c r="BW92" s="20"/>
      <c r="BX92" s="20"/>
      <c r="BY92" s="20"/>
      <c r="BZ92" s="20"/>
      <c r="CA92" s="20"/>
      <c r="CB92" s="20"/>
      <c r="CC92" s="20"/>
      <c r="CD92" s="20"/>
      <c r="CM92" s="20"/>
      <c r="CN92" s="20"/>
      <c r="CO92" s="20"/>
      <c r="CP92" s="20"/>
      <c r="CY92" s="20"/>
      <c r="CZ92" s="20"/>
      <c r="DA92" s="20"/>
      <c r="DB92" s="20"/>
      <c r="DI92" s="20"/>
      <c r="DJ92" s="20"/>
      <c r="DK92" s="20"/>
      <c r="DL92" s="20"/>
      <c r="DM92" s="20"/>
      <c r="DN92" s="20"/>
      <c r="DO92" s="20"/>
      <c r="DP92" s="20"/>
      <c r="DS92" s="20"/>
      <c r="DT92" s="20"/>
    </row>
    <row r="93" spans="1:124" x14ac:dyDescent="0.25">
      <c r="A93" s="19" t="s">
        <v>4153</v>
      </c>
      <c r="B93" s="19" t="s">
        <v>3966</v>
      </c>
      <c r="E93" s="20"/>
      <c r="F93" s="20"/>
      <c r="G93" s="20"/>
      <c r="H93" s="20"/>
      <c r="I93" s="20"/>
      <c r="J93" s="20"/>
      <c r="K93" s="20"/>
      <c r="L93" s="20"/>
      <c r="O93" s="20"/>
      <c r="P93" s="20"/>
      <c r="Q93" s="20"/>
      <c r="R93" s="20"/>
      <c r="S93" s="20"/>
      <c r="T93" s="20"/>
      <c r="U93" s="20"/>
      <c r="V93" s="20"/>
      <c r="W93" s="20"/>
      <c r="X93" s="20"/>
      <c r="Y93" s="20"/>
      <c r="Z93" s="20"/>
      <c r="AA93" s="20"/>
      <c r="AB93" s="20"/>
      <c r="AC93" s="20"/>
      <c r="AD93" s="20"/>
      <c r="AE93" s="20"/>
      <c r="AF93" s="20"/>
      <c r="AG93" s="20"/>
      <c r="AH93" s="20"/>
      <c r="AI93" s="20"/>
      <c r="AJ93" s="20"/>
      <c r="AK93" s="20"/>
      <c r="AL93" s="20"/>
      <c r="AM93" s="20"/>
      <c r="AN93" s="20"/>
      <c r="AO93" s="20"/>
      <c r="AP93" s="20"/>
      <c r="AQ93" s="20"/>
      <c r="AR93" s="20"/>
      <c r="AS93" s="20"/>
      <c r="AT93" s="20"/>
      <c r="AU93" s="20"/>
      <c r="AV93" s="20"/>
      <c r="AW93" s="20"/>
      <c r="AX93" s="20"/>
      <c r="AY93" s="20"/>
      <c r="AZ93" s="20"/>
      <c r="BA93" s="20"/>
      <c r="BB93" s="20"/>
      <c r="BC93" s="20"/>
      <c r="BD93" s="20"/>
      <c r="BE93" s="20"/>
      <c r="BF93" s="20"/>
      <c r="BG93" s="20"/>
      <c r="BH93" s="20"/>
      <c r="BM93" s="20"/>
      <c r="BN93" s="20"/>
      <c r="BO93" s="20"/>
      <c r="BP93" s="20"/>
      <c r="BS93" s="20"/>
      <c r="BT93" s="20"/>
      <c r="BW93" s="20"/>
      <c r="BX93" s="20"/>
      <c r="BY93" s="20"/>
      <c r="BZ93" s="20"/>
      <c r="CA93" s="20"/>
      <c r="CB93" s="20"/>
      <c r="CC93" s="20"/>
      <c r="CD93" s="20"/>
      <c r="CM93" s="20"/>
      <c r="CN93" s="20"/>
      <c r="CO93" s="20"/>
      <c r="CP93" s="20"/>
      <c r="CY93" s="20"/>
      <c r="CZ93" s="20"/>
      <c r="DA93" s="20"/>
      <c r="DB93" s="20"/>
      <c r="DI93" s="20"/>
      <c r="DJ93" s="20"/>
      <c r="DK93" s="20"/>
      <c r="DL93" s="20"/>
      <c r="DM93" s="20"/>
      <c r="DN93" s="20"/>
      <c r="DO93" s="20"/>
      <c r="DP93" s="20"/>
      <c r="DS93" s="20"/>
      <c r="DT93" s="20"/>
    </row>
    <row r="94" spans="1:124" x14ac:dyDescent="0.25">
      <c r="A94" s="19" t="s">
        <v>4167</v>
      </c>
      <c r="B94" s="19" t="s">
        <v>3966</v>
      </c>
      <c r="E94" s="20"/>
      <c r="F94" s="20"/>
      <c r="G94" s="20"/>
      <c r="H94" s="20"/>
      <c r="I94" s="20"/>
      <c r="J94" s="20"/>
      <c r="K94" s="20"/>
      <c r="L94" s="20"/>
      <c r="O94" s="20"/>
      <c r="P94" s="20"/>
      <c r="Q94" s="20"/>
      <c r="R94" s="20"/>
      <c r="S94" s="20"/>
      <c r="T94" s="20"/>
      <c r="U94" s="20"/>
      <c r="V94" s="20"/>
      <c r="W94" s="20"/>
      <c r="X94" s="20"/>
      <c r="Y94" s="20"/>
      <c r="Z94" s="20"/>
      <c r="AA94" s="20"/>
      <c r="AB94" s="20"/>
      <c r="AC94" s="20"/>
      <c r="AD94" s="20"/>
      <c r="AE94" s="20"/>
      <c r="AF94" s="20"/>
      <c r="AG94" s="20"/>
      <c r="AH94" s="20"/>
      <c r="AI94" s="20"/>
      <c r="AJ94" s="20"/>
      <c r="AK94" s="20"/>
      <c r="AL94" s="20"/>
      <c r="AM94" s="20"/>
      <c r="AN94" s="20"/>
      <c r="AO94" s="20"/>
      <c r="AP94" s="20"/>
      <c r="AQ94" s="20"/>
      <c r="AR94" s="20"/>
      <c r="AS94" s="20"/>
      <c r="AT94" s="20"/>
      <c r="AU94" s="20"/>
      <c r="AV94" s="20"/>
      <c r="AW94" s="20"/>
      <c r="AX94" s="20"/>
      <c r="AY94" s="20"/>
      <c r="AZ94" s="20"/>
      <c r="BA94" s="20"/>
      <c r="BB94" s="20"/>
      <c r="BC94" s="20"/>
      <c r="BD94" s="20"/>
      <c r="BE94" s="20"/>
      <c r="BF94" s="20"/>
      <c r="BG94" s="20"/>
      <c r="BH94" s="20"/>
      <c r="BM94" s="20"/>
      <c r="BN94" s="20"/>
      <c r="BO94" s="20"/>
      <c r="BP94" s="20"/>
      <c r="BS94" s="20"/>
      <c r="BT94" s="20"/>
      <c r="BW94" s="20"/>
      <c r="BX94" s="20"/>
      <c r="BY94" s="20"/>
      <c r="BZ94" s="20"/>
      <c r="CA94" s="20"/>
      <c r="CB94" s="20"/>
      <c r="CC94" s="20"/>
      <c r="CD94" s="20"/>
      <c r="CG94" s="20"/>
      <c r="CH94" s="20"/>
      <c r="CM94" s="20"/>
      <c r="CN94" s="20"/>
      <c r="CO94" s="20"/>
      <c r="CP94" s="20"/>
      <c r="CY94" s="20"/>
      <c r="CZ94" s="20"/>
      <c r="DA94" s="20"/>
      <c r="DB94" s="20"/>
      <c r="DI94" s="20"/>
      <c r="DJ94" s="20"/>
      <c r="DK94" s="20"/>
      <c r="DL94" s="20"/>
      <c r="DM94" s="20"/>
      <c r="DN94" s="20"/>
      <c r="DO94" s="20"/>
      <c r="DP94" s="20"/>
      <c r="DS94" s="20"/>
      <c r="DT94" s="20"/>
    </row>
    <row r="95" spans="1:124" x14ac:dyDescent="0.25">
      <c r="A95" s="19" t="s">
        <v>4186</v>
      </c>
      <c r="B95" s="19" t="s">
        <v>3966</v>
      </c>
      <c r="E95" s="20"/>
      <c r="F95" s="20"/>
      <c r="G95" s="20"/>
      <c r="H95" s="20"/>
      <c r="I95" s="20"/>
      <c r="J95" s="20"/>
      <c r="K95" s="20"/>
      <c r="L95" s="20"/>
      <c r="O95" s="20"/>
      <c r="P95" s="20"/>
      <c r="Q95" s="20"/>
      <c r="R95" s="20"/>
      <c r="S95" s="20"/>
      <c r="T95" s="20"/>
      <c r="U95" s="20"/>
      <c r="V95" s="20"/>
      <c r="W95" s="20"/>
      <c r="X95" s="20"/>
      <c r="Y95" s="20"/>
      <c r="Z95" s="20"/>
      <c r="AA95" s="20"/>
      <c r="AB95" s="20"/>
      <c r="AC95" s="20"/>
      <c r="AD95" s="20"/>
      <c r="AE95" s="20"/>
      <c r="AF95" s="20"/>
      <c r="AG95" s="20"/>
      <c r="AH95" s="20"/>
      <c r="AI95" s="20"/>
      <c r="AJ95" s="20"/>
      <c r="AK95" s="20"/>
      <c r="AL95" s="20"/>
      <c r="AM95" s="20"/>
      <c r="AN95" s="20"/>
      <c r="AO95" s="20"/>
      <c r="AP95" s="20"/>
      <c r="AQ95" s="20"/>
      <c r="AR95" s="20"/>
      <c r="AS95" s="20"/>
      <c r="AT95" s="20"/>
      <c r="AU95" s="20"/>
      <c r="AV95" s="20"/>
      <c r="AW95" s="20"/>
      <c r="AX95" s="20"/>
      <c r="AY95" s="20"/>
      <c r="AZ95" s="20"/>
      <c r="BA95" s="20"/>
      <c r="BB95" s="20"/>
      <c r="BC95" s="20"/>
      <c r="BD95" s="20"/>
      <c r="BE95" s="20"/>
      <c r="BF95" s="20"/>
      <c r="BG95" s="20"/>
      <c r="BH95" s="20"/>
      <c r="BM95" s="20"/>
      <c r="BN95" s="20"/>
      <c r="BO95" s="20"/>
      <c r="BP95" s="20"/>
      <c r="BS95" s="20"/>
      <c r="BT95" s="20"/>
      <c r="BW95" s="20"/>
      <c r="BX95" s="20"/>
      <c r="BY95" s="20"/>
      <c r="BZ95" s="20"/>
      <c r="CA95" s="20"/>
      <c r="CB95" s="20"/>
      <c r="CC95" s="20"/>
      <c r="CD95" s="20"/>
      <c r="CG95" s="20"/>
      <c r="CH95" s="20"/>
      <c r="CM95" s="20"/>
      <c r="CN95" s="20"/>
      <c r="CO95" s="20"/>
      <c r="CP95" s="20"/>
      <c r="CY95" s="20"/>
      <c r="CZ95" s="20"/>
      <c r="DA95" s="20"/>
      <c r="DB95" s="20"/>
      <c r="DI95" s="20"/>
      <c r="DJ95" s="20"/>
      <c r="DK95" s="20"/>
      <c r="DL95" s="20"/>
      <c r="DM95" s="20"/>
      <c r="DN95" s="20"/>
      <c r="DO95" s="20"/>
      <c r="DP95" s="20"/>
      <c r="DS95" s="20"/>
      <c r="DT95" s="20"/>
    </row>
    <row r="96" spans="1:124" x14ac:dyDescent="0.25">
      <c r="A96" s="19">
        <v>134558401</v>
      </c>
      <c r="B96" s="19" t="s">
        <v>3966</v>
      </c>
      <c r="E96" s="20"/>
      <c r="F96" s="20"/>
      <c r="G96" s="20"/>
      <c r="H96" s="20"/>
      <c r="I96" s="20"/>
      <c r="J96" s="20"/>
      <c r="K96" s="20"/>
      <c r="L96" s="20"/>
      <c r="O96" s="20"/>
      <c r="P96" s="20"/>
      <c r="Q96" s="20"/>
      <c r="R96" s="20"/>
      <c r="S96" s="20"/>
      <c r="T96" s="20"/>
      <c r="U96" s="20"/>
      <c r="V96" s="20"/>
      <c r="W96" s="20"/>
      <c r="X96" s="20"/>
      <c r="Y96" s="20"/>
      <c r="Z96" s="20"/>
      <c r="AA96" s="20"/>
      <c r="AB96" s="20"/>
      <c r="AC96" s="20"/>
      <c r="AD96" s="20"/>
      <c r="AE96" s="20"/>
      <c r="AF96" s="20"/>
      <c r="AG96" s="20"/>
      <c r="AH96" s="20"/>
      <c r="AI96" s="20"/>
      <c r="AJ96" s="20"/>
      <c r="AK96" s="20"/>
      <c r="AL96" s="20"/>
      <c r="AM96" s="20"/>
      <c r="AN96" s="20"/>
      <c r="AO96" s="20"/>
      <c r="AP96" s="20"/>
      <c r="AQ96" s="20"/>
      <c r="AR96" s="20"/>
      <c r="AS96" s="20"/>
      <c r="AT96" s="20"/>
      <c r="AU96" s="20"/>
      <c r="AV96" s="20"/>
      <c r="AW96" s="20"/>
      <c r="AX96" s="20"/>
      <c r="AY96" s="20"/>
      <c r="AZ96" s="20"/>
      <c r="BA96" s="20"/>
      <c r="BB96" s="20"/>
      <c r="BC96" s="20"/>
      <c r="BD96" s="20"/>
      <c r="BE96" s="20"/>
      <c r="BF96" s="20"/>
      <c r="BG96" s="20"/>
      <c r="BH96" s="20"/>
      <c r="BM96" s="20"/>
      <c r="BN96" s="20"/>
      <c r="BO96" s="20"/>
      <c r="BP96" s="20"/>
      <c r="BS96" s="20"/>
      <c r="BT96" s="20"/>
      <c r="BW96" s="20"/>
      <c r="BX96" s="20"/>
      <c r="BY96" s="20"/>
      <c r="BZ96" s="20"/>
      <c r="CA96" s="20"/>
      <c r="CB96" s="20"/>
      <c r="CC96" s="20"/>
      <c r="CD96" s="20"/>
      <c r="CG96" s="20"/>
      <c r="CH96" s="20"/>
      <c r="CM96" s="20"/>
      <c r="CN96" s="20"/>
      <c r="CO96" s="20"/>
      <c r="CP96" s="20"/>
      <c r="CY96" s="20"/>
      <c r="CZ96" s="20"/>
      <c r="DA96" s="20"/>
      <c r="DB96" s="20"/>
      <c r="DI96" s="20"/>
      <c r="DJ96" s="20"/>
      <c r="DK96" s="20"/>
      <c r="DL96" s="20"/>
      <c r="DM96" s="20"/>
      <c r="DN96" s="20"/>
      <c r="DO96" s="20"/>
      <c r="DP96" s="20"/>
      <c r="DS96" s="20"/>
      <c r="DT96" s="20"/>
    </row>
    <row r="97" spans="1:124" x14ac:dyDescent="0.25">
      <c r="A97" s="19">
        <v>134558400</v>
      </c>
      <c r="B97" s="19" t="s">
        <v>3966</v>
      </c>
      <c r="E97" s="20"/>
      <c r="F97" s="20"/>
      <c r="G97" s="20"/>
      <c r="H97" s="20"/>
      <c r="I97" s="20"/>
      <c r="J97" s="20"/>
      <c r="K97" s="20"/>
      <c r="L97" s="20"/>
      <c r="O97" s="20"/>
      <c r="P97" s="20"/>
      <c r="Q97" s="20"/>
      <c r="R97" s="20"/>
      <c r="S97" s="20"/>
      <c r="T97" s="20"/>
      <c r="U97" s="20"/>
      <c r="V97" s="20"/>
      <c r="W97" s="20"/>
      <c r="X97" s="20"/>
      <c r="Y97" s="20"/>
      <c r="Z97" s="20"/>
      <c r="AA97" s="20"/>
      <c r="AB97" s="20"/>
      <c r="AC97" s="20"/>
      <c r="AD97" s="20"/>
      <c r="AE97" s="20"/>
      <c r="AF97" s="20"/>
      <c r="AG97" s="20"/>
      <c r="AH97" s="20"/>
      <c r="AI97" s="20"/>
      <c r="AJ97" s="20"/>
      <c r="AK97" s="20"/>
      <c r="AL97" s="20"/>
      <c r="AM97" s="20"/>
      <c r="AN97" s="20"/>
      <c r="AO97" s="20"/>
      <c r="AP97" s="20"/>
      <c r="AQ97" s="20"/>
      <c r="AR97" s="20"/>
      <c r="AS97" s="20"/>
      <c r="AT97" s="20"/>
      <c r="AU97" s="20"/>
      <c r="AV97" s="20"/>
      <c r="AW97" s="20"/>
      <c r="AX97" s="20"/>
      <c r="AY97" s="20"/>
      <c r="AZ97" s="20"/>
      <c r="BA97" s="20"/>
      <c r="BB97" s="20"/>
      <c r="BC97" s="20"/>
      <c r="BD97" s="20"/>
      <c r="BE97" s="20"/>
      <c r="BF97" s="20"/>
      <c r="BG97" s="20"/>
      <c r="BH97" s="20"/>
      <c r="BM97" s="20"/>
      <c r="BN97" s="20"/>
      <c r="BO97" s="20"/>
      <c r="BP97" s="20"/>
      <c r="BS97" s="20"/>
      <c r="BT97" s="20"/>
      <c r="BW97" s="20"/>
      <c r="BX97" s="20"/>
      <c r="BY97" s="20"/>
      <c r="BZ97" s="20"/>
      <c r="CA97" s="20"/>
      <c r="CB97" s="20"/>
      <c r="CC97" s="20"/>
      <c r="CD97" s="20"/>
      <c r="CG97" s="20"/>
      <c r="CH97" s="20"/>
      <c r="CM97" s="20"/>
      <c r="CN97" s="20"/>
      <c r="CO97" s="20"/>
      <c r="CP97" s="20"/>
      <c r="CY97" s="20"/>
      <c r="CZ97" s="20"/>
      <c r="DA97" s="20"/>
      <c r="DB97" s="20"/>
      <c r="DI97" s="20"/>
      <c r="DJ97" s="20"/>
      <c r="DK97" s="20"/>
      <c r="DL97" s="20"/>
      <c r="DM97" s="20"/>
      <c r="DN97" s="20"/>
      <c r="DO97" s="20"/>
      <c r="DP97" s="20"/>
      <c r="DS97" s="20"/>
      <c r="DT97" s="20"/>
    </row>
    <row r="98" spans="1:124" x14ac:dyDescent="0.25">
      <c r="A98" s="19" t="s">
        <v>4040</v>
      </c>
      <c r="B98" s="19" t="s">
        <v>3966</v>
      </c>
      <c r="E98" s="20"/>
      <c r="F98" s="20"/>
      <c r="G98" s="20"/>
      <c r="H98" s="20"/>
      <c r="I98" s="20"/>
      <c r="J98" s="20"/>
      <c r="K98" s="20"/>
      <c r="L98" s="20"/>
      <c r="O98" s="20"/>
      <c r="P98" s="20"/>
      <c r="Q98" s="20"/>
      <c r="R98" s="20"/>
      <c r="S98" s="20"/>
      <c r="T98" s="20"/>
      <c r="U98" s="20"/>
      <c r="V98" s="20"/>
      <c r="W98" s="20"/>
      <c r="X98" s="20"/>
      <c r="Y98" s="20"/>
      <c r="Z98" s="20"/>
      <c r="AA98" s="20"/>
      <c r="AB98" s="20"/>
      <c r="AC98" s="20"/>
      <c r="AD98" s="20"/>
      <c r="AE98" s="20"/>
      <c r="AF98" s="20"/>
      <c r="AG98" s="20"/>
      <c r="AH98" s="20"/>
      <c r="AI98" s="20"/>
      <c r="AJ98" s="20"/>
      <c r="AK98" s="20"/>
      <c r="AL98" s="20"/>
      <c r="AM98" s="20"/>
      <c r="AN98" s="20"/>
      <c r="AO98" s="20"/>
      <c r="AP98" s="20"/>
      <c r="AQ98" s="20"/>
      <c r="AR98" s="20"/>
      <c r="AS98" s="20"/>
      <c r="AT98" s="20"/>
      <c r="AU98" s="20"/>
      <c r="AV98" s="20"/>
      <c r="AW98" s="20"/>
      <c r="AX98" s="20"/>
      <c r="AY98" s="20"/>
      <c r="AZ98" s="20"/>
      <c r="BA98" s="20"/>
      <c r="BB98" s="20"/>
      <c r="BC98" s="20"/>
      <c r="BD98" s="20"/>
      <c r="BE98" s="20"/>
      <c r="BF98" s="20"/>
      <c r="BG98" s="20"/>
      <c r="BH98" s="20"/>
      <c r="BM98" s="20"/>
      <c r="BN98" s="20"/>
      <c r="BO98" s="20"/>
      <c r="BP98" s="20"/>
      <c r="BS98" s="20"/>
      <c r="BT98" s="20"/>
      <c r="BW98" s="20"/>
      <c r="BX98" s="20"/>
      <c r="BY98" s="20"/>
      <c r="BZ98" s="20"/>
      <c r="CA98" s="20"/>
      <c r="CB98" s="20"/>
      <c r="CC98" s="20"/>
      <c r="CD98" s="20"/>
      <c r="CG98" s="20"/>
      <c r="CH98" s="20"/>
      <c r="CM98" s="20"/>
      <c r="CN98" s="20"/>
      <c r="CO98" s="20"/>
      <c r="CP98" s="20"/>
      <c r="CY98" s="20"/>
      <c r="CZ98" s="20"/>
      <c r="DA98" s="20"/>
      <c r="DB98" s="20"/>
      <c r="DI98" s="20"/>
      <c r="DJ98" s="20"/>
      <c r="DK98" s="20"/>
      <c r="DL98" s="20"/>
      <c r="DM98" s="20"/>
      <c r="DN98" s="20"/>
      <c r="DO98" s="20"/>
      <c r="DP98" s="20"/>
      <c r="DQ98" s="20"/>
      <c r="DR98" s="20"/>
      <c r="DS98" s="20"/>
      <c r="DT98" s="20"/>
    </row>
    <row r="99" spans="1:124" x14ac:dyDescent="0.25">
      <c r="A99" s="19" t="s">
        <v>4049</v>
      </c>
      <c r="B99" s="19" t="s">
        <v>3966</v>
      </c>
      <c r="E99" s="20"/>
      <c r="F99" s="20"/>
      <c r="G99" s="20"/>
      <c r="H99" s="20"/>
      <c r="I99" s="20"/>
      <c r="J99" s="20"/>
      <c r="K99" s="20"/>
      <c r="L99" s="20"/>
      <c r="O99" s="20"/>
      <c r="P99" s="20"/>
      <c r="Q99" s="20"/>
      <c r="R99" s="20"/>
      <c r="S99" s="20"/>
      <c r="T99" s="20"/>
      <c r="U99" s="20"/>
      <c r="V99" s="20"/>
      <c r="W99" s="20"/>
      <c r="X99" s="20"/>
      <c r="Y99" s="20"/>
      <c r="Z99" s="20"/>
      <c r="AA99" s="20"/>
      <c r="AB99" s="20"/>
      <c r="AC99" s="20"/>
      <c r="AD99" s="20"/>
      <c r="AE99" s="20"/>
      <c r="AF99" s="20"/>
      <c r="AG99" s="20"/>
      <c r="AH99" s="20"/>
      <c r="AI99" s="20"/>
      <c r="AJ99" s="20"/>
      <c r="AK99" s="20"/>
      <c r="AL99" s="20"/>
      <c r="AM99" s="20"/>
      <c r="AN99" s="20"/>
      <c r="AO99" s="20"/>
      <c r="AP99" s="20"/>
      <c r="AQ99" s="20"/>
      <c r="AR99" s="20"/>
      <c r="AS99" s="20"/>
      <c r="AT99" s="20"/>
      <c r="AU99" s="20"/>
      <c r="AV99" s="20"/>
      <c r="AW99" s="20"/>
      <c r="AX99" s="20"/>
      <c r="AY99" s="20"/>
      <c r="AZ99" s="20"/>
      <c r="BA99" s="20"/>
      <c r="BB99" s="20"/>
      <c r="BC99" s="20"/>
      <c r="BD99" s="20"/>
      <c r="BE99" s="20"/>
      <c r="BF99" s="20"/>
      <c r="BG99" s="20"/>
      <c r="BH99" s="20"/>
      <c r="BM99" s="20"/>
      <c r="BN99" s="20"/>
      <c r="BO99" s="20"/>
      <c r="BP99" s="20"/>
      <c r="BS99" s="20"/>
      <c r="BT99" s="20"/>
      <c r="BW99" s="20"/>
      <c r="BX99" s="20"/>
      <c r="BY99" s="20"/>
      <c r="BZ99" s="20"/>
      <c r="CA99" s="20"/>
      <c r="CB99" s="20"/>
      <c r="CC99" s="20"/>
      <c r="CD99" s="20"/>
      <c r="CG99" s="20"/>
      <c r="CH99" s="20"/>
      <c r="CM99" s="20"/>
      <c r="CN99" s="20"/>
      <c r="CO99" s="20"/>
      <c r="CP99" s="20"/>
      <c r="CQ99" s="20"/>
      <c r="CR99" s="20"/>
      <c r="CY99" s="20"/>
      <c r="CZ99" s="20"/>
      <c r="DA99" s="20"/>
      <c r="DB99" s="20"/>
      <c r="DI99" s="20"/>
      <c r="DJ99" s="20"/>
      <c r="DK99" s="20"/>
      <c r="DL99" s="20"/>
      <c r="DM99" s="20"/>
      <c r="DN99" s="20"/>
      <c r="DO99" s="20"/>
      <c r="DP99" s="20"/>
      <c r="DQ99" s="20"/>
      <c r="DR99" s="20"/>
      <c r="DS99" s="20"/>
      <c r="DT99" s="20"/>
    </row>
    <row r="100" spans="1:124" x14ac:dyDescent="0.25">
      <c r="A100" s="19">
        <v>313260439</v>
      </c>
      <c r="B100" s="19" t="s">
        <v>3966</v>
      </c>
      <c r="E100" s="20"/>
      <c r="F100" s="20"/>
      <c r="G100" s="20"/>
      <c r="H100" s="20"/>
      <c r="I100" s="20"/>
      <c r="J100" s="20"/>
      <c r="K100" s="20"/>
      <c r="L100" s="20"/>
      <c r="O100" s="20"/>
      <c r="P100" s="20"/>
      <c r="Q100" s="20"/>
      <c r="R100" s="20"/>
      <c r="S100" s="20"/>
      <c r="T100" s="20"/>
      <c r="U100" s="20"/>
      <c r="V100" s="20"/>
      <c r="W100" s="20"/>
      <c r="X100" s="20"/>
      <c r="Y100" s="20"/>
      <c r="Z100" s="20"/>
      <c r="AA100" s="20"/>
      <c r="AB100" s="20"/>
      <c r="AC100" s="20"/>
      <c r="AD100" s="20"/>
      <c r="AE100" s="20"/>
      <c r="AF100" s="20"/>
      <c r="AG100" s="20"/>
      <c r="AH100" s="20"/>
      <c r="AI100" s="20"/>
      <c r="AJ100" s="20"/>
      <c r="AK100" s="20"/>
      <c r="AL100" s="20"/>
      <c r="AM100" s="20"/>
      <c r="AN100" s="20"/>
      <c r="AO100" s="20"/>
      <c r="AP100" s="20"/>
      <c r="AQ100" s="20"/>
      <c r="AR100" s="20"/>
      <c r="AS100" s="20"/>
      <c r="AT100" s="20"/>
      <c r="AU100" s="20"/>
      <c r="AV100" s="20"/>
      <c r="AW100" s="20"/>
      <c r="AX100" s="20"/>
      <c r="AY100" s="20"/>
      <c r="AZ100" s="20"/>
      <c r="BA100" s="20"/>
      <c r="BB100" s="20"/>
      <c r="BC100" s="20"/>
      <c r="BD100" s="20"/>
      <c r="BE100" s="20"/>
      <c r="BF100" s="20"/>
      <c r="BG100" s="20"/>
      <c r="BH100" s="20"/>
      <c r="BM100" s="20"/>
      <c r="BN100" s="20"/>
      <c r="BO100" s="20"/>
      <c r="BP100" s="20"/>
      <c r="BS100" s="20"/>
      <c r="BT100" s="20"/>
      <c r="BW100" s="20"/>
      <c r="BX100" s="20"/>
      <c r="BY100" s="20"/>
      <c r="BZ100" s="20"/>
      <c r="CA100" s="20"/>
      <c r="CB100" s="20"/>
      <c r="CC100" s="20"/>
      <c r="CD100" s="20"/>
      <c r="CG100" s="20"/>
      <c r="CH100" s="20"/>
      <c r="CM100" s="20"/>
      <c r="CN100" s="20"/>
      <c r="CO100" s="20"/>
      <c r="CP100" s="20"/>
      <c r="CQ100" s="20"/>
      <c r="CR100" s="20"/>
      <c r="CY100" s="20"/>
      <c r="CZ100" s="20"/>
      <c r="DA100" s="20"/>
      <c r="DB100" s="20"/>
      <c r="DI100" s="20"/>
      <c r="DJ100" s="20"/>
      <c r="DK100" s="20"/>
      <c r="DL100" s="20"/>
      <c r="DM100" s="20"/>
      <c r="DN100" s="20"/>
      <c r="DO100" s="20"/>
      <c r="DP100" s="20"/>
      <c r="DQ100" s="20"/>
      <c r="DR100" s="20"/>
      <c r="DS100" s="20"/>
      <c r="DT100" s="20"/>
    </row>
    <row r="101" spans="1:124" x14ac:dyDescent="0.25">
      <c r="A101" s="19">
        <v>424803249</v>
      </c>
      <c r="B101" s="19" t="s">
        <v>3966</v>
      </c>
      <c r="E101" s="20"/>
      <c r="F101" s="20"/>
      <c r="G101" s="20"/>
      <c r="H101" s="20"/>
      <c r="I101" s="20"/>
      <c r="J101" s="20"/>
      <c r="K101" s="20"/>
      <c r="L101" s="20"/>
      <c r="O101" s="20"/>
      <c r="P101" s="20"/>
      <c r="Q101" s="20"/>
      <c r="R101" s="20"/>
      <c r="S101" s="20"/>
      <c r="T101" s="20"/>
      <c r="U101" s="20"/>
      <c r="V101" s="20"/>
      <c r="W101" s="20"/>
      <c r="X101" s="20"/>
      <c r="Y101" s="20"/>
      <c r="Z101" s="20"/>
      <c r="AA101" s="20"/>
      <c r="AB101" s="20"/>
      <c r="AC101" s="20"/>
      <c r="AD101" s="20"/>
      <c r="AE101" s="20"/>
      <c r="AF101" s="20"/>
      <c r="AG101" s="20"/>
      <c r="AH101" s="20"/>
      <c r="AI101" s="20"/>
      <c r="AJ101" s="20"/>
      <c r="AK101" s="20"/>
      <c r="AL101" s="20"/>
      <c r="AM101" s="20"/>
      <c r="AN101" s="20"/>
      <c r="AO101" s="20"/>
      <c r="AP101" s="20"/>
      <c r="AQ101" s="20"/>
      <c r="AR101" s="20"/>
      <c r="AS101" s="20"/>
      <c r="AT101" s="20"/>
      <c r="AU101" s="20"/>
      <c r="AV101" s="20"/>
      <c r="AW101" s="20"/>
      <c r="AX101" s="20"/>
      <c r="AY101" s="20"/>
      <c r="AZ101" s="20"/>
      <c r="BA101" s="20"/>
      <c r="BB101" s="20"/>
      <c r="BC101" s="20"/>
      <c r="BD101" s="20"/>
      <c r="BE101" s="20"/>
      <c r="BF101" s="20"/>
      <c r="BG101" s="20"/>
      <c r="BH101" s="20"/>
      <c r="BM101" s="20"/>
      <c r="BN101" s="20"/>
      <c r="BO101" s="20"/>
      <c r="BP101" s="20"/>
      <c r="BS101" s="20"/>
      <c r="BT101" s="20"/>
      <c r="BW101" s="20"/>
      <c r="BX101" s="20"/>
      <c r="BY101" s="20"/>
      <c r="BZ101" s="20"/>
      <c r="CA101" s="20"/>
      <c r="CB101" s="20"/>
      <c r="CC101" s="20"/>
      <c r="CD101" s="20"/>
      <c r="CG101" s="20"/>
      <c r="CH101" s="20"/>
      <c r="CM101" s="20"/>
      <c r="CN101" s="20"/>
      <c r="CO101" s="20"/>
      <c r="CP101" s="20"/>
      <c r="CQ101" s="20"/>
      <c r="CR101" s="20"/>
      <c r="CY101" s="20"/>
      <c r="CZ101" s="20"/>
      <c r="DA101" s="20"/>
      <c r="DB101" s="20"/>
      <c r="DI101" s="20"/>
      <c r="DJ101" s="20"/>
      <c r="DK101" s="20"/>
      <c r="DL101" s="20"/>
      <c r="DM101" s="20"/>
      <c r="DN101" s="20"/>
      <c r="DO101" s="20"/>
      <c r="DP101" s="20"/>
      <c r="DQ101" s="20"/>
      <c r="DR101" s="20"/>
      <c r="DS101" s="20"/>
      <c r="DT101" s="20"/>
    </row>
    <row r="102" spans="1:124" x14ac:dyDescent="0.25">
      <c r="A102" s="19" t="s">
        <v>4081</v>
      </c>
      <c r="B102" s="19" t="s">
        <v>3966</v>
      </c>
      <c r="E102" s="20"/>
      <c r="F102" s="20"/>
      <c r="G102" s="20"/>
      <c r="H102" s="20"/>
      <c r="I102" s="20"/>
      <c r="J102" s="20"/>
      <c r="K102" s="20"/>
      <c r="L102" s="20"/>
      <c r="O102" s="20"/>
      <c r="P102" s="20"/>
      <c r="Q102" s="20"/>
      <c r="R102" s="20"/>
      <c r="S102" s="20"/>
      <c r="T102" s="20"/>
      <c r="U102" s="20"/>
      <c r="V102" s="20"/>
      <c r="W102" s="20"/>
      <c r="X102" s="20"/>
      <c r="Y102" s="20"/>
      <c r="Z102" s="20"/>
      <c r="AA102" s="20"/>
      <c r="AB102" s="20"/>
      <c r="AC102" s="20"/>
      <c r="AD102" s="20"/>
      <c r="AE102" s="20"/>
      <c r="AF102" s="20"/>
      <c r="AG102" s="20"/>
      <c r="AH102" s="20"/>
      <c r="AI102" s="20"/>
      <c r="AJ102" s="20"/>
      <c r="AK102" s="20"/>
      <c r="AL102" s="20"/>
      <c r="AM102" s="20"/>
      <c r="AN102" s="20"/>
      <c r="AO102" s="20"/>
      <c r="AP102" s="20"/>
      <c r="AQ102" s="20"/>
      <c r="AR102" s="20"/>
      <c r="AS102" s="20"/>
      <c r="AT102" s="20"/>
      <c r="AU102" s="20"/>
      <c r="AV102" s="20"/>
      <c r="AW102" s="20"/>
      <c r="AX102" s="20"/>
      <c r="AY102" s="20"/>
      <c r="AZ102" s="20"/>
      <c r="BA102" s="20"/>
      <c r="BB102" s="20"/>
      <c r="BC102" s="20"/>
      <c r="BD102" s="20"/>
      <c r="BE102" s="20"/>
      <c r="BF102" s="20"/>
      <c r="BG102" s="20"/>
      <c r="BH102" s="20"/>
      <c r="BM102" s="20"/>
      <c r="BN102" s="20"/>
      <c r="BO102" s="20"/>
      <c r="BP102" s="20"/>
      <c r="BS102" s="20"/>
      <c r="BT102" s="20"/>
      <c r="BW102" s="20"/>
      <c r="BX102" s="20"/>
      <c r="BY102" s="20"/>
      <c r="BZ102" s="20"/>
      <c r="CA102" s="20"/>
      <c r="CB102" s="20"/>
      <c r="CC102" s="20"/>
      <c r="CD102" s="20"/>
      <c r="CG102" s="20"/>
      <c r="CH102" s="20"/>
      <c r="CM102" s="20"/>
      <c r="CN102" s="20"/>
      <c r="CO102" s="20"/>
      <c r="CP102" s="20"/>
      <c r="CQ102" s="20"/>
      <c r="CR102" s="20"/>
      <c r="CY102" s="20"/>
      <c r="CZ102" s="20"/>
      <c r="DA102" s="20"/>
      <c r="DB102" s="20"/>
      <c r="DI102" s="20"/>
      <c r="DJ102" s="20"/>
      <c r="DK102" s="20"/>
      <c r="DL102" s="20"/>
      <c r="DM102" s="20"/>
      <c r="DN102" s="20"/>
      <c r="DO102" s="20"/>
      <c r="DP102" s="20"/>
      <c r="DQ102" s="20"/>
      <c r="DR102" s="20"/>
      <c r="DS102" s="20"/>
      <c r="DT102" s="20"/>
    </row>
    <row r="103" spans="1:124" x14ac:dyDescent="0.25">
      <c r="A103" s="19" t="s">
        <v>4097</v>
      </c>
      <c r="B103" s="19" t="s">
        <v>3966</v>
      </c>
      <c r="E103" s="20"/>
      <c r="F103" s="20"/>
      <c r="G103" s="20"/>
      <c r="H103" s="20"/>
      <c r="I103" s="20"/>
      <c r="J103" s="20"/>
      <c r="K103" s="20"/>
      <c r="L103" s="20"/>
      <c r="O103" s="20"/>
      <c r="P103" s="20"/>
      <c r="Q103" s="20"/>
      <c r="R103" s="20"/>
      <c r="S103" s="20"/>
      <c r="T103" s="20"/>
      <c r="U103" s="20"/>
      <c r="V103" s="20"/>
      <c r="W103" s="20"/>
      <c r="X103" s="20"/>
      <c r="Y103" s="20"/>
      <c r="Z103" s="20"/>
      <c r="AA103" s="20"/>
      <c r="AB103" s="20"/>
      <c r="AC103" s="20"/>
      <c r="AD103" s="20"/>
      <c r="AE103" s="20"/>
      <c r="AF103" s="20"/>
      <c r="AG103" s="20"/>
      <c r="AH103" s="20"/>
      <c r="AI103" s="20"/>
      <c r="AJ103" s="20"/>
      <c r="AK103" s="20"/>
      <c r="AL103" s="20"/>
      <c r="AM103" s="20"/>
      <c r="AN103" s="20"/>
      <c r="AO103" s="20"/>
      <c r="AP103" s="20"/>
      <c r="AQ103" s="20"/>
      <c r="AR103" s="20"/>
      <c r="AS103" s="20"/>
      <c r="AT103" s="20"/>
      <c r="AU103" s="20"/>
      <c r="AV103" s="20"/>
      <c r="AW103" s="20"/>
      <c r="AX103" s="20"/>
      <c r="AY103" s="20"/>
      <c r="AZ103" s="20"/>
      <c r="BA103" s="20"/>
      <c r="BB103" s="20"/>
      <c r="BC103" s="20"/>
      <c r="BD103" s="20"/>
      <c r="BE103" s="20"/>
      <c r="BF103" s="20"/>
      <c r="BG103" s="20"/>
      <c r="BH103" s="20"/>
      <c r="BM103" s="20"/>
      <c r="BN103" s="20"/>
      <c r="BO103" s="20"/>
      <c r="BP103" s="20"/>
      <c r="BS103" s="20"/>
      <c r="BT103" s="20"/>
      <c r="BW103" s="20"/>
      <c r="BX103" s="20"/>
      <c r="BY103" s="20"/>
      <c r="BZ103" s="20"/>
      <c r="CA103" s="20"/>
      <c r="CB103" s="20"/>
      <c r="CC103" s="20"/>
      <c r="CD103" s="20"/>
      <c r="CG103" s="20"/>
      <c r="CH103" s="20"/>
      <c r="CM103" s="20"/>
      <c r="CN103" s="20"/>
      <c r="CO103" s="20"/>
      <c r="CP103" s="20"/>
      <c r="CQ103" s="20"/>
      <c r="CR103" s="20"/>
      <c r="CY103" s="20"/>
      <c r="CZ103" s="20"/>
      <c r="DA103" s="20"/>
      <c r="DB103" s="20"/>
      <c r="DI103" s="20"/>
      <c r="DJ103" s="20"/>
      <c r="DK103" s="20"/>
      <c r="DL103" s="20"/>
      <c r="DM103" s="20"/>
      <c r="DN103" s="20"/>
      <c r="DO103" s="20"/>
      <c r="DP103" s="20"/>
      <c r="DQ103" s="20"/>
      <c r="DR103" s="20"/>
      <c r="DS103" s="20"/>
      <c r="DT103" s="20"/>
    </row>
    <row r="104" spans="1:124" x14ac:dyDescent="0.25">
      <c r="A104" s="19">
        <v>423972760</v>
      </c>
      <c r="B104" s="19" t="s">
        <v>3966</v>
      </c>
      <c r="E104" s="20"/>
      <c r="F104" s="20"/>
      <c r="G104" s="20"/>
      <c r="H104" s="20"/>
      <c r="I104" s="20"/>
      <c r="J104" s="20"/>
      <c r="K104" s="20"/>
      <c r="L104" s="20"/>
      <c r="O104" s="20"/>
      <c r="P104" s="20"/>
      <c r="Q104" s="20"/>
      <c r="R104" s="20"/>
      <c r="S104" s="20"/>
      <c r="T104" s="20"/>
      <c r="U104" s="20"/>
      <c r="V104" s="20"/>
      <c r="W104" s="20"/>
      <c r="X104" s="20"/>
      <c r="Y104" s="20"/>
      <c r="Z104" s="20"/>
      <c r="AA104" s="20"/>
      <c r="AB104" s="20"/>
      <c r="AC104" s="20"/>
      <c r="AD104" s="20"/>
      <c r="AE104" s="20"/>
      <c r="AF104" s="20"/>
      <c r="AG104" s="20"/>
      <c r="AH104" s="20"/>
      <c r="AI104" s="20"/>
      <c r="AJ104" s="20"/>
      <c r="AK104" s="20"/>
      <c r="AL104" s="20"/>
      <c r="AM104" s="20"/>
      <c r="AN104" s="20"/>
      <c r="AO104" s="20"/>
      <c r="AP104" s="20"/>
      <c r="AQ104" s="20"/>
      <c r="AR104" s="20"/>
      <c r="AS104" s="20"/>
      <c r="AT104" s="20"/>
      <c r="AU104" s="20"/>
      <c r="AV104" s="20"/>
      <c r="AW104" s="20"/>
      <c r="AX104" s="20"/>
      <c r="AY104" s="20"/>
      <c r="AZ104" s="20"/>
      <c r="BA104" s="20"/>
      <c r="BB104" s="20"/>
      <c r="BC104" s="20"/>
      <c r="BD104" s="20"/>
      <c r="BE104" s="20"/>
      <c r="BF104" s="20"/>
      <c r="BG104" s="20"/>
      <c r="BH104" s="20"/>
      <c r="BM104" s="20"/>
      <c r="BN104" s="20"/>
      <c r="BO104" s="20"/>
      <c r="BP104" s="20"/>
      <c r="BS104" s="20"/>
      <c r="BT104" s="20"/>
      <c r="BW104" s="20"/>
      <c r="BX104" s="20"/>
      <c r="BY104" s="20"/>
      <c r="BZ104" s="20"/>
      <c r="CA104" s="20"/>
      <c r="CB104" s="20"/>
      <c r="CC104" s="20"/>
      <c r="CD104" s="20"/>
      <c r="CG104" s="20"/>
      <c r="CH104" s="20"/>
      <c r="CM104" s="20"/>
      <c r="CN104" s="20"/>
      <c r="CO104" s="20"/>
      <c r="CP104" s="20"/>
      <c r="CQ104" s="20"/>
      <c r="CR104" s="20"/>
      <c r="CY104" s="20"/>
      <c r="CZ104" s="20"/>
      <c r="DA104" s="20"/>
      <c r="DB104" s="20"/>
      <c r="DI104" s="20"/>
      <c r="DJ104" s="20"/>
      <c r="DK104" s="20"/>
      <c r="DL104" s="20"/>
      <c r="DM104" s="20"/>
      <c r="DN104" s="20"/>
      <c r="DO104" s="20"/>
      <c r="DP104" s="20"/>
      <c r="DQ104" s="20"/>
      <c r="DR104" s="20"/>
      <c r="DS104" s="20"/>
      <c r="DT104" s="20"/>
    </row>
    <row r="105" spans="1:124" x14ac:dyDescent="0.25">
      <c r="A105" s="19" t="s">
        <v>4125</v>
      </c>
      <c r="B105" s="19" t="s">
        <v>3966</v>
      </c>
      <c r="E105" s="20"/>
      <c r="F105" s="20"/>
      <c r="G105" s="20"/>
      <c r="H105" s="20"/>
      <c r="I105" s="20"/>
      <c r="J105" s="20"/>
      <c r="K105" s="20"/>
      <c r="L105" s="20"/>
      <c r="O105" s="20"/>
      <c r="P105" s="20"/>
      <c r="Q105" s="20"/>
      <c r="R105" s="20"/>
      <c r="S105" s="20"/>
      <c r="T105" s="20"/>
      <c r="U105" s="20"/>
      <c r="V105" s="20"/>
      <c r="W105" s="20"/>
      <c r="X105" s="20"/>
      <c r="Y105" s="20"/>
      <c r="Z105" s="20"/>
      <c r="AA105" s="20"/>
      <c r="AB105" s="20"/>
      <c r="AC105" s="20"/>
      <c r="AD105" s="20"/>
      <c r="AE105" s="20"/>
      <c r="AF105" s="20"/>
      <c r="AG105" s="20"/>
      <c r="AH105" s="20"/>
      <c r="AI105" s="20"/>
      <c r="AJ105" s="20"/>
      <c r="AK105" s="20"/>
      <c r="AL105" s="20"/>
      <c r="AM105" s="20"/>
      <c r="AN105" s="20"/>
      <c r="AO105" s="20"/>
      <c r="AP105" s="20"/>
      <c r="AQ105" s="20"/>
      <c r="AR105" s="20"/>
      <c r="AS105" s="20"/>
      <c r="AT105" s="20"/>
      <c r="AU105" s="20"/>
      <c r="AV105" s="20"/>
      <c r="AW105" s="20"/>
      <c r="AX105" s="20"/>
      <c r="AY105" s="20"/>
      <c r="AZ105" s="20"/>
      <c r="BA105" s="20"/>
      <c r="BB105" s="20"/>
      <c r="BC105" s="20"/>
      <c r="BD105" s="20"/>
      <c r="BE105" s="20"/>
      <c r="BF105" s="20"/>
      <c r="BG105" s="20"/>
      <c r="BH105" s="20"/>
      <c r="BM105" s="20"/>
      <c r="BN105" s="20"/>
      <c r="BO105" s="20"/>
      <c r="BP105" s="20"/>
      <c r="BS105" s="20"/>
      <c r="BT105" s="20"/>
      <c r="BW105" s="20"/>
      <c r="BX105" s="20"/>
      <c r="BY105" s="20"/>
      <c r="BZ105" s="20"/>
      <c r="CA105" s="20"/>
      <c r="CB105" s="20"/>
      <c r="CC105" s="20"/>
      <c r="CD105" s="20"/>
      <c r="CG105" s="20"/>
      <c r="CH105" s="20"/>
      <c r="CM105" s="20"/>
      <c r="CN105" s="20"/>
      <c r="CO105" s="20"/>
      <c r="CP105" s="20"/>
      <c r="CQ105" s="20"/>
      <c r="CR105" s="20"/>
      <c r="CY105" s="20"/>
      <c r="CZ105" s="20"/>
      <c r="DA105" s="20"/>
      <c r="DB105" s="20"/>
      <c r="DI105" s="20"/>
      <c r="DJ105" s="20"/>
      <c r="DK105" s="20"/>
      <c r="DL105" s="20"/>
      <c r="DM105" s="20"/>
      <c r="DN105" s="20"/>
      <c r="DO105" s="20"/>
      <c r="DP105" s="20"/>
      <c r="DQ105" s="20"/>
      <c r="DR105" s="20"/>
      <c r="DS105" s="20"/>
      <c r="DT105" s="20"/>
    </row>
    <row r="106" spans="1:124" x14ac:dyDescent="0.25">
      <c r="A106" s="23" t="s">
        <v>3967</v>
      </c>
      <c r="B106" s="23" t="s">
        <v>3967</v>
      </c>
      <c r="E106" s="20"/>
      <c r="F106" s="20"/>
      <c r="G106" s="20"/>
      <c r="H106" s="20"/>
      <c r="I106" s="20"/>
      <c r="J106" s="20"/>
      <c r="K106" s="20"/>
      <c r="L106" s="20"/>
      <c r="O106" s="20"/>
      <c r="P106" s="20"/>
      <c r="Q106" s="20"/>
      <c r="R106" s="20"/>
      <c r="S106" s="20"/>
      <c r="T106" s="20"/>
      <c r="U106" s="20"/>
      <c r="V106" s="20"/>
      <c r="W106" s="20"/>
      <c r="X106" s="20"/>
      <c r="Y106" s="20"/>
      <c r="Z106" s="20"/>
      <c r="AA106" s="20"/>
      <c r="AB106" s="20"/>
      <c r="AC106" s="20"/>
      <c r="AD106" s="20"/>
      <c r="AE106" s="20"/>
      <c r="AF106" s="20"/>
      <c r="AG106" s="20"/>
      <c r="AH106" s="20"/>
      <c r="AI106" s="20"/>
      <c r="AJ106" s="20"/>
      <c r="AK106" s="20"/>
      <c r="AL106" s="20"/>
      <c r="AM106" s="20"/>
      <c r="AN106" s="20"/>
      <c r="AO106" s="20"/>
      <c r="AP106" s="20"/>
      <c r="AQ106" s="20"/>
      <c r="AR106" s="20"/>
      <c r="AS106" s="20"/>
      <c r="AT106" s="20"/>
      <c r="AU106" s="20"/>
      <c r="AV106" s="20"/>
      <c r="AW106" s="20"/>
      <c r="AX106" s="20"/>
      <c r="AY106" s="20"/>
      <c r="AZ106" s="20"/>
      <c r="BA106" s="20"/>
      <c r="BB106" s="20"/>
      <c r="BC106" s="20"/>
      <c r="BD106" s="20"/>
      <c r="BE106" s="20"/>
      <c r="BF106" s="20"/>
      <c r="BG106" s="20"/>
      <c r="BH106" s="20"/>
      <c r="BM106" s="20"/>
      <c r="BN106" s="20"/>
      <c r="BO106" s="20"/>
      <c r="BP106" s="20"/>
      <c r="BS106" s="20"/>
      <c r="BT106" s="20"/>
      <c r="BW106" s="20"/>
      <c r="BX106" s="20"/>
      <c r="BY106" s="20"/>
      <c r="BZ106" s="20"/>
      <c r="CA106" s="20"/>
      <c r="CB106" s="20"/>
      <c r="CC106" s="20"/>
      <c r="CD106" s="20"/>
      <c r="CE106" s="20"/>
      <c r="CF106" s="20"/>
      <c r="CG106" s="20"/>
      <c r="CH106" s="20"/>
      <c r="CM106" s="20"/>
      <c r="CN106" s="20"/>
      <c r="CO106" s="20"/>
      <c r="CP106" s="20"/>
      <c r="CQ106" s="20"/>
      <c r="CR106" s="20"/>
      <c r="CS106" s="20"/>
      <c r="CT106" s="20"/>
      <c r="CY106" s="20"/>
      <c r="CZ106" s="20"/>
      <c r="DA106" s="20"/>
      <c r="DB106" s="20"/>
      <c r="DC106" s="20"/>
      <c r="DD106" s="20"/>
      <c r="DI106" s="20"/>
      <c r="DJ106" s="20"/>
      <c r="DK106" s="20"/>
      <c r="DL106" s="20"/>
      <c r="DM106" s="20"/>
      <c r="DN106" s="20"/>
      <c r="DO106" s="20"/>
      <c r="DP106" s="20"/>
      <c r="DQ106" s="20"/>
      <c r="DR106" s="20"/>
      <c r="DS106" s="20"/>
      <c r="DT106" s="20"/>
    </row>
    <row r="107" spans="1:124" x14ac:dyDescent="0.25">
      <c r="A107" s="23" t="s">
        <v>4027</v>
      </c>
      <c r="B107" s="23" t="s">
        <v>3967</v>
      </c>
      <c r="E107" s="20"/>
      <c r="F107" s="20"/>
      <c r="G107" s="20"/>
      <c r="H107" s="20"/>
      <c r="I107" s="20"/>
      <c r="J107" s="20"/>
      <c r="K107" s="20"/>
      <c r="L107" s="20"/>
      <c r="O107" s="20"/>
      <c r="P107" s="20"/>
      <c r="Q107" s="20"/>
      <c r="R107" s="20"/>
      <c r="S107" s="20"/>
      <c r="T107" s="20"/>
      <c r="U107" s="20"/>
      <c r="V107" s="20"/>
      <c r="W107" s="20"/>
      <c r="X107" s="20"/>
      <c r="Y107" s="20"/>
      <c r="Z107" s="20"/>
      <c r="AA107" s="20"/>
      <c r="AB107" s="20"/>
      <c r="AC107" s="20"/>
      <c r="AD107" s="20"/>
      <c r="AE107" s="20"/>
      <c r="AF107" s="20"/>
      <c r="AG107" s="20"/>
      <c r="AH107" s="20"/>
      <c r="AI107" s="20"/>
      <c r="AJ107" s="20"/>
      <c r="AK107" s="20"/>
      <c r="AL107" s="20"/>
      <c r="AM107" s="20"/>
      <c r="AN107" s="20"/>
      <c r="AO107" s="20"/>
      <c r="AP107" s="20"/>
      <c r="AQ107" s="20"/>
      <c r="AR107" s="20"/>
      <c r="AS107" s="20"/>
      <c r="AT107" s="20"/>
      <c r="AU107" s="20"/>
      <c r="AV107" s="20"/>
      <c r="AW107" s="20"/>
      <c r="AX107" s="20"/>
      <c r="AY107" s="20"/>
      <c r="AZ107" s="20"/>
      <c r="BA107" s="20"/>
      <c r="BB107" s="20"/>
      <c r="BC107" s="20"/>
      <c r="BD107" s="20"/>
      <c r="BE107" s="20"/>
      <c r="BF107" s="20"/>
      <c r="BG107" s="20"/>
      <c r="BH107" s="20"/>
      <c r="BM107" s="20"/>
      <c r="BN107" s="20"/>
      <c r="BO107" s="20"/>
      <c r="BP107" s="20"/>
      <c r="BS107" s="20"/>
      <c r="BT107" s="20"/>
      <c r="BW107" s="20"/>
      <c r="BX107" s="20"/>
      <c r="BY107" s="20"/>
      <c r="BZ107" s="20"/>
      <c r="CA107" s="20"/>
      <c r="CB107" s="20"/>
      <c r="CC107" s="20"/>
      <c r="CD107" s="20"/>
      <c r="CE107" s="20"/>
      <c r="CF107" s="20"/>
      <c r="CG107" s="20"/>
      <c r="CH107" s="20"/>
      <c r="CM107" s="20"/>
      <c r="CN107" s="20"/>
      <c r="CO107" s="20"/>
      <c r="CP107" s="20"/>
      <c r="CQ107" s="20"/>
      <c r="CR107" s="20"/>
      <c r="CS107" s="20"/>
      <c r="CT107" s="20"/>
      <c r="CY107" s="20"/>
      <c r="CZ107" s="20"/>
      <c r="DA107" s="20"/>
      <c r="DB107" s="20"/>
      <c r="DC107" s="20"/>
      <c r="DD107" s="20"/>
      <c r="DI107" s="20"/>
      <c r="DJ107" s="20"/>
      <c r="DK107" s="20"/>
      <c r="DL107" s="20"/>
      <c r="DM107" s="20"/>
      <c r="DN107" s="20"/>
      <c r="DO107" s="20"/>
      <c r="DP107" s="20"/>
      <c r="DQ107" s="20"/>
      <c r="DR107" s="20"/>
      <c r="DS107" s="20"/>
      <c r="DT107" s="20"/>
    </row>
    <row r="108" spans="1:124" x14ac:dyDescent="0.25">
      <c r="A108" s="23" t="s">
        <v>4031</v>
      </c>
      <c r="B108" s="23" t="s">
        <v>3967</v>
      </c>
      <c r="E108" s="20"/>
      <c r="F108" s="20"/>
      <c r="G108" s="20"/>
      <c r="H108" s="20"/>
      <c r="I108" s="20"/>
      <c r="J108" s="20"/>
      <c r="K108" s="20"/>
      <c r="L108" s="20"/>
      <c r="O108" s="20"/>
      <c r="P108" s="20"/>
      <c r="Q108" s="20"/>
      <c r="R108" s="20"/>
      <c r="S108" s="20"/>
      <c r="T108" s="20"/>
      <c r="U108" s="20"/>
      <c r="V108" s="20"/>
      <c r="W108" s="20"/>
      <c r="X108" s="20"/>
      <c r="Y108" s="20"/>
      <c r="Z108" s="20"/>
      <c r="AA108" s="20"/>
      <c r="AB108" s="20"/>
      <c r="AC108" s="20"/>
      <c r="AD108" s="20"/>
      <c r="AE108" s="20"/>
      <c r="AF108" s="20"/>
      <c r="AG108" s="20"/>
      <c r="AH108" s="20"/>
      <c r="AI108" s="20"/>
      <c r="AJ108" s="20"/>
      <c r="AK108" s="20"/>
      <c r="AL108" s="20"/>
      <c r="AM108" s="20"/>
      <c r="AN108" s="20"/>
      <c r="AO108" s="20"/>
      <c r="AP108" s="20"/>
      <c r="AQ108" s="20"/>
      <c r="AR108" s="20"/>
      <c r="AS108" s="20"/>
      <c r="AT108" s="20"/>
      <c r="AU108" s="20"/>
      <c r="AV108" s="20"/>
      <c r="AW108" s="20"/>
      <c r="AX108" s="20"/>
      <c r="AY108" s="20"/>
      <c r="AZ108" s="20"/>
      <c r="BA108" s="20"/>
      <c r="BB108" s="20"/>
      <c r="BC108" s="20"/>
      <c r="BD108" s="20"/>
      <c r="BE108" s="20"/>
      <c r="BF108" s="20"/>
      <c r="BG108" s="20"/>
      <c r="BH108" s="20"/>
      <c r="BM108" s="20"/>
      <c r="BN108" s="20"/>
      <c r="BO108" s="20"/>
      <c r="BP108" s="20"/>
      <c r="BS108" s="20"/>
      <c r="BT108" s="20"/>
      <c r="BW108" s="20"/>
      <c r="BX108" s="20"/>
      <c r="BY108" s="20"/>
      <c r="BZ108" s="20"/>
      <c r="CA108" s="20"/>
      <c r="CB108" s="20"/>
      <c r="CC108" s="20"/>
      <c r="CD108" s="20"/>
      <c r="CE108" s="20"/>
      <c r="CF108" s="20"/>
      <c r="CG108" s="20"/>
      <c r="CH108" s="20"/>
      <c r="CM108" s="20"/>
      <c r="CN108" s="20"/>
      <c r="CO108" s="20"/>
      <c r="CP108" s="20"/>
      <c r="CQ108" s="20"/>
      <c r="CR108" s="20"/>
      <c r="CS108" s="20"/>
      <c r="CT108" s="20"/>
      <c r="CY108" s="20"/>
      <c r="CZ108" s="20"/>
      <c r="DA108" s="20"/>
      <c r="DB108" s="20"/>
      <c r="DC108" s="20"/>
      <c r="DD108" s="20"/>
      <c r="DE108" s="20"/>
      <c r="DF108" s="20"/>
      <c r="DI108" s="20"/>
      <c r="DJ108" s="20"/>
      <c r="DK108" s="20"/>
      <c r="DL108" s="20"/>
      <c r="DM108" s="20"/>
      <c r="DN108" s="20"/>
      <c r="DO108" s="20"/>
      <c r="DP108" s="20"/>
      <c r="DQ108" s="20"/>
      <c r="DR108" s="20"/>
      <c r="DS108" s="20"/>
      <c r="DT108" s="20"/>
    </row>
    <row r="109" spans="1:124" x14ac:dyDescent="0.25">
      <c r="A109" s="23" t="s">
        <v>4034</v>
      </c>
      <c r="B109" s="23" t="s">
        <v>3967</v>
      </c>
      <c r="E109" s="20"/>
      <c r="F109" s="20"/>
      <c r="G109" s="20"/>
      <c r="H109" s="20"/>
      <c r="I109" s="20"/>
      <c r="J109" s="20"/>
      <c r="K109" s="20"/>
      <c r="L109" s="20"/>
      <c r="O109" s="20"/>
      <c r="P109" s="20"/>
      <c r="Q109" s="20"/>
      <c r="R109" s="20"/>
      <c r="S109" s="20"/>
      <c r="T109" s="20"/>
      <c r="U109" s="20"/>
      <c r="V109" s="20"/>
      <c r="W109" s="20"/>
      <c r="X109" s="20"/>
      <c r="Y109" s="20"/>
      <c r="Z109" s="20"/>
      <c r="AA109" s="20"/>
      <c r="AB109" s="20"/>
      <c r="AC109" s="20"/>
      <c r="AD109" s="20"/>
      <c r="AE109" s="20"/>
      <c r="AF109" s="20"/>
      <c r="AG109" s="20"/>
      <c r="AH109" s="20"/>
      <c r="AI109" s="20"/>
      <c r="AJ109" s="20"/>
      <c r="AK109" s="20"/>
      <c r="AL109" s="20"/>
      <c r="AM109" s="20"/>
      <c r="AN109" s="20"/>
      <c r="AO109" s="20"/>
      <c r="AP109" s="20"/>
      <c r="AQ109" s="20"/>
      <c r="AR109" s="20"/>
      <c r="AS109" s="20"/>
      <c r="AT109" s="20"/>
      <c r="AU109" s="20"/>
      <c r="AV109" s="20"/>
      <c r="AW109" s="20"/>
      <c r="AX109" s="20"/>
      <c r="AY109" s="20"/>
      <c r="AZ109" s="20"/>
      <c r="BA109" s="20"/>
      <c r="BB109" s="20"/>
      <c r="BC109" s="20"/>
      <c r="BD109" s="20"/>
      <c r="BE109" s="20"/>
      <c r="BF109" s="20"/>
      <c r="BG109" s="20"/>
      <c r="BH109" s="20"/>
      <c r="BM109" s="20"/>
      <c r="BN109" s="20"/>
      <c r="BO109" s="20"/>
      <c r="BP109" s="20"/>
      <c r="BS109" s="20"/>
      <c r="BT109" s="20"/>
      <c r="BW109" s="20"/>
      <c r="BX109" s="20"/>
      <c r="BY109" s="20"/>
      <c r="BZ109" s="20"/>
      <c r="CA109" s="20"/>
      <c r="CB109" s="20"/>
      <c r="CC109" s="20"/>
      <c r="CD109" s="20"/>
      <c r="CE109" s="20"/>
      <c r="CF109" s="20"/>
      <c r="CG109" s="20"/>
      <c r="CH109" s="20"/>
      <c r="CM109" s="20"/>
      <c r="CN109" s="20"/>
      <c r="CO109" s="20"/>
      <c r="CP109" s="20"/>
      <c r="CQ109" s="20"/>
      <c r="CR109" s="20"/>
      <c r="CS109" s="20"/>
      <c r="CT109" s="20"/>
      <c r="CY109" s="20"/>
      <c r="CZ109" s="20"/>
      <c r="DA109" s="20"/>
      <c r="DB109" s="20"/>
      <c r="DC109" s="20"/>
      <c r="DD109" s="20"/>
      <c r="DE109" s="20"/>
      <c r="DF109" s="20"/>
      <c r="DI109" s="20"/>
      <c r="DJ109" s="20"/>
      <c r="DK109" s="20"/>
      <c r="DL109" s="20"/>
      <c r="DM109" s="20"/>
      <c r="DN109" s="20"/>
      <c r="DO109" s="20"/>
      <c r="DP109" s="20"/>
      <c r="DQ109" s="20"/>
      <c r="DR109" s="20"/>
      <c r="DS109" s="20"/>
      <c r="DT109" s="20"/>
    </row>
    <row r="110" spans="1:124" x14ac:dyDescent="0.25">
      <c r="A110" s="23" t="s">
        <v>4041</v>
      </c>
      <c r="B110" s="23" t="s">
        <v>3967</v>
      </c>
      <c r="E110" s="20"/>
      <c r="F110" s="20"/>
      <c r="G110" s="20"/>
      <c r="H110" s="20"/>
      <c r="I110" s="20"/>
      <c r="J110" s="20"/>
      <c r="K110" s="20"/>
      <c r="L110" s="20"/>
      <c r="O110" s="20"/>
      <c r="P110" s="20"/>
      <c r="Q110" s="20"/>
      <c r="R110" s="20"/>
      <c r="S110" s="20"/>
      <c r="T110" s="20"/>
      <c r="U110" s="20"/>
      <c r="V110" s="20"/>
      <c r="W110" s="20"/>
      <c r="X110" s="20"/>
      <c r="Y110" s="20"/>
      <c r="Z110" s="20"/>
      <c r="AA110" s="20"/>
      <c r="AB110" s="20"/>
      <c r="AC110" s="20"/>
      <c r="AD110" s="20"/>
      <c r="AE110" s="20"/>
      <c r="AF110" s="20"/>
      <c r="AG110" s="20"/>
      <c r="AH110" s="20"/>
      <c r="AI110" s="20"/>
      <c r="AJ110" s="20"/>
      <c r="AK110" s="20"/>
      <c r="AL110" s="20"/>
      <c r="AM110" s="20"/>
      <c r="AN110" s="20"/>
      <c r="AO110" s="20"/>
      <c r="AP110" s="20"/>
      <c r="AQ110" s="20"/>
      <c r="AR110" s="20"/>
      <c r="AS110" s="20"/>
      <c r="AT110" s="20"/>
      <c r="AU110" s="20"/>
      <c r="AV110" s="20"/>
      <c r="AW110" s="20"/>
      <c r="AX110" s="20"/>
      <c r="AY110" s="20"/>
      <c r="AZ110" s="20"/>
      <c r="BA110" s="20"/>
      <c r="BB110" s="20"/>
      <c r="BC110" s="20"/>
      <c r="BD110" s="20"/>
      <c r="BE110" s="20"/>
      <c r="BF110" s="20"/>
      <c r="BG110" s="20"/>
      <c r="BH110" s="20"/>
      <c r="BM110" s="20"/>
      <c r="BN110" s="20"/>
      <c r="BO110" s="20"/>
      <c r="BP110" s="20"/>
      <c r="BS110" s="20"/>
      <c r="BT110" s="20"/>
      <c r="BW110" s="20"/>
      <c r="BX110" s="20"/>
      <c r="BY110" s="20"/>
      <c r="BZ110" s="20"/>
      <c r="CA110" s="20"/>
      <c r="CB110" s="20"/>
      <c r="CC110" s="20"/>
      <c r="CD110" s="20"/>
      <c r="CE110" s="20"/>
      <c r="CF110" s="20"/>
      <c r="CG110" s="20"/>
      <c r="CH110" s="20"/>
      <c r="CM110" s="20"/>
      <c r="CN110" s="20"/>
      <c r="CO110" s="20"/>
      <c r="CP110" s="20"/>
      <c r="CQ110" s="20"/>
      <c r="CR110" s="20"/>
      <c r="CS110" s="20"/>
      <c r="CT110" s="20"/>
      <c r="CY110" s="20"/>
      <c r="CZ110" s="20"/>
      <c r="DA110" s="20"/>
      <c r="DB110" s="20"/>
      <c r="DC110" s="20"/>
      <c r="DD110" s="20"/>
      <c r="DE110" s="20"/>
      <c r="DF110" s="20"/>
      <c r="DI110" s="20"/>
      <c r="DJ110" s="20"/>
      <c r="DK110" s="20"/>
      <c r="DL110" s="20"/>
      <c r="DM110" s="20"/>
      <c r="DN110" s="20"/>
      <c r="DO110" s="20"/>
      <c r="DP110" s="20"/>
      <c r="DQ110" s="20"/>
      <c r="DR110" s="20"/>
      <c r="DS110" s="20"/>
      <c r="DT110" s="20"/>
    </row>
    <row r="111" spans="1:124" x14ac:dyDescent="0.25">
      <c r="A111" s="23">
        <v>-12119224</v>
      </c>
      <c r="B111" s="23" t="s">
        <v>3967</v>
      </c>
      <c r="E111" s="20"/>
      <c r="F111" s="20"/>
      <c r="G111" s="20"/>
      <c r="H111" s="20"/>
      <c r="I111" s="20"/>
      <c r="J111" s="20"/>
      <c r="K111" s="20"/>
      <c r="L111" s="20"/>
      <c r="O111" s="20"/>
      <c r="P111" s="20"/>
      <c r="Q111" s="20"/>
      <c r="R111" s="20"/>
      <c r="S111" s="20"/>
      <c r="T111" s="20"/>
      <c r="U111" s="20"/>
      <c r="V111" s="20"/>
      <c r="W111" s="20"/>
      <c r="X111" s="20"/>
      <c r="Y111" s="20"/>
      <c r="Z111" s="20"/>
      <c r="AA111" s="20"/>
      <c r="AB111" s="20"/>
      <c r="AC111" s="20"/>
      <c r="AD111" s="20"/>
      <c r="AE111" s="20"/>
      <c r="AF111" s="20"/>
      <c r="AG111" s="20"/>
      <c r="AH111" s="20"/>
      <c r="AI111" s="20"/>
      <c r="AJ111" s="20"/>
      <c r="AK111" s="20"/>
      <c r="AL111" s="20"/>
      <c r="AM111" s="20"/>
      <c r="AN111" s="20"/>
      <c r="AO111" s="20"/>
      <c r="AP111" s="20"/>
      <c r="AQ111" s="20"/>
      <c r="AR111" s="20"/>
      <c r="AS111" s="20"/>
      <c r="AT111" s="20"/>
      <c r="AU111" s="20"/>
      <c r="AV111" s="20"/>
      <c r="AW111" s="20"/>
      <c r="AX111" s="20"/>
      <c r="AY111" s="20"/>
      <c r="AZ111" s="20"/>
      <c r="BA111" s="20"/>
      <c r="BB111" s="20"/>
      <c r="BC111" s="20"/>
      <c r="BD111" s="20"/>
      <c r="BE111" s="20"/>
      <c r="BF111" s="20"/>
      <c r="BG111" s="20"/>
      <c r="BH111" s="20"/>
      <c r="BM111" s="20"/>
      <c r="BN111" s="20"/>
      <c r="BO111" s="20"/>
      <c r="BP111" s="20"/>
      <c r="BS111" s="20"/>
      <c r="BT111" s="20"/>
      <c r="BW111" s="20"/>
      <c r="BX111" s="20"/>
      <c r="BY111" s="20"/>
      <c r="BZ111" s="20"/>
      <c r="CA111" s="20"/>
      <c r="CB111" s="20"/>
      <c r="CC111" s="20"/>
      <c r="CD111" s="20"/>
      <c r="CE111" s="20"/>
      <c r="CF111" s="20"/>
      <c r="CG111" s="20"/>
      <c r="CH111" s="20"/>
      <c r="CM111" s="20"/>
      <c r="CN111" s="20"/>
      <c r="CO111" s="20"/>
      <c r="CP111" s="20"/>
      <c r="CQ111" s="20"/>
      <c r="CR111" s="20"/>
      <c r="CS111" s="20"/>
      <c r="CT111" s="20"/>
      <c r="CY111" s="20"/>
      <c r="CZ111" s="20"/>
      <c r="DA111" s="20"/>
      <c r="DB111" s="20"/>
      <c r="DC111" s="20"/>
      <c r="DD111" s="20"/>
      <c r="DE111" s="20"/>
      <c r="DF111" s="20"/>
      <c r="DI111" s="20"/>
      <c r="DJ111" s="20"/>
      <c r="DK111" s="20"/>
      <c r="DL111" s="20"/>
      <c r="DM111" s="20"/>
      <c r="DN111" s="20"/>
      <c r="DO111" s="20"/>
      <c r="DP111" s="20"/>
      <c r="DQ111" s="20"/>
      <c r="DR111" s="20"/>
      <c r="DS111" s="20"/>
      <c r="DT111" s="20"/>
    </row>
    <row r="112" spans="1:124" x14ac:dyDescent="0.25">
      <c r="A112" s="23" t="s">
        <v>4060</v>
      </c>
      <c r="B112" s="23" t="s">
        <v>3967</v>
      </c>
      <c r="E112" s="20"/>
      <c r="F112" s="20"/>
      <c r="G112" s="20"/>
      <c r="H112" s="20"/>
      <c r="I112" s="20"/>
      <c r="J112" s="20"/>
      <c r="K112" s="20"/>
      <c r="L112" s="20"/>
      <c r="O112" s="20"/>
      <c r="P112" s="20"/>
      <c r="Q112" s="20"/>
      <c r="R112" s="20"/>
      <c r="S112" s="20"/>
      <c r="T112" s="20"/>
      <c r="U112" s="20"/>
      <c r="V112" s="20"/>
      <c r="W112" s="20"/>
      <c r="X112" s="20"/>
      <c r="Y112" s="20"/>
      <c r="Z112" s="20"/>
      <c r="AA112" s="20"/>
      <c r="AB112" s="20"/>
      <c r="AC112" s="20"/>
      <c r="AD112" s="20"/>
      <c r="AE112" s="20"/>
      <c r="AF112" s="20"/>
      <c r="AG112" s="20"/>
      <c r="AH112" s="20"/>
      <c r="AI112" s="20"/>
      <c r="AJ112" s="20"/>
      <c r="AK112" s="20"/>
      <c r="AL112" s="20"/>
      <c r="AM112" s="20"/>
      <c r="AN112" s="20"/>
      <c r="AO112" s="20"/>
      <c r="AP112" s="20"/>
      <c r="AQ112" s="20"/>
      <c r="AR112" s="20"/>
      <c r="AS112" s="20"/>
      <c r="AT112" s="20"/>
      <c r="AU112" s="20"/>
      <c r="AV112" s="20"/>
      <c r="AW112" s="20"/>
      <c r="AX112" s="20"/>
      <c r="AY112" s="20"/>
      <c r="AZ112" s="20"/>
      <c r="BA112" s="20"/>
      <c r="BB112" s="20"/>
      <c r="BC112" s="20"/>
      <c r="BD112" s="20"/>
      <c r="BE112" s="20"/>
      <c r="BF112" s="20"/>
      <c r="BG112" s="20"/>
      <c r="BH112" s="20"/>
      <c r="BM112" s="20"/>
      <c r="BN112" s="20"/>
      <c r="BO112" s="20"/>
      <c r="BP112" s="20"/>
      <c r="BS112" s="20"/>
      <c r="BT112" s="20"/>
      <c r="BW112" s="20"/>
      <c r="BX112" s="20"/>
      <c r="BY112" s="20"/>
      <c r="BZ112" s="20"/>
      <c r="CA112" s="20"/>
      <c r="CB112" s="20"/>
      <c r="CC112" s="20"/>
      <c r="CD112" s="20"/>
      <c r="CE112" s="20"/>
      <c r="CF112" s="20"/>
      <c r="CG112" s="20"/>
      <c r="CH112" s="20"/>
      <c r="CM112" s="20"/>
      <c r="CN112" s="20"/>
      <c r="CO112" s="20"/>
      <c r="CP112" s="20"/>
      <c r="CQ112" s="20"/>
      <c r="CR112" s="20"/>
      <c r="CS112" s="20"/>
      <c r="CT112" s="20"/>
      <c r="CY112" s="20"/>
      <c r="CZ112" s="20"/>
      <c r="DA112" s="20"/>
      <c r="DB112" s="20"/>
      <c r="DC112" s="20"/>
      <c r="DD112" s="20"/>
      <c r="DE112" s="20"/>
      <c r="DF112" s="20"/>
      <c r="DI112" s="20"/>
      <c r="DJ112" s="20"/>
      <c r="DK112" s="20"/>
      <c r="DL112" s="20"/>
      <c r="DM112" s="20"/>
      <c r="DN112" s="20"/>
      <c r="DO112" s="20"/>
      <c r="DP112" s="20"/>
      <c r="DQ112" s="20"/>
      <c r="DR112" s="20"/>
      <c r="DS112" s="20"/>
      <c r="DT112" s="20"/>
    </row>
    <row r="113" spans="1:124" x14ac:dyDescent="0.25">
      <c r="A113" s="23">
        <v>-12163074</v>
      </c>
      <c r="B113" s="23" t="s">
        <v>3967</v>
      </c>
      <c r="E113" s="20"/>
      <c r="F113" s="20"/>
      <c r="G113" s="20"/>
      <c r="H113" s="20"/>
      <c r="I113" s="20"/>
      <c r="J113" s="20"/>
      <c r="K113" s="20"/>
      <c r="L113" s="20"/>
      <c r="O113" s="20"/>
      <c r="P113" s="20"/>
      <c r="Q113" s="20"/>
      <c r="R113" s="20"/>
      <c r="S113" s="20"/>
      <c r="T113" s="20"/>
      <c r="U113" s="20"/>
      <c r="V113" s="20"/>
      <c r="W113" s="20"/>
      <c r="X113" s="20"/>
      <c r="Y113" s="20"/>
      <c r="Z113" s="20"/>
      <c r="AA113" s="20"/>
      <c r="AB113" s="20"/>
      <c r="AC113" s="20"/>
      <c r="AD113" s="20"/>
      <c r="AE113" s="20"/>
      <c r="AF113" s="20"/>
      <c r="AG113" s="20"/>
      <c r="AH113" s="20"/>
      <c r="AI113" s="20"/>
      <c r="AJ113" s="20"/>
      <c r="AK113" s="20"/>
      <c r="AL113" s="20"/>
      <c r="AM113" s="20"/>
      <c r="AN113" s="20"/>
      <c r="AO113" s="20"/>
      <c r="AP113" s="20"/>
      <c r="AQ113" s="20"/>
      <c r="AR113" s="20"/>
      <c r="AS113" s="20"/>
      <c r="AT113" s="20"/>
      <c r="AU113" s="20"/>
      <c r="AV113" s="20"/>
      <c r="AW113" s="20"/>
      <c r="AX113" s="20"/>
      <c r="AY113" s="20"/>
      <c r="AZ113" s="20"/>
      <c r="BA113" s="20"/>
      <c r="BB113" s="20"/>
      <c r="BC113" s="20"/>
      <c r="BD113" s="20"/>
      <c r="BE113" s="20"/>
      <c r="BF113" s="20"/>
      <c r="BG113" s="20"/>
      <c r="BH113" s="20"/>
      <c r="BM113" s="20"/>
      <c r="BN113" s="20"/>
      <c r="BO113" s="20"/>
      <c r="BP113" s="20"/>
      <c r="BS113" s="20"/>
      <c r="BT113" s="20"/>
      <c r="BW113" s="20"/>
      <c r="BX113" s="20"/>
      <c r="BY113" s="20"/>
      <c r="BZ113" s="20"/>
      <c r="CA113" s="20"/>
      <c r="CB113" s="20"/>
      <c r="CC113" s="20"/>
      <c r="CD113" s="20"/>
      <c r="CE113" s="20"/>
      <c r="CF113" s="20"/>
      <c r="CG113" s="20"/>
      <c r="CH113" s="20"/>
      <c r="CM113" s="20"/>
      <c r="CN113" s="20"/>
      <c r="CO113" s="20"/>
      <c r="CP113" s="20"/>
      <c r="CQ113" s="20"/>
      <c r="CR113" s="20"/>
      <c r="CS113" s="20"/>
      <c r="CT113" s="20"/>
      <c r="CY113" s="20"/>
      <c r="CZ113" s="20"/>
      <c r="DA113" s="20"/>
      <c r="DB113" s="20"/>
      <c r="DC113" s="20"/>
      <c r="DD113" s="20"/>
      <c r="DE113" s="20"/>
      <c r="DF113" s="20"/>
      <c r="DI113" s="20"/>
      <c r="DJ113" s="20"/>
      <c r="DK113" s="20"/>
      <c r="DL113" s="20"/>
      <c r="DM113" s="20"/>
      <c r="DN113" s="20"/>
      <c r="DO113" s="20"/>
      <c r="DP113" s="20"/>
      <c r="DQ113" s="20"/>
      <c r="DR113" s="20"/>
      <c r="DS113" s="20"/>
      <c r="DT113" s="20"/>
    </row>
    <row r="114" spans="1:124" x14ac:dyDescent="0.25">
      <c r="A114" s="23" t="s">
        <v>4083</v>
      </c>
      <c r="B114" s="23" t="s">
        <v>3967</v>
      </c>
      <c r="E114" s="20"/>
      <c r="F114" s="20"/>
      <c r="G114" s="20"/>
      <c r="H114" s="20"/>
      <c r="I114" s="20"/>
      <c r="J114" s="20"/>
      <c r="K114" s="20"/>
      <c r="L114" s="20"/>
      <c r="O114" s="20"/>
      <c r="P114" s="20"/>
      <c r="Q114" s="20"/>
      <c r="R114" s="20"/>
      <c r="S114" s="20"/>
      <c r="T114" s="20"/>
      <c r="U114" s="20"/>
      <c r="V114" s="20"/>
      <c r="W114" s="20"/>
      <c r="X114" s="20"/>
      <c r="Y114" s="20"/>
      <c r="Z114" s="20"/>
      <c r="AA114" s="20"/>
      <c r="AB114" s="20"/>
      <c r="AC114" s="20"/>
      <c r="AD114" s="20"/>
      <c r="AE114" s="20"/>
      <c r="AF114" s="20"/>
      <c r="AG114" s="20"/>
      <c r="AH114" s="20"/>
      <c r="AI114" s="20"/>
      <c r="AJ114" s="20"/>
      <c r="AK114" s="20"/>
      <c r="AL114" s="20"/>
      <c r="AM114" s="20"/>
      <c r="AN114" s="20"/>
      <c r="AO114" s="20"/>
      <c r="AP114" s="20"/>
      <c r="AQ114" s="20"/>
      <c r="AR114" s="20"/>
      <c r="AS114" s="20"/>
      <c r="AT114" s="20"/>
      <c r="AU114" s="20"/>
      <c r="AV114" s="20"/>
      <c r="AW114" s="20"/>
      <c r="AX114" s="20"/>
      <c r="AY114" s="20"/>
      <c r="AZ114" s="20"/>
      <c r="BA114" s="20"/>
      <c r="BB114" s="20"/>
      <c r="BC114" s="20"/>
      <c r="BD114" s="20"/>
      <c r="BE114" s="20"/>
      <c r="BF114" s="20"/>
      <c r="BG114" s="20"/>
      <c r="BH114" s="20"/>
      <c r="BM114" s="20"/>
      <c r="BN114" s="20"/>
      <c r="BO114" s="20"/>
      <c r="BP114" s="20"/>
      <c r="BS114" s="20"/>
      <c r="BT114" s="20"/>
      <c r="BW114" s="20"/>
      <c r="BX114" s="20"/>
      <c r="BY114" s="20"/>
      <c r="BZ114" s="20"/>
      <c r="CA114" s="20"/>
      <c r="CB114" s="20"/>
      <c r="CC114" s="20"/>
      <c r="CD114" s="20"/>
      <c r="CE114" s="20"/>
      <c r="CF114" s="20"/>
      <c r="CG114" s="20"/>
      <c r="CH114" s="20"/>
      <c r="CM114" s="20"/>
      <c r="CN114" s="20"/>
      <c r="CO114" s="20"/>
      <c r="CP114" s="20"/>
      <c r="CQ114" s="20"/>
      <c r="CR114" s="20"/>
      <c r="CS114" s="20"/>
      <c r="CT114" s="20"/>
      <c r="CY114" s="20"/>
      <c r="CZ114" s="20"/>
      <c r="DA114" s="20"/>
      <c r="DB114" s="20"/>
      <c r="DC114" s="20"/>
      <c r="DD114" s="20"/>
      <c r="DE114" s="20"/>
      <c r="DF114" s="20"/>
      <c r="DI114" s="20"/>
      <c r="DJ114" s="20"/>
      <c r="DK114" s="20"/>
      <c r="DL114" s="20"/>
      <c r="DM114" s="20"/>
      <c r="DN114" s="20"/>
      <c r="DO114" s="20"/>
      <c r="DP114" s="20"/>
      <c r="DQ114" s="20"/>
      <c r="DR114" s="20"/>
      <c r="DS114" s="20"/>
      <c r="DT114" s="20"/>
    </row>
    <row r="115" spans="1:124" x14ac:dyDescent="0.25">
      <c r="A115" s="23" t="s">
        <v>4084</v>
      </c>
      <c r="B115" s="23" t="s">
        <v>3967</v>
      </c>
      <c r="E115" s="20"/>
      <c r="F115" s="20"/>
      <c r="G115" s="20"/>
      <c r="H115" s="20"/>
      <c r="I115" s="20"/>
      <c r="J115" s="20"/>
      <c r="K115" s="20"/>
      <c r="L115" s="20"/>
      <c r="O115" s="20"/>
      <c r="P115" s="20"/>
      <c r="Q115" s="20"/>
      <c r="R115" s="20"/>
      <c r="S115" s="20"/>
      <c r="T115" s="20"/>
      <c r="U115" s="20"/>
      <c r="V115" s="20"/>
      <c r="W115" s="20"/>
      <c r="X115" s="20"/>
      <c r="Y115" s="20"/>
      <c r="Z115" s="20"/>
      <c r="AA115" s="20"/>
      <c r="AB115" s="20"/>
      <c r="AC115" s="20"/>
      <c r="AD115" s="20"/>
      <c r="AE115" s="20"/>
      <c r="AF115" s="20"/>
      <c r="AG115" s="20"/>
      <c r="AH115" s="20"/>
      <c r="AI115" s="20"/>
      <c r="AJ115" s="20"/>
      <c r="AK115" s="20"/>
      <c r="AL115" s="20"/>
      <c r="AM115" s="20"/>
      <c r="AN115" s="20"/>
      <c r="AO115" s="20"/>
      <c r="AP115" s="20"/>
      <c r="AQ115" s="20"/>
      <c r="AR115" s="20"/>
      <c r="AS115" s="20"/>
      <c r="AT115" s="20"/>
      <c r="AU115" s="20"/>
      <c r="AV115" s="20"/>
      <c r="AW115" s="20"/>
      <c r="AX115" s="20"/>
      <c r="AY115" s="20"/>
      <c r="AZ115" s="20"/>
      <c r="BA115" s="20"/>
      <c r="BB115" s="20"/>
      <c r="BC115" s="20"/>
      <c r="BD115" s="20"/>
      <c r="BE115" s="20"/>
      <c r="BF115" s="20"/>
      <c r="BG115" s="20"/>
      <c r="BH115" s="20"/>
      <c r="BM115" s="20"/>
      <c r="BN115" s="20"/>
      <c r="BO115" s="20"/>
      <c r="BP115" s="20"/>
      <c r="BS115" s="20"/>
      <c r="BT115" s="20"/>
      <c r="BW115" s="20"/>
      <c r="BX115" s="20"/>
      <c r="BY115" s="20"/>
      <c r="BZ115" s="20"/>
      <c r="CA115" s="20"/>
      <c r="CB115" s="20"/>
      <c r="CC115" s="20"/>
      <c r="CD115" s="20"/>
      <c r="CE115" s="20"/>
      <c r="CF115" s="20"/>
      <c r="CG115" s="20"/>
      <c r="CH115" s="20"/>
      <c r="CM115" s="20"/>
      <c r="CN115" s="20"/>
      <c r="CO115" s="20"/>
      <c r="CP115" s="20"/>
      <c r="CQ115" s="20"/>
      <c r="CR115" s="20"/>
      <c r="CS115" s="20"/>
      <c r="CT115" s="20"/>
      <c r="CY115" s="20"/>
      <c r="CZ115" s="20"/>
      <c r="DA115" s="20"/>
      <c r="DB115" s="20"/>
      <c r="DC115" s="20"/>
      <c r="DD115" s="20"/>
      <c r="DE115" s="20"/>
      <c r="DF115" s="20"/>
      <c r="DI115" s="20"/>
      <c r="DJ115" s="20"/>
      <c r="DK115" s="20"/>
      <c r="DL115" s="20"/>
      <c r="DM115" s="20"/>
      <c r="DN115" s="20"/>
      <c r="DO115" s="20"/>
      <c r="DP115" s="20"/>
      <c r="DQ115" s="20"/>
      <c r="DR115" s="20"/>
      <c r="DS115" s="20"/>
      <c r="DT115" s="20"/>
    </row>
    <row r="116" spans="1:124" x14ac:dyDescent="0.25">
      <c r="A116" s="23" t="s">
        <v>4098</v>
      </c>
      <c r="B116" s="23" t="s">
        <v>3967</v>
      </c>
      <c r="E116" s="20"/>
      <c r="F116" s="20"/>
      <c r="G116" s="20"/>
      <c r="H116" s="20"/>
      <c r="I116" s="20"/>
      <c r="J116" s="20"/>
      <c r="K116" s="20"/>
      <c r="L116" s="20"/>
      <c r="O116" s="20"/>
      <c r="P116" s="20"/>
      <c r="Q116" s="20"/>
      <c r="R116" s="20"/>
      <c r="S116" s="20"/>
      <c r="T116" s="20"/>
      <c r="U116" s="20"/>
      <c r="V116" s="20"/>
      <c r="W116" s="20"/>
      <c r="X116" s="20"/>
      <c r="Y116" s="20"/>
      <c r="Z116" s="20"/>
      <c r="AA116" s="20"/>
      <c r="AB116" s="20"/>
      <c r="AC116" s="20"/>
      <c r="AD116" s="20"/>
      <c r="AE116" s="20"/>
      <c r="AF116" s="20"/>
      <c r="AG116" s="20"/>
      <c r="AH116" s="20"/>
      <c r="AI116" s="20"/>
      <c r="AJ116" s="20"/>
      <c r="AK116" s="20"/>
      <c r="AL116" s="20"/>
      <c r="AM116" s="20"/>
      <c r="AN116" s="20"/>
      <c r="AO116" s="20"/>
      <c r="AP116" s="20"/>
      <c r="AQ116" s="20"/>
      <c r="AR116" s="20"/>
      <c r="AS116" s="20"/>
      <c r="AT116" s="20"/>
      <c r="AU116" s="20"/>
      <c r="AV116" s="20"/>
      <c r="AW116" s="20"/>
      <c r="AX116" s="20"/>
      <c r="AY116" s="20"/>
      <c r="AZ116" s="20"/>
      <c r="BA116" s="20"/>
      <c r="BB116" s="20"/>
      <c r="BC116" s="20"/>
      <c r="BD116" s="20"/>
      <c r="BE116" s="20"/>
      <c r="BF116" s="20"/>
      <c r="BG116" s="20"/>
      <c r="BH116" s="20"/>
      <c r="BM116" s="20"/>
      <c r="BN116" s="20"/>
      <c r="BO116" s="20"/>
      <c r="BP116" s="20"/>
      <c r="BS116" s="20"/>
      <c r="BT116" s="20"/>
      <c r="BW116" s="20"/>
      <c r="BX116" s="20"/>
      <c r="BY116" s="20"/>
      <c r="BZ116" s="20"/>
      <c r="CA116" s="20"/>
      <c r="CB116" s="20"/>
      <c r="CC116" s="20"/>
      <c r="CD116" s="20"/>
      <c r="CE116" s="20"/>
      <c r="CF116" s="20"/>
      <c r="CG116" s="20"/>
      <c r="CH116" s="20"/>
      <c r="CM116" s="20"/>
      <c r="CN116" s="20"/>
      <c r="CO116" s="20"/>
      <c r="CP116" s="20"/>
      <c r="CQ116" s="20"/>
      <c r="CR116" s="20"/>
      <c r="CS116" s="20"/>
      <c r="CT116" s="20"/>
      <c r="CY116" s="20"/>
      <c r="CZ116" s="20"/>
      <c r="DA116" s="20"/>
      <c r="DB116" s="20"/>
      <c r="DC116" s="20"/>
      <c r="DD116" s="20"/>
      <c r="DE116" s="20"/>
      <c r="DF116" s="20"/>
      <c r="DI116" s="20"/>
      <c r="DJ116" s="20"/>
      <c r="DK116" s="20"/>
      <c r="DL116" s="20"/>
      <c r="DM116" s="20"/>
      <c r="DN116" s="20"/>
      <c r="DO116" s="20"/>
      <c r="DP116" s="20"/>
      <c r="DQ116" s="20"/>
      <c r="DR116" s="20"/>
      <c r="DS116" s="20"/>
      <c r="DT116" s="20"/>
    </row>
    <row r="117" spans="1:124" x14ac:dyDescent="0.25">
      <c r="A117" s="23">
        <v>-423967356</v>
      </c>
      <c r="B117" s="23" t="s">
        <v>3967</v>
      </c>
      <c r="E117" s="20"/>
      <c r="F117" s="20"/>
      <c r="G117" s="20"/>
      <c r="H117" s="20"/>
      <c r="I117" s="20"/>
      <c r="J117" s="20"/>
      <c r="K117" s="20"/>
      <c r="L117" s="20"/>
      <c r="O117" s="20"/>
      <c r="P117" s="20"/>
      <c r="Q117" s="20"/>
      <c r="R117" s="20"/>
      <c r="S117" s="20"/>
      <c r="T117" s="20"/>
      <c r="U117" s="20"/>
      <c r="V117" s="20"/>
      <c r="W117" s="20"/>
      <c r="X117" s="20"/>
      <c r="Y117" s="20"/>
      <c r="Z117" s="20"/>
      <c r="AA117" s="20"/>
      <c r="AB117" s="20"/>
      <c r="AC117" s="20"/>
      <c r="AD117" s="20"/>
      <c r="AE117" s="20"/>
      <c r="AF117" s="20"/>
      <c r="AG117" s="20"/>
      <c r="AH117" s="20"/>
      <c r="AI117" s="20"/>
      <c r="AJ117" s="20"/>
      <c r="AK117" s="20"/>
      <c r="AL117" s="20"/>
      <c r="AM117" s="20"/>
      <c r="AN117" s="20"/>
      <c r="AO117" s="20"/>
      <c r="AP117" s="20"/>
      <c r="AQ117" s="20"/>
      <c r="AR117" s="20"/>
      <c r="AS117" s="20"/>
      <c r="AT117" s="20"/>
      <c r="AU117" s="20"/>
      <c r="AV117" s="20"/>
      <c r="AW117" s="20"/>
      <c r="AX117" s="20"/>
      <c r="AY117" s="20"/>
      <c r="AZ117" s="20"/>
      <c r="BA117" s="20"/>
      <c r="BB117" s="20"/>
      <c r="BC117" s="20"/>
      <c r="BD117" s="20"/>
      <c r="BE117" s="20"/>
      <c r="BF117" s="20"/>
      <c r="BG117" s="20"/>
      <c r="BH117" s="20"/>
      <c r="BM117" s="20"/>
      <c r="BN117" s="20"/>
      <c r="BO117" s="20"/>
      <c r="BP117" s="20"/>
      <c r="BS117" s="20"/>
      <c r="BT117" s="20"/>
      <c r="BW117" s="20"/>
      <c r="BX117" s="20"/>
      <c r="BY117" s="20"/>
      <c r="BZ117" s="20"/>
      <c r="CA117" s="20"/>
      <c r="CB117" s="20"/>
      <c r="CC117" s="20"/>
      <c r="CD117" s="20"/>
      <c r="CE117" s="20"/>
      <c r="CF117" s="20"/>
      <c r="CG117" s="20"/>
      <c r="CH117" s="20"/>
      <c r="CM117" s="20"/>
      <c r="CN117" s="20"/>
      <c r="CO117" s="20"/>
      <c r="CP117" s="20"/>
      <c r="CQ117" s="20"/>
      <c r="CR117" s="20"/>
      <c r="CS117" s="20"/>
      <c r="CT117" s="20"/>
      <c r="CY117" s="20"/>
      <c r="CZ117" s="20"/>
      <c r="DA117" s="20"/>
      <c r="DB117" s="20"/>
      <c r="DC117" s="20"/>
      <c r="DD117" s="20"/>
      <c r="DE117" s="20"/>
      <c r="DF117" s="20"/>
      <c r="DI117" s="20"/>
      <c r="DJ117" s="20"/>
      <c r="DK117" s="20"/>
      <c r="DL117" s="20"/>
      <c r="DM117" s="20"/>
      <c r="DN117" s="20"/>
      <c r="DO117" s="20"/>
      <c r="DP117" s="20"/>
      <c r="DQ117" s="20"/>
      <c r="DR117" s="20"/>
      <c r="DS117" s="20"/>
      <c r="DT117" s="20"/>
    </row>
    <row r="118" spans="1:124" x14ac:dyDescent="0.25">
      <c r="A118" s="23">
        <v>-424978643</v>
      </c>
      <c r="B118" s="23" t="s">
        <v>3967</v>
      </c>
      <c r="E118" s="20"/>
      <c r="F118" s="20"/>
      <c r="G118" s="20"/>
      <c r="H118" s="20"/>
      <c r="I118" s="20"/>
      <c r="J118" s="20"/>
      <c r="K118" s="20"/>
      <c r="L118" s="20"/>
      <c r="O118" s="20"/>
      <c r="P118" s="20"/>
      <c r="Q118" s="20"/>
      <c r="R118" s="20"/>
      <c r="S118" s="20"/>
      <c r="T118" s="20"/>
      <c r="U118" s="20"/>
      <c r="V118" s="20"/>
      <c r="W118" s="20"/>
      <c r="X118" s="20"/>
      <c r="Y118" s="20"/>
      <c r="Z118" s="20"/>
      <c r="AA118" s="20"/>
      <c r="AB118" s="20"/>
      <c r="AC118" s="20"/>
      <c r="AD118" s="20"/>
      <c r="AE118" s="20"/>
      <c r="AF118" s="20"/>
      <c r="AG118" s="20"/>
      <c r="AH118" s="20"/>
      <c r="AI118" s="20"/>
      <c r="AJ118" s="20"/>
      <c r="AK118" s="20"/>
      <c r="AL118" s="20"/>
      <c r="AM118" s="20"/>
      <c r="AN118" s="20"/>
      <c r="AO118" s="20"/>
      <c r="AP118" s="20"/>
      <c r="AQ118" s="20"/>
      <c r="AR118" s="20"/>
      <c r="AS118" s="20"/>
      <c r="AT118" s="20"/>
      <c r="AU118" s="20"/>
      <c r="AV118" s="20"/>
      <c r="AW118" s="20"/>
      <c r="AX118" s="20"/>
      <c r="AY118" s="20"/>
      <c r="AZ118" s="20"/>
      <c r="BA118" s="20"/>
      <c r="BB118" s="20"/>
      <c r="BC118" s="20"/>
      <c r="BD118" s="20"/>
      <c r="BE118" s="20"/>
      <c r="BF118" s="20"/>
      <c r="BG118" s="20"/>
      <c r="BH118" s="20"/>
      <c r="BM118" s="20"/>
      <c r="BN118" s="20"/>
      <c r="BO118" s="20"/>
      <c r="BP118" s="20"/>
      <c r="BS118" s="20"/>
      <c r="BT118" s="20"/>
      <c r="BW118" s="20"/>
      <c r="BX118" s="20"/>
      <c r="BY118" s="20"/>
      <c r="BZ118" s="20"/>
      <c r="CA118" s="20"/>
      <c r="CB118" s="20"/>
      <c r="CC118" s="20"/>
      <c r="CD118" s="20"/>
      <c r="CE118" s="20"/>
      <c r="CF118" s="20"/>
      <c r="CG118" s="20"/>
      <c r="CH118" s="20"/>
      <c r="CM118" s="20"/>
      <c r="CN118" s="20"/>
      <c r="CO118" s="20"/>
      <c r="CP118" s="20"/>
      <c r="CQ118" s="20"/>
      <c r="CR118" s="20"/>
      <c r="CS118" s="20"/>
      <c r="CT118" s="20"/>
      <c r="CY118" s="20"/>
      <c r="CZ118" s="20"/>
      <c r="DA118" s="20"/>
      <c r="DB118" s="20"/>
      <c r="DC118" s="20"/>
      <c r="DD118" s="20"/>
      <c r="DE118" s="20"/>
      <c r="DF118" s="20"/>
      <c r="DI118" s="20"/>
      <c r="DJ118" s="20"/>
      <c r="DK118" s="20"/>
      <c r="DL118" s="20"/>
      <c r="DM118" s="20"/>
      <c r="DN118" s="20"/>
      <c r="DO118" s="20"/>
      <c r="DP118" s="20"/>
      <c r="DQ118" s="20"/>
      <c r="DR118" s="20"/>
      <c r="DS118" s="20"/>
      <c r="DT118" s="20"/>
    </row>
    <row r="119" spans="1:124" x14ac:dyDescent="0.25">
      <c r="A119" s="23" t="s">
        <v>4143</v>
      </c>
      <c r="B119" s="23" t="s">
        <v>3967</v>
      </c>
      <c r="E119" s="20"/>
      <c r="F119" s="20"/>
      <c r="G119" s="20"/>
      <c r="H119" s="20"/>
      <c r="I119" s="20"/>
      <c r="J119" s="20"/>
      <c r="K119" s="20"/>
      <c r="L119" s="20"/>
      <c r="O119" s="20"/>
      <c r="P119" s="20"/>
      <c r="Q119" s="20"/>
      <c r="R119" s="20"/>
      <c r="S119" s="20"/>
      <c r="T119" s="20"/>
      <c r="U119" s="20"/>
      <c r="V119" s="20"/>
      <c r="W119" s="20"/>
      <c r="X119" s="20"/>
      <c r="Y119" s="20"/>
      <c r="Z119" s="20"/>
      <c r="AA119" s="20"/>
      <c r="AB119" s="20"/>
      <c r="AC119" s="20"/>
      <c r="AD119" s="20"/>
      <c r="AE119" s="20"/>
      <c r="AF119" s="20"/>
      <c r="AG119" s="20"/>
      <c r="AH119" s="20"/>
      <c r="AI119" s="20"/>
      <c r="AJ119" s="20"/>
      <c r="AK119" s="20"/>
      <c r="AL119" s="20"/>
      <c r="AM119" s="20"/>
      <c r="AN119" s="20"/>
      <c r="AO119" s="20"/>
      <c r="AP119" s="20"/>
      <c r="AQ119" s="20"/>
      <c r="AR119" s="20"/>
      <c r="AS119" s="20"/>
      <c r="AT119" s="20"/>
      <c r="AU119" s="20"/>
      <c r="AV119" s="20"/>
      <c r="AW119" s="20"/>
      <c r="AX119" s="20"/>
      <c r="AY119" s="20"/>
      <c r="AZ119" s="20"/>
      <c r="BA119" s="20"/>
      <c r="BB119" s="20"/>
      <c r="BC119" s="20"/>
      <c r="BD119" s="20"/>
      <c r="BE119" s="20"/>
      <c r="BF119" s="20"/>
      <c r="BG119" s="20"/>
      <c r="BH119" s="20"/>
      <c r="BM119" s="20"/>
      <c r="BN119" s="20"/>
      <c r="BO119" s="20"/>
      <c r="BP119" s="20"/>
      <c r="BS119" s="20"/>
      <c r="BT119" s="20"/>
      <c r="BW119" s="20"/>
      <c r="BX119" s="20"/>
      <c r="BY119" s="20"/>
      <c r="BZ119" s="20"/>
      <c r="CA119" s="20"/>
      <c r="CB119" s="20"/>
      <c r="CC119" s="20"/>
      <c r="CD119" s="20"/>
      <c r="CE119" s="20"/>
      <c r="CF119" s="20"/>
      <c r="CG119" s="20"/>
      <c r="CH119" s="20"/>
      <c r="CM119" s="20"/>
      <c r="CN119" s="20"/>
      <c r="CO119" s="20"/>
      <c r="CP119" s="20"/>
      <c r="CQ119" s="20"/>
      <c r="CR119" s="20"/>
      <c r="CS119" s="20"/>
      <c r="CT119" s="20"/>
      <c r="CY119" s="20"/>
      <c r="CZ119" s="20"/>
      <c r="DA119" s="20"/>
      <c r="DB119" s="20"/>
      <c r="DC119" s="20"/>
      <c r="DD119" s="20"/>
      <c r="DE119" s="20"/>
      <c r="DF119" s="20"/>
      <c r="DI119" s="20"/>
      <c r="DJ119" s="20"/>
      <c r="DK119" s="20"/>
      <c r="DL119" s="20"/>
      <c r="DM119" s="20"/>
      <c r="DN119" s="20"/>
      <c r="DO119" s="20"/>
      <c r="DP119" s="20"/>
      <c r="DQ119" s="20"/>
      <c r="DR119" s="20"/>
      <c r="DS119" s="20"/>
      <c r="DT119" s="20"/>
    </row>
    <row r="120" spans="1:124" x14ac:dyDescent="0.25">
      <c r="A120" s="23" t="s">
        <v>4155</v>
      </c>
      <c r="B120" s="23" t="s">
        <v>3967</v>
      </c>
      <c r="E120" s="20"/>
      <c r="F120" s="20"/>
      <c r="G120" s="20"/>
      <c r="H120" s="20"/>
      <c r="I120" s="20"/>
      <c r="J120" s="20"/>
      <c r="K120" s="20"/>
      <c r="L120" s="20"/>
      <c r="O120" s="20"/>
      <c r="P120" s="20"/>
      <c r="Q120" s="20"/>
      <c r="R120" s="20"/>
      <c r="S120" s="20"/>
      <c r="T120" s="20"/>
      <c r="U120" s="20"/>
      <c r="V120" s="20"/>
      <c r="W120" s="20"/>
      <c r="X120" s="20"/>
      <c r="Y120" s="20"/>
      <c r="Z120" s="20"/>
      <c r="AA120" s="20"/>
      <c r="AB120" s="20"/>
      <c r="AC120" s="20"/>
      <c r="AD120" s="20"/>
      <c r="AE120" s="20"/>
      <c r="AF120" s="20"/>
      <c r="AG120" s="20"/>
      <c r="AH120" s="20"/>
      <c r="AI120" s="20"/>
      <c r="AJ120" s="20"/>
      <c r="AK120" s="20"/>
      <c r="AL120" s="20"/>
      <c r="AM120" s="20"/>
      <c r="AN120" s="20"/>
      <c r="AO120" s="20"/>
      <c r="AP120" s="20"/>
      <c r="AQ120" s="20"/>
      <c r="AR120" s="20"/>
      <c r="AS120" s="20"/>
      <c r="AT120" s="20"/>
      <c r="AU120" s="20"/>
      <c r="AV120" s="20"/>
      <c r="AW120" s="20"/>
      <c r="AX120" s="20"/>
      <c r="AY120" s="20"/>
      <c r="AZ120" s="20"/>
      <c r="BA120" s="20"/>
      <c r="BB120" s="20"/>
      <c r="BC120" s="20"/>
      <c r="BD120" s="20"/>
      <c r="BE120" s="20"/>
      <c r="BF120" s="20"/>
      <c r="BG120" s="20"/>
      <c r="BH120" s="20"/>
      <c r="BM120" s="20"/>
      <c r="BN120" s="20"/>
      <c r="BO120" s="20"/>
      <c r="BP120" s="20"/>
      <c r="BS120" s="20"/>
      <c r="BT120" s="20"/>
      <c r="BW120" s="20"/>
      <c r="BX120" s="20"/>
      <c r="BY120" s="20"/>
      <c r="BZ120" s="20"/>
      <c r="CA120" s="20"/>
      <c r="CB120" s="20"/>
      <c r="CC120" s="20"/>
      <c r="CD120" s="20"/>
      <c r="CE120" s="20"/>
      <c r="CF120" s="20"/>
      <c r="CG120" s="20"/>
      <c r="CH120" s="20"/>
      <c r="CM120" s="20"/>
      <c r="CN120" s="20"/>
      <c r="CO120" s="20"/>
      <c r="CP120" s="20"/>
      <c r="CQ120" s="20"/>
      <c r="CR120" s="20"/>
      <c r="CS120" s="20"/>
      <c r="CT120" s="20"/>
      <c r="CY120" s="20"/>
      <c r="CZ120" s="20"/>
      <c r="DA120" s="20"/>
      <c r="DB120" s="20"/>
      <c r="DC120" s="20"/>
      <c r="DD120" s="20"/>
      <c r="DE120" s="20"/>
      <c r="DF120" s="20"/>
      <c r="DI120" s="20"/>
      <c r="DJ120" s="20"/>
      <c r="DK120" s="20"/>
      <c r="DL120" s="20"/>
      <c r="DM120" s="20"/>
      <c r="DN120" s="20"/>
      <c r="DO120" s="20"/>
      <c r="DP120" s="20"/>
      <c r="DQ120" s="20"/>
      <c r="DR120" s="20"/>
      <c r="DS120" s="20"/>
      <c r="DT120" s="20"/>
    </row>
    <row r="121" spans="1:124" x14ac:dyDescent="0.25">
      <c r="A121" s="23" t="s">
        <v>4169</v>
      </c>
      <c r="B121" s="23" t="s">
        <v>3967</v>
      </c>
      <c r="E121" s="20"/>
      <c r="F121" s="20"/>
      <c r="G121" s="20"/>
      <c r="H121" s="20"/>
      <c r="I121" s="20"/>
      <c r="J121" s="20"/>
      <c r="K121" s="20"/>
      <c r="L121" s="20"/>
      <c r="O121" s="20"/>
      <c r="P121" s="20"/>
      <c r="Q121" s="20"/>
      <c r="R121" s="20"/>
      <c r="S121" s="20"/>
      <c r="T121" s="20"/>
      <c r="U121" s="20"/>
      <c r="V121" s="20"/>
      <c r="W121" s="20"/>
      <c r="X121" s="20"/>
      <c r="Y121" s="20"/>
      <c r="Z121" s="20"/>
      <c r="AA121" s="20"/>
      <c r="AB121" s="20"/>
      <c r="AC121" s="20"/>
      <c r="AD121" s="20"/>
      <c r="AE121" s="20"/>
      <c r="AF121" s="20"/>
      <c r="AG121" s="20"/>
      <c r="AH121" s="20"/>
      <c r="AI121" s="20"/>
      <c r="AJ121" s="20"/>
      <c r="AK121" s="20"/>
      <c r="AL121" s="20"/>
      <c r="AM121" s="20"/>
      <c r="AN121" s="20"/>
      <c r="AO121" s="20"/>
      <c r="AP121" s="20"/>
      <c r="AQ121" s="20"/>
      <c r="AR121" s="20"/>
      <c r="AS121" s="20"/>
      <c r="AT121" s="20"/>
      <c r="AU121" s="20"/>
      <c r="AV121" s="20"/>
      <c r="AW121" s="20"/>
      <c r="AX121" s="20"/>
      <c r="AY121" s="20"/>
      <c r="AZ121" s="20"/>
      <c r="BA121" s="20"/>
      <c r="BB121" s="20"/>
      <c r="BC121" s="20"/>
      <c r="BD121" s="20"/>
      <c r="BE121" s="20"/>
      <c r="BF121" s="20"/>
      <c r="BG121" s="20"/>
      <c r="BH121" s="20"/>
      <c r="BM121" s="20"/>
      <c r="BN121" s="20"/>
      <c r="BO121" s="20"/>
      <c r="BP121" s="20"/>
      <c r="BS121" s="20"/>
      <c r="BT121" s="20"/>
      <c r="BW121" s="20"/>
      <c r="BX121" s="20"/>
      <c r="BY121" s="20"/>
      <c r="BZ121" s="20"/>
      <c r="CA121" s="20"/>
      <c r="CB121" s="20"/>
      <c r="CC121" s="20"/>
      <c r="CD121" s="20"/>
      <c r="CE121" s="20"/>
      <c r="CF121" s="20"/>
      <c r="CG121" s="20"/>
      <c r="CH121" s="20"/>
      <c r="CM121" s="20"/>
      <c r="CN121" s="20"/>
      <c r="CO121" s="20"/>
      <c r="CP121" s="20"/>
      <c r="CQ121" s="20"/>
      <c r="CR121" s="20"/>
      <c r="CS121" s="20"/>
      <c r="CT121" s="20"/>
      <c r="CY121" s="20"/>
      <c r="CZ121" s="20"/>
      <c r="DA121" s="20"/>
      <c r="DB121" s="20"/>
      <c r="DC121" s="20"/>
      <c r="DD121" s="20"/>
      <c r="DE121" s="20"/>
      <c r="DF121" s="20"/>
      <c r="DG121" s="20"/>
      <c r="DH121" s="20"/>
      <c r="DI121" s="20"/>
      <c r="DJ121" s="20"/>
      <c r="DK121" s="20"/>
      <c r="DL121" s="20"/>
      <c r="DM121" s="20"/>
      <c r="DN121" s="20"/>
      <c r="DO121" s="20"/>
      <c r="DP121" s="20"/>
      <c r="DQ121" s="20"/>
      <c r="DR121" s="20"/>
      <c r="DS121" s="20"/>
      <c r="DT121" s="20"/>
    </row>
    <row r="122" spans="1:124" x14ac:dyDescent="0.25">
      <c r="A122" s="23" t="s">
        <v>4187</v>
      </c>
      <c r="B122" s="23" t="s">
        <v>3967</v>
      </c>
      <c r="E122" s="20"/>
      <c r="F122" s="20"/>
      <c r="G122" s="20"/>
      <c r="H122" s="20"/>
      <c r="I122" s="20"/>
      <c r="J122" s="20"/>
      <c r="K122" s="20"/>
      <c r="L122" s="20"/>
      <c r="O122" s="20"/>
      <c r="P122" s="20"/>
      <c r="Q122" s="20"/>
      <c r="R122" s="20"/>
      <c r="S122" s="20"/>
      <c r="T122" s="20"/>
      <c r="U122" s="20"/>
      <c r="V122" s="20"/>
      <c r="W122" s="20"/>
      <c r="X122" s="20"/>
      <c r="Y122" s="20"/>
      <c r="Z122" s="20"/>
      <c r="AA122" s="20"/>
      <c r="AB122" s="20"/>
      <c r="AC122" s="20"/>
      <c r="AD122" s="20"/>
      <c r="AE122" s="20"/>
      <c r="AF122" s="20"/>
      <c r="AG122" s="20"/>
      <c r="AH122" s="20"/>
      <c r="AI122" s="20"/>
      <c r="AJ122" s="20"/>
      <c r="AK122" s="20"/>
      <c r="AL122" s="20"/>
      <c r="AM122" s="20"/>
      <c r="AN122" s="20"/>
      <c r="AO122" s="20"/>
      <c r="AP122" s="20"/>
      <c r="AQ122" s="20"/>
      <c r="AR122" s="20"/>
      <c r="AS122" s="20"/>
      <c r="AT122" s="20"/>
      <c r="AU122" s="20"/>
      <c r="AV122" s="20"/>
      <c r="AW122" s="20"/>
      <c r="AX122" s="20"/>
      <c r="AY122" s="20"/>
      <c r="AZ122" s="20"/>
      <c r="BA122" s="20"/>
      <c r="BB122" s="20"/>
      <c r="BC122" s="20"/>
      <c r="BD122" s="20"/>
      <c r="BE122" s="20"/>
      <c r="BF122" s="20"/>
      <c r="BG122" s="20"/>
      <c r="BH122" s="20"/>
      <c r="BM122" s="20"/>
      <c r="BN122" s="20"/>
      <c r="BO122" s="20"/>
      <c r="BP122" s="20"/>
      <c r="BS122" s="20"/>
      <c r="BT122" s="20"/>
      <c r="BW122" s="20"/>
      <c r="BX122" s="20"/>
      <c r="BY122" s="20"/>
      <c r="BZ122" s="20"/>
      <c r="CA122" s="20"/>
      <c r="CB122" s="20"/>
      <c r="CC122" s="20"/>
      <c r="CD122" s="20"/>
      <c r="CE122" s="20"/>
      <c r="CF122" s="20"/>
      <c r="CG122" s="20"/>
      <c r="CH122" s="20"/>
      <c r="CM122" s="20"/>
      <c r="CN122" s="20"/>
      <c r="CO122" s="20"/>
      <c r="CP122" s="20"/>
      <c r="CQ122" s="20"/>
      <c r="CR122" s="20"/>
      <c r="CS122" s="20"/>
      <c r="CT122" s="20"/>
      <c r="CY122" s="20"/>
      <c r="CZ122" s="20"/>
      <c r="DA122" s="20"/>
      <c r="DB122" s="20"/>
      <c r="DC122" s="20"/>
      <c r="DD122" s="20"/>
      <c r="DE122" s="20"/>
      <c r="DF122" s="20"/>
      <c r="DG122" s="20"/>
      <c r="DH122" s="20"/>
      <c r="DI122" s="20"/>
      <c r="DJ122" s="20"/>
      <c r="DK122" s="20"/>
      <c r="DL122" s="20"/>
      <c r="DM122" s="20"/>
      <c r="DN122" s="20"/>
      <c r="DO122" s="20"/>
      <c r="DP122" s="20"/>
      <c r="DQ122" s="20"/>
      <c r="DR122" s="20"/>
      <c r="DS122" s="20"/>
      <c r="DT122" s="20"/>
    </row>
    <row r="123" spans="1:124" x14ac:dyDescent="0.25">
      <c r="A123" s="23" t="s">
        <v>4201</v>
      </c>
      <c r="B123" s="23" t="s">
        <v>3967</v>
      </c>
      <c r="E123" s="20"/>
      <c r="F123" s="20"/>
      <c r="G123" s="20"/>
      <c r="H123" s="20"/>
      <c r="I123" s="20"/>
      <c r="J123" s="20"/>
      <c r="K123" s="20"/>
      <c r="L123" s="20"/>
      <c r="O123" s="20"/>
      <c r="P123" s="20"/>
      <c r="Q123" s="20"/>
      <c r="R123" s="20"/>
      <c r="S123" s="20"/>
      <c r="T123" s="20"/>
      <c r="U123" s="20"/>
      <c r="V123" s="20"/>
      <c r="W123" s="20"/>
      <c r="X123" s="20"/>
      <c r="Y123" s="20"/>
      <c r="Z123" s="20"/>
      <c r="AA123" s="20"/>
      <c r="AB123" s="20"/>
      <c r="AC123" s="20"/>
      <c r="AD123" s="20"/>
      <c r="AE123" s="20"/>
      <c r="AF123" s="20"/>
      <c r="AG123" s="20"/>
      <c r="AH123" s="20"/>
      <c r="AI123" s="20"/>
      <c r="AJ123" s="20"/>
      <c r="AK123" s="20"/>
      <c r="AL123" s="20"/>
      <c r="AM123" s="20"/>
      <c r="AN123" s="20"/>
      <c r="AO123" s="20"/>
      <c r="AP123" s="20"/>
      <c r="AQ123" s="20"/>
      <c r="AR123" s="20"/>
      <c r="AS123" s="20"/>
      <c r="AT123" s="20"/>
      <c r="AU123" s="20"/>
      <c r="AV123" s="20"/>
      <c r="AW123" s="20"/>
      <c r="AX123" s="20"/>
      <c r="AY123" s="20"/>
      <c r="AZ123" s="20"/>
      <c r="BA123" s="20"/>
      <c r="BB123" s="20"/>
      <c r="BC123" s="20"/>
      <c r="BD123" s="20"/>
      <c r="BE123" s="20"/>
      <c r="BF123" s="20"/>
      <c r="BG123" s="20"/>
      <c r="BH123" s="20"/>
      <c r="BM123" s="20"/>
      <c r="BN123" s="20"/>
      <c r="BO123" s="20"/>
      <c r="BP123" s="20"/>
      <c r="BS123" s="20"/>
      <c r="BT123" s="20"/>
      <c r="BW123" s="20"/>
      <c r="BX123" s="20"/>
      <c r="BY123" s="20"/>
      <c r="BZ123" s="20"/>
      <c r="CA123" s="20"/>
      <c r="CB123" s="20"/>
      <c r="CC123" s="20"/>
      <c r="CD123" s="20"/>
      <c r="CE123" s="20"/>
      <c r="CF123" s="20"/>
      <c r="CG123" s="20"/>
      <c r="CH123" s="20"/>
      <c r="CM123" s="20"/>
      <c r="CN123" s="20"/>
      <c r="CO123" s="20"/>
      <c r="CP123" s="20"/>
      <c r="CQ123" s="20"/>
      <c r="CR123" s="20"/>
      <c r="CS123" s="20"/>
      <c r="CT123" s="20"/>
      <c r="CY123" s="20"/>
      <c r="CZ123" s="20"/>
      <c r="DA123" s="20"/>
      <c r="DB123" s="20"/>
      <c r="DC123" s="20"/>
      <c r="DD123" s="20"/>
      <c r="DE123" s="20"/>
      <c r="DF123" s="20"/>
      <c r="DG123" s="20"/>
      <c r="DH123" s="20"/>
      <c r="DI123" s="20"/>
      <c r="DJ123" s="20"/>
      <c r="DK123" s="20"/>
      <c r="DL123" s="20"/>
      <c r="DM123" s="20"/>
      <c r="DN123" s="20"/>
      <c r="DO123" s="20"/>
      <c r="DP123" s="20"/>
      <c r="DQ123" s="20"/>
      <c r="DR123" s="20"/>
      <c r="DS123" s="20"/>
      <c r="DT123" s="20"/>
    </row>
    <row r="124" spans="1:124" x14ac:dyDescent="0.25">
      <c r="A124" s="23">
        <v>423967353</v>
      </c>
      <c r="B124" s="23" t="s">
        <v>3967</v>
      </c>
      <c r="E124" s="20"/>
      <c r="F124" s="20"/>
      <c r="G124" s="20"/>
      <c r="H124" s="20"/>
      <c r="I124" s="20"/>
      <c r="J124" s="20"/>
      <c r="K124" s="20"/>
      <c r="L124" s="20"/>
      <c r="O124" s="20"/>
      <c r="P124" s="20"/>
      <c r="Q124" s="20"/>
      <c r="R124" s="20"/>
      <c r="S124" s="20"/>
      <c r="T124" s="20"/>
      <c r="U124" s="20"/>
      <c r="V124" s="20"/>
      <c r="W124" s="20"/>
      <c r="X124" s="20"/>
      <c r="Y124" s="20"/>
      <c r="Z124" s="20"/>
      <c r="AA124" s="20"/>
      <c r="AB124" s="20"/>
      <c r="AC124" s="20"/>
      <c r="AD124" s="20"/>
      <c r="AE124" s="20"/>
      <c r="AF124" s="20"/>
      <c r="AG124" s="20"/>
      <c r="AH124" s="20"/>
      <c r="AI124" s="20"/>
      <c r="AJ124" s="20"/>
      <c r="AK124" s="20"/>
      <c r="AL124" s="20"/>
      <c r="AM124" s="20"/>
      <c r="AN124" s="20"/>
      <c r="AO124" s="20"/>
      <c r="AP124" s="20"/>
      <c r="AQ124" s="20"/>
      <c r="AR124" s="20"/>
      <c r="AS124" s="20"/>
      <c r="AT124" s="20"/>
      <c r="AU124" s="20"/>
      <c r="AV124" s="20"/>
      <c r="AW124" s="20"/>
      <c r="AX124" s="20"/>
      <c r="AY124" s="20"/>
      <c r="AZ124" s="20"/>
      <c r="BA124" s="20"/>
      <c r="BB124" s="20"/>
      <c r="BC124" s="20"/>
      <c r="BD124" s="20"/>
      <c r="BE124" s="20"/>
      <c r="BF124" s="20"/>
      <c r="BG124" s="20"/>
      <c r="BH124" s="20"/>
      <c r="BM124" s="20"/>
      <c r="BN124" s="20"/>
      <c r="BO124" s="20"/>
      <c r="BP124" s="20"/>
      <c r="BS124" s="20"/>
      <c r="BT124" s="20"/>
      <c r="BW124" s="20"/>
      <c r="BX124" s="20"/>
      <c r="BY124" s="20"/>
      <c r="BZ124" s="20"/>
      <c r="CA124" s="20"/>
      <c r="CB124" s="20"/>
      <c r="CC124" s="20"/>
      <c r="CD124" s="20"/>
      <c r="CE124" s="20"/>
      <c r="CF124" s="20"/>
      <c r="CG124" s="20"/>
      <c r="CH124" s="20"/>
      <c r="CM124" s="20"/>
      <c r="CN124" s="20"/>
      <c r="CO124" s="20"/>
      <c r="CP124" s="20"/>
      <c r="CQ124" s="20"/>
      <c r="CR124" s="20"/>
      <c r="CS124" s="20"/>
      <c r="CT124" s="20"/>
      <c r="CY124" s="20"/>
      <c r="CZ124" s="20"/>
      <c r="DA124" s="20"/>
      <c r="DB124" s="20"/>
      <c r="DC124" s="20"/>
      <c r="DD124" s="20"/>
      <c r="DE124" s="20"/>
      <c r="DF124" s="20"/>
      <c r="DG124" s="20"/>
      <c r="DH124" s="20"/>
      <c r="DI124" s="20"/>
      <c r="DJ124" s="20"/>
      <c r="DK124" s="20"/>
      <c r="DL124" s="20"/>
      <c r="DM124" s="20"/>
      <c r="DN124" s="20"/>
      <c r="DO124" s="20"/>
      <c r="DP124" s="20"/>
      <c r="DQ124" s="20"/>
      <c r="DR124" s="20"/>
      <c r="DS124" s="20"/>
      <c r="DT124" s="20"/>
    </row>
    <row r="125" spans="1:124" x14ac:dyDescent="0.25">
      <c r="A125" s="23">
        <v>424978640</v>
      </c>
      <c r="B125" s="23" t="s">
        <v>3967</v>
      </c>
      <c r="E125" s="20"/>
      <c r="F125" s="20"/>
      <c r="G125" s="20"/>
      <c r="H125" s="20"/>
      <c r="I125" s="20"/>
      <c r="J125" s="20"/>
      <c r="K125" s="20"/>
      <c r="L125" s="20"/>
      <c r="O125" s="20"/>
      <c r="P125" s="20"/>
      <c r="Q125" s="20"/>
      <c r="R125" s="20"/>
      <c r="S125" s="20"/>
      <c r="T125" s="20"/>
      <c r="U125" s="20"/>
      <c r="V125" s="20"/>
      <c r="W125" s="20"/>
      <c r="X125" s="20"/>
      <c r="Y125" s="20"/>
      <c r="Z125" s="20"/>
      <c r="AA125" s="20"/>
      <c r="AB125" s="20"/>
      <c r="AC125" s="20"/>
      <c r="AD125" s="20"/>
      <c r="AE125" s="20"/>
      <c r="AF125" s="20"/>
      <c r="AG125" s="20"/>
      <c r="AH125" s="20"/>
      <c r="AI125" s="20"/>
      <c r="AJ125" s="20"/>
      <c r="AK125" s="20"/>
      <c r="AL125" s="20"/>
      <c r="AM125" s="20"/>
      <c r="AN125" s="20"/>
      <c r="AO125" s="20"/>
      <c r="AP125" s="20"/>
      <c r="AQ125" s="20"/>
      <c r="AR125" s="20"/>
      <c r="AS125" s="20"/>
      <c r="AT125" s="20"/>
      <c r="AU125" s="20"/>
      <c r="AV125" s="20"/>
      <c r="AW125" s="20"/>
      <c r="AX125" s="20"/>
      <c r="AY125" s="20"/>
      <c r="AZ125" s="20"/>
      <c r="BA125" s="20"/>
      <c r="BB125" s="20"/>
      <c r="BC125" s="20"/>
      <c r="BD125" s="20"/>
      <c r="BE125" s="20"/>
      <c r="BF125" s="20"/>
      <c r="BG125" s="20"/>
      <c r="BH125" s="20"/>
      <c r="BM125" s="20"/>
      <c r="BN125" s="20"/>
      <c r="BO125" s="20"/>
      <c r="BP125" s="20"/>
      <c r="BS125" s="20"/>
      <c r="BT125" s="20"/>
      <c r="BW125" s="20"/>
      <c r="BX125" s="20"/>
      <c r="BY125" s="20"/>
      <c r="BZ125" s="20"/>
      <c r="CA125" s="20"/>
      <c r="CB125" s="20"/>
      <c r="CC125" s="20"/>
      <c r="CD125" s="20"/>
      <c r="CE125" s="20"/>
      <c r="CF125" s="20"/>
      <c r="CG125" s="20"/>
      <c r="CH125" s="20"/>
      <c r="CM125" s="20"/>
      <c r="CN125" s="20"/>
      <c r="CO125" s="20"/>
      <c r="CP125" s="20"/>
      <c r="CQ125" s="20"/>
      <c r="CR125" s="20"/>
      <c r="CS125" s="20"/>
      <c r="CT125" s="20"/>
      <c r="CY125" s="20"/>
      <c r="CZ125" s="20"/>
      <c r="DA125" s="20"/>
      <c r="DB125" s="20"/>
      <c r="DC125" s="20"/>
      <c r="DD125" s="20"/>
      <c r="DE125" s="20"/>
      <c r="DF125" s="20"/>
      <c r="DG125" s="20"/>
      <c r="DH125" s="20"/>
      <c r="DI125" s="20"/>
      <c r="DJ125" s="20"/>
      <c r="DK125" s="20"/>
      <c r="DL125" s="20"/>
      <c r="DM125" s="20"/>
      <c r="DN125" s="20"/>
      <c r="DO125" s="20"/>
      <c r="DP125" s="20"/>
      <c r="DQ125" s="20"/>
      <c r="DR125" s="20"/>
      <c r="DS125" s="20"/>
      <c r="DT125" s="20"/>
    </row>
    <row r="126" spans="1:124" x14ac:dyDescent="0.25">
      <c r="A126" s="23">
        <v>424978643</v>
      </c>
      <c r="B126" s="23" t="s">
        <v>3967</v>
      </c>
      <c r="E126" s="20"/>
      <c r="F126" s="20"/>
      <c r="G126" s="20"/>
      <c r="H126" s="20"/>
      <c r="I126" s="20"/>
      <c r="J126" s="20"/>
      <c r="K126" s="20"/>
      <c r="L126" s="20"/>
      <c r="O126" s="20"/>
      <c r="P126" s="20"/>
      <c r="Q126" s="20"/>
      <c r="R126" s="20"/>
      <c r="S126" s="20"/>
      <c r="T126" s="20"/>
      <c r="U126" s="20"/>
      <c r="V126" s="20"/>
      <c r="W126" s="20"/>
      <c r="X126" s="20"/>
      <c r="Y126" s="20"/>
      <c r="Z126" s="20"/>
      <c r="AA126" s="20"/>
      <c r="AB126" s="20"/>
      <c r="AC126" s="20"/>
      <c r="AD126" s="20"/>
      <c r="AE126" s="20"/>
      <c r="AF126" s="20"/>
      <c r="AG126" s="20"/>
      <c r="AH126" s="20"/>
      <c r="AI126" s="20"/>
      <c r="AJ126" s="20"/>
      <c r="AK126" s="20"/>
      <c r="AL126" s="20"/>
      <c r="AM126" s="20"/>
      <c r="AN126" s="20"/>
      <c r="AO126" s="20"/>
      <c r="AP126" s="20"/>
      <c r="AQ126" s="20"/>
      <c r="AR126" s="20"/>
      <c r="AS126" s="20"/>
      <c r="AT126" s="20"/>
      <c r="AU126" s="20"/>
      <c r="AV126" s="20"/>
      <c r="AW126" s="20"/>
      <c r="AX126" s="20"/>
      <c r="AY126" s="20"/>
      <c r="AZ126" s="20"/>
      <c r="BA126" s="20"/>
      <c r="BB126" s="20"/>
      <c r="BC126" s="20"/>
      <c r="BD126" s="20"/>
      <c r="BE126" s="20"/>
      <c r="BF126" s="20"/>
      <c r="BG126" s="20"/>
      <c r="BH126" s="20"/>
      <c r="BM126" s="20"/>
      <c r="BN126" s="20"/>
      <c r="BO126" s="20"/>
      <c r="BP126" s="20"/>
      <c r="BS126" s="20"/>
      <c r="BT126" s="20"/>
      <c r="BW126" s="20"/>
      <c r="BX126" s="20"/>
      <c r="BY126" s="20"/>
      <c r="BZ126" s="20"/>
      <c r="CA126" s="20"/>
      <c r="CB126" s="20"/>
      <c r="CC126" s="20"/>
      <c r="CD126" s="20"/>
      <c r="CE126" s="20"/>
      <c r="CF126" s="20"/>
      <c r="CG126" s="20"/>
      <c r="CH126" s="20"/>
      <c r="CM126" s="20"/>
      <c r="CN126" s="20"/>
      <c r="CO126" s="20"/>
      <c r="CP126" s="20"/>
      <c r="CQ126" s="20"/>
      <c r="CR126" s="20"/>
      <c r="CS126" s="20"/>
      <c r="CT126" s="20"/>
      <c r="CY126" s="20"/>
      <c r="CZ126" s="20"/>
      <c r="DA126" s="20"/>
      <c r="DB126" s="20"/>
      <c r="DC126" s="20"/>
      <c r="DD126" s="20"/>
      <c r="DE126" s="20"/>
      <c r="DF126" s="20"/>
      <c r="DG126" s="20"/>
      <c r="DH126" s="20"/>
      <c r="DI126" s="20"/>
      <c r="DJ126" s="20"/>
      <c r="DK126" s="20"/>
      <c r="DL126" s="20"/>
      <c r="DM126" s="20"/>
      <c r="DN126" s="20"/>
      <c r="DO126" s="20"/>
      <c r="DP126" s="20"/>
      <c r="DQ126" s="20"/>
      <c r="DR126" s="20"/>
      <c r="DS126" s="20"/>
      <c r="DT126" s="20"/>
    </row>
    <row r="127" spans="1:124" x14ac:dyDescent="0.25">
      <c r="A127" s="23">
        <v>423967356</v>
      </c>
      <c r="B127" s="23" t="s">
        <v>3967</v>
      </c>
      <c r="E127" s="20"/>
      <c r="F127" s="20"/>
      <c r="G127" s="20"/>
      <c r="H127" s="20"/>
      <c r="I127" s="20"/>
      <c r="J127" s="20"/>
      <c r="K127" s="20"/>
      <c r="L127" s="20"/>
      <c r="O127" s="20"/>
      <c r="P127" s="20"/>
      <c r="Q127" s="20"/>
      <c r="R127" s="20"/>
      <c r="S127" s="20"/>
      <c r="T127" s="20"/>
      <c r="U127" s="20"/>
      <c r="V127" s="20"/>
      <c r="W127" s="20"/>
      <c r="X127" s="20"/>
      <c r="Y127" s="20"/>
      <c r="Z127" s="20"/>
      <c r="AA127" s="20"/>
      <c r="AB127" s="20"/>
      <c r="AC127" s="20"/>
      <c r="AD127" s="20"/>
      <c r="AE127" s="20"/>
      <c r="AF127" s="20"/>
      <c r="AG127" s="20"/>
      <c r="AH127" s="20"/>
      <c r="AI127" s="20"/>
      <c r="AJ127" s="20"/>
      <c r="AK127" s="20"/>
      <c r="AL127" s="20"/>
      <c r="AM127" s="20"/>
      <c r="AN127" s="20"/>
      <c r="AO127" s="20"/>
      <c r="AP127" s="20"/>
      <c r="AQ127" s="20"/>
      <c r="AR127" s="20"/>
      <c r="AS127" s="20"/>
      <c r="AT127" s="20"/>
      <c r="AU127" s="20"/>
      <c r="AV127" s="20"/>
      <c r="AW127" s="20"/>
      <c r="AX127" s="20"/>
      <c r="AY127" s="20"/>
      <c r="AZ127" s="20"/>
      <c r="BA127" s="20"/>
      <c r="BB127" s="20"/>
      <c r="BC127" s="20"/>
      <c r="BD127" s="20"/>
      <c r="BE127" s="20"/>
      <c r="BF127" s="20"/>
      <c r="BG127" s="20"/>
      <c r="BH127" s="20"/>
      <c r="BM127" s="20"/>
      <c r="BN127" s="20"/>
      <c r="BO127" s="20"/>
      <c r="BP127" s="20"/>
      <c r="BS127" s="20"/>
      <c r="BT127" s="20"/>
      <c r="BW127" s="20"/>
      <c r="BX127" s="20"/>
      <c r="BY127" s="20"/>
      <c r="BZ127" s="20"/>
      <c r="CA127" s="20"/>
      <c r="CB127" s="20"/>
      <c r="CC127" s="20"/>
      <c r="CD127" s="20"/>
      <c r="CE127" s="20"/>
      <c r="CF127" s="20"/>
      <c r="CG127" s="20"/>
      <c r="CH127" s="20"/>
      <c r="CM127" s="20"/>
      <c r="CN127" s="20"/>
      <c r="CO127" s="20"/>
      <c r="CP127" s="20"/>
      <c r="CQ127" s="20"/>
      <c r="CR127" s="20"/>
      <c r="CS127" s="20"/>
      <c r="CT127" s="20"/>
      <c r="CY127" s="20"/>
      <c r="CZ127" s="20"/>
      <c r="DA127" s="20"/>
      <c r="DB127" s="20"/>
      <c r="DC127" s="20"/>
      <c r="DD127" s="20"/>
      <c r="DE127" s="20"/>
      <c r="DF127" s="20"/>
      <c r="DG127" s="20"/>
      <c r="DH127" s="20"/>
      <c r="DI127" s="20"/>
      <c r="DJ127" s="20"/>
      <c r="DK127" s="20"/>
      <c r="DL127" s="20"/>
      <c r="DM127" s="20"/>
      <c r="DN127" s="20"/>
      <c r="DO127" s="20"/>
      <c r="DP127" s="20"/>
      <c r="DQ127" s="20"/>
      <c r="DR127" s="20"/>
      <c r="DS127" s="20"/>
      <c r="DT127" s="20"/>
    </row>
    <row r="128" spans="1:124" x14ac:dyDescent="0.25">
      <c r="A128" s="23" t="s">
        <v>4244</v>
      </c>
      <c r="B128" s="23" t="s">
        <v>3967</v>
      </c>
      <c r="E128" s="20"/>
      <c r="F128" s="20"/>
      <c r="G128" s="20"/>
      <c r="H128" s="20"/>
      <c r="I128" s="20"/>
      <c r="J128" s="20"/>
      <c r="K128" s="20"/>
      <c r="L128" s="20"/>
      <c r="O128" s="20"/>
      <c r="P128" s="20"/>
      <c r="Q128" s="20"/>
      <c r="R128" s="20"/>
      <c r="S128" s="20"/>
      <c r="T128" s="20"/>
      <c r="U128" s="20"/>
      <c r="V128" s="20"/>
      <c r="W128" s="20"/>
      <c r="X128" s="20"/>
      <c r="Y128" s="20"/>
      <c r="Z128" s="20"/>
      <c r="AA128" s="20"/>
      <c r="AB128" s="20"/>
      <c r="AC128" s="20"/>
      <c r="AD128" s="20"/>
      <c r="AE128" s="20"/>
      <c r="AF128" s="20"/>
      <c r="AG128" s="20"/>
      <c r="AH128" s="20"/>
      <c r="AI128" s="20"/>
      <c r="AJ128" s="20"/>
      <c r="AK128" s="20"/>
      <c r="AL128" s="20"/>
      <c r="AM128" s="20"/>
      <c r="AN128" s="20"/>
      <c r="AO128" s="20"/>
      <c r="AP128" s="20"/>
      <c r="AQ128" s="20"/>
      <c r="AR128" s="20"/>
      <c r="AS128" s="20"/>
      <c r="AT128" s="20"/>
      <c r="AU128" s="20"/>
      <c r="AV128" s="20"/>
      <c r="AW128" s="20"/>
      <c r="AX128" s="20"/>
      <c r="AY128" s="20"/>
      <c r="AZ128" s="20"/>
      <c r="BA128" s="20"/>
      <c r="BB128" s="20"/>
      <c r="BC128" s="20"/>
      <c r="BD128" s="20"/>
      <c r="BE128" s="20"/>
      <c r="BF128" s="20"/>
      <c r="BG128" s="20"/>
      <c r="BH128" s="20"/>
      <c r="BM128" s="20"/>
      <c r="BN128" s="20"/>
      <c r="BO128" s="20"/>
      <c r="BP128" s="20"/>
      <c r="BS128" s="20"/>
      <c r="BT128" s="20"/>
      <c r="BU128" s="20"/>
      <c r="BV128" s="20"/>
      <c r="BW128" s="20"/>
      <c r="BX128" s="20"/>
      <c r="BY128" s="20"/>
      <c r="BZ128" s="20"/>
      <c r="CA128" s="20"/>
      <c r="CB128" s="20"/>
      <c r="CC128" s="20"/>
      <c r="CD128" s="20"/>
      <c r="CE128" s="20"/>
      <c r="CF128" s="20"/>
      <c r="CG128" s="20"/>
      <c r="CH128" s="20"/>
      <c r="CM128" s="20"/>
      <c r="CN128" s="20"/>
      <c r="CO128" s="20"/>
      <c r="CP128" s="20"/>
      <c r="CQ128" s="20"/>
      <c r="CR128" s="20"/>
      <c r="CS128" s="20"/>
      <c r="CT128" s="20"/>
      <c r="CY128" s="20"/>
      <c r="CZ128" s="20"/>
      <c r="DA128" s="20"/>
      <c r="DB128" s="20"/>
      <c r="DC128" s="20"/>
      <c r="DD128" s="20"/>
      <c r="DE128" s="20"/>
      <c r="DF128" s="20"/>
      <c r="DG128" s="20"/>
      <c r="DH128" s="20"/>
      <c r="DI128" s="20"/>
      <c r="DJ128" s="20"/>
      <c r="DK128" s="20"/>
      <c r="DL128" s="20"/>
      <c r="DM128" s="20"/>
      <c r="DN128" s="20"/>
      <c r="DO128" s="20"/>
      <c r="DP128" s="20"/>
      <c r="DQ128" s="20"/>
      <c r="DR128" s="20"/>
      <c r="DS128" s="20"/>
      <c r="DT128" s="20"/>
    </row>
    <row r="129" spans="1:124" x14ac:dyDescent="0.25">
      <c r="A129" s="23" t="s">
        <v>4261</v>
      </c>
      <c r="B129" s="23" t="s">
        <v>3967</v>
      </c>
      <c r="E129" s="20"/>
      <c r="F129" s="20"/>
      <c r="G129" s="20"/>
      <c r="H129" s="20"/>
      <c r="I129" s="20"/>
      <c r="J129" s="20"/>
      <c r="K129" s="20"/>
      <c r="L129" s="20"/>
      <c r="O129" s="20"/>
      <c r="P129" s="20"/>
      <c r="Q129" s="20"/>
      <c r="R129" s="20"/>
      <c r="S129" s="20"/>
      <c r="T129" s="20"/>
      <c r="U129" s="20"/>
      <c r="V129" s="20"/>
      <c r="W129" s="20"/>
      <c r="X129" s="20"/>
      <c r="Y129" s="20"/>
      <c r="Z129" s="20"/>
      <c r="AA129" s="20"/>
      <c r="AB129" s="20"/>
      <c r="AC129" s="20"/>
      <c r="AD129" s="20"/>
      <c r="AE129" s="20"/>
      <c r="AF129" s="20"/>
      <c r="AG129" s="20"/>
      <c r="AH129" s="20"/>
      <c r="AI129" s="20"/>
      <c r="AJ129" s="20"/>
      <c r="AK129" s="20"/>
      <c r="AL129" s="20"/>
      <c r="AM129" s="20"/>
      <c r="AN129" s="20"/>
      <c r="AO129" s="20"/>
      <c r="AP129" s="20"/>
      <c r="AQ129" s="20"/>
      <c r="AR129" s="20"/>
      <c r="AS129" s="20"/>
      <c r="AT129" s="20"/>
      <c r="AU129" s="20"/>
      <c r="AV129" s="20"/>
      <c r="AW129" s="20"/>
      <c r="AX129" s="20"/>
      <c r="AY129" s="20"/>
      <c r="AZ129" s="20"/>
      <c r="BA129" s="20"/>
      <c r="BB129" s="20"/>
      <c r="BC129" s="20"/>
      <c r="BD129" s="20"/>
      <c r="BE129" s="20"/>
      <c r="BF129" s="20"/>
      <c r="BG129" s="20"/>
      <c r="BH129" s="20"/>
      <c r="BM129" s="20"/>
      <c r="BN129" s="20"/>
      <c r="BO129" s="20"/>
      <c r="BP129" s="20"/>
      <c r="BS129" s="20"/>
      <c r="BT129" s="20"/>
      <c r="BU129" s="20"/>
      <c r="BV129" s="20"/>
      <c r="BW129" s="20"/>
      <c r="BX129" s="20"/>
      <c r="BY129" s="20"/>
      <c r="BZ129" s="20"/>
      <c r="CA129" s="20"/>
      <c r="CB129" s="20"/>
      <c r="CC129" s="20"/>
      <c r="CD129" s="20"/>
      <c r="CE129" s="20"/>
      <c r="CF129" s="20"/>
      <c r="CG129" s="20"/>
      <c r="CH129" s="20"/>
      <c r="CM129" s="20"/>
      <c r="CN129" s="20"/>
      <c r="CO129" s="20"/>
      <c r="CP129" s="20"/>
      <c r="CQ129" s="20"/>
      <c r="CR129" s="20"/>
      <c r="CS129" s="20"/>
      <c r="CT129" s="20"/>
      <c r="CY129" s="20"/>
      <c r="CZ129" s="20"/>
      <c r="DA129" s="20"/>
      <c r="DB129" s="20"/>
      <c r="DC129" s="20"/>
      <c r="DD129" s="20"/>
      <c r="DE129" s="20"/>
      <c r="DF129" s="20"/>
      <c r="DG129" s="20"/>
      <c r="DH129" s="20"/>
      <c r="DI129" s="20"/>
      <c r="DJ129" s="20"/>
      <c r="DK129" s="20"/>
      <c r="DL129" s="20"/>
      <c r="DM129" s="20"/>
      <c r="DN129" s="20"/>
      <c r="DO129" s="20"/>
      <c r="DP129" s="20"/>
      <c r="DQ129" s="20"/>
      <c r="DR129" s="20"/>
      <c r="DS129" s="20"/>
      <c r="DT129" s="20"/>
    </row>
    <row r="130" spans="1:124" x14ac:dyDescent="0.25">
      <c r="A130" s="23">
        <v>423967352</v>
      </c>
      <c r="B130" s="23" t="s">
        <v>3967</v>
      </c>
      <c r="E130" s="20"/>
      <c r="F130" s="20"/>
      <c r="G130" s="20"/>
      <c r="H130" s="20"/>
      <c r="I130" s="20"/>
      <c r="J130" s="20"/>
      <c r="K130" s="20"/>
      <c r="L130" s="20"/>
      <c r="O130" s="20"/>
      <c r="P130" s="20"/>
      <c r="Q130" s="20"/>
      <c r="R130" s="20"/>
      <c r="S130" s="20"/>
      <c r="T130" s="20"/>
      <c r="U130" s="20"/>
      <c r="V130" s="20"/>
      <c r="W130" s="20"/>
      <c r="X130" s="20"/>
      <c r="Y130" s="20"/>
      <c r="Z130" s="20"/>
      <c r="AA130" s="20"/>
      <c r="AB130" s="20"/>
      <c r="AC130" s="20"/>
      <c r="AD130" s="20"/>
      <c r="AE130" s="20"/>
      <c r="AF130" s="20"/>
      <c r="AG130" s="20"/>
      <c r="AH130" s="20"/>
      <c r="AI130" s="20"/>
      <c r="AJ130" s="20"/>
      <c r="AK130" s="20"/>
      <c r="AL130" s="20"/>
      <c r="AM130" s="20"/>
      <c r="AN130" s="20"/>
      <c r="AO130" s="20"/>
      <c r="AP130" s="20"/>
      <c r="AQ130" s="20"/>
      <c r="AR130" s="20"/>
      <c r="AS130" s="20"/>
      <c r="AT130" s="20"/>
      <c r="AU130" s="20"/>
      <c r="AV130" s="20"/>
      <c r="AW130" s="20"/>
      <c r="AX130" s="20"/>
      <c r="AY130" s="20"/>
      <c r="AZ130" s="20"/>
      <c r="BA130" s="20"/>
      <c r="BB130" s="20"/>
      <c r="BC130" s="20"/>
      <c r="BD130" s="20"/>
      <c r="BE130" s="20"/>
      <c r="BF130" s="20"/>
      <c r="BG130" s="20"/>
      <c r="BH130" s="20"/>
      <c r="BM130" s="20"/>
      <c r="BN130" s="20"/>
      <c r="BO130" s="20"/>
      <c r="BP130" s="20"/>
      <c r="BS130" s="20"/>
      <c r="BT130" s="20"/>
      <c r="BU130" s="20"/>
      <c r="BV130" s="20"/>
      <c r="BW130" s="20"/>
      <c r="BX130" s="20"/>
      <c r="BY130" s="20"/>
      <c r="BZ130" s="20"/>
      <c r="CA130" s="20"/>
      <c r="CB130" s="20"/>
      <c r="CC130" s="20"/>
      <c r="CD130" s="20"/>
      <c r="CE130" s="20"/>
      <c r="CF130" s="20"/>
      <c r="CG130" s="20"/>
      <c r="CH130" s="20"/>
      <c r="CM130" s="20"/>
      <c r="CN130" s="20"/>
      <c r="CO130" s="20"/>
      <c r="CP130" s="20"/>
      <c r="CQ130" s="20"/>
      <c r="CR130" s="20"/>
      <c r="CS130" s="20"/>
      <c r="CT130" s="20"/>
      <c r="CY130" s="20"/>
      <c r="CZ130" s="20"/>
      <c r="DA130" s="20"/>
      <c r="DB130" s="20"/>
      <c r="DC130" s="20"/>
      <c r="DD130" s="20"/>
      <c r="DE130" s="20"/>
      <c r="DF130" s="20"/>
      <c r="DG130" s="20"/>
      <c r="DH130" s="20"/>
      <c r="DI130" s="20"/>
      <c r="DJ130" s="20"/>
      <c r="DK130" s="20"/>
      <c r="DL130" s="20"/>
      <c r="DM130" s="20"/>
      <c r="DN130" s="20"/>
      <c r="DO130" s="20"/>
      <c r="DP130" s="20"/>
      <c r="DQ130" s="20"/>
      <c r="DR130" s="20"/>
      <c r="DS130" s="20"/>
      <c r="DT130" s="20"/>
    </row>
    <row r="131" spans="1:124" x14ac:dyDescent="0.25">
      <c r="A131" s="23" t="s">
        <v>4282</v>
      </c>
      <c r="B131" s="23" t="s">
        <v>3967</v>
      </c>
      <c r="E131" s="20"/>
      <c r="F131" s="20"/>
      <c r="G131" s="20"/>
      <c r="H131" s="20"/>
      <c r="I131" s="20"/>
      <c r="J131" s="20"/>
      <c r="K131" s="20"/>
      <c r="L131" s="20"/>
      <c r="O131" s="20"/>
      <c r="P131" s="20"/>
      <c r="Q131" s="20"/>
      <c r="R131" s="20"/>
      <c r="S131" s="20"/>
      <c r="T131" s="20"/>
      <c r="U131" s="20"/>
      <c r="V131" s="20"/>
      <c r="W131" s="20"/>
      <c r="X131" s="20"/>
      <c r="Y131" s="20"/>
      <c r="Z131" s="20"/>
      <c r="AA131" s="20"/>
      <c r="AB131" s="20"/>
      <c r="AC131" s="20"/>
      <c r="AD131" s="20"/>
      <c r="AE131" s="20"/>
      <c r="AF131" s="20"/>
      <c r="AG131" s="20"/>
      <c r="AH131" s="20"/>
      <c r="AI131" s="20"/>
      <c r="AJ131" s="20"/>
      <c r="AK131" s="20"/>
      <c r="AL131" s="20"/>
      <c r="AM131" s="20"/>
      <c r="AN131" s="20"/>
      <c r="AO131" s="20"/>
      <c r="AP131" s="20"/>
      <c r="AQ131" s="20"/>
      <c r="AR131" s="20"/>
      <c r="AS131" s="20"/>
      <c r="AT131" s="20"/>
      <c r="AU131" s="20"/>
      <c r="AV131" s="20"/>
      <c r="AW131" s="20"/>
      <c r="AX131" s="20"/>
      <c r="AY131" s="20"/>
      <c r="AZ131" s="20"/>
      <c r="BA131" s="20"/>
      <c r="BB131" s="20"/>
      <c r="BC131" s="20"/>
      <c r="BD131" s="20"/>
      <c r="BE131" s="20"/>
      <c r="BF131" s="20"/>
      <c r="BG131" s="20"/>
      <c r="BH131" s="20"/>
      <c r="BM131" s="20"/>
      <c r="BN131" s="20"/>
      <c r="BO131" s="20"/>
      <c r="BP131" s="20"/>
      <c r="BS131" s="20"/>
      <c r="BT131" s="20"/>
      <c r="BU131" s="20"/>
      <c r="BV131" s="20"/>
      <c r="BW131" s="20"/>
      <c r="BX131" s="20"/>
      <c r="BY131" s="20"/>
      <c r="BZ131" s="20"/>
      <c r="CA131" s="20"/>
      <c r="CB131" s="20"/>
      <c r="CC131" s="20"/>
      <c r="CD131" s="20"/>
      <c r="CE131" s="20"/>
      <c r="CF131" s="20"/>
      <c r="CG131" s="20"/>
      <c r="CH131" s="20"/>
      <c r="CM131" s="20"/>
      <c r="CN131" s="20"/>
      <c r="CO131" s="20"/>
      <c r="CP131" s="20"/>
      <c r="CQ131" s="20"/>
      <c r="CR131" s="20"/>
      <c r="CS131" s="20"/>
      <c r="CT131" s="20"/>
      <c r="CY131" s="20"/>
      <c r="CZ131" s="20"/>
      <c r="DA131" s="20"/>
      <c r="DB131" s="20"/>
      <c r="DC131" s="20"/>
      <c r="DD131" s="20"/>
      <c r="DE131" s="20"/>
      <c r="DF131" s="20"/>
      <c r="DG131" s="20"/>
      <c r="DH131" s="20"/>
      <c r="DI131" s="20"/>
      <c r="DJ131" s="20"/>
      <c r="DK131" s="20"/>
      <c r="DL131" s="20"/>
      <c r="DM131" s="20"/>
      <c r="DN131" s="20"/>
      <c r="DO131" s="20"/>
      <c r="DP131" s="20"/>
      <c r="DQ131" s="20"/>
      <c r="DR131" s="20"/>
      <c r="DS131" s="20"/>
      <c r="DT131" s="20"/>
    </row>
    <row r="132" spans="1:124" x14ac:dyDescent="0.25">
      <c r="A132" s="23" t="s">
        <v>4299</v>
      </c>
      <c r="B132" s="23" t="s">
        <v>3967</v>
      </c>
      <c r="E132" s="20"/>
      <c r="F132" s="20"/>
      <c r="G132" s="20"/>
      <c r="H132" s="20"/>
      <c r="I132" s="20"/>
      <c r="J132" s="20"/>
      <c r="K132" s="20"/>
      <c r="L132" s="20"/>
      <c r="O132" s="20"/>
      <c r="P132" s="20"/>
      <c r="Q132" s="20"/>
      <c r="R132" s="20"/>
      <c r="S132" s="20"/>
      <c r="T132" s="20"/>
      <c r="U132" s="20"/>
      <c r="V132" s="20"/>
      <c r="W132" s="20"/>
      <c r="X132" s="20"/>
      <c r="Y132" s="20"/>
      <c r="Z132" s="20"/>
      <c r="AA132" s="20"/>
      <c r="AB132" s="20"/>
      <c r="AC132" s="20"/>
      <c r="AD132" s="20"/>
      <c r="AE132" s="20"/>
      <c r="AF132" s="20"/>
      <c r="AG132" s="20"/>
      <c r="AH132" s="20"/>
      <c r="AI132" s="20"/>
      <c r="AJ132" s="20"/>
      <c r="AK132" s="20"/>
      <c r="AL132" s="20"/>
      <c r="AM132" s="20"/>
      <c r="AN132" s="20"/>
      <c r="AO132" s="20"/>
      <c r="AP132" s="20"/>
      <c r="AQ132" s="20"/>
      <c r="AR132" s="20"/>
      <c r="AS132" s="20"/>
      <c r="AT132" s="20"/>
      <c r="AU132" s="20"/>
      <c r="AV132" s="20"/>
      <c r="AW132" s="20"/>
      <c r="AX132" s="20"/>
      <c r="AY132" s="20"/>
      <c r="AZ132" s="20"/>
      <c r="BA132" s="20"/>
      <c r="BB132" s="20"/>
      <c r="BC132" s="20"/>
      <c r="BD132" s="20"/>
      <c r="BE132" s="20"/>
      <c r="BF132" s="20"/>
      <c r="BG132" s="20"/>
      <c r="BH132" s="20"/>
      <c r="BM132" s="20"/>
      <c r="BN132" s="20"/>
      <c r="BO132" s="20"/>
      <c r="BP132" s="20"/>
      <c r="BS132" s="20"/>
      <c r="BT132" s="20"/>
      <c r="BU132" s="20"/>
      <c r="BV132" s="20"/>
      <c r="BW132" s="20"/>
      <c r="BX132" s="20"/>
      <c r="BY132" s="20"/>
      <c r="BZ132" s="20"/>
      <c r="CA132" s="20"/>
      <c r="CB132" s="20"/>
      <c r="CC132" s="20"/>
      <c r="CD132" s="20"/>
      <c r="CE132" s="20"/>
      <c r="CF132" s="20"/>
      <c r="CG132" s="20"/>
      <c r="CH132" s="20"/>
      <c r="CM132" s="20"/>
      <c r="CN132" s="20"/>
      <c r="CO132" s="20"/>
      <c r="CP132" s="20"/>
      <c r="CQ132" s="20"/>
      <c r="CR132" s="20"/>
      <c r="CS132" s="20"/>
      <c r="CT132" s="20"/>
      <c r="CY132" s="20"/>
      <c r="CZ132" s="20"/>
      <c r="DA132" s="20"/>
      <c r="DB132" s="20"/>
      <c r="DC132" s="20"/>
      <c r="DD132" s="20"/>
      <c r="DE132" s="20"/>
      <c r="DF132" s="20"/>
      <c r="DG132" s="20"/>
      <c r="DH132" s="20"/>
      <c r="DI132" s="20"/>
      <c r="DJ132" s="20"/>
      <c r="DK132" s="20"/>
      <c r="DL132" s="20"/>
      <c r="DM132" s="20"/>
      <c r="DN132" s="20"/>
      <c r="DO132" s="20"/>
      <c r="DP132" s="20"/>
      <c r="DQ132" s="20"/>
      <c r="DR132" s="20"/>
      <c r="DS132" s="20"/>
      <c r="DT132" s="20"/>
    </row>
    <row r="133" spans="1:124" x14ac:dyDescent="0.25">
      <c r="A133" s="23" t="s">
        <v>4171</v>
      </c>
      <c r="B133" s="23" t="s">
        <v>3967</v>
      </c>
      <c r="E133" s="20"/>
      <c r="F133" s="20"/>
      <c r="G133" s="20"/>
      <c r="H133" s="20"/>
      <c r="I133" s="20"/>
      <c r="J133" s="20"/>
      <c r="K133" s="20"/>
      <c r="L133" s="20"/>
      <c r="O133" s="20"/>
      <c r="P133" s="20"/>
      <c r="Q133" s="20"/>
      <c r="R133" s="20"/>
      <c r="S133" s="20"/>
      <c r="T133" s="20"/>
      <c r="U133" s="20"/>
      <c r="V133" s="20"/>
      <c r="W133" s="20"/>
      <c r="X133" s="20"/>
      <c r="Y133" s="20"/>
      <c r="Z133" s="20"/>
      <c r="AA133" s="20"/>
      <c r="AB133" s="20"/>
      <c r="AC133" s="20"/>
      <c r="AD133" s="20"/>
      <c r="AE133" s="20"/>
      <c r="AF133" s="20"/>
      <c r="AG133" s="20"/>
      <c r="AH133" s="20"/>
      <c r="AI133" s="20"/>
      <c r="AJ133" s="20"/>
      <c r="AK133" s="20"/>
      <c r="AL133" s="20"/>
      <c r="AM133" s="20"/>
      <c r="AN133" s="20"/>
      <c r="AO133" s="20"/>
      <c r="AP133" s="20"/>
      <c r="AQ133" s="20"/>
      <c r="AR133" s="20"/>
      <c r="AS133" s="20"/>
      <c r="AT133" s="20"/>
      <c r="AU133" s="20"/>
      <c r="AV133" s="20"/>
      <c r="AW133" s="20"/>
      <c r="AX133" s="20"/>
      <c r="AY133" s="20"/>
      <c r="AZ133" s="20"/>
      <c r="BA133" s="20"/>
      <c r="BB133" s="20"/>
      <c r="BC133" s="20"/>
      <c r="BD133" s="20"/>
      <c r="BE133" s="20"/>
      <c r="BF133" s="20"/>
      <c r="BG133" s="20"/>
      <c r="BH133" s="20"/>
      <c r="BM133" s="20"/>
      <c r="BN133" s="20"/>
      <c r="BO133" s="20"/>
      <c r="BP133" s="20"/>
      <c r="BS133" s="20"/>
      <c r="BT133" s="20"/>
      <c r="BU133" s="20"/>
      <c r="BV133" s="20"/>
      <c r="BW133" s="20"/>
      <c r="BX133" s="20"/>
      <c r="BY133" s="20"/>
      <c r="BZ133" s="20"/>
      <c r="CA133" s="20"/>
      <c r="CB133" s="20"/>
      <c r="CC133" s="20"/>
      <c r="CD133" s="20"/>
      <c r="CE133" s="20"/>
      <c r="CF133" s="20"/>
      <c r="CG133" s="20"/>
      <c r="CH133" s="20"/>
      <c r="CM133" s="20"/>
      <c r="CN133" s="20"/>
      <c r="CO133" s="20"/>
      <c r="CP133" s="20"/>
      <c r="CQ133" s="20"/>
      <c r="CR133" s="20"/>
      <c r="CS133" s="20"/>
      <c r="CT133" s="20"/>
      <c r="CY133" s="20"/>
      <c r="CZ133" s="20"/>
      <c r="DA133" s="20"/>
      <c r="DB133" s="20"/>
      <c r="DC133" s="20"/>
      <c r="DD133" s="20"/>
      <c r="DE133" s="20"/>
      <c r="DF133" s="20"/>
      <c r="DG133" s="20"/>
      <c r="DH133" s="20"/>
      <c r="DI133" s="20"/>
      <c r="DJ133" s="20"/>
      <c r="DK133" s="20"/>
      <c r="DL133" s="20"/>
      <c r="DM133" s="20"/>
      <c r="DN133" s="20"/>
      <c r="DO133" s="20"/>
      <c r="DP133" s="20"/>
      <c r="DQ133" s="20"/>
      <c r="DR133" s="20"/>
      <c r="DS133" s="20"/>
      <c r="DT133" s="20"/>
    </row>
    <row r="134" spans="1:124" x14ac:dyDescent="0.25">
      <c r="A134" s="23" t="s">
        <v>4323</v>
      </c>
      <c r="B134" s="23" t="s">
        <v>3967</v>
      </c>
      <c r="E134" s="20"/>
      <c r="F134" s="20"/>
      <c r="G134" s="20"/>
      <c r="H134" s="20"/>
      <c r="I134" s="20"/>
      <c r="J134" s="20"/>
      <c r="K134" s="20"/>
      <c r="L134" s="20"/>
      <c r="O134" s="20"/>
      <c r="P134" s="20"/>
      <c r="Q134" s="20"/>
      <c r="R134" s="20"/>
      <c r="S134" s="20"/>
      <c r="T134" s="20"/>
      <c r="U134" s="20"/>
      <c r="V134" s="20"/>
      <c r="W134" s="20"/>
      <c r="X134" s="20"/>
      <c r="Y134" s="20"/>
      <c r="Z134" s="20"/>
      <c r="AA134" s="20"/>
      <c r="AB134" s="20"/>
      <c r="AC134" s="20"/>
      <c r="AD134" s="20"/>
      <c r="AE134" s="20"/>
      <c r="AF134" s="20"/>
      <c r="AG134" s="20"/>
      <c r="AH134" s="20"/>
      <c r="AI134" s="20"/>
      <c r="AJ134" s="20"/>
      <c r="AK134" s="20"/>
      <c r="AL134" s="20"/>
      <c r="AM134" s="20"/>
      <c r="AN134" s="20"/>
      <c r="AO134" s="20"/>
      <c r="AP134" s="20"/>
      <c r="AQ134" s="20"/>
      <c r="AR134" s="20"/>
      <c r="AS134" s="20"/>
      <c r="AT134" s="20"/>
      <c r="AU134" s="20"/>
      <c r="AV134" s="20"/>
      <c r="AW134" s="20"/>
      <c r="AX134" s="20"/>
      <c r="AY134" s="20"/>
      <c r="AZ134" s="20"/>
      <c r="BA134" s="20"/>
      <c r="BB134" s="20"/>
      <c r="BC134" s="20"/>
      <c r="BD134" s="20"/>
      <c r="BE134" s="20"/>
      <c r="BF134" s="20"/>
      <c r="BG134" s="20"/>
      <c r="BH134" s="20"/>
      <c r="BM134" s="20"/>
      <c r="BN134" s="20"/>
      <c r="BO134" s="20"/>
      <c r="BP134" s="20"/>
      <c r="BS134" s="20"/>
      <c r="BT134" s="20"/>
      <c r="BU134" s="20"/>
      <c r="BV134" s="20"/>
      <c r="BW134" s="20"/>
      <c r="BX134" s="20"/>
      <c r="BY134" s="20"/>
      <c r="BZ134" s="20"/>
      <c r="CA134" s="20"/>
      <c r="CB134" s="20"/>
      <c r="CC134" s="20"/>
      <c r="CD134" s="20"/>
      <c r="CE134" s="20"/>
      <c r="CF134" s="20"/>
      <c r="CG134" s="20"/>
      <c r="CH134" s="20"/>
      <c r="CM134" s="20"/>
      <c r="CN134" s="20"/>
      <c r="CO134" s="20"/>
      <c r="CP134" s="20"/>
      <c r="CQ134" s="20"/>
      <c r="CR134" s="20"/>
      <c r="CS134" s="20"/>
      <c r="CT134" s="20"/>
      <c r="CY134" s="20"/>
      <c r="CZ134" s="20"/>
      <c r="DA134" s="20"/>
      <c r="DB134" s="20"/>
      <c r="DC134" s="20"/>
      <c r="DD134" s="20"/>
      <c r="DE134" s="20"/>
      <c r="DF134" s="20"/>
      <c r="DG134" s="20"/>
      <c r="DH134" s="20"/>
      <c r="DI134" s="20"/>
      <c r="DJ134" s="20"/>
      <c r="DK134" s="20"/>
      <c r="DL134" s="20"/>
      <c r="DM134" s="20"/>
      <c r="DN134" s="20"/>
      <c r="DO134" s="20"/>
      <c r="DP134" s="20"/>
      <c r="DQ134" s="20"/>
      <c r="DR134" s="20"/>
      <c r="DS134" s="20"/>
      <c r="DT134" s="20"/>
    </row>
    <row r="135" spans="1:124" x14ac:dyDescent="0.25">
      <c r="A135" s="23" t="s">
        <v>4206</v>
      </c>
      <c r="B135" s="23" t="s">
        <v>3967</v>
      </c>
      <c r="E135" s="20"/>
      <c r="F135" s="20"/>
      <c r="G135" s="20"/>
      <c r="H135" s="20"/>
      <c r="I135" s="20"/>
      <c r="J135" s="20"/>
      <c r="K135" s="20"/>
      <c r="L135" s="20"/>
      <c r="O135" s="20"/>
      <c r="P135" s="20"/>
      <c r="Q135" s="20"/>
      <c r="R135" s="20"/>
      <c r="S135" s="20"/>
      <c r="T135" s="20"/>
      <c r="U135" s="20"/>
      <c r="V135" s="20"/>
      <c r="W135" s="20"/>
      <c r="X135" s="20"/>
      <c r="Y135" s="20"/>
      <c r="Z135" s="20"/>
      <c r="AA135" s="20"/>
      <c r="AB135" s="20"/>
      <c r="AC135" s="20"/>
      <c r="AD135" s="20"/>
      <c r="AE135" s="20"/>
      <c r="AF135" s="20"/>
      <c r="AG135" s="20"/>
      <c r="AH135" s="20"/>
      <c r="AI135" s="20"/>
      <c r="AJ135" s="20"/>
      <c r="AK135" s="20"/>
      <c r="AL135" s="20"/>
      <c r="AM135" s="20"/>
      <c r="AN135" s="20"/>
      <c r="AO135" s="20"/>
      <c r="AP135" s="20"/>
      <c r="AQ135" s="20"/>
      <c r="AR135" s="20"/>
      <c r="AS135" s="20"/>
      <c r="AT135" s="20"/>
      <c r="AU135" s="20"/>
      <c r="AV135" s="20"/>
      <c r="AW135" s="20"/>
      <c r="AX135" s="20"/>
      <c r="AY135" s="20"/>
      <c r="AZ135" s="20"/>
      <c r="BA135" s="20"/>
      <c r="BB135" s="20"/>
      <c r="BC135" s="20"/>
      <c r="BD135" s="20"/>
      <c r="BE135" s="20"/>
      <c r="BF135" s="20"/>
      <c r="BG135" s="20"/>
      <c r="BH135" s="20"/>
      <c r="BM135" s="20"/>
      <c r="BN135" s="20"/>
      <c r="BO135" s="20"/>
      <c r="BP135" s="20"/>
      <c r="BS135" s="20"/>
      <c r="BT135" s="20"/>
      <c r="BU135" s="20"/>
      <c r="BV135" s="20"/>
      <c r="BW135" s="20"/>
      <c r="BX135" s="20"/>
      <c r="BY135" s="20"/>
      <c r="BZ135" s="20"/>
      <c r="CA135" s="20"/>
      <c r="CB135" s="20"/>
      <c r="CC135" s="20"/>
      <c r="CD135" s="20"/>
      <c r="CE135" s="20"/>
      <c r="CF135" s="20"/>
      <c r="CG135" s="20"/>
      <c r="CH135" s="20"/>
      <c r="CM135" s="20"/>
      <c r="CN135" s="20"/>
      <c r="CO135" s="20"/>
      <c r="CP135" s="20"/>
      <c r="CQ135" s="20"/>
      <c r="CR135" s="20"/>
      <c r="CS135" s="20"/>
      <c r="CT135" s="20"/>
      <c r="CY135" s="20"/>
      <c r="CZ135" s="20"/>
      <c r="DA135" s="20"/>
      <c r="DB135" s="20"/>
      <c r="DC135" s="20"/>
      <c r="DD135" s="20"/>
      <c r="DE135" s="20"/>
      <c r="DF135" s="20"/>
      <c r="DG135" s="20"/>
      <c r="DH135" s="20"/>
      <c r="DI135" s="20"/>
      <c r="DJ135" s="20"/>
      <c r="DK135" s="20"/>
      <c r="DL135" s="20"/>
      <c r="DM135" s="20"/>
      <c r="DN135" s="20"/>
      <c r="DO135" s="20"/>
      <c r="DP135" s="20"/>
      <c r="DQ135" s="20"/>
      <c r="DR135" s="20"/>
      <c r="DS135" s="20"/>
      <c r="DT135" s="20"/>
    </row>
    <row r="136" spans="1:124" x14ac:dyDescent="0.25">
      <c r="A136" s="23" t="s">
        <v>4216</v>
      </c>
      <c r="B136" s="23" t="s">
        <v>3967</v>
      </c>
      <c r="E136" s="20"/>
      <c r="F136" s="20"/>
      <c r="G136" s="20"/>
      <c r="H136" s="20"/>
      <c r="I136" s="20"/>
      <c r="J136" s="20"/>
      <c r="K136" s="20"/>
      <c r="L136" s="20"/>
      <c r="O136" s="20"/>
      <c r="P136" s="20"/>
      <c r="Q136" s="20"/>
      <c r="R136" s="20"/>
      <c r="S136" s="20"/>
      <c r="T136" s="20"/>
      <c r="U136" s="20"/>
      <c r="V136" s="20"/>
      <c r="W136" s="20"/>
      <c r="X136" s="20"/>
      <c r="Y136" s="20"/>
      <c r="Z136" s="20"/>
      <c r="AA136" s="20"/>
      <c r="AB136" s="20"/>
      <c r="AC136" s="20"/>
      <c r="AD136" s="20"/>
      <c r="AE136" s="20"/>
      <c r="AF136" s="20"/>
      <c r="AG136" s="20"/>
      <c r="AH136" s="20"/>
      <c r="AI136" s="20"/>
      <c r="AJ136" s="20"/>
      <c r="AK136" s="20"/>
      <c r="AL136" s="20"/>
      <c r="AM136" s="20"/>
      <c r="AN136" s="20"/>
      <c r="AO136" s="20"/>
      <c r="AP136" s="20"/>
      <c r="AQ136" s="20"/>
      <c r="AR136" s="20"/>
      <c r="AS136" s="20"/>
      <c r="AT136" s="20"/>
      <c r="AU136" s="20"/>
      <c r="AV136" s="20"/>
      <c r="AW136" s="20"/>
      <c r="AX136" s="20"/>
      <c r="AY136" s="20"/>
      <c r="AZ136" s="20"/>
      <c r="BA136" s="20"/>
      <c r="BB136" s="20"/>
      <c r="BC136" s="20"/>
      <c r="BD136" s="20"/>
      <c r="BE136" s="20"/>
      <c r="BF136" s="20"/>
      <c r="BG136" s="20"/>
      <c r="BH136" s="20"/>
      <c r="BM136" s="20"/>
      <c r="BN136" s="20"/>
      <c r="BO136" s="20"/>
      <c r="BP136" s="20"/>
      <c r="BS136" s="20"/>
      <c r="BT136" s="20"/>
      <c r="BU136" s="20"/>
      <c r="BV136" s="20"/>
      <c r="BW136" s="20"/>
      <c r="BX136" s="20"/>
      <c r="BY136" s="20"/>
      <c r="BZ136" s="20"/>
      <c r="CA136" s="20"/>
      <c r="CB136" s="20"/>
      <c r="CC136" s="20"/>
      <c r="CD136" s="20"/>
      <c r="CE136" s="20"/>
      <c r="CF136" s="20"/>
      <c r="CG136" s="20"/>
      <c r="CH136" s="20"/>
      <c r="CM136" s="20"/>
      <c r="CN136" s="20"/>
      <c r="CO136" s="20"/>
      <c r="CP136" s="20"/>
      <c r="CQ136" s="20"/>
      <c r="CR136" s="20"/>
      <c r="CS136" s="20"/>
      <c r="CT136" s="20"/>
      <c r="CY136" s="20"/>
      <c r="CZ136" s="20"/>
      <c r="DA136" s="20"/>
      <c r="DB136" s="20"/>
      <c r="DC136" s="20"/>
      <c r="DD136" s="20"/>
      <c r="DE136" s="20"/>
      <c r="DF136" s="20"/>
      <c r="DG136" s="20"/>
      <c r="DH136" s="20"/>
      <c r="DI136" s="20"/>
      <c r="DJ136" s="20"/>
      <c r="DK136" s="20"/>
      <c r="DL136" s="20"/>
      <c r="DM136" s="20"/>
      <c r="DN136" s="20"/>
      <c r="DO136" s="20"/>
      <c r="DP136" s="20"/>
      <c r="DQ136" s="20"/>
      <c r="DR136" s="20"/>
      <c r="DS136" s="20"/>
      <c r="DT136" s="20"/>
    </row>
    <row r="137" spans="1:124" x14ac:dyDescent="0.25">
      <c r="A137" s="23">
        <v>424978643</v>
      </c>
      <c r="B137" s="23" t="s">
        <v>3967</v>
      </c>
      <c r="E137" s="20"/>
      <c r="F137" s="20"/>
      <c r="G137" s="20"/>
      <c r="H137" s="20"/>
      <c r="I137" s="20"/>
      <c r="J137" s="20"/>
      <c r="K137" s="20"/>
      <c r="L137" s="20"/>
      <c r="O137" s="20"/>
      <c r="P137" s="20"/>
      <c r="Q137" s="20"/>
      <c r="R137" s="20"/>
      <c r="S137" s="20"/>
      <c r="T137" s="20"/>
      <c r="U137" s="20"/>
      <c r="V137" s="20"/>
      <c r="W137" s="20"/>
      <c r="X137" s="20"/>
      <c r="Y137" s="20"/>
      <c r="Z137" s="20"/>
      <c r="AA137" s="20"/>
      <c r="AB137" s="20"/>
      <c r="AC137" s="20"/>
      <c r="AD137" s="20"/>
      <c r="AE137" s="20"/>
      <c r="AF137" s="20"/>
      <c r="AG137" s="20"/>
      <c r="AH137" s="20"/>
      <c r="AI137" s="20"/>
      <c r="AJ137" s="20"/>
      <c r="AK137" s="20"/>
      <c r="AL137" s="20"/>
      <c r="AM137" s="20"/>
      <c r="AN137" s="20"/>
      <c r="AO137" s="20"/>
      <c r="AP137" s="20"/>
      <c r="AQ137" s="20"/>
      <c r="AR137" s="20"/>
      <c r="AS137" s="20"/>
      <c r="AT137" s="20"/>
      <c r="AU137" s="20"/>
      <c r="AV137" s="20"/>
      <c r="AW137" s="20"/>
      <c r="AX137" s="20"/>
      <c r="AY137" s="20"/>
      <c r="AZ137" s="20"/>
      <c r="BA137" s="20"/>
      <c r="BB137" s="20"/>
      <c r="BC137" s="20"/>
      <c r="BD137" s="20"/>
      <c r="BE137" s="20"/>
      <c r="BF137" s="20"/>
      <c r="BG137" s="20"/>
      <c r="BH137" s="20"/>
      <c r="BM137" s="20"/>
      <c r="BN137" s="20"/>
      <c r="BO137" s="20"/>
      <c r="BP137" s="20"/>
      <c r="BS137" s="20"/>
      <c r="BT137" s="20"/>
      <c r="BU137" s="20"/>
      <c r="BV137" s="20"/>
      <c r="BW137" s="20"/>
      <c r="BX137" s="20"/>
      <c r="BY137" s="20"/>
      <c r="BZ137" s="20"/>
      <c r="CA137" s="20"/>
      <c r="CB137" s="20"/>
      <c r="CC137" s="20"/>
      <c r="CD137" s="20"/>
      <c r="CE137" s="20"/>
      <c r="CF137" s="20"/>
      <c r="CG137" s="20"/>
      <c r="CH137" s="20"/>
      <c r="CM137" s="20"/>
      <c r="CN137" s="20"/>
      <c r="CO137" s="20"/>
      <c r="CP137" s="20"/>
      <c r="CQ137" s="20"/>
      <c r="CR137" s="20"/>
      <c r="CS137" s="20"/>
      <c r="CT137" s="20"/>
      <c r="CY137" s="20"/>
      <c r="CZ137" s="20"/>
      <c r="DA137" s="20"/>
      <c r="DB137" s="20"/>
      <c r="DC137" s="20"/>
      <c r="DD137" s="20"/>
      <c r="DE137" s="20"/>
      <c r="DF137" s="20"/>
      <c r="DG137" s="20"/>
      <c r="DH137" s="20"/>
      <c r="DI137" s="20"/>
      <c r="DJ137" s="20"/>
      <c r="DK137" s="20"/>
      <c r="DL137" s="20"/>
      <c r="DM137" s="20"/>
      <c r="DN137" s="20"/>
      <c r="DO137" s="20"/>
      <c r="DP137" s="20"/>
      <c r="DQ137" s="20"/>
      <c r="DR137" s="20"/>
      <c r="DS137" s="20"/>
      <c r="DT137" s="20"/>
    </row>
    <row r="138" spans="1:124" x14ac:dyDescent="0.25">
      <c r="A138" s="23">
        <v>423967356</v>
      </c>
      <c r="B138" s="23" t="s">
        <v>3967</v>
      </c>
      <c r="E138" s="20"/>
      <c r="F138" s="20"/>
      <c r="G138" s="20"/>
      <c r="H138" s="20"/>
      <c r="I138" s="20"/>
      <c r="J138" s="20"/>
      <c r="K138" s="20"/>
      <c r="L138" s="20"/>
      <c r="O138" s="20"/>
      <c r="P138" s="20"/>
      <c r="Q138" s="20"/>
      <c r="R138" s="20"/>
      <c r="S138" s="20"/>
      <c r="T138" s="20"/>
      <c r="U138" s="20"/>
      <c r="V138" s="20"/>
      <c r="W138" s="20"/>
      <c r="X138" s="20"/>
      <c r="Y138" s="20"/>
      <c r="Z138" s="20"/>
      <c r="AA138" s="20"/>
      <c r="AB138" s="20"/>
      <c r="AC138" s="20"/>
      <c r="AD138" s="20"/>
      <c r="AE138" s="20"/>
      <c r="AF138" s="20"/>
      <c r="AG138" s="20"/>
      <c r="AH138" s="20"/>
      <c r="AI138" s="20"/>
      <c r="AJ138" s="20"/>
      <c r="AK138" s="20"/>
      <c r="AL138" s="20"/>
      <c r="AM138" s="20"/>
      <c r="AN138" s="20"/>
      <c r="AO138" s="20"/>
      <c r="AP138" s="20"/>
      <c r="AQ138" s="20"/>
      <c r="AR138" s="20"/>
      <c r="AS138" s="20"/>
      <c r="AT138" s="20"/>
      <c r="AU138" s="20"/>
      <c r="AV138" s="20"/>
      <c r="AW138" s="20"/>
      <c r="AX138" s="20"/>
      <c r="AY138" s="20"/>
      <c r="AZ138" s="20"/>
      <c r="BA138" s="20"/>
      <c r="BB138" s="20"/>
      <c r="BC138" s="20"/>
      <c r="BD138" s="20"/>
      <c r="BE138" s="20"/>
      <c r="BF138" s="20"/>
      <c r="BG138" s="20"/>
      <c r="BH138" s="20"/>
      <c r="BM138" s="20"/>
      <c r="BN138" s="20"/>
      <c r="BO138" s="20"/>
      <c r="BP138" s="20"/>
      <c r="BS138" s="20"/>
      <c r="BT138" s="20"/>
      <c r="BU138" s="20"/>
      <c r="BV138" s="20"/>
      <c r="BW138" s="20"/>
      <c r="BX138" s="20"/>
      <c r="BY138" s="20"/>
      <c r="BZ138" s="20"/>
      <c r="CA138" s="20"/>
      <c r="CB138" s="20"/>
      <c r="CC138" s="20"/>
      <c r="CD138" s="20"/>
      <c r="CE138" s="20"/>
      <c r="CF138" s="20"/>
      <c r="CG138" s="20"/>
      <c r="CH138" s="20"/>
      <c r="CM138" s="20"/>
      <c r="CN138" s="20"/>
      <c r="CO138" s="20"/>
      <c r="CP138" s="20"/>
      <c r="CQ138" s="20"/>
      <c r="CR138" s="20"/>
      <c r="CS138" s="20"/>
      <c r="CT138" s="20"/>
      <c r="CY138" s="20"/>
      <c r="CZ138" s="20"/>
      <c r="DA138" s="20"/>
      <c r="DB138" s="20"/>
      <c r="DC138" s="20"/>
      <c r="DD138" s="20"/>
      <c r="DE138" s="20"/>
      <c r="DF138" s="20"/>
      <c r="DG138" s="20"/>
      <c r="DH138" s="20"/>
      <c r="DI138" s="20"/>
      <c r="DJ138" s="20"/>
      <c r="DK138" s="20"/>
      <c r="DL138" s="20"/>
      <c r="DM138" s="20"/>
      <c r="DN138" s="20"/>
      <c r="DO138" s="20"/>
      <c r="DP138" s="20"/>
      <c r="DQ138" s="20"/>
      <c r="DR138" s="20"/>
      <c r="DS138" s="20"/>
      <c r="DT138" s="20"/>
    </row>
    <row r="139" spans="1:124" x14ac:dyDescent="0.25">
      <c r="A139" s="23" t="s">
        <v>4244</v>
      </c>
      <c r="B139" s="23" t="s">
        <v>3967</v>
      </c>
      <c r="E139" s="20"/>
      <c r="F139" s="20"/>
      <c r="G139" s="20"/>
      <c r="H139" s="20"/>
      <c r="I139" s="20"/>
      <c r="J139" s="20"/>
      <c r="K139" s="20"/>
      <c r="L139" s="20"/>
      <c r="O139" s="20"/>
      <c r="P139" s="20"/>
      <c r="Q139" s="20"/>
      <c r="R139" s="20"/>
      <c r="S139" s="20"/>
      <c r="T139" s="20"/>
      <c r="U139" s="20"/>
      <c r="V139" s="20"/>
      <c r="W139" s="20"/>
      <c r="X139" s="20"/>
      <c r="Y139" s="20"/>
      <c r="Z139" s="20"/>
      <c r="AA139" s="20"/>
      <c r="AB139" s="20"/>
      <c r="AC139" s="20"/>
      <c r="AD139" s="20"/>
      <c r="AE139" s="20"/>
      <c r="AF139" s="20"/>
      <c r="AG139" s="20"/>
      <c r="AH139" s="20"/>
      <c r="AI139" s="20"/>
      <c r="AJ139" s="20"/>
      <c r="AK139" s="20"/>
      <c r="AL139" s="20"/>
      <c r="AM139" s="20"/>
      <c r="AN139" s="20"/>
      <c r="AO139" s="20"/>
      <c r="AP139" s="20"/>
      <c r="AQ139" s="20"/>
      <c r="AR139" s="20"/>
      <c r="AS139" s="20"/>
      <c r="AT139" s="20"/>
      <c r="AU139" s="20"/>
      <c r="AV139" s="20"/>
      <c r="AW139" s="20"/>
      <c r="AX139" s="20"/>
      <c r="AY139" s="20"/>
      <c r="AZ139" s="20"/>
      <c r="BA139" s="20"/>
      <c r="BB139" s="20"/>
      <c r="BC139" s="20"/>
      <c r="BD139" s="20"/>
      <c r="BE139" s="20"/>
      <c r="BF139" s="20"/>
      <c r="BG139" s="20"/>
      <c r="BH139" s="20"/>
      <c r="BM139" s="20"/>
      <c r="BN139" s="20"/>
      <c r="BO139" s="20"/>
      <c r="BP139" s="20"/>
      <c r="BS139" s="20"/>
      <c r="BT139" s="20"/>
      <c r="BU139" s="20"/>
      <c r="BV139" s="20"/>
      <c r="BW139" s="20"/>
      <c r="BX139" s="20"/>
      <c r="BY139" s="20"/>
      <c r="BZ139" s="20"/>
      <c r="CA139" s="20"/>
      <c r="CB139" s="20"/>
      <c r="CC139" s="20"/>
      <c r="CD139" s="20"/>
      <c r="CE139" s="20"/>
      <c r="CF139" s="20"/>
      <c r="CG139" s="20"/>
      <c r="CH139" s="20"/>
      <c r="CM139" s="20"/>
      <c r="CN139" s="20"/>
      <c r="CO139" s="20"/>
      <c r="CP139" s="20"/>
      <c r="CQ139" s="20"/>
      <c r="CR139" s="20"/>
      <c r="CS139" s="20"/>
      <c r="CT139" s="20"/>
      <c r="CY139" s="20"/>
      <c r="CZ139" s="20"/>
      <c r="DA139" s="20"/>
      <c r="DB139" s="20"/>
      <c r="DC139" s="20"/>
      <c r="DD139" s="20"/>
      <c r="DE139" s="20"/>
      <c r="DF139" s="20"/>
      <c r="DG139" s="20"/>
      <c r="DH139" s="20"/>
      <c r="DI139" s="20"/>
      <c r="DJ139" s="20"/>
      <c r="DK139" s="20"/>
      <c r="DL139" s="20"/>
      <c r="DM139" s="20"/>
      <c r="DN139" s="20"/>
      <c r="DO139" s="20"/>
      <c r="DP139" s="20"/>
      <c r="DQ139" s="20"/>
      <c r="DR139" s="20"/>
      <c r="DS139" s="20"/>
      <c r="DT139" s="20"/>
    </row>
    <row r="140" spans="1:124" x14ac:dyDescent="0.25">
      <c r="A140" s="23" t="s">
        <v>4236</v>
      </c>
      <c r="B140" s="23" t="s">
        <v>3967</v>
      </c>
      <c r="E140" s="20"/>
      <c r="F140" s="20"/>
      <c r="G140" s="20"/>
      <c r="H140" s="20"/>
      <c r="I140" s="20"/>
      <c r="J140" s="20"/>
      <c r="K140" s="20"/>
      <c r="L140" s="20"/>
      <c r="O140" s="20"/>
      <c r="P140" s="20"/>
      <c r="Q140" s="20"/>
      <c r="R140" s="20"/>
      <c r="S140" s="20"/>
      <c r="T140" s="20"/>
      <c r="U140" s="20"/>
      <c r="V140" s="20"/>
      <c r="W140" s="20"/>
      <c r="X140" s="20"/>
      <c r="Y140" s="20"/>
      <c r="Z140" s="20"/>
      <c r="AA140" s="20"/>
      <c r="AB140" s="20"/>
      <c r="AC140" s="20"/>
      <c r="AD140" s="20"/>
      <c r="AE140" s="20"/>
      <c r="AF140" s="20"/>
      <c r="AG140" s="20"/>
      <c r="AH140" s="20"/>
      <c r="AI140" s="20"/>
      <c r="AJ140" s="20"/>
      <c r="AK140" s="20"/>
      <c r="AL140" s="20"/>
      <c r="AM140" s="20"/>
      <c r="AN140" s="20"/>
      <c r="AO140" s="20"/>
      <c r="AP140" s="20"/>
      <c r="AQ140" s="20"/>
      <c r="AR140" s="20"/>
      <c r="AS140" s="20"/>
      <c r="AT140" s="20"/>
      <c r="AU140" s="20"/>
      <c r="AV140" s="20"/>
      <c r="AW140" s="20"/>
      <c r="AX140" s="20"/>
      <c r="AY140" s="20"/>
      <c r="AZ140" s="20"/>
      <c r="BA140" s="20"/>
      <c r="BB140" s="20"/>
      <c r="BC140" s="20"/>
      <c r="BD140" s="20"/>
      <c r="BE140" s="20"/>
      <c r="BF140" s="20"/>
      <c r="BG140" s="20"/>
      <c r="BH140" s="20"/>
      <c r="BM140" s="20"/>
      <c r="BN140" s="20"/>
      <c r="BO140" s="20"/>
      <c r="BP140" s="20"/>
      <c r="BS140" s="20"/>
      <c r="BT140" s="20"/>
      <c r="BU140" s="20"/>
      <c r="BV140" s="20"/>
      <c r="BW140" s="20"/>
      <c r="BX140" s="20"/>
      <c r="BY140" s="20"/>
      <c r="BZ140" s="20"/>
      <c r="CA140" s="20"/>
      <c r="CB140" s="20"/>
      <c r="CC140" s="20"/>
      <c r="CD140" s="20"/>
      <c r="CE140" s="20"/>
      <c r="CF140" s="20"/>
      <c r="CG140" s="20"/>
      <c r="CH140" s="20"/>
      <c r="CM140" s="20"/>
      <c r="CN140" s="20"/>
      <c r="CO140" s="20"/>
      <c r="CP140" s="20"/>
      <c r="CQ140" s="20"/>
      <c r="CR140" s="20"/>
      <c r="CS140" s="20"/>
      <c r="CT140" s="20"/>
      <c r="CY140" s="20"/>
      <c r="CZ140" s="20"/>
      <c r="DA140" s="20"/>
      <c r="DB140" s="20"/>
      <c r="DC140" s="20"/>
      <c r="DD140" s="20"/>
      <c r="DE140" s="20"/>
      <c r="DF140" s="20"/>
      <c r="DG140" s="20"/>
      <c r="DH140" s="20"/>
      <c r="DI140" s="20"/>
      <c r="DJ140" s="20"/>
      <c r="DK140" s="20"/>
      <c r="DL140" s="20"/>
      <c r="DM140" s="20"/>
      <c r="DN140" s="20"/>
      <c r="DO140" s="20"/>
      <c r="DP140" s="20"/>
      <c r="DQ140" s="20"/>
      <c r="DR140" s="20"/>
      <c r="DS140" s="20"/>
      <c r="DT140" s="20"/>
    </row>
    <row r="141" spans="1:124" x14ac:dyDescent="0.25">
      <c r="A141" s="23" t="s">
        <v>4248</v>
      </c>
      <c r="B141" s="23" t="s">
        <v>3967</v>
      </c>
      <c r="E141" s="20"/>
      <c r="F141" s="20"/>
      <c r="G141" s="20"/>
      <c r="H141" s="20"/>
      <c r="I141" s="20"/>
      <c r="J141" s="20"/>
      <c r="K141" s="20"/>
      <c r="L141" s="20"/>
      <c r="O141" s="20"/>
      <c r="P141" s="20"/>
      <c r="Q141" s="20"/>
      <c r="R141" s="20"/>
      <c r="S141" s="20"/>
      <c r="T141" s="20"/>
      <c r="U141" s="20"/>
      <c r="V141" s="20"/>
      <c r="W141" s="20"/>
      <c r="X141" s="20"/>
      <c r="Y141" s="20"/>
      <c r="Z141" s="20"/>
      <c r="AA141" s="20"/>
      <c r="AB141" s="20"/>
      <c r="AC141" s="20"/>
      <c r="AD141" s="20"/>
      <c r="AE141" s="20"/>
      <c r="AF141" s="20"/>
      <c r="AG141" s="20"/>
      <c r="AH141" s="20"/>
      <c r="AI141" s="20"/>
      <c r="AJ141" s="20"/>
      <c r="AK141" s="20"/>
      <c r="AL141" s="20"/>
      <c r="AM141" s="20"/>
      <c r="AN141" s="20"/>
      <c r="AO141" s="20"/>
      <c r="AP141" s="20"/>
      <c r="AQ141" s="20"/>
      <c r="AR141" s="20"/>
      <c r="AS141" s="20"/>
      <c r="AT141" s="20"/>
      <c r="AU141" s="20"/>
      <c r="AV141" s="20"/>
      <c r="AW141" s="20"/>
      <c r="AX141" s="20"/>
      <c r="AY141" s="20"/>
      <c r="AZ141" s="20"/>
      <c r="BA141" s="20"/>
      <c r="BB141" s="20"/>
      <c r="BC141" s="20"/>
      <c r="BD141" s="20"/>
      <c r="BE141" s="20"/>
      <c r="BF141" s="20"/>
      <c r="BG141" s="20"/>
      <c r="BH141" s="20"/>
      <c r="BM141" s="20"/>
      <c r="BN141" s="20"/>
      <c r="BO141" s="20"/>
      <c r="BP141" s="20"/>
      <c r="BS141" s="20"/>
      <c r="BT141" s="20"/>
      <c r="BU141" s="20"/>
      <c r="BV141" s="20"/>
      <c r="BW141" s="20"/>
      <c r="BX141" s="20"/>
      <c r="BY141" s="20"/>
      <c r="BZ141" s="20"/>
      <c r="CA141" s="20"/>
      <c r="CB141" s="20"/>
      <c r="CC141" s="20"/>
      <c r="CD141" s="20"/>
      <c r="CE141" s="20"/>
      <c r="CF141" s="20"/>
      <c r="CG141" s="20"/>
      <c r="CH141" s="20"/>
      <c r="CM141" s="20"/>
      <c r="CN141" s="20"/>
      <c r="CO141" s="20"/>
      <c r="CP141" s="20"/>
      <c r="CQ141" s="20"/>
      <c r="CR141" s="20"/>
      <c r="CS141" s="20"/>
      <c r="CT141" s="20"/>
      <c r="CY141" s="20"/>
      <c r="CZ141" s="20"/>
      <c r="DA141" s="20"/>
      <c r="DB141" s="20"/>
      <c r="DC141" s="20"/>
      <c r="DD141" s="20"/>
      <c r="DE141" s="20"/>
      <c r="DF141" s="20"/>
      <c r="DG141" s="20"/>
      <c r="DH141" s="20"/>
      <c r="DI141" s="20"/>
      <c r="DJ141" s="20"/>
      <c r="DK141" s="20"/>
      <c r="DL141" s="20"/>
      <c r="DM141" s="20"/>
      <c r="DN141" s="20"/>
      <c r="DO141" s="20"/>
      <c r="DP141" s="20"/>
      <c r="DQ141" s="20"/>
      <c r="DR141" s="20"/>
      <c r="DS141" s="20"/>
      <c r="DT141" s="20"/>
    </row>
    <row r="142" spans="1:124" x14ac:dyDescent="0.25">
      <c r="A142" s="23" t="s">
        <v>4082</v>
      </c>
      <c r="B142" s="23" t="s">
        <v>3967</v>
      </c>
      <c r="E142" s="20"/>
      <c r="F142" s="20"/>
      <c r="G142" s="20"/>
      <c r="H142" s="20"/>
      <c r="I142" s="20"/>
      <c r="J142" s="20"/>
      <c r="K142" s="20"/>
      <c r="L142" s="20"/>
      <c r="O142" s="20"/>
      <c r="P142" s="20"/>
      <c r="Q142" s="20"/>
      <c r="R142" s="20"/>
      <c r="S142" s="20"/>
      <c r="T142" s="20"/>
      <c r="U142" s="20"/>
      <c r="V142" s="20"/>
      <c r="W142" s="20"/>
      <c r="X142" s="20"/>
      <c r="Y142" s="20"/>
      <c r="Z142" s="20"/>
      <c r="AA142" s="20"/>
      <c r="AB142" s="20"/>
      <c r="AC142" s="20"/>
      <c r="AD142" s="20"/>
      <c r="AE142" s="20"/>
      <c r="AF142" s="20"/>
      <c r="AG142" s="20"/>
      <c r="AH142" s="20"/>
      <c r="AI142" s="20"/>
      <c r="AJ142" s="20"/>
      <c r="AK142" s="20"/>
      <c r="AL142" s="20"/>
      <c r="AM142" s="20"/>
      <c r="AN142" s="20"/>
      <c r="AO142" s="20"/>
      <c r="AP142" s="20"/>
      <c r="AQ142" s="20"/>
      <c r="AR142" s="20"/>
      <c r="AS142" s="20"/>
      <c r="AT142" s="20"/>
      <c r="AU142" s="20"/>
      <c r="AV142" s="20"/>
      <c r="AW142" s="20"/>
      <c r="AX142" s="20"/>
      <c r="AY142" s="20"/>
      <c r="AZ142" s="20"/>
      <c r="BA142" s="20"/>
      <c r="BB142" s="20"/>
      <c r="BC142" s="20"/>
      <c r="BD142" s="20"/>
      <c r="BE142" s="20"/>
      <c r="BF142" s="20"/>
      <c r="BG142" s="20"/>
      <c r="BH142" s="20"/>
      <c r="BM142" s="20"/>
      <c r="BN142" s="20"/>
      <c r="BO142" s="20"/>
      <c r="BP142" s="20"/>
      <c r="BS142" s="20"/>
      <c r="BT142" s="20"/>
      <c r="BU142" s="20"/>
      <c r="BV142" s="20"/>
      <c r="BW142" s="20"/>
      <c r="BX142" s="20"/>
      <c r="BY142" s="20"/>
      <c r="BZ142" s="20"/>
      <c r="CA142" s="20"/>
      <c r="CB142" s="20"/>
      <c r="CC142" s="20"/>
      <c r="CD142" s="20"/>
      <c r="CE142" s="20"/>
      <c r="CF142" s="20"/>
      <c r="CG142" s="20"/>
      <c r="CH142" s="20"/>
      <c r="CM142" s="20"/>
      <c r="CN142" s="20"/>
      <c r="CO142" s="20"/>
      <c r="CP142" s="20"/>
      <c r="CQ142" s="20"/>
      <c r="CR142" s="20"/>
      <c r="CS142" s="20"/>
      <c r="CT142" s="20"/>
      <c r="CY142" s="20"/>
      <c r="CZ142" s="20"/>
      <c r="DA142" s="20"/>
      <c r="DB142" s="20"/>
      <c r="DC142" s="20"/>
      <c r="DD142" s="20"/>
      <c r="DE142" s="20"/>
      <c r="DF142" s="20"/>
      <c r="DG142" s="20"/>
      <c r="DH142" s="20"/>
      <c r="DI142" s="20"/>
      <c r="DJ142" s="20"/>
      <c r="DK142" s="20"/>
      <c r="DL142" s="20"/>
      <c r="DM142" s="20"/>
      <c r="DN142" s="20"/>
      <c r="DO142" s="20"/>
      <c r="DP142" s="20"/>
      <c r="DQ142" s="20"/>
      <c r="DR142" s="20"/>
      <c r="DS142" s="20"/>
      <c r="DT142" s="20"/>
    </row>
    <row r="143" spans="1:124" x14ac:dyDescent="0.25">
      <c r="A143" s="23">
        <v>12174962</v>
      </c>
      <c r="B143" s="23" t="s">
        <v>3967</v>
      </c>
      <c r="E143" s="20"/>
      <c r="F143" s="20"/>
      <c r="G143" s="20"/>
      <c r="H143" s="20"/>
      <c r="I143" s="20"/>
      <c r="J143" s="20"/>
      <c r="K143" s="20"/>
      <c r="L143" s="20"/>
      <c r="O143" s="20"/>
      <c r="P143" s="20"/>
      <c r="Q143" s="20"/>
      <c r="R143" s="20"/>
      <c r="S143" s="20"/>
      <c r="T143" s="20"/>
      <c r="U143" s="20"/>
      <c r="V143" s="20"/>
      <c r="W143" s="20"/>
      <c r="X143" s="20"/>
      <c r="Y143" s="20"/>
      <c r="Z143" s="20"/>
      <c r="AA143" s="20"/>
      <c r="AB143" s="20"/>
      <c r="AC143" s="20"/>
      <c r="AD143" s="20"/>
      <c r="AE143" s="20"/>
      <c r="AF143" s="20"/>
      <c r="AG143" s="20"/>
      <c r="AH143" s="20"/>
      <c r="AI143" s="20"/>
      <c r="AJ143" s="20"/>
      <c r="AK143" s="20"/>
      <c r="AL143" s="20"/>
      <c r="AM143" s="20"/>
      <c r="AN143" s="20"/>
      <c r="AO143" s="20"/>
      <c r="AP143" s="20"/>
      <c r="AQ143" s="20"/>
      <c r="AR143" s="20"/>
      <c r="AS143" s="20"/>
      <c r="AT143" s="20"/>
      <c r="AU143" s="20"/>
      <c r="AV143" s="20"/>
      <c r="AW143" s="20"/>
      <c r="AX143" s="20"/>
      <c r="AY143" s="20"/>
      <c r="AZ143" s="20"/>
      <c r="BA143" s="20"/>
      <c r="BB143" s="20"/>
      <c r="BC143" s="20"/>
      <c r="BD143" s="20"/>
      <c r="BE143" s="20"/>
      <c r="BF143" s="20"/>
      <c r="BG143" s="20"/>
      <c r="BH143" s="20"/>
      <c r="BM143" s="20"/>
      <c r="BN143" s="20"/>
      <c r="BO143" s="20"/>
      <c r="BP143" s="20"/>
      <c r="BS143" s="20"/>
      <c r="BT143" s="20"/>
      <c r="BU143" s="20"/>
      <c r="BV143" s="20"/>
      <c r="BW143" s="20"/>
      <c r="BX143" s="20"/>
      <c r="BY143" s="20"/>
      <c r="BZ143" s="20"/>
      <c r="CA143" s="20"/>
      <c r="CB143" s="20"/>
      <c r="CC143" s="20"/>
      <c r="CD143" s="20"/>
      <c r="CE143" s="20"/>
      <c r="CF143" s="20"/>
      <c r="CG143" s="20"/>
      <c r="CH143" s="20"/>
      <c r="CM143" s="20"/>
      <c r="CN143" s="20"/>
      <c r="CO143" s="20"/>
      <c r="CP143" s="20"/>
      <c r="CQ143" s="20"/>
      <c r="CR143" s="20"/>
      <c r="CS143" s="20"/>
      <c r="CT143" s="20"/>
      <c r="CY143" s="20"/>
      <c r="CZ143" s="20"/>
      <c r="DA143" s="20"/>
      <c r="DB143" s="20"/>
      <c r="DC143" s="20"/>
      <c r="DD143" s="20"/>
      <c r="DE143" s="20"/>
      <c r="DF143" s="20"/>
      <c r="DG143" s="20"/>
      <c r="DH143" s="20"/>
      <c r="DI143" s="20"/>
      <c r="DJ143" s="20"/>
      <c r="DK143" s="20"/>
      <c r="DL143" s="20"/>
      <c r="DM143" s="20"/>
      <c r="DN143" s="20"/>
      <c r="DO143" s="20"/>
      <c r="DP143" s="20"/>
      <c r="DQ143" s="20"/>
      <c r="DR143" s="20"/>
      <c r="DS143" s="20"/>
      <c r="DT143" s="20"/>
    </row>
    <row r="144" spans="1:124" x14ac:dyDescent="0.25">
      <c r="A144" s="23" t="s">
        <v>4275</v>
      </c>
      <c r="B144" s="23" t="s">
        <v>3967</v>
      </c>
      <c r="E144" s="20"/>
      <c r="F144" s="20"/>
      <c r="G144" s="20"/>
      <c r="H144" s="20"/>
      <c r="I144" s="20"/>
      <c r="J144" s="20"/>
      <c r="K144" s="20"/>
      <c r="L144" s="20"/>
      <c r="O144" s="20"/>
      <c r="P144" s="20"/>
      <c r="Q144" s="20"/>
      <c r="R144" s="20"/>
      <c r="S144" s="20"/>
      <c r="T144" s="20"/>
      <c r="U144" s="20"/>
      <c r="V144" s="20"/>
      <c r="W144" s="20"/>
      <c r="X144" s="20"/>
      <c r="Y144" s="20"/>
      <c r="Z144" s="20"/>
      <c r="AA144" s="20"/>
      <c r="AB144" s="20"/>
      <c r="AC144" s="20"/>
      <c r="AD144" s="20"/>
      <c r="AE144" s="20"/>
      <c r="AF144" s="20"/>
      <c r="AG144" s="20"/>
      <c r="AH144" s="20"/>
      <c r="AI144" s="20"/>
      <c r="AJ144" s="20"/>
      <c r="AK144" s="20"/>
      <c r="AL144" s="20"/>
      <c r="AM144" s="20"/>
      <c r="AN144" s="20"/>
      <c r="AO144" s="20"/>
      <c r="AP144" s="20"/>
      <c r="AQ144" s="20"/>
      <c r="AR144" s="20"/>
      <c r="AS144" s="20"/>
      <c r="AT144" s="20"/>
      <c r="AU144" s="20"/>
      <c r="AV144" s="20"/>
      <c r="AW144" s="20"/>
      <c r="AX144" s="20"/>
      <c r="AY144" s="20"/>
      <c r="AZ144" s="20"/>
      <c r="BA144" s="20"/>
      <c r="BB144" s="20"/>
      <c r="BC144" s="20"/>
      <c r="BD144" s="20"/>
      <c r="BE144" s="20"/>
      <c r="BF144" s="20"/>
      <c r="BG144" s="20"/>
      <c r="BH144" s="20"/>
      <c r="BM144" s="20"/>
      <c r="BN144" s="20"/>
      <c r="BO144" s="20"/>
      <c r="BP144" s="20"/>
      <c r="BS144" s="20"/>
      <c r="BT144" s="20"/>
      <c r="BU144" s="20"/>
      <c r="BV144" s="20"/>
      <c r="BW144" s="20"/>
      <c r="BX144" s="20"/>
      <c r="BY144" s="20"/>
      <c r="BZ144" s="20"/>
      <c r="CA144" s="20"/>
      <c r="CB144" s="20"/>
      <c r="CC144" s="20"/>
      <c r="CD144" s="20"/>
      <c r="CE144" s="20"/>
      <c r="CF144" s="20"/>
      <c r="CG144" s="20"/>
      <c r="CH144" s="20"/>
      <c r="CM144" s="20"/>
      <c r="CN144" s="20"/>
      <c r="CO144" s="20"/>
      <c r="CP144" s="20"/>
      <c r="CQ144" s="20"/>
      <c r="CR144" s="20"/>
      <c r="CS144" s="20"/>
      <c r="CT144" s="20"/>
      <c r="CY144" s="20"/>
      <c r="CZ144" s="20"/>
      <c r="DA144" s="20"/>
      <c r="DB144" s="20"/>
      <c r="DC144" s="20"/>
      <c r="DD144" s="20"/>
      <c r="DE144" s="20"/>
      <c r="DF144" s="20"/>
      <c r="DG144" s="20"/>
      <c r="DH144" s="20"/>
      <c r="DI144" s="20"/>
      <c r="DJ144" s="20"/>
      <c r="DK144" s="20"/>
      <c r="DL144" s="20"/>
      <c r="DM144" s="20"/>
      <c r="DN144" s="20"/>
      <c r="DO144" s="20"/>
      <c r="DP144" s="20"/>
      <c r="DQ144" s="20"/>
      <c r="DR144" s="20"/>
      <c r="DS144" s="20"/>
      <c r="DT144" s="20"/>
    </row>
    <row r="145" spans="1:124" x14ac:dyDescent="0.25">
      <c r="A145" s="23" t="s">
        <v>4291</v>
      </c>
      <c r="B145" s="23" t="s">
        <v>3967</v>
      </c>
      <c r="E145" s="20"/>
      <c r="F145" s="20"/>
      <c r="G145" s="20"/>
      <c r="H145" s="20"/>
      <c r="I145" s="20"/>
      <c r="J145" s="20"/>
      <c r="K145" s="20"/>
      <c r="L145" s="20"/>
      <c r="O145" s="20"/>
      <c r="P145" s="20"/>
      <c r="Q145" s="20"/>
      <c r="R145" s="20"/>
      <c r="S145" s="20"/>
      <c r="T145" s="20"/>
      <c r="U145" s="20"/>
      <c r="V145" s="20"/>
      <c r="W145" s="20"/>
      <c r="X145" s="20"/>
      <c r="Y145" s="20"/>
      <c r="Z145" s="20"/>
      <c r="AA145" s="20"/>
      <c r="AB145" s="20"/>
      <c r="AC145" s="20"/>
      <c r="AD145" s="20"/>
      <c r="AE145" s="20"/>
      <c r="AF145" s="20"/>
      <c r="AG145" s="20"/>
      <c r="AH145" s="20"/>
      <c r="AI145" s="20"/>
      <c r="AJ145" s="20"/>
      <c r="AK145" s="20"/>
      <c r="AL145" s="20"/>
      <c r="AM145" s="20"/>
      <c r="AN145" s="20"/>
      <c r="AO145" s="20"/>
      <c r="AP145" s="20"/>
      <c r="AQ145" s="20"/>
      <c r="AR145" s="20"/>
      <c r="AS145" s="20"/>
      <c r="AT145" s="20"/>
      <c r="AU145" s="20"/>
      <c r="AV145" s="20"/>
      <c r="AW145" s="20"/>
      <c r="AX145" s="20"/>
      <c r="AY145" s="20"/>
      <c r="AZ145" s="20"/>
      <c r="BA145" s="20"/>
      <c r="BB145" s="20"/>
      <c r="BC145" s="20"/>
      <c r="BD145" s="20"/>
      <c r="BE145" s="20"/>
      <c r="BF145" s="20"/>
      <c r="BG145" s="20"/>
      <c r="BH145" s="20"/>
      <c r="BM145" s="20"/>
      <c r="BN145" s="20"/>
      <c r="BO145" s="20"/>
      <c r="BP145" s="20"/>
      <c r="BS145" s="20"/>
      <c r="BT145" s="20"/>
      <c r="BU145" s="20"/>
      <c r="BV145" s="20"/>
      <c r="BW145" s="20"/>
      <c r="BX145" s="20"/>
      <c r="BY145" s="20"/>
      <c r="BZ145" s="20"/>
      <c r="CA145" s="20"/>
      <c r="CB145" s="20"/>
      <c r="CC145" s="20"/>
      <c r="CD145" s="20"/>
      <c r="CE145" s="20"/>
      <c r="CF145" s="20"/>
      <c r="CG145" s="20"/>
      <c r="CH145" s="20"/>
      <c r="CM145" s="20"/>
      <c r="CN145" s="20"/>
      <c r="CO145" s="20"/>
      <c r="CP145" s="20"/>
      <c r="CQ145" s="20"/>
      <c r="CR145" s="20"/>
      <c r="CS145" s="20"/>
      <c r="CT145" s="20"/>
      <c r="CY145" s="20"/>
      <c r="CZ145" s="20"/>
      <c r="DA145" s="20"/>
      <c r="DB145" s="20"/>
      <c r="DC145" s="20"/>
      <c r="DD145" s="20"/>
      <c r="DE145" s="20"/>
      <c r="DF145" s="20"/>
      <c r="DG145" s="20"/>
      <c r="DH145" s="20"/>
      <c r="DI145" s="20"/>
      <c r="DJ145" s="20"/>
      <c r="DK145" s="20"/>
      <c r="DL145" s="20"/>
      <c r="DM145" s="20"/>
      <c r="DN145" s="20"/>
      <c r="DO145" s="20"/>
      <c r="DP145" s="20"/>
      <c r="DQ145" s="20"/>
      <c r="DR145" s="20"/>
      <c r="DS145" s="20"/>
      <c r="DT145" s="20"/>
    </row>
    <row r="146" spans="1:124" x14ac:dyDescent="0.25">
      <c r="A146" s="23" t="s">
        <v>4304</v>
      </c>
      <c r="B146" s="23" t="s">
        <v>3967</v>
      </c>
      <c r="E146" s="20"/>
      <c r="F146" s="20"/>
      <c r="G146" s="20"/>
      <c r="H146" s="20"/>
      <c r="I146" s="20"/>
      <c r="J146" s="20"/>
      <c r="K146" s="20"/>
      <c r="L146" s="20"/>
      <c r="O146" s="20"/>
      <c r="P146" s="20"/>
      <c r="Q146" s="20"/>
      <c r="R146" s="20"/>
      <c r="S146" s="20"/>
      <c r="T146" s="20"/>
      <c r="U146" s="20"/>
      <c r="V146" s="20"/>
      <c r="W146" s="20"/>
      <c r="X146" s="20"/>
      <c r="Y146" s="20"/>
      <c r="Z146" s="20"/>
      <c r="AA146" s="20"/>
      <c r="AB146" s="20"/>
      <c r="AC146" s="20"/>
      <c r="AD146" s="20"/>
      <c r="AE146" s="20"/>
      <c r="AF146" s="20"/>
      <c r="AG146" s="20"/>
      <c r="AH146" s="20"/>
      <c r="AI146" s="20"/>
      <c r="AJ146" s="20"/>
      <c r="AK146" s="20"/>
      <c r="AL146" s="20"/>
      <c r="AM146" s="20"/>
      <c r="AN146" s="20"/>
      <c r="AO146" s="20"/>
      <c r="AP146" s="20"/>
      <c r="AQ146" s="20"/>
      <c r="AR146" s="20"/>
      <c r="AS146" s="20"/>
      <c r="AT146" s="20"/>
      <c r="AU146" s="20"/>
      <c r="AV146" s="20"/>
      <c r="AW146" s="20"/>
      <c r="AX146" s="20"/>
      <c r="AY146" s="20"/>
      <c r="AZ146" s="20"/>
      <c r="BA146" s="20"/>
      <c r="BB146" s="20"/>
      <c r="BC146" s="20"/>
      <c r="BD146" s="20"/>
      <c r="BE146" s="20"/>
      <c r="BF146" s="20"/>
      <c r="BG146" s="20"/>
      <c r="BH146" s="20"/>
      <c r="BM146" s="20"/>
      <c r="BN146" s="20"/>
      <c r="BO146" s="20"/>
      <c r="BP146" s="20"/>
      <c r="BS146" s="20"/>
      <c r="BT146" s="20"/>
      <c r="BU146" s="20"/>
      <c r="BV146" s="20"/>
      <c r="BW146" s="20"/>
      <c r="BX146" s="20"/>
      <c r="BY146" s="20"/>
      <c r="BZ146" s="20"/>
      <c r="CA146" s="20"/>
      <c r="CB146" s="20"/>
      <c r="CC146" s="20"/>
      <c r="CD146" s="20"/>
      <c r="CE146" s="20"/>
      <c r="CF146" s="20"/>
      <c r="CG146" s="20"/>
      <c r="CH146" s="20"/>
      <c r="CM146" s="20"/>
      <c r="CN146" s="20"/>
      <c r="CO146" s="20"/>
      <c r="CP146" s="20"/>
      <c r="CQ146" s="20"/>
      <c r="CR146" s="20"/>
      <c r="CS146" s="20"/>
      <c r="CT146" s="20"/>
      <c r="CY146" s="20"/>
      <c r="CZ146" s="20"/>
      <c r="DA146" s="20"/>
      <c r="DB146" s="20"/>
      <c r="DC146" s="20"/>
      <c r="DD146" s="20"/>
      <c r="DE146" s="20"/>
      <c r="DF146" s="20"/>
      <c r="DG146" s="20"/>
      <c r="DH146" s="20"/>
      <c r="DI146" s="20"/>
      <c r="DJ146" s="20"/>
      <c r="DK146" s="20"/>
      <c r="DL146" s="20"/>
      <c r="DM146" s="20"/>
      <c r="DN146" s="20"/>
      <c r="DO146" s="20"/>
      <c r="DP146" s="20"/>
      <c r="DQ146" s="20"/>
      <c r="DR146" s="20"/>
      <c r="DS146" s="20"/>
      <c r="DT146" s="20"/>
    </row>
    <row r="147" spans="1:124" x14ac:dyDescent="0.25">
      <c r="A147" s="23" t="s">
        <v>4317</v>
      </c>
      <c r="B147" s="23" t="s">
        <v>3967</v>
      </c>
      <c r="E147" s="20"/>
      <c r="F147" s="20"/>
      <c r="G147" s="20"/>
      <c r="H147" s="20"/>
      <c r="I147" s="20"/>
      <c r="J147" s="20"/>
      <c r="K147" s="20"/>
      <c r="L147" s="20"/>
      <c r="O147" s="20"/>
      <c r="P147" s="20"/>
      <c r="Q147" s="20"/>
      <c r="R147" s="20"/>
      <c r="S147" s="20"/>
      <c r="T147" s="20"/>
      <c r="U147" s="20"/>
      <c r="V147" s="20"/>
      <c r="W147" s="20"/>
      <c r="X147" s="20"/>
      <c r="Y147" s="20"/>
      <c r="Z147" s="20"/>
      <c r="AA147" s="20"/>
      <c r="AB147" s="20"/>
      <c r="AC147" s="20"/>
      <c r="AD147" s="20"/>
      <c r="AE147" s="20"/>
      <c r="AF147" s="20"/>
      <c r="AG147" s="20"/>
      <c r="AH147" s="20"/>
      <c r="AI147" s="20"/>
      <c r="AJ147" s="20"/>
      <c r="AK147" s="20"/>
      <c r="AL147" s="20"/>
      <c r="AM147" s="20"/>
      <c r="AN147" s="20"/>
      <c r="AO147" s="20"/>
      <c r="AP147" s="20"/>
      <c r="AQ147" s="20"/>
      <c r="AR147" s="20"/>
      <c r="AS147" s="20"/>
      <c r="AT147" s="20"/>
      <c r="AU147" s="20"/>
      <c r="AV147" s="20"/>
      <c r="AW147" s="20"/>
      <c r="AX147" s="20"/>
      <c r="AY147" s="20"/>
      <c r="AZ147" s="20"/>
      <c r="BA147" s="20"/>
      <c r="BB147" s="20"/>
      <c r="BC147" s="20"/>
      <c r="BD147" s="20"/>
      <c r="BE147" s="20"/>
      <c r="BF147" s="20"/>
      <c r="BG147" s="20"/>
      <c r="BH147" s="20"/>
      <c r="BM147" s="20"/>
      <c r="BN147" s="20"/>
      <c r="BO147" s="20"/>
      <c r="BP147" s="20"/>
      <c r="BS147" s="20"/>
      <c r="BT147" s="20"/>
      <c r="BU147" s="20"/>
      <c r="BV147" s="20"/>
      <c r="BW147" s="20"/>
      <c r="BX147" s="20"/>
      <c r="BY147" s="20"/>
      <c r="BZ147" s="20"/>
      <c r="CA147" s="20"/>
      <c r="CB147" s="20"/>
      <c r="CC147" s="20"/>
      <c r="CD147" s="20"/>
      <c r="CE147" s="20"/>
      <c r="CF147" s="20"/>
      <c r="CG147" s="20"/>
      <c r="CH147" s="20"/>
      <c r="CM147" s="20"/>
      <c r="CN147" s="20"/>
      <c r="CO147" s="20"/>
      <c r="CP147" s="20"/>
      <c r="CQ147" s="20"/>
      <c r="CR147" s="20"/>
      <c r="CS147" s="20"/>
      <c r="CT147" s="20"/>
      <c r="CY147" s="20"/>
      <c r="CZ147" s="20"/>
      <c r="DA147" s="20"/>
      <c r="DB147" s="20"/>
      <c r="DC147" s="20"/>
      <c r="DD147" s="20"/>
      <c r="DE147" s="20"/>
      <c r="DF147" s="20"/>
      <c r="DG147" s="20"/>
      <c r="DH147" s="20"/>
      <c r="DI147" s="20"/>
      <c r="DJ147" s="20"/>
      <c r="DK147" s="20"/>
      <c r="DL147" s="20"/>
      <c r="DM147" s="20"/>
      <c r="DN147" s="20"/>
      <c r="DO147" s="20"/>
      <c r="DP147" s="20"/>
      <c r="DQ147" s="20"/>
      <c r="DR147" s="20"/>
      <c r="DS147" s="20"/>
      <c r="DT147" s="20"/>
    </row>
    <row r="148" spans="1:124" x14ac:dyDescent="0.25">
      <c r="A148" s="23" t="s">
        <v>4283</v>
      </c>
      <c r="B148" s="23" t="s">
        <v>3967</v>
      </c>
      <c r="E148" s="20"/>
      <c r="F148" s="20"/>
      <c r="G148" s="20"/>
      <c r="H148" s="20"/>
      <c r="I148" s="20"/>
      <c r="J148" s="20"/>
      <c r="K148" s="20"/>
      <c r="L148" s="20"/>
      <c r="O148" s="20"/>
      <c r="P148" s="20"/>
      <c r="Q148" s="20"/>
      <c r="R148" s="20"/>
      <c r="S148" s="20"/>
      <c r="T148" s="20"/>
      <c r="U148" s="20"/>
      <c r="V148" s="20"/>
      <c r="W148" s="20"/>
      <c r="X148" s="20"/>
      <c r="Y148" s="20"/>
      <c r="Z148" s="20"/>
      <c r="AA148" s="20"/>
      <c r="AB148" s="20"/>
      <c r="AC148" s="20"/>
      <c r="AD148" s="20"/>
      <c r="AE148" s="20"/>
      <c r="AF148" s="20"/>
      <c r="AG148" s="20"/>
      <c r="AH148" s="20"/>
      <c r="AI148" s="20"/>
      <c r="AJ148" s="20"/>
      <c r="AK148" s="20"/>
      <c r="AL148" s="20"/>
      <c r="AM148" s="20"/>
      <c r="AN148" s="20"/>
      <c r="AO148" s="20"/>
      <c r="AP148" s="20"/>
      <c r="AQ148" s="20"/>
      <c r="AR148" s="20"/>
      <c r="AS148" s="20"/>
      <c r="AT148" s="20"/>
      <c r="AU148" s="20"/>
      <c r="AV148" s="20"/>
      <c r="AW148" s="20"/>
      <c r="AX148" s="20"/>
      <c r="AY148" s="20"/>
      <c r="AZ148" s="20"/>
      <c r="BA148" s="20"/>
      <c r="BB148" s="20"/>
      <c r="BC148" s="20"/>
      <c r="BD148" s="20"/>
      <c r="BE148" s="20"/>
      <c r="BF148" s="20"/>
      <c r="BG148" s="20"/>
      <c r="BH148" s="20"/>
      <c r="BM148" s="20"/>
      <c r="BN148" s="20"/>
      <c r="BO148" s="20"/>
      <c r="BP148" s="20"/>
      <c r="BS148" s="20"/>
      <c r="BT148" s="20"/>
      <c r="BU148" s="20"/>
      <c r="BV148" s="20"/>
      <c r="BW148" s="20"/>
      <c r="BX148" s="20"/>
      <c r="BY148" s="20"/>
      <c r="BZ148" s="20"/>
      <c r="CA148" s="20"/>
      <c r="CB148" s="20"/>
      <c r="CC148" s="20"/>
      <c r="CD148" s="20"/>
      <c r="CE148" s="20"/>
      <c r="CF148" s="20"/>
      <c r="CG148" s="20"/>
      <c r="CH148" s="20"/>
      <c r="CM148" s="20"/>
      <c r="CN148" s="20"/>
      <c r="CO148" s="20"/>
      <c r="CP148" s="20"/>
      <c r="CQ148" s="20"/>
      <c r="CR148" s="20"/>
      <c r="CS148" s="20"/>
      <c r="CT148" s="20"/>
      <c r="CY148" s="20"/>
      <c r="CZ148" s="20"/>
      <c r="DA148" s="20"/>
      <c r="DB148" s="20"/>
      <c r="DC148" s="20"/>
      <c r="DD148" s="20"/>
      <c r="DE148" s="20"/>
      <c r="DF148" s="20"/>
      <c r="DG148" s="20"/>
      <c r="DH148" s="20"/>
      <c r="DI148" s="20"/>
      <c r="DJ148" s="20"/>
      <c r="DK148" s="20"/>
      <c r="DL148" s="20"/>
      <c r="DM148" s="20"/>
      <c r="DN148" s="20"/>
      <c r="DO148" s="20"/>
      <c r="DP148" s="20"/>
      <c r="DQ148" s="20"/>
      <c r="DR148" s="20"/>
      <c r="DS148" s="20"/>
      <c r="DT148" s="20"/>
    </row>
    <row r="149" spans="1:124" x14ac:dyDescent="0.25">
      <c r="A149" s="23">
        <v>377438344</v>
      </c>
      <c r="B149" s="23" t="s">
        <v>3967</v>
      </c>
      <c r="E149" s="20"/>
      <c r="F149" s="20"/>
      <c r="G149" s="20"/>
      <c r="H149" s="20"/>
      <c r="I149" s="20"/>
      <c r="J149" s="20"/>
      <c r="K149" s="20"/>
      <c r="L149" s="20"/>
      <c r="O149" s="20"/>
      <c r="P149" s="20"/>
      <c r="Q149" s="20"/>
      <c r="R149" s="20"/>
      <c r="S149" s="20"/>
      <c r="T149" s="20"/>
      <c r="U149" s="20"/>
      <c r="V149" s="20"/>
      <c r="W149" s="20"/>
      <c r="X149" s="20"/>
      <c r="Y149" s="20"/>
      <c r="Z149" s="20"/>
      <c r="AA149" s="20"/>
      <c r="AB149" s="20"/>
      <c r="AC149" s="20"/>
      <c r="AD149" s="20"/>
      <c r="AE149" s="20"/>
      <c r="AF149" s="20"/>
      <c r="AG149" s="20"/>
      <c r="AH149" s="20"/>
      <c r="AI149" s="20"/>
      <c r="AJ149" s="20"/>
      <c r="AK149" s="20"/>
      <c r="AL149" s="20"/>
      <c r="AM149" s="20"/>
      <c r="AN149" s="20"/>
      <c r="AO149" s="20"/>
      <c r="AP149" s="20"/>
      <c r="AQ149" s="20"/>
      <c r="AR149" s="20"/>
      <c r="AS149" s="20"/>
      <c r="AT149" s="20"/>
      <c r="AU149" s="20"/>
      <c r="AV149" s="20"/>
      <c r="AW149" s="20"/>
      <c r="AX149" s="20"/>
      <c r="AY149" s="20"/>
      <c r="AZ149" s="20"/>
      <c r="BA149" s="20"/>
      <c r="BB149" s="20"/>
      <c r="BC149" s="20"/>
      <c r="BD149" s="20"/>
      <c r="BE149" s="20"/>
      <c r="BF149" s="20"/>
      <c r="BG149" s="20"/>
      <c r="BH149" s="20"/>
      <c r="BM149" s="20"/>
      <c r="BN149" s="20"/>
      <c r="BO149" s="20"/>
      <c r="BP149" s="20"/>
      <c r="BS149" s="20"/>
      <c r="BT149" s="20"/>
      <c r="BU149" s="20"/>
      <c r="BV149" s="20"/>
      <c r="BW149" s="20"/>
      <c r="BX149" s="20"/>
      <c r="BY149" s="20"/>
      <c r="BZ149" s="20"/>
      <c r="CA149" s="20"/>
      <c r="CB149" s="20"/>
      <c r="CC149" s="20"/>
      <c r="CD149" s="20"/>
      <c r="CE149" s="20"/>
      <c r="CF149" s="20"/>
      <c r="CG149" s="20"/>
      <c r="CH149" s="20"/>
      <c r="CM149" s="20"/>
      <c r="CN149" s="20"/>
      <c r="CO149" s="20"/>
      <c r="CP149" s="20"/>
      <c r="CQ149" s="20"/>
      <c r="CR149" s="20"/>
      <c r="CS149" s="20"/>
      <c r="CT149" s="20"/>
      <c r="CY149" s="20"/>
      <c r="CZ149" s="20"/>
      <c r="DA149" s="20"/>
      <c r="DB149" s="20"/>
      <c r="DC149" s="20"/>
      <c r="DD149" s="20"/>
      <c r="DE149" s="20"/>
      <c r="DF149" s="20"/>
      <c r="DG149" s="20"/>
      <c r="DH149" s="20"/>
      <c r="DI149" s="20"/>
      <c r="DJ149" s="20"/>
      <c r="DK149" s="20"/>
      <c r="DL149" s="20"/>
      <c r="DM149" s="20"/>
      <c r="DN149" s="20"/>
      <c r="DO149" s="20"/>
      <c r="DP149" s="20"/>
      <c r="DQ149" s="20"/>
      <c r="DR149" s="20"/>
      <c r="DS149" s="20"/>
      <c r="DT149" s="20"/>
    </row>
    <row r="150" spans="1:124" x14ac:dyDescent="0.25">
      <c r="A150" s="23" t="s">
        <v>4311</v>
      </c>
      <c r="B150" s="23" t="s">
        <v>3967</v>
      </c>
      <c r="E150" s="20"/>
      <c r="F150" s="20"/>
      <c r="G150" s="20"/>
      <c r="H150" s="20"/>
      <c r="I150" s="20"/>
      <c r="J150" s="20"/>
      <c r="K150" s="20"/>
      <c r="L150" s="20"/>
      <c r="O150" s="20"/>
      <c r="P150" s="20"/>
      <c r="Q150" s="20"/>
      <c r="R150" s="20"/>
      <c r="S150" s="20"/>
      <c r="T150" s="20"/>
      <c r="U150" s="20"/>
      <c r="V150" s="20"/>
      <c r="W150" s="20"/>
      <c r="X150" s="20"/>
      <c r="Y150" s="20"/>
      <c r="Z150" s="20"/>
      <c r="AA150" s="20"/>
      <c r="AB150" s="20"/>
      <c r="AC150" s="20"/>
      <c r="AD150" s="20"/>
      <c r="AE150" s="20"/>
      <c r="AF150" s="20"/>
      <c r="AG150" s="20"/>
      <c r="AH150" s="20"/>
      <c r="AI150" s="20"/>
      <c r="AJ150" s="20"/>
      <c r="AK150" s="20"/>
      <c r="AL150" s="20"/>
      <c r="AM150" s="20"/>
      <c r="AN150" s="20"/>
      <c r="AO150" s="20"/>
      <c r="AP150" s="20"/>
      <c r="AQ150" s="20"/>
      <c r="AR150" s="20"/>
      <c r="AS150" s="20"/>
      <c r="AT150" s="20"/>
      <c r="AU150" s="20"/>
      <c r="AV150" s="20"/>
      <c r="AW150" s="20"/>
      <c r="AX150" s="20"/>
      <c r="AY150" s="20"/>
      <c r="AZ150" s="20"/>
      <c r="BA150" s="20"/>
      <c r="BB150" s="20"/>
      <c r="BC150" s="20"/>
      <c r="BD150" s="20"/>
      <c r="BE150" s="20"/>
      <c r="BF150" s="20"/>
      <c r="BG150" s="20"/>
      <c r="BH150" s="20"/>
      <c r="BM150" s="20"/>
      <c r="BN150" s="20"/>
      <c r="BO150" s="20"/>
      <c r="BP150" s="20"/>
      <c r="BS150" s="20"/>
      <c r="BT150" s="20"/>
      <c r="BU150" s="20"/>
      <c r="BV150" s="20"/>
      <c r="BW150" s="20"/>
      <c r="BX150" s="20"/>
      <c r="BY150" s="20"/>
      <c r="BZ150" s="20"/>
      <c r="CA150" s="20"/>
      <c r="CB150" s="20"/>
      <c r="CC150" s="20"/>
      <c r="CD150" s="20"/>
      <c r="CE150" s="20"/>
      <c r="CF150" s="20"/>
      <c r="CG150" s="20"/>
      <c r="CH150" s="20"/>
      <c r="CM150" s="20"/>
      <c r="CN150" s="20"/>
      <c r="CO150" s="20"/>
      <c r="CP150" s="20"/>
      <c r="CQ150" s="20"/>
      <c r="CR150" s="20"/>
      <c r="CS150" s="20"/>
      <c r="CT150" s="20"/>
      <c r="CY150" s="20"/>
      <c r="CZ150" s="20"/>
      <c r="DA150" s="20"/>
      <c r="DB150" s="20"/>
      <c r="DC150" s="20"/>
      <c r="DD150" s="20"/>
      <c r="DE150" s="20"/>
      <c r="DF150" s="20"/>
      <c r="DG150" s="20"/>
      <c r="DH150" s="20"/>
      <c r="DI150" s="20"/>
      <c r="DJ150" s="20"/>
      <c r="DK150" s="20"/>
      <c r="DL150" s="20"/>
      <c r="DM150" s="20"/>
      <c r="DN150" s="20"/>
      <c r="DO150" s="20"/>
      <c r="DP150" s="20"/>
      <c r="DQ150" s="20"/>
      <c r="DR150" s="20"/>
      <c r="DS150" s="20"/>
      <c r="DT150" s="20"/>
    </row>
    <row r="151" spans="1:124" x14ac:dyDescent="0.25">
      <c r="A151" s="23" t="s">
        <v>4324</v>
      </c>
      <c r="B151" s="23" t="s">
        <v>3967</v>
      </c>
      <c r="E151" s="20"/>
      <c r="F151" s="20"/>
      <c r="G151" s="20"/>
      <c r="H151" s="20"/>
      <c r="I151" s="20"/>
      <c r="J151" s="20"/>
      <c r="K151" s="20"/>
      <c r="L151" s="20"/>
      <c r="O151" s="20"/>
      <c r="P151" s="20"/>
      <c r="Q151" s="20"/>
      <c r="R151" s="20"/>
      <c r="S151" s="20"/>
      <c r="T151" s="20"/>
      <c r="U151" s="20"/>
      <c r="V151" s="20"/>
      <c r="W151" s="20"/>
      <c r="X151" s="20"/>
      <c r="Y151" s="20"/>
      <c r="Z151" s="20"/>
      <c r="AA151" s="20"/>
      <c r="AB151" s="20"/>
      <c r="AC151" s="20"/>
      <c r="AD151" s="20"/>
      <c r="AE151" s="20"/>
      <c r="AF151" s="20"/>
      <c r="AG151" s="20"/>
      <c r="AH151" s="20"/>
      <c r="AI151" s="20"/>
      <c r="AJ151" s="20"/>
      <c r="AK151" s="20"/>
      <c r="AL151" s="20"/>
      <c r="AM151" s="20"/>
      <c r="AN151" s="20"/>
      <c r="AO151" s="20"/>
      <c r="AP151" s="20"/>
      <c r="AQ151" s="20"/>
      <c r="AR151" s="20"/>
      <c r="AS151" s="20"/>
      <c r="AT151" s="20"/>
      <c r="AU151" s="20"/>
      <c r="AV151" s="20"/>
      <c r="AW151" s="20"/>
      <c r="AX151" s="20"/>
      <c r="AY151" s="20"/>
      <c r="AZ151" s="20"/>
      <c r="BA151" s="20"/>
      <c r="BB151" s="20"/>
      <c r="BC151" s="20"/>
      <c r="BD151" s="20"/>
      <c r="BE151" s="20"/>
      <c r="BF151" s="20"/>
      <c r="BG151" s="20"/>
      <c r="BH151" s="20"/>
      <c r="BM151" s="20"/>
      <c r="BN151" s="20"/>
      <c r="BO151" s="20"/>
      <c r="BP151" s="20"/>
      <c r="BS151" s="20"/>
      <c r="BT151" s="20"/>
      <c r="BU151" s="20"/>
      <c r="BV151" s="20"/>
      <c r="BW151" s="20"/>
      <c r="BX151" s="20"/>
      <c r="BY151" s="20"/>
      <c r="BZ151" s="20"/>
      <c r="CA151" s="20"/>
      <c r="CB151" s="20"/>
      <c r="CC151" s="20"/>
      <c r="CD151" s="20"/>
      <c r="CE151" s="20"/>
      <c r="CF151" s="20"/>
      <c r="CG151" s="20"/>
      <c r="CH151" s="20"/>
      <c r="CM151" s="20"/>
      <c r="CN151" s="20"/>
      <c r="CO151" s="20"/>
      <c r="CP151" s="20"/>
      <c r="CQ151" s="20"/>
      <c r="CR151" s="20"/>
      <c r="CS151" s="20"/>
      <c r="CT151" s="20"/>
      <c r="CY151" s="20"/>
      <c r="CZ151" s="20"/>
      <c r="DA151" s="20"/>
      <c r="DB151" s="20"/>
      <c r="DC151" s="20"/>
      <c r="DD151" s="20"/>
      <c r="DE151" s="20"/>
      <c r="DF151" s="20"/>
      <c r="DG151" s="20"/>
      <c r="DH151" s="20"/>
      <c r="DI151" s="20"/>
      <c r="DJ151" s="20"/>
      <c r="DK151" s="20"/>
      <c r="DL151" s="20"/>
      <c r="DM151" s="20"/>
      <c r="DN151" s="20"/>
      <c r="DO151" s="20"/>
      <c r="DP151" s="20"/>
      <c r="DQ151" s="20"/>
      <c r="DR151" s="20"/>
      <c r="DS151" s="20"/>
      <c r="DT151" s="20"/>
    </row>
    <row r="152" spans="1:124" x14ac:dyDescent="0.25">
      <c r="A152" s="23" t="s">
        <v>4335</v>
      </c>
      <c r="B152" s="23" t="s">
        <v>3967</v>
      </c>
      <c r="E152" s="20"/>
      <c r="F152" s="20"/>
      <c r="G152" s="20"/>
      <c r="H152" s="20"/>
      <c r="I152" s="20"/>
      <c r="J152" s="20"/>
      <c r="K152" s="20"/>
      <c r="L152" s="20"/>
      <c r="O152" s="20"/>
      <c r="P152" s="20"/>
      <c r="Q152" s="20"/>
      <c r="R152" s="20"/>
      <c r="S152" s="20"/>
      <c r="T152" s="20"/>
      <c r="U152" s="20"/>
      <c r="V152" s="20"/>
      <c r="W152" s="20"/>
      <c r="X152" s="20"/>
      <c r="Y152" s="20"/>
      <c r="Z152" s="20"/>
      <c r="AA152" s="20"/>
      <c r="AB152" s="20"/>
      <c r="AC152" s="20"/>
      <c r="AD152" s="20"/>
      <c r="AE152" s="20"/>
      <c r="AF152" s="20"/>
      <c r="AG152" s="20"/>
      <c r="AH152" s="20"/>
      <c r="AI152" s="20"/>
      <c r="AJ152" s="20"/>
      <c r="AK152" s="20"/>
      <c r="AL152" s="20"/>
      <c r="AM152" s="20"/>
      <c r="AN152" s="20"/>
      <c r="AO152" s="20"/>
      <c r="AP152" s="20"/>
      <c r="AQ152" s="20"/>
      <c r="AR152" s="20"/>
      <c r="AS152" s="20"/>
      <c r="AT152" s="20"/>
      <c r="AU152" s="20"/>
      <c r="AV152" s="20"/>
      <c r="AW152" s="20"/>
      <c r="AX152" s="20"/>
      <c r="AY152" s="20"/>
      <c r="AZ152" s="20"/>
      <c r="BA152" s="20"/>
      <c r="BB152" s="20"/>
      <c r="BC152" s="20"/>
      <c r="BD152" s="20"/>
      <c r="BE152" s="20"/>
      <c r="BF152" s="20"/>
      <c r="BG152" s="20"/>
      <c r="BH152" s="20"/>
      <c r="BM152" s="20"/>
      <c r="BN152" s="20"/>
      <c r="BO152" s="20"/>
      <c r="BP152" s="20"/>
      <c r="BS152" s="20"/>
      <c r="BT152" s="20"/>
      <c r="BU152" s="20"/>
      <c r="BV152" s="20"/>
      <c r="BW152" s="20"/>
      <c r="BX152" s="20"/>
      <c r="BY152" s="20"/>
      <c r="BZ152" s="20"/>
      <c r="CA152" s="20"/>
      <c r="CB152" s="20"/>
      <c r="CC152" s="20"/>
      <c r="CD152" s="20"/>
      <c r="CE152" s="20"/>
      <c r="CF152" s="20"/>
      <c r="CG152" s="20"/>
      <c r="CH152" s="20"/>
      <c r="CM152" s="20"/>
      <c r="CN152" s="20"/>
      <c r="CO152" s="20"/>
      <c r="CP152" s="20"/>
      <c r="CQ152" s="20"/>
      <c r="CR152" s="20"/>
      <c r="CS152" s="20"/>
      <c r="CT152" s="20"/>
      <c r="CY152" s="20"/>
      <c r="CZ152" s="20"/>
      <c r="DA152" s="20"/>
      <c r="DB152" s="20"/>
      <c r="DC152" s="20"/>
      <c r="DD152" s="20"/>
      <c r="DE152" s="20"/>
      <c r="DF152" s="20"/>
      <c r="DG152" s="20"/>
      <c r="DH152" s="20"/>
      <c r="DI152" s="20"/>
      <c r="DJ152" s="20"/>
      <c r="DK152" s="20"/>
      <c r="DL152" s="20"/>
      <c r="DM152" s="20"/>
      <c r="DN152" s="20"/>
      <c r="DO152" s="20"/>
      <c r="DP152" s="20"/>
      <c r="DQ152" s="20"/>
      <c r="DR152" s="20"/>
      <c r="DS152" s="20"/>
      <c r="DT152" s="20"/>
    </row>
    <row r="153" spans="1:124" x14ac:dyDescent="0.25">
      <c r="A153" s="23" t="s">
        <v>4345</v>
      </c>
      <c r="B153" s="23" t="s">
        <v>3967</v>
      </c>
      <c r="E153" s="20"/>
      <c r="F153" s="20"/>
      <c r="G153" s="20"/>
      <c r="H153" s="20"/>
      <c r="I153" s="20"/>
      <c r="J153" s="20"/>
      <c r="K153" s="20"/>
      <c r="L153" s="20"/>
      <c r="O153" s="20"/>
      <c r="P153" s="20"/>
      <c r="Q153" s="20"/>
      <c r="R153" s="20"/>
      <c r="S153" s="20"/>
      <c r="T153" s="20"/>
      <c r="U153" s="20"/>
      <c r="V153" s="20"/>
      <c r="W153" s="20"/>
      <c r="X153" s="20"/>
      <c r="Y153" s="20"/>
      <c r="Z153" s="20"/>
      <c r="AA153" s="20"/>
      <c r="AB153" s="20"/>
      <c r="AC153" s="20"/>
      <c r="AD153" s="20"/>
      <c r="AE153" s="20"/>
      <c r="AF153" s="20"/>
      <c r="AG153" s="20"/>
      <c r="AH153" s="20"/>
      <c r="AI153" s="20"/>
      <c r="AJ153" s="20"/>
      <c r="AK153" s="20"/>
      <c r="AL153" s="20"/>
      <c r="AM153" s="20"/>
      <c r="AN153" s="20"/>
      <c r="AO153" s="20"/>
      <c r="AP153" s="20"/>
      <c r="AQ153" s="20"/>
      <c r="AR153" s="20"/>
      <c r="AS153" s="20"/>
      <c r="AT153" s="20"/>
      <c r="AU153" s="20"/>
      <c r="AV153" s="20"/>
      <c r="AW153" s="20"/>
      <c r="AX153" s="20"/>
      <c r="AY153" s="20"/>
      <c r="AZ153" s="20"/>
      <c r="BA153" s="20"/>
      <c r="BB153" s="20"/>
      <c r="BC153" s="20"/>
      <c r="BD153" s="20"/>
      <c r="BE153" s="20"/>
      <c r="BF153" s="20"/>
      <c r="BG153" s="20"/>
      <c r="BH153" s="20"/>
      <c r="BM153" s="20"/>
      <c r="BN153" s="20"/>
      <c r="BO153" s="20"/>
      <c r="BP153" s="20"/>
      <c r="BS153" s="20"/>
      <c r="BT153" s="20"/>
      <c r="BU153" s="20"/>
      <c r="BV153" s="20"/>
      <c r="BW153" s="20"/>
      <c r="BX153" s="20"/>
      <c r="BY153" s="20"/>
      <c r="BZ153" s="20"/>
      <c r="CA153" s="20"/>
      <c r="CB153" s="20"/>
      <c r="CC153" s="20"/>
      <c r="CD153" s="20"/>
      <c r="CE153" s="20"/>
      <c r="CF153" s="20"/>
      <c r="CG153" s="20"/>
      <c r="CH153" s="20"/>
      <c r="CM153" s="20"/>
      <c r="CN153" s="20"/>
      <c r="CO153" s="20"/>
      <c r="CP153" s="20"/>
      <c r="CQ153" s="20"/>
      <c r="CR153" s="20"/>
      <c r="CS153" s="20"/>
      <c r="CT153" s="20"/>
      <c r="CY153" s="20"/>
      <c r="CZ153" s="20"/>
      <c r="DA153" s="20"/>
      <c r="DB153" s="20"/>
      <c r="DC153" s="20"/>
      <c r="DD153" s="20"/>
      <c r="DE153" s="20"/>
      <c r="DF153" s="20"/>
      <c r="DG153" s="20"/>
      <c r="DH153" s="20"/>
      <c r="DI153" s="20"/>
      <c r="DJ153" s="20"/>
      <c r="DK153" s="20"/>
      <c r="DL153" s="20"/>
      <c r="DM153" s="20"/>
      <c r="DN153" s="20"/>
      <c r="DO153" s="20"/>
      <c r="DP153" s="20"/>
      <c r="DQ153" s="20"/>
      <c r="DR153" s="20"/>
      <c r="DS153" s="20"/>
      <c r="DT153" s="20"/>
    </row>
    <row r="154" spans="1:124" x14ac:dyDescent="0.25">
      <c r="A154" s="23" t="s">
        <v>4355</v>
      </c>
      <c r="B154" s="23" t="s">
        <v>3967</v>
      </c>
      <c r="E154" s="20"/>
      <c r="F154" s="20"/>
      <c r="G154" s="20"/>
      <c r="H154" s="20"/>
      <c r="I154" s="20"/>
      <c r="J154" s="20"/>
      <c r="K154" s="20"/>
      <c r="L154" s="20"/>
      <c r="O154" s="20"/>
      <c r="P154" s="20"/>
      <c r="Q154" s="20"/>
      <c r="R154" s="20"/>
      <c r="S154" s="20"/>
      <c r="T154" s="20"/>
      <c r="U154" s="20"/>
      <c r="V154" s="20"/>
      <c r="W154" s="20"/>
      <c r="X154" s="20"/>
      <c r="Y154" s="20"/>
      <c r="Z154" s="20"/>
      <c r="AA154" s="20"/>
      <c r="AB154" s="20"/>
      <c r="AC154" s="20"/>
      <c r="AD154" s="20"/>
      <c r="AE154" s="20"/>
      <c r="AF154" s="20"/>
      <c r="AG154" s="20"/>
      <c r="AH154" s="20"/>
      <c r="AI154" s="20"/>
      <c r="AJ154" s="20"/>
      <c r="AK154" s="20"/>
      <c r="AL154" s="20"/>
      <c r="AM154" s="20"/>
      <c r="AN154" s="20"/>
      <c r="AO154" s="20"/>
      <c r="AP154" s="20"/>
      <c r="AQ154" s="20"/>
      <c r="AR154" s="20"/>
      <c r="AS154" s="20"/>
      <c r="AT154" s="20"/>
      <c r="AU154" s="20"/>
      <c r="AV154" s="20"/>
      <c r="AW154" s="20"/>
      <c r="AX154" s="20"/>
      <c r="AY154" s="20"/>
      <c r="AZ154" s="20"/>
      <c r="BA154" s="20"/>
      <c r="BB154" s="20"/>
      <c r="BC154" s="20"/>
      <c r="BD154" s="20"/>
      <c r="BE154" s="20"/>
      <c r="BF154" s="20"/>
      <c r="BG154" s="20"/>
      <c r="BH154" s="20"/>
      <c r="BM154" s="20"/>
      <c r="BN154" s="20"/>
      <c r="BO154" s="20"/>
      <c r="BP154" s="20"/>
      <c r="BS154" s="20"/>
      <c r="BT154" s="20"/>
      <c r="BU154" s="20"/>
      <c r="BV154" s="20"/>
      <c r="BW154" s="20"/>
      <c r="BX154" s="20"/>
      <c r="BY154" s="20"/>
      <c r="BZ154" s="20"/>
      <c r="CA154" s="20"/>
      <c r="CB154" s="20"/>
      <c r="CC154" s="20"/>
      <c r="CD154" s="20"/>
      <c r="CE154" s="20"/>
      <c r="CF154" s="20"/>
      <c r="CG154" s="20"/>
      <c r="CH154" s="20"/>
      <c r="CM154" s="20"/>
      <c r="CN154" s="20"/>
      <c r="CO154" s="20"/>
      <c r="CP154" s="20"/>
      <c r="CQ154" s="20"/>
      <c r="CR154" s="20"/>
      <c r="CS154" s="20"/>
      <c r="CT154" s="20"/>
      <c r="CY154" s="20"/>
      <c r="CZ154" s="20"/>
      <c r="DA154" s="20"/>
      <c r="DB154" s="20"/>
      <c r="DC154" s="20"/>
      <c r="DD154" s="20"/>
      <c r="DE154" s="20"/>
      <c r="DF154" s="20"/>
      <c r="DG154" s="20"/>
      <c r="DH154" s="20"/>
      <c r="DI154" s="20"/>
      <c r="DJ154" s="20"/>
      <c r="DK154" s="20"/>
      <c r="DL154" s="20"/>
      <c r="DM154" s="20"/>
      <c r="DN154" s="20"/>
      <c r="DO154" s="20"/>
      <c r="DP154" s="20"/>
      <c r="DQ154" s="20"/>
      <c r="DR154" s="20"/>
      <c r="DS154" s="20"/>
      <c r="DT154" s="20"/>
    </row>
    <row r="155" spans="1:124" x14ac:dyDescent="0.25">
      <c r="A155" s="23" t="s">
        <v>4226</v>
      </c>
      <c r="B155" s="23" t="s">
        <v>3967</v>
      </c>
      <c r="E155" s="20"/>
      <c r="F155" s="20"/>
      <c r="G155" s="20"/>
      <c r="H155" s="20"/>
      <c r="I155" s="20"/>
      <c r="J155" s="20"/>
      <c r="K155" s="20"/>
      <c r="L155" s="20"/>
      <c r="O155" s="20"/>
      <c r="P155" s="20"/>
      <c r="Q155" s="20"/>
      <c r="R155" s="20"/>
      <c r="S155" s="20"/>
      <c r="T155" s="20"/>
      <c r="U155" s="20"/>
      <c r="V155" s="20"/>
      <c r="W155" s="20"/>
      <c r="X155" s="20"/>
      <c r="Y155" s="20"/>
      <c r="Z155" s="20"/>
      <c r="AA155" s="20"/>
      <c r="AB155" s="20"/>
      <c r="AC155" s="20"/>
      <c r="AD155" s="20"/>
      <c r="AE155" s="20"/>
      <c r="AF155" s="20"/>
      <c r="AG155" s="20"/>
      <c r="AH155" s="20"/>
      <c r="AI155" s="20"/>
      <c r="AJ155" s="20"/>
      <c r="AK155" s="20"/>
      <c r="AL155" s="20"/>
      <c r="AM155" s="20"/>
      <c r="AN155" s="20"/>
      <c r="AO155" s="20"/>
      <c r="AP155" s="20"/>
      <c r="AQ155" s="20"/>
      <c r="AR155" s="20"/>
      <c r="AS155" s="20"/>
      <c r="AT155" s="20"/>
      <c r="AU155" s="20"/>
      <c r="AV155" s="20"/>
      <c r="AW155" s="20"/>
      <c r="AX155" s="20"/>
      <c r="AY155" s="20"/>
      <c r="AZ155" s="20"/>
      <c r="BA155" s="20"/>
      <c r="BB155" s="20"/>
      <c r="BC155" s="20"/>
      <c r="BD155" s="20"/>
      <c r="BE155" s="20"/>
      <c r="BF155" s="20"/>
      <c r="BG155" s="20"/>
      <c r="BH155" s="20"/>
      <c r="BM155" s="20"/>
      <c r="BN155" s="20"/>
      <c r="BO155" s="20"/>
      <c r="BP155" s="20"/>
      <c r="BS155" s="20"/>
      <c r="BT155" s="20"/>
      <c r="BU155" s="20"/>
      <c r="BV155" s="20"/>
      <c r="BW155" s="20"/>
      <c r="BX155" s="20"/>
      <c r="BY155" s="20"/>
      <c r="BZ155" s="20"/>
      <c r="CA155" s="20"/>
      <c r="CB155" s="20"/>
      <c r="CC155" s="20"/>
      <c r="CD155" s="20"/>
      <c r="CE155" s="20"/>
      <c r="CF155" s="20"/>
      <c r="CG155" s="20"/>
      <c r="CH155" s="20"/>
      <c r="CM155" s="20"/>
      <c r="CN155" s="20"/>
      <c r="CO155" s="20"/>
      <c r="CP155" s="20"/>
      <c r="CQ155" s="20"/>
      <c r="CR155" s="20"/>
      <c r="CS155" s="20"/>
      <c r="CT155" s="20"/>
      <c r="CY155" s="20"/>
      <c r="CZ155" s="20"/>
      <c r="DA155" s="20"/>
      <c r="DB155" s="20"/>
      <c r="DC155" s="20"/>
      <c r="DD155" s="20"/>
      <c r="DE155" s="20"/>
      <c r="DF155" s="20"/>
      <c r="DG155" s="20"/>
      <c r="DH155" s="20"/>
      <c r="DI155" s="20"/>
      <c r="DJ155" s="20"/>
      <c r="DK155" s="20"/>
      <c r="DL155" s="20"/>
      <c r="DM155" s="20"/>
      <c r="DN155" s="20"/>
      <c r="DO155" s="20"/>
      <c r="DP155" s="20"/>
      <c r="DQ155" s="20"/>
      <c r="DR155" s="20"/>
      <c r="DS155" s="20"/>
      <c r="DT155" s="20"/>
    </row>
    <row r="156" spans="1:124" x14ac:dyDescent="0.25">
      <c r="A156" s="23" t="s">
        <v>4234</v>
      </c>
      <c r="B156" s="23" t="s">
        <v>3967</v>
      </c>
      <c r="E156" s="20"/>
      <c r="F156" s="20"/>
      <c r="G156" s="20"/>
      <c r="H156" s="20"/>
      <c r="I156" s="20"/>
      <c r="J156" s="20"/>
      <c r="K156" s="20"/>
      <c r="L156" s="20"/>
      <c r="O156" s="20"/>
      <c r="P156" s="20"/>
      <c r="Q156" s="20"/>
      <c r="R156" s="20"/>
      <c r="S156" s="20"/>
      <c r="T156" s="20"/>
      <c r="U156" s="20"/>
      <c r="V156" s="20"/>
      <c r="W156" s="20"/>
      <c r="X156" s="20"/>
      <c r="Y156" s="20"/>
      <c r="Z156" s="20"/>
      <c r="AA156" s="20"/>
      <c r="AB156" s="20"/>
      <c r="AC156" s="20"/>
      <c r="AD156" s="20"/>
      <c r="AE156" s="20"/>
      <c r="AF156" s="20"/>
      <c r="AG156" s="20"/>
      <c r="AH156" s="20"/>
      <c r="AI156" s="20"/>
      <c r="AJ156" s="20"/>
      <c r="AK156" s="20"/>
      <c r="AL156" s="20"/>
      <c r="AM156" s="20"/>
      <c r="AN156" s="20"/>
      <c r="AO156" s="20"/>
      <c r="AP156" s="20"/>
      <c r="AQ156" s="20"/>
      <c r="AR156" s="20"/>
      <c r="AS156" s="20"/>
      <c r="AT156" s="20"/>
      <c r="AU156" s="20"/>
      <c r="AV156" s="20"/>
      <c r="AW156" s="20"/>
      <c r="AX156" s="20"/>
      <c r="AY156" s="20"/>
      <c r="AZ156" s="20"/>
      <c r="BA156" s="20"/>
      <c r="BB156" s="20"/>
      <c r="BC156" s="20"/>
      <c r="BD156" s="20"/>
      <c r="BE156" s="20"/>
      <c r="BF156" s="20"/>
      <c r="BG156" s="20"/>
      <c r="BH156" s="20"/>
      <c r="BM156" s="20"/>
      <c r="BN156" s="20"/>
      <c r="BO156" s="20"/>
      <c r="BP156" s="20"/>
      <c r="BS156" s="20"/>
      <c r="BT156" s="20"/>
      <c r="BU156" s="20"/>
      <c r="BV156" s="20"/>
      <c r="BW156" s="20"/>
      <c r="BX156" s="20"/>
      <c r="BY156" s="20"/>
      <c r="BZ156" s="20"/>
      <c r="CA156" s="20"/>
      <c r="CB156" s="20"/>
      <c r="CC156" s="20"/>
      <c r="CD156" s="20"/>
      <c r="CE156" s="20"/>
      <c r="CF156" s="20"/>
      <c r="CG156" s="20"/>
      <c r="CH156" s="20"/>
      <c r="CM156" s="20"/>
      <c r="CN156" s="20"/>
      <c r="CO156" s="20"/>
      <c r="CP156" s="20"/>
      <c r="CQ156" s="20"/>
      <c r="CR156" s="20"/>
      <c r="CS156" s="20"/>
      <c r="CT156" s="20"/>
      <c r="CY156" s="20"/>
      <c r="CZ156" s="20"/>
      <c r="DA156" s="20"/>
      <c r="DB156" s="20"/>
      <c r="DC156" s="20"/>
      <c r="DD156" s="20"/>
      <c r="DE156" s="20"/>
      <c r="DF156" s="20"/>
      <c r="DG156" s="20"/>
      <c r="DH156" s="20"/>
      <c r="DI156" s="20"/>
      <c r="DJ156" s="20"/>
      <c r="DK156" s="20"/>
      <c r="DL156" s="20"/>
      <c r="DM156" s="20"/>
      <c r="DN156" s="20"/>
      <c r="DO156" s="20"/>
      <c r="DP156" s="20"/>
      <c r="DQ156" s="20"/>
      <c r="DR156" s="20"/>
      <c r="DS156" s="20"/>
      <c r="DT156" s="20"/>
    </row>
    <row r="157" spans="1:124" x14ac:dyDescent="0.25">
      <c r="A157" s="23" t="s">
        <v>4246</v>
      </c>
      <c r="B157" s="23" t="s">
        <v>3967</v>
      </c>
      <c r="E157" s="20"/>
      <c r="F157" s="20"/>
      <c r="G157" s="20"/>
      <c r="H157" s="20"/>
      <c r="I157" s="20"/>
      <c r="J157" s="20"/>
      <c r="K157" s="20"/>
      <c r="L157" s="20"/>
      <c r="O157" s="20"/>
      <c r="P157" s="20"/>
      <c r="Q157" s="20"/>
      <c r="R157" s="20"/>
      <c r="S157" s="20"/>
      <c r="T157" s="20"/>
      <c r="U157" s="20"/>
      <c r="V157" s="20"/>
      <c r="W157" s="20"/>
      <c r="X157" s="20"/>
      <c r="Y157" s="20"/>
      <c r="Z157" s="20"/>
      <c r="AA157" s="20"/>
      <c r="AB157" s="20"/>
      <c r="AC157" s="20"/>
      <c r="AD157" s="20"/>
      <c r="AE157" s="20"/>
      <c r="AF157" s="20"/>
      <c r="AG157" s="20"/>
      <c r="AH157" s="20"/>
      <c r="AI157" s="20"/>
      <c r="AJ157" s="20"/>
      <c r="AK157" s="20"/>
      <c r="AL157" s="20"/>
      <c r="AM157" s="20"/>
      <c r="AN157" s="20"/>
      <c r="AO157" s="20"/>
      <c r="AP157" s="20"/>
      <c r="AQ157" s="20"/>
      <c r="AR157" s="20"/>
      <c r="AS157" s="20"/>
      <c r="AT157" s="20"/>
      <c r="AU157" s="20"/>
      <c r="AV157" s="20"/>
      <c r="AW157" s="20"/>
      <c r="AX157" s="20"/>
      <c r="AY157" s="20"/>
      <c r="AZ157" s="20"/>
      <c r="BA157" s="20"/>
      <c r="BB157" s="20"/>
      <c r="BC157" s="20"/>
      <c r="BD157" s="20"/>
      <c r="BE157" s="20"/>
      <c r="BF157" s="20"/>
      <c r="BG157" s="20"/>
      <c r="BH157" s="20"/>
      <c r="BM157" s="20"/>
      <c r="BN157" s="20"/>
      <c r="BO157" s="20"/>
      <c r="BP157" s="20"/>
      <c r="BS157" s="20"/>
      <c r="BT157" s="20"/>
      <c r="BU157" s="20"/>
      <c r="BV157" s="20"/>
      <c r="BW157" s="20"/>
      <c r="BX157" s="20"/>
      <c r="BY157" s="20"/>
      <c r="BZ157" s="20"/>
      <c r="CA157" s="20"/>
      <c r="CB157" s="20"/>
      <c r="CC157" s="20"/>
      <c r="CD157" s="20"/>
      <c r="CE157" s="20"/>
      <c r="CF157" s="20"/>
      <c r="CG157" s="20"/>
      <c r="CH157" s="20"/>
      <c r="CM157" s="20"/>
      <c r="CN157" s="20"/>
      <c r="CO157" s="20"/>
      <c r="CP157" s="20"/>
      <c r="CQ157" s="20"/>
      <c r="CR157" s="20"/>
      <c r="CS157" s="20"/>
      <c r="CT157" s="20"/>
      <c r="CY157" s="20"/>
      <c r="CZ157" s="20"/>
      <c r="DA157" s="20"/>
      <c r="DB157" s="20"/>
      <c r="DC157" s="20"/>
      <c r="DD157" s="20"/>
      <c r="DE157" s="20"/>
      <c r="DF157" s="20"/>
      <c r="DG157" s="20"/>
      <c r="DH157" s="20"/>
      <c r="DI157" s="20"/>
      <c r="DJ157" s="20"/>
      <c r="DK157" s="20"/>
      <c r="DL157" s="20"/>
      <c r="DM157" s="20"/>
      <c r="DN157" s="20"/>
      <c r="DO157" s="20"/>
      <c r="DP157" s="20"/>
      <c r="DQ157" s="20"/>
      <c r="DR157" s="20"/>
      <c r="DS157" s="20"/>
      <c r="DT157" s="20"/>
    </row>
    <row r="158" spans="1:124" x14ac:dyDescent="0.25">
      <c r="A158" s="23" t="s">
        <v>4111</v>
      </c>
      <c r="B158" s="23" t="s">
        <v>3967</v>
      </c>
      <c r="E158" s="20"/>
      <c r="F158" s="20"/>
      <c r="G158" s="20"/>
      <c r="H158" s="20"/>
      <c r="I158" s="20"/>
      <c r="J158" s="20"/>
      <c r="K158" s="20"/>
      <c r="L158" s="20"/>
      <c r="O158" s="20"/>
      <c r="P158" s="20"/>
      <c r="Q158" s="20"/>
      <c r="R158" s="20"/>
      <c r="S158" s="20"/>
      <c r="T158" s="20"/>
      <c r="U158" s="20"/>
      <c r="V158" s="20"/>
      <c r="W158" s="20"/>
      <c r="X158" s="20"/>
      <c r="Y158" s="20"/>
      <c r="Z158" s="20"/>
      <c r="AA158" s="20"/>
      <c r="AB158" s="20"/>
      <c r="AC158" s="20"/>
      <c r="AD158" s="20"/>
      <c r="AE158" s="20"/>
      <c r="AF158" s="20"/>
      <c r="AG158" s="20"/>
      <c r="AH158" s="20"/>
      <c r="AI158" s="20"/>
      <c r="AJ158" s="20"/>
      <c r="AK158" s="20"/>
      <c r="AL158" s="20"/>
      <c r="AM158" s="20"/>
      <c r="AN158" s="20"/>
      <c r="AO158" s="20"/>
      <c r="AP158" s="20"/>
      <c r="AQ158" s="20"/>
      <c r="AR158" s="20"/>
      <c r="AS158" s="20"/>
      <c r="AT158" s="20"/>
      <c r="AU158" s="20"/>
      <c r="AV158" s="20"/>
      <c r="AW158" s="20"/>
      <c r="AX158" s="20"/>
      <c r="AY158" s="20"/>
      <c r="AZ158" s="20"/>
      <c r="BA158" s="20"/>
      <c r="BB158" s="20"/>
      <c r="BC158" s="20"/>
      <c r="BD158" s="20"/>
      <c r="BE158" s="20"/>
      <c r="BF158" s="20"/>
      <c r="BG158" s="20"/>
      <c r="BH158" s="20"/>
      <c r="BM158" s="20"/>
      <c r="BN158" s="20"/>
      <c r="BO158" s="20"/>
      <c r="BP158" s="20"/>
      <c r="BS158" s="20"/>
      <c r="BT158" s="20"/>
      <c r="BU158" s="20"/>
      <c r="BV158" s="20"/>
      <c r="BW158" s="20"/>
      <c r="BX158" s="20"/>
      <c r="BY158" s="20"/>
      <c r="BZ158" s="20"/>
      <c r="CA158" s="20"/>
      <c r="CB158" s="20"/>
      <c r="CC158" s="20"/>
      <c r="CD158" s="20"/>
      <c r="CE158" s="20"/>
      <c r="CF158" s="20"/>
      <c r="CG158" s="20"/>
      <c r="CH158" s="20"/>
      <c r="CM158" s="20"/>
      <c r="CN158" s="20"/>
      <c r="CO158" s="20"/>
      <c r="CP158" s="20"/>
      <c r="CQ158" s="20"/>
      <c r="CR158" s="20"/>
      <c r="CS158" s="20"/>
      <c r="CT158" s="20"/>
      <c r="CY158" s="20"/>
      <c r="CZ158" s="20"/>
      <c r="DA158" s="20"/>
      <c r="DB158" s="20"/>
      <c r="DC158" s="20"/>
      <c r="DD158" s="20"/>
      <c r="DE158" s="20"/>
      <c r="DF158" s="20"/>
      <c r="DG158" s="20"/>
      <c r="DH158" s="20"/>
      <c r="DI158" s="20"/>
      <c r="DJ158" s="20"/>
      <c r="DK158" s="20"/>
      <c r="DL158" s="20"/>
      <c r="DM158" s="20"/>
      <c r="DN158" s="20"/>
      <c r="DO158" s="20"/>
      <c r="DP158" s="20"/>
      <c r="DQ158" s="20"/>
      <c r="DR158" s="20"/>
      <c r="DS158" s="20"/>
      <c r="DT158" s="20"/>
    </row>
    <row r="159" spans="1:124" x14ac:dyDescent="0.25">
      <c r="A159" s="23" t="s">
        <v>4124</v>
      </c>
      <c r="B159" s="23" t="s">
        <v>3967</v>
      </c>
      <c r="E159" s="20"/>
      <c r="F159" s="20"/>
      <c r="G159" s="20"/>
      <c r="H159" s="20"/>
      <c r="I159" s="20"/>
      <c r="J159" s="20"/>
      <c r="K159" s="20"/>
      <c r="L159" s="20"/>
      <c r="O159" s="20"/>
      <c r="P159" s="20"/>
      <c r="Q159" s="20"/>
      <c r="R159" s="20"/>
      <c r="S159" s="20"/>
      <c r="T159" s="20"/>
      <c r="U159" s="20"/>
      <c r="V159" s="20"/>
      <c r="W159" s="20"/>
      <c r="X159" s="20"/>
      <c r="Y159" s="20"/>
      <c r="Z159" s="20"/>
      <c r="AA159" s="20"/>
      <c r="AB159" s="20"/>
      <c r="AC159" s="20"/>
      <c r="AD159" s="20"/>
      <c r="AE159" s="20"/>
      <c r="AF159" s="20"/>
      <c r="AG159" s="20"/>
      <c r="AH159" s="20"/>
      <c r="AI159" s="20"/>
      <c r="AJ159" s="20"/>
      <c r="AK159" s="20"/>
      <c r="AL159" s="20"/>
      <c r="AM159" s="20"/>
      <c r="AN159" s="20"/>
      <c r="AO159" s="20"/>
      <c r="AP159" s="20"/>
      <c r="AQ159" s="20"/>
      <c r="AR159" s="20"/>
      <c r="AS159" s="20"/>
      <c r="AT159" s="20"/>
      <c r="AU159" s="20"/>
      <c r="AV159" s="20"/>
      <c r="AW159" s="20"/>
      <c r="AX159" s="20"/>
      <c r="AY159" s="20"/>
      <c r="AZ159" s="20"/>
      <c r="BA159" s="20"/>
      <c r="BB159" s="20"/>
      <c r="BC159" s="20"/>
      <c r="BD159" s="20"/>
      <c r="BE159" s="20"/>
      <c r="BF159" s="20"/>
      <c r="BG159" s="20"/>
      <c r="BH159" s="20"/>
      <c r="BM159" s="20"/>
      <c r="BN159" s="20"/>
      <c r="BO159" s="20"/>
      <c r="BP159" s="20"/>
      <c r="BS159" s="20"/>
      <c r="BT159" s="20"/>
      <c r="BU159" s="20"/>
      <c r="BV159" s="20"/>
      <c r="BW159" s="20"/>
      <c r="BX159" s="20"/>
      <c r="BY159" s="20"/>
      <c r="BZ159" s="20"/>
      <c r="CA159" s="20"/>
      <c r="CB159" s="20"/>
      <c r="CC159" s="20"/>
      <c r="CD159" s="20"/>
      <c r="CE159" s="20"/>
      <c r="CF159" s="20"/>
      <c r="CG159" s="20"/>
      <c r="CH159" s="20"/>
      <c r="CM159" s="20"/>
      <c r="CN159" s="20"/>
      <c r="CO159" s="20"/>
      <c r="CP159" s="20"/>
      <c r="CQ159" s="20"/>
      <c r="CR159" s="20"/>
      <c r="CS159" s="20"/>
      <c r="CT159" s="20"/>
      <c r="CY159" s="20"/>
      <c r="CZ159" s="20"/>
      <c r="DA159" s="20"/>
      <c r="DB159" s="20"/>
      <c r="DC159" s="20"/>
      <c r="DD159" s="20"/>
      <c r="DE159" s="20"/>
      <c r="DF159" s="20"/>
      <c r="DG159" s="20"/>
      <c r="DH159" s="20"/>
      <c r="DI159" s="20"/>
      <c r="DJ159" s="20"/>
      <c r="DK159" s="20"/>
      <c r="DL159" s="20"/>
      <c r="DM159" s="20"/>
      <c r="DN159" s="20"/>
      <c r="DO159" s="20"/>
      <c r="DP159" s="20"/>
      <c r="DQ159" s="20"/>
      <c r="DR159" s="20"/>
      <c r="DS159" s="20"/>
      <c r="DT159" s="20"/>
    </row>
    <row r="160" spans="1:124" x14ac:dyDescent="0.25">
      <c r="A160" s="23" t="s">
        <v>4134</v>
      </c>
      <c r="B160" s="23" t="s">
        <v>3967</v>
      </c>
      <c r="E160" s="20"/>
      <c r="F160" s="20"/>
      <c r="G160" s="20"/>
      <c r="H160" s="20"/>
      <c r="I160" s="20"/>
      <c r="J160" s="20"/>
      <c r="K160" s="20"/>
      <c r="L160" s="20"/>
      <c r="O160" s="20"/>
      <c r="P160" s="20"/>
      <c r="Q160" s="20"/>
      <c r="R160" s="20"/>
      <c r="S160" s="20"/>
      <c r="T160" s="20"/>
      <c r="U160" s="20"/>
      <c r="V160" s="20"/>
      <c r="W160" s="20"/>
      <c r="X160" s="20"/>
      <c r="Y160" s="20"/>
      <c r="Z160" s="20"/>
      <c r="AA160" s="20"/>
      <c r="AB160" s="20"/>
      <c r="AC160" s="20"/>
      <c r="AD160" s="20"/>
      <c r="AE160" s="20"/>
      <c r="AF160" s="20"/>
      <c r="AG160" s="20"/>
      <c r="AH160" s="20"/>
      <c r="AI160" s="20"/>
      <c r="AJ160" s="20"/>
      <c r="AK160" s="20"/>
      <c r="AL160" s="20"/>
      <c r="AM160" s="20"/>
      <c r="AN160" s="20"/>
      <c r="AO160" s="20"/>
      <c r="AP160" s="20"/>
      <c r="AQ160" s="20"/>
      <c r="AR160" s="20"/>
      <c r="AS160" s="20"/>
      <c r="AT160" s="20"/>
      <c r="AU160" s="20"/>
      <c r="AV160" s="20"/>
      <c r="AW160" s="20"/>
      <c r="AX160" s="20"/>
      <c r="AY160" s="20"/>
      <c r="AZ160" s="20"/>
      <c r="BA160" s="20"/>
      <c r="BB160" s="20"/>
      <c r="BC160" s="20"/>
      <c r="BD160" s="20"/>
      <c r="BE160" s="20"/>
      <c r="BF160" s="20"/>
      <c r="BG160" s="20"/>
      <c r="BH160" s="20"/>
      <c r="BM160" s="20"/>
      <c r="BN160" s="20"/>
      <c r="BO160" s="20"/>
      <c r="BP160" s="20"/>
      <c r="BS160" s="20"/>
      <c r="BT160" s="20"/>
      <c r="BU160" s="20"/>
      <c r="BV160" s="20"/>
      <c r="BW160" s="20"/>
      <c r="BX160" s="20"/>
      <c r="BY160" s="20"/>
      <c r="BZ160" s="20"/>
      <c r="CA160" s="20"/>
      <c r="CB160" s="20"/>
      <c r="CC160" s="20"/>
      <c r="CD160" s="20"/>
      <c r="CE160" s="20"/>
      <c r="CF160" s="20"/>
      <c r="CG160" s="20"/>
      <c r="CH160" s="20"/>
      <c r="CM160" s="20"/>
      <c r="CN160" s="20"/>
      <c r="CO160" s="20"/>
      <c r="CP160" s="20"/>
      <c r="CQ160" s="20"/>
      <c r="CR160" s="20"/>
      <c r="CS160" s="20"/>
      <c r="CT160" s="20"/>
      <c r="CY160" s="20"/>
      <c r="CZ160" s="20"/>
      <c r="DA160" s="20"/>
      <c r="DB160" s="20"/>
      <c r="DC160" s="20"/>
      <c r="DD160" s="20"/>
      <c r="DE160" s="20"/>
      <c r="DF160" s="20"/>
      <c r="DG160" s="20"/>
      <c r="DH160" s="20"/>
      <c r="DI160" s="20"/>
      <c r="DJ160" s="20"/>
      <c r="DK160" s="20"/>
      <c r="DL160" s="20"/>
      <c r="DM160" s="20"/>
      <c r="DN160" s="20"/>
      <c r="DO160" s="20"/>
      <c r="DP160" s="20"/>
      <c r="DQ160" s="20"/>
      <c r="DR160" s="20"/>
      <c r="DS160" s="20"/>
      <c r="DT160" s="20"/>
    </row>
    <row r="161" spans="1:124" x14ac:dyDescent="0.25">
      <c r="A161" s="23" t="s">
        <v>4141</v>
      </c>
      <c r="B161" s="23" t="s">
        <v>3967</v>
      </c>
      <c r="E161" s="20"/>
      <c r="F161" s="20"/>
      <c r="G161" s="20"/>
      <c r="H161" s="20"/>
      <c r="I161" s="20"/>
      <c r="J161" s="20"/>
      <c r="K161" s="20"/>
      <c r="L161" s="20"/>
      <c r="O161" s="20"/>
      <c r="P161" s="20"/>
      <c r="Q161" s="20"/>
      <c r="R161" s="20"/>
      <c r="S161" s="20"/>
      <c r="T161" s="20"/>
      <c r="U161" s="20"/>
      <c r="V161" s="20"/>
      <c r="W161" s="20"/>
      <c r="X161" s="20"/>
      <c r="Y161" s="20"/>
      <c r="Z161" s="20"/>
      <c r="AA161" s="20"/>
      <c r="AB161" s="20"/>
      <c r="AC161" s="20"/>
      <c r="AD161" s="20"/>
      <c r="AE161" s="20"/>
      <c r="AF161" s="20"/>
      <c r="AG161" s="20"/>
      <c r="AH161" s="20"/>
      <c r="AI161" s="20"/>
      <c r="AJ161" s="20"/>
      <c r="AK161" s="20"/>
      <c r="AL161" s="20"/>
      <c r="AM161" s="20"/>
      <c r="AN161" s="20"/>
      <c r="AO161" s="20"/>
      <c r="AP161" s="20"/>
      <c r="AQ161" s="20"/>
      <c r="AR161" s="20"/>
      <c r="AS161" s="20"/>
      <c r="AT161" s="20"/>
      <c r="AU161" s="20"/>
      <c r="AV161" s="20"/>
      <c r="AW161" s="20"/>
      <c r="AX161" s="20"/>
      <c r="AY161" s="20"/>
      <c r="AZ161" s="20"/>
      <c r="BA161" s="20"/>
      <c r="BB161" s="20"/>
      <c r="BC161" s="20"/>
      <c r="BD161" s="20"/>
      <c r="BE161" s="20"/>
      <c r="BF161" s="20"/>
      <c r="BG161" s="20"/>
      <c r="BH161" s="20"/>
      <c r="BM161" s="20"/>
      <c r="BN161" s="20"/>
      <c r="BO161" s="20"/>
      <c r="BP161" s="20"/>
      <c r="BS161" s="20"/>
      <c r="BT161" s="20"/>
      <c r="BU161" s="20"/>
      <c r="BV161" s="20"/>
      <c r="BW161" s="20"/>
      <c r="BX161" s="20"/>
      <c r="BY161" s="20"/>
      <c r="BZ161" s="20"/>
      <c r="CA161" s="20"/>
      <c r="CB161" s="20"/>
      <c r="CC161" s="20"/>
      <c r="CD161" s="20"/>
      <c r="CE161" s="20"/>
      <c r="CF161" s="20"/>
      <c r="CG161" s="20"/>
      <c r="CH161" s="20"/>
      <c r="CM161" s="20"/>
      <c r="CN161" s="20"/>
      <c r="CO161" s="20"/>
      <c r="CP161" s="20"/>
      <c r="CQ161" s="20"/>
      <c r="CR161" s="20"/>
      <c r="CS161" s="20"/>
      <c r="CT161" s="20"/>
      <c r="CY161" s="20"/>
      <c r="CZ161" s="20"/>
      <c r="DA161" s="20"/>
      <c r="DB161" s="20"/>
      <c r="DC161" s="20"/>
      <c r="DD161" s="20"/>
      <c r="DE161" s="20"/>
      <c r="DF161" s="20"/>
      <c r="DG161" s="20"/>
      <c r="DH161" s="20"/>
      <c r="DI161" s="20"/>
      <c r="DJ161" s="20"/>
      <c r="DK161" s="20"/>
      <c r="DL161" s="20"/>
      <c r="DM161" s="20"/>
      <c r="DN161" s="20"/>
      <c r="DO161" s="20"/>
      <c r="DP161" s="20"/>
      <c r="DQ161" s="20"/>
      <c r="DR161" s="20"/>
      <c r="DS161" s="20"/>
      <c r="DT161" s="20"/>
    </row>
    <row r="162" spans="1:124" x14ac:dyDescent="0.25">
      <c r="A162" s="23" t="s">
        <v>4411</v>
      </c>
      <c r="B162" s="23" t="s">
        <v>3967</v>
      </c>
      <c r="E162" s="20"/>
      <c r="F162" s="20"/>
      <c r="G162" s="20"/>
      <c r="H162" s="20"/>
      <c r="I162" s="20"/>
      <c r="J162" s="20"/>
      <c r="K162" s="20"/>
      <c r="L162" s="20"/>
      <c r="O162" s="20"/>
      <c r="P162" s="20"/>
      <c r="Q162" s="20"/>
      <c r="R162" s="20"/>
      <c r="S162" s="20"/>
      <c r="T162" s="20"/>
      <c r="U162" s="20"/>
      <c r="V162" s="20"/>
      <c r="W162" s="20"/>
      <c r="X162" s="20"/>
      <c r="Y162" s="20"/>
      <c r="Z162" s="20"/>
      <c r="AA162" s="20"/>
      <c r="AB162" s="20"/>
      <c r="AC162" s="20"/>
      <c r="AD162" s="20"/>
      <c r="AE162" s="20"/>
      <c r="AF162" s="20"/>
      <c r="AG162" s="20"/>
      <c r="AH162" s="20"/>
      <c r="AI162" s="20"/>
      <c r="AJ162" s="20"/>
      <c r="AK162" s="20"/>
      <c r="AL162" s="20"/>
      <c r="AM162" s="20"/>
      <c r="AN162" s="20"/>
      <c r="AO162" s="20"/>
      <c r="AP162" s="20"/>
      <c r="AQ162" s="20"/>
      <c r="AR162" s="20"/>
      <c r="AS162" s="20"/>
      <c r="AT162" s="20"/>
      <c r="AU162" s="20"/>
      <c r="AV162" s="20"/>
      <c r="AW162" s="20"/>
      <c r="AX162" s="20"/>
      <c r="AY162" s="20"/>
      <c r="AZ162" s="20"/>
      <c r="BA162" s="20"/>
      <c r="BB162" s="20"/>
      <c r="BC162" s="20"/>
      <c r="BD162" s="20"/>
      <c r="BE162" s="20"/>
      <c r="BF162" s="20"/>
      <c r="BG162" s="20"/>
      <c r="BH162" s="20"/>
      <c r="BM162" s="20"/>
      <c r="BN162" s="20"/>
      <c r="BO162" s="20"/>
      <c r="BP162" s="20"/>
      <c r="BS162" s="20"/>
      <c r="BT162" s="20"/>
      <c r="BU162" s="20"/>
      <c r="BV162" s="20"/>
      <c r="BW162" s="20"/>
      <c r="BX162" s="20"/>
      <c r="BY162" s="20"/>
      <c r="BZ162" s="20"/>
      <c r="CA162" s="20"/>
      <c r="CB162" s="20"/>
      <c r="CC162" s="20"/>
      <c r="CD162" s="20"/>
      <c r="CE162" s="20"/>
      <c r="CF162" s="20"/>
      <c r="CG162" s="20"/>
      <c r="CH162" s="20"/>
      <c r="CM162" s="20"/>
      <c r="CN162" s="20"/>
      <c r="CO162" s="20"/>
      <c r="CP162" s="20"/>
      <c r="CQ162" s="20"/>
      <c r="CR162" s="20"/>
      <c r="CS162" s="20"/>
      <c r="CT162" s="20"/>
      <c r="CY162" s="20"/>
      <c r="CZ162" s="20"/>
      <c r="DA162" s="20"/>
      <c r="DB162" s="20"/>
      <c r="DC162" s="20"/>
      <c r="DD162" s="20"/>
      <c r="DE162" s="20"/>
      <c r="DF162" s="20"/>
      <c r="DG162" s="20"/>
      <c r="DH162" s="20"/>
      <c r="DI162" s="20"/>
      <c r="DJ162" s="20"/>
      <c r="DK162" s="20"/>
      <c r="DL162" s="20"/>
      <c r="DM162" s="20"/>
      <c r="DN162" s="20"/>
      <c r="DO162" s="20"/>
      <c r="DP162" s="20"/>
      <c r="DQ162" s="20"/>
      <c r="DR162" s="20"/>
      <c r="DS162" s="20"/>
      <c r="DT162" s="20"/>
    </row>
    <row r="163" spans="1:124" x14ac:dyDescent="0.25">
      <c r="A163" s="23" t="s">
        <v>4416</v>
      </c>
      <c r="B163" s="23" t="s">
        <v>3967</v>
      </c>
      <c r="E163" s="20"/>
      <c r="F163" s="20"/>
      <c r="G163" s="20"/>
      <c r="H163" s="20"/>
      <c r="I163" s="20"/>
      <c r="J163" s="20"/>
      <c r="K163" s="20"/>
      <c r="L163" s="20"/>
      <c r="O163" s="20"/>
      <c r="P163" s="20"/>
      <c r="Q163" s="20"/>
      <c r="R163" s="20"/>
      <c r="S163" s="20"/>
      <c r="T163" s="20"/>
      <c r="U163" s="20"/>
      <c r="V163" s="20"/>
      <c r="W163" s="20"/>
      <c r="X163" s="20"/>
      <c r="Y163" s="20"/>
      <c r="Z163" s="20"/>
      <c r="AA163" s="20"/>
      <c r="AB163" s="20"/>
      <c r="AC163" s="20"/>
      <c r="AD163" s="20"/>
      <c r="AE163" s="20"/>
      <c r="AF163" s="20"/>
      <c r="AG163" s="20"/>
      <c r="AH163" s="20"/>
      <c r="AI163" s="20"/>
      <c r="AJ163" s="20"/>
      <c r="AK163" s="20"/>
      <c r="AL163" s="20"/>
      <c r="AM163" s="20"/>
      <c r="AN163" s="20"/>
      <c r="AO163" s="20"/>
      <c r="AP163" s="20"/>
      <c r="AQ163" s="20"/>
      <c r="AR163" s="20"/>
      <c r="AS163" s="20"/>
      <c r="AT163" s="20"/>
      <c r="AU163" s="20"/>
      <c r="AV163" s="20"/>
      <c r="AW163" s="20"/>
      <c r="AX163" s="20"/>
      <c r="AY163" s="20"/>
      <c r="AZ163" s="20"/>
      <c r="BA163" s="20"/>
      <c r="BB163" s="20"/>
      <c r="BC163" s="20"/>
      <c r="BD163" s="20"/>
      <c r="BE163" s="20"/>
      <c r="BF163" s="20"/>
      <c r="BG163" s="20"/>
      <c r="BH163" s="20"/>
      <c r="BM163" s="20"/>
      <c r="BN163" s="20"/>
      <c r="BO163" s="20"/>
      <c r="BP163" s="20"/>
      <c r="BS163" s="20"/>
      <c r="BT163" s="20"/>
      <c r="BU163" s="20"/>
      <c r="BV163" s="20"/>
      <c r="BW163" s="20"/>
      <c r="BX163" s="20"/>
      <c r="BY163" s="20"/>
      <c r="BZ163" s="20"/>
      <c r="CA163" s="20"/>
      <c r="CB163" s="20"/>
      <c r="CC163" s="20"/>
      <c r="CD163" s="20"/>
      <c r="CE163" s="20"/>
      <c r="CF163" s="20"/>
      <c r="CG163" s="20"/>
      <c r="CH163" s="20"/>
      <c r="CM163" s="20"/>
      <c r="CN163" s="20"/>
      <c r="CO163" s="20"/>
      <c r="CP163" s="20"/>
      <c r="CQ163" s="20"/>
      <c r="CR163" s="20"/>
      <c r="CS163" s="20"/>
      <c r="CT163" s="20"/>
      <c r="CY163" s="20"/>
      <c r="CZ163" s="20"/>
      <c r="DA163" s="20"/>
      <c r="DB163" s="20"/>
      <c r="DC163" s="20"/>
      <c r="DD163" s="20"/>
      <c r="DE163" s="20"/>
      <c r="DF163" s="20"/>
      <c r="DG163" s="20"/>
      <c r="DH163" s="20"/>
      <c r="DI163" s="20"/>
      <c r="DJ163" s="20"/>
      <c r="DK163" s="20"/>
      <c r="DL163" s="20"/>
      <c r="DM163" s="20"/>
      <c r="DN163" s="20"/>
      <c r="DO163" s="20"/>
      <c r="DP163" s="20"/>
      <c r="DQ163" s="20"/>
      <c r="DR163" s="20"/>
      <c r="DS163" s="20"/>
      <c r="DT163" s="20"/>
    </row>
    <row r="164" spans="1:124" x14ac:dyDescent="0.25">
      <c r="A164" s="23" t="s">
        <v>4420</v>
      </c>
      <c r="B164" s="23" t="s">
        <v>3967</v>
      </c>
      <c r="E164" s="20"/>
      <c r="F164" s="20"/>
      <c r="G164" s="20"/>
      <c r="H164" s="20"/>
      <c r="I164" s="20"/>
      <c r="J164" s="20"/>
      <c r="K164" s="20"/>
      <c r="L164" s="20"/>
      <c r="O164" s="20"/>
      <c r="P164" s="20"/>
      <c r="Q164" s="20"/>
      <c r="R164" s="20"/>
      <c r="S164" s="20"/>
      <c r="T164" s="20"/>
      <c r="U164" s="20"/>
      <c r="V164" s="20"/>
      <c r="W164" s="20"/>
      <c r="X164" s="20"/>
      <c r="Y164" s="20"/>
      <c r="Z164" s="20"/>
      <c r="AA164" s="20"/>
      <c r="AB164" s="20"/>
      <c r="AC164" s="20"/>
      <c r="AD164" s="20"/>
      <c r="AE164" s="20"/>
      <c r="AF164" s="20"/>
      <c r="AG164" s="20"/>
      <c r="AH164" s="20"/>
      <c r="AI164" s="20"/>
      <c r="AJ164" s="20"/>
      <c r="AK164" s="20"/>
      <c r="AL164" s="20"/>
      <c r="AM164" s="20"/>
      <c r="AN164" s="20"/>
      <c r="AO164" s="20"/>
      <c r="AP164" s="20"/>
      <c r="AQ164" s="20"/>
      <c r="AR164" s="20"/>
      <c r="AS164" s="20"/>
      <c r="AT164" s="20"/>
      <c r="AU164" s="20"/>
      <c r="AV164" s="20"/>
      <c r="AW164" s="20"/>
      <c r="AX164" s="20"/>
      <c r="AY164" s="20"/>
      <c r="AZ164" s="20"/>
      <c r="BA164" s="20"/>
      <c r="BB164" s="20"/>
      <c r="BC164" s="20"/>
      <c r="BD164" s="20"/>
      <c r="BE164" s="20"/>
      <c r="BF164" s="20"/>
      <c r="BG164" s="20"/>
      <c r="BH164" s="20"/>
      <c r="BM164" s="20"/>
      <c r="BN164" s="20"/>
      <c r="BO164" s="20"/>
      <c r="BP164" s="20"/>
      <c r="BS164" s="20"/>
      <c r="BT164" s="20"/>
      <c r="BU164" s="20"/>
      <c r="BV164" s="20"/>
      <c r="BW164" s="20"/>
      <c r="BX164" s="20"/>
      <c r="BY164" s="20"/>
      <c r="BZ164" s="20"/>
      <c r="CA164" s="20"/>
      <c r="CB164" s="20"/>
      <c r="CC164" s="20"/>
      <c r="CD164" s="20"/>
      <c r="CE164" s="20"/>
      <c r="CF164" s="20"/>
      <c r="CG164" s="20"/>
      <c r="CH164" s="20"/>
      <c r="CM164" s="20"/>
      <c r="CN164" s="20"/>
      <c r="CO164" s="20"/>
      <c r="CP164" s="20"/>
      <c r="CQ164" s="20"/>
      <c r="CR164" s="20"/>
      <c r="CS164" s="20"/>
      <c r="CT164" s="20"/>
      <c r="CY164" s="20"/>
      <c r="CZ164" s="20"/>
      <c r="DA164" s="20"/>
      <c r="DB164" s="20"/>
      <c r="DC164" s="20"/>
      <c r="DD164" s="20"/>
      <c r="DE164" s="20"/>
      <c r="DF164" s="20"/>
      <c r="DG164" s="20"/>
      <c r="DH164" s="20"/>
      <c r="DI164" s="20"/>
      <c r="DJ164" s="20"/>
      <c r="DK164" s="20"/>
      <c r="DL164" s="20"/>
      <c r="DM164" s="20"/>
      <c r="DN164" s="20"/>
      <c r="DO164" s="20"/>
      <c r="DP164" s="20"/>
      <c r="DQ164" s="20"/>
      <c r="DR164" s="20"/>
      <c r="DS164" s="20"/>
      <c r="DT164" s="20"/>
    </row>
    <row r="165" spans="1:124" x14ac:dyDescent="0.25">
      <c r="A165" s="23" t="s">
        <v>4426</v>
      </c>
      <c r="B165" s="23" t="s">
        <v>3967</v>
      </c>
      <c r="E165" s="20"/>
      <c r="F165" s="20"/>
      <c r="G165" s="20"/>
      <c r="H165" s="20"/>
      <c r="I165" s="20"/>
      <c r="J165" s="20"/>
      <c r="K165" s="20"/>
      <c r="L165" s="20"/>
      <c r="O165" s="20"/>
      <c r="P165" s="20"/>
      <c r="Q165" s="20"/>
      <c r="R165" s="20"/>
      <c r="S165" s="20"/>
      <c r="T165" s="20"/>
      <c r="U165" s="20"/>
      <c r="V165" s="20"/>
      <c r="W165" s="20"/>
      <c r="X165" s="20"/>
      <c r="Y165" s="20"/>
      <c r="Z165" s="20"/>
      <c r="AA165" s="20"/>
      <c r="AB165" s="20"/>
      <c r="AC165" s="20"/>
      <c r="AD165" s="20"/>
      <c r="AE165" s="20"/>
      <c r="AF165" s="20"/>
      <c r="AG165" s="20"/>
      <c r="AH165" s="20"/>
      <c r="AI165" s="20"/>
      <c r="AJ165" s="20"/>
      <c r="AK165" s="20"/>
      <c r="AL165" s="20"/>
      <c r="AM165" s="20"/>
      <c r="AN165" s="20"/>
      <c r="AO165" s="20"/>
      <c r="AP165" s="20"/>
      <c r="AQ165" s="20"/>
      <c r="AR165" s="20"/>
      <c r="AS165" s="20"/>
      <c r="AT165" s="20"/>
      <c r="AU165" s="20"/>
      <c r="AV165" s="20"/>
      <c r="AW165" s="20"/>
      <c r="AX165" s="20"/>
      <c r="AY165" s="20"/>
      <c r="AZ165" s="20"/>
      <c r="BA165" s="20"/>
      <c r="BB165" s="20"/>
      <c r="BC165" s="20"/>
      <c r="BD165" s="20"/>
      <c r="BE165" s="20"/>
      <c r="BF165" s="20"/>
      <c r="BG165" s="20"/>
      <c r="BH165" s="20"/>
      <c r="BM165" s="20"/>
      <c r="BN165" s="20"/>
      <c r="BO165" s="20"/>
      <c r="BP165" s="20"/>
      <c r="BS165" s="20"/>
      <c r="BT165" s="20"/>
      <c r="BU165" s="20"/>
      <c r="BV165" s="20"/>
      <c r="BW165" s="20"/>
      <c r="BX165" s="20"/>
      <c r="BY165" s="20"/>
      <c r="BZ165" s="20"/>
      <c r="CA165" s="20"/>
      <c r="CB165" s="20"/>
      <c r="CC165" s="20"/>
      <c r="CD165" s="20"/>
      <c r="CE165" s="20"/>
      <c r="CF165" s="20"/>
      <c r="CG165" s="20"/>
      <c r="CH165" s="20"/>
      <c r="CM165" s="20"/>
      <c r="CN165" s="20"/>
      <c r="CO165" s="20"/>
      <c r="CP165" s="20"/>
      <c r="CQ165" s="20"/>
      <c r="CR165" s="20"/>
      <c r="CS165" s="20"/>
      <c r="CT165" s="20"/>
      <c r="CY165" s="20"/>
      <c r="CZ165" s="20"/>
      <c r="DA165" s="20"/>
      <c r="DB165" s="20"/>
      <c r="DC165" s="20"/>
      <c r="DD165" s="20"/>
      <c r="DE165" s="20"/>
      <c r="DF165" s="20"/>
      <c r="DG165" s="20"/>
      <c r="DH165" s="20"/>
      <c r="DI165" s="20"/>
      <c r="DJ165" s="20"/>
      <c r="DK165" s="20"/>
      <c r="DL165" s="20"/>
      <c r="DM165" s="20"/>
      <c r="DN165" s="20"/>
      <c r="DO165" s="20"/>
      <c r="DP165" s="20"/>
      <c r="DQ165" s="20"/>
      <c r="DR165" s="20"/>
      <c r="DS165" s="20"/>
      <c r="DT165" s="20"/>
    </row>
    <row r="166" spans="1:124" x14ac:dyDescent="0.25">
      <c r="A166" s="23" t="s">
        <v>4432</v>
      </c>
      <c r="B166" s="23" t="s">
        <v>3967</v>
      </c>
      <c r="E166" s="20"/>
      <c r="F166" s="20"/>
      <c r="G166" s="20"/>
      <c r="H166" s="20"/>
      <c r="I166" s="20"/>
      <c r="J166" s="20"/>
      <c r="K166" s="20"/>
      <c r="L166" s="20"/>
      <c r="O166" s="20"/>
      <c r="P166" s="20"/>
      <c r="Q166" s="20"/>
      <c r="R166" s="20"/>
      <c r="S166" s="20"/>
      <c r="T166" s="20"/>
      <c r="U166" s="20"/>
      <c r="V166" s="20"/>
      <c r="W166" s="20"/>
      <c r="X166" s="20"/>
      <c r="Y166" s="20"/>
      <c r="Z166" s="20"/>
      <c r="AA166" s="20"/>
      <c r="AB166" s="20"/>
      <c r="AC166" s="20"/>
      <c r="AD166" s="20"/>
      <c r="AE166" s="20"/>
      <c r="AF166" s="20"/>
      <c r="AG166" s="20"/>
      <c r="AH166" s="20"/>
      <c r="AI166" s="20"/>
      <c r="AJ166" s="20"/>
      <c r="AK166" s="20"/>
      <c r="AL166" s="20"/>
      <c r="AM166" s="20"/>
      <c r="AN166" s="20"/>
      <c r="AO166" s="20"/>
      <c r="AP166" s="20"/>
      <c r="AQ166" s="20"/>
      <c r="AR166" s="20"/>
      <c r="AS166" s="20"/>
      <c r="AT166" s="20"/>
      <c r="AU166" s="20"/>
      <c r="AV166" s="20"/>
      <c r="AW166" s="20"/>
      <c r="AX166" s="20"/>
      <c r="AY166" s="20"/>
      <c r="AZ166" s="20"/>
      <c r="BA166" s="20"/>
      <c r="BB166" s="20"/>
      <c r="BC166" s="20"/>
      <c r="BD166" s="20"/>
      <c r="BE166" s="20"/>
      <c r="BF166" s="20"/>
      <c r="BG166" s="20"/>
      <c r="BH166" s="20"/>
      <c r="BM166" s="20"/>
      <c r="BN166" s="20"/>
      <c r="BO166" s="20"/>
      <c r="BP166" s="20"/>
      <c r="BS166" s="20"/>
      <c r="BT166" s="20"/>
      <c r="BU166" s="20"/>
      <c r="BV166" s="20"/>
      <c r="BW166" s="20"/>
      <c r="BX166" s="20"/>
      <c r="BY166" s="20"/>
      <c r="BZ166" s="20"/>
      <c r="CA166" s="20"/>
      <c r="CB166" s="20"/>
      <c r="CC166" s="20"/>
      <c r="CD166" s="20"/>
      <c r="CE166" s="20"/>
      <c r="CF166" s="20"/>
      <c r="CG166" s="20"/>
      <c r="CH166" s="20"/>
      <c r="CM166" s="20"/>
      <c r="CN166" s="20"/>
      <c r="CO166" s="20"/>
      <c r="CP166" s="20"/>
      <c r="CQ166" s="20"/>
      <c r="CR166" s="20"/>
      <c r="CS166" s="20"/>
      <c r="CT166" s="20"/>
      <c r="CY166" s="20"/>
      <c r="CZ166" s="20"/>
      <c r="DA166" s="20"/>
      <c r="DB166" s="20"/>
      <c r="DC166" s="20"/>
      <c r="DD166" s="20"/>
      <c r="DE166" s="20"/>
      <c r="DF166" s="20"/>
      <c r="DG166" s="20"/>
      <c r="DH166" s="20"/>
      <c r="DI166" s="20"/>
      <c r="DJ166" s="20"/>
      <c r="DK166" s="20"/>
      <c r="DL166" s="20"/>
      <c r="DM166" s="20"/>
      <c r="DN166" s="20"/>
      <c r="DO166" s="20"/>
      <c r="DP166" s="20"/>
      <c r="DQ166" s="20"/>
      <c r="DR166" s="20"/>
      <c r="DS166" s="20"/>
      <c r="DT166" s="20"/>
    </row>
    <row r="167" spans="1:124" x14ac:dyDescent="0.25">
      <c r="A167" s="23" t="s">
        <v>4167</v>
      </c>
      <c r="B167" s="23" t="s">
        <v>3967</v>
      </c>
      <c r="E167" s="20"/>
      <c r="F167" s="20"/>
      <c r="G167" s="20"/>
      <c r="H167" s="20"/>
      <c r="I167" s="20"/>
      <c r="J167" s="20"/>
      <c r="K167" s="20"/>
      <c r="L167" s="20"/>
      <c r="O167" s="20"/>
      <c r="P167" s="20"/>
      <c r="Q167" s="20"/>
      <c r="R167" s="20"/>
      <c r="S167" s="20"/>
      <c r="T167" s="20"/>
      <c r="U167" s="20"/>
      <c r="V167" s="20"/>
      <c r="W167" s="20"/>
      <c r="X167" s="20"/>
      <c r="Y167" s="20"/>
      <c r="Z167" s="20"/>
      <c r="AA167" s="20"/>
      <c r="AB167" s="20"/>
      <c r="AC167" s="20"/>
      <c r="AD167" s="20"/>
      <c r="AE167" s="20"/>
      <c r="AF167" s="20"/>
      <c r="AG167" s="20"/>
      <c r="AH167" s="20"/>
      <c r="AI167" s="20"/>
      <c r="AJ167" s="20"/>
      <c r="AK167" s="20"/>
      <c r="AL167" s="20"/>
      <c r="AM167" s="20"/>
      <c r="AN167" s="20"/>
      <c r="AO167" s="20"/>
      <c r="AP167" s="20"/>
      <c r="AQ167" s="20"/>
      <c r="AR167" s="20"/>
      <c r="AS167" s="20"/>
      <c r="AT167" s="20"/>
      <c r="AU167" s="20"/>
      <c r="AV167" s="20"/>
      <c r="AW167" s="20"/>
      <c r="AX167" s="20"/>
      <c r="AY167" s="20"/>
      <c r="AZ167" s="20"/>
      <c r="BA167" s="20"/>
      <c r="BB167" s="20"/>
      <c r="BC167" s="20"/>
      <c r="BD167" s="20"/>
      <c r="BE167" s="20"/>
      <c r="BF167" s="20"/>
      <c r="BG167" s="20"/>
      <c r="BH167" s="20"/>
      <c r="BM167" s="20"/>
      <c r="BN167" s="20"/>
      <c r="BO167" s="20"/>
      <c r="BP167" s="20"/>
      <c r="BS167" s="20"/>
      <c r="BT167" s="20"/>
      <c r="BU167" s="20"/>
      <c r="BV167" s="20"/>
      <c r="BW167" s="20"/>
      <c r="BX167" s="20"/>
      <c r="BY167" s="20"/>
      <c r="BZ167" s="20"/>
      <c r="CA167" s="20"/>
      <c r="CB167" s="20"/>
      <c r="CC167" s="20"/>
      <c r="CD167" s="20"/>
      <c r="CE167" s="20"/>
      <c r="CF167" s="20"/>
      <c r="CG167" s="20"/>
      <c r="CH167" s="20"/>
      <c r="CM167" s="20"/>
      <c r="CN167" s="20"/>
      <c r="CO167" s="20"/>
      <c r="CP167" s="20"/>
      <c r="CQ167" s="20"/>
      <c r="CR167" s="20"/>
      <c r="CS167" s="20"/>
      <c r="CT167" s="20"/>
      <c r="CY167" s="20"/>
      <c r="CZ167" s="20"/>
      <c r="DA167" s="20"/>
      <c r="DB167" s="20"/>
      <c r="DC167" s="20"/>
      <c r="DD167" s="20"/>
      <c r="DE167" s="20"/>
      <c r="DF167" s="20"/>
      <c r="DG167" s="20"/>
      <c r="DH167" s="20"/>
      <c r="DI167" s="20"/>
      <c r="DJ167" s="20"/>
      <c r="DK167" s="20"/>
      <c r="DL167" s="20"/>
      <c r="DM167" s="20"/>
      <c r="DN167" s="20"/>
      <c r="DO167" s="20"/>
      <c r="DP167" s="20"/>
      <c r="DQ167" s="20"/>
      <c r="DR167" s="20"/>
      <c r="DS167" s="20"/>
      <c r="DT167" s="20"/>
    </row>
    <row r="168" spans="1:124" x14ac:dyDescent="0.25">
      <c r="A168" s="23" t="s">
        <v>4186</v>
      </c>
      <c r="B168" s="23" t="s">
        <v>3967</v>
      </c>
      <c r="E168" s="20"/>
      <c r="F168" s="20"/>
      <c r="G168" s="20"/>
      <c r="H168" s="20"/>
      <c r="I168" s="20"/>
      <c r="J168" s="20"/>
      <c r="K168" s="20"/>
      <c r="L168" s="20"/>
      <c r="O168" s="20"/>
      <c r="P168" s="20"/>
      <c r="Q168" s="20"/>
      <c r="R168" s="20"/>
      <c r="S168" s="20"/>
      <c r="T168" s="20"/>
      <c r="U168" s="20"/>
      <c r="V168" s="20"/>
      <c r="W168" s="20"/>
      <c r="X168" s="20"/>
      <c r="Y168" s="20"/>
      <c r="Z168" s="20"/>
      <c r="AA168" s="20"/>
      <c r="AB168" s="20"/>
      <c r="AC168" s="20"/>
      <c r="AD168" s="20"/>
      <c r="AE168" s="20"/>
      <c r="AF168" s="20"/>
      <c r="AG168" s="20"/>
      <c r="AH168" s="20"/>
      <c r="AI168" s="20"/>
      <c r="AJ168" s="20"/>
      <c r="AK168" s="20"/>
      <c r="AL168" s="20"/>
      <c r="AM168" s="20"/>
      <c r="AN168" s="20"/>
      <c r="AO168" s="20"/>
      <c r="AP168" s="20"/>
      <c r="AQ168" s="20"/>
      <c r="AR168" s="20"/>
      <c r="AS168" s="20"/>
      <c r="AT168" s="20"/>
      <c r="AU168" s="20"/>
      <c r="AV168" s="20"/>
      <c r="AW168" s="20"/>
      <c r="AX168" s="20"/>
      <c r="AY168" s="20"/>
      <c r="AZ168" s="20"/>
      <c r="BA168" s="20"/>
      <c r="BB168" s="20"/>
      <c r="BC168" s="20"/>
      <c r="BD168" s="20"/>
      <c r="BE168" s="20"/>
      <c r="BF168" s="20"/>
      <c r="BG168" s="20"/>
      <c r="BH168" s="20"/>
      <c r="BM168" s="20"/>
      <c r="BN168" s="20"/>
      <c r="BO168" s="20"/>
      <c r="BP168" s="20"/>
      <c r="BS168" s="20"/>
      <c r="BT168" s="20"/>
      <c r="BU168" s="20"/>
      <c r="BV168" s="20"/>
      <c r="BW168" s="20"/>
      <c r="BX168" s="20"/>
      <c r="BY168" s="20"/>
      <c r="BZ168" s="20"/>
      <c r="CA168" s="20"/>
      <c r="CB168" s="20"/>
      <c r="CC168" s="20"/>
      <c r="CD168" s="20"/>
      <c r="CE168" s="20"/>
      <c r="CF168" s="20"/>
      <c r="CG168" s="20"/>
      <c r="CH168" s="20"/>
      <c r="CM168" s="20"/>
      <c r="CN168" s="20"/>
      <c r="CO168" s="20"/>
      <c r="CP168" s="20"/>
      <c r="CQ168" s="20"/>
      <c r="CR168" s="20"/>
      <c r="CS168" s="20"/>
      <c r="CT168" s="20"/>
      <c r="CY168" s="20"/>
      <c r="CZ168" s="20"/>
      <c r="DA168" s="20"/>
      <c r="DB168" s="20"/>
      <c r="DC168" s="20"/>
      <c r="DD168" s="20"/>
      <c r="DE168" s="20"/>
      <c r="DF168" s="20"/>
      <c r="DG168" s="20"/>
      <c r="DH168" s="20"/>
      <c r="DI168" s="20"/>
      <c r="DJ168" s="20"/>
      <c r="DK168" s="20"/>
      <c r="DL168" s="20"/>
      <c r="DM168" s="20"/>
      <c r="DN168" s="20"/>
      <c r="DO168" s="20"/>
      <c r="DP168" s="20"/>
      <c r="DQ168" s="20"/>
      <c r="DR168" s="20"/>
      <c r="DS168" s="20"/>
      <c r="DT168" s="20"/>
    </row>
    <row r="169" spans="1:124" x14ac:dyDescent="0.25">
      <c r="A169" s="23">
        <v>134558401</v>
      </c>
      <c r="B169" s="23" t="s">
        <v>3967</v>
      </c>
      <c r="E169" s="20"/>
      <c r="F169" s="20"/>
      <c r="G169" s="20"/>
      <c r="H169" s="20"/>
      <c r="I169" s="20"/>
      <c r="J169" s="20"/>
      <c r="K169" s="20"/>
      <c r="L169" s="20"/>
      <c r="O169" s="20"/>
      <c r="P169" s="20"/>
      <c r="Q169" s="20"/>
      <c r="R169" s="20"/>
      <c r="S169" s="20"/>
      <c r="T169" s="20"/>
      <c r="U169" s="20"/>
      <c r="V169" s="20"/>
      <c r="W169" s="20"/>
      <c r="X169" s="20"/>
      <c r="Y169" s="20"/>
      <c r="Z169" s="20"/>
      <c r="AA169" s="20"/>
      <c r="AB169" s="20"/>
      <c r="AC169" s="20"/>
      <c r="AD169" s="20"/>
      <c r="AE169" s="20"/>
      <c r="AF169" s="20"/>
      <c r="AG169" s="20"/>
      <c r="AH169" s="20"/>
      <c r="AI169" s="20"/>
      <c r="AJ169" s="20"/>
      <c r="AK169" s="20"/>
      <c r="AL169" s="20"/>
      <c r="AM169" s="20"/>
      <c r="AN169" s="20"/>
      <c r="AO169" s="20"/>
      <c r="AP169" s="20"/>
      <c r="AQ169" s="20"/>
      <c r="AR169" s="20"/>
      <c r="AS169" s="20"/>
      <c r="AT169" s="20"/>
      <c r="AU169" s="20"/>
      <c r="AV169" s="20"/>
      <c r="AW169" s="20"/>
      <c r="AX169" s="20"/>
      <c r="AY169" s="20"/>
      <c r="AZ169" s="20"/>
      <c r="BA169" s="20"/>
      <c r="BB169" s="20"/>
      <c r="BC169" s="20"/>
      <c r="BD169" s="20"/>
      <c r="BE169" s="20"/>
      <c r="BF169" s="20"/>
      <c r="BG169" s="20"/>
      <c r="BH169" s="20"/>
      <c r="BM169" s="20"/>
      <c r="BN169" s="20"/>
      <c r="BO169" s="20"/>
      <c r="BP169" s="20"/>
      <c r="BS169" s="20"/>
      <c r="BT169" s="20"/>
      <c r="BU169" s="20"/>
      <c r="BV169" s="20"/>
      <c r="BW169" s="20"/>
      <c r="BX169" s="20"/>
      <c r="BY169" s="20"/>
      <c r="BZ169" s="20"/>
      <c r="CA169" s="20"/>
      <c r="CB169" s="20"/>
      <c r="CC169" s="20"/>
      <c r="CD169" s="20"/>
      <c r="CE169" s="20"/>
      <c r="CF169" s="20"/>
      <c r="CG169" s="20"/>
      <c r="CH169" s="20"/>
      <c r="CM169" s="20"/>
      <c r="CN169" s="20"/>
      <c r="CO169" s="20"/>
      <c r="CP169" s="20"/>
      <c r="CQ169" s="20"/>
      <c r="CR169" s="20"/>
      <c r="CS169" s="20"/>
      <c r="CT169" s="20"/>
      <c r="CY169" s="20"/>
      <c r="CZ169" s="20"/>
      <c r="DA169" s="20"/>
      <c r="DB169" s="20"/>
      <c r="DC169" s="20"/>
      <c r="DD169" s="20"/>
      <c r="DE169" s="20"/>
      <c r="DF169" s="20"/>
      <c r="DG169" s="20"/>
      <c r="DH169" s="20"/>
      <c r="DI169" s="20"/>
      <c r="DJ169" s="20"/>
      <c r="DK169" s="20"/>
      <c r="DL169" s="20"/>
      <c r="DM169" s="20"/>
      <c r="DN169" s="20"/>
      <c r="DO169" s="20"/>
      <c r="DP169" s="20"/>
      <c r="DQ169" s="20"/>
      <c r="DR169" s="20"/>
      <c r="DS169" s="20"/>
      <c r="DT169" s="20"/>
    </row>
    <row r="170" spans="1:124" x14ac:dyDescent="0.25">
      <c r="A170" s="23">
        <v>134558400</v>
      </c>
      <c r="B170" s="23" t="s">
        <v>3967</v>
      </c>
      <c r="E170" s="20"/>
      <c r="F170" s="20"/>
      <c r="G170" s="20"/>
      <c r="H170" s="20"/>
      <c r="I170" s="20"/>
      <c r="J170" s="20"/>
      <c r="K170" s="20"/>
      <c r="L170" s="20"/>
      <c r="O170" s="20"/>
      <c r="P170" s="20"/>
      <c r="Q170" s="20"/>
      <c r="R170" s="20"/>
      <c r="S170" s="20"/>
      <c r="T170" s="20"/>
      <c r="U170" s="20"/>
      <c r="V170" s="20"/>
      <c r="W170" s="20"/>
      <c r="X170" s="20"/>
      <c r="Y170" s="20"/>
      <c r="Z170" s="20"/>
      <c r="AA170" s="20"/>
      <c r="AB170" s="20"/>
      <c r="AC170" s="20"/>
      <c r="AD170" s="20"/>
      <c r="AE170" s="20"/>
      <c r="AF170" s="20"/>
      <c r="AG170" s="20"/>
      <c r="AH170" s="20"/>
      <c r="AI170" s="20"/>
      <c r="AJ170" s="20"/>
      <c r="AK170" s="20"/>
      <c r="AL170" s="20"/>
      <c r="AM170" s="20"/>
      <c r="AN170" s="20"/>
      <c r="AO170" s="20"/>
      <c r="AP170" s="20"/>
      <c r="AQ170" s="20"/>
      <c r="AR170" s="20"/>
      <c r="AS170" s="20"/>
      <c r="AT170" s="20"/>
      <c r="AU170" s="20"/>
      <c r="AV170" s="20"/>
      <c r="AW170" s="20"/>
      <c r="AX170" s="20"/>
      <c r="AY170" s="20"/>
      <c r="AZ170" s="20"/>
      <c r="BA170" s="20"/>
      <c r="BB170" s="20"/>
      <c r="BC170" s="20"/>
      <c r="BD170" s="20"/>
      <c r="BE170" s="20"/>
      <c r="BF170" s="20"/>
      <c r="BG170" s="20"/>
      <c r="BH170" s="20"/>
      <c r="BM170" s="20"/>
      <c r="BN170" s="20"/>
      <c r="BO170" s="20"/>
      <c r="BP170" s="20"/>
      <c r="BQ170" s="20"/>
      <c r="BR170" s="20"/>
      <c r="BS170" s="20"/>
      <c r="BT170" s="20"/>
      <c r="BU170" s="20"/>
      <c r="BV170" s="20"/>
      <c r="BW170" s="20"/>
      <c r="BX170" s="20"/>
      <c r="BY170" s="20"/>
      <c r="BZ170" s="20"/>
      <c r="CA170" s="20"/>
      <c r="CB170" s="20"/>
      <c r="CC170" s="20"/>
      <c r="CD170" s="20"/>
      <c r="CE170" s="20"/>
      <c r="CF170" s="20"/>
      <c r="CG170" s="20"/>
      <c r="CH170" s="20"/>
      <c r="CM170" s="20"/>
      <c r="CN170" s="20"/>
      <c r="CO170" s="20"/>
      <c r="CP170" s="20"/>
      <c r="CQ170" s="20"/>
      <c r="CR170" s="20"/>
      <c r="CS170" s="20"/>
      <c r="CT170" s="20"/>
      <c r="CY170" s="20"/>
      <c r="CZ170" s="20"/>
      <c r="DA170" s="20"/>
      <c r="DB170" s="20"/>
      <c r="DC170" s="20"/>
      <c r="DD170" s="20"/>
      <c r="DE170" s="20"/>
      <c r="DF170" s="20"/>
      <c r="DG170" s="20"/>
      <c r="DH170" s="20"/>
      <c r="DI170" s="20"/>
      <c r="DJ170" s="20"/>
      <c r="DK170" s="20"/>
      <c r="DL170" s="20"/>
      <c r="DM170" s="20"/>
      <c r="DN170" s="20"/>
      <c r="DO170" s="20"/>
      <c r="DP170" s="20"/>
      <c r="DQ170" s="20"/>
      <c r="DR170" s="20"/>
      <c r="DS170" s="20"/>
      <c r="DT170" s="20"/>
    </row>
    <row r="171" spans="1:124" x14ac:dyDescent="0.25">
      <c r="A171" s="23" t="s">
        <v>4040</v>
      </c>
      <c r="B171" s="23" t="s">
        <v>3967</v>
      </c>
      <c r="E171" s="20"/>
      <c r="F171" s="20"/>
      <c r="G171" s="20"/>
      <c r="H171" s="20"/>
      <c r="I171" s="20"/>
      <c r="J171" s="20"/>
      <c r="K171" s="20"/>
      <c r="L171" s="20"/>
      <c r="O171" s="20"/>
      <c r="P171" s="20"/>
      <c r="Q171" s="20"/>
      <c r="R171" s="20"/>
      <c r="S171" s="20"/>
      <c r="T171" s="20"/>
      <c r="U171" s="20"/>
      <c r="V171" s="20"/>
      <c r="W171" s="20"/>
      <c r="X171" s="20"/>
      <c r="Y171" s="20"/>
      <c r="Z171" s="20"/>
      <c r="AA171" s="20"/>
      <c r="AB171" s="20"/>
      <c r="AC171" s="20"/>
      <c r="AD171" s="20"/>
      <c r="AE171" s="20"/>
      <c r="AF171" s="20"/>
      <c r="AG171" s="20"/>
      <c r="AH171" s="20"/>
      <c r="AI171" s="20"/>
      <c r="AJ171" s="20"/>
      <c r="AK171" s="20"/>
      <c r="AL171" s="20"/>
      <c r="AM171" s="20"/>
      <c r="AN171" s="20"/>
      <c r="AO171" s="20"/>
      <c r="AP171" s="20"/>
      <c r="AQ171" s="20"/>
      <c r="AR171" s="20"/>
      <c r="AS171" s="20"/>
      <c r="AT171" s="20"/>
      <c r="AU171" s="20"/>
      <c r="AV171" s="20"/>
      <c r="AW171" s="20"/>
      <c r="AX171" s="20"/>
      <c r="AY171" s="20"/>
      <c r="AZ171" s="20"/>
      <c r="BA171" s="20"/>
      <c r="BB171" s="20"/>
      <c r="BC171" s="20"/>
      <c r="BD171" s="20"/>
      <c r="BE171" s="20"/>
      <c r="BF171" s="20"/>
      <c r="BG171" s="20"/>
      <c r="BH171" s="20"/>
      <c r="BM171" s="20"/>
      <c r="BN171" s="20"/>
      <c r="BO171" s="20"/>
      <c r="BP171" s="20"/>
      <c r="BQ171" s="20"/>
      <c r="BR171" s="20"/>
      <c r="BS171" s="20"/>
      <c r="BT171" s="20"/>
      <c r="BU171" s="20"/>
      <c r="BV171" s="20"/>
      <c r="BW171" s="20"/>
      <c r="BX171" s="20"/>
      <c r="BY171" s="20"/>
      <c r="BZ171" s="20"/>
      <c r="CA171" s="20"/>
      <c r="CB171" s="20"/>
      <c r="CC171" s="20"/>
      <c r="CD171" s="20"/>
      <c r="CE171" s="20"/>
      <c r="CF171" s="20"/>
      <c r="CG171" s="20"/>
      <c r="CH171" s="20"/>
      <c r="CM171" s="20"/>
      <c r="CN171" s="20"/>
      <c r="CO171" s="20"/>
      <c r="CP171" s="20"/>
      <c r="CQ171" s="20"/>
      <c r="CR171" s="20"/>
      <c r="CS171" s="20"/>
      <c r="CT171" s="20"/>
      <c r="CY171" s="20"/>
      <c r="CZ171" s="20"/>
      <c r="DA171" s="20"/>
      <c r="DB171" s="20"/>
      <c r="DC171" s="20"/>
      <c r="DD171" s="20"/>
      <c r="DE171" s="20"/>
      <c r="DF171" s="20"/>
      <c r="DG171" s="20"/>
      <c r="DH171" s="20"/>
      <c r="DI171" s="20"/>
      <c r="DJ171" s="20"/>
      <c r="DK171" s="20"/>
      <c r="DL171" s="20"/>
      <c r="DM171" s="20"/>
      <c r="DN171" s="20"/>
      <c r="DO171" s="20"/>
      <c r="DP171" s="20"/>
      <c r="DQ171" s="20"/>
      <c r="DR171" s="20"/>
      <c r="DS171" s="20"/>
      <c r="DT171" s="20"/>
    </row>
    <row r="172" spans="1:124" x14ac:dyDescent="0.25">
      <c r="A172" s="23" t="s">
        <v>4049</v>
      </c>
      <c r="B172" s="23" t="s">
        <v>3967</v>
      </c>
      <c r="E172" s="20"/>
      <c r="F172" s="20"/>
      <c r="G172" s="20"/>
      <c r="H172" s="20"/>
      <c r="I172" s="20"/>
      <c r="J172" s="20"/>
      <c r="K172" s="20"/>
      <c r="L172" s="20"/>
      <c r="O172" s="20"/>
      <c r="P172" s="20"/>
      <c r="Q172" s="20"/>
      <c r="R172" s="20"/>
      <c r="S172" s="20"/>
      <c r="T172" s="20"/>
      <c r="U172" s="20"/>
      <c r="V172" s="20"/>
      <c r="W172" s="20"/>
      <c r="X172" s="20"/>
      <c r="Y172" s="20"/>
      <c r="Z172" s="20"/>
      <c r="AA172" s="20"/>
      <c r="AB172" s="20"/>
      <c r="AC172" s="20"/>
      <c r="AD172" s="20"/>
      <c r="AE172" s="20"/>
      <c r="AF172" s="20"/>
      <c r="AG172" s="20"/>
      <c r="AH172" s="20"/>
      <c r="AI172" s="20"/>
      <c r="AJ172" s="20"/>
      <c r="AK172" s="20"/>
      <c r="AL172" s="20"/>
      <c r="AM172" s="20"/>
      <c r="AN172" s="20"/>
      <c r="AO172" s="20"/>
      <c r="AP172" s="20"/>
      <c r="AQ172" s="20"/>
      <c r="AR172" s="20"/>
      <c r="AS172" s="20"/>
      <c r="AT172" s="20"/>
      <c r="AU172" s="20"/>
      <c r="AV172" s="20"/>
      <c r="AW172" s="20"/>
      <c r="AX172" s="20"/>
      <c r="AY172" s="20"/>
      <c r="AZ172" s="20"/>
      <c r="BA172" s="20"/>
      <c r="BB172" s="20"/>
      <c r="BC172" s="20"/>
      <c r="BD172" s="20"/>
      <c r="BE172" s="20"/>
      <c r="BF172" s="20"/>
      <c r="BG172" s="20"/>
      <c r="BH172" s="20"/>
      <c r="BM172" s="20"/>
      <c r="BN172" s="20"/>
      <c r="BO172" s="20"/>
      <c r="BP172" s="20"/>
      <c r="BQ172" s="20"/>
      <c r="BR172" s="20"/>
      <c r="BS172" s="20"/>
      <c r="BT172" s="20"/>
      <c r="BU172" s="20"/>
      <c r="BV172" s="20"/>
      <c r="BW172" s="20"/>
      <c r="BX172" s="20"/>
      <c r="BY172" s="20"/>
      <c r="BZ172" s="20"/>
      <c r="CA172" s="20"/>
      <c r="CB172" s="20"/>
      <c r="CC172" s="20"/>
      <c r="CD172" s="20"/>
      <c r="CE172" s="20"/>
      <c r="CF172" s="20"/>
      <c r="CG172" s="20"/>
      <c r="CH172" s="20"/>
      <c r="CM172" s="20"/>
      <c r="CN172" s="20"/>
      <c r="CO172" s="20"/>
      <c r="CP172" s="20"/>
      <c r="CQ172" s="20"/>
      <c r="CR172" s="20"/>
      <c r="CS172" s="20"/>
      <c r="CT172" s="20"/>
      <c r="CY172" s="20"/>
      <c r="CZ172" s="20"/>
      <c r="DA172" s="20"/>
      <c r="DB172" s="20"/>
      <c r="DC172" s="20"/>
      <c r="DD172" s="20"/>
      <c r="DE172" s="20"/>
      <c r="DF172" s="20"/>
      <c r="DG172" s="20"/>
      <c r="DH172" s="20"/>
      <c r="DI172" s="20"/>
      <c r="DJ172" s="20"/>
      <c r="DK172" s="20"/>
      <c r="DL172" s="20"/>
      <c r="DM172" s="20"/>
      <c r="DN172" s="20"/>
      <c r="DO172" s="20"/>
      <c r="DP172" s="20"/>
      <c r="DQ172" s="20"/>
      <c r="DR172" s="20"/>
      <c r="DS172" s="20"/>
      <c r="DT172" s="20"/>
    </row>
    <row r="173" spans="1:124" x14ac:dyDescent="0.25">
      <c r="A173" s="23">
        <v>313260439</v>
      </c>
      <c r="B173" s="23" t="s">
        <v>3967</v>
      </c>
      <c r="E173" s="20"/>
      <c r="F173" s="20"/>
      <c r="G173" s="20"/>
      <c r="H173" s="20"/>
      <c r="I173" s="20"/>
      <c r="J173" s="20"/>
      <c r="K173" s="20"/>
      <c r="L173" s="20"/>
      <c r="O173" s="20"/>
      <c r="P173" s="20"/>
      <c r="Q173" s="20"/>
      <c r="R173" s="20"/>
      <c r="S173" s="20"/>
      <c r="T173" s="20"/>
      <c r="U173" s="20"/>
      <c r="V173" s="20"/>
      <c r="W173" s="20"/>
      <c r="X173" s="20"/>
      <c r="Y173" s="20"/>
      <c r="Z173" s="20"/>
      <c r="AA173" s="20"/>
      <c r="AB173" s="20"/>
      <c r="AC173" s="20"/>
      <c r="AD173" s="20"/>
      <c r="AE173" s="20"/>
      <c r="AF173" s="20"/>
      <c r="AG173" s="20"/>
      <c r="AH173" s="20"/>
      <c r="AI173" s="20"/>
      <c r="AJ173" s="20"/>
      <c r="AK173" s="20"/>
      <c r="AL173" s="20"/>
      <c r="AM173" s="20"/>
      <c r="AN173" s="20"/>
      <c r="AO173" s="20"/>
      <c r="AP173" s="20"/>
      <c r="AQ173" s="20"/>
      <c r="AR173" s="20"/>
      <c r="AS173" s="20"/>
      <c r="AT173" s="20"/>
      <c r="AU173" s="20"/>
      <c r="AV173" s="20"/>
      <c r="AW173" s="20"/>
      <c r="AX173" s="20"/>
      <c r="AY173" s="20"/>
      <c r="AZ173" s="20"/>
      <c r="BA173" s="20"/>
      <c r="BB173" s="20"/>
      <c r="BC173" s="20"/>
      <c r="BD173" s="20"/>
      <c r="BE173" s="20"/>
      <c r="BF173" s="20"/>
      <c r="BG173" s="20"/>
      <c r="BH173" s="20"/>
      <c r="BM173" s="20"/>
      <c r="BN173" s="20"/>
      <c r="BO173" s="20"/>
      <c r="BP173" s="20"/>
      <c r="BQ173" s="20"/>
      <c r="BR173" s="20"/>
      <c r="BS173" s="20"/>
      <c r="BT173" s="20"/>
      <c r="BU173" s="20"/>
      <c r="BV173" s="20"/>
      <c r="BW173" s="20"/>
      <c r="BX173" s="20"/>
      <c r="BY173" s="20"/>
      <c r="BZ173" s="20"/>
      <c r="CA173" s="20"/>
      <c r="CB173" s="20"/>
      <c r="CC173" s="20"/>
      <c r="CD173" s="20"/>
      <c r="CE173" s="20"/>
      <c r="CF173" s="20"/>
      <c r="CG173" s="20"/>
      <c r="CH173" s="20"/>
      <c r="CM173" s="20"/>
      <c r="CN173" s="20"/>
      <c r="CO173" s="20"/>
      <c r="CP173" s="20"/>
      <c r="CQ173" s="20"/>
      <c r="CR173" s="20"/>
      <c r="CS173" s="20"/>
      <c r="CT173" s="20"/>
      <c r="CY173" s="20"/>
      <c r="CZ173" s="20"/>
      <c r="DA173" s="20"/>
      <c r="DB173" s="20"/>
      <c r="DC173" s="20"/>
      <c r="DD173" s="20"/>
      <c r="DE173" s="20"/>
      <c r="DF173" s="20"/>
      <c r="DG173" s="20"/>
      <c r="DH173" s="20"/>
      <c r="DI173" s="20"/>
      <c r="DJ173" s="20"/>
      <c r="DK173" s="20"/>
      <c r="DL173" s="20"/>
      <c r="DM173" s="20"/>
      <c r="DN173" s="20"/>
      <c r="DO173" s="20"/>
      <c r="DP173" s="20"/>
      <c r="DQ173" s="20"/>
      <c r="DR173" s="20"/>
      <c r="DS173" s="20"/>
      <c r="DT173" s="20"/>
    </row>
    <row r="174" spans="1:124" x14ac:dyDescent="0.25">
      <c r="A174" s="23">
        <v>424803249</v>
      </c>
      <c r="B174" s="23" t="s">
        <v>3967</v>
      </c>
      <c r="E174" s="20"/>
      <c r="F174" s="20"/>
      <c r="G174" s="20"/>
      <c r="H174" s="20"/>
      <c r="I174" s="20"/>
      <c r="J174" s="20"/>
      <c r="K174" s="20"/>
      <c r="L174" s="20"/>
      <c r="O174" s="20"/>
      <c r="P174" s="20"/>
      <c r="Q174" s="20"/>
      <c r="R174" s="20"/>
      <c r="S174" s="20"/>
      <c r="T174" s="20"/>
      <c r="U174" s="20"/>
      <c r="V174" s="20"/>
      <c r="W174" s="20"/>
      <c r="X174" s="20"/>
      <c r="Y174" s="20"/>
      <c r="Z174" s="20"/>
      <c r="AA174" s="20"/>
      <c r="AB174" s="20"/>
      <c r="AC174" s="20"/>
      <c r="AD174" s="20"/>
      <c r="AE174" s="20"/>
      <c r="AF174" s="20"/>
      <c r="AG174" s="20"/>
      <c r="AH174" s="20"/>
      <c r="AI174" s="20"/>
      <c r="AJ174" s="20"/>
      <c r="AK174" s="20"/>
      <c r="AL174" s="20"/>
      <c r="AM174" s="20"/>
      <c r="AN174" s="20"/>
      <c r="AO174" s="20"/>
      <c r="AP174" s="20"/>
      <c r="AQ174" s="20"/>
      <c r="AR174" s="20"/>
      <c r="AS174" s="20"/>
      <c r="AT174" s="20"/>
      <c r="AU174" s="20"/>
      <c r="AV174" s="20"/>
      <c r="AW174" s="20"/>
      <c r="AX174" s="20"/>
      <c r="AY174" s="20"/>
      <c r="AZ174" s="20"/>
      <c r="BA174" s="20"/>
      <c r="BB174" s="20"/>
      <c r="BC174" s="20"/>
      <c r="BD174" s="20"/>
      <c r="BE174" s="20"/>
      <c r="BF174" s="20"/>
      <c r="BG174" s="20"/>
      <c r="BH174" s="20"/>
      <c r="BM174" s="20"/>
      <c r="BN174" s="20"/>
      <c r="BO174" s="20"/>
      <c r="BP174" s="20"/>
      <c r="BQ174" s="20"/>
      <c r="BR174" s="20"/>
      <c r="BS174" s="20"/>
      <c r="BT174" s="20"/>
      <c r="BU174" s="20"/>
      <c r="BV174" s="20"/>
      <c r="BW174" s="20"/>
      <c r="BX174" s="20"/>
      <c r="BY174" s="20"/>
      <c r="BZ174" s="20"/>
      <c r="CA174" s="20"/>
      <c r="CB174" s="20"/>
      <c r="CC174" s="20"/>
      <c r="CD174" s="20"/>
      <c r="CE174" s="20"/>
      <c r="CF174" s="20"/>
      <c r="CG174" s="20"/>
      <c r="CH174" s="20"/>
      <c r="CM174" s="20"/>
      <c r="CN174" s="20"/>
      <c r="CO174" s="20"/>
      <c r="CP174" s="20"/>
      <c r="CQ174" s="20"/>
      <c r="CR174" s="20"/>
      <c r="CS174" s="20"/>
      <c r="CT174" s="20"/>
      <c r="CY174" s="20"/>
      <c r="CZ174" s="20"/>
      <c r="DA174" s="20"/>
      <c r="DB174" s="20"/>
      <c r="DC174" s="20"/>
      <c r="DD174" s="20"/>
      <c r="DE174" s="20"/>
      <c r="DF174" s="20"/>
      <c r="DG174" s="20"/>
      <c r="DH174" s="20"/>
      <c r="DI174" s="20"/>
      <c r="DJ174" s="20"/>
      <c r="DK174" s="20"/>
      <c r="DL174" s="20"/>
      <c r="DM174" s="20"/>
      <c r="DN174" s="20"/>
      <c r="DO174" s="20"/>
      <c r="DP174" s="20"/>
      <c r="DQ174" s="20"/>
      <c r="DR174" s="20"/>
      <c r="DS174" s="20"/>
      <c r="DT174" s="20"/>
    </row>
    <row r="175" spans="1:124" x14ac:dyDescent="0.25">
      <c r="A175" s="23" t="s">
        <v>4081</v>
      </c>
      <c r="B175" s="23" t="s">
        <v>3967</v>
      </c>
      <c r="E175" s="20"/>
      <c r="F175" s="20"/>
      <c r="G175" s="20"/>
      <c r="H175" s="20"/>
      <c r="I175" s="20"/>
      <c r="J175" s="20"/>
      <c r="K175" s="20"/>
      <c r="L175" s="20"/>
      <c r="O175" s="20"/>
      <c r="P175" s="20"/>
      <c r="Q175" s="20"/>
      <c r="R175" s="20"/>
      <c r="S175" s="20"/>
      <c r="T175" s="20"/>
      <c r="U175" s="20"/>
      <c r="V175" s="20"/>
      <c r="W175" s="20"/>
      <c r="X175" s="20"/>
      <c r="Y175" s="20"/>
      <c r="Z175" s="20"/>
      <c r="AA175" s="20"/>
      <c r="AB175" s="20"/>
      <c r="AC175" s="20"/>
      <c r="AD175" s="20"/>
      <c r="AE175" s="20"/>
      <c r="AF175" s="20"/>
      <c r="AG175" s="20"/>
      <c r="AH175" s="20"/>
      <c r="AI175" s="20"/>
      <c r="AJ175" s="20"/>
      <c r="AK175" s="20"/>
      <c r="AL175" s="20"/>
      <c r="AM175" s="20"/>
      <c r="AN175" s="20"/>
      <c r="AO175" s="20"/>
      <c r="AP175" s="20"/>
      <c r="AQ175" s="20"/>
      <c r="AR175" s="20"/>
      <c r="AS175" s="20"/>
      <c r="AT175" s="20"/>
      <c r="AU175" s="20"/>
      <c r="AV175" s="20"/>
      <c r="AW175" s="20"/>
      <c r="AX175" s="20"/>
      <c r="AY175" s="20"/>
      <c r="AZ175" s="20"/>
      <c r="BA175" s="20"/>
      <c r="BB175" s="20"/>
      <c r="BC175" s="20"/>
      <c r="BD175" s="20"/>
      <c r="BE175" s="20"/>
      <c r="BF175" s="20"/>
      <c r="BG175" s="20"/>
      <c r="BH175" s="20"/>
      <c r="BM175" s="20"/>
      <c r="BN175" s="20"/>
      <c r="BO175" s="20"/>
      <c r="BP175" s="20"/>
      <c r="BQ175" s="20"/>
      <c r="BR175" s="20"/>
      <c r="BS175" s="20"/>
      <c r="BT175" s="20"/>
      <c r="BU175" s="20"/>
      <c r="BV175" s="20"/>
      <c r="BW175" s="20"/>
      <c r="BX175" s="20"/>
      <c r="BY175" s="20"/>
      <c r="BZ175" s="20"/>
      <c r="CA175" s="20"/>
      <c r="CB175" s="20"/>
      <c r="CC175" s="20"/>
      <c r="CD175" s="20"/>
      <c r="CE175" s="20"/>
      <c r="CF175" s="20"/>
      <c r="CG175" s="20"/>
      <c r="CH175" s="20"/>
      <c r="CM175" s="20"/>
      <c r="CN175" s="20"/>
      <c r="CO175" s="20"/>
      <c r="CP175" s="20"/>
      <c r="CQ175" s="20"/>
      <c r="CR175" s="20"/>
      <c r="CS175" s="20"/>
      <c r="CT175" s="20"/>
      <c r="CY175" s="20"/>
      <c r="CZ175" s="20"/>
      <c r="DA175" s="20"/>
      <c r="DB175" s="20"/>
      <c r="DC175" s="20"/>
      <c r="DD175" s="20"/>
      <c r="DE175" s="20"/>
      <c r="DF175" s="20"/>
      <c r="DG175" s="20"/>
      <c r="DH175" s="20"/>
      <c r="DI175" s="20"/>
      <c r="DJ175" s="20"/>
      <c r="DK175" s="20"/>
      <c r="DL175" s="20"/>
      <c r="DM175" s="20"/>
      <c r="DN175" s="20"/>
      <c r="DO175" s="20"/>
      <c r="DP175" s="20"/>
      <c r="DQ175" s="20"/>
      <c r="DR175" s="20"/>
      <c r="DS175" s="20"/>
      <c r="DT175" s="20"/>
    </row>
    <row r="176" spans="1:124" x14ac:dyDescent="0.25">
      <c r="A176" s="23" t="s">
        <v>4097</v>
      </c>
      <c r="B176" s="23" t="s">
        <v>3967</v>
      </c>
      <c r="E176" s="20"/>
      <c r="F176" s="20"/>
      <c r="G176" s="20"/>
      <c r="H176" s="20"/>
      <c r="I176" s="20"/>
      <c r="J176" s="20"/>
      <c r="K176" s="20"/>
      <c r="L176" s="20"/>
      <c r="O176" s="20"/>
      <c r="P176" s="20"/>
      <c r="Q176" s="20"/>
      <c r="R176" s="20"/>
      <c r="S176" s="20"/>
      <c r="T176" s="20"/>
      <c r="U176" s="20"/>
      <c r="V176" s="20"/>
      <c r="W176" s="20"/>
      <c r="X176" s="20"/>
      <c r="Y176" s="20"/>
      <c r="Z176" s="20"/>
      <c r="AA176" s="20"/>
      <c r="AB176" s="20"/>
      <c r="AC176" s="20"/>
      <c r="AD176" s="20"/>
      <c r="AE176" s="20"/>
      <c r="AF176" s="20"/>
      <c r="AG176" s="20"/>
      <c r="AH176" s="20"/>
      <c r="AI176" s="20"/>
      <c r="AJ176" s="20"/>
      <c r="AK176" s="20"/>
      <c r="AL176" s="20"/>
      <c r="AM176" s="20"/>
      <c r="AN176" s="20"/>
      <c r="AO176" s="20"/>
      <c r="AP176" s="20"/>
      <c r="AQ176" s="20"/>
      <c r="AR176" s="20"/>
      <c r="AS176" s="20"/>
      <c r="AT176" s="20"/>
      <c r="AU176" s="20"/>
      <c r="AV176" s="20"/>
      <c r="AW176" s="20"/>
      <c r="AX176" s="20"/>
      <c r="AY176" s="20"/>
      <c r="AZ176" s="20"/>
      <c r="BA176" s="20"/>
      <c r="BB176" s="20"/>
      <c r="BC176" s="20"/>
      <c r="BD176" s="20"/>
      <c r="BE176" s="20"/>
      <c r="BF176" s="20"/>
      <c r="BG176" s="20"/>
      <c r="BH176" s="20"/>
      <c r="BM176" s="20"/>
      <c r="BN176" s="20"/>
      <c r="BO176" s="20"/>
      <c r="BP176" s="20"/>
      <c r="BQ176" s="20"/>
      <c r="BR176" s="20"/>
      <c r="BS176" s="20"/>
      <c r="BT176" s="20"/>
      <c r="BU176" s="20"/>
      <c r="BV176" s="20"/>
      <c r="BW176" s="20"/>
      <c r="BX176" s="20"/>
      <c r="BY176" s="20"/>
      <c r="BZ176" s="20"/>
      <c r="CA176" s="20"/>
      <c r="CB176" s="20"/>
      <c r="CC176" s="20"/>
      <c r="CD176" s="20"/>
      <c r="CE176" s="20"/>
      <c r="CF176" s="20"/>
      <c r="CG176" s="20"/>
      <c r="CH176" s="20"/>
      <c r="CM176" s="20"/>
      <c r="CN176" s="20"/>
      <c r="CO176" s="20"/>
      <c r="CP176" s="20"/>
      <c r="CQ176" s="20"/>
      <c r="CR176" s="20"/>
      <c r="CS176" s="20"/>
      <c r="CT176" s="20"/>
      <c r="CY176" s="20"/>
      <c r="CZ176" s="20"/>
      <c r="DA176" s="20"/>
      <c r="DB176" s="20"/>
      <c r="DC176" s="20"/>
      <c r="DD176" s="20"/>
      <c r="DE176" s="20"/>
      <c r="DF176" s="20"/>
      <c r="DG176" s="20"/>
      <c r="DH176" s="20"/>
      <c r="DI176" s="20"/>
      <c r="DJ176" s="20"/>
      <c r="DK176" s="20"/>
      <c r="DL176" s="20"/>
      <c r="DM176" s="20"/>
      <c r="DN176" s="20"/>
      <c r="DO176" s="20"/>
      <c r="DP176" s="20"/>
      <c r="DQ176" s="20"/>
      <c r="DR176" s="20"/>
      <c r="DS176" s="20"/>
      <c r="DT176" s="20"/>
    </row>
    <row r="177" spans="1:124" x14ac:dyDescent="0.25">
      <c r="A177" s="23">
        <v>423972760</v>
      </c>
      <c r="B177" s="23" t="s">
        <v>3967</v>
      </c>
      <c r="E177" s="20"/>
      <c r="F177" s="20"/>
      <c r="G177" s="20"/>
      <c r="H177" s="20"/>
      <c r="I177" s="20"/>
      <c r="J177" s="20"/>
      <c r="K177" s="20"/>
      <c r="L177" s="20"/>
      <c r="O177" s="20"/>
      <c r="P177" s="20"/>
      <c r="Q177" s="20"/>
      <c r="R177" s="20"/>
      <c r="S177" s="20"/>
      <c r="T177" s="20"/>
      <c r="U177" s="20"/>
      <c r="V177" s="20"/>
      <c r="W177" s="20"/>
      <c r="X177" s="20"/>
      <c r="Y177" s="20"/>
      <c r="Z177" s="20"/>
      <c r="AA177" s="20"/>
      <c r="AB177" s="20"/>
      <c r="AC177" s="20"/>
      <c r="AD177" s="20"/>
      <c r="AE177" s="20"/>
      <c r="AF177" s="20"/>
      <c r="AG177" s="20"/>
      <c r="AH177" s="20"/>
      <c r="AI177" s="20"/>
      <c r="AJ177" s="20"/>
      <c r="AK177" s="20"/>
      <c r="AL177" s="20"/>
      <c r="AM177" s="20"/>
      <c r="AN177" s="20"/>
      <c r="AO177" s="20"/>
      <c r="AP177" s="20"/>
      <c r="AQ177" s="20"/>
      <c r="AR177" s="20"/>
      <c r="AS177" s="20"/>
      <c r="AT177" s="20"/>
      <c r="AU177" s="20"/>
      <c r="AV177" s="20"/>
      <c r="AW177" s="20"/>
      <c r="AX177" s="20"/>
      <c r="AY177" s="20"/>
      <c r="AZ177" s="20"/>
      <c r="BA177" s="20"/>
      <c r="BB177" s="20"/>
      <c r="BC177" s="20"/>
      <c r="BD177" s="20"/>
      <c r="BE177" s="20"/>
      <c r="BF177" s="20"/>
      <c r="BG177" s="20"/>
      <c r="BH177" s="20"/>
      <c r="BM177" s="20"/>
      <c r="BN177" s="20"/>
      <c r="BO177" s="20"/>
      <c r="BP177" s="20"/>
      <c r="BQ177" s="20"/>
      <c r="BR177" s="20"/>
      <c r="BS177" s="20"/>
      <c r="BT177" s="20"/>
      <c r="BU177" s="20"/>
      <c r="BV177" s="20"/>
      <c r="BW177" s="20"/>
      <c r="BX177" s="20"/>
      <c r="BY177" s="20"/>
      <c r="BZ177" s="20"/>
      <c r="CA177" s="20"/>
      <c r="CB177" s="20"/>
      <c r="CC177" s="20"/>
      <c r="CD177" s="20"/>
      <c r="CE177" s="20"/>
      <c r="CF177" s="20"/>
      <c r="CG177" s="20"/>
      <c r="CH177" s="20"/>
      <c r="CM177" s="20"/>
      <c r="CN177" s="20"/>
      <c r="CO177" s="20"/>
      <c r="CP177" s="20"/>
      <c r="CQ177" s="20"/>
      <c r="CR177" s="20"/>
      <c r="CS177" s="20"/>
      <c r="CT177" s="20"/>
      <c r="CY177" s="20"/>
      <c r="CZ177" s="20"/>
      <c r="DA177" s="20"/>
      <c r="DB177" s="20"/>
      <c r="DC177" s="20"/>
      <c r="DD177" s="20"/>
      <c r="DE177" s="20"/>
      <c r="DF177" s="20"/>
      <c r="DG177" s="20"/>
      <c r="DH177" s="20"/>
      <c r="DI177" s="20"/>
      <c r="DJ177" s="20"/>
      <c r="DK177" s="20"/>
      <c r="DL177" s="20"/>
      <c r="DM177" s="20"/>
      <c r="DN177" s="20"/>
      <c r="DO177" s="20"/>
      <c r="DP177" s="20"/>
      <c r="DQ177" s="20"/>
      <c r="DR177" s="20"/>
      <c r="DS177" s="20"/>
      <c r="DT177" s="20"/>
    </row>
    <row r="178" spans="1:124" x14ac:dyDescent="0.25">
      <c r="A178" s="23" t="s">
        <v>4125</v>
      </c>
      <c r="B178" s="23" t="s">
        <v>3967</v>
      </c>
      <c r="E178" s="20"/>
      <c r="F178" s="20"/>
      <c r="G178" s="20"/>
      <c r="H178" s="20"/>
      <c r="I178" s="20"/>
      <c r="J178" s="20"/>
      <c r="K178" s="20"/>
      <c r="L178" s="20"/>
      <c r="O178" s="20"/>
      <c r="P178" s="20"/>
      <c r="Q178" s="20"/>
      <c r="R178" s="20"/>
      <c r="S178" s="20"/>
      <c r="T178" s="20"/>
      <c r="U178" s="20"/>
      <c r="V178" s="20"/>
      <c r="W178" s="20"/>
      <c r="X178" s="20"/>
      <c r="Y178" s="20"/>
      <c r="Z178" s="20"/>
      <c r="AA178" s="20"/>
      <c r="AB178" s="20"/>
      <c r="AC178" s="20"/>
      <c r="AD178" s="20"/>
      <c r="AE178" s="20"/>
      <c r="AF178" s="20"/>
      <c r="AG178" s="20"/>
      <c r="AH178" s="20"/>
      <c r="AI178" s="20"/>
      <c r="AJ178" s="20"/>
      <c r="AK178" s="20"/>
      <c r="AL178" s="20"/>
      <c r="AM178" s="20"/>
      <c r="AN178" s="20"/>
      <c r="AO178" s="20"/>
      <c r="AP178" s="20"/>
      <c r="AQ178" s="20"/>
      <c r="AR178" s="20"/>
      <c r="AS178" s="20"/>
      <c r="AT178" s="20"/>
      <c r="AU178" s="20"/>
      <c r="AV178" s="20"/>
      <c r="AW178" s="20"/>
      <c r="AX178" s="20"/>
      <c r="AY178" s="20"/>
      <c r="AZ178" s="20"/>
      <c r="BA178" s="20"/>
      <c r="BB178" s="20"/>
      <c r="BC178" s="20"/>
      <c r="BD178" s="20"/>
      <c r="BE178" s="20"/>
      <c r="BF178" s="20"/>
      <c r="BG178" s="20"/>
      <c r="BH178" s="20"/>
      <c r="BM178" s="20"/>
      <c r="BN178" s="20"/>
      <c r="BO178" s="20"/>
      <c r="BP178" s="20"/>
      <c r="BQ178" s="20"/>
      <c r="BR178" s="20"/>
      <c r="BS178" s="20"/>
      <c r="BT178" s="20"/>
      <c r="BU178" s="20"/>
      <c r="BV178" s="20"/>
      <c r="BW178" s="20"/>
      <c r="BX178" s="20"/>
      <c r="BY178" s="20"/>
      <c r="BZ178" s="20"/>
      <c r="CA178" s="20"/>
      <c r="CB178" s="20"/>
      <c r="CC178" s="20"/>
      <c r="CD178" s="20"/>
      <c r="CE178" s="20"/>
      <c r="CF178" s="20"/>
      <c r="CG178" s="20"/>
      <c r="CH178" s="20"/>
      <c r="CM178" s="20"/>
      <c r="CN178" s="20"/>
      <c r="CO178" s="20"/>
      <c r="CP178" s="20"/>
      <c r="CQ178" s="20"/>
      <c r="CR178" s="20"/>
      <c r="CS178" s="20"/>
      <c r="CT178" s="20"/>
      <c r="CY178" s="20"/>
      <c r="CZ178" s="20"/>
      <c r="DA178" s="20"/>
      <c r="DB178" s="20"/>
      <c r="DC178" s="20"/>
      <c r="DD178" s="20"/>
      <c r="DE178" s="20"/>
      <c r="DF178" s="20"/>
      <c r="DG178" s="20"/>
      <c r="DH178" s="20"/>
      <c r="DI178" s="20"/>
      <c r="DJ178" s="20"/>
      <c r="DK178" s="20"/>
      <c r="DL178" s="20"/>
      <c r="DM178" s="20"/>
      <c r="DN178" s="20"/>
      <c r="DO178" s="20"/>
      <c r="DP178" s="20"/>
      <c r="DQ178" s="20"/>
      <c r="DR178" s="20"/>
      <c r="DS178" s="20"/>
      <c r="DT178" s="20"/>
    </row>
    <row r="179" spans="1:124" x14ac:dyDescent="0.25">
      <c r="A179" s="24" t="s">
        <v>3968</v>
      </c>
      <c r="B179" s="24" t="s">
        <v>3968</v>
      </c>
      <c r="E179" s="20"/>
      <c r="F179" s="20"/>
      <c r="G179" s="20"/>
      <c r="H179" s="20"/>
      <c r="I179" s="20"/>
      <c r="J179" s="20"/>
      <c r="K179" s="20"/>
      <c r="L179" s="20"/>
      <c r="O179" s="20"/>
      <c r="P179" s="20"/>
      <c r="Q179" s="20"/>
      <c r="R179" s="20"/>
      <c r="S179" s="20"/>
      <c r="T179" s="20"/>
      <c r="U179" s="20"/>
      <c r="V179" s="20"/>
      <c r="W179" s="20"/>
      <c r="X179" s="20"/>
      <c r="Y179" s="20"/>
      <c r="Z179" s="20"/>
      <c r="AA179" s="20"/>
      <c r="AB179" s="20"/>
      <c r="AC179" s="20"/>
      <c r="AD179" s="20"/>
      <c r="AE179" s="20"/>
      <c r="AF179" s="20"/>
      <c r="AG179" s="20"/>
      <c r="AH179" s="20"/>
      <c r="AI179" s="20"/>
      <c r="AJ179" s="20"/>
      <c r="AK179" s="20"/>
      <c r="AL179" s="20"/>
      <c r="AM179" s="20"/>
      <c r="AN179" s="20"/>
      <c r="AO179" s="20"/>
      <c r="AP179" s="20"/>
      <c r="AQ179" s="20"/>
      <c r="AR179" s="20"/>
      <c r="AS179" s="20"/>
      <c r="AT179" s="20"/>
      <c r="AU179" s="20"/>
      <c r="AV179" s="20"/>
      <c r="AW179" s="20"/>
      <c r="AX179" s="20"/>
      <c r="AY179" s="20"/>
      <c r="AZ179" s="20"/>
      <c r="BA179" s="20"/>
      <c r="BB179" s="20"/>
      <c r="BC179" s="20"/>
      <c r="BD179" s="20"/>
      <c r="BE179" s="20"/>
      <c r="BF179" s="20"/>
      <c r="BG179" s="20"/>
      <c r="BH179" s="20"/>
      <c r="BM179" s="20"/>
      <c r="BN179" s="20"/>
      <c r="BO179" s="20"/>
      <c r="BP179" s="20"/>
      <c r="BQ179" s="20"/>
      <c r="BR179" s="20"/>
      <c r="BS179" s="20"/>
      <c r="BT179" s="20"/>
      <c r="BU179" s="20"/>
      <c r="BV179" s="20"/>
      <c r="BW179" s="20"/>
      <c r="BX179" s="20"/>
      <c r="BY179" s="20"/>
      <c r="BZ179" s="20"/>
      <c r="CA179" s="20"/>
      <c r="CB179" s="20"/>
      <c r="CC179" s="20"/>
      <c r="CD179" s="20"/>
      <c r="CE179" s="20"/>
      <c r="CF179" s="20"/>
      <c r="CG179" s="20"/>
      <c r="CH179" s="20"/>
      <c r="CM179" s="20"/>
      <c r="CN179" s="20"/>
      <c r="CO179" s="20"/>
      <c r="CP179" s="20"/>
      <c r="CQ179" s="20"/>
      <c r="CR179" s="20"/>
      <c r="CS179" s="20"/>
      <c r="CT179" s="20"/>
      <c r="CY179" s="20"/>
      <c r="CZ179" s="20"/>
      <c r="DA179" s="20"/>
      <c r="DB179" s="20"/>
      <c r="DC179" s="20"/>
      <c r="DD179" s="20"/>
      <c r="DE179" s="20"/>
      <c r="DF179" s="20"/>
      <c r="DG179" s="20"/>
      <c r="DH179" s="20"/>
      <c r="DI179" s="20"/>
      <c r="DJ179" s="20"/>
      <c r="DK179" s="20"/>
      <c r="DL179" s="20"/>
      <c r="DM179" s="20"/>
      <c r="DN179" s="20"/>
      <c r="DO179" s="20"/>
      <c r="DP179" s="20"/>
      <c r="DQ179" s="20"/>
      <c r="DR179" s="20"/>
      <c r="DS179" s="20"/>
      <c r="DT179" s="20"/>
    </row>
    <row r="180" spans="1:124" x14ac:dyDescent="0.25">
      <c r="A180" s="24" t="s">
        <v>4027</v>
      </c>
      <c r="B180" s="24" t="s">
        <v>3968</v>
      </c>
      <c r="E180" s="20"/>
      <c r="F180" s="20"/>
      <c r="G180" s="20"/>
      <c r="H180" s="20"/>
      <c r="I180" s="20"/>
      <c r="J180" s="20"/>
      <c r="K180" s="20"/>
      <c r="L180" s="20"/>
      <c r="O180" s="20"/>
      <c r="P180" s="20"/>
      <c r="Q180" s="20"/>
      <c r="R180" s="20"/>
      <c r="S180" s="20"/>
      <c r="T180" s="20"/>
      <c r="U180" s="20"/>
      <c r="V180" s="20"/>
      <c r="W180" s="20"/>
      <c r="X180" s="20"/>
      <c r="Y180" s="20"/>
      <c r="Z180" s="20"/>
      <c r="AA180" s="20"/>
      <c r="AB180" s="20"/>
      <c r="AC180" s="20"/>
      <c r="AD180" s="20"/>
      <c r="AE180" s="20"/>
      <c r="AF180" s="20"/>
      <c r="AG180" s="20"/>
      <c r="AH180" s="20"/>
      <c r="AI180" s="20"/>
      <c r="AJ180" s="20"/>
      <c r="AK180" s="20"/>
      <c r="AL180" s="20"/>
      <c r="AM180" s="20"/>
      <c r="AN180" s="20"/>
      <c r="AO180" s="20"/>
      <c r="AP180" s="20"/>
      <c r="AQ180" s="20"/>
      <c r="AR180" s="20"/>
      <c r="AS180" s="20"/>
      <c r="AT180" s="20"/>
      <c r="AU180" s="20"/>
      <c r="AV180" s="20"/>
      <c r="AW180" s="20"/>
      <c r="AX180" s="20"/>
      <c r="AY180" s="20"/>
      <c r="AZ180" s="20"/>
      <c r="BA180" s="20"/>
      <c r="BB180" s="20"/>
      <c r="BC180" s="20"/>
      <c r="BD180" s="20"/>
      <c r="BE180" s="20"/>
      <c r="BF180" s="20"/>
      <c r="BG180" s="20"/>
      <c r="BH180" s="20"/>
      <c r="BM180" s="20"/>
      <c r="BN180" s="20"/>
      <c r="BO180" s="20"/>
      <c r="BP180" s="20"/>
      <c r="BQ180" s="20"/>
      <c r="BR180" s="20"/>
      <c r="BS180" s="20"/>
      <c r="BT180" s="20"/>
      <c r="BU180" s="20"/>
      <c r="BV180" s="20"/>
      <c r="BW180" s="20"/>
      <c r="BX180" s="20"/>
      <c r="BY180" s="20"/>
      <c r="BZ180" s="20"/>
      <c r="CA180" s="20"/>
      <c r="CB180" s="20"/>
      <c r="CC180" s="20"/>
      <c r="CD180" s="20"/>
      <c r="CE180" s="20"/>
      <c r="CF180" s="20"/>
      <c r="CG180" s="20"/>
      <c r="CH180" s="20"/>
      <c r="CM180" s="20"/>
      <c r="CN180" s="20"/>
      <c r="CO180" s="20"/>
      <c r="CP180" s="20"/>
      <c r="CQ180" s="20"/>
      <c r="CR180" s="20"/>
      <c r="CS180" s="20"/>
      <c r="CT180" s="20"/>
      <c r="CY180" s="20"/>
      <c r="CZ180" s="20"/>
      <c r="DA180" s="20"/>
      <c r="DB180" s="20"/>
      <c r="DC180" s="20"/>
      <c r="DD180" s="20"/>
      <c r="DE180" s="20"/>
      <c r="DF180" s="20"/>
      <c r="DG180" s="20"/>
      <c r="DH180" s="20"/>
      <c r="DI180" s="20"/>
      <c r="DJ180" s="20"/>
      <c r="DK180" s="20"/>
      <c r="DL180" s="20"/>
      <c r="DM180" s="20"/>
      <c r="DN180" s="20"/>
      <c r="DO180" s="20"/>
      <c r="DP180" s="20"/>
      <c r="DQ180" s="20"/>
      <c r="DR180" s="20"/>
      <c r="DS180" s="20"/>
      <c r="DT180" s="20"/>
    </row>
    <row r="181" spans="1:124" x14ac:dyDescent="0.25">
      <c r="A181" s="24" t="s">
        <v>4031</v>
      </c>
      <c r="B181" s="24" t="s">
        <v>3968</v>
      </c>
      <c r="E181" s="20"/>
      <c r="F181" s="20"/>
      <c r="G181" s="20"/>
      <c r="H181" s="20"/>
      <c r="I181" s="20"/>
      <c r="J181" s="20"/>
      <c r="K181" s="20"/>
      <c r="L181" s="20"/>
      <c r="O181" s="20"/>
      <c r="P181" s="20"/>
      <c r="Q181" s="20"/>
      <c r="R181" s="20"/>
      <c r="S181" s="20"/>
      <c r="T181" s="20"/>
      <c r="U181" s="20"/>
      <c r="V181" s="20"/>
      <c r="W181" s="20"/>
      <c r="X181" s="20"/>
      <c r="Y181" s="20"/>
      <c r="Z181" s="20"/>
      <c r="AA181" s="20"/>
      <c r="AB181" s="20"/>
      <c r="AC181" s="20"/>
      <c r="AD181" s="20"/>
      <c r="AE181" s="20"/>
      <c r="AF181" s="20"/>
      <c r="AG181" s="20"/>
      <c r="AH181" s="20"/>
      <c r="AI181" s="20"/>
      <c r="AJ181" s="20"/>
      <c r="AK181" s="20"/>
      <c r="AL181" s="20"/>
      <c r="AM181" s="20"/>
      <c r="AN181" s="20"/>
      <c r="AO181" s="20"/>
      <c r="AP181" s="20"/>
      <c r="AQ181" s="20"/>
      <c r="AR181" s="20"/>
      <c r="AS181" s="20"/>
      <c r="AT181" s="20"/>
      <c r="AU181" s="20"/>
      <c r="AV181" s="20"/>
      <c r="AW181" s="20"/>
      <c r="AX181" s="20"/>
      <c r="AY181" s="20"/>
      <c r="AZ181" s="20"/>
      <c r="BA181" s="20"/>
      <c r="BB181" s="20"/>
      <c r="BC181" s="20"/>
      <c r="BD181" s="20"/>
      <c r="BE181" s="20"/>
      <c r="BF181" s="20"/>
      <c r="BG181" s="20"/>
      <c r="BH181" s="20"/>
      <c r="BM181" s="20"/>
      <c r="BN181" s="20"/>
      <c r="BO181" s="20"/>
      <c r="BP181" s="20"/>
      <c r="BQ181" s="20"/>
      <c r="BR181" s="20"/>
      <c r="BS181" s="20"/>
      <c r="BT181" s="20"/>
      <c r="BU181" s="20"/>
      <c r="BV181" s="20"/>
      <c r="BW181" s="20"/>
      <c r="BX181" s="20"/>
      <c r="BY181" s="20"/>
      <c r="BZ181" s="20"/>
      <c r="CA181" s="20"/>
      <c r="CB181" s="20"/>
      <c r="CC181" s="20"/>
      <c r="CD181" s="20"/>
      <c r="CE181" s="20"/>
      <c r="CF181" s="20"/>
      <c r="CG181" s="20"/>
      <c r="CH181" s="20"/>
      <c r="CM181" s="20"/>
      <c r="CN181" s="20"/>
      <c r="CO181" s="20"/>
      <c r="CP181" s="20"/>
      <c r="CQ181" s="20"/>
      <c r="CR181" s="20"/>
      <c r="CS181" s="20"/>
      <c r="CT181" s="20"/>
      <c r="CY181" s="20"/>
      <c r="CZ181" s="20"/>
      <c r="DA181" s="20"/>
      <c r="DB181" s="20"/>
      <c r="DC181" s="20"/>
      <c r="DD181" s="20"/>
      <c r="DE181" s="20"/>
      <c r="DF181" s="20"/>
      <c r="DG181" s="20"/>
      <c r="DH181" s="20"/>
      <c r="DI181" s="20"/>
      <c r="DJ181" s="20"/>
      <c r="DK181" s="20"/>
      <c r="DL181" s="20"/>
      <c r="DM181" s="20"/>
      <c r="DN181" s="20"/>
      <c r="DO181" s="20"/>
      <c r="DP181" s="20"/>
      <c r="DQ181" s="20"/>
      <c r="DR181" s="20"/>
      <c r="DS181" s="20"/>
      <c r="DT181" s="20"/>
    </row>
    <row r="182" spans="1:124" x14ac:dyDescent="0.25">
      <c r="A182" s="24" t="s">
        <v>4034</v>
      </c>
      <c r="B182" s="24" t="s">
        <v>3968</v>
      </c>
      <c r="E182" s="20"/>
      <c r="F182" s="20"/>
      <c r="G182" s="20"/>
      <c r="H182" s="20"/>
      <c r="I182" s="20"/>
      <c r="J182" s="20"/>
      <c r="K182" s="20"/>
      <c r="L182" s="20"/>
      <c r="O182" s="20"/>
      <c r="P182" s="20"/>
      <c r="Q182" s="20"/>
      <c r="R182" s="20"/>
      <c r="S182" s="20"/>
      <c r="T182" s="20"/>
      <c r="U182" s="20"/>
      <c r="V182" s="20"/>
      <c r="W182" s="20"/>
      <c r="X182" s="20"/>
      <c r="Y182" s="20"/>
      <c r="Z182" s="20"/>
      <c r="AA182" s="20"/>
      <c r="AB182" s="20"/>
      <c r="AC182" s="20"/>
      <c r="AD182" s="20"/>
      <c r="AE182" s="20"/>
      <c r="AF182" s="20"/>
      <c r="AG182" s="20"/>
      <c r="AH182" s="20"/>
      <c r="AI182" s="20"/>
      <c r="AJ182" s="20"/>
      <c r="AK182" s="20"/>
      <c r="AL182" s="20"/>
      <c r="AM182" s="20"/>
      <c r="AN182" s="20"/>
      <c r="AO182" s="20"/>
      <c r="AP182" s="20"/>
      <c r="AQ182" s="20"/>
      <c r="AR182" s="20"/>
      <c r="AS182" s="20"/>
      <c r="AT182" s="20"/>
      <c r="AU182" s="20"/>
      <c r="AV182" s="20"/>
      <c r="AW182" s="20"/>
      <c r="AX182" s="20"/>
      <c r="AY182" s="20"/>
      <c r="AZ182" s="20"/>
      <c r="BA182" s="20"/>
      <c r="BB182" s="20"/>
      <c r="BC182" s="20"/>
      <c r="BD182" s="20"/>
      <c r="BE182" s="20"/>
      <c r="BF182" s="20"/>
      <c r="BG182" s="20"/>
      <c r="BH182" s="20"/>
      <c r="BM182" s="20"/>
      <c r="BN182" s="20"/>
      <c r="BO182" s="20"/>
      <c r="BP182" s="20"/>
      <c r="BQ182" s="20"/>
      <c r="BR182" s="20"/>
      <c r="BS182" s="20"/>
      <c r="BT182" s="20"/>
      <c r="BU182" s="20"/>
      <c r="BV182" s="20"/>
      <c r="BW182" s="20"/>
      <c r="BX182" s="20"/>
      <c r="BY182" s="20"/>
      <c r="BZ182" s="20"/>
      <c r="CA182" s="20"/>
      <c r="CB182" s="20"/>
      <c r="CC182" s="20"/>
      <c r="CD182" s="20"/>
      <c r="CE182" s="20"/>
      <c r="CF182" s="20"/>
      <c r="CG182" s="20"/>
      <c r="CH182" s="20"/>
      <c r="CM182" s="20"/>
      <c r="CN182" s="20"/>
      <c r="CO182" s="20"/>
      <c r="CP182" s="20"/>
      <c r="CQ182" s="20"/>
      <c r="CR182" s="20"/>
      <c r="CS182" s="20"/>
      <c r="CT182" s="20"/>
      <c r="CY182" s="20"/>
      <c r="CZ182" s="20"/>
      <c r="DA182" s="20"/>
      <c r="DB182" s="20"/>
      <c r="DC182" s="20"/>
      <c r="DD182" s="20"/>
      <c r="DE182" s="20"/>
      <c r="DF182" s="20"/>
      <c r="DG182" s="20"/>
      <c r="DH182" s="20"/>
      <c r="DI182" s="20"/>
      <c r="DJ182" s="20"/>
      <c r="DK182" s="20"/>
      <c r="DL182" s="20"/>
      <c r="DM182" s="20"/>
      <c r="DN182" s="20"/>
      <c r="DO182" s="20"/>
      <c r="DP182" s="20"/>
      <c r="DQ182" s="20"/>
      <c r="DR182" s="20"/>
      <c r="DS182" s="20"/>
      <c r="DT182" s="20"/>
    </row>
    <row r="183" spans="1:124" x14ac:dyDescent="0.25">
      <c r="A183" s="24" t="s">
        <v>4041</v>
      </c>
      <c r="B183" s="24" t="s">
        <v>3968</v>
      </c>
      <c r="E183" s="20"/>
      <c r="F183" s="20"/>
      <c r="G183" s="20"/>
      <c r="H183" s="20"/>
      <c r="I183" s="20"/>
      <c r="J183" s="20"/>
      <c r="K183" s="20"/>
      <c r="L183" s="20"/>
      <c r="O183" s="20"/>
      <c r="P183" s="20"/>
      <c r="Q183" s="20"/>
      <c r="R183" s="20"/>
      <c r="S183" s="20"/>
      <c r="T183" s="20"/>
      <c r="U183" s="20"/>
      <c r="V183" s="20"/>
      <c r="W183" s="20"/>
      <c r="X183" s="20"/>
      <c r="Y183" s="20"/>
      <c r="Z183" s="20"/>
      <c r="AA183" s="20"/>
      <c r="AB183" s="20"/>
      <c r="AC183" s="20"/>
      <c r="AD183" s="20"/>
      <c r="AE183" s="20"/>
      <c r="AF183" s="20"/>
      <c r="AG183" s="20"/>
      <c r="AH183" s="20"/>
      <c r="AI183" s="20"/>
      <c r="AJ183" s="20"/>
      <c r="AK183" s="20"/>
      <c r="AL183" s="20"/>
      <c r="AM183" s="20"/>
      <c r="AN183" s="20"/>
      <c r="AO183" s="20"/>
      <c r="AP183" s="20"/>
      <c r="AQ183" s="20"/>
      <c r="AR183" s="20"/>
      <c r="AS183" s="20"/>
      <c r="AT183" s="20"/>
      <c r="AU183" s="20"/>
      <c r="AV183" s="20"/>
      <c r="AW183" s="20"/>
      <c r="AX183" s="20"/>
      <c r="AY183" s="20"/>
      <c r="AZ183" s="20"/>
      <c r="BA183" s="20"/>
      <c r="BB183" s="20"/>
      <c r="BC183" s="20"/>
      <c r="BD183" s="20"/>
      <c r="BE183" s="20"/>
      <c r="BF183" s="20"/>
      <c r="BG183" s="20"/>
      <c r="BH183" s="20"/>
      <c r="BM183" s="20"/>
      <c r="BN183" s="20"/>
      <c r="BO183" s="20"/>
      <c r="BP183" s="20"/>
      <c r="BQ183" s="20"/>
      <c r="BR183" s="20"/>
      <c r="BS183" s="20"/>
      <c r="BT183" s="20"/>
      <c r="BU183" s="20"/>
      <c r="BV183" s="20"/>
      <c r="BW183" s="20"/>
      <c r="BX183" s="20"/>
      <c r="BY183" s="20"/>
      <c r="BZ183" s="20"/>
      <c r="CA183" s="20"/>
      <c r="CB183" s="20"/>
      <c r="CC183" s="20"/>
      <c r="CD183" s="20"/>
      <c r="CE183" s="20"/>
      <c r="CF183" s="20"/>
      <c r="CG183" s="20"/>
      <c r="CH183" s="20"/>
      <c r="CM183" s="20"/>
      <c r="CN183" s="20"/>
      <c r="CO183" s="20"/>
      <c r="CP183" s="20"/>
      <c r="CQ183" s="20"/>
      <c r="CR183" s="20"/>
      <c r="CS183" s="20"/>
      <c r="CT183" s="20"/>
      <c r="CY183" s="20"/>
      <c r="CZ183" s="20"/>
      <c r="DA183" s="20"/>
      <c r="DB183" s="20"/>
      <c r="DC183" s="20"/>
      <c r="DD183" s="20"/>
      <c r="DE183" s="20"/>
      <c r="DF183" s="20"/>
      <c r="DG183" s="20"/>
      <c r="DH183" s="20"/>
      <c r="DI183" s="20"/>
      <c r="DJ183" s="20"/>
      <c r="DK183" s="20"/>
      <c r="DL183" s="20"/>
      <c r="DM183" s="20"/>
      <c r="DN183" s="20"/>
      <c r="DO183" s="20"/>
      <c r="DP183" s="20"/>
      <c r="DQ183" s="20"/>
      <c r="DR183" s="20"/>
      <c r="DS183" s="20"/>
      <c r="DT183" s="20"/>
    </row>
    <row r="184" spans="1:124" x14ac:dyDescent="0.25">
      <c r="A184" s="24">
        <v>-12119224</v>
      </c>
      <c r="B184" s="24" t="s">
        <v>3968</v>
      </c>
      <c r="E184" s="20"/>
      <c r="F184" s="20"/>
      <c r="G184" s="20"/>
      <c r="H184" s="20"/>
      <c r="I184" s="20"/>
      <c r="J184" s="20"/>
      <c r="K184" s="20"/>
      <c r="L184" s="20"/>
      <c r="O184" s="20"/>
      <c r="P184" s="20"/>
      <c r="Q184" s="20"/>
      <c r="R184" s="20"/>
      <c r="S184" s="20"/>
      <c r="T184" s="20"/>
      <c r="U184" s="20"/>
      <c r="V184" s="20"/>
      <c r="W184" s="20"/>
      <c r="X184" s="20"/>
      <c r="Y184" s="20"/>
      <c r="Z184" s="20"/>
      <c r="AA184" s="20"/>
      <c r="AB184" s="20"/>
      <c r="AC184" s="20"/>
      <c r="AD184" s="20"/>
      <c r="AE184" s="20"/>
      <c r="AF184" s="20"/>
      <c r="AG184" s="20"/>
      <c r="AH184" s="20"/>
      <c r="AI184" s="20"/>
      <c r="AJ184" s="20"/>
      <c r="AK184" s="20"/>
      <c r="AL184" s="20"/>
      <c r="AM184" s="20"/>
      <c r="AN184" s="20"/>
      <c r="AO184" s="20"/>
      <c r="AP184" s="20"/>
      <c r="AQ184" s="20"/>
      <c r="AR184" s="20"/>
      <c r="AS184" s="20"/>
      <c r="AT184" s="20"/>
      <c r="AU184" s="20"/>
      <c r="AV184" s="20"/>
      <c r="AW184" s="20"/>
      <c r="AX184" s="20"/>
      <c r="AY184" s="20"/>
      <c r="AZ184" s="20"/>
      <c r="BA184" s="20"/>
      <c r="BB184" s="20"/>
      <c r="BC184" s="20"/>
      <c r="BD184" s="20"/>
      <c r="BE184" s="20"/>
      <c r="BF184" s="20"/>
      <c r="BG184" s="20"/>
      <c r="BH184" s="20"/>
      <c r="BM184" s="20"/>
      <c r="BN184" s="20"/>
      <c r="BO184" s="20"/>
      <c r="BP184" s="20"/>
      <c r="BQ184" s="20"/>
      <c r="BR184" s="20"/>
      <c r="BS184" s="20"/>
      <c r="BT184" s="20"/>
      <c r="BU184" s="20"/>
      <c r="BV184" s="20"/>
      <c r="BW184" s="20"/>
      <c r="BX184" s="20"/>
      <c r="BY184" s="20"/>
      <c r="BZ184" s="20"/>
      <c r="CA184" s="20"/>
      <c r="CB184" s="20"/>
      <c r="CC184" s="20"/>
      <c r="CD184" s="20"/>
      <c r="CE184" s="20"/>
      <c r="CF184" s="20"/>
      <c r="CG184" s="20"/>
      <c r="CH184" s="20"/>
      <c r="CM184" s="20"/>
      <c r="CN184" s="20"/>
      <c r="CO184" s="20"/>
      <c r="CP184" s="20"/>
      <c r="CQ184" s="20"/>
      <c r="CR184" s="20"/>
      <c r="CS184" s="20"/>
      <c r="CT184" s="20"/>
      <c r="CY184" s="20"/>
      <c r="CZ184" s="20"/>
      <c r="DA184" s="20"/>
      <c r="DB184" s="20"/>
      <c r="DC184" s="20"/>
      <c r="DD184" s="20"/>
      <c r="DE184" s="20"/>
      <c r="DF184" s="20"/>
      <c r="DG184" s="20"/>
      <c r="DH184" s="20"/>
      <c r="DI184" s="20"/>
      <c r="DJ184" s="20"/>
      <c r="DK184" s="20"/>
      <c r="DL184" s="20"/>
      <c r="DM184" s="20"/>
      <c r="DN184" s="20"/>
      <c r="DO184" s="20"/>
      <c r="DP184" s="20"/>
      <c r="DQ184" s="20"/>
      <c r="DR184" s="20"/>
      <c r="DS184" s="20"/>
      <c r="DT184" s="20"/>
    </row>
    <row r="185" spans="1:124" x14ac:dyDescent="0.25">
      <c r="A185" s="24" t="s">
        <v>4060</v>
      </c>
      <c r="B185" s="24" t="s">
        <v>3968</v>
      </c>
      <c r="E185" s="20"/>
      <c r="F185" s="20"/>
      <c r="G185" s="20"/>
      <c r="H185" s="20"/>
      <c r="I185" s="20"/>
      <c r="J185" s="20"/>
      <c r="K185" s="20"/>
      <c r="L185" s="20"/>
      <c r="O185" s="20"/>
      <c r="P185" s="20"/>
      <c r="Q185" s="20"/>
      <c r="R185" s="20"/>
      <c r="S185" s="20"/>
      <c r="T185" s="20"/>
      <c r="U185" s="20"/>
      <c r="V185" s="20"/>
      <c r="W185" s="20"/>
      <c r="X185" s="20"/>
      <c r="Y185" s="20"/>
      <c r="Z185" s="20"/>
      <c r="AA185" s="20"/>
      <c r="AB185" s="20"/>
      <c r="AC185" s="20"/>
      <c r="AD185" s="20"/>
      <c r="AE185" s="20"/>
      <c r="AF185" s="20"/>
      <c r="AG185" s="20"/>
      <c r="AH185" s="20"/>
      <c r="AI185" s="20"/>
      <c r="AJ185" s="20"/>
      <c r="AK185" s="20"/>
      <c r="AL185" s="20"/>
      <c r="AM185" s="20"/>
      <c r="AN185" s="20"/>
      <c r="AO185" s="20"/>
      <c r="AP185" s="20"/>
      <c r="AQ185" s="20"/>
      <c r="AR185" s="20"/>
      <c r="AS185" s="20"/>
      <c r="AT185" s="20"/>
      <c r="AU185" s="20"/>
      <c r="AV185" s="20"/>
      <c r="AW185" s="20"/>
      <c r="AX185" s="20"/>
      <c r="AY185" s="20"/>
      <c r="AZ185" s="20"/>
      <c r="BA185" s="20"/>
      <c r="BB185" s="20"/>
      <c r="BC185" s="20"/>
      <c r="BD185" s="20"/>
      <c r="BE185" s="20"/>
      <c r="BF185" s="20"/>
      <c r="BG185" s="20"/>
      <c r="BH185" s="20"/>
      <c r="BM185" s="20"/>
      <c r="BN185" s="20"/>
      <c r="BO185" s="20"/>
      <c r="BP185" s="20"/>
      <c r="BQ185" s="20"/>
      <c r="BR185" s="20"/>
      <c r="BS185" s="20"/>
      <c r="BT185" s="20"/>
      <c r="BU185" s="20"/>
      <c r="BV185" s="20"/>
      <c r="BW185" s="20"/>
      <c r="BX185" s="20"/>
      <c r="BY185" s="20"/>
      <c r="BZ185" s="20"/>
      <c r="CA185" s="20"/>
      <c r="CB185" s="20"/>
      <c r="CC185" s="20"/>
      <c r="CD185" s="20"/>
      <c r="CE185" s="20"/>
      <c r="CF185" s="20"/>
      <c r="CG185" s="20"/>
      <c r="CH185" s="20"/>
      <c r="CM185" s="20"/>
      <c r="CN185" s="20"/>
      <c r="CO185" s="20"/>
      <c r="CP185" s="20"/>
      <c r="CQ185" s="20"/>
      <c r="CR185" s="20"/>
      <c r="CS185" s="20"/>
      <c r="CT185" s="20"/>
      <c r="CY185" s="20"/>
      <c r="CZ185" s="20"/>
      <c r="DA185" s="20"/>
      <c r="DB185" s="20"/>
      <c r="DC185" s="20"/>
      <c r="DD185" s="20"/>
      <c r="DE185" s="20"/>
      <c r="DF185" s="20"/>
      <c r="DG185" s="20"/>
      <c r="DH185" s="20"/>
      <c r="DI185" s="20"/>
      <c r="DJ185" s="20"/>
      <c r="DK185" s="20"/>
      <c r="DL185" s="20"/>
      <c r="DM185" s="20"/>
      <c r="DN185" s="20"/>
      <c r="DO185" s="20"/>
      <c r="DP185" s="20"/>
      <c r="DQ185" s="20"/>
      <c r="DR185" s="20"/>
      <c r="DS185" s="20"/>
      <c r="DT185" s="20"/>
    </row>
    <row r="186" spans="1:124" x14ac:dyDescent="0.25">
      <c r="A186" s="24">
        <v>-12163074</v>
      </c>
      <c r="B186" s="24" t="s">
        <v>3968</v>
      </c>
      <c r="E186" s="20"/>
      <c r="F186" s="20"/>
      <c r="G186" s="20"/>
      <c r="H186" s="20"/>
      <c r="I186" s="20"/>
      <c r="J186" s="20"/>
      <c r="K186" s="20"/>
      <c r="L186" s="20"/>
      <c r="O186" s="20"/>
      <c r="P186" s="20"/>
      <c r="Q186" s="20"/>
      <c r="R186" s="20"/>
      <c r="S186" s="20"/>
      <c r="T186" s="20"/>
      <c r="U186" s="20"/>
      <c r="V186" s="20"/>
      <c r="W186" s="20"/>
      <c r="X186" s="20"/>
      <c r="Y186" s="20"/>
      <c r="Z186" s="20"/>
      <c r="AA186" s="20"/>
      <c r="AB186" s="20"/>
      <c r="AC186" s="20"/>
      <c r="AD186" s="20"/>
      <c r="AE186" s="20"/>
      <c r="AF186" s="20"/>
      <c r="AG186" s="20"/>
      <c r="AH186" s="20"/>
      <c r="AI186" s="20"/>
      <c r="AJ186" s="20"/>
      <c r="AK186" s="20"/>
      <c r="AL186" s="20"/>
      <c r="AM186" s="20"/>
      <c r="AN186" s="20"/>
      <c r="AO186" s="20"/>
      <c r="AP186" s="20"/>
      <c r="AQ186" s="20"/>
      <c r="AR186" s="20"/>
      <c r="AS186" s="20"/>
      <c r="AT186" s="20"/>
      <c r="AU186" s="20"/>
      <c r="AV186" s="20"/>
      <c r="AW186" s="20"/>
      <c r="AX186" s="20"/>
      <c r="AY186" s="20"/>
      <c r="AZ186" s="20"/>
      <c r="BA186" s="20"/>
      <c r="BB186" s="20"/>
      <c r="BC186" s="20"/>
      <c r="BD186" s="20"/>
      <c r="BE186" s="20"/>
      <c r="BF186" s="20"/>
      <c r="BG186" s="20"/>
      <c r="BH186" s="20"/>
      <c r="BM186" s="20"/>
      <c r="BN186" s="20"/>
      <c r="BO186" s="20"/>
      <c r="BP186" s="20"/>
      <c r="BQ186" s="20"/>
      <c r="BR186" s="20"/>
      <c r="BS186" s="20"/>
      <c r="BT186" s="20"/>
      <c r="BU186" s="20"/>
      <c r="BV186" s="20"/>
      <c r="BW186" s="20"/>
      <c r="BX186" s="20"/>
      <c r="BY186" s="20"/>
      <c r="BZ186" s="20"/>
      <c r="CA186" s="20"/>
      <c r="CB186" s="20"/>
      <c r="CC186" s="20"/>
      <c r="CD186" s="20"/>
      <c r="CE186" s="20"/>
      <c r="CF186" s="20"/>
      <c r="CG186" s="20"/>
      <c r="CH186" s="20"/>
      <c r="CM186" s="20"/>
      <c r="CN186" s="20"/>
      <c r="CO186" s="20"/>
      <c r="CP186" s="20"/>
      <c r="CQ186" s="20"/>
      <c r="CR186" s="20"/>
      <c r="CS186" s="20"/>
      <c r="CT186" s="20"/>
      <c r="CY186" s="20"/>
      <c r="CZ186" s="20"/>
      <c r="DA186" s="20"/>
      <c r="DB186" s="20"/>
      <c r="DC186" s="20"/>
      <c r="DD186" s="20"/>
      <c r="DE186" s="20"/>
      <c r="DF186" s="20"/>
      <c r="DG186" s="20"/>
      <c r="DH186" s="20"/>
      <c r="DI186" s="20"/>
      <c r="DJ186" s="20"/>
      <c r="DK186" s="20"/>
      <c r="DL186" s="20"/>
      <c r="DM186" s="20"/>
      <c r="DN186" s="20"/>
      <c r="DO186" s="20"/>
      <c r="DP186" s="20"/>
      <c r="DQ186" s="20"/>
      <c r="DR186" s="20"/>
      <c r="DS186" s="20"/>
      <c r="DT186" s="20"/>
    </row>
    <row r="187" spans="1:124" x14ac:dyDescent="0.25">
      <c r="A187" s="24" t="s">
        <v>4083</v>
      </c>
      <c r="B187" s="24" t="s">
        <v>3968</v>
      </c>
      <c r="E187" s="20"/>
      <c r="F187" s="20"/>
      <c r="G187" s="20"/>
      <c r="H187" s="20"/>
      <c r="I187" s="20"/>
      <c r="J187" s="20"/>
      <c r="K187" s="20"/>
      <c r="L187" s="20"/>
      <c r="O187" s="20"/>
      <c r="P187" s="20"/>
      <c r="Q187" s="20"/>
      <c r="R187" s="20"/>
      <c r="S187" s="20"/>
      <c r="T187" s="20"/>
      <c r="U187" s="20"/>
      <c r="V187" s="20"/>
      <c r="W187" s="20"/>
      <c r="X187" s="20"/>
      <c r="Y187" s="20"/>
      <c r="Z187" s="20"/>
      <c r="AA187" s="20"/>
      <c r="AB187" s="20"/>
      <c r="AC187" s="20"/>
      <c r="AD187" s="20"/>
      <c r="AE187" s="20"/>
      <c r="AF187" s="20"/>
      <c r="AG187" s="20"/>
      <c r="AH187" s="20"/>
      <c r="AI187" s="20"/>
      <c r="AJ187" s="20"/>
      <c r="AK187" s="20"/>
      <c r="AL187" s="20"/>
      <c r="AM187" s="20"/>
      <c r="AN187" s="20"/>
      <c r="AO187" s="20"/>
      <c r="AP187" s="20"/>
      <c r="AQ187" s="20"/>
      <c r="AR187" s="20"/>
      <c r="AS187" s="20"/>
      <c r="AT187" s="20"/>
      <c r="AU187" s="20"/>
      <c r="AV187" s="20"/>
      <c r="AW187" s="20"/>
      <c r="AX187" s="20"/>
      <c r="AY187" s="20"/>
      <c r="AZ187" s="20"/>
      <c r="BA187" s="20"/>
      <c r="BB187" s="20"/>
      <c r="BC187" s="20"/>
      <c r="BD187" s="20"/>
      <c r="BE187" s="20"/>
      <c r="BF187" s="20"/>
      <c r="BG187" s="20"/>
      <c r="BH187" s="20"/>
      <c r="BM187" s="20"/>
      <c r="BN187" s="20"/>
      <c r="BO187" s="20"/>
      <c r="BP187" s="20"/>
      <c r="BQ187" s="20"/>
      <c r="BR187" s="20"/>
      <c r="BS187" s="20"/>
      <c r="BT187" s="20"/>
      <c r="BU187" s="20"/>
      <c r="BV187" s="20"/>
      <c r="BW187" s="20"/>
      <c r="BX187" s="20"/>
      <c r="BY187" s="20"/>
      <c r="BZ187" s="20"/>
      <c r="CA187" s="20"/>
      <c r="CB187" s="20"/>
      <c r="CC187" s="20"/>
      <c r="CD187" s="20"/>
      <c r="CE187" s="20"/>
      <c r="CF187" s="20"/>
      <c r="CG187" s="20"/>
      <c r="CH187" s="20"/>
      <c r="CM187" s="20"/>
      <c r="CN187" s="20"/>
      <c r="CO187" s="20"/>
      <c r="CP187" s="20"/>
      <c r="CQ187" s="20"/>
      <c r="CR187" s="20"/>
      <c r="CS187" s="20"/>
      <c r="CT187" s="20"/>
      <c r="CY187" s="20"/>
      <c r="CZ187" s="20"/>
      <c r="DA187" s="20"/>
      <c r="DB187" s="20"/>
      <c r="DC187" s="20"/>
      <c r="DD187" s="20"/>
      <c r="DE187" s="20"/>
      <c r="DF187" s="20"/>
      <c r="DG187" s="20"/>
      <c r="DH187" s="20"/>
      <c r="DI187" s="20"/>
      <c r="DJ187" s="20"/>
      <c r="DK187" s="20"/>
      <c r="DL187" s="20"/>
      <c r="DM187" s="20"/>
      <c r="DN187" s="20"/>
      <c r="DO187" s="20"/>
      <c r="DP187" s="20"/>
      <c r="DQ187" s="20"/>
      <c r="DR187" s="20"/>
      <c r="DS187" s="20"/>
      <c r="DT187" s="20"/>
    </row>
    <row r="188" spans="1:124" x14ac:dyDescent="0.25">
      <c r="A188" s="24" t="s">
        <v>4084</v>
      </c>
      <c r="B188" s="24" t="s">
        <v>3968</v>
      </c>
      <c r="E188" s="20"/>
      <c r="F188" s="20"/>
      <c r="G188" s="20"/>
      <c r="H188" s="20"/>
      <c r="I188" s="20"/>
      <c r="J188" s="20"/>
      <c r="K188" s="20"/>
      <c r="L188" s="20"/>
      <c r="O188" s="20"/>
      <c r="P188" s="20"/>
      <c r="Q188" s="20"/>
      <c r="R188" s="20"/>
      <c r="S188" s="20"/>
      <c r="T188" s="20"/>
      <c r="U188" s="20"/>
      <c r="V188" s="20"/>
      <c r="W188" s="20"/>
      <c r="X188" s="20"/>
      <c r="Y188" s="20"/>
      <c r="Z188" s="20"/>
      <c r="AA188" s="20"/>
      <c r="AB188" s="20"/>
      <c r="AC188" s="20"/>
      <c r="AD188" s="20"/>
      <c r="AE188" s="20"/>
      <c r="AF188" s="20"/>
      <c r="AG188" s="20"/>
      <c r="AH188" s="20"/>
      <c r="AI188" s="20"/>
      <c r="AJ188" s="20"/>
      <c r="AK188" s="20"/>
      <c r="AL188" s="20"/>
      <c r="AM188" s="20"/>
      <c r="AN188" s="20"/>
      <c r="AO188" s="20"/>
      <c r="AP188" s="20"/>
      <c r="AQ188" s="20"/>
      <c r="AR188" s="20"/>
      <c r="AS188" s="20"/>
      <c r="AT188" s="20"/>
      <c r="AU188" s="20"/>
      <c r="AV188" s="20"/>
      <c r="AW188" s="20"/>
      <c r="AX188" s="20"/>
      <c r="AY188" s="20"/>
      <c r="AZ188" s="20"/>
      <c r="BA188" s="20"/>
      <c r="BB188" s="20"/>
      <c r="BC188" s="20"/>
      <c r="BD188" s="20"/>
      <c r="BE188" s="20"/>
      <c r="BF188" s="20"/>
      <c r="BG188" s="20"/>
      <c r="BH188" s="20"/>
      <c r="BM188" s="20"/>
      <c r="BN188" s="20"/>
      <c r="BO188" s="20"/>
      <c r="BP188" s="20"/>
      <c r="BQ188" s="20"/>
      <c r="BR188" s="20"/>
      <c r="BS188" s="20"/>
      <c r="BT188" s="20"/>
      <c r="BU188" s="20"/>
      <c r="BV188" s="20"/>
      <c r="BW188" s="20"/>
      <c r="BX188" s="20"/>
      <c r="BY188" s="20"/>
      <c r="BZ188" s="20"/>
      <c r="CA188" s="20"/>
      <c r="CB188" s="20"/>
      <c r="CC188" s="20"/>
      <c r="CD188" s="20"/>
      <c r="CE188" s="20"/>
      <c r="CF188" s="20"/>
      <c r="CG188" s="20"/>
      <c r="CH188" s="20"/>
      <c r="CM188" s="20"/>
      <c r="CN188" s="20"/>
      <c r="CO188" s="20"/>
      <c r="CP188" s="20"/>
      <c r="CQ188" s="20"/>
      <c r="CR188" s="20"/>
      <c r="CS188" s="20"/>
      <c r="CT188" s="20"/>
      <c r="CY188" s="20"/>
      <c r="CZ188" s="20"/>
      <c r="DA188" s="20"/>
      <c r="DB188" s="20"/>
      <c r="DC188" s="20"/>
      <c r="DD188" s="20"/>
      <c r="DE188" s="20"/>
      <c r="DF188" s="20"/>
      <c r="DG188" s="20"/>
      <c r="DH188" s="20"/>
      <c r="DI188" s="20"/>
      <c r="DJ188" s="20"/>
      <c r="DK188" s="20"/>
      <c r="DL188" s="20"/>
      <c r="DM188" s="20"/>
      <c r="DN188" s="20"/>
      <c r="DO188" s="20"/>
      <c r="DP188" s="20"/>
      <c r="DQ188" s="20"/>
      <c r="DR188" s="20"/>
      <c r="DS188" s="20"/>
      <c r="DT188" s="20"/>
    </row>
    <row r="189" spans="1:124" x14ac:dyDescent="0.25">
      <c r="A189" s="24" t="s">
        <v>4098</v>
      </c>
      <c r="B189" s="24" t="s">
        <v>3968</v>
      </c>
      <c r="E189" s="20"/>
      <c r="F189" s="20"/>
      <c r="G189" s="20"/>
      <c r="H189" s="20"/>
      <c r="I189" s="20"/>
      <c r="J189" s="20"/>
      <c r="K189" s="20"/>
      <c r="L189" s="20"/>
      <c r="O189" s="20"/>
      <c r="P189" s="20"/>
      <c r="Q189" s="20"/>
      <c r="R189" s="20"/>
      <c r="S189" s="20"/>
      <c r="T189" s="20"/>
      <c r="U189" s="20"/>
      <c r="V189" s="20"/>
      <c r="W189" s="20"/>
      <c r="X189" s="20"/>
      <c r="Y189" s="20"/>
      <c r="Z189" s="20"/>
      <c r="AA189" s="20"/>
      <c r="AB189" s="20"/>
      <c r="AC189" s="20"/>
      <c r="AD189" s="20"/>
      <c r="AE189" s="20"/>
      <c r="AF189" s="20"/>
      <c r="AG189" s="20"/>
      <c r="AH189" s="20"/>
      <c r="AI189" s="20"/>
      <c r="AJ189" s="20"/>
      <c r="AK189" s="20"/>
      <c r="AL189" s="20"/>
      <c r="AM189" s="20"/>
      <c r="AN189" s="20"/>
      <c r="AO189" s="20"/>
      <c r="AP189" s="20"/>
      <c r="AQ189" s="20"/>
      <c r="AR189" s="20"/>
      <c r="AS189" s="20"/>
      <c r="AT189" s="20"/>
      <c r="AU189" s="20"/>
      <c r="AV189" s="20"/>
      <c r="AW189" s="20"/>
      <c r="AX189" s="20"/>
      <c r="AY189" s="20"/>
      <c r="AZ189" s="20"/>
      <c r="BA189" s="20"/>
      <c r="BB189" s="20"/>
      <c r="BC189" s="20"/>
      <c r="BD189" s="20"/>
      <c r="BE189" s="20"/>
      <c r="BF189" s="20"/>
      <c r="BG189" s="20"/>
      <c r="BH189" s="20"/>
      <c r="BM189" s="20"/>
      <c r="BN189" s="20"/>
      <c r="BO189" s="20"/>
      <c r="BP189" s="20"/>
      <c r="BQ189" s="20"/>
      <c r="BR189" s="20"/>
      <c r="BS189" s="20"/>
      <c r="BT189" s="20"/>
      <c r="BU189" s="20"/>
      <c r="BV189" s="20"/>
      <c r="BW189" s="20"/>
      <c r="BX189" s="20"/>
      <c r="BY189" s="20"/>
      <c r="BZ189" s="20"/>
      <c r="CA189" s="20"/>
      <c r="CB189" s="20"/>
      <c r="CC189" s="20"/>
      <c r="CD189" s="20"/>
      <c r="CE189" s="20"/>
      <c r="CF189" s="20"/>
      <c r="CG189" s="20"/>
      <c r="CH189" s="20"/>
      <c r="CM189" s="20"/>
      <c r="CN189" s="20"/>
      <c r="CO189" s="20"/>
      <c r="CP189" s="20"/>
      <c r="CQ189" s="20"/>
      <c r="CR189" s="20"/>
      <c r="CS189" s="20"/>
      <c r="CT189" s="20"/>
      <c r="CY189" s="20"/>
      <c r="CZ189" s="20"/>
      <c r="DA189" s="20"/>
      <c r="DB189" s="20"/>
      <c r="DC189" s="20"/>
      <c r="DD189" s="20"/>
      <c r="DE189" s="20"/>
      <c r="DF189" s="20"/>
      <c r="DG189" s="20"/>
      <c r="DH189" s="20"/>
      <c r="DI189" s="20"/>
      <c r="DJ189" s="20"/>
      <c r="DK189" s="20"/>
      <c r="DL189" s="20"/>
      <c r="DM189" s="20"/>
      <c r="DN189" s="20"/>
      <c r="DO189" s="20"/>
      <c r="DP189" s="20"/>
      <c r="DQ189" s="20"/>
      <c r="DR189" s="20"/>
      <c r="DS189" s="20"/>
      <c r="DT189" s="20"/>
    </row>
    <row r="190" spans="1:124" x14ac:dyDescent="0.25">
      <c r="A190" s="24">
        <v>-423967356</v>
      </c>
      <c r="B190" s="24" t="s">
        <v>3968</v>
      </c>
      <c r="E190" s="20"/>
      <c r="F190" s="20"/>
      <c r="G190" s="20"/>
      <c r="H190" s="20"/>
      <c r="I190" s="20"/>
      <c r="J190" s="20"/>
      <c r="K190" s="20"/>
      <c r="L190" s="20"/>
      <c r="O190" s="20"/>
      <c r="P190" s="20"/>
      <c r="Q190" s="20"/>
      <c r="R190" s="20"/>
      <c r="S190" s="20"/>
      <c r="T190" s="20"/>
      <c r="U190" s="20"/>
      <c r="V190" s="20"/>
      <c r="W190" s="20"/>
      <c r="X190" s="20"/>
      <c r="Y190" s="20"/>
      <c r="Z190" s="20"/>
      <c r="AA190" s="20"/>
      <c r="AB190" s="20"/>
      <c r="AC190" s="20"/>
      <c r="AD190" s="20"/>
      <c r="AE190" s="20"/>
      <c r="AF190" s="20"/>
      <c r="AG190" s="20"/>
      <c r="AH190" s="20"/>
      <c r="AI190" s="20"/>
      <c r="AJ190" s="20"/>
      <c r="AK190" s="20"/>
      <c r="AL190" s="20"/>
      <c r="AM190" s="20"/>
      <c r="AN190" s="20"/>
      <c r="AO190" s="20"/>
      <c r="AP190" s="20"/>
      <c r="AQ190" s="20"/>
      <c r="AR190" s="20"/>
      <c r="AS190" s="20"/>
      <c r="AT190" s="20"/>
      <c r="AU190" s="20"/>
      <c r="AV190" s="20"/>
      <c r="AW190" s="20"/>
      <c r="AX190" s="20"/>
      <c r="AY190" s="20"/>
      <c r="AZ190" s="20"/>
      <c r="BA190" s="20"/>
      <c r="BB190" s="20"/>
      <c r="BC190" s="20"/>
      <c r="BD190" s="20"/>
      <c r="BE190" s="20"/>
      <c r="BF190" s="20"/>
      <c r="BG190" s="20"/>
      <c r="BH190" s="20"/>
      <c r="BM190" s="20"/>
      <c r="BN190" s="20"/>
      <c r="BO190" s="20"/>
      <c r="BP190" s="20"/>
      <c r="BQ190" s="20"/>
      <c r="BR190" s="20"/>
      <c r="BS190" s="20"/>
      <c r="BT190" s="20"/>
      <c r="BU190" s="20"/>
      <c r="BV190" s="20"/>
      <c r="BW190" s="20"/>
      <c r="BX190" s="20"/>
      <c r="BY190" s="20"/>
      <c r="BZ190" s="20"/>
      <c r="CA190" s="20"/>
      <c r="CB190" s="20"/>
      <c r="CC190" s="20"/>
      <c r="CD190" s="20"/>
      <c r="CE190" s="20"/>
      <c r="CF190" s="20"/>
      <c r="CG190" s="20"/>
      <c r="CH190" s="20"/>
      <c r="CM190" s="20"/>
      <c r="CN190" s="20"/>
      <c r="CO190" s="20"/>
      <c r="CP190" s="20"/>
      <c r="CQ190" s="20"/>
      <c r="CR190" s="20"/>
      <c r="CS190" s="20"/>
      <c r="CT190" s="20"/>
      <c r="CY190" s="20"/>
      <c r="CZ190" s="20"/>
      <c r="DA190" s="20"/>
      <c r="DB190" s="20"/>
      <c r="DC190" s="20"/>
      <c r="DD190" s="20"/>
      <c r="DE190" s="20"/>
      <c r="DF190" s="20"/>
      <c r="DG190" s="20"/>
      <c r="DH190" s="20"/>
      <c r="DI190" s="20"/>
      <c r="DJ190" s="20"/>
      <c r="DK190" s="20"/>
      <c r="DL190" s="20"/>
      <c r="DM190" s="20"/>
      <c r="DN190" s="20"/>
      <c r="DO190" s="20"/>
      <c r="DP190" s="20"/>
      <c r="DQ190" s="20"/>
      <c r="DR190" s="20"/>
      <c r="DS190" s="20"/>
      <c r="DT190" s="20"/>
    </row>
    <row r="191" spans="1:124" x14ac:dyDescent="0.25">
      <c r="A191" s="24">
        <v>-424978643</v>
      </c>
      <c r="B191" s="24" t="s">
        <v>3968</v>
      </c>
      <c r="E191" s="20"/>
      <c r="F191" s="20"/>
      <c r="G191" s="20"/>
      <c r="H191" s="20"/>
      <c r="I191" s="20"/>
      <c r="J191" s="20"/>
      <c r="K191" s="20"/>
      <c r="L191" s="20"/>
      <c r="O191" s="20"/>
      <c r="P191" s="20"/>
      <c r="Q191" s="20"/>
      <c r="R191" s="20"/>
      <c r="S191" s="20"/>
      <c r="T191" s="20"/>
      <c r="U191" s="20"/>
      <c r="V191" s="20"/>
      <c r="W191" s="20"/>
      <c r="X191" s="20"/>
      <c r="Y191" s="20"/>
      <c r="Z191" s="20"/>
      <c r="AA191" s="20"/>
      <c r="AB191" s="20"/>
      <c r="AC191" s="20"/>
      <c r="AD191" s="20"/>
      <c r="AE191" s="20"/>
      <c r="AF191" s="20"/>
      <c r="AG191" s="20"/>
      <c r="AH191" s="20"/>
      <c r="AI191" s="20"/>
      <c r="AJ191" s="20"/>
      <c r="AK191" s="20"/>
      <c r="AL191" s="20"/>
      <c r="AM191" s="20"/>
      <c r="AN191" s="20"/>
      <c r="AO191" s="20"/>
      <c r="AP191" s="20"/>
      <c r="AQ191" s="20"/>
      <c r="AR191" s="20"/>
      <c r="AS191" s="20"/>
      <c r="AT191" s="20"/>
      <c r="AU191" s="20"/>
      <c r="AV191" s="20"/>
      <c r="AW191" s="20"/>
      <c r="AX191" s="20"/>
      <c r="AY191" s="20"/>
      <c r="AZ191" s="20"/>
      <c r="BA191" s="20"/>
      <c r="BB191" s="20"/>
      <c r="BC191" s="20"/>
      <c r="BD191" s="20"/>
      <c r="BE191" s="20"/>
      <c r="BF191" s="20"/>
      <c r="BG191" s="20"/>
      <c r="BH191" s="20"/>
      <c r="BM191" s="20"/>
      <c r="BN191" s="20"/>
      <c r="BO191" s="20"/>
      <c r="BP191" s="20"/>
      <c r="BQ191" s="20"/>
      <c r="BR191" s="20"/>
      <c r="BS191" s="20"/>
      <c r="BT191" s="20"/>
      <c r="BU191" s="20"/>
      <c r="BV191" s="20"/>
      <c r="BW191" s="20"/>
      <c r="BX191" s="20"/>
      <c r="BY191" s="20"/>
      <c r="BZ191" s="20"/>
      <c r="CA191" s="20"/>
      <c r="CB191" s="20"/>
      <c r="CC191" s="20"/>
      <c r="CD191" s="20"/>
      <c r="CE191" s="20"/>
      <c r="CF191" s="20"/>
      <c r="CG191" s="20"/>
      <c r="CH191" s="20"/>
      <c r="CM191" s="20"/>
      <c r="CN191" s="20"/>
      <c r="CO191" s="20"/>
      <c r="CP191" s="20"/>
      <c r="CQ191" s="20"/>
      <c r="CR191" s="20"/>
      <c r="CS191" s="20"/>
      <c r="CT191" s="20"/>
      <c r="CY191" s="20"/>
      <c r="CZ191" s="20"/>
      <c r="DA191" s="20"/>
      <c r="DB191" s="20"/>
      <c r="DC191" s="20"/>
      <c r="DD191" s="20"/>
      <c r="DE191" s="20"/>
      <c r="DF191" s="20"/>
      <c r="DG191" s="20"/>
      <c r="DH191" s="20"/>
      <c r="DI191" s="20"/>
      <c r="DJ191" s="20"/>
      <c r="DK191" s="20"/>
      <c r="DL191" s="20"/>
      <c r="DM191" s="20"/>
      <c r="DN191" s="20"/>
      <c r="DO191" s="20"/>
      <c r="DP191" s="20"/>
      <c r="DQ191" s="20"/>
      <c r="DR191" s="20"/>
      <c r="DS191" s="20"/>
      <c r="DT191" s="20"/>
    </row>
    <row r="192" spans="1:124" x14ac:dyDescent="0.25">
      <c r="A192" s="24" t="s">
        <v>4143</v>
      </c>
      <c r="B192" s="24" t="s">
        <v>3968</v>
      </c>
      <c r="E192" s="20"/>
      <c r="F192" s="20"/>
      <c r="G192" s="20"/>
      <c r="H192" s="20"/>
      <c r="I192" s="20"/>
      <c r="J192" s="20"/>
      <c r="K192" s="20"/>
      <c r="L192" s="20"/>
      <c r="O192" s="20"/>
      <c r="P192" s="20"/>
      <c r="Q192" s="20"/>
      <c r="R192" s="20"/>
      <c r="S192" s="20"/>
      <c r="T192" s="20"/>
      <c r="U192" s="20"/>
      <c r="V192" s="20"/>
      <c r="W192" s="20"/>
      <c r="X192" s="20"/>
      <c r="Y192" s="20"/>
      <c r="Z192" s="20"/>
      <c r="AA192" s="20"/>
      <c r="AB192" s="20"/>
      <c r="AC192" s="20"/>
      <c r="AD192" s="20"/>
      <c r="AE192" s="20"/>
      <c r="AF192" s="20"/>
      <c r="AG192" s="20"/>
      <c r="AH192" s="20"/>
      <c r="AI192" s="20"/>
      <c r="AJ192" s="20"/>
      <c r="AK192" s="20"/>
      <c r="AL192" s="20"/>
      <c r="AM192" s="20"/>
      <c r="AN192" s="20"/>
      <c r="AO192" s="20"/>
      <c r="AP192" s="20"/>
      <c r="AQ192" s="20"/>
      <c r="AR192" s="20"/>
      <c r="AS192" s="20"/>
      <c r="AT192" s="20"/>
      <c r="AU192" s="20"/>
      <c r="AV192" s="20"/>
      <c r="AW192" s="20"/>
      <c r="AX192" s="20"/>
      <c r="AY192" s="20"/>
      <c r="AZ192" s="20"/>
      <c r="BA192" s="20"/>
      <c r="BB192" s="20"/>
      <c r="BC192" s="20"/>
      <c r="BD192" s="20"/>
      <c r="BE192" s="20"/>
      <c r="BF192" s="20"/>
      <c r="BG192" s="20"/>
      <c r="BH192" s="20"/>
      <c r="BM192" s="20"/>
      <c r="BN192" s="20"/>
      <c r="BO192" s="20"/>
      <c r="BP192" s="20"/>
      <c r="BQ192" s="20"/>
      <c r="BR192" s="20"/>
      <c r="BS192" s="20"/>
      <c r="BT192" s="20"/>
      <c r="BU192" s="20"/>
      <c r="BV192" s="20"/>
      <c r="BW192" s="20"/>
      <c r="BX192" s="20"/>
      <c r="BY192" s="20"/>
      <c r="BZ192" s="20"/>
      <c r="CA192" s="20"/>
      <c r="CB192" s="20"/>
      <c r="CC192" s="20"/>
      <c r="CD192" s="20"/>
      <c r="CE192" s="20"/>
      <c r="CF192" s="20"/>
      <c r="CG192" s="20"/>
      <c r="CH192" s="20"/>
      <c r="CM192" s="20"/>
      <c r="CN192" s="20"/>
      <c r="CO192" s="20"/>
      <c r="CP192" s="20"/>
      <c r="CQ192" s="20"/>
      <c r="CR192" s="20"/>
      <c r="CS192" s="20"/>
      <c r="CT192" s="20"/>
      <c r="CY192" s="20"/>
      <c r="CZ192" s="20"/>
      <c r="DA192" s="20"/>
      <c r="DB192" s="20"/>
      <c r="DC192" s="20"/>
      <c r="DD192" s="20"/>
      <c r="DE192" s="20"/>
      <c r="DF192" s="20"/>
      <c r="DG192" s="20"/>
      <c r="DH192" s="20"/>
      <c r="DI192" s="20"/>
      <c r="DJ192" s="20"/>
      <c r="DK192" s="20"/>
      <c r="DL192" s="20"/>
      <c r="DM192" s="20"/>
      <c r="DN192" s="20"/>
      <c r="DO192" s="20"/>
      <c r="DP192" s="20"/>
      <c r="DQ192" s="20"/>
      <c r="DR192" s="20"/>
      <c r="DS192" s="20"/>
      <c r="DT192" s="20"/>
    </row>
    <row r="193" spans="1:124" x14ac:dyDescent="0.25">
      <c r="A193" s="24" t="s">
        <v>4155</v>
      </c>
      <c r="B193" s="24" t="s">
        <v>3968</v>
      </c>
      <c r="E193" s="20"/>
      <c r="F193" s="20"/>
      <c r="G193" s="20"/>
      <c r="H193" s="20"/>
      <c r="I193" s="20"/>
      <c r="J193" s="20"/>
      <c r="K193" s="20"/>
      <c r="L193" s="20"/>
      <c r="O193" s="20"/>
      <c r="P193" s="20"/>
      <c r="Q193" s="20"/>
      <c r="R193" s="20"/>
      <c r="S193" s="20"/>
      <c r="T193" s="20"/>
      <c r="U193" s="20"/>
      <c r="V193" s="20"/>
      <c r="W193" s="20"/>
      <c r="X193" s="20"/>
      <c r="Y193" s="20"/>
      <c r="Z193" s="20"/>
      <c r="AA193" s="20"/>
      <c r="AB193" s="20"/>
      <c r="AC193" s="20"/>
      <c r="AD193" s="20"/>
      <c r="AE193" s="20"/>
      <c r="AF193" s="20"/>
      <c r="AG193" s="20"/>
      <c r="AH193" s="20"/>
      <c r="AI193" s="20"/>
      <c r="AJ193" s="20"/>
      <c r="AK193" s="20"/>
      <c r="AL193" s="20"/>
      <c r="AM193" s="20"/>
      <c r="AN193" s="20"/>
      <c r="AO193" s="20"/>
      <c r="AP193" s="20"/>
      <c r="AQ193" s="20"/>
      <c r="AR193" s="20"/>
      <c r="AS193" s="20"/>
      <c r="AT193" s="20"/>
      <c r="AU193" s="20"/>
      <c r="AV193" s="20"/>
      <c r="AW193" s="20"/>
      <c r="AX193" s="20"/>
      <c r="AY193" s="20"/>
      <c r="AZ193" s="20"/>
      <c r="BA193" s="20"/>
      <c r="BB193" s="20"/>
      <c r="BC193" s="20"/>
      <c r="BD193" s="20"/>
      <c r="BE193" s="20"/>
      <c r="BF193" s="20"/>
      <c r="BG193" s="20"/>
      <c r="BH193" s="20"/>
      <c r="BM193" s="20"/>
      <c r="BN193" s="20"/>
      <c r="BO193" s="20"/>
      <c r="BP193" s="20"/>
      <c r="BQ193" s="20"/>
      <c r="BR193" s="20"/>
      <c r="BS193" s="20"/>
      <c r="BT193" s="20"/>
      <c r="BU193" s="20"/>
      <c r="BV193" s="20"/>
      <c r="BW193" s="20"/>
      <c r="BX193" s="20"/>
      <c r="BY193" s="20"/>
      <c r="BZ193" s="20"/>
      <c r="CA193" s="20"/>
      <c r="CB193" s="20"/>
      <c r="CC193" s="20"/>
      <c r="CD193" s="20"/>
      <c r="CE193" s="20"/>
      <c r="CF193" s="20"/>
      <c r="CG193" s="20"/>
      <c r="CH193" s="20"/>
      <c r="CM193" s="20"/>
      <c r="CN193" s="20"/>
      <c r="CO193" s="20"/>
      <c r="CP193" s="20"/>
      <c r="CQ193" s="20"/>
      <c r="CR193" s="20"/>
      <c r="CS193" s="20"/>
      <c r="CT193" s="20"/>
      <c r="CY193" s="20"/>
      <c r="CZ193" s="20"/>
      <c r="DA193" s="20"/>
      <c r="DB193" s="20"/>
      <c r="DC193" s="20"/>
      <c r="DD193" s="20"/>
      <c r="DE193" s="20"/>
      <c r="DF193" s="20"/>
      <c r="DG193" s="20"/>
      <c r="DH193" s="20"/>
      <c r="DI193" s="20"/>
      <c r="DJ193" s="20"/>
      <c r="DK193" s="20"/>
      <c r="DL193" s="20"/>
      <c r="DM193" s="20"/>
      <c r="DN193" s="20"/>
      <c r="DO193" s="20"/>
      <c r="DP193" s="20"/>
      <c r="DQ193" s="20"/>
      <c r="DR193" s="20"/>
      <c r="DS193" s="20"/>
      <c r="DT193" s="20"/>
    </row>
    <row r="194" spans="1:124" x14ac:dyDescent="0.25">
      <c r="A194" s="24" t="s">
        <v>4169</v>
      </c>
      <c r="B194" s="24" t="s">
        <v>3968</v>
      </c>
      <c r="E194" s="20"/>
      <c r="F194" s="20"/>
      <c r="G194" s="20"/>
      <c r="H194" s="20"/>
      <c r="I194" s="20"/>
      <c r="J194" s="20"/>
      <c r="K194" s="20"/>
      <c r="L194" s="20"/>
      <c r="O194" s="20"/>
      <c r="P194" s="20"/>
      <c r="Q194" s="20"/>
      <c r="R194" s="20"/>
      <c r="S194" s="20"/>
      <c r="T194" s="20"/>
      <c r="U194" s="20"/>
      <c r="V194" s="20"/>
      <c r="W194" s="20"/>
      <c r="X194" s="20"/>
      <c r="Y194" s="20"/>
      <c r="Z194" s="20"/>
      <c r="AA194" s="20"/>
      <c r="AB194" s="20"/>
      <c r="AC194" s="20"/>
      <c r="AD194" s="20"/>
      <c r="AE194" s="20"/>
      <c r="AF194" s="20"/>
      <c r="AG194" s="20"/>
      <c r="AH194" s="20"/>
      <c r="AI194" s="20"/>
      <c r="AJ194" s="20"/>
      <c r="AK194" s="20"/>
      <c r="AL194" s="20"/>
      <c r="AM194" s="20"/>
      <c r="AN194" s="20"/>
      <c r="AO194" s="20"/>
      <c r="AP194" s="20"/>
      <c r="AQ194" s="20"/>
      <c r="AR194" s="20"/>
      <c r="AS194" s="20"/>
      <c r="AT194" s="20"/>
      <c r="AU194" s="20"/>
      <c r="AV194" s="20"/>
      <c r="AW194" s="20"/>
      <c r="AX194" s="20"/>
      <c r="AY194" s="20"/>
      <c r="AZ194" s="20"/>
      <c r="BA194" s="20"/>
      <c r="BB194" s="20"/>
      <c r="BC194" s="20"/>
      <c r="BD194" s="20"/>
      <c r="BE194" s="20"/>
      <c r="BF194" s="20"/>
      <c r="BG194" s="20"/>
      <c r="BH194" s="20"/>
      <c r="BM194" s="20"/>
      <c r="BN194" s="20"/>
      <c r="BO194" s="20"/>
      <c r="BP194" s="20"/>
      <c r="BQ194" s="20"/>
      <c r="BR194" s="20"/>
      <c r="BS194" s="20"/>
      <c r="BT194" s="20"/>
      <c r="BU194" s="20"/>
      <c r="BV194" s="20"/>
      <c r="BW194" s="20"/>
      <c r="BX194" s="20"/>
      <c r="BY194" s="20"/>
      <c r="BZ194" s="20"/>
      <c r="CA194" s="20"/>
      <c r="CB194" s="20"/>
      <c r="CC194" s="20"/>
      <c r="CD194" s="20"/>
      <c r="CE194" s="20"/>
      <c r="CF194" s="20"/>
      <c r="CG194" s="20"/>
      <c r="CH194" s="20"/>
      <c r="CM194" s="20"/>
      <c r="CN194" s="20"/>
      <c r="CO194" s="20"/>
      <c r="CP194" s="20"/>
      <c r="CQ194" s="20"/>
      <c r="CR194" s="20"/>
      <c r="CS194" s="20"/>
      <c r="CT194" s="20"/>
      <c r="CY194" s="20"/>
      <c r="CZ194" s="20"/>
      <c r="DA194" s="20"/>
      <c r="DB194" s="20"/>
      <c r="DC194" s="20"/>
      <c r="DD194" s="20"/>
      <c r="DE194" s="20"/>
      <c r="DF194" s="20"/>
      <c r="DG194" s="20"/>
      <c r="DH194" s="20"/>
      <c r="DI194" s="20"/>
      <c r="DJ194" s="20"/>
      <c r="DK194" s="20"/>
      <c r="DL194" s="20"/>
      <c r="DM194" s="20"/>
      <c r="DN194" s="20"/>
      <c r="DO194" s="20"/>
      <c r="DP194" s="20"/>
      <c r="DQ194" s="20"/>
      <c r="DR194" s="20"/>
      <c r="DS194" s="20"/>
      <c r="DT194" s="20"/>
    </row>
    <row r="195" spans="1:124" x14ac:dyDescent="0.25">
      <c r="A195" s="24" t="s">
        <v>4187</v>
      </c>
      <c r="B195" s="24" t="s">
        <v>3968</v>
      </c>
      <c r="E195" s="20"/>
      <c r="F195" s="20"/>
      <c r="G195" s="20"/>
      <c r="H195" s="20"/>
      <c r="I195" s="20"/>
      <c r="J195" s="20"/>
      <c r="K195" s="20"/>
      <c r="L195" s="20"/>
      <c r="O195" s="20"/>
      <c r="P195" s="20"/>
      <c r="Q195" s="20"/>
      <c r="R195" s="20"/>
      <c r="S195" s="20"/>
      <c r="T195" s="20"/>
      <c r="U195" s="20"/>
      <c r="V195" s="20"/>
      <c r="W195" s="20"/>
      <c r="X195" s="20"/>
      <c r="Y195" s="20"/>
      <c r="Z195" s="20"/>
      <c r="AA195" s="20"/>
      <c r="AB195" s="20"/>
      <c r="AC195" s="20"/>
      <c r="AD195" s="20"/>
      <c r="AE195" s="20"/>
      <c r="AF195" s="20"/>
      <c r="AG195" s="20"/>
      <c r="AH195" s="20"/>
      <c r="AI195" s="20"/>
      <c r="AJ195" s="20"/>
      <c r="AK195" s="20"/>
      <c r="AL195" s="20"/>
      <c r="AM195" s="20"/>
      <c r="AN195" s="20"/>
      <c r="AO195" s="20"/>
      <c r="AP195" s="20"/>
      <c r="AQ195" s="20"/>
      <c r="AR195" s="20"/>
      <c r="AS195" s="20"/>
      <c r="AT195" s="20"/>
      <c r="AU195" s="20"/>
      <c r="AV195" s="20"/>
      <c r="AW195" s="20"/>
      <c r="AX195" s="20"/>
      <c r="AY195" s="20"/>
      <c r="AZ195" s="20"/>
      <c r="BA195" s="20"/>
      <c r="BB195" s="20"/>
      <c r="BC195" s="20"/>
      <c r="BD195" s="20"/>
      <c r="BE195" s="20"/>
      <c r="BF195" s="20"/>
      <c r="BG195" s="20"/>
      <c r="BH195" s="20"/>
      <c r="BM195" s="20"/>
      <c r="BN195" s="20"/>
      <c r="BO195" s="20"/>
      <c r="BP195" s="20"/>
      <c r="BQ195" s="20"/>
      <c r="BR195" s="20"/>
      <c r="BS195" s="20"/>
      <c r="BT195" s="20"/>
      <c r="BU195" s="20"/>
      <c r="BV195" s="20"/>
      <c r="BW195" s="20"/>
      <c r="BX195" s="20"/>
      <c r="BY195" s="20"/>
      <c r="BZ195" s="20"/>
      <c r="CA195" s="20"/>
      <c r="CB195" s="20"/>
      <c r="CC195" s="20"/>
      <c r="CD195" s="20"/>
      <c r="CE195" s="20"/>
      <c r="CF195" s="20"/>
      <c r="CG195" s="20"/>
      <c r="CH195" s="20"/>
      <c r="CM195" s="20"/>
      <c r="CN195" s="20"/>
      <c r="CO195" s="20"/>
      <c r="CP195" s="20"/>
      <c r="CQ195" s="20"/>
      <c r="CR195" s="20"/>
      <c r="CS195" s="20"/>
      <c r="CT195" s="20"/>
      <c r="CY195" s="20"/>
      <c r="CZ195" s="20"/>
      <c r="DA195" s="20"/>
      <c r="DB195" s="20"/>
      <c r="DC195" s="20"/>
      <c r="DD195" s="20"/>
      <c r="DE195" s="20"/>
      <c r="DF195" s="20"/>
      <c r="DG195" s="20"/>
      <c r="DH195" s="20"/>
      <c r="DI195" s="20"/>
      <c r="DJ195" s="20"/>
      <c r="DK195" s="20"/>
      <c r="DL195" s="20"/>
      <c r="DM195" s="20"/>
      <c r="DN195" s="20"/>
      <c r="DO195" s="20"/>
      <c r="DP195" s="20"/>
      <c r="DQ195" s="20"/>
      <c r="DR195" s="20"/>
      <c r="DS195" s="20"/>
      <c r="DT195" s="20"/>
    </row>
    <row r="196" spans="1:124" x14ac:dyDescent="0.25">
      <c r="A196" s="24" t="s">
        <v>4201</v>
      </c>
      <c r="B196" s="24" t="s">
        <v>3968</v>
      </c>
      <c r="E196" s="20"/>
      <c r="F196" s="20"/>
      <c r="G196" s="20"/>
      <c r="H196" s="20"/>
      <c r="I196" s="20"/>
      <c r="J196" s="20"/>
      <c r="K196" s="20"/>
      <c r="L196" s="20"/>
      <c r="O196" s="20"/>
      <c r="P196" s="20"/>
      <c r="Q196" s="20"/>
      <c r="R196" s="20"/>
      <c r="S196" s="20"/>
      <c r="T196" s="20"/>
      <c r="U196" s="20"/>
      <c r="V196" s="20"/>
      <c r="W196" s="20"/>
      <c r="X196" s="20"/>
      <c r="Y196" s="20"/>
      <c r="Z196" s="20"/>
      <c r="AA196" s="20"/>
      <c r="AB196" s="20"/>
      <c r="AC196" s="20"/>
      <c r="AD196" s="20"/>
      <c r="AE196" s="20"/>
      <c r="AF196" s="20"/>
      <c r="AG196" s="20"/>
      <c r="AH196" s="20"/>
      <c r="AI196" s="20"/>
      <c r="AJ196" s="20"/>
      <c r="AK196" s="20"/>
      <c r="AL196" s="20"/>
      <c r="AM196" s="20"/>
      <c r="AN196" s="20"/>
      <c r="AO196" s="20"/>
      <c r="AP196" s="20"/>
      <c r="AQ196" s="20"/>
      <c r="AR196" s="20"/>
      <c r="AS196" s="20"/>
      <c r="AT196" s="20"/>
      <c r="AU196" s="20"/>
      <c r="AV196" s="20"/>
      <c r="AW196" s="20"/>
      <c r="AX196" s="20"/>
      <c r="AY196" s="20"/>
      <c r="AZ196" s="20"/>
      <c r="BA196" s="20"/>
      <c r="BB196" s="20"/>
      <c r="BC196" s="20"/>
      <c r="BD196" s="20"/>
      <c r="BE196" s="20"/>
      <c r="BF196" s="20"/>
      <c r="BG196" s="20"/>
      <c r="BH196" s="20"/>
      <c r="BM196" s="20"/>
      <c r="BN196" s="20"/>
      <c r="BO196" s="20"/>
      <c r="BP196" s="20"/>
      <c r="BQ196" s="20"/>
      <c r="BR196" s="20"/>
      <c r="BS196" s="20"/>
      <c r="BT196" s="20"/>
      <c r="BU196" s="20"/>
      <c r="BV196" s="20"/>
      <c r="BW196" s="20"/>
      <c r="BX196" s="20"/>
      <c r="BY196" s="20"/>
      <c r="BZ196" s="20"/>
      <c r="CA196" s="20"/>
      <c r="CB196" s="20"/>
      <c r="CC196" s="20"/>
      <c r="CD196" s="20"/>
      <c r="CE196" s="20"/>
      <c r="CF196" s="20"/>
      <c r="CG196" s="20"/>
      <c r="CH196" s="20"/>
      <c r="CM196" s="20"/>
      <c r="CN196" s="20"/>
      <c r="CO196" s="20"/>
      <c r="CP196" s="20"/>
      <c r="CQ196" s="20"/>
      <c r="CR196" s="20"/>
      <c r="CS196" s="20"/>
      <c r="CT196" s="20"/>
      <c r="CY196" s="20"/>
      <c r="CZ196" s="20"/>
      <c r="DA196" s="20"/>
      <c r="DB196" s="20"/>
      <c r="DC196" s="20"/>
      <c r="DD196" s="20"/>
      <c r="DE196" s="20"/>
      <c r="DF196" s="20"/>
      <c r="DG196" s="20"/>
      <c r="DH196" s="20"/>
      <c r="DI196" s="20"/>
      <c r="DJ196" s="20"/>
      <c r="DK196" s="20"/>
      <c r="DL196" s="20"/>
      <c r="DM196" s="20"/>
      <c r="DN196" s="20"/>
      <c r="DO196" s="20"/>
      <c r="DP196" s="20"/>
      <c r="DQ196" s="20"/>
      <c r="DR196" s="20"/>
      <c r="DS196" s="20"/>
      <c r="DT196" s="20"/>
    </row>
    <row r="197" spans="1:124" x14ac:dyDescent="0.25">
      <c r="A197" s="24">
        <v>423967353</v>
      </c>
      <c r="B197" s="24" t="s">
        <v>3968</v>
      </c>
      <c r="E197" s="20"/>
      <c r="F197" s="20"/>
      <c r="G197" s="20"/>
      <c r="H197" s="20"/>
      <c r="I197" s="20"/>
      <c r="J197" s="20"/>
      <c r="K197" s="20"/>
      <c r="L197" s="20"/>
      <c r="O197" s="20"/>
      <c r="P197" s="20"/>
      <c r="Q197" s="20"/>
      <c r="R197" s="20"/>
      <c r="S197" s="20"/>
      <c r="T197" s="20"/>
      <c r="U197" s="20"/>
      <c r="V197" s="20"/>
      <c r="W197" s="20"/>
      <c r="X197" s="20"/>
      <c r="Y197" s="20"/>
      <c r="Z197" s="20"/>
      <c r="AA197" s="20"/>
      <c r="AB197" s="20"/>
      <c r="AC197" s="20"/>
      <c r="AD197" s="20"/>
      <c r="AE197" s="20"/>
      <c r="AF197" s="20"/>
      <c r="AG197" s="20"/>
      <c r="AH197" s="20"/>
      <c r="AI197" s="20"/>
      <c r="AJ197" s="20"/>
      <c r="AK197" s="20"/>
      <c r="AL197" s="20"/>
      <c r="AM197" s="20"/>
      <c r="AN197" s="20"/>
      <c r="AO197" s="20"/>
      <c r="AP197" s="20"/>
      <c r="AQ197" s="20"/>
      <c r="AR197" s="20"/>
      <c r="AS197" s="20"/>
      <c r="AT197" s="20"/>
      <c r="AU197" s="20"/>
      <c r="AV197" s="20"/>
      <c r="AW197" s="20"/>
      <c r="AX197" s="20"/>
      <c r="AY197" s="20"/>
      <c r="AZ197" s="20"/>
      <c r="BA197" s="20"/>
      <c r="BB197" s="20"/>
      <c r="BC197" s="20"/>
      <c r="BD197" s="20"/>
      <c r="BE197" s="20"/>
      <c r="BF197" s="20"/>
      <c r="BG197" s="20"/>
      <c r="BH197" s="20"/>
      <c r="BM197" s="20"/>
      <c r="BN197" s="20"/>
      <c r="BO197" s="20"/>
      <c r="BP197" s="20"/>
      <c r="BQ197" s="20"/>
      <c r="BR197" s="20"/>
      <c r="BS197" s="20"/>
      <c r="BT197" s="20"/>
      <c r="BU197" s="20"/>
      <c r="BV197" s="20"/>
      <c r="BW197" s="20"/>
      <c r="BX197" s="20"/>
      <c r="BY197" s="20"/>
      <c r="BZ197" s="20"/>
      <c r="CA197" s="20"/>
      <c r="CB197" s="20"/>
      <c r="CC197" s="20"/>
      <c r="CD197" s="20"/>
      <c r="CE197" s="20"/>
      <c r="CF197" s="20"/>
      <c r="CG197" s="20"/>
      <c r="CH197" s="20"/>
      <c r="CM197" s="20"/>
      <c r="CN197" s="20"/>
      <c r="CO197" s="20"/>
      <c r="CP197" s="20"/>
      <c r="CQ197" s="20"/>
      <c r="CR197" s="20"/>
      <c r="CS197" s="20"/>
      <c r="CT197" s="20"/>
      <c r="CY197" s="20"/>
      <c r="CZ197" s="20"/>
      <c r="DA197" s="20"/>
      <c r="DB197" s="20"/>
      <c r="DC197" s="20"/>
      <c r="DD197" s="20"/>
      <c r="DE197" s="20"/>
      <c r="DF197" s="20"/>
      <c r="DG197" s="20"/>
      <c r="DH197" s="20"/>
      <c r="DI197" s="20"/>
      <c r="DJ197" s="20"/>
      <c r="DK197" s="20"/>
      <c r="DL197" s="20"/>
      <c r="DM197" s="20"/>
      <c r="DN197" s="20"/>
      <c r="DO197" s="20"/>
      <c r="DP197" s="20"/>
      <c r="DQ197" s="20"/>
      <c r="DR197" s="20"/>
      <c r="DS197" s="20"/>
      <c r="DT197" s="20"/>
    </row>
    <row r="198" spans="1:124" x14ac:dyDescent="0.25">
      <c r="A198" s="24">
        <v>424978640</v>
      </c>
      <c r="B198" s="24" t="s">
        <v>3968</v>
      </c>
      <c r="E198" s="20"/>
      <c r="F198" s="20"/>
      <c r="G198" s="20"/>
      <c r="H198" s="20"/>
      <c r="I198" s="20"/>
      <c r="J198" s="20"/>
      <c r="K198" s="20"/>
      <c r="L198" s="20"/>
      <c r="O198" s="20"/>
      <c r="P198" s="20"/>
      <c r="Q198" s="20"/>
      <c r="R198" s="20"/>
      <c r="S198" s="20"/>
      <c r="T198" s="20"/>
      <c r="U198" s="20"/>
      <c r="V198" s="20"/>
      <c r="W198" s="20"/>
      <c r="X198" s="20"/>
      <c r="Y198" s="20"/>
      <c r="Z198" s="20"/>
      <c r="AA198" s="20"/>
      <c r="AB198" s="20"/>
      <c r="AC198" s="20"/>
      <c r="AD198" s="20"/>
      <c r="AE198" s="20"/>
      <c r="AF198" s="20"/>
      <c r="AG198" s="20"/>
      <c r="AH198" s="20"/>
      <c r="AI198" s="20"/>
      <c r="AJ198" s="20"/>
      <c r="AK198" s="20"/>
      <c r="AL198" s="20"/>
      <c r="AM198" s="20"/>
      <c r="AN198" s="20"/>
      <c r="AO198" s="20"/>
      <c r="AP198" s="20"/>
      <c r="AQ198" s="20"/>
      <c r="AR198" s="20"/>
      <c r="AS198" s="20"/>
      <c r="AT198" s="20"/>
      <c r="AU198" s="20"/>
      <c r="AV198" s="20"/>
      <c r="AW198" s="20"/>
      <c r="AX198" s="20"/>
      <c r="AY198" s="20"/>
      <c r="AZ198" s="20"/>
      <c r="BA198" s="20"/>
      <c r="BB198" s="20"/>
      <c r="BC198" s="20"/>
      <c r="BD198" s="20"/>
      <c r="BE198" s="20"/>
      <c r="BF198" s="20"/>
      <c r="BG198" s="20"/>
      <c r="BH198" s="20"/>
      <c r="BM198" s="20"/>
      <c r="BN198" s="20"/>
      <c r="BO198" s="20"/>
      <c r="BP198" s="20"/>
      <c r="BQ198" s="20"/>
      <c r="BR198" s="20"/>
      <c r="BS198" s="20"/>
      <c r="BT198" s="20"/>
      <c r="BU198" s="20"/>
      <c r="BV198" s="20"/>
      <c r="BW198" s="20"/>
      <c r="BX198" s="20"/>
      <c r="BY198" s="20"/>
      <c r="BZ198" s="20"/>
      <c r="CA198" s="20"/>
      <c r="CB198" s="20"/>
      <c r="CC198" s="20"/>
      <c r="CD198" s="20"/>
      <c r="CE198" s="20"/>
      <c r="CF198" s="20"/>
      <c r="CG198" s="20"/>
      <c r="CH198" s="20"/>
      <c r="CM198" s="20"/>
      <c r="CN198" s="20"/>
      <c r="CO198" s="20"/>
      <c r="CP198" s="20"/>
      <c r="CQ198" s="20"/>
      <c r="CR198" s="20"/>
      <c r="CS198" s="20"/>
      <c r="CT198" s="20"/>
      <c r="CY198" s="20"/>
      <c r="CZ198" s="20"/>
      <c r="DA198" s="20"/>
      <c r="DB198" s="20"/>
      <c r="DC198" s="20"/>
      <c r="DD198" s="20"/>
      <c r="DE198" s="20"/>
      <c r="DF198" s="20"/>
      <c r="DG198" s="20"/>
      <c r="DH198" s="20"/>
      <c r="DI198" s="20"/>
      <c r="DJ198" s="20"/>
      <c r="DK198" s="20"/>
      <c r="DL198" s="20"/>
      <c r="DM198" s="20"/>
      <c r="DN198" s="20"/>
      <c r="DO198" s="20"/>
      <c r="DP198" s="20"/>
      <c r="DQ198" s="20"/>
      <c r="DR198" s="20"/>
      <c r="DS198" s="20"/>
      <c r="DT198" s="20"/>
    </row>
    <row r="199" spans="1:124" x14ac:dyDescent="0.25">
      <c r="A199" s="24">
        <v>424978643</v>
      </c>
      <c r="B199" s="24" t="s">
        <v>3968</v>
      </c>
      <c r="E199" s="20"/>
      <c r="F199" s="20"/>
      <c r="G199" s="20"/>
      <c r="H199" s="20"/>
      <c r="I199" s="20"/>
      <c r="J199" s="20"/>
      <c r="K199" s="20"/>
      <c r="L199" s="20"/>
      <c r="O199" s="20"/>
      <c r="P199" s="20"/>
      <c r="Q199" s="20"/>
      <c r="R199" s="20"/>
      <c r="S199" s="20"/>
      <c r="T199" s="20"/>
      <c r="U199" s="20"/>
      <c r="V199" s="20"/>
      <c r="W199" s="20"/>
      <c r="X199" s="20"/>
      <c r="Y199" s="20"/>
      <c r="Z199" s="20"/>
      <c r="AA199" s="20"/>
      <c r="AB199" s="20"/>
      <c r="AC199" s="20"/>
      <c r="AD199" s="20"/>
      <c r="AE199" s="20"/>
      <c r="AF199" s="20"/>
      <c r="AG199" s="20"/>
      <c r="AH199" s="20"/>
      <c r="AI199" s="20"/>
      <c r="AJ199" s="20"/>
      <c r="AK199" s="20"/>
      <c r="AL199" s="20"/>
      <c r="AM199" s="20"/>
      <c r="AN199" s="20"/>
      <c r="AO199" s="20"/>
      <c r="AP199" s="20"/>
      <c r="AQ199" s="20"/>
      <c r="AR199" s="20"/>
      <c r="AS199" s="20"/>
      <c r="AT199" s="20"/>
      <c r="AU199" s="20"/>
      <c r="AV199" s="20"/>
      <c r="AW199" s="20"/>
      <c r="AX199" s="20"/>
      <c r="AY199" s="20"/>
      <c r="AZ199" s="20"/>
      <c r="BA199" s="20"/>
      <c r="BB199" s="20"/>
      <c r="BC199" s="20"/>
      <c r="BD199" s="20"/>
      <c r="BE199" s="20"/>
      <c r="BF199" s="20"/>
      <c r="BG199" s="20"/>
      <c r="BH199" s="20"/>
      <c r="BM199" s="20"/>
      <c r="BN199" s="20"/>
      <c r="BO199" s="20"/>
      <c r="BP199" s="20"/>
      <c r="BQ199" s="20"/>
      <c r="BR199" s="20"/>
      <c r="BS199" s="20"/>
      <c r="BT199" s="20"/>
      <c r="BU199" s="20"/>
      <c r="BV199" s="20"/>
      <c r="BW199" s="20"/>
      <c r="BX199" s="20"/>
      <c r="BY199" s="20"/>
      <c r="BZ199" s="20"/>
      <c r="CA199" s="20"/>
      <c r="CB199" s="20"/>
      <c r="CC199" s="20"/>
      <c r="CD199" s="20"/>
      <c r="CE199" s="20"/>
      <c r="CF199" s="20"/>
      <c r="CG199" s="20"/>
      <c r="CH199" s="20"/>
      <c r="CM199" s="20"/>
      <c r="CN199" s="20"/>
      <c r="CO199" s="20"/>
      <c r="CP199" s="20"/>
      <c r="CQ199" s="20"/>
      <c r="CR199" s="20"/>
      <c r="CS199" s="20"/>
      <c r="CT199" s="20"/>
      <c r="CY199" s="20"/>
      <c r="CZ199" s="20"/>
      <c r="DA199" s="20"/>
      <c r="DB199" s="20"/>
      <c r="DC199" s="20"/>
      <c r="DD199" s="20"/>
      <c r="DE199" s="20"/>
      <c r="DF199" s="20"/>
      <c r="DG199" s="20"/>
      <c r="DH199" s="20"/>
      <c r="DI199" s="20"/>
      <c r="DJ199" s="20"/>
      <c r="DK199" s="20"/>
      <c r="DL199" s="20"/>
      <c r="DM199" s="20"/>
      <c r="DN199" s="20"/>
      <c r="DO199" s="20"/>
      <c r="DP199" s="20"/>
      <c r="DQ199" s="20"/>
      <c r="DR199" s="20"/>
      <c r="DS199" s="20"/>
      <c r="DT199" s="20"/>
    </row>
    <row r="200" spans="1:124" x14ac:dyDescent="0.25">
      <c r="A200" s="24">
        <v>423967356</v>
      </c>
      <c r="B200" s="24" t="s">
        <v>3968</v>
      </c>
      <c r="E200" s="20"/>
      <c r="F200" s="20"/>
      <c r="G200" s="20"/>
      <c r="H200" s="20"/>
      <c r="I200" s="20"/>
      <c r="J200" s="20"/>
      <c r="K200" s="20"/>
      <c r="L200" s="20"/>
      <c r="O200" s="20"/>
      <c r="P200" s="20"/>
      <c r="Q200" s="20"/>
      <c r="R200" s="20"/>
      <c r="S200" s="20"/>
      <c r="T200" s="20"/>
      <c r="U200" s="20"/>
      <c r="V200" s="20"/>
      <c r="W200" s="20"/>
      <c r="X200" s="20"/>
      <c r="Y200" s="20"/>
      <c r="Z200" s="20"/>
      <c r="AA200" s="20"/>
      <c r="AB200" s="20"/>
      <c r="AC200" s="20"/>
      <c r="AD200" s="20"/>
      <c r="AE200" s="20"/>
      <c r="AF200" s="20"/>
      <c r="AG200" s="20"/>
      <c r="AH200" s="20"/>
      <c r="AI200" s="20"/>
      <c r="AJ200" s="20"/>
      <c r="AK200" s="20"/>
      <c r="AL200" s="20"/>
      <c r="AM200" s="20"/>
      <c r="AN200" s="20"/>
      <c r="AO200" s="20"/>
      <c r="AP200" s="20"/>
      <c r="AQ200" s="20"/>
      <c r="AR200" s="20"/>
      <c r="AS200" s="20"/>
      <c r="AT200" s="20"/>
      <c r="AU200" s="20"/>
      <c r="AV200" s="20"/>
      <c r="AW200" s="20"/>
      <c r="AX200" s="20"/>
      <c r="AY200" s="20"/>
      <c r="AZ200" s="20"/>
      <c r="BA200" s="20"/>
      <c r="BB200" s="20"/>
      <c r="BC200" s="20"/>
      <c r="BD200" s="20"/>
      <c r="BE200" s="20"/>
      <c r="BF200" s="20"/>
      <c r="BG200" s="20"/>
      <c r="BH200" s="20"/>
      <c r="BM200" s="20"/>
      <c r="BN200" s="20"/>
      <c r="BO200" s="20"/>
      <c r="BP200" s="20"/>
      <c r="BQ200" s="20"/>
      <c r="BR200" s="20"/>
      <c r="BS200" s="20"/>
      <c r="BT200" s="20"/>
      <c r="BU200" s="20"/>
      <c r="BV200" s="20"/>
      <c r="BW200" s="20"/>
      <c r="BX200" s="20"/>
      <c r="BY200" s="20"/>
      <c r="BZ200" s="20"/>
      <c r="CA200" s="20"/>
      <c r="CB200" s="20"/>
      <c r="CC200" s="20"/>
      <c r="CD200" s="20"/>
      <c r="CE200" s="20"/>
      <c r="CF200" s="20"/>
      <c r="CG200" s="20"/>
      <c r="CH200" s="20"/>
      <c r="CM200" s="20"/>
      <c r="CN200" s="20"/>
      <c r="CO200" s="20"/>
      <c r="CP200" s="20"/>
      <c r="CQ200" s="20"/>
      <c r="CR200" s="20"/>
      <c r="CS200" s="20"/>
      <c r="CT200" s="20"/>
      <c r="CY200" s="20"/>
      <c r="CZ200" s="20"/>
      <c r="DA200" s="20"/>
      <c r="DB200" s="20"/>
      <c r="DC200" s="20"/>
      <c r="DD200" s="20"/>
      <c r="DE200" s="20"/>
      <c r="DF200" s="20"/>
      <c r="DG200" s="20"/>
      <c r="DH200" s="20"/>
      <c r="DI200" s="20"/>
      <c r="DJ200" s="20"/>
      <c r="DK200" s="20"/>
      <c r="DL200" s="20"/>
      <c r="DM200" s="20"/>
      <c r="DN200" s="20"/>
      <c r="DO200" s="20"/>
      <c r="DP200" s="20"/>
      <c r="DQ200" s="20"/>
      <c r="DR200" s="20"/>
      <c r="DS200" s="20"/>
      <c r="DT200" s="20"/>
    </row>
    <row r="201" spans="1:124" x14ac:dyDescent="0.25">
      <c r="A201" s="24" t="s">
        <v>4244</v>
      </c>
      <c r="B201" s="24" t="s">
        <v>3968</v>
      </c>
      <c r="E201" s="20"/>
      <c r="F201" s="20"/>
      <c r="G201" s="20"/>
      <c r="H201" s="20"/>
      <c r="I201" s="20"/>
      <c r="J201" s="20"/>
      <c r="K201" s="20"/>
      <c r="L201" s="20"/>
      <c r="O201" s="20"/>
      <c r="P201" s="20"/>
      <c r="Q201" s="20"/>
      <c r="R201" s="20"/>
      <c r="S201" s="20"/>
      <c r="T201" s="20"/>
      <c r="U201" s="20"/>
      <c r="V201" s="20"/>
      <c r="W201" s="20"/>
      <c r="X201" s="20"/>
      <c r="Y201" s="20"/>
      <c r="Z201" s="20"/>
      <c r="AA201" s="20"/>
      <c r="AB201" s="20"/>
      <c r="AC201" s="20"/>
      <c r="AD201" s="20"/>
      <c r="AE201" s="20"/>
      <c r="AF201" s="20"/>
      <c r="AG201" s="20"/>
      <c r="AH201" s="20"/>
      <c r="AI201" s="20"/>
      <c r="AJ201" s="20"/>
      <c r="AK201" s="20"/>
      <c r="AL201" s="20"/>
      <c r="AM201" s="20"/>
      <c r="AN201" s="20"/>
      <c r="AO201" s="20"/>
      <c r="AP201" s="20"/>
      <c r="AQ201" s="20"/>
      <c r="AR201" s="20"/>
      <c r="AS201" s="20"/>
      <c r="AT201" s="20"/>
      <c r="AU201" s="20"/>
      <c r="AV201" s="20"/>
      <c r="AW201" s="20"/>
      <c r="AX201" s="20"/>
      <c r="AY201" s="20"/>
      <c r="AZ201" s="20"/>
      <c r="BA201" s="20"/>
      <c r="BB201" s="20"/>
      <c r="BC201" s="20"/>
      <c r="BD201" s="20"/>
      <c r="BE201" s="20"/>
      <c r="BF201" s="20"/>
      <c r="BG201" s="20"/>
      <c r="BH201" s="20"/>
      <c r="BM201" s="20"/>
      <c r="BN201" s="20"/>
      <c r="BO201" s="20"/>
      <c r="BP201" s="20"/>
      <c r="BQ201" s="20"/>
      <c r="BR201" s="20"/>
      <c r="BS201" s="20"/>
      <c r="BT201" s="20"/>
      <c r="BU201" s="20"/>
      <c r="BV201" s="20"/>
      <c r="BW201" s="20"/>
      <c r="BX201" s="20"/>
      <c r="BY201" s="20"/>
      <c r="BZ201" s="20"/>
      <c r="CA201" s="20"/>
      <c r="CB201" s="20"/>
      <c r="CC201" s="20"/>
      <c r="CD201" s="20"/>
      <c r="CE201" s="20"/>
      <c r="CF201" s="20"/>
      <c r="CG201" s="20"/>
      <c r="CH201" s="20"/>
      <c r="CM201" s="20"/>
      <c r="CN201" s="20"/>
      <c r="CO201" s="20"/>
      <c r="CP201" s="20"/>
      <c r="CQ201" s="20"/>
      <c r="CR201" s="20"/>
      <c r="CS201" s="20"/>
      <c r="CT201" s="20"/>
      <c r="CY201" s="20"/>
      <c r="CZ201" s="20"/>
      <c r="DA201" s="20"/>
      <c r="DB201" s="20"/>
      <c r="DC201" s="20"/>
      <c r="DD201" s="20"/>
      <c r="DE201" s="20"/>
      <c r="DF201" s="20"/>
      <c r="DG201" s="20"/>
      <c r="DH201" s="20"/>
      <c r="DI201" s="20"/>
      <c r="DJ201" s="20"/>
      <c r="DK201" s="20"/>
      <c r="DL201" s="20"/>
      <c r="DM201" s="20"/>
      <c r="DN201" s="20"/>
      <c r="DO201" s="20"/>
      <c r="DP201" s="20"/>
      <c r="DQ201" s="20"/>
      <c r="DR201" s="20"/>
      <c r="DS201" s="20"/>
      <c r="DT201" s="20"/>
    </row>
    <row r="202" spans="1:124" x14ac:dyDescent="0.25">
      <c r="A202" s="24" t="s">
        <v>4261</v>
      </c>
      <c r="B202" s="24" t="s">
        <v>3968</v>
      </c>
      <c r="E202" s="20"/>
      <c r="F202" s="20"/>
      <c r="G202" s="20"/>
      <c r="H202" s="20"/>
      <c r="I202" s="20"/>
      <c r="J202" s="20"/>
      <c r="K202" s="20"/>
      <c r="L202" s="20"/>
      <c r="O202" s="20"/>
      <c r="P202" s="20"/>
      <c r="Q202" s="20"/>
      <c r="R202" s="20"/>
      <c r="S202" s="20"/>
      <c r="T202" s="20"/>
      <c r="U202" s="20"/>
      <c r="V202" s="20"/>
      <c r="W202" s="20"/>
      <c r="X202" s="20"/>
      <c r="Y202" s="20"/>
      <c r="Z202" s="20"/>
      <c r="AA202" s="20"/>
      <c r="AB202" s="20"/>
      <c r="AC202" s="20"/>
      <c r="AD202" s="20"/>
      <c r="AE202" s="20"/>
      <c r="AF202" s="20"/>
      <c r="AG202" s="20"/>
      <c r="AH202" s="20"/>
      <c r="AI202" s="20"/>
      <c r="AJ202" s="20"/>
      <c r="AK202" s="20"/>
      <c r="AL202" s="20"/>
      <c r="AM202" s="20"/>
      <c r="AN202" s="20"/>
      <c r="AO202" s="20"/>
      <c r="AP202" s="20"/>
      <c r="AQ202" s="20"/>
      <c r="AR202" s="20"/>
      <c r="AS202" s="20"/>
      <c r="AT202" s="20"/>
      <c r="AU202" s="20"/>
      <c r="AV202" s="20"/>
      <c r="AW202" s="20"/>
      <c r="AX202" s="20"/>
      <c r="AY202" s="20"/>
      <c r="AZ202" s="20"/>
      <c r="BA202" s="20"/>
      <c r="BB202" s="20"/>
      <c r="BC202" s="20"/>
      <c r="BD202" s="20"/>
      <c r="BE202" s="20"/>
      <c r="BF202" s="20"/>
      <c r="BG202" s="20"/>
      <c r="BH202" s="20"/>
      <c r="BM202" s="20"/>
      <c r="BN202" s="20"/>
      <c r="BO202" s="20"/>
      <c r="BP202" s="20"/>
      <c r="BQ202" s="20"/>
      <c r="BR202" s="20"/>
      <c r="BS202" s="20"/>
      <c r="BT202" s="20"/>
      <c r="BU202" s="20"/>
      <c r="BV202" s="20"/>
      <c r="BW202" s="20"/>
      <c r="BX202" s="20"/>
      <c r="BY202" s="20"/>
      <c r="BZ202" s="20"/>
      <c r="CA202" s="20"/>
      <c r="CB202" s="20"/>
      <c r="CC202" s="20"/>
      <c r="CD202" s="20"/>
      <c r="CE202" s="20"/>
      <c r="CF202" s="20"/>
      <c r="CG202" s="20"/>
      <c r="CH202" s="20"/>
      <c r="CM202" s="20"/>
      <c r="CN202" s="20"/>
      <c r="CO202" s="20"/>
      <c r="CP202" s="20"/>
      <c r="CQ202" s="20"/>
      <c r="CR202" s="20"/>
      <c r="CS202" s="20"/>
      <c r="CT202" s="20"/>
      <c r="CY202" s="20"/>
      <c r="CZ202" s="20"/>
      <c r="DA202" s="20"/>
      <c r="DB202" s="20"/>
      <c r="DC202" s="20"/>
      <c r="DD202" s="20"/>
      <c r="DE202" s="20"/>
      <c r="DF202" s="20"/>
      <c r="DG202" s="20"/>
      <c r="DH202" s="20"/>
      <c r="DI202" s="20"/>
      <c r="DJ202" s="20"/>
      <c r="DK202" s="20"/>
      <c r="DL202" s="20"/>
      <c r="DM202" s="20"/>
      <c r="DN202" s="20"/>
      <c r="DO202" s="20"/>
      <c r="DP202" s="20"/>
      <c r="DQ202" s="20"/>
      <c r="DR202" s="20"/>
      <c r="DS202" s="20"/>
      <c r="DT202" s="20"/>
    </row>
    <row r="203" spans="1:124" x14ac:dyDescent="0.25">
      <c r="A203" s="24">
        <v>423967352</v>
      </c>
      <c r="B203" s="24" t="s">
        <v>3968</v>
      </c>
      <c r="E203" s="20"/>
      <c r="F203" s="20"/>
      <c r="G203" s="20"/>
      <c r="H203" s="20"/>
      <c r="I203" s="20"/>
      <c r="J203" s="20"/>
      <c r="K203" s="20"/>
      <c r="L203" s="20"/>
      <c r="O203" s="20"/>
      <c r="P203" s="20"/>
      <c r="Q203" s="20"/>
      <c r="R203" s="20"/>
      <c r="S203" s="20"/>
      <c r="T203" s="20"/>
      <c r="U203" s="20"/>
      <c r="V203" s="20"/>
      <c r="W203" s="20"/>
      <c r="X203" s="20"/>
      <c r="Y203" s="20"/>
      <c r="Z203" s="20"/>
      <c r="AA203" s="20"/>
      <c r="AB203" s="20"/>
      <c r="AC203" s="20"/>
      <c r="AD203" s="20"/>
      <c r="AE203" s="20"/>
      <c r="AF203" s="20"/>
      <c r="AG203" s="20"/>
      <c r="AH203" s="20"/>
      <c r="AI203" s="20"/>
      <c r="AJ203" s="20"/>
      <c r="AK203" s="20"/>
      <c r="AL203" s="20"/>
      <c r="AM203" s="20"/>
      <c r="AN203" s="20"/>
      <c r="AO203" s="20"/>
      <c r="AP203" s="20"/>
      <c r="AQ203" s="20"/>
      <c r="AR203" s="20"/>
      <c r="AS203" s="20"/>
      <c r="AT203" s="20"/>
      <c r="AU203" s="20"/>
      <c r="AV203" s="20"/>
      <c r="AW203" s="20"/>
      <c r="AX203" s="20"/>
      <c r="AY203" s="20"/>
      <c r="AZ203" s="20"/>
      <c r="BA203" s="20"/>
      <c r="BB203" s="20"/>
      <c r="BC203" s="20"/>
      <c r="BD203" s="20"/>
      <c r="BE203" s="20"/>
      <c r="BF203" s="20"/>
      <c r="BG203" s="20"/>
      <c r="BH203" s="20"/>
      <c r="BM203" s="20"/>
      <c r="BN203" s="20"/>
      <c r="BO203" s="20"/>
      <c r="BP203" s="20"/>
      <c r="BQ203" s="20"/>
      <c r="BR203" s="20"/>
      <c r="BS203" s="20"/>
      <c r="BT203" s="20"/>
      <c r="BU203" s="20"/>
      <c r="BV203" s="20"/>
      <c r="BW203" s="20"/>
      <c r="BX203" s="20"/>
      <c r="BY203" s="20"/>
      <c r="BZ203" s="20"/>
      <c r="CA203" s="20"/>
      <c r="CB203" s="20"/>
      <c r="CC203" s="20"/>
      <c r="CD203" s="20"/>
      <c r="CE203" s="20"/>
      <c r="CF203" s="20"/>
      <c r="CG203" s="20"/>
      <c r="CH203" s="20"/>
      <c r="CM203" s="20"/>
      <c r="CN203" s="20"/>
      <c r="CO203" s="20"/>
      <c r="CP203" s="20"/>
      <c r="CQ203" s="20"/>
      <c r="CR203" s="20"/>
      <c r="CS203" s="20"/>
      <c r="CT203" s="20"/>
      <c r="CY203" s="20"/>
      <c r="CZ203" s="20"/>
      <c r="DA203" s="20"/>
      <c r="DB203" s="20"/>
      <c r="DC203" s="20"/>
      <c r="DD203" s="20"/>
      <c r="DE203" s="20"/>
      <c r="DF203" s="20"/>
      <c r="DG203" s="20"/>
      <c r="DH203" s="20"/>
      <c r="DI203" s="20"/>
      <c r="DJ203" s="20"/>
      <c r="DK203" s="20"/>
      <c r="DL203" s="20"/>
      <c r="DM203" s="20"/>
      <c r="DN203" s="20"/>
      <c r="DO203" s="20"/>
      <c r="DP203" s="20"/>
      <c r="DQ203" s="20"/>
      <c r="DR203" s="20"/>
      <c r="DS203" s="20"/>
      <c r="DT203" s="20"/>
    </row>
    <row r="204" spans="1:124" x14ac:dyDescent="0.25">
      <c r="A204" s="24" t="s">
        <v>4282</v>
      </c>
      <c r="B204" s="24" t="s">
        <v>3968</v>
      </c>
      <c r="E204" s="20"/>
      <c r="F204" s="20"/>
      <c r="G204" s="20"/>
      <c r="H204" s="20"/>
      <c r="I204" s="20"/>
      <c r="J204" s="20"/>
      <c r="K204" s="20"/>
      <c r="L204" s="20"/>
      <c r="O204" s="20"/>
      <c r="P204" s="20"/>
      <c r="Q204" s="20"/>
      <c r="R204" s="20"/>
      <c r="S204" s="20"/>
      <c r="T204" s="20"/>
      <c r="U204" s="20"/>
      <c r="V204" s="20"/>
      <c r="W204" s="20"/>
      <c r="X204" s="20"/>
      <c r="Y204" s="20"/>
      <c r="Z204" s="20"/>
      <c r="AA204" s="20"/>
      <c r="AB204" s="20"/>
      <c r="AC204" s="20"/>
      <c r="AD204" s="20"/>
      <c r="AE204" s="20"/>
      <c r="AF204" s="20"/>
      <c r="AG204" s="20"/>
      <c r="AH204" s="20"/>
      <c r="AI204" s="20"/>
      <c r="AJ204" s="20"/>
      <c r="AK204" s="20"/>
      <c r="AL204" s="20"/>
      <c r="AM204" s="20"/>
      <c r="AN204" s="20"/>
      <c r="AO204" s="20"/>
      <c r="AP204" s="20"/>
      <c r="AQ204" s="20"/>
      <c r="AR204" s="20"/>
      <c r="AS204" s="20"/>
      <c r="AT204" s="20"/>
      <c r="AU204" s="20"/>
      <c r="AV204" s="20"/>
      <c r="AW204" s="20"/>
      <c r="AX204" s="20"/>
      <c r="AY204" s="20"/>
      <c r="AZ204" s="20"/>
      <c r="BA204" s="20"/>
      <c r="BB204" s="20"/>
      <c r="BC204" s="20"/>
      <c r="BD204" s="20"/>
      <c r="BE204" s="20"/>
      <c r="BF204" s="20"/>
      <c r="BG204" s="20"/>
      <c r="BH204" s="20"/>
      <c r="BM204" s="20"/>
      <c r="BN204" s="20"/>
      <c r="BO204" s="20"/>
      <c r="BP204" s="20"/>
      <c r="BQ204" s="20"/>
      <c r="BR204" s="20"/>
      <c r="BS204" s="20"/>
      <c r="BT204" s="20"/>
      <c r="BU204" s="20"/>
      <c r="BV204" s="20"/>
      <c r="BW204" s="20"/>
      <c r="BX204" s="20"/>
      <c r="BY204" s="20"/>
      <c r="BZ204" s="20"/>
      <c r="CA204" s="20"/>
      <c r="CB204" s="20"/>
      <c r="CC204" s="20"/>
      <c r="CD204" s="20"/>
      <c r="CE204" s="20"/>
      <c r="CF204" s="20"/>
      <c r="CG204" s="20"/>
      <c r="CH204" s="20"/>
      <c r="CM204" s="20"/>
      <c r="CN204" s="20"/>
      <c r="CO204" s="20"/>
      <c r="CP204" s="20"/>
      <c r="CQ204" s="20"/>
      <c r="CR204" s="20"/>
      <c r="CS204" s="20"/>
      <c r="CT204" s="20"/>
      <c r="CY204" s="20"/>
      <c r="CZ204" s="20"/>
      <c r="DA204" s="20"/>
      <c r="DB204" s="20"/>
      <c r="DC204" s="20"/>
      <c r="DD204" s="20"/>
      <c r="DE204" s="20"/>
      <c r="DF204" s="20"/>
      <c r="DG204" s="20"/>
      <c r="DH204" s="20"/>
      <c r="DI204" s="20"/>
      <c r="DJ204" s="20"/>
      <c r="DK204" s="20"/>
      <c r="DL204" s="20"/>
      <c r="DM204" s="20"/>
      <c r="DN204" s="20"/>
      <c r="DO204" s="20"/>
      <c r="DP204" s="20"/>
      <c r="DQ204" s="20"/>
      <c r="DR204" s="20"/>
      <c r="DS204" s="20"/>
      <c r="DT204" s="20"/>
    </row>
    <row r="205" spans="1:124" x14ac:dyDescent="0.25">
      <c r="A205" s="24" t="s">
        <v>4299</v>
      </c>
      <c r="B205" s="24" t="s">
        <v>3968</v>
      </c>
      <c r="E205" s="20"/>
      <c r="F205" s="20"/>
      <c r="G205" s="20"/>
      <c r="H205" s="20"/>
      <c r="I205" s="20"/>
      <c r="J205" s="20"/>
      <c r="K205" s="20"/>
      <c r="L205" s="20"/>
      <c r="O205" s="20"/>
      <c r="P205" s="20"/>
      <c r="Q205" s="20"/>
      <c r="R205" s="20"/>
      <c r="S205" s="20"/>
      <c r="T205" s="20"/>
      <c r="U205" s="20"/>
      <c r="V205" s="20"/>
      <c r="W205" s="20"/>
      <c r="X205" s="20"/>
      <c r="Y205" s="20"/>
      <c r="Z205" s="20"/>
      <c r="AA205" s="20"/>
      <c r="AB205" s="20"/>
      <c r="AC205" s="20"/>
      <c r="AD205" s="20"/>
      <c r="AE205" s="20"/>
      <c r="AF205" s="20"/>
      <c r="AG205" s="20"/>
      <c r="AH205" s="20"/>
      <c r="AI205" s="20"/>
      <c r="AJ205" s="20"/>
      <c r="AK205" s="20"/>
      <c r="AL205" s="20"/>
      <c r="AM205" s="20"/>
      <c r="AN205" s="20"/>
      <c r="AO205" s="20"/>
      <c r="AP205" s="20"/>
      <c r="AQ205" s="20"/>
      <c r="AR205" s="20"/>
      <c r="AS205" s="20"/>
      <c r="AT205" s="20"/>
      <c r="AU205" s="20"/>
      <c r="AV205" s="20"/>
      <c r="AW205" s="20"/>
      <c r="AX205" s="20"/>
      <c r="AY205" s="20"/>
      <c r="AZ205" s="20"/>
      <c r="BA205" s="20"/>
      <c r="BB205" s="20"/>
      <c r="BC205" s="20"/>
      <c r="BD205" s="20"/>
      <c r="BE205" s="20"/>
      <c r="BF205" s="20"/>
      <c r="BG205" s="20"/>
      <c r="BH205" s="20"/>
      <c r="BM205" s="20"/>
      <c r="BN205" s="20"/>
      <c r="BO205" s="20"/>
      <c r="BP205" s="20"/>
      <c r="BQ205" s="20"/>
      <c r="BR205" s="20"/>
      <c r="BS205" s="20"/>
      <c r="BT205" s="20"/>
      <c r="BU205" s="20"/>
      <c r="BV205" s="20"/>
      <c r="BW205" s="20"/>
      <c r="BX205" s="20"/>
      <c r="BY205" s="20"/>
      <c r="BZ205" s="20"/>
      <c r="CA205" s="20"/>
      <c r="CB205" s="20"/>
      <c r="CC205" s="20"/>
      <c r="CD205" s="20"/>
      <c r="CE205" s="20"/>
      <c r="CF205" s="20"/>
      <c r="CG205" s="20"/>
      <c r="CH205" s="20"/>
      <c r="CM205" s="20"/>
      <c r="CN205" s="20"/>
      <c r="CO205" s="20"/>
      <c r="CP205" s="20"/>
      <c r="CQ205" s="20"/>
      <c r="CR205" s="20"/>
      <c r="CS205" s="20"/>
      <c r="CT205" s="20"/>
      <c r="CY205" s="20"/>
      <c r="CZ205" s="20"/>
      <c r="DA205" s="20"/>
      <c r="DB205" s="20"/>
      <c r="DC205" s="20"/>
      <c r="DD205" s="20"/>
      <c r="DE205" s="20"/>
      <c r="DF205" s="20"/>
      <c r="DG205" s="20"/>
      <c r="DH205" s="20"/>
      <c r="DI205" s="20"/>
      <c r="DJ205" s="20"/>
      <c r="DK205" s="20"/>
      <c r="DL205" s="20"/>
      <c r="DM205" s="20"/>
      <c r="DN205" s="20"/>
      <c r="DO205" s="20"/>
      <c r="DP205" s="20"/>
      <c r="DQ205" s="20"/>
      <c r="DR205" s="20"/>
      <c r="DS205" s="20"/>
      <c r="DT205" s="20"/>
    </row>
    <row r="206" spans="1:124" x14ac:dyDescent="0.25">
      <c r="A206" s="24" t="s">
        <v>4171</v>
      </c>
      <c r="B206" s="24" t="s">
        <v>3968</v>
      </c>
      <c r="E206" s="20"/>
      <c r="F206" s="20"/>
      <c r="G206" s="20"/>
      <c r="H206" s="20"/>
      <c r="I206" s="20"/>
      <c r="J206" s="20"/>
      <c r="K206" s="20"/>
      <c r="L206" s="20"/>
      <c r="O206" s="20"/>
      <c r="P206" s="20"/>
      <c r="Q206" s="20"/>
      <c r="R206" s="20"/>
      <c r="S206" s="20"/>
      <c r="T206" s="20"/>
      <c r="U206" s="20"/>
      <c r="V206" s="20"/>
      <c r="W206" s="20"/>
      <c r="X206" s="20"/>
      <c r="Y206" s="20"/>
      <c r="Z206" s="20"/>
      <c r="AA206" s="20"/>
      <c r="AB206" s="20"/>
      <c r="AC206" s="20"/>
      <c r="AD206" s="20"/>
      <c r="AE206" s="20"/>
      <c r="AF206" s="20"/>
      <c r="AG206" s="20"/>
      <c r="AH206" s="20"/>
      <c r="AI206" s="20"/>
      <c r="AJ206" s="20"/>
      <c r="AK206" s="20"/>
      <c r="AL206" s="20"/>
      <c r="AM206" s="20"/>
      <c r="AN206" s="20"/>
      <c r="AO206" s="20"/>
      <c r="AP206" s="20"/>
      <c r="AQ206" s="20"/>
      <c r="AR206" s="20"/>
      <c r="AS206" s="20"/>
      <c r="AT206" s="20"/>
      <c r="AU206" s="20"/>
      <c r="AV206" s="20"/>
      <c r="AW206" s="20"/>
      <c r="AX206" s="20"/>
      <c r="AY206" s="20"/>
      <c r="AZ206" s="20"/>
      <c r="BA206" s="20"/>
      <c r="BB206" s="20"/>
      <c r="BC206" s="20"/>
      <c r="BD206" s="20"/>
      <c r="BE206" s="20"/>
      <c r="BF206" s="20"/>
      <c r="BG206" s="20"/>
      <c r="BH206" s="20"/>
      <c r="BM206" s="20"/>
      <c r="BN206" s="20"/>
      <c r="BO206" s="20"/>
      <c r="BP206" s="20"/>
      <c r="BQ206" s="20"/>
      <c r="BR206" s="20"/>
      <c r="BS206" s="20"/>
      <c r="BT206" s="20"/>
      <c r="BU206" s="20"/>
      <c r="BV206" s="20"/>
      <c r="BW206" s="20"/>
      <c r="BX206" s="20"/>
      <c r="BY206" s="20"/>
      <c r="BZ206" s="20"/>
      <c r="CA206" s="20"/>
      <c r="CB206" s="20"/>
      <c r="CC206" s="20"/>
      <c r="CD206" s="20"/>
      <c r="CE206" s="20"/>
      <c r="CF206" s="20"/>
      <c r="CG206" s="20"/>
      <c r="CH206" s="20"/>
      <c r="CM206" s="20"/>
      <c r="CN206" s="20"/>
      <c r="CO206" s="20"/>
      <c r="CP206" s="20"/>
      <c r="CQ206" s="20"/>
      <c r="CR206" s="20"/>
      <c r="CS206" s="20"/>
      <c r="CT206" s="20"/>
      <c r="CY206" s="20"/>
      <c r="CZ206" s="20"/>
      <c r="DA206" s="20"/>
      <c r="DB206" s="20"/>
      <c r="DC206" s="20"/>
      <c r="DD206" s="20"/>
      <c r="DE206" s="20"/>
      <c r="DF206" s="20"/>
      <c r="DG206" s="20"/>
      <c r="DH206" s="20"/>
      <c r="DI206" s="20"/>
      <c r="DJ206" s="20"/>
      <c r="DK206" s="20"/>
      <c r="DL206" s="20"/>
      <c r="DM206" s="20"/>
      <c r="DN206" s="20"/>
      <c r="DO206" s="20"/>
      <c r="DP206" s="20"/>
      <c r="DQ206" s="20"/>
      <c r="DR206" s="20"/>
      <c r="DS206" s="20"/>
      <c r="DT206" s="20"/>
    </row>
    <row r="207" spans="1:124" x14ac:dyDescent="0.25">
      <c r="A207" s="24" t="s">
        <v>4323</v>
      </c>
      <c r="B207" s="24" t="s">
        <v>3968</v>
      </c>
      <c r="E207" s="20"/>
      <c r="F207" s="20"/>
      <c r="G207" s="20"/>
      <c r="H207" s="20"/>
      <c r="I207" s="20"/>
      <c r="J207" s="20"/>
      <c r="K207" s="20"/>
      <c r="L207" s="20"/>
      <c r="O207" s="20"/>
      <c r="P207" s="20"/>
      <c r="Q207" s="20"/>
      <c r="R207" s="20"/>
      <c r="S207" s="20"/>
      <c r="T207" s="20"/>
      <c r="U207" s="20"/>
      <c r="V207" s="20"/>
      <c r="W207" s="20"/>
      <c r="X207" s="20"/>
      <c r="Y207" s="20"/>
      <c r="Z207" s="20"/>
      <c r="AA207" s="20"/>
      <c r="AB207" s="20"/>
      <c r="AC207" s="20"/>
      <c r="AD207" s="20"/>
      <c r="AE207" s="20"/>
      <c r="AF207" s="20"/>
      <c r="AG207" s="20"/>
      <c r="AH207" s="20"/>
      <c r="AI207" s="20"/>
      <c r="AJ207" s="20"/>
      <c r="AK207" s="20"/>
      <c r="AL207" s="20"/>
      <c r="AM207" s="20"/>
      <c r="AN207" s="20"/>
      <c r="AO207" s="20"/>
      <c r="AP207" s="20"/>
      <c r="AQ207" s="20"/>
      <c r="AR207" s="20"/>
      <c r="AS207" s="20"/>
      <c r="AT207" s="20"/>
      <c r="AU207" s="20"/>
      <c r="AV207" s="20"/>
      <c r="AW207" s="20"/>
      <c r="AX207" s="20"/>
      <c r="AY207" s="20"/>
      <c r="AZ207" s="20"/>
      <c r="BA207" s="20"/>
      <c r="BB207" s="20"/>
      <c r="BC207" s="20"/>
      <c r="BD207" s="20"/>
      <c r="BE207" s="20"/>
      <c r="BF207" s="20"/>
      <c r="BG207" s="20"/>
      <c r="BH207" s="20"/>
      <c r="BM207" s="20"/>
      <c r="BN207" s="20"/>
      <c r="BO207" s="20"/>
      <c r="BP207" s="20"/>
      <c r="BQ207" s="20"/>
      <c r="BR207" s="20"/>
      <c r="BS207" s="20"/>
      <c r="BT207" s="20"/>
      <c r="BU207" s="20"/>
      <c r="BV207" s="20"/>
      <c r="BW207" s="20"/>
      <c r="BX207" s="20"/>
      <c r="BY207" s="20"/>
      <c r="BZ207" s="20"/>
      <c r="CA207" s="20"/>
      <c r="CB207" s="20"/>
      <c r="CC207" s="20"/>
      <c r="CD207" s="20"/>
      <c r="CE207" s="20"/>
      <c r="CF207" s="20"/>
      <c r="CG207" s="20"/>
      <c r="CH207" s="20"/>
      <c r="CM207" s="20"/>
      <c r="CN207" s="20"/>
      <c r="CO207" s="20"/>
      <c r="CP207" s="20"/>
      <c r="CQ207" s="20"/>
      <c r="CR207" s="20"/>
      <c r="CS207" s="20"/>
      <c r="CT207" s="20"/>
      <c r="CY207" s="20"/>
      <c r="CZ207" s="20"/>
      <c r="DA207" s="20"/>
      <c r="DB207" s="20"/>
      <c r="DC207" s="20"/>
      <c r="DD207" s="20"/>
      <c r="DE207" s="20"/>
      <c r="DF207" s="20"/>
      <c r="DG207" s="20"/>
      <c r="DH207" s="20"/>
      <c r="DI207" s="20"/>
      <c r="DJ207" s="20"/>
      <c r="DK207" s="20"/>
      <c r="DL207" s="20"/>
      <c r="DM207" s="20"/>
      <c r="DN207" s="20"/>
      <c r="DO207" s="20"/>
      <c r="DP207" s="20"/>
      <c r="DQ207" s="20"/>
      <c r="DR207" s="20"/>
      <c r="DS207" s="20"/>
      <c r="DT207" s="20"/>
    </row>
    <row r="208" spans="1:124" x14ac:dyDescent="0.25">
      <c r="A208" s="24" t="s">
        <v>4206</v>
      </c>
      <c r="B208" s="24" t="s">
        <v>3968</v>
      </c>
      <c r="E208" s="20"/>
      <c r="F208" s="20"/>
      <c r="G208" s="20"/>
      <c r="H208" s="20"/>
      <c r="I208" s="20"/>
      <c r="J208" s="20"/>
      <c r="K208" s="20"/>
      <c r="L208" s="20"/>
      <c r="O208" s="20"/>
      <c r="P208" s="20"/>
      <c r="Q208" s="20"/>
      <c r="R208" s="20"/>
      <c r="S208" s="20"/>
      <c r="T208" s="20"/>
      <c r="U208" s="20"/>
      <c r="V208" s="20"/>
      <c r="W208" s="20"/>
      <c r="X208" s="20"/>
      <c r="Y208" s="20"/>
      <c r="Z208" s="20"/>
      <c r="AA208" s="20"/>
      <c r="AB208" s="20"/>
      <c r="AC208" s="20"/>
      <c r="AD208" s="20"/>
      <c r="AE208" s="20"/>
      <c r="AF208" s="20"/>
      <c r="AG208" s="20"/>
      <c r="AH208" s="20"/>
      <c r="AI208" s="20"/>
      <c r="AJ208" s="20"/>
      <c r="AK208" s="20"/>
      <c r="AL208" s="20"/>
      <c r="AM208" s="20"/>
      <c r="AN208" s="20"/>
      <c r="AO208" s="20"/>
      <c r="AP208" s="20"/>
      <c r="AQ208" s="20"/>
      <c r="AR208" s="20"/>
      <c r="AS208" s="20"/>
      <c r="AT208" s="20"/>
      <c r="AU208" s="20"/>
      <c r="AV208" s="20"/>
      <c r="AW208" s="20"/>
      <c r="AX208" s="20"/>
      <c r="AY208" s="20"/>
      <c r="AZ208" s="20"/>
      <c r="BA208" s="20"/>
      <c r="BB208" s="20"/>
      <c r="BC208" s="20"/>
      <c r="BD208" s="20"/>
      <c r="BE208" s="20"/>
      <c r="BF208" s="20"/>
      <c r="BG208" s="20"/>
      <c r="BH208" s="20"/>
      <c r="BM208" s="20"/>
      <c r="BN208" s="20"/>
      <c r="BO208" s="20"/>
      <c r="BP208" s="20"/>
      <c r="BQ208" s="20"/>
      <c r="BR208" s="20"/>
      <c r="BS208" s="20"/>
      <c r="BT208" s="20"/>
      <c r="BU208" s="20"/>
      <c r="BV208" s="20"/>
      <c r="BW208" s="20"/>
      <c r="BX208" s="20"/>
      <c r="BY208" s="20"/>
      <c r="BZ208" s="20"/>
      <c r="CA208" s="20"/>
      <c r="CB208" s="20"/>
      <c r="CC208" s="20"/>
      <c r="CD208" s="20"/>
      <c r="CE208" s="20"/>
      <c r="CF208" s="20"/>
      <c r="CG208" s="20"/>
      <c r="CH208" s="20"/>
      <c r="CM208" s="20"/>
      <c r="CN208" s="20"/>
      <c r="CO208" s="20"/>
      <c r="CP208" s="20"/>
      <c r="CQ208" s="20"/>
      <c r="CR208" s="20"/>
      <c r="CS208" s="20"/>
      <c r="CT208" s="20"/>
      <c r="CY208" s="20"/>
      <c r="CZ208" s="20"/>
      <c r="DA208" s="20"/>
      <c r="DB208" s="20"/>
      <c r="DC208" s="20"/>
      <c r="DD208" s="20"/>
      <c r="DE208" s="20"/>
      <c r="DF208" s="20"/>
      <c r="DG208" s="20"/>
      <c r="DH208" s="20"/>
      <c r="DI208" s="20"/>
      <c r="DJ208" s="20"/>
      <c r="DK208" s="20"/>
      <c r="DL208" s="20"/>
      <c r="DM208" s="20"/>
      <c r="DN208" s="20"/>
      <c r="DO208" s="20"/>
      <c r="DP208" s="20"/>
      <c r="DQ208" s="20"/>
      <c r="DR208" s="20"/>
      <c r="DS208" s="20"/>
      <c r="DT208" s="20"/>
    </row>
    <row r="209" spans="1:124" x14ac:dyDescent="0.25">
      <c r="A209" s="24" t="s">
        <v>4216</v>
      </c>
      <c r="B209" s="24" t="s">
        <v>3968</v>
      </c>
      <c r="E209" s="20"/>
      <c r="F209" s="20"/>
      <c r="G209" s="20"/>
      <c r="H209" s="20"/>
      <c r="I209" s="20"/>
      <c r="J209" s="20"/>
      <c r="K209" s="20"/>
      <c r="L209" s="20"/>
      <c r="O209" s="20"/>
      <c r="P209" s="20"/>
      <c r="Q209" s="20"/>
      <c r="R209" s="20"/>
      <c r="S209" s="20"/>
      <c r="T209" s="20"/>
      <c r="U209" s="20"/>
      <c r="V209" s="20"/>
      <c r="W209" s="20"/>
      <c r="X209" s="20"/>
      <c r="Y209" s="20"/>
      <c r="Z209" s="20"/>
      <c r="AA209" s="20"/>
      <c r="AB209" s="20"/>
      <c r="AC209" s="20"/>
      <c r="AD209" s="20"/>
      <c r="AE209" s="20"/>
      <c r="AF209" s="20"/>
      <c r="AG209" s="20"/>
      <c r="AH209" s="20"/>
      <c r="AI209" s="20"/>
      <c r="AJ209" s="20"/>
      <c r="AK209" s="20"/>
      <c r="AL209" s="20"/>
      <c r="AM209" s="20"/>
      <c r="AN209" s="20"/>
      <c r="AO209" s="20"/>
      <c r="AP209" s="20"/>
      <c r="AQ209" s="20"/>
      <c r="AR209" s="20"/>
      <c r="AS209" s="20"/>
      <c r="AT209" s="20"/>
      <c r="AU209" s="20"/>
      <c r="AV209" s="20"/>
      <c r="AW209" s="20"/>
      <c r="AX209" s="20"/>
      <c r="AY209" s="20"/>
      <c r="AZ209" s="20"/>
      <c r="BA209" s="20"/>
      <c r="BB209" s="20"/>
      <c r="BC209" s="20"/>
      <c r="BD209" s="20"/>
      <c r="BE209" s="20"/>
      <c r="BF209" s="20"/>
      <c r="BG209" s="20"/>
      <c r="BH209" s="20"/>
      <c r="BM209" s="20"/>
      <c r="BN209" s="20"/>
      <c r="BO209" s="20"/>
      <c r="BP209" s="20"/>
      <c r="BQ209" s="20"/>
      <c r="BR209" s="20"/>
      <c r="BS209" s="20"/>
      <c r="BT209" s="20"/>
      <c r="BU209" s="20"/>
      <c r="BV209" s="20"/>
      <c r="BW209" s="20"/>
      <c r="BX209" s="20"/>
      <c r="BY209" s="20"/>
      <c r="BZ209" s="20"/>
      <c r="CA209" s="20"/>
      <c r="CB209" s="20"/>
      <c r="CC209" s="20"/>
      <c r="CD209" s="20"/>
      <c r="CE209" s="20"/>
      <c r="CF209" s="20"/>
      <c r="CG209" s="20"/>
      <c r="CH209" s="20"/>
      <c r="CM209" s="20"/>
      <c r="CN209" s="20"/>
      <c r="CO209" s="20"/>
      <c r="CP209" s="20"/>
      <c r="CQ209" s="20"/>
      <c r="CR209" s="20"/>
      <c r="CS209" s="20"/>
      <c r="CT209" s="20"/>
      <c r="CY209" s="20"/>
      <c r="CZ209" s="20"/>
      <c r="DA209" s="20"/>
      <c r="DB209" s="20"/>
      <c r="DC209" s="20"/>
      <c r="DD209" s="20"/>
      <c r="DE209" s="20"/>
      <c r="DF209" s="20"/>
      <c r="DG209" s="20"/>
      <c r="DH209" s="20"/>
      <c r="DI209" s="20"/>
      <c r="DJ209" s="20"/>
      <c r="DK209" s="20"/>
      <c r="DL209" s="20"/>
      <c r="DM209" s="20"/>
      <c r="DN209" s="20"/>
      <c r="DO209" s="20"/>
      <c r="DP209" s="20"/>
      <c r="DQ209" s="20"/>
      <c r="DR209" s="20"/>
      <c r="DS209" s="20"/>
      <c r="DT209" s="20"/>
    </row>
    <row r="210" spans="1:124" x14ac:dyDescent="0.25">
      <c r="A210" s="24">
        <v>424978643</v>
      </c>
      <c r="B210" s="24" t="s">
        <v>3968</v>
      </c>
      <c r="E210" s="20"/>
      <c r="F210" s="20"/>
      <c r="G210" s="20"/>
      <c r="H210" s="20"/>
      <c r="I210" s="20"/>
      <c r="J210" s="20"/>
      <c r="K210" s="20"/>
      <c r="L210" s="20"/>
      <c r="O210" s="20"/>
      <c r="P210" s="20"/>
      <c r="Q210" s="20"/>
      <c r="R210" s="20"/>
      <c r="S210" s="20"/>
      <c r="T210" s="20"/>
      <c r="U210" s="20"/>
      <c r="V210" s="20"/>
      <c r="W210" s="20"/>
      <c r="X210" s="20"/>
      <c r="Y210" s="20"/>
      <c r="Z210" s="20"/>
      <c r="AA210" s="20"/>
      <c r="AB210" s="20"/>
      <c r="AC210" s="20"/>
      <c r="AD210" s="20"/>
      <c r="AE210" s="20"/>
      <c r="AF210" s="20"/>
      <c r="AG210" s="20"/>
      <c r="AH210" s="20"/>
      <c r="AI210" s="20"/>
      <c r="AJ210" s="20"/>
      <c r="AK210" s="20"/>
      <c r="AL210" s="20"/>
      <c r="AM210" s="20"/>
      <c r="AN210" s="20"/>
      <c r="AO210" s="20"/>
      <c r="AP210" s="20"/>
      <c r="AQ210" s="20"/>
      <c r="AR210" s="20"/>
      <c r="AS210" s="20"/>
      <c r="AT210" s="20"/>
      <c r="AU210" s="20"/>
      <c r="AV210" s="20"/>
      <c r="AW210" s="20"/>
      <c r="AX210" s="20"/>
      <c r="AY210" s="20"/>
      <c r="AZ210" s="20"/>
      <c r="BA210" s="20"/>
      <c r="BB210" s="20"/>
      <c r="BC210" s="20"/>
      <c r="BD210" s="20"/>
      <c r="BE210" s="20"/>
      <c r="BF210" s="20"/>
      <c r="BG210" s="20"/>
      <c r="BH210" s="20"/>
      <c r="BM210" s="20"/>
      <c r="BN210" s="20"/>
      <c r="BO210" s="20"/>
      <c r="BP210" s="20"/>
      <c r="BQ210" s="20"/>
      <c r="BR210" s="20"/>
      <c r="BS210" s="20"/>
      <c r="BT210" s="20"/>
      <c r="BU210" s="20"/>
      <c r="BV210" s="20"/>
      <c r="BW210" s="20"/>
      <c r="BX210" s="20"/>
      <c r="BY210" s="20"/>
      <c r="BZ210" s="20"/>
      <c r="CA210" s="20"/>
      <c r="CB210" s="20"/>
      <c r="CC210" s="20"/>
      <c r="CD210" s="20"/>
      <c r="CE210" s="20"/>
      <c r="CF210" s="20"/>
      <c r="CG210" s="20"/>
      <c r="CH210" s="20"/>
      <c r="CM210" s="20"/>
      <c r="CN210" s="20"/>
      <c r="CO210" s="20"/>
      <c r="CP210" s="20"/>
      <c r="CQ210" s="20"/>
      <c r="CR210" s="20"/>
      <c r="CS210" s="20"/>
      <c r="CT210" s="20"/>
      <c r="CY210" s="20"/>
      <c r="CZ210" s="20"/>
      <c r="DA210" s="20"/>
      <c r="DB210" s="20"/>
      <c r="DC210" s="20"/>
      <c r="DD210" s="20"/>
      <c r="DE210" s="20"/>
      <c r="DF210" s="20"/>
      <c r="DG210" s="20"/>
      <c r="DH210" s="20"/>
      <c r="DI210" s="20"/>
      <c r="DJ210" s="20"/>
      <c r="DK210" s="20"/>
      <c r="DL210" s="20"/>
      <c r="DM210" s="20"/>
      <c r="DN210" s="20"/>
      <c r="DO210" s="20"/>
      <c r="DP210" s="20"/>
      <c r="DQ210" s="20"/>
      <c r="DR210" s="20"/>
      <c r="DS210" s="20"/>
      <c r="DT210" s="20"/>
    </row>
    <row r="211" spans="1:124" x14ac:dyDescent="0.25">
      <c r="A211" s="24">
        <v>423967356</v>
      </c>
      <c r="B211" s="24" t="s">
        <v>3968</v>
      </c>
      <c r="E211" s="20"/>
      <c r="F211" s="20"/>
      <c r="G211" s="20"/>
      <c r="H211" s="20"/>
      <c r="I211" s="20"/>
      <c r="J211" s="20"/>
      <c r="K211" s="20"/>
      <c r="L211" s="20"/>
      <c r="O211" s="20"/>
      <c r="P211" s="20"/>
      <c r="Q211" s="20"/>
      <c r="R211" s="20"/>
      <c r="S211" s="20"/>
      <c r="T211" s="20"/>
      <c r="U211" s="20"/>
      <c r="V211" s="20"/>
      <c r="W211" s="20"/>
      <c r="X211" s="20"/>
      <c r="Y211" s="20"/>
      <c r="Z211" s="20"/>
      <c r="AA211" s="20"/>
      <c r="AB211" s="20"/>
      <c r="AC211" s="20"/>
      <c r="AD211" s="20"/>
      <c r="AE211" s="20"/>
      <c r="AF211" s="20"/>
      <c r="AG211" s="20"/>
      <c r="AH211" s="20"/>
      <c r="AI211" s="20"/>
      <c r="AJ211" s="20"/>
      <c r="AK211" s="20"/>
      <c r="AL211" s="20"/>
      <c r="AM211" s="20"/>
      <c r="AN211" s="20"/>
      <c r="AO211" s="20"/>
      <c r="AP211" s="20"/>
      <c r="AQ211" s="20"/>
      <c r="AR211" s="20"/>
      <c r="AS211" s="20"/>
      <c r="AT211" s="20"/>
      <c r="AU211" s="20"/>
      <c r="AV211" s="20"/>
      <c r="AW211" s="20"/>
      <c r="AX211" s="20"/>
      <c r="AY211" s="20"/>
      <c r="AZ211" s="20"/>
      <c r="BA211" s="20"/>
      <c r="BB211" s="20"/>
      <c r="BC211" s="20"/>
      <c r="BD211" s="20"/>
      <c r="BE211" s="20"/>
      <c r="BF211" s="20"/>
      <c r="BG211" s="20"/>
      <c r="BH211" s="20"/>
      <c r="BM211" s="20"/>
      <c r="BN211" s="20"/>
      <c r="BO211" s="20"/>
      <c r="BP211" s="20"/>
      <c r="BQ211" s="20"/>
      <c r="BR211" s="20"/>
      <c r="BS211" s="20"/>
      <c r="BT211" s="20"/>
      <c r="BU211" s="20"/>
      <c r="BV211" s="20"/>
      <c r="BW211" s="20"/>
      <c r="BX211" s="20"/>
      <c r="BY211" s="20"/>
      <c r="BZ211" s="20"/>
      <c r="CA211" s="20"/>
      <c r="CB211" s="20"/>
      <c r="CC211" s="20"/>
      <c r="CD211" s="20"/>
      <c r="CE211" s="20"/>
      <c r="CF211" s="20"/>
      <c r="CG211" s="20"/>
      <c r="CH211" s="20"/>
      <c r="CM211" s="20"/>
      <c r="CN211" s="20"/>
      <c r="CO211" s="20"/>
      <c r="CP211" s="20"/>
      <c r="CQ211" s="20"/>
      <c r="CR211" s="20"/>
      <c r="CS211" s="20"/>
      <c r="CT211" s="20"/>
      <c r="CY211" s="20"/>
      <c r="CZ211" s="20"/>
      <c r="DA211" s="20"/>
      <c r="DB211" s="20"/>
      <c r="DC211" s="20"/>
      <c r="DD211" s="20"/>
      <c r="DE211" s="20"/>
      <c r="DF211" s="20"/>
      <c r="DG211" s="20"/>
      <c r="DH211" s="20"/>
      <c r="DI211" s="20"/>
      <c r="DJ211" s="20"/>
      <c r="DK211" s="20"/>
      <c r="DL211" s="20"/>
      <c r="DM211" s="20"/>
      <c r="DN211" s="20"/>
      <c r="DO211" s="20"/>
      <c r="DP211" s="20"/>
      <c r="DQ211" s="20"/>
      <c r="DR211" s="20"/>
      <c r="DS211" s="20"/>
      <c r="DT211" s="20"/>
    </row>
    <row r="212" spans="1:124" x14ac:dyDescent="0.25">
      <c r="A212" s="24" t="s">
        <v>4244</v>
      </c>
      <c r="B212" s="24" t="s">
        <v>3968</v>
      </c>
      <c r="E212" s="20"/>
      <c r="F212" s="20"/>
      <c r="G212" s="20"/>
      <c r="H212" s="20"/>
      <c r="I212" s="20"/>
      <c r="J212" s="20"/>
      <c r="K212" s="20"/>
      <c r="L212" s="20"/>
      <c r="O212" s="20"/>
      <c r="P212" s="20"/>
      <c r="Q212" s="20"/>
      <c r="R212" s="20"/>
      <c r="S212" s="20"/>
      <c r="T212" s="20"/>
      <c r="U212" s="20"/>
      <c r="V212" s="20"/>
      <c r="W212" s="20"/>
      <c r="X212" s="20"/>
      <c r="Y212" s="20"/>
      <c r="Z212" s="20"/>
      <c r="AA212" s="20"/>
      <c r="AB212" s="20"/>
      <c r="AC212" s="20"/>
      <c r="AD212" s="20"/>
      <c r="AE212" s="20"/>
      <c r="AF212" s="20"/>
      <c r="AG212" s="20"/>
      <c r="AH212" s="20"/>
      <c r="AI212" s="20"/>
      <c r="AJ212" s="20"/>
      <c r="AK212" s="20"/>
      <c r="AL212" s="20"/>
      <c r="AM212" s="20"/>
      <c r="AN212" s="20"/>
      <c r="AO212" s="20"/>
      <c r="AP212" s="20"/>
      <c r="AQ212" s="20"/>
      <c r="AR212" s="20"/>
      <c r="AS212" s="20"/>
      <c r="AT212" s="20"/>
      <c r="AU212" s="20"/>
      <c r="AV212" s="20"/>
      <c r="AW212" s="20"/>
      <c r="AX212" s="20"/>
      <c r="AY212" s="20"/>
      <c r="AZ212" s="20"/>
      <c r="BA212" s="20"/>
      <c r="BB212" s="20"/>
      <c r="BC212" s="20"/>
      <c r="BD212" s="20"/>
      <c r="BE212" s="20"/>
      <c r="BF212" s="20"/>
      <c r="BG212" s="20"/>
      <c r="BH212" s="20"/>
      <c r="BM212" s="20"/>
      <c r="BN212" s="20"/>
      <c r="BO212" s="20"/>
      <c r="BP212" s="20"/>
      <c r="BQ212" s="20"/>
      <c r="BR212" s="20"/>
      <c r="BS212" s="20"/>
      <c r="BT212" s="20"/>
      <c r="BU212" s="20"/>
      <c r="BV212" s="20"/>
      <c r="BW212" s="20"/>
      <c r="BX212" s="20"/>
      <c r="BY212" s="20"/>
      <c r="BZ212" s="20"/>
      <c r="CA212" s="20"/>
      <c r="CB212" s="20"/>
      <c r="CC212" s="20"/>
      <c r="CD212" s="20"/>
      <c r="CE212" s="20"/>
      <c r="CF212" s="20"/>
      <c r="CG212" s="20"/>
      <c r="CH212" s="20"/>
      <c r="CM212" s="20"/>
      <c r="CN212" s="20"/>
      <c r="CO212" s="20"/>
      <c r="CP212" s="20"/>
      <c r="CQ212" s="20"/>
      <c r="CR212" s="20"/>
      <c r="CS212" s="20"/>
      <c r="CT212" s="20"/>
      <c r="CY212" s="20"/>
      <c r="CZ212" s="20"/>
      <c r="DA212" s="20"/>
      <c r="DB212" s="20"/>
      <c r="DC212" s="20"/>
      <c r="DD212" s="20"/>
      <c r="DE212" s="20"/>
      <c r="DF212" s="20"/>
      <c r="DG212" s="20"/>
      <c r="DH212" s="20"/>
      <c r="DI212" s="20"/>
      <c r="DJ212" s="20"/>
      <c r="DK212" s="20"/>
      <c r="DL212" s="20"/>
      <c r="DM212" s="20"/>
      <c r="DN212" s="20"/>
      <c r="DO212" s="20"/>
      <c r="DP212" s="20"/>
      <c r="DQ212" s="20"/>
      <c r="DR212" s="20"/>
      <c r="DS212" s="20"/>
      <c r="DT212" s="20"/>
    </row>
    <row r="213" spans="1:124" x14ac:dyDescent="0.25">
      <c r="A213" s="24" t="s">
        <v>4261</v>
      </c>
      <c r="B213" s="24" t="s">
        <v>3968</v>
      </c>
      <c r="E213" s="20"/>
      <c r="F213" s="20"/>
      <c r="G213" s="20"/>
      <c r="H213" s="20"/>
      <c r="I213" s="20"/>
      <c r="J213" s="20"/>
      <c r="K213" s="20"/>
      <c r="L213" s="20"/>
      <c r="O213" s="20"/>
      <c r="P213" s="20"/>
      <c r="Q213" s="20"/>
      <c r="R213" s="20"/>
      <c r="S213" s="20"/>
      <c r="T213" s="20"/>
      <c r="U213" s="20"/>
      <c r="V213" s="20"/>
      <c r="W213" s="20"/>
      <c r="X213" s="20"/>
      <c r="Y213" s="20"/>
      <c r="Z213" s="20"/>
      <c r="AA213" s="20"/>
      <c r="AB213" s="20"/>
      <c r="AC213" s="20"/>
      <c r="AD213" s="20"/>
      <c r="AE213" s="20"/>
      <c r="AF213" s="20"/>
      <c r="AG213" s="20"/>
      <c r="AH213" s="20"/>
      <c r="AI213" s="20"/>
      <c r="AJ213" s="20"/>
      <c r="AK213" s="20"/>
      <c r="AL213" s="20"/>
      <c r="AM213" s="20"/>
      <c r="AN213" s="20"/>
      <c r="AO213" s="20"/>
      <c r="AP213" s="20"/>
      <c r="AQ213" s="20"/>
      <c r="AR213" s="20"/>
      <c r="AS213" s="20"/>
      <c r="AT213" s="20"/>
      <c r="AU213" s="20"/>
      <c r="AV213" s="20"/>
      <c r="AW213" s="20"/>
      <c r="AX213" s="20"/>
      <c r="AY213" s="20"/>
      <c r="AZ213" s="20"/>
      <c r="BA213" s="20"/>
      <c r="BB213" s="20"/>
      <c r="BC213" s="20"/>
      <c r="BD213" s="20"/>
      <c r="BE213" s="20"/>
      <c r="BF213" s="20"/>
      <c r="BG213" s="20"/>
      <c r="BH213" s="20"/>
      <c r="BM213" s="20"/>
      <c r="BN213" s="20"/>
      <c r="BO213" s="20"/>
      <c r="BP213" s="20"/>
      <c r="BQ213" s="20"/>
      <c r="BR213" s="20"/>
      <c r="BS213" s="20"/>
      <c r="BT213" s="20"/>
      <c r="BU213" s="20"/>
      <c r="BV213" s="20"/>
      <c r="BW213" s="20"/>
      <c r="BX213" s="20"/>
      <c r="BY213" s="20"/>
      <c r="BZ213" s="20"/>
      <c r="CA213" s="20"/>
      <c r="CB213" s="20"/>
      <c r="CC213" s="20"/>
      <c r="CD213" s="20"/>
      <c r="CE213" s="20"/>
      <c r="CF213" s="20"/>
      <c r="CG213" s="20"/>
      <c r="CH213" s="20"/>
      <c r="CM213" s="20"/>
      <c r="CN213" s="20"/>
      <c r="CO213" s="20"/>
      <c r="CP213" s="20"/>
      <c r="CQ213" s="20"/>
      <c r="CR213" s="20"/>
      <c r="CS213" s="20"/>
      <c r="CT213" s="20"/>
      <c r="CY213" s="20"/>
      <c r="CZ213" s="20"/>
      <c r="DA213" s="20"/>
      <c r="DB213" s="20"/>
      <c r="DC213" s="20"/>
      <c r="DD213" s="20"/>
      <c r="DE213" s="20"/>
      <c r="DF213" s="20"/>
      <c r="DG213" s="20"/>
      <c r="DH213" s="20"/>
      <c r="DI213" s="20"/>
      <c r="DJ213" s="20"/>
      <c r="DK213" s="20"/>
      <c r="DL213" s="20"/>
      <c r="DM213" s="20"/>
      <c r="DN213" s="20"/>
      <c r="DO213" s="20"/>
      <c r="DP213" s="20"/>
      <c r="DQ213" s="20"/>
      <c r="DR213" s="20"/>
      <c r="DS213" s="20"/>
      <c r="DT213" s="20"/>
    </row>
    <row r="214" spans="1:124" x14ac:dyDescent="0.25">
      <c r="A214" s="24">
        <v>423967352</v>
      </c>
      <c r="B214" s="24" t="s">
        <v>3968</v>
      </c>
      <c r="E214" s="20"/>
      <c r="F214" s="20"/>
      <c r="G214" s="20"/>
      <c r="H214" s="20"/>
      <c r="I214" s="20"/>
      <c r="J214" s="20"/>
      <c r="K214" s="20"/>
      <c r="L214" s="20"/>
      <c r="O214" s="20"/>
      <c r="P214" s="20"/>
      <c r="Q214" s="20"/>
      <c r="R214" s="20"/>
      <c r="S214" s="20"/>
      <c r="T214" s="20"/>
      <c r="U214" s="20"/>
      <c r="V214" s="20"/>
      <c r="W214" s="20"/>
      <c r="X214" s="20"/>
      <c r="Y214" s="20"/>
      <c r="Z214" s="20"/>
      <c r="AA214" s="20"/>
      <c r="AB214" s="20"/>
      <c r="AC214" s="20"/>
      <c r="AD214" s="20"/>
      <c r="AE214" s="20"/>
      <c r="AF214" s="20"/>
      <c r="AG214" s="20"/>
      <c r="AH214" s="20"/>
      <c r="AI214" s="20"/>
      <c r="AJ214" s="20"/>
      <c r="AK214" s="20"/>
      <c r="AL214" s="20"/>
      <c r="AM214" s="20"/>
      <c r="AN214" s="20"/>
      <c r="AO214" s="20"/>
      <c r="AP214" s="20"/>
      <c r="AQ214" s="20"/>
      <c r="AR214" s="20"/>
      <c r="AS214" s="20"/>
      <c r="AT214" s="20"/>
      <c r="AU214" s="20"/>
      <c r="AV214" s="20"/>
      <c r="AW214" s="20"/>
      <c r="AX214" s="20"/>
      <c r="AY214" s="20"/>
      <c r="AZ214" s="20"/>
      <c r="BA214" s="20"/>
      <c r="BB214" s="20"/>
      <c r="BC214" s="20"/>
      <c r="BD214" s="20"/>
      <c r="BE214" s="20"/>
      <c r="BF214" s="20"/>
      <c r="BG214" s="20"/>
      <c r="BH214" s="20"/>
      <c r="BM214" s="20"/>
      <c r="BN214" s="20"/>
      <c r="BO214" s="20"/>
      <c r="BP214" s="20"/>
      <c r="BQ214" s="20"/>
      <c r="BR214" s="20"/>
      <c r="BS214" s="20"/>
      <c r="BT214" s="20"/>
      <c r="BU214" s="20"/>
      <c r="BV214" s="20"/>
      <c r="BW214" s="20"/>
      <c r="BX214" s="20"/>
      <c r="BY214" s="20"/>
      <c r="BZ214" s="20"/>
      <c r="CA214" s="20"/>
      <c r="CB214" s="20"/>
      <c r="CC214" s="20"/>
      <c r="CD214" s="20"/>
      <c r="CE214" s="20"/>
      <c r="CF214" s="20"/>
      <c r="CG214" s="20"/>
      <c r="CH214" s="20"/>
      <c r="CM214" s="20"/>
      <c r="CN214" s="20"/>
      <c r="CO214" s="20"/>
      <c r="CP214" s="20"/>
      <c r="CQ214" s="20"/>
      <c r="CR214" s="20"/>
      <c r="CS214" s="20"/>
      <c r="CT214" s="20"/>
      <c r="CY214" s="20"/>
      <c r="CZ214" s="20"/>
      <c r="DA214" s="20"/>
      <c r="DB214" s="20"/>
      <c r="DC214" s="20"/>
      <c r="DD214" s="20"/>
      <c r="DE214" s="20"/>
      <c r="DF214" s="20"/>
      <c r="DG214" s="20"/>
      <c r="DH214" s="20"/>
      <c r="DI214" s="20"/>
      <c r="DJ214" s="20"/>
      <c r="DK214" s="20"/>
      <c r="DL214" s="20"/>
      <c r="DM214" s="20"/>
      <c r="DN214" s="20"/>
      <c r="DO214" s="20"/>
      <c r="DP214" s="20"/>
      <c r="DQ214" s="20"/>
      <c r="DR214" s="20"/>
      <c r="DS214" s="20"/>
      <c r="DT214" s="20"/>
    </row>
    <row r="215" spans="1:124" x14ac:dyDescent="0.25">
      <c r="A215" s="24" t="s">
        <v>4282</v>
      </c>
      <c r="B215" s="24" t="s">
        <v>3968</v>
      </c>
      <c r="E215" s="20"/>
      <c r="F215" s="20"/>
      <c r="G215" s="20"/>
      <c r="H215" s="20"/>
      <c r="I215" s="20"/>
      <c r="J215" s="20"/>
      <c r="K215" s="20"/>
      <c r="L215" s="20"/>
      <c r="O215" s="20"/>
      <c r="P215" s="20"/>
      <c r="Q215" s="20"/>
      <c r="R215" s="20"/>
      <c r="S215" s="20"/>
      <c r="T215" s="20"/>
      <c r="U215" s="20"/>
      <c r="V215" s="20"/>
      <c r="W215" s="20"/>
      <c r="X215" s="20"/>
      <c r="Y215" s="20"/>
      <c r="Z215" s="20"/>
      <c r="AA215" s="20"/>
      <c r="AB215" s="20"/>
      <c r="AC215" s="20"/>
      <c r="AD215" s="20"/>
      <c r="AE215" s="20"/>
      <c r="AF215" s="20"/>
      <c r="AG215" s="20"/>
      <c r="AH215" s="20"/>
      <c r="AI215" s="20"/>
      <c r="AJ215" s="20"/>
      <c r="AK215" s="20"/>
      <c r="AL215" s="20"/>
      <c r="AM215" s="20"/>
      <c r="AN215" s="20"/>
      <c r="AO215" s="20"/>
      <c r="AP215" s="20"/>
      <c r="AQ215" s="20"/>
      <c r="AR215" s="20"/>
      <c r="AS215" s="20"/>
      <c r="AT215" s="20"/>
      <c r="AU215" s="20"/>
      <c r="AV215" s="20"/>
      <c r="AW215" s="20"/>
      <c r="AX215" s="20"/>
      <c r="AY215" s="20"/>
      <c r="AZ215" s="20"/>
      <c r="BA215" s="20"/>
      <c r="BB215" s="20"/>
      <c r="BC215" s="20"/>
      <c r="BD215" s="20"/>
      <c r="BE215" s="20"/>
      <c r="BF215" s="20"/>
      <c r="BG215" s="20"/>
      <c r="BH215" s="20"/>
      <c r="BM215" s="20"/>
      <c r="BN215" s="20"/>
      <c r="BO215" s="20"/>
      <c r="BP215" s="20"/>
      <c r="BQ215" s="20"/>
      <c r="BR215" s="20"/>
      <c r="BS215" s="20"/>
      <c r="BT215" s="20"/>
      <c r="BU215" s="20"/>
      <c r="BV215" s="20"/>
      <c r="BW215" s="20"/>
      <c r="BX215" s="20"/>
      <c r="BY215" s="20"/>
      <c r="BZ215" s="20"/>
      <c r="CA215" s="20"/>
      <c r="CB215" s="20"/>
      <c r="CC215" s="20"/>
      <c r="CD215" s="20"/>
      <c r="CE215" s="20"/>
      <c r="CF215" s="20"/>
      <c r="CG215" s="20"/>
      <c r="CH215" s="20"/>
      <c r="CM215" s="20"/>
      <c r="CN215" s="20"/>
      <c r="CO215" s="20"/>
      <c r="CP215" s="20"/>
      <c r="CQ215" s="20"/>
      <c r="CR215" s="20"/>
      <c r="CS215" s="20"/>
      <c r="CT215" s="20"/>
      <c r="CY215" s="20"/>
      <c r="CZ215" s="20"/>
      <c r="DA215" s="20"/>
      <c r="DB215" s="20"/>
      <c r="DC215" s="20"/>
      <c r="DD215" s="20"/>
      <c r="DE215" s="20"/>
      <c r="DF215" s="20"/>
      <c r="DG215" s="20"/>
      <c r="DH215" s="20"/>
      <c r="DI215" s="20"/>
      <c r="DJ215" s="20"/>
      <c r="DK215" s="20"/>
      <c r="DL215" s="20"/>
      <c r="DM215" s="20"/>
      <c r="DN215" s="20"/>
      <c r="DO215" s="20"/>
      <c r="DP215" s="20"/>
      <c r="DQ215" s="20"/>
      <c r="DR215" s="20"/>
      <c r="DS215" s="20"/>
      <c r="DT215" s="20"/>
    </row>
    <row r="216" spans="1:124" x14ac:dyDescent="0.25">
      <c r="A216" s="24" t="s">
        <v>4299</v>
      </c>
      <c r="B216" s="24" t="s">
        <v>3968</v>
      </c>
      <c r="E216" s="20"/>
      <c r="F216" s="20"/>
      <c r="G216" s="20"/>
      <c r="H216" s="20"/>
      <c r="I216" s="20"/>
      <c r="J216" s="20"/>
      <c r="K216" s="20"/>
      <c r="L216" s="20"/>
      <c r="O216" s="20"/>
      <c r="P216" s="20"/>
      <c r="Q216" s="20"/>
      <c r="R216" s="20"/>
      <c r="S216" s="20"/>
      <c r="T216" s="20"/>
      <c r="U216" s="20"/>
      <c r="V216" s="20"/>
      <c r="W216" s="20"/>
      <c r="X216" s="20"/>
      <c r="Y216" s="20"/>
      <c r="Z216" s="20"/>
      <c r="AA216" s="20"/>
      <c r="AB216" s="20"/>
      <c r="AC216" s="20"/>
      <c r="AD216" s="20"/>
      <c r="AE216" s="20"/>
      <c r="AF216" s="20"/>
      <c r="AG216" s="20"/>
      <c r="AH216" s="20"/>
      <c r="AI216" s="20"/>
      <c r="AJ216" s="20"/>
      <c r="AK216" s="20"/>
      <c r="AL216" s="20"/>
      <c r="AM216" s="20"/>
      <c r="AN216" s="20"/>
      <c r="AO216" s="20"/>
      <c r="AP216" s="20"/>
      <c r="AQ216" s="20"/>
      <c r="AR216" s="20"/>
      <c r="AS216" s="20"/>
      <c r="AT216" s="20"/>
      <c r="AU216" s="20"/>
      <c r="AV216" s="20"/>
      <c r="AW216" s="20"/>
      <c r="AX216" s="20"/>
      <c r="AY216" s="20"/>
      <c r="AZ216" s="20"/>
      <c r="BA216" s="20"/>
      <c r="BB216" s="20"/>
      <c r="BC216" s="20"/>
      <c r="BD216" s="20"/>
      <c r="BE216" s="20"/>
      <c r="BF216" s="20"/>
      <c r="BG216" s="20"/>
      <c r="BH216" s="20"/>
      <c r="BM216" s="20"/>
      <c r="BN216" s="20"/>
      <c r="BO216" s="20"/>
      <c r="BP216" s="20"/>
      <c r="BQ216" s="20"/>
      <c r="BR216" s="20"/>
      <c r="BS216" s="20"/>
      <c r="BT216" s="20"/>
      <c r="BU216" s="20"/>
      <c r="BV216" s="20"/>
      <c r="BW216" s="20"/>
      <c r="BX216" s="20"/>
      <c r="BY216" s="20"/>
      <c r="BZ216" s="20"/>
      <c r="CA216" s="20"/>
      <c r="CB216" s="20"/>
      <c r="CC216" s="20"/>
      <c r="CD216" s="20"/>
      <c r="CE216" s="20"/>
      <c r="CF216" s="20"/>
      <c r="CG216" s="20"/>
      <c r="CH216" s="20"/>
      <c r="CM216" s="20"/>
      <c r="CN216" s="20"/>
      <c r="CO216" s="20"/>
      <c r="CP216" s="20"/>
      <c r="CQ216" s="20"/>
      <c r="CR216" s="20"/>
      <c r="CS216" s="20"/>
      <c r="CT216" s="20"/>
      <c r="CY216" s="20"/>
      <c r="CZ216" s="20"/>
      <c r="DA216" s="20"/>
      <c r="DB216" s="20"/>
      <c r="DC216" s="20"/>
      <c r="DD216" s="20"/>
      <c r="DE216" s="20"/>
      <c r="DF216" s="20"/>
      <c r="DG216" s="20"/>
      <c r="DH216" s="20"/>
      <c r="DI216" s="20"/>
      <c r="DJ216" s="20"/>
      <c r="DK216" s="20"/>
      <c r="DL216" s="20"/>
      <c r="DM216" s="20"/>
      <c r="DN216" s="20"/>
      <c r="DO216" s="20"/>
      <c r="DP216" s="20"/>
      <c r="DQ216" s="20"/>
      <c r="DR216" s="20"/>
      <c r="DS216" s="20"/>
      <c r="DT216" s="20"/>
    </row>
    <row r="217" spans="1:124" x14ac:dyDescent="0.25">
      <c r="A217" s="24" t="s">
        <v>4171</v>
      </c>
      <c r="B217" s="24" t="s">
        <v>3968</v>
      </c>
      <c r="E217" s="20"/>
      <c r="F217" s="20"/>
      <c r="G217" s="20"/>
      <c r="H217" s="20"/>
      <c r="I217" s="20"/>
      <c r="J217" s="20"/>
      <c r="K217" s="20"/>
      <c r="L217" s="20"/>
      <c r="O217" s="20"/>
      <c r="P217" s="20"/>
      <c r="Q217" s="20"/>
      <c r="R217" s="20"/>
      <c r="S217" s="20"/>
      <c r="T217" s="20"/>
      <c r="U217" s="20"/>
      <c r="V217" s="20"/>
      <c r="W217" s="20"/>
      <c r="X217" s="20"/>
      <c r="Y217" s="20"/>
      <c r="Z217" s="20"/>
      <c r="AA217" s="20"/>
      <c r="AB217" s="20"/>
      <c r="AC217" s="20"/>
      <c r="AD217" s="20"/>
      <c r="AE217" s="20"/>
      <c r="AF217" s="20"/>
      <c r="AG217" s="20"/>
      <c r="AH217" s="20"/>
      <c r="AI217" s="20"/>
      <c r="AJ217" s="20"/>
      <c r="AK217" s="20"/>
      <c r="AL217" s="20"/>
      <c r="AM217" s="20"/>
      <c r="AN217" s="20"/>
      <c r="AO217" s="20"/>
      <c r="AP217" s="20"/>
      <c r="AQ217" s="20"/>
      <c r="AR217" s="20"/>
      <c r="AS217" s="20"/>
      <c r="AT217" s="20"/>
      <c r="AU217" s="20"/>
      <c r="AV217" s="20"/>
      <c r="AW217" s="20"/>
      <c r="AX217" s="20"/>
      <c r="AY217" s="20"/>
      <c r="AZ217" s="20"/>
      <c r="BA217" s="20"/>
      <c r="BB217" s="20"/>
      <c r="BC217" s="20"/>
      <c r="BD217" s="20"/>
      <c r="BE217" s="20"/>
      <c r="BF217" s="20"/>
      <c r="BG217" s="20"/>
      <c r="BH217" s="20"/>
      <c r="BM217" s="20"/>
      <c r="BN217" s="20"/>
      <c r="BO217" s="20"/>
      <c r="BP217" s="20"/>
      <c r="BQ217" s="20"/>
      <c r="BR217" s="20"/>
      <c r="BS217" s="20"/>
      <c r="BT217" s="20"/>
      <c r="BU217" s="20"/>
      <c r="BV217" s="20"/>
      <c r="BW217" s="20"/>
      <c r="BX217" s="20"/>
      <c r="BY217" s="20"/>
      <c r="BZ217" s="20"/>
      <c r="CA217" s="20"/>
      <c r="CB217" s="20"/>
      <c r="CC217" s="20"/>
      <c r="CD217" s="20"/>
      <c r="CE217" s="20"/>
      <c r="CF217" s="20"/>
      <c r="CG217" s="20"/>
      <c r="CH217" s="20"/>
      <c r="CM217" s="20"/>
      <c r="CN217" s="20"/>
      <c r="CO217" s="20"/>
      <c r="CP217" s="20"/>
      <c r="CQ217" s="20"/>
      <c r="CR217" s="20"/>
      <c r="CS217" s="20"/>
      <c r="CT217" s="20"/>
      <c r="CY217" s="20"/>
      <c r="CZ217" s="20"/>
      <c r="DA217" s="20"/>
      <c r="DB217" s="20"/>
      <c r="DC217" s="20"/>
      <c r="DD217" s="20"/>
      <c r="DE217" s="20"/>
      <c r="DF217" s="20"/>
      <c r="DG217" s="20"/>
      <c r="DH217" s="20"/>
      <c r="DI217" s="20"/>
      <c r="DJ217" s="20"/>
      <c r="DK217" s="20"/>
      <c r="DL217" s="20"/>
      <c r="DM217" s="20"/>
      <c r="DN217" s="20"/>
      <c r="DO217" s="20"/>
      <c r="DP217" s="20"/>
      <c r="DQ217" s="20"/>
      <c r="DR217" s="20"/>
      <c r="DS217" s="20"/>
      <c r="DT217" s="20"/>
    </row>
    <row r="218" spans="1:124" x14ac:dyDescent="0.25">
      <c r="A218" s="24">
        <v>49916265</v>
      </c>
      <c r="B218" s="24" t="s">
        <v>3968</v>
      </c>
      <c r="E218" s="20"/>
      <c r="F218" s="20"/>
      <c r="G218" s="20"/>
      <c r="H218" s="20"/>
      <c r="I218" s="20"/>
      <c r="J218" s="20"/>
      <c r="K218" s="20"/>
      <c r="L218" s="20"/>
      <c r="O218" s="20"/>
      <c r="P218" s="20"/>
      <c r="Q218" s="20"/>
      <c r="R218" s="20"/>
      <c r="S218" s="20"/>
      <c r="T218" s="20"/>
      <c r="U218" s="20"/>
      <c r="V218" s="20"/>
      <c r="W218" s="20"/>
      <c r="X218" s="20"/>
      <c r="Y218" s="20"/>
      <c r="Z218" s="20"/>
      <c r="AA218" s="20"/>
      <c r="AB218" s="20"/>
      <c r="AC218" s="20"/>
      <c r="AD218" s="20"/>
      <c r="AE218" s="20"/>
      <c r="AF218" s="20"/>
      <c r="AG218" s="20"/>
      <c r="AH218" s="20"/>
      <c r="AI218" s="20"/>
      <c r="AJ218" s="20"/>
      <c r="AK218" s="20"/>
      <c r="AL218" s="20"/>
      <c r="AM218" s="20"/>
      <c r="AN218" s="20"/>
      <c r="AO218" s="20"/>
      <c r="AP218" s="20"/>
      <c r="AQ218" s="20"/>
      <c r="AR218" s="20"/>
      <c r="AS218" s="20"/>
      <c r="AT218" s="20"/>
      <c r="AU218" s="20"/>
      <c r="AV218" s="20"/>
      <c r="AW218" s="20"/>
      <c r="AX218" s="20"/>
      <c r="AY218" s="20"/>
      <c r="AZ218" s="20"/>
      <c r="BA218" s="20"/>
      <c r="BB218" s="20"/>
      <c r="BC218" s="20"/>
      <c r="BD218" s="20"/>
      <c r="BE218" s="20"/>
      <c r="BF218" s="20"/>
      <c r="BG218" s="20"/>
      <c r="BH218" s="20"/>
      <c r="BM218" s="20"/>
      <c r="BN218" s="20"/>
      <c r="BO218" s="20"/>
      <c r="BP218" s="20"/>
      <c r="BQ218" s="20"/>
      <c r="BR218" s="20"/>
      <c r="BS218" s="20"/>
      <c r="BT218" s="20"/>
      <c r="BU218" s="20"/>
      <c r="BV218" s="20"/>
      <c r="BW218" s="20"/>
      <c r="BX218" s="20"/>
      <c r="BY218" s="20"/>
      <c r="BZ218" s="20"/>
      <c r="CA218" s="20"/>
      <c r="CB218" s="20"/>
      <c r="CC218" s="20"/>
      <c r="CD218" s="20"/>
      <c r="CE218" s="20"/>
      <c r="CF218" s="20"/>
      <c r="CG218" s="20"/>
      <c r="CH218" s="20"/>
      <c r="CM218" s="20"/>
      <c r="CN218" s="20"/>
      <c r="CO218" s="20"/>
      <c r="CP218" s="20"/>
      <c r="CQ218" s="20"/>
      <c r="CR218" s="20"/>
      <c r="CS218" s="20"/>
      <c r="CT218" s="20"/>
      <c r="CY218" s="20"/>
      <c r="CZ218" s="20"/>
      <c r="DA218" s="20"/>
      <c r="DB218" s="20"/>
      <c r="DC218" s="20"/>
      <c r="DD218" s="20"/>
      <c r="DE218" s="20"/>
      <c r="DF218" s="20"/>
      <c r="DG218" s="20"/>
      <c r="DH218" s="20"/>
      <c r="DI218" s="20"/>
      <c r="DJ218" s="20"/>
      <c r="DK218" s="20"/>
      <c r="DL218" s="20"/>
      <c r="DM218" s="20"/>
      <c r="DN218" s="20"/>
      <c r="DO218" s="20"/>
      <c r="DP218" s="20"/>
      <c r="DQ218" s="20"/>
      <c r="DR218" s="20"/>
      <c r="DS218" s="20"/>
      <c r="DT218" s="20"/>
    </row>
    <row r="219" spans="1:124" x14ac:dyDescent="0.25">
      <c r="A219" s="24" t="s">
        <v>4204</v>
      </c>
      <c r="B219" s="24" t="s">
        <v>3968</v>
      </c>
      <c r="E219" s="20"/>
      <c r="F219" s="20"/>
      <c r="G219" s="20"/>
      <c r="H219" s="20"/>
      <c r="I219" s="20"/>
      <c r="J219" s="20"/>
      <c r="K219" s="20"/>
      <c r="L219" s="20"/>
      <c r="O219" s="20"/>
      <c r="P219" s="20"/>
      <c r="Q219" s="20"/>
      <c r="R219" s="20"/>
      <c r="S219" s="20"/>
      <c r="T219" s="20"/>
      <c r="U219" s="20"/>
      <c r="V219" s="20"/>
      <c r="W219" s="20"/>
      <c r="X219" s="20"/>
      <c r="Y219" s="20"/>
      <c r="Z219" s="20"/>
      <c r="AA219" s="20"/>
      <c r="AB219" s="20"/>
      <c r="AC219" s="20"/>
      <c r="AD219" s="20"/>
      <c r="AE219" s="20"/>
      <c r="AF219" s="20"/>
      <c r="AG219" s="20"/>
      <c r="AH219" s="20"/>
      <c r="AI219" s="20"/>
      <c r="AJ219" s="20"/>
      <c r="AK219" s="20"/>
      <c r="AL219" s="20"/>
      <c r="AM219" s="20"/>
      <c r="AN219" s="20"/>
      <c r="AO219" s="20"/>
      <c r="AP219" s="20"/>
      <c r="AQ219" s="20"/>
      <c r="AR219" s="20"/>
      <c r="AS219" s="20"/>
      <c r="AT219" s="20"/>
      <c r="AU219" s="20"/>
      <c r="AV219" s="20"/>
      <c r="AW219" s="20"/>
      <c r="AX219" s="20"/>
      <c r="AY219" s="20"/>
      <c r="AZ219" s="20"/>
      <c r="BA219" s="20"/>
      <c r="BB219" s="20"/>
      <c r="BC219" s="20"/>
      <c r="BD219" s="20"/>
      <c r="BE219" s="20"/>
      <c r="BF219" s="20"/>
      <c r="BG219" s="20"/>
      <c r="BH219" s="20"/>
      <c r="BM219" s="20"/>
      <c r="BN219" s="20"/>
      <c r="BO219" s="20"/>
      <c r="BP219" s="20"/>
      <c r="BQ219" s="20"/>
      <c r="BR219" s="20"/>
      <c r="BS219" s="20"/>
      <c r="BT219" s="20"/>
      <c r="BU219" s="20"/>
      <c r="BV219" s="20"/>
      <c r="BW219" s="20"/>
      <c r="BX219" s="20"/>
      <c r="BY219" s="20"/>
      <c r="BZ219" s="20"/>
      <c r="CA219" s="20"/>
      <c r="CB219" s="20"/>
      <c r="CC219" s="20"/>
      <c r="CD219" s="20"/>
      <c r="CE219" s="20"/>
      <c r="CF219" s="20"/>
      <c r="CG219" s="20"/>
      <c r="CH219" s="20"/>
      <c r="CM219" s="20"/>
      <c r="CN219" s="20"/>
      <c r="CO219" s="20"/>
      <c r="CP219" s="20"/>
      <c r="CQ219" s="20"/>
      <c r="CR219" s="20"/>
      <c r="CS219" s="20"/>
      <c r="CT219" s="20"/>
      <c r="CY219" s="20"/>
      <c r="CZ219" s="20"/>
      <c r="DA219" s="20"/>
      <c r="DB219" s="20"/>
      <c r="DC219" s="20"/>
      <c r="DD219" s="20"/>
      <c r="DE219" s="20"/>
      <c r="DF219" s="20"/>
      <c r="DG219" s="20"/>
      <c r="DH219" s="20"/>
      <c r="DI219" s="20"/>
      <c r="DJ219" s="20"/>
      <c r="DK219" s="20"/>
      <c r="DL219" s="20"/>
      <c r="DM219" s="20"/>
      <c r="DN219" s="20"/>
      <c r="DO219" s="20"/>
      <c r="DP219" s="20"/>
      <c r="DQ219" s="20"/>
      <c r="DR219" s="20"/>
      <c r="DS219" s="20"/>
      <c r="DT219" s="20"/>
    </row>
    <row r="220" spans="1:124" x14ac:dyDescent="0.25">
      <c r="A220" s="24" t="s">
        <v>4172</v>
      </c>
      <c r="B220" s="24" t="s">
        <v>3968</v>
      </c>
      <c r="E220" s="20"/>
      <c r="F220" s="20"/>
      <c r="G220" s="20"/>
      <c r="H220" s="20"/>
      <c r="I220" s="20"/>
      <c r="J220" s="20"/>
      <c r="K220" s="20"/>
      <c r="L220" s="20"/>
      <c r="O220" s="20"/>
      <c r="P220" s="20"/>
      <c r="Q220" s="20"/>
      <c r="R220" s="20"/>
      <c r="S220" s="20"/>
      <c r="T220" s="20"/>
      <c r="U220" s="20"/>
      <c r="V220" s="20"/>
      <c r="W220" s="20"/>
      <c r="X220" s="20"/>
      <c r="Y220" s="20"/>
      <c r="Z220" s="20"/>
      <c r="AA220" s="20"/>
      <c r="AB220" s="20"/>
      <c r="AC220" s="20"/>
      <c r="AD220" s="20"/>
      <c r="AE220" s="20"/>
      <c r="AF220" s="20"/>
      <c r="AG220" s="20"/>
      <c r="AH220" s="20"/>
      <c r="AI220" s="20"/>
      <c r="AJ220" s="20"/>
      <c r="AK220" s="20"/>
      <c r="AL220" s="20"/>
      <c r="AM220" s="20"/>
      <c r="AN220" s="20"/>
      <c r="AO220" s="20"/>
      <c r="AP220" s="20"/>
      <c r="AQ220" s="20"/>
      <c r="AR220" s="20"/>
      <c r="AS220" s="20"/>
      <c r="AT220" s="20"/>
      <c r="AU220" s="20"/>
      <c r="AV220" s="20"/>
      <c r="AW220" s="20"/>
      <c r="AX220" s="20"/>
      <c r="AY220" s="20"/>
      <c r="AZ220" s="20"/>
      <c r="BA220" s="20"/>
      <c r="BB220" s="20"/>
      <c r="BC220" s="20"/>
      <c r="BD220" s="20"/>
      <c r="BE220" s="20"/>
      <c r="BF220" s="20"/>
      <c r="BG220" s="20"/>
      <c r="BH220" s="20"/>
      <c r="BM220" s="20"/>
      <c r="BN220" s="20"/>
      <c r="BO220" s="20"/>
      <c r="BP220" s="20"/>
      <c r="BQ220" s="20"/>
      <c r="BR220" s="20"/>
      <c r="BS220" s="20"/>
      <c r="BT220" s="20"/>
      <c r="BU220" s="20"/>
      <c r="BV220" s="20"/>
      <c r="BW220" s="20"/>
      <c r="BX220" s="20"/>
      <c r="BY220" s="20"/>
      <c r="BZ220" s="20"/>
      <c r="CA220" s="20"/>
      <c r="CB220" s="20"/>
      <c r="CC220" s="20"/>
      <c r="CD220" s="20"/>
      <c r="CE220" s="20"/>
      <c r="CF220" s="20"/>
      <c r="CG220" s="20"/>
      <c r="CH220" s="20"/>
      <c r="CM220" s="20"/>
      <c r="CN220" s="20"/>
      <c r="CO220" s="20"/>
      <c r="CP220" s="20"/>
      <c r="CQ220" s="20"/>
      <c r="CR220" s="20"/>
      <c r="CS220" s="20"/>
      <c r="CT220" s="20"/>
      <c r="CY220" s="20"/>
      <c r="CZ220" s="20"/>
      <c r="DA220" s="20"/>
      <c r="DB220" s="20"/>
      <c r="DC220" s="20"/>
      <c r="DD220" s="20"/>
      <c r="DE220" s="20"/>
      <c r="DF220" s="20"/>
      <c r="DG220" s="20"/>
      <c r="DH220" s="20"/>
      <c r="DI220" s="20"/>
      <c r="DJ220" s="20"/>
      <c r="DK220" s="20"/>
      <c r="DL220" s="20"/>
      <c r="DM220" s="20"/>
      <c r="DN220" s="20"/>
      <c r="DO220" s="20"/>
      <c r="DP220" s="20"/>
      <c r="DQ220" s="20"/>
      <c r="DR220" s="20"/>
      <c r="DS220" s="20"/>
      <c r="DT220" s="20"/>
    </row>
    <row r="221" spans="1:124" x14ac:dyDescent="0.25">
      <c r="A221" s="24" t="s">
        <v>4190</v>
      </c>
      <c r="B221" s="24" t="s">
        <v>3968</v>
      </c>
      <c r="E221" s="20"/>
      <c r="F221" s="20"/>
      <c r="G221" s="20"/>
      <c r="H221" s="20"/>
      <c r="I221" s="20"/>
      <c r="J221" s="20"/>
      <c r="K221" s="20"/>
      <c r="L221" s="20"/>
      <c r="O221" s="20"/>
      <c r="P221" s="20"/>
      <c r="Q221" s="20"/>
      <c r="R221" s="20"/>
      <c r="S221" s="20"/>
      <c r="T221" s="20"/>
      <c r="U221" s="20"/>
      <c r="V221" s="20"/>
      <c r="W221" s="20"/>
      <c r="X221" s="20"/>
      <c r="Y221" s="20"/>
      <c r="Z221" s="20"/>
      <c r="AA221" s="20"/>
      <c r="AB221" s="20"/>
      <c r="AC221" s="20"/>
      <c r="AD221" s="20"/>
      <c r="AE221" s="20"/>
      <c r="AF221" s="20"/>
      <c r="AG221" s="20"/>
      <c r="AH221" s="20"/>
      <c r="AI221" s="20"/>
      <c r="AJ221" s="20"/>
      <c r="AK221" s="20"/>
      <c r="AL221" s="20"/>
      <c r="AM221" s="20"/>
      <c r="AN221" s="20"/>
      <c r="AO221" s="20"/>
      <c r="AP221" s="20"/>
      <c r="AQ221" s="20"/>
      <c r="AR221" s="20"/>
      <c r="AS221" s="20"/>
      <c r="AT221" s="20"/>
      <c r="AU221" s="20"/>
      <c r="AV221" s="20"/>
      <c r="AW221" s="20"/>
      <c r="AX221" s="20"/>
      <c r="AY221" s="20"/>
      <c r="AZ221" s="20"/>
      <c r="BA221" s="20"/>
      <c r="BB221" s="20"/>
      <c r="BC221" s="20"/>
      <c r="BD221" s="20"/>
      <c r="BE221" s="20"/>
      <c r="BF221" s="20"/>
      <c r="BG221" s="20"/>
      <c r="BH221" s="20"/>
      <c r="BM221" s="20"/>
      <c r="BN221" s="20"/>
      <c r="BO221" s="20"/>
      <c r="BP221" s="20"/>
      <c r="BQ221" s="20"/>
      <c r="BR221" s="20"/>
      <c r="BS221" s="20"/>
      <c r="BT221" s="20"/>
      <c r="BU221" s="20"/>
      <c r="BV221" s="20"/>
      <c r="BW221" s="20"/>
      <c r="BX221" s="20"/>
      <c r="BY221" s="20"/>
      <c r="BZ221" s="20"/>
      <c r="CA221" s="20"/>
      <c r="CB221" s="20"/>
      <c r="CC221" s="20"/>
      <c r="CD221" s="20"/>
      <c r="CE221" s="20"/>
      <c r="CF221" s="20"/>
      <c r="CG221" s="20"/>
      <c r="CH221" s="20"/>
      <c r="CM221" s="20"/>
      <c r="CN221" s="20"/>
      <c r="CO221" s="20"/>
      <c r="CP221" s="20"/>
      <c r="CQ221" s="20"/>
      <c r="CR221" s="20"/>
      <c r="CS221" s="20"/>
      <c r="CT221" s="20"/>
      <c r="CY221" s="20"/>
      <c r="CZ221" s="20"/>
      <c r="DA221" s="20"/>
      <c r="DB221" s="20"/>
      <c r="DC221" s="20"/>
      <c r="DD221" s="20"/>
      <c r="DE221" s="20"/>
      <c r="DF221" s="20"/>
      <c r="DG221" s="20"/>
      <c r="DH221" s="20"/>
      <c r="DI221" s="20"/>
      <c r="DJ221" s="20"/>
      <c r="DK221" s="20"/>
      <c r="DL221" s="20"/>
      <c r="DM221" s="20"/>
      <c r="DN221" s="20"/>
      <c r="DO221" s="20"/>
      <c r="DP221" s="20"/>
      <c r="DQ221" s="20"/>
      <c r="DR221" s="20"/>
      <c r="DS221" s="20"/>
      <c r="DT221" s="20"/>
    </row>
    <row r="222" spans="1:124" x14ac:dyDescent="0.25">
      <c r="A222" s="24" t="s">
        <v>4205</v>
      </c>
      <c r="B222" s="24" t="s">
        <v>3968</v>
      </c>
      <c r="E222" s="20"/>
      <c r="F222" s="20"/>
      <c r="G222" s="20"/>
      <c r="H222" s="20"/>
      <c r="I222" s="20"/>
      <c r="J222" s="20"/>
      <c r="K222" s="20"/>
      <c r="L222" s="20"/>
      <c r="M222" s="20"/>
      <c r="N222" s="20"/>
      <c r="O222" s="20"/>
      <c r="P222" s="20"/>
      <c r="Q222" s="20"/>
      <c r="R222" s="20"/>
      <c r="S222" s="20"/>
      <c r="T222" s="20"/>
      <c r="U222" s="20"/>
      <c r="V222" s="20"/>
      <c r="W222" s="20"/>
      <c r="X222" s="20"/>
      <c r="Y222" s="20"/>
      <c r="Z222" s="20"/>
      <c r="AA222" s="20"/>
      <c r="AB222" s="20"/>
      <c r="AC222" s="20"/>
      <c r="AD222" s="20"/>
      <c r="AE222" s="20"/>
      <c r="AF222" s="20"/>
      <c r="AG222" s="20"/>
      <c r="AH222" s="20"/>
      <c r="AI222" s="20"/>
      <c r="AJ222" s="20"/>
      <c r="AK222" s="20"/>
      <c r="AL222" s="20"/>
      <c r="AM222" s="20"/>
      <c r="AN222" s="20"/>
      <c r="AO222" s="20"/>
      <c r="AP222" s="20"/>
      <c r="AQ222" s="20"/>
      <c r="AR222" s="20"/>
      <c r="AS222" s="20"/>
      <c r="AT222" s="20"/>
      <c r="AU222" s="20"/>
      <c r="AV222" s="20"/>
      <c r="AW222" s="20"/>
      <c r="AX222" s="20"/>
      <c r="AY222" s="20"/>
      <c r="AZ222" s="20"/>
      <c r="BA222" s="20"/>
      <c r="BB222" s="20"/>
      <c r="BC222" s="20"/>
      <c r="BD222" s="20"/>
      <c r="BE222" s="20"/>
      <c r="BF222" s="20"/>
      <c r="BG222" s="20"/>
      <c r="BH222" s="20"/>
      <c r="BM222" s="20"/>
      <c r="BN222" s="20"/>
      <c r="BO222" s="20"/>
      <c r="BP222" s="20"/>
      <c r="BQ222" s="20"/>
      <c r="BR222" s="20"/>
      <c r="BS222" s="20"/>
      <c r="BT222" s="20"/>
      <c r="BU222" s="20"/>
      <c r="BV222" s="20"/>
      <c r="BW222" s="20"/>
      <c r="BX222" s="20"/>
      <c r="BY222" s="20"/>
      <c r="BZ222" s="20"/>
      <c r="CA222" s="20"/>
      <c r="CB222" s="20"/>
      <c r="CC222" s="20"/>
      <c r="CD222" s="20"/>
      <c r="CE222" s="20"/>
      <c r="CF222" s="20"/>
      <c r="CG222" s="20"/>
      <c r="CH222" s="20"/>
      <c r="CM222" s="20"/>
      <c r="CN222" s="20"/>
      <c r="CO222" s="20"/>
      <c r="CP222" s="20"/>
      <c r="CQ222" s="20"/>
      <c r="CR222" s="20"/>
      <c r="CS222" s="20"/>
      <c r="CT222" s="20"/>
      <c r="CY222" s="20"/>
      <c r="CZ222" s="20"/>
      <c r="DA222" s="20"/>
      <c r="DB222" s="20"/>
      <c r="DC222" s="20"/>
      <c r="DD222" s="20"/>
      <c r="DE222" s="20"/>
      <c r="DF222" s="20"/>
      <c r="DG222" s="20"/>
      <c r="DH222" s="20"/>
      <c r="DI222" s="20"/>
      <c r="DJ222" s="20"/>
      <c r="DK222" s="20"/>
      <c r="DL222" s="20"/>
      <c r="DM222" s="20"/>
      <c r="DN222" s="20"/>
      <c r="DO222" s="20"/>
      <c r="DP222" s="20"/>
      <c r="DQ222" s="20"/>
      <c r="DR222" s="20"/>
      <c r="DS222" s="20"/>
      <c r="DT222" s="20"/>
    </row>
    <row r="223" spans="1:124" x14ac:dyDescent="0.25">
      <c r="A223" s="24" t="s">
        <v>4215</v>
      </c>
      <c r="B223" s="24" t="s">
        <v>3968</v>
      </c>
      <c r="E223" s="20"/>
      <c r="F223" s="20"/>
      <c r="G223" s="20"/>
      <c r="H223" s="20"/>
      <c r="I223" s="20"/>
      <c r="J223" s="20"/>
      <c r="K223" s="20"/>
      <c r="L223" s="20"/>
      <c r="M223" s="20"/>
      <c r="N223" s="20"/>
      <c r="O223" s="20"/>
      <c r="P223" s="20"/>
      <c r="Q223" s="20"/>
      <c r="R223" s="20"/>
      <c r="S223" s="20"/>
      <c r="T223" s="20"/>
      <c r="U223" s="20"/>
      <c r="V223" s="20"/>
      <c r="W223" s="20"/>
      <c r="X223" s="20"/>
      <c r="Y223" s="20"/>
      <c r="Z223" s="20"/>
      <c r="AA223" s="20"/>
      <c r="AB223" s="20"/>
      <c r="AC223" s="20"/>
      <c r="AD223" s="20"/>
      <c r="AE223" s="20"/>
      <c r="AF223" s="20"/>
      <c r="AG223" s="20"/>
      <c r="AH223" s="20"/>
      <c r="AI223" s="20"/>
      <c r="AJ223" s="20"/>
      <c r="AK223" s="20"/>
      <c r="AL223" s="20"/>
      <c r="AM223" s="20"/>
      <c r="AN223" s="20"/>
      <c r="AO223" s="20"/>
      <c r="AP223" s="20"/>
      <c r="AQ223" s="20"/>
      <c r="AR223" s="20"/>
      <c r="AS223" s="20"/>
      <c r="AT223" s="20"/>
      <c r="AU223" s="20"/>
      <c r="AV223" s="20"/>
      <c r="AW223" s="20"/>
      <c r="AX223" s="20"/>
      <c r="AY223" s="20"/>
      <c r="AZ223" s="20"/>
      <c r="BA223" s="20"/>
      <c r="BB223" s="20"/>
      <c r="BC223" s="20"/>
      <c r="BD223" s="20"/>
      <c r="BE223" s="20"/>
      <c r="BF223" s="20"/>
      <c r="BG223" s="20"/>
      <c r="BH223" s="20"/>
      <c r="BM223" s="20"/>
      <c r="BN223" s="20"/>
      <c r="BO223" s="20"/>
      <c r="BP223" s="20"/>
      <c r="BQ223" s="20"/>
      <c r="BR223" s="20"/>
      <c r="BS223" s="20"/>
      <c r="BT223" s="20"/>
      <c r="BU223" s="20"/>
      <c r="BV223" s="20"/>
      <c r="BW223" s="20"/>
      <c r="BX223" s="20"/>
      <c r="BY223" s="20"/>
      <c r="BZ223" s="20"/>
      <c r="CA223" s="20"/>
      <c r="CB223" s="20"/>
      <c r="CC223" s="20"/>
      <c r="CD223" s="20"/>
      <c r="CE223" s="20"/>
      <c r="CF223" s="20"/>
      <c r="CG223" s="20"/>
      <c r="CH223" s="20"/>
      <c r="CM223" s="20"/>
      <c r="CN223" s="20"/>
      <c r="CO223" s="20"/>
      <c r="CP223" s="20"/>
      <c r="CQ223" s="20"/>
      <c r="CR223" s="20"/>
      <c r="CS223" s="20"/>
      <c r="CT223" s="20"/>
      <c r="CY223" s="20"/>
      <c r="CZ223" s="20"/>
      <c r="DA223" s="20"/>
      <c r="DB223" s="20"/>
      <c r="DC223" s="20"/>
      <c r="DD223" s="20"/>
      <c r="DE223" s="20"/>
      <c r="DF223" s="20"/>
      <c r="DG223" s="20"/>
      <c r="DH223" s="20"/>
      <c r="DI223" s="20"/>
      <c r="DJ223" s="20"/>
      <c r="DK223" s="20"/>
      <c r="DL223" s="20"/>
      <c r="DM223" s="20"/>
      <c r="DN223" s="20"/>
      <c r="DO223" s="20"/>
      <c r="DP223" s="20"/>
      <c r="DQ223" s="20"/>
      <c r="DR223" s="20"/>
      <c r="DS223" s="20"/>
      <c r="DT223" s="20"/>
    </row>
    <row r="224" spans="1:124" x14ac:dyDescent="0.25">
      <c r="A224" s="24" t="s">
        <v>4225</v>
      </c>
      <c r="B224" s="24" t="s">
        <v>3968</v>
      </c>
      <c r="E224" s="20"/>
      <c r="F224" s="20"/>
      <c r="G224" s="20"/>
      <c r="H224" s="20"/>
      <c r="I224" s="20"/>
      <c r="J224" s="20"/>
      <c r="K224" s="20"/>
      <c r="L224" s="20"/>
      <c r="M224" s="20"/>
      <c r="N224" s="20"/>
      <c r="O224" s="20"/>
      <c r="P224" s="20"/>
      <c r="Q224" s="20"/>
      <c r="R224" s="20"/>
      <c r="S224" s="20"/>
      <c r="T224" s="20"/>
      <c r="U224" s="20"/>
      <c r="V224" s="20"/>
      <c r="W224" s="20"/>
      <c r="X224" s="20"/>
      <c r="Y224" s="20"/>
      <c r="Z224" s="20"/>
      <c r="AA224" s="20"/>
      <c r="AB224" s="20"/>
      <c r="AC224" s="20"/>
      <c r="AD224" s="20"/>
      <c r="AE224" s="20"/>
      <c r="AF224" s="20"/>
      <c r="AG224" s="20"/>
      <c r="AH224" s="20"/>
      <c r="AI224" s="20"/>
      <c r="AJ224" s="20"/>
      <c r="AK224" s="20"/>
      <c r="AL224" s="20"/>
      <c r="AM224" s="20"/>
      <c r="AN224" s="20"/>
      <c r="AO224" s="20"/>
      <c r="AP224" s="20"/>
      <c r="AQ224" s="20"/>
      <c r="AR224" s="20"/>
      <c r="AS224" s="20"/>
      <c r="AT224" s="20"/>
      <c r="AU224" s="20"/>
      <c r="AV224" s="20"/>
      <c r="AW224" s="20"/>
      <c r="AX224" s="20"/>
      <c r="AY224" s="20"/>
      <c r="AZ224" s="20"/>
      <c r="BA224" s="20"/>
      <c r="BB224" s="20"/>
      <c r="BC224" s="20"/>
      <c r="BD224" s="20"/>
      <c r="BE224" s="20"/>
      <c r="BF224" s="20"/>
      <c r="BG224" s="20"/>
      <c r="BH224" s="20"/>
      <c r="BM224" s="20"/>
      <c r="BN224" s="20"/>
      <c r="BO224" s="20"/>
      <c r="BP224" s="20"/>
      <c r="BQ224" s="20"/>
      <c r="BR224" s="20"/>
      <c r="BS224" s="20"/>
      <c r="BT224" s="20"/>
      <c r="BU224" s="20"/>
      <c r="BV224" s="20"/>
      <c r="BW224" s="20"/>
      <c r="BX224" s="20"/>
      <c r="BY224" s="20"/>
      <c r="BZ224" s="20"/>
      <c r="CA224" s="20"/>
      <c r="CB224" s="20"/>
      <c r="CC224" s="20"/>
      <c r="CD224" s="20"/>
      <c r="CE224" s="20"/>
      <c r="CF224" s="20"/>
      <c r="CG224" s="20"/>
      <c r="CH224" s="20"/>
      <c r="CM224" s="20"/>
      <c r="CN224" s="20"/>
      <c r="CO224" s="20"/>
      <c r="CP224" s="20"/>
      <c r="CQ224" s="20"/>
      <c r="CR224" s="20"/>
      <c r="CS224" s="20"/>
      <c r="CT224" s="20"/>
      <c r="CY224" s="20"/>
      <c r="CZ224" s="20"/>
      <c r="DA224" s="20"/>
      <c r="DB224" s="20"/>
      <c r="DC224" s="20"/>
      <c r="DD224" s="20"/>
      <c r="DE224" s="20"/>
      <c r="DF224" s="20"/>
      <c r="DG224" s="20"/>
      <c r="DH224" s="20"/>
      <c r="DI224" s="20"/>
      <c r="DJ224" s="20"/>
      <c r="DK224" s="20"/>
      <c r="DL224" s="20"/>
      <c r="DM224" s="20"/>
      <c r="DN224" s="20"/>
      <c r="DO224" s="20"/>
      <c r="DP224" s="20"/>
      <c r="DQ224" s="20"/>
      <c r="DR224" s="20"/>
      <c r="DS224" s="20"/>
      <c r="DT224" s="20"/>
    </row>
    <row r="225" spans="1:124" x14ac:dyDescent="0.25">
      <c r="A225" s="24" t="s">
        <v>4232</v>
      </c>
      <c r="B225" s="24" t="s">
        <v>3968</v>
      </c>
      <c r="E225" s="20"/>
      <c r="F225" s="20"/>
      <c r="G225" s="20"/>
      <c r="H225" s="20"/>
      <c r="I225" s="20"/>
      <c r="J225" s="20"/>
      <c r="K225" s="20"/>
      <c r="L225" s="20"/>
      <c r="M225" s="20"/>
      <c r="N225" s="20"/>
      <c r="O225" s="20"/>
      <c r="P225" s="20"/>
      <c r="Q225" s="20"/>
      <c r="R225" s="20"/>
      <c r="S225" s="20"/>
      <c r="T225" s="20"/>
      <c r="U225" s="20"/>
      <c r="V225" s="20"/>
      <c r="W225" s="20"/>
      <c r="X225" s="20"/>
      <c r="Y225" s="20"/>
      <c r="Z225" s="20"/>
      <c r="AA225" s="20"/>
      <c r="AB225" s="20"/>
      <c r="AC225" s="20"/>
      <c r="AD225" s="20"/>
      <c r="AE225" s="20"/>
      <c r="AF225" s="20"/>
      <c r="AG225" s="20"/>
      <c r="AH225" s="20"/>
      <c r="AI225" s="20"/>
      <c r="AJ225" s="20"/>
      <c r="AK225" s="20"/>
      <c r="AL225" s="20"/>
      <c r="AM225" s="20"/>
      <c r="AN225" s="20"/>
      <c r="AO225" s="20"/>
      <c r="AP225" s="20"/>
      <c r="AQ225" s="20"/>
      <c r="AR225" s="20"/>
      <c r="AS225" s="20"/>
      <c r="AT225" s="20"/>
      <c r="AU225" s="20"/>
      <c r="AV225" s="20"/>
      <c r="AW225" s="20"/>
      <c r="AX225" s="20"/>
      <c r="AY225" s="20"/>
      <c r="AZ225" s="20"/>
      <c r="BA225" s="20"/>
      <c r="BB225" s="20"/>
      <c r="BC225" s="20"/>
      <c r="BD225" s="20"/>
      <c r="BE225" s="20"/>
      <c r="BF225" s="20"/>
      <c r="BG225" s="20"/>
      <c r="BH225" s="20"/>
      <c r="BM225" s="20"/>
      <c r="BN225" s="20"/>
      <c r="BO225" s="20"/>
      <c r="BP225" s="20"/>
      <c r="BQ225" s="20"/>
      <c r="BR225" s="20"/>
      <c r="BS225" s="20"/>
      <c r="BT225" s="20"/>
      <c r="BU225" s="20"/>
      <c r="BV225" s="20"/>
      <c r="BW225" s="20"/>
      <c r="BX225" s="20"/>
      <c r="BY225" s="20"/>
      <c r="BZ225" s="20"/>
      <c r="CA225" s="20"/>
      <c r="CB225" s="20"/>
      <c r="CC225" s="20"/>
      <c r="CD225" s="20"/>
      <c r="CE225" s="20"/>
      <c r="CF225" s="20"/>
      <c r="CG225" s="20"/>
      <c r="CH225" s="20"/>
      <c r="CM225" s="20"/>
      <c r="CN225" s="20"/>
      <c r="CO225" s="20"/>
      <c r="CP225" s="20"/>
      <c r="CQ225" s="20"/>
      <c r="CR225" s="20"/>
      <c r="CS225" s="20"/>
      <c r="CT225" s="20"/>
      <c r="CY225" s="20"/>
      <c r="CZ225" s="20"/>
      <c r="DA225" s="20"/>
      <c r="DB225" s="20"/>
      <c r="DC225" s="20"/>
      <c r="DD225" s="20"/>
      <c r="DE225" s="20"/>
      <c r="DF225" s="20"/>
      <c r="DG225" s="20"/>
      <c r="DH225" s="20"/>
      <c r="DI225" s="20"/>
      <c r="DJ225" s="20"/>
      <c r="DK225" s="20"/>
      <c r="DL225" s="20"/>
      <c r="DM225" s="20"/>
      <c r="DN225" s="20"/>
      <c r="DO225" s="20"/>
      <c r="DP225" s="20"/>
      <c r="DQ225" s="20"/>
      <c r="DR225" s="20"/>
      <c r="DS225" s="20"/>
      <c r="DT225" s="20"/>
    </row>
    <row r="226" spans="1:124" x14ac:dyDescent="0.25">
      <c r="A226" s="24" t="s">
        <v>4243</v>
      </c>
      <c r="B226" s="24" t="s">
        <v>3968</v>
      </c>
      <c r="E226" s="20"/>
      <c r="F226" s="20"/>
      <c r="G226" s="20"/>
      <c r="H226" s="20"/>
      <c r="I226" s="20"/>
      <c r="J226" s="20"/>
      <c r="K226" s="20"/>
      <c r="L226" s="20"/>
      <c r="M226" s="20"/>
      <c r="N226" s="20"/>
      <c r="O226" s="20"/>
      <c r="P226" s="20"/>
      <c r="Q226" s="20"/>
      <c r="R226" s="20"/>
      <c r="S226" s="20"/>
      <c r="T226" s="20"/>
      <c r="U226" s="20"/>
      <c r="V226" s="20"/>
      <c r="W226" s="20"/>
      <c r="X226" s="20"/>
      <c r="Y226" s="20"/>
      <c r="Z226" s="20"/>
      <c r="AA226" s="20"/>
      <c r="AB226" s="20"/>
      <c r="AC226" s="20"/>
      <c r="AD226" s="20"/>
      <c r="AE226" s="20"/>
      <c r="AF226" s="20"/>
      <c r="AG226" s="20"/>
      <c r="AH226" s="20"/>
      <c r="AI226" s="20"/>
      <c r="AJ226" s="20"/>
      <c r="AK226" s="20"/>
      <c r="AL226" s="20"/>
      <c r="AM226" s="20"/>
      <c r="AN226" s="20"/>
      <c r="AO226" s="20"/>
      <c r="AP226" s="20"/>
      <c r="AQ226" s="20"/>
      <c r="AR226" s="20"/>
      <c r="AS226" s="20"/>
      <c r="AT226" s="20"/>
      <c r="AU226" s="20"/>
      <c r="AV226" s="20"/>
      <c r="AW226" s="20"/>
      <c r="AX226" s="20"/>
      <c r="AY226" s="20"/>
      <c r="AZ226" s="20"/>
      <c r="BA226" s="20"/>
      <c r="BB226" s="20"/>
      <c r="BC226" s="20"/>
      <c r="BD226" s="20"/>
      <c r="BE226" s="20"/>
      <c r="BF226" s="20"/>
      <c r="BG226" s="20"/>
      <c r="BH226" s="20"/>
      <c r="BM226" s="20"/>
      <c r="BN226" s="20"/>
      <c r="BO226" s="20"/>
      <c r="BP226" s="20"/>
      <c r="BQ226" s="20"/>
      <c r="BR226" s="20"/>
      <c r="BS226" s="20"/>
      <c r="BT226" s="20"/>
      <c r="BU226" s="20"/>
      <c r="BV226" s="20"/>
      <c r="BW226" s="20"/>
      <c r="BX226" s="20"/>
      <c r="BY226" s="20"/>
      <c r="BZ226" s="20"/>
      <c r="CA226" s="20"/>
      <c r="CB226" s="20"/>
      <c r="CC226" s="20"/>
      <c r="CD226" s="20"/>
      <c r="CE226" s="20"/>
      <c r="CF226" s="20"/>
      <c r="CG226" s="20"/>
      <c r="CH226" s="20"/>
      <c r="CM226" s="20"/>
      <c r="CN226" s="20"/>
      <c r="CO226" s="20"/>
      <c r="CP226" s="20"/>
      <c r="CQ226" s="20"/>
      <c r="CR226" s="20"/>
      <c r="CS226" s="20"/>
      <c r="CT226" s="20"/>
      <c r="CY226" s="20"/>
      <c r="CZ226" s="20"/>
      <c r="DA226" s="20"/>
      <c r="DB226" s="20"/>
      <c r="DC226" s="20"/>
      <c r="DD226" s="20"/>
      <c r="DE226" s="20"/>
      <c r="DF226" s="20"/>
      <c r="DG226" s="20"/>
      <c r="DH226" s="20"/>
      <c r="DI226" s="20"/>
      <c r="DJ226" s="20"/>
      <c r="DK226" s="20"/>
      <c r="DL226" s="20"/>
      <c r="DM226" s="20"/>
      <c r="DN226" s="20"/>
      <c r="DO226" s="20"/>
      <c r="DP226" s="20"/>
      <c r="DQ226" s="20"/>
      <c r="DR226" s="20"/>
      <c r="DS226" s="20"/>
      <c r="DT226" s="20"/>
    </row>
    <row r="227" spans="1:124" x14ac:dyDescent="0.25">
      <c r="A227" s="24" t="s">
        <v>4255</v>
      </c>
      <c r="B227" s="24" t="s">
        <v>3968</v>
      </c>
      <c r="E227" s="20"/>
      <c r="F227" s="20"/>
      <c r="G227" s="20"/>
      <c r="H227" s="20"/>
      <c r="I227" s="20"/>
      <c r="J227" s="20"/>
      <c r="K227" s="20"/>
      <c r="L227" s="20"/>
      <c r="M227" s="20"/>
      <c r="N227" s="20"/>
      <c r="O227" s="20"/>
      <c r="P227" s="20"/>
      <c r="Q227" s="20"/>
      <c r="R227" s="20"/>
      <c r="S227" s="20"/>
      <c r="T227" s="20"/>
      <c r="U227" s="20"/>
      <c r="V227" s="20"/>
      <c r="W227" s="20"/>
      <c r="X227" s="20"/>
      <c r="Y227" s="20"/>
      <c r="Z227" s="20"/>
      <c r="AA227" s="20"/>
      <c r="AB227" s="20"/>
      <c r="AC227" s="20"/>
      <c r="AD227" s="20"/>
      <c r="AE227" s="20"/>
      <c r="AF227" s="20"/>
      <c r="AG227" s="20"/>
      <c r="AH227" s="20"/>
      <c r="AI227" s="20"/>
      <c r="AJ227" s="20"/>
      <c r="AK227" s="20"/>
      <c r="AL227" s="20"/>
      <c r="AM227" s="20"/>
      <c r="AN227" s="20"/>
      <c r="AO227" s="20"/>
      <c r="AP227" s="20"/>
      <c r="AQ227" s="20"/>
      <c r="AR227" s="20"/>
      <c r="AS227" s="20"/>
      <c r="AT227" s="20"/>
      <c r="AU227" s="20"/>
      <c r="AV227" s="20"/>
      <c r="AW227" s="20"/>
      <c r="AX227" s="20"/>
      <c r="AY227" s="20"/>
      <c r="AZ227" s="20"/>
      <c r="BA227" s="20"/>
      <c r="BB227" s="20"/>
      <c r="BC227" s="20"/>
      <c r="BD227" s="20"/>
      <c r="BE227" s="20"/>
      <c r="BF227" s="20"/>
      <c r="BG227" s="20"/>
      <c r="BH227" s="20"/>
      <c r="BM227" s="20"/>
      <c r="BN227" s="20"/>
      <c r="BO227" s="20"/>
      <c r="BP227" s="20"/>
      <c r="BQ227" s="20"/>
      <c r="BR227" s="20"/>
      <c r="BS227" s="20"/>
      <c r="BT227" s="20"/>
      <c r="BU227" s="20"/>
      <c r="BV227" s="20"/>
      <c r="BW227" s="20"/>
      <c r="BX227" s="20"/>
      <c r="BY227" s="20"/>
      <c r="BZ227" s="20"/>
      <c r="CA227" s="20"/>
      <c r="CB227" s="20"/>
      <c r="CC227" s="20"/>
      <c r="CD227" s="20"/>
      <c r="CE227" s="20"/>
      <c r="CF227" s="20"/>
      <c r="CG227" s="20"/>
      <c r="CH227" s="20"/>
      <c r="CM227" s="20"/>
      <c r="CN227" s="20"/>
      <c r="CO227" s="20"/>
      <c r="CP227" s="20"/>
      <c r="CQ227" s="20"/>
      <c r="CR227" s="20"/>
      <c r="CS227" s="20"/>
      <c r="CT227" s="20"/>
      <c r="CY227" s="20"/>
      <c r="CZ227" s="20"/>
      <c r="DA227" s="20"/>
      <c r="DB227" s="20"/>
      <c r="DC227" s="20"/>
      <c r="DD227" s="20"/>
      <c r="DE227" s="20"/>
      <c r="DF227" s="20"/>
      <c r="DG227" s="20"/>
      <c r="DH227" s="20"/>
      <c r="DI227" s="20"/>
      <c r="DJ227" s="20"/>
      <c r="DK227" s="20"/>
      <c r="DL227" s="20"/>
      <c r="DM227" s="20"/>
      <c r="DN227" s="20"/>
      <c r="DO227" s="20"/>
      <c r="DP227" s="20"/>
      <c r="DQ227" s="20"/>
      <c r="DR227" s="20"/>
      <c r="DS227" s="20"/>
      <c r="DT227" s="20"/>
    </row>
    <row r="228" spans="1:124" x14ac:dyDescent="0.25">
      <c r="A228" s="24">
        <v>-388756834</v>
      </c>
      <c r="B228" s="24" t="s">
        <v>3968</v>
      </c>
      <c r="E228" s="20"/>
      <c r="F228" s="20"/>
      <c r="G228" s="20"/>
      <c r="H228" s="20"/>
      <c r="I228" s="20"/>
      <c r="J228" s="20"/>
      <c r="K228" s="20"/>
      <c r="L228" s="20"/>
      <c r="M228" s="20"/>
      <c r="N228" s="20"/>
      <c r="O228" s="20"/>
      <c r="P228" s="20"/>
      <c r="Q228" s="20"/>
      <c r="R228" s="20"/>
      <c r="S228" s="20"/>
      <c r="T228" s="20"/>
      <c r="U228" s="20"/>
      <c r="V228" s="20"/>
      <c r="W228" s="20"/>
      <c r="X228" s="20"/>
      <c r="Y228" s="20"/>
      <c r="Z228" s="20"/>
      <c r="AA228" s="20"/>
      <c r="AB228" s="20"/>
      <c r="AC228" s="20"/>
      <c r="AD228" s="20"/>
      <c r="AE228" s="20"/>
      <c r="AF228" s="20"/>
      <c r="AG228" s="20"/>
      <c r="AH228" s="20"/>
      <c r="AI228" s="20"/>
      <c r="AJ228" s="20"/>
      <c r="AK228" s="20"/>
      <c r="AL228" s="20"/>
      <c r="AM228" s="20"/>
      <c r="AN228" s="20"/>
      <c r="AO228" s="20"/>
      <c r="AP228" s="20"/>
      <c r="AQ228" s="20"/>
      <c r="AR228" s="20"/>
      <c r="AS228" s="20"/>
      <c r="AT228" s="20"/>
      <c r="AU228" s="20"/>
      <c r="AV228" s="20"/>
      <c r="AW228" s="20"/>
      <c r="AX228" s="20"/>
      <c r="AY228" s="20"/>
      <c r="AZ228" s="20"/>
      <c r="BA228" s="20"/>
      <c r="BB228" s="20"/>
      <c r="BC228" s="20"/>
      <c r="BD228" s="20"/>
      <c r="BE228" s="20"/>
      <c r="BF228" s="20"/>
      <c r="BG228" s="20"/>
      <c r="BH228" s="20"/>
      <c r="BM228" s="20"/>
      <c r="BN228" s="20"/>
      <c r="BO228" s="20"/>
      <c r="BP228" s="20"/>
      <c r="BQ228" s="20"/>
      <c r="BR228" s="20"/>
      <c r="BS228" s="20"/>
      <c r="BT228" s="20"/>
      <c r="BU228" s="20"/>
      <c r="BV228" s="20"/>
      <c r="BW228" s="20"/>
      <c r="BX228" s="20"/>
      <c r="BY228" s="20"/>
      <c r="BZ228" s="20"/>
      <c r="CA228" s="20"/>
      <c r="CB228" s="20"/>
      <c r="CC228" s="20"/>
      <c r="CD228" s="20"/>
      <c r="CE228" s="20"/>
      <c r="CF228" s="20"/>
      <c r="CG228" s="20"/>
      <c r="CH228" s="20"/>
      <c r="CM228" s="20"/>
      <c r="CN228" s="20"/>
      <c r="CO228" s="20"/>
      <c r="CP228" s="20"/>
      <c r="CQ228" s="20"/>
      <c r="CR228" s="20"/>
      <c r="CS228" s="20"/>
      <c r="CT228" s="20"/>
      <c r="CY228" s="20"/>
      <c r="CZ228" s="20"/>
      <c r="DA228" s="20"/>
      <c r="DB228" s="20"/>
      <c r="DC228" s="20"/>
      <c r="DD228" s="20"/>
      <c r="DE228" s="20"/>
      <c r="DF228" s="20"/>
      <c r="DG228" s="20"/>
      <c r="DH228" s="20"/>
      <c r="DI228" s="20"/>
      <c r="DJ228" s="20"/>
      <c r="DK228" s="20"/>
      <c r="DL228" s="20"/>
      <c r="DM228" s="20"/>
      <c r="DN228" s="20"/>
      <c r="DO228" s="20"/>
      <c r="DP228" s="20"/>
      <c r="DQ228" s="20"/>
      <c r="DR228" s="20"/>
      <c r="DS228" s="20"/>
      <c r="DT228" s="20"/>
    </row>
    <row r="229" spans="1:124" x14ac:dyDescent="0.25">
      <c r="A229" s="24">
        <v>-12149505</v>
      </c>
      <c r="B229" s="24" t="s">
        <v>3968</v>
      </c>
      <c r="E229" s="20"/>
      <c r="F229" s="20"/>
      <c r="G229" s="20"/>
      <c r="H229" s="20"/>
      <c r="I229" s="20"/>
      <c r="J229" s="20"/>
      <c r="K229" s="20"/>
      <c r="L229" s="20"/>
      <c r="M229" s="20"/>
      <c r="N229" s="20"/>
      <c r="O229" s="20"/>
      <c r="P229" s="20"/>
      <c r="Q229" s="20"/>
      <c r="R229" s="20"/>
      <c r="S229" s="20"/>
      <c r="T229" s="20"/>
      <c r="U229" s="20"/>
      <c r="V229" s="20"/>
      <c r="W229" s="20"/>
      <c r="X229" s="20"/>
      <c r="Y229" s="20"/>
      <c r="Z229" s="20"/>
      <c r="AA229" s="20"/>
      <c r="AB229" s="20"/>
      <c r="AC229" s="20"/>
      <c r="AD229" s="20"/>
      <c r="AE229" s="20"/>
      <c r="AF229" s="20"/>
      <c r="AG229" s="20"/>
      <c r="AH229" s="20"/>
      <c r="AI229" s="20"/>
      <c r="AJ229" s="20"/>
      <c r="AK229" s="20"/>
      <c r="AL229" s="20"/>
      <c r="AM229" s="20"/>
      <c r="AN229" s="20"/>
      <c r="AO229" s="20"/>
      <c r="AP229" s="20"/>
      <c r="AQ229" s="20"/>
      <c r="AR229" s="20"/>
      <c r="AS229" s="20"/>
      <c r="AT229" s="20"/>
      <c r="AU229" s="20"/>
      <c r="AV229" s="20"/>
      <c r="AW229" s="20"/>
      <c r="AX229" s="20"/>
      <c r="AY229" s="20"/>
      <c r="AZ229" s="20"/>
      <c r="BA229" s="20"/>
      <c r="BB229" s="20"/>
      <c r="BC229" s="20"/>
      <c r="BD229" s="20"/>
      <c r="BE229" s="20"/>
      <c r="BF229" s="20"/>
      <c r="BG229" s="20"/>
      <c r="BH229" s="20"/>
      <c r="BM229" s="20"/>
      <c r="BN229" s="20"/>
      <c r="BO229" s="20"/>
      <c r="BP229" s="20"/>
      <c r="BQ229" s="20"/>
      <c r="BR229" s="20"/>
      <c r="BS229" s="20"/>
      <c r="BT229" s="20"/>
      <c r="BU229" s="20"/>
      <c r="BV229" s="20"/>
      <c r="BW229" s="20"/>
      <c r="BX229" s="20"/>
      <c r="BY229" s="20"/>
      <c r="BZ229" s="20"/>
      <c r="CA229" s="20"/>
      <c r="CB229" s="20"/>
      <c r="CC229" s="20"/>
      <c r="CD229" s="20"/>
      <c r="CE229" s="20"/>
      <c r="CF229" s="20"/>
      <c r="CG229" s="20"/>
      <c r="CH229" s="20"/>
      <c r="CM229" s="20"/>
      <c r="CN229" s="20"/>
      <c r="CO229" s="20"/>
      <c r="CP229" s="20"/>
      <c r="CQ229" s="20"/>
      <c r="CR229" s="20"/>
      <c r="CS229" s="20"/>
      <c r="CT229" s="20"/>
      <c r="CY229" s="20"/>
      <c r="CZ229" s="20"/>
      <c r="DA229" s="20"/>
      <c r="DB229" s="20"/>
      <c r="DC229" s="20"/>
      <c r="DD229" s="20"/>
      <c r="DE229" s="20"/>
      <c r="DF229" s="20"/>
      <c r="DG229" s="20"/>
      <c r="DH229" s="20"/>
      <c r="DI229" s="20"/>
      <c r="DJ229" s="20"/>
      <c r="DK229" s="20"/>
      <c r="DL229" s="20"/>
      <c r="DM229" s="20"/>
      <c r="DN229" s="20"/>
      <c r="DO229" s="20"/>
      <c r="DP229" s="20"/>
      <c r="DQ229" s="20"/>
      <c r="DR229" s="20"/>
      <c r="DS229" s="20"/>
      <c r="DT229" s="20"/>
    </row>
    <row r="230" spans="1:124" x14ac:dyDescent="0.25">
      <c r="A230" s="24" t="s">
        <v>4287</v>
      </c>
      <c r="B230" s="24" t="s">
        <v>3968</v>
      </c>
      <c r="E230" s="20"/>
      <c r="F230" s="20"/>
      <c r="G230" s="20"/>
      <c r="H230" s="20"/>
      <c r="I230" s="20"/>
      <c r="J230" s="20"/>
      <c r="K230" s="20"/>
      <c r="L230" s="20"/>
      <c r="M230" s="20"/>
      <c r="N230" s="20"/>
      <c r="O230" s="20"/>
      <c r="P230" s="20"/>
      <c r="Q230" s="20"/>
      <c r="R230" s="20"/>
      <c r="S230" s="20"/>
      <c r="T230" s="20"/>
      <c r="U230" s="20"/>
      <c r="V230" s="20"/>
      <c r="W230" s="20"/>
      <c r="X230" s="20"/>
      <c r="Y230" s="20"/>
      <c r="Z230" s="20"/>
      <c r="AA230" s="20"/>
      <c r="AB230" s="20"/>
      <c r="AC230" s="20"/>
      <c r="AD230" s="20"/>
      <c r="AE230" s="20"/>
      <c r="AF230" s="20"/>
      <c r="AG230" s="20"/>
      <c r="AH230" s="20"/>
      <c r="AI230" s="20"/>
      <c r="AJ230" s="20"/>
      <c r="AK230" s="20"/>
      <c r="AL230" s="20"/>
      <c r="AM230" s="20"/>
      <c r="AN230" s="20"/>
      <c r="AO230" s="20"/>
      <c r="AP230" s="20"/>
      <c r="AQ230" s="20"/>
      <c r="AR230" s="20"/>
      <c r="AS230" s="20"/>
      <c r="AT230" s="20"/>
      <c r="AU230" s="20"/>
      <c r="AV230" s="20"/>
      <c r="AW230" s="20"/>
      <c r="AX230" s="20"/>
      <c r="AY230" s="20"/>
      <c r="AZ230" s="20"/>
      <c r="BA230" s="20"/>
      <c r="BB230" s="20"/>
      <c r="BC230" s="20"/>
      <c r="BD230" s="20"/>
      <c r="BE230" s="20"/>
      <c r="BF230" s="20"/>
      <c r="BG230" s="20"/>
      <c r="BH230" s="20"/>
      <c r="BM230" s="20"/>
      <c r="BN230" s="20"/>
      <c r="BO230" s="20"/>
      <c r="BP230" s="20"/>
      <c r="BQ230" s="20"/>
      <c r="BR230" s="20"/>
      <c r="BS230" s="20"/>
      <c r="BT230" s="20"/>
      <c r="BU230" s="20"/>
      <c r="BV230" s="20"/>
      <c r="BW230" s="20"/>
      <c r="BX230" s="20"/>
      <c r="BY230" s="20"/>
      <c r="BZ230" s="20"/>
      <c r="CA230" s="20"/>
      <c r="CB230" s="20"/>
      <c r="CC230" s="20"/>
      <c r="CD230" s="20"/>
      <c r="CE230" s="20"/>
      <c r="CF230" s="20"/>
      <c r="CG230" s="20"/>
      <c r="CH230" s="20"/>
      <c r="CM230" s="20"/>
      <c r="CN230" s="20"/>
      <c r="CO230" s="20"/>
      <c r="CP230" s="20"/>
      <c r="CQ230" s="20"/>
      <c r="CR230" s="20"/>
      <c r="CS230" s="20"/>
      <c r="CT230" s="20"/>
      <c r="CY230" s="20"/>
      <c r="CZ230" s="20"/>
      <c r="DA230" s="20"/>
      <c r="DB230" s="20"/>
      <c r="DC230" s="20"/>
      <c r="DD230" s="20"/>
      <c r="DE230" s="20"/>
      <c r="DF230" s="20"/>
      <c r="DG230" s="20"/>
      <c r="DH230" s="20"/>
      <c r="DI230" s="20"/>
      <c r="DJ230" s="20"/>
      <c r="DK230" s="20"/>
      <c r="DL230" s="20"/>
      <c r="DM230" s="20"/>
      <c r="DN230" s="20"/>
      <c r="DO230" s="20"/>
      <c r="DP230" s="20"/>
      <c r="DQ230" s="20"/>
      <c r="DR230" s="20"/>
      <c r="DS230" s="20"/>
      <c r="DT230" s="20"/>
    </row>
    <row r="231" spans="1:124" x14ac:dyDescent="0.25">
      <c r="A231" s="24" t="s">
        <v>4301</v>
      </c>
      <c r="B231" s="24" t="s">
        <v>3968</v>
      </c>
      <c r="E231" s="20"/>
      <c r="F231" s="20"/>
      <c r="G231" s="20"/>
      <c r="H231" s="20"/>
      <c r="I231" s="20"/>
      <c r="J231" s="20"/>
      <c r="K231" s="20"/>
      <c r="L231" s="20"/>
      <c r="M231" s="20"/>
      <c r="N231" s="20"/>
      <c r="O231" s="20"/>
      <c r="P231" s="20"/>
      <c r="Q231" s="20"/>
      <c r="R231" s="20"/>
      <c r="S231" s="20"/>
      <c r="T231" s="20"/>
      <c r="U231" s="20"/>
      <c r="V231" s="20"/>
      <c r="W231" s="20"/>
      <c r="X231" s="20"/>
      <c r="Y231" s="20"/>
      <c r="Z231" s="20"/>
      <c r="AA231" s="20"/>
      <c r="AB231" s="20"/>
      <c r="AC231" s="20"/>
      <c r="AD231" s="20"/>
      <c r="AE231" s="20"/>
      <c r="AF231" s="20"/>
      <c r="AG231" s="20"/>
      <c r="AH231" s="20"/>
      <c r="AI231" s="20"/>
      <c r="AJ231" s="20"/>
      <c r="AK231" s="20"/>
      <c r="AL231" s="20"/>
      <c r="AM231" s="20"/>
      <c r="AN231" s="20"/>
      <c r="AO231" s="20"/>
      <c r="AP231" s="20"/>
      <c r="AQ231" s="20"/>
      <c r="AR231" s="20"/>
      <c r="AS231" s="20"/>
      <c r="AT231" s="20"/>
      <c r="AU231" s="20"/>
      <c r="AV231" s="20"/>
      <c r="AW231" s="20"/>
      <c r="AX231" s="20"/>
      <c r="AY231" s="20"/>
      <c r="AZ231" s="20"/>
      <c r="BA231" s="20"/>
      <c r="BB231" s="20"/>
      <c r="BC231" s="20"/>
      <c r="BD231" s="20"/>
      <c r="BE231" s="20"/>
      <c r="BF231" s="20"/>
      <c r="BG231" s="20"/>
      <c r="BH231" s="20"/>
      <c r="BM231" s="20"/>
      <c r="BN231" s="20"/>
      <c r="BO231" s="20"/>
      <c r="BP231" s="20"/>
      <c r="BQ231" s="20"/>
      <c r="BR231" s="20"/>
      <c r="BS231" s="20"/>
      <c r="BT231" s="20"/>
      <c r="BU231" s="20"/>
      <c r="BV231" s="20"/>
      <c r="BW231" s="20"/>
      <c r="BX231" s="20"/>
      <c r="BY231" s="20"/>
      <c r="BZ231" s="20"/>
      <c r="CA231" s="20"/>
      <c r="CB231" s="20"/>
      <c r="CC231" s="20"/>
      <c r="CD231" s="20"/>
      <c r="CE231" s="20"/>
      <c r="CF231" s="20"/>
      <c r="CG231" s="20"/>
      <c r="CH231" s="20"/>
      <c r="CM231" s="20"/>
      <c r="CN231" s="20"/>
      <c r="CO231" s="20"/>
      <c r="CP231" s="20"/>
      <c r="CQ231" s="20"/>
      <c r="CR231" s="20"/>
      <c r="CS231" s="20"/>
      <c r="CT231" s="20"/>
      <c r="CY231" s="20"/>
      <c r="CZ231" s="20"/>
      <c r="DA231" s="20"/>
      <c r="DB231" s="20"/>
      <c r="DC231" s="20"/>
      <c r="DD231" s="20"/>
      <c r="DE231" s="20"/>
      <c r="DF231" s="20"/>
      <c r="DG231" s="20"/>
      <c r="DH231" s="20"/>
      <c r="DI231" s="20"/>
      <c r="DJ231" s="20"/>
      <c r="DK231" s="20"/>
      <c r="DL231" s="20"/>
      <c r="DM231" s="20"/>
      <c r="DN231" s="20"/>
      <c r="DO231" s="20"/>
      <c r="DP231" s="20"/>
      <c r="DQ231" s="20"/>
      <c r="DR231" s="20"/>
      <c r="DS231" s="20"/>
      <c r="DT231" s="20"/>
    </row>
    <row r="232" spans="1:124" x14ac:dyDescent="0.25">
      <c r="A232" s="24" t="s">
        <v>4314</v>
      </c>
      <c r="B232" s="24" t="s">
        <v>3968</v>
      </c>
      <c r="E232" s="20"/>
      <c r="F232" s="20"/>
      <c r="G232" s="20"/>
      <c r="H232" s="20"/>
      <c r="I232" s="20"/>
      <c r="J232" s="20"/>
      <c r="K232" s="20"/>
      <c r="L232" s="20"/>
      <c r="M232" s="20"/>
      <c r="N232" s="20"/>
      <c r="O232" s="20"/>
      <c r="P232" s="20"/>
      <c r="Q232" s="20"/>
      <c r="R232" s="20"/>
      <c r="S232" s="20"/>
      <c r="T232" s="20"/>
      <c r="U232" s="20"/>
      <c r="V232" s="20"/>
      <c r="W232" s="20"/>
      <c r="X232" s="20"/>
      <c r="Y232" s="20"/>
      <c r="Z232" s="20"/>
      <c r="AA232" s="20"/>
      <c r="AB232" s="20"/>
      <c r="AC232" s="20"/>
      <c r="AD232" s="20"/>
      <c r="AE232" s="20"/>
      <c r="AF232" s="20"/>
      <c r="AG232" s="20"/>
      <c r="AH232" s="20"/>
      <c r="AI232" s="20"/>
      <c r="AJ232" s="20"/>
      <c r="AK232" s="20"/>
      <c r="AL232" s="20"/>
      <c r="AM232" s="20"/>
      <c r="AN232" s="20"/>
      <c r="AO232" s="20"/>
      <c r="AP232" s="20"/>
      <c r="AQ232" s="20"/>
      <c r="AR232" s="20"/>
      <c r="AS232" s="20"/>
      <c r="AT232" s="20"/>
      <c r="AU232" s="20"/>
      <c r="AV232" s="20"/>
      <c r="AW232" s="20"/>
      <c r="AX232" s="20"/>
      <c r="AY232" s="20"/>
      <c r="AZ232" s="20"/>
      <c r="BA232" s="20"/>
      <c r="BB232" s="20"/>
      <c r="BC232" s="20"/>
      <c r="BD232" s="20"/>
      <c r="BE232" s="20"/>
      <c r="BF232" s="20"/>
      <c r="BG232" s="20"/>
      <c r="BH232" s="20"/>
      <c r="BM232" s="20"/>
      <c r="BN232" s="20"/>
      <c r="BO232" s="20"/>
      <c r="BP232" s="20"/>
      <c r="BQ232" s="20"/>
      <c r="BR232" s="20"/>
      <c r="BS232" s="20"/>
      <c r="BT232" s="20"/>
      <c r="BU232" s="20"/>
      <c r="BV232" s="20"/>
      <c r="BW232" s="20"/>
      <c r="BX232" s="20"/>
      <c r="BY232" s="20"/>
      <c r="BZ232" s="20"/>
      <c r="CA232" s="20"/>
      <c r="CB232" s="20"/>
      <c r="CC232" s="20"/>
      <c r="CD232" s="20"/>
      <c r="CE232" s="20"/>
      <c r="CF232" s="20"/>
      <c r="CG232" s="20"/>
      <c r="CH232" s="20"/>
      <c r="CM232" s="20"/>
      <c r="CN232" s="20"/>
      <c r="CO232" s="20"/>
      <c r="CP232" s="20"/>
      <c r="CQ232" s="20"/>
      <c r="CR232" s="20"/>
      <c r="CS232" s="20"/>
      <c r="CT232" s="20"/>
      <c r="CY232" s="20"/>
      <c r="CZ232" s="20"/>
      <c r="DA232" s="20"/>
      <c r="DB232" s="20"/>
      <c r="DC232" s="20"/>
      <c r="DD232" s="20"/>
      <c r="DE232" s="20"/>
      <c r="DF232" s="20"/>
      <c r="DG232" s="20"/>
      <c r="DH232" s="20"/>
      <c r="DI232" s="20"/>
      <c r="DJ232" s="20"/>
      <c r="DK232" s="20"/>
      <c r="DL232" s="20"/>
      <c r="DM232" s="20"/>
      <c r="DN232" s="20"/>
      <c r="DO232" s="20"/>
      <c r="DP232" s="20"/>
      <c r="DQ232" s="20"/>
      <c r="DR232" s="20"/>
      <c r="DS232" s="20"/>
      <c r="DT232" s="20"/>
    </row>
    <row r="233" spans="1:124" x14ac:dyDescent="0.25">
      <c r="A233" s="24" t="s">
        <v>4213</v>
      </c>
      <c r="B233" s="24" t="s">
        <v>3968</v>
      </c>
      <c r="E233" s="20"/>
      <c r="F233" s="20"/>
      <c r="G233" s="20"/>
      <c r="H233" s="20"/>
      <c r="I233" s="20"/>
      <c r="J233" s="20"/>
      <c r="K233" s="20"/>
      <c r="L233" s="20"/>
      <c r="M233" s="20"/>
      <c r="N233" s="20"/>
      <c r="O233" s="20"/>
      <c r="P233" s="20"/>
      <c r="Q233" s="20"/>
      <c r="R233" s="20"/>
      <c r="S233" s="20"/>
      <c r="T233" s="20"/>
      <c r="U233" s="20"/>
      <c r="V233" s="20"/>
      <c r="W233" s="20"/>
      <c r="X233" s="20"/>
      <c r="Y233" s="20"/>
      <c r="Z233" s="20"/>
      <c r="AA233" s="20"/>
      <c r="AB233" s="20"/>
      <c r="AC233" s="20"/>
      <c r="AD233" s="20"/>
      <c r="AE233" s="20"/>
      <c r="AF233" s="20"/>
      <c r="AG233" s="20"/>
      <c r="AH233" s="20"/>
      <c r="AI233" s="20"/>
      <c r="AJ233" s="20"/>
      <c r="AK233" s="20"/>
      <c r="AL233" s="20"/>
      <c r="AM233" s="20"/>
      <c r="AN233" s="20"/>
      <c r="AO233" s="20"/>
      <c r="AP233" s="20"/>
      <c r="AQ233" s="20"/>
      <c r="AR233" s="20"/>
      <c r="AS233" s="20"/>
      <c r="AT233" s="20"/>
      <c r="AU233" s="20"/>
      <c r="AV233" s="20"/>
      <c r="AW233" s="20"/>
      <c r="AX233" s="20"/>
      <c r="AY233" s="20"/>
      <c r="AZ233" s="20"/>
      <c r="BA233" s="20"/>
      <c r="BB233" s="20"/>
      <c r="BC233" s="20"/>
      <c r="BD233" s="20"/>
      <c r="BE233" s="20"/>
      <c r="BF233" s="20"/>
      <c r="BG233" s="20"/>
      <c r="BH233" s="20"/>
      <c r="BM233" s="20"/>
      <c r="BN233" s="20"/>
      <c r="BO233" s="20"/>
      <c r="BP233" s="20"/>
      <c r="BQ233" s="20"/>
      <c r="BR233" s="20"/>
      <c r="BS233" s="20"/>
      <c r="BT233" s="20"/>
      <c r="BU233" s="20"/>
      <c r="BV233" s="20"/>
      <c r="BW233" s="20"/>
      <c r="BX233" s="20"/>
      <c r="BY233" s="20"/>
      <c r="BZ233" s="20"/>
      <c r="CA233" s="20"/>
      <c r="CB233" s="20"/>
      <c r="CC233" s="20"/>
      <c r="CD233" s="20"/>
      <c r="CE233" s="20"/>
      <c r="CF233" s="20"/>
      <c r="CG233" s="20"/>
      <c r="CH233" s="20"/>
      <c r="CM233" s="20"/>
      <c r="CN233" s="20"/>
      <c r="CO233" s="20"/>
      <c r="CP233" s="20"/>
      <c r="CQ233" s="20"/>
      <c r="CR233" s="20"/>
      <c r="CS233" s="20"/>
      <c r="CT233" s="20"/>
      <c r="CY233" s="20"/>
      <c r="CZ233" s="20"/>
      <c r="DA233" s="20"/>
      <c r="DB233" s="20"/>
      <c r="DC233" s="20"/>
      <c r="DD233" s="20"/>
      <c r="DE233" s="20"/>
      <c r="DF233" s="20"/>
      <c r="DG233" s="20"/>
      <c r="DH233" s="20"/>
      <c r="DI233" s="20"/>
      <c r="DJ233" s="20"/>
      <c r="DK233" s="20"/>
      <c r="DL233" s="20"/>
      <c r="DM233" s="20"/>
      <c r="DN233" s="20"/>
      <c r="DO233" s="20"/>
      <c r="DP233" s="20"/>
      <c r="DQ233" s="20"/>
      <c r="DR233" s="20"/>
      <c r="DS233" s="20"/>
      <c r="DT233" s="20"/>
    </row>
    <row r="234" spans="1:124" x14ac:dyDescent="0.25">
      <c r="A234" s="24" t="s">
        <v>4223</v>
      </c>
      <c r="B234" s="24" t="s">
        <v>3968</v>
      </c>
      <c r="E234" s="20"/>
      <c r="F234" s="20"/>
      <c r="G234" s="20"/>
      <c r="H234" s="20"/>
      <c r="I234" s="20"/>
      <c r="J234" s="20"/>
      <c r="K234" s="20"/>
      <c r="L234" s="20"/>
      <c r="M234" s="20"/>
      <c r="N234" s="20"/>
      <c r="O234" s="20"/>
      <c r="P234" s="20"/>
      <c r="Q234" s="20"/>
      <c r="R234" s="20"/>
      <c r="S234" s="20"/>
      <c r="T234" s="20"/>
      <c r="U234" s="20"/>
      <c r="V234" s="20"/>
      <c r="W234" s="20"/>
      <c r="X234" s="20"/>
      <c r="Y234" s="20"/>
      <c r="Z234" s="20"/>
      <c r="AA234" s="20"/>
      <c r="AB234" s="20"/>
      <c r="AC234" s="20"/>
      <c r="AD234" s="20"/>
      <c r="AE234" s="20"/>
      <c r="AF234" s="20"/>
      <c r="AG234" s="20"/>
      <c r="AH234" s="20"/>
      <c r="AI234" s="20"/>
      <c r="AJ234" s="20"/>
      <c r="AK234" s="20"/>
      <c r="AL234" s="20"/>
      <c r="AM234" s="20"/>
      <c r="AN234" s="20"/>
      <c r="AO234" s="20"/>
      <c r="AP234" s="20"/>
      <c r="AQ234" s="20"/>
      <c r="AR234" s="20"/>
      <c r="AS234" s="20"/>
      <c r="AT234" s="20"/>
      <c r="AU234" s="20"/>
      <c r="AV234" s="20"/>
      <c r="AW234" s="20"/>
      <c r="AX234" s="20"/>
      <c r="AY234" s="20"/>
      <c r="AZ234" s="20"/>
      <c r="BA234" s="20"/>
      <c r="BB234" s="20"/>
      <c r="BC234" s="20"/>
      <c r="BD234" s="20"/>
      <c r="BE234" s="20"/>
      <c r="BF234" s="20"/>
      <c r="BG234" s="20"/>
      <c r="BH234" s="20"/>
      <c r="BM234" s="20"/>
      <c r="BN234" s="20"/>
      <c r="BO234" s="20"/>
      <c r="BP234" s="20"/>
      <c r="BQ234" s="20"/>
      <c r="BR234" s="20"/>
      <c r="BS234" s="20"/>
      <c r="BT234" s="20"/>
      <c r="BU234" s="20"/>
      <c r="BV234" s="20"/>
      <c r="BW234" s="20"/>
      <c r="BX234" s="20"/>
      <c r="BY234" s="20"/>
      <c r="BZ234" s="20"/>
      <c r="CA234" s="20"/>
      <c r="CB234" s="20"/>
      <c r="CC234" s="20"/>
      <c r="CD234" s="20"/>
      <c r="CE234" s="20"/>
      <c r="CF234" s="20"/>
      <c r="CG234" s="20"/>
      <c r="CH234" s="20"/>
      <c r="CM234" s="20"/>
      <c r="CN234" s="20"/>
      <c r="CO234" s="20"/>
      <c r="CP234" s="20"/>
      <c r="CQ234" s="20"/>
      <c r="CR234" s="20"/>
      <c r="CS234" s="20"/>
      <c r="CT234" s="20"/>
      <c r="CY234" s="20"/>
      <c r="CZ234" s="20"/>
      <c r="DA234" s="20"/>
      <c r="DB234" s="20"/>
      <c r="DC234" s="20"/>
      <c r="DD234" s="20"/>
      <c r="DE234" s="20"/>
      <c r="DF234" s="20"/>
      <c r="DG234" s="20"/>
      <c r="DH234" s="20"/>
      <c r="DI234" s="20"/>
      <c r="DJ234" s="20"/>
      <c r="DK234" s="20"/>
      <c r="DL234" s="20"/>
      <c r="DM234" s="20"/>
      <c r="DN234" s="20"/>
      <c r="DO234" s="20"/>
      <c r="DP234" s="20"/>
      <c r="DQ234" s="20"/>
      <c r="DR234" s="20"/>
      <c r="DS234" s="20"/>
      <c r="DT234" s="20"/>
    </row>
    <row r="235" spans="1:124" x14ac:dyDescent="0.25">
      <c r="A235" s="24" t="s">
        <v>4233</v>
      </c>
      <c r="B235" s="24" t="s">
        <v>3968</v>
      </c>
      <c r="E235" s="20"/>
      <c r="F235" s="20"/>
      <c r="G235" s="20"/>
      <c r="H235" s="20"/>
      <c r="I235" s="20"/>
      <c r="J235" s="20"/>
      <c r="K235" s="20"/>
      <c r="L235" s="20"/>
      <c r="M235" s="20"/>
      <c r="N235" s="20"/>
      <c r="O235" s="20"/>
      <c r="P235" s="20"/>
      <c r="Q235" s="20"/>
      <c r="R235" s="20"/>
      <c r="S235" s="20"/>
      <c r="T235" s="20"/>
      <c r="U235" s="20"/>
      <c r="V235" s="20"/>
      <c r="W235" s="20"/>
      <c r="X235" s="20"/>
      <c r="Y235" s="20"/>
      <c r="Z235" s="20"/>
      <c r="AA235" s="20"/>
      <c r="AB235" s="20"/>
      <c r="AC235" s="20"/>
      <c r="AD235" s="20"/>
      <c r="AE235" s="20"/>
      <c r="AF235" s="20"/>
      <c r="AG235" s="20"/>
      <c r="AH235" s="20"/>
      <c r="AI235" s="20"/>
      <c r="AJ235" s="20"/>
      <c r="AK235" s="20"/>
      <c r="AL235" s="20"/>
      <c r="AM235" s="20"/>
      <c r="AN235" s="20"/>
      <c r="AO235" s="20"/>
      <c r="AP235" s="20"/>
      <c r="AQ235" s="20"/>
      <c r="AR235" s="20"/>
      <c r="AS235" s="20"/>
      <c r="AT235" s="20"/>
      <c r="AU235" s="20"/>
      <c r="AV235" s="20"/>
      <c r="AW235" s="20"/>
      <c r="AX235" s="20"/>
      <c r="AY235" s="20"/>
      <c r="AZ235" s="20"/>
      <c r="BA235" s="20"/>
      <c r="BB235" s="20"/>
      <c r="BC235" s="20"/>
      <c r="BD235" s="20"/>
      <c r="BE235" s="20"/>
      <c r="BF235" s="20"/>
      <c r="BG235" s="20"/>
      <c r="BH235" s="20"/>
      <c r="BM235" s="20"/>
      <c r="BN235" s="20"/>
      <c r="BO235" s="20"/>
      <c r="BP235" s="20"/>
      <c r="BQ235" s="20"/>
      <c r="BR235" s="20"/>
      <c r="BS235" s="20"/>
      <c r="BT235" s="20"/>
      <c r="BU235" s="20"/>
      <c r="BV235" s="20"/>
      <c r="BW235" s="20"/>
      <c r="BX235" s="20"/>
      <c r="BY235" s="20"/>
      <c r="BZ235" s="20"/>
      <c r="CA235" s="20"/>
      <c r="CB235" s="20"/>
      <c r="CC235" s="20"/>
      <c r="CD235" s="20"/>
      <c r="CE235" s="20"/>
      <c r="CF235" s="20"/>
      <c r="CG235" s="20"/>
      <c r="CH235" s="20"/>
      <c r="CM235" s="20"/>
      <c r="CN235" s="20"/>
      <c r="CO235" s="20"/>
      <c r="CP235" s="20"/>
      <c r="CQ235" s="20"/>
      <c r="CR235" s="20"/>
      <c r="CS235" s="20"/>
      <c r="CT235" s="20"/>
      <c r="CY235" s="20"/>
      <c r="CZ235" s="20"/>
      <c r="DA235" s="20"/>
      <c r="DB235" s="20"/>
      <c r="DC235" s="20"/>
      <c r="DD235" s="20"/>
      <c r="DE235" s="20"/>
      <c r="DF235" s="20"/>
      <c r="DG235" s="20"/>
      <c r="DH235" s="20"/>
      <c r="DI235" s="20"/>
      <c r="DJ235" s="20"/>
      <c r="DK235" s="20"/>
      <c r="DL235" s="20"/>
      <c r="DM235" s="20"/>
      <c r="DN235" s="20"/>
      <c r="DO235" s="20"/>
      <c r="DP235" s="20"/>
      <c r="DQ235" s="20"/>
      <c r="DR235" s="20"/>
      <c r="DS235" s="20"/>
      <c r="DT235" s="20"/>
    </row>
    <row r="236" spans="1:124" x14ac:dyDescent="0.25">
      <c r="A236" s="24" t="s">
        <v>4245</v>
      </c>
      <c r="B236" s="24" t="s">
        <v>3968</v>
      </c>
      <c r="E236" s="20"/>
      <c r="F236" s="20"/>
      <c r="G236" s="20"/>
      <c r="H236" s="20"/>
      <c r="I236" s="20"/>
      <c r="J236" s="20"/>
      <c r="K236" s="20"/>
      <c r="L236" s="20"/>
      <c r="M236" s="20"/>
      <c r="N236" s="20"/>
      <c r="O236" s="20"/>
      <c r="P236" s="20"/>
      <c r="Q236" s="20"/>
      <c r="R236" s="20"/>
      <c r="S236" s="20"/>
      <c r="T236" s="20"/>
      <c r="U236" s="20"/>
      <c r="V236" s="20"/>
      <c r="W236" s="20"/>
      <c r="X236" s="20"/>
      <c r="Y236" s="20"/>
      <c r="Z236" s="20"/>
      <c r="AA236" s="20"/>
      <c r="AB236" s="20"/>
      <c r="AC236" s="20"/>
      <c r="AD236" s="20"/>
      <c r="AE236" s="20"/>
      <c r="AF236" s="20"/>
      <c r="AG236" s="20"/>
      <c r="AH236" s="20"/>
      <c r="AI236" s="20"/>
      <c r="AJ236" s="20"/>
      <c r="AK236" s="20"/>
      <c r="AL236" s="20"/>
      <c r="AM236" s="20"/>
      <c r="AN236" s="20"/>
      <c r="AO236" s="20"/>
      <c r="AP236" s="20"/>
      <c r="AQ236" s="20"/>
      <c r="AR236" s="20"/>
      <c r="AS236" s="20"/>
      <c r="AT236" s="20"/>
      <c r="AU236" s="20"/>
      <c r="AV236" s="20"/>
      <c r="AW236" s="20"/>
      <c r="AX236" s="20"/>
      <c r="AY236" s="20"/>
      <c r="AZ236" s="20"/>
      <c r="BA236" s="20"/>
      <c r="BB236" s="20"/>
      <c r="BC236" s="20"/>
      <c r="BD236" s="20"/>
      <c r="BE236" s="20"/>
      <c r="BF236" s="20"/>
      <c r="BG236" s="20"/>
      <c r="BH236" s="20"/>
      <c r="BI236" s="20"/>
      <c r="BJ236" s="20"/>
      <c r="BM236" s="20"/>
      <c r="BN236" s="20"/>
      <c r="BO236" s="20"/>
      <c r="BP236" s="20"/>
      <c r="BQ236" s="20"/>
      <c r="BR236" s="20"/>
      <c r="BS236" s="20"/>
      <c r="BT236" s="20"/>
      <c r="BU236" s="20"/>
      <c r="BV236" s="20"/>
      <c r="BW236" s="20"/>
      <c r="BX236" s="20"/>
      <c r="BY236" s="20"/>
      <c r="BZ236" s="20"/>
      <c r="CA236" s="20"/>
      <c r="CB236" s="20"/>
      <c r="CC236" s="20"/>
      <c r="CD236" s="20"/>
      <c r="CE236" s="20"/>
      <c r="CF236" s="20"/>
      <c r="CG236" s="20"/>
      <c r="CH236" s="20"/>
      <c r="CM236" s="20"/>
      <c r="CN236" s="20"/>
      <c r="CO236" s="20"/>
      <c r="CP236" s="20"/>
      <c r="CQ236" s="20"/>
      <c r="CR236" s="20"/>
      <c r="CS236" s="20"/>
      <c r="CT236" s="20"/>
      <c r="CY236" s="20"/>
      <c r="CZ236" s="20"/>
      <c r="DA236" s="20"/>
      <c r="DB236" s="20"/>
      <c r="DC236" s="20"/>
      <c r="DD236" s="20"/>
      <c r="DE236" s="20"/>
      <c r="DF236" s="20"/>
      <c r="DG236" s="20"/>
      <c r="DH236" s="20"/>
      <c r="DI236" s="20"/>
      <c r="DJ236" s="20"/>
      <c r="DK236" s="20"/>
      <c r="DL236" s="20"/>
      <c r="DM236" s="20"/>
      <c r="DN236" s="20"/>
      <c r="DO236" s="20"/>
      <c r="DP236" s="20"/>
      <c r="DQ236" s="20"/>
      <c r="DR236" s="20"/>
      <c r="DS236" s="20"/>
      <c r="DT236" s="20"/>
    </row>
    <row r="237" spans="1:124" x14ac:dyDescent="0.25">
      <c r="A237" s="24" t="s">
        <v>4256</v>
      </c>
      <c r="B237" s="24" t="s">
        <v>3968</v>
      </c>
      <c r="E237" s="20"/>
      <c r="F237" s="20"/>
      <c r="G237" s="20"/>
      <c r="H237" s="20"/>
      <c r="I237" s="20"/>
      <c r="J237" s="20"/>
      <c r="K237" s="20"/>
      <c r="L237" s="20"/>
      <c r="M237" s="20"/>
      <c r="N237" s="20"/>
      <c r="O237" s="20"/>
      <c r="P237" s="20"/>
      <c r="Q237" s="20"/>
      <c r="R237" s="20"/>
      <c r="S237" s="20"/>
      <c r="T237" s="20"/>
      <c r="U237" s="20"/>
      <c r="V237" s="20"/>
      <c r="W237" s="20"/>
      <c r="X237" s="20"/>
      <c r="Y237" s="20"/>
      <c r="Z237" s="20"/>
      <c r="AA237" s="20"/>
      <c r="AB237" s="20"/>
      <c r="AC237" s="20"/>
      <c r="AD237" s="20"/>
      <c r="AE237" s="20"/>
      <c r="AF237" s="20"/>
      <c r="AG237" s="20"/>
      <c r="AH237" s="20"/>
      <c r="AI237" s="20"/>
      <c r="AJ237" s="20"/>
      <c r="AK237" s="20"/>
      <c r="AL237" s="20"/>
      <c r="AM237" s="20"/>
      <c r="AN237" s="20"/>
      <c r="AO237" s="20"/>
      <c r="AP237" s="20"/>
      <c r="AQ237" s="20"/>
      <c r="AR237" s="20"/>
      <c r="AS237" s="20"/>
      <c r="AT237" s="20"/>
      <c r="AU237" s="20"/>
      <c r="AV237" s="20"/>
      <c r="AW237" s="20"/>
      <c r="AX237" s="20"/>
      <c r="AY237" s="20"/>
      <c r="AZ237" s="20"/>
      <c r="BA237" s="20"/>
      <c r="BB237" s="20"/>
      <c r="BC237" s="20"/>
      <c r="BD237" s="20"/>
      <c r="BE237" s="20"/>
      <c r="BF237" s="20"/>
      <c r="BG237" s="20"/>
      <c r="BH237" s="20"/>
      <c r="BI237" s="20"/>
      <c r="BJ237" s="20"/>
      <c r="BK237" s="20"/>
      <c r="BL237" s="20"/>
      <c r="BM237" s="20"/>
      <c r="BN237" s="20"/>
      <c r="BO237" s="20"/>
      <c r="BP237" s="20"/>
      <c r="BQ237" s="20"/>
      <c r="BR237" s="20"/>
      <c r="BS237" s="20"/>
      <c r="BT237" s="20"/>
      <c r="BU237" s="20"/>
      <c r="BV237" s="20"/>
      <c r="BW237" s="20"/>
      <c r="BX237" s="20"/>
      <c r="BY237" s="20"/>
      <c r="BZ237" s="20"/>
      <c r="CA237" s="20"/>
      <c r="CB237" s="20"/>
      <c r="CC237" s="20"/>
      <c r="CD237" s="20"/>
      <c r="CE237" s="20"/>
      <c r="CF237" s="20"/>
      <c r="CG237" s="20"/>
      <c r="CH237" s="20"/>
      <c r="CM237" s="20"/>
      <c r="CN237" s="20"/>
      <c r="CO237" s="20"/>
      <c r="CP237" s="20"/>
      <c r="CQ237" s="20"/>
      <c r="CR237" s="20"/>
      <c r="CS237" s="20"/>
      <c r="CT237" s="20"/>
      <c r="CY237" s="20"/>
      <c r="CZ237" s="20"/>
      <c r="DA237" s="20"/>
      <c r="DB237" s="20"/>
      <c r="DC237" s="20"/>
      <c r="DD237" s="20"/>
      <c r="DE237" s="20"/>
      <c r="DF237" s="20"/>
      <c r="DG237" s="20"/>
      <c r="DH237" s="20"/>
      <c r="DI237" s="20"/>
      <c r="DJ237" s="20"/>
      <c r="DK237" s="20"/>
      <c r="DL237" s="20"/>
      <c r="DM237" s="20"/>
      <c r="DN237" s="20"/>
      <c r="DO237" s="20"/>
      <c r="DP237" s="20"/>
      <c r="DQ237" s="20"/>
      <c r="DR237" s="20"/>
      <c r="DS237" s="20"/>
      <c r="DT237" s="20"/>
    </row>
    <row r="238" spans="1:124" x14ac:dyDescent="0.25">
      <c r="A238" s="24">
        <v>-424824621</v>
      </c>
      <c r="B238" s="24" t="s">
        <v>3968</v>
      </c>
      <c r="E238" s="20"/>
      <c r="F238" s="20"/>
      <c r="G238" s="20"/>
      <c r="H238" s="20"/>
      <c r="I238" s="20"/>
      <c r="J238" s="20"/>
      <c r="K238" s="20"/>
      <c r="L238" s="20"/>
      <c r="M238" s="20"/>
      <c r="N238" s="20"/>
      <c r="O238" s="20"/>
      <c r="P238" s="20"/>
      <c r="Q238" s="20"/>
      <c r="R238" s="20"/>
      <c r="S238" s="20"/>
      <c r="T238" s="20"/>
      <c r="U238" s="20"/>
      <c r="V238" s="20"/>
      <c r="W238" s="20"/>
      <c r="X238" s="20"/>
      <c r="Y238" s="20"/>
      <c r="Z238" s="20"/>
      <c r="AA238" s="20"/>
      <c r="AB238" s="20"/>
      <c r="AC238" s="20"/>
      <c r="AD238" s="20"/>
      <c r="AE238" s="20"/>
      <c r="AF238" s="20"/>
      <c r="AG238" s="20"/>
      <c r="AH238" s="20"/>
      <c r="AI238" s="20"/>
      <c r="AJ238" s="20"/>
      <c r="AK238" s="20"/>
      <c r="AL238" s="20"/>
      <c r="AM238" s="20"/>
      <c r="AN238" s="20"/>
      <c r="AO238" s="20"/>
      <c r="AP238" s="20"/>
      <c r="AQ238" s="20"/>
      <c r="AR238" s="20"/>
      <c r="AS238" s="20"/>
      <c r="AT238" s="20"/>
      <c r="AU238" s="20"/>
      <c r="AV238" s="20"/>
      <c r="AW238" s="20"/>
      <c r="AX238" s="20"/>
      <c r="AY238" s="20"/>
      <c r="AZ238" s="20"/>
      <c r="BA238" s="20"/>
      <c r="BB238" s="20"/>
      <c r="BC238" s="20"/>
      <c r="BD238" s="20"/>
      <c r="BE238" s="20"/>
      <c r="BF238" s="20"/>
      <c r="BG238" s="20"/>
      <c r="BH238" s="20"/>
      <c r="BI238" s="20"/>
      <c r="BJ238" s="20"/>
      <c r="BK238" s="20"/>
      <c r="BL238" s="20"/>
      <c r="BM238" s="20"/>
      <c r="BN238" s="20"/>
      <c r="BO238" s="20"/>
      <c r="BP238" s="20"/>
      <c r="BQ238" s="20"/>
      <c r="BR238" s="20"/>
      <c r="BS238" s="20"/>
      <c r="BT238" s="20"/>
      <c r="BU238" s="20"/>
      <c r="BV238" s="20"/>
      <c r="BW238" s="20"/>
      <c r="BX238" s="20"/>
      <c r="BY238" s="20"/>
      <c r="BZ238" s="20"/>
      <c r="CA238" s="20"/>
      <c r="CB238" s="20"/>
      <c r="CC238" s="20"/>
      <c r="CD238" s="20"/>
      <c r="CE238" s="20"/>
      <c r="CF238" s="20"/>
      <c r="CG238" s="20"/>
      <c r="CH238" s="20"/>
      <c r="CM238" s="20"/>
      <c r="CN238" s="20"/>
      <c r="CO238" s="20"/>
      <c r="CP238" s="20"/>
      <c r="CQ238" s="20"/>
      <c r="CR238" s="20"/>
      <c r="CS238" s="20"/>
      <c r="CT238" s="20"/>
      <c r="CY238" s="20"/>
      <c r="CZ238" s="20"/>
      <c r="DA238" s="20"/>
      <c r="DB238" s="20"/>
      <c r="DC238" s="20"/>
      <c r="DD238" s="20"/>
      <c r="DE238" s="20"/>
      <c r="DF238" s="20"/>
      <c r="DG238" s="20"/>
      <c r="DH238" s="20"/>
      <c r="DI238" s="20"/>
      <c r="DJ238" s="20"/>
      <c r="DK238" s="20"/>
      <c r="DL238" s="20"/>
      <c r="DM238" s="20"/>
      <c r="DN238" s="20"/>
      <c r="DO238" s="20"/>
      <c r="DP238" s="20"/>
      <c r="DQ238" s="20"/>
      <c r="DR238" s="20"/>
      <c r="DS238" s="20"/>
      <c r="DT238" s="20"/>
    </row>
    <row r="239" spans="1:124" x14ac:dyDescent="0.25">
      <c r="A239" s="24">
        <v>-423956981</v>
      </c>
      <c r="B239" s="24" t="s">
        <v>3968</v>
      </c>
      <c r="E239" s="20"/>
      <c r="F239" s="20"/>
      <c r="G239" s="20"/>
      <c r="H239" s="20"/>
      <c r="I239" s="20"/>
      <c r="J239" s="20"/>
      <c r="K239" s="20"/>
      <c r="L239" s="20"/>
      <c r="M239" s="20"/>
      <c r="N239" s="20"/>
      <c r="O239" s="20"/>
      <c r="P239" s="20"/>
      <c r="Q239" s="20"/>
      <c r="R239" s="20"/>
      <c r="S239" s="20"/>
      <c r="T239" s="20"/>
      <c r="U239" s="20"/>
      <c r="V239" s="20"/>
      <c r="W239" s="20"/>
      <c r="X239" s="20"/>
      <c r="Y239" s="20"/>
      <c r="Z239" s="20"/>
      <c r="AA239" s="20"/>
      <c r="AB239" s="20"/>
      <c r="AC239" s="20"/>
      <c r="AD239" s="20"/>
      <c r="AE239" s="20"/>
      <c r="AF239" s="20"/>
      <c r="AG239" s="20"/>
      <c r="AH239" s="20"/>
      <c r="AI239" s="20"/>
      <c r="AJ239" s="20"/>
      <c r="AK239" s="20"/>
      <c r="AL239" s="20"/>
      <c r="AM239" s="20"/>
      <c r="AN239" s="20"/>
      <c r="AO239" s="20"/>
      <c r="AP239" s="20"/>
      <c r="AQ239" s="20"/>
      <c r="AR239" s="20"/>
      <c r="AS239" s="20"/>
      <c r="AT239" s="20"/>
      <c r="AU239" s="20"/>
      <c r="AV239" s="20"/>
      <c r="AW239" s="20"/>
      <c r="AX239" s="20"/>
      <c r="AY239" s="20"/>
      <c r="AZ239" s="20"/>
      <c r="BA239" s="20"/>
      <c r="BB239" s="20"/>
      <c r="BC239" s="20"/>
      <c r="BD239" s="20"/>
      <c r="BE239" s="20"/>
      <c r="BF239" s="20"/>
      <c r="BG239" s="20"/>
      <c r="BH239" s="20"/>
      <c r="BI239" s="20"/>
      <c r="BJ239" s="20"/>
      <c r="BK239" s="20"/>
      <c r="BL239" s="20"/>
      <c r="BM239" s="20"/>
      <c r="BN239" s="20"/>
      <c r="BO239" s="20"/>
      <c r="BP239" s="20"/>
      <c r="BQ239" s="20"/>
      <c r="BR239" s="20"/>
      <c r="BS239" s="20"/>
      <c r="BT239" s="20"/>
      <c r="BU239" s="20"/>
      <c r="BV239" s="20"/>
      <c r="BW239" s="20"/>
      <c r="BX239" s="20"/>
      <c r="BY239" s="20"/>
      <c r="BZ239" s="20"/>
      <c r="CA239" s="20"/>
      <c r="CB239" s="20"/>
      <c r="CC239" s="20"/>
      <c r="CD239" s="20"/>
      <c r="CE239" s="20"/>
      <c r="CF239" s="20"/>
      <c r="CG239" s="20"/>
      <c r="CH239" s="20"/>
      <c r="CM239" s="20"/>
      <c r="CN239" s="20"/>
      <c r="CO239" s="20"/>
      <c r="CP239" s="20"/>
      <c r="CQ239" s="20"/>
      <c r="CR239" s="20"/>
      <c r="CS239" s="20"/>
      <c r="CT239" s="20"/>
      <c r="CY239" s="20"/>
      <c r="CZ239" s="20"/>
      <c r="DA239" s="20"/>
      <c r="DB239" s="20"/>
      <c r="DC239" s="20"/>
      <c r="DD239" s="20"/>
      <c r="DE239" s="20"/>
      <c r="DF239" s="20"/>
      <c r="DG239" s="20"/>
      <c r="DH239" s="20"/>
      <c r="DI239" s="20"/>
      <c r="DJ239" s="20"/>
      <c r="DK239" s="20"/>
      <c r="DL239" s="20"/>
      <c r="DM239" s="20"/>
      <c r="DN239" s="20"/>
      <c r="DO239" s="20"/>
      <c r="DP239" s="20"/>
      <c r="DQ239" s="20"/>
      <c r="DR239" s="20"/>
      <c r="DS239" s="20"/>
      <c r="DT239" s="20"/>
    </row>
    <row r="240" spans="1:124" x14ac:dyDescent="0.25">
      <c r="A240" s="24" t="s">
        <v>4288</v>
      </c>
      <c r="B240" s="24" t="s">
        <v>3968</v>
      </c>
      <c r="E240" s="20"/>
      <c r="F240" s="20"/>
      <c r="G240" s="20"/>
      <c r="H240" s="20"/>
      <c r="I240" s="20"/>
      <c r="J240" s="20"/>
      <c r="K240" s="20"/>
      <c r="L240" s="20"/>
      <c r="M240" s="20"/>
      <c r="N240" s="20"/>
      <c r="O240" s="20"/>
      <c r="P240" s="20"/>
      <c r="Q240" s="20"/>
      <c r="R240" s="20"/>
      <c r="S240" s="20"/>
      <c r="T240" s="20"/>
      <c r="U240" s="20"/>
      <c r="V240" s="20"/>
      <c r="W240" s="20"/>
      <c r="X240" s="20"/>
      <c r="Y240" s="20"/>
      <c r="Z240" s="20"/>
      <c r="AA240" s="20"/>
      <c r="AB240" s="20"/>
      <c r="AC240" s="20"/>
      <c r="AD240" s="20"/>
      <c r="AE240" s="20"/>
      <c r="AF240" s="20"/>
      <c r="AG240" s="20"/>
      <c r="AH240" s="20"/>
      <c r="AI240" s="20"/>
      <c r="AJ240" s="20"/>
      <c r="AK240" s="20"/>
      <c r="AL240" s="20"/>
      <c r="AM240" s="20"/>
      <c r="AN240" s="20"/>
      <c r="AO240" s="20"/>
      <c r="AP240" s="20"/>
      <c r="AQ240" s="20"/>
      <c r="AR240" s="20"/>
      <c r="AS240" s="20"/>
      <c r="AT240" s="20"/>
      <c r="AU240" s="20"/>
      <c r="AV240" s="20"/>
      <c r="AW240" s="20"/>
      <c r="AX240" s="20"/>
      <c r="AY240" s="20"/>
      <c r="AZ240" s="20"/>
      <c r="BA240" s="20"/>
      <c r="BB240" s="20"/>
      <c r="BC240" s="20"/>
      <c r="BD240" s="20"/>
      <c r="BE240" s="20"/>
      <c r="BF240" s="20"/>
      <c r="BG240" s="20"/>
      <c r="BH240" s="20"/>
      <c r="BI240" s="20"/>
      <c r="BJ240" s="20"/>
      <c r="BK240" s="20"/>
      <c r="BL240" s="20"/>
      <c r="BM240" s="20"/>
      <c r="BN240" s="20"/>
      <c r="BO240" s="20"/>
      <c r="BP240" s="20"/>
      <c r="BQ240" s="20"/>
      <c r="BR240" s="20"/>
      <c r="BS240" s="20"/>
      <c r="BT240" s="20"/>
      <c r="BU240" s="20"/>
      <c r="BV240" s="20"/>
      <c r="BW240" s="20"/>
      <c r="BX240" s="20"/>
      <c r="BY240" s="20"/>
      <c r="BZ240" s="20"/>
      <c r="CA240" s="20"/>
      <c r="CB240" s="20"/>
      <c r="CC240" s="20"/>
      <c r="CD240" s="20"/>
      <c r="CE240" s="20"/>
      <c r="CF240" s="20"/>
      <c r="CG240" s="20"/>
      <c r="CH240" s="20"/>
      <c r="CM240" s="20"/>
      <c r="CN240" s="20"/>
      <c r="CO240" s="20"/>
      <c r="CP240" s="20"/>
      <c r="CQ240" s="20"/>
      <c r="CR240" s="20"/>
      <c r="CS240" s="20"/>
      <c r="CT240" s="20"/>
      <c r="CY240" s="20"/>
      <c r="CZ240" s="20"/>
      <c r="DA240" s="20"/>
      <c r="DB240" s="20"/>
      <c r="DC240" s="20"/>
      <c r="DD240" s="20"/>
      <c r="DE240" s="20"/>
      <c r="DF240" s="20"/>
      <c r="DG240" s="20"/>
      <c r="DH240" s="20"/>
      <c r="DI240" s="20"/>
      <c r="DJ240" s="20"/>
      <c r="DK240" s="20"/>
      <c r="DL240" s="20"/>
      <c r="DM240" s="20"/>
      <c r="DN240" s="20"/>
      <c r="DO240" s="20"/>
      <c r="DP240" s="20"/>
      <c r="DQ240" s="20"/>
      <c r="DR240" s="20"/>
      <c r="DS240" s="20"/>
      <c r="DT240" s="20"/>
    </row>
    <row r="241" spans="1:124" x14ac:dyDescent="0.25">
      <c r="A241" s="24" t="s">
        <v>4302</v>
      </c>
      <c r="B241" s="24" t="s">
        <v>3968</v>
      </c>
      <c r="E241" s="20"/>
      <c r="F241" s="20"/>
      <c r="G241" s="20"/>
      <c r="H241" s="20"/>
      <c r="I241" s="20"/>
      <c r="J241" s="20"/>
      <c r="K241" s="20"/>
      <c r="L241" s="20"/>
      <c r="M241" s="20"/>
      <c r="N241" s="20"/>
      <c r="O241" s="20"/>
      <c r="P241" s="20"/>
      <c r="Q241" s="20"/>
      <c r="R241" s="20"/>
      <c r="S241" s="20"/>
      <c r="T241" s="20"/>
      <c r="U241" s="20"/>
      <c r="V241" s="20"/>
      <c r="W241" s="20"/>
      <c r="X241" s="20"/>
      <c r="Y241" s="20"/>
      <c r="Z241" s="20"/>
      <c r="AA241" s="20"/>
      <c r="AB241" s="20"/>
      <c r="AC241" s="20"/>
      <c r="AD241" s="20"/>
      <c r="AE241" s="20"/>
      <c r="AF241" s="20"/>
      <c r="AG241" s="20"/>
      <c r="AH241" s="20"/>
      <c r="AI241" s="20"/>
      <c r="AJ241" s="20"/>
      <c r="AK241" s="20"/>
      <c r="AL241" s="20"/>
      <c r="AM241" s="20"/>
      <c r="AN241" s="20"/>
      <c r="AO241" s="20"/>
      <c r="AP241" s="20"/>
      <c r="AQ241" s="20"/>
      <c r="AR241" s="20"/>
      <c r="AS241" s="20"/>
      <c r="AT241" s="20"/>
      <c r="AU241" s="20"/>
      <c r="AV241" s="20"/>
      <c r="AW241" s="20"/>
      <c r="AX241" s="20"/>
      <c r="AY241" s="20"/>
      <c r="AZ241" s="20"/>
      <c r="BA241" s="20"/>
      <c r="BB241" s="20"/>
      <c r="BC241" s="20"/>
      <c r="BD241" s="20"/>
      <c r="BE241" s="20"/>
      <c r="BF241" s="20"/>
      <c r="BG241" s="20"/>
      <c r="BH241" s="20"/>
      <c r="BI241" s="20"/>
      <c r="BJ241" s="20"/>
      <c r="BK241" s="20"/>
      <c r="BL241" s="20"/>
      <c r="BM241" s="20"/>
      <c r="BN241" s="20"/>
      <c r="BO241" s="20"/>
      <c r="BP241" s="20"/>
      <c r="BQ241" s="20"/>
      <c r="BR241" s="20"/>
      <c r="BS241" s="20"/>
      <c r="BT241" s="20"/>
      <c r="BU241" s="20"/>
      <c r="BV241" s="20"/>
      <c r="BW241" s="20"/>
      <c r="BX241" s="20"/>
      <c r="BY241" s="20"/>
      <c r="BZ241" s="20"/>
      <c r="CA241" s="20"/>
      <c r="CB241" s="20"/>
      <c r="CC241" s="20"/>
      <c r="CD241" s="20"/>
      <c r="CE241" s="20"/>
      <c r="CF241" s="20"/>
      <c r="CG241" s="20"/>
      <c r="CH241" s="20"/>
      <c r="CM241" s="20"/>
      <c r="CN241" s="20"/>
      <c r="CO241" s="20"/>
      <c r="CP241" s="20"/>
      <c r="CQ241" s="20"/>
      <c r="CR241" s="20"/>
      <c r="CS241" s="20"/>
      <c r="CT241" s="20"/>
      <c r="CY241" s="20"/>
      <c r="CZ241" s="20"/>
      <c r="DA241" s="20"/>
      <c r="DB241" s="20"/>
      <c r="DC241" s="20"/>
      <c r="DD241" s="20"/>
      <c r="DE241" s="20"/>
      <c r="DF241" s="20"/>
      <c r="DG241" s="20"/>
      <c r="DH241" s="20"/>
      <c r="DI241" s="20"/>
      <c r="DJ241" s="20"/>
      <c r="DK241" s="20"/>
      <c r="DL241" s="20"/>
      <c r="DM241" s="20"/>
      <c r="DN241" s="20"/>
      <c r="DO241" s="20"/>
      <c r="DP241" s="20"/>
      <c r="DQ241" s="20"/>
      <c r="DR241" s="20"/>
      <c r="DS241" s="20"/>
      <c r="DT241" s="20"/>
    </row>
    <row r="242" spans="1:124" x14ac:dyDescent="0.25">
      <c r="A242" s="24" t="s">
        <v>4059</v>
      </c>
      <c r="B242" s="24" t="s">
        <v>3968</v>
      </c>
      <c r="E242" s="20"/>
      <c r="F242" s="20"/>
      <c r="G242" s="20"/>
      <c r="H242" s="20"/>
      <c r="I242" s="20"/>
      <c r="J242" s="20"/>
      <c r="K242" s="20"/>
      <c r="L242" s="20"/>
      <c r="M242" s="20"/>
      <c r="N242" s="20"/>
      <c r="O242" s="20"/>
      <c r="P242" s="20"/>
      <c r="Q242" s="20"/>
      <c r="R242" s="20"/>
      <c r="S242" s="20"/>
      <c r="T242" s="20"/>
      <c r="U242" s="20"/>
      <c r="V242" s="20"/>
      <c r="W242" s="20"/>
      <c r="X242" s="20"/>
      <c r="Y242" s="20"/>
      <c r="Z242" s="20"/>
      <c r="AA242" s="20"/>
      <c r="AB242" s="20"/>
      <c r="AC242" s="20"/>
      <c r="AD242" s="20"/>
      <c r="AE242" s="20"/>
      <c r="AF242" s="20"/>
      <c r="AG242" s="20"/>
      <c r="AH242" s="20"/>
      <c r="AI242" s="20"/>
      <c r="AJ242" s="20"/>
      <c r="AK242" s="20"/>
      <c r="AL242" s="20"/>
      <c r="AM242" s="20"/>
      <c r="AN242" s="20"/>
      <c r="AO242" s="20"/>
      <c r="AP242" s="20"/>
      <c r="AQ242" s="20"/>
      <c r="AR242" s="20"/>
      <c r="AS242" s="20"/>
      <c r="AT242" s="20"/>
      <c r="AU242" s="20"/>
      <c r="AV242" s="20"/>
      <c r="AW242" s="20"/>
      <c r="AX242" s="20"/>
      <c r="AY242" s="20"/>
      <c r="AZ242" s="20"/>
      <c r="BA242" s="20"/>
      <c r="BB242" s="20"/>
      <c r="BC242" s="20"/>
      <c r="BD242" s="20"/>
      <c r="BE242" s="20"/>
      <c r="BF242" s="20"/>
      <c r="BG242" s="20"/>
      <c r="BH242" s="20"/>
      <c r="BI242" s="20"/>
      <c r="BJ242" s="20"/>
      <c r="BK242" s="20"/>
      <c r="BL242" s="20"/>
      <c r="BM242" s="20"/>
      <c r="BN242" s="20"/>
      <c r="BO242" s="20"/>
      <c r="BP242" s="20"/>
      <c r="BQ242" s="20"/>
      <c r="BR242" s="20"/>
      <c r="BS242" s="20"/>
      <c r="BT242" s="20"/>
      <c r="BU242" s="20"/>
      <c r="BV242" s="20"/>
      <c r="BW242" s="20"/>
      <c r="BX242" s="20"/>
      <c r="BY242" s="20"/>
      <c r="BZ242" s="20"/>
      <c r="CA242" s="20"/>
      <c r="CB242" s="20"/>
      <c r="CC242" s="20"/>
      <c r="CD242" s="20"/>
      <c r="CE242" s="20"/>
      <c r="CF242" s="20"/>
      <c r="CG242" s="20"/>
      <c r="CH242" s="20"/>
      <c r="CM242" s="20"/>
      <c r="CN242" s="20"/>
      <c r="CO242" s="20"/>
      <c r="CP242" s="20"/>
      <c r="CQ242" s="20"/>
      <c r="CR242" s="20"/>
      <c r="CS242" s="20"/>
      <c r="CT242" s="20"/>
      <c r="CY242" s="20"/>
      <c r="CZ242" s="20"/>
      <c r="DA242" s="20"/>
      <c r="DB242" s="20"/>
      <c r="DC242" s="20"/>
      <c r="DD242" s="20"/>
      <c r="DE242" s="20"/>
      <c r="DF242" s="20"/>
      <c r="DG242" s="20"/>
      <c r="DH242" s="20"/>
      <c r="DI242" s="20"/>
      <c r="DJ242" s="20"/>
      <c r="DK242" s="20"/>
      <c r="DL242" s="20"/>
      <c r="DM242" s="20"/>
      <c r="DN242" s="20"/>
      <c r="DO242" s="20"/>
      <c r="DP242" s="20"/>
      <c r="DQ242" s="20"/>
      <c r="DR242" s="20"/>
      <c r="DS242" s="20"/>
      <c r="DT242" s="20"/>
    </row>
    <row r="243" spans="1:124" x14ac:dyDescent="0.25">
      <c r="A243" s="24">
        <v>196358978</v>
      </c>
      <c r="B243" s="24" t="s">
        <v>3968</v>
      </c>
      <c r="E243" s="20"/>
      <c r="F243" s="20"/>
      <c r="G243" s="20"/>
      <c r="H243" s="20"/>
      <c r="I243" s="20"/>
      <c r="J243" s="20"/>
      <c r="K243" s="20"/>
      <c r="L243" s="20"/>
      <c r="M243" s="20"/>
      <c r="N243" s="20"/>
      <c r="O243" s="20"/>
      <c r="P243" s="20"/>
      <c r="Q243" s="20"/>
      <c r="R243" s="20"/>
      <c r="S243" s="20"/>
      <c r="T243" s="20"/>
      <c r="U243" s="20"/>
      <c r="V243" s="20"/>
      <c r="W243" s="20"/>
      <c r="X243" s="20"/>
      <c r="Y243" s="20"/>
      <c r="Z243" s="20"/>
      <c r="AA243" s="20"/>
      <c r="AB243" s="20"/>
      <c r="AC243" s="20"/>
      <c r="AD243" s="20"/>
      <c r="AE243" s="20"/>
      <c r="AF243" s="20"/>
      <c r="AG243" s="20"/>
      <c r="AH243" s="20"/>
      <c r="AI243" s="20"/>
      <c r="AJ243" s="20"/>
      <c r="AK243" s="20"/>
      <c r="AL243" s="20"/>
      <c r="AM243" s="20"/>
      <c r="AN243" s="20"/>
      <c r="AO243" s="20"/>
      <c r="AP243" s="20"/>
      <c r="AQ243" s="20"/>
      <c r="AR243" s="20"/>
      <c r="AS243" s="20"/>
      <c r="AT243" s="20"/>
      <c r="AU243" s="20"/>
      <c r="AV243" s="20"/>
      <c r="AW243" s="20"/>
      <c r="AX243" s="20"/>
      <c r="AY243" s="20"/>
      <c r="AZ243" s="20"/>
      <c r="BA243" s="20"/>
      <c r="BB243" s="20"/>
      <c r="BC243" s="20"/>
      <c r="BD243" s="20"/>
      <c r="BE243" s="20"/>
      <c r="BF243" s="20"/>
      <c r="BG243" s="20"/>
      <c r="BH243" s="20"/>
      <c r="BI243" s="20"/>
      <c r="BJ243" s="20"/>
      <c r="BK243" s="20"/>
      <c r="BL243" s="20"/>
      <c r="BM243" s="20"/>
      <c r="BN243" s="20"/>
      <c r="BO243" s="20"/>
      <c r="BP243" s="20"/>
      <c r="BQ243" s="20"/>
      <c r="BR243" s="20"/>
      <c r="BS243" s="20"/>
      <c r="BT243" s="20"/>
      <c r="BU243" s="20"/>
      <c r="BV243" s="20"/>
      <c r="BW243" s="20"/>
      <c r="BX243" s="20"/>
      <c r="BY243" s="20"/>
      <c r="BZ243" s="20"/>
      <c r="CA243" s="20"/>
      <c r="CB243" s="20"/>
      <c r="CC243" s="20"/>
      <c r="CD243" s="20"/>
      <c r="CE243" s="20"/>
      <c r="CF243" s="20"/>
      <c r="CG243" s="20"/>
      <c r="CH243" s="20"/>
      <c r="CM243" s="20"/>
      <c r="CN243" s="20"/>
      <c r="CO243" s="20"/>
      <c r="CP243" s="20"/>
      <c r="CQ243" s="20"/>
      <c r="CR243" s="20"/>
      <c r="CS243" s="20"/>
      <c r="CT243" s="20"/>
      <c r="CY243" s="20"/>
      <c r="CZ243" s="20"/>
      <c r="DA243" s="20"/>
      <c r="DB243" s="20"/>
      <c r="DC243" s="20"/>
      <c r="DD243" s="20"/>
      <c r="DE243" s="20"/>
      <c r="DF243" s="20"/>
      <c r="DG243" s="20"/>
      <c r="DH243" s="20"/>
      <c r="DI243" s="20"/>
      <c r="DJ243" s="20"/>
      <c r="DK243" s="20"/>
      <c r="DL243" s="20"/>
      <c r="DM243" s="20"/>
      <c r="DN243" s="20"/>
      <c r="DO243" s="20"/>
      <c r="DP243" s="20"/>
      <c r="DQ243" s="20"/>
      <c r="DR243" s="20"/>
      <c r="DS243" s="20"/>
      <c r="DT243" s="20"/>
    </row>
    <row r="244" spans="1:124" x14ac:dyDescent="0.25">
      <c r="A244" s="24" t="s">
        <v>4080</v>
      </c>
      <c r="B244" s="24" t="s">
        <v>3968</v>
      </c>
      <c r="E244" s="20"/>
      <c r="F244" s="20"/>
      <c r="G244" s="20"/>
      <c r="H244" s="20"/>
      <c r="I244" s="20"/>
      <c r="J244" s="20"/>
      <c r="K244" s="20"/>
      <c r="L244" s="20"/>
      <c r="M244" s="20"/>
      <c r="N244" s="20"/>
      <c r="O244" s="20"/>
      <c r="P244" s="20"/>
      <c r="Q244" s="20"/>
      <c r="R244" s="20"/>
      <c r="S244" s="20"/>
      <c r="T244" s="20"/>
      <c r="U244" s="20"/>
      <c r="V244" s="20"/>
      <c r="W244" s="20"/>
      <c r="X244" s="20"/>
      <c r="Y244" s="20"/>
      <c r="Z244" s="20"/>
      <c r="AA244" s="20"/>
      <c r="AB244" s="20"/>
      <c r="AC244" s="20"/>
      <c r="AD244" s="20"/>
      <c r="AE244" s="20"/>
      <c r="AF244" s="20"/>
      <c r="AG244" s="20"/>
      <c r="AH244" s="20"/>
      <c r="AI244" s="20"/>
      <c r="AJ244" s="20"/>
      <c r="AK244" s="20"/>
      <c r="AL244" s="20"/>
      <c r="AM244" s="20"/>
      <c r="AN244" s="20"/>
      <c r="AO244" s="20"/>
      <c r="AP244" s="20"/>
      <c r="AQ244" s="20"/>
      <c r="AR244" s="20"/>
      <c r="AS244" s="20"/>
      <c r="AT244" s="20"/>
      <c r="AU244" s="20"/>
      <c r="AV244" s="20"/>
      <c r="AW244" s="20"/>
      <c r="AX244" s="20"/>
      <c r="AY244" s="20"/>
      <c r="AZ244" s="20"/>
      <c r="BA244" s="20"/>
      <c r="BB244" s="20"/>
      <c r="BC244" s="20"/>
      <c r="BD244" s="20"/>
      <c r="BE244" s="20"/>
      <c r="BF244" s="20"/>
      <c r="BG244" s="20"/>
      <c r="BH244" s="20"/>
      <c r="BI244" s="20"/>
      <c r="BJ244" s="20"/>
      <c r="BK244" s="20"/>
      <c r="BL244" s="20"/>
      <c r="BM244" s="20"/>
      <c r="BN244" s="20"/>
      <c r="BO244" s="20"/>
      <c r="BP244" s="20"/>
      <c r="BQ244" s="20"/>
      <c r="BR244" s="20"/>
      <c r="BS244" s="20"/>
      <c r="BT244" s="20"/>
      <c r="BU244" s="20"/>
      <c r="BV244" s="20"/>
      <c r="BW244" s="20"/>
      <c r="BX244" s="20"/>
      <c r="BY244" s="20"/>
      <c r="BZ244" s="20"/>
      <c r="CA244" s="20"/>
      <c r="CB244" s="20"/>
      <c r="CC244" s="20"/>
      <c r="CD244" s="20"/>
      <c r="CE244" s="20"/>
      <c r="CF244" s="20"/>
      <c r="CG244" s="20"/>
      <c r="CH244" s="20"/>
      <c r="CM244" s="20"/>
      <c r="CN244" s="20"/>
      <c r="CO244" s="20"/>
      <c r="CP244" s="20"/>
      <c r="CQ244" s="20"/>
      <c r="CR244" s="20"/>
      <c r="CS244" s="20"/>
      <c r="CT244" s="20"/>
      <c r="CY244" s="20"/>
      <c r="CZ244" s="20"/>
      <c r="DA244" s="20"/>
      <c r="DB244" s="20"/>
      <c r="DC244" s="20"/>
      <c r="DD244" s="20"/>
      <c r="DE244" s="20"/>
      <c r="DF244" s="20"/>
      <c r="DG244" s="20"/>
      <c r="DH244" s="20"/>
      <c r="DI244" s="20"/>
      <c r="DJ244" s="20"/>
      <c r="DK244" s="20"/>
      <c r="DL244" s="20"/>
      <c r="DM244" s="20"/>
      <c r="DN244" s="20"/>
      <c r="DO244" s="20"/>
      <c r="DP244" s="20"/>
      <c r="DQ244" s="20"/>
      <c r="DR244" s="20"/>
      <c r="DS244" s="20"/>
      <c r="DT244" s="20"/>
    </row>
    <row r="245" spans="1:124" x14ac:dyDescent="0.25">
      <c r="A245" s="24" t="s">
        <v>4096</v>
      </c>
      <c r="B245" s="24" t="s">
        <v>3968</v>
      </c>
      <c r="E245" s="20"/>
      <c r="F245" s="20"/>
      <c r="G245" s="20"/>
      <c r="H245" s="20"/>
      <c r="I245" s="20"/>
      <c r="J245" s="20"/>
      <c r="K245" s="20"/>
      <c r="L245" s="20"/>
      <c r="M245" s="20"/>
      <c r="N245" s="20"/>
      <c r="O245" s="20"/>
      <c r="P245" s="20"/>
      <c r="Q245" s="20"/>
      <c r="R245" s="20"/>
      <c r="S245" s="20"/>
      <c r="T245" s="20"/>
      <c r="U245" s="20"/>
      <c r="V245" s="20"/>
      <c r="W245" s="20"/>
      <c r="X245" s="20"/>
      <c r="Y245" s="20"/>
      <c r="Z245" s="20"/>
      <c r="AA245" s="20"/>
      <c r="AB245" s="20"/>
      <c r="AC245" s="20"/>
      <c r="AD245" s="20"/>
      <c r="AE245" s="20"/>
      <c r="AF245" s="20"/>
      <c r="AG245" s="20"/>
      <c r="AH245" s="20"/>
      <c r="AI245" s="20"/>
      <c r="AJ245" s="20"/>
      <c r="AK245" s="20"/>
      <c r="AL245" s="20"/>
      <c r="AM245" s="20"/>
      <c r="AN245" s="20"/>
      <c r="AO245" s="20"/>
      <c r="AP245" s="20"/>
      <c r="AQ245" s="20"/>
      <c r="AR245" s="20"/>
      <c r="AS245" s="20"/>
      <c r="AT245" s="20"/>
      <c r="AU245" s="20"/>
      <c r="AV245" s="20"/>
      <c r="AW245" s="20"/>
      <c r="AX245" s="20"/>
      <c r="AY245" s="20"/>
      <c r="AZ245" s="20"/>
      <c r="BA245" s="20"/>
      <c r="BB245" s="20"/>
      <c r="BC245" s="20"/>
      <c r="BD245" s="20"/>
      <c r="BE245" s="20"/>
      <c r="BF245" s="20"/>
      <c r="BG245" s="20"/>
      <c r="BH245" s="20"/>
      <c r="BI245" s="20"/>
      <c r="BJ245" s="20"/>
      <c r="BK245" s="20"/>
      <c r="BL245" s="20"/>
      <c r="BM245" s="20"/>
      <c r="BN245" s="20"/>
      <c r="BO245" s="20"/>
      <c r="BP245" s="20"/>
      <c r="BQ245" s="20"/>
      <c r="BR245" s="20"/>
      <c r="BS245" s="20"/>
      <c r="BT245" s="20"/>
      <c r="BU245" s="20"/>
      <c r="BV245" s="20"/>
      <c r="BW245" s="20"/>
      <c r="BX245" s="20"/>
      <c r="BY245" s="20"/>
      <c r="BZ245" s="20"/>
      <c r="CA245" s="20"/>
      <c r="CB245" s="20"/>
      <c r="CC245" s="20"/>
      <c r="CD245" s="20"/>
      <c r="CE245" s="20"/>
      <c r="CF245" s="20"/>
      <c r="CG245" s="20"/>
      <c r="CH245" s="20"/>
      <c r="CM245" s="20"/>
      <c r="CN245" s="20"/>
      <c r="CO245" s="20"/>
      <c r="CP245" s="20"/>
      <c r="CQ245" s="20"/>
      <c r="CR245" s="20"/>
      <c r="CS245" s="20"/>
      <c r="CT245" s="20"/>
      <c r="CY245" s="20"/>
      <c r="CZ245" s="20"/>
      <c r="DA245" s="20"/>
      <c r="DB245" s="20"/>
      <c r="DC245" s="20"/>
      <c r="DD245" s="20"/>
      <c r="DE245" s="20"/>
      <c r="DF245" s="20"/>
      <c r="DG245" s="20"/>
      <c r="DH245" s="20"/>
      <c r="DI245" s="20"/>
      <c r="DJ245" s="20"/>
      <c r="DK245" s="20"/>
      <c r="DL245" s="20"/>
      <c r="DM245" s="20"/>
      <c r="DN245" s="20"/>
      <c r="DO245" s="20"/>
      <c r="DP245" s="20"/>
      <c r="DQ245" s="20"/>
      <c r="DR245" s="20"/>
      <c r="DS245" s="20"/>
      <c r="DT245" s="20"/>
    </row>
    <row r="246" spans="1:124" x14ac:dyDescent="0.25">
      <c r="A246" s="24" t="s">
        <v>4111</v>
      </c>
      <c r="B246" s="24" t="s">
        <v>3968</v>
      </c>
      <c r="E246" s="20"/>
      <c r="F246" s="20"/>
      <c r="G246" s="20"/>
      <c r="H246" s="20"/>
      <c r="I246" s="20"/>
      <c r="J246" s="20"/>
      <c r="K246" s="20"/>
      <c r="L246" s="20"/>
      <c r="M246" s="20"/>
      <c r="N246" s="20"/>
      <c r="O246" s="20"/>
      <c r="P246" s="20"/>
      <c r="Q246" s="20"/>
      <c r="R246" s="20"/>
      <c r="S246" s="20"/>
      <c r="T246" s="20"/>
      <c r="U246" s="20"/>
      <c r="V246" s="20"/>
      <c r="W246" s="20"/>
      <c r="X246" s="20"/>
      <c r="Y246" s="20"/>
      <c r="Z246" s="20"/>
      <c r="AA246" s="20"/>
      <c r="AB246" s="20"/>
      <c r="AC246" s="20"/>
      <c r="AD246" s="20"/>
      <c r="AE246" s="20"/>
      <c r="AF246" s="20"/>
      <c r="AG246" s="20"/>
      <c r="AH246" s="20"/>
      <c r="AI246" s="20"/>
      <c r="AJ246" s="20"/>
      <c r="AK246" s="20"/>
      <c r="AL246" s="20"/>
      <c r="AM246" s="20"/>
      <c r="AN246" s="20"/>
      <c r="AO246" s="20"/>
      <c r="AP246" s="20"/>
      <c r="AQ246" s="20"/>
      <c r="AR246" s="20"/>
      <c r="AS246" s="20"/>
      <c r="AT246" s="20"/>
      <c r="AU246" s="20"/>
      <c r="AV246" s="20"/>
      <c r="AW246" s="20"/>
      <c r="AX246" s="20"/>
      <c r="AY246" s="20"/>
      <c r="AZ246" s="20"/>
      <c r="BA246" s="20"/>
      <c r="BB246" s="20"/>
      <c r="BC246" s="20"/>
      <c r="BD246" s="20"/>
      <c r="BE246" s="20"/>
      <c r="BF246" s="20"/>
      <c r="BG246" s="20"/>
      <c r="BH246" s="20"/>
      <c r="BI246" s="20"/>
      <c r="BJ246" s="20"/>
      <c r="BK246" s="20"/>
      <c r="BL246" s="20"/>
      <c r="BM246" s="20"/>
      <c r="BN246" s="20"/>
      <c r="BO246" s="20"/>
      <c r="BP246" s="20"/>
      <c r="BQ246" s="20"/>
      <c r="BR246" s="20"/>
      <c r="BS246" s="20"/>
      <c r="BT246" s="20"/>
      <c r="BU246" s="20"/>
      <c r="BV246" s="20"/>
      <c r="BW246" s="20"/>
      <c r="BX246" s="20"/>
      <c r="BY246" s="20"/>
      <c r="BZ246" s="20"/>
      <c r="CA246" s="20"/>
      <c r="CB246" s="20"/>
      <c r="CC246" s="20"/>
      <c r="CD246" s="20"/>
      <c r="CE246" s="20"/>
      <c r="CF246" s="20"/>
      <c r="CG246" s="20"/>
      <c r="CH246" s="20"/>
      <c r="CM246" s="20"/>
      <c r="CN246" s="20"/>
      <c r="CO246" s="20"/>
      <c r="CP246" s="20"/>
      <c r="CQ246" s="20"/>
      <c r="CR246" s="20"/>
      <c r="CS246" s="20"/>
      <c r="CT246" s="20"/>
      <c r="CY246" s="20"/>
      <c r="CZ246" s="20"/>
      <c r="DA246" s="20"/>
      <c r="DB246" s="20"/>
      <c r="DC246" s="20"/>
      <c r="DD246" s="20"/>
      <c r="DE246" s="20"/>
      <c r="DF246" s="20"/>
      <c r="DG246" s="20"/>
      <c r="DH246" s="20"/>
      <c r="DI246" s="20"/>
      <c r="DJ246" s="20"/>
      <c r="DK246" s="20"/>
      <c r="DL246" s="20"/>
      <c r="DM246" s="20"/>
      <c r="DN246" s="20"/>
      <c r="DO246" s="20"/>
      <c r="DP246" s="20"/>
      <c r="DQ246" s="20"/>
      <c r="DR246" s="20"/>
      <c r="DS246" s="20"/>
      <c r="DT246" s="20"/>
    </row>
    <row r="247" spans="1:124" x14ac:dyDescent="0.25">
      <c r="A247" s="24" t="s">
        <v>4124</v>
      </c>
      <c r="B247" s="24" t="s">
        <v>3968</v>
      </c>
      <c r="E247" s="20"/>
      <c r="F247" s="20"/>
      <c r="G247" s="20"/>
      <c r="H247" s="20"/>
      <c r="I247" s="20"/>
      <c r="J247" s="20"/>
      <c r="K247" s="20"/>
      <c r="L247" s="20"/>
      <c r="M247" s="20"/>
      <c r="N247" s="20"/>
      <c r="O247" s="20"/>
      <c r="P247" s="20"/>
      <c r="Q247" s="20"/>
      <c r="R247" s="20"/>
      <c r="S247" s="20"/>
      <c r="T247" s="20"/>
      <c r="U247" s="20"/>
      <c r="V247" s="20"/>
      <c r="W247" s="20"/>
      <c r="X247" s="20"/>
      <c r="Y247" s="20"/>
      <c r="Z247" s="20"/>
      <c r="AA247" s="20"/>
      <c r="AB247" s="20"/>
      <c r="AC247" s="20"/>
      <c r="AD247" s="20"/>
      <c r="AE247" s="20"/>
      <c r="AF247" s="20"/>
      <c r="AG247" s="20"/>
      <c r="AH247" s="20"/>
      <c r="AI247" s="20"/>
      <c r="AJ247" s="20"/>
      <c r="AK247" s="20"/>
      <c r="AL247" s="20"/>
      <c r="AM247" s="20"/>
      <c r="AN247" s="20"/>
      <c r="AO247" s="20"/>
      <c r="AP247" s="20"/>
      <c r="AQ247" s="20"/>
      <c r="AR247" s="20"/>
      <c r="AS247" s="20"/>
      <c r="AT247" s="20"/>
      <c r="AU247" s="20"/>
      <c r="AV247" s="20"/>
      <c r="AW247" s="20"/>
      <c r="AX247" s="20"/>
      <c r="AY247" s="20"/>
      <c r="AZ247" s="20"/>
      <c r="BA247" s="20"/>
      <c r="BB247" s="20"/>
      <c r="BC247" s="20"/>
      <c r="BD247" s="20"/>
      <c r="BE247" s="20"/>
      <c r="BF247" s="20"/>
      <c r="BG247" s="20"/>
      <c r="BH247" s="20"/>
      <c r="BI247" s="20"/>
      <c r="BJ247" s="20"/>
      <c r="BK247" s="20"/>
      <c r="BL247" s="20"/>
      <c r="BM247" s="20"/>
      <c r="BN247" s="20"/>
      <c r="BO247" s="20"/>
      <c r="BP247" s="20"/>
      <c r="BQ247" s="20"/>
      <c r="BR247" s="20"/>
      <c r="BS247" s="20"/>
      <c r="BT247" s="20"/>
      <c r="BU247" s="20"/>
      <c r="BV247" s="20"/>
      <c r="BW247" s="20"/>
      <c r="BX247" s="20"/>
      <c r="BY247" s="20"/>
      <c r="BZ247" s="20"/>
      <c r="CA247" s="20"/>
      <c r="CB247" s="20"/>
      <c r="CC247" s="20"/>
      <c r="CD247" s="20"/>
      <c r="CE247" s="20"/>
      <c r="CF247" s="20"/>
      <c r="CG247" s="20"/>
      <c r="CH247" s="20"/>
      <c r="CM247" s="20"/>
      <c r="CN247" s="20"/>
      <c r="CO247" s="20"/>
      <c r="CP247" s="20"/>
      <c r="CQ247" s="20"/>
      <c r="CR247" s="20"/>
      <c r="CS247" s="20"/>
      <c r="CT247" s="20"/>
      <c r="CY247" s="20"/>
      <c r="CZ247" s="20"/>
      <c r="DA247" s="20"/>
      <c r="DB247" s="20"/>
      <c r="DC247" s="20"/>
      <c r="DD247" s="20"/>
      <c r="DE247" s="20"/>
      <c r="DF247" s="20"/>
      <c r="DG247" s="20"/>
      <c r="DH247" s="20"/>
      <c r="DI247" s="20"/>
      <c r="DJ247" s="20"/>
      <c r="DK247" s="20"/>
      <c r="DL247" s="20"/>
      <c r="DM247" s="20"/>
      <c r="DN247" s="20"/>
      <c r="DO247" s="20"/>
      <c r="DP247" s="20"/>
      <c r="DQ247" s="20"/>
      <c r="DR247" s="20"/>
      <c r="DS247" s="20"/>
      <c r="DT247" s="20"/>
    </row>
    <row r="248" spans="1:124" x14ac:dyDescent="0.25">
      <c r="A248" s="24" t="s">
        <v>4134</v>
      </c>
      <c r="B248" s="24" t="s">
        <v>3968</v>
      </c>
      <c r="E248" s="20"/>
      <c r="F248" s="20"/>
      <c r="G248" s="20"/>
      <c r="H248" s="20"/>
      <c r="I248" s="20"/>
      <c r="J248" s="20"/>
      <c r="K248" s="20"/>
      <c r="L248" s="20"/>
      <c r="M248" s="20"/>
      <c r="N248" s="20"/>
      <c r="O248" s="20"/>
      <c r="P248" s="20"/>
      <c r="Q248" s="20"/>
      <c r="R248" s="20"/>
      <c r="S248" s="20"/>
      <c r="T248" s="20"/>
      <c r="U248" s="20"/>
      <c r="V248" s="20"/>
      <c r="W248" s="20"/>
      <c r="X248" s="20"/>
      <c r="Y248" s="20"/>
      <c r="Z248" s="20"/>
      <c r="AA248" s="20"/>
      <c r="AB248" s="20"/>
      <c r="AC248" s="20"/>
      <c r="AD248" s="20"/>
      <c r="AE248" s="20"/>
      <c r="AF248" s="20"/>
      <c r="AG248" s="20"/>
      <c r="AH248" s="20"/>
      <c r="AI248" s="20"/>
      <c r="AJ248" s="20"/>
      <c r="AK248" s="20"/>
      <c r="AL248" s="20"/>
      <c r="AM248" s="20"/>
      <c r="AN248" s="20"/>
      <c r="AO248" s="20"/>
      <c r="AP248" s="20"/>
      <c r="AQ248" s="20"/>
      <c r="AR248" s="20"/>
      <c r="AS248" s="20"/>
      <c r="AT248" s="20"/>
      <c r="AU248" s="20"/>
      <c r="AV248" s="20"/>
      <c r="AW248" s="20"/>
      <c r="AX248" s="20"/>
      <c r="AY248" s="20"/>
      <c r="AZ248" s="20"/>
      <c r="BA248" s="20"/>
      <c r="BB248" s="20"/>
      <c r="BC248" s="20"/>
      <c r="BD248" s="20"/>
      <c r="BE248" s="20"/>
      <c r="BF248" s="20"/>
      <c r="BG248" s="20"/>
      <c r="BH248" s="20"/>
      <c r="BI248" s="20"/>
      <c r="BJ248" s="20"/>
      <c r="BK248" s="20"/>
      <c r="BL248" s="20"/>
      <c r="BM248" s="20"/>
      <c r="BN248" s="20"/>
      <c r="BO248" s="20"/>
      <c r="BP248" s="20"/>
      <c r="BQ248" s="20"/>
      <c r="BR248" s="20"/>
      <c r="BS248" s="20"/>
      <c r="BT248" s="20"/>
      <c r="BU248" s="20"/>
      <c r="BV248" s="20"/>
      <c r="BW248" s="20"/>
      <c r="BX248" s="20"/>
      <c r="BY248" s="20"/>
      <c r="BZ248" s="20"/>
      <c r="CA248" s="20"/>
      <c r="CB248" s="20"/>
      <c r="CC248" s="20"/>
      <c r="CD248" s="20"/>
      <c r="CE248" s="20"/>
      <c r="CF248" s="20"/>
      <c r="CG248" s="20"/>
      <c r="CH248" s="20"/>
      <c r="CM248" s="20"/>
      <c r="CN248" s="20"/>
      <c r="CO248" s="20"/>
      <c r="CP248" s="20"/>
      <c r="CQ248" s="20"/>
      <c r="CR248" s="20"/>
      <c r="CS248" s="20"/>
      <c r="CT248" s="20"/>
      <c r="CY248" s="20"/>
      <c r="CZ248" s="20"/>
      <c r="DA248" s="20"/>
      <c r="DB248" s="20"/>
      <c r="DC248" s="20"/>
      <c r="DD248" s="20"/>
      <c r="DE248" s="20"/>
      <c r="DF248" s="20"/>
      <c r="DG248" s="20"/>
      <c r="DH248" s="20"/>
      <c r="DI248" s="20"/>
      <c r="DJ248" s="20"/>
      <c r="DK248" s="20"/>
      <c r="DL248" s="20"/>
      <c r="DM248" s="20"/>
      <c r="DN248" s="20"/>
      <c r="DO248" s="20"/>
      <c r="DP248" s="20"/>
      <c r="DQ248" s="20"/>
      <c r="DR248" s="20"/>
      <c r="DS248" s="20"/>
      <c r="DT248" s="20"/>
    </row>
    <row r="249" spans="1:124" x14ac:dyDescent="0.25">
      <c r="A249" s="24" t="s">
        <v>4141</v>
      </c>
      <c r="B249" s="24" t="s">
        <v>3968</v>
      </c>
      <c r="E249" s="20"/>
      <c r="F249" s="20"/>
      <c r="G249" s="20"/>
      <c r="H249" s="20"/>
      <c r="I249" s="20"/>
      <c r="J249" s="20"/>
      <c r="K249" s="20"/>
      <c r="L249" s="20"/>
      <c r="M249" s="20"/>
      <c r="N249" s="20"/>
      <c r="O249" s="20"/>
      <c r="P249" s="20"/>
      <c r="Q249" s="20"/>
      <c r="R249" s="20"/>
      <c r="S249" s="20"/>
      <c r="T249" s="20"/>
      <c r="U249" s="20"/>
      <c r="V249" s="20"/>
      <c r="W249" s="20"/>
      <c r="X249" s="20"/>
      <c r="Y249" s="20"/>
      <c r="Z249" s="20"/>
      <c r="AA249" s="20"/>
      <c r="AB249" s="20"/>
      <c r="AC249" s="20"/>
      <c r="AD249" s="20"/>
      <c r="AE249" s="20"/>
      <c r="AF249" s="20"/>
      <c r="AG249" s="20"/>
      <c r="AH249" s="20"/>
      <c r="AI249" s="20"/>
      <c r="AJ249" s="20"/>
      <c r="AK249" s="20"/>
      <c r="AL249" s="20"/>
      <c r="AM249" s="20"/>
      <c r="AN249" s="20"/>
      <c r="AO249" s="20"/>
      <c r="AP249" s="20"/>
      <c r="AQ249" s="20"/>
      <c r="AR249" s="20"/>
      <c r="AS249" s="20"/>
      <c r="AT249" s="20"/>
      <c r="AU249" s="20"/>
      <c r="AV249" s="20"/>
      <c r="AW249" s="20"/>
      <c r="AX249" s="20"/>
      <c r="AY249" s="20"/>
      <c r="AZ249" s="20"/>
      <c r="BA249" s="20"/>
      <c r="BB249" s="20"/>
      <c r="BC249" s="20"/>
      <c r="BD249" s="20"/>
      <c r="BE249" s="20"/>
      <c r="BF249" s="20"/>
      <c r="BG249" s="20"/>
      <c r="BH249" s="20"/>
      <c r="BI249" s="20"/>
      <c r="BJ249" s="20"/>
      <c r="BK249" s="20"/>
      <c r="BL249" s="20"/>
      <c r="BM249" s="20"/>
      <c r="BN249" s="20"/>
      <c r="BO249" s="20"/>
      <c r="BP249" s="20"/>
      <c r="BQ249" s="20"/>
      <c r="BR249" s="20"/>
      <c r="BS249" s="20"/>
      <c r="BT249" s="20"/>
      <c r="BU249" s="20"/>
      <c r="BV249" s="20"/>
      <c r="BW249" s="20"/>
      <c r="BX249" s="20"/>
      <c r="BY249" s="20"/>
      <c r="BZ249" s="20"/>
      <c r="CA249" s="20"/>
      <c r="CB249" s="20"/>
      <c r="CC249" s="20"/>
      <c r="CD249" s="20"/>
      <c r="CE249" s="20"/>
      <c r="CF249" s="20"/>
      <c r="CG249" s="20"/>
      <c r="CH249" s="20"/>
      <c r="CM249" s="20"/>
      <c r="CN249" s="20"/>
      <c r="CO249" s="20"/>
      <c r="CP249" s="20"/>
      <c r="CQ249" s="20"/>
      <c r="CR249" s="20"/>
      <c r="CS249" s="20"/>
      <c r="CT249" s="20"/>
      <c r="CY249" s="20"/>
      <c r="CZ249" s="20"/>
      <c r="DA249" s="20"/>
      <c r="DB249" s="20"/>
      <c r="DC249" s="20"/>
      <c r="DD249" s="20"/>
      <c r="DE249" s="20"/>
      <c r="DF249" s="20"/>
      <c r="DG249" s="20"/>
      <c r="DH249" s="20"/>
      <c r="DI249" s="20"/>
      <c r="DJ249" s="20"/>
      <c r="DK249" s="20"/>
      <c r="DL249" s="20"/>
      <c r="DM249" s="20"/>
      <c r="DN249" s="20"/>
      <c r="DO249" s="20"/>
      <c r="DP249" s="20"/>
      <c r="DQ249" s="20"/>
      <c r="DR249" s="20"/>
      <c r="DS249" s="20"/>
      <c r="DT249" s="20"/>
    </row>
    <row r="250" spans="1:124" x14ac:dyDescent="0.25">
      <c r="A250" s="24" t="s">
        <v>4153</v>
      </c>
      <c r="B250" s="24" t="s">
        <v>3968</v>
      </c>
      <c r="E250" s="20"/>
      <c r="F250" s="20"/>
      <c r="G250" s="20"/>
      <c r="H250" s="20"/>
      <c r="I250" s="20"/>
      <c r="J250" s="20"/>
      <c r="K250" s="20"/>
      <c r="L250" s="20"/>
      <c r="M250" s="20"/>
      <c r="N250" s="20"/>
      <c r="O250" s="20"/>
      <c r="P250" s="20"/>
      <c r="Q250" s="20"/>
      <c r="R250" s="20"/>
      <c r="S250" s="20"/>
      <c r="T250" s="20"/>
      <c r="U250" s="20"/>
      <c r="V250" s="20"/>
      <c r="W250" s="20"/>
      <c r="X250" s="20"/>
      <c r="Y250" s="20"/>
      <c r="Z250" s="20"/>
      <c r="AA250" s="20"/>
      <c r="AB250" s="20"/>
      <c r="AC250" s="20"/>
      <c r="AD250" s="20"/>
      <c r="AE250" s="20"/>
      <c r="AF250" s="20"/>
      <c r="AG250" s="20"/>
      <c r="AH250" s="20"/>
      <c r="AI250" s="20"/>
      <c r="AJ250" s="20"/>
      <c r="AK250" s="20"/>
      <c r="AL250" s="20"/>
      <c r="AM250" s="20"/>
      <c r="AN250" s="20"/>
      <c r="AO250" s="20"/>
      <c r="AP250" s="20"/>
      <c r="AQ250" s="20"/>
      <c r="AR250" s="20"/>
      <c r="AS250" s="20"/>
      <c r="AT250" s="20"/>
      <c r="AU250" s="20"/>
      <c r="AV250" s="20"/>
      <c r="AW250" s="20"/>
      <c r="AX250" s="20"/>
      <c r="AY250" s="20"/>
      <c r="AZ250" s="20"/>
      <c r="BA250" s="20"/>
      <c r="BB250" s="20"/>
      <c r="BC250" s="20"/>
      <c r="BD250" s="20"/>
      <c r="BE250" s="20"/>
      <c r="BF250" s="20"/>
      <c r="BG250" s="20"/>
      <c r="BH250" s="20"/>
      <c r="BI250" s="20"/>
      <c r="BJ250" s="20"/>
      <c r="BK250" s="20"/>
      <c r="BL250" s="20"/>
      <c r="BM250" s="20"/>
      <c r="BN250" s="20"/>
      <c r="BO250" s="20"/>
      <c r="BP250" s="20"/>
      <c r="BQ250" s="20"/>
      <c r="BR250" s="20"/>
      <c r="BS250" s="20"/>
      <c r="BT250" s="20"/>
      <c r="BU250" s="20"/>
      <c r="BV250" s="20"/>
      <c r="BW250" s="20"/>
      <c r="BX250" s="20"/>
      <c r="BY250" s="20"/>
      <c r="BZ250" s="20"/>
      <c r="CA250" s="20"/>
      <c r="CB250" s="20"/>
      <c r="CC250" s="20"/>
      <c r="CD250" s="20"/>
      <c r="CE250" s="20"/>
      <c r="CF250" s="20"/>
      <c r="CG250" s="20"/>
      <c r="CH250" s="20"/>
      <c r="CM250" s="20"/>
      <c r="CN250" s="20"/>
      <c r="CO250" s="20"/>
      <c r="CP250" s="20"/>
      <c r="CQ250" s="20"/>
      <c r="CR250" s="20"/>
      <c r="CS250" s="20"/>
      <c r="CT250" s="20"/>
      <c r="CY250" s="20"/>
      <c r="CZ250" s="20"/>
      <c r="DA250" s="20"/>
      <c r="DB250" s="20"/>
      <c r="DC250" s="20"/>
      <c r="DD250" s="20"/>
      <c r="DE250" s="20"/>
      <c r="DF250" s="20"/>
      <c r="DG250" s="20"/>
      <c r="DH250" s="20"/>
      <c r="DI250" s="20"/>
      <c r="DJ250" s="20"/>
      <c r="DK250" s="20"/>
      <c r="DL250" s="20"/>
      <c r="DM250" s="20"/>
      <c r="DN250" s="20"/>
      <c r="DO250" s="20"/>
      <c r="DP250" s="20"/>
      <c r="DQ250" s="20"/>
      <c r="DR250" s="20"/>
      <c r="DS250" s="20"/>
      <c r="DT250" s="20"/>
    </row>
    <row r="251" spans="1:124" x14ac:dyDescent="0.25">
      <c r="A251" s="24" t="s">
        <v>4167</v>
      </c>
      <c r="B251" s="24" t="s">
        <v>3968</v>
      </c>
      <c r="E251" s="20"/>
      <c r="F251" s="20"/>
      <c r="G251" s="20"/>
      <c r="H251" s="20"/>
      <c r="I251" s="20"/>
      <c r="J251" s="20"/>
      <c r="K251" s="20"/>
      <c r="L251" s="20"/>
      <c r="M251" s="20"/>
      <c r="N251" s="20"/>
      <c r="O251" s="20"/>
      <c r="P251" s="20"/>
      <c r="Q251" s="20"/>
      <c r="R251" s="20"/>
      <c r="S251" s="20"/>
      <c r="T251" s="20"/>
      <c r="U251" s="20"/>
      <c r="V251" s="20"/>
      <c r="W251" s="20"/>
      <c r="X251" s="20"/>
      <c r="Y251" s="20"/>
      <c r="Z251" s="20"/>
      <c r="AA251" s="20"/>
      <c r="AB251" s="20"/>
      <c r="AC251" s="20"/>
      <c r="AD251" s="20"/>
      <c r="AE251" s="20"/>
      <c r="AF251" s="20"/>
      <c r="AG251" s="20"/>
      <c r="AH251" s="20"/>
      <c r="AI251" s="20"/>
      <c r="AJ251" s="20"/>
      <c r="AK251" s="20"/>
      <c r="AL251" s="20"/>
      <c r="AM251" s="20"/>
      <c r="AN251" s="20"/>
      <c r="AO251" s="20"/>
      <c r="AP251" s="20"/>
      <c r="AQ251" s="20"/>
      <c r="AR251" s="20"/>
      <c r="AS251" s="20"/>
      <c r="AT251" s="20"/>
      <c r="AU251" s="20"/>
      <c r="AV251" s="20"/>
      <c r="AW251" s="20"/>
      <c r="AX251" s="20"/>
      <c r="AY251" s="20"/>
      <c r="AZ251" s="20"/>
      <c r="BA251" s="20"/>
      <c r="BB251" s="20"/>
      <c r="BC251" s="20"/>
      <c r="BD251" s="20"/>
      <c r="BE251" s="20"/>
      <c r="BF251" s="20"/>
      <c r="BG251" s="20"/>
      <c r="BH251" s="20"/>
      <c r="BI251" s="20"/>
      <c r="BJ251" s="20"/>
      <c r="BK251" s="20"/>
      <c r="BL251" s="20"/>
      <c r="BM251" s="20"/>
      <c r="BN251" s="20"/>
      <c r="BO251" s="20"/>
      <c r="BP251" s="20"/>
      <c r="BQ251" s="20"/>
      <c r="BR251" s="20"/>
      <c r="BS251" s="20"/>
      <c r="BT251" s="20"/>
      <c r="BU251" s="20"/>
      <c r="BV251" s="20"/>
      <c r="BW251" s="20"/>
      <c r="BX251" s="20"/>
      <c r="BY251" s="20"/>
      <c r="BZ251" s="20"/>
      <c r="CA251" s="20"/>
      <c r="CB251" s="20"/>
      <c r="CC251" s="20"/>
      <c r="CD251" s="20"/>
      <c r="CE251" s="20"/>
      <c r="CF251" s="20"/>
      <c r="CG251" s="20"/>
      <c r="CH251" s="20"/>
      <c r="CM251" s="20"/>
      <c r="CN251" s="20"/>
      <c r="CO251" s="20"/>
      <c r="CP251" s="20"/>
      <c r="CQ251" s="20"/>
      <c r="CR251" s="20"/>
      <c r="CS251" s="20"/>
      <c r="CT251" s="20"/>
      <c r="CY251" s="20"/>
      <c r="CZ251" s="20"/>
      <c r="DA251" s="20"/>
      <c r="DB251" s="20"/>
      <c r="DC251" s="20"/>
      <c r="DD251" s="20"/>
      <c r="DE251" s="20"/>
      <c r="DF251" s="20"/>
      <c r="DG251" s="20"/>
      <c r="DH251" s="20"/>
      <c r="DI251" s="20"/>
      <c r="DJ251" s="20"/>
      <c r="DK251" s="20"/>
      <c r="DL251" s="20"/>
      <c r="DM251" s="20"/>
      <c r="DN251" s="20"/>
      <c r="DO251" s="20"/>
      <c r="DP251" s="20"/>
      <c r="DQ251" s="20"/>
      <c r="DR251" s="20"/>
      <c r="DS251" s="20"/>
      <c r="DT251" s="20"/>
    </row>
    <row r="252" spans="1:124" x14ac:dyDescent="0.25">
      <c r="A252" s="24" t="s">
        <v>4186</v>
      </c>
      <c r="B252" s="24" t="s">
        <v>3968</v>
      </c>
      <c r="E252" s="20"/>
      <c r="F252" s="20"/>
      <c r="G252" s="20"/>
      <c r="H252" s="20"/>
      <c r="I252" s="20"/>
      <c r="J252" s="20"/>
      <c r="K252" s="20"/>
      <c r="L252" s="20"/>
      <c r="M252" s="20"/>
      <c r="N252" s="20"/>
      <c r="O252" s="20"/>
      <c r="P252" s="20"/>
      <c r="Q252" s="20"/>
      <c r="R252" s="20"/>
      <c r="S252" s="20"/>
      <c r="T252" s="20"/>
      <c r="U252" s="20"/>
      <c r="V252" s="20"/>
      <c r="W252" s="20"/>
      <c r="X252" s="20"/>
      <c r="Y252" s="20"/>
      <c r="Z252" s="20"/>
      <c r="AA252" s="20"/>
      <c r="AB252" s="20"/>
      <c r="AC252" s="20"/>
      <c r="AD252" s="20"/>
      <c r="AE252" s="20"/>
      <c r="AF252" s="20"/>
      <c r="AG252" s="20"/>
      <c r="AH252" s="20"/>
      <c r="AI252" s="20"/>
      <c r="AJ252" s="20"/>
      <c r="AK252" s="20"/>
      <c r="AL252" s="20"/>
      <c r="AM252" s="20"/>
      <c r="AN252" s="20"/>
      <c r="AO252" s="20"/>
      <c r="AP252" s="20"/>
      <c r="AQ252" s="20"/>
      <c r="AR252" s="20"/>
      <c r="AS252" s="20"/>
      <c r="AT252" s="20"/>
      <c r="AU252" s="20"/>
      <c r="AV252" s="20"/>
      <c r="AW252" s="20"/>
      <c r="AX252" s="20"/>
      <c r="AY252" s="20"/>
      <c r="AZ252" s="20"/>
      <c r="BA252" s="20"/>
      <c r="BB252" s="20"/>
      <c r="BC252" s="20"/>
      <c r="BD252" s="20"/>
      <c r="BE252" s="20"/>
      <c r="BF252" s="20"/>
      <c r="BG252" s="20"/>
      <c r="BH252" s="20"/>
      <c r="BI252" s="20"/>
      <c r="BJ252" s="20"/>
      <c r="BK252" s="20"/>
      <c r="BL252" s="20"/>
      <c r="BM252" s="20"/>
      <c r="BN252" s="20"/>
      <c r="BO252" s="20"/>
      <c r="BP252" s="20"/>
      <c r="BQ252" s="20"/>
      <c r="BR252" s="20"/>
      <c r="BS252" s="20"/>
      <c r="BT252" s="20"/>
      <c r="BU252" s="20"/>
      <c r="BV252" s="20"/>
      <c r="BW252" s="20"/>
      <c r="BX252" s="20"/>
      <c r="BY252" s="20"/>
      <c r="BZ252" s="20"/>
      <c r="CA252" s="20"/>
      <c r="CB252" s="20"/>
      <c r="CC252" s="20"/>
      <c r="CD252" s="20"/>
      <c r="CE252" s="20"/>
      <c r="CF252" s="20"/>
      <c r="CG252" s="20"/>
      <c r="CH252" s="20"/>
      <c r="CM252" s="20"/>
      <c r="CN252" s="20"/>
      <c r="CO252" s="20"/>
      <c r="CP252" s="20"/>
      <c r="CQ252" s="20"/>
      <c r="CR252" s="20"/>
      <c r="CS252" s="20"/>
      <c r="CT252" s="20"/>
      <c r="CY252" s="20"/>
      <c r="CZ252" s="20"/>
      <c r="DA252" s="20"/>
      <c r="DB252" s="20"/>
      <c r="DC252" s="20"/>
      <c r="DD252" s="20"/>
      <c r="DE252" s="20"/>
      <c r="DF252" s="20"/>
      <c r="DG252" s="20"/>
      <c r="DH252" s="20"/>
      <c r="DI252" s="20"/>
      <c r="DJ252" s="20"/>
      <c r="DK252" s="20"/>
      <c r="DL252" s="20"/>
      <c r="DM252" s="20"/>
      <c r="DN252" s="20"/>
      <c r="DO252" s="20"/>
      <c r="DP252" s="20"/>
      <c r="DQ252" s="20"/>
      <c r="DR252" s="20"/>
      <c r="DS252" s="20"/>
      <c r="DT252" s="20"/>
    </row>
    <row r="253" spans="1:124" x14ac:dyDescent="0.25">
      <c r="A253" s="24">
        <v>134558401</v>
      </c>
      <c r="B253" s="24" t="s">
        <v>3968</v>
      </c>
      <c r="E253" s="20"/>
      <c r="F253" s="20"/>
      <c r="G253" s="20"/>
      <c r="H253" s="20"/>
      <c r="I253" s="20"/>
      <c r="J253" s="20"/>
      <c r="K253" s="20"/>
      <c r="L253" s="20"/>
      <c r="M253" s="20"/>
      <c r="N253" s="20"/>
      <c r="O253" s="20"/>
      <c r="P253" s="20"/>
      <c r="Q253" s="20"/>
      <c r="R253" s="20"/>
      <c r="S253" s="20"/>
      <c r="T253" s="20"/>
      <c r="U253" s="20"/>
      <c r="V253" s="20"/>
      <c r="W253" s="20"/>
      <c r="X253" s="20"/>
      <c r="Y253" s="20"/>
      <c r="Z253" s="20"/>
      <c r="AA253" s="20"/>
      <c r="AB253" s="20"/>
      <c r="AC253" s="20"/>
      <c r="AD253" s="20"/>
      <c r="AE253" s="20"/>
      <c r="AF253" s="20"/>
      <c r="AG253" s="20"/>
      <c r="AH253" s="20"/>
      <c r="AI253" s="20"/>
      <c r="AJ253" s="20"/>
      <c r="AK253" s="20"/>
      <c r="AL253" s="20"/>
      <c r="AM253" s="20"/>
      <c r="AN253" s="20"/>
      <c r="AO253" s="20"/>
      <c r="AP253" s="20"/>
      <c r="AQ253" s="20"/>
      <c r="AR253" s="20"/>
      <c r="AS253" s="20"/>
      <c r="AT253" s="20"/>
      <c r="AU253" s="20"/>
      <c r="AV253" s="20"/>
      <c r="AW253" s="20"/>
      <c r="AX253" s="20"/>
      <c r="AY253" s="20"/>
      <c r="AZ253" s="20"/>
      <c r="BA253" s="20"/>
      <c r="BB253" s="20"/>
      <c r="BC253" s="20"/>
      <c r="BD253" s="20"/>
      <c r="BE253" s="20"/>
      <c r="BF253" s="20"/>
      <c r="BG253" s="20"/>
      <c r="BH253" s="20"/>
      <c r="BI253" s="20"/>
      <c r="BJ253" s="20"/>
      <c r="BK253" s="20"/>
      <c r="BL253" s="20"/>
      <c r="BM253" s="20"/>
      <c r="BN253" s="20"/>
      <c r="BO253" s="20"/>
      <c r="BP253" s="20"/>
      <c r="BQ253" s="20"/>
      <c r="BR253" s="20"/>
      <c r="BS253" s="20"/>
      <c r="BT253" s="20"/>
      <c r="BU253" s="20"/>
      <c r="BV253" s="20"/>
      <c r="BW253" s="20"/>
      <c r="BX253" s="20"/>
      <c r="BY253" s="20"/>
      <c r="BZ253" s="20"/>
      <c r="CA253" s="20"/>
      <c r="CB253" s="20"/>
      <c r="CC253" s="20"/>
      <c r="CD253" s="20"/>
      <c r="CE253" s="20"/>
      <c r="CF253" s="20"/>
      <c r="CG253" s="20"/>
      <c r="CH253" s="20"/>
      <c r="CM253" s="20"/>
      <c r="CN253" s="20"/>
      <c r="CO253" s="20"/>
      <c r="CP253" s="20"/>
      <c r="CQ253" s="20"/>
      <c r="CR253" s="20"/>
      <c r="CS253" s="20"/>
      <c r="CT253" s="20"/>
      <c r="CY253" s="20"/>
      <c r="CZ253" s="20"/>
      <c r="DA253" s="20"/>
      <c r="DB253" s="20"/>
      <c r="DC253" s="20"/>
      <c r="DD253" s="20"/>
      <c r="DE253" s="20"/>
      <c r="DF253" s="20"/>
      <c r="DG253" s="20"/>
      <c r="DH253" s="20"/>
      <c r="DI253" s="20"/>
      <c r="DJ253" s="20"/>
      <c r="DK253" s="20"/>
      <c r="DL253" s="20"/>
      <c r="DM253" s="20"/>
      <c r="DN253" s="20"/>
      <c r="DO253" s="20"/>
      <c r="DP253" s="20"/>
      <c r="DQ253" s="20"/>
      <c r="DR253" s="20"/>
      <c r="DS253" s="20"/>
      <c r="DT253" s="20"/>
    </row>
    <row r="254" spans="1:124" x14ac:dyDescent="0.25">
      <c r="A254" s="24">
        <v>134558400</v>
      </c>
      <c r="B254" s="24" t="s">
        <v>3968</v>
      </c>
      <c r="E254" s="20"/>
      <c r="F254" s="20"/>
      <c r="G254" s="20"/>
      <c r="H254" s="20"/>
      <c r="I254" s="20"/>
      <c r="J254" s="20"/>
      <c r="K254" s="20"/>
      <c r="L254" s="20"/>
      <c r="M254" s="20"/>
      <c r="N254" s="20"/>
      <c r="O254" s="20"/>
      <c r="P254" s="20"/>
      <c r="Q254" s="20"/>
      <c r="R254" s="20"/>
      <c r="S254" s="20"/>
      <c r="T254" s="20"/>
      <c r="U254" s="20"/>
      <c r="V254" s="20"/>
      <c r="W254" s="20"/>
      <c r="X254" s="20"/>
      <c r="Y254" s="20"/>
      <c r="Z254" s="20"/>
      <c r="AA254" s="20"/>
      <c r="AB254" s="20"/>
      <c r="AC254" s="20"/>
      <c r="AD254" s="20"/>
      <c r="AE254" s="20"/>
      <c r="AF254" s="20"/>
      <c r="AG254" s="20"/>
      <c r="AH254" s="20"/>
      <c r="AI254" s="20"/>
      <c r="AJ254" s="20"/>
      <c r="AK254" s="20"/>
      <c r="AL254" s="20"/>
      <c r="AM254" s="20"/>
      <c r="AN254" s="20"/>
      <c r="AO254" s="20"/>
      <c r="AP254" s="20"/>
      <c r="AQ254" s="20"/>
      <c r="AR254" s="20"/>
      <c r="AS254" s="20"/>
      <c r="AT254" s="20"/>
      <c r="AU254" s="20"/>
      <c r="AV254" s="20"/>
      <c r="AW254" s="20"/>
      <c r="AX254" s="20"/>
      <c r="AY254" s="20"/>
      <c r="AZ254" s="20"/>
      <c r="BA254" s="20"/>
      <c r="BB254" s="20"/>
      <c r="BC254" s="20"/>
      <c r="BD254" s="20"/>
      <c r="BE254" s="20"/>
      <c r="BF254" s="20"/>
      <c r="BG254" s="20"/>
      <c r="BH254" s="20"/>
      <c r="BI254" s="20"/>
      <c r="BJ254" s="20"/>
      <c r="BK254" s="20"/>
      <c r="BL254" s="20"/>
      <c r="BM254" s="20"/>
      <c r="BN254" s="20"/>
      <c r="BO254" s="20"/>
      <c r="BP254" s="20"/>
      <c r="BQ254" s="20"/>
      <c r="BR254" s="20"/>
      <c r="BS254" s="20"/>
      <c r="BT254" s="20"/>
      <c r="BU254" s="20"/>
      <c r="BV254" s="20"/>
      <c r="BW254" s="20"/>
      <c r="BX254" s="20"/>
      <c r="BY254" s="20"/>
      <c r="BZ254" s="20"/>
      <c r="CA254" s="20"/>
      <c r="CB254" s="20"/>
      <c r="CC254" s="20"/>
      <c r="CD254" s="20"/>
      <c r="CE254" s="20"/>
      <c r="CF254" s="20"/>
      <c r="CG254" s="20"/>
      <c r="CH254" s="20"/>
      <c r="CM254" s="20"/>
      <c r="CN254" s="20"/>
      <c r="CO254" s="20"/>
      <c r="CP254" s="20"/>
      <c r="CQ254" s="20"/>
      <c r="CR254" s="20"/>
      <c r="CS254" s="20"/>
      <c r="CT254" s="20"/>
      <c r="CU254" s="20"/>
      <c r="CV254" s="20"/>
      <c r="CY254" s="20"/>
      <c r="CZ254" s="20"/>
      <c r="DA254" s="20"/>
      <c r="DB254" s="20"/>
      <c r="DC254" s="20"/>
      <c r="DD254" s="20"/>
      <c r="DE254" s="20"/>
      <c r="DF254" s="20"/>
      <c r="DG254" s="20"/>
      <c r="DH254" s="20"/>
      <c r="DI254" s="20"/>
      <c r="DJ254" s="20"/>
      <c r="DK254" s="20"/>
      <c r="DL254" s="20"/>
      <c r="DM254" s="20"/>
      <c r="DN254" s="20"/>
      <c r="DO254" s="20"/>
      <c r="DP254" s="20"/>
      <c r="DQ254" s="20"/>
      <c r="DR254" s="20"/>
      <c r="DS254" s="20"/>
      <c r="DT254" s="20"/>
    </row>
    <row r="255" spans="1:124" x14ac:dyDescent="0.25">
      <c r="A255" s="24" t="s">
        <v>4040</v>
      </c>
      <c r="B255" s="24" t="s">
        <v>3968</v>
      </c>
      <c r="E255" s="20"/>
      <c r="F255" s="20"/>
      <c r="G255" s="20"/>
      <c r="H255" s="20"/>
      <c r="I255" s="20"/>
      <c r="J255" s="20"/>
      <c r="K255" s="20"/>
      <c r="L255" s="20"/>
      <c r="M255" s="20"/>
      <c r="N255" s="20"/>
      <c r="O255" s="20"/>
      <c r="P255" s="20"/>
      <c r="Q255" s="20"/>
      <c r="R255" s="20"/>
      <c r="S255" s="20"/>
      <c r="T255" s="20"/>
      <c r="U255" s="20"/>
      <c r="V255" s="20"/>
      <c r="W255" s="20"/>
      <c r="X255" s="20"/>
      <c r="Y255" s="20"/>
      <c r="Z255" s="20"/>
      <c r="AA255" s="20"/>
      <c r="AB255" s="20"/>
      <c r="AC255" s="20"/>
      <c r="AD255" s="20"/>
      <c r="AE255" s="20"/>
      <c r="AF255" s="20"/>
      <c r="AG255" s="20"/>
      <c r="AH255" s="20"/>
      <c r="AI255" s="20"/>
      <c r="AJ255" s="20"/>
      <c r="AK255" s="20"/>
      <c r="AL255" s="20"/>
      <c r="AM255" s="20"/>
      <c r="AN255" s="20"/>
      <c r="AO255" s="20"/>
      <c r="AP255" s="20"/>
      <c r="AQ255" s="20"/>
      <c r="AR255" s="20"/>
      <c r="AS255" s="20"/>
      <c r="AT255" s="20"/>
      <c r="AU255" s="20"/>
      <c r="AV255" s="20"/>
      <c r="AW255" s="20"/>
      <c r="AX255" s="20"/>
      <c r="AY255" s="20"/>
      <c r="AZ255" s="20"/>
      <c r="BA255" s="20"/>
      <c r="BB255" s="20"/>
      <c r="BC255" s="20"/>
      <c r="BD255" s="20"/>
      <c r="BE255" s="20"/>
      <c r="BF255" s="20"/>
      <c r="BG255" s="20"/>
      <c r="BH255" s="20"/>
      <c r="BI255" s="20"/>
      <c r="BJ255" s="20"/>
      <c r="BK255" s="20"/>
      <c r="BL255" s="20"/>
      <c r="BM255" s="20"/>
      <c r="BN255" s="20"/>
      <c r="BO255" s="20"/>
      <c r="BP255" s="20"/>
      <c r="BQ255" s="20"/>
      <c r="BR255" s="20"/>
      <c r="BS255" s="20"/>
      <c r="BT255" s="20"/>
      <c r="BU255" s="20"/>
      <c r="BV255" s="20"/>
      <c r="BW255" s="20"/>
      <c r="BX255" s="20"/>
      <c r="BY255" s="20"/>
      <c r="BZ255" s="20"/>
      <c r="CA255" s="20"/>
      <c r="CB255" s="20"/>
      <c r="CC255" s="20"/>
      <c r="CD255" s="20"/>
      <c r="CE255" s="20"/>
      <c r="CF255" s="20"/>
      <c r="CG255" s="20"/>
      <c r="CH255" s="20"/>
      <c r="CM255" s="20"/>
      <c r="CN255" s="20"/>
      <c r="CO255" s="20"/>
      <c r="CP255" s="20"/>
      <c r="CQ255" s="20"/>
      <c r="CR255" s="20"/>
      <c r="CS255" s="20"/>
      <c r="CT255" s="20"/>
      <c r="CU255" s="20"/>
      <c r="CV255" s="20"/>
      <c r="CY255" s="20"/>
      <c r="CZ255" s="20"/>
      <c r="DA255" s="20"/>
      <c r="DB255" s="20"/>
      <c r="DC255" s="20"/>
      <c r="DD255" s="20"/>
      <c r="DE255" s="20"/>
      <c r="DF255" s="20"/>
      <c r="DG255" s="20"/>
      <c r="DH255" s="20"/>
      <c r="DI255" s="20"/>
      <c r="DJ255" s="20"/>
      <c r="DK255" s="20"/>
      <c r="DL255" s="20"/>
      <c r="DM255" s="20"/>
      <c r="DN255" s="20"/>
      <c r="DO255" s="20"/>
      <c r="DP255" s="20"/>
      <c r="DQ255" s="20"/>
      <c r="DR255" s="20"/>
      <c r="DS255" s="20"/>
      <c r="DT255" s="20"/>
    </row>
    <row r="256" spans="1:124" x14ac:dyDescent="0.25">
      <c r="A256" s="24" t="s">
        <v>4049</v>
      </c>
      <c r="B256" s="24" t="s">
        <v>3968</v>
      </c>
      <c r="E256" s="20"/>
      <c r="F256" s="20"/>
      <c r="G256" s="20"/>
      <c r="H256" s="20"/>
      <c r="I256" s="20"/>
      <c r="J256" s="20"/>
      <c r="K256" s="20"/>
      <c r="L256" s="20"/>
      <c r="M256" s="20"/>
      <c r="N256" s="20"/>
      <c r="O256" s="20"/>
      <c r="P256" s="20"/>
      <c r="Q256" s="20"/>
      <c r="R256" s="20"/>
      <c r="S256" s="20"/>
      <c r="T256" s="20"/>
      <c r="U256" s="20"/>
      <c r="V256" s="20"/>
      <c r="W256" s="20"/>
      <c r="X256" s="20"/>
      <c r="Y256" s="20"/>
      <c r="Z256" s="20"/>
      <c r="AA256" s="20"/>
      <c r="AB256" s="20"/>
      <c r="AC256" s="20"/>
      <c r="AD256" s="20"/>
      <c r="AE256" s="20"/>
      <c r="AF256" s="20"/>
      <c r="AG256" s="20"/>
      <c r="AH256" s="20"/>
      <c r="AI256" s="20"/>
      <c r="AJ256" s="20"/>
      <c r="AK256" s="20"/>
      <c r="AL256" s="20"/>
      <c r="AM256" s="20"/>
      <c r="AN256" s="20"/>
      <c r="AO256" s="20"/>
      <c r="AP256" s="20"/>
      <c r="AQ256" s="20"/>
      <c r="AR256" s="20"/>
      <c r="AS256" s="20"/>
      <c r="AT256" s="20"/>
      <c r="AU256" s="20"/>
      <c r="AV256" s="20"/>
      <c r="AW256" s="20"/>
      <c r="AX256" s="20"/>
      <c r="AY256" s="20"/>
      <c r="AZ256" s="20"/>
      <c r="BA256" s="20"/>
      <c r="BB256" s="20"/>
      <c r="BC256" s="20"/>
      <c r="BD256" s="20"/>
      <c r="BE256" s="20"/>
      <c r="BF256" s="20"/>
      <c r="BG256" s="20"/>
      <c r="BH256" s="20"/>
      <c r="BI256" s="20"/>
      <c r="BJ256" s="20"/>
      <c r="BK256" s="20"/>
      <c r="BL256" s="20"/>
      <c r="BM256" s="20"/>
      <c r="BN256" s="20"/>
      <c r="BO256" s="20"/>
      <c r="BP256" s="20"/>
      <c r="BQ256" s="20"/>
      <c r="BR256" s="20"/>
      <c r="BS256" s="20"/>
      <c r="BT256" s="20"/>
      <c r="BU256" s="20"/>
      <c r="BV256" s="20"/>
      <c r="BW256" s="20"/>
      <c r="BX256" s="20"/>
      <c r="BY256" s="20"/>
      <c r="BZ256" s="20"/>
      <c r="CA256" s="20"/>
      <c r="CB256" s="20"/>
      <c r="CC256" s="20"/>
      <c r="CD256" s="20"/>
      <c r="CE256" s="20"/>
      <c r="CF256" s="20"/>
      <c r="CG256" s="20"/>
      <c r="CH256" s="20"/>
      <c r="CM256" s="20"/>
      <c r="CN256" s="20"/>
      <c r="CO256" s="20"/>
      <c r="CP256" s="20"/>
      <c r="CQ256" s="20"/>
      <c r="CR256" s="20"/>
      <c r="CS256" s="20"/>
      <c r="CT256" s="20"/>
      <c r="CU256" s="20"/>
      <c r="CV256" s="20"/>
      <c r="CY256" s="20"/>
      <c r="CZ256" s="20"/>
      <c r="DA256" s="20"/>
      <c r="DB256" s="20"/>
      <c r="DC256" s="20"/>
      <c r="DD256" s="20"/>
      <c r="DE256" s="20"/>
      <c r="DF256" s="20"/>
      <c r="DG256" s="20"/>
      <c r="DH256" s="20"/>
      <c r="DI256" s="20"/>
      <c r="DJ256" s="20"/>
      <c r="DK256" s="20"/>
      <c r="DL256" s="20"/>
      <c r="DM256" s="20"/>
      <c r="DN256" s="20"/>
      <c r="DO256" s="20"/>
      <c r="DP256" s="20"/>
      <c r="DQ256" s="20"/>
      <c r="DR256" s="20"/>
      <c r="DS256" s="20"/>
      <c r="DT256" s="20"/>
    </row>
    <row r="257" spans="1:124" x14ac:dyDescent="0.25">
      <c r="A257" s="24">
        <v>313260439</v>
      </c>
      <c r="B257" s="24" t="s">
        <v>3968</v>
      </c>
      <c r="E257" s="20"/>
      <c r="F257" s="20"/>
      <c r="G257" s="20"/>
      <c r="H257" s="20"/>
      <c r="I257" s="20"/>
      <c r="J257" s="20"/>
      <c r="K257" s="20"/>
      <c r="L257" s="20"/>
      <c r="M257" s="20"/>
      <c r="N257" s="20"/>
      <c r="O257" s="20"/>
      <c r="P257" s="20"/>
      <c r="Q257" s="20"/>
      <c r="R257" s="20"/>
      <c r="S257" s="20"/>
      <c r="T257" s="20"/>
      <c r="U257" s="20"/>
      <c r="V257" s="20"/>
      <c r="W257" s="20"/>
      <c r="X257" s="20"/>
      <c r="Y257" s="20"/>
      <c r="Z257" s="20"/>
      <c r="AA257" s="20"/>
      <c r="AB257" s="20"/>
      <c r="AC257" s="20"/>
      <c r="AD257" s="20"/>
      <c r="AE257" s="20"/>
      <c r="AF257" s="20"/>
      <c r="AG257" s="20"/>
      <c r="AH257" s="20"/>
      <c r="AI257" s="20"/>
      <c r="AJ257" s="20"/>
      <c r="AK257" s="20"/>
      <c r="AL257" s="20"/>
      <c r="AM257" s="20"/>
      <c r="AN257" s="20"/>
      <c r="AO257" s="20"/>
      <c r="AP257" s="20"/>
      <c r="AQ257" s="20"/>
      <c r="AR257" s="20"/>
      <c r="AS257" s="20"/>
      <c r="AT257" s="20"/>
      <c r="AU257" s="20"/>
      <c r="AV257" s="20"/>
      <c r="AW257" s="20"/>
      <c r="AX257" s="20"/>
      <c r="AY257" s="20"/>
      <c r="AZ257" s="20"/>
      <c r="BA257" s="20"/>
      <c r="BB257" s="20"/>
      <c r="BC257" s="20"/>
      <c r="BD257" s="20"/>
      <c r="BE257" s="20"/>
      <c r="BF257" s="20"/>
      <c r="BG257" s="20"/>
      <c r="BH257" s="20"/>
      <c r="BI257" s="20"/>
      <c r="BJ257" s="20"/>
      <c r="BK257" s="20"/>
      <c r="BL257" s="20"/>
      <c r="BM257" s="20"/>
      <c r="BN257" s="20"/>
      <c r="BO257" s="20"/>
      <c r="BP257" s="20"/>
      <c r="BQ257" s="20"/>
      <c r="BR257" s="20"/>
      <c r="BS257" s="20"/>
      <c r="BT257" s="20"/>
      <c r="BU257" s="20"/>
      <c r="BV257" s="20"/>
      <c r="BW257" s="20"/>
      <c r="BX257" s="20"/>
      <c r="BY257" s="20"/>
      <c r="BZ257" s="20"/>
      <c r="CA257" s="20"/>
      <c r="CB257" s="20"/>
      <c r="CC257" s="20"/>
      <c r="CD257" s="20"/>
      <c r="CE257" s="20"/>
      <c r="CF257" s="20"/>
      <c r="CG257" s="20"/>
      <c r="CH257" s="20"/>
      <c r="CM257" s="20"/>
      <c r="CN257" s="20"/>
      <c r="CO257" s="20"/>
      <c r="CP257" s="20"/>
      <c r="CQ257" s="20"/>
      <c r="CR257" s="20"/>
      <c r="CS257" s="20"/>
      <c r="CT257" s="20"/>
      <c r="CU257" s="20"/>
      <c r="CV257" s="20"/>
      <c r="CY257" s="20"/>
      <c r="CZ257" s="20"/>
      <c r="DA257" s="20"/>
      <c r="DB257" s="20"/>
      <c r="DC257" s="20"/>
      <c r="DD257" s="20"/>
      <c r="DE257" s="20"/>
      <c r="DF257" s="20"/>
      <c r="DG257" s="20"/>
      <c r="DH257" s="20"/>
      <c r="DI257" s="20"/>
      <c r="DJ257" s="20"/>
      <c r="DK257" s="20"/>
      <c r="DL257" s="20"/>
      <c r="DM257" s="20"/>
      <c r="DN257" s="20"/>
      <c r="DO257" s="20"/>
      <c r="DP257" s="20"/>
      <c r="DQ257" s="20"/>
      <c r="DR257" s="20"/>
      <c r="DS257" s="20"/>
      <c r="DT257" s="20"/>
    </row>
    <row r="258" spans="1:124" x14ac:dyDescent="0.25">
      <c r="A258" s="24">
        <v>424803249</v>
      </c>
      <c r="B258" s="24" t="s">
        <v>3968</v>
      </c>
      <c r="E258" s="20"/>
      <c r="F258" s="20"/>
      <c r="G258" s="20"/>
      <c r="H258" s="20"/>
      <c r="I258" s="20"/>
      <c r="J258" s="20"/>
      <c r="K258" s="20"/>
      <c r="L258" s="20"/>
      <c r="M258" s="20"/>
      <c r="N258" s="20"/>
      <c r="O258" s="20"/>
      <c r="P258" s="20"/>
      <c r="Q258" s="20"/>
      <c r="R258" s="20"/>
      <c r="S258" s="20"/>
      <c r="T258" s="20"/>
      <c r="U258" s="20"/>
      <c r="V258" s="20"/>
      <c r="W258" s="20"/>
      <c r="X258" s="20"/>
      <c r="Y258" s="20"/>
      <c r="Z258" s="20"/>
      <c r="AA258" s="20"/>
      <c r="AB258" s="20"/>
      <c r="AC258" s="20"/>
      <c r="AD258" s="20"/>
      <c r="AE258" s="20"/>
      <c r="AF258" s="20"/>
      <c r="AG258" s="20"/>
      <c r="AH258" s="20"/>
      <c r="AI258" s="20"/>
      <c r="AJ258" s="20"/>
      <c r="AK258" s="20"/>
      <c r="AL258" s="20"/>
      <c r="AM258" s="20"/>
      <c r="AN258" s="20"/>
      <c r="AO258" s="20"/>
      <c r="AP258" s="20"/>
      <c r="AQ258" s="20"/>
      <c r="AR258" s="20"/>
      <c r="AS258" s="20"/>
      <c r="AT258" s="20"/>
      <c r="AU258" s="20"/>
      <c r="AV258" s="20"/>
      <c r="AW258" s="20"/>
      <c r="AX258" s="20"/>
      <c r="AY258" s="20"/>
      <c r="AZ258" s="20"/>
      <c r="BA258" s="20"/>
      <c r="BB258" s="20"/>
      <c r="BC258" s="20"/>
      <c r="BD258" s="20"/>
      <c r="BE258" s="20"/>
      <c r="BF258" s="20"/>
      <c r="BG258" s="20"/>
      <c r="BH258" s="20"/>
      <c r="BI258" s="20"/>
      <c r="BJ258" s="20"/>
      <c r="BK258" s="20"/>
      <c r="BL258" s="20"/>
      <c r="BM258" s="20"/>
      <c r="BN258" s="20"/>
      <c r="BO258" s="20"/>
      <c r="BP258" s="20"/>
      <c r="BQ258" s="20"/>
      <c r="BR258" s="20"/>
      <c r="BS258" s="20"/>
      <c r="BT258" s="20"/>
      <c r="BU258" s="20"/>
      <c r="BV258" s="20"/>
      <c r="BW258" s="20"/>
      <c r="BX258" s="20"/>
      <c r="BY258" s="20"/>
      <c r="BZ258" s="20"/>
      <c r="CA258" s="20"/>
      <c r="CB258" s="20"/>
      <c r="CC258" s="20"/>
      <c r="CD258" s="20"/>
      <c r="CE258" s="20"/>
      <c r="CF258" s="20"/>
      <c r="CG258" s="20"/>
      <c r="CH258" s="20"/>
      <c r="CM258" s="20"/>
      <c r="CN258" s="20"/>
      <c r="CO258" s="20"/>
      <c r="CP258" s="20"/>
      <c r="CQ258" s="20"/>
      <c r="CR258" s="20"/>
      <c r="CS258" s="20"/>
      <c r="CT258" s="20"/>
      <c r="CU258" s="20"/>
      <c r="CV258" s="20"/>
      <c r="CY258" s="20"/>
      <c r="CZ258" s="20"/>
      <c r="DA258" s="20"/>
      <c r="DB258" s="20"/>
      <c r="DC258" s="20"/>
      <c r="DD258" s="20"/>
      <c r="DE258" s="20"/>
      <c r="DF258" s="20"/>
      <c r="DG258" s="20"/>
      <c r="DH258" s="20"/>
      <c r="DI258" s="20"/>
      <c r="DJ258" s="20"/>
      <c r="DK258" s="20"/>
      <c r="DL258" s="20"/>
      <c r="DM258" s="20"/>
      <c r="DN258" s="20"/>
      <c r="DO258" s="20"/>
      <c r="DP258" s="20"/>
      <c r="DQ258" s="20"/>
      <c r="DR258" s="20"/>
      <c r="DS258" s="20"/>
      <c r="DT258" s="20"/>
    </row>
    <row r="259" spans="1:124" x14ac:dyDescent="0.25">
      <c r="A259" s="24" t="s">
        <v>4081</v>
      </c>
      <c r="B259" s="24" t="s">
        <v>3968</v>
      </c>
      <c r="E259" s="20"/>
      <c r="F259" s="20"/>
      <c r="G259" s="20"/>
      <c r="H259" s="20"/>
      <c r="I259" s="20"/>
      <c r="J259" s="20"/>
      <c r="K259" s="20"/>
      <c r="L259" s="20"/>
      <c r="M259" s="20"/>
      <c r="N259" s="20"/>
      <c r="O259" s="20"/>
      <c r="P259" s="20"/>
      <c r="Q259" s="20"/>
      <c r="R259" s="20"/>
      <c r="S259" s="20"/>
      <c r="T259" s="20"/>
      <c r="U259" s="20"/>
      <c r="V259" s="20"/>
      <c r="W259" s="20"/>
      <c r="X259" s="20"/>
      <c r="Y259" s="20"/>
      <c r="Z259" s="20"/>
      <c r="AA259" s="20"/>
      <c r="AB259" s="20"/>
      <c r="AC259" s="20"/>
      <c r="AD259" s="20"/>
      <c r="AE259" s="20"/>
      <c r="AF259" s="20"/>
      <c r="AG259" s="20"/>
      <c r="AH259" s="20"/>
      <c r="AI259" s="20"/>
      <c r="AJ259" s="20"/>
      <c r="AK259" s="20"/>
      <c r="AL259" s="20"/>
      <c r="AM259" s="20"/>
      <c r="AN259" s="20"/>
      <c r="AO259" s="20"/>
      <c r="AP259" s="20"/>
      <c r="AQ259" s="20"/>
      <c r="AR259" s="20"/>
      <c r="AS259" s="20"/>
      <c r="AT259" s="20"/>
      <c r="AU259" s="20"/>
      <c r="AV259" s="20"/>
      <c r="AW259" s="20"/>
      <c r="AX259" s="20"/>
      <c r="AY259" s="20"/>
      <c r="AZ259" s="20"/>
      <c r="BA259" s="20"/>
      <c r="BB259" s="20"/>
      <c r="BC259" s="20"/>
      <c r="BD259" s="20"/>
      <c r="BE259" s="20"/>
      <c r="BF259" s="20"/>
      <c r="BG259" s="20"/>
      <c r="BH259" s="20"/>
      <c r="BI259" s="20"/>
      <c r="BJ259" s="20"/>
      <c r="BK259" s="20"/>
      <c r="BL259" s="20"/>
      <c r="BM259" s="20"/>
      <c r="BN259" s="20"/>
      <c r="BO259" s="20"/>
      <c r="BP259" s="20"/>
      <c r="BQ259" s="20"/>
      <c r="BR259" s="20"/>
      <c r="BS259" s="20"/>
      <c r="BT259" s="20"/>
      <c r="BU259" s="20"/>
      <c r="BV259" s="20"/>
      <c r="BW259" s="20"/>
      <c r="BX259" s="20"/>
      <c r="BY259" s="20"/>
      <c r="BZ259" s="20"/>
      <c r="CA259" s="20"/>
      <c r="CB259" s="20"/>
      <c r="CC259" s="20"/>
      <c r="CD259" s="20"/>
      <c r="CE259" s="20"/>
      <c r="CF259" s="20"/>
      <c r="CG259" s="20"/>
      <c r="CH259" s="20"/>
      <c r="CM259" s="20"/>
      <c r="CN259" s="20"/>
      <c r="CO259" s="20"/>
      <c r="CP259" s="20"/>
      <c r="CQ259" s="20"/>
      <c r="CR259" s="20"/>
      <c r="CS259" s="20"/>
      <c r="CT259" s="20"/>
      <c r="CU259" s="20"/>
      <c r="CV259" s="20"/>
      <c r="CY259" s="20"/>
      <c r="CZ259" s="20"/>
      <c r="DA259" s="20"/>
      <c r="DB259" s="20"/>
      <c r="DC259" s="20"/>
      <c r="DD259" s="20"/>
      <c r="DE259" s="20"/>
      <c r="DF259" s="20"/>
      <c r="DG259" s="20"/>
      <c r="DH259" s="20"/>
      <c r="DI259" s="20"/>
      <c r="DJ259" s="20"/>
      <c r="DK259" s="20"/>
      <c r="DL259" s="20"/>
      <c r="DM259" s="20"/>
      <c r="DN259" s="20"/>
      <c r="DO259" s="20"/>
      <c r="DP259" s="20"/>
      <c r="DQ259" s="20"/>
      <c r="DR259" s="20"/>
      <c r="DS259" s="20"/>
      <c r="DT259" s="20"/>
    </row>
    <row r="260" spans="1:124" x14ac:dyDescent="0.25">
      <c r="A260" s="24" t="s">
        <v>4097</v>
      </c>
      <c r="B260" s="24" t="s">
        <v>3968</v>
      </c>
      <c r="E260" s="20"/>
      <c r="F260" s="20"/>
      <c r="G260" s="20"/>
      <c r="H260" s="20"/>
      <c r="I260" s="20"/>
      <c r="J260" s="20"/>
      <c r="K260" s="20"/>
      <c r="L260" s="20"/>
      <c r="M260" s="20"/>
      <c r="N260" s="20"/>
      <c r="O260" s="20"/>
      <c r="P260" s="20"/>
      <c r="Q260" s="20"/>
      <c r="R260" s="20"/>
      <c r="S260" s="20"/>
      <c r="T260" s="20"/>
      <c r="U260" s="20"/>
      <c r="V260" s="20"/>
      <c r="W260" s="20"/>
      <c r="X260" s="20"/>
      <c r="Y260" s="20"/>
      <c r="Z260" s="20"/>
      <c r="AA260" s="20"/>
      <c r="AB260" s="20"/>
      <c r="AC260" s="20"/>
      <c r="AD260" s="20"/>
      <c r="AE260" s="20"/>
      <c r="AF260" s="20"/>
      <c r="AG260" s="20"/>
      <c r="AH260" s="20"/>
      <c r="AI260" s="20"/>
      <c r="AJ260" s="20"/>
      <c r="AK260" s="20"/>
      <c r="AL260" s="20"/>
      <c r="AM260" s="20"/>
      <c r="AN260" s="20"/>
      <c r="AO260" s="20"/>
      <c r="AP260" s="20"/>
      <c r="AQ260" s="20"/>
      <c r="AR260" s="20"/>
      <c r="AS260" s="20"/>
      <c r="AT260" s="20"/>
      <c r="AU260" s="20"/>
      <c r="AV260" s="20"/>
      <c r="AW260" s="20"/>
      <c r="AX260" s="20"/>
      <c r="AY260" s="20"/>
      <c r="AZ260" s="20"/>
      <c r="BA260" s="20"/>
      <c r="BB260" s="20"/>
      <c r="BC260" s="20"/>
      <c r="BD260" s="20"/>
      <c r="BE260" s="20"/>
      <c r="BF260" s="20"/>
      <c r="BG260" s="20"/>
      <c r="BH260" s="20"/>
      <c r="BI260" s="20"/>
      <c r="BJ260" s="20"/>
      <c r="BK260" s="20"/>
      <c r="BL260" s="20"/>
      <c r="BM260" s="20"/>
      <c r="BN260" s="20"/>
      <c r="BO260" s="20"/>
      <c r="BP260" s="20"/>
      <c r="BQ260" s="20"/>
      <c r="BR260" s="20"/>
      <c r="BS260" s="20"/>
      <c r="BT260" s="20"/>
      <c r="BU260" s="20"/>
      <c r="BV260" s="20"/>
      <c r="BW260" s="20"/>
      <c r="BX260" s="20"/>
      <c r="BY260" s="20"/>
      <c r="BZ260" s="20"/>
      <c r="CA260" s="20"/>
      <c r="CB260" s="20"/>
      <c r="CC260" s="20"/>
      <c r="CD260" s="20"/>
      <c r="CE260" s="20"/>
      <c r="CF260" s="20"/>
      <c r="CG260" s="20"/>
      <c r="CH260" s="20"/>
      <c r="CM260" s="20"/>
      <c r="CN260" s="20"/>
      <c r="CO260" s="20"/>
      <c r="CP260" s="20"/>
      <c r="CQ260" s="20"/>
      <c r="CR260" s="20"/>
      <c r="CS260" s="20"/>
      <c r="CT260" s="20"/>
      <c r="CU260" s="20"/>
      <c r="CV260" s="20"/>
      <c r="CY260" s="20"/>
      <c r="CZ260" s="20"/>
      <c r="DA260" s="20"/>
      <c r="DB260" s="20"/>
      <c r="DC260" s="20"/>
      <c r="DD260" s="20"/>
      <c r="DE260" s="20"/>
      <c r="DF260" s="20"/>
      <c r="DG260" s="20"/>
      <c r="DH260" s="20"/>
      <c r="DI260" s="20"/>
      <c r="DJ260" s="20"/>
      <c r="DK260" s="20"/>
      <c r="DL260" s="20"/>
      <c r="DM260" s="20"/>
      <c r="DN260" s="20"/>
      <c r="DO260" s="20"/>
      <c r="DP260" s="20"/>
      <c r="DQ260" s="20"/>
      <c r="DR260" s="20"/>
      <c r="DS260" s="20"/>
      <c r="DT260" s="20"/>
    </row>
    <row r="261" spans="1:124" x14ac:dyDescent="0.25">
      <c r="A261" s="24">
        <v>423972760</v>
      </c>
      <c r="B261" s="24" t="s">
        <v>3968</v>
      </c>
      <c r="E261" s="20"/>
      <c r="F261" s="20"/>
      <c r="G261" s="20"/>
      <c r="H261" s="20"/>
      <c r="I261" s="20"/>
      <c r="J261" s="20"/>
      <c r="K261" s="20"/>
      <c r="L261" s="20"/>
      <c r="M261" s="20"/>
      <c r="N261" s="20"/>
      <c r="O261" s="20"/>
      <c r="P261" s="20"/>
      <c r="Q261" s="20"/>
      <c r="R261" s="20"/>
      <c r="S261" s="20"/>
      <c r="T261" s="20"/>
      <c r="U261" s="20"/>
      <c r="V261" s="20"/>
      <c r="W261" s="20"/>
      <c r="X261" s="20"/>
      <c r="Y261" s="20"/>
      <c r="Z261" s="20"/>
      <c r="AA261" s="20"/>
      <c r="AB261" s="20"/>
      <c r="AC261" s="20"/>
      <c r="AD261" s="20"/>
      <c r="AE261" s="20"/>
      <c r="AF261" s="20"/>
      <c r="AG261" s="20"/>
      <c r="AH261" s="20"/>
      <c r="AI261" s="20"/>
      <c r="AJ261" s="20"/>
      <c r="AK261" s="20"/>
      <c r="AL261" s="20"/>
      <c r="AM261" s="20"/>
      <c r="AN261" s="20"/>
      <c r="AO261" s="20"/>
      <c r="AP261" s="20"/>
      <c r="AQ261" s="20"/>
      <c r="AR261" s="20"/>
      <c r="AS261" s="20"/>
      <c r="AT261" s="20"/>
      <c r="AU261" s="20"/>
      <c r="AV261" s="20"/>
      <c r="AW261" s="20"/>
      <c r="AX261" s="20"/>
      <c r="AY261" s="20"/>
      <c r="AZ261" s="20"/>
      <c r="BA261" s="20"/>
      <c r="BB261" s="20"/>
      <c r="BC261" s="20"/>
      <c r="BD261" s="20"/>
      <c r="BE261" s="20"/>
      <c r="BF261" s="20"/>
      <c r="BG261" s="20"/>
      <c r="BH261" s="20"/>
      <c r="BI261" s="20"/>
      <c r="BJ261" s="20"/>
      <c r="BK261" s="20"/>
      <c r="BL261" s="20"/>
      <c r="BM261" s="20"/>
      <c r="BN261" s="20"/>
      <c r="BO261" s="20"/>
      <c r="BP261" s="20"/>
      <c r="BQ261" s="20"/>
      <c r="BR261" s="20"/>
      <c r="BS261" s="20"/>
      <c r="BT261" s="20"/>
      <c r="BU261" s="20"/>
      <c r="BV261" s="20"/>
      <c r="BW261" s="20"/>
      <c r="BX261" s="20"/>
      <c r="BY261" s="20"/>
      <c r="BZ261" s="20"/>
      <c r="CA261" s="20"/>
      <c r="CB261" s="20"/>
      <c r="CC261" s="20"/>
      <c r="CD261" s="20"/>
      <c r="CE261" s="20"/>
      <c r="CF261" s="20"/>
      <c r="CG261" s="20"/>
      <c r="CH261" s="20"/>
      <c r="CM261" s="20"/>
      <c r="CN261" s="20"/>
      <c r="CO261" s="20"/>
      <c r="CP261" s="20"/>
      <c r="CQ261" s="20"/>
      <c r="CR261" s="20"/>
      <c r="CS261" s="20"/>
      <c r="CT261" s="20"/>
      <c r="CU261" s="20"/>
      <c r="CV261" s="20"/>
      <c r="CY261" s="20"/>
      <c r="CZ261" s="20"/>
      <c r="DA261" s="20"/>
      <c r="DB261" s="20"/>
      <c r="DC261" s="20"/>
      <c r="DD261" s="20"/>
      <c r="DE261" s="20"/>
      <c r="DF261" s="20"/>
      <c r="DG261" s="20"/>
      <c r="DH261" s="20"/>
      <c r="DI261" s="20"/>
      <c r="DJ261" s="20"/>
      <c r="DK261" s="20"/>
      <c r="DL261" s="20"/>
      <c r="DM261" s="20"/>
      <c r="DN261" s="20"/>
      <c r="DO261" s="20"/>
      <c r="DP261" s="20"/>
      <c r="DQ261" s="20"/>
      <c r="DR261" s="20"/>
      <c r="DS261" s="20"/>
      <c r="DT261" s="20"/>
    </row>
    <row r="262" spans="1:124" x14ac:dyDescent="0.25">
      <c r="A262" s="24" t="s">
        <v>4125</v>
      </c>
      <c r="B262" s="24" t="s">
        <v>3968</v>
      </c>
      <c r="E262" s="20"/>
      <c r="F262" s="20"/>
      <c r="G262" s="20"/>
      <c r="H262" s="20"/>
      <c r="I262" s="20"/>
      <c r="J262" s="20"/>
      <c r="K262" s="20"/>
      <c r="L262" s="20"/>
      <c r="M262" s="20"/>
      <c r="N262" s="20"/>
      <c r="O262" s="20"/>
      <c r="P262" s="20"/>
      <c r="Q262" s="20"/>
      <c r="R262" s="20"/>
      <c r="S262" s="20"/>
      <c r="T262" s="20"/>
      <c r="U262" s="20"/>
      <c r="V262" s="20"/>
      <c r="W262" s="20"/>
      <c r="X262" s="20"/>
      <c r="Y262" s="20"/>
      <c r="Z262" s="20"/>
      <c r="AA262" s="20"/>
      <c r="AB262" s="20"/>
      <c r="AC262" s="20"/>
      <c r="AD262" s="20"/>
      <c r="AE262" s="20"/>
      <c r="AF262" s="20"/>
      <c r="AG262" s="20"/>
      <c r="AH262" s="20"/>
      <c r="AI262" s="20"/>
      <c r="AJ262" s="20"/>
      <c r="AK262" s="20"/>
      <c r="AL262" s="20"/>
      <c r="AM262" s="20"/>
      <c r="AN262" s="20"/>
      <c r="AO262" s="20"/>
      <c r="AP262" s="20"/>
      <c r="AQ262" s="20"/>
      <c r="AR262" s="20"/>
      <c r="AS262" s="20"/>
      <c r="AT262" s="20"/>
      <c r="AU262" s="20"/>
      <c r="AV262" s="20"/>
      <c r="AW262" s="20"/>
      <c r="AX262" s="20"/>
      <c r="AY262" s="20"/>
      <c r="AZ262" s="20"/>
      <c r="BA262" s="20"/>
      <c r="BB262" s="20"/>
      <c r="BC262" s="20"/>
      <c r="BD262" s="20"/>
      <c r="BE262" s="20"/>
      <c r="BF262" s="20"/>
      <c r="BG262" s="20"/>
      <c r="BH262" s="20"/>
      <c r="BI262" s="20"/>
      <c r="BJ262" s="20"/>
      <c r="BK262" s="20"/>
      <c r="BL262" s="20"/>
      <c r="BM262" s="20"/>
      <c r="BN262" s="20"/>
      <c r="BO262" s="20"/>
      <c r="BP262" s="20"/>
      <c r="BQ262" s="20"/>
      <c r="BR262" s="20"/>
      <c r="BS262" s="20"/>
      <c r="BT262" s="20"/>
      <c r="BU262" s="20"/>
      <c r="BV262" s="20"/>
      <c r="BW262" s="20"/>
      <c r="BX262" s="20"/>
      <c r="BY262" s="20"/>
      <c r="BZ262" s="20"/>
      <c r="CA262" s="20"/>
      <c r="CB262" s="20"/>
      <c r="CC262" s="20"/>
      <c r="CD262" s="20"/>
      <c r="CE262" s="20"/>
      <c r="CF262" s="20"/>
      <c r="CG262" s="20"/>
      <c r="CH262" s="20"/>
      <c r="CM262" s="20"/>
      <c r="CN262" s="20"/>
      <c r="CO262" s="20"/>
      <c r="CP262" s="20"/>
      <c r="CQ262" s="20"/>
      <c r="CR262" s="20"/>
      <c r="CS262" s="20"/>
      <c r="CT262" s="20"/>
      <c r="CU262" s="20"/>
      <c r="CV262" s="20"/>
      <c r="CY262" s="20"/>
      <c r="CZ262" s="20"/>
      <c r="DA262" s="20"/>
      <c r="DB262" s="20"/>
      <c r="DC262" s="20"/>
      <c r="DD262" s="20"/>
      <c r="DE262" s="20"/>
      <c r="DF262" s="20"/>
      <c r="DG262" s="20"/>
      <c r="DH262" s="20"/>
      <c r="DI262" s="20"/>
      <c r="DJ262" s="20"/>
      <c r="DK262" s="20"/>
      <c r="DL262" s="20"/>
      <c r="DM262" s="20"/>
      <c r="DN262" s="20"/>
      <c r="DO262" s="20"/>
      <c r="DP262" s="20"/>
      <c r="DQ262" s="20"/>
      <c r="DR262" s="20"/>
      <c r="DS262" s="20"/>
      <c r="DT262" s="20"/>
    </row>
    <row r="263" spans="1:124" x14ac:dyDescent="0.25">
      <c r="A263" s="21" t="s">
        <v>3969</v>
      </c>
      <c r="B263" s="21" t="s">
        <v>3969</v>
      </c>
      <c r="E263" s="20"/>
      <c r="F263" s="20"/>
      <c r="G263" s="20"/>
      <c r="H263" s="20"/>
      <c r="I263" s="20"/>
      <c r="J263" s="20"/>
      <c r="K263" s="20"/>
      <c r="L263" s="20"/>
      <c r="M263" s="20"/>
      <c r="N263" s="20"/>
      <c r="O263" s="20"/>
      <c r="P263" s="20"/>
      <c r="Q263" s="20"/>
      <c r="R263" s="20"/>
      <c r="S263" s="20"/>
      <c r="T263" s="20"/>
      <c r="U263" s="20"/>
      <c r="V263" s="20"/>
      <c r="W263" s="20"/>
      <c r="X263" s="20"/>
      <c r="Y263" s="20"/>
      <c r="Z263" s="20"/>
      <c r="AA263" s="20"/>
      <c r="AB263" s="20"/>
      <c r="AC263" s="20"/>
      <c r="AD263" s="20"/>
      <c r="AE263" s="20"/>
      <c r="AF263" s="20"/>
      <c r="AG263" s="20"/>
      <c r="AH263" s="20"/>
      <c r="AI263" s="20"/>
      <c r="AJ263" s="20"/>
      <c r="AK263" s="20"/>
      <c r="AL263" s="20"/>
      <c r="AM263" s="20"/>
      <c r="AN263" s="20"/>
      <c r="AO263" s="20"/>
      <c r="AP263" s="20"/>
      <c r="AQ263" s="20"/>
      <c r="AR263" s="20"/>
      <c r="AS263" s="20"/>
      <c r="AT263" s="20"/>
      <c r="AU263" s="20"/>
      <c r="AV263" s="20"/>
      <c r="AW263" s="20"/>
      <c r="AX263" s="20"/>
      <c r="AY263" s="20"/>
      <c r="AZ263" s="20"/>
      <c r="BA263" s="20"/>
      <c r="BB263" s="20"/>
      <c r="BC263" s="20"/>
      <c r="BD263" s="20"/>
      <c r="BE263" s="20"/>
      <c r="BF263" s="20"/>
      <c r="BG263" s="20"/>
      <c r="BH263" s="20"/>
      <c r="BI263" s="20"/>
      <c r="BJ263" s="20"/>
      <c r="BK263" s="20"/>
      <c r="BL263" s="20"/>
      <c r="BM263" s="20"/>
      <c r="BN263" s="20"/>
      <c r="BO263" s="20"/>
      <c r="BP263" s="20"/>
      <c r="BQ263" s="20"/>
      <c r="BR263" s="20"/>
      <c r="BS263" s="20"/>
      <c r="BT263" s="20"/>
      <c r="BU263" s="20"/>
      <c r="BV263" s="20"/>
      <c r="BW263" s="20"/>
      <c r="BX263" s="20"/>
      <c r="BY263" s="20"/>
      <c r="BZ263" s="20"/>
      <c r="CA263" s="20"/>
      <c r="CB263" s="20"/>
      <c r="CC263" s="20"/>
      <c r="CD263" s="20"/>
      <c r="CE263" s="20"/>
      <c r="CF263" s="20"/>
      <c r="CG263" s="20"/>
      <c r="CH263" s="20"/>
      <c r="CM263" s="20"/>
      <c r="CN263" s="20"/>
      <c r="CO263" s="20"/>
      <c r="CP263" s="20"/>
      <c r="CQ263" s="20"/>
      <c r="CR263" s="20"/>
      <c r="CS263" s="20"/>
      <c r="CT263" s="20"/>
      <c r="CU263" s="20"/>
      <c r="CV263" s="20"/>
      <c r="CW263" s="20"/>
      <c r="CX263" s="20"/>
      <c r="CY263" s="20"/>
      <c r="CZ263" s="20"/>
      <c r="DA263" s="20"/>
      <c r="DB263" s="20"/>
      <c r="DC263" s="20"/>
      <c r="DD263" s="20"/>
      <c r="DE263" s="20"/>
      <c r="DF263" s="20"/>
      <c r="DG263" s="20"/>
      <c r="DH263" s="20"/>
      <c r="DI263" s="20"/>
      <c r="DJ263" s="20"/>
      <c r="DK263" s="20"/>
      <c r="DL263" s="20"/>
      <c r="DM263" s="20"/>
      <c r="DN263" s="20"/>
      <c r="DO263" s="20"/>
      <c r="DP263" s="20"/>
      <c r="DQ263" s="20"/>
      <c r="DR263" s="20"/>
      <c r="DS263" s="20"/>
      <c r="DT263" s="20"/>
    </row>
    <row r="264" spans="1:124" x14ac:dyDescent="0.25">
      <c r="A264" s="21" t="s">
        <v>4027</v>
      </c>
      <c r="B264" s="21" t="s">
        <v>3969</v>
      </c>
      <c r="E264" s="20"/>
      <c r="F264" s="20"/>
      <c r="G264" s="20"/>
      <c r="H264" s="20"/>
      <c r="I264" s="20"/>
      <c r="J264" s="20"/>
      <c r="K264" s="20"/>
      <c r="L264" s="20"/>
      <c r="M264" s="20"/>
      <c r="N264" s="20"/>
      <c r="O264" s="20"/>
      <c r="P264" s="20"/>
      <c r="Q264" s="20"/>
      <c r="R264" s="20"/>
      <c r="S264" s="20"/>
      <c r="T264" s="20"/>
      <c r="U264" s="20"/>
      <c r="V264" s="20"/>
      <c r="W264" s="20"/>
      <c r="X264" s="20"/>
      <c r="Y264" s="20"/>
      <c r="Z264" s="20"/>
      <c r="AA264" s="20"/>
      <c r="AB264" s="20"/>
      <c r="AC264" s="20"/>
      <c r="AD264" s="20"/>
      <c r="AE264" s="20"/>
      <c r="AF264" s="20"/>
      <c r="AG264" s="20"/>
      <c r="AH264" s="20"/>
      <c r="AI264" s="20"/>
      <c r="AJ264" s="20"/>
      <c r="AK264" s="20"/>
      <c r="AL264" s="20"/>
      <c r="AM264" s="20"/>
      <c r="AN264" s="20"/>
      <c r="AO264" s="20"/>
      <c r="AP264" s="20"/>
      <c r="AQ264" s="20"/>
      <c r="AR264" s="20"/>
      <c r="AS264" s="20"/>
      <c r="AT264" s="20"/>
      <c r="AU264" s="20"/>
      <c r="AV264" s="20"/>
      <c r="AW264" s="20"/>
      <c r="AX264" s="20"/>
      <c r="AY264" s="20"/>
      <c r="AZ264" s="20"/>
      <c r="BA264" s="20"/>
      <c r="BB264" s="20"/>
      <c r="BC264" s="20"/>
      <c r="BD264" s="20"/>
      <c r="BE264" s="20"/>
      <c r="BF264" s="20"/>
      <c r="BG264" s="20"/>
      <c r="BH264" s="20"/>
      <c r="BI264" s="20"/>
      <c r="BJ264" s="20"/>
      <c r="BK264" s="20"/>
      <c r="BL264" s="20"/>
      <c r="BM264" s="20"/>
      <c r="BN264" s="20"/>
      <c r="BO264" s="20"/>
      <c r="BP264" s="20"/>
      <c r="BQ264" s="20"/>
      <c r="BR264" s="20"/>
      <c r="BS264" s="20"/>
      <c r="BT264" s="20"/>
      <c r="BU264" s="20"/>
      <c r="BV264" s="20"/>
      <c r="BW264" s="20"/>
      <c r="BX264" s="20"/>
      <c r="BY264" s="20"/>
      <c r="BZ264" s="20"/>
      <c r="CA264" s="20"/>
      <c r="CB264" s="20"/>
      <c r="CC264" s="20"/>
      <c r="CD264" s="20"/>
      <c r="CE264" s="20"/>
      <c r="CF264" s="20"/>
      <c r="CG264" s="20"/>
      <c r="CH264" s="20"/>
      <c r="CM264" s="20"/>
      <c r="CN264" s="20"/>
      <c r="CO264" s="20"/>
      <c r="CP264" s="20"/>
      <c r="CQ264" s="20"/>
      <c r="CR264" s="20"/>
      <c r="CS264" s="20"/>
      <c r="CT264" s="20"/>
      <c r="CU264" s="20"/>
      <c r="CV264" s="20"/>
      <c r="CW264" s="20"/>
      <c r="CX264" s="20"/>
      <c r="CY264" s="20"/>
      <c r="CZ264" s="20"/>
      <c r="DA264" s="20"/>
      <c r="DB264" s="20"/>
      <c r="DC264" s="20"/>
      <c r="DD264" s="20"/>
      <c r="DE264" s="20"/>
      <c r="DF264" s="20"/>
      <c r="DG264" s="20"/>
      <c r="DH264" s="20"/>
      <c r="DI264" s="20"/>
      <c r="DJ264" s="20"/>
      <c r="DK264" s="20"/>
      <c r="DL264" s="20"/>
      <c r="DM264" s="20"/>
      <c r="DN264" s="20"/>
      <c r="DO264" s="20"/>
      <c r="DP264" s="20"/>
      <c r="DQ264" s="20"/>
      <c r="DR264" s="20"/>
      <c r="DS264" s="20"/>
      <c r="DT264" s="20"/>
    </row>
    <row r="265" spans="1:124" x14ac:dyDescent="0.25">
      <c r="A265" s="21" t="s">
        <v>4031</v>
      </c>
      <c r="B265" s="21" t="s">
        <v>3969</v>
      </c>
      <c r="E265" s="20"/>
      <c r="F265" s="20"/>
      <c r="G265" s="20"/>
      <c r="H265" s="20"/>
      <c r="I265" s="20"/>
      <c r="J265" s="20"/>
      <c r="K265" s="20"/>
      <c r="L265" s="20"/>
      <c r="M265" s="20"/>
      <c r="N265" s="20"/>
      <c r="O265" s="20"/>
      <c r="P265" s="20"/>
      <c r="Q265" s="20"/>
      <c r="R265" s="20"/>
      <c r="S265" s="20"/>
      <c r="T265" s="20"/>
      <c r="U265" s="20"/>
      <c r="V265" s="20"/>
      <c r="W265" s="20"/>
      <c r="X265" s="20"/>
      <c r="Y265" s="20"/>
      <c r="Z265" s="20"/>
      <c r="AA265" s="20"/>
      <c r="AB265" s="20"/>
      <c r="AC265" s="20"/>
      <c r="AD265" s="20"/>
      <c r="AE265" s="20"/>
      <c r="AF265" s="20"/>
      <c r="AG265" s="20"/>
      <c r="AH265" s="20"/>
      <c r="AI265" s="20"/>
      <c r="AJ265" s="20"/>
      <c r="AK265" s="20"/>
      <c r="AL265" s="20"/>
      <c r="AM265" s="20"/>
      <c r="AN265" s="20"/>
      <c r="AO265" s="20"/>
      <c r="AP265" s="20"/>
      <c r="AQ265" s="20"/>
      <c r="AR265" s="20"/>
      <c r="AS265" s="20"/>
      <c r="AT265" s="20"/>
      <c r="AU265" s="20"/>
      <c r="AV265" s="20"/>
      <c r="AW265" s="20"/>
      <c r="AX265" s="20"/>
      <c r="AY265" s="20"/>
      <c r="AZ265" s="20"/>
      <c r="BA265" s="20"/>
      <c r="BB265" s="20"/>
      <c r="BC265" s="20"/>
      <c r="BD265" s="20"/>
      <c r="BE265" s="20"/>
      <c r="BF265" s="20"/>
      <c r="BG265" s="20"/>
      <c r="BH265" s="20"/>
      <c r="BI265" s="20"/>
      <c r="BJ265" s="20"/>
      <c r="BK265" s="20"/>
      <c r="BL265" s="20"/>
      <c r="BM265" s="20"/>
      <c r="BN265" s="20"/>
      <c r="BO265" s="20"/>
      <c r="BP265" s="20"/>
      <c r="BQ265" s="20"/>
      <c r="BR265" s="20"/>
      <c r="BS265" s="20"/>
      <c r="BT265" s="20"/>
      <c r="BU265" s="20"/>
      <c r="BV265" s="20"/>
      <c r="BW265" s="20"/>
      <c r="BX265" s="20"/>
      <c r="BY265" s="20"/>
      <c r="BZ265" s="20"/>
      <c r="CA265" s="20"/>
      <c r="CB265" s="20"/>
      <c r="CC265" s="20"/>
      <c r="CD265" s="20"/>
      <c r="CE265" s="20"/>
      <c r="CF265" s="20"/>
      <c r="CG265" s="20"/>
      <c r="CH265" s="20"/>
      <c r="CM265" s="20"/>
      <c r="CN265" s="20"/>
      <c r="CO265" s="20"/>
      <c r="CP265" s="20"/>
      <c r="CQ265" s="20"/>
      <c r="CR265" s="20"/>
      <c r="CS265" s="20"/>
      <c r="CT265" s="20"/>
      <c r="CU265" s="20"/>
      <c r="CV265" s="20"/>
      <c r="CW265" s="20"/>
      <c r="CX265" s="20"/>
      <c r="CY265" s="20"/>
      <c r="CZ265" s="20"/>
      <c r="DA265" s="20"/>
      <c r="DB265" s="20"/>
      <c r="DC265" s="20"/>
      <c r="DD265" s="20"/>
      <c r="DE265" s="20"/>
      <c r="DF265" s="20"/>
      <c r="DG265" s="20"/>
      <c r="DH265" s="20"/>
      <c r="DI265" s="20"/>
      <c r="DJ265" s="20"/>
      <c r="DK265" s="20"/>
      <c r="DL265" s="20"/>
      <c r="DM265" s="20"/>
      <c r="DN265" s="20"/>
      <c r="DO265" s="20"/>
      <c r="DP265" s="20"/>
      <c r="DQ265" s="20"/>
      <c r="DR265" s="20"/>
      <c r="DS265" s="20"/>
      <c r="DT265" s="20"/>
    </row>
    <row r="266" spans="1:124" x14ac:dyDescent="0.25">
      <c r="A266" s="21" t="s">
        <v>4034</v>
      </c>
      <c r="B266" s="21" t="s">
        <v>3969</v>
      </c>
      <c r="E266" s="20"/>
      <c r="F266" s="20"/>
      <c r="G266" s="20"/>
      <c r="H266" s="20"/>
      <c r="I266" s="20"/>
      <c r="J266" s="20"/>
      <c r="K266" s="20"/>
      <c r="L266" s="20"/>
      <c r="M266" s="20"/>
      <c r="N266" s="20"/>
      <c r="O266" s="20"/>
      <c r="P266" s="20"/>
      <c r="Q266" s="20"/>
      <c r="R266" s="20"/>
      <c r="S266" s="20"/>
      <c r="T266" s="20"/>
      <c r="U266" s="20"/>
      <c r="V266" s="20"/>
      <c r="W266" s="20"/>
      <c r="X266" s="20"/>
      <c r="Y266" s="20"/>
      <c r="Z266" s="20"/>
      <c r="AA266" s="20"/>
      <c r="AB266" s="20"/>
      <c r="AC266" s="20"/>
      <c r="AD266" s="20"/>
      <c r="AE266" s="20"/>
      <c r="AF266" s="20"/>
      <c r="AG266" s="20"/>
      <c r="AH266" s="20"/>
      <c r="AI266" s="20"/>
      <c r="AJ266" s="20"/>
      <c r="AK266" s="20"/>
      <c r="AL266" s="20"/>
      <c r="AM266" s="20"/>
      <c r="AN266" s="20"/>
      <c r="AO266" s="20"/>
      <c r="AP266" s="20"/>
      <c r="AQ266" s="20"/>
      <c r="AR266" s="20"/>
      <c r="AS266" s="20"/>
      <c r="AT266" s="20"/>
      <c r="AU266" s="20"/>
      <c r="AV266" s="20"/>
      <c r="AW266" s="20"/>
      <c r="AX266" s="20"/>
      <c r="AY266" s="20"/>
      <c r="AZ266" s="20"/>
      <c r="BA266" s="20"/>
      <c r="BB266" s="20"/>
      <c r="BC266" s="20"/>
      <c r="BD266" s="20"/>
      <c r="BE266" s="20"/>
      <c r="BF266" s="20"/>
      <c r="BG266" s="20"/>
      <c r="BH266" s="20"/>
      <c r="BI266" s="20"/>
      <c r="BJ266" s="20"/>
      <c r="BK266" s="20"/>
      <c r="BL266" s="20"/>
      <c r="BM266" s="20"/>
      <c r="BN266" s="20"/>
      <c r="BO266" s="20"/>
      <c r="BP266" s="20"/>
      <c r="BQ266" s="20"/>
      <c r="BR266" s="20"/>
      <c r="BS266" s="20"/>
      <c r="BT266" s="20"/>
      <c r="BU266" s="20"/>
      <c r="BV266" s="20"/>
      <c r="BW266" s="20"/>
      <c r="BX266" s="20"/>
      <c r="BY266" s="20"/>
      <c r="BZ266" s="20"/>
      <c r="CA266" s="20"/>
      <c r="CB266" s="20"/>
      <c r="CC266" s="20"/>
      <c r="CD266" s="20"/>
      <c r="CE266" s="20"/>
      <c r="CF266" s="20"/>
      <c r="CG266" s="20"/>
      <c r="CH266" s="20"/>
      <c r="CM266" s="20"/>
      <c r="CN266" s="20"/>
      <c r="CO266" s="20"/>
      <c r="CP266" s="20"/>
      <c r="CQ266" s="20"/>
      <c r="CR266" s="20"/>
      <c r="CS266" s="20"/>
      <c r="CT266" s="20"/>
      <c r="CU266" s="20"/>
      <c r="CV266" s="20"/>
      <c r="CW266" s="20"/>
      <c r="CX266" s="20"/>
      <c r="CY266" s="20"/>
      <c r="CZ266" s="20"/>
      <c r="DA266" s="20"/>
      <c r="DB266" s="20"/>
      <c r="DC266" s="20"/>
      <c r="DD266" s="20"/>
      <c r="DE266" s="20"/>
      <c r="DF266" s="20"/>
      <c r="DG266" s="20"/>
      <c r="DH266" s="20"/>
      <c r="DI266" s="20"/>
      <c r="DJ266" s="20"/>
      <c r="DK266" s="20"/>
      <c r="DL266" s="20"/>
      <c r="DM266" s="20"/>
      <c r="DN266" s="20"/>
      <c r="DO266" s="20"/>
      <c r="DP266" s="20"/>
      <c r="DQ266" s="20"/>
      <c r="DR266" s="20"/>
      <c r="DS266" s="20"/>
      <c r="DT266" s="20"/>
    </row>
    <row r="267" spans="1:124" x14ac:dyDescent="0.25">
      <c r="A267" s="21" t="s">
        <v>4041</v>
      </c>
      <c r="B267" s="21" t="s">
        <v>3969</v>
      </c>
      <c r="E267" s="20"/>
      <c r="F267" s="20"/>
      <c r="G267" s="20"/>
      <c r="H267" s="20"/>
      <c r="I267" s="20"/>
      <c r="J267" s="20"/>
      <c r="K267" s="20"/>
      <c r="L267" s="20"/>
      <c r="M267" s="20"/>
      <c r="N267" s="20"/>
      <c r="O267" s="20"/>
      <c r="P267" s="20"/>
      <c r="Q267" s="20"/>
      <c r="R267" s="20"/>
      <c r="S267" s="20"/>
      <c r="T267" s="20"/>
      <c r="U267" s="20"/>
      <c r="V267" s="20"/>
      <c r="W267" s="20"/>
      <c r="X267" s="20"/>
      <c r="Y267" s="20"/>
      <c r="Z267" s="20"/>
      <c r="AA267" s="20"/>
      <c r="AB267" s="20"/>
      <c r="AC267" s="20"/>
      <c r="AD267" s="20"/>
      <c r="AE267" s="20"/>
      <c r="AF267" s="20"/>
      <c r="AG267" s="20"/>
      <c r="AH267" s="20"/>
      <c r="AI267" s="20"/>
      <c r="AJ267" s="20"/>
      <c r="AK267" s="20"/>
      <c r="AL267" s="20"/>
      <c r="AM267" s="20"/>
      <c r="AN267" s="20"/>
      <c r="AO267" s="20"/>
      <c r="AP267" s="20"/>
      <c r="AQ267" s="20"/>
      <c r="AR267" s="20"/>
      <c r="AS267" s="20"/>
      <c r="AT267" s="20"/>
      <c r="AU267" s="20"/>
      <c r="AV267" s="20"/>
      <c r="AW267" s="20"/>
      <c r="AX267" s="20"/>
      <c r="AY267" s="20"/>
      <c r="AZ267" s="20"/>
      <c r="BA267" s="20"/>
      <c r="BB267" s="20"/>
      <c r="BC267" s="20"/>
      <c r="BD267" s="20"/>
      <c r="BE267" s="20"/>
      <c r="BF267" s="20"/>
      <c r="BG267" s="20"/>
      <c r="BH267" s="20"/>
      <c r="BI267" s="20"/>
      <c r="BJ267" s="20"/>
      <c r="BK267" s="20"/>
      <c r="BL267" s="20"/>
      <c r="BM267" s="20"/>
      <c r="BN267" s="20"/>
      <c r="BO267" s="20"/>
      <c r="BP267" s="20"/>
      <c r="BQ267" s="20"/>
      <c r="BR267" s="20"/>
      <c r="BS267" s="20"/>
      <c r="BT267" s="20"/>
      <c r="BU267" s="20"/>
      <c r="BV267" s="20"/>
      <c r="BW267" s="20"/>
      <c r="BX267" s="20"/>
      <c r="BY267" s="20"/>
      <c r="BZ267" s="20"/>
      <c r="CA267" s="20"/>
      <c r="CB267" s="20"/>
      <c r="CC267" s="20"/>
      <c r="CD267" s="20"/>
      <c r="CE267" s="20"/>
      <c r="CF267" s="20"/>
      <c r="CG267" s="20"/>
      <c r="CH267" s="20"/>
      <c r="CM267" s="20"/>
      <c r="CN267" s="20"/>
      <c r="CO267" s="20"/>
      <c r="CP267" s="20"/>
      <c r="CQ267" s="20"/>
      <c r="CR267" s="20"/>
      <c r="CS267" s="20"/>
      <c r="CT267" s="20"/>
      <c r="CU267" s="20"/>
      <c r="CV267" s="20"/>
      <c r="CW267" s="20"/>
      <c r="CX267" s="20"/>
      <c r="CY267" s="20"/>
      <c r="CZ267" s="20"/>
      <c r="DA267" s="20"/>
      <c r="DB267" s="20"/>
      <c r="DC267" s="20"/>
      <c r="DD267" s="20"/>
      <c r="DE267" s="20"/>
      <c r="DF267" s="20"/>
      <c r="DG267" s="20"/>
      <c r="DH267" s="20"/>
      <c r="DI267" s="20"/>
      <c r="DJ267" s="20"/>
      <c r="DK267" s="20"/>
      <c r="DL267" s="20"/>
      <c r="DM267" s="20"/>
      <c r="DN267" s="20"/>
      <c r="DO267" s="20"/>
      <c r="DP267" s="20"/>
      <c r="DQ267" s="20"/>
      <c r="DR267" s="20"/>
      <c r="DS267" s="20"/>
      <c r="DT267" s="20"/>
    </row>
    <row r="268" spans="1:124" x14ac:dyDescent="0.25">
      <c r="A268" s="21">
        <v>-12119224</v>
      </c>
      <c r="B268" s="21" t="s">
        <v>3969</v>
      </c>
      <c r="E268" s="20"/>
      <c r="F268" s="20"/>
      <c r="G268" s="20"/>
      <c r="H268" s="20"/>
      <c r="I268" s="20"/>
      <c r="J268" s="20"/>
      <c r="K268" s="20"/>
      <c r="L268" s="20"/>
      <c r="M268" s="20"/>
      <c r="N268" s="20"/>
      <c r="O268" s="20"/>
      <c r="P268" s="20"/>
      <c r="Q268" s="20"/>
      <c r="R268" s="20"/>
      <c r="S268" s="20"/>
      <c r="T268" s="20"/>
      <c r="U268" s="20"/>
      <c r="V268" s="20"/>
      <c r="W268" s="20"/>
      <c r="X268" s="20"/>
      <c r="Y268" s="20"/>
      <c r="Z268" s="20"/>
      <c r="AA268" s="20"/>
      <c r="AB268" s="20"/>
      <c r="AC268" s="20"/>
      <c r="AD268" s="20"/>
      <c r="AE268" s="20"/>
      <c r="AF268" s="20"/>
      <c r="AG268" s="20"/>
      <c r="AH268" s="20"/>
      <c r="AI268" s="20"/>
      <c r="AJ268" s="20"/>
      <c r="AK268" s="20"/>
      <c r="AL268" s="20"/>
      <c r="AM268" s="20"/>
      <c r="AN268" s="20"/>
      <c r="AO268" s="20"/>
      <c r="AP268" s="20"/>
      <c r="AQ268" s="20"/>
      <c r="AR268" s="20"/>
      <c r="AS268" s="20"/>
      <c r="AT268" s="20"/>
      <c r="AU268" s="20"/>
      <c r="AV268" s="20"/>
      <c r="AW268" s="20"/>
      <c r="AX268" s="20"/>
      <c r="AY268" s="20"/>
      <c r="AZ268" s="20"/>
      <c r="BA268" s="20"/>
      <c r="BB268" s="20"/>
      <c r="BC268" s="20"/>
      <c r="BD268" s="20"/>
      <c r="BE268" s="20"/>
      <c r="BF268" s="20"/>
      <c r="BG268" s="20"/>
      <c r="BH268" s="20"/>
      <c r="BI268" s="20"/>
      <c r="BJ268" s="20"/>
      <c r="BK268" s="20"/>
      <c r="BL268" s="20"/>
      <c r="BM268" s="20"/>
      <c r="BN268" s="20"/>
      <c r="BO268" s="20"/>
      <c r="BP268" s="20"/>
      <c r="BQ268" s="20"/>
      <c r="BR268" s="20"/>
      <c r="BS268" s="20"/>
      <c r="BT268" s="20"/>
      <c r="BU268" s="20"/>
      <c r="BV268" s="20"/>
      <c r="BW268" s="20"/>
      <c r="BX268" s="20"/>
      <c r="BY268" s="20"/>
      <c r="BZ268" s="20"/>
      <c r="CA268" s="20"/>
      <c r="CB268" s="20"/>
      <c r="CC268" s="20"/>
      <c r="CD268" s="20"/>
      <c r="CE268" s="20"/>
      <c r="CF268" s="20"/>
      <c r="CG268" s="20"/>
      <c r="CH268" s="20"/>
      <c r="CM268" s="20"/>
      <c r="CN268" s="20"/>
      <c r="CO268" s="20"/>
      <c r="CP268" s="20"/>
      <c r="CQ268" s="20"/>
      <c r="CR268" s="20"/>
      <c r="CS268" s="20"/>
      <c r="CT268" s="20"/>
      <c r="CU268" s="20"/>
      <c r="CV268" s="20"/>
      <c r="CW268" s="20"/>
      <c r="CX268" s="20"/>
      <c r="CY268" s="20"/>
      <c r="CZ268" s="20"/>
      <c r="DA268" s="20"/>
      <c r="DB268" s="20"/>
      <c r="DC268" s="20"/>
      <c r="DD268" s="20"/>
      <c r="DE268" s="20"/>
      <c r="DF268" s="20"/>
      <c r="DG268" s="20"/>
      <c r="DH268" s="20"/>
      <c r="DI268" s="20"/>
      <c r="DJ268" s="20"/>
      <c r="DK268" s="20"/>
      <c r="DL268" s="20"/>
      <c r="DM268" s="20"/>
      <c r="DN268" s="20"/>
      <c r="DO268" s="20"/>
      <c r="DP268" s="20"/>
      <c r="DQ268" s="20"/>
      <c r="DR268" s="20"/>
      <c r="DS268" s="20"/>
      <c r="DT268" s="20"/>
    </row>
    <row r="269" spans="1:124" x14ac:dyDescent="0.25">
      <c r="A269" s="21" t="s">
        <v>4060</v>
      </c>
      <c r="B269" s="21" t="s">
        <v>3969</v>
      </c>
      <c r="E269" s="20"/>
      <c r="F269" s="20"/>
      <c r="G269" s="20"/>
      <c r="H269" s="20"/>
      <c r="I269" s="20"/>
      <c r="J269" s="20"/>
      <c r="K269" s="20"/>
      <c r="L269" s="20"/>
      <c r="M269" s="20"/>
      <c r="N269" s="20"/>
      <c r="O269" s="20"/>
      <c r="P269" s="20"/>
      <c r="Q269" s="20"/>
      <c r="R269" s="20"/>
      <c r="S269" s="20"/>
      <c r="T269" s="20"/>
      <c r="U269" s="20"/>
      <c r="V269" s="20"/>
      <c r="W269" s="20"/>
      <c r="X269" s="20"/>
      <c r="Y269" s="20"/>
      <c r="Z269" s="20"/>
      <c r="AA269" s="20"/>
      <c r="AB269" s="20"/>
      <c r="AC269" s="20"/>
      <c r="AD269" s="20"/>
      <c r="AE269" s="20"/>
      <c r="AF269" s="20"/>
      <c r="AG269" s="20"/>
      <c r="AH269" s="20"/>
      <c r="AI269" s="20"/>
      <c r="AJ269" s="20"/>
      <c r="AK269" s="20"/>
      <c r="AL269" s="20"/>
      <c r="AM269" s="20"/>
      <c r="AN269" s="20"/>
      <c r="AO269" s="20"/>
      <c r="AP269" s="20"/>
      <c r="AQ269" s="20"/>
      <c r="AR269" s="20"/>
      <c r="AS269" s="20"/>
      <c r="AT269" s="20"/>
      <c r="AU269" s="20"/>
      <c r="AV269" s="20"/>
      <c r="AW269" s="20"/>
      <c r="AX269" s="20"/>
      <c r="AY269" s="20"/>
      <c r="AZ269" s="20"/>
      <c r="BA269" s="20"/>
      <c r="BB269" s="20"/>
      <c r="BC269" s="20"/>
      <c r="BD269" s="20"/>
      <c r="BE269" s="20"/>
      <c r="BF269" s="20"/>
      <c r="BG269" s="20"/>
      <c r="BH269" s="20"/>
      <c r="BI269" s="20"/>
      <c r="BJ269" s="20"/>
      <c r="BK269" s="20"/>
      <c r="BL269" s="20"/>
      <c r="BM269" s="20"/>
      <c r="BN269" s="20"/>
      <c r="BO269" s="20"/>
      <c r="BP269" s="20"/>
      <c r="BQ269" s="20"/>
      <c r="BR269" s="20"/>
      <c r="BS269" s="20"/>
      <c r="BT269" s="20"/>
      <c r="BU269" s="20"/>
      <c r="BV269" s="20"/>
      <c r="BW269" s="20"/>
      <c r="BX269" s="20"/>
      <c r="BY269" s="20"/>
      <c r="BZ269" s="20"/>
      <c r="CA269" s="20"/>
      <c r="CB269" s="20"/>
      <c r="CC269" s="20"/>
      <c r="CD269" s="20"/>
      <c r="CE269" s="20"/>
      <c r="CF269" s="20"/>
      <c r="CG269" s="20"/>
      <c r="CH269" s="20"/>
      <c r="CI269" s="20"/>
      <c r="CJ269" s="20"/>
      <c r="CM269" s="20"/>
      <c r="CN269" s="20"/>
      <c r="CO269" s="20"/>
      <c r="CP269" s="20"/>
      <c r="CQ269" s="20"/>
      <c r="CR269" s="20"/>
      <c r="CS269" s="20"/>
      <c r="CT269" s="20"/>
      <c r="CU269" s="20"/>
      <c r="CV269" s="20"/>
      <c r="CW269" s="20"/>
      <c r="CX269" s="20"/>
      <c r="CY269" s="20"/>
      <c r="CZ269" s="20"/>
      <c r="DA269" s="20"/>
      <c r="DB269" s="20"/>
      <c r="DC269" s="20"/>
      <c r="DD269" s="20"/>
      <c r="DE269" s="20"/>
      <c r="DF269" s="20"/>
      <c r="DG269" s="20"/>
      <c r="DH269" s="20"/>
      <c r="DI269" s="20"/>
      <c r="DJ269" s="20"/>
      <c r="DK269" s="20"/>
      <c r="DL269" s="20"/>
      <c r="DM269" s="20"/>
      <c r="DN269" s="20"/>
      <c r="DO269" s="20"/>
      <c r="DP269" s="20"/>
      <c r="DQ269" s="20"/>
      <c r="DR269" s="20"/>
      <c r="DS269" s="20"/>
      <c r="DT269" s="20"/>
    </row>
    <row r="270" spans="1:124" x14ac:dyDescent="0.25">
      <c r="A270" s="21">
        <v>-12163074</v>
      </c>
      <c r="B270" s="21" t="s">
        <v>3969</v>
      </c>
      <c r="E270" s="20"/>
      <c r="F270" s="20"/>
      <c r="G270" s="20"/>
      <c r="H270" s="20"/>
      <c r="I270" s="20"/>
      <c r="J270" s="20"/>
      <c r="K270" s="20"/>
      <c r="L270" s="20"/>
      <c r="M270" s="20"/>
      <c r="N270" s="20"/>
      <c r="O270" s="20"/>
      <c r="P270" s="20"/>
      <c r="Q270" s="20"/>
      <c r="R270" s="20"/>
      <c r="S270" s="20"/>
      <c r="T270" s="20"/>
      <c r="U270" s="20"/>
      <c r="V270" s="20"/>
      <c r="W270" s="20"/>
      <c r="X270" s="20"/>
      <c r="Y270" s="20"/>
      <c r="Z270" s="20"/>
      <c r="AA270" s="20"/>
      <c r="AB270" s="20"/>
      <c r="AC270" s="20"/>
      <c r="AD270" s="20"/>
      <c r="AE270" s="20"/>
      <c r="AF270" s="20"/>
      <c r="AG270" s="20"/>
      <c r="AH270" s="20"/>
      <c r="AI270" s="20"/>
      <c r="AJ270" s="20"/>
      <c r="AK270" s="20"/>
      <c r="AL270" s="20"/>
      <c r="AM270" s="20"/>
      <c r="AN270" s="20"/>
      <c r="AO270" s="20"/>
      <c r="AP270" s="20"/>
      <c r="AQ270" s="20"/>
      <c r="AR270" s="20"/>
      <c r="AS270" s="20"/>
      <c r="AT270" s="20"/>
      <c r="AU270" s="20"/>
      <c r="AV270" s="20"/>
      <c r="AW270" s="20"/>
      <c r="AX270" s="20"/>
      <c r="AY270" s="20"/>
      <c r="AZ270" s="20"/>
      <c r="BA270" s="20"/>
      <c r="BB270" s="20"/>
      <c r="BC270" s="20"/>
      <c r="BD270" s="20"/>
      <c r="BE270" s="20"/>
      <c r="BF270" s="20"/>
      <c r="BG270" s="20"/>
      <c r="BH270" s="20"/>
      <c r="BI270" s="20"/>
      <c r="BJ270" s="20"/>
      <c r="BK270" s="20"/>
      <c r="BL270" s="20"/>
      <c r="BM270" s="20"/>
      <c r="BN270" s="20"/>
      <c r="BO270" s="20"/>
      <c r="BP270" s="20"/>
      <c r="BQ270" s="20"/>
      <c r="BR270" s="20"/>
      <c r="BS270" s="20"/>
      <c r="BT270" s="20"/>
      <c r="BU270" s="20"/>
      <c r="BV270" s="20"/>
      <c r="BW270" s="20"/>
      <c r="BX270" s="20"/>
      <c r="BY270" s="20"/>
      <c r="BZ270" s="20"/>
      <c r="CA270" s="20"/>
      <c r="CB270" s="20"/>
      <c r="CC270" s="20"/>
      <c r="CD270" s="20"/>
      <c r="CE270" s="20"/>
      <c r="CF270" s="20"/>
      <c r="CG270" s="20"/>
      <c r="CH270" s="20"/>
      <c r="CI270" s="20"/>
      <c r="CJ270" s="20"/>
      <c r="CM270" s="20"/>
      <c r="CN270" s="20"/>
      <c r="CO270" s="20"/>
      <c r="CP270" s="20"/>
      <c r="CQ270" s="20"/>
      <c r="CR270" s="20"/>
      <c r="CS270" s="20"/>
      <c r="CT270" s="20"/>
      <c r="CU270" s="20"/>
      <c r="CV270" s="20"/>
      <c r="CW270" s="20"/>
      <c r="CX270" s="20"/>
      <c r="CY270" s="20"/>
      <c r="CZ270" s="20"/>
      <c r="DA270" s="20"/>
      <c r="DB270" s="20"/>
      <c r="DC270" s="20"/>
      <c r="DD270" s="20"/>
      <c r="DE270" s="20"/>
      <c r="DF270" s="20"/>
      <c r="DG270" s="20"/>
      <c r="DH270" s="20"/>
      <c r="DI270" s="20"/>
      <c r="DJ270" s="20"/>
      <c r="DK270" s="20"/>
      <c r="DL270" s="20"/>
      <c r="DM270" s="20"/>
      <c r="DN270" s="20"/>
      <c r="DO270" s="20"/>
      <c r="DP270" s="20"/>
      <c r="DQ270" s="20"/>
      <c r="DR270" s="20"/>
      <c r="DS270" s="20"/>
      <c r="DT270" s="20"/>
    </row>
    <row r="271" spans="1:124" x14ac:dyDescent="0.25">
      <c r="A271" s="21" t="s">
        <v>4083</v>
      </c>
      <c r="B271" s="21" t="s">
        <v>3969</v>
      </c>
    </row>
    <row r="272" spans="1:124" x14ac:dyDescent="0.25">
      <c r="A272" s="21" t="s">
        <v>4084</v>
      </c>
      <c r="B272" s="21" t="s">
        <v>3969</v>
      </c>
    </row>
    <row r="273" spans="1:2" x14ac:dyDescent="0.25">
      <c r="A273" s="21" t="s">
        <v>4098</v>
      </c>
      <c r="B273" s="21" t="s">
        <v>3969</v>
      </c>
    </row>
    <row r="274" spans="1:2" x14ac:dyDescent="0.25">
      <c r="A274" s="21">
        <v>-423967356</v>
      </c>
      <c r="B274" s="21" t="s">
        <v>3969</v>
      </c>
    </row>
    <row r="275" spans="1:2" x14ac:dyDescent="0.25">
      <c r="A275" s="21">
        <v>-424978643</v>
      </c>
      <c r="B275" s="21" t="s">
        <v>3969</v>
      </c>
    </row>
    <row r="276" spans="1:2" x14ac:dyDescent="0.25">
      <c r="A276" s="21" t="s">
        <v>4143</v>
      </c>
      <c r="B276" s="21" t="s">
        <v>3969</v>
      </c>
    </row>
    <row r="277" spans="1:2" x14ac:dyDescent="0.25">
      <c r="A277" s="21" t="s">
        <v>4156</v>
      </c>
      <c r="B277" s="21" t="s">
        <v>3969</v>
      </c>
    </row>
    <row r="278" spans="1:2" x14ac:dyDescent="0.25">
      <c r="A278" s="21" t="s">
        <v>4170</v>
      </c>
      <c r="B278" s="21" t="s">
        <v>3969</v>
      </c>
    </row>
    <row r="279" spans="1:2" x14ac:dyDescent="0.25">
      <c r="A279" s="21" t="s">
        <v>4188</v>
      </c>
      <c r="B279" s="21" t="s">
        <v>3969</v>
      </c>
    </row>
    <row r="280" spans="1:2" x14ac:dyDescent="0.25">
      <c r="A280" s="21" t="s">
        <v>4202</v>
      </c>
      <c r="B280" s="21" t="s">
        <v>3969</v>
      </c>
    </row>
    <row r="281" spans="1:2" x14ac:dyDescent="0.25">
      <c r="A281" s="21" t="s">
        <v>4192</v>
      </c>
      <c r="B281" s="21" t="s">
        <v>3969</v>
      </c>
    </row>
    <row r="282" spans="1:2" x14ac:dyDescent="0.25">
      <c r="A282" s="21" t="s">
        <v>4208</v>
      </c>
      <c r="B282" s="21" t="s">
        <v>3969</v>
      </c>
    </row>
    <row r="283" spans="1:2" x14ac:dyDescent="0.25">
      <c r="A283" s="21" t="s">
        <v>4217</v>
      </c>
      <c r="B283" s="21" t="s">
        <v>3969</v>
      </c>
    </row>
    <row r="284" spans="1:2" x14ac:dyDescent="0.25">
      <c r="A284" s="21" t="s">
        <v>4226</v>
      </c>
      <c r="B284" s="21" t="s">
        <v>3969</v>
      </c>
    </row>
    <row r="285" spans="1:2" x14ac:dyDescent="0.25">
      <c r="A285" s="21" t="s">
        <v>4253</v>
      </c>
      <c r="B285" s="21" t="s">
        <v>3969</v>
      </c>
    </row>
    <row r="286" spans="1:2" x14ac:dyDescent="0.25">
      <c r="A286" s="21" t="s">
        <v>4262</v>
      </c>
      <c r="B286" s="21" t="s">
        <v>3969</v>
      </c>
    </row>
    <row r="287" spans="1:2" x14ac:dyDescent="0.25">
      <c r="A287" s="21" t="s">
        <v>4271</v>
      </c>
      <c r="B287" s="21" t="s">
        <v>3969</v>
      </c>
    </row>
    <row r="288" spans="1:2" x14ac:dyDescent="0.25">
      <c r="A288" s="21" t="s">
        <v>4283</v>
      </c>
      <c r="B288" s="21" t="s">
        <v>3969</v>
      </c>
    </row>
    <row r="289" spans="1:2" x14ac:dyDescent="0.25">
      <c r="A289" s="21">
        <v>377438344</v>
      </c>
      <c r="B289" s="21" t="s">
        <v>3969</v>
      </c>
    </row>
    <row r="290" spans="1:2" x14ac:dyDescent="0.25">
      <c r="A290" s="21" t="s">
        <v>4311</v>
      </c>
      <c r="B290" s="21" t="s">
        <v>3969</v>
      </c>
    </row>
    <row r="291" spans="1:2" x14ac:dyDescent="0.25">
      <c r="A291" s="21" t="s">
        <v>4324</v>
      </c>
      <c r="B291" s="21" t="s">
        <v>3969</v>
      </c>
    </row>
    <row r="292" spans="1:2" x14ac:dyDescent="0.25">
      <c r="A292" s="21" t="s">
        <v>4335</v>
      </c>
      <c r="B292" s="21" t="s">
        <v>3969</v>
      </c>
    </row>
    <row r="293" spans="1:2" x14ac:dyDescent="0.25">
      <c r="A293" s="21" t="s">
        <v>4345</v>
      </c>
      <c r="B293" s="21" t="s">
        <v>3969</v>
      </c>
    </row>
    <row r="294" spans="1:2" x14ac:dyDescent="0.25">
      <c r="A294" s="21" t="s">
        <v>4355</v>
      </c>
      <c r="B294" s="21" t="s">
        <v>3969</v>
      </c>
    </row>
    <row r="295" spans="1:2" x14ac:dyDescent="0.25">
      <c r="A295" s="21" t="s">
        <v>4226</v>
      </c>
      <c r="B295" s="21" t="s">
        <v>3969</v>
      </c>
    </row>
    <row r="296" spans="1:2" x14ac:dyDescent="0.25">
      <c r="A296" s="21" t="s">
        <v>4234</v>
      </c>
      <c r="B296" s="21" t="s">
        <v>3969</v>
      </c>
    </row>
    <row r="297" spans="1:2" x14ac:dyDescent="0.25">
      <c r="A297" s="21" t="s">
        <v>4246</v>
      </c>
      <c r="B297" s="21" t="s">
        <v>3969</v>
      </c>
    </row>
    <row r="298" spans="1:2" x14ac:dyDescent="0.25">
      <c r="A298" s="21" t="s">
        <v>4111</v>
      </c>
      <c r="B298" s="21" t="s">
        <v>3969</v>
      </c>
    </row>
    <row r="299" spans="1:2" x14ac:dyDescent="0.25">
      <c r="A299" s="21" t="s">
        <v>4124</v>
      </c>
      <c r="B299" s="21" t="s">
        <v>3969</v>
      </c>
    </row>
    <row r="300" spans="1:2" x14ac:dyDescent="0.25">
      <c r="A300" s="21" t="s">
        <v>4134</v>
      </c>
      <c r="B300" s="21" t="s">
        <v>3969</v>
      </c>
    </row>
    <row r="301" spans="1:2" x14ac:dyDescent="0.25">
      <c r="A301" s="21" t="s">
        <v>4141</v>
      </c>
      <c r="B301" s="21" t="s">
        <v>3969</v>
      </c>
    </row>
    <row r="302" spans="1:2" x14ac:dyDescent="0.25">
      <c r="A302" s="21" t="s">
        <v>4411</v>
      </c>
      <c r="B302" s="21" t="s">
        <v>3969</v>
      </c>
    </row>
    <row r="303" spans="1:2" x14ac:dyDescent="0.25">
      <c r="A303" s="21" t="s">
        <v>4416</v>
      </c>
      <c r="B303" s="21" t="s">
        <v>3969</v>
      </c>
    </row>
    <row r="304" spans="1:2" x14ac:dyDescent="0.25">
      <c r="A304" s="21" t="s">
        <v>4420</v>
      </c>
      <c r="B304" s="21" t="s">
        <v>3969</v>
      </c>
    </row>
    <row r="305" spans="1:2" x14ac:dyDescent="0.25">
      <c r="A305" s="21" t="s">
        <v>4426</v>
      </c>
      <c r="B305" s="21" t="s">
        <v>3969</v>
      </c>
    </row>
    <row r="306" spans="1:2" x14ac:dyDescent="0.25">
      <c r="A306" s="21" t="s">
        <v>4432</v>
      </c>
      <c r="B306" s="21" t="s">
        <v>3969</v>
      </c>
    </row>
    <row r="307" spans="1:2" x14ac:dyDescent="0.25">
      <c r="A307" s="21" t="s">
        <v>4167</v>
      </c>
      <c r="B307" s="21" t="s">
        <v>3969</v>
      </c>
    </row>
    <row r="308" spans="1:2" x14ac:dyDescent="0.25">
      <c r="A308" s="21" t="s">
        <v>4186</v>
      </c>
      <c r="B308" s="21" t="s">
        <v>3969</v>
      </c>
    </row>
    <row r="309" spans="1:2" x14ac:dyDescent="0.25">
      <c r="A309" s="21">
        <v>134558401</v>
      </c>
      <c r="B309" s="21" t="s">
        <v>3969</v>
      </c>
    </row>
    <row r="310" spans="1:2" x14ac:dyDescent="0.25">
      <c r="A310" s="21">
        <v>134558400</v>
      </c>
      <c r="B310" s="21" t="s">
        <v>3969</v>
      </c>
    </row>
    <row r="311" spans="1:2" x14ac:dyDescent="0.25">
      <c r="A311" s="21" t="s">
        <v>4040</v>
      </c>
      <c r="B311" s="21" t="s">
        <v>3969</v>
      </c>
    </row>
    <row r="312" spans="1:2" x14ac:dyDescent="0.25">
      <c r="A312" s="21" t="s">
        <v>4049</v>
      </c>
      <c r="B312" s="21" t="s">
        <v>3969</v>
      </c>
    </row>
    <row r="313" spans="1:2" x14ac:dyDescent="0.25">
      <c r="A313" s="21">
        <v>313260439</v>
      </c>
      <c r="B313" s="21" t="s">
        <v>3969</v>
      </c>
    </row>
    <row r="314" spans="1:2" x14ac:dyDescent="0.25">
      <c r="A314" s="21">
        <v>424803249</v>
      </c>
      <c r="B314" s="21" t="s">
        <v>3969</v>
      </c>
    </row>
    <row r="315" spans="1:2" x14ac:dyDescent="0.25">
      <c r="A315" s="21" t="s">
        <v>4081</v>
      </c>
      <c r="B315" s="21" t="s">
        <v>3969</v>
      </c>
    </row>
    <row r="316" spans="1:2" x14ac:dyDescent="0.25">
      <c r="A316" s="21" t="s">
        <v>4097</v>
      </c>
      <c r="B316" s="21" t="s">
        <v>3969</v>
      </c>
    </row>
    <row r="317" spans="1:2" x14ac:dyDescent="0.25">
      <c r="A317" s="21">
        <v>423972760</v>
      </c>
      <c r="B317" s="21" t="s">
        <v>3969</v>
      </c>
    </row>
    <row r="318" spans="1:2" x14ac:dyDescent="0.25">
      <c r="A318" s="21" t="s">
        <v>4125</v>
      </c>
      <c r="B318" s="21" t="s">
        <v>3969</v>
      </c>
    </row>
    <row r="319" spans="1:2" x14ac:dyDescent="0.25">
      <c r="A319" s="20" t="s">
        <v>3970</v>
      </c>
      <c r="B319" s="20" t="s">
        <v>3970</v>
      </c>
    </row>
    <row r="320" spans="1:2" x14ac:dyDescent="0.25">
      <c r="A320" s="20" t="s">
        <v>4027</v>
      </c>
      <c r="B320" s="20" t="s">
        <v>3970</v>
      </c>
    </row>
    <row r="321" spans="1:2" x14ac:dyDescent="0.25">
      <c r="A321" s="20" t="s">
        <v>4031</v>
      </c>
      <c r="B321" s="20" t="s">
        <v>3970</v>
      </c>
    </row>
    <row r="322" spans="1:2" x14ac:dyDescent="0.25">
      <c r="A322" s="20" t="s">
        <v>4034</v>
      </c>
      <c r="B322" s="20" t="s">
        <v>3970</v>
      </c>
    </row>
    <row r="323" spans="1:2" x14ac:dyDescent="0.25">
      <c r="A323" s="20" t="s">
        <v>4041</v>
      </c>
      <c r="B323" s="20" t="s">
        <v>3970</v>
      </c>
    </row>
    <row r="324" spans="1:2" x14ac:dyDescent="0.25">
      <c r="A324" s="20">
        <v>-12119224</v>
      </c>
      <c r="B324" s="20" t="s">
        <v>3970</v>
      </c>
    </row>
    <row r="325" spans="1:2" x14ac:dyDescent="0.25">
      <c r="A325" s="20" t="s">
        <v>4060</v>
      </c>
      <c r="B325" s="20" t="s">
        <v>3970</v>
      </c>
    </row>
    <row r="326" spans="1:2" x14ac:dyDescent="0.25">
      <c r="A326" s="20">
        <v>-12163074</v>
      </c>
      <c r="B326" s="20" t="s">
        <v>3970</v>
      </c>
    </row>
    <row r="327" spans="1:2" x14ac:dyDescent="0.25">
      <c r="A327" s="20" t="s">
        <v>4083</v>
      </c>
      <c r="B327" s="20" t="s">
        <v>3970</v>
      </c>
    </row>
    <row r="328" spans="1:2" x14ac:dyDescent="0.25">
      <c r="A328" s="20" t="s">
        <v>4084</v>
      </c>
      <c r="B328" s="20" t="s">
        <v>3970</v>
      </c>
    </row>
    <row r="329" spans="1:2" x14ac:dyDescent="0.25">
      <c r="A329" s="20" t="s">
        <v>4098</v>
      </c>
      <c r="B329" s="20" t="s">
        <v>3970</v>
      </c>
    </row>
    <row r="330" spans="1:2" x14ac:dyDescent="0.25">
      <c r="A330" s="20">
        <v>-423967356</v>
      </c>
      <c r="B330" s="20" t="s">
        <v>3970</v>
      </c>
    </row>
    <row r="331" spans="1:2" x14ac:dyDescent="0.25">
      <c r="A331" s="20">
        <v>-424978643</v>
      </c>
      <c r="B331" s="20" t="s">
        <v>3970</v>
      </c>
    </row>
    <row r="332" spans="1:2" x14ac:dyDescent="0.25">
      <c r="A332" s="20" t="s">
        <v>4143</v>
      </c>
      <c r="B332" s="20" t="s">
        <v>3970</v>
      </c>
    </row>
    <row r="333" spans="1:2" x14ac:dyDescent="0.25">
      <c r="A333" s="20" t="s">
        <v>4156</v>
      </c>
      <c r="B333" s="20" t="s">
        <v>3970</v>
      </c>
    </row>
    <row r="334" spans="1:2" x14ac:dyDescent="0.25">
      <c r="A334" s="20" t="s">
        <v>4170</v>
      </c>
      <c r="B334" s="20" t="s">
        <v>3970</v>
      </c>
    </row>
    <row r="335" spans="1:2" x14ac:dyDescent="0.25">
      <c r="A335" s="20" t="s">
        <v>4189</v>
      </c>
      <c r="B335" s="20" t="s">
        <v>3970</v>
      </c>
    </row>
    <row r="336" spans="1:2" x14ac:dyDescent="0.25">
      <c r="A336" s="20" t="s">
        <v>4203</v>
      </c>
      <c r="B336" s="20" t="s">
        <v>3970</v>
      </c>
    </row>
    <row r="337" spans="1:2" x14ac:dyDescent="0.25">
      <c r="A337" s="20" t="s">
        <v>4213</v>
      </c>
      <c r="B337" s="20" t="s">
        <v>3970</v>
      </c>
    </row>
    <row r="338" spans="1:2" x14ac:dyDescent="0.25">
      <c r="A338" s="20" t="s">
        <v>4223</v>
      </c>
      <c r="B338" s="20" t="s">
        <v>3970</v>
      </c>
    </row>
    <row r="339" spans="1:2" x14ac:dyDescent="0.25">
      <c r="A339" s="20">
        <v>-424824620</v>
      </c>
      <c r="B339" s="20" t="s">
        <v>3970</v>
      </c>
    </row>
    <row r="340" spans="1:2" x14ac:dyDescent="0.25">
      <c r="A340" s="20">
        <v>-424824619</v>
      </c>
      <c r="B340" s="20" t="s">
        <v>3970</v>
      </c>
    </row>
    <row r="341" spans="1:2" x14ac:dyDescent="0.25">
      <c r="A341" s="20">
        <v>-423956982</v>
      </c>
      <c r="B341" s="20" t="s">
        <v>3970</v>
      </c>
    </row>
    <row r="342" spans="1:2" x14ac:dyDescent="0.25">
      <c r="A342" s="20" t="s">
        <v>4109</v>
      </c>
      <c r="B342" s="20" t="s">
        <v>3970</v>
      </c>
    </row>
    <row r="343" spans="1:2" x14ac:dyDescent="0.25">
      <c r="A343" s="20" t="s">
        <v>4272</v>
      </c>
      <c r="B343" s="20" t="s">
        <v>3970</v>
      </c>
    </row>
    <row r="344" spans="1:2" x14ac:dyDescent="0.25">
      <c r="A344" s="20" t="s">
        <v>4284</v>
      </c>
      <c r="B344" s="20" t="s">
        <v>3970</v>
      </c>
    </row>
    <row r="345" spans="1:2" x14ac:dyDescent="0.25">
      <c r="A345" s="20">
        <v>-424803245</v>
      </c>
      <c r="B345" s="20" t="s">
        <v>3970</v>
      </c>
    </row>
    <row r="346" spans="1:2" x14ac:dyDescent="0.25">
      <c r="A346" s="20" t="s">
        <v>4312</v>
      </c>
      <c r="B346" s="20" t="s">
        <v>3970</v>
      </c>
    </row>
    <row r="347" spans="1:2" x14ac:dyDescent="0.25">
      <c r="A347" s="20" t="s">
        <v>4325</v>
      </c>
      <c r="B347" s="20" t="s">
        <v>3970</v>
      </c>
    </row>
    <row r="348" spans="1:2" x14ac:dyDescent="0.25">
      <c r="A348" s="20" t="s">
        <v>4336</v>
      </c>
      <c r="B348" s="20" t="s">
        <v>3970</v>
      </c>
    </row>
    <row r="349" spans="1:2" x14ac:dyDescent="0.25">
      <c r="A349" s="20" t="s">
        <v>4346</v>
      </c>
      <c r="B349" s="20" t="s">
        <v>3970</v>
      </c>
    </row>
    <row r="350" spans="1:2" x14ac:dyDescent="0.25">
      <c r="A350" s="20" t="s">
        <v>4356</v>
      </c>
      <c r="B350" s="20" t="s">
        <v>3970</v>
      </c>
    </row>
    <row r="351" spans="1:2" x14ac:dyDescent="0.25">
      <c r="A351" s="20" t="s">
        <v>4364</v>
      </c>
      <c r="B351" s="20" t="s">
        <v>3970</v>
      </c>
    </row>
    <row r="352" spans="1:2" x14ac:dyDescent="0.25">
      <c r="A352" s="20" t="s">
        <v>4371</v>
      </c>
      <c r="B352" s="20" t="s">
        <v>3970</v>
      </c>
    </row>
    <row r="353" spans="1:2" x14ac:dyDescent="0.25">
      <c r="A353" s="20" t="s">
        <v>4378</v>
      </c>
      <c r="B353" s="20" t="s">
        <v>3970</v>
      </c>
    </row>
    <row r="354" spans="1:2" x14ac:dyDescent="0.25">
      <c r="A354" s="20" t="s">
        <v>4386</v>
      </c>
      <c r="B354" s="20" t="s">
        <v>3970</v>
      </c>
    </row>
    <row r="355" spans="1:2" x14ac:dyDescent="0.25">
      <c r="A355" s="20" t="s">
        <v>4394</v>
      </c>
      <c r="B355" s="20" t="s">
        <v>3970</v>
      </c>
    </row>
    <row r="356" spans="1:2" x14ac:dyDescent="0.25">
      <c r="A356" s="20" t="s">
        <v>4400</v>
      </c>
      <c r="B356" s="20" t="s">
        <v>3970</v>
      </c>
    </row>
    <row r="357" spans="1:2" x14ac:dyDescent="0.25">
      <c r="A357" s="20" t="s">
        <v>4406</v>
      </c>
      <c r="B357" s="20" t="s">
        <v>3970</v>
      </c>
    </row>
    <row r="358" spans="1:2" x14ac:dyDescent="0.25">
      <c r="A358" s="20" t="s">
        <v>4337</v>
      </c>
      <c r="B358" s="20" t="s">
        <v>3970</v>
      </c>
    </row>
    <row r="359" spans="1:2" x14ac:dyDescent="0.25">
      <c r="A359" s="20" t="s">
        <v>4347</v>
      </c>
      <c r="B359" s="20" t="s">
        <v>3970</v>
      </c>
    </row>
    <row r="360" spans="1:2" x14ac:dyDescent="0.25">
      <c r="A360" s="20" t="s">
        <v>4357</v>
      </c>
      <c r="B360" s="20" t="s">
        <v>3970</v>
      </c>
    </row>
    <row r="361" spans="1:2" x14ac:dyDescent="0.25">
      <c r="A361" s="20" t="s">
        <v>4365</v>
      </c>
      <c r="B361" s="20" t="s">
        <v>3970</v>
      </c>
    </row>
    <row r="362" spans="1:2" x14ac:dyDescent="0.25">
      <c r="A362" s="20">
        <v>49940353</v>
      </c>
      <c r="B362" s="20" t="s">
        <v>3970</v>
      </c>
    </row>
    <row r="363" spans="1:2" x14ac:dyDescent="0.25">
      <c r="A363" s="20" t="s">
        <v>4379</v>
      </c>
      <c r="B363" s="20" t="s">
        <v>3970</v>
      </c>
    </row>
    <row r="364" spans="1:2" x14ac:dyDescent="0.25">
      <c r="A364" s="20" t="s">
        <v>4387</v>
      </c>
      <c r="B364" s="20" t="s">
        <v>3970</v>
      </c>
    </row>
    <row r="365" spans="1:2" x14ac:dyDescent="0.25">
      <c r="A365" s="20" t="s">
        <v>4395</v>
      </c>
      <c r="B365" s="20" t="s">
        <v>3970</v>
      </c>
    </row>
    <row r="366" spans="1:2" x14ac:dyDescent="0.25">
      <c r="A366" s="20" t="s">
        <v>4401</v>
      </c>
      <c r="B366" s="20" t="s">
        <v>3970</v>
      </c>
    </row>
    <row r="367" spans="1:2" x14ac:dyDescent="0.25">
      <c r="A367" s="20" t="s">
        <v>4458</v>
      </c>
      <c r="B367" s="20" t="s">
        <v>3970</v>
      </c>
    </row>
    <row r="368" spans="1:2" x14ac:dyDescent="0.25">
      <c r="A368" s="20">
        <v>12189483</v>
      </c>
      <c r="B368" s="20" t="s">
        <v>3970</v>
      </c>
    </row>
    <row r="369" spans="1:2" x14ac:dyDescent="0.25">
      <c r="A369" s="20">
        <v>12132974</v>
      </c>
      <c r="B369" s="20" t="s">
        <v>3970</v>
      </c>
    </row>
    <row r="370" spans="1:2" x14ac:dyDescent="0.25">
      <c r="A370" s="20" t="s">
        <v>4472</v>
      </c>
      <c r="B370" s="20" t="s">
        <v>3970</v>
      </c>
    </row>
    <row r="371" spans="1:2" x14ac:dyDescent="0.25">
      <c r="A371" s="20" t="s">
        <v>4439</v>
      </c>
      <c r="B371" s="20" t="s">
        <v>3970</v>
      </c>
    </row>
    <row r="372" spans="1:2" x14ac:dyDescent="0.25">
      <c r="A372" s="20" t="s">
        <v>4198</v>
      </c>
      <c r="B372" s="20" t="s">
        <v>3970</v>
      </c>
    </row>
    <row r="373" spans="1:2" x14ac:dyDescent="0.25">
      <c r="A373" s="20" t="s">
        <v>3971</v>
      </c>
      <c r="B373" s="20" t="s">
        <v>3971</v>
      </c>
    </row>
    <row r="374" spans="1:2" x14ac:dyDescent="0.25">
      <c r="A374" s="20" t="s">
        <v>4027</v>
      </c>
      <c r="B374" s="20" t="s">
        <v>3971</v>
      </c>
    </row>
    <row r="375" spans="1:2" x14ac:dyDescent="0.25">
      <c r="A375" s="20" t="s">
        <v>4031</v>
      </c>
      <c r="B375" s="20" t="s">
        <v>3971</v>
      </c>
    </row>
    <row r="376" spans="1:2" x14ac:dyDescent="0.25">
      <c r="A376" s="20" t="s">
        <v>4034</v>
      </c>
      <c r="B376" s="20" t="s">
        <v>3971</v>
      </c>
    </row>
    <row r="377" spans="1:2" x14ac:dyDescent="0.25">
      <c r="A377" s="20" t="s">
        <v>4041</v>
      </c>
      <c r="B377" s="20" t="s">
        <v>3971</v>
      </c>
    </row>
    <row r="378" spans="1:2" x14ac:dyDescent="0.25">
      <c r="A378" s="20">
        <v>-12119224</v>
      </c>
      <c r="B378" s="20" t="s">
        <v>3971</v>
      </c>
    </row>
    <row r="379" spans="1:2" x14ac:dyDescent="0.25">
      <c r="A379" s="20" t="s">
        <v>4060</v>
      </c>
      <c r="B379" s="20" t="s">
        <v>3971</v>
      </c>
    </row>
    <row r="380" spans="1:2" x14ac:dyDescent="0.25">
      <c r="A380" s="20">
        <v>-12163074</v>
      </c>
      <c r="B380" s="20" t="s">
        <v>3971</v>
      </c>
    </row>
    <row r="381" spans="1:2" x14ac:dyDescent="0.25">
      <c r="A381" s="20" t="s">
        <v>4083</v>
      </c>
      <c r="B381" s="20" t="s">
        <v>3971</v>
      </c>
    </row>
    <row r="382" spans="1:2" x14ac:dyDescent="0.25">
      <c r="A382" s="20" t="s">
        <v>4084</v>
      </c>
      <c r="B382" s="20" t="s">
        <v>3971</v>
      </c>
    </row>
    <row r="383" spans="1:2" x14ac:dyDescent="0.25">
      <c r="A383" s="20" t="s">
        <v>4098</v>
      </c>
      <c r="B383" s="20" t="s">
        <v>3971</v>
      </c>
    </row>
    <row r="384" spans="1:2" x14ac:dyDescent="0.25">
      <c r="A384" s="20">
        <v>-423967356</v>
      </c>
      <c r="B384" s="20" t="s">
        <v>3971</v>
      </c>
    </row>
    <row r="385" spans="1:2" x14ac:dyDescent="0.25">
      <c r="A385" s="20">
        <v>-424978643</v>
      </c>
      <c r="B385" s="20" t="s">
        <v>3971</v>
      </c>
    </row>
    <row r="386" spans="1:2" x14ac:dyDescent="0.25">
      <c r="A386" s="20">
        <v>-423967357</v>
      </c>
      <c r="B386" s="20" t="s">
        <v>3971</v>
      </c>
    </row>
    <row r="387" spans="1:2" x14ac:dyDescent="0.25">
      <c r="A387" s="20">
        <v>-423967353</v>
      </c>
      <c r="B387" s="20" t="s">
        <v>3971</v>
      </c>
    </row>
    <row r="388" spans="1:2" x14ac:dyDescent="0.25">
      <c r="A388" s="20">
        <v>-423967354</v>
      </c>
      <c r="B388" s="20" t="s">
        <v>3971</v>
      </c>
    </row>
    <row r="389" spans="1:2" x14ac:dyDescent="0.25">
      <c r="A389" s="20">
        <v>-423967355</v>
      </c>
      <c r="B389" s="20" t="s">
        <v>3971</v>
      </c>
    </row>
    <row r="390" spans="1:2" x14ac:dyDescent="0.25">
      <c r="A390" s="20" t="s">
        <v>4191</v>
      </c>
      <c r="B390" s="20" t="s">
        <v>3971</v>
      </c>
    </row>
    <row r="391" spans="1:2" x14ac:dyDescent="0.25">
      <c r="A391" s="20" t="s">
        <v>4207</v>
      </c>
      <c r="B391" s="20" t="s">
        <v>3971</v>
      </c>
    </row>
    <row r="392" spans="1:2" x14ac:dyDescent="0.25">
      <c r="A392" s="20" t="s">
        <v>4224</v>
      </c>
      <c r="B392" s="20" t="s">
        <v>3971</v>
      </c>
    </row>
    <row r="393" spans="1:2" x14ac:dyDescent="0.25">
      <c r="A393" s="20" t="s">
        <v>4231</v>
      </c>
      <c r="B393" s="20" t="s">
        <v>3971</v>
      </c>
    </row>
    <row r="394" spans="1:2" x14ac:dyDescent="0.25">
      <c r="A394" s="20" t="s">
        <v>4242</v>
      </c>
      <c r="B394" s="20" t="s">
        <v>3971</v>
      </c>
    </row>
    <row r="395" spans="1:2" x14ac:dyDescent="0.25">
      <c r="A395" s="20" t="s">
        <v>4254</v>
      </c>
      <c r="B395" s="20" t="s">
        <v>3971</v>
      </c>
    </row>
    <row r="396" spans="1:2" x14ac:dyDescent="0.25">
      <c r="A396" s="20" t="s">
        <v>4263</v>
      </c>
      <c r="B396" s="20" t="s">
        <v>3971</v>
      </c>
    </row>
    <row r="397" spans="1:2" x14ac:dyDescent="0.25">
      <c r="A397" s="20" t="s">
        <v>4273</v>
      </c>
      <c r="B397" s="20" t="s">
        <v>3971</v>
      </c>
    </row>
    <row r="398" spans="1:2" x14ac:dyDescent="0.25">
      <c r="A398" s="20" t="s">
        <v>4285</v>
      </c>
      <c r="B398" s="20" t="s">
        <v>3971</v>
      </c>
    </row>
    <row r="399" spans="1:2" x14ac:dyDescent="0.25">
      <c r="A399" s="20" t="s">
        <v>4300</v>
      </c>
      <c r="B399" s="20" t="s">
        <v>3971</v>
      </c>
    </row>
    <row r="400" spans="1:2" x14ac:dyDescent="0.25">
      <c r="A400" s="20" t="s">
        <v>4313</v>
      </c>
      <c r="B400" s="20" t="s">
        <v>3971</v>
      </c>
    </row>
    <row r="401" spans="1:2" x14ac:dyDescent="0.25">
      <c r="A401" s="20">
        <v>42706771</v>
      </c>
      <c r="B401" s="20" t="s">
        <v>3971</v>
      </c>
    </row>
    <row r="402" spans="1:2" x14ac:dyDescent="0.25">
      <c r="A402" s="20" t="s">
        <v>4337</v>
      </c>
      <c r="B402" s="20" t="s">
        <v>3971</v>
      </c>
    </row>
    <row r="403" spans="1:2" x14ac:dyDescent="0.25">
      <c r="A403" s="20" t="s">
        <v>4347</v>
      </c>
      <c r="B403" s="20" t="s">
        <v>3971</v>
      </c>
    </row>
    <row r="404" spans="1:2" x14ac:dyDescent="0.25">
      <c r="A404" s="20" t="s">
        <v>4357</v>
      </c>
      <c r="B404" s="20" t="s">
        <v>3971</v>
      </c>
    </row>
    <row r="405" spans="1:2" x14ac:dyDescent="0.25">
      <c r="A405" s="20" t="s">
        <v>4365</v>
      </c>
      <c r="B405" s="20" t="s">
        <v>3971</v>
      </c>
    </row>
    <row r="406" spans="1:2" x14ac:dyDescent="0.25">
      <c r="A406" s="20">
        <v>49940353</v>
      </c>
      <c r="B406" s="20" t="s">
        <v>3971</v>
      </c>
    </row>
    <row r="407" spans="1:2" x14ac:dyDescent="0.25">
      <c r="A407" s="20" t="s">
        <v>4379</v>
      </c>
      <c r="B407" s="20" t="s">
        <v>3971</v>
      </c>
    </row>
    <row r="408" spans="1:2" x14ac:dyDescent="0.25">
      <c r="A408" s="20" t="s">
        <v>4387</v>
      </c>
      <c r="B408" s="20" t="s">
        <v>3971</v>
      </c>
    </row>
    <row r="409" spans="1:2" x14ac:dyDescent="0.25">
      <c r="A409" s="20" t="s">
        <v>4395</v>
      </c>
      <c r="B409" s="20" t="s">
        <v>3971</v>
      </c>
    </row>
    <row r="410" spans="1:2" x14ac:dyDescent="0.25">
      <c r="A410" s="20" t="s">
        <v>4401</v>
      </c>
      <c r="B410" s="20" t="s">
        <v>3971</v>
      </c>
    </row>
    <row r="411" spans="1:2" x14ac:dyDescent="0.25">
      <c r="A411" s="20" t="s">
        <v>4407</v>
      </c>
      <c r="B411" s="20" t="s">
        <v>3971</v>
      </c>
    </row>
    <row r="412" spans="1:2" x14ac:dyDescent="0.25">
      <c r="A412" s="20" t="s">
        <v>4412</v>
      </c>
      <c r="B412" s="20" t="s">
        <v>3971</v>
      </c>
    </row>
    <row r="413" spans="1:2" x14ac:dyDescent="0.25">
      <c r="A413" s="20">
        <v>-12132974</v>
      </c>
      <c r="B413" s="20" t="s">
        <v>3971</v>
      </c>
    </row>
    <row r="414" spans="1:2" x14ac:dyDescent="0.25">
      <c r="A414" s="20">
        <v>-12135978</v>
      </c>
      <c r="B414" s="20" t="s">
        <v>3971</v>
      </c>
    </row>
    <row r="415" spans="1:2" x14ac:dyDescent="0.25">
      <c r="A415" s="20" t="s">
        <v>4427</v>
      </c>
      <c r="B415" s="20" t="s">
        <v>3971</v>
      </c>
    </row>
    <row r="416" spans="1:2" x14ac:dyDescent="0.25">
      <c r="A416" s="20" t="s">
        <v>4433</v>
      </c>
      <c r="B416" s="20" t="s">
        <v>3971</v>
      </c>
    </row>
    <row r="417" spans="1:2" x14ac:dyDescent="0.25">
      <c r="A417" s="20" t="s">
        <v>4437</v>
      </c>
      <c r="B417" s="20" t="s">
        <v>3971</v>
      </c>
    </row>
    <row r="418" spans="1:2" x14ac:dyDescent="0.25">
      <c r="A418" s="20" t="s">
        <v>4443</v>
      </c>
      <c r="B418" s="20" t="s">
        <v>3971</v>
      </c>
    </row>
    <row r="419" spans="1:2" x14ac:dyDescent="0.25">
      <c r="A419" s="20" t="s">
        <v>4448</v>
      </c>
      <c r="B419" s="20" t="s">
        <v>3971</v>
      </c>
    </row>
    <row r="420" spans="1:2" x14ac:dyDescent="0.25">
      <c r="A420" s="20" t="s">
        <v>4453</v>
      </c>
      <c r="B420" s="20" t="s">
        <v>3971</v>
      </c>
    </row>
    <row r="421" spans="1:2" x14ac:dyDescent="0.25">
      <c r="A421" s="20">
        <v>448845180</v>
      </c>
      <c r="B421" s="20" t="s">
        <v>3971</v>
      </c>
    </row>
    <row r="422" spans="1:2" x14ac:dyDescent="0.25">
      <c r="A422" s="20" t="s">
        <v>4463</v>
      </c>
      <c r="B422" s="20" t="s">
        <v>3971</v>
      </c>
    </row>
    <row r="423" spans="1:2" x14ac:dyDescent="0.25">
      <c r="A423" s="20" t="s">
        <v>4468</v>
      </c>
      <c r="B423" s="20" t="s">
        <v>3971</v>
      </c>
    </row>
    <row r="424" spans="1:2" x14ac:dyDescent="0.25">
      <c r="A424" s="20">
        <v>423966001</v>
      </c>
      <c r="B424" s="20" t="s">
        <v>3971</v>
      </c>
    </row>
    <row r="425" spans="1:2" x14ac:dyDescent="0.25">
      <c r="A425" s="20" t="s">
        <v>4476</v>
      </c>
      <c r="B425" s="20" t="s">
        <v>3971</v>
      </c>
    </row>
    <row r="426" spans="1:2" x14ac:dyDescent="0.25">
      <c r="A426" s="20" t="s">
        <v>4480</v>
      </c>
      <c r="B426" s="20" t="s">
        <v>3971</v>
      </c>
    </row>
    <row r="427" spans="1:2" x14ac:dyDescent="0.25">
      <c r="A427" s="20" t="s">
        <v>4484</v>
      </c>
      <c r="B427" s="20" t="s">
        <v>3971</v>
      </c>
    </row>
    <row r="428" spans="1:2" x14ac:dyDescent="0.25">
      <c r="A428" s="20">
        <v>-12372809</v>
      </c>
      <c r="B428" s="20" t="s">
        <v>3971</v>
      </c>
    </row>
    <row r="429" spans="1:2" x14ac:dyDescent="0.25">
      <c r="A429" s="20" t="s">
        <v>4488</v>
      </c>
      <c r="B429" s="20" t="s">
        <v>3971</v>
      </c>
    </row>
    <row r="430" spans="1:2" x14ac:dyDescent="0.25">
      <c r="A430" s="20">
        <v>42705779</v>
      </c>
      <c r="B430" s="20" t="s">
        <v>3971</v>
      </c>
    </row>
    <row r="431" spans="1:2" x14ac:dyDescent="0.25">
      <c r="A431" s="20">
        <v>448887900</v>
      </c>
      <c r="B431" s="20" t="s">
        <v>3971</v>
      </c>
    </row>
    <row r="432" spans="1:2" x14ac:dyDescent="0.25">
      <c r="A432" s="20" t="s">
        <v>4494</v>
      </c>
      <c r="B432" s="20" t="s">
        <v>3971</v>
      </c>
    </row>
    <row r="433" spans="1:2" x14ac:dyDescent="0.25">
      <c r="A433" s="20">
        <v>448887889</v>
      </c>
      <c r="B433" s="20" t="s">
        <v>3971</v>
      </c>
    </row>
    <row r="434" spans="1:2" x14ac:dyDescent="0.25">
      <c r="A434" s="20">
        <v>448887879</v>
      </c>
      <c r="B434" s="20" t="s">
        <v>3971</v>
      </c>
    </row>
    <row r="435" spans="1:2" x14ac:dyDescent="0.25">
      <c r="A435" s="20">
        <v>448887886</v>
      </c>
      <c r="B435" s="20" t="s">
        <v>3971</v>
      </c>
    </row>
    <row r="436" spans="1:2" x14ac:dyDescent="0.25">
      <c r="A436" s="20" t="s">
        <v>4499</v>
      </c>
      <c r="B436" s="20" t="s">
        <v>3971</v>
      </c>
    </row>
    <row r="437" spans="1:2" x14ac:dyDescent="0.25">
      <c r="A437" s="20">
        <v>454909268</v>
      </c>
      <c r="B437" s="20" t="s">
        <v>3971</v>
      </c>
    </row>
    <row r="438" spans="1:2" x14ac:dyDescent="0.25">
      <c r="A438" s="20" t="s">
        <v>4502</v>
      </c>
      <c r="B438" s="20" t="s">
        <v>3971</v>
      </c>
    </row>
    <row r="439" spans="1:2" x14ac:dyDescent="0.25">
      <c r="A439" s="20">
        <v>448887923</v>
      </c>
      <c r="B439" s="20" t="s">
        <v>3971</v>
      </c>
    </row>
    <row r="440" spans="1:2" x14ac:dyDescent="0.25">
      <c r="A440" s="20">
        <v>12148393</v>
      </c>
      <c r="B440" s="20" t="s">
        <v>3971</v>
      </c>
    </row>
    <row r="441" spans="1:2" x14ac:dyDescent="0.25">
      <c r="A441" s="20" t="s">
        <v>4506</v>
      </c>
      <c r="B441" s="20" t="s">
        <v>3971</v>
      </c>
    </row>
    <row r="442" spans="1:2" x14ac:dyDescent="0.25">
      <c r="A442" s="20" t="s">
        <v>4508</v>
      </c>
      <c r="B442" s="20" t="s">
        <v>3971</v>
      </c>
    </row>
    <row r="443" spans="1:2" x14ac:dyDescent="0.25">
      <c r="A443" s="20" t="s">
        <v>4511</v>
      </c>
      <c r="B443" s="20" t="s">
        <v>3971</v>
      </c>
    </row>
    <row r="444" spans="1:2" x14ac:dyDescent="0.25">
      <c r="A444" s="20" t="s">
        <v>4515</v>
      </c>
      <c r="B444" s="20" t="s">
        <v>3971</v>
      </c>
    </row>
    <row r="445" spans="1:2" x14ac:dyDescent="0.25">
      <c r="A445" s="20" t="s">
        <v>4517</v>
      </c>
      <c r="B445" s="20" t="s">
        <v>3971</v>
      </c>
    </row>
    <row r="446" spans="1:2" x14ac:dyDescent="0.25">
      <c r="A446" s="20" t="s">
        <v>4520</v>
      </c>
      <c r="B446" s="20" t="s">
        <v>3971</v>
      </c>
    </row>
    <row r="447" spans="1:2" x14ac:dyDescent="0.25">
      <c r="A447" s="20" t="s">
        <v>4523</v>
      </c>
      <c r="B447" s="20" t="s">
        <v>3971</v>
      </c>
    </row>
    <row r="448" spans="1:2" x14ac:dyDescent="0.25">
      <c r="A448" s="20" t="s">
        <v>4118</v>
      </c>
      <c r="B448" s="20" t="s">
        <v>3971</v>
      </c>
    </row>
    <row r="449" spans="1:2" x14ac:dyDescent="0.25">
      <c r="A449" s="20" t="s">
        <v>4527</v>
      </c>
      <c r="B449" s="20" t="s">
        <v>3971</v>
      </c>
    </row>
    <row r="450" spans="1:2" x14ac:dyDescent="0.25">
      <c r="A450" s="20">
        <v>486653623</v>
      </c>
      <c r="B450" s="20" t="s">
        <v>3971</v>
      </c>
    </row>
    <row r="451" spans="1:2" x14ac:dyDescent="0.25">
      <c r="A451" s="20">
        <v>287178713</v>
      </c>
      <c r="B451" s="20" t="s">
        <v>3971</v>
      </c>
    </row>
    <row r="452" spans="1:2" x14ac:dyDescent="0.25">
      <c r="A452" s="20" t="s">
        <v>4534</v>
      </c>
      <c r="B452" s="20" t="s">
        <v>3971</v>
      </c>
    </row>
    <row r="453" spans="1:2" x14ac:dyDescent="0.25">
      <c r="A453" s="20" t="s">
        <v>4537</v>
      </c>
      <c r="B453" s="20" t="s">
        <v>3971</v>
      </c>
    </row>
    <row r="454" spans="1:2" x14ac:dyDescent="0.25">
      <c r="A454" s="20">
        <v>-287178713</v>
      </c>
      <c r="B454" s="20" t="s">
        <v>3971</v>
      </c>
    </row>
    <row r="455" spans="1:2" x14ac:dyDescent="0.25">
      <c r="A455" s="20">
        <v>-486653623</v>
      </c>
      <c r="B455" s="20" t="s">
        <v>3971</v>
      </c>
    </row>
    <row r="456" spans="1:2" x14ac:dyDescent="0.25">
      <c r="A456" s="20" t="s">
        <v>4361</v>
      </c>
      <c r="B456" s="20" t="s">
        <v>3971</v>
      </c>
    </row>
    <row r="457" spans="1:2" x14ac:dyDescent="0.25">
      <c r="A457" s="20" t="s">
        <v>4130</v>
      </c>
      <c r="B457" s="20" t="s">
        <v>3971</v>
      </c>
    </row>
    <row r="458" spans="1:2" x14ac:dyDescent="0.25">
      <c r="A458" s="20" t="s">
        <v>4137</v>
      </c>
      <c r="B458" s="20" t="s">
        <v>3971</v>
      </c>
    </row>
    <row r="459" spans="1:2" x14ac:dyDescent="0.25">
      <c r="A459" s="20" t="s">
        <v>4383</v>
      </c>
      <c r="B459" s="20" t="s">
        <v>3971</v>
      </c>
    </row>
    <row r="460" spans="1:2" x14ac:dyDescent="0.25">
      <c r="A460" s="20" t="s">
        <v>4054</v>
      </c>
      <c r="B460" s="20" t="s">
        <v>3971</v>
      </c>
    </row>
    <row r="461" spans="1:2" x14ac:dyDescent="0.25">
      <c r="A461" s="20" t="s">
        <v>4064</v>
      </c>
      <c r="B461" s="20" t="s">
        <v>3971</v>
      </c>
    </row>
    <row r="462" spans="1:2" x14ac:dyDescent="0.25">
      <c r="A462" s="20" t="s">
        <v>4071</v>
      </c>
      <c r="B462" s="20" t="s">
        <v>3971</v>
      </c>
    </row>
    <row r="463" spans="1:2" x14ac:dyDescent="0.25">
      <c r="A463" s="20" t="s">
        <v>4086</v>
      </c>
      <c r="B463" s="20" t="s">
        <v>3971</v>
      </c>
    </row>
    <row r="464" spans="1:2" x14ac:dyDescent="0.25">
      <c r="A464" s="20" t="s">
        <v>4101</v>
      </c>
      <c r="B464" s="20" t="s">
        <v>3971</v>
      </c>
    </row>
    <row r="465" spans="1:2" x14ac:dyDescent="0.25">
      <c r="A465" s="20" t="s">
        <v>4115</v>
      </c>
      <c r="B465" s="20" t="s">
        <v>3971</v>
      </c>
    </row>
    <row r="466" spans="1:2" x14ac:dyDescent="0.25">
      <c r="A466" s="20" t="s">
        <v>4128</v>
      </c>
      <c r="B466" s="20" t="s">
        <v>3971</v>
      </c>
    </row>
    <row r="467" spans="1:2" x14ac:dyDescent="0.25">
      <c r="A467" s="20" t="s">
        <v>4229</v>
      </c>
      <c r="B467" s="20" t="s">
        <v>3971</v>
      </c>
    </row>
    <row r="468" spans="1:2" x14ac:dyDescent="0.25">
      <c r="A468" s="20">
        <v>-196375622</v>
      </c>
      <c r="B468" s="20" t="s">
        <v>3971</v>
      </c>
    </row>
    <row r="469" spans="1:2" x14ac:dyDescent="0.25">
      <c r="A469" s="20" t="s">
        <v>4441</v>
      </c>
      <c r="B469" s="20" t="s">
        <v>3971</v>
      </c>
    </row>
    <row r="470" spans="1:2" x14ac:dyDescent="0.25">
      <c r="A470" s="20" t="s">
        <v>4446</v>
      </c>
      <c r="B470" s="20" t="s">
        <v>3971</v>
      </c>
    </row>
    <row r="471" spans="1:2" x14ac:dyDescent="0.25">
      <c r="A471" s="20" t="s">
        <v>4452</v>
      </c>
      <c r="B471" s="20" t="s">
        <v>3971</v>
      </c>
    </row>
    <row r="472" spans="1:2" x14ac:dyDescent="0.25">
      <c r="A472" s="20" t="s">
        <v>4457</v>
      </c>
      <c r="B472" s="20" t="s">
        <v>3971</v>
      </c>
    </row>
    <row r="473" spans="1:2" x14ac:dyDescent="0.25">
      <c r="A473" s="20" t="s">
        <v>4462</v>
      </c>
      <c r="B473" s="20" t="s">
        <v>3971</v>
      </c>
    </row>
    <row r="474" spans="1:2" x14ac:dyDescent="0.25">
      <c r="A474" s="20" t="s">
        <v>4466</v>
      </c>
      <c r="B474" s="20" t="s">
        <v>3971</v>
      </c>
    </row>
    <row r="475" spans="1:2" x14ac:dyDescent="0.25">
      <c r="A475" s="20" t="s">
        <v>4471</v>
      </c>
      <c r="B475" s="20" t="s">
        <v>3971</v>
      </c>
    </row>
    <row r="476" spans="1:2" x14ac:dyDescent="0.25">
      <c r="A476" s="20" t="s">
        <v>4475</v>
      </c>
      <c r="B476" s="20" t="s">
        <v>3971</v>
      </c>
    </row>
    <row r="477" spans="1:2" x14ac:dyDescent="0.25">
      <c r="A477" s="20" t="s">
        <v>4478</v>
      </c>
      <c r="B477" s="20" t="s">
        <v>3971</v>
      </c>
    </row>
    <row r="478" spans="1:2" x14ac:dyDescent="0.25">
      <c r="A478" s="20" t="s">
        <v>4482</v>
      </c>
      <c r="B478" s="20" t="s">
        <v>3971</v>
      </c>
    </row>
    <row r="479" spans="1:2" x14ac:dyDescent="0.25">
      <c r="A479" s="20" t="s">
        <v>4472</v>
      </c>
      <c r="B479" s="20" t="s">
        <v>3971</v>
      </c>
    </row>
    <row r="480" spans="1:2" x14ac:dyDescent="0.25">
      <c r="A480" s="20" t="s">
        <v>4487</v>
      </c>
      <c r="B480" s="20" t="s">
        <v>3971</v>
      </c>
    </row>
    <row r="481" spans="1:2" x14ac:dyDescent="0.25">
      <c r="A481" s="20" t="s">
        <v>4489</v>
      </c>
      <c r="B481" s="20" t="s">
        <v>3971</v>
      </c>
    </row>
    <row r="482" spans="1:2" x14ac:dyDescent="0.25">
      <c r="A482" s="20">
        <v>12166594</v>
      </c>
      <c r="B482" s="20" t="s">
        <v>3971</v>
      </c>
    </row>
    <row r="483" spans="1:2" x14ac:dyDescent="0.25">
      <c r="A483" s="20" t="s">
        <v>4492</v>
      </c>
      <c r="B483" s="20" t="s">
        <v>3971</v>
      </c>
    </row>
    <row r="484" spans="1:2" x14ac:dyDescent="0.25">
      <c r="A484" s="20" t="s">
        <v>4495</v>
      </c>
      <c r="B484" s="20" t="s">
        <v>3971</v>
      </c>
    </row>
    <row r="485" spans="1:2" x14ac:dyDescent="0.25">
      <c r="A485" s="20" t="s">
        <v>4496</v>
      </c>
      <c r="B485" s="20" t="s">
        <v>3971</v>
      </c>
    </row>
    <row r="486" spans="1:2" x14ac:dyDescent="0.25">
      <c r="A486" s="20" t="s">
        <v>4497</v>
      </c>
      <c r="B486" s="20" t="s">
        <v>3971</v>
      </c>
    </row>
    <row r="487" spans="1:2" x14ac:dyDescent="0.25">
      <c r="A487" s="20" t="s">
        <v>4498</v>
      </c>
      <c r="B487" s="20" t="s">
        <v>3971</v>
      </c>
    </row>
    <row r="488" spans="1:2" x14ac:dyDescent="0.25">
      <c r="A488" s="20" t="s">
        <v>4500</v>
      </c>
      <c r="B488" s="20" t="s">
        <v>3971</v>
      </c>
    </row>
    <row r="489" spans="1:2" x14ac:dyDescent="0.25">
      <c r="A489" s="20" t="s">
        <v>4501</v>
      </c>
      <c r="B489" s="20" t="s">
        <v>3971</v>
      </c>
    </row>
    <row r="490" spans="1:2" x14ac:dyDescent="0.25">
      <c r="A490" s="20" t="s">
        <v>4503</v>
      </c>
      <c r="B490" s="20" t="s">
        <v>3971</v>
      </c>
    </row>
    <row r="491" spans="1:2" x14ac:dyDescent="0.25">
      <c r="A491" s="20" t="s">
        <v>4504</v>
      </c>
      <c r="B491" s="20" t="s">
        <v>3971</v>
      </c>
    </row>
    <row r="492" spans="1:2" x14ac:dyDescent="0.25">
      <c r="A492" s="20" t="s">
        <v>4505</v>
      </c>
      <c r="B492" s="20" t="s">
        <v>3971</v>
      </c>
    </row>
    <row r="493" spans="1:2" x14ac:dyDescent="0.25">
      <c r="A493" s="20" t="s">
        <v>4507</v>
      </c>
      <c r="B493" s="20" t="s">
        <v>3971</v>
      </c>
    </row>
    <row r="494" spans="1:2" x14ac:dyDescent="0.25">
      <c r="A494" s="20" t="s">
        <v>4509</v>
      </c>
      <c r="B494" s="20" t="s">
        <v>3971</v>
      </c>
    </row>
    <row r="495" spans="1:2" x14ac:dyDescent="0.25">
      <c r="A495" s="20" t="s">
        <v>4512</v>
      </c>
      <c r="B495" s="20" t="s">
        <v>3971</v>
      </c>
    </row>
    <row r="496" spans="1:2" x14ac:dyDescent="0.25">
      <c r="A496" s="20" t="s">
        <v>4516</v>
      </c>
      <c r="B496" s="20" t="s">
        <v>3971</v>
      </c>
    </row>
    <row r="497" spans="1:2" x14ac:dyDescent="0.25">
      <c r="A497" s="20" t="s">
        <v>4518</v>
      </c>
      <c r="B497" s="20" t="s">
        <v>3971</v>
      </c>
    </row>
    <row r="498" spans="1:2" x14ac:dyDescent="0.25">
      <c r="A498" s="20" t="s">
        <v>4521</v>
      </c>
      <c r="B498" s="20" t="s">
        <v>3971</v>
      </c>
    </row>
    <row r="499" spans="1:2" x14ac:dyDescent="0.25">
      <c r="A499" s="20" t="s">
        <v>4525</v>
      </c>
      <c r="B499" s="20" t="s">
        <v>3971</v>
      </c>
    </row>
    <row r="500" spans="1:2" x14ac:dyDescent="0.25">
      <c r="A500" s="20" t="s">
        <v>4526</v>
      </c>
      <c r="B500" s="20" t="s">
        <v>3971</v>
      </c>
    </row>
    <row r="501" spans="1:2" x14ac:dyDescent="0.25">
      <c r="A501" s="20" t="s">
        <v>4528</v>
      </c>
      <c r="B501" s="20" t="s">
        <v>3971</v>
      </c>
    </row>
    <row r="502" spans="1:2" x14ac:dyDescent="0.25">
      <c r="A502" s="20" t="s">
        <v>4530</v>
      </c>
      <c r="B502" s="20" t="s">
        <v>3971</v>
      </c>
    </row>
    <row r="503" spans="1:2" x14ac:dyDescent="0.25">
      <c r="A503" s="20" t="s">
        <v>4532</v>
      </c>
      <c r="B503" s="20" t="s">
        <v>3971</v>
      </c>
    </row>
    <row r="504" spans="1:2" x14ac:dyDescent="0.25">
      <c r="A504" s="20" t="s">
        <v>4535</v>
      </c>
      <c r="B504" s="20" t="s">
        <v>3971</v>
      </c>
    </row>
    <row r="505" spans="1:2" x14ac:dyDescent="0.25">
      <c r="A505" s="20" t="s">
        <v>4538</v>
      </c>
      <c r="B505" s="20" t="s">
        <v>3971</v>
      </c>
    </row>
    <row r="506" spans="1:2" x14ac:dyDescent="0.25">
      <c r="A506" s="20" t="s">
        <v>4540</v>
      </c>
      <c r="B506" s="20" t="s">
        <v>3971</v>
      </c>
    </row>
    <row r="507" spans="1:2" x14ac:dyDescent="0.25">
      <c r="A507" s="20" t="s">
        <v>4542</v>
      </c>
      <c r="B507" s="20" t="s">
        <v>3971</v>
      </c>
    </row>
    <row r="508" spans="1:2" x14ac:dyDescent="0.25">
      <c r="A508" s="20" t="s">
        <v>4544</v>
      </c>
      <c r="B508" s="20" t="s">
        <v>3971</v>
      </c>
    </row>
    <row r="509" spans="1:2" x14ac:dyDescent="0.25">
      <c r="A509" s="20">
        <v>134563759</v>
      </c>
      <c r="B509" s="20" t="s">
        <v>3971</v>
      </c>
    </row>
    <row r="510" spans="1:2" x14ac:dyDescent="0.25">
      <c r="A510" s="20" t="s">
        <v>4545</v>
      </c>
      <c r="B510" s="20" t="s">
        <v>3971</v>
      </c>
    </row>
    <row r="511" spans="1:2" x14ac:dyDescent="0.25">
      <c r="A511" s="20" t="s">
        <v>4547</v>
      </c>
      <c r="B511" s="20" t="s">
        <v>3971</v>
      </c>
    </row>
    <row r="512" spans="1:2" x14ac:dyDescent="0.25">
      <c r="A512" s="20" t="s">
        <v>4548</v>
      </c>
      <c r="B512" s="20" t="s">
        <v>3971</v>
      </c>
    </row>
    <row r="513" spans="1:2" x14ac:dyDescent="0.25">
      <c r="A513" s="20" t="s">
        <v>4551</v>
      </c>
      <c r="B513" s="20" t="s">
        <v>3971</v>
      </c>
    </row>
    <row r="514" spans="1:2" x14ac:dyDescent="0.25">
      <c r="A514" s="20" t="s">
        <v>4553</v>
      </c>
      <c r="B514" s="20" t="s">
        <v>3971</v>
      </c>
    </row>
    <row r="515" spans="1:2" x14ac:dyDescent="0.25">
      <c r="A515" s="20">
        <v>424803245</v>
      </c>
      <c r="B515" s="20" t="s">
        <v>3971</v>
      </c>
    </row>
    <row r="516" spans="1:2" x14ac:dyDescent="0.25">
      <c r="A516" s="20">
        <v>423956979</v>
      </c>
      <c r="B516" s="20" t="s">
        <v>3971</v>
      </c>
    </row>
    <row r="517" spans="1:2" x14ac:dyDescent="0.25">
      <c r="A517" s="20">
        <v>424824621</v>
      </c>
      <c r="B517" s="20" t="s">
        <v>3971</v>
      </c>
    </row>
    <row r="518" spans="1:2" x14ac:dyDescent="0.25">
      <c r="A518" s="20">
        <v>423956980</v>
      </c>
      <c r="B518" s="20" t="s">
        <v>3971</v>
      </c>
    </row>
    <row r="519" spans="1:2" x14ac:dyDescent="0.25">
      <c r="A519" s="20" t="s">
        <v>4556</v>
      </c>
      <c r="B519" s="20" t="s">
        <v>3971</v>
      </c>
    </row>
    <row r="520" spans="1:2" x14ac:dyDescent="0.25">
      <c r="A520" s="20" t="s">
        <v>4557</v>
      </c>
      <c r="B520" s="20" t="s">
        <v>3971</v>
      </c>
    </row>
    <row r="521" spans="1:2" x14ac:dyDescent="0.25">
      <c r="A521" s="20" t="s">
        <v>4558</v>
      </c>
      <c r="B521" s="20" t="s">
        <v>3971</v>
      </c>
    </row>
    <row r="522" spans="1:2" x14ac:dyDescent="0.25">
      <c r="A522" s="20" t="s">
        <v>4559</v>
      </c>
      <c r="B522" s="20" t="s">
        <v>3971</v>
      </c>
    </row>
    <row r="523" spans="1:2" x14ac:dyDescent="0.25">
      <c r="A523" s="20" t="s">
        <v>4561</v>
      </c>
      <c r="B523" s="20" t="s">
        <v>3971</v>
      </c>
    </row>
    <row r="524" spans="1:2" x14ac:dyDescent="0.25">
      <c r="A524" s="20" t="s">
        <v>4563</v>
      </c>
      <c r="B524" s="20" t="s">
        <v>3971</v>
      </c>
    </row>
    <row r="525" spans="1:2" x14ac:dyDescent="0.25">
      <c r="A525" s="20" t="s">
        <v>4152</v>
      </c>
      <c r="B525" s="20" t="s">
        <v>3971</v>
      </c>
    </row>
    <row r="526" spans="1:2" x14ac:dyDescent="0.25">
      <c r="A526" s="20" t="s">
        <v>4565</v>
      </c>
      <c r="B526" s="20" t="s">
        <v>3971</v>
      </c>
    </row>
    <row r="527" spans="1:2" x14ac:dyDescent="0.25">
      <c r="A527" s="20" t="s">
        <v>4200</v>
      </c>
      <c r="B527" s="20" t="s">
        <v>3971</v>
      </c>
    </row>
    <row r="528" spans="1:2" x14ac:dyDescent="0.25">
      <c r="A528" s="20" t="s">
        <v>4212</v>
      </c>
      <c r="B528" s="20" t="s">
        <v>3971</v>
      </c>
    </row>
    <row r="529" spans="1:2" x14ac:dyDescent="0.25">
      <c r="A529" s="20" t="s">
        <v>4030</v>
      </c>
      <c r="B529" s="20" t="s">
        <v>3971</v>
      </c>
    </row>
    <row r="530" spans="1:2" x14ac:dyDescent="0.25">
      <c r="A530" s="20" t="s">
        <v>4033</v>
      </c>
      <c r="B530" s="20" t="s">
        <v>3971</v>
      </c>
    </row>
    <row r="531" spans="1:2" x14ac:dyDescent="0.25">
      <c r="A531" s="20" t="s">
        <v>4038</v>
      </c>
      <c r="B531" s="20" t="s">
        <v>3971</v>
      </c>
    </row>
    <row r="532" spans="1:2" x14ac:dyDescent="0.25">
      <c r="A532" s="20" t="s">
        <v>4047</v>
      </c>
      <c r="B532" s="20" t="s">
        <v>3971</v>
      </c>
    </row>
    <row r="533" spans="1:2" x14ac:dyDescent="0.25">
      <c r="A533" s="20" t="s">
        <v>4057</v>
      </c>
      <c r="B533" s="20" t="s">
        <v>3971</v>
      </c>
    </row>
    <row r="534" spans="1:2" x14ac:dyDescent="0.25">
      <c r="A534" s="20" t="s">
        <v>4067</v>
      </c>
      <c r="B534" s="20" t="s">
        <v>3971</v>
      </c>
    </row>
    <row r="535" spans="1:2" x14ac:dyDescent="0.25">
      <c r="A535" s="20" t="s">
        <v>4077</v>
      </c>
      <c r="B535" s="20" t="s">
        <v>3971</v>
      </c>
    </row>
    <row r="536" spans="1:2" x14ac:dyDescent="0.25">
      <c r="A536" s="20" t="s">
        <v>4094</v>
      </c>
      <c r="B536" s="20" t="s">
        <v>3971</v>
      </c>
    </row>
    <row r="537" spans="1:2" x14ac:dyDescent="0.25">
      <c r="A537" s="20" t="s">
        <v>4108</v>
      </c>
      <c r="B537" s="20" t="s">
        <v>3971</v>
      </c>
    </row>
    <row r="538" spans="1:2" x14ac:dyDescent="0.25">
      <c r="A538" s="20" t="s">
        <v>4121</v>
      </c>
      <c r="B538" s="20" t="s">
        <v>3971</v>
      </c>
    </row>
    <row r="539" spans="1:2" x14ac:dyDescent="0.25">
      <c r="A539" s="20">
        <v>196358965</v>
      </c>
      <c r="B539" s="20" t="s">
        <v>3971</v>
      </c>
    </row>
    <row r="540" spans="1:2" x14ac:dyDescent="0.25">
      <c r="A540" s="20" t="s">
        <v>4139</v>
      </c>
      <c r="B540" s="20" t="s">
        <v>3971</v>
      </c>
    </row>
    <row r="541" spans="1:2" x14ac:dyDescent="0.25">
      <c r="A541" s="20" t="s">
        <v>4150</v>
      </c>
      <c r="B541" s="20" t="s">
        <v>3971</v>
      </c>
    </row>
    <row r="542" spans="1:2" x14ac:dyDescent="0.25">
      <c r="A542" s="20" t="s">
        <v>4164</v>
      </c>
      <c r="B542" s="20" t="s">
        <v>3971</v>
      </c>
    </row>
    <row r="543" spans="1:2" x14ac:dyDescent="0.25">
      <c r="A543" s="20" t="s">
        <v>4183</v>
      </c>
      <c r="B543" s="20" t="s">
        <v>3971</v>
      </c>
    </row>
    <row r="544" spans="1:2" x14ac:dyDescent="0.25">
      <c r="A544" s="20" t="s">
        <v>4199</v>
      </c>
      <c r="B544" s="20" t="s">
        <v>3971</v>
      </c>
    </row>
    <row r="545" spans="1:2" x14ac:dyDescent="0.25">
      <c r="A545" s="20" t="s">
        <v>4211</v>
      </c>
      <c r="B545" s="20" t="s">
        <v>3971</v>
      </c>
    </row>
    <row r="546" spans="1:2" x14ac:dyDescent="0.25">
      <c r="A546" s="20" t="s">
        <v>4222</v>
      </c>
      <c r="B546" s="20" t="s">
        <v>3971</v>
      </c>
    </row>
    <row r="547" spans="1:2" x14ac:dyDescent="0.25">
      <c r="A547" s="20">
        <v>423972761</v>
      </c>
      <c r="B547" s="20" t="s">
        <v>3971</v>
      </c>
    </row>
    <row r="548" spans="1:2" x14ac:dyDescent="0.25">
      <c r="A548" s="20" t="s">
        <v>4240</v>
      </c>
      <c r="B548" s="20" t="s">
        <v>3971</v>
      </c>
    </row>
    <row r="549" spans="1:2" x14ac:dyDescent="0.25">
      <c r="A549" s="20" t="s">
        <v>4252</v>
      </c>
      <c r="B549" s="20" t="s">
        <v>3971</v>
      </c>
    </row>
    <row r="550" spans="1:2" x14ac:dyDescent="0.25">
      <c r="A550" s="20" t="s">
        <v>4260</v>
      </c>
      <c r="B550" s="20" t="s">
        <v>3971</v>
      </c>
    </row>
    <row r="551" spans="1:2" x14ac:dyDescent="0.25">
      <c r="A551" s="20" t="s">
        <v>4270</v>
      </c>
      <c r="B551" s="20" t="s">
        <v>3971</v>
      </c>
    </row>
    <row r="552" spans="1:2" x14ac:dyDescent="0.25">
      <c r="A552" s="20" t="s">
        <v>4281</v>
      </c>
      <c r="B552" s="20" t="s">
        <v>3971</v>
      </c>
    </row>
    <row r="553" spans="1:2" x14ac:dyDescent="0.25">
      <c r="A553" s="20" t="s">
        <v>4298</v>
      </c>
      <c r="B553" s="20" t="s">
        <v>3971</v>
      </c>
    </row>
    <row r="554" spans="1:2" x14ac:dyDescent="0.25">
      <c r="A554" s="20" t="s">
        <v>4310</v>
      </c>
      <c r="B554" s="20" t="s">
        <v>3971</v>
      </c>
    </row>
    <row r="555" spans="1:2" x14ac:dyDescent="0.25">
      <c r="A555" s="20" t="s">
        <v>4322</v>
      </c>
      <c r="B555" s="20" t="s">
        <v>3971</v>
      </c>
    </row>
    <row r="556" spans="1:2" x14ac:dyDescent="0.25">
      <c r="A556" s="20" t="s">
        <v>4334</v>
      </c>
      <c r="B556" s="20" t="s">
        <v>3971</v>
      </c>
    </row>
    <row r="557" spans="1:2" x14ac:dyDescent="0.25">
      <c r="A557" s="20" t="s">
        <v>4344</v>
      </c>
      <c r="B557" s="20" t="s">
        <v>3971</v>
      </c>
    </row>
    <row r="558" spans="1:2" x14ac:dyDescent="0.25">
      <c r="A558" s="20" t="s">
        <v>4354</v>
      </c>
      <c r="B558" s="20" t="s">
        <v>3971</v>
      </c>
    </row>
    <row r="559" spans="1:2" x14ac:dyDescent="0.25">
      <c r="A559" s="20" t="s">
        <v>4295</v>
      </c>
      <c r="B559" s="20" t="s">
        <v>3971</v>
      </c>
    </row>
    <row r="560" spans="1:2" x14ac:dyDescent="0.25">
      <c r="A560" s="20">
        <v>12163074</v>
      </c>
      <c r="B560" s="20" t="s">
        <v>3971</v>
      </c>
    </row>
    <row r="561" spans="1:2" x14ac:dyDescent="0.25">
      <c r="A561" s="20" t="s">
        <v>4377</v>
      </c>
      <c r="B561" s="20" t="s">
        <v>3971</v>
      </c>
    </row>
    <row r="562" spans="1:2" x14ac:dyDescent="0.25">
      <c r="A562" s="20">
        <v>12158795</v>
      </c>
      <c r="B562" s="20" t="s">
        <v>3971</v>
      </c>
    </row>
    <row r="563" spans="1:2" x14ac:dyDescent="0.25">
      <c r="A563" s="20" t="s">
        <v>4393</v>
      </c>
      <c r="B563" s="20" t="s">
        <v>3971</v>
      </c>
    </row>
    <row r="564" spans="1:2" x14ac:dyDescent="0.25">
      <c r="A564" s="20" t="s">
        <v>4399</v>
      </c>
      <c r="B564" s="20" t="s">
        <v>3971</v>
      </c>
    </row>
    <row r="565" spans="1:2" x14ac:dyDescent="0.25">
      <c r="A565" s="20" t="s">
        <v>4036</v>
      </c>
      <c r="B565" s="20" t="s">
        <v>3971</v>
      </c>
    </row>
    <row r="566" spans="1:2" x14ac:dyDescent="0.25">
      <c r="A566" s="20" t="s">
        <v>4044</v>
      </c>
      <c r="B566" s="20" t="s">
        <v>3971</v>
      </c>
    </row>
    <row r="567" spans="1:2" x14ac:dyDescent="0.25">
      <c r="A567" s="20" t="s">
        <v>4053</v>
      </c>
      <c r="B567" s="20" t="s">
        <v>3971</v>
      </c>
    </row>
    <row r="568" spans="1:2" x14ac:dyDescent="0.25">
      <c r="A568" s="20" t="s">
        <v>4063</v>
      </c>
      <c r="B568" s="20" t="s">
        <v>3971</v>
      </c>
    </row>
    <row r="569" spans="1:2" x14ac:dyDescent="0.25">
      <c r="A569" s="20" t="s">
        <v>4072</v>
      </c>
      <c r="B569" s="20" t="s">
        <v>3971</v>
      </c>
    </row>
    <row r="570" spans="1:2" x14ac:dyDescent="0.25">
      <c r="A570" s="20" t="s">
        <v>4088</v>
      </c>
      <c r="B570" s="20" t="s">
        <v>3971</v>
      </c>
    </row>
    <row r="571" spans="1:2" x14ac:dyDescent="0.25">
      <c r="A571" s="20" t="s">
        <v>4103</v>
      </c>
      <c r="B571" s="20" t="s">
        <v>3971</v>
      </c>
    </row>
    <row r="572" spans="1:2" x14ac:dyDescent="0.25">
      <c r="A572" s="20">
        <v>-197974065</v>
      </c>
      <c r="B572" s="20" t="s">
        <v>3971</v>
      </c>
    </row>
    <row r="573" spans="1:2" x14ac:dyDescent="0.25">
      <c r="A573" s="20" t="s">
        <v>4129</v>
      </c>
      <c r="B573" s="20" t="s">
        <v>3971</v>
      </c>
    </row>
    <row r="574" spans="1:2" x14ac:dyDescent="0.25">
      <c r="A574" s="20" t="s">
        <v>4136</v>
      </c>
      <c r="B574" s="20" t="s">
        <v>3971</v>
      </c>
    </row>
    <row r="575" spans="1:2" x14ac:dyDescent="0.25">
      <c r="A575" s="20" t="s">
        <v>4147</v>
      </c>
      <c r="B575" s="20" t="s">
        <v>3971</v>
      </c>
    </row>
    <row r="576" spans="1:2" x14ac:dyDescent="0.25">
      <c r="A576" s="20">
        <v>145818800</v>
      </c>
      <c r="B576" s="20" t="s">
        <v>3971</v>
      </c>
    </row>
    <row r="577" spans="1:2" x14ac:dyDescent="0.25">
      <c r="A577" s="20" t="s">
        <v>4178</v>
      </c>
      <c r="B577" s="20" t="s">
        <v>3971</v>
      </c>
    </row>
    <row r="578" spans="1:2" x14ac:dyDescent="0.25">
      <c r="A578" s="20" t="s">
        <v>4146</v>
      </c>
      <c r="B578" s="20" t="s">
        <v>3971</v>
      </c>
    </row>
    <row r="579" spans="1:2" x14ac:dyDescent="0.25">
      <c r="A579" s="20">
        <v>-12174962</v>
      </c>
      <c r="B579" s="20" t="s">
        <v>3971</v>
      </c>
    </row>
    <row r="580" spans="1:2" x14ac:dyDescent="0.25">
      <c r="A580" s="20" t="s">
        <v>4177</v>
      </c>
      <c r="B580" s="20" t="s">
        <v>3971</v>
      </c>
    </row>
    <row r="581" spans="1:2" x14ac:dyDescent="0.25">
      <c r="A581" s="20" t="s">
        <v>4195</v>
      </c>
      <c r="B581" s="20" t="s">
        <v>3971</v>
      </c>
    </row>
    <row r="582" spans="1:2" x14ac:dyDescent="0.25">
      <c r="A582" s="20" t="s">
        <v>4209</v>
      </c>
      <c r="B582" s="20" t="s">
        <v>3971</v>
      </c>
    </row>
    <row r="583" spans="1:2" x14ac:dyDescent="0.25">
      <c r="A583" s="20">
        <v>-377438344</v>
      </c>
      <c r="B583" s="20" t="s">
        <v>3971</v>
      </c>
    </row>
    <row r="584" spans="1:2" x14ac:dyDescent="0.25">
      <c r="A584" s="20" t="s">
        <v>4228</v>
      </c>
      <c r="B584" s="20" t="s">
        <v>3971</v>
      </c>
    </row>
    <row r="585" spans="1:2" x14ac:dyDescent="0.25">
      <c r="A585" s="20" t="s">
        <v>4237</v>
      </c>
      <c r="B585" s="20" t="s">
        <v>3971</v>
      </c>
    </row>
    <row r="586" spans="1:2" x14ac:dyDescent="0.25">
      <c r="A586" s="20" t="s">
        <v>4249</v>
      </c>
      <c r="B586" s="20" t="s">
        <v>3971</v>
      </c>
    </row>
    <row r="587" spans="1:2" x14ac:dyDescent="0.25">
      <c r="A587" s="20" t="s">
        <v>4258</v>
      </c>
      <c r="B587" s="20" t="s">
        <v>3971</v>
      </c>
    </row>
    <row r="588" spans="1:2" x14ac:dyDescent="0.25">
      <c r="A588" s="20" t="s">
        <v>4266</v>
      </c>
      <c r="B588" s="20" t="s">
        <v>3971</v>
      </c>
    </row>
    <row r="589" spans="1:2" x14ac:dyDescent="0.25">
      <c r="A589" s="20" t="s">
        <v>4276</v>
      </c>
      <c r="B589" s="20" t="s">
        <v>3971</v>
      </c>
    </row>
    <row r="590" spans="1:2" x14ac:dyDescent="0.25">
      <c r="A590" s="20" t="s">
        <v>4292</v>
      </c>
      <c r="B590" s="20" t="s">
        <v>3971</v>
      </c>
    </row>
    <row r="591" spans="1:2" x14ac:dyDescent="0.25">
      <c r="A591" s="20" t="s">
        <v>4305</v>
      </c>
      <c r="B591" s="20" t="s">
        <v>3971</v>
      </c>
    </row>
    <row r="592" spans="1:2" x14ac:dyDescent="0.25">
      <c r="A592" s="20">
        <v>-12143825</v>
      </c>
      <c r="B592" s="20" t="s">
        <v>3971</v>
      </c>
    </row>
    <row r="593" spans="1:2" x14ac:dyDescent="0.25">
      <c r="A593" s="20" t="s">
        <v>4329</v>
      </c>
      <c r="B593" s="20" t="s">
        <v>3971</v>
      </c>
    </row>
    <row r="594" spans="1:2" x14ac:dyDescent="0.25">
      <c r="A594" s="20" t="s">
        <v>4339</v>
      </c>
      <c r="B594" s="20" t="s">
        <v>3971</v>
      </c>
    </row>
    <row r="595" spans="1:2" x14ac:dyDescent="0.25">
      <c r="A595" s="20" t="s">
        <v>4349</v>
      </c>
      <c r="B595" s="20" t="s">
        <v>3971</v>
      </c>
    </row>
    <row r="596" spans="1:2" x14ac:dyDescent="0.25">
      <c r="A596" s="20" t="s">
        <v>4358</v>
      </c>
      <c r="B596" s="20" t="s">
        <v>3971</v>
      </c>
    </row>
    <row r="597" spans="1:2" x14ac:dyDescent="0.25">
      <c r="A597" s="20" t="s">
        <v>4366</v>
      </c>
      <c r="B597" s="20" t="s">
        <v>3971</v>
      </c>
    </row>
    <row r="598" spans="1:2" x14ac:dyDescent="0.25">
      <c r="A598" s="20" t="s">
        <v>4372</v>
      </c>
      <c r="B598" s="20" t="s">
        <v>3971</v>
      </c>
    </row>
    <row r="599" spans="1:2" x14ac:dyDescent="0.25">
      <c r="A599" s="20" t="s">
        <v>4380</v>
      </c>
      <c r="B599" s="20" t="s">
        <v>3971</v>
      </c>
    </row>
    <row r="600" spans="1:2" x14ac:dyDescent="0.25">
      <c r="A600" s="20" t="s">
        <v>4388</v>
      </c>
      <c r="B600" s="20" t="s">
        <v>3971</v>
      </c>
    </row>
    <row r="601" spans="1:2" x14ac:dyDescent="0.25">
      <c r="A601" s="20">
        <v>165303424</v>
      </c>
      <c r="B601" s="20" t="s">
        <v>3971</v>
      </c>
    </row>
    <row r="602" spans="1:2" x14ac:dyDescent="0.25">
      <c r="A602" s="20" t="s">
        <v>4402</v>
      </c>
      <c r="B602" s="20" t="s">
        <v>3971</v>
      </c>
    </row>
    <row r="603" spans="1:2" x14ac:dyDescent="0.25">
      <c r="A603" s="20" t="s">
        <v>4408</v>
      </c>
      <c r="B603" s="20" t="s">
        <v>3971</v>
      </c>
    </row>
    <row r="604" spans="1:2" x14ac:dyDescent="0.25">
      <c r="A604" s="20" t="s">
        <v>4413</v>
      </c>
      <c r="B604" s="20" t="s">
        <v>3971</v>
      </c>
    </row>
    <row r="605" spans="1:2" x14ac:dyDescent="0.25">
      <c r="A605" s="20" t="s">
        <v>4417</v>
      </c>
      <c r="B605" s="20" t="s">
        <v>3971</v>
      </c>
    </row>
    <row r="606" spans="1:2" x14ac:dyDescent="0.25">
      <c r="A606" s="20" t="s">
        <v>4422</v>
      </c>
      <c r="B606" s="20" t="s">
        <v>3971</v>
      </c>
    </row>
    <row r="607" spans="1:2" x14ac:dyDescent="0.25">
      <c r="A607" s="20" t="s">
        <v>4428</v>
      </c>
      <c r="B607" s="20" t="s">
        <v>3971</v>
      </c>
    </row>
    <row r="608" spans="1:2" x14ac:dyDescent="0.25">
      <c r="A608" s="20" t="s">
        <v>3972</v>
      </c>
      <c r="B608" s="20" t="s">
        <v>3972</v>
      </c>
    </row>
    <row r="609" spans="1:2" x14ac:dyDescent="0.25">
      <c r="A609" s="20" t="s">
        <v>4027</v>
      </c>
      <c r="B609" s="20" t="s">
        <v>3972</v>
      </c>
    </row>
    <row r="610" spans="1:2" x14ac:dyDescent="0.25">
      <c r="A610" s="20" t="s">
        <v>4031</v>
      </c>
      <c r="B610" s="20" t="s">
        <v>3972</v>
      </c>
    </row>
    <row r="611" spans="1:2" x14ac:dyDescent="0.25">
      <c r="A611" s="20" t="s">
        <v>4034</v>
      </c>
      <c r="B611" s="20" t="s">
        <v>3972</v>
      </c>
    </row>
    <row r="612" spans="1:2" x14ac:dyDescent="0.25">
      <c r="A612" s="20" t="s">
        <v>4041</v>
      </c>
      <c r="B612" s="20" t="s">
        <v>3972</v>
      </c>
    </row>
    <row r="613" spans="1:2" x14ac:dyDescent="0.25">
      <c r="A613" s="20">
        <v>-12119224</v>
      </c>
      <c r="B613" s="20" t="s">
        <v>3972</v>
      </c>
    </row>
    <row r="614" spans="1:2" x14ac:dyDescent="0.25">
      <c r="A614" s="20" t="s">
        <v>4060</v>
      </c>
      <c r="B614" s="20" t="s">
        <v>3972</v>
      </c>
    </row>
    <row r="615" spans="1:2" x14ac:dyDescent="0.25">
      <c r="A615" s="20">
        <v>-12163074</v>
      </c>
      <c r="B615" s="20" t="s">
        <v>3972</v>
      </c>
    </row>
    <row r="616" spans="1:2" x14ac:dyDescent="0.25">
      <c r="A616" s="20" t="s">
        <v>4083</v>
      </c>
      <c r="B616" s="20" t="s">
        <v>3972</v>
      </c>
    </row>
    <row r="617" spans="1:2" x14ac:dyDescent="0.25">
      <c r="A617" s="20" t="s">
        <v>4084</v>
      </c>
      <c r="B617" s="20" t="s">
        <v>3972</v>
      </c>
    </row>
    <row r="618" spans="1:2" x14ac:dyDescent="0.25">
      <c r="A618" s="20" t="s">
        <v>4098</v>
      </c>
      <c r="B618" s="20" t="s">
        <v>3972</v>
      </c>
    </row>
    <row r="619" spans="1:2" x14ac:dyDescent="0.25">
      <c r="A619" s="20">
        <v>-423967356</v>
      </c>
      <c r="B619" s="20" t="s">
        <v>3972</v>
      </c>
    </row>
    <row r="620" spans="1:2" x14ac:dyDescent="0.25">
      <c r="A620" s="20">
        <v>-424978643</v>
      </c>
      <c r="B620" s="20" t="s">
        <v>3972</v>
      </c>
    </row>
    <row r="621" spans="1:2" x14ac:dyDescent="0.25">
      <c r="A621" s="20" t="s">
        <v>4144</v>
      </c>
      <c r="B621" s="20" t="s">
        <v>3972</v>
      </c>
    </row>
    <row r="622" spans="1:2" x14ac:dyDescent="0.25">
      <c r="A622" s="20" t="s">
        <v>4157</v>
      </c>
      <c r="B622" s="20" t="s">
        <v>3972</v>
      </c>
    </row>
    <row r="623" spans="1:2" x14ac:dyDescent="0.25">
      <c r="A623" s="20" t="s">
        <v>4171</v>
      </c>
      <c r="B623" s="20" t="s">
        <v>3972</v>
      </c>
    </row>
    <row r="624" spans="1:2" x14ac:dyDescent="0.25">
      <c r="A624" s="20">
        <v>49916265</v>
      </c>
      <c r="B624" s="20" t="s">
        <v>3972</v>
      </c>
    </row>
    <row r="625" spans="1:2" x14ac:dyDescent="0.25">
      <c r="A625" s="20" t="s">
        <v>4204</v>
      </c>
      <c r="B625" s="20" t="s">
        <v>3972</v>
      </c>
    </row>
    <row r="626" spans="1:2" x14ac:dyDescent="0.25">
      <c r="A626" s="20" t="s">
        <v>4214</v>
      </c>
      <c r="B626" s="20" t="s">
        <v>3972</v>
      </c>
    </row>
    <row r="627" spans="1:2" x14ac:dyDescent="0.25">
      <c r="A627" s="20">
        <v>-423967354</v>
      </c>
      <c r="B627" s="20" t="s">
        <v>3972</v>
      </c>
    </row>
    <row r="628" spans="1:2" x14ac:dyDescent="0.25">
      <c r="A628" s="20">
        <v>-423967355</v>
      </c>
      <c r="B628" s="20" t="s">
        <v>3972</v>
      </c>
    </row>
    <row r="629" spans="1:2" x14ac:dyDescent="0.25">
      <c r="A629" s="20" t="s">
        <v>4191</v>
      </c>
      <c r="B629" s="20" t="s">
        <v>3972</v>
      </c>
    </row>
    <row r="630" spans="1:2" x14ac:dyDescent="0.25">
      <c r="A630" s="20" t="s">
        <v>4207</v>
      </c>
      <c r="B630" s="20" t="s">
        <v>3972</v>
      </c>
    </row>
    <row r="631" spans="1:2" x14ac:dyDescent="0.25">
      <c r="A631" s="20" t="s">
        <v>4264</v>
      </c>
      <c r="B631" s="20" t="s">
        <v>3972</v>
      </c>
    </row>
    <row r="632" spans="1:2" x14ac:dyDescent="0.25">
      <c r="A632" s="20" t="s">
        <v>4274</v>
      </c>
      <c r="B632" s="20" t="s">
        <v>3972</v>
      </c>
    </row>
    <row r="633" spans="1:2" x14ac:dyDescent="0.25">
      <c r="A633" s="20" t="s">
        <v>4286</v>
      </c>
      <c r="B633" s="20" t="s">
        <v>3972</v>
      </c>
    </row>
    <row r="634" spans="1:2" x14ac:dyDescent="0.25">
      <c r="A634" s="20" t="s">
        <v>4174</v>
      </c>
      <c r="B634" s="20" t="s">
        <v>3972</v>
      </c>
    </row>
    <row r="635" spans="1:2" x14ac:dyDescent="0.25">
      <c r="A635" s="20" t="s">
        <v>4192</v>
      </c>
      <c r="B635" s="20" t="s">
        <v>3972</v>
      </c>
    </row>
    <row r="636" spans="1:2" x14ac:dyDescent="0.25">
      <c r="A636" s="20" t="s">
        <v>4326</v>
      </c>
      <c r="B636" s="20" t="s">
        <v>3972</v>
      </c>
    </row>
    <row r="637" spans="1:2" x14ac:dyDescent="0.25">
      <c r="A637" s="20" t="s">
        <v>4156</v>
      </c>
      <c r="B637" s="20" t="s">
        <v>3972</v>
      </c>
    </row>
    <row r="638" spans="1:2" x14ac:dyDescent="0.25">
      <c r="A638" s="20" t="s">
        <v>4170</v>
      </c>
      <c r="B638" s="20" t="s">
        <v>3972</v>
      </c>
    </row>
    <row r="639" spans="1:2" x14ac:dyDescent="0.25">
      <c r="A639" s="20" t="s">
        <v>4188</v>
      </c>
      <c r="B639" s="20" t="s">
        <v>3972</v>
      </c>
    </row>
    <row r="640" spans="1:2" x14ac:dyDescent="0.25">
      <c r="A640" s="20" t="s">
        <v>4202</v>
      </c>
      <c r="B640" s="20" t="s">
        <v>3972</v>
      </c>
    </row>
    <row r="641" spans="1:2" x14ac:dyDescent="0.25">
      <c r="A641" s="20" t="s">
        <v>4218</v>
      </c>
      <c r="B641" s="20" t="s">
        <v>3972</v>
      </c>
    </row>
    <row r="642" spans="1:2" x14ac:dyDescent="0.25">
      <c r="A642" s="20" t="s">
        <v>4227</v>
      </c>
      <c r="B642" s="20" t="s">
        <v>3972</v>
      </c>
    </row>
    <row r="643" spans="1:2" x14ac:dyDescent="0.25">
      <c r="A643" s="20" t="s">
        <v>4235</v>
      </c>
      <c r="B643" s="20" t="s">
        <v>3972</v>
      </c>
    </row>
    <row r="644" spans="1:2" x14ac:dyDescent="0.25">
      <c r="A644" s="20" t="s">
        <v>4247</v>
      </c>
      <c r="B644" s="20" t="s">
        <v>3972</v>
      </c>
    </row>
    <row r="645" spans="1:2" x14ac:dyDescent="0.25">
      <c r="A645" s="20" t="s">
        <v>4257</v>
      </c>
      <c r="B645" s="20" t="s">
        <v>3972</v>
      </c>
    </row>
    <row r="646" spans="1:2" x14ac:dyDescent="0.25">
      <c r="A646" s="20" t="s">
        <v>4265</v>
      </c>
      <c r="B646" s="20" t="s">
        <v>3972</v>
      </c>
    </row>
    <row r="647" spans="1:2" x14ac:dyDescent="0.25">
      <c r="A647" s="20" t="s">
        <v>4112</v>
      </c>
      <c r="B647" s="20" t="s">
        <v>3972</v>
      </c>
    </row>
    <row r="648" spans="1:2" x14ac:dyDescent="0.25">
      <c r="A648" s="20" t="s">
        <v>4126</v>
      </c>
      <c r="B648" s="20" t="s">
        <v>3972</v>
      </c>
    </row>
    <row r="649" spans="1:2" x14ac:dyDescent="0.25">
      <c r="A649" s="20">
        <v>-486653628</v>
      </c>
      <c r="B649" s="20" t="s">
        <v>3972</v>
      </c>
    </row>
    <row r="650" spans="1:2" x14ac:dyDescent="0.25">
      <c r="A650" s="20" t="s">
        <v>4142</v>
      </c>
      <c r="B650" s="20" t="s">
        <v>3972</v>
      </c>
    </row>
    <row r="651" spans="1:2" x14ac:dyDescent="0.25">
      <c r="A651" s="20" t="s">
        <v>4154</v>
      </c>
      <c r="B651" s="20" t="s">
        <v>3972</v>
      </c>
    </row>
    <row r="652" spans="1:2" x14ac:dyDescent="0.25">
      <c r="A652" s="20" t="s">
        <v>4168</v>
      </c>
      <c r="B652" s="20" t="s">
        <v>3972</v>
      </c>
    </row>
    <row r="653" spans="1:2" x14ac:dyDescent="0.25">
      <c r="A653" s="20" t="s">
        <v>4027</v>
      </c>
      <c r="B653" s="20" t="s">
        <v>3972</v>
      </c>
    </row>
    <row r="654" spans="1:2" x14ac:dyDescent="0.25">
      <c r="A654" s="20" t="s">
        <v>4031</v>
      </c>
      <c r="B654" s="20" t="s">
        <v>3972</v>
      </c>
    </row>
    <row r="655" spans="1:2" x14ac:dyDescent="0.25">
      <c r="A655" s="20" t="s">
        <v>4035</v>
      </c>
      <c r="B655" s="20" t="s">
        <v>3972</v>
      </c>
    </row>
    <row r="656" spans="1:2" x14ac:dyDescent="0.25">
      <c r="A656" s="20" t="s">
        <v>4042</v>
      </c>
      <c r="B656" s="20" t="s">
        <v>3972</v>
      </c>
    </row>
    <row r="657" spans="1:2" x14ac:dyDescent="0.25">
      <c r="A657" s="20">
        <v>424978639</v>
      </c>
      <c r="B657" s="20" t="s">
        <v>3972</v>
      </c>
    </row>
    <row r="658" spans="1:2" x14ac:dyDescent="0.25">
      <c r="A658" s="20">
        <v>387423966</v>
      </c>
      <c r="B658" s="20" t="s">
        <v>3972</v>
      </c>
    </row>
    <row r="659" spans="1:2" x14ac:dyDescent="0.25">
      <c r="A659" s="20">
        <v>424978644</v>
      </c>
      <c r="B659" s="20" t="s">
        <v>3972</v>
      </c>
    </row>
    <row r="660" spans="1:2" x14ac:dyDescent="0.25">
      <c r="A660" s="20">
        <v>423965484</v>
      </c>
      <c r="B660" s="20" t="s">
        <v>3972</v>
      </c>
    </row>
    <row r="661" spans="1:2" x14ac:dyDescent="0.25">
      <c r="A661" s="20" t="s">
        <v>4100</v>
      </c>
      <c r="B661" s="20" t="s">
        <v>3972</v>
      </c>
    </row>
    <row r="662" spans="1:2" x14ac:dyDescent="0.25">
      <c r="A662" s="20" t="s">
        <v>4114</v>
      </c>
      <c r="B662" s="20" t="s">
        <v>3972</v>
      </c>
    </row>
    <row r="663" spans="1:2" x14ac:dyDescent="0.25">
      <c r="A663" s="20">
        <v>448887868</v>
      </c>
      <c r="B663" s="20" t="s">
        <v>3972</v>
      </c>
    </row>
    <row r="664" spans="1:2" x14ac:dyDescent="0.25">
      <c r="A664" s="20" t="s">
        <v>4135</v>
      </c>
      <c r="B664" s="20" t="s">
        <v>3972</v>
      </c>
    </row>
    <row r="665" spans="1:2" x14ac:dyDescent="0.25">
      <c r="A665" s="20" t="s">
        <v>4145</v>
      </c>
      <c r="B665" s="20" t="s">
        <v>3972</v>
      </c>
    </row>
    <row r="666" spans="1:2" x14ac:dyDescent="0.25">
      <c r="A666" s="20">
        <v>448887869</v>
      </c>
      <c r="B666" s="20" t="s">
        <v>3972</v>
      </c>
    </row>
    <row r="667" spans="1:2" x14ac:dyDescent="0.25">
      <c r="A667" s="20">
        <v>448887867</v>
      </c>
      <c r="B667" s="20" t="s">
        <v>3972</v>
      </c>
    </row>
    <row r="668" spans="1:2" x14ac:dyDescent="0.25">
      <c r="A668" s="20" t="s">
        <v>4193</v>
      </c>
      <c r="B668" s="20" t="s">
        <v>3972</v>
      </c>
    </row>
    <row r="669" spans="1:2" x14ac:dyDescent="0.25">
      <c r="A669" s="20" t="s">
        <v>3973</v>
      </c>
      <c r="B669" s="20" t="s">
        <v>3973</v>
      </c>
    </row>
    <row r="670" spans="1:2" x14ac:dyDescent="0.25">
      <c r="A670" s="20" t="s">
        <v>4027</v>
      </c>
      <c r="B670" s="20" t="s">
        <v>3973</v>
      </c>
    </row>
    <row r="671" spans="1:2" x14ac:dyDescent="0.25">
      <c r="A671" s="20" t="s">
        <v>4031</v>
      </c>
      <c r="B671" s="20" t="s">
        <v>3973</v>
      </c>
    </row>
    <row r="672" spans="1:2" x14ac:dyDescent="0.25">
      <c r="A672" s="20" t="s">
        <v>4034</v>
      </c>
      <c r="B672" s="20" t="s">
        <v>3973</v>
      </c>
    </row>
    <row r="673" spans="1:2" x14ac:dyDescent="0.25">
      <c r="A673" s="20" t="s">
        <v>4041</v>
      </c>
      <c r="B673" s="20" t="s">
        <v>3973</v>
      </c>
    </row>
    <row r="674" spans="1:2" x14ac:dyDescent="0.25">
      <c r="A674" s="20">
        <v>-12119224</v>
      </c>
      <c r="B674" s="20" t="s">
        <v>3973</v>
      </c>
    </row>
    <row r="675" spans="1:2" x14ac:dyDescent="0.25">
      <c r="A675" s="20" t="s">
        <v>4060</v>
      </c>
      <c r="B675" s="20" t="s">
        <v>3973</v>
      </c>
    </row>
    <row r="676" spans="1:2" x14ac:dyDescent="0.25">
      <c r="A676" s="20">
        <v>-12163074</v>
      </c>
      <c r="B676" s="20" t="s">
        <v>3973</v>
      </c>
    </row>
    <row r="677" spans="1:2" x14ac:dyDescent="0.25">
      <c r="A677" s="20" t="s">
        <v>4083</v>
      </c>
      <c r="B677" s="20" t="s">
        <v>3973</v>
      </c>
    </row>
    <row r="678" spans="1:2" x14ac:dyDescent="0.25">
      <c r="A678" s="20" t="s">
        <v>4084</v>
      </c>
      <c r="B678" s="20" t="s">
        <v>3973</v>
      </c>
    </row>
    <row r="679" spans="1:2" x14ac:dyDescent="0.25">
      <c r="A679" s="20" t="s">
        <v>4098</v>
      </c>
      <c r="B679" s="20" t="s">
        <v>3973</v>
      </c>
    </row>
    <row r="680" spans="1:2" x14ac:dyDescent="0.25">
      <c r="A680" s="20">
        <v>-423967356</v>
      </c>
      <c r="B680" s="20" t="s">
        <v>3973</v>
      </c>
    </row>
    <row r="681" spans="1:2" x14ac:dyDescent="0.25">
      <c r="A681" s="20">
        <v>-424978643</v>
      </c>
      <c r="B681" s="20" t="s">
        <v>3973</v>
      </c>
    </row>
    <row r="682" spans="1:2" x14ac:dyDescent="0.25">
      <c r="A682" s="20" t="s">
        <v>4144</v>
      </c>
      <c r="B682" s="20" t="s">
        <v>3973</v>
      </c>
    </row>
    <row r="683" spans="1:2" x14ac:dyDescent="0.25">
      <c r="A683" s="20" t="s">
        <v>4157</v>
      </c>
      <c r="B683" s="20" t="s">
        <v>3973</v>
      </c>
    </row>
    <row r="684" spans="1:2" x14ac:dyDescent="0.25">
      <c r="A684" s="20" t="s">
        <v>4171</v>
      </c>
      <c r="B684" s="20" t="s">
        <v>3973</v>
      </c>
    </row>
    <row r="685" spans="1:2" x14ac:dyDescent="0.25">
      <c r="A685" s="20">
        <v>49916265</v>
      </c>
      <c r="B685" s="20" t="s">
        <v>3973</v>
      </c>
    </row>
    <row r="686" spans="1:2" x14ac:dyDescent="0.25">
      <c r="A686" s="20" t="s">
        <v>4204</v>
      </c>
      <c r="B686" s="20" t="s">
        <v>3973</v>
      </c>
    </row>
    <row r="687" spans="1:2" x14ac:dyDescent="0.25">
      <c r="A687" s="20" t="s">
        <v>4214</v>
      </c>
      <c r="B687" s="20" t="s">
        <v>3973</v>
      </c>
    </row>
    <row r="688" spans="1:2" x14ac:dyDescent="0.25">
      <c r="A688" s="20">
        <v>-423967354</v>
      </c>
      <c r="B688" s="20" t="s">
        <v>3973</v>
      </c>
    </row>
    <row r="689" spans="1:2" x14ac:dyDescent="0.25">
      <c r="A689" s="20">
        <v>-423967355</v>
      </c>
      <c r="B689" s="20" t="s">
        <v>3973</v>
      </c>
    </row>
    <row r="690" spans="1:2" x14ac:dyDescent="0.25">
      <c r="A690" s="20" t="s">
        <v>4191</v>
      </c>
      <c r="B690" s="20" t="s">
        <v>3973</v>
      </c>
    </row>
    <row r="691" spans="1:2" x14ac:dyDescent="0.25">
      <c r="A691" s="20" t="s">
        <v>4207</v>
      </c>
      <c r="B691" s="20" t="s">
        <v>3973</v>
      </c>
    </row>
    <row r="692" spans="1:2" x14ac:dyDescent="0.25">
      <c r="A692" s="20" t="s">
        <v>4264</v>
      </c>
      <c r="B692" s="20" t="s">
        <v>3973</v>
      </c>
    </row>
    <row r="693" spans="1:2" x14ac:dyDescent="0.25">
      <c r="A693" s="20" t="s">
        <v>4274</v>
      </c>
      <c r="B693" s="20" t="s">
        <v>3973</v>
      </c>
    </row>
    <row r="694" spans="1:2" x14ac:dyDescent="0.25">
      <c r="A694" s="20" t="s">
        <v>4286</v>
      </c>
      <c r="B694" s="20" t="s">
        <v>3973</v>
      </c>
    </row>
    <row r="695" spans="1:2" x14ac:dyDescent="0.25">
      <c r="A695" s="20" t="s">
        <v>4174</v>
      </c>
      <c r="B695" s="20" t="s">
        <v>3973</v>
      </c>
    </row>
    <row r="696" spans="1:2" x14ac:dyDescent="0.25">
      <c r="A696" s="20" t="s">
        <v>4192</v>
      </c>
      <c r="B696" s="20" t="s">
        <v>3973</v>
      </c>
    </row>
    <row r="697" spans="1:2" x14ac:dyDescent="0.25">
      <c r="A697" s="20" t="s">
        <v>4326</v>
      </c>
      <c r="B697" s="20" t="s">
        <v>3973</v>
      </c>
    </row>
    <row r="698" spans="1:2" x14ac:dyDescent="0.25">
      <c r="A698" s="20" t="s">
        <v>4156</v>
      </c>
      <c r="B698" s="20" t="s">
        <v>3973</v>
      </c>
    </row>
    <row r="699" spans="1:2" x14ac:dyDescent="0.25">
      <c r="A699" s="20" t="s">
        <v>4170</v>
      </c>
      <c r="B699" s="20" t="s">
        <v>3973</v>
      </c>
    </row>
    <row r="700" spans="1:2" x14ac:dyDescent="0.25">
      <c r="A700" s="20" t="s">
        <v>4188</v>
      </c>
      <c r="B700" s="20" t="s">
        <v>3973</v>
      </c>
    </row>
    <row r="701" spans="1:2" x14ac:dyDescent="0.25">
      <c r="A701" s="20" t="s">
        <v>4202</v>
      </c>
      <c r="B701" s="20" t="s">
        <v>3973</v>
      </c>
    </row>
    <row r="702" spans="1:2" x14ac:dyDescent="0.25">
      <c r="A702" s="20" t="s">
        <v>4218</v>
      </c>
      <c r="B702" s="20" t="s">
        <v>3973</v>
      </c>
    </row>
    <row r="703" spans="1:2" x14ac:dyDescent="0.25">
      <c r="A703" s="20" t="s">
        <v>4227</v>
      </c>
      <c r="B703" s="20" t="s">
        <v>3973</v>
      </c>
    </row>
    <row r="704" spans="1:2" x14ac:dyDescent="0.25">
      <c r="A704" s="20" t="s">
        <v>4235</v>
      </c>
      <c r="B704" s="20" t="s">
        <v>3973</v>
      </c>
    </row>
    <row r="705" spans="1:2" x14ac:dyDescent="0.25">
      <c r="A705" s="20" t="s">
        <v>4247</v>
      </c>
      <c r="B705" s="20" t="s">
        <v>3973</v>
      </c>
    </row>
    <row r="706" spans="1:2" x14ac:dyDescent="0.25">
      <c r="A706" s="20" t="s">
        <v>4257</v>
      </c>
      <c r="B706" s="20" t="s">
        <v>3973</v>
      </c>
    </row>
    <row r="707" spans="1:2" x14ac:dyDescent="0.25">
      <c r="A707" s="20" t="s">
        <v>4265</v>
      </c>
      <c r="B707" s="20" t="s">
        <v>3973</v>
      </c>
    </row>
    <row r="708" spans="1:2" x14ac:dyDescent="0.25">
      <c r="A708" s="20" t="s">
        <v>4112</v>
      </c>
      <c r="B708" s="20" t="s">
        <v>3973</v>
      </c>
    </row>
    <row r="709" spans="1:2" x14ac:dyDescent="0.25">
      <c r="A709" s="20" t="s">
        <v>4126</v>
      </c>
      <c r="B709" s="20" t="s">
        <v>3973</v>
      </c>
    </row>
    <row r="710" spans="1:2" x14ac:dyDescent="0.25">
      <c r="A710" s="20">
        <v>-486653628</v>
      </c>
      <c r="B710" s="20" t="s">
        <v>3973</v>
      </c>
    </row>
    <row r="711" spans="1:2" x14ac:dyDescent="0.25">
      <c r="A711" s="20" t="s">
        <v>4142</v>
      </c>
      <c r="B711" s="20" t="s">
        <v>3973</v>
      </c>
    </row>
    <row r="712" spans="1:2" x14ac:dyDescent="0.25">
      <c r="A712" s="20" t="s">
        <v>4328</v>
      </c>
      <c r="B712" s="20" t="s">
        <v>3973</v>
      </c>
    </row>
    <row r="713" spans="1:2" x14ac:dyDescent="0.25">
      <c r="A713" s="20" t="s">
        <v>4070</v>
      </c>
      <c r="B713" s="20" t="s">
        <v>3973</v>
      </c>
    </row>
    <row r="714" spans="1:2" x14ac:dyDescent="0.25">
      <c r="A714" s="20" t="s">
        <v>4085</v>
      </c>
      <c r="B714" s="20" t="s">
        <v>3973</v>
      </c>
    </row>
    <row r="715" spans="1:2" x14ac:dyDescent="0.25">
      <c r="A715" s="20" t="s">
        <v>4099</v>
      </c>
      <c r="B715" s="20" t="s">
        <v>3973</v>
      </c>
    </row>
    <row r="716" spans="1:2" x14ac:dyDescent="0.25">
      <c r="A716" s="20" t="s">
        <v>4113</v>
      </c>
      <c r="B716" s="20" t="s">
        <v>3973</v>
      </c>
    </row>
    <row r="717" spans="1:2" x14ac:dyDescent="0.25">
      <c r="A717" s="20" t="s">
        <v>4127</v>
      </c>
      <c r="B717" s="20" t="s">
        <v>3973</v>
      </c>
    </row>
    <row r="718" spans="1:2" x14ac:dyDescent="0.25">
      <c r="A718" s="20">
        <v>12111684</v>
      </c>
      <c r="B718" s="20" t="s">
        <v>3973</v>
      </c>
    </row>
    <row r="719" spans="1:2" x14ac:dyDescent="0.25">
      <c r="A719" s="20" t="s">
        <v>4125</v>
      </c>
      <c r="B719" s="20" t="s">
        <v>3973</v>
      </c>
    </row>
    <row r="720" spans="1:2" x14ac:dyDescent="0.25">
      <c r="A720" s="20" t="s">
        <v>3974</v>
      </c>
      <c r="B720" s="20" t="s">
        <v>3974</v>
      </c>
    </row>
    <row r="721" spans="1:2" x14ac:dyDescent="0.25">
      <c r="A721" s="20" t="s">
        <v>4027</v>
      </c>
      <c r="B721" s="20" t="s">
        <v>3974</v>
      </c>
    </row>
    <row r="722" spans="1:2" x14ac:dyDescent="0.25">
      <c r="A722" s="20" t="s">
        <v>4031</v>
      </c>
      <c r="B722" s="20" t="s">
        <v>3974</v>
      </c>
    </row>
    <row r="723" spans="1:2" x14ac:dyDescent="0.25">
      <c r="A723" s="20" t="s">
        <v>4034</v>
      </c>
      <c r="B723" s="20" t="s">
        <v>3974</v>
      </c>
    </row>
    <row r="724" spans="1:2" x14ac:dyDescent="0.25">
      <c r="A724" s="20" t="s">
        <v>4041</v>
      </c>
      <c r="B724" s="20" t="s">
        <v>3974</v>
      </c>
    </row>
    <row r="725" spans="1:2" x14ac:dyDescent="0.25">
      <c r="A725" s="20" t="s">
        <v>4050</v>
      </c>
      <c r="B725" s="20" t="s">
        <v>3974</v>
      </c>
    </row>
    <row r="726" spans="1:2" x14ac:dyDescent="0.25">
      <c r="A726" s="20" t="s">
        <v>4060</v>
      </c>
      <c r="B726" s="20" t="s">
        <v>3974</v>
      </c>
    </row>
    <row r="727" spans="1:2" x14ac:dyDescent="0.25">
      <c r="A727" s="20" t="s">
        <v>4069</v>
      </c>
      <c r="B727" s="20" t="s">
        <v>3974</v>
      </c>
    </row>
    <row r="728" spans="1:2" x14ac:dyDescent="0.25">
      <c r="A728" s="20" t="s">
        <v>4084</v>
      </c>
      <c r="B728" s="20" t="s">
        <v>3974</v>
      </c>
    </row>
    <row r="729" spans="1:2" x14ac:dyDescent="0.25">
      <c r="A729" s="20" t="s">
        <v>4098</v>
      </c>
      <c r="B729" s="20" t="s">
        <v>3974</v>
      </c>
    </row>
    <row r="730" spans="1:2" x14ac:dyDescent="0.25">
      <c r="A730" s="20">
        <v>-423967356</v>
      </c>
      <c r="B730" s="20" t="s">
        <v>3974</v>
      </c>
    </row>
    <row r="731" spans="1:2" x14ac:dyDescent="0.25">
      <c r="A731" s="20">
        <v>-424978643</v>
      </c>
      <c r="B731" s="20" t="s">
        <v>3974</v>
      </c>
    </row>
    <row r="732" spans="1:2" x14ac:dyDescent="0.25">
      <c r="A732" s="20">
        <v>-423967357</v>
      </c>
      <c r="B732" s="20" t="s">
        <v>3974</v>
      </c>
    </row>
    <row r="733" spans="1:2" x14ac:dyDescent="0.25">
      <c r="A733" s="20">
        <v>-423967353</v>
      </c>
      <c r="B733" s="20" t="s">
        <v>3974</v>
      </c>
    </row>
    <row r="734" spans="1:2" x14ac:dyDescent="0.25">
      <c r="A734" s="20" t="s">
        <v>4158</v>
      </c>
      <c r="B734" s="20" t="s">
        <v>3974</v>
      </c>
    </row>
    <row r="735" spans="1:2" x14ac:dyDescent="0.25">
      <c r="A735" s="20" t="s">
        <v>4172</v>
      </c>
      <c r="B735" s="20" t="s">
        <v>3974</v>
      </c>
    </row>
    <row r="736" spans="1:2" x14ac:dyDescent="0.25">
      <c r="A736" s="20" t="s">
        <v>4190</v>
      </c>
      <c r="B736" s="20" t="s">
        <v>3974</v>
      </c>
    </row>
    <row r="737" spans="1:2" x14ac:dyDescent="0.25">
      <c r="A737" s="20" t="s">
        <v>4205</v>
      </c>
      <c r="B737" s="20" t="s">
        <v>3974</v>
      </c>
    </row>
    <row r="738" spans="1:2" x14ac:dyDescent="0.25">
      <c r="A738" s="20" t="s">
        <v>4215</v>
      </c>
      <c r="B738" s="20" t="s">
        <v>3974</v>
      </c>
    </row>
    <row r="739" spans="1:2" x14ac:dyDescent="0.25">
      <c r="A739" s="20" t="s">
        <v>4225</v>
      </c>
      <c r="B739" s="20" t="s">
        <v>3974</v>
      </c>
    </row>
    <row r="740" spans="1:2" x14ac:dyDescent="0.25">
      <c r="A740" s="20" t="s">
        <v>4232</v>
      </c>
      <c r="B740" s="20" t="s">
        <v>3974</v>
      </c>
    </row>
    <row r="741" spans="1:2" x14ac:dyDescent="0.25">
      <c r="A741" s="20" t="s">
        <v>4243</v>
      </c>
      <c r="B741" s="20" t="s">
        <v>3974</v>
      </c>
    </row>
    <row r="742" spans="1:2" x14ac:dyDescent="0.25">
      <c r="A742" s="20" t="s">
        <v>4255</v>
      </c>
      <c r="B742" s="20" t="s">
        <v>3974</v>
      </c>
    </row>
    <row r="743" spans="1:2" x14ac:dyDescent="0.25">
      <c r="A743" s="20">
        <v>-388756834</v>
      </c>
      <c r="B743" s="20" t="s">
        <v>3974</v>
      </c>
    </row>
    <row r="744" spans="1:2" x14ac:dyDescent="0.25">
      <c r="A744" s="20">
        <v>-12149505</v>
      </c>
      <c r="B744" s="20" t="s">
        <v>3974</v>
      </c>
    </row>
    <row r="745" spans="1:2" x14ac:dyDescent="0.25">
      <c r="A745" s="20" t="s">
        <v>4287</v>
      </c>
      <c r="B745" s="20" t="s">
        <v>3974</v>
      </c>
    </row>
    <row r="746" spans="1:2" x14ac:dyDescent="0.25">
      <c r="A746" s="20" t="s">
        <v>4301</v>
      </c>
      <c r="B746" s="20" t="s">
        <v>3974</v>
      </c>
    </row>
    <row r="747" spans="1:2" x14ac:dyDescent="0.25">
      <c r="A747" s="20" t="s">
        <v>4314</v>
      </c>
      <c r="B747" s="20" t="s">
        <v>3974</v>
      </c>
    </row>
    <row r="748" spans="1:2" x14ac:dyDescent="0.25">
      <c r="A748" s="20" t="s">
        <v>4213</v>
      </c>
      <c r="B748" s="20" t="s">
        <v>3974</v>
      </c>
    </row>
    <row r="749" spans="1:2" x14ac:dyDescent="0.25">
      <c r="A749" s="20" t="s">
        <v>4223</v>
      </c>
      <c r="B749" s="20" t="s">
        <v>3974</v>
      </c>
    </row>
    <row r="750" spans="1:2" x14ac:dyDescent="0.25">
      <c r="A750" s="20" t="s">
        <v>4233</v>
      </c>
      <c r="B750" s="20" t="s">
        <v>3974</v>
      </c>
    </row>
    <row r="751" spans="1:2" x14ac:dyDescent="0.25">
      <c r="A751" s="20" t="s">
        <v>4245</v>
      </c>
      <c r="B751" s="20" t="s">
        <v>3974</v>
      </c>
    </row>
    <row r="752" spans="1:2" x14ac:dyDescent="0.25">
      <c r="A752" s="20" t="s">
        <v>4256</v>
      </c>
      <c r="B752" s="20" t="s">
        <v>3974</v>
      </c>
    </row>
    <row r="753" spans="1:2" x14ac:dyDescent="0.25">
      <c r="A753" s="20">
        <v>-424824621</v>
      </c>
      <c r="B753" s="20" t="s">
        <v>3974</v>
      </c>
    </row>
    <row r="754" spans="1:2" x14ac:dyDescent="0.25">
      <c r="A754" s="20">
        <v>-423956981</v>
      </c>
      <c r="B754" s="20" t="s">
        <v>3974</v>
      </c>
    </row>
    <row r="755" spans="1:2" x14ac:dyDescent="0.25">
      <c r="A755" s="20" t="s">
        <v>4288</v>
      </c>
      <c r="B755" s="20" t="s">
        <v>3974</v>
      </c>
    </row>
    <row r="756" spans="1:2" x14ac:dyDescent="0.25">
      <c r="A756" s="20" t="s">
        <v>4302</v>
      </c>
      <c r="B756" s="20" t="s">
        <v>3974</v>
      </c>
    </row>
    <row r="757" spans="1:2" x14ac:dyDescent="0.25">
      <c r="A757" s="20" t="s">
        <v>4059</v>
      </c>
      <c r="B757" s="20" t="s">
        <v>3974</v>
      </c>
    </row>
    <row r="758" spans="1:2" x14ac:dyDescent="0.25">
      <c r="A758" s="20">
        <v>196358978</v>
      </c>
      <c r="B758" s="20" t="s">
        <v>3974</v>
      </c>
    </row>
    <row r="759" spans="1:2" x14ac:dyDescent="0.25">
      <c r="A759" s="20" t="s">
        <v>4079</v>
      </c>
      <c r="B759" s="20" t="s">
        <v>3974</v>
      </c>
    </row>
    <row r="760" spans="1:2" x14ac:dyDescent="0.25">
      <c r="A760" s="20" t="s">
        <v>4095</v>
      </c>
      <c r="B760" s="20" t="s">
        <v>3974</v>
      </c>
    </row>
    <row r="761" spans="1:2" x14ac:dyDescent="0.25">
      <c r="A761" s="20" t="s">
        <v>4110</v>
      </c>
      <c r="B761" s="20" t="s">
        <v>3974</v>
      </c>
    </row>
    <row r="762" spans="1:2" x14ac:dyDescent="0.25">
      <c r="A762" s="20" t="s">
        <v>4123</v>
      </c>
      <c r="B762" s="20" t="s">
        <v>3974</v>
      </c>
    </row>
    <row r="763" spans="1:2" x14ac:dyDescent="0.25">
      <c r="A763" s="20" t="s">
        <v>4133</v>
      </c>
      <c r="B763" s="20" t="s">
        <v>3974</v>
      </c>
    </row>
    <row r="764" spans="1:2" x14ac:dyDescent="0.25">
      <c r="A764" s="20" t="s">
        <v>4140</v>
      </c>
      <c r="B764" s="20" t="s">
        <v>3974</v>
      </c>
    </row>
    <row r="765" spans="1:2" x14ac:dyDescent="0.25">
      <c r="A765" s="20" t="s">
        <v>4152</v>
      </c>
      <c r="B765" s="20" t="s">
        <v>3974</v>
      </c>
    </row>
    <row r="766" spans="1:2" x14ac:dyDescent="0.25">
      <c r="A766" s="20" t="s">
        <v>4166</v>
      </c>
      <c r="B766" s="20" t="s">
        <v>3974</v>
      </c>
    </row>
    <row r="767" spans="1:2" x14ac:dyDescent="0.25">
      <c r="A767" s="20" t="s">
        <v>4454</v>
      </c>
      <c r="B767" s="20" t="s">
        <v>3974</v>
      </c>
    </row>
    <row r="768" spans="1:2" x14ac:dyDescent="0.25">
      <c r="A768" s="20" t="s">
        <v>4459</v>
      </c>
      <c r="B768" s="20" t="s">
        <v>3974</v>
      </c>
    </row>
    <row r="769" spans="1:2" x14ac:dyDescent="0.25">
      <c r="A769" s="20" t="s">
        <v>4422</v>
      </c>
      <c r="B769" s="20" t="s">
        <v>3974</v>
      </c>
    </row>
    <row r="770" spans="1:2" x14ac:dyDescent="0.25">
      <c r="A770" s="20" t="s">
        <v>4428</v>
      </c>
      <c r="B770" s="20" t="s">
        <v>3974</v>
      </c>
    </row>
    <row r="771" spans="1:2" x14ac:dyDescent="0.25">
      <c r="A771" s="20" t="s">
        <v>3975</v>
      </c>
      <c r="B771" s="20" t="s">
        <v>3975</v>
      </c>
    </row>
    <row r="772" spans="1:2" x14ac:dyDescent="0.25">
      <c r="A772" s="20" t="s">
        <v>4027</v>
      </c>
      <c r="B772" s="20" t="s">
        <v>3975</v>
      </c>
    </row>
    <row r="773" spans="1:2" x14ac:dyDescent="0.25">
      <c r="A773" s="20" t="s">
        <v>4031</v>
      </c>
      <c r="B773" s="20" t="s">
        <v>3975</v>
      </c>
    </row>
    <row r="774" spans="1:2" x14ac:dyDescent="0.25">
      <c r="A774" s="20" t="s">
        <v>4034</v>
      </c>
      <c r="B774" s="20" t="s">
        <v>3975</v>
      </c>
    </row>
    <row r="775" spans="1:2" x14ac:dyDescent="0.25">
      <c r="A775" s="20" t="s">
        <v>4041</v>
      </c>
      <c r="B775" s="20" t="s">
        <v>3975</v>
      </c>
    </row>
    <row r="776" spans="1:2" x14ac:dyDescent="0.25">
      <c r="A776" s="20" t="s">
        <v>4050</v>
      </c>
      <c r="B776" s="20" t="s">
        <v>3975</v>
      </c>
    </row>
    <row r="777" spans="1:2" x14ac:dyDescent="0.25">
      <c r="A777" s="20" t="s">
        <v>4060</v>
      </c>
      <c r="B777" s="20" t="s">
        <v>3975</v>
      </c>
    </row>
    <row r="778" spans="1:2" x14ac:dyDescent="0.25">
      <c r="A778" s="20" t="s">
        <v>4069</v>
      </c>
      <c r="B778" s="20" t="s">
        <v>3975</v>
      </c>
    </row>
    <row r="779" spans="1:2" x14ac:dyDescent="0.25">
      <c r="A779" s="20" t="s">
        <v>4084</v>
      </c>
      <c r="B779" s="20" t="s">
        <v>3975</v>
      </c>
    </row>
    <row r="780" spans="1:2" x14ac:dyDescent="0.25">
      <c r="A780" s="20" t="s">
        <v>4098</v>
      </c>
      <c r="B780" s="20" t="s">
        <v>3975</v>
      </c>
    </row>
    <row r="781" spans="1:2" x14ac:dyDescent="0.25">
      <c r="A781" s="20">
        <v>-423967356</v>
      </c>
      <c r="B781" s="20" t="s">
        <v>3975</v>
      </c>
    </row>
    <row r="782" spans="1:2" x14ac:dyDescent="0.25">
      <c r="A782" s="20">
        <v>-424978643</v>
      </c>
      <c r="B782" s="20" t="s">
        <v>3975</v>
      </c>
    </row>
    <row r="783" spans="1:2" x14ac:dyDescent="0.25">
      <c r="A783" s="20">
        <v>-423967357</v>
      </c>
      <c r="B783" s="20" t="s">
        <v>3975</v>
      </c>
    </row>
    <row r="784" spans="1:2" x14ac:dyDescent="0.25">
      <c r="A784" s="20">
        <v>-423967353</v>
      </c>
      <c r="B784" s="20" t="s">
        <v>3975</v>
      </c>
    </row>
    <row r="785" spans="1:2" x14ac:dyDescent="0.25">
      <c r="A785" s="20" t="s">
        <v>4158</v>
      </c>
      <c r="B785" s="20" t="s">
        <v>3975</v>
      </c>
    </row>
    <row r="786" spans="1:2" x14ac:dyDescent="0.25">
      <c r="A786" s="20" t="s">
        <v>4172</v>
      </c>
      <c r="B786" s="20" t="s">
        <v>3975</v>
      </c>
    </row>
    <row r="787" spans="1:2" x14ac:dyDescent="0.25">
      <c r="A787" s="20" t="s">
        <v>4190</v>
      </c>
      <c r="B787" s="20" t="s">
        <v>3975</v>
      </c>
    </row>
    <row r="788" spans="1:2" x14ac:dyDescent="0.25">
      <c r="A788" s="20" t="s">
        <v>4205</v>
      </c>
      <c r="B788" s="20" t="s">
        <v>3975</v>
      </c>
    </row>
    <row r="789" spans="1:2" x14ac:dyDescent="0.25">
      <c r="A789" s="20" t="s">
        <v>4215</v>
      </c>
      <c r="B789" s="20" t="s">
        <v>3975</v>
      </c>
    </row>
    <row r="790" spans="1:2" x14ac:dyDescent="0.25">
      <c r="A790" s="20" t="s">
        <v>4225</v>
      </c>
      <c r="B790" s="20" t="s">
        <v>3975</v>
      </c>
    </row>
    <row r="791" spans="1:2" x14ac:dyDescent="0.25">
      <c r="A791" s="20" t="s">
        <v>4232</v>
      </c>
      <c r="B791" s="20" t="s">
        <v>3975</v>
      </c>
    </row>
    <row r="792" spans="1:2" x14ac:dyDescent="0.25">
      <c r="A792" s="20" t="s">
        <v>4243</v>
      </c>
      <c r="B792" s="20" t="s">
        <v>3975</v>
      </c>
    </row>
    <row r="793" spans="1:2" x14ac:dyDescent="0.25">
      <c r="A793" s="20" t="s">
        <v>4255</v>
      </c>
      <c r="B793" s="20" t="s">
        <v>3975</v>
      </c>
    </row>
    <row r="794" spans="1:2" x14ac:dyDescent="0.25">
      <c r="A794" s="20">
        <v>-388756834</v>
      </c>
      <c r="B794" s="20" t="s">
        <v>3975</v>
      </c>
    </row>
    <row r="795" spans="1:2" x14ac:dyDescent="0.25">
      <c r="A795" s="20">
        <v>-12149505</v>
      </c>
      <c r="B795" s="20" t="s">
        <v>3975</v>
      </c>
    </row>
    <row r="796" spans="1:2" x14ac:dyDescent="0.25">
      <c r="A796" s="20" t="s">
        <v>4287</v>
      </c>
      <c r="B796" s="20" t="s">
        <v>3975</v>
      </c>
    </row>
    <row r="797" spans="1:2" x14ac:dyDescent="0.25">
      <c r="A797" s="20" t="s">
        <v>4301</v>
      </c>
      <c r="B797" s="20" t="s">
        <v>3975</v>
      </c>
    </row>
    <row r="798" spans="1:2" x14ac:dyDescent="0.25">
      <c r="A798" s="20" t="s">
        <v>4314</v>
      </c>
      <c r="B798" s="20" t="s">
        <v>3975</v>
      </c>
    </row>
    <row r="799" spans="1:2" x14ac:dyDescent="0.25">
      <c r="A799" s="20" t="s">
        <v>4213</v>
      </c>
      <c r="B799" s="20" t="s">
        <v>3975</v>
      </c>
    </row>
    <row r="800" spans="1:2" x14ac:dyDescent="0.25">
      <c r="A800" s="20" t="s">
        <v>4223</v>
      </c>
      <c r="B800" s="20" t="s">
        <v>3975</v>
      </c>
    </row>
    <row r="801" spans="1:2" x14ac:dyDescent="0.25">
      <c r="A801" s="20" t="s">
        <v>4233</v>
      </c>
      <c r="B801" s="20" t="s">
        <v>3975</v>
      </c>
    </row>
    <row r="802" spans="1:2" x14ac:dyDescent="0.25">
      <c r="A802" s="20" t="s">
        <v>4245</v>
      </c>
      <c r="B802" s="20" t="s">
        <v>3975</v>
      </c>
    </row>
    <row r="803" spans="1:2" x14ac:dyDescent="0.25">
      <c r="A803" s="20" t="s">
        <v>4256</v>
      </c>
      <c r="B803" s="20" t="s">
        <v>3975</v>
      </c>
    </row>
    <row r="804" spans="1:2" x14ac:dyDescent="0.25">
      <c r="A804" s="20">
        <v>-424824621</v>
      </c>
      <c r="B804" s="20" t="s">
        <v>3975</v>
      </c>
    </row>
    <row r="805" spans="1:2" x14ac:dyDescent="0.25">
      <c r="A805" s="20">
        <v>-423956981</v>
      </c>
      <c r="B805" s="20" t="s">
        <v>3975</v>
      </c>
    </row>
    <row r="806" spans="1:2" x14ac:dyDescent="0.25">
      <c r="A806" s="20" t="s">
        <v>4288</v>
      </c>
      <c r="B806" s="20" t="s">
        <v>3975</v>
      </c>
    </row>
    <row r="807" spans="1:2" x14ac:dyDescent="0.25">
      <c r="A807" s="20" t="s">
        <v>4302</v>
      </c>
      <c r="B807" s="20" t="s">
        <v>3975</v>
      </c>
    </row>
    <row r="808" spans="1:2" x14ac:dyDescent="0.25">
      <c r="A808" s="20" t="s">
        <v>4059</v>
      </c>
      <c r="B808" s="20" t="s">
        <v>3975</v>
      </c>
    </row>
    <row r="809" spans="1:2" x14ac:dyDescent="0.25">
      <c r="A809" s="20">
        <v>196358978</v>
      </c>
      <c r="B809" s="20" t="s">
        <v>3975</v>
      </c>
    </row>
    <row r="810" spans="1:2" x14ac:dyDescent="0.25">
      <c r="A810" s="20" t="s">
        <v>4079</v>
      </c>
      <c r="B810" s="20" t="s">
        <v>3975</v>
      </c>
    </row>
    <row r="811" spans="1:2" x14ac:dyDescent="0.25">
      <c r="A811" s="20">
        <v>165303423</v>
      </c>
      <c r="B811" s="20" t="s">
        <v>3975</v>
      </c>
    </row>
    <row r="812" spans="1:2" x14ac:dyDescent="0.25">
      <c r="A812" s="20" t="s">
        <v>4421</v>
      </c>
      <c r="B812" s="20" t="s">
        <v>3975</v>
      </c>
    </row>
    <row r="813" spans="1:2" x14ac:dyDescent="0.25">
      <c r="A813" s="20" t="s">
        <v>4110</v>
      </c>
      <c r="B813" s="20" t="s">
        <v>3975</v>
      </c>
    </row>
    <row r="814" spans="1:2" x14ac:dyDescent="0.25">
      <c r="A814" s="20" t="s">
        <v>4123</v>
      </c>
      <c r="B814" s="20" t="s">
        <v>3975</v>
      </c>
    </row>
    <row r="815" spans="1:2" x14ac:dyDescent="0.25">
      <c r="A815" s="20" t="s">
        <v>4438</v>
      </c>
      <c r="B815" s="20" t="s">
        <v>3975</v>
      </c>
    </row>
    <row r="816" spans="1:2" x14ac:dyDescent="0.25">
      <c r="A816" s="20" t="s">
        <v>4444</v>
      </c>
      <c r="B816" s="20" t="s">
        <v>3975</v>
      </c>
    </row>
    <row r="817" spans="1:2" x14ac:dyDescent="0.25">
      <c r="A817" s="20" t="s">
        <v>4449</v>
      </c>
      <c r="B817" s="20" t="s">
        <v>3975</v>
      </c>
    </row>
    <row r="818" spans="1:2" x14ac:dyDescent="0.25">
      <c r="A818" s="20" t="s">
        <v>4152</v>
      </c>
      <c r="B818" s="20" t="s">
        <v>3975</v>
      </c>
    </row>
    <row r="819" spans="1:2" x14ac:dyDescent="0.25">
      <c r="A819" s="20" t="s">
        <v>4166</v>
      </c>
      <c r="B819" s="20" t="s">
        <v>3975</v>
      </c>
    </row>
    <row r="820" spans="1:2" x14ac:dyDescent="0.25">
      <c r="A820" s="20" t="s">
        <v>4454</v>
      </c>
      <c r="B820" s="20" t="s">
        <v>3975</v>
      </c>
    </row>
    <row r="821" spans="1:2" x14ac:dyDescent="0.25">
      <c r="A821" s="20" t="s">
        <v>4459</v>
      </c>
      <c r="B821" s="20" t="s">
        <v>3975</v>
      </c>
    </row>
    <row r="822" spans="1:2" x14ac:dyDescent="0.25">
      <c r="A822" s="20" t="s">
        <v>4422</v>
      </c>
      <c r="B822" s="20" t="s">
        <v>3975</v>
      </c>
    </row>
    <row r="823" spans="1:2" x14ac:dyDescent="0.25">
      <c r="A823" s="20" t="s">
        <v>4428</v>
      </c>
      <c r="B823" s="20" t="s">
        <v>3975</v>
      </c>
    </row>
    <row r="824" spans="1:2" x14ac:dyDescent="0.25">
      <c r="A824" s="20" t="s">
        <v>3976</v>
      </c>
      <c r="B824" s="20" t="s">
        <v>3976</v>
      </c>
    </row>
    <row r="825" spans="1:2" x14ac:dyDescent="0.25">
      <c r="A825" s="20" t="s">
        <v>4027</v>
      </c>
      <c r="B825" s="20" t="s">
        <v>3976</v>
      </c>
    </row>
    <row r="826" spans="1:2" x14ac:dyDescent="0.25">
      <c r="A826" s="20" t="s">
        <v>4031</v>
      </c>
      <c r="B826" s="20" t="s">
        <v>3976</v>
      </c>
    </row>
    <row r="827" spans="1:2" x14ac:dyDescent="0.25">
      <c r="A827" s="20" t="s">
        <v>4034</v>
      </c>
      <c r="B827" s="20" t="s">
        <v>3976</v>
      </c>
    </row>
    <row r="828" spans="1:2" x14ac:dyDescent="0.25">
      <c r="A828" s="20" t="s">
        <v>4041</v>
      </c>
      <c r="B828" s="20" t="s">
        <v>3976</v>
      </c>
    </row>
    <row r="829" spans="1:2" x14ac:dyDescent="0.25">
      <c r="A829" s="20" t="s">
        <v>4050</v>
      </c>
      <c r="B829" s="20" t="s">
        <v>3976</v>
      </c>
    </row>
    <row r="830" spans="1:2" x14ac:dyDescent="0.25">
      <c r="A830" s="20" t="s">
        <v>4060</v>
      </c>
      <c r="B830" s="20" t="s">
        <v>3976</v>
      </c>
    </row>
    <row r="831" spans="1:2" x14ac:dyDescent="0.25">
      <c r="A831" s="20" t="s">
        <v>4069</v>
      </c>
      <c r="B831" s="20" t="s">
        <v>3976</v>
      </c>
    </row>
    <row r="832" spans="1:2" x14ac:dyDescent="0.25">
      <c r="A832" s="20" t="s">
        <v>4084</v>
      </c>
      <c r="B832" s="20" t="s">
        <v>3976</v>
      </c>
    </row>
    <row r="833" spans="1:2" x14ac:dyDescent="0.25">
      <c r="A833" s="20" t="s">
        <v>4098</v>
      </c>
      <c r="B833" s="20" t="s">
        <v>3976</v>
      </c>
    </row>
    <row r="834" spans="1:2" x14ac:dyDescent="0.25">
      <c r="A834" s="20">
        <v>-423967356</v>
      </c>
      <c r="B834" s="20" t="s">
        <v>3976</v>
      </c>
    </row>
    <row r="835" spans="1:2" x14ac:dyDescent="0.25">
      <c r="A835" s="20">
        <v>-424978643</v>
      </c>
      <c r="B835" s="20" t="s">
        <v>3976</v>
      </c>
    </row>
    <row r="836" spans="1:2" x14ac:dyDescent="0.25">
      <c r="A836" s="20">
        <v>-423967357</v>
      </c>
      <c r="B836" s="20" t="s">
        <v>3976</v>
      </c>
    </row>
    <row r="837" spans="1:2" x14ac:dyDescent="0.25">
      <c r="A837" s="20">
        <v>-423967353</v>
      </c>
      <c r="B837" s="20" t="s">
        <v>3976</v>
      </c>
    </row>
    <row r="838" spans="1:2" x14ac:dyDescent="0.25">
      <c r="A838" s="20" t="s">
        <v>4158</v>
      </c>
      <c r="B838" s="20" t="s">
        <v>3976</v>
      </c>
    </row>
    <row r="839" spans="1:2" x14ac:dyDescent="0.25">
      <c r="A839" s="20" t="s">
        <v>4173</v>
      </c>
      <c r="B839" s="20" t="s">
        <v>3976</v>
      </c>
    </row>
    <row r="840" spans="1:2" x14ac:dyDescent="0.25">
      <c r="A840" s="20">
        <v>287131380</v>
      </c>
      <c r="B840" s="20" t="s">
        <v>3976</v>
      </c>
    </row>
    <row r="841" spans="1:2" x14ac:dyDescent="0.25">
      <c r="A841" s="20" t="s">
        <v>4206</v>
      </c>
      <c r="B841" s="20" t="s">
        <v>3976</v>
      </c>
    </row>
    <row r="842" spans="1:2" x14ac:dyDescent="0.25">
      <c r="A842" s="20" t="s">
        <v>4216</v>
      </c>
      <c r="B842" s="20" t="s">
        <v>3976</v>
      </c>
    </row>
    <row r="843" spans="1:2" x14ac:dyDescent="0.25">
      <c r="A843" s="20">
        <v>424978643</v>
      </c>
      <c r="B843" s="20" t="s">
        <v>3976</v>
      </c>
    </row>
    <row r="844" spans="1:2" x14ac:dyDescent="0.25">
      <c r="A844" s="20">
        <v>423967356</v>
      </c>
      <c r="B844" s="20" t="s">
        <v>3976</v>
      </c>
    </row>
    <row r="845" spans="1:2" x14ac:dyDescent="0.25">
      <c r="A845" s="20" t="s">
        <v>4244</v>
      </c>
      <c r="B845" s="20" t="s">
        <v>3976</v>
      </c>
    </row>
    <row r="846" spans="1:2" x14ac:dyDescent="0.25">
      <c r="A846" s="20" t="s">
        <v>4236</v>
      </c>
      <c r="B846" s="20" t="s">
        <v>3976</v>
      </c>
    </row>
    <row r="847" spans="1:2" x14ac:dyDescent="0.25">
      <c r="A847" s="20" t="s">
        <v>4248</v>
      </c>
      <c r="B847" s="20" t="s">
        <v>3976</v>
      </c>
    </row>
    <row r="848" spans="1:2" x14ac:dyDescent="0.25">
      <c r="A848" s="20" t="s">
        <v>4082</v>
      </c>
      <c r="B848" s="20" t="s">
        <v>3976</v>
      </c>
    </row>
    <row r="849" spans="1:2" x14ac:dyDescent="0.25">
      <c r="A849" s="20">
        <v>12174962</v>
      </c>
      <c r="B849" s="20" t="s">
        <v>3976</v>
      </c>
    </row>
    <row r="850" spans="1:2" x14ac:dyDescent="0.25">
      <c r="A850" s="20" t="s">
        <v>4275</v>
      </c>
      <c r="B850" s="20" t="s">
        <v>3976</v>
      </c>
    </row>
    <row r="851" spans="1:2" x14ac:dyDescent="0.25">
      <c r="A851" s="20" t="s">
        <v>4291</v>
      </c>
      <c r="B851" s="20" t="s">
        <v>3976</v>
      </c>
    </row>
    <row r="852" spans="1:2" x14ac:dyDescent="0.25">
      <c r="A852" s="20" t="s">
        <v>4304</v>
      </c>
      <c r="B852" s="20" t="s">
        <v>3976</v>
      </c>
    </row>
    <row r="853" spans="1:2" x14ac:dyDescent="0.25">
      <c r="A853" s="20" t="s">
        <v>4317</v>
      </c>
      <c r="B853" s="20" t="s">
        <v>3976</v>
      </c>
    </row>
    <row r="854" spans="1:2" x14ac:dyDescent="0.25">
      <c r="A854" s="20" t="s">
        <v>4283</v>
      </c>
      <c r="B854" s="20" t="s">
        <v>3976</v>
      </c>
    </row>
    <row r="855" spans="1:2" x14ac:dyDescent="0.25">
      <c r="A855" s="20">
        <v>377438344</v>
      </c>
      <c r="B855" s="20" t="s">
        <v>3976</v>
      </c>
    </row>
    <row r="856" spans="1:2" x14ac:dyDescent="0.25">
      <c r="A856" s="20" t="s">
        <v>4311</v>
      </c>
      <c r="B856" s="20" t="s">
        <v>3976</v>
      </c>
    </row>
    <row r="857" spans="1:2" x14ac:dyDescent="0.25">
      <c r="A857" s="20" t="s">
        <v>4324</v>
      </c>
      <c r="B857" s="20" t="s">
        <v>3976</v>
      </c>
    </row>
    <row r="858" spans="1:2" x14ac:dyDescent="0.25">
      <c r="A858" s="20" t="s">
        <v>4335</v>
      </c>
      <c r="B858" s="20" t="s">
        <v>3976</v>
      </c>
    </row>
    <row r="859" spans="1:2" x14ac:dyDescent="0.25">
      <c r="A859" s="20" t="s">
        <v>4345</v>
      </c>
      <c r="B859" s="20" t="s">
        <v>3976</v>
      </c>
    </row>
    <row r="860" spans="1:2" x14ac:dyDescent="0.25">
      <c r="A860" s="20" t="s">
        <v>4355</v>
      </c>
      <c r="B860" s="20" t="s">
        <v>3976</v>
      </c>
    </row>
    <row r="861" spans="1:2" x14ac:dyDescent="0.25">
      <c r="A861" s="20" t="s">
        <v>4226</v>
      </c>
      <c r="B861" s="20" t="s">
        <v>3976</v>
      </c>
    </row>
    <row r="862" spans="1:2" x14ac:dyDescent="0.25">
      <c r="A862" s="20" t="s">
        <v>4234</v>
      </c>
      <c r="B862" s="20" t="s">
        <v>3976</v>
      </c>
    </row>
    <row r="863" spans="1:2" x14ac:dyDescent="0.25">
      <c r="A863" s="20" t="s">
        <v>4246</v>
      </c>
      <c r="B863" s="20" t="s">
        <v>3976</v>
      </c>
    </row>
    <row r="864" spans="1:2" x14ac:dyDescent="0.25">
      <c r="A864" s="20" t="s">
        <v>4111</v>
      </c>
      <c r="B864" s="20" t="s">
        <v>3976</v>
      </c>
    </row>
    <row r="865" spans="1:2" x14ac:dyDescent="0.25">
      <c r="A865" s="20" t="s">
        <v>4124</v>
      </c>
      <c r="B865" s="20" t="s">
        <v>3976</v>
      </c>
    </row>
    <row r="866" spans="1:2" x14ac:dyDescent="0.25">
      <c r="A866" s="20" t="s">
        <v>4134</v>
      </c>
      <c r="B866" s="20" t="s">
        <v>3976</v>
      </c>
    </row>
    <row r="867" spans="1:2" x14ac:dyDescent="0.25">
      <c r="A867" s="20" t="s">
        <v>4141</v>
      </c>
      <c r="B867" s="20" t="s">
        <v>3976</v>
      </c>
    </row>
    <row r="868" spans="1:2" x14ac:dyDescent="0.25">
      <c r="A868" s="20" t="s">
        <v>4411</v>
      </c>
      <c r="B868" s="20" t="s">
        <v>3976</v>
      </c>
    </row>
    <row r="869" spans="1:2" x14ac:dyDescent="0.25">
      <c r="A869" s="20" t="s">
        <v>4416</v>
      </c>
      <c r="B869" s="20" t="s">
        <v>3976</v>
      </c>
    </row>
    <row r="870" spans="1:2" x14ac:dyDescent="0.25">
      <c r="A870" s="20" t="s">
        <v>4420</v>
      </c>
      <c r="B870" s="20" t="s">
        <v>3976</v>
      </c>
    </row>
    <row r="871" spans="1:2" x14ac:dyDescent="0.25">
      <c r="A871" s="20" t="s">
        <v>4426</v>
      </c>
      <c r="B871" s="20" t="s">
        <v>3976</v>
      </c>
    </row>
    <row r="872" spans="1:2" x14ac:dyDescent="0.25">
      <c r="A872" s="20" t="s">
        <v>4432</v>
      </c>
      <c r="B872" s="20" t="s">
        <v>3976</v>
      </c>
    </row>
    <row r="873" spans="1:2" x14ac:dyDescent="0.25">
      <c r="A873" s="20" t="s">
        <v>4167</v>
      </c>
      <c r="B873" s="20" t="s">
        <v>3976</v>
      </c>
    </row>
    <row r="874" spans="1:2" x14ac:dyDescent="0.25">
      <c r="A874" s="20" t="s">
        <v>4186</v>
      </c>
      <c r="B874" s="20" t="s">
        <v>3976</v>
      </c>
    </row>
    <row r="875" spans="1:2" x14ac:dyDescent="0.25">
      <c r="A875" s="20">
        <v>134558401</v>
      </c>
      <c r="B875" s="20" t="s">
        <v>3976</v>
      </c>
    </row>
    <row r="876" spans="1:2" x14ac:dyDescent="0.25">
      <c r="A876" s="20">
        <v>134558400</v>
      </c>
      <c r="B876" s="20" t="s">
        <v>3976</v>
      </c>
    </row>
    <row r="877" spans="1:2" x14ac:dyDescent="0.25">
      <c r="A877" s="20" t="s">
        <v>4040</v>
      </c>
      <c r="B877" s="20" t="s">
        <v>3976</v>
      </c>
    </row>
    <row r="878" spans="1:2" x14ac:dyDescent="0.25">
      <c r="A878" s="20" t="s">
        <v>4049</v>
      </c>
      <c r="B878" s="20" t="s">
        <v>3976</v>
      </c>
    </row>
    <row r="879" spans="1:2" x14ac:dyDescent="0.25">
      <c r="A879" s="20">
        <v>313260439</v>
      </c>
      <c r="B879" s="20" t="s">
        <v>3976</v>
      </c>
    </row>
    <row r="880" spans="1:2" x14ac:dyDescent="0.25">
      <c r="A880" s="20">
        <v>424803249</v>
      </c>
      <c r="B880" s="20" t="s">
        <v>3976</v>
      </c>
    </row>
    <row r="881" spans="1:2" x14ac:dyDescent="0.25">
      <c r="A881" s="20" t="s">
        <v>4081</v>
      </c>
      <c r="B881" s="20" t="s">
        <v>3976</v>
      </c>
    </row>
    <row r="882" spans="1:2" x14ac:dyDescent="0.25">
      <c r="A882" s="20" t="s">
        <v>4097</v>
      </c>
      <c r="B882" s="20" t="s">
        <v>3976</v>
      </c>
    </row>
    <row r="883" spans="1:2" x14ac:dyDescent="0.25">
      <c r="A883" s="20">
        <v>423972760</v>
      </c>
      <c r="B883" s="20" t="s">
        <v>3976</v>
      </c>
    </row>
    <row r="884" spans="1:2" x14ac:dyDescent="0.25">
      <c r="A884" s="20" t="s">
        <v>4125</v>
      </c>
      <c r="B884" s="20" t="s">
        <v>3976</v>
      </c>
    </row>
    <row r="885" spans="1:2" x14ac:dyDescent="0.25">
      <c r="A885" s="20" t="s">
        <v>3977</v>
      </c>
      <c r="B885" s="20" t="s">
        <v>3977</v>
      </c>
    </row>
    <row r="886" spans="1:2" x14ac:dyDescent="0.25">
      <c r="A886" s="20" t="s">
        <v>4027</v>
      </c>
      <c r="B886" s="20" t="s">
        <v>3977</v>
      </c>
    </row>
    <row r="887" spans="1:2" x14ac:dyDescent="0.25">
      <c r="A887" s="20" t="s">
        <v>4031</v>
      </c>
      <c r="B887" s="20" t="s">
        <v>3977</v>
      </c>
    </row>
    <row r="888" spans="1:2" x14ac:dyDescent="0.25">
      <c r="A888" s="20" t="s">
        <v>4034</v>
      </c>
      <c r="B888" s="20" t="s">
        <v>3977</v>
      </c>
    </row>
    <row r="889" spans="1:2" x14ac:dyDescent="0.25">
      <c r="A889" s="20" t="s">
        <v>4041</v>
      </c>
      <c r="B889" s="20" t="s">
        <v>3977</v>
      </c>
    </row>
    <row r="890" spans="1:2" x14ac:dyDescent="0.25">
      <c r="A890" s="20" t="s">
        <v>4050</v>
      </c>
      <c r="B890" s="20" t="s">
        <v>3977</v>
      </c>
    </row>
    <row r="891" spans="1:2" x14ac:dyDescent="0.25">
      <c r="A891" s="20" t="s">
        <v>4060</v>
      </c>
      <c r="B891" s="20" t="s">
        <v>3977</v>
      </c>
    </row>
    <row r="892" spans="1:2" x14ac:dyDescent="0.25">
      <c r="A892" s="20" t="s">
        <v>4069</v>
      </c>
      <c r="B892" s="20" t="s">
        <v>3977</v>
      </c>
    </row>
    <row r="893" spans="1:2" x14ac:dyDescent="0.25">
      <c r="A893" s="20" t="s">
        <v>4084</v>
      </c>
      <c r="B893" s="20" t="s">
        <v>3977</v>
      </c>
    </row>
    <row r="894" spans="1:2" x14ac:dyDescent="0.25">
      <c r="A894" s="20" t="s">
        <v>4098</v>
      </c>
      <c r="B894" s="20" t="s">
        <v>3977</v>
      </c>
    </row>
    <row r="895" spans="1:2" x14ac:dyDescent="0.25">
      <c r="A895" s="20">
        <v>-423967356</v>
      </c>
      <c r="B895" s="20" t="s">
        <v>3977</v>
      </c>
    </row>
    <row r="896" spans="1:2" x14ac:dyDescent="0.25">
      <c r="A896" s="20">
        <v>-424978643</v>
      </c>
      <c r="B896" s="20" t="s">
        <v>3977</v>
      </c>
    </row>
    <row r="897" spans="1:2" x14ac:dyDescent="0.25">
      <c r="A897" s="20">
        <v>-423967357</v>
      </c>
      <c r="B897" s="20" t="s">
        <v>3977</v>
      </c>
    </row>
    <row r="898" spans="1:2" x14ac:dyDescent="0.25">
      <c r="A898" s="20">
        <v>-423967353</v>
      </c>
      <c r="B898" s="20" t="s">
        <v>3977</v>
      </c>
    </row>
    <row r="899" spans="1:2" x14ac:dyDescent="0.25">
      <c r="A899" s="20" t="s">
        <v>4158</v>
      </c>
      <c r="B899" s="20" t="s">
        <v>3977</v>
      </c>
    </row>
    <row r="900" spans="1:2" x14ac:dyDescent="0.25">
      <c r="A900" s="20" t="s">
        <v>4173</v>
      </c>
      <c r="B900" s="20" t="s">
        <v>3977</v>
      </c>
    </row>
    <row r="901" spans="1:2" x14ac:dyDescent="0.25">
      <c r="A901" s="20">
        <v>287131380</v>
      </c>
      <c r="B901" s="20" t="s">
        <v>3977</v>
      </c>
    </row>
    <row r="902" spans="1:2" x14ac:dyDescent="0.25">
      <c r="A902" s="20" t="s">
        <v>4206</v>
      </c>
      <c r="B902" s="20" t="s">
        <v>3977</v>
      </c>
    </row>
    <row r="903" spans="1:2" x14ac:dyDescent="0.25">
      <c r="A903" s="20" t="s">
        <v>4157</v>
      </c>
      <c r="B903" s="20" t="s">
        <v>3977</v>
      </c>
    </row>
    <row r="904" spans="1:2" x14ac:dyDescent="0.25">
      <c r="A904" s="20" t="s">
        <v>4171</v>
      </c>
      <c r="B904" s="20" t="s">
        <v>3977</v>
      </c>
    </row>
    <row r="905" spans="1:2" x14ac:dyDescent="0.25">
      <c r="A905" s="20">
        <v>49916265</v>
      </c>
      <c r="B905" s="20" t="s">
        <v>3977</v>
      </c>
    </row>
    <row r="906" spans="1:2" x14ac:dyDescent="0.25">
      <c r="A906" s="20" t="s">
        <v>4204</v>
      </c>
      <c r="B906" s="20" t="s">
        <v>3977</v>
      </c>
    </row>
    <row r="907" spans="1:2" x14ac:dyDescent="0.25">
      <c r="A907" s="20" t="s">
        <v>4214</v>
      </c>
      <c r="B907" s="20" t="s">
        <v>3977</v>
      </c>
    </row>
    <row r="908" spans="1:2" x14ac:dyDescent="0.25">
      <c r="A908" s="20">
        <v>-423967354</v>
      </c>
      <c r="B908" s="20" t="s">
        <v>3977</v>
      </c>
    </row>
    <row r="909" spans="1:2" x14ac:dyDescent="0.25">
      <c r="A909" s="20">
        <v>-423967355</v>
      </c>
      <c r="B909" s="20" t="s">
        <v>3977</v>
      </c>
    </row>
    <row r="910" spans="1:2" x14ac:dyDescent="0.25">
      <c r="A910" s="20" t="s">
        <v>4191</v>
      </c>
      <c r="B910" s="20" t="s">
        <v>3977</v>
      </c>
    </row>
    <row r="911" spans="1:2" x14ac:dyDescent="0.25">
      <c r="A911" s="20" t="s">
        <v>4207</v>
      </c>
      <c r="B911" s="20" t="s">
        <v>3977</v>
      </c>
    </row>
    <row r="912" spans="1:2" x14ac:dyDescent="0.25">
      <c r="A912" s="20" t="s">
        <v>4264</v>
      </c>
      <c r="B912" s="20" t="s">
        <v>3977</v>
      </c>
    </row>
    <row r="913" spans="1:2" x14ac:dyDescent="0.25">
      <c r="A913" s="20" t="s">
        <v>4274</v>
      </c>
      <c r="B913" s="20" t="s">
        <v>3977</v>
      </c>
    </row>
    <row r="914" spans="1:2" x14ac:dyDescent="0.25">
      <c r="A914" s="20" t="s">
        <v>4286</v>
      </c>
      <c r="B914" s="20" t="s">
        <v>3977</v>
      </c>
    </row>
    <row r="915" spans="1:2" x14ac:dyDescent="0.25">
      <c r="A915" s="20" t="s">
        <v>4174</v>
      </c>
      <c r="B915" s="20" t="s">
        <v>3977</v>
      </c>
    </row>
    <row r="916" spans="1:2" x14ac:dyDescent="0.25">
      <c r="A916" s="20" t="s">
        <v>4192</v>
      </c>
      <c r="B916" s="20" t="s">
        <v>3977</v>
      </c>
    </row>
    <row r="917" spans="1:2" x14ac:dyDescent="0.25">
      <c r="A917" s="20" t="s">
        <v>4326</v>
      </c>
      <c r="B917" s="20" t="s">
        <v>3977</v>
      </c>
    </row>
    <row r="918" spans="1:2" x14ac:dyDescent="0.25">
      <c r="A918" s="20" t="s">
        <v>4156</v>
      </c>
      <c r="B918" s="20" t="s">
        <v>3977</v>
      </c>
    </row>
    <row r="919" spans="1:2" x14ac:dyDescent="0.25">
      <c r="A919" s="20" t="s">
        <v>4170</v>
      </c>
      <c r="B919" s="20" t="s">
        <v>3977</v>
      </c>
    </row>
    <row r="920" spans="1:2" x14ac:dyDescent="0.25">
      <c r="A920" s="20" t="s">
        <v>4188</v>
      </c>
      <c r="B920" s="20" t="s">
        <v>3977</v>
      </c>
    </row>
    <row r="921" spans="1:2" x14ac:dyDescent="0.25">
      <c r="A921" s="20" t="s">
        <v>4202</v>
      </c>
      <c r="B921" s="20" t="s">
        <v>3977</v>
      </c>
    </row>
    <row r="922" spans="1:2" x14ac:dyDescent="0.25">
      <c r="A922" s="20" t="s">
        <v>4218</v>
      </c>
      <c r="B922" s="20" t="s">
        <v>3977</v>
      </c>
    </row>
    <row r="923" spans="1:2" x14ac:dyDescent="0.25">
      <c r="A923" s="20" t="s">
        <v>4227</v>
      </c>
      <c r="B923" s="20" t="s">
        <v>3977</v>
      </c>
    </row>
    <row r="924" spans="1:2" x14ac:dyDescent="0.25">
      <c r="A924" s="20" t="s">
        <v>4235</v>
      </c>
      <c r="B924" s="20" t="s">
        <v>3977</v>
      </c>
    </row>
    <row r="925" spans="1:2" x14ac:dyDescent="0.25">
      <c r="A925" s="20" t="s">
        <v>4247</v>
      </c>
      <c r="B925" s="20" t="s">
        <v>3977</v>
      </c>
    </row>
    <row r="926" spans="1:2" x14ac:dyDescent="0.25">
      <c r="A926" s="20" t="s">
        <v>4257</v>
      </c>
      <c r="B926" s="20" t="s">
        <v>3977</v>
      </c>
    </row>
    <row r="927" spans="1:2" x14ac:dyDescent="0.25">
      <c r="A927" s="20" t="s">
        <v>4265</v>
      </c>
      <c r="B927" s="20" t="s">
        <v>3977</v>
      </c>
    </row>
    <row r="928" spans="1:2" x14ac:dyDescent="0.25">
      <c r="A928" s="20" t="s">
        <v>4112</v>
      </c>
      <c r="B928" s="20" t="s">
        <v>3977</v>
      </c>
    </row>
    <row r="929" spans="1:2" x14ac:dyDescent="0.25">
      <c r="A929" s="20" t="s">
        <v>4126</v>
      </c>
      <c r="B929" s="20" t="s">
        <v>3977</v>
      </c>
    </row>
    <row r="930" spans="1:2" x14ac:dyDescent="0.25">
      <c r="A930" s="20">
        <v>-486653628</v>
      </c>
      <c r="B930" s="20" t="s">
        <v>3977</v>
      </c>
    </row>
    <row r="931" spans="1:2" x14ac:dyDescent="0.25">
      <c r="A931" s="20" t="s">
        <v>4142</v>
      </c>
      <c r="B931" s="20" t="s">
        <v>3977</v>
      </c>
    </row>
    <row r="932" spans="1:2" x14ac:dyDescent="0.25">
      <c r="A932" s="20" t="s">
        <v>4328</v>
      </c>
      <c r="B932" s="20" t="s">
        <v>3977</v>
      </c>
    </row>
    <row r="933" spans="1:2" x14ac:dyDescent="0.25">
      <c r="A933" s="20" t="s">
        <v>4070</v>
      </c>
      <c r="B933" s="20" t="s">
        <v>3977</v>
      </c>
    </row>
    <row r="934" spans="1:2" x14ac:dyDescent="0.25">
      <c r="A934" s="20" t="s">
        <v>4085</v>
      </c>
      <c r="B934" s="20" t="s">
        <v>3977</v>
      </c>
    </row>
    <row r="935" spans="1:2" x14ac:dyDescent="0.25">
      <c r="A935" s="20" t="s">
        <v>4099</v>
      </c>
      <c r="B935" s="20" t="s">
        <v>3977</v>
      </c>
    </row>
    <row r="936" spans="1:2" x14ac:dyDescent="0.25">
      <c r="A936" s="20" t="s">
        <v>4113</v>
      </c>
      <c r="B936" s="20" t="s">
        <v>3977</v>
      </c>
    </row>
    <row r="937" spans="1:2" x14ac:dyDescent="0.25">
      <c r="A937" s="20" t="s">
        <v>4127</v>
      </c>
      <c r="B937" s="20" t="s">
        <v>3977</v>
      </c>
    </row>
    <row r="938" spans="1:2" x14ac:dyDescent="0.25">
      <c r="A938" s="20">
        <v>12111684</v>
      </c>
      <c r="B938" s="20" t="s">
        <v>3977</v>
      </c>
    </row>
    <row r="939" spans="1:2" x14ac:dyDescent="0.25">
      <c r="A939" s="20" t="s">
        <v>4125</v>
      </c>
      <c r="B939" s="20" t="s">
        <v>3977</v>
      </c>
    </row>
    <row r="940" spans="1:2" x14ac:dyDescent="0.25">
      <c r="A940" s="20" t="s">
        <v>3978</v>
      </c>
      <c r="B940" s="20" t="s">
        <v>3978</v>
      </c>
    </row>
    <row r="941" spans="1:2" x14ac:dyDescent="0.25">
      <c r="A941" s="20" t="s">
        <v>4027</v>
      </c>
      <c r="B941" s="20" t="s">
        <v>3978</v>
      </c>
    </row>
    <row r="942" spans="1:2" x14ac:dyDescent="0.25">
      <c r="A942" s="20" t="s">
        <v>4031</v>
      </c>
      <c r="B942" s="20" t="s">
        <v>3978</v>
      </c>
    </row>
    <row r="943" spans="1:2" x14ac:dyDescent="0.25">
      <c r="A943" s="20" t="s">
        <v>4034</v>
      </c>
      <c r="B943" s="20" t="s">
        <v>3978</v>
      </c>
    </row>
    <row r="944" spans="1:2" x14ac:dyDescent="0.25">
      <c r="A944" s="20" t="s">
        <v>4041</v>
      </c>
      <c r="B944" s="20" t="s">
        <v>3978</v>
      </c>
    </row>
    <row r="945" spans="1:2" x14ac:dyDescent="0.25">
      <c r="A945" s="20" t="s">
        <v>4050</v>
      </c>
      <c r="B945" s="20" t="s">
        <v>3978</v>
      </c>
    </row>
    <row r="946" spans="1:2" x14ac:dyDescent="0.25">
      <c r="A946" s="20" t="s">
        <v>4060</v>
      </c>
      <c r="B946" s="20" t="s">
        <v>3978</v>
      </c>
    </row>
    <row r="947" spans="1:2" x14ac:dyDescent="0.25">
      <c r="A947" s="20" t="s">
        <v>4069</v>
      </c>
      <c r="B947" s="20" t="s">
        <v>3978</v>
      </c>
    </row>
    <row r="948" spans="1:2" x14ac:dyDescent="0.25">
      <c r="A948" s="20" t="s">
        <v>4084</v>
      </c>
      <c r="B948" s="20" t="s">
        <v>3978</v>
      </c>
    </row>
    <row r="949" spans="1:2" x14ac:dyDescent="0.25">
      <c r="A949" s="20" t="s">
        <v>4098</v>
      </c>
      <c r="B949" s="20" t="s">
        <v>3978</v>
      </c>
    </row>
    <row r="950" spans="1:2" x14ac:dyDescent="0.25">
      <c r="A950" s="20">
        <v>-423967356</v>
      </c>
      <c r="B950" s="20" t="s">
        <v>3978</v>
      </c>
    </row>
    <row r="951" spans="1:2" x14ac:dyDescent="0.25">
      <c r="A951" s="20">
        <v>-424978643</v>
      </c>
      <c r="B951" s="20" t="s">
        <v>3978</v>
      </c>
    </row>
    <row r="952" spans="1:2" x14ac:dyDescent="0.25">
      <c r="A952" s="20">
        <v>-423967357</v>
      </c>
      <c r="B952" s="20" t="s">
        <v>3978</v>
      </c>
    </row>
    <row r="953" spans="1:2" x14ac:dyDescent="0.25">
      <c r="A953" s="20">
        <v>-423967353</v>
      </c>
      <c r="B953" s="20" t="s">
        <v>3978</v>
      </c>
    </row>
    <row r="954" spans="1:2" x14ac:dyDescent="0.25">
      <c r="A954" s="20">
        <v>-423967354</v>
      </c>
      <c r="B954" s="20" t="s">
        <v>3978</v>
      </c>
    </row>
    <row r="955" spans="1:2" x14ac:dyDescent="0.25">
      <c r="A955" s="20">
        <v>-423967355</v>
      </c>
      <c r="B955" s="20" t="s">
        <v>3978</v>
      </c>
    </row>
    <row r="956" spans="1:2" x14ac:dyDescent="0.25">
      <c r="A956" s="20" t="s">
        <v>4191</v>
      </c>
      <c r="B956" s="20" t="s">
        <v>3978</v>
      </c>
    </row>
    <row r="957" spans="1:2" x14ac:dyDescent="0.25">
      <c r="A957" s="20" t="s">
        <v>4207</v>
      </c>
      <c r="B957" s="20" t="s">
        <v>3978</v>
      </c>
    </row>
    <row r="958" spans="1:2" x14ac:dyDescent="0.25">
      <c r="A958" s="20" t="s">
        <v>4213</v>
      </c>
      <c r="B958" s="20" t="s">
        <v>3978</v>
      </c>
    </row>
    <row r="959" spans="1:2" x14ac:dyDescent="0.25">
      <c r="A959" s="20" t="s">
        <v>4223</v>
      </c>
      <c r="B959" s="20" t="s">
        <v>3978</v>
      </c>
    </row>
    <row r="960" spans="1:2" x14ac:dyDescent="0.25">
      <c r="A960" s="20" t="s">
        <v>4233</v>
      </c>
      <c r="B960" s="20" t="s">
        <v>3978</v>
      </c>
    </row>
    <row r="961" spans="1:2" x14ac:dyDescent="0.25">
      <c r="A961" s="20" t="s">
        <v>4245</v>
      </c>
      <c r="B961" s="20" t="s">
        <v>3978</v>
      </c>
    </row>
    <row r="962" spans="1:2" x14ac:dyDescent="0.25">
      <c r="A962" s="20" t="s">
        <v>4256</v>
      </c>
      <c r="B962" s="20" t="s">
        <v>3978</v>
      </c>
    </row>
    <row r="963" spans="1:2" x14ac:dyDescent="0.25">
      <c r="A963" s="20">
        <v>-424824621</v>
      </c>
      <c r="B963" s="20" t="s">
        <v>3978</v>
      </c>
    </row>
    <row r="964" spans="1:2" x14ac:dyDescent="0.25">
      <c r="A964" s="20">
        <v>-423956981</v>
      </c>
      <c r="B964" s="20" t="s">
        <v>3978</v>
      </c>
    </row>
    <row r="965" spans="1:2" x14ac:dyDescent="0.25">
      <c r="A965" s="20" t="s">
        <v>4288</v>
      </c>
      <c r="B965" s="20" t="s">
        <v>3978</v>
      </c>
    </row>
    <row r="966" spans="1:2" x14ac:dyDescent="0.25">
      <c r="A966" s="20" t="s">
        <v>4302</v>
      </c>
      <c r="B966" s="20" t="s">
        <v>3978</v>
      </c>
    </row>
    <row r="967" spans="1:2" x14ac:dyDescent="0.25">
      <c r="A967" s="20" t="s">
        <v>4059</v>
      </c>
      <c r="B967" s="20" t="s">
        <v>3978</v>
      </c>
    </row>
    <row r="968" spans="1:2" x14ac:dyDescent="0.25">
      <c r="A968" s="20">
        <v>196358978</v>
      </c>
      <c r="B968" s="20" t="s">
        <v>3978</v>
      </c>
    </row>
    <row r="969" spans="1:2" x14ac:dyDescent="0.25">
      <c r="A969" s="20" t="s">
        <v>4080</v>
      </c>
      <c r="B969" s="20" t="s">
        <v>3978</v>
      </c>
    </row>
    <row r="970" spans="1:2" x14ac:dyDescent="0.25">
      <c r="A970" s="20" t="s">
        <v>4096</v>
      </c>
      <c r="B970" s="20" t="s">
        <v>3978</v>
      </c>
    </row>
    <row r="971" spans="1:2" x14ac:dyDescent="0.25">
      <c r="A971" s="20" t="s">
        <v>4111</v>
      </c>
      <c r="B971" s="20" t="s">
        <v>3978</v>
      </c>
    </row>
    <row r="972" spans="1:2" x14ac:dyDescent="0.25">
      <c r="A972" s="20" t="s">
        <v>4124</v>
      </c>
      <c r="B972" s="20" t="s">
        <v>3978</v>
      </c>
    </row>
    <row r="973" spans="1:2" x14ac:dyDescent="0.25">
      <c r="A973" s="20" t="s">
        <v>4134</v>
      </c>
      <c r="B973" s="20" t="s">
        <v>3978</v>
      </c>
    </row>
    <row r="974" spans="1:2" x14ac:dyDescent="0.25">
      <c r="A974" s="20" t="s">
        <v>4141</v>
      </c>
      <c r="B974" s="20" t="s">
        <v>3978</v>
      </c>
    </row>
    <row r="975" spans="1:2" x14ac:dyDescent="0.25">
      <c r="A975" s="20" t="s">
        <v>4153</v>
      </c>
      <c r="B975" s="20" t="s">
        <v>3978</v>
      </c>
    </row>
    <row r="976" spans="1:2" x14ac:dyDescent="0.25">
      <c r="A976" s="20" t="s">
        <v>4167</v>
      </c>
      <c r="B976" s="20" t="s">
        <v>3978</v>
      </c>
    </row>
    <row r="977" spans="1:2" x14ac:dyDescent="0.25">
      <c r="A977" s="20" t="s">
        <v>4186</v>
      </c>
      <c r="B977" s="20" t="s">
        <v>3978</v>
      </c>
    </row>
    <row r="978" spans="1:2" x14ac:dyDescent="0.25">
      <c r="A978" s="20">
        <v>134558401</v>
      </c>
      <c r="B978" s="20" t="s">
        <v>3978</v>
      </c>
    </row>
    <row r="979" spans="1:2" x14ac:dyDescent="0.25">
      <c r="A979" s="20">
        <v>134558400</v>
      </c>
      <c r="B979" s="20" t="s">
        <v>3978</v>
      </c>
    </row>
    <row r="980" spans="1:2" x14ac:dyDescent="0.25">
      <c r="A980" s="20" t="s">
        <v>4040</v>
      </c>
      <c r="B980" s="20" t="s">
        <v>3978</v>
      </c>
    </row>
    <row r="981" spans="1:2" x14ac:dyDescent="0.25">
      <c r="A981" s="20" t="s">
        <v>4049</v>
      </c>
      <c r="B981" s="20" t="s">
        <v>3978</v>
      </c>
    </row>
    <row r="982" spans="1:2" x14ac:dyDescent="0.25">
      <c r="A982" s="20">
        <v>313260439</v>
      </c>
      <c r="B982" s="20" t="s">
        <v>3978</v>
      </c>
    </row>
    <row r="983" spans="1:2" x14ac:dyDescent="0.25">
      <c r="A983" s="20">
        <v>424803249</v>
      </c>
      <c r="B983" s="20" t="s">
        <v>3978</v>
      </c>
    </row>
    <row r="984" spans="1:2" x14ac:dyDescent="0.25">
      <c r="A984" s="20" t="s">
        <v>4081</v>
      </c>
      <c r="B984" s="20" t="s">
        <v>3978</v>
      </c>
    </row>
    <row r="985" spans="1:2" x14ac:dyDescent="0.25">
      <c r="A985" s="20" t="s">
        <v>4097</v>
      </c>
      <c r="B985" s="20" t="s">
        <v>3978</v>
      </c>
    </row>
    <row r="986" spans="1:2" x14ac:dyDescent="0.25">
      <c r="A986" s="20">
        <v>423972760</v>
      </c>
      <c r="B986" s="20" t="s">
        <v>3978</v>
      </c>
    </row>
    <row r="987" spans="1:2" x14ac:dyDescent="0.25">
      <c r="A987" s="20" t="s">
        <v>4125</v>
      </c>
      <c r="B987" s="20" t="s">
        <v>3978</v>
      </c>
    </row>
    <row r="988" spans="1:2" x14ac:dyDescent="0.25">
      <c r="A988" s="20" t="s">
        <v>3979</v>
      </c>
      <c r="B988" s="20" t="s">
        <v>3979</v>
      </c>
    </row>
    <row r="989" spans="1:2" x14ac:dyDescent="0.25">
      <c r="A989" s="20" t="s">
        <v>4027</v>
      </c>
      <c r="B989" s="20" t="s">
        <v>3979</v>
      </c>
    </row>
    <row r="990" spans="1:2" x14ac:dyDescent="0.25">
      <c r="A990" s="20" t="s">
        <v>4031</v>
      </c>
      <c r="B990" s="20" t="s">
        <v>3979</v>
      </c>
    </row>
    <row r="991" spans="1:2" x14ac:dyDescent="0.25">
      <c r="A991" s="20" t="s">
        <v>4034</v>
      </c>
      <c r="B991" s="20" t="s">
        <v>3979</v>
      </c>
    </row>
    <row r="992" spans="1:2" x14ac:dyDescent="0.25">
      <c r="A992" s="20" t="s">
        <v>4041</v>
      </c>
      <c r="B992" s="20" t="s">
        <v>3979</v>
      </c>
    </row>
    <row r="993" spans="1:2" x14ac:dyDescent="0.25">
      <c r="A993" s="20" t="s">
        <v>4050</v>
      </c>
      <c r="B993" s="20" t="s">
        <v>3979</v>
      </c>
    </row>
    <row r="994" spans="1:2" x14ac:dyDescent="0.25">
      <c r="A994" s="20" t="s">
        <v>4060</v>
      </c>
      <c r="B994" s="20" t="s">
        <v>3979</v>
      </c>
    </row>
    <row r="995" spans="1:2" x14ac:dyDescent="0.25">
      <c r="A995" s="20" t="s">
        <v>4069</v>
      </c>
      <c r="B995" s="20" t="s">
        <v>3979</v>
      </c>
    </row>
    <row r="996" spans="1:2" x14ac:dyDescent="0.25">
      <c r="A996" s="20" t="s">
        <v>4084</v>
      </c>
      <c r="B996" s="20" t="s">
        <v>3979</v>
      </c>
    </row>
    <row r="997" spans="1:2" x14ac:dyDescent="0.25">
      <c r="A997" s="20" t="s">
        <v>4098</v>
      </c>
      <c r="B997" s="20" t="s">
        <v>3979</v>
      </c>
    </row>
    <row r="998" spans="1:2" x14ac:dyDescent="0.25">
      <c r="A998" s="20">
        <v>-423967356</v>
      </c>
      <c r="B998" s="20" t="s">
        <v>3979</v>
      </c>
    </row>
    <row r="999" spans="1:2" x14ac:dyDescent="0.25">
      <c r="A999" s="20">
        <v>-424978643</v>
      </c>
      <c r="B999" s="20" t="s">
        <v>3979</v>
      </c>
    </row>
    <row r="1000" spans="1:2" x14ac:dyDescent="0.25">
      <c r="A1000" s="20">
        <v>-423967357</v>
      </c>
      <c r="B1000" s="20" t="s">
        <v>3979</v>
      </c>
    </row>
    <row r="1001" spans="1:2" x14ac:dyDescent="0.25">
      <c r="A1001" s="20">
        <v>-423967353</v>
      </c>
      <c r="B1001" s="20" t="s">
        <v>3979</v>
      </c>
    </row>
    <row r="1002" spans="1:2" x14ac:dyDescent="0.25">
      <c r="A1002" s="20">
        <v>-423967354</v>
      </c>
      <c r="B1002" s="20" t="s">
        <v>3979</v>
      </c>
    </row>
    <row r="1003" spans="1:2" x14ac:dyDescent="0.25">
      <c r="A1003" s="20">
        <v>-423967355</v>
      </c>
      <c r="B1003" s="20" t="s">
        <v>3979</v>
      </c>
    </row>
    <row r="1004" spans="1:2" x14ac:dyDescent="0.25">
      <c r="A1004" s="20" t="s">
        <v>4191</v>
      </c>
      <c r="B1004" s="20" t="s">
        <v>3979</v>
      </c>
    </row>
    <row r="1005" spans="1:2" x14ac:dyDescent="0.25">
      <c r="A1005" s="20" t="s">
        <v>4207</v>
      </c>
      <c r="B1005" s="20" t="s">
        <v>3979</v>
      </c>
    </row>
    <row r="1006" spans="1:2" x14ac:dyDescent="0.25">
      <c r="A1006" s="20" t="s">
        <v>4213</v>
      </c>
      <c r="B1006" s="20" t="s">
        <v>3979</v>
      </c>
    </row>
    <row r="1007" spans="1:2" x14ac:dyDescent="0.25">
      <c r="A1007" s="20" t="s">
        <v>4223</v>
      </c>
      <c r="B1007" s="20" t="s">
        <v>3979</v>
      </c>
    </row>
    <row r="1008" spans="1:2" x14ac:dyDescent="0.25">
      <c r="A1008" s="20">
        <v>-424824620</v>
      </c>
      <c r="B1008" s="20" t="s">
        <v>3979</v>
      </c>
    </row>
    <row r="1009" spans="1:2" x14ac:dyDescent="0.25">
      <c r="A1009" s="20">
        <v>-424824619</v>
      </c>
      <c r="B1009" s="20" t="s">
        <v>3979</v>
      </c>
    </row>
    <row r="1010" spans="1:2" x14ac:dyDescent="0.25">
      <c r="A1010" s="20">
        <v>-423956982</v>
      </c>
      <c r="B1010" s="20" t="s">
        <v>3979</v>
      </c>
    </row>
    <row r="1011" spans="1:2" x14ac:dyDescent="0.25">
      <c r="A1011" s="20" t="s">
        <v>4109</v>
      </c>
      <c r="B1011" s="20" t="s">
        <v>3979</v>
      </c>
    </row>
    <row r="1012" spans="1:2" x14ac:dyDescent="0.25">
      <c r="A1012" s="20" t="s">
        <v>4122</v>
      </c>
      <c r="B1012" s="20" t="s">
        <v>3979</v>
      </c>
    </row>
    <row r="1013" spans="1:2" x14ac:dyDescent="0.25">
      <c r="A1013" s="20" t="s">
        <v>4289</v>
      </c>
      <c r="B1013" s="20" t="s">
        <v>3979</v>
      </c>
    </row>
    <row r="1014" spans="1:2" x14ac:dyDescent="0.25">
      <c r="A1014" s="20">
        <v>12143825</v>
      </c>
      <c r="B1014" s="20" t="s">
        <v>3979</v>
      </c>
    </row>
    <row r="1015" spans="1:2" x14ac:dyDescent="0.25">
      <c r="A1015" s="20" t="s">
        <v>4315</v>
      </c>
      <c r="B1015" s="20" t="s">
        <v>3979</v>
      </c>
    </row>
    <row r="1016" spans="1:2" x14ac:dyDescent="0.25">
      <c r="A1016" s="20" t="s">
        <v>4327</v>
      </c>
      <c r="B1016" s="20" t="s">
        <v>3979</v>
      </c>
    </row>
    <row r="1017" spans="1:2" x14ac:dyDescent="0.25">
      <c r="A1017" s="20" t="s">
        <v>4338</v>
      </c>
      <c r="B1017" s="20" t="s">
        <v>3979</v>
      </c>
    </row>
    <row r="1018" spans="1:2" x14ac:dyDescent="0.25">
      <c r="A1018" s="20" t="s">
        <v>4348</v>
      </c>
      <c r="B1018" s="20" t="s">
        <v>3979</v>
      </c>
    </row>
    <row r="1019" spans="1:2" x14ac:dyDescent="0.25">
      <c r="A1019" s="20">
        <v>12167848</v>
      </c>
      <c r="B1019" s="20" t="s">
        <v>3979</v>
      </c>
    </row>
    <row r="1020" spans="1:2" x14ac:dyDescent="0.25">
      <c r="A1020" s="20" t="s">
        <v>4327</v>
      </c>
      <c r="B1020" s="20" t="s">
        <v>3979</v>
      </c>
    </row>
    <row r="1021" spans="1:2" x14ac:dyDescent="0.25">
      <c r="A1021" s="20" t="s">
        <v>4111</v>
      </c>
      <c r="B1021" s="20" t="s">
        <v>3979</v>
      </c>
    </row>
    <row r="1022" spans="1:2" x14ac:dyDescent="0.25">
      <c r="A1022" s="20" t="s">
        <v>4124</v>
      </c>
      <c r="B1022" s="20" t="s">
        <v>3979</v>
      </c>
    </row>
    <row r="1023" spans="1:2" x14ac:dyDescent="0.25">
      <c r="A1023" s="20" t="s">
        <v>4134</v>
      </c>
      <c r="B1023" s="20" t="s">
        <v>3979</v>
      </c>
    </row>
    <row r="1024" spans="1:2" x14ac:dyDescent="0.25">
      <c r="A1024" s="20" t="s">
        <v>4141</v>
      </c>
      <c r="B1024" s="20" t="s">
        <v>3979</v>
      </c>
    </row>
    <row r="1025" spans="1:2" x14ac:dyDescent="0.25">
      <c r="A1025" s="20" t="s">
        <v>4153</v>
      </c>
      <c r="B1025" s="20" t="s">
        <v>3979</v>
      </c>
    </row>
    <row r="1026" spans="1:2" x14ac:dyDescent="0.25">
      <c r="A1026" s="20" t="s">
        <v>4167</v>
      </c>
      <c r="B1026" s="20" t="s">
        <v>3979</v>
      </c>
    </row>
    <row r="1027" spans="1:2" x14ac:dyDescent="0.25">
      <c r="A1027" s="20" t="s">
        <v>4186</v>
      </c>
      <c r="B1027" s="20" t="s">
        <v>3979</v>
      </c>
    </row>
    <row r="1028" spans="1:2" x14ac:dyDescent="0.25">
      <c r="A1028" s="20">
        <v>134558401</v>
      </c>
      <c r="B1028" s="20" t="s">
        <v>3979</v>
      </c>
    </row>
    <row r="1029" spans="1:2" x14ac:dyDescent="0.25">
      <c r="A1029" s="20">
        <v>134558400</v>
      </c>
      <c r="B1029" s="20" t="s">
        <v>3979</v>
      </c>
    </row>
    <row r="1030" spans="1:2" x14ac:dyDescent="0.25">
      <c r="A1030" s="20" t="s">
        <v>4040</v>
      </c>
      <c r="B1030" s="20" t="s">
        <v>3979</v>
      </c>
    </row>
    <row r="1031" spans="1:2" x14ac:dyDescent="0.25">
      <c r="A1031" s="20" t="s">
        <v>4049</v>
      </c>
      <c r="B1031" s="20" t="s">
        <v>3979</v>
      </c>
    </row>
    <row r="1032" spans="1:2" x14ac:dyDescent="0.25">
      <c r="A1032" s="20">
        <v>313260439</v>
      </c>
      <c r="B1032" s="20" t="s">
        <v>3979</v>
      </c>
    </row>
    <row r="1033" spans="1:2" x14ac:dyDescent="0.25">
      <c r="A1033" s="20">
        <v>424803249</v>
      </c>
      <c r="B1033" s="20" t="s">
        <v>3979</v>
      </c>
    </row>
    <row r="1034" spans="1:2" x14ac:dyDescent="0.25">
      <c r="A1034" s="20" t="s">
        <v>4081</v>
      </c>
      <c r="B1034" s="20" t="s">
        <v>3979</v>
      </c>
    </row>
    <row r="1035" spans="1:2" x14ac:dyDescent="0.25">
      <c r="A1035" s="20" t="s">
        <v>4097</v>
      </c>
      <c r="B1035" s="20" t="s">
        <v>3979</v>
      </c>
    </row>
    <row r="1036" spans="1:2" x14ac:dyDescent="0.25">
      <c r="A1036" s="20">
        <v>423972760</v>
      </c>
      <c r="B1036" s="20" t="s">
        <v>3979</v>
      </c>
    </row>
    <row r="1037" spans="1:2" x14ac:dyDescent="0.25">
      <c r="A1037" s="20" t="s">
        <v>4125</v>
      </c>
      <c r="B1037" s="20" t="s">
        <v>3979</v>
      </c>
    </row>
    <row r="1038" spans="1:2" x14ac:dyDescent="0.25">
      <c r="A1038" s="20" t="s">
        <v>3980</v>
      </c>
      <c r="B1038" s="20" t="s">
        <v>3980</v>
      </c>
    </row>
    <row r="1039" spans="1:2" x14ac:dyDescent="0.25">
      <c r="A1039" s="20" t="s">
        <v>4027</v>
      </c>
      <c r="B1039" s="20" t="s">
        <v>3980</v>
      </c>
    </row>
    <row r="1040" spans="1:2" x14ac:dyDescent="0.25">
      <c r="A1040" s="20" t="s">
        <v>4031</v>
      </c>
      <c r="B1040" s="20" t="s">
        <v>3980</v>
      </c>
    </row>
    <row r="1041" spans="1:2" x14ac:dyDescent="0.25">
      <c r="A1041" s="20" t="s">
        <v>4034</v>
      </c>
      <c r="B1041" s="20" t="s">
        <v>3980</v>
      </c>
    </row>
    <row r="1042" spans="1:2" x14ac:dyDescent="0.25">
      <c r="A1042" s="20" t="s">
        <v>4041</v>
      </c>
      <c r="B1042" s="20" t="s">
        <v>3980</v>
      </c>
    </row>
    <row r="1043" spans="1:2" x14ac:dyDescent="0.25">
      <c r="A1043" s="20" t="s">
        <v>4050</v>
      </c>
      <c r="B1043" s="20" t="s">
        <v>3980</v>
      </c>
    </row>
    <row r="1044" spans="1:2" x14ac:dyDescent="0.25">
      <c r="A1044" s="20" t="s">
        <v>4060</v>
      </c>
      <c r="B1044" s="20" t="s">
        <v>3980</v>
      </c>
    </row>
    <row r="1045" spans="1:2" x14ac:dyDescent="0.25">
      <c r="A1045" s="20" t="s">
        <v>4069</v>
      </c>
      <c r="B1045" s="20" t="s">
        <v>3980</v>
      </c>
    </row>
    <row r="1046" spans="1:2" x14ac:dyDescent="0.25">
      <c r="A1046" s="20" t="s">
        <v>4084</v>
      </c>
      <c r="B1046" s="20" t="s">
        <v>3980</v>
      </c>
    </row>
    <row r="1047" spans="1:2" x14ac:dyDescent="0.25">
      <c r="A1047" s="20" t="s">
        <v>4098</v>
      </c>
      <c r="B1047" s="20" t="s">
        <v>3980</v>
      </c>
    </row>
    <row r="1048" spans="1:2" x14ac:dyDescent="0.25">
      <c r="A1048" s="20">
        <v>-423967356</v>
      </c>
      <c r="B1048" s="20" t="s">
        <v>3980</v>
      </c>
    </row>
    <row r="1049" spans="1:2" x14ac:dyDescent="0.25">
      <c r="A1049" s="20">
        <v>-424978643</v>
      </c>
      <c r="B1049" s="20" t="s">
        <v>3980</v>
      </c>
    </row>
    <row r="1050" spans="1:2" x14ac:dyDescent="0.25">
      <c r="A1050" s="20">
        <v>-423967357</v>
      </c>
      <c r="B1050" s="20" t="s">
        <v>3980</v>
      </c>
    </row>
    <row r="1051" spans="1:2" x14ac:dyDescent="0.25">
      <c r="A1051" s="20">
        <v>-423967353</v>
      </c>
      <c r="B1051" s="20" t="s">
        <v>3980</v>
      </c>
    </row>
    <row r="1052" spans="1:2" x14ac:dyDescent="0.25">
      <c r="A1052" s="20">
        <v>-423967354</v>
      </c>
      <c r="B1052" s="20" t="s">
        <v>3980</v>
      </c>
    </row>
    <row r="1053" spans="1:2" x14ac:dyDescent="0.25">
      <c r="A1053" s="20">
        <v>-423967355</v>
      </c>
      <c r="B1053" s="20" t="s">
        <v>3980</v>
      </c>
    </row>
    <row r="1054" spans="1:2" x14ac:dyDescent="0.25">
      <c r="A1054" s="20" t="s">
        <v>4191</v>
      </c>
      <c r="B1054" s="20" t="s">
        <v>3980</v>
      </c>
    </row>
    <row r="1055" spans="1:2" x14ac:dyDescent="0.25">
      <c r="A1055" s="20" t="s">
        <v>4207</v>
      </c>
      <c r="B1055" s="20" t="s">
        <v>3980</v>
      </c>
    </row>
    <row r="1056" spans="1:2" x14ac:dyDescent="0.25">
      <c r="A1056" s="20" t="s">
        <v>4213</v>
      </c>
      <c r="B1056" s="20" t="s">
        <v>3980</v>
      </c>
    </row>
    <row r="1057" spans="1:2" x14ac:dyDescent="0.25">
      <c r="A1057" s="20" t="s">
        <v>4223</v>
      </c>
      <c r="B1057" s="20" t="s">
        <v>3980</v>
      </c>
    </row>
    <row r="1058" spans="1:2" x14ac:dyDescent="0.25">
      <c r="A1058" s="20">
        <v>-424824620</v>
      </c>
      <c r="B1058" s="20" t="s">
        <v>3980</v>
      </c>
    </row>
    <row r="1059" spans="1:2" x14ac:dyDescent="0.25">
      <c r="A1059" s="20">
        <v>-424824619</v>
      </c>
      <c r="B1059" s="20" t="s">
        <v>3980</v>
      </c>
    </row>
    <row r="1060" spans="1:2" x14ac:dyDescent="0.25">
      <c r="A1060" s="20">
        <v>-423956982</v>
      </c>
      <c r="B1060" s="20" t="s">
        <v>3980</v>
      </c>
    </row>
    <row r="1061" spans="1:2" x14ac:dyDescent="0.25">
      <c r="A1061" s="20" t="s">
        <v>4109</v>
      </c>
      <c r="B1061" s="20" t="s">
        <v>3980</v>
      </c>
    </row>
    <row r="1062" spans="1:2" x14ac:dyDescent="0.25">
      <c r="A1062" s="20" t="s">
        <v>4122</v>
      </c>
      <c r="B1062" s="20" t="s">
        <v>3980</v>
      </c>
    </row>
    <row r="1063" spans="1:2" x14ac:dyDescent="0.25">
      <c r="A1063" s="20" t="s">
        <v>4290</v>
      </c>
      <c r="B1063" s="20" t="s">
        <v>3980</v>
      </c>
    </row>
    <row r="1064" spans="1:2" x14ac:dyDescent="0.25">
      <c r="A1064" s="20" t="s">
        <v>4303</v>
      </c>
      <c r="B1064" s="20" t="s">
        <v>3980</v>
      </c>
    </row>
    <row r="1065" spans="1:2" x14ac:dyDescent="0.25">
      <c r="A1065" s="20" t="s">
        <v>4316</v>
      </c>
      <c r="B1065" s="20" t="s">
        <v>3980</v>
      </c>
    </row>
    <row r="1066" spans="1:2" x14ac:dyDescent="0.25">
      <c r="A1066" s="20" t="s">
        <v>4286</v>
      </c>
      <c r="B1066" s="20" t="s">
        <v>3980</v>
      </c>
    </row>
    <row r="1067" spans="1:2" x14ac:dyDescent="0.25">
      <c r="A1067" s="20" t="s">
        <v>4175</v>
      </c>
      <c r="B1067" s="20" t="s">
        <v>3980</v>
      </c>
    </row>
    <row r="1068" spans="1:2" x14ac:dyDescent="0.25">
      <c r="A1068" s="20" t="s">
        <v>4155</v>
      </c>
      <c r="B1068" s="20" t="s">
        <v>3980</v>
      </c>
    </row>
    <row r="1069" spans="1:2" x14ac:dyDescent="0.25">
      <c r="A1069" s="20" t="s">
        <v>4169</v>
      </c>
      <c r="B1069" s="20" t="s">
        <v>3980</v>
      </c>
    </row>
    <row r="1070" spans="1:2" x14ac:dyDescent="0.25">
      <c r="A1070" s="20" t="s">
        <v>4218</v>
      </c>
      <c r="B1070" s="20" t="s">
        <v>3980</v>
      </c>
    </row>
    <row r="1071" spans="1:2" x14ac:dyDescent="0.25">
      <c r="A1071" s="20" t="s">
        <v>4227</v>
      </c>
      <c r="B1071" s="20" t="s">
        <v>3980</v>
      </c>
    </row>
    <row r="1072" spans="1:2" x14ac:dyDescent="0.25">
      <c r="A1072" s="20" t="s">
        <v>4235</v>
      </c>
      <c r="B1072" s="20" t="s">
        <v>3980</v>
      </c>
    </row>
    <row r="1073" spans="1:2" x14ac:dyDescent="0.25">
      <c r="A1073" s="20" t="s">
        <v>4317</v>
      </c>
      <c r="B1073" s="20" t="s">
        <v>3980</v>
      </c>
    </row>
    <row r="1074" spans="1:2" x14ac:dyDescent="0.25">
      <c r="A1074" s="20" t="s">
        <v>4283</v>
      </c>
      <c r="B1074" s="20" t="s">
        <v>3980</v>
      </c>
    </row>
    <row r="1075" spans="1:2" x14ac:dyDescent="0.25">
      <c r="A1075" s="20">
        <v>377438344</v>
      </c>
      <c r="B1075" s="20" t="s">
        <v>3980</v>
      </c>
    </row>
    <row r="1076" spans="1:2" x14ac:dyDescent="0.25">
      <c r="A1076" s="20" t="s">
        <v>4311</v>
      </c>
      <c r="B1076" s="20" t="s">
        <v>3980</v>
      </c>
    </row>
    <row r="1077" spans="1:2" x14ac:dyDescent="0.25">
      <c r="A1077" s="20" t="s">
        <v>4324</v>
      </c>
      <c r="B1077" s="20" t="s">
        <v>3980</v>
      </c>
    </row>
    <row r="1078" spans="1:2" x14ac:dyDescent="0.25">
      <c r="A1078" s="20" t="s">
        <v>4335</v>
      </c>
      <c r="B1078" s="20" t="s">
        <v>3980</v>
      </c>
    </row>
    <row r="1079" spans="1:2" x14ac:dyDescent="0.25">
      <c r="A1079" s="20" t="s">
        <v>4345</v>
      </c>
      <c r="B1079" s="20" t="s">
        <v>3980</v>
      </c>
    </row>
    <row r="1080" spans="1:2" x14ac:dyDescent="0.25">
      <c r="A1080" s="20" t="s">
        <v>4355</v>
      </c>
      <c r="B1080" s="20" t="s">
        <v>3980</v>
      </c>
    </row>
    <row r="1081" spans="1:2" x14ac:dyDescent="0.25">
      <c r="A1081" s="20" t="s">
        <v>4226</v>
      </c>
      <c r="B1081" s="20" t="s">
        <v>3980</v>
      </c>
    </row>
    <row r="1082" spans="1:2" x14ac:dyDescent="0.25">
      <c r="A1082" s="20" t="s">
        <v>4234</v>
      </c>
      <c r="B1082" s="20" t="s">
        <v>3980</v>
      </c>
    </row>
    <row r="1083" spans="1:2" x14ac:dyDescent="0.25">
      <c r="A1083" s="20" t="s">
        <v>4246</v>
      </c>
      <c r="B1083" s="20" t="s">
        <v>3980</v>
      </c>
    </row>
    <row r="1084" spans="1:2" x14ac:dyDescent="0.25">
      <c r="A1084" s="20" t="s">
        <v>4111</v>
      </c>
      <c r="B1084" s="20" t="s">
        <v>3980</v>
      </c>
    </row>
    <row r="1085" spans="1:2" x14ac:dyDescent="0.25">
      <c r="A1085" s="20" t="s">
        <v>4124</v>
      </c>
      <c r="B1085" s="20" t="s">
        <v>3980</v>
      </c>
    </row>
    <row r="1086" spans="1:2" x14ac:dyDescent="0.25">
      <c r="A1086" s="20" t="s">
        <v>4134</v>
      </c>
      <c r="B1086" s="20" t="s">
        <v>3980</v>
      </c>
    </row>
    <row r="1087" spans="1:2" x14ac:dyDescent="0.25">
      <c r="A1087" s="20" t="s">
        <v>4141</v>
      </c>
      <c r="B1087" s="20" t="s">
        <v>3980</v>
      </c>
    </row>
    <row r="1088" spans="1:2" x14ac:dyDescent="0.25">
      <c r="A1088" s="20" t="s">
        <v>4411</v>
      </c>
      <c r="B1088" s="20" t="s">
        <v>3980</v>
      </c>
    </row>
    <row r="1089" spans="1:2" x14ac:dyDescent="0.25">
      <c r="A1089" s="20" t="s">
        <v>4416</v>
      </c>
      <c r="B1089" s="20" t="s">
        <v>3980</v>
      </c>
    </row>
    <row r="1090" spans="1:2" x14ac:dyDescent="0.25">
      <c r="A1090" s="20" t="s">
        <v>4420</v>
      </c>
      <c r="B1090" s="20" t="s">
        <v>3980</v>
      </c>
    </row>
    <row r="1091" spans="1:2" x14ac:dyDescent="0.25">
      <c r="A1091" s="20" t="s">
        <v>4426</v>
      </c>
      <c r="B1091" s="20" t="s">
        <v>3980</v>
      </c>
    </row>
    <row r="1092" spans="1:2" x14ac:dyDescent="0.25">
      <c r="A1092" s="20" t="s">
        <v>4432</v>
      </c>
      <c r="B1092" s="20" t="s">
        <v>3980</v>
      </c>
    </row>
    <row r="1093" spans="1:2" x14ac:dyDescent="0.25">
      <c r="A1093" s="20" t="s">
        <v>4167</v>
      </c>
      <c r="B1093" s="20" t="s">
        <v>3980</v>
      </c>
    </row>
    <row r="1094" spans="1:2" x14ac:dyDescent="0.25">
      <c r="A1094" s="20" t="s">
        <v>4186</v>
      </c>
      <c r="B1094" s="20" t="s">
        <v>3980</v>
      </c>
    </row>
    <row r="1095" spans="1:2" x14ac:dyDescent="0.25">
      <c r="A1095" s="20">
        <v>134558401</v>
      </c>
      <c r="B1095" s="20" t="s">
        <v>3980</v>
      </c>
    </row>
    <row r="1096" spans="1:2" x14ac:dyDescent="0.25">
      <c r="A1096" s="20">
        <v>134558400</v>
      </c>
      <c r="B1096" s="20" t="s">
        <v>3980</v>
      </c>
    </row>
    <row r="1097" spans="1:2" x14ac:dyDescent="0.25">
      <c r="A1097" s="20" t="s">
        <v>4040</v>
      </c>
      <c r="B1097" s="20" t="s">
        <v>3980</v>
      </c>
    </row>
    <row r="1098" spans="1:2" x14ac:dyDescent="0.25">
      <c r="A1098" s="20" t="s">
        <v>4049</v>
      </c>
      <c r="B1098" s="20" t="s">
        <v>3980</v>
      </c>
    </row>
    <row r="1099" spans="1:2" x14ac:dyDescent="0.25">
      <c r="A1099" s="20">
        <v>313260439</v>
      </c>
      <c r="B1099" s="20" t="s">
        <v>3980</v>
      </c>
    </row>
    <row r="1100" spans="1:2" x14ac:dyDescent="0.25">
      <c r="A1100" s="20">
        <v>424803249</v>
      </c>
      <c r="B1100" s="20" t="s">
        <v>3980</v>
      </c>
    </row>
    <row r="1101" spans="1:2" x14ac:dyDescent="0.25">
      <c r="A1101" s="20" t="s">
        <v>4081</v>
      </c>
      <c r="B1101" s="20" t="s">
        <v>3980</v>
      </c>
    </row>
    <row r="1102" spans="1:2" x14ac:dyDescent="0.25">
      <c r="A1102" s="20" t="s">
        <v>4097</v>
      </c>
      <c r="B1102" s="20" t="s">
        <v>3980</v>
      </c>
    </row>
    <row r="1103" spans="1:2" x14ac:dyDescent="0.25">
      <c r="A1103" s="20">
        <v>423972760</v>
      </c>
      <c r="B1103" s="20" t="s">
        <v>3980</v>
      </c>
    </row>
    <row r="1104" spans="1:2" x14ac:dyDescent="0.25">
      <c r="A1104" s="20" t="s">
        <v>4125</v>
      </c>
      <c r="B1104" s="20" t="s">
        <v>3980</v>
      </c>
    </row>
    <row r="1105" spans="1:2" x14ac:dyDescent="0.25">
      <c r="A1105" s="20" t="s">
        <v>3981</v>
      </c>
      <c r="B1105" s="20" t="s">
        <v>3981</v>
      </c>
    </row>
    <row r="1106" spans="1:2" x14ac:dyDescent="0.25">
      <c r="A1106" s="20" t="s">
        <v>4027</v>
      </c>
      <c r="B1106" s="20" t="s">
        <v>3981</v>
      </c>
    </row>
    <row r="1107" spans="1:2" x14ac:dyDescent="0.25">
      <c r="A1107" s="20" t="s">
        <v>4031</v>
      </c>
      <c r="B1107" s="20" t="s">
        <v>3981</v>
      </c>
    </row>
    <row r="1108" spans="1:2" x14ac:dyDescent="0.25">
      <c r="A1108" s="20" t="s">
        <v>4034</v>
      </c>
      <c r="B1108" s="20" t="s">
        <v>3981</v>
      </c>
    </row>
    <row r="1109" spans="1:2" x14ac:dyDescent="0.25">
      <c r="A1109" s="20" t="s">
        <v>4041</v>
      </c>
      <c r="B1109" s="20" t="s">
        <v>3981</v>
      </c>
    </row>
    <row r="1110" spans="1:2" x14ac:dyDescent="0.25">
      <c r="A1110" s="20" t="s">
        <v>4050</v>
      </c>
      <c r="B1110" s="20" t="s">
        <v>3981</v>
      </c>
    </row>
    <row r="1111" spans="1:2" x14ac:dyDescent="0.25">
      <c r="A1111" s="20" t="s">
        <v>4060</v>
      </c>
      <c r="B1111" s="20" t="s">
        <v>3981</v>
      </c>
    </row>
    <row r="1112" spans="1:2" x14ac:dyDescent="0.25">
      <c r="A1112" s="20" t="s">
        <v>4069</v>
      </c>
      <c r="B1112" s="20" t="s">
        <v>3981</v>
      </c>
    </row>
    <row r="1113" spans="1:2" x14ac:dyDescent="0.25">
      <c r="A1113" s="20" t="s">
        <v>4084</v>
      </c>
      <c r="B1113" s="20" t="s">
        <v>3981</v>
      </c>
    </row>
    <row r="1114" spans="1:2" x14ac:dyDescent="0.25">
      <c r="A1114" s="20" t="s">
        <v>4098</v>
      </c>
      <c r="B1114" s="20" t="s">
        <v>3981</v>
      </c>
    </row>
    <row r="1115" spans="1:2" x14ac:dyDescent="0.25">
      <c r="A1115" s="20">
        <v>-423967356</v>
      </c>
      <c r="B1115" s="20" t="s">
        <v>3981</v>
      </c>
    </row>
    <row r="1116" spans="1:2" x14ac:dyDescent="0.25">
      <c r="A1116" s="20">
        <v>-424978643</v>
      </c>
      <c r="B1116" s="20" t="s">
        <v>3981</v>
      </c>
    </row>
    <row r="1117" spans="1:2" x14ac:dyDescent="0.25">
      <c r="A1117" s="20">
        <v>-423967357</v>
      </c>
      <c r="B1117" s="20" t="s">
        <v>3981</v>
      </c>
    </row>
    <row r="1118" spans="1:2" x14ac:dyDescent="0.25">
      <c r="A1118" s="20">
        <v>-423967353</v>
      </c>
      <c r="B1118" s="20" t="s">
        <v>3981</v>
      </c>
    </row>
    <row r="1119" spans="1:2" x14ac:dyDescent="0.25">
      <c r="A1119" s="20" t="s">
        <v>4159</v>
      </c>
      <c r="B1119" s="20" t="s">
        <v>3981</v>
      </c>
    </row>
    <row r="1120" spans="1:2" x14ac:dyDescent="0.25">
      <c r="A1120" s="20" t="s">
        <v>4174</v>
      </c>
      <c r="B1120" s="20" t="s">
        <v>3981</v>
      </c>
    </row>
    <row r="1121" spans="1:2" x14ac:dyDescent="0.25">
      <c r="A1121" s="20" t="s">
        <v>4192</v>
      </c>
      <c r="B1121" s="20" t="s">
        <v>3981</v>
      </c>
    </row>
    <row r="1122" spans="1:2" x14ac:dyDescent="0.25">
      <c r="A1122" s="20" t="s">
        <v>4208</v>
      </c>
      <c r="B1122" s="20" t="s">
        <v>3981</v>
      </c>
    </row>
    <row r="1123" spans="1:2" x14ac:dyDescent="0.25">
      <c r="A1123" s="20" t="s">
        <v>4217</v>
      </c>
      <c r="B1123" s="20" t="s">
        <v>3981</v>
      </c>
    </row>
    <row r="1124" spans="1:2" x14ac:dyDescent="0.25">
      <c r="A1124" s="20" t="s">
        <v>4226</v>
      </c>
      <c r="B1124" s="20" t="s">
        <v>3981</v>
      </c>
    </row>
    <row r="1125" spans="1:2" x14ac:dyDescent="0.25">
      <c r="A1125" s="20" t="s">
        <v>4234</v>
      </c>
      <c r="B1125" s="20" t="s">
        <v>3981</v>
      </c>
    </row>
    <row r="1126" spans="1:2" x14ac:dyDescent="0.25">
      <c r="A1126" s="20" t="s">
        <v>4246</v>
      </c>
      <c r="B1126" s="20" t="s">
        <v>3981</v>
      </c>
    </row>
    <row r="1127" spans="1:2" x14ac:dyDescent="0.25">
      <c r="A1127" s="20" t="s">
        <v>4111</v>
      </c>
      <c r="B1127" s="20" t="s">
        <v>3981</v>
      </c>
    </row>
    <row r="1128" spans="1:2" x14ac:dyDescent="0.25">
      <c r="A1128" s="20" t="s">
        <v>4124</v>
      </c>
      <c r="B1128" s="20" t="s">
        <v>3981</v>
      </c>
    </row>
    <row r="1129" spans="1:2" x14ac:dyDescent="0.25">
      <c r="A1129" s="20" t="s">
        <v>4134</v>
      </c>
      <c r="B1129" s="20" t="s">
        <v>3981</v>
      </c>
    </row>
    <row r="1130" spans="1:2" x14ac:dyDescent="0.25">
      <c r="A1130" s="20" t="s">
        <v>4141</v>
      </c>
      <c r="B1130" s="20" t="s">
        <v>3981</v>
      </c>
    </row>
    <row r="1131" spans="1:2" x14ac:dyDescent="0.25">
      <c r="A1131" s="20" t="s">
        <v>4153</v>
      </c>
      <c r="B1131" s="20" t="s">
        <v>3981</v>
      </c>
    </row>
    <row r="1132" spans="1:2" x14ac:dyDescent="0.25">
      <c r="A1132" s="20" t="s">
        <v>4167</v>
      </c>
      <c r="B1132" s="20" t="s">
        <v>3981</v>
      </c>
    </row>
    <row r="1133" spans="1:2" x14ac:dyDescent="0.25">
      <c r="A1133" s="20" t="s">
        <v>4186</v>
      </c>
      <c r="B1133" s="20" t="s">
        <v>3981</v>
      </c>
    </row>
    <row r="1134" spans="1:2" x14ac:dyDescent="0.25">
      <c r="A1134" s="20">
        <v>134558401</v>
      </c>
      <c r="B1134" s="20" t="s">
        <v>3981</v>
      </c>
    </row>
    <row r="1135" spans="1:2" x14ac:dyDescent="0.25">
      <c r="A1135" s="20">
        <v>134558400</v>
      </c>
      <c r="B1135" s="20" t="s">
        <v>3981</v>
      </c>
    </row>
    <row r="1136" spans="1:2" x14ac:dyDescent="0.25">
      <c r="A1136" s="20" t="s">
        <v>4040</v>
      </c>
      <c r="B1136" s="20" t="s">
        <v>3981</v>
      </c>
    </row>
    <row r="1137" spans="1:2" x14ac:dyDescent="0.25">
      <c r="A1137" s="20" t="s">
        <v>4049</v>
      </c>
      <c r="B1137" s="20" t="s">
        <v>3981</v>
      </c>
    </row>
    <row r="1138" spans="1:2" x14ac:dyDescent="0.25">
      <c r="A1138" s="20">
        <v>313260439</v>
      </c>
      <c r="B1138" s="20" t="s">
        <v>3981</v>
      </c>
    </row>
    <row r="1139" spans="1:2" x14ac:dyDescent="0.25">
      <c r="A1139" s="20">
        <v>424803249</v>
      </c>
      <c r="B1139" s="20" t="s">
        <v>3981</v>
      </c>
    </row>
    <row r="1140" spans="1:2" x14ac:dyDescent="0.25">
      <c r="A1140" s="20" t="s">
        <v>4081</v>
      </c>
      <c r="B1140" s="20" t="s">
        <v>3981</v>
      </c>
    </row>
    <row r="1141" spans="1:2" x14ac:dyDescent="0.25">
      <c r="A1141" s="20" t="s">
        <v>4097</v>
      </c>
      <c r="B1141" s="20" t="s">
        <v>3981</v>
      </c>
    </row>
    <row r="1142" spans="1:2" x14ac:dyDescent="0.25">
      <c r="A1142" s="20">
        <v>423972760</v>
      </c>
      <c r="B1142" s="20" t="s">
        <v>3981</v>
      </c>
    </row>
    <row r="1143" spans="1:2" x14ac:dyDescent="0.25">
      <c r="A1143" s="20" t="s">
        <v>4125</v>
      </c>
      <c r="B1143" s="20" t="s">
        <v>3981</v>
      </c>
    </row>
    <row r="1144" spans="1:2" x14ac:dyDescent="0.25">
      <c r="A1144" s="20" t="s">
        <v>3982</v>
      </c>
      <c r="B1144" s="20" t="s">
        <v>3982</v>
      </c>
    </row>
    <row r="1145" spans="1:2" x14ac:dyDescent="0.25">
      <c r="A1145" s="20" t="s">
        <v>4027</v>
      </c>
      <c r="B1145" s="20" t="s">
        <v>3982</v>
      </c>
    </row>
    <row r="1146" spans="1:2" x14ac:dyDescent="0.25">
      <c r="A1146" s="20" t="s">
        <v>4031</v>
      </c>
      <c r="B1146" s="20" t="s">
        <v>3982</v>
      </c>
    </row>
    <row r="1147" spans="1:2" x14ac:dyDescent="0.25">
      <c r="A1147" s="20" t="s">
        <v>4034</v>
      </c>
      <c r="B1147" s="20" t="s">
        <v>3982</v>
      </c>
    </row>
    <row r="1148" spans="1:2" x14ac:dyDescent="0.25">
      <c r="A1148" s="20" t="s">
        <v>4041</v>
      </c>
      <c r="B1148" s="20" t="s">
        <v>3982</v>
      </c>
    </row>
    <row r="1149" spans="1:2" x14ac:dyDescent="0.25">
      <c r="A1149" s="20" t="s">
        <v>4050</v>
      </c>
      <c r="B1149" s="20" t="s">
        <v>3982</v>
      </c>
    </row>
    <row r="1150" spans="1:2" x14ac:dyDescent="0.25">
      <c r="A1150" s="20" t="s">
        <v>4060</v>
      </c>
      <c r="B1150" s="20" t="s">
        <v>3982</v>
      </c>
    </row>
    <row r="1151" spans="1:2" x14ac:dyDescent="0.25">
      <c r="A1151" s="20" t="s">
        <v>4069</v>
      </c>
      <c r="B1151" s="20" t="s">
        <v>3982</v>
      </c>
    </row>
    <row r="1152" spans="1:2" x14ac:dyDescent="0.25">
      <c r="A1152" s="20" t="s">
        <v>4084</v>
      </c>
      <c r="B1152" s="20" t="s">
        <v>3982</v>
      </c>
    </row>
    <row r="1153" spans="1:2" x14ac:dyDescent="0.25">
      <c r="A1153" s="20" t="s">
        <v>4098</v>
      </c>
      <c r="B1153" s="20" t="s">
        <v>3982</v>
      </c>
    </row>
    <row r="1154" spans="1:2" x14ac:dyDescent="0.25">
      <c r="A1154" s="20">
        <v>-423967356</v>
      </c>
      <c r="B1154" s="20" t="s">
        <v>3982</v>
      </c>
    </row>
    <row r="1155" spans="1:2" x14ac:dyDescent="0.25">
      <c r="A1155" s="20">
        <v>-424978643</v>
      </c>
      <c r="B1155" s="20" t="s">
        <v>3982</v>
      </c>
    </row>
    <row r="1156" spans="1:2" x14ac:dyDescent="0.25">
      <c r="A1156" s="20">
        <v>-423967357</v>
      </c>
      <c r="B1156" s="20" t="s">
        <v>3982</v>
      </c>
    </row>
    <row r="1157" spans="1:2" x14ac:dyDescent="0.25">
      <c r="A1157" s="20">
        <v>-423967353</v>
      </c>
      <c r="B1157" s="20" t="s">
        <v>3982</v>
      </c>
    </row>
    <row r="1158" spans="1:2" x14ac:dyDescent="0.25">
      <c r="A1158" s="20" t="s">
        <v>4159</v>
      </c>
      <c r="B1158" s="20" t="s">
        <v>3982</v>
      </c>
    </row>
    <row r="1159" spans="1:2" x14ac:dyDescent="0.25">
      <c r="A1159" s="20" t="s">
        <v>4175</v>
      </c>
      <c r="B1159" s="20" t="s">
        <v>3982</v>
      </c>
    </row>
    <row r="1160" spans="1:2" x14ac:dyDescent="0.25">
      <c r="A1160" s="20" t="s">
        <v>4155</v>
      </c>
      <c r="B1160" s="20" t="s">
        <v>3982</v>
      </c>
    </row>
    <row r="1161" spans="1:2" x14ac:dyDescent="0.25">
      <c r="A1161" s="20" t="s">
        <v>4169</v>
      </c>
      <c r="B1161" s="20" t="s">
        <v>3982</v>
      </c>
    </row>
    <row r="1162" spans="1:2" x14ac:dyDescent="0.25">
      <c r="A1162" s="20" t="s">
        <v>4218</v>
      </c>
      <c r="B1162" s="20" t="s">
        <v>3982</v>
      </c>
    </row>
    <row r="1163" spans="1:2" x14ac:dyDescent="0.25">
      <c r="A1163" s="20" t="s">
        <v>4227</v>
      </c>
      <c r="B1163" s="20" t="s">
        <v>3982</v>
      </c>
    </row>
    <row r="1164" spans="1:2" x14ac:dyDescent="0.25">
      <c r="A1164" s="20" t="s">
        <v>4235</v>
      </c>
      <c r="B1164" s="20" t="s">
        <v>3982</v>
      </c>
    </row>
    <row r="1165" spans="1:2" x14ac:dyDescent="0.25">
      <c r="A1165" s="20" t="s">
        <v>4247</v>
      </c>
      <c r="B1165" s="20" t="s">
        <v>3982</v>
      </c>
    </row>
    <row r="1166" spans="1:2" x14ac:dyDescent="0.25">
      <c r="A1166" s="20" t="s">
        <v>4257</v>
      </c>
      <c r="B1166" s="20" t="s">
        <v>3982</v>
      </c>
    </row>
    <row r="1167" spans="1:2" x14ac:dyDescent="0.25">
      <c r="A1167" s="20" t="s">
        <v>4265</v>
      </c>
      <c r="B1167" s="20" t="s">
        <v>3982</v>
      </c>
    </row>
    <row r="1168" spans="1:2" x14ac:dyDescent="0.25">
      <c r="A1168" s="20" t="s">
        <v>4112</v>
      </c>
      <c r="B1168" s="20" t="s">
        <v>3982</v>
      </c>
    </row>
    <row r="1169" spans="1:2" x14ac:dyDescent="0.25">
      <c r="A1169" s="20" t="s">
        <v>4126</v>
      </c>
      <c r="B1169" s="20" t="s">
        <v>3982</v>
      </c>
    </row>
    <row r="1170" spans="1:2" x14ac:dyDescent="0.25">
      <c r="A1170" s="20">
        <v>-486653628</v>
      </c>
      <c r="B1170" s="20" t="s">
        <v>3982</v>
      </c>
    </row>
    <row r="1171" spans="1:2" x14ac:dyDescent="0.25">
      <c r="A1171" s="20" t="s">
        <v>4142</v>
      </c>
      <c r="B1171" s="20" t="s">
        <v>3982</v>
      </c>
    </row>
    <row r="1172" spans="1:2" x14ac:dyDescent="0.25">
      <c r="A1172" s="20" t="s">
        <v>4328</v>
      </c>
      <c r="B1172" s="20" t="s">
        <v>3982</v>
      </c>
    </row>
    <row r="1173" spans="1:2" x14ac:dyDescent="0.25">
      <c r="A1173" s="20" t="s">
        <v>4070</v>
      </c>
      <c r="B1173" s="20" t="s">
        <v>3982</v>
      </c>
    </row>
    <row r="1174" spans="1:2" x14ac:dyDescent="0.25">
      <c r="A1174" s="20" t="s">
        <v>4085</v>
      </c>
      <c r="B1174" s="20" t="s">
        <v>3982</v>
      </c>
    </row>
    <row r="1175" spans="1:2" x14ac:dyDescent="0.25">
      <c r="A1175" s="20" t="s">
        <v>4099</v>
      </c>
      <c r="B1175" s="20" t="s">
        <v>3982</v>
      </c>
    </row>
    <row r="1176" spans="1:2" x14ac:dyDescent="0.25">
      <c r="A1176" s="20" t="s">
        <v>4113</v>
      </c>
      <c r="B1176" s="20" t="s">
        <v>3982</v>
      </c>
    </row>
    <row r="1177" spans="1:2" x14ac:dyDescent="0.25">
      <c r="A1177" s="20" t="s">
        <v>4127</v>
      </c>
      <c r="B1177" s="20" t="s">
        <v>3982</v>
      </c>
    </row>
    <row r="1178" spans="1:2" x14ac:dyDescent="0.25">
      <c r="A1178" s="20">
        <v>12111684</v>
      </c>
      <c r="B1178" s="20" t="s">
        <v>3982</v>
      </c>
    </row>
    <row r="1179" spans="1:2" x14ac:dyDescent="0.25">
      <c r="A1179" s="20" t="s">
        <v>4125</v>
      </c>
      <c r="B1179" s="20" t="s">
        <v>3982</v>
      </c>
    </row>
    <row r="1180" spans="1:2" x14ac:dyDescent="0.25">
      <c r="A1180" s="20" t="s">
        <v>3983</v>
      </c>
      <c r="B1180" s="20" t="s">
        <v>3983</v>
      </c>
    </row>
    <row r="1181" spans="1:2" x14ac:dyDescent="0.25">
      <c r="A1181" s="20" t="s">
        <v>4027</v>
      </c>
      <c r="B1181" s="20" t="s">
        <v>3983</v>
      </c>
    </row>
    <row r="1182" spans="1:2" x14ac:dyDescent="0.25">
      <c r="A1182" s="20" t="s">
        <v>4031</v>
      </c>
      <c r="B1182" s="20" t="s">
        <v>3983</v>
      </c>
    </row>
    <row r="1183" spans="1:2" x14ac:dyDescent="0.25">
      <c r="A1183" s="20" t="s">
        <v>4034</v>
      </c>
      <c r="B1183" s="20" t="s">
        <v>3983</v>
      </c>
    </row>
    <row r="1184" spans="1:2" x14ac:dyDescent="0.25">
      <c r="A1184" s="20">
        <v>49916246</v>
      </c>
      <c r="B1184" s="20" t="s">
        <v>3983</v>
      </c>
    </row>
    <row r="1185" spans="1:2" x14ac:dyDescent="0.25">
      <c r="A1185" s="20" t="s">
        <v>4051</v>
      </c>
      <c r="B1185" s="20" t="s">
        <v>3983</v>
      </c>
    </row>
    <row r="1186" spans="1:2" x14ac:dyDescent="0.25">
      <c r="A1186" s="20" t="s">
        <v>4061</v>
      </c>
      <c r="B1186" s="20" t="s">
        <v>3983</v>
      </c>
    </row>
    <row r="1187" spans="1:2" x14ac:dyDescent="0.25">
      <c r="A1187" s="20" t="s">
        <v>4070</v>
      </c>
      <c r="B1187" s="20" t="s">
        <v>3983</v>
      </c>
    </row>
    <row r="1188" spans="1:2" x14ac:dyDescent="0.25">
      <c r="A1188" s="20" t="s">
        <v>4085</v>
      </c>
      <c r="B1188" s="20" t="s">
        <v>3983</v>
      </c>
    </row>
    <row r="1189" spans="1:2" x14ac:dyDescent="0.25">
      <c r="A1189" s="20" t="s">
        <v>4099</v>
      </c>
      <c r="B1189" s="20" t="s">
        <v>3983</v>
      </c>
    </row>
    <row r="1190" spans="1:2" x14ac:dyDescent="0.25">
      <c r="A1190" s="20" t="s">
        <v>4113</v>
      </c>
      <c r="B1190" s="20" t="s">
        <v>3983</v>
      </c>
    </row>
    <row r="1191" spans="1:2" x14ac:dyDescent="0.25">
      <c r="A1191" s="20" t="s">
        <v>4127</v>
      </c>
      <c r="B1191" s="20" t="s">
        <v>3983</v>
      </c>
    </row>
    <row r="1192" spans="1:2" x14ac:dyDescent="0.25">
      <c r="A1192" s="20">
        <v>12111684</v>
      </c>
      <c r="B1192" s="20" t="s">
        <v>3983</v>
      </c>
    </row>
    <row r="1193" spans="1:2" x14ac:dyDescent="0.25">
      <c r="A1193" s="20" t="s">
        <v>4125</v>
      </c>
      <c r="B1193" s="20" t="s">
        <v>3983</v>
      </c>
    </row>
    <row r="1194" spans="1:2" x14ac:dyDescent="0.25">
      <c r="A1194" s="20" t="s">
        <v>3984</v>
      </c>
      <c r="B1194" s="20" t="s">
        <v>3984</v>
      </c>
    </row>
    <row r="1195" spans="1:2" x14ac:dyDescent="0.25">
      <c r="A1195" s="20" t="s">
        <v>4027</v>
      </c>
      <c r="B1195" s="20" t="s">
        <v>3984</v>
      </c>
    </row>
    <row r="1196" spans="1:2" x14ac:dyDescent="0.25">
      <c r="A1196" s="20" t="s">
        <v>4031</v>
      </c>
      <c r="B1196" s="20" t="s">
        <v>3984</v>
      </c>
    </row>
    <row r="1197" spans="1:2" x14ac:dyDescent="0.25">
      <c r="A1197" s="20" t="s">
        <v>4035</v>
      </c>
      <c r="B1197" s="20" t="s">
        <v>3984</v>
      </c>
    </row>
    <row r="1198" spans="1:2" x14ac:dyDescent="0.25">
      <c r="A1198" s="20" t="s">
        <v>4042</v>
      </c>
      <c r="B1198" s="20" t="s">
        <v>3984</v>
      </c>
    </row>
    <row r="1199" spans="1:2" x14ac:dyDescent="0.25">
      <c r="A1199" s="20">
        <v>424978639</v>
      </c>
      <c r="B1199" s="20" t="s">
        <v>3984</v>
      </c>
    </row>
    <row r="1200" spans="1:2" x14ac:dyDescent="0.25">
      <c r="A1200" s="20">
        <v>387423966</v>
      </c>
      <c r="B1200" s="20" t="s">
        <v>3984</v>
      </c>
    </row>
    <row r="1201" spans="1:2" x14ac:dyDescent="0.25">
      <c r="A1201" s="20">
        <v>424978644</v>
      </c>
      <c r="B1201" s="20" t="s">
        <v>3984</v>
      </c>
    </row>
    <row r="1202" spans="1:2" x14ac:dyDescent="0.25">
      <c r="A1202" s="20">
        <v>423965484</v>
      </c>
      <c r="B1202" s="20" t="s">
        <v>3984</v>
      </c>
    </row>
    <row r="1203" spans="1:2" x14ac:dyDescent="0.25">
      <c r="A1203" s="20" t="s">
        <v>4100</v>
      </c>
      <c r="B1203" s="20" t="s">
        <v>3984</v>
      </c>
    </row>
    <row r="1204" spans="1:2" x14ac:dyDescent="0.25">
      <c r="A1204" s="20" t="s">
        <v>4114</v>
      </c>
      <c r="B1204" s="20" t="s">
        <v>3984</v>
      </c>
    </row>
    <row r="1205" spans="1:2" x14ac:dyDescent="0.25">
      <c r="A1205" s="20">
        <v>448887868</v>
      </c>
      <c r="B1205" s="20" t="s">
        <v>3984</v>
      </c>
    </row>
    <row r="1206" spans="1:2" x14ac:dyDescent="0.25">
      <c r="A1206" s="20" t="s">
        <v>4135</v>
      </c>
      <c r="B1206" s="20" t="s">
        <v>3984</v>
      </c>
    </row>
    <row r="1207" spans="1:2" x14ac:dyDescent="0.25">
      <c r="A1207" s="20" t="s">
        <v>4145</v>
      </c>
      <c r="B1207" s="20" t="s">
        <v>3984</v>
      </c>
    </row>
    <row r="1208" spans="1:2" x14ac:dyDescent="0.25">
      <c r="A1208" s="20">
        <v>448887869</v>
      </c>
      <c r="B1208" s="20" t="s">
        <v>3984</v>
      </c>
    </row>
    <row r="1209" spans="1:2" x14ac:dyDescent="0.25">
      <c r="A1209" s="20">
        <v>448887867</v>
      </c>
      <c r="B1209" s="20" t="s">
        <v>3984</v>
      </c>
    </row>
    <row r="1210" spans="1:2" x14ac:dyDescent="0.25">
      <c r="A1210" s="20" t="s">
        <v>4193</v>
      </c>
      <c r="B1210" s="20" t="s">
        <v>3984</v>
      </c>
    </row>
    <row r="1211" spans="1:2" x14ac:dyDescent="0.25">
      <c r="A1211" s="20" t="s">
        <v>3985</v>
      </c>
      <c r="B1211" s="20" t="s">
        <v>3985</v>
      </c>
    </row>
    <row r="1212" spans="1:2" x14ac:dyDescent="0.25">
      <c r="A1212" s="20" t="s">
        <v>4027</v>
      </c>
      <c r="B1212" s="20" t="s">
        <v>3985</v>
      </c>
    </row>
    <row r="1213" spans="1:2" x14ac:dyDescent="0.25">
      <c r="A1213" s="20" t="s">
        <v>4031</v>
      </c>
      <c r="B1213" s="20" t="s">
        <v>3985</v>
      </c>
    </row>
    <row r="1214" spans="1:2" x14ac:dyDescent="0.25">
      <c r="A1214" s="20" t="s">
        <v>4035</v>
      </c>
      <c r="B1214" s="20" t="s">
        <v>3985</v>
      </c>
    </row>
    <row r="1215" spans="1:2" x14ac:dyDescent="0.25">
      <c r="A1215" s="20" t="s">
        <v>4042</v>
      </c>
      <c r="B1215" s="20" t="s">
        <v>3985</v>
      </c>
    </row>
    <row r="1216" spans="1:2" x14ac:dyDescent="0.25">
      <c r="A1216" s="20">
        <v>424978639</v>
      </c>
      <c r="B1216" s="20" t="s">
        <v>3985</v>
      </c>
    </row>
    <row r="1217" spans="1:2" x14ac:dyDescent="0.25">
      <c r="A1217" s="20">
        <v>387423966</v>
      </c>
      <c r="B1217" s="20" t="s">
        <v>3985</v>
      </c>
    </row>
    <row r="1218" spans="1:2" x14ac:dyDescent="0.25">
      <c r="A1218" s="20" t="s">
        <v>4071</v>
      </c>
      <c r="B1218" s="20" t="s">
        <v>3985</v>
      </c>
    </row>
    <row r="1219" spans="1:2" x14ac:dyDescent="0.25">
      <c r="A1219" s="20" t="s">
        <v>4086</v>
      </c>
      <c r="B1219" s="20" t="s">
        <v>3985</v>
      </c>
    </row>
    <row r="1220" spans="1:2" x14ac:dyDescent="0.25">
      <c r="A1220" s="20" t="s">
        <v>4101</v>
      </c>
      <c r="B1220" s="20" t="s">
        <v>3985</v>
      </c>
    </row>
    <row r="1221" spans="1:2" x14ac:dyDescent="0.25">
      <c r="A1221" s="20" t="s">
        <v>4115</v>
      </c>
      <c r="B1221" s="20" t="s">
        <v>3985</v>
      </c>
    </row>
    <row r="1222" spans="1:2" x14ac:dyDescent="0.25">
      <c r="A1222" s="20" t="s">
        <v>4128</v>
      </c>
      <c r="B1222" s="20" t="s">
        <v>3985</v>
      </c>
    </row>
    <row r="1223" spans="1:2" x14ac:dyDescent="0.25">
      <c r="A1223" s="20">
        <v>-49940061</v>
      </c>
      <c r="B1223" s="20" t="s">
        <v>3985</v>
      </c>
    </row>
    <row r="1224" spans="1:2" x14ac:dyDescent="0.25">
      <c r="A1224" s="20">
        <v>-49940062</v>
      </c>
      <c r="B1224" s="20" t="s">
        <v>3985</v>
      </c>
    </row>
    <row r="1225" spans="1:2" x14ac:dyDescent="0.25">
      <c r="A1225" s="20">
        <v>49940069</v>
      </c>
      <c r="B1225" s="20" t="s">
        <v>3985</v>
      </c>
    </row>
    <row r="1226" spans="1:2" x14ac:dyDescent="0.25">
      <c r="A1226" s="20" t="s">
        <v>4176</v>
      </c>
      <c r="B1226" s="20" t="s">
        <v>3985</v>
      </c>
    </row>
    <row r="1227" spans="1:2" x14ac:dyDescent="0.25">
      <c r="A1227" s="20" t="s">
        <v>4194</v>
      </c>
      <c r="B1227" s="20" t="s">
        <v>3985</v>
      </c>
    </row>
    <row r="1228" spans="1:2" x14ac:dyDescent="0.25">
      <c r="A1228" s="20" t="s">
        <v>4161</v>
      </c>
      <c r="B1228" s="20" t="s">
        <v>3985</v>
      </c>
    </row>
    <row r="1229" spans="1:2" x14ac:dyDescent="0.25">
      <c r="A1229" s="20">
        <v>-423967352</v>
      </c>
      <c r="B1229" s="20" t="s">
        <v>3985</v>
      </c>
    </row>
    <row r="1230" spans="1:2" x14ac:dyDescent="0.25">
      <c r="A1230" s="20" t="s">
        <v>4197</v>
      </c>
      <c r="B1230" s="20" t="s">
        <v>3985</v>
      </c>
    </row>
    <row r="1231" spans="1:2" x14ac:dyDescent="0.25">
      <c r="A1231" s="20" t="s">
        <v>4236</v>
      </c>
      <c r="B1231" s="20" t="s">
        <v>3985</v>
      </c>
    </row>
    <row r="1232" spans="1:2" x14ac:dyDescent="0.25">
      <c r="A1232" s="20" t="s">
        <v>4248</v>
      </c>
      <c r="B1232" s="20" t="s">
        <v>3985</v>
      </c>
    </row>
    <row r="1233" spans="1:2" x14ac:dyDescent="0.25">
      <c r="A1233" s="20" t="s">
        <v>4082</v>
      </c>
      <c r="B1233" s="20" t="s">
        <v>3985</v>
      </c>
    </row>
    <row r="1234" spans="1:2" x14ac:dyDescent="0.25">
      <c r="A1234" s="20">
        <v>12174962</v>
      </c>
      <c r="B1234" s="20" t="s">
        <v>3985</v>
      </c>
    </row>
    <row r="1235" spans="1:2" x14ac:dyDescent="0.25">
      <c r="A1235" s="20" t="s">
        <v>4112</v>
      </c>
      <c r="B1235" s="20" t="s">
        <v>3985</v>
      </c>
    </row>
    <row r="1236" spans="1:2" x14ac:dyDescent="0.25">
      <c r="A1236" s="20" t="s">
        <v>4126</v>
      </c>
      <c r="B1236" s="20" t="s">
        <v>3985</v>
      </c>
    </row>
    <row r="1237" spans="1:2" x14ac:dyDescent="0.25">
      <c r="A1237" s="20">
        <v>-486653628</v>
      </c>
      <c r="B1237" s="20" t="s">
        <v>3985</v>
      </c>
    </row>
    <row r="1238" spans="1:2" x14ac:dyDescent="0.25">
      <c r="A1238" s="20" t="s">
        <v>4142</v>
      </c>
      <c r="B1238" s="20" t="s">
        <v>3985</v>
      </c>
    </row>
    <row r="1239" spans="1:2" x14ac:dyDescent="0.25">
      <c r="A1239" s="20" t="s">
        <v>4154</v>
      </c>
      <c r="B1239" s="20" t="s">
        <v>3985</v>
      </c>
    </row>
    <row r="1240" spans="1:2" x14ac:dyDescent="0.25">
      <c r="A1240" s="20" t="s">
        <v>4168</v>
      </c>
      <c r="B1240" s="20" t="s">
        <v>3985</v>
      </c>
    </row>
    <row r="1241" spans="1:2" x14ac:dyDescent="0.25">
      <c r="A1241" s="20" t="s">
        <v>4027</v>
      </c>
      <c r="B1241" s="20" t="s">
        <v>3985</v>
      </c>
    </row>
    <row r="1242" spans="1:2" x14ac:dyDescent="0.25">
      <c r="A1242" s="20" t="s">
        <v>4031</v>
      </c>
      <c r="B1242" s="20" t="s">
        <v>3985</v>
      </c>
    </row>
    <row r="1243" spans="1:2" x14ac:dyDescent="0.25">
      <c r="A1243" s="20" t="s">
        <v>4035</v>
      </c>
      <c r="B1243" s="20" t="s">
        <v>3985</v>
      </c>
    </row>
    <row r="1244" spans="1:2" x14ac:dyDescent="0.25">
      <c r="A1244" s="20" t="s">
        <v>4042</v>
      </c>
      <c r="B1244" s="20" t="s">
        <v>3985</v>
      </c>
    </row>
    <row r="1245" spans="1:2" x14ac:dyDescent="0.25">
      <c r="A1245" s="20">
        <v>424978639</v>
      </c>
      <c r="B1245" s="20" t="s">
        <v>3985</v>
      </c>
    </row>
    <row r="1246" spans="1:2" x14ac:dyDescent="0.25">
      <c r="A1246" s="20">
        <v>387423966</v>
      </c>
      <c r="B1246" s="20" t="s">
        <v>3985</v>
      </c>
    </row>
    <row r="1247" spans="1:2" x14ac:dyDescent="0.25">
      <c r="A1247" s="20">
        <v>424978644</v>
      </c>
      <c r="B1247" s="20" t="s">
        <v>3985</v>
      </c>
    </row>
    <row r="1248" spans="1:2" x14ac:dyDescent="0.25">
      <c r="A1248" s="20">
        <v>423965484</v>
      </c>
      <c r="B1248" s="20" t="s">
        <v>3985</v>
      </c>
    </row>
    <row r="1249" spans="1:2" x14ac:dyDescent="0.25">
      <c r="A1249" s="20" t="s">
        <v>4100</v>
      </c>
      <c r="B1249" s="20" t="s">
        <v>3985</v>
      </c>
    </row>
    <row r="1250" spans="1:2" x14ac:dyDescent="0.25">
      <c r="A1250" s="20" t="s">
        <v>4114</v>
      </c>
      <c r="B1250" s="20" t="s">
        <v>3985</v>
      </c>
    </row>
    <row r="1251" spans="1:2" x14ac:dyDescent="0.25">
      <c r="A1251" s="20">
        <v>448887868</v>
      </c>
      <c r="B1251" s="20" t="s">
        <v>3985</v>
      </c>
    </row>
    <row r="1252" spans="1:2" x14ac:dyDescent="0.25">
      <c r="A1252" s="20" t="s">
        <v>4135</v>
      </c>
      <c r="B1252" s="20" t="s">
        <v>3985</v>
      </c>
    </row>
    <row r="1253" spans="1:2" x14ac:dyDescent="0.25">
      <c r="A1253" s="20" t="s">
        <v>4145</v>
      </c>
      <c r="B1253" s="20" t="s">
        <v>3985</v>
      </c>
    </row>
    <row r="1254" spans="1:2" x14ac:dyDescent="0.25">
      <c r="A1254" s="20">
        <v>448887869</v>
      </c>
      <c r="B1254" s="20" t="s">
        <v>3985</v>
      </c>
    </row>
    <row r="1255" spans="1:2" x14ac:dyDescent="0.25">
      <c r="A1255" s="20">
        <v>448887867</v>
      </c>
      <c r="B1255" s="20" t="s">
        <v>3985</v>
      </c>
    </row>
    <row r="1256" spans="1:2" x14ac:dyDescent="0.25">
      <c r="A1256" s="20" t="s">
        <v>4193</v>
      </c>
      <c r="B1256" s="20" t="s">
        <v>3985</v>
      </c>
    </row>
    <row r="1257" spans="1:2" x14ac:dyDescent="0.25">
      <c r="A1257" s="20" t="s">
        <v>3986</v>
      </c>
      <c r="B1257" s="20" t="s">
        <v>3986</v>
      </c>
    </row>
    <row r="1258" spans="1:2" x14ac:dyDescent="0.25">
      <c r="A1258" s="20" t="s">
        <v>4027</v>
      </c>
      <c r="B1258" s="20" t="s">
        <v>3986</v>
      </c>
    </row>
    <row r="1259" spans="1:2" x14ac:dyDescent="0.25">
      <c r="A1259" s="20" t="s">
        <v>4031</v>
      </c>
      <c r="B1259" s="20" t="s">
        <v>3986</v>
      </c>
    </row>
    <row r="1260" spans="1:2" x14ac:dyDescent="0.25">
      <c r="A1260" s="20" t="s">
        <v>4035</v>
      </c>
      <c r="B1260" s="20" t="s">
        <v>3986</v>
      </c>
    </row>
    <row r="1261" spans="1:2" x14ac:dyDescent="0.25">
      <c r="A1261" s="20" t="s">
        <v>4042</v>
      </c>
      <c r="B1261" s="20" t="s">
        <v>3986</v>
      </c>
    </row>
    <row r="1262" spans="1:2" x14ac:dyDescent="0.25">
      <c r="A1262" s="20">
        <v>424978639</v>
      </c>
      <c r="B1262" s="20" t="s">
        <v>3986</v>
      </c>
    </row>
    <row r="1263" spans="1:2" x14ac:dyDescent="0.25">
      <c r="A1263" s="20">
        <v>387423966</v>
      </c>
      <c r="B1263" s="20" t="s">
        <v>3986</v>
      </c>
    </row>
    <row r="1264" spans="1:2" x14ac:dyDescent="0.25">
      <c r="A1264" s="20" t="s">
        <v>4071</v>
      </c>
      <c r="B1264" s="20" t="s">
        <v>3986</v>
      </c>
    </row>
    <row r="1265" spans="1:2" x14ac:dyDescent="0.25">
      <c r="A1265" s="20" t="s">
        <v>4086</v>
      </c>
      <c r="B1265" s="20" t="s">
        <v>3986</v>
      </c>
    </row>
    <row r="1266" spans="1:2" x14ac:dyDescent="0.25">
      <c r="A1266" s="20" t="s">
        <v>4101</v>
      </c>
      <c r="B1266" s="20" t="s">
        <v>3986</v>
      </c>
    </row>
    <row r="1267" spans="1:2" x14ac:dyDescent="0.25">
      <c r="A1267" s="20" t="s">
        <v>4115</v>
      </c>
      <c r="B1267" s="20" t="s">
        <v>3986</v>
      </c>
    </row>
    <row r="1268" spans="1:2" x14ac:dyDescent="0.25">
      <c r="A1268" s="20" t="s">
        <v>4128</v>
      </c>
      <c r="B1268" s="20" t="s">
        <v>3986</v>
      </c>
    </row>
    <row r="1269" spans="1:2" x14ac:dyDescent="0.25">
      <c r="A1269" s="20">
        <v>-49940061</v>
      </c>
      <c r="B1269" s="20" t="s">
        <v>3986</v>
      </c>
    </row>
    <row r="1270" spans="1:2" x14ac:dyDescent="0.25">
      <c r="A1270" s="20">
        <v>-49940062</v>
      </c>
      <c r="B1270" s="20" t="s">
        <v>3986</v>
      </c>
    </row>
    <row r="1271" spans="1:2" x14ac:dyDescent="0.25">
      <c r="A1271" s="20">
        <v>49940069</v>
      </c>
      <c r="B1271" s="20" t="s">
        <v>3986</v>
      </c>
    </row>
    <row r="1272" spans="1:2" x14ac:dyDescent="0.25">
      <c r="A1272" s="20" t="s">
        <v>4176</v>
      </c>
      <c r="B1272" s="20" t="s">
        <v>3986</v>
      </c>
    </row>
    <row r="1273" spans="1:2" x14ac:dyDescent="0.25">
      <c r="A1273" s="20" t="s">
        <v>4194</v>
      </c>
      <c r="B1273" s="20" t="s">
        <v>3986</v>
      </c>
    </row>
    <row r="1274" spans="1:2" x14ac:dyDescent="0.25">
      <c r="A1274" s="20" t="s">
        <v>4161</v>
      </c>
      <c r="B1274" s="20" t="s">
        <v>3986</v>
      </c>
    </row>
    <row r="1275" spans="1:2" x14ac:dyDescent="0.25">
      <c r="A1275" s="20">
        <v>-423967352</v>
      </c>
      <c r="B1275" s="20" t="s">
        <v>3986</v>
      </c>
    </row>
    <row r="1276" spans="1:2" x14ac:dyDescent="0.25">
      <c r="A1276" s="20" t="s">
        <v>4197</v>
      </c>
      <c r="B1276" s="20" t="s">
        <v>3986</v>
      </c>
    </row>
    <row r="1277" spans="1:2" x14ac:dyDescent="0.25">
      <c r="A1277" s="20" t="s">
        <v>4236</v>
      </c>
      <c r="B1277" s="20" t="s">
        <v>3986</v>
      </c>
    </row>
    <row r="1278" spans="1:2" x14ac:dyDescent="0.25">
      <c r="A1278" s="20" t="s">
        <v>4248</v>
      </c>
      <c r="B1278" s="20" t="s">
        <v>3986</v>
      </c>
    </row>
    <row r="1279" spans="1:2" x14ac:dyDescent="0.25">
      <c r="A1279" s="20" t="s">
        <v>4082</v>
      </c>
      <c r="B1279" s="20" t="s">
        <v>3986</v>
      </c>
    </row>
    <row r="1280" spans="1:2" x14ac:dyDescent="0.25">
      <c r="A1280" s="20">
        <v>12174962</v>
      </c>
      <c r="B1280" s="20" t="s">
        <v>3986</v>
      </c>
    </row>
    <row r="1281" spans="1:2" x14ac:dyDescent="0.25">
      <c r="A1281" s="20" t="s">
        <v>4275</v>
      </c>
      <c r="B1281" s="20" t="s">
        <v>3986</v>
      </c>
    </row>
    <row r="1282" spans="1:2" x14ac:dyDescent="0.25">
      <c r="A1282" s="20" t="s">
        <v>4291</v>
      </c>
      <c r="B1282" s="20" t="s">
        <v>3986</v>
      </c>
    </row>
    <row r="1283" spans="1:2" x14ac:dyDescent="0.25">
      <c r="A1283" s="20" t="s">
        <v>4304</v>
      </c>
      <c r="B1283" s="20" t="s">
        <v>3986</v>
      </c>
    </row>
    <row r="1284" spans="1:2" x14ac:dyDescent="0.25">
      <c r="A1284" s="20" t="s">
        <v>4317</v>
      </c>
      <c r="B1284" s="20" t="s">
        <v>3986</v>
      </c>
    </row>
    <row r="1285" spans="1:2" x14ac:dyDescent="0.25">
      <c r="A1285" s="20" t="s">
        <v>4283</v>
      </c>
      <c r="B1285" s="20" t="s">
        <v>3986</v>
      </c>
    </row>
    <row r="1286" spans="1:2" x14ac:dyDescent="0.25">
      <c r="A1286" s="20">
        <v>377438344</v>
      </c>
      <c r="B1286" s="20" t="s">
        <v>3986</v>
      </c>
    </row>
    <row r="1287" spans="1:2" x14ac:dyDescent="0.25">
      <c r="A1287" s="20" t="s">
        <v>4311</v>
      </c>
      <c r="B1287" s="20" t="s">
        <v>3986</v>
      </c>
    </row>
    <row r="1288" spans="1:2" x14ac:dyDescent="0.25">
      <c r="A1288" s="20" t="s">
        <v>4324</v>
      </c>
      <c r="B1288" s="20" t="s">
        <v>3986</v>
      </c>
    </row>
    <row r="1289" spans="1:2" x14ac:dyDescent="0.25">
      <c r="A1289" s="20" t="s">
        <v>4335</v>
      </c>
      <c r="B1289" s="20" t="s">
        <v>3986</v>
      </c>
    </row>
    <row r="1290" spans="1:2" x14ac:dyDescent="0.25">
      <c r="A1290" s="20" t="s">
        <v>4345</v>
      </c>
      <c r="B1290" s="20" t="s">
        <v>3986</v>
      </c>
    </row>
    <row r="1291" spans="1:2" x14ac:dyDescent="0.25">
      <c r="A1291" s="20" t="s">
        <v>4355</v>
      </c>
      <c r="B1291" s="20" t="s">
        <v>3986</v>
      </c>
    </row>
    <row r="1292" spans="1:2" x14ac:dyDescent="0.25">
      <c r="A1292" s="20" t="s">
        <v>4226</v>
      </c>
      <c r="B1292" s="20" t="s">
        <v>3986</v>
      </c>
    </row>
    <row r="1293" spans="1:2" x14ac:dyDescent="0.25">
      <c r="A1293" s="20" t="s">
        <v>4234</v>
      </c>
      <c r="B1293" s="20" t="s">
        <v>3986</v>
      </c>
    </row>
    <row r="1294" spans="1:2" x14ac:dyDescent="0.25">
      <c r="A1294" s="20" t="s">
        <v>4246</v>
      </c>
      <c r="B1294" s="20" t="s">
        <v>3986</v>
      </c>
    </row>
    <row r="1295" spans="1:2" x14ac:dyDescent="0.25">
      <c r="A1295" s="20" t="s">
        <v>4111</v>
      </c>
      <c r="B1295" s="20" t="s">
        <v>3986</v>
      </c>
    </row>
    <row r="1296" spans="1:2" x14ac:dyDescent="0.25">
      <c r="A1296" s="20" t="s">
        <v>4124</v>
      </c>
      <c r="B1296" s="20" t="s">
        <v>3986</v>
      </c>
    </row>
    <row r="1297" spans="1:2" x14ac:dyDescent="0.25">
      <c r="A1297" s="20" t="s">
        <v>4134</v>
      </c>
      <c r="B1297" s="20" t="s">
        <v>3986</v>
      </c>
    </row>
    <row r="1298" spans="1:2" x14ac:dyDescent="0.25">
      <c r="A1298" s="20" t="s">
        <v>4141</v>
      </c>
      <c r="B1298" s="20" t="s">
        <v>3986</v>
      </c>
    </row>
    <row r="1299" spans="1:2" x14ac:dyDescent="0.25">
      <c r="A1299" s="20" t="s">
        <v>4411</v>
      </c>
      <c r="B1299" s="20" t="s">
        <v>3986</v>
      </c>
    </row>
    <row r="1300" spans="1:2" x14ac:dyDescent="0.25">
      <c r="A1300" s="20" t="s">
        <v>4416</v>
      </c>
      <c r="B1300" s="20" t="s">
        <v>3986</v>
      </c>
    </row>
    <row r="1301" spans="1:2" x14ac:dyDescent="0.25">
      <c r="A1301" s="20" t="s">
        <v>4420</v>
      </c>
      <c r="B1301" s="20" t="s">
        <v>3986</v>
      </c>
    </row>
    <row r="1302" spans="1:2" x14ac:dyDescent="0.25">
      <c r="A1302" s="20" t="s">
        <v>4426</v>
      </c>
      <c r="B1302" s="20" t="s">
        <v>3986</v>
      </c>
    </row>
    <row r="1303" spans="1:2" x14ac:dyDescent="0.25">
      <c r="A1303" s="20" t="s">
        <v>4432</v>
      </c>
      <c r="B1303" s="20" t="s">
        <v>3986</v>
      </c>
    </row>
    <row r="1304" spans="1:2" x14ac:dyDescent="0.25">
      <c r="A1304" s="20" t="s">
        <v>4167</v>
      </c>
      <c r="B1304" s="20" t="s">
        <v>3986</v>
      </c>
    </row>
    <row r="1305" spans="1:2" x14ac:dyDescent="0.25">
      <c r="A1305" s="20" t="s">
        <v>4186</v>
      </c>
      <c r="B1305" s="20" t="s">
        <v>3986</v>
      </c>
    </row>
    <row r="1306" spans="1:2" x14ac:dyDescent="0.25">
      <c r="A1306" s="20">
        <v>134558401</v>
      </c>
      <c r="B1306" s="20" t="s">
        <v>3986</v>
      </c>
    </row>
    <row r="1307" spans="1:2" x14ac:dyDescent="0.25">
      <c r="A1307" s="20">
        <v>134558400</v>
      </c>
      <c r="B1307" s="20" t="s">
        <v>3986</v>
      </c>
    </row>
    <row r="1308" spans="1:2" x14ac:dyDescent="0.25">
      <c r="A1308" s="20" t="s">
        <v>4040</v>
      </c>
      <c r="B1308" s="20" t="s">
        <v>3986</v>
      </c>
    </row>
    <row r="1309" spans="1:2" x14ac:dyDescent="0.25">
      <c r="A1309" s="20" t="s">
        <v>4049</v>
      </c>
      <c r="B1309" s="20" t="s">
        <v>3986</v>
      </c>
    </row>
    <row r="1310" spans="1:2" x14ac:dyDescent="0.25">
      <c r="A1310" s="20">
        <v>313260439</v>
      </c>
      <c r="B1310" s="20" t="s">
        <v>3986</v>
      </c>
    </row>
    <row r="1311" spans="1:2" x14ac:dyDescent="0.25">
      <c r="A1311" s="20">
        <v>424803249</v>
      </c>
      <c r="B1311" s="20" t="s">
        <v>3986</v>
      </c>
    </row>
    <row r="1312" spans="1:2" x14ac:dyDescent="0.25">
      <c r="A1312" s="20" t="s">
        <v>4081</v>
      </c>
      <c r="B1312" s="20" t="s">
        <v>3986</v>
      </c>
    </row>
    <row r="1313" spans="1:2" x14ac:dyDescent="0.25">
      <c r="A1313" s="20" t="s">
        <v>4097</v>
      </c>
      <c r="B1313" s="20" t="s">
        <v>3986</v>
      </c>
    </row>
    <row r="1314" spans="1:2" x14ac:dyDescent="0.25">
      <c r="A1314" s="20">
        <v>423972760</v>
      </c>
      <c r="B1314" s="20" t="s">
        <v>3986</v>
      </c>
    </row>
    <row r="1315" spans="1:2" x14ac:dyDescent="0.25">
      <c r="A1315" s="20" t="s">
        <v>4125</v>
      </c>
      <c r="B1315" s="20" t="s">
        <v>3986</v>
      </c>
    </row>
    <row r="1316" spans="1:2" x14ac:dyDescent="0.25">
      <c r="A1316" s="20" t="s">
        <v>3987</v>
      </c>
      <c r="B1316" s="20" t="s">
        <v>3987</v>
      </c>
    </row>
    <row r="1317" spans="1:2" x14ac:dyDescent="0.25">
      <c r="A1317" s="20" t="s">
        <v>4027</v>
      </c>
      <c r="B1317" s="20" t="s">
        <v>3987</v>
      </c>
    </row>
    <row r="1318" spans="1:2" x14ac:dyDescent="0.25">
      <c r="A1318" s="20" t="s">
        <v>4031</v>
      </c>
      <c r="B1318" s="20" t="s">
        <v>3987</v>
      </c>
    </row>
    <row r="1319" spans="1:2" x14ac:dyDescent="0.25">
      <c r="A1319" s="20" t="s">
        <v>4035</v>
      </c>
      <c r="B1319" s="20" t="s">
        <v>3987</v>
      </c>
    </row>
    <row r="1320" spans="1:2" x14ac:dyDescent="0.25">
      <c r="A1320" s="20" t="s">
        <v>4043</v>
      </c>
      <c r="B1320" s="20" t="s">
        <v>3987</v>
      </c>
    </row>
    <row r="1321" spans="1:2" x14ac:dyDescent="0.25">
      <c r="A1321" s="20" t="s">
        <v>4052</v>
      </c>
      <c r="B1321" s="20" t="s">
        <v>3987</v>
      </c>
    </row>
    <row r="1322" spans="1:2" x14ac:dyDescent="0.25">
      <c r="A1322" s="20" t="s">
        <v>4062</v>
      </c>
      <c r="B1322" s="20" t="s">
        <v>3987</v>
      </c>
    </row>
    <row r="1323" spans="1:2" x14ac:dyDescent="0.25">
      <c r="A1323" s="20" t="s">
        <v>4051</v>
      </c>
      <c r="B1323" s="20" t="s">
        <v>3987</v>
      </c>
    </row>
    <row r="1324" spans="1:2" x14ac:dyDescent="0.25">
      <c r="A1324" s="20" t="s">
        <v>4087</v>
      </c>
      <c r="B1324" s="20" t="s">
        <v>3987</v>
      </c>
    </row>
    <row r="1325" spans="1:2" x14ac:dyDescent="0.25">
      <c r="A1325" s="20" t="s">
        <v>4102</v>
      </c>
      <c r="B1325" s="20" t="s">
        <v>3987</v>
      </c>
    </row>
    <row r="1326" spans="1:2" x14ac:dyDescent="0.25">
      <c r="A1326" s="20" t="s">
        <v>4116</v>
      </c>
      <c r="B1326" s="20" t="s">
        <v>3987</v>
      </c>
    </row>
    <row r="1327" spans="1:2" x14ac:dyDescent="0.25">
      <c r="A1327" s="20">
        <v>486653628</v>
      </c>
      <c r="B1327" s="20" t="s">
        <v>3987</v>
      </c>
    </row>
    <row r="1328" spans="1:2" x14ac:dyDescent="0.25">
      <c r="A1328" s="20">
        <v>43117623</v>
      </c>
      <c r="B1328" s="20" t="s">
        <v>3987</v>
      </c>
    </row>
    <row r="1329" spans="1:2" x14ac:dyDescent="0.25">
      <c r="A1329" s="20" t="s">
        <v>4146</v>
      </c>
      <c r="B1329" s="20" t="s">
        <v>3987</v>
      </c>
    </row>
    <row r="1330" spans="1:2" x14ac:dyDescent="0.25">
      <c r="A1330" s="20">
        <v>-12174962</v>
      </c>
      <c r="B1330" s="20" t="s">
        <v>3987</v>
      </c>
    </row>
    <row r="1331" spans="1:2" x14ac:dyDescent="0.25">
      <c r="A1331" s="20" t="s">
        <v>4177</v>
      </c>
      <c r="B1331" s="20" t="s">
        <v>3987</v>
      </c>
    </row>
    <row r="1332" spans="1:2" x14ac:dyDescent="0.25">
      <c r="A1332" s="20" t="s">
        <v>4195</v>
      </c>
      <c r="B1332" s="20" t="s">
        <v>3987</v>
      </c>
    </row>
    <row r="1333" spans="1:2" x14ac:dyDescent="0.25">
      <c r="A1333" s="20" t="s">
        <v>4209</v>
      </c>
      <c r="B1333" s="20" t="s">
        <v>3987</v>
      </c>
    </row>
    <row r="1334" spans="1:2" x14ac:dyDescent="0.25">
      <c r="A1334" s="20">
        <v>-377438344</v>
      </c>
      <c r="B1334" s="20" t="s">
        <v>3987</v>
      </c>
    </row>
    <row r="1335" spans="1:2" x14ac:dyDescent="0.25">
      <c r="A1335" s="20" t="s">
        <v>4228</v>
      </c>
      <c r="B1335" s="20" t="s">
        <v>3987</v>
      </c>
    </row>
    <row r="1336" spans="1:2" x14ac:dyDescent="0.25">
      <c r="A1336" s="20" t="s">
        <v>4237</v>
      </c>
      <c r="B1336" s="20" t="s">
        <v>3987</v>
      </c>
    </row>
    <row r="1337" spans="1:2" x14ac:dyDescent="0.25">
      <c r="A1337" s="20" t="s">
        <v>4249</v>
      </c>
      <c r="B1337" s="20" t="s">
        <v>3987</v>
      </c>
    </row>
    <row r="1338" spans="1:2" x14ac:dyDescent="0.25">
      <c r="A1338" s="20" t="s">
        <v>4258</v>
      </c>
      <c r="B1338" s="20" t="s">
        <v>3987</v>
      </c>
    </row>
    <row r="1339" spans="1:2" x14ac:dyDescent="0.25">
      <c r="A1339" s="20" t="s">
        <v>4266</v>
      </c>
      <c r="B1339" s="20" t="s">
        <v>3987</v>
      </c>
    </row>
    <row r="1340" spans="1:2" x14ac:dyDescent="0.25">
      <c r="A1340" s="20" t="s">
        <v>4276</v>
      </c>
      <c r="B1340" s="20" t="s">
        <v>3987</v>
      </c>
    </row>
    <row r="1341" spans="1:2" x14ac:dyDescent="0.25">
      <c r="A1341" s="20" t="s">
        <v>4292</v>
      </c>
      <c r="B1341" s="20" t="s">
        <v>3987</v>
      </c>
    </row>
    <row r="1342" spans="1:2" x14ac:dyDescent="0.25">
      <c r="A1342" s="20" t="s">
        <v>4305</v>
      </c>
      <c r="B1342" s="20" t="s">
        <v>3987</v>
      </c>
    </row>
    <row r="1343" spans="1:2" x14ac:dyDescent="0.25">
      <c r="A1343" s="20">
        <v>-12143825</v>
      </c>
      <c r="B1343" s="20" t="s">
        <v>3987</v>
      </c>
    </row>
    <row r="1344" spans="1:2" x14ac:dyDescent="0.25">
      <c r="A1344" s="20" t="s">
        <v>4329</v>
      </c>
      <c r="B1344" s="20" t="s">
        <v>3987</v>
      </c>
    </row>
    <row r="1345" spans="1:2" x14ac:dyDescent="0.25">
      <c r="A1345" s="20" t="s">
        <v>4339</v>
      </c>
      <c r="B1345" s="20" t="s">
        <v>3987</v>
      </c>
    </row>
    <row r="1346" spans="1:2" x14ac:dyDescent="0.25">
      <c r="A1346" s="20" t="s">
        <v>4349</v>
      </c>
      <c r="B1346" s="20" t="s">
        <v>3987</v>
      </c>
    </row>
    <row r="1347" spans="1:2" x14ac:dyDescent="0.25">
      <c r="A1347" s="20" t="s">
        <v>4358</v>
      </c>
      <c r="B1347" s="20" t="s">
        <v>3987</v>
      </c>
    </row>
    <row r="1348" spans="1:2" x14ac:dyDescent="0.25">
      <c r="A1348" s="20" t="s">
        <v>4366</v>
      </c>
      <c r="B1348" s="20" t="s">
        <v>3987</v>
      </c>
    </row>
    <row r="1349" spans="1:2" x14ac:dyDescent="0.25">
      <c r="A1349" s="20" t="s">
        <v>4372</v>
      </c>
      <c r="B1349" s="20" t="s">
        <v>3987</v>
      </c>
    </row>
    <row r="1350" spans="1:2" x14ac:dyDescent="0.25">
      <c r="A1350" s="20" t="s">
        <v>4380</v>
      </c>
      <c r="B1350" s="20" t="s">
        <v>3987</v>
      </c>
    </row>
    <row r="1351" spans="1:2" x14ac:dyDescent="0.25">
      <c r="A1351" s="20" t="s">
        <v>4388</v>
      </c>
      <c r="B1351" s="20" t="s">
        <v>3987</v>
      </c>
    </row>
    <row r="1352" spans="1:2" x14ac:dyDescent="0.25">
      <c r="A1352" s="20">
        <v>165303424</v>
      </c>
      <c r="B1352" s="20" t="s">
        <v>3987</v>
      </c>
    </row>
    <row r="1353" spans="1:2" x14ac:dyDescent="0.25">
      <c r="A1353" s="20" t="s">
        <v>4402</v>
      </c>
      <c r="B1353" s="20" t="s">
        <v>3987</v>
      </c>
    </row>
    <row r="1354" spans="1:2" x14ac:dyDescent="0.25">
      <c r="A1354" s="20" t="s">
        <v>4408</v>
      </c>
      <c r="B1354" s="20" t="s">
        <v>3987</v>
      </c>
    </row>
    <row r="1355" spans="1:2" x14ac:dyDescent="0.25">
      <c r="A1355" s="20" t="s">
        <v>4413</v>
      </c>
      <c r="B1355" s="20" t="s">
        <v>3987</v>
      </c>
    </row>
    <row r="1356" spans="1:2" x14ac:dyDescent="0.25">
      <c r="A1356" s="20" t="s">
        <v>4417</v>
      </c>
      <c r="B1356" s="20" t="s">
        <v>3987</v>
      </c>
    </row>
    <row r="1357" spans="1:2" x14ac:dyDescent="0.25">
      <c r="A1357" s="20" t="s">
        <v>4422</v>
      </c>
      <c r="B1357" s="20" t="s">
        <v>3987</v>
      </c>
    </row>
    <row r="1358" spans="1:2" x14ac:dyDescent="0.25">
      <c r="A1358" s="20" t="s">
        <v>4428</v>
      </c>
      <c r="B1358" s="20" t="s">
        <v>3987</v>
      </c>
    </row>
    <row r="1359" spans="1:2" x14ac:dyDescent="0.25">
      <c r="A1359" s="20" t="s">
        <v>3988</v>
      </c>
      <c r="B1359" s="20" t="s">
        <v>3988</v>
      </c>
    </row>
    <row r="1360" spans="1:2" x14ac:dyDescent="0.25">
      <c r="A1360" s="20" t="s">
        <v>4027</v>
      </c>
      <c r="B1360" s="20" t="s">
        <v>3988</v>
      </c>
    </row>
    <row r="1361" spans="1:2" x14ac:dyDescent="0.25">
      <c r="A1361" s="20" t="s">
        <v>4031</v>
      </c>
      <c r="B1361" s="20" t="s">
        <v>3988</v>
      </c>
    </row>
    <row r="1362" spans="1:2" x14ac:dyDescent="0.25">
      <c r="A1362" s="20" t="s">
        <v>4035</v>
      </c>
      <c r="B1362" s="20" t="s">
        <v>3988</v>
      </c>
    </row>
    <row r="1363" spans="1:2" x14ac:dyDescent="0.25">
      <c r="A1363" s="20" t="s">
        <v>4043</v>
      </c>
      <c r="B1363" s="20" t="s">
        <v>3988</v>
      </c>
    </row>
    <row r="1364" spans="1:2" x14ac:dyDescent="0.25">
      <c r="A1364" s="20" t="s">
        <v>4052</v>
      </c>
      <c r="B1364" s="20" t="s">
        <v>3988</v>
      </c>
    </row>
    <row r="1365" spans="1:2" x14ac:dyDescent="0.25">
      <c r="A1365" s="20" t="s">
        <v>4062</v>
      </c>
      <c r="B1365" s="20" t="s">
        <v>3988</v>
      </c>
    </row>
    <row r="1366" spans="1:2" x14ac:dyDescent="0.25">
      <c r="A1366" s="20" t="s">
        <v>4051</v>
      </c>
      <c r="B1366" s="20" t="s">
        <v>3988</v>
      </c>
    </row>
    <row r="1367" spans="1:2" x14ac:dyDescent="0.25">
      <c r="A1367" s="20" t="s">
        <v>4087</v>
      </c>
      <c r="B1367" s="20" t="s">
        <v>3988</v>
      </c>
    </row>
    <row r="1368" spans="1:2" x14ac:dyDescent="0.25">
      <c r="A1368" s="20" t="s">
        <v>4102</v>
      </c>
      <c r="B1368" s="20" t="s">
        <v>3988</v>
      </c>
    </row>
    <row r="1369" spans="1:2" x14ac:dyDescent="0.25">
      <c r="A1369" s="20" t="s">
        <v>4116</v>
      </c>
      <c r="B1369" s="20" t="s">
        <v>3988</v>
      </c>
    </row>
    <row r="1370" spans="1:2" x14ac:dyDescent="0.25">
      <c r="A1370" s="20">
        <v>486653628</v>
      </c>
      <c r="B1370" s="20" t="s">
        <v>3988</v>
      </c>
    </row>
    <row r="1371" spans="1:2" x14ac:dyDescent="0.25">
      <c r="A1371" s="20">
        <v>43117623</v>
      </c>
      <c r="B1371" s="20" t="s">
        <v>3988</v>
      </c>
    </row>
    <row r="1372" spans="1:2" x14ac:dyDescent="0.25">
      <c r="A1372" s="20" t="s">
        <v>3989</v>
      </c>
      <c r="B1372" s="20" t="s">
        <v>3989</v>
      </c>
    </row>
    <row r="1373" spans="1:2" x14ac:dyDescent="0.25">
      <c r="A1373" s="20" t="s">
        <v>4027</v>
      </c>
      <c r="B1373" s="20" t="s">
        <v>3989</v>
      </c>
    </row>
    <row r="1374" spans="1:2" x14ac:dyDescent="0.25">
      <c r="A1374" s="20" t="s">
        <v>4031</v>
      </c>
      <c r="B1374" s="20" t="s">
        <v>3989</v>
      </c>
    </row>
    <row r="1375" spans="1:2" x14ac:dyDescent="0.25">
      <c r="A1375" s="20" t="s">
        <v>4036</v>
      </c>
      <c r="B1375" s="20" t="s">
        <v>3989</v>
      </c>
    </row>
    <row r="1376" spans="1:2" x14ac:dyDescent="0.25">
      <c r="A1376" s="20" t="s">
        <v>4044</v>
      </c>
      <c r="B1376" s="20" t="s">
        <v>3989</v>
      </c>
    </row>
    <row r="1377" spans="1:2" x14ac:dyDescent="0.25">
      <c r="A1377" s="20" t="s">
        <v>4053</v>
      </c>
      <c r="B1377" s="20" t="s">
        <v>3989</v>
      </c>
    </row>
    <row r="1378" spans="1:2" x14ac:dyDescent="0.25">
      <c r="A1378" s="20" t="s">
        <v>4063</v>
      </c>
      <c r="B1378" s="20" t="s">
        <v>3989</v>
      </c>
    </row>
    <row r="1379" spans="1:2" x14ac:dyDescent="0.25">
      <c r="A1379" s="20" t="s">
        <v>4072</v>
      </c>
      <c r="B1379" s="20" t="s">
        <v>3989</v>
      </c>
    </row>
    <row r="1380" spans="1:2" x14ac:dyDescent="0.25">
      <c r="A1380" s="20" t="s">
        <v>4088</v>
      </c>
      <c r="B1380" s="20" t="s">
        <v>3989</v>
      </c>
    </row>
    <row r="1381" spans="1:2" x14ac:dyDescent="0.25">
      <c r="A1381" s="20" t="s">
        <v>4103</v>
      </c>
      <c r="B1381" s="20" t="s">
        <v>3989</v>
      </c>
    </row>
    <row r="1382" spans="1:2" x14ac:dyDescent="0.25">
      <c r="A1382" s="20">
        <v>-197974065</v>
      </c>
      <c r="B1382" s="20" t="s">
        <v>3989</v>
      </c>
    </row>
    <row r="1383" spans="1:2" x14ac:dyDescent="0.25">
      <c r="A1383" s="20" t="s">
        <v>4129</v>
      </c>
      <c r="B1383" s="20" t="s">
        <v>3989</v>
      </c>
    </row>
    <row r="1384" spans="1:2" x14ac:dyDescent="0.25">
      <c r="A1384" s="20" t="s">
        <v>4136</v>
      </c>
      <c r="B1384" s="20" t="s">
        <v>3989</v>
      </c>
    </row>
    <row r="1385" spans="1:2" x14ac:dyDescent="0.25">
      <c r="A1385" s="20" t="s">
        <v>4147</v>
      </c>
      <c r="B1385" s="20" t="s">
        <v>3989</v>
      </c>
    </row>
    <row r="1386" spans="1:2" x14ac:dyDescent="0.25">
      <c r="A1386" s="20">
        <v>145818800</v>
      </c>
      <c r="B1386" s="20" t="s">
        <v>3989</v>
      </c>
    </row>
    <row r="1387" spans="1:2" x14ac:dyDescent="0.25">
      <c r="A1387" s="20" t="s">
        <v>4178</v>
      </c>
      <c r="B1387" s="20" t="s">
        <v>3989</v>
      </c>
    </row>
    <row r="1388" spans="1:2" x14ac:dyDescent="0.25">
      <c r="A1388" s="20" t="s">
        <v>4146</v>
      </c>
      <c r="B1388" s="20" t="s">
        <v>3989</v>
      </c>
    </row>
    <row r="1389" spans="1:2" x14ac:dyDescent="0.25">
      <c r="A1389" s="20">
        <v>-12174962</v>
      </c>
      <c r="B1389" s="20" t="s">
        <v>3989</v>
      </c>
    </row>
    <row r="1390" spans="1:2" x14ac:dyDescent="0.25">
      <c r="A1390" s="20" t="s">
        <v>4177</v>
      </c>
      <c r="B1390" s="20" t="s">
        <v>3989</v>
      </c>
    </row>
    <row r="1391" spans="1:2" x14ac:dyDescent="0.25">
      <c r="A1391" s="20" t="s">
        <v>4195</v>
      </c>
      <c r="B1391" s="20" t="s">
        <v>3989</v>
      </c>
    </row>
    <row r="1392" spans="1:2" x14ac:dyDescent="0.25">
      <c r="A1392" s="20" t="s">
        <v>4209</v>
      </c>
      <c r="B1392" s="20" t="s">
        <v>3989</v>
      </c>
    </row>
    <row r="1393" spans="1:2" x14ac:dyDescent="0.25">
      <c r="A1393" s="20">
        <v>-377438344</v>
      </c>
      <c r="B1393" s="20" t="s">
        <v>3989</v>
      </c>
    </row>
    <row r="1394" spans="1:2" x14ac:dyDescent="0.25">
      <c r="A1394" s="20" t="s">
        <v>4228</v>
      </c>
      <c r="B1394" s="20" t="s">
        <v>3989</v>
      </c>
    </row>
    <row r="1395" spans="1:2" x14ac:dyDescent="0.25">
      <c r="A1395" s="20" t="s">
        <v>4237</v>
      </c>
      <c r="B1395" s="20" t="s">
        <v>3989</v>
      </c>
    </row>
    <row r="1396" spans="1:2" x14ac:dyDescent="0.25">
      <c r="A1396" s="20" t="s">
        <v>4249</v>
      </c>
      <c r="B1396" s="20" t="s">
        <v>3989</v>
      </c>
    </row>
    <row r="1397" spans="1:2" x14ac:dyDescent="0.25">
      <c r="A1397" s="20" t="s">
        <v>4258</v>
      </c>
      <c r="B1397" s="20" t="s">
        <v>3989</v>
      </c>
    </row>
    <row r="1398" spans="1:2" x14ac:dyDescent="0.25">
      <c r="A1398" s="20" t="s">
        <v>4266</v>
      </c>
      <c r="B1398" s="20" t="s">
        <v>3989</v>
      </c>
    </row>
    <row r="1399" spans="1:2" x14ac:dyDescent="0.25">
      <c r="A1399" s="20" t="s">
        <v>4276</v>
      </c>
      <c r="B1399" s="20" t="s">
        <v>3989</v>
      </c>
    </row>
    <row r="1400" spans="1:2" x14ac:dyDescent="0.25">
      <c r="A1400" s="20" t="s">
        <v>4292</v>
      </c>
      <c r="B1400" s="20" t="s">
        <v>3989</v>
      </c>
    </row>
    <row r="1401" spans="1:2" x14ac:dyDescent="0.25">
      <c r="A1401" s="20" t="s">
        <v>4305</v>
      </c>
      <c r="B1401" s="20" t="s">
        <v>3989</v>
      </c>
    </row>
    <row r="1402" spans="1:2" x14ac:dyDescent="0.25">
      <c r="A1402" s="20">
        <v>-12143825</v>
      </c>
      <c r="B1402" s="20" t="s">
        <v>3989</v>
      </c>
    </row>
    <row r="1403" spans="1:2" x14ac:dyDescent="0.25">
      <c r="A1403" s="20" t="s">
        <v>4329</v>
      </c>
      <c r="B1403" s="20" t="s">
        <v>3989</v>
      </c>
    </row>
    <row r="1404" spans="1:2" x14ac:dyDescent="0.25">
      <c r="A1404" s="20" t="s">
        <v>4339</v>
      </c>
      <c r="B1404" s="20" t="s">
        <v>3989</v>
      </c>
    </row>
    <row r="1405" spans="1:2" x14ac:dyDescent="0.25">
      <c r="A1405" s="20" t="s">
        <v>4349</v>
      </c>
      <c r="B1405" s="20" t="s">
        <v>3989</v>
      </c>
    </row>
    <row r="1406" spans="1:2" x14ac:dyDescent="0.25">
      <c r="A1406" s="20" t="s">
        <v>4358</v>
      </c>
      <c r="B1406" s="20" t="s">
        <v>3989</v>
      </c>
    </row>
    <row r="1407" spans="1:2" x14ac:dyDescent="0.25">
      <c r="A1407" s="20" t="s">
        <v>4366</v>
      </c>
      <c r="B1407" s="20" t="s">
        <v>3989</v>
      </c>
    </row>
    <row r="1408" spans="1:2" x14ac:dyDescent="0.25">
      <c r="A1408" s="20" t="s">
        <v>4372</v>
      </c>
      <c r="B1408" s="20" t="s">
        <v>3989</v>
      </c>
    </row>
    <row r="1409" spans="1:2" x14ac:dyDescent="0.25">
      <c r="A1409" s="20" t="s">
        <v>4380</v>
      </c>
      <c r="B1409" s="20" t="s">
        <v>3989</v>
      </c>
    </row>
    <row r="1410" spans="1:2" x14ac:dyDescent="0.25">
      <c r="A1410" s="20" t="s">
        <v>4388</v>
      </c>
      <c r="B1410" s="20" t="s">
        <v>3989</v>
      </c>
    </row>
    <row r="1411" spans="1:2" x14ac:dyDescent="0.25">
      <c r="A1411" s="20">
        <v>165303424</v>
      </c>
      <c r="B1411" s="20" t="s">
        <v>3989</v>
      </c>
    </row>
    <row r="1412" spans="1:2" x14ac:dyDescent="0.25">
      <c r="A1412" s="20" t="s">
        <v>4402</v>
      </c>
      <c r="B1412" s="20" t="s">
        <v>3989</v>
      </c>
    </row>
    <row r="1413" spans="1:2" x14ac:dyDescent="0.25">
      <c r="A1413" s="20" t="s">
        <v>4408</v>
      </c>
      <c r="B1413" s="20" t="s">
        <v>3989</v>
      </c>
    </row>
    <row r="1414" spans="1:2" x14ac:dyDescent="0.25">
      <c r="A1414" s="20" t="s">
        <v>4413</v>
      </c>
      <c r="B1414" s="20" t="s">
        <v>3989</v>
      </c>
    </row>
    <row r="1415" spans="1:2" x14ac:dyDescent="0.25">
      <c r="A1415" s="20" t="s">
        <v>4417</v>
      </c>
      <c r="B1415" s="20" t="s">
        <v>3989</v>
      </c>
    </row>
    <row r="1416" spans="1:2" x14ac:dyDescent="0.25">
      <c r="A1416" s="20" t="s">
        <v>4422</v>
      </c>
      <c r="B1416" s="20" t="s">
        <v>3989</v>
      </c>
    </row>
    <row r="1417" spans="1:2" x14ac:dyDescent="0.25">
      <c r="A1417" s="20" t="s">
        <v>4428</v>
      </c>
      <c r="B1417" s="20" t="s">
        <v>3989</v>
      </c>
    </row>
    <row r="1418" spans="1:2" x14ac:dyDescent="0.25">
      <c r="A1418" s="20" t="s">
        <v>3990</v>
      </c>
      <c r="B1418" s="20" t="s">
        <v>3990</v>
      </c>
    </row>
    <row r="1419" spans="1:2" x14ac:dyDescent="0.25">
      <c r="A1419" s="20" t="s">
        <v>4027</v>
      </c>
      <c r="B1419" s="20" t="s">
        <v>3990</v>
      </c>
    </row>
    <row r="1420" spans="1:2" x14ac:dyDescent="0.25">
      <c r="A1420" s="20" t="s">
        <v>4031</v>
      </c>
      <c r="B1420" s="20" t="s">
        <v>3990</v>
      </c>
    </row>
    <row r="1421" spans="1:2" x14ac:dyDescent="0.25">
      <c r="A1421" s="20" t="s">
        <v>4036</v>
      </c>
      <c r="B1421" s="20" t="s">
        <v>3990</v>
      </c>
    </row>
    <row r="1422" spans="1:2" x14ac:dyDescent="0.25">
      <c r="A1422" s="20" t="s">
        <v>4044</v>
      </c>
      <c r="B1422" s="20" t="s">
        <v>3990</v>
      </c>
    </row>
    <row r="1423" spans="1:2" x14ac:dyDescent="0.25">
      <c r="A1423" s="20" t="s">
        <v>4054</v>
      </c>
      <c r="B1423" s="20" t="s">
        <v>3990</v>
      </c>
    </row>
    <row r="1424" spans="1:2" x14ac:dyDescent="0.25">
      <c r="A1424" s="20" t="s">
        <v>4064</v>
      </c>
      <c r="B1424" s="20" t="s">
        <v>3990</v>
      </c>
    </row>
    <row r="1425" spans="1:2" x14ac:dyDescent="0.25">
      <c r="A1425" s="20">
        <v>424978644</v>
      </c>
      <c r="B1425" s="20" t="s">
        <v>3990</v>
      </c>
    </row>
    <row r="1426" spans="1:2" x14ac:dyDescent="0.25">
      <c r="A1426" s="20" t="s">
        <v>4089</v>
      </c>
      <c r="B1426" s="20" t="s">
        <v>3990</v>
      </c>
    </row>
    <row r="1427" spans="1:2" x14ac:dyDescent="0.25">
      <c r="A1427" s="20" t="s">
        <v>4104</v>
      </c>
      <c r="B1427" s="20" t="s">
        <v>3990</v>
      </c>
    </row>
    <row r="1428" spans="1:2" x14ac:dyDescent="0.25">
      <c r="A1428" s="20" t="s">
        <v>4115</v>
      </c>
      <c r="B1428" s="20" t="s">
        <v>3990</v>
      </c>
    </row>
    <row r="1429" spans="1:2" x14ac:dyDescent="0.25">
      <c r="A1429" s="20" t="s">
        <v>4128</v>
      </c>
      <c r="B1429" s="20" t="s">
        <v>3990</v>
      </c>
    </row>
    <row r="1430" spans="1:2" x14ac:dyDescent="0.25">
      <c r="A1430" s="20">
        <v>-49940061</v>
      </c>
      <c r="B1430" s="20" t="s">
        <v>3990</v>
      </c>
    </row>
    <row r="1431" spans="1:2" x14ac:dyDescent="0.25">
      <c r="A1431" s="20">
        <v>-49940062</v>
      </c>
      <c r="B1431" s="20" t="s">
        <v>3990</v>
      </c>
    </row>
    <row r="1432" spans="1:2" x14ac:dyDescent="0.25">
      <c r="A1432" s="20">
        <v>49940069</v>
      </c>
      <c r="B1432" s="20" t="s">
        <v>3990</v>
      </c>
    </row>
    <row r="1433" spans="1:2" x14ac:dyDescent="0.25">
      <c r="A1433" s="20" t="s">
        <v>4176</v>
      </c>
      <c r="B1433" s="20" t="s">
        <v>3990</v>
      </c>
    </row>
    <row r="1434" spans="1:2" x14ac:dyDescent="0.25">
      <c r="A1434" s="20" t="s">
        <v>4194</v>
      </c>
      <c r="B1434" s="20" t="s">
        <v>3990</v>
      </c>
    </row>
    <row r="1435" spans="1:2" x14ac:dyDescent="0.25">
      <c r="A1435" s="20" t="s">
        <v>4161</v>
      </c>
      <c r="B1435" s="20" t="s">
        <v>3990</v>
      </c>
    </row>
    <row r="1436" spans="1:2" x14ac:dyDescent="0.25">
      <c r="A1436" s="20">
        <v>-423967352</v>
      </c>
      <c r="B1436" s="20" t="s">
        <v>3990</v>
      </c>
    </row>
    <row r="1437" spans="1:2" x14ac:dyDescent="0.25">
      <c r="A1437" s="20" t="s">
        <v>4197</v>
      </c>
      <c r="B1437" s="20" t="s">
        <v>3990</v>
      </c>
    </row>
    <row r="1438" spans="1:2" x14ac:dyDescent="0.25">
      <c r="A1438" s="20" t="s">
        <v>4236</v>
      </c>
      <c r="B1438" s="20" t="s">
        <v>3990</v>
      </c>
    </row>
    <row r="1439" spans="1:2" x14ac:dyDescent="0.25">
      <c r="A1439" s="20" t="s">
        <v>4248</v>
      </c>
      <c r="B1439" s="20" t="s">
        <v>3990</v>
      </c>
    </row>
    <row r="1440" spans="1:2" x14ac:dyDescent="0.25">
      <c r="A1440" s="20" t="s">
        <v>4082</v>
      </c>
      <c r="B1440" s="20" t="s">
        <v>3990</v>
      </c>
    </row>
    <row r="1441" spans="1:2" x14ac:dyDescent="0.25">
      <c r="A1441" s="20">
        <v>12174962</v>
      </c>
      <c r="B1441" s="20" t="s">
        <v>3990</v>
      </c>
    </row>
    <row r="1442" spans="1:2" x14ac:dyDescent="0.25">
      <c r="A1442" s="20" t="s">
        <v>4275</v>
      </c>
      <c r="B1442" s="20" t="s">
        <v>3990</v>
      </c>
    </row>
    <row r="1443" spans="1:2" x14ac:dyDescent="0.25">
      <c r="A1443" s="20" t="s">
        <v>4291</v>
      </c>
      <c r="B1443" s="20" t="s">
        <v>3990</v>
      </c>
    </row>
    <row r="1444" spans="1:2" x14ac:dyDescent="0.25">
      <c r="A1444" s="20" t="s">
        <v>4304</v>
      </c>
      <c r="B1444" s="20" t="s">
        <v>3990</v>
      </c>
    </row>
    <row r="1445" spans="1:2" x14ac:dyDescent="0.25">
      <c r="A1445" s="20" t="s">
        <v>4317</v>
      </c>
      <c r="B1445" s="20" t="s">
        <v>3990</v>
      </c>
    </row>
    <row r="1446" spans="1:2" x14ac:dyDescent="0.25">
      <c r="A1446" s="20" t="s">
        <v>4283</v>
      </c>
      <c r="B1446" s="20" t="s">
        <v>3990</v>
      </c>
    </row>
    <row r="1447" spans="1:2" x14ac:dyDescent="0.25">
      <c r="A1447" s="20">
        <v>377438344</v>
      </c>
      <c r="B1447" s="20" t="s">
        <v>3990</v>
      </c>
    </row>
    <row r="1448" spans="1:2" x14ac:dyDescent="0.25">
      <c r="A1448" s="20" t="s">
        <v>4311</v>
      </c>
      <c r="B1448" s="20" t="s">
        <v>3990</v>
      </c>
    </row>
    <row r="1449" spans="1:2" x14ac:dyDescent="0.25">
      <c r="A1449" s="20" t="s">
        <v>4324</v>
      </c>
      <c r="B1449" s="20" t="s">
        <v>3990</v>
      </c>
    </row>
    <row r="1450" spans="1:2" x14ac:dyDescent="0.25">
      <c r="A1450" s="20" t="s">
        <v>4335</v>
      </c>
      <c r="B1450" s="20" t="s">
        <v>3990</v>
      </c>
    </row>
    <row r="1451" spans="1:2" x14ac:dyDescent="0.25">
      <c r="A1451" s="20" t="s">
        <v>4345</v>
      </c>
      <c r="B1451" s="20" t="s">
        <v>3990</v>
      </c>
    </row>
    <row r="1452" spans="1:2" x14ac:dyDescent="0.25">
      <c r="A1452" s="20" t="s">
        <v>4355</v>
      </c>
      <c r="B1452" s="20" t="s">
        <v>3990</v>
      </c>
    </row>
    <row r="1453" spans="1:2" x14ac:dyDescent="0.25">
      <c r="A1453" s="20" t="s">
        <v>4226</v>
      </c>
      <c r="B1453" s="20" t="s">
        <v>3990</v>
      </c>
    </row>
    <row r="1454" spans="1:2" x14ac:dyDescent="0.25">
      <c r="A1454" s="20" t="s">
        <v>4234</v>
      </c>
      <c r="B1454" s="20" t="s">
        <v>3990</v>
      </c>
    </row>
    <row r="1455" spans="1:2" x14ac:dyDescent="0.25">
      <c r="A1455" s="20" t="s">
        <v>4246</v>
      </c>
      <c r="B1455" s="20" t="s">
        <v>3990</v>
      </c>
    </row>
    <row r="1456" spans="1:2" x14ac:dyDescent="0.25">
      <c r="A1456" s="20" t="s">
        <v>4111</v>
      </c>
      <c r="B1456" s="20" t="s">
        <v>3990</v>
      </c>
    </row>
    <row r="1457" spans="1:2" x14ac:dyDescent="0.25">
      <c r="A1457" s="20" t="s">
        <v>4124</v>
      </c>
      <c r="B1457" s="20" t="s">
        <v>3990</v>
      </c>
    </row>
    <row r="1458" spans="1:2" x14ac:dyDescent="0.25">
      <c r="A1458" s="20" t="s">
        <v>4134</v>
      </c>
      <c r="B1458" s="20" t="s">
        <v>3990</v>
      </c>
    </row>
    <row r="1459" spans="1:2" x14ac:dyDescent="0.25">
      <c r="A1459" s="20" t="s">
        <v>4141</v>
      </c>
      <c r="B1459" s="20" t="s">
        <v>3990</v>
      </c>
    </row>
    <row r="1460" spans="1:2" x14ac:dyDescent="0.25">
      <c r="A1460" s="20" t="s">
        <v>4411</v>
      </c>
      <c r="B1460" s="20" t="s">
        <v>3990</v>
      </c>
    </row>
    <row r="1461" spans="1:2" x14ac:dyDescent="0.25">
      <c r="A1461" s="20" t="s">
        <v>4416</v>
      </c>
      <c r="B1461" s="20" t="s">
        <v>3990</v>
      </c>
    </row>
    <row r="1462" spans="1:2" x14ac:dyDescent="0.25">
      <c r="A1462" s="20" t="s">
        <v>4420</v>
      </c>
      <c r="B1462" s="20" t="s">
        <v>3990</v>
      </c>
    </row>
    <row r="1463" spans="1:2" x14ac:dyDescent="0.25">
      <c r="A1463" s="20" t="s">
        <v>4426</v>
      </c>
      <c r="B1463" s="20" t="s">
        <v>3990</v>
      </c>
    </row>
    <row r="1464" spans="1:2" x14ac:dyDescent="0.25">
      <c r="A1464" s="20" t="s">
        <v>4432</v>
      </c>
      <c r="B1464" s="20" t="s">
        <v>3990</v>
      </c>
    </row>
    <row r="1465" spans="1:2" x14ac:dyDescent="0.25">
      <c r="A1465" s="20" t="s">
        <v>4167</v>
      </c>
      <c r="B1465" s="20" t="s">
        <v>3990</v>
      </c>
    </row>
    <row r="1466" spans="1:2" x14ac:dyDescent="0.25">
      <c r="A1466" s="20" t="s">
        <v>4186</v>
      </c>
      <c r="B1466" s="20" t="s">
        <v>3990</v>
      </c>
    </row>
    <row r="1467" spans="1:2" x14ac:dyDescent="0.25">
      <c r="A1467" s="20">
        <v>134558401</v>
      </c>
      <c r="B1467" s="20" t="s">
        <v>3990</v>
      </c>
    </row>
    <row r="1468" spans="1:2" x14ac:dyDescent="0.25">
      <c r="A1468" s="20">
        <v>134558400</v>
      </c>
      <c r="B1468" s="20" t="s">
        <v>3990</v>
      </c>
    </row>
    <row r="1469" spans="1:2" x14ac:dyDescent="0.25">
      <c r="A1469" s="20" t="s">
        <v>4040</v>
      </c>
      <c r="B1469" s="20" t="s">
        <v>3990</v>
      </c>
    </row>
    <row r="1470" spans="1:2" x14ac:dyDescent="0.25">
      <c r="A1470" s="20" t="s">
        <v>4049</v>
      </c>
      <c r="B1470" s="20" t="s">
        <v>3990</v>
      </c>
    </row>
    <row r="1471" spans="1:2" x14ac:dyDescent="0.25">
      <c r="A1471" s="20">
        <v>313260439</v>
      </c>
      <c r="B1471" s="20" t="s">
        <v>3990</v>
      </c>
    </row>
    <row r="1472" spans="1:2" x14ac:dyDescent="0.25">
      <c r="A1472" s="20">
        <v>424803249</v>
      </c>
      <c r="B1472" s="20" t="s">
        <v>3990</v>
      </c>
    </row>
    <row r="1473" spans="1:2" x14ac:dyDescent="0.25">
      <c r="A1473" s="20" t="s">
        <v>4081</v>
      </c>
      <c r="B1473" s="20" t="s">
        <v>3990</v>
      </c>
    </row>
    <row r="1474" spans="1:2" x14ac:dyDescent="0.25">
      <c r="A1474" s="20" t="s">
        <v>4097</v>
      </c>
      <c r="B1474" s="20" t="s">
        <v>3990</v>
      </c>
    </row>
    <row r="1475" spans="1:2" x14ac:dyDescent="0.25">
      <c r="A1475" s="20">
        <v>423972760</v>
      </c>
      <c r="B1475" s="20" t="s">
        <v>3990</v>
      </c>
    </row>
    <row r="1476" spans="1:2" x14ac:dyDescent="0.25">
      <c r="A1476" s="20" t="s">
        <v>4125</v>
      </c>
      <c r="B1476" s="20" t="s">
        <v>3990</v>
      </c>
    </row>
    <row r="1477" spans="1:2" x14ac:dyDescent="0.25">
      <c r="A1477" s="20" t="s">
        <v>3991</v>
      </c>
      <c r="B1477" s="20" t="s">
        <v>3991</v>
      </c>
    </row>
    <row r="1478" spans="1:2" x14ac:dyDescent="0.25">
      <c r="A1478" s="20" t="s">
        <v>4028</v>
      </c>
      <c r="B1478" s="20" t="s">
        <v>3991</v>
      </c>
    </row>
    <row r="1479" spans="1:2" x14ac:dyDescent="0.25">
      <c r="A1479" s="20">
        <v>-448887867</v>
      </c>
      <c r="B1479" s="20" t="s">
        <v>3991</v>
      </c>
    </row>
    <row r="1480" spans="1:2" x14ac:dyDescent="0.25">
      <c r="A1480" s="20">
        <v>-448887869</v>
      </c>
      <c r="B1480" s="20" t="s">
        <v>3991</v>
      </c>
    </row>
    <row r="1481" spans="1:2" x14ac:dyDescent="0.25">
      <c r="A1481" s="20" t="s">
        <v>4045</v>
      </c>
      <c r="B1481" s="20" t="s">
        <v>3991</v>
      </c>
    </row>
    <row r="1482" spans="1:2" x14ac:dyDescent="0.25">
      <c r="A1482" s="20" t="s">
        <v>4055</v>
      </c>
      <c r="B1482" s="20" t="s">
        <v>3991</v>
      </c>
    </row>
    <row r="1483" spans="1:2" x14ac:dyDescent="0.25">
      <c r="A1483" s="20">
        <v>-448887868</v>
      </c>
      <c r="B1483" s="20" t="s">
        <v>3991</v>
      </c>
    </row>
    <row r="1484" spans="1:2" x14ac:dyDescent="0.25">
      <c r="A1484" s="20" t="s">
        <v>4073</v>
      </c>
      <c r="B1484" s="20" t="s">
        <v>3991</v>
      </c>
    </row>
    <row r="1485" spans="1:2" x14ac:dyDescent="0.25">
      <c r="A1485" s="20" t="s">
        <v>4090</v>
      </c>
      <c r="B1485" s="20" t="s">
        <v>3991</v>
      </c>
    </row>
    <row r="1486" spans="1:2" x14ac:dyDescent="0.25">
      <c r="A1486" s="20">
        <v>-423965484</v>
      </c>
      <c r="B1486" s="20" t="s">
        <v>3991</v>
      </c>
    </row>
    <row r="1487" spans="1:2" x14ac:dyDescent="0.25">
      <c r="A1487" s="20" t="s">
        <v>4117</v>
      </c>
      <c r="B1487" s="20" t="s">
        <v>3991</v>
      </c>
    </row>
    <row r="1488" spans="1:2" x14ac:dyDescent="0.25">
      <c r="A1488" s="20">
        <v>-387423966</v>
      </c>
      <c r="B1488" s="20" t="s">
        <v>3991</v>
      </c>
    </row>
    <row r="1489" spans="1:2" x14ac:dyDescent="0.25">
      <c r="A1489" s="20">
        <v>-424978642</v>
      </c>
      <c r="B1489" s="20" t="s">
        <v>3991</v>
      </c>
    </row>
    <row r="1490" spans="1:2" x14ac:dyDescent="0.25">
      <c r="A1490" s="20">
        <v>-424978642.17000002</v>
      </c>
      <c r="B1490" s="20" t="s">
        <v>3991</v>
      </c>
    </row>
    <row r="1491" spans="1:2" x14ac:dyDescent="0.25">
      <c r="A1491" s="20" t="s">
        <v>4160</v>
      </c>
      <c r="B1491" s="20" t="s">
        <v>3991</v>
      </c>
    </row>
    <row r="1492" spans="1:2" x14ac:dyDescent="0.25">
      <c r="A1492" s="20" t="s">
        <v>4179</v>
      </c>
      <c r="B1492" s="20" t="s">
        <v>3991</v>
      </c>
    </row>
    <row r="1493" spans="1:2" x14ac:dyDescent="0.25">
      <c r="A1493" s="20">
        <v>-49940069</v>
      </c>
      <c r="B1493" s="20" t="s">
        <v>3991</v>
      </c>
    </row>
    <row r="1494" spans="1:2" x14ac:dyDescent="0.25">
      <c r="A1494" s="20" t="s">
        <v>4210</v>
      </c>
      <c r="B1494" s="20" t="s">
        <v>3991</v>
      </c>
    </row>
    <row r="1495" spans="1:2" x14ac:dyDescent="0.25">
      <c r="A1495" s="20">
        <v>49940061</v>
      </c>
      <c r="B1495" s="20" t="s">
        <v>3991</v>
      </c>
    </row>
    <row r="1496" spans="1:2" x14ac:dyDescent="0.25">
      <c r="A1496" s="20" t="s">
        <v>4229</v>
      </c>
      <c r="B1496" s="20" t="s">
        <v>3991</v>
      </c>
    </row>
    <row r="1497" spans="1:2" x14ac:dyDescent="0.25">
      <c r="A1497" s="20" t="s">
        <v>4238</v>
      </c>
      <c r="B1497" s="20" t="s">
        <v>3991</v>
      </c>
    </row>
    <row r="1498" spans="1:2" x14ac:dyDescent="0.25">
      <c r="A1498" s="20" t="s">
        <v>4250</v>
      </c>
      <c r="B1498" s="20" t="s">
        <v>3991</v>
      </c>
    </row>
    <row r="1499" spans="1:2" x14ac:dyDescent="0.25">
      <c r="A1499" s="20" t="s">
        <v>4259</v>
      </c>
      <c r="B1499" s="20" t="s">
        <v>3991</v>
      </c>
    </row>
    <row r="1500" spans="1:2" x14ac:dyDescent="0.25">
      <c r="A1500" s="20" t="s">
        <v>4267</v>
      </c>
      <c r="B1500" s="20" t="s">
        <v>3991</v>
      </c>
    </row>
    <row r="1501" spans="1:2" x14ac:dyDescent="0.25">
      <c r="A1501" s="20" t="s">
        <v>4277</v>
      </c>
      <c r="B1501" s="20" t="s">
        <v>3991</v>
      </c>
    </row>
    <row r="1502" spans="1:2" x14ac:dyDescent="0.25">
      <c r="A1502" s="20" t="s">
        <v>4293</v>
      </c>
      <c r="B1502" s="20" t="s">
        <v>3991</v>
      </c>
    </row>
    <row r="1503" spans="1:2" x14ac:dyDescent="0.25">
      <c r="A1503" s="20" t="s">
        <v>4306</v>
      </c>
      <c r="B1503" s="20" t="s">
        <v>3991</v>
      </c>
    </row>
    <row r="1504" spans="1:2" x14ac:dyDescent="0.25">
      <c r="A1504" s="20" t="s">
        <v>4318</v>
      </c>
      <c r="B1504" s="20" t="s">
        <v>3991</v>
      </c>
    </row>
    <row r="1505" spans="1:2" x14ac:dyDescent="0.25">
      <c r="A1505" s="20" t="s">
        <v>4330</v>
      </c>
      <c r="B1505" s="20" t="s">
        <v>3991</v>
      </c>
    </row>
    <row r="1506" spans="1:2" x14ac:dyDescent="0.25">
      <c r="A1506" s="20" t="s">
        <v>4340</v>
      </c>
      <c r="B1506" s="20" t="s">
        <v>3991</v>
      </c>
    </row>
    <row r="1507" spans="1:2" x14ac:dyDescent="0.25">
      <c r="A1507" s="20" t="s">
        <v>4350</v>
      </c>
      <c r="B1507" s="20" t="s">
        <v>3991</v>
      </c>
    </row>
    <row r="1508" spans="1:2" x14ac:dyDescent="0.25">
      <c r="A1508" s="20" t="s">
        <v>4359</v>
      </c>
      <c r="B1508" s="20" t="s">
        <v>3991</v>
      </c>
    </row>
    <row r="1509" spans="1:2" x14ac:dyDescent="0.25">
      <c r="A1509" s="20" t="s">
        <v>4367</v>
      </c>
      <c r="B1509" s="20" t="s">
        <v>3991</v>
      </c>
    </row>
    <row r="1510" spans="1:2" x14ac:dyDescent="0.25">
      <c r="A1510" s="20" t="s">
        <v>4373</v>
      </c>
      <c r="B1510" s="20" t="s">
        <v>3991</v>
      </c>
    </row>
    <row r="1511" spans="1:2" x14ac:dyDescent="0.25">
      <c r="A1511" s="20" t="s">
        <v>4381</v>
      </c>
      <c r="B1511" s="20" t="s">
        <v>3991</v>
      </c>
    </row>
    <row r="1512" spans="1:2" x14ac:dyDescent="0.25">
      <c r="A1512" s="20" t="s">
        <v>4389</v>
      </c>
      <c r="B1512" s="20" t="s">
        <v>3991</v>
      </c>
    </row>
    <row r="1513" spans="1:2" x14ac:dyDescent="0.25">
      <c r="A1513" s="20" t="s">
        <v>4396</v>
      </c>
      <c r="B1513" s="20" t="s">
        <v>3991</v>
      </c>
    </row>
    <row r="1514" spans="1:2" x14ac:dyDescent="0.25">
      <c r="A1514" s="20" t="s">
        <v>4403</v>
      </c>
      <c r="B1514" s="20" t="s">
        <v>3991</v>
      </c>
    </row>
    <row r="1515" spans="1:2" x14ac:dyDescent="0.25">
      <c r="A1515" s="20" t="s">
        <v>4409</v>
      </c>
      <c r="B1515" s="20" t="s">
        <v>3991</v>
      </c>
    </row>
    <row r="1516" spans="1:2" x14ac:dyDescent="0.25">
      <c r="A1516" s="20" t="s">
        <v>4414</v>
      </c>
      <c r="B1516" s="20" t="s">
        <v>3991</v>
      </c>
    </row>
    <row r="1517" spans="1:2" x14ac:dyDescent="0.25">
      <c r="A1517" s="20" t="s">
        <v>4418</v>
      </c>
      <c r="B1517" s="20" t="s">
        <v>3991</v>
      </c>
    </row>
    <row r="1518" spans="1:2" x14ac:dyDescent="0.25">
      <c r="A1518" s="20" t="s">
        <v>4423</v>
      </c>
      <c r="B1518" s="20" t="s">
        <v>3991</v>
      </c>
    </row>
    <row r="1519" spans="1:2" x14ac:dyDescent="0.25">
      <c r="A1519" s="20" t="s">
        <v>4429</v>
      </c>
      <c r="B1519" s="20" t="s">
        <v>3991</v>
      </c>
    </row>
    <row r="1520" spans="1:2" x14ac:dyDescent="0.25">
      <c r="A1520" s="20" t="s">
        <v>4434</v>
      </c>
      <c r="B1520" s="20" t="s">
        <v>3991</v>
      </c>
    </row>
    <row r="1521" spans="1:2" x14ac:dyDescent="0.25">
      <c r="A1521" s="20" t="s">
        <v>4439</v>
      </c>
      <c r="B1521" s="20" t="s">
        <v>3991</v>
      </c>
    </row>
    <row r="1522" spans="1:2" x14ac:dyDescent="0.25">
      <c r="A1522" s="20" t="s">
        <v>4198</v>
      </c>
      <c r="B1522" s="20" t="s">
        <v>3991</v>
      </c>
    </row>
    <row r="1523" spans="1:2" x14ac:dyDescent="0.25">
      <c r="A1523" s="20" t="s">
        <v>3992</v>
      </c>
      <c r="B1523" s="20" t="s">
        <v>3992</v>
      </c>
    </row>
    <row r="1524" spans="1:2" x14ac:dyDescent="0.25">
      <c r="A1524" s="20" t="s">
        <v>4028</v>
      </c>
      <c r="B1524" s="20" t="s">
        <v>3992</v>
      </c>
    </row>
    <row r="1525" spans="1:2" x14ac:dyDescent="0.25">
      <c r="A1525" s="20">
        <v>-448887867</v>
      </c>
      <c r="B1525" s="20" t="s">
        <v>3992</v>
      </c>
    </row>
    <row r="1526" spans="1:2" x14ac:dyDescent="0.25">
      <c r="A1526" s="20">
        <v>-448887869</v>
      </c>
      <c r="B1526" s="20" t="s">
        <v>3992</v>
      </c>
    </row>
    <row r="1527" spans="1:2" x14ac:dyDescent="0.25">
      <c r="A1527" s="20" t="s">
        <v>4045</v>
      </c>
      <c r="B1527" s="20" t="s">
        <v>3992</v>
      </c>
    </row>
    <row r="1528" spans="1:2" x14ac:dyDescent="0.25">
      <c r="A1528" s="20" t="s">
        <v>4055</v>
      </c>
      <c r="B1528" s="20" t="s">
        <v>3992</v>
      </c>
    </row>
    <row r="1529" spans="1:2" x14ac:dyDescent="0.25">
      <c r="A1529" s="20">
        <v>-448887868</v>
      </c>
      <c r="B1529" s="20" t="s">
        <v>3992</v>
      </c>
    </row>
    <row r="1530" spans="1:2" x14ac:dyDescent="0.25">
      <c r="A1530" s="20" t="s">
        <v>4073</v>
      </c>
      <c r="B1530" s="20" t="s">
        <v>3992</v>
      </c>
    </row>
    <row r="1531" spans="1:2" x14ac:dyDescent="0.25">
      <c r="A1531" s="20" t="s">
        <v>4090</v>
      </c>
      <c r="B1531" s="20" t="s">
        <v>3992</v>
      </c>
    </row>
    <row r="1532" spans="1:2" x14ac:dyDescent="0.25">
      <c r="A1532" s="20">
        <v>-423965484</v>
      </c>
      <c r="B1532" s="20" t="s">
        <v>3992</v>
      </c>
    </row>
    <row r="1533" spans="1:2" x14ac:dyDescent="0.25">
      <c r="A1533" s="20" t="s">
        <v>4117</v>
      </c>
      <c r="B1533" s="20" t="s">
        <v>3992</v>
      </c>
    </row>
    <row r="1534" spans="1:2" x14ac:dyDescent="0.25">
      <c r="A1534" s="20">
        <v>-387423966</v>
      </c>
      <c r="B1534" s="20" t="s">
        <v>3992</v>
      </c>
    </row>
    <row r="1535" spans="1:2" x14ac:dyDescent="0.25">
      <c r="A1535" s="20">
        <v>-424978642</v>
      </c>
      <c r="B1535" s="20" t="s">
        <v>3992</v>
      </c>
    </row>
    <row r="1536" spans="1:2" x14ac:dyDescent="0.25">
      <c r="A1536" s="20">
        <v>-424978642.17000002</v>
      </c>
      <c r="B1536" s="20" t="s">
        <v>3992</v>
      </c>
    </row>
    <row r="1537" spans="1:2" x14ac:dyDescent="0.25">
      <c r="A1537" s="20" t="s">
        <v>4160</v>
      </c>
      <c r="B1537" s="20" t="s">
        <v>3992</v>
      </c>
    </row>
    <row r="1538" spans="1:2" x14ac:dyDescent="0.25">
      <c r="A1538" s="20" t="s">
        <v>4179</v>
      </c>
      <c r="B1538" s="20" t="s">
        <v>3992</v>
      </c>
    </row>
    <row r="1539" spans="1:2" x14ac:dyDescent="0.25">
      <c r="A1539" s="20" t="s">
        <v>4196</v>
      </c>
      <c r="B1539" s="20" t="s">
        <v>3992</v>
      </c>
    </row>
    <row r="1540" spans="1:2" x14ac:dyDescent="0.25">
      <c r="A1540" s="20">
        <v>344520124</v>
      </c>
      <c r="B1540" s="20" t="s">
        <v>3992</v>
      </c>
    </row>
    <row r="1541" spans="1:2" x14ac:dyDescent="0.25">
      <c r="A1541" s="20" t="s">
        <v>4219</v>
      </c>
      <c r="B1541" s="20" t="s">
        <v>3992</v>
      </c>
    </row>
    <row r="1542" spans="1:2" x14ac:dyDescent="0.25">
      <c r="A1542" s="20" t="s">
        <v>4190</v>
      </c>
      <c r="B1542" s="20" t="s">
        <v>3992</v>
      </c>
    </row>
    <row r="1543" spans="1:2" x14ac:dyDescent="0.25">
      <c r="A1543" s="20" t="s">
        <v>4205</v>
      </c>
      <c r="B1543" s="20" t="s">
        <v>3992</v>
      </c>
    </row>
    <row r="1544" spans="1:2" x14ac:dyDescent="0.25">
      <c r="A1544" s="20" t="s">
        <v>4215</v>
      </c>
      <c r="B1544" s="20" t="s">
        <v>3992</v>
      </c>
    </row>
    <row r="1545" spans="1:2" x14ac:dyDescent="0.25">
      <c r="A1545" s="20" t="s">
        <v>4225</v>
      </c>
      <c r="B1545" s="20" t="s">
        <v>3992</v>
      </c>
    </row>
    <row r="1546" spans="1:2" x14ac:dyDescent="0.25">
      <c r="A1546" s="20" t="s">
        <v>4232</v>
      </c>
      <c r="B1546" s="20" t="s">
        <v>3992</v>
      </c>
    </row>
    <row r="1547" spans="1:2" x14ac:dyDescent="0.25">
      <c r="A1547" s="20" t="s">
        <v>4243</v>
      </c>
      <c r="B1547" s="20" t="s">
        <v>3992</v>
      </c>
    </row>
    <row r="1548" spans="1:2" x14ac:dyDescent="0.25">
      <c r="A1548" s="20" t="s">
        <v>4255</v>
      </c>
      <c r="B1548" s="20" t="s">
        <v>3992</v>
      </c>
    </row>
    <row r="1549" spans="1:2" x14ac:dyDescent="0.25">
      <c r="A1549" s="20">
        <v>-388756834</v>
      </c>
      <c r="B1549" s="20" t="s">
        <v>3992</v>
      </c>
    </row>
    <row r="1550" spans="1:2" x14ac:dyDescent="0.25">
      <c r="A1550" s="20">
        <v>-12149505</v>
      </c>
      <c r="B1550" s="20" t="s">
        <v>3992</v>
      </c>
    </row>
    <row r="1551" spans="1:2" x14ac:dyDescent="0.25">
      <c r="A1551" s="20" t="s">
        <v>4287</v>
      </c>
      <c r="B1551" s="20" t="s">
        <v>3992</v>
      </c>
    </row>
    <row r="1552" spans="1:2" x14ac:dyDescent="0.25">
      <c r="A1552" s="20" t="s">
        <v>4301</v>
      </c>
      <c r="B1552" s="20" t="s">
        <v>3992</v>
      </c>
    </row>
    <row r="1553" spans="1:2" x14ac:dyDescent="0.25">
      <c r="A1553" s="20" t="s">
        <v>4314</v>
      </c>
      <c r="B1553" s="20" t="s">
        <v>3992</v>
      </c>
    </row>
    <row r="1554" spans="1:2" x14ac:dyDescent="0.25">
      <c r="A1554" s="20" t="s">
        <v>4213</v>
      </c>
      <c r="B1554" s="20" t="s">
        <v>3992</v>
      </c>
    </row>
    <row r="1555" spans="1:2" x14ac:dyDescent="0.25">
      <c r="A1555" s="20" t="s">
        <v>4223</v>
      </c>
      <c r="B1555" s="20" t="s">
        <v>3992</v>
      </c>
    </row>
    <row r="1556" spans="1:2" x14ac:dyDescent="0.25">
      <c r="A1556" s="20" t="s">
        <v>4233</v>
      </c>
      <c r="B1556" s="20" t="s">
        <v>3992</v>
      </c>
    </row>
    <row r="1557" spans="1:2" x14ac:dyDescent="0.25">
      <c r="A1557" s="20" t="s">
        <v>4245</v>
      </c>
      <c r="B1557" s="20" t="s">
        <v>3992</v>
      </c>
    </row>
    <row r="1558" spans="1:2" x14ac:dyDescent="0.25">
      <c r="A1558" s="20" t="s">
        <v>4256</v>
      </c>
      <c r="B1558" s="20" t="s">
        <v>3992</v>
      </c>
    </row>
    <row r="1559" spans="1:2" x14ac:dyDescent="0.25">
      <c r="A1559" s="20">
        <v>-424824621</v>
      </c>
      <c r="B1559" s="20" t="s">
        <v>3992</v>
      </c>
    </row>
    <row r="1560" spans="1:2" x14ac:dyDescent="0.25">
      <c r="A1560" s="20">
        <v>-423956981</v>
      </c>
      <c r="B1560" s="20" t="s">
        <v>3992</v>
      </c>
    </row>
    <row r="1561" spans="1:2" x14ac:dyDescent="0.25">
      <c r="A1561" s="20" t="s">
        <v>4288</v>
      </c>
      <c r="B1561" s="20" t="s">
        <v>3992</v>
      </c>
    </row>
    <row r="1562" spans="1:2" x14ac:dyDescent="0.25">
      <c r="A1562" s="20" t="s">
        <v>4302</v>
      </c>
      <c r="B1562" s="20" t="s">
        <v>3992</v>
      </c>
    </row>
    <row r="1563" spans="1:2" x14ac:dyDescent="0.25">
      <c r="A1563" s="20" t="s">
        <v>4059</v>
      </c>
      <c r="B1563" s="20" t="s">
        <v>3992</v>
      </c>
    </row>
    <row r="1564" spans="1:2" x14ac:dyDescent="0.25">
      <c r="A1564" s="20">
        <v>196358978</v>
      </c>
      <c r="B1564" s="20" t="s">
        <v>3992</v>
      </c>
    </row>
    <row r="1565" spans="1:2" x14ac:dyDescent="0.25">
      <c r="A1565" s="20" t="s">
        <v>4079</v>
      </c>
      <c r="B1565" s="20" t="s">
        <v>3992</v>
      </c>
    </row>
    <row r="1566" spans="1:2" x14ac:dyDescent="0.25">
      <c r="A1566" s="20" t="s">
        <v>4095</v>
      </c>
      <c r="B1566" s="20" t="s">
        <v>3992</v>
      </c>
    </row>
    <row r="1567" spans="1:2" x14ac:dyDescent="0.25">
      <c r="A1567" s="20" t="s">
        <v>4110</v>
      </c>
      <c r="B1567" s="20" t="s">
        <v>3992</v>
      </c>
    </row>
    <row r="1568" spans="1:2" x14ac:dyDescent="0.25">
      <c r="A1568" s="20" t="s">
        <v>4123</v>
      </c>
      <c r="B1568" s="20" t="s">
        <v>3992</v>
      </c>
    </row>
    <row r="1569" spans="1:2" x14ac:dyDescent="0.25">
      <c r="A1569" s="20" t="s">
        <v>4133</v>
      </c>
      <c r="B1569" s="20" t="s">
        <v>3992</v>
      </c>
    </row>
    <row r="1570" spans="1:2" x14ac:dyDescent="0.25">
      <c r="A1570" s="20" t="s">
        <v>4140</v>
      </c>
      <c r="B1570" s="20" t="s">
        <v>3992</v>
      </c>
    </row>
    <row r="1571" spans="1:2" x14ac:dyDescent="0.25">
      <c r="A1571" s="20" t="s">
        <v>4152</v>
      </c>
      <c r="B1571" s="20" t="s">
        <v>3992</v>
      </c>
    </row>
    <row r="1572" spans="1:2" x14ac:dyDescent="0.25">
      <c r="A1572" s="20" t="s">
        <v>4166</v>
      </c>
      <c r="B1572" s="20" t="s">
        <v>3992</v>
      </c>
    </row>
    <row r="1573" spans="1:2" x14ac:dyDescent="0.25">
      <c r="A1573" s="20" t="s">
        <v>4454</v>
      </c>
      <c r="B1573" s="20" t="s">
        <v>3992</v>
      </c>
    </row>
    <row r="1574" spans="1:2" x14ac:dyDescent="0.25">
      <c r="A1574" s="20" t="s">
        <v>4459</v>
      </c>
      <c r="B1574" s="20" t="s">
        <v>3992</v>
      </c>
    </row>
    <row r="1575" spans="1:2" x14ac:dyDescent="0.25">
      <c r="A1575" s="20" t="s">
        <v>4422</v>
      </c>
      <c r="B1575" s="20" t="s">
        <v>3992</v>
      </c>
    </row>
    <row r="1576" spans="1:2" x14ac:dyDescent="0.25">
      <c r="A1576" s="20" t="s">
        <v>4428</v>
      </c>
      <c r="B1576" s="20" t="s">
        <v>3992</v>
      </c>
    </row>
    <row r="1577" spans="1:2" x14ac:dyDescent="0.25">
      <c r="A1577" s="20" t="s">
        <v>3993</v>
      </c>
      <c r="B1577" s="20" t="s">
        <v>3993</v>
      </c>
    </row>
    <row r="1578" spans="1:2" x14ac:dyDescent="0.25">
      <c r="A1578" s="20" t="s">
        <v>4028</v>
      </c>
      <c r="B1578" s="20" t="s">
        <v>3993</v>
      </c>
    </row>
    <row r="1579" spans="1:2" x14ac:dyDescent="0.25">
      <c r="A1579" s="20">
        <v>-448887867</v>
      </c>
      <c r="B1579" s="20" t="s">
        <v>3993</v>
      </c>
    </row>
    <row r="1580" spans="1:2" x14ac:dyDescent="0.25">
      <c r="A1580" s="20">
        <v>-448887869</v>
      </c>
      <c r="B1580" s="20" t="s">
        <v>3993</v>
      </c>
    </row>
    <row r="1581" spans="1:2" x14ac:dyDescent="0.25">
      <c r="A1581" s="20" t="s">
        <v>4045</v>
      </c>
      <c r="B1581" s="20" t="s">
        <v>3993</v>
      </c>
    </row>
    <row r="1582" spans="1:2" x14ac:dyDescent="0.25">
      <c r="A1582" s="20" t="s">
        <v>4055</v>
      </c>
      <c r="B1582" s="20" t="s">
        <v>3993</v>
      </c>
    </row>
    <row r="1583" spans="1:2" x14ac:dyDescent="0.25">
      <c r="A1583" s="20">
        <v>-448887868</v>
      </c>
      <c r="B1583" s="20" t="s">
        <v>3993</v>
      </c>
    </row>
    <row r="1584" spans="1:2" x14ac:dyDescent="0.25">
      <c r="A1584" s="20" t="s">
        <v>4073</v>
      </c>
      <c r="B1584" s="20" t="s">
        <v>3993</v>
      </c>
    </row>
    <row r="1585" spans="1:2" x14ac:dyDescent="0.25">
      <c r="A1585" s="20" t="s">
        <v>4090</v>
      </c>
      <c r="B1585" s="20" t="s">
        <v>3993</v>
      </c>
    </row>
    <row r="1586" spans="1:2" x14ac:dyDescent="0.25">
      <c r="A1586" s="20">
        <v>-423965484</v>
      </c>
      <c r="B1586" s="20" t="s">
        <v>3993</v>
      </c>
    </row>
    <row r="1587" spans="1:2" x14ac:dyDescent="0.25">
      <c r="A1587" s="20" t="s">
        <v>4117</v>
      </c>
      <c r="B1587" s="20" t="s">
        <v>3993</v>
      </c>
    </row>
    <row r="1588" spans="1:2" x14ac:dyDescent="0.25">
      <c r="A1588" s="20">
        <v>-387423966</v>
      </c>
      <c r="B1588" s="20" t="s">
        <v>3993</v>
      </c>
    </row>
    <row r="1589" spans="1:2" x14ac:dyDescent="0.25">
      <c r="A1589" s="20">
        <v>-424978642</v>
      </c>
      <c r="B1589" s="20" t="s">
        <v>3993</v>
      </c>
    </row>
    <row r="1590" spans="1:2" x14ac:dyDescent="0.25">
      <c r="A1590" s="20">
        <v>-424978642.17000002</v>
      </c>
      <c r="B1590" s="20" t="s">
        <v>3993</v>
      </c>
    </row>
    <row r="1591" spans="1:2" x14ac:dyDescent="0.25">
      <c r="A1591" s="20" t="s">
        <v>4160</v>
      </c>
      <c r="B1591" s="20" t="s">
        <v>3993</v>
      </c>
    </row>
    <row r="1592" spans="1:2" x14ac:dyDescent="0.25">
      <c r="A1592" s="20" t="s">
        <v>4179</v>
      </c>
      <c r="B1592" s="20" t="s">
        <v>3993</v>
      </c>
    </row>
    <row r="1593" spans="1:2" x14ac:dyDescent="0.25">
      <c r="A1593" s="20" t="s">
        <v>4196</v>
      </c>
      <c r="B1593" s="20" t="s">
        <v>3993</v>
      </c>
    </row>
    <row r="1594" spans="1:2" x14ac:dyDescent="0.25">
      <c r="A1594" s="20">
        <v>344520124</v>
      </c>
      <c r="B1594" s="20" t="s">
        <v>3993</v>
      </c>
    </row>
    <row r="1595" spans="1:2" x14ac:dyDescent="0.25">
      <c r="A1595" s="20" t="s">
        <v>4219</v>
      </c>
      <c r="B1595" s="20" t="s">
        <v>3993</v>
      </c>
    </row>
    <row r="1596" spans="1:2" x14ac:dyDescent="0.25">
      <c r="A1596" s="20" t="s">
        <v>4190</v>
      </c>
      <c r="B1596" s="20" t="s">
        <v>3993</v>
      </c>
    </row>
    <row r="1597" spans="1:2" x14ac:dyDescent="0.25">
      <c r="A1597" s="20" t="s">
        <v>4205</v>
      </c>
      <c r="B1597" s="20" t="s">
        <v>3993</v>
      </c>
    </row>
    <row r="1598" spans="1:2" x14ac:dyDescent="0.25">
      <c r="A1598" s="20" t="s">
        <v>4215</v>
      </c>
      <c r="B1598" s="20" t="s">
        <v>3993</v>
      </c>
    </row>
    <row r="1599" spans="1:2" x14ac:dyDescent="0.25">
      <c r="A1599" s="20" t="s">
        <v>4225</v>
      </c>
      <c r="B1599" s="20" t="s">
        <v>3993</v>
      </c>
    </row>
    <row r="1600" spans="1:2" x14ac:dyDescent="0.25">
      <c r="A1600" s="20" t="s">
        <v>4232</v>
      </c>
      <c r="B1600" s="20" t="s">
        <v>3993</v>
      </c>
    </row>
    <row r="1601" spans="1:2" x14ac:dyDescent="0.25">
      <c r="A1601" s="20" t="s">
        <v>4243</v>
      </c>
      <c r="B1601" s="20" t="s">
        <v>3993</v>
      </c>
    </row>
    <row r="1602" spans="1:2" x14ac:dyDescent="0.25">
      <c r="A1602" s="20" t="s">
        <v>4255</v>
      </c>
      <c r="B1602" s="20" t="s">
        <v>3993</v>
      </c>
    </row>
    <row r="1603" spans="1:2" x14ac:dyDescent="0.25">
      <c r="A1603" s="20">
        <v>-388756834</v>
      </c>
      <c r="B1603" s="20" t="s">
        <v>3993</v>
      </c>
    </row>
    <row r="1604" spans="1:2" x14ac:dyDescent="0.25">
      <c r="A1604" s="20">
        <v>-12149505</v>
      </c>
      <c r="B1604" s="20" t="s">
        <v>3993</v>
      </c>
    </row>
    <row r="1605" spans="1:2" x14ac:dyDescent="0.25">
      <c r="A1605" s="20" t="s">
        <v>4287</v>
      </c>
      <c r="B1605" s="20" t="s">
        <v>3993</v>
      </c>
    </row>
    <row r="1606" spans="1:2" x14ac:dyDescent="0.25">
      <c r="A1606" s="20" t="s">
        <v>4301</v>
      </c>
      <c r="B1606" s="20" t="s">
        <v>3993</v>
      </c>
    </row>
    <row r="1607" spans="1:2" x14ac:dyDescent="0.25">
      <c r="A1607" s="20" t="s">
        <v>4314</v>
      </c>
      <c r="B1607" s="20" t="s">
        <v>3993</v>
      </c>
    </row>
    <row r="1608" spans="1:2" x14ac:dyDescent="0.25">
      <c r="A1608" s="20" t="s">
        <v>4213</v>
      </c>
      <c r="B1608" s="20" t="s">
        <v>3993</v>
      </c>
    </row>
    <row r="1609" spans="1:2" x14ac:dyDescent="0.25">
      <c r="A1609" s="20" t="s">
        <v>4223</v>
      </c>
      <c r="B1609" s="20" t="s">
        <v>3993</v>
      </c>
    </row>
    <row r="1610" spans="1:2" x14ac:dyDescent="0.25">
      <c r="A1610" s="20" t="s">
        <v>4233</v>
      </c>
      <c r="B1610" s="20" t="s">
        <v>3993</v>
      </c>
    </row>
    <row r="1611" spans="1:2" x14ac:dyDescent="0.25">
      <c r="A1611" s="20" t="s">
        <v>4245</v>
      </c>
      <c r="B1611" s="20" t="s">
        <v>3993</v>
      </c>
    </row>
    <row r="1612" spans="1:2" x14ac:dyDescent="0.25">
      <c r="A1612" s="20" t="s">
        <v>4256</v>
      </c>
      <c r="B1612" s="20" t="s">
        <v>3993</v>
      </c>
    </row>
    <row r="1613" spans="1:2" x14ac:dyDescent="0.25">
      <c r="A1613" s="20">
        <v>-424824621</v>
      </c>
      <c r="B1613" s="20" t="s">
        <v>3993</v>
      </c>
    </row>
    <row r="1614" spans="1:2" x14ac:dyDescent="0.25">
      <c r="A1614" s="20">
        <v>-423956981</v>
      </c>
      <c r="B1614" s="20" t="s">
        <v>3993</v>
      </c>
    </row>
    <row r="1615" spans="1:2" x14ac:dyDescent="0.25">
      <c r="A1615" s="20" t="s">
        <v>4288</v>
      </c>
      <c r="B1615" s="20" t="s">
        <v>3993</v>
      </c>
    </row>
    <row r="1616" spans="1:2" x14ac:dyDescent="0.25">
      <c r="A1616" s="20" t="s">
        <v>4302</v>
      </c>
      <c r="B1616" s="20" t="s">
        <v>3993</v>
      </c>
    </row>
    <row r="1617" spans="1:2" x14ac:dyDescent="0.25">
      <c r="A1617" s="20" t="s">
        <v>4059</v>
      </c>
      <c r="B1617" s="20" t="s">
        <v>3993</v>
      </c>
    </row>
    <row r="1618" spans="1:2" x14ac:dyDescent="0.25">
      <c r="A1618" s="20">
        <v>196358978</v>
      </c>
      <c r="B1618" s="20" t="s">
        <v>3993</v>
      </c>
    </row>
    <row r="1619" spans="1:2" x14ac:dyDescent="0.25">
      <c r="A1619" s="20" t="s">
        <v>4080</v>
      </c>
      <c r="B1619" s="20" t="s">
        <v>3993</v>
      </c>
    </row>
    <row r="1620" spans="1:2" x14ac:dyDescent="0.25">
      <c r="A1620" s="20" t="s">
        <v>4096</v>
      </c>
      <c r="B1620" s="20" t="s">
        <v>3993</v>
      </c>
    </row>
    <row r="1621" spans="1:2" x14ac:dyDescent="0.25">
      <c r="A1621" s="20" t="s">
        <v>4111</v>
      </c>
      <c r="B1621" s="20" t="s">
        <v>3993</v>
      </c>
    </row>
    <row r="1622" spans="1:2" x14ac:dyDescent="0.25">
      <c r="A1622" s="20" t="s">
        <v>4124</v>
      </c>
      <c r="B1622" s="20" t="s">
        <v>3993</v>
      </c>
    </row>
    <row r="1623" spans="1:2" x14ac:dyDescent="0.25">
      <c r="A1623" s="20" t="s">
        <v>4134</v>
      </c>
      <c r="B1623" s="20" t="s">
        <v>3993</v>
      </c>
    </row>
    <row r="1624" spans="1:2" x14ac:dyDescent="0.25">
      <c r="A1624" s="20" t="s">
        <v>4141</v>
      </c>
      <c r="B1624" s="20" t="s">
        <v>3993</v>
      </c>
    </row>
    <row r="1625" spans="1:2" x14ac:dyDescent="0.25">
      <c r="A1625" s="20" t="s">
        <v>4153</v>
      </c>
      <c r="B1625" s="20" t="s">
        <v>3993</v>
      </c>
    </row>
    <row r="1626" spans="1:2" x14ac:dyDescent="0.25">
      <c r="A1626" s="20" t="s">
        <v>4167</v>
      </c>
      <c r="B1626" s="20" t="s">
        <v>3993</v>
      </c>
    </row>
    <row r="1627" spans="1:2" x14ac:dyDescent="0.25">
      <c r="A1627" s="20" t="s">
        <v>4186</v>
      </c>
      <c r="B1627" s="20" t="s">
        <v>3993</v>
      </c>
    </row>
    <row r="1628" spans="1:2" x14ac:dyDescent="0.25">
      <c r="A1628" s="20">
        <v>134558401</v>
      </c>
      <c r="B1628" s="20" t="s">
        <v>3993</v>
      </c>
    </row>
    <row r="1629" spans="1:2" x14ac:dyDescent="0.25">
      <c r="A1629" s="20">
        <v>134558400</v>
      </c>
      <c r="B1629" s="20" t="s">
        <v>3993</v>
      </c>
    </row>
    <row r="1630" spans="1:2" x14ac:dyDescent="0.25">
      <c r="A1630" s="20" t="s">
        <v>4040</v>
      </c>
      <c r="B1630" s="20" t="s">
        <v>3993</v>
      </c>
    </row>
    <row r="1631" spans="1:2" x14ac:dyDescent="0.25">
      <c r="A1631" s="20" t="s">
        <v>4049</v>
      </c>
      <c r="B1631" s="20" t="s">
        <v>3993</v>
      </c>
    </row>
    <row r="1632" spans="1:2" x14ac:dyDescent="0.25">
      <c r="A1632" s="20">
        <v>313260439</v>
      </c>
      <c r="B1632" s="20" t="s">
        <v>3993</v>
      </c>
    </row>
    <row r="1633" spans="1:2" x14ac:dyDescent="0.25">
      <c r="A1633" s="20">
        <v>424803249</v>
      </c>
      <c r="B1633" s="20" t="s">
        <v>3993</v>
      </c>
    </row>
    <row r="1634" spans="1:2" x14ac:dyDescent="0.25">
      <c r="A1634" s="20" t="s">
        <v>4081</v>
      </c>
      <c r="B1634" s="20" t="s">
        <v>3993</v>
      </c>
    </row>
    <row r="1635" spans="1:2" x14ac:dyDescent="0.25">
      <c r="A1635" s="20" t="s">
        <v>4097</v>
      </c>
      <c r="B1635" s="20" t="s">
        <v>3993</v>
      </c>
    </row>
    <row r="1636" spans="1:2" x14ac:dyDescent="0.25">
      <c r="A1636" s="20">
        <v>423972760</v>
      </c>
      <c r="B1636" s="20" t="s">
        <v>3993</v>
      </c>
    </row>
    <row r="1637" spans="1:2" x14ac:dyDescent="0.25">
      <c r="A1637" s="20" t="s">
        <v>4125</v>
      </c>
      <c r="B1637" s="20" t="s">
        <v>3993</v>
      </c>
    </row>
    <row r="1638" spans="1:2" x14ac:dyDescent="0.25">
      <c r="A1638" s="20" t="s">
        <v>3994</v>
      </c>
      <c r="B1638" s="20" t="s">
        <v>3994</v>
      </c>
    </row>
    <row r="1639" spans="1:2" x14ac:dyDescent="0.25">
      <c r="A1639" s="20" t="s">
        <v>4028</v>
      </c>
      <c r="B1639" s="20" t="s">
        <v>3994</v>
      </c>
    </row>
    <row r="1640" spans="1:2" x14ac:dyDescent="0.25">
      <c r="A1640" s="20">
        <v>-448887867</v>
      </c>
      <c r="B1640" s="20" t="s">
        <v>3994</v>
      </c>
    </row>
    <row r="1641" spans="1:2" x14ac:dyDescent="0.25">
      <c r="A1641" s="20">
        <v>-448887869</v>
      </c>
      <c r="B1641" s="20" t="s">
        <v>3994</v>
      </c>
    </row>
    <row r="1642" spans="1:2" x14ac:dyDescent="0.25">
      <c r="A1642" s="20" t="s">
        <v>4045</v>
      </c>
      <c r="B1642" s="20" t="s">
        <v>3994</v>
      </c>
    </row>
    <row r="1643" spans="1:2" x14ac:dyDescent="0.25">
      <c r="A1643" s="20" t="s">
        <v>4055</v>
      </c>
      <c r="B1643" s="20" t="s">
        <v>3994</v>
      </c>
    </row>
    <row r="1644" spans="1:2" x14ac:dyDescent="0.25">
      <c r="A1644" s="20">
        <v>-448887868</v>
      </c>
      <c r="B1644" s="20" t="s">
        <v>3994</v>
      </c>
    </row>
    <row r="1645" spans="1:2" x14ac:dyDescent="0.25">
      <c r="A1645" s="20" t="s">
        <v>4073</v>
      </c>
      <c r="B1645" s="20" t="s">
        <v>3994</v>
      </c>
    </row>
    <row r="1646" spans="1:2" x14ac:dyDescent="0.25">
      <c r="A1646" s="20" t="s">
        <v>4090</v>
      </c>
      <c r="B1646" s="20" t="s">
        <v>3994</v>
      </c>
    </row>
    <row r="1647" spans="1:2" x14ac:dyDescent="0.25">
      <c r="A1647" s="20">
        <v>-423965484</v>
      </c>
      <c r="B1647" s="20" t="s">
        <v>3994</v>
      </c>
    </row>
    <row r="1648" spans="1:2" x14ac:dyDescent="0.25">
      <c r="A1648" s="20" t="s">
        <v>4117</v>
      </c>
      <c r="B1648" s="20" t="s">
        <v>3994</v>
      </c>
    </row>
    <row r="1649" spans="1:2" x14ac:dyDescent="0.25">
      <c r="A1649" s="20">
        <v>-387423966</v>
      </c>
      <c r="B1649" s="20" t="s">
        <v>3994</v>
      </c>
    </row>
    <row r="1650" spans="1:2" x14ac:dyDescent="0.25">
      <c r="A1650" s="20">
        <v>-424978642</v>
      </c>
      <c r="B1650" s="20" t="s">
        <v>3994</v>
      </c>
    </row>
    <row r="1651" spans="1:2" x14ac:dyDescent="0.25">
      <c r="A1651" s="20">
        <v>-424978642.17000002</v>
      </c>
      <c r="B1651" s="20" t="s">
        <v>3994</v>
      </c>
    </row>
    <row r="1652" spans="1:2" x14ac:dyDescent="0.25">
      <c r="A1652" s="20" t="s">
        <v>4160</v>
      </c>
      <c r="B1652" s="20" t="s">
        <v>3994</v>
      </c>
    </row>
    <row r="1653" spans="1:2" x14ac:dyDescent="0.25">
      <c r="A1653" s="20" t="s">
        <v>4179</v>
      </c>
      <c r="B1653" s="20" t="s">
        <v>3994</v>
      </c>
    </row>
    <row r="1654" spans="1:2" x14ac:dyDescent="0.25">
      <c r="A1654" s="20" t="s">
        <v>4196</v>
      </c>
      <c r="B1654" s="20" t="s">
        <v>3994</v>
      </c>
    </row>
    <row r="1655" spans="1:2" x14ac:dyDescent="0.25">
      <c r="A1655" s="20">
        <v>344520124</v>
      </c>
      <c r="B1655" s="20" t="s">
        <v>3994</v>
      </c>
    </row>
    <row r="1656" spans="1:2" x14ac:dyDescent="0.25">
      <c r="A1656" s="20" t="s">
        <v>4219</v>
      </c>
      <c r="B1656" s="20" t="s">
        <v>3994</v>
      </c>
    </row>
    <row r="1657" spans="1:2" x14ac:dyDescent="0.25">
      <c r="A1657" s="20" t="s">
        <v>4190</v>
      </c>
      <c r="B1657" s="20" t="s">
        <v>3994</v>
      </c>
    </row>
    <row r="1658" spans="1:2" x14ac:dyDescent="0.25">
      <c r="A1658" s="20" t="s">
        <v>4205</v>
      </c>
      <c r="B1658" s="20" t="s">
        <v>3994</v>
      </c>
    </row>
    <row r="1659" spans="1:2" x14ac:dyDescent="0.25">
      <c r="A1659" s="20" t="s">
        <v>4215</v>
      </c>
      <c r="B1659" s="20" t="s">
        <v>3994</v>
      </c>
    </row>
    <row r="1660" spans="1:2" x14ac:dyDescent="0.25">
      <c r="A1660" s="20" t="s">
        <v>4225</v>
      </c>
      <c r="B1660" s="20" t="s">
        <v>3994</v>
      </c>
    </row>
    <row r="1661" spans="1:2" x14ac:dyDescent="0.25">
      <c r="A1661" s="20" t="s">
        <v>4232</v>
      </c>
      <c r="B1661" s="20" t="s">
        <v>3994</v>
      </c>
    </row>
    <row r="1662" spans="1:2" x14ac:dyDescent="0.25">
      <c r="A1662" s="20" t="s">
        <v>4243</v>
      </c>
      <c r="B1662" s="20" t="s">
        <v>3994</v>
      </c>
    </row>
    <row r="1663" spans="1:2" x14ac:dyDescent="0.25">
      <c r="A1663" s="20" t="s">
        <v>4255</v>
      </c>
      <c r="B1663" s="20" t="s">
        <v>3994</v>
      </c>
    </row>
    <row r="1664" spans="1:2" x14ac:dyDescent="0.25">
      <c r="A1664" s="20">
        <v>-388756834</v>
      </c>
      <c r="B1664" s="20" t="s">
        <v>3994</v>
      </c>
    </row>
    <row r="1665" spans="1:2" x14ac:dyDescent="0.25">
      <c r="A1665" s="20">
        <v>-12149505</v>
      </c>
      <c r="B1665" s="20" t="s">
        <v>3994</v>
      </c>
    </row>
    <row r="1666" spans="1:2" x14ac:dyDescent="0.25">
      <c r="A1666" s="20" t="s">
        <v>4287</v>
      </c>
      <c r="B1666" s="20" t="s">
        <v>3994</v>
      </c>
    </row>
    <row r="1667" spans="1:2" x14ac:dyDescent="0.25">
      <c r="A1667" s="20" t="s">
        <v>4301</v>
      </c>
      <c r="B1667" s="20" t="s">
        <v>3994</v>
      </c>
    </row>
    <row r="1668" spans="1:2" x14ac:dyDescent="0.25">
      <c r="A1668" s="20" t="s">
        <v>4314</v>
      </c>
      <c r="B1668" s="20" t="s">
        <v>3994</v>
      </c>
    </row>
    <row r="1669" spans="1:2" x14ac:dyDescent="0.25">
      <c r="A1669" s="20" t="s">
        <v>4165</v>
      </c>
      <c r="B1669" s="20" t="s">
        <v>3994</v>
      </c>
    </row>
    <row r="1670" spans="1:2" x14ac:dyDescent="0.25">
      <c r="A1670" s="20" t="s">
        <v>4184</v>
      </c>
      <c r="B1670" s="20" t="s">
        <v>3994</v>
      </c>
    </row>
    <row r="1671" spans="1:2" x14ac:dyDescent="0.25">
      <c r="A1671" s="20">
        <v>423967355</v>
      </c>
      <c r="B1671" s="20" t="s">
        <v>3994</v>
      </c>
    </row>
    <row r="1672" spans="1:2" x14ac:dyDescent="0.25">
      <c r="A1672" s="20">
        <v>423967354</v>
      </c>
      <c r="B1672" s="20" t="s">
        <v>3994</v>
      </c>
    </row>
    <row r="1673" spans="1:2" x14ac:dyDescent="0.25">
      <c r="A1673" s="20" t="s">
        <v>4159</v>
      </c>
      <c r="B1673" s="20" t="s">
        <v>3994</v>
      </c>
    </row>
    <row r="1674" spans="1:2" x14ac:dyDescent="0.25">
      <c r="A1674" s="20" t="s">
        <v>4174</v>
      </c>
      <c r="B1674" s="20" t="s">
        <v>3994</v>
      </c>
    </row>
    <row r="1675" spans="1:2" x14ac:dyDescent="0.25">
      <c r="A1675" s="20" t="s">
        <v>4192</v>
      </c>
      <c r="B1675" s="20" t="s">
        <v>3994</v>
      </c>
    </row>
    <row r="1676" spans="1:2" x14ac:dyDescent="0.25">
      <c r="A1676" s="20" t="s">
        <v>4208</v>
      </c>
      <c r="B1676" s="20" t="s">
        <v>3994</v>
      </c>
    </row>
    <row r="1677" spans="1:2" x14ac:dyDescent="0.25">
      <c r="A1677" s="20" t="s">
        <v>4217</v>
      </c>
      <c r="B1677" s="20" t="s">
        <v>3994</v>
      </c>
    </row>
    <row r="1678" spans="1:2" x14ac:dyDescent="0.25">
      <c r="A1678" s="20" t="s">
        <v>4226</v>
      </c>
      <c r="B1678" s="20" t="s">
        <v>3994</v>
      </c>
    </row>
    <row r="1679" spans="1:2" x14ac:dyDescent="0.25">
      <c r="A1679" s="20" t="s">
        <v>4234</v>
      </c>
      <c r="B1679" s="20" t="s">
        <v>3994</v>
      </c>
    </row>
    <row r="1680" spans="1:2" x14ac:dyDescent="0.25">
      <c r="A1680" s="20" t="s">
        <v>4246</v>
      </c>
      <c r="B1680" s="20" t="s">
        <v>3994</v>
      </c>
    </row>
    <row r="1681" spans="1:2" x14ac:dyDescent="0.25">
      <c r="A1681" s="20" t="s">
        <v>4111</v>
      </c>
      <c r="B1681" s="20" t="s">
        <v>3994</v>
      </c>
    </row>
    <row r="1682" spans="1:2" x14ac:dyDescent="0.25">
      <c r="A1682" s="20" t="s">
        <v>4124</v>
      </c>
      <c r="B1682" s="20" t="s">
        <v>3994</v>
      </c>
    </row>
    <row r="1683" spans="1:2" x14ac:dyDescent="0.25">
      <c r="A1683" s="20" t="s">
        <v>4134</v>
      </c>
      <c r="B1683" s="20" t="s">
        <v>3994</v>
      </c>
    </row>
    <row r="1684" spans="1:2" x14ac:dyDescent="0.25">
      <c r="A1684" s="20" t="s">
        <v>4141</v>
      </c>
      <c r="B1684" s="20" t="s">
        <v>3994</v>
      </c>
    </row>
    <row r="1685" spans="1:2" x14ac:dyDescent="0.25">
      <c r="A1685" s="20" t="s">
        <v>4153</v>
      </c>
      <c r="B1685" s="20" t="s">
        <v>3994</v>
      </c>
    </row>
    <row r="1686" spans="1:2" x14ac:dyDescent="0.25">
      <c r="A1686" s="20" t="s">
        <v>4167</v>
      </c>
      <c r="B1686" s="20" t="s">
        <v>3994</v>
      </c>
    </row>
    <row r="1687" spans="1:2" x14ac:dyDescent="0.25">
      <c r="A1687" s="20" t="s">
        <v>4186</v>
      </c>
      <c r="B1687" s="20" t="s">
        <v>3994</v>
      </c>
    </row>
    <row r="1688" spans="1:2" x14ac:dyDescent="0.25">
      <c r="A1688" s="20">
        <v>134558401</v>
      </c>
      <c r="B1688" s="20" t="s">
        <v>3994</v>
      </c>
    </row>
    <row r="1689" spans="1:2" x14ac:dyDescent="0.25">
      <c r="A1689" s="20">
        <v>134558400</v>
      </c>
      <c r="B1689" s="20" t="s">
        <v>3994</v>
      </c>
    </row>
    <row r="1690" spans="1:2" x14ac:dyDescent="0.25">
      <c r="A1690" s="20" t="s">
        <v>4040</v>
      </c>
      <c r="B1690" s="20" t="s">
        <v>3994</v>
      </c>
    </row>
    <row r="1691" spans="1:2" x14ac:dyDescent="0.25">
      <c r="A1691" s="20" t="s">
        <v>4049</v>
      </c>
      <c r="B1691" s="20" t="s">
        <v>3994</v>
      </c>
    </row>
    <row r="1692" spans="1:2" x14ac:dyDescent="0.25">
      <c r="A1692" s="20">
        <v>313260439</v>
      </c>
      <c r="B1692" s="20" t="s">
        <v>3994</v>
      </c>
    </row>
    <row r="1693" spans="1:2" x14ac:dyDescent="0.25">
      <c r="A1693" s="20">
        <v>424803249</v>
      </c>
      <c r="B1693" s="20" t="s">
        <v>3994</v>
      </c>
    </row>
    <row r="1694" spans="1:2" x14ac:dyDescent="0.25">
      <c r="A1694" s="20" t="s">
        <v>4081</v>
      </c>
      <c r="B1694" s="20" t="s">
        <v>3994</v>
      </c>
    </row>
    <row r="1695" spans="1:2" x14ac:dyDescent="0.25">
      <c r="A1695" s="20" t="s">
        <v>4097</v>
      </c>
      <c r="B1695" s="20" t="s">
        <v>3994</v>
      </c>
    </row>
    <row r="1696" spans="1:2" x14ac:dyDescent="0.25">
      <c r="A1696" s="20">
        <v>423972760</v>
      </c>
      <c r="B1696" s="20" t="s">
        <v>3994</v>
      </c>
    </row>
    <row r="1697" spans="1:2" x14ac:dyDescent="0.25">
      <c r="A1697" s="20" t="s">
        <v>4125</v>
      </c>
      <c r="B1697" s="20" t="s">
        <v>3994</v>
      </c>
    </row>
    <row r="1698" spans="1:2" x14ac:dyDescent="0.25">
      <c r="A1698" s="20" t="s">
        <v>3995</v>
      </c>
      <c r="B1698" s="20" t="s">
        <v>3995</v>
      </c>
    </row>
    <row r="1699" spans="1:2" x14ac:dyDescent="0.25">
      <c r="A1699" s="20" t="s">
        <v>4028</v>
      </c>
      <c r="B1699" s="20" t="s">
        <v>3995</v>
      </c>
    </row>
    <row r="1700" spans="1:2" x14ac:dyDescent="0.25">
      <c r="A1700" s="20">
        <v>-448887867</v>
      </c>
      <c r="B1700" s="20" t="s">
        <v>3995</v>
      </c>
    </row>
    <row r="1701" spans="1:2" x14ac:dyDescent="0.25">
      <c r="A1701" s="20">
        <v>-448887869</v>
      </c>
      <c r="B1701" s="20" t="s">
        <v>3995</v>
      </c>
    </row>
    <row r="1702" spans="1:2" x14ac:dyDescent="0.25">
      <c r="A1702" s="20" t="s">
        <v>4045</v>
      </c>
      <c r="B1702" s="20" t="s">
        <v>3995</v>
      </c>
    </row>
    <row r="1703" spans="1:2" x14ac:dyDescent="0.25">
      <c r="A1703" s="20" t="s">
        <v>4055</v>
      </c>
      <c r="B1703" s="20" t="s">
        <v>3995</v>
      </c>
    </row>
    <row r="1704" spans="1:2" x14ac:dyDescent="0.25">
      <c r="A1704" s="20">
        <v>-448887868</v>
      </c>
      <c r="B1704" s="20" t="s">
        <v>3995</v>
      </c>
    </row>
    <row r="1705" spans="1:2" x14ac:dyDescent="0.25">
      <c r="A1705" s="20" t="s">
        <v>4073</v>
      </c>
      <c r="B1705" s="20" t="s">
        <v>3995</v>
      </c>
    </row>
    <row r="1706" spans="1:2" x14ac:dyDescent="0.25">
      <c r="A1706" s="20" t="s">
        <v>4090</v>
      </c>
      <c r="B1706" s="20" t="s">
        <v>3995</v>
      </c>
    </row>
    <row r="1707" spans="1:2" x14ac:dyDescent="0.25">
      <c r="A1707" s="20">
        <v>-423965484</v>
      </c>
      <c r="B1707" s="20" t="s">
        <v>3995</v>
      </c>
    </row>
    <row r="1708" spans="1:2" x14ac:dyDescent="0.25">
      <c r="A1708" s="20" t="s">
        <v>4117</v>
      </c>
      <c r="B1708" s="20" t="s">
        <v>3995</v>
      </c>
    </row>
    <row r="1709" spans="1:2" x14ac:dyDescent="0.25">
      <c r="A1709" s="20">
        <v>-387423966</v>
      </c>
      <c r="B1709" s="20" t="s">
        <v>3995</v>
      </c>
    </row>
    <row r="1710" spans="1:2" x14ac:dyDescent="0.25">
      <c r="A1710" s="20">
        <v>-424978642</v>
      </c>
      <c r="B1710" s="20" t="s">
        <v>3995</v>
      </c>
    </row>
    <row r="1711" spans="1:2" x14ac:dyDescent="0.25">
      <c r="A1711" s="20">
        <v>-424978642.17000002</v>
      </c>
      <c r="B1711" s="20" t="s">
        <v>3995</v>
      </c>
    </row>
    <row r="1712" spans="1:2" x14ac:dyDescent="0.25">
      <c r="A1712" s="20" t="s">
        <v>4161</v>
      </c>
      <c r="B1712" s="20" t="s">
        <v>3995</v>
      </c>
    </row>
    <row r="1713" spans="1:2" x14ac:dyDescent="0.25">
      <c r="A1713" s="20">
        <v>-423967352</v>
      </c>
      <c r="B1713" s="20" t="s">
        <v>3995</v>
      </c>
    </row>
    <row r="1714" spans="1:2" x14ac:dyDescent="0.25">
      <c r="A1714" s="20" t="s">
        <v>4197</v>
      </c>
      <c r="B1714" s="20" t="s">
        <v>3995</v>
      </c>
    </row>
    <row r="1715" spans="1:2" x14ac:dyDescent="0.25">
      <c r="A1715" s="20" t="s">
        <v>4098</v>
      </c>
      <c r="B1715" s="20" t="s">
        <v>3995</v>
      </c>
    </row>
    <row r="1716" spans="1:2" x14ac:dyDescent="0.25">
      <c r="A1716" s="20">
        <v>-423967356</v>
      </c>
      <c r="B1716" s="20" t="s">
        <v>3995</v>
      </c>
    </row>
    <row r="1717" spans="1:2" x14ac:dyDescent="0.25">
      <c r="A1717" s="20">
        <v>-424978643</v>
      </c>
      <c r="B1717" s="20" t="s">
        <v>3995</v>
      </c>
    </row>
    <row r="1718" spans="1:2" x14ac:dyDescent="0.25">
      <c r="A1718" s="20">
        <v>-423967357</v>
      </c>
      <c r="B1718" s="20" t="s">
        <v>3995</v>
      </c>
    </row>
    <row r="1719" spans="1:2" x14ac:dyDescent="0.25">
      <c r="A1719" s="20">
        <v>-423967353</v>
      </c>
      <c r="B1719" s="20" t="s">
        <v>3995</v>
      </c>
    </row>
    <row r="1720" spans="1:2" x14ac:dyDescent="0.25">
      <c r="A1720" s="20">
        <v>-423967354</v>
      </c>
      <c r="B1720" s="20" t="s">
        <v>3995</v>
      </c>
    </row>
    <row r="1721" spans="1:2" x14ac:dyDescent="0.25">
      <c r="A1721" s="20">
        <v>-423967355</v>
      </c>
      <c r="B1721" s="20" t="s">
        <v>3995</v>
      </c>
    </row>
    <row r="1722" spans="1:2" x14ac:dyDescent="0.25">
      <c r="A1722" s="20" t="s">
        <v>4191</v>
      </c>
      <c r="B1722" s="20" t="s">
        <v>3995</v>
      </c>
    </row>
    <row r="1723" spans="1:2" x14ac:dyDescent="0.25">
      <c r="A1723" s="20" t="s">
        <v>4294</v>
      </c>
      <c r="B1723" s="20" t="s">
        <v>3995</v>
      </c>
    </row>
    <row r="1724" spans="1:2" x14ac:dyDescent="0.25">
      <c r="A1724" s="20" t="s">
        <v>4231</v>
      </c>
      <c r="B1724" s="20" t="s">
        <v>3995</v>
      </c>
    </row>
    <row r="1725" spans="1:2" x14ac:dyDescent="0.25">
      <c r="A1725" s="20" t="s">
        <v>4242</v>
      </c>
      <c r="B1725" s="20" t="s">
        <v>3995</v>
      </c>
    </row>
    <row r="1726" spans="1:2" x14ac:dyDescent="0.25">
      <c r="A1726" s="20" t="s">
        <v>4254</v>
      </c>
      <c r="B1726" s="20" t="s">
        <v>3995</v>
      </c>
    </row>
    <row r="1727" spans="1:2" x14ac:dyDescent="0.25">
      <c r="A1727" s="20" t="s">
        <v>4263</v>
      </c>
      <c r="B1727" s="20" t="s">
        <v>3995</v>
      </c>
    </row>
    <row r="1728" spans="1:2" x14ac:dyDescent="0.25">
      <c r="A1728" s="20" t="s">
        <v>4351</v>
      </c>
      <c r="B1728" s="20" t="s">
        <v>3995</v>
      </c>
    </row>
    <row r="1729" spans="1:2" x14ac:dyDescent="0.25">
      <c r="A1729" s="20" t="s">
        <v>4360</v>
      </c>
      <c r="B1729" s="20" t="s">
        <v>3995</v>
      </c>
    </row>
    <row r="1730" spans="1:2" x14ac:dyDescent="0.25">
      <c r="A1730" s="20" t="s">
        <v>4368</v>
      </c>
      <c r="B1730" s="20" t="s">
        <v>3995</v>
      </c>
    </row>
    <row r="1731" spans="1:2" x14ac:dyDescent="0.25">
      <c r="A1731" s="20" t="s">
        <v>4374</v>
      </c>
      <c r="B1731" s="20" t="s">
        <v>3995</v>
      </c>
    </row>
    <row r="1732" spans="1:2" x14ac:dyDescent="0.25">
      <c r="A1732" s="20" t="s">
        <v>4382</v>
      </c>
      <c r="B1732" s="20" t="s">
        <v>3995</v>
      </c>
    </row>
    <row r="1733" spans="1:2" x14ac:dyDescent="0.25">
      <c r="A1733" s="20" t="s">
        <v>4390</v>
      </c>
      <c r="B1733" s="20" t="s">
        <v>3995</v>
      </c>
    </row>
    <row r="1734" spans="1:2" x14ac:dyDescent="0.25">
      <c r="A1734" s="20" t="s">
        <v>4397</v>
      </c>
      <c r="B1734" s="20" t="s">
        <v>3995</v>
      </c>
    </row>
    <row r="1735" spans="1:2" x14ac:dyDescent="0.25">
      <c r="A1735" s="20" t="s">
        <v>4404</v>
      </c>
      <c r="B1735" s="20" t="s">
        <v>3995</v>
      </c>
    </row>
    <row r="1736" spans="1:2" x14ac:dyDescent="0.25">
      <c r="A1736" s="20" t="s">
        <v>4340</v>
      </c>
      <c r="B1736" s="20" t="s">
        <v>3995</v>
      </c>
    </row>
    <row r="1737" spans="1:2" x14ac:dyDescent="0.25">
      <c r="A1737" s="20" t="s">
        <v>4350</v>
      </c>
      <c r="B1737" s="20" t="s">
        <v>3995</v>
      </c>
    </row>
    <row r="1738" spans="1:2" x14ac:dyDescent="0.25">
      <c r="A1738" s="20" t="s">
        <v>4359</v>
      </c>
      <c r="B1738" s="20" t="s">
        <v>3995</v>
      </c>
    </row>
    <row r="1739" spans="1:2" x14ac:dyDescent="0.25">
      <c r="A1739" s="20" t="s">
        <v>4424</v>
      </c>
      <c r="B1739" s="20" t="s">
        <v>3995</v>
      </c>
    </row>
    <row r="1740" spans="1:2" x14ac:dyDescent="0.25">
      <c r="A1740" s="20" t="s">
        <v>4430</v>
      </c>
      <c r="B1740" s="20" t="s">
        <v>3995</v>
      </c>
    </row>
    <row r="1741" spans="1:2" x14ac:dyDescent="0.25">
      <c r="A1741" s="20" t="s">
        <v>4435</v>
      </c>
      <c r="B1741" s="20" t="s">
        <v>3995</v>
      </c>
    </row>
    <row r="1742" spans="1:2" x14ac:dyDescent="0.25">
      <c r="A1742" s="20" t="s">
        <v>4440</v>
      </c>
      <c r="B1742" s="20" t="s">
        <v>3995</v>
      </c>
    </row>
    <row r="1743" spans="1:2" x14ac:dyDescent="0.25">
      <c r="A1743" s="20" t="s">
        <v>4445</v>
      </c>
      <c r="B1743" s="20" t="s">
        <v>3995</v>
      </c>
    </row>
    <row r="1744" spans="1:2" x14ac:dyDescent="0.25">
      <c r="A1744" s="20" t="s">
        <v>4450</v>
      </c>
      <c r="B1744" s="20" t="s">
        <v>3995</v>
      </c>
    </row>
    <row r="1745" spans="1:2" x14ac:dyDescent="0.25">
      <c r="A1745" s="20" t="s">
        <v>4455</v>
      </c>
      <c r="B1745" s="20" t="s">
        <v>3995</v>
      </c>
    </row>
    <row r="1746" spans="1:2" x14ac:dyDescent="0.25">
      <c r="A1746" s="20" t="s">
        <v>4460</v>
      </c>
      <c r="B1746" s="20" t="s">
        <v>3995</v>
      </c>
    </row>
    <row r="1747" spans="1:2" x14ac:dyDescent="0.25">
      <c r="A1747" s="20" t="s">
        <v>4464</v>
      </c>
      <c r="B1747" s="20" t="s">
        <v>3995</v>
      </c>
    </row>
    <row r="1748" spans="1:2" x14ac:dyDescent="0.25">
      <c r="A1748" s="20" t="s">
        <v>4469</v>
      </c>
      <c r="B1748" s="20" t="s">
        <v>3995</v>
      </c>
    </row>
    <row r="1749" spans="1:2" x14ac:dyDescent="0.25">
      <c r="A1749" s="20" t="s">
        <v>4473</v>
      </c>
      <c r="B1749" s="20" t="s">
        <v>3995</v>
      </c>
    </row>
    <row r="1750" spans="1:2" x14ac:dyDescent="0.25">
      <c r="A1750" s="20" t="s">
        <v>4477</v>
      </c>
      <c r="B1750" s="20" t="s">
        <v>3995</v>
      </c>
    </row>
    <row r="1751" spans="1:2" x14ac:dyDescent="0.25">
      <c r="A1751" s="20" t="s">
        <v>4481</v>
      </c>
      <c r="B1751" s="20" t="s">
        <v>3995</v>
      </c>
    </row>
    <row r="1752" spans="1:2" x14ac:dyDescent="0.25">
      <c r="A1752" s="20" t="s">
        <v>4458</v>
      </c>
      <c r="B1752" s="20" t="s">
        <v>3995</v>
      </c>
    </row>
    <row r="1753" spans="1:2" x14ac:dyDescent="0.25">
      <c r="A1753" s="20" t="s">
        <v>4486</v>
      </c>
      <c r="B1753" s="20" t="s">
        <v>3995</v>
      </c>
    </row>
    <row r="1754" spans="1:2" x14ac:dyDescent="0.25">
      <c r="A1754" s="20" t="s">
        <v>4427</v>
      </c>
      <c r="B1754" s="20" t="s">
        <v>3995</v>
      </c>
    </row>
    <row r="1755" spans="1:2" x14ac:dyDescent="0.25">
      <c r="A1755" s="20" t="s">
        <v>4433</v>
      </c>
      <c r="B1755" s="20" t="s">
        <v>3995</v>
      </c>
    </row>
    <row r="1756" spans="1:2" x14ac:dyDescent="0.25">
      <c r="A1756" s="20" t="s">
        <v>4437</v>
      </c>
      <c r="B1756" s="20" t="s">
        <v>3995</v>
      </c>
    </row>
    <row r="1757" spans="1:2" x14ac:dyDescent="0.25">
      <c r="A1757" s="20" t="s">
        <v>4443</v>
      </c>
      <c r="B1757" s="20" t="s">
        <v>3995</v>
      </c>
    </row>
    <row r="1758" spans="1:2" x14ac:dyDescent="0.25">
      <c r="A1758" s="20" t="s">
        <v>4448</v>
      </c>
      <c r="B1758" s="20" t="s">
        <v>3995</v>
      </c>
    </row>
    <row r="1759" spans="1:2" x14ac:dyDescent="0.25">
      <c r="A1759" s="20" t="s">
        <v>4453</v>
      </c>
      <c r="B1759" s="20" t="s">
        <v>3995</v>
      </c>
    </row>
    <row r="1760" spans="1:2" x14ac:dyDescent="0.25">
      <c r="A1760" s="20">
        <v>448845180</v>
      </c>
      <c r="B1760" s="20" t="s">
        <v>3995</v>
      </c>
    </row>
    <row r="1761" spans="1:2" x14ac:dyDescent="0.25">
      <c r="A1761" s="20" t="s">
        <v>4463</v>
      </c>
      <c r="B1761" s="20" t="s">
        <v>3995</v>
      </c>
    </row>
    <row r="1762" spans="1:2" x14ac:dyDescent="0.25">
      <c r="A1762" s="20" t="s">
        <v>4468</v>
      </c>
      <c r="B1762" s="20" t="s">
        <v>3995</v>
      </c>
    </row>
    <row r="1763" spans="1:2" x14ac:dyDescent="0.25">
      <c r="A1763" s="20">
        <v>423966001</v>
      </c>
      <c r="B1763" s="20" t="s">
        <v>3995</v>
      </c>
    </row>
    <row r="1764" spans="1:2" x14ac:dyDescent="0.25">
      <c r="A1764" s="20" t="s">
        <v>4476</v>
      </c>
      <c r="B1764" s="20" t="s">
        <v>3995</v>
      </c>
    </row>
    <row r="1765" spans="1:2" x14ac:dyDescent="0.25">
      <c r="A1765" s="20" t="s">
        <v>4480</v>
      </c>
      <c r="B1765" s="20" t="s">
        <v>3995</v>
      </c>
    </row>
    <row r="1766" spans="1:2" x14ac:dyDescent="0.25">
      <c r="A1766" s="20" t="s">
        <v>4484</v>
      </c>
      <c r="B1766" s="20" t="s">
        <v>3995</v>
      </c>
    </row>
    <row r="1767" spans="1:2" x14ac:dyDescent="0.25">
      <c r="A1767" s="20">
        <v>-12372809</v>
      </c>
      <c r="B1767" s="20" t="s">
        <v>3995</v>
      </c>
    </row>
    <row r="1768" spans="1:2" x14ac:dyDescent="0.25">
      <c r="A1768" s="20" t="s">
        <v>4488</v>
      </c>
      <c r="B1768" s="20" t="s">
        <v>3995</v>
      </c>
    </row>
    <row r="1769" spans="1:2" x14ac:dyDescent="0.25">
      <c r="A1769" s="20">
        <v>42705779</v>
      </c>
      <c r="B1769" s="20" t="s">
        <v>3995</v>
      </c>
    </row>
    <row r="1770" spans="1:2" x14ac:dyDescent="0.25">
      <c r="A1770" s="20">
        <v>448887900</v>
      </c>
      <c r="B1770" s="20" t="s">
        <v>3995</v>
      </c>
    </row>
    <row r="1771" spans="1:2" x14ac:dyDescent="0.25">
      <c r="A1771" s="20" t="s">
        <v>4494</v>
      </c>
      <c r="B1771" s="20" t="s">
        <v>3995</v>
      </c>
    </row>
    <row r="1772" spans="1:2" x14ac:dyDescent="0.25">
      <c r="A1772" s="20" t="s">
        <v>4524</v>
      </c>
      <c r="B1772" s="20" t="s">
        <v>3995</v>
      </c>
    </row>
    <row r="1773" spans="1:2" x14ac:dyDescent="0.25">
      <c r="A1773" s="20">
        <v>448887879</v>
      </c>
      <c r="B1773" s="20" t="s">
        <v>3995</v>
      </c>
    </row>
    <row r="1774" spans="1:2" x14ac:dyDescent="0.25">
      <c r="A1774" s="20">
        <v>448887886</v>
      </c>
      <c r="B1774" s="20" t="s">
        <v>3995</v>
      </c>
    </row>
    <row r="1775" spans="1:2" x14ac:dyDescent="0.25">
      <c r="A1775" s="20" t="s">
        <v>4499</v>
      </c>
      <c r="B1775" s="20" t="s">
        <v>3995</v>
      </c>
    </row>
    <row r="1776" spans="1:2" x14ac:dyDescent="0.25">
      <c r="A1776" s="20">
        <v>180698012</v>
      </c>
      <c r="B1776" s="20" t="s">
        <v>3995</v>
      </c>
    </row>
    <row r="1777" spans="1:2" x14ac:dyDescent="0.25">
      <c r="A1777" s="20" t="s">
        <v>4502</v>
      </c>
      <c r="B1777" s="20" t="s">
        <v>3995</v>
      </c>
    </row>
    <row r="1778" spans="1:2" x14ac:dyDescent="0.25">
      <c r="A1778" s="20">
        <v>448887923</v>
      </c>
      <c r="B1778" s="20" t="s">
        <v>3995</v>
      </c>
    </row>
    <row r="1779" spans="1:2" x14ac:dyDescent="0.25">
      <c r="A1779" s="20">
        <v>12148393</v>
      </c>
      <c r="B1779" s="20" t="s">
        <v>3995</v>
      </c>
    </row>
    <row r="1780" spans="1:2" x14ac:dyDescent="0.25">
      <c r="A1780" s="20" t="s">
        <v>4506</v>
      </c>
      <c r="B1780" s="20" t="s">
        <v>3995</v>
      </c>
    </row>
    <row r="1781" spans="1:2" x14ac:dyDescent="0.25">
      <c r="A1781" s="20" t="s">
        <v>4508</v>
      </c>
      <c r="B1781" s="20" t="s">
        <v>3995</v>
      </c>
    </row>
    <row r="1782" spans="1:2" x14ac:dyDescent="0.25">
      <c r="A1782" s="20" t="s">
        <v>4511</v>
      </c>
      <c r="B1782" s="20" t="s">
        <v>3995</v>
      </c>
    </row>
    <row r="1783" spans="1:2" x14ac:dyDescent="0.25">
      <c r="A1783" s="20" t="s">
        <v>4515</v>
      </c>
      <c r="B1783" s="20" t="s">
        <v>3995</v>
      </c>
    </row>
    <row r="1784" spans="1:2" x14ac:dyDescent="0.25">
      <c r="A1784" s="20" t="s">
        <v>4517</v>
      </c>
      <c r="B1784" s="20" t="s">
        <v>3995</v>
      </c>
    </row>
    <row r="1785" spans="1:2" x14ac:dyDescent="0.25">
      <c r="A1785" s="20" t="s">
        <v>4520</v>
      </c>
      <c r="B1785" s="20" t="s">
        <v>3995</v>
      </c>
    </row>
    <row r="1786" spans="1:2" x14ac:dyDescent="0.25">
      <c r="A1786" s="20" t="s">
        <v>4523</v>
      </c>
      <c r="B1786" s="20" t="s">
        <v>3995</v>
      </c>
    </row>
    <row r="1787" spans="1:2" x14ac:dyDescent="0.25">
      <c r="A1787" s="20" t="s">
        <v>4118</v>
      </c>
      <c r="B1787" s="20" t="s">
        <v>3995</v>
      </c>
    </row>
    <row r="1788" spans="1:2" x14ac:dyDescent="0.25">
      <c r="A1788" s="20" t="s">
        <v>4527</v>
      </c>
      <c r="B1788" s="20" t="s">
        <v>3995</v>
      </c>
    </row>
    <row r="1789" spans="1:2" x14ac:dyDescent="0.25">
      <c r="A1789" s="20">
        <v>486653623</v>
      </c>
      <c r="B1789" s="20" t="s">
        <v>3995</v>
      </c>
    </row>
    <row r="1790" spans="1:2" x14ac:dyDescent="0.25">
      <c r="A1790" s="20">
        <v>287178713</v>
      </c>
      <c r="B1790" s="20" t="s">
        <v>3995</v>
      </c>
    </row>
    <row r="1791" spans="1:2" x14ac:dyDescent="0.25">
      <c r="A1791" s="20" t="s">
        <v>4534</v>
      </c>
      <c r="B1791" s="20" t="s">
        <v>3995</v>
      </c>
    </row>
    <row r="1792" spans="1:2" x14ac:dyDescent="0.25">
      <c r="A1792" s="20" t="s">
        <v>4537</v>
      </c>
      <c r="B1792" s="20" t="s">
        <v>3995</v>
      </c>
    </row>
    <row r="1793" spans="1:2" x14ac:dyDescent="0.25">
      <c r="A1793" s="20">
        <v>-287178713</v>
      </c>
      <c r="B1793" s="20" t="s">
        <v>3995</v>
      </c>
    </row>
    <row r="1794" spans="1:2" x14ac:dyDescent="0.25">
      <c r="A1794" s="20">
        <v>-486653623</v>
      </c>
      <c r="B1794" s="20" t="s">
        <v>3995</v>
      </c>
    </row>
    <row r="1795" spans="1:2" x14ac:dyDescent="0.25">
      <c r="A1795" s="20" t="s">
        <v>4361</v>
      </c>
      <c r="B1795" s="20" t="s">
        <v>3995</v>
      </c>
    </row>
    <row r="1796" spans="1:2" x14ac:dyDescent="0.25">
      <c r="A1796" s="20" t="s">
        <v>4130</v>
      </c>
      <c r="B1796" s="20" t="s">
        <v>3995</v>
      </c>
    </row>
    <row r="1797" spans="1:2" x14ac:dyDescent="0.25">
      <c r="A1797" s="20" t="s">
        <v>4137</v>
      </c>
      <c r="B1797" s="20" t="s">
        <v>3995</v>
      </c>
    </row>
    <row r="1798" spans="1:2" x14ac:dyDescent="0.25">
      <c r="A1798" s="20" t="s">
        <v>4383</v>
      </c>
      <c r="B1798" s="20" t="s">
        <v>3995</v>
      </c>
    </row>
    <row r="1799" spans="1:2" x14ac:dyDescent="0.25">
      <c r="A1799" s="20" t="s">
        <v>4054</v>
      </c>
      <c r="B1799" s="20" t="s">
        <v>3995</v>
      </c>
    </row>
    <row r="1800" spans="1:2" x14ac:dyDescent="0.25">
      <c r="A1800" s="20" t="s">
        <v>4064</v>
      </c>
      <c r="B1800" s="20" t="s">
        <v>3995</v>
      </c>
    </row>
    <row r="1801" spans="1:2" x14ac:dyDescent="0.25">
      <c r="A1801" s="20" t="s">
        <v>4071</v>
      </c>
      <c r="B1801" s="20" t="s">
        <v>3995</v>
      </c>
    </row>
    <row r="1802" spans="1:2" x14ac:dyDescent="0.25">
      <c r="A1802" s="20" t="s">
        <v>4086</v>
      </c>
      <c r="B1802" s="20" t="s">
        <v>3995</v>
      </c>
    </row>
    <row r="1803" spans="1:2" x14ac:dyDescent="0.25">
      <c r="A1803" s="20" t="s">
        <v>4101</v>
      </c>
      <c r="B1803" s="20" t="s">
        <v>3995</v>
      </c>
    </row>
    <row r="1804" spans="1:2" x14ac:dyDescent="0.25">
      <c r="A1804" s="20" t="s">
        <v>4115</v>
      </c>
      <c r="B1804" s="20" t="s">
        <v>3995</v>
      </c>
    </row>
    <row r="1805" spans="1:2" x14ac:dyDescent="0.25">
      <c r="A1805" s="20" t="s">
        <v>4128</v>
      </c>
      <c r="B1805" s="20" t="s">
        <v>3995</v>
      </c>
    </row>
    <row r="1806" spans="1:2" x14ac:dyDescent="0.25">
      <c r="A1806" s="20" t="s">
        <v>4229</v>
      </c>
      <c r="B1806" s="20" t="s">
        <v>3995</v>
      </c>
    </row>
    <row r="1807" spans="1:2" x14ac:dyDescent="0.25">
      <c r="A1807" s="20">
        <v>-196375622</v>
      </c>
      <c r="B1807" s="20" t="s">
        <v>3995</v>
      </c>
    </row>
    <row r="1808" spans="1:2" x14ac:dyDescent="0.25">
      <c r="A1808" s="20" t="s">
        <v>4441</v>
      </c>
      <c r="B1808" s="20" t="s">
        <v>3995</v>
      </c>
    </row>
    <row r="1809" spans="1:2" x14ac:dyDescent="0.25">
      <c r="A1809" s="20" t="s">
        <v>4446</v>
      </c>
      <c r="B1809" s="20" t="s">
        <v>3995</v>
      </c>
    </row>
    <row r="1810" spans="1:2" x14ac:dyDescent="0.25">
      <c r="A1810" s="20" t="s">
        <v>4452</v>
      </c>
      <c r="B1810" s="20" t="s">
        <v>3995</v>
      </c>
    </row>
    <row r="1811" spans="1:2" x14ac:dyDescent="0.25">
      <c r="A1811" s="20" t="s">
        <v>4457</v>
      </c>
      <c r="B1811" s="20" t="s">
        <v>3995</v>
      </c>
    </row>
    <row r="1812" spans="1:2" x14ac:dyDescent="0.25">
      <c r="A1812" s="20" t="s">
        <v>4462</v>
      </c>
      <c r="B1812" s="20" t="s">
        <v>3995</v>
      </c>
    </row>
    <row r="1813" spans="1:2" x14ac:dyDescent="0.25">
      <c r="A1813" s="20" t="s">
        <v>4466</v>
      </c>
      <c r="B1813" s="20" t="s">
        <v>3995</v>
      </c>
    </row>
    <row r="1814" spans="1:2" x14ac:dyDescent="0.25">
      <c r="A1814" s="20" t="s">
        <v>4471</v>
      </c>
      <c r="B1814" s="20" t="s">
        <v>3995</v>
      </c>
    </row>
    <row r="1815" spans="1:2" x14ac:dyDescent="0.25">
      <c r="A1815" s="20" t="s">
        <v>4475</v>
      </c>
      <c r="B1815" s="20" t="s">
        <v>3995</v>
      </c>
    </row>
    <row r="1816" spans="1:2" x14ac:dyDescent="0.25">
      <c r="A1816" s="20" t="s">
        <v>4478</v>
      </c>
      <c r="B1816" s="20" t="s">
        <v>3995</v>
      </c>
    </row>
    <row r="1817" spans="1:2" x14ac:dyDescent="0.25">
      <c r="A1817" s="20" t="s">
        <v>4482</v>
      </c>
      <c r="B1817" s="20" t="s">
        <v>3995</v>
      </c>
    </row>
    <row r="1818" spans="1:2" x14ac:dyDescent="0.25">
      <c r="A1818" s="20" t="s">
        <v>4472</v>
      </c>
      <c r="B1818" s="20" t="s">
        <v>3995</v>
      </c>
    </row>
    <row r="1819" spans="1:2" x14ac:dyDescent="0.25">
      <c r="A1819" s="20" t="s">
        <v>4487</v>
      </c>
      <c r="B1819" s="20" t="s">
        <v>3995</v>
      </c>
    </row>
    <row r="1820" spans="1:2" x14ac:dyDescent="0.25">
      <c r="A1820" s="20" t="s">
        <v>4489</v>
      </c>
      <c r="B1820" s="20" t="s">
        <v>3995</v>
      </c>
    </row>
    <row r="1821" spans="1:2" x14ac:dyDescent="0.25">
      <c r="A1821" s="20">
        <v>12166594</v>
      </c>
      <c r="B1821" s="20" t="s">
        <v>3995</v>
      </c>
    </row>
    <row r="1822" spans="1:2" x14ac:dyDescent="0.25">
      <c r="A1822" s="20" t="s">
        <v>4492</v>
      </c>
      <c r="B1822" s="20" t="s">
        <v>3995</v>
      </c>
    </row>
    <row r="1823" spans="1:2" x14ac:dyDescent="0.25">
      <c r="A1823" s="20" t="s">
        <v>4495</v>
      </c>
      <c r="B1823" s="20" t="s">
        <v>3995</v>
      </c>
    </row>
    <row r="1824" spans="1:2" x14ac:dyDescent="0.25">
      <c r="A1824" s="20" t="s">
        <v>4496</v>
      </c>
      <c r="B1824" s="20" t="s">
        <v>3995</v>
      </c>
    </row>
    <row r="1825" spans="1:2" x14ac:dyDescent="0.25">
      <c r="A1825" s="20" t="s">
        <v>4497</v>
      </c>
      <c r="B1825" s="20" t="s">
        <v>3995</v>
      </c>
    </row>
    <row r="1826" spans="1:2" x14ac:dyDescent="0.25">
      <c r="A1826" s="20" t="s">
        <v>4498</v>
      </c>
      <c r="B1826" s="20" t="s">
        <v>3995</v>
      </c>
    </row>
    <row r="1827" spans="1:2" x14ac:dyDescent="0.25">
      <c r="A1827" s="20" t="s">
        <v>4500</v>
      </c>
      <c r="B1827" s="20" t="s">
        <v>3995</v>
      </c>
    </row>
    <row r="1828" spans="1:2" x14ac:dyDescent="0.25">
      <c r="A1828" s="20" t="s">
        <v>4501</v>
      </c>
      <c r="B1828" s="20" t="s">
        <v>3995</v>
      </c>
    </row>
    <row r="1829" spans="1:2" x14ac:dyDescent="0.25">
      <c r="A1829" s="20" t="s">
        <v>4503</v>
      </c>
      <c r="B1829" s="20" t="s">
        <v>3995</v>
      </c>
    </row>
    <row r="1830" spans="1:2" x14ac:dyDescent="0.25">
      <c r="A1830" s="20" t="s">
        <v>4504</v>
      </c>
      <c r="B1830" s="20" t="s">
        <v>3995</v>
      </c>
    </row>
    <row r="1831" spans="1:2" x14ac:dyDescent="0.25">
      <c r="A1831" s="20" t="s">
        <v>4505</v>
      </c>
      <c r="B1831" s="20" t="s">
        <v>3995</v>
      </c>
    </row>
    <row r="1832" spans="1:2" x14ac:dyDescent="0.25">
      <c r="A1832" s="20" t="s">
        <v>4507</v>
      </c>
      <c r="B1832" s="20" t="s">
        <v>3995</v>
      </c>
    </row>
    <row r="1833" spans="1:2" x14ac:dyDescent="0.25">
      <c r="A1833" s="20" t="s">
        <v>4509</v>
      </c>
      <c r="B1833" s="20" t="s">
        <v>3995</v>
      </c>
    </row>
    <row r="1834" spans="1:2" x14ac:dyDescent="0.25">
      <c r="A1834" s="20" t="s">
        <v>4512</v>
      </c>
      <c r="B1834" s="20" t="s">
        <v>3995</v>
      </c>
    </row>
    <row r="1835" spans="1:2" x14ac:dyDescent="0.25">
      <c r="A1835" s="20" t="s">
        <v>4516</v>
      </c>
      <c r="B1835" s="20" t="s">
        <v>3995</v>
      </c>
    </row>
    <row r="1836" spans="1:2" x14ac:dyDescent="0.25">
      <c r="A1836" s="20" t="s">
        <v>4518</v>
      </c>
      <c r="B1836" s="20" t="s">
        <v>3995</v>
      </c>
    </row>
    <row r="1837" spans="1:2" x14ac:dyDescent="0.25">
      <c r="A1837" s="20" t="s">
        <v>4521</v>
      </c>
      <c r="B1837" s="20" t="s">
        <v>3995</v>
      </c>
    </row>
    <row r="1838" spans="1:2" x14ac:dyDescent="0.25">
      <c r="A1838" s="20" t="s">
        <v>4525</v>
      </c>
      <c r="B1838" s="20" t="s">
        <v>3995</v>
      </c>
    </row>
    <row r="1839" spans="1:2" x14ac:dyDescent="0.25">
      <c r="A1839" s="20" t="s">
        <v>4526</v>
      </c>
      <c r="B1839" s="20" t="s">
        <v>3995</v>
      </c>
    </row>
    <row r="1840" spans="1:2" x14ac:dyDescent="0.25">
      <c r="A1840" s="20" t="s">
        <v>4528</v>
      </c>
      <c r="B1840" s="20" t="s">
        <v>3995</v>
      </c>
    </row>
    <row r="1841" spans="1:2" x14ac:dyDescent="0.25">
      <c r="A1841" s="20" t="s">
        <v>4530</v>
      </c>
      <c r="B1841" s="20" t="s">
        <v>3995</v>
      </c>
    </row>
    <row r="1842" spans="1:2" x14ac:dyDescent="0.25">
      <c r="A1842" s="20" t="s">
        <v>4532</v>
      </c>
      <c r="B1842" s="20" t="s">
        <v>3995</v>
      </c>
    </row>
    <row r="1843" spans="1:2" x14ac:dyDescent="0.25">
      <c r="A1843" s="20" t="s">
        <v>4535</v>
      </c>
      <c r="B1843" s="20" t="s">
        <v>3995</v>
      </c>
    </row>
    <row r="1844" spans="1:2" x14ac:dyDescent="0.25">
      <c r="A1844" s="20" t="s">
        <v>4538</v>
      </c>
      <c r="B1844" s="20" t="s">
        <v>3995</v>
      </c>
    </row>
    <row r="1845" spans="1:2" x14ac:dyDescent="0.25">
      <c r="A1845" s="20" t="s">
        <v>4540</v>
      </c>
      <c r="B1845" s="20" t="s">
        <v>3995</v>
      </c>
    </row>
    <row r="1846" spans="1:2" x14ac:dyDescent="0.25">
      <c r="A1846" s="20" t="s">
        <v>4542</v>
      </c>
      <c r="B1846" s="20" t="s">
        <v>3995</v>
      </c>
    </row>
    <row r="1847" spans="1:2" x14ac:dyDescent="0.25">
      <c r="A1847" s="20" t="s">
        <v>4544</v>
      </c>
      <c r="B1847" s="20" t="s">
        <v>3995</v>
      </c>
    </row>
    <row r="1848" spans="1:2" x14ac:dyDescent="0.25">
      <c r="A1848" s="20">
        <v>134563759</v>
      </c>
      <c r="B1848" s="20" t="s">
        <v>3995</v>
      </c>
    </row>
    <row r="1849" spans="1:2" x14ac:dyDescent="0.25">
      <c r="A1849" s="20" t="s">
        <v>4545</v>
      </c>
      <c r="B1849" s="20" t="s">
        <v>3995</v>
      </c>
    </row>
    <row r="1850" spans="1:2" x14ac:dyDescent="0.25">
      <c r="A1850" s="20" t="s">
        <v>4547</v>
      </c>
      <c r="B1850" s="20" t="s">
        <v>3995</v>
      </c>
    </row>
    <row r="1851" spans="1:2" x14ac:dyDescent="0.25">
      <c r="A1851" s="20" t="s">
        <v>4548</v>
      </c>
      <c r="B1851" s="20" t="s">
        <v>3995</v>
      </c>
    </row>
    <row r="1852" spans="1:2" x14ac:dyDescent="0.25">
      <c r="A1852" s="20" t="s">
        <v>4551</v>
      </c>
      <c r="B1852" s="20" t="s">
        <v>3995</v>
      </c>
    </row>
    <row r="1853" spans="1:2" x14ac:dyDescent="0.25">
      <c r="A1853" s="20" t="s">
        <v>4553</v>
      </c>
      <c r="B1853" s="20" t="s">
        <v>3995</v>
      </c>
    </row>
    <row r="1854" spans="1:2" x14ac:dyDescent="0.25">
      <c r="A1854" s="20">
        <v>424803245</v>
      </c>
      <c r="B1854" s="20" t="s">
        <v>3995</v>
      </c>
    </row>
    <row r="1855" spans="1:2" x14ac:dyDescent="0.25">
      <c r="A1855" s="20">
        <v>423956979</v>
      </c>
      <c r="B1855" s="20" t="s">
        <v>3995</v>
      </c>
    </row>
    <row r="1856" spans="1:2" x14ac:dyDescent="0.25">
      <c r="A1856" s="20">
        <v>424824621</v>
      </c>
      <c r="B1856" s="20" t="s">
        <v>3995</v>
      </c>
    </row>
    <row r="1857" spans="1:2" x14ac:dyDescent="0.25">
      <c r="A1857" s="20">
        <v>423956980</v>
      </c>
      <c r="B1857" s="20" t="s">
        <v>3995</v>
      </c>
    </row>
    <row r="1858" spans="1:2" x14ac:dyDescent="0.25">
      <c r="A1858" s="20" t="s">
        <v>4556</v>
      </c>
      <c r="B1858" s="20" t="s">
        <v>3995</v>
      </c>
    </row>
    <row r="1859" spans="1:2" x14ac:dyDescent="0.25">
      <c r="A1859" s="20" t="s">
        <v>4557</v>
      </c>
      <c r="B1859" s="20" t="s">
        <v>3995</v>
      </c>
    </row>
    <row r="1860" spans="1:2" x14ac:dyDescent="0.25">
      <c r="A1860" s="20" t="s">
        <v>4558</v>
      </c>
      <c r="B1860" s="20" t="s">
        <v>3995</v>
      </c>
    </row>
    <row r="1861" spans="1:2" x14ac:dyDescent="0.25">
      <c r="A1861" s="20" t="s">
        <v>4559</v>
      </c>
      <c r="B1861" s="20" t="s">
        <v>3995</v>
      </c>
    </row>
    <row r="1862" spans="1:2" x14ac:dyDescent="0.25">
      <c r="A1862" s="20" t="s">
        <v>4561</v>
      </c>
      <c r="B1862" s="20" t="s">
        <v>3995</v>
      </c>
    </row>
    <row r="1863" spans="1:2" x14ac:dyDescent="0.25">
      <c r="A1863" s="20" t="s">
        <v>4563</v>
      </c>
      <c r="B1863" s="20" t="s">
        <v>3995</v>
      </c>
    </row>
    <row r="1864" spans="1:2" x14ac:dyDescent="0.25">
      <c r="A1864" s="20" t="s">
        <v>4152</v>
      </c>
      <c r="B1864" s="20" t="s">
        <v>3995</v>
      </c>
    </row>
    <row r="1865" spans="1:2" x14ac:dyDescent="0.25">
      <c r="A1865" s="20" t="s">
        <v>4565</v>
      </c>
      <c r="B1865" s="20" t="s">
        <v>3995</v>
      </c>
    </row>
    <row r="1866" spans="1:2" x14ac:dyDescent="0.25">
      <c r="A1866" s="20" t="s">
        <v>4200</v>
      </c>
      <c r="B1866" s="20" t="s">
        <v>3995</v>
      </c>
    </row>
    <row r="1867" spans="1:2" x14ac:dyDescent="0.25">
      <c r="A1867" s="20" t="s">
        <v>4212</v>
      </c>
      <c r="B1867" s="20" t="s">
        <v>3995</v>
      </c>
    </row>
    <row r="1868" spans="1:2" x14ac:dyDescent="0.25">
      <c r="A1868" s="20" t="s">
        <v>4030</v>
      </c>
      <c r="B1868" s="20" t="s">
        <v>3995</v>
      </c>
    </row>
    <row r="1869" spans="1:2" x14ac:dyDescent="0.25">
      <c r="A1869" s="20" t="s">
        <v>4033</v>
      </c>
      <c r="B1869" s="20" t="s">
        <v>3995</v>
      </c>
    </row>
    <row r="1870" spans="1:2" x14ac:dyDescent="0.25">
      <c r="A1870" s="20" t="s">
        <v>4038</v>
      </c>
      <c r="B1870" s="20" t="s">
        <v>3995</v>
      </c>
    </row>
    <row r="1871" spans="1:2" x14ac:dyDescent="0.25">
      <c r="A1871" s="20" t="s">
        <v>4047</v>
      </c>
      <c r="B1871" s="20" t="s">
        <v>3995</v>
      </c>
    </row>
    <row r="1872" spans="1:2" x14ac:dyDescent="0.25">
      <c r="A1872" s="20" t="s">
        <v>4057</v>
      </c>
      <c r="B1872" s="20" t="s">
        <v>3995</v>
      </c>
    </row>
    <row r="1873" spans="1:2" x14ac:dyDescent="0.25">
      <c r="A1873" s="20" t="s">
        <v>4067</v>
      </c>
      <c r="B1873" s="20" t="s">
        <v>3995</v>
      </c>
    </row>
    <row r="1874" spans="1:2" x14ac:dyDescent="0.25">
      <c r="A1874" s="20" t="s">
        <v>4077</v>
      </c>
      <c r="B1874" s="20" t="s">
        <v>3995</v>
      </c>
    </row>
    <row r="1875" spans="1:2" x14ac:dyDescent="0.25">
      <c r="A1875" s="20" t="s">
        <v>4094</v>
      </c>
      <c r="B1875" s="20" t="s">
        <v>3995</v>
      </c>
    </row>
    <row r="1876" spans="1:2" x14ac:dyDescent="0.25">
      <c r="A1876" s="20" t="s">
        <v>4108</v>
      </c>
      <c r="B1876" s="20" t="s">
        <v>3995</v>
      </c>
    </row>
    <row r="1877" spans="1:2" x14ac:dyDescent="0.25">
      <c r="A1877" s="20" t="s">
        <v>4121</v>
      </c>
      <c r="B1877" s="20" t="s">
        <v>3995</v>
      </c>
    </row>
    <row r="1878" spans="1:2" x14ac:dyDescent="0.25">
      <c r="A1878" s="20">
        <v>196358965</v>
      </c>
      <c r="B1878" s="20" t="s">
        <v>3995</v>
      </c>
    </row>
    <row r="1879" spans="1:2" x14ac:dyDescent="0.25">
      <c r="A1879" s="20" t="s">
        <v>4139</v>
      </c>
      <c r="B1879" s="20" t="s">
        <v>3995</v>
      </c>
    </row>
    <row r="1880" spans="1:2" x14ac:dyDescent="0.25">
      <c r="A1880" s="20" t="s">
        <v>4150</v>
      </c>
      <c r="B1880" s="20" t="s">
        <v>3995</v>
      </c>
    </row>
    <row r="1881" spans="1:2" x14ac:dyDescent="0.25">
      <c r="A1881" s="20" t="s">
        <v>4164</v>
      </c>
      <c r="B1881" s="20" t="s">
        <v>3995</v>
      </c>
    </row>
    <row r="1882" spans="1:2" x14ac:dyDescent="0.25">
      <c r="A1882" s="20" t="s">
        <v>4183</v>
      </c>
      <c r="B1882" s="20" t="s">
        <v>3995</v>
      </c>
    </row>
    <row r="1883" spans="1:2" x14ac:dyDescent="0.25">
      <c r="A1883" s="20" t="s">
        <v>4199</v>
      </c>
      <c r="B1883" s="20" t="s">
        <v>3995</v>
      </c>
    </row>
    <row r="1884" spans="1:2" x14ac:dyDescent="0.25">
      <c r="A1884" s="20" t="s">
        <v>4211</v>
      </c>
      <c r="B1884" s="20" t="s">
        <v>3995</v>
      </c>
    </row>
    <row r="1885" spans="1:2" x14ac:dyDescent="0.25">
      <c r="A1885" s="20" t="s">
        <v>4222</v>
      </c>
      <c r="B1885" s="20" t="s">
        <v>3995</v>
      </c>
    </row>
    <row r="1886" spans="1:2" x14ac:dyDescent="0.25">
      <c r="A1886" s="20">
        <v>423972761</v>
      </c>
      <c r="B1886" s="20" t="s">
        <v>3995</v>
      </c>
    </row>
    <row r="1887" spans="1:2" x14ac:dyDescent="0.25">
      <c r="A1887" s="20" t="s">
        <v>4240</v>
      </c>
      <c r="B1887" s="20" t="s">
        <v>3995</v>
      </c>
    </row>
    <row r="1888" spans="1:2" x14ac:dyDescent="0.25">
      <c r="A1888" s="20" t="s">
        <v>4252</v>
      </c>
      <c r="B1888" s="20" t="s">
        <v>3995</v>
      </c>
    </row>
    <row r="1889" spans="1:2" x14ac:dyDescent="0.25">
      <c r="A1889" s="20" t="s">
        <v>4260</v>
      </c>
      <c r="B1889" s="20" t="s">
        <v>3995</v>
      </c>
    </row>
    <row r="1890" spans="1:2" x14ac:dyDescent="0.25">
      <c r="A1890" s="20" t="s">
        <v>4270</v>
      </c>
      <c r="B1890" s="20" t="s">
        <v>3995</v>
      </c>
    </row>
    <row r="1891" spans="1:2" x14ac:dyDescent="0.25">
      <c r="A1891" s="20" t="s">
        <v>4281</v>
      </c>
      <c r="B1891" s="20" t="s">
        <v>3995</v>
      </c>
    </row>
    <row r="1892" spans="1:2" x14ac:dyDescent="0.25">
      <c r="A1892" s="20" t="s">
        <v>4298</v>
      </c>
      <c r="B1892" s="20" t="s">
        <v>3995</v>
      </c>
    </row>
    <row r="1893" spans="1:2" x14ac:dyDescent="0.25">
      <c r="A1893" s="20" t="s">
        <v>4310</v>
      </c>
      <c r="B1893" s="20" t="s">
        <v>3995</v>
      </c>
    </row>
    <row r="1894" spans="1:2" x14ac:dyDescent="0.25">
      <c r="A1894" s="20" t="s">
        <v>4322</v>
      </c>
      <c r="B1894" s="20" t="s">
        <v>3995</v>
      </c>
    </row>
    <row r="1895" spans="1:2" x14ac:dyDescent="0.25">
      <c r="A1895" s="20" t="s">
        <v>4334</v>
      </c>
      <c r="B1895" s="20" t="s">
        <v>3995</v>
      </c>
    </row>
    <row r="1896" spans="1:2" x14ac:dyDescent="0.25">
      <c r="A1896" s="20" t="s">
        <v>4344</v>
      </c>
      <c r="B1896" s="20" t="s">
        <v>3995</v>
      </c>
    </row>
    <row r="1897" spans="1:2" x14ac:dyDescent="0.25">
      <c r="A1897" s="20" t="s">
        <v>4354</v>
      </c>
      <c r="B1897" s="20" t="s">
        <v>3995</v>
      </c>
    </row>
    <row r="1898" spans="1:2" x14ac:dyDescent="0.25">
      <c r="A1898" s="20" t="s">
        <v>4295</v>
      </c>
      <c r="B1898" s="20" t="s">
        <v>3995</v>
      </c>
    </row>
    <row r="1899" spans="1:2" x14ac:dyDescent="0.25">
      <c r="A1899" s="20">
        <v>12163074</v>
      </c>
      <c r="B1899" s="20" t="s">
        <v>3995</v>
      </c>
    </row>
    <row r="1900" spans="1:2" x14ac:dyDescent="0.25">
      <c r="A1900" s="20" t="s">
        <v>4377</v>
      </c>
      <c r="B1900" s="20" t="s">
        <v>3995</v>
      </c>
    </row>
    <row r="1901" spans="1:2" x14ac:dyDescent="0.25">
      <c r="A1901" s="20">
        <v>12158795</v>
      </c>
      <c r="B1901" s="20" t="s">
        <v>3995</v>
      </c>
    </row>
    <row r="1902" spans="1:2" x14ac:dyDescent="0.25">
      <c r="A1902" s="20" t="s">
        <v>4393</v>
      </c>
      <c r="B1902" s="20" t="s">
        <v>3995</v>
      </c>
    </row>
    <row r="1903" spans="1:2" x14ac:dyDescent="0.25">
      <c r="A1903" s="20" t="s">
        <v>4399</v>
      </c>
      <c r="B1903" s="20" t="s">
        <v>3995</v>
      </c>
    </row>
    <row r="1904" spans="1:2" x14ac:dyDescent="0.25">
      <c r="A1904" s="20" t="s">
        <v>4036</v>
      </c>
      <c r="B1904" s="20" t="s">
        <v>3995</v>
      </c>
    </row>
    <row r="1905" spans="1:2" x14ac:dyDescent="0.25">
      <c r="A1905" s="20" t="s">
        <v>4044</v>
      </c>
      <c r="B1905" s="20" t="s">
        <v>3995</v>
      </c>
    </row>
    <row r="1906" spans="1:2" x14ac:dyDescent="0.25">
      <c r="A1906" s="20" t="s">
        <v>4053</v>
      </c>
      <c r="B1906" s="20" t="s">
        <v>3995</v>
      </c>
    </row>
    <row r="1907" spans="1:2" x14ac:dyDescent="0.25">
      <c r="A1907" s="20" t="s">
        <v>4063</v>
      </c>
      <c r="B1907" s="20" t="s">
        <v>3995</v>
      </c>
    </row>
    <row r="1908" spans="1:2" x14ac:dyDescent="0.25">
      <c r="A1908" s="20" t="s">
        <v>4072</v>
      </c>
      <c r="B1908" s="20" t="s">
        <v>3995</v>
      </c>
    </row>
    <row r="1909" spans="1:2" x14ac:dyDescent="0.25">
      <c r="A1909" s="20" t="s">
        <v>4088</v>
      </c>
      <c r="B1909" s="20" t="s">
        <v>3995</v>
      </c>
    </row>
    <row r="1910" spans="1:2" x14ac:dyDescent="0.25">
      <c r="A1910" s="20" t="s">
        <v>4103</v>
      </c>
      <c r="B1910" s="20" t="s">
        <v>3995</v>
      </c>
    </row>
    <row r="1911" spans="1:2" x14ac:dyDescent="0.25">
      <c r="A1911" s="20">
        <v>-197974065</v>
      </c>
      <c r="B1911" s="20" t="s">
        <v>3995</v>
      </c>
    </row>
    <row r="1912" spans="1:2" x14ac:dyDescent="0.25">
      <c r="A1912" s="20" t="s">
        <v>4129</v>
      </c>
      <c r="B1912" s="20" t="s">
        <v>3995</v>
      </c>
    </row>
    <row r="1913" spans="1:2" x14ac:dyDescent="0.25">
      <c r="A1913" s="20" t="s">
        <v>4136</v>
      </c>
      <c r="B1913" s="20" t="s">
        <v>3995</v>
      </c>
    </row>
    <row r="1914" spans="1:2" x14ac:dyDescent="0.25">
      <c r="A1914" s="20" t="s">
        <v>4147</v>
      </c>
      <c r="B1914" s="20" t="s">
        <v>3995</v>
      </c>
    </row>
    <row r="1915" spans="1:2" x14ac:dyDescent="0.25">
      <c r="A1915" s="20">
        <v>145818800</v>
      </c>
      <c r="B1915" s="20" t="s">
        <v>3995</v>
      </c>
    </row>
    <row r="1916" spans="1:2" x14ac:dyDescent="0.25">
      <c r="A1916" s="20" t="s">
        <v>4178</v>
      </c>
      <c r="B1916" s="20" t="s">
        <v>3995</v>
      </c>
    </row>
    <row r="1917" spans="1:2" x14ac:dyDescent="0.25">
      <c r="A1917" s="20" t="s">
        <v>4146</v>
      </c>
      <c r="B1917" s="20" t="s">
        <v>3995</v>
      </c>
    </row>
    <row r="1918" spans="1:2" x14ac:dyDescent="0.25">
      <c r="A1918" s="20">
        <v>-12174962</v>
      </c>
      <c r="B1918" s="20" t="s">
        <v>3995</v>
      </c>
    </row>
    <row r="1919" spans="1:2" x14ac:dyDescent="0.25">
      <c r="A1919" s="20" t="s">
        <v>4177</v>
      </c>
      <c r="B1919" s="20" t="s">
        <v>3995</v>
      </c>
    </row>
    <row r="1920" spans="1:2" x14ac:dyDescent="0.25">
      <c r="A1920" s="20" t="s">
        <v>4195</v>
      </c>
      <c r="B1920" s="20" t="s">
        <v>3995</v>
      </c>
    </row>
    <row r="1921" spans="1:2" x14ac:dyDescent="0.25">
      <c r="A1921" s="20" t="s">
        <v>4209</v>
      </c>
      <c r="B1921" s="20" t="s">
        <v>3995</v>
      </c>
    </row>
    <row r="1922" spans="1:2" x14ac:dyDescent="0.25">
      <c r="A1922" s="20">
        <v>-377438344</v>
      </c>
      <c r="B1922" s="20" t="s">
        <v>3995</v>
      </c>
    </row>
    <row r="1923" spans="1:2" x14ac:dyDescent="0.25">
      <c r="A1923" s="20" t="s">
        <v>4228</v>
      </c>
      <c r="B1923" s="20" t="s">
        <v>3995</v>
      </c>
    </row>
    <row r="1924" spans="1:2" x14ac:dyDescent="0.25">
      <c r="A1924" s="20" t="s">
        <v>4237</v>
      </c>
      <c r="B1924" s="20" t="s">
        <v>3995</v>
      </c>
    </row>
    <row r="1925" spans="1:2" x14ac:dyDescent="0.25">
      <c r="A1925" s="20" t="s">
        <v>4249</v>
      </c>
      <c r="B1925" s="20" t="s">
        <v>3995</v>
      </c>
    </row>
    <row r="1926" spans="1:2" x14ac:dyDescent="0.25">
      <c r="A1926" s="20" t="s">
        <v>4258</v>
      </c>
      <c r="B1926" s="20" t="s">
        <v>3995</v>
      </c>
    </row>
    <row r="1927" spans="1:2" x14ac:dyDescent="0.25">
      <c r="A1927" s="20" t="s">
        <v>4266</v>
      </c>
      <c r="B1927" s="20" t="s">
        <v>3995</v>
      </c>
    </row>
    <row r="1928" spans="1:2" x14ac:dyDescent="0.25">
      <c r="A1928" s="20" t="s">
        <v>4276</v>
      </c>
      <c r="B1928" s="20" t="s">
        <v>3995</v>
      </c>
    </row>
    <row r="1929" spans="1:2" x14ac:dyDescent="0.25">
      <c r="A1929" s="20" t="s">
        <v>4292</v>
      </c>
      <c r="B1929" s="20" t="s">
        <v>3995</v>
      </c>
    </row>
    <row r="1930" spans="1:2" x14ac:dyDescent="0.25">
      <c r="A1930" s="20" t="s">
        <v>4305</v>
      </c>
      <c r="B1930" s="20" t="s">
        <v>3995</v>
      </c>
    </row>
    <row r="1931" spans="1:2" x14ac:dyDescent="0.25">
      <c r="A1931" s="20">
        <v>-12143825</v>
      </c>
      <c r="B1931" s="20" t="s">
        <v>3995</v>
      </c>
    </row>
    <row r="1932" spans="1:2" x14ac:dyDescent="0.25">
      <c r="A1932" s="20" t="s">
        <v>4329</v>
      </c>
      <c r="B1932" s="20" t="s">
        <v>3995</v>
      </c>
    </row>
    <row r="1933" spans="1:2" x14ac:dyDescent="0.25">
      <c r="A1933" s="20" t="s">
        <v>4339</v>
      </c>
      <c r="B1933" s="20" t="s">
        <v>3995</v>
      </c>
    </row>
    <row r="1934" spans="1:2" x14ac:dyDescent="0.25">
      <c r="A1934" s="20" t="s">
        <v>4349</v>
      </c>
      <c r="B1934" s="20" t="s">
        <v>3995</v>
      </c>
    </row>
    <row r="1935" spans="1:2" x14ac:dyDescent="0.25">
      <c r="A1935" s="20" t="s">
        <v>4358</v>
      </c>
      <c r="B1935" s="20" t="s">
        <v>3995</v>
      </c>
    </row>
    <row r="1936" spans="1:2" x14ac:dyDescent="0.25">
      <c r="A1936" s="20" t="s">
        <v>4366</v>
      </c>
      <c r="B1936" s="20" t="s">
        <v>3995</v>
      </c>
    </row>
    <row r="1937" spans="1:2" x14ac:dyDescent="0.25">
      <c r="A1937" s="20" t="s">
        <v>4372</v>
      </c>
      <c r="B1937" s="20" t="s">
        <v>3995</v>
      </c>
    </row>
    <row r="1938" spans="1:2" x14ac:dyDescent="0.25">
      <c r="A1938" s="20" t="s">
        <v>4380</v>
      </c>
      <c r="B1938" s="20" t="s">
        <v>3995</v>
      </c>
    </row>
    <row r="1939" spans="1:2" x14ac:dyDescent="0.25">
      <c r="A1939" s="20" t="s">
        <v>4388</v>
      </c>
      <c r="B1939" s="20" t="s">
        <v>3995</v>
      </c>
    </row>
    <row r="1940" spans="1:2" x14ac:dyDescent="0.25">
      <c r="A1940" s="20">
        <v>165303424</v>
      </c>
      <c r="B1940" s="20" t="s">
        <v>3995</v>
      </c>
    </row>
    <row r="1941" spans="1:2" x14ac:dyDescent="0.25">
      <c r="A1941" s="20" t="s">
        <v>4402</v>
      </c>
      <c r="B1941" s="20" t="s">
        <v>3995</v>
      </c>
    </row>
    <row r="1942" spans="1:2" x14ac:dyDescent="0.25">
      <c r="A1942" s="20" t="s">
        <v>4408</v>
      </c>
      <c r="B1942" s="20" t="s">
        <v>3995</v>
      </c>
    </row>
    <row r="1943" spans="1:2" x14ac:dyDescent="0.25">
      <c r="A1943" s="20" t="s">
        <v>4413</v>
      </c>
      <c r="B1943" s="20" t="s">
        <v>3995</v>
      </c>
    </row>
    <row r="1944" spans="1:2" x14ac:dyDescent="0.25">
      <c r="A1944" s="20" t="s">
        <v>4417</v>
      </c>
      <c r="B1944" s="20" t="s">
        <v>3995</v>
      </c>
    </row>
    <row r="1945" spans="1:2" x14ac:dyDescent="0.25">
      <c r="A1945" s="20" t="s">
        <v>4422</v>
      </c>
      <c r="B1945" s="20" t="s">
        <v>3995</v>
      </c>
    </row>
    <row r="1946" spans="1:2" x14ac:dyDescent="0.25">
      <c r="A1946" s="20" t="s">
        <v>4428</v>
      </c>
      <c r="B1946" s="20" t="s">
        <v>3995</v>
      </c>
    </row>
    <row r="1947" spans="1:2" x14ac:dyDescent="0.25">
      <c r="A1947" s="20" t="s">
        <v>3996</v>
      </c>
      <c r="B1947" s="20" t="s">
        <v>3996</v>
      </c>
    </row>
    <row r="1948" spans="1:2" x14ac:dyDescent="0.25">
      <c r="A1948" s="20" t="s">
        <v>4028</v>
      </c>
      <c r="B1948" s="20" t="s">
        <v>3996</v>
      </c>
    </row>
    <row r="1949" spans="1:2" x14ac:dyDescent="0.25">
      <c r="A1949" s="20">
        <v>-448887867</v>
      </c>
      <c r="B1949" s="20" t="s">
        <v>3996</v>
      </c>
    </row>
    <row r="1950" spans="1:2" x14ac:dyDescent="0.25">
      <c r="A1950" s="20">
        <v>-448887869</v>
      </c>
      <c r="B1950" s="20" t="s">
        <v>3996</v>
      </c>
    </row>
    <row r="1951" spans="1:2" x14ac:dyDescent="0.25">
      <c r="A1951" s="20" t="s">
        <v>4045</v>
      </c>
      <c r="B1951" s="20" t="s">
        <v>3996</v>
      </c>
    </row>
    <row r="1952" spans="1:2" x14ac:dyDescent="0.25">
      <c r="A1952" s="20" t="s">
        <v>4055</v>
      </c>
      <c r="B1952" s="20" t="s">
        <v>3996</v>
      </c>
    </row>
    <row r="1953" spans="1:2" x14ac:dyDescent="0.25">
      <c r="A1953" s="20">
        <v>-448887868</v>
      </c>
      <c r="B1953" s="20" t="s">
        <v>3996</v>
      </c>
    </row>
    <row r="1954" spans="1:2" x14ac:dyDescent="0.25">
      <c r="A1954" s="20" t="s">
        <v>4073</v>
      </c>
      <c r="B1954" s="20" t="s">
        <v>3996</v>
      </c>
    </row>
    <row r="1955" spans="1:2" x14ac:dyDescent="0.25">
      <c r="A1955" s="20" t="s">
        <v>4090</v>
      </c>
      <c r="B1955" s="20" t="s">
        <v>3996</v>
      </c>
    </row>
    <row r="1956" spans="1:2" x14ac:dyDescent="0.25">
      <c r="A1956" s="20">
        <v>-423965484</v>
      </c>
      <c r="B1956" s="20" t="s">
        <v>3996</v>
      </c>
    </row>
    <row r="1957" spans="1:2" x14ac:dyDescent="0.25">
      <c r="A1957" s="20" t="s">
        <v>4117</v>
      </c>
      <c r="B1957" s="20" t="s">
        <v>3996</v>
      </c>
    </row>
    <row r="1958" spans="1:2" x14ac:dyDescent="0.25">
      <c r="A1958" s="20">
        <v>-387423966</v>
      </c>
      <c r="B1958" s="20" t="s">
        <v>3996</v>
      </c>
    </row>
    <row r="1959" spans="1:2" x14ac:dyDescent="0.25">
      <c r="A1959" s="20">
        <v>-424978642</v>
      </c>
      <c r="B1959" s="20" t="s">
        <v>3996</v>
      </c>
    </row>
    <row r="1960" spans="1:2" x14ac:dyDescent="0.25">
      <c r="A1960" s="20">
        <v>-424978642.17000002</v>
      </c>
      <c r="B1960" s="20" t="s">
        <v>3996</v>
      </c>
    </row>
    <row r="1961" spans="1:2" x14ac:dyDescent="0.25">
      <c r="A1961" s="20" t="s">
        <v>4161</v>
      </c>
      <c r="B1961" s="20" t="s">
        <v>3996</v>
      </c>
    </row>
    <row r="1962" spans="1:2" x14ac:dyDescent="0.25">
      <c r="A1962" s="20">
        <v>-423967352</v>
      </c>
      <c r="B1962" s="20" t="s">
        <v>3996</v>
      </c>
    </row>
    <row r="1963" spans="1:2" x14ac:dyDescent="0.25">
      <c r="A1963" s="20" t="s">
        <v>4197</v>
      </c>
      <c r="B1963" s="20" t="s">
        <v>3996</v>
      </c>
    </row>
    <row r="1964" spans="1:2" x14ac:dyDescent="0.25">
      <c r="A1964" s="20" t="s">
        <v>4098</v>
      </c>
      <c r="B1964" s="20" t="s">
        <v>3996</v>
      </c>
    </row>
    <row r="1965" spans="1:2" x14ac:dyDescent="0.25">
      <c r="A1965" s="20">
        <v>-423967356</v>
      </c>
      <c r="B1965" s="20" t="s">
        <v>3996</v>
      </c>
    </row>
    <row r="1966" spans="1:2" x14ac:dyDescent="0.25">
      <c r="A1966" s="20">
        <v>-424978643</v>
      </c>
      <c r="B1966" s="20" t="s">
        <v>3996</v>
      </c>
    </row>
    <row r="1967" spans="1:2" x14ac:dyDescent="0.25">
      <c r="A1967" s="20">
        <v>-423967357</v>
      </c>
      <c r="B1967" s="20" t="s">
        <v>3996</v>
      </c>
    </row>
    <row r="1968" spans="1:2" x14ac:dyDescent="0.25">
      <c r="A1968" s="20">
        <v>-423967353</v>
      </c>
      <c r="B1968" s="20" t="s">
        <v>3996</v>
      </c>
    </row>
    <row r="1969" spans="1:2" x14ac:dyDescent="0.25">
      <c r="A1969" s="20">
        <v>-423967354</v>
      </c>
      <c r="B1969" s="20" t="s">
        <v>3996</v>
      </c>
    </row>
    <row r="1970" spans="1:2" x14ac:dyDescent="0.25">
      <c r="A1970" s="20">
        <v>-423967355</v>
      </c>
      <c r="B1970" s="20" t="s">
        <v>3996</v>
      </c>
    </row>
    <row r="1971" spans="1:2" x14ac:dyDescent="0.25">
      <c r="A1971" s="20" t="s">
        <v>4191</v>
      </c>
      <c r="B1971" s="20" t="s">
        <v>3996</v>
      </c>
    </row>
    <row r="1972" spans="1:2" x14ac:dyDescent="0.25">
      <c r="A1972" s="20" t="s">
        <v>4294</v>
      </c>
      <c r="B1972" s="20" t="s">
        <v>3996</v>
      </c>
    </row>
    <row r="1973" spans="1:2" x14ac:dyDescent="0.25">
      <c r="A1973" s="20" t="s">
        <v>4231</v>
      </c>
      <c r="B1973" s="20" t="s">
        <v>3996</v>
      </c>
    </row>
    <row r="1974" spans="1:2" x14ac:dyDescent="0.25">
      <c r="A1974" s="20" t="s">
        <v>4242</v>
      </c>
      <c r="B1974" s="20" t="s">
        <v>3996</v>
      </c>
    </row>
    <row r="1975" spans="1:2" x14ac:dyDescent="0.25">
      <c r="A1975" s="20" t="s">
        <v>4254</v>
      </c>
      <c r="B1975" s="20" t="s">
        <v>3996</v>
      </c>
    </row>
    <row r="1976" spans="1:2" x14ac:dyDescent="0.25">
      <c r="A1976" s="20" t="s">
        <v>4263</v>
      </c>
      <c r="B1976" s="20" t="s">
        <v>3996</v>
      </c>
    </row>
    <row r="1977" spans="1:2" x14ac:dyDescent="0.25">
      <c r="A1977" s="20" t="s">
        <v>4351</v>
      </c>
      <c r="B1977" s="20" t="s">
        <v>3996</v>
      </c>
    </row>
    <row r="1978" spans="1:2" x14ac:dyDescent="0.25">
      <c r="A1978" s="20" t="s">
        <v>4360</v>
      </c>
      <c r="B1978" s="20" t="s">
        <v>3996</v>
      </c>
    </row>
    <row r="1979" spans="1:2" x14ac:dyDescent="0.25">
      <c r="A1979" s="20" t="s">
        <v>4368</v>
      </c>
      <c r="B1979" s="20" t="s">
        <v>3996</v>
      </c>
    </row>
    <row r="1980" spans="1:2" x14ac:dyDescent="0.25">
      <c r="A1980" s="20" t="s">
        <v>4374</v>
      </c>
      <c r="B1980" s="20" t="s">
        <v>3996</v>
      </c>
    </row>
    <row r="1981" spans="1:2" x14ac:dyDescent="0.25">
      <c r="A1981" s="20" t="s">
        <v>4382</v>
      </c>
      <c r="B1981" s="20" t="s">
        <v>3996</v>
      </c>
    </row>
    <row r="1982" spans="1:2" x14ac:dyDescent="0.25">
      <c r="A1982" s="20" t="s">
        <v>4390</v>
      </c>
      <c r="B1982" s="20" t="s">
        <v>3996</v>
      </c>
    </row>
    <row r="1983" spans="1:2" x14ac:dyDescent="0.25">
      <c r="A1983" s="20" t="s">
        <v>4397</v>
      </c>
      <c r="B1983" s="20" t="s">
        <v>3996</v>
      </c>
    </row>
    <row r="1984" spans="1:2" x14ac:dyDescent="0.25">
      <c r="A1984" s="20" t="s">
        <v>4404</v>
      </c>
      <c r="B1984" s="20" t="s">
        <v>3996</v>
      </c>
    </row>
    <row r="1985" spans="1:2" x14ac:dyDescent="0.25">
      <c r="A1985" s="20" t="s">
        <v>4340</v>
      </c>
      <c r="B1985" s="20" t="s">
        <v>3996</v>
      </c>
    </row>
    <row r="1986" spans="1:2" x14ac:dyDescent="0.25">
      <c r="A1986" s="20" t="s">
        <v>4350</v>
      </c>
      <c r="B1986" s="20" t="s">
        <v>3996</v>
      </c>
    </row>
    <row r="1987" spans="1:2" x14ac:dyDescent="0.25">
      <c r="A1987" s="20" t="s">
        <v>4359</v>
      </c>
      <c r="B1987" s="20" t="s">
        <v>3996</v>
      </c>
    </row>
    <row r="1988" spans="1:2" x14ac:dyDescent="0.25">
      <c r="A1988" s="20" t="s">
        <v>4424</v>
      </c>
      <c r="B1988" s="20" t="s">
        <v>3996</v>
      </c>
    </row>
    <row r="1989" spans="1:2" x14ac:dyDescent="0.25">
      <c r="A1989" s="20" t="s">
        <v>4430</v>
      </c>
      <c r="B1989" s="20" t="s">
        <v>3996</v>
      </c>
    </row>
    <row r="1990" spans="1:2" x14ac:dyDescent="0.25">
      <c r="A1990" s="20" t="s">
        <v>4435</v>
      </c>
      <c r="B1990" s="20" t="s">
        <v>3996</v>
      </c>
    </row>
    <row r="1991" spans="1:2" x14ac:dyDescent="0.25">
      <c r="A1991" s="20" t="s">
        <v>4440</v>
      </c>
      <c r="B1991" s="20" t="s">
        <v>3996</v>
      </c>
    </row>
    <row r="1992" spans="1:2" x14ac:dyDescent="0.25">
      <c r="A1992" s="20" t="s">
        <v>4445</v>
      </c>
      <c r="B1992" s="20" t="s">
        <v>3996</v>
      </c>
    </row>
    <row r="1993" spans="1:2" x14ac:dyDescent="0.25">
      <c r="A1993" s="20" t="s">
        <v>4451</v>
      </c>
      <c r="B1993" s="20" t="s">
        <v>3996</v>
      </c>
    </row>
    <row r="1994" spans="1:2" x14ac:dyDescent="0.25">
      <c r="A1994" s="20" t="s">
        <v>4456</v>
      </c>
      <c r="B1994" s="20" t="s">
        <v>3996</v>
      </c>
    </row>
    <row r="1995" spans="1:2" x14ac:dyDescent="0.25">
      <c r="A1995" s="20" t="s">
        <v>4461</v>
      </c>
      <c r="B1995" s="20" t="s">
        <v>3996</v>
      </c>
    </row>
    <row r="1996" spans="1:2" x14ac:dyDescent="0.25">
      <c r="A1996" s="20" t="s">
        <v>4465</v>
      </c>
      <c r="B1996" s="20" t="s">
        <v>3996</v>
      </c>
    </row>
    <row r="1997" spans="1:2" x14ac:dyDescent="0.25">
      <c r="A1997" s="20" t="s">
        <v>4470</v>
      </c>
      <c r="B1997" s="20" t="s">
        <v>3996</v>
      </c>
    </row>
    <row r="1998" spans="1:2" x14ac:dyDescent="0.25">
      <c r="A1998" s="20" t="s">
        <v>4474</v>
      </c>
      <c r="B1998" s="20" t="s">
        <v>3996</v>
      </c>
    </row>
    <row r="1999" spans="1:2" x14ac:dyDescent="0.25">
      <c r="A1999" s="20" t="s">
        <v>4469</v>
      </c>
      <c r="B1999" s="20" t="s">
        <v>3996</v>
      </c>
    </row>
    <row r="2000" spans="1:2" x14ac:dyDescent="0.25">
      <c r="A2000" s="20" t="s">
        <v>4473</v>
      </c>
      <c r="B2000" s="20" t="s">
        <v>3996</v>
      </c>
    </row>
    <row r="2001" spans="1:2" x14ac:dyDescent="0.25">
      <c r="A2001" s="20" t="s">
        <v>4477</v>
      </c>
      <c r="B2001" s="20" t="s">
        <v>3996</v>
      </c>
    </row>
    <row r="2002" spans="1:2" x14ac:dyDescent="0.25">
      <c r="A2002" s="20" t="s">
        <v>4481</v>
      </c>
      <c r="B2002" s="20" t="s">
        <v>3996</v>
      </c>
    </row>
    <row r="2003" spans="1:2" x14ac:dyDescent="0.25">
      <c r="A2003" s="20" t="s">
        <v>4458</v>
      </c>
      <c r="B2003" s="20" t="s">
        <v>3996</v>
      </c>
    </row>
    <row r="2004" spans="1:2" x14ac:dyDescent="0.25">
      <c r="A2004" s="20" t="s">
        <v>4486</v>
      </c>
      <c r="B2004" s="20" t="s">
        <v>3996</v>
      </c>
    </row>
    <row r="2005" spans="1:2" x14ac:dyDescent="0.25">
      <c r="A2005" s="20" t="s">
        <v>4427</v>
      </c>
      <c r="B2005" s="20" t="s">
        <v>3996</v>
      </c>
    </row>
    <row r="2006" spans="1:2" x14ac:dyDescent="0.25">
      <c r="A2006" s="20" t="s">
        <v>4433</v>
      </c>
      <c r="B2006" s="20" t="s">
        <v>3996</v>
      </c>
    </row>
    <row r="2007" spans="1:2" x14ac:dyDescent="0.25">
      <c r="A2007" s="20" t="s">
        <v>4437</v>
      </c>
      <c r="B2007" s="20" t="s">
        <v>3996</v>
      </c>
    </row>
    <row r="2008" spans="1:2" x14ac:dyDescent="0.25">
      <c r="A2008" s="20" t="s">
        <v>4443</v>
      </c>
      <c r="B2008" s="20" t="s">
        <v>3996</v>
      </c>
    </row>
    <row r="2009" spans="1:2" x14ac:dyDescent="0.25">
      <c r="A2009" s="20" t="s">
        <v>4448</v>
      </c>
      <c r="B2009" s="20" t="s">
        <v>3996</v>
      </c>
    </row>
    <row r="2010" spans="1:2" x14ac:dyDescent="0.25">
      <c r="A2010" s="20" t="s">
        <v>4453</v>
      </c>
      <c r="B2010" s="20" t="s">
        <v>3996</v>
      </c>
    </row>
    <row r="2011" spans="1:2" x14ac:dyDescent="0.25">
      <c r="A2011" s="20">
        <v>448845180</v>
      </c>
      <c r="B2011" s="20" t="s">
        <v>3996</v>
      </c>
    </row>
    <row r="2012" spans="1:2" x14ac:dyDescent="0.25">
      <c r="A2012" s="20" t="s">
        <v>4463</v>
      </c>
      <c r="B2012" s="20" t="s">
        <v>3996</v>
      </c>
    </row>
    <row r="2013" spans="1:2" x14ac:dyDescent="0.25">
      <c r="A2013" s="20" t="s">
        <v>4468</v>
      </c>
      <c r="B2013" s="20" t="s">
        <v>3996</v>
      </c>
    </row>
    <row r="2014" spans="1:2" x14ac:dyDescent="0.25">
      <c r="A2014" s="20">
        <v>423966001</v>
      </c>
      <c r="B2014" s="20" t="s">
        <v>3996</v>
      </c>
    </row>
    <row r="2015" spans="1:2" x14ac:dyDescent="0.25">
      <c r="A2015" s="20" t="s">
        <v>4476</v>
      </c>
      <c r="B2015" s="20" t="s">
        <v>3996</v>
      </c>
    </row>
    <row r="2016" spans="1:2" x14ac:dyDescent="0.25">
      <c r="A2016" s="20" t="s">
        <v>4480</v>
      </c>
      <c r="B2016" s="20" t="s">
        <v>3996</v>
      </c>
    </row>
    <row r="2017" spans="1:2" x14ac:dyDescent="0.25">
      <c r="A2017" s="20" t="s">
        <v>4484</v>
      </c>
      <c r="B2017" s="20" t="s">
        <v>3996</v>
      </c>
    </row>
    <row r="2018" spans="1:2" x14ac:dyDescent="0.25">
      <c r="A2018" s="20">
        <v>-12372809</v>
      </c>
      <c r="B2018" s="20" t="s">
        <v>3996</v>
      </c>
    </row>
    <row r="2019" spans="1:2" x14ac:dyDescent="0.25">
      <c r="A2019" s="20" t="s">
        <v>4488</v>
      </c>
      <c r="B2019" s="20" t="s">
        <v>3996</v>
      </c>
    </row>
    <row r="2020" spans="1:2" x14ac:dyDescent="0.25">
      <c r="A2020" s="20">
        <v>42705779</v>
      </c>
      <c r="B2020" s="20" t="s">
        <v>3996</v>
      </c>
    </row>
    <row r="2021" spans="1:2" x14ac:dyDescent="0.25">
      <c r="A2021" s="20">
        <v>448887900</v>
      </c>
      <c r="B2021" s="20" t="s">
        <v>3996</v>
      </c>
    </row>
    <row r="2022" spans="1:2" x14ac:dyDescent="0.25">
      <c r="A2022" s="20" t="s">
        <v>4494</v>
      </c>
      <c r="B2022" s="20" t="s">
        <v>3996</v>
      </c>
    </row>
    <row r="2023" spans="1:2" x14ac:dyDescent="0.25">
      <c r="A2023" s="20">
        <v>448887889</v>
      </c>
      <c r="B2023" s="20" t="s">
        <v>3996</v>
      </c>
    </row>
    <row r="2024" spans="1:2" x14ac:dyDescent="0.25">
      <c r="A2024" s="20">
        <v>448887879</v>
      </c>
      <c r="B2024" s="20" t="s">
        <v>3996</v>
      </c>
    </row>
    <row r="2025" spans="1:2" x14ac:dyDescent="0.25">
      <c r="A2025" s="20">
        <v>448887886</v>
      </c>
      <c r="B2025" s="20" t="s">
        <v>3996</v>
      </c>
    </row>
    <row r="2026" spans="1:2" x14ac:dyDescent="0.25">
      <c r="A2026" s="20" t="s">
        <v>4499</v>
      </c>
      <c r="B2026" s="20" t="s">
        <v>3996</v>
      </c>
    </row>
    <row r="2027" spans="1:2" x14ac:dyDescent="0.25">
      <c r="A2027" s="20">
        <v>180698012</v>
      </c>
      <c r="B2027" s="20" t="s">
        <v>3996</v>
      </c>
    </row>
    <row r="2028" spans="1:2" x14ac:dyDescent="0.25">
      <c r="A2028" s="20" t="s">
        <v>4502</v>
      </c>
      <c r="B2028" s="20" t="s">
        <v>3996</v>
      </c>
    </row>
    <row r="2029" spans="1:2" x14ac:dyDescent="0.25">
      <c r="A2029" s="20">
        <v>448887923</v>
      </c>
      <c r="B2029" s="20" t="s">
        <v>3996</v>
      </c>
    </row>
    <row r="2030" spans="1:2" x14ac:dyDescent="0.25">
      <c r="A2030" s="20">
        <v>12148393</v>
      </c>
      <c r="B2030" s="20" t="s">
        <v>3996</v>
      </c>
    </row>
    <row r="2031" spans="1:2" x14ac:dyDescent="0.25">
      <c r="A2031" s="20" t="s">
        <v>4506</v>
      </c>
      <c r="B2031" s="20" t="s">
        <v>3996</v>
      </c>
    </row>
    <row r="2032" spans="1:2" x14ac:dyDescent="0.25">
      <c r="A2032" s="20" t="s">
        <v>4508</v>
      </c>
      <c r="B2032" s="20" t="s">
        <v>3996</v>
      </c>
    </row>
    <row r="2033" spans="1:2" x14ac:dyDescent="0.25">
      <c r="A2033" s="20" t="s">
        <v>4511</v>
      </c>
      <c r="B2033" s="20" t="s">
        <v>3996</v>
      </c>
    </row>
    <row r="2034" spans="1:2" x14ac:dyDescent="0.25">
      <c r="A2034" s="20" t="s">
        <v>4515</v>
      </c>
      <c r="B2034" s="20" t="s">
        <v>3996</v>
      </c>
    </row>
    <row r="2035" spans="1:2" x14ac:dyDescent="0.25">
      <c r="A2035" s="20" t="s">
        <v>4550</v>
      </c>
      <c r="B2035" s="20" t="s">
        <v>3996</v>
      </c>
    </row>
    <row r="2036" spans="1:2" x14ac:dyDescent="0.25">
      <c r="A2036" s="20" t="s">
        <v>4105</v>
      </c>
      <c r="B2036" s="20" t="s">
        <v>3996</v>
      </c>
    </row>
    <row r="2037" spans="1:2" x14ac:dyDescent="0.25">
      <c r="A2037" s="20" t="s">
        <v>4118</v>
      </c>
      <c r="B2037" s="20" t="s">
        <v>3996</v>
      </c>
    </row>
    <row r="2038" spans="1:2" x14ac:dyDescent="0.25">
      <c r="A2038" s="20" t="s">
        <v>4527</v>
      </c>
      <c r="B2038" s="20" t="s">
        <v>3996</v>
      </c>
    </row>
    <row r="2039" spans="1:2" x14ac:dyDescent="0.25">
      <c r="A2039" s="20">
        <v>486653623</v>
      </c>
      <c r="B2039" s="20" t="s">
        <v>3996</v>
      </c>
    </row>
    <row r="2040" spans="1:2" x14ac:dyDescent="0.25">
      <c r="A2040" s="20">
        <v>287178713</v>
      </c>
      <c r="B2040" s="20" t="s">
        <v>3996</v>
      </c>
    </row>
    <row r="2041" spans="1:2" x14ac:dyDescent="0.25">
      <c r="A2041" s="20" t="s">
        <v>4534</v>
      </c>
      <c r="B2041" s="20" t="s">
        <v>3996</v>
      </c>
    </row>
    <row r="2042" spans="1:2" x14ac:dyDescent="0.25">
      <c r="A2042" s="20" t="s">
        <v>4537</v>
      </c>
      <c r="B2042" s="20" t="s">
        <v>3996</v>
      </c>
    </row>
    <row r="2043" spans="1:2" x14ac:dyDescent="0.25">
      <c r="A2043" s="20">
        <v>-287178713</v>
      </c>
      <c r="B2043" s="20" t="s">
        <v>3996</v>
      </c>
    </row>
    <row r="2044" spans="1:2" x14ac:dyDescent="0.25">
      <c r="A2044" s="20">
        <v>-486653623</v>
      </c>
      <c r="B2044" s="20" t="s">
        <v>3996</v>
      </c>
    </row>
    <row r="2045" spans="1:2" x14ac:dyDescent="0.25">
      <c r="A2045" s="20" t="s">
        <v>4361</v>
      </c>
      <c r="B2045" s="20" t="s">
        <v>3996</v>
      </c>
    </row>
    <row r="2046" spans="1:2" x14ac:dyDescent="0.25">
      <c r="A2046" s="20" t="s">
        <v>4130</v>
      </c>
      <c r="B2046" s="20" t="s">
        <v>3996</v>
      </c>
    </row>
    <row r="2047" spans="1:2" x14ac:dyDescent="0.25">
      <c r="A2047" s="20" t="s">
        <v>4137</v>
      </c>
      <c r="B2047" s="20" t="s">
        <v>3996</v>
      </c>
    </row>
    <row r="2048" spans="1:2" x14ac:dyDescent="0.25">
      <c r="A2048" s="20" t="s">
        <v>4383</v>
      </c>
      <c r="B2048" s="20" t="s">
        <v>3996</v>
      </c>
    </row>
    <row r="2049" spans="1:2" x14ac:dyDescent="0.25">
      <c r="A2049" s="20" t="s">
        <v>4054</v>
      </c>
      <c r="B2049" s="20" t="s">
        <v>3996</v>
      </c>
    </row>
    <row r="2050" spans="1:2" x14ac:dyDescent="0.25">
      <c r="A2050" s="20" t="s">
        <v>4064</v>
      </c>
      <c r="B2050" s="20" t="s">
        <v>3996</v>
      </c>
    </row>
    <row r="2051" spans="1:2" x14ac:dyDescent="0.25">
      <c r="A2051" s="20" t="s">
        <v>4071</v>
      </c>
      <c r="B2051" s="20" t="s">
        <v>3996</v>
      </c>
    </row>
    <row r="2052" spans="1:2" x14ac:dyDescent="0.25">
      <c r="A2052" s="20" t="s">
        <v>4086</v>
      </c>
      <c r="B2052" s="20" t="s">
        <v>3996</v>
      </c>
    </row>
    <row r="2053" spans="1:2" x14ac:dyDescent="0.25">
      <c r="A2053" s="20" t="s">
        <v>4101</v>
      </c>
      <c r="B2053" s="20" t="s">
        <v>3996</v>
      </c>
    </row>
    <row r="2054" spans="1:2" x14ac:dyDescent="0.25">
      <c r="A2054" s="20" t="s">
        <v>4115</v>
      </c>
      <c r="B2054" s="20" t="s">
        <v>3996</v>
      </c>
    </row>
    <row r="2055" spans="1:2" x14ac:dyDescent="0.25">
      <c r="A2055" s="20" t="s">
        <v>4128</v>
      </c>
      <c r="B2055" s="20" t="s">
        <v>3996</v>
      </c>
    </row>
    <row r="2056" spans="1:2" x14ac:dyDescent="0.25">
      <c r="A2056" s="20" t="s">
        <v>4229</v>
      </c>
      <c r="B2056" s="20" t="s">
        <v>3996</v>
      </c>
    </row>
    <row r="2057" spans="1:2" x14ac:dyDescent="0.25">
      <c r="A2057" s="20">
        <v>-196375622</v>
      </c>
      <c r="B2057" s="20" t="s">
        <v>3996</v>
      </c>
    </row>
    <row r="2058" spans="1:2" x14ac:dyDescent="0.25">
      <c r="A2058" s="20" t="s">
        <v>4441</v>
      </c>
      <c r="B2058" s="20" t="s">
        <v>3996</v>
      </c>
    </row>
    <row r="2059" spans="1:2" x14ac:dyDescent="0.25">
      <c r="A2059" s="20" t="s">
        <v>4446</v>
      </c>
      <c r="B2059" s="20" t="s">
        <v>3996</v>
      </c>
    </row>
    <row r="2060" spans="1:2" x14ac:dyDescent="0.25">
      <c r="A2060" s="20" t="s">
        <v>4452</v>
      </c>
      <c r="B2060" s="20" t="s">
        <v>3996</v>
      </c>
    </row>
    <row r="2061" spans="1:2" x14ac:dyDescent="0.25">
      <c r="A2061" s="20" t="s">
        <v>4457</v>
      </c>
      <c r="B2061" s="20" t="s">
        <v>3996</v>
      </c>
    </row>
    <row r="2062" spans="1:2" x14ac:dyDescent="0.25">
      <c r="A2062" s="20" t="s">
        <v>4462</v>
      </c>
      <c r="B2062" s="20" t="s">
        <v>3996</v>
      </c>
    </row>
    <row r="2063" spans="1:2" x14ac:dyDescent="0.25">
      <c r="A2063" s="20" t="s">
        <v>4466</v>
      </c>
      <c r="B2063" s="20" t="s">
        <v>3996</v>
      </c>
    </row>
    <row r="2064" spans="1:2" x14ac:dyDescent="0.25">
      <c r="A2064" s="20" t="s">
        <v>4471</v>
      </c>
      <c r="B2064" s="20" t="s">
        <v>3996</v>
      </c>
    </row>
    <row r="2065" spans="1:2" x14ac:dyDescent="0.25">
      <c r="A2065" s="20" t="s">
        <v>4475</v>
      </c>
      <c r="B2065" s="20" t="s">
        <v>3996</v>
      </c>
    </row>
    <row r="2066" spans="1:2" x14ac:dyDescent="0.25">
      <c r="A2066" s="20" t="s">
        <v>4478</v>
      </c>
      <c r="B2066" s="20" t="s">
        <v>3996</v>
      </c>
    </row>
    <row r="2067" spans="1:2" x14ac:dyDescent="0.25">
      <c r="A2067" s="20" t="s">
        <v>4482</v>
      </c>
      <c r="B2067" s="20" t="s">
        <v>3996</v>
      </c>
    </row>
    <row r="2068" spans="1:2" x14ac:dyDescent="0.25">
      <c r="A2068" s="20" t="s">
        <v>4472</v>
      </c>
      <c r="B2068" s="20" t="s">
        <v>3996</v>
      </c>
    </row>
    <row r="2069" spans="1:2" x14ac:dyDescent="0.25">
      <c r="A2069" s="20" t="s">
        <v>4487</v>
      </c>
      <c r="B2069" s="20" t="s">
        <v>3996</v>
      </c>
    </row>
    <row r="2070" spans="1:2" x14ac:dyDescent="0.25">
      <c r="A2070" s="20" t="s">
        <v>4489</v>
      </c>
      <c r="B2070" s="20" t="s">
        <v>3996</v>
      </c>
    </row>
    <row r="2071" spans="1:2" x14ac:dyDescent="0.25">
      <c r="A2071" s="20">
        <v>12166594</v>
      </c>
      <c r="B2071" s="20" t="s">
        <v>3996</v>
      </c>
    </row>
    <row r="2072" spans="1:2" x14ac:dyDescent="0.25">
      <c r="A2072" s="20" t="s">
        <v>4492</v>
      </c>
      <c r="B2072" s="20" t="s">
        <v>3996</v>
      </c>
    </row>
    <row r="2073" spans="1:2" x14ac:dyDescent="0.25">
      <c r="A2073" s="20" t="s">
        <v>4495</v>
      </c>
      <c r="B2073" s="20" t="s">
        <v>3996</v>
      </c>
    </row>
    <row r="2074" spans="1:2" x14ac:dyDescent="0.25">
      <c r="A2074" s="20" t="s">
        <v>4496</v>
      </c>
      <c r="B2074" s="20" t="s">
        <v>3996</v>
      </c>
    </row>
    <row r="2075" spans="1:2" x14ac:dyDescent="0.25">
      <c r="A2075" s="20" t="s">
        <v>4497</v>
      </c>
      <c r="B2075" s="20" t="s">
        <v>3996</v>
      </c>
    </row>
    <row r="2076" spans="1:2" x14ac:dyDescent="0.25">
      <c r="A2076" s="20" t="s">
        <v>4498</v>
      </c>
      <c r="B2076" s="20" t="s">
        <v>3996</v>
      </c>
    </row>
    <row r="2077" spans="1:2" x14ac:dyDescent="0.25">
      <c r="A2077" s="20" t="s">
        <v>4500</v>
      </c>
      <c r="B2077" s="20" t="s">
        <v>3996</v>
      </c>
    </row>
    <row r="2078" spans="1:2" x14ac:dyDescent="0.25">
      <c r="A2078" s="20" t="s">
        <v>4501</v>
      </c>
      <c r="B2078" s="20" t="s">
        <v>3996</v>
      </c>
    </row>
    <row r="2079" spans="1:2" x14ac:dyDescent="0.25">
      <c r="A2079" s="20" t="s">
        <v>4503</v>
      </c>
      <c r="B2079" s="20" t="s">
        <v>3996</v>
      </c>
    </row>
    <row r="2080" spans="1:2" x14ac:dyDescent="0.25">
      <c r="A2080" s="20" t="s">
        <v>4504</v>
      </c>
      <c r="B2080" s="20" t="s">
        <v>3996</v>
      </c>
    </row>
    <row r="2081" spans="1:2" x14ac:dyDescent="0.25">
      <c r="A2081" s="20" t="s">
        <v>4505</v>
      </c>
      <c r="B2081" s="20" t="s">
        <v>3996</v>
      </c>
    </row>
    <row r="2082" spans="1:2" x14ac:dyDescent="0.25">
      <c r="A2082" s="20" t="s">
        <v>4507</v>
      </c>
      <c r="B2082" s="20" t="s">
        <v>3996</v>
      </c>
    </row>
    <row r="2083" spans="1:2" x14ac:dyDescent="0.25">
      <c r="A2083" s="20" t="s">
        <v>4509</v>
      </c>
      <c r="B2083" s="20" t="s">
        <v>3996</v>
      </c>
    </row>
    <row r="2084" spans="1:2" x14ac:dyDescent="0.25">
      <c r="A2084" s="20" t="s">
        <v>4512</v>
      </c>
      <c r="B2084" s="20" t="s">
        <v>3996</v>
      </c>
    </row>
    <row r="2085" spans="1:2" x14ac:dyDescent="0.25">
      <c r="A2085" s="20" t="s">
        <v>4516</v>
      </c>
      <c r="B2085" s="20" t="s">
        <v>3996</v>
      </c>
    </row>
    <row r="2086" spans="1:2" x14ac:dyDescent="0.25">
      <c r="A2086" s="20" t="s">
        <v>4518</v>
      </c>
      <c r="B2086" s="20" t="s">
        <v>3996</v>
      </c>
    </row>
    <row r="2087" spans="1:2" x14ac:dyDescent="0.25">
      <c r="A2087" s="20" t="s">
        <v>4521</v>
      </c>
      <c r="B2087" s="20" t="s">
        <v>3996</v>
      </c>
    </row>
    <row r="2088" spans="1:2" x14ac:dyDescent="0.25">
      <c r="A2088" s="20" t="s">
        <v>4525</v>
      </c>
      <c r="B2088" s="20" t="s">
        <v>3996</v>
      </c>
    </row>
    <row r="2089" spans="1:2" x14ac:dyDescent="0.25">
      <c r="A2089" s="20" t="s">
        <v>4526</v>
      </c>
      <c r="B2089" s="20" t="s">
        <v>3996</v>
      </c>
    </row>
    <row r="2090" spans="1:2" x14ac:dyDescent="0.25">
      <c r="A2090" s="20" t="s">
        <v>4528</v>
      </c>
      <c r="B2090" s="20" t="s">
        <v>3996</v>
      </c>
    </row>
    <row r="2091" spans="1:2" x14ac:dyDescent="0.25">
      <c r="A2091" s="20" t="s">
        <v>4530</v>
      </c>
      <c r="B2091" s="20" t="s">
        <v>3996</v>
      </c>
    </row>
    <row r="2092" spans="1:2" x14ac:dyDescent="0.25">
      <c r="A2092" s="20" t="s">
        <v>4532</v>
      </c>
      <c r="B2092" s="20" t="s">
        <v>3996</v>
      </c>
    </row>
    <row r="2093" spans="1:2" x14ac:dyDescent="0.25">
      <c r="A2093" s="20" t="s">
        <v>4535</v>
      </c>
      <c r="B2093" s="20" t="s">
        <v>3996</v>
      </c>
    </row>
    <row r="2094" spans="1:2" x14ac:dyDescent="0.25">
      <c r="A2094" s="20" t="s">
        <v>4538</v>
      </c>
      <c r="B2094" s="20" t="s">
        <v>3996</v>
      </c>
    </row>
    <row r="2095" spans="1:2" x14ac:dyDescent="0.25">
      <c r="A2095" s="20" t="s">
        <v>4540</v>
      </c>
      <c r="B2095" s="20" t="s">
        <v>3996</v>
      </c>
    </row>
    <row r="2096" spans="1:2" x14ac:dyDescent="0.25">
      <c r="A2096" s="20" t="s">
        <v>4542</v>
      </c>
      <c r="B2096" s="20" t="s">
        <v>3996</v>
      </c>
    </row>
    <row r="2097" spans="1:2" x14ac:dyDescent="0.25">
      <c r="A2097" s="20" t="s">
        <v>4544</v>
      </c>
      <c r="B2097" s="20" t="s">
        <v>3996</v>
      </c>
    </row>
    <row r="2098" spans="1:2" x14ac:dyDescent="0.25">
      <c r="A2098" s="20">
        <v>134563759</v>
      </c>
      <c r="B2098" s="20" t="s">
        <v>3996</v>
      </c>
    </row>
    <row r="2099" spans="1:2" x14ac:dyDescent="0.25">
      <c r="A2099" s="20" t="s">
        <v>4545</v>
      </c>
      <c r="B2099" s="20" t="s">
        <v>3996</v>
      </c>
    </row>
    <row r="2100" spans="1:2" x14ac:dyDescent="0.25">
      <c r="A2100" s="20" t="s">
        <v>4547</v>
      </c>
      <c r="B2100" s="20" t="s">
        <v>3996</v>
      </c>
    </row>
    <row r="2101" spans="1:2" x14ac:dyDescent="0.25">
      <c r="A2101" s="20" t="s">
        <v>4548</v>
      </c>
      <c r="B2101" s="20" t="s">
        <v>3996</v>
      </c>
    </row>
    <row r="2102" spans="1:2" x14ac:dyDescent="0.25">
      <c r="A2102" s="20" t="s">
        <v>4551</v>
      </c>
      <c r="B2102" s="20" t="s">
        <v>3996</v>
      </c>
    </row>
    <row r="2103" spans="1:2" x14ac:dyDescent="0.25">
      <c r="A2103" s="20" t="s">
        <v>4553</v>
      </c>
      <c r="B2103" s="20" t="s">
        <v>3996</v>
      </c>
    </row>
    <row r="2104" spans="1:2" x14ac:dyDescent="0.25">
      <c r="A2104" s="20">
        <v>424803245</v>
      </c>
      <c r="B2104" s="20" t="s">
        <v>3996</v>
      </c>
    </row>
    <row r="2105" spans="1:2" x14ac:dyDescent="0.25">
      <c r="A2105" s="20">
        <v>423956979</v>
      </c>
      <c r="B2105" s="20" t="s">
        <v>3996</v>
      </c>
    </row>
    <row r="2106" spans="1:2" x14ac:dyDescent="0.25">
      <c r="A2106" s="20">
        <v>424824621</v>
      </c>
      <c r="B2106" s="20" t="s">
        <v>3996</v>
      </c>
    </row>
    <row r="2107" spans="1:2" x14ac:dyDescent="0.25">
      <c r="A2107" s="20">
        <v>423956980</v>
      </c>
      <c r="B2107" s="20" t="s">
        <v>3996</v>
      </c>
    </row>
    <row r="2108" spans="1:2" x14ac:dyDescent="0.25">
      <c r="A2108" s="20" t="s">
        <v>4556</v>
      </c>
      <c r="B2108" s="20" t="s">
        <v>3996</v>
      </c>
    </row>
    <row r="2109" spans="1:2" x14ac:dyDescent="0.25">
      <c r="A2109" s="20" t="s">
        <v>4557</v>
      </c>
      <c r="B2109" s="20" t="s">
        <v>3996</v>
      </c>
    </row>
    <row r="2110" spans="1:2" x14ac:dyDescent="0.25">
      <c r="A2110" s="20" t="s">
        <v>4558</v>
      </c>
      <c r="B2110" s="20" t="s">
        <v>3996</v>
      </c>
    </row>
    <row r="2111" spans="1:2" x14ac:dyDescent="0.25">
      <c r="A2111" s="20" t="s">
        <v>4559</v>
      </c>
      <c r="B2111" s="20" t="s">
        <v>3996</v>
      </c>
    </row>
    <row r="2112" spans="1:2" x14ac:dyDescent="0.25">
      <c r="A2112" s="20" t="s">
        <v>4561</v>
      </c>
      <c r="B2112" s="20" t="s">
        <v>3996</v>
      </c>
    </row>
    <row r="2113" spans="1:2" x14ac:dyDescent="0.25">
      <c r="A2113" s="20" t="s">
        <v>4563</v>
      </c>
      <c r="B2113" s="20" t="s">
        <v>3996</v>
      </c>
    </row>
    <row r="2114" spans="1:2" x14ac:dyDescent="0.25">
      <c r="A2114" s="20" t="s">
        <v>4152</v>
      </c>
      <c r="B2114" s="20" t="s">
        <v>3996</v>
      </c>
    </row>
    <row r="2115" spans="1:2" x14ac:dyDescent="0.25">
      <c r="A2115" s="20" t="s">
        <v>4565</v>
      </c>
      <c r="B2115" s="20" t="s">
        <v>3996</v>
      </c>
    </row>
    <row r="2116" spans="1:2" x14ac:dyDescent="0.25">
      <c r="A2116" s="20" t="s">
        <v>4200</v>
      </c>
      <c r="B2116" s="20" t="s">
        <v>3996</v>
      </c>
    </row>
    <row r="2117" spans="1:2" x14ac:dyDescent="0.25">
      <c r="A2117" s="20" t="s">
        <v>4212</v>
      </c>
      <c r="B2117" s="20" t="s">
        <v>3996</v>
      </c>
    </row>
    <row r="2118" spans="1:2" x14ac:dyDescent="0.25">
      <c r="A2118" s="20" t="s">
        <v>4030</v>
      </c>
      <c r="B2118" s="20" t="s">
        <v>3996</v>
      </c>
    </row>
    <row r="2119" spans="1:2" x14ac:dyDescent="0.25">
      <c r="A2119" s="20" t="s">
        <v>4033</v>
      </c>
      <c r="B2119" s="20" t="s">
        <v>3996</v>
      </c>
    </row>
    <row r="2120" spans="1:2" x14ac:dyDescent="0.25">
      <c r="A2120" s="20" t="s">
        <v>4038</v>
      </c>
      <c r="B2120" s="20" t="s">
        <v>3996</v>
      </c>
    </row>
    <row r="2121" spans="1:2" x14ac:dyDescent="0.25">
      <c r="A2121" s="20" t="s">
        <v>4047</v>
      </c>
      <c r="B2121" s="20" t="s">
        <v>3996</v>
      </c>
    </row>
    <row r="2122" spans="1:2" x14ac:dyDescent="0.25">
      <c r="A2122" s="20" t="s">
        <v>4057</v>
      </c>
      <c r="B2122" s="20" t="s">
        <v>3996</v>
      </c>
    </row>
    <row r="2123" spans="1:2" x14ac:dyDescent="0.25">
      <c r="A2123" s="20" t="s">
        <v>4067</v>
      </c>
      <c r="B2123" s="20" t="s">
        <v>3996</v>
      </c>
    </row>
    <row r="2124" spans="1:2" x14ac:dyDescent="0.25">
      <c r="A2124" s="20" t="s">
        <v>4077</v>
      </c>
      <c r="B2124" s="20" t="s">
        <v>3996</v>
      </c>
    </row>
    <row r="2125" spans="1:2" x14ac:dyDescent="0.25">
      <c r="A2125" s="20" t="s">
        <v>4094</v>
      </c>
      <c r="B2125" s="20" t="s">
        <v>3996</v>
      </c>
    </row>
    <row r="2126" spans="1:2" x14ac:dyDescent="0.25">
      <c r="A2126" s="20" t="s">
        <v>4108</v>
      </c>
      <c r="B2126" s="20" t="s">
        <v>3996</v>
      </c>
    </row>
    <row r="2127" spans="1:2" x14ac:dyDescent="0.25">
      <c r="A2127" s="20" t="s">
        <v>4121</v>
      </c>
      <c r="B2127" s="20" t="s">
        <v>3996</v>
      </c>
    </row>
    <row r="2128" spans="1:2" x14ac:dyDescent="0.25">
      <c r="A2128" s="20">
        <v>196358965</v>
      </c>
      <c r="B2128" s="20" t="s">
        <v>3996</v>
      </c>
    </row>
    <row r="2129" spans="1:2" x14ac:dyDescent="0.25">
      <c r="A2129" s="20" t="s">
        <v>4139</v>
      </c>
      <c r="B2129" s="20" t="s">
        <v>3996</v>
      </c>
    </row>
    <row r="2130" spans="1:2" x14ac:dyDescent="0.25">
      <c r="A2130" s="20" t="s">
        <v>4150</v>
      </c>
      <c r="B2130" s="20" t="s">
        <v>3996</v>
      </c>
    </row>
    <row r="2131" spans="1:2" x14ac:dyDescent="0.25">
      <c r="A2131" s="20" t="s">
        <v>4164</v>
      </c>
      <c r="B2131" s="20" t="s">
        <v>3996</v>
      </c>
    </row>
    <row r="2132" spans="1:2" x14ac:dyDescent="0.25">
      <c r="A2132" s="20" t="s">
        <v>4183</v>
      </c>
      <c r="B2132" s="20" t="s">
        <v>3996</v>
      </c>
    </row>
    <row r="2133" spans="1:2" x14ac:dyDescent="0.25">
      <c r="A2133" s="20" t="s">
        <v>4199</v>
      </c>
      <c r="B2133" s="20" t="s">
        <v>3996</v>
      </c>
    </row>
    <row r="2134" spans="1:2" x14ac:dyDescent="0.25">
      <c r="A2134" s="20" t="s">
        <v>4211</v>
      </c>
      <c r="B2134" s="20" t="s">
        <v>3996</v>
      </c>
    </row>
    <row r="2135" spans="1:2" x14ac:dyDescent="0.25">
      <c r="A2135" s="20" t="s">
        <v>4222</v>
      </c>
      <c r="B2135" s="20" t="s">
        <v>3996</v>
      </c>
    </row>
    <row r="2136" spans="1:2" x14ac:dyDescent="0.25">
      <c r="A2136" s="20">
        <v>423972761</v>
      </c>
      <c r="B2136" s="20" t="s">
        <v>3996</v>
      </c>
    </row>
    <row r="2137" spans="1:2" x14ac:dyDescent="0.25">
      <c r="A2137" s="20" t="s">
        <v>4240</v>
      </c>
      <c r="B2137" s="20" t="s">
        <v>3996</v>
      </c>
    </row>
    <row r="2138" spans="1:2" x14ac:dyDescent="0.25">
      <c r="A2138" s="20" t="s">
        <v>4252</v>
      </c>
      <c r="B2138" s="20" t="s">
        <v>3996</v>
      </c>
    </row>
    <row r="2139" spans="1:2" x14ac:dyDescent="0.25">
      <c r="A2139" s="20" t="s">
        <v>4260</v>
      </c>
      <c r="B2139" s="20" t="s">
        <v>3996</v>
      </c>
    </row>
    <row r="2140" spans="1:2" x14ac:dyDescent="0.25">
      <c r="A2140" s="20" t="s">
        <v>4270</v>
      </c>
      <c r="B2140" s="20" t="s">
        <v>3996</v>
      </c>
    </row>
    <row r="2141" spans="1:2" x14ac:dyDescent="0.25">
      <c r="A2141" s="20" t="s">
        <v>4281</v>
      </c>
      <c r="B2141" s="20" t="s">
        <v>3996</v>
      </c>
    </row>
    <row r="2142" spans="1:2" x14ac:dyDescent="0.25">
      <c r="A2142" s="20" t="s">
        <v>4298</v>
      </c>
      <c r="B2142" s="20" t="s">
        <v>3996</v>
      </c>
    </row>
    <row r="2143" spans="1:2" x14ac:dyDescent="0.25">
      <c r="A2143" s="20" t="s">
        <v>4310</v>
      </c>
      <c r="B2143" s="20" t="s">
        <v>3996</v>
      </c>
    </row>
    <row r="2144" spans="1:2" x14ac:dyDescent="0.25">
      <c r="A2144" s="20" t="s">
        <v>4322</v>
      </c>
      <c r="B2144" s="20" t="s">
        <v>3996</v>
      </c>
    </row>
    <row r="2145" spans="1:2" x14ac:dyDescent="0.25">
      <c r="A2145" s="20" t="s">
        <v>4334</v>
      </c>
      <c r="B2145" s="20" t="s">
        <v>3996</v>
      </c>
    </row>
    <row r="2146" spans="1:2" x14ac:dyDescent="0.25">
      <c r="A2146" s="20" t="s">
        <v>4344</v>
      </c>
      <c r="B2146" s="20" t="s">
        <v>3996</v>
      </c>
    </row>
    <row r="2147" spans="1:2" x14ac:dyDescent="0.25">
      <c r="A2147" s="20" t="s">
        <v>4354</v>
      </c>
      <c r="B2147" s="20" t="s">
        <v>3996</v>
      </c>
    </row>
    <row r="2148" spans="1:2" x14ac:dyDescent="0.25">
      <c r="A2148" s="20" t="s">
        <v>4295</v>
      </c>
      <c r="B2148" s="20" t="s">
        <v>3996</v>
      </c>
    </row>
    <row r="2149" spans="1:2" x14ac:dyDescent="0.25">
      <c r="A2149" s="20">
        <v>12163074</v>
      </c>
      <c r="B2149" s="20" t="s">
        <v>3996</v>
      </c>
    </row>
    <row r="2150" spans="1:2" x14ac:dyDescent="0.25">
      <c r="A2150" s="20" t="s">
        <v>4377</v>
      </c>
      <c r="B2150" s="20" t="s">
        <v>3996</v>
      </c>
    </row>
    <row r="2151" spans="1:2" x14ac:dyDescent="0.25">
      <c r="A2151" s="20">
        <v>12158795</v>
      </c>
      <c r="B2151" s="20" t="s">
        <v>3996</v>
      </c>
    </row>
    <row r="2152" spans="1:2" x14ac:dyDescent="0.25">
      <c r="A2152" s="20" t="s">
        <v>4393</v>
      </c>
      <c r="B2152" s="20" t="s">
        <v>3996</v>
      </c>
    </row>
    <row r="2153" spans="1:2" x14ac:dyDescent="0.25">
      <c r="A2153" s="20" t="s">
        <v>4399</v>
      </c>
      <c r="B2153" s="20" t="s">
        <v>3996</v>
      </c>
    </row>
    <row r="2154" spans="1:2" x14ac:dyDescent="0.25">
      <c r="A2154" s="20" t="s">
        <v>4036</v>
      </c>
      <c r="B2154" s="20" t="s">
        <v>3996</v>
      </c>
    </row>
    <row r="2155" spans="1:2" x14ac:dyDescent="0.25">
      <c r="A2155" s="20" t="s">
        <v>4044</v>
      </c>
      <c r="B2155" s="20" t="s">
        <v>3996</v>
      </c>
    </row>
    <row r="2156" spans="1:2" x14ac:dyDescent="0.25">
      <c r="A2156" s="20" t="s">
        <v>4053</v>
      </c>
      <c r="B2156" s="20" t="s">
        <v>3996</v>
      </c>
    </row>
    <row r="2157" spans="1:2" x14ac:dyDescent="0.25">
      <c r="A2157" s="20" t="s">
        <v>4063</v>
      </c>
      <c r="B2157" s="20" t="s">
        <v>3996</v>
      </c>
    </row>
    <row r="2158" spans="1:2" x14ac:dyDescent="0.25">
      <c r="A2158" s="20" t="s">
        <v>4072</v>
      </c>
      <c r="B2158" s="20" t="s">
        <v>3996</v>
      </c>
    </row>
    <row r="2159" spans="1:2" x14ac:dyDescent="0.25">
      <c r="A2159" s="20" t="s">
        <v>4088</v>
      </c>
      <c r="B2159" s="20" t="s">
        <v>3996</v>
      </c>
    </row>
    <row r="2160" spans="1:2" x14ac:dyDescent="0.25">
      <c r="A2160" s="20" t="s">
        <v>4103</v>
      </c>
      <c r="B2160" s="20" t="s">
        <v>3996</v>
      </c>
    </row>
    <row r="2161" spans="1:2" x14ac:dyDescent="0.25">
      <c r="A2161" s="20">
        <v>-197974065</v>
      </c>
      <c r="B2161" s="20" t="s">
        <v>3996</v>
      </c>
    </row>
    <row r="2162" spans="1:2" x14ac:dyDescent="0.25">
      <c r="A2162" s="20" t="s">
        <v>4129</v>
      </c>
      <c r="B2162" s="20" t="s">
        <v>3996</v>
      </c>
    </row>
    <row r="2163" spans="1:2" x14ac:dyDescent="0.25">
      <c r="A2163" s="20" t="s">
        <v>4136</v>
      </c>
      <c r="B2163" s="20" t="s">
        <v>3996</v>
      </c>
    </row>
    <row r="2164" spans="1:2" x14ac:dyDescent="0.25">
      <c r="A2164" s="20" t="s">
        <v>4147</v>
      </c>
      <c r="B2164" s="20" t="s">
        <v>3996</v>
      </c>
    </row>
    <row r="2165" spans="1:2" x14ac:dyDescent="0.25">
      <c r="A2165" s="20">
        <v>145818800</v>
      </c>
      <c r="B2165" s="20" t="s">
        <v>3996</v>
      </c>
    </row>
    <row r="2166" spans="1:2" x14ac:dyDescent="0.25">
      <c r="A2166" s="20" t="s">
        <v>4178</v>
      </c>
      <c r="B2166" s="20" t="s">
        <v>3996</v>
      </c>
    </row>
    <row r="2167" spans="1:2" x14ac:dyDescent="0.25">
      <c r="A2167" s="20" t="s">
        <v>4146</v>
      </c>
      <c r="B2167" s="20" t="s">
        <v>3996</v>
      </c>
    </row>
    <row r="2168" spans="1:2" x14ac:dyDescent="0.25">
      <c r="A2168" s="20">
        <v>-12174962</v>
      </c>
      <c r="B2168" s="20" t="s">
        <v>3996</v>
      </c>
    </row>
    <row r="2169" spans="1:2" x14ac:dyDescent="0.25">
      <c r="A2169" s="20" t="s">
        <v>4177</v>
      </c>
      <c r="B2169" s="20" t="s">
        <v>3996</v>
      </c>
    </row>
    <row r="2170" spans="1:2" x14ac:dyDescent="0.25">
      <c r="A2170" s="20" t="s">
        <v>4195</v>
      </c>
      <c r="B2170" s="20" t="s">
        <v>3996</v>
      </c>
    </row>
    <row r="2171" spans="1:2" x14ac:dyDescent="0.25">
      <c r="A2171" s="20" t="s">
        <v>4209</v>
      </c>
      <c r="B2171" s="20" t="s">
        <v>3996</v>
      </c>
    </row>
    <row r="2172" spans="1:2" x14ac:dyDescent="0.25">
      <c r="A2172" s="20">
        <v>-377438344</v>
      </c>
      <c r="B2172" s="20" t="s">
        <v>3996</v>
      </c>
    </row>
    <row r="2173" spans="1:2" x14ac:dyDescent="0.25">
      <c r="A2173" s="20" t="s">
        <v>4228</v>
      </c>
      <c r="B2173" s="20" t="s">
        <v>3996</v>
      </c>
    </row>
    <row r="2174" spans="1:2" x14ac:dyDescent="0.25">
      <c r="A2174" s="20" t="s">
        <v>4237</v>
      </c>
      <c r="B2174" s="20" t="s">
        <v>3996</v>
      </c>
    </row>
    <row r="2175" spans="1:2" x14ac:dyDescent="0.25">
      <c r="A2175" s="20" t="s">
        <v>4249</v>
      </c>
      <c r="B2175" s="20" t="s">
        <v>3996</v>
      </c>
    </row>
    <row r="2176" spans="1:2" x14ac:dyDescent="0.25">
      <c r="A2176" s="20" t="s">
        <v>4258</v>
      </c>
      <c r="B2176" s="20" t="s">
        <v>3996</v>
      </c>
    </row>
    <row r="2177" spans="1:2" x14ac:dyDescent="0.25">
      <c r="A2177" s="20" t="s">
        <v>4266</v>
      </c>
      <c r="B2177" s="20" t="s">
        <v>3996</v>
      </c>
    </row>
    <row r="2178" spans="1:2" x14ac:dyDescent="0.25">
      <c r="A2178" s="20" t="s">
        <v>4276</v>
      </c>
      <c r="B2178" s="20" t="s">
        <v>3996</v>
      </c>
    </row>
    <row r="2179" spans="1:2" x14ac:dyDescent="0.25">
      <c r="A2179" s="20" t="s">
        <v>4292</v>
      </c>
      <c r="B2179" s="20" t="s">
        <v>3996</v>
      </c>
    </row>
    <row r="2180" spans="1:2" x14ac:dyDescent="0.25">
      <c r="A2180" s="20" t="s">
        <v>4305</v>
      </c>
      <c r="B2180" s="20" t="s">
        <v>3996</v>
      </c>
    </row>
    <row r="2181" spans="1:2" x14ac:dyDescent="0.25">
      <c r="A2181" s="20">
        <v>-12143825</v>
      </c>
      <c r="B2181" s="20" t="s">
        <v>3996</v>
      </c>
    </row>
    <row r="2182" spans="1:2" x14ac:dyDescent="0.25">
      <c r="A2182" s="20" t="s">
        <v>4329</v>
      </c>
      <c r="B2182" s="20" t="s">
        <v>3996</v>
      </c>
    </row>
    <row r="2183" spans="1:2" x14ac:dyDescent="0.25">
      <c r="A2183" s="20" t="s">
        <v>4339</v>
      </c>
      <c r="B2183" s="20" t="s">
        <v>3996</v>
      </c>
    </row>
    <row r="2184" spans="1:2" x14ac:dyDescent="0.25">
      <c r="A2184" s="20" t="s">
        <v>4349</v>
      </c>
      <c r="B2184" s="20" t="s">
        <v>3996</v>
      </c>
    </row>
    <row r="2185" spans="1:2" x14ac:dyDescent="0.25">
      <c r="A2185" s="20" t="s">
        <v>4358</v>
      </c>
      <c r="B2185" s="20" t="s">
        <v>3996</v>
      </c>
    </row>
    <row r="2186" spans="1:2" x14ac:dyDescent="0.25">
      <c r="A2186" s="20" t="s">
        <v>4366</v>
      </c>
      <c r="B2186" s="20" t="s">
        <v>3996</v>
      </c>
    </row>
    <row r="2187" spans="1:2" x14ac:dyDescent="0.25">
      <c r="A2187" s="20" t="s">
        <v>4372</v>
      </c>
      <c r="B2187" s="20" t="s">
        <v>3996</v>
      </c>
    </row>
    <row r="2188" spans="1:2" x14ac:dyDescent="0.25">
      <c r="A2188" s="20" t="s">
        <v>4380</v>
      </c>
      <c r="B2188" s="20" t="s">
        <v>3996</v>
      </c>
    </row>
    <row r="2189" spans="1:2" x14ac:dyDescent="0.25">
      <c r="A2189" s="20" t="s">
        <v>4388</v>
      </c>
      <c r="B2189" s="20" t="s">
        <v>3996</v>
      </c>
    </row>
    <row r="2190" spans="1:2" x14ac:dyDescent="0.25">
      <c r="A2190" s="20">
        <v>165303424</v>
      </c>
      <c r="B2190" s="20" t="s">
        <v>3996</v>
      </c>
    </row>
    <row r="2191" spans="1:2" x14ac:dyDescent="0.25">
      <c r="A2191" s="20" t="s">
        <v>4402</v>
      </c>
      <c r="B2191" s="20" t="s">
        <v>3996</v>
      </c>
    </row>
    <row r="2192" spans="1:2" x14ac:dyDescent="0.25">
      <c r="A2192" s="20" t="s">
        <v>4408</v>
      </c>
      <c r="B2192" s="20" t="s">
        <v>3996</v>
      </c>
    </row>
    <row r="2193" spans="1:2" x14ac:dyDescent="0.25">
      <c r="A2193" s="20" t="s">
        <v>4413</v>
      </c>
      <c r="B2193" s="20" t="s">
        <v>3996</v>
      </c>
    </row>
    <row r="2194" spans="1:2" x14ac:dyDescent="0.25">
      <c r="A2194" s="20" t="s">
        <v>4417</v>
      </c>
      <c r="B2194" s="20" t="s">
        <v>3996</v>
      </c>
    </row>
    <row r="2195" spans="1:2" x14ac:dyDescent="0.25">
      <c r="A2195" s="20" t="s">
        <v>4422</v>
      </c>
      <c r="B2195" s="20" t="s">
        <v>3996</v>
      </c>
    </row>
    <row r="2196" spans="1:2" x14ac:dyDescent="0.25">
      <c r="A2196" s="20" t="s">
        <v>4428</v>
      </c>
      <c r="B2196" s="20" t="s">
        <v>3996</v>
      </c>
    </row>
    <row r="2197" spans="1:2" x14ac:dyDescent="0.25">
      <c r="A2197" s="20" t="s">
        <v>3997</v>
      </c>
      <c r="B2197" s="20" t="s">
        <v>3997</v>
      </c>
    </row>
    <row r="2198" spans="1:2" x14ac:dyDescent="0.25">
      <c r="A2198" s="20" t="s">
        <v>4028</v>
      </c>
      <c r="B2198" s="20" t="s">
        <v>3997</v>
      </c>
    </row>
    <row r="2199" spans="1:2" x14ac:dyDescent="0.25">
      <c r="A2199" s="20">
        <v>-448887867</v>
      </c>
      <c r="B2199" s="20" t="s">
        <v>3997</v>
      </c>
    </row>
    <row r="2200" spans="1:2" x14ac:dyDescent="0.25">
      <c r="A2200" s="20">
        <v>-448887869</v>
      </c>
      <c r="B2200" s="20" t="s">
        <v>3997</v>
      </c>
    </row>
    <row r="2201" spans="1:2" x14ac:dyDescent="0.25">
      <c r="A2201" s="20" t="s">
        <v>4045</v>
      </c>
      <c r="B2201" s="20" t="s">
        <v>3997</v>
      </c>
    </row>
    <row r="2202" spans="1:2" x14ac:dyDescent="0.25">
      <c r="A2202" s="20" t="s">
        <v>4055</v>
      </c>
      <c r="B2202" s="20" t="s">
        <v>3997</v>
      </c>
    </row>
    <row r="2203" spans="1:2" x14ac:dyDescent="0.25">
      <c r="A2203" s="20">
        <v>-448887868</v>
      </c>
      <c r="B2203" s="20" t="s">
        <v>3997</v>
      </c>
    </row>
    <row r="2204" spans="1:2" x14ac:dyDescent="0.25">
      <c r="A2204" s="20" t="s">
        <v>4073</v>
      </c>
      <c r="B2204" s="20" t="s">
        <v>3997</v>
      </c>
    </row>
    <row r="2205" spans="1:2" x14ac:dyDescent="0.25">
      <c r="A2205" s="20" t="s">
        <v>4090</v>
      </c>
      <c r="B2205" s="20" t="s">
        <v>3997</v>
      </c>
    </row>
    <row r="2206" spans="1:2" x14ac:dyDescent="0.25">
      <c r="A2206" s="20">
        <v>-423965484</v>
      </c>
      <c r="B2206" s="20" t="s">
        <v>3997</v>
      </c>
    </row>
    <row r="2207" spans="1:2" x14ac:dyDescent="0.25">
      <c r="A2207" s="20" t="s">
        <v>4117</v>
      </c>
      <c r="B2207" s="20" t="s">
        <v>3997</v>
      </c>
    </row>
    <row r="2208" spans="1:2" x14ac:dyDescent="0.25">
      <c r="A2208" s="20">
        <v>-387423966</v>
      </c>
      <c r="B2208" s="20" t="s">
        <v>3997</v>
      </c>
    </row>
    <row r="2209" spans="1:2" x14ac:dyDescent="0.25">
      <c r="A2209" s="20">
        <v>-424978642</v>
      </c>
      <c r="B2209" s="20" t="s">
        <v>3997</v>
      </c>
    </row>
    <row r="2210" spans="1:2" x14ac:dyDescent="0.25">
      <c r="A2210" s="20">
        <v>-424978642.17000002</v>
      </c>
      <c r="B2210" s="20" t="s">
        <v>3997</v>
      </c>
    </row>
    <row r="2211" spans="1:2" x14ac:dyDescent="0.25">
      <c r="A2211" s="20" t="s">
        <v>4162</v>
      </c>
      <c r="B2211" s="20" t="s">
        <v>3997</v>
      </c>
    </row>
    <row r="2212" spans="1:2" x14ac:dyDescent="0.25">
      <c r="A2212" s="20" t="s">
        <v>4180</v>
      </c>
      <c r="B2212" s="20" t="s">
        <v>3997</v>
      </c>
    </row>
    <row r="2213" spans="1:2" x14ac:dyDescent="0.25">
      <c r="A2213" s="20" t="s">
        <v>4062</v>
      </c>
      <c r="B2213" s="20" t="s">
        <v>3997</v>
      </c>
    </row>
    <row r="2214" spans="1:2" x14ac:dyDescent="0.25">
      <c r="A2214" s="20" t="s">
        <v>4051</v>
      </c>
      <c r="B2214" s="20" t="s">
        <v>3997</v>
      </c>
    </row>
    <row r="2215" spans="1:2" x14ac:dyDescent="0.25">
      <c r="A2215" s="20" t="s">
        <v>4087</v>
      </c>
      <c r="B2215" s="20" t="s">
        <v>3997</v>
      </c>
    </row>
    <row r="2216" spans="1:2" x14ac:dyDescent="0.25">
      <c r="A2216" s="20" t="s">
        <v>4102</v>
      </c>
      <c r="B2216" s="20" t="s">
        <v>3997</v>
      </c>
    </row>
    <row r="2217" spans="1:2" x14ac:dyDescent="0.25">
      <c r="A2217" s="20" t="s">
        <v>4116</v>
      </c>
      <c r="B2217" s="20" t="s">
        <v>3997</v>
      </c>
    </row>
    <row r="2218" spans="1:2" x14ac:dyDescent="0.25">
      <c r="A2218" s="20">
        <v>486653628</v>
      </c>
      <c r="B2218" s="20" t="s">
        <v>3997</v>
      </c>
    </row>
    <row r="2219" spans="1:2" x14ac:dyDescent="0.25">
      <c r="A2219" s="20">
        <v>43117623</v>
      </c>
      <c r="B2219" s="20" t="s">
        <v>3997</v>
      </c>
    </row>
    <row r="2220" spans="1:2" x14ac:dyDescent="0.25">
      <c r="A2220" s="20" t="s">
        <v>4268</v>
      </c>
      <c r="B2220" s="20" t="s">
        <v>3997</v>
      </c>
    </row>
    <row r="2221" spans="1:2" x14ac:dyDescent="0.25">
      <c r="A2221" s="20">
        <v>-145818800</v>
      </c>
      <c r="B2221" s="20" t="s">
        <v>3997</v>
      </c>
    </row>
    <row r="2222" spans="1:2" x14ac:dyDescent="0.25">
      <c r="A2222" s="20">
        <v>12114874</v>
      </c>
      <c r="B2222" s="20" t="s">
        <v>3997</v>
      </c>
    </row>
    <row r="2223" spans="1:2" x14ac:dyDescent="0.25">
      <c r="A2223" s="20" t="s">
        <v>4307</v>
      </c>
      <c r="B2223" s="20" t="s">
        <v>3997</v>
      </c>
    </row>
    <row r="2224" spans="1:2" x14ac:dyDescent="0.25">
      <c r="A2224" s="20" t="s">
        <v>4178</v>
      </c>
      <c r="B2224" s="20" t="s">
        <v>3997</v>
      </c>
    </row>
    <row r="2225" spans="1:2" x14ac:dyDescent="0.25">
      <c r="A2225" s="20" t="s">
        <v>4146</v>
      </c>
      <c r="B2225" s="20" t="s">
        <v>3997</v>
      </c>
    </row>
    <row r="2226" spans="1:2" x14ac:dyDescent="0.25">
      <c r="A2226" s="20">
        <v>-12174962</v>
      </c>
      <c r="B2226" s="20" t="s">
        <v>3997</v>
      </c>
    </row>
    <row r="2227" spans="1:2" x14ac:dyDescent="0.25">
      <c r="A2227" s="20" t="s">
        <v>4177</v>
      </c>
      <c r="B2227" s="20" t="s">
        <v>3997</v>
      </c>
    </row>
    <row r="2228" spans="1:2" x14ac:dyDescent="0.25">
      <c r="A2228" s="20" t="s">
        <v>4195</v>
      </c>
      <c r="B2228" s="20" t="s">
        <v>3997</v>
      </c>
    </row>
    <row r="2229" spans="1:2" x14ac:dyDescent="0.25">
      <c r="A2229" s="20" t="s">
        <v>4209</v>
      </c>
      <c r="B2229" s="20" t="s">
        <v>3997</v>
      </c>
    </row>
    <row r="2230" spans="1:2" x14ac:dyDescent="0.25">
      <c r="A2230" s="20">
        <v>-377438344</v>
      </c>
      <c r="B2230" s="20" t="s">
        <v>3997</v>
      </c>
    </row>
    <row r="2231" spans="1:2" x14ac:dyDescent="0.25">
      <c r="A2231" s="20" t="s">
        <v>4228</v>
      </c>
      <c r="B2231" s="20" t="s">
        <v>3997</v>
      </c>
    </row>
    <row r="2232" spans="1:2" x14ac:dyDescent="0.25">
      <c r="A2232" s="20" t="s">
        <v>4237</v>
      </c>
      <c r="B2232" s="20" t="s">
        <v>3997</v>
      </c>
    </row>
    <row r="2233" spans="1:2" x14ac:dyDescent="0.25">
      <c r="A2233" s="20" t="s">
        <v>4249</v>
      </c>
      <c r="B2233" s="20" t="s">
        <v>3997</v>
      </c>
    </row>
    <row r="2234" spans="1:2" x14ac:dyDescent="0.25">
      <c r="A2234" s="20" t="s">
        <v>4258</v>
      </c>
      <c r="B2234" s="20" t="s">
        <v>3997</v>
      </c>
    </row>
    <row r="2235" spans="1:2" x14ac:dyDescent="0.25">
      <c r="A2235" s="20" t="s">
        <v>4266</v>
      </c>
      <c r="B2235" s="20" t="s">
        <v>3997</v>
      </c>
    </row>
    <row r="2236" spans="1:2" x14ac:dyDescent="0.25">
      <c r="A2236" s="20" t="s">
        <v>4276</v>
      </c>
      <c r="B2236" s="20" t="s">
        <v>3997</v>
      </c>
    </row>
    <row r="2237" spans="1:2" x14ac:dyDescent="0.25">
      <c r="A2237" s="20" t="s">
        <v>4292</v>
      </c>
      <c r="B2237" s="20" t="s">
        <v>3997</v>
      </c>
    </row>
    <row r="2238" spans="1:2" x14ac:dyDescent="0.25">
      <c r="A2238" s="20" t="s">
        <v>4305</v>
      </c>
      <c r="B2238" s="20" t="s">
        <v>3997</v>
      </c>
    </row>
    <row r="2239" spans="1:2" x14ac:dyDescent="0.25">
      <c r="A2239" s="20">
        <v>-12143825</v>
      </c>
      <c r="B2239" s="20" t="s">
        <v>3997</v>
      </c>
    </row>
    <row r="2240" spans="1:2" x14ac:dyDescent="0.25">
      <c r="A2240" s="20" t="s">
        <v>4329</v>
      </c>
      <c r="B2240" s="20" t="s">
        <v>3997</v>
      </c>
    </row>
    <row r="2241" spans="1:2" x14ac:dyDescent="0.25">
      <c r="A2241" s="20" t="s">
        <v>4339</v>
      </c>
      <c r="B2241" s="20" t="s">
        <v>3997</v>
      </c>
    </row>
    <row r="2242" spans="1:2" x14ac:dyDescent="0.25">
      <c r="A2242" s="20" t="s">
        <v>4349</v>
      </c>
      <c r="B2242" s="20" t="s">
        <v>3997</v>
      </c>
    </row>
    <row r="2243" spans="1:2" x14ac:dyDescent="0.25">
      <c r="A2243" s="20" t="s">
        <v>4358</v>
      </c>
      <c r="B2243" s="20" t="s">
        <v>3997</v>
      </c>
    </row>
    <row r="2244" spans="1:2" x14ac:dyDescent="0.25">
      <c r="A2244" s="20" t="s">
        <v>4366</v>
      </c>
      <c r="B2244" s="20" t="s">
        <v>3997</v>
      </c>
    </row>
    <row r="2245" spans="1:2" x14ac:dyDescent="0.25">
      <c r="A2245" s="20" t="s">
        <v>4372</v>
      </c>
      <c r="B2245" s="20" t="s">
        <v>3997</v>
      </c>
    </row>
    <row r="2246" spans="1:2" x14ac:dyDescent="0.25">
      <c r="A2246" s="20" t="s">
        <v>4380</v>
      </c>
      <c r="B2246" s="20" t="s">
        <v>3997</v>
      </c>
    </row>
    <row r="2247" spans="1:2" x14ac:dyDescent="0.25">
      <c r="A2247" s="20" t="s">
        <v>4388</v>
      </c>
      <c r="B2247" s="20" t="s">
        <v>3997</v>
      </c>
    </row>
    <row r="2248" spans="1:2" x14ac:dyDescent="0.25">
      <c r="A2248" s="20">
        <v>165303424</v>
      </c>
      <c r="B2248" s="20" t="s">
        <v>3997</v>
      </c>
    </row>
    <row r="2249" spans="1:2" x14ac:dyDescent="0.25">
      <c r="A2249" s="20" t="s">
        <v>4402</v>
      </c>
      <c r="B2249" s="20" t="s">
        <v>3997</v>
      </c>
    </row>
    <row r="2250" spans="1:2" x14ac:dyDescent="0.25">
      <c r="A2250" s="20" t="s">
        <v>4408</v>
      </c>
      <c r="B2250" s="20" t="s">
        <v>3997</v>
      </c>
    </row>
    <row r="2251" spans="1:2" x14ac:dyDescent="0.25">
      <c r="A2251" s="20" t="s">
        <v>4413</v>
      </c>
      <c r="B2251" s="20" t="s">
        <v>3997</v>
      </c>
    </row>
    <row r="2252" spans="1:2" x14ac:dyDescent="0.25">
      <c r="A2252" s="20" t="s">
        <v>4417</v>
      </c>
      <c r="B2252" s="20" t="s">
        <v>3997</v>
      </c>
    </row>
    <row r="2253" spans="1:2" x14ac:dyDescent="0.25">
      <c r="A2253" s="20" t="s">
        <v>4422</v>
      </c>
      <c r="B2253" s="20" t="s">
        <v>3997</v>
      </c>
    </row>
    <row r="2254" spans="1:2" x14ac:dyDescent="0.25">
      <c r="A2254" s="20" t="s">
        <v>4428</v>
      </c>
      <c r="B2254" s="20" t="s">
        <v>3997</v>
      </c>
    </row>
    <row r="2255" spans="1:2" x14ac:dyDescent="0.25">
      <c r="A2255" s="20" t="s">
        <v>3998</v>
      </c>
      <c r="B2255" s="20" t="s">
        <v>3998</v>
      </c>
    </row>
    <row r="2256" spans="1:2" x14ac:dyDescent="0.25">
      <c r="A2256" s="20" t="s">
        <v>4028</v>
      </c>
      <c r="B2256" s="20" t="s">
        <v>3998</v>
      </c>
    </row>
    <row r="2257" spans="1:2" x14ac:dyDescent="0.25">
      <c r="A2257" s="20">
        <v>-448887867</v>
      </c>
      <c r="B2257" s="20" t="s">
        <v>3998</v>
      </c>
    </row>
    <row r="2258" spans="1:2" x14ac:dyDescent="0.25">
      <c r="A2258" s="20">
        <v>-448887869</v>
      </c>
      <c r="B2258" s="20" t="s">
        <v>3998</v>
      </c>
    </row>
    <row r="2259" spans="1:2" x14ac:dyDescent="0.25">
      <c r="A2259" s="20" t="s">
        <v>4045</v>
      </c>
      <c r="B2259" s="20" t="s">
        <v>3998</v>
      </c>
    </row>
    <row r="2260" spans="1:2" x14ac:dyDescent="0.25">
      <c r="A2260" s="20" t="s">
        <v>4055</v>
      </c>
      <c r="B2260" s="20" t="s">
        <v>3998</v>
      </c>
    </row>
    <row r="2261" spans="1:2" x14ac:dyDescent="0.25">
      <c r="A2261" s="20">
        <v>-448887868</v>
      </c>
      <c r="B2261" s="20" t="s">
        <v>3998</v>
      </c>
    </row>
    <row r="2262" spans="1:2" x14ac:dyDescent="0.25">
      <c r="A2262" s="20" t="s">
        <v>4073</v>
      </c>
      <c r="B2262" s="20" t="s">
        <v>3998</v>
      </c>
    </row>
    <row r="2263" spans="1:2" x14ac:dyDescent="0.25">
      <c r="A2263" s="20" t="s">
        <v>4090</v>
      </c>
      <c r="B2263" s="20" t="s">
        <v>3998</v>
      </c>
    </row>
    <row r="2264" spans="1:2" x14ac:dyDescent="0.25">
      <c r="A2264" s="20">
        <v>-423965484</v>
      </c>
      <c r="B2264" s="20" t="s">
        <v>3998</v>
      </c>
    </row>
    <row r="2265" spans="1:2" x14ac:dyDescent="0.25">
      <c r="A2265" s="20" t="s">
        <v>4117</v>
      </c>
      <c r="B2265" s="20" t="s">
        <v>3998</v>
      </c>
    </row>
    <row r="2266" spans="1:2" x14ac:dyDescent="0.25">
      <c r="A2266" s="20">
        <v>-387423966</v>
      </c>
      <c r="B2266" s="20" t="s">
        <v>3998</v>
      </c>
    </row>
    <row r="2267" spans="1:2" x14ac:dyDescent="0.25">
      <c r="A2267" s="20">
        <v>-424978642</v>
      </c>
      <c r="B2267" s="20" t="s">
        <v>3998</v>
      </c>
    </row>
    <row r="2268" spans="1:2" x14ac:dyDescent="0.25">
      <c r="A2268" s="20">
        <v>-424978642.17000002</v>
      </c>
      <c r="B2268" s="20" t="s">
        <v>3998</v>
      </c>
    </row>
    <row r="2269" spans="1:2" x14ac:dyDescent="0.25">
      <c r="A2269" s="20" t="s">
        <v>4162</v>
      </c>
      <c r="B2269" s="20" t="s">
        <v>3998</v>
      </c>
    </row>
    <row r="2270" spans="1:2" x14ac:dyDescent="0.25">
      <c r="A2270" s="20" t="s">
        <v>4180</v>
      </c>
      <c r="B2270" s="20" t="s">
        <v>3998</v>
      </c>
    </row>
    <row r="2271" spans="1:2" x14ac:dyDescent="0.25">
      <c r="A2271" s="20" t="s">
        <v>4062</v>
      </c>
      <c r="B2271" s="20" t="s">
        <v>3998</v>
      </c>
    </row>
    <row r="2272" spans="1:2" x14ac:dyDescent="0.25">
      <c r="A2272" s="20" t="s">
        <v>4051</v>
      </c>
      <c r="B2272" s="20" t="s">
        <v>3998</v>
      </c>
    </row>
    <row r="2273" spans="1:2" x14ac:dyDescent="0.25">
      <c r="A2273" s="20" t="s">
        <v>4087</v>
      </c>
      <c r="B2273" s="20" t="s">
        <v>3998</v>
      </c>
    </row>
    <row r="2274" spans="1:2" x14ac:dyDescent="0.25">
      <c r="A2274" s="20" t="s">
        <v>4102</v>
      </c>
      <c r="B2274" s="20" t="s">
        <v>3998</v>
      </c>
    </row>
    <row r="2275" spans="1:2" x14ac:dyDescent="0.25">
      <c r="A2275" s="20" t="s">
        <v>4116</v>
      </c>
      <c r="B2275" s="20" t="s">
        <v>3998</v>
      </c>
    </row>
    <row r="2276" spans="1:2" x14ac:dyDescent="0.25">
      <c r="A2276" s="20">
        <v>486653628</v>
      </c>
      <c r="B2276" s="20" t="s">
        <v>3998</v>
      </c>
    </row>
    <row r="2277" spans="1:2" x14ac:dyDescent="0.25">
      <c r="A2277" s="20">
        <v>43117623</v>
      </c>
      <c r="B2277" s="20" t="s">
        <v>3998</v>
      </c>
    </row>
    <row r="2278" spans="1:2" x14ac:dyDescent="0.25">
      <c r="A2278" s="20" t="s">
        <v>4268</v>
      </c>
      <c r="B2278" s="20" t="s">
        <v>3998</v>
      </c>
    </row>
    <row r="2279" spans="1:2" x14ac:dyDescent="0.25">
      <c r="A2279" s="20">
        <v>-145818800</v>
      </c>
      <c r="B2279" s="20" t="s">
        <v>3998</v>
      </c>
    </row>
    <row r="2280" spans="1:2" x14ac:dyDescent="0.25">
      <c r="A2280" s="20">
        <v>12114874</v>
      </c>
      <c r="B2280" s="20" t="s">
        <v>3998</v>
      </c>
    </row>
    <row r="2281" spans="1:2" x14ac:dyDescent="0.25">
      <c r="A2281" s="20" t="s">
        <v>4307</v>
      </c>
      <c r="B2281" s="20" t="s">
        <v>3998</v>
      </c>
    </row>
    <row r="2282" spans="1:2" x14ac:dyDescent="0.25">
      <c r="A2282" s="20" t="s">
        <v>4178</v>
      </c>
      <c r="B2282" s="20" t="s">
        <v>3998</v>
      </c>
    </row>
    <row r="2283" spans="1:2" x14ac:dyDescent="0.25">
      <c r="A2283" s="20" t="s">
        <v>4146</v>
      </c>
      <c r="B2283" s="20" t="s">
        <v>3998</v>
      </c>
    </row>
    <row r="2284" spans="1:2" x14ac:dyDescent="0.25">
      <c r="A2284" s="20">
        <v>-12174962</v>
      </c>
      <c r="B2284" s="20" t="s">
        <v>3998</v>
      </c>
    </row>
    <row r="2285" spans="1:2" x14ac:dyDescent="0.25">
      <c r="A2285" s="20" t="s">
        <v>4295</v>
      </c>
      <c r="B2285" s="20" t="s">
        <v>3998</v>
      </c>
    </row>
    <row r="2286" spans="1:2" x14ac:dyDescent="0.25">
      <c r="A2286" s="20" t="s">
        <v>4083</v>
      </c>
      <c r="B2286" s="20" t="s">
        <v>3998</v>
      </c>
    </row>
    <row r="2287" spans="1:2" x14ac:dyDescent="0.25">
      <c r="A2287" s="20" t="s">
        <v>4084</v>
      </c>
      <c r="B2287" s="20" t="s">
        <v>3998</v>
      </c>
    </row>
    <row r="2288" spans="1:2" x14ac:dyDescent="0.25">
      <c r="A2288" s="20" t="s">
        <v>4098</v>
      </c>
      <c r="B2288" s="20" t="s">
        <v>3998</v>
      </c>
    </row>
    <row r="2289" spans="1:2" x14ac:dyDescent="0.25">
      <c r="A2289" s="20">
        <v>-423967356</v>
      </c>
      <c r="B2289" s="20" t="s">
        <v>3998</v>
      </c>
    </row>
    <row r="2290" spans="1:2" x14ac:dyDescent="0.25">
      <c r="A2290" s="20">
        <v>-424978643</v>
      </c>
      <c r="B2290" s="20" t="s">
        <v>3998</v>
      </c>
    </row>
    <row r="2291" spans="1:2" x14ac:dyDescent="0.25">
      <c r="A2291" s="20">
        <v>-423967357</v>
      </c>
      <c r="B2291" s="20" t="s">
        <v>3998</v>
      </c>
    </row>
    <row r="2292" spans="1:2" x14ac:dyDescent="0.25">
      <c r="A2292" s="20">
        <v>-423967353</v>
      </c>
      <c r="B2292" s="20" t="s">
        <v>3998</v>
      </c>
    </row>
    <row r="2293" spans="1:2" x14ac:dyDescent="0.25">
      <c r="A2293" s="20" t="s">
        <v>4159</v>
      </c>
      <c r="B2293" s="20" t="s">
        <v>3998</v>
      </c>
    </row>
    <row r="2294" spans="1:2" x14ac:dyDescent="0.25">
      <c r="A2294" s="20" t="s">
        <v>4175</v>
      </c>
      <c r="B2294" s="20" t="s">
        <v>3998</v>
      </c>
    </row>
    <row r="2295" spans="1:2" x14ac:dyDescent="0.25">
      <c r="A2295" s="20" t="s">
        <v>4155</v>
      </c>
      <c r="B2295" s="20" t="s">
        <v>3998</v>
      </c>
    </row>
    <row r="2296" spans="1:2" x14ac:dyDescent="0.25">
      <c r="A2296" s="20" t="s">
        <v>4169</v>
      </c>
      <c r="B2296" s="20" t="s">
        <v>3998</v>
      </c>
    </row>
    <row r="2297" spans="1:2" x14ac:dyDescent="0.25">
      <c r="A2297" s="20" t="s">
        <v>4218</v>
      </c>
      <c r="B2297" s="20" t="s">
        <v>3998</v>
      </c>
    </row>
    <row r="2298" spans="1:2" x14ac:dyDescent="0.25">
      <c r="A2298" s="20" t="s">
        <v>4227</v>
      </c>
      <c r="B2298" s="20" t="s">
        <v>3998</v>
      </c>
    </row>
    <row r="2299" spans="1:2" x14ac:dyDescent="0.25">
      <c r="A2299" s="20" t="s">
        <v>4235</v>
      </c>
      <c r="B2299" s="20" t="s">
        <v>3998</v>
      </c>
    </row>
    <row r="2300" spans="1:2" x14ac:dyDescent="0.25">
      <c r="A2300" s="20" t="s">
        <v>4247</v>
      </c>
      <c r="B2300" s="20" t="s">
        <v>3998</v>
      </c>
    </row>
    <row r="2301" spans="1:2" x14ac:dyDescent="0.25">
      <c r="A2301" s="20" t="s">
        <v>4257</v>
      </c>
      <c r="B2301" s="20" t="s">
        <v>3998</v>
      </c>
    </row>
    <row r="2302" spans="1:2" x14ac:dyDescent="0.25">
      <c r="A2302" s="20" t="s">
        <v>4265</v>
      </c>
      <c r="B2302" s="20" t="s">
        <v>3998</v>
      </c>
    </row>
    <row r="2303" spans="1:2" x14ac:dyDescent="0.25">
      <c r="A2303" s="20" t="s">
        <v>4112</v>
      </c>
      <c r="B2303" s="20" t="s">
        <v>3998</v>
      </c>
    </row>
    <row r="2304" spans="1:2" x14ac:dyDescent="0.25">
      <c r="A2304" s="20" t="s">
        <v>4126</v>
      </c>
      <c r="B2304" s="20" t="s">
        <v>3998</v>
      </c>
    </row>
    <row r="2305" spans="1:2" x14ac:dyDescent="0.25">
      <c r="A2305" s="20">
        <v>-486653628</v>
      </c>
      <c r="B2305" s="20" t="s">
        <v>3998</v>
      </c>
    </row>
    <row r="2306" spans="1:2" x14ac:dyDescent="0.25">
      <c r="A2306" s="20" t="s">
        <v>4142</v>
      </c>
      <c r="B2306" s="20" t="s">
        <v>3998</v>
      </c>
    </row>
    <row r="2307" spans="1:2" x14ac:dyDescent="0.25">
      <c r="A2307" s="20" t="s">
        <v>4328</v>
      </c>
      <c r="B2307" s="20" t="s">
        <v>3998</v>
      </c>
    </row>
    <row r="2308" spans="1:2" x14ac:dyDescent="0.25">
      <c r="A2308" s="20" t="s">
        <v>4070</v>
      </c>
      <c r="B2308" s="20" t="s">
        <v>3998</v>
      </c>
    </row>
    <row r="2309" spans="1:2" x14ac:dyDescent="0.25">
      <c r="A2309" s="20" t="s">
        <v>4085</v>
      </c>
      <c r="B2309" s="20" t="s">
        <v>3998</v>
      </c>
    </row>
    <row r="2310" spans="1:2" x14ac:dyDescent="0.25">
      <c r="A2310" s="20" t="s">
        <v>4099</v>
      </c>
      <c r="B2310" s="20" t="s">
        <v>3998</v>
      </c>
    </row>
    <row r="2311" spans="1:2" x14ac:dyDescent="0.25">
      <c r="A2311" s="20" t="s">
        <v>4113</v>
      </c>
      <c r="B2311" s="20" t="s">
        <v>3998</v>
      </c>
    </row>
    <row r="2312" spans="1:2" x14ac:dyDescent="0.25">
      <c r="A2312" s="20" t="s">
        <v>4127</v>
      </c>
      <c r="B2312" s="20" t="s">
        <v>3998</v>
      </c>
    </row>
    <row r="2313" spans="1:2" x14ac:dyDescent="0.25">
      <c r="A2313" s="20">
        <v>12111684</v>
      </c>
      <c r="B2313" s="20" t="s">
        <v>3998</v>
      </c>
    </row>
    <row r="2314" spans="1:2" x14ac:dyDescent="0.25">
      <c r="A2314" s="20" t="s">
        <v>4125</v>
      </c>
      <c r="B2314" s="20" t="s">
        <v>3998</v>
      </c>
    </row>
    <row r="2315" spans="1:2" x14ac:dyDescent="0.25">
      <c r="A2315" s="20" t="s">
        <v>3999</v>
      </c>
      <c r="B2315" s="20" t="s">
        <v>3999</v>
      </c>
    </row>
    <row r="2316" spans="1:2" x14ac:dyDescent="0.25">
      <c r="A2316" s="20" t="s">
        <v>4028</v>
      </c>
      <c r="B2316" s="20" t="s">
        <v>3999</v>
      </c>
    </row>
    <row r="2317" spans="1:2" x14ac:dyDescent="0.25">
      <c r="A2317" s="20">
        <v>-448887867</v>
      </c>
      <c r="B2317" s="20" t="s">
        <v>3999</v>
      </c>
    </row>
    <row r="2318" spans="1:2" x14ac:dyDescent="0.25">
      <c r="A2318" s="20">
        <v>-448887869</v>
      </c>
      <c r="B2318" s="20" t="s">
        <v>3999</v>
      </c>
    </row>
    <row r="2319" spans="1:2" x14ac:dyDescent="0.25">
      <c r="A2319" s="20" t="s">
        <v>4045</v>
      </c>
      <c r="B2319" s="20" t="s">
        <v>3999</v>
      </c>
    </row>
    <row r="2320" spans="1:2" x14ac:dyDescent="0.25">
      <c r="A2320" s="20" t="s">
        <v>4055</v>
      </c>
      <c r="B2320" s="20" t="s">
        <v>3999</v>
      </c>
    </row>
    <row r="2321" spans="1:2" x14ac:dyDescent="0.25">
      <c r="A2321" s="20">
        <v>-448887868</v>
      </c>
      <c r="B2321" s="20" t="s">
        <v>3999</v>
      </c>
    </row>
    <row r="2322" spans="1:2" x14ac:dyDescent="0.25">
      <c r="A2322" s="20" t="s">
        <v>4073</v>
      </c>
      <c r="B2322" s="20" t="s">
        <v>3999</v>
      </c>
    </row>
    <row r="2323" spans="1:2" x14ac:dyDescent="0.25">
      <c r="A2323" s="20" t="s">
        <v>4090</v>
      </c>
      <c r="B2323" s="20" t="s">
        <v>3999</v>
      </c>
    </row>
    <row r="2324" spans="1:2" x14ac:dyDescent="0.25">
      <c r="A2324" s="20">
        <v>-423965484</v>
      </c>
      <c r="B2324" s="20" t="s">
        <v>3999</v>
      </c>
    </row>
    <row r="2325" spans="1:2" x14ac:dyDescent="0.25">
      <c r="A2325" s="20" t="s">
        <v>4117</v>
      </c>
      <c r="B2325" s="20" t="s">
        <v>3999</v>
      </c>
    </row>
    <row r="2326" spans="1:2" x14ac:dyDescent="0.25">
      <c r="A2326" s="20">
        <v>-387423966</v>
      </c>
      <c r="B2326" s="20" t="s">
        <v>3999</v>
      </c>
    </row>
    <row r="2327" spans="1:2" x14ac:dyDescent="0.25">
      <c r="A2327" s="20">
        <v>-424978642</v>
      </c>
      <c r="B2327" s="20" t="s">
        <v>3999</v>
      </c>
    </row>
    <row r="2328" spans="1:2" x14ac:dyDescent="0.25">
      <c r="A2328" s="20">
        <v>-424978642.17000002</v>
      </c>
      <c r="B2328" s="20" t="s">
        <v>3999</v>
      </c>
    </row>
    <row r="2329" spans="1:2" x14ac:dyDescent="0.25">
      <c r="A2329" s="20" t="s">
        <v>4162</v>
      </c>
      <c r="B2329" s="20" t="s">
        <v>3999</v>
      </c>
    </row>
    <row r="2330" spans="1:2" x14ac:dyDescent="0.25">
      <c r="A2330" s="20" t="s">
        <v>4180</v>
      </c>
      <c r="B2330" s="20" t="s">
        <v>3999</v>
      </c>
    </row>
    <row r="2331" spans="1:2" x14ac:dyDescent="0.25">
      <c r="A2331" s="20" t="s">
        <v>4062</v>
      </c>
      <c r="B2331" s="20" t="s">
        <v>3999</v>
      </c>
    </row>
    <row r="2332" spans="1:2" x14ac:dyDescent="0.25">
      <c r="A2332" s="20" t="s">
        <v>4051</v>
      </c>
      <c r="B2332" s="20" t="s">
        <v>3999</v>
      </c>
    </row>
    <row r="2333" spans="1:2" x14ac:dyDescent="0.25">
      <c r="A2333" s="20" t="s">
        <v>4087</v>
      </c>
      <c r="B2333" s="20" t="s">
        <v>3999</v>
      </c>
    </row>
    <row r="2334" spans="1:2" x14ac:dyDescent="0.25">
      <c r="A2334" s="20" t="s">
        <v>4102</v>
      </c>
      <c r="B2334" s="20" t="s">
        <v>3999</v>
      </c>
    </row>
    <row r="2335" spans="1:2" x14ac:dyDescent="0.25">
      <c r="A2335" s="20" t="s">
        <v>4116</v>
      </c>
      <c r="B2335" s="20" t="s">
        <v>3999</v>
      </c>
    </row>
    <row r="2336" spans="1:2" x14ac:dyDescent="0.25">
      <c r="A2336" s="20">
        <v>486653628</v>
      </c>
      <c r="B2336" s="20" t="s">
        <v>3999</v>
      </c>
    </row>
    <row r="2337" spans="1:2" x14ac:dyDescent="0.25">
      <c r="A2337" s="20">
        <v>43117623</v>
      </c>
      <c r="B2337" s="20" t="s">
        <v>3999</v>
      </c>
    </row>
    <row r="2338" spans="1:2" x14ac:dyDescent="0.25">
      <c r="A2338" s="20" t="s">
        <v>4268</v>
      </c>
      <c r="B2338" s="20" t="s">
        <v>3999</v>
      </c>
    </row>
    <row r="2339" spans="1:2" x14ac:dyDescent="0.25">
      <c r="A2339" s="20" t="s">
        <v>4278</v>
      </c>
      <c r="B2339" s="20" t="s">
        <v>3999</v>
      </c>
    </row>
    <row r="2340" spans="1:2" x14ac:dyDescent="0.25">
      <c r="A2340" s="20">
        <v>-12114874</v>
      </c>
      <c r="B2340" s="20" t="s">
        <v>3999</v>
      </c>
    </row>
    <row r="2341" spans="1:2" x14ac:dyDescent="0.25">
      <c r="A2341" s="20">
        <v>12181187</v>
      </c>
      <c r="B2341" s="20" t="s">
        <v>3999</v>
      </c>
    </row>
    <row r="2342" spans="1:2" x14ac:dyDescent="0.25">
      <c r="A2342" s="20" t="s">
        <v>4319</v>
      </c>
      <c r="B2342" s="20" t="s">
        <v>3999</v>
      </c>
    </row>
    <row r="2343" spans="1:2" x14ac:dyDescent="0.25">
      <c r="A2343" s="20" t="s">
        <v>4331</v>
      </c>
      <c r="B2343" s="20" t="s">
        <v>3999</v>
      </c>
    </row>
    <row r="2344" spans="1:2" x14ac:dyDescent="0.25">
      <c r="A2344" s="20" t="s">
        <v>4341</v>
      </c>
      <c r="B2344" s="20" t="s">
        <v>3999</v>
      </c>
    </row>
    <row r="2345" spans="1:2" x14ac:dyDescent="0.25">
      <c r="A2345" s="20">
        <v>12181195</v>
      </c>
      <c r="B2345" s="20" t="s">
        <v>3999</v>
      </c>
    </row>
    <row r="2346" spans="1:2" x14ac:dyDescent="0.25">
      <c r="A2346" s="20" t="s">
        <v>4361</v>
      </c>
      <c r="B2346" s="20" t="s">
        <v>3999</v>
      </c>
    </row>
    <row r="2347" spans="1:2" x14ac:dyDescent="0.25">
      <c r="A2347" s="20" t="s">
        <v>4130</v>
      </c>
      <c r="B2347" s="20" t="s">
        <v>3999</v>
      </c>
    </row>
    <row r="2348" spans="1:2" x14ac:dyDescent="0.25">
      <c r="A2348" s="20" t="s">
        <v>4137</v>
      </c>
      <c r="B2348" s="20" t="s">
        <v>3999</v>
      </c>
    </row>
    <row r="2349" spans="1:2" x14ac:dyDescent="0.25">
      <c r="A2349" s="20" t="s">
        <v>4383</v>
      </c>
      <c r="B2349" s="20" t="s">
        <v>3999</v>
      </c>
    </row>
    <row r="2350" spans="1:2" x14ac:dyDescent="0.25">
      <c r="A2350" s="20" t="s">
        <v>4054</v>
      </c>
      <c r="B2350" s="20" t="s">
        <v>3999</v>
      </c>
    </row>
    <row r="2351" spans="1:2" x14ac:dyDescent="0.25">
      <c r="A2351" s="20" t="s">
        <v>4064</v>
      </c>
      <c r="B2351" s="20" t="s">
        <v>3999</v>
      </c>
    </row>
    <row r="2352" spans="1:2" x14ac:dyDescent="0.25">
      <c r="A2352" s="20" t="s">
        <v>4071</v>
      </c>
      <c r="B2352" s="20" t="s">
        <v>3999</v>
      </c>
    </row>
    <row r="2353" spans="1:2" x14ac:dyDescent="0.25">
      <c r="A2353" s="20" t="s">
        <v>4086</v>
      </c>
      <c r="B2353" s="20" t="s">
        <v>3999</v>
      </c>
    </row>
    <row r="2354" spans="1:2" x14ac:dyDescent="0.25">
      <c r="A2354" s="20" t="s">
        <v>4101</v>
      </c>
      <c r="B2354" s="20" t="s">
        <v>3999</v>
      </c>
    </row>
    <row r="2355" spans="1:2" x14ac:dyDescent="0.25">
      <c r="A2355" s="20" t="s">
        <v>4115</v>
      </c>
      <c r="B2355" s="20" t="s">
        <v>3999</v>
      </c>
    </row>
    <row r="2356" spans="1:2" x14ac:dyDescent="0.25">
      <c r="A2356" s="20" t="s">
        <v>4128</v>
      </c>
      <c r="B2356" s="20" t="s">
        <v>3999</v>
      </c>
    </row>
    <row r="2357" spans="1:2" x14ac:dyDescent="0.25">
      <c r="A2357" s="20" t="s">
        <v>4229</v>
      </c>
      <c r="B2357" s="20" t="s">
        <v>3999</v>
      </c>
    </row>
    <row r="2358" spans="1:2" x14ac:dyDescent="0.25">
      <c r="A2358" s="20">
        <v>-196375622</v>
      </c>
      <c r="B2358" s="20" t="s">
        <v>3999</v>
      </c>
    </row>
    <row r="2359" spans="1:2" x14ac:dyDescent="0.25">
      <c r="A2359" s="20" t="s">
        <v>4441</v>
      </c>
      <c r="B2359" s="20" t="s">
        <v>3999</v>
      </c>
    </row>
    <row r="2360" spans="1:2" x14ac:dyDescent="0.25">
      <c r="A2360" s="20" t="s">
        <v>4446</v>
      </c>
      <c r="B2360" s="20" t="s">
        <v>3999</v>
      </c>
    </row>
    <row r="2361" spans="1:2" x14ac:dyDescent="0.25">
      <c r="A2361" s="20" t="s">
        <v>4452</v>
      </c>
      <c r="B2361" s="20" t="s">
        <v>3999</v>
      </c>
    </row>
    <row r="2362" spans="1:2" x14ac:dyDescent="0.25">
      <c r="A2362" s="20" t="s">
        <v>4457</v>
      </c>
      <c r="B2362" s="20" t="s">
        <v>3999</v>
      </c>
    </row>
    <row r="2363" spans="1:2" x14ac:dyDescent="0.25">
      <c r="A2363" s="20" t="s">
        <v>4462</v>
      </c>
      <c r="B2363" s="20" t="s">
        <v>3999</v>
      </c>
    </row>
    <row r="2364" spans="1:2" x14ac:dyDescent="0.25">
      <c r="A2364" s="20" t="s">
        <v>4466</v>
      </c>
      <c r="B2364" s="20" t="s">
        <v>3999</v>
      </c>
    </row>
    <row r="2365" spans="1:2" x14ac:dyDescent="0.25">
      <c r="A2365" s="20" t="s">
        <v>4471</v>
      </c>
      <c r="B2365" s="20" t="s">
        <v>3999</v>
      </c>
    </row>
    <row r="2366" spans="1:2" x14ac:dyDescent="0.25">
      <c r="A2366" s="20" t="s">
        <v>4475</v>
      </c>
      <c r="B2366" s="20" t="s">
        <v>3999</v>
      </c>
    </row>
    <row r="2367" spans="1:2" x14ac:dyDescent="0.25">
      <c r="A2367" s="20" t="s">
        <v>4478</v>
      </c>
      <c r="B2367" s="20" t="s">
        <v>3999</v>
      </c>
    </row>
    <row r="2368" spans="1:2" x14ac:dyDescent="0.25">
      <c r="A2368" s="20" t="s">
        <v>4482</v>
      </c>
      <c r="B2368" s="20" t="s">
        <v>3999</v>
      </c>
    </row>
    <row r="2369" spans="1:2" x14ac:dyDescent="0.25">
      <c r="A2369" s="20" t="s">
        <v>4472</v>
      </c>
      <c r="B2369" s="20" t="s">
        <v>3999</v>
      </c>
    </row>
    <row r="2370" spans="1:2" x14ac:dyDescent="0.25">
      <c r="A2370" s="20" t="s">
        <v>4487</v>
      </c>
      <c r="B2370" s="20" t="s">
        <v>3999</v>
      </c>
    </row>
    <row r="2371" spans="1:2" x14ac:dyDescent="0.25">
      <c r="A2371" s="20" t="s">
        <v>4489</v>
      </c>
      <c r="B2371" s="20" t="s">
        <v>3999</v>
      </c>
    </row>
    <row r="2372" spans="1:2" x14ac:dyDescent="0.25">
      <c r="A2372" s="20">
        <v>12166594</v>
      </c>
      <c r="B2372" s="20" t="s">
        <v>3999</v>
      </c>
    </row>
    <row r="2373" spans="1:2" x14ac:dyDescent="0.25">
      <c r="A2373" s="20" t="s">
        <v>4492</v>
      </c>
      <c r="B2373" s="20" t="s">
        <v>3999</v>
      </c>
    </row>
    <row r="2374" spans="1:2" x14ac:dyDescent="0.25">
      <c r="A2374" s="20" t="s">
        <v>4495</v>
      </c>
      <c r="B2374" s="20" t="s">
        <v>3999</v>
      </c>
    </row>
    <row r="2375" spans="1:2" x14ac:dyDescent="0.25">
      <c r="A2375" s="20" t="s">
        <v>4496</v>
      </c>
      <c r="B2375" s="20" t="s">
        <v>3999</v>
      </c>
    </row>
    <row r="2376" spans="1:2" x14ac:dyDescent="0.25">
      <c r="A2376" s="20" t="s">
        <v>4497</v>
      </c>
      <c r="B2376" s="20" t="s">
        <v>3999</v>
      </c>
    </row>
    <row r="2377" spans="1:2" x14ac:dyDescent="0.25">
      <c r="A2377" s="20" t="s">
        <v>4498</v>
      </c>
      <c r="B2377" s="20" t="s">
        <v>3999</v>
      </c>
    </row>
    <row r="2378" spans="1:2" x14ac:dyDescent="0.25">
      <c r="A2378" s="20" t="s">
        <v>4500</v>
      </c>
      <c r="B2378" s="20" t="s">
        <v>3999</v>
      </c>
    </row>
    <row r="2379" spans="1:2" x14ac:dyDescent="0.25">
      <c r="A2379" s="20" t="s">
        <v>4501</v>
      </c>
      <c r="B2379" s="20" t="s">
        <v>3999</v>
      </c>
    </row>
    <row r="2380" spans="1:2" x14ac:dyDescent="0.25">
      <c r="A2380" s="20" t="s">
        <v>4503</v>
      </c>
      <c r="B2380" s="20" t="s">
        <v>3999</v>
      </c>
    </row>
    <row r="2381" spans="1:2" x14ac:dyDescent="0.25">
      <c r="A2381" s="20" t="s">
        <v>4504</v>
      </c>
      <c r="B2381" s="20" t="s">
        <v>3999</v>
      </c>
    </row>
    <row r="2382" spans="1:2" x14ac:dyDescent="0.25">
      <c r="A2382" s="20" t="s">
        <v>4505</v>
      </c>
      <c r="B2382" s="20" t="s">
        <v>3999</v>
      </c>
    </row>
    <row r="2383" spans="1:2" x14ac:dyDescent="0.25">
      <c r="A2383" s="20" t="s">
        <v>4507</v>
      </c>
      <c r="B2383" s="20" t="s">
        <v>3999</v>
      </c>
    </row>
    <row r="2384" spans="1:2" x14ac:dyDescent="0.25">
      <c r="A2384" s="20" t="s">
        <v>4509</v>
      </c>
      <c r="B2384" s="20" t="s">
        <v>3999</v>
      </c>
    </row>
    <row r="2385" spans="1:2" x14ac:dyDescent="0.25">
      <c r="A2385" s="20" t="s">
        <v>4512</v>
      </c>
      <c r="B2385" s="20" t="s">
        <v>3999</v>
      </c>
    </row>
    <row r="2386" spans="1:2" x14ac:dyDescent="0.25">
      <c r="A2386" s="20" t="s">
        <v>4516</v>
      </c>
      <c r="B2386" s="20" t="s">
        <v>3999</v>
      </c>
    </row>
    <row r="2387" spans="1:2" x14ac:dyDescent="0.25">
      <c r="A2387" s="20" t="s">
        <v>4518</v>
      </c>
      <c r="B2387" s="20" t="s">
        <v>3999</v>
      </c>
    </row>
    <row r="2388" spans="1:2" x14ac:dyDescent="0.25">
      <c r="A2388" s="20" t="s">
        <v>4521</v>
      </c>
      <c r="B2388" s="20" t="s">
        <v>3999</v>
      </c>
    </row>
    <row r="2389" spans="1:2" x14ac:dyDescent="0.25">
      <c r="A2389" s="20" t="s">
        <v>4525</v>
      </c>
      <c r="B2389" s="20" t="s">
        <v>3999</v>
      </c>
    </row>
    <row r="2390" spans="1:2" x14ac:dyDescent="0.25">
      <c r="A2390" s="20" t="s">
        <v>4526</v>
      </c>
      <c r="B2390" s="20" t="s">
        <v>3999</v>
      </c>
    </row>
    <row r="2391" spans="1:2" x14ac:dyDescent="0.25">
      <c r="A2391" s="20" t="s">
        <v>4528</v>
      </c>
      <c r="B2391" s="20" t="s">
        <v>3999</v>
      </c>
    </row>
    <row r="2392" spans="1:2" x14ac:dyDescent="0.25">
      <c r="A2392" s="20" t="s">
        <v>4530</v>
      </c>
      <c r="B2392" s="20" t="s">
        <v>3999</v>
      </c>
    </row>
    <row r="2393" spans="1:2" x14ac:dyDescent="0.25">
      <c r="A2393" s="20" t="s">
        <v>4532</v>
      </c>
      <c r="B2393" s="20" t="s">
        <v>3999</v>
      </c>
    </row>
    <row r="2394" spans="1:2" x14ac:dyDescent="0.25">
      <c r="A2394" s="20" t="s">
        <v>4535</v>
      </c>
      <c r="B2394" s="20" t="s">
        <v>3999</v>
      </c>
    </row>
    <row r="2395" spans="1:2" x14ac:dyDescent="0.25">
      <c r="A2395" s="20" t="s">
        <v>4538</v>
      </c>
      <c r="B2395" s="20" t="s">
        <v>3999</v>
      </c>
    </row>
    <row r="2396" spans="1:2" x14ac:dyDescent="0.25">
      <c r="A2396" s="20" t="s">
        <v>4540</v>
      </c>
      <c r="B2396" s="20" t="s">
        <v>3999</v>
      </c>
    </row>
    <row r="2397" spans="1:2" x14ac:dyDescent="0.25">
      <c r="A2397" s="20" t="s">
        <v>4542</v>
      </c>
      <c r="B2397" s="20" t="s">
        <v>3999</v>
      </c>
    </row>
    <row r="2398" spans="1:2" x14ac:dyDescent="0.25">
      <c r="A2398" s="20" t="s">
        <v>4544</v>
      </c>
      <c r="B2398" s="20" t="s">
        <v>3999</v>
      </c>
    </row>
    <row r="2399" spans="1:2" x14ac:dyDescent="0.25">
      <c r="A2399" s="20">
        <v>134563759</v>
      </c>
      <c r="B2399" s="20" t="s">
        <v>3999</v>
      </c>
    </row>
    <row r="2400" spans="1:2" x14ac:dyDescent="0.25">
      <c r="A2400" s="20" t="s">
        <v>4545</v>
      </c>
      <c r="B2400" s="20" t="s">
        <v>3999</v>
      </c>
    </row>
    <row r="2401" spans="1:2" x14ac:dyDescent="0.25">
      <c r="A2401" s="20" t="s">
        <v>4547</v>
      </c>
      <c r="B2401" s="20" t="s">
        <v>3999</v>
      </c>
    </row>
    <row r="2402" spans="1:2" x14ac:dyDescent="0.25">
      <c r="A2402" s="20" t="s">
        <v>4548</v>
      </c>
      <c r="B2402" s="20" t="s">
        <v>3999</v>
      </c>
    </row>
    <row r="2403" spans="1:2" x14ac:dyDescent="0.25">
      <c r="A2403" s="20" t="s">
        <v>4551</v>
      </c>
      <c r="B2403" s="20" t="s">
        <v>3999</v>
      </c>
    </row>
    <row r="2404" spans="1:2" x14ac:dyDescent="0.25">
      <c r="A2404" s="20" t="s">
        <v>4553</v>
      </c>
      <c r="B2404" s="20" t="s">
        <v>3999</v>
      </c>
    </row>
    <row r="2405" spans="1:2" x14ac:dyDescent="0.25">
      <c r="A2405" s="20">
        <v>424803245</v>
      </c>
      <c r="B2405" s="20" t="s">
        <v>3999</v>
      </c>
    </row>
    <row r="2406" spans="1:2" x14ac:dyDescent="0.25">
      <c r="A2406" s="20">
        <v>423956979</v>
      </c>
      <c r="B2406" s="20" t="s">
        <v>3999</v>
      </c>
    </row>
    <row r="2407" spans="1:2" x14ac:dyDescent="0.25">
      <c r="A2407" s="20">
        <v>424824621</v>
      </c>
      <c r="B2407" s="20" t="s">
        <v>3999</v>
      </c>
    </row>
    <row r="2408" spans="1:2" x14ac:dyDescent="0.25">
      <c r="A2408" s="20">
        <v>423956980</v>
      </c>
      <c r="B2408" s="20" t="s">
        <v>3999</v>
      </c>
    </row>
    <row r="2409" spans="1:2" x14ac:dyDescent="0.25">
      <c r="A2409" s="20" t="s">
        <v>4556</v>
      </c>
      <c r="B2409" s="20" t="s">
        <v>3999</v>
      </c>
    </row>
    <row r="2410" spans="1:2" x14ac:dyDescent="0.25">
      <c r="A2410" s="20" t="s">
        <v>4557</v>
      </c>
      <c r="B2410" s="20" t="s">
        <v>3999</v>
      </c>
    </row>
    <row r="2411" spans="1:2" x14ac:dyDescent="0.25">
      <c r="A2411" s="20" t="s">
        <v>4558</v>
      </c>
      <c r="B2411" s="20" t="s">
        <v>3999</v>
      </c>
    </row>
    <row r="2412" spans="1:2" x14ac:dyDescent="0.25">
      <c r="A2412" s="20" t="s">
        <v>4559</v>
      </c>
      <c r="B2412" s="20" t="s">
        <v>3999</v>
      </c>
    </row>
    <row r="2413" spans="1:2" x14ac:dyDescent="0.25">
      <c r="A2413" s="20" t="s">
        <v>4561</v>
      </c>
      <c r="B2413" s="20" t="s">
        <v>3999</v>
      </c>
    </row>
    <row r="2414" spans="1:2" x14ac:dyDescent="0.25">
      <c r="A2414" s="20" t="s">
        <v>4563</v>
      </c>
      <c r="B2414" s="20" t="s">
        <v>3999</v>
      </c>
    </row>
    <row r="2415" spans="1:2" x14ac:dyDescent="0.25">
      <c r="A2415" s="20" t="s">
        <v>4152</v>
      </c>
      <c r="B2415" s="20" t="s">
        <v>3999</v>
      </c>
    </row>
    <row r="2416" spans="1:2" x14ac:dyDescent="0.25">
      <c r="A2416" s="20" t="s">
        <v>4565</v>
      </c>
      <c r="B2416" s="20" t="s">
        <v>3999</v>
      </c>
    </row>
    <row r="2417" spans="1:2" x14ac:dyDescent="0.25">
      <c r="A2417" s="20" t="s">
        <v>4200</v>
      </c>
      <c r="B2417" s="20" t="s">
        <v>3999</v>
      </c>
    </row>
    <row r="2418" spans="1:2" x14ac:dyDescent="0.25">
      <c r="A2418" s="20" t="s">
        <v>4212</v>
      </c>
      <c r="B2418" s="20" t="s">
        <v>3999</v>
      </c>
    </row>
    <row r="2419" spans="1:2" x14ac:dyDescent="0.25">
      <c r="A2419" s="20" t="s">
        <v>4030</v>
      </c>
      <c r="B2419" s="20" t="s">
        <v>3999</v>
      </c>
    </row>
    <row r="2420" spans="1:2" x14ac:dyDescent="0.25">
      <c r="A2420" s="20" t="s">
        <v>4033</v>
      </c>
      <c r="B2420" s="20" t="s">
        <v>3999</v>
      </c>
    </row>
    <row r="2421" spans="1:2" x14ac:dyDescent="0.25">
      <c r="A2421" s="20" t="s">
        <v>4038</v>
      </c>
      <c r="B2421" s="20" t="s">
        <v>3999</v>
      </c>
    </row>
    <row r="2422" spans="1:2" x14ac:dyDescent="0.25">
      <c r="A2422" s="20" t="s">
        <v>4047</v>
      </c>
      <c r="B2422" s="20" t="s">
        <v>3999</v>
      </c>
    </row>
    <row r="2423" spans="1:2" x14ac:dyDescent="0.25">
      <c r="A2423" s="20" t="s">
        <v>4057</v>
      </c>
      <c r="B2423" s="20" t="s">
        <v>3999</v>
      </c>
    </row>
    <row r="2424" spans="1:2" x14ac:dyDescent="0.25">
      <c r="A2424" s="20" t="s">
        <v>4067</v>
      </c>
      <c r="B2424" s="20" t="s">
        <v>3999</v>
      </c>
    </row>
    <row r="2425" spans="1:2" x14ac:dyDescent="0.25">
      <c r="A2425" s="20" t="s">
        <v>4077</v>
      </c>
      <c r="B2425" s="20" t="s">
        <v>3999</v>
      </c>
    </row>
    <row r="2426" spans="1:2" x14ac:dyDescent="0.25">
      <c r="A2426" s="20" t="s">
        <v>4094</v>
      </c>
      <c r="B2426" s="20" t="s">
        <v>3999</v>
      </c>
    </row>
    <row r="2427" spans="1:2" x14ac:dyDescent="0.25">
      <c r="A2427" s="20" t="s">
        <v>4108</v>
      </c>
      <c r="B2427" s="20" t="s">
        <v>3999</v>
      </c>
    </row>
    <row r="2428" spans="1:2" x14ac:dyDescent="0.25">
      <c r="A2428" s="20" t="s">
        <v>4121</v>
      </c>
      <c r="B2428" s="20" t="s">
        <v>3999</v>
      </c>
    </row>
    <row r="2429" spans="1:2" x14ac:dyDescent="0.25">
      <c r="A2429" s="20">
        <v>196358965</v>
      </c>
      <c r="B2429" s="20" t="s">
        <v>3999</v>
      </c>
    </row>
    <row r="2430" spans="1:2" x14ac:dyDescent="0.25">
      <c r="A2430" s="20" t="s">
        <v>4139</v>
      </c>
      <c r="B2430" s="20" t="s">
        <v>3999</v>
      </c>
    </row>
    <row r="2431" spans="1:2" x14ac:dyDescent="0.25">
      <c r="A2431" s="20" t="s">
        <v>4150</v>
      </c>
      <c r="B2431" s="20" t="s">
        <v>3999</v>
      </c>
    </row>
    <row r="2432" spans="1:2" x14ac:dyDescent="0.25">
      <c r="A2432" s="20" t="s">
        <v>4164</v>
      </c>
      <c r="B2432" s="20" t="s">
        <v>3999</v>
      </c>
    </row>
    <row r="2433" spans="1:2" x14ac:dyDescent="0.25">
      <c r="A2433" s="20" t="s">
        <v>4183</v>
      </c>
      <c r="B2433" s="20" t="s">
        <v>3999</v>
      </c>
    </row>
    <row r="2434" spans="1:2" x14ac:dyDescent="0.25">
      <c r="A2434" s="20" t="s">
        <v>4199</v>
      </c>
      <c r="B2434" s="20" t="s">
        <v>3999</v>
      </c>
    </row>
    <row r="2435" spans="1:2" x14ac:dyDescent="0.25">
      <c r="A2435" s="20" t="s">
        <v>4211</v>
      </c>
      <c r="B2435" s="20" t="s">
        <v>3999</v>
      </c>
    </row>
    <row r="2436" spans="1:2" x14ac:dyDescent="0.25">
      <c r="A2436" s="20" t="s">
        <v>4222</v>
      </c>
      <c r="B2436" s="20" t="s">
        <v>3999</v>
      </c>
    </row>
    <row r="2437" spans="1:2" x14ac:dyDescent="0.25">
      <c r="A2437" s="20">
        <v>423972761</v>
      </c>
      <c r="B2437" s="20" t="s">
        <v>3999</v>
      </c>
    </row>
    <row r="2438" spans="1:2" x14ac:dyDescent="0.25">
      <c r="A2438" s="20" t="s">
        <v>4240</v>
      </c>
      <c r="B2438" s="20" t="s">
        <v>3999</v>
      </c>
    </row>
    <row r="2439" spans="1:2" x14ac:dyDescent="0.25">
      <c r="A2439" s="20" t="s">
        <v>4252</v>
      </c>
      <c r="B2439" s="20" t="s">
        <v>3999</v>
      </c>
    </row>
    <row r="2440" spans="1:2" x14ac:dyDescent="0.25">
      <c r="A2440" s="20" t="s">
        <v>4260</v>
      </c>
      <c r="B2440" s="20" t="s">
        <v>3999</v>
      </c>
    </row>
    <row r="2441" spans="1:2" x14ac:dyDescent="0.25">
      <c r="A2441" s="20" t="s">
        <v>4270</v>
      </c>
      <c r="B2441" s="20" t="s">
        <v>3999</v>
      </c>
    </row>
    <row r="2442" spans="1:2" x14ac:dyDescent="0.25">
      <c r="A2442" s="20" t="s">
        <v>4281</v>
      </c>
      <c r="B2442" s="20" t="s">
        <v>3999</v>
      </c>
    </row>
    <row r="2443" spans="1:2" x14ac:dyDescent="0.25">
      <c r="A2443" s="20" t="s">
        <v>4298</v>
      </c>
      <c r="B2443" s="20" t="s">
        <v>3999</v>
      </c>
    </row>
    <row r="2444" spans="1:2" x14ac:dyDescent="0.25">
      <c r="A2444" s="20" t="s">
        <v>4310</v>
      </c>
      <c r="B2444" s="20" t="s">
        <v>3999</v>
      </c>
    </row>
    <row r="2445" spans="1:2" x14ac:dyDescent="0.25">
      <c r="A2445" s="20" t="s">
        <v>4322</v>
      </c>
      <c r="B2445" s="20" t="s">
        <v>3999</v>
      </c>
    </row>
    <row r="2446" spans="1:2" x14ac:dyDescent="0.25">
      <c r="A2446" s="20" t="s">
        <v>4334</v>
      </c>
      <c r="B2446" s="20" t="s">
        <v>3999</v>
      </c>
    </row>
    <row r="2447" spans="1:2" x14ac:dyDescent="0.25">
      <c r="A2447" s="20" t="s">
        <v>4344</v>
      </c>
      <c r="B2447" s="20" t="s">
        <v>3999</v>
      </c>
    </row>
    <row r="2448" spans="1:2" x14ac:dyDescent="0.25">
      <c r="A2448" s="20" t="s">
        <v>4354</v>
      </c>
      <c r="B2448" s="20" t="s">
        <v>3999</v>
      </c>
    </row>
    <row r="2449" spans="1:2" x14ac:dyDescent="0.25">
      <c r="A2449" s="20" t="s">
        <v>4295</v>
      </c>
      <c r="B2449" s="20" t="s">
        <v>3999</v>
      </c>
    </row>
    <row r="2450" spans="1:2" x14ac:dyDescent="0.25">
      <c r="A2450" s="20">
        <v>12163074</v>
      </c>
      <c r="B2450" s="20" t="s">
        <v>3999</v>
      </c>
    </row>
    <row r="2451" spans="1:2" x14ac:dyDescent="0.25">
      <c r="A2451" s="20" t="s">
        <v>4377</v>
      </c>
      <c r="B2451" s="20" t="s">
        <v>3999</v>
      </c>
    </row>
    <row r="2452" spans="1:2" x14ac:dyDescent="0.25">
      <c r="A2452" s="20">
        <v>12158795</v>
      </c>
      <c r="B2452" s="20" t="s">
        <v>3999</v>
      </c>
    </row>
    <row r="2453" spans="1:2" x14ac:dyDescent="0.25">
      <c r="A2453" s="20" t="s">
        <v>4393</v>
      </c>
      <c r="B2453" s="20" t="s">
        <v>3999</v>
      </c>
    </row>
    <row r="2454" spans="1:2" x14ac:dyDescent="0.25">
      <c r="A2454" s="20" t="s">
        <v>4399</v>
      </c>
      <c r="B2454" s="20" t="s">
        <v>3999</v>
      </c>
    </row>
    <row r="2455" spans="1:2" x14ac:dyDescent="0.25">
      <c r="A2455" s="20" t="s">
        <v>4036</v>
      </c>
      <c r="B2455" s="20" t="s">
        <v>3999</v>
      </c>
    </row>
    <row r="2456" spans="1:2" x14ac:dyDescent="0.25">
      <c r="A2456" s="20" t="s">
        <v>4044</v>
      </c>
      <c r="B2456" s="20" t="s">
        <v>3999</v>
      </c>
    </row>
    <row r="2457" spans="1:2" x14ac:dyDescent="0.25">
      <c r="A2457" s="20" t="s">
        <v>4053</v>
      </c>
      <c r="B2457" s="20" t="s">
        <v>3999</v>
      </c>
    </row>
    <row r="2458" spans="1:2" x14ac:dyDescent="0.25">
      <c r="A2458" s="20" t="s">
        <v>4063</v>
      </c>
      <c r="B2458" s="20" t="s">
        <v>3999</v>
      </c>
    </row>
    <row r="2459" spans="1:2" x14ac:dyDescent="0.25">
      <c r="A2459" s="20" t="s">
        <v>4072</v>
      </c>
      <c r="B2459" s="20" t="s">
        <v>3999</v>
      </c>
    </row>
    <row r="2460" spans="1:2" x14ac:dyDescent="0.25">
      <c r="A2460" s="20" t="s">
        <v>4088</v>
      </c>
      <c r="B2460" s="20" t="s">
        <v>3999</v>
      </c>
    </row>
    <row r="2461" spans="1:2" x14ac:dyDescent="0.25">
      <c r="A2461" s="20" t="s">
        <v>4103</v>
      </c>
      <c r="B2461" s="20" t="s">
        <v>3999</v>
      </c>
    </row>
    <row r="2462" spans="1:2" x14ac:dyDescent="0.25">
      <c r="A2462" s="20">
        <v>-197974065</v>
      </c>
      <c r="B2462" s="20" t="s">
        <v>3999</v>
      </c>
    </row>
    <row r="2463" spans="1:2" x14ac:dyDescent="0.25">
      <c r="A2463" s="20" t="s">
        <v>4129</v>
      </c>
      <c r="B2463" s="20" t="s">
        <v>3999</v>
      </c>
    </row>
    <row r="2464" spans="1:2" x14ac:dyDescent="0.25">
      <c r="A2464" s="20" t="s">
        <v>4136</v>
      </c>
      <c r="B2464" s="20" t="s">
        <v>3999</v>
      </c>
    </row>
    <row r="2465" spans="1:2" x14ac:dyDescent="0.25">
      <c r="A2465" s="20" t="s">
        <v>4147</v>
      </c>
      <c r="B2465" s="20" t="s">
        <v>3999</v>
      </c>
    </row>
    <row r="2466" spans="1:2" x14ac:dyDescent="0.25">
      <c r="A2466" s="20">
        <v>145818800</v>
      </c>
      <c r="B2466" s="20" t="s">
        <v>3999</v>
      </c>
    </row>
    <row r="2467" spans="1:2" x14ac:dyDescent="0.25">
      <c r="A2467" s="20" t="s">
        <v>4178</v>
      </c>
      <c r="B2467" s="20" t="s">
        <v>3999</v>
      </c>
    </row>
    <row r="2468" spans="1:2" x14ac:dyDescent="0.25">
      <c r="A2468" s="20" t="s">
        <v>4146</v>
      </c>
      <c r="B2468" s="20" t="s">
        <v>3999</v>
      </c>
    </row>
    <row r="2469" spans="1:2" x14ac:dyDescent="0.25">
      <c r="A2469" s="20">
        <v>-12174962</v>
      </c>
      <c r="B2469" s="20" t="s">
        <v>3999</v>
      </c>
    </row>
    <row r="2470" spans="1:2" x14ac:dyDescent="0.25">
      <c r="A2470" s="20" t="s">
        <v>4177</v>
      </c>
      <c r="B2470" s="20" t="s">
        <v>3999</v>
      </c>
    </row>
    <row r="2471" spans="1:2" x14ac:dyDescent="0.25">
      <c r="A2471" s="20" t="s">
        <v>4195</v>
      </c>
      <c r="B2471" s="20" t="s">
        <v>3999</v>
      </c>
    </row>
    <row r="2472" spans="1:2" x14ac:dyDescent="0.25">
      <c r="A2472" s="20" t="s">
        <v>4209</v>
      </c>
      <c r="B2472" s="20" t="s">
        <v>3999</v>
      </c>
    </row>
    <row r="2473" spans="1:2" x14ac:dyDescent="0.25">
      <c r="A2473" s="20">
        <v>-377438344</v>
      </c>
      <c r="B2473" s="20" t="s">
        <v>3999</v>
      </c>
    </row>
    <row r="2474" spans="1:2" x14ac:dyDescent="0.25">
      <c r="A2474" s="20" t="s">
        <v>4228</v>
      </c>
      <c r="B2474" s="20" t="s">
        <v>3999</v>
      </c>
    </row>
    <row r="2475" spans="1:2" x14ac:dyDescent="0.25">
      <c r="A2475" s="20" t="s">
        <v>4237</v>
      </c>
      <c r="B2475" s="20" t="s">
        <v>3999</v>
      </c>
    </row>
    <row r="2476" spans="1:2" x14ac:dyDescent="0.25">
      <c r="A2476" s="20" t="s">
        <v>4249</v>
      </c>
      <c r="B2476" s="20" t="s">
        <v>3999</v>
      </c>
    </row>
    <row r="2477" spans="1:2" x14ac:dyDescent="0.25">
      <c r="A2477" s="20" t="s">
        <v>4258</v>
      </c>
      <c r="B2477" s="20" t="s">
        <v>3999</v>
      </c>
    </row>
    <row r="2478" spans="1:2" x14ac:dyDescent="0.25">
      <c r="A2478" s="20" t="s">
        <v>4266</v>
      </c>
      <c r="B2478" s="20" t="s">
        <v>3999</v>
      </c>
    </row>
    <row r="2479" spans="1:2" x14ac:dyDescent="0.25">
      <c r="A2479" s="20" t="s">
        <v>4276</v>
      </c>
      <c r="B2479" s="20" t="s">
        <v>3999</v>
      </c>
    </row>
    <row r="2480" spans="1:2" x14ac:dyDescent="0.25">
      <c r="A2480" s="20" t="s">
        <v>4292</v>
      </c>
      <c r="B2480" s="20" t="s">
        <v>3999</v>
      </c>
    </row>
    <row r="2481" spans="1:2" x14ac:dyDescent="0.25">
      <c r="A2481" s="20" t="s">
        <v>4305</v>
      </c>
      <c r="B2481" s="20" t="s">
        <v>3999</v>
      </c>
    </row>
    <row r="2482" spans="1:2" x14ac:dyDescent="0.25">
      <c r="A2482" s="20">
        <v>-12143825</v>
      </c>
      <c r="B2482" s="20" t="s">
        <v>3999</v>
      </c>
    </row>
    <row r="2483" spans="1:2" x14ac:dyDescent="0.25">
      <c r="A2483" s="20" t="s">
        <v>4329</v>
      </c>
      <c r="B2483" s="20" t="s">
        <v>3999</v>
      </c>
    </row>
    <row r="2484" spans="1:2" x14ac:dyDescent="0.25">
      <c r="A2484" s="20" t="s">
        <v>4339</v>
      </c>
      <c r="B2484" s="20" t="s">
        <v>3999</v>
      </c>
    </row>
    <row r="2485" spans="1:2" x14ac:dyDescent="0.25">
      <c r="A2485" s="20" t="s">
        <v>4349</v>
      </c>
      <c r="B2485" s="20" t="s">
        <v>3999</v>
      </c>
    </row>
    <row r="2486" spans="1:2" x14ac:dyDescent="0.25">
      <c r="A2486" s="20" t="s">
        <v>4358</v>
      </c>
      <c r="B2486" s="20" t="s">
        <v>3999</v>
      </c>
    </row>
    <row r="2487" spans="1:2" x14ac:dyDescent="0.25">
      <c r="A2487" s="20" t="s">
        <v>4366</v>
      </c>
      <c r="B2487" s="20" t="s">
        <v>3999</v>
      </c>
    </row>
    <row r="2488" spans="1:2" x14ac:dyDescent="0.25">
      <c r="A2488" s="20" t="s">
        <v>4372</v>
      </c>
      <c r="B2488" s="20" t="s">
        <v>3999</v>
      </c>
    </row>
    <row r="2489" spans="1:2" x14ac:dyDescent="0.25">
      <c r="A2489" s="20" t="s">
        <v>4380</v>
      </c>
      <c r="B2489" s="20" t="s">
        <v>3999</v>
      </c>
    </row>
    <row r="2490" spans="1:2" x14ac:dyDescent="0.25">
      <c r="A2490" s="20" t="s">
        <v>4388</v>
      </c>
      <c r="B2490" s="20" t="s">
        <v>3999</v>
      </c>
    </row>
    <row r="2491" spans="1:2" x14ac:dyDescent="0.25">
      <c r="A2491" s="20">
        <v>165303424</v>
      </c>
      <c r="B2491" s="20" t="s">
        <v>3999</v>
      </c>
    </row>
    <row r="2492" spans="1:2" x14ac:dyDescent="0.25">
      <c r="A2492" s="20" t="s">
        <v>4402</v>
      </c>
      <c r="B2492" s="20" t="s">
        <v>3999</v>
      </c>
    </row>
    <row r="2493" spans="1:2" x14ac:dyDescent="0.25">
      <c r="A2493" s="20" t="s">
        <v>4408</v>
      </c>
      <c r="B2493" s="20" t="s">
        <v>3999</v>
      </c>
    </row>
    <row r="2494" spans="1:2" x14ac:dyDescent="0.25">
      <c r="A2494" s="20" t="s">
        <v>4413</v>
      </c>
      <c r="B2494" s="20" t="s">
        <v>3999</v>
      </c>
    </row>
    <row r="2495" spans="1:2" x14ac:dyDescent="0.25">
      <c r="A2495" s="20" t="s">
        <v>4417</v>
      </c>
      <c r="B2495" s="20" t="s">
        <v>3999</v>
      </c>
    </row>
    <row r="2496" spans="1:2" x14ac:dyDescent="0.25">
      <c r="A2496" s="20" t="s">
        <v>4422</v>
      </c>
      <c r="B2496" s="20" t="s">
        <v>3999</v>
      </c>
    </row>
    <row r="2497" spans="1:2" x14ac:dyDescent="0.25">
      <c r="A2497" s="20" t="s">
        <v>4428</v>
      </c>
      <c r="B2497" s="20" t="s">
        <v>3999</v>
      </c>
    </row>
    <row r="2498" spans="1:2" x14ac:dyDescent="0.25">
      <c r="A2498" s="20" t="s">
        <v>4000</v>
      </c>
      <c r="B2498" s="20" t="s">
        <v>4000</v>
      </c>
    </row>
    <row r="2499" spans="1:2" x14ac:dyDescent="0.25">
      <c r="A2499" s="20" t="s">
        <v>4028</v>
      </c>
      <c r="B2499" s="20" t="s">
        <v>4000</v>
      </c>
    </row>
    <row r="2500" spans="1:2" x14ac:dyDescent="0.25">
      <c r="A2500" s="20">
        <v>-448887867</v>
      </c>
      <c r="B2500" s="20" t="s">
        <v>4000</v>
      </c>
    </row>
    <row r="2501" spans="1:2" x14ac:dyDescent="0.25">
      <c r="A2501" s="20">
        <v>-448887869</v>
      </c>
      <c r="B2501" s="20" t="s">
        <v>4000</v>
      </c>
    </row>
    <row r="2502" spans="1:2" x14ac:dyDescent="0.25">
      <c r="A2502" s="20" t="s">
        <v>4045</v>
      </c>
      <c r="B2502" s="20" t="s">
        <v>4000</v>
      </c>
    </row>
    <row r="2503" spans="1:2" x14ac:dyDescent="0.25">
      <c r="A2503" s="20" t="s">
        <v>4055</v>
      </c>
      <c r="B2503" s="20" t="s">
        <v>4000</v>
      </c>
    </row>
    <row r="2504" spans="1:2" x14ac:dyDescent="0.25">
      <c r="A2504" s="20">
        <v>-448887868</v>
      </c>
      <c r="B2504" s="20" t="s">
        <v>4000</v>
      </c>
    </row>
    <row r="2505" spans="1:2" x14ac:dyDescent="0.25">
      <c r="A2505" s="20" t="s">
        <v>4073</v>
      </c>
      <c r="B2505" s="20" t="s">
        <v>4000</v>
      </c>
    </row>
    <row r="2506" spans="1:2" x14ac:dyDescent="0.25">
      <c r="A2506" s="20" t="s">
        <v>4090</v>
      </c>
      <c r="B2506" s="20" t="s">
        <v>4000</v>
      </c>
    </row>
    <row r="2507" spans="1:2" x14ac:dyDescent="0.25">
      <c r="A2507" s="20">
        <v>-423965484</v>
      </c>
      <c r="B2507" s="20" t="s">
        <v>4000</v>
      </c>
    </row>
    <row r="2508" spans="1:2" x14ac:dyDescent="0.25">
      <c r="A2508" s="20" t="s">
        <v>4117</v>
      </c>
      <c r="B2508" s="20" t="s">
        <v>4000</v>
      </c>
    </row>
    <row r="2509" spans="1:2" x14ac:dyDescent="0.25">
      <c r="A2509" s="20">
        <v>-387423966</v>
      </c>
      <c r="B2509" s="20" t="s">
        <v>4000</v>
      </c>
    </row>
    <row r="2510" spans="1:2" x14ac:dyDescent="0.25">
      <c r="A2510" s="20">
        <v>-424978642</v>
      </c>
      <c r="B2510" s="20" t="s">
        <v>4000</v>
      </c>
    </row>
    <row r="2511" spans="1:2" x14ac:dyDescent="0.25">
      <c r="A2511" s="20">
        <v>-424978642.17000002</v>
      </c>
      <c r="B2511" s="20" t="s">
        <v>4000</v>
      </c>
    </row>
    <row r="2512" spans="1:2" x14ac:dyDescent="0.25">
      <c r="A2512" s="20" t="s">
        <v>4162</v>
      </c>
      <c r="B2512" s="20" t="s">
        <v>4000</v>
      </c>
    </row>
    <row r="2513" spans="1:2" x14ac:dyDescent="0.25">
      <c r="A2513" s="20" t="s">
        <v>4180</v>
      </c>
      <c r="B2513" s="20" t="s">
        <v>4000</v>
      </c>
    </row>
    <row r="2514" spans="1:2" x14ac:dyDescent="0.25">
      <c r="A2514" s="20" t="s">
        <v>4062</v>
      </c>
      <c r="B2514" s="20" t="s">
        <v>4000</v>
      </c>
    </row>
    <row r="2515" spans="1:2" x14ac:dyDescent="0.25">
      <c r="A2515" s="20" t="s">
        <v>4051</v>
      </c>
      <c r="B2515" s="20" t="s">
        <v>4000</v>
      </c>
    </row>
    <row r="2516" spans="1:2" x14ac:dyDescent="0.25">
      <c r="A2516" s="20" t="s">
        <v>4087</v>
      </c>
      <c r="B2516" s="20" t="s">
        <v>4000</v>
      </c>
    </row>
    <row r="2517" spans="1:2" x14ac:dyDescent="0.25">
      <c r="A2517" s="20" t="s">
        <v>4102</v>
      </c>
      <c r="B2517" s="20" t="s">
        <v>4000</v>
      </c>
    </row>
    <row r="2518" spans="1:2" x14ac:dyDescent="0.25">
      <c r="A2518" s="20" t="s">
        <v>4116</v>
      </c>
      <c r="B2518" s="20" t="s">
        <v>4000</v>
      </c>
    </row>
    <row r="2519" spans="1:2" x14ac:dyDescent="0.25">
      <c r="A2519" s="20">
        <v>486653628</v>
      </c>
      <c r="B2519" s="20" t="s">
        <v>4000</v>
      </c>
    </row>
    <row r="2520" spans="1:2" x14ac:dyDescent="0.25">
      <c r="A2520" s="20">
        <v>43117623</v>
      </c>
      <c r="B2520" s="20" t="s">
        <v>4000</v>
      </c>
    </row>
    <row r="2521" spans="1:2" x14ac:dyDescent="0.25">
      <c r="A2521" s="20" t="s">
        <v>4146</v>
      </c>
      <c r="B2521" s="20" t="s">
        <v>4000</v>
      </c>
    </row>
    <row r="2522" spans="1:2" x14ac:dyDescent="0.25">
      <c r="A2522" s="20">
        <v>-12174962</v>
      </c>
      <c r="B2522" s="20" t="s">
        <v>4000</v>
      </c>
    </row>
    <row r="2523" spans="1:2" x14ac:dyDescent="0.25">
      <c r="A2523" s="20" t="s">
        <v>4177</v>
      </c>
      <c r="B2523" s="20" t="s">
        <v>4000</v>
      </c>
    </row>
    <row r="2524" spans="1:2" x14ac:dyDescent="0.25">
      <c r="A2524" s="20" t="s">
        <v>4195</v>
      </c>
      <c r="B2524" s="20" t="s">
        <v>4000</v>
      </c>
    </row>
    <row r="2525" spans="1:2" x14ac:dyDescent="0.25">
      <c r="A2525" s="20" t="s">
        <v>4209</v>
      </c>
      <c r="B2525" s="20" t="s">
        <v>4000</v>
      </c>
    </row>
    <row r="2526" spans="1:2" x14ac:dyDescent="0.25">
      <c r="A2526" s="20">
        <v>-377438344</v>
      </c>
      <c r="B2526" s="20" t="s">
        <v>4000</v>
      </c>
    </row>
    <row r="2527" spans="1:2" x14ac:dyDescent="0.25">
      <c r="A2527" s="20" t="s">
        <v>4228</v>
      </c>
      <c r="B2527" s="20" t="s">
        <v>4000</v>
      </c>
    </row>
    <row r="2528" spans="1:2" x14ac:dyDescent="0.25">
      <c r="A2528" s="20" t="s">
        <v>4237</v>
      </c>
      <c r="B2528" s="20" t="s">
        <v>4000</v>
      </c>
    </row>
    <row r="2529" spans="1:2" x14ac:dyDescent="0.25">
      <c r="A2529" s="20" t="s">
        <v>4249</v>
      </c>
      <c r="B2529" s="20" t="s">
        <v>4000</v>
      </c>
    </row>
    <row r="2530" spans="1:2" x14ac:dyDescent="0.25">
      <c r="A2530" s="20" t="s">
        <v>4258</v>
      </c>
      <c r="B2530" s="20" t="s">
        <v>4000</v>
      </c>
    </row>
    <row r="2531" spans="1:2" x14ac:dyDescent="0.25">
      <c r="A2531" s="20" t="s">
        <v>4266</v>
      </c>
      <c r="B2531" s="20" t="s">
        <v>4000</v>
      </c>
    </row>
    <row r="2532" spans="1:2" x14ac:dyDescent="0.25">
      <c r="A2532" s="20" t="s">
        <v>4276</v>
      </c>
      <c r="B2532" s="20" t="s">
        <v>4000</v>
      </c>
    </row>
    <row r="2533" spans="1:2" x14ac:dyDescent="0.25">
      <c r="A2533" s="20" t="s">
        <v>4292</v>
      </c>
      <c r="B2533" s="20" t="s">
        <v>4000</v>
      </c>
    </row>
    <row r="2534" spans="1:2" x14ac:dyDescent="0.25">
      <c r="A2534" s="20" t="s">
        <v>4305</v>
      </c>
      <c r="B2534" s="20" t="s">
        <v>4000</v>
      </c>
    </row>
    <row r="2535" spans="1:2" x14ac:dyDescent="0.25">
      <c r="A2535" s="20">
        <v>-12143825</v>
      </c>
      <c r="B2535" s="20" t="s">
        <v>4000</v>
      </c>
    </row>
    <row r="2536" spans="1:2" x14ac:dyDescent="0.25">
      <c r="A2536" s="20" t="s">
        <v>4329</v>
      </c>
      <c r="B2536" s="20" t="s">
        <v>4000</v>
      </c>
    </row>
    <row r="2537" spans="1:2" x14ac:dyDescent="0.25">
      <c r="A2537" s="20" t="s">
        <v>4339</v>
      </c>
      <c r="B2537" s="20" t="s">
        <v>4000</v>
      </c>
    </row>
    <row r="2538" spans="1:2" x14ac:dyDescent="0.25">
      <c r="A2538" s="20" t="s">
        <v>4349</v>
      </c>
      <c r="B2538" s="20" t="s">
        <v>4000</v>
      </c>
    </row>
    <row r="2539" spans="1:2" x14ac:dyDescent="0.25">
      <c r="A2539" s="20" t="s">
        <v>4358</v>
      </c>
      <c r="B2539" s="20" t="s">
        <v>4000</v>
      </c>
    </row>
    <row r="2540" spans="1:2" x14ac:dyDescent="0.25">
      <c r="A2540" s="20" t="s">
        <v>4366</v>
      </c>
      <c r="B2540" s="20" t="s">
        <v>4000</v>
      </c>
    </row>
    <row r="2541" spans="1:2" x14ac:dyDescent="0.25">
      <c r="A2541" s="20" t="s">
        <v>4372</v>
      </c>
      <c r="B2541" s="20" t="s">
        <v>4000</v>
      </c>
    </row>
    <row r="2542" spans="1:2" x14ac:dyDescent="0.25">
      <c r="A2542" s="20" t="s">
        <v>4380</v>
      </c>
      <c r="B2542" s="20" t="s">
        <v>4000</v>
      </c>
    </row>
    <row r="2543" spans="1:2" x14ac:dyDescent="0.25">
      <c r="A2543" s="20" t="s">
        <v>4388</v>
      </c>
      <c r="B2543" s="20" t="s">
        <v>4000</v>
      </c>
    </row>
    <row r="2544" spans="1:2" x14ac:dyDescent="0.25">
      <c r="A2544" s="20">
        <v>165303424</v>
      </c>
      <c r="B2544" s="20" t="s">
        <v>4000</v>
      </c>
    </row>
    <row r="2545" spans="1:2" x14ac:dyDescent="0.25">
      <c r="A2545" s="20" t="s">
        <v>4402</v>
      </c>
      <c r="B2545" s="20" t="s">
        <v>4000</v>
      </c>
    </row>
    <row r="2546" spans="1:2" x14ac:dyDescent="0.25">
      <c r="A2546" s="20" t="s">
        <v>4408</v>
      </c>
      <c r="B2546" s="20" t="s">
        <v>4000</v>
      </c>
    </row>
    <row r="2547" spans="1:2" x14ac:dyDescent="0.25">
      <c r="A2547" s="20" t="s">
        <v>4413</v>
      </c>
      <c r="B2547" s="20" t="s">
        <v>4000</v>
      </c>
    </row>
    <row r="2548" spans="1:2" x14ac:dyDescent="0.25">
      <c r="A2548" s="20" t="s">
        <v>4417</v>
      </c>
      <c r="B2548" s="20" t="s">
        <v>4000</v>
      </c>
    </row>
    <row r="2549" spans="1:2" x14ac:dyDescent="0.25">
      <c r="A2549" s="20" t="s">
        <v>4422</v>
      </c>
      <c r="B2549" s="20" t="s">
        <v>4000</v>
      </c>
    </row>
    <row r="2550" spans="1:2" x14ac:dyDescent="0.25">
      <c r="A2550" s="20" t="s">
        <v>4428</v>
      </c>
      <c r="B2550" s="20" t="s">
        <v>4000</v>
      </c>
    </row>
    <row r="2551" spans="1:2" x14ac:dyDescent="0.25">
      <c r="A2551" s="20" t="s">
        <v>4001</v>
      </c>
      <c r="B2551" s="20" t="s">
        <v>4001</v>
      </c>
    </row>
    <row r="2552" spans="1:2" x14ac:dyDescent="0.25">
      <c r="A2552" s="20" t="s">
        <v>4028</v>
      </c>
      <c r="B2552" s="20" t="s">
        <v>4001</v>
      </c>
    </row>
    <row r="2553" spans="1:2" x14ac:dyDescent="0.25">
      <c r="A2553" s="20">
        <v>-448887867</v>
      </c>
      <c r="B2553" s="20" t="s">
        <v>4001</v>
      </c>
    </row>
    <row r="2554" spans="1:2" x14ac:dyDescent="0.25">
      <c r="A2554" s="20">
        <v>-448887869</v>
      </c>
      <c r="B2554" s="20" t="s">
        <v>4001</v>
      </c>
    </row>
    <row r="2555" spans="1:2" x14ac:dyDescent="0.25">
      <c r="A2555" s="20" t="s">
        <v>4045</v>
      </c>
      <c r="B2555" s="20" t="s">
        <v>4001</v>
      </c>
    </row>
    <row r="2556" spans="1:2" x14ac:dyDescent="0.25">
      <c r="A2556" s="20" t="s">
        <v>4055</v>
      </c>
      <c r="B2556" s="20" t="s">
        <v>4001</v>
      </c>
    </row>
    <row r="2557" spans="1:2" x14ac:dyDescent="0.25">
      <c r="A2557" s="20">
        <v>-448887868</v>
      </c>
      <c r="B2557" s="20" t="s">
        <v>4001</v>
      </c>
    </row>
    <row r="2558" spans="1:2" x14ac:dyDescent="0.25">
      <c r="A2558" s="20" t="s">
        <v>4073</v>
      </c>
      <c r="B2558" s="20" t="s">
        <v>4001</v>
      </c>
    </row>
    <row r="2559" spans="1:2" x14ac:dyDescent="0.25">
      <c r="A2559" s="20" t="s">
        <v>4090</v>
      </c>
      <c r="B2559" s="20" t="s">
        <v>4001</v>
      </c>
    </row>
    <row r="2560" spans="1:2" x14ac:dyDescent="0.25">
      <c r="A2560" s="20">
        <v>-423965484</v>
      </c>
      <c r="B2560" s="20" t="s">
        <v>4001</v>
      </c>
    </row>
    <row r="2561" spans="1:2" x14ac:dyDescent="0.25">
      <c r="A2561" s="20" t="s">
        <v>4117</v>
      </c>
      <c r="B2561" s="20" t="s">
        <v>4001</v>
      </c>
    </row>
    <row r="2562" spans="1:2" x14ac:dyDescent="0.25">
      <c r="A2562" s="20">
        <v>-387423966</v>
      </c>
      <c r="B2562" s="20" t="s">
        <v>4001</v>
      </c>
    </row>
    <row r="2563" spans="1:2" x14ac:dyDescent="0.25">
      <c r="A2563" s="20">
        <v>-424978642</v>
      </c>
      <c r="B2563" s="20" t="s">
        <v>4001</v>
      </c>
    </row>
    <row r="2564" spans="1:2" x14ac:dyDescent="0.25">
      <c r="A2564" s="20">
        <v>-424978642.17000002</v>
      </c>
      <c r="B2564" s="20" t="s">
        <v>4001</v>
      </c>
    </row>
    <row r="2565" spans="1:2" x14ac:dyDescent="0.25">
      <c r="A2565" s="20" t="s">
        <v>4162</v>
      </c>
      <c r="B2565" s="20" t="s">
        <v>4001</v>
      </c>
    </row>
    <row r="2566" spans="1:2" x14ac:dyDescent="0.25">
      <c r="A2566" s="20" t="s">
        <v>4180</v>
      </c>
      <c r="B2566" s="20" t="s">
        <v>4001</v>
      </c>
    </row>
    <row r="2567" spans="1:2" x14ac:dyDescent="0.25">
      <c r="A2567" s="20" t="s">
        <v>4062</v>
      </c>
      <c r="B2567" s="20" t="s">
        <v>4001</v>
      </c>
    </row>
    <row r="2568" spans="1:2" x14ac:dyDescent="0.25">
      <c r="A2568" s="20" t="s">
        <v>4051</v>
      </c>
      <c r="B2568" s="20" t="s">
        <v>4001</v>
      </c>
    </row>
    <row r="2569" spans="1:2" x14ac:dyDescent="0.25">
      <c r="A2569" s="20" t="s">
        <v>4087</v>
      </c>
      <c r="B2569" s="20" t="s">
        <v>4001</v>
      </c>
    </row>
    <row r="2570" spans="1:2" x14ac:dyDescent="0.25">
      <c r="A2570" s="20" t="s">
        <v>4102</v>
      </c>
      <c r="B2570" s="20" t="s">
        <v>4001</v>
      </c>
    </row>
    <row r="2571" spans="1:2" x14ac:dyDescent="0.25">
      <c r="A2571" s="20" t="s">
        <v>4116</v>
      </c>
      <c r="B2571" s="20" t="s">
        <v>4001</v>
      </c>
    </row>
    <row r="2572" spans="1:2" x14ac:dyDescent="0.25">
      <c r="A2572" s="20">
        <v>486653628</v>
      </c>
      <c r="B2572" s="20" t="s">
        <v>4001</v>
      </c>
    </row>
    <row r="2573" spans="1:2" x14ac:dyDescent="0.25">
      <c r="A2573" s="20">
        <v>43117623</v>
      </c>
      <c r="B2573" s="20" t="s">
        <v>4001</v>
      </c>
    </row>
    <row r="2574" spans="1:2" x14ac:dyDescent="0.25">
      <c r="A2574" s="20" t="s">
        <v>4146</v>
      </c>
      <c r="B2574" s="20" t="s">
        <v>4001</v>
      </c>
    </row>
    <row r="2575" spans="1:2" x14ac:dyDescent="0.25">
      <c r="A2575" s="20">
        <v>-12174962</v>
      </c>
      <c r="B2575" s="20" t="s">
        <v>4001</v>
      </c>
    </row>
    <row r="2576" spans="1:2" x14ac:dyDescent="0.25">
      <c r="A2576" s="20" t="s">
        <v>4295</v>
      </c>
      <c r="B2576" s="20" t="s">
        <v>4001</v>
      </c>
    </row>
    <row r="2577" spans="1:2" x14ac:dyDescent="0.25">
      <c r="A2577" s="20" t="s">
        <v>4083</v>
      </c>
      <c r="B2577" s="20" t="s">
        <v>4001</v>
      </c>
    </row>
    <row r="2578" spans="1:2" x14ac:dyDescent="0.25">
      <c r="A2578" s="20" t="s">
        <v>4084</v>
      </c>
      <c r="B2578" s="20" t="s">
        <v>4001</v>
      </c>
    </row>
    <row r="2579" spans="1:2" x14ac:dyDescent="0.25">
      <c r="A2579" s="20" t="s">
        <v>4098</v>
      </c>
      <c r="B2579" s="20" t="s">
        <v>4001</v>
      </c>
    </row>
    <row r="2580" spans="1:2" x14ac:dyDescent="0.25">
      <c r="A2580" s="20">
        <v>-423967356</v>
      </c>
      <c r="B2580" s="20" t="s">
        <v>4001</v>
      </c>
    </row>
    <row r="2581" spans="1:2" x14ac:dyDescent="0.25">
      <c r="A2581" s="20">
        <v>-424978643</v>
      </c>
      <c r="B2581" s="20" t="s">
        <v>4001</v>
      </c>
    </row>
    <row r="2582" spans="1:2" x14ac:dyDescent="0.25">
      <c r="A2582" s="20" t="s">
        <v>4143</v>
      </c>
      <c r="B2582" s="20" t="s">
        <v>4001</v>
      </c>
    </row>
    <row r="2583" spans="1:2" x14ac:dyDescent="0.25">
      <c r="A2583" s="20" t="s">
        <v>4156</v>
      </c>
      <c r="B2583" s="20" t="s">
        <v>4001</v>
      </c>
    </row>
    <row r="2584" spans="1:2" x14ac:dyDescent="0.25">
      <c r="A2584" s="20" t="s">
        <v>4170</v>
      </c>
      <c r="B2584" s="20" t="s">
        <v>4001</v>
      </c>
    </row>
    <row r="2585" spans="1:2" x14ac:dyDescent="0.25">
      <c r="A2585" s="20" t="s">
        <v>4189</v>
      </c>
      <c r="B2585" s="20" t="s">
        <v>4001</v>
      </c>
    </row>
    <row r="2586" spans="1:2" x14ac:dyDescent="0.25">
      <c r="A2586" s="20" t="s">
        <v>4203</v>
      </c>
      <c r="B2586" s="20" t="s">
        <v>4001</v>
      </c>
    </row>
    <row r="2587" spans="1:2" x14ac:dyDescent="0.25">
      <c r="A2587" s="20" t="s">
        <v>4213</v>
      </c>
      <c r="B2587" s="20" t="s">
        <v>4001</v>
      </c>
    </row>
    <row r="2588" spans="1:2" x14ac:dyDescent="0.25">
      <c r="A2588" s="20" t="s">
        <v>4223</v>
      </c>
      <c r="B2588" s="20" t="s">
        <v>4001</v>
      </c>
    </row>
    <row r="2589" spans="1:2" x14ac:dyDescent="0.25">
      <c r="A2589" s="20">
        <v>-424824620</v>
      </c>
      <c r="B2589" s="20" t="s">
        <v>4001</v>
      </c>
    </row>
    <row r="2590" spans="1:2" x14ac:dyDescent="0.25">
      <c r="A2590" s="20">
        <v>-424824619</v>
      </c>
      <c r="B2590" s="20" t="s">
        <v>4001</v>
      </c>
    </row>
    <row r="2591" spans="1:2" x14ac:dyDescent="0.25">
      <c r="A2591" s="20">
        <v>-423956982</v>
      </c>
      <c r="B2591" s="20" t="s">
        <v>4001</v>
      </c>
    </row>
    <row r="2592" spans="1:2" x14ac:dyDescent="0.25">
      <c r="A2592" s="20" t="s">
        <v>4109</v>
      </c>
      <c r="B2592" s="20" t="s">
        <v>4001</v>
      </c>
    </row>
    <row r="2593" spans="1:2" x14ac:dyDescent="0.25">
      <c r="A2593" s="20" t="s">
        <v>4272</v>
      </c>
      <c r="B2593" s="20" t="s">
        <v>4001</v>
      </c>
    </row>
    <row r="2594" spans="1:2" x14ac:dyDescent="0.25">
      <c r="A2594" s="20" t="s">
        <v>4284</v>
      </c>
      <c r="B2594" s="20" t="s">
        <v>4001</v>
      </c>
    </row>
    <row r="2595" spans="1:2" x14ac:dyDescent="0.25">
      <c r="A2595" s="20">
        <v>-424803245</v>
      </c>
      <c r="B2595" s="20" t="s">
        <v>4001</v>
      </c>
    </row>
    <row r="2596" spans="1:2" x14ac:dyDescent="0.25">
      <c r="A2596" s="20" t="s">
        <v>4312</v>
      </c>
      <c r="B2596" s="20" t="s">
        <v>4001</v>
      </c>
    </row>
    <row r="2597" spans="1:2" x14ac:dyDescent="0.25">
      <c r="A2597" s="20" t="s">
        <v>4048</v>
      </c>
      <c r="B2597" s="20" t="s">
        <v>4001</v>
      </c>
    </row>
    <row r="2598" spans="1:2" x14ac:dyDescent="0.25">
      <c r="A2598" s="20" t="s">
        <v>4059</v>
      </c>
      <c r="B2598" s="20" t="s">
        <v>4001</v>
      </c>
    </row>
    <row r="2599" spans="1:2" x14ac:dyDescent="0.25">
      <c r="A2599" s="20">
        <v>196358978</v>
      </c>
      <c r="B2599" s="20" t="s">
        <v>4001</v>
      </c>
    </row>
    <row r="2600" spans="1:2" x14ac:dyDescent="0.25">
      <c r="A2600" s="20" t="s">
        <v>4079</v>
      </c>
      <c r="B2600" s="20" t="s">
        <v>4001</v>
      </c>
    </row>
    <row r="2601" spans="1:2" x14ac:dyDescent="0.25">
      <c r="A2601" s="20">
        <v>165303423</v>
      </c>
      <c r="B2601" s="20" t="s">
        <v>4001</v>
      </c>
    </row>
    <row r="2602" spans="1:2" x14ac:dyDescent="0.25">
      <c r="A2602" s="20" t="s">
        <v>4421</v>
      </c>
      <c r="B2602" s="20" t="s">
        <v>4001</v>
      </c>
    </row>
    <row r="2603" spans="1:2" x14ac:dyDescent="0.25">
      <c r="A2603" s="20" t="s">
        <v>4110</v>
      </c>
      <c r="B2603" s="20" t="s">
        <v>4001</v>
      </c>
    </row>
    <row r="2604" spans="1:2" x14ac:dyDescent="0.25">
      <c r="A2604" s="20" t="s">
        <v>4123</v>
      </c>
      <c r="B2604" s="20" t="s">
        <v>4001</v>
      </c>
    </row>
    <row r="2605" spans="1:2" x14ac:dyDescent="0.25">
      <c r="A2605" s="20" t="s">
        <v>4438</v>
      </c>
      <c r="B2605" s="20" t="s">
        <v>4001</v>
      </c>
    </row>
    <row r="2606" spans="1:2" x14ac:dyDescent="0.25">
      <c r="A2606" s="20" t="s">
        <v>4444</v>
      </c>
      <c r="B2606" s="20" t="s">
        <v>4001</v>
      </c>
    </row>
    <row r="2607" spans="1:2" x14ac:dyDescent="0.25">
      <c r="A2607" s="20" t="s">
        <v>4449</v>
      </c>
      <c r="B2607" s="20" t="s">
        <v>4001</v>
      </c>
    </row>
    <row r="2608" spans="1:2" x14ac:dyDescent="0.25">
      <c r="A2608" s="20" t="s">
        <v>4152</v>
      </c>
      <c r="B2608" s="20" t="s">
        <v>4001</v>
      </c>
    </row>
    <row r="2609" spans="1:2" x14ac:dyDescent="0.25">
      <c r="A2609" s="20" t="s">
        <v>4166</v>
      </c>
      <c r="B2609" s="20" t="s">
        <v>4001</v>
      </c>
    </row>
    <row r="2610" spans="1:2" x14ac:dyDescent="0.25">
      <c r="A2610" s="20" t="s">
        <v>4185</v>
      </c>
      <c r="B2610" s="20" t="s">
        <v>4001</v>
      </c>
    </row>
    <row r="2611" spans="1:2" x14ac:dyDescent="0.25">
      <c r="A2611" s="20" t="s">
        <v>4200</v>
      </c>
      <c r="B2611" s="20" t="s">
        <v>4001</v>
      </c>
    </row>
    <row r="2612" spans="1:2" x14ac:dyDescent="0.25">
      <c r="A2612" s="20" t="s">
        <v>4212</v>
      </c>
      <c r="B2612" s="20" t="s">
        <v>4001</v>
      </c>
    </row>
    <row r="2613" spans="1:2" x14ac:dyDescent="0.25">
      <c r="A2613" s="20" t="s">
        <v>4030</v>
      </c>
      <c r="B2613" s="20" t="s">
        <v>4001</v>
      </c>
    </row>
    <row r="2614" spans="1:2" x14ac:dyDescent="0.25">
      <c r="A2614" s="20" t="s">
        <v>4033</v>
      </c>
      <c r="B2614" s="20" t="s">
        <v>4001</v>
      </c>
    </row>
    <row r="2615" spans="1:2" x14ac:dyDescent="0.25">
      <c r="A2615" s="20" t="s">
        <v>4038</v>
      </c>
      <c r="B2615" s="20" t="s">
        <v>4001</v>
      </c>
    </row>
    <row r="2616" spans="1:2" x14ac:dyDescent="0.25">
      <c r="A2616" s="20" t="s">
        <v>4047</v>
      </c>
      <c r="B2616" s="20" t="s">
        <v>4001</v>
      </c>
    </row>
    <row r="2617" spans="1:2" x14ac:dyDescent="0.25">
      <c r="A2617" s="20" t="s">
        <v>4057</v>
      </c>
      <c r="B2617" s="20" t="s">
        <v>4001</v>
      </c>
    </row>
    <row r="2618" spans="1:2" x14ac:dyDescent="0.25">
      <c r="A2618" s="20" t="s">
        <v>4067</v>
      </c>
      <c r="B2618" s="20" t="s">
        <v>4001</v>
      </c>
    </row>
    <row r="2619" spans="1:2" x14ac:dyDescent="0.25">
      <c r="A2619" s="20" t="s">
        <v>4077</v>
      </c>
      <c r="B2619" s="20" t="s">
        <v>4001</v>
      </c>
    </row>
    <row r="2620" spans="1:2" x14ac:dyDescent="0.25">
      <c r="A2620" s="20" t="s">
        <v>4094</v>
      </c>
      <c r="B2620" s="20" t="s">
        <v>4001</v>
      </c>
    </row>
    <row r="2621" spans="1:2" x14ac:dyDescent="0.25">
      <c r="A2621" s="20" t="s">
        <v>4108</v>
      </c>
      <c r="B2621" s="20" t="s">
        <v>4001</v>
      </c>
    </row>
    <row r="2622" spans="1:2" x14ac:dyDescent="0.25">
      <c r="A2622" s="20" t="s">
        <v>4121</v>
      </c>
      <c r="B2622" s="20" t="s">
        <v>4001</v>
      </c>
    </row>
    <row r="2623" spans="1:2" x14ac:dyDescent="0.25">
      <c r="A2623" s="20">
        <v>196358965</v>
      </c>
      <c r="B2623" s="20" t="s">
        <v>4001</v>
      </c>
    </row>
    <row r="2624" spans="1:2" x14ac:dyDescent="0.25">
      <c r="A2624" s="20" t="s">
        <v>4139</v>
      </c>
      <c r="B2624" s="20" t="s">
        <v>4001</v>
      </c>
    </row>
    <row r="2625" spans="1:2" x14ac:dyDescent="0.25">
      <c r="A2625" s="20" t="s">
        <v>4150</v>
      </c>
      <c r="B2625" s="20" t="s">
        <v>4001</v>
      </c>
    </row>
    <row r="2626" spans="1:2" x14ac:dyDescent="0.25">
      <c r="A2626" s="20" t="s">
        <v>4164</v>
      </c>
      <c r="B2626" s="20" t="s">
        <v>4001</v>
      </c>
    </row>
    <row r="2627" spans="1:2" x14ac:dyDescent="0.25">
      <c r="A2627" s="20" t="s">
        <v>4183</v>
      </c>
      <c r="B2627" s="20" t="s">
        <v>4001</v>
      </c>
    </row>
    <row r="2628" spans="1:2" x14ac:dyDescent="0.25">
      <c r="A2628" s="20" t="s">
        <v>4199</v>
      </c>
      <c r="B2628" s="20" t="s">
        <v>4001</v>
      </c>
    </row>
    <row r="2629" spans="1:2" x14ac:dyDescent="0.25">
      <c r="A2629" s="20" t="s">
        <v>4211</v>
      </c>
      <c r="B2629" s="20" t="s">
        <v>4001</v>
      </c>
    </row>
    <row r="2630" spans="1:2" x14ac:dyDescent="0.25">
      <c r="A2630" s="20" t="s">
        <v>4222</v>
      </c>
      <c r="B2630" s="20" t="s">
        <v>4001</v>
      </c>
    </row>
    <row r="2631" spans="1:2" x14ac:dyDescent="0.25">
      <c r="A2631" s="20">
        <v>423972761</v>
      </c>
      <c r="B2631" s="20" t="s">
        <v>4001</v>
      </c>
    </row>
    <row r="2632" spans="1:2" x14ac:dyDescent="0.25">
      <c r="A2632" s="20" t="s">
        <v>4240</v>
      </c>
      <c r="B2632" s="20" t="s">
        <v>4001</v>
      </c>
    </row>
    <row r="2633" spans="1:2" x14ac:dyDescent="0.25">
      <c r="A2633" s="20" t="s">
        <v>4252</v>
      </c>
      <c r="B2633" s="20" t="s">
        <v>4001</v>
      </c>
    </row>
    <row r="2634" spans="1:2" x14ac:dyDescent="0.25">
      <c r="A2634" s="20" t="s">
        <v>4260</v>
      </c>
      <c r="B2634" s="20" t="s">
        <v>4001</v>
      </c>
    </row>
    <row r="2635" spans="1:2" x14ac:dyDescent="0.25">
      <c r="A2635" s="20" t="s">
        <v>4270</v>
      </c>
      <c r="B2635" s="20" t="s">
        <v>4001</v>
      </c>
    </row>
    <row r="2636" spans="1:2" x14ac:dyDescent="0.25">
      <c r="A2636" s="20" t="s">
        <v>4281</v>
      </c>
      <c r="B2636" s="20" t="s">
        <v>4001</v>
      </c>
    </row>
    <row r="2637" spans="1:2" x14ac:dyDescent="0.25">
      <c r="A2637" s="20" t="s">
        <v>4298</v>
      </c>
      <c r="B2637" s="20" t="s">
        <v>4001</v>
      </c>
    </row>
    <row r="2638" spans="1:2" x14ac:dyDescent="0.25">
      <c r="A2638" s="20" t="s">
        <v>4310</v>
      </c>
      <c r="B2638" s="20" t="s">
        <v>4001</v>
      </c>
    </row>
    <row r="2639" spans="1:2" x14ac:dyDescent="0.25">
      <c r="A2639" s="20" t="s">
        <v>4322</v>
      </c>
      <c r="B2639" s="20" t="s">
        <v>4001</v>
      </c>
    </row>
    <row r="2640" spans="1:2" x14ac:dyDescent="0.25">
      <c r="A2640" s="20" t="s">
        <v>4334</v>
      </c>
      <c r="B2640" s="20" t="s">
        <v>4001</v>
      </c>
    </row>
    <row r="2641" spans="1:2" x14ac:dyDescent="0.25">
      <c r="A2641" s="20" t="s">
        <v>4344</v>
      </c>
      <c r="B2641" s="20" t="s">
        <v>4001</v>
      </c>
    </row>
    <row r="2642" spans="1:2" x14ac:dyDescent="0.25">
      <c r="A2642" s="20" t="s">
        <v>4354</v>
      </c>
      <c r="B2642" s="20" t="s">
        <v>4001</v>
      </c>
    </row>
    <row r="2643" spans="1:2" x14ac:dyDescent="0.25">
      <c r="A2643" s="20" t="s">
        <v>4295</v>
      </c>
      <c r="B2643" s="20" t="s">
        <v>4001</v>
      </c>
    </row>
    <row r="2644" spans="1:2" x14ac:dyDescent="0.25">
      <c r="A2644" s="20">
        <v>12163074</v>
      </c>
      <c r="B2644" s="20" t="s">
        <v>4001</v>
      </c>
    </row>
    <row r="2645" spans="1:2" x14ac:dyDescent="0.25">
      <c r="A2645" s="20" t="s">
        <v>4377</v>
      </c>
      <c r="B2645" s="20" t="s">
        <v>4001</v>
      </c>
    </row>
    <row r="2646" spans="1:2" x14ac:dyDescent="0.25">
      <c r="A2646" s="20">
        <v>12158795</v>
      </c>
      <c r="B2646" s="20" t="s">
        <v>4001</v>
      </c>
    </row>
    <row r="2647" spans="1:2" x14ac:dyDescent="0.25">
      <c r="A2647" s="20" t="s">
        <v>4393</v>
      </c>
      <c r="B2647" s="20" t="s">
        <v>4001</v>
      </c>
    </row>
    <row r="2648" spans="1:2" x14ac:dyDescent="0.25">
      <c r="A2648" s="20" t="s">
        <v>4399</v>
      </c>
      <c r="B2648" s="20" t="s">
        <v>4001</v>
      </c>
    </row>
    <row r="2649" spans="1:2" x14ac:dyDescent="0.25">
      <c r="A2649" s="20" t="s">
        <v>4036</v>
      </c>
      <c r="B2649" s="20" t="s">
        <v>4001</v>
      </c>
    </row>
    <row r="2650" spans="1:2" x14ac:dyDescent="0.25">
      <c r="A2650" s="20" t="s">
        <v>4044</v>
      </c>
      <c r="B2650" s="20" t="s">
        <v>4001</v>
      </c>
    </row>
    <row r="2651" spans="1:2" x14ac:dyDescent="0.25">
      <c r="A2651" s="20" t="s">
        <v>4053</v>
      </c>
      <c r="B2651" s="20" t="s">
        <v>4001</v>
      </c>
    </row>
    <row r="2652" spans="1:2" x14ac:dyDescent="0.25">
      <c r="A2652" s="20" t="s">
        <v>4063</v>
      </c>
      <c r="B2652" s="20" t="s">
        <v>4001</v>
      </c>
    </row>
    <row r="2653" spans="1:2" x14ac:dyDescent="0.25">
      <c r="A2653" s="20" t="s">
        <v>4072</v>
      </c>
      <c r="B2653" s="20" t="s">
        <v>4001</v>
      </c>
    </row>
    <row r="2654" spans="1:2" x14ac:dyDescent="0.25">
      <c r="A2654" s="20" t="s">
        <v>4088</v>
      </c>
      <c r="B2654" s="20" t="s">
        <v>4001</v>
      </c>
    </row>
    <row r="2655" spans="1:2" x14ac:dyDescent="0.25">
      <c r="A2655" s="20" t="s">
        <v>4103</v>
      </c>
      <c r="B2655" s="20" t="s">
        <v>4001</v>
      </c>
    </row>
    <row r="2656" spans="1:2" x14ac:dyDescent="0.25">
      <c r="A2656" s="20">
        <v>-197974065</v>
      </c>
      <c r="B2656" s="20" t="s">
        <v>4001</v>
      </c>
    </row>
    <row r="2657" spans="1:2" x14ac:dyDescent="0.25">
      <c r="A2657" s="20" t="s">
        <v>4129</v>
      </c>
      <c r="B2657" s="20" t="s">
        <v>4001</v>
      </c>
    </row>
    <row r="2658" spans="1:2" x14ac:dyDescent="0.25">
      <c r="A2658" s="20" t="s">
        <v>4136</v>
      </c>
      <c r="B2658" s="20" t="s">
        <v>4001</v>
      </c>
    </row>
    <row r="2659" spans="1:2" x14ac:dyDescent="0.25">
      <c r="A2659" s="20" t="s">
        <v>4147</v>
      </c>
      <c r="B2659" s="20" t="s">
        <v>4001</v>
      </c>
    </row>
    <row r="2660" spans="1:2" x14ac:dyDescent="0.25">
      <c r="A2660" s="20">
        <v>145818800</v>
      </c>
      <c r="B2660" s="20" t="s">
        <v>4001</v>
      </c>
    </row>
    <row r="2661" spans="1:2" x14ac:dyDescent="0.25">
      <c r="A2661" s="20" t="s">
        <v>4178</v>
      </c>
      <c r="B2661" s="20" t="s">
        <v>4001</v>
      </c>
    </row>
    <row r="2662" spans="1:2" x14ac:dyDescent="0.25">
      <c r="A2662" s="20" t="s">
        <v>4146</v>
      </c>
      <c r="B2662" s="20" t="s">
        <v>4001</v>
      </c>
    </row>
    <row r="2663" spans="1:2" x14ac:dyDescent="0.25">
      <c r="A2663" s="20">
        <v>-12174962</v>
      </c>
      <c r="B2663" s="20" t="s">
        <v>4001</v>
      </c>
    </row>
    <row r="2664" spans="1:2" x14ac:dyDescent="0.25">
      <c r="A2664" s="20" t="s">
        <v>4177</v>
      </c>
      <c r="B2664" s="20" t="s">
        <v>4001</v>
      </c>
    </row>
    <row r="2665" spans="1:2" x14ac:dyDescent="0.25">
      <c r="A2665" s="20" t="s">
        <v>4195</v>
      </c>
      <c r="B2665" s="20" t="s">
        <v>4001</v>
      </c>
    </row>
    <row r="2666" spans="1:2" x14ac:dyDescent="0.25">
      <c r="A2666" s="20" t="s">
        <v>4209</v>
      </c>
      <c r="B2666" s="20" t="s">
        <v>4001</v>
      </c>
    </row>
    <row r="2667" spans="1:2" x14ac:dyDescent="0.25">
      <c r="A2667" s="20">
        <v>-377438344</v>
      </c>
      <c r="B2667" s="20" t="s">
        <v>4001</v>
      </c>
    </row>
    <row r="2668" spans="1:2" x14ac:dyDescent="0.25">
      <c r="A2668" s="20" t="s">
        <v>4228</v>
      </c>
      <c r="B2668" s="20" t="s">
        <v>4001</v>
      </c>
    </row>
    <row r="2669" spans="1:2" x14ac:dyDescent="0.25">
      <c r="A2669" s="20" t="s">
        <v>4237</v>
      </c>
      <c r="B2669" s="20" t="s">
        <v>4001</v>
      </c>
    </row>
    <row r="2670" spans="1:2" x14ac:dyDescent="0.25">
      <c r="A2670" s="20" t="s">
        <v>4249</v>
      </c>
      <c r="B2670" s="20" t="s">
        <v>4001</v>
      </c>
    </row>
    <row r="2671" spans="1:2" x14ac:dyDescent="0.25">
      <c r="A2671" s="20" t="s">
        <v>4258</v>
      </c>
      <c r="B2671" s="20" t="s">
        <v>4001</v>
      </c>
    </row>
    <row r="2672" spans="1:2" x14ac:dyDescent="0.25">
      <c r="A2672" s="20" t="s">
        <v>4266</v>
      </c>
      <c r="B2672" s="20" t="s">
        <v>4001</v>
      </c>
    </row>
    <row r="2673" spans="1:2" x14ac:dyDescent="0.25">
      <c r="A2673" s="20" t="s">
        <v>4276</v>
      </c>
      <c r="B2673" s="20" t="s">
        <v>4001</v>
      </c>
    </row>
    <row r="2674" spans="1:2" x14ac:dyDescent="0.25">
      <c r="A2674" s="20" t="s">
        <v>4292</v>
      </c>
      <c r="B2674" s="20" t="s">
        <v>4001</v>
      </c>
    </row>
    <row r="2675" spans="1:2" x14ac:dyDescent="0.25">
      <c r="A2675" s="20" t="s">
        <v>4305</v>
      </c>
      <c r="B2675" s="20" t="s">
        <v>4001</v>
      </c>
    </row>
    <row r="2676" spans="1:2" x14ac:dyDescent="0.25">
      <c r="A2676" s="20">
        <v>-12143825</v>
      </c>
      <c r="B2676" s="20" t="s">
        <v>4001</v>
      </c>
    </row>
    <row r="2677" spans="1:2" x14ac:dyDescent="0.25">
      <c r="A2677" s="20" t="s">
        <v>4329</v>
      </c>
      <c r="B2677" s="20" t="s">
        <v>4001</v>
      </c>
    </row>
    <row r="2678" spans="1:2" x14ac:dyDescent="0.25">
      <c r="A2678" s="20" t="s">
        <v>4339</v>
      </c>
      <c r="B2678" s="20" t="s">
        <v>4001</v>
      </c>
    </row>
    <row r="2679" spans="1:2" x14ac:dyDescent="0.25">
      <c r="A2679" s="20" t="s">
        <v>4349</v>
      </c>
      <c r="B2679" s="20" t="s">
        <v>4001</v>
      </c>
    </row>
    <row r="2680" spans="1:2" x14ac:dyDescent="0.25">
      <c r="A2680" s="20" t="s">
        <v>4358</v>
      </c>
      <c r="B2680" s="20" t="s">
        <v>4001</v>
      </c>
    </row>
    <row r="2681" spans="1:2" x14ac:dyDescent="0.25">
      <c r="A2681" s="20" t="s">
        <v>4366</v>
      </c>
      <c r="B2681" s="20" t="s">
        <v>4001</v>
      </c>
    </row>
    <row r="2682" spans="1:2" x14ac:dyDescent="0.25">
      <c r="A2682" s="20" t="s">
        <v>4372</v>
      </c>
      <c r="B2682" s="20" t="s">
        <v>4001</v>
      </c>
    </row>
    <row r="2683" spans="1:2" x14ac:dyDescent="0.25">
      <c r="A2683" s="20" t="s">
        <v>4380</v>
      </c>
      <c r="B2683" s="20" t="s">
        <v>4001</v>
      </c>
    </row>
    <row r="2684" spans="1:2" x14ac:dyDescent="0.25">
      <c r="A2684" s="20" t="s">
        <v>4388</v>
      </c>
      <c r="B2684" s="20" t="s">
        <v>4001</v>
      </c>
    </row>
    <row r="2685" spans="1:2" x14ac:dyDescent="0.25">
      <c r="A2685" s="20">
        <v>165303424</v>
      </c>
      <c r="B2685" s="20" t="s">
        <v>4001</v>
      </c>
    </row>
    <row r="2686" spans="1:2" x14ac:dyDescent="0.25">
      <c r="A2686" s="20" t="s">
        <v>4402</v>
      </c>
      <c r="B2686" s="20" t="s">
        <v>4001</v>
      </c>
    </row>
    <row r="2687" spans="1:2" x14ac:dyDescent="0.25">
      <c r="A2687" s="20" t="s">
        <v>4408</v>
      </c>
      <c r="B2687" s="20" t="s">
        <v>4001</v>
      </c>
    </row>
    <row r="2688" spans="1:2" x14ac:dyDescent="0.25">
      <c r="A2688" s="20" t="s">
        <v>4413</v>
      </c>
      <c r="B2688" s="20" t="s">
        <v>4001</v>
      </c>
    </row>
    <row r="2689" spans="1:2" x14ac:dyDescent="0.25">
      <c r="A2689" s="20" t="s">
        <v>4417</v>
      </c>
      <c r="B2689" s="20" t="s">
        <v>4001</v>
      </c>
    </row>
    <row r="2690" spans="1:2" x14ac:dyDescent="0.25">
      <c r="A2690" s="20" t="s">
        <v>4422</v>
      </c>
      <c r="B2690" s="20" t="s">
        <v>4001</v>
      </c>
    </row>
    <row r="2691" spans="1:2" x14ac:dyDescent="0.25">
      <c r="A2691" s="20" t="s">
        <v>4428</v>
      </c>
      <c r="B2691" s="20" t="s">
        <v>4001</v>
      </c>
    </row>
    <row r="2692" spans="1:2" x14ac:dyDescent="0.25">
      <c r="A2692" s="20" t="s">
        <v>4002</v>
      </c>
      <c r="B2692" s="20" t="s">
        <v>4002</v>
      </c>
    </row>
    <row r="2693" spans="1:2" x14ac:dyDescent="0.25">
      <c r="A2693" s="20" t="s">
        <v>4028</v>
      </c>
      <c r="B2693" s="20" t="s">
        <v>4002</v>
      </c>
    </row>
    <row r="2694" spans="1:2" x14ac:dyDescent="0.25">
      <c r="A2694" s="20">
        <v>-448887867</v>
      </c>
      <c r="B2694" s="20" t="s">
        <v>4002</v>
      </c>
    </row>
    <row r="2695" spans="1:2" x14ac:dyDescent="0.25">
      <c r="A2695" s="20">
        <v>-448887869</v>
      </c>
      <c r="B2695" s="20" t="s">
        <v>4002</v>
      </c>
    </row>
    <row r="2696" spans="1:2" x14ac:dyDescent="0.25">
      <c r="A2696" s="20" t="s">
        <v>4045</v>
      </c>
      <c r="B2696" s="20" t="s">
        <v>4002</v>
      </c>
    </row>
    <row r="2697" spans="1:2" x14ac:dyDescent="0.25">
      <c r="A2697" s="20" t="s">
        <v>4055</v>
      </c>
      <c r="B2697" s="20" t="s">
        <v>4002</v>
      </c>
    </row>
    <row r="2698" spans="1:2" x14ac:dyDescent="0.25">
      <c r="A2698" s="20">
        <v>-448887868</v>
      </c>
      <c r="B2698" s="20" t="s">
        <v>4002</v>
      </c>
    </row>
    <row r="2699" spans="1:2" x14ac:dyDescent="0.25">
      <c r="A2699" s="20" t="s">
        <v>4073</v>
      </c>
      <c r="B2699" s="20" t="s">
        <v>4002</v>
      </c>
    </row>
    <row r="2700" spans="1:2" x14ac:dyDescent="0.25">
      <c r="A2700" s="20" t="s">
        <v>4090</v>
      </c>
      <c r="B2700" s="20" t="s">
        <v>4002</v>
      </c>
    </row>
    <row r="2701" spans="1:2" x14ac:dyDescent="0.25">
      <c r="A2701" s="20">
        <v>-423965484</v>
      </c>
      <c r="B2701" s="20" t="s">
        <v>4002</v>
      </c>
    </row>
    <row r="2702" spans="1:2" x14ac:dyDescent="0.25">
      <c r="A2702" s="20" t="s">
        <v>4117</v>
      </c>
      <c r="B2702" s="20" t="s">
        <v>4002</v>
      </c>
    </row>
    <row r="2703" spans="1:2" x14ac:dyDescent="0.25">
      <c r="A2703" s="20">
        <v>-387423966</v>
      </c>
      <c r="B2703" s="20" t="s">
        <v>4002</v>
      </c>
    </row>
    <row r="2704" spans="1:2" x14ac:dyDescent="0.25">
      <c r="A2704" s="20">
        <v>-424978642</v>
      </c>
      <c r="B2704" s="20" t="s">
        <v>4002</v>
      </c>
    </row>
    <row r="2705" spans="1:2" x14ac:dyDescent="0.25">
      <c r="A2705" s="20">
        <v>-424978642.17000002</v>
      </c>
      <c r="B2705" s="20" t="s">
        <v>4002</v>
      </c>
    </row>
    <row r="2706" spans="1:2" x14ac:dyDescent="0.25">
      <c r="A2706" s="20" t="s">
        <v>4162</v>
      </c>
      <c r="B2706" s="20" t="s">
        <v>4002</v>
      </c>
    </row>
    <row r="2707" spans="1:2" x14ac:dyDescent="0.25">
      <c r="A2707" s="20" t="s">
        <v>4180</v>
      </c>
      <c r="B2707" s="20" t="s">
        <v>4002</v>
      </c>
    </row>
    <row r="2708" spans="1:2" x14ac:dyDescent="0.25">
      <c r="A2708" s="20" t="s">
        <v>4062</v>
      </c>
      <c r="B2708" s="20" t="s">
        <v>4002</v>
      </c>
    </row>
    <row r="2709" spans="1:2" x14ac:dyDescent="0.25">
      <c r="A2709" s="20" t="s">
        <v>4051</v>
      </c>
      <c r="B2709" s="20" t="s">
        <v>4002</v>
      </c>
    </row>
    <row r="2710" spans="1:2" x14ac:dyDescent="0.25">
      <c r="A2710" s="20" t="s">
        <v>4087</v>
      </c>
      <c r="B2710" s="20" t="s">
        <v>4002</v>
      </c>
    </row>
    <row r="2711" spans="1:2" x14ac:dyDescent="0.25">
      <c r="A2711" s="20" t="s">
        <v>4102</v>
      </c>
      <c r="B2711" s="20" t="s">
        <v>4002</v>
      </c>
    </row>
    <row r="2712" spans="1:2" x14ac:dyDescent="0.25">
      <c r="A2712" s="20" t="s">
        <v>4116</v>
      </c>
      <c r="B2712" s="20" t="s">
        <v>4002</v>
      </c>
    </row>
    <row r="2713" spans="1:2" x14ac:dyDescent="0.25">
      <c r="A2713" s="20">
        <v>486653628</v>
      </c>
      <c r="B2713" s="20" t="s">
        <v>4002</v>
      </c>
    </row>
    <row r="2714" spans="1:2" x14ac:dyDescent="0.25">
      <c r="A2714" s="20">
        <v>43117623</v>
      </c>
      <c r="B2714" s="20" t="s">
        <v>4002</v>
      </c>
    </row>
    <row r="2715" spans="1:2" x14ac:dyDescent="0.25">
      <c r="A2715" s="20" t="s">
        <v>4146</v>
      </c>
      <c r="B2715" s="20" t="s">
        <v>4002</v>
      </c>
    </row>
    <row r="2716" spans="1:2" x14ac:dyDescent="0.25">
      <c r="A2716" s="20">
        <v>-12174962</v>
      </c>
      <c r="B2716" s="20" t="s">
        <v>4002</v>
      </c>
    </row>
    <row r="2717" spans="1:2" x14ac:dyDescent="0.25">
      <c r="A2717" s="20" t="s">
        <v>4295</v>
      </c>
      <c r="B2717" s="20" t="s">
        <v>4002</v>
      </c>
    </row>
    <row r="2718" spans="1:2" x14ac:dyDescent="0.25">
      <c r="A2718" s="20" t="s">
        <v>4083</v>
      </c>
      <c r="B2718" s="20" t="s">
        <v>4002</v>
      </c>
    </row>
    <row r="2719" spans="1:2" x14ac:dyDescent="0.25">
      <c r="A2719" s="20" t="s">
        <v>4084</v>
      </c>
      <c r="B2719" s="20" t="s">
        <v>4002</v>
      </c>
    </row>
    <row r="2720" spans="1:2" x14ac:dyDescent="0.25">
      <c r="A2720" s="20" t="s">
        <v>4098</v>
      </c>
      <c r="B2720" s="20" t="s">
        <v>4002</v>
      </c>
    </row>
    <row r="2721" spans="1:2" x14ac:dyDescent="0.25">
      <c r="A2721" s="20">
        <v>-423967356</v>
      </c>
      <c r="B2721" s="20" t="s">
        <v>4002</v>
      </c>
    </row>
    <row r="2722" spans="1:2" x14ac:dyDescent="0.25">
      <c r="A2722" s="20">
        <v>-424978643</v>
      </c>
      <c r="B2722" s="20" t="s">
        <v>4002</v>
      </c>
    </row>
    <row r="2723" spans="1:2" x14ac:dyDescent="0.25">
      <c r="A2723" s="20">
        <v>-423967357</v>
      </c>
      <c r="B2723" s="20" t="s">
        <v>4002</v>
      </c>
    </row>
    <row r="2724" spans="1:2" x14ac:dyDescent="0.25">
      <c r="A2724" s="20">
        <v>-423967353</v>
      </c>
      <c r="B2724" s="20" t="s">
        <v>4002</v>
      </c>
    </row>
    <row r="2725" spans="1:2" x14ac:dyDescent="0.25">
      <c r="A2725" s="20" t="s">
        <v>4159</v>
      </c>
      <c r="B2725" s="20" t="s">
        <v>4002</v>
      </c>
    </row>
    <row r="2726" spans="1:2" x14ac:dyDescent="0.25">
      <c r="A2726" s="20" t="s">
        <v>4175</v>
      </c>
      <c r="B2726" s="20" t="s">
        <v>4002</v>
      </c>
    </row>
    <row r="2727" spans="1:2" x14ac:dyDescent="0.25">
      <c r="A2727" s="20" t="s">
        <v>4155</v>
      </c>
      <c r="B2727" s="20" t="s">
        <v>4002</v>
      </c>
    </row>
    <row r="2728" spans="1:2" x14ac:dyDescent="0.25">
      <c r="A2728" s="20" t="s">
        <v>4169</v>
      </c>
      <c r="B2728" s="20" t="s">
        <v>4002</v>
      </c>
    </row>
    <row r="2729" spans="1:2" x14ac:dyDescent="0.25">
      <c r="A2729" s="20" t="s">
        <v>4218</v>
      </c>
      <c r="B2729" s="20" t="s">
        <v>4002</v>
      </c>
    </row>
    <row r="2730" spans="1:2" x14ac:dyDescent="0.25">
      <c r="A2730" s="20" t="s">
        <v>4227</v>
      </c>
      <c r="B2730" s="20" t="s">
        <v>4002</v>
      </c>
    </row>
    <row r="2731" spans="1:2" x14ac:dyDescent="0.25">
      <c r="A2731" s="20" t="s">
        <v>4235</v>
      </c>
      <c r="B2731" s="20" t="s">
        <v>4002</v>
      </c>
    </row>
    <row r="2732" spans="1:2" x14ac:dyDescent="0.25">
      <c r="A2732" s="20" t="s">
        <v>4247</v>
      </c>
      <c r="B2732" s="20" t="s">
        <v>4002</v>
      </c>
    </row>
    <row r="2733" spans="1:2" x14ac:dyDescent="0.25">
      <c r="A2733" s="20" t="s">
        <v>4257</v>
      </c>
      <c r="B2733" s="20" t="s">
        <v>4002</v>
      </c>
    </row>
    <row r="2734" spans="1:2" x14ac:dyDescent="0.25">
      <c r="A2734" s="20" t="s">
        <v>4265</v>
      </c>
      <c r="B2734" s="20" t="s">
        <v>4002</v>
      </c>
    </row>
    <row r="2735" spans="1:2" x14ac:dyDescent="0.25">
      <c r="A2735" s="20" t="s">
        <v>4112</v>
      </c>
      <c r="B2735" s="20" t="s">
        <v>4002</v>
      </c>
    </row>
    <row r="2736" spans="1:2" x14ac:dyDescent="0.25">
      <c r="A2736" s="20" t="s">
        <v>4126</v>
      </c>
      <c r="B2736" s="20" t="s">
        <v>4002</v>
      </c>
    </row>
    <row r="2737" spans="1:2" x14ac:dyDescent="0.25">
      <c r="A2737" s="20">
        <v>-486653628</v>
      </c>
      <c r="B2737" s="20" t="s">
        <v>4002</v>
      </c>
    </row>
    <row r="2738" spans="1:2" x14ac:dyDescent="0.25">
      <c r="A2738" s="20" t="s">
        <v>4142</v>
      </c>
      <c r="B2738" s="20" t="s">
        <v>4002</v>
      </c>
    </row>
    <row r="2739" spans="1:2" x14ac:dyDescent="0.25">
      <c r="A2739" s="20" t="s">
        <v>4328</v>
      </c>
      <c r="B2739" s="20" t="s">
        <v>4002</v>
      </c>
    </row>
    <row r="2740" spans="1:2" x14ac:dyDescent="0.25">
      <c r="A2740" s="20" t="s">
        <v>4070</v>
      </c>
      <c r="B2740" s="20" t="s">
        <v>4002</v>
      </c>
    </row>
    <row r="2741" spans="1:2" x14ac:dyDescent="0.25">
      <c r="A2741" s="20" t="s">
        <v>4085</v>
      </c>
      <c r="B2741" s="20" t="s">
        <v>4002</v>
      </c>
    </row>
    <row r="2742" spans="1:2" x14ac:dyDescent="0.25">
      <c r="A2742" s="20" t="s">
        <v>4099</v>
      </c>
      <c r="B2742" s="20" t="s">
        <v>4002</v>
      </c>
    </row>
    <row r="2743" spans="1:2" x14ac:dyDescent="0.25">
      <c r="A2743" s="20" t="s">
        <v>4113</v>
      </c>
      <c r="B2743" s="20" t="s">
        <v>4002</v>
      </c>
    </row>
    <row r="2744" spans="1:2" x14ac:dyDescent="0.25">
      <c r="A2744" s="20" t="s">
        <v>4127</v>
      </c>
      <c r="B2744" s="20" t="s">
        <v>4002</v>
      </c>
    </row>
    <row r="2745" spans="1:2" x14ac:dyDescent="0.25">
      <c r="A2745" s="20">
        <v>12111684</v>
      </c>
      <c r="B2745" s="20" t="s">
        <v>4002</v>
      </c>
    </row>
    <row r="2746" spans="1:2" x14ac:dyDescent="0.25">
      <c r="A2746" s="20" t="s">
        <v>4125</v>
      </c>
      <c r="B2746" s="20" t="s">
        <v>4002</v>
      </c>
    </row>
    <row r="2747" spans="1:2" x14ac:dyDescent="0.25">
      <c r="A2747" s="20" t="s">
        <v>4003</v>
      </c>
      <c r="B2747" s="20" t="s">
        <v>4003</v>
      </c>
    </row>
    <row r="2748" spans="1:2" x14ac:dyDescent="0.25">
      <c r="A2748" s="20" t="s">
        <v>4028</v>
      </c>
      <c r="B2748" s="20" t="s">
        <v>4003</v>
      </c>
    </row>
    <row r="2749" spans="1:2" x14ac:dyDescent="0.25">
      <c r="A2749" s="20">
        <v>-448887867</v>
      </c>
      <c r="B2749" s="20" t="s">
        <v>4003</v>
      </c>
    </row>
    <row r="2750" spans="1:2" x14ac:dyDescent="0.25">
      <c r="A2750" s="20">
        <v>-448887869</v>
      </c>
      <c r="B2750" s="20" t="s">
        <v>4003</v>
      </c>
    </row>
    <row r="2751" spans="1:2" x14ac:dyDescent="0.25">
      <c r="A2751" s="20" t="s">
        <v>4045</v>
      </c>
      <c r="B2751" s="20" t="s">
        <v>4003</v>
      </c>
    </row>
    <row r="2752" spans="1:2" x14ac:dyDescent="0.25">
      <c r="A2752" s="20" t="s">
        <v>4055</v>
      </c>
      <c r="B2752" s="20" t="s">
        <v>4003</v>
      </c>
    </row>
    <row r="2753" spans="1:2" x14ac:dyDescent="0.25">
      <c r="A2753" s="20">
        <v>-448887868</v>
      </c>
      <c r="B2753" s="20" t="s">
        <v>4003</v>
      </c>
    </row>
    <row r="2754" spans="1:2" x14ac:dyDescent="0.25">
      <c r="A2754" s="20" t="s">
        <v>4073</v>
      </c>
      <c r="B2754" s="20" t="s">
        <v>4003</v>
      </c>
    </row>
    <row r="2755" spans="1:2" x14ac:dyDescent="0.25">
      <c r="A2755" s="20" t="s">
        <v>4090</v>
      </c>
      <c r="B2755" s="20" t="s">
        <v>4003</v>
      </c>
    </row>
    <row r="2756" spans="1:2" x14ac:dyDescent="0.25">
      <c r="A2756" s="20">
        <v>-423965484</v>
      </c>
      <c r="B2756" s="20" t="s">
        <v>4003</v>
      </c>
    </row>
    <row r="2757" spans="1:2" x14ac:dyDescent="0.25">
      <c r="A2757" s="20" t="s">
        <v>4117</v>
      </c>
      <c r="B2757" s="20" t="s">
        <v>4003</v>
      </c>
    </row>
    <row r="2758" spans="1:2" x14ac:dyDescent="0.25">
      <c r="A2758" s="20">
        <v>-387423966</v>
      </c>
      <c r="B2758" s="20" t="s">
        <v>4003</v>
      </c>
    </row>
    <row r="2759" spans="1:2" x14ac:dyDescent="0.25">
      <c r="A2759" s="20">
        <v>-424978642</v>
      </c>
      <c r="B2759" s="20" t="s">
        <v>4003</v>
      </c>
    </row>
    <row r="2760" spans="1:2" x14ac:dyDescent="0.25">
      <c r="A2760" s="20">
        <v>-424978642.17000002</v>
      </c>
      <c r="B2760" s="20" t="s">
        <v>4003</v>
      </c>
    </row>
    <row r="2761" spans="1:2" x14ac:dyDescent="0.25">
      <c r="A2761" s="20" t="s">
        <v>4162</v>
      </c>
      <c r="B2761" s="20" t="s">
        <v>4003</v>
      </c>
    </row>
    <row r="2762" spans="1:2" x14ac:dyDescent="0.25">
      <c r="A2762" s="20" t="s">
        <v>4180</v>
      </c>
      <c r="B2762" s="20" t="s">
        <v>4003</v>
      </c>
    </row>
    <row r="2763" spans="1:2" x14ac:dyDescent="0.25">
      <c r="A2763" s="20" t="s">
        <v>4062</v>
      </c>
      <c r="B2763" s="20" t="s">
        <v>4003</v>
      </c>
    </row>
    <row r="2764" spans="1:2" x14ac:dyDescent="0.25">
      <c r="A2764" s="20" t="s">
        <v>4051</v>
      </c>
      <c r="B2764" s="20" t="s">
        <v>4003</v>
      </c>
    </row>
    <row r="2765" spans="1:2" x14ac:dyDescent="0.25">
      <c r="A2765" s="20" t="s">
        <v>4087</v>
      </c>
      <c r="B2765" s="20" t="s">
        <v>4003</v>
      </c>
    </row>
    <row r="2766" spans="1:2" x14ac:dyDescent="0.25">
      <c r="A2766" s="20" t="s">
        <v>4102</v>
      </c>
      <c r="B2766" s="20" t="s">
        <v>4003</v>
      </c>
    </row>
    <row r="2767" spans="1:2" x14ac:dyDescent="0.25">
      <c r="A2767" s="20" t="s">
        <v>4116</v>
      </c>
      <c r="B2767" s="20" t="s">
        <v>4003</v>
      </c>
    </row>
    <row r="2768" spans="1:2" x14ac:dyDescent="0.25">
      <c r="A2768" s="20">
        <v>486653628</v>
      </c>
      <c r="B2768" s="20" t="s">
        <v>4003</v>
      </c>
    </row>
    <row r="2769" spans="1:2" x14ac:dyDescent="0.25">
      <c r="A2769" s="20">
        <v>43117623</v>
      </c>
      <c r="B2769" s="20" t="s">
        <v>4003</v>
      </c>
    </row>
    <row r="2770" spans="1:2" x14ac:dyDescent="0.25">
      <c r="A2770" s="20" t="s">
        <v>4146</v>
      </c>
      <c r="B2770" s="20" t="s">
        <v>4003</v>
      </c>
    </row>
    <row r="2771" spans="1:2" x14ac:dyDescent="0.25">
      <c r="A2771" s="20">
        <v>-12174962</v>
      </c>
      <c r="B2771" s="20" t="s">
        <v>4003</v>
      </c>
    </row>
    <row r="2772" spans="1:2" x14ac:dyDescent="0.25">
      <c r="A2772" s="20" t="s">
        <v>4295</v>
      </c>
      <c r="B2772" s="20" t="s">
        <v>4003</v>
      </c>
    </row>
    <row r="2773" spans="1:2" x14ac:dyDescent="0.25">
      <c r="A2773" s="20" t="s">
        <v>4083</v>
      </c>
      <c r="B2773" s="20" t="s">
        <v>4003</v>
      </c>
    </row>
    <row r="2774" spans="1:2" x14ac:dyDescent="0.25">
      <c r="A2774" s="20" t="s">
        <v>4084</v>
      </c>
      <c r="B2774" s="20" t="s">
        <v>4003</v>
      </c>
    </row>
    <row r="2775" spans="1:2" x14ac:dyDescent="0.25">
      <c r="A2775" s="20" t="s">
        <v>4261</v>
      </c>
      <c r="B2775" s="20" t="s">
        <v>4003</v>
      </c>
    </row>
    <row r="2776" spans="1:2" x14ac:dyDescent="0.25">
      <c r="A2776" s="20">
        <v>423967352</v>
      </c>
      <c r="B2776" s="20" t="s">
        <v>4003</v>
      </c>
    </row>
    <row r="2777" spans="1:2" x14ac:dyDescent="0.25">
      <c r="A2777" s="20" t="s">
        <v>4282</v>
      </c>
      <c r="B2777" s="20" t="s">
        <v>4003</v>
      </c>
    </row>
    <row r="2778" spans="1:2" x14ac:dyDescent="0.25">
      <c r="A2778" s="20" t="s">
        <v>4299</v>
      </c>
      <c r="B2778" s="20" t="s">
        <v>4003</v>
      </c>
    </row>
    <row r="2779" spans="1:2" x14ac:dyDescent="0.25">
      <c r="A2779" s="20" t="s">
        <v>4171</v>
      </c>
      <c r="B2779" s="20" t="s">
        <v>4003</v>
      </c>
    </row>
    <row r="2780" spans="1:2" x14ac:dyDescent="0.25">
      <c r="A2780" s="20">
        <v>49916265</v>
      </c>
      <c r="B2780" s="20" t="s">
        <v>4003</v>
      </c>
    </row>
    <row r="2781" spans="1:2" x14ac:dyDescent="0.25">
      <c r="A2781" s="20" t="s">
        <v>4204</v>
      </c>
      <c r="B2781" s="20" t="s">
        <v>4003</v>
      </c>
    </row>
    <row r="2782" spans="1:2" x14ac:dyDescent="0.25">
      <c r="A2782" s="20" t="s">
        <v>4214</v>
      </c>
      <c r="B2782" s="20" t="s">
        <v>4003</v>
      </c>
    </row>
    <row r="2783" spans="1:2" x14ac:dyDescent="0.25">
      <c r="A2783" s="20">
        <v>-423967354</v>
      </c>
      <c r="B2783" s="20" t="s">
        <v>4003</v>
      </c>
    </row>
    <row r="2784" spans="1:2" x14ac:dyDescent="0.25">
      <c r="A2784" s="20">
        <v>-423967355</v>
      </c>
      <c r="B2784" s="20" t="s">
        <v>4003</v>
      </c>
    </row>
    <row r="2785" spans="1:2" x14ac:dyDescent="0.25">
      <c r="A2785" s="20" t="s">
        <v>4191</v>
      </c>
      <c r="B2785" s="20" t="s">
        <v>4003</v>
      </c>
    </row>
    <row r="2786" spans="1:2" x14ac:dyDescent="0.25">
      <c r="A2786" s="20" t="s">
        <v>4207</v>
      </c>
      <c r="B2786" s="20" t="s">
        <v>4003</v>
      </c>
    </row>
    <row r="2787" spans="1:2" x14ac:dyDescent="0.25">
      <c r="A2787" s="20" t="s">
        <v>4264</v>
      </c>
      <c r="B2787" s="20" t="s">
        <v>4003</v>
      </c>
    </row>
    <row r="2788" spans="1:2" x14ac:dyDescent="0.25">
      <c r="A2788" s="20" t="s">
        <v>4274</v>
      </c>
      <c r="B2788" s="20" t="s">
        <v>4003</v>
      </c>
    </row>
    <row r="2789" spans="1:2" x14ac:dyDescent="0.25">
      <c r="A2789" s="20" t="s">
        <v>4286</v>
      </c>
      <c r="B2789" s="20" t="s">
        <v>4003</v>
      </c>
    </row>
    <row r="2790" spans="1:2" x14ac:dyDescent="0.25">
      <c r="A2790" s="20" t="s">
        <v>4174</v>
      </c>
      <c r="B2790" s="20" t="s">
        <v>4003</v>
      </c>
    </row>
    <row r="2791" spans="1:2" x14ac:dyDescent="0.25">
      <c r="A2791" s="20" t="s">
        <v>4192</v>
      </c>
      <c r="B2791" s="20" t="s">
        <v>4003</v>
      </c>
    </row>
    <row r="2792" spans="1:2" x14ac:dyDescent="0.25">
      <c r="A2792" s="20" t="s">
        <v>4326</v>
      </c>
      <c r="B2792" s="20" t="s">
        <v>4003</v>
      </c>
    </row>
    <row r="2793" spans="1:2" x14ac:dyDescent="0.25">
      <c r="A2793" s="20" t="s">
        <v>4156</v>
      </c>
      <c r="B2793" s="20" t="s">
        <v>4003</v>
      </c>
    </row>
    <row r="2794" spans="1:2" x14ac:dyDescent="0.25">
      <c r="A2794" s="20" t="s">
        <v>4170</v>
      </c>
      <c r="B2794" s="20" t="s">
        <v>4003</v>
      </c>
    </row>
    <row r="2795" spans="1:2" x14ac:dyDescent="0.25">
      <c r="A2795" s="20" t="s">
        <v>4188</v>
      </c>
      <c r="B2795" s="20" t="s">
        <v>4003</v>
      </c>
    </row>
    <row r="2796" spans="1:2" x14ac:dyDescent="0.25">
      <c r="A2796" s="20" t="s">
        <v>4202</v>
      </c>
      <c r="B2796" s="20" t="s">
        <v>4003</v>
      </c>
    </row>
    <row r="2797" spans="1:2" x14ac:dyDescent="0.25">
      <c r="A2797" s="20" t="s">
        <v>4218</v>
      </c>
      <c r="B2797" s="20" t="s">
        <v>4003</v>
      </c>
    </row>
    <row r="2798" spans="1:2" x14ac:dyDescent="0.25">
      <c r="A2798" s="20" t="s">
        <v>4227</v>
      </c>
      <c r="B2798" s="20" t="s">
        <v>4003</v>
      </c>
    </row>
    <row r="2799" spans="1:2" x14ac:dyDescent="0.25">
      <c r="A2799" s="20" t="s">
        <v>4235</v>
      </c>
      <c r="B2799" s="20" t="s">
        <v>4003</v>
      </c>
    </row>
    <row r="2800" spans="1:2" x14ac:dyDescent="0.25">
      <c r="A2800" s="20" t="s">
        <v>4247</v>
      </c>
      <c r="B2800" s="20" t="s">
        <v>4003</v>
      </c>
    </row>
    <row r="2801" spans="1:2" x14ac:dyDescent="0.25">
      <c r="A2801" s="20" t="s">
        <v>4257</v>
      </c>
      <c r="B2801" s="20" t="s">
        <v>4003</v>
      </c>
    </row>
    <row r="2802" spans="1:2" x14ac:dyDescent="0.25">
      <c r="A2802" s="20" t="s">
        <v>4265</v>
      </c>
      <c r="B2802" s="20" t="s">
        <v>4003</v>
      </c>
    </row>
    <row r="2803" spans="1:2" x14ac:dyDescent="0.25">
      <c r="A2803" s="20" t="s">
        <v>4112</v>
      </c>
      <c r="B2803" s="20" t="s">
        <v>4003</v>
      </c>
    </row>
    <row r="2804" spans="1:2" x14ac:dyDescent="0.25">
      <c r="A2804" s="20" t="s">
        <v>4126</v>
      </c>
      <c r="B2804" s="20" t="s">
        <v>4003</v>
      </c>
    </row>
    <row r="2805" spans="1:2" x14ac:dyDescent="0.25">
      <c r="A2805" s="20">
        <v>-486653628</v>
      </c>
      <c r="B2805" s="20" t="s">
        <v>4003</v>
      </c>
    </row>
    <row r="2806" spans="1:2" x14ac:dyDescent="0.25">
      <c r="A2806" s="20" t="s">
        <v>4142</v>
      </c>
      <c r="B2806" s="20" t="s">
        <v>4003</v>
      </c>
    </row>
    <row r="2807" spans="1:2" x14ac:dyDescent="0.25">
      <c r="A2807" s="20" t="s">
        <v>4154</v>
      </c>
      <c r="B2807" s="20" t="s">
        <v>4003</v>
      </c>
    </row>
    <row r="2808" spans="1:2" x14ac:dyDescent="0.25">
      <c r="A2808" s="20" t="s">
        <v>4168</v>
      </c>
      <c r="B2808" s="20" t="s">
        <v>4003</v>
      </c>
    </row>
    <row r="2809" spans="1:2" x14ac:dyDescent="0.25">
      <c r="A2809" s="20" t="s">
        <v>4027</v>
      </c>
      <c r="B2809" s="20" t="s">
        <v>4003</v>
      </c>
    </row>
    <row r="2810" spans="1:2" x14ac:dyDescent="0.25">
      <c r="A2810" s="20" t="s">
        <v>4031</v>
      </c>
      <c r="B2810" s="20" t="s">
        <v>4003</v>
      </c>
    </row>
    <row r="2811" spans="1:2" x14ac:dyDescent="0.25">
      <c r="A2811" s="20" t="s">
        <v>4035</v>
      </c>
      <c r="B2811" s="20" t="s">
        <v>4003</v>
      </c>
    </row>
    <row r="2812" spans="1:2" x14ac:dyDescent="0.25">
      <c r="A2812" s="20" t="s">
        <v>4042</v>
      </c>
      <c r="B2812" s="20" t="s">
        <v>4003</v>
      </c>
    </row>
    <row r="2813" spans="1:2" x14ac:dyDescent="0.25">
      <c r="A2813" s="20">
        <v>424978639</v>
      </c>
      <c r="B2813" s="20" t="s">
        <v>4003</v>
      </c>
    </row>
    <row r="2814" spans="1:2" x14ac:dyDescent="0.25">
      <c r="A2814" s="20">
        <v>387423966</v>
      </c>
      <c r="B2814" s="20" t="s">
        <v>4003</v>
      </c>
    </row>
    <row r="2815" spans="1:2" x14ac:dyDescent="0.25">
      <c r="A2815" s="20">
        <v>424978644</v>
      </c>
      <c r="B2815" s="20" t="s">
        <v>4003</v>
      </c>
    </row>
    <row r="2816" spans="1:2" x14ac:dyDescent="0.25">
      <c r="A2816" s="20">
        <v>423965484</v>
      </c>
      <c r="B2816" s="20" t="s">
        <v>4003</v>
      </c>
    </row>
    <row r="2817" spans="1:2" x14ac:dyDescent="0.25">
      <c r="A2817" s="20" t="s">
        <v>4100</v>
      </c>
      <c r="B2817" s="20" t="s">
        <v>4003</v>
      </c>
    </row>
    <row r="2818" spans="1:2" x14ac:dyDescent="0.25">
      <c r="A2818" s="20" t="s">
        <v>4114</v>
      </c>
      <c r="B2818" s="20" t="s">
        <v>4003</v>
      </c>
    </row>
    <row r="2819" spans="1:2" x14ac:dyDescent="0.25">
      <c r="A2819" s="20">
        <v>448887868</v>
      </c>
      <c r="B2819" s="20" t="s">
        <v>4003</v>
      </c>
    </row>
    <row r="2820" spans="1:2" x14ac:dyDescent="0.25">
      <c r="A2820" s="20" t="s">
        <v>4135</v>
      </c>
      <c r="B2820" s="20" t="s">
        <v>4003</v>
      </c>
    </row>
    <row r="2821" spans="1:2" x14ac:dyDescent="0.25">
      <c r="A2821" s="20" t="s">
        <v>4145</v>
      </c>
      <c r="B2821" s="20" t="s">
        <v>4003</v>
      </c>
    </row>
    <row r="2822" spans="1:2" x14ac:dyDescent="0.25">
      <c r="A2822" s="20">
        <v>448887869</v>
      </c>
      <c r="B2822" s="20" t="s">
        <v>4003</v>
      </c>
    </row>
    <row r="2823" spans="1:2" x14ac:dyDescent="0.25">
      <c r="A2823" s="20">
        <v>448887867</v>
      </c>
      <c r="B2823" s="20" t="s">
        <v>4003</v>
      </c>
    </row>
    <row r="2824" spans="1:2" x14ac:dyDescent="0.25">
      <c r="A2824" s="20" t="s">
        <v>4193</v>
      </c>
      <c r="B2824" s="20" t="s">
        <v>4003</v>
      </c>
    </row>
    <row r="2825" spans="1:2" x14ac:dyDescent="0.25">
      <c r="A2825" s="20" t="s">
        <v>4004</v>
      </c>
      <c r="B2825" s="20" t="s">
        <v>4004</v>
      </c>
    </row>
    <row r="2826" spans="1:2" x14ac:dyDescent="0.25">
      <c r="A2826" s="20" t="s">
        <v>4028</v>
      </c>
      <c r="B2826" s="20" t="s">
        <v>4004</v>
      </c>
    </row>
    <row r="2827" spans="1:2" x14ac:dyDescent="0.25">
      <c r="A2827" s="20">
        <v>-448887867</v>
      </c>
      <c r="B2827" s="20" t="s">
        <v>4004</v>
      </c>
    </row>
    <row r="2828" spans="1:2" x14ac:dyDescent="0.25">
      <c r="A2828" s="20">
        <v>-448887869</v>
      </c>
      <c r="B2828" s="20" t="s">
        <v>4004</v>
      </c>
    </row>
    <row r="2829" spans="1:2" x14ac:dyDescent="0.25">
      <c r="A2829" s="20" t="s">
        <v>4045</v>
      </c>
      <c r="B2829" s="20" t="s">
        <v>4004</v>
      </c>
    </row>
    <row r="2830" spans="1:2" x14ac:dyDescent="0.25">
      <c r="A2830" s="20" t="s">
        <v>4055</v>
      </c>
      <c r="B2830" s="20" t="s">
        <v>4004</v>
      </c>
    </row>
    <row r="2831" spans="1:2" x14ac:dyDescent="0.25">
      <c r="A2831" s="20">
        <v>-448887868</v>
      </c>
      <c r="B2831" s="20" t="s">
        <v>4004</v>
      </c>
    </row>
    <row r="2832" spans="1:2" x14ac:dyDescent="0.25">
      <c r="A2832" s="20" t="s">
        <v>4073</v>
      </c>
      <c r="B2832" s="20" t="s">
        <v>4004</v>
      </c>
    </row>
    <row r="2833" spans="1:2" x14ac:dyDescent="0.25">
      <c r="A2833" s="20" t="s">
        <v>4090</v>
      </c>
      <c r="B2833" s="20" t="s">
        <v>4004</v>
      </c>
    </row>
    <row r="2834" spans="1:2" x14ac:dyDescent="0.25">
      <c r="A2834" s="20">
        <v>-423965484</v>
      </c>
      <c r="B2834" s="20" t="s">
        <v>4004</v>
      </c>
    </row>
    <row r="2835" spans="1:2" x14ac:dyDescent="0.25">
      <c r="A2835" s="20" t="s">
        <v>4117</v>
      </c>
      <c r="B2835" s="20" t="s">
        <v>4004</v>
      </c>
    </row>
    <row r="2836" spans="1:2" x14ac:dyDescent="0.25">
      <c r="A2836" s="20">
        <v>-387423966</v>
      </c>
      <c r="B2836" s="20" t="s">
        <v>4004</v>
      </c>
    </row>
    <row r="2837" spans="1:2" x14ac:dyDescent="0.25">
      <c r="A2837" s="20">
        <v>-424978642</v>
      </c>
      <c r="B2837" s="20" t="s">
        <v>4004</v>
      </c>
    </row>
    <row r="2838" spans="1:2" x14ac:dyDescent="0.25">
      <c r="A2838" s="20">
        <v>-424978642.17000002</v>
      </c>
      <c r="B2838" s="20" t="s">
        <v>4004</v>
      </c>
    </row>
    <row r="2839" spans="1:2" x14ac:dyDescent="0.25">
      <c r="A2839" s="20" t="s">
        <v>4162</v>
      </c>
      <c r="B2839" s="20" t="s">
        <v>4004</v>
      </c>
    </row>
    <row r="2840" spans="1:2" x14ac:dyDescent="0.25">
      <c r="A2840" s="20" t="s">
        <v>4180</v>
      </c>
      <c r="B2840" s="20" t="s">
        <v>4004</v>
      </c>
    </row>
    <row r="2841" spans="1:2" x14ac:dyDescent="0.25">
      <c r="A2841" s="20" t="s">
        <v>4062</v>
      </c>
      <c r="B2841" s="20" t="s">
        <v>4004</v>
      </c>
    </row>
    <row r="2842" spans="1:2" x14ac:dyDescent="0.25">
      <c r="A2842" s="20" t="s">
        <v>4051</v>
      </c>
      <c r="B2842" s="20" t="s">
        <v>4004</v>
      </c>
    </row>
    <row r="2843" spans="1:2" x14ac:dyDescent="0.25">
      <c r="A2843" s="20" t="s">
        <v>4087</v>
      </c>
      <c r="B2843" s="20" t="s">
        <v>4004</v>
      </c>
    </row>
    <row r="2844" spans="1:2" x14ac:dyDescent="0.25">
      <c r="A2844" s="20" t="s">
        <v>4102</v>
      </c>
      <c r="B2844" s="20" t="s">
        <v>4004</v>
      </c>
    </row>
    <row r="2845" spans="1:2" x14ac:dyDescent="0.25">
      <c r="A2845" s="20" t="s">
        <v>4116</v>
      </c>
      <c r="B2845" s="20" t="s">
        <v>4004</v>
      </c>
    </row>
    <row r="2846" spans="1:2" x14ac:dyDescent="0.25">
      <c r="A2846" s="20">
        <v>486653628</v>
      </c>
      <c r="B2846" s="20" t="s">
        <v>4004</v>
      </c>
    </row>
    <row r="2847" spans="1:2" x14ac:dyDescent="0.25">
      <c r="A2847" s="20">
        <v>43117623</v>
      </c>
      <c r="B2847" s="20" t="s">
        <v>4004</v>
      </c>
    </row>
    <row r="2848" spans="1:2" x14ac:dyDescent="0.25">
      <c r="A2848" s="20" t="s">
        <v>4146</v>
      </c>
      <c r="B2848" s="20" t="s">
        <v>4004</v>
      </c>
    </row>
    <row r="2849" spans="1:2" x14ac:dyDescent="0.25">
      <c r="A2849" s="20">
        <v>-12174962</v>
      </c>
      <c r="B2849" s="20" t="s">
        <v>4004</v>
      </c>
    </row>
    <row r="2850" spans="1:2" x14ac:dyDescent="0.25">
      <c r="A2850" s="20" t="s">
        <v>4295</v>
      </c>
      <c r="B2850" s="20" t="s">
        <v>4004</v>
      </c>
    </row>
    <row r="2851" spans="1:2" x14ac:dyDescent="0.25">
      <c r="A2851" s="20" t="s">
        <v>4083</v>
      </c>
      <c r="B2851" s="20" t="s">
        <v>4004</v>
      </c>
    </row>
    <row r="2852" spans="1:2" x14ac:dyDescent="0.25">
      <c r="A2852" s="20" t="s">
        <v>4084</v>
      </c>
      <c r="B2852" s="20" t="s">
        <v>4004</v>
      </c>
    </row>
    <row r="2853" spans="1:2" x14ac:dyDescent="0.25">
      <c r="A2853" s="20" t="s">
        <v>4261</v>
      </c>
      <c r="B2853" s="20" t="s">
        <v>4004</v>
      </c>
    </row>
    <row r="2854" spans="1:2" x14ac:dyDescent="0.25">
      <c r="A2854" s="20">
        <v>423967352</v>
      </c>
      <c r="B2854" s="20" t="s">
        <v>4004</v>
      </c>
    </row>
    <row r="2855" spans="1:2" x14ac:dyDescent="0.25">
      <c r="A2855" s="20" t="s">
        <v>4282</v>
      </c>
      <c r="B2855" s="20" t="s">
        <v>4004</v>
      </c>
    </row>
    <row r="2856" spans="1:2" x14ac:dyDescent="0.25">
      <c r="A2856" s="20" t="s">
        <v>4299</v>
      </c>
      <c r="B2856" s="20" t="s">
        <v>4004</v>
      </c>
    </row>
    <row r="2857" spans="1:2" x14ac:dyDescent="0.25">
      <c r="A2857" s="20" t="s">
        <v>4171</v>
      </c>
      <c r="B2857" s="20" t="s">
        <v>4004</v>
      </c>
    </row>
    <row r="2858" spans="1:2" x14ac:dyDescent="0.25">
      <c r="A2858" s="20">
        <v>49916265</v>
      </c>
      <c r="B2858" s="20" t="s">
        <v>4004</v>
      </c>
    </row>
    <row r="2859" spans="1:2" x14ac:dyDescent="0.25">
      <c r="A2859" s="20" t="s">
        <v>4204</v>
      </c>
      <c r="B2859" s="20" t="s">
        <v>4004</v>
      </c>
    </row>
    <row r="2860" spans="1:2" x14ac:dyDescent="0.25">
      <c r="A2860" s="20" t="s">
        <v>4214</v>
      </c>
      <c r="B2860" s="20" t="s">
        <v>4004</v>
      </c>
    </row>
    <row r="2861" spans="1:2" x14ac:dyDescent="0.25">
      <c r="A2861" s="20">
        <v>-423967354</v>
      </c>
      <c r="B2861" s="20" t="s">
        <v>4004</v>
      </c>
    </row>
    <row r="2862" spans="1:2" x14ac:dyDescent="0.25">
      <c r="A2862" s="20">
        <v>-423967355</v>
      </c>
      <c r="B2862" s="20" t="s">
        <v>4004</v>
      </c>
    </row>
    <row r="2863" spans="1:2" x14ac:dyDescent="0.25">
      <c r="A2863" s="20" t="s">
        <v>4191</v>
      </c>
      <c r="B2863" s="20" t="s">
        <v>4004</v>
      </c>
    </row>
    <row r="2864" spans="1:2" x14ac:dyDescent="0.25">
      <c r="A2864" s="20" t="s">
        <v>4207</v>
      </c>
      <c r="B2864" s="20" t="s">
        <v>4004</v>
      </c>
    </row>
    <row r="2865" spans="1:2" x14ac:dyDescent="0.25">
      <c r="A2865" s="20" t="s">
        <v>4264</v>
      </c>
      <c r="B2865" s="20" t="s">
        <v>4004</v>
      </c>
    </row>
    <row r="2866" spans="1:2" x14ac:dyDescent="0.25">
      <c r="A2866" s="20" t="s">
        <v>4274</v>
      </c>
      <c r="B2866" s="20" t="s">
        <v>4004</v>
      </c>
    </row>
    <row r="2867" spans="1:2" x14ac:dyDescent="0.25">
      <c r="A2867" s="20" t="s">
        <v>4286</v>
      </c>
      <c r="B2867" s="20" t="s">
        <v>4004</v>
      </c>
    </row>
    <row r="2868" spans="1:2" x14ac:dyDescent="0.25">
      <c r="A2868" s="20" t="s">
        <v>4174</v>
      </c>
      <c r="B2868" s="20" t="s">
        <v>4004</v>
      </c>
    </row>
    <row r="2869" spans="1:2" x14ac:dyDescent="0.25">
      <c r="A2869" s="20" t="s">
        <v>4192</v>
      </c>
      <c r="B2869" s="20" t="s">
        <v>4004</v>
      </c>
    </row>
    <row r="2870" spans="1:2" x14ac:dyDescent="0.25">
      <c r="A2870" s="20" t="s">
        <v>4326</v>
      </c>
      <c r="B2870" s="20" t="s">
        <v>4004</v>
      </c>
    </row>
    <row r="2871" spans="1:2" x14ac:dyDescent="0.25">
      <c r="A2871" s="20" t="s">
        <v>4156</v>
      </c>
      <c r="B2871" s="20" t="s">
        <v>4004</v>
      </c>
    </row>
    <row r="2872" spans="1:2" x14ac:dyDescent="0.25">
      <c r="A2872" s="20" t="s">
        <v>4170</v>
      </c>
      <c r="B2872" s="20" t="s">
        <v>4004</v>
      </c>
    </row>
    <row r="2873" spans="1:2" x14ac:dyDescent="0.25">
      <c r="A2873" s="20" t="s">
        <v>4188</v>
      </c>
      <c r="B2873" s="20" t="s">
        <v>4004</v>
      </c>
    </row>
    <row r="2874" spans="1:2" x14ac:dyDescent="0.25">
      <c r="A2874" s="20" t="s">
        <v>4202</v>
      </c>
      <c r="B2874" s="20" t="s">
        <v>4004</v>
      </c>
    </row>
    <row r="2875" spans="1:2" x14ac:dyDescent="0.25">
      <c r="A2875" s="20" t="s">
        <v>4218</v>
      </c>
      <c r="B2875" s="20" t="s">
        <v>4004</v>
      </c>
    </row>
    <row r="2876" spans="1:2" x14ac:dyDescent="0.25">
      <c r="A2876" s="20" t="s">
        <v>4227</v>
      </c>
      <c r="B2876" s="20" t="s">
        <v>4004</v>
      </c>
    </row>
    <row r="2877" spans="1:2" x14ac:dyDescent="0.25">
      <c r="A2877" s="20" t="s">
        <v>4235</v>
      </c>
      <c r="B2877" s="20" t="s">
        <v>4004</v>
      </c>
    </row>
    <row r="2878" spans="1:2" x14ac:dyDescent="0.25">
      <c r="A2878" s="20" t="s">
        <v>4247</v>
      </c>
      <c r="B2878" s="20" t="s">
        <v>4004</v>
      </c>
    </row>
    <row r="2879" spans="1:2" x14ac:dyDescent="0.25">
      <c r="A2879" s="20" t="s">
        <v>4257</v>
      </c>
      <c r="B2879" s="20" t="s">
        <v>4004</v>
      </c>
    </row>
    <row r="2880" spans="1:2" x14ac:dyDescent="0.25">
      <c r="A2880" s="20" t="s">
        <v>4265</v>
      </c>
      <c r="B2880" s="20" t="s">
        <v>4004</v>
      </c>
    </row>
    <row r="2881" spans="1:2" x14ac:dyDescent="0.25">
      <c r="A2881" s="20" t="s">
        <v>4112</v>
      </c>
      <c r="B2881" s="20" t="s">
        <v>4004</v>
      </c>
    </row>
    <row r="2882" spans="1:2" x14ac:dyDescent="0.25">
      <c r="A2882" s="20" t="s">
        <v>4126</v>
      </c>
      <c r="B2882" s="20" t="s">
        <v>4004</v>
      </c>
    </row>
    <row r="2883" spans="1:2" x14ac:dyDescent="0.25">
      <c r="A2883" s="20">
        <v>-486653628</v>
      </c>
      <c r="B2883" s="20" t="s">
        <v>4004</v>
      </c>
    </row>
    <row r="2884" spans="1:2" x14ac:dyDescent="0.25">
      <c r="A2884" s="20" t="s">
        <v>4142</v>
      </c>
      <c r="B2884" s="20" t="s">
        <v>4004</v>
      </c>
    </row>
    <row r="2885" spans="1:2" x14ac:dyDescent="0.25">
      <c r="A2885" s="20" t="s">
        <v>4328</v>
      </c>
      <c r="B2885" s="20" t="s">
        <v>4004</v>
      </c>
    </row>
    <row r="2886" spans="1:2" x14ac:dyDescent="0.25">
      <c r="A2886" s="20" t="s">
        <v>4070</v>
      </c>
      <c r="B2886" s="20" t="s">
        <v>4004</v>
      </c>
    </row>
    <row r="2887" spans="1:2" x14ac:dyDescent="0.25">
      <c r="A2887" s="20" t="s">
        <v>4085</v>
      </c>
      <c r="B2887" s="20" t="s">
        <v>4004</v>
      </c>
    </row>
    <row r="2888" spans="1:2" x14ac:dyDescent="0.25">
      <c r="A2888" s="20" t="s">
        <v>4099</v>
      </c>
      <c r="B2888" s="20" t="s">
        <v>4004</v>
      </c>
    </row>
    <row r="2889" spans="1:2" x14ac:dyDescent="0.25">
      <c r="A2889" s="20" t="s">
        <v>4113</v>
      </c>
      <c r="B2889" s="20" t="s">
        <v>4004</v>
      </c>
    </row>
    <row r="2890" spans="1:2" x14ac:dyDescent="0.25">
      <c r="A2890" s="20" t="s">
        <v>4127</v>
      </c>
      <c r="B2890" s="20" t="s">
        <v>4004</v>
      </c>
    </row>
    <row r="2891" spans="1:2" x14ac:dyDescent="0.25">
      <c r="A2891" s="20">
        <v>12111684</v>
      </c>
      <c r="B2891" s="20" t="s">
        <v>4004</v>
      </c>
    </row>
    <row r="2892" spans="1:2" x14ac:dyDescent="0.25">
      <c r="A2892" s="20" t="s">
        <v>4125</v>
      </c>
      <c r="B2892" s="20" t="s">
        <v>4004</v>
      </c>
    </row>
    <row r="2893" spans="1:2" x14ac:dyDescent="0.25">
      <c r="A2893" s="20" t="s">
        <v>4005</v>
      </c>
      <c r="B2893" s="20" t="s">
        <v>4005</v>
      </c>
    </row>
    <row r="2894" spans="1:2" x14ac:dyDescent="0.25">
      <c r="A2894" s="20" t="s">
        <v>4028</v>
      </c>
      <c r="B2894" s="20" t="s">
        <v>4005</v>
      </c>
    </row>
    <row r="2895" spans="1:2" x14ac:dyDescent="0.25">
      <c r="A2895" s="20">
        <v>-448887867</v>
      </c>
      <c r="B2895" s="20" t="s">
        <v>4005</v>
      </c>
    </row>
    <row r="2896" spans="1:2" x14ac:dyDescent="0.25">
      <c r="A2896" s="20">
        <v>-448887869</v>
      </c>
      <c r="B2896" s="20" t="s">
        <v>4005</v>
      </c>
    </row>
    <row r="2897" spans="1:2" x14ac:dyDescent="0.25">
      <c r="A2897" s="20" t="s">
        <v>4045</v>
      </c>
      <c r="B2897" s="20" t="s">
        <v>4005</v>
      </c>
    </row>
    <row r="2898" spans="1:2" x14ac:dyDescent="0.25">
      <c r="A2898" s="20" t="s">
        <v>4055</v>
      </c>
      <c r="B2898" s="20" t="s">
        <v>4005</v>
      </c>
    </row>
    <row r="2899" spans="1:2" x14ac:dyDescent="0.25">
      <c r="A2899" s="20">
        <v>-448887868</v>
      </c>
      <c r="B2899" s="20" t="s">
        <v>4005</v>
      </c>
    </row>
    <row r="2900" spans="1:2" x14ac:dyDescent="0.25">
      <c r="A2900" s="20" t="s">
        <v>4073</v>
      </c>
      <c r="B2900" s="20" t="s">
        <v>4005</v>
      </c>
    </row>
    <row r="2901" spans="1:2" x14ac:dyDescent="0.25">
      <c r="A2901" s="20" t="s">
        <v>4090</v>
      </c>
      <c r="B2901" s="20" t="s">
        <v>4005</v>
      </c>
    </row>
    <row r="2902" spans="1:2" x14ac:dyDescent="0.25">
      <c r="A2902" s="20">
        <v>-423965484</v>
      </c>
      <c r="B2902" s="20" t="s">
        <v>4005</v>
      </c>
    </row>
    <row r="2903" spans="1:2" x14ac:dyDescent="0.25">
      <c r="A2903" s="20" t="s">
        <v>4117</v>
      </c>
      <c r="B2903" s="20" t="s">
        <v>4005</v>
      </c>
    </row>
    <row r="2904" spans="1:2" x14ac:dyDescent="0.25">
      <c r="A2904" s="20">
        <v>-387423966</v>
      </c>
      <c r="B2904" s="20" t="s">
        <v>4005</v>
      </c>
    </row>
    <row r="2905" spans="1:2" x14ac:dyDescent="0.25">
      <c r="A2905" s="20">
        <v>-424978642</v>
      </c>
      <c r="B2905" s="20" t="s">
        <v>4005</v>
      </c>
    </row>
    <row r="2906" spans="1:2" x14ac:dyDescent="0.25">
      <c r="A2906" s="20">
        <v>-424978642.17000002</v>
      </c>
      <c r="B2906" s="20" t="s">
        <v>4005</v>
      </c>
    </row>
    <row r="2907" spans="1:2" x14ac:dyDescent="0.25">
      <c r="A2907" s="20" t="s">
        <v>4162</v>
      </c>
      <c r="B2907" s="20" t="s">
        <v>4005</v>
      </c>
    </row>
    <row r="2908" spans="1:2" x14ac:dyDescent="0.25">
      <c r="A2908" s="20" t="s">
        <v>4180</v>
      </c>
      <c r="B2908" s="20" t="s">
        <v>4005</v>
      </c>
    </row>
    <row r="2909" spans="1:2" x14ac:dyDescent="0.25">
      <c r="A2909" s="20" t="s">
        <v>4062</v>
      </c>
      <c r="B2909" s="20" t="s">
        <v>4005</v>
      </c>
    </row>
    <row r="2910" spans="1:2" x14ac:dyDescent="0.25">
      <c r="A2910" s="20" t="s">
        <v>4051</v>
      </c>
      <c r="B2910" s="20" t="s">
        <v>4005</v>
      </c>
    </row>
    <row r="2911" spans="1:2" x14ac:dyDescent="0.25">
      <c r="A2911" s="20" t="s">
        <v>4087</v>
      </c>
      <c r="B2911" s="20" t="s">
        <v>4005</v>
      </c>
    </row>
    <row r="2912" spans="1:2" x14ac:dyDescent="0.25">
      <c r="A2912" s="20" t="s">
        <v>4102</v>
      </c>
      <c r="B2912" s="20" t="s">
        <v>4005</v>
      </c>
    </row>
    <row r="2913" spans="1:2" x14ac:dyDescent="0.25">
      <c r="A2913" s="20" t="s">
        <v>4116</v>
      </c>
      <c r="B2913" s="20" t="s">
        <v>4005</v>
      </c>
    </row>
    <row r="2914" spans="1:2" x14ac:dyDescent="0.25">
      <c r="A2914" s="20">
        <v>486653628</v>
      </c>
      <c r="B2914" s="20" t="s">
        <v>4005</v>
      </c>
    </row>
    <row r="2915" spans="1:2" x14ac:dyDescent="0.25">
      <c r="A2915" s="20">
        <v>43117623</v>
      </c>
      <c r="B2915" s="20" t="s">
        <v>4005</v>
      </c>
    </row>
    <row r="2916" spans="1:2" x14ac:dyDescent="0.25">
      <c r="A2916" s="20" t="s">
        <v>4006</v>
      </c>
      <c r="B2916" s="20" t="s">
        <v>4006</v>
      </c>
    </row>
    <row r="2917" spans="1:2" x14ac:dyDescent="0.25">
      <c r="A2917" s="20" t="s">
        <v>4028</v>
      </c>
      <c r="B2917" s="20" t="s">
        <v>4006</v>
      </c>
    </row>
    <row r="2918" spans="1:2" x14ac:dyDescent="0.25">
      <c r="A2918" s="20">
        <v>-448887867</v>
      </c>
      <c r="B2918" s="20" t="s">
        <v>4006</v>
      </c>
    </row>
    <row r="2919" spans="1:2" x14ac:dyDescent="0.25">
      <c r="A2919" s="20">
        <v>-448887869</v>
      </c>
      <c r="B2919" s="20" t="s">
        <v>4006</v>
      </c>
    </row>
    <row r="2920" spans="1:2" x14ac:dyDescent="0.25">
      <c r="A2920" s="20">
        <v>-448887902</v>
      </c>
      <c r="B2920" s="20" t="s">
        <v>4006</v>
      </c>
    </row>
    <row r="2921" spans="1:2" x14ac:dyDescent="0.25">
      <c r="A2921" s="20">
        <v>-196358958</v>
      </c>
      <c r="B2921" s="20" t="s">
        <v>4006</v>
      </c>
    </row>
    <row r="2922" spans="1:2" x14ac:dyDescent="0.25">
      <c r="A2922" s="20" t="s">
        <v>4065</v>
      </c>
      <c r="B2922" s="20" t="s">
        <v>4006</v>
      </c>
    </row>
    <row r="2923" spans="1:2" x14ac:dyDescent="0.25">
      <c r="A2923" s="20" t="s">
        <v>4074</v>
      </c>
      <c r="B2923" s="20" t="s">
        <v>4006</v>
      </c>
    </row>
    <row r="2924" spans="1:2" x14ac:dyDescent="0.25">
      <c r="A2924" s="20" t="s">
        <v>4091</v>
      </c>
      <c r="B2924" s="20" t="s">
        <v>4006</v>
      </c>
    </row>
    <row r="2925" spans="1:2" x14ac:dyDescent="0.25">
      <c r="A2925" s="20" t="s">
        <v>4105</v>
      </c>
      <c r="B2925" s="20" t="s">
        <v>4006</v>
      </c>
    </row>
    <row r="2926" spans="1:2" x14ac:dyDescent="0.25">
      <c r="A2926" s="20" t="s">
        <v>4118</v>
      </c>
      <c r="B2926" s="20" t="s">
        <v>4006</v>
      </c>
    </row>
    <row r="2927" spans="1:2" x14ac:dyDescent="0.25">
      <c r="A2927" s="20" t="s">
        <v>4130</v>
      </c>
      <c r="B2927" s="20" t="s">
        <v>4006</v>
      </c>
    </row>
    <row r="2928" spans="1:2" x14ac:dyDescent="0.25">
      <c r="A2928" s="20" t="s">
        <v>4137</v>
      </c>
      <c r="B2928" s="20" t="s">
        <v>4006</v>
      </c>
    </row>
    <row r="2929" spans="1:2" x14ac:dyDescent="0.25">
      <c r="A2929" s="20" t="s">
        <v>4148</v>
      </c>
      <c r="B2929" s="20" t="s">
        <v>4006</v>
      </c>
    </row>
    <row r="2930" spans="1:2" x14ac:dyDescent="0.25">
      <c r="A2930" s="20" t="s">
        <v>4086</v>
      </c>
      <c r="B2930" s="20" t="s">
        <v>4006</v>
      </c>
    </row>
    <row r="2931" spans="1:2" x14ac:dyDescent="0.25">
      <c r="A2931" s="20" t="s">
        <v>4101</v>
      </c>
      <c r="B2931" s="20" t="s">
        <v>4006</v>
      </c>
    </row>
    <row r="2932" spans="1:2" x14ac:dyDescent="0.25">
      <c r="A2932" s="20" t="s">
        <v>4115</v>
      </c>
      <c r="B2932" s="20" t="s">
        <v>4006</v>
      </c>
    </row>
    <row r="2933" spans="1:2" x14ac:dyDescent="0.25">
      <c r="A2933" s="20" t="s">
        <v>4128</v>
      </c>
      <c r="B2933" s="20" t="s">
        <v>4006</v>
      </c>
    </row>
    <row r="2934" spans="1:2" x14ac:dyDescent="0.25">
      <c r="A2934" s="20" t="s">
        <v>4220</v>
      </c>
      <c r="B2934" s="20" t="s">
        <v>4006</v>
      </c>
    </row>
    <row r="2935" spans="1:2" x14ac:dyDescent="0.25">
      <c r="A2935" s="20">
        <v>196375622</v>
      </c>
      <c r="B2935" s="20" t="s">
        <v>4006</v>
      </c>
    </row>
    <row r="2936" spans="1:2" x14ac:dyDescent="0.25">
      <c r="A2936" s="20" t="s">
        <v>4238</v>
      </c>
      <c r="B2936" s="20" t="s">
        <v>4006</v>
      </c>
    </row>
    <row r="2937" spans="1:2" x14ac:dyDescent="0.25">
      <c r="A2937" s="20" t="s">
        <v>4250</v>
      </c>
      <c r="B2937" s="20" t="s">
        <v>4006</v>
      </c>
    </row>
    <row r="2938" spans="1:2" x14ac:dyDescent="0.25">
      <c r="A2938" s="20" t="s">
        <v>4259</v>
      </c>
      <c r="B2938" s="20" t="s">
        <v>4006</v>
      </c>
    </row>
    <row r="2939" spans="1:2" x14ac:dyDescent="0.25">
      <c r="A2939" s="20" t="s">
        <v>4267</v>
      </c>
      <c r="B2939" s="20" t="s">
        <v>4006</v>
      </c>
    </row>
    <row r="2940" spans="1:2" x14ac:dyDescent="0.25">
      <c r="A2940" s="20" t="s">
        <v>4279</v>
      </c>
      <c r="B2940" s="20" t="s">
        <v>4006</v>
      </c>
    </row>
    <row r="2941" spans="1:2" x14ac:dyDescent="0.25">
      <c r="A2941" s="20" t="s">
        <v>4296</v>
      </c>
      <c r="B2941" s="20" t="s">
        <v>4006</v>
      </c>
    </row>
    <row r="2942" spans="1:2" x14ac:dyDescent="0.25">
      <c r="A2942" s="20" t="s">
        <v>4308</v>
      </c>
      <c r="B2942" s="20" t="s">
        <v>4006</v>
      </c>
    </row>
    <row r="2943" spans="1:2" x14ac:dyDescent="0.25">
      <c r="A2943" s="20" t="s">
        <v>4320</v>
      </c>
      <c r="B2943" s="20" t="s">
        <v>4006</v>
      </c>
    </row>
    <row r="2944" spans="1:2" x14ac:dyDescent="0.25">
      <c r="A2944" s="20" t="s">
        <v>4332</v>
      </c>
      <c r="B2944" s="20" t="s">
        <v>4006</v>
      </c>
    </row>
    <row r="2945" spans="1:2" x14ac:dyDescent="0.25">
      <c r="A2945" s="20" t="s">
        <v>4342</v>
      </c>
      <c r="B2945" s="20" t="s">
        <v>4006</v>
      </c>
    </row>
    <row r="2946" spans="1:2" x14ac:dyDescent="0.25">
      <c r="A2946" s="20" t="s">
        <v>4352</v>
      </c>
      <c r="B2946" s="20" t="s">
        <v>4006</v>
      </c>
    </row>
    <row r="2947" spans="1:2" x14ac:dyDescent="0.25">
      <c r="A2947" s="20" t="s">
        <v>4362</v>
      </c>
      <c r="B2947" s="20" t="s">
        <v>4006</v>
      </c>
    </row>
    <row r="2948" spans="1:2" x14ac:dyDescent="0.25">
      <c r="A2948" s="20" t="s">
        <v>4369</v>
      </c>
      <c r="B2948" s="20" t="s">
        <v>4006</v>
      </c>
    </row>
    <row r="2949" spans="1:2" x14ac:dyDescent="0.25">
      <c r="A2949" s="20" t="s">
        <v>4375</v>
      </c>
      <c r="B2949" s="20" t="s">
        <v>4006</v>
      </c>
    </row>
    <row r="2950" spans="1:2" x14ac:dyDescent="0.25">
      <c r="A2950" s="20" t="s">
        <v>4384</v>
      </c>
      <c r="B2950" s="20" t="s">
        <v>4006</v>
      </c>
    </row>
    <row r="2951" spans="1:2" x14ac:dyDescent="0.25">
      <c r="A2951" s="20" t="s">
        <v>4391</v>
      </c>
      <c r="B2951" s="20" t="s">
        <v>4006</v>
      </c>
    </row>
    <row r="2952" spans="1:2" x14ac:dyDescent="0.25">
      <c r="A2952" s="20" t="s">
        <v>4173</v>
      </c>
      <c r="B2952" s="20" t="s">
        <v>4006</v>
      </c>
    </row>
    <row r="2953" spans="1:2" x14ac:dyDescent="0.25">
      <c r="A2953" s="20">
        <v>287131380</v>
      </c>
      <c r="B2953" s="20" t="s">
        <v>4006</v>
      </c>
    </row>
    <row r="2954" spans="1:2" x14ac:dyDescent="0.25">
      <c r="A2954" s="20" t="s">
        <v>4206</v>
      </c>
      <c r="B2954" s="20" t="s">
        <v>4006</v>
      </c>
    </row>
    <row r="2955" spans="1:2" x14ac:dyDescent="0.25">
      <c r="A2955" s="20" t="s">
        <v>4216</v>
      </c>
      <c r="B2955" s="20" t="s">
        <v>4006</v>
      </c>
    </row>
    <row r="2956" spans="1:2" x14ac:dyDescent="0.25">
      <c r="A2956" s="20">
        <v>424978643</v>
      </c>
      <c r="B2956" s="20" t="s">
        <v>4006</v>
      </c>
    </row>
    <row r="2957" spans="1:2" x14ac:dyDescent="0.25">
      <c r="A2957" s="20">
        <v>423967356</v>
      </c>
      <c r="B2957" s="20" t="s">
        <v>4006</v>
      </c>
    </row>
    <row r="2958" spans="1:2" x14ac:dyDescent="0.25">
      <c r="A2958" s="20" t="s">
        <v>4244</v>
      </c>
      <c r="B2958" s="20" t="s">
        <v>4006</v>
      </c>
    </row>
    <row r="2959" spans="1:2" x14ac:dyDescent="0.25">
      <c r="A2959" s="20" t="s">
        <v>4261</v>
      </c>
      <c r="B2959" s="20" t="s">
        <v>4006</v>
      </c>
    </row>
    <row r="2960" spans="1:2" x14ac:dyDescent="0.25">
      <c r="A2960" s="20">
        <v>423967352</v>
      </c>
      <c r="B2960" s="20" t="s">
        <v>4006</v>
      </c>
    </row>
    <row r="2961" spans="1:2" x14ac:dyDescent="0.25">
      <c r="A2961" s="20" t="s">
        <v>4282</v>
      </c>
      <c r="B2961" s="20" t="s">
        <v>4006</v>
      </c>
    </row>
    <row r="2962" spans="1:2" x14ac:dyDescent="0.25">
      <c r="A2962" s="20" t="s">
        <v>4299</v>
      </c>
      <c r="B2962" s="20" t="s">
        <v>4006</v>
      </c>
    </row>
    <row r="2963" spans="1:2" x14ac:dyDescent="0.25">
      <c r="A2963" s="20" t="s">
        <v>4171</v>
      </c>
      <c r="B2963" s="20" t="s">
        <v>4006</v>
      </c>
    </row>
    <row r="2964" spans="1:2" x14ac:dyDescent="0.25">
      <c r="A2964" s="20">
        <v>49916265</v>
      </c>
      <c r="B2964" s="20" t="s">
        <v>4006</v>
      </c>
    </row>
    <row r="2965" spans="1:2" x14ac:dyDescent="0.25">
      <c r="A2965" s="20" t="s">
        <v>4204</v>
      </c>
      <c r="B2965" s="20" t="s">
        <v>4006</v>
      </c>
    </row>
    <row r="2966" spans="1:2" x14ac:dyDescent="0.25">
      <c r="A2966" s="20" t="s">
        <v>4172</v>
      </c>
      <c r="B2966" s="20" t="s">
        <v>4006</v>
      </c>
    </row>
    <row r="2967" spans="1:2" x14ac:dyDescent="0.25">
      <c r="A2967" s="20" t="s">
        <v>4190</v>
      </c>
      <c r="B2967" s="20" t="s">
        <v>4006</v>
      </c>
    </row>
    <row r="2968" spans="1:2" x14ac:dyDescent="0.25">
      <c r="A2968" s="20" t="s">
        <v>4205</v>
      </c>
      <c r="B2968" s="20" t="s">
        <v>4006</v>
      </c>
    </row>
    <row r="2969" spans="1:2" x14ac:dyDescent="0.25">
      <c r="A2969" s="20" t="s">
        <v>4479</v>
      </c>
      <c r="B2969" s="20" t="s">
        <v>4006</v>
      </c>
    </row>
    <row r="2970" spans="1:2" x14ac:dyDescent="0.25">
      <c r="A2970" s="20" t="s">
        <v>4483</v>
      </c>
      <c r="B2970" s="20" t="s">
        <v>4006</v>
      </c>
    </row>
    <row r="2971" spans="1:2" x14ac:dyDescent="0.25">
      <c r="A2971" s="20" t="s">
        <v>4485</v>
      </c>
      <c r="B2971" s="20" t="s">
        <v>4006</v>
      </c>
    </row>
    <row r="2972" spans="1:2" x14ac:dyDescent="0.25">
      <c r="A2972" s="20" t="s">
        <v>4490</v>
      </c>
      <c r="B2972" s="20" t="s">
        <v>4006</v>
      </c>
    </row>
    <row r="2973" spans="1:2" x14ac:dyDescent="0.25">
      <c r="A2973" s="20" t="s">
        <v>4255</v>
      </c>
      <c r="B2973" s="20" t="s">
        <v>4006</v>
      </c>
    </row>
    <row r="2974" spans="1:2" x14ac:dyDescent="0.25">
      <c r="A2974" s="20" t="s">
        <v>4493</v>
      </c>
      <c r="B2974" s="20" t="s">
        <v>4006</v>
      </c>
    </row>
    <row r="2975" spans="1:2" x14ac:dyDescent="0.25">
      <c r="A2975" s="20" t="s">
        <v>4287</v>
      </c>
      <c r="B2975" s="20" t="s">
        <v>4006</v>
      </c>
    </row>
    <row r="2976" spans="1:2" x14ac:dyDescent="0.25">
      <c r="A2976" s="20" t="s">
        <v>4301</v>
      </c>
      <c r="B2976" s="20" t="s">
        <v>4006</v>
      </c>
    </row>
    <row r="2977" spans="1:2" x14ac:dyDescent="0.25">
      <c r="A2977" s="20" t="s">
        <v>4314</v>
      </c>
      <c r="B2977" s="20" t="s">
        <v>4006</v>
      </c>
    </row>
    <row r="2978" spans="1:2" x14ac:dyDescent="0.25">
      <c r="A2978" s="20" t="s">
        <v>4213</v>
      </c>
      <c r="B2978" s="20" t="s">
        <v>4006</v>
      </c>
    </row>
    <row r="2979" spans="1:2" x14ac:dyDescent="0.25">
      <c r="A2979" s="20" t="s">
        <v>4223</v>
      </c>
      <c r="B2979" s="20" t="s">
        <v>4006</v>
      </c>
    </row>
    <row r="2980" spans="1:2" x14ac:dyDescent="0.25">
      <c r="A2980" s="20">
        <v>-424824620</v>
      </c>
      <c r="B2980" s="20" t="s">
        <v>4006</v>
      </c>
    </row>
    <row r="2981" spans="1:2" x14ac:dyDescent="0.25">
      <c r="A2981" s="20">
        <v>-424824619</v>
      </c>
      <c r="B2981" s="20" t="s">
        <v>4006</v>
      </c>
    </row>
    <row r="2982" spans="1:2" x14ac:dyDescent="0.25">
      <c r="A2982" s="20">
        <v>-423956982</v>
      </c>
      <c r="B2982" s="20" t="s">
        <v>4006</v>
      </c>
    </row>
    <row r="2983" spans="1:2" x14ac:dyDescent="0.25">
      <c r="A2983" s="20" t="s">
        <v>4109</v>
      </c>
      <c r="B2983" s="20" t="s">
        <v>4006</v>
      </c>
    </row>
    <row r="2984" spans="1:2" x14ac:dyDescent="0.25">
      <c r="A2984" s="20" t="s">
        <v>4272</v>
      </c>
      <c r="B2984" s="20" t="s">
        <v>4006</v>
      </c>
    </row>
    <row r="2985" spans="1:2" x14ac:dyDescent="0.25">
      <c r="A2985" s="20" t="s">
        <v>4510</v>
      </c>
      <c r="B2985" s="20" t="s">
        <v>4006</v>
      </c>
    </row>
    <row r="2986" spans="1:2" x14ac:dyDescent="0.25">
      <c r="A2986" s="20" t="s">
        <v>4513</v>
      </c>
      <c r="B2986" s="20" t="s">
        <v>4006</v>
      </c>
    </row>
    <row r="2987" spans="1:2" x14ac:dyDescent="0.25">
      <c r="A2987" s="20" t="s">
        <v>4122</v>
      </c>
      <c r="B2987" s="20" t="s">
        <v>4006</v>
      </c>
    </row>
    <row r="2988" spans="1:2" x14ac:dyDescent="0.25">
      <c r="A2988" s="20" t="s">
        <v>4132</v>
      </c>
      <c r="B2988" s="20" t="s">
        <v>4006</v>
      </c>
    </row>
    <row r="2989" spans="1:2" x14ac:dyDescent="0.25">
      <c r="A2989" s="20">
        <v>-424824620</v>
      </c>
      <c r="B2989" s="20" t="s">
        <v>4006</v>
      </c>
    </row>
    <row r="2990" spans="1:2" x14ac:dyDescent="0.25">
      <c r="A2990" s="20">
        <v>-424824619</v>
      </c>
      <c r="B2990" s="20" t="s">
        <v>4006</v>
      </c>
    </row>
    <row r="2991" spans="1:2" x14ac:dyDescent="0.25">
      <c r="A2991" s="20">
        <v>-423956982</v>
      </c>
      <c r="B2991" s="20" t="s">
        <v>4006</v>
      </c>
    </row>
    <row r="2992" spans="1:2" x14ac:dyDescent="0.25">
      <c r="A2992" s="20">
        <v>-424824621</v>
      </c>
      <c r="B2992" s="20" t="s">
        <v>4006</v>
      </c>
    </row>
    <row r="2993" spans="1:2" x14ac:dyDescent="0.25">
      <c r="A2993" s="20">
        <v>-423956981</v>
      </c>
      <c r="B2993" s="20" t="s">
        <v>4006</v>
      </c>
    </row>
    <row r="2994" spans="1:2" x14ac:dyDescent="0.25">
      <c r="A2994" s="20">
        <v>-424803245</v>
      </c>
      <c r="B2994" s="20" t="s">
        <v>4006</v>
      </c>
    </row>
    <row r="2995" spans="1:2" x14ac:dyDescent="0.25">
      <c r="A2995" s="20" t="s">
        <v>4312</v>
      </c>
      <c r="B2995" s="20" t="s">
        <v>4006</v>
      </c>
    </row>
    <row r="2996" spans="1:2" x14ac:dyDescent="0.25">
      <c r="A2996" s="20" t="s">
        <v>4325</v>
      </c>
      <c r="B2996" s="20" t="s">
        <v>4006</v>
      </c>
    </row>
    <row r="2997" spans="1:2" x14ac:dyDescent="0.25">
      <c r="A2997" s="20" t="s">
        <v>4336</v>
      </c>
      <c r="B2997" s="20" t="s">
        <v>4006</v>
      </c>
    </row>
    <row r="2998" spans="1:2" x14ac:dyDescent="0.25">
      <c r="A2998" s="20" t="s">
        <v>4346</v>
      </c>
      <c r="B2998" s="20" t="s">
        <v>4006</v>
      </c>
    </row>
    <row r="2999" spans="1:2" x14ac:dyDescent="0.25">
      <c r="A2999" s="20" t="s">
        <v>4356</v>
      </c>
      <c r="B2999" s="20" t="s">
        <v>4006</v>
      </c>
    </row>
    <row r="3000" spans="1:2" x14ac:dyDescent="0.25">
      <c r="A3000" s="20" t="s">
        <v>4364</v>
      </c>
      <c r="B3000" s="20" t="s">
        <v>4006</v>
      </c>
    </row>
    <row r="3001" spans="1:2" x14ac:dyDescent="0.25">
      <c r="A3001" s="20" t="s">
        <v>4371</v>
      </c>
      <c r="B3001" s="20" t="s">
        <v>4006</v>
      </c>
    </row>
    <row r="3002" spans="1:2" x14ac:dyDescent="0.25">
      <c r="A3002" s="20" t="s">
        <v>4378</v>
      </c>
      <c r="B3002" s="20" t="s">
        <v>4006</v>
      </c>
    </row>
    <row r="3003" spans="1:2" x14ac:dyDescent="0.25">
      <c r="A3003" s="20" t="s">
        <v>4386</v>
      </c>
      <c r="B3003" s="20" t="s">
        <v>4006</v>
      </c>
    </row>
    <row r="3004" spans="1:2" x14ac:dyDescent="0.25">
      <c r="A3004" s="20" t="s">
        <v>4394</v>
      </c>
      <c r="B3004" s="20" t="s">
        <v>4006</v>
      </c>
    </row>
    <row r="3005" spans="1:2" x14ac:dyDescent="0.25">
      <c r="A3005" s="20" t="s">
        <v>4400</v>
      </c>
      <c r="B3005" s="20" t="s">
        <v>4006</v>
      </c>
    </row>
    <row r="3006" spans="1:2" x14ac:dyDescent="0.25">
      <c r="A3006" s="20" t="s">
        <v>4406</v>
      </c>
      <c r="B3006" s="20" t="s">
        <v>4006</v>
      </c>
    </row>
    <row r="3007" spans="1:2" x14ac:dyDescent="0.25">
      <c r="A3007" s="20" t="s">
        <v>4337</v>
      </c>
      <c r="B3007" s="20" t="s">
        <v>4006</v>
      </c>
    </row>
    <row r="3008" spans="1:2" x14ac:dyDescent="0.25">
      <c r="A3008" s="20" t="s">
        <v>4347</v>
      </c>
      <c r="B3008" s="20" t="s">
        <v>4006</v>
      </c>
    </row>
    <row r="3009" spans="1:2" x14ac:dyDescent="0.25">
      <c r="A3009" s="20" t="s">
        <v>4357</v>
      </c>
      <c r="B3009" s="20" t="s">
        <v>4006</v>
      </c>
    </row>
    <row r="3010" spans="1:2" x14ac:dyDescent="0.25">
      <c r="A3010" s="20" t="s">
        <v>4365</v>
      </c>
      <c r="B3010" s="20" t="s">
        <v>4006</v>
      </c>
    </row>
    <row r="3011" spans="1:2" x14ac:dyDescent="0.25">
      <c r="A3011" s="20">
        <v>49940353</v>
      </c>
      <c r="B3011" s="20" t="s">
        <v>4006</v>
      </c>
    </row>
    <row r="3012" spans="1:2" x14ac:dyDescent="0.25">
      <c r="A3012" s="20" t="s">
        <v>4379</v>
      </c>
      <c r="B3012" s="20" t="s">
        <v>4006</v>
      </c>
    </row>
    <row r="3013" spans="1:2" x14ac:dyDescent="0.25">
      <c r="A3013" s="20" t="s">
        <v>4387</v>
      </c>
      <c r="B3013" s="20" t="s">
        <v>4006</v>
      </c>
    </row>
    <row r="3014" spans="1:2" x14ac:dyDescent="0.25">
      <c r="A3014" s="20" t="s">
        <v>4395</v>
      </c>
      <c r="B3014" s="20" t="s">
        <v>4006</v>
      </c>
    </row>
    <row r="3015" spans="1:2" x14ac:dyDescent="0.25">
      <c r="A3015" s="20" t="s">
        <v>4401</v>
      </c>
      <c r="B3015" s="20" t="s">
        <v>4006</v>
      </c>
    </row>
    <row r="3016" spans="1:2" x14ac:dyDescent="0.25">
      <c r="A3016" s="20" t="s">
        <v>4458</v>
      </c>
      <c r="B3016" s="20" t="s">
        <v>4006</v>
      </c>
    </row>
    <row r="3017" spans="1:2" x14ac:dyDescent="0.25">
      <c r="A3017" s="20">
        <v>12189483</v>
      </c>
      <c r="B3017" s="20" t="s">
        <v>4006</v>
      </c>
    </row>
    <row r="3018" spans="1:2" x14ac:dyDescent="0.25">
      <c r="A3018" s="20">
        <v>12132974</v>
      </c>
      <c r="B3018" s="20" t="s">
        <v>4006</v>
      </c>
    </row>
    <row r="3019" spans="1:2" x14ac:dyDescent="0.25">
      <c r="A3019" s="20" t="s">
        <v>4472</v>
      </c>
      <c r="B3019" s="20" t="s">
        <v>4006</v>
      </c>
    </row>
    <row r="3020" spans="1:2" x14ac:dyDescent="0.25">
      <c r="A3020" s="20" t="s">
        <v>4439</v>
      </c>
      <c r="B3020" s="20" t="s">
        <v>4006</v>
      </c>
    </row>
    <row r="3021" spans="1:2" x14ac:dyDescent="0.25">
      <c r="A3021" s="20" t="s">
        <v>4198</v>
      </c>
      <c r="B3021" s="20" t="s">
        <v>4006</v>
      </c>
    </row>
    <row r="3022" spans="1:2" x14ac:dyDescent="0.25">
      <c r="A3022" s="20" t="s">
        <v>4007</v>
      </c>
      <c r="B3022" s="20" t="s">
        <v>4007</v>
      </c>
    </row>
    <row r="3023" spans="1:2" x14ac:dyDescent="0.25">
      <c r="A3023" s="20" t="s">
        <v>4028</v>
      </c>
      <c r="B3023" s="20" t="s">
        <v>4007</v>
      </c>
    </row>
    <row r="3024" spans="1:2" x14ac:dyDescent="0.25">
      <c r="A3024" s="20">
        <v>-448887867</v>
      </c>
      <c r="B3024" s="20" t="s">
        <v>4007</v>
      </c>
    </row>
    <row r="3025" spans="1:2" x14ac:dyDescent="0.25">
      <c r="A3025" s="20">
        <v>-448887869</v>
      </c>
      <c r="B3025" s="20" t="s">
        <v>4007</v>
      </c>
    </row>
    <row r="3026" spans="1:2" x14ac:dyDescent="0.25">
      <c r="A3026" s="20">
        <v>-448887902</v>
      </c>
      <c r="B3026" s="20" t="s">
        <v>4007</v>
      </c>
    </row>
    <row r="3027" spans="1:2" x14ac:dyDescent="0.25">
      <c r="A3027" s="20">
        <v>-196358958</v>
      </c>
      <c r="B3027" s="20" t="s">
        <v>4007</v>
      </c>
    </row>
    <row r="3028" spans="1:2" x14ac:dyDescent="0.25">
      <c r="A3028" s="20" t="s">
        <v>4065</v>
      </c>
      <c r="B3028" s="20" t="s">
        <v>4007</v>
      </c>
    </row>
    <row r="3029" spans="1:2" x14ac:dyDescent="0.25">
      <c r="A3029" s="20" t="s">
        <v>4074</v>
      </c>
      <c r="B3029" s="20" t="s">
        <v>4007</v>
      </c>
    </row>
    <row r="3030" spans="1:2" x14ac:dyDescent="0.25">
      <c r="A3030" s="20" t="s">
        <v>4091</v>
      </c>
      <c r="B3030" s="20" t="s">
        <v>4007</v>
      </c>
    </row>
    <row r="3031" spans="1:2" x14ac:dyDescent="0.25">
      <c r="A3031" s="20" t="s">
        <v>4105</v>
      </c>
      <c r="B3031" s="20" t="s">
        <v>4007</v>
      </c>
    </row>
    <row r="3032" spans="1:2" x14ac:dyDescent="0.25">
      <c r="A3032" s="20" t="s">
        <v>4118</v>
      </c>
      <c r="B3032" s="20" t="s">
        <v>4007</v>
      </c>
    </row>
    <row r="3033" spans="1:2" x14ac:dyDescent="0.25">
      <c r="A3033" s="20" t="s">
        <v>4130</v>
      </c>
      <c r="B3033" s="20" t="s">
        <v>4007</v>
      </c>
    </row>
    <row r="3034" spans="1:2" x14ac:dyDescent="0.25">
      <c r="A3034" s="20" t="s">
        <v>4137</v>
      </c>
      <c r="B3034" s="20" t="s">
        <v>4007</v>
      </c>
    </row>
    <row r="3035" spans="1:2" x14ac:dyDescent="0.25">
      <c r="A3035" s="20" t="s">
        <v>4148</v>
      </c>
      <c r="B3035" s="20" t="s">
        <v>4007</v>
      </c>
    </row>
    <row r="3036" spans="1:2" x14ac:dyDescent="0.25">
      <c r="A3036" s="20" t="s">
        <v>4086</v>
      </c>
      <c r="B3036" s="20" t="s">
        <v>4007</v>
      </c>
    </row>
    <row r="3037" spans="1:2" x14ac:dyDescent="0.25">
      <c r="A3037" s="20" t="s">
        <v>4101</v>
      </c>
      <c r="B3037" s="20" t="s">
        <v>4007</v>
      </c>
    </row>
    <row r="3038" spans="1:2" x14ac:dyDescent="0.25">
      <c r="A3038" s="20" t="s">
        <v>4115</v>
      </c>
      <c r="B3038" s="20" t="s">
        <v>4007</v>
      </c>
    </row>
    <row r="3039" spans="1:2" x14ac:dyDescent="0.25">
      <c r="A3039" s="20" t="s">
        <v>4128</v>
      </c>
      <c r="B3039" s="20" t="s">
        <v>4007</v>
      </c>
    </row>
    <row r="3040" spans="1:2" x14ac:dyDescent="0.25">
      <c r="A3040" s="20" t="s">
        <v>4220</v>
      </c>
      <c r="B3040" s="20" t="s">
        <v>4007</v>
      </c>
    </row>
    <row r="3041" spans="1:2" x14ac:dyDescent="0.25">
      <c r="A3041" s="20">
        <v>196375622</v>
      </c>
      <c r="B3041" s="20" t="s">
        <v>4007</v>
      </c>
    </row>
    <row r="3042" spans="1:2" x14ac:dyDescent="0.25">
      <c r="A3042" s="20" t="s">
        <v>4238</v>
      </c>
      <c r="B3042" s="20" t="s">
        <v>4007</v>
      </c>
    </row>
    <row r="3043" spans="1:2" x14ac:dyDescent="0.25">
      <c r="A3043" s="20" t="s">
        <v>4250</v>
      </c>
      <c r="B3043" s="20" t="s">
        <v>4007</v>
      </c>
    </row>
    <row r="3044" spans="1:2" x14ac:dyDescent="0.25">
      <c r="A3044" s="20" t="s">
        <v>4259</v>
      </c>
      <c r="B3044" s="20" t="s">
        <v>4007</v>
      </c>
    </row>
    <row r="3045" spans="1:2" x14ac:dyDescent="0.25">
      <c r="A3045" s="20" t="s">
        <v>4267</v>
      </c>
      <c r="B3045" s="20" t="s">
        <v>4007</v>
      </c>
    </row>
    <row r="3046" spans="1:2" x14ac:dyDescent="0.25">
      <c r="A3046" s="20" t="s">
        <v>4279</v>
      </c>
      <c r="B3046" s="20" t="s">
        <v>4007</v>
      </c>
    </row>
    <row r="3047" spans="1:2" x14ac:dyDescent="0.25">
      <c r="A3047" s="20" t="s">
        <v>4296</v>
      </c>
      <c r="B3047" s="20" t="s">
        <v>4007</v>
      </c>
    </row>
    <row r="3048" spans="1:2" x14ac:dyDescent="0.25">
      <c r="A3048" s="20" t="s">
        <v>4308</v>
      </c>
      <c r="B3048" s="20" t="s">
        <v>4007</v>
      </c>
    </row>
    <row r="3049" spans="1:2" x14ac:dyDescent="0.25">
      <c r="A3049" s="20" t="s">
        <v>4320</v>
      </c>
      <c r="B3049" s="20" t="s">
        <v>4007</v>
      </c>
    </row>
    <row r="3050" spans="1:2" x14ac:dyDescent="0.25">
      <c r="A3050" s="20" t="s">
        <v>4332</v>
      </c>
      <c r="B3050" s="20" t="s">
        <v>4007</v>
      </c>
    </row>
    <row r="3051" spans="1:2" x14ac:dyDescent="0.25">
      <c r="A3051" s="20" t="s">
        <v>4342</v>
      </c>
      <c r="B3051" s="20" t="s">
        <v>4007</v>
      </c>
    </row>
    <row r="3052" spans="1:2" x14ac:dyDescent="0.25">
      <c r="A3052" s="20" t="s">
        <v>4352</v>
      </c>
      <c r="B3052" s="20" t="s">
        <v>4007</v>
      </c>
    </row>
    <row r="3053" spans="1:2" x14ac:dyDescent="0.25">
      <c r="A3053" s="20" t="s">
        <v>4362</v>
      </c>
      <c r="B3053" s="20" t="s">
        <v>4007</v>
      </c>
    </row>
    <row r="3054" spans="1:2" x14ac:dyDescent="0.25">
      <c r="A3054" s="20" t="s">
        <v>4369</v>
      </c>
      <c r="B3054" s="20" t="s">
        <v>4007</v>
      </c>
    </row>
    <row r="3055" spans="1:2" x14ac:dyDescent="0.25">
      <c r="A3055" s="20" t="s">
        <v>4375</v>
      </c>
      <c r="B3055" s="20" t="s">
        <v>4007</v>
      </c>
    </row>
    <row r="3056" spans="1:2" x14ac:dyDescent="0.25">
      <c r="A3056" s="20" t="s">
        <v>4384</v>
      </c>
      <c r="B3056" s="20" t="s">
        <v>4007</v>
      </c>
    </row>
    <row r="3057" spans="1:2" x14ac:dyDescent="0.25">
      <c r="A3057" s="20" t="s">
        <v>4391</v>
      </c>
      <c r="B3057" s="20" t="s">
        <v>4007</v>
      </c>
    </row>
    <row r="3058" spans="1:2" x14ac:dyDescent="0.25">
      <c r="A3058" s="20" t="s">
        <v>4173</v>
      </c>
      <c r="B3058" s="20" t="s">
        <v>4007</v>
      </c>
    </row>
    <row r="3059" spans="1:2" x14ac:dyDescent="0.25">
      <c r="A3059" s="20">
        <v>287131380</v>
      </c>
      <c r="B3059" s="20" t="s">
        <v>4007</v>
      </c>
    </row>
    <row r="3060" spans="1:2" x14ac:dyDescent="0.25">
      <c r="A3060" s="20" t="s">
        <v>4206</v>
      </c>
      <c r="B3060" s="20" t="s">
        <v>4007</v>
      </c>
    </row>
    <row r="3061" spans="1:2" x14ac:dyDescent="0.25">
      <c r="A3061" s="20" t="s">
        <v>4216</v>
      </c>
      <c r="B3061" s="20" t="s">
        <v>4007</v>
      </c>
    </row>
    <row r="3062" spans="1:2" x14ac:dyDescent="0.25">
      <c r="A3062" s="20">
        <v>424978643</v>
      </c>
      <c r="B3062" s="20" t="s">
        <v>4007</v>
      </c>
    </row>
    <row r="3063" spans="1:2" x14ac:dyDescent="0.25">
      <c r="A3063" s="20">
        <v>423967356</v>
      </c>
      <c r="B3063" s="20" t="s">
        <v>4007</v>
      </c>
    </row>
    <row r="3064" spans="1:2" x14ac:dyDescent="0.25">
      <c r="A3064" s="20" t="s">
        <v>4244</v>
      </c>
      <c r="B3064" s="20" t="s">
        <v>4007</v>
      </c>
    </row>
    <row r="3065" spans="1:2" x14ac:dyDescent="0.25">
      <c r="A3065" s="20" t="s">
        <v>4261</v>
      </c>
      <c r="B3065" s="20" t="s">
        <v>4007</v>
      </c>
    </row>
    <row r="3066" spans="1:2" x14ac:dyDescent="0.25">
      <c r="A3066" s="20">
        <v>423967352</v>
      </c>
      <c r="B3066" s="20" t="s">
        <v>4007</v>
      </c>
    </row>
    <row r="3067" spans="1:2" x14ac:dyDescent="0.25">
      <c r="A3067" s="20" t="s">
        <v>4282</v>
      </c>
      <c r="B3067" s="20" t="s">
        <v>4007</v>
      </c>
    </row>
    <row r="3068" spans="1:2" x14ac:dyDescent="0.25">
      <c r="A3068" s="20" t="s">
        <v>4299</v>
      </c>
      <c r="B3068" s="20" t="s">
        <v>4007</v>
      </c>
    </row>
    <row r="3069" spans="1:2" x14ac:dyDescent="0.25">
      <c r="A3069" s="20" t="s">
        <v>4171</v>
      </c>
      <c r="B3069" s="20" t="s">
        <v>4007</v>
      </c>
    </row>
    <row r="3070" spans="1:2" x14ac:dyDescent="0.25">
      <c r="A3070" s="20">
        <v>49916265</v>
      </c>
      <c r="B3070" s="20" t="s">
        <v>4007</v>
      </c>
    </row>
    <row r="3071" spans="1:2" x14ac:dyDescent="0.25">
      <c r="A3071" s="20" t="s">
        <v>4204</v>
      </c>
      <c r="B3071" s="20" t="s">
        <v>4007</v>
      </c>
    </row>
    <row r="3072" spans="1:2" x14ac:dyDescent="0.25">
      <c r="A3072" s="20" t="s">
        <v>4172</v>
      </c>
      <c r="B3072" s="20" t="s">
        <v>4007</v>
      </c>
    </row>
    <row r="3073" spans="1:2" x14ac:dyDescent="0.25">
      <c r="A3073" s="20" t="s">
        <v>4190</v>
      </c>
      <c r="B3073" s="20" t="s">
        <v>4007</v>
      </c>
    </row>
    <row r="3074" spans="1:2" x14ac:dyDescent="0.25">
      <c r="A3074" s="20" t="s">
        <v>4205</v>
      </c>
      <c r="B3074" s="20" t="s">
        <v>4007</v>
      </c>
    </row>
    <row r="3075" spans="1:2" x14ac:dyDescent="0.25">
      <c r="A3075" s="20" t="s">
        <v>4215</v>
      </c>
      <c r="B3075" s="20" t="s">
        <v>4007</v>
      </c>
    </row>
    <row r="3076" spans="1:2" x14ac:dyDescent="0.25">
      <c r="A3076" s="20" t="s">
        <v>4225</v>
      </c>
      <c r="B3076" s="20" t="s">
        <v>4007</v>
      </c>
    </row>
    <row r="3077" spans="1:2" x14ac:dyDescent="0.25">
      <c r="A3077" s="20" t="s">
        <v>4232</v>
      </c>
      <c r="B3077" s="20" t="s">
        <v>4007</v>
      </c>
    </row>
    <row r="3078" spans="1:2" x14ac:dyDescent="0.25">
      <c r="A3078" s="20" t="s">
        <v>4243</v>
      </c>
      <c r="B3078" s="20" t="s">
        <v>4007</v>
      </c>
    </row>
    <row r="3079" spans="1:2" x14ac:dyDescent="0.25">
      <c r="A3079" s="20" t="s">
        <v>4255</v>
      </c>
      <c r="B3079" s="20" t="s">
        <v>4007</v>
      </c>
    </row>
    <row r="3080" spans="1:2" x14ac:dyDescent="0.25">
      <c r="A3080" s="20">
        <v>-388756834</v>
      </c>
      <c r="B3080" s="20" t="s">
        <v>4007</v>
      </c>
    </row>
    <row r="3081" spans="1:2" x14ac:dyDescent="0.25">
      <c r="A3081" s="20">
        <v>-12149505</v>
      </c>
      <c r="B3081" s="20" t="s">
        <v>4007</v>
      </c>
    </row>
    <row r="3082" spans="1:2" x14ac:dyDescent="0.25">
      <c r="A3082" s="20" t="s">
        <v>4287</v>
      </c>
      <c r="B3082" s="20" t="s">
        <v>4007</v>
      </c>
    </row>
    <row r="3083" spans="1:2" x14ac:dyDescent="0.25">
      <c r="A3083" s="20" t="s">
        <v>4301</v>
      </c>
      <c r="B3083" s="20" t="s">
        <v>4007</v>
      </c>
    </row>
    <row r="3084" spans="1:2" x14ac:dyDescent="0.25">
      <c r="A3084" s="20" t="s">
        <v>4314</v>
      </c>
      <c r="B3084" s="20" t="s">
        <v>4007</v>
      </c>
    </row>
    <row r="3085" spans="1:2" x14ac:dyDescent="0.25">
      <c r="A3085" s="20" t="s">
        <v>4213</v>
      </c>
      <c r="B3085" s="20" t="s">
        <v>4007</v>
      </c>
    </row>
    <row r="3086" spans="1:2" x14ac:dyDescent="0.25">
      <c r="A3086" s="20" t="s">
        <v>4223</v>
      </c>
      <c r="B3086" s="20" t="s">
        <v>4007</v>
      </c>
    </row>
    <row r="3087" spans="1:2" x14ac:dyDescent="0.25">
      <c r="A3087" s="20" t="s">
        <v>4233</v>
      </c>
      <c r="B3087" s="20" t="s">
        <v>4007</v>
      </c>
    </row>
    <row r="3088" spans="1:2" x14ac:dyDescent="0.25">
      <c r="A3088" s="20" t="s">
        <v>4245</v>
      </c>
      <c r="B3088" s="20" t="s">
        <v>4007</v>
      </c>
    </row>
    <row r="3089" spans="1:2" x14ac:dyDescent="0.25">
      <c r="A3089" s="20" t="s">
        <v>4256</v>
      </c>
      <c r="B3089" s="20" t="s">
        <v>4007</v>
      </c>
    </row>
    <row r="3090" spans="1:2" x14ac:dyDescent="0.25">
      <c r="A3090" s="20">
        <v>-424824621</v>
      </c>
      <c r="B3090" s="20" t="s">
        <v>4007</v>
      </c>
    </row>
    <row r="3091" spans="1:2" x14ac:dyDescent="0.25">
      <c r="A3091" s="20">
        <v>-423956981</v>
      </c>
      <c r="B3091" s="20" t="s">
        <v>4007</v>
      </c>
    </row>
    <row r="3092" spans="1:2" x14ac:dyDescent="0.25">
      <c r="A3092" s="20" t="s">
        <v>4288</v>
      </c>
      <c r="B3092" s="20" t="s">
        <v>4007</v>
      </c>
    </row>
    <row r="3093" spans="1:2" x14ac:dyDescent="0.25">
      <c r="A3093" s="20" t="s">
        <v>4302</v>
      </c>
      <c r="B3093" s="20" t="s">
        <v>4007</v>
      </c>
    </row>
    <row r="3094" spans="1:2" x14ac:dyDescent="0.25">
      <c r="A3094" s="20" t="s">
        <v>4059</v>
      </c>
      <c r="B3094" s="20" t="s">
        <v>4007</v>
      </c>
    </row>
    <row r="3095" spans="1:2" x14ac:dyDescent="0.25">
      <c r="A3095" s="20">
        <v>196358978</v>
      </c>
      <c r="B3095" s="20" t="s">
        <v>4007</v>
      </c>
    </row>
    <row r="3096" spans="1:2" x14ac:dyDescent="0.25">
      <c r="A3096" s="20" t="s">
        <v>4080</v>
      </c>
      <c r="B3096" s="20" t="s">
        <v>4007</v>
      </c>
    </row>
    <row r="3097" spans="1:2" x14ac:dyDescent="0.25">
      <c r="A3097" s="20" t="s">
        <v>4096</v>
      </c>
      <c r="B3097" s="20" t="s">
        <v>4007</v>
      </c>
    </row>
    <row r="3098" spans="1:2" x14ac:dyDescent="0.25">
      <c r="A3098" s="20" t="s">
        <v>4111</v>
      </c>
      <c r="B3098" s="20" t="s">
        <v>4007</v>
      </c>
    </row>
    <row r="3099" spans="1:2" x14ac:dyDescent="0.25">
      <c r="A3099" s="20" t="s">
        <v>4124</v>
      </c>
      <c r="B3099" s="20" t="s">
        <v>4007</v>
      </c>
    </row>
    <row r="3100" spans="1:2" x14ac:dyDescent="0.25">
      <c r="A3100" s="20" t="s">
        <v>4134</v>
      </c>
      <c r="B3100" s="20" t="s">
        <v>4007</v>
      </c>
    </row>
    <row r="3101" spans="1:2" x14ac:dyDescent="0.25">
      <c r="A3101" s="20" t="s">
        <v>4141</v>
      </c>
      <c r="B3101" s="20" t="s">
        <v>4007</v>
      </c>
    </row>
    <row r="3102" spans="1:2" x14ac:dyDescent="0.25">
      <c r="A3102" s="20" t="s">
        <v>4153</v>
      </c>
      <c r="B3102" s="20" t="s">
        <v>4007</v>
      </c>
    </row>
    <row r="3103" spans="1:2" x14ac:dyDescent="0.25">
      <c r="A3103" s="20" t="s">
        <v>4167</v>
      </c>
      <c r="B3103" s="20" t="s">
        <v>4007</v>
      </c>
    </row>
    <row r="3104" spans="1:2" x14ac:dyDescent="0.25">
      <c r="A3104" s="20" t="s">
        <v>4186</v>
      </c>
      <c r="B3104" s="20" t="s">
        <v>4007</v>
      </c>
    </row>
    <row r="3105" spans="1:2" x14ac:dyDescent="0.25">
      <c r="A3105" s="20">
        <v>134558401</v>
      </c>
      <c r="B3105" s="20" t="s">
        <v>4007</v>
      </c>
    </row>
    <row r="3106" spans="1:2" x14ac:dyDescent="0.25">
      <c r="A3106" s="20">
        <v>134558400</v>
      </c>
      <c r="B3106" s="20" t="s">
        <v>4007</v>
      </c>
    </row>
    <row r="3107" spans="1:2" x14ac:dyDescent="0.25">
      <c r="A3107" s="20" t="s">
        <v>4040</v>
      </c>
      <c r="B3107" s="20" t="s">
        <v>4007</v>
      </c>
    </row>
    <row r="3108" spans="1:2" x14ac:dyDescent="0.25">
      <c r="A3108" s="20" t="s">
        <v>4049</v>
      </c>
      <c r="B3108" s="20" t="s">
        <v>4007</v>
      </c>
    </row>
    <row r="3109" spans="1:2" x14ac:dyDescent="0.25">
      <c r="A3109" s="20">
        <v>313260439</v>
      </c>
      <c r="B3109" s="20" t="s">
        <v>4007</v>
      </c>
    </row>
    <row r="3110" spans="1:2" x14ac:dyDescent="0.25">
      <c r="A3110" s="20">
        <v>424803249</v>
      </c>
      <c r="B3110" s="20" t="s">
        <v>4007</v>
      </c>
    </row>
    <row r="3111" spans="1:2" x14ac:dyDescent="0.25">
      <c r="A3111" s="20" t="s">
        <v>4081</v>
      </c>
      <c r="B3111" s="20" t="s">
        <v>4007</v>
      </c>
    </row>
    <row r="3112" spans="1:2" x14ac:dyDescent="0.25">
      <c r="A3112" s="20" t="s">
        <v>4097</v>
      </c>
      <c r="B3112" s="20" t="s">
        <v>4007</v>
      </c>
    </row>
    <row r="3113" spans="1:2" x14ac:dyDescent="0.25">
      <c r="A3113" s="20">
        <v>423972760</v>
      </c>
      <c r="B3113" s="20" t="s">
        <v>4007</v>
      </c>
    </row>
    <row r="3114" spans="1:2" x14ac:dyDescent="0.25">
      <c r="A3114" s="20" t="s">
        <v>4125</v>
      </c>
      <c r="B3114" s="20" t="s">
        <v>4007</v>
      </c>
    </row>
    <row r="3115" spans="1:2" x14ac:dyDescent="0.25">
      <c r="A3115" s="20" t="s">
        <v>4008</v>
      </c>
      <c r="B3115" s="20" t="s">
        <v>4008</v>
      </c>
    </row>
    <row r="3116" spans="1:2" x14ac:dyDescent="0.25">
      <c r="A3116" s="20" t="s">
        <v>4028</v>
      </c>
      <c r="B3116" s="20" t="s">
        <v>4008</v>
      </c>
    </row>
    <row r="3117" spans="1:2" x14ac:dyDescent="0.25">
      <c r="A3117" s="20">
        <v>-448887867</v>
      </c>
      <c r="B3117" s="20" t="s">
        <v>4008</v>
      </c>
    </row>
    <row r="3118" spans="1:2" x14ac:dyDescent="0.25">
      <c r="A3118" s="20">
        <v>-448887869</v>
      </c>
      <c r="B3118" s="20" t="s">
        <v>4008</v>
      </c>
    </row>
    <row r="3119" spans="1:2" x14ac:dyDescent="0.25">
      <c r="A3119" s="20">
        <v>-448887902</v>
      </c>
      <c r="B3119" s="20" t="s">
        <v>4008</v>
      </c>
    </row>
    <row r="3120" spans="1:2" x14ac:dyDescent="0.25">
      <c r="A3120" s="20">
        <v>-196358958</v>
      </c>
      <c r="B3120" s="20" t="s">
        <v>4008</v>
      </c>
    </row>
    <row r="3121" spans="1:2" x14ac:dyDescent="0.25">
      <c r="A3121" s="20" t="s">
        <v>4065</v>
      </c>
      <c r="B3121" s="20" t="s">
        <v>4008</v>
      </c>
    </row>
    <row r="3122" spans="1:2" x14ac:dyDescent="0.25">
      <c r="A3122" s="20" t="s">
        <v>4074</v>
      </c>
      <c r="B3122" s="20" t="s">
        <v>4008</v>
      </c>
    </row>
    <row r="3123" spans="1:2" x14ac:dyDescent="0.25">
      <c r="A3123" s="20" t="s">
        <v>4091</v>
      </c>
      <c r="B3123" s="20" t="s">
        <v>4008</v>
      </c>
    </row>
    <row r="3124" spans="1:2" x14ac:dyDescent="0.25">
      <c r="A3124" s="20" t="s">
        <v>4105</v>
      </c>
      <c r="B3124" s="20" t="s">
        <v>4008</v>
      </c>
    </row>
    <row r="3125" spans="1:2" x14ac:dyDescent="0.25">
      <c r="A3125" s="20" t="s">
        <v>4118</v>
      </c>
      <c r="B3125" s="20" t="s">
        <v>4008</v>
      </c>
    </row>
    <row r="3126" spans="1:2" x14ac:dyDescent="0.25">
      <c r="A3126" s="20" t="s">
        <v>4130</v>
      </c>
      <c r="B3126" s="20" t="s">
        <v>4008</v>
      </c>
    </row>
    <row r="3127" spans="1:2" x14ac:dyDescent="0.25">
      <c r="A3127" s="20" t="s">
        <v>4137</v>
      </c>
      <c r="B3127" s="20" t="s">
        <v>4008</v>
      </c>
    </row>
    <row r="3128" spans="1:2" x14ac:dyDescent="0.25">
      <c r="A3128" s="20" t="s">
        <v>4148</v>
      </c>
      <c r="B3128" s="20" t="s">
        <v>4008</v>
      </c>
    </row>
    <row r="3129" spans="1:2" x14ac:dyDescent="0.25">
      <c r="A3129" s="20" t="s">
        <v>4086</v>
      </c>
      <c r="B3129" s="20" t="s">
        <v>4008</v>
      </c>
    </row>
    <row r="3130" spans="1:2" x14ac:dyDescent="0.25">
      <c r="A3130" s="20" t="s">
        <v>4101</v>
      </c>
      <c r="B3130" s="20" t="s">
        <v>4008</v>
      </c>
    </row>
    <row r="3131" spans="1:2" x14ac:dyDescent="0.25">
      <c r="A3131" s="20" t="s">
        <v>4115</v>
      </c>
      <c r="B3131" s="20" t="s">
        <v>4008</v>
      </c>
    </row>
    <row r="3132" spans="1:2" x14ac:dyDescent="0.25">
      <c r="A3132" s="20" t="s">
        <v>4128</v>
      </c>
      <c r="B3132" s="20" t="s">
        <v>4008</v>
      </c>
    </row>
    <row r="3133" spans="1:2" x14ac:dyDescent="0.25">
      <c r="A3133" s="20" t="s">
        <v>4220</v>
      </c>
      <c r="B3133" s="20" t="s">
        <v>4008</v>
      </c>
    </row>
    <row r="3134" spans="1:2" x14ac:dyDescent="0.25">
      <c r="A3134" s="20">
        <v>196375622</v>
      </c>
      <c r="B3134" s="20" t="s">
        <v>4008</v>
      </c>
    </row>
    <row r="3135" spans="1:2" x14ac:dyDescent="0.25">
      <c r="A3135" s="20" t="s">
        <v>4238</v>
      </c>
      <c r="B3135" s="20" t="s">
        <v>4008</v>
      </c>
    </row>
    <row r="3136" spans="1:2" x14ac:dyDescent="0.25">
      <c r="A3136" s="20" t="s">
        <v>4250</v>
      </c>
      <c r="B3136" s="20" t="s">
        <v>4008</v>
      </c>
    </row>
    <row r="3137" spans="1:2" x14ac:dyDescent="0.25">
      <c r="A3137" s="20" t="s">
        <v>4259</v>
      </c>
      <c r="B3137" s="20" t="s">
        <v>4008</v>
      </c>
    </row>
    <row r="3138" spans="1:2" x14ac:dyDescent="0.25">
      <c r="A3138" s="20" t="s">
        <v>4267</v>
      </c>
      <c r="B3138" s="20" t="s">
        <v>4008</v>
      </c>
    </row>
    <row r="3139" spans="1:2" x14ac:dyDescent="0.25">
      <c r="A3139" s="20" t="s">
        <v>4279</v>
      </c>
      <c r="B3139" s="20" t="s">
        <v>4008</v>
      </c>
    </row>
    <row r="3140" spans="1:2" x14ac:dyDescent="0.25">
      <c r="A3140" s="20" t="s">
        <v>4296</v>
      </c>
      <c r="B3140" s="20" t="s">
        <v>4008</v>
      </c>
    </row>
    <row r="3141" spans="1:2" x14ac:dyDescent="0.25">
      <c r="A3141" s="20" t="s">
        <v>4308</v>
      </c>
      <c r="B3141" s="20" t="s">
        <v>4008</v>
      </c>
    </row>
    <row r="3142" spans="1:2" x14ac:dyDescent="0.25">
      <c r="A3142" s="20" t="s">
        <v>4320</v>
      </c>
      <c r="B3142" s="20" t="s">
        <v>4008</v>
      </c>
    </row>
    <row r="3143" spans="1:2" x14ac:dyDescent="0.25">
      <c r="A3143" s="20" t="s">
        <v>4332</v>
      </c>
      <c r="B3143" s="20" t="s">
        <v>4008</v>
      </c>
    </row>
    <row r="3144" spans="1:2" x14ac:dyDescent="0.25">
      <c r="A3144" s="20" t="s">
        <v>4342</v>
      </c>
      <c r="B3144" s="20" t="s">
        <v>4008</v>
      </c>
    </row>
    <row r="3145" spans="1:2" x14ac:dyDescent="0.25">
      <c r="A3145" s="20" t="s">
        <v>4352</v>
      </c>
      <c r="B3145" s="20" t="s">
        <v>4008</v>
      </c>
    </row>
    <row r="3146" spans="1:2" x14ac:dyDescent="0.25">
      <c r="A3146" s="20" t="s">
        <v>4362</v>
      </c>
      <c r="B3146" s="20" t="s">
        <v>4008</v>
      </c>
    </row>
    <row r="3147" spans="1:2" x14ac:dyDescent="0.25">
      <c r="A3147" s="20" t="s">
        <v>4369</v>
      </c>
      <c r="B3147" s="20" t="s">
        <v>4008</v>
      </c>
    </row>
    <row r="3148" spans="1:2" x14ac:dyDescent="0.25">
      <c r="A3148" s="20" t="s">
        <v>4375</v>
      </c>
      <c r="B3148" s="20" t="s">
        <v>4008</v>
      </c>
    </row>
    <row r="3149" spans="1:2" x14ac:dyDescent="0.25">
      <c r="A3149" s="20" t="s">
        <v>4384</v>
      </c>
      <c r="B3149" s="20" t="s">
        <v>4008</v>
      </c>
    </row>
    <row r="3150" spans="1:2" x14ac:dyDescent="0.25">
      <c r="A3150" s="20" t="s">
        <v>4391</v>
      </c>
      <c r="B3150" s="20" t="s">
        <v>4008</v>
      </c>
    </row>
    <row r="3151" spans="1:2" x14ac:dyDescent="0.25">
      <c r="A3151" s="20" t="s">
        <v>4173</v>
      </c>
      <c r="B3151" s="20" t="s">
        <v>4008</v>
      </c>
    </row>
    <row r="3152" spans="1:2" x14ac:dyDescent="0.25">
      <c r="A3152" s="20">
        <v>287131380</v>
      </c>
      <c r="B3152" s="20" t="s">
        <v>4008</v>
      </c>
    </row>
    <row r="3153" spans="1:2" x14ac:dyDescent="0.25">
      <c r="A3153" s="20" t="s">
        <v>4206</v>
      </c>
      <c r="B3153" s="20" t="s">
        <v>4008</v>
      </c>
    </row>
    <row r="3154" spans="1:2" x14ac:dyDescent="0.25">
      <c r="A3154" s="20" t="s">
        <v>4216</v>
      </c>
      <c r="B3154" s="20" t="s">
        <v>4008</v>
      </c>
    </row>
    <row r="3155" spans="1:2" x14ac:dyDescent="0.25">
      <c r="A3155" s="20">
        <v>424978643</v>
      </c>
      <c r="B3155" s="20" t="s">
        <v>4008</v>
      </c>
    </row>
    <row r="3156" spans="1:2" x14ac:dyDescent="0.25">
      <c r="A3156" s="20">
        <v>423967356</v>
      </c>
      <c r="B3156" s="20" t="s">
        <v>4008</v>
      </c>
    </row>
    <row r="3157" spans="1:2" x14ac:dyDescent="0.25">
      <c r="A3157" s="20" t="s">
        <v>4244</v>
      </c>
      <c r="B3157" s="20" t="s">
        <v>4008</v>
      </c>
    </row>
    <row r="3158" spans="1:2" x14ac:dyDescent="0.25">
      <c r="A3158" s="20" t="s">
        <v>4261</v>
      </c>
      <c r="B3158" s="20" t="s">
        <v>4008</v>
      </c>
    </row>
    <row r="3159" spans="1:2" x14ac:dyDescent="0.25">
      <c r="A3159" s="20">
        <v>423967352</v>
      </c>
      <c r="B3159" s="20" t="s">
        <v>4008</v>
      </c>
    </row>
    <row r="3160" spans="1:2" x14ac:dyDescent="0.25">
      <c r="A3160" s="20">
        <v>424978646</v>
      </c>
      <c r="B3160" s="20" t="s">
        <v>4008</v>
      </c>
    </row>
    <row r="3161" spans="1:2" x14ac:dyDescent="0.25">
      <c r="A3161" s="20" t="s">
        <v>4160</v>
      </c>
      <c r="B3161" s="20" t="s">
        <v>4008</v>
      </c>
    </row>
    <row r="3162" spans="1:2" x14ac:dyDescent="0.25">
      <c r="A3162" s="20" t="s">
        <v>4179</v>
      </c>
      <c r="B3162" s="20" t="s">
        <v>4008</v>
      </c>
    </row>
    <row r="3163" spans="1:2" x14ac:dyDescent="0.25">
      <c r="A3163" s="20" t="s">
        <v>4196</v>
      </c>
      <c r="B3163" s="20" t="s">
        <v>4008</v>
      </c>
    </row>
    <row r="3164" spans="1:2" x14ac:dyDescent="0.25">
      <c r="A3164" s="20" t="s">
        <v>4467</v>
      </c>
      <c r="B3164" s="20" t="s">
        <v>4008</v>
      </c>
    </row>
    <row r="3165" spans="1:2" x14ac:dyDescent="0.25">
      <c r="A3165" s="20" t="s">
        <v>4219</v>
      </c>
      <c r="B3165" s="20" t="s">
        <v>4008</v>
      </c>
    </row>
    <row r="3166" spans="1:2" x14ac:dyDescent="0.25">
      <c r="A3166" s="20" t="s">
        <v>4391</v>
      </c>
      <c r="B3166" s="20" t="s">
        <v>4008</v>
      </c>
    </row>
    <row r="3167" spans="1:2" x14ac:dyDescent="0.25">
      <c r="A3167" s="20" t="s">
        <v>4214</v>
      </c>
      <c r="B3167" s="20" t="s">
        <v>4008</v>
      </c>
    </row>
    <row r="3168" spans="1:2" x14ac:dyDescent="0.25">
      <c r="A3168" s="20">
        <v>-423967354</v>
      </c>
      <c r="B3168" s="20" t="s">
        <v>4008</v>
      </c>
    </row>
    <row r="3169" spans="1:2" x14ac:dyDescent="0.25">
      <c r="A3169" s="20">
        <v>-423967355</v>
      </c>
      <c r="B3169" s="20" t="s">
        <v>4008</v>
      </c>
    </row>
    <row r="3170" spans="1:2" x14ac:dyDescent="0.25">
      <c r="A3170" s="20" t="s">
        <v>4191</v>
      </c>
      <c r="B3170" s="20" t="s">
        <v>4008</v>
      </c>
    </row>
    <row r="3171" spans="1:2" x14ac:dyDescent="0.25">
      <c r="A3171" s="20" t="s">
        <v>4294</v>
      </c>
      <c r="B3171" s="20" t="s">
        <v>4008</v>
      </c>
    </row>
    <row r="3172" spans="1:2" x14ac:dyDescent="0.25">
      <c r="A3172" s="20" t="s">
        <v>4231</v>
      </c>
      <c r="B3172" s="20" t="s">
        <v>4008</v>
      </c>
    </row>
    <row r="3173" spans="1:2" x14ac:dyDescent="0.25">
      <c r="A3173" s="20" t="s">
        <v>4242</v>
      </c>
      <c r="B3173" s="20" t="s">
        <v>4008</v>
      </c>
    </row>
    <row r="3174" spans="1:2" x14ac:dyDescent="0.25">
      <c r="A3174" s="20">
        <v>12149505</v>
      </c>
      <c r="B3174" s="20" t="s">
        <v>4008</v>
      </c>
    </row>
    <row r="3175" spans="1:2" x14ac:dyDescent="0.25">
      <c r="A3175" s="20">
        <v>-12123541</v>
      </c>
      <c r="B3175" s="20" t="s">
        <v>4008</v>
      </c>
    </row>
    <row r="3176" spans="1:2" x14ac:dyDescent="0.25">
      <c r="A3176" s="20" t="s">
        <v>4263</v>
      </c>
      <c r="B3176" s="20" t="s">
        <v>4008</v>
      </c>
    </row>
    <row r="3177" spans="1:2" x14ac:dyDescent="0.25">
      <c r="A3177" s="20" t="s">
        <v>4351</v>
      </c>
      <c r="B3177" s="20" t="s">
        <v>4008</v>
      </c>
    </row>
    <row r="3178" spans="1:2" x14ac:dyDescent="0.25">
      <c r="A3178" s="20" t="s">
        <v>4360</v>
      </c>
      <c r="B3178" s="20" t="s">
        <v>4008</v>
      </c>
    </row>
    <row r="3179" spans="1:2" x14ac:dyDescent="0.25">
      <c r="A3179" s="20" t="s">
        <v>4368</v>
      </c>
      <c r="B3179" s="20" t="s">
        <v>4008</v>
      </c>
    </row>
    <row r="3180" spans="1:2" x14ac:dyDescent="0.25">
      <c r="A3180" s="20" t="s">
        <v>4374</v>
      </c>
      <c r="B3180" s="20" t="s">
        <v>4008</v>
      </c>
    </row>
    <row r="3181" spans="1:2" x14ac:dyDescent="0.25">
      <c r="A3181" s="20" t="s">
        <v>4382</v>
      </c>
      <c r="B3181" s="20" t="s">
        <v>4008</v>
      </c>
    </row>
    <row r="3182" spans="1:2" x14ac:dyDescent="0.25">
      <c r="A3182" s="20" t="s">
        <v>4390</v>
      </c>
      <c r="B3182" s="20" t="s">
        <v>4008</v>
      </c>
    </row>
    <row r="3183" spans="1:2" x14ac:dyDescent="0.25">
      <c r="A3183" s="20" t="s">
        <v>4397</v>
      </c>
      <c r="B3183" s="20" t="s">
        <v>4008</v>
      </c>
    </row>
    <row r="3184" spans="1:2" x14ac:dyDescent="0.25">
      <c r="A3184" s="20" t="s">
        <v>4404</v>
      </c>
      <c r="B3184" s="20" t="s">
        <v>4008</v>
      </c>
    </row>
    <row r="3185" spans="1:2" x14ac:dyDescent="0.25">
      <c r="A3185" s="20" t="s">
        <v>4340</v>
      </c>
      <c r="B3185" s="20" t="s">
        <v>4008</v>
      </c>
    </row>
    <row r="3186" spans="1:2" x14ac:dyDescent="0.25">
      <c r="A3186" s="20" t="s">
        <v>4350</v>
      </c>
      <c r="B3186" s="20" t="s">
        <v>4008</v>
      </c>
    </row>
    <row r="3187" spans="1:2" x14ac:dyDescent="0.25">
      <c r="A3187" s="20" t="s">
        <v>4359</v>
      </c>
      <c r="B3187" s="20" t="s">
        <v>4008</v>
      </c>
    </row>
    <row r="3188" spans="1:2" x14ac:dyDescent="0.25">
      <c r="A3188" s="20" t="s">
        <v>4424</v>
      </c>
      <c r="B3188" s="20" t="s">
        <v>4008</v>
      </c>
    </row>
    <row r="3189" spans="1:2" x14ac:dyDescent="0.25">
      <c r="A3189" s="20" t="s">
        <v>4430</v>
      </c>
      <c r="B3189" s="20" t="s">
        <v>4008</v>
      </c>
    </row>
    <row r="3190" spans="1:2" x14ac:dyDescent="0.25">
      <c r="A3190" s="20" t="s">
        <v>4435</v>
      </c>
      <c r="B3190" s="20" t="s">
        <v>4008</v>
      </c>
    </row>
    <row r="3191" spans="1:2" x14ac:dyDescent="0.25">
      <c r="A3191" s="20" t="s">
        <v>4440</v>
      </c>
      <c r="B3191" s="20" t="s">
        <v>4008</v>
      </c>
    </row>
    <row r="3192" spans="1:2" x14ac:dyDescent="0.25">
      <c r="A3192" s="20" t="s">
        <v>4445</v>
      </c>
      <c r="B3192" s="20" t="s">
        <v>4008</v>
      </c>
    </row>
    <row r="3193" spans="1:2" x14ac:dyDescent="0.25">
      <c r="A3193" s="20" t="s">
        <v>4451</v>
      </c>
      <c r="B3193" s="20" t="s">
        <v>4008</v>
      </c>
    </row>
    <row r="3194" spans="1:2" x14ac:dyDescent="0.25">
      <c r="A3194" s="20" t="s">
        <v>4456</v>
      </c>
      <c r="B3194" s="20" t="s">
        <v>4008</v>
      </c>
    </row>
    <row r="3195" spans="1:2" x14ac:dyDescent="0.25">
      <c r="A3195" s="20" t="s">
        <v>4461</v>
      </c>
      <c r="B3195" s="20" t="s">
        <v>4008</v>
      </c>
    </row>
    <row r="3196" spans="1:2" x14ac:dyDescent="0.25">
      <c r="A3196" s="20" t="s">
        <v>4465</v>
      </c>
      <c r="B3196" s="20" t="s">
        <v>4008</v>
      </c>
    </row>
    <row r="3197" spans="1:2" x14ac:dyDescent="0.25">
      <c r="A3197" s="20" t="s">
        <v>4470</v>
      </c>
      <c r="B3197" s="20" t="s">
        <v>4008</v>
      </c>
    </row>
    <row r="3198" spans="1:2" x14ac:dyDescent="0.25">
      <c r="A3198" s="20" t="s">
        <v>4474</v>
      </c>
      <c r="B3198" s="20" t="s">
        <v>4008</v>
      </c>
    </row>
    <row r="3199" spans="1:2" x14ac:dyDescent="0.25">
      <c r="A3199" s="20" t="s">
        <v>4469</v>
      </c>
      <c r="B3199" s="20" t="s">
        <v>4008</v>
      </c>
    </row>
    <row r="3200" spans="1:2" x14ac:dyDescent="0.25">
      <c r="A3200" s="20" t="s">
        <v>4473</v>
      </c>
      <c r="B3200" s="20" t="s">
        <v>4008</v>
      </c>
    </row>
    <row r="3201" spans="1:2" x14ac:dyDescent="0.25">
      <c r="A3201" s="20" t="s">
        <v>4477</v>
      </c>
      <c r="B3201" s="20" t="s">
        <v>4008</v>
      </c>
    </row>
    <row r="3202" spans="1:2" x14ac:dyDescent="0.25">
      <c r="A3202" s="20" t="s">
        <v>4481</v>
      </c>
      <c r="B3202" s="20" t="s">
        <v>4008</v>
      </c>
    </row>
    <row r="3203" spans="1:2" x14ac:dyDescent="0.25">
      <c r="A3203" s="20" t="s">
        <v>4458</v>
      </c>
      <c r="B3203" s="20" t="s">
        <v>4008</v>
      </c>
    </row>
    <row r="3204" spans="1:2" x14ac:dyDescent="0.25">
      <c r="A3204" s="20" t="s">
        <v>4486</v>
      </c>
      <c r="B3204" s="20" t="s">
        <v>4008</v>
      </c>
    </row>
    <row r="3205" spans="1:2" x14ac:dyDescent="0.25">
      <c r="A3205" s="20" t="s">
        <v>4427</v>
      </c>
      <c r="B3205" s="20" t="s">
        <v>4008</v>
      </c>
    </row>
    <row r="3206" spans="1:2" x14ac:dyDescent="0.25">
      <c r="A3206" s="20" t="s">
        <v>4433</v>
      </c>
      <c r="B3206" s="20" t="s">
        <v>4008</v>
      </c>
    </row>
    <row r="3207" spans="1:2" x14ac:dyDescent="0.25">
      <c r="A3207" s="20" t="s">
        <v>4437</v>
      </c>
      <c r="B3207" s="20" t="s">
        <v>4008</v>
      </c>
    </row>
    <row r="3208" spans="1:2" x14ac:dyDescent="0.25">
      <c r="A3208" s="20" t="s">
        <v>4443</v>
      </c>
      <c r="B3208" s="20" t="s">
        <v>4008</v>
      </c>
    </row>
    <row r="3209" spans="1:2" x14ac:dyDescent="0.25">
      <c r="A3209" s="20" t="s">
        <v>4448</v>
      </c>
      <c r="B3209" s="20" t="s">
        <v>4008</v>
      </c>
    </row>
    <row r="3210" spans="1:2" x14ac:dyDescent="0.25">
      <c r="A3210" s="20" t="s">
        <v>4453</v>
      </c>
      <c r="B3210" s="20" t="s">
        <v>4008</v>
      </c>
    </row>
    <row r="3211" spans="1:2" x14ac:dyDescent="0.25">
      <c r="A3211" s="20">
        <v>448845180</v>
      </c>
      <c r="B3211" s="20" t="s">
        <v>4008</v>
      </c>
    </row>
    <row r="3212" spans="1:2" x14ac:dyDescent="0.25">
      <c r="A3212" s="20" t="s">
        <v>4463</v>
      </c>
      <c r="B3212" s="20" t="s">
        <v>4008</v>
      </c>
    </row>
    <row r="3213" spans="1:2" x14ac:dyDescent="0.25">
      <c r="A3213" s="20" t="s">
        <v>4468</v>
      </c>
      <c r="B3213" s="20" t="s">
        <v>4008</v>
      </c>
    </row>
    <row r="3214" spans="1:2" x14ac:dyDescent="0.25">
      <c r="A3214" s="20">
        <v>423966001</v>
      </c>
      <c r="B3214" s="20" t="s">
        <v>4008</v>
      </c>
    </row>
    <row r="3215" spans="1:2" x14ac:dyDescent="0.25">
      <c r="A3215" s="20" t="s">
        <v>4476</v>
      </c>
      <c r="B3215" s="20" t="s">
        <v>4008</v>
      </c>
    </row>
    <row r="3216" spans="1:2" x14ac:dyDescent="0.25">
      <c r="A3216" s="20" t="s">
        <v>4480</v>
      </c>
      <c r="B3216" s="20" t="s">
        <v>4008</v>
      </c>
    </row>
    <row r="3217" spans="1:2" x14ac:dyDescent="0.25">
      <c r="A3217" s="20" t="s">
        <v>4484</v>
      </c>
      <c r="B3217" s="20" t="s">
        <v>4008</v>
      </c>
    </row>
    <row r="3218" spans="1:2" x14ac:dyDescent="0.25">
      <c r="A3218" s="20">
        <v>-12372809</v>
      </c>
      <c r="B3218" s="20" t="s">
        <v>4008</v>
      </c>
    </row>
    <row r="3219" spans="1:2" x14ac:dyDescent="0.25">
      <c r="A3219" s="20" t="s">
        <v>4488</v>
      </c>
      <c r="B3219" s="20" t="s">
        <v>4008</v>
      </c>
    </row>
    <row r="3220" spans="1:2" x14ac:dyDescent="0.25">
      <c r="A3220" s="20">
        <v>42705779</v>
      </c>
      <c r="B3220" s="20" t="s">
        <v>4008</v>
      </c>
    </row>
    <row r="3221" spans="1:2" x14ac:dyDescent="0.25">
      <c r="A3221" s="20">
        <v>448887900</v>
      </c>
      <c r="B3221" s="20" t="s">
        <v>4008</v>
      </c>
    </row>
    <row r="3222" spans="1:2" x14ac:dyDescent="0.25">
      <c r="A3222" s="20" t="s">
        <v>4494</v>
      </c>
      <c r="B3222" s="20" t="s">
        <v>4008</v>
      </c>
    </row>
    <row r="3223" spans="1:2" x14ac:dyDescent="0.25">
      <c r="A3223" s="20">
        <v>448887889</v>
      </c>
      <c r="B3223" s="20" t="s">
        <v>4008</v>
      </c>
    </row>
    <row r="3224" spans="1:2" x14ac:dyDescent="0.25">
      <c r="A3224" s="20">
        <v>448887879</v>
      </c>
      <c r="B3224" s="20" t="s">
        <v>4008</v>
      </c>
    </row>
    <row r="3225" spans="1:2" x14ac:dyDescent="0.25">
      <c r="A3225" s="20">
        <v>448887886</v>
      </c>
      <c r="B3225" s="20" t="s">
        <v>4008</v>
      </c>
    </row>
    <row r="3226" spans="1:2" x14ac:dyDescent="0.25">
      <c r="A3226" s="20" t="s">
        <v>4499</v>
      </c>
      <c r="B3226" s="20" t="s">
        <v>4008</v>
      </c>
    </row>
    <row r="3227" spans="1:2" x14ac:dyDescent="0.25">
      <c r="A3227" s="20">
        <v>180698012</v>
      </c>
      <c r="B3227" s="20" t="s">
        <v>4008</v>
      </c>
    </row>
    <row r="3228" spans="1:2" x14ac:dyDescent="0.25">
      <c r="A3228" s="20" t="s">
        <v>4502</v>
      </c>
      <c r="B3228" s="20" t="s">
        <v>4008</v>
      </c>
    </row>
    <row r="3229" spans="1:2" x14ac:dyDescent="0.25">
      <c r="A3229" s="20">
        <v>448887923</v>
      </c>
      <c r="B3229" s="20" t="s">
        <v>4008</v>
      </c>
    </row>
    <row r="3230" spans="1:2" x14ac:dyDescent="0.25">
      <c r="A3230" s="20">
        <v>12148393</v>
      </c>
      <c r="B3230" s="20" t="s">
        <v>4008</v>
      </c>
    </row>
    <row r="3231" spans="1:2" x14ac:dyDescent="0.25">
      <c r="A3231" s="20" t="s">
        <v>4506</v>
      </c>
      <c r="B3231" s="20" t="s">
        <v>4008</v>
      </c>
    </row>
    <row r="3232" spans="1:2" x14ac:dyDescent="0.25">
      <c r="A3232" s="20" t="s">
        <v>4508</v>
      </c>
      <c r="B3232" s="20" t="s">
        <v>4008</v>
      </c>
    </row>
    <row r="3233" spans="1:2" x14ac:dyDescent="0.25">
      <c r="A3233" s="20" t="s">
        <v>4511</v>
      </c>
      <c r="B3233" s="20" t="s">
        <v>4008</v>
      </c>
    </row>
    <row r="3234" spans="1:2" x14ac:dyDescent="0.25">
      <c r="A3234" s="20" t="s">
        <v>4515</v>
      </c>
      <c r="B3234" s="20" t="s">
        <v>4008</v>
      </c>
    </row>
    <row r="3235" spans="1:2" x14ac:dyDescent="0.25">
      <c r="A3235" s="20" t="s">
        <v>4550</v>
      </c>
      <c r="B3235" s="20" t="s">
        <v>4008</v>
      </c>
    </row>
    <row r="3236" spans="1:2" x14ac:dyDescent="0.25">
      <c r="A3236" s="20" t="s">
        <v>4105</v>
      </c>
      <c r="B3236" s="20" t="s">
        <v>4008</v>
      </c>
    </row>
    <row r="3237" spans="1:2" x14ac:dyDescent="0.25">
      <c r="A3237" s="20" t="s">
        <v>4118</v>
      </c>
      <c r="B3237" s="20" t="s">
        <v>4008</v>
      </c>
    </row>
    <row r="3238" spans="1:2" x14ac:dyDescent="0.25">
      <c r="A3238" s="20" t="s">
        <v>4527</v>
      </c>
      <c r="B3238" s="20" t="s">
        <v>4008</v>
      </c>
    </row>
    <row r="3239" spans="1:2" x14ac:dyDescent="0.25">
      <c r="A3239" s="20">
        <v>486653623</v>
      </c>
      <c r="B3239" s="20" t="s">
        <v>4008</v>
      </c>
    </row>
    <row r="3240" spans="1:2" x14ac:dyDescent="0.25">
      <c r="A3240" s="20">
        <v>287178713</v>
      </c>
      <c r="B3240" s="20" t="s">
        <v>4008</v>
      </c>
    </row>
    <row r="3241" spans="1:2" x14ac:dyDescent="0.25">
      <c r="A3241" s="20" t="s">
        <v>4534</v>
      </c>
      <c r="B3241" s="20" t="s">
        <v>4008</v>
      </c>
    </row>
    <row r="3242" spans="1:2" x14ac:dyDescent="0.25">
      <c r="A3242" s="20" t="s">
        <v>4537</v>
      </c>
      <c r="B3242" s="20" t="s">
        <v>4008</v>
      </c>
    </row>
    <row r="3243" spans="1:2" x14ac:dyDescent="0.25">
      <c r="A3243" s="20">
        <v>-287178713</v>
      </c>
      <c r="B3243" s="20" t="s">
        <v>4008</v>
      </c>
    </row>
    <row r="3244" spans="1:2" x14ac:dyDescent="0.25">
      <c r="A3244" s="20">
        <v>-486653623</v>
      </c>
      <c r="B3244" s="20" t="s">
        <v>4008</v>
      </c>
    </row>
    <row r="3245" spans="1:2" x14ac:dyDescent="0.25">
      <c r="A3245" s="20" t="s">
        <v>4361</v>
      </c>
      <c r="B3245" s="20" t="s">
        <v>4008</v>
      </c>
    </row>
    <row r="3246" spans="1:2" x14ac:dyDescent="0.25">
      <c r="A3246" s="20" t="s">
        <v>4130</v>
      </c>
      <c r="B3246" s="20" t="s">
        <v>4008</v>
      </c>
    </row>
    <row r="3247" spans="1:2" x14ac:dyDescent="0.25">
      <c r="A3247" s="20" t="s">
        <v>4137</v>
      </c>
      <c r="B3247" s="20" t="s">
        <v>4008</v>
      </c>
    </row>
    <row r="3248" spans="1:2" x14ac:dyDescent="0.25">
      <c r="A3248" s="20" t="s">
        <v>4383</v>
      </c>
      <c r="B3248" s="20" t="s">
        <v>4008</v>
      </c>
    </row>
    <row r="3249" spans="1:2" x14ac:dyDescent="0.25">
      <c r="A3249" s="20" t="s">
        <v>4054</v>
      </c>
      <c r="B3249" s="20" t="s">
        <v>4008</v>
      </c>
    </row>
    <row r="3250" spans="1:2" x14ac:dyDescent="0.25">
      <c r="A3250" s="20" t="s">
        <v>4064</v>
      </c>
      <c r="B3250" s="20" t="s">
        <v>4008</v>
      </c>
    </row>
    <row r="3251" spans="1:2" x14ac:dyDescent="0.25">
      <c r="A3251" s="20" t="s">
        <v>4071</v>
      </c>
      <c r="B3251" s="20" t="s">
        <v>4008</v>
      </c>
    </row>
    <row r="3252" spans="1:2" x14ac:dyDescent="0.25">
      <c r="A3252" s="20" t="s">
        <v>4086</v>
      </c>
      <c r="B3252" s="20" t="s">
        <v>4008</v>
      </c>
    </row>
    <row r="3253" spans="1:2" x14ac:dyDescent="0.25">
      <c r="A3253" s="20" t="s">
        <v>4101</v>
      </c>
      <c r="B3253" s="20" t="s">
        <v>4008</v>
      </c>
    </row>
    <row r="3254" spans="1:2" x14ac:dyDescent="0.25">
      <c r="A3254" s="20" t="s">
        <v>4115</v>
      </c>
      <c r="B3254" s="20" t="s">
        <v>4008</v>
      </c>
    </row>
    <row r="3255" spans="1:2" x14ac:dyDescent="0.25">
      <c r="A3255" s="20" t="s">
        <v>4128</v>
      </c>
      <c r="B3255" s="20" t="s">
        <v>4008</v>
      </c>
    </row>
    <row r="3256" spans="1:2" x14ac:dyDescent="0.25">
      <c r="A3256" s="20" t="s">
        <v>4229</v>
      </c>
      <c r="B3256" s="20" t="s">
        <v>4008</v>
      </c>
    </row>
    <row r="3257" spans="1:2" x14ac:dyDescent="0.25">
      <c r="A3257" s="20">
        <v>-196375622</v>
      </c>
      <c r="B3257" s="20" t="s">
        <v>4008</v>
      </c>
    </row>
    <row r="3258" spans="1:2" x14ac:dyDescent="0.25">
      <c r="A3258" s="20" t="s">
        <v>4441</v>
      </c>
      <c r="B3258" s="20" t="s">
        <v>4008</v>
      </c>
    </row>
    <row r="3259" spans="1:2" x14ac:dyDescent="0.25">
      <c r="A3259" s="20" t="s">
        <v>4446</v>
      </c>
      <c r="B3259" s="20" t="s">
        <v>4008</v>
      </c>
    </row>
    <row r="3260" spans="1:2" x14ac:dyDescent="0.25">
      <c r="A3260" s="20" t="s">
        <v>4452</v>
      </c>
      <c r="B3260" s="20" t="s">
        <v>4008</v>
      </c>
    </row>
    <row r="3261" spans="1:2" x14ac:dyDescent="0.25">
      <c r="A3261" s="20" t="s">
        <v>4457</v>
      </c>
      <c r="B3261" s="20" t="s">
        <v>4008</v>
      </c>
    </row>
    <row r="3262" spans="1:2" x14ac:dyDescent="0.25">
      <c r="A3262" s="20" t="s">
        <v>4462</v>
      </c>
      <c r="B3262" s="20" t="s">
        <v>4008</v>
      </c>
    </row>
    <row r="3263" spans="1:2" x14ac:dyDescent="0.25">
      <c r="A3263" s="20" t="s">
        <v>4466</v>
      </c>
      <c r="B3263" s="20" t="s">
        <v>4008</v>
      </c>
    </row>
    <row r="3264" spans="1:2" x14ac:dyDescent="0.25">
      <c r="A3264" s="20" t="s">
        <v>4471</v>
      </c>
      <c r="B3264" s="20" t="s">
        <v>4008</v>
      </c>
    </row>
    <row r="3265" spans="1:2" x14ac:dyDescent="0.25">
      <c r="A3265" s="20" t="s">
        <v>4475</v>
      </c>
      <c r="B3265" s="20" t="s">
        <v>4008</v>
      </c>
    </row>
    <row r="3266" spans="1:2" x14ac:dyDescent="0.25">
      <c r="A3266" s="20" t="s">
        <v>4478</v>
      </c>
      <c r="B3266" s="20" t="s">
        <v>4008</v>
      </c>
    </row>
    <row r="3267" spans="1:2" x14ac:dyDescent="0.25">
      <c r="A3267" s="20" t="s">
        <v>4482</v>
      </c>
      <c r="B3267" s="20" t="s">
        <v>4008</v>
      </c>
    </row>
    <row r="3268" spans="1:2" x14ac:dyDescent="0.25">
      <c r="A3268" s="20" t="s">
        <v>4472</v>
      </c>
      <c r="B3268" s="20" t="s">
        <v>4008</v>
      </c>
    </row>
    <row r="3269" spans="1:2" x14ac:dyDescent="0.25">
      <c r="A3269" s="20" t="s">
        <v>4487</v>
      </c>
      <c r="B3269" s="20" t="s">
        <v>4008</v>
      </c>
    </row>
    <row r="3270" spans="1:2" x14ac:dyDescent="0.25">
      <c r="A3270" s="20" t="s">
        <v>4489</v>
      </c>
      <c r="B3270" s="20" t="s">
        <v>4008</v>
      </c>
    </row>
    <row r="3271" spans="1:2" x14ac:dyDescent="0.25">
      <c r="A3271" s="20">
        <v>12166594</v>
      </c>
      <c r="B3271" s="20" t="s">
        <v>4008</v>
      </c>
    </row>
    <row r="3272" spans="1:2" x14ac:dyDescent="0.25">
      <c r="A3272" s="20" t="s">
        <v>4492</v>
      </c>
      <c r="B3272" s="20" t="s">
        <v>4008</v>
      </c>
    </row>
    <row r="3273" spans="1:2" x14ac:dyDescent="0.25">
      <c r="A3273" s="20" t="s">
        <v>4495</v>
      </c>
      <c r="B3273" s="20" t="s">
        <v>4008</v>
      </c>
    </row>
    <row r="3274" spans="1:2" x14ac:dyDescent="0.25">
      <c r="A3274" s="20" t="s">
        <v>4496</v>
      </c>
      <c r="B3274" s="20" t="s">
        <v>4008</v>
      </c>
    </row>
    <row r="3275" spans="1:2" x14ac:dyDescent="0.25">
      <c r="A3275" s="20" t="s">
        <v>4497</v>
      </c>
      <c r="B3275" s="20" t="s">
        <v>4008</v>
      </c>
    </row>
    <row r="3276" spans="1:2" x14ac:dyDescent="0.25">
      <c r="A3276" s="20" t="s">
        <v>4498</v>
      </c>
      <c r="B3276" s="20" t="s">
        <v>4008</v>
      </c>
    </row>
    <row r="3277" spans="1:2" x14ac:dyDescent="0.25">
      <c r="A3277" s="20" t="s">
        <v>4500</v>
      </c>
      <c r="B3277" s="20" t="s">
        <v>4008</v>
      </c>
    </row>
    <row r="3278" spans="1:2" x14ac:dyDescent="0.25">
      <c r="A3278" s="20" t="s">
        <v>4501</v>
      </c>
      <c r="B3278" s="20" t="s">
        <v>4008</v>
      </c>
    </row>
    <row r="3279" spans="1:2" x14ac:dyDescent="0.25">
      <c r="A3279" s="20" t="s">
        <v>4503</v>
      </c>
      <c r="B3279" s="20" t="s">
        <v>4008</v>
      </c>
    </row>
    <row r="3280" spans="1:2" x14ac:dyDescent="0.25">
      <c r="A3280" s="20" t="s">
        <v>4504</v>
      </c>
      <c r="B3280" s="20" t="s">
        <v>4008</v>
      </c>
    </row>
    <row r="3281" spans="1:2" x14ac:dyDescent="0.25">
      <c r="A3281" s="20" t="s">
        <v>4505</v>
      </c>
      <c r="B3281" s="20" t="s">
        <v>4008</v>
      </c>
    </row>
    <row r="3282" spans="1:2" x14ac:dyDescent="0.25">
      <c r="A3282" s="20" t="s">
        <v>4507</v>
      </c>
      <c r="B3282" s="20" t="s">
        <v>4008</v>
      </c>
    </row>
    <row r="3283" spans="1:2" x14ac:dyDescent="0.25">
      <c r="A3283" s="20" t="s">
        <v>4509</v>
      </c>
      <c r="B3283" s="20" t="s">
        <v>4008</v>
      </c>
    </row>
    <row r="3284" spans="1:2" x14ac:dyDescent="0.25">
      <c r="A3284" s="20" t="s">
        <v>4512</v>
      </c>
      <c r="B3284" s="20" t="s">
        <v>4008</v>
      </c>
    </row>
    <row r="3285" spans="1:2" x14ac:dyDescent="0.25">
      <c r="A3285" s="20" t="s">
        <v>4516</v>
      </c>
      <c r="B3285" s="20" t="s">
        <v>4008</v>
      </c>
    </row>
    <row r="3286" spans="1:2" x14ac:dyDescent="0.25">
      <c r="A3286" s="20" t="s">
        <v>4518</v>
      </c>
      <c r="B3286" s="20" t="s">
        <v>4008</v>
      </c>
    </row>
    <row r="3287" spans="1:2" x14ac:dyDescent="0.25">
      <c r="A3287" s="20" t="s">
        <v>4521</v>
      </c>
      <c r="B3287" s="20" t="s">
        <v>4008</v>
      </c>
    </row>
    <row r="3288" spans="1:2" x14ac:dyDescent="0.25">
      <c r="A3288" s="20" t="s">
        <v>4525</v>
      </c>
      <c r="B3288" s="20" t="s">
        <v>4008</v>
      </c>
    </row>
    <row r="3289" spans="1:2" x14ac:dyDescent="0.25">
      <c r="A3289" s="20" t="s">
        <v>4526</v>
      </c>
      <c r="B3289" s="20" t="s">
        <v>4008</v>
      </c>
    </row>
    <row r="3290" spans="1:2" x14ac:dyDescent="0.25">
      <c r="A3290" s="20" t="s">
        <v>4528</v>
      </c>
      <c r="B3290" s="20" t="s">
        <v>4008</v>
      </c>
    </row>
    <row r="3291" spans="1:2" x14ac:dyDescent="0.25">
      <c r="A3291" s="20" t="s">
        <v>4530</v>
      </c>
      <c r="B3291" s="20" t="s">
        <v>4008</v>
      </c>
    </row>
    <row r="3292" spans="1:2" x14ac:dyDescent="0.25">
      <c r="A3292" s="20" t="s">
        <v>4532</v>
      </c>
      <c r="B3292" s="20" t="s">
        <v>4008</v>
      </c>
    </row>
    <row r="3293" spans="1:2" x14ac:dyDescent="0.25">
      <c r="A3293" s="20" t="s">
        <v>4535</v>
      </c>
      <c r="B3293" s="20" t="s">
        <v>4008</v>
      </c>
    </row>
    <row r="3294" spans="1:2" x14ac:dyDescent="0.25">
      <c r="A3294" s="20" t="s">
        <v>4538</v>
      </c>
      <c r="B3294" s="20" t="s">
        <v>4008</v>
      </c>
    </row>
    <row r="3295" spans="1:2" x14ac:dyDescent="0.25">
      <c r="A3295" s="20" t="s">
        <v>4540</v>
      </c>
      <c r="B3295" s="20" t="s">
        <v>4008</v>
      </c>
    </row>
    <row r="3296" spans="1:2" x14ac:dyDescent="0.25">
      <c r="A3296" s="20" t="s">
        <v>4542</v>
      </c>
      <c r="B3296" s="20" t="s">
        <v>4008</v>
      </c>
    </row>
    <row r="3297" spans="1:2" x14ac:dyDescent="0.25">
      <c r="A3297" s="20" t="s">
        <v>4544</v>
      </c>
      <c r="B3297" s="20" t="s">
        <v>4008</v>
      </c>
    </row>
    <row r="3298" spans="1:2" x14ac:dyDescent="0.25">
      <c r="A3298" s="20">
        <v>134563759</v>
      </c>
      <c r="B3298" s="20" t="s">
        <v>4008</v>
      </c>
    </row>
    <row r="3299" spans="1:2" x14ac:dyDescent="0.25">
      <c r="A3299" s="20" t="s">
        <v>4545</v>
      </c>
      <c r="B3299" s="20" t="s">
        <v>4008</v>
      </c>
    </row>
    <row r="3300" spans="1:2" x14ac:dyDescent="0.25">
      <c r="A3300" s="20" t="s">
        <v>4547</v>
      </c>
      <c r="B3300" s="20" t="s">
        <v>4008</v>
      </c>
    </row>
    <row r="3301" spans="1:2" x14ac:dyDescent="0.25">
      <c r="A3301" s="20" t="s">
        <v>4548</v>
      </c>
      <c r="B3301" s="20" t="s">
        <v>4008</v>
      </c>
    </row>
    <row r="3302" spans="1:2" x14ac:dyDescent="0.25">
      <c r="A3302" s="20" t="s">
        <v>4551</v>
      </c>
      <c r="B3302" s="20" t="s">
        <v>4008</v>
      </c>
    </row>
    <row r="3303" spans="1:2" x14ac:dyDescent="0.25">
      <c r="A3303" s="20" t="s">
        <v>4553</v>
      </c>
      <c r="B3303" s="20" t="s">
        <v>4008</v>
      </c>
    </row>
    <row r="3304" spans="1:2" x14ac:dyDescent="0.25">
      <c r="A3304" s="20">
        <v>424803245</v>
      </c>
      <c r="B3304" s="20" t="s">
        <v>4008</v>
      </c>
    </row>
    <row r="3305" spans="1:2" x14ac:dyDescent="0.25">
      <c r="A3305" s="20">
        <v>423956979</v>
      </c>
      <c r="B3305" s="20" t="s">
        <v>4008</v>
      </c>
    </row>
    <row r="3306" spans="1:2" x14ac:dyDescent="0.25">
      <c r="A3306" s="20">
        <v>424824621</v>
      </c>
      <c r="B3306" s="20" t="s">
        <v>4008</v>
      </c>
    </row>
    <row r="3307" spans="1:2" x14ac:dyDescent="0.25">
      <c r="A3307" s="20">
        <v>423956980</v>
      </c>
      <c r="B3307" s="20" t="s">
        <v>4008</v>
      </c>
    </row>
    <row r="3308" spans="1:2" x14ac:dyDescent="0.25">
      <c r="A3308" s="20" t="s">
        <v>4556</v>
      </c>
      <c r="B3308" s="20" t="s">
        <v>4008</v>
      </c>
    </row>
    <row r="3309" spans="1:2" x14ac:dyDescent="0.25">
      <c r="A3309" s="20" t="s">
        <v>4557</v>
      </c>
      <c r="B3309" s="20" t="s">
        <v>4008</v>
      </c>
    </row>
    <row r="3310" spans="1:2" x14ac:dyDescent="0.25">
      <c r="A3310" s="20" t="s">
        <v>4558</v>
      </c>
      <c r="B3310" s="20" t="s">
        <v>4008</v>
      </c>
    </row>
    <row r="3311" spans="1:2" x14ac:dyDescent="0.25">
      <c r="A3311" s="20" t="s">
        <v>4559</v>
      </c>
      <c r="B3311" s="20" t="s">
        <v>4008</v>
      </c>
    </row>
    <row r="3312" spans="1:2" x14ac:dyDescent="0.25">
      <c r="A3312" s="20" t="s">
        <v>4561</v>
      </c>
      <c r="B3312" s="20" t="s">
        <v>4008</v>
      </c>
    </row>
    <row r="3313" spans="1:2" x14ac:dyDescent="0.25">
      <c r="A3313" s="20" t="s">
        <v>4563</v>
      </c>
      <c r="B3313" s="20" t="s">
        <v>4008</v>
      </c>
    </row>
    <row r="3314" spans="1:2" x14ac:dyDescent="0.25">
      <c r="A3314" s="20" t="s">
        <v>4152</v>
      </c>
      <c r="B3314" s="20" t="s">
        <v>4008</v>
      </c>
    </row>
    <row r="3315" spans="1:2" x14ac:dyDescent="0.25">
      <c r="A3315" s="20" t="s">
        <v>4565</v>
      </c>
      <c r="B3315" s="20" t="s">
        <v>4008</v>
      </c>
    </row>
    <row r="3316" spans="1:2" x14ac:dyDescent="0.25">
      <c r="A3316" s="20" t="s">
        <v>4200</v>
      </c>
      <c r="B3316" s="20" t="s">
        <v>4008</v>
      </c>
    </row>
    <row r="3317" spans="1:2" x14ac:dyDescent="0.25">
      <c r="A3317" s="20" t="s">
        <v>4212</v>
      </c>
      <c r="B3317" s="20" t="s">
        <v>4008</v>
      </c>
    </row>
    <row r="3318" spans="1:2" x14ac:dyDescent="0.25">
      <c r="A3318" s="20" t="s">
        <v>4030</v>
      </c>
      <c r="B3318" s="20" t="s">
        <v>4008</v>
      </c>
    </row>
    <row r="3319" spans="1:2" x14ac:dyDescent="0.25">
      <c r="A3319" s="20" t="s">
        <v>4033</v>
      </c>
      <c r="B3319" s="20" t="s">
        <v>4008</v>
      </c>
    </row>
    <row r="3320" spans="1:2" x14ac:dyDescent="0.25">
      <c r="A3320" s="20" t="s">
        <v>4038</v>
      </c>
      <c r="B3320" s="20" t="s">
        <v>4008</v>
      </c>
    </row>
    <row r="3321" spans="1:2" x14ac:dyDescent="0.25">
      <c r="A3321" s="20" t="s">
        <v>4047</v>
      </c>
      <c r="B3321" s="20" t="s">
        <v>4008</v>
      </c>
    </row>
    <row r="3322" spans="1:2" x14ac:dyDescent="0.25">
      <c r="A3322" s="20" t="s">
        <v>4057</v>
      </c>
      <c r="B3322" s="20" t="s">
        <v>4008</v>
      </c>
    </row>
    <row r="3323" spans="1:2" x14ac:dyDescent="0.25">
      <c r="A3323" s="20" t="s">
        <v>4067</v>
      </c>
      <c r="B3323" s="20" t="s">
        <v>4008</v>
      </c>
    </row>
    <row r="3324" spans="1:2" x14ac:dyDescent="0.25">
      <c r="A3324" s="20" t="s">
        <v>4077</v>
      </c>
      <c r="B3324" s="20" t="s">
        <v>4008</v>
      </c>
    </row>
    <row r="3325" spans="1:2" x14ac:dyDescent="0.25">
      <c r="A3325" s="20" t="s">
        <v>4094</v>
      </c>
      <c r="B3325" s="20" t="s">
        <v>4008</v>
      </c>
    </row>
    <row r="3326" spans="1:2" x14ac:dyDescent="0.25">
      <c r="A3326" s="20" t="s">
        <v>4108</v>
      </c>
      <c r="B3326" s="20" t="s">
        <v>4008</v>
      </c>
    </row>
    <row r="3327" spans="1:2" x14ac:dyDescent="0.25">
      <c r="A3327" s="20" t="s">
        <v>4121</v>
      </c>
      <c r="B3327" s="20" t="s">
        <v>4008</v>
      </c>
    </row>
    <row r="3328" spans="1:2" x14ac:dyDescent="0.25">
      <c r="A3328" s="20">
        <v>196358965</v>
      </c>
      <c r="B3328" s="20" t="s">
        <v>4008</v>
      </c>
    </row>
    <row r="3329" spans="1:2" x14ac:dyDescent="0.25">
      <c r="A3329" s="20" t="s">
        <v>4139</v>
      </c>
      <c r="B3329" s="20" t="s">
        <v>4008</v>
      </c>
    </row>
    <row r="3330" spans="1:2" x14ac:dyDescent="0.25">
      <c r="A3330" s="20" t="s">
        <v>4150</v>
      </c>
      <c r="B3330" s="20" t="s">
        <v>4008</v>
      </c>
    </row>
    <row r="3331" spans="1:2" x14ac:dyDescent="0.25">
      <c r="A3331" s="20" t="s">
        <v>4164</v>
      </c>
      <c r="B3331" s="20" t="s">
        <v>4008</v>
      </c>
    </row>
    <row r="3332" spans="1:2" x14ac:dyDescent="0.25">
      <c r="A3332" s="20" t="s">
        <v>4183</v>
      </c>
      <c r="B3332" s="20" t="s">
        <v>4008</v>
      </c>
    </row>
    <row r="3333" spans="1:2" x14ac:dyDescent="0.25">
      <c r="A3333" s="20" t="s">
        <v>4199</v>
      </c>
      <c r="B3333" s="20" t="s">
        <v>4008</v>
      </c>
    </row>
    <row r="3334" spans="1:2" x14ac:dyDescent="0.25">
      <c r="A3334" s="20" t="s">
        <v>4211</v>
      </c>
      <c r="B3334" s="20" t="s">
        <v>4008</v>
      </c>
    </row>
    <row r="3335" spans="1:2" x14ac:dyDescent="0.25">
      <c r="A3335" s="20" t="s">
        <v>4222</v>
      </c>
      <c r="B3335" s="20" t="s">
        <v>4008</v>
      </c>
    </row>
    <row r="3336" spans="1:2" x14ac:dyDescent="0.25">
      <c r="A3336" s="20">
        <v>423972761</v>
      </c>
      <c r="B3336" s="20" t="s">
        <v>4008</v>
      </c>
    </row>
    <row r="3337" spans="1:2" x14ac:dyDescent="0.25">
      <c r="A3337" s="20" t="s">
        <v>4240</v>
      </c>
      <c r="B3337" s="20" t="s">
        <v>4008</v>
      </c>
    </row>
    <row r="3338" spans="1:2" x14ac:dyDescent="0.25">
      <c r="A3338" s="20" t="s">
        <v>4252</v>
      </c>
      <c r="B3338" s="20" t="s">
        <v>4008</v>
      </c>
    </row>
    <row r="3339" spans="1:2" x14ac:dyDescent="0.25">
      <c r="A3339" s="20" t="s">
        <v>4260</v>
      </c>
      <c r="B3339" s="20" t="s">
        <v>4008</v>
      </c>
    </row>
    <row r="3340" spans="1:2" x14ac:dyDescent="0.25">
      <c r="A3340" s="20" t="s">
        <v>4270</v>
      </c>
      <c r="B3340" s="20" t="s">
        <v>4008</v>
      </c>
    </row>
    <row r="3341" spans="1:2" x14ac:dyDescent="0.25">
      <c r="A3341" s="20" t="s">
        <v>4281</v>
      </c>
      <c r="B3341" s="20" t="s">
        <v>4008</v>
      </c>
    </row>
    <row r="3342" spans="1:2" x14ac:dyDescent="0.25">
      <c r="A3342" s="20" t="s">
        <v>4298</v>
      </c>
      <c r="B3342" s="20" t="s">
        <v>4008</v>
      </c>
    </row>
    <row r="3343" spans="1:2" x14ac:dyDescent="0.25">
      <c r="A3343" s="20" t="s">
        <v>4310</v>
      </c>
      <c r="B3343" s="20" t="s">
        <v>4008</v>
      </c>
    </row>
    <row r="3344" spans="1:2" x14ac:dyDescent="0.25">
      <c r="A3344" s="20" t="s">
        <v>4322</v>
      </c>
      <c r="B3344" s="20" t="s">
        <v>4008</v>
      </c>
    </row>
    <row r="3345" spans="1:2" x14ac:dyDescent="0.25">
      <c r="A3345" s="20" t="s">
        <v>4334</v>
      </c>
      <c r="B3345" s="20" t="s">
        <v>4008</v>
      </c>
    </row>
    <row r="3346" spans="1:2" x14ac:dyDescent="0.25">
      <c r="A3346" s="20" t="s">
        <v>4344</v>
      </c>
      <c r="B3346" s="20" t="s">
        <v>4008</v>
      </c>
    </row>
    <row r="3347" spans="1:2" x14ac:dyDescent="0.25">
      <c r="A3347" s="20" t="s">
        <v>4354</v>
      </c>
      <c r="B3347" s="20" t="s">
        <v>4008</v>
      </c>
    </row>
    <row r="3348" spans="1:2" x14ac:dyDescent="0.25">
      <c r="A3348" s="20" t="s">
        <v>4295</v>
      </c>
      <c r="B3348" s="20" t="s">
        <v>4008</v>
      </c>
    </row>
    <row r="3349" spans="1:2" x14ac:dyDescent="0.25">
      <c r="A3349" s="20">
        <v>12163074</v>
      </c>
      <c r="B3349" s="20" t="s">
        <v>4008</v>
      </c>
    </row>
    <row r="3350" spans="1:2" x14ac:dyDescent="0.25">
      <c r="A3350" s="20" t="s">
        <v>4377</v>
      </c>
      <c r="B3350" s="20" t="s">
        <v>4008</v>
      </c>
    </row>
    <row r="3351" spans="1:2" x14ac:dyDescent="0.25">
      <c r="A3351" s="20">
        <v>12158795</v>
      </c>
      <c r="B3351" s="20" t="s">
        <v>4008</v>
      </c>
    </row>
    <row r="3352" spans="1:2" x14ac:dyDescent="0.25">
      <c r="A3352" s="20" t="s">
        <v>4393</v>
      </c>
      <c r="B3352" s="20" t="s">
        <v>4008</v>
      </c>
    </row>
    <row r="3353" spans="1:2" x14ac:dyDescent="0.25">
      <c r="A3353" s="20" t="s">
        <v>4399</v>
      </c>
      <c r="B3353" s="20" t="s">
        <v>4008</v>
      </c>
    </row>
    <row r="3354" spans="1:2" x14ac:dyDescent="0.25">
      <c r="A3354" s="20" t="s">
        <v>4036</v>
      </c>
      <c r="B3354" s="20" t="s">
        <v>4008</v>
      </c>
    </row>
    <row r="3355" spans="1:2" x14ac:dyDescent="0.25">
      <c r="A3355" s="20" t="s">
        <v>4044</v>
      </c>
      <c r="B3355" s="20" t="s">
        <v>4008</v>
      </c>
    </row>
    <row r="3356" spans="1:2" x14ac:dyDescent="0.25">
      <c r="A3356" s="20" t="s">
        <v>4053</v>
      </c>
      <c r="B3356" s="20" t="s">
        <v>4008</v>
      </c>
    </row>
    <row r="3357" spans="1:2" x14ac:dyDescent="0.25">
      <c r="A3357" s="20" t="s">
        <v>4063</v>
      </c>
      <c r="B3357" s="20" t="s">
        <v>4008</v>
      </c>
    </row>
    <row r="3358" spans="1:2" x14ac:dyDescent="0.25">
      <c r="A3358" s="20" t="s">
        <v>4072</v>
      </c>
      <c r="B3358" s="20" t="s">
        <v>4008</v>
      </c>
    </row>
    <row r="3359" spans="1:2" x14ac:dyDescent="0.25">
      <c r="A3359" s="20" t="s">
        <v>4088</v>
      </c>
      <c r="B3359" s="20" t="s">
        <v>4008</v>
      </c>
    </row>
    <row r="3360" spans="1:2" x14ac:dyDescent="0.25">
      <c r="A3360" s="20" t="s">
        <v>4103</v>
      </c>
      <c r="B3360" s="20" t="s">
        <v>4008</v>
      </c>
    </row>
    <row r="3361" spans="1:2" x14ac:dyDescent="0.25">
      <c r="A3361" s="20">
        <v>-197974065</v>
      </c>
      <c r="B3361" s="20" t="s">
        <v>4008</v>
      </c>
    </row>
    <row r="3362" spans="1:2" x14ac:dyDescent="0.25">
      <c r="A3362" s="20" t="s">
        <v>4129</v>
      </c>
      <c r="B3362" s="20" t="s">
        <v>4008</v>
      </c>
    </row>
    <row r="3363" spans="1:2" x14ac:dyDescent="0.25">
      <c r="A3363" s="20" t="s">
        <v>4136</v>
      </c>
      <c r="B3363" s="20" t="s">
        <v>4008</v>
      </c>
    </row>
    <row r="3364" spans="1:2" x14ac:dyDescent="0.25">
      <c r="A3364" s="20" t="s">
        <v>4147</v>
      </c>
      <c r="B3364" s="20" t="s">
        <v>4008</v>
      </c>
    </row>
    <row r="3365" spans="1:2" x14ac:dyDescent="0.25">
      <c r="A3365" s="20">
        <v>145818800</v>
      </c>
      <c r="B3365" s="20" t="s">
        <v>4008</v>
      </c>
    </row>
    <row r="3366" spans="1:2" x14ac:dyDescent="0.25">
      <c r="A3366" s="20" t="s">
        <v>4178</v>
      </c>
      <c r="B3366" s="20" t="s">
        <v>4008</v>
      </c>
    </row>
    <row r="3367" spans="1:2" x14ac:dyDescent="0.25">
      <c r="A3367" s="20" t="s">
        <v>4146</v>
      </c>
      <c r="B3367" s="20" t="s">
        <v>4008</v>
      </c>
    </row>
    <row r="3368" spans="1:2" x14ac:dyDescent="0.25">
      <c r="A3368" s="20">
        <v>-12174962</v>
      </c>
      <c r="B3368" s="20" t="s">
        <v>4008</v>
      </c>
    </row>
    <row r="3369" spans="1:2" x14ac:dyDescent="0.25">
      <c r="A3369" s="20" t="s">
        <v>4177</v>
      </c>
      <c r="B3369" s="20" t="s">
        <v>4008</v>
      </c>
    </row>
    <row r="3370" spans="1:2" x14ac:dyDescent="0.25">
      <c r="A3370" s="20" t="s">
        <v>4195</v>
      </c>
      <c r="B3370" s="20" t="s">
        <v>4008</v>
      </c>
    </row>
    <row r="3371" spans="1:2" x14ac:dyDescent="0.25">
      <c r="A3371" s="20" t="s">
        <v>4209</v>
      </c>
      <c r="B3371" s="20" t="s">
        <v>4008</v>
      </c>
    </row>
    <row r="3372" spans="1:2" x14ac:dyDescent="0.25">
      <c r="A3372" s="20">
        <v>-377438344</v>
      </c>
      <c r="B3372" s="20" t="s">
        <v>4008</v>
      </c>
    </row>
    <row r="3373" spans="1:2" x14ac:dyDescent="0.25">
      <c r="A3373" s="20" t="s">
        <v>4228</v>
      </c>
      <c r="B3373" s="20" t="s">
        <v>4008</v>
      </c>
    </row>
    <row r="3374" spans="1:2" x14ac:dyDescent="0.25">
      <c r="A3374" s="20" t="s">
        <v>4237</v>
      </c>
      <c r="B3374" s="20" t="s">
        <v>4008</v>
      </c>
    </row>
    <row r="3375" spans="1:2" x14ac:dyDescent="0.25">
      <c r="A3375" s="20" t="s">
        <v>4249</v>
      </c>
      <c r="B3375" s="20" t="s">
        <v>4008</v>
      </c>
    </row>
    <row r="3376" spans="1:2" x14ac:dyDescent="0.25">
      <c r="A3376" s="20" t="s">
        <v>4258</v>
      </c>
      <c r="B3376" s="20" t="s">
        <v>4008</v>
      </c>
    </row>
    <row r="3377" spans="1:2" x14ac:dyDescent="0.25">
      <c r="A3377" s="20" t="s">
        <v>4266</v>
      </c>
      <c r="B3377" s="20" t="s">
        <v>4008</v>
      </c>
    </row>
    <row r="3378" spans="1:2" x14ac:dyDescent="0.25">
      <c r="A3378" s="20" t="s">
        <v>4276</v>
      </c>
      <c r="B3378" s="20" t="s">
        <v>4008</v>
      </c>
    </row>
    <row r="3379" spans="1:2" x14ac:dyDescent="0.25">
      <c r="A3379" s="20" t="s">
        <v>4292</v>
      </c>
      <c r="B3379" s="20" t="s">
        <v>4008</v>
      </c>
    </row>
    <row r="3380" spans="1:2" x14ac:dyDescent="0.25">
      <c r="A3380" s="20" t="s">
        <v>4305</v>
      </c>
      <c r="B3380" s="20" t="s">
        <v>4008</v>
      </c>
    </row>
    <row r="3381" spans="1:2" x14ac:dyDescent="0.25">
      <c r="A3381" s="20">
        <v>-12143825</v>
      </c>
      <c r="B3381" s="20" t="s">
        <v>4008</v>
      </c>
    </row>
    <row r="3382" spans="1:2" x14ac:dyDescent="0.25">
      <c r="A3382" s="20" t="s">
        <v>4329</v>
      </c>
      <c r="B3382" s="20" t="s">
        <v>4008</v>
      </c>
    </row>
    <row r="3383" spans="1:2" x14ac:dyDescent="0.25">
      <c r="A3383" s="20" t="s">
        <v>4339</v>
      </c>
      <c r="B3383" s="20" t="s">
        <v>4008</v>
      </c>
    </row>
    <row r="3384" spans="1:2" x14ac:dyDescent="0.25">
      <c r="A3384" s="20" t="s">
        <v>4349</v>
      </c>
      <c r="B3384" s="20" t="s">
        <v>4008</v>
      </c>
    </row>
    <row r="3385" spans="1:2" x14ac:dyDescent="0.25">
      <c r="A3385" s="20" t="s">
        <v>4358</v>
      </c>
      <c r="B3385" s="20" t="s">
        <v>4008</v>
      </c>
    </row>
    <row r="3386" spans="1:2" x14ac:dyDescent="0.25">
      <c r="A3386" s="20" t="s">
        <v>4366</v>
      </c>
      <c r="B3386" s="20" t="s">
        <v>4008</v>
      </c>
    </row>
    <row r="3387" spans="1:2" x14ac:dyDescent="0.25">
      <c r="A3387" s="20" t="s">
        <v>4372</v>
      </c>
      <c r="B3387" s="20" t="s">
        <v>4008</v>
      </c>
    </row>
    <row r="3388" spans="1:2" x14ac:dyDescent="0.25">
      <c r="A3388" s="20" t="s">
        <v>4380</v>
      </c>
      <c r="B3388" s="20" t="s">
        <v>4008</v>
      </c>
    </row>
    <row r="3389" spans="1:2" x14ac:dyDescent="0.25">
      <c r="A3389" s="20" t="s">
        <v>4388</v>
      </c>
      <c r="B3389" s="20" t="s">
        <v>4008</v>
      </c>
    </row>
    <row r="3390" spans="1:2" x14ac:dyDescent="0.25">
      <c r="A3390" s="20">
        <v>165303424</v>
      </c>
      <c r="B3390" s="20" t="s">
        <v>4008</v>
      </c>
    </row>
    <row r="3391" spans="1:2" x14ac:dyDescent="0.25">
      <c r="A3391" s="20" t="s">
        <v>4402</v>
      </c>
      <c r="B3391" s="20" t="s">
        <v>4008</v>
      </c>
    </row>
    <row r="3392" spans="1:2" x14ac:dyDescent="0.25">
      <c r="A3392" s="20" t="s">
        <v>4408</v>
      </c>
      <c r="B3392" s="20" t="s">
        <v>4008</v>
      </c>
    </row>
    <row r="3393" spans="1:2" x14ac:dyDescent="0.25">
      <c r="A3393" s="20" t="s">
        <v>4413</v>
      </c>
      <c r="B3393" s="20" t="s">
        <v>4008</v>
      </c>
    </row>
    <row r="3394" spans="1:2" x14ac:dyDescent="0.25">
      <c r="A3394" s="20" t="s">
        <v>4417</v>
      </c>
      <c r="B3394" s="20" t="s">
        <v>4008</v>
      </c>
    </row>
    <row r="3395" spans="1:2" x14ac:dyDescent="0.25">
      <c r="A3395" s="20" t="s">
        <v>4422</v>
      </c>
      <c r="B3395" s="20" t="s">
        <v>4008</v>
      </c>
    </row>
    <row r="3396" spans="1:2" x14ac:dyDescent="0.25">
      <c r="A3396" s="20" t="s">
        <v>4428</v>
      </c>
      <c r="B3396" s="20" t="s">
        <v>4008</v>
      </c>
    </row>
    <row r="3397" spans="1:2" x14ac:dyDescent="0.25">
      <c r="A3397" s="20" t="s">
        <v>4009</v>
      </c>
      <c r="B3397" s="20" t="s">
        <v>4009</v>
      </c>
    </row>
    <row r="3398" spans="1:2" x14ac:dyDescent="0.25">
      <c r="A3398" s="20" t="s">
        <v>4028</v>
      </c>
      <c r="B3398" s="20" t="s">
        <v>4009</v>
      </c>
    </row>
    <row r="3399" spans="1:2" x14ac:dyDescent="0.25">
      <c r="A3399" s="20">
        <v>-448887867</v>
      </c>
      <c r="B3399" s="20" t="s">
        <v>4009</v>
      </c>
    </row>
    <row r="3400" spans="1:2" x14ac:dyDescent="0.25">
      <c r="A3400" s="20">
        <v>-448887869</v>
      </c>
      <c r="B3400" s="20" t="s">
        <v>4009</v>
      </c>
    </row>
    <row r="3401" spans="1:2" x14ac:dyDescent="0.25">
      <c r="A3401" s="20">
        <v>-448887902</v>
      </c>
      <c r="B3401" s="20" t="s">
        <v>4009</v>
      </c>
    </row>
    <row r="3402" spans="1:2" x14ac:dyDescent="0.25">
      <c r="A3402" s="20">
        <v>-196358958</v>
      </c>
      <c r="B3402" s="20" t="s">
        <v>4009</v>
      </c>
    </row>
    <row r="3403" spans="1:2" x14ac:dyDescent="0.25">
      <c r="A3403" s="20" t="s">
        <v>4065</v>
      </c>
      <c r="B3403" s="20" t="s">
        <v>4009</v>
      </c>
    </row>
    <row r="3404" spans="1:2" x14ac:dyDescent="0.25">
      <c r="A3404" s="20" t="s">
        <v>4074</v>
      </c>
      <c r="B3404" s="20" t="s">
        <v>4009</v>
      </c>
    </row>
    <row r="3405" spans="1:2" x14ac:dyDescent="0.25">
      <c r="A3405" s="20" t="s">
        <v>4091</v>
      </c>
      <c r="B3405" s="20" t="s">
        <v>4009</v>
      </c>
    </row>
    <row r="3406" spans="1:2" x14ac:dyDescent="0.25">
      <c r="A3406" s="20" t="s">
        <v>4105</v>
      </c>
      <c r="B3406" s="20" t="s">
        <v>4009</v>
      </c>
    </row>
    <row r="3407" spans="1:2" x14ac:dyDescent="0.25">
      <c r="A3407" s="20" t="s">
        <v>4118</v>
      </c>
      <c r="B3407" s="20" t="s">
        <v>4009</v>
      </c>
    </row>
    <row r="3408" spans="1:2" x14ac:dyDescent="0.25">
      <c r="A3408" s="20" t="s">
        <v>4130</v>
      </c>
      <c r="B3408" s="20" t="s">
        <v>4009</v>
      </c>
    </row>
    <row r="3409" spans="1:2" x14ac:dyDescent="0.25">
      <c r="A3409" s="20" t="s">
        <v>4137</v>
      </c>
      <c r="B3409" s="20" t="s">
        <v>4009</v>
      </c>
    </row>
    <row r="3410" spans="1:2" x14ac:dyDescent="0.25">
      <c r="A3410" s="20" t="s">
        <v>4148</v>
      </c>
      <c r="B3410" s="20" t="s">
        <v>4009</v>
      </c>
    </row>
    <row r="3411" spans="1:2" x14ac:dyDescent="0.25">
      <c r="A3411" s="20" t="s">
        <v>4086</v>
      </c>
      <c r="B3411" s="20" t="s">
        <v>4009</v>
      </c>
    </row>
    <row r="3412" spans="1:2" x14ac:dyDescent="0.25">
      <c r="A3412" s="20" t="s">
        <v>4101</v>
      </c>
      <c r="B3412" s="20" t="s">
        <v>4009</v>
      </c>
    </row>
    <row r="3413" spans="1:2" x14ac:dyDescent="0.25">
      <c r="A3413" s="20" t="s">
        <v>4115</v>
      </c>
      <c r="B3413" s="20" t="s">
        <v>4009</v>
      </c>
    </row>
    <row r="3414" spans="1:2" x14ac:dyDescent="0.25">
      <c r="A3414" s="20" t="s">
        <v>4128</v>
      </c>
      <c r="B3414" s="20" t="s">
        <v>4009</v>
      </c>
    </row>
    <row r="3415" spans="1:2" x14ac:dyDescent="0.25">
      <c r="A3415" s="20" t="s">
        <v>4220</v>
      </c>
      <c r="B3415" s="20" t="s">
        <v>4009</v>
      </c>
    </row>
    <row r="3416" spans="1:2" x14ac:dyDescent="0.25">
      <c r="A3416" s="20">
        <v>196375622</v>
      </c>
      <c r="B3416" s="20" t="s">
        <v>4009</v>
      </c>
    </row>
    <row r="3417" spans="1:2" x14ac:dyDescent="0.25">
      <c r="A3417" s="20" t="s">
        <v>4238</v>
      </c>
      <c r="B3417" s="20" t="s">
        <v>4009</v>
      </c>
    </row>
    <row r="3418" spans="1:2" x14ac:dyDescent="0.25">
      <c r="A3418" s="20" t="s">
        <v>4250</v>
      </c>
      <c r="B3418" s="20" t="s">
        <v>4009</v>
      </c>
    </row>
    <row r="3419" spans="1:2" x14ac:dyDescent="0.25">
      <c r="A3419" s="20" t="s">
        <v>4259</v>
      </c>
      <c r="B3419" s="20" t="s">
        <v>4009</v>
      </c>
    </row>
    <row r="3420" spans="1:2" x14ac:dyDescent="0.25">
      <c r="A3420" s="20" t="s">
        <v>4267</v>
      </c>
      <c r="B3420" s="20" t="s">
        <v>4009</v>
      </c>
    </row>
    <row r="3421" spans="1:2" x14ac:dyDescent="0.25">
      <c r="A3421" s="20" t="s">
        <v>4279</v>
      </c>
      <c r="B3421" s="20" t="s">
        <v>4009</v>
      </c>
    </row>
    <row r="3422" spans="1:2" x14ac:dyDescent="0.25">
      <c r="A3422" s="20" t="s">
        <v>4296</v>
      </c>
      <c r="B3422" s="20" t="s">
        <v>4009</v>
      </c>
    </row>
    <row r="3423" spans="1:2" x14ac:dyDescent="0.25">
      <c r="A3423" s="20" t="s">
        <v>4308</v>
      </c>
      <c r="B3423" s="20" t="s">
        <v>4009</v>
      </c>
    </row>
    <row r="3424" spans="1:2" x14ac:dyDescent="0.25">
      <c r="A3424" s="20" t="s">
        <v>4320</v>
      </c>
      <c r="B3424" s="20" t="s">
        <v>4009</v>
      </c>
    </row>
    <row r="3425" spans="1:2" x14ac:dyDescent="0.25">
      <c r="A3425" s="20" t="s">
        <v>4332</v>
      </c>
      <c r="B3425" s="20" t="s">
        <v>4009</v>
      </c>
    </row>
    <row r="3426" spans="1:2" x14ac:dyDescent="0.25">
      <c r="A3426" s="20" t="s">
        <v>4342</v>
      </c>
      <c r="B3426" s="20" t="s">
        <v>4009</v>
      </c>
    </row>
    <row r="3427" spans="1:2" x14ac:dyDescent="0.25">
      <c r="A3427" s="20" t="s">
        <v>4352</v>
      </c>
      <c r="B3427" s="20" t="s">
        <v>4009</v>
      </c>
    </row>
    <row r="3428" spans="1:2" x14ac:dyDescent="0.25">
      <c r="A3428" s="20" t="s">
        <v>4362</v>
      </c>
      <c r="B3428" s="20" t="s">
        <v>4009</v>
      </c>
    </row>
    <row r="3429" spans="1:2" x14ac:dyDescent="0.25">
      <c r="A3429" s="20" t="s">
        <v>4369</v>
      </c>
      <c r="B3429" s="20" t="s">
        <v>4009</v>
      </c>
    </row>
    <row r="3430" spans="1:2" x14ac:dyDescent="0.25">
      <c r="A3430" s="20" t="s">
        <v>4375</v>
      </c>
      <c r="B3430" s="20" t="s">
        <v>4009</v>
      </c>
    </row>
    <row r="3431" spans="1:2" x14ac:dyDescent="0.25">
      <c r="A3431" s="20" t="s">
        <v>4384</v>
      </c>
      <c r="B3431" s="20" t="s">
        <v>4009</v>
      </c>
    </row>
    <row r="3432" spans="1:2" x14ac:dyDescent="0.25">
      <c r="A3432" s="20" t="s">
        <v>4391</v>
      </c>
      <c r="B3432" s="20" t="s">
        <v>4009</v>
      </c>
    </row>
    <row r="3433" spans="1:2" x14ac:dyDescent="0.25">
      <c r="A3433" s="20" t="s">
        <v>4173</v>
      </c>
      <c r="B3433" s="20" t="s">
        <v>4009</v>
      </c>
    </row>
    <row r="3434" spans="1:2" x14ac:dyDescent="0.25">
      <c r="A3434" s="20">
        <v>287131380</v>
      </c>
      <c r="B3434" s="20" t="s">
        <v>4009</v>
      </c>
    </row>
    <row r="3435" spans="1:2" x14ac:dyDescent="0.25">
      <c r="A3435" s="20" t="s">
        <v>4206</v>
      </c>
      <c r="B3435" s="20" t="s">
        <v>4009</v>
      </c>
    </row>
    <row r="3436" spans="1:2" x14ac:dyDescent="0.25">
      <c r="A3436" s="20" t="s">
        <v>4216</v>
      </c>
      <c r="B3436" s="20" t="s">
        <v>4009</v>
      </c>
    </row>
    <row r="3437" spans="1:2" x14ac:dyDescent="0.25">
      <c r="A3437" s="20">
        <v>424978643</v>
      </c>
      <c r="B3437" s="20" t="s">
        <v>4009</v>
      </c>
    </row>
    <row r="3438" spans="1:2" x14ac:dyDescent="0.25">
      <c r="A3438" s="20">
        <v>423967356</v>
      </c>
      <c r="B3438" s="20" t="s">
        <v>4009</v>
      </c>
    </row>
    <row r="3439" spans="1:2" x14ac:dyDescent="0.25">
      <c r="A3439" s="20" t="s">
        <v>4244</v>
      </c>
      <c r="B3439" s="20" t="s">
        <v>4009</v>
      </c>
    </row>
    <row r="3440" spans="1:2" x14ac:dyDescent="0.25">
      <c r="A3440" s="20" t="s">
        <v>4261</v>
      </c>
      <c r="B3440" s="20" t="s">
        <v>4009</v>
      </c>
    </row>
    <row r="3441" spans="1:2" x14ac:dyDescent="0.25">
      <c r="A3441" s="20">
        <v>423967352</v>
      </c>
      <c r="B3441" s="20" t="s">
        <v>4009</v>
      </c>
    </row>
    <row r="3442" spans="1:2" x14ac:dyDescent="0.25">
      <c r="A3442" s="20">
        <v>424978646</v>
      </c>
      <c r="B3442" s="20" t="s">
        <v>4009</v>
      </c>
    </row>
    <row r="3443" spans="1:2" x14ac:dyDescent="0.25">
      <c r="A3443" s="20" t="s">
        <v>4160</v>
      </c>
      <c r="B3443" s="20" t="s">
        <v>4009</v>
      </c>
    </row>
    <row r="3444" spans="1:2" x14ac:dyDescent="0.25">
      <c r="A3444" s="20" t="s">
        <v>4179</v>
      </c>
      <c r="B3444" s="20" t="s">
        <v>4009</v>
      </c>
    </row>
    <row r="3445" spans="1:2" x14ac:dyDescent="0.25">
      <c r="A3445" s="20" t="s">
        <v>4196</v>
      </c>
      <c r="B3445" s="20" t="s">
        <v>4009</v>
      </c>
    </row>
    <row r="3446" spans="1:2" x14ac:dyDescent="0.25">
      <c r="A3446" s="20" t="s">
        <v>4467</v>
      </c>
      <c r="B3446" s="20" t="s">
        <v>4009</v>
      </c>
    </row>
    <row r="3447" spans="1:2" x14ac:dyDescent="0.25">
      <c r="A3447" s="20" t="s">
        <v>4219</v>
      </c>
      <c r="B3447" s="20" t="s">
        <v>4009</v>
      </c>
    </row>
    <row r="3448" spans="1:2" x14ac:dyDescent="0.25">
      <c r="A3448" s="20" t="s">
        <v>4391</v>
      </c>
      <c r="B3448" s="20" t="s">
        <v>4009</v>
      </c>
    </row>
    <row r="3449" spans="1:2" x14ac:dyDescent="0.25">
      <c r="A3449" s="20" t="s">
        <v>4214</v>
      </c>
      <c r="B3449" s="20" t="s">
        <v>4009</v>
      </c>
    </row>
    <row r="3450" spans="1:2" x14ac:dyDescent="0.25">
      <c r="A3450" s="20">
        <v>-423967354</v>
      </c>
      <c r="B3450" s="20" t="s">
        <v>4009</v>
      </c>
    </row>
    <row r="3451" spans="1:2" x14ac:dyDescent="0.25">
      <c r="A3451" s="20">
        <v>-423967355</v>
      </c>
      <c r="B3451" s="20" t="s">
        <v>4009</v>
      </c>
    </row>
    <row r="3452" spans="1:2" x14ac:dyDescent="0.25">
      <c r="A3452" s="20" t="s">
        <v>4191</v>
      </c>
      <c r="B3452" s="20" t="s">
        <v>4009</v>
      </c>
    </row>
    <row r="3453" spans="1:2" x14ac:dyDescent="0.25">
      <c r="A3453" s="20" t="s">
        <v>4294</v>
      </c>
      <c r="B3453" s="20" t="s">
        <v>4009</v>
      </c>
    </row>
    <row r="3454" spans="1:2" x14ac:dyDescent="0.25">
      <c r="A3454" s="20" t="s">
        <v>4231</v>
      </c>
      <c r="B3454" s="20" t="s">
        <v>4009</v>
      </c>
    </row>
    <row r="3455" spans="1:2" x14ac:dyDescent="0.25">
      <c r="A3455" s="20" t="s">
        <v>4242</v>
      </c>
      <c r="B3455" s="20" t="s">
        <v>4009</v>
      </c>
    </row>
    <row r="3456" spans="1:2" x14ac:dyDescent="0.25">
      <c r="A3456" s="20">
        <v>12149505</v>
      </c>
      <c r="B3456" s="20" t="s">
        <v>4009</v>
      </c>
    </row>
    <row r="3457" spans="1:2" x14ac:dyDescent="0.25">
      <c r="A3457" s="20">
        <v>-12123541</v>
      </c>
      <c r="B3457" s="20" t="s">
        <v>4009</v>
      </c>
    </row>
    <row r="3458" spans="1:2" x14ac:dyDescent="0.25">
      <c r="A3458" s="20" t="s">
        <v>4263</v>
      </c>
      <c r="B3458" s="20" t="s">
        <v>4009</v>
      </c>
    </row>
    <row r="3459" spans="1:2" x14ac:dyDescent="0.25">
      <c r="A3459" s="20" t="s">
        <v>4351</v>
      </c>
      <c r="B3459" s="20" t="s">
        <v>4009</v>
      </c>
    </row>
    <row r="3460" spans="1:2" x14ac:dyDescent="0.25">
      <c r="A3460" s="20" t="s">
        <v>4360</v>
      </c>
      <c r="B3460" s="20" t="s">
        <v>4009</v>
      </c>
    </row>
    <row r="3461" spans="1:2" x14ac:dyDescent="0.25">
      <c r="A3461" s="20" t="s">
        <v>4368</v>
      </c>
      <c r="B3461" s="20" t="s">
        <v>4009</v>
      </c>
    </row>
    <row r="3462" spans="1:2" x14ac:dyDescent="0.25">
      <c r="A3462" s="20" t="s">
        <v>4374</v>
      </c>
      <c r="B3462" s="20" t="s">
        <v>4009</v>
      </c>
    </row>
    <row r="3463" spans="1:2" x14ac:dyDescent="0.25">
      <c r="A3463" s="20" t="s">
        <v>4382</v>
      </c>
      <c r="B3463" s="20" t="s">
        <v>4009</v>
      </c>
    </row>
    <row r="3464" spans="1:2" x14ac:dyDescent="0.25">
      <c r="A3464" s="20" t="s">
        <v>4390</v>
      </c>
      <c r="B3464" s="20" t="s">
        <v>4009</v>
      </c>
    </row>
    <row r="3465" spans="1:2" x14ac:dyDescent="0.25">
      <c r="A3465" s="20" t="s">
        <v>4397</v>
      </c>
      <c r="B3465" s="20" t="s">
        <v>4009</v>
      </c>
    </row>
    <row r="3466" spans="1:2" x14ac:dyDescent="0.25">
      <c r="A3466" s="20" t="s">
        <v>4404</v>
      </c>
      <c r="B3466" s="20" t="s">
        <v>4009</v>
      </c>
    </row>
    <row r="3467" spans="1:2" x14ac:dyDescent="0.25">
      <c r="A3467" s="20" t="s">
        <v>4514</v>
      </c>
      <c r="B3467" s="20" t="s">
        <v>4009</v>
      </c>
    </row>
    <row r="3468" spans="1:2" x14ac:dyDescent="0.25">
      <c r="A3468" s="20" t="s">
        <v>4357</v>
      </c>
      <c r="B3468" s="20" t="s">
        <v>4009</v>
      </c>
    </row>
    <row r="3469" spans="1:2" x14ac:dyDescent="0.25">
      <c r="A3469" s="20" t="s">
        <v>4365</v>
      </c>
      <c r="B3469" s="20" t="s">
        <v>4009</v>
      </c>
    </row>
    <row r="3470" spans="1:2" x14ac:dyDescent="0.25">
      <c r="A3470" s="20">
        <v>49940353</v>
      </c>
      <c r="B3470" s="20" t="s">
        <v>4009</v>
      </c>
    </row>
    <row r="3471" spans="1:2" x14ac:dyDescent="0.25">
      <c r="A3471" s="20" t="s">
        <v>4379</v>
      </c>
      <c r="B3471" s="20" t="s">
        <v>4009</v>
      </c>
    </row>
    <row r="3472" spans="1:2" x14ac:dyDescent="0.25">
      <c r="A3472" s="20" t="s">
        <v>4387</v>
      </c>
      <c r="B3472" s="20" t="s">
        <v>4009</v>
      </c>
    </row>
    <row r="3473" spans="1:2" x14ac:dyDescent="0.25">
      <c r="A3473" s="20" t="s">
        <v>4395</v>
      </c>
      <c r="B3473" s="20" t="s">
        <v>4009</v>
      </c>
    </row>
    <row r="3474" spans="1:2" x14ac:dyDescent="0.25">
      <c r="A3474" s="20" t="s">
        <v>4401</v>
      </c>
      <c r="B3474" s="20" t="s">
        <v>4009</v>
      </c>
    </row>
    <row r="3475" spans="1:2" x14ac:dyDescent="0.25">
      <c r="A3475" s="20" t="s">
        <v>4407</v>
      </c>
      <c r="B3475" s="20" t="s">
        <v>4009</v>
      </c>
    </row>
    <row r="3476" spans="1:2" x14ac:dyDescent="0.25">
      <c r="A3476" s="20" t="s">
        <v>4412</v>
      </c>
      <c r="B3476" s="20" t="s">
        <v>4009</v>
      </c>
    </row>
    <row r="3477" spans="1:2" x14ac:dyDescent="0.25">
      <c r="A3477" s="20" t="s">
        <v>4519</v>
      </c>
      <c r="B3477" s="20" t="s">
        <v>4009</v>
      </c>
    </row>
    <row r="3478" spans="1:2" x14ac:dyDescent="0.25">
      <c r="A3478" s="20" t="s">
        <v>4522</v>
      </c>
      <c r="B3478" s="20" t="s">
        <v>4009</v>
      </c>
    </row>
    <row r="3479" spans="1:2" x14ac:dyDescent="0.25">
      <c r="A3479" s="20" t="s">
        <v>4433</v>
      </c>
      <c r="B3479" s="20" t="s">
        <v>4009</v>
      </c>
    </row>
    <row r="3480" spans="1:2" x14ac:dyDescent="0.25">
      <c r="A3480" s="20" t="s">
        <v>4437</v>
      </c>
      <c r="B3480" s="20" t="s">
        <v>4009</v>
      </c>
    </row>
    <row r="3481" spans="1:2" x14ac:dyDescent="0.25">
      <c r="A3481" s="20" t="s">
        <v>4529</v>
      </c>
      <c r="B3481" s="20" t="s">
        <v>4009</v>
      </c>
    </row>
    <row r="3482" spans="1:2" x14ac:dyDescent="0.25">
      <c r="A3482" s="20" t="s">
        <v>4531</v>
      </c>
      <c r="B3482" s="20" t="s">
        <v>4009</v>
      </c>
    </row>
    <row r="3483" spans="1:2" x14ac:dyDescent="0.25">
      <c r="A3483" s="20" t="s">
        <v>4533</v>
      </c>
      <c r="B3483" s="20" t="s">
        <v>4009</v>
      </c>
    </row>
    <row r="3484" spans="1:2" x14ac:dyDescent="0.25">
      <c r="A3484" s="20" t="s">
        <v>4536</v>
      </c>
      <c r="B3484" s="20" t="s">
        <v>4009</v>
      </c>
    </row>
    <row r="3485" spans="1:2" x14ac:dyDescent="0.25">
      <c r="A3485" s="20" t="s">
        <v>4539</v>
      </c>
      <c r="B3485" s="20" t="s">
        <v>4009</v>
      </c>
    </row>
    <row r="3486" spans="1:2" x14ac:dyDescent="0.25">
      <c r="A3486" s="20" t="s">
        <v>4541</v>
      </c>
      <c r="B3486" s="20" t="s">
        <v>4009</v>
      </c>
    </row>
    <row r="3487" spans="1:2" x14ac:dyDescent="0.25">
      <c r="A3487" s="20" t="s">
        <v>4543</v>
      </c>
      <c r="B3487" s="20" t="s">
        <v>4009</v>
      </c>
    </row>
    <row r="3488" spans="1:2" x14ac:dyDescent="0.25">
      <c r="A3488" s="20">
        <v>448845180</v>
      </c>
      <c r="B3488" s="20" t="s">
        <v>4009</v>
      </c>
    </row>
    <row r="3489" spans="1:2" x14ac:dyDescent="0.25">
      <c r="A3489" s="20" t="s">
        <v>4463</v>
      </c>
      <c r="B3489" s="20" t="s">
        <v>4009</v>
      </c>
    </row>
    <row r="3490" spans="1:2" x14ac:dyDescent="0.25">
      <c r="A3490" s="20" t="s">
        <v>4546</v>
      </c>
      <c r="B3490" s="20" t="s">
        <v>4009</v>
      </c>
    </row>
    <row r="3491" spans="1:2" x14ac:dyDescent="0.25">
      <c r="A3491" s="20">
        <v>439905810</v>
      </c>
      <c r="B3491" s="20" t="s">
        <v>4009</v>
      </c>
    </row>
    <row r="3492" spans="1:2" x14ac:dyDescent="0.25">
      <c r="A3492" s="20" t="s">
        <v>4549</v>
      </c>
      <c r="B3492" s="20" t="s">
        <v>4009</v>
      </c>
    </row>
    <row r="3493" spans="1:2" x14ac:dyDescent="0.25">
      <c r="A3493" s="20" t="s">
        <v>4552</v>
      </c>
      <c r="B3493" s="20" t="s">
        <v>4009</v>
      </c>
    </row>
    <row r="3494" spans="1:2" x14ac:dyDescent="0.25">
      <c r="A3494" s="20">
        <v>448887876</v>
      </c>
      <c r="B3494" s="20" t="s">
        <v>4009</v>
      </c>
    </row>
    <row r="3495" spans="1:2" x14ac:dyDescent="0.25">
      <c r="A3495" s="20">
        <v>448887880</v>
      </c>
      <c r="B3495" s="20" t="s">
        <v>4009</v>
      </c>
    </row>
    <row r="3496" spans="1:2" x14ac:dyDescent="0.25">
      <c r="A3496" s="20">
        <v>448887888</v>
      </c>
      <c r="B3496" s="20" t="s">
        <v>4009</v>
      </c>
    </row>
    <row r="3497" spans="1:2" x14ac:dyDescent="0.25">
      <c r="A3497" s="20" t="s">
        <v>4554</v>
      </c>
      <c r="B3497" s="20" t="s">
        <v>4009</v>
      </c>
    </row>
    <row r="3498" spans="1:2" x14ac:dyDescent="0.25">
      <c r="A3498" s="20" t="s">
        <v>4555</v>
      </c>
      <c r="B3498" s="20" t="s">
        <v>4009</v>
      </c>
    </row>
    <row r="3499" spans="1:2" x14ac:dyDescent="0.25">
      <c r="A3499" s="20">
        <v>180860086</v>
      </c>
      <c r="B3499" s="20" t="s">
        <v>4009</v>
      </c>
    </row>
    <row r="3500" spans="1:2" x14ac:dyDescent="0.25">
      <c r="A3500" s="20">
        <v>448887884</v>
      </c>
      <c r="B3500" s="20" t="s">
        <v>4009</v>
      </c>
    </row>
    <row r="3501" spans="1:2" x14ac:dyDescent="0.25">
      <c r="A3501" s="20">
        <v>448887874</v>
      </c>
      <c r="B3501" s="20" t="s">
        <v>4009</v>
      </c>
    </row>
    <row r="3502" spans="1:2" x14ac:dyDescent="0.25">
      <c r="A3502" s="20" t="s">
        <v>4560</v>
      </c>
      <c r="B3502" s="20" t="s">
        <v>4009</v>
      </c>
    </row>
    <row r="3503" spans="1:2" x14ac:dyDescent="0.25">
      <c r="A3503" s="20" t="s">
        <v>4562</v>
      </c>
      <c r="B3503" s="20" t="s">
        <v>4009</v>
      </c>
    </row>
    <row r="3504" spans="1:2" x14ac:dyDescent="0.25">
      <c r="A3504" s="20" t="s">
        <v>4564</v>
      </c>
      <c r="B3504" s="20" t="s">
        <v>4009</v>
      </c>
    </row>
    <row r="3505" spans="1:2" x14ac:dyDescent="0.25">
      <c r="A3505" s="20">
        <v>12334061</v>
      </c>
      <c r="B3505" s="20" t="s">
        <v>4009</v>
      </c>
    </row>
    <row r="3506" spans="1:2" x14ac:dyDescent="0.25">
      <c r="A3506" s="20">
        <v>-12333487</v>
      </c>
      <c r="B3506" s="20" t="s">
        <v>4009</v>
      </c>
    </row>
    <row r="3507" spans="1:2" x14ac:dyDescent="0.25">
      <c r="A3507" s="20" t="s">
        <v>4566</v>
      </c>
      <c r="B3507" s="20" t="s">
        <v>4009</v>
      </c>
    </row>
    <row r="3508" spans="1:2" x14ac:dyDescent="0.25">
      <c r="A3508" s="20">
        <v>-448887907</v>
      </c>
      <c r="B3508" s="20" t="s">
        <v>4009</v>
      </c>
    </row>
    <row r="3509" spans="1:2" x14ac:dyDescent="0.25">
      <c r="A3509" s="20">
        <v>-448887908</v>
      </c>
      <c r="B3509" s="20" t="s">
        <v>4009</v>
      </c>
    </row>
    <row r="3510" spans="1:2" x14ac:dyDescent="0.25">
      <c r="A3510" s="20">
        <v>-448887906</v>
      </c>
      <c r="B3510" s="20" t="s">
        <v>4009</v>
      </c>
    </row>
    <row r="3511" spans="1:2" x14ac:dyDescent="0.25">
      <c r="A3511" s="20">
        <v>-448887904</v>
      </c>
      <c r="B3511" s="20" t="s">
        <v>4009</v>
      </c>
    </row>
    <row r="3512" spans="1:2" x14ac:dyDescent="0.25">
      <c r="A3512" s="20" t="s">
        <v>4567</v>
      </c>
      <c r="B3512" s="20" t="s">
        <v>4009</v>
      </c>
    </row>
    <row r="3513" spans="1:2" x14ac:dyDescent="0.25">
      <c r="A3513" s="20" t="s">
        <v>4568</v>
      </c>
      <c r="B3513" s="20" t="s">
        <v>4009</v>
      </c>
    </row>
    <row r="3514" spans="1:2" x14ac:dyDescent="0.25">
      <c r="A3514" s="20" t="s">
        <v>4569</v>
      </c>
      <c r="B3514" s="20" t="s">
        <v>4009</v>
      </c>
    </row>
    <row r="3515" spans="1:2" x14ac:dyDescent="0.25">
      <c r="A3515" s="20" t="s">
        <v>4570</v>
      </c>
      <c r="B3515" s="20" t="s">
        <v>4009</v>
      </c>
    </row>
    <row r="3516" spans="1:2" x14ac:dyDescent="0.25">
      <c r="A3516" s="20" t="s">
        <v>4571</v>
      </c>
      <c r="B3516" s="20" t="s">
        <v>4009</v>
      </c>
    </row>
    <row r="3517" spans="1:2" x14ac:dyDescent="0.25">
      <c r="A3517" s="20" t="s">
        <v>4515</v>
      </c>
      <c r="B3517" s="20" t="s">
        <v>4009</v>
      </c>
    </row>
    <row r="3518" spans="1:2" x14ac:dyDescent="0.25">
      <c r="A3518" s="20" t="s">
        <v>4517</v>
      </c>
      <c r="B3518" s="20" t="s">
        <v>4009</v>
      </c>
    </row>
    <row r="3519" spans="1:2" x14ac:dyDescent="0.25">
      <c r="A3519" s="20" t="s">
        <v>4572</v>
      </c>
      <c r="B3519" s="20" t="s">
        <v>4009</v>
      </c>
    </row>
    <row r="3520" spans="1:2" x14ac:dyDescent="0.25">
      <c r="A3520" s="20" t="s">
        <v>4523</v>
      </c>
      <c r="B3520" s="20" t="s">
        <v>4009</v>
      </c>
    </row>
    <row r="3521" spans="1:2" x14ac:dyDescent="0.25">
      <c r="A3521" s="20" t="s">
        <v>4118</v>
      </c>
      <c r="B3521" s="20" t="s">
        <v>4009</v>
      </c>
    </row>
    <row r="3522" spans="1:2" x14ac:dyDescent="0.25">
      <c r="A3522" s="20" t="s">
        <v>4527</v>
      </c>
      <c r="B3522" s="20" t="s">
        <v>4009</v>
      </c>
    </row>
    <row r="3523" spans="1:2" x14ac:dyDescent="0.25">
      <c r="A3523" s="20">
        <v>486653623</v>
      </c>
      <c r="B3523" s="20" t="s">
        <v>4009</v>
      </c>
    </row>
    <row r="3524" spans="1:2" x14ac:dyDescent="0.25">
      <c r="A3524" s="20">
        <v>287178713</v>
      </c>
      <c r="B3524" s="20" t="s">
        <v>4009</v>
      </c>
    </row>
    <row r="3525" spans="1:2" x14ac:dyDescent="0.25">
      <c r="A3525" s="20" t="s">
        <v>4534</v>
      </c>
      <c r="B3525" s="20" t="s">
        <v>4009</v>
      </c>
    </row>
    <row r="3526" spans="1:2" x14ac:dyDescent="0.25">
      <c r="A3526" s="20" t="s">
        <v>4537</v>
      </c>
      <c r="B3526" s="20" t="s">
        <v>4009</v>
      </c>
    </row>
    <row r="3527" spans="1:2" x14ac:dyDescent="0.25">
      <c r="A3527" s="20">
        <v>-287178713</v>
      </c>
      <c r="B3527" s="20" t="s">
        <v>4009</v>
      </c>
    </row>
    <row r="3528" spans="1:2" x14ac:dyDescent="0.25">
      <c r="A3528" s="20">
        <v>-486653623</v>
      </c>
      <c r="B3528" s="20" t="s">
        <v>4009</v>
      </c>
    </row>
    <row r="3529" spans="1:2" x14ac:dyDescent="0.25">
      <c r="A3529" s="20" t="s">
        <v>4361</v>
      </c>
      <c r="B3529" s="20" t="s">
        <v>4009</v>
      </c>
    </row>
    <row r="3530" spans="1:2" x14ac:dyDescent="0.25">
      <c r="A3530" s="20" t="s">
        <v>4130</v>
      </c>
      <c r="B3530" s="20" t="s">
        <v>4009</v>
      </c>
    </row>
    <row r="3531" spans="1:2" x14ac:dyDescent="0.25">
      <c r="A3531" s="20" t="s">
        <v>4137</v>
      </c>
      <c r="B3531" s="20" t="s">
        <v>4009</v>
      </c>
    </row>
    <row r="3532" spans="1:2" x14ac:dyDescent="0.25">
      <c r="A3532" s="20" t="s">
        <v>4383</v>
      </c>
      <c r="B3532" s="20" t="s">
        <v>4009</v>
      </c>
    </row>
    <row r="3533" spans="1:2" x14ac:dyDescent="0.25">
      <c r="A3533" s="20" t="s">
        <v>4054</v>
      </c>
      <c r="B3533" s="20" t="s">
        <v>4009</v>
      </c>
    </row>
    <row r="3534" spans="1:2" x14ac:dyDescent="0.25">
      <c r="A3534" s="20" t="s">
        <v>4064</v>
      </c>
      <c r="B3534" s="20" t="s">
        <v>4009</v>
      </c>
    </row>
    <row r="3535" spans="1:2" x14ac:dyDescent="0.25">
      <c r="A3535" s="20" t="s">
        <v>4071</v>
      </c>
      <c r="B3535" s="20" t="s">
        <v>4009</v>
      </c>
    </row>
    <row r="3536" spans="1:2" x14ac:dyDescent="0.25">
      <c r="A3536" s="20" t="s">
        <v>4086</v>
      </c>
      <c r="B3536" s="20" t="s">
        <v>4009</v>
      </c>
    </row>
    <row r="3537" spans="1:2" x14ac:dyDescent="0.25">
      <c r="A3537" s="20" t="s">
        <v>4101</v>
      </c>
      <c r="B3537" s="20" t="s">
        <v>4009</v>
      </c>
    </row>
    <row r="3538" spans="1:2" x14ac:dyDescent="0.25">
      <c r="A3538" s="20" t="s">
        <v>4115</v>
      </c>
      <c r="B3538" s="20" t="s">
        <v>4009</v>
      </c>
    </row>
    <row r="3539" spans="1:2" x14ac:dyDescent="0.25">
      <c r="A3539" s="20" t="s">
        <v>4128</v>
      </c>
      <c r="B3539" s="20" t="s">
        <v>4009</v>
      </c>
    </row>
    <row r="3540" spans="1:2" x14ac:dyDescent="0.25">
      <c r="A3540" s="20" t="s">
        <v>4229</v>
      </c>
      <c r="B3540" s="20" t="s">
        <v>4009</v>
      </c>
    </row>
    <row r="3541" spans="1:2" x14ac:dyDescent="0.25">
      <c r="A3541" s="20">
        <v>-196375622</v>
      </c>
      <c r="B3541" s="20" t="s">
        <v>4009</v>
      </c>
    </row>
    <row r="3542" spans="1:2" x14ac:dyDescent="0.25">
      <c r="A3542" s="20" t="s">
        <v>4441</v>
      </c>
      <c r="B3542" s="20" t="s">
        <v>4009</v>
      </c>
    </row>
    <row r="3543" spans="1:2" x14ac:dyDescent="0.25">
      <c r="A3543" s="20" t="s">
        <v>4446</v>
      </c>
      <c r="B3543" s="20" t="s">
        <v>4009</v>
      </c>
    </row>
    <row r="3544" spans="1:2" x14ac:dyDescent="0.25">
      <c r="A3544" s="20" t="s">
        <v>4452</v>
      </c>
      <c r="B3544" s="20" t="s">
        <v>4009</v>
      </c>
    </row>
    <row r="3545" spans="1:2" x14ac:dyDescent="0.25">
      <c r="A3545" s="20" t="s">
        <v>4457</v>
      </c>
      <c r="B3545" s="20" t="s">
        <v>4009</v>
      </c>
    </row>
    <row r="3546" spans="1:2" x14ac:dyDescent="0.25">
      <c r="A3546" s="20" t="s">
        <v>4462</v>
      </c>
      <c r="B3546" s="20" t="s">
        <v>4009</v>
      </c>
    </row>
    <row r="3547" spans="1:2" x14ac:dyDescent="0.25">
      <c r="A3547" s="20" t="s">
        <v>4466</v>
      </c>
      <c r="B3547" s="20" t="s">
        <v>4009</v>
      </c>
    </row>
    <row r="3548" spans="1:2" x14ac:dyDescent="0.25">
      <c r="A3548" s="20" t="s">
        <v>4471</v>
      </c>
      <c r="B3548" s="20" t="s">
        <v>4009</v>
      </c>
    </row>
    <row r="3549" spans="1:2" x14ac:dyDescent="0.25">
      <c r="A3549" s="20" t="s">
        <v>4475</v>
      </c>
      <c r="B3549" s="20" t="s">
        <v>4009</v>
      </c>
    </row>
    <row r="3550" spans="1:2" x14ac:dyDescent="0.25">
      <c r="A3550" s="20" t="s">
        <v>4478</v>
      </c>
      <c r="B3550" s="20" t="s">
        <v>4009</v>
      </c>
    </row>
    <row r="3551" spans="1:2" x14ac:dyDescent="0.25">
      <c r="A3551" s="20" t="s">
        <v>4482</v>
      </c>
      <c r="B3551" s="20" t="s">
        <v>4009</v>
      </c>
    </row>
    <row r="3552" spans="1:2" x14ac:dyDescent="0.25">
      <c r="A3552" s="20" t="s">
        <v>4472</v>
      </c>
      <c r="B3552" s="20" t="s">
        <v>4009</v>
      </c>
    </row>
    <row r="3553" spans="1:2" x14ac:dyDescent="0.25">
      <c r="A3553" s="20" t="s">
        <v>4487</v>
      </c>
      <c r="B3553" s="20" t="s">
        <v>4009</v>
      </c>
    </row>
    <row r="3554" spans="1:2" x14ac:dyDescent="0.25">
      <c r="A3554" s="20" t="s">
        <v>4489</v>
      </c>
      <c r="B3554" s="20" t="s">
        <v>4009</v>
      </c>
    </row>
    <row r="3555" spans="1:2" x14ac:dyDescent="0.25">
      <c r="A3555" s="20">
        <v>12166594</v>
      </c>
      <c r="B3555" s="20" t="s">
        <v>4009</v>
      </c>
    </row>
    <row r="3556" spans="1:2" x14ac:dyDescent="0.25">
      <c r="A3556" s="20" t="s">
        <v>4492</v>
      </c>
      <c r="B3556" s="20" t="s">
        <v>4009</v>
      </c>
    </row>
    <row r="3557" spans="1:2" x14ac:dyDescent="0.25">
      <c r="A3557" s="20" t="s">
        <v>4495</v>
      </c>
      <c r="B3557" s="20" t="s">
        <v>4009</v>
      </c>
    </row>
    <row r="3558" spans="1:2" x14ac:dyDescent="0.25">
      <c r="A3558" s="20" t="s">
        <v>4496</v>
      </c>
      <c r="B3558" s="20" t="s">
        <v>4009</v>
      </c>
    </row>
    <row r="3559" spans="1:2" x14ac:dyDescent="0.25">
      <c r="A3559" s="20" t="s">
        <v>4497</v>
      </c>
      <c r="B3559" s="20" t="s">
        <v>4009</v>
      </c>
    </row>
    <row r="3560" spans="1:2" x14ac:dyDescent="0.25">
      <c r="A3560" s="20" t="s">
        <v>4498</v>
      </c>
      <c r="B3560" s="20" t="s">
        <v>4009</v>
      </c>
    </row>
    <row r="3561" spans="1:2" x14ac:dyDescent="0.25">
      <c r="A3561" s="20" t="s">
        <v>4500</v>
      </c>
      <c r="B3561" s="20" t="s">
        <v>4009</v>
      </c>
    </row>
    <row r="3562" spans="1:2" x14ac:dyDescent="0.25">
      <c r="A3562" s="20" t="s">
        <v>4501</v>
      </c>
      <c r="B3562" s="20" t="s">
        <v>4009</v>
      </c>
    </row>
    <row r="3563" spans="1:2" x14ac:dyDescent="0.25">
      <c r="A3563" s="20" t="s">
        <v>4503</v>
      </c>
      <c r="B3563" s="20" t="s">
        <v>4009</v>
      </c>
    </row>
    <row r="3564" spans="1:2" x14ac:dyDescent="0.25">
      <c r="A3564" s="20" t="s">
        <v>4504</v>
      </c>
      <c r="B3564" s="20" t="s">
        <v>4009</v>
      </c>
    </row>
    <row r="3565" spans="1:2" x14ac:dyDescent="0.25">
      <c r="A3565" s="20" t="s">
        <v>4505</v>
      </c>
      <c r="B3565" s="20" t="s">
        <v>4009</v>
      </c>
    </row>
    <row r="3566" spans="1:2" x14ac:dyDescent="0.25">
      <c r="A3566" s="20" t="s">
        <v>4507</v>
      </c>
      <c r="B3566" s="20" t="s">
        <v>4009</v>
      </c>
    </row>
    <row r="3567" spans="1:2" x14ac:dyDescent="0.25">
      <c r="A3567" s="20" t="s">
        <v>4509</v>
      </c>
      <c r="B3567" s="20" t="s">
        <v>4009</v>
      </c>
    </row>
    <row r="3568" spans="1:2" x14ac:dyDescent="0.25">
      <c r="A3568" s="20" t="s">
        <v>4512</v>
      </c>
      <c r="B3568" s="20" t="s">
        <v>4009</v>
      </c>
    </row>
    <row r="3569" spans="1:2" x14ac:dyDescent="0.25">
      <c r="A3569" s="20" t="s">
        <v>4516</v>
      </c>
      <c r="B3569" s="20" t="s">
        <v>4009</v>
      </c>
    </row>
    <row r="3570" spans="1:2" x14ac:dyDescent="0.25">
      <c r="A3570" s="20" t="s">
        <v>4518</v>
      </c>
      <c r="B3570" s="20" t="s">
        <v>4009</v>
      </c>
    </row>
    <row r="3571" spans="1:2" x14ac:dyDescent="0.25">
      <c r="A3571" s="20" t="s">
        <v>4521</v>
      </c>
      <c r="B3571" s="20" t="s">
        <v>4009</v>
      </c>
    </row>
    <row r="3572" spans="1:2" x14ac:dyDescent="0.25">
      <c r="A3572" s="20" t="s">
        <v>4525</v>
      </c>
      <c r="B3572" s="20" t="s">
        <v>4009</v>
      </c>
    </row>
    <row r="3573" spans="1:2" x14ac:dyDescent="0.25">
      <c r="A3573" s="20" t="s">
        <v>4526</v>
      </c>
      <c r="B3573" s="20" t="s">
        <v>4009</v>
      </c>
    </row>
    <row r="3574" spans="1:2" x14ac:dyDescent="0.25">
      <c r="A3574" s="20" t="s">
        <v>4528</v>
      </c>
      <c r="B3574" s="20" t="s">
        <v>4009</v>
      </c>
    </row>
    <row r="3575" spans="1:2" x14ac:dyDescent="0.25">
      <c r="A3575" s="20" t="s">
        <v>4530</v>
      </c>
      <c r="B3575" s="20" t="s">
        <v>4009</v>
      </c>
    </row>
    <row r="3576" spans="1:2" x14ac:dyDescent="0.25">
      <c r="A3576" s="20" t="s">
        <v>4532</v>
      </c>
      <c r="B3576" s="20" t="s">
        <v>4009</v>
      </c>
    </row>
    <row r="3577" spans="1:2" x14ac:dyDescent="0.25">
      <c r="A3577" s="20" t="s">
        <v>4535</v>
      </c>
      <c r="B3577" s="20" t="s">
        <v>4009</v>
      </c>
    </row>
    <row r="3578" spans="1:2" x14ac:dyDescent="0.25">
      <c r="A3578" s="20" t="s">
        <v>4538</v>
      </c>
      <c r="B3578" s="20" t="s">
        <v>4009</v>
      </c>
    </row>
    <row r="3579" spans="1:2" x14ac:dyDescent="0.25">
      <c r="A3579" s="20" t="s">
        <v>4540</v>
      </c>
      <c r="B3579" s="20" t="s">
        <v>4009</v>
      </c>
    </row>
    <row r="3580" spans="1:2" x14ac:dyDescent="0.25">
      <c r="A3580" s="20" t="s">
        <v>4542</v>
      </c>
      <c r="B3580" s="20" t="s">
        <v>4009</v>
      </c>
    </row>
    <row r="3581" spans="1:2" x14ac:dyDescent="0.25">
      <c r="A3581" s="20" t="s">
        <v>4544</v>
      </c>
      <c r="B3581" s="20" t="s">
        <v>4009</v>
      </c>
    </row>
    <row r="3582" spans="1:2" x14ac:dyDescent="0.25">
      <c r="A3582" s="20">
        <v>134563759</v>
      </c>
      <c r="B3582" s="20" t="s">
        <v>4009</v>
      </c>
    </row>
    <row r="3583" spans="1:2" x14ac:dyDescent="0.25">
      <c r="A3583" s="20" t="s">
        <v>4545</v>
      </c>
      <c r="B3583" s="20" t="s">
        <v>4009</v>
      </c>
    </row>
    <row r="3584" spans="1:2" x14ac:dyDescent="0.25">
      <c r="A3584" s="20" t="s">
        <v>4547</v>
      </c>
      <c r="B3584" s="20" t="s">
        <v>4009</v>
      </c>
    </row>
    <row r="3585" spans="1:2" x14ac:dyDescent="0.25">
      <c r="A3585" s="20" t="s">
        <v>4548</v>
      </c>
      <c r="B3585" s="20" t="s">
        <v>4009</v>
      </c>
    </row>
    <row r="3586" spans="1:2" x14ac:dyDescent="0.25">
      <c r="A3586" s="20" t="s">
        <v>4551</v>
      </c>
      <c r="B3586" s="20" t="s">
        <v>4009</v>
      </c>
    </row>
    <row r="3587" spans="1:2" x14ac:dyDescent="0.25">
      <c r="A3587" s="20" t="s">
        <v>4553</v>
      </c>
      <c r="B3587" s="20" t="s">
        <v>4009</v>
      </c>
    </row>
    <row r="3588" spans="1:2" x14ac:dyDescent="0.25">
      <c r="A3588" s="20">
        <v>424803245</v>
      </c>
      <c r="B3588" s="20" t="s">
        <v>4009</v>
      </c>
    </row>
    <row r="3589" spans="1:2" x14ac:dyDescent="0.25">
      <c r="A3589" s="20">
        <v>423956979</v>
      </c>
      <c r="B3589" s="20" t="s">
        <v>4009</v>
      </c>
    </row>
    <row r="3590" spans="1:2" x14ac:dyDescent="0.25">
      <c r="A3590" s="20">
        <v>424824621</v>
      </c>
      <c r="B3590" s="20" t="s">
        <v>4009</v>
      </c>
    </row>
    <row r="3591" spans="1:2" x14ac:dyDescent="0.25">
      <c r="A3591" s="20">
        <v>423956980</v>
      </c>
      <c r="B3591" s="20" t="s">
        <v>4009</v>
      </c>
    </row>
    <row r="3592" spans="1:2" x14ac:dyDescent="0.25">
      <c r="A3592" s="20" t="s">
        <v>4556</v>
      </c>
      <c r="B3592" s="20" t="s">
        <v>4009</v>
      </c>
    </row>
    <row r="3593" spans="1:2" x14ac:dyDescent="0.25">
      <c r="A3593" s="20" t="s">
        <v>4557</v>
      </c>
      <c r="B3593" s="20" t="s">
        <v>4009</v>
      </c>
    </row>
    <row r="3594" spans="1:2" x14ac:dyDescent="0.25">
      <c r="A3594" s="20" t="s">
        <v>4558</v>
      </c>
      <c r="B3594" s="20" t="s">
        <v>4009</v>
      </c>
    </row>
    <row r="3595" spans="1:2" x14ac:dyDescent="0.25">
      <c r="A3595" s="20" t="s">
        <v>4559</v>
      </c>
      <c r="B3595" s="20" t="s">
        <v>4009</v>
      </c>
    </row>
    <row r="3596" spans="1:2" x14ac:dyDescent="0.25">
      <c r="A3596" s="20" t="s">
        <v>4561</v>
      </c>
      <c r="B3596" s="20" t="s">
        <v>4009</v>
      </c>
    </row>
    <row r="3597" spans="1:2" x14ac:dyDescent="0.25">
      <c r="A3597" s="20" t="s">
        <v>4563</v>
      </c>
      <c r="B3597" s="20" t="s">
        <v>4009</v>
      </c>
    </row>
    <row r="3598" spans="1:2" x14ac:dyDescent="0.25">
      <c r="A3598" s="20" t="s">
        <v>4152</v>
      </c>
      <c r="B3598" s="20" t="s">
        <v>4009</v>
      </c>
    </row>
    <row r="3599" spans="1:2" x14ac:dyDescent="0.25">
      <c r="A3599" s="20" t="s">
        <v>4565</v>
      </c>
      <c r="B3599" s="20" t="s">
        <v>4009</v>
      </c>
    </row>
    <row r="3600" spans="1:2" x14ac:dyDescent="0.25">
      <c r="A3600" s="20" t="s">
        <v>4200</v>
      </c>
      <c r="B3600" s="20" t="s">
        <v>4009</v>
      </c>
    </row>
    <row r="3601" spans="1:2" x14ac:dyDescent="0.25">
      <c r="A3601" s="20" t="s">
        <v>4212</v>
      </c>
      <c r="B3601" s="20" t="s">
        <v>4009</v>
      </c>
    </row>
    <row r="3602" spans="1:2" x14ac:dyDescent="0.25">
      <c r="A3602" s="20" t="s">
        <v>4030</v>
      </c>
      <c r="B3602" s="20" t="s">
        <v>4009</v>
      </c>
    </row>
    <row r="3603" spans="1:2" x14ac:dyDescent="0.25">
      <c r="A3603" s="20" t="s">
        <v>4033</v>
      </c>
      <c r="B3603" s="20" t="s">
        <v>4009</v>
      </c>
    </row>
    <row r="3604" spans="1:2" x14ac:dyDescent="0.25">
      <c r="A3604" s="20" t="s">
        <v>4038</v>
      </c>
      <c r="B3604" s="20" t="s">
        <v>4009</v>
      </c>
    </row>
    <row r="3605" spans="1:2" x14ac:dyDescent="0.25">
      <c r="A3605" s="20" t="s">
        <v>4047</v>
      </c>
      <c r="B3605" s="20" t="s">
        <v>4009</v>
      </c>
    </row>
    <row r="3606" spans="1:2" x14ac:dyDescent="0.25">
      <c r="A3606" s="20" t="s">
        <v>4057</v>
      </c>
      <c r="B3606" s="20" t="s">
        <v>4009</v>
      </c>
    </row>
    <row r="3607" spans="1:2" x14ac:dyDescent="0.25">
      <c r="A3607" s="20" t="s">
        <v>4067</v>
      </c>
      <c r="B3607" s="20" t="s">
        <v>4009</v>
      </c>
    </row>
    <row r="3608" spans="1:2" x14ac:dyDescent="0.25">
      <c r="A3608" s="20" t="s">
        <v>4077</v>
      </c>
      <c r="B3608" s="20" t="s">
        <v>4009</v>
      </c>
    </row>
    <row r="3609" spans="1:2" x14ac:dyDescent="0.25">
      <c r="A3609" s="20" t="s">
        <v>4094</v>
      </c>
      <c r="B3609" s="20" t="s">
        <v>4009</v>
      </c>
    </row>
    <row r="3610" spans="1:2" x14ac:dyDescent="0.25">
      <c r="A3610" s="20" t="s">
        <v>4108</v>
      </c>
      <c r="B3610" s="20" t="s">
        <v>4009</v>
      </c>
    </row>
    <row r="3611" spans="1:2" x14ac:dyDescent="0.25">
      <c r="A3611" s="20" t="s">
        <v>4121</v>
      </c>
      <c r="B3611" s="20" t="s">
        <v>4009</v>
      </c>
    </row>
    <row r="3612" spans="1:2" x14ac:dyDescent="0.25">
      <c r="A3612" s="20">
        <v>196358965</v>
      </c>
      <c r="B3612" s="20" t="s">
        <v>4009</v>
      </c>
    </row>
    <row r="3613" spans="1:2" x14ac:dyDescent="0.25">
      <c r="A3613" s="20" t="s">
        <v>4139</v>
      </c>
      <c r="B3613" s="20" t="s">
        <v>4009</v>
      </c>
    </row>
    <row r="3614" spans="1:2" x14ac:dyDescent="0.25">
      <c r="A3614" s="20" t="s">
        <v>4150</v>
      </c>
      <c r="B3614" s="20" t="s">
        <v>4009</v>
      </c>
    </row>
    <row r="3615" spans="1:2" x14ac:dyDescent="0.25">
      <c r="A3615" s="20" t="s">
        <v>4164</v>
      </c>
      <c r="B3615" s="20" t="s">
        <v>4009</v>
      </c>
    </row>
    <row r="3616" spans="1:2" x14ac:dyDescent="0.25">
      <c r="A3616" s="20" t="s">
        <v>4183</v>
      </c>
      <c r="B3616" s="20" t="s">
        <v>4009</v>
      </c>
    </row>
    <row r="3617" spans="1:2" x14ac:dyDescent="0.25">
      <c r="A3617" s="20" t="s">
        <v>4199</v>
      </c>
      <c r="B3617" s="20" t="s">
        <v>4009</v>
      </c>
    </row>
    <row r="3618" spans="1:2" x14ac:dyDescent="0.25">
      <c r="A3618" s="20" t="s">
        <v>4211</v>
      </c>
      <c r="B3618" s="20" t="s">
        <v>4009</v>
      </c>
    </row>
    <row r="3619" spans="1:2" x14ac:dyDescent="0.25">
      <c r="A3619" s="20" t="s">
        <v>4222</v>
      </c>
      <c r="B3619" s="20" t="s">
        <v>4009</v>
      </c>
    </row>
    <row r="3620" spans="1:2" x14ac:dyDescent="0.25">
      <c r="A3620" s="20">
        <v>423972761</v>
      </c>
      <c r="B3620" s="20" t="s">
        <v>4009</v>
      </c>
    </row>
    <row r="3621" spans="1:2" x14ac:dyDescent="0.25">
      <c r="A3621" s="20" t="s">
        <v>4240</v>
      </c>
      <c r="B3621" s="20" t="s">
        <v>4009</v>
      </c>
    </row>
    <row r="3622" spans="1:2" x14ac:dyDescent="0.25">
      <c r="A3622" s="20" t="s">
        <v>4252</v>
      </c>
      <c r="B3622" s="20" t="s">
        <v>4009</v>
      </c>
    </row>
    <row r="3623" spans="1:2" x14ac:dyDescent="0.25">
      <c r="A3623" s="20" t="s">
        <v>4260</v>
      </c>
      <c r="B3623" s="20" t="s">
        <v>4009</v>
      </c>
    </row>
    <row r="3624" spans="1:2" x14ac:dyDescent="0.25">
      <c r="A3624" s="20" t="s">
        <v>4270</v>
      </c>
      <c r="B3624" s="20" t="s">
        <v>4009</v>
      </c>
    </row>
    <row r="3625" spans="1:2" x14ac:dyDescent="0.25">
      <c r="A3625" s="20" t="s">
        <v>4281</v>
      </c>
      <c r="B3625" s="20" t="s">
        <v>4009</v>
      </c>
    </row>
    <row r="3626" spans="1:2" x14ac:dyDescent="0.25">
      <c r="A3626" s="20" t="s">
        <v>4298</v>
      </c>
      <c r="B3626" s="20" t="s">
        <v>4009</v>
      </c>
    </row>
    <row r="3627" spans="1:2" x14ac:dyDescent="0.25">
      <c r="A3627" s="20" t="s">
        <v>4310</v>
      </c>
      <c r="B3627" s="20" t="s">
        <v>4009</v>
      </c>
    </row>
    <row r="3628" spans="1:2" x14ac:dyDescent="0.25">
      <c r="A3628" s="20" t="s">
        <v>4322</v>
      </c>
      <c r="B3628" s="20" t="s">
        <v>4009</v>
      </c>
    </row>
    <row r="3629" spans="1:2" x14ac:dyDescent="0.25">
      <c r="A3629" s="20" t="s">
        <v>4334</v>
      </c>
      <c r="B3629" s="20" t="s">
        <v>4009</v>
      </c>
    </row>
    <row r="3630" spans="1:2" x14ac:dyDescent="0.25">
      <c r="A3630" s="20" t="s">
        <v>4344</v>
      </c>
      <c r="B3630" s="20" t="s">
        <v>4009</v>
      </c>
    </row>
    <row r="3631" spans="1:2" x14ac:dyDescent="0.25">
      <c r="A3631" s="20" t="s">
        <v>4354</v>
      </c>
      <c r="B3631" s="20" t="s">
        <v>4009</v>
      </c>
    </row>
    <row r="3632" spans="1:2" x14ac:dyDescent="0.25">
      <c r="A3632" s="20" t="s">
        <v>4295</v>
      </c>
      <c r="B3632" s="20" t="s">
        <v>4009</v>
      </c>
    </row>
    <row r="3633" spans="1:2" x14ac:dyDescent="0.25">
      <c r="A3633" s="20">
        <v>12163074</v>
      </c>
      <c r="B3633" s="20" t="s">
        <v>4009</v>
      </c>
    </row>
    <row r="3634" spans="1:2" x14ac:dyDescent="0.25">
      <c r="A3634" s="20" t="s">
        <v>4377</v>
      </c>
      <c r="B3634" s="20" t="s">
        <v>4009</v>
      </c>
    </row>
    <row r="3635" spans="1:2" x14ac:dyDescent="0.25">
      <c r="A3635" s="20">
        <v>12158795</v>
      </c>
      <c r="B3635" s="20" t="s">
        <v>4009</v>
      </c>
    </row>
    <row r="3636" spans="1:2" x14ac:dyDescent="0.25">
      <c r="A3636" s="20" t="s">
        <v>4393</v>
      </c>
      <c r="B3636" s="20" t="s">
        <v>4009</v>
      </c>
    </row>
    <row r="3637" spans="1:2" x14ac:dyDescent="0.25">
      <c r="A3637" s="20" t="s">
        <v>4399</v>
      </c>
      <c r="B3637" s="20" t="s">
        <v>4009</v>
      </c>
    </row>
    <row r="3638" spans="1:2" x14ac:dyDescent="0.25">
      <c r="A3638" s="20" t="s">
        <v>4036</v>
      </c>
      <c r="B3638" s="20" t="s">
        <v>4009</v>
      </c>
    </row>
    <row r="3639" spans="1:2" x14ac:dyDescent="0.25">
      <c r="A3639" s="20" t="s">
        <v>4044</v>
      </c>
      <c r="B3639" s="20" t="s">
        <v>4009</v>
      </c>
    </row>
    <row r="3640" spans="1:2" x14ac:dyDescent="0.25">
      <c r="A3640" s="20" t="s">
        <v>4053</v>
      </c>
      <c r="B3640" s="20" t="s">
        <v>4009</v>
      </c>
    </row>
    <row r="3641" spans="1:2" x14ac:dyDescent="0.25">
      <c r="A3641" s="20" t="s">
        <v>4063</v>
      </c>
      <c r="B3641" s="20" t="s">
        <v>4009</v>
      </c>
    </row>
    <row r="3642" spans="1:2" x14ac:dyDescent="0.25">
      <c r="A3642" s="20" t="s">
        <v>4072</v>
      </c>
      <c r="B3642" s="20" t="s">
        <v>4009</v>
      </c>
    </row>
    <row r="3643" spans="1:2" x14ac:dyDescent="0.25">
      <c r="A3643" s="20" t="s">
        <v>4088</v>
      </c>
      <c r="B3643" s="20" t="s">
        <v>4009</v>
      </c>
    </row>
    <row r="3644" spans="1:2" x14ac:dyDescent="0.25">
      <c r="A3644" s="20" t="s">
        <v>4103</v>
      </c>
      <c r="B3644" s="20" t="s">
        <v>4009</v>
      </c>
    </row>
    <row r="3645" spans="1:2" x14ac:dyDescent="0.25">
      <c r="A3645" s="20">
        <v>-197974065</v>
      </c>
      <c r="B3645" s="20" t="s">
        <v>4009</v>
      </c>
    </row>
    <row r="3646" spans="1:2" x14ac:dyDescent="0.25">
      <c r="A3646" s="20" t="s">
        <v>4129</v>
      </c>
      <c r="B3646" s="20" t="s">
        <v>4009</v>
      </c>
    </row>
    <row r="3647" spans="1:2" x14ac:dyDescent="0.25">
      <c r="A3647" s="20" t="s">
        <v>4136</v>
      </c>
      <c r="B3647" s="20" t="s">
        <v>4009</v>
      </c>
    </row>
    <row r="3648" spans="1:2" x14ac:dyDescent="0.25">
      <c r="A3648" s="20" t="s">
        <v>4147</v>
      </c>
      <c r="B3648" s="20" t="s">
        <v>4009</v>
      </c>
    </row>
    <row r="3649" spans="1:2" x14ac:dyDescent="0.25">
      <c r="A3649" s="20">
        <v>145818800</v>
      </c>
      <c r="B3649" s="20" t="s">
        <v>4009</v>
      </c>
    </row>
    <row r="3650" spans="1:2" x14ac:dyDescent="0.25">
      <c r="A3650" s="20" t="s">
        <v>4178</v>
      </c>
      <c r="B3650" s="20" t="s">
        <v>4009</v>
      </c>
    </row>
    <row r="3651" spans="1:2" x14ac:dyDescent="0.25">
      <c r="A3651" s="20" t="s">
        <v>4146</v>
      </c>
      <c r="B3651" s="20" t="s">
        <v>4009</v>
      </c>
    </row>
    <row r="3652" spans="1:2" x14ac:dyDescent="0.25">
      <c r="A3652" s="20">
        <v>-12174962</v>
      </c>
      <c r="B3652" s="20" t="s">
        <v>4009</v>
      </c>
    </row>
    <row r="3653" spans="1:2" x14ac:dyDescent="0.25">
      <c r="A3653" s="20" t="s">
        <v>4177</v>
      </c>
      <c r="B3653" s="20" t="s">
        <v>4009</v>
      </c>
    </row>
    <row r="3654" spans="1:2" x14ac:dyDescent="0.25">
      <c r="A3654" s="20" t="s">
        <v>4195</v>
      </c>
      <c r="B3654" s="20" t="s">
        <v>4009</v>
      </c>
    </row>
    <row r="3655" spans="1:2" x14ac:dyDescent="0.25">
      <c r="A3655" s="20" t="s">
        <v>4209</v>
      </c>
      <c r="B3655" s="20" t="s">
        <v>4009</v>
      </c>
    </row>
    <row r="3656" spans="1:2" x14ac:dyDescent="0.25">
      <c r="A3656" s="20">
        <v>-377438344</v>
      </c>
      <c r="B3656" s="20" t="s">
        <v>4009</v>
      </c>
    </row>
    <row r="3657" spans="1:2" x14ac:dyDescent="0.25">
      <c r="A3657" s="20" t="s">
        <v>4228</v>
      </c>
      <c r="B3657" s="20" t="s">
        <v>4009</v>
      </c>
    </row>
    <row r="3658" spans="1:2" x14ac:dyDescent="0.25">
      <c r="A3658" s="20" t="s">
        <v>4237</v>
      </c>
      <c r="B3658" s="20" t="s">
        <v>4009</v>
      </c>
    </row>
    <row r="3659" spans="1:2" x14ac:dyDescent="0.25">
      <c r="A3659" s="20" t="s">
        <v>4249</v>
      </c>
      <c r="B3659" s="20" t="s">
        <v>4009</v>
      </c>
    </row>
    <row r="3660" spans="1:2" x14ac:dyDescent="0.25">
      <c r="A3660" s="20" t="s">
        <v>4258</v>
      </c>
      <c r="B3660" s="20" t="s">
        <v>4009</v>
      </c>
    </row>
    <row r="3661" spans="1:2" x14ac:dyDescent="0.25">
      <c r="A3661" s="20" t="s">
        <v>4266</v>
      </c>
      <c r="B3661" s="20" t="s">
        <v>4009</v>
      </c>
    </row>
    <row r="3662" spans="1:2" x14ac:dyDescent="0.25">
      <c r="A3662" s="20" t="s">
        <v>4276</v>
      </c>
      <c r="B3662" s="20" t="s">
        <v>4009</v>
      </c>
    </row>
    <row r="3663" spans="1:2" x14ac:dyDescent="0.25">
      <c r="A3663" s="20" t="s">
        <v>4292</v>
      </c>
      <c r="B3663" s="20" t="s">
        <v>4009</v>
      </c>
    </row>
    <row r="3664" spans="1:2" x14ac:dyDescent="0.25">
      <c r="A3664" s="20" t="s">
        <v>4305</v>
      </c>
      <c r="B3664" s="20" t="s">
        <v>4009</v>
      </c>
    </row>
    <row r="3665" spans="1:2" x14ac:dyDescent="0.25">
      <c r="A3665" s="20">
        <v>-12143825</v>
      </c>
      <c r="B3665" s="20" t="s">
        <v>4009</v>
      </c>
    </row>
    <row r="3666" spans="1:2" x14ac:dyDescent="0.25">
      <c r="A3666" s="20" t="s">
        <v>4329</v>
      </c>
      <c r="B3666" s="20" t="s">
        <v>4009</v>
      </c>
    </row>
    <row r="3667" spans="1:2" x14ac:dyDescent="0.25">
      <c r="A3667" s="20" t="s">
        <v>4339</v>
      </c>
      <c r="B3667" s="20" t="s">
        <v>4009</v>
      </c>
    </row>
    <row r="3668" spans="1:2" x14ac:dyDescent="0.25">
      <c r="A3668" s="20" t="s">
        <v>4349</v>
      </c>
      <c r="B3668" s="20" t="s">
        <v>4009</v>
      </c>
    </row>
    <row r="3669" spans="1:2" x14ac:dyDescent="0.25">
      <c r="A3669" s="20" t="s">
        <v>4358</v>
      </c>
      <c r="B3669" s="20" t="s">
        <v>4009</v>
      </c>
    </row>
    <row r="3670" spans="1:2" x14ac:dyDescent="0.25">
      <c r="A3670" s="20" t="s">
        <v>4366</v>
      </c>
      <c r="B3670" s="20" t="s">
        <v>4009</v>
      </c>
    </row>
    <row r="3671" spans="1:2" x14ac:dyDescent="0.25">
      <c r="A3671" s="20" t="s">
        <v>4372</v>
      </c>
      <c r="B3671" s="20" t="s">
        <v>4009</v>
      </c>
    </row>
    <row r="3672" spans="1:2" x14ac:dyDescent="0.25">
      <c r="A3672" s="20" t="s">
        <v>4380</v>
      </c>
      <c r="B3672" s="20" t="s">
        <v>4009</v>
      </c>
    </row>
    <row r="3673" spans="1:2" x14ac:dyDescent="0.25">
      <c r="A3673" s="20" t="s">
        <v>4388</v>
      </c>
      <c r="B3673" s="20" t="s">
        <v>4009</v>
      </c>
    </row>
    <row r="3674" spans="1:2" x14ac:dyDescent="0.25">
      <c r="A3674" s="20">
        <v>165303424</v>
      </c>
      <c r="B3674" s="20" t="s">
        <v>4009</v>
      </c>
    </row>
    <row r="3675" spans="1:2" x14ac:dyDescent="0.25">
      <c r="A3675" s="20" t="s">
        <v>4402</v>
      </c>
      <c r="B3675" s="20" t="s">
        <v>4009</v>
      </c>
    </row>
    <row r="3676" spans="1:2" x14ac:dyDescent="0.25">
      <c r="A3676" s="20" t="s">
        <v>4408</v>
      </c>
      <c r="B3676" s="20" t="s">
        <v>4009</v>
      </c>
    </row>
    <row r="3677" spans="1:2" x14ac:dyDescent="0.25">
      <c r="A3677" s="20" t="s">
        <v>4413</v>
      </c>
      <c r="B3677" s="20" t="s">
        <v>4009</v>
      </c>
    </row>
    <row r="3678" spans="1:2" x14ac:dyDescent="0.25">
      <c r="A3678" s="20" t="s">
        <v>4417</v>
      </c>
      <c r="B3678" s="20" t="s">
        <v>4009</v>
      </c>
    </row>
    <row r="3679" spans="1:2" x14ac:dyDescent="0.25">
      <c r="A3679" s="20" t="s">
        <v>4422</v>
      </c>
      <c r="B3679" s="20" t="s">
        <v>4009</v>
      </c>
    </row>
    <row r="3680" spans="1:2" x14ac:dyDescent="0.25">
      <c r="A3680" s="20" t="s">
        <v>4428</v>
      </c>
      <c r="B3680" s="20" t="s">
        <v>4009</v>
      </c>
    </row>
    <row r="3681" spans="1:2" x14ac:dyDescent="0.25">
      <c r="A3681" s="20" t="s">
        <v>4010</v>
      </c>
      <c r="B3681" s="20" t="s">
        <v>4010</v>
      </c>
    </row>
    <row r="3682" spans="1:2" x14ac:dyDescent="0.25">
      <c r="A3682" s="20" t="s">
        <v>4028</v>
      </c>
      <c r="B3682" s="20" t="s">
        <v>4010</v>
      </c>
    </row>
    <row r="3683" spans="1:2" x14ac:dyDescent="0.25">
      <c r="A3683" s="20">
        <v>-448887867</v>
      </c>
      <c r="B3683" s="20" t="s">
        <v>4010</v>
      </c>
    </row>
    <row r="3684" spans="1:2" x14ac:dyDescent="0.25">
      <c r="A3684" s="20">
        <v>-448887869</v>
      </c>
      <c r="B3684" s="20" t="s">
        <v>4010</v>
      </c>
    </row>
    <row r="3685" spans="1:2" x14ac:dyDescent="0.25">
      <c r="A3685" s="20">
        <v>-448887902</v>
      </c>
      <c r="B3685" s="20" t="s">
        <v>4010</v>
      </c>
    </row>
    <row r="3686" spans="1:2" x14ac:dyDescent="0.25">
      <c r="A3686" s="20">
        <v>-196358958</v>
      </c>
      <c r="B3686" s="20" t="s">
        <v>4010</v>
      </c>
    </row>
    <row r="3687" spans="1:2" x14ac:dyDescent="0.25">
      <c r="A3687" s="20" t="s">
        <v>4065</v>
      </c>
      <c r="B3687" s="20" t="s">
        <v>4010</v>
      </c>
    </row>
    <row r="3688" spans="1:2" x14ac:dyDescent="0.25">
      <c r="A3688" s="20" t="s">
        <v>4075</v>
      </c>
      <c r="B3688" s="20" t="s">
        <v>4010</v>
      </c>
    </row>
    <row r="3689" spans="1:2" x14ac:dyDescent="0.25">
      <c r="A3689" s="20" t="s">
        <v>4092</v>
      </c>
      <c r="B3689" s="20" t="s">
        <v>4010</v>
      </c>
    </row>
    <row r="3690" spans="1:2" x14ac:dyDescent="0.25">
      <c r="A3690" s="20" t="s">
        <v>4106</v>
      </c>
      <c r="B3690" s="20" t="s">
        <v>4010</v>
      </c>
    </row>
    <row r="3691" spans="1:2" x14ac:dyDescent="0.25">
      <c r="A3691" s="20" t="s">
        <v>4119</v>
      </c>
      <c r="B3691" s="20" t="s">
        <v>4010</v>
      </c>
    </row>
    <row r="3692" spans="1:2" x14ac:dyDescent="0.25">
      <c r="A3692" s="20">
        <v>448887904</v>
      </c>
      <c r="B3692" s="20" t="s">
        <v>4010</v>
      </c>
    </row>
    <row r="3693" spans="1:2" x14ac:dyDescent="0.25">
      <c r="A3693" s="20">
        <v>448887906</v>
      </c>
      <c r="B3693" s="20" t="s">
        <v>4010</v>
      </c>
    </row>
    <row r="3694" spans="1:2" x14ac:dyDescent="0.25">
      <c r="A3694" s="20">
        <v>448887908</v>
      </c>
      <c r="B3694" s="20" t="s">
        <v>4010</v>
      </c>
    </row>
    <row r="3695" spans="1:2" x14ac:dyDescent="0.25">
      <c r="A3695" s="20">
        <v>448887907</v>
      </c>
      <c r="B3695" s="20" t="s">
        <v>4010</v>
      </c>
    </row>
    <row r="3696" spans="1:2" x14ac:dyDescent="0.25">
      <c r="A3696" s="20" t="s">
        <v>4181</v>
      </c>
      <c r="B3696" s="20" t="s">
        <v>4010</v>
      </c>
    </row>
    <row r="3697" spans="1:2" x14ac:dyDescent="0.25">
      <c r="A3697" s="20">
        <v>12333487</v>
      </c>
      <c r="B3697" s="20" t="s">
        <v>4010</v>
      </c>
    </row>
    <row r="3698" spans="1:2" x14ac:dyDescent="0.25">
      <c r="A3698" s="20">
        <v>-12334061</v>
      </c>
      <c r="B3698" s="20" t="s">
        <v>4010</v>
      </c>
    </row>
    <row r="3699" spans="1:2" x14ac:dyDescent="0.25">
      <c r="A3699" s="20" t="s">
        <v>4221</v>
      </c>
      <c r="B3699" s="20" t="s">
        <v>4010</v>
      </c>
    </row>
    <row r="3700" spans="1:2" x14ac:dyDescent="0.25">
      <c r="A3700" s="20" t="s">
        <v>4230</v>
      </c>
      <c r="B3700" s="20" t="s">
        <v>4010</v>
      </c>
    </row>
    <row r="3701" spans="1:2" x14ac:dyDescent="0.25">
      <c r="A3701" s="20" t="s">
        <v>4239</v>
      </c>
      <c r="B3701" s="20" t="s">
        <v>4010</v>
      </c>
    </row>
    <row r="3702" spans="1:2" x14ac:dyDescent="0.25">
      <c r="A3702" s="20" t="s">
        <v>4251</v>
      </c>
      <c r="B3702" s="20" t="s">
        <v>4010</v>
      </c>
    </row>
    <row r="3703" spans="1:2" x14ac:dyDescent="0.25">
      <c r="A3703" s="20">
        <v>-423966001</v>
      </c>
      <c r="B3703" s="20" t="s">
        <v>4010</v>
      </c>
    </row>
    <row r="3704" spans="1:2" x14ac:dyDescent="0.25">
      <c r="A3704" s="20" t="s">
        <v>4269</v>
      </c>
      <c r="B3704" s="20" t="s">
        <v>4010</v>
      </c>
    </row>
    <row r="3705" spans="1:2" x14ac:dyDescent="0.25">
      <c r="A3705" s="20" t="s">
        <v>4280</v>
      </c>
      <c r="B3705" s="20" t="s">
        <v>4010</v>
      </c>
    </row>
    <row r="3706" spans="1:2" x14ac:dyDescent="0.25">
      <c r="A3706" s="20" t="s">
        <v>4297</v>
      </c>
      <c r="B3706" s="20" t="s">
        <v>4010</v>
      </c>
    </row>
    <row r="3707" spans="1:2" x14ac:dyDescent="0.25">
      <c r="A3707" s="20" t="s">
        <v>4309</v>
      </c>
      <c r="B3707" s="20" t="s">
        <v>4010</v>
      </c>
    </row>
    <row r="3708" spans="1:2" x14ac:dyDescent="0.25">
      <c r="A3708" s="20" t="s">
        <v>4321</v>
      </c>
      <c r="B3708" s="20" t="s">
        <v>4010</v>
      </c>
    </row>
    <row r="3709" spans="1:2" x14ac:dyDescent="0.25">
      <c r="A3709" s="20" t="s">
        <v>4333</v>
      </c>
      <c r="B3709" s="20" t="s">
        <v>4010</v>
      </c>
    </row>
    <row r="3710" spans="1:2" x14ac:dyDescent="0.25">
      <c r="A3710" s="20" t="s">
        <v>4343</v>
      </c>
      <c r="B3710" s="20" t="s">
        <v>4010</v>
      </c>
    </row>
    <row r="3711" spans="1:2" x14ac:dyDescent="0.25">
      <c r="A3711" s="20" t="s">
        <v>4353</v>
      </c>
      <c r="B3711" s="20" t="s">
        <v>4010</v>
      </c>
    </row>
    <row r="3712" spans="1:2" x14ac:dyDescent="0.25">
      <c r="A3712" s="20" t="s">
        <v>4363</v>
      </c>
      <c r="B3712" s="20" t="s">
        <v>4010</v>
      </c>
    </row>
    <row r="3713" spans="1:2" x14ac:dyDescent="0.25">
      <c r="A3713" s="20" t="s">
        <v>4370</v>
      </c>
      <c r="B3713" s="20" t="s">
        <v>4010</v>
      </c>
    </row>
    <row r="3714" spans="1:2" x14ac:dyDescent="0.25">
      <c r="A3714" s="20" t="s">
        <v>4376</v>
      </c>
      <c r="B3714" s="20" t="s">
        <v>4010</v>
      </c>
    </row>
    <row r="3715" spans="1:2" x14ac:dyDescent="0.25">
      <c r="A3715" s="20" t="s">
        <v>4385</v>
      </c>
      <c r="B3715" s="20" t="s">
        <v>4010</v>
      </c>
    </row>
    <row r="3716" spans="1:2" x14ac:dyDescent="0.25">
      <c r="A3716" s="20" t="s">
        <v>4392</v>
      </c>
      <c r="B3716" s="20" t="s">
        <v>4010</v>
      </c>
    </row>
    <row r="3717" spans="1:2" x14ac:dyDescent="0.25">
      <c r="A3717" s="20" t="s">
        <v>4398</v>
      </c>
      <c r="B3717" s="20" t="s">
        <v>4010</v>
      </c>
    </row>
    <row r="3718" spans="1:2" x14ac:dyDescent="0.25">
      <c r="A3718" s="20" t="s">
        <v>4405</v>
      </c>
      <c r="B3718" s="20" t="s">
        <v>4010</v>
      </c>
    </row>
    <row r="3719" spans="1:2" x14ac:dyDescent="0.25">
      <c r="A3719" s="20" t="s">
        <v>4410</v>
      </c>
      <c r="B3719" s="20" t="s">
        <v>4010</v>
      </c>
    </row>
    <row r="3720" spans="1:2" x14ac:dyDescent="0.25">
      <c r="A3720" s="20" t="s">
        <v>4415</v>
      </c>
      <c r="B3720" s="20" t="s">
        <v>4010</v>
      </c>
    </row>
    <row r="3721" spans="1:2" x14ac:dyDescent="0.25">
      <c r="A3721" s="20" t="s">
        <v>4419</v>
      </c>
      <c r="B3721" s="20" t="s">
        <v>4010</v>
      </c>
    </row>
    <row r="3722" spans="1:2" x14ac:dyDescent="0.25">
      <c r="A3722" s="20" t="s">
        <v>4425</v>
      </c>
      <c r="B3722" s="20" t="s">
        <v>4010</v>
      </c>
    </row>
    <row r="3723" spans="1:2" x14ac:dyDescent="0.25">
      <c r="A3723" s="20" t="s">
        <v>4431</v>
      </c>
      <c r="B3723" s="20" t="s">
        <v>4010</v>
      </c>
    </row>
    <row r="3724" spans="1:2" x14ac:dyDescent="0.25">
      <c r="A3724" s="20" t="s">
        <v>4436</v>
      </c>
      <c r="B3724" s="20" t="s">
        <v>4010</v>
      </c>
    </row>
    <row r="3725" spans="1:2" x14ac:dyDescent="0.25">
      <c r="A3725" s="20" t="s">
        <v>4442</v>
      </c>
      <c r="B3725" s="20" t="s">
        <v>4010</v>
      </c>
    </row>
    <row r="3726" spans="1:2" x14ac:dyDescent="0.25">
      <c r="A3726" s="20" t="s">
        <v>4229</v>
      </c>
      <c r="B3726" s="20" t="s">
        <v>4010</v>
      </c>
    </row>
    <row r="3727" spans="1:2" x14ac:dyDescent="0.25">
      <c r="A3727" s="20" t="s">
        <v>4238</v>
      </c>
      <c r="B3727" s="20" t="s">
        <v>4010</v>
      </c>
    </row>
    <row r="3728" spans="1:2" x14ac:dyDescent="0.25">
      <c r="A3728" s="20" t="s">
        <v>4250</v>
      </c>
      <c r="B3728" s="20" t="s">
        <v>4010</v>
      </c>
    </row>
    <row r="3729" spans="1:2" x14ac:dyDescent="0.25">
      <c r="A3729" s="20" t="s">
        <v>4259</v>
      </c>
      <c r="B3729" s="20" t="s">
        <v>4010</v>
      </c>
    </row>
    <row r="3730" spans="1:2" x14ac:dyDescent="0.25">
      <c r="A3730" s="20" t="s">
        <v>4267</v>
      </c>
      <c r="B3730" s="20" t="s">
        <v>4010</v>
      </c>
    </row>
    <row r="3731" spans="1:2" x14ac:dyDescent="0.25">
      <c r="A3731" s="20" t="s">
        <v>4277</v>
      </c>
      <c r="B3731" s="20" t="s">
        <v>4010</v>
      </c>
    </row>
    <row r="3732" spans="1:2" x14ac:dyDescent="0.25">
      <c r="A3732" s="20" t="s">
        <v>4293</v>
      </c>
      <c r="B3732" s="20" t="s">
        <v>4010</v>
      </c>
    </row>
    <row r="3733" spans="1:2" x14ac:dyDescent="0.25">
      <c r="A3733" s="20" t="s">
        <v>4306</v>
      </c>
      <c r="B3733" s="20" t="s">
        <v>4010</v>
      </c>
    </row>
    <row r="3734" spans="1:2" x14ac:dyDescent="0.25">
      <c r="A3734" s="20" t="s">
        <v>4318</v>
      </c>
      <c r="B3734" s="20" t="s">
        <v>4010</v>
      </c>
    </row>
    <row r="3735" spans="1:2" x14ac:dyDescent="0.25">
      <c r="A3735" s="20" t="s">
        <v>4330</v>
      </c>
      <c r="B3735" s="20" t="s">
        <v>4010</v>
      </c>
    </row>
    <row r="3736" spans="1:2" x14ac:dyDescent="0.25">
      <c r="A3736" s="20" t="s">
        <v>4340</v>
      </c>
      <c r="B3736" s="20" t="s">
        <v>4010</v>
      </c>
    </row>
    <row r="3737" spans="1:2" x14ac:dyDescent="0.25">
      <c r="A3737" s="20" t="s">
        <v>4350</v>
      </c>
      <c r="B3737" s="20" t="s">
        <v>4010</v>
      </c>
    </row>
    <row r="3738" spans="1:2" x14ac:dyDescent="0.25">
      <c r="A3738" s="20" t="s">
        <v>4359</v>
      </c>
      <c r="B3738" s="20" t="s">
        <v>4010</v>
      </c>
    </row>
    <row r="3739" spans="1:2" x14ac:dyDescent="0.25">
      <c r="A3739" s="20" t="s">
        <v>4367</v>
      </c>
      <c r="B3739" s="20" t="s">
        <v>4010</v>
      </c>
    </row>
    <row r="3740" spans="1:2" x14ac:dyDescent="0.25">
      <c r="A3740" s="20" t="s">
        <v>4373</v>
      </c>
      <c r="B3740" s="20" t="s">
        <v>4010</v>
      </c>
    </row>
    <row r="3741" spans="1:2" x14ac:dyDescent="0.25">
      <c r="A3741" s="20" t="s">
        <v>4381</v>
      </c>
      <c r="B3741" s="20" t="s">
        <v>4010</v>
      </c>
    </row>
    <row r="3742" spans="1:2" x14ac:dyDescent="0.25">
      <c r="A3742" s="20" t="s">
        <v>4389</v>
      </c>
      <c r="B3742" s="20" t="s">
        <v>4010</v>
      </c>
    </row>
    <row r="3743" spans="1:2" x14ac:dyDescent="0.25">
      <c r="A3743" s="20" t="s">
        <v>4396</v>
      </c>
      <c r="B3743" s="20" t="s">
        <v>4010</v>
      </c>
    </row>
    <row r="3744" spans="1:2" x14ac:dyDescent="0.25">
      <c r="A3744" s="20" t="s">
        <v>4403</v>
      </c>
      <c r="B3744" s="20" t="s">
        <v>4010</v>
      </c>
    </row>
    <row r="3745" spans="1:2" x14ac:dyDescent="0.25">
      <c r="A3745" s="20" t="s">
        <v>4409</v>
      </c>
      <c r="B3745" s="20" t="s">
        <v>4010</v>
      </c>
    </row>
    <row r="3746" spans="1:2" x14ac:dyDescent="0.25">
      <c r="A3746" s="20" t="s">
        <v>4414</v>
      </c>
      <c r="B3746" s="20" t="s">
        <v>4010</v>
      </c>
    </row>
    <row r="3747" spans="1:2" x14ac:dyDescent="0.25">
      <c r="A3747" s="20" t="s">
        <v>4418</v>
      </c>
      <c r="B3747" s="20" t="s">
        <v>4010</v>
      </c>
    </row>
    <row r="3748" spans="1:2" x14ac:dyDescent="0.25">
      <c r="A3748" s="20" t="s">
        <v>4423</v>
      </c>
      <c r="B3748" s="20" t="s">
        <v>4010</v>
      </c>
    </row>
    <row r="3749" spans="1:2" x14ac:dyDescent="0.25">
      <c r="A3749" s="20" t="s">
        <v>4429</v>
      </c>
      <c r="B3749" s="20" t="s">
        <v>4010</v>
      </c>
    </row>
    <row r="3750" spans="1:2" x14ac:dyDescent="0.25">
      <c r="A3750" s="20" t="s">
        <v>4434</v>
      </c>
      <c r="B3750" s="20" t="s">
        <v>4010</v>
      </c>
    </row>
    <row r="3751" spans="1:2" x14ac:dyDescent="0.25">
      <c r="A3751" s="20" t="s">
        <v>4439</v>
      </c>
      <c r="B3751" s="20" t="s">
        <v>4010</v>
      </c>
    </row>
    <row r="3752" spans="1:2" x14ac:dyDescent="0.25">
      <c r="A3752" s="20" t="s">
        <v>4198</v>
      </c>
      <c r="B3752" s="20" t="s">
        <v>4010</v>
      </c>
    </row>
    <row r="3753" spans="1:2" x14ac:dyDescent="0.25">
      <c r="A3753" s="20" t="s">
        <v>4011</v>
      </c>
      <c r="B3753" s="20" t="s">
        <v>4011</v>
      </c>
    </row>
    <row r="3754" spans="1:2" x14ac:dyDescent="0.25">
      <c r="A3754" s="20" t="s">
        <v>4028</v>
      </c>
      <c r="B3754" s="20" t="s">
        <v>4011</v>
      </c>
    </row>
    <row r="3755" spans="1:2" x14ac:dyDescent="0.25">
      <c r="A3755" s="20">
        <v>-448887867</v>
      </c>
      <c r="B3755" s="20" t="s">
        <v>4011</v>
      </c>
    </row>
    <row r="3756" spans="1:2" x14ac:dyDescent="0.25">
      <c r="A3756" s="20">
        <v>-448887869</v>
      </c>
      <c r="B3756" s="20" t="s">
        <v>4011</v>
      </c>
    </row>
    <row r="3757" spans="1:2" x14ac:dyDescent="0.25">
      <c r="A3757" s="20">
        <v>-448887902</v>
      </c>
      <c r="B3757" s="20" t="s">
        <v>4011</v>
      </c>
    </row>
    <row r="3758" spans="1:2" x14ac:dyDescent="0.25">
      <c r="A3758" s="20">
        <v>-196358958</v>
      </c>
      <c r="B3758" s="20" t="s">
        <v>4011</v>
      </c>
    </row>
    <row r="3759" spans="1:2" x14ac:dyDescent="0.25">
      <c r="A3759" s="20" t="s">
        <v>4065</v>
      </c>
      <c r="B3759" s="20" t="s">
        <v>4011</v>
      </c>
    </row>
    <row r="3760" spans="1:2" x14ac:dyDescent="0.25">
      <c r="A3760" s="20" t="s">
        <v>4075</v>
      </c>
      <c r="B3760" s="20" t="s">
        <v>4011</v>
      </c>
    </row>
    <row r="3761" spans="1:2" x14ac:dyDescent="0.25">
      <c r="A3761" s="20" t="s">
        <v>4092</v>
      </c>
      <c r="B3761" s="20" t="s">
        <v>4011</v>
      </c>
    </row>
    <row r="3762" spans="1:2" x14ac:dyDescent="0.25">
      <c r="A3762" s="20" t="s">
        <v>4106</v>
      </c>
      <c r="B3762" s="20" t="s">
        <v>4011</v>
      </c>
    </row>
    <row r="3763" spans="1:2" x14ac:dyDescent="0.25">
      <c r="A3763" s="20" t="s">
        <v>4119</v>
      </c>
      <c r="B3763" s="20" t="s">
        <v>4011</v>
      </c>
    </row>
    <row r="3764" spans="1:2" x14ac:dyDescent="0.25">
      <c r="A3764" s="20">
        <v>448887904</v>
      </c>
      <c r="B3764" s="20" t="s">
        <v>4011</v>
      </c>
    </row>
    <row r="3765" spans="1:2" x14ac:dyDescent="0.25">
      <c r="A3765" s="20">
        <v>448887906</v>
      </c>
      <c r="B3765" s="20" t="s">
        <v>4011</v>
      </c>
    </row>
    <row r="3766" spans="1:2" x14ac:dyDescent="0.25">
      <c r="A3766" s="20">
        <v>448887908</v>
      </c>
      <c r="B3766" s="20" t="s">
        <v>4011</v>
      </c>
    </row>
    <row r="3767" spans="1:2" x14ac:dyDescent="0.25">
      <c r="A3767" s="20">
        <v>448887907</v>
      </c>
      <c r="B3767" s="20" t="s">
        <v>4011</v>
      </c>
    </row>
    <row r="3768" spans="1:2" x14ac:dyDescent="0.25">
      <c r="A3768" s="20" t="s">
        <v>4181</v>
      </c>
      <c r="B3768" s="20" t="s">
        <v>4011</v>
      </c>
    </row>
    <row r="3769" spans="1:2" x14ac:dyDescent="0.25">
      <c r="A3769" s="20">
        <v>12333487</v>
      </c>
      <c r="B3769" s="20" t="s">
        <v>4011</v>
      </c>
    </row>
    <row r="3770" spans="1:2" x14ac:dyDescent="0.25">
      <c r="A3770" s="20">
        <v>-12334061</v>
      </c>
      <c r="B3770" s="20" t="s">
        <v>4011</v>
      </c>
    </row>
    <row r="3771" spans="1:2" x14ac:dyDescent="0.25">
      <c r="A3771" s="20" t="s">
        <v>4221</v>
      </c>
      <c r="B3771" s="20" t="s">
        <v>4011</v>
      </c>
    </row>
    <row r="3772" spans="1:2" x14ac:dyDescent="0.25">
      <c r="A3772" s="20" t="s">
        <v>4230</v>
      </c>
      <c r="B3772" s="20" t="s">
        <v>4011</v>
      </c>
    </row>
    <row r="3773" spans="1:2" x14ac:dyDescent="0.25">
      <c r="A3773" s="20" t="s">
        <v>4239</v>
      </c>
      <c r="B3773" s="20" t="s">
        <v>4011</v>
      </c>
    </row>
    <row r="3774" spans="1:2" x14ac:dyDescent="0.25">
      <c r="A3774" s="20" t="s">
        <v>4251</v>
      </c>
      <c r="B3774" s="20" t="s">
        <v>4011</v>
      </c>
    </row>
    <row r="3775" spans="1:2" x14ac:dyDescent="0.25">
      <c r="A3775" s="20">
        <v>-423966001</v>
      </c>
      <c r="B3775" s="20" t="s">
        <v>4011</v>
      </c>
    </row>
    <row r="3776" spans="1:2" x14ac:dyDescent="0.25">
      <c r="A3776" s="20" t="s">
        <v>4269</v>
      </c>
      <c r="B3776" s="20" t="s">
        <v>4011</v>
      </c>
    </row>
    <row r="3777" spans="1:2" x14ac:dyDescent="0.25">
      <c r="A3777" s="20" t="s">
        <v>4280</v>
      </c>
      <c r="B3777" s="20" t="s">
        <v>4011</v>
      </c>
    </row>
    <row r="3778" spans="1:2" x14ac:dyDescent="0.25">
      <c r="A3778" s="20" t="s">
        <v>4297</v>
      </c>
      <c r="B3778" s="20" t="s">
        <v>4011</v>
      </c>
    </row>
    <row r="3779" spans="1:2" x14ac:dyDescent="0.25">
      <c r="A3779" s="20" t="s">
        <v>4309</v>
      </c>
      <c r="B3779" s="20" t="s">
        <v>4011</v>
      </c>
    </row>
    <row r="3780" spans="1:2" x14ac:dyDescent="0.25">
      <c r="A3780" s="20" t="s">
        <v>4321</v>
      </c>
      <c r="B3780" s="20" t="s">
        <v>4011</v>
      </c>
    </row>
    <row r="3781" spans="1:2" x14ac:dyDescent="0.25">
      <c r="A3781" s="20" t="s">
        <v>4333</v>
      </c>
      <c r="B3781" s="20" t="s">
        <v>4011</v>
      </c>
    </row>
    <row r="3782" spans="1:2" x14ac:dyDescent="0.25">
      <c r="A3782" s="20" t="s">
        <v>4343</v>
      </c>
      <c r="B3782" s="20" t="s">
        <v>4011</v>
      </c>
    </row>
    <row r="3783" spans="1:2" x14ac:dyDescent="0.25">
      <c r="A3783" s="20" t="s">
        <v>4353</v>
      </c>
      <c r="B3783" s="20" t="s">
        <v>4011</v>
      </c>
    </row>
    <row r="3784" spans="1:2" x14ac:dyDescent="0.25">
      <c r="A3784" s="20" t="s">
        <v>4363</v>
      </c>
      <c r="B3784" s="20" t="s">
        <v>4011</v>
      </c>
    </row>
    <row r="3785" spans="1:2" x14ac:dyDescent="0.25">
      <c r="A3785" s="20" t="s">
        <v>4370</v>
      </c>
      <c r="B3785" s="20" t="s">
        <v>4011</v>
      </c>
    </row>
    <row r="3786" spans="1:2" x14ac:dyDescent="0.25">
      <c r="A3786" s="20" t="s">
        <v>4376</v>
      </c>
      <c r="B3786" s="20" t="s">
        <v>4011</v>
      </c>
    </row>
    <row r="3787" spans="1:2" x14ac:dyDescent="0.25">
      <c r="A3787" s="20" t="s">
        <v>4385</v>
      </c>
      <c r="B3787" s="20" t="s">
        <v>4011</v>
      </c>
    </row>
    <row r="3788" spans="1:2" x14ac:dyDescent="0.25">
      <c r="A3788" s="20" t="s">
        <v>4392</v>
      </c>
      <c r="B3788" s="20" t="s">
        <v>4011</v>
      </c>
    </row>
    <row r="3789" spans="1:2" x14ac:dyDescent="0.25">
      <c r="A3789" s="20" t="s">
        <v>4398</v>
      </c>
      <c r="B3789" s="20" t="s">
        <v>4011</v>
      </c>
    </row>
    <row r="3790" spans="1:2" x14ac:dyDescent="0.25">
      <c r="A3790" s="20" t="s">
        <v>4405</v>
      </c>
      <c r="B3790" s="20" t="s">
        <v>4011</v>
      </c>
    </row>
    <row r="3791" spans="1:2" x14ac:dyDescent="0.25">
      <c r="A3791" s="20" t="s">
        <v>4410</v>
      </c>
      <c r="B3791" s="20" t="s">
        <v>4011</v>
      </c>
    </row>
    <row r="3792" spans="1:2" x14ac:dyDescent="0.25">
      <c r="A3792" s="20" t="s">
        <v>4415</v>
      </c>
      <c r="B3792" s="20" t="s">
        <v>4011</v>
      </c>
    </row>
    <row r="3793" spans="1:2" x14ac:dyDescent="0.25">
      <c r="A3793" s="20" t="s">
        <v>4419</v>
      </c>
      <c r="B3793" s="20" t="s">
        <v>4011</v>
      </c>
    </row>
    <row r="3794" spans="1:2" x14ac:dyDescent="0.25">
      <c r="A3794" s="20" t="s">
        <v>4425</v>
      </c>
      <c r="B3794" s="20" t="s">
        <v>4011</v>
      </c>
    </row>
    <row r="3795" spans="1:2" x14ac:dyDescent="0.25">
      <c r="A3795" s="20" t="s">
        <v>4431</v>
      </c>
      <c r="B3795" s="20" t="s">
        <v>4011</v>
      </c>
    </row>
    <row r="3796" spans="1:2" x14ac:dyDescent="0.25">
      <c r="A3796" s="20" t="s">
        <v>4436</v>
      </c>
      <c r="B3796" s="20" t="s">
        <v>4011</v>
      </c>
    </row>
    <row r="3797" spans="1:2" x14ac:dyDescent="0.25">
      <c r="A3797" s="20">
        <v>12149478</v>
      </c>
      <c r="B3797" s="20" t="s">
        <v>4011</v>
      </c>
    </row>
    <row r="3798" spans="1:2" x14ac:dyDescent="0.25">
      <c r="A3798" s="20" t="s">
        <v>4447</v>
      </c>
      <c r="B3798" s="20" t="s">
        <v>4011</v>
      </c>
    </row>
    <row r="3799" spans="1:2" x14ac:dyDescent="0.25">
      <c r="A3799" s="20" t="s">
        <v>4104</v>
      </c>
      <c r="B3799" s="20" t="s">
        <v>4011</v>
      </c>
    </row>
    <row r="3800" spans="1:2" x14ac:dyDescent="0.25">
      <c r="A3800" s="20" t="s">
        <v>4115</v>
      </c>
      <c r="B3800" s="20" t="s">
        <v>4011</v>
      </c>
    </row>
    <row r="3801" spans="1:2" x14ac:dyDescent="0.25">
      <c r="A3801" s="20" t="s">
        <v>4128</v>
      </c>
      <c r="B3801" s="20" t="s">
        <v>4011</v>
      </c>
    </row>
    <row r="3802" spans="1:2" x14ac:dyDescent="0.25">
      <c r="A3802" s="20">
        <v>-49940061</v>
      </c>
      <c r="B3802" s="20" t="s">
        <v>4011</v>
      </c>
    </row>
    <row r="3803" spans="1:2" x14ac:dyDescent="0.25">
      <c r="A3803" s="20">
        <v>-49940062</v>
      </c>
      <c r="B3803" s="20" t="s">
        <v>4011</v>
      </c>
    </row>
    <row r="3804" spans="1:2" x14ac:dyDescent="0.25">
      <c r="A3804" s="20">
        <v>49940069</v>
      </c>
      <c r="B3804" s="20" t="s">
        <v>4011</v>
      </c>
    </row>
    <row r="3805" spans="1:2" x14ac:dyDescent="0.25">
      <c r="A3805" s="20" t="s">
        <v>4176</v>
      </c>
      <c r="B3805" s="20" t="s">
        <v>4011</v>
      </c>
    </row>
    <row r="3806" spans="1:2" x14ac:dyDescent="0.25">
      <c r="A3806" s="20" t="s">
        <v>4194</v>
      </c>
      <c r="B3806" s="20" t="s">
        <v>4011</v>
      </c>
    </row>
    <row r="3807" spans="1:2" x14ac:dyDescent="0.25">
      <c r="A3807" s="20" t="s">
        <v>4161</v>
      </c>
      <c r="B3807" s="20" t="s">
        <v>4011</v>
      </c>
    </row>
    <row r="3808" spans="1:2" x14ac:dyDescent="0.25">
      <c r="A3808" s="20">
        <v>-423967352</v>
      </c>
      <c r="B3808" s="20" t="s">
        <v>4011</v>
      </c>
    </row>
    <row r="3809" spans="1:2" x14ac:dyDescent="0.25">
      <c r="A3809" s="20" t="s">
        <v>4197</v>
      </c>
      <c r="B3809" s="20" t="s">
        <v>4011</v>
      </c>
    </row>
    <row r="3810" spans="1:2" x14ac:dyDescent="0.25">
      <c r="A3810" s="20" t="s">
        <v>4236</v>
      </c>
      <c r="B3810" s="20" t="s">
        <v>4011</v>
      </c>
    </row>
    <row r="3811" spans="1:2" x14ac:dyDescent="0.25">
      <c r="A3811" s="20" t="s">
        <v>4248</v>
      </c>
      <c r="B3811" s="20" t="s">
        <v>4011</v>
      </c>
    </row>
    <row r="3812" spans="1:2" x14ac:dyDescent="0.25">
      <c r="A3812" s="20" t="s">
        <v>4082</v>
      </c>
      <c r="B3812" s="20" t="s">
        <v>4011</v>
      </c>
    </row>
    <row r="3813" spans="1:2" x14ac:dyDescent="0.25">
      <c r="A3813" s="20">
        <v>12174962</v>
      </c>
      <c r="B3813" s="20" t="s">
        <v>4011</v>
      </c>
    </row>
    <row r="3814" spans="1:2" x14ac:dyDescent="0.25">
      <c r="A3814" s="20" t="s">
        <v>4112</v>
      </c>
      <c r="B3814" s="20" t="s">
        <v>4011</v>
      </c>
    </row>
    <row r="3815" spans="1:2" x14ac:dyDescent="0.25">
      <c r="A3815" s="20" t="s">
        <v>4126</v>
      </c>
      <c r="B3815" s="20" t="s">
        <v>4011</v>
      </c>
    </row>
    <row r="3816" spans="1:2" x14ac:dyDescent="0.25">
      <c r="A3816" s="20">
        <v>-486653628</v>
      </c>
      <c r="B3816" s="20" t="s">
        <v>4011</v>
      </c>
    </row>
    <row r="3817" spans="1:2" x14ac:dyDescent="0.25">
      <c r="A3817" s="20" t="s">
        <v>4142</v>
      </c>
      <c r="B3817" s="20" t="s">
        <v>4011</v>
      </c>
    </row>
    <row r="3818" spans="1:2" x14ac:dyDescent="0.25">
      <c r="A3818" s="20" t="s">
        <v>4154</v>
      </c>
      <c r="B3818" s="20" t="s">
        <v>4011</v>
      </c>
    </row>
    <row r="3819" spans="1:2" x14ac:dyDescent="0.25">
      <c r="A3819" s="20" t="s">
        <v>4168</v>
      </c>
      <c r="B3819" s="20" t="s">
        <v>4011</v>
      </c>
    </row>
    <row r="3820" spans="1:2" x14ac:dyDescent="0.25">
      <c r="A3820" s="20" t="s">
        <v>4027</v>
      </c>
      <c r="B3820" s="20" t="s">
        <v>4011</v>
      </c>
    </row>
    <row r="3821" spans="1:2" x14ac:dyDescent="0.25">
      <c r="A3821" s="20" t="s">
        <v>4031</v>
      </c>
      <c r="B3821" s="20" t="s">
        <v>4011</v>
      </c>
    </row>
    <row r="3822" spans="1:2" x14ac:dyDescent="0.25">
      <c r="A3822" s="20" t="s">
        <v>4035</v>
      </c>
      <c r="B3822" s="20" t="s">
        <v>4011</v>
      </c>
    </row>
    <row r="3823" spans="1:2" x14ac:dyDescent="0.25">
      <c r="A3823" s="20" t="s">
        <v>4042</v>
      </c>
      <c r="B3823" s="20" t="s">
        <v>4011</v>
      </c>
    </row>
    <row r="3824" spans="1:2" x14ac:dyDescent="0.25">
      <c r="A3824" s="20">
        <v>424978639</v>
      </c>
      <c r="B3824" s="20" t="s">
        <v>4011</v>
      </c>
    </row>
    <row r="3825" spans="1:2" x14ac:dyDescent="0.25">
      <c r="A3825" s="20">
        <v>387423966</v>
      </c>
      <c r="B3825" s="20" t="s">
        <v>4011</v>
      </c>
    </row>
    <row r="3826" spans="1:2" x14ac:dyDescent="0.25">
      <c r="A3826" s="20">
        <v>424978644</v>
      </c>
      <c r="B3826" s="20" t="s">
        <v>4011</v>
      </c>
    </row>
    <row r="3827" spans="1:2" x14ac:dyDescent="0.25">
      <c r="A3827" s="20">
        <v>423965484</v>
      </c>
      <c r="B3827" s="20" t="s">
        <v>4011</v>
      </c>
    </row>
    <row r="3828" spans="1:2" x14ac:dyDescent="0.25">
      <c r="A3828" s="20" t="s">
        <v>4100</v>
      </c>
      <c r="B3828" s="20" t="s">
        <v>4011</v>
      </c>
    </row>
    <row r="3829" spans="1:2" x14ac:dyDescent="0.25">
      <c r="A3829" s="20" t="s">
        <v>4114</v>
      </c>
      <c r="B3829" s="20" t="s">
        <v>4011</v>
      </c>
    </row>
    <row r="3830" spans="1:2" x14ac:dyDescent="0.25">
      <c r="A3830" s="20">
        <v>448887868</v>
      </c>
      <c r="B3830" s="20" t="s">
        <v>4011</v>
      </c>
    </row>
    <row r="3831" spans="1:2" x14ac:dyDescent="0.25">
      <c r="A3831" s="20" t="s">
        <v>4135</v>
      </c>
      <c r="B3831" s="20" t="s">
        <v>4011</v>
      </c>
    </row>
    <row r="3832" spans="1:2" x14ac:dyDescent="0.25">
      <c r="A3832" s="20" t="s">
        <v>4145</v>
      </c>
      <c r="B3832" s="20" t="s">
        <v>4011</v>
      </c>
    </row>
    <row r="3833" spans="1:2" x14ac:dyDescent="0.25">
      <c r="A3833" s="20">
        <v>448887869</v>
      </c>
      <c r="B3833" s="20" t="s">
        <v>4011</v>
      </c>
    </row>
    <row r="3834" spans="1:2" x14ac:dyDescent="0.25">
      <c r="A3834" s="20">
        <v>448887867</v>
      </c>
      <c r="B3834" s="20" t="s">
        <v>4011</v>
      </c>
    </row>
    <row r="3835" spans="1:2" x14ac:dyDescent="0.25">
      <c r="A3835" s="20" t="s">
        <v>4193</v>
      </c>
      <c r="B3835" s="20" t="s">
        <v>4011</v>
      </c>
    </row>
    <row r="3836" spans="1:2" x14ac:dyDescent="0.25">
      <c r="A3836" s="20" t="s">
        <v>4012</v>
      </c>
      <c r="B3836" s="20" t="s">
        <v>4012</v>
      </c>
    </row>
    <row r="3837" spans="1:2" x14ac:dyDescent="0.25">
      <c r="A3837" s="20" t="s">
        <v>4028</v>
      </c>
      <c r="B3837" s="20" t="s">
        <v>4012</v>
      </c>
    </row>
    <row r="3838" spans="1:2" x14ac:dyDescent="0.25">
      <c r="A3838" s="20">
        <v>-448887867</v>
      </c>
      <c r="B3838" s="20" t="s">
        <v>4012</v>
      </c>
    </row>
    <row r="3839" spans="1:2" x14ac:dyDescent="0.25">
      <c r="A3839" s="20">
        <v>-448887869</v>
      </c>
      <c r="B3839" s="20" t="s">
        <v>4012</v>
      </c>
    </row>
    <row r="3840" spans="1:2" x14ac:dyDescent="0.25">
      <c r="A3840" s="20">
        <v>-448887902</v>
      </c>
      <c r="B3840" s="20" t="s">
        <v>4012</v>
      </c>
    </row>
    <row r="3841" spans="1:2" x14ac:dyDescent="0.25">
      <c r="A3841" s="20">
        <v>-196358958</v>
      </c>
      <c r="B3841" s="20" t="s">
        <v>4012</v>
      </c>
    </row>
    <row r="3842" spans="1:2" x14ac:dyDescent="0.25">
      <c r="A3842" s="20" t="s">
        <v>4065</v>
      </c>
      <c r="B3842" s="20" t="s">
        <v>4012</v>
      </c>
    </row>
    <row r="3843" spans="1:2" x14ac:dyDescent="0.25">
      <c r="A3843" s="20" t="s">
        <v>4075</v>
      </c>
      <c r="B3843" s="20" t="s">
        <v>4012</v>
      </c>
    </row>
    <row r="3844" spans="1:2" x14ac:dyDescent="0.25">
      <c r="A3844" s="20" t="s">
        <v>4092</v>
      </c>
      <c r="B3844" s="20" t="s">
        <v>4012</v>
      </c>
    </row>
    <row r="3845" spans="1:2" x14ac:dyDescent="0.25">
      <c r="A3845" s="20" t="s">
        <v>4106</v>
      </c>
      <c r="B3845" s="20" t="s">
        <v>4012</v>
      </c>
    </row>
    <row r="3846" spans="1:2" x14ac:dyDescent="0.25">
      <c r="A3846" s="20" t="s">
        <v>4119</v>
      </c>
      <c r="B3846" s="20" t="s">
        <v>4012</v>
      </c>
    </row>
    <row r="3847" spans="1:2" x14ac:dyDescent="0.25">
      <c r="A3847" s="20">
        <v>448887904</v>
      </c>
      <c r="B3847" s="20" t="s">
        <v>4012</v>
      </c>
    </row>
    <row r="3848" spans="1:2" x14ac:dyDescent="0.25">
      <c r="A3848" s="20">
        <v>448887906</v>
      </c>
      <c r="B3848" s="20" t="s">
        <v>4012</v>
      </c>
    </row>
    <row r="3849" spans="1:2" x14ac:dyDescent="0.25">
      <c r="A3849" s="20">
        <v>448887908</v>
      </c>
      <c r="B3849" s="20" t="s">
        <v>4012</v>
      </c>
    </row>
    <row r="3850" spans="1:2" x14ac:dyDescent="0.25">
      <c r="A3850" s="20">
        <v>448887907</v>
      </c>
      <c r="B3850" s="20" t="s">
        <v>4012</v>
      </c>
    </row>
    <row r="3851" spans="1:2" x14ac:dyDescent="0.25">
      <c r="A3851" s="20" t="s">
        <v>4181</v>
      </c>
      <c r="B3851" s="20" t="s">
        <v>4012</v>
      </c>
    </row>
    <row r="3852" spans="1:2" x14ac:dyDescent="0.25">
      <c r="A3852" s="20">
        <v>12333487</v>
      </c>
      <c r="B3852" s="20" t="s">
        <v>4012</v>
      </c>
    </row>
    <row r="3853" spans="1:2" x14ac:dyDescent="0.25">
      <c r="A3853" s="20">
        <v>-12334061</v>
      </c>
      <c r="B3853" s="20" t="s">
        <v>4012</v>
      </c>
    </row>
    <row r="3854" spans="1:2" x14ac:dyDescent="0.25">
      <c r="A3854" s="20" t="s">
        <v>4221</v>
      </c>
      <c r="B3854" s="20" t="s">
        <v>4012</v>
      </c>
    </row>
    <row r="3855" spans="1:2" x14ac:dyDescent="0.25">
      <c r="A3855" s="20" t="s">
        <v>4230</v>
      </c>
      <c r="B3855" s="20" t="s">
        <v>4012</v>
      </c>
    </row>
    <row r="3856" spans="1:2" x14ac:dyDescent="0.25">
      <c r="A3856" s="20" t="s">
        <v>4239</v>
      </c>
      <c r="B3856" s="20" t="s">
        <v>4012</v>
      </c>
    </row>
    <row r="3857" spans="1:2" x14ac:dyDescent="0.25">
      <c r="A3857" s="20" t="s">
        <v>4251</v>
      </c>
      <c r="B3857" s="20" t="s">
        <v>4012</v>
      </c>
    </row>
    <row r="3858" spans="1:2" x14ac:dyDescent="0.25">
      <c r="A3858" s="20">
        <v>-423966001</v>
      </c>
      <c r="B3858" s="20" t="s">
        <v>4012</v>
      </c>
    </row>
    <row r="3859" spans="1:2" x14ac:dyDescent="0.25">
      <c r="A3859" s="20" t="s">
        <v>4269</v>
      </c>
      <c r="B3859" s="20" t="s">
        <v>4012</v>
      </c>
    </row>
    <row r="3860" spans="1:2" x14ac:dyDescent="0.25">
      <c r="A3860" s="20" t="s">
        <v>4280</v>
      </c>
      <c r="B3860" s="20" t="s">
        <v>4012</v>
      </c>
    </row>
    <row r="3861" spans="1:2" x14ac:dyDescent="0.25">
      <c r="A3861" s="20" t="s">
        <v>4297</v>
      </c>
      <c r="B3861" s="20" t="s">
        <v>4012</v>
      </c>
    </row>
    <row r="3862" spans="1:2" x14ac:dyDescent="0.25">
      <c r="A3862" s="20" t="s">
        <v>4309</v>
      </c>
      <c r="B3862" s="20" t="s">
        <v>4012</v>
      </c>
    </row>
    <row r="3863" spans="1:2" x14ac:dyDescent="0.25">
      <c r="A3863" s="20" t="s">
        <v>4321</v>
      </c>
      <c r="B3863" s="20" t="s">
        <v>4012</v>
      </c>
    </row>
    <row r="3864" spans="1:2" x14ac:dyDescent="0.25">
      <c r="A3864" s="20" t="s">
        <v>4333</v>
      </c>
      <c r="B3864" s="20" t="s">
        <v>4012</v>
      </c>
    </row>
    <row r="3865" spans="1:2" x14ac:dyDescent="0.25">
      <c r="A3865" s="20" t="s">
        <v>4343</v>
      </c>
      <c r="B3865" s="20" t="s">
        <v>4012</v>
      </c>
    </row>
    <row r="3866" spans="1:2" x14ac:dyDescent="0.25">
      <c r="A3866" s="20" t="s">
        <v>4353</v>
      </c>
      <c r="B3866" s="20" t="s">
        <v>4012</v>
      </c>
    </row>
    <row r="3867" spans="1:2" x14ac:dyDescent="0.25">
      <c r="A3867" s="20" t="s">
        <v>4363</v>
      </c>
      <c r="B3867" s="20" t="s">
        <v>4012</v>
      </c>
    </row>
    <row r="3868" spans="1:2" x14ac:dyDescent="0.25">
      <c r="A3868" s="20" t="s">
        <v>4370</v>
      </c>
      <c r="B3868" s="20" t="s">
        <v>4012</v>
      </c>
    </row>
    <row r="3869" spans="1:2" x14ac:dyDescent="0.25">
      <c r="A3869" s="20" t="s">
        <v>4376</v>
      </c>
      <c r="B3869" s="20" t="s">
        <v>4012</v>
      </c>
    </row>
    <row r="3870" spans="1:2" x14ac:dyDescent="0.25">
      <c r="A3870" s="20" t="s">
        <v>4385</v>
      </c>
      <c r="B3870" s="20" t="s">
        <v>4012</v>
      </c>
    </row>
    <row r="3871" spans="1:2" x14ac:dyDescent="0.25">
      <c r="A3871" s="20" t="s">
        <v>4392</v>
      </c>
      <c r="B3871" s="20" t="s">
        <v>4012</v>
      </c>
    </row>
    <row r="3872" spans="1:2" x14ac:dyDescent="0.25">
      <c r="A3872" s="20" t="s">
        <v>4398</v>
      </c>
      <c r="B3872" s="20" t="s">
        <v>4012</v>
      </c>
    </row>
    <row r="3873" spans="1:2" x14ac:dyDescent="0.25">
      <c r="A3873" s="20" t="s">
        <v>4405</v>
      </c>
      <c r="B3873" s="20" t="s">
        <v>4012</v>
      </c>
    </row>
    <row r="3874" spans="1:2" x14ac:dyDescent="0.25">
      <c r="A3874" s="20" t="s">
        <v>4410</v>
      </c>
      <c r="B3874" s="20" t="s">
        <v>4012</v>
      </c>
    </row>
    <row r="3875" spans="1:2" x14ac:dyDescent="0.25">
      <c r="A3875" s="20" t="s">
        <v>4415</v>
      </c>
      <c r="B3875" s="20" t="s">
        <v>4012</v>
      </c>
    </row>
    <row r="3876" spans="1:2" x14ac:dyDescent="0.25">
      <c r="A3876" s="20" t="s">
        <v>4419</v>
      </c>
      <c r="B3876" s="20" t="s">
        <v>4012</v>
      </c>
    </row>
    <row r="3877" spans="1:2" x14ac:dyDescent="0.25">
      <c r="A3877" s="20" t="s">
        <v>4425</v>
      </c>
      <c r="B3877" s="20" t="s">
        <v>4012</v>
      </c>
    </row>
    <row r="3878" spans="1:2" x14ac:dyDescent="0.25">
      <c r="A3878" s="20" t="s">
        <v>4431</v>
      </c>
      <c r="B3878" s="20" t="s">
        <v>4012</v>
      </c>
    </row>
    <row r="3879" spans="1:2" x14ac:dyDescent="0.25">
      <c r="A3879" s="20" t="s">
        <v>4436</v>
      </c>
      <c r="B3879" s="20" t="s">
        <v>4012</v>
      </c>
    </row>
    <row r="3880" spans="1:2" x14ac:dyDescent="0.25">
      <c r="A3880" s="20">
        <v>12149478</v>
      </c>
      <c r="B3880" s="20" t="s">
        <v>4012</v>
      </c>
    </row>
    <row r="3881" spans="1:2" x14ac:dyDescent="0.25">
      <c r="A3881" s="20" t="s">
        <v>4447</v>
      </c>
      <c r="B3881" s="20" t="s">
        <v>4012</v>
      </c>
    </row>
    <row r="3882" spans="1:2" x14ac:dyDescent="0.25">
      <c r="A3882" s="20" t="s">
        <v>4104</v>
      </c>
      <c r="B3882" s="20" t="s">
        <v>4012</v>
      </c>
    </row>
    <row r="3883" spans="1:2" x14ac:dyDescent="0.25">
      <c r="A3883" s="20" t="s">
        <v>4115</v>
      </c>
      <c r="B3883" s="20" t="s">
        <v>4012</v>
      </c>
    </row>
    <row r="3884" spans="1:2" x14ac:dyDescent="0.25">
      <c r="A3884" s="20" t="s">
        <v>4128</v>
      </c>
      <c r="B3884" s="20" t="s">
        <v>4012</v>
      </c>
    </row>
    <row r="3885" spans="1:2" x14ac:dyDescent="0.25">
      <c r="A3885" s="20">
        <v>-49940061</v>
      </c>
      <c r="B3885" s="20" t="s">
        <v>4012</v>
      </c>
    </row>
    <row r="3886" spans="1:2" x14ac:dyDescent="0.25">
      <c r="A3886" s="20">
        <v>-49940062</v>
      </c>
      <c r="B3886" s="20" t="s">
        <v>4012</v>
      </c>
    </row>
    <row r="3887" spans="1:2" x14ac:dyDescent="0.25">
      <c r="A3887" s="20">
        <v>49940069</v>
      </c>
      <c r="B3887" s="20" t="s">
        <v>4012</v>
      </c>
    </row>
    <row r="3888" spans="1:2" x14ac:dyDescent="0.25">
      <c r="A3888" s="20" t="s">
        <v>4176</v>
      </c>
      <c r="B3888" s="20" t="s">
        <v>4012</v>
      </c>
    </row>
    <row r="3889" spans="1:2" x14ac:dyDescent="0.25">
      <c r="A3889" s="20" t="s">
        <v>4194</v>
      </c>
      <c r="B3889" s="20" t="s">
        <v>4012</v>
      </c>
    </row>
    <row r="3890" spans="1:2" x14ac:dyDescent="0.25">
      <c r="A3890" s="20" t="s">
        <v>4161</v>
      </c>
      <c r="B3890" s="20" t="s">
        <v>4012</v>
      </c>
    </row>
    <row r="3891" spans="1:2" x14ac:dyDescent="0.25">
      <c r="A3891" s="20">
        <v>-423967352</v>
      </c>
      <c r="B3891" s="20" t="s">
        <v>4012</v>
      </c>
    </row>
    <row r="3892" spans="1:2" x14ac:dyDescent="0.25">
      <c r="A3892" s="20" t="s">
        <v>4197</v>
      </c>
      <c r="B3892" s="20" t="s">
        <v>4012</v>
      </c>
    </row>
    <row r="3893" spans="1:2" x14ac:dyDescent="0.25">
      <c r="A3893" s="20" t="s">
        <v>4098</v>
      </c>
      <c r="B3893" s="20" t="s">
        <v>4012</v>
      </c>
    </row>
    <row r="3894" spans="1:2" x14ac:dyDescent="0.25">
      <c r="A3894" s="20">
        <v>-423967356</v>
      </c>
      <c r="B3894" s="20" t="s">
        <v>4012</v>
      </c>
    </row>
    <row r="3895" spans="1:2" x14ac:dyDescent="0.25">
      <c r="A3895" s="20">
        <v>-424978643</v>
      </c>
      <c r="B3895" s="20" t="s">
        <v>4012</v>
      </c>
    </row>
    <row r="3896" spans="1:2" x14ac:dyDescent="0.25">
      <c r="A3896" s="20">
        <v>-423967357</v>
      </c>
      <c r="B3896" s="20" t="s">
        <v>4012</v>
      </c>
    </row>
    <row r="3897" spans="1:2" x14ac:dyDescent="0.25">
      <c r="A3897" s="20">
        <v>-423967353</v>
      </c>
      <c r="B3897" s="20" t="s">
        <v>4012</v>
      </c>
    </row>
    <row r="3898" spans="1:2" x14ac:dyDescent="0.25">
      <c r="A3898" s="20">
        <v>-423967354</v>
      </c>
      <c r="B3898" s="20" t="s">
        <v>4012</v>
      </c>
    </row>
    <row r="3899" spans="1:2" x14ac:dyDescent="0.25">
      <c r="A3899" s="20">
        <v>-423967355</v>
      </c>
      <c r="B3899" s="20" t="s">
        <v>4012</v>
      </c>
    </row>
    <row r="3900" spans="1:2" x14ac:dyDescent="0.25">
      <c r="A3900" s="20" t="s">
        <v>4191</v>
      </c>
      <c r="B3900" s="20" t="s">
        <v>4012</v>
      </c>
    </row>
    <row r="3901" spans="1:2" x14ac:dyDescent="0.25">
      <c r="A3901" s="20" t="s">
        <v>4207</v>
      </c>
      <c r="B3901" s="20" t="s">
        <v>4012</v>
      </c>
    </row>
    <row r="3902" spans="1:2" x14ac:dyDescent="0.25">
      <c r="A3902" s="20" t="s">
        <v>4213</v>
      </c>
      <c r="B3902" s="20" t="s">
        <v>4012</v>
      </c>
    </row>
    <row r="3903" spans="1:2" x14ac:dyDescent="0.25">
      <c r="A3903" s="20" t="s">
        <v>4223</v>
      </c>
      <c r="B3903" s="20" t="s">
        <v>4012</v>
      </c>
    </row>
    <row r="3904" spans="1:2" x14ac:dyDescent="0.25">
      <c r="A3904" s="20">
        <v>-424824620</v>
      </c>
      <c r="B3904" s="20" t="s">
        <v>4012</v>
      </c>
    </row>
    <row r="3905" spans="1:2" x14ac:dyDescent="0.25">
      <c r="A3905" s="20">
        <v>-424824619</v>
      </c>
      <c r="B3905" s="20" t="s">
        <v>4012</v>
      </c>
    </row>
    <row r="3906" spans="1:2" x14ac:dyDescent="0.25">
      <c r="A3906" s="20">
        <v>-423956982</v>
      </c>
      <c r="B3906" s="20" t="s">
        <v>4012</v>
      </c>
    </row>
    <row r="3907" spans="1:2" x14ac:dyDescent="0.25">
      <c r="A3907" s="20" t="s">
        <v>4109</v>
      </c>
      <c r="B3907" s="20" t="s">
        <v>4012</v>
      </c>
    </row>
    <row r="3908" spans="1:2" x14ac:dyDescent="0.25">
      <c r="A3908" s="20" t="s">
        <v>4122</v>
      </c>
      <c r="B3908" s="20" t="s">
        <v>4012</v>
      </c>
    </row>
    <row r="3909" spans="1:2" x14ac:dyDescent="0.25">
      <c r="A3909" s="20" t="s">
        <v>4289</v>
      </c>
      <c r="B3909" s="20" t="s">
        <v>4012</v>
      </c>
    </row>
    <row r="3910" spans="1:2" x14ac:dyDescent="0.25">
      <c r="A3910" s="20">
        <v>12143825</v>
      </c>
      <c r="B3910" s="20" t="s">
        <v>4012</v>
      </c>
    </row>
    <row r="3911" spans="1:2" x14ac:dyDescent="0.25">
      <c r="A3911" s="20" t="s">
        <v>4315</v>
      </c>
      <c r="B3911" s="20" t="s">
        <v>4012</v>
      </c>
    </row>
    <row r="3912" spans="1:2" x14ac:dyDescent="0.25">
      <c r="A3912" s="20" t="s">
        <v>4327</v>
      </c>
      <c r="B3912" s="20" t="s">
        <v>4012</v>
      </c>
    </row>
    <row r="3913" spans="1:2" x14ac:dyDescent="0.25">
      <c r="A3913" s="20" t="s">
        <v>4338</v>
      </c>
      <c r="B3913" s="20" t="s">
        <v>4012</v>
      </c>
    </row>
    <row r="3914" spans="1:2" x14ac:dyDescent="0.25">
      <c r="A3914" s="20" t="s">
        <v>4348</v>
      </c>
      <c r="B3914" s="20" t="s">
        <v>4012</v>
      </c>
    </row>
    <row r="3915" spans="1:2" x14ac:dyDescent="0.25">
      <c r="A3915" s="20">
        <v>12167848</v>
      </c>
      <c r="B3915" s="20" t="s">
        <v>4012</v>
      </c>
    </row>
    <row r="3916" spans="1:2" x14ac:dyDescent="0.25">
      <c r="A3916" s="20" t="s">
        <v>4327</v>
      </c>
      <c r="B3916" s="20" t="s">
        <v>4012</v>
      </c>
    </row>
    <row r="3917" spans="1:2" x14ac:dyDescent="0.25">
      <c r="A3917" s="20" t="s">
        <v>4111</v>
      </c>
      <c r="B3917" s="20" t="s">
        <v>4012</v>
      </c>
    </row>
    <row r="3918" spans="1:2" x14ac:dyDescent="0.25">
      <c r="A3918" s="20" t="s">
        <v>4124</v>
      </c>
      <c r="B3918" s="20" t="s">
        <v>4012</v>
      </c>
    </row>
    <row r="3919" spans="1:2" x14ac:dyDescent="0.25">
      <c r="A3919" s="20" t="s">
        <v>4134</v>
      </c>
      <c r="B3919" s="20" t="s">
        <v>4012</v>
      </c>
    </row>
    <row r="3920" spans="1:2" x14ac:dyDescent="0.25">
      <c r="A3920" s="20" t="s">
        <v>4141</v>
      </c>
      <c r="B3920" s="20" t="s">
        <v>4012</v>
      </c>
    </row>
    <row r="3921" spans="1:2" x14ac:dyDescent="0.25">
      <c r="A3921" s="20" t="s">
        <v>4153</v>
      </c>
      <c r="B3921" s="20" t="s">
        <v>4012</v>
      </c>
    </row>
    <row r="3922" spans="1:2" x14ac:dyDescent="0.25">
      <c r="A3922" s="20" t="s">
        <v>4167</v>
      </c>
      <c r="B3922" s="20" t="s">
        <v>4012</v>
      </c>
    </row>
    <row r="3923" spans="1:2" x14ac:dyDescent="0.25">
      <c r="A3923" s="20" t="s">
        <v>4186</v>
      </c>
      <c r="B3923" s="20" t="s">
        <v>4012</v>
      </c>
    </row>
    <row r="3924" spans="1:2" x14ac:dyDescent="0.25">
      <c r="A3924" s="20">
        <v>134558401</v>
      </c>
      <c r="B3924" s="20" t="s">
        <v>4012</v>
      </c>
    </row>
    <row r="3925" spans="1:2" x14ac:dyDescent="0.25">
      <c r="A3925" s="20">
        <v>134558400</v>
      </c>
      <c r="B3925" s="20" t="s">
        <v>4012</v>
      </c>
    </row>
    <row r="3926" spans="1:2" x14ac:dyDescent="0.25">
      <c r="A3926" s="20" t="s">
        <v>4040</v>
      </c>
      <c r="B3926" s="20" t="s">
        <v>4012</v>
      </c>
    </row>
    <row r="3927" spans="1:2" x14ac:dyDescent="0.25">
      <c r="A3927" s="20" t="s">
        <v>4049</v>
      </c>
      <c r="B3927" s="20" t="s">
        <v>4012</v>
      </c>
    </row>
    <row r="3928" spans="1:2" x14ac:dyDescent="0.25">
      <c r="A3928" s="20">
        <v>313260439</v>
      </c>
      <c r="B3928" s="20" t="s">
        <v>4012</v>
      </c>
    </row>
    <row r="3929" spans="1:2" x14ac:dyDescent="0.25">
      <c r="A3929" s="20">
        <v>424803249</v>
      </c>
      <c r="B3929" s="20" t="s">
        <v>4012</v>
      </c>
    </row>
    <row r="3930" spans="1:2" x14ac:dyDescent="0.25">
      <c r="A3930" s="20" t="s">
        <v>4081</v>
      </c>
      <c r="B3930" s="20" t="s">
        <v>4012</v>
      </c>
    </row>
    <row r="3931" spans="1:2" x14ac:dyDescent="0.25">
      <c r="A3931" s="20" t="s">
        <v>4097</v>
      </c>
      <c r="B3931" s="20" t="s">
        <v>4012</v>
      </c>
    </row>
    <row r="3932" spans="1:2" x14ac:dyDescent="0.25">
      <c r="A3932" s="20">
        <v>423972760</v>
      </c>
      <c r="B3932" s="20" t="s">
        <v>4012</v>
      </c>
    </row>
    <row r="3933" spans="1:2" x14ac:dyDescent="0.25">
      <c r="A3933" s="20" t="s">
        <v>4125</v>
      </c>
      <c r="B3933" s="20" t="s">
        <v>4012</v>
      </c>
    </row>
    <row r="3934" spans="1:2" x14ac:dyDescent="0.25">
      <c r="A3934" s="20" t="s">
        <v>4013</v>
      </c>
      <c r="B3934" s="20" t="s">
        <v>4013</v>
      </c>
    </row>
    <row r="3935" spans="1:2" x14ac:dyDescent="0.25">
      <c r="A3935" s="20" t="s">
        <v>4028</v>
      </c>
      <c r="B3935" s="20" t="s">
        <v>4013</v>
      </c>
    </row>
    <row r="3936" spans="1:2" x14ac:dyDescent="0.25">
      <c r="A3936" s="20">
        <v>-448887867</v>
      </c>
      <c r="B3936" s="20" t="s">
        <v>4013</v>
      </c>
    </row>
    <row r="3937" spans="1:2" x14ac:dyDescent="0.25">
      <c r="A3937" s="20">
        <v>-448887869</v>
      </c>
      <c r="B3937" s="20" t="s">
        <v>4013</v>
      </c>
    </row>
    <row r="3938" spans="1:2" x14ac:dyDescent="0.25">
      <c r="A3938" s="20">
        <v>-448887902</v>
      </c>
      <c r="B3938" s="20" t="s">
        <v>4013</v>
      </c>
    </row>
    <row r="3939" spans="1:2" x14ac:dyDescent="0.25">
      <c r="A3939" s="20">
        <v>-196358958</v>
      </c>
      <c r="B3939" s="20" t="s">
        <v>4013</v>
      </c>
    </row>
    <row r="3940" spans="1:2" x14ac:dyDescent="0.25">
      <c r="A3940" s="20" t="s">
        <v>4065</v>
      </c>
      <c r="B3940" s="20" t="s">
        <v>4013</v>
      </c>
    </row>
    <row r="3941" spans="1:2" x14ac:dyDescent="0.25">
      <c r="A3941" s="20" t="s">
        <v>4075</v>
      </c>
      <c r="B3941" s="20" t="s">
        <v>4013</v>
      </c>
    </row>
    <row r="3942" spans="1:2" x14ac:dyDescent="0.25">
      <c r="A3942" s="20" t="s">
        <v>4092</v>
      </c>
      <c r="B3942" s="20" t="s">
        <v>4013</v>
      </c>
    </row>
    <row r="3943" spans="1:2" x14ac:dyDescent="0.25">
      <c r="A3943" s="20" t="s">
        <v>4106</v>
      </c>
      <c r="B3943" s="20" t="s">
        <v>4013</v>
      </c>
    </row>
    <row r="3944" spans="1:2" x14ac:dyDescent="0.25">
      <c r="A3944" s="20" t="s">
        <v>4119</v>
      </c>
      <c r="B3944" s="20" t="s">
        <v>4013</v>
      </c>
    </row>
    <row r="3945" spans="1:2" x14ac:dyDescent="0.25">
      <c r="A3945" s="20">
        <v>448887904</v>
      </c>
      <c r="B3945" s="20" t="s">
        <v>4013</v>
      </c>
    </row>
    <row r="3946" spans="1:2" x14ac:dyDescent="0.25">
      <c r="A3946" s="20">
        <v>448887906</v>
      </c>
      <c r="B3946" s="20" t="s">
        <v>4013</v>
      </c>
    </row>
    <row r="3947" spans="1:2" x14ac:dyDescent="0.25">
      <c r="A3947" s="20">
        <v>448887908</v>
      </c>
      <c r="B3947" s="20" t="s">
        <v>4013</v>
      </c>
    </row>
    <row r="3948" spans="1:2" x14ac:dyDescent="0.25">
      <c r="A3948" s="20">
        <v>448887907</v>
      </c>
      <c r="B3948" s="20" t="s">
        <v>4013</v>
      </c>
    </row>
    <row r="3949" spans="1:2" x14ac:dyDescent="0.25">
      <c r="A3949" s="20" t="s">
        <v>4181</v>
      </c>
      <c r="B3949" s="20" t="s">
        <v>4013</v>
      </c>
    </row>
    <row r="3950" spans="1:2" x14ac:dyDescent="0.25">
      <c r="A3950" s="20">
        <v>12333487</v>
      </c>
      <c r="B3950" s="20" t="s">
        <v>4013</v>
      </c>
    </row>
    <row r="3951" spans="1:2" x14ac:dyDescent="0.25">
      <c r="A3951" s="20">
        <v>-12334061</v>
      </c>
      <c r="B3951" s="20" t="s">
        <v>4013</v>
      </c>
    </row>
    <row r="3952" spans="1:2" x14ac:dyDescent="0.25">
      <c r="A3952" s="20" t="s">
        <v>4221</v>
      </c>
      <c r="B3952" s="20" t="s">
        <v>4013</v>
      </c>
    </row>
    <row r="3953" spans="1:2" x14ac:dyDescent="0.25">
      <c r="A3953" s="20" t="s">
        <v>4230</v>
      </c>
      <c r="B3953" s="20" t="s">
        <v>4013</v>
      </c>
    </row>
    <row r="3954" spans="1:2" x14ac:dyDescent="0.25">
      <c r="A3954" s="20" t="s">
        <v>4239</v>
      </c>
      <c r="B3954" s="20" t="s">
        <v>4013</v>
      </c>
    </row>
    <row r="3955" spans="1:2" x14ac:dyDescent="0.25">
      <c r="A3955" s="20" t="s">
        <v>4251</v>
      </c>
      <c r="B3955" s="20" t="s">
        <v>4013</v>
      </c>
    </row>
    <row r="3956" spans="1:2" x14ac:dyDescent="0.25">
      <c r="A3956" s="20">
        <v>-423966001</v>
      </c>
      <c r="B3956" s="20" t="s">
        <v>4013</v>
      </c>
    </row>
    <row r="3957" spans="1:2" x14ac:dyDescent="0.25">
      <c r="A3957" s="20" t="s">
        <v>4269</v>
      </c>
      <c r="B3957" s="20" t="s">
        <v>4013</v>
      </c>
    </row>
    <row r="3958" spans="1:2" x14ac:dyDescent="0.25">
      <c r="A3958" s="20" t="s">
        <v>4280</v>
      </c>
      <c r="B3958" s="20" t="s">
        <v>4013</v>
      </c>
    </row>
    <row r="3959" spans="1:2" x14ac:dyDescent="0.25">
      <c r="A3959" s="20" t="s">
        <v>4297</v>
      </c>
      <c r="B3959" s="20" t="s">
        <v>4013</v>
      </c>
    </row>
    <row r="3960" spans="1:2" x14ac:dyDescent="0.25">
      <c r="A3960" s="20" t="s">
        <v>4309</v>
      </c>
      <c r="B3960" s="20" t="s">
        <v>4013</v>
      </c>
    </row>
    <row r="3961" spans="1:2" x14ac:dyDescent="0.25">
      <c r="A3961" s="20" t="s">
        <v>4321</v>
      </c>
      <c r="B3961" s="20" t="s">
        <v>4013</v>
      </c>
    </row>
    <row r="3962" spans="1:2" x14ac:dyDescent="0.25">
      <c r="A3962" s="20" t="s">
        <v>4333</v>
      </c>
      <c r="B3962" s="20" t="s">
        <v>4013</v>
      </c>
    </row>
    <row r="3963" spans="1:2" x14ac:dyDescent="0.25">
      <c r="A3963" s="20" t="s">
        <v>4343</v>
      </c>
      <c r="B3963" s="20" t="s">
        <v>4013</v>
      </c>
    </row>
    <row r="3964" spans="1:2" x14ac:dyDescent="0.25">
      <c r="A3964" s="20" t="s">
        <v>4353</v>
      </c>
      <c r="B3964" s="20" t="s">
        <v>4013</v>
      </c>
    </row>
    <row r="3965" spans="1:2" x14ac:dyDescent="0.25">
      <c r="A3965" s="20" t="s">
        <v>4363</v>
      </c>
      <c r="B3965" s="20" t="s">
        <v>4013</v>
      </c>
    </row>
    <row r="3966" spans="1:2" x14ac:dyDescent="0.25">
      <c r="A3966" s="20" t="s">
        <v>4370</v>
      </c>
      <c r="B3966" s="20" t="s">
        <v>4013</v>
      </c>
    </row>
    <row r="3967" spans="1:2" x14ac:dyDescent="0.25">
      <c r="A3967" s="20" t="s">
        <v>4376</v>
      </c>
      <c r="B3967" s="20" t="s">
        <v>4013</v>
      </c>
    </row>
    <row r="3968" spans="1:2" x14ac:dyDescent="0.25">
      <c r="A3968" s="20" t="s">
        <v>4385</v>
      </c>
      <c r="B3968" s="20" t="s">
        <v>4013</v>
      </c>
    </row>
    <row r="3969" spans="1:2" x14ac:dyDescent="0.25">
      <c r="A3969" s="20" t="s">
        <v>4392</v>
      </c>
      <c r="B3969" s="20" t="s">
        <v>4013</v>
      </c>
    </row>
    <row r="3970" spans="1:2" x14ac:dyDescent="0.25">
      <c r="A3970" s="20" t="s">
        <v>4398</v>
      </c>
      <c r="B3970" s="20" t="s">
        <v>4013</v>
      </c>
    </row>
    <row r="3971" spans="1:2" x14ac:dyDescent="0.25">
      <c r="A3971" s="20" t="s">
        <v>4405</v>
      </c>
      <c r="B3971" s="20" t="s">
        <v>4013</v>
      </c>
    </row>
    <row r="3972" spans="1:2" x14ac:dyDescent="0.25">
      <c r="A3972" s="20" t="s">
        <v>4410</v>
      </c>
      <c r="B3972" s="20" t="s">
        <v>4013</v>
      </c>
    </row>
    <row r="3973" spans="1:2" x14ac:dyDescent="0.25">
      <c r="A3973" s="20" t="s">
        <v>4415</v>
      </c>
      <c r="B3973" s="20" t="s">
        <v>4013</v>
      </c>
    </row>
    <row r="3974" spans="1:2" x14ac:dyDescent="0.25">
      <c r="A3974" s="20" t="s">
        <v>4419</v>
      </c>
      <c r="B3974" s="20" t="s">
        <v>4013</v>
      </c>
    </row>
    <row r="3975" spans="1:2" x14ac:dyDescent="0.25">
      <c r="A3975" s="20" t="s">
        <v>4425</v>
      </c>
      <c r="B3975" s="20" t="s">
        <v>4013</v>
      </c>
    </row>
    <row r="3976" spans="1:2" x14ac:dyDescent="0.25">
      <c r="A3976" s="20" t="s">
        <v>4431</v>
      </c>
      <c r="B3976" s="20" t="s">
        <v>4013</v>
      </c>
    </row>
    <row r="3977" spans="1:2" x14ac:dyDescent="0.25">
      <c r="A3977" s="20" t="s">
        <v>4436</v>
      </c>
      <c r="B3977" s="20" t="s">
        <v>4013</v>
      </c>
    </row>
    <row r="3978" spans="1:2" x14ac:dyDescent="0.25">
      <c r="A3978" s="20">
        <v>12149478</v>
      </c>
      <c r="B3978" s="20" t="s">
        <v>4013</v>
      </c>
    </row>
    <row r="3979" spans="1:2" x14ac:dyDescent="0.25">
      <c r="A3979" s="20" t="s">
        <v>4447</v>
      </c>
      <c r="B3979" s="20" t="s">
        <v>4013</v>
      </c>
    </row>
    <row r="3980" spans="1:2" x14ac:dyDescent="0.25">
      <c r="A3980" s="20" t="s">
        <v>4104</v>
      </c>
      <c r="B3980" s="20" t="s">
        <v>4013</v>
      </c>
    </row>
    <row r="3981" spans="1:2" x14ac:dyDescent="0.25">
      <c r="A3981" s="20" t="s">
        <v>4115</v>
      </c>
      <c r="B3981" s="20" t="s">
        <v>4013</v>
      </c>
    </row>
    <row r="3982" spans="1:2" x14ac:dyDescent="0.25">
      <c r="A3982" s="20" t="s">
        <v>4128</v>
      </c>
      <c r="B3982" s="20" t="s">
        <v>4013</v>
      </c>
    </row>
    <row r="3983" spans="1:2" x14ac:dyDescent="0.25">
      <c r="A3983" s="20">
        <v>-49940061</v>
      </c>
      <c r="B3983" s="20" t="s">
        <v>4013</v>
      </c>
    </row>
    <row r="3984" spans="1:2" x14ac:dyDescent="0.25">
      <c r="A3984" s="20">
        <v>-49940062</v>
      </c>
      <c r="B3984" s="20" t="s">
        <v>4013</v>
      </c>
    </row>
    <row r="3985" spans="1:2" x14ac:dyDescent="0.25">
      <c r="A3985" s="20">
        <v>49940069</v>
      </c>
      <c r="B3985" s="20" t="s">
        <v>4013</v>
      </c>
    </row>
    <row r="3986" spans="1:2" x14ac:dyDescent="0.25">
      <c r="A3986" s="20" t="s">
        <v>4176</v>
      </c>
      <c r="B3986" s="20" t="s">
        <v>4013</v>
      </c>
    </row>
    <row r="3987" spans="1:2" x14ac:dyDescent="0.25">
      <c r="A3987" s="20" t="s">
        <v>4194</v>
      </c>
      <c r="B3987" s="20" t="s">
        <v>4013</v>
      </c>
    </row>
    <row r="3988" spans="1:2" x14ac:dyDescent="0.25">
      <c r="A3988" s="20" t="s">
        <v>4161</v>
      </c>
      <c r="B3988" s="20" t="s">
        <v>4013</v>
      </c>
    </row>
    <row r="3989" spans="1:2" x14ac:dyDescent="0.25">
      <c r="A3989" s="20">
        <v>-423967352</v>
      </c>
      <c r="B3989" s="20" t="s">
        <v>4013</v>
      </c>
    </row>
    <row r="3990" spans="1:2" x14ac:dyDescent="0.25">
      <c r="A3990" s="20" t="s">
        <v>4197</v>
      </c>
      <c r="B3990" s="20" t="s">
        <v>4013</v>
      </c>
    </row>
    <row r="3991" spans="1:2" x14ac:dyDescent="0.25">
      <c r="A3991" s="20" t="s">
        <v>4098</v>
      </c>
      <c r="B3991" s="20" t="s">
        <v>4013</v>
      </c>
    </row>
    <row r="3992" spans="1:2" x14ac:dyDescent="0.25">
      <c r="A3992" s="20">
        <v>-423967356</v>
      </c>
      <c r="B3992" s="20" t="s">
        <v>4013</v>
      </c>
    </row>
    <row r="3993" spans="1:2" x14ac:dyDescent="0.25">
      <c r="A3993" s="20">
        <v>-424978643</v>
      </c>
      <c r="B3993" s="20" t="s">
        <v>4013</v>
      </c>
    </row>
    <row r="3994" spans="1:2" x14ac:dyDescent="0.25">
      <c r="A3994" s="20">
        <v>-423967357</v>
      </c>
      <c r="B3994" s="20" t="s">
        <v>4013</v>
      </c>
    </row>
    <row r="3995" spans="1:2" x14ac:dyDescent="0.25">
      <c r="A3995" s="20">
        <v>-423967353</v>
      </c>
      <c r="B3995" s="20" t="s">
        <v>4013</v>
      </c>
    </row>
    <row r="3996" spans="1:2" x14ac:dyDescent="0.25">
      <c r="A3996" s="20">
        <v>-423967354</v>
      </c>
      <c r="B3996" s="20" t="s">
        <v>4013</v>
      </c>
    </row>
    <row r="3997" spans="1:2" x14ac:dyDescent="0.25">
      <c r="A3997" s="20">
        <v>-423967355</v>
      </c>
      <c r="B3997" s="20" t="s">
        <v>4013</v>
      </c>
    </row>
    <row r="3998" spans="1:2" x14ac:dyDescent="0.25">
      <c r="A3998" s="20" t="s">
        <v>4191</v>
      </c>
      <c r="B3998" s="20" t="s">
        <v>4013</v>
      </c>
    </row>
    <row r="3999" spans="1:2" x14ac:dyDescent="0.25">
      <c r="A3999" s="20" t="s">
        <v>4207</v>
      </c>
      <c r="B3999" s="20" t="s">
        <v>4013</v>
      </c>
    </row>
    <row r="4000" spans="1:2" x14ac:dyDescent="0.25">
      <c r="A4000" s="20" t="s">
        <v>4213</v>
      </c>
      <c r="B4000" s="20" t="s">
        <v>4013</v>
      </c>
    </row>
    <row r="4001" spans="1:2" x14ac:dyDescent="0.25">
      <c r="A4001" s="20" t="s">
        <v>4223</v>
      </c>
      <c r="B4001" s="20" t="s">
        <v>4013</v>
      </c>
    </row>
    <row r="4002" spans="1:2" x14ac:dyDescent="0.25">
      <c r="A4002" s="20">
        <v>-424824620</v>
      </c>
      <c r="B4002" s="20" t="s">
        <v>4013</v>
      </c>
    </row>
    <row r="4003" spans="1:2" x14ac:dyDescent="0.25">
      <c r="A4003" s="20">
        <v>-424824619</v>
      </c>
      <c r="B4003" s="20" t="s">
        <v>4013</v>
      </c>
    </row>
    <row r="4004" spans="1:2" x14ac:dyDescent="0.25">
      <c r="A4004" s="20">
        <v>-423956982</v>
      </c>
      <c r="B4004" s="20" t="s">
        <v>4013</v>
      </c>
    </row>
    <row r="4005" spans="1:2" x14ac:dyDescent="0.25">
      <c r="A4005" s="20" t="s">
        <v>4109</v>
      </c>
      <c r="B4005" s="20" t="s">
        <v>4013</v>
      </c>
    </row>
    <row r="4006" spans="1:2" x14ac:dyDescent="0.25">
      <c r="A4006" s="20" t="s">
        <v>4122</v>
      </c>
      <c r="B4006" s="20" t="s">
        <v>4013</v>
      </c>
    </row>
    <row r="4007" spans="1:2" x14ac:dyDescent="0.25">
      <c r="A4007" s="20" t="s">
        <v>4290</v>
      </c>
      <c r="B4007" s="20" t="s">
        <v>4013</v>
      </c>
    </row>
    <row r="4008" spans="1:2" x14ac:dyDescent="0.25">
      <c r="A4008" s="20" t="s">
        <v>4303</v>
      </c>
      <c r="B4008" s="20" t="s">
        <v>4013</v>
      </c>
    </row>
    <row r="4009" spans="1:2" x14ac:dyDescent="0.25">
      <c r="A4009" s="20" t="s">
        <v>4316</v>
      </c>
      <c r="B4009" s="20" t="s">
        <v>4013</v>
      </c>
    </row>
    <row r="4010" spans="1:2" x14ac:dyDescent="0.25">
      <c r="A4010" s="20" t="s">
        <v>4286</v>
      </c>
      <c r="B4010" s="20" t="s">
        <v>4013</v>
      </c>
    </row>
    <row r="4011" spans="1:2" x14ac:dyDescent="0.25">
      <c r="A4011" s="20" t="s">
        <v>4175</v>
      </c>
      <c r="B4011" s="20" t="s">
        <v>4013</v>
      </c>
    </row>
    <row r="4012" spans="1:2" x14ac:dyDescent="0.25">
      <c r="A4012" s="20" t="s">
        <v>4155</v>
      </c>
      <c r="B4012" s="20" t="s">
        <v>4013</v>
      </c>
    </row>
    <row r="4013" spans="1:2" x14ac:dyDescent="0.25">
      <c r="A4013" s="20" t="s">
        <v>4169</v>
      </c>
      <c r="B4013" s="20" t="s">
        <v>4013</v>
      </c>
    </row>
    <row r="4014" spans="1:2" x14ac:dyDescent="0.25">
      <c r="A4014" s="20" t="s">
        <v>4218</v>
      </c>
      <c r="B4014" s="20" t="s">
        <v>4013</v>
      </c>
    </row>
    <row r="4015" spans="1:2" x14ac:dyDescent="0.25">
      <c r="A4015" s="20" t="s">
        <v>4227</v>
      </c>
      <c r="B4015" s="20" t="s">
        <v>4013</v>
      </c>
    </row>
    <row r="4016" spans="1:2" x14ac:dyDescent="0.25">
      <c r="A4016" s="20" t="s">
        <v>4235</v>
      </c>
      <c r="B4016" s="20" t="s">
        <v>4013</v>
      </c>
    </row>
    <row r="4017" spans="1:2" x14ac:dyDescent="0.25">
      <c r="A4017" s="20" t="s">
        <v>4317</v>
      </c>
      <c r="B4017" s="20" t="s">
        <v>4013</v>
      </c>
    </row>
    <row r="4018" spans="1:2" x14ac:dyDescent="0.25">
      <c r="A4018" s="20" t="s">
        <v>4283</v>
      </c>
      <c r="B4018" s="20" t="s">
        <v>4013</v>
      </c>
    </row>
    <row r="4019" spans="1:2" x14ac:dyDescent="0.25">
      <c r="A4019" s="20">
        <v>377438344</v>
      </c>
      <c r="B4019" s="20" t="s">
        <v>4013</v>
      </c>
    </row>
    <row r="4020" spans="1:2" x14ac:dyDescent="0.25">
      <c r="A4020" s="20" t="s">
        <v>4311</v>
      </c>
      <c r="B4020" s="20" t="s">
        <v>4013</v>
      </c>
    </row>
    <row r="4021" spans="1:2" x14ac:dyDescent="0.25">
      <c r="A4021" s="20" t="s">
        <v>4324</v>
      </c>
      <c r="B4021" s="20" t="s">
        <v>4013</v>
      </c>
    </row>
    <row r="4022" spans="1:2" x14ac:dyDescent="0.25">
      <c r="A4022" s="20" t="s">
        <v>4335</v>
      </c>
      <c r="B4022" s="20" t="s">
        <v>4013</v>
      </c>
    </row>
    <row r="4023" spans="1:2" x14ac:dyDescent="0.25">
      <c r="A4023" s="20" t="s">
        <v>4345</v>
      </c>
      <c r="B4023" s="20" t="s">
        <v>4013</v>
      </c>
    </row>
    <row r="4024" spans="1:2" x14ac:dyDescent="0.25">
      <c r="A4024" s="20" t="s">
        <v>4355</v>
      </c>
      <c r="B4024" s="20" t="s">
        <v>4013</v>
      </c>
    </row>
    <row r="4025" spans="1:2" x14ac:dyDescent="0.25">
      <c r="A4025" s="20" t="s">
        <v>4226</v>
      </c>
      <c r="B4025" s="20" t="s">
        <v>4013</v>
      </c>
    </row>
    <row r="4026" spans="1:2" x14ac:dyDescent="0.25">
      <c r="A4026" s="20" t="s">
        <v>4234</v>
      </c>
      <c r="B4026" s="20" t="s">
        <v>4013</v>
      </c>
    </row>
    <row r="4027" spans="1:2" x14ac:dyDescent="0.25">
      <c r="A4027" s="20" t="s">
        <v>4246</v>
      </c>
      <c r="B4027" s="20" t="s">
        <v>4013</v>
      </c>
    </row>
    <row r="4028" spans="1:2" x14ac:dyDescent="0.25">
      <c r="A4028" s="20" t="s">
        <v>4111</v>
      </c>
      <c r="B4028" s="20" t="s">
        <v>4013</v>
      </c>
    </row>
    <row r="4029" spans="1:2" x14ac:dyDescent="0.25">
      <c r="A4029" s="20" t="s">
        <v>4124</v>
      </c>
      <c r="B4029" s="20" t="s">
        <v>4013</v>
      </c>
    </row>
    <row r="4030" spans="1:2" x14ac:dyDescent="0.25">
      <c r="A4030" s="20" t="s">
        <v>4134</v>
      </c>
      <c r="B4030" s="20" t="s">
        <v>4013</v>
      </c>
    </row>
    <row r="4031" spans="1:2" x14ac:dyDescent="0.25">
      <c r="A4031" s="20" t="s">
        <v>4141</v>
      </c>
      <c r="B4031" s="20" t="s">
        <v>4013</v>
      </c>
    </row>
    <row r="4032" spans="1:2" x14ac:dyDescent="0.25">
      <c r="A4032" s="20" t="s">
        <v>4411</v>
      </c>
      <c r="B4032" s="20" t="s">
        <v>4013</v>
      </c>
    </row>
    <row r="4033" spans="1:2" x14ac:dyDescent="0.25">
      <c r="A4033" s="20" t="s">
        <v>4416</v>
      </c>
      <c r="B4033" s="20" t="s">
        <v>4013</v>
      </c>
    </row>
    <row r="4034" spans="1:2" x14ac:dyDescent="0.25">
      <c r="A4034" s="20" t="s">
        <v>4420</v>
      </c>
      <c r="B4034" s="20" t="s">
        <v>4013</v>
      </c>
    </row>
    <row r="4035" spans="1:2" x14ac:dyDescent="0.25">
      <c r="A4035" s="20" t="s">
        <v>4426</v>
      </c>
      <c r="B4035" s="20" t="s">
        <v>4013</v>
      </c>
    </row>
    <row r="4036" spans="1:2" x14ac:dyDescent="0.25">
      <c r="A4036" s="20" t="s">
        <v>4432</v>
      </c>
      <c r="B4036" s="20" t="s">
        <v>4013</v>
      </c>
    </row>
    <row r="4037" spans="1:2" x14ac:dyDescent="0.25">
      <c r="A4037" s="20" t="s">
        <v>4167</v>
      </c>
      <c r="B4037" s="20" t="s">
        <v>4013</v>
      </c>
    </row>
    <row r="4038" spans="1:2" x14ac:dyDescent="0.25">
      <c r="A4038" s="20" t="s">
        <v>4186</v>
      </c>
      <c r="B4038" s="20" t="s">
        <v>4013</v>
      </c>
    </row>
    <row r="4039" spans="1:2" x14ac:dyDescent="0.25">
      <c r="A4039" s="20">
        <v>134558401</v>
      </c>
      <c r="B4039" s="20" t="s">
        <v>4013</v>
      </c>
    </row>
    <row r="4040" spans="1:2" x14ac:dyDescent="0.25">
      <c r="A4040" s="20">
        <v>134558400</v>
      </c>
      <c r="B4040" s="20" t="s">
        <v>4013</v>
      </c>
    </row>
    <row r="4041" spans="1:2" x14ac:dyDescent="0.25">
      <c r="A4041" s="20" t="s">
        <v>4040</v>
      </c>
      <c r="B4041" s="20" t="s">
        <v>4013</v>
      </c>
    </row>
    <row r="4042" spans="1:2" x14ac:dyDescent="0.25">
      <c r="A4042" s="20" t="s">
        <v>4049</v>
      </c>
      <c r="B4042" s="20" t="s">
        <v>4013</v>
      </c>
    </row>
    <row r="4043" spans="1:2" x14ac:dyDescent="0.25">
      <c r="A4043" s="20">
        <v>313260439</v>
      </c>
      <c r="B4043" s="20" t="s">
        <v>4013</v>
      </c>
    </row>
    <row r="4044" spans="1:2" x14ac:dyDescent="0.25">
      <c r="A4044" s="20">
        <v>424803249</v>
      </c>
      <c r="B4044" s="20" t="s">
        <v>4013</v>
      </c>
    </row>
    <row r="4045" spans="1:2" x14ac:dyDescent="0.25">
      <c r="A4045" s="20" t="s">
        <v>4081</v>
      </c>
      <c r="B4045" s="20" t="s">
        <v>4013</v>
      </c>
    </row>
    <row r="4046" spans="1:2" x14ac:dyDescent="0.25">
      <c r="A4046" s="20" t="s">
        <v>4097</v>
      </c>
      <c r="B4046" s="20" t="s">
        <v>4013</v>
      </c>
    </row>
    <row r="4047" spans="1:2" x14ac:dyDescent="0.25">
      <c r="A4047" s="20">
        <v>423972760</v>
      </c>
      <c r="B4047" s="20" t="s">
        <v>4013</v>
      </c>
    </row>
    <row r="4048" spans="1:2" x14ac:dyDescent="0.25">
      <c r="A4048" s="20" t="s">
        <v>4125</v>
      </c>
      <c r="B4048" s="20" t="s">
        <v>4013</v>
      </c>
    </row>
    <row r="4049" spans="1:2" x14ac:dyDescent="0.25">
      <c r="A4049" s="20" t="s">
        <v>4014</v>
      </c>
      <c r="B4049" s="20" t="s">
        <v>4014</v>
      </c>
    </row>
    <row r="4050" spans="1:2" x14ac:dyDescent="0.25">
      <c r="A4050" s="20" t="s">
        <v>4028</v>
      </c>
      <c r="B4050" s="20" t="s">
        <v>4014</v>
      </c>
    </row>
    <row r="4051" spans="1:2" x14ac:dyDescent="0.25">
      <c r="A4051" s="20">
        <v>-448887867</v>
      </c>
      <c r="B4051" s="20" t="s">
        <v>4014</v>
      </c>
    </row>
    <row r="4052" spans="1:2" x14ac:dyDescent="0.25">
      <c r="A4052" s="20">
        <v>-448887869</v>
      </c>
      <c r="B4052" s="20" t="s">
        <v>4014</v>
      </c>
    </row>
    <row r="4053" spans="1:2" x14ac:dyDescent="0.25">
      <c r="A4053" s="20">
        <v>-448887902</v>
      </c>
      <c r="B4053" s="20" t="s">
        <v>4014</v>
      </c>
    </row>
    <row r="4054" spans="1:2" x14ac:dyDescent="0.25">
      <c r="A4054" s="20">
        <v>-196358958</v>
      </c>
      <c r="B4054" s="20" t="s">
        <v>4014</v>
      </c>
    </row>
    <row r="4055" spans="1:2" x14ac:dyDescent="0.25">
      <c r="A4055" s="20" t="s">
        <v>4065</v>
      </c>
      <c r="B4055" s="20" t="s">
        <v>4014</v>
      </c>
    </row>
    <row r="4056" spans="1:2" x14ac:dyDescent="0.25">
      <c r="A4056" s="20" t="s">
        <v>4075</v>
      </c>
      <c r="B4056" s="20" t="s">
        <v>4014</v>
      </c>
    </row>
    <row r="4057" spans="1:2" x14ac:dyDescent="0.25">
      <c r="A4057" s="20" t="s">
        <v>4092</v>
      </c>
      <c r="B4057" s="20" t="s">
        <v>4014</v>
      </c>
    </row>
    <row r="4058" spans="1:2" x14ac:dyDescent="0.25">
      <c r="A4058" s="20" t="s">
        <v>4106</v>
      </c>
      <c r="B4058" s="20" t="s">
        <v>4014</v>
      </c>
    </row>
    <row r="4059" spans="1:2" x14ac:dyDescent="0.25">
      <c r="A4059" s="20" t="s">
        <v>4119</v>
      </c>
      <c r="B4059" s="20" t="s">
        <v>4014</v>
      </c>
    </row>
    <row r="4060" spans="1:2" x14ac:dyDescent="0.25">
      <c r="A4060" s="20">
        <v>448887904</v>
      </c>
      <c r="B4060" s="20" t="s">
        <v>4014</v>
      </c>
    </row>
    <row r="4061" spans="1:2" x14ac:dyDescent="0.25">
      <c r="A4061" s="20">
        <v>448887906</v>
      </c>
      <c r="B4061" s="20" t="s">
        <v>4014</v>
      </c>
    </row>
    <row r="4062" spans="1:2" x14ac:dyDescent="0.25">
      <c r="A4062" s="20">
        <v>448887908</v>
      </c>
      <c r="B4062" s="20" t="s">
        <v>4014</v>
      </c>
    </row>
    <row r="4063" spans="1:2" x14ac:dyDescent="0.25">
      <c r="A4063" s="20">
        <v>448887907</v>
      </c>
      <c r="B4063" s="20" t="s">
        <v>4014</v>
      </c>
    </row>
    <row r="4064" spans="1:2" x14ac:dyDescent="0.25">
      <c r="A4064" s="20" t="s">
        <v>4181</v>
      </c>
      <c r="B4064" s="20" t="s">
        <v>4014</v>
      </c>
    </row>
    <row r="4065" spans="1:2" x14ac:dyDescent="0.25">
      <c r="A4065" s="20">
        <v>12333487</v>
      </c>
      <c r="B4065" s="20" t="s">
        <v>4014</v>
      </c>
    </row>
    <row r="4066" spans="1:2" x14ac:dyDescent="0.25">
      <c r="A4066" s="20">
        <v>-12334061</v>
      </c>
      <c r="B4066" s="20" t="s">
        <v>4014</v>
      </c>
    </row>
    <row r="4067" spans="1:2" x14ac:dyDescent="0.25">
      <c r="A4067" s="20" t="s">
        <v>4221</v>
      </c>
      <c r="B4067" s="20" t="s">
        <v>4014</v>
      </c>
    </row>
    <row r="4068" spans="1:2" x14ac:dyDescent="0.25">
      <c r="A4068" s="20" t="s">
        <v>4230</v>
      </c>
      <c r="B4068" s="20" t="s">
        <v>4014</v>
      </c>
    </row>
    <row r="4069" spans="1:2" x14ac:dyDescent="0.25">
      <c r="A4069" s="20" t="s">
        <v>4239</v>
      </c>
      <c r="B4069" s="20" t="s">
        <v>4014</v>
      </c>
    </row>
    <row r="4070" spans="1:2" x14ac:dyDescent="0.25">
      <c r="A4070" s="20" t="s">
        <v>4251</v>
      </c>
      <c r="B4070" s="20" t="s">
        <v>4014</v>
      </c>
    </row>
    <row r="4071" spans="1:2" x14ac:dyDescent="0.25">
      <c r="A4071" s="20">
        <v>-423966001</v>
      </c>
      <c r="B4071" s="20" t="s">
        <v>4014</v>
      </c>
    </row>
    <row r="4072" spans="1:2" x14ac:dyDescent="0.25">
      <c r="A4072" s="20" t="s">
        <v>4269</v>
      </c>
      <c r="B4072" s="20" t="s">
        <v>4014</v>
      </c>
    </row>
    <row r="4073" spans="1:2" x14ac:dyDescent="0.25">
      <c r="A4073" s="20" t="s">
        <v>4280</v>
      </c>
      <c r="B4073" s="20" t="s">
        <v>4014</v>
      </c>
    </row>
    <row r="4074" spans="1:2" x14ac:dyDescent="0.25">
      <c r="A4074" s="20" t="s">
        <v>4297</v>
      </c>
      <c r="B4074" s="20" t="s">
        <v>4014</v>
      </c>
    </row>
    <row r="4075" spans="1:2" x14ac:dyDescent="0.25">
      <c r="A4075" s="20" t="s">
        <v>4309</v>
      </c>
      <c r="B4075" s="20" t="s">
        <v>4014</v>
      </c>
    </row>
    <row r="4076" spans="1:2" x14ac:dyDescent="0.25">
      <c r="A4076" s="20" t="s">
        <v>4321</v>
      </c>
      <c r="B4076" s="20" t="s">
        <v>4014</v>
      </c>
    </row>
    <row r="4077" spans="1:2" x14ac:dyDescent="0.25">
      <c r="A4077" s="20" t="s">
        <v>4333</v>
      </c>
      <c r="B4077" s="20" t="s">
        <v>4014</v>
      </c>
    </row>
    <row r="4078" spans="1:2" x14ac:dyDescent="0.25">
      <c r="A4078" s="20" t="s">
        <v>4343</v>
      </c>
      <c r="B4078" s="20" t="s">
        <v>4014</v>
      </c>
    </row>
    <row r="4079" spans="1:2" x14ac:dyDescent="0.25">
      <c r="A4079" s="20" t="s">
        <v>4353</v>
      </c>
      <c r="B4079" s="20" t="s">
        <v>4014</v>
      </c>
    </row>
    <row r="4080" spans="1:2" x14ac:dyDescent="0.25">
      <c r="A4080" s="20" t="s">
        <v>4363</v>
      </c>
      <c r="B4080" s="20" t="s">
        <v>4014</v>
      </c>
    </row>
    <row r="4081" spans="1:2" x14ac:dyDescent="0.25">
      <c r="A4081" s="20" t="s">
        <v>4370</v>
      </c>
      <c r="B4081" s="20" t="s">
        <v>4014</v>
      </c>
    </row>
    <row r="4082" spans="1:2" x14ac:dyDescent="0.25">
      <c r="A4082" s="20" t="s">
        <v>4376</v>
      </c>
      <c r="B4082" s="20" t="s">
        <v>4014</v>
      </c>
    </row>
    <row r="4083" spans="1:2" x14ac:dyDescent="0.25">
      <c r="A4083" s="20" t="s">
        <v>4385</v>
      </c>
      <c r="B4083" s="20" t="s">
        <v>4014</v>
      </c>
    </row>
    <row r="4084" spans="1:2" x14ac:dyDescent="0.25">
      <c r="A4084" s="20" t="s">
        <v>4392</v>
      </c>
      <c r="B4084" s="20" t="s">
        <v>4014</v>
      </c>
    </row>
    <row r="4085" spans="1:2" x14ac:dyDescent="0.25">
      <c r="A4085" s="20" t="s">
        <v>4398</v>
      </c>
      <c r="B4085" s="20" t="s">
        <v>4014</v>
      </c>
    </row>
    <row r="4086" spans="1:2" x14ac:dyDescent="0.25">
      <c r="A4086" s="20" t="s">
        <v>4405</v>
      </c>
      <c r="B4086" s="20" t="s">
        <v>4014</v>
      </c>
    </row>
    <row r="4087" spans="1:2" x14ac:dyDescent="0.25">
      <c r="A4087" s="20" t="s">
        <v>4410</v>
      </c>
      <c r="B4087" s="20" t="s">
        <v>4014</v>
      </c>
    </row>
    <row r="4088" spans="1:2" x14ac:dyDescent="0.25">
      <c r="A4088" s="20" t="s">
        <v>4415</v>
      </c>
      <c r="B4088" s="20" t="s">
        <v>4014</v>
      </c>
    </row>
    <row r="4089" spans="1:2" x14ac:dyDescent="0.25">
      <c r="A4089" s="20" t="s">
        <v>4419</v>
      </c>
      <c r="B4089" s="20" t="s">
        <v>4014</v>
      </c>
    </row>
    <row r="4090" spans="1:2" x14ac:dyDescent="0.25">
      <c r="A4090" s="20" t="s">
        <v>4425</v>
      </c>
      <c r="B4090" s="20" t="s">
        <v>4014</v>
      </c>
    </row>
    <row r="4091" spans="1:2" x14ac:dyDescent="0.25">
      <c r="A4091" s="20" t="s">
        <v>4431</v>
      </c>
      <c r="B4091" s="20" t="s">
        <v>4014</v>
      </c>
    </row>
    <row r="4092" spans="1:2" x14ac:dyDescent="0.25">
      <c r="A4092" s="20" t="s">
        <v>4436</v>
      </c>
      <c r="B4092" s="20" t="s">
        <v>4014</v>
      </c>
    </row>
    <row r="4093" spans="1:2" x14ac:dyDescent="0.25">
      <c r="A4093" s="20">
        <v>196375622</v>
      </c>
      <c r="B4093" s="20" t="s">
        <v>4014</v>
      </c>
    </row>
    <row r="4094" spans="1:2" x14ac:dyDescent="0.25">
      <c r="A4094" s="20" t="s">
        <v>4238</v>
      </c>
      <c r="B4094" s="20" t="s">
        <v>4014</v>
      </c>
    </row>
    <row r="4095" spans="1:2" x14ac:dyDescent="0.25">
      <c r="A4095" s="20" t="s">
        <v>4250</v>
      </c>
      <c r="B4095" s="20" t="s">
        <v>4014</v>
      </c>
    </row>
    <row r="4096" spans="1:2" x14ac:dyDescent="0.25">
      <c r="A4096" s="20" t="s">
        <v>4259</v>
      </c>
      <c r="B4096" s="20" t="s">
        <v>4014</v>
      </c>
    </row>
    <row r="4097" spans="1:2" x14ac:dyDescent="0.25">
      <c r="A4097" s="20" t="s">
        <v>4267</v>
      </c>
      <c r="B4097" s="20" t="s">
        <v>4014</v>
      </c>
    </row>
    <row r="4098" spans="1:2" x14ac:dyDescent="0.25">
      <c r="A4098" s="20" t="s">
        <v>4277</v>
      </c>
      <c r="B4098" s="20" t="s">
        <v>4014</v>
      </c>
    </row>
    <row r="4099" spans="1:2" x14ac:dyDescent="0.25">
      <c r="A4099" s="20" t="s">
        <v>4293</v>
      </c>
      <c r="B4099" s="20" t="s">
        <v>4014</v>
      </c>
    </row>
    <row r="4100" spans="1:2" x14ac:dyDescent="0.25">
      <c r="A4100" s="20">
        <v>-42706771</v>
      </c>
      <c r="B4100" s="20" t="s">
        <v>4014</v>
      </c>
    </row>
    <row r="4101" spans="1:2" x14ac:dyDescent="0.25">
      <c r="A4101" s="20" t="s">
        <v>4479</v>
      </c>
      <c r="B4101" s="20" t="s">
        <v>4014</v>
      </c>
    </row>
    <row r="4102" spans="1:2" x14ac:dyDescent="0.25">
      <c r="A4102" s="20" t="s">
        <v>4483</v>
      </c>
      <c r="B4102" s="20" t="s">
        <v>4014</v>
      </c>
    </row>
    <row r="4103" spans="1:2" x14ac:dyDescent="0.25">
      <c r="A4103" s="20" t="s">
        <v>4485</v>
      </c>
      <c r="B4103" s="20" t="s">
        <v>4014</v>
      </c>
    </row>
    <row r="4104" spans="1:2" x14ac:dyDescent="0.25">
      <c r="A4104" s="20">
        <v>12167869</v>
      </c>
      <c r="B4104" s="20" t="s">
        <v>4014</v>
      </c>
    </row>
    <row r="4105" spans="1:2" x14ac:dyDescent="0.25">
      <c r="A4105" s="20" t="s">
        <v>4491</v>
      </c>
      <c r="B4105" s="20" t="s">
        <v>4014</v>
      </c>
    </row>
    <row r="4106" spans="1:2" x14ac:dyDescent="0.25">
      <c r="A4106" s="20">
        <v>12172789</v>
      </c>
      <c r="B4106" s="20" t="s">
        <v>4014</v>
      </c>
    </row>
    <row r="4107" spans="1:2" x14ac:dyDescent="0.25">
      <c r="A4107" s="20" t="s">
        <v>4300</v>
      </c>
      <c r="B4107" s="20" t="s">
        <v>4014</v>
      </c>
    </row>
    <row r="4108" spans="1:2" x14ac:dyDescent="0.25">
      <c r="A4108" s="20" t="s">
        <v>4313</v>
      </c>
      <c r="B4108" s="20" t="s">
        <v>4014</v>
      </c>
    </row>
    <row r="4109" spans="1:2" x14ac:dyDescent="0.25">
      <c r="A4109" s="20">
        <v>42706771</v>
      </c>
      <c r="B4109" s="20" t="s">
        <v>4014</v>
      </c>
    </row>
    <row r="4110" spans="1:2" x14ac:dyDescent="0.25">
      <c r="A4110" s="20" t="s">
        <v>4337</v>
      </c>
      <c r="B4110" s="20" t="s">
        <v>4014</v>
      </c>
    </row>
    <row r="4111" spans="1:2" x14ac:dyDescent="0.25">
      <c r="A4111" s="20" t="s">
        <v>4347</v>
      </c>
      <c r="B4111" s="20" t="s">
        <v>4014</v>
      </c>
    </row>
    <row r="4112" spans="1:2" x14ac:dyDescent="0.25">
      <c r="A4112" s="20" t="s">
        <v>4357</v>
      </c>
      <c r="B4112" s="20" t="s">
        <v>4014</v>
      </c>
    </row>
    <row r="4113" spans="1:2" x14ac:dyDescent="0.25">
      <c r="A4113" s="20" t="s">
        <v>4365</v>
      </c>
      <c r="B4113" s="20" t="s">
        <v>4014</v>
      </c>
    </row>
    <row r="4114" spans="1:2" x14ac:dyDescent="0.25">
      <c r="A4114" s="20">
        <v>49940353</v>
      </c>
      <c r="B4114" s="20" t="s">
        <v>4014</v>
      </c>
    </row>
    <row r="4115" spans="1:2" x14ac:dyDescent="0.25">
      <c r="A4115" s="20" t="s">
        <v>4379</v>
      </c>
      <c r="B4115" s="20" t="s">
        <v>4014</v>
      </c>
    </row>
    <row r="4116" spans="1:2" x14ac:dyDescent="0.25">
      <c r="A4116" s="20" t="s">
        <v>4387</v>
      </c>
      <c r="B4116" s="20" t="s">
        <v>4014</v>
      </c>
    </row>
    <row r="4117" spans="1:2" x14ac:dyDescent="0.25">
      <c r="A4117" s="20" t="s">
        <v>4395</v>
      </c>
      <c r="B4117" s="20" t="s">
        <v>4014</v>
      </c>
    </row>
    <row r="4118" spans="1:2" x14ac:dyDescent="0.25">
      <c r="A4118" s="20" t="s">
        <v>4401</v>
      </c>
      <c r="B4118" s="20" t="s">
        <v>4014</v>
      </c>
    </row>
    <row r="4119" spans="1:2" x14ac:dyDescent="0.25">
      <c r="A4119" s="20" t="s">
        <v>4407</v>
      </c>
      <c r="B4119" s="20" t="s">
        <v>4014</v>
      </c>
    </row>
    <row r="4120" spans="1:2" x14ac:dyDescent="0.25">
      <c r="A4120" s="20" t="s">
        <v>4412</v>
      </c>
      <c r="B4120" s="20" t="s">
        <v>4014</v>
      </c>
    </row>
    <row r="4121" spans="1:2" x14ac:dyDescent="0.25">
      <c r="A4121" s="20">
        <v>-12132974</v>
      </c>
      <c r="B4121" s="20" t="s">
        <v>4014</v>
      </c>
    </row>
    <row r="4122" spans="1:2" x14ac:dyDescent="0.25">
      <c r="A4122" s="20">
        <v>-12135978</v>
      </c>
      <c r="B4122" s="20" t="s">
        <v>4014</v>
      </c>
    </row>
    <row r="4123" spans="1:2" x14ac:dyDescent="0.25">
      <c r="A4123" s="20" t="s">
        <v>4427</v>
      </c>
      <c r="B4123" s="20" t="s">
        <v>4014</v>
      </c>
    </row>
    <row r="4124" spans="1:2" x14ac:dyDescent="0.25">
      <c r="A4124" s="20" t="s">
        <v>4433</v>
      </c>
      <c r="B4124" s="20" t="s">
        <v>4014</v>
      </c>
    </row>
    <row r="4125" spans="1:2" x14ac:dyDescent="0.25">
      <c r="A4125" s="20" t="s">
        <v>4437</v>
      </c>
      <c r="B4125" s="20" t="s">
        <v>4014</v>
      </c>
    </row>
    <row r="4126" spans="1:2" x14ac:dyDescent="0.25">
      <c r="A4126" s="20" t="s">
        <v>4443</v>
      </c>
      <c r="B4126" s="20" t="s">
        <v>4014</v>
      </c>
    </row>
    <row r="4127" spans="1:2" x14ac:dyDescent="0.25">
      <c r="A4127" s="20" t="s">
        <v>4448</v>
      </c>
      <c r="B4127" s="20" t="s">
        <v>4014</v>
      </c>
    </row>
    <row r="4128" spans="1:2" x14ac:dyDescent="0.25">
      <c r="A4128" s="20" t="s">
        <v>4453</v>
      </c>
      <c r="B4128" s="20" t="s">
        <v>4014</v>
      </c>
    </row>
    <row r="4129" spans="1:2" x14ac:dyDescent="0.25">
      <c r="A4129" s="20">
        <v>448845180</v>
      </c>
      <c r="B4129" s="20" t="s">
        <v>4014</v>
      </c>
    </row>
    <row r="4130" spans="1:2" x14ac:dyDescent="0.25">
      <c r="A4130" s="20" t="s">
        <v>4463</v>
      </c>
      <c r="B4130" s="20" t="s">
        <v>4014</v>
      </c>
    </row>
    <row r="4131" spans="1:2" x14ac:dyDescent="0.25">
      <c r="A4131" s="20" t="s">
        <v>4468</v>
      </c>
      <c r="B4131" s="20" t="s">
        <v>4014</v>
      </c>
    </row>
    <row r="4132" spans="1:2" x14ac:dyDescent="0.25">
      <c r="A4132" s="20">
        <v>423966001</v>
      </c>
      <c r="B4132" s="20" t="s">
        <v>4014</v>
      </c>
    </row>
    <row r="4133" spans="1:2" x14ac:dyDescent="0.25">
      <c r="A4133" s="20" t="s">
        <v>4476</v>
      </c>
      <c r="B4133" s="20" t="s">
        <v>4014</v>
      </c>
    </row>
    <row r="4134" spans="1:2" x14ac:dyDescent="0.25">
      <c r="A4134" s="20" t="s">
        <v>4480</v>
      </c>
      <c r="B4134" s="20" t="s">
        <v>4014</v>
      </c>
    </row>
    <row r="4135" spans="1:2" x14ac:dyDescent="0.25">
      <c r="A4135" s="20" t="s">
        <v>4484</v>
      </c>
      <c r="B4135" s="20" t="s">
        <v>4014</v>
      </c>
    </row>
    <row r="4136" spans="1:2" x14ac:dyDescent="0.25">
      <c r="A4136" s="20">
        <v>-12372809</v>
      </c>
      <c r="B4136" s="20" t="s">
        <v>4014</v>
      </c>
    </row>
    <row r="4137" spans="1:2" x14ac:dyDescent="0.25">
      <c r="A4137" s="20" t="s">
        <v>4488</v>
      </c>
      <c r="B4137" s="20" t="s">
        <v>4014</v>
      </c>
    </row>
    <row r="4138" spans="1:2" x14ac:dyDescent="0.25">
      <c r="A4138" s="20">
        <v>42705779</v>
      </c>
      <c r="B4138" s="20" t="s">
        <v>4014</v>
      </c>
    </row>
    <row r="4139" spans="1:2" x14ac:dyDescent="0.25">
      <c r="A4139" s="20">
        <v>448887900</v>
      </c>
      <c r="B4139" s="20" t="s">
        <v>4014</v>
      </c>
    </row>
    <row r="4140" spans="1:2" x14ac:dyDescent="0.25">
      <c r="A4140" s="20" t="s">
        <v>4494</v>
      </c>
      <c r="B4140" s="20" t="s">
        <v>4014</v>
      </c>
    </row>
    <row r="4141" spans="1:2" x14ac:dyDescent="0.25">
      <c r="A4141" s="20">
        <v>448887889</v>
      </c>
      <c r="B4141" s="20" t="s">
        <v>4014</v>
      </c>
    </row>
    <row r="4142" spans="1:2" x14ac:dyDescent="0.25">
      <c r="A4142" s="20">
        <v>448887879</v>
      </c>
      <c r="B4142" s="20" t="s">
        <v>4014</v>
      </c>
    </row>
    <row r="4143" spans="1:2" x14ac:dyDescent="0.25">
      <c r="A4143" s="20">
        <v>448887886</v>
      </c>
      <c r="B4143" s="20" t="s">
        <v>4014</v>
      </c>
    </row>
    <row r="4144" spans="1:2" x14ac:dyDescent="0.25">
      <c r="A4144" s="20" t="s">
        <v>4499</v>
      </c>
      <c r="B4144" s="20" t="s">
        <v>4014</v>
      </c>
    </row>
    <row r="4145" spans="1:2" x14ac:dyDescent="0.25">
      <c r="A4145" s="20">
        <v>454909268</v>
      </c>
      <c r="B4145" s="20" t="s">
        <v>4014</v>
      </c>
    </row>
    <row r="4146" spans="1:2" x14ac:dyDescent="0.25">
      <c r="A4146" s="20" t="s">
        <v>4502</v>
      </c>
      <c r="B4146" s="20" t="s">
        <v>4014</v>
      </c>
    </row>
    <row r="4147" spans="1:2" x14ac:dyDescent="0.25">
      <c r="A4147" s="20">
        <v>448887923</v>
      </c>
      <c r="B4147" s="20" t="s">
        <v>4014</v>
      </c>
    </row>
    <row r="4148" spans="1:2" x14ac:dyDescent="0.25">
      <c r="A4148" s="20">
        <v>12148393</v>
      </c>
      <c r="B4148" s="20" t="s">
        <v>4014</v>
      </c>
    </row>
    <row r="4149" spans="1:2" x14ac:dyDescent="0.25">
      <c r="A4149" s="20" t="s">
        <v>4506</v>
      </c>
      <c r="B4149" s="20" t="s">
        <v>4014</v>
      </c>
    </row>
    <row r="4150" spans="1:2" x14ac:dyDescent="0.25">
      <c r="A4150" s="20" t="s">
        <v>4508</v>
      </c>
      <c r="B4150" s="20" t="s">
        <v>4014</v>
      </c>
    </row>
    <row r="4151" spans="1:2" x14ac:dyDescent="0.25">
      <c r="A4151" s="20" t="s">
        <v>4511</v>
      </c>
      <c r="B4151" s="20" t="s">
        <v>4014</v>
      </c>
    </row>
    <row r="4152" spans="1:2" x14ac:dyDescent="0.25">
      <c r="A4152" s="20" t="s">
        <v>4515</v>
      </c>
      <c r="B4152" s="20" t="s">
        <v>4014</v>
      </c>
    </row>
    <row r="4153" spans="1:2" x14ac:dyDescent="0.25">
      <c r="A4153" s="20" t="s">
        <v>4517</v>
      </c>
      <c r="B4153" s="20" t="s">
        <v>4014</v>
      </c>
    </row>
    <row r="4154" spans="1:2" x14ac:dyDescent="0.25">
      <c r="A4154" s="20" t="s">
        <v>4520</v>
      </c>
      <c r="B4154" s="20" t="s">
        <v>4014</v>
      </c>
    </row>
    <row r="4155" spans="1:2" x14ac:dyDescent="0.25">
      <c r="A4155" s="20" t="s">
        <v>4523</v>
      </c>
      <c r="B4155" s="20" t="s">
        <v>4014</v>
      </c>
    </row>
    <row r="4156" spans="1:2" x14ac:dyDescent="0.25">
      <c r="A4156" s="20" t="s">
        <v>4118</v>
      </c>
      <c r="B4156" s="20" t="s">
        <v>4014</v>
      </c>
    </row>
    <row r="4157" spans="1:2" x14ac:dyDescent="0.25">
      <c r="A4157" s="20" t="s">
        <v>4527</v>
      </c>
      <c r="B4157" s="20" t="s">
        <v>4014</v>
      </c>
    </row>
    <row r="4158" spans="1:2" x14ac:dyDescent="0.25">
      <c r="A4158" s="20">
        <v>486653623</v>
      </c>
      <c r="B4158" s="20" t="s">
        <v>4014</v>
      </c>
    </row>
    <row r="4159" spans="1:2" x14ac:dyDescent="0.25">
      <c r="A4159" s="20">
        <v>287178713</v>
      </c>
      <c r="B4159" s="20" t="s">
        <v>4014</v>
      </c>
    </row>
    <row r="4160" spans="1:2" x14ac:dyDescent="0.25">
      <c r="A4160" s="20" t="s">
        <v>4534</v>
      </c>
      <c r="B4160" s="20" t="s">
        <v>4014</v>
      </c>
    </row>
    <row r="4161" spans="1:2" x14ac:dyDescent="0.25">
      <c r="A4161" s="20" t="s">
        <v>4537</v>
      </c>
      <c r="B4161" s="20" t="s">
        <v>4014</v>
      </c>
    </row>
    <row r="4162" spans="1:2" x14ac:dyDescent="0.25">
      <c r="A4162" s="20">
        <v>-287178713</v>
      </c>
      <c r="B4162" s="20" t="s">
        <v>4014</v>
      </c>
    </row>
    <row r="4163" spans="1:2" x14ac:dyDescent="0.25">
      <c r="A4163" s="20">
        <v>-486653623</v>
      </c>
      <c r="B4163" s="20" t="s">
        <v>4014</v>
      </c>
    </row>
    <row r="4164" spans="1:2" x14ac:dyDescent="0.25">
      <c r="A4164" s="20" t="s">
        <v>4361</v>
      </c>
      <c r="B4164" s="20" t="s">
        <v>4014</v>
      </c>
    </row>
    <row r="4165" spans="1:2" x14ac:dyDescent="0.25">
      <c r="A4165" s="20" t="s">
        <v>4130</v>
      </c>
      <c r="B4165" s="20" t="s">
        <v>4014</v>
      </c>
    </row>
    <row r="4166" spans="1:2" x14ac:dyDescent="0.25">
      <c r="A4166" s="20" t="s">
        <v>4137</v>
      </c>
      <c r="B4166" s="20" t="s">
        <v>4014</v>
      </c>
    </row>
    <row r="4167" spans="1:2" x14ac:dyDescent="0.25">
      <c r="A4167" s="20" t="s">
        <v>4383</v>
      </c>
      <c r="B4167" s="20" t="s">
        <v>4014</v>
      </c>
    </row>
    <row r="4168" spans="1:2" x14ac:dyDescent="0.25">
      <c r="A4168" s="20" t="s">
        <v>4054</v>
      </c>
      <c r="B4168" s="20" t="s">
        <v>4014</v>
      </c>
    </row>
    <row r="4169" spans="1:2" x14ac:dyDescent="0.25">
      <c r="A4169" s="20" t="s">
        <v>4064</v>
      </c>
      <c r="B4169" s="20" t="s">
        <v>4014</v>
      </c>
    </row>
    <row r="4170" spans="1:2" x14ac:dyDescent="0.25">
      <c r="A4170" s="20" t="s">
        <v>4071</v>
      </c>
      <c r="B4170" s="20" t="s">
        <v>4014</v>
      </c>
    </row>
    <row r="4171" spans="1:2" x14ac:dyDescent="0.25">
      <c r="A4171" s="20" t="s">
        <v>4086</v>
      </c>
      <c r="B4171" s="20" t="s">
        <v>4014</v>
      </c>
    </row>
    <row r="4172" spans="1:2" x14ac:dyDescent="0.25">
      <c r="A4172" s="20" t="s">
        <v>4101</v>
      </c>
      <c r="B4172" s="20" t="s">
        <v>4014</v>
      </c>
    </row>
    <row r="4173" spans="1:2" x14ac:dyDescent="0.25">
      <c r="A4173" s="20" t="s">
        <v>4115</v>
      </c>
      <c r="B4173" s="20" t="s">
        <v>4014</v>
      </c>
    </row>
    <row r="4174" spans="1:2" x14ac:dyDescent="0.25">
      <c r="A4174" s="20" t="s">
        <v>4128</v>
      </c>
      <c r="B4174" s="20" t="s">
        <v>4014</v>
      </c>
    </row>
    <row r="4175" spans="1:2" x14ac:dyDescent="0.25">
      <c r="A4175" s="20" t="s">
        <v>4229</v>
      </c>
      <c r="B4175" s="20" t="s">
        <v>4014</v>
      </c>
    </row>
    <row r="4176" spans="1:2" x14ac:dyDescent="0.25">
      <c r="A4176" s="20">
        <v>-196375622</v>
      </c>
      <c r="B4176" s="20" t="s">
        <v>4014</v>
      </c>
    </row>
    <row r="4177" spans="1:2" x14ac:dyDescent="0.25">
      <c r="A4177" s="20" t="s">
        <v>4441</v>
      </c>
      <c r="B4177" s="20" t="s">
        <v>4014</v>
      </c>
    </row>
    <row r="4178" spans="1:2" x14ac:dyDescent="0.25">
      <c r="A4178" s="20" t="s">
        <v>4446</v>
      </c>
      <c r="B4178" s="20" t="s">
        <v>4014</v>
      </c>
    </row>
    <row r="4179" spans="1:2" x14ac:dyDescent="0.25">
      <c r="A4179" s="20" t="s">
        <v>4452</v>
      </c>
      <c r="B4179" s="20" t="s">
        <v>4014</v>
      </c>
    </row>
    <row r="4180" spans="1:2" x14ac:dyDescent="0.25">
      <c r="A4180" s="20" t="s">
        <v>4457</v>
      </c>
      <c r="B4180" s="20" t="s">
        <v>4014</v>
      </c>
    </row>
    <row r="4181" spans="1:2" x14ac:dyDescent="0.25">
      <c r="A4181" s="20" t="s">
        <v>4462</v>
      </c>
      <c r="B4181" s="20" t="s">
        <v>4014</v>
      </c>
    </row>
    <row r="4182" spans="1:2" x14ac:dyDescent="0.25">
      <c r="A4182" s="20" t="s">
        <v>4466</v>
      </c>
      <c r="B4182" s="20" t="s">
        <v>4014</v>
      </c>
    </row>
    <row r="4183" spans="1:2" x14ac:dyDescent="0.25">
      <c r="A4183" s="20" t="s">
        <v>4471</v>
      </c>
      <c r="B4183" s="20" t="s">
        <v>4014</v>
      </c>
    </row>
    <row r="4184" spans="1:2" x14ac:dyDescent="0.25">
      <c r="A4184" s="20" t="s">
        <v>4475</v>
      </c>
      <c r="B4184" s="20" t="s">
        <v>4014</v>
      </c>
    </row>
    <row r="4185" spans="1:2" x14ac:dyDescent="0.25">
      <c r="A4185" s="20" t="s">
        <v>4478</v>
      </c>
      <c r="B4185" s="20" t="s">
        <v>4014</v>
      </c>
    </row>
    <row r="4186" spans="1:2" x14ac:dyDescent="0.25">
      <c r="A4186" s="20" t="s">
        <v>4482</v>
      </c>
      <c r="B4186" s="20" t="s">
        <v>4014</v>
      </c>
    </row>
    <row r="4187" spans="1:2" x14ac:dyDescent="0.25">
      <c r="A4187" s="20" t="s">
        <v>4472</v>
      </c>
      <c r="B4187" s="20" t="s">
        <v>4014</v>
      </c>
    </row>
    <row r="4188" spans="1:2" x14ac:dyDescent="0.25">
      <c r="A4188" s="20" t="s">
        <v>4487</v>
      </c>
      <c r="B4188" s="20" t="s">
        <v>4014</v>
      </c>
    </row>
    <row r="4189" spans="1:2" x14ac:dyDescent="0.25">
      <c r="A4189" s="20" t="s">
        <v>4489</v>
      </c>
      <c r="B4189" s="20" t="s">
        <v>4014</v>
      </c>
    </row>
    <row r="4190" spans="1:2" x14ac:dyDescent="0.25">
      <c r="A4190" s="20">
        <v>12166594</v>
      </c>
      <c r="B4190" s="20" t="s">
        <v>4014</v>
      </c>
    </row>
    <row r="4191" spans="1:2" x14ac:dyDescent="0.25">
      <c r="A4191" s="20" t="s">
        <v>4492</v>
      </c>
      <c r="B4191" s="20" t="s">
        <v>4014</v>
      </c>
    </row>
    <row r="4192" spans="1:2" x14ac:dyDescent="0.25">
      <c r="A4192" s="20" t="s">
        <v>4495</v>
      </c>
      <c r="B4192" s="20" t="s">
        <v>4014</v>
      </c>
    </row>
    <row r="4193" spans="1:2" x14ac:dyDescent="0.25">
      <c r="A4193" s="20" t="s">
        <v>4496</v>
      </c>
      <c r="B4193" s="20" t="s">
        <v>4014</v>
      </c>
    </row>
    <row r="4194" spans="1:2" x14ac:dyDescent="0.25">
      <c r="A4194" s="20" t="s">
        <v>4497</v>
      </c>
      <c r="B4194" s="20" t="s">
        <v>4014</v>
      </c>
    </row>
    <row r="4195" spans="1:2" x14ac:dyDescent="0.25">
      <c r="A4195" s="20" t="s">
        <v>4498</v>
      </c>
      <c r="B4195" s="20" t="s">
        <v>4014</v>
      </c>
    </row>
    <row r="4196" spans="1:2" x14ac:dyDescent="0.25">
      <c r="A4196" s="20" t="s">
        <v>4500</v>
      </c>
      <c r="B4196" s="20" t="s">
        <v>4014</v>
      </c>
    </row>
    <row r="4197" spans="1:2" x14ac:dyDescent="0.25">
      <c r="A4197" s="20" t="s">
        <v>4501</v>
      </c>
      <c r="B4197" s="20" t="s">
        <v>4014</v>
      </c>
    </row>
    <row r="4198" spans="1:2" x14ac:dyDescent="0.25">
      <c r="A4198" s="20" t="s">
        <v>4503</v>
      </c>
      <c r="B4198" s="20" t="s">
        <v>4014</v>
      </c>
    </row>
    <row r="4199" spans="1:2" x14ac:dyDescent="0.25">
      <c r="A4199" s="20" t="s">
        <v>4504</v>
      </c>
      <c r="B4199" s="20" t="s">
        <v>4014</v>
      </c>
    </row>
    <row r="4200" spans="1:2" x14ac:dyDescent="0.25">
      <c r="A4200" s="20" t="s">
        <v>4505</v>
      </c>
      <c r="B4200" s="20" t="s">
        <v>4014</v>
      </c>
    </row>
    <row r="4201" spans="1:2" x14ac:dyDescent="0.25">
      <c r="A4201" s="20" t="s">
        <v>4507</v>
      </c>
      <c r="B4201" s="20" t="s">
        <v>4014</v>
      </c>
    </row>
    <row r="4202" spans="1:2" x14ac:dyDescent="0.25">
      <c r="A4202" s="20" t="s">
        <v>4509</v>
      </c>
      <c r="B4202" s="20" t="s">
        <v>4014</v>
      </c>
    </row>
    <row r="4203" spans="1:2" x14ac:dyDescent="0.25">
      <c r="A4203" s="20" t="s">
        <v>4512</v>
      </c>
      <c r="B4203" s="20" t="s">
        <v>4014</v>
      </c>
    </row>
    <row r="4204" spans="1:2" x14ac:dyDescent="0.25">
      <c r="A4204" s="20" t="s">
        <v>4516</v>
      </c>
      <c r="B4204" s="20" t="s">
        <v>4014</v>
      </c>
    </row>
    <row r="4205" spans="1:2" x14ac:dyDescent="0.25">
      <c r="A4205" s="20" t="s">
        <v>4518</v>
      </c>
      <c r="B4205" s="20" t="s">
        <v>4014</v>
      </c>
    </row>
    <row r="4206" spans="1:2" x14ac:dyDescent="0.25">
      <c r="A4206" s="20" t="s">
        <v>4521</v>
      </c>
      <c r="B4206" s="20" t="s">
        <v>4014</v>
      </c>
    </row>
    <row r="4207" spans="1:2" x14ac:dyDescent="0.25">
      <c r="A4207" s="20" t="s">
        <v>4525</v>
      </c>
      <c r="B4207" s="20" t="s">
        <v>4014</v>
      </c>
    </row>
    <row r="4208" spans="1:2" x14ac:dyDescent="0.25">
      <c r="A4208" s="20" t="s">
        <v>4526</v>
      </c>
      <c r="B4208" s="20" t="s">
        <v>4014</v>
      </c>
    </row>
    <row r="4209" spans="1:2" x14ac:dyDescent="0.25">
      <c r="A4209" s="20" t="s">
        <v>4528</v>
      </c>
      <c r="B4209" s="20" t="s">
        <v>4014</v>
      </c>
    </row>
    <row r="4210" spans="1:2" x14ac:dyDescent="0.25">
      <c r="A4210" s="20" t="s">
        <v>4530</v>
      </c>
      <c r="B4210" s="20" t="s">
        <v>4014</v>
      </c>
    </row>
    <row r="4211" spans="1:2" x14ac:dyDescent="0.25">
      <c r="A4211" s="20" t="s">
        <v>4532</v>
      </c>
      <c r="B4211" s="20" t="s">
        <v>4014</v>
      </c>
    </row>
    <row r="4212" spans="1:2" x14ac:dyDescent="0.25">
      <c r="A4212" s="20" t="s">
        <v>4535</v>
      </c>
      <c r="B4212" s="20" t="s">
        <v>4014</v>
      </c>
    </row>
    <row r="4213" spans="1:2" x14ac:dyDescent="0.25">
      <c r="A4213" s="20" t="s">
        <v>4538</v>
      </c>
      <c r="B4213" s="20" t="s">
        <v>4014</v>
      </c>
    </row>
    <row r="4214" spans="1:2" x14ac:dyDescent="0.25">
      <c r="A4214" s="20" t="s">
        <v>4540</v>
      </c>
      <c r="B4214" s="20" t="s">
        <v>4014</v>
      </c>
    </row>
    <row r="4215" spans="1:2" x14ac:dyDescent="0.25">
      <c r="A4215" s="20" t="s">
        <v>4542</v>
      </c>
      <c r="B4215" s="20" t="s">
        <v>4014</v>
      </c>
    </row>
    <row r="4216" spans="1:2" x14ac:dyDescent="0.25">
      <c r="A4216" s="20" t="s">
        <v>4544</v>
      </c>
      <c r="B4216" s="20" t="s">
        <v>4014</v>
      </c>
    </row>
    <row r="4217" spans="1:2" x14ac:dyDescent="0.25">
      <c r="A4217" s="20">
        <v>134563759</v>
      </c>
      <c r="B4217" s="20" t="s">
        <v>4014</v>
      </c>
    </row>
    <row r="4218" spans="1:2" x14ac:dyDescent="0.25">
      <c r="A4218" s="20" t="s">
        <v>4545</v>
      </c>
      <c r="B4218" s="20" t="s">
        <v>4014</v>
      </c>
    </row>
    <row r="4219" spans="1:2" x14ac:dyDescent="0.25">
      <c r="A4219" s="20" t="s">
        <v>4547</v>
      </c>
      <c r="B4219" s="20" t="s">
        <v>4014</v>
      </c>
    </row>
    <row r="4220" spans="1:2" x14ac:dyDescent="0.25">
      <c r="A4220" s="20" t="s">
        <v>4548</v>
      </c>
      <c r="B4220" s="20" t="s">
        <v>4014</v>
      </c>
    </row>
    <row r="4221" spans="1:2" x14ac:dyDescent="0.25">
      <c r="A4221" s="20" t="s">
        <v>4551</v>
      </c>
      <c r="B4221" s="20" t="s">
        <v>4014</v>
      </c>
    </row>
    <row r="4222" spans="1:2" x14ac:dyDescent="0.25">
      <c r="A4222" s="20" t="s">
        <v>4553</v>
      </c>
      <c r="B4222" s="20" t="s">
        <v>4014</v>
      </c>
    </row>
    <row r="4223" spans="1:2" x14ac:dyDescent="0.25">
      <c r="A4223" s="20">
        <v>424803245</v>
      </c>
      <c r="B4223" s="20" t="s">
        <v>4014</v>
      </c>
    </row>
    <row r="4224" spans="1:2" x14ac:dyDescent="0.25">
      <c r="A4224" s="20">
        <v>423956979</v>
      </c>
      <c r="B4224" s="20" t="s">
        <v>4014</v>
      </c>
    </row>
    <row r="4225" spans="1:2" x14ac:dyDescent="0.25">
      <c r="A4225" s="20">
        <v>424824621</v>
      </c>
      <c r="B4225" s="20" t="s">
        <v>4014</v>
      </c>
    </row>
    <row r="4226" spans="1:2" x14ac:dyDescent="0.25">
      <c r="A4226" s="20">
        <v>423956980</v>
      </c>
      <c r="B4226" s="20" t="s">
        <v>4014</v>
      </c>
    </row>
    <row r="4227" spans="1:2" x14ac:dyDescent="0.25">
      <c r="A4227" s="20" t="s">
        <v>4556</v>
      </c>
      <c r="B4227" s="20" t="s">
        <v>4014</v>
      </c>
    </row>
    <row r="4228" spans="1:2" x14ac:dyDescent="0.25">
      <c r="A4228" s="20" t="s">
        <v>4557</v>
      </c>
      <c r="B4228" s="20" t="s">
        <v>4014</v>
      </c>
    </row>
    <row r="4229" spans="1:2" x14ac:dyDescent="0.25">
      <c r="A4229" s="20" t="s">
        <v>4558</v>
      </c>
      <c r="B4229" s="20" t="s">
        <v>4014</v>
      </c>
    </row>
    <row r="4230" spans="1:2" x14ac:dyDescent="0.25">
      <c r="A4230" s="20" t="s">
        <v>4559</v>
      </c>
      <c r="B4230" s="20" t="s">
        <v>4014</v>
      </c>
    </row>
    <row r="4231" spans="1:2" x14ac:dyDescent="0.25">
      <c r="A4231" s="20" t="s">
        <v>4561</v>
      </c>
      <c r="B4231" s="20" t="s">
        <v>4014</v>
      </c>
    </row>
    <row r="4232" spans="1:2" x14ac:dyDescent="0.25">
      <c r="A4232" s="20" t="s">
        <v>4563</v>
      </c>
      <c r="B4232" s="20" t="s">
        <v>4014</v>
      </c>
    </row>
    <row r="4233" spans="1:2" x14ac:dyDescent="0.25">
      <c r="A4233" s="20" t="s">
        <v>4152</v>
      </c>
      <c r="B4233" s="20" t="s">
        <v>4014</v>
      </c>
    </row>
    <row r="4234" spans="1:2" x14ac:dyDescent="0.25">
      <c r="A4234" s="20" t="s">
        <v>4565</v>
      </c>
      <c r="B4234" s="20" t="s">
        <v>4014</v>
      </c>
    </row>
    <row r="4235" spans="1:2" x14ac:dyDescent="0.25">
      <c r="A4235" s="20" t="s">
        <v>4200</v>
      </c>
      <c r="B4235" s="20" t="s">
        <v>4014</v>
      </c>
    </row>
    <row r="4236" spans="1:2" x14ac:dyDescent="0.25">
      <c r="A4236" s="20" t="s">
        <v>4212</v>
      </c>
      <c r="B4236" s="20" t="s">
        <v>4014</v>
      </c>
    </row>
    <row r="4237" spans="1:2" x14ac:dyDescent="0.25">
      <c r="A4237" s="20" t="s">
        <v>4030</v>
      </c>
      <c r="B4237" s="20" t="s">
        <v>4014</v>
      </c>
    </row>
    <row r="4238" spans="1:2" x14ac:dyDescent="0.25">
      <c r="A4238" s="20" t="s">
        <v>4033</v>
      </c>
      <c r="B4238" s="20" t="s">
        <v>4014</v>
      </c>
    </row>
    <row r="4239" spans="1:2" x14ac:dyDescent="0.25">
      <c r="A4239" s="20" t="s">
        <v>4038</v>
      </c>
      <c r="B4239" s="20" t="s">
        <v>4014</v>
      </c>
    </row>
    <row r="4240" spans="1:2" x14ac:dyDescent="0.25">
      <c r="A4240" s="20" t="s">
        <v>4047</v>
      </c>
      <c r="B4240" s="20" t="s">
        <v>4014</v>
      </c>
    </row>
    <row r="4241" spans="1:2" x14ac:dyDescent="0.25">
      <c r="A4241" s="20" t="s">
        <v>4057</v>
      </c>
      <c r="B4241" s="20" t="s">
        <v>4014</v>
      </c>
    </row>
    <row r="4242" spans="1:2" x14ac:dyDescent="0.25">
      <c r="A4242" s="20" t="s">
        <v>4067</v>
      </c>
      <c r="B4242" s="20" t="s">
        <v>4014</v>
      </c>
    </row>
    <row r="4243" spans="1:2" x14ac:dyDescent="0.25">
      <c r="A4243" s="20" t="s">
        <v>4077</v>
      </c>
      <c r="B4243" s="20" t="s">
        <v>4014</v>
      </c>
    </row>
    <row r="4244" spans="1:2" x14ac:dyDescent="0.25">
      <c r="A4244" s="20" t="s">
        <v>4094</v>
      </c>
      <c r="B4244" s="20" t="s">
        <v>4014</v>
      </c>
    </row>
    <row r="4245" spans="1:2" x14ac:dyDescent="0.25">
      <c r="A4245" s="20" t="s">
        <v>4108</v>
      </c>
      <c r="B4245" s="20" t="s">
        <v>4014</v>
      </c>
    </row>
    <row r="4246" spans="1:2" x14ac:dyDescent="0.25">
      <c r="A4246" s="20" t="s">
        <v>4121</v>
      </c>
      <c r="B4246" s="20" t="s">
        <v>4014</v>
      </c>
    </row>
    <row r="4247" spans="1:2" x14ac:dyDescent="0.25">
      <c r="A4247" s="20">
        <v>196358965</v>
      </c>
      <c r="B4247" s="20" t="s">
        <v>4014</v>
      </c>
    </row>
    <row r="4248" spans="1:2" x14ac:dyDescent="0.25">
      <c r="A4248" s="20" t="s">
        <v>4139</v>
      </c>
      <c r="B4248" s="20" t="s">
        <v>4014</v>
      </c>
    </row>
    <row r="4249" spans="1:2" x14ac:dyDescent="0.25">
      <c r="A4249" s="20" t="s">
        <v>4150</v>
      </c>
      <c r="B4249" s="20" t="s">
        <v>4014</v>
      </c>
    </row>
    <row r="4250" spans="1:2" x14ac:dyDescent="0.25">
      <c r="A4250" s="20" t="s">
        <v>4164</v>
      </c>
      <c r="B4250" s="20" t="s">
        <v>4014</v>
      </c>
    </row>
    <row r="4251" spans="1:2" x14ac:dyDescent="0.25">
      <c r="A4251" s="20" t="s">
        <v>4183</v>
      </c>
      <c r="B4251" s="20" t="s">
        <v>4014</v>
      </c>
    </row>
    <row r="4252" spans="1:2" x14ac:dyDescent="0.25">
      <c r="A4252" s="20" t="s">
        <v>4199</v>
      </c>
      <c r="B4252" s="20" t="s">
        <v>4014</v>
      </c>
    </row>
    <row r="4253" spans="1:2" x14ac:dyDescent="0.25">
      <c r="A4253" s="20" t="s">
        <v>4211</v>
      </c>
      <c r="B4253" s="20" t="s">
        <v>4014</v>
      </c>
    </row>
    <row r="4254" spans="1:2" x14ac:dyDescent="0.25">
      <c r="A4254" s="20" t="s">
        <v>4222</v>
      </c>
      <c r="B4254" s="20" t="s">
        <v>4014</v>
      </c>
    </row>
    <row r="4255" spans="1:2" x14ac:dyDescent="0.25">
      <c r="A4255" s="20">
        <v>423972761</v>
      </c>
      <c r="B4255" s="20" t="s">
        <v>4014</v>
      </c>
    </row>
    <row r="4256" spans="1:2" x14ac:dyDescent="0.25">
      <c r="A4256" s="20" t="s">
        <v>4240</v>
      </c>
      <c r="B4256" s="20" t="s">
        <v>4014</v>
      </c>
    </row>
    <row r="4257" spans="1:2" x14ac:dyDescent="0.25">
      <c r="A4257" s="20" t="s">
        <v>4252</v>
      </c>
      <c r="B4257" s="20" t="s">
        <v>4014</v>
      </c>
    </row>
    <row r="4258" spans="1:2" x14ac:dyDescent="0.25">
      <c r="A4258" s="20" t="s">
        <v>4260</v>
      </c>
      <c r="B4258" s="20" t="s">
        <v>4014</v>
      </c>
    </row>
    <row r="4259" spans="1:2" x14ac:dyDescent="0.25">
      <c r="A4259" s="20" t="s">
        <v>4270</v>
      </c>
      <c r="B4259" s="20" t="s">
        <v>4014</v>
      </c>
    </row>
    <row r="4260" spans="1:2" x14ac:dyDescent="0.25">
      <c r="A4260" s="20" t="s">
        <v>4281</v>
      </c>
      <c r="B4260" s="20" t="s">
        <v>4014</v>
      </c>
    </row>
    <row r="4261" spans="1:2" x14ac:dyDescent="0.25">
      <c r="A4261" s="20" t="s">
        <v>4298</v>
      </c>
      <c r="B4261" s="20" t="s">
        <v>4014</v>
      </c>
    </row>
    <row r="4262" spans="1:2" x14ac:dyDescent="0.25">
      <c r="A4262" s="20" t="s">
        <v>4310</v>
      </c>
      <c r="B4262" s="20" t="s">
        <v>4014</v>
      </c>
    </row>
    <row r="4263" spans="1:2" x14ac:dyDescent="0.25">
      <c r="A4263" s="20" t="s">
        <v>4322</v>
      </c>
      <c r="B4263" s="20" t="s">
        <v>4014</v>
      </c>
    </row>
    <row r="4264" spans="1:2" x14ac:dyDescent="0.25">
      <c r="A4264" s="20" t="s">
        <v>4334</v>
      </c>
      <c r="B4264" s="20" t="s">
        <v>4014</v>
      </c>
    </row>
    <row r="4265" spans="1:2" x14ac:dyDescent="0.25">
      <c r="A4265" s="20" t="s">
        <v>4344</v>
      </c>
      <c r="B4265" s="20" t="s">
        <v>4014</v>
      </c>
    </row>
    <row r="4266" spans="1:2" x14ac:dyDescent="0.25">
      <c r="A4266" s="20" t="s">
        <v>4354</v>
      </c>
      <c r="B4266" s="20" t="s">
        <v>4014</v>
      </c>
    </row>
    <row r="4267" spans="1:2" x14ac:dyDescent="0.25">
      <c r="A4267" s="20" t="s">
        <v>4295</v>
      </c>
      <c r="B4267" s="20" t="s">
        <v>4014</v>
      </c>
    </row>
    <row r="4268" spans="1:2" x14ac:dyDescent="0.25">
      <c r="A4268" s="20">
        <v>12163074</v>
      </c>
      <c r="B4268" s="20" t="s">
        <v>4014</v>
      </c>
    </row>
    <row r="4269" spans="1:2" x14ac:dyDescent="0.25">
      <c r="A4269" s="20" t="s">
        <v>4377</v>
      </c>
      <c r="B4269" s="20" t="s">
        <v>4014</v>
      </c>
    </row>
    <row r="4270" spans="1:2" x14ac:dyDescent="0.25">
      <c r="A4270" s="20">
        <v>12158795</v>
      </c>
      <c r="B4270" s="20" t="s">
        <v>4014</v>
      </c>
    </row>
    <row r="4271" spans="1:2" x14ac:dyDescent="0.25">
      <c r="A4271" s="20" t="s">
        <v>4393</v>
      </c>
      <c r="B4271" s="20" t="s">
        <v>4014</v>
      </c>
    </row>
    <row r="4272" spans="1:2" x14ac:dyDescent="0.25">
      <c r="A4272" s="20" t="s">
        <v>4399</v>
      </c>
      <c r="B4272" s="20" t="s">
        <v>4014</v>
      </c>
    </row>
    <row r="4273" spans="1:2" x14ac:dyDescent="0.25">
      <c r="A4273" s="20" t="s">
        <v>4036</v>
      </c>
      <c r="B4273" s="20" t="s">
        <v>4014</v>
      </c>
    </row>
    <row r="4274" spans="1:2" x14ac:dyDescent="0.25">
      <c r="A4274" s="20" t="s">
        <v>4044</v>
      </c>
      <c r="B4274" s="20" t="s">
        <v>4014</v>
      </c>
    </row>
    <row r="4275" spans="1:2" x14ac:dyDescent="0.25">
      <c r="A4275" s="20" t="s">
        <v>4053</v>
      </c>
      <c r="B4275" s="20" t="s">
        <v>4014</v>
      </c>
    </row>
    <row r="4276" spans="1:2" x14ac:dyDescent="0.25">
      <c r="A4276" s="20" t="s">
        <v>4063</v>
      </c>
      <c r="B4276" s="20" t="s">
        <v>4014</v>
      </c>
    </row>
    <row r="4277" spans="1:2" x14ac:dyDescent="0.25">
      <c r="A4277" s="20" t="s">
        <v>4072</v>
      </c>
      <c r="B4277" s="20" t="s">
        <v>4014</v>
      </c>
    </row>
    <row r="4278" spans="1:2" x14ac:dyDescent="0.25">
      <c r="A4278" s="20" t="s">
        <v>4088</v>
      </c>
      <c r="B4278" s="20" t="s">
        <v>4014</v>
      </c>
    </row>
    <row r="4279" spans="1:2" x14ac:dyDescent="0.25">
      <c r="A4279" s="20" t="s">
        <v>4103</v>
      </c>
      <c r="B4279" s="20" t="s">
        <v>4014</v>
      </c>
    </row>
    <row r="4280" spans="1:2" x14ac:dyDescent="0.25">
      <c r="A4280" s="20">
        <v>-197974065</v>
      </c>
      <c r="B4280" s="20" t="s">
        <v>4014</v>
      </c>
    </row>
    <row r="4281" spans="1:2" x14ac:dyDescent="0.25">
      <c r="A4281" s="20" t="s">
        <v>4129</v>
      </c>
      <c r="B4281" s="20" t="s">
        <v>4014</v>
      </c>
    </row>
    <row r="4282" spans="1:2" x14ac:dyDescent="0.25">
      <c r="A4282" s="20" t="s">
        <v>4136</v>
      </c>
      <c r="B4282" s="20" t="s">
        <v>4014</v>
      </c>
    </row>
    <row r="4283" spans="1:2" x14ac:dyDescent="0.25">
      <c r="A4283" s="20" t="s">
        <v>4147</v>
      </c>
      <c r="B4283" s="20" t="s">
        <v>4014</v>
      </c>
    </row>
    <row r="4284" spans="1:2" x14ac:dyDescent="0.25">
      <c r="A4284" s="20">
        <v>145818800</v>
      </c>
      <c r="B4284" s="20" t="s">
        <v>4014</v>
      </c>
    </row>
    <row r="4285" spans="1:2" x14ac:dyDescent="0.25">
      <c r="A4285" s="20" t="s">
        <v>4178</v>
      </c>
      <c r="B4285" s="20" t="s">
        <v>4014</v>
      </c>
    </row>
    <row r="4286" spans="1:2" x14ac:dyDescent="0.25">
      <c r="A4286" s="20" t="s">
        <v>4146</v>
      </c>
      <c r="B4286" s="20" t="s">
        <v>4014</v>
      </c>
    </row>
    <row r="4287" spans="1:2" x14ac:dyDescent="0.25">
      <c r="A4287" s="20">
        <v>-12174962</v>
      </c>
      <c r="B4287" s="20" t="s">
        <v>4014</v>
      </c>
    </row>
    <row r="4288" spans="1:2" x14ac:dyDescent="0.25">
      <c r="A4288" s="20" t="s">
        <v>4177</v>
      </c>
      <c r="B4288" s="20" t="s">
        <v>4014</v>
      </c>
    </row>
    <row r="4289" spans="1:2" x14ac:dyDescent="0.25">
      <c r="A4289" s="20" t="s">
        <v>4195</v>
      </c>
      <c r="B4289" s="20" t="s">
        <v>4014</v>
      </c>
    </row>
    <row r="4290" spans="1:2" x14ac:dyDescent="0.25">
      <c r="A4290" s="20" t="s">
        <v>4209</v>
      </c>
      <c r="B4290" s="20" t="s">
        <v>4014</v>
      </c>
    </row>
    <row r="4291" spans="1:2" x14ac:dyDescent="0.25">
      <c r="A4291" s="20">
        <v>-377438344</v>
      </c>
      <c r="B4291" s="20" t="s">
        <v>4014</v>
      </c>
    </row>
    <row r="4292" spans="1:2" x14ac:dyDescent="0.25">
      <c r="A4292" s="20" t="s">
        <v>4228</v>
      </c>
      <c r="B4292" s="20" t="s">
        <v>4014</v>
      </c>
    </row>
    <row r="4293" spans="1:2" x14ac:dyDescent="0.25">
      <c r="A4293" s="20" t="s">
        <v>4237</v>
      </c>
      <c r="B4293" s="20" t="s">
        <v>4014</v>
      </c>
    </row>
    <row r="4294" spans="1:2" x14ac:dyDescent="0.25">
      <c r="A4294" s="20" t="s">
        <v>4249</v>
      </c>
      <c r="B4294" s="20" t="s">
        <v>4014</v>
      </c>
    </row>
    <row r="4295" spans="1:2" x14ac:dyDescent="0.25">
      <c r="A4295" s="20" t="s">
        <v>4258</v>
      </c>
      <c r="B4295" s="20" t="s">
        <v>4014</v>
      </c>
    </row>
    <row r="4296" spans="1:2" x14ac:dyDescent="0.25">
      <c r="A4296" s="20" t="s">
        <v>4266</v>
      </c>
      <c r="B4296" s="20" t="s">
        <v>4014</v>
      </c>
    </row>
    <row r="4297" spans="1:2" x14ac:dyDescent="0.25">
      <c r="A4297" s="20" t="s">
        <v>4276</v>
      </c>
      <c r="B4297" s="20" t="s">
        <v>4014</v>
      </c>
    </row>
    <row r="4298" spans="1:2" x14ac:dyDescent="0.25">
      <c r="A4298" s="20" t="s">
        <v>4292</v>
      </c>
      <c r="B4298" s="20" t="s">
        <v>4014</v>
      </c>
    </row>
    <row r="4299" spans="1:2" x14ac:dyDescent="0.25">
      <c r="A4299" s="20" t="s">
        <v>4305</v>
      </c>
      <c r="B4299" s="20" t="s">
        <v>4014</v>
      </c>
    </row>
    <row r="4300" spans="1:2" x14ac:dyDescent="0.25">
      <c r="A4300" s="20">
        <v>-12143825</v>
      </c>
      <c r="B4300" s="20" t="s">
        <v>4014</v>
      </c>
    </row>
    <row r="4301" spans="1:2" x14ac:dyDescent="0.25">
      <c r="A4301" s="20" t="s">
        <v>4329</v>
      </c>
      <c r="B4301" s="20" t="s">
        <v>4014</v>
      </c>
    </row>
    <row r="4302" spans="1:2" x14ac:dyDescent="0.25">
      <c r="A4302" s="20" t="s">
        <v>4339</v>
      </c>
      <c r="B4302" s="20" t="s">
        <v>4014</v>
      </c>
    </row>
    <row r="4303" spans="1:2" x14ac:dyDescent="0.25">
      <c r="A4303" s="20" t="s">
        <v>4349</v>
      </c>
      <c r="B4303" s="20" t="s">
        <v>4014</v>
      </c>
    </row>
    <row r="4304" spans="1:2" x14ac:dyDescent="0.25">
      <c r="A4304" s="20" t="s">
        <v>4358</v>
      </c>
      <c r="B4304" s="20" t="s">
        <v>4014</v>
      </c>
    </row>
    <row r="4305" spans="1:2" x14ac:dyDescent="0.25">
      <c r="A4305" s="20" t="s">
        <v>4366</v>
      </c>
      <c r="B4305" s="20" t="s">
        <v>4014</v>
      </c>
    </row>
    <row r="4306" spans="1:2" x14ac:dyDescent="0.25">
      <c r="A4306" s="20" t="s">
        <v>4372</v>
      </c>
      <c r="B4306" s="20" t="s">
        <v>4014</v>
      </c>
    </row>
    <row r="4307" spans="1:2" x14ac:dyDescent="0.25">
      <c r="A4307" s="20" t="s">
        <v>4380</v>
      </c>
      <c r="B4307" s="20" t="s">
        <v>4014</v>
      </c>
    </row>
    <row r="4308" spans="1:2" x14ac:dyDescent="0.25">
      <c r="A4308" s="20" t="s">
        <v>4388</v>
      </c>
      <c r="B4308" s="20" t="s">
        <v>4014</v>
      </c>
    </row>
    <row r="4309" spans="1:2" x14ac:dyDescent="0.25">
      <c r="A4309" s="20">
        <v>165303424</v>
      </c>
      <c r="B4309" s="20" t="s">
        <v>4014</v>
      </c>
    </row>
    <row r="4310" spans="1:2" x14ac:dyDescent="0.25">
      <c r="A4310" s="20" t="s">
        <v>4402</v>
      </c>
      <c r="B4310" s="20" t="s">
        <v>4014</v>
      </c>
    </row>
    <row r="4311" spans="1:2" x14ac:dyDescent="0.25">
      <c r="A4311" s="20" t="s">
        <v>4408</v>
      </c>
      <c r="B4311" s="20" t="s">
        <v>4014</v>
      </c>
    </row>
    <row r="4312" spans="1:2" x14ac:dyDescent="0.25">
      <c r="A4312" s="20" t="s">
        <v>4413</v>
      </c>
      <c r="B4312" s="20" t="s">
        <v>4014</v>
      </c>
    </row>
    <row r="4313" spans="1:2" x14ac:dyDescent="0.25">
      <c r="A4313" s="20" t="s">
        <v>4417</v>
      </c>
      <c r="B4313" s="20" t="s">
        <v>4014</v>
      </c>
    </row>
    <row r="4314" spans="1:2" x14ac:dyDescent="0.25">
      <c r="A4314" s="20" t="s">
        <v>4422</v>
      </c>
      <c r="B4314" s="20" t="s">
        <v>4014</v>
      </c>
    </row>
    <row r="4315" spans="1:2" x14ac:dyDescent="0.25">
      <c r="A4315" s="20" t="s">
        <v>4428</v>
      </c>
      <c r="B4315" s="20" t="s">
        <v>4014</v>
      </c>
    </row>
    <row r="4316" spans="1:2" x14ac:dyDescent="0.25">
      <c r="A4316" s="20" t="s">
        <v>4015</v>
      </c>
      <c r="B4316" s="20" t="s">
        <v>4015</v>
      </c>
    </row>
    <row r="4317" spans="1:2" x14ac:dyDescent="0.25">
      <c r="A4317" s="20" t="s">
        <v>4028</v>
      </c>
      <c r="B4317" s="20" t="s">
        <v>4015</v>
      </c>
    </row>
    <row r="4318" spans="1:2" x14ac:dyDescent="0.25">
      <c r="A4318" s="20">
        <v>-448887867</v>
      </c>
      <c r="B4318" s="20" t="s">
        <v>4015</v>
      </c>
    </row>
    <row r="4319" spans="1:2" x14ac:dyDescent="0.25">
      <c r="A4319" s="20">
        <v>-448887869</v>
      </c>
      <c r="B4319" s="20" t="s">
        <v>4015</v>
      </c>
    </row>
    <row r="4320" spans="1:2" x14ac:dyDescent="0.25">
      <c r="A4320" s="20">
        <v>-448887902</v>
      </c>
      <c r="B4320" s="20" t="s">
        <v>4015</v>
      </c>
    </row>
    <row r="4321" spans="1:2" x14ac:dyDescent="0.25">
      <c r="A4321" s="20">
        <v>-196358958</v>
      </c>
      <c r="B4321" s="20" t="s">
        <v>4015</v>
      </c>
    </row>
    <row r="4322" spans="1:2" x14ac:dyDescent="0.25">
      <c r="A4322" s="20" t="s">
        <v>4065</v>
      </c>
      <c r="B4322" s="20" t="s">
        <v>4015</v>
      </c>
    </row>
    <row r="4323" spans="1:2" x14ac:dyDescent="0.25">
      <c r="A4323" s="20" t="s">
        <v>4075</v>
      </c>
      <c r="B4323" s="20" t="s">
        <v>4015</v>
      </c>
    </row>
    <row r="4324" spans="1:2" x14ac:dyDescent="0.25">
      <c r="A4324" s="20" t="s">
        <v>4092</v>
      </c>
      <c r="B4324" s="20" t="s">
        <v>4015</v>
      </c>
    </row>
    <row r="4325" spans="1:2" x14ac:dyDescent="0.25">
      <c r="A4325" s="20" t="s">
        <v>4106</v>
      </c>
      <c r="B4325" s="20" t="s">
        <v>4015</v>
      </c>
    </row>
    <row r="4326" spans="1:2" x14ac:dyDescent="0.25">
      <c r="A4326" s="20" t="s">
        <v>4119</v>
      </c>
      <c r="B4326" s="20" t="s">
        <v>4015</v>
      </c>
    </row>
    <row r="4327" spans="1:2" x14ac:dyDescent="0.25">
      <c r="A4327" s="20">
        <v>448887904</v>
      </c>
      <c r="B4327" s="20" t="s">
        <v>4015</v>
      </c>
    </row>
    <row r="4328" spans="1:2" x14ac:dyDescent="0.25">
      <c r="A4328" s="20">
        <v>448887906</v>
      </c>
      <c r="B4328" s="20" t="s">
        <v>4015</v>
      </c>
    </row>
    <row r="4329" spans="1:2" x14ac:dyDescent="0.25">
      <c r="A4329" s="20">
        <v>448887908</v>
      </c>
      <c r="B4329" s="20" t="s">
        <v>4015</v>
      </c>
    </row>
    <row r="4330" spans="1:2" x14ac:dyDescent="0.25">
      <c r="A4330" s="20">
        <v>448887907</v>
      </c>
      <c r="B4330" s="20" t="s">
        <v>4015</v>
      </c>
    </row>
    <row r="4331" spans="1:2" x14ac:dyDescent="0.25">
      <c r="A4331" s="20" t="s">
        <v>4181</v>
      </c>
      <c r="B4331" s="20" t="s">
        <v>4015</v>
      </c>
    </row>
    <row r="4332" spans="1:2" x14ac:dyDescent="0.25">
      <c r="A4332" s="20">
        <v>12333487</v>
      </c>
      <c r="B4332" s="20" t="s">
        <v>4015</v>
      </c>
    </row>
    <row r="4333" spans="1:2" x14ac:dyDescent="0.25">
      <c r="A4333" s="20">
        <v>-12334061</v>
      </c>
      <c r="B4333" s="20" t="s">
        <v>4015</v>
      </c>
    </row>
    <row r="4334" spans="1:2" x14ac:dyDescent="0.25">
      <c r="A4334" s="20" t="s">
        <v>4221</v>
      </c>
      <c r="B4334" s="20" t="s">
        <v>4015</v>
      </c>
    </row>
    <row r="4335" spans="1:2" x14ac:dyDescent="0.25">
      <c r="A4335" s="20" t="s">
        <v>4230</v>
      </c>
      <c r="B4335" s="20" t="s">
        <v>4015</v>
      </c>
    </row>
    <row r="4336" spans="1:2" x14ac:dyDescent="0.25">
      <c r="A4336" s="20" t="s">
        <v>4239</v>
      </c>
      <c r="B4336" s="20" t="s">
        <v>4015</v>
      </c>
    </row>
    <row r="4337" spans="1:2" x14ac:dyDescent="0.25">
      <c r="A4337" s="20" t="s">
        <v>4251</v>
      </c>
      <c r="B4337" s="20" t="s">
        <v>4015</v>
      </c>
    </row>
    <row r="4338" spans="1:2" x14ac:dyDescent="0.25">
      <c r="A4338" s="20">
        <v>-423966001</v>
      </c>
      <c r="B4338" s="20" t="s">
        <v>4015</v>
      </c>
    </row>
    <row r="4339" spans="1:2" x14ac:dyDescent="0.25">
      <c r="A4339" s="20" t="s">
        <v>4269</v>
      </c>
      <c r="B4339" s="20" t="s">
        <v>4015</v>
      </c>
    </row>
    <row r="4340" spans="1:2" x14ac:dyDescent="0.25">
      <c r="A4340" s="20" t="s">
        <v>4280</v>
      </c>
      <c r="B4340" s="20" t="s">
        <v>4015</v>
      </c>
    </row>
    <row r="4341" spans="1:2" x14ac:dyDescent="0.25">
      <c r="A4341" s="20" t="s">
        <v>4297</v>
      </c>
      <c r="B4341" s="20" t="s">
        <v>4015</v>
      </c>
    </row>
    <row r="4342" spans="1:2" x14ac:dyDescent="0.25">
      <c r="A4342" s="20" t="s">
        <v>4309</v>
      </c>
      <c r="B4342" s="20" t="s">
        <v>4015</v>
      </c>
    </row>
    <row r="4343" spans="1:2" x14ac:dyDescent="0.25">
      <c r="A4343" s="20" t="s">
        <v>4321</v>
      </c>
      <c r="B4343" s="20" t="s">
        <v>4015</v>
      </c>
    </row>
    <row r="4344" spans="1:2" x14ac:dyDescent="0.25">
      <c r="A4344" s="20" t="s">
        <v>4333</v>
      </c>
      <c r="B4344" s="20" t="s">
        <v>4015</v>
      </c>
    </row>
    <row r="4345" spans="1:2" x14ac:dyDescent="0.25">
      <c r="A4345" s="20" t="s">
        <v>4343</v>
      </c>
      <c r="B4345" s="20" t="s">
        <v>4015</v>
      </c>
    </row>
    <row r="4346" spans="1:2" x14ac:dyDescent="0.25">
      <c r="A4346" s="20" t="s">
        <v>4353</v>
      </c>
      <c r="B4346" s="20" t="s">
        <v>4015</v>
      </c>
    </row>
    <row r="4347" spans="1:2" x14ac:dyDescent="0.25">
      <c r="A4347" s="20" t="s">
        <v>4363</v>
      </c>
      <c r="B4347" s="20" t="s">
        <v>4015</v>
      </c>
    </row>
    <row r="4348" spans="1:2" x14ac:dyDescent="0.25">
      <c r="A4348" s="20" t="s">
        <v>4370</v>
      </c>
      <c r="B4348" s="20" t="s">
        <v>4015</v>
      </c>
    </row>
    <row r="4349" spans="1:2" x14ac:dyDescent="0.25">
      <c r="A4349" s="20" t="s">
        <v>4376</v>
      </c>
      <c r="B4349" s="20" t="s">
        <v>4015</v>
      </c>
    </row>
    <row r="4350" spans="1:2" x14ac:dyDescent="0.25">
      <c r="A4350" s="20" t="s">
        <v>4385</v>
      </c>
      <c r="B4350" s="20" t="s">
        <v>4015</v>
      </c>
    </row>
    <row r="4351" spans="1:2" x14ac:dyDescent="0.25">
      <c r="A4351" s="20" t="s">
        <v>4392</v>
      </c>
      <c r="B4351" s="20" t="s">
        <v>4015</v>
      </c>
    </row>
    <row r="4352" spans="1:2" x14ac:dyDescent="0.25">
      <c r="A4352" s="20" t="s">
        <v>4398</v>
      </c>
      <c r="B4352" s="20" t="s">
        <v>4015</v>
      </c>
    </row>
    <row r="4353" spans="1:2" x14ac:dyDescent="0.25">
      <c r="A4353" s="20" t="s">
        <v>4405</v>
      </c>
      <c r="B4353" s="20" t="s">
        <v>4015</v>
      </c>
    </row>
    <row r="4354" spans="1:2" x14ac:dyDescent="0.25">
      <c r="A4354" s="20" t="s">
        <v>4410</v>
      </c>
      <c r="B4354" s="20" t="s">
        <v>4015</v>
      </c>
    </row>
    <row r="4355" spans="1:2" x14ac:dyDescent="0.25">
      <c r="A4355" s="20" t="s">
        <v>4415</v>
      </c>
      <c r="B4355" s="20" t="s">
        <v>4015</v>
      </c>
    </row>
    <row r="4356" spans="1:2" x14ac:dyDescent="0.25">
      <c r="A4356" s="20" t="s">
        <v>4419</v>
      </c>
      <c r="B4356" s="20" t="s">
        <v>4015</v>
      </c>
    </row>
    <row r="4357" spans="1:2" x14ac:dyDescent="0.25">
      <c r="A4357" s="20" t="s">
        <v>4425</v>
      </c>
      <c r="B4357" s="20" t="s">
        <v>4015</v>
      </c>
    </row>
    <row r="4358" spans="1:2" x14ac:dyDescent="0.25">
      <c r="A4358" s="20" t="s">
        <v>4431</v>
      </c>
      <c r="B4358" s="20" t="s">
        <v>4015</v>
      </c>
    </row>
    <row r="4359" spans="1:2" x14ac:dyDescent="0.25">
      <c r="A4359" s="20" t="s">
        <v>4436</v>
      </c>
      <c r="B4359" s="20" t="s">
        <v>4015</v>
      </c>
    </row>
    <row r="4360" spans="1:2" x14ac:dyDescent="0.25">
      <c r="A4360" s="20">
        <v>196375622</v>
      </c>
      <c r="B4360" s="20" t="s">
        <v>4015</v>
      </c>
    </row>
    <row r="4361" spans="1:2" x14ac:dyDescent="0.25">
      <c r="A4361" s="20" t="s">
        <v>4238</v>
      </c>
      <c r="B4361" s="20" t="s">
        <v>4015</v>
      </c>
    </row>
    <row r="4362" spans="1:2" x14ac:dyDescent="0.25">
      <c r="A4362" s="20" t="s">
        <v>4250</v>
      </c>
      <c r="B4362" s="20" t="s">
        <v>4015</v>
      </c>
    </row>
    <row r="4363" spans="1:2" x14ac:dyDescent="0.25">
      <c r="A4363" s="20" t="s">
        <v>4259</v>
      </c>
      <c r="B4363" s="20" t="s">
        <v>4015</v>
      </c>
    </row>
    <row r="4364" spans="1:2" x14ac:dyDescent="0.25">
      <c r="A4364" s="20" t="s">
        <v>4267</v>
      </c>
      <c r="B4364" s="20" t="s">
        <v>4015</v>
      </c>
    </row>
    <row r="4365" spans="1:2" x14ac:dyDescent="0.25">
      <c r="A4365" s="20" t="s">
        <v>4277</v>
      </c>
      <c r="B4365" s="20" t="s">
        <v>4015</v>
      </c>
    </row>
    <row r="4366" spans="1:2" x14ac:dyDescent="0.25">
      <c r="A4366" s="20" t="s">
        <v>4293</v>
      </c>
      <c r="B4366" s="20" t="s">
        <v>4015</v>
      </c>
    </row>
    <row r="4367" spans="1:2" x14ac:dyDescent="0.25">
      <c r="A4367" s="20">
        <v>-42706771</v>
      </c>
      <c r="B4367" s="20" t="s">
        <v>4015</v>
      </c>
    </row>
    <row r="4368" spans="1:2" x14ac:dyDescent="0.25">
      <c r="A4368" s="20" t="s">
        <v>4479</v>
      </c>
      <c r="B4368" s="20" t="s">
        <v>4015</v>
      </c>
    </row>
    <row r="4369" spans="1:2" x14ac:dyDescent="0.25">
      <c r="A4369" s="20" t="s">
        <v>4483</v>
      </c>
      <c r="B4369" s="20" t="s">
        <v>4015</v>
      </c>
    </row>
    <row r="4370" spans="1:2" x14ac:dyDescent="0.25">
      <c r="A4370" s="20" t="s">
        <v>4485</v>
      </c>
      <c r="B4370" s="20" t="s">
        <v>4015</v>
      </c>
    </row>
    <row r="4371" spans="1:2" x14ac:dyDescent="0.25">
      <c r="A4371" s="20">
        <v>12167869</v>
      </c>
      <c r="B4371" s="20" t="s">
        <v>4015</v>
      </c>
    </row>
    <row r="4372" spans="1:2" x14ac:dyDescent="0.25">
      <c r="A4372" s="20" t="s">
        <v>4491</v>
      </c>
      <c r="B4372" s="20" t="s">
        <v>4015</v>
      </c>
    </row>
    <row r="4373" spans="1:2" x14ac:dyDescent="0.25">
      <c r="A4373" s="20">
        <v>12172789</v>
      </c>
      <c r="B4373" s="20" t="s">
        <v>4015</v>
      </c>
    </row>
    <row r="4374" spans="1:2" x14ac:dyDescent="0.25">
      <c r="A4374" s="20" t="s">
        <v>4300</v>
      </c>
      <c r="B4374" s="20" t="s">
        <v>4015</v>
      </c>
    </row>
    <row r="4375" spans="1:2" x14ac:dyDescent="0.25">
      <c r="A4375" s="20" t="s">
        <v>4313</v>
      </c>
      <c r="B4375" s="20" t="s">
        <v>4015</v>
      </c>
    </row>
    <row r="4376" spans="1:2" x14ac:dyDescent="0.25">
      <c r="A4376" s="20">
        <v>42706771</v>
      </c>
      <c r="B4376" s="20" t="s">
        <v>4015</v>
      </c>
    </row>
    <row r="4377" spans="1:2" x14ac:dyDescent="0.25">
      <c r="A4377" s="20" t="s">
        <v>4337</v>
      </c>
      <c r="B4377" s="20" t="s">
        <v>4015</v>
      </c>
    </row>
    <row r="4378" spans="1:2" x14ac:dyDescent="0.25">
      <c r="A4378" s="20" t="s">
        <v>4347</v>
      </c>
      <c r="B4378" s="20" t="s">
        <v>4015</v>
      </c>
    </row>
    <row r="4379" spans="1:2" x14ac:dyDescent="0.25">
      <c r="A4379" s="20" t="s">
        <v>4357</v>
      </c>
      <c r="B4379" s="20" t="s">
        <v>4015</v>
      </c>
    </row>
    <row r="4380" spans="1:2" x14ac:dyDescent="0.25">
      <c r="A4380" s="20" t="s">
        <v>4365</v>
      </c>
      <c r="B4380" s="20" t="s">
        <v>4015</v>
      </c>
    </row>
    <row r="4381" spans="1:2" x14ac:dyDescent="0.25">
      <c r="A4381" s="20">
        <v>49940353</v>
      </c>
      <c r="B4381" s="20" t="s">
        <v>4015</v>
      </c>
    </row>
    <row r="4382" spans="1:2" x14ac:dyDescent="0.25">
      <c r="A4382" s="20" t="s">
        <v>4379</v>
      </c>
      <c r="B4382" s="20" t="s">
        <v>4015</v>
      </c>
    </row>
    <row r="4383" spans="1:2" x14ac:dyDescent="0.25">
      <c r="A4383" s="20" t="s">
        <v>4387</v>
      </c>
      <c r="B4383" s="20" t="s">
        <v>4015</v>
      </c>
    </row>
    <row r="4384" spans="1:2" x14ac:dyDescent="0.25">
      <c r="A4384" s="20" t="s">
        <v>4395</v>
      </c>
      <c r="B4384" s="20" t="s">
        <v>4015</v>
      </c>
    </row>
    <row r="4385" spans="1:2" x14ac:dyDescent="0.25">
      <c r="A4385" s="20" t="s">
        <v>4401</v>
      </c>
      <c r="B4385" s="20" t="s">
        <v>4015</v>
      </c>
    </row>
    <row r="4386" spans="1:2" x14ac:dyDescent="0.25">
      <c r="A4386" s="20" t="s">
        <v>4407</v>
      </c>
      <c r="B4386" s="20" t="s">
        <v>4015</v>
      </c>
    </row>
    <row r="4387" spans="1:2" x14ac:dyDescent="0.25">
      <c r="A4387" s="20" t="s">
        <v>4412</v>
      </c>
      <c r="B4387" s="20" t="s">
        <v>4015</v>
      </c>
    </row>
    <row r="4388" spans="1:2" x14ac:dyDescent="0.25">
      <c r="A4388" s="20" t="s">
        <v>4519</v>
      </c>
      <c r="B4388" s="20" t="s">
        <v>4015</v>
      </c>
    </row>
    <row r="4389" spans="1:2" x14ac:dyDescent="0.25">
      <c r="A4389" s="20" t="s">
        <v>4522</v>
      </c>
      <c r="B4389" s="20" t="s">
        <v>4015</v>
      </c>
    </row>
    <row r="4390" spans="1:2" x14ac:dyDescent="0.25">
      <c r="A4390" s="20" t="s">
        <v>4433</v>
      </c>
      <c r="B4390" s="20" t="s">
        <v>4015</v>
      </c>
    </row>
    <row r="4391" spans="1:2" x14ac:dyDescent="0.25">
      <c r="A4391" s="20" t="s">
        <v>4437</v>
      </c>
      <c r="B4391" s="20" t="s">
        <v>4015</v>
      </c>
    </row>
    <row r="4392" spans="1:2" x14ac:dyDescent="0.25">
      <c r="A4392" s="20" t="s">
        <v>4529</v>
      </c>
      <c r="B4392" s="20" t="s">
        <v>4015</v>
      </c>
    </row>
    <row r="4393" spans="1:2" x14ac:dyDescent="0.25">
      <c r="A4393" s="20" t="s">
        <v>4531</v>
      </c>
      <c r="B4393" s="20" t="s">
        <v>4015</v>
      </c>
    </row>
    <row r="4394" spans="1:2" x14ac:dyDescent="0.25">
      <c r="A4394" s="20" t="s">
        <v>4533</v>
      </c>
      <c r="B4394" s="20" t="s">
        <v>4015</v>
      </c>
    </row>
    <row r="4395" spans="1:2" x14ac:dyDescent="0.25">
      <c r="A4395" s="20" t="s">
        <v>4536</v>
      </c>
      <c r="B4395" s="20" t="s">
        <v>4015</v>
      </c>
    </row>
    <row r="4396" spans="1:2" x14ac:dyDescent="0.25">
      <c r="A4396" s="20" t="s">
        <v>4539</v>
      </c>
      <c r="B4396" s="20" t="s">
        <v>4015</v>
      </c>
    </row>
    <row r="4397" spans="1:2" x14ac:dyDescent="0.25">
      <c r="A4397" s="20" t="s">
        <v>4541</v>
      </c>
      <c r="B4397" s="20" t="s">
        <v>4015</v>
      </c>
    </row>
    <row r="4398" spans="1:2" x14ac:dyDescent="0.25">
      <c r="A4398" s="20" t="s">
        <v>4543</v>
      </c>
      <c r="B4398" s="20" t="s">
        <v>4015</v>
      </c>
    </row>
    <row r="4399" spans="1:2" x14ac:dyDescent="0.25">
      <c r="A4399" s="20">
        <v>448845180</v>
      </c>
      <c r="B4399" s="20" t="s">
        <v>4015</v>
      </c>
    </row>
    <row r="4400" spans="1:2" x14ac:dyDescent="0.25">
      <c r="A4400" s="20" t="s">
        <v>4463</v>
      </c>
      <c r="B4400" s="20" t="s">
        <v>4015</v>
      </c>
    </row>
    <row r="4401" spans="1:2" x14ac:dyDescent="0.25">
      <c r="A4401" s="20" t="s">
        <v>4546</v>
      </c>
      <c r="B4401" s="20" t="s">
        <v>4015</v>
      </c>
    </row>
    <row r="4402" spans="1:2" x14ac:dyDescent="0.25">
      <c r="A4402" s="20">
        <v>439905810</v>
      </c>
      <c r="B4402" s="20" t="s">
        <v>4015</v>
      </c>
    </row>
    <row r="4403" spans="1:2" x14ac:dyDescent="0.25">
      <c r="A4403" s="20" t="s">
        <v>4549</v>
      </c>
      <c r="B4403" s="20" t="s">
        <v>4015</v>
      </c>
    </row>
    <row r="4404" spans="1:2" x14ac:dyDescent="0.25">
      <c r="A4404" s="20" t="s">
        <v>4552</v>
      </c>
      <c r="B4404" s="20" t="s">
        <v>4015</v>
      </c>
    </row>
    <row r="4405" spans="1:2" x14ac:dyDescent="0.25">
      <c r="A4405" s="20">
        <v>448887876</v>
      </c>
      <c r="B4405" s="20" t="s">
        <v>4015</v>
      </c>
    </row>
    <row r="4406" spans="1:2" x14ac:dyDescent="0.25">
      <c r="A4406" s="20">
        <v>448887880</v>
      </c>
      <c r="B4406" s="20" t="s">
        <v>4015</v>
      </c>
    </row>
    <row r="4407" spans="1:2" x14ac:dyDescent="0.25">
      <c r="A4407" s="20">
        <v>448887888</v>
      </c>
      <c r="B4407" s="20" t="s">
        <v>4015</v>
      </c>
    </row>
    <row r="4408" spans="1:2" x14ac:dyDescent="0.25">
      <c r="A4408" s="20" t="s">
        <v>4554</v>
      </c>
      <c r="B4408" s="20" t="s">
        <v>4015</v>
      </c>
    </row>
    <row r="4409" spans="1:2" x14ac:dyDescent="0.25">
      <c r="A4409" s="20" t="s">
        <v>4555</v>
      </c>
      <c r="B4409" s="20" t="s">
        <v>4015</v>
      </c>
    </row>
    <row r="4410" spans="1:2" x14ac:dyDescent="0.25">
      <c r="A4410" s="20">
        <v>180860086</v>
      </c>
      <c r="B4410" s="20" t="s">
        <v>4015</v>
      </c>
    </row>
    <row r="4411" spans="1:2" x14ac:dyDescent="0.25">
      <c r="A4411" s="20">
        <v>448887884</v>
      </c>
      <c r="B4411" s="20" t="s">
        <v>4015</v>
      </c>
    </row>
    <row r="4412" spans="1:2" x14ac:dyDescent="0.25">
      <c r="A4412" s="20">
        <v>448887874</v>
      </c>
      <c r="B4412" s="20" t="s">
        <v>4015</v>
      </c>
    </row>
    <row r="4413" spans="1:2" x14ac:dyDescent="0.25">
      <c r="A4413" s="20" t="s">
        <v>4560</v>
      </c>
      <c r="B4413" s="20" t="s">
        <v>4015</v>
      </c>
    </row>
    <row r="4414" spans="1:2" x14ac:dyDescent="0.25">
      <c r="A4414" s="20" t="s">
        <v>4562</v>
      </c>
      <c r="B4414" s="20" t="s">
        <v>4015</v>
      </c>
    </row>
    <row r="4415" spans="1:2" x14ac:dyDescent="0.25">
      <c r="A4415" s="20" t="s">
        <v>4564</v>
      </c>
      <c r="B4415" s="20" t="s">
        <v>4015</v>
      </c>
    </row>
    <row r="4416" spans="1:2" x14ac:dyDescent="0.25">
      <c r="A4416" s="20">
        <v>12334061</v>
      </c>
      <c r="B4416" s="20" t="s">
        <v>4015</v>
      </c>
    </row>
    <row r="4417" spans="1:2" x14ac:dyDescent="0.25">
      <c r="A4417" s="20">
        <v>-12333487</v>
      </c>
      <c r="B4417" s="20" t="s">
        <v>4015</v>
      </c>
    </row>
    <row r="4418" spans="1:2" x14ac:dyDescent="0.25">
      <c r="A4418" s="20" t="s">
        <v>4566</v>
      </c>
      <c r="B4418" s="20" t="s">
        <v>4015</v>
      </c>
    </row>
    <row r="4419" spans="1:2" x14ac:dyDescent="0.25">
      <c r="A4419" s="20">
        <v>-448887907</v>
      </c>
      <c r="B4419" s="20" t="s">
        <v>4015</v>
      </c>
    </row>
    <row r="4420" spans="1:2" x14ac:dyDescent="0.25">
      <c r="A4420" s="20">
        <v>-448887908</v>
      </c>
      <c r="B4420" s="20" t="s">
        <v>4015</v>
      </c>
    </row>
    <row r="4421" spans="1:2" x14ac:dyDescent="0.25">
      <c r="A4421" s="20">
        <v>-448887906</v>
      </c>
      <c r="B4421" s="20" t="s">
        <v>4015</v>
      </c>
    </row>
    <row r="4422" spans="1:2" x14ac:dyDescent="0.25">
      <c r="A4422" s="20">
        <v>-448887904</v>
      </c>
      <c r="B4422" s="20" t="s">
        <v>4015</v>
      </c>
    </row>
    <row r="4423" spans="1:2" x14ac:dyDescent="0.25">
      <c r="A4423" s="20" t="s">
        <v>4567</v>
      </c>
      <c r="B4423" s="20" t="s">
        <v>4015</v>
      </c>
    </row>
    <row r="4424" spans="1:2" x14ac:dyDescent="0.25">
      <c r="A4424" s="20" t="s">
        <v>4568</v>
      </c>
      <c r="B4424" s="20" t="s">
        <v>4015</v>
      </c>
    </row>
    <row r="4425" spans="1:2" x14ac:dyDescent="0.25">
      <c r="A4425" s="20" t="s">
        <v>4569</v>
      </c>
      <c r="B4425" s="20" t="s">
        <v>4015</v>
      </c>
    </row>
    <row r="4426" spans="1:2" x14ac:dyDescent="0.25">
      <c r="A4426" s="20" t="s">
        <v>4570</v>
      </c>
      <c r="B4426" s="20" t="s">
        <v>4015</v>
      </c>
    </row>
    <row r="4427" spans="1:2" x14ac:dyDescent="0.25">
      <c r="A4427" s="20" t="s">
        <v>4571</v>
      </c>
      <c r="B4427" s="20" t="s">
        <v>4015</v>
      </c>
    </row>
    <row r="4428" spans="1:2" x14ac:dyDescent="0.25">
      <c r="A4428" s="20" t="s">
        <v>4515</v>
      </c>
      <c r="B4428" s="20" t="s">
        <v>4015</v>
      </c>
    </row>
    <row r="4429" spans="1:2" x14ac:dyDescent="0.25">
      <c r="A4429" s="20" t="s">
        <v>4517</v>
      </c>
      <c r="B4429" s="20" t="s">
        <v>4015</v>
      </c>
    </row>
    <row r="4430" spans="1:2" x14ac:dyDescent="0.25">
      <c r="A4430" s="20" t="s">
        <v>4572</v>
      </c>
      <c r="B4430" s="20" t="s">
        <v>4015</v>
      </c>
    </row>
    <row r="4431" spans="1:2" x14ac:dyDescent="0.25">
      <c r="A4431" s="20" t="s">
        <v>4523</v>
      </c>
      <c r="B4431" s="20" t="s">
        <v>4015</v>
      </c>
    </row>
    <row r="4432" spans="1:2" x14ac:dyDescent="0.25">
      <c r="A4432" s="20" t="s">
        <v>4118</v>
      </c>
      <c r="B4432" s="20" t="s">
        <v>4015</v>
      </c>
    </row>
    <row r="4433" spans="1:2" x14ac:dyDescent="0.25">
      <c r="A4433" s="20" t="s">
        <v>4527</v>
      </c>
      <c r="B4433" s="20" t="s">
        <v>4015</v>
      </c>
    </row>
    <row r="4434" spans="1:2" x14ac:dyDescent="0.25">
      <c r="A4434" s="20">
        <v>486653623</v>
      </c>
      <c r="B4434" s="20" t="s">
        <v>4015</v>
      </c>
    </row>
    <row r="4435" spans="1:2" x14ac:dyDescent="0.25">
      <c r="A4435" s="20">
        <v>287178713</v>
      </c>
      <c r="B4435" s="20" t="s">
        <v>4015</v>
      </c>
    </row>
    <row r="4436" spans="1:2" x14ac:dyDescent="0.25">
      <c r="A4436" s="20" t="s">
        <v>4534</v>
      </c>
      <c r="B4436" s="20" t="s">
        <v>4015</v>
      </c>
    </row>
    <row r="4437" spans="1:2" x14ac:dyDescent="0.25">
      <c r="A4437" s="20" t="s">
        <v>4537</v>
      </c>
      <c r="B4437" s="20" t="s">
        <v>4015</v>
      </c>
    </row>
    <row r="4438" spans="1:2" x14ac:dyDescent="0.25">
      <c r="A4438" s="20">
        <v>-287178713</v>
      </c>
      <c r="B4438" s="20" t="s">
        <v>4015</v>
      </c>
    </row>
    <row r="4439" spans="1:2" x14ac:dyDescent="0.25">
      <c r="A4439" s="20">
        <v>-486653623</v>
      </c>
      <c r="B4439" s="20" t="s">
        <v>4015</v>
      </c>
    </row>
    <row r="4440" spans="1:2" x14ac:dyDescent="0.25">
      <c r="A4440" s="20" t="s">
        <v>4361</v>
      </c>
      <c r="B4440" s="20" t="s">
        <v>4015</v>
      </c>
    </row>
    <row r="4441" spans="1:2" x14ac:dyDescent="0.25">
      <c r="A4441" s="20" t="s">
        <v>4130</v>
      </c>
      <c r="B4441" s="20" t="s">
        <v>4015</v>
      </c>
    </row>
    <row r="4442" spans="1:2" x14ac:dyDescent="0.25">
      <c r="A4442" s="20" t="s">
        <v>4137</v>
      </c>
      <c r="B4442" s="20" t="s">
        <v>4015</v>
      </c>
    </row>
    <row r="4443" spans="1:2" x14ac:dyDescent="0.25">
      <c r="A4443" s="20" t="s">
        <v>4383</v>
      </c>
      <c r="B4443" s="20" t="s">
        <v>4015</v>
      </c>
    </row>
    <row r="4444" spans="1:2" x14ac:dyDescent="0.25">
      <c r="A4444" s="20" t="s">
        <v>4054</v>
      </c>
      <c r="B4444" s="20" t="s">
        <v>4015</v>
      </c>
    </row>
    <row r="4445" spans="1:2" x14ac:dyDescent="0.25">
      <c r="A4445" s="20" t="s">
        <v>4064</v>
      </c>
      <c r="B4445" s="20" t="s">
        <v>4015</v>
      </c>
    </row>
    <row r="4446" spans="1:2" x14ac:dyDescent="0.25">
      <c r="A4446" s="20" t="s">
        <v>4071</v>
      </c>
      <c r="B4446" s="20" t="s">
        <v>4015</v>
      </c>
    </row>
    <row r="4447" spans="1:2" x14ac:dyDescent="0.25">
      <c r="A4447" s="20" t="s">
        <v>4086</v>
      </c>
      <c r="B4447" s="20" t="s">
        <v>4015</v>
      </c>
    </row>
    <row r="4448" spans="1:2" x14ac:dyDescent="0.25">
      <c r="A4448" s="20" t="s">
        <v>4101</v>
      </c>
      <c r="B4448" s="20" t="s">
        <v>4015</v>
      </c>
    </row>
    <row r="4449" spans="1:2" x14ac:dyDescent="0.25">
      <c r="A4449" s="20" t="s">
        <v>4115</v>
      </c>
      <c r="B4449" s="20" t="s">
        <v>4015</v>
      </c>
    </row>
    <row r="4450" spans="1:2" x14ac:dyDescent="0.25">
      <c r="A4450" s="20" t="s">
        <v>4128</v>
      </c>
      <c r="B4450" s="20" t="s">
        <v>4015</v>
      </c>
    </row>
    <row r="4451" spans="1:2" x14ac:dyDescent="0.25">
      <c r="A4451" s="20" t="s">
        <v>4229</v>
      </c>
      <c r="B4451" s="20" t="s">
        <v>4015</v>
      </c>
    </row>
    <row r="4452" spans="1:2" x14ac:dyDescent="0.25">
      <c r="A4452" s="20">
        <v>-196375622</v>
      </c>
      <c r="B4452" s="20" t="s">
        <v>4015</v>
      </c>
    </row>
    <row r="4453" spans="1:2" x14ac:dyDescent="0.25">
      <c r="A4453" s="20" t="s">
        <v>4441</v>
      </c>
      <c r="B4453" s="20" t="s">
        <v>4015</v>
      </c>
    </row>
    <row r="4454" spans="1:2" x14ac:dyDescent="0.25">
      <c r="A4454" s="20" t="s">
        <v>4446</v>
      </c>
      <c r="B4454" s="20" t="s">
        <v>4015</v>
      </c>
    </row>
    <row r="4455" spans="1:2" x14ac:dyDescent="0.25">
      <c r="A4455" s="20" t="s">
        <v>4452</v>
      </c>
      <c r="B4455" s="20" t="s">
        <v>4015</v>
      </c>
    </row>
    <row r="4456" spans="1:2" x14ac:dyDescent="0.25">
      <c r="A4456" s="20" t="s">
        <v>4457</v>
      </c>
      <c r="B4456" s="20" t="s">
        <v>4015</v>
      </c>
    </row>
    <row r="4457" spans="1:2" x14ac:dyDescent="0.25">
      <c r="A4457" s="20" t="s">
        <v>4462</v>
      </c>
      <c r="B4457" s="20" t="s">
        <v>4015</v>
      </c>
    </row>
    <row r="4458" spans="1:2" x14ac:dyDescent="0.25">
      <c r="A4458" s="20" t="s">
        <v>4466</v>
      </c>
      <c r="B4458" s="20" t="s">
        <v>4015</v>
      </c>
    </row>
    <row r="4459" spans="1:2" x14ac:dyDescent="0.25">
      <c r="A4459" s="20" t="s">
        <v>4471</v>
      </c>
      <c r="B4459" s="20" t="s">
        <v>4015</v>
      </c>
    </row>
    <row r="4460" spans="1:2" x14ac:dyDescent="0.25">
      <c r="A4460" s="20" t="s">
        <v>4475</v>
      </c>
      <c r="B4460" s="20" t="s">
        <v>4015</v>
      </c>
    </row>
    <row r="4461" spans="1:2" x14ac:dyDescent="0.25">
      <c r="A4461" s="20" t="s">
        <v>4478</v>
      </c>
      <c r="B4461" s="20" t="s">
        <v>4015</v>
      </c>
    </row>
    <row r="4462" spans="1:2" x14ac:dyDescent="0.25">
      <c r="A4462" s="20" t="s">
        <v>4482</v>
      </c>
      <c r="B4462" s="20" t="s">
        <v>4015</v>
      </c>
    </row>
    <row r="4463" spans="1:2" x14ac:dyDescent="0.25">
      <c r="A4463" s="20" t="s">
        <v>4472</v>
      </c>
      <c r="B4463" s="20" t="s">
        <v>4015</v>
      </c>
    </row>
    <row r="4464" spans="1:2" x14ac:dyDescent="0.25">
      <c r="A4464" s="20" t="s">
        <v>4487</v>
      </c>
      <c r="B4464" s="20" t="s">
        <v>4015</v>
      </c>
    </row>
    <row r="4465" spans="1:2" x14ac:dyDescent="0.25">
      <c r="A4465" s="20" t="s">
        <v>4489</v>
      </c>
      <c r="B4465" s="20" t="s">
        <v>4015</v>
      </c>
    </row>
    <row r="4466" spans="1:2" x14ac:dyDescent="0.25">
      <c r="A4466" s="20">
        <v>12166594</v>
      </c>
      <c r="B4466" s="20" t="s">
        <v>4015</v>
      </c>
    </row>
    <row r="4467" spans="1:2" x14ac:dyDescent="0.25">
      <c r="A4467" s="20" t="s">
        <v>4492</v>
      </c>
      <c r="B4467" s="20" t="s">
        <v>4015</v>
      </c>
    </row>
    <row r="4468" spans="1:2" x14ac:dyDescent="0.25">
      <c r="A4468" s="20" t="s">
        <v>4495</v>
      </c>
      <c r="B4468" s="20" t="s">
        <v>4015</v>
      </c>
    </row>
    <row r="4469" spans="1:2" x14ac:dyDescent="0.25">
      <c r="A4469" s="20" t="s">
        <v>4496</v>
      </c>
      <c r="B4469" s="20" t="s">
        <v>4015</v>
      </c>
    </row>
    <row r="4470" spans="1:2" x14ac:dyDescent="0.25">
      <c r="A4470" s="20" t="s">
        <v>4497</v>
      </c>
      <c r="B4470" s="20" t="s">
        <v>4015</v>
      </c>
    </row>
    <row r="4471" spans="1:2" x14ac:dyDescent="0.25">
      <c r="A4471" s="20" t="s">
        <v>4498</v>
      </c>
      <c r="B4471" s="20" t="s">
        <v>4015</v>
      </c>
    </row>
    <row r="4472" spans="1:2" x14ac:dyDescent="0.25">
      <c r="A4472" s="20" t="s">
        <v>4500</v>
      </c>
      <c r="B4472" s="20" t="s">
        <v>4015</v>
      </c>
    </row>
    <row r="4473" spans="1:2" x14ac:dyDescent="0.25">
      <c r="A4473" s="20" t="s">
        <v>4501</v>
      </c>
      <c r="B4473" s="20" t="s">
        <v>4015</v>
      </c>
    </row>
    <row r="4474" spans="1:2" x14ac:dyDescent="0.25">
      <c r="A4474" s="20" t="s">
        <v>4503</v>
      </c>
      <c r="B4474" s="20" t="s">
        <v>4015</v>
      </c>
    </row>
    <row r="4475" spans="1:2" x14ac:dyDescent="0.25">
      <c r="A4475" s="20" t="s">
        <v>4504</v>
      </c>
      <c r="B4475" s="20" t="s">
        <v>4015</v>
      </c>
    </row>
    <row r="4476" spans="1:2" x14ac:dyDescent="0.25">
      <c r="A4476" s="20" t="s">
        <v>4505</v>
      </c>
      <c r="B4476" s="20" t="s">
        <v>4015</v>
      </c>
    </row>
    <row r="4477" spans="1:2" x14ac:dyDescent="0.25">
      <c r="A4477" s="20" t="s">
        <v>4507</v>
      </c>
      <c r="B4477" s="20" t="s">
        <v>4015</v>
      </c>
    </row>
    <row r="4478" spans="1:2" x14ac:dyDescent="0.25">
      <c r="A4478" s="20" t="s">
        <v>4509</v>
      </c>
      <c r="B4478" s="20" t="s">
        <v>4015</v>
      </c>
    </row>
    <row r="4479" spans="1:2" x14ac:dyDescent="0.25">
      <c r="A4479" s="20" t="s">
        <v>4512</v>
      </c>
      <c r="B4479" s="20" t="s">
        <v>4015</v>
      </c>
    </row>
    <row r="4480" spans="1:2" x14ac:dyDescent="0.25">
      <c r="A4480" s="20" t="s">
        <v>4516</v>
      </c>
      <c r="B4480" s="20" t="s">
        <v>4015</v>
      </c>
    </row>
    <row r="4481" spans="1:2" x14ac:dyDescent="0.25">
      <c r="A4481" s="20" t="s">
        <v>4518</v>
      </c>
      <c r="B4481" s="20" t="s">
        <v>4015</v>
      </c>
    </row>
    <row r="4482" spans="1:2" x14ac:dyDescent="0.25">
      <c r="A4482" s="20" t="s">
        <v>4521</v>
      </c>
      <c r="B4482" s="20" t="s">
        <v>4015</v>
      </c>
    </row>
    <row r="4483" spans="1:2" x14ac:dyDescent="0.25">
      <c r="A4483" s="20" t="s">
        <v>4525</v>
      </c>
      <c r="B4483" s="20" t="s">
        <v>4015</v>
      </c>
    </row>
    <row r="4484" spans="1:2" x14ac:dyDescent="0.25">
      <c r="A4484" s="20" t="s">
        <v>4526</v>
      </c>
      <c r="B4484" s="20" t="s">
        <v>4015</v>
      </c>
    </row>
    <row r="4485" spans="1:2" x14ac:dyDescent="0.25">
      <c r="A4485" s="20" t="s">
        <v>4528</v>
      </c>
      <c r="B4485" s="20" t="s">
        <v>4015</v>
      </c>
    </row>
    <row r="4486" spans="1:2" x14ac:dyDescent="0.25">
      <c r="A4486" s="20" t="s">
        <v>4530</v>
      </c>
      <c r="B4486" s="20" t="s">
        <v>4015</v>
      </c>
    </row>
    <row r="4487" spans="1:2" x14ac:dyDescent="0.25">
      <c r="A4487" s="20" t="s">
        <v>4532</v>
      </c>
      <c r="B4487" s="20" t="s">
        <v>4015</v>
      </c>
    </row>
    <row r="4488" spans="1:2" x14ac:dyDescent="0.25">
      <c r="A4488" s="20" t="s">
        <v>4535</v>
      </c>
      <c r="B4488" s="20" t="s">
        <v>4015</v>
      </c>
    </row>
    <row r="4489" spans="1:2" x14ac:dyDescent="0.25">
      <c r="A4489" s="20" t="s">
        <v>4538</v>
      </c>
      <c r="B4489" s="20" t="s">
        <v>4015</v>
      </c>
    </row>
    <row r="4490" spans="1:2" x14ac:dyDescent="0.25">
      <c r="A4490" s="20" t="s">
        <v>4540</v>
      </c>
      <c r="B4490" s="20" t="s">
        <v>4015</v>
      </c>
    </row>
    <row r="4491" spans="1:2" x14ac:dyDescent="0.25">
      <c r="A4491" s="20" t="s">
        <v>4542</v>
      </c>
      <c r="B4491" s="20" t="s">
        <v>4015</v>
      </c>
    </row>
    <row r="4492" spans="1:2" x14ac:dyDescent="0.25">
      <c r="A4492" s="20" t="s">
        <v>4544</v>
      </c>
      <c r="B4492" s="20" t="s">
        <v>4015</v>
      </c>
    </row>
    <row r="4493" spans="1:2" x14ac:dyDescent="0.25">
      <c r="A4493" s="20">
        <v>134563759</v>
      </c>
      <c r="B4493" s="20" t="s">
        <v>4015</v>
      </c>
    </row>
    <row r="4494" spans="1:2" x14ac:dyDescent="0.25">
      <c r="A4494" s="20" t="s">
        <v>4545</v>
      </c>
      <c r="B4494" s="20" t="s">
        <v>4015</v>
      </c>
    </row>
    <row r="4495" spans="1:2" x14ac:dyDescent="0.25">
      <c r="A4495" s="20" t="s">
        <v>4547</v>
      </c>
      <c r="B4495" s="20" t="s">
        <v>4015</v>
      </c>
    </row>
    <row r="4496" spans="1:2" x14ac:dyDescent="0.25">
      <c r="A4496" s="20" t="s">
        <v>4548</v>
      </c>
      <c r="B4496" s="20" t="s">
        <v>4015</v>
      </c>
    </row>
    <row r="4497" spans="1:2" x14ac:dyDescent="0.25">
      <c r="A4497" s="20" t="s">
        <v>4551</v>
      </c>
      <c r="B4497" s="20" t="s">
        <v>4015</v>
      </c>
    </row>
    <row r="4498" spans="1:2" x14ac:dyDescent="0.25">
      <c r="A4498" s="20" t="s">
        <v>4553</v>
      </c>
      <c r="B4498" s="20" t="s">
        <v>4015</v>
      </c>
    </row>
    <row r="4499" spans="1:2" x14ac:dyDescent="0.25">
      <c r="A4499" s="20">
        <v>424803245</v>
      </c>
      <c r="B4499" s="20" t="s">
        <v>4015</v>
      </c>
    </row>
    <row r="4500" spans="1:2" x14ac:dyDescent="0.25">
      <c r="A4500" s="20">
        <v>423956979</v>
      </c>
      <c r="B4500" s="20" t="s">
        <v>4015</v>
      </c>
    </row>
    <row r="4501" spans="1:2" x14ac:dyDescent="0.25">
      <c r="A4501" s="20">
        <v>424824621</v>
      </c>
      <c r="B4501" s="20" t="s">
        <v>4015</v>
      </c>
    </row>
    <row r="4502" spans="1:2" x14ac:dyDescent="0.25">
      <c r="A4502" s="20">
        <v>423956980</v>
      </c>
      <c r="B4502" s="20" t="s">
        <v>4015</v>
      </c>
    </row>
    <row r="4503" spans="1:2" x14ac:dyDescent="0.25">
      <c r="A4503" s="20" t="s">
        <v>4556</v>
      </c>
      <c r="B4503" s="20" t="s">
        <v>4015</v>
      </c>
    </row>
    <row r="4504" spans="1:2" x14ac:dyDescent="0.25">
      <c r="A4504" s="20" t="s">
        <v>4557</v>
      </c>
      <c r="B4504" s="20" t="s">
        <v>4015</v>
      </c>
    </row>
    <row r="4505" spans="1:2" x14ac:dyDescent="0.25">
      <c r="A4505" s="20" t="s">
        <v>4558</v>
      </c>
      <c r="B4505" s="20" t="s">
        <v>4015</v>
      </c>
    </row>
    <row r="4506" spans="1:2" x14ac:dyDescent="0.25">
      <c r="A4506" s="20" t="s">
        <v>4559</v>
      </c>
      <c r="B4506" s="20" t="s">
        <v>4015</v>
      </c>
    </row>
    <row r="4507" spans="1:2" x14ac:dyDescent="0.25">
      <c r="A4507" s="20" t="s">
        <v>4561</v>
      </c>
      <c r="B4507" s="20" t="s">
        <v>4015</v>
      </c>
    </row>
    <row r="4508" spans="1:2" x14ac:dyDescent="0.25">
      <c r="A4508" s="20" t="s">
        <v>4563</v>
      </c>
      <c r="B4508" s="20" t="s">
        <v>4015</v>
      </c>
    </row>
    <row r="4509" spans="1:2" x14ac:dyDescent="0.25">
      <c r="A4509" s="20" t="s">
        <v>4152</v>
      </c>
      <c r="B4509" s="20" t="s">
        <v>4015</v>
      </c>
    </row>
    <row r="4510" spans="1:2" x14ac:dyDescent="0.25">
      <c r="A4510" s="20" t="s">
        <v>4565</v>
      </c>
      <c r="B4510" s="20" t="s">
        <v>4015</v>
      </c>
    </row>
    <row r="4511" spans="1:2" x14ac:dyDescent="0.25">
      <c r="A4511" s="20" t="s">
        <v>4200</v>
      </c>
      <c r="B4511" s="20" t="s">
        <v>4015</v>
      </c>
    </row>
    <row r="4512" spans="1:2" x14ac:dyDescent="0.25">
      <c r="A4512" s="20" t="s">
        <v>4212</v>
      </c>
      <c r="B4512" s="20" t="s">
        <v>4015</v>
      </c>
    </row>
    <row r="4513" spans="1:2" x14ac:dyDescent="0.25">
      <c r="A4513" s="20" t="s">
        <v>4030</v>
      </c>
      <c r="B4513" s="20" t="s">
        <v>4015</v>
      </c>
    </row>
    <row r="4514" spans="1:2" x14ac:dyDescent="0.25">
      <c r="A4514" s="20" t="s">
        <v>4033</v>
      </c>
      <c r="B4514" s="20" t="s">
        <v>4015</v>
      </c>
    </row>
    <row r="4515" spans="1:2" x14ac:dyDescent="0.25">
      <c r="A4515" s="20" t="s">
        <v>4038</v>
      </c>
      <c r="B4515" s="20" t="s">
        <v>4015</v>
      </c>
    </row>
    <row r="4516" spans="1:2" x14ac:dyDescent="0.25">
      <c r="A4516" s="20" t="s">
        <v>4047</v>
      </c>
      <c r="B4516" s="20" t="s">
        <v>4015</v>
      </c>
    </row>
    <row r="4517" spans="1:2" x14ac:dyDescent="0.25">
      <c r="A4517" s="20" t="s">
        <v>4057</v>
      </c>
      <c r="B4517" s="20" t="s">
        <v>4015</v>
      </c>
    </row>
    <row r="4518" spans="1:2" x14ac:dyDescent="0.25">
      <c r="A4518" s="20" t="s">
        <v>4067</v>
      </c>
      <c r="B4518" s="20" t="s">
        <v>4015</v>
      </c>
    </row>
    <row r="4519" spans="1:2" x14ac:dyDescent="0.25">
      <c r="A4519" s="20" t="s">
        <v>4077</v>
      </c>
      <c r="B4519" s="20" t="s">
        <v>4015</v>
      </c>
    </row>
    <row r="4520" spans="1:2" x14ac:dyDescent="0.25">
      <c r="A4520" s="20" t="s">
        <v>4094</v>
      </c>
      <c r="B4520" s="20" t="s">
        <v>4015</v>
      </c>
    </row>
    <row r="4521" spans="1:2" x14ac:dyDescent="0.25">
      <c r="A4521" s="20" t="s">
        <v>4108</v>
      </c>
      <c r="B4521" s="20" t="s">
        <v>4015</v>
      </c>
    </row>
    <row r="4522" spans="1:2" x14ac:dyDescent="0.25">
      <c r="A4522" s="20" t="s">
        <v>4121</v>
      </c>
      <c r="B4522" s="20" t="s">
        <v>4015</v>
      </c>
    </row>
    <row r="4523" spans="1:2" x14ac:dyDescent="0.25">
      <c r="A4523" s="20">
        <v>196358965</v>
      </c>
      <c r="B4523" s="20" t="s">
        <v>4015</v>
      </c>
    </row>
    <row r="4524" spans="1:2" x14ac:dyDescent="0.25">
      <c r="A4524" s="20" t="s">
        <v>4139</v>
      </c>
      <c r="B4524" s="20" t="s">
        <v>4015</v>
      </c>
    </row>
    <row r="4525" spans="1:2" x14ac:dyDescent="0.25">
      <c r="A4525" s="20" t="s">
        <v>4150</v>
      </c>
      <c r="B4525" s="20" t="s">
        <v>4015</v>
      </c>
    </row>
    <row r="4526" spans="1:2" x14ac:dyDescent="0.25">
      <c r="A4526" s="20" t="s">
        <v>4164</v>
      </c>
      <c r="B4526" s="20" t="s">
        <v>4015</v>
      </c>
    </row>
    <row r="4527" spans="1:2" x14ac:dyDescent="0.25">
      <c r="A4527" s="20" t="s">
        <v>4183</v>
      </c>
      <c r="B4527" s="20" t="s">
        <v>4015</v>
      </c>
    </row>
    <row r="4528" spans="1:2" x14ac:dyDescent="0.25">
      <c r="A4528" s="20" t="s">
        <v>4199</v>
      </c>
      <c r="B4528" s="20" t="s">
        <v>4015</v>
      </c>
    </row>
    <row r="4529" spans="1:2" x14ac:dyDescent="0.25">
      <c r="A4529" s="20" t="s">
        <v>4211</v>
      </c>
      <c r="B4529" s="20" t="s">
        <v>4015</v>
      </c>
    </row>
    <row r="4530" spans="1:2" x14ac:dyDescent="0.25">
      <c r="A4530" s="20" t="s">
        <v>4222</v>
      </c>
      <c r="B4530" s="20" t="s">
        <v>4015</v>
      </c>
    </row>
    <row r="4531" spans="1:2" x14ac:dyDescent="0.25">
      <c r="A4531" s="20">
        <v>423972761</v>
      </c>
      <c r="B4531" s="20" t="s">
        <v>4015</v>
      </c>
    </row>
    <row r="4532" spans="1:2" x14ac:dyDescent="0.25">
      <c r="A4532" s="20" t="s">
        <v>4240</v>
      </c>
      <c r="B4532" s="20" t="s">
        <v>4015</v>
      </c>
    </row>
    <row r="4533" spans="1:2" x14ac:dyDescent="0.25">
      <c r="A4533" s="20" t="s">
        <v>4252</v>
      </c>
      <c r="B4533" s="20" t="s">
        <v>4015</v>
      </c>
    </row>
    <row r="4534" spans="1:2" x14ac:dyDescent="0.25">
      <c r="A4534" s="20" t="s">
        <v>4260</v>
      </c>
      <c r="B4534" s="20" t="s">
        <v>4015</v>
      </c>
    </row>
    <row r="4535" spans="1:2" x14ac:dyDescent="0.25">
      <c r="A4535" s="20" t="s">
        <v>4270</v>
      </c>
      <c r="B4535" s="20" t="s">
        <v>4015</v>
      </c>
    </row>
    <row r="4536" spans="1:2" x14ac:dyDescent="0.25">
      <c r="A4536" s="20" t="s">
        <v>4281</v>
      </c>
      <c r="B4536" s="20" t="s">
        <v>4015</v>
      </c>
    </row>
    <row r="4537" spans="1:2" x14ac:dyDescent="0.25">
      <c r="A4537" s="20" t="s">
        <v>4298</v>
      </c>
      <c r="B4537" s="20" t="s">
        <v>4015</v>
      </c>
    </row>
    <row r="4538" spans="1:2" x14ac:dyDescent="0.25">
      <c r="A4538" s="20" t="s">
        <v>4310</v>
      </c>
      <c r="B4538" s="20" t="s">
        <v>4015</v>
      </c>
    </row>
    <row r="4539" spans="1:2" x14ac:dyDescent="0.25">
      <c r="A4539" s="20" t="s">
        <v>4322</v>
      </c>
      <c r="B4539" s="20" t="s">
        <v>4015</v>
      </c>
    </row>
    <row r="4540" spans="1:2" x14ac:dyDescent="0.25">
      <c r="A4540" s="20" t="s">
        <v>4334</v>
      </c>
      <c r="B4540" s="20" t="s">
        <v>4015</v>
      </c>
    </row>
    <row r="4541" spans="1:2" x14ac:dyDescent="0.25">
      <c r="A4541" s="20" t="s">
        <v>4344</v>
      </c>
      <c r="B4541" s="20" t="s">
        <v>4015</v>
      </c>
    </row>
    <row r="4542" spans="1:2" x14ac:dyDescent="0.25">
      <c r="A4542" s="20" t="s">
        <v>4354</v>
      </c>
      <c r="B4542" s="20" t="s">
        <v>4015</v>
      </c>
    </row>
    <row r="4543" spans="1:2" x14ac:dyDescent="0.25">
      <c r="A4543" s="20" t="s">
        <v>4295</v>
      </c>
      <c r="B4543" s="20" t="s">
        <v>4015</v>
      </c>
    </row>
    <row r="4544" spans="1:2" x14ac:dyDescent="0.25">
      <c r="A4544" s="20">
        <v>12163074</v>
      </c>
      <c r="B4544" s="20" t="s">
        <v>4015</v>
      </c>
    </row>
    <row r="4545" spans="1:2" x14ac:dyDescent="0.25">
      <c r="A4545" s="20" t="s">
        <v>4377</v>
      </c>
      <c r="B4545" s="20" t="s">
        <v>4015</v>
      </c>
    </row>
    <row r="4546" spans="1:2" x14ac:dyDescent="0.25">
      <c r="A4546" s="20">
        <v>12158795</v>
      </c>
      <c r="B4546" s="20" t="s">
        <v>4015</v>
      </c>
    </row>
    <row r="4547" spans="1:2" x14ac:dyDescent="0.25">
      <c r="A4547" s="20" t="s">
        <v>4393</v>
      </c>
      <c r="B4547" s="20" t="s">
        <v>4015</v>
      </c>
    </row>
    <row r="4548" spans="1:2" x14ac:dyDescent="0.25">
      <c r="A4548" s="20" t="s">
        <v>4399</v>
      </c>
      <c r="B4548" s="20" t="s">
        <v>4015</v>
      </c>
    </row>
    <row r="4549" spans="1:2" x14ac:dyDescent="0.25">
      <c r="A4549" s="20" t="s">
        <v>4036</v>
      </c>
      <c r="B4549" s="20" t="s">
        <v>4015</v>
      </c>
    </row>
    <row r="4550" spans="1:2" x14ac:dyDescent="0.25">
      <c r="A4550" s="20" t="s">
        <v>4044</v>
      </c>
      <c r="B4550" s="20" t="s">
        <v>4015</v>
      </c>
    </row>
    <row r="4551" spans="1:2" x14ac:dyDescent="0.25">
      <c r="A4551" s="20" t="s">
        <v>4053</v>
      </c>
      <c r="B4551" s="20" t="s">
        <v>4015</v>
      </c>
    </row>
    <row r="4552" spans="1:2" x14ac:dyDescent="0.25">
      <c r="A4552" s="20" t="s">
        <v>4063</v>
      </c>
      <c r="B4552" s="20" t="s">
        <v>4015</v>
      </c>
    </row>
    <row r="4553" spans="1:2" x14ac:dyDescent="0.25">
      <c r="A4553" s="20" t="s">
        <v>4072</v>
      </c>
      <c r="B4553" s="20" t="s">
        <v>4015</v>
      </c>
    </row>
    <row r="4554" spans="1:2" x14ac:dyDescent="0.25">
      <c r="A4554" s="20" t="s">
        <v>4088</v>
      </c>
      <c r="B4554" s="20" t="s">
        <v>4015</v>
      </c>
    </row>
    <row r="4555" spans="1:2" x14ac:dyDescent="0.25">
      <c r="A4555" s="20" t="s">
        <v>4103</v>
      </c>
      <c r="B4555" s="20" t="s">
        <v>4015</v>
      </c>
    </row>
    <row r="4556" spans="1:2" x14ac:dyDescent="0.25">
      <c r="A4556" s="20">
        <v>-197974065</v>
      </c>
      <c r="B4556" s="20" t="s">
        <v>4015</v>
      </c>
    </row>
    <row r="4557" spans="1:2" x14ac:dyDescent="0.25">
      <c r="A4557" s="20" t="s">
        <v>4129</v>
      </c>
      <c r="B4557" s="20" t="s">
        <v>4015</v>
      </c>
    </row>
    <row r="4558" spans="1:2" x14ac:dyDescent="0.25">
      <c r="A4558" s="20" t="s">
        <v>4136</v>
      </c>
      <c r="B4558" s="20" t="s">
        <v>4015</v>
      </c>
    </row>
    <row r="4559" spans="1:2" x14ac:dyDescent="0.25">
      <c r="A4559" s="20" t="s">
        <v>4147</v>
      </c>
      <c r="B4559" s="20" t="s">
        <v>4015</v>
      </c>
    </row>
    <row r="4560" spans="1:2" x14ac:dyDescent="0.25">
      <c r="A4560" s="20">
        <v>145818800</v>
      </c>
      <c r="B4560" s="20" t="s">
        <v>4015</v>
      </c>
    </row>
    <row r="4561" spans="1:2" x14ac:dyDescent="0.25">
      <c r="A4561" s="20" t="s">
        <v>4178</v>
      </c>
      <c r="B4561" s="20" t="s">
        <v>4015</v>
      </c>
    </row>
    <row r="4562" spans="1:2" x14ac:dyDescent="0.25">
      <c r="A4562" s="20" t="s">
        <v>4146</v>
      </c>
      <c r="B4562" s="20" t="s">
        <v>4015</v>
      </c>
    </row>
    <row r="4563" spans="1:2" x14ac:dyDescent="0.25">
      <c r="A4563" s="20">
        <v>-12174962</v>
      </c>
      <c r="B4563" s="20" t="s">
        <v>4015</v>
      </c>
    </row>
    <row r="4564" spans="1:2" x14ac:dyDescent="0.25">
      <c r="A4564" s="20" t="s">
        <v>4177</v>
      </c>
      <c r="B4564" s="20" t="s">
        <v>4015</v>
      </c>
    </row>
    <row r="4565" spans="1:2" x14ac:dyDescent="0.25">
      <c r="A4565" s="20" t="s">
        <v>4195</v>
      </c>
      <c r="B4565" s="20" t="s">
        <v>4015</v>
      </c>
    </row>
    <row r="4566" spans="1:2" x14ac:dyDescent="0.25">
      <c r="A4566" s="20" t="s">
        <v>4209</v>
      </c>
      <c r="B4566" s="20" t="s">
        <v>4015</v>
      </c>
    </row>
    <row r="4567" spans="1:2" x14ac:dyDescent="0.25">
      <c r="A4567" s="20">
        <v>-377438344</v>
      </c>
      <c r="B4567" s="20" t="s">
        <v>4015</v>
      </c>
    </row>
    <row r="4568" spans="1:2" x14ac:dyDescent="0.25">
      <c r="A4568" s="20" t="s">
        <v>4228</v>
      </c>
      <c r="B4568" s="20" t="s">
        <v>4015</v>
      </c>
    </row>
    <row r="4569" spans="1:2" x14ac:dyDescent="0.25">
      <c r="A4569" s="20" t="s">
        <v>4237</v>
      </c>
      <c r="B4569" s="20" t="s">
        <v>4015</v>
      </c>
    </row>
    <row r="4570" spans="1:2" x14ac:dyDescent="0.25">
      <c r="A4570" s="20" t="s">
        <v>4249</v>
      </c>
      <c r="B4570" s="20" t="s">
        <v>4015</v>
      </c>
    </row>
    <row r="4571" spans="1:2" x14ac:dyDescent="0.25">
      <c r="A4571" s="20" t="s">
        <v>4258</v>
      </c>
      <c r="B4571" s="20" t="s">
        <v>4015</v>
      </c>
    </row>
    <row r="4572" spans="1:2" x14ac:dyDescent="0.25">
      <c r="A4572" s="20" t="s">
        <v>4266</v>
      </c>
      <c r="B4572" s="20" t="s">
        <v>4015</v>
      </c>
    </row>
    <row r="4573" spans="1:2" x14ac:dyDescent="0.25">
      <c r="A4573" s="20" t="s">
        <v>4276</v>
      </c>
      <c r="B4573" s="20" t="s">
        <v>4015</v>
      </c>
    </row>
    <row r="4574" spans="1:2" x14ac:dyDescent="0.25">
      <c r="A4574" s="20" t="s">
        <v>4292</v>
      </c>
      <c r="B4574" s="20" t="s">
        <v>4015</v>
      </c>
    </row>
    <row r="4575" spans="1:2" x14ac:dyDescent="0.25">
      <c r="A4575" s="20" t="s">
        <v>4305</v>
      </c>
      <c r="B4575" s="20" t="s">
        <v>4015</v>
      </c>
    </row>
    <row r="4576" spans="1:2" x14ac:dyDescent="0.25">
      <c r="A4576" s="20">
        <v>-12143825</v>
      </c>
      <c r="B4576" s="20" t="s">
        <v>4015</v>
      </c>
    </row>
    <row r="4577" spans="1:2" x14ac:dyDescent="0.25">
      <c r="A4577" s="20" t="s">
        <v>4329</v>
      </c>
      <c r="B4577" s="20" t="s">
        <v>4015</v>
      </c>
    </row>
    <row r="4578" spans="1:2" x14ac:dyDescent="0.25">
      <c r="A4578" s="20" t="s">
        <v>4339</v>
      </c>
      <c r="B4578" s="20" t="s">
        <v>4015</v>
      </c>
    </row>
    <row r="4579" spans="1:2" x14ac:dyDescent="0.25">
      <c r="A4579" s="20" t="s">
        <v>4349</v>
      </c>
      <c r="B4579" s="20" t="s">
        <v>4015</v>
      </c>
    </row>
    <row r="4580" spans="1:2" x14ac:dyDescent="0.25">
      <c r="A4580" s="20" t="s">
        <v>4358</v>
      </c>
      <c r="B4580" s="20" t="s">
        <v>4015</v>
      </c>
    </row>
    <row r="4581" spans="1:2" x14ac:dyDescent="0.25">
      <c r="A4581" s="20" t="s">
        <v>4366</v>
      </c>
      <c r="B4581" s="20" t="s">
        <v>4015</v>
      </c>
    </row>
    <row r="4582" spans="1:2" x14ac:dyDescent="0.25">
      <c r="A4582" s="20" t="s">
        <v>4372</v>
      </c>
      <c r="B4582" s="20" t="s">
        <v>4015</v>
      </c>
    </row>
    <row r="4583" spans="1:2" x14ac:dyDescent="0.25">
      <c r="A4583" s="20" t="s">
        <v>4380</v>
      </c>
      <c r="B4583" s="20" t="s">
        <v>4015</v>
      </c>
    </row>
    <row r="4584" spans="1:2" x14ac:dyDescent="0.25">
      <c r="A4584" s="20" t="s">
        <v>4388</v>
      </c>
      <c r="B4584" s="20" t="s">
        <v>4015</v>
      </c>
    </row>
    <row r="4585" spans="1:2" x14ac:dyDescent="0.25">
      <c r="A4585" s="20">
        <v>165303424</v>
      </c>
      <c r="B4585" s="20" t="s">
        <v>4015</v>
      </c>
    </row>
    <row r="4586" spans="1:2" x14ac:dyDescent="0.25">
      <c r="A4586" s="20" t="s">
        <v>4402</v>
      </c>
      <c r="B4586" s="20" t="s">
        <v>4015</v>
      </c>
    </row>
    <row r="4587" spans="1:2" x14ac:dyDescent="0.25">
      <c r="A4587" s="20" t="s">
        <v>4408</v>
      </c>
      <c r="B4587" s="20" t="s">
        <v>4015</v>
      </c>
    </row>
    <row r="4588" spans="1:2" x14ac:dyDescent="0.25">
      <c r="A4588" s="20" t="s">
        <v>4413</v>
      </c>
      <c r="B4588" s="20" t="s">
        <v>4015</v>
      </c>
    </row>
    <row r="4589" spans="1:2" x14ac:dyDescent="0.25">
      <c r="A4589" s="20" t="s">
        <v>4417</v>
      </c>
      <c r="B4589" s="20" t="s">
        <v>4015</v>
      </c>
    </row>
    <row r="4590" spans="1:2" x14ac:dyDescent="0.25">
      <c r="A4590" s="20" t="s">
        <v>4422</v>
      </c>
      <c r="B4590" s="20" t="s">
        <v>4015</v>
      </c>
    </row>
    <row r="4591" spans="1:2" x14ac:dyDescent="0.25">
      <c r="A4591" s="20" t="s">
        <v>4428</v>
      </c>
      <c r="B4591" s="20" t="s">
        <v>4015</v>
      </c>
    </row>
    <row r="4592" spans="1:2" x14ac:dyDescent="0.25">
      <c r="A4592" s="20" t="s">
        <v>4016</v>
      </c>
      <c r="B4592" s="20" t="s">
        <v>4016</v>
      </c>
    </row>
    <row r="4593" spans="1:2" x14ac:dyDescent="0.25">
      <c r="A4593" s="20" t="s">
        <v>4029</v>
      </c>
      <c r="B4593" s="20" t="s">
        <v>4016</v>
      </c>
    </row>
    <row r="4594" spans="1:2" x14ac:dyDescent="0.25">
      <c r="A4594" s="20" t="s">
        <v>4032</v>
      </c>
      <c r="B4594" s="20" t="s">
        <v>4016</v>
      </c>
    </row>
    <row r="4595" spans="1:2" x14ac:dyDescent="0.25">
      <c r="A4595" s="20" t="s">
        <v>4037</v>
      </c>
      <c r="B4595" s="20" t="s">
        <v>4016</v>
      </c>
    </row>
    <row r="4596" spans="1:2" x14ac:dyDescent="0.25">
      <c r="A4596" s="20" t="s">
        <v>4046</v>
      </c>
      <c r="B4596" s="20" t="s">
        <v>4016</v>
      </c>
    </row>
    <row r="4597" spans="1:2" x14ac:dyDescent="0.25">
      <c r="A4597" s="20" t="s">
        <v>4056</v>
      </c>
      <c r="B4597" s="20" t="s">
        <v>4016</v>
      </c>
    </row>
    <row r="4598" spans="1:2" x14ac:dyDescent="0.25">
      <c r="A4598" s="20" t="s">
        <v>4066</v>
      </c>
      <c r="B4598" s="20" t="s">
        <v>4016</v>
      </c>
    </row>
    <row r="4599" spans="1:2" x14ac:dyDescent="0.25">
      <c r="A4599" s="20" t="s">
        <v>4076</v>
      </c>
      <c r="B4599" s="20" t="s">
        <v>4016</v>
      </c>
    </row>
    <row r="4600" spans="1:2" x14ac:dyDescent="0.25">
      <c r="A4600" s="20" t="s">
        <v>4093</v>
      </c>
      <c r="B4600" s="20" t="s">
        <v>4016</v>
      </c>
    </row>
    <row r="4601" spans="1:2" x14ac:dyDescent="0.25">
      <c r="A4601" s="20" t="s">
        <v>4107</v>
      </c>
      <c r="B4601" s="20" t="s">
        <v>4016</v>
      </c>
    </row>
    <row r="4602" spans="1:2" x14ac:dyDescent="0.25">
      <c r="A4602" s="20" t="s">
        <v>4120</v>
      </c>
      <c r="B4602" s="20" t="s">
        <v>4016</v>
      </c>
    </row>
    <row r="4603" spans="1:2" x14ac:dyDescent="0.25">
      <c r="A4603" s="20" t="s">
        <v>4131</v>
      </c>
      <c r="B4603" s="20" t="s">
        <v>4016</v>
      </c>
    </row>
    <row r="4604" spans="1:2" x14ac:dyDescent="0.25">
      <c r="A4604" s="20" t="s">
        <v>4138</v>
      </c>
      <c r="B4604" s="20" t="s">
        <v>4016</v>
      </c>
    </row>
    <row r="4605" spans="1:2" x14ac:dyDescent="0.25">
      <c r="A4605" s="20" t="s">
        <v>4149</v>
      </c>
      <c r="B4605" s="20" t="s">
        <v>4016</v>
      </c>
    </row>
    <row r="4606" spans="1:2" x14ac:dyDescent="0.25">
      <c r="A4606" s="20" t="s">
        <v>4163</v>
      </c>
      <c r="B4606" s="20" t="s">
        <v>4016</v>
      </c>
    </row>
    <row r="4607" spans="1:2" x14ac:dyDescent="0.25">
      <c r="A4607" s="20" t="s">
        <v>4182</v>
      </c>
      <c r="B4607" s="20" t="s">
        <v>4016</v>
      </c>
    </row>
    <row r="4608" spans="1:2" x14ac:dyDescent="0.25">
      <c r="A4608" s="20" t="s">
        <v>4198</v>
      </c>
      <c r="B4608" s="20" t="s">
        <v>4016</v>
      </c>
    </row>
    <row r="4609" spans="1:2" x14ac:dyDescent="0.25">
      <c r="A4609" s="20" t="s">
        <v>4017</v>
      </c>
      <c r="B4609" s="20" t="s">
        <v>4017</v>
      </c>
    </row>
    <row r="4610" spans="1:2" x14ac:dyDescent="0.25">
      <c r="A4610" s="20" t="s">
        <v>4030</v>
      </c>
      <c r="B4610" s="20" t="s">
        <v>4017</v>
      </c>
    </row>
    <row r="4611" spans="1:2" x14ac:dyDescent="0.25">
      <c r="A4611" s="20" t="s">
        <v>4033</v>
      </c>
      <c r="B4611" s="20" t="s">
        <v>4017</v>
      </c>
    </row>
    <row r="4612" spans="1:2" x14ac:dyDescent="0.25">
      <c r="A4612" s="20" t="s">
        <v>4038</v>
      </c>
      <c r="B4612" s="20" t="s">
        <v>4017</v>
      </c>
    </row>
    <row r="4613" spans="1:2" x14ac:dyDescent="0.25">
      <c r="A4613" s="20" t="s">
        <v>4047</v>
      </c>
      <c r="B4613" s="20" t="s">
        <v>4017</v>
      </c>
    </row>
    <row r="4614" spans="1:2" x14ac:dyDescent="0.25">
      <c r="A4614" s="20" t="s">
        <v>4057</v>
      </c>
      <c r="B4614" s="20" t="s">
        <v>4017</v>
      </c>
    </row>
    <row r="4615" spans="1:2" x14ac:dyDescent="0.25">
      <c r="A4615" s="20" t="s">
        <v>4067</v>
      </c>
      <c r="B4615" s="20" t="s">
        <v>4017</v>
      </c>
    </row>
    <row r="4616" spans="1:2" x14ac:dyDescent="0.25">
      <c r="A4616" s="20" t="s">
        <v>4077</v>
      </c>
      <c r="B4616" s="20" t="s">
        <v>4017</v>
      </c>
    </row>
    <row r="4617" spans="1:2" x14ac:dyDescent="0.25">
      <c r="A4617" s="20" t="s">
        <v>4094</v>
      </c>
      <c r="B4617" s="20" t="s">
        <v>4017</v>
      </c>
    </row>
    <row r="4618" spans="1:2" x14ac:dyDescent="0.25">
      <c r="A4618" s="20" t="s">
        <v>4108</v>
      </c>
      <c r="B4618" s="20" t="s">
        <v>4017</v>
      </c>
    </row>
    <row r="4619" spans="1:2" x14ac:dyDescent="0.25">
      <c r="A4619" s="20" t="s">
        <v>4121</v>
      </c>
      <c r="B4619" s="20" t="s">
        <v>4017</v>
      </c>
    </row>
    <row r="4620" spans="1:2" x14ac:dyDescent="0.25">
      <c r="A4620" s="20">
        <v>196358965</v>
      </c>
      <c r="B4620" s="20" t="s">
        <v>4017</v>
      </c>
    </row>
    <row r="4621" spans="1:2" x14ac:dyDescent="0.25">
      <c r="A4621" s="20" t="s">
        <v>4139</v>
      </c>
      <c r="B4621" s="20" t="s">
        <v>4017</v>
      </c>
    </row>
    <row r="4622" spans="1:2" x14ac:dyDescent="0.25">
      <c r="A4622" s="20" t="s">
        <v>4150</v>
      </c>
      <c r="B4622" s="20" t="s">
        <v>4017</v>
      </c>
    </row>
    <row r="4623" spans="1:2" x14ac:dyDescent="0.25">
      <c r="A4623" s="20" t="s">
        <v>4164</v>
      </c>
      <c r="B4623" s="20" t="s">
        <v>4017</v>
      </c>
    </row>
    <row r="4624" spans="1:2" x14ac:dyDescent="0.25">
      <c r="A4624" s="20" t="s">
        <v>4183</v>
      </c>
      <c r="B4624" s="20" t="s">
        <v>4017</v>
      </c>
    </row>
    <row r="4625" spans="1:2" x14ac:dyDescent="0.25">
      <c r="A4625" s="20" t="s">
        <v>4199</v>
      </c>
      <c r="B4625" s="20" t="s">
        <v>4017</v>
      </c>
    </row>
    <row r="4626" spans="1:2" x14ac:dyDescent="0.25">
      <c r="A4626" s="20" t="s">
        <v>4211</v>
      </c>
      <c r="B4626" s="20" t="s">
        <v>4017</v>
      </c>
    </row>
    <row r="4627" spans="1:2" x14ac:dyDescent="0.25">
      <c r="A4627" s="20" t="s">
        <v>4222</v>
      </c>
      <c r="B4627" s="20" t="s">
        <v>4017</v>
      </c>
    </row>
    <row r="4628" spans="1:2" x14ac:dyDescent="0.25">
      <c r="A4628" s="20">
        <v>423972761</v>
      </c>
      <c r="B4628" s="20" t="s">
        <v>4017</v>
      </c>
    </row>
    <row r="4629" spans="1:2" x14ac:dyDescent="0.25">
      <c r="A4629" s="20" t="s">
        <v>4240</v>
      </c>
      <c r="B4629" s="20" t="s">
        <v>4017</v>
      </c>
    </row>
    <row r="4630" spans="1:2" x14ac:dyDescent="0.25">
      <c r="A4630" s="20" t="s">
        <v>4252</v>
      </c>
      <c r="B4630" s="20" t="s">
        <v>4017</v>
      </c>
    </row>
    <row r="4631" spans="1:2" x14ac:dyDescent="0.25">
      <c r="A4631" s="20" t="s">
        <v>4260</v>
      </c>
      <c r="B4631" s="20" t="s">
        <v>4017</v>
      </c>
    </row>
    <row r="4632" spans="1:2" x14ac:dyDescent="0.25">
      <c r="A4632" s="20" t="s">
        <v>4270</v>
      </c>
      <c r="B4632" s="20" t="s">
        <v>4017</v>
      </c>
    </row>
    <row r="4633" spans="1:2" x14ac:dyDescent="0.25">
      <c r="A4633" s="20" t="s">
        <v>4281</v>
      </c>
      <c r="B4633" s="20" t="s">
        <v>4017</v>
      </c>
    </row>
    <row r="4634" spans="1:2" x14ac:dyDescent="0.25">
      <c r="A4634" s="20" t="s">
        <v>4298</v>
      </c>
      <c r="B4634" s="20" t="s">
        <v>4017</v>
      </c>
    </row>
    <row r="4635" spans="1:2" x14ac:dyDescent="0.25">
      <c r="A4635" s="20" t="s">
        <v>4310</v>
      </c>
      <c r="B4635" s="20" t="s">
        <v>4017</v>
      </c>
    </row>
    <row r="4636" spans="1:2" x14ac:dyDescent="0.25">
      <c r="A4636" s="20" t="s">
        <v>4322</v>
      </c>
      <c r="B4636" s="20" t="s">
        <v>4017</v>
      </c>
    </row>
    <row r="4637" spans="1:2" x14ac:dyDescent="0.25">
      <c r="A4637" s="20" t="s">
        <v>4334</v>
      </c>
      <c r="B4637" s="20" t="s">
        <v>4017</v>
      </c>
    </row>
    <row r="4638" spans="1:2" x14ac:dyDescent="0.25">
      <c r="A4638" s="20" t="s">
        <v>4344</v>
      </c>
      <c r="B4638" s="20" t="s">
        <v>4017</v>
      </c>
    </row>
    <row r="4639" spans="1:2" x14ac:dyDescent="0.25">
      <c r="A4639" s="20" t="s">
        <v>4354</v>
      </c>
      <c r="B4639" s="20" t="s">
        <v>4017</v>
      </c>
    </row>
    <row r="4640" spans="1:2" x14ac:dyDescent="0.25">
      <c r="A4640" s="20" t="s">
        <v>4295</v>
      </c>
      <c r="B4640" s="20" t="s">
        <v>4017</v>
      </c>
    </row>
    <row r="4641" spans="1:2" x14ac:dyDescent="0.25">
      <c r="A4641" s="20">
        <v>12163074</v>
      </c>
      <c r="B4641" s="20" t="s">
        <v>4017</v>
      </c>
    </row>
    <row r="4642" spans="1:2" x14ac:dyDescent="0.25">
      <c r="A4642" s="20" t="s">
        <v>4377</v>
      </c>
      <c r="B4642" s="20" t="s">
        <v>4017</v>
      </c>
    </row>
    <row r="4643" spans="1:2" x14ac:dyDescent="0.25">
      <c r="A4643" s="20">
        <v>12158795</v>
      </c>
      <c r="B4643" s="20" t="s">
        <v>4017</v>
      </c>
    </row>
    <row r="4644" spans="1:2" x14ac:dyDescent="0.25">
      <c r="A4644" s="20" t="s">
        <v>4393</v>
      </c>
      <c r="B4644" s="20" t="s">
        <v>4017</v>
      </c>
    </row>
    <row r="4645" spans="1:2" x14ac:dyDescent="0.25">
      <c r="A4645" s="20" t="s">
        <v>4399</v>
      </c>
      <c r="B4645" s="20" t="s">
        <v>4017</v>
      </c>
    </row>
    <row r="4646" spans="1:2" x14ac:dyDescent="0.25">
      <c r="A4646" s="20" t="s">
        <v>4036</v>
      </c>
      <c r="B4646" s="20" t="s">
        <v>4017</v>
      </c>
    </row>
    <row r="4647" spans="1:2" x14ac:dyDescent="0.25">
      <c r="A4647" s="20" t="s">
        <v>4044</v>
      </c>
      <c r="B4647" s="20" t="s">
        <v>4017</v>
      </c>
    </row>
    <row r="4648" spans="1:2" x14ac:dyDescent="0.25">
      <c r="A4648" s="20" t="s">
        <v>4053</v>
      </c>
      <c r="B4648" s="20" t="s">
        <v>4017</v>
      </c>
    </row>
    <row r="4649" spans="1:2" x14ac:dyDescent="0.25">
      <c r="A4649" s="20" t="s">
        <v>4063</v>
      </c>
      <c r="B4649" s="20" t="s">
        <v>4017</v>
      </c>
    </row>
    <row r="4650" spans="1:2" x14ac:dyDescent="0.25">
      <c r="A4650" s="20" t="s">
        <v>4072</v>
      </c>
      <c r="B4650" s="20" t="s">
        <v>4017</v>
      </c>
    </row>
    <row r="4651" spans="1:2" x14ac:dyDescent="0.25">
      <c r="A4651" s="20" t="s">
        <v>4088</v>
      </c>
      <c r="B4651" s="20" t="s">
        <v>4017</v>
      </c>
    </row>
    <row r="4652" spans="1:2" x14ac:dyDescent="0.25">
      <c r="A4652" s="20" t="s">
        <v>4103</v>
      </c>
      <c r="B4652" s="20" t="s">
        <v>4017</v>
      </c>
    </row>
    <row r="4653" spans="1:2" x14ac:dyDescent="0.25">
      <c r="A4653" s="20">
        <v>-197974065</v>
      </c>
      <c r="B4653" s="20" t="s">
        <v>4017</v>
      </c>
    </row>
    <row r="4654" spans="1:2" x14ac:dyDescent="0.25">
      <c r="A4654" s="20" t="s">
        <v>4129</v>
      </c>
      <c r="B4654" s="20" t="s">
        <v>4017</v>
      </c>
    </row>
    <row r="4655" spans="1:2" x14ac:dyDescent="0.25">
      <c r="A4655" s="20" t="s">
        <v>4136</v>
      </c>
      <c r="B4655" s="20" t="s">
        <v>4017</v>
      </c>
    </row>
    <row r="4656" spans="1:2" x14ac:dyDescent="0.25">
      <c r="A4656" s="20" t="s">
        <v>4147</v>
      </c>
      <c r="B4656" s="20" t="s">
        <v>4017</v>
      </c>
    </row>
    <row r="4657" spans="1:2" x14ac:dyDescent="0.25">
      <c r="A4657" s="20">
        <v>145818800</v>
      </c>
      <c r="B4657" s="20" t="s">
        <v>4017</v>
      </c>
    </row>
    <row r="4658" spans="1:2" x14ac:dyDescent="0.25">
      <c r="A4658" s="20" t="s">
        <v>4178</v>
      </c>
      <c r="B4658" s="20" t="s">
        <v>4017</v>
      </c>
    </row>
    <row r="4659" spans="1:2" x14ac:dyDescent="0.25">
      <c r="A4659" s="20" t="s">
        <v>4126</v>
      </c>
      <c r="B4659" s="20" t="s">
        <v>4017</v>
      </c>
    </row>
    <row r="4660" spans="1:2" x14ac:dyDescent="0.25">
      <c r="A4660" s="20">
        <v>-486653628</v>
      </c>
      <c r="B4660" s="20" t="s">
        <v>4017</v>
      </c>
    </row>
    <row r="4661" spans="1:2" x14ac:dyDescent="0.25">
      <c r="A4661" s="20" t="s">
        <v>4142</v>
      </c>
      <c r="B4661" s="20" t="s">
        <v>4017</v>
      </c>
    </row>
    <row r="4662" spans="1:2" x14ac:dyDescent="0.25">
      <c r="A4662" s="20" t="s">
        <v>4154</v>
      </c>
      <c r="B4662" s="20" t="s">
        <v>4017</v>
      </c>
    </row>
    <row r="4663" spans="1:2" x14ac:dyDescent="0.25">
      <c r="A4663" s="20" t="s">
        <v>4168</v>
      </c>
      <c r="B4663" s="20" t="s">
        <v>4017</v>
      </c>
    </row>
    <row r="4664" spans="1:2" x14ac:dyDescent="0.25">
      <c r="A4664" s="20" t="s">
        <v>4027</v>
      </c>
      <c r="B4664" s="20" t="s">
        <v>4017</v>
      </c>
    </row>
    <row r="4665" spans="1:2" x14ac:dyDescent="0.25">
      <c r="A4665" s="20" t="s">
        <v>4031</v>
      </c>
      <c r="B4665" s="20" t="s">
        <v>4017</v>
      </c>
    </row>
    <row r="4666" spans="1:2" x14ac:dyDescent="0.25">
      <c r="A4666" s="20" t="s">
        <v>4035</v>
      </c>
      <c r="B4666" s="20" t="s">
        <v>4017</v>
      </c>
    </row>
    <row r="4667" spans="1:2" x14ac:dyDescent="0.25">
      <c r="A4667" s="20" t="s">
        <v>4042</v>
      </c>
      <c r="B4667" s="20" t="s">
        <v>4017</v>
      </c>
    </row>
    <row r="4668" spans="1:2" x14ac:dyDescent="0.25">
      <c r="A4668" s="20">
        <v>424978639</v>
      </c>
      <c r="B4668" s="20" t="s">
        <v>4017</v>
      </c>
    </row>
    <row r="4669" spans="1:2" x14ac:dyDescent="0.25">
      <c r="A4669" s="20">
        <v>387423966</v>
      </c>
      <c r="B4669" s="20" t="s">
        <v>4017</v>
      </c>
    </row>
    <row r="4670" spans="1:2" x14ac:dyDescent="0.25">
      <c r="A4670" s="20">
        <v>424978644</v>
      </c>
      <c r="B4670" s="20" t="s">
        <v>4017</v>
      </c>
    </row>
    <row r="4671" spans="1:2" x14ac:dyDescent="0.25">
      <c r="A4671" s="20">
        <v>423965484</v>
      </c>
      <c r="B4671" s="20" t="s">
        <v>4017</v>
      </c>
    </row>
    <row r="4672" spans="1:2" x14ac:dyDescent="0.25">
      <c r="A4672" s="20" t="s">
        <v>4100</v>
      </c>
      <c r="B4672" s="20" t="s">
        <v>4017</v>
      </c>
    </row>
    <row r="4673" spans="1:2" x14ac:dyDescent="0.25">
      <c r="A4673" s="20" t="s">
        <v>4114</v>
      </c>
      <c r="B4673" s="20" t="s">
        <v>4017</v>
      </c>
    </row>
    <row r="4674" spans="1:2" x14ac:dyDescent="0.25">
      <c r="A4674" s="20">
        <v>448887868</v>
      </c>
      <c r="B4674" s="20" t="s">
        <v>4017</v>
      </c>
    </row>
    <row r="4675" spans="1:2" x14ac:dyDescent="0.25">
      <c r="A4675" s="20" t="s">
        <v>4135</v>
      </c>
      <c r="B4675" s="20" t="s">
        <v>4017</v>
      </c>
    </row>
    <row r="4676" spans="1:2" x14ac:dyDescent="0.25">
      <c r="A4676" s="20" t="s">
        <v>4145</v>
      </c>
      <c r="B4676" s="20" t="s">
        <v>4017</v>
      </c>
    </row>
    <row r="4677" spans="1:2" x14ac:dyDescent="0.25">
      <c r="A4677" s="20">
        <v>448887869</v>
      </c>
      <c r="B4677" s="20" t="s">
        <v>4017</v>
      </c>
    </row>
    <row r="4678" spans="1:2" x14ac:dyDescent="0.25">
      <c r="A4678" s="20">
        <v>448887867</v>
      </c>
      <c r="B4678" s="20" t="s">
        <v>4017</v>
      </c>
    </row>
    <row r="4679" spans="1:2" x14ac:dyDescent="0.25">
      <c r="A4679" s="20" t="s">
        <v>4193</v>
      </c>
      <c r="B4679" s="20" t="s">
        <v>4017</v>
      </c>
    </row>
    <row r="4680" spans="1:2" x14ac:dyDescent="0.25">
      <c r="A4680" s="20" t="s">
        <v>4018</v>
      </c>
      <c r="B4680" s="20" t="s">
        <v>4018</v>
      </c>
    </row>
    <row r="4681" spans="1:2" x14ac:dyDescent="0.25">
      <c r="A4681" s="20" t="s">
        <v>4030</v>
      </c>
      <c r="B4681" s="20" t="s">
        <v>4018</v>
      </c>
    </row>
    <row r="4682" spans="1:2" x14ac:dyDescent="0.25">
      <c r="A4682" s="20" t="s">
        <v>4033</v>
      </c>
      <c r="B4682" s="20" t="s">
        <v>4018</v>
      </c>
    </row>
    <row r="4683" spans="1:2" x14ac:dyDescent="0.25">
      <c r="A4683" s="20" t="s">
        <v>4038</v>
      </c>
      <c r="B4683" s="20" t="s">
        <v>4018</v>
      </c>
    </row>
    <row r="4684" spans="1:2" x14ac:dyDescent="0.25">
      <c r="A4684" s="20" t="s">
        <v>4047</v>
      </c>
      <c r="B4684" s="20" t="s">
        <v>4018</v>
      </c>
    </row>
    <row r="4685" spans="1:2" x14ac:dyDescent="0.25">
      <c r="A4685" s="20" t="s">
        <v>4057</v>
      </c>
      <c r="B4685" s="20" t="s">
        <v>4018</v>
      </c>
    </row>
    <row r="4686" spans="1:2" x14ac:dyDescent="0.25">
      <c r="A4686" s="20" t="s">
        <v>4067</v>
      </c>
      <c r="B4686" s="20" t="s">
        <v>4018</v>
      </c>
    </row>
    <row r="4687" spans="1:2" x14ac:dyDescent="0.25">
      <c r="A4687" s="20" t="s">
        <v>4077</v>
      </c>
      <c r="B4687" s="20" t="s">
        <v>4018</v>
      </c>
    </row>
    <row r="4688" spans="1:2" x14ac:dyDescent="0.25">
      <c r="A4688" s="20" t="s">
        <v>4094</v>
      </c>
      <c r="B4688" s="20" t="s">
        <v>4018</v>
      </c>
    </row>
    <row r="4689" spans="1:2" x14ac:dyDescent="0.25">
      <c r="A4689" s="20" t="s">
        <v>4108</v>
      </c>
      <c r="B4689" s="20" t="s">
        <v>4018</v>
      </c>
    </row>
    <row r="4690" spans="1:2" x14ac:dyDescent="0.25">
      <c r="A4690" s="20" t="s">
        <v>4121</v>
      </c>
      <c r="B4690" s="20" t="s">
        <v>4018</v>
      </c>
    </row>
    <row r="4691" spans="1:2" x14ac:dyDescent="0.25">
      <c r="A4691" s="20">
        <v>196358965</v>
      </c>
      <c r="B4691" s="20" t="s">
        <v>4018</v>
      </c>
    </row>
    <row r="4692" spans="1:2" x14ac:dyDescent="0.25">
      <c r="A4692" s="20" t="s">
        <v>4139</v>
      </c>
      <c r="B4692" s="20" t="s">
        <v>4018</v>
      </c>
    </row>
    <row r="4693" spans="1:2" x14ac:dyDescent="0.25">
      <c r="A4693" s="20" t="s">
        <v>4150</v>
      </c>
      <c r="B4693" s="20" t="s">
        <v>4018</v>
      </c>
    </row>
    <row r="4694" spans="1:2" x14ac:dyDescent="0.25">
      <c r="A4694" s="20" t="s">
        <v>4164</v>
      </c>
      <c r="B4694" s="20" t="s">
        <v>4018</v>
      </c>
    </row>
    <row r="4695" spans="1:2" x14ac:dyDescent="0.25">
      <c r="A4695" s="20" t="s">
        <v>4183</v>
      </c>
      <c r="B4695" s="20" t="s">
        <v>4018</v>
      </c>
    </row>
    <row r="4696" spans="1:2" x14ac:dyDescent="0.25">
      <c r="A4696" s="20" t="s">
        <v>4199</v>
      </c>
      <c r="B4696" s="20" t="s">
        <v>4018</v>
      </c>
    </row>
    <row r="4697" spans="1:2" x14ac:dyDescent="0.25">
      <c r="A4697" s="20" t="s">
        <v>4211</v>
      </c>
      <c r="B4697" s="20" t="s">
        <v>4018</v>
      </c>
    </row>
    <row r="4698" spans="1:2" x14ac:dyDescent="0.25">
      <c r="A4698" s="20" t="s">
        <v>4222</v>
      </c>
      <c r="B4698" s="20" t="s">
        <v>4018</v>
      </c>
    </row>
    <row r="4699" spans="1:2" x14ac:dyDescent="0.25">
      <c r="A4699" s="20">
        <v>423972761</v>
      </c>
      <c r="B4699" s="20" t="s">
        <v>4018</v>
      </c>
    </row>
    <row r="4700" spans="1:2" x14ac:dyDescent="0.25">
      <c r="A4700" s="20" t="s">
        <v>4240</v>
      </c>
      <c r="B4700" s="20" t="s">
        <v>4018</v>
      </c>
    </row>
    <row r="4701" spans="1:2" x14ac:dyDescent="0.25">
      <c r="A4701" s="20" t="s">
        <v>4252</v>
      </c>
      <c r="B4701" s="20" t="s">
        <v>4018</v>
      </c>
    </row>
    <row r="4702" spans="1:2" x14ac:dyDescent="0.25">
      <c r="A4702" s="20" t="s">
        <v>4260</v>
      </c>
      <c r="B4702" s="20" t="s">
        <v>4018</v>
      </c>
    </row>
    <row r="4703" spans="1:2" x14ac:dyDescent="0.25">
      <c r="A4703" s="20" t="s">
        <v>4270</v>
      </c>
      <c r="B4703" s="20" t="s">
        <v>4018</v>
      </c>
    </row>
    <row r="4704" spans="1:2" x14ac:dyDescent="0.25">
      <c r="A4704" s="20" t="s">
        <v>4281</v>
      </c>
      <c r="B4704" s="20" t="s">
        <v>4018</v>
      </c>
    </row>
    <row r="4705" spans="1:2" x14ac:dyDescent="0.25">
      <c r="A4705" s="20" t="s">
        <v>4298</v>
      </c>
      <c r="B4705" s="20" t="s">
        <v>4018</v>
      </c>
    </row>
    <row r="4706" spans="1:2" x14ac:dyDescent="0.25">
      <c r="A4706" s="20" t="s">
        <v>4310</v>
      </c>
      <c r="B4706" s="20" t="s">
        <v>4018</v>
      </c>
    </row>
    <row r="4707" spans="1:2" x14ac:dyDescent="0.25">
      <c r="A4707" s="20" t="s">
        <v>4322</v>
      </c>
      <c r="B4707" s="20" t="s">
        <v>4018</v>
      </c>
    </row>
    <row r="4708" spans="1:2" x14ac:dyDescent="0.25">
      <c r="A4708" s="20" t="s">
        <v>4334</v>
      </c>
      <c r="B4708" s="20" t="s">
        <v>4018</v>
      </c>
    </row>
    <row r="4709" spans="1:2" x14ac:dyDescent="0.25">
      <c r="A4709" s="20" t="s">
        <v>4344</v>
      </c>
      <c r="B4709" s="20" t="s">
        <v>4018</v>
      </c>
    </row>
    <row r="4710" spans="1:2" x14ac:dyDescent="0.25">
      <c r="A4710" s="20" t="s">
        <v>4354</v>
      </c>
      <c r="B4710" s="20" t="s">
        <v>4018</v>
      </c>
    </row>
    <row r="4711" spans="1:2" x14ac:dyDescent="0.25">
      <c r="A4711" s="20" t="s">
        <v>4295</v>
      </c>
      <c r="B4711" s="20" t="s">
        <v>4018</v>
      </c>
    </row>
    <row r="4712" spans="1:2" x14ac:dyDescent="0.25">
      <c r="A4712" s="20">
        <v>12163074</v>
      </c>
      <c r="B4712" s="20" t="s">
        <v>4018</v>
      </c>
    </row>
    <row r="4713" spans="1:2" x14ac:dyDescent="0.25">
      <c r="A4713" s="20" t="s">
        <v>4377</v>
      </c>
      <c r="B4713" s="20" t="s">
        <v>4018</v>
      </c>
    </row>
    <row r="4714" spans="1:2" x14ac:dyDescent="0.25">
      <c r="A4714" s="20">
        <v>12158795</v>
      </c>
      <c r="B4714" s="20" t="s">
        <v>4018</v>
      </c>
    </row>
    <row r="4715" spans="1:2" x14ac:dyDescent="0.25">
      <c r="A4715" s="20" t="s">
        <v>4393</v>
      </c>
      <c r="B4715" s="20" t="s">
        <v>4018</v>
      </c>
    </row>
    <row r="4716" spans="1:2" x14ac:dyDescent="0.25">
      <c r="A4716" s="20" t="s">
        <v>4399</v>
      </c>
      <c r="B4716" s="20" t="s">
        <v>4018</v>
      </c>
    </row>
    <row r="4717" spans="1:2" x14ac:dyDescent="0.25">
      <c r="A4717" s="20" t="s">
        <v>4036</v>
      </c>
      <c r="B4717" s="20" t="s">
        <v>4018</v>
      </c>
    </row>
    <row r="4718" spans="1:2" x14ac:dyDescent="0.25">
      <c r="A4718" s="20" t="s">
        <v>4044</v>
      </c>
      <c r="B4718" s="20" t="s">
        <v>4018</v>
      </c>
    </row>
    <row r="4719" spans="1:2" x14ac:dyDescent="0.25">
      <c r="A4719" s="20" t="s">
        <v>4053</v>
      </c>
      <c r="B4719" s="20" t="s">
        <v>4018</v>
      </c>
    </row>
    <row r="4720" spans="1:2" x14ac:dyDescent="0.25">
      <c r="A4720" s="20" t="s">
        <v>4063</v>
      </c>
      <c r="B4720" s="20" t="s">
        <v>4018</v>
      </c>
    </row>
    <row r="4721" spans="1:2" x14ac:dyDescent="0.25">
      <c r="A4721" s="20" t="s">
        <v>4072</v>
      </c>
      <c r="B4721" s="20" t="s">
        <v>4018</v>
      </c>
    </row>
    <row r="4722" spans="1:2" x14ac:dyDescent="0.25">
      <c r="A4722" s="20" t="s">
        <v>4088</v>
      </c>
      <c r="B4722" s="20" t="s">
        <v>4018</v>
      </c>
    </row>
    <row r="4723" spans="1:2" x14ac:dyDescent="0.25">
      <c r="A4723" s="20" t="s">
        <v>4103</v>
      </c>
      <c r="B4723" s="20" t="s">
        <v>4018</v>
      </c>
    </row>
    <row r="4724" spans="1:2" x14ac:dyDescent="0.25">
      <c r="A4724" s="20">
        <v>-197974065</v>
      </c>
      <c r="B4724" s="20" t="s">
        <v>4018</v>
      </c>
    </row>
    <row r="4725" spans="1:2" x14ac:dyDescent="0.25">
      <c r="A4725" s="20" t="s">
        <v>4129</v>
      </c>
      <c r="B4725" s="20" t="s">
        <v>4018</v>
      </c>
    </row>
    <row r="4726" spans="1:2" x14ac:dyDescent="0.25">
      <c r="A4726" s="20" t="s">
        <v>4136</v>
      </c>
      <c r="B4726" s="20" t="s">
        <v>4018</v>
      </c>
    </row>
    <row r="4727" spans="1:2" x14ac:dyDescent="0.25">
      <c r="A4727" s="20" t="s">
        <v>4147</v>
      </c>
      <c r="B4727" s="20" t="s">
        <v>4018</v>
      </c>
    </row>
    <row r="4728" spans="1:2" x14ac:dyDescent="0.25">
      <c r="A4728" s="20">
        <v>145818800</v>
      </c>
      <c r="B4728" s="20" t="s">
        <v>4018</v>
      </c>
    </row>
    <row r="4729" spans="1:2" x14ac:dyDescent="0.25">
      <c r="A4729" s="20" t="s">
        <v>4178</v>
      </c>
      <c r="B4729" s="20" t="s">
        <v>4018</v>
      </c>
    </row>
    <row r="4730" spans="1:2" x14ac:dyDescent="0.25">
      <c r="A4730" s="20" t="s">
        <v>4146</v>
      </c>
      <c r="B4730" s="20" t="s">
        <v>4018</v>
      </c>
    </row>
    <row r="4731" spans="1:2" x14ac:dyDescent="0.25">
      <c r="A4731" s="20">
        <v>-12174962</v>
      </c>
      <c r="B4731" s="20" t="s">
        <v>4018</v>
      </c>
    </row>
    <row r="4732" spans="1:2" x14ac:dyDescent="0.25">
      <c r="A4732" s="20" t="s">
        <v>4177</v>
      </c>
      <c r="B4732" s="20" t="s">
        <v>4018</v>
      </c>
    </row>
    <row r="4733" spans="1:2" x14ac:dyDescent="0.25">
      <c r="A4733" s="20" t="s">
        <v>4195</v>
      </c>
      <c r="B4733" s="20" t="s">
        <v>4018</v>
      </c>
    </row>
    <row r="4734" spans="1:2" x14ac:dyDescent="0.25">
      <c r="A4734" s="20" t="s">
        <v>4209</v>
      </c>
      <c r="B4734" s="20" t="s">
        <v>4018</v>
      </c>
    </row>
    <row r="4735" spans="1:2" x14ac:dyDescent="0.25">
      <c r="A4735" s="20">
        <v>-377438344</v>
      </c>
      <c r="B4735" s="20" t="s">
        <v>4018</v>
      </c>
    </row>
    <row r="4736" spans="1:2" x14ac:dyDescent="0.25">
      <c r="A4736" s="20" t="s">
        <v>4228</v>
      </c>
      <c r="B4736" s="20" t="s">
        <v>4018</v>
      </c>
    </row>
    <row r="4737" spans="1:2" x14ac:dyDescent="0.25">
      <c r="A4737" s="20" t="s">
        <v>4237</v>
      </c>
      <c r="B4737" s="20" t="s">
        <v>4018</v>
      </c>
    </row>
    <row r="4738" spans="1:2" x14ac:dyDescent="0.25">
      <c r="A4738" s="20" t="s">
        <v>4249</v>
      </c>
      <c r="B4738" s="20" t="s">
        <v>4018</v>
      </c>
    </row>
    <row r="4739" spans="1:2" x14ac:dyDescent="0.25">
      <c r="A4739" s="20" t="s">
        <v>4258</v>
      </c>
      <c r="B4739" s="20" t="s">
        <v>4018</v>
      </c>
    </row>
    <row r="4740" spans="1:2" x14ac:dyDescent="0.25">
      <c r="A4740" s="20" t="s">
        <v>4266</v>
      </c>
      <c r="B4740" s="20" t="s">
        <v>4018</v>
      </c>
    </row>
    <row r="4741" spans="1:2" x14ac:dyDescent="0.25">
      <c r="A4741" s="20" t="s">
        <v>4276</v>
      </c>
      <c r="B4741" s="20" t="s">
        <v>4018</v>
      </c>
    </row>
    <row r="4742" spans="1:2" x14ac:dyDescent="0.25">
      <c r="A4742" s="20" t="s">
        <v>4292</v>
      </c>
      <c r="B4742" s="20" t="s">
        <v>4018</v>
      </c>
    </row>
    <row r="4743" spans="1:2" x14ac:dyDescent="0.25">
      <c r="A4743" s="20" t="s">
        <v>4305</v>
      </c>
      <c r="B4743" s="20" t="s">
        <v>4018</v>
      </c>
    </row>
    <row r="4744" spans="1:2" x14ac:dyDescent="0.25">
      <c r="A4744" s="20">
        <v>-12143825</v>
      </c>
      <c r="B4744" s="20" t="s">
        <v>4018</v>
      </c>
    </row>
    <row r="4745" spans="1:2" x14ac:dyDescent="0.25">
      <c r="A4745" s="20" t="s">
        <v>4329</v>
      </c>
      <c r="B4745" s="20" t="s">
        <v>4018</v>
      </c>
    </row>
    <row r="4746" spans="1:2" x14ac:dyDescent="0.25">
      <c r="A4746" s="20" t="s">
        <v>4339</v>
      </c>
      <c r="B4746" s="20" t="s">
        <v>4018</v>
      </c>
    </row>
    <row r="4747" spans="1:2" x14ac:dyDescent="0.25">
      <c r="A4747" s="20" t="s">
        <v>4349</v>
      </c>
      <c r="B4747" s="20" t="s">
        <v>4018</v>
      </c>
    </row>
    <row r="4748" spans="1:2" x14ac:dyDescent="0.25">
      <c r="A4748" s="20" t="s">
        <v>4358</v>
      </c>
      <c r="B4748" s="20" t="s">
        <v>4018</v>
      </c>
    </row>
    <row r="4749" spans="1:2" x14ac:dyDescent="0.25">
      <c r="A4749" s="20" t="s">
        <v>4366</v>
      </c>
      <c r="B4749" s="20" t="s">
        <v>4018</v>
      </c>
    </row>
    <row r="4750" spans="1:2" x14ac:dyDescent="0.25">
      <c r="A4750" s="20" t="s">
        <v>4372</v>
      </c>
      <c r="B4750" s="20" t="s">
        <v>4018</v>
      </c>
    </row>
    <row r="4751" spans="1:2" x14ac:dyDescent="0.25">
      <c r="A4751" s="20" t="s">
        <v>4380</v>
      </c>
      <c r="B4751" s="20" t="s">
        <v>4018</v>
      </c>
    </row>
    <row r="4752" spans="1:2" x14ac:dyDescent="0.25">
      <c r="A4752" s="20" t="s">
        <v>4388</v>
      </c>
      <c r="B4752" s="20" t="s">
        <v>4018</v>
      </c>
    </row>
    <row r="4753" spans="1:2" x14ac:dyDescent="0.25">
      <c r="A4753" s="20">
        <v>165303424</v>
      </c>
      <c r="B4753" s="20" t="s">
        <v>4018</v>
      </c>
    </row>
    <row r="4754" spans="1:2" x14ac:dyDescent="0.25">
      <c r="A4754" s="20" t="s">
        <v>4402</v>
      </c>
      <c r="B4754" s="20" t="s">
        <v>4018</v>
      </c>
    </row>
    <row r="4755" spans="1:2" x14ac:dyDescent="0.25">
      <c r="A4755" s="20" t="s">
        <v>4408</v>
      </c>
      <c r="B4755" s="20" t="s">
        <v>4018</v>
      </c>
    </row>
    <row r="4756" spans="1:2" x14ac:dyDescent="0.25">
      <c r="A4756" s="20" t="s">
        <v>4058</v>
      </c>
      <c r="B4756" s="20" t="s">
        <v>4018</v>
      </c>
    </row>
    <row r="4757" spans="1:2" x14ac:dyDescent="0.25">
      <c r="A4757" s="20" t="s">
        <v>4068</v>
      </c>
      <c r="B4757" s="20" t="s">
        <v>4018</v>
      </c>
    </row>
    <row r="4758" spans="1:2" x14ac:dyDescent="0.25">
      <c r="A4758" s="20" t="s">
        <v>4256</v>
      </c>
      <c r="B4758" s="20" t="s">
        <v>4018</v>
      </c>
    </row>
    <row r="4759" spans="1:2" x14ac:dyDescent="0.25">
      <c r="A4759" s="20">
        <v>423956980</v>
      </c>
      <c r="B4759" s="20" t="s">
        <v>4018</v>
      </c>
    </row>
    <row r="4760" spans="1:2" x14ac:dyDescent="0.25">
      <c r="A4760" s="20">
        <v>424824619</v>
      </c>
      <c r="B4760" s="20" t="s">
        <v>4018</v>
      </c>
    </row>
    <row r="4761" spans="1:2" x14ac:dyDescent="0.25">
      <c r="A4761" s="20">
        <v>424824620</v>
      </c>
      <c r="B4761" s="20" t="s">
        <v>4018</v>
      </c>
    </row>
    <row r="4762" spans="1:2" x14ac:dyDescent="0.25">
      <c r="A4762" s="20">
        <v>423956978</v>
      </c>
      <c r="B4762" s="20" t="s">
        <v>4018</v>
      </c>
    </row>
    <row r="4763" spans="1:2" x14ac:dyDescent="0.25">
      <c r="A4763" s="20">
        <v>49940589</v>
      </c>
      <c r="B4763" s="20" t="s">
        <v>4018</v>
      </c>
    </row>
    <row r="4764" spans="1:2" x14ac:dyDescent="0.25">
      <c r="A4764" s="20" t="s">
        <v>4274</v>
      </c>
      <c r="B4764" s="20" t="s">
        <v>4018</v>
      </c>
    </row>
    <row r="4765" spans="1:2" x14ac:dyDescent="0.25">
      <c r="A4765" s="20" t="s">
        <v>4188</v>
      </c>
      <c r="B4765" s="20" t="s">
        <v>4018</v>
      </c>
    </row>
    <row r="4766" spans="1:2" x14ac:dyDescent="0.25">
      <c r="A4766" s="20" t="s">
        <v>4202</v>
      </c>
      <c r="B4766" s="20" t="s">
        <v>4018</v>
      </c>
    </row>
    <row r="4767" spans="1:2" x14ac:dyDescent="0.25">
      <c r="A4767" s="20" t="s">
        <v>4218</v>
      </c>
      <c r="B4767" s="20" t="s">
        <v>4018</v>
      </c>
    </row>
    <row r="4768" spans="1:2" x14ac:dyDescent="0.25">
      <c r="A4768" s="20" t="s">
        <v>4227</v>
      </c>
      <c r="B4768" s="20" t="s">
        <v>4018</v>
      </c>
    </row>
    <row r="4769" spans="1:2" x14ac:dyDescent="0.25">
      <c r="A4769" s="20" t="s">
        <v>4235</v>
      </c>
      <c r="B4769" s="20" t="s">
        <v>4018</v>
      </c>
    </row>
    <row r="4770" spans="1:2" x14ac:dyDescent="0.25">
      <c r="A4770" s="20" t="s">
        <v>4247</v>
      </c>
      <c r="B4770" s="20" t="s">
        <v>4018</v>
      </c>
    </row>
    <row r="4771" spans="1:2" x14ac:dyDescent="0.25">
      <c r="A4771" s="20" t="s">
        <v>4257</v>
      </c>
      <c r="B4771" s="20" t="s">
        <v>4018</v>
      </c>
    </row>
    <row r="4772" spans="1:2" x14ac:dyDescent="0.25">
      <c r="A4772" s="20" t="s">
        <v>4265</v>
      </c>
      <c r="B4772" s="20" t="s">
        <v>4018</v>
      </c>
    </row>
    <row r="4773" spans="1:2" x14ac:dyDescent="0.25">
      <c r="A4773" s="20" t="s">
        <v>4112</v>
      </c>
      <c r="B4773" s="20" t="s">
        <v>4018</v>
      </c>
    </row>
    <row r="4774" spans="1:2" x14ac:dyDescent="0.25">
      <c r="A4774" s="20" t="s">
        <v>4126</v>
      </c>
      <c r="B4774" s="20" t="s">
        <v>4018</v>
      </c>
    </row>
    <row r="4775" spans="1:2" x14ac:dyDescent="0.25">
      <c r="A4775" s="20">
        <v>-486653628</v>
      </c>
      <c r="B4775" s="20" t="s">
        <v>4018</v>
      </c>
    </row>
    <row r="4776" spans="1:2" x14ac:dyDescent="0.25">
      <c r="A4776" s="20" t="s">
        <v>4142</v>
      </c>
      <c r="B4776" s="20" t="s">
        <v>4018</v>
      </c>
    </row>
    <row r="4777" spans="1:2" x14ac:dyDescent="0.25">
      <c r="A4777" s="20" t="s">
        <v>4154</v>
      </c>
      <c r="B4777" s="20" t="s">
        <v>4018</v>
      </c>
    </row>
    <row r="4778" spans="1:2" x14ac:dyDescent="0.25">
      <c r="A4778" s="20" t="s">
        <v>4168</v>
      </c>
      <c r="B4778" s="20" t="s">
        <v>4018</v>
      </c>
    </row>
    <row r="4779" spans="1:2" x14ac:dyDescent="0.25">
      <c r="A4779" s="20" t="s">
        <v>4027</v>
      </c>
      <c r="B4779" s="20" t="s">
        <v>4018</v>
      </c>
    </row>
    <row r="4780" spans="1:2" x14ac:dyDescent="0.25">
      <c r="A4780" s="20" t="s">
        <v>4031</v>
      </c>
      <c r="B4780" s="20" t="s">
        <v>4018</v>
      </c>
    </row>
    <row r="4781" spans="1:2" x14ac:dyDescent="0.25">
      <c r="A4781" s="20" t="s">
        <v>4035</v>
      </c>
      <c r="B4781" s="20" t="s">
        <v>4018</v>
      </c>
    </row>
    <row r="4782" spans="1:2" x14ac:dyDescent="0.25">
      <c r="A4782" s="20" t="s">
        <v>4042</v>
      </c>
      <c r="B4782" s="20" t="s">
        <v>4018</v>
      </c>
    </row>
    <row r="4783" spans="1:2" x14ac:dyDescent="0.25">
      <c r="A4783" s="20">
        <v>424978639</v>
      </c>
      <c r="B4783" s="20" t="s">
        <v>4018</v>
      </c>
    </row>
    <row r="4784" spans="1:2" x14ac:dyDescent="0.25">
      <c r="A4784" s="20">
        <v>387423966</v>
      </c>
      <c r="B4784" s="20" t="s">
        <v>4018</v>
      </c>
    </row>
    <row r="4785" spans="1:2" x14ac:dyDescent="0.25">
      <c r="A4785" s="20">
        <v>424978644</v>
      </c>
      <c r="B4785" s="20" t="s">
        <v>4018</v>
      </c>
    </row>
    <row r="4786" spans="1:2" x14ac:dyDescent="0.25">
      <c r="A4786" s="20">
        <v>423965484</v>
      </c>
      <c r="B4786" s="20" t="s">
        <v>4018</v>
      </c>
    </row>
    <row r="4787" spans="1:2" x14ac:dyDescent="0.25">
      <c r="A4787" s="20" t="s">
        <v>4100</v>
      </c>
      <c r="B4787" s="20" t="s">
        <v>4018</v>
      </c>
    </row>
    <row r="4788" spans="1:2" x14ac:dyDescent="0.25">
      <c r="A4788" s="20" t="s">
        <v>4114</v>
      </c>
      <c r="B4788" s="20" t="s">
        <v>4018</v>
      </c>
    </row>
    <row r="4789" spans="1:2" x14ac:dyDescent="0.25">
      <c r="A4789" s="20">
        <v>448887868</v>
      </c>
      <c r="B4789" s="20" t="s">
        <v>4018</v>
      </c>
    </row>
    <row r="4790" spans="1:2" x14ac:dyDescent="0.25">
      <c r="A4790" s="20" t="s">
        <v>4135</v>
      </c>
      <c r="B4790" s="20" t="s">
        <v>4018</v>
      </c>
    </row>
    <row r="4791" spans="1:2" x14ac:dyDescent="0.25">
      <c r="A4791" s="20" t="s">
        <v>4145</v>
      </c>
      <c r="B4791" s="20" t="s">
        <v>4018</v>
      </c>
    </row>
    <row r="4792" spans="1:2" x14ac:dyDescent="0.25">
      <c r="A4792" s="20">
        <v>448887869</v>
      </c>
      <c r="B4792" s="20" t="s">
        <v>4018</v>
      </c>
    </row>
    <row r="4793" spans="1:2" x14ac:dyDescent="0.25">
      <c r="A4793" s="20">
        <v>448887867</v>
      </c>
      <c r="B4793" s="20" t="s">
        <v>4018</v>
      </c>
    </row>
    <row r="4794" spans="1:2" x14ac:dyDescent="0.25">
      <c r="A4794" s="20" t="s">
        <v>4193</v>
      </c>
      <c r="B4794" s="20" t="s">
        <v>4018</v>
      </c>
    </row>
    <row r="4795" spans="1:2" x14ac:dyDescent="0.25">
      <c r="A4795" s="20" t="s">
        <v>4019</v>
      </c>
      <c r="B4795" s="20" t="s">
        <v>4019</v>
      </c>
    </row>
    <row r="4796" spans="1:2" x14ac:dyDescent="0.25">
      <c r="A4796" s="20" t="s">
        <v>4030</v>
      </c>
      <c r="B4796" s="20" t="s">
        <v>4019</v>
      </c>
    </row>
    <row r="4797" spans="1:2" x14ac:dyDescent="0.25">
      <c r="A4797" s="20" t="s">
        <v>4033</v>
      </c>
      <c r="B4797" s="20" t="s">
        <v>4019</v>
      </c>
    </row>
    <row r="4798" spans="1:2" x14ac:dyDescent="0.25">
      <c r="A4798" s="20" t="s">
        <v>4038</v>
      </c>
      <c r="B4798" s="20" t="s">
        <v>4019</v>
      </c>
    </row>
    <row r="4799" spans="1:2" x14ac:dyDescent="0.25">
      <c r="A4799" s="20" t="s">
        <v>4047</v>
      </c>
      <c r="B4799" s="20" t="s">
        <v>4019</v>
      </c>
    </row>
    <row r="4800" spans="1:2" x14ac:dyDescent="0.25">
      <c r="A4800" s="20" t="s">
        <v>4057</v>
      </c>
      <c r="B4800" s="20" t="s">
        <v>4019</v>
      </c>
    </row>
    <row r="4801" spans="1:2" x14ac:dyDescent="0.25">
      <c r="A4801" s="20" t="s">
        <v>4067</v>
      </c>
      <c r="B4801" s="20" t="s">
        <v>4019</v>
      </c>
    </row>
    <row r="4802" spans="1:2" x14ac:dyDescent="0.25">
      <c r="A4802" s="20" t="s">
        <v>4077</v>
      </c>
      <c r="B4802" s="20" t="s">
        <v>4019</v>
      </c>
    </row>
    <row r="4803" spans="1:2" x14ac:dyDescent="0.25">
      <c r="A4803" s="20" t="s">
        <v>4094</v>
      </c>
      <c r="B4803" s="20" t="s">
        <v>4019</v>
      </c>
    </row>
    <row r="4804" spans="1:2" x14ac:dyDescent="0.25">
      <c r="A4804" s="20" t="s">
        <v>4108</v>
      </c>
      <c r="B4804" s="20" t="s">
        <v>4019</v>
      </c>
    </row>
    <row r="4805" spans="1:2" x14ac:dyDescent="0.25">
      <c r="A4805" s="20" t="s">
        <v>4121</v>
      </c>
      <c r="B4805" s="20" t="s">
        <v>4019</v>
      </c>
    </row>
    <row r="4806" spans="1:2" x14ac:dyDescent="0.25">
      <c r="A4806" s="20">
        <v>196358965</v>
      </c>
      <c r="B4806" s="20" t="s">
        <v>4019</v>
      </c>
    </row>
    <row r="4807" spans="1:2" x14ac:dyDescent="0.25">
      <c r="A4807" s="20" t="s">
        <v>4139</v>
      </c>
      <c r="B4807" s="20" t="s">
        <v>4019</v>
      </c>
    </row>
    <row r="4808" spans="1:2" x14ac:dyDescent="0.25">
      <c r="A4808" s="20" t="s">
        <v>4150</v>
      </c>
      <c r="B4808" s="20" t="s">
        <v>4019</v>
      </c>
    </row>
    <row r="4809" spans="1:2" x14ac:dyDescent="0.25">
      <c r="A4809" s="20" t="s">
        <v>4164</v>
      </c>
      <c r="B4809" s="20" t="s">
        <v>4019</v>
      </c>
    </row>
    <row r="4810" spans="1:2" x14ac:dyDescent="0.25">
      <c r="A4810" s="20" t="s">
        <v>4183</v>
      </c>
      <c r="B4810" s="20" t="s">
        <v>4019</v>
      </c>
    </row>
    <row r="4811" spans="1:2" x14ac:dyDescent="0.25">
      <c r="A4811" s="20" t="s">
        <v>4199</v>
      </c>
      <c r="B4811" s="20" t="s">
        <v>4019</v>
      </c>
    </row>
    <row r="4812" spans="1:2" x14ac:dyDescent="0.25">
      <c r="A4812" s="20" t="s">
        <v>4211</v>
      </c>
      <c r="B4812" s="20" t="s">
        <v>4019</v>
      </c>
    </row>
    <row r="4813" spans="1:2" x14ac:dyDescent="0.25">
      <c r="A4813" s="20" t="s">
        <v>4222</v>
      </c>
      <c r="B4813" s="20" t="s">
        <v>4019</v>
      </c>
    </row>
    <row r="4814" spans="1:2" x14ac:dyDescent="0.25">
      <c r="A4814" s="20">
        <v>423972761</v>
      </c>
      <c r="B4814" s="20" t="s">
        <v>4019</v>
      </c>
    </row>
    <row r="4815" spans="1:2" x14ac:dyDescent="0.25">
      <c r="A4815" s="20" t="s">
        <v>4240</v>
      </c>
      <c r="B4815" s="20" t="s">
        <v>4019</v>
      </c>
    </row>
    <row r="4816" spans="1:2" x14ac:dyDescent="0.25">
      <c r="A4816" s="20" t="s">
        <v>4252</v>
      </c>
      <c r="B4816" s="20" t="s">
        <v>4019</v>
      </c>
    </row>
    <row r="4817" spans="1:2" x14ac:dyDescent="0.25">
      <c r="A4817" s="20" t="s">
        <v>4260</v>
      </c>
      <c r="B4817" s="20" t="s">
        <v>4019</v>
      </c>
    </row>
    <row r="4818" spans="1:2" x14ac:dyDescent="0.25">
      <c r="A4818" s="20" t="s">
        <v>4270</v>
      </c>
      <c r="B4818" s="20" t="s">
        <v>4019</v>
      </c>
    </row>
    <row r="4819" spans="1:2" x14ac:dyDescent="0.25">
      <c r="A4819" s="20" t="s">
        <v>4281</v>
      </c>
      <c r="B4819" s="20" t="s">
        <v>4019</v>
      </c>
    </row>
    <row r="4820" spans="1:2" x14ac:dyDescent="0.25">
      <c r="A4820" s="20" t="s">
        <v>4298</v>
      </c>
      <c r="B4820" s="20" t="s">
        <v>4019</v>
      </c>
    </row>
    <row r="4821" spans="1:2" x14ac:dyDescent="0.25">
      <c r="A4821" s="20" t="s">
        <v>4310</v>
      </c>
      <c r="B4821" s="20" t="s">
        <v>4019</v>
      </c>
    </row>
    <row r="4822" spans="1:2" x14ac:dyDescent="0.25">
      <c r="A4822" s="20" t="s">
        <v>4322</v>
      </c>
      <c r="B4822" s="20" t="s">
        <v>4019</v>
      </c>
    </row>
    <row r="4823" spans="1:2" x14ac:dyDescent="0.25">
      <c r="A4823" s="20" t="s">
        <v>4334</v>
      </c>
      <c r="B4823" s="20" t="s">
        <v>4019</v>
      </c>
    </row>
    <row r="4824" spans="1:2" x14ac:dyDescent="0.25">
      <c r="A4824" s="20" t="s">
        <v>4344</v>
      </c>
      <c r="B4824" s="20" t="s">
        <v>4019</v>
      </c>
    </row>
    <row r="4825" spans="1:2" x14ac:dyDescent="0.25">
      <c r="A4825" s="20" t="s">
        <v>4354</v>
      </c>
      <c r="B4825" s="20" t="s">
        <v>4019</v>
      </c>
    </row>
    <row r="4826" spans="1:2" x14ac:dyDescent="0.25">
      <c r="A4826" s="20" t="s">
        <v>4295</v>
      </c>
      <c r="B4826" s="20" t="s">
        <v>4019</v>
      </c>
    </row>
    <row r="4827" spans="1:2" x14ac:dyDescent="0.25">
      <c r="A4827" s="20">
        <v>12163074</v>
      </c>
      <c r="B4827" s="20" t="s">
        <v>4019</v>
      </c>
    </row>
    <row r="4828" spans="1:2" x14ac:dyDescent="0.25">
      <c r="A4828" s="20" t="s">
        <v>4377</v>
      </c>
      <c r="B4828" s="20" t="s">
        <v>4019</v>
      </c>
    </row>
    <row r="4829" spans="1:2" x14ac:dyDescent="0.25">
      <c r="A4829" s="20">
        <v>12158795</v>
      </c>
      <c r="B4829" s="20" t="s">
        <v>4019</v>
      </c>
    </row>
    <row r="4830" spans="1:2" x14ac:dyDescent="0.25">
      <c r="A4830" s="20" t="s">
        <v>4393</v>
      </c>
      <c r="B4830" s="20" t="s">
        <v>4019</v>
      </c>
    </row>
    <row r="4831" spans="1:2" x14ac:dyDescent="0.25">
      <c r="A4831" s="20" t="s">
        <v>4399</v>
      </c>
      <c r="B4831" s="20" t="s">
        <v>4019</v>
      </c>
    </row>
    <row r="4832" spans="1:2" x14ac:dyDescent="0.25">
      <c r="A4832" s="20" t="s">
        <v>4036</v>
      </c>
      <c r="B4832" s="20" t="s">
        <v>4019</v>
      </c>
    </row>
    <row r="4833" spans="1:2" x14ac:dyDescent="0.25">
      <c r="A4833" s="20" t="s">
        <v>4044</v>
      </c>
      <c r="B4833" s="20" t="s">
        <v>4019</v>
      </c>
    </row>
    <row r="4834" spans="1:2" x14ac:dyDescent="0.25">
      <c r="A4834" s="20" t="s">
        <v>4053</v>
      </c>
      <c r="B4834" s="20" t="s">
        <v>4019</v>
      </c>
    </row>
    <row r="4835" spans="1:2" x14ac:dyDescent="0.25">
      <c r="A4835" s="20" t="s">
        <v>4063</v>
      </c>
      <c r="B4835" s="20" t="s">
        <v>4019</v>
      </c>
    </row>
    <row r="4836" spans="1:2" x14ac:dyDescent="0.25">
      <c r="A4836" s="20" t="s">
        <v>4072</v>
      </c>
      <c r="B4836" s="20" t="s">
        <v>4019</v>
      </c>
    </row>
    <row r="4837" spans="1:2" x14ac:dyDescent="0.25">
      <c r="A4837" s="20" t="s">
        <v>4088</v>
      </c>
      <c r="B4837" s="20" t="s">
        <v>4019</v>
      </c>
    </row>
    <row r="4838" spans="1:2" x14ac:dyDescent="0.25">
      <c r="A4838" s="20" t="s">
        <v>4103</v>
      </c>
      <c r="B4838" s="20" t="s">
        <v>4019</v>
      </c>
    </row>
    <row r="4839" spans="1:2" x14ac:dyDescent="0.25">
      <c r="A4839" s="20">
        <v>-197974065</v>
      </c>
      <c r="B4839" s="20" t="s">
        <v>4019</v>
      </c>
    </row>
    <row r="4840" spans="1:2" x14ac:dyDescent="0.25">
      <c r="A4840" s="20" t="s">
        <v>4129</v>
      </c>
      <c r="B4840" s="20" t="s">
        <v>4019</v>
      </c>
    </row>
    <row r="4841" spans="1:2" x14ac:dyDescent="0.25">
      <c r="A4841" s="20" t="s">
        <v>4136</v>
      </c>
      <c r="B4841" s="20" t="s">
        <v>4019</v>
      </c>
    </row>
    <row r="4842" spans="1:2" x14ac:dyDescent="0.25">
      <c r="A4842" s="20" t="s">
        <v>4147</v>
      </c>
      <c r="B4842" s="20" t="s">
        <v>4019</v>
      </c>
    </row>
    <row r="4843" spans="1:2" x14ac:dyDescent="0.25">
      <c r="A4843" s="20">
        <v>145818800</v>
      </c>
      <c r="B4843" s="20" t="s">
        <v>4019</v>
      </c>
    </row>
    <row r="4844" spans="1:2" x14ac:dyDescent="0.25">
      <c r="A4844" s="20" t="s">
        <v>4178</v>
      </c>
      <c r="B4844" s="20" t="s">
        <v>4019</v>
      </c>
    </row>
    <row r="4845" spans="1:2" x14ac:dyDescent="0.25">
      <c r="A4845" s="20" t="s">
        <v>4146</v>
      </c>
      <c r="B4845" s="20" t="s">
        <v>4019</v>
      </c>
    </row>
    <row r="4846" spans="1:2" x14ac:dyDescent="0.25">
      <c r="A4846" s="20">
        <v>-12174962</v>
      </c>
      <c r="B4846" s="20" t="s">
        <v>4019</v>
      </c>
    </row>
    <row r="4847" spans="1:2" x14ac:dyDescent="0.25">
      <c r="A4847" s="20" t="s">
        <v>4177</v>
      </c>
      <c r="B4847" s="20" t="s">
        <v>4019</v>
      </c>
    </row>
    <row r="4848" spans="1:2" x14ac:dyDescent="0.25">
      <c r="A4848" s="20" t="s">
        <v>4195</v>
      </c>
      <c r="B4848" s="20" t="s">
        <v>4019</v>
      </c>
    </row>
    <row r="4849" spans="1:2" x14ac:dyDescent="0.25">
      <c r="A4849" s="20" t="s">
        <v>4209</v>
      </c>
      <c r="B4849" s="20" t="s">
        <v>4019</v>
      </c>
    </row>
    <row r="4850" spans="1:2" x14ac:dyDescent="0.25">
      <c r="A4850" s="20">
        <v>-377438344</v>
      </c>
      <c r="B4850" s="20" t="s">
        <v>4019</v>
      </c>
    </row>
    <row r="4851" spans="1:2" x14ac:dyDescent="0.25">
      <c r="A4851" s="20" t="s">
        <v>4228</v>
      </c>
      <c r="B4851" s="20" t="s">
        <v>4019</v>
      </c>
    </row>
    <row r="4852" spans="1:2" x14ac:dyDescent="0.25">
      <c r="A4852" s="20" t="s">
        <v>4237</v>
      </c>
      <c r="B4852" s="20" t="s">
        <v>4019</v>
      </c>
    </row>
    <row r="4853" spans="1:2" x14ac:dyDescent="0.25">
      <c r="A4853" s="20" t="s">
        <v>4249</v>
      </c>
      <c r="B4853" s="20" t="s">
        <v>4019</v>
      </c>
    </row>
    <row r="4854" spans="1:2" x14ac:dyDescent="0.25">
      <c r="A4854" s="20" t="s">
        <v>4258</v>
      </c>
      <c r="B4854" s="20" t="s">
        <v>4019</v>
      </c>
    </row>
    <row r="4855" spans="1:2" x14ac:dyDescent="0.25">
      <c r="A4855" s="20" t="s">
        <v>4266</v>
      </c>
      <c r="B4855" s="20" t="s">
        <v>4019</v>
      </c>
    </row>
    <row r="4856" spans="1:2" x14ac:dyDescent="0.25">
      <c r="A4856" s="20" t="s">
        <v>4276</v>
      </c>
      <c r="B4856" s="20" t="s">
        <v>4019</v>
      </c>
    </row>
    <row r="4857" spans="1:2" x14ac:dyDescent="0.25">
      <c r="A4857" s="20" t="s">
        <v>4292</v>
      </c>
      <c r="B4857" s="20" t="s">
        <v>4019</v>
      </c>
    </row>
    <row r="4858" spans="1:2" x14ac:dyDescent="0.25">
      <c r="A4858" s="20" t="s">
        <v>4305</v>
      </c>
      <c r="B4858" s="20" t="s">
        <v>4019</v>
      </c>
    </row>
    <row r="4859" spans="1:2" x14ac:dyDescent="0.25">
      <c r="A4859" s="20">
        <v>-12143825</v>
      </c>
      <c r="B4859" s="20" t="s">
        <v>4019</v>
      </c>
    </row>
    <row r="4860" spans="1:2" x14ac:dyDescent="0.25">
      <c r="A4860" s="20" t="s">
        <v>4329</v>
      </c>
      <c r="B4860" s="20" t="s">
        <v>4019</v>
      </c>
    </row>
    <row r="4861" spans="1:2" x14ac:dyDescent="0.25">
      <c r="A4861" s="20" t="s">
        <v>4339</v>
      </c>
      <c r="B4861" s="20" t="s">
        <v>4019</v>
      </c>
    </row>
    <row r="4862" spans="1:2" x14ac:dyDescent="0.25">
      <c r="A4862" s="20" t="s">
        <v>4349</v>
      </c>
      <c r="B4862" s="20" t="s">
        <v>4019</v>
      </c>
    </row>
    <row r="4863" spans="1:2" x14ac:dyDescent="0.25">
      <c r="A4863" s="20" t="s">
        <v>4358</v>
      </c>
      <c r="B4863" s="20" t="s">
        <v>4019</v>
      </c>
    </row>
    <row r="4864" spans="1:2" x14ac:dyDescent="0.25">
      <c r="A4864" s="20" t="s">
        <v>4366</v>
      </c>
      <c r="B4864" s="20" t="s">
        <v>4019</v>
      </c>
    </row>
    <row r="4865" spans="1:2" x14ac:dyDescent="0.25">
      <c r="A4865" s="20" t="s">
        <v>4372</v>
      </c>
      <c r="B4865" s="20" t="s">
        <v>4019</v>
      </c>
    </row>
    <row r="4866" spans="1:2" x14ac:dyDescent="0.25">
      <c r="A4866" s="20" t="s">
        <v>4380</v>
      </c>
      <c r="B4866" s="20" t="s">
        <v>4019</v>
      </c>
    </row>
    <row r="4867" spans="1:2" x14ac:dyDescent="0.25">
      <c r="A4867" s="20" t="s">
        <v>4388</v>
      </c>
      <c r="B4867" s="20" t="s">
        <v>4019</v>
      </c>
    </row>
    <row r="4868" spans="1:2" x14ac:dyDescent="0.25">
      <c r="A4868" s="20">
        <v>165303424</v>
      </c>
      <c r="B4868" s="20" t="s">
        <v>4019</v>
      </c>
    </row>
    <row r="4869" spans="1:2" x14ac:dyDescent="0.25">
      <c r="A4869" s="20" t="s">
        <v>4402</v>
      </c>
      <c r="B4869" s="20" t="s">
        <v>4019</v>
      </c>
    </row>
    <row r="4870" spans="1:2" x14ac:dyDescent="0.25">
      <c r="A4870" s="20" t="s">
        <v>4408</v>
      </c>
      <c r="B4870" s="20" t="s">
        <v>4019</v>
      </c>
    </row>
    <row r="4871" spans="1:2" x14ac:dyDescent="0.25">
      <c r="A4871" s="20" t="s">
        <v>4058</v>
      </c>
      <c r="B4871" s="20" t="s">
        <v>4019</v>
      </c>
    </row>
    <row r="4872" spans="1:2" x14ac:dyDescent="0.25">
      <c r="A4872" s="20" t="s">
        <v>4068</v>
      </c>
      <c r="B4872" s="20" t="s">
        <v>4019</v>
      </c>
    </row>
    <row r="4873" spans="1:2" x14ac:dyDescent="0.25">
      <c r="A4873" s="20" t="s">
        <v>4256</v>
      </c>
      <c r="B4873" s="20" t="s">
        <v>4019</v>
      </c>
    </row>
    <row r="4874" spans="1:2" x14ac:dyDescent="0.25">
      <c r="A4874" s="20">
        <v>423956980</v>
      </c>
      <c r="B4874" s="20" t="s">
        <v>4019</v>
      </c>
    </row>
    <row r="4875" spans="1:2" x14ac:dyDescent="0.25">
      <c r="A4875" s="20">
        <v>424824619</v>
      </c>
      <c r="B4875" s="20" t="s">
        <v>4019</v>
      </c>
    </row>
    <row r="4876" spans="1:2" x14ac:dyDescent="0.25">
      <c r="A4876" s="20">
        <v>424824620</v>
      </c>
      <c r="B4876" s="20" t="s">
        <v>4019</v>
      </c>
    </row>
    <row r="4877" spans="1:2" x14ac:dyDescent="0.25">
      <c r="A4877" s="20">
        <v>423956978</v>
      </c>
      <c r="B4877" s="20" t="s">
        <v>4019</v>
      </c>
    </row>
    <row r="4878" spans="1:2" x14ac:dyDescent="0.25">
      <c r="A4878" s="20">
        <v>49940589</v>
      </c>
      <c r="B4878" s="20" t="s">
        <v>4019</v>
      </c>
    </row>
    <row r="4879" spans="1:2" x14ac:dyDescent="0.25">
      <c r="A4879" s="20" t="s">
        <v>4203</v>
      </c>
      <c r="B4879" s="20" t="s">
        <v>4019</v>
      </c>
    </row>
    <row r="4880" spans="1:2" x14ac:dyDescent="0.25">
      <c r="A4880" s="20" t="s">
        <v>4213</v>
      </c>
      <c r="B4880" s="20" t="s">
        <v>4019</v>
      </c>
    </row>
    <row r="4881" spans="1:2" x14ac:dyDescent="0.25">
      <c r="A4881" s="20" t="s">
        <v>4223</v>
      </c>
      <c r="B4881" s="20" t="s">
        <v>4019</v>
      </c>
    </row>
    <row r="4882" spans="1:2" x14ac:dyDescent="0.25">
      <c r="A4882" s="20">
        <v>-424824620</v>
      </c>
      <c r="B4882" s="20" t="s">
        <v>4019</v>
      </c>
    </row>
    <row r="4883" spans="1:2" x14ac:dyDescent="0.25">
      <c r="A4883" s="20">
        <v>-424824619</v>
      </c>
      <c r="B4883" s="20" t="s">
        <v>4019</v>
      </c>
    </row>
    <row r="4884" spans="1:2" x14ac:dyDescent="0.25">
      <c r="A4884" s="20">
        <v>-423956982</v>
      </c>
      <c r="B4884" s="20" t="s">
        <v>4019</v>
      </c>
    </row>
    <row r="4885" spans="1:2" x14ac:dyDescent="0.25">
      <c r="A4885" s="20" t="s">
        <v>4109</v>
      </c>
      <c r="B4885" s="20" t="s">
        <v>4019</v>
      </c>
    </row>
    <row r="4886" spans="1:2" x14ac:dyDescent="0.25">
      <c r="A4886" s="20" t="s">
        <v>4272</v>
      </c>
      <c r="B4886" s="20" t="s">
        <v>4019</v>
      </c>
    </row>
    <row r="4887" spans="1:2" x14ac:dyDescent="0.25">
      <c r="A4887" s="20" t="s">
        <v>4284</v>
      </c>
      <c r="B4887" s="20" t="s">
        <v>4019</v>
      </c>
    </row>
    <row r="4888" spans="1:2" x14ac:dyDescent="0.25">
      <c r="A4888" s="20">
        <v>-424803245</v>
      </c>
      <c r="B4888" s="20" t="s">
        <v>4019</v>
      </c>
    </row>
    <row r="4889" spans="1:2" x14ac:dyDescent="0.25">
      <c r="A4889" s="20" t="s">
        <v>4312</v>
      </c>
      <c r="B4889" s="20" t="s">
        <v>4019</v>
      </c>
    </row>
    <row r="4890" spans="1:2" x14ac:dyDescent="0.25">
      <c r="A4890" s="20" t="s">
        <v>4325</v>
      </c>
      <c r="B4890" s="20" t="s">
        <v>4019</v>
      </c>
    </row>
    <row r="4891" spans="1:2" x14ac:dyDescent="0.25">
      <c r="A4891" s="20" t="s">
        <v>4336</v>
      </c>
      <c r="B4891" s="20" t="s">
        <v>4019</v>
      </c>
    </row>
    <row r="4892" spans="1:2" x14ac:dyDescent="0.25">
      <c r="A4892" s="20" t="s">
        <v>4346</v>
      </c>
      <c r="B4892" s="20" t="s">
        <v>4019</v>
      </c>
    </row>
    <row r="4893" spans="1:2" x14ac:dyDescent="0.25">
      <c r="A4893" s="20" t="s">
        <v>4356</v>
      </c>
      <c r="B4893" s="20" t="s">
        <v>4019</v>
      </c>
    </row>
    <row r="4894" spans="1:2" x14ac:dyDescent="0.25">
      <c r="A4894" s="20" t="s">
        <v>4364</v>
      </c>
      <c r="B4894" s="20" t="s">
        <v>4019</v>
      </c>
    </row>
    <row r="4895" spans="1:2" x14ac:dyDescent="0.25">
      <c r="A4895" s="20" t="s">
        <v>4371</v>
      </c>
      <c r="B4895" s="20" t="s">
        <v>4019</v>
      </c>
    </row>
    <row r="4896" spans="1:2" x14ac:dyDescent="0.25">
      <c r="A4896" s="20" t="s">
        <v>4378</v>
      </c>
      <c r="B4896" s="20" t="s">
        <v>4019</v>
      </c>
    </row>
    <row r="4897" spans="1:2" x14ac:dyDescent="0.25">
      <c r="A4897" s="20" t="s">
        <v>4386</v>
      </c>
      <c r="B4897" s="20" t="s">
        <v>4019</v>
      </c>
    </row>
    <row r="4898" spans="1:2" x14ac:dyDescent="0.25">
      <c r="A4898" s="20" t="s">
        <v>4394</v>
      </c>
      <c r="B4898" s="20" t="s">
        <v>4019</v>
      </c>
    </row>
    <row r="4899" spans="1:2" x14ac:dyDescent="0.25">
      <c r="A4899" s="20" t="s">
        <v>4400</v>
      </c>
      <c r="B4899" s="20" t="s">
        <v>4019</v>
      </c>
    </row>
    <row r="4900" spans="1:2" x14ac:dyDescent="0.25">
      <c r="A4900" s="20" t="s">
        <v>4406</v>
      </c>
      <c r="B4900" s="20" t="s">
        <v>4019</v>
      </c>
    </row>
    <row r="4901" spans="1:2" x14ac:dyDescent="0.25">
      <c r="A4901" s="20" t="s">
        <v>4337</v>
      </c>
      <c r="B4901" s="20" t="s">
        <v>4019</v>
      </c>
    </row>
    <row r="4902" spans="1:2" x14ac:dyDescent="0.25">
      <c r="A4902" s="20" t="s">
        <v>4347</v>
      </c>
      <c r="B4902" s="20" t="s">
        <v>4019</v>
      </c>
    </row>
    <row r="4903" spans="1:2" x14ac:dyDescent="0.25">
      <c r="A4903" s="20" t="s">
        <v>4357</v>
      </c>
      <c r="B4903" s="20" t="s">
        <v>4019</v>
      </c>
    </row>
    <row r="4904" spans="1:2" x14ac:dyDescent="0.25">
      <c r="A4904" s="20" t="s">
        <v>4365</v>
      </c>
      <c r="B4904" s="20" t="s">
        <v>4019</v>
      </c>
    </row>
    <row r="4905" spans="1:2" x14ac:dyDescent="0.25">
      <c r="A4905" s="20">
        <v>49940353</v>
      </c>
      <c r="B4905" s="20" t="s">
        <v>4019</v>
      </c>
    </row>
    <row r="4906" spans="1:2" x14ac:dyDescent="0.25">
      <c r="A4906" s="20" t="s">
        <v>4379</v>
      </c>
      <c r="B4906" s="20" t="s">
        <v>4019</v>
      </c>
    </row>
    <row r="4907" spans="1:2" x14ac:dyDescent="0.25">
      <c r="A4907" s="20" t="s">
        <v>4387</v>
      </c>
      <c r="B4907" s="20" t="s">
        <v>4019</v>
      </c>
    </row>
    <row r="4908" spans="1:2" x14ac:dyDescent="0.25">
      <c r="A4908" s="20" t="s">
        <v>4395</v>
      </c>
      <c r="B4908" s="20" t="s">
        <v>4019</v>
      </c>
    </row>
    <row r="4909" spans="1:2" x14ac:dyDescent="0.25">
      <c r="A4909" s="20" t="s">
        <v>4401</v>
      </c>
      <c r="B4909" s="20" t="s">
        <v>4019</v>
      </c>
    </row>
    <row r="4910" spans="1:2" x14ac:dyDescent="0.25">
      <c r="A4910" s="20" t="s">
        <v>4458</v>
      </c>
      <c r="B4910" s="20" t="s">
        <v>4019</v>
      </c>
    </row>
    <row r="4911" spans="1:2" x14ac:dyDescent="0.25">
      <c r="A4911" s="20">
        <v>12189483</v>
      </c>
      <c r="B4911" s="20" t="s">
        <v>4019</v>
      </c>
    </row>
    <row r="4912" spans="1:2" x14ac:dyDescent="0.25">
      <c r="A4912" s="20">
        <v>12132974</v>
      </c>
      <c r="B4912" s="20" t="s">
        <v>4019</v>
      </c>
    </row>
    <row r="4913" spans="1:2" x14ac:dyDescent="0.25">
      <c r="A4913" s="20" t="s">
        <v>4472</v>
      </c>
      <c r="B4913" s="20" t="s">
        <v>4019</v>
      </c>
    </row>
    <row r="4914" spans="1:2" x14ac:dyDescent="0.25">
      <c r="A4914" s="20" t="s">
        <v>4439</v>
      </c>
      <c r="B4914" s="20" t="s">
        <v>4019</v>
      </c>
    </row>
    <row r="4915" spans="1:2" x14ac:dyDescent="0.25">
      <c r="A4915" s="20" t="s">
        <v>4198</v>
      </c>
      <c r="B4915" s="20" t="s">
        <v>4019</v>
      </c>
    </row>
    <row r="4916" spans="1:2" x14ac:dyDescent="0.25">
      <c r="A4916" s="20" t="s">
        <v>4020</v>
      </c>
      <c r="B4916" s="20" t="s">
        <v>4020</v>
      </c>
    </row>
    <row r="4917" spans="1:2" x14ac:dyDescent="0.25">
      <c r="A4917" s="20" t="s">
        <v>4030</v>
      </c>
      <c r="B4917" s="20" t="s">
        <v>4020</v>
      </c>
    </row>
    <row r="4918" spans="1:2" x14ac:dyDescent="0.25">
      <c r="A4918" s="20" t="s">
        <v>4033</v>
      </c>
      <c r="B4918" s="20" t="s">
        <v>4020</v>
      </c>
    </row>
    <row r="4919" spans="1:2" x14ac:dyDescent="0.25">
      <c r="A4919" s="20" t="s">
        <v>4038</v>
      </c>
      <c r="B4919" s="20" t="s">
        <v>4020</v>
      </c>
    </row>
    <row r="4920" spans="1:2" x14ac:dyDescent="0.25">
      <c r="A4920" s="20" t="s">
        <v>4047</v>
      </c>
      <c r="B4920" s="20" t="s">
        <v>4020</v>
      </c>
    </row>
    <row r="4921" spans="1:2" x14ac:dyDescent="0.25">
      <c r="A4921" s="20" t="s">
        <v>4057</v>
      </c>
      <c r="B4921" s="20" t="s">
        <v>4020</v>
      </c>
    </row>
    <row r="4922" spans="1:2" x14ac:dyDescent="0.25">
      <c r="A4922" s="20" t="s">
        <v>4067</v>
      </c>
      <c r="B4922" s="20" t="s">
        <v>4020</v>
      </c>
    </row>
    <row r="4923" spans="1:2" x14ac:dyDescent="0.25">
      <c r="A4923" s="20" t="s">
        <v>4077</v>
      </c>
      <c r="B4923" s="20" t="s">
        <v>4020</v>
      </c>
    </row>
    <row r="4924" spans="1:2" x14ac:dyDescent="0.25">
      <c r="A4924" s="20" t="s">
        <v>4094</v>
      </c>
      <c r="B4924" s="20" t="s">
        <v>4020</v>
      </c>
    </row>
    <row r="4925" spans="1:2" x14ac:dyDescent="0.25">
      <c r="A4925" s="20" t="s">
        <v>4108</v>
      </c>
      <c r="B4925" s="20" t="s">
        <v>4020</v>
      </c>
    </row>
    <row r="4926" spans="1:2" x14ac:dyDescent="0.25">
      <c r="A4926" s="20" t="s">
        <v>4121</v>
      </c>
      <c r="B4926" s="20" t="s">
        <v>4020</v>
      </c>
    </row>
    <row r="4927" spans="1:2" x14ac:dyDescent="0.25">
      <c r="A4927" s="20">
        <v>196358965</v>
      </c>
      <c r="B4927" s="20" t="s">
        <v>4020</v>
      </c>
    </row>
    <row r="4928" spans="1:2" x14ac:dyDescent="0.25">
      <c r="A4928" s="20" t="s">
        <v>4139</v>
      </c>
      <c r="B4928" s="20" t="s">
        <v>4020</v>
      </c>
    </row>
    <row r="4929" spans="1:2" x14ac:dyDescent="0.25">
      <c r="A4929" s="20" t="s">
        <v>4150</v>
      </c>
      <c r="B4929" s="20" t="s">
        <v>4020</v>
      </c>
    </row>
    <row r="4930" spans="1:2" x14ac:dyDescent="0.25">
      <c r="A4930" s="20" t="s">
        <v>4164</v>
      </c>
      <c r="B4930" s="20" t="s">
        <v>4020</v>
      </c>
    </row>
    <row r="4931" spans="1:2" x14ac:dyDescent="0.25">
      <c r="A4931" s="20" t="s">
        <v>4183</v>
      </c>
      <c r="B4931" s="20" t="s">
        <v>4020</v>
      </c>
    </row>
    <row r="4932" spans="1:2" x14ac:dyDescent="0.25">
      <c r="A4932" s="20" t="s">
        <v>4199</v>
      </c>
      <c r="B4932" s="20" t="s">
        <v>4020</v>
      </c>
    </row>
    <row r="4933" spans="1:2" x14ac:dyDescent="0.25">
      <c r="A4933" s="20" t="s">
        <v>4211</v>
      </c>
      <c r="B4933" s="20" t="s">
        <v>4020</v>
      </c>
    </row>
    <row r="4934" spans="1:2" x14ac:dyDescent="0.25">
      <c r="A4934" s="20" t="s">
        <v>4222</v>
      </c>
      <c r="B4934" s="20" t="s">
        <v>4020</v>
      </c>
    </row>
    <row r="4935" spans="1:2" x14ac:dyDescent="0.25">
      <c r="A4935" s="20">
        <v>423972761</v>
      </c>
      <c r="B4935" s="20" t="s">
        <v>4020</v>
      </c>
    </row>
    <row r="4936" spans="1:2" x14ac:dyDescent="0.25">
      <c r="A4936" s="20" t="s">
        <v>4240</v>
      </c>
      <c r="B4936" s="20" t="s">
        <v>4020</v>
      </c>
    </row>
    <row r="4937" spans="1:2" x14ac:dyDescent="0.25">
      <c r="A4937" s="20" t="s">
        <v>4252</v>
      </c>
      <c r="B4937" s="20" t="s">
        <v>4020</v>
      </c>
    </row>
    <row r="4938" spans="1:2" x14ac:dyDescent="0.25">
      <c r="A4938" s="20" t="s">
        <v>4260</v>
      </c>
      <c r="B4938" s="20" t="s">
        <v>4020</v>
      </c>
    </row>
    <row r="4939" spans="1:2" x14ac:dyDescent="0.25">
      <c r="A4939" s="20" t="s">
        <v>4270</v>
      </c>
      <c r="B4939" s="20" t="s">
        <v>4020</v>
      </c>
    </row>
    <row r="4940" spans="1:2" x14ac:dyDescent="0.25">
      <c r="A4940" s="20" t="s">
        <v>4281</v>
      </c>
      <c r="B4940" s="20" t="s">
        <v>4020</v>
      </c>
    </row>
    <row r="4941" spans="1:2" x14ac:dyDescent="0.25">
      <c r="A4941" s="20" t="s">
        <v>4298</v>
      </c>
      <c r="B4941" s="20" t="s">
        <v>4020</v>
      </c>
    </row>
    <row r="4942" spans="1:2" x14ac:dyDescent="0.25">
      <c r="A4942" s="20" t="s">
        <v>4310</v>
      </c>
      <c r="B4942" s="20" t="s">
        <v>4020</v>
      </c>
    </row>
    <row r="4943" spans="1:2" x14ac:dyDescent="0.25">
      <c r="A4943" s="20" t="s">
        <v>4322</v>
      </c>
      <c r="B4943" s="20" t="s">
        <v>4020</v>
      </c>
    </row>
    <row r="4944" spans="1:2" x14ac:dyDescent="0.25">
      <c r="A4944" s="20" t="s">
        <v>4334</v>
      </c>
      <c r="B4944" s="20" t="s">
        <v>4020</v>
      </c>
    </row>
    <row r="4945" spans="1:2" x14ac:dyDescent="0.25">
      <c r="A4945" s="20" t="s">
        <v>4344</v>
      </c>
      <c r="B4945" s="20" t="s">
        <v>4020</v>
      </c>
    </row>
    <row r="4946" spans="1:2" x14ac:dyDescent="0.25">
      <c r="A4946" s="20" t="s">
        <v>4354</v>
      </c>
      <c r="B4946" s="20" t="s">
        <v>4020</v>
      </c>
    </row>
    <row r="4947" spans="1:2" x14ac:dyDescent="0.25">
      <c r="A4947" s="20" t="s">
        <v>4295</v>
      </c>
      <c r="B4947" s="20" t="s">
        <v>4020</v>
      </c>
    </row>
    <row r="4948" spans="1:2" x14ac:dyDescent="0.25">
      <c r="A4948" s="20">
        <v>12163074</v>
      </c>
      <c r="B4948" s="20" t="s">
        <v>4020</v>
      </c>
    </row>
    <row r="4949" spans="1:2" x14ac:dyDescent="0.25">
      <c r="A4949" s="20" t="s">
        <v>4377</v>
      </c>
      <c r="B4949" s="20" t="s">
        <v>4020</v>
      </c>
    </row>
    <row r="4950" spans="1:2" x14ac:dyDescent="0.25">
      <c r="A4950" s="20">
        <v>12158795</v>
      </c>
      <c r="B4950" s="20" t="s">
        <v>4020</v>
      </c>
    </row>
    <row r="4951" spans="1:2" x14ac:dyDescent="0.25">
      <c r="A4951" s="20" t="s">
        <v>4393</v>
      </c>
      <c r="B4951" s="20" t="s">
        <v>4020</v>
      </c>
    </row>
    <row r="4952" spans="1:2" x14ac:dyDescent="0.25">
      <c r="A4952" s="20" t="s">
        <v>4399</v>
      </c>
      <c r="B4952" s="20" t="s">
        <v>4020</v>
      </c>
    </row>
    <row r="4953" spans="1:2" x14ac:dyDescent="0.25">
      <c r="A4953" s="20" t="s">
        <v>4036</v>
      </c>
      <c r="B4953" s="20" t="s">
        <v>4020</v>
      </c>
    </row>
    <row r="4954" spans="1:2" x14ac:dyDescent="0.25">
      <c r="A4954" s="20" t="s">
        <v>4044</v>
      </c>
      <c r="B4954" s="20" t="s">
        <v>4020</v>
      </c>
    </row>
    <row r="4955" spans="1:2" x14ac:dyDescent="0.25">
      <c r="A4955" s="20" t="s">
        <v>4053</v>
      </c>
      <c r="B4955" s="20" t="s">
        <v>4020</v>
      </c>
    </row>
    <row r="4956" spans="1:2" x14ac:dyDescent="0.25">
      <c r="A4956" s="20" t="s">
        <v>4063</v>
      </c>
      <c r="B4956" s="20" t="s">
        <v>4020</v>
      </c>
    </row>
    <row r="4957" spans="1:2" x14ac:dyDescent="0.25">
      <c r="A4957" s="20" t="s">
        <v>4072</v>
      </c>
      <c r="B4957" s="20" t="s">
        <v>4020</v>
      </c>
    </row>
    <row r="4958" spans="1:2" x14ac:dyDescent="0.25">
      <c r="A4958" s="20" t="s">
        <v>4088</v>
      </c>
      <c r="B4958" s="20" t="s">
        <v>4020</v>
      </c>
    </row>
    <row r="4959" spans="1:2" x14ac:dyDescent="0.25">
      <c r="A4959" s="20" t="s">
        <v>4103</v>
      </c>
      <c r="B4959" s="20" t="s">
        <v>4020</v>
      </c>
    </row>
    <row r="4960" spans="1:2" x14ac:dyDescent="0.25">
      <c r="A4960" s="20">
        <v>-197974065</v>
      </c>
      <c r="B4960" s="20" t="s">
        <v>4020</v>
      </c>
    </row>
    <row r="4961" spans="1:2" x14ac:dyDescent="0.25">
      <c r="A4961" s="20" t="s">
        <v>4129</v>
      </c>
      <c r="B4961" s="20" t="s">
        <v>4020</v>
      </c>
    </row>
    <row r="4962" spans="1:2" x14ac:dyDescent="0.25">
      <c r="A4962" s="20" t="s">
        <v>4136</v>
      </c>
      <c r="B4962" s="20" t="s">
        <v>4020</v>
      </c>
    </row>
    <row r="4963" spans="1:2" x14ac:dyDescent="0.25">
      <c r="A4963" s="20" t="s">
        <v>4147</v>
      </c>
      <c r="B4963" s="20" t="s">
        <v>4020</v>
      </c>
    </row>
    <row r="4964" spans="1:2" x14ac:dyDescent="0.25">
      <c r="A4964" s="20">
        <v>145818800</v>
      </c>
      <c r="B4964" s="20" t="s">
        <v>4020</v>
      </c>
    </row>
    <row r="4965" spans="1:2" x14ac:dyDescent="0.25">
      <c r="A4965" s="20" t="s">
        <v>4178</v>
      </c>
      <c r="B4965" s="20" t="s">
        <v>4020</v>
      </c>
    </row>
    <row r="4966" spans="1:2" x14ac:dyDescent="0.25">
      <c r="A4966" s="20" t="s">
        <v>4146</v>
      </c>
      <c r="B4966" s="20" t="s">
        <v>4020</v>
      </c>
    </row>
    <row r="4967" spans="1:2" x14ac:dyDescent="0.25">
      <c r="A4967" s="20">
        <v>-12174962</v>
      </c>
      <c r="B4967" s="20" t="s">
        <v>4020</v>
      </c>
    </row>
    <row r="4968" spans="1:2" x14ac:dyDescent="0.25">
      <c r="A4968" s="20" t="s">
        <v>4177</v>
      </c>
      <c r="B4968" s="20" t="s">
        <v>4020</v>
      </c>
    </row>
    <row r="4969" spans="1:2" x14ac:dyDescent="0.25">
      <c r="A4969" s="20" t="s">
        <v>4195</v>
      </c>
      <c r="B4969" s="20" t="s">
        <v>4020</v>
      </c>
    </row>
    <row r="4970" spans="1:2" x14ac:dyDescent="0.25">
      <c r="A4970" s="20" t="s">
        <v>4209</v>
      </c>
      <c r="B4970" s="20" t="s">
        <v>4020</v>
      </c>
    </row>
    <row r="4971" spans="1:2" x14ac:dyDescent="0.25">
      <c r="A4971" s="20">
        <v>-377438344</v>
      </c>
      <c r="B4971" s="20" t="s">
        <v>4020</v>
      </c>
    </row>
    <row r="4972" spans="1:2" x14ac:dyDescent="0.25">
      <c r="A4972" s="20" t="s">
        <v>4228</v>
      </c>
      <c r="B4972" s="20" t="s">
        <v>4020</v>
      </c>
    </row>
    <row r="4973" spans="1:2" x14ac:dyDescent="0.25">
      <c r="A4973" s="20" t="s">
        <v>4237</v>
      </c>
      <c r="B4973" s="20" t="s">
        <v>4020</v>
      </c>
    </row>
    <row r="4974" spans="1:2" x14ac:dyDescent="0.25">
      <c r="A4974" s="20" t="s">
        <v>4249</v>
      </c>
      <c r="B4974" s="20" t="s">
        <v>4020</v>
      </c>
    </row>
    <row r="4975" spans="1:2" x14ac:dyDescent="0.25">
      <c r="A4975" s="20" t="s">
        <v>4258</v>
      </c>
      <c r="B4975" s="20" t="s">
        <v>4020</v>
      </c>
    </row>
    <row r="4976" spans="1:2" x14ac:dyDescent="0.25">
      <c r="A4976" s="20" t="s">
        <v>4266</v>
      </c>
      <c r="B4976" s="20" t="s">
        <v>4020</v>
      </c>
    </row>
    <row r="4977" spans="1:2" x14ac:dyDescent="0.25">
      <c r="A4977" s="20" t="s">
        <v>4276</v>
      </c>
      <c r="B4977" s="20" t="s">
        <v>4020</v>
      </c>
    </row>
    <row r="4978" spans="1:2" x14ac:dyDescent="0.25">
      <c r="A4978" s="20" t="s">
        <v>4292</v>
      </c>
      <c r="B4978" s="20" t="s">
        <v>4020</v>
      </c>
    </row>
    <row r="4979" spans="1:2" x14ac:dyDescent="0.25">
      <c r="A4979" s="20" t="s">
        <v>4305</v>
      </c>
      <c r="B4979" s="20" t="s">
        <v>4020</v>
      </c>
    </row>
    <row r="4980" spans="1:2" x14ac:dyDescent="0.25">
      <c r="A4980" s="20">
        <v>-12143825</v>
      </c>
      <c r="B4980" s="20" t="s">
        <v>4020</v>
      </c>
    </row>
    <row r="4981" spans="1:2" x14ac:dyDescent="0.25">
      <c r="A4981" s="20" t="s">
        <v>4329</v>
      </c>
      <c r="B4981" s="20" t="s">
        <v>4020</v>
      </c>
    </row>
    <row r="4982" spans="1:2" x14ac:dyDescent="0.25">
      <c r="A4982" s="20" t="s">
        <v>4339</v>
      </c>
      <c r="B4982" s="20" t="s">
        <v>4020</v>
      </c>
    </row>
    <row r="4983" spans="1:2" x14ac:dyDescent="0.25">
      <c r="A4983" s="20" t="s">
        <v>4349</v>
      </c>
      <c r="B4983" s="20" t="s">
        <v>4020</v>
      </c>
    </row>
    <row r="4984" spans="1:2" x14ac:dyDescent="0.25">
      <c r="A4984" s="20" t="s">
        <v>4358</v>
      </c>
      <c r="B4984" s="20" t="s">
        <v>4020</v>
      </c>
    </row>
    <row r="4985" spans="1:2" x14ac:dyDescent="0.25">
      <c r="A4985" s="20" t="s">
        <v>4366</v>
      </c>
      <c r="B4985" s="20" t="s">
        <v>4020</v>
      </c>
    </row>
    <row r="4986" spans="1:2" x14ac:dyDescent="0.25">
      <c r="A4986" s="20" t="s">
        <v>4372</v>
      </c>
      <c r="B4986" s="20" t="s">
        <v>4020</v>
      </c>
    </row>
    <row r="4987" spans="1:2" x14ac:dyDescent="0.25">
      <c r="A4987" s="20" t="s">
        <v>4380</v>
      </c>
      <c r="B4987" s="20" t="s">
        <v>4020</v>
      </c>
    </row>
    <row r="4988" spans="1:2" x14ac:dyDescent="0.25">
      <c r="A4988" s="20" t="s">
        <v>4388</v>
      </c>
      <c r="B4988" s="20" t="s">
        <v>4020</v>
      </c>
    </row>
    <row r="4989" spans="1:2" x14ac:dyDescent="0.25">
      <c r="A4989" s="20">
        <v>165303424</v>
      </c>
      <c r="B4989" s="20" t="s">
        <v>4020</v>
      </c>
    </row>
    <row r="4990" spans="1:2" x14ac:dyDescent="0.25">
      <c r="A4990" s="20" t="s">
        <v>4402</v>
      </c>
      <c r="B4990" s="20" t="s">
        <v>4020</v>
      </c>
    </row>
    <row r="4991" spans="1:2" x14ac:dyDescent="0.25">
      <c r="A4991" s="20" t="s">
        <v>4408</v>
      </c>
      <c r="B4991" s="20" t="s">
        <v>4020</v>
      </c>
    </row>
    <row r="4992" spans="1:2" x14ac:dyDescent="0.25">
      <c r="A4992" s="20" t="s">
        <v>4058</v>
      </c>
      <c r="B4992" s="20" t="s">
        <v>4020</v>
      </c>
    </row>
    <row r="4993" spans="1:2" x14ac:dyDescent="0.25">
      <c r="A4993" s="20" t="s">
        <v>4068</v>
      </c>
      <c r="B4993" s="20" t="s">
        <v>4020</v>
      </c>
    </row>
    <row r="4994" spans="1:2" x14ac:dyDescent="0.25">
      <c r="A4994" s="20" t="s">
        <v>4256</v>
      </c>
      <c r="B4994" s="20" t="s">
        <v>4020</v>
      </c>
    </row>
    <row r="4995" spans="1:2" x14ac:dyDescent="0.25">
      <c r="A4995" s="20">
        <v>423956980</v>
      </c>
      <c r="B4995" s="20" t="s">
        <v>4020</v>
      </c>
    </row>
    <row r="4996" spans="1:2" x14ac:dyDescent="0.25">
      <c r="A4996" s="20">
        <v>424824619</v>
      </c>
      <c r="B4996" s="20" t="s">
        <v>4020</v>
      </c>
    </row>
    <row r="4997" spans="1:2" x14ac:dyDescent="0.25">
      <c r="A4997" s="20">
        <v>424824620</v>
      </c>
      <c r="B4997" s="20" t="s">
        <v>4020</v>
      </c>
    </row>
    <row r="4998" spans="1:2" x14ac:dyDescent="0.25">
      <c r="A4998" s="20">
        <v>423956978</v>
      </c>
      <c r="B4998" s="20" t="s">
        <v>4020</v>
      </c>
    </row>
    <row r="4999" spans="1:2" x14ac:dyDescent="0.25">
      <c r="A4999" s="20">
        <v>49940589</v>
      </c>
      <c r="B4999" s="20" t="s">
        <v>4020</v>
      </c>
    </row>
    <row r="5000" spans="1:2" x14ac:dyDescent="0.25">
      <c r="A5000" s="20" t="s">
        <v>4203</v>
      </c>
      <c r="B5000" s="20" t="s">
        <v>4020</v>
      </c>
    </row>
    <row r="5001" spans="1:2" x14ac:dyDescent="0.25">
      <c r="A5001" s="20" t="s">
        <v>4213</v>
      </c>
      <c r="B5001" s="20" t="s">
        <v>4020</v>
      </c>
    </row>
    <row r="5002" spans="1:2" x14ac:dyDescent="0.25">
      <c r="A5002" s="20" t="s">
        <v>4223</v>
      </c>
      <c r="B5002" s="20" t="s">
        <v>4020</v>
      </c>
    </row>
    <row r="5003" spans="1:2" x14ac:dyDescent="0.25">
      <c r="A5003" s="20">
        <v>-424824620</v>
      </c>
      <c r="B5003" s="20" t="s">
        <v>4020</v>
      </c>
    </row>
    <row r="5004" spans="1:2" x14ac:dyDescent="0.25">
      <c r="A5004" s="20">
        <v>-424824619</v>
      </c>
      <c r="B5004" s="20" t="s">
        <v>4020</v>
      </c>
    </row>
    <row r="5005" spans="1:2" x14ac:dyDescent="0.25">
      <c r="A5005" s="20">
        <v>-423956982</v>
      </c>
      <c r="B5005" s="20" t="s">
        <v>4020</v>
      </c>
    </row>
    <row r="5006" spans="1:2" x14ac:dyDescent="0.25">
      <c r="A5006" s="20" t="s">
        <v>4109</v>
      </c>
      <c r="B5006" s="20" t="s">
        <v>4020</v>
      </c>
    </row>
    <row r="5007" spans="1:2" x14ac:dyDescent="0.25">
      <c r="A5007" s="20" t="s">
        <v>4122</v>
      </c>
      <c r="B5007" s="20" t="s">
        <v>4020</v>
      </c>
    </row>
    <row r="5008" spans="1:2" x14ac:dyDescent="0.25">
      <c r="A5008" s="20" t="s">
        <v>4290</v>
      </c>
      <c r="B5008" s="20" t="s">
        <v>4020</v>
      </c>
    </row>
    <row r="5009" spans="1:2" x14ac:dyDescent="0.25">
      <c r="A5009" s="20" t="s">
        <v>4303</v>
      </c>
      <c r="B5009" s="20" t="s">
        <v>4020</v>
      </c>
    </row>
    <row r="5010" spans="1:2" x14ac:dyDescent="0.25">
      <c r="A5010" s="20" t="s">
        <v>4316</v>
      </c>
      <c r="B5010" s="20" t="s">
        <v>4020</v>
      </c>
    </row>
    <row r="5011" spans="1:2" x14ac:dyDescent="0.25">
      <c r="A5011" s="20" t="s">
        <v>4286</v>
      </c>
      <c r="B5011" s="20" t="s">
        <v>4020</v>
      </c>
    </row>
    <row r="5012" spans="1:2" x14ac:dyDescent="0.25">
      <c r="A5012" s="20" t="s">
        <v>4175</v>
      </c>
      <c r="B5012" s="20" t="s">
        <v>4020</v>
      </c>
    </row>
    <row r="5013" spans="1:2" x14ac:dyDescent="0.25">
      <c r="A5013" s="20" t="s">
        <v>4155</v>
      </c>
      <c r="B5013" s="20" t="s">
        <v>4020</v>
      </c>
    </row>
    <row r="5014" spans="1:2" x14ac:dyDescent="0.25">
      <c r="A5014" s="20" t="s">
        <v>4169</v>
      </c>
      <c r="B5014" s="20" t="s">
        <v>4020</v>
      </c>
    </row>
    <row r="5015" spans="1:2" x14ac:dyDescent="0.25">
      <c r="A5015" s="20" t="s">
        <v>4218</v>
      </c>
      <c r="B5015" s="20" t="s">
        <v>4020</v>
      </c>
    </row>
    <row r="5016" spans="1:2" x14ac:dyDescent="0.25">
      <c r="A5016" s="20" t="s">
        <v>4227</v>
      </c>
      <c r="B5016" s="20" t="s">
        <v>4020</v>
      </c>
    </row>
    <row r="5017" spans="1:2" x14ac:dyDescent="0.25">
      <c r="A5017" s="20" t="s">
        <v>4235</v>
      </c>
      <c r="B5017" s="20" t="s">
        <v>4020</v>
      </c>
    </row>
    <row r="5018" spans="1:2" x14ac:dyDescent="0.25">
      <c r="A5018" s="20" t="s">
        <v>4317</v>
      </c>
      <c r="B5018" s="20" t="s">
        <v>4020</v>
      </c>
    </row>
    <row r="5019" spans="1:2" x14ac:dyDescent="0.25">
      <c r="A5019" s="20" t="s">
        <v>4283</v>
      </c>
      <c r="B5019" s="20" t="s">
        <v>4020</v>
      </c>
    </row>
    <row r="5020" spans="1:2" x14ac:dyDescent="0.25">
      <c r="A5020" s="20">
        <v>377438344</v>
      </c>
      <c r="B5020" s="20" t="s">
        <v>4020</v>
      </c>
    </row>
    <row r="5021" spans="1:2" x14ac:dyDescent="0.25">
      <c r="A5021" s="20" t="s">
        <v>4311</v>
      </c>
      <c r="B5021" s="20" t="s">
        <v>4020</v>
      </c>
    </row>
    <row r="5022" spans="1:2" x14ac:dyDescent="0.25">
      <c r="A5022" s="20" t="s">
        <v>4324</v>
      </c>
      <c r="B5022" s="20" t="s">
        <v>4020</v>
      </c>
    </row>
    <row r="5023" spans="1:2" x14ac:dyDescent="0.25">
      <c r="A5023" s="20" t="s">
        <v>4335</v>
      </c>
      <c r="B5023" s="20" t="s">
        <v>4020</v>
      </c>
    </row>
    <row r="5024" spans="1:2" x14ac:dyDescent="0.25">
      <c r="A5024" s="20" t="s">
        <v>4345</v>
      </c>
      <c r="B5024" s="20" t="s">
        <v>4020</v>
      </c>
    </row>
    <row r="5025" spans="1:2" x14ac:dyDescent="0.25">
      <c r="A5025" s="20" t="s">
        <v>4355</v>
      </c>
      <c r="B5025" s="20" t="s">
        <v>4020</v>
      </c>
    </row>
    <row r="5026" spans="1:2" x14ac:dyDescent="0.25">
      <c r="A5026" s="20" t="s">
        <v>4226</v>
      </c>
      <c r="B5026" s="20" t="s">
        <v>4020</v>
      </c>
    </row>
    <row r="5027" spans="1:2" x14ac:dyDescent="0.25">
      <c r="A5027" s="20" t="s">
        <v>4234</v>
      </c>
      <c r="B5027" s="20" t="s">
        <v>4020</v>
      </c>
    </row>
    <row r="5028" spans="1:2" x14ac:dyDescent="0.25">
      <c r="A5028" s="20" t="s">
        <v>4246</v>
      </c>
      <c r="B5028" s="20" t="s">
        <v>4020</v>
      </c>
    </row>
    <row r="5029" spans="1:2" x14ac:dyDescent="0.25">
      <c r="A5029" s="20" t="s">
        <v>4111</v>
      </c>
      <c r="B5029" s="20" t="s">
        <v>4020</v>
      </c>
    </row>
    <row r="5030" spans="1:2" x14ac:dyDescent="0.25">
      <c r="A5030" s="20" t="s">
        <v>4124</v>
      </c>
      <c r="B5030" s="20" t="s">
        <v>4020</v>
      </c>
    </row>
    <row r="5031" spans="1:2" x14ac:dyDescent="0.25">
      <c r="A5031" s="20" t="s">
        <v>4134</v>
      </c>
      <c r="B5031" s="20" t="s">
        <v>4020</v>
      </c>
    </row>
    <row r="5032" spans="1:2" x14ac:dyDescent="0.25">
      <c r="A5032" s="20" t="s">
        <v>4141</v>
      </c>
      <c r="B5032" s="20" t="s">
        <v>4020</v>
      </c>
    </row>
    <row r="5033" spans="1:2" x14ac:dyDescent="0.25">
      <c r="A5033" s="20" t="s">
        <v>4411</v>
      </c>
      <c r="B5033" s="20" t="s">
        <v>4020</v>
      </c>
    </row>
    <row r="5034" spans="1:2" x14ac:dyDescent="0.25">
      <c r="A5034" s="20" t="s">
        <v>4416</v>
      </c>
      <c r="B5034" s="20" t="s">
        <v>4020</v>
      </c>
    </row>
    <row r="5035" spans="1:2" x14ac:dyDescent="0.25">
      <c r="A5035" s="20" t="s">
        <v>4420</v>
      </c>
      <c r="B5035" s="20" t="s">
        <v>4020</v>
      </c>
    </row>
    <row r="5036" spans="1:2" x14ac:dyDescent="0.25">
      <c r="A5036" s="20" t="s">
        <v>4426</v>
      </c>
      <c r="B5036" s="20" t="s">
        <v>4020</v>
      </c>
    </row>
    <row r="5037" spans="1:2" x14ac:dyDescent="0.25">
      <c r="A5037" s="20" t="s">
        <v>4432</v>
      </c>
      <c r="B5037" s="20" t="s">
        <v>4020</v>
      </c>
    </row>
    <row r="5038" spans="1:2" x14ac:dyDescent="0.25">
      <c r="A5038" s="20" t="s">
        <v>4167</v>
      </c>
      <c r="B5038" s="20" t="s">
        <v>4020</v>
      </c>
    </row>
    <row r="5039" spans="1:2" x14ac:dyDescent="0.25">
      <c r="A5039" s="20" t="s">
        <v>4186</v>
      </c>
      <c r="B5039" s="20" t="s">
        <v>4020</v>
      </c>
    </row>
    <row r="5040" spans="1:2" x14ac:dyDescent="0.25">
      <c r="A5040" s="20">
        <v>134558401</v>
      </c>
      <c r="B5040" s="20" t="s">
        <v>4020</v>
      </c>
    </row>
    <row r="5041" spans="1:2" x14ac:dyDescent="0.25">
      <c r="A5041" s="20">
        <v>134558400</v>
      </c>
      <c r="B5041" s="20" t="s">
        <v>4020</v>
      </c>
    </row>
    <row r="5042" spans="1:2" x14ac:dyDescent="0.25">
      <c r="A5042" s="20" t="s">
        <v>4040</v>
      </c>
      <c r="B5042" s="20" t="s">
        <v>4020</v>
      </c>
    </row>
    <row r="5043" spans="1:2" x14ac:dyDescent="0.25">
      <c r="A5043" s="20" t="s">
        <v>4049</v>
      </c>
      <c r="B5043" s="20" t="s">
        <v>4020</v>
      </c>
    </row>
    <row r="5044" spans="1:2" x14ac:dyDescent="0.25">
      <c r="A5044" s="20">
        <v>313260439</v>
      </c>
      <c r="B5044" s="20" t="s">
        <v>4020</v>
      </c>
    </row>
    <row r="5045" spans="1:2" x14ac:dyDescent="0.25">
      <c r="A5045" s="20">
        <v>424803249</v>
      </c>
      <c r="B5045" s="20" t="s">
        <v>4020</v>
      </c>
    </row>
    <row r="5046" spans="1:2" x14ac:dyDescent="0.25">
      <c r="A5046" s="20" t="s">
        <v>4081</v>
      </c>
      <c r="B5046" s="20" t="s">
        <v>4020</v>
      </c>
    </row>
    <row r="5047" spans="1:2" x14ac:dyDescent="0.25">
      <c r="A5047" s="20" t="s">
        <v>4097</v>
      </c>
      <c r="B5047" s="20" t="s">
        <v>4020</v>
      </c>
    </row>
    <row r="5048" spans="1:2" x14ac:dyDescent="0.25">
      <c r="A5048" s="20">
        <v>423972760</v>
      </c>
      <c r="B5048" s="20" t="s">
        <v>4020</v>
      </c>
    </row>
    <row r="5049" spans="1:2" x14ac:dyDescent="0.25">
      <c r="A5049" s="20" t="s">
        <v>4125</v>
      </c>
      <c r="B5049" s="20" t="s">
        <v>4020</v>
      </c>
    </row>
    <row r="5050" spans="1:2" x14ac:dyDescent="0.25">
      <c r="A5050" s="20" t="s">
        <v>4021</v>
      </c>
      <c r="B5050" s="20" t="s">
        <v>4021</v>
      </c>
    </row>
    <row r="5051" spans="1:2" x14ac:dyDescent="0.25">
      <c r="A5051" s="20" t="s">
        <v>4030</v>
      </c>
      <c r="B5051" s="20" t="s">
        <v>4021</v>
      </c>
    </row>
    <row r="5052" spans="1:2" x14ac:dyDescent="0.25">
      <c r="A5052" s="20" t="s">
        <v>4033</v>
      </c>
      <c r="B5052" s="20" t="s">
        <v>4021</v>
      </c>
    </row>
    <row r="5053" spans="1:2" x14ac:dyDescent="0.25">
      <c r="A5053" s="20" t="s">
        <v>4038</v>
      </c>
      <c r="B5053" s="20" t="s">
        <v>4021</v>
      </c>
    </row>
    <row r="5054" spans="1:2" x14ac:dyDescent="0.25">
      <c r="A5054" s="20" t="s">
        <v>4047</v>
      </c>
      <c r="B5054" s="20" t="s">
        <v>4021</v>
      </c>
    </row>
    <row r="5055" spans="1:2" x14ac:dyDescent="0.25">
      <c r="A5055" s="20" t="s">
        <v>4057</v>
      </c>
      <c r="B5055" s="20" t="s">
        <v>4021</v>
      </c>
    </row>
    <row r="5056" spans="1:2" x14ac:dyDescent="0.25">
      <c r="A5056" s="20" t="s">
        <v>4067</v>
      </c>
      <c r="B5056" s="20" t="s">
        <v>4021</v>
      </c>
    </row>
    <row r="5057" spans="1:2" x14ac:dyDescent="0.25">
      <c r="A5057" s="20" t="s">
        <v>4077</v>
      </c>
      <c r="B5057" s="20" t="s">
        <v>4021</v>
      </c>
    </row>
    <row r="5058" spans="1:2" x14ac:dyDescent="0.25">
      <c r="A5058" s="20" t="s">
        <v>4094</v>
      </c>
      <c r="B5058" s="20" t="s">
        <v>4021</v>
      </c>
    </row>
    <row r="5059" spans="1:2" x14ac:dyDescent="0.25">
      <c r="A5059" s="20" t="s">
        <v>4108</v>
      </c>
      <c r="B5059" s="20" t="s">
        <v>4021</v>
      </c>
    </row>
    <row r="5060" spans="1:2" x14ac:dyDescent="0.25">
      <c r="A5060" s="20" t="s">
        <v>4121</v>
      </c>
      <c r="B5060" s="20" t="s">
        <v>4021</v>
      </c>
    </row>
    <row r="5061" spans="1:2" x14ac:dyDescent="0.25">
      <c r="A5061" s="20">
        <v>196358965</v>
      </c>
      <c r="B5061" s="20" t="s">
        <v>4021</v>
      </c>
    </row>
    <row r="5062" spans="1:2" x14ac:dyDescent="0.25">
      <c r="A5062" s="20" t="s">
        <v>4139</v>
      </c>
      <c r="B5062" s="20" t="s">
        <v>4021</v>
      </c>
    </row>
    <row r="5063" spans="1:2" x14ac:dyDescent="0.25">
      <c r="A5063" s="20" t="s">
        <v>4150</v>
      </c>
      <c r="B5063" s="20" t="s">
        <v>4021</v>
      </c>
    </row>
    <row r="5064" spans="1:2" x14ac:dyDescent="0.25">
      <c r="A5064" s="20" t="s">
        <v>4164</v>
      </c>
      <c r="B5064" s="20" t="s">
        <v>4021</v>
      </c>
    </row>
    <row r="5065" spans="1:2" x14ac:dyDescent="0.25">
      <c r="A5065" s="20" t="s">
        <v>4183</v>
      </c>
      <c r="B5065" s="20" t="s">
        <v>4021</v>
      </c>
    </row>
    <row r="5066" spans="1:2" x14ac:dyDescent="0.25">
      <c r="A5066" s="20" t="s">
        <v>4199</v>
      </c>
      <c r="B5066" s="20" t="s">
        <v>4021</v>
      </c>
    </row>
    <row r="5067" spans="1:2" x14ac:dyDescent="0.25">
      <c r="A5067" s="20" t="s">
        <v>4211</v>
      </c>
      <c r="B5067" s="20" t="s">
        <v>4021</v>
      </c>
    </row>
    <row r="5068" spans="1:2" x14ac:dyDescent="0.25">
      <c r="A5068" s="20" t="s">
        <v>4222</v>
      </c>
      <c r="B5068" s="20" t="s">
        <v>4021</v>
      </c>
    </row>
    <row r="5069" spans="1:2" x14ac:dyDescent="0.25">
      <c r="A5069" s="20">
        <v>423972761</v>
      </c>
      <c r="B5069" s="20" t="s">
        <v>4021</v>
      </c>
    </row>
    <row r="5070" spans="1:2" x14ac:dyDescent="0.25">
      <c r="A5070" s="20" t="s">
        <v>4240</v>
      </c>
      <c r="B5070" s="20" t="s">
        <v>4021</v>
      </c>
    </row>
    <row r="5071" spans="1:2" x14ac:dyDescent="0.25">
      <c r="A5071" s="20" t="s">
        <v>4252</v>
      </c>
      <c r="B5071" s="20" t="s">
        <v>4021</v>
      </c>
    </row>
    <row r="5072" spans="1:2" x14ac:dyDescent="0.25">
      <c r="A5072" s="20" t="s">
        <v>4260</v>
      </c>
      <c r="B5072" s="20" t="s">
        <v>4021</v>
      </c>
    </row>
    <row r="5073" spans="1:2" x14ac:dyDescent="0.25">
      <c r="A5073" s="20" t="s">
        <v>4270</v>
      </c>
      <c r="B5073" s="20" t="s">
        <v>4021</v>
      </c>
    </row>
    <row r="5074" spans="1:2" x14ac:dyDescent="0.25">
      <c r="A5074" s="20" t="s">
        <v>4281</v>
      </c>
      <c r="B5074" s="20" t="s">
        <v>4021</v>
      </c>
    </row>
    <row r="5075" spans="1:2" x14ac:dyDescent="0.25">
      <c r="A5075" s="20" t="s">
        <v>4298</v>
      </c>
      <c r="B5075" s="20" t="s">
        <v>4021</v>
      </c>
    </row>
    <row r="5076" spans="1:2" x14ac:dyDescent="0.25">
      <c r="A5076" s="20" t="s">
        <v>4310</v>
      </c>
      <c r="B5076" s="20" t="s">
        <v>4021</v>
      </c>
    </row>
    <row r="5077" spans="1:2" x14ac:dyDescent="0.25">
      <c r="A5077" s="20" t="s">
        <v>4322</v>
      </c>
      <c r="B5077" s="20" t="s">
        <v>4021</v>
      </c>
    </row>
    <row r="5078" spans="1:2" x14ac:dyDescent="0.25">
      <c r="A5078" s="20" t="s">
        <v>4334</v>
      </c>
      <c r="B5078" s="20" t="s">
        <v>4021</v>
      </c>
    </row>
    <row r="5079" spans="1:2" x14ac:dyDescent="0.25">
      <c r="A5079" s="20" t="s">
        <v>4344</v>
      </c>
      <c r="B5079" s="20" t="s">
        <v>4021</v>
      </c>
    </row>
    <row r="5080" spans="1:2" x14ac:dyDescent="0.25">
      <c r="A5080" s="20" t="s">
        <v>4354</v>
      </c>
      <c r="B5080" s="20" t="s">
        <v>4021</v>
      </c>
    </row>
    <row r="5081" spans="1:2" x14ac:dyDescent="0.25">
      <c r="A5081" s="20" t="s">
        <v>4295</v>
      </c>
      <c r="B5081" s="20" t="s">
        <v>4021</v>
      </c>
    </row>
    <row r="5082" spans="1:2" x14ac:dyDescent="0.25">
      <c r="A5082" s="20">
        <v>12163074</v>
      </c>
      <c r="B5082" s="20" t="s">
        <v>4021</v>
      </c>
    </row>
    <row r="5083" spans="1:2" x14ac:dyDescent="0.25">
      <c r="A5083" s="20" t="s">
        <v>4377</v>
      </c>
      <c r="B5083" s="20" t="s">
        <v>4021</v>
      </c>
    </row>
    <row r="5084" spans="1:2" x14ac:dyDescent="0.25">
      <c r="A5084" s="20">
        <v>12158795</v>
      </c>
      <c r="B5084" s="20" t="s">
        <v>4021</v>
      </c>
    </row>
    <row r="5085" spans="1:2" x14ac:dyDescent="0.25">
      <c r="A5085" s="20" t="s">
        <v>4393</v>
      </c>
      <c r="B5085" s="20" t="s">
        <v>4021</v>
      </c>
    </row>
    <row r="5086" spans="1:2" x14ac:dyDescent="0.25">
      <c r="A5086" s="20" t="s">
        <v>4399</v>
      </c>
      <c r="B5086" s="20" t="s">
        <v>4021</v>
      </c>
    </row>
    <row r="5087" spans="1:2" x14ac:dyDescent="0.25">
      <c r="A5087" s="20" t="s">
        <v>4036</v>
      </c>
      <c r="B5087" s="20" t="s">
        <v>4021</v>
      </c>
    </row>
    <row r="5088" spans="1:2" x14ac:dyDescent="0.25">
      <c r="A5088" s="20" t="s">
        <v>4044</v>
      </c>
      <c r="B5088" s="20" t="s">
        <v>4021</v>
      </c>
    </row>
    <row r="5089" spans="1:2" x14ac:dyDescent="0.25">
      <c r="A5089" s="20" t="s">
        <v>4053</v>
      </c>
      <c r="B5089" s="20" t="s">
        <v>4021</v>
      </c>
    </row>
    <row r="5090" spans="1:2" x14ac:dyDescent="0.25">
      <c r="A5090" s="20" t="s">
        <v>4063</v>
      </c>
      <c r="B5090" s="20" t="s">
        <v>4021</v>
      </c>
    </row>
    <row r="5091" spans="1:2" x14ac:dyDescent="0.25">
      <c r="A5091" s="20" t="s">
        <v>4072</v>
      </c>
      <c r="B5091" s="20" t="s">
        <v>4021</v>
      </c>
    </row>
    <row r="5092" spans="1:2" x14ac:dyDescent="0.25">
      <c r="A5092" s="20" t="s">
        <v>4088</v>
      </c>
      <c r="B5092" s="20" t="s">
        <v>4021</v>
      </c>
    </row>
    <row r="5093" spans="1:2" x14ac:dyDescent="0.25">
      <c r="A5093" s="20" t="s">
        <v>4103</v>
      </c>
      <c r="B5093" s="20" t="s">
        <v>4021</v>
      </c>
    </row>
    <row r="5094" spans="1:2" x14ac:dyDescent="0.25">
      <c r="A5094" s="20">
        <v>-197974065</v>
      </c>
      <c r="B5094" s="20" t="s">
        <v>4021</v>
      </c>
    </row>
    <row r="5095" spans="1:2" x14ac:dyDescent="0.25">
      <c r="A5095" s="20" t="s">
        <v>4129</v>
      </c>
      <c r="B5095" s="20" t="s">
        <v>4021</v>
      </c>
    </row>
    <row r="5096" spans="1:2" x14ac:dyDescent="0.25">
      <c r="A5096" s="20" t="s">
        <v>4136</v>
      </c>
      <c r="B5096" s="20" t="s">
        <v>4021</v>
      </c>
    </row>
    <row r="5097" spans="1:2" x14ac:dyDescent="0.25">
      <c r="A5097" s="20" t="s">
        <v>4147</v>
      </c>
      <c r="B5097" s="20" t="s">
        <v>4021</v>
      </c>
    </row>
    <row r="5098" spans="1:2" x14ac:dyDescent="0.25">
      <c r="A5098" s="20">
        <v>145818800</v>
      </c>
      <c r="B5098" s="20" t="s">
        <v>4021</v>
      </c>
    </row>
    <row r="5099" spans="1:2" x14ac:dyDescent="0.25">
      <c r="A5099" s="20" t="s">
        <v>4178</v>
      </c>
      <c r="B5099" s="20" t="s">
        <v>4021</v>
      </c>
    </row>
    <row r="5100" spans="1:2" x14ac:dyDescent="0.25">
      <c r="A5100" s="20" t="s">
        <v>4146</v>
      </c>
      <c r="B5100" s="20" t="s">
        <v>4021</v>
      </c>
    </row>
    <row r="5101" spans="1:2" x14ac:dyDescent="0.25">
      <c r="A5101" s="20">
        <v>-12174962</v>
      </c>
      <c r="B5101" s="20" t="s">
        <v>4021</v>
      </c>
    </row>
    <row r="5102" spans="1:2" x14ac:dyDescent="0.25">
      <c r="A5102" s="20" t="s">
        <v>4177</v>
      </c>
      <c r="B5102" s="20" t="s">
        <v>4021</v>
      </c>
    </row>
    <row r="5103" spans="1:2" x14ac:dyDescent="0.25">
      <c r="A5103" s="20" t="s">
        <v>4195</v>
      </c>
      <c r="B5103" s="20" t="s">
        <v>4021</v>
      </c>
    </row>
    <row r="5104" spans="1:2" x14ac:dyDescent="0.25">
      <c r="A5104" s="20" t="s">
        <v>4209</v>
      </c>
      <c r="B5104" s="20" t="s">
        <v>4021</v>
      </c>
    </row>
    <row r="5105" spans="1:2" x14ac:dyDescent="0.25">
      <c r="A5105" s="20">
        <v>-377438344</v>
      </c>
      <c r="B5105" s="20" t="s">
        <v>4021</v>
      </c>
    </row>
    <row r="5106" spans="1:2" x14ac:dyDescent="0.25">
      <c r="A5106" s="20" t="s">
        <v>4228</v>
      </c>
      <c r="B5106" s="20" t="s">
        <v>4021</v>
      </c>
    </row>
    <row r="5107" spans="1:2" x14ac:dyDescent="0.25">
      <c r="A5107" s="20" t="s">
        <v>4237</v>
      </c>
      <c r="B5107" s="20" t="s">
        <v>4021</v>
      </c>
    </row>
    <row r="5108" spans="1:2" x14ac:dyDescent="0.25">
      <c r="A5108" s="20" t="s">
        <v>4249</v>
      </c>
      <c r="B5108" s="20" t="s">
        <v>4021</v>
      </c>
    </row>
    <row r="5109" spans="1:2" x14ac:dyDescent="0.25">
      <c r="A5109" s="20" t="s">
        <v>4258</v>
      </c>
      <c r="B5109" s="20" t="s">
        <v>4021</v>
      </c>
    </row>
    <row r="5110" spans="1:2" x14ac:dyDescent="0.25">
      <c r="A5110" s="20" t="s">
        <v>4266</v>
      </c>
      <c r="B5110" s="20" t="s">
        <v>4021</v>
      </c>
    </row>
    <row r="5111" spans="1:2" x14ac:dyDescent="0.25">
      <c r="A5111" s="20" t="s">
        <v>4276</v>
      </c>
      <c r="B5111" s="20" t="s">
        <v>4021</v>
      </c>
    </row>
    <row r="5112" spans="1:2" x14ac:dyDescent="0.25">
      <c r="A5112" s="20" t="s">
        <v>4292</v>
      </c>
      <c r="B5112" s="20" t="s">
        <v>4021</v>
      </c>
    </row>
    <row r="5113" spans="1:2" x14ac:dyDescent="0.25">
      <c r="A5113" s="20" t="s">
        <v>4305</v>
      </c>
      <c r="B5113" s="20" t="s">
        <v>4021</v>
      </c>
    </row>
    <row r="5114" spans="1:2" x14ac:dyDescent="0.25">
      <c r="A5114" s="20">
        <v>-12143825</v>
      </c>
      <c r="B5114" s="20" t="s">
        <v>4021</v>
      </c>
    </row>
    <row r="5115" spans="1:2" x14ac:dyDescent="0.25">
      <c r="A5115" s="20" t="s">
        <v>4329</v>
      </c>
      <c r="B5115" s="20" t="s">
        <v>4021</v>
      </c>
    </row>
    <row r="5116" spans="1:2" x14ac:dyDescent="0.25">
      <c r="A5116" s="20" t="s">
        <v>4339</v>
      </c>
      <c r="B5116" s="20" t="s">
        <v>4021</v>
      </c>
    </row>
    <row r="5117" spans="1:2" x14ac:dyDescent="0.25">
      <c r="A5117" s="20" t="s">
        <v>4349</v>
      </c>
      <c r="B5117" s="20" t="s">
        <v>4021</v>
      </c>
    </row>
    <row r="5118" spans="1:2" x14ac:dyDescent="0.25">
      <c r="A5118" s="20" t="s">
        <v>4358</v>
      </c>
      <c r="B5118" s="20" t="s">
        <v>4021</v>
      </c>
    </row>
    <row r="5119" spans="1:2" x14ac:dyDescent="0.25">
      <c r="A5119" s="20" t="s">
        <v>4366</v>
      </c>
      <c r="B5119" s="20" t="s">
        <v>4021</v>
      </c>
    </row>
    <row r="5120" spans="1:2" x14ac:dyDescent="0.25">
      <c r="A5120" s="20" t="s">
        <v>4372</v>
      </c>
      <c r="B5120" s="20" t="s">
        <v>4021</v>
      </c>
    </row>
    <row r="5121" spans="1:2" x14ac:dyDescent="0.25">
      <c r="A5121" s="20" t="s">
        <v>4380</v>
      </c>
      <c r="B5121" s="20" t="s">
        <v>4021</v>
      </c>
    </row>
    <row r="5122" spans="1:2" x14ac:dyDescent="0.25">
      <c r="A5122" s="20" t="s">
        <v>4388</v>
      </c>
      <c r="B5122" s="20" t="s">
        <v>4021</v>
      </c>
    </row>
    <row r="5123" spans="1:2" x14ac:dyDescent="0.25">
      <c r="A5123" s="20">
        <v>165303424</v>
      </c>
      <c r="B5123" s="20" t="s">
        <v>4021</v>
      </c>
    </row>
    <row r="5124" spans="1:2" x14ac:dyDescent="0.25">
      <c r="A5124" s="20" t="s">
        <v>4402</v>
      </c>
      <c r="B5124" s="20" t="s">
        <v>4021</v>
      </c>
    </row>
    <row r="5125" spans="1:2" x14ac:dyDescent="0.25">
      <c r="A5125" s="20" t="s">
        <v>4408</v>
      </c>
      <c r="B5125" s="20" t="s">
        <v>4021</v>
      </c>
    </row>
    <row r="5126" spans="1:2" x14ac:dyDescent="0.25">
      <c r="A5126" s="20" t="s">
        <v>4413</v>
      </c>
      <c r="B5126" s="20" t="s">
        <v>4021</v>
      </c>
    </row>
    <row r="5127" spans="1:2" x14ac:dyDescent="0.25">
      <c r="A5127" s="20" t="s">
        <v>4417</v>
      </c>
      <c r="B5127" s="20" t="s">
        <v>4021</v>
      </c>
    </row>
    <row r="5128" spans="1:2" x14ac:dyDescent="0.25">
      <c r="A5128" s="20" t="s">
        <v>4422</v>
      </c>
      <c r="B5128" s="20" t="s">
        <v>4021</v>
      </c>
    </row>
    <row r="5129" spans="1:2" x14ac:dyDescent="0.25">
      <c r="A5129" s="20" t="s">
        <v>4428</v>
      </c>
      <c r="B5129" s="20" t="s">
        <v>4021</v>
      </c>
    </row>
    <row r="5130" spans="1:2" x14ac:dyDescent="0.25">
      <c r="A5130" s="20" t="s">
        <v>4022</v>
      </c>
      <c r="B5130" s="20" t="s">
        <v>4022</v>
      </c>
    </row>
    <row r="5131" spans="1:2" x14ac:dyDescent="0.25">
      <c r="A5131" s="20" t="s">
        <v>4030</v>
      </c>
      <c r="B5131" s="20" t="s">
        <v>4022</v>
      </c>
    </row>
    <row r="5132" spans="1:2" x14ac:dyDescent="0.25">
      <c r="A5132" s="20" t="s">
        <v>4033</v>
      </c>
      <c r="B5132" s="20" t="s">
        <v>4022</v>
      </c>
    </row>
    <row r="5133" spans="1:2" x14ac:dyDescent="0.25">
      <c r="A5133" s="20" t="s">
        <v>4038</v>
      </c>
      <c r="B5133" s="20" t="s">
        <v>4022</v>
      </c>
    </row>
    <row r="5134" spans="1:2" x14ac:dyDescent="0.25">
      <c r="A5134" s="20" t="s">
        <v>4047</v>
      </c>
      <c r="B5134" s="20" t="s">
        <v>4022</v>
      </c>
    </row>
    <row r="5135" spans="1:2" x14ac:dyDescent="0.25">
      <c r="A5135" s="20" t="s">
        <v>4057</v>
      </c>
      <c r="B5135" s="20" t="s">
        <v>4022</v>
      </c>
    </row>
    <row r="5136" spans="1:2" x14ac:dyDescent="0.25">
      <c r="A5136" s="20" t="s">
        <v>4067</v>
      </c>
      <c r="B5136" s="20" t="s">
        <v>4022</v>
      </c>
    </row>
    <row r="5137" spans="1:2" x14ac:dyDescent="0.25">
      <c r="A5137" s="20" t="s">
        <v>4077</v>
      </c>
      <c r="B5137" s="20" t="s">
        <v>4022</v>
      </c>
    </row>
    <row r="5138" spans="1:2" x14ac:dyDescent="0.25">
      <c r="A5138" s="20" t="s">
        <v>4094</v>
      </c>
      <c r="B5138" s="20" t="s">
        <v>4022</v>
      </c>
    </row>
    <row r="5139" spans="1:2" x14ac:dyDescent="0.25">
      <c r="A5139" s="20" t="s">
        <v>4108</v>
      </c>
      <c r="B5139" s="20" t="s">
        <v>4022</v>
      </c>
    </row>
    <row r="5140" spans="1:2" x14ac:dyDescent="0.25">
      <c r="A5140" s="20" t="s">
        <v>4121</v>
      </c>
      <c r="B5140" s="20" t="s">
        <v>4022</v>
      </c>
    </row>
    <row r="5141" spans="1:2" x14ac:dyDescent="0.25">
      <c r="A5141" s="20">
        <v>196358965</v>
      </c>
      <c r="B5141" s="20" t="s">
        <v>4022</v>
      </c>
    </row>
    <row r="5142" spans="1:2" x14ac:dyDescent="0.25">
      <c r="A5142" s="20" t="s">
        <v>4139</v>
      </c>
      <c r="B5142" s="20" t="s">
        <v>4022</v>
      </c>
    </row>
    <row r="5143" spans="1:2" x14ac:dyDescent="0.25">
      <c r="A5143" s="20" t="s">
        <v>4150</v>
      </c>
      <c r="B5143" s="20" t="s">
        <v>4022</v>
      </c>
    </row>
    <row r="5144" spans="1:2" x14ac:dyDescent="0.25">
      <c r="A5144" s="20" t="s">
        <v>4164</v>
      </c>
      <c r="B5144" s="20" t="s">
        <v>4022</v>
      </c>
    </row>
    <row r="5145" spans="1:2" x14ac:dyDescent="0.25">
      <c r="A5145" s="20" t="s">
        <v>4183</v>
      </c>
      <c r="B5145" s="20" t="s">
        <v>4022</v>
      </c>
    </row>
    <row r="5146" spans="1:2" x14ac:dyDescent="0.25">
      <c r="A5146" s="20" t="s">
        <v>4199</v>
      </c>
      <c r="B5146" s="20" t="s">
        <v>4022</v>
      </c>
    </row>
    <row r="5147" spans="1:2" x14ac:dyDescent="0.25">
      <c r="A5147" s="20" t="s">
        <v>4211</v>
      </c>
      <c r="B5147" s="20" t="s">
        <v>4022</v>
      </c>
    </row>
    <row r="5148" spans="1:2" x14ac:dyDescent="0.25">
      <c r="A5148" s="20" t="s">
        <v>4222</v>
      </c>
      <c r="B5148" s="20" t="s">
        <v>4022</v>
      </c>
    </row>
    <row r="5149" spans="1:2" x14ac:dyDescent="0.25">
      <c r="A5149" s="20">
        <v>423972761</v>
      </c>
      <c r="B5149" s="20" t="s">
        <v>4022</v>
      </c>
    </row>
    <row r="5150" spans="1:2" x14ac:dyDescent="0.25">
      <c r="A5150" s="20" t="s">
        <v>4240</v>
      </c>
      <c r="B5150" s="20" t="s">
        <v>4022</v>
      </c>
    </row>
    <row r="5151" spans="1:2" x14ac:dyDescent="0.25">
      <c r="A5151" s="20" t="s">
        <v>4252</v>
      </c>
      <c r="B5151" s="20" t="s">
        <v>4022</v>
      </c>
    </row>
    <row r="5152" spans="1:2" x14ac:dyDescent="0.25">
      <c r="A5152" s="20" t="s">
        <v>4260</v>
      </c>
      <c r="B5152" s="20" t="s">
        <v>4022</v>
      </c>
    </row>
    <row r="5153" spans="1:2" x14ac:dyDescent="0.25">
      <c r="A5153" s="20" t="s">
        <v>4270</v>
      </c>
      <c r="B5153" s="20" t="s">
        <v>4022</v>
      </c>
    </row>
    <row r="5154" spans="1:2" x14ac:dyDescent="0.25">
      <c r="A5154" s="20" t="s">
        <v>4281</v>
      </c>
      <c r="B5154" s="20" t="s">
        <v>4022</v>
      </c>
    </row>
    <row r="5155" spans="1:2" x14ac:dyDescent="0.25">
      <c r="A5155" s="20" t="s">
        <v>4298</v>
      </c>
      <c r="B5155" s="20" t="s">
        <v>4022</v>
      </c>
    </row>
    <row r="5156" spans="1:2" x14ac:dyDescent="0.25">
      <c r="A5156" s="20" t="s">
        <v>4310</v>
      </c>
      <c r="B5156" s="20" t="s">
        <v>4022</v>
      </c>
    </row>
    <row r="5157" spans="1:2" x14ac:dyDescent="0.25">
      <c r="A5157" s="20" t="s">
        <v>4322</v>
      </c>
      <c r="B5157" s="20" t="s">
        <v>4022</v>
      </c>
    </row>
    <row r="5158" spans="1:2" x14ac:dyDescent="0.25">
      <c r="A5158" s="20" t="s">
        <v>4334</v>
      </c>
      <c r="B5158" s="20" t="s">
        <v>4022</v>
      </c>
    </row>
    <row r="5159" spans="1:2" x14ac:dyDescent="0.25">
      <c r="A5159" s="20" t="s">
        <v>4344</v>
      </c>
      <c r="B5159" s="20" t="s">
        <v>4022</v>
      </c>
    </row>
    <row r="5160" spans="1:2" x14ac:dyDescent="0.25">
      <c r="A5160" s="20" t="s">
        <v>4354</v>
      </c>
      <c r="B5160" s="20" t="s">
        <v>4022</v>
      </c>
    </row>
    <row r="5161" spans="1:2" x14ac:dyDescent="0.25">
      <c r="A5161" s="20" t="s">
        <v>4295</v>
      </c>
      <c r="B5161" s="20" t="s">
        <v>4022</v>
      </c>
    </row>
    <row r="5162" spans="1:2" x14ac:dyDescent="0.25">
      <c r="A5162" s="20">
        <v>12163074</v>
      </c>
      <c r="B5162" s="20" t="s">
        <v>4022</v>
      </c>
    </row>
    <row r="5163" spans="1:2" x14ac:dyDescent="0.25">
      <c r="A5163" s="20" t="s">
        <v>4377</v>
      </c>
      <c r="B5163" s="20" t="s">
        <v>4022</v>
      </c>
    </row>
    <row r="5164" spans="1:2" x14ac:dyDescent="0.25">
      <c r="A5164" s="20">
        <v>12158795</v>
      </c>
      <c r="B5164" s="20" t="s">
        <v>4022</v>
      </c>
    </row>
    <row r="5165" spans="1:2" x14ac:dyDescent="0.25">
      <c r="A5165" s="20" t="s">
        <v>4393</v>
      </c>
      <c r="B5165" s="20" t="s">
        <v>4022</v>
      </c>
    </row>
    <row r="5166" spans="1:2" x14ac:dyDescent="0.25">
      <c r="A5166" s="20" t="s">
        <v>4399</v>
      </c>
      <c r="B5166" s="20" t="s">
        <v>4022</v>
      </c>
    </row>
    <row r="5167" spans="1:2" x14ac:dyDescent="0.25">
      <c r="A5167" s="20" t="s">
        <v>4062</v>
      </c>
      <c r="B5167" s="20" t="s">
        <v>4022</v>
      </c>
    </row>
    <row r="5168" spans="1:2" x14ac:dyDescent="0.25">
      <c r="A5168" s="20" t="s">
        <v>4051</v>
      </c>
      <c r="B5168" s="20" t="s">
        <v>4022</v>
      </c>
    </row>
    <row r="5169" spans="1:2" x14ac:dyDescent="0.25">
      <c r="A5169" s="20" t="s">
        <v>4087</v>
      </c>
      <c r="B5169" s="20" t="s">
        <v>4022</v>
      </c>
    </row>
    <row r="5170" spans="1:2" x14ac:dyDescent="0.25">
      <c r="A5170" s="20" t="s">
        <v>4102</v>
      </c>
      <c r="B5170" s="20" t="s">
        <v>4022</v>
      </c>
    </row>
    <row r="5171" spans="1:2" x14ac:dyDescent="0.25">
      <c r="A5171" s="20" t="s">
        <v>4116</v>
      </c>
      <c r="B5171" s="20" t="s">
        <v>4022</v>
      </c>
    </row>
    <row r="5172" spans="1:2" x14ac:dyDescent="0.25">
      <c r="A5172" s="20">
        <v>486653628</v>
      </c>
      <c r="B5172" s="20" t="s">
        <v>4022</v>
      </c>
    </row>
    <row r="5173" spans="1:2" x14ac:dyDescent="0.25">
      <c r="A5173" s="20">
        <v>43117623</v>
      </c>
      <c r="B5173" s="20" t="s">
        <v>4022</v>
      </c>
    </row>
    <row r="5174" spans="1:2" x14ac:dyDescent="0.25">
      <c r="A5174" s="20" t="s">
        <v>4023</v>
      </c>
      <c r="B5174" s="20" t="s">
        <v>4023</v>
      </c>
    </row>
    <row r="5175" spans="1:2" x14ac:dyDescent="0.25">
      <c r="A5175" s="20" t="s">
        <v>4030</v>
      </c>
      <c r="B5175" s="20" t="s">
        <v>4023</v>
      </c>
    </row>
    <row r="5176" spans="1:2" x14ac:dyDescent="0.25">
      <c r="A5176" s="20" t="s">
        <v>4033</v>
      </c>
      <c r="B5176" s="20" t="s">
        <v>4023</v>
      </c>
    </row>
    <row r="5177" spans="1:2" x14ac:dyDescent="0.25">
      <c r="A5177" s="20" t="s">
        <v>4038</v>
      </c>
      <c r="B5177" s="20" t="s">
        <v>4023</v>
      </c>
    </row>
    <row r="5178" spans="1:2" x14ac:dyDescent="0.25">
      <c r="A5178" s="20" t="s">
        <v>4047</v>
      </c>
      <c r="B5178" s="20" t="s">
        <v>4023</v>
      </c>
    </row>
    <row r="5179" spans="1:2" x14ac:dyDescent="0.25">
      <c r="A5179" s="20" t="s">
        <v>4057</v>
      </c>
      <c r="B5179" s="20" t="s">
        <v>4023</v>
      </c>
    </row>
    <row r="5180" spans="1:2" x14ac:dyDescent="0.25">
      <c r="A5180" s="20" t="s">
        <v>4067</v>
      </c>
      <c r="B5180" s="20" t="s">
        <v>4023</v>
      </c>
    </row>
    <row r="5181" spans="1:2" x14ac:dyDescent="0.25">
      <c r="A5181" s="20" t="s">
        <v>4077</v>
      </c>
      <c r="B5181" s="20" t="s">
        <v>4023</v>
      </c>
    </row>
    <row r="5182" spans="1:2" x14ac:dyDescent="0.25">
      <c r="A5182" s="20" t="s">
        <v>4094</v>
      </c>
      <c r="B5182" s="20" t="s">
        <v>4023</v>
      </c>
    </row>
    <row r="5183" spans="1:2" x14ac:dyDescent="0.25">
      <c r="A5183" s="20" t="s">
        <v>4108</v>
      </c>
      <c r="B5183" s="20" t="s">
        <v>4023</v>
      </c>
    </row>
    <row r="5184" spans="1:2" x14ac:dyDescent="0.25">
      <c r="A5184" s="20" t="s">
        <v>4121</v>
      </c>
      <c r="B5184" s="20" t="s">
        <v>4023</v>
      </c>
    </row>
    <row r="5185" spans="1:2" x14ac:dyDescent="0.25">
      <c r="A5185" s="20">
        <v>196358965</v>
      </c>
      <c r="B5185" s="20" t="s">
        <v>4023</v>
      </c>
    </row>
    <row r="5186" spans="1:2" x14ac:dyDescent="0.25">
      <c r="A5186" s="20" t="s">
        <v>4139</v>
      </c>
      <c r="B5186" s="20" t="s">
        <v>4023</v>
      </c>
    </row>
    <row r="5187" spans="1:2" x14ac:dyDescent="0.25">
      <c r="A5187" s="20" t="s">
        <v>4150</v>
      </c>
      <c r="B5187" s="20" t="s">
        <v>4023</v>
      </c>
    </row>
    <row r="5188" spans="1:2" x14ac:dyDescent="0.25">
      <c r="A5188" s="20" t="s">
        <v>4164</v>
      </c>
      <c r="B5188" s="20" t="s">
        <v>4023</v>
      </c>
    </row>
    <row r="5189" spans="1:2" x14ac:dyDescent="0.25">
      <c r="A5189" s="20" t="s">
        <v>4183</v>
      </c>
      <c r="B5189" s="20" t="s">
        <v>4023</v>
      </c>
    </row>
    <row r="5190" spans="1:2" x14ac:dyDescent="0.25">
      <c r="A5190" s="20" t="s">
        <v>4199</v>
      </c>
      <c r="B5190" s="20" t="s">
        <v>4023</v>
      </c>
    </row>
    <row r="5191" spans="1:2" x14ac:dyDescent="0.25">
      <c r="A5191" s="20" t="s">
        <v>4211</v>
      </c>
      <c r="B5191" s="20" t="s">
        <v>4023</v>
      </c>
    </row>
    <row r="5192" spans="1:2" x14ac:dyDescent="0.25">
      <c r="A5192" s="20" t="s">
        <v>4222</v>
      </c>
      <c r="B5192" s="20" t="s">
        <v>4023</v>
      </c>
    </row>
    <row r="5193" spans="1:2" x14ac:dyDescent="0.25">
      <c r="A5193" s="20">
        <v>423972761</v>
      </c>
      <c r="B5193" s="20" t="s">
        <v>4023</v>
      </c>
    </row>
    <row r="5194" spans="1:2" x14ac:dyDescent="0.25">
      <c r="A5194" s="20" t="s">
        <v>4240</v>
      </c>
      <c r="B5194" s="20" t="s">
        <v>4023</v>
      </c>
    </row>
    <row r="5195" spans="1:2" x14ac:dyDescent="0.25">
      <c r="A5195" s="20" t="s">
        <v>4252</v>
      </c>
      <c r="B5195" s="20" t="s">
        <v>4023</v>
      </c>
    </row>
    <row r="5196" spans="1:2" x14ac:dyDescent="0.25">
      <c r="A5196" s="20" t="s">
        <v>4260</v>
      </c>
      <c r="B5196" s="20" t="s">
        <v>4023</v>
      </c>
    </row>
    <row r="5197" spans="1:2" x14ac:dyDescent="0.25">
      <c r="A5197" s="20" t="s">
        <v>4270</v>
      </c>
      <c r="B5197" s="20" t="s">
        <v>4023</v>
      </c>
    </row>
    <row r="5198" spans="1:2" x14ac:dyDescent="0.25">
      <c r="A5198" s="20" t="s">
        <v>4281</v>
      </c>
      <c r="B5198" s="20" t="s">
        <v>4023</v>
      </c>
    </row>
    <row r="5199" spans="1:2" x14ac:dyDescent="0.25">
      <c r="A5199" s="20" t="s">
        <v>4298</v>
      </c>
      <c r="B5199" s="20" t="s">
        <v>4023</v>
      </c>
    </row>
    <row r="5200" spans="1:2" x14ac:dyDescent="0.25">
      <c r="A5200" s="20" t="s">
        <v>4310</v>
      </c>
      <c r="B5200" s="20" t="s">
        <v>4023</v>
      </c>
    </row>
    <row r="5201" spans="1:2" x14ac:dyDescent="0.25">
      <c r="A5201" s="20" t="s">
        <v>4322</v>
      </c>
      <c r="B5201" s="20" t="s">
        <v>4023</v>
      </c>
    </row>
    <row r="5202" spans="1:2" x14ac:dyDescent="0.25">
      <c r="A5202" s="20" t="s">
        <v>4334</v>
      </c>
      <c r="B5202" s="20" t="s">
        <v>4023</v>
      </c>
    </row>
    <row r="5203" spans="1:2" x14ac:dyDescent="0.25">
      <c r="A5203" s="20" t="s">
        <v>4344</v>
      </c>
      <c r="B5203" s="20" t="s">
        <v>4023</v>
      </c>
    </row>
    <row r="5204" spans="1:2" x14ac:dyDescent="0.25">
      <c r="A5204" s="20" t="s">
        <v>4354</v>
      </c>
      <c r="B5204" s="20" t="s">
        <v>4023</v>
      </c>
    </row>
    <row r="5205" spans="1:2" x14ac:dyDescent="0.25">
      <c r="A5205" s="20" t="s">
        <v>4295</v>
      </c>
      <c r="B5205" s="20" t="s">
        <v>4023</v>
      </c>
    </row>
    <row r="5206" spans="1:2" x14ac:dyDescent="0.25">
      <c r="A5206" s="20">
        <v>12163074</v>
      </c>
      <c r="B5206" s="20" t="s">
        <v>4023</v>
      </c>
    </row>
    <row r="5207" spans="1:2" x14ac:dyDescent="0.25">
      <c r="A5207" s="20" t="s">
        <v>4377</v>
      </c>
      <c r="B5207" s="20" t="s">
        <v>4023</v>
      </c>
    </row>
    <row r="5208" spans="1:2" x14ac:dyDescent="0.25">
      <c r="A5208" s="20">
        <v>12158795</v>
      </c>
      <c r="B5208" s="20" t="s">
        <v>4023</v>
      </c>
    </row>
    <row r="5209" spans="1:2" x14ac:dyDescent="0.25">
      <c r="A5209" s="20" t="s">
        <v>4393</v>
      </c>
      <c r="B5209" s="20" t="s">
        <v>4023</v>
      </c>
    </row>
    <row r="5210" spans="1:2" x14ac:dyDescent="0.25">
      <c r="A5210" s="20" t="s">
        <v>4399</v>
      </c>
      <c r="B5210" s="20" t="s">
        <v>4023</v>
      </c>
    </row>
    <row r="5211" spans="1:2" x14ac:dyDescent="0.25">
      <c r="A5211" s="20" t="s">
        <v>4062</v>
      </c>
      <c r="B5211" s="20" t="s">
        <v>4023</v>
      </c>
    </row>
    <row r="5212" spans="1:2" x14ac:dyDescent="0.25">
      <c r="A5212" s="20" t="s">
        <v>4051</v>
      </c>
      <c r="B5212" s="20" t="s">
        <v>4023</v>
      </c>
    </row>
    <row r="5213" spans="1:2" x14ac:dyDescent="0.25">
      <c r="A5213" s="20" t="s">
        <v>4061</v>
      </c>
      <c r="B5213" s="20" t="s">
        <v>4023</v>
      </c>
    </row>
    <row r="5214" spans="1:2" x14ac:dyDescent="0.25">
      <c r="A5214" s="20" t="s">
        <v>4070</v>
      </c>
      <c r="B5214" s="20" t="s">
        <v>4023</v>
      </c>
    </row>
    <row r="5215" spans="1:2" x14ac:dyDescent="0.25">
      <c r="A5215" s="20" t="s">
        <v>4085</v>
      </c>
      <c r="B5215" s="20" t="s">
        <v>4023</v>
      </c>
    </row>
    <row r="5216" spans="1:2" x14ac:dyDescent="0.25">
      <c r="A5216" s="20" t="s">
        <v>4099</v>
      </c>
      <c r="B5216" s="20" t="s">
        <v>4023</v>
      </c>
    </row>
    <row r="5217" spans="1:2" x14ac:dyDescent="0.25">
      <c r="A5217" s="20" t="s">
        <v>4113</v>
      </c>
      <c r="B5217" s="20" t="s">
        <v>4023</v>
      </c>
    </row>
    <row r="5218" spans="1:2" x14ac:dyDescent="0.25">
      <c r="A5218" s="20" t="s">
        <v>4127</v>
      </c>
      <c r="B5218" s="20" t="s">
        <v>4023</v>
      </c>
    </row>
    <row r="5219" spans="1:2" x14ac:dyDescent="0.25">
      <c r="A5219" s="20">
        <v>12111684</v>
      </c>
      <c r="B5219" s="20" t="s">
        <v>4023</v>
      </c>
    </row>
    <row r="5220" spans="1:2" x14ac:dyDescent="0.25">
      <c r="A5220" s="20" t="s">
        <v>4125</v>
      </c>
      <c r="B5220" s="20" t="s">
        <v>4023</v>
      </c>
    </row>
    <row r="5221" spans="1:2" x14ac:dyDescent="0.25">
      <c r="A5221" s="20" t="s">
        <v>4024</v>
      </c>
      <c r="B5221" s="20" t="s">
        <v>4024</v>
      </c>
    </row>
    <row r="5222" spans="1:2" x14ac:dyDescent="0.25">
      <c r="A5222" s="20" t="s">
        <v>4030</v>
      </c>
      <c r="B5222" s="20" t="s">
        <v>4024</v>
      </c>
    </row>
    <row r="5223" spans="1:2" x14ac:dyDescent="0.25">
      <c r="A5223" s="20" t="s">
        <v>4033</v>
      </c>
      <c r="B5223" s="20" t="s">
        <v>4024</v>
      </c>
    </row>
    <row r="5224" spans="1:2" x14ac:dyDescent="0.25">
      <c r="A5224" s="20" t="s">
        <v>4039</v>
      </c>
      <c r="B5224" s="20" t="s">
        <v>4024</v>
      </c>
    </row>
    <row r="5225" spans="1:2" x14ac:dyDescent="0.25">
      <c r="A5225" s="20" t="s">
        <v>4048</v>
      </c>
      <c r="B5225" s="20" t="s">
        <v>4024</v>
      </c>
    </row>
    <row r="5226" spans="1:2" x14ac:dyDescent="0.25">
      <c r="A5226" s="20" t="s">
        <v>4058</v>
      </c>
      <c r="B5226" s="20" t="s">
        <v>4024</v>
      </c>
    </row>
    <row r="5227" spans="1:2" x14ac:dyDescent="0.25">
      <c r="A5227" s="20" t="s">
        <v>4068</v>
      </c>
      <c r="B5227" s="20" t="s">
        <v>4024</v>
      </c>
    </row>
    <row r="5228" spans="1:2" x14ac:dyDescent="0.25">
      <c r="A5228" s="20" t="s">
        <v>4078</v>
      </c>
      <c r="B5228" s="20" t="s">
        <v>4024</v>
      </c>
    </row>
    <row r="5229" spans="1:2" x14ac:dyDescent="0.25">
      <c r="A5229" s="20">
        <v>-423956982</v>
      </c>
      <c r="B5229" s="20" t="s">
        <v>4024</v>
      </c>
    </row>
    <row r="5230" spans="1:2" x14ac:dyDescent="0.25">
      <c r="A5230" s="20" t="s">
        <v>4109</v>
      </c>
      <c r="B5230" s="20" t="s">
        <v>4024</v>
      </c>
    </row>
    <row r="5231" spans="1:2" x14ac:dyDescent="0.25">
      <c r="A5231" s="20" t="s">
        <v>4122</v>
      </c>
      <c r="B5231" s="20" t="s">
        <v>4024</v>
      </c>
    </row>
    <row r="5232" spans="1:2" x14ac:dyDescent="0.25">
      <c r="A5232" s="20" t="s">
        <v>4132</v>
      </c>
      <c r="B5232" s="20" t="s">
        <v>4024</v>
      </c>
    </row>
    <row r="5233" spans="1:2" x14ac:dyDescent="0.25">
      <c r="A5233" s="20">
        <v>423956978</v>
      </c>
      <c r="B5233" s="20" t="s">
        <v>4024</v>
      </c>
    </row>
    <row r="5234" spans="1:2" x14ac:dyDescent="0.25">
      <c r="A5234" s="20" t="s">
        <v>4151</v>
      </c>
      <c r="B5234" s="20" t="s">
        <v>4024</v>
      </c>
    </row>
    <row r="5235" spans="1:2" x14ac:dyDescent="0.25">
      <c r="A5235" s="20" t="s">
        <v>4165</v>
      </c>
      <c r="B5235" s="20" t="s">
        <v>4024</v>
      </c>
    </row>
    <row r="5236" spans="1:2" x14ac:dyDescent="0.25">
      <c r="A5236" s="20" t="s">
        <v>4184</v>
      </c>
      <c r="B5236" s="20" t="s">
        <v>4024</v>
      </c>
    </row>
    <row r="5237" spans="1:2" x14ac:dyDescent="0.25">
      <c r="A5237" s="20">
        <v>423967355</v>
      </c>
      <c r="B5237" s="20" t="s">
        <v>4024</v>
      </c>
    </row>
    <row r="5238" spans="1:2" x14ac:dyDescent="0.25">
      <c r="A5238" s="20">
        <v>423967354</v>
      </c>
      <c r="B5238" s="20" t="s">
        <v>4024</v>
      </c>
    </row>
    <row r="5239" spans="1:2" x14ac:dyDescent="0.25">
      <c r="A5239" s="20" t="s">
        <v>4159</v>
      </c>
      <c r="B5239" s="20" t="s">
        <v>4024</v>
      </c>
    </row>
    <row r="5240" spans="1:2" x14ac:dyDescent="0.25">
      <c r="A5240" s="20" t="s">
        <v>4175</v>
      </c>
      <c r="B5240" s="20" t="s">
        <v>4024</v>
      </c>
    </row>
    <row r="5241" spans="1:2" x14ac:dyDescent="0.25">
      <c r="A5241" s="20" t="s">
        <v>4241</v>
      </c>
      <c r="B5241" s="20" t="s">
        <v>4024</v>
      </c>
    </row>
    <row r="5242" spans="1:2" x14ac:dyDescent="0.25">
      <c r="A5242" s="20">
        <v>-423967357</v>
      </c>
      <c r="B5242" s="20" t="s">
        <v>4024</v>
      </c>
    </row>
    <row r="5243" spans="1:2" x14ac:dyDescent="0.25">
      <c r="A5243" s="20">
        <v>-423967353</v>
      </c>
      <c r="B5243" s="20" t="s">
        <v>4024</v>
      </c>
    </row>
    <row r="5244" spans="1:2" x14ac:dyDescent="0.25">
      <c r="A5244" s="20" t="s">
        <v>4159</v>
      </c>
      <c r="B5244" s="20" t="s">
        <v>4024</v>
      </c>
    </row>
    <row r="5245" spans="1:2" x14ac:dyDescent="0.25">
      <c r="A5245" s="20" t="s">
        <v>4175</v>
      </c>
      <c r="B5245" s="20" t="s">
        <v>4024</v>
      </c>
    </row>
    <row r="5246" spans="1:2" x14ac:dyDescent="0.25">
      <c r="A5246" s="20" t="s">
        <v>4155</v>
      </c>
      <c r="B5246" s="20" t="s">
        <v>4024</v>
      </c>
    </row>
    <row r="5247" spans="1:2" x14ac:dyDescent="0.25">
      <c r="A5247" s="20" t="s">
        <v>4169</v>
      </c>
      <c r="B5247" s="20" t="s">
        <v>4024</v>
      </c>
    </row>
    <row r="5248" spans="1:2" x14ac:dyDescent="0.25">
      <c r="A5248" s="20" t="s">
        <v>4218</v>
      </c>
      <c r="B5248" s="20" t="s">
        <v>4024</v>
      </c>
    </row>
    <row r="5249" spans="1:2" x14ac:dyDescent="0.25">
      <c r="A5249" s="20" t="s">
        <v>4227</v>
      </c>
      <c r="B5249" s="20" t="s">
        <v>4024</v>
      </c>
    </row>
    <row r="5250" spans="1:2" x14ac:dyDescent="0.25">
      <c r="A5250" s="20" t="s">
        <v>4235</v>
      </c>
      <c r="B5250" s="20" t="s">
        <v>4024</v>
      </c>
    </row>
    <row r="5251" spans="1:2" x14ac:dyDescent="0.25">
      <c r="A5251" s="20" t="s">
        <v>4247</v>
      </c>
      <c r="B5251" s="20" t="s">
        <v>4024</v>
      </c>
    </row>
    <row r="5252" spans="1:2" x14ac:dyDescent="0.25">
      <c r="A5252" s="20" t="s">
        <v>4257</v>
      </c>
      <c r="B5252" s="20" t="s">
        <v>4024</v>
      </c>
    </row>
    <row r="5253" spans="1:2" x14ac:dyDescent="0.25">
      <c r="A5253" s="20" t="s">
        <v>4265</v>
      </c>
      <c r="B5253" s="20" t="s">
        <v>4024</v>
      </c>
    </row>
    <row r="5254" spans="1:2" x14ac:dyDescent="0.25">
      <c r="A5254" s="20" t="s">
        <v>4112</v>
      </c>
      <c r="B5254" s="20" t="s">
        <v>4024</v>
      </c>
    </row>
    <row r="5255" spans="1:2" x14ac:dyDescent="0.25">
      <c r="A5255" s="20" t="s">
        <v>4126</v>
      </c>
      <c r="B5255" s="20" t="s">
        <v>4024</v>
      </c>
    </row>
    <row r="5256" spans="1:2" x14ac:dyDescent="0.25">
      <c r="A5256" s="20">
        <v>-486653628</v>
      </c>
      <c r="B5256" s="20" t="s">
        <v>4024</v>
      </c>
    </row>
    <row r="5257" spans="1:2" x14ac:dyDescent="0.25">
      <c r="A5257" s="20" t="s">
        <v>4142</v>
      </c>
      <c r="B5257" s="20" t="s">
        <v>4024</v>
      </c>
    </row>
    <row r="5258" spans="1:2" x14ac:dyDescent="0.25">
      <c r="A5258" s="20" t="s">
        <v>4328</v>
      </c>
      <c r="B5258" s="20" t="s">
        <v>4024</v>
      </c>
    </row>
    <row r="5259" spans="1:2" x14ac:dyDescent="0.25">
      <c r="A5259" s="20" t="s">
        <v>4070</v>
      </c>
      <c r="B5259" s="20" t="s">
        <v>4024</v>
      </c>
    </row>
    <row r="5260" spans="1:2" x14ac:dyDescent="0.25">
      <c r="A5260" s="20" t="s">
        <v>4085</v>
      </c>
      <c r="B5260" s="20" t="s">
        <v>4024</v>
      </c>
    </row>
    <row r="5261" spans="1:2" x14ac:dyDescent="0.25">
      <c r="A5261" s="20" t="s">
        <v>4099</v>
      </c>
      <c r="B5261" s="20" t="s">
        <v>4024</v>
      </c>
    </row>
    <row r="5262" spans="1:2" x14ac:dyDescent="0.25">
      <c r="A5262" s="20" t="s">
        <v>4113</v>
      </c>
      <c r="B5262" s="20" t="s">
        <v>4024</v>
      </c>
    </row>
    <row r="5263" spans="1:2" x14ac:dyDescent="0.25">
      <c r="A5263" s="20" t="s">
        <v>4127</v>
      </c>
      <c r="B5263" s="20" t="s">
        <v>4024</v>
      </c>
    </row>
    <row r="5264" spans="1:2" x14ac:dyDescent="0.25">
      <c r="A5264" s="20">
        <v>12111684</v>
      </c>
      <c r="B5264" s="20" t="s">
        <v>4024</v>
      </c>
    </row>
    <row r="5265" spans="1:2" x14ac:dyDescent="0.25">
      <c r="A5265" s="20" t="s">
        <v>4125</v>
      </c>
      <c r="B5265" s="20" t="s">
        <v>4024</v>
      </c>
    </row>
    <row r="5266" spans="1:2" x14ac:dyDescent="0.25">
      <c r="A5266" s="20" t="s">
        <v>4025</v>
      </c>
      <c r="B5266" s="20" t="s">
        <v>4025</v>
      </c>
    </row>
    <row r="5267" spans="1:2" x14ac:dyDescent="0.25">
      <c r="A5267" s="20" t="s">
        <v>4030</v>
      </c>
      <c r="B5267" s="20" t="s">
        <v>4025</v>
      </c>
    </row>
    <row r="5268" spans="1:2" x14ac:dyDescent="0.25">
      <c r="A5268" s="20" t="s">
        <v>4033</v>
      </c>
      <c r="B5268" s="20" t="s">
        <v>4025</v>
      </c>
    </row>
    <row r="5269" spans="1:2" x14ac:dyDescent="0.25">
      <c r="A5269" s="20" t="s">
        <v>4039</v>
      </c>
      <c r="B5269" s="20" t="s">
        <v>4025</v>
      </c>
    </row>
    <row r="5270" spans="1:2" x14ac:dyDescent="0.25">
      <c r="A5270" s="20" t="s">
        <v>4048</v>
      </c>
      <c r="B5270" s="20" t="s">
        <v>4025</v>
      </c>
    </row>
    <row r="5271" spans="1:2" x14ac:dyDescent="0.25">
      <c r="A5271" s="20" t="s">
        <v>4059</v>
      </c>
      <c r="B5271" s="20" t="s">
        <v>4025</v>
      </c>
    </row>
    <row r="5272" spans="1:2" x14ac:dyDescent="0.25">
      <c r="A5272" s="20">
        <v>196358978</v>
      </c>
      <c r="B5272" s="20" t="s">
        <v>4025</v>
      </c>
    </row>
    <row r="5273" spans="1:2" x14ac:dyDescent="0.25">
      <c r="A5273" s="20" t="s">
        <v>4079</v>
      </c>
      <c r="B5273" s="20" t="s">
        <v>4025</v>
      </c>
    </row>
    <row r="5274" spans="1:2" x14ac:dyDescent="0.25">
      <c r="A5274" s="20" t="s">
        <v>4095</v>
      </c>
      <c r="B5274" s="20" t="s">
        <v>4025</v>
      </c>
    </row>
    <row r="5275" spans="1:2" x14ac:dyDescent="0.25">
      <c r="A5275" s="20" t="s">
        <v>4110</v>
      </c>
      <c r="B5275" s="20" t="s">
        <v>4025</v>
      </c>
    </row>
    <row r="5276" spans="1:2" x14ac:dyDescent="0.25">
      <c r="A5276" s="20" t="s">
        <v>4123</v>
      </c>
      <c r="B5276" s="20" t="s">
        <v>4025</v>
      </c>
    </row>
    <row r="5277" spans="1:2" x14ac:dyDescent="0.25">
      <c r="A5277" s="20" t="s">
        <v>4133</v>
      </c>
      <c r="B5277" s="20" t="s">
        <v>4025</v>
      </c>
    </row>
    <row r="5278" spans="1:2" x14ac:dyDescent="0.25">
      <c r="A5278" s="20" t="s">
        <v>4140</v>
      </c>
      <c r="B5278" s="20" t="s">
        <v>4025</v>
      </c>
    </row>
    <row r="5279" spans="1:2" x14ac:dyDescent="0.25">
      <c r="A5279" s="20" t="s">
        <v>4152</v>
      </c>
      <c r="B5279" s="20" t="s">
        <v>4025</v>
      </c>
    </row>
    <row r="5280" spans="1:2" x14ac:dyDescent="0.25">
      <c r="A5280" s="20" t="s">
        <v>4166</v>
      </c>
      <c r="B5280" s="20" t="s">
        <v>4025</v>
      </c>
    </row>
    <row r="5281" spans="1:2" x14ac:dyDescent="0.25">
      <c r="A5281" s="20" t="s">
        <v>4185</v>
      </c>
      <c r="B5281" s="20" t="s">
        <v>4025</v>
      </c>
    </row>
    <row r="5282" spans="1:2" x14ac:dyDescent="0.25">
      <c r="A5282" s="20" t="s">
        <v>4200</v>
      </c>
      <c r="B5282" s="20" t="s">
        <v>4025</v>
      </c>
    </row>
    <row r="5283" spans="1:2" x14ac:dyDescent="0.25">
      <c r="A5283" s="20" t="s">
        <v>4212</v>
      </c>
      <c r="B5283" s="20" t="s">
        <v>4025</v>
      </c>
    </row>
    <row r="5284" spans="1:2" x14ac:dyDescent="0.25">
      <c r="A5284" s="20" t="s">
        <v>4030</v>
      </c>
      <c r="B5284" s="20" t="s">
        <v>4025</v>
      </c>
    </row>
    <row r="5285" spans="1:2" x14ac:dyDescent="0.25">
      <c r="A5285" s="20" t="s">
        <v>4033</v>
      </c>
      <c r="B5285" s="20" t="s">
        <v>4025</v>
      </c>
    </row>
    <row r="5286" spans="1:2" x14ac:dyDescent="0.25">
      <c r="A5286" s="20" t="s">
        <v>4038</v>
      </c>
      <c r="B5286" s="20" t="s">
        <v>4025</v>
      </c>
    </row>
    <row r="5287" spans="1:2" x14ac:dyDescent="0.25">
      <c r="A5287" s="20" t="s">
        <v>4047</v>
      </c>
      <c r="B5287" s="20" t="s">
        <v>4025</v>
      </c>
    </row>
    <row r="5288" spans="1:2" x14ac:dyDescent="0.25">
      <c r="A5288" s="20" t="s">
        <v>4057</v>
      </c>
      <c r="B5288" s="20" t="s">
        <v>4025</v>
      </c>
    </row>
    <row r="5289" spans="1:2" x14ac:dyDescent="0.25">
      <c r="A5289" s="20" t="s">
        <v>4067</v>
      </c>
      <c r="B5289" s="20" t="s">
        <v>4025</v>
      </c>
    </row>
    <row r="5290" spans="1:2" x14ac:dyDescent="0.25">
      <c r="A5290" s="20" t="s">
        <v>4077</v>
      </c>
      <c r="B5290" s="20" t="s">
        <v>4025</v>
      </c>
    </row>
    <row r="5291" spans="1:2" x14ac:dyDescent="0.25">
      <c r="A5291" s="20" t="s">
        <v>4094</v>
      </c>
      <c r="B5291" s="20" t="s">
        <v>4025</v>
      </c>
    </row>
    <row r="5292" spans="1:2" x14ac:dyDescent="0.25">
      <c r="A5292" s="20" t="s">
        <v>4108</v>
      </c>
      <c r="B5292" s="20" t="s">
        <v>4025</v>
      </c>
    </row>
    <row r="5293" spans="1:2" x14ac:dyDescent="0.25">
      <c r="A5293" s="20" t="s">
        <v>4121</v>
      </c>
      <c r="B5293" s="20" t="s">
        <v>4025</v>
      </c>
    </row>
    <row r="5294" spans="1:2" x14ac:dyDescent="0.25">
      <c r="A5294" s="20">
        <v>196358965</v>
      </c>
      <c r="B5294" s="20" t="s">
        <v>4025</v>
      </c>
    </row>
    <row r="5295" spans="1:2" x14ac:dyDescent="0.25">
      <c r="A5295" s="20" t="s">
        <v>4139</v>
      </c>
      <c r="B5295" s="20" t="s">
        <v>4025</v>
      </c>
    </row>
    <row r="5296" spans="1:2" x14ac:dyDescent="0.25">
      <c r="A5296" s="20" t="s">
        <v>4150</v>
      </c>
      <c r="B5296" s="20" t="s">
        <v>4025</v>
      </c>
    </row>
    <row r="5297" spans="1:2" x14ac:dyDescent="0.25">
      <c r="A5297" s="20" t="s">
        <v>4164</v>
      </c>
      <c r="B5297" s="20" t="s">
        <v>4025</v>
      </c>
    </row>
    <row r="5298" spans="1:2" x14ac:dyDescent="0.25">
      <c r="A5298" s="20" t="s">
        <v>4183</v>
      </c>
      <c r="B5298" s="20" t="s">
        <v>4025</v>
      </c>
    </row>
    <row r="5299" spans="1:2" x14ac:dyDescent="0.25">
      <c r="A5299" s="20" t="s">
        <v>4199</v>
      </c>
      <c r="B5299" s="20" t="s">
        <v>4025</v>
      </c>
    </row>
    <row r="5300" spans="1:2" x14ac:dyDescent="0.25">
      <c r="A5300" s="20" t="s">
        <v>4211</v>
      </c>
      <c r="B5300" s="20" t="s">
        <v>4025</v>
      </c>
    </row>
    <row r="5301" spans="1:2" x14ac:dyDescent="0.25">
      <c r="A5301" s="20" t="s">
        <v>4222</v>
      </c>
      <c r="B5301" s="20" t="s">
        <v>4025</v>
      </c>
    </row>
    <row r="5302" spans="1:2" x14ac:dyDescent="0.25">
      <c r="A5302" s="20">
        <v>423972761</v>
      </c>
      <c r="B5302" s="20" t="s">
        <v>4025</v>
      </c>
    </row>
    <row r="5303" spans="1:2" x14ac:dyDescent="0.25">
      <c r="A5303" s="20" t="s">
        <v>4240</v>
      </c>
      <c r="B5303" s="20" t="s">
        <v>4025</v>
      </c>
    </row>
    <row r="5304" spans="1:2" x14ac:dyDescent="0.25">
      <c r="A5304" s="20" t="s">
        <v>4252</v>
      </c>
      <c r="B5304" s="20" t="s">
        <v>4025</v>
      </c>
    </row>
    <row r="5305" spans="1:2" x14ac:dyDescent="0.25">
      <c r="A5305" s="20" t="s">
        <v>4260</v>
      </c>
      <c r="B5305" s="20" t="s">
        <v>4025</v>
      </c>
    </row>
    <row r="5306" spans="1:2" x14ac:dyDescent="0.25">
      <c r="A5306" s="20" t="s">
        <v>4270</v>
      </c>
      <c r="B5306" s="20" t="s">
        <v>4025</v>
      </c>
    </row>
    <row r="5307" spans="1:2" x14ac:dyDescent="0.25">
      <c r="A5307" s="20" t="s">
        <v>4281</v>
      </c>
      <c r="B5307" s="20" t="s">
        <v>4025</v>
      </c>
    </row>
    <row r="5308" spans="1:2" x14ac:dyDescent="0.25">
      <c r="A5308" s="20" t="s">
        <v>4298</v>
      </c>
      <c r="B5308" s="20" t="s">
        <v>4025</v>
      </c>
    </row>
    <row r="5309" spans="1:2" x14ac:dyDescent="0.25">
      <c r="A5309" s="20" t="s">
        <v>4310</v>
      </c>
      <c r="B5309" s="20" t="s">
        <v>4025</v>
      </c>
    </row>
    <row r="5310" spans="1:2" x14ac:dyDescent="0.25">
      <c r="A5310" s="20" t="s">
        <v>4322</v>
      </c>
      <c r="B5310" s="20" t="s">
        <v>4025</v>
      </c>
    </row>
    <row r="5311" spans="1:2" x14ac:dyDescent="0.25">
      <c r="A5311" s="20" t="s">
        <v>4334</v>
      </c>
      <c r="B5311" s="20" t="s">
        <v>4025</v>
      </c>
    </row>
    <row r="5312" spans="1:2" x14ac:dyDescent="0.25">
      <c r="A5312" s="20" t="s">
        <v>4344</v>
      </c>
      <c r="B5312" s="20" t="s">
        <v>4025</v>
      </c>
    </row>
    <row r="5313" spans="1:2" x14ac:dyDescent="0.25">
      <c r="A5313" s="20" t="s">
        <v>4354</v>
      </c>
      <c r="B5313" s="20" t="s">
        <v>4025</v>
      </c>
    </row>
    <row r="5314" spans="1:2" x14ac:dyDescent="0.25">
      <c r="A5314" s="20" t="s">
        <v>4295</v>
      </c>
      <c r="B5314" s="20" t="s">
        <v>4025</v>
      </c>
    </row>
    <row r="5315" spans="1:2" x14ac:dyDescent="0.25">
      <c r="A5315" s="20">
        <v>12163074</v>
      </c>
      <c r="B5315" s="20" t="s">
        <v>4025</v>
      </c>
    </row>
    <row r="5316" spans="1:2" x14ac:dyDescent="0.25">
      <c r="A5316" s="20" t="s">
        <v>4377</v>
      </c>
      <c r="B5316" s="20" t="s">
        <v>4025</v>
      </c>
    </row>
    <row r="5317" spans="1:2" x14ac:dyDescent="0.25">
      <c r="A5317" s="20">
        <v>12158795</v>
      </c>
      <c r="B5317" s="20" t="s">
        <v>4025</v>
      </c>
    </row>
    <row r="5318" spans="1:2" x14ac:dyDescent="0.25">
      <c r="A5318" s="20" t="s">
        <v>4393</v>
      </c>
      <c r="B5318" s="20" t="s">
        <v>4025</v>
      </c>
    </row>
    <row r="5319" spans="1:2" x14ac:dyDescent="0.25">
      <c r="A5319" s="20" t="s">
        <v>4399</v>
      </c>
      <c r="B5319" s="20" t="s">
        <v>4025</v>
      </c>
    </row>
    <row r="5320" spans="1:2" x14ac:dyDescent="0.25">
      <c r="A5320" s="20" t="s">
        <v>4036</v>
      </c>
      <c r="B5320" s="20" t="s">
        <v>4025</v>
      </c>
    </row>
    <row r="5321" spans="1:2" x14ac:dyDescent="0.25">
      <c r="A5321" s="20" t="s">
        <v>4044</v>
      </c>
      <c r="B5321" s="20" t="s">
        <v>4025</v>
      </c>
    </row>
    <row r="5322" spans="1:2" x14ac:dyDescent="0.25">
      <c r="A5322" s="20" t="s">
        <v>4053</v>
      </c>
      <c r="B5322" s="20" t="s">
        <v>4025</v>
      </c>
    </row>
    <row r="5323" spans="1:2" x14ac:dyDescent="0.25">
      <c r="A5323" s="20" t="s">
        <v>4063</v>
      </c>
      <c r="B5323" s="20" t="s">
        <v>4025</v>
      </c>
    </row>
    <row r="5324" spans="1:2" x14ac:dyDescent="0.25">
      <c r="A5324" s="20" t="s">
        <v>4072</v>
      </c>
      <c r="B5324" s="20" t="s">
        <v>4025</v>
      </c>
    </row>
    <row r="5325" spans="1:2" x14ac:dyDescent="0.25">
      <c r="A5325" s="20" t="s">
        <v>4088</v>
      </c>
      <c r="B5325" s="20" t="s">
        <v>4025</v>
      </c>
    </row>
    <row r="5326" spans="1:2" x14ac:dyDescent="0.25">
      <c r="A5326" s="20" t="s">
        <v>4103</v>
      </c>
      <c r="B5326" s="20" t="s">
        <v>4025</v>
      </c>
    </row>
    <row r="5327" spans="1:2" x14ac:dyDescent="0.25">
      <c r="A5327" s="20">
        <v>-197974065</v>
      </c>
      <c r="B5327" s="20" t="s">
        <v>4025</v>
      </c>
    </row>
    <row r="5328" spans="1:2" x14ac:dyDescent="0.25">
      <c r="A5328" s="20" t="s">
        <v>4129</v>
      </c>
      <c r="B5328" s="20" t="s">
        <v>4025</v>
      </c>
    </row>
    <row r="5329" spans="1:2" x14ac:dyDescent="0.25">
      <c r="A5329" s="20" t="s">
        <v>4136</v>
      </c>
      <c r="B5329" s="20" t="s">
        <v>4025</v>
      </c>
    </row>
    <row r="5330" spans="1:2" x14ac:dyDescent="0.25">
      <c r="A5330" s="20" t="s">
        <v>4147</v>
      </c>
      <c r="B5330" s="20" t="s">
        <v>4025</v>
      </c>
    </row>
    <row r="5331" spans="1:2" x14ac:dyDescent="0.25">
      <c r="A5331" s="20">
        <v>145818800</v>
      </c>
      <c r="B5331" s="20" t="s">
        <v>4025</v>
      </c>
    </row>
    <row r="5332" spans="1:2" x14ac:dyDescent="0.25">
      <c r="A5332" s="20" t="s">
        <v>4178</v>
      </c>
      <c r="B5332" s="20" t="s">
        <v>4025</v>
      </c>
    </row>
    <row r="5333" spans="1:2" x14ac:dyDescent="0.25">
      <c r="A5333" s="20" t="s">
        <v>4146</v>
      </c>
      <c r="B5333" s="20" t="s">
        <v>4025</v>
      </c>
    </row>
    <row r="5334" spans="1:2" x14ac:dyDescent="0.25">
      <c r="A5334" s="20">
        <v>-12174962</v>
      </c>
      <c r="B5334" s="20" t="s">
        <v>4025</v>
      </c>
    </row>
    <row r="5335" spans="1:2" x14ac:dyDescent="0.25">
      <c r="A5335" s="20" t="s">
        <v>4177</v>
      </c>
      <c r="B5335" s="20" t="s">
        <v>4025</v>
      </c>
    </row>
    <row r="5336" spans="1:2" x14ac:dyDescent="0.25">
      <c r="A5336" s="20" t="s">
        <v>4195</v>
      </c>
      <c r="B5336" s="20" t="s">
        <v>4025</v>
      </c>
    </row>
    <row r="5337" spans="1:2" x14ac:dyDescent="0.25">
      <c r="A5337" s="20" t="s">
        <v>4209</v>
      </c>
      <c r="B5337" s="20" t="s">
        <v>4025</v>
      </c>
    </row>
    <row r="5338" spans="1:2" x14ac:dyDescent="0.25">
      <c r="A5338" s="20">
        <v>-377438344</v>
      </c>
      <c r="B5338" s="20" t="s">
        <v>4025</v>
      </c>
    </row>
    <row r="5339" spans="1:2" x14ac:dyDescent="0.25">
      <c r="A5339" s="20" t="s">
        <v>4228</v>
      </c>
      <c r="B5339" s="20" t="s">
        <v>4025</v>
      </c>
    </row>
    <row r="5340" spans="1:2" x14ac:dyDescent="0.25">
      <c r="A5340" s="20" t="s">
        <v>4237</v>
      </c>
      <c r="B5340" s="20" t="s">
        <v>4025</v>
      </c>
    </row>
    <row r="5341" spans="1:2" x14ac:dyDescent="0.25">
      <c r="A5341" s="20" t="s">
        <v>4249</v>
      </c>
      <c r="B5341" s="20" t="s">
        <v>4025</v>
      </c>
    </row>
    <row r="5342" spans="1:2" x14ac:dyDescent="0.25">
      <c r="A5342" s="20" t="s">
        <v>4258</v>
      </c>
      <c r="B5342" s="20" t="s">
        <v>4025</v>
      </c>
    </row>
    <row r="5343" spans="1:2" x14ac:dyDescent="0.25">
      <c r="A5343" s="20" t="s">
        <v>4266</v>
      </c>
      <c r="B5343" s="20" t="s">
        <v>4025</v>
      </c>
    </row>
    <row r="5344" spans="1:2" x14ac:dyDescent="0.25">
      <c r="A5344" s="20" t="s">
        <v>4276</v>
      </c>
      <c r="B5344" s="20" t="s">
        <v>4025</v>
      </c>
    </row>
    <row r="5345" spans="1:2" x14ac:dyDescent="0.25">
      <c r="A5345" s="20" t="s">
        <v>4292</v>
      </c>
      <c r="B5345" s="20" t="s">
        <v>4025</v>
      </c>
    </row>
    <row r="5346" spans="1:2" x14ac:dyDescent="0.25">
      <c r="A5346" s="20" t="s">
        <v>4305</v>
      </c>
      <c r="B5346" s="20" t="s">
        <v>4025</v>
      </c>
    </row>
    <row r="5347" spans="1:2" x14ac:dyDescent="0.25">
      <c r="A5347" s="20">
        <v>-12143825</v>
      </c>
      <c r="B5347" s="20" t="s">
        <v>4025</v>
      </c>
    </row>
    <row r="5348" spans="1:2" x14ac:dyDescent="0.25">
      <c r="A5348" s="20" t="s">
        <v>4329</v>
      </c>
      <c r="B5348" s="20" t="s">
        <v>4025</v>
      </c>
    </row>
    <row r="5349" spans="1:2" x14ac:dyDescent="0.25">
      <c r="A5349" s="20" t="s">
        <v>4339</v>
      </c>
      <c r="B5349" s="20" t="s">
        <v>4025</v>
      </c>
    </row>
    <row r="5350" spans="1:2" x14ac:dyDescent="0.25">
      <c r="A5350" s="20" t="s">
        <v>4349</v>
      </c>
      <c r="B5350" s="20" t="s">
        <v>4025</v>
      </c>
    </row>
    <row r="5351" spans="1:2" x14ac:dyDescent="0.25">
      <c r="A5351" s="20" t="s">
        <v>4358</v>
      </c>
      <c r="B5351" s="20" t="s">
        <v>4025</v>
      </c>
    </row>
    <row r="5352" spans="1:2" x14ac:dyDescent="0.25">
      <c r="A5352" s="20" t="s">
        <v>4366</v>
      </c>
      <c r="B5352" s="20" t="s">
        <v>4025</v>
      </c>
    </row>
    <row r="5353" spans="1:2" x14ac:dyDescent="0.25">
      <c r="A5353" s="20" t="s">
        <v>4372</v>
      </c>
      <c r="B5353" s="20" t="s">
        <v>4025</v>
      </c>
    </row>
    <row r="5354" spans="1:2" x14ac:dyDescent="0.25">
      <c r="A5354" s="20" t="s">
        <v>4380</v>
      </c>
      <c r="B5354" s="20" t="s">
        <v>4025</v>
      </c>
    </row>
    <row r="5355" spans="1:2" x14ac:dyDescent="0.25">
      <c r="A5355" s="20" t="s">
        <v>4388</v>
      </c>
      <c r="B5355" s="20" t="s">
        <v>4025</v>
      </c>
    </row>
    <row r="5356" spans="1:2" x14ac:dyDescent="0.25">
      <c r="A5356" s="20">
        <v>165303424</v>
      </c>
      <c r="B5356" s="20" t="s">
        <v>4025</v>
      </c>
    </row>
    <row r="5357" spans="1:2" x14ac:dyDescent="0.25">
      <c r="A5357" s="20" t="s">
        <v>4402</v>
      </c>
      <c r="B5357" s="20" t="s">
        <v>4025</v>
      </c>
    </row>
    <row r="5358" spans="1:2" x14ac:dyDescent="0.25">
      <c r="A5358" s="20" t="s">
        <v>4408</v>
      </c>
      <c r="B5358" s="20" t="s">
        <v>4025</v>
      </c>
    </row>
    <row r="5359" spans="1:2" x14ac:dyDescent="0.25">
      <c r="A5359" s="20" t="s">
        <v>4413</v>
      </c>
      <c r="B5359" s="20" t="s">
        <v>4025</v>
      </c>
    </row>
    <row r="5360" spans="1:2" x14ac:dyDescent="0.25">
      <c r="A5360" s="20" t="s">
        <v>4417</v>
      </c>
      <c r="B5360" s="20" t="s">
        <v>4025</v>
      </c>
    </row>
    <row r="5361" spans="1:2" x14ac:dyDescent="0.25">
      <c r="A5361" s="20" t="s">
        <v>4422</v>
      </c>
      <c r="B5361" s="20" t="s">
        <v>4025</v>
      </c>
    </row>
    <row r="5362" spans="1:2" x14ac:dyDescent="0.25">
      <c r="A5362" s="20" t="s">
        <v>4428</v>
      </c>
      <c r="B5362" s="20" t="s">
        <v>4025</v>
      </c>
    </row>
    <row r="5363" spans="1:2" x14ac:dyDescent="0.25">
      <c r="A5363" s="20" t="s">
        <v>4026</v>
      </c>
      <c r="B5363" s="20" t="s">
        <v>4026</v>
      </c>
    </row>
    <row r="5364" spans="1:2" x14ac:dyDescent="0.25">
      <c r="A5364" s="20" t="s">
        <v>4030</v>
      </c>
      <c r="B5364" s="20" t="s">
        <v>4026</v>
      </c>
    </row>
    <row r="5365" spans="1:2" x14ac:dyDescent="0.25">
      <c r="A5365" s="20" t="s">
        <v>4033</v>
      </c>
      <c r="B5365" s="20" t="s">
        <v>4026</v>
      </c>
    </row>
    <row r="5366" spans="1:2" x14ac:dyDescent="0.25">
      <c r="A5366" s="20" t="s">
        <v>4039</v>
      </c>
      <c r="B5366" s="20" t="s">
        <v>4026</v>
      </c>
    </row>
    <row r="5367" spans="1:2" x14ac:dyDescent="0.25">
      <c r="A5367" s="20" t="s">
        <v>4048</v>
      </c>
      <c r="B5367" s="20" t="s">
        <v>4026</v>
      </c>
    </row>
    <row r="5368" spans="1:2" x14ac:dyDescent="0.25">
      <c r="A5368" s="20" t="s">
        <v>4059</v>
      </c>
      <c r="B5368" s="20" t="s">
        <v>4026</v>
      </c>
    </row>
    <row r="5369" spans="1:2" x14ac:dyDescent="0.25">
      <c r="A5369" s="20">
        <v>196358978</v>
      </c>
      <c r="B5369" s="20" t="s">
        <v>4026</v>
      </c>
    </row>
    <row r="5370" spans="1:2" x14ac:dyDescent="0.25">
      <c r="A5370" s="20" t="s">
        <v>4080</v>
      </c>
      <c r="B5370" s="20" t="s">
        <v>4026</v>
      </c>
    </row>
    <row r="5371" spans="1:2" x14ac:dyDescent="0.25">
      <c r="A5371" s="20" t="s">
        <v>4096</v>
      </c>
      <c r="B5371" s="20" t="s">
        <v>4026</v>
      </c>
    </row>
    <row r="5372" spans="1:2" x14ac:dyDescent="0.25">
      <c r="A5372" s="20" t="s">
        <v>4111</v>
      </c>
      <c r="B5372" s="20" t="s">
        <v>4026</v>
      </c>
    </row>
    <row r="5373" spans="1:2" x14ac:dyDescent="0.25">
      <c r="A5373" s="20" t="s">
        <v>4124</v>
      </c>
      <c r="B5373" s="20" t="s">
        <v>4026</v>
      </c>
    </row>
    <row r="5374" spans="1:2" x14ac:dyDescent="0.25">
      <c r="A5374" s="20" t="s">
        <v>4134</v>
      </c>
      <c r="B5374" s="20" t="s">
        <v>4026</v>
      </c>
    </row>
    <row r="5375" spans="1:2" x14ac:dyDescent="0.25">
      <c r="A5375" s="20" t="s">
        <v>4141</v>
      </c>
      <c r="B5375" s="20" t="s">
        <v>4026</v>
      </c>
    </row>
    <row r="5376" spans="1:2" x14ac:dyDescent="0.25">
      <c r="A5376" s="20" t="s">
        <v>4153</v>
      </c>
      <c r="B5376" s="20" t="s">
        <v>4026</v>
      </c>
    </row>
    <row r="5377" spans="1:2" x14ac:dyDescent="0.25">
      <c r="A5377" s="20" t="s">
        <v>4167</v>
      </c>
      <c r="B5377" s="20" t="s">
        <v>4026</v>
      </c>
    </row>
    <row r="5378" spans="1:2" x14ac:dyDescent="0.25">
      <c r="A5378" s="20" t="s">
        <v>4186</v>
      </c>
      <c r="B5378" s="20" t="s">
        <v>4026</v>
      </c>
    </row>
    <row r="5379" spans="1:2" x14ac:dyDescent="0.25">
      <c r="A5379" s="20">
        <v>134558401</v>
      </c>
      <c r="B5379" s="20" t="s">
        <v>4026</v>
      </c>
    </row>
    <row r="5380" spans="1:2" x14ac:dyDescent="0.25">
      <c r="A5380" s="20">
        <v>134558400</v>
      </c>
      <c r="B5380" s="20" t="s">
        <v>4026</v>
      </c>
    </row>
    <row r="5381" spans="1:2" x14ac:dyDescent="0.25">
      <c r="A5381" s="20" t="s">
        <v>4040</v>
      </c>
      <c r="B5381" s="20" t="s">
        <v>4026</v>
      </c>
    </row>
    <row r="5382" spans="1:2" x14ac:dyDescent="0.25">
      <c r="A5382" s="20" t="s">
        <v>4049</v>
      </c>
      <c r="B5382" s="20" t="s">
        <v>4026</v>
      </c>
    </row>
    <row r="5383" spans="1:2" x14ac:dyDescent="0.25">
      <c r="A5383" s="20">
        <v>313260439</v>
      </c>
      <c r="B5383" s="20" t="s">
        <v>4026</v>
      </c>
    </row>
    <row r="5384" spans="1:2" x14ac:dyDescent="0.25">
      <c r="A5384" s="20">
        <v>424803249</v>
      </c>
      <c r="B5384" s="20" t="s">
        <v>4026</v>
      </c>
    </row>
    <row r="5385" spans="1:2" x14ac:dyDescent="0.25">
      <c r="A5385" s="20" t="s">
        <v>4081</v>
      </c>
      <c r="B5385" s="20" t="s">
        <v>4026</v>
      </c>
    </row>
    <row r="5386" spans="1:2" x14ac:dyDescent="0.25">
      <c r="A5386" s="20" t="s">
        <v>4097</v>
      </c>
      <c r="B5386" s="20" t="s">
        <v>4026</v>
      </c>
    </row>
    <row r="5387" spans="1:2" x14ac:dyDescent="0.25">
      <c r="A5387" s="20">
        <v>423972760</v>
      </c>
      <c r="B5387" s="20" t="s">
        <v>4026</v>
      </c>
    </row>
    <row r="5388" spans="1:2" x14ac:dyDescent="0.25">
      <c r="A5388" s="20" t="s">
        <v>4125</v>
      </c>
      <c r="B5388" s="20" t="s">
        <v>4026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26AD22-71DD-4D5D-8D00-7E5510DC235A}">
  <sheetPr codeName="Sheet3"/>
  <dimension ref="A1:FP265"/>
  <sheetViews>
    <sheetView topLeftCell="FG1" zoomScaleNormal="100" workbookViewId="0">
      <selection activeCell="FG1" sqref="A1:XFD1"/>
    </sheetView>
  </sheetViews>
  <sheetFormatPr defaultRowHeight="15" x14ac:dyDescent="0.25"/>
  <cols>
    <col min="1" max="1" width="15.5703125" customWidth="1"/>
    <col min="163" max="163" width="8.42578125" customWidth="1"/>
    <col min="169" max="169" width="57.85546875" customWidth="1"/>
    <col min="170" max="170" width="24" customWidth="1"/>
  </cols>
  <sheetData>
    <row r="1" spans="1:172" x14ac:dyDescent="0.25">
      <c r="A1" t="s">
        <v>1090</v>
      </c>
      <c r="B1" t="s">
        <v>1091</v>
      </c>
      <c r="C1" t="s">
        <v>1092</v>
      </c>
      <c r="D1" t="s">
        <v>1093</v>
      </c>
      <c r="E1" t="s">
        <v>1094</v>
      </c>
      <c r="F1" t="s">
        <v>1095</v>
      </c>
      <c r="G1" t="s">
        <v>1096</v>
      </c>
      <c r="H1" t="s">
        <v>1097</v>
      </c>
      <c r="I1" t="s">
        <v>1098</v>
      </c>
      <c r="J1" t="s">
        <v>1099</v>
      </c>
      <c r="K1" t="s">
        <v>1100</v>
      </c>
      <c r="L1" t="s">
        <v>1101</v>
      </c>
      <c r="M1" t="s">
        <v>1102</v>
      </c>
      <c r="N1" t="s">
        <v>1103</v>
      </c>
      <c r="O1" t="s">
        <v>1104</v>
      </c>
      <c r="P1" t="s">
        <v>1105</v>
      </c>
      <c r="Q1" t="s">
        <v>1106</v>
      </c>
      <c r="R1" t="s">
        <v>1107</v>
      </c>
      <c r="S1" t="s">
        <v>1108</v>
      </c>
      <c r="T1" t="s">
        <v>1109</v>
      </c>
      <c r="U1" t="s">
        <v>1110</v>
      </c>
      <c r="V1" t="s">
        <v>1111</v>
      </c>
      <c r="W1" t="s">
        <v>1112</v>
      </c>
      <c r="X1" t="s">
        <v>1113</v>
      </c>
      <c r="Y1" t="s">
        <v>1114</v>
      </c>
      <c r="Z1" t="s">
        <v>1115</v>
      </c>
      <c r="AA1" t="s">
        <v>1116</v>
      </c>
      <c r="AB1" t="s">
        <v>1117</v>
      </c>
      <c r="AC1" t="s">
        <v>1118</v>
      </c>
      <c r="AD1" t="s">
        <v>1119</v>
      </c>
      <c r="AE1" t="s">
        <v>1120</v>
      </c>
      <c r="AF1" t="s">
        <v>1121</v>
      </c>
      <c r="AG1" t="s">
        <v>1122</v>
      </c>
      <c r="AH1" t="s">
        <v>1123</v>
      </c>
      <c r="AI1" t="s">
        <v>1124</v>
      </c>
      <c r="AJ1" t="s">
        <v>1125</v>
      </c>
      <c r="AK1" t="s">
        <v>1126</v>
      </c>
      <c r="AL1" t="s">
        <v>1127</v>
      </c>
      <c r="AM1" t="s">
        <v>1128</v>
      </c>
      <c r="AN1" t="s">
        <v>1129</v>
      </c>
      <c r="AO1" t="s">
        <v>1130</v>
      </c>
      <c r="AP1" t="s">
        <v>1131</v>
      </c>
      <c r="AQ1" t="s">
        <v>1132</v>
      </c>
      <c r="AR1" t="s">
        <v>1133</v>
      </c>
      <c r="AS1" t="s">
        <v>1134</v>
      </c>
      <c r="AT1" t="s">
        <v>1135</v>
      </c>
      <c r="AU1" t="s">
        <v>1136</v>
      </c>
      <c r="AV1" t="s">
        <v>1137</v>
      </c>
      <c r="AW1" t="s">
        <v>1138</v>
      </c>
      <c r="AX1" t="s">
        <v>1139</v>
      </c>
      <c r="AY1" t="s">
        <v>1140</v>
      </c>
      <c r="AZ1" t="s">
        <v>1141</v>
      </c>
      <c r="BA1" t="s">
        <v>1142</v>
      </c>
      <c r="BB1" t="s">
        <v>1143</v>
      </c>
      <c r="BC1" t="s">
        <v>1144</v>
      </c>
      <c r="BD1" t="s">
        <v>1145</v>
      </c>
      <c r="BE1" t="s">
        <v>1146</v>
      </c>
      <c r="BF1" t="s">
        <v>1147</v>
      </c>
      <c r="BG1" t="s">
        <v>1148</v>
      </c>
      <c r="BH1" t="s">
        <v>1149</v>
      </c>
      <c r="BI1" t="s">
        <v>1150</v>
      </c>
      <c r="BJ1" t="s">
        <v>1151</v>
      </c>
      <c r="BK1" t="s">
        <v>1152</v>
      </c>
      <c r="BL1" t="s">
        <v>1153</v>
      </c>
      <c r="BM1" t="s">
        <v>1154</v>
      </c>
      <c r="BN1" t="s">
        <v>1155</v>
      </c>
      <c r="BO1" t="s">
        <v>1156</v>
      </c>
      <c r="BP1" t="s">
        <v>1157</v>
      </c>
      <c r="BQ1" t="s">
        <v>1158</v>
      </c>
      <c r="BR1" t="s">
        <v>1159</v>
      </c>
      <c r="BS1" t="s">
        <v>1160</v>
      </c>
      <c r="BT1" t="s">
        <v>1161</v>
      </c>
      <c r="BU1" t="s">
        <v>1162</v>
      </c>
      <c r="BV1" t="s">
        <v>1163</v>
      </c>
      <c r="BW1" t="s">
        <v>1164</v>
      </c>
      <c r="BX1" t="s">
        <v>1165</v>
      </c>
      <c r="BY1" t="s">
        <v>1166</v>
      </c>
      <c r="BZ1" t="s">
        <v>1167</v>
      </c>
      <c r="CA1" t="s">
        <v>1168</v>
      </c>
      <c r="CB1" t="s">
        <v>1169</v>
      </c>
      <c r="CC1" t="s">
        <v>1170</v>
      </c>
      <c r="CD1" t="s">
        <v>1171</v>
      </c>
      <c r="CE1" t="s">
        <v>1172</v>
      </c>
      <c r="CF1" t="s">
        <v>1173</v>
      </c>
      <c r="CG1" t="s">
        <v>1174</v>
      </c>
      <c r="CH1" t="s">
        <v>1175</v>
      </c>
      <c r="CI1" t="s">
        <v>1176</v>
      </c>
      <c r="CJ1" t="s">
        <v>1177</v>
      </c>
      <c r="CK1" t="s">
        <v>1178</v>
      </c>
      <c r="CL1" t="s">
        <v>1179</v>
      </c>
      <c r="CM1" t="s">
        <v>1180</v>
      </c>
      <c r="CN1" t="s">
        <v>1181</v>
      </c>
      <c r="CO1" t="s">
        <v>1182</v>
      </c>
      <c r="CP1" t="s">
        <v>1183</v>
      </c>
      <c r="CQ1" t="s">
        <v>1184</v>
      </c>
      <c r="CR1" t="s">
        <v>1185</v>
      </c>
      <c r="CS1" t="s">
        <v>1186</v>
      </c>
      <c r="CT1" t="s">
        <v>1187</v>
      </c>
      <c r="CU1" t="s">
        <v>1188</v>
      </c>
      <c r="CV1" t="s">
        <v>1189</v>
      </c>
      <c r="CW1" t="s">
        <v>1190</v>
      </c>
      <c r="CX1" t="s">
        <v>1191</v>
      </c>
      <c r="CY1" t="s">
        <v>1192</v>
      </c>
      <c r="CZ1" t="s">
        <v>1193</v>
      </c>
      <c r="DA1" t="s">
        <v>1194</v>
      </c>
      <c r="DB1" t="s">
        <v>1195</v>
      </c>
      <c r="DC1" t="s">
        <v>1196</v>
      </c>
      <c r="DD1" t="s">
        <v>1197</v>
      </c>
      <c r="DE1" t="s">
        <v>1198</v>
      </c>
      <c r="DF1" t="s">
        <v>1199</v>
      </c>
      <c r="DG1" t="s">
        <v>1200</v>
      </c>
      <c r="DH1" t="s">
        <v>1201</v>
      </c>
      <c r="DI1" t="s">
        <v>1202</v>
      </c>
      <c r="DJ1" t="s">
        <v>1203</v>
      </c>
      <c r="DK1" t="s">
        <v>1204</v>
      </c>
      <c r="DL1" t="s">
        <v>1205</v>
      </c>
      <c r="DM1" t="s">
        <v>1206</v>
      </c>
      <c r="DN1" t="s">
        <v>1207</v>
      </c>
      <c r="DO1" t="s">
        <v>1208</v>
      </c>
      <c r="DP1" t="s">
        <v>1209</v>
      </c>
      <c r="DQ1" t="s">
        <v>1210</v>
      </c>
      <c r="DR1" t="s">
        <v>1211</v>
      </c>
      <c r="DS1" t="s">
        <v>1212</v>
      </c>
      <c r="DT1" t="s">
        <v>1213</v>
      </c>
      <c r="DU1" t="s">
        <v>1214</v>
      </c>
      <c r="DV1" t="s">
        <v>1215</v>
      </c>
      <c r="DW1" t="s">
        <v>1216</v>
      </c>
      <c r="DX1" t="s">
        <v>1217</v>
      </c>
      <c r="DY1" t="s">
        <v>1218</v>
      </c>
      <c r="DZ1" t="s">
        <v>1219</v>
      </c>
      <c r="EA1" t="s">
        <v>1220</v>
      </c>
      <c r="EB1" t="s">
        <v>1221</v>
      </c>
      <c r="EC1" t="s">
        <v>1222</v>
      </c>
      <c r="ED1" t="s">
        <v>1223</v>
      </c>
      <c r="EE1" t="s">
        <v>1224</v>
      </c>
      <c r="EF1" t="s">
        <v>1225</v>
      </c>
      <c r="EG1" t="s">
        <v>1226</v>
      </c>
      <c r="EH1" t="s">
        <v>1227</v>
      </c>
      <c r="EI1" t="s">
        <v>1228</v>
      </c>
      <c r="EJ1" t="s">
        <v>1229</v>
      </c>
      <c r="EK1" t="s">
        <v>1230</v>
      </c>
      <c r="EL1" t="s">
        <v>1231</v>
      </c>
      <c r="EM1" t="s">
        <v>1232</v>
      </c>
      <c r="EN1" t="s">
        <v>1233</v>
      </c>
      <c r="EO1" t="s">
        <v>1234</v>
      </c>
      <c r="EP1" t="s">
        <v>1235</v>
      </c>
      <c r="EQ1" t="s">
        <v>1236</v>
      </c>
      <c r="ER1" t="s">
        <v>1237</v>
      </c>
      <c r="ES1" t="s">
        <v>1238</v>
      </c>
      <c r="ET1" t="s">
        <v>1239</v>
      </c>
      <c r="EU1" t="s">
        <v>1240</v>
      </c>
      <c r="EV1" t="s">
        <v>1241</v>
      </c>
      <c r="EW1" t="s">
        <v>1242</v>
      </c>
      <c r="EX1" t="s">
        <v>1243</v>
      </c>
      <c r="EY1" t="s">
        <v>1244</v>
      </c>
      <c r="EZ1" t="s">
        <v>1245</v>
      </c>
      <c r="FA1" t="s">
        <v>1246</v>
      </c>
      <c r="FB1" t="s">
        <v>1247</v>
      </c>
      <c r="FC1" t="s">
        <v>1248</v>
      </c>
      <c r="FD1" t="s">
        <v>1249</v>
      </c>
      <c r="FE1" t="s">
        <v>1250</v>
      </c>
      <c r="FF1" t="s">
        <v>1251</v>
      </c>
      <c r="FG1" t="s">
        <v>1252</v>
      </c>
      <c r="FH1" t="s">
        <v>1253</v>
      </c>
      <c r="FI1" t="s">
        <v>1254</v>
      </c>
      <c r="FJ1" t="s">
        <v>1255</v>
      </c>
      <c r="FM1" t="s">
        <v>2515</v>
      </c>
      <c r="FN1" t="s">
        <v>2515</v>
      </c>
    </row>
    <row r="2" spans="1:172" x14ac:dyDescent="0.25">
      <c r="A2" t="s">
        <v>0</v>
      </c>
      <c r="B2" t="s">
        <v>0</v>
      </c>
      <c r="C2" t="s">
        <v>0</v>
      </c>
      <c r="D2" t="s">
        <v>0</v>
      </c>
      <c r="E2" t="s">
        <v>0</v>
      </c>
      <c r="F2" t="s">
        <v>0</v>
      </c>
      <c r="G2" t="s">
        <v>0</v>
      </c>
      <c r="H2" t="s">
        <v>0</v>
      </c>
      <c r="I2" t="s">
        <v>0</v>
      </c>
      <c r="J2" t="s">
        <v>0</v>
      </c>
      <c r="K2" t="s">
        <v>0</v>
      </c>
      <c r="L2" t="s">
        <v>0</v>
      </c>
      <c r="M2" t="s">
        <v>0</v>
      </c>
      <c r="N2" t="s">
        <v>0</v>
      </c>
      <c r="O2" t="s">
        <v>0</v>
      </c>
      <c r="P2" t="s">
        <v>0</v>
      </c>
      <c r="Q2" t="s">
        <v>0</v>
      </c>
      <c r="R2" t="s">
        <v>0</v>
      </c>
      <c r="S2" t="s">
        <v>0</v>
      </c>
      <c r="T2" t="s">
        <v>0</v>
      </c>
      <c r="U2" t="s">
        <v>0</v>
      </c>
      <c r="V2" t="s">
        <v>0</v>
      </c>
      <c r="W2" t="s">
        <v>0</v>
      </c>
      <c r="X2" t="s">
        <v>0</v>
      </c>
      <c r="Y2" t="s">
        <v>0</v>
      </c>
      <c r="Z2" t="s">
        <v>0</v>
      </c>
      <c r="AA2" t="s">
        <v>0</v>
      </c>
      <c r="AB2" t="s">
        <v>0</v>
      </c>
      <c r="AC2" t="s">
        <v>0</v>
      </c>
      <c r="AD2" t="s">
        <v>0</v>
      </c>
      <c r="AE2" t="s">
        <v>0</v>
      </c>
      <c r="AF2" t="s">
        <v>0</v>
      </c>
      <c r="AG2" t="s">
        <v>0</v>
      </c>
      <c r="AH2" t="s">
        <v>0</v>
      </c>
      <c r="AI2" t="s">
        <v>0</v>
      </c>
      <c r="AJ2" t="s">
        <v>0</v>
      </c>
      <c r="AK2" t="s">
        <v>0</v>
      </c>
      <c r="AL2" t="s">
        <v>235</v>
      </c>
      <c r="AM2" t="s">
        <v>235</v>
      </c>
      <c r="AN2" t="s">
        <v>235</v>
      </c>
      <c r="AO2" t="s">
        <v>235</v>
      </c>
      <c r="AP2" t="s">
        <v>235</v>
      </c>
      <c r="AQ2" t="s">
        <v>235</v>
      </c>
      <c r="AR2" t="s">
        <v>235</v>
      </c>
      <c r="AS2" t="s">
        <v>482</v>
      </c>
      <c r="AT2" t="s">
        <v>482</v>
      </c>
      <c r="AU2" t="s">
        <v>482</v>
      </c>
      <c r="AV2" t="s">
        <v>482</v>
      </c>
      <c r="AW2" t="s">
        <v>482</v>
      </c>
      <c r="AX2" t="s">
        <v>482</v>
      </c>
      <c r="AY2" t="s">
        <v>482</v>
      </c>
      <c r="AZ2" t="s">
        <v>482</v>
      </c>
      <c r="BA2" t="s">
        <v>482</v>
      </c>
      <c r="BB2" t="s">
        <v>482</v>
      </c>
      <c r="BC2" t="s">
        <v>482</v>
      </c>
      <c r="BD2" t="s">
        <v>482</v>
      </c>
      <c r="BE2" t="s">
        <v>482</v>
      </c>
      <c r="BF2" t="s">
        <v>482</v>
      </c>
      <c r="BG2" t="s">
        <v>482</v>
      </c>
      <c r="BH2" t="s">
        <v>482</v>
      </c>
      <c r="BI2" t="s">
        <v>482</v>
      </c>
      <c r="BJ2" t="s">
        <v>482</v>
      </c>
      <c r="BK2" t="s">
        <v>482</v>
      </c>
      <c r="BL2" t="s">
        <v>482</v>
      </c>
      <c r="BM2" t="s">
        <v>546</v>
      </c>
      <c r="BN2" t="s">
        <v>546</v>
      </c>
      <c r="BO2" t="s">
        <v>546</v>
      </c>
      <c r="BP2" t="s">
        <v>546</v>
      </c>
      <c r="BQ2" t="s">
        <v>546</v>
      </c>
      <c r="BR2" t="s">
        <v>546</v>
      </c>
      <c r="BS2" t="s">
        <v>546</v>
      </c>
      <c r="BT2" t="s">
        <v>546</v>
      </c>
      <c r="BU2" t="s">
        <v>546</v>
      </c>
      <c r="BV2" t="s">
        <v>546</v>
      </c>
      <c r="BW2" t="s">
        <v>546</v>
      </c>
      <c r="BX2" t="s">
        <v>546</v>
      </c>
      <c r="BY2" t="s">
        <v>546</v>
      </c>
      <c r="BZ2" t="s">
        <v>546</v>
      </c>
      <c r="CA2" t="s">
        <v>546</v>
      </c>
      <c r="CB2" t="s">
        <v>546</v>
      </c>
      <c r="CC2" t="s">
        <v>546</v>
      </c>
      <c r="CD2" t="s">
        <v>546</v>
      </c>
      <c r="CE2" t="s">
        <v>546</v>
      </c>
      <c r="CF2" t="s">
        <v>546</v>
      </c>
      <c r="CG2" t="s">
        <v>546</v>
      </c>
      <c r="CH2" t="s">
        <v>546</v>
      </c>
      <c r="CI2" t="s">
        <v>546</v>
      </c>
      <c r="CJ2" t="s">
        <v>546</v>
      </c>
      <c r="CK2" t="s">
        <v>546</v>
      </c>
      <c r="CL2" t="s">
        <v>546</v>
      </c>
      <c r="CM2" t="s">
        <v>546</v>
      </c>
      <c r="CN2" t="s">
        <v>546</v>
      </c>
      <c r="CO2" t="s">
        <v>546</v>
      </c>
      <c r="CP2" t="s">
        <v>546</v>
      </c>
      <c r="CQ2" t="s">
        <v>546</v>
      </c>
      <c r="CR2" t="s">
        <v>546</v>
      </c>
      <c r="CS2" t="s">
        <v>546</v>
      </c>
      <c r="CT2" t="s">
        <v>546</v>
      </c>
      <c r="CU2" t="s">
        <v>546</v>
      </c>
      <c r="CV2" t="s">
        <v>546</v>
      </c>
      <c r="CW2" t="s">
        <v>546</v>
      </c>
      <c r="CX2" t="s">
        <v>546</v>
      </c>
      <c r="CY2" t="s">
        <v>546</v>
      </c>
      <c r="CZ2" t="s">
        <v>546</v>
      </c>
      <c r="DA2" t="s">
        <v>546</v>
      </c>
      <c r="DB2" t="s">
        <v>546</v>
      </c>
      <c r="DC2" t="s">
        <v>546</v>
      </c>
      <c r="DD2" t="s">
        <v>546</v>
      </c>
      <c r="DE2" t="s">
        <v>546</v>
      </c>
      <c r="DF2" t="s">
        <v>546</v>
      </c>
      <c r="DG2" t="s">
        <v>546</v>
      </c>
      <c r="DH2" t="s">
        <v>546</v>
      </c>
      <c r="DI2" t="s">
        <v>546</v>
      </c>
      <c r="DJ2" t="s">
        <v>546</v>
      </c>
      <c r="DK2" t="s">
        <v>546</v>
      </c>
      <c r="DL2" t="s">
        <v>546</v>
      </c>
      <c r="DM2" t="s">
        <v>546</v>
      </c>
      <c r="DN2" t="s">
        <v>546</v>
      </c>
      <c r="DO2" t="s">
        <v>546</v>
      </c>
      <c r="DP2" t="s">
        <v>546</v>
      </c>
      <c r="DQ2" t="s">
        <v>546</v>
      </c>
      <c r="DR2" t="s">
        <v>546</v>
      </c>
      <c r="DS2" t="s">
        <v>546</v>
      </c>
      <c r="DT2" t="s">
        <v>122</v>
      </c>
      <c r="DU2" t="s">
        <v>122</v>
      </c>
      <c r="DV2" t="s">
        <v>122</v>
      </c>
      <c r="DW2" t="s">
        <v>122</v>
      </c>
      <c r="DX2" t="s">
        <v>122</v>
      </c>
      <c r="DY2" t="s">
        <v>122</v>
      </c>
      <c r="DZ2" t="s">
        <v>122</v>
      </c>
      <c r="EA2" t="s">
        <v>122</v>
      </c>
      <c r="EB2" t="s">
        <v>122</v>
      </c>
      <c r="EC2" t="s">
        <v>122</v>
      </c>
      <c r="ED2" t="s">
        <v>122</v>
      </c>
      <c r="EE2" t="s">
        <v>122</v>
      </c>
      <c r="EF2" t="s">
        <v>122</v>
      </c>
      <c r="EG2" t="s">
        <v>122</v>
      </c>
      <c r="EH2" t="s">
        <v>122</v>
      </c>
      <c r="EI2" t="s">
        <v>122</v>
      </c>
      <c r="EJ2" t="s">
        <v>122</v>
      </c>
      <c r="EK2" t="s">
        <v>122</v>
      </c>
      <c r="EL2" t="s">
        <v>122</v>
      </c>
      <c r="EM2" t="s">
        <v>122</v>
      </c>
      <c r="EN2" t="s">
        <v>122</v>
      </c>
      <c r="EO2" t="s">
        <v>122</v>
      </c>
      <c r="EP2" t="s">
        <v>122</v>
      </c>
      <c r="EQ2" t="s">
        <v>122</v>
      </c>
      <c r="ER2" t="s">
        <v>122</v>
      </c>
      <c r="ES2" t="s">
        <v>122</v>
      </c>
      <c r="ET2" t="s">
        <v>122</v>
      </c>
      <c r="EU2" t="s">
        <v>122</v>
      </c>
      <c r="EV2" t="s">
        <v>122</v>
      </c>
      <c r="EW2" t="s">
        <v>122</v>
      </c>
      <c r="EX2" t="s">
        <v>122</v>
      </c>
      <c r="EY2" t="s">
        <v>122</v>
      </c>
      <c r="EZ2" t="s">
        <v>122</v>
      </c>
      <c r="FA2" t="s">
        <v>122</v>
      </c>
      <c r="FB2" t="s">
        <v>122</v>
      </c>
      <c r="FC2" t="s">
        <v>122</v>
      </c>
      <c r="FD2" t="s">
        <v>122</v>
      </c>
      <c r="FE2" t="s">
        <v>122</v>
      </c>
      <c r="FF2" t="s">
        <v>122</v>
      </c>
      <c r="FG2" t="s">
        <v>122</v>
      </c>
      <c r="FH2" t="s">
        <v>900</v>
      </c>
      <c r="FI2" t="s">
        <v>900</v>
      </c>
      <c r="FJ2" t="s">
        <v>900</v>
      </c>
      <c r="FM2" t="str">
        <f>_xlfn.CONCAT(FN2,FO2,CHAR(34),FP2)</f>
        <v xml:space="preserve">    &lt;route id="Router3_1" edges="-gneE80.0 -gneE80.17 -gneE41 gneE44 -388756838#2 -388756838#1 -388756838#0 42706817#0 386547310 gneE69 -388756838#2 -388756838#1 -388756838#0 -388756839#1 -388756839#0 -194358837#2 -194358837#0 194358838#0 194358838#1 194358838#2 194358838#3 387422145#0 387422145#3 386995499#0 386995499#2 -51155368#13 -51155368#10 -51155368#7 121319040#0 121319040#1 386995507#0 386995507#1 386995507#2 386995507#3 12182281#7 42706837#0 42706837#1 42706837#2 42706837#3 43357814#2 43357814#3 386995526#0 386995526#1 -51050425#4 -51050425#3 -51050425#2 12162659#0 12162659#1 -12175537#4 -12175537#3 -12175537#2 -12175537#1 -50033059#3 -50033059#2 -386995514#7 -12199713#2 12177498 42706833#2 51155368#0 -50033558#5 -50033558#3 -50033558#2 -62105579 -32121234#1 -32121234#0 42706874#0 42706874#2 55179414#0 55179413#0 424769182 -450827405#2 -450827400#2 -450827382 -450827385#1 -450827391#1 -450827381 -450827397#1 12180696#0 59435515#1 59435515#2 59435515#3 59435515#4 424801338#1 12117702#0 12117702#4 12117702#7 -32121146#3 12202008#2.0 12202008#2.171 62646499#2 450827424#0 450827405#0 262962062 -55179413#2 12187610#0 12187610#2 12187610#3 -62105579 12186909#0 12186909#1 12186909#2 51155368#11 42706831#0 42706831#4 42706831#5 42706831#6 32121234#0 32121234#1 32121234#2 50033558#2 50033558#3 50033558#4 50033558#6 50033058#0 386995514#9 386995486#0 32121111#11 -12177521#0 -121319040#0 -51155368#5 -50033558#5 -50033558#3 -12188656 -121319046 -42706825#7 -42706825#4 -42706825#3 -42706825#1 194358815 194358817#0 194358817#1 194358817#2 12114363#0 12114363#1 -50033059#4 12175537#0 12175537#2 12175537#3 12175537#4 12175537#5 12175537#6 12175537#7 -43357814#2 42706837#4 42706837#5 42706837#6 42706837#7 42706837#8 42706837#9 12172918#0 12172918#1 12172918#2 gneE73 gneE75.0 gneE80.125"/&gt;</v>
      </c>
      <c r="FN2" t="s">
        <v>2516</v>
      </c>
      <c r="FO2" t="s">
        <v>1090</v>
      </c>
      <c r="FP2" t="s">
        <v>2519</v>
      </c>
    </row>
    <row r="3" spans="1:172" x14ac:dyDescent="0.25">
      <c r="A3" t="s">
        <v>1</v>
      </c>
      <c r="B3" t="s">
        <v>1</v>
      </c>
      <c r="C3" t="s">
        <v>1</v>
      </c>
      <c r="D3" t="s">
        <v>1</v>
      </c>
      <c r="E3" t="s">
        <v>1</v>
      </c>
      <c r="F3" t="s">
        <v>1</v>
      </c>
      <c r="G3" t="s">
        <v>1</v>
      </c>
      <c r="H3" t="s">
        <v>1</v>
      </c>
      <c r="I3" t="s">
        <v>1</v>
      </c>
      <c r="J3" t="s">
        <v>1</v>
      </c>
      <c r="K3" t="s">
        <v>1</v>
      </c>
      <c r="L3" t="s">
        <v>1</v>
      </c>
      <c r="M3" t="s">
        <v>1</v>
      </c>
      <c r="N3" t="s">
        <v>1</v>
      </c>
      <c r="O3" t="s">
        <v>1</v>
      </c>
      <c r="P3" t="s">
        <v>1</v>
      </c>
      <c r="Q3" t="s">
        <v>1</v>
      </c>
      <c r="R3" t="s">
        <v>1</v>
      </c>
      <c r="S3" t="s">
        <v>1</v>
      </c>
      <c r="T3" t="s">
        <v>1</v>
      </c>
      <c r="U3" t="s">
        <v>1</v>
      </c>
      <c r="V3" t="s">
        <v>1</v>
      </c>
      <c r="W3" t="s">
        <v>1</v>
      </c>
      <c r="X3" t="s">
        <v>1</v>
      </c>
      <c r="Y3" t="s">
        <v>1</v>
      </c>
      <c r="Z3" t="s">
        <v>1</v>
      </c>
      <c r="AA3" t="s">
        <v>1</v>
      </c>
      <c r="AB3" t="s">
        <v>1</v>
      </c>
      <c r="AC3" t="s">
        <v>1</v>
      </c>
      <c r="AD3" t="s">
        <v>1</v>
      </c>
      <c r="AE3" t="s">
        <v>1</v>
      </c>
      <c r="AF3" t="s">
        <v>1</v>
      </c>
      <c r="AG3" t="s">
        <v>1</v>
      </c>
      <c r="AH3" t="s">
        <v>1</v>
      </c>
      <c r="AI3" t="s">
        <v>1</v>
      </c>
      <c r="AJ3" t="s">
        <v>1</v>
      </c>
      <c r="AK3" t="s">
        <v>1</v>
      </c>
      <c r="AL3" t="s">
        <v>236</v>
      </c>
      <c r="AM3" t="s">
        <v>236</v>
      </c>
      <c r="AN3" t="s">
        <v>236</v>
      </c>
      <c r="AO3" t="s">
        <v>236</v>
      </c>
      <c r="AP3" t="s">
        <v>236</v>
      </c>
      <c r="AQ3" t="s">
        <v>236</v>
      </c>
      <c r="AR3" t="s">
        <v>236</v>
      </c>
      <c r="AS3" t="s">
        <v>192</v>
      </c>
      <c r="AT3" t="s">
        <v>192</v>
      </c>
      <c r="AU3" t="s">
        <v>192</v>
      </c>
      <c r="AV3" t="s">
        <v>192</v>
      </c>
      <c r="AW3" t="s">
        <v>192</v>
      </c>
      <c r="AX3" t="s">
        <v>192</v>
      </c>
      <c r="AY3" t="s">
        <v>192</v>
      </c>
      <c r="AZ3" t="s">
        <v>192</v>
      </c>
      <c r="BA3" t="s">
        <v>192</v>
      </c>
      <c r="BB3" t="s">
        <v>192</v>
      </c>
      <c r="BC3" t="s">
        <v>192</v>
      </c>
      <c r="BD3" t="s">
        <v>192</v>
      </c>
      <c r="BE3" t="s">
        <v>192</v>
      </c>
      <c r="BF3" t="s">
        <v>192</v>
      </c>
      <c r="BG3" t="s">
        <v>192</v>
      </c>
      <c r="BH3" t="s">
        <v>192</v>
      </c>
      <c r="BI3" t="s">
        <v>192</v>
      </c>
      <c r="BJ3" t="s">
        <v>192</v>
      </c>
      <c r="BK3" t="s">
        <v>192</v>
      </c>
      <c r="BL3" t="s">
        <v>192</v>
      </c>
      <c r="BM3" t="s">
        <v>547</v>
      </c>
      <c r="BN3" t="s">
        <v>547</v>
      </c>
      <c r="BO3" t="s">
        <v>547</v>
      </c>
      <c r="BP3" t="s">
        <v>547</v>
      </c>
      <c r="BQ3" t="s">
        <v>547</v>
      </c>
      <c r="BR3" t="s">
        <v>547</v>
      </c>
      <c r="BS3" t="s">
        <v>547</v>
      </c>
      <c r="BT3" t="s">
        <v>547</v>
      </c>
      <c r="BU3" t="s">
        <v>547</v>
      </c>
      <c r="BV3" t="s">
        <v>547</v>
      </c>
      <c r="BW3" t="s">
        <v>547</v>
      </c>
      <c r="BX3" t="s">
        <v>547</v>
      </c>
      <c r="BY3" t="s">
        <v>547</v>
      </c>
      <c r="BZ3" t="s">
        <v>547</v>
      </c>
      <c r="CA3" t="s">
        <v>547</v>
      </c>
      <c r="CB3" t="s">
        <v>547</v>
      </c>
      <c r="CC3" t="s">
        <v>547</v>
      </c>
      <c r="CD3" t="s">
        <v>547</v>
      </c>
      <c r="CE3" t="s">
        <v>547</v>
      </c>
      <c r="CF3" t="s">
        <v>547</v>
      </c>
      <c r="CG3" t="s">
        <v>547</v>
      </c>
      <c r="CH3" t="s">
        <v>547</v>
      </c>
      <c r="CI3" t="s">
        <v>547</v>
      </c>
      <c r="CJ3" t="s">
        <v>547</v>
      </c>
      <c r="CK3" t="s">
        <v>547</v>
      </c>
      <c r="CL3" t="s">
        <v>547</v>
      </c>
      <c r="CM3" t="s">
        <v>547</v>
      </c>
      <c r="CN3" t="s">
        <v>547</v>
      </c>
      <c r="CO3" t="s">
        <v>547</v>
      </c>
      <c r="CP3" t="s">
        <v>547</v>
      </c>
      <c r="CQ3" t="s">
        <v>547</v>
      </c>
      <c r="CR3" t="s">
        <v>547</v>
      </c>
      <c r="CS3" t="s">
        <v>547</v>
      </c>
      <c r="CT3" t="s">
        <v>547</v>
      </c>
      <c r="CU3" t="s">
        <v>547</v>
      </c>
      <c r="CV3" t="s">
        <v>547</v>
      </c>
      <c r="CW3" t="s">
        <v>547</v>
      </c>
      <c r="CX3" t="s">
        <v>547</v>
      </c>
      <c r="CY3" t="s">
        <v>547</v>
      </c>
      <c r="CZ3" t="s">
        <v>547</v>
      </c>
      <c r="DA3" t="s">
        <v>547</v>
      </c>
      <c r="DB3" t="s">
        <v>547</v>
      </c>
      <c r="DC3" t="s">
        <v>547</v>
      </c>
      <c r="DD3" t="s">
        <v>547</v>
      </c>
      <c r="DE3" t="s">
        <v>547</v>
      </c>
      <c r="DF3" t="s">
        <v>547</v>
      </c>
      <c r="DG3" t="s">
        <v>547</v>
      </c>
      <c r="DH3" t="s">
        <v>547</v>
      </c>
      <c r="DI3" t="s">
        <v>547</v>
      </c>
      <c r="DJ3" t="s">
        <v>547</v>
      </c>
      <c r="DK3" t="s">
        <v>547</v>
      </c>
      <c r="DL3" t="s">
        <v>547</v>
      </c>
      <c r="DM3" t="s">
        <v>547</v>
      </c>
      <c r="DN3" t="s">
        <v>547</v>
      </c>
      <c r="DO3" t="s">
        <v>547</v>
      </c>
      <c r="DP3" t="s">
        <v>547</v>
      </c>
      <c r="DQ3" t="s">
        <v>547</v>
      </c>
      <c r="DR3" t="s">
        <v>547</v>
      </c>
      <c r="DS3" t="s">
        <v>547</v>
      </c>
      <c r="DT3" t="s">
        <v>123</v>
      </c>
      <c r="DU3" t="s">
        <v>123</v>
      </c>
      <c r="DV3" t="s">
        <v>123</v>
      </c>
      <c r="DW3" t="s">
        <v>123</v>
      </c>
      <c r="DX3" t="s">
        <v>123</v>
      </c>
      <c r="DY3" t="s">
        <v>123</v>
      </c>
      <c r="DZ3" t="s">
        <v>123</v>
      </c>
      <c r="EA3" t="s">
        <v>123</v>
      </c>
      <c r="EB3" t="s">
        <v>123</v>
      </c>
      <c r="EC3" t="s">
        <v>123</v>
      </c>
      <c r="ED3" t="s">
        <v>123</v>
      </c>
      <c r="EE3" t="s">
        <v>123</v>
      </c>
      <c r="EF3" t="s">
        <v>123</v>
      </c>
      <c r="EG3" t="s">
        <v>123</v>
      </c>
      <c r="EH3" t="s">
        <v>123</v>
      </c>
      <c r="EI3" t="s">
        <v>123</v>
      </c>
      <c r="EJ3" t="s">
        <v>123</v>
      </c>
      <c r="EK3" t="s">
        <v>123</v>
      </c>
      <c r="EL3" t="s">
        <v>123</v>
      </c>
      <c r="EM3" t="s">
        <v>123</v>
      </c>
      <c r="EN3" t="s">
        <v>123</v>
      </c>
      <c r="EO3" t="s">
        <v>123</v>
      </c>
      <c r="EP3" t="s">
        <v>123</v>
      </c>
      <c r="EQ3" t="s">
        <v>123</v>
      </c>
      <c r="ER3" t="s">
        <v>123</v>
      </c>
      <c r="ES3" t="s">
        <v>123</v>
      </c>
      <c r="ET3" t="s">
        <v>123</v>
      </c>
      <c r="EU3" t="s">
        <v>123</v>
      </c>
      <c r="EV3" t="s">
        <v>123</v>
      </c>
      <c r="EW3" t="s">
        <v>123</v>
      </c>
      <c r="EX3" t="s">
        <v>123</v>
      </c>
      <c r="EY3" t="s">
        <v>123</v>
      </c>
      <c r="EZ3" t="s">
        <v>123</v>
      </c>
      <c r="FA3" t="s">
        <v>123</v>
      </c>
      <c r="FB3" t="s">
        <v>123</v>
      </c>
      <c r="FC3" t="s">
        <v>123</v>
      </c>
      <c r="FD3" t="s">
        <v>123</v>
      </c>
      <c r="FE3" t="s">
        <v>123</v>
      </c>
      <c r="FF3" t="s">
        <v>123</v>
      </c>
      <c r="FG3" t="s">
        <v>123</v>
      </c>
      <c r="FH3" t="s">
        <v>901</v>
      </c>
      <c r="FI3" t="s">
        <v>907</v>
      </c>
      <c r="FJ3" t="s">
        <v>907</v>
      </c>
      <c r="FM3" t="str">
        <f t="shared" ref="FM3:FM66" si="0">_xlfn.CONCAT(FN3,FO3,CHAR(34),FP3)</f>
        <v xml:space="preserve">    &lt;route id="Router3_2" edges="-gneE80.0 -gneE80.17 -gneE41 gneE44 -388756838#2 -388756838#1 -388756838#0 42706817#0 386547310 gneE69 -388756838#2 -388756838#1 -388756838#0 -388756839#1 -388756839#0 -194358837#2 -194358837#0 194358838#0 194358838#1 194358838#2 194358838#3 387422145#0 387422145#3 386995499#0 386995499#2 -51155368#13 -51155368#10 -51155368#7 121319040#0 121319040#1 386995507#0 386995507#1 386995507#2 386995507#3 12182281#7 42706837#0 42706837#1 42706837#2 42706837#3 43357814#2 43357814#3 386995526#0 386995526#1 -51050425#4 -51050425#3 -51050425#2 12162659#0 12162659#1 -12175537#4 -12175537#3 -12175537#2 -12175537#1 -50033059#3 -50033059#2 -386995514#7 -12199713#2 12177498 42706833#2 51155368#0 -50033558#5 -50033558#3 -50033558#2 -62105579 -32121234#1 -32121234#0 42706874#0 42706874#2 55179414#0 55179413#0 424769182 -450827405#2 -450827400#2 -450827382 -450827385#1 -450827391#1 -450827381 -450827397#1 12180696#0 59435515#1 59435515#2 59435515#3 59435515#4 424801338#1 12117702#0 12117702#4 12117702#7 -32121146#3 12202008#2.0 12202008#2.171 62646499#2 450827424#0 450827405#0 262962062 -55179413#2 12187610#0 60185970#0 60185970#2 12149571#1 12187610#3 50033558#2 50033558#3 50033558#4 50033558#6 42706833#0 42706833#2 12189876#0 12189876#2 484953508#1 60185970#0 60185970#2 12149571#1 12187610#3 50033558#2 -12188656 -121319046 -42706825#7 12199713#0 12199713#1 -386995514#6 -386995514#5 -386995514#4 -386995514#3 194358817#0 194358817#1 194358817#2 12114363#0 12114363#1 -50033059#4 12175537#0 12175537#2 12175537#3 12175537#4 12175537#5 12175537#6 12175537#7 12175537#8 12175537#9 12175537#10 12175537#11 12175537#12 12155177#1 12155177#2 387422153#1 gneE73 gneE75.0 gneE80.125"/&gt;</v>
      </c>
      <c r="FN3" t="s">
        <v>2516</v>
      </c>
      <c r="FO3" t="s">
        <v>1091</v>
      </c>
      <c r="FP3" t="s">
        <v>2520</v>
      </c>
    </row>
    <row r="4" spans="1:172" x14ac:dyDescent="0.25">
      <c r="A4" t="s">
        <v>2</v>
      </c>
      <c r="B4" t="s">
        <v>2</v>
      </c>
      <c r="C4" t="s">
        <v>2</v>
      </c>
      <c r="D4" t="s">
        <v>2</v>
      </c>
      <c r="E4" t="s">
        <v>2</v>
      </c>
      <c r="F4" t="s">
        <v>2</v>
      </c>
      <c r="G4" t="s">
        <v>2</v>
      </c>
      <c r="H4" t="s">
        <v>2</v>
      </c>
      <c r="I4" t="s">
        <v>2</v>
      </c>
      <c r="J4" t="s">
        <v>2</v>
      </c>
      <c r="K4" t="s">
        <v>2</v>
      </c>
      <c r="L4" t="s">
        <v>2</v>
      </c>
      <c r="M4" t="s">
        <v>2</v>
      </c>
      <c r="N4" t="s">
        <v>2</v>
      </c>
      <c r="O4" t="s">
        <v>2</v>
      </c>
      <c r="P4" t="s">
        <v>2</v>
      </c>
      <c r="Q4" t="s">
        <v>2</v>
      </c>
      <c r="R4" t="s">
        <v>2</v>
      </c>
      <c r="S4" t="s">
        <v>2</v>
      </c>
      <c r="T4" t="s">
        <v>2</v>
      </c>
      <c r="U4" t="s">
        <v>2</v>
      </c>
      <c r="V4" t="s">
        <v>2</v>
      </c>
      <c r="W4" t="s">
        <v>2</v>
      </c>
      <c r="X4" t="s">
        <v>2</v>
      </c>
      <c r="Y4" t="s">
        <v>2</v>
      </c>
      <c r="Z4" t="s">
        <v>2</v>
      </c>
      <c r="AA4" t="s">
        <v>2</v>
      </c>
      <c r="AB4" t="s">
        <v>2</v>
      </c>
      <c r="AC4" t="s">
        <v>2</v>
      </c>
      <c r="AD4" t="s">
        <v>2</v>
      </c>
      <c r="AE4" t="s">
        <v>2</v>
      </c>
      <c r="AF4" t="s">
        <v>2</v>
      </c>
      <c r="AG4" t="s">
        <v>2</v>
      </c>
      <c r="AH4" t="s">
        <v>2</v>
      </c>
      <c r="AI4" t="s">
        <v>2</v>
      </c>
      <c r="AJ4" t="s">
        <v>2</v>
      </c>
      <c r="AK4" t="s">
        <v>411</v>
      </c>
      <c r="AL4" t="s">
        <v>237</v>
      </c>
      <c r="AM4" t="s">
        <v>237</v>
      </c>
      <c r="AN4" t="s">
        <v>237</v>
      </c>
      <c r="AO4" t="s">
        <v>350</v>
      </c>
      <c r="AP4" t="s">
        <v>350</v>
      </c>
      <c r="AQ4" t="s">
        <v>350</v>
      </c>
      <c r="AR4" t="s">
        <v>350</v>
      </c>
      <c r="AS4" t="s">
        <v>513</v>
      </c>
      <c r="AT4" t="s">
        <v>513</v>
      </c>
      <c r="AU4" t="s">
        <v>513</v>
      </c>
      <c r="AV4" t="s">
        <v>513</v>
      </c>
      <c r="AW4" t="s">
        <v>513</v>
      </c>
      <c r="AX4" t="s">
        <v>513</v>
      </c>
      <c r="AY4" t="s">
        <v>513</v>
      </c>
      <c r="AZ4" t="s">
        <v>513</v>
      </c>
      <c r="BA4" t="s">
        <v>513</v>
      </c>
      <c r="BB4" t="s">
        <v>513</v>
      </c>
      <c r="BC4" t="s">
        <v>513</v>
      </c>
      <c r="BD4" t="s">
        <v>513</v>
      </c>
      <c r="BE4" t="s">
        <v>513</v>
      </c>
      <c r="BF4" t="s">
        <v>513</v>
      </c>
      <c r="BG4" t="s">
        <v>513</v>
      </c>
      <c r="BH4" t="s">
        <v>513</v>
      </c>
      <c r="BI4" t="s">
        <v>513</v>
      </c>
      <c r="BJ4" t="s">
        <v>513</v>
      </c>
      <c r="BK4" t="s">
        <v>513</v>
      </c>
      <c r="BL4" t="s">
        <v>513</v>
      </c>
      <c r="BM4" t="s">
        <v>548</v>
      </c>
      <c r="BN4" t="s">
        <v>548</v>
      </c>
      <c r="BO4" t="s">
        <v>548</v>
      </c>
      <c r="BP4" t="s">
        <v>548</v>
      </c>
      <c r="BQ4" t="s">
        <v>548</v>
      </c>
      <c r="BR4" t="s">
        <v>548</v>
      </c>
      <c r="BS4" t="s">
        <v>548</v>
      </c>
      <c r="BT4" t="s">
        <v>548</v>
      </c>
      <c r="BU4" t="s">
        <v>548</v>
      </c>
      <c r="BV4" t="s">
        <v>548</v>
      </c>
      <c r="BW4" t="s">
        <v>548</v>
      </c>
      <c r="BX4" t="s">
        <v>548</v>
      </c>
      <c r="BY4" t="s">
        <v>548</v>
      </c>
      <c r="BZ4" t="s">
        <v>548</v>
      </c>
      <c r="CA4" t="s">
        <v>548</v>
      </c>
      <c r="CB4" t="s">
        <v>548</v>
      </c>
      <c r="CC4" t="s">
        <v>548</v>
      </c>
      <c r="CD4" t="s">
        <v>548</v>
      </c>
      <c r="CE4" t="s">
        <v>548</v>
      </c>
      <c r="CF4" t="s">
        <v>548</v>
      </c>
      <c r="CG4" t="s">
        <v>548</v>
      </c>
      <c r="CH4" t="s">
        <v>548</v>
      </c>
      <c r="CI4" t="s">
        <v>548</v>
      </c>
      <c r="CJ4" t="s">
        <v>548</v>
      </c>
      <c r="CK4" t="s">
        <v>548</v>
      </c>
      <c r="CL4" t="s">
        <v>548</v>
      </c>
      <c r="CM4" t="s">
        <v>548</v>
      </c>
      <c r="CN4" t="s">
        <v>548</v>
      </c>
      <c r="CO4" t="s">
        <v>548</v>
      </c>
      <c r="CP4" t="s">
        <v>548</v>
      </c>
      <c r="CQ4" t="s">
        <v>548</v>
      </c>
      <c r="CR4" t="s">
        <v>548</v>
      </c>
      <c r="CS4" t="s">
        <v>548</v>
      </c>
      <c r="CT4" t="s">
        <v>548</v>
      </c>
      <c r="CU4" t="s">
        <v>548</v>
      </c>
      <c r="CV4" t="s">
        <v>548</v>
      </c>
      <c r="CW4" t="s">
        <v>548</v>
      </c>
      <c r="CX4" t="s">
        <v>548</v>
      </c>
      <c r="CY4" t="s">
        <v>548</v>
      </c>
      <c r="CZ4" t="s">
        <v>548</v>
      </c>
      <c r="DA4" t="s">
        <v>548</v>
      </c>
      <c r="DB4" t="s">
        <v>548</v>
      </c>
      <c r="DC4" t="s">
        <v>548</v>
      </c>
      <c r="DD4" t="s">
        <v>548</v>
      </c>
      <c r="DE4" t="s">
        <v>548</v>
      </c>
      <c r="DF4" t="s">
        <v>548</v>
      </c>
      <c r="DG4" t="s">
        <v>548</v>
      </c>
      <c r="DH4" t="s">
        <v>548</v>
      </c>
      <c r="DI4" t="s">
        <v>548</v>
      </c>
      <c r="DJ4" t="s">
        <v>548</v>
      </c>
      <c r="DK4" t="s">
        <v>548</v>
      </c>
      <c r="DL4" t="s">
        <v>548</v>
      </c>
      <c r="DM4" t="s">
        <v>548</v>
      </c>
      <c r="DN4" t="s">
        <v>548</v>
      </c>
      <c r="DO4" t="s">
        <v>548</v>
      </c>
      <c r="DP4" t="s">
        <v>548</v>
      </c>
      <c r="DQ4" t="s">
        <v>548</v>
      </c>
      <c r="DR4" t="s">
        <v>548</v>
      </c>
      <c r="DS4" t="s">
        <v>548</v>
      </c>
      <c r="DT4" t="s">
        <v>807</v>
      </c>
      <c r="DU4" t="s">
        <v>807</v>
      </c>
      <c r="DV4" t="s">
        <v>807</v>
      </c>
      <c r="DW4" t="s">
        <v>807</v>
      </c>
      <c r="DX4" t="s">
        <v>807</v>
      </c>
      <c r="DY4" t="s">
        <v>807</v>
      </c>
      <c r="DZ4" t="s">
        <v>807</v>
      </c>
      <c r="EA4" t="s">
        <v>807</v>
      </c>
      <c r="EB4" t="s">
        <v>807</v>
      </c>
      <c r="EC4" t="s">
        <v>807</v>
      </c>
      <c r="ED4" t="s">
        <v>807</v>
      </c>
      <c r="EE4" t="s">
        <v>807</v>
      </c>
      <c r="EF4" t="s">
        <v>807</v>
      </c>
      <c r="EG4" t="s">
        <v>124</v>
      </c>
      <c r="EH4" t="s">
        <v>124</v>
      </c>
      <c r="EI4" t="s">
        <v>124</v>
      </c>
      <c r="EJ4" t="s">
        <v>124</v>
      </c>
      <c r="EK4" t="s">
        <v>124</v>
      </c>
      <c r="EL4" t="s">
        <v>124</v>
      </c>
      <c r="EM4" t="s">
        <v>124</v>
      </c>
      <c r="EN4" t="s">
        <v>124</v>
      </c>
      <c r="EO4" t="s">
        <v>124</v>
      </c>
      <c r="EP4" t="s">
        <v>124</v>
      </c>
      <c r="EQ4" t="s">
        <v>124</v>
      </c>
      <c r="ER4" t="s">
        <v>124</v>
      </c>
      <c r="ES4" t="s">
        <v>124</v>
      </c>
      <c r="ET4" t="s">
        <v>124</v>
      </c>
      <c r="EU4" t="s">
        <v>124</v>
      </c>
      <c r="EV4" t="s">
        <v>124</v>
      </c>
      <c r="EW4" t="s">
        <v>124</v>
      </c>
      <c r="EX4" t="s">
        <v>124</v>
      </c>
      <c r="EY4" t="s">
        <v>124</v>
      </c>
      <c r="EZ4" t="s">
        <v>124</v>
      </c>
      <c r="FA4" t="s">
        <v>124</v>
      </c>
      <c r="FB4" t="s">
        <v>124</v>
      </c>
      <c r="FC4" t="s">
        <v>124</v>
      </c>
      <c r="FD4" t="s">
        <v>124</v>
      </c>
      <c r="FE4" t="s">
        <v>124</v>
      </c>
      <c r="FF4" t="s">
        <v>124</v>
      </c>
      <c r="FG4" t="s">
        <v>124</v>
      </c>
      <c r="FH4" t="s">
        <v>906</v>
      </c>
      <c r="FI4" t="s">
        <v>779</v>
      </c>
      <c r="FJ4" t="s">
        <v>779</v>
      </c>
      <c r="FM4" t="str">
        <f t="shared" si="0"/>
        <v xml:space="preserve">    &lt;route id="Router3_3" edges="-gneE80.0 -gneE80.17 -gneE41 gneE44 -388756838#2 -388756838#1 -388756838#0 -388756839#1 -388756839#0 -194358837#2 -194358837#0 194358838#0 -386995507#1 12157718#3 32121111#10 386995486#1 386995479#0 12157718#5 12157718#7 485017376 485017373#0 387422135#0 424769003#0 424769003#1 -30953396#1 -30953396#0 -424769006 -424769005 -424769002 -30953391 -43569848 -393884751 12159702 424764853 12149178#0 50189796 50189564 12149178#2 145605533#0 145605533#1-AddedOnRampEdge 145605533#1 145605511#1-AddedOnRampEdge 145605511#12 145605511#1.148"/&gt;</v>
      </c>
      <c r="FN4" t="s">
        <v>2516</v>
      </c>
      <c r="FO4" t="s">
        <v>1092</v>
      </c>
      <c r="FP4" t="s">
        <v>2521</v>
      </c>
    </row>
    <row r="5" spans="1:172" x14ac:dyDescent="0.25">
      <c r="A5" t="s">
        <v>3</v>
      </c>
      <c r="B5" t="s">
        <v>3</v>
      </c>
      <c r="C5" t="s">
        <v>3</v>
      </c>
      <c r="D5" t="s">
        <v>3</v>
      </c>
      <c r="E5" t="s">
        <v>3</v>
      </c>
      <c r="F5" t="s">
        <v>3</v>
      </c>
      <c r="G5" t="s">
        <v>3</v>
      </c>
      <c r="H5" t="s">
        <v>3</v>
      </c>
      <c r="I5" t="s">
        <v>3</v>
      </c>
      <c r="J5" t="s">
        <v>3</v>
      </c>
      <c r="K5" t="s">
        <v>3</v>
      </c>
      <c r="L5" t="s">
        <v>3</v>
      </c>
      <c r="M5" t="s">
        <v>3</v>
      </c>
      <c r="N5" t="s">
        <v>3</v>
      </c>
      <c r="O5" t="s">
        <v>3</v>
      </c>
      <c r="P5" t="s">
        <v>3</v>
      </c>
      <c r="Q5" t="s">
        <v>3</v>
      </c>
      <c r="R5" t="s">
        <v>3</v>
      </c>
      <c r="S5" t="s">
        <v>3</v>
      </c>
      <c r="T5" t="s">
        <v>3</v>
      </c>
      <c r="U5" t="s">
        <v>3</v>
      </c>
      <c r="V5" t="s">
        <v>3</v>
      </c>
      <c r="W5" t="s">
        <v>3</v>
      </c>
      <c r="X5" t="s">
        <v>3</v>
      </c>
      <c r="Y5" t="s">
        <v>3</v>
      </c>
      <c r="Z5" t="s">
        <v>3</v>
      </c>
      <c r="AA5" t="s">
        <v>3</v>
      </c>
      <c r="AB5" t="s">
        <v>3</v>
      </c>
      <c r="AC5" t="s">
        <v>3</v>
      </c>
      <c r="AD5" t="s">
        <v>3</v>
      </c>
      <c r="AE5" t="s">
        <v>3</v>
      </c>
      <c r="AF5" t="s">
        <v>3</v>
      </c>
      <c r="AG5" t="s">
        <v>3</v>
      </c>
      <c r="AH5" t="s">
        <v>3</v>
      </c>
      <c r="AI5" t="s">
        <v>3</v>
      </c>
      <c r="AJ5" t="s">
        <v>3</v>
      </c>
      <c r="AK5" t="s">
        <v>626</v>
      </c>
      <c r="AL5" t="s">
        <v>238</v>
      </c>
      <c r="AM5" t="s">
        <v>238</v>
      </c>
      <c r="AN5" t="s">
        <v>238</v>
      </c>
      <c r="AO5" t="s">
        <v>351</v>
      </c>
      <c r="AP5" t="s">
        <v>351</v>
      </c>
      <c r="AQ5" t="s">
        <v>351</v>
      </c>
      <c r="AR5" t="s">
        <v>351</v>
      </c>
      <c r="AS5" t="s">
        <v>193</v>
      </c>
      <c r="AT5" t="s">
        <v>193</v>
      </c>
      <c r="AU5" t="s">
        <v>193</v>
      </c>
      <c r="AV5" t="s">
        <v>193</v>
      </c>
      <c r="AW5" t="s">
        <v>193</v>
      </c>
      <c r="AX5" t="s">
        <v>193</v>
      </c>
      <c r="AY5" t="s">
        <v>193</v>
      </c>
      <c r="AZ5" t="s">
        <v>193</v>
      </c>
      <c r="BA5" t="s">
        <v>193</v>
      </c>
      <c r="BB5" t="s">
        <v>193</v>
      </c>
      <c r="BC5" t="s">
        <v>193</v>
      </c>
      <c r="BD5" t="s">
        <v>193</v>
      </c>
      <c r="BE5" t="s">
        <v>193</v>
      </c>
      <c r="BF5" t="s">
        <v>193</v>
      </c>
      <c r="BG5" t="s">
        <v>193</v>
      </c>
      <c r="BH5" t="s">
        <v>193</v>
      </c>
      <c r="BI5" t="s">
        <v>193</v>
      </c>
      <c r="BJ5" t="s">
        <v>193</v>
      </c>
      <c r="BK5" t="s">
        <v>193</v>
      </c>
      <c r="BL5" t="s">
        <v>193</v>
      </c>
      <c r="BM5" t="s">
        <v>549</v>
      </c>
      <c r="BN5" t="s">
        <v>549</v>
      </c>
      <c r="BO5" t="s">
        <v>549</v>
      </c>
      <c r="BP5" t="s">
        <v>549</v>
      </c>
      <c r="BQ5" t="s">
        <v>549</v>
      </c>
      <c r="BR5" t="s">
        <v>549</v>
      </c>
      <c r="BS5" t="s">
        <v>549</v>
      </c>
      <c r="BT5" t="s">
        <v>549</v>
      </c>
      <c r="BU5" t="s">
        <v>549</v>
      </c>
      <c r="BV5" t="s">
        <v>549</v>
      </c>
      <c r="BW5" t="s">
        <v>549</v>
      </c>
      <c r="BX5" t="s">
        <v>549</v>
      </c>
      <c r="BY5" t="s">
        <v>549</v>
      </c>
      <c r="BZ5" t="s">
        <v>549</v>
      </c>
      <c r="CA5" t="s">
        <v>549</v>
      </c>
      <c r="CB5" t="s">
        <v>549</v>
      </c>
      <c r="CC5" t="s">
        <v>549</v>
      </c>
      <c r="CD5" t="s">
        <v>549</v>
      </c>
      <c r="CE5" t="s">
        <v>549</v>
      </c>
      <c r="CF5" t="s">
        <v>549</v>
      </c>
      <c r="CG5" t="s">
        <v>549</v>
      </c>
      <c r="CH5" t="s">
        <v>549</v>
      </c>
      <c r="CI5" t="s">
        <v>549</v>
      </c>
      <c r="CJ5" t="s">
        <v>549</v>
      </c>
      <c r="CK5" t="s">
        <v>549</v>
      </c>
      <c r="CL5" t="s">
        <v>549</v>
      </c>
      <c r="CM5" t="s">
        <v>549</v>
      </c>
      <c r="CN5" t="s">
        <v>549</v>
      </c>
      <c r="CO5" t="s">
        <v>549</v>
      </c>
      <c r="CP5" t="s">
        <v>549</v>
      </c>
      <c r="CQ5" t="s">
        <v>549</v>
      </c>
      <c r="CR5" t="s">
        <v>549</v>
      </c>
      <c r="CS5" t="s">
        <v>549</v>
      </c>
      <c r="CT5" t="s">
        <v>549</v>
      </c>
      <c r="CU5" t="s">
        <v>549</v>
      </c>
      <c r="CV5" t="s">
        <v>549</v>
      </c>
      <c r="CW5" t="s">
        <v>549</v>
      </c>
      <c r="CX5" t="s">
        <v>549</v>
      </c>
      <c r="CY5" t="s">
        <v>549</v>
      </c>
      <c r="CZ5" t="s">
        <v>549</v>
      </c>
      <c r="DA5" t="s">
        <v>549</v>
      </c>
      <c r="DB5" t="s">
        <v>549</v>
      </c>
      <c r="DC5" t="s">
        <v>549</v>
      </c>
      <c r="DD5" t="s">
        <v>549</v>
      </c>
      <c r="DE5" t="s">
        <v>549</v>
      </c>
      <c r="DF5" t="s">
        <v>549</v>
      </c>
      <c r="DG5" t="s">
        <v>549</v>
      </c>
      <c r="DH5" t="s">
        <v>549</v>
      </c>
      <c r="DI5" t="s">
        <v>549</v>
      </c>
      <c r="DJ5" t="s">
        <v>549</v>
      </c>
      <c r="DK5" t="s">
        <v>549</v>
      </c>
      <c r="DL5" t="s">
        <v>549</v>
      </c>
      <c r="DM5" t="s">
        <v>549</v>
      </c>
      <c r="DN5" t="s">
        <v>549</v>
      </c>
      <c r="DO5" t="s">
        <v>549</v>
      </c>
      <c r="DP5" t="s">
        <v>549</v>
      </c>
      <c r="DQ5" t="s">
        <v>549</v>
      </c>
      <c r="DR5" t="s">
        <v>549</v>
      </c>
      <c r="DS5" t="s">
        <v>549</v>
      </c>
      <c r="DT5" t="s">
        <v>808</v>
      </c>
      <c r="DU5" t="s">
        <v>808</v>
      </c>
      <c r="DV5" t="s">
        <v>808</v>
      </c>
      <c r="DW5" t="s">
        <v>808</v>
      </c>
      <c r="DX5" t="s">
        <v>808</v>
      </c>
      <c r="DY5" t="s">
        <v>808</v>
      </c>
      <c r="DZ5" t="s">
        <v>808</v>
      </c>
      <c r="EA5" t="s">
        <v>808</v>
      </c>
      <c r="EB5" t="s">
        <v>808</v>
      </c>
      <c r="EC5" t="s">
        <v>808</v>
      </c>
      <c r="ED5" t="s">
        <v>808</v>
      </c>
      <c r="EE5" t="s">
        <v>808</v>
      </c>
      <c r="EF5" t="s">
        <v>808</v>
      </c>
      <c r="EG5" t="s">
        <v>125</v>
      </c>
      <c r="EH5" t="s">
        <v>125</v>
      </c>
      <c r="EI5" t="s">
        <v>125</v>
      </c>
      <c r="EJ5" t="s">
        <v>125</v>
      </c>
      <c r="EK5" t="s">
        <v>125</v>
      </c>
      <c r="EL5" t="s">
        <v>125</v>
      </c>
      <c r="EM5" t="s">
        <v>125</v>
      </c>
      <c r="EN5" t="s">
        <v>125</v>
      </c>
      <c r="EO5" t="s">
        <v>125</v>
      </c>
      <c r="EP5" t="s">
        <v>125</v>
      </c>
      <c r="EQ5" t="s">
        <v>125</v>
      </c>
      <c r="ER5" t="s">
        <v>125</v>
      </c>
      <c r="ES5" t="s">
        <v>125</v>
      </c>
      <c r="ET5" t="s">
        <v>125</v>
      </c>
      <c r="EU5" t="s">
        <v>125</v>
      </c>
      <c r="EV5" t="s">
        <v>125</v>
      </c>
      <c r="EW5" t="s">
        <v>125</v>
      </c>
      <c r="EX5" t="s">
        <v>125</v>
      </c>
      <c r="EY5" t="s">
        <v>125</v>
      </c>
      <c r="EZ5" t="s">
        <v>125</v>
      </c>
      <c r="FA5" t="s">
        <v>125</v>
      </c>
      <c r="FB5" t="s">
        <v>125</v>
      </c>
      <c r="FC5" t="s">
        <v>125</v>
      </c>
      <c r="FD5" t="s">
        <v>125</v>
      </c>
      <c r="FE5" t="s">
        <v>125</v>
      </c>
      <c r="FF5" t="s">
        <v>125</v>
      </c>
      <c r="FG5" t="s">
        <v>125</v>
      </c>
      <c r="FH5" t="s">
        <v>793</v>
      </c>
      <c r="FI5" t="s">
        <v>780</v>
      </c>
      <c r="FJ5" t="s">
        <v>780</v>
      </c>
      <c r="FM5" t="str">
        <f t="shared" si="0"/>
        <v xml:space="preserve">    &lt;route id="Router3_4" edges="-gneE80.0 -gneE80.17 -gneE41 gneE44 -388756838#2 -388756838#1 -388756838#0 42706817#0 386547310 gneE69 -388756838#2 -388756838#1 -388756838#0 -388756839#1 -388756839#0 -194358837#2 -194358837#0 194358838#0 194358838#1 194358838#2 194358838#3 387422145#0 387422145#3 386995499#0 386995499#2 -51155368#13 -51155368#10 -51155368#7 121319040#0 121319040#1 386995507#0 386995507#1 386995507#2 386995507#3 12182281#7 42706837#0 42706837#1 42706837#2 42706837#3 43357814#2 43357814#3 386995526#0 386995526#1 -51050425#4 -51050425#3 -51050425#2 12162659#0 12162659#1 -12175537#4 -12175537#3 -12175537#2 -12175537#1 -50033059#3 -50033059#2 -386995514#7 -12199713#2 12177498 42706833#2 51155368#0 -50033558#5 -50033558#3 -50033558#2 -62105579 -32121234#1 -32121234#0 42706874#0 42706874#2 12144152#0 12144152#2 12144152#4 12144152#6 12157151#0 12166276#2 -32121146#5 12117702#9 450844953#0 450844953#2 450844953#3 450844947#0 388533142#0 388533142#2 12189045#0 62623987#0 62623987#1 -12142631 12202018 62623986#1 62623986#2 -12189051#1 -262962063 -424080764 -424080768#1 -424080766 -104526265#1 30953497#0 30953497#2 30953497#3 42706585#0 42706585#1 30953320 30953320-AddedOffRampEdge 104526277 30953215#1-AddedOnRampEdge 30953215#1 121643865#0 121643865#1 145605511#1-AddedOnRampEdge 145605511#12 145605511#1.148"/&gt;</v>
      </c>
      <c r="FN5" t="s">
        <v>2516</v>
      </c>
      <c r="FO5" t="s">
        <v>1093</v>
      </c>
      <c r="FP5" t="s">
        <v>2522</v>
      </c>
    </row>
    <row r="6" spans="1:172" x14ac:dyDescent="0.25">
      <c r="A6" t="s">
        <v>4</v>
      </c>
      <c r="B6" t="s">
        <v>4</v>
      </c>
      <c r="C6" t="s">
        <v>4</v>
      </c>
      <c r="D6" t="s">
        <v>4</v>
      </c>
      <c r="E6" t="s">
        <v>4</v>
      </c>
      <c r="F6" t="s">
        <v>4</v>
      </c>
      <c r="G6" t="s">
        <v>4</v>
      </c>
      <c r="H6" t="s">
        <v>4</v>
      </c>
      <c r="I6" t="s">
        <v>4</v>
      </c>
      <c r="J6" t="s">
        <v>4</v>
      </c>
      <c r="K6" t="s">
        <v>4</v>
      </c>
      <c r="L6" t="s">
        <v>4</v>
      </c>
      <c r="M6" t="s">
        <v>4</v>
      </c>
      <c r="N6" t="s">
        <v>4</v>
      </c>
      <c r="O6" t="s">
        <v>4</v>
      </c>
      <c r="P6" t="s">
        <v>4</v>
      </c>
      <c r="Q6" t="s">
        <v>4</v>
      </c>
      <c r="R6" t="s">
        <v>4</v>
      </c>
      <c r="S6" t="s">
        <v>4</v>
      </c>
      <c r="T6" t="s">
        <v>4</v>
      </c>
      <c r="U6" t="s">
        <v>4</v>
      </c>
      <c r="V6" t="s">
        <v>4</v>
      </c>
      <c r="W6" t="s">
        <v>4</v>
      </c>
      <c r="X6" t="s">
        <v>4</v>
      </c>
      <c r="Y6" t="s">
        <v>4</v>
      </c>
      <c r="Z6" t="s">
        <v>4</v>
      </c>
      <c r="AA6" t="s">
        <v>4</v>
      </c>
      <c r="AB6" t="s">
        <v>4</v>
      </c>
      <c r="AC6" t="s">
        <v>4</v>
      </c>
      <c r="AD6" t="s">
        <v>4</v>
      </c>
      <c r="AE6" t="s">
        <v>4</v>
      </c>
      <c r="AF6" t="s">
        <v>4</v>
      </c>
      <c r="AG6" t="s">
        <v>4</v>
      </c>
      <c r="AH6" t="s">
        <v>4</v>
      </c>
      <c r="AI6" t="s">
        <v>4</v>
      </c>
      <c r="AJ6" t="s">
        <v>4</v>
      </c>
      <c r="AK6" t="s">
        <v>158</v>
      </c>
      <c r="AL6" t="s">
        <v>234</v>
      </c>
      <c r="AM6" t="s">
        <v>234</v>
      </c>
      <c r="AN6" t="s">
        <v>234</v>
      </c>
      <c r="AO6" t="s">
        <v>182</v>
      </c>
      <c r="AP6" t="s">
        <v>182</v>
      </c>
      <c r="AQ6" t="s">
        <v>182</v>
      </c>
      <c r="AR6" t="s">
        <v>182</v>
      </c>
      <c r="AS6" t="s">
        <v>194</v>
      </c>
      <c r="AT6" t="s">
        <v>194</v>
      </c>
      <c r="AU6" t="s">
        <v>194</v>
      </c>
      <c r="AV6" t="s">
        <v>194</v>
      </c>
      <c r="AW6" t="s">
        <v>194</v>
      </c>
      <c r="AX6" t="s">
        <v>194</v>
      </c>
      <c r="AY6" t="s">
        <v>194</v>
      </c>
      <c r="AZ6" t="s">
        <v>194</v>
      </c>
      <c r="BA6" t="s">
        <v>194</v>
      </c>
      <c r="BB6" t="s">
        <v>194</v>
      </c>
      <c r="BC6" t="s">
        <v>194</v>
      </c>
      <c r="BD6" t="s">
        <v>194</v>
      </c>
      <c r="BE6" t="s">
        <v>194</v>
      </c>
      <c r="BF6" t="s">
        <v>194</v>
      </c>
      <c r="BG6" t="s">
        <v>194</v>
      </c>
      <c r="BH6" t="s">
        <v>194</v>
      </c>
      <c r="BI6" t="s">
        <v>194</v>
      </c>
      <c r="BJ6" t="s">
        <v>194</v>
      </c>
      <c r="BK6" t="s">
        <v>194</v>
      </c>
      <c r="BL6" t="s">
        <v>194</v>
      </c>
      <c r="BM6" t="s">
        <v>550</v>
      </c>
      <c r="BN6" t="s">
        <v>550</v>
      </c>
      <c r="BO6" t="s">
        <v>550</v>
      </c>
      <c r="BP6" t="s">
        <v>550</v>
      </c>
      <c r="BQ6" t="s">
        <v>550</v>
      </c>
      <c r="BR6" t="s">
        <v>550</v>
      </c>
      <c r="BS6" t="s">
        <v>550</v>
      </c>
      <c r="BT6" t="s">
        <v>550</v>
      </c>
      <c r="BU6" t="s">
        <v>550</v>
      </c>
      <c r="BV6" t="s">
        <v>550</v>
      </c>
      <c r="BW6" t="s">
        <v>550</v>
      </c>
      <c r="BX6" t="s">
        <v>550</v>
      </c>
      <c r="BY6" t="s">
        <v>679</v>
      </c>
      <c r="BZ6" t="s">
        <v>679</v>
      </c>
      <c r="CA6" t="s">
        <v>679</v>
      </c>
      <c r="CB6" t="s">
        <v>679</v>
      </c>
      <c r="CC6" t="s">
        <v>679</v>
      </c>
      <c r="CD6" t="s">
        <v>679</v>
      </c>
      <c r="CE6" t="s">
        <v>679</v>
      </c>
      <c r="CF6" t="s">
        <v>679</v>
      </c>
      <c r="CG6" t="s">
        <v>679</v>
      </c>
      <c r="CH6" t="s">
        <v>679</v>
      </c>
      <c r="CI6" t="s">
        <v>679</v>
      </c>
      <c r="CJ6" t="s">
        <v>679</v>
      </c>
      <c r="CK6" t="s">
        <v>679</v>
      </c>
      <c r="CL6" t="s">
        <v>679</v>
      </c>
      <c r="CM6" t="s">
        <v>679</v>
      </c>
      <c r="CN6" t="s">
        <v>679</v>
      </c>
      <c r="CO6" t="s">
        <v>679</v>
      </c>
      <c r="CP6" t="s">
        <v>679</v>
      </c>
      <c r="CQ6" t="s">
        <v>679</v>
      </c>
      <c r="CR6" t="s">
        <v>679</v>
      </c>
      <c r="CS6" t="s">
        <v>679</v>
      </c>
      <c r="CT6" t="s">
        <v>679</v>
      </c>
      <c r="CU6" t="s">
        <v>679</v>
      </c>
      <c r="CV6" t="s">
        <v>679</v>
      </c>
      <c r="CW6" t="s">
        <v>679</v>
      </c>
      <c r="CX6" t="s">
        <v>679</v>
      </c>
      <c r="CY6" t="s">
        <v>679</v>
      </c>
      <c r="CZ6" t="s">
        <v>679</v>
      </c>
      <c r="DA6" t="s">
        <v>679</v>
      </c>
      <c r="DB6" t="s">
        <v>679</v>
      </c>
      <c r="DC6" t="s">
        <v>679</v>
      </c>
      <c r="DD6" t="s">
        <v>679</v>
      </c>
      <c r="DE6" t="s">
        <v>679</v>
      </c>
      <c r="DF6" t="s">
        <v>679</v>
      </c>
      <c r="DG6" t="s">
        <v>679</v>
      </c>
      <c r="DH6" t="s">
        <v>679</v>
      </c>
      <c r="DI6" t="s">
        <v>679</v>
      </c>
      <c r="DJ6" t="s">
        <v>679</v>
      </c>
      <c r="DK6" t="s">
        <v>679</v>
      </c>
      <c r="DL6" t="s">
        <v>679</v>
      </c>
      <c r="DM6" t="s">
        <v>679</v>
      </c>
      <c r="DN6" t="s">
        <v>679</v>
      </c>
      <c r="DO6" t="s">
        <v>679</v>
      </c>
      <c r="DP6" t="s">
        <v>679</v>
      </c>
      <c r="DQ6" t="s">
        <v>679</v>
      </c>
      <c r="DR6" t="s">
        <v>679</v>
      </c>
      <c r="DS6" t="s">
        <v>679</v>
      </c>
      <c r="DT6" t="s">
        <v>25</v>
      </c>
      <c r="DU6" t="s">
        <v>25</v>
      </c>
      <c r="DV6" t="s">
        <v>25</v>
      </c>
      <c r="DW6" t="s">
        <v>25</v>
      </c>
      <c r="DX6" t="s">
        <v>25</v>
      </c>
      <c r="DY6" t="s">
        <v>25</v>
      </c>
      <c r="DZ6" t="s">
        <v>25</v>
      </c>
      <c r="EA6" t="s">
        <v>25</v>
      </c>
      <c r="EB6" t="s">
        <v>25</v>
      </c>
      <c r="EC6" t="s">
        <v>800</v>
      </c>
      <c r="ED6" t="s">
        <v>800</v>
      </c>
      <c r="EE6" t="s">
        <v>800</v>
      </c>
      <c r="EF6" t="s">
        <v>800</v>
      </c>
      <c r="EG6" t="s">
        <v>126</v>
      </c>
      <c r="EH6" t="s">
        <v>126</v>
      </c>
      <c r="EI6" t="s">
        <v>126</v>
      </c>
      <c r="EJ6" t="s">
        <v>126</v>
      </c>
      <c r="EK6" t="s">
        <v>126</v>
      </c>
      <c r="EL6" t="s">
        <v>126</v>
      </c>
      <c r="EM6" t="s">
        <v>126</v>
      </c>
      <c r="EN6" t="s">
        <v>126</v>
      </c>
      <c r="EO6" t="s">
        <v>126</v>
      </c>
      <c r="EP6" t="s">
        <v>126</v>
      </c>
      <c r="EQ6" t="s">
        <v>126</v>
      </c>
      <c r="ER6" t="s">
        <v>126</v>
      </c>
      <c r="ES6" t="s">
        <v>126</v>
      </c>
      <c r="ET6" t="s">
        <v>126</v>
      </c>
      <c r="EU6" t="s">
        <v>126</v>
      </c>
      <c r="EV6" t="s">
        <v>126</v>
      </c>
      <c r="EW6" t="s">
        <v>126</v>
      </c>
      <c r="EX6" t="s">
        <v>126</v>
      </c>
      <c r="EY6" t="s">
        <v>126</v>
      </c>
      <c r="EZ6" t="s">
        <v>126</v>
      </c>
      <c r="FA6" t="s">
        <v>126</v>
      </c>
      <c r="FB6" t="s">
        <v>126</v>
      </c>
      <c r="FC6" t="s">
        <v>126</v>
      </c>
      <c r="FD6" t="s">
        <v>126</v>
      </c>
      <c r="FE6" t="s">
        <v>126</v>
      </c>
      <c r="FF6" t="s">
        <v>126</v>
      </c>
      <c r="FG6" t="s">
        <v>126</v>
      </c>
      <c r="FH6" t="s">
        <v>638</v>
      </c>
      <c r="FI6" t="s">
        <v>775</v>
      </c>
      <c r="FJ6" t="s">
        <v>775</v>
      </c>
      <c r="FM6" t="str">
        <f t="shared" si="0"/>
        <v xml:space="preserve">    &lt;route id="Router3_5" edges="-gneE80.0 -gneE80.17 -gneE41 gneE44 -388756838#2 -388756838#1 -388756838#0 42706817#0 386547310 gneE69 -388756838#2 -388756838#1 -388756838#0 -388756839#1 -388756839#0 -194358837#2 -194358837#0 194358838#0 194358838#1 194358838#2 194358838#3 387422145#0 387422145#3 386995499#0 386995499#2 -51155368#13 -51155368#10 -51155368#7 121319040#0 121319040#1 386995507#0 386995507#1 386995507#2 386995507#3 12182281#7 42706837#0 42706837#1 42706837#2 42706837#3 43357814#2 43357814#3 386995526#0 386995526#1 -51050425#4 -51050425#3 -51050425#2 12162659#0 12162659#1 -12175537#4 -12175537#3 -12175537#2 -12175537#1 -50033059#3 -50033059#2 -386995514#7 -12199713#2 12177498 42706833#2 51155368#0 -50033558#5 -50033558#3 -50033558#2 -62105579 -32121234#1 -32121234#0 42706874#0 42706874#2 55179414#0 55179413#0 424769182 -450827405#2 -450827400#2 -450827382 -450827385#1 -450827391#1 -450827381 -450827397#1 12180696#0 59435515#1 59435515#2 59435515#3 59435515#4 424801338#1 12117702#0 12117702#4 12117702#7 -32121146#3 -32121146#1 -424769197#2 12144152#0 12144152#2 12144152#4 12144152#6 12157151#0 12166276#2 -32121146#5 12117702#9 450844953#0 450844953#2 450844953#3 450844947#0 388533142#0 388533142#2 12189045#0 62623987#0 62623987#1 -12142631 12202018 62623986#1 62623986#2 -12189051#1 -262962063 -424080764 -424080768#1 -424080766 -104526265#1 -262962068#1 -424080774 -32122059#1 -32122059#0 -196393940#2 -196393940#0"/&gt;</v>
      </c>
      <c r="FN6" t="s">
        <v>2516</v>
      </c>
      <c r="FO6" t="s">
        <v>1094</v>
      </c>
      <c r="FP6" t="s">
        <v>2523</v>
      </c>
    </row>
    <row r="7" spans="1:172" x14ac:dyDescent="0.25">
      <c r="A7" t="s">
        <v>5</v>
      </c>
      <c r="B7" t="s">
        <v>5</v>
      </c>
      <c r="C7" t="s">
        <v>5</v>
      </c>
      <c r="D7" t="s">
        <v>5</v>
      </c>
      <c r="E7" t="s">
        <v>5</v>
      </c>
      <c r="F7" t="s">
        <v>5</v>
      </c>
      <c r="G7" t="s">
        <v>5</v>
      </c>
      <c r="H7" t="s">
        <v>5</v>
      </c>
      <c r="I7" t="s">
        <v>5</v>
      </c>
      <c r="J7" t="s">
        <v>5</v>
      </c>
      <c r="K7" t="s">
        <v>5</v>
      </c>
      <c r="L7" t="s">
        <v>5</v>
      </c>
      <c r="M7" t="s">
        <v>5</v>
      </c>
      <c r="N7" t="s">
        <v>5</v>
      </c>
      <c r="O7" t="s">
        <v>5</v>
      </c>
      <c r="P7" t="s">
        <v>5</v>
      </c>
      <c r="Q7" t="s">
        <v>5</v>
      </c>
      <c r="R7" t="s">
        <v>5</v>
      </c>
      <c r="S7" t="s">
        <v>5</v>
      </c>
      <c r="T7" t="s">
        <v>5</v>
      </c>
      <c r="U7" t="s">
        <v>5</v>
      </c>
      <c r="V7" t="s">
        <v>5</v>
      </c>
      <c r="W7" t="s">
        <v>5</v>
      </c>
      <c r="X7" t="s">
        <v>5</v>
      </c>
      <c r="Y7" t="s">
        <v>5</v>
      </c>
      <c r="Z7" t="s">
        <v>5</v>
      </c>
      <c r="AA7" t="s">
        <v>5</v>
      </c>
      <c r="AB7" t="s">
        <v>5</v>
      </c>
      <c r="AC7" t="s">
        <v>5</v>
      </c>
      <c r="AD7" t="s">
        <v>5</v>
      </c>
      <c r="AE7" t="s">
        <v>5</v>
      </c>
      <c r="AF7" t="s">
        <v>5</v>
      </c>
      <c r="AG7" t="s">
        <v>5</v>
      </c>
      <c r="AH7" t="s">
        <v>5</v>
      </c>
      <c r="AI7" t="s">
        <v>5</v>
      </c>
      <c r="AJ7" t="s">
        <v>5</v>
      </c>
      <c r="AK7" t="s">
        <v>159</v>
      </c>
      <c r="AL7" t="s">
        <v>1033</v>
      </c>
      <c r="AM7" t="s">
        <v>1033</v>
      </c>
      <c r="AN7" t="s">
        <v>1033</v>
      </c>
      <c r="AO7" t="s">
        <v>183</v>
      </c>
      <c r="AP7" t="s">
        <v>183</v>
      </c>
      <c r="AQ7" t="s">
        <v>183</v>
      </c>
      <c r="AR7" t="s">
        <v>183</v>
      </c>
      <c r="AS7" t="s">
        <v>521</v>
      </c>
      <c r="AT7" t="s">
        <v>521</v>
      </c>
      <c r="AU7" t="s">
        <v>521</v>
      </c>
      <c r="AV7" t="s">
        <v>521</v>
      </c>
      <c r="AW7" t="s">
        <v>521</v>
      </c>
      <c r="AX7" t="s">
        <v>195</v>
      </c>
      <c r="AY7" t="s">
        <v>195</v>
      </c>
      <c r="AZ7" t="s">
        <v>195</v>
      </c>
      <c r="BA7" t="s">
        <v>195</v>
      </c>
      <c r="BB7" t="s">
        <v>195</v>
      </c>
      <c r="BC7" t="s">
        <v>195</v>
      </c>
      <c r="BD7" t="s">
        <v>195</v>
      </c>
      <c r="BE7" t="s">
        <v>195</v>
      </c>
      <c r="BF7" t="s">
        <v>195</v>
      </c>
      <c r="BG7" t="s">
        <v>195</v>
      </c>
      <c r="BH7" t="s">
        <v>195</v>
      </c>
      <c r="BI7" t="s">
        <v>195</v>
      </c>
      <c r="BJ7" t="s">
        <v>195</v>
      </c>
      <c r="BK7" t="s">
        <v>195</v>
      </c>
      <c r="BL7" t="s">
        <v>195</v>
      </c>
      <c r="BM7" t="s">
        <v>551</v>
      </c>
      <c r="BN7" t="s">
        <v>551</v>
      </c>
      <c r="BO7" t="s">
        <v>551</v>
      </c>
      <c r="BP7" t="s">
        <v>551</v>
      </c>
      <c r="BQ7" t="s">
        <v>551</v>
      </c>
      <c r="BR7" t="s">
        <v>551</v>
      </c>
      <c r="BS7" t="s">
        <v>551</v>
      </c>
      <c r="BT7" t="s">
        <v>551</v>
      </c>
      <c r="BU7" t="s">
        <v>551</v>
      </c>
      <c r="BV7" t="s">
        <v>551</v>
      </c>
      <c r="BW7" t="s">
        <v>551</v>
      </c>
      <c r="BX7" t="s">
        <v>551</v>
      </c>
      <c r="BY7" t="s">
        <v>680</v>
      </c>
      <c r="BZ7" t="s">
        <v>680</v>
      </c>
      <c r="CA7" t="s">
        <v>680</v>
      </c>
      <c r="CB7" t="s">
        <v>680</v>
      </c>
      <c r="CC7" t="s">
        <v>680</v>
      </c>
      <c r="CD7" t="s">
        <v>680</v>
      </c>
      <c r="CE7" t="s">
        <v>680</v>
      </c>
      <c r="CF7" t="s">
        <v>680</v>
      </c>
      <c r="CG7" t="s">
        <v>680</v>
      </c>
      <c r="CH7" t="s">
        <v>680</v>
      </c>
      <c r="CI7" t="s">
        <v>680</v>
      </c>
      <c r="CJ7" t="s">
        <v>680</v>
      </c>
      <c r="CK7" t="s">
        <v>680</v>
      </c>
      <c r="CL7" t="s">
        <v>680</v>
      </c>
      <c r="CM7" t="s">
        <v>680</v>
      </c>
      <c r="CN7" t="s">
        <v>680</v>
      </c>
      <c r="CO7" t="s">
        <v>680</v>
      </c>
      <c r="CP7" t="s">
        <v>680</v>
      </c>
      <c r="CQ7" t="s">
        <v>680</v>
      </c>
      <c r="CR7" t="s">
        <v>680</v>
      </c>
      <c r="CS7" t="s">
        <v>680</v>
      </c>
      <c r="CT7" t="s">
        <v>680</v>
      </c>
      <c r="CU7" t="s">
        <v>680</v>
      </c>
      <c r="CV7" t="s">
        <v>680</v>
      </c>
      <c r="CW7" t="s">
        <v>680</v>
      </c>
      <c r="CX7" t="s">
        <v>680</v>
      </c>
      <c r="CY7" t="s">
        <v>680</v>
      </c>
      <c r="CZ7" t="s">
        <v>680</v>
      </c>
      <c r="DA7" t="s">
        <v>680</v>
      </c>
      <c r="DB7" t="s">
        <v>680</v>
      </c>
      <c r="DC7" t="s">
        <v>680</v>
      </c>
      <c r="DD7" t="s">
        <v>680</v>
      </c>
      <c r="DE7" t="s">
        <v>680</v>
      </c>
      <c r="DF7" t="s">
        <v>680</v>
      </c>
      <c r="DG7" t="s">
        <v>680</v>
      </c>
      <c r="DH7" t="s">
        <v>680</v>
      </c>
      <c r="DI7" t="s">
        <v>680</v>
      </c>
      <c r="DJ7" t="s">
        <v>680</v>
      </c>
      <c r="DK7" t="s">
        <v>680</v>
      </c>
      <c r="DL7" t="s">
        <v>680</v>
      </c>
      <c r="DM7" t="s">
        <v>680</v>
      </c>
      <c r="DN7" t="s">
        <v>680</v>
      </c>
      <c r="DO7" t="s">
        <v>680</v>
      </c>
      <c r="DP7" t="s">
        <v>680</v>
      </c>
      <c r="DQ7" t="s">
        <v>680</v>
      </c>
      <c r="DR7" t="s">
        <v>680</v>
      </c>
      <c r="DS7" t="s">
        <v>680</v>
      </c>
      <c r="DT7" t="s">
        <v>26</v>
      </c>
      <c r="DU7" t="s">
        <v>26</v>
      </c>
      <c r="DV7" t="s">
        <v>26</v>
      </c>
      <c r="DW7" t="s">
        <v>26</v>
      </c>
      <c r="DX7" t="s">
        <v>26</v>
      </c>
      <c r="DY7" t="s">
        <v>26</v>
      </c>
      <c r="DZ7" t="s">
        <v>26</v>
      </c>
      <c r="EA7" t="s">
        <v>26</v>
      </c>
      <c r="EB7" t="s">
        <v>644</v>
      </c>
      <c r="EC7" t="s">
        <v>801</v>
      </c>
      <c r="ED7" t="s">
        <v>801</v>
      </c>
      <c r="EE7" t="s">
        <v>801</v>
      </c>
      <c r="EF7" t="s">
        <v>801</v>
      </c>
      <c r="EG7" t="s">
        <v>127</v>
      </c>
      <c r="EH7" t="s">
        <v>127</v>
      </c>
      <c r="EI7" t="s">
        <v>127</v>
      </c>
      <c r="EJ7" t="s">
        <v>127</v>
      </c>
      <c r="EK7" t="s">
        <v>127</v>
      </c>
      <c r="EL7" t="s">
        <v>127</v>
      </c>
      <c r="EM7" t="s">
        <v>127</v>
      </c>
      <c r="EN7" t="s">
        <v>127</v>
      </c>
      <c r="EO7" t="s">
        <v>127</v>
      </c>
      <c r="EP7" t="s">
        <v>127</v>
      </c>
      <c r="EQ7" t="s">
        <v>127</v>
      </c>
      <c r="ER7" t="s">
        <v>127</v>
      </c>
      <c r="ES7" t="s">
        <v>127</v>
      </c>
      <c r="ET7" t="s">
        <v>127</v>
      </c>
      <c r="EU7" t="s">
        <v>127</v>
      </c>
      <c r="EV7" t="s">
        <v>127</v>
      </c>
      <c r="EW7" t="s">
        <v>127</v>
      </c>
      <c r="EX7" t="s">
        <v>127</v>
      </c>
      <c r="EY7" t="s">
        <v>127</v>
      </c>
      <c r="EZ7" t="s">
        <v>127</v>
      </c>
      <c r="FA7" t="s">
        <v>127</v>
      </c>
      <c r="FB7" t="s">
        <v>127</v>
      </c>
      <c r="FC7" t="s">
        <v>127</v>
      </c>
      <c r="FD7" t="s">
        <v>127</v>
      </c>
      <c r="FE7" t="s">
        <v>127</v>
      </c>
      <c r="FF7" t="s">
        <v>127</v>
      </c>
      <c r="FG7" t="s">
        <v>127</v>
      </c>
      <c r="FH7" t="s">
        <v>1058</v>
      </c>
      <c r="FI7" t="s">
        <v>776</v>
      </c>
      <c r="FJ7" t="s">
        <v>776</v>
      </c>
      <c r="FM7" t="str">
        <f t="shared" si="0"/>
        <v xml:space="preserve">    &lt;route id="Router3_6" edges="-gneE80.0 -gneE80.17 -gneE41 gneE44 -388756838#2 -388756838#1 -388756838#0 42706817#0 386547310 gneE69 -388756838#2 -388756838#1 -388756838#0 -388756839#1 -388756839#0 -194358837#2 -194358837#0 194358838#0 194358838#1 194358838#2 194358838#3 387422145#0 387422145#3 386995499#0 386995499#2 -51155368#13 -51155368#10 -51155368#7 121319040#0 121319040#1 386995507#0 386995507#1 386995507#2 386995507#3 12182281#7 42706837#0 42706837#1 42706837#2 42706837#3 43357814#2 43357814#3 386995526#0 386995526#1 -51050425#4 -51050425#3 -51050425#2 12162659#0 12162659#1 -12175537#4 -12175537#3 -12175537#2 -12175537#1 -50033059#3 -50033059#2 -386995514#7 -12199713#2 12177498 42706833#2 51155368#0 -50033558#5 -50033558#3 -50033558#2 -62105579 -32121234#1 -32121234#0 42706874#0 42706874#2 55179414#0 55179413#0 424769182 -450827405#2 -450827400#2 -450827382 -450827385#1 -450827391#1 -450827381 -450827397#1 12180696#0 59435515#1 59435515#2 59435515#3 59435515#4 424801338#1 12117702#0 12117702#4 12117702#7 -32121146#3 -32121146#1 -424769197#2 12144152#0 12144152#2 12144152#4 12144152#6 12157151#0 12166276#2 -32121146#5 12117702#9 450844953#0 450844953#2 450844953#3 450844947#0 388533142#0 388533142#2 12189045#0 62623987#0 62623987#1 -12142631 12202018 62623986#1 62623986#2 -12189051#1 -262962063 -424080764 -424080768#1 -424080766 -104526265#1 30953497#0 30953497#2 30953497#3 42706585#0 42706585#1 30953320 30953320-AddedOffRampEdge 104526277 30953215#1-AddedOnRampEdge 30953215#1 121643865#0 121643865#1 145605511#1-AddedOnRampEdge 145605511#12 145605511#1.148"/&gt;</v>
      </c>
      <c r="FN7" t="s">
        <v>2516</v>
      </c>
      <c r="FO7" t="s">
        <v>1095</v>
      </c>
      <c r="FP7" t="s">
        <v>2524</v>
      </c>
    </row>
    <row r="8" spans="1:172" x14ac:dyDescent="0.25">
      <c r="A8" t="s">
        <v>6</v>
      </c>
      <c r="B8" t="s">
        <v>6</v>
      </c>
      <c r="C8" t="s">
        <v>6</v>
      </c>
      <c r="D8" t="s">
        <v>6</v>
      </c>
      <c r="E8" t="s">
        <v>6</v>
      </c>
      <c r="F8" t="s">
        <v>6</v>
      </c>
      <c r="G8" t="s">
        <v>6</v>
      </c>
      <c r="H8" t="s">
        <v>6</v>
      </c>
      <c r="I8" t="s">
        <v>6</v>
      </c>
      <c r="J8" t="s">
        <v>6</v>
      </c>
      <c r="K8" t="s">
        <v>6</v>
      </c>
      <c r="L8" t="s">
        <v>6</v>
      </c>
      <c r="M8" t="s">
        <v>6</v>
      </c>
      <c r="N8" t="s">
        <v>6</v>
      </c>
      <c r="O8" t="s">
        <v>6</v>
      </c>
      <c r="P8" t="s">
        <v>6</v>
      </c>
      <c r="Q8" t="s">
        <v>6</v>
      </c>
      <c r="R8" t="s">
        <v>6</v>
      </c>
      <c r="S8" t="s">
        <v>6</v>
      </c>
      <c r="T8" t="s">
        <v>6</v>
      </c>
      <c r="U8" t="s">
        <v>6</v>
      </c>
      <c r="V8" t="s">
        <v>6</v>
      </c>
      <c r="W8" t="s">
        <v>6</v>
      </c>
      <c r="X8" t="s">
        <v>6</v>
      </c>
      <c r="Y8" t="s">
        <v>6</v>
      </c>
      <c r="Z8" t="s">
        <v>6</v>
      </c>
      <c r="AA8" t="s">
        <v>6</v>
      </c>
      <c r="AB8" t="s">
        <v>6</v>
      </c>
      <c r="AC8" t="s">
        <v>6</v>
      </c>
      <c r="AD8" t="s">
        <v>6</v>
      </c>
      <c r="AE8" t="s">
        <v>6</v>
      </c>
      <c r="AF8" t="s">
        <v>6</v>
      </c>
      <c r="AG8" t="s">
        <v>6</v>
      </c>
      <c r="AH8" t="s">
        <v>6</v>
      </c>
      <c r="AI8" t="s">
        <v>6</v>
      </c>
      <c r="AJ8" t="s">
        <v>6</v>
      </c>
      <c r="AK8" t="s">
        <v>160</v>
      </c>
      <c r="AL8" t="s">
        <v>534</v>
      </c>
      <c r="AM8" t="s">
        <v>192</v>
      </c>
      <c r="AN8" t="s">
        <v>192</v>
      </c>
      <c r="AO8" t="s">
        <v>184</v>
      </c>
      <c r="AP8" t="s">
        <v>184</v>
      </c>
      <c r="AQ8" t="s">
        <v>184</v>
      </c>
      <c r="AR8" t="s">
        <v>184</v>
      </c>
      <c r="AS8" t="s">
        <v>522</v>
      </c>
      <c r="AT8" t="s">
        <v>203</v>
      </c>
      <c r="AU8" t="s">
        <v>203</v>
      </c>
      <c r="AV8" t="s">
        <v>203</v>
      </c>
      <c r="AW8" t="s">
        <v>203</v>
      </c>
      <c r="AX8" t="s">
        <v>514</v>
      </c>
      <c r="AY8" t="s">
        <v>514</v>
      </c>
      <c r="AZ8" t="s">
        <v>514</v>
      </c>
      <c r="BA8" t="s">
        <v>514</v>
      </c>
      <c r="BB8" t="s">
        <v>514</v>
      </c>
      <c r="BC8" t="s">
        <v>514</v>
      </c>
      <c r="BD8" t="s">
        <v>514</v>
      </c>
      <c r="BE8" t="s">
        <v>514</v>
      </c>
      <c r="BF8" t="s">
        <v>514</v>
      </c>
      <c r="BG8" t="s">
        <v>514</v>
      </c>
      <c r="BH8" t="s">
        <v>514</v>
      </c>
      <c r="BI8" t="s">
        <v>514</v>
      </c>
      <c r="BJ8" t="s">
        <v>514</v>
      </c>
      <c r="BK8" t="s">
        <v>514</v>
      </c>
      <c r="BL8" t="s">
        <v>514</v>
      </c>
      <c r="BM8" t="s">
        <v>302</v>
      </c>
      <c r="BN8" t="s">
        <v>302</v>
      </c>
      <c r="BO8" t="s">
        <v>302</v>
      </c>
      <c r="BP8" t="s">
        <v>302</v>
      </c>
      <c r="BQ8" t="s">
        <v>302</v>
      </c>
      <c r="BR8" t="s">
        <v>302</v>
      </c>
      <c r="BS8" t="s">
        <v>713</v>
      </c>
      <c r="BT8" t="s">
        <v>713</v>
      </c>
      <c r="BU8" t="s">
        <v>713</v>
      </c>
      <c r="BV8" t="s">
        <v>713</v>
      </c>
      <c r="BW8" t="s">
        <v>713</v>
      </c>
      <c r="BX8" t="s">
        <v>713</v>
      </c>
      <c r="BY8" t="s">
        <v>681</v>
      </c>
      <c r="BZ8" t="s">
        <v>681</v>
      </c>
      <c r="CA8" t="s">
        <v>681</v>
      </c>
      <c r="CB8" t="s">
        <v>681</v>
      </c>
      <c r="CC8" t="s">
        <v>681</v>
      </c>
      <c r="CD8" t="s">
        <v>681</v>
      </c>
      <c r="CE8" t="s">
        <v>681</v>
      </c>
      <c r="CF8" t="s">
        <v>681</v>
      </c>
      <c r="CG8" t="s">
        <v>681</v>
      </c>
      <c r="CH8" t="s">
        <v>681</v>
      </c>
      <c r="CI8" t="s">
        <v>681</v>
      </c>
      <c r="CJ8" t="s">
        <v>681</v>
      </c>
      <c r="CK8" t="s">
        <v>681</v>
      </c>
      <c r="CL8" t="s">
        <v>681</v>
      </c>
      <c r="CM8" t="s">
        <v>681</v>
      </c>
      <c r="CN8" t="s">
        <v>681</v>
      </c>
      <c r="CO8" t="s">
        <v>681</v>
      </c>
      <c r="CP8" t="s">
        <v>681</v>
      </c>
      <c r="CQ8" t="s">
        <v>681</v>
      </c>
      <c r="CR8" t="s">
        <v>681</v>
      </c>
      <c r="CS8" t="s">
        <v>681</v>
      </c>
      <c r="CT8" t="s">
        <v>681</v>
      </c>
      <c r="CU8" t="s">
        <v>681</v>
      </c>
      <c r="CV8" t="s">
        <v>681</v>
      </c>
      <c r="CW8" t="s">
        <v>681</v>
      </c>
      <c r="CX8" t="s">
        <v>681</v>
      </c>
      <c r="CY8" t="s">
        <v>681</v>
      </c>
      <c r="CZ8" t="s">
        <v>681</v>
      </c>
      <c r="DA8" t="s">
        <v>681</v>
      </c>
      <c r="DB8" t="s">
        <v>681</v>
      </c>
      <c r="DC8" t="s">
        <v>681</v>
      </c>
      <c r="DD8" t="s">
        <v>681</v>
      </c>
      <c r="DE8" t="s">
        <v>681</v>
      </c>
      <c r="DF8" t="s">
        <v>681</v>
      </c>
      <c r="DG8" t="s">
        <v>681</v>
      </c>
      <c r="DH8" t="s">
        <v>681</v>
      </c>
      <c r="DI8" t="s">
        <v>681</v>
      </c>
      <c r="DJ8" t="s">
        <v>681</v>
      </c>
      <c r="DK8" t="s">
        <v>681</v>
      </c>
      <c r="DL8" t="s">
        <v>681</v>
      </c>
      <c r="DM8" t="s">
        <v>681</v>
      </c>
      <c r="DN8" t="s">
        <v>681</v>
      </c>
      <c r="DO8" t="s">
        <v>681</v>
      </c>
      <c r="DP8" t="s">
        <v>681</v>
      </c>
      <c r="DQ8" t="s">
        <v>681</v>
      </c>
      <c r="DR8" t="s">
        <v>681</v>
      </c>
      <c r="DS8" t="s">
        <v>681</v>
      </c>
      <c r="DT8" t="s">
        <v>27</v>
      </c>
      <c r="DU8" t="s">
        <v>27</v>
      </c>
      <c r="DV8" t="s">
        <v>27</v>
      </c>
      <c r="DW8" t="s">
        <v>27</v>
      </c>
      <c r="DX8" t="s">
        <v>27</v>
      </c>
      <c r="DY8" t="s">
        <v>27</v>
      </c>
      <c r="DZ8" t="s">
        <v>27</v>
      </c>
      <c r="EA8" t="s">
        <v>27</v>
      </c>
      <c r="EB8" t="s">
        <v>44</v>
      </c>
      <c r="EC8" t="s">
        <v>802</v>
      </c>
      <c r="ED8" t="s">
        <v>802</v>
      </c>
      <c r="EE8" t="s">
        <v>802</v>
      </c>
      <c r="EF8" t="s">
        <v>802</v>
      </c>
      <c r="EG8" t="s">
        <v>883</v>
      </c>
      <c r="EH8" t="s">
        <v>883</v>
      </c>
      <c r="EI8" t="s">
        <v>883</v>
      </c>
      <c r="EJ8" t="s">
        <v>883</v>
      </c>
      <c r="EK8" t="s">
        <v>883</v>
      </c>
      <c r="EL8" t="s">
        <v>883</v>
      </c>
      <c r="EM8" t="s">
        <v>883</v>
      </c>
      <c r="EN8" t="s">
        <v>883</v>
      </c>
      <c r="EO8" t="s">
        <v>883</v>
      </c>
      <c r="EP8" t="s">
        <v>883</v>
      </c>
      <c r="EQ8" t="s">
        <v>883</v>
      </c>
      <c r="ER8" t="s">
        <v>883</v>
      </c>
      <c r="ES8" t="s">
        <v>883</v>
      </c>
      <c r="ET8" t="s">
        <v>883</v>
      </c>
      <c r="EU8" t="s">
        <v>883</v>
      </c>
      <c r="EV8" t="s">
        <v>883</v>
      </c>
      <c r="EW8" t="s">
        <v>883</v>
      </c>
      <c r="EX8" t="s">
        <v>883</v>
      </c>
      <c r="EY8" t="s">
        <v>883</v>
      </c>
      <c r="EZ8" t="s">
        <v>883</v>
      </c>
      <c r="FA8" t="s">
        <v>883</v>
      </c>
      <c r="FB8" t="s">
        <v>883</v>
      </c>
      <c r="FC8" t="s">
        <v>883</v>
      </c>
      <c r="FD8" t="s">
        <v>883</v>
      </c>
      <c r="FE8" t="s">
        <v>883</v>
      </c>
      <c r="FF8" t="s">
        <v>883</v>
      </c>
      <c r="FG8" t="s">
        <v>128</v>
      </c>
      <c r="FH8" t="s">
        <v>1059</v>
      </c>
      <c r="FI8" t="s">
        <v>905</v>
      </c>
      <c r="FJ8" t="s">
        <v>894</v>
      </c>
      <c r="FM8" t="str">
        <f t="shared" si="0"/>
        <v xml:space="preserve">    &lt;route id="Router3_7" edges="-gneE80.0 -gneE80.17 -gneE41 gneE44 -388756838#2 -388756838#1 -388756838#0 42706817#0 386547310 gneE69 -388756838#2 -388756838#1 -388756838#0 -388756839#1 -388756839#0 -194358837#2 -194358837#0 194358838#0 194358838#1 194358838#2 194358838#3 387422145#0 387422145#3 386995499#0 386995499#2 -51155368#13 -51155368#10 -51155368#7 121319040#0 121319040#1 386995507#0 386995507#1 386995507#2 386995507#3 12182281#7 42706837#0 42706837#1 42706837#2 42706837#3 43357814#2 43357814#3 386995526#0 386995526#1 -51050425#4 -51050425#3 -51050425#2 12162659#0 12162659#1 -12175537#4 -12175537#3 -12175537#2 -12175537#1 -50033059#3 -50033059#2 -386995514#7 -12199713#2 12177498 42706833#2 51155368#0 -50033558#5 -50033558#3 -50033558#2 -62105579 -32121234#1 -32121234#0 42706874#0 42706874#2 55179414#0 55179413#0 424769182 -450827405#2 -450827400#2 -450827382 -450827385#1 -450827391#1 -450827381 -450827397#1 12180696#0 59435515#1 59435515#2 59435515#3 59435515#4 424801338#1 12117702#0 12117702#4 12117702#7 -32121146#3 -32121146#1 -424769197#2 12144152#0 12144152#2 12144152#4 12144152#6 12157151#0 12166276#2 -32121146#5 12117702#9 450844953#0 450844953#2 450844953#3 450844947#0 388533142#0 388533142#2 12189045#0 62623987#0 62623987#1 -12142631 12202018 62623986#1 62623986#2 -12189051#1 -262962063 -424080764 -424080768#1 -424080766 -104526265#1 30953497#0 30953497#2 35920555#0.0 35920555#0.75 62203066 43331031.0 43331031.436 42706585#0 42706585#1 30953320 30953320-AddedOffRampEdge 30953315 104526276-AddedOnRampEdge 104526276 51758697#0 51758697#1-AddedOnRampEdge 51758697#1"/&gt;</v>
      </c>
      <c r="FN8" t="s">
        <v>2516</v>
      </c>
      <c r="FO8" t="s">
        <v>1096</v>
      </c>
      <c r="FP8" t="s">
        <v>2525</v>
      </c>
    </row>
    <row r="9" spans="1:172" x14ac:dyDescent="0.25">
      <c r="A9" t="s">
        <v>10</v>
      </c>
      <c r="B9" t="s">
        <v>7</v>
      </c>
      <c r="C9" t="s">
        <v>7</v>
      </c>
      <c r="D9" t="s">
        <v>7</v>
      </c>
      <c r="E9" t="s">
        <v>7</v>
      </c>
      <c r="F9" t="s">
        <v>7</v>
      </c>
      <c r="G9" t="s">
        <v>7</v>
      </c>
      <c r="H9" t="s">
        <v>7</v>
      </c>
      <c r="I9" t="s">
        <v>7</v>
      </c>
      <c r="J9" t="s">
        <v>7</v>
      </c>
      <c r="K9" t="s">
        <v>7</v>
      </c>
      <c r="L9" t="s">
        <v>7</v>
      </c>
      <c r="M9" t="s">
        <v>7</v>
      </c>
      <c r="N9" t="s">
        <v>7</v>
      </c>
      <c r="O9" t="s">
        <v>7</v>
      </c>
      <c r="P9" t="s">
        <v>7</v>
      </c>
      <c r="Q9" t="s">
        <v>7</v>
      </c>
      <c r="R9" t="s">
        <v>7</v>
      </c>
      <c r="S9" t="s">
        <v>7</v>
      </c>
      <c r="T9" t="s">
        <v>7</v>
      </c>
      <c r="U9" t="s">
        <v>7</v>
      </c>
      <c r="V9" t="s">
        <v>7</v>
      </c>
      <c r="W9" t="s">
        <v>7</v>
      </c>
      <c r="X9" t="s">
        <v>7</v>
      </c>
      <c r="Y9" t="s">
        <v>7</v>
      </c>
      <c r="Z9" t="s">
        <v>7</v>
      </c>
      <c r="AA9" t="s">
        <v>7</v>
      </c>
      <c r="AB9" t="s">
        <v>7</v>
      </c>
      <c r="AC9" t="s">
        <v>7</v>
      </c>
      <c r="AD9" t="s">
        <v>7</v>
      </c>
      <c r="AE9" t="s">
        <v>7</v>
      </c>
      <c r="AF9" t="s">
        <v>7</v>
      </c>
      <c r="AG9" t="s">
        <v>7</v>
      </c>
      <c r="AH9" t="s">
        <v>7</v>
      </c>
      <c r="AI9" t="s">
        <v>7</v>
      </c>
      <c r="AJ9" t="s">
        <v>7</v>
      </c>
      <c r="AK9" t="s">
        <v>161</v>
      </c>
      <c r="AM9" t="s">
        <v>513</v>
      </c>
      <c r="AN9" t="s">
        <v>513</v>
      </c>
      <c r="AO9" t="s">
        <v>119</v>
      </c>
      <c r="AP9" t="s">
        <v>119</v>
      </c>
      <c r="AQ9" t="s">
        <v>119</v>
      </c>
      <c r="AR9" t="s">
        <v>119</v>
      </c>
      <c r="AS9" t="s">
        <v>196</v>
      </c>
      <c r="AT9" t="s">
        <v>204</v>
      </c>
      <c r="AU9" t="s">
        <v>204</v>
      </c>
      <c r="AV9" t="s">
        <v>204</v>
      </c>
      <c r="AW9" t="s">
        <v>204</v>
      </c>
      <c r="AX9" t="s">
        <v>207</v>
      </c>
      <c r="AY9" t="s">
        <v>207</v>
      </c>
      <c r="AZ9" t="s">
        <v>207</v>
      </c>
      <c r="BA9" t="s">
        <v>207</v>
      </c>
      <c r="BB9" t="s">
        <v>1034</v>
      </c>
      <c r="BC9" t="s">
        <v>1034</v>
      </c>
      <c r="BD9" t="s">
        <v>1034</v>
      </c>
      <c r="BE9" t="s">
        <v>1034</v>
      </c>
      <c r="BF9" t="s">
        <v>1034</v>
      </c>
      <c r="BG9" t="s">
        <v>1034</v>
      </c>
      <c r="BH9" t="s">
        <v>1034</v>
      </c>
      <c r="BI9" t="s">
        <v>1034</v>
      </c>
      <c r="BJ9" t="s">
        <v>1034</v>
      </c>
      <c r="BK9" t="s">
        <v>1034</v>
      </c>
      <c r="BL9" t="s">
        <v>1034</v>
      </c>
      <c r="BM9" t="s">
        <v>303</v>
      </c>
      <c r="BN9" t="s">
        <v>303</v>
      </c>
      <c r="BO9" t="s">
        <v>303</v>
      </c>
      <c r="BP9" t="s">
        <v>303</v>
      </c>
      <c r="BQ9" t="s">
        <v>303</v>
      </c>
      <c r="BR9" t="s">
        <v>303</v>
      </c>
      <c r="BS9" t="s">
        <v>714</v>
      </c>
      <c r="BT9" t="s">
        <v>714</v>
      </c>
      <c r="BU9" t="s">
        <v>714</v>
      </c>
      <c r="BV9" t="s">
        <v>714</v>
      </c>
      <c r="BW9" t="s">
        <v>714</v>
      </c>
      <c r="BX9" t="s">
        <v>714</v>
      </c>
      <c r="BY9" t="s">
        <v>682</v>
      </c>
      <c r="BZ9" t="s">
        <v>682</v>
      </c>
      <c r="CA9" t="s">
        <v>682</v>
      </c>
      <c r="CB9" t="s">
        <v>682</v>
      </c>
      <c r="CC9" t="s">
        <v>682</v>
      </c>
      <c r="CD9" t="s">
        <v>682</v>
      </c>
      <c r="CE9" t="s">
        <v>682</v>
      </c>
      <c r="CF9" t="s">
        <v>682</v>
      </c>
      <c r="CG9" t="s">
        <v>682</v>
      </c>
      <c r="CH9" t="s">
        <v>682</v>
      </c>
      <c r="CI9" t="s">
        <v>682</v>
      </c>
      <c r="CJ9" t="s">
        <v>682</v>
      </c>
      <c r="CK9" t="s">
        <v>682</v>
      </c>
      <c r="CL9" t="s">
        <v>682</v>
      </c>
      <c r="CM9" t="s">
        <v>682</v>
      </c>
      <c r="CN9" t="s">
        <v>682</v>
      </c>
      <c r="CO9" t="s">
        <v>682</v>
      </c>
      <c r="CP9" t="s">
        <v>682</v>
      </c>
      <c r="CQ9" t="s">
        <v>682</v>
      </c>
      <c r="CR9" t="s">
        <v>682</v>
      </c>
      <c r="CS9" t="s">
        <v>682</v>
      </c>
      <c r="CT9" t="s">
        <v>682</v>
      </c>
      <c r="CU9" t="s">
        <v>682</v>
      </c>
      <c r="CV9" t="s">
        <v>682</v>
      </c>
      <c r="CW9" t="s">
        <v>682</v>
      </c>
      <c r="CX9" t="s">
        <v>682</v>
      </c>
      <c r="CY9" t="s">
        <v>682</v>
      </c>
      <c r="CZ9" t="s">
        <v>682</v>
      </c>
      <c r="DA9" t="s">
        <v>682</v>
      </c>
      <c r="DB9" t="s">
        <v>682</v>
      </c>
      <c r="DC9" t="s">
        <v>682</v>
      </c>
      <c r="DD9" t="s">
        <v>682</v>
      </c>
      <c r="DE9" t="s">
        <v>682</v>
      </c>
      <c r="DF9" t="s">
        <v>682</v>
      </c>
      <c r="DG9" t="s">
        <v>682</v>
      </c>
      <c r="DH9" t="s">
        <v>682</v>
      </c>
      <c r="DI9" t="s">
        <v>682</v>
      </c>
      <c r="DJ9" t="s">
        <v>682</v>
      </c>
      <c r="DK9" t="s">
        <v>682</v>
      </c>
      <c r="DL9" t="s">
        <v>682</v>
      </c>
      <c r="DM9" t="s">
        <v>682</v>
      </c>
      <c r="DN9" t="s">
        <v>682</v>
      </c>
      <c r="DO9" t="s">
        <v>682</v>
      </c>
      <c r="DP9" t="s">
        <v>682</v>
      </c>
      <c r="DQ9" t="s">
        <v>682</v>
      </c>
      <c r="DR9" t="s">
        <v>682</v>
      </c>
      <c r="DS9" t="s">
        <v>682</v>
      </c>
      <c r="DT9" t="s">
        <v>247</v>
      </c>
      <c r="DU9" t="s">
        <v>28</v>
      </c>
      <c r="DV9" t="s">
        <v>28</v>
      </c>
      <c r="DW9" t="s">
        <v>28</v>
      </c>
      <c r="DX9" t="s">
        <v>28</v>
      </c>
      <c r="DY9" t="s">
        <v>28</v>
      </c>
      <c r="DZ9" t="s">
        <v>28</v>
      </c>
      <c r="EA9" t="s">
        <v>28</v>
      </c>
      <c r="EB9" t="s">
        <v>45</v>
      </c>
      <c r="EC9" t="s">
        <v>864</v>
      </c>
      <c r="ED9" t="s">
        <v>864</v>
      </c>
      <c r="EE9" t="s">
        <v>864</v>
      </c>
      <c r="EF9" t="s">
        <v>864</v>
      </c>
      <c r="EG9" t="s">
        <v>884</v>
      </c>
      <c r="EH9" t="s">
        <v>884</v>
      </c>
      <c r="EI9" t="s">
        <v>884</v>
      </c>
      <c r="EJ9" t="s">
        <v>884</v>
      </c>
      <c r="EK9" t="s">
        <v>884</v>
      </c>
      <c r="EL9" t="s">
        <v>884</v>
      </c>
      <c r="EM9" t="s">
        <v>884</v>
      </c>
      <c r="EN9" t="s">
        <v>884</v>
      </c>
      <c r="EO9" t="s">
        <v>884</v>
      </c>
      <c r="EP9" t="s">
        <v>884</v>
      </c>
      <c r="EQ9" t="s">
        <v>884</v>
      </c>
      <c r="ER9" t="s">
        <v>884</v>
      </c>
      <c r="ES9" t="s">
        <v>884</v>
      </c>
      <c r="ET9" t="s">
        <v>884</v>
      </c>
      <c r="EU9" t="s">
        <v>884</v>
      </c>
      <c r="EV9" t="s">
        <v>884</v>
      </c>
      <c r="EW9" t="s">
        <v>884</v>
      </c>
      <c r="EX9" t="s">
        <v>884</v>
      </c>
      <c r="EY9" t="s">
        <v>884</v>
      </c>
      <c r="EZ9" t="s">
        <v>884</v>
      </c>
      <c r="FA9" t="s">
        <v>884</v>
      </c>
      <c r="FB9" t="s">
        <v>884</v>
      </c>
      <c r="FC9" t="s">
        <v>884</v>
      </c>
      <c r="FD9" t="s">
        <v>884</v>
      </c>
      <c r="FE9" t="s">
        <v>884</v>
      </c>
      <c r="FF9" t="s">
        <v>884</v>
      </c>
      <c r="FG9" t="s">
        <v>129</v>
      </c>
      <c r="FH9" t="s">
        <v>249</v>
      </c>
      <c r="FI9" t="s">
        <v>1045</v>
      </c>
      <c r="FJ9" t="s">
        <v>797</v>
      </c>
      <c r="FM9" t="str">
        <f t="shared" si="0"/>
        <v xml:space="preserve">    &lt;route id="Router3_8" edges="-gneE80.0 -gneE80.17 -gneE41 gneE44 -388756838#2 -388756838#1 -388756838#0 42706817#0 386547310 gneE69 -388756838#2 -388756838#1 -388756838#0 -388756839#1 -388756839#0 -194358837#2 -194358837#0 194358838#0 194358838#1 194358838#2 194358838#3 387422145#0 387422145#3 386995499#0 386995499#2 -51155368#13 -51155368#10 -51155368#7 121319040#0 121319040#1 386995507#0 386995507#1 386995507#2 386995507#3 12182281#7 42706837#0 42706837#1 42706837#2 42706837#3 43357814#2 43357814#3 386995526#0 386995526#1 -51050425#4 -51050425#3 -51050425#2 12162659#0 12162659#1 -12175537#4 -12175537#3 -12175537#2 -12175537#1 -50033059#3 -50033059#2 -386995514#7 -12199713#2 12177498 42706833#2 51155368#0 -50033558#5 -50033558#3 -50033558#2 -62105579 -32121234#1 -32121234#0 42706874#0 42706874#2 55179414#0 55179413#0 424769182 -450827405#2 -450827400#2 -450827382 -450827385#1 -450827391#1 -450827381 -450827397#1 12180696#0 59435515#1 59435515#2 59435515#3 59435515#4 424801338#1 12117702#0 12117702#4 12117702#7 -32121146#3 -32121146#1 -424769197#2 12144152#0 12144152#2 12144152#4 12144152#6 12157151#0 12166276#2 -32121146#5 12117702#9 450844953#0 450844953#2 450844953#3 450844947#0 388533142#0 388533142#2 388533142#4 62623926#0 62623926#1 450844950#0 38502259#0.19 450844933#1 196207110#0 196207110#2"/&gt;</v>
      </c>
      <c r="FN9" t="s">
        <v>2516</v>
      </c>
      <c r="FO9" t="s">
        <v>1097</v>
      </c>
      <c r="FP9" t="s">
        <v>2526</v>
      </c>
    </row>
    <row r="10" spans="1:172" x14ac:dyDescent="0.25">
      <c r="A10" t="s">
        <v>11</v>
      </c>
      <c r="B10" t="s">
        <v>8</v>
      </c>
      <c r="C10" t="s">
        <v>8</v>
      </c>
      <c r="D10" t="s">
        <v>8</v>
      </c>
      <c r="E10" t="s">
        <v>8</v>
      </c>
      <c r="F10" t="s">
        <v>8</v>
      </c>
      <c r="G10" t="s">
        <v>8</v>
      </c>
      <c r="H10" t="s">
        <v>8</v>
      </c>
      <c r="I10" t="s">
        <v>8</v>
      </c>
      <c r="J10" t="s">
        <v>8</v>
      </c>
      <c r="K10" t="s">
        <v>8</v>
      </c>
      <c r="L10" t="s">
        <v>8</v>
      </c>
      <c r="M10" t="s">
        <v>8</v>
      </c>
      <c r="N10" t="s">
        <v>8</v>
      </c>
      <c r="O10" t="s">
        <v>8</v>
      </c>
      <c r="P10" t="s">
        <v>8</v>
      </c>
      <c r="Q10" t="s">
        <v>8</v>
      </c>
      <c r="R10" t="s">
        <v>8</v>
      </c>
      <c r="S10" t="s">
        <v>8</v>
      </c>
      <c r="T10" t="s">
        <v>8</v>
      </c>
      <c r="U10" t="s">
        <v>8</v>
      </c>
      <c r="V10" t="s">
        <v>8</v>
      </c>
      <c r="W10" t="s">
        <v>8</v>
      </c>
      <c r="X10" t="s">
        <v>8</v>
      </c>
      <c r="Y10" t="s">
        <v>8</v>
      </c>
      <c r="Z10" t="s">
        <v>8</v>
      </c>
      <c r="AA10" t="s">
        <v>8</v>
      </c>
      <c r="AB10" t="s">
        <v>8</v>
      </c>
      <c r="AC10" t="s">
        <v>8</v>
      </c>
      <c r="AD10" t="s">
        <v>8</v>
      </c>
      <c r="AE10" t="s">
        <v>8</v>
      </c>
      <c r="AF10" t="s">
        <v>8</v>
      </c>
      <c r="AG10" t="s">
        <v>8</v>
      </c>
      <c r="AH10" t="s">
        <v>8</v>
      </c>
      <c r="AI10" t="s">
        <v>8</v>
      </c>
      <c r="AJ10" t="s">
        <v>8</v>
      </c>
      <c r="AM10" t="s">
        <v>193</v>
      </c>
      <c r="AN10" t="s">
        <v>193</v>
      </c>
      <c r="AO10" t="s">
        <v>178</v>
      </c>
      <c r="AP10" t="s">
        <v>178</v>
      </c>
      <c r="AQ10" t="s">
        <v>178</v>
      </c>
      <c r="AR10" t="s">
        <v>178</v>
      </c>
      <c r="AS10" t="s">
        <v>197</v>
      </c>
      <c r="AT10" t="s">
        <v>205</v>
      </c>
      <c r="AU10" t="s">
        <v>205</v>
      </c>
      <c r="AV10" t="s">
        <v>205</v>
      </c>
      <c r="AW10" t="s">
        <v>205</v>
      </c>
      <c r="AX10" t="s">
        <v>208</v>
      </c>
      <c r="AY10" t="s">
        <v>208</v>
      </c>
      <c r="AZ10" t="s">
        <v>208</v>
      </c>
      <c r="BA10" t="s">
        <v>208</v>
      </c>
      <c r="BB10" t="s">
        <v>201</v>
      </c>
      <c r="BC10" t="s">
        <v>201</v>
      </c>
      <c r="BD10" t="s">
        <v>201</v>
      </c>
      <c r="BE10" t="s">
        <v>197</v>
      </c>
      <c r="BF10" t="s">
        <v>197</v>
      </c>
      <c r="BG10" t="s">
        <v>197</v>
      </c>
      <c r="BH10" t="s">
        <v>197</v>
      </c>
      <c r="BI10" t="s">
        <v>197</v>
      </c>
      <c r="BJ10" t="s">
        <v>197</v>
      </c>
      <c r="BK10" t="s">
        <v>197</v>
      </c>
      <c r="BL10" t="s">
        <v>197</v>
      </c>
      <c r="BM10" t="s">
        <v>304</v>
      </c>
      <c r="BN10" t="s">
        <v>304</v>
      </c>
      <c r="BO10" t="s">
        <v>304</v>
      </c>
      <c r="BP10" t="s">
        <v>304</v>
      </c>
      <c r="BQ10" t="s">
        <v>304</v>
      </c>
      <c r="BR10" t="s">
        <v>304</v>
      </c>
      <c r="BS10" t="s">
        <v>715</v>
      </c>
      <c r="BT10" t="s">
        <v>715</v>
      </c>
      <c r="BU10" t="s">
        <v>715</v>
      </c>
      <c r="BV10" t="s">
        <v>715</v>
      </c>
      <c r="BW10" t="s">
        <v>715</v>
      </c>
      <c r="BX10" t="s">
        <v>715</v>
      </c>
      <c r="BY10" t="s">
        <v>683</v>
      </c>
      <c r="BZ10" t="s">
        <v>683</v>
      </c>
      <c r="CA10" t="s">
        <v>683</v>
      </c>
      <c r="CB10" t="s">
        <v>683</v>
      </c>
      <c r="CC10" t="s">
        <v>683</v>
      </c>
      <c r="CD10" t="s">
        <v>683</v>
      </c>
      <c r="CE10" t="s">
        <v>683</v>
      </c>
      <c r="CF10" t="s">
        <v>683</v>
      </c>
      <c r="CG10" t="s">
        <v>683</v>
      </c>
      <c r="CH10" t="s">
        <v>683</v>
      </c>
      <c r="CI10" t="s">
        <v>683</v>
      </c>
      <c r="CJ10" t="s">
        <v>683</v>
      </c>
      <c r="CK10" t="s">
        <v>683</v>
      </c>
      <c r="CL10" t="s">
        <v>683</v>
      </c>
      <c r="CM10" t="s">
        <v>683</v>
      </c>
      <c r="CN10" t="s">
        <v>683</v>
      </c>
      <c r="CO10" t="s">
        <v>683</v>
      </c>
      <c r="CP10" t="s">
        <v>683</v>
      </c>
      <c r="CQ10" t="s">
        <v>683</v>
      </c>
      <c r="CR10" t="s">
        <v>683</v>
      </c>
      <c r="CS10" t="s">
        <v>683</v>
      </c>
      <c r="CT10" t="s">
        <v>683</v>
      </c>
      <c r="CU10" t="s">
        <v>683</v>
      </c>
      <c r="CV10" t="s">
        <v>683</v>
      </c>
      <c r="CW10" t="s">
        <v>683</v>
      </c>
      <c r="CX10" t="s">
        <v>683</v>
      </c>
      <c r="CY10" t="s">
        <v>683</v>
      </c>
      <c r="CZ10" t="s">
        <v>683</v>
      </c>
      <c r="DA10" t="s">
        <v>683</v>
      </c>
      <c r="DB10" t="s">
        <v>683</v>
      </c>
      <c r="DC10" t="s">
        <v>683</v>
      </c>
      <c r="DD10" t="s">
        <v>683</v>
      </c>
      <c r="DE10" t="s">
        <v>683</v>
      </c>
      <c r="DF10" t="s">
        <v>683</v>
      </c>
      <c r="DG10" t="s">
        <v>683</v>
      </c>
      <c r="DH10" t="s">
        <v>683</v>
      </c>
      <c r="DI10" t="s">
        <v>683</v>
      </c>
      <c r="DJ10" t="s">
        <v>683</v>
      </c>
      <c r="DK10" t="s">
        <v>683</v>
      </c>
      <c r="DL10" t="s">
        <v>683</v>
      </c>
      <c r="DM10" t="s">
        <v>683</v>
      </c>
      <c r="DN10" t="s">
        <v>683</v>
      </c>
      <c r="DO10" t="s">
        <v>683</v>
      </c>
      <c r="DP10" t="s">
        <v>683</v>
      </c>
      <c r="DQ10" t="s">
        <v>683</v>
      </c>
      <c r="DR10" t="s">
        <v>683</v>
      </c>
      <c r="DS10" t="s">
        <v>683</v>
      </c>
      <c r="DT10" t="s">
        <v>248</v>
      </c>
      <c r="DU10" t="s">
        <v>29</v>
      </c>
      <c r="DV10" t="s">
        <v>29</v>
      </c>
      <c r="DW10" t="s">
        <v>29</v>
      </c>
      <c r="DX10" t="s">
        <v>29</v>
      </c>
      <c r="DY10" t="s">
        <v>29</v>
      </c>
      <c r="DZ10" t="s">
        <v>29</v>
      </c>
      <c r="EA10" t="s">
        <v>29</v>
      </c>
      <c r="EC10" t="s">
        <v>21</v>
      </c>
      <c r="ED10" t="s">
        <v>21</v>
      </c>
      <c r="EE10" t="s">
        <v>21</v>
      </c>
      <c r="EF10" t="s">
        <v>21</v>
      </c>
      <c r="EG10" t="s">
        <v>885</v>
      </c>
      <c r="EH10" t="s">
        <v>885</v>
      </c>
      <c r="EI10" t="s">
        <v>885</v>
      </c>
      <c r="EJ10" t="s">
        <v>885</v>
      </c>
      <c r="EK10" t="s">
        <v>885</v>
      </c>
      <c r="EL10" t="s">
        <v>885</v>
      </c>
      <c r="EM10" t="s">
        <v>885</v>
      </c>
      <c r="EN10" t="s">
        <v>885</v>
      </c>
      <c r="EO10" t="s">
        <v>885</v>
      </c>
      <c r="EP10" t="s">
        <v>885</v>
      </c>
      <c r="EQ10" t="s">
        <v>885</v>
      </c>
      <c r="ER10" t="s">
        <v>885</v>
      </c>
      <c r="ES10" t="s">
        <v>885</v>
      </c>
      <c r="ET10" t="s">
        <v>885</v>
      </c>
      <c r="EU10" t="s">
        <v>885</v>
      </c>
      <c r="EV10" t="s">
        <v>885</v>
      </c>
      <c r="EW10" t="s">
        <v>885</v>
      </c>
      <c r="EX10" t="s">
        <v>885</v>
      </c>
      <c r="EY10" t="s">
        <v>885</v>
      </c>
      <c r="EZ10" t="s">
        <v>885</v>
      </c>
      <c r="FA10" t="s">
        <v>885</v>
      </c>
      <c r="FB10" t="s">
        <v>885</v>
      </c>
      <c r="FC10" t="s">
        <v>885</v>
      </c>
      <c r="FD10" t="s">
        <v>885</v>
      </c>
      <c r="FE10" t="s">
        <v>885</v>
      </c>
      <c r="FF10" t="s">
        <v>899</v>
      </c>
      <c r="FG10" t="s">
        <v>130</v>
      </c>
      <c r="FH10" t="s">
        <v>903</v>
      </c>
      <c r="FI10" t="s">
        <v>784</v>
      </c>
      <c r="FJ10" t="s">
        <v>798</v>
      </c>
      <c r="FM10" t="str">
        <f t="shared" si="0"/>
        <v xml:space="preserve">    &lt;route id="Router3_9" edges="-gneE80.0 -gneE80.17 -gneE41 gneE44 -388756838#2 -388756838#1 -388756838#0 42706817#0 386547310 gneE69 -388756838#2 -388756838#1 -388756838#0 -388756839#1 -388756839#0 -194358837#2 -194358837#0 194358838#0 194358838#1 194358838#2 194358838#3 387422145#0 387422145#3 386995499#0 386995499#2 -51155368#13 -51155368#10 -51155368#7 121319040#0 121319040#1 386995507#0 386995507#1 386995507#2 386995507#3 12182281#7 42706837#0 42706837#1 42706837#2 42706837#3 43357814#2 43357814#3 386995526#0 386995526#1 -51050425#4 -51050425#3 -51050425#2 12162659#0 12162659#1 -12175537#4 -12175537#3 -12175537#2 -12175537#1 -50033059#3 -50033059#2 -386995514#7 -12199713#2 12177498 42706833#2 51155368#0 -50033558#5 -50033558#3 -50033558#2 -62105579 -32121234#1 -32121234#0 42706874#0 42706874#2 55179414#0 55179413#0 424769182 -450827405#2 -450827400#2 -450827382 -450827385#1 -450827391#1 -450827381 -450827397#1 12180696#0 59435515#1 59435515#2 59435515#3 59435515#4 424801338#1 12117702#0 12117702#4 12117702#7 -32121146#3 12202008#2.0 12202008#2.171 62646499#2 450827424#0 450827405#0 262962062 -55179413#2 12187610#0 12187610#2 12187610#3 -62105579 12186909#0 12186909#1 12186909#2 12186909#4 12177521#2 12177521#3 211575484#1 485017379 -386995465#1 -386995504#1 -386995486#1 32121111#11 -12177521#0 -121319040#0 -51155368#5 -50033558#5 -50033558#3 -12188656 -121319046 -42706825#7 -42706825#4 -42706825#3 -42706825#1 194358815 194358817#0 194358817#1 194358817#2 12114363#0 12114363#1 -50033059#4 12175537#0 12175537#2 485017371#0 484953507#1 12182281#8 12182281#9 12167232#0 12167232#1 12167232#2 12152013#4 51050425#4 386995537 386995551 387422150#0 387422150#1 386995531#3 386995531#4 12172918#2 gneE73 gneE75.0 gneE80.125"/&gt;</v>
      </c>
      <c r="FN10" t="s">
        <v>2516</v>
      </c>
      <c r="FO10" t="s">
        <v>1098</v>
      </c>
      <c r="FP10" t="s">
        <v>2527</v>
      </c>
    </row>
    <row r="11" spans="1:172" x14ac:dyDescent="0.25">
      <c r="A11" t="s">
        <v>12</v>
      </c>
      <c r="B11" t="s">
        <v>9</v>
      </c>
      <c r="C11" t="s">
        <v>9</v>
      </c>
      <c r="D11" t="s">
        <v>9</v>
      </c>
      <c r="E11" t="s">
        <v>9</v>
      </c>
      <c r="F11" t="s">
        <v>9</v>
      </c>
      <c r="G11" t="s">
        <v>9</v>
      </c>
      <c r="H11" t="s">
        <v>9</v>
      </c>
      <c r="I11" t="s">
        <v>9</v>
      </c>
      <c r="J11" t="s">
        <v>9</v>
      </c>
      <c r="K11" t="s">
        <v>9</v>
      </c>
      <c r="L11" t="s">
        <v>9</v>
      </c>
      <c r="M11" t="s">
        <v>9</v>
      </c>
      <c r="N11" t="s">
        <v>9</v>
      </c>
      <c r="O11" t="s">
        <v>9</v>
      </c>
      <c r="P11" t="s">
        <v>9</v>
      </c>
      <c r="Q11" t="s">
        <v>9</v>
      </c>
      <c r="R11" t="s">
        <v>9</v>
      </c>
      <c r="S11" t="s">
        <v>9</v>
      </c>
      <c r="T11" t="s">
        <v>9</v>
      </c>
      <c r="U11" t="s">
        <v>9</v>
      </c>
      <c r="V11" t="s">
        <v>9</v>
      </c>
      <c r="W11" t="s">
        <v>9</v>
      </c>
      <c r="X11" t="s">
        <v>9</v>
      </c>
      <c r="Y11" t="s">
        <v>9</v>
      </c>
      <c r="Z11" t="s">
        <v>9</v>
      </c>
      <c r="AA11" t="s">
        <v>9</v>
      </c>
      <c r="AB11" t="s">
        <v>9</v>
      </c>
      <c r="AC11" t="s">
        <v>9</v>
      </c>
      <c r="AD11" t="s">
        <v>9</v>
      </c>
      <c r="AE11" t="s">
        <v>9</v>
      </c>
      <c r="AF11" t="s">
        <v>9</v>
      </c>
      <c r="AG11" t="s">
        <v>9</v>
      </c>
      <c r="AH11" t="s">
        <v>9</v>
      </c>
      <c r="AI11" t="s">
        <v>9</v>
      </c>
      <c r="AJ11" t="s">
        <v>9</v>
      </c>
      <c r="AM11" t="s">
        <v>194</v>
      </c>
      <c r="AN11" t="s">
        <v>194</v>
      </c>
      <c r="AO11" t="s">
        <v>179</v>
      </c>
      <c r="AP11" t="s">
        <v>179</v>
      </c>
      <c r="AQ11" t="s">
        <v>179</v>
      </c>
      <c r="AR11" t="s">
        <v>179</v>
      </c>
      <c r="AS11" t="s">
        <v>523</v>
      </c>
      <c r="AT11" t="s">
        <v>191</v>
      </c>
      <c r="AU11" t="s">
        <v>227</v>
      </c>
      <c r="AV11" t="s">
        <v>227</v>
      </c>
      <c r="AW11" t="s">
        <v>484</v>
      </c>
      <c r="AX11" t="s">
        <v>209</v>
      </c>
      <c r="AY11" t="s">
        <v>209</v>
      </c>
      <c r="AZ11" t="s">
        <v>209</v>
      </c>
      <c r="BA11" t="s">
        <v>209</v>
      </c>
      <c r="BB11" t="s">
        <v>202</v>
      </c>
      <c r="BC11" t="s">
        <v>202</v>
      </c>
      <c r="BD11" t="s">
        <v>202</v>
      </c>
      <c r="BE11" t="s">
        <v>523</v>
      </c>
      <c r="BF11" t="s">
        <v>523</v>
      </c>
      <c r="BG11" t="s">
        <v>198</v>
      </c>
      <c r="BH11" t="s">
        <v>198</v>
      </c>
      <c r="BI11" t="s">
        <v>198</v>
      </c>
      <c r="BJ11" t="s">
        <v>198</v>
      </c>
      <c r="BK11" t="s">
        <v>198</v>
      </c>
      <c r="BL11" t="s">
        <v>198</v>
      </c>
      <c r="BM11" t="s">
        <v>305</v>
      </c>
      <c r="BN11" t="s">
        <v>305</v>
      </c>
      <c r="BO11" t="s">
        <v>305</v>
      </c>
      <c r="BP11" t="s">
        <v>305</v>
      </c>
      <c r="BQ11" t="s">
        <v>305</v>
      </c>
      <c r="BR11" t="s">
        <v>305</v>
      </c>
      <c r="BS11" t="s">
        <v>716</v>
      </c>
      <c r="BT11" t="s">
        <v>716</v>
      </c>
      <c r="BU11" t="s">
        <v>716</v>
      </c>
      <c r="BV11" t="s">
        <v>716</v>
      </c>
      <c r="BW11" t="s">
        <v>716</v>
      </c>
      <c r="BX11" t="s">
        <v>716</v>
      </c>
      <c r="BY11" t="s">
        <v>757</v>
      </c>
      <c r="BZ11" t="s">
        <v>757</v>
      </c>
      <c r="CA11" t="s">
        <v>757</v>
      </c>
      <c r="CB11" t="s">
        <v>757</v>
      </c>
      <c r="CC11" t="s">
        <v>757</v>
      </c>
      <c r="CD11" t="s">
        <v>757</v>
      </c>
      <c r="CE11" t="s">
        <v>757</v>
      </c>
      <c r="CF11" t="s">
        <v>757</v>
      </c>
      <c r="CG11" t="s">
        <v>757</v>
      </c>
      <c r="CH11" t="s">
        <v>757</v>
      </c>
      <c r="CI11" t="s">
        <v>757</v>
      </c>
      <c r="CJ11" t="s">
        <v>757</v>
      </c>
      <c r="CK11" t="s">
        <v>757</v>
      </c>
      <c r="CL11" t="s">
        <v>757</v>
      </c>
      <c r="CM11" t="s">
        <v>757</v>
      </c>
      <c r="CN11" t="s">
        <v>757</v>
      </c>
      <c r="CO11" t="s">
        <v>757</v>
      </c>
      <c r="CP11" t="s">
        <v>757</v>
      </c>
      <c r="CQ11" t="s">
        <v>757</v>
      </c>
      <c r="CR11" t="s">
        <v>757</v>
      </c>
      <c r="CS11" t="s">
        <v>757</v>
      </c>
      <c r="CT11" t="s">
        <v>757</v>
      </c>
      <c r="CU11" t="s">
        <v>757</v>
      </c>
      <c r="CV11" t="s">
        <v>757</v>
      </c>
      <c r="CW11" t="s">
        <v>757</v>
      </c>
      <c r="CX11" t="s">
        <v>757</v>
      </c>
      <c r="CY11" t="s">
        <v>757</v>
      </c>
      <c r="CZ11" t="s">
        <v>757</v>
      </c>
      <c r="DA11" t="s">
        <v>757</v>
      </c>
      <c r="DB11" t="s">
        <v>757</v>
      </c>
      <c r="DC11" t="s">
        <v>757</v>
      </c>
      <c r="DD11" t="s">
        <v>757</v>
      </c>
      <c r="DE11" t="s">
        <v>757</v>
      </c>
      <c r="DF11" t="s">
        <v>684</v>
      </c>
      <c r="DG11" t="s">
        <v>684</v>
      </c>
      <c r="DH11" t="s">
        <v>684</v>
      </c>
      <c r="DI11" t="s">
        <v>684</v>
      </c>
      <c r="DJ11" t="s">
        <v>684</v>
      </c>
      <c r="DK11" t="s">
        <v>684</v>
      </c>
      <c r="DL11" t="s">
        <v>684</v>
      </c>
      <c r="DM11" t="s">
        <v>684</v>
      </c>
      <c r="DN11" t="s">
        <v>684</v>
      </c>
      <c r="DO11" t="s">
        <v>684</v>
      </c>
      <c r="DP11" t="s">
        <v>684</v>
      </c>
      <c r="DQ11" t="s">
        <v>684</v>
      </c>
      <c r="DR11" t="s">
        <v>684</v>
      </c>
      <c r="DS11" t="s">
        <v>684</v>
      </c>
      <c r="DT11" t="s">
        <v>249</v>
      </c>
      <c r="DU11" t="s">
        <v>30</v>
      </c>
      <c r="DV11" t="s">
        <v>30</v>
      </c>
      <c r="DW11" t="s">
        <v>30</v>
      </c>
      <c r="DX11" t="s">
        <v>30</v>
      </c>
      <c r="DY11" t="s">
        <v>30</v>
      </c>
      <c r="DZ11" t="s">
        <v>30</v>
      </c>
      <c r="EA11" t="s">
        <v>30</v>
      </c>
      <c r="EC11" t="s">
        <v>22</v>
      </c>
      <c r="ED11" t="s">
        <v>864</v>
      </c>
      <c r="EE11" t="s">
        <v>864</v>
      </c>
      <c r="EF11" t="s">
        <v>864</v>
      </c>
      <c r="EG11" t="s">
        <v>886</v>
      </c>
      <c r="EH11" t="s">
        <v>886</v>
      </c>
      <c r="EI11" t="s">
        <v>886</v>
      </c>
      <c r="EJ11" t="s">
        <v>886</v>
      </c>
      <c r="EK11" t="s">
        <v>886</v>
      </c>
      <c r="EL11" t="s">
        <v>886</v>
      </c>
      <c r="EM11" t="s">
        <v>886</v>
      </c>
      <c r="EN11" t="s">
        <v>886</v>
      </c>
      <c r="EO11" t="s">
        <v>886</v>
      </c>
      <c r="EP11" t="s">
        <v>886</v>
      </c>
      <c r="EQ11" t="s">
        <v>886</v>
      </c>
      <c r="ER11" t="s">
        <v>886</v>
      </c>
      <c r="ES11" t="s">
        <v>886</v>
      </c>
      <c r="ET11" t="s">
        <v>886</v>
      </c>
      <c r="EU11" t="s">
        <v>886</v>
      </c>
      <c r="EV11" t="s">
        <v>886</v>
      </c>
      <c r="EW11" t="s">
        <v>886</v>
      </c>
      <c r="EX11" t="s">
        <v>886</v>
      </c>
      <c r="EY11" t="s">
        <v>886</v>
      </c>
      <c r="EZ11" t="s">
        <v>886</v>
      </c>
      <c r="FA11" t="s">
        <v>886</v>
      </c>
      <c r="FB11" t="s">
        <v>886</v>
      </c>
      <c r="FC11" t="s">
        <v>886</v>
      </c>
      <c r="FD11" t="s">
        <v>886</v>
      </c>
      <c r="FE11" t="s">
        <v>886</v>
      </c>
      <c r="FF11" t="s">
        <v>256</v>
      </c>
      <c r="FG11" t="s">
        <v>131</v>
      </c>
      <c r="FH11" t="s">
        <v>904</v>
      </c>
      <c r="FI11" t="s">
        <v>785</v>
      </c>
      <c r="FJ11" t="s">
        <v>642</v>
      </c>
      <c r="FM11" t="str">
        <f t="shared" si="0"/>
        <v xml:space="preserve">    &lt;route id="Router3_10" edges="-gneE80.0 -gneE80.17 -gneE41 gneE44 -388756838#2 -388756838#1 -388756838#0 42706817#0 386547310 gneE69 -388756838#2 -388756838#1 -388756838#0 -388756839#1 -388756839#0 -194358837#2 -194358837#0 194358838#0 194358838#1 194358838#2 194358838#3 387422145#0 387422145#3 386995499#0 386995499#2 -51155368#13 -51155368#10 -51155368#7 121319040#0 121319040#1 386995507#0 386995507#1 386995507#2 386995507#3 12182281#7 42706837#0 42706837#1 42706837#2 42706837#3 43357814#2 43357814#3 386995526#0 386995526#1 -51050425#4 -51050425#3 -51050425#2 12162659#0 12162659#1 -12175537#4 -12175537#3 -12175537#2 -12175537#1 -50033059#3 -50033059#2 -386995514#7 -12199713#2 12177498 42706833#2 51155368#0 -50033558#5 -50033558#3 -50033558#2 -62105579 -32121234#1 -32121234#0 42706874#0 42706874#2 55179414#0 55179413#0 424769182 -450827405#2 -450827400#2 -450827382 -450827385#1 -450827391#1 -450827381 -450827397#1 12180696#0 59435515#1 59435515#2 59435515#3 59435515#4 424801338#1 12117702#0 12117702#4 12117702#7 -32121146#3 12202008#2.0 12202008#2.171 62646499#2 450827424#0 450827405#0 262962062 -55179413#2 12187610#0 12187610#2 12187610#3 -62105579 12186909#0 12186909#1 12186909#2 12186909#4 12186909#6 386995479#0 12157718#5 12157718#7 485017376 485017373#0 387422135#0 424769003#0 424769003#1 -30953396#1 -30953396#0 -424769006 -424769005 -424769002 -30953391 -43569848 -393884751 12159702 424764853 12149178#0 50189796 50189564 12149178#2 145605533#0 145605533#1-AddedOnRampEdge 145605533#1 145605511#1-AddedOnRampEdge 145605511#12 145605511#1.148"/&gt;</v>
      </c>
      <c r="FN11" t="s">
        <v>2516</v>
      </c>
      <c r="FO11" t="s">
        <v>1099</v>
      </c>
      <c r="FP11" t="s">
        <v>2528</v>
      </c>
    </row>
    <row r="12" spans="1:172" x14ac:dyDescent="0.25">
      <c r="A12" t="s">
        <v>13</v>
      </c>
      <c r="B12" t="s">
        <v>4</v>
      </c>
      <c r="C12" t="s">
        <v>4</v>
      </c>
      <c r="D12" t="s">
        <v>4</v>
      </c>
      <c r="E12" t="s">
        <v>4</v>
      </c>
      <c r="F12" t="s">
        <v>4</v>
      </c>
      <c r="G12" t="s">
        <v>4</v>
      </c>
      <c r="H12" t="s">
        <v>4</v>
      </c>
      <c r="I12" t="s">
        <v>4</v>
      </c>
      <c r="J12" t="s">
        <v>4</v>
      </c>
      <c r="K12" t="s">
        <v>4</v>
      </c>
      <c r="L12" t="s">
        <v>4</v>
      </c>
      <c r="M12" t="s">
        <v>4</v>
      </c>
      <c r="N12" t="s">
        <v>4</v>
      </c>
      <c r="O12" t="s">
        <v>4</v>
      </c>
      <c r="P12" t="s">
        <v>4</v>
      </c>
      <c r="Q12" t="s">
        <v>4</v>
      </c>
      <c r="R12" t="s">
        <v>4</v>
      </c>
      <c r="S12" t="s">
        <v>4</v>
      </c>
      <c r="T12" t="s">
        <v>4</v>
      </c>
      <c r="U12" t="s">
        <v>4</v>
      </c>
      <c r="V12" t="s">
        <v>4</v>
      </c>
      <c r="W12" t="s">
        <v>4</v>
      </c>
      <c r="X12" t="s">
        <v>4</v>
      </c>
      <c r="Y12" t="s">
        <v>4</v>
      </c>
      <c r="Z12" t="s">
        <v>4</v>
      </c>
      <c r="AA12" t="s">
        <v>408</v>
      </c>
      <c r="AB12" t="s">
        <v>408</v>
      </c>
      <c r="AC12" t="s">
        <v>408</v>
      </c>
      <c r="AD12" t="s">
        <v>408</v>
      </c>
      <c r="AE12" t="s">
        <v>408</v>
      </c>
      <c r="AF12" t="s">
        <v>408</v>
      </c>
      <c r="AG12" t="s">
        <v>408</v>
      </c>
      <c r="AH12" t="s">
        <v>408</v>
      </c>
      <c r="AI12" t="s">
        <v>408</v>
      </c>
      <c r="AJ12" t="s">
        <v>408</v>
      </c>
      <c r="AM12" t="s">
        <v>521</v>
      </c>
      <c r="AN12" t="s">
        <v>195</v>
      </c>
      <c r="AO12" t="s">
        <v>180</v>
      </c>
      <c r="AP12" t="s">
        <v>180</v>
      </c>
      <c r="AQ12" t="s">
        <v>180</v>
      </c>
      <c r="AR12" t="s">
        <v>180</v>
      </c>
      <c r="AS12" t="s">
        <v>204</v>
      </c>
      <c r="AT12" t="s">
        <v>534</v>
      </c>
      <c r="AU12" t="s">
        <v>466</v>
      </c>
      <c r="AV12" t="s">
        <v>466</v>
      </c>
      <c r="AW12" t="s">
        <v>485</v>
      </c>
      <c r="AX12" t="s">
        <v>34</v>
      </c>
      <c r="AY12" t="s">
        <v>34</v>
      </c>
      <c r="AZ12" t="s">
        <v>34</v>
      </c>
      <c r="BA12" t="s">
        <v>34</v>
      </c>
      <c r="BB12" t="s">
        <v>203</v>
      </c>
      <c r="BC12" t="s">
        <v>203</v>
      </c>
      <c r="BD12" t="s">
        <v>203</v>
      </c>
      <c r="BE12" t="s">
        <v>204</v>
      </c>
      <c r="BF12" t="s">
        <v>204</v>
      </c>
      <c r="BG12" t="s">
        <v>199</v>
      </c>
      <c r="BH12" t="s">
        <v>199</v>
      </c>
      <c r="BI12" t="s">
        <v>199</v>
      </c>
      <c r="BJ12" t="s">
        <v>199</v>
      </c>
      <c r="BK12" t="s">
        <v>199</v>
      </c>
      <c r="BL12" t="s">
        <v>199</v>
      </c>
      <c r="BM12" t="s">
        <v>328</v>
      </c>
      <c r="BN12" t="s">
        <v>328</v>
      </c>
      <c r="BO12" t="s">
        <v>328</v>
      </c>
      <c r="BP12" t="s">
        <v>328</v>
      </c>
      <c r="BQ12" t="s">
        <v>328</v>
      </c>
      <c r="BR12" t="s">
        <v>328</v>
      </c>
      <c r="BS12" t="s">
        <v>717</v>
      </c>
      <c r="BT12" t="s">
        <v>717</v>
      </c>
      <c r="BU12" t="s">
        <v>717</v>
      </c>
      <c r="BV12" t="s">
        <v>717</v>
      </c>
      <c r="BW12" t="s">
        <v>717</v>
      </c>
      <c r="BX12" t="s">
        <v>717</v>
      </c>
      <c r="BY12" t="s">
        <v>758</v>
      </c>
      <c r="BZ12" t="s">
        <v>758</v>
      </c>
      <c r="CA12" t="s">
        <v>758</v>
      </c>
      <c r="CB12" t="s">
        <v>758</v>
      </c>
      <c r="CC12" t="s">
        <v>758</v>
      </c>
      <c r="CD12" t="s">
        <v>758</v>
      </c>
      <c r="CE12" t="s">
        <v>119</v>
      </c>
      <c r="CF12" t="s">
        <v>185</v>
      </c>
      <c r="CG12" t="s">
        <v>185</v>
      </c>
      <c r="CH12" t="s">
        <v>185</v>
      </c>
      <c r="CI12" t="s">
        <v>185</v>
      </c>
      <c r="CJ12" t="s">
        <v>185</v>
      </c>
      <c r="CK12" t="s">
        <v>185</v>
      </c>
      <c r="CL12" t="s">
        <v>185</v>
      </c>
      <c r="CM12" t="s">
        <v>185</v>
      </c>
      <c r="CN12" t="s">
        <v>185</v>
      </c>
      <c r="CO12" t="s">
        <v>185</v>
      </c>
      <c r="CP12" t="s">
        <v>185</v>
      </c>
      <c r="CQ12" t="s">
        <v>185</v>
      </c>
      <c r="CR12" t="s">
        <v>185</v>
      </c>
      <c r="CS12" t="s">
        <v>185</v>
      </c>
      <c r="CT12" t="s">
        <v>185</v>
      </c>
      <c r="CU12" t="s">
        <v>185</v>
      </c>
      <c r="CV12" t="s">
        <v>185</v>
      </c>
      <c r="CW12" t="s">
        <v>185</v>
      </c>
      <c r="CX12" t="s">
        <v>465</v>
      </c>
      <c r="CY12" t="s">
        <v>465</v>
      </c>
      <c r="CZ12" t="s">
        <v>465</v>
      </c>
      <c r="DA12" t="s">
        <v>465</v>
      </c>
      <c r="DB12" t="s">
        <v>465</v>
      </c>
      <c r="DC12" t="s">
        <v>465</v>
      </c>
      <c r="DD12" t="s">
        <v>465</v>
      </c>
      <c r="DE12" t="s">
        <v>465</v>
      </c>
      <c r="DF12" t="s">
        <v>685</v>
      </c>
      <c r="DG12" t="s">
        <v>685</v>
      </c>
      <c r="DH12" t="s">
        <v>685</v>
      </c>
      <c r="DI12" t="s">
        <v>685</v>
      </c>
      <c r="DJ12" t="s">
        <v>685</v>
      </c>
      <c r="DK12" t="s">
        <v>685</v>
      </c>
      <c r="DL12" t="s">
        <v>685</v>
      </c>
      <c r="DM12" t="s">
        <v>685</v>
      </c>
      <c r="DN12" t="s">
        <v>685</v>
      </c>
      <c r="DO12" t="s">
        <v>685</v>
      </c>
      <c r="DP12" t="s">
        <v>685</v>
      </c>
      <c r="DQ12" t="s">
        <v>685</v>
      </c>
      <c r="DR12" t="s">
        <v>685</v>
      </c>
      <c r="DS12" t="s">
        <v>685</v>
      </c>
      <c r="DT12" t="s">
        <v>250</v>
      </c>
      <c r="DU12" t="s">
        <v>31</v>
      </c>
      <c r="DV12" t="s">
        <v>31</v>
      </c>
      <c r="DW12" t="s">
        <v>31</v>
      </c>
      <c r="DX12" t="s">
        <v>31</v>
      </c>
      <c r="DY12" t="s">
        <v>31</v>
      </c>
      <c r="DZ12" t="s">
        <v>31</v>
      </c>
      <c r="EA12" t="s">
        <v>31</v>
      </c>
      <c r="EC12" t="s">
        <v>23</v>
      </c>
      <c r="ED12" t="s">
        <v>994</v>
      </c>
      <c r="EE12" t="s">
        <v>994</v>
      </c>
      <c r="EF12" t="s">
        <v>994</v>
      </c>
      <c r="EG12" t="s">
        <v>887</v>
      </c>
      <c r="EH12" t="s">
        <v>887</v>
      </c>
      <c r="EI12" t="s">
        <v>887</v>
      </c>
      <c r="EJ12" t="s">
        <v>887</v>
      </c>
      <c r="EK12" t="s">
        <v>887</v>
      </c>
      <c r="EL12" t="s">
        <v>887</v>
      </c>
      <c r="EM12" t="s">
        <v>887</v>
      </c>
      <c r="EN12" t="s">
        <v>887</v>
      </c>
      <c r="EO12" t="s">
        <v>887</v>
      </c>
      <c r="EP12" t="s">
        <v>887</v>
      </c>
      <c r="EQ12" t="s">
        <v>887</v>
      </c>
      <c r="ER12" t="s">
        <v>887</v>
      </c>
      <c r="ES12" t="s">
        <v>887</v>
      </c>
      <c r="ET12" t="s">
        <v>887</v>
      </c>
      <c r="EU12" t="s">
        <v>887</v>
      </c>
      <c r="EV12" t="s">
        <v>887</v>
      </c>
      <c r="EW12" t="s">
        <v>887</v>
      </c>
      <c r="EX12" t="s">
        <v>887</v>
      </c>
      <c r="EY12" t="s">
        <v>887</v>
      </c>
      <c r="EZ12" t="s">
        <v>887</v>
      </c>
      <c r="FA12" t="s">
        <v>887</v>
      </c>
      <c r="FB12" t="s">
        <v>887</v>
      </c>
      <c r="FC12" t="s">
        <v>887</v>
      </c>
      <c r="FD12" t="s">
        <v>887</v>
      </c>
      <c r="FE12" t="s">
        <v>887</v>
      </c>
      <c r="FF12" t="s">
        <v>257</v>
      </c>
      <c r="FG12" t="s">
        <v>132</v>
      </c>
      <c r="FH12" t="s">
        <v>1060</v>
      </c>
      <c r="FI12" t="s">
        <v>786</v>
      </c>
      <c r="FJ12" t="s">
        <v>643</v>
      </c>
      <c r="FM12" t="str">
        <f t="shared" si="0"/>
        <v xml:space="preserve">    &lt;route id="Router3_11" edges="-gneE80.0 -gneE80.17 -gneE41 gneE44 -388756838#2 -388756838#1 -388756838#0 42706817#0 386547310 gneE69 -388756838#2 -388756838#1 -388756838#0 -388756839#1 -388756839#0 -194358837#2 -194358837#0 194358838#0 194358838#1 194358838#2 194358838#3 387422145#0 387422145#3 386995499#0 386995499#2 -51155368#13 -51155368#10 -51155368#7 121319040#0 121319040#1 386995507#0 386995507#1 386995507#2 386995507#3 12182281#7 42706837#0 42706837#1 42706837#2 42706837#3 43357814#2 43357814#3 386995526#0 386995526#1 -51050425#4 -51050425#3 -51050425#2 12162659#0 12162659#1 -12175537#4 -12175537#3 -12175537#2 -12175537#1 -50033059#3 -50033059#2 -386995514#7 -12199713#2 12177498 42706833#2 51155368#0 -50033558#5 -50033558#3 -50033558#2 -62105579 -32121234#1 -32121234#0 42706874#0 42706874#2 55179414#0 55179413#0 424769182 -450827405#2 -450827400#2 -450827382 -450827385#1 -450827391#1 -450827381 -450827397#1 12180696#0 59435515#1 59435515#2 59435515#3 59435515#4 424801338#1 12117702#0 12117702#4 12117702#7 -32121146#3 12202008#2.0 12202008#2.171 62646499#2 450827424#0 450827405#0 262962062 -55179413#2 12187610#0 12187610#2 12187610#3 -62105579 12186909#0 12186909#1 12186909#2 12186909#4 12186909#6 386995479#0 12157718#5 12157718#7 485017376 485017373#0 387422135#0 424769003#0 424769003#1 -30953396#1 30953396#1 -424769003#1 -424769003#0 12157002#0 12157002#1 12186058#2 485017381#0 -12157718#12 -12157718#10 -12157718#9 -12157718#8 -12157718#6 386995479#1 386995479#2 386995479#3 386995479#4 386995479#5 386995479#6 386995490#0.0 12154359#1.20 12154359#2 -386995521#1 -386995521#0 43357814#0 43357814#1 42706837#4 42706837#5 12154359#5 12154359#6 386995531#1 386995531#2 386995531#3 386995531#4 12172918#2 gneE73 gneE75.0 gneE80.125"/&gt;</v>
      </c>
      <c r="FN12" t="s">
        <v>2516</v>
      </c>
      <c r="FO12" t="s">
        <v>1100</v>
      </c>
      <c r="FP12" t="s">
        <v>2529</v>
      </c>
    </row>
    <row r="13" spans="1:172" x14ac:dyDescent="0.25">
      <c r="A13" t="s">
        <v>14</v>
      </c>
      <c r="B13" t="s">
        <v>5</v>
      </c>
      <c r="C13" t="s">
        <v>5</v>
      </c>
      <c r="D13" t="s">
        <v>5</v>
      </c>
      <c r="E13" t="s">
        <v>5</v>
      </c>
      <c r="F13" t="s">
        <v>5</v>
      </c>
      <c r="G13" t="s">
        <v>5</v>
      </c>
      <c r="H13" t="s">
        <v>5</v>
      </c>
      <c r="I13" t="s">
        <v>5</v>
      </c>
      <c r="J13" t="s">
        <v>5</v>
      </c>
      <c r="K13" t="s">
        <v>5</v>
      </c>
      <c r="L13" t="s">
        <v>5</v>
      </c>
      <c r="M13" t="s">
        <v>5</v>
      </c>
      <c r="N13" t="s">
        <v>5</v>
      </c>
      <c r="O13" t="s">
        <v>5</v>
      </c>
      <c r="P13" t="s">
        <v>5</v>
      </c>
      <c r="Q13" t="s">
        <v>5</v>
      </c>
      <c r="R13" t="s">
        <v>5</v>
      </c>
      <c r="S13" t="s">
        <v>5</v>
      </c>
      <c r="T13" t="s">
        <v>5</v>
      </c>
      <c r="U13" t="s">
        <v>5</v>
      </c>
      <c r="V13" t="s">
        <v>5</v>
      </c>
      <c r="W13" t="s">
        <v>5</v>
      </c>
      <c r="X13" t="s">
        <v>5</v>
      </c>
      <c r="Y13" t="s">
        <v>5</v>
      </c>
      <c r="Z13" t="s">
        <v>5</v>
      </c>
      <c r="AA13" t="s">
        <v>409</v>
      </c>
      <c r="AB13" t="s">
        <v>409</v>
      </c>
      <c r="AC13" t="s">
        <v>409</v>
      </c>
      <c r="AD13" t="s">
        <v>409</v>
      </c>
      <c r="AE13" t="s">
        <v>409</v>
      </c>
      <c r="AF13" t="s">
        <v>409</v>
      </c>
      <c r="AG13" t="s">
        <v>409</v>
      </c>
      <c r="AH13" t="s">
        <v>409</v>
      </c>
      <c r="AI13" t="s">
        <v>409</v>
      </c>
      <c r="AJ13" t="s">
        <v>409</v>
      </c>
      <c r="AM13" t="s">
        <v>203</v>
      </c>
      <c r="AN13" t="s">
        <v>514</v>
      </c>
      <c r="AO13" t="s">
        <v>181</v>
      </c>
      <c r="AP13" t="s">
        <v>756</v>
      </c>
      <c r="AQ13" t="s">
        <v>756</v>
      </c>
      <c r="AR13" t="s">
        <v>756</v>
      </c>
      <c r="AS13" t="s">
        <v>205</v>
      </c>
      <c r="AU13" t="s">
        <v>467</v>
      </c>
      <c r="AV13" t="s">
        <v>467</v>
      </c>
      <c r="AW13" t="s">
        <v>486</v>
      </c>
      <c r="AX13" t="s">
        <v>35</v>
      </c>
      <c r="AY13" t="s">
        <v>35</v>
      </c>
      <c r="AZ13" t="s">
        <v>35</v>
      </c>
      <c r="BA13" t="s">
        <v>35</v>
      </c>
      <c r="BB13" t="s">
        <v>204</v>
      </c>
      <c r="BC13" t="s">
        <v>204</v>
      </c>
      <c r="BD13" t="s">
        <v>204</v>
      </c>
      <c r="BE13" t="s">
        <v>205</v>
      </c>
      <c r="BF13" t="s">
        <v>205</v>
      </c>
      <c r="BG13" t="s">
        <v>200</v>
      </c>
      <c r="BH13" t="s">
        <v>200</v>
      </c>
      <c r="BI13" t="s">
        <v>200</v>
      </c>
      <c r="BJ13" t="s">
        <v>200</v>
      </c>
      <c r="BK13" t="s">
        <v>523</v>
      </c>
      <c r="BL13" t="s">
        <v>523</v>
      </c>
      <c r="BM13" t="s">
        <v>329</v>
      </c>
      <c r="BN13" t="s">
        <v>329</v>
      </c>
      <c r="BO13" t="s">
        <v>329</v>
      </c>
      <c r="BP13" t="s">
        <v>555</v>
      </c>
      <c r="BQ13" t="s">
        <v>555</v>
      </c>
      <c r="BR13" t="s">
        <v>555</v>
      </c>
      <c r="BS13" t="s">
        <v>718</v>
      </c>
      <c r="BT13" t="s">
        <v>718</v>
      </c>
      <c r="BU13" t="s">
        <v>718</v>
      </c>
      <c r="BV13" t="s">
        <v>718</v>
      </c>
      <c r="BW13" t="s">
        <v>718</v>
      </c>
      <c r="BX13" t="s">
        <v>718</v>
      </c>
      <c r="BY13" t="s">
        <v>445</v>
      </c>
      <c r="BZ13" t="s">
        <v>445</v>
      </c>
      <c r="CA13" t="s">
        <v>445</v>
      </c>
      <c r="CB13" t="s">
        <v>445</v>
      </c>
      <c r="CC13" t="s">
        <v>445</v>
      </c>
      <c r="CD13" t="s">
        <v>445</v>
      </c>
      <c r="CE13" t="s">
        <v>178</v>
      </c>
      <c r="CF13" t="s">
        <v>186</v>
      </c>
      <c r="CG13" t="s">
        <v>186</v>
      </c>
      <c r="CH13" t="s">
        <v>186</v>
      </c>
      <c r="CI13" t="s">
        <v>186</v>
      </c>
      <c r="CJ13" t="s">
        <v>186</v>
      </c>
      <c r="CK13" t="s">
        <v>186</v>
      </c>
      <c r="CL13" t="s">
        <v>186</v>
      </c>
      <c r="CM13" t="s">
        <v>186</v>
      </c>
      <c r="CN13" t="s">
        <v>186</v>
      </c>
      <c r="CO13" t="s">
        <v>186</v>
      </c>
      <c r="CP13" t="s">
        <v>186</v>
      </c>
      <c r="CQ13" t="s">
        <v>186</v>
      </c>
      <c r="CR13" t="s">
        <v>186</v>
      </c>
      <c r="CS13" t="s">
        <v>186</v>
      </c>
      <c r="CT13" t="s">
        <v>186</v>
      </c>
      <c r="CU13" t="s">
        <v>186</v>
      </c>
      <c r="CV13" t="s">
        <v>186</v>
      </c>
      <c r="CW13" t="s">
        <v>186</v>
      </c>
      <c r="CX13" t="s">
        <v>186</v>
      </c>
      <c r="CY13" t="s">
        <v>186</v>
      </c>
      <c r="CZ13" t="s">
        <v>186</v>
      </c>
      <c r="DA13" t="s">
        <v>186</v>
      </c>
      <c r="DB13" t="s">
        <v>186</v>
      </c>
      <c r="DC13" t="s">
        <v>186</v>
      </c>
      <c r="DD13" t="s">
        <v>186</v>
      </c>
      <c r="DE13" t="s">
        <v>186</v>
      </c>
      <c r="DF13" t="s">
        <v>1066</v>
      </c>
      <c r="DG13" t="s">
        <v>1066</v>
      </c>
      <c r="DH13" t="s">
        <v>1066</v>
      </c>
      <c r="DI13" t="s">
        <v>1066</v>
      </c>
      <c r="DJ13" t="s">
        <v>1066</v>
      </c>
      <c r="DK13" t="s">
        <v>1066</v>
      </c>
      <c r="DL13" t="s">
        <v>1066</v>
      </c>
      <c r="DM13" t="s">
        <v>1066</v>
      </c>
      <c r="DN13" t="s">
        <v>1066</v>
      </c>
      <c r="DO13" t="s">
        <v>1066</v>
      </c>
      <c r="DP13" t="s">
        <v>686</v>
      </c>
      <c r="DQ13" t="s">
        <v>686</v>
      </c>
      <c r="DR13" t="s">
        <v>686</v>
      </c>
      <c r="DS13" t="s">
        <v>686</v>
      </c>
      <c r="DT13" t="s">
        <v>709</v>
      </c>
      <c r="DU13" t="s">
        <v>32</v>
      </c>
      <c r="DV13" t="s">
        <v>32</v>
      </c>
      <c r="DW13" t="s">
        <v>32</v>
      </c>
      <c r="DX13" t="s">
        <v>32</v>
      </c>
      <c r="DY13" t="s">
        <v>32</v>
      </c>
      <c r="DZ13" t="s">
        <v>32</v>
      </c>
      <c r="EA13" t="s">
        <v>32</v>
      </c>
      <c r="EC13" t="s">
        <v>24</v>
      </c>
      <c r="ED13" t="s">
        <v>995</v>
      </c>
      <c r="EE13" t="s">
        <v>995</v>
      </c>
      <c r="EF13" t="s">
        <v>995</v>
      </c>
      <c r="EG13" t="s">
        <v>888</v>
      </c>
      <c r="EH13" t="s">
        <v>888</v>
      </c>
      <c r="EI13" t="s">
        <v>888</v>
      </c>
      <c r="EJ13" t="s">
        <v>888</v>
      </c>
      <c r="EK13" t="s">
        <v>888</v>
      </c>
      <c r="EL13" t="s">
        <v>888</v>
      </c>
      <c r="EM13" t="s">
        <v>888</v>
      </c>
      <c r="EN13" t="s">
        <v>888</v>
      </c>
      <c r="EO13" t="s">
        <v>888</v>
      </c>
      <c r="EP13" t="s">
        <v>888</v>
      </c>
      <c r="EQ13" t="s">
        <v>888</v>
      </c>
      <c r="ER13" t="s">
        <v>888</v>
      </c>
      <c r="ES13" t="s">
        <v>888</v>
      </c>
      <c r="ET13" t="s">
        <v>888</v>
      </c>
      <c r="EU13" t="s">
        <v>888</v>
      </c>
      <c r="EV13" t="s">
        <v>888</v>
      </c>
      <c r="EW13" t="s">
        <v>888</v>
      </c>
      <c r="EX13" t="s">
        <v>888</v>
      </c>
      <c r="EY13" t="s">
        <v>888</v>
      </c>
      <c r="EZ13" t="s">
        <v>888</v>
      </c>
      <c r="FA13" t="s">
        <v>888</v>
      </c>
      <c r="FB13" t="s">
        <v>888</v>
      </c>
      <c r="FC13" t="s">
        <v>888</v>
      </c>
      <c r="FD13" t="s">
        <v>888</v>
      </c>
      <c r="FE13" t="s">
        <v>888</v>
      </c>
      <c r="FF13" t="s">
        <v>258</v>
      </c>
      <c r="FG13" t="s">
        <v>133</v>
      </c>
      <c r="FH13" t="s">
        <v>892</v>
      </c>
      <c r="FI13" t="s">
        <v>33</v>
      </c>
      <c r="FJ13" t="s">
        <v>644</v>
      </c>
      <c r="FM13" t="str">
        <f t="shared" si="0"/>
        <v xml:space="preserve">    &lt;route id="Router3_12" edges="-gneE80.0 -gneE80.17 -gneE41 gneE44 -388756838#2 -388756838#1 -388756838#0 42706817#0 386547310 gneE69 -388756838#2 -388756838#1 -388756838#0 -388756839#1 -388756839#0 -194358837#2 -194358837#0 194358838#0 194358838#1 194358838#2 194358838#3 387422145#0 387422145#3 386995499#0 386995499#2 -51155368#13 -51155368#10 -51155368#7 121319040#0 121319040#1 386995507#0 386995507#1 386995507#2 386995507#3 12182281#7 42706837#0 42706837#1 42706837#2 42706837#3 43357814#2 43357814#3 386995526#0 386995526#1 -51050425#4 -51050425#3 -51050425#2 12162659#0 12162659#1 -12175537#4 -12175537#3 -12175537#2 -12175537#1 -50033059#3 -50033059#2 -386995514#7 -12199713#2 12177498 42706833#2 51155368#0 -50033558#5 -50033558#3 -50033558#2 -62105579 -32121234#1 -32121234#0 42706874#0 42706874#2 55179414#0 55179413#0 424769182 -450827405#2 -450827400#2 -450827382 -450827385#1 -450827391#1 -450827381 -450827397#1 12180696#0 59435515#1 59435515#2 59435515#3 59435515#4 424801338#1 12117702#0 12117702#4 12117702#7 -32121146#3 12202008#2.0 12202008#2.171 62646499#2 450827424#0 450827405#0 262962062 -55179413#2 12187610#0 12187610#2 12187610#3 -62105579 12186909#0 12186909#1 12186909#2 51155368#11 42706831#0 42706831#4 42706831#5 42706831#6 32121234#0 32121234#1 32121234#2 50033558#2 50033558#3 50033558#4 50033558#6 50033058#0 386995514#9 386995486#0 32121111#11 -12177521#0 -121319040#0 -51155368#5 -50033558#5 -50033558#3 -12188656 -121319046 -42706825#7 -42706825#4 -42706825#3 -42706825#1 -484953510#2 -484953510#1 -484953510#0 gneE37 gneE38 -12159761#2 -12159761#1 -12159761#0 -194358817#2 -194358817#1 -194358817#0 -386995514#2 -386995514#1 12159500#1 12159500#2 51050030#7 gneE35 -gneE34.0 --gneE83.0"/&gt;</v>
      </c>
      <c r="FN13" t="s">
        <v>2516</v>
      </c>
      <c r="FO13" t="s">
        <v>1101</v>
      </c>
      <c r="FP13" t="s">
        <v>2530</v>
      </c>
    </row>
    <row r="14" spans="1:172" x14ac:dyDescent="0.25">
      <c r="A14" t="s">
        <v>607</v>
      </c>
      <c r="B14" t="s">
        <v>6</v>
      </c>
      <c r="C14" t="s">
        <v>6</v>
      </c>
      <c r="D14" t="s">
        <v>6</v>
      </c>
      <c r="E14" t="s">
        <v>6</v>
      </c>
      <c r="F14" t="s">
        <v>6</v>
      </c>
      <c r="G14" t="s">
        <v>6</v>
      </c>
      <c r="H14" t="s">
        <v>6</v>
      </c>
      <c r="I14" t="s">
        <v>6</v>
      </c>
      <c r="J14" t="s">
        <v>6</v>
      </c>
      <c r="K14" t="s">
        <v>6</v>
      </c>
      <c r="L14" t="s">
        <v>6</v>
      </c>
      <c r="M14" t="s">
        <v>6</v>
      </c>
      <c r="N14" t="s">
        <v>6</v>
      </c>
      <c r="O14" t="s">
        <v>6</v>
      </c>
      <c r="P14" t="s">
        <v>6</v>
      </c>
      <c r="Q14" t="s">
        <v>6</v>
      </c>
      <c r="R14" t="s">
        <v>6</v>
      </c>
      <c r="S14" t="s">
        <v>6</v>
      </c>
      <c r="T14" t="s">
        <v>6</v>
      </c>
      <c r="U14" t="s">
        <v>6</v>
      </c>
      <c r="V14" t="s">
        <v>6</v>
      </c>
      <c r="W14" t="s">
        <v>6</v>
      </c>
      <c r="X14" t="s">
        <v>6</v>
      </c>
      <c r="Y14" t="s">
        <v>6</v>
      </c>
      <c r="Z14" t="s">
        <v>6</v>
      </c>
      <c r="AA14" t="s">
        <v>411</v>
      </c>
      <c r="AB14" t="s">
        <v>411</v>
      </c>
      <c r="AC14" t="s">
        <v>411</v>
      </c>
      <c r="AD14" t="s">
        <v>411</v>
      </c>
      <c r="AE14" t="s">
        <v>411</v>
      </c>
      <c r="AF14" t="s">
        <v>411</v>
      </c>
      <c r="AG14" t="s">
        <v>411</v>
      </c>
      <c r="AH14" t="s">
        <v>411</v>
      </c>
      <c r="AI14" t="s">
        <v>411</v>
      </c>
      <c r="AJ14" t="s">
        <v>410</v>
      </c>
      <c r="AM14" t="s">
        <v>204</v>
      </c>
      <c r="AN14" t="s">
        <v>1034</v>
      </c>
      <c r="AO14" t="s">
        <v>182</v>
      </c>
      <c r="AP14" t="s">
        <v>1035</v>
      </c>
      <c r="AQ14" t="s">
        <v>1035</v>
      </c>
      <c r="AR14" t="s">
        <v>1035</v>
      </c>
      <c r="AS14" t="s">
        <v>227</v>
      </c>
      <c r="AU14" t="s">
        <v>468</v>
      </c>
      <c r="AV14" t="s">
        <v>468</v>
      </c>
      <c r="AW14" t="s">
        <v>487</v>
      </c>
      <c r="AX14" t="s">
        <v>36</v>
      </c>
      <c r="AY14" t="s">
        <v>36</v>
      </c>
      <c r="AZ14" t="s">
        <v>36</v>
      </c>
      <c r="BA14" t="s">
        <v>36</v>
      </c>
      <c r="BB14" t="s">
        <v>205</v>
      </c>
      <c r="BC14" t="s">
        <v>205</v>
      </c>
      <c r="BD14" t="s">
        <v>205</v>
      </c>
      <c r="BE14" t="s">
        <v>191</v>
      </c>
      <c r="BF14" t="s">
        <v>227</v>
      </c>
      <c r="BG14" t="s">
        <v>206</v>
      </c>
      <c r="BH14" t="s">
        <v>206</v>
      </c>
      <c r="BI14" t="s">
        <v>206</v>
      </c>
      <c r="BJ14" t="s">
        <v>206</v>
      </c>
      <c r="BK14" t="s">
        <v>204</v>
      </c>
      <c r="BL14" t="s">
        <v>204</v>
      </c>
      <c r="BM14" t="s">
        <v>330</v>
      </c>
      <c r="BN14" t="s">
        <v>330</v>
      </c>
      <c r="BO14" t="s">
        <v>330</v>
      </c>
      <c r="BP14" t="s">
        <v>556</v>
      </c>
      <c r="BQ14" t="s">
        <v>556</v>
      </c>
      <c r="BR14" t="s">
        <v>556</v>
      </c>
      <c r="BS14" t="s">
        <v>719</v>
      </c>
      <c r="BT14" t="s">
        <v>719</v>
      </c>
      <c r="BU14" t="s">
        <v>719</v>
      </c>
      <c r="BV14" t="s">
        <v>719</v>
      </c>
      <c r="BW14" t="s">
        <v>719</v>
      </c>
      <c r="BX14" t="s">
        <v>719</v>
      </c>
      <c r="BY14" t="s">
        <v>446</v>
      </c>
      <c r="BZ14" t="s">
        <v>446</v>
      </c>
      <c r="CA14" t="s">
        <v>446</v>
      </c>
      <c r="CB14" t="s">
        <v>446</v>
      </c>
      <c r="CC14" t="s">
        <v>446</v>
      </c>
      <c r="CD14" t="s">
        <v>446</v>
      </c>
      <c r="CE14" t="s">
        <v>233</v>
      </c>
      <c r="CF14" t="s">
        <v>803</v>
      </c>
      <c r="CG14" t="s">
        <v>803</v>
      </c>
      <c r="CH14" t="s">
        <v>803</v>
      </c>
      <c r="CI14" t="s">
        <v>803</v>
      </c>
      <c r="CJ14" t="s">
        <v>803</v>
      </c>
      <c r="CK14" t="s">
        <v>803</v>
      </c>
      <c r="CL14" t="s">
        <v>803</v>
      </c>
      <c r="CM14" t="s">
        <v>803</v>
      </c>
      <c r="CN14" t="s">
        <v>803</v>
      </c>
      <c r="CO14" t="s">
        <v>803</v>
      </c>
      <c r="CP14" t="s">
        <v>803</v>
      </c>
      <c r="CQ14" t="s">
        <v>803</v>
      </c>
      <c r="CR14" t="s">
        <v>803</v>
      </c>
      <c r="CS14" t="s">
        <v>803</v>
      </c>
      <c r="CT14" t="s">
        <v>803</v>
      </c>
      <c r="CU14" t="s">
        <v>803</v>
      </c>
      <c r="CV14" t="s">
        <v>803</v>
      </c>
      <c r="CW14" t="s">
        <v>488</v>
      </c>
      <c r="CX14" t="s">
        <v>803</v>
      </c>
      <c r="CY14" t="s">
        <v>803</v>
      </c>
      <c r="CZ14" t="s">
        <v>803</v>
      </c>
      <c r="DA14" t="s">
        <v>803</v>
      </c>
      <c r="DB14" t="s">
        <v>803</v>
      </c>
      <c r="DC14" t="s">
        <v>803</v>
      </c>
      <c r="DD14" t="s">
        <v>803</v>
      </c>
      <c r="DE14" t="s">
        <v>803</v>
      </c>
      <c r="DF14" t="s">
        <v>980</v>
      </c>
      <c r="DG14" t="s">
        <v>980</v>
      </c>
      <c r="DH14" t="s">
        <v>980</v>
      </c>
      <c r="DI14" t="s">
        <v>980</v>
      </c>
      <c r="DJ14" t="s">
        <v>980</v>
      </c>
      <c r="DK14" t="s">
        <v>980</v>
      </c>
      <c r="DL14" t="s">
        <v>980</v>
      </c>
      <c r="DM14" t="s">
        <v>980</v>
      </c>
      <c r="DN14" t="s">
        <v>980</v>
      </c>
      <c r="DO14" t="s">
        <v>980</v>
      </c>
      <c r="DP14" t="s">
        <v>406</v>
      </c>
      <c r="DQ14" t="s">
        <v>406</v>
      </c>
      <c r="DR14" t="s">
        <v>406</v>
      </c>
      <c r="DS14" t="s">
        <v>406</v>
      </c>
      <c r="DT14" t="s">
        <v>710</v>
      </c>
      <c r="DU14" t="s">
        <v>33</v>
      </c>
      <c r="DV14" t="s">
        <v>33</v>
      </c>
      <c r="DW14" t="s">
        <v>637</v>
      </c>
      <c r="DX14" t="s">
        <v>637</v>
      </c>
      <c r="DY14" t="s">
        <v>637</v>
      </c>
      <c r="DZ14" t="s">
        <v>637</v>
      </c>
      <c r="EA14" t="s">
        <v>637</v>
      </c>
      <c r="EC14" t="s">
        <v>25</v>
      </c>
      <c r="ED14" t="s">
        <v>1057</v>
      </c>
      <c r="EE14" t="s">
        <v>674</v>
      </c>
      <c r="EF14" t="s">
        <v>674</v>
      </c>
      <c r="EG14" t="s">
        <v>37</v>
      </c>
      <c r="EH14" t="s">
        <v>37</v>
      </c>
      <c r="EI14" t="s">
        <v>37</v>
      </c>
      <c r="EJ14" t="s">
        <v>37</v>
      </c>
      <c r="EK14" t="s">
        <v>37</v>
      </c>
      <c r="EL14" t="s">
        <v>37</v>
      </c>
      <c r="EM14" t="s">
        <v>37</v>
      </c>
      <c r="EN14" t="s">
        <v>37</v>
      </c>
      <c r="EO14" t="s">
        <v>37</v>
      </c>
      <c r="EP14" t="s">
        <v>37</v>
      </c>
      <c r="EQ14" t="s">
        <v>37</v>
      </c>
      <c r="ER14" t="s">
        <v>37</v>
      </c>
      <c r="ES14" t="s">
        <v>37</v>
      </c>
      <c r="ET14" t="s">
        <v>37</v>
      </c>
      <c r="EU14" t="s">
        <v>37</v>
      </c>
      <c r="EV14" t="s">
        <v>37</v>
      </c>
      <c r="EW14" t="s">
        <v>37</v>
      </c>
      <c r="EX14" t="s">
        <v>37</v>
      </c>
      <c r="EY14" t="s">
        <v>37</v>
      </c>
      <c r="EZ14" t="s">
        <v>37</v>
      </c>
      <c r="FA14" t="s">
        <v>37</v>
      </c>
      <c r="FB14" t="s">
        <v>37</v>
      </c>
      <c r="FC14" t="s">
        <v>37</v>
      </c>
      <c r="FD14" t="s">
        <v>37</v>
      </c>
      <c r="FE14" t="s">
        <v>37</v>
      </c>
      <c r="FG14" t="s">
        <v>134</v>
      </c>
      <c r="FH14" t="s">
        <v>893</v>
      </c>
      <c r="FI14" t="s">
        <v>809</v>
      </c>
      <c r="FJ14" t="s">
        <v>44</v>
      </c>
      <c r="FM14" t="str">
        <f t="shared" si="0"/>
        <v xml:space="preserve">    &lt;route id="Router3_13" edges="-gneE80.0 -gneE80.17 -gneE41 gneE44 -388756838#2 -388756838#1 -388756838#0 42706817#0 386547310 gneE69 -388756838#2 -388756838#1 -388756838#0 -388756839#1 -388756839#0 -194358837#2 -194358837#0 194358838#0 194358838#1 194358838#2 194358838#3 387422145#0 387422145#3 386995499#0 386995499#2 -51155368#13 -51155368#10 -51155368#7 121319040#0 121319040#1 386995507#0 386995507#1 386995507#2 386995507#3 12182281#7 42706837#0 42706837#1 42706837#2 42706837#3 43357814#2 43357814#3 386995526#0 386995526#1 -51050425#4 -51050425#3 -51050425#2 12162659#0 12162659#1 -12175537#4 -12175537#3 -12175537#2 -12175537#1 -50033059#3 -50033059#2 -386995514#7 -12199713#2 12177498 42706833#2 51155368#0 -50033558#5 -50033558#3 -50033558#2 -62105579 -32121234#1 -32121234#0 42706874#0 42706874#2 55179414#0 55179413#0 424769182 -450827405#2 -450827400#2 -450827382 -450827385#1 -450827391#1 -450827381 -450827397#1 12180696#0 59435515#1 59435515#2 59435515#3 59435515#4 424801338#1 12117702#0 12117702#4 12117702#7 -32121146#3 12202008#2.0 12202008#2.171 62646499#2 450827424#0 450827405#0 262962062 -55179413#2 12187610#0 12187610#2 12187610#3 -62105579 12186909#0 12186909#1 12186909#2 51155368#11 42706831#0 42706831#4 42706831#5 42706831#6 32121234#0 32121234#1 32121234#2 50033558#2 50033558#3 50033558#4 50033558#6 50033058#0 386995514#9 386995486#0 32121111#11 -12177521#0 -121319040#0 -51155368#5 -50033558#5 -50033558#3 -12188656 -121319046 -42706825#7 -42706825#4 -42706825#3 -42706825#1 -484953510#2 -484953510#1 -484953510#0 gneE37 gneE38 -12159761#2 -12159761#1 -12159761#0 12114363#0 12114363#1 -50033059#4 12175537#0 12175537#2 12175537#3 12175537#4 12162659#2 12159485 12161358#7 12161358#8 386995507#6 386995507#7 386995521#0 386995521#1 12154359#3 12154359#4 12154359#5 12154359#6 12154359#7 101350669 -386995537 -386995526#1 -386995526#0 -43357814#3 -43357814#2 42706837#4 42706837#5 42706837#6 42706837#7 42706837#8 42706837#9 12172918#0 12172918#1 12172918#2 gneE73 gneE75.0 gneE80.125"/&gt;</v>
      </c>
      <c r="FN14" t="s">
        <v>2516</v>
      </c>
      <c r="FO14" t="s">
        <v>1102</v>
      </c>
      <c r="FP14" t="s">
        <v>2531</v>
      </c>
    </row>
    <row r="15" spans="1:172" x14ac:dyDescent="0.25">
      <c r="A15" t="s">
        <v>950</v>
      </c>
      <c r="B15" t="s">
        <v>10</v>
      </c>
      <c r="C15" t="s">
        <v>10</v>
      </c>
      <c r="D15" t="s">
        <v>10</v>
      </c>
      <c r="E15" t="s">
        <v>10</v>
      </c>
      <c r="F15" t="s">
        <v>10</v>
      </c>
      <c r="G15" t="s">
        <v>10</v>
      </c>
      <c r="H15" t="s">
        <v>10</v>
      </c>
      <c r="I15" t="s">
        <v>10</v>
      </c>
      <c r="J15" t="s">
        <v>10</v>
      </c>
      <c r="K15" t="s">
        <v>10</v>
      </c>
      <c r="L15" t="s">
        <v>10</v>
      </c>
      <c r="M15" t="s">
        <v>10</v>
      </c>
      <c r="N15" t="s">
        <v>10</v>
      </c>
      <c r="O15" t="s">
        <v>10</v>
      </c>
      <c r="P15" t="s">
        <v>10</v>
      </c>
      <c r="Q15" t="s">
        <v>10</v>
      </c>
      <c r="R15" t="s">
        <v>10</v>
      </c>
      <c r="S15" t="s">
        <v>10</v>
      </c>
      <c r="T15" t="s">
        <v>10</v>
      </c>
      <c r="U15" t="s">
        <v>10</v>
      </c>
      <c r="V15" t="s">
        <v>10</v>
      </c>
      <c r="W15" t="s">
        <v>10</v>
      </c>
      <c r="X15" t="s">
        <v>10</v>
      </c>
      <c r="Y15" t="s">
        <v>10</v>
      </c>
      <c r="Z15" t="s">
        <v>10</v>
      </c>
      <c r="AA15" t="s">
        <v>412</v>
      </c>
      <c r="AB15" t="s">
        <v>412</v>
      </c>
      <c r="AC15" t="s">
        <v>412</v>
      </c>
      <c r="AD15" t="s">
        <v>412</v>
      </c>
      <c r="AE15" t="s">
        <v>412</v>
      </c>
      <c r="AF15" t="s">
        <v>993</v>
      </c>
      <c r="AG15" t="s">
        <v>626</v>
      </c>
      <c r="AH15" t="s">
        <v>626</v>
      </c>
      <c r="AI15" t="s">
        <v>626</v>
      </c>
      <c r="AJ15" t="s">
        <v>161</v>
      </c>
      <c r="AM15" t="s">
        <v>205</v>
      </c>
      <c r="AN15" t="s">
        <v>201</v>
      </c>
      <c r="AO15" t="s">
        <v>183</v>
      </c>
      <c r="AP15" t="s">
        <v>520</v>
      </c>
      <c r="AQ15" t="s">
        <v>520</v>
      </c>
      <c r="AR15" t="s">
        <v>462</v>
      </c>
      <c r="AS15" t="s">
        <v>466</v>
      </c>
      <c r="AU15" t="s">
        <v>231</v>
      </c>
      <c r="AV15" t="s">
        <v>469</v>
      </c>
      <c r="AW15" t="s">
        <v>803</v>
      </c>
      <c r="AX15" t="s">
        <v>37</v>
      </c>
      <c r="AY15" t="s">
        <v>37</v>
      </c>
      <c r="AZ15" t="s">
        <v>37</v>
      </c>
      <c r="BA15" t="s">
        <v>37</v>
      </c>
      <c r="BB15" t="s">
        <v>227</v>
      </c>
      <c r="BC15" t="s">
        <v>227</v>
      </c>
      <c r="BD15" t="s">
        <v>227</v>
      </c>
      <c r="BE15" t="s">
        <v>534</v>
      </c>
      <c r="BF15" t="s">
        <v>466</v>
      </c>
      <c r="BG15" t="s">
        <v>207</v>
      </c>
      <c r="BH15" t="s">
        <v>207</v>
      </c>
      <c r="BI15" t="s">
        <v>207</v>
      </c>
      <c r="BJ15" t="s">
        <v>207</v>
      </c>
      <c r="BK15" t="s">
        <v>205</v>
      </c>
      <c r="BL15" t="s">
        <v>205</v>
      </c>
      <c r="BM15" t="s">
        <v>331</v>
      </c>
      <c r="BN15" t="s">
        <v>331</v>
      </c>
      <c r="BO15" t="s">
        <v>331</v>
      </c>
      <c r="BP15" t="s">
        <v>557</v>
      </c>
      <c r="BQ15" t="s">
        <v>557</v>
      </c>
      <c r="BR15" t="s">
        <v>557</v>
      </c>
      <c r="BS15" t="s">
        <v>720</v>
      </c>
      <c r="BT15" t="s">
        <v>720</v>
      </c>
      <c r="BU15" t="s">
        <v>720</v>
      </c>
      <c r="BV15" t="s">
        <v>720</v>
      </c>
      <c r="BW15" t="s">
        <v>720</v>
      </c>
      <c r="BX15" t="s">
        <v>720</v>
      </c>
      <c r="BY15" t="s">
        <v>447</v>
      </c>
      <c r="BZ15" t="s">
        <v>447</v>
      </c>
      <c r="CA15" t="s">
        <v>447</v>
      </c>
      <c r="CB15" t="s">
        <v>447</v>
      </c>
      <c r="CC15" t="s">
        <v>447</v>
      </c>
      <c r="CD15" t="s">
        <v>447</v>
      </c>
      <c r="CE15" t="s">
        <v>239</v>
      </c>
      <c r="CF15" t="s">
        <v>804</v>
      </c>
      <c r="CG15" t="s">
        <v>804</v>
      </c>
      <c r="CH15" t="s">
        <v>804</v>
      </c>
      <c r="CI15" t="s">
        <v>804</v>
      </c>
      <c r="CJ15" t="s">
        <v>804</v>
      </c>
      <c r="CK15" t="s">
        <v>804</v>
      </c>
      <c r="CL15" t="s">
        <v>804</v>
      </c>
      <c r="CM15" t="s">
        <v>804</v>
      </c>
      <c r="CN15" t="s">
        <v>804</v>
      </c>
      <c r="CO15" t="s">
        <v>804</v>
      </c>
      <c r="CP15" t="s">
        <v>804</v>
      </c>
      <c r="CQ15" t="s">
        <v>804</v>
      </c>
      <c r="CR15" t="s">
        <v>804</v>
      </c>
      <c r="CS15" t="s">
        <v>804</v>
      </c>
      <c r="CT15" t="s">
        <v>804</v>
      </c>
      <c r="CU15" t="s">
        <v>804</v>
      </c>
      <c r="CV15" t="s">
        <v>804</v>
      </c>
      <c r="CW15" t="s">
        <v>399</v>
      </c>
      <c r="CX15" t="s">
        <v>804</v>
      </c>
      <c r="CY15" t="s">
        <v>804</v>
      </c>
      <c r="CZ15" t="s">
        <v>804</v>
      </c>
      <c r="DA15" t="s">
        <v>804</v>
      </c>
      <c r="DB15" t="s">
        <v>804</v>
      </c>
      <c r="DC15" t="s">
        <v>804</v>
      </c>
      <c r="DD15" t="s">
        <v>804</v>
      </c>
      <c r="DE15" t="s">
        <v>804</v>
      </c>
      <c r="DF15" t="s">
        <v>981</v>
      </c>
      <c r="DG15" t="s">
        <v>981</v>
      </c>
      <c r="DH15" t="s">
        <v>981</v>
      </c>
      <c r="DI15" t="s">
        <v>981</v>
      </c>
      <c r="DJ15" t="s">
        <v>981</v>
      </c>
      <c r="DK15" t="s">
        <v>981</v>
      </c>
      <c r="DL15" t="s">
        <v>981</v>
      </c>
      <c r="DM15" t="s">
        <v>981</v>
      </c>
      <c r="DN15" t="s">
        <v>981</v>
      </c>
      <c r="DO15" t="s">
        <v>981</v>
      </c>
      <c r="DP15" t="s">
        <v>407</v>
      </c>
      <c r="DQ15" t="s">
        <v>407</v>
      </c>
      <c r="DR15" t="s">
        <v>407</v>
      </c>
      <c r="DS15" t="s">
        <v>407</v>
      </c>
      <c r="DT15" t="s">
        <v>252</v>
      </c>
      <c r="DU15" t="s">
        <v>809</v>
      </c>
      <c r="DV15" t="s">
        <v>809</v>
      </c>
      <c r="DW15" t="s">
        <v>638</v>
      </c>
      <c r="DX15" t="s">
        <v>638</v>
      </c>
      <c r="DY15" t="s">
        <v>638</v>
      </c>
      <c r="DZ15" t="s">
        <v>638</v>
      </c>
      <c r="EA15" t="s">
        <v>638</v>
      </c>
      <c r="EC15" t="s">
        <v>644</v>
      </c>
      <c r="ED15" t="s">
        <v>57</v>
      </c>
      <c r="EE15" t="s">
        <v>675</v>
      </c>
      <c r="EF15" t="s">
        <v>675</v>
      </c>
      <c r="EG15" t="s">
        <v>889</v>
      </c>
      <c r="EH15" t="s">
        <v>889</v>
      </c>
      <c r="EI15" t="s">
        <v>889</v>
      </c>
      <c r="EJ15" t="s">
        <v>889</v>
      </c>
      <c r="EK15" t="s">
        <v>889</v>
      </c>
      <c r="EL15" t="s">
        <v>889</v>
      </c>
      <c r="EM15" t="s">
        <v>889</v>
      </c>
      <c r="EN15" t="s">
        <v>889</v>
      </c>
      <c r="EO15" t="s">
        <v>889</v>
      </c>
      <c r="EP15" t="s">
        <v>889</v>
      </c>
      <c r="EQ15" t="s">
        <v>889</v>
      </c>
      <c r="ER15" t="s">
        <v>889</v>
      </c>
      <c r="ES15" t="s">
        <v>889</v>
      </c>
      <c r="ET15" t="s">
        <v>889</v>
      </c>
      <c r="EU15" t="s">
        <v>889</v>
      </c>
      <c r="EV15" t="s">
        <v>889</v>
      </c>
      <c r="EW15" t="s">
        <v>889</v>
      </c>
      <c r="EX15" t="s">
        <v>889</v>
      </c>
      <c r="EY15" t="s">
        <v>889</v>
      </c>
      <c r="EZ15" t="s">
        <v>889</v>
      </c>
      <c r="FA15" t="s">
        <v>889</v>
      </c>
      <c r="FB15" t="s">
        <v>889</v>
      </c>
      <c r="FC15" t="s">
        <v>889</v>
      </c>
      <c r="FD15" t="s">
        <v>889</v>
      </c>
      <c r="FE15" t="s">
        <v>889</v>
      </c>
      <c r="FG15" t="s">
        <v>135</v>
      </c>
      <c r="FH15" t="s">
        <v>773</v>
      </c>
      <c r="FI15" t="s">
        <v>810</v>
      </c>
      <c r="FJ15" t="s">
        <v>45</v>
      </c>
      <c r="FM15" t="str">
        <f t="shared" si="0"/>
        <v xml:space="preserve">    &lt;route id="Router3_14" edges="-gneE80.0 -gneE80.17 -gneE41 gneE44 -388756838#2 -388756838#1 -388756838#0 42706817#0 386547310 gneE69 -388756838#2 -388756838#1 -388756838#0 -388756839#1 -388756839#0 -194358837#2 -194358837#0 194358838#0 194358838#1 194358838#2 194358838#3 387422145#0 387422145#3 386995499#0 386995499#2 -51155368#13 -51155368#10 -51155368#7 121319040#0 121319040#1 386995507#0 386995507#1 386995507#2 386995507#3 12182281#7 42706837#0 42706837#1 42706837#2 42706837#3 43357814#2 43357814#3 386995526#0 386995526#1 -51050425#4 -51050425#3 -51050425#2 12162659#0 12162659#1 -12175537#4 -12175537#3 -12175537#2 -12175537#1 -50033059#3 -50033059#2 -386995514#7 -12199713#2 12177498 42706833#2 51155368#0 -50033558#5 -50033558#3 -50033558#2 -62105579 -32121234#1 -32121234#0 42706874#0 42706874#2 55179414#0 55179413#0 424769182 -450827405#2 -450827400#2 -450827382 -450827385#1 -450827391#1 -450827381 -450827397#1 12180696#0 59435515#1 59435515#2 59435515#3 59435515#4 424801338#1 12117702#0 12117702#4 12117702#7 -32121146#3 12202008#2.0 12202008#2.171 62646499#2 450827424#0 450827405#0 262962062 -55179413#2 12187610#0 12187610#2 12187610#3 -62105579 12186909#0 12186909#1 12186909#2 51155368#11 42706831#0 42706831#4 42706831#5 42706831#6 32121234#0 32121234#1 32121234#2 50033558#2 50033558#3 50033558#4 50033558#6 50033058#0 386995514#9 386995486#0 32121111#11 -12177521#0 -121319040#0 -51155368#5 -50033558#5 -50033558#3 -12188656 -121319046 -42706825#7 -42706825#4 -42706825#3 -42706825#1 -484953510#2 -484953510#1 -484953510#0 gneE37 gneE38 -12159761#2 -12159761#1 -12159761#0 12114363#0 12114363#1 -50033059#4 12175537#0 12175537#2 12175537#3 12175537#4 12162659#2 12159485 12161358#7 12161358#8 386995507#6 386995507#7 386995521#0 386995521#1 12154359#3 12154359#4 12154359#5 12154359#6 12154359#7 101350669 -386995537 -386995526#1 -386995526#0 -43357814#3 12175537#8 12175537#9 12175537#10 12175537#11 12175537#12 12175537#13 12172918#1 12172918#2 gneE73 gneE75.0 gneE80.125"/&gt;</v>
      </c>
      <c r="FN15" t="s">
        <v>2516</v>
      </c>
      <c r="FO15" t="s">
        <v>1103</v>
      </c>
      <c r="FP15" t="s">
        <v>2532</v>
      </c>
    </row>
    <row r="16" spans="1:172" x14ac:dyDescent="0.25">
      <c r="A16" t="s">
        <v>951</v>
      </c>
      <c r="B16" t="s">
        <v>11</v>
      </c>
      <c r="C16" t="s">
        <v>11</v>
      </c>
      <c r="D16" t="s">
        <v>11</v>
      </c>
      <c r="E16" t="s">
        <v>11</v>
      </c>
      <c r="F16" t="s">
        <v>11</v>
      </c>
      <c r="G16" t="s">
        <v>11</v>
      </c>
      <c r="H16" t="s">
        <v>11</v>
      </c>
      <c r="I16" t="s">
        <v>11</v>
      </c>
      <c r="J16" t="s">
        <v>11</v>
      </c>
      <c r="K16" t="s">
        <v>11</v>
      </c>
      <c r="L16" t="s">
        <v>11</v>
      </c>
      <c r="M16" t="s">
        <v>11</v>
      </c>
      <c r="N16" t="s">
        <v>11</v>
      </c>
      <c r="O16" t="s">
        <v>11</v>
      </c>
      <c r="P16" t="s">
        <v>11</v>
      </c>
      <c r="Q16" t="s">
        <v>11</v>
      </c>
      <c r="R16" t="s">
        <v>11</v>
      </c>
      <c r="S16" t="s">
        <v>11</v>
      </c>
      <c r="T16" t="s">
        <v>11</v>
      </c>
      <c r="U16" t="s">
        <v>11</v>
      </c>
      <c r="V16" t="s">
        <v>11</v>
      </c>
      <c r="W16" t="s">
        <v>11</v>
      </c>
      <c r="X16" t="s">
        <v>11</v>
      </c>
      <c r="Y16" t="s">
        <v>11</v>
      </c>
      <c r="Z16" t="s">
        <v>11</v>
      </c>
      <c r="AA16" t="s">
        <v>413</v>
      </c>
      <c r="AB16" t="s">
        <v>413</v>
      </c>
      <c r="AC16" t="s">
        <v>413</v>
      </c>
      <c r="AD16" t="s">
        <v>413</v>
      </c>
      <c r="AE16" t="s">
        <v>413</v>
      </c>
      <c r="AF16" t="s">
        <v>656</v>
      </c>
      <c r="AG16" t="s">
        <v>158</v>
      </c>
      <c r="AH16" t="s">
        <v>158</v>
      </c>
      <c r="AI16" t="s">
        <v>158</v>
      </c>
      <c r="AM16" t="s">
        <v>191</v>
      </c>
      <c r="AN16" t="s">
        <v>202</v>
      </c>
      <c r="AO16" t="s">
        <v>445</v>
      </c>
      <c r="AP16" t="s">
        <v>460</v>
      </c>
      <c r="AQ16" t="s">
        <v>460</v>
      </c>
      <c r="AR16" t="s">
        <v>463</v>
      </c>
      <c r="AS16" t="s">
        <v>467</v>
      </c>
      <c r="AU16" t="s">
        <v>232</v>
      </c>
      <c r="AV16" t="s">
        <v>461</v>
      </c>
      <c r="AW16" t="s">
        <v>804</v>
      </c>
      <c r="AX16" t="s">
        <v>889</v>
      </c>
      <c r="AY16" t="s">
        <v>889</v>
      </c>
      <c r="AZ16" t="s">
        <v>889</v>
      </c>
      <c r="BA16" t="s">
        <v>889</v>
      </c>
      <c r="BB16" t="s">
        <v>466</v>
      </c>
      <c r="BC16" t="s">
        <v>466</v>
      </c>
      <c r="BD16" t="s">
        <v>466</v>
      </c>
      <c r="BF16" t="s">
        <v>467</v>
      </c>
      <c r="BG16" t="s">
        <v>208</v>
      </c>
      <c r="BH16" t="s">
        <v>208</v>
      </c>
      <c r="BI16" t="s">
        <v>208</v>
      </c>
      <c r="BJ16" t="s">
        <v>208</v>
      </c>
      <c r="BK16" t="s">
        <v>227</v>
      </c>
      <c r="BL16" t="s">
        <v>227</v>
      </c>
      <c r="BM16" t="s">
        <v>1061</v>
      </c>
      <c r="BN16" t="s">
        <v>1061</v>
      </c>
      <c r="BO16" t="s">
        <v>1061</v>
      </c>
      <c r="BP16" t="s">
        <v>333</v>
      </c>
      <c r="BQ16" t="s">
        <v>333</v>
      </c>
      <c r="BR16" t="s">
        <v>333</v>
      </c>
      <c r="BS16" t="s">
        <v>570</v>
      </c>
      <c r="BT16" t="s">
        <v>570</v>
      </c>
      <c r="BU16" t="s">
        <v>570</v>
      </c>
      <c r="BV16" t="s">
        <v>570</v>
      </c>
      <c r="BW16" t="s">
        <v>570</v>
      </c>
      <c r="BX16" t="s">
        <v>570</v>
      </c>
      <c r="BY16" t="s">
        <v>448</v>
      </c>
      <c r="BZ16" t="s">
        <v>448</v>
      </c>
      <c r="CA16" t="s">
        <v>448</v>
      </c>
      <c r="CB16" t="s">
        <v>448</v>
      </c>
      <c r="CC16" t="s">
        <v>448</v>
      </c>
      <c r="CD16" t="s">
        <v>448</v>
      </c>
      <c r="CF16" t="s">
        <v>805</v>
      </c>
      <c r="CG16" t="s">
        <v>805</v>
      </c>
      <c r="CH16" t="s">
        <v>805</v>
      </c>
      <c r="CI16" t="s">
        <v>805</v>
      </c>
      <c r="CJ16" t="s">
        <v>805</v>
      </c>
      <c r="CK16" t="s">
        <v>805</v>
      </c>
      <c r="CL16" t="s">
        <v>805</v>
      </c>
      <c r="CM16" t="s">
        <v>805</v>
      </c>
      <c r="CN16" t="s">
        <v>805</v>
      </c>
      <c r="CO16" t="s">
        <v>805</v>
      </c>
      <c r="CP16" t="s">
        <v>805</v>
      </c>
      <c r="CQ16" t="s">
        <v>805</v>
      </c>
      <c r="CR16" t="s">
        <v>805</v>
      </c>
      <c r="CS16" t="s">
        <v>805</v>
      </c>
      <c r="CT16" t="s">
        <v>805</v>
      </c>
      <c r="CU16" t="s">
        <v>805</v>
      </c>
      <c r="CV16" t="s">
        <v>805</v>
      </c>
      <c r="CW16" t="s">
        <v>515</v>
      </c>
      <c r="CX16" t="s">
        <v>805</v>
      </c>
      <c r="CY16" t="s">
        <v>805</v>
      </c>
      <c r="CZ16" t="s">
        <v>805</v>
      </c>
      <c r="DA16" t="s">
        <v>805</v>
      </c>
      <c r="DB16" t="s">
        <v>805</v>
      </c>
      <c r="DC16" t="s">
        <v>805</v>
      </c>
      <c r="DD16" t="s">
        <v>805</v>
      </c>
      <c r="DE16" t="s">
        <v>805</v>
      </c>
      <c r="DF16" t="s">
        <v>884</v>
      </c>
      <c r="DG16" t="s">
        <v>884</v>
      </c>
      <c r="DH16" t="s">
        <v>884</v>
      </c>
      <c r="DI16" t="s">
        <v>884</v>
      </c>
      <c r="DJ16" t="s">
        <v>884</v>
      </c>
      <c r="DK16" t="s">
        <v>884</v>
      </c>
      <c r="DL16" t="s">
        <v>884</v>
      </c>
      <c r="DM16" t="s">
        <v>884</v>
      </c>
      <c r="DN16" t="s">
        <v>884</v>
      </c>
      <c r="DO16" t="s">
        <v>884</v>
      </c>
      <c r="DP16" t="s">
        <v>43</v>
      </c>
      <c r="DQ16" t="s">
        <v>43</v>
      </c>
      <c r="DR16" t="s">
        <v>43</v>
      </c>
      <c r="DS16" t="s">
        <v>43</v>
      </c>
      <c r="DT16" t="s">
        <v>253</v>
      </c>
      <c r="DU16" t="s">
        <v>810</v>
      </c>
      <c r="DV16" t="s">
        <v>810</v>
      </c>
      <c r="DW16" t="s">
        <v>1058</v>
      </c>
      <c r="DX16" t="s">
        <v>708</v>
      </c>
      <c r="DY16" t="s">
        <v>708</v>
      </c>
      <c r="DZ16" t="s">
        <v>708</v>
      </c>
      <c r="EA16" t="s">
        <v>708</v>
      </c>
      <c r="EC16" t="s">
        <v>44</v>
      </c>
      <c r="ED16" t="s">
        <v>1075</v>
      </c>
      <c r="EE16" t="s">
        <v>1055</v>
      </c>
      <c r="EF16" t="s">
        <v>1055</v>
      </c>
      <c r="EG16" t="s">
        <v>770</v>
      </c>
      <c r="EH16" t="s">
        <v>770</v>
      </c>
      <c r="EI16" t="s">
        <v>770</v>
      </c>
      <c r="EJ16" t="s">
        <v>770</v>
      </c>
      <c r="EK16" t="s">
        <v>770</v>
      </c>
      <c r="EL16" t="s">
        <v>770</v>
      </c>
      <c r="EM16" t="s">
        <v>770</v>
      </c>
      <c r="EN16" t="s">
        <v>770</v>
      </c>
      <c r="EO16" t="s">
        <v>770</v>
      </c>
      <c r="EP16" t="s">
        <v>770</v>
      </c>
      <c r="EQ16" t="s">
        <v>770</v>
      </c>
      <c r="ER16" t="s">
        <v>770</v>
      </c>
      <c r="ES16" t="s">
        <v>770</v>
      </c>
      <c r="ET16" t="s">
        <v>770</v>
      </c>
      <c r="EU16" t="s">
        <v>770</v>
      </c>
      <c r="EV16" t="s">
        <v>770</v>
      </c>
      <c r="EW16" t="s">
        <v>770</v>
      </c>
      <c r="EX16" t="s">
        <v>770</v>
      </c>
      <c r="EY16" t="s">
        <v>770</v>
      </c>
      <c r="EZ16" t="s">
        <v>770</v>
      </c>
      <c r="FA16" t="s">
        <v>770</v>
      </c>
      <c r="FB16" t="s">
        <v>770</v>
      </c>
      <c r="FC16" t="s">
        <v>770</v>
      </c>
      <c r="FD16" t="s">
        <v>770</v>
      </c>
      <c r="FE16" t="s">
        <v>770</v>
      </c>
      <c r="FG16" t="s">
        <v>136</v>
      </c>
      <c r="FH16" t="s">
        <v>774</v>
      </c>
      <c r="FI16" t="s">
        <v>811</v>
      </c>
      <c r="FM16" t="str">
        <f t="shared" si="0"/>
        <v xml:space="preserve">    &lt;route id="Router3_15" edges="-gneE80.0 -gneE80.17 -gneE41 gneE44 -388756838#2 -388756838#1 -388756838#0 42706817#0 386547310 gneE69 -388756838#2 -388756838#1 -388756838#0 -388756839#1 -388756839#0 -194358837#2 -194358837#0 194358838#0 194358838#1 194358838#2 194358838#3 387422145#0 387422145#3 386995499#0 386995499#2 -51155368#13 -51155368#10 -51155368#7 121319040#0 121319040#1 386995507#0 386995507#1 386995507#2 386995507#3 12182281#7 42706837#0 42706837#1 42706837#2 42706837#3 43357814#2 43357814#3 386995526#0 386995526#1 -51050425#4 -51050425#3 -51050425#2 12162659#0 12162659#1 -12175537#4 -12175537#3 -12175537#2 -12175537#1 -50033059#3 -50033059#2 -386995514#7 -12199713#2 12177498 42706833#2 51155368#0 -50033558#5 -50033558#3 -50033558#2 -62105579 -32121234#1 -32121234#0 42706874#0 42706874#2 55179414#0 55179413#0 424769182 -450827405#2 -450827400#2 -450827382 -450827385#1 -450827391#1 -450827381 -450827397#1 12180696#0 59435515#1 59435515#2 59435515#3 59435515#4 424801338#1 12117702#0 12117702#4 12117702#7 -32121146#3 12202008#2.0 12202008#2.171 62646499#2 450827424#0 450827405#0 262962062 -55179413#2 12187610#0 12187610#2 12187610#3 -62105579 12186909#0 12186909#1 12186909#2 51155368#11 42706831#0 42706831#4 42706831#5 42706831#6 32121234#0 32121234#1 32121234#2 50033558#2 50033558#3 50033558#4 50033558#6 50033058#0 386995514#9 386995486#0 32121111#11 -12177521#0 -121319040#0 -51155368#5 -50033558#5 -50033558#3 -12188656 -121319046 -42706825#7 -42706825#4 -42706825#3 -42706825#1 -484953510#2 -484953510#1 -484953510#0 gneE37 gneE38 -12159761#2 -12159761#1 -12159761#0 12114363#0 12114363#1 -50033059#4 12175537#0 12175537#2 12175537#3 12175537#4 12175537#5 12175537#6 12175537#7 -43357814#2 42706837#4 42706837#5 42706837#6 42706837#7 42706837#8 12155177#0 12175537#13 12172918#1 12172918#2 gneE73 gneE75.0 -gneE80.17 -gneE41 gneE44 -388756838#2 -388756838#1 -388756838#0 42706817#0 386547310 gneE69 -388756838#2 -388756838#1 -388756838#0 -388756839#1 -388756839#0 -194358837#2 -194358837#0 194358838#0 194358838#1 194358838#2 386995479#2 310315797#2 12185366#9 387422145#0 -12157718#6 -12157718#4 -12157718#3 -12157718#2 -12157718#1 -12199713#4 386995514#7 -50033059#1 -50033558#8 -51155368#3 121319046 12188656 -50033558#2 12203859#0 12203859#1 42706831#4 42706831#5 42706831#6 42706874#0 42706874#2 12144152#0 12144152#2 450844953#0 450844953#2 450844953#3 450844947#0 388533142#0 388533142#2 388533142#4 62623926#0 62623926#1 450844950#0 12189453#0.0.0 450844982#0.19 62203497#0 62203497#2 62203497#3 12134479#1 34685684#0 34685684#2 388533143#0 388533143#2 12140627#0 63060729#0 -264253834#2 12156992#4 12156992#5 12156992#6 12156992#7 12156992#8 12156992#9 -12114396#5 -12114396#3 -12114396#1 485017383#0 485017382#0 485017382#1 211575484#0 -12177521#3 -12177521#2 -12177521#1 32121111#12 32121111#14 -12187610#5 -12187610#2 -12187610#1 12150608#0 32121146#2 12117702#9 450844953#0 450844953#2 450844953#3 450844947#0 388533142#0 388533142#2 388533142#4 62623926#0 62623926#1 450844950#0 38502259#0.19 450844933#1 196207110#0 196207110#2"/&gt;</v>
      </c>
      <c r="FN16" t="s">
        <v>2516</v>
      </c>
      <c r="FO16" t="s">
        <v>1104</v>
      </c>
      <c r="FP16" t="s">
        <v>2533</v>
      </c>
    </row>
    <row r="17" spans="1:172" x14ac:dyDescent="0.25">
      <c r="A17" t="s">
        <v>955</v>
      </c>
      <c r="B17" t="s">
        <v>12</v>
      </c>
      <c r="C17" t="s">
        <v>12</v>
      </c>
      <c r="D17" t="s">
        <v>12</v>
      </c>
      <c r="E17" t="s">
        <v>12</v>
      </c>
      <c r="F17" t="s">
        <v>12</v>
      </c>
      <c r="G17" t="s">
        <v>12</v>
      </c>
      <c r="H17" t="s">
        <v>12</v>
      </c>
      <c r="I17" t="s">
        <v>12</v>
      </c>
      <c r="J17" t="s">
        <v>12</v>
      </c>
      <c r="K17" t="s">
        <v>12</v>
      </c>
      <c r="L17" t="s">
        <v>12</v>
      </c>
      <c r="M17" t="s">
        <v>12</v>
      </c>
      <c r="N17" t="s">
        <v>12</v>
      </c>
      <c r="O17" t="s">
        <v>12</v>
      </c>
      <c r="P17" t="s">
        <v>12</v>
      </c>
      <c r="Q17" t="s">
        <v>12</v>
      </c>
      <c r="R17" t="s">
        <v>12</v>
      </c>
      <c r="S17" t="s">
        <v>12</v>
      </c>
      <c r="T17" t="s">
        <v>12</v>
      </c>
      <c r="U17" t="s">
        <v>12</v>
      </c>
      <c r="V17" t="s">
        <v>12</v>
      </c>
      <c r="W17" t="s">
        <v>12</v>
      </c>
      <c r="X17" t="s">
        <v>12</v>
      </c>
      <c r="Y17" t="s">
        <v>12</v>
      </c>
      <c r="Z17" t="s">
        <v>12</v>
      </c>
      <c r="AA17" t="s">
        <v>1013</v>
      </c>
      <c r="AB17" t="s">
        <v>1013</v>
      </c>
      <c r="AC17" t="s">
        <v>1013</v>
      </c>
      <c r="AD17" t="s">
        <v>1013</v>
      </c>
      <c r="AE17" t="s">
        <v>1013</v>
      </c>
      <c r="AF17" t="s">
        <v>657</v>
      </c>
      <c r="AG17" t="s">
        <v>159</v>
      </c>
      <c r="AH17" t="s">
        <v>159</v>
      </c>
      <c r="AI17" t="s">
        <v>159</v>
      </c>
      <c r="AM17" t="s">
        <v>534</v>
      </c>
      <c r="AN17" t="s">
        <v>203</v>
      </c>
      <c r="AO17" t="s">
        <v>446</v>
      </c>
      <c r="AP17" t="s">
        <v>181</v>
      </c>
      <c r="AQ17" t="s">
        <v>181</v>
      </c>
      <c r="AR17" t="s">
        <v>464</v>
      </c>
      <c r="AS17" t="s">
        <v>468</v>
      </c>
      <c r="AU17" t="s">
        <v>233</v>
      </c>
      <c r="AV17" t="s">
        <v>520</v>
      </c>
      <c r="AW17" t="s">
        <v>805</v>
      </c>
      <c r="AX17" t="s">
        <v>770</v>
      </c>
      <c r="AY17" t="s">
        <v>770</v>
      </c>
      <c r="AZ17" t="s">
        <v>770</v>
      </c>
      <c r="BA17" t="s">
        <v>770</v>
      </c>
      <c r="BB17" t="s">
        <v>467</v>
      </c>
      <c r="BC17" t="s">
        <v>467</v>
      </c>
      <c r="BD17" t="s">
        <v>467</v>
      </c>
      <c r="BF17" t="s">
        <v>232</v>
      </c>
      <c r="BG17" t="s">
        <v>209</v>
      </c>
      <c r="BH17" t="s">
        <v>209</v>
      </c>
      <c r="BI17" t="s">
        <v>209</v>
      </c>
      <c r="BJ17" t="s">
        <v>209</v>
      </c>
      <c r="BK17" t="s">
        <v>466</v>
      </c>
      <c r="BL17" t="s">
        <v>228</v>
      </c>
      <c r="BM17" t="s">
        <v>443</v>
      </c>
      <c r="BN17" t="s">
        <v>443</v>
      </c>
      <c r="BO17" t="s">
        <v>443</v>
      </c>
      <c r="BP17" t="s">
        <v>552</v>
      </c>
      <c r="BQ17" t="s">
        <v>552</v>
      </c>
      <c r="BR17" t="s">
        <v>552</v>
      </c>
      <c r="BS17" t="s">
        <v>571</v>
      </c>
      <c r="BT17" t="s">
        <v>571</v>
      </c>
      <c r="BU17" t="s">
        <v>571</v>
      </c>
      <c r="BV17" t="s">
        <v>571</v>
      </c>
      <c r="BW17" t="s">
        <v>571</v>
      </c>
      <c r="BX17" t="s">
        <v>571</v>
      </c>
      <c r="BY17" t="s">
        <v>569</v>
      </c>
      <c r="BZ17" t="s">
        <v>569</v>
      </c>
      <c r="CA17" t="s">
        <v>569</v>
      </c>
      <c r="CB17" t="s">
        <v>569</v>
      </c>
      <c r="CC17" t="s">
        <v>569</v>
      </c>
      <c r="CD17" t="s">
        <v>569</v>
      </c>
      <c r="CF17" t="s">
        <v>492</v>
      </c>
      <c r="CG17" t="s">
        <v>492</v>
      </c>
      <c r="CH17" t="s">
        <v>492</v>
      </c>
      <c r="CI17" t="s">
        <v>492</v>
      </c>
      <c r="CJ17" t="s">
        <v>492</v>
      </c>
      <c r="CK17" t="s">
        <v>492</v>
      </c>
      <c r="CL17" t="s">
        <v>492</v>
      </c>
      <c r="CM17" t="s">
        <v>492</v>
      </c>
      <c r="CN17" t="s">
        <v>492</v>
      </c>
      <c r="CO17" t="s">
        <v>492</v>
      </c>
      <c r="CP17" t="s">
        <v>492</v>
      </c>
      <c r="CQ17" t="s">
        <v>492</v>
      </c>
      <c r="CR17" t="s">
        <v>492</v>
      </c>
      <c r="CS17" t="s">
        <v>492</v>
      </c>
      <c r="CT17" t="s">
        <v>492</v>
      </c>
      <c r="CU17" t="s">
        <v>492</v>
      </c>
      <c r="CV17" t="s">
        <v>492</v>
      </c>
      <c r="CW17" t="s">
        <v>516</v>
      </c>
      <c r="CX17" t="s">
        <v>492</v>
      </c>
      <c r="CY17" t="s">
        <v>492</v>
      </c>
      <c r="CZ17" t="s">
        <v>492</v>
      </c>
      <c r="DA17" t="s">
        <v>492</v>
      </c>
      <c r="DB17" t="s">
        <v>492</v>
      </c>
      <c r="DC17" t="s">
        <v>492</v>
      </c>
      <c r="DD17" t="s">
        <v>492</v>
      </c>
      <c r="DE17" t="s">
        <v>492</v>
      </c>
      <c r="DF17" t="s">
        <v>885</v>
      </c>
      <c r="DG17" t="s">
        <v>885</v>
      </c>
      <c r="DH17" t="s">
        <v>885</v>
      </c>
      <c r="DI17" t="s">
        <v>885</v>
      </c>
      <c r="DJ17" t="s">
        <v>885</v>
      </c>
      <c r="DK17" t="s">
        <v>885</v>
      </c>
      <c r="DL17" t="s">
        <v>885</v>
      </c>
      <c r="DM17" t="s">
        <v>885</v>
      </c>
      <c r="DN17" t="s">
        <v>885</v>
      </c>
      <c r="DO17" t="s">
        <v>885</v>
      </c>
      <c r="DP17" t="s">
        <v>44</v>
      </c>
      <c r="DQ17" t="s">
        <v>44</v>
      </c>
      <c r="DR17" t="s">
        <v>44</v>
      </c>
      <c r="DS17" t="s">
        <v>44</v>
      </c>
      <c r="DT17" t="s">
        <v>254</v>
      </c>
      <c r="DU17" t="s">
        <v>811</v>
      </c>
      <c r="DV17" t="s">
        <v>811</v>
      </c>
      <c r="DW17" t="s">
        <v>1059</v>
      </c>
      <c r="DX17" t="s">
        <v>249</v>
      </c>
      <c r="DY17" t="s">
        <v>249</v>
      </c>
      <c r="DZ17" t="s">
        <v>249</v>
      </c>
      <c r="EA17" t="s">
        <v>249</v>
      </c>
      <c r="EC17" t="s">
        <v>45</v>
      </c>
      <c r="ED17" t="s">
        <v>1076</v>
      </c>
      <c r="EE17" t="s">
        <v>1056</v>
      </c>
      <c r="EF17" t="s">
        <v>1056</v>
      </c>
      <c r="EG17" t="s">
        <v>890</v>
      </c>
      <c r="EH17" t="s">
        <v>890</v>
      </c>
      <c r="EI17" t="s">
        <v>890</v>
      </c>
      <c r="EJ17" t="s">
        <v>890</v>
      </c>
      <c r="EK17" t="s">
        <v>771</v>
      </c>
      <c r="EL17" t="s">
        <v>771</v>
      </c>
      <c r="EM17" t="s">
        <v>771</v>
      </c>
      <c r="EN17" t="s">
        <v>771</v>
      </c>
      <c r="EO17" t="s">
        <v>771</v>
      </c>
      <c r="EP17" t="s">
        <v>771</v>
      </c>
      <c r="EQ17" t="s">
        <v>771</v>
      </c>
      <c r="ER17" t="s">
        <v>771</v>
      </c>
      <c r="ES17" t="s">
        <v>771</v>
      </c>
      <c r="ET17" t="s">
        <v>771</v>
      </c>
      <c r="EU17" t="s">
        <v>771</v>
      </c>
      <c r="EV17" t="s">
        <v>771</v>
      </c>
      <c r="EW17" t="s">
        <v>771</v>
      </c>
      <c r="EX17" t="s">
        <v>771</v>
      </c>
      <c r="EY17" t="s">
        <v>771</v>
      </c>
      <c r="EZ17" t="s">
        <v>771</v>
      </c>
      <c r="FA17" t="s">
        <v>771</v>
      </c>
      <c r="FB17" t="s">
        <v>771</v>
      </c>
      <c r="FC17" t="s">
        <v>771</v>
      </c>
      <c r="FD17" t="s">
        <v>771</v>
      </c>
      <c r="FE17" t="s">
        <v>771</v>
      </c>
      <c r="FG17" t="s">
        <v>137</v>
      </c>
      <c r="FH17" t="s">
        <v>775</v>
      </c>
      <c r="FI17" t="s">
        <v>1046</v>
      </c>
      <c r="FM17" t="str">
        <f t="shared" si="0"/>
        <v xml:space="preserve">    &lt;route id="Router3_16" edges="-gneE80.0 -gneE80.17 -gneE41 gneE44 -388756838#2 -388756838#1 -388756838#0 42706817#0 386547310 gneE69 -388756838#2 -388756838#1 -388756838#0 -388756839#1 -388756839#0 -194358837#2 -194358837#0 194358838#0 194358838#1 194358838#2 194358838#3 387422145#0 387422145#3 386995499#0 386995499#2 -51155368#13 -51155368#10 -51155368#7 121319040#0 121319040#1 386995507#0 386995507#1 386995507#2 386995507#3 12182281#7 42706837#0 42706837#1 42706837#2 42706837#3 43357814#2 43357814#3 386995526#0 386995526#1 -51050425#4 -51050425#3 -51050425#2 12162659#0 12162659#1 -12175537#4 -12175537#3 -12175537#2 -12175537#1 -50033059#3 -50033059#2 -386995514#7 -12199713#2 12177498 42706833#2 51155368#0 -50033558#5 -50033558#3 -50033558#2 -62105579 -32121234#1 -32121234#0 42706874#0 42706874#2 55179414#0 55179413#0 424769182 -450827405#2 -450827400#2 -450827382 -450827385#1 -450827391#1 -450827381 -450827397#1 12180696#0 59435515#1 59435515#2 59435515#3 59435515#4 424801338#1 12117702#0 12117702#4 12117702#7 -32121146#3 12202008#2.0 12202008#2.171 62646499#2 450827424#0 450827405#0 262962062 -55179413#2 12187610#0 12187610#2 12187610#3 -62105579 12186909#0 12186909#1 12186909#2 51155368#11 42706831#0 42706831#4 42706831#5 42706831#6 32121234#0 32121234#1 32121234#2 50033558#2 50033558#3 50033558#4 50033558#6 50033058#0 386995514#9 386995486#0 32121111#11 -12177521#0 -121319040#0 -51155368#5 -50033558#5 -50033558#3 -12188656 -121319046 -42706825#7 -42706825#4 -42706825#3 -42706825#1 -484953510#2 -484953510#1 -484953510#0 gneE37 gneE38 -12159761#2 -12159761#1 -12159761#0 12114363#0 12114363#1 -50033059#4 12175537#0 12175537#2 12175537#3 12175537#4 12175537#5 12175537#6 12175537#7 -43357814#2 42706837#4 42706837#5 42706837#6 42706837#7 42706837#8 12155177#0 12175537#13 12172918#1 12172918#2 gneE73 gneE75.0 gneE80.125"/&gt;</v>
      </c>
      <c r="FN17" t="s">
        <v>2516</v>
      </c>
      <c r="FO17" t="s">
        <v>1105</v>
      </c>
      <c r="FP17" t="s">
        <v>2534</v>
      </c>
    </row>
    <row r="18" spans="1:172" x14ac:dyDescent="0.25">
      <c r="A18" t="s">
        <v>829</v>
      </c>
      <c r="B18" t="s">
        <v>13</v>
      </c>
      <c r="C18" t="s">
        <v>13</v>
      </c>
      <c r="D18" t="s">
        <v>13</v>
      </c>
      <c r="E18" t="s">
        <v>13</v>
      </c>
      <c r="F18" t="s">
        <v>13</v>
      </c>
      <c r="G18" t="s">
        <v>13</v>
      </c>
      <c r="H18" t="s">
        <v>13</v>
      </c>
      <c r="I18" t="s">
        <v>13</v>
      </c>
      <c r="J18" t="s">
        <v>13</v>
      </c>
      <c r="K18" t="s">
        <v>13</v>
      </c>
      <c r="L18" t="s">
        <v>13</v>
      </c>
      <c r="M18" t="s">
        <v>13</v>
      </c>
      <c r="N18" t="s">
        <v>13</v>
      </c>
      <c r="O18" t="s">
        <v>13</v>
      </c>
      <c r="P18" t="s">
        <v>13</v>
      </c>
      <c r="Q18" t="s">
        <v>13</v>
      </c>
      <c r="R18" t="s">
        <v>13</v>
      </c>
      <c r="S18" t="s">
        <v>13</v>
      </c>
      <c r="T18" t="s">
        <v>13</v>
      </c>
      <c r="U18" t="s">
        <v>13</v>
      </c>
      <c r="V18" t="s">
        <v>13</v>
      </c>
      <c r="W18" t="s">
        <v>13</v>
      </c>
      <c r="X18" t="s">
        <v>13</v>
      </c>
      <c r="Y18" t="s">
        <v>13</v>
      </c>
      <c r="Z18" t="s">
        <v>13</v>
      </c>
      <c r="AA18" t="s">
        <v>1014</v>
      </c>
      <c r="AB18" t="s">
        <v>1014</v>
      </c>
      <c r="AC18" t="s">
        <v>1014</v>
      </c>
      <c r="AD18" t="s">
        <v>1014</v>
      </c>
      <c r="AE18" t="s">
        <v>1014</v>
      </c>
      <c r="AF18" t="s">
        <v>428</v>
      </c>
      <c r="AG18" t="s">
        <v>160</v>
      </c>
      <c r="AH18" t="s">
        <v>160</v>
      </c>
      <c r="AI18" t="s">
        <v>160</v>
      </c>
      <c r="AN18" t="s">
        <v>204</v>
      </c>
      <c r="AO18" t="s">
        <v>447</v>
      </c>
      <c r="AP18" t="s">
        <v>182</v>
      </c>
      <c r="AQ18" t="s">
        <v>182</v>
      </c>
      <c r="AR18" t="s">
        <v>343</v>
      </c>
      <c r="AS18" t="s">
        <v>469</v>
      </c>
      <c r="AU18" t="s">
        <v>239</v>
      </c>
      <c r="AV18" t="s">
        <v>460</v>
      </c>
      <c r="AW18" t="s">
        <v>492</v>
      </c>
      <c r="AX18" t="s">
        <v>890</v>
      </c>
      <c r="AY18" t="s">
        <v>771</v>
      </c>
      <c r="AZ18" t="s">
        <v>771</v>
      </c>
      <c r="BA18" t="s">
        <v>771</v>
      </c>
      <c r="BB18" t="s">
        <v>232</v>
      </c>
      <c r="BC18" t="s">
        <v>468</v>
      </c>
      <c r="BD18" t="s">
        <v>468</v>
      </c>
      <c r="BF18" t="s">
        <v>233</v>
      </c>
      <c r="BG18" t="s">
        <v>34</v>
      </c>
      <c r="BH18" t="s">
        <v>34</v>
      </c>
      <c r="BI18" t="s">
        <v>34</v>
      </c>
      <c r="BJ18" t="s">
        <v>34</v>
      </c>
      <c r="BK18" t="s">
        <v>467</v>
      </c>
      <c r="BL18" t="s">
        <v>229</v>
      </c>
      <c r="BM18" t="s">
        <v>444</v>
      </c>
      <c r="BN18" t="s">
        <v>444</v>
      </c>
      <c r="BO18" t="s">
        <v>444</v>
      </c>
      <c r="BP18" t="s">
        <v>553</v>
      </c>
      <c r="BQ18" t="s">
        <v>553</v>
      </c>
      <c r="BR18" t="s">
        <v>553</v>
      </c>
      <c r="BS18" t="s">
        <v>578</v>
      </c>
      <c r="BT18" t="s">
        <v>578</v>
      </c>
      <c r="BU18" t="s">
        <v>578</v>
      </c>
      <c r="BV18" t="s">
        <v>578</v>
      </c>
      <c r="BW18" t="s">
        <v>578</v>
      </c>
      <c r="BX18" t="s">
        <v>578</v>
      </c>
      <c r="BY18" t="s">
        <v>721</v>
      </c>
      <c r="BZ18" t="s">
        <v>721</v>
      </c>
      <c r="CA18" t="s">
        <v>721</v>
      </c>
      <c r="CB18" t="s">
        <v>721</v>
      </c>
      <c r="CC18" t="s">
        <v>721</v>
      </c>
      <c r="CD18" t="s">
        <v>721</v>
      </c>
      <c r="CF18" t="s">
        <v>493</v>
      </c>
      <c r="CG18" t="s">
        <v>493</v>
      </c>
      <c r="CH18" t="s">
        <v>493</v>
      </c>
      <c r="CI18" t="s">
        <v>493</v>
      </c>
      <c r="CJ18" t="s">
        <v>493</v>
      </c>
      <c r="CK18" t="s">
        <v>493</v>
      </c>
      <c r="CL18" t="s">
        <v>493</v>
      </c>
      <c r="CM18" t="s">
        <v>493</v>
      </c>
      <c r="CN18" t="s">
        <v>493</v>
      </c>
      <c r="CO18" t="s">
        <v>493</v>
      </c>
      <c r="CP18" t="s">
        <v>493</v>
      </c>
      <c r="CQ18" t="s">
        <v>493</v>
      </c>
      <c r="CR18" t="s">
        <v>493</v>
      </c>
      <c r="CS18" t="s">
        <v>493</v>
      </c>
      <c r="CT18" t="s">
        <v>493</v>
      </c>
      <c r="CU18" t="s">
        <v>493</v>
      </c>
      <c r="CV18" t="s">
        <v>493</v>
      </c>
      <c r="CW18" t="s">
        <v>517</v>
      </c>
      <c r="CX18" t="s">
        <v>493</v>
      </c>
      <c r="CY18" t="s">
        <v>493</v>
      </c>
      <c r="CZ18" t="s">
        <v>493</v>
      </c>
      <c r="DA18" t="s">
        <v>493</v>
      </c>
      <c r="DB18" t="s">
        <v>493</v>
      </c>
      <c r="DC18" t="s">
        <v>493</v>
      </c>
      <c r="DD18" t="s">
        <v>493</v>
      </c>
      <c r="DE18" t="s">
        <v>493</v>
      </c>
      <c r="DF18" t="s">
        <v>886</v>
      </c>
      <c r="DG18" t="s">
        <v>886</v>
      </c>
      <c r="DH18" t="s">
        <v>886</v>
      </c>
      <c r="DI18" t="s">
        <v>886</v>
      </c>
      <c r="DJ18" t="s">
        <v>886</v>
      </c>
      <c r="DK18" t="s">
        <v>886</v>
      </c>
      <c r="DL18" t="s">
        <v>886</v>
      </c>
      <c r="DM18" t="s">
        <v>886</v>
      </c>
      <c r="DN18" t="s">
        <v>886</v>
      </c>
      <c r="DO18" t="s">
        <v>886</v>
      </c>
      <c r="DP18" t="s">
        <v>45</v>
      </c>
      <c r="DQ18" t="s">
        <v>45</v>
      </c>
      <c r="DR18" t="s">
        <v>45</v>
      </c>
      <c r="DS18" t="s">
        <v>45</v>
      </c>
      <c r="DT18" t="s">
        <v>255</v>
      </c>
      <c r="DU18" t="s">
        <v>1046</v>
      </c>
      <c r="DV18" t="s">
        <v>1046</v>
      </c>
      <c r="DW18" t="s">
        <v>249</v>
      </c>
      <c r="DX18" t="s">
        <v>250</v>
      </c>
      <c r="DY18" t="s">
        <v>903</v>
      </c>
      <c r="DZ18" t="s">
        <v>903</v>
      </c>
      <c r="EA18" t="s">
        <v>903</v>
      </c>
      <c r="ED18" t="s">
        <v>1077</v>
      </c>
      <c r="EE18" t="s">
        <v>245</v>
      </c>
      <c r="EF18" t="s">
        <v>245</v>
      </c>
      <c r="EG18" t="s">
        <v>891</v>
      </c>
      <c r="EH18" t="s">
        <v>891</v>
      </c>
      <c r="EI18" t="s">
        <v>891</v>
      </c>
      <c r="EJ18" t="s">
        <v>891</v>
      </c>
      <c r="EK18" t="s">
        <v>772</v>
      </c>
      <c r="EL18" t="s">
        <v>772</v>
      </c>
      <c r="EM18" t="s">
        <v>772</v>
      </c>
      <c r="EN18" t="s">
        <v>772</v>
      </c>
      <c r="EO18" t="s">
        <v>772</v>
      </c>
      <c r="EP18" t="s">
        <v>772</v>
      </c>
      <c r="EQ18" t="s">
        <v>772</v>
      </c>
      <c r="ER18" t="s">
        <v>772</v>
      </c>
      <c r="ES18" t="s">
        <v>772</v>
      </c>
      <c r="ET18" t="s">
        <v>772</v>
      </c>
      <c r="EU18" t="s">
        <v>772</v>
      </c>
      <c r="EV18" t="s">
        <v>772</v>
      </c>
      <c r="EW18" t="s">
        <v>772</v>
      </c>
      <c r="EX18" t="s">
        <v>772</v>
      </c>
      <c r="EY18" t="s">
        <v>772</v>
      </c>
      <c r="EZ18" t="s">
        <v>772</v>
      </c>
      <c r="FA18" t="s">
        <v>772</v>
      </c>
      <c r="FB18" t="s">
        <v>772</v>
      </c>
      <c r="FC18" t="s">
        <v>772</v>
      </c>
      <c r="FD18" t="s">
        <v>772</v>
      </c>
      <c r="FE18" t="s">
        <v>772</v>
      </c>
      <c r="FG18" t="s">
        <v>138</v>
      </c>
      <c r="FH18" t="s">
        <v>776</v>
      </c>
      <c r="FI18" t="s">
        <v>1047</v>
      </c>
      <c r="FM18" t="str">
        <f t="shared" si="0"/>
        <v xml:space="preserve">    &lt;route id="Router3_17" edges="-gneE80.0 -gneE80.17 -gneE41 gneE44 -388756838#2 -388756838#1 -388756838#0 42706817#0 386547310 gneE69 -388756838#2 -388756838#1 -388756838#0 -388756839#1 -388756839#0 -194358837#2 -194358837#0 194358838#0 194358838#1 194358838#2 194358838#3 387422145#0 387422145#3 386995499#0 386995499#2 -51155368#13 -51155368#10 -51155368#7 121319040#0 121319040#1 386995507#0 386995507#1 386995507#2 386995507#3 12182281#7 42706837#0 42706837#1 42706837#2 42706837#3 43357814#2 43357814#3 386995526#0 386995526#1 -51050425#4 -51050425#3 -51050425#2 12162659#0 12162659#1 -12175537#4 -12175537#3 -12175537#2 -12175537#1 -50033059#3 -50033059#2 -386995514#7 -12199713#2 12177498 42706833#2 51155368#0 -50033558#5 -50033558#3 -50033558#2 -62105579 -32121234#1 -32121234#0 42706874#0 42706874#2 55179414#0 55179413#0 424769182 -450827405#2 -450827400#2 -450827382 -450827385#1 -450827391#1 -450827381 -450827397#1 12180696#0 59435515#1 59435515#2 59435515#3 59435515#4 424801338#1 12117702#0 12117702#4 12117702#7 -32121146#3 12202008#2.0 12202008#2.171 62646499#2 450827424#0 450827405#0 262962062 -55179413#2 12187610#0 12187610#2 12187610#3 -62105579 12186909#0 12186909#1 12186909#2 51155368#11 42706831#0 42706831#4 42706831#5 42706831#6 32121234#0 32121234#1 32121234#2 50033558#2 50033558#3 50033558#4 50033558#6 50033058#0 386995514#9 386995486#0 32121111#11 -12177521#0 -121319040#0 -51155368#5 -50033558#5 -50033558#3 -12188656 -121319046 -42706825#7 -42706825#4 -42706825#3 -42706825#1 -484953510#2 -484953510#1 -484953510#0 gneE37 gneE38 -12159761#2 -12159761#1 -12159761#0 12114363#0 12114363#1 -50033059#4 12175537#0 12175537#2 12175537#3 12175537#4 12175537#5 12175537#6 12175537#7 12175537#8 12175537#9 12154359#6 386995531#1 12174155#0 -12175537#10 -12175537#9 -12175537#8 -12175537#7 12152013#3 12167232#3 386995531#0 12154359#7 101350669 -386995537 -386995526#1 -386995526#0 -43357814#3 -43357814#2 42706837#4 42706837#5 42706837#6 42706837#7 42706837#8 42706837#9 12172918#0 12172918#1 12172918#2 gneE73 gneE75.0 -gneE80.17 -gneE41 gneE44 -388756838#2 -388756838#1 -388756838#0 42706817#0 386547310 gneE69 -gneE44 gneE41 gneE80.0 gneE80.125"/&gt;</v>
      </c>
      <c r="FN18" t="s">
        <v>2516</v>
      </c>
      <c r="FO18" t="s">
        <v>1106</v>
      </c>
      <c r="FP18" t="s">
        <v>2535</v>
      </c>
    </row>
    <row r="19" spans="1:172" x14ac:dyDescent="0.25">
      <c r="A19" t="s">
        <v>856</v>
      </c>
      <c r="B19" t="s">
        <v>14</v>
      </c>
      <c r="C19" t="s">
        <v>14</v>
      </c>
      <c r="D19" t="s">
        <v>14</v>
      </c>
      <c r="E19" t="s">
        <v>14</v>
      </c>
      <c r="F19" t="s">
        <v>14</v>
      </c>
      <c r="G19" t="s">
        <v>14</v>
      </c>
      <c r="H19" t="s">
        <v>14</v>
      </c>
      <c r="I19" t="s">
        <v>14</v>
      </c>
      <c r="J19" t="s">
        <v>14</v>
      </c>
      <c r="K19" t="s">
        <v>14</v>
      </c>
      <c r="L19" t="s">
        <v>14</v>
      </c>
      <c r="M19" t="s">
        <v>14</v>
      </c>
      <c r="N19" t="s">
        <v>14</v>
      </c>
      <c r="O19" t="s">
        <v>14</v>
      </c>
      <c r="P19" t="s">
        <v>14</v>
      </c>
      <c r="Q19" t="s">
        <v>14</v>
      </c>
      <c r="R19" t="s">
        <v>14</v>
      </c>
      <c r="S19" t="s">
        <v>14</v>
      </c>
      <c r="T19" t="s">
        <v>14</v>
      </c>
      <c r="U19" t="s">
        <v>14</v>
      </c>
      <c r="V19" t="s">
        <v>14</v>
      </c>
      <c r="W19" t="s">
        <v>14</v>
      </c>
      <c r="X19" t="s">
        <v>14</v>
      </c>
      <c r="Y19" t="s">
        <v>14</v>
      </c>
      <c r="Z19" t="s">
        <v>14</v>
      </c>
      <c r="AA19" t="s">
        <v>1015</v>
      </c>
      <c r="AB19" t="s">
        <v>1015</v>
      </c>
      <c r="AC19" t="s">
        <v>1015</v>
      </c>
      <c r="AD19" t="s">
        <v>1015</v>
      </c>
      <c r="AE19" t="s">
        <v>1015</v>
      </c>
      <c r="AF19" t="s">
        <v>156</v>
      </c>
      <c r="AG19" t="s">
        <v>1</v>
      </c>
      <c r="AH19" t="s">
        <v>1</v>
      </c>
      <c r="AI19" t="s">
        <v>161</v>
      </c>
      <c r="AN19" t="s">
        <v>205</v>
      </c>
      <c r="AO19" t="s">
        <v>448</v>
      </c>
      <c r="AP19" t="s">
        <v>183</v>
      </c>
      <c r="AQ19" t="s">
        <v>183</v>
      </c>
      <c r="AR19" t="s">
        <v>344</v>
      </c>
      <c r="AS19" t="s">
        <v>461</v>
      </c>
      <c r="AV19" t="s">
        <v>181</v>
      </c>
      <c r="AW19" t="s">
        <v>493</v>
      </c>
      <c r="AX19" t="s">
        <v>891</v>
      </c>
      <c r="AY19" t="s">
        <v>772</v>
      </c>
      <c r="AZ19" t="s">
        <v>772</v>
      </c>
      <c r="BA19" t="s">
        <v>772</v>
      </c>
      <c r="BB19" t="s">
        <v>233</v>
      </c>
      <c r="BC19" t="s">
        <v>231</v>
      </c>
      <c r="BD19" t="s">
        <v>469</v>
      </c>
      <c r="BF19" t="s">
        <v>239</v>
      </c>
      <c r="BG19" t="s">
        <v>35</v>
      </c>
      <c r="BH19" t="s">
        <v>35</v>
      </c>
      <c r="BI19" t="s">
        <v>35</v>
      </c>
      <c r="BJ19" t="s">
        <v>35</v>
      </c>
      <c r="BK19" t="s">
        <v>232</v>
      </c>
      <c r="BL19" t="s">
        <v>230</v>
      </c>
      <c r="BM19" t="s">
        <v>308</v>
      </c>
      <c r="BN19" t="s">
        <v>308</v>
      </c>
      <c r="BO19" t="s">
        <v>308</v>
      </c>
      <c r="BP19" t="s">
        <v>692</v>
      </c>
      <c r="BQ19" t="s">
        <v>692</v>
      </c>
      <c r="BR19" t="s">
        <v>692</v>
      </c>
      <c r="BS19" t="s">
        <v>356</v>
      </c>
      <c r="BT19" t="s">
        <v>356</v>
      </c>
      <c r="BU19" t="s">
        <v>356</v>
      </c>
      <c r="BV19" t="s">
        <v>356</v>
      </c>
      <c r="BW19" t="s">
        <v>356</v>
      </c>
      <c r="BX19" t="s">
        <v>356</v>
      </c>
      <c r="BY19" t="s">
        <v>449</v>
      </c>
      <c r="BZ19" t="s">
        <v>449</v>
      </c>
      <c r="CA19" t="s">
        <v>449</v>
      </c>
      <c r="CB19" t="s">
        <v>449</v>
      </c>
      <c r="CC19" t="s">
        <v>449</v>
      </c>
      <c r="CD19" t="s">
        <v>449</v>
      </c>
      <c r="CF19" t="s">
        <v>1041</v>
      </c>
      <c r="CG19" t="s">
        <v>1041</v>
      </c>
      <c r="CH19" t="s">
        <v>1041</v>
      </c>
      <c r="CI19" t="s">
        <v>1041</v>
      </c>
      <c r="CJ19" t="s">
        <v>1041</v>
      </c>
      <c r="CK19" t="s">
        <v>1041</v>
      </c>
      <c r="CL19" t="s">
        <v>1041</v>
      </c>
      <c r="CM19" t="s">
        <v>1041</v>
      </c>
      <c r="CN19" t="s">
        <v>1041</v>
      </c>
      <c r="CO19" t="s">
        <v>1041</v>
      </c>
      <c r="CP19" t="s">
        <v>1041</v>
      </c>
      <c r="CQ19" t="s">
        <v>1041</v>
      </c>
      <c r="CR19" t="s">
        <v>1041</v>
      </c>
      <c r="CS19" t="s">
        <v>1041</v>
      </c>
      <c r="CT19" t="s">
        <v>1041</v>
      </c>
      <c r="CU19" t="s">
        <v>1041</v>
      </c>
      <c r="CV19" t="s">
        <v>1041</v>
      </c>
      <c r="CW19" t="s">
        <v>518</v>
      </c>
      <c r="CX19" t="s">
        <v>494</v>
      </c>
      <c r="CY19" t="s">
        <v>494</v>
      </c>
      <c r="CZ19" t="s">
        <v>494</v>
      </c>
      <c r="DA19" t="s">
        <v>494</v>
      </c>
      <c r="DB19" t="s">
        <v>494</v>
      </c>
      <c r="DC19" t="s">
        <v>494</v>
      </c>
      <c r="DD19" t="s">
        <v>494</v>
      </c>
      <c r="DE19" t="s">
        <v>494</v>
      </c>
      <c r="DF19" t="s">
        <v>887</v>
      </c>
      <c r="DG19" t="s">
        <v>887</v>
      </c>
      <c r="DH19" t="s">
        <v>887</v>
      </c>
      <c r="DI19" t="s">
        <v>887</v>
      </c>
      <c r="DJ19" t="s">
        <v>887</v>
      </c>
      <c r="DK19" t="s">
        <v>887</v>
      </c>
      <c r="DL19" t="s">
        <v>887</v>
      </c>
      <c r="DM19" t="s">
        <v>887</v>
      </c>
      <c r="DN19" t="s">
        <v>887</v>
      </c>
      <c r="DO19" t="s">
        <v>887</v>
      </c>
      <c r="DP19" t="s">
        <v>489</v>
      </c>
      <c r="DQ19" t="s">
        <v>489</v>
      </c>
      <c r="DR19" t="s">
        <v>489</v>
      </c>
      <c r="DS19" t="s">
        <v>489</v>
      </c>
      <c r="DT19" t="s">
        <v>256</v>
      </c>
      <c r="DU19" t="s">
        <v>1047</v>
      </c>
      <c r="DV19" t="s">
        <v>1047</v>
      </c>
      <c r="DW19" t="s">
        <v>250</v>
      </c>
      <c r="DX19" t="s">
        <v>251</v>
      </c>
      <c r="DY19" t="s">
        <v>1071</v>
      </c>
      <c r="DZ19" t="s">
        <v>1071</v>
      </c>
      <c r="EA19" t="s">
        <v>1074</v>
      </c>
      <c r="ED19" t="s">
        <v>869</v>
      </c>
      <c r="EE19" t="s">
        <v>821</v>
      </c>
      <c r="EF19" t="s">
        <v>821</v>
      </c>
      <c r="EG19" t="s">
        <v>892</v>
      </c>
      <c r="EH19" t="s">
        <v>892</v>
      </c>
      <c r="EI19" t="s">
        <v>892</v>
      </c>
      <c r="EJ19" t="s">
        <v>892</v>
      </c>
      <c r="EK19" t="s">
        <v>900</v>
      </c>
      <c r="EL19" t="s">
        <v>900</v>
      </c>
      <c r="EM19" t="s">
        <v>900</v>
      </c>
      <c r="EN19" t="s">
        <v>900</v>
      </c>
      <c r="EO19" t="s">
        <v>900</v>
      </c>
      <c r="EP19" t="s">
        <v>900</v>
      </c>
      <c r="EQ19" t="s">
        <v>900</v>
      </c>
      <c r="ER19" t="s">
        <v>900</v>
      </c>
      <c r="ES19" t="s">
        <v>900</v>
      </c>
      <c r="ET19" t="s">
        <v>900</v>
      </c>
      <c r="EU19" t="s">
        <v>900</v>
      </c>
      <c r="EV19" t="s">
        <v>900</v>
      </c>
      <c r="EW19" t="s">
        <v>900</v>
      </c>
      <c r="EX19" t="s">
        <v>900</v>
      </c>
      <c r="EY19" t="s">
        <v>900</v>
      </c>
      <c r="EZ19" t="s">
        <v>900</v>
      </c>
      <c r="FA19" t="s">
        <v>900</v>
      </c>
      <c r="FB19" t="s">
        <v>900</v>
      </c>
      <c r="FC19" t="s">
        <v>900</v>
      </c>
      <c r="FD19" t="s">
        <v>900</v>
      </c>
      <c r="FE19" t="s">
        <v>900</v>
      </c>
      <c r="FG19" t="s">
        <v>139</v>
      </c>
      <c r="FH19" t="s">
        <v>905</v>
      </c>
      <c r="FI19" t="s">
        <v>783</v>
      </c>
      <c r="FM19" t="str">
        <f t="shared" si="0"/>
        <v xml:space="preserve">    &lt;route id="Router3_18" edges="-gneE80.0 -gneE80.17 -gneE41 gneE44 -388756838#2 -388756838#1 -388756838#0 42706817#0 386547310 gneE69 -388756838#2 -388756838#1 -388756838#0 -388756839#1 -388756839#0 -194358837#2 -194358837#0 194358838#0 194358838#1 194358838#2 194358838#3 387422145#0 387422145#3 386995499#0 386995499#2 -51155368#13 -51155368#10 -51155368#7 121319040#0 121319040#1 386995507#0 386995507#1 386995507#2 386995507#3 12182281#7 42706837#0 42706837#1 42706837#2 42706837#3 43357814#2 43357814#3 386995526#0 386995526#1 -51050425#4 -51050425#3 -51050425#2 12162659#0 12162659#1 -12175537#4 -12175537#3 -12175537#2 -12175537#1 -50033059#3 -50033059#2 -386995514#7 -12199713#2 12177498 42706833#2 51155368#0 -50033558#5 -50033558#3 -50033558#2 -62105579 -32121234#1 -32121234#0 42706874#0 42706874#2 55179414#0 55179413#0 424769182 -450827405#2 -450827400#2 -450827382 -450827385#1 -450827391#1 -450827381 -450827397#1 12180696#0 59435515#1 59435515#2 59435515#3 59435515#4 424801338#1 12117702#0 12117702#4 12117702#7 -32121146#3 12202008#2.0 12202008#2.171 62646499#2 450827424#0 450827405#0 262962062 -55179413#2 12187610#0 12187610#2 12187610#3 -62105579 12186909#0 12186909#1 12186909#2 51155368#11 42706831#0 42706831#4 42706831#5 42706831#6 32121234#0 32121234#1 32121234#2 50033558#2 50033558#3 50033558#4 50033558#6 50033058#0 386995514#9 386995486#0 32121111#11 -12177521#0 -121319040#0 -51155368#5 -50033558#5 -50033558#3 -12188656 -121319046 -42706825#7 -42706825#4 -42706825#3 -42706825#1 -484953510#2 -484953510#1 -484953510#0 gneE37 gneE38 -12159761#2 -12159761#1 -12159761#0 12114363#0 12114363#1 -50033059#4 12175537#0 12175537#2 12175537#3 12175537#4 12175537#5 12175537#6 12175537#7 12175537#8 12175537#9 12154359#6 386995531#1 12174155#0 -12175537#10 -12175537#9 -12175537#8 -12175537#7 12152013#3 12167232#3 386995531#0 12154359#7 101350669 -386995537 -386995526#1 -386995526#0 -43357814#3 -43357814#2 42706837#4 42706837#5 42706837#6 42706837#7 42706837#8 42706837#9 12172918#0 12172918#1 12172918#2 gneE73 gneE75.0 gneE80.125"/&gt;</v>
      </c>
      <c r="FN19" t="s">
        <v>2516</v>
      </c>
      <c r="FO19" t="s">
        <v>1107</v>
      </c>
      <c r="FP19" t="s">
        <v>2536</v>
      </c>
    </row>
    <row r="20" spans="1:172" x14ac:dyDescent="0.25">
      <c r="A20" t="s">
        <v>857</v>
      </c>
      <c r="B20" t="s">
        <v>15</v>
      </c>
      <c r="C20" t="s">
        <v>15</v>
      </c>
      <c r="D20" t="s">
        <v>15</v>
      </c>
      <c r="E20" t="s">
        <v>15</v>
      </c>
      <c r="F20" t="s">
        <v>15</v>
      </c>
      <c r="G20" t="s">
        <v>15</v>
      </c>
      <c r="H20" t="s">
        <v>15</v>
      </c>
      <c r="I20" t="s">
        <v>15</v>
      </c>
      <c r="J20" t="s">
        <v>15</v>
      </c>
      <c r="K20" t="s">
        <v>15</v>
      </c>
      <c r="L20" t="s">
        <v>15</v>
      </c>
      <c r="M20" t="s">
        <v>15</v>
      </c>
      <c r="N20" t="s">
        <v>15</v>
      </c>
      <c r="O20" t="s">
        <v>15</v>
      </c>
      <c r="P20" t="s">
        <v>15</v>
      </c>
      <c r="Q20" t="s">
        <v>15</v>
      </c>
      <c r="R20" t="s">
        <v>15</v>
      </c>
      <c r="S20" t="s">
        <v>15</v>
      </c>
      <c r="T20" t="s">
        <v>15</v>
      </c>
      <c r="U20" t="s">
        <v>15</v>
      </c>
      <c r="V20" t="s">
        <v>15</v>
      </c>
      <c r="W20" t="s">
        <v>15</v>
      </c>
      <c r="X20" t="s">
        <v>15</v>
      </c>
      <c r="Y20" t="s">
        <v>15</v>
      </c>
      <c r="Z20" t="s">
        <v>15</v>
      </c>
      <c r="AA20" t="s">
        <v>835</v>
      </c>
      <c r="AB20" t="s">
        <v>835</v>
      </c>
      <c r="AC20" t="s">
        <v>835</v>
      </c>
      <c r="AD20" t="s">
        <v>835</v>
      </c>
      <c r="AE20" t="s">
        <v>835</v>
      </c>
      <c r="AF20" t="s">
        <v>840</v>
      </c>
      <c r="AG20" t="s">
        <v>2</v>
      </c>
      <c r="AH20" t="s">
        <v>2</v>
      </c>
      <c r="AN20" t="s">
        <v>191</v>
      </c>
      <c r="AO20" t="s">
        <v>569</v>
      </c>
      <c r="AP20" t="s">
        <v>445</v>
      </c>
      <c r="AQ20" t="s">
        <v>445</v>
      </c>
      <c r="AR20" t="s">
        <v>345</v>
      </c>
      <c r="AS20" t="s">
        <v>520</v>
      </c>
      <c r="AV20" t="s">
        <v>182</v>
      </c>
      <c r="AW20" t="s">
        <v>1041</v>
      </c>
      <c r="AX20" t="s">
        <v>892</v>
      </c>
      <c r="AY20" t="s">
        <v>900</v>
      </c>
      <c r="AZ20" t="s">
        <v>900</v>
      </c>
      <c r="BA20" t="s">
        <v>900</v>
      </c>
      <c r="BB20" t="s">
        <v>239</v>
      </c>
      <c r="BC20" t="s">
        <v>232</v>
      </c>
      <c r="BD20" t="s">
        <v>461</v>
      </c>
      <c r="BG20" t="s">
        <v>36</v>
      </c>
      <c r="BH20" t="s">
        <v>36</v>
      </c>
      <c r="BI20" t="s">
        <v>36</v>
      </c>
      <c r="BJ20" t="s">
        <v>36</v>
      </c>
      <c r="BK20" t="s">
        <v>233</v>
      </c>
      <c r="BL20" t="s">
        <v>231</v>
      </c>
      <c r="BM20" t="s">
        <v>687</v>
      </c>
      <c r="BN20" t="s">
        <v>687</v>
      </c>
      <c r="BO20" t="s">
        <v>687</v>
      </c>
      <c r="BP20" t="s">
        <v>693</v>
      </c>
      <c r="BQ20" t="s">
        <v>693</v>
      </c>
      <c r="BR20" t="s">
        <v>693</v>
      </c>
      <c r="BS20" t="s">
        <v>261</v>
      </c>
      <c r="BT20" t="s">
        <v>261</v>
      </c>
      <c r="BU20" t="s">
        <v>261</v>
      </c>
      <c r="BV20" t="s">
        <v>261</v>
      </c>
      <c r="BW20" t="s">
        <v>261</v>
      </c>
      <c r="BX20" t="s">
        <v>261</v>
      </c>
      <c r="BY20" t="s">
        <v>112</v>
      </c>
      <c r="BZ20" t="s">
        <v>112</v>
      </c>
      <c r="CA20" t="s">
        <v>112</v>
      </c>
      <c r="CB20" t="s">
        <v>112</v>
      </c>
      <c r="CC20" t="s">
        <v>112</v>
      </c>
      <c r="CD20" t="s">
        <v>112</v>
      </c>
      <c r="CF20" t="s">
        <v>729</v>
      </c>
      <c r="CG20" t="s">
        <v>729</v>
      </c>
      <c r="CH20" t="s">
        <v>729</v>
      </c>
      <c r="CI20" t="s">
        <v>729</v>
      </c>
      <c r="CJ20" t="s">
        <v>729</v>
      </c>
      <c r="CK20" t="s">
        <v>729</v>
      </c>
      <c r="CL20" t="s">
        <v>729</v>
      </c>
      <c r="CM20" t="s">
        <v>729</v>
      </c>
      <c r="CN20" t="s">
        <v>729</v>
      </c>
      <c r="CO20" t="s">
        <v>729</v>
      </c>
      <c r="CP20" t="s">
        <v>729</v>
      </c>
      <c r="CQ20" t="s">
        <v>729</v>
      </c>
      <c r="CR20" t="s">
        <v>729</v>
      </c>
      <c r="CS20" t="s">
        <v>729</v>
      </c>
      <c r="CT20" t="s">
        <v>729</v>
      </c>
      <c r="CU20" t="s">
        <v>729</v>
      </c>
      <c r="CV20" t="s">
        <v>729</v>
      </c>
      <c r="CW20" t="s">
        <v>519</v>
      </c>
      <c r="CX20" t="s">
        <v>395</v>
      </c>
      <c r="CY20" t="s">
        <v>395</v>
      </c>
      <c r="CZ20" t="s">
        <v>395</v>
      </c>
      <c r="DA20" t="s">
        <v>495</v>
      </c>
      <c r="DB20" t="s">
        <v>495</v>
      </c>
      <c r="DC20" t="s">
        <v>495</v>
      </c>
      <c r="DD20" t="s">
        <v>495</v>
      </c>
      <c r="DE20" t="s">
        <v>495</v>
      </c>
      <c r="DF20" t="s">
        <v>888</v>
      </c>
      <c r="DG20" t="s">
        <v>888</v>
      </c>
      <c r="DH20" t="s">
        <v>888</v>
      </c>
      <c r="DI20" t="s">
        <v>888</v>
      </c>
      <c r="DJ20" t="s">
        <v>888</v>
      </c>
      <c r="DK20" t="s">
        <v>888</v>
      </c>
      <c r="DL20" t="s">
        <v>888</v>
      </c>
      <c r="DM20" t="s">
        <v>888</v>
      </c>
      <c r="DN20" t="s">
        <v>888</v>
      </c>
      <c r="DO20" t="s">
        <v>888</v>
      </c>
      <c r="DP20" t="s">
        <v>120</v>
      </c>
      <c r="DQ20" t="s">
        <v>120</v>
      </c>
      <c r="DR20" t="s">
        <v>120</v>
      </c>
      <c r="DS20" t="s">
        <v>120</v>
      </c>
      <c r="DT20" t="s">
        <v>257</v>
      </c>
      <c r="DU20" t="s">
        <v>783</v>
      </c>
      <c r="DV20" t="s">
        <v>783</v>
      </c>
      <c r="DW20" t="s">
        <v>251</v>
      </c>
      <c r="DX20" t="s">
        <v>252</v>
      </c>
      <c r="DY20" t="s">
        <v>1072</v>
      </c>
      <c r="DZ20" t="s">
        <v>1072</v>
      </c>
      <c r="EA20" t="s">
        <v>890</v>
      </c>
      <c r="ED20" t="s">
        <v>870</v>
      </c>
      <c r="EE20" t="s">
        <v>822</v>
      </c>
      <c r="EF20" t="s">
        <v>822</v>
      </c>
      <c r="EG20" t="s">
        <v>893</v>
      </c>
      <c r="EH20" t="s">
        <v>893</v>
      </c>
      <c r="EI20" t="s">
        <v>893</v>
      </c>
      <c r="EJ20" t="s">
        <v>893</v>
      </c>
      <c r="EK20" t="s">
        <v>901</v>
      </c>
      <c r="EL20" t="s">
        <v>901</v>
      </c>
      <c r="EM20" t="s">
        <v>907</v>
      </c>
      <c r="EN20" t="s">
        <v>907</v>
      </c>
      <c r="EO20" t="s">
        <v>907</v>
      </c>
      <c r="EP20" t="s">
        <v>907</v>
      </c>
      <c r="EQ20" t="s">
        <v>907</v>
      </c>
      <c r="ER20" t="s">
        <v>907</v>
      </c>
      <c r="ES20" t="s">
        <v>907</v>
      </c>
      <c r="ET20" t="s">
        <v>907</v>
      </c>
      <c r="EU20" t="s">
        <v>907</v>
      </c>
      <c r="EV20" t="s">
        <v>907</v>
      </c>
      <c r="EW20" t="s">
        <v>907</v>
      </c>
      <c r="EX20" t="s">
        <v>907</v>
      </c>
      <c r="EY20" t="s">
        <v>907</v>
      </c>
      <c r="EZ20" t="s">
        <v>907</v>
      </c>
      <c r="FA20" t="s">
        <v>907</v>
      </c>
      <c r="FB20" t="s">
        <v>907</v>
      </c>
      <c r="FC20" t="s">
        <v>907</v>
      </c>
      <c r="FD20" t="s">
        <v>907</v>
      </c>
      <c r="FE20" t="s">
        <v>907</v>
      </c>
      <c r="FG20" t="s">
        <v>140</v>
      </c>
      <c r="FH20" t="s">
        <v>798</v>
      </c>
      <c r="FI20" t="s">
        <v>777</v>
      </c>
      <c r="FM20" t="str">
        <f t="shared" si="0"/>
        <v xml:space="preserve">    &lt;route id="Router3_19" edges="-gneE80.0 -gneE80.17 -gneE41 gneE44 -388756838#2 -388756838#1 -388756838#0 42706817#0 386547310 gneE69 -388756838#2 -388756838#1 -388756838#0 -388756839#1 -388756839#0 -194358837#2 -194358837#0 194358838#0 194358838#1 194358838#2 194358838#3 387422145#0 387422145#3 386995499#0 386995499#2 42706831#0 42706831#4 42706831#5 42706831#6 42706874#0 42706874#2 -424080769#1 -424769177 -386547298#1 -424080767#1 -424080771#1 -386547297#1 -424080772#2 -424080772#1 -424080761#1 -62623960 62623959#0 386547296#0 386547296#1 424080773#0 -424080768#1 -424080766 -104526265#1 30953497#0 30953497#2 30953497#3 42706585#0 42706585#1 30953320 30953320-AddedOffRampEdge 104526277 30953215#1-AddedOnRampEdge 30953215#1 121643865#0 12110705 50715233#0 50715233#0-AddedOffRampEdge 50715233#1.0 62203285#14.24 30908387 30908366#1-AddedOnRampEdge 30908366#1 121643863 121643862 51758697#0 51758697#1-AddedOnRampEdge 51758697#1 -gneE46.0 43357850.4841.18 gneE46 49887339#0.596 49887339#0-AddedOffRampEdge 49887339#1 49887339#1-AddedOffRampEdge 104524021 104524021-AddedOffRampEdge 50192637#0 50192637#1-AddedOnRampEdge 50192637#1.0.0 50192637#1.0.382.0.0 50192637#1.697 50192637#1-AddedOffRampEdge 30953181#1 30953181#2-AddedOnRampEdge 30953181#2 30953181#3-AddedOnRampEdge 30953181#3 30953181#3-AddedOffRampEdge 30952933#1.0 30952933#1.199"/&gt;</v>
      </c>
      <c r="FN20" t="s">
        <v>2516</v>
      </c>
      <c r="FO20" t="s">
        <v>1108</v>
      </c>
      <c r="FP20" t="s">
        <v>2537</v>
      </c>
    </row>
    <row r="21" spans="1:172" x14ac:dyDescent="0.25">
      <c r="A21" t="s">
        <v>55</v>
      </c>
      <c r="B21" t="s">
        <v>16</v>
      </c>
      <c r="C21" t="s">
        <v>16</v>
      </c>
      <c r="D21" t="s">
        <v>16</v>
      </c>
      <c r="E21" t="s">
        <v>16</v>
      </c>
      <c r="F21" t="s">
        <v>16</v>
      </c>
      <c r="G21" t="s">
        <v>16</v>
      </c>
      <c r="H21" t="s">
        <v>16</v>
      </c>
      <c r="I21" t="s">
        <v>16</v>
      </c>
      <c r="J21" t="s">
        <v>16</v>
      </c>
      <c r="K21" t="s">
        <v>16</v>
      </c>
      <c r="L21" t="s">
        <v>16</v>
      </c>
      <c r="M21" t="s">
        <v>16</v>
      </c>
      <c r="N21" t="s">
        <v>16</v>
      </c>
      <c r="O21" t="s">
        <v>16</v>
      </c>
      <c r="P21" t="s">
        <v>16</v>
      </c>
      <c r="Q21" t="s">
        <v>16</v>
      </c>
      <c r="R21" t="s">
        <v>16</v>
      </c>
      <c r="S21" t="s">
        <v>16</v>
      </c>
      <c r="T21" t="s">
        <v>16</v>
      </c>
      <c r="U21" t="s">
        <v>16</v>
      </c>
      <c r="V21" t="s">
        <v>162</v>
      </c>
      <c r="W21" t="s">
        <v>162</v>
      </c>
      <c r="X21" t="s">
        <v>162</v>
      </c>
      <c r="Y21" t="s">
        <v>162</v>
      </c>
      <c r="Z21" t="s">
        <v>162</v>
      </c>
      <c r="AA21" t="s">
        <v>836</v>
      </c>
      <c r="AB21" t="s">
        <v>836</v>
      </c>
      <c r="AC21" t="s">
        <v>836</v>
      </c>
      <c r="AD21" t="s">
        <v>836</v>
      </c>
      <c r="AE21" t="s">
        <v>836</v>
      </c>
      <c r="AF21" t="s">
        <v>431</v>
      </c>
      <c r="AG21" t="s">
        <v>3</v>
      </c>
      <c r="AH21" t="s">
        <v>3</v>
      </c>
      <c r="AN21" t="s">
        <v>534</v>
      </c>
      <c r="AO21" t="s">
        <v>721</v>
      </c>
      <c r="AP21" t="s">
        <v>446</v>
      </c>
      <c r="AQ21" t="s">
        <v>446</v>
      </c>
      <c r="AR21" t="s">
        <v>346</v>
      </c>
      <c r="AS21" t="s">
        <v>460</v>
      </c>
      <c r="AV21" t="s">
        <v>183</v>
      </c>
      <c r="AW21" t="s">
        <v>729</v>
      </c>
      <c r="AX21" t="s">
        <v>893</v>
      </c>
      <c r="AY21" t="s">
        <v>907</v>
      </c>
      <c r="AZ21" t="s">
        <v>907</v>
      </c>
      <c r="BA21" t="s">
        <v>907</v>
      </c>
      <c r="BC21" t="s">
        <v>233</v>
      </c>
      <c r="BD21" t="s">
        <v>520</v>
      </c>
      <c r="BG21" t="s">
        <v>37</v>
      </c>
      <c r="BH21" t="s">
        <v>37</v>
      </c>
      <c r="BI21" t="s">
        <v>37</v>
      </c>
      <c r="BJ21" t="s">
        <v>37</v>
      </c>
      <c r="BK21" t="s">
        <v>239</v>
      </c>
      <c r="BL21" t="s">
        <v>232</v>
      </c>
      <c r="BM21" t="s">
        <v>559</v>
      </c>
      <c r="BN21" t="s">
        <v>559</v>
      </c>
      <c r="BO21" t="s">
        <v>559</v>
      </c>
      <c r="BP21" t="s">
        <v>694</v>
      </c>
      <c r="BQ21" t="s">
        <v>694</v>
      </c>
      <c r="BR21" t="s">
        <v>694</v>
      </c>
      <c r="BS21" t="s">
        <v>262</v>
      </c>
      <c r="BT21" t="s">
        <v>262</v>
      </c>
      <c r="BU21" t="s">
        <v>262</v>
      </c>
      <c r="BV21" t="s">
        <v>262</v>
      </c>
      <c r="BW21" t="s">
        <v>262</v>
      </c>
      <c r="BX21" t="s">
        <v>262</v>
      </c>
      <c r="BY21" t="s">
        <v>113</v>
      </c>
      <c r="BZ21" t="s">
        <v>113</v>
      </c>
      <c r="CA21" t="s">
        <v>113</v>
      </c>
      <c r="CB21" t="s">
        <v>113</v>
      </c>
      <c r="CC21" t="s">
        <v>113</v>
      </c>
      <c r="CD21" t="s">
        <v>113</v>
      </c>
      <c r="CF21" t="s">
        <v>222</v>
      </c>
      <c r="CG21" t="s">
        <v>222</v>
      </c>
      <c r="CH21" t="s">
        <v>222</v>
      </c>
      <c r="CI21" t="s">
        <v>222</v>
      </c>
      <c r="CJ21" t="s">
        <v>222</v>
      </c>
      <c r="CK21" t="s">
        <v>222</v>
      </c>
      <c r="CL21" t="s">
        <v>222</v>
      </c>
      <c r="CM21" t="s">
        <v>494</v>
      </c>
      <c r="CN21" t="s">
        <v>494</v>
      </c>
      <c r="CO21" t="s">
        <v>494</v>
      </c>
      <c r="CP21" t="s">
        <v>494</v>
      </c>
      <c r="CQ21" t="s">
        <v>494</v>
      </c>
      <c r="CR21" t="s">
        <v>494</v>
      </c>
      <c r="CS21" t="s">
        <v>494</v>
      </c>
      <c r="CT21" t="s">
        <v>494</v>
      </c>
      <c r="CU21" t="s">
        <v>494</v>
      </c>
      <c r="CV21" t="s">
        <v>494</v>
      </c>
      <c r="CW21" t="s">
        <v>401</v>
      </c>
      <c r="CX21" t="s">
        <v>396</v>
      </c>
      <c r="CY21" t="s">
        <v>396</v>
      </c>
      <c r="CZ21" t="s">
        <v>396</v>
      </c>
      <c r="DA21" t="s">
        <v>496</v>
      </c>
      <c r="DB21" t="s">
        <v>496</v>
      </c>
      <c r="DC21" t="s">
        <v>496</v>
      </c>
      <c r="DD21" t="s">
        <v>496</v>
      </c>
      <c r="DE21" t="s">
        <v>496</v>
      </c>
      <c r="DF21" t="s">
        <v>37</v>
      </c>
      <c r="DG21" t="s">
        <v>37</v>
      </c>
      <c r="DH21" t="s">
        <v>37</v>
      </c>
      <c r="DI21" t="s">
        <v>37</v>
      </c>
      <c r="DJ21" t="s">
        <v>37</v>
      </c>
      <c r="DK21" t="s">
        <v>37</v>
      </c>
      <c r="DL21" t="s">
        <v>37</v>
      </c>
      <c r="DM21" t="s">
        <v>37</v>
      </c>
      <c r="DN21" t="s">
        <v>37</v>
      </c>
      <c r="DO21" t="s">
        <v>37</v>
      </c>
      <c r="DP21" t="s">
        <v>1067</v>
      </c>
      <c r="DQ21" t="s">
        <v>1067</v>
      </c>
      <c r="DR21" t="s">
        <v>1067</v>
      </c>
      <c r="DS21" t="s">
        <v>121</v>
      </c>
      <c r="DT21" t="s">
        <v>258</v>
      </c>
      <c r="DU21" t="s">
        <v>777</v>
      </c>
      <c r="DV21" t="s">
        <v>777</v>
      </c>
      <c r="DW21" t="s">
        <v>252</v>
      </c>
      <c r="DX21" t="s">
        <v>253</v>
      </c>
      <c r="DY21" t="s">
        <v>1073</v>
      </c>
      <c r="DZ21" t="s">
        <v>1073</v>
      </c>
      <c r="EA21" t="s">
        <v>891</v>
      </c>
      <c r="ED21" t="s">
        <v>871</v>
      </c>
      <c r="EE21" t="s">
        <v>823</v>
      </c>
      <c r="EF21" t="s">
        <v>823</v>
      </c>
      <c r="EG21" t="s">
        <v>900</v>
      </c>
      <c r="EH21" t="s">
        <v>900</v>
      </c>
      <c r="EI21" t="s">
        <v>773</v>
      </c>
      <c r="EJ21" t="s">
        <v>773</v>
      </c>
      <c r="EK21" t="s">
        <v>906</v>
      </c>
      <c r="EL21" t="s">
        <v>906</v>
      </c>
      <c r="EM21" t="s">
        <v>779</v>
      </c>
      <c r="EN21" t="s">
        <v>779</v>
      </c>
      <c r="EO21" t="s">
        <v>779</v>
      </c>
      <c r="EP21" t="s">
        <v>779</v>
      </c>
      <c r="EQ21" t="s">
        <v>779</v>
      </c>
      <c r="ER21" t="s">
        <v>779</v>
      </c>
      <c r="ES21" t="s">
        <v>779</v>
      </c>
      <c r="ET21" t="s">
        <v>779</v>
      </c>
      <c r="EU21" t="s">
        <v>779</v>
      </c>
      <c r="EV21" t="s">
        <v>779</v>
      </c>
      <c r="EW21" t="s">
        <v>779</v>
      </c>
      <c r="EX21" t="s">
        <v>779</v>
      </c>
      <c r="EY21" t="s">
        <v>779</v>
      </c>
      <c r="EZ21" t="s">
        <v>779</v>
      </c>
      <c r="FA21" t="s">
        <v>779</v>
      </c>
      <c r="FB21" t="s">
        <v>779</v>
      </c>
      <c r="FC21" t="s">
        <v>779</v>
      </c>
      <c r="FD21" t="s">
        <v>779</v>
      </c>
      <c r="FE21" t="s">
        <v>779</v>
      </c>
      <c r="FG21" t="s">
        <v>141</v>
      </c>
      <c r="FH21" t="s">
        <v>247</v>
      </c>
      <c r="FI21" t="s">
        <v>784</v>
      </c>
      <c r="FM21" t="str">
        <f t="shared" si="0"/>
        <v xml:space="preserve">    &lt;route id="Router3_20" edges="-gneE80.0 -gneE80.17 -gneE41 gneE44 -388756838#2 -388756838#1 -388756838#0 42706817#0 386547310 gneE69 -388756838#2 -388756838#1 -388756838#0 -388756839#1 -388756839#0 -194358837#2 -194358837#0 194358838#0 194358838#1 194358838#2 386995479#2 310315797#2 12185366#9 387422145#0 -12157718#6 -12157718#4 -12157718#3 -12157718#2 -12157718#1 -12199713#4 -386995514#6 -386995514#5 -386995514#4 -386995514#3 -386995514#2 -386995514#1 12159500#1 12159500#2 51050030#7 gneE35 -gneE34.0 --gneE83.0"/&gt;</v>
      </c>
      <c r="FN21" t="s">
        <v>2516</v>
      </c>
      <c r="FO21" t="s">
        <v>1109</v>
      </c>
      <c r="FP21" t="s">
        <v>2538</v>
      </c>
    </row>
    <row r="22" spans="1:172" x14ac:dyDescent="0.25">
      <c r="A22" t="s">
        <v>56</v>
      </c>
      <c r="B22" t="s">
        <v>17</v>
      </c>
      <c r="C22" t="s">
        <v>17</v>
      </c>
      <c r="D22" t="s">
        <v>17</v>
      </c>
      <c r="E22" t="s">
        <v>17</v>
      </c>
      <c r="F22" t="s">
        <v>17</v>
      </c>
      <c r="G22" t="s">
        <v>17</v>
      </c>
      <c r="H22" t="s">
        <v>17</v>
      </c>
      <c r="I22" t="s">
        <v>17</v>
      </c>
      <c r="J22" t="s">
        <v>17</v>
      </c>
      <c r="K22" t="s">
        <v>17</v>
      </c>
      <c r="L22" t="s">
        <v>17</v>
      </c>
      <c r="M22" t="s">
        <v>17</v>
      </c>
      <c r="N22" t="s">
        <v>17</v>
      </c>
      <c r="O22" t="s">
        <v>17</v>
      </c>
      <c r="P22" t="s">
        <v>17</v>
      </c>
      <c r="Q22" t="s">
        <v>17</v>
      </c>
      <c r="R22" t="s">
        <v>17</v>
      </c>
      <c r="S22" t="s">
        <v>17</v>
      </c>
      <c r="T22" t="s">
        <v>142</v>
      </c>
      <c r="U22" t="s">
        <v>142</v>
      </c>
      <c r="V22" t="s">
        <v>855</v>
      </c>
      <c r="W22" t="s">
        <v>951</v>
      </c>
      <c r="X22" t="s">
        <v>951</v>
      </c>
      <c r="Y22" t="s">
        <v>951</v>
      </c>
      <c r="Z22" t="s">
        <v>951</v>
      </c>
      <c r="AA22" t="s">
        <v>654</v>
      </c>
      <c r="AB22" t="s">
        <v>654</v>
      </c>
      <c r="AC22" t="s">
        <v>654</v>
      </c>
      <c r="AD22" t="s">
        <v>426</v>
      </c>
      <c r="AE22" t="s">
        <v>426</v>
      </c>
      <c r="AF22" t="s">
        <v>159</v>
      </c>
      <c r="AG22" t="s">
        <v>4</v>
      </c>
      <c r="AH22" t="s">
        <v>4</v>
      </c>
      <c r="AO22" t="s">
        <v>449</v>
      </c>
      <c r="AP22" t="s">
        <v>447</v>
      </c>
      <c r="AQ22" t="s">
        <v>447</v>
      </c>
      <c r="AR22" t="s">
        <v>524</v>
      </c>
      <c r="AS22" t="s">
        <v>181</v>
      </c>
      <c r="AV22" t="s">
        <v>445</v>
      </c>
      <c r="AW22" t="s">
        <v>494</v>
      </c>
      <c r="AX22" t="s">
        <v>900</v>
      </c>
      <c r="AY22" t="s">
        <v>779</v>
      </c>
      <c r="AZ22" t="s">
        <v>779</v>
      </c>
      <c r="BA22" t="s">
        <v>779</v>
      </c>
      <c r="BC22" t="s">
        <v>239</v>
      </c>
      <c r="BD22" t="s">
        <v>460</v>
      </c>
      <c r="BG22" t="s">
        <v>889</v>
      </c>
      <c r="BH22" t="s">
        <v>889</v>
      </c>
      <c r="BI22" t="s">
        <v>889</v>
      </c>
      <c r="BJ22" t="s">
        <v>889</v>
      </c>
      <c r="BL22" t="s">
        <v>233</v>
      </c>
      <c r="BM22" t="s">
        <v>560</v>
      </c>
      <c r="BN22" t="s">
        <v>560</v>
      </c>
      <c r="BO22" t="s">
        <v>560</v>
      </c>
      <c r="BP22" t="s">
        <v>695</v>
      </c>
      <c r="BQ22" t="s">
        <v>695</v>
      </c>
      <c r="BR22" t="s">
        <v>695</v>
      </c>
      <c r="BS22" t="s">
        <v>357</v>
      </c>
      <c r="BT22" t="s">
        <v>357</v>
      </c>
      <c r="BU22" t="s">
        <v>357</v>
      </c>
      <c r="BV22" t="s">
        <v>357</v>
      </c>
      <c r="BW22" t="s">
        <v>357</v>
      </c>
      <c r="BX22" t="s">
        <v>357</v>
      </c>
      <c r="BY22" t="s">
        <v>114</v>
      </c>
      <c r="BZ22" t="s">
        <v>114</v>
      </c>
      <c r="CA22" t="s">
        <v>114</v>
      </c>
      <c r="CB22" t="s">
        <v>114</v>
      </c>
      <c r="CC22" t="s">
        <v>114</v>
      </c>
      <c r="CD22" t="s">
        <v>114</v>
      </c>
      <c r="CF22" t="s">
        <v>223</v>
      </c>
      <c r="CG22" t="s">
        <v>223</v>
      </c>
      <c r="CH22" t="s">
        <v>223</v>
      </c>
      <c r="CI22" t="s">
        <v>223</v>
      </c>
      <c r="CJ22" t="s">
        <v>223</v>
      </c>
      <c r="CK22" t="s">
        <v>223</v>
      </c>
      <c r="CL22" t="s">
        <v>223</v>
      </c>
      <c r="CM22" t="s">
        <v>495</v>
      </c>
      <c r="CN22" t="s">
        <v>495</v>
      </c>
      <c r="CO22" t="s">
        <v>495</v>
      </c>
      <c r="CP22" t="s">
        <v>495</v>
      </c>
      <c r="CQ22" t="s">
        <v>495</v>
      </c>
      <c r="CR22" t="s">
        <v>495</v>
      </c>
      <c r="CS22" t="s">
        <v>495</v>
      </c>
      <c r="CT22" t="s">
        <v>495</v>
      </c>
      <c r="CU22" t="s">
        <v>495</v>
      </c>
      <c r="CV22" t="s">
        <v>495</v>
      </c>
      <c r="CW22" t="s">
        <v>402</v>
      </c>
      <c r="CX22" t="s">
        <v>397</v>
      </c>
      <c r="CY22" t="s">
        <v>397</v>
      </c>
      <c r="CZ22" t="s">
        <v>397</v>
      </c>
      <c r="DA22" t="s">
        <v>497</v>
      </c>
      <c r="DB22" t="s">
        <v>497</v>
      </c>
      <c r="DC22" t="s">
        <v>497</v>
      </c>
      <c r="DD22" t="s">
        <v>497</v>
      </c>
      <c r="DE22" t="s">
        <v>497</v>
      </c>
      <c r="DF22" t="s">
        <v>38</v>
      </c>
      <c r="DG22" t="s">
        <v>38</v>
      </c>
      <c r="DH22" t="s">
        <v>889</v>
      </c>
      <c r="DI22" t="s">
        <v>889</v>
      </c>
      <c r="DJ22" t="s">
        <v>889</v>
      </c>
      <c r="DK22" t="s">
        <v>889</v>
      </c>
      <c r="DL22" t="s">
        <v>889</v>
      </c>
      <c r="DM22" t="s">
        <v>889</v>
      </c>
      <c r="DN22" t="s">
        <v>889</v>
      </c>
      <c r="DO22" t="s">
        <v>889</v>
      </c>
      <c r="DP22" t="s">
        <v>1068</v>
      </c>
      <c r="DQ22" t="s">
        <v>1068</v>
      </c>
      <c r="DR22" t="s">
        <v>1068</v>
      </c>
      <c r="DS22" t="s">
        <v>122</v>
      </c>
      <c r="DU22" t="s">
        <v>784</v>
      </c>
      <c r="DV22" t="s">
        <v>784</v>
      </c>
      <c r="DW22" t="s">
        <v>711</v>
      </c>
      <c r="DX22" t="s">
        <v>254</v>
      </c>
      <c r="DY22" t="s">
        <v>901</v>
      </c>
      <c r="DZ22" t="s">
        <v>901</v>
      </c>
      <c r="EA22" t="s">
        <v>892</v>
      </c>
      <c r="ED22" t="s">
        <v>669</v>
      </c>
      <c r="EE22" t="s">
        <v>817</v>
      </c>
      <c r="EF22" t="s">
        <v>817</v>
      </c>
      <c r="EG22" t="s">
        <v>907</v>
      </c>
      <c r="EH22" t="s">
        <v>907</v>
      </c>
      <c r="EI22" t="s">
        <v>774</v>
      </c>
      <c r="EJ22" t="s">
        <v>774</v>
      </c>
      <c r="EK22" t="s">
        <v>793</v>
      </c>
      <c r="EL22" t="s">
        <v>793</v>
      </c>
      <c r="EM22" t="s">
        <v>780</v>
      </c>
      <c r="EN22" t="s">
        <v>780</v>
      </c>
      <c r="EO22" t="s">
        <v>780</v>
      </c>
      <c r="EP22" t="s">
        <v>780</v>
      </c>
      <c r="EQ22" t="s">
        <v>780</v>
      </c>
      <c r="ER22" t="s">
        <v>780</v>
      </c>
      <c r="ES22" t="s">
        <v>780</v>
      </c>
      <c r="ET22" t="s">
        <v>780</v>
      </c>
      <c r="EU22" t="s">
        <v>780</v>
      </c>
      <c r="EV22" t="s">
        <v>780</v>
      </c>
      <c r="EW22" t="s">
        <v>780</v>
      </c>
      <c r="EX22" t="s">
        <v>780</v>
      </c>
      <c r="EY22" t="s">
        <v>780</v>
      </c>
      <c r="EZ22" t="s">
        <v>780</v>
      </c>
      <c r="FA22" t="s">
        <v>780</v>
      </c>
      <c r="FB22" t="s">
        <v>780</v>
      </c>
      <c r="FC22" t="s">
        <v>780</v>
      </c>
      <c r="FD22" t="s">
        <v>780</v>
      </c>
      <c r="FE22" t="s">
        <v>780</v>
      </c>
      <c r="FH22" t="s">
        <v>248</v>
      </c>
      <c r="FI22" t="s">
        <v>793</v>
      </c>
      <c r="FM22" t="str">
        <f t="shared" si="0"/>
        <v xml:space="preserve">    &lt;route id="Router3_21" edges="-gneE80.0 -gneE80.17 -gneE41 gneE44 -388756838#2 -388756838#1 -388756838#0 42706817#0 386547310 gneE69 -388756838#2 -388756838#1 -388756838#0 -388756839#1 -388756839#0 -194358837#2 -194358837#0 194358838#0 194358838#1 194358838#2 386995479#2 310315797#2 12185366#9 387422145#0 -12157718#6 -12157718#4 -12157718#3 -12157718#2 -12157718#1 -12199713#4 386995514#7 -50033059#1 -50033558#8 -51155368#3 121319046 12188656 -50033558#2 12203859#0 12203859#1 42706831#4 42706831#5 42706831#6 42706874#0 42706874#2 12144152#0 12144152#2 450844953#0 450844953#2 450844953#3 450844947#0 388533142#0 388533142#2 388533142#4 62623926#0 62623926#1 450844950#0 12189453#0.0.0 450844982#0.19 62203497#0 62203497#2 62203497#3 12134479#1 34685684#0 34685684#2 388533143#0 388533143#2 12140627#0 63060729#0 -264253834#2 12156992#4 12156992#5 12156992#6 12156992#7 12156992#8 12156992#9 -12114396#5 -12114396#3 -12114396#1 485017383#0 485017382#0 485017382#1 211575484#0 -12177521#3 -12177521#2 -12177521#1 32121111#12 32121111#14 -12187610#5 -12187610#2 -12187610#1 12150608#0 32121146#2 12117702#9 450844953#0 450844953#2 450844953#3 450844947#0 388533142#0 388533142#2 388533142#4 62623926#0 62623926#1 450844950#0 38502259#0.19 450844933#1 196207110#0 196207110#2"/&gt;</v>
      </c>
      <c r="FN22" t="s">
        <v>2516</v>
      </c>
      <c r="FO22" t="s">
        <v>1110</v>
      </c>
      <c r="FP22" t="s">
        <v>2539</v>
      </c>
    </row>
    <row r="23" spans="1:172" x14ac:dyDescent="0.25">
      <c r="A23" t="s">
        <v>18</v>
      </c>
      <c r="B23" t="s">
        <v>853</v>
      </c>
      <c r="C23" t="s">
        <v>853</v>
      </c>
      <c r="D23" t="s">
        <v>853</v>
      </c>
      <c r="E23" t="s">
        <v>853</v>
      </c>
      <c r="F23" t="s">
        <v>853</v>
      </c>
      <c r="G23" t="s">
        <v>853</v>
      </c>
      <c r="H23" t="s">
        <v>853</v>
      </c>
      <c r="I23" t="s">
        <v>853</v>
      </c>
      <c r="J23" t="s">
        <v>853</v>
      </c>
      <c r="K23" t="s">
        <v>853</v>
      </c>
      <c r="L23" t="s">
        <v>853</v>
      </c>
      <c r="M23" t="s">
        <v>853</v>
      </c>
      <c r="N23" t="s">
        <v>853</v>
      </c>
      <c r="O23" t="s">
        <v>853</v>
      </c>
      <c r="P23" t="s">
        <v>853</v>
      </c>
      <c r="Q23" t="s">
        <v>853</v>
      </c>
      <c r="R23" t="s">
        <v>853</v>
      </c>
      <c r="S23" t="s">
        <v>853</v>
      </c>
      <c r="T23" t="s">
        <v>851</v>
      </c>
      <c r="U23" t="s">
        <v>851</v>
      </c>
      <c r="V23" t="s">
        <v>856</v>
      </c>
      <c r="W23" t="s">
        <v>743</v>
      </c>
      <c r="X23" t="s">
        <v>743</v>
      </c>
      <c r="Y23" t="s">
        <v>743</v>
      </c>
      <c r="Z23" t="s">
        <v>743</v>
      </c>
      <c r="AA23" t="s">
        <v>837</v>
      </c>
      <c r="AB23" t="s">
        <v>837</v>
      </c>
      <c r="AC23" t="s">
        <v>837</v>
      </c>
      <c r="AD23" t="s">
        <v>427</v>
      </c>
      <c r="AE23" t="s">
        <v>427</v>
      </c>
      <c r="AF23" t="s">
        <v>160</v>
      </c>
      <c r="AG23" t="s">
        <v>5</v>
      </c>
      <c r="AH23" t="s">
        <v>5</v>
      </c>
      <c r="AO23" t="s">
        <v>450</v>
      </c>
      <c r="AP23" t="s">
        <v>448</v>
      </c>
      <c r="AQ23" t="s">
        <v>448</v>
      </c>
      <c r="AR23" t="s">
        <v>525</v>
      </c>
      <c r="AS23" t="s">
        <v>182</v>
      </c>
      <c r="AV23" t="s">
        <v>446</v>
      </c>
      <c r="AW23" t="s">
        <v>495</v>
      </c>
      <c r="AX23" t="s">
        <v>907</v>
      </c>
      <c r="AY23" t="s">
        <v>780</v>
      </c>
      <c r="AZ23" t="s">
        <v>780</v>
      </c>
      <c r="BA23" t="s">
        <v>780</v>
      </c>
      <c r="BD23" t="s">
        <v>181</v>
      </c>
      <c r="BG23" t="s">
        <v>770</v>
      </c>
      <c r="BH23" t="s">
        <v>770</v>
      </c>
      <c r="BI23" t="s">
        <v>770</v>
      </c>
      <c r="BJ23" t="s">
        <v>770</v>
      </c>
      <c r="BL23" t="s">
        <v>239</v>
      </c>
      <c r="BM23" t="s">
        <v>688</v>
      </c>
      <c r="BN23" t="s">
        <v>688</v>
      </c>
      <c r="BO23" t="s">
        <v>688</v>
      </c>
      <c r="BP23" t="s">
        <v>561</v>
      </c>
      <c r="BQ23" t="s">
        <v>561</v>
      </c>
      <c r="BR23" t="s">
        <v>561</v>
      </c>
      <c r="BS23" t="s">
        <v>358</v>
      </c>
      <c r="BT23" t="s">
        <v>358</v>
      </c>
      <c r="BU23" t="s">
        <v>358</v>
      </c>
      <c r="BV23" t="s">
        <v>358</v>
      </c>
      <c r="BW23" t="s">
        <v>358</v>
      </c>
      <c r="BX23" t="s">
        <v>358</v>
      </c>
      <c r="BY23" t="s">
        <v>722</v>
      </c>
      <c r="BZ23" t="s">
        <v>722</v>
      </c>
      <c r="CA23" t="s">
        <v>722</v>
      </c>
      <c r="CB23" t="s">
        <v>722</v>
      </c>
      <c r="CC23" t="s">
        <v>722</v>
      </c>
      <c r="CD23" t="s">
        <v>115</v>
      </c>
      <c r="CF23" t="s">
        <v>224</v>
      </c>
      <c r="CG23" t="s">
        <v>224</v>
      </c>
      <c r="CH23" t="s">
        <v>224</v>
      </c>
      <c r="CI23" t="s">
        <v>224</v>
      </c>
      <c r="CJ23" t="s">
        <v>224</v>
      </c>
      <c r="CK23" t="s">
        <v>224</v>
      </c>
      <c r="CL23" t="s">
        <v>224</v>
      </c>
      <c r="CM23" t="s">
        <v>730</v>
      </c>
      <c r="CN23" t="s">
        <v>730</v>
      </c>
      <c r="CO23" t="s">
        <v>730</v>
      </c>
      <c r="CP23" t="s">
        <v>730</v>
      </c>
      <c r="CQ23" t="s">
        <v>730</v>
      </c>
      <c r="CR23" t="s">
        <v>730</v>
      </c>
      <c r="CS23" t="s">
        <v>496</v>
      </c>
      <c r="CT23" t="s">
        <v>496</v>
      </c>
      <c r="CU23" t="s">
        <v>496</v>
      </c>
      <c r="CV23" t="s">
        <v>496</v>
      </c>
      <c r="CW23" t="s">
        <v>403</v>
      </c>
      <c r="CX23" t="s">
        <v>398</v>
      </c>
      <c r="CY23" t="s">
        <v>398</v>
      </c>
      <c r="CZ23" t="s">
        <v>398</v>
      </c>
      <c r="DA23" t="s">
        <v>498</v>
      </c>
      <c r="DB23" t="s">
        <v>498</v>
      </c>
      <c r="DC23" t="s">
        <v>498</v>
      </c>
      <c r="DD23" t="s">
        <v>498</v>
      </c>
      <c r="DE23" t="s">
        <v>498</v>
      </c>
      <c r="DF23" t="s">
        <v>39</v>
      </c>
      <c r="DG23" t="s">
        <v>39</v>
      </c>
      <c r="DH23" t="s">
        <v>770</v>
      </c>
      <c r="DI23" t="s">
        <v>770</v>
      </c>
      <c r="DJ23" t="s">
        <v>770</v>
      </c>
      <c r="DK23" t="s">
        <v>770</v>
      </c>
      <c r="DL23" t="s">
        <v>770</v>
      </c>
      <c r="DM23" t="s">
        <v>770</v>
      </c>
      <c r="DN23" t="s">
        <v>770</v>
      </c>
      <c r="DO23" t="s">
        <v>770</v>
      </c>
      <c r="DP23" t="s">
        <v>1069</v>
      </c>
      <c r="DQ23" t="s">
        <v>1069</v>
      </c>
      <c r="DR23" t="s">
        <v>1069</v>
      </c>
      <c r="DS23" t="s">
        <v>123</v>
      </c>
      <c r="DU23" t="s">
        <v>793</v>
      </c>
      <c r="DV23" t="s">
        <v>793</v>
      </c>
      <c r="DW23" t="s">
        <v>712</v>
      </c>
      <c r="DX23" t="s">
        <v>255</v>
      </c>
      <c r="DY23" t="s">
        <v>906</v>
      </c>
      <c r="DZ23" t="s">
        <v>906</v>
      </c>
      <c r="EA23" t="s">
        <v>893</v>
      </c>
      <c r="ED23" t="s">
        <v>1078</v>
      </c>
      <c r="EE23" t="s">
        <v>818</v>
      </c>
      <c r="EF23" t="s">
        <v>818</v>
      </c>
      <c r="EG23" t="s">
        <v>779</v>
      </c>
      <c r="EH23" t="s">
        <v>779</v>
      </c>
      <c r="EI23" t="s">
        <v>775</v>
      </c>
      <c r="EJ23" t="s">
        <v>781</v>
      </c>
      <c r="EK23" t="s">
        <v>638</v>
      </c>
      <c r="EL23" t="s">
        <v>638</v>
      </c>
      <c r="EM23" t="s">
        <v>781</v>
      </c>
      <c r="EN23" t="s">
        <v>781</v>
      </c>
      <c r="EO23" t="s">
        <v>781</v>
      </c>
      <c r="EP23" t="s">
        <v>781</v>
      </c>
      <c r="EQ23" t="s">
        <v>781</v>
      </c>
      <c r="ER23" t="s">
        <v>781</v>
      </c>
      <c r="ES23" t="s">
        <v>781</v>
      </c>
      <c r="ET23" t="s">
        <v>781</v>
      </c>
      <c r="EU23" t="s">
        <v>781</v>
      </c>
      <c r="EV23" t="s">
        <v>781</v>
      </c>
      <c r="EW23" t="s">
        <v>781</v>
      </c>
      <c r="EX23" t="s">
        <v>781</v>
      </c>
      <c r="EY23" t="s">
        <v>781</v>
      </c>
      <c r="EZ23" t="s">
        <v>781</v>
      </c>
      <c r="FA23" t="s">
        <v>781</v>
      </c>
      <c r="FB23" t="s">
        <v>781</v>
      </c>
      <c r="FC23" t="s">
        <v>781</v>
      </c>
      <c r="FD23" t="s">
        <v>781</v>
      </c>
      <c r="FE23" t="s">
        <v>781</v>
      </c>
      <c r="FH23" t="s">
        <v>249</v>
      </c>
      <c r="FI23" t="s">
        <v>638</v>
      </c>
      <c r="FM23" t="str">
        <f t="shared" si="0"/>
        <v xml:space="preserve">    &lt;route id="Router3_22" edges="-gneE80.0 -gneE80.17 -gneE41 gneE44 -388756838#2 -388756838#1 -388756838#0 42706817#0 386547310 gneE69 -388756838#2 -388756838#1 -388756838#0 -388756839#1 -388756839#0 -194358837#2 -194358837#0 194358838#0 194358838#1 32121111#9 12157718#4 12157718#5 12157718#7 485017376 485017373#0 387422135#0 424769003#0 424769003#1 -30953396#1 -30953396#0 -424769006 -424769005 -424769002 -30953391 -43569848 -393884751 12159702 424764853 12149178#0 50189796 50189564 12149178#2 145605533#0 145605533#1-AddedOnRampEdge 145605533#1 145605511#1-AddedOnRampEdge 145605511#12 145605511#1.148"/&gt;</v>
      </c>
      <c r="FN23" t="s">
        <v>2516</v>
      </c>
      <c r="FO23" t="s">
        <v>1111</v>
      </c>
      <c r="FP23" t="s">
        <v>2540</v>
      </c>
    </row>
    <row r="24" spans="1:172" x14ac:dyDescent="0.25">
      <c r="A24" t="s">
        <v>19</v>
      </c>
      <c r="B24" t="s">
        <v>854</v>
      </c>
      <c r="C24" t="s">
        <v>854</v>
      </c>
      <c r="D24" t="s">
        <v>854</v>
      </c>
      <c r="E24" t="s">
        <v>854</v>
      </c>
      <c r="F24" t="s">
        <v>854</v>
      </c>
      <c r="G24" t="s">
        <v>854</v>
      </c>
      <c r="H24" t="s">
        <v>854</v>
      </c>
      <c r="I24" t="s">
        <v>854</v>
      </c>
      <c r="J24" t="s">
        <v>854</v>
      </c>
      <c r="K24" t="s">
        <v>854</v>
      </c>
      <c r="L24" t="s">
        <v>854</v>
      </c>
      <c r="M24" t="s">
        <v>854</v>
      </c>
      <c r="N24" t="s">
        <v>854</v>
      </c>
      <c r="O24" t="s">
        <v>854</v>
      </c>
      <c r="P24" t="s">
        <v>854</v>
      </c>
      <c r="Q24" t="s">
        <v>854</v>
      </c>
      <c r="R24" t="s">
        <v>854</v>
      </c>
      <c r="S24" t="s">
        <v>854</v>
      </c>
      <c r="T24" t="s">
        <v>852</v>
      </c>
      <c r="U24" t="s">
        <v>852</v>
      </c>
      <c r="V24" t="s">
        <v>857</v>
      </c>
      <c r="W24" t="s">
        <v>744</v>
      </c>
      <c r="X24" t="s">
        <v>744</v>
      </c>
      <c r="Y24" t="s">
        <v>744</v>
      </c>
      <c r="Z24" t="s">
        <v>744</v>
      </c>
      <c r="AA24" t="s">
        <v>1020</v>
      </c>
      <c r="AB24" t="s">
        <v>1020</v>
      </c>
      <c r="AC24" t="s">
        <v>1020</v>
      </c>
      <c r="AD24" t="s">
        <v>428</v>
      </c>
      <c r="AE24" t="s">
        <v>428</v>
      </c>
      <c r="AF24" t="s">
        <v>1</v>
      </c>
      <c r="AG24" t="s">
        <v>6</v>
      </c>
      <c r="AH24" t="s">
        <v>6</v>
      </c>
      <c r="AO24" t="s">
        <v>760</v>
      </c>
      <c r="AP24" t="s">
        <v>569</v>
      </c>
      <c r="AQ24" t="s">
        <v>569</v>
      </c>
      <c r="AR24" t="s">
        <v>526</v>
      </c>
      <c r="AS24" t="s">
        <v>183</v>
      </c>
      <c r="AV24" t="s">
        <v>447</v>
      </c>
      <c r="AW24" t="s">
        <v>730</v>
      </c>
      <c r="AX24" t="s">
        <v>779</v>
      </c>
      <c r="AY24" t="s">
        <v>781</v>
      </c>
      <c r="AZ24" t="s">
        <v>781</v>
      </c>
      <c r="BA24" t="s">
        <v>781</v>
      </c>
      <c r="BD24" t="s">
        <v>182</v>
      </c>
      <c r="BG24" t="s">
        <v>771</v>
      </c>
      <c r="BH24" t="s">
        <v>771</v>
      </c>
      <c r="BI24" t="s">
        <v>771</v>
      </c>
      <c r="BJ24" t="s">
        <v>771</v>
      </c>
      <c r="BM24" t="s">
        <v>689</v>
      </c>
      <c r="BN24" t="s">
        <v>689</v>
      </c>
      <c r="BO24" t="s">
        <v>689</v>
      </c>
      <c r="BP24" t="s">
        <v>562</v>
      </c>
      <c r="BQ24" t="s">
        <v>562</v>
      </c>
      <c r="BR24" t="s">
        <v>562</v>
      </c>
      <c r="BS24" t="s">
        <v>359</v>
      </c>
      <c r="BT24" t="s">
        <v>359</v>
      </c>
      <c r="BU24" t="s">
        <v>359</v>
      </c>
      <c r="BV24" t="s">
        <v>359</v>
      </c>
      <c r="BW24" t="s">
        <v>359</v>
      </c>
      <c r="BX24" t="s">
        <v>359</v>
      </c>
      <c r="BY24" t="s">
        <v>723</v>
      </c>
      <c r="BZ24" t="s">
        <v>723</v>
      </c>
      <c r="CA24" t="s">
        <v>723</v>
      </c>
      <c r="CB24" t="s">
        <v>723</v>
      </c>
      <c r="CC24" t="s">
        <v>723</v>
      </c>
      <c r="CD24" t="s">
        <v>116</v>
      </c>
      <c r="CF24" t="s">
        <v>225</v>
      </c>
      <c r="CG24" t="s">
        <v>225</v>
      </c>
      <c r="CH24" t="s">
        <v>225</v>
      </c>
      <c r="CI24" t="s">
        <v>225</v>
      </c>
      <c r="CJ24" t="s">
        <v>225</v>
      </c>
      <c r="CK24" t="s">
        <v>225</v>
      </c>
      <c r="CL24" t="s">
        <v>225</v>
      </c>
      <c r="CM24" t="s">
        <v>394</v>
      </c>
      <c r="CN24" t="s">
        <v>394</v>
      </c>
      <c r="CO24" t="s">
        <v>394</v>
      </c>
      <c r="CP24" t="s">
        <v>394</v>
      </c>
      <c r="CQ24" t="s">
        <v>394</v>
      </c>
      <c r="CR24" t="s">
        <v>394</v>
      </c>
      <c r="CS24" t="s">
        <v>497</v>
      </c>
      <c r="CT24" t="s">
        <v>497</v>
      </c>
      <c r="CU24" t="s">
        <v>497</v>
      </c>
      <c r="CV24" t="s">
        <v>497</v>
      </c>
      <c r="CW24" t="s">
        <v>404</v>
      </c>
      <c r="CX24" t="s">
        <v>490</v>
      </c>
      <c r="CY24" t="s">
        <v>490</v>
      </c>
      <c r="CZ24" t="s">
        <v>490</v>
      </c>
      <c r="DA24" t="s">
        <v>499</v>
      </c>
      <c r="DB24" t="s">
        <v>499</v>
      </c>
      <c r="DC24" t="s">
        <v>499</v>
      </c>
      <c r="DD24" t="s">
        <v>499</v>
      </c>
      <c r="DE24" t="s">
        <v>499</v>
      </c>
      <c r="DF24" t="s">
        <v>40</v>
      </c>
      <c r="DG24" t="s">
        <v>40</v>
      </c>
      <c r="DH24" t="s">
        <v>771</v>
      </c>
      <c r="DI24" t="s">
        <v>771</v>
      </c>
      <c r="DJ24" t="s">
        <v>771</v>
      </c>
      <c r="DK24" t="s">
        <v>771</v>
      </c>
      <c r="DL24" t="s">
        <v>771</v>
      </c>
      <c r="DM24" t="s">
        <v>771</v>
      </c>
      <c r="DN24" t="s">
        <v>771</v>
      </c>
      <c r="DO24" t="s">
        <v>771</v>
      </c>
      <c r="DP24" t="s">
        <v>911</v>
      </c>
      <c r="DQ24" t="s">
        <v>911</v>
      </c>
      <c r="DR24" t="s">
        <v>939</v>
      </c>
      <c r="DS24" t="s">
        <v>124</v>
      </c>
      <c r="DU24" t="s">
        <v>638</v>
      </c>
      <c r="DV24" t="s">
        <v>638</v>
      </c>
      <c r="DW24" t="s">
        <v>254</v>
      </c>
      <c r="DX24" t="s">
        <v>256</v>
      </c>
      <c r="DY24" t="s">
        <v>793</v>
      </c>
      <c r="DZ24" t="s">
        <v>793</v>
      </c>
      <c r="EA24" t="s">
        <v>773</v>
      </c>
      <c r="ED24" t="s">
        <v>1079</v>
      </c>
      <c r="EE24" t="s">
        <v>764</v>
      </c>
      <c r="EF24" t="s">
        <v>764</v>
      </c>
      <c r="EG24" t="s">
        <v>780</v>
      </c>
      <c r="EH24" t="s">
        <v>780</v>
      </c>
      <c r="EI24" t="s">
        <v>776</v>
      </c>
      <c r="EJ24" t="s">
        <v>1048</v>
      </c>
      <c r="EK24" t="s">
        <v>1058</v>
      </c>
      <c r="EL24" t="s">
        <v>1058</v>
      </c>
      <c r="EM24" t="s">
        <v>1048</v>
      </c>
      <c r="EN24" t="s">
        <v>1048</v>
      </c>
      <c r="EO24" t="s">
        <v>1048</v>
      </c>
      <c r="EP24" t="s">
        <v>1048</v>
      </c>
      <c r="EQ24" t="s">
        <v>1048</v>
      </c>
      <c r="ER24" t="s">
        <v>1048</v>
      </c>
      <c r="ES24" t="s">
        <v>1048</v>
      </c>
      <c r="ET24" t="s">
        <v>1048</v>
      </c>
      <c r="EU24" t="s">
        <v>1048</v>
      </c>
      <c r="EV24" t="s">
        <v>1048</v>
      </c>
      <c r="EW24" t="s">
        <v>1048</v>
      </c>
      <c r="EX24" t="s">
        <v>1048</v>
      </c>
      <c r="EY24" t="s">
        <v>1048</v>
      </c>
      <c r="EZ24" t="s">
        <v>1048</v>
      </c>
      <c r="FA24" t="s">
        <v>1048</v>
      </c>
      <c r="FB24" t="s">
        <v>1048</v>
      </c>
      <c r="FC24" t="s">
        <v>1048</v>
      </c>
      <c r="FD24" t="s">
        <v>1048</v>
      </c>
      <c r="FE24" t="s">
        <v>1048</v>
      </c>
      <c r="FH24" t="s">
        <v>250</v>
      </c>
      <c r="FI24" t="s">
        <v>639</v>
      </c>
      <c r="FM24" t="str">
        <f t="shared" si="0"/>
        <v xml:space="preserve">    &lt;route id="Router3_23" edges="-gneE80.0 -gneE80.17 -gneE41 gneE44 -388756838#2 -388756838#1 -388756838#0 42706817#0 386547310 gneE69 -388756838#2 -388756838#1 -388756838#0 -388756839#1 -388756839#0 -194358837#2 -194358837#0 194358838#0 194358838#1 32121111#9 32121111#10 -386995486#0 -386995514#9 50033058#2 50033058#3 194358837#0 194358837#1 12175533#0 12175533#2 12175533#3 42706825#4 42706825#5 12189876#0 12189876#2 484953509#0 484953509#2 -12175523#1 12134222#0 12134222#2 12134222#3 386547311#11 386547311#13 357338496#0 357338496#2 450695461#0 62646494#0 424801336#0 484842168#0 283621820 -28555309#1 -424801341 -283621822#1 -424801343#1 -424801343#0 49991658 424801340 424801342 386550018#0 386550018#0-AddedOffRampEdge 386550018#1 49991638 -12144161#0 12144161#0 12144161#1 49991657 283621821#1 283621821#1-AddedOffRampEdge 12122485 49991647#2 63060732#0 63060732#1 63060732#2.0 273888488.10 -12122468#1 -12122468#0 -424081469 -424081473 -424081472 -424987520 -30953029#1 -30953029#0 -424987519 170366765 12173391 12123285#0 12123285#1 12123285#2 12176631 424804090#0 424804090#1 12198567#0 12198567#1 12198567#2 12198567#3 12171853#3 12171853#4 12171853#5 12171853#6 132508920#8 132508920#9 132508920#10 132508920#12 132508983#0 132508983#3 132508983#5 132508740#0 132508740#2 -12165829#1 132508646#0 132508646#2 132508646#3 394179820#0 394179820#1 394179820#2 394179820#3 450844975 450844970#0 196355332#0 450844979#0.0 450844982#0.19 62203497#0 62203497#2 62203497#3 12134479#1 34685684#0 34685684#2 388533143#0 388533143#2 12140627#0 63060729#0 -264253834#2 12156992#4 12156992#5 12156992#6 12156992#7 12156992#8 12156992#9 -12114396#5 -12114396#3 -12114396#1 485017383#0 485017382#0 485017382#1 211575484#0 -12177521#3 -12177521#2 -12177521#1 32121111#12 32121111#14 -12187610#5 -12187610#2 -12187610#1 12150608#0 32121146#2 12117702#9 450844953#0 450844953#2 450844953#3 450844947#0 388533142#0 388533142#2 388533142#4 62623926#0 62623926#1 450844950#0 38502259#0.19 450844933#1 196207110#0 196207110#2"/&gt;</v>
      </c>
      <c r="FN24" t="s">
        <v>2516</v>
      </c>
      <c r="FO24" t="s">
        <v>1112</v>
      </c>
      <c r="FP24" t="s">
        <v>2541</v>
      </c>
    </row>
    <row r="25" spans="1:172" x14ac:dyDescent="0.25">
      <c r="A25" t="s">
        <v>20</v>
      </c>
      <c r="B25" t="s">
        <v>842</v>
      </c>
      <c r="C25" t="s">
        <v>842</v>
      </c>
      <c r="D25" t="s">
        <v>842</v>
      </c>
      <c r="E25" t="s">
        <v>842</v>
      </c>
      <c r="F25" t="s">
        <v>842</v>
      </c>
      <c r="G25" t="s">
        <v>842</v>
      </c>
      <c r="H25" t="s">
        <v>842</v>
      </c>
      <c r="I25" t="s">
        <v>842</v>
      </c>
      <c r="J25" t="s">
        <v>842</v>
      </c>
      <c r="K25" t="s">
        <v>842</v>
      </c>
      <c r="L25" t="s">
        <v>842</v>
      </c>
      <c r="M25" t="s">
        <v>842</v>
      </c>
      <c r="N25" t="s">
        <v>842</v>
      </c>
      <c r="O25" t="s">
        <v>842</v>
      </c>
      <c r="P25" t="s">
        <v>842</v>
      </c>
      <c r="Q25" t="s">
        <v>842</v>
      </c>
      <c r="R25" t="s">
        <v>842</v>
      </c>
      <c r="S25" t="s">
        <v>842</v>
      </c>
      <c r="T25" t="s">
        <v>853</v>
      </c>
      <c r="U25" t="s">
        <v>853</v>
      </c>
      <c r="V25" t="s">
        <v>55</v>
      </c>
      <c r="W25" t="s">
        <v>613</v>
      </c>
      <c r="X25" t="s">
        <v>613</v>
      </c>
      <c r="Y25" t="s">
        <v>613</v>
      </c>
      <c r="Z25" t="s">
        <v>613</v>
      </c>
      <c r="AA25" t="s">
        <v>921</v>
      </c>
      <c r="AB25" t="s">
        <v>921</v>
      </c>
      <c r="AC25" t="s">
        <v>921</v>
      </c>
      <c r="AD25" t="s">
        <v>156</v>
      </c>
      <c r="AE25" t="s">
        <v>429</v>
      </c>
      <c r="AF25" t="s">
        <v>2</v>
      </c>
      <c r="AG25" t="s">
        <v>7</v>
      </c>
      <c r="AH25" t="s">
        <v>7</v>
      </c>
      <c r="AO25" t="s">
        <v>240</v>
      </c>
      <c r="AP25" t="s">
        <v>721</v>
      </c>
      <c r="AQ25" t="s">
        <v>721</v>
      </c>
      <c r="AR25" t="s">
        <v>527</v>
      </c>
      <c r="AS25" t="s">
        <v>445</v>
      </c>
      <c r="AV25" t="s">
        <v>448</v>
      </c>
      <c r="AW25" t="s">
        <v>394</v>
      </c>
      <c r="AX25" t="s">
        <v>780</v>
      </c>
      <c r="AY25" t="s">
        <v>1048</v>
      </c>
      <c r="AZ25" t="s">
        <v>1048</v>
      </c>
      <c r="BA25" t="s">
        <v>1048</v>
      </c>
      <c r="BD25" t="s">
        <v>183</v>
      </c>
      <c r="BG25" t="s">
        <v>772</v>
      </c>
      <c r="BH25" t="s">
        <v>772</v>
      </c>
      <c r="BI25" t="s">
        <v>772</v>
      </c>
      <c r="BJ25" t="s">
        <v>772</v>
      </c>
      <c r="BM25" t="s">
        <v>690</v>
      </c>
      <c r="BN25" t="s">
        <v>690</v>
      </c>
      <c r="BO25" t="s">
        <v>690</v>
      </c>
      <c r="BP25" t="s">
        <v>563</v>
      </c>
      <c r="BQ25" t="s">
        <v>563</v>
      </c>
      <c r="BR25" t="s">
        <v>563</v>
      </c>
      <c r="BS25" t="s">
        <v>360</v>
      </c>
      <c r="BT25" t="s">
        <v>360</v>
      </c>
      <c r="BU25" t="s">
        <v>360</v>
      </c>
      <c r="BV25" t="s">
        <v>360</v>
      </c>
      <c r="BW25" t="s">
        <v>360</v>
      </c>
      <c r="BX25" t="s">
        <v>360</v>
      </c>
      <c r="BY25" t="s">
        <v>724</v>
      </c>
      <c r="BZ25" t="s">
        <v>724</v>
      </c>
      <c r="CA25" t="s">
        <v>724</v>
      </c>
      <c r="CB25" t="s">
        <v>724</v>
      </c>
      <c r="CC25" t="s">
        <v>724</v>
      </c>
      <c r="CD25" t="s">
        <v>117</v>
      </c>
      <c r="CF25" t="s">
        <v>226</v>
      </c>
      <c r="CG25" t="s">
        <v>226</v>
      </c>
      <c r="CH25" t="s">
        <v>226</v>
      </c>
      <c r="CI25" t="s">
        <v>226</v>
      </c>
      <c r="CJ25" t="s">
        <v>226</v>
      </c>
      <c r="CK25" t="s">
        <v>226</v>
      </c>
      <c r="CL25" t="s">
        <v>226</v>
      </c>
      <c r="CM25" t="s">
        <v>218</v>
      </c>
      <c r="CN25" t="s">
        <v>218</v>
      </c>
      <c r="CO25" t="s">
        <v>218</v>
      </c>
      <c r="CP25" t="s">
        <v>218</v>
      </c>
      <c r="CQ25" t="s">
        <v>218</v>
      </c>
      <c r="CR25" t="s">
        <v>218</v>
      </c>
      <c r="CS25" t="s">
        <v>498</v>
      </c>
      <c r="CT25" t="s">
        <v>498</v>
      </c>
      <c r="CU25" t="s">
        <v>498</v>
      </c>
      <c r="CV25" t="s">
        <v>498</v>
      </c>
      <c r="CW25" t="s">
        <v>405</v>
      </c>
      <c r="CX25" t="s">
        <v>491</v>
      </c>
      <c r="CY25" t="s">
        <v>491</v>
      </c>
      <c r="CZ25" t="s">
        <v>491</v>
      </c>
      <c r="DA25" t="s">
        <v>500</v>
      </c>
      <c r="DB25" t="s">
        <v>500</v>
      </c>
      <c r="DC25" t="s">
        <v>500</v>
      </c>
      <c r="DD25" t="s">
        <v>500</v>
      </c>
      <c r="DE25" t="s">
        <v>500</v>
      </c>
      <c r="DF25" t="s">
        <v>41</v>
      </c>
      <c r="DG25" t="s">
        <v>41</v>
      </c>
      <c r="DH25" t="s">
        <v>772</v>
      </c>
      <c r="DI25" t="s">
        <v>772</v>
      </c>
      <c r="DJ25" t="s">
        <v>772</v>
      </c>
      <c r="DK25" t="s">
        <v>772</v>
      </c>
      <c r="DL25" t="s">
        <v>772</v>
      </c>
      <c r="DM25" t="s">
        <v>772</v>
      </c>
      <c r="DN25" t="s">
        <v>772</v>
      </c>
      <c r="DO25" t="s">
        <v>772</v>
      </c>
      <c r="DP25" t="s">
        <v>875</v>
      </c>
      <c r="DQ25" t="s">
        <v>875</v>
      </c>
      <c r="DR25" t="s">
        <v>940</v>
      </c>
      <c r="DS25" t="s">
        <v>125</v>
      </c>
      <c r="DU25" t="s">
        <v>639</v>
      </c>
      <c r="DV25" t="s">
        <v>639</v>
      </c>
      <c r="DW25" t="s">
        <v>255</v>
      </c>
      <c r="DX25" t="s">
        <v>257</v>
      </c>
      <c r="DY25" t="s">
        <v>638</v>
      </c>
      <c r="DZ25" t="s">
        <v>638</v>
      </c>
      <c r="EA25" t="s">
        <v>774</v>
      </c>
      <c r="ED25" t="s">
        <v>876</v>
      </c>
      <c r="EE25" t="s">
        <v>392</v>
      </c>
      <c r="EF25" t="s">
        <v>392</v>
      </c>
      <c r="EG25" t="s">
        <v>775</v>
      </c>
      <c r="EH25" t="s">
        <v>775</v>
      </c>
      <c r="EI25" t="s">
        <v>905</v>
      </c>
      <c r="EJ25" t="s">
        <v>812</v>
      </c>
      <c r="EK25" t="s">
        <v>1059</v>
      </c>
      <c r="EL25" t="s">
        <v>1059</v>
      </c>
      <c r="EM25" t="s">
        <v>812</v>
      </c>
      <c r="EN25" t="s">
        <v>812</v>
      </c>
      <c r="EO25" t="s">
        <v>812</v>
      </c>
      <c r="EP25" t="s">
        <v>812</v>
      </c>
      <c r="EQ25" t="s">
        <v>812</v>
      </c>
      <c r="ER25" t="s">
        <v>812</v>
      </c>
      <c r="ES25" t="s">
        <v>812</v>
      </c>
      <c r="ET25" t="s">
        <v>812</v>
      </c>
      <c r="EU25" t="s">
        <v>812</v>
      </c>
      <c r="EV25" t="s">
        <v>812</v>
      </c>
      <c r="EW25" t="s">
        <v>812</v>
      </c>
      <c r="EX25" t="s">
        <v>812</v>
      </c>
      <c r="EY25" t="s">
        <v>812</v>
      </c>
      <c r="EZ25" t="s">
        <v>812</v>
      </c>
      <c r="FA25" t="s">
        <v>812</v>
      </c>
      <c r="FB25" t="s">
        <v>812</v>
      </c>
      <c r="FC25" t="s">
        <v>812</v>
      </c>
      <c r="FD25" t="s">
        <v>812</v>
      </c>
      <c r="FE25" t="s">
        <v>812</v>
      </c>
      <c r="FH25" t="s">
        <v>709</v>
      </c>
      <c r="FI25" t="s">
        <v>640</v>
      </c>
      <c r="FM25" t="str">
        <f t="shared" si="0"/>
        <v xml:space="preserve">    &lt;route id="Router3_24" edges="-gneE80.0 -gneE80.17 -gneE41 gneE44 -388756838#2 -388756838#1 -388756838#0 42706817#0 386547310 gneE69 -388756838#2 -388756838#1 -388756838#0 -388756839#1 -388756839#0 -194358837#2 -194358837#0 194358838#0 194358838#1 32121111#9 32121111#10 -386995486#0 -386995514#9 50033058#2 50033058#3 194358837#0 194358837#1 12175533#0 12175533#2 12175533#3 42706825#4 42706825#5 12189876#0 12189876#2 484953509#0 484953509#2 -12175523#1 12134222#0 12134222#2 12134222#3 386547311#11 386547311#13 357338496#0 357338496#2 450695461#0 62646494#0 424801336#0 484842168#0 283621820 -28555309#1 -424801341 -283621822#1 -424801343#1 -424801343#0 49991658 424801340 424801342 386550018#0 386550018#0-AddedOffRampEdge 386550018#1 49991638 -12144161#0 12144161#0 12144161#1 49991657 283621821#1 283621821#1-AddedOffRampEdge 12122485 49991647#2 63060732#0 63060732#1 63060732#2.0 273888488.10 -12122468#1 -12122468#0 -424081469 -424081473 -424081472 -424987520 -30953029#1 -30953029#0 -424987519 170366765 12173391 12123285#0 170366766 -170366765 170366768 30953029#0 30953029#1 424987520 424081472 424081473 424081470 12122468#0 12122468#1 273888485.0 50033027 -50033029 50033050#0 50033055 63060727 50033029 50033028#0 50033028#3 50033028#5 50033028#6 49991646 386547300#0 283621823 386547301-AddedOnRampEdge 386547301 424801344#0 424801343#1 283621822#0 424801341 28555309#0 49991649#0 424986163#0 51049946#0 424801337#0 357338497#0 357338497#2 450695460#0 62646499#0 62646499#2 450827424#0 62646508#0 62646508#2 424799820 424799823#0 50033059#0 50033059#2 50033059#3 50033059#4 388756839#0 388756839#1 388756838#0 12136923#0 386547309#0 386547309#2 386547309#3 386547309#5 386547309#7 51050030#4 51050030#7 gneE35 -gneE34.0 --gneE83.0"/&gt;</v>
      </c>
      <c r="FN25" t="s">
        <v>2516</v>
      </c>
      <c r="FO25" t="s">
        <v>1113</v>
      </c>
      <c r="FP25" t="s">
        <v>2542</v>
      </c>
    </row>
    <row r="26" spans="1:172" x14ac:dyDescent="0.25">
      <c r="A26" t="s">
        <v>21</v>
      </c>
      <c r="B26" t="s">
        <v>843</v>
      </c>
      <c r="C26" t="s">
        <v>843</v>
      </c>
      <c r="D26" t="s">
        <v>843</v>
      </c>
      <c r="E26" t="s">
        <v>843</v>
      </c>
      <c r="F26" t="s">
        <v>843</v>
      </c>
      <c r="G26" t="s">
        <v>843</v>
      </c>
      <c r="H26" t="s">
        <v>843</v>
      </c>
      <c r="I26" t="s">
        <v>843</v>
      </c>
      <c r="J26" t="s">
        <v>843</v>
      </c>
      <c r="K26" t="s">
        <v>843</v>
      </c>
      <c r="L26" t="s">
        <v>843</v>
      </c>
      <c r="M26" t="s">
        <v>843</v>
      </c>
      <c r="N26" t="s">
        <v>843</v>
      </c>
      <c r="O26" t="s">
        <v>843</v>
      </c>
      <c r="P26" t="s">
        <v>843</v>
      </c>
      <c r="Q26" t="s">
        <v>843</v>
      </c>
      <c r="R26" t="s">
        <v>843</v>
      </c>
      <c r="S26" t="s">
        <v>843</v>
      </c>
      <c r="T26" t="s">
        <v>880</v>
      </c>
      <c r="U26" t="s">
        <v>880</v>
      </c>
      <c r="V26" t="s">
        <v>56</v>
      </c>
      <c r="W26" t="s">
        <v>606</v>
      </c>
      <c r="X26" t="s">
        <v>606</v>
      </c>
      <c r="Y26" t="s">
        <v>606</v>
      </c>
      <c r="Z26" t="s">
        <v>606</v>
      </c>
      <c r="AA26" t="s">
        <v>922</v>
      </c>
      <c r="AB26" t="s">
        <v>922</v>
      </c>
      <c r="AC26" t="s">
        <v>922</v>
      </c>
      <c r="AD26" t="s">
        <v>840</v>
      </c>
      <c r="AE26" t="s">
        <v>430</v>
      </c>
      <c r="AF26" t="s">
        <v>3</v>
      </c>
      <c r="AG26" t="s">
        <v>8</v>
      </c>
      <c r="AH26" t="s">
        <v>8</v>
      </c>
      <c r="AO26" t="s">
        <v>241</v>
      </c>
      <c r="AP26" t="s">
        <v>449</v>
      </c>
      <c r="AQ26" t="s">
        <v>449</v>
      </c>
      <c r="AR26" t="s">
        <v>528</v>
      </c>
      <c r="AS26" t="s">
        <v>446</v>
      </c>
      <c r="AV26" t="s">
        <v>569</v>
      </c>
      <c r="AW26" t="s">
        <v>218</v>
      </c>
      <c r="AX26" t="s">
        <v>775</v>
      </c>
      <c r="AY26" t="s">
        <v>812</v>
      </c>
      <c r="AZ26" t="s">
        <v>812</v>
      </c>
      <c r="BA26" t="s">
        <v>812</v>
      </c>
      <c r="BD26" t="s">
        <v>445</v>
      </c>
      <c r="BG26" t="s">
        <v>900</v>
      </c>
      <c r="BH26" t="s">
        <v>900</v>
      </c>
      <c r="BI26" t="s">
        <v>900</v>
      </c>
      <c r="BJ26" t="s">
        <v>900</v>
      </c>
      <c r="BM26" t="s">
        <v>691</v>
      </c>
      <c r="BN26" t="s">
        <v>691</v>
      </c>
      <c r="BO26" t="s">
        <v>691</v>
      </c>
      <c r="BP26" t="s">
        <v>564</v>
      </c>
      <c r="BQ26" t="s">
        <v>564</v>
      </c>
      <c r="BR26" t="s">
        <v>564</v>
      </c>
      <c r="BS26" t="s">
        <v>361</v>
      </c>
      <c r="BT26" t="s">
        <v>361</v>
      </c>
      <c r="BU26" t="s">
        <v>361</v>
      </c>
      <c r="BV26" t="s">
        <v>361</v>
      </c>
      <c r="BW26" t="s">
        <v>361</v>
      </c>
      <c r="BX26" t="s">
        <v>361</v>
      </c>
      <c r="BY26" t="s">
        <v>725</v>
      </c>
      <c r="BZ26" t="s">
        <v>725</v>
      </c>
      <c r="CA26" t="s">
        <v>725</v>
      </c>
      <c r="CB26" t="s">
        <v>725</v>
      </c>
      <c r="CC26" t="s">
        <v>725</v>
      </c>
      <c r="CD26" t="s">
        <v>118</v>
      </c>
      <c r="CF26" t="s">
        <v>187</v>
      </c>
      <c r="CG26" t="s">
        <v>488</v>
      </c>
      <c r="CH26" t="s">
        <v>488</v>
      </c>
      <c r="CI26" t="s">
        <v>488</v>
      </c>
      <c r="CJ26" t="s">
        <v>488</v>
      </c>
      <c r="CK26" t="s">
        <v>488</v>
      </c>
      <c r="CL26" t="s">
        <v>488</v>
      </c>
      <c r="CM26" t="s">
        <v>219</v>
      </c>
      <c r="CN26" t="s">
        <v>219</v>
      </c>
      <c r="CO26" t="s">
        <v>219</v>
      </c>
      <c r="CP26" t="s">
        <v>219</v>
      </c>
      <c r="CQ26" t="s">
        <v>219</v>
      </c>
      <c r="CR26" t="s">
        <v>219</v>
      </c>
      <c r="CS26" t="s">
        <v>499</v>
      </c>
      <c r="CT26" t="s">
        <v>499</v>
      </c>
      <c r="CU26" t="s">
        <v>499</v>
      </c>
      <c r="CV26" t="s">
        <v>499</v>
      </c>
      <c r="CW26" t="s">
        <v>406</v>
      </c>
      <c r="CX26" t="s">
        <v>492</v>
      </c>
      <c r="CY26" t="s">
        <v>1042</v>
      </c>
      <c r="CZ26" t="s">
        <v>1042</v>
      </c>
      <c r="DA26" t="s">
        <v>501</v>
      </c>
      <c r="DB26" t="s">
        <v>501</v>
      </c>
      <c r="DC26" t="s">
        <v>501</v>
      </c>
      <c r="DD26" t="s">
        <v>501</v>
      </c>
      <c r="DE26" t="s">
        <v>501</v>
      </c>
      <c r="DF26" t="s">
        <v>42</v>
      </c>
      <c r="DG26" t="s">
        <v>42</v>
      </c>
      <c r="DH26" t="s">
        <v>900</v>
      </c>
      <c r="DI26" t="s">
        <v>900</v>
      </c>
      <c r="DJ26" t="s">
        <v>900</v>
      </c>
      <c r="DK26" t="s">
        <v>900</v>
      </c>
      <c r="DL26" t="s">
        <v>900</v>
      </c>
      <c r="DM26" t="s">
        <v>900</v>
      </c>
      <c r="DN26" t="s">
        <v>900</v>
      </c>
      <c r="DO26" t="s">
        <v>900</v>
      </c>
      <c r="DP26" t="s">
        <v>876</v>
      </c>
      <c r="DQ26" t="s">
        <v>876</v>
      </c>
      <c r="DR26" t="s">
        <v>653</v>
      </c>
      <c r="DS26" t="s">
        <v>126</v>
      </c>
      <c r="DU26" t="s">
        <v>640</v>
      </c>
      <c r="DV26" t="s">
        <v>640</v>
      </c>
      <c r="DW26" t="s">
        <v>256</v>
      </c>
      <c r="DX26" t="s">
        <v>258</v>
      </c>
      <c r="DY26" t="s">
        <v>1058</v>
      </c>
      <c r="DZ26" t="s">
        <v>1058</v>
      </c>
      <c r="EA26" t="s">
        <v>775</v>
      </c>
      <c r="ED26" t="s">
        <v>877</v>
      </c>
      <c r="EE26" t="s">
        <v>393</v>
      </c>
      <c r="EF26" t="s">
        <v>393</v>
      </c>
      <c r="EG26" t="s">
        <v>776</v>
      </c>
      <c r="EH26" t="s">
        <v>776</v>
      </c>
      <c r="EI26" t="s">
        <v>798</v>
      </c>
      <c r="EJ26" t="s">
        <v>813</v>
      </c>
      <c r="EK26" t="s">
        <v>249</v>
      </c>
      <c r="EL26" t="s">
        <v>249</v>
      </c>
      <c r="EM26" t="s">
        <v>1049</v>
      </c>
      <c r="EN26" t="s">
        <v>1049</v>
      </c>
      <c r="EO26" t="s">
        <v>1049</v>
      </c>
      <c r="EP26" t="s">
        <v>1049</v>
      </c>
      <c r="EQ26" t="s">
        <v>1049</v>
      </c>
      <c r="ER26" t="s">
        <v>1049</v>
      </c>
      <c r="ES26" t="s">
        <v>1049</v>
      </c>
      <c r="ET26" t="s">
        <v>1049</v>
      </c>
      <c r="EU26" t="s">
        <v>1049</v>
      </c>
      <c r="EV26" t="s">
        <v>1049</v>
      </c>
      <c r="EW26" t="s">
        <v>1049</v>
      </c>
      <c r="EX26" t="s">
        <v>1049</v>
      </c>
      <c r="EY26" t="s">
        <v>1049</v>
      </c>
      <c r="EZ26" t="s">
        <v>1049</v>
      </c>
      <c r="FA26" t="s">
        <v>1049</v>
      </c>
      <c r="FB26" t="s">
        <v>1049</v>
      </c>
      <c r="FC26" t="s">
        <v>1049</v>
      </c>
      <c r="FD26" t="s">
        <v>1049</v>
      </c>
      <c r="FE26" t="s">
        <v>1049</v>
      </c>
      <c r="FH26" t="s">
        <v>710</v>
      </c>
      <c r="FI26" t="s">
        <v>641</v>
      </c>
      <c r="FM26" t="str">
        <f t="shared" si="0"/>
        <v xml:space="preserve">    &lt;route id="Router3_25" edges="-gneE80.0 -gneE80.17 -gneE41 gneE44 -388756838#2 -388756838#1 -388756838#0 42706817#0 386547310 gneE69 -388756838#2 -388756838#1 -388756838#0 -388756839#1 -388756839#0 -194358837#2 -194358837#0 194358838#0 194358838#1 32121111#9 32121111#10 -386995486#0 -386995514#9 50033058#2 50033058#3 194358837#0 194358837#1 12175533#0 12175533#2 12175533#3 42706825#4 42706825#5 12189876#0 12189876#2 484953509#0 484953509#2 -12175523#1 12134222#0 12134222#2 12134222#3 386547311#11 386547311#13 357338496#0 357338496#2 450695461#0 62646494#0 424801336#0 484842168#0 283621820 -28555309#1 -424801341 -283621822#1 -424801343#1 -424801343#0 49991658 424801340 424801342 386550018#0 386550018#0-AddedOffRampEdge 386550018#1 49991638 -12144161#0 12144161#0 12144161#1 49991657 283621821#1 283621821#1-AddedOffRampEdge 283621821#2 49991647#1 49991647#2 63060732#0 63060732#1 63060732#2.0 63060732#2.116 50033027 -50033029 50033050#0 50033050#2 424799828 424799825 424799826 -12168663#6 -484953513#2 484842168#0 283621820 -28555309#1 -424801341 -283621822#1 -424801343#1 -424801343#0 49991658 424801340 424801342 386550018#0 386550018#0-AddedOffRampEdge 386550018#1 49991638 -12144161#0 12144161#0 12144161#1 49991657 283621821#1 283621821#1-AddedOffRampEdge 12122485 49991647#2 63060732#0 63060732#1 63060732#2.0 273888488.10 -12122468#1 -12122468#0 -424081469 -424081473 -424081472 -424987520 -30953029#1 -30953029#0 -424987519 170366765 12173391 12123285#0 170366766 -170366765 170366768 30953029#0 30953029#1 424987520 424081472 424081473 424081470 12122468#0 12122468#1 273888485.0 50033027 -50033029 50033050#0 50033055 63060727 50033029 50033028#0 50033028#3 50033028#5 50033028#6 49991646 386547300#0 283621823 386547301-AddedOnRampEdge 386547301 424801344#0 424801343#1 283621822#0 424801341 28555309#0 49991649#0 424986163#0 51049946#0 424801337#0 357338497#0 357338497#2 450695460#0 62646499#0 62646499#2 450827424#0 62646508#0 62646508#2 424799820 424799823#0 50033059#0 50033059#2 50033059#3 50033059#4 388756839#0 388756839#1 388756838#0 12136923#0 386547309#0 386547309#2 386547309#3 386547309#5 386547309#7 51050030#4 51050030#7 gneE35 -gneE34.0 --gneE83.0"/&gt;</v>
      </c>
      <c r="FN26" t="s">
        <v>2516</v>
      </c>
      <c r="FO26" t="s">
        <v>1114</v>
      </c>
      <c r="FP26" t="s">
        <v>2543</v>
      </c>
    </row>
    <row r="27" spans="1:172" x14ac:dyDescent="0.25">
      <c r="A27" t="s">
        <v>22</v>
      </c>
      <c r="B27" t="s">
        <v>844</v>
      </c>
      <c r="C27" t="s">
        <v>844</v>
      </c>
      <c r="D27" t="s">
        <v>844</v>
      </c>
      <c r="E27" t="s">
        <v>844</v>
      </c>
      <c r="F27" t="s">
        <v>844</v>
      </c>
      <c r="G27" t="s">
        <v>844</v>
      </c>
      <c r="H27" t="s">
        <v>844</v>
      </c>
      <c r="I27" t="s">
        <v>844</v>
      </c>
      <c r="J27" t="s">
        <v>844</v>
      </c>
      <c r="K27" t="s">
        <v>844</v>
      </c>
      <c r="L27" t="s">
        <v>844</v>
      </c>
      <c r="M27" t="s">
        <v>844</v>
      </c>
      <c r="N27" t="s">
        <v>844</v>
      </c>
      <c r="O27" t="s">
        <v>844</v>
      </c>
      <c r="P27" t="s">
        <v>844</v>
      </c>
      <c r="Q27" t="s">
        <v>844</v>
      </c>
      <c r="R27" t="s">
        <v>844</v>
      </c>
      <c r="S27" t="s">
        <v>631</v>
      </c>
      <c r="T27" t="s">
        <v>881</v>
      </c>
      <c r="U27" t="s">
        <v>881</v>
      </c>
      <c r="V27" t="s">
        <v>18</v>
      </c>
      <c r="W27" t="s">
        <v>614</v>
      </c>
      <c r="X27" t="s">
        <v>614</v>
      </c>
      <c r="Y27" t="s">
        <v>614</v>
      </c>
      <c r="Z27" t="s">
        <v>614</v>
      </c>
      <c r="AA27" t="s">
        <v>923</v>
      </c>
      <c r="AB27" t="s">
        <v>923</v>
      </c>
      <c r="AC27" t="s">
        <v>923</v>
      </c>
      <c r="AD27" t="s">
        <v>431</v>
      </c>
      <c r="AE27" t="s">
        <v>431</v>
      </c>
      <c r="AF27" t="s">
        <v>4</v>
      </c>
      <c r="AG27" t="s">
        <v>9</v>
      </c>
      <c r="AH27" t="s">
        <v>9</v>
      </c>
      <c r="AO27" t="s">
        <v>391</v>
      </c>
      <c r="AP27" t="s">
        <v>450</v>
      </c>
      <c r="AQ27" t="s">
        <v>112</v>
      </c>
      <c r="AR27" t="s">
        <v>554</v>
      </c>
      <c r="AS27" t="s">
        <v>447</v>
      </c>
      <c r="AV27" t="s">
        <v>721</v>
      </c>
      <c r="AW27" t="s">
        <v>219</v>
      </c>
      <c r="AX27" t="s">
        <v>776</v>
      </c>
      <c r="AY27" t="s">
        <v>1049</v>
      </c>
      <c r="AZ27" t="s">
        <v>1049</v>
      </c>
      <c r="BA27" t="s">
        <v>1049</v>
      </c>
      <c r="BD27" t="s">
        <v>446</v>
      </c>
      <c r="BG27" t="s">
        <v>901</v>
      </c>
      <c r="BH27" t="s">
        <v>901</v>
      </c>
      <c r="BI27" t="s">
        <v>907</v>
      </c>
      <c r="BJ27" t="s">
        <v>907</v>
      </c>
      <c r="BM27" t="s">
        <v>334</v>
      </c>
      <c r="BN27" t="s">
        <v>334</v>
      </c>
      <c r="BO27" t="s">
        <v>334</v>
      </c>
      <c r="BP27" t="s">
        <v>434</v>
      </c>
      <c r="BQ27" t="s">
        <v>434</v>
      </c>
      <c r="BR27" t="s">
        <v>434</v>
      </c>
      <c r="BS27" t="s">
        <v>362</v>
      </c>
      <c r="BT27" t="s">
        <v>362</v>
      </c>
      <c r="BU27" t="s">
        <v>362</v>
      </c>
      <c r="BV27" t="s">
        <v>362</v>
      </c>
      <c r="BW27" t="s">
        <v>362</v>
      </c>
      <c r="BX27" t="s">
        <v>362</v>
      </c>
      <c r="BY27" t="s">
        <v>726</v>
      </c>
      <c r="BZ27" t="s">
        <v>726</v>
      </c>
      <c r="CA27" t="s">
        <v>726</v>
      </c>
      <c r="CB27" t="s">
        <v>726</v>
      </c>
      <c r="CC27" t="s">
        <v>726</v>
      </c>
      <c r="CD27" t="s">
        <v>758</v>
      </c>
      <c r="CF27" t="s">
        <v>188</v>
      </c>
      <c r="CG27" t="s">
        <v>399</v>
      </c>
      <c r="CH27" t="s">
        <v>399</v>
      </c>
      <c r="CI27" t="s">
        <v>399</v>
      </c>
      <c r="CJ27" t="s">
        <v>399</v>
      </c>
      <c r="CK27" t="s">
        <v>399</v>
      </c>
      <c r="CL27" t="s">
        <v>399</v>
      </c>
      <c r="CM27" t="s">
        <v>220</v>
      </c>
      <c r="CN27" t="s">
        <v>220</v>
      </c>
      <c r="CO27" t="s">
        <v>220</v>
      </c>
      <c r="CP27" t="s">
        <v>220</v>
      </c>
      <c r="CQ27" t="s">
        <v>220</v>
      </c>
      <c r="CR27" t="s">
        <v>220</v>
      </c>
      <c r="CS27" t="s">
        <v>500</v>
      </c>
      <c r="CT27" t="s">
        <v>500</v>
      </c>
      <c r="CU27" t="s">
        <v>500</v>
      </c>
      <c r="CV27" t="s">
        <v>500</v>
      </c>
      <c r="CW27" t="s">
        <v>407</v>
      </c>
      <c r="CX27" t="s">
        <v>493</v>
      </c>
      <c r="CY27" t="s">
        <v>1043</v>
      </c>
      <c r="CZ27" t="s">
        <v>1043</v>
      </c>
      <c r="DA27" t="s">
        <v>502</v>
      </c>
      <c r="DB27" t="s">
        <v>502</v>
      </c>
      <c r="DC27" t="s">
        <v>502</v>
      </c>
      <c r="DD27" t="s">
        <v>502</v>
      </c>
      <c r="DE27" t="s">
        <v>502</v>
      </c>
      <c r="DF27" t="s">
        <v>43</v>
      </c>
      <c r="DG27" t="s">
        <v>43</v>
      </c>
      <c r="DH27" t="s">
        <v>901</v>
      </c>
      <c r="DI27" t="s">
        <v>901</v>
      </c>
      <c r="DJ27" t="s">
        <v>901</v>
      </c>
      <c r="DK27" t="s">
        <v>901</v>
      </c>
      <c r="DL27" t="s">
        <v>907</v>
      </c>
      <c r="DM27" t="s">
        <v>907</v>
      </c>
      <c r="DN27" t="s">
        <v>907</v>
      </c>
      <c r="DO27" t="s">
        <v>907</v>
      </c>
      <c r="DP27" t="s">
        <v>877</v>
      </c>
      <c r="DQ27" t="s">
        <v>877</v>
      </c>
      <c r="DR27" t="s">
        <v>147</v>
      </c>
      <c r="DS27" t="s">
        <v>127</v>
      </c>
      <c r="DU27" t="s">
        <v>641</v>
      </c>
      <c r="DV27" t="s">
        <v>641</v>
      </c>
      <c r="DW27" t="s">
        <v>257</v>
      </c>
      <c r="DY27" t="s">
        <v>1059</v>
      </c>
      <c r="DZ27" t="s">
        <v>1059</v>
      </c>
      <c r="EA27" t="s">
        <v>776</v>
      </c>
      <c r="ED27" t="s">
        <v>878</v>
      </c>
      <c r="EE27" t="s">
        <v>394</v>
      </c>
      <c r="EF27" t="s">
        <v>394</v>
      </c>
      <c r="EG27" t="s">
        <v>905</v>
      </c>
      <c r="EH27" t="s">
        <v>894</v>
      </c>
      <c r="EI27" t="s">
        <v>247</v>
      </c>
      <c r="EJ27" t="s">
        <v>814</v>
      </c>
      <c r="EK27" t="s">
        <v>903</v>
      </c>
      <c r="EL27" t="s">
        <v>903</v>
      </c>
      <c r="EM27" t="s">
        <v>1050</v>
      </c>
      <c r="EN27" t="s">
        <v>1050</v>
      </c>
      <c r="EO27" t="s">
        <v>1050</v>
      </c>
      <c r="EP27" t="s">
        <v>1050</v>
      </c>
      <c r="EQ27" t="s">
        <v>1050</v>
      </c>
      <c r="ER27" t="s">
        <v>1050</v>
      </c>
      <c r="ES27" t="s">
        <v>1050</v>
      </c>
      <c r="ET27" t="s">
        <v>1050</v>
      </c>
      <c r="EU27" t="s">
        <v>1050</v>
      </c>
      <c r="EV27" t="s">
        <v>1050</v>
      </c>
      <c r="EW27" t="s">
        <v>1050</v>
      </c>
      <c r="EX27" t="s">
        <v>1050</v>
      </c>
      <c r="EY27" t="s">
        <v>1050</v>
      </c>
      <c r="EZ27" t="s">
        <v>1050</v>
      </c>
      <c r="FA27" t="s">
        <v>1050</v>
      </c>
      <c r="FB27" t="s">
        <v>1050</v>
      </c>
      <c r="FC27" t="s">
        <v>1050</v>
      </c>
      <c r="FD27" t="s">
        <v>1050</v>
      </c>
      <c r="FE27" t="s">
        <v>1050</v>
      </c>
      <c r="FH27" t="s">
        <v>252</v>
      </c>
      <c r="FI27" t="s">
        <v>642</v>
      </c>
      <c r="FM27" t="str">
        <f t="shared" si="0"/>
        <v xml:space="preserve">    &lt;route id="Router3_26" edges="-gneE80.0 -gneE80.17 -gneE41 gneE44 -388756838#2 -388756838#1 -388756838#0 42706817#0 386547310 gneE69 -388756838#2 -388756838#1 -388756838#0 -388756839#1 -388756839#0 -194358837#2 -194358837#0 194358838#0 194358838#1 32121111#9 32121111#10 -386995486#0 -386995514#9 50033058#2 50033058#3 194358837#0 194358837#1 12175533#0 12175533#2 12175533#3 42706825#4 42706825#5 12189876#0 12189876#2 484953509#0 484953509#2 -12175523#1 12134222#0 12134222#2 12134222#3 386547311#11 386547311#13 357338496#0 357338496#2 450695461#0 62646494#0 424801336#0 484842168#0 283621820 -28555309#1 -424801341 -283621822#1 -424801343#1 -424801343#0 49991658 424801340 424801342 386550018#0 386550018#0-AddedOffRampEdge 386550018#1 49991638 -12144161#0 12144161#0 12144161#1 49991657 283621821#1 283621821#1-AddedOffRampEdge 283621821#2 49991647#1 49991647#2 63060732#0 63060732#1 63060732#2.0 63060732#2.116 50033027 -50033029 50033050#0 50033050#2 424799828 424799825 424799826 50033054 63060727 50033029 50033028#0 50033028#3 50033028#5 50033028#6 49991646 386547300#0 283621823 386547301-AddedOnRampEdge 386547301 424801344#0 424801343#1 283621822#0 424801341 28555309#0 49991649#0 424986163#0 51049946#0 424801337#0 357338497#0 357338497#2 450695460#0 62646499#0 62646499#2 450827424#0 62646508#0 62646508#2 424799820 424799823#0 50033059#0 50033059#2 50033059#3 50033059#4 388756839#0 388756839#1 388756838#0 12136923#0 386547309#0 386547309#2 386547309#3 386547309#5 386547309#7 51050030#4 51050030#7 gneE35 -gneE34.0 --gneE83.0"/&gt;</v>
      </c>
      <c r="FN27" t="s">
        <v>2516</v>
      </c>
      <c r="FO27" t="s">
        <v>1115</v>
      </c>
      <c r="FP27" t="s">
        <v>2544</v>
      </c>
    </row>
    <row r="28" spans="1:172" x14ac:dyDescent="0.25">
      <c r="A28" t="s">
        <v>23</v>
      </c>
      <c r="B28" t="s">
        <v>826</v>
      </c>
      <c r="C28" t="s">
        <v>826</v>
      </c>
      <c r="D28" t="s">
        <v>826</v>
      </c>
      <c r="E28" t="s">
        <v>826</v>
      </c>
      <c r="F28" t="s">
        <v>826</v>
      </c>
      <c r="G28" t="s">
        <v>826</v>
      </c>
      <c r="H28" t="s">
        <v>826</v>
      </c>
      <c r="I28" t="s">
        <v>826</v>
      </c>
      <c r="J28" t="s">
        <v>826</v>
      </c>
      <c r="K28" t="s">
        <v>826</v>
      </c>
      <c r="L28" t="s">
        <v>826</v>
      </c>
      <c r="M28" t="s">
        <v>826</v>
      </c>
      <c r="N28" t="s">
        <v>826</v>
      </c>
      <c r="O28" t="s">
        <v>826</v>
      </c>
      <c r="P28" t="s">
        <v>826</v>
      </c>
      <c r="Q28" t="s">
        <v>826</v>
      </c>
      <c r="R28" t="s">
        <v>826</v>
      </c>
      <c r="S28" t="s">
        <v>632</v>
      </c>
      <c r="T28" t="s">
        <v>163</v>
      </c>
      <c r="U28" t="s">
        <v>163</v>
      </c>
      <c r="V28" t="s">
        <v>19</v>
      </c>
      <c r="W28" t="s">
        <v>67</v>
      </c>
      <c r="X28" t="s">
        <v>67</v>
      </c>
      <c r="Y28" t="s">
        <v>67</v>
      </c>
      <c r="Z28" t="s">
        <v>67</v>
      </c>
      <c r="AA28" t="s">
        <v>924</v>
      </c>
      <c r="AB28" t="s">
        <v>924</v>
      </c>
      <c r="AC28" t="s">
        <v>924</v>
      </c>
      <c r="AD28" t="s">
        <v>159</v>
      </c>
      <c r="AE28" t="s">
        <v>159</v>
      </c>
      <c r="AF28" t="s">
        <v>5</v>
      </c>
      <c r="AG28" t="s">
        <v>4</v>
      </c>
      <c r="AH28" t="s">
        <v>408</v>
      </c>
      <c r="AO28" t="s">
        <v>731</v>
      </c>
      <c r="AP28" t="s">
        <v>760</v>
      </c>
      <c r="AQ28" t="s">
        <v>113</v>
      </c>
      <c r="AR28" t="s">
        <v>433</v>
      </c>
      <c r="AS28" t="s">
        <v>448</v>
      </c>
      <c r="AV28" t="s">
        <v>449</v>
      </c>
      <c r="AW28" t="s">
        <v>220</v>
      </c>
      <c r="AX28" t="s">
        <v>905</v>
      </c>
      <c r="AY28" t="s">
        <v>1050</v>
      </c>
      <c r="AZ28" t="s">
        <v>1050</v>
      </c>
      <c r="BA28" t="s">
        <v>1050</v>
      </c>
      <c r="BD28" t="s">
        <v>447</v>
      </c>
      <c r="BG28" t="s">
        <v>902</v>
      </c>
      <c r="BH28" t="s">
        <v>906</v>
      </c>
      <c r="BI28" t="s">
        <v>779</v>
      </c>
      <c r="BJ28" t="s">
        <v>779</v>
      </c>
      <c r="BM28" t="s">
        <v>335</v>
      </c>
      <c r="BN28" t="s">
        <v>335</v>
      </c>
      <c r="BO28" t="s">
        <v>335</v>
      </c>
      <c r="BP28" t="s">
        <v>435</v>
      </c>
      <c r="BQ28" t="s">
        <v>435</v>
      </c>
      <c r="BR28" t="s">
        <v>435</v>
      </c>
      <c r="BS28" t="s">
        <v>87</v>
      </c>
      <c r="BT28" t="s">
        <v>87</v>
      </c>
      <c r="BU28" t="s">
        <v>87</v>
      </c>
      <c r="BV28" t="s">
        <v>87</v>
      </c>
      <c r="BW28" t="s">
        <v>87</v>
      </c>
      <c r="BX28" t="s">
        <v>87</v>
      </c>
      <c r="BY28" t="s">
        <v>727</v>
      </c>
      <c r="BZ28" t="s">
        <v>727</v>
      </c>
      <c r="CA28" t="s">
        <v>727</v>
      </c>
      <c r="CB28" t="s">
        <v>727</v>
      </c>
      <c r="CC28" t="s">
        <v>727</v>
      </c>
      <c r="CD28" t="s">
        <v>445</v>
      </c>
      <c r="CF28" t="s">
        <v>189</v>
      </c>
      <c r="CG28" t="s">
        <v>400</v>
      </c>
      <c r="CH28" t="s">
        <v>400</v>
      </c>
      <c r="CI28" t="s">
        <v>400</v>
      </c>
      <c r="CJ28" t="s">
        <v>400</v>
      </c>
      <c r="CK28" t="s">
        <v>400</v>
      </c>
      <c r="CL28" t="s">
        <v>400</v>
      </c>
      <c r="CM28" t="s">
        <v>395</v>
      </c>
      <c r="CN28" t="s">
        <v>395</v>
      </c>
      <c r="CO28" t="s">
        <v>395</v>
      </c>
      <c r="CP28" t="s">
        <v>395</v>
      </c>
      <c r="CQ28" t="s">
        <v>395</v>
      </c>
      <c r="CR28" t="s">
        <v>395</v>
      </c>
      <c r="CS28" t="s">
        <v>501</v>
      </c>
      <c r="CT28" t="s">
        <v>501</v>
      </c>
      <c r="CU28" t="s">
        <v>501</v>
      </c>
      <c r="CV28" t="s">
        <v>501</v>
      </c>
      <c r="CW28" t="s">
        <v>43</v>
      </c>
      <c r="CX28" t="s">
        <v>494</v>
      </c>
      <c r="CY28" t="s">
        <v>1044</v>
      </c>
      <c r="CZ28" t="s">
        <v>1044</v>
      </c>
      <c r="DA28" t="s">
        <v>259</v>
      </c>
      <c r="DB28" t="s">
        <v>259</v>
      </c>
      <c r="DC28" t="s">
        <v>259</v>
      </c>
      <c r="DD28" t="s">
        <v>259</v>
      </c>
      <c r="DE28" t="s">
        <v>259</v>
      </c>
      <c r="DF28" t="s">
        <v>44</v>
      </c>
      <c r="DG28" t="s">
        <v>44</v>
      </c>
      <c r="DH28" t="s">
        <v>902</v>
      </c>
      <c r="DI28" t="s">
        <v>902</v>
      </c>
      <c r="DJ28" t="s">
        <v>906</v>
      </c>
      <c r="DK28" t="s">
        <v>906</v>
      </c>
      <c r="DL28" t="s">
        <v>779</v>
      </c>
      <c r="DM28" t="s">
        <v>779</v>
      </c>
      <c r="DN28" t="s">
        <v>779</v>
      </c>
      <c r="DO28" t="s">
        <v>779</v>
      </c>
      <c r="DP28" t="s">
        <v>878</v>
      </c>
      <c r="DQ28" t="s">
        <v>878</v>
      </c>
      <c r="DR28" t="s">
        <v>148</v>
      </c>
      <c r="DS28" t="s">
        <v>128</v>
      </c>
      <c r="DU28" t="s">
        <v>642</v>
      </c>
      <c r="DV28" t="s">
        <v>642</v>
      </c>
      <c r="DW28" t="s">
        <v>258</v>
      </c>
      <c r="DY28" t="s">
        <v>249</v>
      </c>
      <c r="DZ28" t="s">
        <v>249</v>
      </c>
      <c r="EA28" t="s">
        <v>777</v>
      </c>
      <c r="ED28" t="s">
        <v>60</v>
      </c>
      <c r="EE28" t="s">
        <v>218</v>
      </c>
      <c r="EF28" t="s">
        <v>218</v>
      </c>
      <c r="EG28" t="s">
        <v>1045</v>
      </c>
      <c r="EH28" t="s">
        <v>797</v>
      </c>
      <c r="EI28" t="s">
        <v>248</v>
      </c>
      <c r="EJ28" t="s">
        <v>794</v>
      </c>
      <c r="EK28" t="s">
        <v>904</v>
      </c>
      <c r="EL28" t="s">
        <v>904</v>
      </c>
      <c r="EM28" t="s">
        <v>1051</v>
      </c>
      <c r="EN28" t="s">
        <v>1051</v>
      </c>
      <c r="EO28" t="s">
        <v>1051</v>
      </c>
      <c r="EP28" t="s">
        <v>1051</v>
      </c>
      <c r="EQ28" t="s">
        <v>1051</v>
      </c>
      <c r="ER28" t="s">
        <v>1051</v>
      </c>
      <c r="ES28" t="s">
        <v>1051</v>
      </c>
      <c r="ET28" t="s">
        <v>1051</v>
      </c>
      <c r="EU28" t="s">
        <v>1051</v>
      </c>
      <c r="EV28" t="s">
        <v>1051</v>
      </c>
      <c r="EW28" t="s">
        <v>1051</v>
      </c>
      <c r="EX28" t="s">
        <v>1051</v>
      </c>
      <c r="EY28" t="s">
        <v>1051</v>
      </c>
      <c r="EZ28" t="s">
        <v>1051</v>
      </c>
      <c r="FA28" t="s">
        <v>1051</v>
      </c>
      <c r="FB28" t="s">
        <v>1051</v>
      </c>
      <c r="FC28" t="s">
        <v>1051</v>
      </c>
      <c r="FD28" t="s">
        <v>1051</v>
      </c>
      <c r="FE28" t="s">
        <v>1051</v>
      </c>
      <c r="FH28" t="s">
        <v>253</v>
      </c>
      <c r="FI28" t="s">
        <v>643</v>
      </c>
      <c r="FM28" t="str">
        <f t="shared" si="0"/>
        <v xml:space="preserve">    &lt;route id="Router3_27" edges="-gneE80.0 -gneE80.17 -gneE41 gneE44 -388756838#2 -388756838#1 -388756838#0 42706817#0 386547310 gneE69 -gneE44 gneE41 254666172#0 -386995551 -386995537 -386995526#1 -386995526#0 -43357814#3 12175537#8 12175537#9 12154359#6 386995531#1 12174155#0 -12175537#10 -12175537#9 -12175537#8 -12175537#7 12152013#3 12167232#3 386995531#0 12154359#7 101350669 -386995537 -386995526#1 -386995526#0 -43357814#3 12175537#8 12175537#9 12154359#6 386995531#1 386995531#2 387422150#2 12175537#12 12155177#1 386995531#4 12172918#2 gneE73 gneE75.0 -gneE80.17 -gneE41 gneE44 -388756838#2 -388756838#1 -388756838#0 42706817#0 386547310 gneE69 -gneE44 gneE41 gneE80.0 gneE80.125"/&gt;</v>
      </c>
      <c r="FN28" t="s">
        <v>2516</v>
      </c>
      <c r="FO28" t="s">
        <v>1116</v>
      </c>
      <c r="FP28" t="s">
        <v>2545</v>
      </c>
    </row>
    <row r="29" spans="1:172" x14ac:dyDescent="0.25">
      <c r="A29" t="s">
        <v>24</v>
      </c>
      <c r="B29" t="s">
        <v>597</v>
      </c>
      <c r="C29" t="s">
        <v>597</v>
      </c>
      <c r="D29" t="s">
        <v>597</v>
      </c>
      <c r="E29" t="s">
        <v>597</v>
      </c>
      <c r="F29" t="s">
        <v>597</v>
      </c>
      <c r="G29" t="s">
        <v>597</v>
      </c>
      <c r="H29" t="s">
        <v>597</v>
      </c>
      <c r="I29" t="s">
        <v>597</v>
      </c>
      <c r="J29" t="s">
        <v>597</v>
      </c>
      <c r="K29" t="s">
        <v>597</v>
      </c>
      <c r="L29" t="s">
        <v>597</v>
      </c>
      <c r="M29" t="s">
        <v>597</v>
      </c>
      <c r="N29" t="s">
        <v>597</v>
      </c>
      <c r="O29" t="s">
        <v>597</v>
      </c>
      <c r="P29" t="s">
        <v>597</v>
      </c>
      <c r="Q29" t="s">
        <v>597</v>
      </c>
      <c r="R29" t="s">
        <v>597</v>
      </c>
      <c r="S29" t="s">
        <v>633</v>
      </c>
      <c r="T29" t="s">
        <v>164</v>
      </c>
      <c r="U29" t="s">
        <v>164</v>
      </c>
      <c r="V29" t="s">
        <v>20</v>
      </c>
      <c r="W29" t="s">
        <v>1023</v>
      </c>
      <c r="X29" t="s">
        <v>1023</v>
      </c>
      <c r="Y29" t="s">
        <v>1023</v>
      </c>
      <c r="Z29" t="s">
        <v>1023</v>
      </c>
      <c r="AA29" t="s">
        <v>945</v>
      </c>
      <c r="AB29" t="s">
        <v>945</v>
      </c>
      <c r="AC29" t="s">
        <v>945</v>
      </c>
      <c r="AD29" t="s">
        <v>160</v>
      </c>
      <c r="AE29" t="s">
        <v>160</v>
      </c>
      <c r="AF29" t="s">
        <v>6</v>
      </c>
      <c r="AG29" t="s">
        <v>5</v>
      </c>
      <c r="AH29" t="s">
        <v>409</v>
      </c>
      <c r="AO29" t="s">
        <v>732</v>
      </c>
      <c r="AP29" t="s">
        <v>240</v>
      </c>
      <c r="AQ29" t="s">
        <v>114</v>
      </c>
      <c r="AR29" t="s">
        <v>434</v>
      </c>
      <c r="AS29" t="s">
        <v>569</v>
      </c>
      <c r="AV29" t="s">
        <v>112</v>
      </c>
      <c r="AW29" t="s">
        <v>395</v>
      </c>
      <c r="AX29" t="s">
        <v>1045</v>
      </c>
      <c r="AY29" t="s">
        <v>1051</v>
      </c>
      <c r="AZ29" t="s">
        <v>1051</v>
      </c>
      <c r="BA29" t="s">
        <v>1051</v>
      </c>
      <c r="BD29" t="s">
        <v>448</v>
      </c>
      <c r="BG29" t="s">
        <v>785</v>
      </c>
      <c r="BH29" t="s">
        <v>793</v>
      </c>
      <c r="BI29" t="s">
        <v>780</v>
      </c>
      <c r="BJ29" t="s">
        <v>780</v>
      </c>
      <c r="BM29" t="s">
        <v>336</v>
      </c>
      <c r="BN29" t="s">
        <v>336</v>
      </c>
      <c r="BO29" t="s">
        <v>336</v>
      </c>
      <c r="BP29" t="s">
        <v>1024</v>
      </c>
      <c r="BQ29" t="s">
        <v>1024</v>
      </c>
      <c r="BR29" t="s">
        <v>1024</v>
      </c>
      <c r="BS29" t="s">
        <v>88</v>
      </c>
      <c r="BT29" t="s">
        <v>88</v>
      </c>
      <c r="BU29" t="s">
        <v>88</v>
      </c>
      <c r="BV29" t="s">
        <v>88</v>
      </c>
      <c r="BW29" t="s">
        <v>88</v>
      </c>
      <c r="BX29" t="s">
        <v>88</v>
      </c>
      <c r="BY29" t="s">
        <v>728</v>
      </c>
      <c r="BZ29" t="s">
        <v>728</v>
      </c>
      <c r="CA29" t="s">
        <v>728</v>
      </c>
      <c r="CB29" t="s">
        <v>728</v>
      </c>
      <c r="CC29" t="s">
        <v>728</v>
      </c>
      <c r="CD29" t="s">
        <v>446</v>
      </c>
      <c r="CF29" t="s">
        <v>190</v>
      </c>
      <c r="CG29" t="s">
        <v>401</v>
      </c>
      <c r="CH29" t="s">
        <v>401</v>
      </c>
      <c r="CI29" t="s">
        <v>401</v>
      </c>
      <c r="CJ29" t="s">
        <v>401</v>
      </c>
      <c r="CK29" t="s">
        <v>401</v>
      </c>
      <c r="CL29" t="s">
        <v>401</v>
      </c>
      <c r="CM29" t="s">
        <v>396</v>
      </c>
      <c r="CN29" t="s">
        <v>396</v>
      </c>
      <c r="CO29" t="s">
        <v>396</v>
      </c>
      <c r="CP29" t="s">
        <v>396</v>
      </c>
      <c r="CQ29" t="s">
        <v>396</v>
      </c>
      <c r="CR29" t="s">
        <v>396</v>
      </c>
      <c r="CS29" t="s">
        <v>502</v>
      </c>
      <c r="CT29" t="s">
        <v>502</v>
      </c>
      <c r="CU29" t="s">
        <v>502</v>
      </c>
      <c r="CV29" t="s">
        <v>502</v>
      </c>
      <c r="CW29" t="s">
        <v>44</v>
      </c>
      <c r="CX29" t="s">
        <v>495</v>
      </c>
      <c r="CY29" t="s">
        <v>117</v>
      </c>
      <c r="CZ29" t="s">
        <v>117</v>
      </c>
      <c r="DA29" t="s">
        <v>352</v>
      </c>
      <c r="DB29" t="s">
        <v>352</v>
      </c>
      <c r="DC29" t="s">
        <v>352</v>
      </c>
      <c r="DD29" t="s">
        <v>352</v>
      </c>
      <c r="DE29" t="s">
        <v>352</v>
      </c>
      <c r="DF29" t="s">
        <v>45</v>
      </c>
      <c r="DG29" t="s">
        <v>45</v>
      </c>
      <c r="DH29" t="s">
        <v>785</v>
      </c>
      <c r="DI29" t="s">
        <v>785</v>
      </c>
      <c r="DJ29" t="s">
        <v>793</v>
      </c>
      <c r="DK29" t="s">
        <v>793</v>
      </c>
      <c r="DL29" t="s">
        <v>780</v>
      </c>
      <c r="DM29" t="s">
        <v>780</v>
      </c>
      <c r="DN29" t="s">
        <v>780</v>
      </c>
      <c r="DO29" t="s">
        <v>780</v>
      </c>
      <c r="DP29" t="s">
        <v>879</v>
      </c>
      <c r="DQ29" t="s">
        <v>879</v>
      </c>
      <c r="DR29" t="s">
        <v>956</v>
      </c>
      <c r="DS29" t="s">
        <v>129</v>
      </c>
      <c r="DU29" t="s">
        <v>643</v>
      </c>
      <c r="DV29" t="s">
        <v>643</v>
      </c>
      <c r="DY29" t="s">
        <v>903</v>
      </c>
      <c r="DZ29" t="s">
        <v>903</v>
      </c>
      <c r="EA29" t="s">
        <v>778</v>
      </c>
      <c r="ED29" t="s">
        <v>144</v>
      </c>
      <c r="EE29" t="s">
        <v>219</v>
      </c>
      <c r="EF29" t="s">
        <v>219</v>
      </c>
      <c r="EG29" t="s">
        <v>784</v>
      </c>
      <c r="EH29" t="s">
        <v>798</v>
      </c>
      <c r="EI29" t="s">
        <v>249</v>
      </c>
      <c r="EJ29" t="s">
        <v>795</v>
      </c>
      <c r="EK29" t="s">
        <v>1060</v>
      </c>
      <c r="EL29" t="s">
        <v>1060</v>
      </c>
      <c r="EM29" t="s">
        <v>1052</v>
      </c>
      <c r="EN29" t="s">
        <v>1052</v>
      </c>
      <c r="EO29" t="s">
        <v>1052</v>
      </c>
      <c r="EP29" t="s">
        <v>1052</v>
      </c>
      <c r="EQ29" t="s">
        <v>1052</v>
      </c>
      <c r="ER29" t="s">
        <v>1052</v>
      </c>
      <c r="ES29" t="s">
        <v>1052</v>
      </c>
      <c r="ET29" t="s">
        <v>1052</v>
      </c>
      <c r="EU29" t="s">
        <v>1052</v>
      </c>
      <c r="EV29" t="s">
        <v>1052</v>
      </c>
      <c r="EW29" t="s">
        <v>1052</v>
      </c>
      <c r="EX29" t="s">
        <v>1052</v>
      </c>
      <c r="EY29" t="s">
        <v>1052</v>
      </c>
      <c r="EZ29" t="s">
        <v>1052</v>
      </c>
      <c r="FA29" t="s">
        <v>1052</v>
      </c>
      <c r="FB29" t="s">
        <v>1052</v>
      </c>
      <c r="FC29" t="s">
        <v>1052</v>
      </c>
      <c r="FD29" t="s">
        <v>1052</v>
      </c>
      <c r="FE29" t="s">
        <v>1052</v>
      </c>
      <c r="FH29" t="s">
        <v>254</v>
      </c>
      <c r="FI29" t="s">
        <v>644</v>
      </c>
      <c r="FM29" t="str">
        <f t="shared" si="0"/>
        <v xml:space="preserve">    &lt;route id="Router3_28" edges="-gneE80.0 -gneE80.17 -gneE41 gneE44 -388756838#2 -388756838#1 -388756838#0 42706817#0 386547310 gneE69 -gneE44 gneE41 254666172#0 -386995551 -386995537 -386995526#1 -386995526#0 -43357814#3 12175537#8 12175537#9 12154359#6 386995531#1 12174155#0 -12175537#10 -12175537#9 -12175537#8 -12175537#7 12152013#3 12167232#3 386995531#0 12154359#7 101350669 -386995537 -386995526#1 -386995526#0 -43357814#3 12175537#8 12175537#9 12154359#6 386995531#1 386995531#2 387422150#2 12175537#12 12155177#1 386995531#4 12172918#2 gneE73 gneE75.0 gneE80.125"/&gt;</v>
      </c>
      <c r="FN29" t="s">
        <v>2516</v>
      </c>
      <c r="FO29" t="s">
        <v>1117</v>
      </c>
      <c r="FP29" t="s">
        <v>2546</v>
      </c>
    </row>
    <row r="30" spans="1:172" x14ac:dyDescent="0.25">
      <c r="A30" t="s">
        <v>25</v>
      </c>
      <c r="B30" t="s">
        <v>827</v>
      </c>
      <c r="C30" t="s">
        <v>827</v>
      </c>
      <c r="D30" t="s">
        <v>827</v>
      </c>
      <c r="E30" t="s">
        <v>827</v>
      </c>
      <c r="F30" t="s">
        <v>827</v>
      </c>
      <c r="G30" t="s">
        <v>827</v>
      </c>
      <c r="H30" t="s">
        <v>827</v>
      </c>
      <c r="I30" t="s">
        <v>827</v>
      </c>
      <c r="J30" t="s">
        <v>827</v>
      </c>
      <c r="K30" t="s">
        <v>827</v>
      </c>
      <c r="L30" t="s">
        <v>827</v>
      </c>
      <c r="M30" t="s">
        <v>827</v>
      </c>
      <c r="N30" t="s">
        <v>827</v>
      </c>
      <c r="O30" t="s">
        <v>827</v>
      </c>
      <c r="P30" t="s">
        <v>827</v>
      </c>
      <c r="Q30" t="s">
        <v>827</v>
      </c>
      <c r="R30" t="s">
        <v>827</v>
      </c>
      <c r="S30" t="s">
        <v>634</v>
      </c>
      <c r="T30" t="s">
        <v>165</v>
      </c>
      <c r="U30" t="s">
        <v>165</v>
      </c>
      <c r="V30" t="s">
        <v>21</v>
      </c>
      <c r="W30" t="s">
        <v>962</v>
      </c>
      <c r="X30" t="s">
        <v>962</v>
      </c>
      <c r="Y30" t="s">
        <v>962</v>
      </c>
      <c r="Z30" t="s">
        <v>962</v>
      </c>
      <c r="AA30" t="s">
        <v>1021</v>
      </c>
      <c r="AB30" t="s">
        <v>1021</v>
      </c>
      <c r="AC30" t="s">
        <v>1021</v>
      </c>
      <c r="AD30" t="s">
        <v>161</v>
      </c>
      <c r="AE30" t="s">
        <v>161</v>
      </c>
      <c r="AF30" t="s">
        <v>7</v>
      </c>
      <c r="AG30" t="s">
        <v>6</v>
      </c>
      <c r="AH30" t="s">
        <v>410</v>
      </c>
      <c r="AO30" t="s">
        <v>733</v>
      </c>
      <c r="AP30" t="s">
        <v>241</v>
      </c>
      <c r="AQ30" t="s">
        <v>115</v>
      </c>
      <c r="AR30" t="s">
        <v>435</v>
      </c>
      <c r="AS30" t="s">
        <v>721</v>
      </c>
      <c r="AV30" t="s">
        <v>113</v>
      </c>
      <c r="AW30" t="s">
        <v>396</v>
      </c>
      <c r="AX30" t="s">
        <v>784</v>
      </c>
      <c r="AY30" t="s">
        <v>1052</v>
      </c>
      <c r="AZ30" t="s">
        <v>1052</v>
      </c>
      <c r="BA30" t="s">
        <v>1052</v>
      </c>
      <c r="BD30" t="s">
        <v>569</v>
      </c>
      <c r="BG30" t="s">
        <v>786</v>
      </c>
      <c r="BH30" t="s">
        <v>638</v>
      </c>
      <c r="BI30" t="s">
        <v>781</v>
      </c>
      <c r="BJ30" t="s">
        <v>781</v>
      </c>
      <c r="BM30" t="s">
        <v>337</v>
      </c>
      <c r="BN30" t="s">
        <v>337</v>
      </c>
      <c r="BO30" t="s">
        <v>337</v>
      </c>
      <c r="BP30" t="s">
        <v>340</v>
      </c>
      <c r="BQ30" t="s">
        <v>340</v>
      </c>
      <c r="BR30" t="s">
        <v>340</v>
      </c>
      <c r="BS30" t="s">
        <v>89</v>
      </c>
      <c r="BT30" t="s">
        <v>89</v>
      </c>
      <c r="BU30" t="s">
        <v>89</v>
      </c>
      <c r="BV30" t="s">
        <v>89</v>
      </c>
      <c r="BW30" t="s">
        <v>89</v>
      </c>
      <c r="BX30" t="s">
        <v>89</v>
      </c>
      <c r="BY30" t="s">
        <v>729</v>
      </c>
      <c r="BZ30" t="s">
        <v>729</v>
      </c>
      <c r="CA30" t="s">
        <v>729</v>
      </c>
      <c r="CB30" t="s">
        <v>729</v>
      </c>
      <c r="CC30" t="s">
        <v>729</v>
      </c>
      <c r="CD30" t="s">
        <v>447</v>
      </c>
      <c r="CF30" t="s">
        <v>191</v>
      </c>
      <c r="CG30" t="s">
        <v>402</v>
      </c>
      <c r="CH30" t="s">
        <v>402</v>
      </c>
      <c r="CI30" t="s">
        <v>402</v>
      </c>
      <c r="CJ30" t="s">
        <v>402</v>
      </c>
      <c r="CK30" t="s">
        <v>402</v>
      </c>
      <c r="CL30" t="s">
        <v>402</v>
      </c>
      <c r="CM30" t="s">
        <v>397</v>
      </c>
      <c r="CN30" t="s">
        <v>397</v>
      </c>
      <c r="CO30" t="s">
        <v>397</v>
      </c>
      <c r="CP30" t="s">
        <v>397</v>
      </c>
      <c r="CQ30" t="s">
        <v>397</v>
      </c>
      <c r="CR30" t="s">
        <v>397</v>
      </c>
      <c r="CS30" t="s">
        <v>503</v>
      </c>
      <c r="CT30" t="s">
        <v>503</v>
      </c>
      <c r="CU30" t="s">
        <v>503</v>
      </c>
      <c r="CV30" t="s">
        <v>503</v>
      </c>
      <c r="CW30" t="s">
        <v>45</v>
      </c>
      <c r="CX30" t="s">
        <v>496</v>
      </c>
      <c r="CY30" t="s">
        <v>118</v>
      </c>
      <c r="CZ30" t="s">
        <v>118</v>
      </c>
      <c r="DA30" t="s">
        <v>353</v>
      </c>
      <c r="DB30" t="s">
        <v>353</v>
      </c>
      <c r="DC30" t="s">
        <v>353</v>
      </c>
      <c r="DD30" t="s">
        <v>109</v>
      </c>
      <c r="DE30" t="s">
        <v>109</v>
      </c>
      <c r="DF30" t="s">
        <v>489</v>
      </c>
      <c r="DH30" t="s">
        <v>786</v>
      </c>
      <c r="DI30" t="s">
        <v>786</v>
      </c>
      <c r="DJ30" t="s">
        <v>638</v>
      </c>
      <c r="DK30" t="s">
        <v>638</v>
      </c>
      <c r="DL30" t="s">
        <v>781</v>
      </c>
      <c r="DM30" t="s">
        <v>781</v>
      </c>
      <c r="DN30" t="s">
        <v>781</v>
      </c>
      <c r="DO30" t="s">
        <v>781</v>
      </c>
      <c r="DP30" t="s">
        <v>852</v>
      </c>
      <c r="DQ30" t="s">
        <v>852</v>
      </c>
      <c r="DR30" t="s">
        <v>957</v>
      </c>
      <c r="DS30" t="s">
        <v>130</v>
      </c>
      <c r="DU30" t="s">
        <v>644</v>
      </c>
      <c r="DV30" t="s">
        <v>799</v>
      </c>
      <c r="DY30" t="s">
        <v>904</v>
      </c>
      <c r="DZ30" t="s">
        <v>904</v>
      </c>
      <c r="EA30" t="s">
        <v>779</v>
      </c>
      <c r="ED30" t="s">
        <v>145</v>
      </c>
      <c r="EE30" t="s">
        <v>220</v>
      </c>
      <c r="EF30" t="s">
        <v>220</v>
      </c>
      <c r="EG30" t="s">
        <v>785</v>
      </c>
      <c r="EH30" t="s">
        <v>642</v>
      </c>
      <c r="EI30" t="s">
        <v>250</v>
      </c>
      <c r="EJ30" t="s">
        <v>796</v>
      </c>
      <c r="EK30" t="s">
        <v>892</v>
      </c>
      <c r="EL30" t="s">
        <v>892</v>
      </c>
      <c r="EM30" t="s">
        <v>1053</v>
      </c>
      <c r="EN30" t="s">
        <v>1053</v>
      </c>
      <c r="EO30" t="s">
        <v>1053</v>
      </c>
      <c r="EP30" t="s">
        <v>1053</v>
      </c>
      <c r="EQ30" t="s">
        <v>1053</v>
      </c>
      <c r="ER30" t="s">
        <v>1053</v>
      </c>
      <c r="ES30" t="s">
        <v>1053</v>
      </c>
      <c r="ET30" t="s">
        <v>1053</v>
      </c>
      <c r="EU30" t="s">
        <v>1053</v>
      </c>
      <c r="EV30" t="s">
        <v>1053</v>
      </c>
      <c r="EW30" t="s">
        <v>1053</v>
      </c>
      <c r="EX30" t="s">
        <v>1053</v>
      </c>
      <c r="EY30" t="s">
        <v>1053</v>
      </c>
      <c r="EZ30" t="s">
        <v>1053</v>
      </c>
      <c r="FA30" t="s">
        <v>1053</v>
      </c>
      <c r="FB30" t="s">
        <v>1053</v>
      </c>
      <c r="FC30" t="s">
        <v>1053</v>
      </c>
      <c r="FD30" t="s">
        <v>1053</v>
      </c>
      <c r="FE30" t="s">
        <v>1053</v>
      </c>
      <c r="FH30" t="s">
        <v>255</v>
      </c>
      <c r="FI30" t="s">
        <v>44</v>
      </c>
      <c r="FM30" t="str">
        <f t="shared" si="0"/>
        <v xml:space="preserve">    &lt;route id="Router3_29" edges="-gneE80.0 -gneE80.17 -gneE41 gneE44 -388756838#2 -388756838#1 -388756838#0 42706817#0 386547310 gneE69 -gneE44 gneE41 254666172#0 -386995551 -386995537 -386995526#1 -386995526#0 -43357814#3 12175537#8 12175537#9 12154359#6 386995531#1 12174155#0 -12175537#10 -12175537#9 -12175537#8 -12175537#7 12152013#3 12167232#3 386995531#0 12154359#7 101350669 -386995537 -386995526#1 -386995526#0 -43357814#3 12175537#8 12175537#9 12175537#10 12175537#11 12175537#12 12175537#13 12172918#1 12172918#2 gneE73 gneE75.0 gneE80.125"/&gt;</v>
      </c>
      <c r="FN30" t="s">
        <v>2516</v>
      </c>
      <c r="FO30" t="s">
        <v>1118</v>
      </c>
      <c r="FP30" t="s">
        <v>2547</v>
      </c>
    </row>
    <row r="31" spans="1:172" x14ac:dyDescent="0.25">
      <c r="A31" t="s">
        <v>26</v>
      </c>
      <c r="B31" t="s">
        <v>847</v>
      </c>
      <c r="C31" t="s">
        <v>847</v>
      </c>
      <c r="D31" t="s">
        <v>847</v>
      </c>
      <c r="E31" t="s">
        <v>847</v>
      </c>
      <c r="F31" t="s">
        <v>847</v>
      </c>
      <c r="G31" t="s">
        <v>847</v>
      </c>
      <c r="H31" t="s">
        <v>847</v>
      </c>
      <c r="I31" t="s">
        <v>847</v>
      </c>
      <c r="J31" t="s">
        <v>847</v>
      </c>
      <c r="K31" t="s">
        <v>847</v>
      </c>
      <c r="L31" t="s">
        <v>847</v>
      </c>
      <c r="M31" t="s">
        <v>847</v>
      </c>
      <c r="N31" t="s">
        <v>847</v>
      </c>
      <c r="O31" t="s">
        <v>847</v>
      </c>
      <c r="P31" t="s">
        <v>847</v>
      </c>
      <c r="Q31" t="s">
        <v>847</v>
      </c>
      <c r="R31" t="s">
        <v>847</v>
      </c>
      <c r="S31" t="s">
        <v>635</v>
      </c>
      <c r="T31" t="s">
        <v>166</v>
      </c>
      <c r="U31" t="s">
        <v>166</v>
      </c>
      <c r="V31" t="s">
        <v>22</v>
      </c>
      <c r="W31" t="s">
        <v>169</v>
      </c>
      <c r="X31" t="s">
        <v>169</v>
      </c>
      <c r="Y31" t="s">
        <v>169</v>
      </c>
      <c r="Z31" t="s">
        <v>169</v>
      </c>
      <c r="AA31" t="s">
        <v>959</v>
      </c>
      <c r="AB31" t="s">
        <v>959</v>
      </c>
      <c r="AC31" t="s">
        <v>959</v>
      </c>
      <c r="AF31" t="s">
        <v>8</v>
      </c>
      <c r="AG31" t="s">
        <v>10</v>
      </c>
      <c r="AH31" t="s">
        <v>161</v>
      </c>
      <c r="AO31" t="s">
        <v>734</v>
      </c>
      <c r="AP31" t="s">
        <v>391</v>
      </c>
      <c r="AQ31" t="s">
        <v>116</v>
      </c>
      <c r="AR31" t="s">
        <v>436</v>
      </c>
      <c r="AS31" t="s">
        <v>449</v>
      </c>
      <c r="AV31" t="s">
        <v>114</v>
      </c>
      <c r="AW31" t="s">
        <v>397</v>
      </c>
      <c r="AX31" t="s">
        <v>785</v>
      </c>
      <c r="AY31" t="s">
        <v>1053</v>
      </c>
      <c r="AZ31" t="s">
        <v>1053</v>
      </c>
      <c r="BA31" t="s">
        <v>1053</v>
      </c>
      <c r="BD31" t="s">
        <v>721</v>
      </c>
      <c r="BG31" t="s">
        <v>787</v>
      </c>
      <c r="BH31" t="s">
        <v>1058</v>
      </c>
      <c r="BI31" t="s">
        <v>1048</v>
      </c>
      <c r="BJ31" t="s">
        <v>1048</v>
      </c>
      <c r="BM31" t="s">
        <v>338</v>
      </c>
      <c r="BN31" t="s">
        <v>338</v>
      </c>
      <c r="BO31" t="s">
        <v>338</v>
      </c>
      <c r="BP31" t="s">
        <v>341</v>
      </c>
      <c r="BQ31" t="s">
        <v>341</v>
      </c>
      <c r="BR31" t="s">
        <v>341</v>
      </c>
      <c r="BS31" t="s">
        <v>90</v>
      </c>
      <c r="BT31" t="s">
        <v>90</v>
      </c>
      <c r="BU31" t="s">
        <v>90</v>
      </c>
      <c r="BV31" t="s">
        <v>90</v>
      </c>
      <c r="BW31" t="s">
        <v>90</v>
      </c>
      <c r="BX31" t="s">
        <v>511</v>
      </c>
      <c r="BY31" t="s">
        <v>494</v>
      </c>
      <c r="BZ31" t="s">
        <v>494</v>
      </c>
      <c r="CA31" t="s">
        <v>494</v>
      </c>
      <c r="CB31" t="s">
        <v>494</v>
      </c>
      <c r="CC31" t="s">
        <v>494</v>
      </c>
      <c r="CD31" t="s">
        <v>448</v>
      </c>
      <c r="CF31" t="s">
        <v>534</v>
      </c>
      <c r="CG31" t="s">
        <v>403</v>
      </c>
      <c r="CH31" t="s">
        <v>403</v>
      </c>
      <c r="CI31" t="s">
        <v>403</v>
      </c>
      <c r="CJ31" t="s">
        <v>403</v>
      </c>
      <c r="CK31" t="s">
        <v>403</v>
      </c>
      <c r="CL31" t="s">
        <v>403</v>
      </c>
      <c r="CM31" t="s">
        <v>398</v>
      </c>
      <c r="CN31" t="s">
        <v>398</v>
      </c>
      <c r="CO31" t="s">
        <v>398</v>
      </c>
      <c r="CP31" t="s">
        <v>398</v>
      </c>
      <c r="CQ31" t="s">
        <v>398</v>
      </c>
      <c r="CR31" t="s">
        <v>398</v>
      </c>
      <c r="CS31" t="s">
        <v>385</v>
      </c>
      <c r="CT31" t="s">
        <v>385</v>
      </c>
      <c r="CU31" t="s">
        <v>385</v>
      </c>
      <c r="CV31" t="s">
        <v>385</v>
      </c>
      <c r="CX31" t="s">
        <v>497</v>
      </c>
      <c r="CY31" t="s">
        <v>119</v>
      </c>
      <c r="CZ31" t="s">
        <v>119</v>
      </c>
      <c r="DA31" t="s">
        <v>575</v>
      </c>
      <c r="DB31" t="s">
        <v>354</v>
      </c>
      <c r="DC31" t="s">
        <v>354</v>
      </c>
      <c r="DD31" t="s">
        <v>110</v>
      </c>
      <c r="DE31" t="s">
        <v>110</v>
      </c>
      <c r="DF31" t="s">
        <v>120</v>
      </c>
      <c r="DH31" t="s">
        <v>787</v>
      </c>
      <c r="DI31" t="s">
        <v>787</v>
      </c>
      <c r="DJ31" t="s">
        <v>1058</v>
      </c>
      <c r="DK31" t="s">
        <v>1058</v>
      </c>
      <c r="DL31" t="s">
        <v>1048</v>
      </c>
      <c r="DM31" t="s">
        <v>1048</v>
      </c>
      <c r="DN31" t="s">
        <v>1048</v>
      </c>
      <c r="DO31" t="s">
        <v>1048</v>
      </c>
      <c r="DP31" t="s">
        <v>853</v>
      </c>
      <c r="DQ31" t="s">
        <v>853</v>
      </c>
      <c r="DR31" t="s">
        <v>832</v>
      </c>
      <c r="DS31" t="s">
        <v>131</v>
      </c>
      <c r="DU31" t="s">
        <v>44</v>
      </c>
      <c r="DV31" t="s">
        <v>800</v>
      </c>
      <c r="DY31" t="s">
        <v>1060</v>
      </c>
      <c r="DZ31" t="s">
        <v>1060</v>
      </c>
      <c r="EA31" t="s">
        <v>780</v>
      </c>
      <c r="ED31" t="s">
        <v>651</v>
      </c>
      <c r="EE31" t="s">
        <v>221</v>
      </c>
      <c r="EF31" t="s">
        <v>221</v>
      </c>
      <c r="EG31" t="s">
        <v>786</v>
      </c>
      <c r="EH31" t="s">
        <v>643</v>
      </c>
      <c r="EI31" t="s">
        <v>709</v>
      </c>
      <c r="EJ31" t="s">
        <v>895</v>
      </c>
      <c r="EK31" t="s">
        <v>893</v>
      </c>
      <c r="EL31" t="s">
        <v>893</v>
      </c>
      <c r="EM31" t="s">
        <v>806</v>
      </c>
      <c r="EN31" t="s">
        <v>806</v>
      </c>
      <c r="EO31" t="s">
        <v>806</v>
      </c>
      <c r="EP31" t="s">
        <v>806</v>
      </c>
      <c r="EQ31" t="s">
        <v>806</v>
      </c>
      <c r="ER31" t="s">
        <v>806</v>
      </c>
      <c r="ES31" t="s">
        <v>806</v>
      </c>
      <c r="ET31" t="s">
        <v>806</v>
      </c>
      <c r="EU31" t="s">
        <v>806</v>
      </c>
      <c r="EV31" t="s">
        <v>806</v>
      </c>
      <c r="EW31" t="s">
        <v>806</v>
      </c>
      <c r="EX31" t="s">
        <v>806</v>
      </c>
      <c r="EY31" t="s">
        <v>806</v>
      </c>
      <c r="EZ31" t="s">
        <v>806</v>
      </c>
      <c r="FA31" t="s">
        <v>806</v>
      </c>
      <c r="FB31" t="s">
        <v>806</v>
      </c>
      <c r="FC31" t="s">
        <v>806</v>
      </c>
      <c r="FD31" t="s">
        <v>806</v>
      </c>
      <c r="FE31" t="s">
        <v>806</v>
      </c>
      <c r="FH31" t="s">
        <v>256</v>
      </c>
      <c r="FI31" t="s">
        <v>45</v>
      </c>
      <c r="FM31" t="str">
        <f t="shared" si="0"/>
        <v xml:space="preserve">    &lt;route id="Router3_30" edges="-gneE80.0 -gneE80.17 -gneE41 gneE44 -388756838#2 -388756838#1 -388756838#0 42706817#0 386547310 gneE69 -gneE44 gneE41 254666172#0 -386995551 -386995537 -386995526#1 -386995526#0 -43357814#3 12175537#8 12175537#9 12175537#10 12175537#11 12175537#12 12155177#1 386995531#4 12172918#2 gneE73 gneE75.0 gneE80.125"/&gt;</v>
      </c>
      <c r="FN31" t="s">
        <v>2516</v>
      </c>
      <c r="FO31" t="s">
        <v>1119</v>
      </c>
      <c r="FP31" t="s">
        <v>2548</v>
      </c>
    </row>
    <row r="32" spans="1:172" x14ac:dyDescent="0.25">
      <c r="A32" t="s">
        <v>27</v>
      </c>
      <c r="B32" t="s">
        <v>848</v>
      </c>
      <c r="C32" t="s">
        <v>848</v>
      </c>
      <c r="D32" t="s">
        <v>848</v>
      </c>
      <c r="E32" t="s">
        <v>848</v>
      </c>
      <c r="F32" t="s">
        <v>848</v>
      </c>
      <c r="G32" t="s">
        <v>848</v>
      </c>
      <c r="H32" t="s">
        <v>848</v>
      </c>
      <c r="I32" t="s">
        <v>848</v>
      </c>
      <c r="J32" t="s">
        <v>848</v>
      </c>
      <c r="K32" t="s">
        <v>848</v>
      </c>
      <c r="L32" t="s">
        <v>848</v>
      </c>
      <c r="M32" t="s">
        <v>848</v>
      </c>
      <c r="N32" t="s">
        <v>848</v>
      </c>
      <c r="O32" t="s">
        <v>848</v>
      </c>
      <c r="P32" t="s">
        <v>848</v>
      </c>
      <c r="Q32" t="s">
        <v>848</v>
      </c>
      <c r="R32" t="s">
        <v>848</v>
      </c>
      <c r="S32" t="s">
        <v>458</v>
      </c>
      <c r="T32" t="s">
        <v>167</v>
      </c>
      <c r="U32" t="s">
        <v>608</v>
      </c>
      <c r="V32" t="s">
        <v>23</v>
      </c>
      <c r="W32" t="s">
        <v>170</v>
      </c>
      <c r="X32" t="s">
        <v>170</v>
      </c>
      <c r="Y32" t="s">
        <v>170</v>
      </c>
      <c r="Z32" t="s">
        <v>170</v>
      </c>
      <c r="AA32" t="s">
        <v>655</v>
      </c>
      <c r="AB32" t="s">
        <v>655</v>
      </c>
      <c r="AC32" t="s">
        <v>655</v>
      </c>
      <c r="AF32" t="s">
        <v>9</v>
      </c>
      <c r="AG32" t="s">
        <v>11</v>
      </c>
      <c r="AO32" t="s">
        <v>735</v>
      </c>
      <c r="AP32" t="s">
        <v>731</v>
      </c>
      <c r="AQ32" t="s">
        <v>117</v>
      </c>
      <c r="AR32" t="s">
        <v>437</v>
      </c>
      <c r="AS32" t="s">
        <v>450</v>
      </c>
      <c r="AV32" t="s">
        <v>115</v>
      </c>
      <c r="AW32" t="s">
        <v>398</v>
      </c>
      <c r="AX32" t="s">
        <v>786</v>
      </c>
      <c r="AY32" t="s">
        <v>806</v>
      </c>
      <c r="AZ32" t="s">
        <v>806</v>
      </c>
      <c r="BA32" t="s">
        <v>806</v>
      </c>
      <c r="BD32" t="s">
        <v>449</v>
      </c>
      <c r="BG32" t="s">
        <v>788</v>
      </c>
      <c r="BH32" t="s">
        <v>1059</v>
      </c>
      <c r="BI32" t="s">
        <v>812</v>
      </c>
      <c r="BJ32" t="s">
        <v>812</v>
      </c>
      <c r="BM32" t="s">
        <v>339</v>
      </c>
      <c r="BN32" t="s">
        <v>339</v>
      </c>
      <c r="BO32" t="s">
        <v>339</v>
      </c>
      <c r="BP32" t="s">
        <v>342</v>
      </c>
      <c r="BQ32" t="s">
        <v>342</v>
      </c>
      <c r="BR32" t="s">
        <v>342</v>
      </c>
      <c r="BS32" t="s">
        <v>91</v>
      </c>
      <c r="BT32" t="s">
        <v>91</v>
      </c>
      <c r="BU32" t="s">
        <v>91</v>
      </c>
      <c r="BV32" t="s">
        <v>91</v>
      </c>
      <c r="BW32" t="s">
        <v>91</v>
      </c>
      <c r="BX32" t="s">
        <v>512</v>
      </c>
      <c r="BY32" t="s">
        <v>495</v>
      </c>
      <c r="BZ32" t="s">
        <v>495</v>
      </c>
      <c r="CA32" t="s">
        <v>495</v>
      </c>
      <c r="CB32" t="s">
        <v>495</v>
      </c>
      <c r="CC32" t="s">
        <v>495</v>
      </c>
      <c r="CD32" t="s">
        <v>569</v>
      </c>
      <c r="CG32" t="s">
        <v>404</v>
      </c>
      <c r="CH32" t="s">
        <v>404</v>
      </c>
      <c r="CI32" t="s">
        <v>404</v>
      </c>
      <c r="CJ32" t="s">
        <v>404</v>
      </c>
      <c r="CK32" t="s">
        <v>404</v>
      </c>
      <c r="CL32" t="s">
        <v>404</v>
      </c>
      <c r="CM32" t="s">
        <v>490</v>
      </c>
      <c r="CN32" t="s">
        <v>490</v>
      </c>
      <c r="CO32" t="s">
        <v>490</v>
      </c>
      <c r="CP32" t="s">
        <v>490</v>
      </c>
      <c r="CQ32" t="s">
        <v>490</v>
      </c>
      <c r="CR32" t="s">
        <v>490</v>
      </c>
      <c r="CS32" t="s">
        <v>78</v>
      </c>
      <c r="CT32" t="s">
        <v>78</v>
      </c>
      <c r="CU32" t="s">
        <v>78</v>
      </c>
      <c r="CV32" t="s">
        <v>78</v>
      </c>
      <c r="CX32" t="s">
        <v>498</v>
      </c>
      <c r="CY32" t="s">
        <v>178</v>
      </c>
      <c r="CZ32" t="s">
        <v>178</v>
      </c>
      <c r="DA32" t="s">
        <v>978</v>
      </c>
      <c r="DB32" t="s">
        <v>1065</v>
      </c>
      <c r="DC32" t="s">
        <v>1065</v>
      </c>
      <c r="DD32" t="s">
        <v>111</v>
      </c>
      <c r="DE32" t="s">
        <v>111</v>
      </c>
      <c r="DF32" t="s">
        <v>121</v>
      </c>
      <c r="DH32" t="s">
        <v>788</v>
      </c>
      <c r="DI32" t="s">
        <v>788</v>
      </c>
      <c r="DJ32" t="s">
        <v>1059</v>
      </c>
      <c r="DK32" t="s">
        <v>1059</v>
      </c>
      <c r="DL32" t="s">
        <v>812</v>
      </c>
      <c r="DM32" t="s">
        <v>812</v>
      </c>
      <c r="DN32" t="s">
        <v>812</v>
      </c>
      <c r="DO32" t="s">
        <v>812</v>
      </c>
      <c r="DP32" t="s">
        <v>880</v>
      </c>
      <c r="DQ32" t="s">
        <v>880</v>
      </c>
      <c r="DR32" t="s">
        <v>833</v>
      </c>
      <c r="DS32" t="s">
        <v>132</v>
      </c>
      <c r="DU32" t="s">
        <v>45</v>
      </c>
      <c r="DV32" t="s">
        <v>801</v>
      </c>
      <c r="DY32" t="s">
        <v>892</v>
      </c>
      <c r="DZ32" t="s">
        <v>892</v>
      </c>
      <c r="EA32" t="s">
        <v>781</v>
      </c>
      <c r="ED32" t="s">
        <v>652</v>
      </c>
      <c r="EE32" t="s">
        <v>222</v>
      </c>
      <c r="EF32" t="s">
        <v>222</v>
      </c>
      <c r="EG32" t="s">
        <v>33</v>
      </c>
      <c r="EH32" t="s">
        <v>644</v>
      </c>
      <c r="EI32" t="s">
        <v>710</v>
      </c>
      <c r="EJ32" t="s">
        <v>896</v>
      </c>
      <c r="EK32" t="s">
        <v>773</v>
      </c>
      <c r="EL32" t="s">
        <v>773</v>
      </c>
      <c r="EM32" t="s">
        <v>815</v>
      </c>
      <c r="EN32" t="s">
        <v>815</v>
      </c>
      <c r="EO32" t="s">
        <v>815</v>
      </c>
      <c r="EP32" t="s">
        <v>815</v>
      </c>
      <c r="EQ32" t="s">
        <v>815</v>
      </c>
      <c r="ER32" t="s">
        <v>815</v>
      </c>
      <c r="ES32" t="s">
        <v>815</v>
      </c>
      <c r="ET32" t="s">
        <v>815</v>
      </c>
      <c r="EU32" t="s">
        <v>815</v>
      </c>
      <c r="EV32" t="s">
        <v>815</v>
      </c>
      <c r="EW32" t="s">
        <v>815</v>
      </c>
      <c r="EX32" t="s">
        <v>815</v>
      </c>
      <c r="EY32" t="s">
        <v>815</v>
      </c>
      <c r="EZ32" t="s">
        <v>815</v>
      </c>
      <c r="FA32" t="s">
        <v>815</v>
      </c>
      <c r="FB32" t="s">
        <v>815</v>
      </c>
      <c r="FC32" t="s">
        <v>815</v>
      </c>
      <c r="FD32" t="s">
        <v>815</v>
      </c>
      <c r="FE32" t="s">
        <v>815</v>
      </c>
      <c r="FH32" t="s">
        <v>257</v>
      </c>
      <c r="FM32" t="str">
        <f t="shared" si="0"/>
        <v xml:space="preserve">    &lt;route id="Router3_31" edges="-gneE80.0 -gneE80.17 -gneE41 gneE44 -388756838#2 -388756838#1 -388756838#0 42706817#0 386547310 gneE69 -gneE44 gneE41 254666172#0 -386995551 -386995537 -386995526#1 -386995526#0 -43357814#3 12175537#8 12175537#9 12175537#10 12175537#11 12175537#12 12175537#13 12172918#1 12172918#2 gneE73 gneE75.0 gneE80.125"/&gt;</v>
      </c>
      <c r="FN32" t="s">
        <v>2516</v>
      </c>
      <c r="FO32" t="s">
        <v>1120</v>
      </c>
      <c r="FP32" t="s">
        <v>2549</v>
      </c>
    </row>
    <row r="33" spans="1:172" x14ac:dyDescent="0.25">
      <c r="A33" t="s">
        <v>247</v>
      </c>
      <c r="B33" t="s">
        <v>645</v>
      </c>
      <c r="C33" t="s">
        <v>645</v>
      </c>
      <c r="D33" t="s">
        <v>645</v>
      </c>
      <c r="E33" t="s">
        <v>645</v>
      </c>
      <c r="F33" t="s">
        <v>645</v>
      </c>
      <c r="G33" t="s">
        <v>645</v>
      </c>
      <c r="H33" t="s">
        <v>645</v>
      </c>
      <c r="I33" t="s">
        <v>645</v>
      </c>
      <c r="J33" t="s">
        <v>645</v>
      </c>
      <c r="K33" t="s">
        <v>645</v>
      </c>
      <c r="L33" t="s">
        <v>645</v>
      </c>
      <c r="M33" t="s">
        <v>645</v>
      </c>
      <c r="N33" t="s">
        <v>645</v>
      </c>
      <c r="O33" t="s">
        <v>645</v>
      </c>
      <c r="P33" t="s">
        <v>645</v>
      </c>
      <c r="Q33" t="s">
        <v>645</v>
      </c>
      <c r="R33" t="s">
        <v>645</v>
      </c>
      <c r="S33" t="s">
        <v>213</v>
      </c>
      <c r="T33" t="s">
        <v>168</v>
      </c>
      <c r="U33" t="s">
        <v>71</v>
      </c>
      <c r="V33" t="s">
        <v>24</v>
      </c>
      <c r="W33" t="s">
        <v>171</v>
      </c>
      <c r="X33" t="s">
        <v>171</v>
      </c>
      <c r="Y33" t="s">
        <v>171</v>
      </c>
      <c r="Z33" t="s">
        <v>171</v>
      </c>
      <c r="AA33" t="s">
        <v>960</v>
      </c>
      <c r="AB33" t="s">
        <v>960</v>
      </c>
      <c r="AC33" t="s">
        <v>960</v>
      </c>
      <c r="AF33" t="s">
        <v>408</v>
      </c>
      <c r="AG33" t="s">
        <v>12</v>
      </c>
      <c r="AO33" t="s">
        <v>736</v>
      </c>
      <c r="AP33" t="s">
        <v>732</v>
      </c>
      <c r="AQ33" t="s">
        <v>118</v>
      </c>
      <c r="AR33" t="s">
        <v>438</v>
      </c>
      <c r="AS33" t="s">
        <v>760</v>
      </c>
      <c r="AV33" t="s">
        <v>116</v>
      </c>
      <c r="AW33" t="s">
        <v>490</v>
      </c>
      <c r="AX33" t="s">
        <v>33</v>
      </c>
      <c r="AY33" t="s">
        <v>815</v>
      </c>
      <c r="AZ33" t="s">
        <v>815</v>
      </c>
      <c r="BA33" t="s">
        <v>815</v>
      </c>
      <c r="BD33" t="s">
        <v>450</v>
      </c>
      <c r="BG33" t="s">
        <v>789</v>
      </c>
      <c r="BH33" t="s">
        <v>249</v>
      </c>
      <c r="BI33" t="s">
        <v>1049</v>
      </c>
      <c r="BJ33" t="s">
        <v>1049</v>
      </c>
      <c r="BM33" t="s">
        <v>1062</v>
      </c>
      <c r="BN33" t="s">
        <v>1062</v>
      </c>
      <c r="BO33" t="s">
        <v>1062</v>
      </c>
      <c r="BP33" t="s">
        <v>343</v>
      </c>
      <c r="BQ33" t="s">
        <v>343</v>
      </c>
      <c r="BR33" t="s">
        <v>343</v>
      </c>
      <c r="BS33" t="s">
        <v>982</v>
      </c>
      <c r="BT33" t="s">
        <v>982</v>
      </c>
      <c r="BU33" t="s">
        <v>982</v>
      </c>
      <c r="BV33" t="s">
        <v>982</v>
      </c>
      <c r="BW33" t="s">
        <v>982</v>
      </c>
      <c r="BY33" t="s">
        <v>496</v>
      </c>
      <c r="BZ33" t="s">
        <v>496</v>
      </c>
      <c r="CA33" t="s">
        <v>496</v>
      </c>
      <c r="CB33" t="s">
        <v>496</v>
      </c>
      <c r="CC33" t="s">
        <v>496</v>
      </c>
      <c r="CD33" t="s">
        <v>721</v>
      </c>
      <c r="CG33" t="s">
        <v>979</v>
      </c>
      <c r="CH33" t="s">
        <v>979</v>
      </c>
      <c r="CI33" t="s">
        <v>979</v>
      </c>
      <c r="CJ33" t="s">
        <v>979</v>
      </c>
      <c r="CK33" t="s">
        <v>979</v>
      </c>
      <c r="CL33" t="s">
        <v>979</v>
      </c>
      <c r="CM33" t="s">
        <v>491</v>
      </c>
      <c r="CN33" t="s">
        <v>491</v>
      </c>
      <c r="CO33" t="s">
        <v>491</v>
      </c>
      <c r="CP33" t="s">
        <v>491</v>
      </c>
      <c r="CQ33" t="s">
        <v>491</v>
      </c>
      <c r="CR33" t="s">
        <v>491</v>
      </c>
      <c r="CS33" t="s">
        <v>174</v>
      </c>
      <c r="CT33" t="s">
        <v>174</v>
      </c>
      <c r="CU33" t="s">
        <v>174</v>
      </c>
      <c r="CV33" t="s">
        <v>174</v>
      </c>
      <c r="CX33" t="s">
        <v>499</v>
      </c>
      <c r="CY33" t="s">
        <v>233</v>
      </c>
      <c r="CZ33" t="s">
        <v>233</v>
      </c>
      <c r="DA33" t="s">
        <v>355</v>
      </c>
      <c r="DB33" t="s">
        <v>576</v>
      </c>
      <c r="DC33" t="s">
        <v>576</v>
      </c>
      <c r="DD33" t="s">
        <v>112</v>
      </c>
      <c r="DE33" t="s">
        <v>112</v>
      </c>
      <c r="DF33" t="s">
        <v>122</v>
      </c>
      <c r="DH33" t="s">
        <v>789</v>
      </c>
      <c r="DI33" t="s">
        <v>789</v>
      </c>
      <c r="DJ33" t="s">
        <v>249</v>
      </c>
      <c r="DK33" t="s">
        <v>249</v>
      </c>
      <c r="DL33" t="s">
        <v>1049</v>
      </c>
      <c r="DM33" t="s">
        <v>1049</v>
      </c>
      <c r="DN33" t="s">
        <v>1049</v>
      </c>
      <c r="DO33" t="s">
        <v>1049</v>
      </c>
      <c r="DP33" t="s">
        <v>830</v>
      </c>
      <c r="DQ33" t="s">
        <v>830</v>
      </c>
      <c r="DR33" t="s">
        <v>420</v>
      </c>
      <c r="DS33" t="s">
        <v>133</v>
      </c>
      <c r="DU33" t="s">
        <v>489</v>
      </c>
      <c r="DV33" t="s">
        <v>802</v>
      </c>
      <c r="DY33" t="s">
        <v>893</v>
      </c>
      <c r="DZ33" t="s">
        <v>893</v>
      </c>
      <c r="EA33" t="s">
        <v>1048</v>
      </c>
      <c r="ED33" t="s">
        <v>913</v>
      </c>
      <c r="EE33" t="s">
        <v>223</v>
      </c>
      <c r="EF33" t="s">
        <v>223</v>
      </c>
      <c r="EG33" t="s">
        <v>809</v>
      </c>
      <c r="EH33" t="s">
        <v>44</v>
      </c>
      <c r="EI33" t="s">
        <v>252</v>
      </c>
      <c r="EJ33" t="s">
        <v>897</v>
      </c>
      <c r="EK33" t="s">
        <v>774</v>
      </c>
      <c r="EL33" t="s">
        <v>774</v>
      </c>
      <c r="EM33" t="s">
        <v>816</v>
      </c>
      <c r="EN33" t="s">
        <v>816</v>
      </c>
      <c r="EO33" t="s">
        <v>816</v>
      </c>
      <c r="EP33" t="s">
        <v>816</v>
      </c>
      <c r="EQ33" t="s">
        <v>816</v>
      </c>
      <c r="ER33" t="s">
        <v>816</v>
      </c>
      <c r="ES33" t="s">
        <v>816</v>
      </c>
      <c r="ET33" t="s">
        <v>816</v>
      </c>
      <c r="EU33" t="s">
        <v>816</v>
      </c>
      <c r="EV33" t="s">
        <v>816</v>
      </c>
      <c r="EW33" t="s">
        <v>816</v>
      </c>
      <c r="EX33" t="s">
        <v>816</v>
      </c>
      <c r="EY33" t="s">
        <v>816</v>
      </c>
      <c r="EZ33" t="s">
        <v>816</v>
      </c>
      <c r="FA33" t="s">
        <v>816</v>
      </c>
      <c r="FB33" t="s">
        <v>816</v>
      </c>
      <c r="FC33" t="s">
        <v>816</v>
      </c>
      <c r="FD33" t="s">
        <v>816</v>
      </c>
      <c r="FE33" t="s">
        <v>816</v>
      </c>
      <c r="FH33" t="s">
        <v>258</v>
      </c>
      <c r="FM33" t="str">
        <f t="shared" si="0"/>
        <v xml:space="preserve">    &lt;route id="Router3_32" edges="-gneE80.0 -gneE80.17 -gneE41 gneE44 -388756838#2 -388756838#1 -388756838#0 42706817#0 386547310 gneE69 -gneE44 gneE41 254666172#0 387422150#0 387422150#1 387422150#2 12175537#12 12155177#1 386995531#4 12172918#2 gneE73 gneE75.0 -gneE80.17 -gneE41 gneE44 -388756838#2 -388756838#1 -388756838#0 42706817#0 386547310 gneE69 -gneE44 gneE41 gneE80.0 gneE80.125"/&gt;</v>
      </c>
      <c r="FN33" t="s">
        <v>2516</v>
      </c>
      <c r="FO33" t="s">
        <v>1121</v>
      </c>
      <c r="FP33" t="s">
        <v>2550</v>
      </c>
    </row>
    <row r="34" spans="1:172" x14ac:dyDescent="0.25">
      <c r="A34" t="s">
        <v>248</v>
      </c>
      <c r="B34" t="s">
        <v>646</v>
      </c>
      <c r="C34" t="s">
        <v>646</v>
      </c>
      <c r="D34" t="s">
        <v>646</v>
      </c>
      <c r="E34" t="s">
        <v>646</v>
      </c>
      <c r="F34" t="s">
        <v>646</v>
      </c>
      <c r="G34" t="s">
        <v>646</v>
      </c>
      <c r="H34" t="s">
        <v>646</v>
      </c>
      <c r="I34" t="s">
        <v>646</v>
      </c>
      <c r="J34" t="s">
        <v>646</v>
      </c>
      <c r="K34" t="s">
        <v>646</v>
      </c>
      <c r="L34" t="s">
        <v>646</v>
      </c>
      <c r="M34" t="s">
        <v>646</v>
      </c>
      <c r="N34" t="s">
        <v>646</v>
      </c>
      <c r="O34" t="s">
        <v>646</v>
      </c>
      <c r="P34" t="s">
        <v>646</v>
      </c>
      <c r="Q34" t="s">
        <v>646</v>
      </c>
      <c r="R34" t="s">
        <v>646</v>
      </c>
      <c r="S34" t="s">
        <v>214</v>
      </c>
      <c r="T34" t="s">
        <v>696</v>
      </c>
      <c r="U34" t="s">
        <v>72</v>
      </c>
      <c r="V34" t="s">
        <v>25</v>
      </c>
      <c r="W34" t="s">
        <v>172</v>
      </c>
      <c r="X34" t="s">
        <v>172</v>
      </c>
      <c r="Y34" t="s">
        <v>172</v>
      </c>
      <c r="Z34" t="s">
        <v>172</v>
      </c>
      <c r="AA34" t="s">
        <v>413</v>
      </c>
      <c r="AB34" t="s">
        <v>413</v>
      </c>
      <c r="AC34" t="s">
        <v>413</v>
      </c>
      <c r="AF34" t="s">
        <v>409</v>
      </c>
      <c r="AG34" t="s">
        <v>13</v>
      </c>
      <c r="AO34" t="s">
        <v>46</v>
      </c>
      <c r="AP34" t="s">
        <v>733</v>
      </c>
      <c r="AQ34" t="s">
        <v>758</v>
      </c>
      <c r="AR34" t="s">
        <v>439</v>
      </c>
      <c r="AS34" t="s">
        <v>240</v>
      </c>
      <c r="AV34" t="s">
        <v>117</v>
      </c>
      <c r="AW34" t="s">
        <v>491</v>
      </c>
      <c r="AX34" t="s">
        <v>809</v>
      </c>
      <c r="AY34" t="s">
        <v>816</v>
      </c>
      <c r="AZ34" t="s">
        <v>816</v>
      </c>
      <c r="BA34" t="s">
        <v>816</v>
      </c>
      <c r="BD34" t="s">
        <v>760</v>
      </c>
      <c r="BG34" t="s">
        <v>790</v>
      </c>
      <c r="BH34" t="s">
        <v>903</v>
      </c>
      <c r="BI34" t="s">
        <v>1050</v>
      </c>
      <c r="BJ34" t="s">
        <v>1050</v>
      </c>
      <c r="BM34" t="s">
        <v>1063</v>
      </c>
      <c r="BN34" t="s">
        <v>1063</v>
      </c>
      <c r="BO34" t="s">
        <v>1063</v>
      </c>
      <c r="BP34" t="s">
        <v>344</v>
      </c>
      <c r="BQ34" t="s">
        <v>344</v>
      </c>
      <c r="BR34" t="s">
        <v>344</v>
      </c>
      <c r="BS34" t="s">
        <v>92</v>
      </c>
      <c r="BT34" t="s">
        <v>92</v>
      </c>
      <c r="BU34" t="s">
        <v>92</v>
      </c>
      <c r="BV34" t="s">
        <v>92</v>
      </c>
      <c r="BW34" t="s">
        <v>92</v>
      </c>
      <c r="BY34" t="s">
        <v>497</v>
      </c>
      <c r="BZ34" t="s">
        <v>497</v>
      </c>
      <c r="CA34" t="s">
        <v>497</v>
      </c>
      <c r="CB34" t="s">
        <v>497</v>
      </c>
      <c r="CC34" t="s">
        <v>497</v>
      </c>
      <c r="CD34" t="s">
        <v>449</v>
      </c>
      <c r="CG34" t="s">
        <v>980</v>
      </c>
      <c r="CH34" t="s">
        <v>980</v>
      </c>
      <c r="CI34" t="s">
        <v>980</v>
      </c>
      <c r="CJ34" t="s">
        <v>980</v>
      </c>
      <c r="CK34" t="s">
        <v>980</v>
      </c>
      <c r="CL34" t="s">
        <v>980</v>
      </c>
      <c r="CM34" t="s">
        <v>1042</v>
      </c>
      <c r="CN34" t="s">
        <v>1042</v>
      </c>
      <c r="CO34" t="s">
        <v>1042</v>
      </c>
      <c r="CP34" t="s">
        <v>1042</v>
      </c>
      <c r="CQ34" t="s">
        <v>1042</v>
      </c>
      <c r="CR34" t="s">
        <v>1042</v>
      </c>
      <c r="CS34" t="s">
        <v>175</v>
      </c>
      <c r="CT34" t="s">
        <v>175</v>
      </c>
      <c r="CU34" t="s">
        <v>175</v>
      </c>
      <c r="CV34" t="s">
        <v>175</v>
      </c>
      <c r="CX34" t="s">
        <v>500</v>
      </c>
      <c r="CY34" t="s">
        <v>239</v>
      </c>
      <c r="CZ34" t="s">
        <v>234</v>
      </c>
      <c r="DA34" t="s">
        <v>759</v>
      </c>
      <c r="DB34" t="s">
        <v>577</v>
      </c>
      <c r="DC34" t="s">
        <v>577</v>
      </c>
      <c r="DD34" t="s">
        <v>113</v>
      </c>
      <c r="DE34" t="s">
        <v>113</v>
      </c>
      <c r="DF34" t="s">
        <v>123</v>
      </c>
      <c r="DH34" t="s">
        <v>790</v>
      </c>
      <c r="DI34" t="s">
        <v>790</v>
      </c>
      <c r="DJ34" t="s">
        <v>250</v>
      </c>
      <c r="DK34" t="s">
        <v>903</v>
      </c>
      <c r="DL34" t="s">
        <v>1050</v>
      </c>
      <c r="DM34" t="s">
        <v>1050</v>
      </c>
      <c r="DN34" t="s">
        <v>1050</v>
      </c>
      <c r="DO34" t="s">
        <v>1050</v>
      </c>
      <c r="DP34" t="s">
        <v>142</v>
      </c>
      <c r="DQ34" t="s">
        <v>142</v>
      </c>
      <c r="DR34" t="s">
        <v>421</v>
      </c>
      <c r="DS34" t="s">
        <v>134</v>
      </c>
      <c r="DU34" t="s">
        <v>120</v>
      </c>
      <c r="DV34" t="s">
        <v>864</v>
      </c>
      <c r="DY34" t="s">
        <v>773</v>
      </c>
      <c r="DZ34" t="s">
        <v>773</v>
      </c>
      <c r="EA34" t="s">
        <v>812</v>
      </c>
      <c r="ED34" t="s">
        <v>914</v>
      </c>
      <c r="EE34" t="s">
        <v>224</v>
      </c>
      <c r="EF34" t="s">
        <v>224</v>
      </c>
      <c r="EG34" t="s">
        <v>810</v>
      </c>
      <c r="EH34" t="s">
        <v>45</v>
      </c>
      <c r="EI34" t="s">
        <v>253</v>
      </c>
      <c r="EJ34" t="s">
        <v>898</v>
      </c>
      <c r="EK34" t="s">
        <v>775</v>
      </c>
      <c r="EL34" t="s">
        <v>775</v>
      </c>
      <c r="EM34" t="s">
        <v>1054</v>
      </c>
      <c r="EN34" t="s">
        <v>1054</v>
      </c>
      <c r="EO34" t="s">
        <v>1054</v>
      </c>
      <c r="EP34" t="s">
        <v>1054</v>
      </c>
      <c r="EQ34" t="s">
        <v>1054</v>
      </c>
      <c r="ER34" t="s">
        <v>1054</v>
      </c>
      <c r="ES34" t="s">
        <v>1054</v>
      </c>
      <c r="ET34" t="s">
        <v>1054</v>
      </c>
      <c r="EU34" t="s">
        <v>1054</v>
      </c>
      <c r="EV34" t="s">
        <v>1054</v>
      </c>
      <c r="EW34" t="s">
        <v>1054</v>
      </c>
      <c r="EX34" t="s">
        <v>1054</v>
      </c>
      <c r="EY34" t="s">
        <v>1054</v>
      </c>
      <c r="EZ34" t="s">
        <v>1054</v>
      </c>
      <c r="FA34" t="s">
        <v>1054</v>
      </c>
      <c r="FB34" t="s">
        <v>1054</v>
      </c>
      <c r="FC34" t="s">
        <v>1054</v>
      </c>
      <c r="FD34" t="s">
        <v>1054</v>
      </c>
      <c r="FE34" t="s">
        <v>1054</v>
      </c>
      <c r="FM34" t="str">
        <f t="shared" si="0"/>
        <v xml:space="preserve">    &lt;route id="Router3_33" edges="-gneE80.0 -gneE80.17 -gneE41 gneE44 -388756838#2 -388756838#1 -388756838#0 42706817#0 386547310 gneE69 -gneE44 gneE41 254666172#0 387422153#0 387422153#1 gneE73 gneE75.0 -gneE80.17 -gneE41 gneE44 -388756838#2 -388756838#1 -388756838#0 42706817#0 386547310 gneE69 -388756838#2 -388756838#1 -388756838#0 -388756839#1 -388756839#0 -194358837#2 -194358837#0 194358838#0 194358838#1 194358838#2 386995479#2 310315797#2 12185366#9 387422145#0 -12157718#6 -12157718#4 -12157718#3 -12157718#2 -12157718#1 -12199713#4 -386995514#6 -386995514#5 -386995514#4 -386995514#3 -386995514#2 -386995514#1 12159500#1 12159500#2 51050030#7 gneE35 -gneE34.0 --gneE83.0"/&gt;</v>
      </c>
      <c r="FN34" t="s">
        <v>2516</v>
      </c>
      <c r="FO34" t="s">
        <v>1122</v>
      </c>
      <c r="FP34" t="s">
        <v>2551</v>
      </c>
    </row>
    <row r="35" spans="1:172" x14ac:dyDescent="0.25">
      <c r="A35" t="s">
        <v>249</v>
      </c>
      <c r="B35" t="s">
        <v>647</v>
      </c>
      <c r="C35" t="s">
        <v>647</v>
      </c>
      <c r="D35" t="s">
        <v>647</v>
      </c>
      <c r="E35" t="s">
        <v>647</v>
      </c>
      <c r="F35" t="s">
        <v>647</v>
      </c>
      <c r="G35" t="s">
        <v>647</v>
      </c>
      <c r="H35" t="s">
        <v>647</v>
      </c>
      <c r="I35" t="s">
        <v>647</v>
      </c>
      <c r="J35" t="s">
        <v>647</v>
      </c>
      <c r="K35" t="s">
        <v>647</v>
      </c>
      <c r="L35" t="s">
        <v>647</v>
      </c>
      <c r="M35" t="s">
        <v>647</v>
      </c>
      <c r="N35" t="s">
        <v>647</v>
      </c>
      <c r="O35" t="s">
        <v>647</v>
      </c>
      <c r="P35" t="s">
        <v>647</v>
      </c>
      <c r="Q35" t="s">
        <v>647</v>
      </c>
      <c r="R35" t="s">
        <v>647</v>
      </c>
      <c r="S35" t="s">
        <v>215</v>
      </c>
      <c r="T35" t="s">
        <v>697</v>
      </c>
      <c r="U35" t="s">
        <v>599</v>
      </c>
      <c r="V35" t="s">
        <v>26</v>
      </c>
      <c r="W35" t="s">
        <v>173</v>
      </c>
      <c r="X35" t="s">
        <v>173</v>
      </c>
      <c r="Y35" t="s">
        <v>173</v>
      </c>
      <c r="Z35" t="s">
        <v>173</v>
      </c>
      <c r="AA35" t="s">
        <v>1013</v>
      </c>
      <c r="AB35" t="s">
        <v>1013</v>
      </c>
      <c r="AC35" t="s">
        <v>1013</v>
      </c>
      <c r="AF35" t="s">
        <v>410</v>
      </c>
      <c r="AG35" t="s">
        <v>14</v>
      </c>
      <c r="AO35" t="s">
        <v>47</v>
      </c>
      <c r="AP35" t="s">
        <v>734</v>
      </c>
      <c r="AQ35" t="s">
        <v>445</v>
      </c>
      <c r="AR35" t="s">
        <v>440</v>
      </c>
      <c r="AS35" t="s">
        <v>241</v>
      </c>
      <c r="AV35" t="s">
        <v>118</v>
      </c>
      <c r="AW35" t="s">
        <v>1042</v>
      </c>
      <c r="AX35" t="s">
        <v>810</v>
      </c>
      <c r="AY35" t="s">
        <v>1054</v>
      </c>
      <c r="AZ35" t="s">
        <v>1054</v>
      </c>
      <c r="BA35" t="s">
        <v>1054</v>
      </c>
      <c r="BD35" t="s">
        <v>240</v>
      </c>
      <c r="BG35" t="s">
        <v>791</v>
      </c>
      <c r="BH35" t="s">
        <v>904</v>
      </c>
      <c r="BI35" t="s">
        <v>1051</v>
      </c>
      <c r="BJ35" t="s">
        <v>1051</v>
      </c>
      <c r="BM35" t="s">
        <v>1064</v>
      </c>
      <c r="BN35" t="s">
        <v>1064</v>
      </c>
      <c r="BO35" t="s">
        <v>1064</v>
      </c>
      <c r="BP35" t="s">
        <v>345</v>
      </c>
      <c r="BQ35" t="s">
        <v>345</v>
      </c>
      <c r="BR35" t="s">
        <v>345</v>
      </c>
      <c r="BS35" t="s">
        <v>533</v>
      </c>
      <c r="BT35" t="s">
        <v>533</v>
      </c>
      <c r="BU35" t="s">
        <v>533</v>
      </c>
      <c r="BV35" t="s">
        <v>533</v>
      </c>
      <c r="BW35" t="s">
        <v>533</v>
      </c>
      <c r="BY35" t="s">
        <v>498</v>
      </c>
      <c r="BZ35" t="s">
        <v>498</v>
      </c>
      <c r="CA35" t="s">
        <v>498</v>
      </c>
      <c r="CB35" t="s">
        <v>498</v>
      </c>
      <c r="CC35" t="s">
        <v>498</v>
      </c>
      <c r="CD35" t="s">
        <v>450</v>
      </c>
      <c r="CG35" t="s">
        <v>981</v>
      </c>
      <c r="CH35" t="s">
        <v>981</v>
      </c>
      <c r="CI35" t="s">
        <v>981</v>
      </c>
      <c r="CJ35" t="s">
        <v>981</v>
      </c>
      <c r="CK35" t="s">
        <v>981</v>
      </c>
      <c r="CL35" t="s">
        <v>981</v>
      </c>
      <c r="CM35" t="s">
        <v>1043</v>
      </c>
      <c r="CN35" t="s">
        <v>1043</v>
      </c>
      <c r="CO35" t="s">
        <v>1043</v>
      </c>
      <c r="CP35" t="s">
        <v>1043</v>
      </c>
      <c r="CQ35" t="s">
        <v>1043</v>
      </c>
      <c r="CR35" t="s">
        <v>1043</v>
      </c>
      <c r="CS35" t="s">
        <v>176</v>
      </c>
      <c r="CT35" t="s">
        <v>176</v>
      </c>
      <c r="CU35" t="s">
        <v>176</v>
      </c>
      <c r="CV35" t="s">
        <v>176</v>
      </c>
      <c r="CX35" t="s">
        <v>501</v>
      </c>
      <c r="CZ35" t="s">
        <v>1033</v>
      </c>
      <c r="DA35" t="s">
        <v>108</v>
      </c>
      <c r="DB35" t="s">
        <v>572</v>
      </c>
      <c r="DC35" t="s">
        <v>572</v>
      </c>
      <c r="DD35" t="s">
        <v>114</v>
      </c>
      <c r="DE35" t="s">
        <v>114</v>
      </c>
      <c r="DF35" t="s">
        <v>124</v>
      </c>
      <c r="DH35" t="s">
        <v>791</v>
      </c>
      <c r="DI35" t="s">
        <v>791</v>
      </c>
      <c r="DJ35" t="s">
        <v>251</v>
      </c>
      <c r="DK35" t="s">
        <v>904</v>
      </c>
      <c r="DL35" t="s">
        <v>1051</v>
      </c>
      <c r="DM35" t="s">
        <v>1051</v>
      </c>
      <c r="DN35" t="s">
        <v>1051</v>
      </c>
      <c r="DO35" t="s">
        <v>1051</v>
      </c>
      <c r="DP35" t="s">
        <v>143</v>
      </c>
      <c r="DQ35" t="s">
        <v>143</v>
      </c>
      <c r="DR35" t="s">
        <v>422</v>
      </c>
      <c r="DS35" t="s">
        <v>135</v>
      </c>
      <c r="DU35" t="s">
        <v>121</v>
      </c>
      <c r="DV35" t="s">
        <v>994</v>
      </c>
      <c r="DY35" t="s">
        <v>774</v>
      </c>
      <c r="DZ35" t="s">
        <v>774</v>
      </c>
      <c r="EA35" t="s">
        <v>813</v>
      </c>
      <c r="ED35" t="s">
        <v>915</v>
      </c>
      <c r="EE35" t="s">
        <v>225</v>
      </c>
      <c r="EF35" t="s">
        <v>225</v>
      </c>
      <c r="EG35" t="s">
        <v>811</v>
      </c>
      <c r="EI35" t="s">
        <v>254</v>
      </c>
      <c r="EJ35" t="s">
        <v>636</v>
      </c>
      <c r="EK35" t="s">
        <v>776</v>
      </c>
      <c r="EL35" t="s">
        <v>776</v>
      </c>
      <c r="EM35" t="s">
        <v>898</v>
      </c>
      <c r="EN35" t="s">
        <v>898</v>
      </c>
      <c r="EO35" t="s">
        <v>898</v>
      </c>
      <c r="EP35" t="s">
        <v>898</v>
      </c>
      <c r="EQ35" t="s">
        <v>898</v>
      </c>
      <c r="ER35" t="s">
        <v>898</v>
      </c>
      <c r="ES35" t="s">
        <v>898</v>
      </c>
      <c r="ET35" t="s">
        <v>898</v>
      </c>
      <c r="EU35" t="s">
        <v>898</v>
      </c>
      <c r="EV35" t="s">
        <v>898</v>
      </c>
      <c r="EW35" t="s">
        <v>898</v>
      </c>
      <c r="EX35" t="s">
        <v>898</v>
      </c>
      <c r="EY35" t="s">
        <v>898</v>
      </c>
      <c r="EZ35" t="s">
        <v>898</v>
      </c>
      <c r="FA35" t="s">
        <v>898</v>
      </c>
      <c r="FB35" t="s">
        <v>898</v>
      </c>
      <c r="FC35" t="s">
        <v>898</v>
      </c>
      <c r="FD35" t="s">
        <v>898</v>
      </c>
      <c r="FE35" t="s">
        <v>898</v>
      </c>
      <c r="FM35" t="str">
        <f t="shared" si="0"/>
        <v xml:space="preserve">    &lt;route id="Router3_34" edges="-gneE80.0 -gneE80.17 -gneE41 gneE44 -388756838#2 -388756838#1 -388756838#0 42706817#0 386547310 gneE69 -gneE44 gneE41 254666172#0 387422153#0 387422153#1 gneE73 gneE75.0 -gneE80.17 -gneE41 gneE44 -388756838#2 -388756838#1 -388756838#0 42706817#0 386547310 gneE69 -gneE44 gneE41 gneE80.0 gneE80.125"/&gt;</v>
      </c>
      <c r="FN35" t="s">
        <v>2516</v>
      </c>
      <c r="FO35" t="s">
        <v>1123</v>
      </c>
      <c r="FP35" t="s">
        <v>2552</v>
      </c>
    </row>
    <row r="36" spans="1:172" x14ac:dyDescent="0.25">
      <c r="A36" t="s">
        <v>250</v>
      </c>
      <c r="B36" t="s">
        <v>63</v>
      </c>
      <c r="C36" t="s">
        <v>63</v>
      </c>
      <c r="D36" t="s">
        <v>63</v>
      </c>
      <c r="E36" t="s">
        <v>63</v>
      </c>
      <c r="F36" t="s">
        <v>63</v>
      </c>
      <c r="G36" t="s">
        <v>63</v>
      </c>
      <c r="H36" t="s">
        <v>63</v>
      </c>
      <c r="I36" t="s">
        <v>63</v>
      </c>
      <c r="J36" t="s">
        <v>63</v>
      </c>
      <c r="K36" t="s">
        <v>63</v>
      </c>
      <c r="L36" t="s">
        <v>63</v>
      </c>
      <c r="M36" t="s">
        <v>63</v>
      </c>
      <c r="N36" t="s">
        <v>63</v>
      </c>
      <c r="O36" t="s">
        <v>63</v>
      </c>
      <c r="P36" t="s">
        <v>63</v>
      </c>
      <c r="Q36" t="s">
        <v>63</v>
      </c>
      <c r="R36" t="s">
        <v>63</v>
      </c>
      <c r="S36" t="s">
        <v>216</v>
      </c>
      <c r="T36" t="s">
        <v>698</v>
      </c>
      <c r="U36" t="s">
        <v>627</v>
      </c>
      <c r="V36" t="s">
        <v>27</v>
      </c>
      <c r="W36" t="s">
        <v>79</v>
      </c>
      <c r="X36" t="s">
        <v>79</v>
      </c>
      <c r="Y36" t="s">
        <v>79</v>
      </c>
      <c r="Z36" t="s">
        <v>79</v>
      </c>
      <c r="AA36" t="s">
        <v>1014</v>
      </c>
      <c r="AB36" t="s">
        <v>1014</v>
      </c>
      <c r="AC36" t="s">
        <v>1014</v>
      </c>
      <c r="AF36" t="s">
        <v>161</v>
      </c>
      <c r="AG36" t="s">
        <v>15</v>
      </c>
      <c r="AO36" t="s">
        <v>48</v>
      </c>
      <c r="AP36" t="s">
        <v>735</v>
      </c>
      <c r="AQ36" t="s">
        <v>446</v>
      </c>
      <c r="AR36" t="s">
        <v>441</v>
      </c>
      <c r="AS36" t="s">
        <v>391</v>
      </c>
      <c r="AV36" t="s">
        <v>758</v>
      </c>
      <c r="AW36" t="s">
        <v>1043</v>
      </c>
      <c r="AX36" t="s">
        <v>811</v>
      </c>
      <c r="AY36" t="s">
        <v>898</v>
      </c>
      <c r="AZ36" t="s">
        <v>898</v>
      </c>
      <c r="BA36" t="s">
        <v>898</v>
      </c>
      <c r="BD36" t="s">
        <v>241</v>
      </c>
      <c r="BG36" t="s">
        <v>792</v>
      </c>
      <c r="BH36" t="s">
        <v>1060</v>
      </c>
      <c r="BI36" t="s">
        <v>1052</v>
      </c>
      <c r="BJ36" t="s">
        <v>1052</v>
      </c>
      <c r="BM36" t="s">
        <v>564</v>
      </c>
      <c r="BN36" t="s">
        <v>564</v>
      </c>
      <c r="BO36" t="s">
        <v>564</v>
      </c>
      <c r="BP36" t="s">
        <v>432</v>
      </c>
      <c r="BQ36" t="s">
        <v>432</v>
      </c>
      <c r="BR36" t="s">
        <v>432</v>
      </c>
      <c r="BS36" t="s">
        <v>177</v>
      </c>
      <c r="BT36" t="s">
        <v>177</v>
      </c>
      <c r="BU36" t="s">
        <v>177</v>
      </c>
      <c r="BV36" t="s">
        <v>177</v>
      </c>
      <c r="BW36" t="s">
        <v>177</v>
      </c>
      <c r="BY36" t="s">
        <v>499</v>
      </c>
      <c r="BZ36" t="s">
        <v>499</v>
      </c>
      <c r="CA36" t="s">
        <v>499</v>
      </c>
      <c r="CB36" t="s">
        <v>499</v>
      </c>
      <c r="CC36" t="s">
        <v>499</v>
      </c>
      <c r="CD36" t="s">
        <v>760</v>
      </c>
      <c r="CG36" t="s">
        <v>884</v>
      </c>
      <c r="CH36" t="s">
        <v>884</v>
      </c>
      <c r="CI36" t="s">
        <v>884</v>
      </c>
      <c r="CJ36" t="s">
        <v>884</v>
      </c>
      <c r="CK36" t="s">
        <v>884</v>
      </c>
      <c r="CL36" t="s">
        <v>884</v>
      </c>
      <c r="CM36" t="s">
        <v>1044</v>
      </c>
      <c r="CN36" t="s">
        <v>1044</v>
      </c>
      <c r="CO36" t="s">
        <v>1044</v>
      </c>
      <c r="CP36" t="s">
        <v>1044</v>
      </c>
      <c r="CQ36" t="s">
        <v>1044</v>
      </c>
      <c r="CR36" t="s">
        <v>1044</v>
      </c>
      <c r="CS36" t="s">
        <v>177</v>
      </c>
      <c r="CT36" t="s">
        <v>177</v>
      </c>
      <c r="CU36" t="s">
        <v>177</v>
      </c>
      <c r="CV36" t="s">
        <v>177</v>
      </c>
      <c r="CX36" t="s">
        <v>502</v>
      </c>
      <c r="CZ36" t="s">
        <v>534</v>
      </c>
      <c r="DA36" t="s">
        <v>109</v>
      </c>
      <c r="DB36" t="s">
        <v>376</v>
      </c>
      <c r="DC36" t="s">
        <v>376</v>
      </c>
      <c r="DD36" t="s">
        <v>115</v>
      </c>
      <c r="DE36" t="s">
        <v>115</v>
      </c>
      <c r="DF36" t="s">
        <v>125</v>
      </c>
      <c r="DH36" t="s">
        <v>792</v>
      </c>
      <c r="DI36" t="s">
        <v>792</v>
      </c>
      <c r="DJ36" t="s">
        <v>252</v>
      </c>
      <c r="DK36" t="s">
        <v>1060</v>
      </c>
      <c r="DL36" t="s">
        <v>1052</v>
      </c>
      <c r="DM36" t="s">
        <v>1052</v>
      </c>
      <c r="DN36" t="s">
        <v>1052</v>
      </c>
      <c r="DO36" t="s">
        <v>1052</v>
      </c>
      <c r="DP36" t="s">
        <v>144</v>
      </c>
      <c r="DQ36" t="s">
        <v>144</v>
      </c>
      <c r="DR36" t="s">
        <v>423</v>
      </c>
      <c r="DS36" t="s">
        <v>136</v>
      </c>
      <c r="DU36" t="s">
        <v>122</v>
      </c>
      <c r="DV36" t="s">
        <v>995</v>
      </c>
      <c r="DY36" t="s">
        <v>775</v>
      </c>
      <c r="DZ36" t="s">
        <v>775</v>
      </c>
      <c r="EA36" t="s">
        <v>814</v>
      </c>
      <c r="ED36" t="s">
        <v>916</v>
      </c>
      <c r="EE36" t="s">
        <v>226</v>
      </c>
      <c r="EF36" t="s">
        <v>226</v>
      </c>
      <c r="EG36" t="s">
        <v>1046</v>
      </c>
      <c r="EI36" t="s">
        <v>255</v>
      </c>
      <c r="EJ36" t="s">
        <v>637</v>
      </c>
      <c r="EK36" t="s">
        <v>905</v>
      </c>
      <c r="EL36" t="s">
        <v>905</v>
      </c>
      <c r="EM36" t="s">
        <v>788</v>
      </c>
      <c r="EN36" t="s">
        <v>788</v>
      </c>
      <c r="EO36" t="s">
        <v>788</v>
      </c>
      <c r="EP36" t="s">
        <v>788</v>
      </c>
      <c r="EQ36" t="s">
        <v>788</v>
      </c>
      <c r="ER36" t="s">
        <v>788</v>
      </c>
      <c r="ES36" t="s">
        <v>788</v>
      </c>
      <c r="ET36" t="s">
        <v>788</v>
      </c>
      <c r="EU36" t="s">
        <v>788</v>
      </c>
      <c r="EV36" t="s">
        <v>788</v>
      </c>
      <c r="EW36" t="s">
        <v>788</v>
      </c>
      <c r="EX36" t="s">
        <v>788</v>
      </c>
      <c r="EY36" t="s">
        <v>788</v>
      </c>
      <c r="EZ36" t="s">
        <v>788</v>
      </c>
      <c r="FA36" t="s">
        <v>788</v>
      </c>
      <c r="FB36" t="s">
        <v>788</v>
      </c>
      <c r="FC36" t="s">
        <v>788</v>
      </c>
      <c r="FD36" t="s">
        <v>788</v>
      </c>
      <c r="FE36" t="s">
        <v>788</v>
      </c>
      <c r="FM36" t="str">
        <f t="shared" si="0"/>
        <v xml:space="preserve">    &lt;route id="Router3_35" edges="-gneE80.0 -gneE80.17 -gneE41 gneE44 -388756838#2 -388756838#1 -388756838#0 42706817#0 386547310 gneE69 -gneE44 gneE41 254666172#0 387422153#0 387422153#1 gneE73 gneE75.0 gneE80.125"/&gt;</v>
      </c>
      <c r="FN36" t="s">
        <v>2516</v>
      </c>
      <c r="FO36" t="s">
        <v>1124</v>
      </c>
      <c r="FP36" t="s">
        <v>2553</v>
      </c>
    </row>
    <row r="37" spans="1:172" x14ac:dyDescent="0.25">
      <c r="A37" t="s">
        <v>709</v>
      </c>
      <c r="B37" t="s">
        <v>665</v>
      </c>
      <c r="C37" t="s">
        <v>665</v>
      </c>
      <c r="D37" t="s">
        <v>665</v>
      </c>
      <c r="E37" t="s">
        <v>665</v>
      </c>
      <c r="F37" t="s">
        <v>665</v>
      </c>
      <c r="G37" t="s">
        <v>665</v>
      </c>
      <c r="H37" t="s">
        <v>665</v>
      </c>
      <c r="I37" t="s">
        <v>665</v>
      </c>
      <c r="J37" t="s">
        <v>665</v>
      </c>
      <c r="K37" t="s">
        <v>665</v>
      </c>
      <c r="L37" t="s">
        <v>665</v>
      </c>
      <c r="M37" t="s">
        <v>665</v>
      </c>
      <c r="N37" t="s">
        <v>665</v>
      </c>
      <c r="O37" t="s">
        <v>665</v>
      </c>
      <c r="P37" t="s">
        <v>665</v>
      </c>
      <c r="Q37" t="s">
        <v>665</v>
      </c>
      <c r="R37" t="s">
        <v>665</v>
      </c>
      <c r="S37" t="s">
        <v>217</v>
      </c>
      <c r="T37" t="s">
        <v>699</v>
      </c>
      <c r="U37" t="s">
        <v>628</v>
      </c>
      <c r="V37" t="s">
        <v>247</v>
      </c>
      <c r="W37" t="s">
        <v>80</v>
      </c>
      <c r="X37" t="s">
        <v>80</v>
      </c>
      <c r="Y37" t="s">
        <v>80</v>
      </c>
      <c r="Z37" t="s">
        <v>80</v>
      </c>
      <c r="AA37" t="s">
        <v>1015</v>
      </c>
      <c r="AB37" t="s">
        <v>1015</v>
      </c>
      <c r="AC37" t="s">
        <v>1015</v>
      </c>
      <c r="AG37" t="s">
        <v>16</v>
      </c>
      <c r="AO37" t="s">
        <v>49</v>
      </c>
      <c r="AP37" t="s">
        <v>736</v>
      </c>
      <c r="AQ37" t="s">
        <v>447</v>
      </c>
      <c r="AR37" t="s">
        <v>442</v>
      </c>
      <c r="AS37" t="s">
        <v>731</v>
      </c>
      <c r="AV37" t="s">
        <v>445</v>
      </c>
      <c r="AW37" t="s">
        <v>1044</v>
      </c>
      <c r="AX37" t="s">
        <v>1046</v>
      </c>
      <c r="AY37" t="s">
        <v>788</v>
      </c>
      <c r="AZ37" t="s">
        <v>788</v>
      </c>
      <c r="BA37" t="s">
        <v>788</v>
      </c>
      <c r="BD37" t="s">
        <v>391</v>
      </c>
      <c r="BG37" t="s">
        <v>642</v>
      </c>
      <c r="BH37" t="s">
        <v>892</v>
      </c>
      <c r="BI37" t="s">
        <v>1053</v>
      </c>
      <c r="BJ37" t="s">
        <v>1053</v>
      </c>
      <c r="BM37" t="s">
        <v>565</v>
      </c>
      <c r="BN37" t="s">
        <v>565</v>
      </c>
      <c r="BO37" t="s">
        <v>565</v>
      </c>
      <c r="BP37" t="s">
        <v>347</v>
      </c>
      <c r="BQ37" t="s">
        <v>347</v>
      </c>
      <c r="BR37" t="s">
        <v>347</v>
      </c>
      <c r="BS37" t="s">
        <v>105</v>
      </c>
      <c r="BT37" t="s">
        <v>105</v>
      </c>
      <c r="BU37" t="s">
        <v>105</v>
      </c>
      <c r="BV37" t="s">
        <v>105</v>
      </c>
      <c r="BW37" t="s">
        <v>105</v>
      </c>
      <c r="BY37" t="s">
        <v>500</v>
      </c>
      <c r="BZ37" t="s">
        <v>500</v>
      </c>
      <c r="CA37" t="s">
        <v>500</v>
      </c>
      <c r="CB37" t="s">
        <v>500</v>
      </c>
      <c r="CC37" t="s">
        <v>500</v>
      </c>
      <c r="CD37" t="s">
        <v>240</v>
      </c>
      <c r="CG37" t="s">
        <v>885</v>
      </c>
      <c r="CH37" t="s">
        <v>885</v>
      </c>
      <c r="CI37" t="s">
        <v>885</v>
      </c>
      <c r="CJ37" t="s">
        <v>885</v>
      </c>
      <c r="CK37" t="s">
        <v>885</v>
      </c>
      <c r="CL37" t="s">
        <v>885</v>
      </c>
      <c r="CM37" t="s">
        <v>117</v>
      </c>
      <c r="CN37" t="s">
        <v>117</v>
      </c>
      <c r="CO37" t="s">
        <v>117</v>
      </c>
      <c r="CP37" t="s">
        <v>117</v>
      </c>
      <c r="CQ37" t="s">
        <v>117</v>
      </c>
      <c r="CR37" t="s">
        <v>117</v>
      </c>
      <c r="CS37" t="s">
        <v>105</v>
      </c>
      <c r="CT37" t="s">
        <v>535</v>
      </c>
      <c r="CU37" t="s">
        <v>535</v>
      </c>
      <c r="CV37" t="s">
        <v>535</v>
      </c>
      <c r="CX37" t="s">
        <v>503</v>
      </c>
      <c r="DA37" t="s">
        <v>110</v>
      </c>
      <c r="DB37" t="s">
        <v>377</v>
      </c>
      <c r="DC37" t="s">
        <v>377</v>
      </c>
      <c r="DD37" t="s">
        <v>116</v>
      </c>
      <c r="DE37" t="s">
        <v>116</v>
      </c>
      <c r="DF37" t="s">
        <v>126</v>
      </c>
      <c r="DH37" t="s">
        <v>642</v>
      </c>
      <c r="DI37" t="s">
        <v>642</v>
      </c>
      <c r="DJ37" t="s">
        <v>711</v>
      </c>
      <c r="DK37" t="s">
        <v>892</v>
      </c>
      <c r="DL37" t="s">
        <v>1053</v>
      </c>
      <c r="DM37" t="s">
        <v>1053</v>
      </c>
      <c r="DN37" t="s">
        <v>1053</v>
      </c>
      <c r="DO37" t="s">
        <v>1053</v>
      </c>
      <c r="DP37" t="s">
        <v>145</v>
      </c>
      <c r="DQ37" t="s">
        <v>145</v>
      </c>
      <c r="DR37" t="s">
        <v>424</v>
      </c>
      <c r="DS37" t="s">
        <v>137</v>
      </c>
      <c r="DU37" t="s">
        <v>123</v>
      </c>
      <c r="DV37" t="s">
        <v>1057</v>
      </c>
      <c r="DY37" t="s">
        <v>776</v>
      </c>
      <c r="DZ37" t="s">
        <v>776</v>
      </c>
      <c r="EA37" t="s">
        <v>794</v>
      </c>
      <c r="ED37" t="s">
        <v>917</v>
      </c>
      <c r="EE37" t="s">
        <v>187</v>
      </c>
      <c r="EF37" t="s">
        <v>459</v>
      </c>
      <c r="EG37" t="s">
        <v>1047</v>
      </c>
      <c r="EI37" t="s">
        <v>256</v>
      </c>
      <c r="EJ37" t="s">
        <v>638</v>
      </c>
      <c r="EK37" t="s">
        <v>798</v>
      </c>
      <c r="EL37" t="s">
        <v>798</v>
      </c>
      <c r="EM37" t="s">
        <v>789</v>
      </c>
      <c r="EN37" t="s">
        <v>789</v>
      </c>
      <c r="EO37" t="s">
        <v>789</v>
      </c>
      <c r="EP37" t="s">
        <v>789</v>
      </c>
      <c r="EQ37" t="s">
        <v>789</v>
      </c>
      <c r="ER37" t="s">
        <v>789</v>
      </c>
      <c r="ES37" t="s">
        <v>789</v>
      </c>
      <c r="ET37" t="s">
        <v>789</v>
      </c>
      <c r="EU37" t="s">
        <v>789</v>
      </c>
      <c r="EV37" t="s">
        <v>789</v>
      </c>
      <c r="EW37" t="s">
        <v>789</v>
      </c>
      <c r="EX37" t="s">
        <v>789</v>
      </c>
      <c r="EY37" t="s">
        <v>789</v>
      </c>
      <c r="EZ37" t="s">
        <v>789</v>
      </c>
      <c r="FA37" t="s">
        <v>789</v>
      </c>
      <c r="FB37" t="s">
        <v>789</v>
      </c>
      <c r="FC37" t="s">
        <v>789</v>
      </c>
      <c r="FD37" t="s">
        <v>789</v>
      </c>
      <c r="FE37" t="s">
        <v>789</v>
      </c>
      <c r="FM37" t="str">
        <f t="shared" si="0"/>
        <v xml:space="preserve">    &lt;route id="Router3_36" edges="-gneE80.0 -gneE80.17 -gneE41 gneE44 -388756838#2 -388756838#1 -388756838#0 42706817#0 386547310 gneE69 -gneE44 gneE41 gneE80.0 gneE80.125"/&gt;</v>
      </c>
      <c r="FN37" t="s">
        <v>2516</v>
      </c>
      <c r="FO37" t="s">
        <v>1125</v>
      </c>
      <c r="FP37" t="s">
        <v>2554</v>
      </c>
    </row>
    <row r="38" spans="1:172" x14ac:dyDescent="0.25">
      <c r="A38" t="s">
        <v>710</v>
      </c>
      <c r="B38" t="s">
        <v>666</v>
      </c>
      <c r="C38" t="s">
        <v>666</v>
      </c>
      <c r="D38" t="s">
        <v>666</v>
      </c>
      <c r="E38" t="s">
        <v>666</v>
      </c>
      <c r="F38" t="s">
        <v>666</v>
      </c>
      <c r="G38" t="s">
        <v>666</v>
      </c>
      <c r="H38" t="s">
        <v>666</v>
      </c>
      <c r="I38" t="s">
        <v>666</v>
      </c>
      <c r="J38" t="s">
        <v>666</v>
      </c>
      <c r="K38" t="s">
        <v>666</v>
      </c>
      <c r="L38" t="s">
        <v>666</v>
      </c>
      <c r="M38" t="s">
        <v>666</v>
      </c>
      <c r="N38" t="s">
        <v>666</v>
      </c>
      <c r="O38" t="s">
        <v>666</v>
      </c>
      <c r="P38" t="s">
        <v>666</v>
      </c>
      <c r="Q38" t="s">
        <v>666</v>
      </c>
      <c r="R38" t="s">
        <v>666</v>
      </c>
      <c r="S38" t="s">
        <v>218</v>
      </c>
      <c r="T38" t="s">
        <v>700</v>
      </c>
      <c r="U38" t="s">
        <v>75</v>
      </c>
      <c r="V38" t="s">
        <v>248</v>
      </c>
      <c r="W38" t="s">
        <v>81</v>
      </c>
      <c r="X38" t="s">
        <v>81</v>
      </c>
      <c r="Y38" t="s">
        <v>81</v>
      </c>
      <c r="Z38" t="s">
        <v>81</v>
      </c>
      <c r="AA38" t="s">
        <v>835</v>
      </c>
      <c r="AB38" t="s">
        <v>835</v>
      </c>
      <c r="AC38" t="s">
        <v>835</v>
      </c>
      <c r="AG38" t="s">
        <v>142</v>
      </c>
      <c r="AO38" t="s">
        <v>50</v>
      </c>
      <c r="AP38" t="s">
        <v>46</v>
      </c>
      <c r="AQ38" t="s">
        <v>448</v>
      </c>
      <c r="AR38" t="s">
        <v>558</v>
      </c>
      <c r="AS38" t="s">
        <v>732</v>
      </c>
      <c r="AV38" t="s">
        <v>446</v>
      </c>
      <c r="AW38" t="s">
        <v>117</v>
      </c>
      <c r="AX38" t="s">
        <v>1047</v>
      </c>
      <c r="AY38" t="s">
        <v>789</v>
      </c>
      <c r="AZ38" t="s">
        <v>789</v>
      </c>
      <c r="BA38" t="s">
        <v>789</v>
      </c>
      <c r="BD38" t="s">
        <v>731</v>
      </c>
      <c r="BG38" t="s">
        <v>643</v>
      </c>
      <c r="BH38" t="s">
        <v>893</v>
      </c>
      <c r="BI38" t="s">
        <v>806</v>
      </c>
      <c r="BJ38" t="s">
        <v>806</v>
      </c>
      <c r="BM38" t="s">
        <v>566</v>
      </c>
      <c r="BN38" t="s">
        <v>566</v>
      </c>
      <c r="BO38" t="s">
        <v>566</v>
      </c>
      <c r="BP38" t="s">
        <v>348</v>
      </c>
      <c r="BQ38" t="s">
        <v>348</v>
      </c>
      <c r="BR38" t="s">
        <v>348</v>
      </c>
      <c r="BS38" t="s">
        <v>106</v>
      </c>
      <c r="BT38" t="s">
        <v>106</v>
      </c>
      <c r="BU38" t="s">
        <v>106</v>
      </c>
      <c r="BV38" t="s">
        <v>106</v>
      </c>
      <c r="BW38" t="s">
        <v>106</v>
      </c>
      <c r="BY38" t="s">
        <v>501</v>
      </c>
      <c r="BZ38" t="s">
        <v>501</v>
      </c>
      <c r="CA38" t="s">
        <v>501</v>
      </c>
      <c r="CB38" t="s">
        <v>501</v>
      </c>
      <c r="CC38" t="s">
        <v>501</v>
      </c>
      <c r="CD38" t="s">
        <v>241</v>
      </c>
      <c r="CG38" t="s">
        <v>886</v>
      </c>
      <c r="CH38" t="s">
        <v>886</v>
      </c>
      <c r="CI38" t="s">
        <v>886</v>
      </c>
      <c r="CJ38" t="s">
        <v>886</v>
      </c>
      <c r="CK38" t="s">
        <v>886</v>
      </c>
      <c r="CL38" t="s">
        <v>886</v>
      </c>
      <c r="CM38" t="s">
        <v>118</v>
      </c>
      <c r="CN38" t="s">
        <v>118</v>
      </c>
      <c r="CO38" t="s">
        <v>118</v>
      </c>
      <c r="CP38" t="s">
        <v>118</v>
      </c>
      <c r="CQ38" t="s">
        <v>118</v>
      </c>
      <c r="CR38" t="s">
        <v>118</v>
      </c>
      <c r="CS38" t="s">
        <v>106</v>
      </c>
      <c r="CT38" t="s">
        <v>536</v>
      </c>
      <c r="CU38" t="s">
        <v>536</v>
      </c>
      <c r="CV38" t="s">
        <v>536</v>
      </c>
      <c r="CX38" t="s">
        <v>504</v>
      </c>
      <c r="DA38" t="s">
        <v>111</v>
      </c>
      <c r="DB38" t="s">
        <v>477</v>
      </c>
      <c r="DC38" t="s">
        <v>477</v>
      </c>
      <c r="DD38" t="s">
        <v>117</v>
      </c>
      <c r="DE38" t="s">
        <v>117</v>
      </c>
      <c r="DF38" t="s">
        <v>127</v>
      </c>
      <c r="DH38" t="s">
        <v>643</v>
      </c>
      <c r="DI38" t="s">
        <v>643</v>
      </c>
      <c r="DJ38" t="s">
        <v>712</v>
      </c>
      <c r="DK38" t="s">
        <v>893</v>
      </c>
      <c r="DL38" t="s">
        <v>806</v>
      </c>
      <c r="DM38" t="s">
        <v>806</v>
      </c>
      <c r="DN38" t="s">
        <v>806</v>
      </c>
      <c r="DO38" t="s">
        <v>806</v>
      </c>
      <c r="DP38" t="s">
        <v>146</v>
      </c>
      <c r="DQ38" t="s">
        <v>146</v>
      </c>
      <c r="DR38" t="s">
        <v>152</v>
      </c>
      <c r="DS38" t="s">
        <v>138</v>
      </c>
      <c r="DU38" t="s">
        <v>124</v>
      </c>
      <c r="DV38" t="s">
        <v>57</v>
      </c>
      <c r="DY38" t="s">
        <v>905</v>
      </c>
      <c r="DZ38" t="s">
        <v>905</v>
      </c>
      <c r="EA38" t="s">
        <v>795</v>
      </c>
      <c r="ED38" t="s">
        <v>1080</v>
      </c>
      <c r="EE38" t="s">
        <v>188</v>
      </c>
      <c r="EF38" t="s">
        <v>758</v>
      </c>
      <c r="EG38" t="s">
        <v>783</v>
      </c>
      <c r="EI38" t="s">
        <v>257</v>
      </c>
      <c r="EJ38" t="s">
        <v>708</v>
      </c>
      <c r="EK38" t="s">
        <v>247</v>
      </c>
      <c r="EL38" t="s">
        <v>642</v>
      </c>
      <c r="EM38" t="s">
        <v>790</v>
      </c>
      <c r="EN38" t="s">
        <v>790</v>
      </c>
      <c r="EO38" t="s">
        <v>790</v>
      </c>
      <c r="EP38" t="s">
        <v>790</v>
      </c>
      <c r="EQ38" t="s">
        <v>790</v>
      </c>
      <c r="ER38" t="s">
        <v>790</v>
      </c>
      <c r="ES38" t="s">
        <v>790</v>
      </c>
      <c r="ET38" t="s">
        <v>790</v>
      </c>
      <c r="EU38" t="s">
        <v>790</v>
      </c>
      <c r="EV38" t="s">
        <v>790</v>
      </c>
      <c r="EW38" t="s">
        <v>790</v>
      </c>
      <c r="EX38" t="s">
        <v>790</v>
      </c>
      <c r="EY38" t="s">
        <v>790</v>
      </c>
      <c r="EZ38" t="s">
        <v>790</v>
      </c>
      <c r="FA38" t="s">
        <v>790</v>
      </c>
      <c r="FB38" t="s">
        <v>790</v>
      </c>
      <c r="FC38" t="s">
        <v>790</v>
      </c>
      <c r="FD38" t="s">
        <v>790</v>
      </c>
      <c r="FE38" t="s">
        <v>790</v>
      </c>
      <c r="FM38" t="str">
        <f t="shared" si="0"/>
        <v xml:space="preserve">    &lt;route id="Router3_37" edges="-gneE80.0 -gneE80.17 254666172#0 387422153#0 387422153#1 gneE73 gneE75.0 gneE80.125"/&gt;</v>
      </c>
      <c r="FN38" t="s">
        <v>2516</v>
      </c>
      <c r="FO38" t="s">
        <v>1126</v>
      </c>
      <c r="FP38" t="s">
        <v>2555</v>
      </c>
    </row>
    <row r="39" spans="1:172" x14ac:dyDescent="0.25">
      <c r="A39" t="s">
        <v>252</v>
      </c>
      <c r="B39" t="s">
        <v>974</v>
      </c>
      <c r="C39" t="s">
        <v>974</v>
      </c>
      <c r="D39" t="s">
        <v>974</v>
      </c>
      <c r="E39" t="s">
        <v>974</v>
      </c>
      <c r="F39" t="s">
        <v>974</v>
      </c>
      <c r="G39" t="s">
        <v>974</v>
      </c>
      <c r="H39" t="s">
        <v>974</v>
      </c>
      <c r="I39" t="s">
        <v>974</v>
      </c>
      <c r="J39" t="s">
        <v>974</v>
      </c>
      <c r="K39" t="s">
        <v>974</v>
      </c>
      <c r="L39" t="s">
        <v>974</v>
      </c>
      <c r="M39" t="s">
        <v>974</v>
      </c>
      <c r="N39" t="s">
        <v>974</v>
      </c>
      <c r="O39" t="s">
        <v>974</v>
      </c>
      <c r="P39" t="s">
        <v>974</v>
      </c>
      <c r="Q39" t="s">
        <v>974</v>
      </c>
      <c r="R39" t="s">
        <v>974</v>
      </c>
      <c r="S39" t="s">
        <v>219</v>
      </c>
      <c r="T39" t="s">
        <v>937</v>
      </c>
      <c r="U39" t="s">
        <v>768</v>
      </c>
      <c r="V39" t="s">
        <v>249</v>
      </c>
      <c r="W39" t="s">
        <v>82</v>
      </c>
      <c r="X39" t="s">
        <v>82</v>
      </c>
      <c r="Y39" t="s">
        <v>82</v>
      </c>
      <c r="Z39" t="s">
        <v>82</v>
      </c>
      <c r="AA39" t="s">
        <v>836</v>
      </c>
      <c r="AB39" t="s">
        <v>836</v>
      </c>
      <c r="AC39" t="s">
        <v>836</v>
      </c>
      <c r="AG39" t="s">
        <v>851</v>
      </c>
      <c r="AO39" t="s">
        <v>51</v>
      </c>
      <c r="AP39" t="s">
        <v>47</v>
      </c>
      <c r="AQ39" t="s">
        <v>569</v>
      </c>
      <c r="AR39" t="s">
        <v>1036</v>
      </c>
      <c r="AS39" t="s">
        <v>733</v>
      </c>
      <c r="AV39" t="s">
        <v>447</v>
      </c>
      <c r="AW39" t="s">
        <v>118</v>
      </c>
      <c r="AX39" t="s">
        <v>783</v>
      </c>
      <c r="AY39" t="s">
        <v>790</v>
      </c>
      <c r="AZ39" t="s">
        <v>790</v>
      </c>
      <c r="BA39" t="s">
        <v>790</v>
      </c>
      <c r="BD39" t="s">
        <v>732</v>
      </c>
      <c r="BG39" t="s">
        <v>799</v>
      </c>
      <c r="BH39" t="s">
        <v>773</v>
      </c>
      <c r="BI39" t="s">
        <v>815</v>
      </c>
      <c r="BJ39" t="s">
        <v>815</v>
      </c>
      <c r="BM39" t="s">
        <v>567</v>
      </c>
      <c r="BN39" t="s">
        <v>567</v>
      </c>
      <c r="BO39" t="s">
        <v>567</v>
      </c>
      <c r="BP39" t="s">
        <v>349</v>
      </c>
      <c r="BQ39" t="s">
        <v>349</v>
      </c>
      <c r="BR39" t="s">
        <v>349</v>
      </c>
      <c r="BS39" t="s">
        <v>107</v>
      </c>
      <c r="BT39" t="s">
        <v>107</v>
      </c>
      <c r="BU39" t="s">
        <v>107</v>
      </c>
      <c r="BV39" t="s">
        <v>107</v>
      </c>
      <c r="BW39" t="s">
        <v>107</v>
      </c>
      <c r="BY39" t="s">
        <v>502</v>
      </c>
      <c r="BZ39" t="s">
        <v>502</v>
      </c>
      <c r="CA39" t="s">
        <v>502</v>
      </c>
      <c r="CB39" t="s">
        <v>502</v>
      </c>
      <c r="CC39" t="s">
        <v>502</v>
      </c>
      <c r="CD39" t="s">
        <v>391</v>
      </c>
      <c r="CG39" t="s">
        <v>887</v>
      </c>
      <c r="CH39" t="s">
        <v>887</v>
      </c>
      <c r="CI39" t="s">
        <v>887</v>
      </c>
      <c r="CJ39" t="s">
        <v>887</v>
      </c>
      <c r="CK39" t="s">
        <v>887</v>
      </c>
      <c r="CL39" t="s">
        <v>887</v>
      </c>
      <c r="CM39" t="s">
        <v>119</v>
      </c>
      <c r="CN39" t="s">
        <v>119</v>
      </c>
      <c r="CO39" t="s">
        <v>119</v>
      </c>
      <c r="CP39" t="s">
        <v>119</v>
      </c>
      <c r="CQ39" t="s">
        <v>119</v>
      </c>
      <c r="CR39" t="s">
        <v>119</v>
      </c>
      <c r="CS39" t="s">
        <v>107</v>
      </c>
      <c r="CT39" t="s">
        <v>537</v>
      </c>
      <c r="CU39" t="s">
        <v>537</v>
      </c>
      <c r="CV39" t="s">
        <v>537</v>
      </c>
      <c r="CX39" t="s">
        <v>505</v>
      </c>
      <c r="DA39" t="s">
        <v>112</v>
      </c>
      <c r="DB39" t="s">
        <v>478</v>
      </c>
      <c r="DC39" t="s">
        <v>478</v>
      </c>
      <c r="DD39" t="s">
        <v>118</v>
      </c>
      <c r="DE39" t="s">
        <v>118</v>
      </c>
      <c r="DF39" t="s">
        <v>128</v>
      </c>
      <c r="DH39" t="s">
        <v>799</v>
      </c>
      <c r="DI39" t="s">
        <v>799</v>
      </c>
      <c r="DJ39" t="s">
        <v>254</v>
      </c>
      <c r="DK39" t="s">
        <v>773</v>
      </c>
      <c r="DL39" t="s">
        <v>815</v>
      </c>
      <c r="DM39" t="s">
        <v>815</v>
      </c>
      <c r="DN39" t="s">
        <v>815</v>
      </c>
      <c r="DO39" t="s">
        <v>815</v>
      </c>
      <c r="DP39" t="s">
        <v>147</v>
      </c>
      <c r="DQ39" t="s">
        <v>147</v>
      </c>
      <c r="DR39" t="s">
        <v>153</v>
      </c>
      <c r="DS39" t="s">
        <v>139</v>
      </c>
      <c r="DU39" t="s">
        <v>125</v>
      </c>
      <c r="DV39" t="s">
        <v>58</v>
      </c>
      <c r="DY39" t="s">
        <v>798</v>
      </c>
      <c r="DZ39" t="s">
        <v>798</v>
      </c>
      <c r="EA39" t="s">
        <v>796</v>
      </c>
      <c r="ED39" t="s">
        <v>1081</v>
      </c>
      <c r="EE39" t="s">
        <v>189</v>
      </c>
      <c r="EF39" t="s">
        <v>445</v>
      </c>
      <c r="EG39" t="s">
        <v>777</v>
      </c>
      <c r="EI39" t="s">
        <v>258</v>
      </c>
      <c r="EJ39" t="s">
        <v>249</v>
      </c>
      <c r="EK39" t="s">
        <v>248</v>
      </c>
      <c r="EL39" t="s">
        <v>643</v>
      </c>
      <c r="EM39" t="s">
        <v>791</v>
      </c>
      <c r="EN39" t="s">
        <v>791</v>
      </c>
      <c r="EO39" t="s">
        <v>791</v>
      </c>
      <c r="EP39" t="s">
        <v>791</v>
      </c>
      <c r="EQ39" t="s">
        <v>791</v>
      </c>
      <c r="ER39" t="s">
        <v>791</v>
      </c>
      <c r="ES39" t="s">
        <v>791</v>
      </c>
      <c r="ET39" t="s">
        <v>791</v>
      </c>
      <c r="EU39" t="s">
        <v>791</v>
      </c>
      <c r="EV39" t="s">
        <v>791</v>
      </c>
      <c r="EW39" t="s">
        <v>791</v>
      </c>
      <c r="EX39" t="s">
        <v>791</v>
      </c>
      <c r="EY39" t="s">
        <v>791</v>
      </c>
      <c r="EZ39" t="s">
        <v>791</v>
      </c>
      <c r="FA39" t="s">
        <v>791</v>
      </c>
      <c r="FB39" t="s">
        <v>791</v>
      </c>
      <c r="FC39" t="s">
        <v>791</v>
      </c>
      <c r="FD39" t="s">
        <v>791</v>
      </c>
      <c r="FE39" t="s">
        <v>791</v>
      </c>
      <c r="FM39" t="str">
        <f t="shared" si="0"/>
        <v xml:space="preserve">    &lt;route id="Router3_38" edges="195815883#2 195815883#3 394179820#4 196355327#1 196355327#2 196355327#5 -196393940#0"/&gt;</v>
      </c>
      <c r="FN39" t="s">
        <v>2516</v>
      </c>
      <c r="FO39" t="s">
        <v>1127</v>
      </c>
      <c r="FP39" t="s">
        <v>2556</v>
      </c>
    </row>
    <row r="40" spans="1:172" x14ac:dyDescent="0.25">
      <c r="A40" t="s">
        <v>253</v>
      </c>
      <c r="B40" t="s">
        <v>958</v>
      </c>
      <c r="C40" t="s">
        <v>958</v>
      </c>
      <c r="D40" t="s">
        <v>958</v>
      </c>
      <c r="E40" t="s">
        <v>958</v>
      </c>
      <c r="F40" t="s">
        <v>958</v>
      </c>
      <c r="G40" t="s">
        <v>958</v>
      </c>
      <c r="H40" t="s">
        <v>958</v>
      </c>
      <c r="I40" t="s">
        <v>958</v>
      </c>
      <c r="J40" t="s">
        <v>958</v>
      </c>
      <c r="K40" t="s">
        <v>958</v>
      </c>
      <c r="L40" t="s">
        <v>958</v>
      </c>
      <c r="M40" t="s">
        <v>958</v>
      </c>
      <c r="N40" t="s">
        <v>958</v>
      </c>
      <c r="O40" t="s">
        <v>958</v>
      </c>
      <c r="P40" t="s">
        <v>958</v>
      </c>
      <c r="Q40" t="s">
        <v>958</v>
      </c>
      <c r="R40" t="s">
        <v>958</v>
      </c>
      <c r="S40" t="s">
        <v>220</v>
      </c>
      <c r="T40" t="s">
        <v>543</v>
      </c>
      <c r="U40" t="s">
        <v>769</v>
      </c>
      <c r="V40" t="s">
        <v>250</v>
      </c>
      <c r="W40" t="s">
        <v>83</v>
      </c>
      <c r="X40" t="s">
        <v>83</v>
      </c>
      <c r="Y40" t="s">
        <v>83</v>
      </c>
      <c r="Z40" t="s">
        <v>83</v>
      </c>
      <c r="AA40" t="s">
        <v>654</v>
      </c>
      <c r="AB40" t="s">
        <v>654</v>
      </c>
      <c r="AC40" t="s">
        <v>426</v>
      </c>
      <c r="AG40" t="s">
        <v>852</v>
      </c>
      <c r="AO40" t="s">
        <v>52</v>
      </c>
      <c r="AP40" t="s">
        <v>48</v>
      </c>
      <c r="AQ40" t="s">
        <v>721</v>
      </c>
      <c r="AR40" t="s">
        <v>1037</v>
      </c>
      <c r="AS40" t="s">
        <v>734</v>
      </c>
      <c r="AV40" t="s">
        <v>448</v>
      </c>
      <c r="AW40" t="s">
        <v>119</v>
      </c>
      <c r="AX40" t="s">
        <v>777</v>
      </c>
      <c r="AY40" t="s">
        <v>791</v>
      </c>
      <c r="AZ40" t="s">
        <v>791</v>
      </c>
      <c r="BA40" t="s">
        <v>791</v>
      </c>
      <c r="BD40" t="s">
        <v>733</v>
      </c>
      <c r="BG40" t="s">
        <v>800</v>
      </c>
      <c r="BH40" t="s">
        <v>774</v>
      </c>
      <c r="BI40" t="s">
        <v>816</v>
      </c>
      <c r="BJ40" t="s">
        <v>816</v>
      </c>
      <c r="BM40" t="s">
        <v>568</v>
      </c>
      <c r="BN40" t="s">
        <v>568</v>
      </c>
      <c r="BO40" t="s">
        <v>568</v>
      </c>
      <c r="BP40" t="s">
        <v>350</v>
      </c>
      <c r="BQ40" t="s">
        <v>350</v>
      </c>
      <c r="BR40" t="s">
        <v>350</v>
      </c>
      <c r="BS40" t="s">
        <v>383</v>
      </c>
      <c r="BT40" t="s">
        <v>383</v>
      </c>
      <c r="BU40" t="s">
        <v>383</v>
      </c>
      <c r="BV40" t="s">
        <v>383</v>
      </c>
      <c r="BW40" t="s">
        <v>383</v>
      </c>
      <c r="BY40" t="s">
        <v>503</v>
      </c>
      <c r="BZ40" t="s">
        <v>503</v>
      </c>
      <c r="CA40" t="s">
        <v>503</v>
      </c>
      <c r="CB40" t="s">
        <v>503</v>
      </c>
      <c r="CC40" t="s">
        <v>503</v>
      </c>
      <c r="CD40" t="s">
        <v>731</v>
      </c>
      <c r="CG40" t="s">
        <v>888</v>
      </c>
      <c r="CH40" t="s">
        <v>888</v>
      </c>
      <c r="CI40" t="s">
        <v>888</v>
      </c>
      <c r="CJ40" t="s">
        <v>888</v>
      </c>
      <c r="CK40" t="s">
        <v>888</v>
      </c>
      <c r="CL40" t="s">
        <v>888</v>
      </c>
      <c r="CM40" t="s">
        <v>178</v>
      </c>
      <c r="CN40" t="s">
        <v>178</v>
      </c>
      <c r="CO40" t="s">
        <v>178</v>
      </c>
      <c r="CP40" t="s">
        <v>178</v>
      </c>
      <c r="CQ40" t="s">
        <v>178</v>
      </c>
      <c r="CR40" t="s">
        <v>178</v>
      </c>
      <c r="CS40" t="s">
        <v>383</v>
      </c>
      <c r="CT40" t="s">
        <v>538</v>
      </c>
      <c r="CU40" t="s">
        <v>538</v>
      </c>
      <c r="CV40" t="s">
        <v>538</v>
      </c>
      <c r="CX40" t="s">
        <v>506</v>
      </c>
      <c r="DA40" t="s">
        <v>113</v>
      </c>
      <c r="DB40" t="s">
        <v>479</v>
      </c>
      <c r="DC40" t="s">
        <v>479</v>
      </c>
      <c r="DD40" t="s">
        <v>758</v>
      </c>
      <c r="DE40" t="s">
        <v>758</v>
      </c>
      <c r="DF40" t="s">
        <v>129</v>
      </c>
      <c r="DH40" t="s">
        <v>800</v>
      </c>
      <c r="DI40" t="s">
        <v>800</v>
      </c>
      <c r="DJ40" t="s">
        <v>255</v>
      </c>
      <c r="DK40" t="s">
        <v>774</v>
      </c>
      <c r="DL40" t="s">
        <v>816</v>
      </c>
      <c r="DM40" t="s">
        <v>816</v>
      </c>
      <c r="DN40" t="s">
        <v>816</v>
      </c>
      <c r="DO40" t="s">
        <v>816</v>
      </c>
      <c r="DP40" t="s">
        <v>148</v>
      </c>
      <c r="DQ40" t="s">
        <v>148</v>
      </c>
      <c r="DR40" t="s">
        <v>154</v>
      </c>
      <c r="DS40" t="s">
        <v>140</v>
      </c>
      <c r="DU40" t="s">
        <v>126</v>
      </c>
      <c r="DV40" t="s">
        <v>59</v>
      </c>
      <c r="DY40" t="s">
        <v>247</v>
      </c>
      <c r="DZ40" t="s">
        <v>642</v>
      </c>
      <c r="EA40" t="s">
        <v>895</v>
      </c>
      <c r="ED40" t="s">
        <v>150</v>
      </c>
      <c r="EE40" t="s">
        <v>190</v>
      </c>
      <c r="EF40" t="s">
        <v>446</v>
      </c>
      <c r="EG40" t="s">
        <v>784</v>
      </c>
      <c r="EJ40" t="s">
        <v>250</v>
      </c>
      <c r="EK40" t="s">
        <v>249</v>
      </c>
      <c r="EL40" t="s">
        <v>644</v>
      </c>
      <c r="EM40" t="s">
        <v>792</v>
      </c>
      <c r="EN40" t="s">
        <v>792</v>
      </c>
      <c r="EO40" t="s">
        <v>792</v>
      </c>
      <c r="EP40" t="s">
        <v>792</v>
      </c>
      <c r="EQ40" t="s">
        <v>792</v>
      </c>
      <c r="ER40" t="s">
        <v>792</v>
      </c>
      <c r="ES40" t="s">
        <v>792</v>
      </c>
      <c r="ET40" t="s">
        <v>792</v>
      </c>
      <c r="EU40" t="s">
        <v>792</v>
      </c>
      <c r="EV40" t="s">
        <v>792</v>
      </c>
      <c r="EW40" t="s">
        <v>792</v>
      </c>
      <c r="EX40" t="s">
        <v>792</v>
      </c>
      <c r="EY40" t="s">
        <v>792</v>
      </c>
      <c r="EZ40" t="s">
        <v>792</v>
      </c>
      <c r="FA40" t="s">
        <v>792</v>
      </c>
      <c r="FB40" t="s">
        <v>792</v>
      </c>
      <c r="FC40" t="s">
        <v>792</v>
      </c>
      <c r="FD40" t="s">
        <v>792</v>
      </c>
      <c r="FE40" t="s">
        <v>792</v>
      </c>
      <c r="FM40" t="str">
        <f t="shared" si="0"/>
        <v xml:space="preserve">    &lt;route id="Router3_39" edges="195815883#2 195815883#3 394179820#4 196355327#1 196355327#2 196355327#5 62203285#0 62203285#2 62203285#3 62203285#5 42706664#7 42706664#8 12186741#4 12186741#5 -196393940#2 -196393940#0"/&gt;</v>
      </c>
      <c r="FN40" t="s">
        <v>2516</v>
      </c>
      <c r="FO40" t="s">
        <v>1128</v>
      </c>
      <c r="FP40" t="s">
        <v>2557</v>
      </c>
    </row>
    <row r="41" spans="1:172" x14ac:dyDescent="0.25">
      <c r="A41" t="s">
        <v>254</v>
      </c>
      <c r="B41" t="s">
        <v>834</v>
      </c>
      <c r="C41" t="s">
        <v>834</v>
      </c>
      <c r="D41" t="s">
        <v>834</v>
      </c>
      <c r="E41" t="s">
        <v>834</v>
      </c>
      <c r="F41" t="s">
        <v>834</v>
      </c>
      <c r="G41" t="s">
        <v>834</v>
      </c>
      <c r="H41" t="s">
        <v>834</v>
      </c>
      <c r="I41" t="s">
        <v>834</v>
      </c>
      <c r="J41" t="s">
        <v>834</v>
      </c>
      <c r="K41" t="s">
        <v>834</v>
      </c>
      <c r="L41" t="s">
        <v>834</v>
      </c>
      <c r="M41" t="s">
        <v>834</v>
      </c>
      <c r="N41" t="s">
        <v>834</v>
      </c>
      <c r="O41" t="s">
        <v>834</v>
      </c>
      <c r="P41" t="s">
        <v>834</v>
      </c>
      <c r="Q41" t="s">
        <v>834</v>
      </c>
      <c r="R41" t="s">
        <v>834</v>
      </c>
      <c r="S41" t="s">
        <v>395</v>
      </c>
      <c r="T41" t="s">
        <v>544</v>
      </c>
      <c r="U41" t="s">
        <v>632</v>
      </c>
      <c r="V41" t="s">
        <v>709</v>
      </c>
      <c r="W41" t="s">
        <v>84</v>
      </c>
      <c r="X41" t="s">
        <v>84</v>
      </c>
      <c r="Y41" t="s">
        <v>84</v>
      </c>
      <c r="Z41" t="s">
        <v>84</v>
      </c>
      <c r="AA41" t="s">
        <v>837</v>
      </c>
      <c r="AB41" t="s">
        <v>837</v>
      </c>
      <c r="AC41" t="s">
        <v>427</v>
      </c>
      <c r="AG41" t="s">
        <v>853</v>
      </c>
      <c r="AO41" t="s">
        <v>1018</v>
      </c>
      <c r="AP41" t="s">
        <v>49</v>
      </c>
      <c r="AQ41" t="s">
        <v>449</v>
      </c>
      <c r="AR41" t="s">
        <v>309</v>
      </c>
      <c r="AS41" t="s">
        <v>735</v>
      </c>
      <c r="AV41" t="s">
        <v>569</v>
      </c>
      <c r="AW41" t="s">
        <v>178</v>
      </c>
      <c r="AX41" t="s">
        <v>784</v>
      </c>
      <c r="AY41" t="s">
        <v>792</v>
      </c>
      <c r="AZ41" t="s">
        <v>792</v>
      </c>
      <c r="BA41" t="s">
        <v>792</v>
      </c>
      <c r="BD41" t="s">
        <v>734</v>
      </c>
      <c r="BG41" t="s">
        <v>801</v>
      </c>
      <c r="BH41" t="s">
        <v>775</v>
      </c>
      <c r="BI41" t="s">
        <v>1054</v>
      </c>
      <c r="BJ41" t="s">
        <v>1054</v>
      </c>
      <c r="BM41" t="s">
        <v>432</v>
      </c>
      <c r="BN41" t="s">
        <v>432</v>
      </c>
      <c r="BO41" t="s">
        <v>432</v>
      </c>
      <c r="BP41" t="s">
        <v>351</v>
      </c>
      <c r="BQ41" t="s">
        <v>351</v>
      </c>
      <c r="BR41" t="s">
        <v>351</v>
      </c>
      <c r="BS41" t="s">
        <v>384</v>
      </c>
      <c r="BT41" t="s">
        <v>451</v>
      </c>
      <c r="BU41" t="s">
        <v>451</v>
      </c>
      <c r="BV41" t="s">
        <v>451</v>
      </c>
      <c r="BW41" t="s">
        <v>451</v>
      </c>
      <c r="BY41" t="s">
        <v>385</v>
      </c>
      <c r="BZ41" t="s">
        <v>385</v>
      </c>
      <c r="CA41" t="s">
        <v>385</v>
      </c>
      <c r="CB41" t="s">
        <v>385</v>
      </c>
      <c r="CC41" t="s">
        <v>385</v>
      </c>
      <c r="CD41" t="s">
        <v>732</v>
      </c>
      <c r="CG41" t="s">
        <v>37</v>
      </c>
      <c r="CH41" t="s">
        <v>37</v>
      </c>
      <c r="CI41" t="s">
        <v>37</v>
      </c>
      <c r="CJ41" t="s">
        <v>37</v>
      </c>
      <c r="CK41" t="s">
        <v>37</v>
      </c>
      <c r="CL41" t="s">
        <v>37</v>
      </c>
      <c r="CM41" t="s">
        <v>179</v>
      </c>
      <c r="CN41" t="s">
        <v>179</v>
      </c>
      <c r="CO41" t="s">
        <v>179</v>
      </c>
      <c r="CP41" t="s">
        <v>179</v>
      </c>
      <c r="CQ41" t="s">
        <v>179</v>
      </c>
      <c r="CR41" t="s">
        <v>179</v>
      </c>
      <c r="CS41" t="s">
        <v>384</v>
      </c>
      <c r="CT41" t="s">
        <v>93</v>
      </c>
      <c r="CU41" t="s">
        <v>93</v>
      </c>
      <c r="CV41" t="s">
        <v>93</v>
      </c>
      <c r="CX41" t="s">
        <v>507</v>
      </c>
      <c r="DA41" t="s">
        <v>114</v>
      </c>
      <c r="DB41" t="s">
        <v>480</v>
      </c>
      <c r="DC41" t="s">
        <v>480</v>
      </c>
      <c r="DD41" t="s">
        <v>445</v>
      </c>
      <c r="DE41" t="s">
        <v>445</v>
      </c>
      <c r="DF41" t="s">
        <v>130</v>
      </c>
      <c r="DH41" t="s">
        <v>801</v>
      </c>
      <c r="DI41" t="s">
        <v>801</v>
      </c>
      <c r="DJ41" t="s">
        <v>256</v>
      </c>
      <c r="DK41" t="s">
        <v>775</v>
      </c>
      <c r="DL41" t="s">
        <v>1054</v>
      </c>
      <c r="DM41" t="s">
        <v>1054</v>
      </c>
      <c r="DN41" t="s">
        <v>1054</v>
      </c>
      <c r="DO41" t="s">
        <v>1054</v>
      </c>
      <c r="DP41" t="s">
        <v>149</v>
      </c>
      <c r="DQ41" t="s">
        <v>149</v>
      </c>
      <c r="DR41" t="s">
        <v>155</v>
      </c>
      <c r="DS41" t="s">
        <v>141</v>
      </c>
      <c r="DU41" t="s">
        <v>127</v>
      </c>
      <c r="DV41" t="s">
        <v>879</v>
      </c>
      <c r="DY41" t="s">
        <v>248</v>
      </c>
      <c r="DZ41" t="s">
        <v>643</v>
      </c>
      <c r="EA41" t="s">
        <v>896</v>
      </c>
      <c r="ED41" t="s">
        <v>151</v>
      </c>
      <c r="EE41" t="s">
        <v>191</v>
      </c>
      <c r="EF41" t="s">
        <v>447</v>
      </c>
      <c r="EG41" t="s">
        <v>793</v>
      </c>
      <c r="EJ41" t="s">
        <v>251</v>
      </c>
      <c r="EK41" t="s">
        <v>250</v>
      </c>
      <c r="EL41" t="s">
        <v>44</v>
      </c>
      <c r="EM41" t="s">
        <v>642</v>
      </c>
      <c r="EN41" t="s">
        <v>642</v>
      </c>
      <c r="EO41" t="s">
        <v>642</v>
      </c>
      <c r="EP41" t="s">
        <v>642</v>
      </c>
      <c r="EQ41" t="s">
        <v>642</v>
      </c>
      <c r="ER41" t="s">
        <v>642</v>
      </c>
      <c r="ES41" t="s">
        <v>642</v>
      </c>
      <c r="ET41" t="s">
        <v>642</v>
      </c>
      <c r="EU41" t="s">
        <v>642</v>
      </c>
      <c r="EV41" t="s">
        <v>642</v>
      </c>
      <c r="EW41" t="s">
        <v>642</v>
      </c>
      <c r="EX41" t="s">
        <v>642</v>
      </c>
      <c r="EY41" t="s">
        <v>642</v>
      </c>
      <c r="EZ41" t="s">
        <v>642</v>
      </c>
      <c r="FA41" t="s">
        <v>642</v>
      </c>
      <c r="FB41" t="s">
        <v>642</v>
      </c>
      <c r="FC41" t="s">
        <v>642</v>
      </c>
      <c r="FD41" t="s">
        <v>642</v>
      </c>
      <c r="FE41" t="s">
        <v>642</v>
      </c>
      <c r="FM41" t="str">
        <f t="shared" si="0"/>
        <v xml:space="preserve">    &lt;route id="Router3_40" edges="195815883#2 195815883#3 394179820#4 196355327#1 196355327#2 196355327#5 62203285#0 62203285#2 62203285#3 62203285#5 62203285#6 62203285#7 62203286#0 -12142298#1 -12142298#0 42706664#8 12186741#4 12186741#5 -196393940#2 -196393940#0"/&gt;</v>
      </c>
      <c r="FN41" t="s">
        <v>2516</v>
      </c>
      <c r="FO41" t="s">
        <v>1129</v>
      </c>
      <c r="FP41" t="s">
        <v>2558</v>
      </c>
    </row>
    <row r="42" spans="1:172" x14ac:dyDescent="0.25">
      <c r="A42" t="s">
        <v>255</v>
      </c>
      <c r="B42" t="s">
        <v>621</v>
      </c>
      <c r="C42" t="s">
        <v>621</v>
      </c>
      <c r="D42" t="s">
        <v>621</v>
      </c>
      <c r="E42" t="s">
        <v>621</v>
      </c>
      <c r="F42" t="s">
        <v>621</v>
      </c>
      <c r="G42" t="s">
        <v>621</v>
      </c>
      <c r="H42" t="s">
        <v>621</v>
      </c>
      <c r="I42" t="s">
        <v>621</v>
      </c>
      <c r="J42" t="s">
        <v>621</v>
      </c>
      <c r="K42" t="s">
        <v>621</v>
      </c>
      <c r="L42" t="s">
        <v>621</v>
      </c>
      <c r="M42" t="s">
        <v>621</v>
      </c>
      <c r="N42" t="s">
        <v>621</v>
      </c>
      <c r="O42" t="s">
        <v>621</v>
      </c>
      <c r="P42" t="s">
        <v>621</v>
      </c>
      <c r="Q42" t="s">
        <v>621</v>
      </c>
      <c r="R42" t="s">
        <v>621</v>
      </c>
      <c r="S42" t="s">
        <v>396</v>
      </c>
      <c r="T42" t="s">
        <v>545</v>
      </c>
      <c r="U42" t="s">
        <v>633</v>
      </c>
      <c r="V42" t="s">
        <v>710</v>
      </c>
      <c r="W42" t="s">
        <v>103</v>
      </c>
      <c r="X42" t="s">
        <v>103</v>
      </c>
      <c r="Y42" t="s">
        <v>103</v>
      </c>
      <c r="Z42" t="s">
        <v>103</v>
      </c>
      <c r="AA42" t="s">
        <v>838</v>
      </c>
      <c r="AB42" t="s">
        <v>838</v>
      </c>
      <c r="AC42" t="s">
        <v>428</v>
      </c>
      <c r="AG42" t="s">
        <v>880</v>
      </c>
      <c r="AO42" t="s">
        <v>1019</v>
      </c>
      <c r="AP42" t="s">
        <v>50</v>
      </c>
      <c r="AQ42" t="s">
        <v>450</v>
      </c>
      <c r="AR42" t="s">
        <v>310</v>
      </c>
      <c r="AS42" t="s">
        <v>736</v>
      </c>
      <c r="AV42" t="s">
        <v>721</v>
      </c>
      <c r="AW42" t="s">
        <v>179</v>
      </c>
      <c r="AX42" t="s">
        <v>793</v>
      </c>
      <c r="AY42" t="s">
        <v>642</v>
      </c>
      <c r="AZ42" t="s">
        <v>642</v>
      </c>
      <c r="BA42" t="s">
        <v>642</v>
      </c>
      <c r="BD42" t="s">
        <v>735</v>
      </c>
      <c r="BG42" t="s">
        <v>802</v>
      </c>
      <c r="BH42" t="s">
        <v>776</v>
      </c>
      <c r="BI42" t="s">
        <v>898</v>
      </c>
      <c r="BJ42" t="s">
        <v>898</v>
      </c>
      <c r="BM42" t="s">
        <v>347</v>
      </c>
      <c r="BN42" t="s">
        <v>347</v>
      </c>
      <c r="BO42" t="s">
        <v>347</v>
      </c>
      <c r="BP42" t="s">
        <v>182</v>
      </c>
      <c r="BQ42" t="s">
        <v>182</v>
      </c>
      <c r="BR42" t="s">
        <v>182</v>
      </c>
      <c r="BS42" t="s">
        <v>212</v>
      </c>
      <c r="BT42" t="s">
        <v>452</v>
      </c>
      <c r="BU42" t="s">
        <v>452</v>
      </c>
      <c r="BV42" t="s">
        <v>452</v>
      </c>
      <c r="BW42" t="s">
        <v>452</v>
      </c>
      <c r="BY42" t="s">
        <v>78</v>
      </c>
      <c r="BZ42" t="s">
        <v>78</v>
      </c>
      <c r="CA42" t="s">
        <v>78</v>
      </c>
      <c r="CB42" t="s">
        <v>456</v>
      </c>
      <c r="CC42" t="s">
        <v>456</v>
      </c>
      <c r="CD42" t="s">
        <v>733</v>
      </c>
      <c r="CG42" t="s">
        <v>38</v>
      </c>
      <c r="CH42" t="s">
        <v>889</v>
      </c>
      <c r="CI42" t="s">
        <v>889</v>
      </c>
      <c r="CJ42" t="s">
        <v>889</v>
      </c>
      <c r="CK42" t="s">
        <v>889</v>
      </c>
      <c r="CL42" t="s">
        <v>889</v>
      </c>
      <c r="CM42" t="s">
        <v>180</v>
      </c>
      <c r="CN42" t="s">
        <v>180</v>
      </c>
      <c r="CO42" t="s">
        <v>180</v>
      </c>
      <c r="CP42" t="s">
        <v>180</v>
      </c>
      <c r="CQ42" t="s">
        <v>180</v>
      </c>
      <c r="CR42" t="s">
        <v>180</v>
      </c>
      <c r="CS42" t="s">
        <v>504</v>
      </c>
      <c r="CT42" t="s">
        <v>94</v>
      </c>
      <c r="CU42" t="s">
        <v>94</v>
      </c>
      <c r="CV42" t="s">
        <v>94</v>
      </c>
      <c r="CX42" t="s">
        <v>508</v>
      </c>
      <c r="DA42" t="s">
        <v>722</v>
      </c>
      <c r="DB42" t="s">
        <v>481</v>
      </c>
      <c r="DC42" t="s">
        <v>481</v>
      </c>
      <c r="DD42" t="s">
        <v>446</v>
      </c>
      <c r="DE42" t="s">
        <v>446</v>
      </c>
      <c r="DF42" t="s">
        <v>131</v>
      </c>
      <c r="DH42" t="s">
        <v>802</v>
      </c>
      <c r="DI42" t="s">
        <v>802</v>
      </c>
      <c r="DJ42" t="s">
        <v>257</v>
      </c>
      <c r="DK42" t="s">
        <v>776</v>
      </c>
      <c r="DL42" t="s">
        <v>898</v>
      </c>
      <c r="DM42" t="s">
        <v>898</v>
      </c>
      <c r="DN42" t="s">
        <v>898</v>
      </c>
      <c r="DO42" t="s">
        <v>898</v>
      </c>
      <c r="DP42" t="s">
        <v>150</v>
      </c>
      <c r="DQ42" t="s">
        <v>150</v>
      </c>
      <c r="DR42" t="s">
        <v>429</v>
      </c>
      <c r="DU42" t="s">
        <v>128</v>
      </c>
      <c r="DV42" t="s">
        <v>852</v>
      </c>
      <c r="DY42" t="s">
        <v>249</v>
      </c>
      <c r="DZ42" t="s">
        <v>644</v>
      </c>
      <c r="EA42" t="s">
        <v>897</v>
      </c>
      <c r="ED42" t="s">
        <v>425</v>
      </c>
      <c r="EE42" t="s">
        <v>534</v>
      </c>
      <c r="EF42" t="s">
        <v>448</v>
      </c>
      <c r="EG42" t="s">
        <v>638</v>
      </c>
      <c r="EJ42" t="s">
        <v>252</v>
      </c>
      <c r="EK42" t="s">
        <v>709</v>
      </c>
      <c r="EL42" t="s">
        <v>45</v>
      </c>
      <c r="EM42" t="s">
        <v>643</v>
      </c>
      <c r="EN42" t="s">
        <v>643</v>
      </c>
      <c r="EO42" t="s">
        <v>643</v>
      </c>
      <c r="EP42" t="s">
        <v>643</v>
      </c>
      <c r="EQ42" t="s">
        <v>643</v>
      </c>
      <c r="ER42" t="s">
        <v>643</v>
      </c>
      <c r="ES42" t="s">
        <v>643</v>
      </c>
      <c r="ET42" t="s">
        <v>643</v>
      </c>
      <c r="EU42" t="s">
        <v>643</v>
      </c>
      <c r="EV42" t="s">
        <v>643</v>
      </c>
      <c r="EW42" t="s">
        <v>643</v>
      </c>
      <c r="EX42" t="s">
        <v>643</v>
      </c>
      <c r="EY42" t="s">
        <v>643</v>
      </c>
      <c r="EZ42" t="s">
        <v>643</v>
      </c>
      <c r="FA42" t="s">
        <v>643</v>
      </c>
      <c r="FB42" t="s">
        <v>643</v>
      </c>
      <c r="FC42" t="s">
        <v>643</v>
      </c>
      <c r="FD42" t="s">
        <v>643</v>
      </c>
      <c r="FE42" t="s">
        <v>643</v>
      </c>
      <c r="FM42" t="str">
        <f t="shared" si="0"/>
        <v xml:space="preserve">    &lt;route id="Router3_41" edges="195815883#2 195815883#3 450844975 450844970#0 196355332#0 450844979#0.0 12114109#0.45.0 38502259#0.19 450844933#1 196207115#0 196207115#2 196207115#3 196355332#0 450844979#0.0 450844982#0.19 62203497#0 62203497#2 62203497#3 12134479#1 34685684#0 34685684#2 388533143#0 388533143#2 12140627#0 63060729#0 -264253834#2 12156992#4 12156992#5 12156992#6 12156992#7 12156992#8 12156992#9 -12114396#5 -12114396#3 -12114396#1 485017383#0 485017382#0 485017382#1 211575484#0 -12177521#3 -12177521#2 -12177521#1 32121111#12 32121111#14 -12187610#5 -12187610#2 -12187610#1 12150608#0 32121146#2 12117702#9 450844953#0 450844953#2 450844953#3 450844947#0 388533142#0 388533142#2 388533142#4 62623926#0 62623926#1 450844950#0 38502259#0.19 450844933#1 196207110#0 196207110#2"/&gt;</v>
      </c>
      <c r="FN42" t="s">
        <v>2516</v>
      </c>
      <c r="FO42" t="s">
        <v>1130</v>
      </c>
      <c r="FP42" t="s">
        <v>2559</v>
      </c>
    </row>
    <row r="43" spans="1:172" x14ac:dyDescent="0.25">
      <c r="A43" t="s">
        <v>256</v>
      </c>
      <c r="B43" t="s">
        <v>622</v>
      </c>
      <c r="C43" t="s">
        <v>622</v>
      </c>
      <c r="D43" t="s">
        <v>622</v>
      </c>
      <c r="E43" t="s">
        <v>622</v>
      </c>
      <c r="F43" t="s">
        <v>622</v>
      </c>
      <c r="G43" t="s">
        <v>622</v>
      </c>
      <c r="H43" t="s">
        <v>622</v>
      </c>
      <c r="I43" t="s">
        <v>622</v>
      </c>
      <c r="J43" t="s">
        <v>622</v>
      </c>
      <c r="K43" t="s">
        <v>622</v>
      </c>
      <c r="L43" t="s">
        <v>622</v>
      </c>
      <c r="M43" t="s">
        <v>622</v>
      </c>
      <c r="N43" t="s">
        <v>622</v>
      </c>
      <c r="O43" t="s">
        <v>622</v>
      </c>
      <c r="P43" t="s">
        <v>622</v>
      </c>
      <c r="Q43" t="s">
        <v>622</v>
      </c>
      <c r="R43" t="s">
        <v>622</v>
      </c>
      <c r="S43" t="s">
        <v>397</v>
      </c>
      <c r="T43" t="s">
        <v>512</v>
      </c>
      <c r="U43" t="s">
        <v>634</v>
      </c>
      <c r="V43" t="s">
        <v>252</v>
      </c>
      <c r="W43" t="s">
        <v>104</v>
      </c>
      <c r="X43" t="s">
        <v>104</v>
      </c>
      <c r="Y43" t="s">
        <v>104</v>
      </c>
      <c r="Z43" t="s">
        <v>104</v>
      </c>
      <c r="AA43" t="s">
        <v>657</v>
      </c>
      <c r="AB43" t="s">
        <v>657</v>
      </c>
      <c r="AC43" t="s">
        <v>429</v>
      </c>
      <c r="AG43" t="s">
        <v>881</v>
      </c>
      <c r="AO43" t="s">
        <v>845</v>
      </c>
      <c r="AP43" t="s">
        <v>51</v>
      </c>
      <c r="AQ43" t="s">
        <v>760</v>
      </c>
      <c r="AR43" t="s">
        <v>311</v>
      </c>
      <c r="AS43" t="s">
        <v>46</v>
      </c>
      <c r="AV43" t="s">
        <v>449</v>
      </c>
      <c r="AW43" t="s">
        <v>180</v>
      </c>
      <c r="AX43" t="s">
        <v>638</v>
      </c>
      <c r="AY43" t="s">
        <v>643</v>
      </c>
      <c r="AZ43" t="s">
        <v>643</v>
      </c>
      <c r="BA43" t="s">
        <v>643</v>
      </c>
      <c r="BD43" t="s">
        <v>736</v>
      </c>
      <c r="BG43" t="s">
        <v>864</v>
      </c>
      <c r="BH43" t="s">
        <v>905</v>
      </c>
      <c r="BI43" t="s">
        <v>788</v>
      </c>
      <c r="BJ43" t="s">
        <v>788</v>
      </c>
      <c r="BM43" t="s">
        <v>348</v>
      </c>
      <c r="BN43" t="s">
        <v>348</v>
      </c>
      <c r="BO43" t="s">
        <v>348</v>
      </c>
      <c r="BP43" t="s">
        <v>183</v>
      </c>
      <c r="BQ43" t="s">
        <v>183</v>
      </c>
      <c r="BR43" t="s">
        <v>183</v>
      </c>
      <c r="BS43" t="s">
        <v>259</v>
      </c>
      <c r="BT43" t="s">
        <v>453</v>
      </c>
      <c r="BU43" t="s">
        <v>453</v>
      </c>
      <c r="BV43" t="s">
        <v>453</v>
      </c>
      <c r="BW43" t="s">
        <v>453</v>
      </c>
      <c r="BY43" t="s">
        <v>174</v>
      </c>
      <c r="BZ43" t="s">
        <v>174</v>
      </c>
      <c r="CA43" t="s">
        <v>174</v>
      </c>
      <c r="CB43" t="s">
        <v>457</v>
      </c>
      <c r="CC43" t="s">
        <v>457</v>
      </c>
      <c r="CD43" t="s">
        <v>734</v>
      </c>
      <c r="CG43" t="s">
        <v>39</v>
      </c>
      <c r="CH43" t="s">
        <v>770</v>
      </c>
      <c r="CI43" t="s">
        <v>770</v>
      </c>
      <c r="CJ43" t="s">
        <v>770</v>
      </c>
      <c r="CK43" t="s">
        <v>770</v>
      </c>
      <c r="CL43" t="s">
        <v>770</v>
      </c>
      <c r="CM43" t="s">
        <v>181</v>
      </c>
      <c r="CN43" t="s">
        <v>181</v>
      </c>
      <c r="CO43" t="s">
        <v>181</v>
      </c>
      <c r="CP43" t="s">
        <v>181</v>
      </c>
      <c r="CQ43" t="s">
        <v>181</v>
      </c>
      <c r="CR43" t="s">
        <v>181</v>
      </c>
      <c r="CS43" t="s">
        <v>505</v>
      </c>
      <c r="CT43" t="s">
        <v>539</v>
      </c>
      <c r="CU43" t="s">
        <v>539</v>
      </c>
      <c r="CV43" t="s">
        <v>539</v>
      </c>
      <c r="CX43" t="s">
        <v>509</v>
      </c>
      <c r="DA43" t="s">
        <v>723</v>
      </c>
      <c r="DB43" t="s">
        <v>363</v>
      </c>
      <c r="DC43" t="s">
        <v>363</v>
      </c>
      <c r="DD43" t="s">
        <v>447</v>
      </c>
      <c r="DE43" t="s">
        <v>447</v>
      </c>
      <c r="DF43" t="s">
        <v>132</v>
      </c>
      <c r="DH43" t="s">
        <v>864</v>
      </c>
      <c r="DI43" t="s">
        <v>864</v>
      </c>
      <c r="DJ43" t="s">
        <v>258</v>
      </c>
      <c r="DK43" t="s">
        <v>905</v>
      </c>
      <c r="DL43" t="s">
        <v>788</v>
      </c>
      <c r="DM43" t="s">
        <v>788</v>
      </c>
      <c r="DN43" t="s">
        <v>788</v>
      </c>
      <c r="DO43" t="s">
        <v>788</v>
      </c>
      <c r="DP43" t="s">
        <v>151</v>
      </c>
      <c r="DQ43" t="s">
        <v>151</v>
      </c>
      <c r="DR43" t="s">
        <v>430</v>
      </c>
      <c r="DU43" t="s">
        <v>129</v>
      </c>
      <c r="DV43" t="s">
        <v>853</v>
      </c>
      <c r="DY43" t="s">
        <v>250</v>
      </c>
      <c r="DZ43" t="s">
        <v>44</v>
      </c>
      <c r="EA43" t="s">
        <v>898</v>
      </c>
      <c r="ED43" t="s">
        <v>922</v>
      </c>
      <c r="EF43" t="s">
        <v>569</v>
      </c>
      <c r="EG43" t="s">
        <v>639</v>
      </c>
      <c r="EJ43" t="s">
        <v>711</v>
      </c>
      <c r="EK43" t="s">
        <v>710</v>
      </c>
      <c r="EM43" t="s">
        <v>799</v>
      </c>
      <c r="EN43" t="s">
        <v>799</v>
      </c>
      <c r="EO43" t="s">
        <v>799</v>
      </c>
      <c r="EP43" t="s">
        <v>799</v>
      </c>
      <c r="EQ43" t="s">
        <v>799</v>
      </c>
      <c r="ER43" t="s">
        <v>799</v>
      </c>
      <c r="ES43" t="s">
        <v>799</v>
      </c>
      <c r="ET43" t="s">
        <v>799</v>
      </c>
      <c r="EU43" t="s">
        <v>799</v>
      </c>
      <c r="EV43" t="s">
        <v>799</v>
      </c>
      <c r="EW43" t="s">
        <v>799</v>
      </c>
      <c r="EX43" t="s">
        <v>799</v>
      </c>
      <c r="EY43" t="s">
        <v>799</v>
      </c>
      <c r="EZ43" t="s">
        <v>799</v>
      </c>
      <c r="FA43" t="s">
        <v>799</v>
      </c>
      <c r="FB43" t="s">
        <v>799</v>
      </c>
      <c r="FC43" t="s">
        <v>799</v>
      </c>
      <c r="FD43" t="s">
        <v>799</v>
      </c>
      <c r="FE43" t="s">
        <v>799</v>
      </c>
      <c r="FM43" t="str">
        <f t="shared" si="0"/>
        <v xml:space="preserve">    &lt;route id="Router3_42" edges="195815883#2 195815883#3 450844975 450844970#0 196355332#0 450844979#0.0 12114109#0.45.0 38502259#0.19 450844933#1 196207115#0 196207115#2 43538931#0 43538931#1 -43538931#1 -43538931#0 196207115#3 196355332#0 450844979#0.0 450844982#0.19 62203497#0 62203497#2 62203497#3 12134479#1 34685684#0 34685684#2 388533143#0 388533143#2 12140627#0 63060729#0 -264253834#2 12156992#4 12156992#5 12156992#6 12156992#7 12156992#8 12156992#9 -12114396#5 -12114396#3 -12114396#1 485017383#0 485017382#0 485017382#1 211575484#0 -12177521#3 -12177521#2 -12177521#1 32121111#12 32121111#14 -12187610#5 -12187610#2 -12187610#1 12150608#0 32121146#2 12117702#9 450844953#0 450844953#2 450844953#3 450844947#0 388533142#0 388533142#2 388533142#4 62623926#0 62623926#1 450844950#0 38502259#0.19 450844933#1 196207110#0 196207110#2"/&gt;</v>
      </c>
      <c r="FN43" t="s">
        <v>2516</v>
      </c>
      <c r="FO43" t="s">
        <v>1131</v>
      </c>
      <c r="FP43" t="s">
        <v>2560</v>
      </c>
    </row>
    <row r="44" spans="1:172" x14ac:dyDescent="0.25">
      <c r="A44" t="s">
        <v>257</v>
      </c>
      <c r="B44" t="s">
        <v>623</v>
      </c>
      <c r="C44" t="s">
        <v>623</v>
      </c>
      <c r="D44" t="s">
        <v>623</v>
      </c>
      <c r="E44" t="s">
        <v>623</v>
      </c>
      <c r="F44" t="s">
        <v>623</v>
      </c>
      <c r="G44" t="s">
        <v>623</v>
      </c>
      <c r="H44" t="s">
        <v>623</v>
      </c>
      <c r="I44" t="s">
        <v>623</v>
      </c>
      <c r="J44" t="s">
        <v>623</v>
      </c>
      <c r="K44" t="s">
        <v>623</v>
      </c>
      <c r="L44" t="s">
        <v>623</v>
      </c>
      <c r="M44" t="s">
        <v>623</v>
      </c>
      <c r="N44" t="s">
        <v>623</v>
      </c>
      <c r="O44" t="s">
        <v>623</v>
      </c>
      <c r="P44" t="s">
        <v>623</v>
      </c>
      <c r="Q44" t="s">
        <v>623</v>
      </c>
      <c r="R44" t="s">
        <v>623</v>
      </c>
      <c r="S44" t="s">
        <v>398</v>
      </c>
      <c r="U44" t="s">
        <v>635</v>
      </c>
      <c r="V44" t="s">
        <v>253</v>
      </c>
      <c r="W44" t="s">
        <v>535</v>
      </c>
      <c r="X44" t="s">
        <v>535</v>
      </c>
      <c r="Y44" t="s">
        <v>535</v>
      </c>
      <c r="Z44" t="s">
        <v>535</v>
      </c>
      <c r="AA44" t="s">
        <v>428</v>
      </c>
      <c r="AB44" t="s">
        <v>428</v>
      </c>
      <c r="AC44" t="s">
        <v>430</v>
      </c>
      <c r="AG44" t="s">
        <v>163</v>
      </c>
      <c r="AO44" t="s">
        <v>596</v>
      </c>
      <c r="AP44" t="s">
        <v>52</v>
      </c>
      <c r="AQ44" t="s">
        <v>240</v>
      </c>
      <c r="AR44" t="s">
        <v>312</v>
      </c>
      <c r="AS44" t="s">
        <v>47</v>
      </c>
      <c r="AV44" t="s">
        <v>450</v>
      </c>
      <c r="AW44" t="s">
        <v>181</v>
      </c>
      <c r="AX44" t="s">
        <v>639</v>
      </c>
      <c r="AY44" t="s">
        <v>799</v>
      </c>
      <c r="AZ44" t="s">
        <v>799</v>
      </c>
      <c r="BA44" t="s">
        <v>799</v>
      </c>
      <c r="BD44" t="s">
        <v>46</v>
      </c>
      <c r="BG44" t="s">
        <v>994</v>
      </c>
      <c r="BH44" t="s">
        <v>798</v>
      </c>
      <c r="BI44" t="s">
        <v>789</v>
      </c>
      <c r="BJ44" t="s">
        <v>789</v>
      </c>
      <c r="BM44" t="s">
        <v>349</v>
      </c>
      <c r="BN44" t="s">
        <v>349</v>
      </c>
      <c r="BO44" t="s">
        <v>349</v>
      </c>
      <c r="BP44" t="s">
        <v>184</v>
      </c>
      <c r="BQ44" t="s">
        <v>184</v>
      </c>
      <c r="BR44" t="s">
        <v>184</v>
      </c>
      <c r="BS44" t="s">
        <v>352</v>
      </c>
      <c r="BT44" t="s">
        <v>454</v>
      </c>
      <c r="BU44" t="s">
        <v>454</v>
      </c>
      <c r="BV44" t="s">
        <v>454</v>
      </c>
      <c r="BW44" t="s">
        <v>454</v>
      </c>
      <c r="BY44" t="s">
        <v>175</v>
      </c>
      <c r="BZ44" t="s">
        <v>175</v>
      </c>
      <c r="CA44" t="s">
        <v>175</v>
      </c>
      <c r="CB44" t="s">
        <v>1022</v>
      </c>
      <c r="CC44" t="s">
        <v>1022</v>
      </c>
      <c r="CD44" t="s">
        <v>735</v>
      </c>
      <c r="CG44" t="s">
        <v>40</v>
      </c>
      <c r="CH44" t="s">
        <v>890</v>
      </c>
      <c r="CI44" t="s">
        <v>890</v>
      </c>
      <c r="CJ44" t="s">
        <v>890</v>
      </c>
      <c r="CK44" t="s">
        <v>890</v>
      </c>
      <c r="CL44" t="s">
        <v>771</v>
      </c>
      <c r="CM44" t="s">
        <v>182</v>
      </c>
      <c r="CN44" t="s">
        <v>182</v>
      </c>
      <c r="CO44" t="s">
        <v>182</v>
      </c>
      <c r="CP44" t="s">
        <v>182</v>
      </c>
      <c r="CQ44" t="s">
        <v>182</v>
      </c>
      <c r="CR44" t="s">
        <v>182</v>
      </c>
      <c r="CS44" t="s">
        <v>506</v>
      </c>
      <c r="CT44" t="s">
        <v>540</v>
      </c>
      <c r="CU44" t="s">
        <v>540</v>
      </c>
      <c r="CV44" t="s">
        <v>540</v>
      </c>
      <c r="CX44" t="s">
        <v>95</v>
      </c>
      <c r="DA44" t="s">
        <v>724</v>
      </c>
      <c r="DB44" t="s">
        <v>364</v>
      </c>
      <c r="DC44" t="s">
        <v>364</v>
      </c>
      <c r="DD44" t="s">
        <v>448</v>
      </c>
      <c r="DE44" t="s">
        <v>448</v>
      </c>
      <c r="DF44" t="s">
        <v>133</v>
      </c>
      <c r="DH44" t="s">
        <v>994</v>
      </c>
      <c r="DI44" t="s">
        <v>994</v>
      </c>
      <c r="DK44" t="s">
        <v>798</v>
      </c>
      <c r="DL44" t="s">
        <v>789</v>
      </c>
      <c r="DM44" t="s">
        <v>789</v>
      </c>
      <c r="DN44" t="s">
        <v>789</v>
      </c>
      <c r="DO44" t="s">
        <v>789</v>
      </c>
      <c r="DP44" t="s">
        <v>152</v>
      </c>
      <c r="DQ44" t="s">
        <v>152</v>
      </c>
      <c r="DR44" t="s">
        <v>431</v>
      </c>
      <c r="DU44" t="s">
        <v>130</v>
      </c>
      <c r="DV44" t="s">
        <v>857</v>
      </c>
      <c r="DY44" t="s">
        <v>709</v>
      </c>
      <c r="DZ44" t="s">
        <v>45</v>
      </c>
      <c r="EA44" t="s">
        <v>636</v>
      </c>
      <c r="ED44" t="s">
        <v>923</v>
      </c>
      <c r="EF44" t="s">
        <v>721</v>
      </c>
      <c r="EG44" t="s">
        <v>640</v>
      </c>
      <c r="EJ44" t="s">
        <v>712</v>
      </c>
      <c r="EK44" t="s">
        <v>252</v>
      </c>
      <c r="EM44" t="s">
        <v>800</v>
      </c>
      <c r="EN44" t="s">
        <v>800</v>
      </c>
      <c r="EO44" t="s">
        <v>800</v>
      </c>
      <c r="EP44" t="s">
        <v>800</v>
      </c>
      <c r="EQ44" t="s">
        <v>800</v>
      </c>
      <c r="ER44" t="s">
        <v>800</v>
      </c>
      <c r="ES44" t="s">
        <v>800</v>
      </c>
      <c r="ET44" t="s">
        <v>800</v>
      </c>
      <c r="EU44" t="s">
        <v>800</v>
      </c>
      <c r="EV44" t="s">
        <v>800</v>
      </c>
      <c r="EW44" t="s">
        <v>800</v>
      </c>
      <c r="EX44" t="s">
        <v>800</v>
      </c>
      <c r="EY44" t="s">
        <v>800</v>
      </c>
      <c r="EZ44" t="s">
        <v>800</v>
      </c>
      <c r="FA44" t="s">
        <v>800</v>
      </c>
      <c r="FB44" t="s">
        <v>800</v>
      </c>
      <c r="FC44" t="s">
        <v>800</v>
      </c>
      <c r="FD44" t="s">
        <v>800</v>
      </c>
      <c r="FE44" t="s">
        <v>800</v>
      </c>
      <c r="FM44" t="str">
        <f t="shared" si="0"/>
        <v xml:space="preserve">    &lt;route id="Router3_43" edges="195815883#2 195815883#3 450844975 450844970#0 196355332#0 450844979#0.0 12114109#0.45.0 38502259#0.19 450844933#1 196207115#0 196207115#2 43538931#0 43538931#1 -43538931#1 -43538931#0 196207115#3 196355332#0 450844979#0.0 450844982#0.19 62203497#0 62203497#2 62203497#3 12134479#1 34685684#0 34685684#2 450844947#0 388533142#0 388533142#2 388533142#4 62623926#0 62623926#1 450844950#0 12189453#0.0.0 450844982#0.19 62203497#0 62203497#2 62203497#3 12134479#1 34685684#0 34685684#2 388533143#0 388533143#2 12140627#0 63060729#0 -264253834#2 12156992#4 12156992#5 12156992#6 12156992#7 12156992#8 12156992#9 484953505 12148522#0 485017381#0 485017381#1 -30953396#1 -30953396#0 -424769006 -424769005 -424769002 -30953391 -43569848 -393884751 12159702 424764853 12149178#0 50189796 50189564 12149178#2 145605533#0 145605533#1-AddedOnRampEdge 145605533#1 145605511#1-AddedOnRampEdge 145605511#12 145605511#1.148"/&gt;</v>
      </c>
      <c r="FN44" t="s">
        <v>2516</v>
      </c>
      <c r="FO44" t="s">
        <v>1132</v>
      </c>
      <c r="FP44" t="s">
        <v>2561</v>
      </c>
    </row>
    <row r="45" spans="1:172" x14ac:dyDescent="0.25">
      <c r="A45" t="s">
        <v>258</v>
      </c>
      <c r="B45" t="s">
        <v>975</v>
      </c>
      <c r="C45" t="s">
        <v>975</v>
      </c>
      <c r="D45" t="s">
        <v>975</v>
      </c>
      <c r="E45" t="s">
        <v>975</v>
      </c>
      <c r="F45" t="s">
        <v>975</v>
      </c>
      <c r="G45" t="s">
        <v>975</v>
      </c>
      <c r="H45" t="s">
        <v>975</v>
      </c>
      <c r="I45" t="s">
        <v>975</v>
      </c>
      <c r="J45" t="s">
        <v>975</v>
      </c>
      <c r="K45" t="s">
        <v>975</v>
      </c>
      <c r="L45" t="s">
        <v>975</v>
      </c>
      <c r="M45" t="s">
        <v>975</v>
      </c>
      <c r="N45" t="s">
        <v>975</v>
      </c>
      <c r="O45" t="s">
        <v>975</v>
      </c>
      <c r="P45" t="s">
        <v>975</v>
      </c>
      <c r="Q45" t="s">
        <v>975</v>
      </c>
      <c r="R45" t="s">
        <v>975</v>
      </c>
      <c r="S45" t="s">
        <v>490</v>
      </c>
      <c r="U45" t="s">
        <v>458</v>
      </c>
      <c r="V45" t="s">
        <v>254</v>
      </c>
      <c r="W45" t="s">
        <v>600</v>
      </c>
      <c r="X45" t="s">
        <v>600</v>
      </c>
      <c r="Y45" t="s">
        <v>600</v>
      </c>
      <c r="Z45" t="s">
        <v>600</v>
      </c>
      <c r="AA45" t="s">
        <v>156</v>
      </c>
      <c r="AB45" t="s">
        <v>156</v>
      </c>
      <c r="AC45" t="s">
        <v>431</v>
      </c>
      <c r="AG45" t="s">
        <v>164</v>
      </c>
      <c r="AO45" t="s">
        <v>954</v>
      </c>
      <c r="AP45" t="s">
        <v>1018</v>
      </c>
      <c r="AQ45" t="s">
        <v>241</v>
      </c>
      <c r="AR45" t="s">
        <v>313</v>
      </c>
      <c r="AS45" t="s">
        <v>48</v>
      </c>
      <c r="AV45" t="s">
        <v>760</v>
      </c>
      <c r="AW45" t="s">
        <v>182</v>
      </c>
      <c r="AX45" t="s">
        <v>640</v>
      </c>
      <c r="AY45" t="s">
        <v>800</v>
      </c>
      <c r="AZ45" t="s">
        <v>800</v>
      </c>
      <c r="BA45" t="s">
        <v>800</v>
      </c>
      <c r="BD45" t="s">
        <v>47</v>
      </c>
      <c r="BG45" t="s">
        <v>995</v>
      </c>
      <c r="BH45" t="s">
        <v>642</v>
      </c>
      <c r="BI45" t="s">
        <v>790</v>
      </c>
      <c r="BJ45" t="s">
        <v>790</v>
      </c>
      <c r="BM45" t="s">
        <v>237</v>
      </c>
      <c r="BN45" t="s">
        <v>237</v>
      </c>
      <c r="BO45" t="s">
        <v>237</v>
      </c>
      <c r="BP45" t="s">
        <v>185</v>
      </c>
      <c r="BQ45" t="s">
        <v>185</v>
      </c>
      <c r="BR45" t="s">
        <v>185</v>
      </c>
      <c r="BS45" t="s">
        <v>353</v>
      </c>
      <c r="BT45" t="s">
        <v>610</v>
      </c>
      <c r="BU45" t="s">
        <v>610</v>
      </c>
      <c r="BV45" t="s">
        <v>610</v>
      </c>
      <c r="BW45" t="s">
        <v>610</v>
      </c>
      <c r="BY45" t="s">
        <v>176</v>
      </c>
      <c r="BZ45" t="s">
        <v>176</v>
      </c>
      <c r="CA45" t="s">
        <v>176</v>
      </c>
      <c r="CB45" t="s">
        <v>387</v>
      </c>
      <c r="CC45" t="s">
        <v>387</v>
      </c>
      <c r="CD45" t="s">
        <v>736</v>
      </c>
      <c r="CG45" t="s">
        <v>41</v>
      </c>
      <c r="CH45" t="s">
        <v>891</v>
      </c>
      <c r="CI45" t="s">
        <v>891</v>
      </c>
      <c r="CJ45" t="s">
        <v>891</v>
      </c>
      <c r="CK45" t="s">
        <v>891</v>
      </c>
      <c r="CL45" t="s">
        <v>772</v>
      </c>
      <c r="CM45" t="s">
        <v>183</v>
      </c>
      <c r="CN45" t="s">
        <v>183</v>
      </c>
      <c r="CO45" t="s">
        <v>183</v>
      </c>
      <c r="CP45" t="s">
        <v>183</v>
      </c>
      <c r="CQ45" t="s">
        <v>183</v>
      </c>
      <c r="CR45" t="s">
        <v>183</v>
      </c>
      <c r="CS45" t="s">
        <v>507</v>
      </c>
      <c r="CT45" t="s">
        <v>541</v>
      </c>
      <c r="CU45" t="s">
        <v>541</v>
      </c>
      <c r="CV45" t="s">
        <v>541</v>
      </c>
      <c r="CX45" t="s">
        <v>96</v>
      </c>
      <c r="DA45" t="s">
        <v>725</v>
      </c>
      <c r="DB45" t="s">
        <v>365</v>
      </c>
      <c r="DC45" t="s">
        <v>365</v>
      </c>
      <c r="DD45" t="s">
        <v>569</v>
      </c>
      <c r="DE45" t="s">
        <v>569</v>
      </c>
      <c r="DF45" t="s">
        <v>134</v>
      </c>
      <c r="DH45" t="s">
        <v>995</v>
      </c>
      <c r="DI45" t="s">
        <v>995</v>
      </c>
      <c r="DK45" t="s">
        <v>247</v>
      </c>
      <c r="DL45" t="s">
        <v>790</v>
      </c>
      <c r="DM45" t="s">
        <v>790</v>
      </c>
      <c r="DN45" t="s">
        <v>790</v>
      </c>
      <c r="DO45" t="s">
        <v>790</v>
      </c>
      <c r="DP45" t="s">
        <v>153</v>
      </c>
      <c r="DQ45" t="s">
        <v>153</v>
      </c>
      <c r="DR45" t="s">
        <v>159</v>
      </c>
      <c r="DU45" t="s">
        <v>131</v>
      </c>
      <c r="DV45" t="s">
        <v>858</v>
      </c>
      <c r="DY45" t="s">
        <v>710</v>
      </c>
      <c r="EA45" t="s">
        <v>637</v>
      </c>
      <c r="ED45" t="s">
        <v>924</v>
      </c>
      <c r="EF45" t="s">
        <v>449</v>
      </c>
      <c r="EG45" t="s">
        <v>641</v>
      </c>
      <c r="EJ45" t="s">
        <v>254</v>
      </c>
      <c r="EK45" t="s">
        <v>253</v>
      </c>
      <c r="EM45" t="s">
        <v>801</v>
      </c>
      <c r="EN45" t="s">
        <v>801</v>
      </c>
      <c r="EO45" t="s">
        <v>801</v>
      </c>
      <c r="EP45" t="s">
        <v>801</v>
      </c>
      <c r="EQ45" t="s">
        <v>801</v>
      </c>
      <c r="ER45" t="s">
        <v>801</v>
      </c>
      <c r="ES45" t="s">
        <v>801</v>
      </c>
      <c r="ET45" t="s">
        <v>801</v>
      </c>
      <c r="EU45" t="s">
        <v>801</v>
      </c>
      <c r="EV45" t="s">
        <v>801</v>
      </c>
      <c r="EW45" t="s">
        <v>801</v>
      </c>
      <c r="EX45" t="s">
        <v>801</v>
      </c>
      <c r="EY45" t="s">
        <v>801</v>
      </c>
      <c r="EZ45" t="s">
        <v>801</v>
      </c>
      <c r="FA45" t="s">
        <v>801</v>
      </c>
      <c r="FB45" t="s">
        <v>801</v>
      </c>
      <c r="FC45" t="s">
        <v>801</v>
      </c>
      <c r="FD45" t="s">
        <v>801</v>
      </c>
      <c r="FE45" t="s">
        <v>801</v>
      </c>
      <c r="FM45" t="str">
        <f t="shared" si="0"/>
        <v xml:space="preserve">    &lt;route id="Router3_44" edges="195815883#2 195815883#3 450844975 450844970#0 196355332#0 450844979#0.0 12114109#0.45.0 38502259#0.19 450844933#1 196207115#0 196207115#2 43538931#0 43538931#1 32118649#4 32118649#5 32118649#6 132508646#0 132508646#2 132508646#3 196355310#0 196355310#1 12150213#8 12150213#9 12150213#10 12150213#11 173543402#8 173543402#9 132508983#0 132508983#3 132508734#3 132508734#4 132508734#5 132508734#6 132508734#7 132508734#8 132508734#9 193223837#3 12142729#6 12142729#7 196355307#1 196393937 -132508530 -310296140#9 -310296140#8 -310296140#7 -310296140#6 -310296140#5 -310296140#4 -310296140#2 -310296140#1 459461788#11 459461788#12 459461788#13 459461788#14 459461788#15 -170366767#4 -170366767#3 -170366767#2 -170366767#0 -12173391 -170366765 170366768 30953029#0 30953029#1 424987520 424081472 424081473 424081470 12122468#0 12122468#1 273888485.0 50033027 -50033029 50033050#0 50033055 63060727 50033029 50033028#0 50033028#3 50033028#5 50033028#6 49991646 386547300#0 283621823 386547301-AddedOnRampEdge 386547301 424801344#0 424801343#1 283621822#0 424801341 28555309#0 49991649#0 424986163#0 51049946#0 424801337#0 357338497#0 357338497#2 450695460#0 62646499#0 62646499#2 450827424#0 62646508#0 62646508#2 424799820 424799823#0 50033059#0 50033059#2 50033059#3 50033059#4 388756839#0 388756839#1 388756838#0 12136923#0 386547309#0 386547309#2 386547309#3 386547309#5 386547309#7 51050030#4 51050030#7 gneE35 -gneE34.0 --gneE83.0"/&gt;</v>
      </c>
      <c r="FN45" t="s">
        <v>2516</v>
      </c>
      <c r="FO45" t="s">
        <v>1133</v>
      </c>
      <c r="FP45" t="s">
        <v>2562</v>
      </c>
    </row>
    <row r="46" spans="1:172" x14ac:dyDescent="0.25">
      <c r="B46" t="s">
        <v>947</v>
      </c>
      <c r="C46" t="s">
        <v>947</v>
      </c>
      <c r="D46" t="s">
        <v>947</v>
      </c>
      <c r="E46" t="s">
        <v>947</v>
      </c>
      <c r="F46" t="s">
        <v>947</v>
      </c>
      <c r="G46" t="s">
        <v>947</v>
      </c>
      <c r="H46" t="s">
        <v>947</v>
      </c>
      <c r="I46" t="s">
        <v>947</v>
      </c>
      <c r="J46" t="s">
        <v>947</v>
      </c>
      <c r="K46" t="s">
        <v>947</v>
      </c>
      <c r="L46" t="s">
        <v>947</v>
      </c>
      <c r="M46" t="s">
        <v>947</v>
      </c>
      <c r="N46" t="s">
        <v>947</v>
      </c>
      <c r="O46" t="s">
        <v>947</v>
      </c>
      <c r="P46" t="s">
        <v>947</v>
      </c>
      <c r="Q46" t="s">
        <v>947</v>
      </c>
      <c r="R46" t="s">
        <v>947</v>
      </c>
      <c r="S46" t="s">
        <v>491</v>
      </c>
      <c r="U46" t="s">
        <v>259</v>
      </c>
      <c r="V46" t="s">
        <v>255</v>
      </c>
      <c r="W46" t="s">
        <v>601</v>
      </c>
      <c r="X46" t="s">
        <v>601</v>
      </c>
      <c r="Y46" t="s">
        <v>601</v>
      </c>
      <c r="Z46" t="s">
        <v>601</v>
      </c>
      <c r="AA46" t="s">
        <v>840</v>
      </c>
      <c r="AB46" t="s">
        <v>840</v>
      </c>
      <c r="AC46" t="s">
        <v>159</v>
      </c>
      <c r="AG46" t="s">
        <v>165</v>
      </c>
      <c r="AO46" t="s">
        <v>76</v>
      </c>
      <c r="AP46" t="s">
        <v>1019</v>
      </c>
      <c r="AQ46" t="s">
        <v>391</v>
      </c>
      <c r="AR46" t="s">
        <v>314</v>
      </c>
      <c r="AS46" t="s">
        <v>49</v>
      </c>
      <c r="AV46" t="s">
        <v>240</v>
      </c>
      <c r="AW46" t="s">
        <v>183</v>
      </c>
      <c r="AX46" t="s">
        <v>641</v>
      </c>
      <c r="AY46" t="s">
        <v>801</v>
      </c>
      <c r="AZ46" t="s">
        <v>801</v>
      </c>
      <c r="BA46" t="s">
        <v>801</v>
      </c>
      <c r="BD46" t="s">
        <v>48</v>
      </c>
      <c r="BG46" t="s">
        <v>1057</v>
      </c>
      <c r="BH46" t="s">
        <v>643</v>
      </c>
      <c r="BI46" t="s">
        <v>791</v>
      </c>
      <c r="BJ46" t="s">
        <v>791</v>
      </c>
      <c r="BM46" t="s">
        <v>238</v>
      </c>
      <c r="BN46" t="s">
        <v>238</v>
      </c>
      <c r="BO46" t="s">
        <v>238</v>
      </c>
      <c r="BP46" t="s">
        <v>186</v>
      </c>
      <c r="BQ46" t="s">
        <v>186</v>
      </c>
      <c r="BR46" t="s">
        <v>186</v>
      </c>
      <c r="BS46" t="s">
        <v>575</v>
      </c>
      <c r="BT46" t="s">
        <v>611</v>
      </c>
      <c r="BU46" t="s">
        <v>611</v>
      </c>
      <c r="BV46" t="s">
        <v>611</v>
      </c>
      <c r="BW46" t="s">
        <v>611</v>
      </c>
      <c r="BY46" t="s">
        <v>177</v>
      </c>
      <c r="BZ46" t="s">
        <v>177</v>
      </c>
      <c r="CA46" t="s">
        <v>177</v>
      </c>
      <c r="CB46" t="s">
        <v>860</v>
      </c>
      <c r="CC46" t="s">
        <v>860</v>
      </c>
      <c r="CD46" t="s">
        <v>246</v>
      </c>
      <c r="CG46" t="s">
        <v>42</v>
      </c>
      <c r="CH46" t="s">
        <v>892</v>
      </c>
      <c r="CI46" t="s">
        <v>892</v>
      </c>
      <c r="CJ46" t="s">
        <v>892</v>
      </c>
      <c r="CK46" t="s">
        <v>892</v>
      </c>
      <c r="CL46" t="s">
        <v>900</v>
      </c>
      <c r="CM46" t="s">
        <v>445</v>
      </c>
      <c r="CN46" t="s">
        <v>445</v>
      </c>
      <c r="CO46" t="s">
        <v>445</v>
      </c>
      <c r="CP46" t="s">
        <v>445</v>
      </c>
      <c r="CQ46" t="s">
        <v>445</v>
      </c>
      <c r="CR46" t="s">
        <v>445</v>
      </c>
      <c r="CS46" t="s">
        <v>508</v>
      </c>
      <c r="CT46" t="s">
        <v>752</v>
      </c>
      <c r="CU46" t="s">
        <v>752</v>
      </c>
      <c r="CV46" t="s">
        <v>752</v>
      </c>
      <c r="CX46" t="s">
        <v>97</v>
      </c>
      <c r="DA46" t="s">
        <v>726</v>
      </c>
      <c r="DB46" t="s">
        <v>602</v>
      </c>
      <c r="DC46" t="s">
        <v>602</v>
      </c>
      <c r="DD46" t="s">
        <v>721</v>
      </c>
      <c r="DE46" t="s">
        <v>721</v>
      </c>
      <c r="DF46" t="s">
        <v>135</v>
      </c>
      <c r="DH46" t="s">
        <v>1057</v>
      </c>
      <c r="DI46" t="s">
        <v>1057</v>
      </c>
      <c r="DK46" t="s">
        <v>248</v>
      </c>
      <c r="DL46" t="s">
        <v>791</v>
      </c>
      <c r="DM46" t="s">
        <v>791</v>
      </c>
      <c r="DN46" t="s">
        <v>791</v>
      </c>
      <c r="DO46" t="s">
        <v>791</v>
      </c>
      <c r="DP46" t="s">
        <v>154</v>
      </c>
      <c r="DQ46" t="s">
        <v>154</v>
      </c>
      <c r="DR46" t="s">
        <v>160</v>
      </c>
      <c r="DU46" t="s">
        <v>132</v>
      </c>
      <c r="DV46" t="s">
        <v>859</v>
      </c>
      <c r="DY46" t="s">
        <v>252</v>
      </c>
      <c r="EA46" t="s">
        <v>638</v>
      </c>
      <c r="ED46" t="s">
        <v>945</v>
      </c>
      <c r="EF46" t="s">
        <v>112</v>
      </c>
      <c r="EG46" t="s">
        <v>642</v>
      </c>
      <c r="EJ46" t="s">
        <v>255</v>
      </c>
      <c r="EK46" t="s">
        <v>254</v>
      </c>
      <c r="EM46" t="s">
        <v>802</v>
      </c>
      <c r="EN46" t="s">
        <v>802</v>
      </c>
      <c r="EO46" t="s">
        <v>802</v>
      </c>
      <c r="EP46" t="s">
        <v>802</v>
      </c>
      <c r="EQ46" t="s">
        <v>802</v>
      </c>
      <c r="ER46" t="s">
        <v>802</v>
      </c>
      <c r="ES46" t="s">
        <v>802</v>
      </c>
      <c r="ET46" t="s">
        <v>802</v>
      </c>
      <c r="EU46" t="s">
        <v>802</v>
      </c>
      <c r="EV46" t="s">
        <v>802</v>
      </c>
      <c r="EW46" t="s">
        <v>802</v>
      </c>
      <c r="EX46" t="s">
        <v>802</v>
      </c>
      <c r="EY46" t="s">
        <v>802</v>
      </c>
      <c r="EZ46" t="s">
        <v>802</v>
      </c>
      <c r="FA46" t="s">
        <v>802</v>
      </c>
      <c r="FB46" t="s">
        <v>802</v>
      </c>
      <c r="FC46" t="s">
        <v>802</v>
      </c>
      <c r="FD46" t="s">
        <v>802</v>
      </c>
      <c r="FE46" t="s">
        <v>802</v>
      </c>
      <c r="FM46" t="str">
        <f t="shared" si="0"/>
        <v xml:space="preserve">    &lt;route id="Router3_45" edges="196393940#0 62203285#0 62203285#2 62203285#3 62203285#5 42706664#7 12142298#0 12142298#1 62203286#2 12186741#2 12186741#4 12186741#5 12142723#0 12142723#3 12142723#4 12187745 32118649#2 32118649#3 -43538931#1 -43538931#0 196207115#3 196355332#0 450844979#0.0 450844982#0.19 62203497#0 62203497#2 62203497#3 12134479#1 34685684#0 34685684#2 388533143#0 388533143#2 12140627#0 63060729#0 -264253834#2 12156992#4 12156992#5 12156992#6 12156992#7 12156992#8 12156992#9 -12114396#5 -12114396#3 -12114396#1 485017383#0 485017382#0 485017382#1 211575484#0 -12177521#3 -12177521#2 -12177521#1 32121111#12 32121111#14 -12187610#5 -12187610#2 -12187610#1 12150608#0 32121146#2 12117702#9 450844953#0 450844953#2 450844953#3 450844947#0 388533142#0 388533142#2 388533142#4 62623926#0 62623926#1 450844950#0 38502259#0.19 450844933#1 196207110#0 196207110#2"/&gt;</v>
      </c>
      <c r="FN46" t="s">
        <v>2516</v>
      </c>
      <c r="FO46" t="s">
        <v>1134</v>
      </c>
      <c r="FP46" t="s">
        <v>2563</v>
      </c>
    </row>
    <row r="47" spans="1:172" x14ac:dyDescent="0.25">
      <c r="B47" t="s">
        <v>414</v>
      </c>
      <c r="C47" t="s">
        <v>414</v>
      </c>
      <c r="D47" t="s">
        <v>414</v>
      </c>
      <c r="E47" t="s">
        <v>414</v>
      </c>
      <c r="F47" t="s">
        <v>414</v>
      </c>
      <c r="G47" t="s">
        <v>414</v>
      </c>
      <c r="H47" t="s">
        <v>414</v>
      </c>
      <c r="I47" t="s">
        <v>414</v>
      </c>
      <c r="J47" t="s">
        <v>414</v>
      </c>
      <c r="K47" t="s">
        <v>414</v>
      </c>
      <c r="L47" t="s">
        <v>414</v>
      </c>
      <c r="M47" t="s">
        <v>414</v>
      </c>
      <c r="N47" t="s">
        <v>414</v>
      </c>
      <c r="O47" t="s">
        <v>414</v>
      </c>
      <c r="P47" t="s">
        <v>414</v>
      </c>
      <c r="Q47" t="s">
        <v>414</v>
      </c>
      <c r="R47" t="s">
        <v>414</v>
      </c>
      <c r="S47" t="s">
        <v>224</v>
      </c>
      <c r="U47" t="s">
        <v>352</v>
      </c>
      <c r="V47" t="s">
        <v>256</v>
      </c>
      <c r="W47" t="s">
        <v>263</v>
      </c>
      <c r="X47" t="s">
        <v>263</v>
      </c>
      <c r="Y47" t="s">
        <v>263</v>
      </c>
      <c r="Z47" t="s">
        <v>263</v>
      </c>
      <c r="AA47" t="s">
        <v>431</v>
      </c>
      <c r="AB47" t="s">
        <v>431</v>
      </c>
      <c r="AC47" t="s">
        <v>160</v>
      </c>
      <c r="AG47" t="s">
        <v>166</v>
      </c>
      <c r="AO47" t="s">
        <v>77</v>
      </c>
      <c r="AP47" t="s">
        <v>845</v>
      </c>
      <c r="AQ47" t="s">
        <v>731</v>
      </c>
      <c r="AR47" t="s">
        <v>1038</v>
      </c>
      <c r="AS47" t="s">
        <v>50</v>
      </c>
      <c r="AV47" t="s">
        <v>241</v>
      </c>
      <c r="AW47" t="s">
        <v>445</v>
      </c>
      <c r="AX47" t="s">
        <v>642</v>
      </c>
      <c r="AY47" t="s">
        <v>802</v>
      </c>
      <c r="AZ47" t="s">
        <v>802</v>
      </c>
      <c r="BA47" t="s">
        <v>802</v>
      </c>
      <c r="BD47" t="s">
        <v>49</v>
      </c>
      <c r="BG47" t="s">
        <v>57</v>
      </c>
      <c r="BH47" t="s">
        <v>644</v>
      </c>
      <c r="BI47" t="s">
        <v>792</v>
      </c>
      <c r="BJ47" t="s">
        <v>792</v>
      </c>
      <c r="BM47" t="s">
        <v>234</v>
      </c>
      <c r="BN47" t="s">
        <v>234</v>
      </c>
      <c r="BO47" t="s">
        <v>234</v>
      </c>
      <c r="BP47" t="s">
        <v>488</v>
      </c>
      <c r="BQ47" t="s">
        <v>488</v>
      </c>
      <c r="BR47" t="s">
        <v>488</v>
      </c>
      <c r="BS47" t="s">
        <v>978</v>
      </c>
      <c r="BT47" t="s">
        <v>612</v>
      </c>
      <c r="BU47" t="s">
        <v>612</v>
      </c>
      <c r="BV47" t="s">
        <v>612</v>
      </c>
      <c r="BW47" t="s">
        <v>612</v>
      </c>
      <c r="BY47" t="s">
        <v>105</v>
      </c>
      <c r="BZ47" t="s">
        <v>105</v>
      </c>
      <c r="CA47" t="s">
        <v>105</v>
      </c>
      <c r="CB47" t="s">
        <v>861</v>
      </c>
      <c r="CC47" t="s">
        <v>629</v>
      </c>
      <c r="CD47" t="s">
        <v>737</v>
      </c>
      <c r="CG47" t="s">
        <v>43</v>
      </c>
      <c r="CH47" t="s">
        <v>893</v>
      </c>
      <c r="CI47" t="s">
        <v>893</v>
      </c>
      <c r="CJ47" t="s">
        <v>893</v>
      </c>
      <c r="CK47" t="s">
        <v>893</v>
      </c>
      <c r="CL47" t="s">
        <v>907</v>
      </c>
      <c r="CM47" t="s">
        <v>446</v>
      </c>
      <c r="CN47" t="s">
        <v>446</v>
      </c>
      <c r="CO47" t="s">
        <v>446</v>
      </c>
      <c r="CP47" t="s">
        <v>446</v>
      </c>
      <c r="CQ47" t="s">
        <v>446</v>
      </c>
      <c r="CR47" t="s">
        <v>446</v>
      </c>
      <c r="CS47" t="s">
        <v>509</v>
      </c>
      <c r="CT47" t="s">
        <v>98</v>
      </c>
      <c r="CU47" t="s">
        <v>98</v>
      </c>
      <c r="CV47" t="s">
        <v>98</v>
      </c>
      <c r="CX47" t="s">
        <v>98</v>
      </c>
      <c r="DA47" t="s">
        <v>727</v>
      </c>
      <c r="DB47" t="s">
        <v>603</v>
      </c>
      <c r="DC47" t="s">
        <v>603</v>
      </c>
      <c r="DD47" t="s">
        <v>449</v>
      </c>
      <c r="DE47" t="s">
        <v>449</v>
      </c>
      <c r="DF47" t="s">
        <v>136</v>
      </c>
      <c r="DH47" t="s">
        <v>57</v>
      </c>
      <c r="DI47" t="s">
        <v>57</v>
      </c>
      <c r="DK47" t="s">
        <v>249</v>
      </c>
      <c r="DL47" t="s">
        <v>792</v>
      </c>
      <c r="DM47" t="s">
        <v>792</v>
      </c>
      <c r="DN47" t="s">
        <v>792</v>
      </c>
      <c r="DO47" t="s">
        <v>792</v>
      </c>
      <c r="DP47" t="s">
        <v>155</v>
      </c>
      <c r="DQ47" t="s">
        <v>155</v>
      </c>
      <c r="DR47" t="s">
        <v>161</v>
      </c>
      <c r="DU47" t="s">
        <v>133</v>
      </c>
      <c r="DV47" t="s">
        <v>1070</v>
      </c>
      <c r="DY47" t="s">
        <v>253</v>
      </c>
      <c r="EA47" t="s">
        <v>708</v>
      </c>
      <c r="ED47" t="s">
        <v>1021</v>
      </c>
      <c r="EF47" t="s">
        <v>113</v>
      </c>
      <c r="EG47" t="s">
        <v>643</v>
      </c>
      <c r="EJ47" t="s">
        <v>256</v>
      </c>
      <c r="EK47" t="s">
        <v>255</v>
      </c>
      <c r="EM47" t="s">
        <v>864</v>
      </c>
      <c r="EN47" t="s">
        <v>864</v>
      </c>
      <c r="EO47" t="s">
        <v>864</v>
      </c>
      <c r="EP47" t="s">
        <v>864</v>
      </c>
      <c r="EQ47" t="s">
        <v>864</v>
      </c>
      <c r="ER47" t="s">
        <v>864</v>
      </c>
      <c r="ES47" t="s">
        <v>864</v>
      </c>
      <c r="ET47" t="s">
        <v>864</v>
      </c>
      <c r="EU47" t="s">
        <v>864</v>
      </c>
      <c r="EV47" t="s">
        <v>864</v>
      </c>
      <c r="EW47" t="s">
        <v>864</v>
      </c>
      <c r="EX47" t="s">
        <v>864</v>
      </c>
      <c r="EY47" t="s">
        <v>864</v>
      </c>
      <c r="EZ47" t="s">
        <v>864</v>
      </c>
      <c r="FA47" t="s">
        <v>864</v>
      </c>
      <c r="FB47" t="s">
        <v>864</v>
      </c>
      <c r="FC47" t="s">
        <v>864</v>
      </c>
      <c r="FD47" t="s">
        <v>864</v>
      </c>
      <c r="FE47" t="s">
        <v>864</v>
      </c>
      <c r="FM47" t="str">
        <f t="shared" si="0"/>
        <v xml:space="preserve">    &lt;route id="Router3_46" edges="196393940#0 62203285#0 62203285#2 62203285#3 62203285#5 42706664#7 42706664#8 12186741#4 12186741#5 -196393940#2 -196393940#0"/&gt;</v>
      </c>
      <c r="FN47" t="s">
        <v>2516</v>
      </c>
      <c r="FO47" t="s">
        <v>1135</v>
      </c>
      <c r="FP47" t="s">
        <v>2564</v>
      </c>
    </row>
    <row r="48" spans="1:172" x14ac:dyDescent="0.25">
      <c r="B48" t="s">
        <v>415</v>
      </c>
      <c r="C48" t="s">
        <v>415</v>
      </c>
      <c r="D48" t="s">
        <v>415</v>
      </c>
      <c r="E48" t="s">
        <v>415</v>
      </c>
      <c r="F48" t="s">
        <v>415</v>
      </c>
      <c r="G48" t="s">
        <v>415</v>
      </c>
      <c r="H48" t="s">
        <v>415</v>
      </c>
      <c r="I48" t="s">
        <v>415</v>
      </c>
      <c r="J48" t="s">
        <v>415</v>
      </c>
      <c r="K48" t="s">
        <v>415</v>
      </c>
      <c r="L48" t="s">
        <v>415</v>
      </c>
      <c r="M48" t="s">
        <v>415</v>
      </c>
      <c r="N48" t="s">
        <v>415</v>
      </c>
      <c r="O48" t="s">
        <v>415</v>
      </c>
      <c r="P48" t="s">
        <v>415</v>
      </c>
      <c r="Q48" t="s">
        <v>415</v>
      </c>
      <c r="R48" t="s">
        <v>415</v>
      </c>
      <c r="S48" t="s">
        <v>225</v>
      </c>
      <c r="U48" t="s">
        <v>109</v>
      </c>
      <c r="V48" t="s">
        <v>257</v>
      </c>
      <c r="W48" t="s">
        <v>264</v>
      </c>
      <c r="X48" t="s">
        <v>264</v>
      </c>
      <c r="Y48" t="s">
        <v>264</v>
      </c>
      <c r="Z48" t="s">
        <v>264</v>
      </c>
      <c r="AA48" t="s">
        <v>159</v>
      </c>
      <c r="AB48" t="s">
        <v>159</v>
      </c>
      <c r="AC48" t="s">
        <v>161</v>
      </c>
      <c r="AG48" t="s">
        <v>167</v>
      </c>
      <c r="AO48" t="s">
        <v>211</v>
      </c>
      <c r="AP48" t="s">
        <v>596</v>
      </c>
      <c r="AQ48" t="s">
        <v>732</v>
      </c>
      <c r="AR48" t="s">
        <v>1039</v>
      </c>
      <c r="AS48" t="s">
        <v>51</v>
      </c>
      <c r="AV48" t="s">
        <v>391</v>
      </c>
      <c r="AW48" t="s">
        <v>446</v>
      </c>
      <c r="AX48" t="s">
        <v>643</v>
      </c>
      <c r="AY48" t="s">
        <v>864</v>
      </c>
      <c r="AZ48" t="s">
        <v>864</v>
      </c>
      <c r="BA48" t="s">
        <v>864</v>
      </c>
      <c r="BD48" t="s">
        <v>50</v>
      </c>
      <c r="BG48" t="s">
        <v>58</v>
      </c>
      <c r="BH48" t="s">
        <v>44</v>
      </c>
      <c r="BI48" t="s">
        <v>642</v>
      </c>
      <c r="BJ48" t="s">
        <v>642</v>
      </c>
      <c r="BM48" t="s">
        <v>1033</v>
      </c>
      <c r="BN48" t="s">
        <v>1033</v>
      </c>
      <c r="BO48" t="s">
        <v>1033</v>
      </c>
      <c r="BP48" t="s">
        <v>399</v>
      </c>
      <c r="BQ48" t="s">
        <v>399</v>
      </c>
      <c r="BR48" t="s">
        <v>399</v>
      </c>
      <c r="BS48" t="s">
        <v>355</v>
      </c>
      <c r="BT48" t="s">
        <v>385</v>
      </c>
      <c r="BU48" t="s">
        <v>385</v>
      </c>
      <c r="BV48" t="s">
        <v>385</v>
      </c>
      <c r="BW48" t="s">
        <v>385</v>
      </c>
      <c r="BY48" t="s">
        <v>106</v>
      </c>
      <c r="BZ48" t="s">
        <v>106</v>
      </c>
      <c r="CA48" t="s">
        <v>106</v>
      </c>
      <c r="CB48" t="s">
        <v>862</v>
      </c>
      <c r="CC48" t="s">
        <v>863</v>
      </c>
      <c r="CD48" t="s">
        <v>738</v>
      </c>
      <c r="CG48" t="s">
        <v>44</v>
      </c>
      <c r="CH48" t="s">
        <v>900</v>
      </c>
      <c r="CI48" t="s">
        <v>900</v>
      </c>
      <c r="CJ48" t="s">
        <v>773</v>
      </c>
      <c r="CK48" t="s">
        <v>773</v>
      </c>
      <c r="CL48" t="s">
        <v>779</v>
      </c>
      <c r="CM48" t="s">
        <v>447</v>
      </c>
      <c r="CN48" t="s">
        <v>447</v>
      </c>
      <c r="CO48" t="s">
        <v>447</v>
      </c>
      <c r="CP48" t="s">
        <v>447</v>
      </c>
      <c r="CQ48" t="s">
        <v>447</v>
      </c>
      <c r="CR48" t="s">
        <v>447</v>
      </c>
      <c r="CS48" t="s">
        <v>82</v>
      </c>
      <c r="CT48" t="s">
        <v>99</v>
      </c>
      <c r="CU48" t="s">
        <v>99</v>
      </c>
      <c r="CV48" t="s">
        <v>99</v>
      </c>
      <c r="CX48" t="s">
        <v>91</v>
      </c>
      <c r="DA48" t="s">
        <v>728</v>
      </c>
      <c r="DB48" t="s">
        <v>604</v>
      </c>
      <c r="DC48" t="s">
        <v>604</v>
      </c>
      <c r="DD48" t="s">
        <v>450</v>
      </c>
      <c r="DE48" t="s">
        <v>112</v>
      </c>
      <c r="DF48" t="s">
        <v>137</v>
      </c>
      <c r="DH48" t="s">
        <v>58</v>
      </c>
      <c r="DI48" t="s">
        <v>58</v>
      </c>
      <c r="DK48" t="s">
        <v>250</v>
      </c>
      <c r="DL48" t="s">
        <v>642</v>
      </c>
      <c r="DM48" t="s">
        <v>642</v>
      </c>
      <c r="DN48" t="s">
        <v>642</v>
      </c>
      <c r="DO48" t="s">
        <v>642</v>
      </c>
      <c r="DP48" t="s">
        <v>156</v>
      </c>
      <c r="DQ48" t="s">
        <v>429</v>
      </c>
      <c r="DU48" t="s">
        <v>134</v>
      </c>
      <c r="DV48" t="s">
        <v>678</v>
      </c>
      <c r="DY48" t="s">
        <v>254</v>
      </c>
      <c r="EA48" t="s">
        <v>249</v>
      </c>
      <c r="ED48" t="s">
        <v>959</v>
      </c>
      <c r="EF48" t="s">
        <v>114</v>
      </c>
      <c r="EG48" t="s">
        <v>644</v>
      </c>
      <c r="EJ48" t="s">
        <v>257</v>
      </c>
      <c r="EK48" t="s">
        <v>256</v>
      </c>
      <c r="EM48" t="s">
        <v>865</v>
      </c>
      <c r="EN48" t="s">
        <v>865</v>
      </c>
      <c r="EO48" t="s">
        <v>865</v>
      </c>
      <c r="EP48" t="s">
        <v>865</v>
      </c>
      <c r="EQ48" t="s">
        <v>865</v>
      </c>
      <c r="ER48" t="s">
        <v>865</v>
      </c>
      <c r="ES48" t="s">
        <v>865</v>
      </c>
      <c r="ET48" t="s">
        <v>865</v>
      </c>
      <c r="EU48" t="s">
        <v>865</v>
      </c>
      <c r="EV48" t="s">
        <v>865</v>
      </c>
      <c r="EW48" t="s">
        <v>865</v>
      </c>
      <c r="EX48" t="s">
        <v>865</v>
      </c>
      <c r="EY48" t="s">
        <v>865</v>
      </c>
      <c r="EZ48" t="s">
        <v>865</v>
      </c>
      <c r="FA48" t="s">
        <v>865</v>
      </c>
      <c r="FB48" t="s">
        <v>865</v>
      </c>
      <c r="FC48" t="s">
        <v>865</v>
      </c>
      <c r="FD48" t="s">
        <v>865</v>
      </c>
      <c r="FE48" t="s">
        <v>865</v>
      </c>
      <c r="FM48" t="str">
        <f t="shared" si="0"/>
        <v xml:space="preserve">    &lt;route id="Router3_47" edges="196393940#0 62203285#0 62203285#2 62203285#3 62203285#5 42706664#7 42706664#8 12186741#4 12186741#5 12142723#0 12142723#3 12142723#4 12187745 -12187745 12142723#5 196207110#0 196207110#2"/&gt;</v>
      </c>
      <c r="FN48" t="s">
        <v>2516</v>
      </c>
      <c r="FO48" t="s">
        <v>1136</v>
      </c>
      <c r="FP48" t="s">
        <v>2565</v>
      </c>
    </row>
    <row r="49" spans="2:172" x14ac:dyDescent="0.25">
      <c r="B49" t="s">
        <v>416</v>
      </c>
      <c r="C49" t="s">
        <v>416</v>
      </c>
      <c r="D49" t="s">
        <v>416</v>
      </c>
      <c r="E49" t="s">
        <v>416</v>
      </c>
      <c r="F49" t="s">
        <v>416</v>
      </c>
      <c r="G49" t="s">
        <v>416</v>
      </c>
      <c r="H49" t="s">
        <v>416</v>
      </c>
      <c r="I49" t="s">
        <v>416</v>
      </c>
      <c r="J49" t="s">
        <v>416</v>
      </c>
      <c r="K49" t="s">
        <v>416</v>
      </c>
      <c r="L49" t="s">
        <v>416</v>
      </c>
      <c r="M49" t="s">
        <v>416</v>
      </c>
      <c r="N49" t="s">
        <v>416</v>
      </c>
      <c r="O49" t="s">
        <v>416</v>
      </c>
      <c r="P49" t="s">
        <v>416</v>
      </c>
      <c r="Q49" t="s">
        <v>416</v>
      </c>
      <c r="R49" t="s">
        <v>416</v>
      </c>
      <c r="S49" t="s">
        <v>226</v>
      </c>
      <c r="U49" t="s">
        <v>110</v>
      </c>
      <c r="V49" t="s">
        <v>258</v>
      </c>
      <c r="W49" t="s">
        <v>265</v>
      </c>
      <c r="X49" t="s">
        <v>265</v>
      </c>
      <c r="Y49" t="s">
        <v>265</v>
      </c>
      <c r="Z49" t="s">
        <v>265</v>
      </c>
      <c r="AA49" t="s">
        <v>160</v>
      </c>
      <c r="AB49" t="s">
        <v>160</v>
      </c>
      <c r="AG49" t="s">
        <v>168</v>
      </c>
      <c r="AO49" t="s">
        <v>820</v>
      </c>
      <c r="AP49" t="s">
        <v>954</v>
      </c>
      <c r="AQ49" t="s">
        <v>733</v>
      </c>
      <c r="AR49" t="s">
        <v>1040</v>
      </c>
      <c r="AS49" t="s">
        <v>52</v>
      </c>
      <c r="AV49" t="s">
        <v>731</v>
      </c>
      <c r="AW49" t="s">
        <v>447</v>
      </c>
      <c r="AX49" t="s">
        <v>644</v>
      </c>
      <c r="AY49" t="s">
        <v>865</v>
      </c>
      <c r="AZ49" t="s">
        <v>865</v>
      </c>
      <c r="BA49" t="s">
        <v>865</v>
      </c>
      <c r="BD49" t="s">
        <v>51</v>
      </c>
      <c r="BG49" t="s">
        <v>59</v>
      </c>
      <c r="BH49" t="s">
        <v>45</v>
      </c>
      <c r="BI49" t="s">
        <v>643</v>
      </c>
      <c r="BJ49" t="s">
        <v>643</v>
      </c>
      <c r="BM49" t="s">
        <v>483</v>
      </c>
      <c r="BN49" t="s">
        <v>483</v>
      </c>
      <c r="BO49" t="s">
        <v>483</v>
      </c>
      <c r="BP49" t="s">
        <v>400</v>
      </c>
      <c r="BQ49" t="s">
        <v>400</v>
      </c>
      <c r="BR49" t="s">
        <v>515</v>
      </c>
      <c r="BS49" t="s">
        <v>759</v>
      </c>
      <c r="BT49" t="s">
        <v>386</v>
      </c>
      <c r="BU49" t="s">
        <v>386</v>
      </c>
      <c r="BV49" t="s">
        <v>386</v>
      </c>
      <c r="BW49" t="s">
        <v>386</v>
      </c>
      <c r="BY49" t="s">
        <v>107</v>
      </c>
      <c r="BZ49" t="s">
        <v>107</v>
      </c>
      <c r="CA49" t="s">
        <v>107</v>
      </c>
      <c r="CB49" t="s">
        <v>593</v>
      </c>
      <c r="CC49" t="s">
        <v>659</v>
      </c>
      <c r="CD49" t="s">
        <v>739</v>
      </c>
      <c r="CG49" t="s">
        <v>45</v>
      </c>
      <c r="CH49" t="s">
        <v>907</v>
      </c>
      <c r="CI49" t="s">
        <v>907</v>
      </c>
      <c r="CJ49" t="s">
        <v>774</v>
      </c>
      <c r="CK49" t="s">
        <v>774</v>
      </c>
      <c r="CL49" t="s">
        <v>780</v>
      </c>
      <c r="CM49" t="s">
        <v>448</v>
      </c>
      <c r="CN49" t="s">
        <v>448</v>
      </c>
      <c r="CO49" t="s">
        <v>448</v>
      </c>
      <c r="CP49" t="s">
        <v>448</v>
      </c>
      <c r="CQ49" t="s">
        <v>448</v>
      </c>
      <c r="CR49" t="s">
        <v>448</v>
      </c>
      <c r="CS49" t="s">
        <v>83</v>
      </c>
      <c r="CT49" t="s">
        <v>510</v>
      </c>
      <c r="CU49" t="s">
        <v>100</v>
      </c>
      <c r="CV49" t="s">
        <v>100</v>
      </c>
      <c r="CX49" t="s">
        <v>982</v>
      </c>
      <c r="DA49" t="s">
        <v>729</v>
      </c>
      <c r="DB49" t="s">
        <v>605</v>
      </c>
      <c r="DC49" t="s">
        <v>605</v>
      </c>
      <c r="DD49" t="s">
        <v>760</v>
      </c>
      <c r="DE49" t="s">
        <v>113</v>
      </c>
      <c r="DF49" t="s">
        <v>138</v>
      </c>
      <c r="DH49" t="s">
        <v>59</v>
      </c>
      <c r="DI49" t="s">
        <v>59</v>
      </c>
      <c r="DK49" t="s">
        <v>709</v>
      </c>
      <c r="DL49" t="s">
        <v>643</v>
      </c>
      <c r="DM49" t="s">
        <v>643</v>
      </c>
      <c r="DN49" t="s">
        <v>643</v>
      </c>
      <c r="DO49" t="s">
        <v>643</v>
      </c>
      <c r="DP49" t="s">
        <v>840</v>
      </c>
      <c r="DQ49" t="s">
        <v>430</v>
      </c>
      <c r="DU49" t="s">
        <v>135</v>
      </c>
      <c r="DV49" t="s">
        <v>21</v>
      </c>
      <c r="DY49" t="s">
        <v>255</v>
      </c>
      <c r="EA49" t="s">
        <v>250</v>
      </c>
      <c r="ED49" t="s">
        <v>655</v>
      </c>
      <c r="EF49" t="s">
        <v>115</v>
      </c>
      <c r="EG49" t="s">
        <v>44</v>
      </c>
      <c r="EJ49" t="s">
        <v>258</v>
      </c>
      <c r="EK49" t="s">
        <v>257</v>
      </c>
      <c r="EM49" t="s">
        <v>866</v>
      </c>
      <c r="EN49" t="s">
        <v>866</v>
      </c>
      <c r="EO49" t="s">
        <v>866</v>
      </c>
      <c r="EP49" t="s">
        <v>866</v>
      </c>
      <c r="EQ49" t="s">
        <v>866</v>
      </c>
      <c r="ER49" t="s">
        <v>866</v>
      </c>
      <c r="ES49" t="s">
        <v>866</v>
      </c>
      <c r="ET49" t="s">
        <v>866</v>
      </c>
      <c r="EU49" t="s">
        <v>866</v>
      </c>
      <c r="EV49" t="s">
        <v>866</v>
      </c>
      <c r="EW49" t="s">
        <v>866</v>
      </c>
      <c r="EX49" t="s">
        <v>866</v>
      </c>
      <c r="EY49" t="s">
        <v>866</v>
      </c>
      <c r="EZ49" t="s">
        <v>866</v>
      </c>
      <c r="FA49" t="s">
        <v>866</v>
      </c>
      <c r="FB49" t="s">
        <v>866</v>
      </c>
      <c r="FC49" t="s">
        <v>866</v>
      </c>
      <c r="FD49" t="s">
        <v>866</v>
      </c>
      <c r="FE49" t="s">
        <v>866</v>
      </c>
      <c r="FM49" t="str">
        <f t="shared" si="0"/>
        <v xml:space="preserve">    &lt;route id="Router3_48" edges="196393940#0 62203285#0 62203285#2 62203285#3 62203285#5 42706664#7 42706664#8 12186741#4 12186741#5 12142723#0 12142723#3 12142723#4 12187745 32118649#2 32118649#3 -43538931#1 -43538931#0 196207115#3 196355332#0 450844979#0.0 450844982#0.19 62203497#0 62203497#2 62203497#3 12134479#1 34685684#0 34685684#2 450844947#0 388533142#0 388533142#2 388533142#4 62623926#0 62623926#1 450844950#0 12189453#0.0.0 450844982#0.19 62203497#0 62203497#2 62203497#3 12134479#1 34685684#0 34685684#2 388533143#0 388533143#2 12140627#0 63060729#0 -264253834#2 12156992#4 12156992#5 12156992#6 12156992#7 12156992#8 12156992#9 484953505 12148522#0 485017381#0 485017381#1 -30953396#1 -30953396#0 -424769006 -424769005 -424769002 -30953391 -43569848 -393884751 12159702 424764853 12149178#0 50189796 50189564 12149178#2 145605533#0 145605533#1-AddedOnRampEdge 145605533#1 145605511#1-AddedOnRampEdge 145605511#12 145605511#1.148"/&gt;</v>
      </c>
      <c r="FN49" t="s">
        <v>2516</v>
      </c>
      <c r="FO49" t="s">
        <v>1137</v>
      </c>
      <c r="FP49" t="s">
        <v>2566</v>
      </c>
    </row>
    <row r="50" spans="2:172" x14ac:dyDescent="0.25">
      <c r="B50" t="s">
        <v>927</v>
      </c>
      <c r="C50" t="s">
        <v>927</v>
      </c>
      <c r="D50" t="s">
        <v>927</v>
      </c>
      <c r="E50" t="s">
        <v>927</v>
      </c>
      <c r="F50" t="s">
        <v>927</v>
      </c>
      <c r="G50" t="s">
        <v>927</v>
      </c>
      <c r="H50" t="s">
        <v>927</v>
      </c>
      <c r="I50" t="s">
        <v>927</v>
      </c>
      <c r="J50" t="s">
        <v>927</v>
      </c>
      <c r="K50" t="s">
        <v>927</v>
      </c>
      <c r="L50" t="s">
        <v>927</v>
      </c>
      <c r="M50" t="s">
        <v>927</v>
      </c>
      <c r="N50" t="s">
        <v>927</v>
      </c>
      <c r="O50" t="s">
        <v>927</v>
      </c>
      <c r="P50" t="s">
        <v>927</v>
      </c>
      <c r="Q50" t="s">
        <v>927</v>
      </c>
      <c r="R50" t="s">
        <v>927</v>
      </c>
      <c r="S50" t="s">
        <v>488</v>
      </c>
      <c r="U50" t="s">
        <v>111</v>
      </c>
      <c r="W50" t="s">
        <v>266</v>
      </c>
      <c r="X50" t="s">
        <v>266</v>
      </c>
      <c r="Y50" t="s">
        <v>266</v>
      </c>
      <c r="Z50" t="s">
        <v>266</v>
      </c>
      <c r="AA50" t="s">
        <v>1</v>
      </c>
      <c r="AB50" t="s">
        <v>161</v>
      </c>
      <c r="AG50" t="s">
        <v>696</v>
      </c>
      <c r="AO50" t="s">
        <v>260</v>
      </c>
      <c r="AP50" t="s">
        <v>76</v>
      </c>
      <c r="AQ50" t="s">
        <v>734</v>
      </c>
      <c r="AR50" t="s">
        <v>315</v>
      </c>
      <c r="AS50" t="s">
        <v>1018</v>
      </c>
      <c r="AV50" t="s">
        <v>732</v>
      </c>
      <c r="AW50" t="s">
        <v>448</v>
      </c>
      <c r="AX50" t="s">
        <v>44</v>
      </c>
      <c r="AY50" t="s">
        <v>866</v>
      </c>
      <c r="AZ50" t="s">
        <v>866</v>
      </c>
      <c r="BA50" t="s">
        <v>866</v>
      </c>
      <c r="BD50" t="s">
        <v>52</v>
      </c>
      <c r="BG50" t="s">
        <v>60</v>
      </c>
      <c r="BI50" t="s">
        <v>799</v>
      </c>
      <c r="BJ50" t="s">
        <v>799</v>
      </c>
      <c r="BM50" t="s">
        <v>484</v>
      </c>
      <c r="BN50" t="s">
        <v>484</v>
      </c>
      <c r="BO50" t="s">
        <v>484</v>
      </c>
      <c r="BP50" t="s">
        <v>401</v>
      </c>
      <c r="BQ50" t="s">
        <v>401</v>
      </c>
      <c r="BR50" t="s">
        <v>516</v>
      </c>
      <c r="BS50" t="s">
        <v>108</v>
      </c>
      <c r="BT50" t="s">
        <v>387</v>
      </c>
      <c r="BU50" t="s">
        <v>387</v>
      </c>
      <c r="BV50" t="s">
        <v>387</v>
      </c>
      <c r="BW50" t="s">
        <v>387</v>
      </c>
      <c r="BY50" t="s">
        <v>383</v>
      </c>
      <c r="BZ50" t="s">
        <v>383</v>
      </c>
      <c r="CA50" t="s">
        <v>383</v>
      </c>
      <c r="CB50" t="s">
        <v>594</v>
      </c>
      <c r="CC50" t="s">
        <v>938</v>
      </c>
      <c r="CD50" t="s">
        <v>740</v>
      </c>
      <c r="CG50" t="s">
        <v>489</v>
      </c>
      <c r="CH50" t="s">
        <v>779</v>
      </c>
      <c r="CI50" t="s">
        <v>779</v>
      </c>
      <c r="CJ50" t="s">
        <v>775</v>
      </c>
      <c r="CK50" t="s">
        <v>781</v>
      </c>
      <c r="CL50" t="s">
        <v>781</v>
      </c>
      <c r="CM50" t="s">
        <v>569</v>
      </c>
      <c r="CN50" t="s">
        <v>569</v>
      </c>
      <c r="CO50" t="s">
        <v>569</v>
      </c>
      <c r="CP50" t="s">
        <v>569</v>
      </c>
      <c r="CQ50" t="s">
        <v>569</v>
      </c>
      <c r="CR50" t="s">
        <v>569</v>
      </c>
      <c r="CS50" t="s">
        <v>84</v>
      </c>
      <c r="CT50" t="s">
        <v>85</v>
      </c>
      <c r="CU50" t="s">
        <v>101</v>
      </c>
      <c r="CV50" t="s">
        <v>101</v>
      </c>
      <c r="CX50" t="s">
        <v>92</v>
      </c>
      <c r="DA50" t="s">
        <v>222</v>
      </c>
      <c r="DB50" t="s">
        <v>470</v>
      </c>
      <c r="DC50" t="s">
        <v>470</v>
      </c>
      <c r="DD50" t="s">
        <v>240</v>
      </c>
      <c r="DE50" t="s">
        <v>114</v>
      </c>
      <c r="DF50" t="s">
        <v>139</v>
      </c>
      <c r="DH50" t="s">
        <v>60</v>
      </c>
      <c r="DI50" t="s">
        <v>60</v>
      </c>
      <c r="DK50" t="s">
        <v>710</v>
      </c>
      <c r="DL50" t="s">
        <v>799</v>
      </c>
      <c r="DM50" t="s">
        <v>799</v>
      </c>
      <c r="DN50" t="s">
        <v>799</v>
      </c>
      <c r="DO50" t="s">
        <v>799</v>
      </c>
      <c r="DP50" t="s">
        <v>431</v>
      </c>
      <c r="DQ50" t="s">
        <v>431</v>
      </c>
      <c r="DU50" t="s">
        <v>136</v>
      </c>
      <c r="DV50" t="s">
        <v>22</v>
      </c>
      <c r="DY50" t="s">
        <v>256</v>
      </c>
      <c r="EA50" t="s">
        <v>251</v>
      </c>
      <c r="ED50" t="s">
        <v>960</v>
      </c>
      <c r="EF50" t="s">
        <v>116</v>
      </c>
      <c r="EG50" t="s">
        <v>45</v>
      </c>
      <c r="EK50" t="s">
        <v>258</v>
      </c>
      <c r="EM50" t="s">
        <v>867</v>
      </c>
      <c r="EN50" t="s">
        <v>867</v>
      </c>
      <c r="EO50" t="s">
        <v>867</v>
      </c>
      <c r="EP50" t="s">
        <v>867</v>
      </c>
      <c r="EQ50" t="s">
        <v>867</v>
      </c>
      <c r="ER50" t="s">
        <v>867</v>
      </c>
      <c r="ES50" t="s">
        <v>867</v>
      </c>
      <c r="ET50" t="s">
        <v>867</v>
      </c>
      <c r="EU50" t="s">
        <v>867</v>
      </c>
      <c r="EV50" t="s">
        <v>867</v>
      </c>
      <c r="EW50" t="s">
        <v>867</v>
      </c>
      <c r="EX50" t="s">
        <v>867</v>
      </c>
      <c r="EY50" t="s">
        <v>867</v>
      </c>
      <c r="EZ50" t="s">
        <v>867</v>
      </c>
      <c r="FA50" t="s">
        <v>867</v>
      </c>
      <c r="FB50" t="s">
        <v>867</v>
      </c>
      <c r="FC50" t="s">
        <v>867</v>
      </c>
      <c r="FD50" t="s">
        <v>867</v>
      </c>
      <c r="FE50" t="s">
        <v>867</v>
      </c>
      <c r="FM50" t="str">
        <f t="shared" si="0"/>
        <v xml:space="preserve">    &lt;route id="Router3_49" edges="196393940#0 62203285#0 62203285#2 62203285#3 62203285#5 42706664#7 42706664#8 12186741#4 12186741#5 196207112#0 32122059#1 424080774 262962068#0.0 104526265#0.14 424080766 424080768#0 104523976#1 262962063 12189051#0 -12189051#1 424080770#0 424080772#0 12119506#0 -12156992#1 -386547297#1 -424080772#2 -424080772#1 -424080761#1 -62623960 62623959#0 386547296#0 386547296#1 424080773#0 279870839#0 279870839#2 450844960#0 62623926#1 450844950#0 38502259#0.19 450844933#1 196207115#0 196207115#2 196207115#3 196355332#0 450844979#0.0 450844982#0.19 62203497#0 62203497#2 62203497#3 12134479#1 34685684#0 34685684#2 388533143#0 388533143#2 12140627#0 63060729#0 -264253834#2 12156992#4 12156992#5 12156992#6 12156992#7 12156992#8 12156992#9 -12114396#5 -12114396#3 -12114396#1 485017383#0 485017382#0 485017382#1 211575484#0 -12177521#3 -12177521#2 -12177521#1 32121111#12 32121111#14 -12187610#5 -12187610#2 -12187610#1 12150608#0 32121146#2 12117702#9 450844953#0 450844953#2 450844953#3 450844947#0 388533142#0 388533142#2 388533142#4 62623926#0 62623926#1 450844950#0 38502259#0.19 450844933#1 196207110#0 196207110#2"/&gt;</v>
      </c>
      <c r="FN50" t="s">
        <v>2516</v>
      </c>
      <c r="FO50" t="s">
        <v>1138</v>
      </c>
      <c r="FP50" t="s">
        <v>2567</v>
      </c>
    </row>
    <row r="51" spans="2:172" x14ac:dyDescent="0.25">
      <c r="B51" t="s">
        <v>65</v>
      </c>
      <c r="C51" t="s">
        <v>65</v>
      </c>
      <c r="D51" t="s">
        <v>65</v>
      </c>
      <c r="E51" t="s">
        <v>65</v>
      </c>
      <c r="F51" t="s">
        <v>65</v>
      </c>
      <c r="G51" t="s">
        <v>65</v>
      </c>
      <c r="H51" t="s">
        <v>65</v>
      </c>
      <c r="I51" t="s">
        <v>65</v>
      </c>
      <c r="J51" t="s">
        <v>65</v>
      </c>
      <c r="K51" t="s">
        <v>65</v>
      </c>
      <c r="L51" t="s">
        <v>65</v>
      </c>
      <c r="M51" t="s">
        <v>65</v>
      </c>
      <c r="N51" t="s">
        <v>65</v>
      </c>
      <c r="O51" t="s">
        <v>65</v>
      </c>
      <c r="P51" t="s">
        <v>65</v>
      </c>
      <c r="Q51" t="s">
        <v>65</v>
      </c>
      <c r="R51" t="s">
        <v>65</v>
      </c>
      <c r="S51" t="s">
        <v>399</v>
      </c>
      <c r="U51" t="s">
        <v>112</v>
      </c>
      <c r="W51" t="s">
        <v>366</v>
      </c>
      <c r="X51" t="s">
        <v>366</v>
      </c>
      <c r="Y51" t="s">
        <v>366</v>
      </c>
      <c r="Z51" t="s">
        <v>366</v>
      </c>
      <c r="AA51" t="s">
        <v>2</v>
      </c>
      <c r="AG51" t="s">
        <v>697</v>
      </c>
      <c r="AO51" t="s">
        <v>108</v>
      </c>
      <c r="AP51" t="s">
        <v>77</v>
      </c>
      <c r="AQ51" t="s">
        <v>735</v>
      </c>
      <c r="AR51" t="s">
        <v>316</v>
      </c>
      <c r="AS51" t="s">
        <v>1019</v>
      </c>
      <c r="AV51" t="s">
        <v>733</v>
      </c>
      <c r="AW51" t="s">
        <v>569</v>
      </c>
      <c r="AX51" t="s">
        <v>45</v>
      </c>
      <c r="AY51" t="s">
        <v>867</v>
      </c>
      <c r="AZ51" t="s">
        <v>867</v>
      </c>
      <c r="BA51" t="s">
        <v>867</v>
      </c>
      <c r="BD51" t="s">
        <v>1018</v>
      </c>
      <c r="BG51" t="s">
        <v>61</v>
      </c>
      <c r="BI51" t="s">
        <v>800</v>
      </c>
      <c r="BJ51" t="s">
        <v>800</v>
      </c>
      <c r="BM51" t="s">
        <v>485</v>
      </c>
      <c r="BN51" t="s">
        <v>485</v>
      </c>
      <c r="BO51" t="s">
        <v>485</v>
      </c>
      <c r="BP51" t="s">
        <v>402</v>
      </c>
      <c r="BQ51" t="s">
        <v>402</v>
      </c>
      <c r="BR51" t="s">
        <v>517</v>
      </c>
      <c r="BS51" t="s">
        <v>109</v>
      </c>
      <c r="BT51" t="s">
        <v>388</v>
      </c>
      <c r="BU51" t="s">
        <v>388</v>
      </c>
      <c r="BV51" t="s">
        <v>388</v>
      </c>
      <c r="BW51" t="s">
        <v>388</v>
      </c>
      <c r="BY51" t="s">
        <v>384</v>
      </c>
      <c r="BZ51" t="s">
        <v>384</v>
      </c>
      <c r="CA51" t="s">
        <v>384</v>
      </c>
      <c r="CB51" t="s">
        <v>595</v>
      </c>
      <c r="CC51" t="s">
        <v>609</v>
      </c>
      <c r="CD51" t="s">
        <v>741</v>
      </c>
      <c r="CG51" t="s">
        <v>120</v>
      </c>
      <c r="CH51" t="s">
        <v>780</v>
      </c>
      <c r="CI51" t="s">
        <v>780</v>
      </c>
      <c r="CJ51" t="s">
        <v>776</v>
      </c>
      <c r="CK51" t="s">
        <v>782</v>
      </c>
      <c r="CL51" t="s">
        <v>1048</v>
      </c>
      <c r="CM51" t="s">
        <v>721</v>
      </c>
      <c r="CN51" t="s">
        <v>721</v>
      </c>
      <c r="CO51" t="s">
        <v>721</v>
      </c>
      <c r="CP51" t="s">
        <v>721</v>
      </c>
      <c r="CQ51" t="s">
        <v>721</v>
      </c>
      <c r="CR51" t="s">
        <v>721</v>
      </c>
      <c r="CS51" t="s">
        <v>103</v>
      </c>
      <c r="CT51" t="s">
        <v>86</v>
      </c>
      <c r="CU51" t="s">
        <v>102</v>
      </c>
      <c r="CV51" t="s">
        <v>102</v>
      </c>
      <c r="CX51" t="s">
        <v>533</v>
      </c>
      <c r="DA51" t="s">
        <v>223</v>
      </c>
      <c r="DB51" t="s">
        <v>472</v>
      </c>
      <c r="DC51" t="s">
        <v>472</v>
      </c>
      <c r="DD51" t="s">
        <v>241</v>
      </c>
      <c r="DE51" t="s">
        <v>722</v>
      </c>
      <c r="DF51" t="s">
        <v>140</v>
      </c>
      <c r="DH51" t="s">
        <v>61</v>
      </c>
      <c r="DI51" t="s">
        <v>61</v>
      </c>
      <c r="DK51" t="s">
        <v>252</v>
      </c>
      <c r="DL51" t="s">
        <v>800</v>
      </c>
      <c r="DM51" t="s">
        <v>800</v>
      </c>
      <c r="DN51" t="s">
        <v>800</v>
      </c>
      <c r="DO51" t="s">
        <v>800</v>
      </c>
      <c r="DP51" t="s">
        <v>159</v>
      </c>
      <c r="DQ51" t="s">
        <v>159</v>
      </c>
      <c r="DU51" t="s">
        <v>137</v>
      </c>
      <c r="DV51" t="s">
        <v>23</v>
      </c>
      <c r="DY51" t="s">
        <v>257</v>
      </c>
      <c r="EA51" t="s">
        <v>252</v>
      </c>
      <c r="ED51" t="s">
        <v>961</v>
      </c>
      <c r="EF51" t="s">
        <v>117</v>
      </c>
      <c r="EM51" t="s">
        <v>672</v>
      </c>
      <c r="EN51" t="s">
        <v>672</v>
      </c>
      <c r="EO51" t="s">
        <v>672</v>
      </c>
      <c r="EP51" t="s">
        <v>672</v>
      </c>
      <c r="EQ51" t="s">
        <v>672</v>
      </c>
      <c r="ER51" t="s">
        <v>672</v>
      </c>
      <c r="ES51" t="s">
        <v>672</v>
      </c>
      <c r="ET51" t="s">
        <v>672</v>
      </c>
      <c r="EU51" t="s">
        <v>672</v>
      </c>
      <c r="EV51" t="s">
        <v>672</v>
      </c>
      <c r="EW51" t="s">
        <v>672</v>
      </c>
      <c r="EX51" t="s">
        <v>672</v>
      </c>
      <c r="EY51" t="s">
        <v>672</v>
      </c>
      <c r="EZ51" t="s">
        <v>672</v>
      </c>
      <c r="FA51" t="s">
        <v>672</v>
      </c>
      <c r="FB51" t="s">
        <v>672</v>
      </c>
      <c r="FC51" t="s">
        <v>672</v>
      </c>
      <c r="FD51" t="s">
        <v>672</v>
      </c>
      <c r="FE51" t="s">
        <v>672</v>
      </c>
      <c r="FM51" t="str">
        <f t="shared" si="0"/>
        <v xml:space="preserve">    &lt;route id="Router3_50" edges="196393940#0 62203285#0 62203285#2 62203285#3 62203285#5 62203285#6 62203285#7 62203285#8 62203285#9 62203285#10 62203285#11 62203285#13 62203285#14.0 62203285#14.24 gneE59.30.0.55 gneE59.30.0.0 43539373#0.0.292.17 gneE58 gneE56 gneE54.0 62203360#0 291433361#0 132508433.0 -gneE6.0 gneE6.0 424765883 43539378#0.15 132508717#5 196393974#0 49914077 424767578 387422130#1 132508717#0 12149210#1 12151897#1 196393941#6 196393941#7 196393941#8 gneE87 196393974#0 388756841#0 49914076#0 12159673#0 12159673#1 393884751 43569848 30953391 12113092 51758697#1-AddedOnRampEdge 51758697#1"/&gt;</v>
      </c>
      <c r="FN51" t="s">
        <v>2516</v>
      </c>
      <c r="FO51" t="s">
        <v>1139</v>
      </c>
      <c r="FP51" t="s">
        <v>2568</v>
      </c>
    </row>
    <row r="52" spans="2:172" x14ac:dyDescent="0.25">
      <c r="B52" t="s">
        <v>66</v>
      </c>
      <c r="C52" t="s">
        <v>66</v>
      </c>
      <c r="D52" t="s">
        <v>66</v>
      </c>
      <c r="E52" t="s">
        <v>66</v>
      </c>
      <c r="F52" t="s">
        <v>66</v>
      </c>
      <c r="G52" t="s">
        <v>66</v>
      </c>
      <c r="H52" t="s">
        <v>66</v>
      </c>
      <c r="I52" t="s">
        <v>66</v>
      </c>
      <c r="J52" t="s">
        <v>66</v>
      </c>
      <c r="K52" t="s">
        <v>66</v>
      </c>
      <c r="L52" t="s">
        <v>66</v>
      </c>
      <c r="M52" t="s">
        <v>66</v>
      </c>
      <c r="N52" t="s">
        <v>66</v>
      </c>
      <c r="O52" t="s">
        <v>66</v>
      </c>
      <c r="P52" t="s">
        <v>66</v>
      </c>
      <c r="Q52" t="s">
        <v>66</v>
      </c>
      <c r="R52" t="s">
        <v>66</v>
      </c>
      <c r="S52" t="s">
        <v>400</v>
      </c>
      <c r="U52" t="s">
        <v>113</v>
      </c>
      <c r="W52" t="s">
        <v>268</v>
      </c>
      <c r="X52" t="s">
        <v>268</v>
      </c>
      <c r="Y52" t="s">
        <v>268</v>
      </c>
      <c r="Z52" t="s">
        <v>268</v>
      </c>
      <c r="AA52" t="s">
        <v>3</v>
      </c>
      <c r="AG52" t="s">
        <v>698</v>
      </c>
      <c r="AO52" t="s">
        <v>109</v>
      </c>
      <c r="AP52" t="s">
        <v>211</v>
      </c>
      <c r="AQ52" t="s">
        <v>736</v>
      </c>
      <c r="AR52" t="s">
        <v>317</v>
      </c>
      <c r="AS52" t="s">
        <v>845</v>
      </c>
      <c r="AV52" t="s">
        <v>734</v>
      </c>
      <c r="AW52" t="s">
        <v>721</v>
      </c>
      <c r="AY52" t="s">
        <v>672</v>
      </c>
      <c r="AZ52" t="s">
        <v>672</v>
      </c>
      <c r="BA52" t="s">
        <v>672</v>
      </c>
      <c r="BD52" t="s">
        <v>1019</v>
      </c>
      <c r="BG52" t="s">
        <v>62</v>
      </c>
      <c r="BI52" t="s">
        <v>801</v>
      </c>
      <c r="BJ52" t="s">
        <v>801</v>
      </c>
      <c r="BM52" t="s">
        <v>486</v>
      </c>
      <c r="BN52" t="s">
        <v>486</v>
      </c>
      <c r="BO52" t="s">
        <v>486</v>
      </c>
      <c r="BP52" t="s">
        <v>403</v>
      </c>
      <c r="BQ52" t="s">
        <v>403</v>
      </c>
      <c r="BR52" t="s">
        <v>518</v>
      </c>
      <c r="BS52" t="s">
        <v>110</v>
      </c>
      <c r="BT52" t="s">
        <v>819</v>
      </c>
      <c r="BU52" t="s">
        <v>819</v>
      </c>
      <c r="BV52" t="s">
        <v>819</v>
      </c>
      <c r="BW52" t="s">
        <v>819</v>
      </c>
      <c r="BY52" t="s">
        <v>504</v>
      </c>
      <c r="BZ52" t="s">
        <v>504</v>
      </c>
      <c r="CA52" t="s">
        <v>504</v>
      </c>
      <c r="CB52" t="s">
        <v>167</v>
      </c>
      <c r="CC52" t="s">
        <v>999</v>
      </c>
      <c r="CD52" t="s">
        <v>829</v>
      </c>
      <c r="CG52" t="s">
        <v>121</v>
      </c>
      <c r="CH52" t="s">
        <v>775</v>
      </c>
      <c r="CI52" t="s">
        <v>775</v>
      </c>
      <c r="CJ52" t="s">
        <v>777</v>
      </c>
      <c r="CK52" t="s">
        <v>783</v>
      </c>
      <c r="CL52" t="s">
        <v>812</v>
      </c>
      <c r="CM52" t="s">
        <v>449</v>
      </c>
      <c r="CN52" t="s">
        <v>449</v>
      </c>
      <c r="CO52" t="s">
        <v>449</v>
      </c>
      <c r="CP52" t="s">
        <v>449</v>
      </c>
      <c r="CQ52" t="s">
        <v>449</v>
      </c>
      <c r="CR52" t="s">
        <v>449</v>
      </c>
      <c r="CS52" t="s">
        <v>104</v>
      </c>
      <c r="CT52" t="s">
        <v>364</v>
      </c>
      <c r="CU52" t="s">
        <v>538</v>
      </c>
      <c r="CV52" t="s">
        <v>538</v>
      </c>
      <c r="CX52" t="s">
        <v>177</v>
      </c>
      <c r="DA52" t="s">
        <v>224</v>
      </c>
      <c r="DB52" t="s">
        <v>473</v>
      </c>
      <c r="DC52" t="s">
        <v>473</v>
      </c>
      <c r="DD52" t="s">
        <v>391</v>
      </c>
      <c r="DE52" t="s">
        <v>723</v>
      </c>
      <c r="DF52" t="s">
        <v>141</v>
      </c>
      <c r="DH52" t="s">
        <v>62</v>
      </c>
      <c r="DI52" t="s">
        <v>62</v>
      </c>
      <c r="DK52" t="s">
        <v>253</v>
      </c>
      <c r="DL52" t="s">
        <v>801</v>
      </c>
      <c r="DM52" t="s">
        <v>801</v>
      </c>
      <c r="DN52" t="s">
        <v>801</v>
      </c>
      <c r="DO52" t="s">
        <v>801</v>
      </c>
      <c r="DP52" t="s">
        <v>160</v>
      </c>
      <c r="DQ52" t="s">
        <v>160</v>
      </c>
      <c r="DU52" t="s">
        <v>138</v>
      </c>
      <c r="DV52" t="s">
        <v>24</v>
      </c>
      <c r="DY52" t="s">
        <v>258</v>
      </c>
      <c r="EA52" t="s">
        <v>711</v>
      </c>
      <c r="ED52" t="s">
        <v>1082</v>
      </c>
      <c r="EF52" t="s">
        <v>118</v>
      </c>
      <c r="EM52" t="s">
        <v>673</v>
      </c>
      <c r="EN52" t="s">
        <v>673</v>
      </c>
      <c r="EO52" t="s">
        <v>673</v>
      </c>
      <c r="EP52" t="s">
        <v>673</v>
      </c>
      <c r="EQ52" t="s">
        <v>673</v>
      </c>
      <c r="ER52" t="s">
        <v>673</v>
      </c>
      <c r="ES52" t="s">
        <v>673</v>
      </c>
      <c r="ET52" t="s">
        <v>673</v>
      </c>
      <c r="EU52" t="s">
        <v>673</v>
      </c>
      <c r="EV52" t="s">
        <v>673</v>
      </c>
      <c r="EW52" t="s">
        <v>673</v>
      </c>
      <c r="EX52" t="s">
        <v>673</v>
      </c>
      <c r="EY52" t="s">
        <v>673</v>
      </c>
      <c r="EZ52" t="s">
        <v>673</v>
      </c>
      <c r="FA52" t="s">
        <v>673</v>
      </c>
      <c r="FB52" t="s">
        <v>673</v>
      </c>
      <c r="FC52" t="s">
        <v>673</v>
      </c>
      <c r="FD52" t="s">
        <v>673</v>
      </c>
      <c r="FE52" t="s">
        <v>673</v>
      </c>
      <c r="FM52" t="str">
        <f t="shared" si="0"/>
        <v xml:space="preserve">    &lt;route id="Router3_51" edges="196393940#0 62203285#0 62203285#2 62203285#3 62203285#5 62203285#6 62203285#7 62203285#8 62203285#9 62203285#10 62203285#11 62203285#13 62203285#14.0 62203285#14.24 gneE59.30.0.55 gneE59.30.0.0 gneE59.0.0 gneE59.0.12 62203360#0 291433361#0 132508433.0 -gneE6.0 gneE81.299.0 gneE81.299.79 gneE81.299.145 -gneE8 12154353#0 196393941#1 196393941#2 28533986 43539369#2 12178843#2 12178843#3 49960982#2 43569828#0 387422128#1 43569827#0 43569827#1 43569827#2 43569827#7 43569848 30953391 424769002 424769005 424769006 424769004 30953396#1 387422132#0 387422132#1 486653633#0 484953506#3 484953506#4 12157002#0 12157002#1 12157002#3 12157002#5 12114396#4 -12156992#10 -12156992#8 -12156992#7 -12156992#6 -12156992#5 -12156992#4 -12156992#3 -12156992#2 -12156992#1 -386547297#1 -424080772#2 -424080772#1 -262962065#1 -262962063 -424080764 -424080768#1 -424080766 -104526265#1 30953497#0 30953497#2 30953497#3 42706585#0 42706585#1 30953320 30953320-AddedOffRampEdge 104526277 30953215#1-AddedOnRampEdge 30953215#1 121643865#0 12110705 50715233#0 50715233#0-AddedOffRampEdge 50715233#1.0 62203285#14.24 gneE59.30.0.55 gneE59.30.0.0 43539373#0.0.292.17 gneE58 gneE56 gneE54.0 62203360#0 291433361#0 132508433.0 -gneE6.0 gneE6.0 424765883 43539378#0.15 132508717#5 196393974#0 49914077 424767578 387422130#1 132508717#0 12149210#1 12151897#1 196393941#6 196393941#7 196393941#8 gneE87 196393974#0 388756841#0 49914076#0 12159673#0 12159673#1 393884751 43569848 30953391 12113092 51758697#1-AddedOnRampEdge 51758697#1"/&gt;</v>
      </c>
      <c r="FN52" t="s">
        <v>2516</v>
      </c>
      <c r="FO52" t="s">
        <v>1140</v>
      </c>
      <c r="FP52" t="s">
        <v>2569</v>
      </c>
    </row>
    <row r="53" spans="2:172" x14ac:dyDescent="0.25">
      <c r="B53" t="s">
        <v>976</v>
      </c>
      <c r="C53" t="s">
        <v>976</v>
      </c>
      <c r="D53" t="s">
        <v>976</v>
      </c>
      <c r="E53" t="s">
        <v>976</v>
      </c>
      <c r="F53" t="s">
        <v>976</v>
      </c>
      <c r="G53" t="s">
        <v>976</v>
      </c>
      <c r="H53" t="s">
        <v>976</v>
      </c>
      <c r="I53" t="s">
        <v>976</v>
      </c>
      <c r="J53" t="s">
        <v>976</v>
      </c>
      <c r="K53" t="s">
        <v>976</v>
      </c>
      <c r="L53" t="s">
        <v>976</v>
      </c>
      <c r="M53" t="s">
        <v>976</v>
      </c>
      <c r="N53" t="s">
        <v>976</v>
      </c>
      <c r="O53" t="s">
        <v>976</v>
      </c>
      <c r="P53" t="s">
        <v>976</v>
      </c>
      <c r="Q53" t="s">
        <v>976</v>
      </c>
      <c r="R53" t="s">
        <v>976</v>
      </c>
      <c r="S53" t="s">
        <v>401</v>
      </c>
      <c r="U53" t="s">
        <v>114</v>
      </c>
      <c r="W53" t="s">
        <v>269</v>
      </c>
      <c r="X53" t="s">
        <v>269</v>
      </c>
      <c r="Y53" t="s">
        <v>269</v>
      </c>
      <c r="Z53" t="s">
        <v>269</v>
      </c>
      <c r="AA53" t="s">
        <v>4</v>
      </c>
      <c r="AG53" t="s">
        <v>699</v>
      </c>
      <c r="AO53" t="s">
        <v>110</v>
      </c>
      <c r="AP53" t="s">
        <v>820</v>
      </c>
      <c r="AQ53" t="s">
        <v>246</v>
      </c>
      <c r="AR53" t="s">
        <v>318</v>
      </c>
      <c r="AS53" t="s">
        <v>596</v>
      </c>
      <c r="AV53" t="s">
        <v>735</v>
      </c>
      <c r="AW53" t="s">
        <v>449</v>
      </c>
      <c r="AY53" t="s">
        <v>673</v>
      </c>
      <c r="AZ53" t="s">
        <v>673</v>
      </c>
      <c r="BA53" t="s">
        <v>673</v>
      </c>
      <c r="BD53" t="s">
        <v>845</v>
      </c>
      <c r="BG53" t="s">
        <v>648</v>
      </c>
      <c r="BI53" t="s">
        <v>802</v>
      </c>
      <c r="BJ53" t="s">
        <v>802</v>
      </c>
      <c r="BM53" t="s">
        <v>487</v>
      </c>
      <c r="BN53" t="s">
        <v>487</v>
      </c>
      <c r="BO53" t="s">
        <v>487</v>
      </c>
      <c r="BP53" t="s">
        <v>404</v>
      </c>
      <c r="BQ53" t="s">
        <v>404</v>
      </c>
      <c r="BR53" t="s">
        <v>519</v>
      </c>
      <c r="BS53" t="s">
        <v>111</v>
      </c>
      <c r="BT53" t="s">
        <v>824</v>
      </c>
      <c r="BU53" t="s">
        <v>824</v>
      </c>
      <c r="BV53" t="s">
        <v>824</v>
      </c>
      <c r="BW53" t="s">
        <v>824</v>
      </c>
      <c r="BY53" t="s">
        <v>505</v>
      </c>
      <c r="BZ53" t="s">
        <v>505</v>
      </c>
      <c r="CA53" t="s">
        <v>505</v>
      </c>
      <c r="CB53" t="s">
        <v>168</v>
      </c>
      <c r="CC53" t="s">
        <v>952</v>
      </c>
      <c r="CD53" t="s">
        <v>856</v>
      </c>
      <c r="CG53" t="s">
        <v>122</v>
      </c>
      <c r="CH53" t="s">
        <v>776</v>
      </c>
      <c r="CI53" t="s">
        <v>776</v>
      </c>
      <c r="CJ53" t="s">
        <v>778</v>
      </c>
      <c r="CK53" t="s">
        <v>777</v>
      </c>
      <c r="CL53" t="s">
        <v>1049</v>
      </c>
      <c r="CM53" t="s">
        <v>450</v>
      </c>
      <c r="CN53" t="s">
        <v>450</v>
      </c>
      <c r="CO53" t="s">
        <v>450</v>
      </c>
      <c r="CP53" t="s">
        <v>450</v>
      </c>
      <c r="CQ53" t="s">
        <v>450</v>
      </c>
      <c r="CR53" t="s">
        <v>450</v>
      </c>
      <c r="CS53" t="s">
        <v>535</v>
      </c>
      <c r="CT53" t="s">
        <v>365</v>
      </c>
      <c r="CU53" t="s">
        <v>93</v>
      </c>
      <c r="CV53" t="s">
        <v>93</v>
      </c>
      <c r="CX53" t="s">
        <v>105</v>
      </c>
      <c r="DA53" t="s">
        <v>225</v>
      </c>
      <c r="DB53" t="s">
        <v>474</v>
      </c>
      <c r="DC53" t="s">
        <v>474</v>
      </c>
      <c r="DD53" t="s">
        <v>731</v>
      </c>
      <c r="DE53" t="s">
        <v>724</v>
      </c>
      <c r="DH53" t="s">
        <v>648</v>
      </c>
      <c r="DI53" t="s">
        <v>648</v>
      </c>
      <c r="DK53" t="s">
        <v>254</v>
      </c>
      <c r="DL53" t="s">
        <v>802</v>
      </c>
      <c r="DM53" t="s">
        <v>802</v>
      </c>
      <c r="DN53" t="s">
        <v>802</v>
      </c>
      <c r="DO53" t="s">
        <v>802</v>
      </c>
      <c r="DP53" t="s">
        <v>161</v>
      </c>
      <c r="DQ53" t="s">
        <v>161</v>
      </c>
      <c r="DU53" t="s">
        <v>139</v>
      </c>
      <c r="DV53" t="s">
        <v>25</v>
      </c>
      <c r="EA53" t="s">
        <v>712</v>
      </c>
      <c r="ED53" t="s">
        <v>409</v>
      </c>
      <c r="EF53" t="s">
        <v>758</v>
      </c>
      <c r="EM53" t="s">
        <v>674</v>
      </c>
      <c r="EN53" t="s">
        <v>674</v>
      </c>
      <c r="EO53" t="s">
        <v>674</v>
      </c>
      <c r="EP53" t="s">
        <v>19</v>
      </c>
      <c r="EQ53" t="s">
        <v>19</v>
      </c>
      <c r="ER53" t="s">
        <v>19</v>
      </c>
      <c r="ES53" t="s">
        <v>19</v>
      </c>
      <c r="ET53" t="s">
        <v>19</v>
      </c>
      <c r="EU53" t="s">
        <v>19</v>
      </c>
      <c r="EV53" t="s">
        <v>19</v>
      </c>
      <c r="EW53" t="s">
        <v>19</v>
      </c>
      <c r="EX53" t="s">
        <v>19</v>
      </c>
      <c r="EY53" t="s">
        <v>19</v>
      </c>
      <c r="EZ53" t="s">
        <v>19</v>
      </c>
      <c r="FA53" t="s">
        <v>19</v>
      </c>
      <c r="FB53" t="s">
        <v>19</v>
      </c>
      <c r="FC53" t="s">
        <v>19</v>
      </c>
      <c r="FD53" t="s">
        <v>19</v>
      </c>
      <c r="FE53" t="s">
        <v>19</v>
      </c>
      <c r="FM53" t="str">
        <f t="shared" si="0"/>
        <v xml:space="preserve">    &lt;route id="Router3_52" edges="196393940#0 62203285#0 62203285#2 62203285#3 62203285#5 62203285#6 62203285#7 62203285#8 62203285#9 62203285#10 62203285#11 62203285#13 62203285#14.0 62203285#14.24 gneE59.30.0.55 gneE59.30.0.0 gneE59.0.0 gneE59.0.12 62203360#0 291433361#0 132508433.0 -gneE6.0 gneE81.299.0 gneE81.299.79 gneE81.299.145 -gneE8 12154353#0 196393941#1 196393941#2 28533986 43539369#2 12178843#2 12178843#3 49960982#2 43569828#0 387422128#1 43569827#0 43569827#1 43569827#2 43569827#7 43569848 30953391 424769002 424769005 424769006 424769004 30953396#1 387422132#0 387422132#1 486653633#0 484953506#3 484953506#4 12157002#0 12157002#1 12157002#3 12157002#5 12114396#4 -12156992#10 -12156992#8 -12156992#7 -12156992#6 -12156992#5 -12156992#4 -12156992#3 -12156992#2 -12156992#1 -386547297#1 -424080772#2 -424080772#1 -262962065#1 -262962063 -424080764 -424080768#1 -424080766 -104526265#1 30953497#0 30953497#2 30953497#3 42706585#0 42706585#1 30953320 30953320-AddedOffRampEdge 104526277 30953215#1-AddedOnRampEdge 30953215#1 121643865#0 12110705 50715233#0 50715233#0-AddedOffRampEdge 50715233#1.0 62203285#14.24 gneE59.30.0.55 gneE59.30.0.0 43539373#0.0.292.17 gneE58 gneE56 gneE54.0 62203360#0 291433361#0 132508433.0 -gneE6.0 gneE6.0 424765883 43570920#0.22 132508717#4 43539378#1 43569848 30953391 12113092 51758697#1-AddedOnRampEdge 51758697#1"/&gt;</v>
      </c>
      <c r="FN53" t="s">
        <v>2516</v>
      </c>
      <c r="FO53" t="s">
        <v>1141</v>
      </c>
      <c r="FP53" t="s">
        <v>2570</v>
      </c>
    </row>
    <row r="54" spans="2:172" x14ac:dyDescent="0.25">
      <c r="B54" t="s">
        <v>69</v>
      </c>
      <c r="C54" t="s">
        <v>69</v>
      </c>
      <c r="D54" t="s">
        <v>69</v>
      </c>
      <c r="E54" t="s">
        <v>69</v>
      </c>
      <c r="F54" t="s">
        <v>69</v>
      </c>
      <c r="G54" t="s">
        <v>69</v>
      </c>
      <c r="H54" t="s">
        <v>69</v>
      </c>
      <c r="I54" t="s">
        <v>69</v>
      </c>
      <c r="J54" t="s">
        <v>69</v>
      </c>
      <c r="K54" t="s">
        <v>69</v>
      </c>
      <c r="L54" t="s">
        <v>69</v>
      </c>
      <c r="M54" t="s">
        <v>69</v>
      </c>
      <c r="N54" t="s">
        <v>69</v>
      </c>
      <c r="O54" t="s">
        <v>69</v>
      </c>
      <c r="P54" t="s">
        <v>69</v>
      </c>
      <c r="Q54" t="s">
        <v>69</v>
      </c>
      <c r="R54" t="s">
        <v>69</v>
      </c>
      <c r="S54" t="s">
        <v>402</v>
      </c>
      <c r="U54" t="s">
        <v>115</v>
      </c>
      <c r="W54" t="s">
        <v>270</v>
      </c>
      <c r="X54" t="s">
        <v>270</v>
      </c>
      <c r="Y54" t="s">
        <v>270</v>
      </c>
      <c r="Z54" t="s">
        <v>270</v>
      </c>
      <c r="AA54" t="s">
        <v>5</v>
      </c>
      <c r="AG54" t="s">
        <v>700</v>
      </c>
      <c r="AO54" t="s">
        <v>111</v>
      </c>
      <c r="AP54" t="s">
        <v>260</v>
      </c>
      <c r="AQ54" t="s">
        <v>737</v>
      </c>
      <c r="AR54" t="s">
        <v>319</v>
      </c>
      <c r="AS54" t="s">
        <v>954</v>
      </c>
      <c r="AV54" t="s">
        <v>736</v>
      </c>
      <c r="AW54" t="s">
        <v>450</v>
      </c>
      <c r="AY54" t="s">
        <v>674</v>
      </c>
      <c r="AZ54" t="s">
        <v>674</v>
      </c>
      <c r="BA54" t="s">
        <v>674</v>
      </c>
      <c r="BD54" t="s">
        <v>596</v>
      </c>
      <c r="BG54" t="s">
        <v>418</v>
      </c>
      <c r="BI54" t="s">
        <v>864</v>
      </c>
      <c r="BJ54" t="s">
        <v>864</v>
      </c>
      <c r="BM54" t="s">
        <v>803</v>
      </c>
      <c r="BN54" t="s">
        <v>488</v>
      </c>
      <c r="BO54" t="s">
        <v>488</v>
      </c>
      <c r="BP54" t="s">
        <v>979</v>
      </c>
      <c r="BQ54" t="s">
        <v>979</v>
      </c>
      <c r="BR54" t="s">
        <v>401</v>
      </c>
      <c r="BS54" t="s">
        <v>112</v>
      </c>
      <c r="BT54" t="s">
        <v>825</v>
      </c>
      <c r="BU54" t="s">
        <v>825</v>
      </c>
      <c r="BV54" t="s">
        <v>825</v>
      </c>
      <c r="BW54" t="s">
        <v>825</v>
      </c>
      <c r="BY54" t="s">
        <v>506</v>
      </c>
      <c r="BZ54" t="s">
        <v>506</v>
      </c>
      <c r="CA54" t="s">
        <v>506</v>
      </c>
      <c r="CB54" t="s">
        <v>696</v>
      </c>
      <c r="CC54" t="s">
        <v>846</v>
      </c>
      <c r="CD54" t="s">
        <v>857</v>
      </c>
      <c r="CG54" t="s">
        <v>123</v>
      </c>
      <c r="CH54" t="s">
        <v>894</v>
      </c>
      <c r="CI54" t="s">
        <v>894</v>
      </c>
      <c r="CJ54" t="s">
        <v>779</v>
      </c>
      <c r="CK54" t="s">
        <v>784</v>
      </c>
      <c r="CL54" t="s">
        <v>1050</v>
      </c>
      <c r="CM54" t="s">
        <v>760</v>
      </c>
      <c r="CN54" t="s">
        <v>760</v>
      </c>
      <c r="CO54" t="s">
        <v>760</v>
      </c>
      <c r="CP54" t="s">
        <v>760</v>
      </c>
      <c r="CQ54" t="s">
        <v>760</v>
      </c>
      <c r="CR54" t="s">
        <v>760</v>
      </c>
      <c r="CS54" t="s">
        <v>600</v>
      </c>
      <c r="CT54" t="s">
        <v>602</v>
      </c>
      <c r="CU54" t="s">
        <v>94</v>
      </c>
      <c r="CV54" t="s">
        <v>94</v>
      </c>
      <c r="CX54" t="s">
        <v>106</v>
      </c>
      <c r="DA54" t="s">
        <v>226</v>
      </c>
      <c r="DB54" t="s">
        <v>267</v>
      </c>
      <c r="DC54" t="s">
        <v>267</v>
      </c>
      <c r="DD54" t="s">
        <v>732</v>
      </c>
      <c r="DE54" t="s">
        <v>725</v>
      </c>
      <c r="DH54" t="s">
        <v>418</v>
      </c>
      <c r="DI54" t="s">
        <v>418</v>
      </c>
      <c r="DK54" t="s">
        <v>255</v>
      </c>
      <c r="DL54" t="s">
        <v>864</v>
      </c>
      <c r="DM54" t="s">
        <v>864</v>
      </c>
      <c r="DN54" t="s">
        <v>864</v>
      </c>
      <c r="DO54" t="s">
        <v>864</v>
      </c>
      <c r="DU54" t="s">
        <v>140</v>
      </c>
      <c r="DV54" t="s">
        <v>26</v>
      </c>
      <c r="EA54" t="s">
        <v>254</v>
      </c>
      <c r="ED54" t="s">
        <v>410</v>
      </c>
      <c r="EF54" t="s">
        <v>445</v>
      </c>
      <c r="EM54" t="s">
        <v>675</v>
      </c>
      <c r="EN54" t="s">
        <v>675</v>
      </c>
      <c r="EO54" t="s">
        <v>675</v>
      </c>
      <c r="EP54" t="s">
        <v>20</v>
      </c>
      <c r="EQ54" t="s">
        <v>20</v>
      </c>
      <c r="ER54" t="s">
        <v>20</v>
      </c>
      <c r="ES54" t="s">
        <v>20</v>
      </c>
      <c r="ET54" t="s">
        <v>20</v>
      </c>
      <c r="EU54" t="s">
        <v>20</v>
      </c>
      <c r="EV54" t="s">
        <v>20</v>
      </c>
      <c r="EW54" t="s">
        <v>20</v>
      </c>
      <c r="EX54" t="s">
        <v>20</v>
      </c>
      <c r="EY54" t="s">
        <v>20</v>
      </c>
      <c r="EZ54" t="s">
        <v>20</v>
      </c>
      <c r="FA54" t="s">
        <v>20</v>
      </c>
      <c r="FB54" t="s">
        <v>20</v>
      </c>
      <c r="FC54" t="s">
        <v>20</v>
      </c>
      <c r="FD54" t="s">
        <v>20</v>
      </c>
      <c r="FE54" t="s">
        <v>20</v>
      </c>
      <c r="FM54" t="str">
        <f t="shared" si="0"/>
        <v xml:space="preserve">    &lt;route id="Router3_53" edges="196393940#0 62203285#0 62203285#2 62203285#3 62203285#5 62203285#6 62203285#7 62203285#8 62203285#9 62203285#10 62203285#11 62203285#13 62203285#14.0 62203285#14.24 gneE59.30.0.55 gneE59.30.0.0 gneE59.0.0 gneE59.0.12 62203360#0 291433361#0 132508433.0 -gneE6.0 gneE81.299.0 gneE81.299.79 gneE81.299.145 -gneE8 12154353#0 196393941#1 196393941#2 28533986 43539369#2 12178843#2 12178843#3 49960982#2 43569828#0 387422128#1 43569827#0 43569827#1 43569827#2 43569827#7 43569848 30953391 424769002 424769005 424769006 424769004 30953396#1 387422132#0 387422132#1 486653633#0 484953506#3 484953506#4 12157002#0 12157002#1 12157002#3 12157002#5 12114396#4 -12156992#10 -12156992#8 -12156992#7 -12156992#6 -12156992#5 -12156992#4 -12156992#3 -12156992#2 -12156992#1 -386547297#1 -424080772#2 -424080772#1 -262962065#1 -262962063 -424080764 -424080768#1 -424080766 -104526265#1 30953497#0 30953497#2 30953497#3 42706585#0 42706585#1 30953320 30953320-AddedOffRampEdge 104526277 30953215#1-AddedOnRampEdge 30953215#1 121643865#0 12110705 50715233#0 50715233#0-AddedOffRampEdge 50715233#1.0 62203285#14.24 gneE59.30.0.55 gneE59.30.0.0 gneE59.0.0 gneE59.0.12 62203360#0 12159135 12149408#0 49914077 424767578 43569819 387422128#1 43569827#0 43569827#1 43569827#2 43569827#7 43569848 30953391 424769002 424769005 424769006 424769004 30953396#1 -424769003#1 -424769003#0 -485017374 42706828#0 42706828#2 12182281#0 12182281#3 12182281#5 12182281#6 386995507#4 386995507#5 386995507#6 12152013#1 12152013#2 -12175537#6 -12175537#5 -12175537#4 12182281#9 12182281#10 -388756839#1 -388756839#0 -50033059#4 -50033059#3 -50033059#2 -50033059#1 42706833#0 42706833#2 12189876#0 12189876#2 484953508#1 60185970#0 60185970#2 12149571#1 12187610#3 50033558#2 -12188656 -121319046 -42706825#7 12199713#0 12199713#1 -386995514#6 -386995514#5 -386995514#4 -386995514#3 194358817#0 194358817#1 194358817#2 12114363#0 12114363#1 -50033059#4 12175537#0 12175537#2 12175537#3 12175537#4 12175537#5 12175537#6 12175537#7 12175537#8 12175537#9 12175537#10 12175537#11 12175537#12 12155177#1 12155177#2 387422153#1 gneE73 gneE75.0 gneE80.125"/&gt;</v>
      </c>
      <c r="FN54" t="s">
        <v>2516</v>
      </c>
      <c r="FO54" t="s">
        <v>1142</v>
      </c>
      <c r="FP54" t="s">
        <v>2571</v>
      </c>
    </row>
    <row r="55" spans="2:172" x14ac:dyDescent="0.25">
      <c r="B55" t="s">
        <v>70</v>
      </c>
      <c r="C55" t="s">
        <v>70</v>
      </c>
      <c r="D55" t="s">
        <v>70</v>
      </c>
      <c r="E55" t="s">
        <v>70</v>
      </c>
      <c r="F55" t="s">
        <v>70</v>
      </c>
      <c r="G55" t="s">
        <v>70</v>
      </c>
      <c r="H55" t="s">
        <v>70</v>
      </c>
      <c r="I55" t="s">
        <v>70</v>
      </c>
      <c r="J55" t="s">
        <v>70</v>
      </c>
      <c r="K55" t="s">
        <v>70</v>
      </c>
      <c r="L55" t="s">
        <v>70</v>
      </c>
      <c r="M55" t="s">
        <v>70</v>
      </c>
      <c r="N55" t="s">
        <v>70</v>
      </c>
      <c r="O55" t="s">
        <v>70</v>
      </c>
      <c r="P55" t="s">
        <v>70</v>
      </c>
      <c r="Q55" t="s">
        <v>70</v>
      </c>
      <c r="R55" t="s">
        <v>70</v>
      </c>
      <c r="S55" t="s">
        <v>403</v>
      </c>
      <c r="U55" t="s">
        <v>116</v>
      </c>
      <c r="W55" t="s">
        <v>271</v>
      </c>
      <c r="X55" t="s">
        <v>271</v>
      </c>
      <c r="Y55" t="s">
        <v>271</v>
      </c>
      <c r="Z55" t="s">
        <v>271</v>
      </c>
      <c r="AA55" t="s">
        <v>6</v>
      </c>
      <c r="AG55" t="s">
        <v>937</v>
      </c>
      <c r="AO55" t="s">
        <v>112</v>
      </c>
      <c r="AP55" t="s">
        <v>108</v>
      </c>
      <c r="AQ55" t="s">
        <v>677</v>
      </c>
      <c r="AR55" t="s">
        <v>320</v>
      </c>
      <c r="AS55" t="s">
        <v>76</v>
      </c>
      <c r="AV55" t="s">
        <v>246</v>
      </c>
      <c r="AW55" t="s">
        <v>760</v>
      </c>
      <c r="AY55" t="s">
        <v>675</v>
      </c>
      <c r="AZ55" t="s">
        <v>675</v>
      </c>
      <c r="BA55" t="s">
        <v>675</v>
      </c>
      <c r="BD55" t="s">
        <v>954</v>
      </c>
      <c r="BG55" t="s">
        <v>419</v>
      </c>
      <c r="BI55" t="s">
        <v>865</v>
      </c>
      <c r="BJ55" t="s">
        <v>865</v>
      </c>
      <c r="BM55" t="s">
        <v>804</v>
      </c>
      <c r="BN55" t="s">
        <v>399</v>
      </c>
      <c r="BO55" t="s">
        <v>399</v>
      </c>
      <c r="BP55" t="s">
        <v>980</v>
      </c>
      <c r="BQ55" t="s">
        <v>980</v>
      </c>
      <c r="BR55" t="s">
        <v>402</v>
      </c>
      <c r="BS55" t="s">
        <v>113</v>
      </c>
      <c r="BT55" t="s">
        <v>841</v>
      </c>
      <c r="BU55" t="s">
        <v>841</v>
      </c>
      <c r="BV55" t="s">
        <v>841</v>
      </c>
      <c r="BW55" t="s">
        <v>630</v>
      </c>
      <c r="BY55" t="s">
        <v>507</v>
      </c>
      <c r="BZ55" t="s">
        <v>507</v>
      </c>
      <c r="CA55" t="s">
        <v>507</v>
      </c>
      <c r="CB55" t="s">
        <v>697</v>
      </c>
      <c r="CC55" t="s">
        <v>882</v>
      </c>
      <c r="CD55" t="s">
        <v>55</v>
      </c>
      <c r="CG55" t="s">
        <v>124</v>
      </c>
      <c r="CH55" t="s">
        <v>797</v>
      </c>
      <c r="CI55" t="s">
        <v>797</v>
      </c>
      <c r="CJ55" t="s">
        <v>780</v>
      </c>
      <c r="CK55" t="s">
        <v>785</v>
      </c>
      <c r="CL55" t="s">
        <v>1051</v>
      </c>
      <c r="CM55" t="s">
        <v>240</v>
      </c>
      <c r="CN55" t="s">
        <v>240</v>
      </c>
      <c r="CO55" t="s">
        <v>240</v>
      </c>
      <c r="CP55" t="s">
        <v>240</v>
      </c>
      <c r="CQ55" t="s">
        <v>240</v>
      </c>
      <c r="CR55" t="s">
        <v>240</v>
      </c>
      <c r="CS55" t="s">
        <v>601</v>
      </c>
      <c r="CT55" t="s">
        <v>603</v>
      </c>
      <c r="CU55" t="s">
        <v>539</v>
      </c>
      <c r="CV55" t="s">
        <v>539</v>
      </c>
      <c r="CX55" t="s">
        <v>107</v>
      </c>
      <c r="DA55" t="s">
        <v>187</v>
      </c>
      <c r="DB55" t="s">
        <v>268</v>
      </c>
      <c r="DC55" t="s">
        <v>268</v>
      </c>
      <c r="DD55" t="s">
        <v>733</v>
      </c>
      <c r="DE55" t="s">
        <v>726</v>
      </c>
      <c r="DH55" t="s">
        <v>419</v>
      </c>
      <c r="DI55" t="s">
        <v>419</v>
      </c>
      <c r="DK55" t="s">
        <v>256</v>
      </c>
      <c r="DL55" t="s">
        <v>865</v>
      </c>
      <c r="DM55" t="s">
        <v>865</v>
      </c>
      <c r="DN55" t="s">
        <v>865</v>
      </c>
      <c r="DO55" t="s">
        <v>865</v>
      </c>
      <c r="DU55" t="s">
        <v>141</v>
      </c>
      <c r="DV55" t="s">
        <v>27</v>
      </c>
      <c r="EA55" t="s">
        <v>255</v>
      </c>
      <c r="ED55" t="s">
        <v>161</v>
      </c>
      <c r="EF55" t="s">
        <v>446</v>
      </c>
      <c r="EM55" t="s">
        <v>1055</v>
      </c>
      <c r="EN55" t="s">
        <v>1055</v>
      </c>
      <c r="EO55" t="s">
        <v>1055</v>
      </c>
      <c r="EP55" t="s">
        <v>865</v>
      </c>
      <c r="EQ55" t="s">
        <v>865</v>
      </c>
      <c r="ER55" t="s">
        <v>865</v>
      </c>
      <c r="ES55" t="s">
        <v>865</v>
      </c>
      <c r="ET55" t="s">
        <v>865</v>
      </c>
      <c r="EU55" t="s">
        <v>865</v>
      </c>
      <c r="EV55" t="s">
        <v>865</v>
      </c>
      <c r="EW55" t="s">
        <v>865</v>
      </c>
      <c r="EX55" t="s">
        <v>865</v>
      </c>
      <c r="EY55" t="s">
        <v>865</v>
      </c>
      <c r="EZ55" t="s">
        <v>865</v>
      </c>
      <c r="FA55" t="s">
        <v>865</v>
      </c>
      <c r="FB55" t="s">
        <v>865</v>
      </c>
      <c r="FC55" t="s">
        <v>865</v>
      </c>
      <c r="FD55" t="s">
        <v>865</v>
      </c>
      <c r="FE55" t="s">
        <v>865</v>
      </c>
      <c r="FM55" t="str">
        <f t="shared" si="0"/>
        <v xml:space="preserve">    &lt;route id="Router3_54" edges="196393940#0 62203285#0 62203285#2 62203285#3 62203285#5 62203285#6 62203285#7 62203286#0 -12142298#1 -12142298#0 42706664#8 12186741#4 12186741#5 12142723#0 12142723#3 12142723#4 12142723#5 196207110#0 196207110#2"/&gt;</v>
      </c>
      <c r="FN55" t="s">
        <v>2516</v>
      </c>
      <c r="FO55" t="s">
        <v>1143</v>
      </c>
      <c r="FP55" t="s">
        <v>2572</v>
      </c>
    </row>
    <row r="56" spans="2:172" x14ac:dyDescent="0.25">
      <c r="B56" t="s">
        <v>745</v>
      </c>
      <c r="C56" t="s">
        <v>745</v>
      </c>
      <c r="D56" t="s">
        <v>745</v>
      </c>
      <c r="E56" t="s">
        <v>745</v>
      </c>
      <c r="F56" t="s">
        <v>745</v>
      </c>
      <c r="G56" t="s">
        <v>745</v>
      </c>
      <c r="H56" t="s">
        <v>745</v>
      </c>
      <c r="I56" t="s">
        <v>745</v>
      </c>
      <c r="J56" t="s">
        <v>745</v>
      </c>
      <c r="K56" t="s">
        <v>745</v>
      </c>
      <c r="L56" t="s">
        <v>745</v>
      </c>
      <c r="M56" t="s">
        <v>745</v>
      </c>
      <c r="N56" t="s">
        <v>745</v>
      </c>
      <c r="O56" t="s">
        <v>745</v>
      </c>
      <c r="P56" t="s">
        <v>745</v>
      </c>
      <c r="Q56" t="s">
        <v>745</v>
      </c>
      <c r="R56" t="s">
        <v>745</v>
      </c>
      <c r="S56" t="s">
        <v>404</v>
      </c>
      <c r="U56" t="s">
        <v>117</v>
      </c>
      <c r="W56" t="s">
        <v>367</v>
      </c>
      <c r="X56" t="s">
        <v>367</v>
      </c>
      <c r="Y56" t="s">
        <v>367</v>
      </c>
      <c r="Z56" t="s">
        <v>367</v>
      </c>
      <c r="AA56" t="s">
        <v>7</v>
      </c>
      <c r="AG56" t="s">
        <v>543</v>
      </c>
      <c r="AO56" t="s">
        <v>113</v>
      </c>
      <c r="AP56" t="s">
        <v>109</v>
      </c>
      <c r="AQ56" t="s">
        <v>678</v>
      </c>
      <c r="AR56" t="s">
        <v>321</v>
      </c>
      <c r="AS56" t="s">
        <v>77</v>
      </c>
      <c r="AV56" t="s">
        <v>737</v>
      </c>
      <c r="AW56" t="s">
        <v>240</v>
      </c>
      <c r="AY56" t="s">
        <v>1055</v>
      </c>
      <c r="AZ56" t="s">
        <v>1055</v>
      </c>
      <c r="BA56" t="s">
        <v>1055</v>
      </c>
      <c r="BD56" t="s">
        <v>76</v>
      </c>
      <c r="BG56" t="s">
        <v>943</v>
      </c>
      <c r="BI56" t="s">
        <v>866</v>
      </c>
      <c r="BJ56" t="s">
        <v>866</v>
      </c>
      <c r="BM56" t="s">
        <v>805</v>
      </c>
      <c r="BN56" t="s">
        <v>400</v>
      </c>
      <c r="BO56" t="s">
        <v>400</v>
      </c>
      <c r="BP56" t="s">
        <v>981</v>
      </c>
      <c r="BQ56" t="s">
        <v>981</v>
      </c>
      <c r="BR56" t="s">
        <v>403</v>
      </c>
      <c r="BS56" t="s">
        <v>114</v>
      </c>
      <c r="BT56" t="s">
        <v>953</v>
      </c>
      <c r="BU56" t="s">
        <v>953</v>
      </c>
      <c r="BV56" t="s">
        <v>953</v>
      </c>
      <c r="BW56" t="s">
        <v>631</v>
      </c>
      <c r="BY56" t="s">
        <v>508</v>
      </c>
      <c r="BZ56" t="s">
        <v>508</v>
      </c>
      <c r="CA56" t="s">
        <v>508</v>
      </c>
      <c r="CB56" t="s">
        <v>963</v>
      </c>
      <c r="CC56" t="s">
        <v>598</v>
      </c>
      <c r="CD56" t="s">
        <v>56</v>
      </c>
      <c r="CG56" t="s">
        <v>125</v>
      </c>
      <c r="CH56" t="s">
        <v>798</v>
      </c>
      <c r="CI56" t="s">
        <v>798</v>
      </c>
      <c r="CJ56" t="s">
        <v>781</v>
      </c>
      <c r="CK56" t="s">
        <v>786</v>
      </c>
      <c r="CL56" t="s">
        <v>1052</v>
      </c>
      <c r="CM56" t="s">
        <v>241</v>
      </c>
      <c r="CN56" t="s">
        <v>241</v>
      </c>
      <c r="CO56" t="s">
        <v>241</v>
      </c>
      <c r="CP56" t="s">
        <v>241</v>
      </c>
      <c r="CQ56" t="s">
        <v>241</v>
      </c>
      <c r="CR56" t="s">
        <v>241</v>
      </c>
      <c r="CS56" t="s">
        <v>263</v>
      </c>
      <c r="CT56" t="s">
        <v>604</v>
      </c>
      <c r="CU56" t="s">
        <v>540</v>
      </c>
      <c r="CV56" t="s">
        <v>540</v>
      </c>
      <c r="CX56" t="s">
        <v>383</v>
      </c>
      <c r="DA56" t="s">
        <v>188</v>
      </c>
      <c r="DB56" t="s">
        <v>269</v>
      </c>
      <c r="DC56" t="s">
        <v>269</v>
      </c>
      <c r="DD56" t="s">
        <v>734</v>
      </c>
      <c r="DE56" t="s">
        <v>727</v>
      </c>
      <c r="DH56" t="s">
        <v>943</v>
      </c>
      <c r="DI56" t="s">
        <v>943</v>
      </c>
      <c r="DK56" t="s">
        <v>257</v>
      </c>
      <c r="DL56" t="s">
        <v>866</v>
      </c>
      <c r="DM56" t="s">
        <v>866</v>
      </c>
      <c r="DN56" t="s">
        <v>866</v>
      </c>
      <c r="DO56" t="s">
        <v>866</v>
      </c>
      <c r="DV56" t="s">
        <v>247</v>
      </c>
      <c r="EA56" t="s">
        <v>256</v>
      </c>
      <c r="EF56" t="s">
        <v>447</v>
      </c>
      <c r="EM56" t="s">
        <v>1056</v>
      </c>
      <c r="EN56" t="s">
        <v>1056</v>
      </c>
      <c r="EO56" t="s">
        <v>1056</v>
      </c>
      <c r="EP56" t="s">
        <v>866</v>
      </c>
      <c r="EQ56" t="s">
        <v>866</v>
      </c>
      <c r="ER56" t="s">
        <v>866</v>
      </c>
      <c r="ES56" t="s">
        <v>866</v>
      </c>
      <c r="ET56" t="s">
        <v>866</v>
      </c>
      <c r="EU56" t="s">
        <v>866</v>
      </c>
      <c r="EV56" t="s">
        <v>866</v>
      </c>
      <c r="EW56" t="s">
        <v>866</v>
      </c>
      <c r="EX56" t="s">
        <v>866</v>
      </c>
      <c r="EY56" t="s">
        <v>866</v>
      </c>
      <c r="EZ56" t="s">
        <v>866</v>
      </c>
      <c r="FA56" t="s">
        <v>866</v>
      </c>
      <c r="FB56" t="s">
        <v>866</v>
      </c>
      <c r="FC56" t="s">
        <v>866</v>
      </c>
      <c r="FD56" t="s">
        <v>866</v>
      </c>
      <c r="FE56" t="s">
        <v>866</v>
      </c>
      <c r="FM56" t="str">
        <f t="shared" si="0"/>
        <v xml:space="preserve">    &lt;route id="Router3_55" edges="196393940#0 62203285#0 62203285#2 62203285#3 62203285#5 62203285#6 62203285#7 62203286#0 -12142298#1 -12142298#0 42706664#8 12186741#4 12186741#5 12142723#0 12142723#3 12142723#4 12187745 -12187745 12142723#5 196207110#0 196207110#2"/&gt;</v>
      </c>
      <c r="FN56" t="s">
        <v>2516</v>
      </c>
      <c r="FO56" t="s">
        <v>1144</v>
      </c>
      <c r="FP56" t="s">
        <v>2573</v>
      </c>
    </row>
    <row r="57" spans="2:172" x14ac:dyDescent="0.25">
      <c r="B57" t="s">
        <v>746</v>
      </c>
      <c r="C57" t="s">
        <v>746</v>
      </c>
      <c r="D57" t="s">
        <v>746</v>
      </c>
      <c r="E57" t="s">
        <v>746</v>
      </c>
      <c r="F57" t="s">
        <v>746</v>
      </c>
      <c r="G57" t="s">
        <v>746</v>
      </c>
      <c r="H57" t="s">
        <v>746</v>
      </c>
      <c r="I57" t="s">
        <v>746</v>
      </c>
      <c r="J57" t="s">
        <v>746</v>
      </c>
      <c r="K57" t="s">
        <v>746</v>
      </c>
      <c r="L57" t="s">
        <v>746</v>
      </c>
      <c r="M57" t="s">
        <v>746</v>
      </c>
      <c r="N57" t="s">
        <v>746</v>
      </c>
      <c r="O57" t="s">
        <v>746</v>
      </c>
      <c r="P57" t="s">
        <v>746</v>
      </c>
      <c r="Q57" t="s">
        <v>746</v>
      </c>
      <c r="R57" t="s">
        <v>746</v>
      </c>
      <c r="S57" t="s">
        <v>979</v>
      </c>
      <c r="U57" t="s">
        <v>118</v>
      </c>
      <c r="W57" t="s">
        <v>368</v>
      </c>
      <c r="X57" t="s">
        <v>368</v>
      </c>
      <c r="Y57" t="s">
        <v>368</v>
      </c>
      <c r="Z57" t="s">
        <v>368</v>
      </c>
      <c r="AA57" t="s">
        <v>8</v>
      </c>
      <c r="AG57" t="s">
        <v>544</v>
      </c>
      <c r="AO57" t="s">
        <v>114</v>
      </c>
      <c r="AP57" t="s">
        <v>110</v>
      </c>
      <c r="AQ57" t="s">
        <v>21</v>
      </c>
      <c r="AR57" t="s">
        <v>322</v>
      </c>
      <c r="AS57" t="s">
        <v>211</v>
      </c>
      <c r="AV57" t="s">
        <v>677</v>
      </c>
      <c r="AW57" t="s">
        <v>241</v>
      </c>
      <c r="AY57" t="s">
        <v>1056</v>
      </c>
      <c r="AZ57" t="s">
        <v>1056</v>
      </c>
      <c r="BA57" t="s">
        <v>1056</v>
      </c>
      <c r="BD57" t="s">
        <v>77</v>
      </c>
      <c r="BG57" t="s">
        <v>944</v>
      </c>
      <c r="BI57" t="s">
        <v>867</v>
      </c>
      <c r="BJ57" t="s">
        <v>867</v>
      </c>
      <c r="BM57" t="s">
        <v>492</v>
      </c>
      <c r="BN57" t="s">
        <v>401</v>
      </c>
      <c r="BO57" t="s">
        <v>401</v>
      </c>
      <c r="BP57" t="s">
        <v>884</v>
      </c>
      <c r="BQ57" t="s">
        <v>884</v>
      </c>
      <c r="BR57" t="s">
        <v>404</v>
      </c>
      <c r="BS57" t="s">
        <v>722</v>
      </c>
      <c r="BT57" t="s">
        <v>983</v>
      </c>
      <c r="BU57" t="s">
        <v>983</v>
      </c>
      <c r="BV57" t="s">
        <v>983</v>
      </c>
      <c r="BW57" t="s">
        <v>632</v>
      </c>
      <c r="BY57" t="s">
        <v>509</v>
      </c>
      <c r="BZ57" t="s">
        <v>509</v>
      </c>
      <c r="CA57" t="s">
        <v>509</v>
      </c>
      <c r="CB57" t="s">
        <v>964</v>
      </c>
      <c r="CC57" t="s">
        <v>73</v>
      </c>
      <c r="CD57" t="s">
        <v>18</v>
      </c>
      <c r="CG57" t="s">
        <v>126</v>
      </c>
      <c r="CH57" t="s">
        <v>642</v>
      </c>
      <c r="CI57" t="s">
        <v>642</v>
      </c>
      <c r="CJ57" t="s">
        <v>1048</v>
      </c>
      <c r="CK57" t="s">
        <v>787</v>
      </c>
      <c r="CL57" t="s">
        <v>1053</v>
      </c>
      <c r="CM57" t="s">
        <v>391</v>
      </c>
      <c r="CN57" t="s">
        <v>391</v>
      </c>
      <c r="CO57" t="s">
        <v>391</v>
      </c>
      <c r="CP57" t="s">
        <v>391</v>
      </c>
      <c r="CQ57" t="s">
        <v>391</v>
      </c>
      <c r="CR57" t="s">
        <v>391</v>
      </c>
      <c r="CS57" t="s">
        <v>264</v>
      </c>
      <c r="CT57" t="s">
        <v>605</v>
      </c>
      <c r="CU57" t="s">
        <v>541</v>
      </c>
      <c r="CV57" t="s">
        <v>541</v>
      </c>
      <c r="CX57" t="s">
        <v>451</v>
      </c>
      <c r="DA57" t="s">
        <v>189</v>
      </c>
      <c r="DB57" t="s">
        <v>270</v>
      </c>
      <c r="DC57" t="s">
        <v>270</v>
      </c>
      <c r="DD57" t="s">
        <v>735</v>
      </c>
      <c r="DE57" t="s">
        <v>728</v>
      </c>
      <c r="DH57" t="s">
        <v>944</v>
      </c>
      <c r="DI57" t="s">
        <v>944</v>
      </c>
      <c r="DK57" t="s">
        <v>258</v>
      </c>
      <c r="DL57" t="s">
        <v>867</v>
      </c>
      <c r="DM57" t="s">
        <v>867</v>
      </c>
      <c r="DN57" t="s">
        <v>867</v>
      </c>
      <c r="DO57" t="s">
        <v>867</v>
      </c>
      <c r="DV57" t="s">
        <v>248</v>
      </c>
      <c r="EA57" t="s">
        <v>257</v>
      </c>
      <c r="EF57" t="s">
        <v>448</v>
      </c>
      <c r="EM57" t="s">
        <v>245</v>
      </c>
      <c r="EN57" t="s">
        <v>245</v>
      </c>
      <c r="EO57" t="s">
        <v>245</v>
      </c>
      <c r="EP57" t="s">
        <v>908</v>
      </c>
      <c r="EQ57" t="s">
        <v>908</v>
      </c>
      <c r="ER57" t="s">
        <v>908</v>
      </c>
      <c r="ES57" t="s">
        <v>908</v>
      </c>
      <c r="ET57" t="s">
        <v>908</v>
      </c>
      <c r="EU57" t="s">
        <v>908</v>
      </c>
      <c r="EV57" t="s">
        <v>908</v>
      </c>
      <c r="EW57" t="s">
        <v>908</v>
      </c>
      <c r="EX57" t="s">
        <v>908</v>
      </c>
      <c r="EY57" t="s">
        <v>908</v>
      </c>
      <c r="EZ57" t="s">
        <v>908</v>
      </c>
      <c r="FA57" t="s">
        <v>908</v>
      </c>
      <c r="FB57" t="s">
        <v>908</v>
      </c>
      <c r="FC57" t="s">
        <v>908</v>
      </c>
      <c r="FD57" t="s">
        <v>908</v>
      </c>
      <c r="FE57" t="s">
        <v>908</v>
      </c>
      <c r="FM57" t="str">
        <f t="shared" si="0"/>
        <v xml:space="preserve">    &lt;route id="Router3_56" edges="196393940#0 62203285#0 62203285#2 62203285#3 62203285#5 62203285#6 62203285#7 62203286#0 -12142298#1 -12142298#0 42706664#8 12186741#4 12186741#5 12142723#0 12142723#3 12142723#4 12187745 32118649#2 32118649#3 -43538931#1 -43538931#0 196207115#3 196355332#0 450844979#0.0 450844982#0.19 62203497#0 62203497#2 62203497#3 12134479#1 34685684#0 34685684#2 388533143#0 388533143#2 12140627#0 63060729#0 -264253834#2 12156992#4 12156992#5 12156992#6 12156992#7 12156992#8 12156992#9 -12114396#5 -12114396#3 -12114396#1 485017383#0 485017382#0 485017382#1 211575484#0 -12177521#3 -12177521#2 -12177521#1 32121111#12 32121111#14 -12187610#5 -12187610#2 -12187610#1 12150608#0 32121146#2 12117702#9 450844953#0 450844953#2 450844953#3 450844947#0 388533142#0 388533142#2 388533142#4 62623926#0 62623926#1 450844950#0 38502259#0.19 450844933#1 196207110#0 196207110#2"/&gt;</v>
      </c>
      <c r="FN57" t="s">
        <v>2516</v>
      </c>
      <c r="FO57" t="s">
        <v>1145</v>
      </c>
      <c r="FP57" t="s">
        <v>2574</v>
      </c>
    </row>
    <row r="58" spans="2:172" x14ac:dyDescent="0.25">
      <c r="B58" t="s">
        <v>977</v>
      </c>
      <c r="C58" t="s">
        <v>977</v>
      </c>
      <c r="D58" t="s">
        <v>977</v>
      </c>
      <c r="E58" t="s">
        <v>977</v>
      </c>
      <c r="F58" t="s">
        <v>977</v>
      </c>
      <c r="G58" t="s">
        <v>977</v>
      </c>
      <c r="H58" t="s">
        <v>977</v>
      </c>
      <c r="I58" t="s">
        <v>977</v>
      </c>
      <c r="J58" t="s">
        <v>977</v>
      </c>
      <c r="K58" t="s">
        <v>977</v>
      </c>
      <c r="L58" t="s">
        <v>977</v>
      </c>
      <c r="M58" t="s">
        <v>977</v>
      </c>
      <c r="N58" t="s">
        <v>977</v>
      </c>
      <c r="O58" t="s">
        <v>977</v>
      </c>
      <c r="P58" t="s">
        <v>977</v>
      </c>
      <c r="Q58" t="s">
        <v>977</v>
      </c>
      <c r="R58" t="s">
        <v>977</v>
      </c>
      <c r="S58" t="s">
        <v>980</v>
      </c>
      <c r="U58" t="s">
        <v>758</v>
      </c>
      <c r="W58" t="s">
        <v>369</v>
      </c>
      <c r="X58" t="s">
        <v>369</v>
      </c>
      <c r="Y58" t="s">
        <v>369</v>
      </c>
      <c r="Z58" t="s">
        <v>369</v>
      </c>
      <c r="AA58" t="s">
        <v>9</v>
      </c>
      <c r="AG58" t="s">
        <v>545</v>
      </c>
      <c r="AO58" t="s">
        <v>115</v>
      </c>
      <c r="AP58" t="s">
        <v>111</v>
      </c>
      <c r="AQ58" t="s">
        <v>22</v>
      </c>
      <c r="AR58" t="s">
        <v>323</v>
      </c>
      <c r="AS58" t="s">
        <v>820</v>
      </c>
      <c r="AV58" t="s">
        <v>678</v>
      </c>
      <c r="AW58" t="s">
        <v>391</v>
      </c>
      <c r="AY58" t="s">
        <v>245</v>
      </c>
      <c r="AZ58" t="s">
        <v>245</v>
      </c>
      <c r="BA58" t="s">
        <v>245</v>
      </c>
      <c r="BD58" t="s">
        <v>211</v>
      </c>
      <c r="BG58" t="s">
        <v>925</v>
      </c>
      <c r="BI58" t="s">
        <v>672</v>
      </c>
      <c r="BJ58" t="s">
        <v>672</v>
      </c>
      <c r="BM58" t="s">
        <v>493</v>
      </c>
      <c r="BN58" t="s">
        <v>402</v>
      </c>
      <c r="BO58" t="s">
        <v>402</v>
      </c>
      <c r="BP58" t="s">
        <v>885</v>
      </c>
      <c r="BQ58" t="s">
        <v>885</v>
      </c>
      <c r="BR58" t="s">
        <v>405</v>
      </c>
      <c r="BS58" t="s">
        <v>723</v>
      </c>
      <c r="BT58" t="s">
        <v>53</v>
      </c>
      <c r="BU58" t="s">
        <v>53</v>
      </c>
      <c r="BV58" t="s">
        <v>53</v>
      </c>
      <c r="BW58" t="s">
        <v>633</v>
      </c>
      <c r="BY58" t="s">
        <v>82</v>
      </c>
      <c r="BZ58" t="s">
        <v>82</v>
      </c>
      <c r="CA58" t="s">
        <v>82</v>
      </c>
      <c r="CB58" t="s">
        <v>965</v>
      </c>
      <c r="CC58" t="s">
        <v>74</v>
      </c>
      <c r="CD58" t="s">
        <v>19</v>
      </c>
      <c r="CG58" t="s">
        <v>127</v>
      </c>
      <c r="CH58" t="s">
        <v>643</v>
      </c>
      <c r="CI58" t="s">
        <v>643</v>
      </c>
      <c r="CJ58" t="s">
        <v>812</v>
      </c>
      <c r="CK58" t="s">
        <v>788</v>
      </c>
      <c r="CL58" t="s">
        <v>806</v>
      </c>
      <c r="CM58" t="s">
        <v>731</v>
      </c>
      <c r="CN58" t="s">
        <v>731</v>
      </c>
      <c r="CO58" t="s">
        <v>731</v>
      </c>
      <c r="CP58" t="s">
        <v>731</v>
      </c>
      <c r="CQ58" t="s">
        <v>731</v>
      </c>
      <c r="CR58" t="s">
        <v>731</v>
      </c>
      <c r="CS58" t="s">
        <v>265</v>
      </c>
      <c r="CT58" t="s">
        <v>470</v>
      </c>
      <c r="CU58" t="s">
        <v>752</v>
      </c>
      <c r="CV58" t="s">
        <v>752</v>
      </c>
      <c r="CX58" t="s">
        <v>452</v>
      </c>
      <c r="DA58" t="s">
        <v>190</v>
      </c>
      <c r="DB58" t="s">
        <v>271</v>
      </c>
      <c r="DC58" t="s">
        <v>271</v>
      </c>
      <c r="DD58" t="s">
        <v>736</v>
      </c>
      <c r="DE58" t="s">
        <v>729</v>
      </c>
      <c r="DH58" t="s">
        <v>925</v>
      </c>
      <c r="DI58" t="s">
        <v>925</v>
      </c>
      <c r="DL58" t="s">
        <v>672</v>
      </c>
      <c r="DM58" t="s">
        <v>672</v>
      </c>
      <c r="DN58" t="s">
        <v>672</v>
      </c>
      <c r="DO58" t="s">
        <v>672</v>
      </c>
      <c r="DV58" t="s">
        <v>249</v>
      </c>
      <c r="EA58" t="s">
        <v>258</v>
      </c>
      <c r="EF58" t="s">
        <v>569</v>
      </c>
      <c r="EM58" t="s">
        <v>821</v>
      </c>
      <c r="EN58" t="s">
        <v>821</v>
      </c>
      <c r="EO58" t="s">
        <v>821</v>
      </c>
      <c r="EP58" t="s">
        <v>872</v>
      </c>
      <c r="EQ58" t="s">
        <v>872</v>
      </c>
      <c r="ER58" t="s">
        <v>872</v>
      </c>
      <c r="ES58" t="s">
        <v>872</v>
      </c>
      <c r="ET58" t="s">
        <v>872</v>
      </c>
      <c r="EU58" t="s">
        <v>872</v>
      </c>
      <c r="EV58" t="s">
        <v>872</v>
      </c>
      <c r="EW58" t="s">
        <v>872</v>
      </c>
      <c r="EX58" t="s">
        <v>872</v>
      </c>
      <c r="EY58" t="s">
        <v>872</v>
      </c>
      <c r="EZ58" t="s">
        <v>872</v>
      </c>
      <c r="FA58" t="s">
        <v>872</v>
      </c>
      <c r="FB58" t="s">
        <v>872</v>
      </c>
      <c r="FC58" t="s">
        <v>872</v>
      </c>
      <c r="FD58" t="s">
        <v>872</v>
      </c>
      <c r="FE58" t="s">
        <v>872</v>
      </c>
      <c r="FM58" t="str">
        <f t="shared" si="0"/>
        <v xml:space="preserve">    &lt;route id="Router3_57" edges="196393940#0 62203285#0 62203285#2 62203285#3 62203285#5 62203285#6 62203285#7 62203286#0 62203286#2 12186741#2 12186741#4 12186741#5 -196393940#2 -196393940#0"/&gt;</v>
      </c>
      <c r="FN58" t="s">
        <v>2516</v>
      </c>
      <c r="FO58" t="s">
        <v>1146</v>
      </c>
      <c r="FP58" t="s">
        <v>2575</v>
      </c>
    </row>
    <row r="59" spans="2:172" x14ac:dyDescent="0.25">
      <c r="B59" t="s">
        <v>592</v>
      </c>
      <c r="C59" t="s">
        <v>592</v>
      </c>
      <c r="D59" t="s">
        <v>592</v>
      </c>
      <c r="E59" t="s">
        <v>592</v>
      </c>
      <c r="F59" t="s">
        <v>592</v>
      </c>
      <c r="G59" t="s">
        <v>592</v>
      </c>
      <c r="H59" t="s">
        <v>592</v>
      </c>
      <c r="I59" t="s">
        <v>592</v>
      </c>
      <c r="J59" t="s">
        <v>592</v>
      </c>
      <c r="K59" t="s">
        <v>592</v>
      </c>
      <c r="L59" t="s">
        <v>592</v>
      </c>
      <c r="M59" t="s">
        <v>592</v>
      </c>
      <c r="N59" t="s">
        <v>592</v>
      </c>
      <c r="O59" t="s">
        <v>592</v>
      </c>
      <c r="P59" t="s">
        <v>592</v>
      </c>
      <c r="Q59" t="s">
        <v>592</v>
      </c>
      <c r="R59" t="s">
        <v>592</v>
      </c>
      <c r="S59" t="s">
        <v>981</v>
      </c>
      <c r="U59" t="s">
        <v>445</v>
      </c>
      <c r="W59" t="s">
        <v>284</v>
      </c>
      <c r="X59" t="s">
        <v>284</v>
      </c>
      <c r="Y59" t="s">
        <v>284</v>
      </c>
      <c r="Z59" t="s">
        <v>284</v>
      </c>
      <c r="AA59" t="s">
        <v>408</v>
      </c>
      <c r="AG59" t="s">
        <v>512</v>
      </c>
      <c r="AO59" t="s">
        <v>116</v>
      </c>
      <c r="AP59" t="s">
        <v>112</v>
      </c>
      <c r="AQ59" t="s">
        <v>23</v>
      </c>
      <c r="AR59" t="s">
        <v>324</v>
      </c>
      <c r="AS59" t="s">
        <v>260</v>
      </c>
      <c r="AV59" t="s">
        <v>21</v>
      </c>
      <c r="AW59" t="s">
        <v>731</v>
      </c>
      <c r="AY59" t="s">
        <v>821</v>
      </c>
      <c r="AZ59" t="s">
        <v>821</v>
      </c>
      <c r="BA59" t="s">
        <v>821</v>
      </c>
      <c r="BD59" t="s">
        <v>820</v>
      </c>
      <c r="BG59" t="s">
        <v>926</v>
      </c>
      <c r="BI59" t="s">
        <v>673</v>
      </c>
      <c r="BJ59" t="s">
        <v>673</v>
      </c>
      <c r="BM59" t="s">
        <v>1041</v>
      </c>
      <c r="BN59" t="s">
        <v>403</v>
      </c>
      <c r="BO59" t="s">
        <v>403</v>
      </c>
      <c r="BP59" t="s">
        <v>886</v>
      </c>
      <c r="BQ59" t="s">
        <v>886</v>
      </c>
      <c r="BR59" t="s">
        <v>406</v>
      </c>
      <c r="BS59" t="s">
        <v>724</v>
      </c>
      <c r="BT59" t="s">
        <v>54</v>
      </c>
      <c r="BU59" t="s">
        <v>54</v>
      </c>
      <c r="BV59" t="s">
        <v>54</v>
      </c>
      <c r="BW59" t="s">
        <v>634</v>
      </c>
      <c r="BY59" t="s">
        <v>83</v>
      </c>
      <c r="BZ59" t="s">
        <v>83</v>
      </c>
      <c r="CA59" t="s">
        <v>83</v>
      </c>
      <c r="CB59" t="s">
        <v>985</v>
      </c>
      <c r="CC59" t="s">
        <v>861</v>
      </c>
      <c r="CD59" t="s">
        <v>20</v>
      </c>
      <c r="CG59" t="s">
        <v>128</v>
      </c>
      <c r="CH59" t="s">
        <v>644</v>
      </c>
      <c r="CI59" t="s">
        <v>644</v>
      </c>
      <c r="CJ59" t="s">
        <v>813</v>
      </c>
      <c r="CK59" t="s">
        <v>789</v>
      </c>
      <c r="CL59" t="s">
        <v>815</v>
      </c>
      <c r="CM59" t="s">
        <v>732</v>
      </c>
      <c r="CN59" t="s">
        <v>732</v>
      </c>
      <c r="CO59" t="s">
        <v>732</v>
      </c>
      <c r="CP59" t="s">
        <v>732</v>
      </c>
      <c r="CQ59" t="s">
        <v>732</v>
      </c>
      <c r="CR59" t="s">
        <v>732</v>
      </c>
      <c r="CS59" t="s">
        <v>266</v>
      </c>
      <c r="CT59" t="s">
        <v>472</v>
      </c>
      <c r="CU59" t="s">
        <v>98</v>
      </c>
      <c r="CV59" t="s">
        <v>98</v>
      </c>
      <c r="CX59" t="s">
        <v>453</v>
      </c>
      <c r="DA59" t="s">
        <v>191</v>
      </c>
      <c r="DB59" t="s">
        <v>367</v>
      </c>
      <c r="DC59" t="s">
        <v>367</v>
      </c>
      <c r="DD59" t="s">
        <v>246</v>
      </c>
      <c r="DE59" t="s">
        <v>222</v>
      </c>
      <c r="DH59" t="s">
        <v>926</v>
      </c>
      <c r="DI59" t="s">
        <v>926</v>
      </c>
      <c r="DL59" t="s">
        <v>673</v>
      </c>
      <c r="DM59" t="s">
        <v>673</v>
      </c>
      <c r="DN59" t="s">
        <v>673</v>
      </c>
      <c r="DO59" t="s">
        <v>673</v>
      </c>
      <c r="DV59" t="s">
        <v>250</v>
      </c>
      <c r="EF59" t="s">
        <v>721</v>
      </c>
      <c r="EM59" t="s">
        <v>822</v>
      </c>
      <c r="EN59" t="s">
        <v>822</v>
      </c>
      <c r="EO59" t="s">
        <v>822</v>
      </c>
      <c r="EP59" t="s">
        <v>873</v>
      </c>
      <c r="EQ59" t="s">
        <v>873</v>
      </c>
      <c r="ER59" t="s">
        <v>873</v>
      </c>
      <c r="ES59" t="s">
        <v>873</v>
      </c>
      <c r="ET59" t="s">
        <v>873</v>
      </c>
      <c r="EU59" t="s">
        <v>873</v>
      </c>
      <c r="EV59" t="s">
        <v>873</v>
      </c>
      <c r="EW59" t="s">
        <v>873</v>
      </c>
      <c r="EX59" t="s">
        <v>873</v>
      </c>
      <c r="EY59" t="s">
        <v>873</v>
      </c>
      <c r="EZ59" t="s">
        <v>873</v>
      </c>
      <c r="FA59" t="s">
        <v>873</v>
      </c>
      <c r="FB59" t="s">
        <v>873</v>
      </c>
      <c r="FC59" t="s">
        <v>873</v>
      </c>
      <c r="FD59" t="s">
        <v>873</v>
      </c>
      <c r="FE59" t="s">
        <v>1089</v>
      </c>
      <c r="FM59" t="str">
        <f t="shared" si="0"/>
        <v xml:space="preserve">    &lt;route id="Router3_58" edges="196393940#0 62203285#0 62203285#2 62203285#3 62203285#5 62203285#6 62203285#7 62203286#0 62203286#2 12186741#2 12186741#4 12186741#5 12142723#0 12142723#3 12142723#4 12142723#5 196207110#0 196207110#2"/&gt;</v>
      </c>
      <c r="FN59" t="s">
        <v>2516</v>
      </c>
      <c r="FO59" t="s">
        <v>1147</v>
      </c>
      <c r="FP59" t="s">
        <v>2576</v>
      </c>
    </row>
    <row r="60" spans="2:172" x14ac:dyDescent="0.25">
      <c r="B60" t="s">
        <v>658</v>
      </c>
      <c r="C60" t="s">
        <v>658</v>
      </c>
      <c r="D60" t="s">
        <v>658</v>
      </c>
      <c r="E60" t="s">
        <v>658</v>
      </c>
      <c r="F60" t="s">
        <v>658</v>
      </c>
      <c r="G60" t="s">
        <v>658</v>
      </c>
      <c r="H60" t="s">
        <v>658</v>
      </c>
      <c r="I60" t="s">
        <v>658</v>
      </c>
      <c r="J60" t="s">
        <v>658</v>
      </c>
      <c r="K60" t="s">
        <v>658</v>
      </c>
      <c r="L60" t="s">
        <v>658</v>
      </c>
      <c r="M60" t="s">
        <v>658</v>
      </c>
      <c r="N60" t="s">
        <v>658</v>
      </c>
      <c r="O60" t="s">
        <v>658</v>
      </c>
      <c r="P60" t="s">
        <v>658</v>
      </c>
      <c r="Q60" t="s">
        <v>658</v>
      </c>
      <c r="R60" t="s">
        <v>658</v>
      </c>
      <c r="S60" t="s">
        <v>884</v>
      </c>
      <c r="U60" t="s">
        <v>446</v>
      </c>
      <c r="W60" t="s">
        <v>285</v>
      </c>
      <c r="X60" t="s">
        <v>285</v>
      </c>
      <c r="Y60" t="s">
        <v>285</v>
      </c>
      <c r="Z60" t="s">
        <v>285</v>
      </c>
      <c r="AA60" t="s">
        <v>409</v>
      </c>
      <c r="AO60" t="s">
        <v>117</v>
      </c>
      <c r="AP60" t="s">
        <v>113</v>
      </c>
      <c r="AQ60" t="s">
        <v>24</v>
      </c>
      <c r="AR60" t="s">
        <v>325</v>
      </c>
      <c r="AS60" t="s">
        <v>108</v>
      </c>
      <c r="AV60" t="s">
        <v>22</v>
      </c>
      <c r="AW60" t="s">
        <v>732</v>
      </c>
      <c r="AY60" t="s">
        <v>822</v>
      </c>
      <c r="AZ60" t="s">
        <v>822</v>
      </c>
      <c r="BA60" t="s">
        <v>822</v>
      </c>
      <c r="BD60" t="s">
        <v>260</v>
      </c>
      <c r="BG60" t="s">
        <v>927</v>
      </c>
      <c r="BI60" t="s">
        <v>674</v>
      </c>
      <c r="BJ60" t="s">
        <v>674</v>
      </c>
      <c r="BM60" t="s">
        <v>729</v>
      </c>
      <c r="BN60" t="s">
        <v>404</v>
      </c>
      <c r="BO60" t="s">
        <v>404</v>
      </c>
      <c r="BP60" t="s">
        <v>887</v>
      </c>
      <c r="BQ60" t="s">
        <v>887</v>
      </c>
      <c r="BR60" t="s">
        <v>407</v>
      </c>
      <c r="BS60" t="s">
        <v>725</v>
      </c>
      <c r="BT60" t="s">
        <v>740</v>
      </c>
      <c r="BU60" t="s">
        <v>740</v>
      </c>
      <c r="BV60" t="s">
        <v>740</v>
      </c>
      <c r="BW60" t="s">
        <v>765</v>
      </c>
      <c r="BY60" t="s">
        <v>84</v>
      </c>
      <c r="BZ60" t="s">
        <v>84</v>
      </c>
      <c r="CA60" t="s">
        <v>84</v>
      </c>
      <c r="CB60" t="s">
        <v>986</v>
      </c>
      <c r="CC60" t="s">
        <v>862</v>
      </c>
      <c r="CD60" t="s">
        <v>21</v>
      </c>
      <c r="CG60" t="s">
        <v>129</v>
      </c>
      <c r="CH60" t="s">
        <v>44</v>
      </c>
      <c r="CI60" t="s">
        <v>44</v>
      </c>
      <c r="CJ60" t="s">
        <v>814</v>
      </c>
      <c r="CK60" t="s">
        <v>790</v>
      </c>
      <c r="CL60" t="s">
        <v>816</v>
      </c>
      <c r="CM60" t="s">
        <v>733</v>
      </c>
      <c r="CN60" t="s">
        <v>733</v>
      </c>
      <c r="CO60" t="s">
        <v>733</v>
      </c>
      <c r="CP60" t="s">
        <v>733</v>
      </c>
      <c r="CQ60" t="s">
        <v>733</v>
      </c>
      <c r="CR60" t="s">
        <v>733</v>
      </c>
      <c r="CS60" t="s">
        <v>366</v>
      </c>
      <c r="CT60" t="s">
        <v>473</v>
      </c>
      <c r="CU60" t="s">
        <v>99</v>
      </c>
      <c r="CV60" t="s">
        <v>99</v>
      </c>
      <c r="CX60" t="s">
        <v>454</v>
      </c>
      <c r="DA60" t="s">
        <v>534</v>
      </c>
      <c r="DB60" t="s">
        <v>368</v>
      </c>
      <c r="DC60" t="s">
        <v>368</v>
      </c>
      <c r="DD60" t="s">
        <v>737</v>
      </c>
      <c r="DE60" t="s">
        <v>223</v>
      </c>
      <c r="DH60" t="s">
        <v>927</v>
      </c>
      <c r="DI60" t="s">
        <v>927</v>
      </c>
      <c r="DL60" t="s">
        <v>674</v>
      </c>
      <c r="DM60" t="s">
        <v>674</v>
      </c>
      <c r="DN60" t="s">
        <v>674</v>
      </c>
      <c r="DO60" t="s">
        <v>674</v>
      </c>
      <c r="DV60" t="s">
        <v>709</v>
      </c>
      <c r="EF60" t="s">
        <v>449</v>
      </c>
      <c r="EM60" t="s">
        <v>823</v>
      </c>
      <c r="EN60" t="s">
        <v>823</v>
      </c>
      <c r="EO60" t="s">
        <v>823</v>
      </c>
      <c r="EP60" t="s">
        <v>874</v>
      </c>
      <c r="EQ60" t="s">
        <v>874</v>
      </c>
      <c r="ER60" t="s">
        <v>874</v>
      </c>
      <c r="ES60" t="s">
        <v>874</v>
      </c>
      <c r="ET60" t="s">
        <v>874</v>
      </c>
      <c r="EU60" t="s">
        <v>874</v>
      </c>
      <c r="EV60" t="s">
        <v>874</v>
      </c>
      <c r="EW60" t="s">
        <v>874</v>
      </c>
      <c r="EX60" t="s">
        <v>874</v>
      </c>
      <c r="EY60" t="s">
        <v>874</v>
      </c>
      <c r="EZ60" t="s">
        <v>874</v>
      </c>
      <c r="FA60" t="s">
        <v>874</v>
      </c>
      <c r="FB60" t="s">
        <v>874</v>
      </c>
      <c r="FC60" t="s">
        <v>874</v>
      </c>
      <c r="FD60" t="s">
        <v>874</v>
      </c>
      <c r="FE60" t="s">
        <v>670</v>
      </c>
      <c r="FM60" t="str">
        <f t="shared" si="0"/>
        <v xml:space="preserve">    &lt;route id="Router3_59" edges="196393940#0 62203285#0 62203285#2 62203285#3 62203285#5 62203285#6 62203285#7 62203286#0 62203286#2 59676508#0 -59676508#0 -62203286#2 -62203286#0 62203285#8 62203285#9 62203285#10 62203285#11 62203285#13 62203285#14.0 62203285#14.24 gneE59.30.0.55 gneE59.30.0.0 gneE59.0.0 gneE59.0.12 62203360#0 12159135 12149408#0 49914077 424767578 43569819 387422128#1 43569827#0 43569827#1 43569827#2 43569827#7 43569848 30953391 424769002 424769005 424769006 424769004 30953396#1 -424769003#1 -424769003#0 -485017374 42706828#0 42706828#2 12182281#0 12182281#3 12182281#5 12182281#6 386995507#4 386995507#5 386995507#6 12152013#1 12152013#2 -12175537#6 -12175537#5 -12175537#4 12182281#9 12182281#10 -388756839#1 -388756839#0 -50033059#4 -50033059#3 -50033059#2 -50033059#1 42706833#0 42706833#2 12189876#0 12189876#2 484953508#1 60185970#0 60185970#2 12149571#1 12187610#3 50033558#2 -12188656 -121319046 -42706825#7 12199713#0 12199713#1 -386995514#6 -386995514#5 -386995514#4 -386995514#3 194358817#0 194358817#1 194358817#2 12114363#0 12114363#1 -50033059#4 12175537#0 12175537#2 12175537#3 12175537#4 12175537#5 12175537#6 12175537#7 12175537#8 12175537#9 12175537#10 12175537#11 12175537#12 12155177#1 12155177#2 387422153#1 gneE73 gneE75.0 gneE80.125"/&gt;</v>
      </c>
      <c r="FN60" t="s">
        <v>2516</v>
      </c>
      <c r="FO60" t="s">
        <v>1148</v>
      </c>
      <c r="FP60" t="s">
        <v>2577</v>
      </c>
    </row>
    <row r="61" spans="2:172" x14ac:dyDescent="0.25">
      <c r="B61" t="s">
        <v>73</v>
      </c>
      <c r="C61" t="s">
        <v>73</v>
      </c>
      <c r="D61" t="s">
        <v>73</v>
      </c>
      <c r="E61" t="s">
        <v>73</v>
      </c>
      <c r="F61" t="s">
        <v>73</v>
      </c>
      <c r="G61" t="s">
        <v>73</v>
      </c>
      <c r="H61" t="s">
        <v>73</v>
      </c>
      <c r="I61" t="s">
        <v>73</v>
      </c>
      <c r="J61" t="s">
        <v>73</v>
      </c>
      <c r="K61" t="s">
        <v>73</v>
      </c>
      <c r="L61" t="s">
        <v>73</v>
      </c>
      <c r="M61" t="s">
        <v>73</v>
      </c>
      <c r="N61" t="s">
        <v>73</v>
      </c>
      <c r="O61" t="s">
        <v>73</v>
      </c>
      <c r="P61" t="s">
        <v>73</v>
      </c>
      <c r="Q61" t="s">
        <v>73</v>
      </c>
      <c r="R61" t="s">
        <v>73</v>
      </c>
      <c r="S61" t="s">
        <v>885</v>
      </c>
      <c r="U61" t="s">
        <v>447</v>
      </c>
      <c r="W61" t="s">
        <v>286</v>
      </c>
      <c r="X61" t="s">
        <v>286</v>
      </c>
      <c r="Y61" t="s">
        <v>286</v>
      </c>
      <c r="Z61" t="s">
        <v>286</v>
      </c>
      <c r="AA61" t="s">
        <v>410</v>
      </c>
      <c r="AO61" t="s">
        <v>118</v>
      </c>
      <c r="AP61" t="s">
        <v>114</v>
      </c>
      <c r="AQ61" t="s">
        <v>25</v>
      </c>
      <c r="AR61" t="s">
        <v>326</v>
      </c>
      <c r="AS61" t="s">
        <v>109</v>
      </c>
      <c r="AV61" t="s">
        <v>23</v>
      </c>
      <c r="AW61" t="s">
        <v>733</v>
      </c>
      <c r="AY61" t="s">
        <v>823</v>
      </c>
      <c r="AZ61" t="s">
        <v>823</v>
      </c>
      <c r="BA61" t="s">
        <v>823</v>
      </c>
      <c r="BD61" t="s">
        <v>108</v>
      </c>
      <c r="BG61" t="s">
        <v>928</v>
      </c>
      <c r="BI61" t="s">
        <v>675</v>
      </c>
      <c r="BJ61" t="s">
        <v>675</v>
      </c>
      <c r="BM61" t="s">
        <v>494</v>
      </c>
      <c r="BN61" t="s">
        <v>979</v>
      </c>
      <c r="BO61" t="s">
        <v>979</v>
      </c>
      <c r="BP61" t="s">
        <v>888</v>
      </c>
      <c r="BQ61" t="s">
        <v>888</v>
      </c>
      <c r="BR61" t="s">
        <v>43</v>
      </c>
      <c r="BS61" t="s">
        <v>726</v>
      </c>
      <c r="BT61" t="s">
        <v>741</v>
      </c>
      <c r="BU61" t="s">
        <v>741</v>
      </c>
      <c r="BV61" t="s">
        <v>741</v>
      </c>
      <c r="BW61" t="s">
        <v>766</v>
      </c>
      <c r="BY61" t="s">
        <v>103</v>
      </c>
      <c r="BZ61" t="s">
        <v>103</v>
      </c>
      <c r="CA61" t="s">
        <v>103</v>
      </c>
      <c r="CB61" t="s">
        <v>68</v>
      </c>
      <c r="CC61" t="s">
        <v>593</v>
      </c>
      <c r="CD61" t="s">
        <v>22</v>
      </c>
      <c r="CG61" t="s">
        <v>130</v>
      </c>
      <c r="CH61" t="s">
        <v>45</v>
      </c>
      <c r="CI61" t="s">
        <v>45</v>
      </c>
      <c r="CJ61" t="s">
        <v>794</v>
      </c>
      <c r="CK61" t="s">
        <v>791</v>
      </c>
      <c r="CL61" t="s">
        <v>1054</v>
      </c>
      <c r="CM61" t="s">
        <v>734</v>
      </c>
      <c r="CN61" t="s">
        <v>734</v>
      </c>
      <c r="CO61" t="s">
        <v>734</v>
      </c>
      <c r="CP61" t="s">
        <v>734</v>
      </c>
      <c r="CQ61" t="s">
        <v>734</v>
      </c>
      <c r="CR61" t="s">
        <v>734</v>
      </c>
      <c r="CS61" t="s">
        <v>268</v>
      </c>
      <c r="CT61" t="s">
        <v>474</v>
      </c>
      <c r="CU61" t="s">
        <v>510</v>
      </c>
      <c r="CV61" t="s">
        <v>100</v>
      </c>
      <c r="CX61" t="s">
        <v>610</v>
      </c>
      <c r="DB61" t="s">
        <v>369</v>
      </c>
      <c r="DC61" t="s">
        <v>369</v>
      </c>
      <c r="DD61" t="s">
        <v>677</v>
      </c>
      <c r="DE61" t="s">
        <v>224</v>
      </c>
      <c r="DH61" t="s">
        <v>928</v>
      </c>
      <c r="DI61" t="s">
        <v>928</v>
      </c>
      <c r="DL61" t="s">
        <v>675</v>
      </c>
      <c r="DM61" t="s">
        <v>675</v>
      </c>
      <c r="DN61" t="s">
        <v>675</v>
      </c>
      <c r="DO61" t="s">
        <v>675</v>
      </c>
      <c r="DV61" t="s">
        <v>710</v>
      </c>
      <c r="EF61" t="s">
        <v>450</v>
      </c>
      <c r="EM61" t="s">
        <v>817</v>
      </c>
      <c r="EN61" t="s">
        <v>817</v>
      </c>
      <c r="EO61" t="s">
        <v>817</v>
      </c>
      <c r="EP61" t="s">
        <v>909</v>
      </c>
      <c r="EQ61" t="s">
        <v>909</v>
      </c>
      <c r="ER61" t="s">
        <v>909</v>
      </c>
      <c r="ES61" t="s">
        <v>909</v>
      </c>
      <c r="ET61" t="s">
        <v>909</v>
      </c>
      <c r="EU61" t="s">
        <v>909</v>
      </c>
      <c r="EV61" t="s">
        <v>909</v>
      </c>
      <c r="EW61" t="s">
        <v>909</v>
      </c>
      <c r="EX61" t="s">
        <v>909</v>
      </c>
      <c r="EY61" t="s">
        <v>909</v>
      </c>
      <c r="EZ61" t="s">
        <v>909</v>
      </c>
      <c r="FA61" t="s">
        <v>909</v>
      </c>
      <c r="FB61" t="s">
        <v>909</v>
      </c>
      <c r="FC61" t="s">
        <v>909</v>
      </c>
      <c r="FD61" t="s">
        <v>909</v>
      </c>
      <c r="FE61" t="s">
        <v>671</v>
      </c>
      <c r="FM61" t="str">
        <f t="shared" si="0"/>
        <v xml:space="preserve">    &lt;route id="Router3_60" edges="196393940#0 62203285#0 62203285#2 62203285#3 62203285#5 62203285#6 62203285#7 62203286#0 62203286#2 59676508#0 -59676508#0 -62203286#2 -62203286#0 62203285#8 62203285#9 62203285#10 62203285#11 62203285#13 62203285#14.0 62203285#14.24 gneE59.30.0.55 gneE59.30.0.0 gneE59.0.0 gneE59.0.12 62203360#0 12159135 291433360#0 388756841#0 49914076#0 12111949#0 43539384#1.0 424764853 43539372 12167183.0 gneE82 gneE56 gneE54.0 gneE62.13 gneE81.0 gneE6.0 424765883 43539378#0.15 43539378#1 43569848 30953391 12113092 51758697#1-AddedOnRampEdge 51758697#1"/&gt;</v>
      </c>
      <c r="FN61" t="s">
        <v>2516</v>
      </c>
      <c r="FO61" t="s">
        <v>1149</v>
      </c>
      <c r="FP61" t="s">
        <v>2578</v>
      </c>
    </row>
    <row r="62" spans="2:172" x14ac:dyDescent="0.25">
      <c r="B62" t="s">
        <v>74</v>
      </c>
      <c r="C62" t="s">
        <v>74</v>
      </c>
      <c r="D62" t="s">
        <v>74</v>
      </c>
      <c r="E62" t="s">
        <v>74</v>
      </c>
      <c r="F62" t="s">
        <v>74</v>
      </c>
      <c r="G62" t="s">
        <v>74</v>
      </c>
      <c r="H62" t="s">
        <v>74</v>
      </c>
      <c r="I62" t="s">
        <v>74</v>
      </c>
      <c r="J62" t="s">
        <v>74</v>
      </c>
      <c r="K62" t="s">
        <v>74</v>
      </c>
      <c r="L62" t="s">
        <v>74</v>
      </c>
      <c r="M62" t="s">
        <v>74</v>
      </c>
      <c r="N62" t="s">
        <v>74</v>
      </c>
      <c r="O62" t="s">
        <v>74</v>
      </c>
      <c r="P62" t="s">
        <v>74</v>
      </c>
      <c r="Q62" t="s">
        <v>74</v>
      </c>
      <c r="R62" t="s">
        <v>74</v>
      </c>
      <c r="S62" t="s">
        <v>886</v>
      </c>
      <c r="U62" t="s">
        <v>448</v>
      </c>
      <c r="W62" t="s">
        <v>287</v>
      </c>
      <c r="X62" t="s">
        <v>287</v>
      </c>
      <c r="Y62" t="s">
        <v>287</v>
      </c>
      <c r="Z62" t="s">
        <v>287</v>
      </c>
      <c r="AA62" t="s">
        <v>161</v>
      </c>
      <c r="AO62" t="s">
        <v>119</v>
      </c>
      <c r="AP62" t="s">
        <v>115</v>
      </c>
      <c r="AQ62" t="s">
        <v>26</v>
      </c>
      <c r="AR62" t="s">
        <v>327</v>
      </c>
      <c r="AS62" t="s">
        <v>110</v>
      </c>
      <c r="AV62" t="s">
        <v>24</v>
      </c>
      <c r="AW62" t="s">
        <v>734</v>
      </c>
      <c r="AY62" t="s">
        <v>817</v>
      </c>
      <c r="AZ62" t="s">
        <v>817</v>
      </c>
      <c r="BA62" t="s">
        <v>817</v>
      </c>
      <c r="BD62" t="s">
        <v>109</v>
      </c>
      <c r="BG62" t="s">
        <v>929</v>
      </c>
      <c r="BI62" t="s">
        <v>1055</v>
      </c>
      <c r="BJ62" t="s">
        <v>1055</v>
      </c>
      <c r="BM62" t="s">
        <v>495</v>
      </c>
      <c r="BN62" t="s">
        <v>980</v>
      </c>
      <c r="BO62" t="s">
        <v>980</v>
      </c>
      <c r="BP62" t="s">
        <v>37</v>
      </c>
      <c r="BQ62" t="s">
        <v>37</v>
      </c>
      <c r="BR62" t="s">
        <v>44</v>
      </c>
      <c r="BS62" t="s">
        <v>727</v>
      </c>
      <c r="BT62" t="s">
        <v>742</v>
      </c>
      <c r="BU62" t="s">
        <v>742</v>
      </c>
      <c r="BV62" t="s">
        <v>742</v>
      </c>
      <c r="BW62" t="s">
        <v>767</v>
      </c>
      <c r="BY62" t="s">
        <v>104</v>
      </c>
      <c r="BZ62" t="s">
        <v>104</v>
      </c>
      <c r="CA62" t="s">
        <v>104</v>
      </c>
      <c r="CB62" t="s">
        <v>987</v>
      </c>
      <c r="CC62" t="s">
        <v>747</v>
      </c>
      <c r="CD62" t="s">
        <v>23</v>
      </c>
      <c r="CG62" t="s">
        <v>131</v>
      </c>
      <c r="CH62" t="s">
        <v>489</v>
      </c>
      <c r="CJ62" t="s">
        <v>795</v>
      </c>
      <c r="CK62" t="s">
        <v>792</v>
      </c>
      <c r="CL62" t="s">
        <v>898</v>
      </c>
      <c r="CM62" t="s">
        <v>735</v>
      </c>
      <c r="CN62" t="s">
        <v>735</v>
      </c>
      <c r="CO62" t="s">
        <v>735</v>
      </c>
      <c r="CP62" t="s">
        <v>735</v>
      </c>
      <c r="CQ62" t="s">
        <v>735</v>
      </c>
      <c r="CR62" t="s">
        <v>735</v>
      </c>
      <c r="CS62" t="s">
        <v>269</v>
      </c>
      <c r="CT62" t="s">
        <v>267</v>
      </c>
      <c r="CU62" t="s">
        <v>85</v>
      </c>
      <c r="CV62" t="s">
        <v>101</v>
      </c>
      <c r="CX62" t="s">
        <v>611</v>
      </c>
      <c r="DB62" t="s">
        <v>284</v>
      </c>
      <c r="DC62" t="s">
        <v>284</v>
      </c>
      <c r="DD62" t="s">
        <v>678</v>
      </c>
      <c r="DE62" t="s">
        <v>225</v>
      </c>
      <c r="DH62" t="s">
        <v>929</v>
      </c>
      <c r="DI62" t="s">
        <v>929</v>
      </c>
      <c r="DL62" t="s">
        <v>1055</v>
      </c>
      <c r="DM62" t="s">
        <v>1055</v>
      </c>
      <c r="DN62" t="s">
        <v>1055</v>
      </c>
      <c r="DO62" t="s">
        <v>1055</v>
      </c>
      <c r="DV62" t="s">
        <v>252</v>
      </c>
      <c r="EF62" t="s">
        <v>760</v>
      </c>
      <c r="EM62" t="s">
        <v>818</v>
      </c>
      <c r="EN62" t="s">
        <v>818</v>
      </c>
      <c r="EO62" t="s">
        <v>818</v>
      </c>
      <c r="EP62" t="s">
        <v>910</v>
      </c>
      <c r="EQ62" t="s">
        <v>910</v>
      </c>
      <c r="ER62" t="s">
        <v>910</v>
      </c>
      <c r="ES62" t="s">
        <v>910</v>
      </c>
      <c r="ET62" t="s">
        <v>910</v>
      </c>
      <c r="EU62" t="s">
        <v>910</v>
      </c>
      <c r="EV62" t="s">
        <v>910</v>
      </c>
      <c r="EW62" t="s">
        <v>910</v>
      </c>
      <c r="EX62" t="s">
        <v>910</v>
      </c>
      <c r="EY62" t="s">
        <v>910</v>
      </c>
      <c r="EZ62" t="s">
        <v>910</v>
      </c>
      <c r="FA62" t="s">
        <v>910</v>
      </c>
      <c r="FB62" t="s">
        <v>910</v>
      </c>
      <c r="FC62" t="s">
        <v>910</v>
      </c>
      <c r="FD62" t="s">
        <v>910</v>
      </c>
      <c r="FE62" t="s">
        <v>868</v>
      </c>
      <c r="FM62" t="str">
        <f t="shared" si="0"/>
        <v xml:space="preserve">    &lt;route id="Router3_61" edges="196393940#0 62203285#0 62203285#2 62203285#3 62203285#5 62203285#6 62203285#7 62203286#0 62203286#2 59676508#0 -59676508#0 -62203286#2 -62203286#0 62203285#8 62203285#9 62203285#10 62203285#11 62203285#13 62203285#14.0 62203285#14.24 gneE59.30.0.55 gneE59.30.0.0 gneE59.0.0 gneE59.0.12 62203360#0 291433361#0 132508433.0 -gneE6.0 gneE81.299.0 gneE81.299.79 gneE81.299.145 -gneE8 12154353#0 196393941#1 196393941#2 28533986 43539369#2 12178843#2 12178843#3 49960982#2 43569828#0 387422128#1 43569827#0 43569827#1 43569827#2 43569827#7 43569848 30953391 424769002 424769005 424769006 424769004 30953396#1 387422132#0 387422132#1 486653633#0 484953506#3 484953506#4 12157002#0 12157002#1 12157002#3 12157002#5 12114396#4 -12156992#10 -12156992#8 -12156992#7 -12156992#6 -12156992#5 -12156992#4 -12156992#3 -12156992#2 -12156992#1 -386547297#1 -424080772#2 -424080772#1 -262962065#1 -262962063 -424080764 -424080768#1 -424080766 -104526265#1 30953497#0 30953497#2 30953497#3 42706585#0 42706585#1 30953320 30953320-AddedOffRampEdge 104526277 30953215#1-AddedOnRampEdge 30953215#1 121643865#0 12110705 50715233#0 50715233#0-AddedOffRampEdge 50715233#1.0 62203285#14.24 gneE59.30.0.55 gneE59.30.0.0 43539373#0.0.292.17 gneE58 gneE56 gneE54.0 62203360#0 291433361#0 132508433.0 -gneE6.0 gneE6.0 424765883 43539378#0.15 132508717#5 196393974#0 49914077 424767578 387422130#1 132508717#0 12149210#1 12151897#1 196393941#6 196393941#7 196393941#8 gneE87 196393974#0 388756841#0 49914076#0 12159673#0 12159673#1 393884751 43569848 30953391 12113092 51758697#1-AddedOnRampEdge 51758697#1"/&gt;</v>
      </c>
      <c r="FN62" t="s">
        <v>2516</v>
      </c>
      <c r="FO62" t="s">
        <v>1150</v>
      </c>
      <c r="FP62" t="s">
        <v>2579</v>
      </c>
    </row>
    <row r="63" spans="2:172" x14ac:dyDescent="0.25">
      <c r="B63" t="s">
        <v>75</v>
      </c>
      <c r="C63" t="s">
        <v>75</v>
      </c>
      <c r="D63" t="s">
        <v>75</v>
      </c>
      <c r="E63" t="s">
        <v>75</v>
      </c>
      <c r="F63" t="s">
        <v>75</v>
      </c>
      <c r="G63" t="s">
        <v>75</v>
      </c>
      <c r="H63" t="s">
        <v>75</v>
      </c>
      <c r="I63" t="s">
        <v>75</v>
      </c>
      <c r="J63" t="s">
        <v>75</v>
      </c>
      <c r="K63" t="s">
        <v>75</v>
      </c>
      <c r="L63" t="s">
        <v>75</v>
      </c>
      <c r="M63" t="s">
        <v>75</v>
      </c>
      <c r="N63" t="s">
        <v>75</v>
      </c>
      <c r="O63" t="s">
        <v>75</v>
      </c>
      <c r="P63" t="s">
        <v>75</v>
      </c>
      <c r="Q63" t="s">
        <v>75</v>
      </c>
      <c r="R63" t="s">
        <v>75</v>
      </c>
      <c r="S63" t="s">
        <v>887</v>
      </c>
      <c r="U63" t="s">
        <v>569</v>
      </c>
      <c r="W63" t="s">
        <v>288</v>
      </c>
      <c r="X63" t="s">
        <v>288</v>
      </c>
      <c r="Y63" t="s">
        <v>288</v>
      </c>
      <c r="Z63" t="s">
        <v>288</v>
      </c>
      <c r="AO63" t="s">
        <v>178</v>
      </c>
      <c r="AP63" t="s">
        <v>116</v>
      </c>
      <c r="AQ63" t="s">
        <v>27</v>
      </c>
      <c r="AR63" t="s">
        <v>1026</v>
      </c>
      <c r="AS63" t="s">
        <v>111</v>
      </c>
      <c r="AV63" t="s">
        <v>25</v>
      </c>
      <c r="AW63" t="s">
        <v>735</v>
      </c>
      <c r="AY63" t="s">
        <v>818</v>
      </c>
      <c r="AZ63" t="s">
        <v>818</v>
      </c>
      <c r="BA63" t="s">
        <v>818</v>
      </c>
      <c r="BD63" t="s">
        <v>110</v>
      </c>
      <c r="BG63" t="s">
        <v>10</v>
      </c>
      <c r="BI63" t="s">
        <v>1056</v>
      </c>
      <c r="BJ63" t="s">
        <v>1056</v>
      </c>
      <c r="BM63" t="s">
        <v>730</v>
      </c>
      <c r="BN63" t="s">
        <v>981</v>
      </c>
      <c r="BO63" t="s">
        <v>981</v>
      </c>
      <c r="BP63" t="s">
        <v>889</v>
      </c>
      <c r="BQ63" t="s">
        <v>889</v>
      </c>
      <c r="BR63" t="s">
        <v>45</v>
      </c>
      <c r="BS63" t="s">
        <v>728</v>
      </c>
      <c r="BT63" t="s">
        <v>952</v>
      </c>
      <c r="BU63" t="s">
        <v>952</v>
      </c>
      <c r="BV63" t="s">
        <v>952</v>
      </c>
      <c r="BW63" t="s">
        <v>860</v>
      </c>
      <c r="BY63" t="s">
        <v>535</v>
      </c>
      <c r="BZ63" t="s">
        <v>535</v>
      </c>
      <c r="CA63" t="s">
        <v>535</v>
      </c>
      <c r="CB63" t="s">
        <v>615</v>
      </c>
      <c r="CC63" t="s">
        <v>748</v>
      </c>
      <c r="CD63" t="s">
        <v>24</v>
      </c>
      <c r="CG63" t="s">
        <v>132</v>
      </c>
      <c r="CH63" t="s">
        <v>120</v>
      </c>
      <c r="CJ63" t="s">
        <v>796</v>
      </c>
      <c r="CK63" t="s">
        <v>642</v>
      </c>
      <c r="CL63" t="s">
        <v>788</v>
      </c>
      <c r="CM63" t="s">
        <v>736</v>
      </c>
      <c r="CN63" t="s">
        <v>736</v>
      </c>
      <c r="CO63" t="s">
        <v>736</v>
      </c>
      <c r="CP63" t="s">
        <v>736</v>
      </c>
      <c r="CQ63" t="s">
        <v>736</v>
      </c>
      <c r="CR63" t="s">
        <v>736</v>
      </c>
      <c r="CS63" t="s">
        <v>270</v>
      </c>
      <c r="CT63" t="s">
        <v>268</v>
      </c>
      <c r="CU63" t="s">
        <v>86</v>
      </c>
      <c r="CV63" t="s">
        <v>102</v>
      </c>
      <c r="CX63" t="s">
        <v>612</v>
      </c>
      <c r="DB63" t="s">
        <v>285</v>
      </c>
      <c r="DC63" t="s">
        <v>285</v>
      </c>
      <c r="DD63" t="s">
        <v>21</v>
      </c>
      <c r="DE63" t="s">
        <v>226</v>
      </c>
      <c r="DH63" t="s">
        <v>10</v>
      </c>
      <c r="DI63" t="s">
        <v>10</v>
      </c>
      <c r="DL63" t="s">
        <v>1056</v>
      </c>
      <c r="DM63" t="s">
        <v>1056</v>
      </c>
      <c r="DN63" t="s">
        <v>1056</v>
      </c>
      <c r="DO63" t="s">
        <v>1056</v>
      </c>
      <c r="DV63" t="s">
        <v>253</v>
      </c>
      <c r="EF63" t="s">
        <v>240</v>
      </c>
      <c r="EM63" t="s">
        <v>764</v>
      </c>
      <c r="EN63" t="s">
        <v>764</v>
      </c>
      <c r="EO63" t="s">
        <v>764</v>
      </c>
      <c r="EP63" t="s">
        <v>911</v>
      </c>
      <c r="EQ63" t="s">
        <v>911</v>
      </c>
      <c r="ER63" t="s">
        <v>911</v>
      </c>
      <c r="ES63" t="s">
        <v>911</v>
      </c>
      <c r="ET63" t="s">
        <v>911</v>
      </c>
      <c r="EU63" t="s">
        <v>911</v>
      </c>
      <c r="EV63" t="s">
        <v>911</v>
      </c>
      <c r="EW63" t="s">
        <v>911</v>
      </c>
      <c r="EX63" t="s">
        <v>911</v>
      </c>
      <c r="EY63" t="s">
        <v>911</v>
      </c>
      <c r="EZ63" t="s">
        <v>911</v>
      </c>
      <c r="FA63" t="s">
        <v>911</v>
      </c>
      <c r="FB63" t="s">
        <v>911</v>
      </c>
      <c r="FC63" t="s">
        <v>911</v>
      </c>
      <c r="FD63" t="s">
        <v>911</v>
      </c>
      <c r="FE63" t="s">
        <v>869</v>
      </c>
      <c r="FM63" t="str">
        <f t="shared" si="0"/>
        <v xml:space="preserve">    &lt;route id="Router3_62" edges="196393940#0 62203285#0 62203285#2 62203285#3 62203285#5 62203285#6 62203285#7 62203286#0 62203286#2 59676508#0 -59676508#0 -62203286#2 -62203286#0 62203285#8 62203285#9 62203285#10 62203285#11 62203285#13 62203285#14.0 62203285#14.24 gneE59.30.0.55 gneE59.30.0.0 gneE59.0.0 gneE59.0.12 62203360#0 291433361#0 132508433.0 -gneE6.0 gneE81.299.0 gneE81.299.79 gneE81.299.145 -gneE8 12154353#0 196393941#1 196393941#2 28533986 43539369#2 12178843#2 12178843#3 49960982#2 43569828#0 387422128#1 43569827#0 43569827#1 43569827#2 43569827#7 43569848 30953391 424769002 424769005 424769006 424769004 30953396#1 387422132#0 387422132#1 486653633#0 484953506#3 484953506#4 12157002#0 12157002#1 12157002#3 12157002#5 12114396#4 -12156992#10 -12156992#8 -12156992#7 -12156992#6 -12156992#5 -12156992#4 -12156992#3 -12156992#2 -12156992#1 -386547297#1 -424080772#2 -424080772#1 -262962065#1 -262962063 -424080764 -424080768#1 -424080766 -104526265#1 30953497#0 30953497#2 35920555#0.0 35920555#0.75 62203066 43331031.0 43331031.436 42706585#0 42706585#1 30953320 30953320-AddedOffRampEdge 30953315 104526276-AddedOnRampEdge 104526276 51758697#0 51758697#1-AddedOnRampEdge 51758697#1"/&gt;</v>
      </c>
      <c r="FN63" t="s">
        <v>2516</v>
      </c>
      <c r="FO63" t="s">
        <v>1151</v>
      </c>
      <c r="FP63" t="s">
        <v>2580</v>
      </c>
    </row>
    <row r="64" spans="2:172" x14ac:dyDescent="0.25">
      <c r="B64" t="s">
        <v>388</v>
      </c>
      <c r="C64" t="s">
        <v>388</v>
      </c>
      <c r="D64" t="s">
        <v>388</v>
      </c>
      <c r="E64" t="s">
        <v>388</v>
      </c>
      <c r="F64" t="s">
        <v>388</v>
      </c>
      <c r="G64" t="s">
        <v>388</v>
      </c>
      <c r="H64" t="s">
        <v>388</v>
      </c>
      <c r="I64" t="s">
        <v>388</v>
      </c>
      <c r="J64" t="s">
        <v>388</v>
      </c>
      <c r="K64" t="s">
        <v>388</v>
      </c>
      <c r="L64" t="s">
        <v>388</v>
      </c>
      <c r="M64" t="s">
        <v>388</v>
      </c>
      <c r="N64" t="s">
        <v>388</v>
      </c>
      <c r="O64" t="s">
        <v>388</v>
      </c>
      <c r="P64" t="s">
        <v>388</v>
      </c>
      <c r="Q64" t="s">
        <v>388</v>
      </c>
      <c r="R64" t="s">
        <v>388</v>
      </c>
      <c r="S64" t="s">
        <v>888</v>
      </c>
      <c r="U64" t="s">
        <v>721</v>
      </c>
      <c r="W64" t="s">
        <v>289</v>
      </c>
      <c r="X64" t="s">
        <v>289</v>
      </c>
      <c r="Y64" t="s">
        <v>289</v>
      </c>
      <c r="Z64" t="s">
        <v>289</v>
      </c>
      <c r="AO64" t="s">
        <v>233</v>
      </c>
      <c r="AP64" t="s">
        <v>117</v>
      </c>
      <c r="AQ64" t="s">
        <v>247</v>
      </c>
      <c r="AR64" t="s">
        <v>1027</v>
      </c>
      <c r="AS64" t="s">
        <v>112</v>
      </c>
      <c r="AV64" t="s">
        <v>26</v>
      </c>
      <c r="AW64" t="s">
        <v>736</v>
      </c>
      <c r="AY64" t="s">
        <v>764</v>
      </c>
      <c r="AZ64" t="s">
        <v>764</v>
      </c>
      <c r="BA64" t="s">
        <v>764</v>
      </c>
      <c r="BD64" t="s">
        <v>111</v>
      </c>
      <c r="BG64" t="s">
        <v>11</v>
      </c>
      <c r="BI64" t="s">
        <v>245</v>
      </c>
      <c r="BJ64" t="s">
        <v>245</v>
      </c>
      <c r="BM64" t="s">
        <v>394</v>
      </c>
      <c r="BN64" t="s">
        <v>884</v>
      </c>
      <c r="BO64" t="s">
        <v>884</v>
      </c>
      <c r="BP64" t="s">
        <v>770</v>
      </c>
      <c r="BQ64" t="s">
        <v>770</v>
      </c>
      <c r="BS64" t="s">
        <v>729</v>
      </c>
      <c r="BT64" t="s">
        <v>846</v>
      </c>
      <c r="BU64" t="s">
        <v>846</v>
      </c>
      <c r="BV64" t="s">
        <v>846</v>
      </c>
      <c r="BW64" t="s">
        <v>629</v>
      </c>
      <c r="BY64" t="s">
        <v>600</v>
      </c>
      <c r="BZ64" t="s">
        <v>600</v>
      </c>
      <c r="CA64" t="s">
        <v>600</v>
      </c>
      <c r="CB64" t="s">
        <v>616</v>
      </c>
      <c r="CC64" t="s">
        <v>749</v>
      </c>
      <c r="CD64" t="s">
        <v>25</v>
      </c>
      <c r="CG64" t="s">
        <v>133</v>
      </c>
      <c r="CH64" t="s">
        <v>121</v>
      </c>
      <c r="CJ64" t="s">
        <v>895</v>
      </c>
      <c r="CK64" t="s">
        <v>643</v>
      </c>
      <c r="CL64" t="s">
        <v>789</v>
      </c>
      <c r="CM64" t="s">
        <v>46</v>
      </c>
      <c r="CN64" t="s">
        <v>46</v>
      </c>
      <c r="CO64" t="s">
        <v>246</v>
      </c>
      <c r="CP64" t="s">
        <v>246</v>
      </c>
      <c r="CQ64" t="s">
        <v>246</v>
      </c>
      <c r="CR64" t="s">
        <v>246</v>
      </c>
      <c r="CS64" t="s">
        <v>271</v>
      </c>
      <c r="CT64" t="s">
        <v>269</v>
      </c>
      <c r="CU64" t="s">
        <v>364</v>
      </c>
      <c r="CV64" t="s">
        <v>538</v>
      </c>
      <c r="CX64" t="s">
        <v>385</v>
      </c>
      <c r="DB64" t="s">
        <v>286</v>
      </c>
      <c r="DC64" t="s">
        <v>286</v>
      </c>
      <c r="DD64" t="s">
        <v>864</v>
      </c>
      <c r="DE64" t="s">
        <v>187</v>
      </c>
      <c r="DH64" t="s">
        <v>11</v>
      </c>
      <c r="DI64" t="s">
        <v>11</v>
      </c>
      <c r="DL64" t="s">
        <v>245</v>
      </c>
      <c r="DM64" t="s">
        <v>245</v>
      </c>
      <c r="DN64" t="s">
        <v>245</v>
      </c>
      <c r="DO64" t="s">
        <v>245</v>
      </c>
      <c r="DV64" t="s">
        <v>254</v>
      </c>
      <c r="EF64" t="s">
        <v>241</v>
      </c>
      <c r="EM64" t="s">
        <v>392</v>
      </c>
      <c r="EN64" t="s">
        <v>392</v>
      </c>
      <c r="EO64" t="s">
        <v>392</v>
      </c>
      <c r="EP64" t="s">
        <v>912</v>
      </c>
      <c r="EQ64" t="s">
        <v>912</v>
      </c>
      <c r="ER64" t="s">
        <v>912</v>
      </c>
      <c r="ES64" t="s">
        <v>912</v>
      </c>
      <c r="ET64" t="s">
        <v>912</v>
      </c>
      <c r="EU64" t="s">
        <v>912</v>
      </c>
      <c r="EV64" t="s">
        <v>912</v>
      </c>
      <c r="EW64" t="s">
        <v>912</v>
      </c>
      <c r="EX64" t="s">
        <v>912</v>
      </c>
      <c r="EY64" t="s">
        <v>912</v>
      </c>
      <c r="EZ64" t="s">
        <v>912</v>
      </c>
      <c r="FA64" t="s">
        <v>912</v>
      </c>
      <c r="FB64" t="s">
        <v>912</v>
      </c>
      <c r="FC64" t="s">
        <v>912</v>
      </c>
      <c r="FD64" t="s">
        <v>912</v>
      </c>
      <c r="FE64" t="s">
        <v>870</v>
      </c>
      <c r="FM64" t="str">
        <f t="shared" si="0"/>
        <v xml:space="preserve">    &lt;route id="Router3_63" edges="196393940#0 62203285#0 62203285#2 62203285#3 62203285#5 62203285#6 62203285#7 62203286#0 62203286#2 59676508#0 -59676508#0 12186741#2 12186741#4 12186741#5 12142723#0 12142723#3 12142723#4 12142723#5 196207110#0 196207110#2"/&gt;</v>
      </c>
      <c r="FN64" t="s">
        <v>2516</v>
      </c>
      <c r="FO64" t="s">
        <v>1152</v>
      </c>
      <c r="FP64" t="s">
        <v>2581</v>
      </c>
    </row>
    <row r="65" spans="2:172" x14ac:dyDescent="0.25">
      <c r="B65" t="s">
        <v>389</v>
      </c>
      <c r="C65" t="s">
        <v>389</v>
      </c>
      <c r="D65" t="s">
        <v>389</v>
      </c>
      <c r="E65" t="s">
        <v>389</v>
      </c>
      <c r="F65" t="s">
        <v>389</v>
      </c>
      <c r="G65" t="s">
        <v>389</v>
      </c>
      <c r="H65" t="s">
        <v>389</v>
      </c>
      <c r="I65" t="s">
        <v>389</v>
      </c>
      <c r="J65" t="s">
        <v>389</v>
      </c>
      <c r="K65" t="s">
        <v>389</v>
      </c>
      <c r="L65" t="s">
        <v>389</v>
      </c>
      <c r="M65" t="s">
        <v>389</v>
      </c>
      <c r="N65" t="s">
        <v>389</v>
      </c>
      <c r="O65" t="s">
        <v>389</v>
      </c>
      <c r="P65" t="s">
        <v>389</v>
      </c>
      <c r="Q65" t="s">
        <v>389</v>
      </c>
      <c r="R65" t="s">
        <v>389</v>
      </c>
      <c r="S65" t="s">
        <v>37</v>
      </c>
      <c r="U65" t="s">
        <v>449</v>
      </c>
      <c r="W65" t="s">
        <v>290</v>
      </c>
      <c r="X65" t="s">
        <v>290</v>
      </c>
      <c r="Y65" t="s">
        <v>290</v>
      </c>
      <c r="Z65" t="s">
        <v>290</v>
      </c>
      <c r="AO65" t="s">
        <v>239</v>
      </c>
      <c r="AP65" t="s">
        <v>118</v>
      </c>
      <c r="AQ65" t="s">
        <v>248</v>
      </c>
      <c r="AR65" t="s">
        <v>1028</v>
      </c>
      <c r="AS65" t="s">
        <v>113</v>
      </c>
      <c r="AV65" t="s">
        <v>27</v>
      </c>
      <c r="AW65" t="s">
        <v>46</v>
      </c>
      <c r="AY65" t="s">
        <v>392</v>
      </c>
      <c r="AZ65" t="s">
        <v>392</v>
      </c>
      <c r="BA65" t="s">
        <v>392</v>
      </c>
      <c r="BD65" t="s">
        <v>112</v>
      </c>
      <c r="BG65" t="s">
        <v>68</v>
      </c>
      <c r="BI65" t="s">
        <v>821</v>
      </c>
      <c r="BJ65" t="s">
        <v>821</v>
      </c>
      <c r="BM65" t="s">
        <v>218</v>
      </c>
      <c r="BN65" t="s">
        <v>885</v>
      </c>
      <c r="BO65" t="s">
        <v>899</v>
      </c>
      <c r="BP65" t="s">
        <v>890</v>
      </c>
      <c r="BQ65" t="s">
        <v>890</v>
      </c>
      <c r="BS65" t="s">
        <v>222</v>
      </c>
      <c r="BT65" t="s">
        <v>882</v>
      </c>
      <c r="BU65" t="s">
        <v>882</v>
      </c>
      <c r="BV65" t="s">
        <v>882</v>
      </c>
      <c r="BW65" t="s">
        <v>863</v>
      </c>
      <c r="BY65" t="s">
        <v>601</v>
      </c>
      <c r="BZ65" t="s">
        <v>601</v>
      </c>
      <c r="CA65" t="s">
        <v>601</v>
      </c>
      <c r="CB65" t="s">
        <v>617</v>
      </c>
      <c r="CC65" t="s">
        <v>984</v>
      </c>
      <c r="CD65" t="s">
        <v>26</v>
      </c>
      <c r="CG65" t="s">
        <v>134</v>
      </c>
      <c r="CH65" t="s">
        <v>122</v>
      </c>
      <c r="CJ65" t="s">
        <v>896</v>
      </c>
      <c r="CK65" t="s">
        <v>799</v>
      </c>
      <c r="CL65" t="s">
        <v>790</v>
      </c>
      <c r="CM65" t="s">
        <v>47</v>
      </c>
      <c r="CN65" t="s">
        <v>47</v>
      </c>
      <c r="CO65" t="s">
        <v>737</v>
      </c>
      <c r="CP65" t="s">
        <v>737</v>
      </c>
      <c r="CQ65" t="s">
        <v>737</v>
      </c>
      <c r="CR65" t="s">
        <v>737</v>
      </c>
      <c r="CS65" t="s">
        <v>367</v>
      </c>
      <c r="CT65" t="s">
        <v>270</v>
      </c>
      <c r="CU65" t="s">
        <v>365</v>
      </c>
      <c r="CV65" t="s">
        <v>93</v>
      </c>
      <c r="CX65" t="s">
        <v>386</v>
      </c>
      <c r="DB65" t="s">
        <v>287</v>
      </c>
      <c r="DC65" t="s">
        <v>287</v>
      </c>
      <c r="DD65" t="s">
        <v>994</v>
      </c>
      <c r="DE65" t="s">
        <v>188</v>
      </c>
      <c r="DH65" t="s">
        <v>68</v>
      </c>
      <c r="DI65" t="s">
        <v>68</v>
      </c>
      <c r="DL65" t="s">
        <v>821</v>
      </c>
      <c r="DM65" t="s">
        <v>821</v>
      </c>
      <c r="DN65" t="s">
        <v>821</v>
      </c>
      <c r="DO65" t="s">
        <v>821</v>
      </c>
      <c r="DV65" t="s">
        <v>255</v>
      </c>
      <c r="EF65" t="s">
        <v>391</v>
      </c>
      <c r="EM65" t="s">
        <v>393</v>
      </c>
      <c r="EN65" t="s">
        <v>393</v>
      </c>
      <c r="EO65" t="s">
        <v>393</v>
      </c>
      <c r="EP65" t="s">
        <v>653</v>
      </c>
      <c r="EQ65" t="s">
        <v>653</v>
      </c>
      <c r="ER65" t="s">
        <v>653</v>
      </c>
      <c r="ES65" t="s">
        <v>653</v>
      </c>
      <c r="ET65" t="s">
        <v>653</v>
      </c>
      <c r="EU65" t="s">
        <v>653</v>
      </c>
      <c r="EV65" t="s">
        <v>653</v>
      </c>
      <c r="EW65" t="s">
        <v>653</v>
      </c>
      <c r="EX65" t="s">
        <v>653</v>
      </c>
      <c r="EY65" t="s">
        <v>653</v>
      </c>
      <c r="EZ65" t="s">
        <v>653</v>
      </c>
      <c r="FA65" t="s">
        <v>653</v>
      </c>
      <c r="FB65" t="s">
        <v>653</v>
      </c>
      <c r="FC65" t="s">
        <v>653</v>
      </c>
      <c r="FD65" t="s">
        <v>653</v>
      </c>
      <c r="FE65" t="s">
        <v>59</v>
      </c>
      <c r="FM65" t="str">
        <f t="shared" si="0"/>
        <v xml:space="preserve">    &lt;route id="Router3_64" edges="196393940#0 62203285#0 62203285#2 62203285#3 62203285#5 62203285#6 62203285#7 62203286#0 62203286#2 59676508#0 -59676508#0 12186741#2 12186741#4 12186741#5 12142723#0 50978397 32118649#0 32118649#1 -12187745 12142723#5 196207110#0 196207110#2"/&gt;</v>
      </c>
      <c r="FN65" t="s">
        <v>2516</v>
      </c>
      <c r="FO65" t="s">
        <v>1153</v>
      </c>
      <c r="FP65" t="s">
        <v>2582</v>
      </c>
    </row>
    <row r="66" spans="2:172" x14ac:dyDescent="0.25">
      <c r="B66" t="s">
        <v>390</v>
      </c>
      <c r="C66" t="s">
        <v>390</v>
      </c>
      <c r="D66" t="s">
        <v>390</v>
      </c>
      <c r="E66" t="s">
        <v>390</v>
      </c>
      <c r="F66" t="s">
        <v>390</v>
      </c>
      <c r="G66" t="s">
        <v>390</v>
      </c>
      <c r="H66" t="s">
        <v>390</v>
      </c>
      <c r="I66" t="s">
        <v>390</v>
      </c>
      <c r="J66" t="s">
        <v>390</v>
      </c>
      <c r="K66" t="s">
        <v>390</v>
      </c>
      <c r="L66" t="s">
        <v>390</v>
      </c>
      <c r="M66" t="s">
        <v>390</v>
      </c>
      <c r="N66" t="s">
        <v>390</v>
      </c>
      <c r="O66" t="s">
        <v>390</v>
      </c>
      <c r="P66" t="s">
        <v>390</v>
      </c>
      <c r="Q66" t="s">
        <v>390</v>
      </c>
      <c r="R66" t="s">
        <v>390</v>
      </c>
      <c r="S66" t="s">
        <v>38</v>
      </c>
      <c r="U66" t="s">
        <v>450</v>
      </c>
      <c r="W66" t="s">
        <v>291</v>
      </c>
      <c r="X66" t="s">
        <v>291</v>
      </c>
      <c r="Y66" t="s">
        <v>291</v>
      </c>
      <c r="Z66" t="s">
        <v>291</v>
      </c>
      <c r="AP66" t="s">
        <v>119</v>
      </c>
      <c r="AQ66" t="s">
        <v>249</v>
      </c>
      <c r="AR66" t="s">
        <v>1029</v>
      </c>
      <c r="AS66" t="s">
        <v>114</v>
      </c>
      <c r="AV66" t="s">
        <v>247</v>
      </c>
      <c r="AW66" t="s">
        <v>47</v>
      </c>
      <c r="AY66" t="s">
        <v>393</v>
      </c>
      <c r="AZ66" t="s">
        <v>393</v>
      </c>
      <c r="BA66" t="s">
        <v>393</v>
      </c>
      <c r="BD66" t="s">
        <v>113</v>
      </c>
      <c r="BG66" t="s">
        <v>69</v>
      </c>
      <c r="BI66" t="s">
        <v>822</v>
      </c>
      <c r="BJ66" t="s">
        <v>822</v>
      </c>
      <c r="BM66" t="s">
        <v>219</v>
      </c>
      <c r="BN66" t="s">
        <v>886</v>
      </c>
      <c r="BO66" t="s">
        <v>256</v>
      </c>
      <c r="BP66" t="s">
        <v>891</v>
      </c>
      <c r="BQ66" t="s">
        <v>891</v>
      </c>
      <c r="BS66" t="s">
        <v>223</v>
      </c>
      <c r="BT66" t="s">
        <v>598</v>
      </c>
      <c r="BU66" t="s">
        <v>598</v>
      </c>
      <c r="BV66" t="s">
        <v>598</v>
      </c>
      <c r="BW66" t="s">
        <v>659</v>
      </c>
      <c r="BY66" t="s">
        <v>263</v>
      </c>
      <c r="BZ66" t="s">
        <v>263</v>
      </c>
      <c r="CA66" t="s">
        <v>263</v>
      </c>
      <c r="CB66" t="s">
        <v>618</v>
      </c>
      <c r="CC66" t="s">
        <v>963</v>
      </c>
      <c r="CD66" t="s">
        <v>27</v>
      </c>
      <c r="CG66" t="s">
        <v>135</v>
      </c>
      <c r="CH66" t="s">
        <v>123</v>
      </c>
      <c r="CJ66" t="s">
        <v>897</v>
      </c>
      <c r="CK66" t="s">
        <v>800</v>
      </c>
      <c r="CL66" t="s">
        <v>791</v>
      </c>
      <c r="CM66" t="s">
        <v>48</v>
      </c>
      <c r="CN66" t="s">
        <v>48</v>
      </c>
      <c r="CO66" t="s">
        <v>738</v>
      </c>
      <c r="CP66" t="s">
        <v>677</v>
      </c>
      <c r="CQ66" t="s">
        <v>677</v>
      </c>
      <c r="CR66" t="s">
        <v>677</v>
      </c>
      <c r="CS66" t="s">
        <v>368</v>
      </c>
      <c r="CT66" t="s">
        <v>271</v>
      </c>
      <c r="CU66" t="s">
        <v>602</v>
      </c>
      <c r="CV66" t="s">
        <v>94</v>
      </c>
      <c r="CX66" t="s">
        <v>387</v>
      </c>
      <c r="DB66" t="s">
        <v>288</v>
      </c>
      <c r="DC66" t="s">
        <v>288</v>
      </c>
      <c r="DD66" t="s">
        <v>995</v>
      </c>
      <c r="DE66" t="s">
        <v>189</v>
      </c>
      <c r="DH66" t="s">
        <v>69</v>
      </c>
      <c r="DI66" t="s">
        <v>69</v>
      </c>
      <c r="DL66" t="s">
        <v>822</v>
      </c>
      <c r="DM66" t="s">
        <v>822</v>
      </c>
      <c r="DN66" t="s">
        <v>822</v>
      </c>
      <c r="DO66" t="s">
        <v>822</v>
      </c>
      <c r="DV66" t="s">
        <v>256</v>
      </c>
      <c r="EF66" t="s">
        <v>731</v>
      </c>
      <c r="EM66" t="s">
        <v>394</v>
      </c>
      <c r="EN66" t="s">
        <v>394</v>
      </c>
      <c r="EO66" t="s">
        <v>394</v>
      </c>
      <c r="EP66" t="s">
        <v>831</v>
      </c>
      <c r="EQ66" t="s">
        <v>831</v>
      </c>
      <c r="ER66" t="s">
        <v>831</v>
      </c>
      <c r="ES66" t="s">
        <v>831</v>
      </c>
      <c r="ET66" t="s">
        <v>831</v>
      </c>
      <c r="EU66" t="s">
        <v>831</v>
      </c>
      <c r="EV66" t="s">
        <v>831</v>
      </c>
      <c r="EW66" t="s">
        <v>831</v>
      </c>
      <c r="EX66" t="s">
        <v>831</v>
      </c>
      <c r="EY66" t="s">
        <v>831</v>
      </c>
      <c r="EZ66" t="s">
        <v>831</v>
      </c>
      <c r="FA66" t="s">
        <v>831</v>
      </c>
      <c r="FB66" t="s">
        <v>831</v>
      </c>
      <c r="FC66" t="s">
        <v>831</v>
      </c>
      <c r="FD66" t="s">
        <v>831</v>
      </c>
      <c r="FE66" t="s">
        <v>60</v>
      </c>
      <c r="FM66" t="str">
        <f t="shared" si="0"/>
        <v xml:space="preserve">    &lt;route id="Router3_65" edges="31909473.0 31909473.857 62634019#1-AddedOnRampEdge 62634019#1 30953036 424081476 -424987520 -30953029#1 -30953029#0 -424987519 12169718#0 12169718#1 424804090#0 424804090#1 424804090#2 424804090#3 424804090#4 132508920#2 132508920#3 132508920#4 132508920#5 424080762#0 424080762#1 424080762#2 424080762#3 424080762#4 424080762#5 179915585#2 12171853#2 12198567#4 12198567#5 12152219#0 12152219#1 12152236 132508920#12 132508897#0 132508897#1 132508897#2 132508897#3 394179820#0 394179820#1 394179820#2 394179820#3 394179820#4 196355327#1 196355327#2 196355327#5 196393940#1 196207112#0 32122059#1 424080774 262962068#0.0 104526265#0.14 424080766 424080768#0 104523976#1 262962063 12189051#0 -12189051#1 424080770#0 424080772#0 12119506#0 -12156992#1 -386547297#1 -424080772#2 -424080772#1 -424080761#1 -62623960 62623959#0 386547296#0 386547296#1 424080773#0 279870839#0 279870839#2 450844960#0 62623926#1 450844950#0 38502259#0.19 450844933#1 196207115#0 196207115#2 196207115#3 196355332#0 450844979#0.0 450844982#0.19 62203497#0 62203497#2 62203497#3 12134479#1 34685684#0 34685684#2 388533143#0 388533143#2 12140627#0 63060729#0 -264253834#2 12156992#4 12156992#5 12156992#6 12156992#7 12156992#8 12156992#9 -12114396#5 -12114396#3 -12114396#1 485017383#0 485017382#0 485017382#1 211575484#0 -12177521#3 -12177521#2 -12177521#1 32121111#12 32121111#14 -12187610#5 -12187610#2 -12187610#1 12150608#0 32121146#2 12117702#9 450844953#0 450844953#2 450844953#3 450844947#0 388533142#0 388533142#2 388533142#4 62623926#0 62623926#1 450844950#0 38502259#0.19 450844933#1 196207110#0 196355327#2 196355327#5 -196393940#0"/&gt;</v>
      </c>
      <c r="FN66" t="s">
        <v>2516</v>
      </c>
      <c r="FO66" t="s">
        <v>1154</v>
      </c>
      <c r="FP66" t="s">
        <v>2583</v>
      </c>
    </row>
    <row r="67" spans="2:172" x14ac:dyDescent="0.25">
      <c r="B67" t="s">
        <v>635</v>
      </c>
      <c r="C67" t="s">
        <v>635</v>
      </c>
      <c r="D67" t="s">
        <v>635</v>
      </c>
      <c r="E67" t="s">
        <v>635</v>
      </c>
      <c r="F67" t="s">
        <v>635</v>
      </c>
      <c r="G67" t="s">
        <v>635</v>
      </c>
      <c r="H67" t="s">
        <v>635</v>
      </c>
      <c r="I67" t="s">
        <v>635</v>
      </c>
      <c r="J67" t="s">
        <v>635</v>
      </c>
      <c r="K67" t="s">
        <v>635</v>
      </c>
      <c r="L67" t="s">
        <v>635</v>
      </c>
      <c r="M67" t="s">
        <v>635</v>
      </c>
      <c r="N67" t="s">
        <v>635</v>
      </c>
      <c r="O67" t="s">
        <v>635</v>
      </c>
      <c r="P67" t="s">
        <v>635</v>
      </c>
      <c r="Q67" t="s">
        <v>635</v>
      </c>
      <c r="R67" t="s">
        <v>635</v>
      </c>
      <c r="S67" t="s">
        <v>39</v>
      </c>
      <c r="U67" t="s">
        <v>760</v>
      </c>
      <c r="W67" t="s">
        <v>292</v>
      </c>
      <c r="X67" t="s">
        <v>292</v>
      </c>
      <c r="Y67" t="s">
        <v>292</v>
      </c>
      <c r="Z67" t="s">
        <v>292</v>
      </c>
      <c r="AP67" t="s">
        <v>178</v>
      </c>
      <c r="AQ67" t="s">
        <v>250</v>
      </c>
      <c r="AR67" t="s">
        <v>713</v>
      </c>
      <c r="AS67" t="s">
        <v>115</v>
      </c>
      <c r="AV67" t="s">
        <v>248</v>
      </c>
      <c r="AW67" t="s">
        <v>48</v>
      </c>
      <c r="AY67" t="s">
        <v>394</v>
      </c>
      <c r="AZ67" t="s">
        <v>394</v>
      </c>
      <c r="BA67" t="s">
        <v>394</v>
      </c>
      <c r="BD67" t="s">
        <v>114</v>
      </c>
      <c r="BG67" t="s">
        <v>70</v>
      </c>
      <c r="BI67" t="s">
        <v>823</v>
      </c>
      <c r="BJ67" t="s">
        <v>823</v>
      </c>
      <c r="BM67" t="s">
        <v>220</v>
      </c>
      <c r="BN67" t="s">
        <v>887</v>
      </c>
      <c r="BO67" t="s">
        <v>257</v>
      </c>
      <c r="BP67" t="s">
        <v>892</v>
      </c>
      <c r="BQ67" t="s">
        <v>892</v>
      </c>
      <c r="BS67" t="s">
        <v>224</v>
      </c>
      <c r="BT67" t="s">
        <v>73</v>
      </c>
      <c r="BU67" t="s">
        <v>73</v>
      </c>
      <c r="BV67" t="s">
        <v>73</v>
      </c>
      <c r="BW67" t="s">
        <v>938</v>
      </c>
      <c r="BY67" t="s">
        <v>264</v>
      </c>
      <c r="BZ67" t="s">
        <v>264</v>
      </c>
      <c r="CA67" t="s">
        <v>264</v>
      </c>
      <c r="CB67" t="s">
        <v>619</v>
      </c>
      <c r="CC67" t="s">
        <v>964</v>
      </c>
      <c r="CD67" t="s">
        <v>247</v>
      </c>
      <c r="CG67" t="s">
        <v>136</v>
      </c>
      <c r="CH67" t="s">
        <v>124</v>
      </c>
      <c r="CJ67" t="s">
        <v>898</v>
      </c>
      <c r="CK67" t="s">
        <v>801</v>
      </c>
      <c r="CL67" t="s">
        <v>792</v>
      </c>
      <c r="CM67" t="s">
        <v>49</v>
      </c>
      <c r="CN67" t="s">
        <v>49</v>
      </c>
      <c r="CO67" t="s">
        <v>739</v>
      </c>
      <c r="CP67" t="s">
        <v>678</v>
      </c>
      <c r="CQ67" t="s">
        <v>678</v>
      </c>
      <c r="CR67" t="s">
        <v>678</v>
      </c>
      <c r="CS67" t="s">
        <v>369</v>
      </c>
      <c r="CT67" t="s">
        <v>367</v>
      </c>
      <c r="CU67" t="s">
        <v>603</v>
      </c>
      <c r="CV67" t="s">
        <v>753</v>
      </c>
      <c r="CX67" t="s">
        <v>388</v>
      </c>
      <c r="DB67" t="s">
        <v>289</v>
      </c>
      <c r="DC67" t="s">
        <v>289</v>
      </c>
      <c r="DD67" t="s">
        <v>674</v>
      </c>
      <c r="DE67" t="s">
        <v>190</v>
      </c>
      <c r="DH67" t="s">
        <v>70</v>
      </c>
      <c r="DI67" t="s">
        <v>70</v>
      </c>
      <c r="DL67" t="s">
        <v>823</v>
      </c>
      <c r="DM67" t="s">
        <v>823</v>
      </c>
      <c r="DN67" t="s">
        <v>823</v>
      </c>
      <c r="DO67" t="s">
        <v>823</v>
      </c>
      <c r="DV67" t="s">
        <v>257</v>
      </c>
      <c r="EF67" t="s">
        <v>732</v>
      </c>
      <c r="EM67" t="s">
        <v>218</v>
      </c>
      <c r="EN67" t="s">
        <v>218</v>
      </c>
      <c r="EO67" t="s">
        <v>218</v>
      </c>
      <c r="EP67" t="s">
        <v>941</v>
      </c>
      <c r="EQ67" t="s">
        <v>941</v>
      </c>
      <c r="ER67" t="s">
        <v>941</v>
      </c>
      <c r="ES67" t="s">
        <v>941</v>
      </c>
      <c r="ET67" t="s">
        <v>941</v>
      </c>
      <c r="EU67" t="s">
        <v>941</v>
      </c>
      <c r="EV67" t="s">
        <v>941</v>
      </c>
      <c r="EW67" t="s">
        <v>941</v>
      </c>
      <c r="EX67" t="s">
        <v>941</v>
      </c>
      <c r="EY67" t="s">
        <v>941</v>
      </c>
      <c r="EZ67" t="s">
        <v>941</v>
      </c>
      <c r="FA67" t="s">
        <v>941</v>
      </c>
      <c r="FB67" t="s">
        <v>941</v>
      </c>
      <c r="FC67" t="s">
        <v>941</v>
      </c>
      <c r="FD67" t="s">
        <v>941</v>
      </c>
      <c r="FE67" t="s">
        <v>144</v>
      </c>
      <c r="FM67" t="str">
        <f t="shared" ref="FM67:FM130" si="1">_xlfn.CONCAT(FN67,FO67,CHAR(34),FP67)</f>
        <v xml:space="preserve">    &lt;route id="Router3_66" edges="31909473.0 31909473.857 62634019#1-AddedOnRampEdge 62634019#1 30953036 424081476 -424987520 -30953029#1 -30953029#0 -424987519 12169718#0 12169718#1 424804090#0 424804090#1 424804090#2 424804090#3 424804090#4 132508920#2 132508920#3 132508920#4 132508920#5 424080762#0 424080762#1 424080762#2 424080762#3 424080762#4 424080762#5 179915585#2 12171853#2 12198567#4 12198567#5 12152219#0 12152219#1 12152236 132508920#12 132508897#0 132508897#1 132508897#2 132508897#3 394179820#0 394179820#1 394179820#2 394179820#3 394179820#4 196355327#1 196355327#2 196355327#5 196393940#1 196207112#0 32122059#1 424080774 262962068#0.0 30953497#0 30953497#2 30953497#3 42706585#0 42706585#1 30953320 30953320-AddedOffRampEdge 104526277 30953215#1-AddedOnRampEdge 30953215#1 121643865#0 12110705 50715233#0 50715233#0-AddedOffRampEdge 50715233#1.0 62203285#14.24 gneE59.30.0.55 gneE59.30.0.0 43539373#0.0.292.17 gneE58 gneE56 gneE54.0 62203360#0 291433361#0 132508433.0 -gneE6.0 gneE6.0 424765883 43570920#0.22 132508717#4 43539378#1 43569848 30953391 12113092 51758697#1-AddedOnRampEdge 51758697#1"/&gt;</v>
      </c>
      <c r="FN67" t="s">
        <v>2516</v>
      </c>
      <c r="FO67" t="s">
        <v>1155</v>
      </c>
      <c r="FP67" t="s">
        <v>2584</v>
      </c>
    </row>
    <row r="68" spans="2:172" x14ac:dyDescent="0.25">
      <c r="B68" t="s">
        <v>458</v>
      </c>
      <c r="C68" t="s">
        <v>458</v>
      </c>
      <c r="D68" t="s">
        <v>458</v>
      </c>
      <c r="E68" t="s">
        <v>458</v>
      </c>
      <c r="F68" t="s">
        <v>458</v>
      </c>
      <c r="G68" t="s">
        <v>458</v>
      </c>
      <c r="H68" t="s">
        <v>458</v>
      </c>
      <c r="I68" t="s">
        <v>458</v>
      </c>
      <c r="J68" t="s">
        <v>458</v>
      </c>
      <c r="K68" t="s">
        <v>458</v>
      </c>
      <c r="L68" t="s">
        <v>458</v>
      </c>
      <c r="M68" t="s">
        <v>458</v>
      </c>
      <c r="N68" t="s">
        <v>458</v>
      </c>
      <c r="O68" t="s">
        <v>458</v>
      </c>
      <c r="P68" t="s">
        <v>458</v>
      </c>
      <c r="Q68" t="s">
        <v>458</v>
      </c>
      <c r="R68" t="s">
        <v>458</v>
      </c>
      <c r="S68" t="s">
        <v>40</v>
      </c>
      <c r="U68" t="s">
        <v>240</v>
      </c>
      <c r="W68" t="s">
        <v>293</v>
      </c>
      <c r="X68" t="s">
        <v>293</v>
      </c>
      <c r="Y68" t="s">
        <v>293</v>
      </c>
      <c r="Z68" t="s">
        <v>293</v>
      </c>
      <c r="AP68" t="s">
        <v>233</v>
      </c>
      <c r="AQ68" t="s">
        <v>709</v>
      </c>
      <c r="AR68" t="s">
        <v>714</v>
      </c>
      <c r="AS68" t="s">
        <v>116</v>
      </c>
      <c r="AV68" t="s">
        <v>249</v>
      </c>
      <c r="AW68" t="s">
        <v>49</v>
      </c>
      <c r="AY68" t="s">
        <v>218</v>
      </c>
      <c r="AZ68" t="s">
        <v>218</v>
      </c>
      <c r="BA68" t="s">
        <v>218</v>
      </c>
      <c r="BD68" t="s">
        <v>115</v>
      </c>
      <c r="BG68" t="s">
        <v>71</v>
      </c>
      <c r="BI68" t="s">
        <v>817</v>
      </c>
      <c r="BJ68" t="s">
        <v>817</v>
      </c>
      <c r="BM68" t="s">
        <v>395</v>
      </c>
      <c r="BN68" t="s">
        <v>888</v>
      </c>
      <c r="BO68" t="s">
        <v>258</v>
      </c>
      <c r="BP68" t="s">
        <v>893</v>
      </c>
      <c r="BQ68" t="s">
        <v>893</v>
      </c>
      <c r="BS68" t="s">
        <v>225</v>
      </c>
      <c r="BT68" t="s">
        <v>74</v>
      </c>
      <c r="BU68" t="s">
        <v>74</v>
      </c>
      <c r="BV68" t="s">
        <v>74</v>
      </c>
      <c r="BW68" t="s">
        <v>609</v>
      </c>
      <c r="BY68" t="s">
        <v>265</v>
      </c>
      <c r="BZ68" t="s">
        <v>265</v>
      </c>
      <c r="CA68" t="s">
        <v>265</v>
      </c>
      <c r="CB68" t="s">
        <v>620</v>
      </c>
      <c r="CC68" t="s">
        <v>965</v>
      </c>
      <c r="CD68" t="s">
        <v>248</v>
      </c>
      <c r="CG68" t="s">
        <v>137</v>
      </c>
      <c r="CH68" t="s">
        <v>125</v>
      </c>
      <c r="CJ68" t="s">
        <v>636</v>
      </c>
      <c r="CK68" t="s">
        <v>802</v>
      </c>
      <c r="CL68" t="s">
        <v>642</v>
      </c>
      <c r="CM68" t="s">
        <v>50</v>
      </c>
      <c r="CN68" t="s">
        <v>50</v>
      </c>
      <c r="CO68" t="s">
        <v>740</v>
      </c>
      <c r="CP68" t="s">
        <v>21</v>
      </c>
      <c r="CQ68" t="s">
        <v>21</v>
      </c>
      <c r="CR68" t="s">
        <v>21</v>
      </c>
      <c r="CS68" t="s">
        <v>284</v>
      </c>
      <c r="CT68" t="s">
        <v>368</v>
      </c>
      <c r="CU68" t="s">
        <v>604</v>
      </c>
      <c r="CV68" t="s">
        <v>754</v>
      </c>
      <c r="CX68" t="s">
        <v>819</v>
      </c>
      <c r="DB68" t="s">
        <v>290</v>
      </c>
      <c r="DC68" t="s">
        <v>290</v>
      </c>
      <c r="DD68" t="s">
        <v>675</v>
      </c>
      <c r="DE68" t="s">
        <v>191</v>
      </c>
      <c r="DH68" t="s">
        <v>71</v>
      </c>
      <c r="DI68" t="s">
        <v>71</v>
      </c>
      <c r="DL68" t="s">
        <v>817</v>
      </c>
      <c r="DM68" t="s">
        <v>817</v>
      </c>
      <c r="DN68" t="s">
        <v>817</v>
      </c>
      <c r="DO68" t="s">
        <v>817</v>
      </c>
      <c r="DV68" t="s">
        <v>258</v>
      </c>
      <c r="EF68" t="s">
        <v>733</v>
      </c>
      <c r="EM68" t="s">
        <v>219</v>
      </c>
      <c r="EN68" t="s">
        <v>219</v>
      </c>
      <c r="EO68" t="s">
        <v>219</v>
      </c>
      <c r="EP68" t="s">
        <v>942</v>
      </c>
      <c r="EQ68" t="s">
        <v>942</v>
      </c>
      <c r="ER68" t="s">
        <v>942</v>
      </c>
      <c r="ES68" t="s">
        <v>942</v>
      </c>
      <c r="ET68" t="s">
        <v>942</v>
      </c>
      <c r="EU68" t="s">
        <v>942</v>
      </c>
      <c r="EV68" t="s">
        <v>942</v>
      </c>
      <c r="EW68" t="s">
        <v>942</v>
      </c>
      <c r="EX68" t="s">
        <v>942</v>
      </c>
      <c r="EY68" t="s">
        <v>942</v>
      </c>
      <c r="EZ68" t="s">
        <v>942</v>
      </c>
      <c r="FA68" t="s">
        <v>942</v>
      </c>
      <c r="FB68" t="s">
        <v>942</v>
      </c>
      <c r="FC68" t="s">
        <v>942</v>
      </c>
      <c r="FD68" t="s">
        <v>942</v>
      </c>
      <c r="FE68" t="s">
        <v>145</v>
      </c>
      <c r="FM68" t="str">
        <f t="shared" si="1"/>
        <v xml:space="preserve">    &lt;route id="Router3_67" edges="31909473.0 31909473.857 62634019#1-AddedOnRampEdge 62634019#1 30953036 424081476 -424987520 -30953029#1 -30953029#0 -424987519 12169718#0 12169718#1 424804090#0 424804090#1 424804090#2 424804090#3 424804090#4 132508920#2 132508920#3 132508920#4 132508920#5 424080762#0 424080762#1 424080762#2 424080762#3 424080762#4 424080762#5 179915585#2 12171853#2 12198567#4 12198567#5 12152219#0 12152219#1 12152236 132508920#12 132508897#0 132508897#1 132508897#2 132508897#3 394179820#0 394179820#1 394179820#2 394179820#3 394179820#4 196355327#1 196355327#2 196355327#5 196393940#1 196207112#0 32122059#1 424080774 262962068#0.0 30953497#0 30953497#2 30953497#3 42706585#0 42706585#1 30953320 30953320-AddedOffRampEdge 104526277 30953215#1-AddedOnRampEdge 30953215#1 121643865#0 121643865#1 145605511#1-AddedOnRampEdge 145605511#12 145605511#1.148"/&gt;</v>
      </c>
      <c r="FN68" t="s">
        <v>2516</v>
      </c>
      <c r="FO68" t="s">
        <v>1156</v>
      </c>
      <c r="FP68" t="s">
        <v>2585</v>
      </c>
    </row>
    <row r="69" spans="2:172" x14ac:dyDescent="0.25">
      <c r="B69" t="s">
        <v>259</v>
      </c>
      <c r="C69" t="s">
        <v>503</v>
      </c>
      <c r="D69" t="s">
        <v>503</v>
      </c>
      <c r="E69" t="s">
        <v>503</v>
      </c>
      <c r="F69" t="s">
        <v>503</v>
      </c>
      <c r="G69" t="s">
        <v>503</v>
      </c>
      <c r="H69" t="s">
        <v>503</v>
      </c>
      <c r="I69" t="s">
        <v>503</v>
      </c>
      <c r="J69" t="s">
        <v>503</v>
      </c>
      <c r="K69" t="s">
        <v>503</v>
      </c>
      <c r="L69" t="s">
        <v>503</v>
      </c>
      <c r="M69" t="s">
        <v>503</v>
      </c>
      <c r="N69" t="s">
        <v>503</v>
      </c>
      <c r="O69" t="s">
        <v>503</v>
      </c>
      <c r="P69" t="s">
        <v>503</v>
      </c>
      <c r="Q69" t="s">
        <v>503</v>
      </c>
      <c r="R69" t="s">
        <v>503</v>
      </c>
      <c r="S69" t="s">
        <v>41</v>
      </c>
      <c r="U69" t="s">
        <v>241</v>
      </c>
      <c r="W69" t="s">
        <v>294</v>
      </c>
      <c r="X69" t="s">
        <v>294</v>
      </c>
      <c r="Y69" t="s">
        <v>471</v>
      </c>
      <c r="Z69" t="s">
        <v>471</v>
      </c>
      <c r="AP69" t="s">
        <v>239</v>
      </c>
      <c r="AQ69" t="s">
        <v>710</v>
      </c>
      <c r="AR69" t="s">
        <v>715</v>
      </c>
      <c r="AS69" t="s">
        <v>117</v>
      </c>
      <c r="AV69" t="s">
        <v>250</v>
      </c>
      <c r="AW69" t="s">
        <v>50</v>
      </c>
      <c r="AY69" t="s">
        <v>219</v>
      </c>
      <c r="AZ69" t="s">
        <v>219</v>
      </c>
      <c r="BA69" t="s">
        <v>219</v>
      </c>
      <c r="BD69" t="s">
        <v>116</v>
      </c>
      <c r="BG69" t="s">
        <v>591</v>
      </c>
      <c r="BI69" t="s">
        <v>818</v>
      </c>
      <c r="BJ69" t="s">
        <v>818</v>
      </c>
      <c r="BM69" t="s">
        <v>396</v>
      </c>
      <c r="BN69" t="s">
        <v>37</v>
      </c>
      <c r="BP69" t="s">
        <v>900</v>
      </c>
      <c r="BQ69" t="s">
        <v>900</v>
      </c>
      <c r="BS69" t="s">
        <v>226</v>
      </c>
      <c r="BT69" t="s">
        <v>861</v>
      </c>
      <c r="BU69" t="s">
        <v>861</v>
      </c>
      <c r="BV69" t="s">
        <v>861</v>
      </c>
      <c r="BW69" t="s">
        <v>999</v>
      </c>
      <c r="BY69" t="s">
        <v>266</v>
      </c>
      <c r="BZ69" t="s">
        <v>266</v>
      </c>
      <c r="CA69" t="s">
        <v>266</v>
      </c>
      <c r="CB69" t="s">
        <v>835</v>
      </c>
      <c r="CC69" t="s">
        <v>985</v>
      </c>
      <c r="CD69" t="s">
        <v>249</v>
      </c>
      <c r="CG69" t="s">
        <v>138</v>
      </c>
      <c r="CH69" t="s">
        <v>126</v>
      </c>
      <c r="CJ69" t="s">
        <v>637</v>
      </c>
      <c r="CK69" t="s">
        <v>864</v>
      </c>
      <c r="CL69" t="s">
        <v>643</v>
      </c>
      <c r="CM69" t="s">
        <v>51</v>
      </c>
      <c r="CN69" t="s">
        <v>51</v>
      </c>
      <c r="CO69" t="s">
        <v>741</v>
      </c>
      <c r="CP69" t="s">
        <v>864</v>
      </c>
      <c r="CQ69" t="s">
        <v>864</v>
      </c>
      <c r="CR69" t="s">
        <v>864</v>
      </c>
      <c r="CS69" t="s">
        <v>285</v>
      </c>
      <c r="CT69" t="s">
        <v>369</v>
      </c>
      <c r="CU69" t="s">
        <v>605</v>
      </c>
      <c r="CV69" t="s">
        <v>755</v>
      </c>
      <c r="CX69" t="s">
        <v>824</v>
      </c>
      <c r="DB69" t="s">
        <v>291</v>
      </c>
      <c r="DC69" t="s">
        <v>291</v>
      </c>
      <c r="DD69" t="s">
        <v>676</v>
      </c>
      <c r="DE69" t="s">
        <v>534</v>
      </c>
      <c r="DH69" t="s">
        <v>72</v>
      </c>
      <c r="DI69" t="s">
        <v>591</v>
      </c>
      <c r="DL69" t="s">
        <v>818</v>
      </c>
      <c r="DM69" t="s">
        <v>818</v>
      </c>
      <c r="DN69" t="s">
        <v>818</v>
      </c>
      <c r="DO69" t="s">
        <v>818</v>
      </c>
      <c r="EF69" t="s">
        <v>734</v>
      </c>
      <c r="EM69" t="s">
        <v>220</v>
      </c>
      <c r="EN69" t="s">
        <v>220</v>
      </c>
      <c r="EO69" t="s">
        <v>220</v>
      </c>
      <c r="EP69" t="s">
        <v>1083</v>
      </c>
      <c r="EQ69" t="s">
        <v>1083</v>
      </c>
      <c r="ER69" t="s">
        <v>1083</v>
      </c>
      <c r="ES69" t="s">
        <v>1083</v>
      </c>
      <c r="ET69" t="s">
        <v>1083</v>
      </c>
      <c r="EU69" t="s">
        <v>1083</v>
      </c>
      <c r="EV69" t="s">
        <v>1083</v>
      </c>
      <c r="EW69" t="s">
        <v>1083</v>
      </c>
      <c r="EX69" t="s">
        <v>1083</v>
      </c>
      <c r="EY69" t="s">
        <v>1083</v>
      </c>
      <c r="EZ69" t="s">
        <v>1083</v>
      </c>
      <c r="FA69" t="s">
        <v>1083</v>
      </c>
      <c r="FB69" t="s">
        <v>1083</v>
      </c>
      <c r="FC69" t="s">
        <v>1083</v>
      </c>
      <c r="FD69" t="s">
        <v>1083</v>
      </c>
      <c r="FE69" t="s">
        <v>651</v>
      </c>
      <c r="FM69" t="str">
        <f t="shared" si="1"/>
        <v xml:space="preserve">    &lt;route id="Router3_68" edges="31909473.0 31909473.857 62634019#1-AddedOnRampEdge 62634019#1 30953036 424081476 -424987520 -30953029#1 -30953029#0 -424987519 12169718#0 179915585#0 193223837#0 193223837#1 12198567#1 12198567#2 12198567#3 12171853#3 12171853#4 12171853#5 12171853#6 132508920#8 132508920#9 132508920#10 132508920#12 132508983#0 132508983#3 132508983#5 132508740#0 132508740#2 -12165829#1 132508646#0 132508646#2 132508646#3 394179820#0 394179820#1 394179820#2 394179820#3 450844975 450844970#0 196355332#0 450844979#0.0 12114109#0.45.0 59671945#0.30 62093806#0 30953497#0 30953497#2 30953497#3 42706585#0 42706585#1 30953320 30953320-AddedOffRampEdge 104526277 30953215#1-AddedOnRampEdge 30953215#1 121643865#0 12110705 50715233#0 50715233#0-AddedOffRampEdge 50715233#1.0 62203285#14.24 gneE59.30.0.55 gneE59.30.0.0 43539373#0.0.292.17 gneE58 gneE56 gneE54.0 62203360#0 291433361#0 132508433.0 -gneE6.0 gneE6.0 424765883 43539378#0.15 132508717#5 196393974#0 49914077 424767578 387422130#1 132508717#0 12149210#1 12151897#1 196393941#6 196393941#7 196393941#8 gneE87 196393974#0 388756841#0 49914076#0 12159673#0 12159673#1 393884751 43569848 30953391 12113092 51758697#1-AddedOnRampEdge 51758697#1"/&gt;</v>
      </c>
      <c r="FN69" t="s">
        <v>2516</v>
      </c>
      <c r="FO69" t="s">
        <v>1157</v>
      </c>
      <c r="FP69" t="s">
        <v>2586</v>
      </c>
    </row>
    <row r="70" spans="2:172" x14ac:dyDescent="0.25">
      <c r="B70" t="s">
        <v>352</v>
      </c>
      <c r="C70" t="s">
        <v>504</v>
      </c>
      <c r="D70" t="s">
        <v>504</v>
      </c>
      <c r="E70" t="s">
        <v>504</v>
      </c>
      <c r="F70" t="s">
        <v>504</v>
      </c>
      <c r="G70" t="s">
        <v>504</v>
      </c>
      <c r="H70" t="s">
        <v>504</v>
      </c>
      <c r="I70" t="s">
        <v>504</v>
      </c>
      <c r="J70" t="s">
        <v>504</v>
      </c>
      <c r="K70" t="s">
        <v>504</v>
      </c>
      <c r="L70" t="s">
        <v>504</v>
      </c>
      <c r="M70" t="s">
        <v>504</v>
      </c>
      <c r="N70" t="s">
        <v>504</v>
      </c>
      <c r="O70" t="s">
        <v>504</v>
      </c>
      <c r="P70" t="s">
        <v>504</v>
      </c>
      <c r="Q70" t="s">
        <v>504</v>
      </c>
      <c r="R70" t="s">
        <v>504</v>
      </c>
      <c r="S70" t="s">
        <v>42</v>
      </c>
      <c r="U70" t="s">
        <v>391</v>
      </c>
      <c r="W70" t="s">
        <v>295</v>
      </c>
      <c r="X70" t="s">
        <v>295</v>
      </c>
      <c r="Y70" t="s">
        <v>529</v>
      </c>
      <c r="Z70" t="s">
        <v>529</v>
      </c>
      <c r="AQ70" t="s">
        <v>252</v>
      </c>
      <c r="AR70" t="s">
        <v>1030</v>
      </c>
      <c r="AS70" t="s">
        <v>118</v>
      </c>
      <c r="AV70" t="s">
        <v>709</v>
      </c>
      <c r="AW70" t="s">
        <v>51</v>
      </c>
      <c r="AY70" t="s">
        <v>220</v>
      </c>
      <c r="AZ70" t="s">
        <v>220</v>
      </c>
      <c r="BA70" t="s">
        <v>220</v>
      </c>
      <c r="BD70" t="s">
        <v>117</v>
      </c>
      <c r="BG70" t="s">
        <v>592</v>
      </c>
      <c r="BI70" t="s">
        <v>764</v>
      </c>
      <c r="BJ70" t="s">
        <v>764</v>
      </c>
      <c r="BM70" t="s">
        <v>397</v>
      </c>
      <c r="BN70" t="s">
        <v>889</v>
      </c>
      <c r="BP70" t="s">
        <v>907</v>
      </c>
      <c r="BQ70" t="s">
        <v>907</v>
      </c>
      <c r="BS70" t="s">
        <v>488</v>
      </c>
      <c r="BT70" t="s">
        <v>862</v>
      </c>
      <c r="BU70" t="s">
        <v>862</v>
      </c>
      <c r="BV70" t="s">
        <v>862</v>
      </c>
      <c r="BW70" t="s">
        <v>952</v>
      </c>
      <c r="BY70" t="s">
        <v>366</v>
      </c>
      <c r="BZ70" t="s">
        <v>366</v>
      </c>
      <c r="CA70" t="s">
        <v>366</v>
      </c>
      <c r="CB70" t="s">
        <v>836</v>
      </c>
      <c r="CC70" t="s">
        <v>986</v>
      </c>
      <c r="CD70" t="s">
        <v>250</v>
      </c>
      <c r="CG70" t="s">
        <v>139</v>
      </c>
      <c r="CH70" t="s">
        <v>127</v>
      </c>
      <c r="CJ70" t="s">
        <v>638</v>
      </c>
      <c r="CK70" t="s">
        <v>994</v>
      </c>
      <c r="CL70" t="s">
        <v>799</v>
      </c>
      <c r="CM70" t="s">
        <v>52</v>
      </c>
      <c r="CN70" t="s">
        <v>52</v>
      </c>
      <c r="CO70" t="s">
        <v>829</v>
      </c>
      <c r="CP70" t="s">
        <v>994</v>
      </c>
      <c r="CQ70" t="s">
        <v>994</v>
      </c>
      <c r="CR70" t="s">
        <v>994</v>
      </c>
      <c r="CS70" t="s">
        <v>286</v>
      </c>
      <c r="CT70" t="s">
        <v>284</v>
      </c>
      <c r="CU70" t="s">
        <v>470</v>
      </c>
      <c r="CV70" t="s">
        <v>175</v>
      </c>
      <c r="CX70" t="s">
        <v>825</v>
      </c>
      <c r="DB70" t="s">
        <v>292</v>
      </c>
      <c r="DC70" t="s">
        <v>292</v>
      </c>
      <c r="DD70" t="s">
        <v>677</v>
      </c>
      <c r="DH70" t="s">
        <v>599</v>
      </c>
      <c r="DI70" t="s">
        <v>592</v>
      </c>
      <c r="DL70" t="s">
        <v>764</v>
      </c>
      <c r="DM70" t="s">
        <v>764</v>
      </c>
      <c r="DN70" t="s">
        <v>764</v>
      </c>
      <c r="DO70" t="s">
        <v>764</v>
      </c>
      <c r="EF70" t="s">
        <v>735</v>
      </c>
      <c r="EM70" t="s">
        <v>221</v>
      </c>
      <c r="EN70" t="s">
        <v>221</v>
      </c>
      <c r="EO70" t="s">
        <v>221</v>
      </c>
      <c r="EP70" t="s">
        <v>668</v>
      </c>
      <c r="EQ70" t="s">
        <v>668</v>
      </c>
      <c r="ER70" t="s">
        <v>668</v>
      </c>
      <c r="ES70" t="s">
        <v>668</v>
      </c>
      <c r="ET70" t="s">
        <v>668</v>
      </c>
      <c r="EU70" t="s">
        <v>668</v>
      </c>
      <c r="EV70" t="s">
        <v>668</v>
      </c>
      <c r="EW70" t="s">
        <v>668</v>
      </c>
      <c r="EX70" t="s">
        <v>668</v>
      </c>
      <c r="EY70" t="s">
        <v>668</v>
      </c>
      <c r="EZ70" t="s">
        <v>649</v>
      </c>
      <c r="FA70" t="s">
        <v>649</v>
      </c>
      <c r="FB70" t="s">
        <v>649</v>
      </c>
      <c r="FC70" t="s">
        <v>649</v>
      </c>
      <c r="FD70" t="s">
        <v>649</v>
      </c>
      <c r="FE70" t="s">
        <v>652</v>
      </c>
      <c r="FM70" t="str">
        <f t="shared" si="1"/>
        <v xml:space="preserve">    &lt;route id="Router3_69" edges="31909473.0 31909473.857 62634019#1-AddedOnRampEdge 62634019#1 30953036 424081476 -424987520 -30953029#1 -30953029#0 -424987519 12169718#0 179915585#0 193223837#0 193223837#1 12198567#1 12198567#2 12198567#3 12171853#3 12171853#4 12171853#5 12171853#6 132508920#8 132508920#9 132508920#10 132508920#12 132508983#0 132508983#3 132508983#5 132508740#0 132508740#2 -12165829#1 132508646#0 132508646#2 132508646#3 394179820#0 394179820#1 394179820#2 394179820#3 450844975 450844970#0 196355332#0 450844979#0.0 12114109#0.45.0 59671945#0.30 62093806#0 30953497#0 30953497#2 30953497#3 42706585#0 42706585#1 30953320 30953320-AddedOffRampEdge 104526277 30953215#1-AddedOnRampEdge 30953215#1 121643865#0 12110705 50715233#0 50715233#0-AddedOffRampEdge 50715233#1.0 62203285#14.24 gneE59.30.0.55 gneE59.30.0.0 43539373#0.0.292.17 gneE58 gneE56 gneE54.0 62203360#0 291433361#0 132508433.0 -gneE6.0 gneE6.0 424765883 43570920#0.22 132508717#4 43539378#1 43569848 30953391 12113092 51758697#1-AddedOnRampEdge 51758697#1"/&gt;</v>
      </c>
      <c r="FN70" t="s">
        <v>2516</v>
      </c>
      <c r="FO70" t="s">
        <v>1158</v>
      </c>
      <c r="FP70" t="s">
        <v>2587</v>
      </c>
    </row>
    <row r="71" spans="2:172" x14ac:dyDescent="0.25">
      <c r="B71" t="s">
        <v>353</v>
      </c>
      <c r="C71" t="s">
        <v>505</v>
      </c>
      <c r="D71" t="s">
        <v>505</v>
      </c>
      <c r="E71" t="s">
        <v>505</v>
      </c>
      <c r="F71" t="s">
        <v>505</v>
      </c>
      <c r="G71" t="s">
        <v>505</v>
      </c>
      <c r="H71" t="s">
        <v>505</v>
      </c>
      <c r="I71" t="s">
        <v>505</v>
      </c>
      <c r="J71" t="s">
        <v>505</v>
      </c>
      <c r="K71" t="s">
        <v>505</v>
      </c>
      <c r="L71" t="s">
        <v>505</v>
      </c>
      <c r="M71" t="s">
        <v>505</v>
      </c>
      <c r="N71" t="s">
        <v>505</v>
      </c>
      <c r="O71" t="s">
        <v>505</v>
      </c>
      <c r="P71" t="s">
        <v>505</v>
      </c>
      <c r="Q71" t="s">
        <v>505</v>
      </c>
      <c r="R71" t="s">
        <v>505</v>
      </c>
      <c r="S71" t="s">
        <v>43</v>
      </c>
      <c r="U71" t="s">
        <v>731</v>
      </c>
      <c r="W71" t="s">
        <v>296</v>
      </c>
      <c r="X71" t="s">
        <v>296</v>
      </c>
      <c r="Y71" t="s">
        <v>295</v>
      </c>
      <c r="Z71" t="s">
        <v>295</v>
      </c>
      <c r="AQ71" t="s">
        <v>253</v>
      </c>
      <c r="AR71" t="s">
        <v>275</v>
      </c>
      <c r="AS71" t="s">
        <v>119</v>
      </c>
      <c r="AV71" t="s">
        <v>710</v>
      </c>
      <c r="AW71" t="s">
        <v>52</v>
      </c>
      <c r="AY71" t="s">
        <v>221</v>
      </c>
      <c r="AZ71" t="s">
        <v>221</v>
      </c>
      <c r="BA71" t="s">
        <v>221</v>
      </c>
      <c r="BD71" t="s">
        <v>118</v>
      </c>
      <c r="BG71" t="s">
        <v>172</v>
      </c>
      <c r="BI71" t="s">
        <v>392</v>
      </c>
      <c r="BJ71" t="s">
        <v>392</v>
      </c>
      <c r="BM71" t="s">
        <v>398</v>
      </c>
      <c r="BN71" t="s">
        <v>770</v>
      </c>
      <c r="BP71" t="s">
        <v>779</v>
      </c>
      <c r="BQ71" t="s">
        <v>779</v>
      </c>
      <c r="BS71" t="s">
        <v>399</v>
      </c>
      <c r="BT71" t="s">
        <v>593</v>
      </c>
      <c r="BU71" t="s">
        <v>593</v>
      </c>
      <c r="BV71" t="s">
        <v>593</v>
      </c>
      <c r="BW71" t="s">
        <v>846</v>
      </c>
      <c r="BY71" t="s">
        <v>268</v>
      </c>
      <c r="BZ71" t="s">
        <v>268</v>
      </c>
      <c r="CA71" t="s">
        <v>268</v>
      </c>
      <c r="CB71" t="s">
        <v>426</v>
      </c>
      <c r="CC71" t="s">
        <v>68</v>
      </c>
      <c r="CD71" t="s">
        <v>709</v>
      </c>
      <c r="CG71" t="s">
        <v>140</v>
      </c>
      <c r="CH71" t="s">
        <v>128</v>
      </c>
      <c r="CJ71" t="s">
        <v>708</v>
      </c>
      <c r="CK71" t="s">
        <v>995</v>
      </c>
      <c r="CL71" t="s">
        <v>800</v>
      </c>
      <c r="CM71" t="s">
        <v>1018</v>
      </c>
      <c r="CN71" t="s">
        <v>1018</v>
      </c>
      <c r="CO71" t="s">
        <v>856</v>
      </c>
      <c r="CP71" t="s">
        <v>995</v>
      </c>
      <c r="CQ71" t="s">
        <v>995</v>
      </c>
      <c r="CR71" t="s">
        <v>995</v>
      </c>
      <c r="CS71" t="s">
        <v>287</v>
      </c>
      <c r="CT71" t="s">
        <v>285</v>
      </c>
      <c r="CU71" t="s">
        <v>472</v>
      </c>
      <c r="CV71" t="s">
        <v>176</v>
      </c>
      <c r="CX71" t="s">
        <v>841</v>
      </c>
      <c r="DB71" t="s">
        <v>293</v>
      </c>
      <c r="DC71" t="s">
        <v>293</v>
      </c>
      <c r="DD71" t="s">
        <v>996</v>
      </c>
      <c r="DH71" t="s">
        <v>627</v>
      </c>
      <c r="DI71" t="s">
        <v>172</v>
      </c>
      <c r="DL71" t="s">
        <v>392</v>
      </c>
      <c r="DM71" t="s">
        <v>392</v>
      </c>
      <c r="DN71" t="s">
        <v>392</v>
      </c>
      <c r="DO71" t="s">
        <v>392</v>
      </c>
      <c r="EF71" t="s">
        <v>736</v>
      </c>
      <c r="EM71" t="s">
        <v>222</v>
      </c>
      <c r="EN71" t="s">
        <v>222</v>
      </c>
      <c r="EO71" t="s">
        <v>222</v>
      </c>
      <c r="EP71" t="s">
        <v>948</v>
      </c>
      <c r="EQ71" t="s">
        <v>948</v>
      </c>
      <c r="ER71" t="s">
        <v>948</v>
      </c>
      <c r="ES71" t="s">
        <v>948</v>
      </c>
      <c r="ET71" t="s">
        <v>948</v>
      </c>
      <c r="EU71" t="s">
        <v>948</v>
      </c>
      <c r="EV71" t="s">
        <v>948</v>
      </c>
      <c r="EW71" t="s">
        <v>948</v>
      </c>
      <c r="EX71" t="s">
        <v>948</v>
      </c>
      <c r="EY71" t="s">
        <v>948</v>
      </c>
      <c r="EZ71" t="s">
        <v>650</v>
      </c>
      <c r="FA71" t="s">
        <v>650</v>
      </c>
      <c r="FB71" t="s">
        <v>650</v>
      </c>
      <c r="FC71" t="s">
        <v>650</v>
      </c>
      <c r="FD71" t="s">
        <v>650</v>
      </c>
      <c r="FE71" t="s">
        <v>913</v>
      </c>
      <c r="FM71" t="str">
        <f t="shared" si="1"/>
        <v xml:space="preserve">    &lt;route id="Router3_70" edges="31909473.0 31909473.857 62634019#1-AddedOnRampEdge 62634019#1 30953036 424081476 -424987520 -30953029#1 -30953029#0 -424987519 12169718#0 179915585#0 193223837#0 193223837#1 12198567#1 12198567#2 12198567#3 12171853#3 12171853#4 12171853#5 12171853#6 132508920#8 132508920#9 132508920#10 132508920#12 132508983#0 132508983#3 132508983#5 132508740#0 132508740#2 -12165829#1 132508646#0 132508646#2 132508646#3 394179820#0 394179820#1 394179820#2 394179820#3 450844975 450844970#0 196355332#0 450844979#0.0 12114109#0.45.0 59671945#0.30 62093806#0 30953497#0 30953497#2 35920555#0.0 35920555#0.75 62203066 43331031.0 43331031.436 42706585#0 42706585#1 30953320 30953320-AddedOffRampEdge 30953315 104526276-AddedOnRampEdge 104526276 51758697#0 51758697#1-AddedOnRampEdge 51758697#1"/&gt;</v>
      </c>
      <c r="FN71" t="s">
        <v>2516</v>
      </c>
      <c r="FO71" t="s">
        <v>1159</v>
      </c>
      <c r="FP71" t="s">
        <v>2588</v>
      </c>
    </row>
    <row r="72" spans="2:172" x14ac:dyDescent="0.25">
      <c r="B72" t="s">
        <v>575</v>
      </c>
      <c r="C72" t="s">
        <v>506</v>
      </c>
      <c r="D72" t="s">
        <v>506</v>
      </c>
      <c r="E72" t="s">
        <v>506</v>
      </c>
      <c r="F72" t="s">
        <v>506</v>
      </c>
      <c r="G72" t="s">
        <v>506</v>
      </c>
      <c r="H72" t="s">
        <v>506</v>
      </c>
      <c r="I72" t="s">
        <v>506</v>
      </c>
      <c r="J72" t="s">
        <v>506</v>
      </c>
      <c r="K72" t="s">
        <v>506</v>
      </c>
      <c r="L72" t="s">
        <v>506</v>
      </c>
      <c r="M72" t="s">
        <v>506</v>
      </c>
      <c r="N72" t="s">
        <v>506</v>
      </c>
      <c r="O72" t="s">
        <v>506</v>
      </c>
      <c r="P72" t="s">
        <v>506</v>
      </c>
      <c r="Q72" t="s">
        <v>506</v>
      </c>
      <c r="R72" t="s">
        <v>506</v>
      </c>
      <c r="S72" t="s">
        <v>44</v>
      </c>
      <c r="U72" t="s">
        <v>732</v>
      </c>
      <c r="W72" t="s">
        <v>297</v>
      </c>
      <c r="X72" t="s">
        <v>297</v>
      </c>
      <c r="Y72" t="s">
        <v>296</v>
      </c>
      <c r="Z72" t="s">
        <v>296</v>
      </c>
      <c r="AQ72" t="s">
        <v>254</v>
      </c>
      <c r="AR72" t="s">
        <v>276</v>
      </c>
      <c r="AS72" t="s">
        <v>178</v>
      </c>
      <c r="AV72" t="s">
        <v>252</v>
      </c>
      <c r="AW72" t="s">
        <v>1018</v>
      </c>
      <c r="AY72" t="s">
        <v>222</v>
      </c>
      <c r="AZ72" t="s">
        <v>222</v>
      </c>
      <c r="BA72" t="s">
        <v>222</v>
      </c>
      <c r="BD72" t="s">
        <v>119</v>
      </c>
      <c r="BG72" t="s">
        <v>173</v>
      </c>
      <c r="BI72" t="s">
        <v>393</v>
      </c>
      <c r="BJ72" t="s">
        <v>393</v>
      </c>
      <c r="BM72" t="s">
        <v>490</v>
      </c>
      <c r="BN72" t="s">
        <v>890</v>
      </c>
      <c r="BP72" t="s">
        <v>780</v>
      </c>
      <c r="BQ72" t="s">
        <v>780</v>
      </c>
      <c r="BS72" t="s">
        <v>400</v>
      </c>
      <c r="BT72" t="s">
        <v>747</v>
      </c>
      <c r="BU72" t="s">
        <v>747</v>
      </c>
      <c r="BV72" t="s">
        <v>747</v>
      </c>
      <c r="BW72" t="s">
        <v>882</v>
      </c>
      <c r="BY72" t="s">
        <v>269</v>
      </c>
      <c r="BZ72" t="s">
        <v>269</v>
      </c>
      <c r="CA72" t="s">
        <v>269</v>
      </c>
      <c r="CB72" t="s">
        <v>427</v>
      </c>
      <c r="CC72" t="s">
        <v>987</v>
      </c>
      <c r="CD72" t="s">
        <v>710</v>
      </c>
      <c r="CG72" t="s">
        <v>141</v>
      </c>
      <c r="CH72" t="s">
        <v>129</v>
      </c>
      <c r="CJ72" t="s">
        <v>249</v>
      </c>
      <c r="CK72" t="s">
        <v>1057</v>
      </c>
      <c r="CL72" t="s">
        <v>801</v>
      </c>
      <c r="CM72" t="s">
        <v>1019</v>
      </c>
      <c r="CN72" t="s">
        <v>1019</v>
      </c>
      <c r="CO72" t="s">
        <v>857</v>
      </c>
      <c r="CP72" t="s">
        <v>674</v>
      </c>
      <c r="CQ72" t="s">
        <v>674</v>
      </c>
      <c r="CR72" t="s">
        <v>674</v>
      </c>
      <c r="CS72" t="s">
        <v>288</v>
      </c>
      <c r="CT72" t="s">
        <v>286</v>
      </c>
      <c r="CU72" t="s">
        <v>473</v>
      </c>
      <c r="CV72" t="s">
        <v>177</v>
      </c>
      <c r="CX72" t="s">
        <v>828</v>
      </c>
      <c r="DB72" t="s">
        <v>471</v>
      </c>
      <c r="DC72" t="s">
        <v>471</v>
      </c>
      <c r="DD72" t="s">
        <v>966</v>
      </c>
      <c r="DH72" t="s">
        <v>628</v>
      </c>
      <c r="DI72" t="s">
        <v>173</v>
      </c>
      <c r="DL72" t="s">
        <v>393</v>
      </c>
      <c r="DM72" t="s">
        <v>393</v>
      </c>
      <c r="DN72" t="s">
        <v>393</v>
      </c>
      <c r="DO72" t="s">
        <v>393</v>
      </c>
      <c r="EF72" t="s">
        <v>246</v>
      </c>
      <c r="EM72" t="s">
        <v>223</v>
      </c>
      <c r="EN72" t="s">
        <v>223</v>
      </c>
      <c r="EO72" t="s">
        <v>223</v>
      </c>
      <c r="EP72" t="s">
        <v>949</v>
      </c>
      <c r="EQ72" t="s">
        <v>949</v>
      </c>
      <c r="ER72" t="s">
        <v>949</v>
      </c>
      <c r="ES72" t="s">
        <v>949</v>
      </c>
      <c r="ET72" t="s">
        <v>949</v>
      </c>
      <c r="EU72" t="s">
        <v>949</v>
      </c>
      <c r="EV72" t="s">
        <v>949</v>
      </c>
      <c r="EW72" t="s">
        <v>949</v>
      </c>
      <c r="EX72" t="s">
        <v>949</v>
      </c>
      <c r="EY72" t="s">
        <v>949</v>
      </c>
      <c r="EZ72" t="s">
        <v>651</v>
      </c>
      <c r="FA72" t="s">
        <v>146</v>
      </c>
      <c r="FB72" t="s">
        <v>146</v>
      </c>
      <c r="FC72" t="s">
        <v>146</v>
      </c>
      <c r="FD72" t="s">
        <v>146</v>
      </c>
      <c r="FE72" t="s">
        <v>914</v>
      </c>
      <c r="FM72" t="str">
        <f t="shared" si="1"/>
        <v xml:space="preserve">    &lt;route id="Router3_71" edges="31909473.0 31909473.857 62634019#1-AddedOnRampEdge 62634019#1 30953036 424081476 424081472 424081473 424081470 30953025#0 30953025#2 30953025#3 30953025#4 50033060#0 12134479#5 450844973#0 388533144#0 388533144#6 388533144#11 450695475#0 137364609#0 137364609#3 137364609#5 450695473#0 386547305#0 gneE23 -gneE20.0 -gneE21.54 -gneE21.0 59435515#0 59435515#1 59435515#2 59435515#3 59435515#4 424801338#1 12117702#0 12117702#4 12117702#7 -32121146#3 -32121146#1 -424769197#2 12144152#0 12144152#2 12144152#4 12144152#6 12157151#0 12166276#2 -32121146#5 12117702#9 450844953#0 450844953#2 450844953#3 450844947#0 388533142#0 388533142#2 12189045#0 62623987#0 62623987#1 -12142631 12202018 62623986#1 62623986#2 -12189051#1 -262962063 -424080764 -424080768#1 -424080766 -104526265#1 30953497#0 30953497#2 30953497#3 42706585#0 42706585#1 30953320 30953320-AddedOffRampEdge 104526277 30953215#1-AddedOnRampEdge 30953215#1 121643865#0 12110705 50715233#0 50715233#0-AddedOffRampEdge 50715233#1.0 62203285#14.24 30908387 30908366#1-AddedOnRampEdge 30908366#1 121643863 121643862 51758697#0 51758697#1-AddedOnRampEdge 51758697#1 -gneE46.0 43357850.4841.18 gneE46 49887339#0.596 49887339#0-AddedOffRampEdge 49887339#1 49887339#1-AddedOffRampEdge 104524021 104524021-AddedOffRampEdge 50192637#0 50192637#1-AddedOnRampEdge 50192637#1.0.0 50192637#1.0.382.0.0 50192637#1.697 50192637#1-AddedOffRampEdge 30953181#1 30953181#2-AddedOnRampEdge 30953181#2 30953181#3-AddedOnRampEdge 30953181#3 30953181#3-AddedOffRampEdge 30952933#1.0 30952933#1.199"/&gt;</v>
      </c>
      <c r="FN72" t="s">
        <v>2516</v>
      </c>
      <c r="FO72" t="s">
        <v>1160</v>
      </c>
      <c r="FP72" t="s">
        <v>2589</v>
      </c>
    </row>
    <row r="73" spans="2:172" x14ac:dyDescent="0.25">
      <c r="B73" t="s">
        <v>978</v>
      </c>
      <c r="C73" t="s">
        <v>507</v>
      </c>
      <c r="D73" t="s">
        <v>507</v>
      </c>
      <c r="E73" t="s">
        <v>507</v>
      </c>
      <c r="F73" t="s">
        <v>507</v>
      </c>
      <c r="G73" t="s">
        <v>507</v>
      </c>
      <c r="H73" t="s">
        <v>507</v>
      </c>
      <c r="I73" t="s">
        <v>507</v>
      </c>
      <c r="J73" t="s">
        <v>507</v>
      </c>
      <c r="K73" t="s">
        <v>507</v>
      </c>
      <c r="L73" t="s">
        <v>507</v>
      </c>
      <c r="M73" t="s">
        <v>507</v>
      </c>
      <c r="N73" t="s">
        <v>507</v>
      </c>
      <c r="O73" t="s">
        <v>507</v>
      </c>
      <c r="P73" t="s">
        <v>507</v>
      </c>
      <c r="Q73" t="s">
        <v>507</v>
      </c>
      <c r="R73" t="s">
        <v>507</v>
      </c>
      <c r="S73" t="s">
        <v>45</v>
      </c>
      <c r="U73" t="s">
        <v>733</v>
      </c>
      <c r="W73" t="s">
        <v>272</v>
      </c>
      <c r="X73" t="s">
        <v>272</v>
      </c>
      <c r="Y73" t="s">
        <v>297</v>
      </c>
      <c r="Z73" t="s">
        <v>297</v>
      </c>
      <c r="AQ73" t="s">
        <v>255</v>
      </c>
      <c r="AR73" t="s">
        <v>277</v>
      </c>
      <c r="AS73" t="s">
        <v>233</v>
      </c>
      <c r="AV73" t="s">
        <v>253</v>
      </c>
      <c r="AW73" t="s">
        <v>1019</v>
      </c>
      <c r="AY73" t="s">
        <v>223</v>
      </c>
      <c r="AZ73" t="s">
        <v>223</v>
      </c>
      <c r="BA73" t="s">
        <v>223</v>
      </c>
      <c r="BD73" t="s">
        <v>178</v>
      </c>
      <c r="BG73" t="s">
        <v>210</v>
      </c>
      <c r="BI73" t="s">
        <v>394</v>
      </c>
      <c r="BJ73" t="s">
        <v>394</v>
      </c>
      <c r="BM73" t="s">
        <v>491</v>
      </c>
      <c r="BN73" t="s">
        <v>891</v>
      </c>
      <c r="BP73" t="s">
        <v>775</v>
      </c>
      <c r="BQ73" t="s">
        <v>775</v>
      </c>
      <c r="BS73" t="s">
        <v>401</v>
      </c>
      <c r="BT73" t="s">
        <v>748</v>
      </c>
      <c r="BU73" t="s">
        <v>748</v>
      </c>
      <c r="BV73" t="s">
        <v>748</v>
      </c>
      <c r="BW73" t="s">
        <v>598</v>
      </c>
      <c r="BY73" t="s">
        <v>270</v>
      </c>
      <c r="BZ73" t="s">
        <v>270</v>
      </c>
      <c r="CA73" t="s">
        <v>270</v>
      </c>
      <c r="CB73" t="s">
        <v>428</v>
      </c>
      <c r="CC73" t="s">
        <v>615</v>
      </c>
      <c r="CD73" t="s">
        <v>252</v>
      </c>
      <c r="CH73" t="s">
        <v>130</v>
      </c>
      <c r="CJ73" t="s">
        <v>250</v>
      </c>
      <c r="CK73" t="s">
        <v>57</v>
      </c>
      <c r="CL73" t="s">
        <v>802</v>
      </c>
      <c r="CM73" t="s">
        <v>845</v>
      </c>
      <c r="CN73" t="s">
        <v>845</v>
      </c>
      <c r="CO73" t="s">
        <v>55</v>
      </c>
      <c r="CP73" t="s">
        <v>675</v>
      </c>
      <c r="CQ73" t="s">
        <v>675</v>
      </c>
      <c r="CR73" t="s">
        <v>675</v>
      </c>
      <c r="CS73" t="s">
        <v>289</v>
      </c>
      <c r="CT73" t="s">
        <v>287</v>
      </c>
      <c r="CU73" t="s">
        <v>474</v>
      </c>
      <c r="CV73" t="s">
        <v>105</v>
      </c>
      <c r="CX73" t="s">
        <v>829</v>
      </c>
      <c r="DB73" t="s">
        <v>529</v>
      </c>
      <c r="DC73" t="s">
        <v>529</v>
      </c>
      <c r="DD73" t="s">
        <v>967</v>
      </c>
      <c r="DH73" t="s">
        <v>75</v>
      </c>
      <c r="DI73" t="s">
        <v>210</v>
      </c>
      <c r="DL73" t="s">
        <v>394</v>
      </c>
      <c r="DM73" t="s">
        <v>394</v>
      </c>
      <c r="DN73" t="s">
        <v>394</v>
      </c>
      <c r="DO73" t="s">
        <v>394</v>
      </c>
      <c r="EF73" t="s">
        <v>737</v>
      </c>
      <c r="EM73" t="s">
        <v>224</v>
      </c>
      <c r="EN73" t="s">
        <v>224</v>
      </c>
      <c r="EO73" t="s">
        <v>224</v>
      </c>
      <c r="EP73" t="s">
        <v>849</v>
      </c>
      <c r="EQ73" t="s">
        <v>849</v>
      </c>
      <c r="ER73" t="s">
        <v>849</v>
      </c>
      <c r="ES73" t="s">
        <v>849</v>
      </c>
      <c r="ET73" t="s">
        <v>849</v>
      </c>
      <c r="EU73" t="s">
        <v>849</v>
      </c>
      <c r="EV73" t="s">
        <v>849</v>
      </c>
      <c r="EW73" t="s">
        <v>849</v>
      </c>
      <c r="EX73" t="s">
        <v>849</v>
      </c>
      <c r="EY73" t="s">
        <v>849</v>
      </c>
      <c r="EZ73" t="s">
        <v>652</v>
      </c>
      <c r="FA73" t="s">
        <v>147</v>
      </c>
      <c r="FB73" t="s">
        <v>147</v>
      </c>
      <c r="FC73" t="s">
        <v>147</v>
      </c>
      <c r="FD73" t="s">
        <v>147</v>
      </c>
      <c r="FE73" t="s">
        <v>915</v>
      </c>
      <c r="FM73" t="str">
        <f t="shared" si="1"/>
        <v xml:space="preserve">    &lt;route id="Router3_72" edges="31909473.0 31909473.857 62634019#1-AddedOnRampEdge 62634019#1 30953036 424081476 424081472 424081473 424081470 30953025#0 30953025#2 30953025#3 30953025#4 50033060#0 12134479#5 450844973#0 388533144#0 388533144#6 388533144#11 450695475#0 137364609#0 137364609#3 137364609#5 450695473#0 386547305#0 gneE23 -gneE20.0 -gneE21.54 -gneE21.0 59435515#0 59435515#1 59435515#2 59435515#3 59435515#4 424801338#1 12117702#0 12117702#4 12117702#7 -32121146#3 12202008#2.0 12202008#2.171 62646499#2 450827424#0 450827405#0 262962062 -55179413#2 12187610#0 12187610#2 12187610#3 -62105579 12186909#0 12186909#1 12186909#2 12186909#4 12177521#2 12177521#3 211575484#1 485017379 -386995465#1 -386995504#1 -386995486#1 32121111#11 -12177521#0 -121319040#0 -51155368#5 -50033558#5 -50033558#3 -12188656 -121319046 -42706825#7 -42706825#4 -42706825#3 -42706825#1 194358815 194358817#0 194358817#1 194358817#2 12114363#0 12114363#1 -50033059#4 12175537#0 12175537#2 12175537#3 12175537#4 12175537#5 12175537#6 12175537#7 -43357814#2 42706837#4 42706837#5 42706837#6 42706837#7 42706837#8 42706837#9 12172918#0 12172918#1 12172918#2 gneE73 gneE75.0 -gneE80.17 -gneE41 gneE44 -388756838#2 -388756838#1 -388756838#0 42706817#0 386547310 gneE69 -gneE44 gneE41 gneE80.0 gneE80.125"/&gt;</v>
      </c>
      <c r="FN73" t="s">
        <v>2516</v>
      </c>
      <c r="FO73" t="s">
        <v>1161</v>
      </c>
      <c r="FP73" t="s">
        <v>2590</v>
      </c>
    </row>
    <row r="74" spans="2:172" x14ac:dyDescent="0.25">
      <c r="B74" t="s">
        <v>355</v>
      </c>
      <c r="C74" t="s">
        <v>508</v>
      </c>
      <c r="D74" t="s">
        <v>508</v>
      </c>
      <c r="E74" t="s">
        <v>508</v>
      </c>
      <c r="F74" t="s">
        <v>508</v>
      </c>
      <c r="G74" t="s">
        <v>508</v>
      </c>
      <c r="H74" t="s">
        <v>508</v>
      </c>
      <c r="I74" t="s">
        <v>508</v>
      </c>
      <c r="J74" t="s">
        <v>508</v>
      </c>
      <c r="K74" t="s">
        <v>508</v>
      </c>
      <c r="L74" t="s">
        <v>508</v>
      </c>
      <c r="M74" t="s">
        <v>508</v>
      </c>
      <c r="N74" t="s">
        <v>508</v>
      </c>
      <c r="O74" t="s">
        <v>508</v>
      </c>
      <c r="P74" t="s">
        <v>508</v>
      </c>
      <c r="Q74" t="s">
        <v>508</v>
      </c>
      <c r="R74" t="s">
        <v>508</v>
      </c>
      <c r="S74" t="s">
        <v>489</v>
      </c>
      <c r="U74" t="s">
        <v>734</v>
      </c>
      <c r="W74" t="s">
        <v>273</v>
      </c>
      <c r="X74" t="s">
        <v>273</v>
      </c>
      <c r="Y74" t="s">
        <v>272</v>
      </c>
      <c r="Z74" t="s">
        <v>272</v>
      </c>
      <c r="AQ74" t="s">
        <v>256</v>
      </c>
      <c r="AR74" t="s">
        <v>370</v>
      </c>
      <c r="AS74" t="s">
        <v>239</v>
      </c>
      <c r="AV74" t="s">
        <v>254</v>
      </c>
      <c r="AW74" t="s">
        <v>845</v>
      </c>
      <c r="AY74" t="s">
        <v>224</v>
      </c>
      <c r="AZ74" t="s">
        <v>224</v>
      </c>
      <c r="BA74" t="s">
        <v>224</v>
      </c>
      <c r="BD74" t="s">
        <v>233</v>
      </c>
      <c r="BG74" t="s">
        <v>456</v>
      </c>
      <c r="BI74" t="s">
        <v>218</v>
      </c>
      <c r="BJ74" t="s">
        <v>218</v>
      </c>
      <c r="BM74" t="s">
        <v>1042</v>
      </c>
      <c r="BN74" t="s">
        <v>892</v>
      </c>
      <c r="BP74" t="s">
        <v>776</v>
      </c>
      <c r="BQ74" t="s">
        <v>776</v>
      </c>
      <c r="BS74" t="s">
        <v>402</v>
      </c>
      <c r="BT74" t="s">
        <v>749</v>
      </c>
      <c r="BU74" t="s">
        <v>749</v>
      </c>
      <c r="BV74" t="s">
        <v>749</v>
      </c>
      <c r="BW74" t="s">
        <v>73</v>
      </c>
      <c r="BY74" t="s">
        <v>271</v>
      </c>
      <c r="BZ74" t="s">
        <v>271</v>
      </c>
      <c r="CA74" t="s">
        <v>271</v>
      </c>
      <c r="CB74" t="s">
        <v>156</v>
      </c>
      <c r="CC74" t="s">
        <v>988</v>
      </c>
      <c r="CD74" t="s">
        <v>253</v>
      </c>
      <c r="CH74" t="s">
        <v>131</v>
      </c>
      <c r="CJ74" t="s">
        <v>251</v>
      </c>
      <c r="CK74" t="s">
        <v>58</v>
      </c>
      <c r="CL74" t="s">
        <v>864</v>
      </c>
      <c r="CM74" t="s">
        <v>596</v>
      </c>
      <c r="CN74" t="s">
        <v>596</v>
      </c>
      <c r="CO74" t="s">
        <v>56</v>
      </c>
      <c r="CP74" t="s">
        <v>1055</v>
      </c>
      <c r="CQ74" t="s">
        <v>1055</v>
      </c>
      <c r="CR74" t="s">
        <v>676</v>
      </c>
      <c r="CS74" t="s">
        <v>290</v>
      </c>
      <c r="CT74" t="s">
        <v>288</v>
      </c>
      <c r="CU74" t="s">
        <v>267</v>
      </c>
      <c r="CV74" t="s">
        <v>106</v>
      </c>
      <c r="CX74" t="s">
        <v>856</v>
      </c>
      <c r="DB74" t="s">
        <v>295</v>
      </c>
      <c r="DC74" t="s">
        <v>295</v>
      </c>
      <c r="DD74" t="s">
        <v>968</v>
      </c>
      <c r="DH74" t="s">
        <v>768</v>
      </c>
      <c r="DI74" t="s">
        <v>456</v>
      </c>
      <c r="DL74" t="s">
        <v>218</v>
      </c>
      <c r="DM74" t="s">
        <v>218</v>
      </c>
      <c r="DN74" t="s">
        <v>218</v>
      </c>
      <c r="DO74" t="s">
        <v>218</v>
      </c>
      <c r="EF74" t="s">
        <v>677</v>
      </c>
      <c r="EM74" t="s">
        <v>225</v>
      </c>
      <c r="EN74" t="s">
        <v>225</v>
      </c>
      <c r="EO74" t="s">
        <v>225</v>
      </c>
      <c r="EP74" t="s">
        <v>850</v>
      </c>
      <c r="EQ74" t="s">
        <v>850</v>
      </c>
      <c r="ER74" t="s">
        <v>850</v>
      </c>
      <c r="ES74" t="s">
        <v>850</v>
      </c>
      <c r="ET74" t="s">
        <v>850</v>
      </c>
      <c r="EU74" t="s">
        <v>850</v>
      </c>
      <c r="EV74" t="s">
        <v>850</v>
      </c>
      <c r="EW74" t="s">
        <v>850</v>
      </c>
      <c r="EX74" t="s">
        <v>850</v>
      </c>
      <c r="EY74" t="s">
        <v>850</v>
      </c>
      <c r="EZ74" t="s">
        <v>913</v>
      </c>
      <c r="FA74" t="s">
        <v>148</v>
      </c>
      <c r="FB74" t="s">
        <v>148</v>
      </c>
      <c r="FC74" t="s">
        <v>148</v>
      </c>
      <c r="FD74" t="s">
        <v>148</v>
      </c>
      <c r="FE74" t="s">
        <v>916</v>
      </c>
      <c r="FM74" t="str">
        <f t="shared" si="1"/>
        <v xml:space="preserve">    &lt;route id="Router3_73" edges="31909473.0 31909473.857 62634019#1-AddedOnRampEdge 62634019#1 30953036 424081476 424081472 424081473 424081470 30953025#0 30953025#2 30953025#3 30953025#4 50033060#0 12134479#5 450844973#0 388533144#0 388533144#6 388533144#11 450695475#0 137364609#0 137364609#3 137364609#5 450695473#0 386547305#0 gneE23 -gneE20.0 -gneE21.54 -gneE21.0 59435515#0 59435515#1 59435515#2 59435515#3 59435515#4 424801338#1 12117702#0 12117702#4 12117702#7 -32121146#3 12202008#2.0 12202008#2.171 62646499#2 450827424#0 450827405#0 262962062 -55179413#2 12187610#0 12187610#2 12187610#3 -62105579 12186909#0 12186909#1 12186909#2 12186909#4 12177521#2 12177521#3 211575484#1 485017379 -386995465#1 -386995504#1 -386995486#1 32121111#11 -12177521#0 -121319040#0 -51155368#5 -50033558#5 -50033558#3 -12188656 -121319046 -42706825#7 -42706825#4 -42706825#3 -42706825#1 194358815 194358817#0 194358817#1 194358817#2 12114363#0 12114363#1 -50033059#4 12175537#0 12175537#2 12175537#3 12175537#4 12175537#5 12175537#6 12175537#7 -43357814#2 42706837#4 42706837#5 42706837#6 42706837#7 42706837#8 42706837#9 12172918#0 12172918#1 12172918#2 gneE73 gneE75.0 gneE80.125"/&gt;</v>
      </c>
      <c r="FN74" t="s">
        <v>2516</v>
      </c>
      <c r="FO74" t="s">
        <v>1162</v>
      </c>
      <c r="FP74" t="s">
        <v>2591</v>
      </c>
    </row>
    <row r="75" spans="2:172" x14ac:dyDescent="0.25">
      <c r="B75" t="s">
        <v>759</v>
      </c>
      <c r="C75" t="s">
        <v>509</v>
      </c>
      <c r="D75" t="s">
        <v>509</v>
      </c>
      <c r="E75" t="s">
        <v>509</v>
      </c>
      <c r="F75" t="s">
        <v>509</v>
      </c>
      <c r="G75" t="s">
        <v>509</v>
      </c>
      <c r="H75" t="s">
        <v>509</v>
      </c>
      <c r="I75" t="s">
        <v>509</v>
      </c>
      <c r="J75" t="s">
        <v>509</v>
      </c>
      <c r="K75" t="s">
        <v>509</v>
      </c>
      <c r="L75" t="s">
        <v>509</v>
      </c>
      <c r="M75" t="s">
        <v>509</v>
      </c>
      <c r="N75" t="s">
        <v>509</v>
      </c>
      <c r="O75" t="s">
        <v>509</v>
      </c>
      <c r="P75" t="s">
        <v>509</v>
      </c>
      <c r="Q75" t="s">
        <v>509</v>
      </c>
      <c r="R75" t="s">
        <v>509</v>
      </c>
      <c r="S75" t="s">
        <v>120</v>
      </c>
      <c r="U75" t="s">
        <v>735</v>
      </c>
      <c r="W75" t="s">
        <v>274</v>
      </c>
      <c r="X75" t="s">
        <v>274</v>
      </c>
      <c r="Y75" t="s">
        <v>530</v>
      </c>
      <c r="Z75" t="s">
        <v>530</v>
      </c>
      <c r="AQ75" t="s">
        <v>257</v>
      </c>
      <c r="AR75" t="s">
        <v>371</v>
      </c>
      <c r="AV75" t="s">
        <v>255</v>
      </c>
      <c r="AW75" t="s">
        <v>596</v>
      </c>
      <c r="AY75" t="s">
        <v>225</v>
      </c>
      <c r="AZ75" t="s">
        <v>225</v>
      </c>
      <c r="BA75" t="s">
        <v>225</v>
      </c>
      <c r="BD75" t="s">
        <v>239</v>
      </c>
      <c r="BG75" t="s">
        <v>457</v>
      </c>
      <c r="BI75" t="s">
        <v>219</v>
      </c>
      <c r="BJ75" t="s">
        <v>219</v>
      </c>
      <c r="BM75" t="s">
        <v>1043</v>
      </c>
      <c r="BN75" t="s">
        <v>893</v>
      </c>
      <c r="BP75" t="s">
        <v>905</v>
      </c>
      <c r="BQ75" t="s">
        <v>894</v>
      </c>
      <c r="BS75" t="s">
        <v>403</v>
      </c>
      <c r="BT75" t="s">
        <v>984</v>
      </c>
      <c r="BU75" t="s">
        <v>984</v>
      </c>
      <c r="BV75" t="s">
        <v>984</v>
      </c>
      <c r="BW75" t="s">
        <v>74</v>
      </c>
      <c r="BY75" t="s">
        <v>367</v>
      </c>
      <c r="BZ75" t="s">
        <v>367</v>
      </c>
      <c r="CA75" t="s">
        <v>367</v>
      </c>
      <c r="CB75" t="s">
        <v>157</v>
      </c>
      <c r="CC75" t="s">
        <v>664</v>
      </c>
      <c r="CD75" t="s">
        <v>254</v>
      </c>
      <c r="CH75" t="s">
        <v>132</v>
      </c>
      <c r="CJ75" t="s">
        <v>252</v>
      </c>
      <c r="CK75" t="s">
        <v>59</v>
      </c>
      <c r="CL75" t="s">
        <v>865</v>
      </c>
      <c r="CM75" t="s">
        <v>954</v>
      </c>
      <c r="CN75" t="s">
        <v>954</v>
      </c>
      <c r="CO75" t="s">
        <v>18</v>
      </c>
      <c r="CP75" t="s">
        <v>1056</v>
      </c>
      <c r="CQ75" t="s">
        <v>1056</v>
      </c>
      <c r="CR75" t="s">
        <v>677</v>
      </c>
      <c r="CS75" t="s">
        <v>291</v>
      </c>
      <c r="CT75" t="s">
        <v>289</v>
      </c>
      <c r="CU75" t="s">
        <v>268</v>
      </c>
      <c r="CV75" t="s">
        <v>107</v>
      </c>
      <c r="CX75" t="s">
        <v>857</v>
      </c>
      <c r="DB75" t="s">
        <v>296</v>
      </c>
      <c r="DC75" t="s">
        <v>296</v>
      </c>
      <c r="DD75" t="s">
        <v>880</v>
      </c>
      <c r="DH75" t="s">
        <v>769</v>
      </c>
      <c r="DI75" t="s">
        <v>457</v>
      </c>
      <c r="DL75" t="s">
        <v>219</v>
      </c>
      <c r="DM75" t="s">
        <v>219</v>
      </c>
      <c r="DN75" t="s">
        <v>219</v>
      </c>
      <c r="DO75" t="s">
        <v>219</v>
      </c>
      <c r="EF75" t="s">
        <v>678</v>
      </c>
      <c r="EM75" t="s">
        <v>226</v>
      </c>
      <c r="EN75" t="s">
        <v>226</v>
      </c>
      <c r="EO75" t="s">
        <v>226</v>
      </c>
      <c r="EP75" t="s">
        <v>143</v>
      </c>
      <c r="EQ75" t="s">
        <v>143</v>
      </c>
      <c r="ER75" t="s">
        <v>143</v>
      </c>
      <c r="ES75" t="s">
        <v>143</v>
      </c>
      <c r="ET75" t="s">
        <v>143</v>
      </c>
      <c r="EU75" t="s">
        <v>143</v>
      </c>
      <c r="EV75" t="s">
        <v>143</v>
      </c>
      <c r="EW75" t="s">
        <v>143</v>
      </c>
      <c r="EX75" t="s">
        <v>143</v>
      </c>
      <c r="EY75" t="s">
        <v>143</v>
      </c>
      <c r="EZ75" t="s">
        <v>914</v>
      </c>
      <c r="FA75" t="s">
        <v>149</v>
      </c>
      <c r="FB75" t="s">
        <v>149</v>
      </c>
      <c r="FC75" t="s">
        <v>956</v>
      </c>
      <c r="FD75" t="s">
        <v>956</v>
      </c>
      <c r="FE75" t="s">
        <v>917</v>
      </c>
      <c r="FM75" t="str">
        <f t="shared" si="1"/>
        <v xml:space="preserve">    &lt;route id="Router3_74" edges="31909473.0 31909473.857 62634019#1-AddedOnRampEdge 62634019#1 30953036 424081476 424081472 424081473 424081470 30953025#0 30953025#2 30953025#3 30953025#4 50033060#0 12134479#5 450844973#0 388533144#0 388533144#6 388533144#11 450695475#0 137364609#0 137364609#3 137364609#5 450695473#0 386547305#0 gneE23 -gneE20.0 -gneE21.54 -gneE21.0 59435515#0 59435515#1 59435515#2 59435515#3 59435515#4 424801338#1 12117702#0 12117702#4 12117702#7 -32121146#3 12202008#2.0 12202008#2.171 62646499#2 450827424#0 450827405#0 262962062 -55179413#2 12187610#0 12187610#2 12187610#3 -62105579 12186909#0 12186909#1 12186909#2 12186909#4 12177521#2 12177521#3 211575484#1 485017379 -386995465#1 -386995504#1 -386995486#1 32121111#11 -12177521#0 -121319040#0 -51155368#5 -50033558#5 -50033558#3 -12188656 -121319046 -42706825#7 -42706825#4 -42706825#3 -42706825#1 194358815 194358817#0 194358817#1 194358817#2 12114363#0 12114363#1 -50033059#4 12175537#0 12175537#2 485017371#0 484953507#1 12182281#8 12182281#9 12167232#0 12167232#1 12167232#2 12152013#4 51050425#4 386995537 386995551 387422150#0 387422150#1 386995531#3 386995531#4 12172918#2 gneE73 gneE75.0 gneE80.125"/&gt;</v>
      </c>
      <c r="FN75" t="s">
        <v>2516</v>
      </c>
      <c r="FO75" t="s">
        <v>1163</v>
      </c>
      <c r="FP75" t="s">
        <v>2592</v>
      </c>
    </row>
    <row r="76" spans="2:172" x14ac:dyDescent="0.25">
      <c r="B76" t="s">
        <v>108</v>
      </c>
      <c r="C76" t="s">
        <v>95</v>
      </c>
      <c r="D76" t="s">
        <v>95</v>
      </c>
      <c r="E76" t="s">
        <v>95</v>
      </c>
      <c r="F76" t="s">
        <v>95</v>
      </c>
      <c r="G76" t="s">
        <v>95</v>
      </c>
      <c r="H76" t="s">
        <v>95</v>
      </c>
      <c r="I76" t="s">
        <v>95</v>
      </c>
      <c r="J76" t="s">
        <v>95</v>
      </c>
      <c r="K76" t="s">
        <v>95</v>
      </c>
      <c r="L76" t="s">
        <v>95</v>
      </c>
      <c r="M76" t="s">
        <v>95</v>
      </c>
      <c r="N76" t="s">
        <v>95</v>
      </c>
      <c r="O76" t="s">
        <v>95</v>
      </c>
      <c r="P76" t="s">
        <v>95</v>
      </c>
      <c r="Q76" t="s">
        <v>95</v>
      </c>
      <c r="R76" t="s">
        <v>95</v>
      </c>
      <c r="S76" t="s">
        <v>121</v>
      </c>
      <c r="U76" t="s">
        <v>736</v>
      </c>
      <c r="W76" t="s">
        <v>298</v>
      </c>
      <c r="X76" t="s">
        <v>298</v>
      </c>
      <c r="Y76" t="s">
        <v>277</v>
      </c>
      <c r="Z76" t="s">
        <v>277</v>
      </c>
      <c r="AQ76" t="s">
        <v>258</v>
      </c>
      <c r="AR76" t="s">
        <v>531</v>
      </c>
      <c r="AV76" t="s">
        <v>256</v>
      </c>
      <c r="AW76" t="s">
        <v>954</v>
      </c>
      <c r="AY76" t="s">
        <v>226</v>
      </c>
      <c r="AZ76" t="s">
        <v>226</v>
      </c>
      <c r="BA76" t="s">
        <v>226</v>
      </c>
      <c r="BG76" t="s">
        <v>1022</v>
      </c>
      <c r="BI76" t="s">
        <v>220</v>
      </c>
      <c r="BJ76" t="s">
        <v>220</v>
      </c>
      <c r="BM76" t="s">
        <v>1044</v>
      </c>
      <c r="BN76" t="s">
        <v>900</v>
      </c>
      <c r="BP76" t="s">
        <v>1045</v>
      </c>
      <c r="BQ76" t="s">
        <v>797</v>
      </c>
      <c r="BS76" t="s">
        <v>404</v>
      </c>
      <c r="BT76" t="s">
        <v>963</v>
      </c>
      <c r="BU76" t="s">
        <v>963</v>
      </c>
      <c r="BV76" t="s">
        <v>963</v>
      </c>
      <c r="BW76" t="s">
        <v>861</v>
      </c>
      <c r="BY76" t="s">
        <v>368</v>
      </c>
      <c r="BZ76" t="s">
        <v>368</v>
      </c>
      <c r="CA76" t="s">
        <v>368</v>
      </c>
      <c r="CB76" t="s">
        <v>158</v>
      </c>
      <c r="CC76" t="s">
        <v>64</v>
      </c>
      <c r="CD76" t="s">
        <v>255</v>
      </c>
      <c r="CH76" t="s">
        <v>133</v>
      </c>
      <c r="CJ76" t="s">
        <v>711</v>
      </c>
      <c r="CK76" t="s">
        <v>60</v>
      </c>
      <c r="CL76" t="s">
        <v>866</v>
      </c>
      <c r="CM76" t="s">
        <v>76</v>
      </c>
      <c r="CN76" t="s">
        <v>76</v>
      </c>
      <c r="CO76" t="s">
        <v>19</v>
      </c>
      <c r="CP76" t="s">
        <v>245</v>
      </c>
      <c r="CQ76" t="s">
        <v>245</v>
      </c>
      <c r="CR76" t="s">
        <v>996</v>
      </c>
      <c r="CS76" t="s">
        <v>292</v>
      </c>
      <c r="CT76" t="s">
        <v>290</v>
      </c>
      <c r="CU76" t="s">
        <v>269</v>
      </c>
      <c r="CV76" t="s">
        <v>383</v>
      </c>
      <c r="CX76" t="s">
        <v>55</v>
      </c>
      <c r="DB76" t="s">
        <v>297</v>
      </c>
      <c r="DC76" t="s">
        <v>297</v>
      </c>
      <c r="DD76" t="s">
        <v>830</v>
      </c>
      <c r="DH76" t="s">
        <v>632</v>
      </c>
      <c r="DI76" t="s">
        <v>1022</v>
      </c>
      <c r="DL76" t="s">
        <v>220</v>
      </c>
      <c r="DM76" t="s">
        <v>220</v>
      </c>
      <c r="DN76" t="s">
        <v>220</v>
      </c>
      <c r="DO76" t="s">
        <v>220</v>
      </c>
      <c r="EF76" t="s">
        <v>21</v>
      </c>
      <c r="EM76" t="s">
        <v>187</v>
      </c>
      <c r="EN76" t="s">
        <v>488</v>
      </c>
      <c r="EO76" t="s">
        <v>488</v>
      </c>
      <c r="EP76" t="s">
        <v>61</v>
      </c>
      <c r="EQ76" t="s">
        <v>61</v>
      </c>
      <c r="ER76" t="s">
        <v>61</v>
      </c>
      <c r="ES76" t="s">
        <v>61</v>
      </c>
      <c r="ET76" t="s">
        <v>61</v>
      </c>
      <c r="EU76" t="s">
        <v>61</v>
      </c>
      <c r="EV76" t="s">
        <v>61</v>
      </c>
      <c r="EW76" t="s">
        <v>61</v>
      </c>
      <c r="EX76" t="s">
        <v>61</v>
      </c>
      <c r="EY76" t="s">
        <v>144</v>
      </c>
      <c r="EZ76" t="s">
        <v>915</v>
      </c>
      <c r="FA76" t="s">
        <v>997</v>
      </c>
      <c r="FB76" t="s">
        <v>997</v>
      </c>
      <c r="FC76" t="s">
        <v>957</v>
      </c>
      <c r="FD76" t="s">
        <v>957</v>
      </c>
      <c r="FE76" t="s">
        <v>918</v>
      </c>
      <c r="FM76" t="str">
        <f t="shared" si="1"/>
        <v xml:space="preserve">    &lt;route id="Router3_75" edges="31909473.0 31909473.857 62634019#1-AddedOnRampEdge 62634019#1 30953036 424081476 424081472 424081473 424081470 30953025#0 30953025#2 30953025#3 30953025#4 50033060#0 12134479#5 450844973#0 388533144#0 388533144#6 388533144#11 450695475#0 137364609#0 137364609#3 137364609#5 450695473#0 386547305#0 gneE23 -gneE20.0 -gneE21.54 -gneE21.0 59435515#0 59435515#1 59435515#2 59435515#3 59435515#4 424801338#1 12117702#0 12117702#4 12117702#7 -32121146#3 12202008#2.0 12202008#2.171 62646499#2 450827424#0 450827405#0 262962062 -55179413#2 12187610#0 12187610#2 12187610#3 -62105579 12186909#0 12186909#1 12186909#2 51155368#11 42706831#0 42706831#4 42706831#5 42706831#6 32121234#0 32121234#1 32121234#2 50033558#2 50033558#3 50033558#4 50033558#6 50033058#0 386995514#9 386995486#0 32121111#11 -12177521#0 -121319040#0 -51155368#5 -50033558#5 -50033558#3 -12188656 -121319046 -42706825#7 -42706825#4 -42706825#3 -42706825#1 -484953510#2 -484953510#1 -484953510#0 gneE37 gneE38 -12159761#2 -12159761#1 -12159761#0 12114363#0 12114363#1 -50033059#4 12175537#0 12175537#2 12175537#3 12175537#4 12162659#2 12159485 12161358#7 12161358#8 386995507#6 386995507#7 386995521#0 386995521#1 12154359#3 12154359#4 12154359#5 12154359#6 12154359#7 101350669 -386995537 -386995526#1 -386995526#0 -43357814#3 -43357814#2 42706837#4 42706837#5 42706837#6 42706837#7 42706837#8 42706837#9 12172918#0 12172918#1 12172918#2 gneE73 gneE75.0 gneE80.125"/&gt;</v>
      </c>
      <c r="FN76" t="s">
        <v>2516</v>
      </c>
      <c r="FO76" t="s">
        <v>1164</v>
      </c>
      <c r="FP76" t="s">
        <v>2593</v>
      </c>
    </row>
    <row r="77" spans="2:172" x14ac:dyDescent="0.25">
      <c r="B77" t="s">
        <v>109</v>
      </c>
      <c r="C77" t="s">
        <v>96</v>
      </c>
      <c r="D77" t="s">
        <v>96</v>
      </c>
      <c r="E77" t="s">
        <v>96</v>
      </c>
      <c r="F77" t="s">
        <v>96</v>
      </c>
      <c r="G77" t="s">
        <v>96</v>
      </c>
      <c r="H77" t="s">
        <v>96</v>
      </c>
      <c r="I77" t="s">
        <v>96</v>
      </c>
      <c r="J77" t="s">
        <v>96</v>
      </c>
      <c r="K77" t="s">
        <v>96</v>
      </c>
      <c r="L77" t="s">
        <v>96</v>
      </c>
      <c r="M77" t="s">
        <v>96</v>
      </c>
      <c r="N77" t="s">
        <v>96</v>
      </c>
      <c r="O77" t="s">
        <v>96</v>
      </c>
      <c r="P77" t="s">
        <v>96</v>
      </c>
      <c r="Q77" t="s">
        <v>96</v>
      </c>
      <c r="R77" t="s">
        <v>96</v>
      </c>
      <c r="S77" t="s">
        <v>122</v>
      </c>
      <c r="U77" t="s">
        <v>46</v>
      </c>
      <c r="W77" t="s">
        <v>299</v>
      </c>
      <c r="X77" t="s">
        <v>299</v>
      </c>
      <c r="Y77" t="s">
        <v>370</v>
      </c>
      <c r="Z77" t="s">
        <v>370</v>
      </c>
      <c r="AR77" t="s">
        <v>532</v>
      </c>
      <c r="AV77" t="s">
        <v>257</v>
      </c>
      <c r="AW77" t="s">
        <v>76</v>
      </c>
      <c r="AY77" t="s">
        <v>488</v>
      </c>
      <c r="AZ77" t="s">
        <v>488</v>
      </c>
      <c r="BA77" t="s">
        <v>488</v>
      </c>
      <c r="BG77" t="s">
        <v>387</v>
      </c>
      <c r="BI77" t="s">
        <v>221</v>
      </c>
      <c r="BJ77" t="s">
        <v>221</v>
      </c>
      <c r="BM77" t="s">
        <v>117</v>
      </c>
      <c r="BN77" t="s">
        <v>907</v>
      </c>
      <c r="BP77" t="s">
        <v>784</v>
      </c>
      <c r="BQ77" t="s">
        <v>798</v>
      </c>
      <c r="BS77" t="s">
        <v>979</v>
      </c>
      <c r="BT77" t="s">
        <v>964</v>
      </c>
      <c r="BU77" t="s">
        <v>964</v>
      </c>
      <c r="BV77" t="s">
        <v>964</v>
      </c>
      <c r="BW77" t="s">
        <v>862</v>
      </c>
      <c r="BY77" t="s">
        <v>369</v>
      </c>
      <c r="BZ77" t="s">
        <v>369</v>
      </c>
      <c r="CA77" t="s">
        <v>369</v>
      </c>
      <c r="CB77" t="s">
        <v>159</v>
      </c>
      <c r="CC77" t="s">
        <v>928</v>
      </c>
      <c r="CD77" t="s">
        <v>256</v>
      </c>
      <c r="CH77" t="s">
        <v>134</v>
      </c>
      <c r="CJ77" t="s">
        <v>712</v>
      </c>
      <c r="CK77" t="s">
        <v>61</v>
      </c>
      <c r="CL77" t="s">
        <v>867</v>
      </c>
      <c r="CM77" t="s">
        <v>77</v>
      </c>
      <c r="CN77" t="s">
        <v>77</v>
      </c>
      <c r="CO77" t="s">
        <v>20</v>
      </c>
      <c r="CP77" t="s">
        <v>821</v>
      </c>
      <c r="CQ77" t="s">
        <v>821</v>
      </c>
      <c r="CR77" t="s">
        <v>966</v>
      </c>
      <c r="CS77" t="s">
        <v>293</v>
      </c>
      <c r="CT77" t="s">
        <v>291</v>
      </c>
      <c r="CU77" t="s">
        <v>270</v>
      </c>
      <c r="CV77" t="s">
        <v>384</v>
      </c>
      <c r="CX77" t="s">
        <v>56</v>
      </c>
      <c r="DB77" t="s">
        <v>272</v>
      </c>
      <c r="DC77" t="s">
        <v>272</v>
      </c>
      <c r="DD77" t="s">
        <v>142</v>
      </c>
      <c r="DH77" t="s">
        <v>633</v>
      </c>
      <c r="DI77" t="s">
        <v>387</v>
      </c>
      <c r="DL77" t="s">
        <v>221</v>
      </c>
      <c r="DM77" t="s">
        <v>221</v>
      </c>
      <c r="DN77" t="s">
        <v>221</v>
      </c>
      <c r="DO77" t="s">
        <v>221</v>
      </c>
      <c r="EF77" t="s">
        <v>22</v>
      </c>
      <c r="EM77" t="s">
        <v>188</v>
      </c>
      <c r="EN77" t="s">
        <v>399</v>
      </c>
      <c r="EO77" t="s">
        <v>399</v>
      </c>
      <c r="EP77" t="s">
        <v>62</v>
      </c>
      <c r="EQ77" t="s">
        <v>62</v>
      </c>
      <c r="ER77" t="s">
        <v>62</v>
      </c>
      <c r="ES77" t="s">
        <v>62</v>
      </c>
      <c r="ET77" t="s">
        <v>62</v>
      </c>
      <c r="EU77" t="s">
        <v>62</v>
      </c>
      <c r="EV77" t="s">
        <v>62</v>
      </c>
      <c r="EW77" t="s">
        <v>62</v>
      </c>
      <c r="EX77" t="s">
        <v>62</v>
      </c>
      <c r="EY77" t="s">
        <v>145</v>
      </c>
      <c r="EZ77" t="s">
        <v>916</v>
      </c>
      <c r="FA77" t="s">
        <v>1088</v>
      </c>
      <c r="FB77" t="s">
        <v>1088</v>
      </c>
      <c r="FC77" t="s">
        <v>832</v>
      </c>
      <c r="FD77" t="s">
        <v>832</v>
      </c>
      <c r="FE77" t="s">
        <v>919</v>
      </c>
      <c r="FM77" t="str">
        <f t="shared" si="1"/>
        <v xml:space="preserve">    &lt;route id="Router3_76" edges="31909473.0 31909473.857 62634019#1-AddedOnRampEdge 62634019#1 30953036 424081476 424081472 424081473 424081470 30953025#0 30953025#2 30953025#3 30953025#4 50033060#0 12134479#5 450844973#0 388533144#0 388533144#6 388533144#11 450695475#0 137364609#0 137364609#3 137364609#5 450695473#0 386547305#0 gneE23 -gneE20.0 -gneE21.54 -gneE21.0 gneE36 --gneE83.0"/&gt;</v>
      </c>
      <c r="FN77" t="s">
        <v>2516</v>
      </c>
      <c r="FO77" t="s">
        <v>1165</v>
      </c>
      <c r="FP77" t="s">
        <v>2594</v>
      </c>
    </row>
    <row r="78" spans="2:172" x14ac:dyDescent="0.25">
      <c r="B78" t="s">
        <v>110</v>
      </c>
      <c r="C78" t="s">
        <v>97</v>
      </c>
      <c r="D78" t="s">
        <v>97</v>
      </c>
      <c r="E78" t="s">
        <v>97</v>
      </c>
      <c r="F78" t="s">
        <v>97</v>
      </c>
      <c r="G78" t="s">
        <v>97</v>
      </c>
      <c r="H78" t="s">
        <v>97</v>
      </c>
      <c r="I78" t="s">
        <v>97</v>
      </c>
      <c r="J78" t="s">
        <v>97</v>
      </c>
      <c r="K78" t="s">
        <v>97</v>
      </c>
      <c r="L78" t="s">
        <v>97</v>
      </c>
      <c r="M78" t="s">
        <v>97</v>
      </c>
      <c r="N78" t="s">
        <v>97</v>
      </c>
      <c r="O78" t="s">
        <v>97</v>
      </c>
      <c r="P78" t="s">
        <v>97</v>
      </c>
      <c r="Q78" t="s">
        <v>97</v>
      </c>
      <c r="R78" t="s">
        <v>97</v>
      </c>
      <c r="S78" t="s">
        <v>123</v>
      </c>
      <c r="U78" t="s">
        <v>47</v>
      </c>
      <c r="W78" t="s">
        <v>300</v>
      </c>
      <c r="X78" t="s">
        <v>300</v>
      </c>
      <c r="Y78" t="s">
        <v>371</v>
      </c>
      <c r="Z78" t="s">
        <v>371</v>
      </c>
      <c r="AR78" t="s">
        <v>574</v>
      </c>
      <c r="AV78" t="s">
        <v>258</v>
      </c>
      <c r="AW78" t="s">
        <v>77</v>
      </c>
      <c r="AY78" t="s">
        <v>399</v>
      </c>
      <c r="AZ78" t="s">
        <v>399</v>
      </c>
      <c r="BA78" t="s">
        <v>399</v>
      </c>
      <c r="BG78" t="s">
        <v>860</v>
      </c>
      <c r="BI78" t="s">
        <v>222</v>
      </c>
      <c r="BJ78" t="s">
        <v>222</v>
      </c>
      <c r="BM78" t="s">
        <v>118</v>
      </c>
      <c r="BN78" t="s">
        <v>779</v>
      </c>
      <c r="BP78" t="s">
        <v>785</v>
      </c>
      <c r="BQ78" t="s">
        <v>642</v>
      </c>
      <c r="BS78" t="s">
        <v>980</v>
      </c>
      <c r="BT78" t="s">
        <v>965</v>
      </c>
      <c r="BU78" t="s">
        <v>965</v>
      </c>
      <c r="BV78" t="s">
        <v>965</v>
      </c>
      <c r="BW78" t="s">
        <v>593</v>
      </c>
      <c r="BY78" t="s">
        <v>284</v>
      </c>
      <c r="BZ78" t="s">
        <v>284</v>
      </c>
      <c r="CA78" t="s">
        <v>284</v>
      </c>
      <c r="CB78" t="s">
        <v>160</v>
      </c>
      <c r="CC78" t="s">
        <v>989</v>
      </c>
      <c r="CD78" t="s">
        <v>257</v>
      </c>
      <c r="CH78" t="s">
        <v>135</v>
      </c>
      <c r="CJ78" t="s">
        <v>254</v>
      </c>
      <c r="CK78" t="s">
        <v>62</v>
      </c>
      <c r="CL78" t="s">
        <v>672</v>
      </c>
      <c r="CM78" t="s">
        <v>211</v>
      </c>
      <c r="CN78" t="s">
        <v>211</v>
      </c>
      <c r="CO78" t="s">
        <v>21</v>
      </c>
      <c r="CP78" t="s">
        <v>822</v>
      </c>
      <c r="CQ78" t="s">
        <v>822</v>
      </c>
      <c r="CR78" t="s">
        <v>967</v>
      </c>
      <c r="CS78" t="s">
        <v>471</v>
      </c>
      <c r="CT78" t="s">
        <v>292</v>
      </c>
      <c r="CU78" t="s">
        <v>271</v>
      </c>
      <c r="CV78" t="s">
        <v>504</v>
      </c>
      <c r="CX78" t="s">
        <v>18</v>
      </c>
      <c r="DB78" t="s">
        <v>530</v>
      </c>
      <c r="DC78" t="s">
        <v>530</v>
      </c>
      <c r="DD78" t="s">
        <v>143</v>
      </c>
      <c r="DH78" t="s">
        <v>634</v>
      </c>
      <c r="DI78" t="s">
        <v>860</v>
      </c>
      <c r="DL78" t="s">
        <v>222</v>
      </c>
      <c r="DM78" t="s">
        <v>222</v>
      </c>
      <c r="DN78" t="s">
        <v>222</v>
      </c>
      <c r="DO78" t="s">
        <v>222</v>
      </c>
      <c r="EF78" t="s">
        <v>23</v>
      </c>
      <c r="EM78" t="s">
        <v>189</v>
      </c>
      <c r="EN78" t="s">
        <v>400</v>
      </c>
      <c r="EO78" t="s">
        <v>515</v>
      </c>
      <c r="EP78" t="s">
        <v>63</v>
      </c>
      <c r="EQ78" t="s">
        <v>63</v>
      </c>
      <c r="ER78" t="s">
        <v>63</v>
      </c>
      <c r="ES78" t="s">
        <v>63</v>
      </c>
      <c r="ET78" t="s">
        <v>63</v>
      </c>
      <c r="EU78" t="s">
        <v>63</v>
      </c>
      <c r="EV78" t="s">
        <v>63</v>
      </c>
      <c r="EW78" t="s">
        <v>648</v>
      </c>
      <c r="EX78" t="s">
        <v>648</v>
      </c>
      <c r="EY78" t="s">
        <v>146</v>
      </c>
      <c r="EZ78" t="s">
        <v>917</v>
      </c>
      <c r="FA78" t="s">
        <v>957</v>
      </c>
      <c r="FB78" t="s">
        <v>957</v>
      </c>
      <c r="FC78" t="s">
        <v>833</v>
      </c>
      <c r="FD78" t="s">
        <v>833</v>
      </c>
      <c r="FE78" t="s">
        <v>430</v>
      </c>
      <c r="FM78" t="str">
        <f t="shared" si="1"/>
        <v xml:space="preserve">    &lt;route id="Router3_77" edges="31909473.0 31909473.857 62634019#1-AddedOnRampEdge 62634019#1 62634019#2.0 62634019#2.242 62634019#3-AddedOnRampEdge 62634019#3 62634019#3-AddedOffRampEdge 12111747.0 12189453#0.0.0 450844982#0.19 62203497#0 62203497#2 62203497#3 12134479#1 34685684#0 34685684#2 450844947#0 388533142#0 388533142#2 12189045#0 62623987#0 62623987#1 -12142631 12202018 62623986#1 62623986#2 -12189051#1 424080770#0 424080772#0 424080772#2 386547297#0 424080771#0 424080767#0 386547298#0 424769177 424080769#0 55179414#0 12187610#0 -484953508#2 424801339#0 62646509#0 424801338#0 424801338#1 12117702#0 12117702#4 12117702#7 -32121146#3 -32121146#1 55179413#0 424769182 -450827405#2 -450827400#2 -450827382 -450827385#1 12134222#0 12134222#2 12134222#3 386547311#11 386547311#13 357338496#0 357338496#2 450695461#0 62646494#0 424801336#0 484842168#0 283621820 -28555309#1 -424801341 -283621822#1 -424801343#1 -424801343#0 49991658 424801340 424801342 386550018#0 386550018#0-AddedOffRampEdge 386550018#1 49991638 -12144161#0 12144161#0 12144161#1 49991657 283621821#1 283621821#1-AddedOffRampEdge 283621821#2 49991647#1 49991647#2 63060732#0 63060732#1 63060732#2.0 63060732#2.116 50033027 -50033029 50033050#0 50033050#2 424799828 424799825 424799826 50033054 63060727 50033029 50033028#0 50033028#3 50033028#5 50033028#6 49991646 386547300#0 283621823 386547301-AddedOnRampEdge 386547301 424801344#0 424801343#1 283621822#0 424801341 28555309#0 49991649#0 424986163#0 51049946#0 424801337#0 357338497#0 357338497#2 450695460#0 62646499#0 62646499#2 450827424#0 62646508#0 62646508#2 424799820 424799823#0 50033059#0 50033059#2 50033059#3 50033059#4 388756839#0 388756839#1 388756838#0 12136923#0 386547309#0 386547309#2 386547309#3 386547309#5 386547309#7 51050030#4 51050030#7 gneE35 -gneE34.0 --gneE83.0"/&gt;</v>
      </c>
      <c r="FN78" t="s">
        <v>2516</v>
      </c>
      <c r="FO78" t="s">
        <v>1166</v>
      </c>
      <c r="FP78" t="s">
        <v>2595</v>
      </c>
    </row>
    <row r="79" spans="2:172" x14ac:dyDescent="0.25">
      <c r="B79" t="s">
        <v>111</v>
      </c>
      <c r="C79" t="s">
        <v>98</v>
      </c>
      <c r="D79" t="s">
        <v>98</v>
      </c>
      <c r="E79" t="s">
        <v>98</v>
      </c>
      <c r="F79" t="s">
        <v>98</v>
      </c>
      <c r="G79" t="s">
        <v>98</v>
      </c>
      <c r="H79" t="s">
        <v>98</v>
      </c>
      <c r="I79" t="s">
        <v>98</v>
      </c>
      <c r="J79" t="s">
        <v>98</v>
      </c>
      <c r="K79" t="s">
        <v>98</v>
      </c>
      <c r="L79" t="s">
        <v>98</v>
      </c>
      <c r="M79" t="s">
        <v>98</v>
      </c>
      <c r="N79" t="s">
        <v>98</v>
      </c>
      <c r="O79" t="s">
        <v>98</v>
      </c>
      <c r="P79" t="s">
        <v>98</v>
      </c>
      <c r="Q79" t="s">
        <v>98</v>
      </c>
      <c r="R79" t="s">
        <v>98</v>
      </c>
      <c r="S79" t="s">
        <v>124</v>
      </c>
      <c r="U79" t="s">
        <v>48</v>
      </c>
      <c r="W79" t="s">
        <v>301</v>
      </c>
      <c r="X79" t="s">
        <v>301</v>
      </c>
      <c r="Y79" t="s">
        <v>372</v>
      </c>
      <c r="Z79" t="s">
        <v>372</v>
      </c>
      <c r="AR79" t="s">
        <v>278</v>
      </c>
      <c r="AW79" t="s">
        <v>211</v>
      </c>
      <c r="AY79" t="s">
        <v>400</v>
      </c>
      <c r="AZ79" t="s">
        <v>400</v>
      </c>
      <c r="BA79" t="s">
        <v>400</v>
      </c>
      <c r="BG79" t="s">
        <v>861</v>
      </c>
      <c r="BI79" t="s">
        <v>223</v>
      </c>
      <c r="BJ79" t="s">
        <v>223</v>
      </c>
      <c r="BM79" t="s">
        <v>119</v>
      </c>
      <c r="BN79" t="s">
        <v>780</v>
      </c>
      <c r="BP79" t="s">
        <v>786</v>
      </c>
      <c r="BQ79" t="s">
        <v>643</v>
      </c>
      <c r="BS79" t="s">
        <v>981</v>
      </c>
      <c r="BT79" t="s">
        <v>985</v>
      </c>
      <c r="BU79" t="s">
        <v>985</v>
      </c>
      <c r="BV79" t="s">
        <v>985</v>
      </c>
      <c r="BW79" t="s">
        <v>747</v>
      </c>
      <c r="BY79" t="s">
        <v>285</v>
      </c>
      <c r="BZ79" t="s">
        <v>285</v>
      </c>
      <c r="CA79" t="s">
        <v>285</v>
      </c>
      <c r="CB79" t="s">
        <v>161</v>
      </c>
      <c r="CC79" t="s">
        <v>990</v>
      </c>
      <c r="CD79" t="s">
        <v>258</v>
      </c>
      <c r="CH79" t="s">
        <v>136</v>
      </c>
      <c r="CJ79" t="s">
        <v>255</v>
      </c>
      <c r="CK79" t="s">
        <v>648</v>
      </c>
      <c r="CL79" t="s">
        <v>673</v>
      </c>
      <c r="CM79" t="s">
        <v>820</v>
      </c>
      <c r="CN79" t="s">
        <v>820</v>
      </c>
      <c r="CO79" t="s">
        <v>22</v>
      </c>
      <c r="CP79" t="s">
        <v>823</v>
      </c>
      <c r="CQ79" t="s">
        <v>823</v>
      </c>
      <c r="CR79" t="s">
        <v>968</v>
      </c>
      <c r="CS79" t="s">
        <v>529</v>
      </c>
      <c r="CT79" t="s">
        <v>293</v>
      </c>
      <c r="CU79" t="s">
        <v>367</v>
      </c>
      <c r="CV79" t="s">
        <v>505</v>
      </c>
      <c r="CX79" t="s">
        <v>19</v>
      </c>
      <c r="DB79" t="s">
        <v>277</v>
      </c>
      <c r="DC79" t="s">
        <v>277</v>
      </c>
      <c r="DD79" t="s">
        <v>144</v>
      </c>
      <c r="DH79" t="s">
        <v>635</v>
      </c>
      <c r="DI79" t="s">
        <v>861</v>
      </c>
      <c r="DL79" t="s">
        <v>223</v>
      </c>
      <c r="DM79" t="s">
        <v>223</v>
      </c>
      <c r="DN79" t="s">
        <v>223</v>
      </c>
      <c r="DO79" t="s">
        <v>223</v>
      </c>
      <c r="EF79" t="s">
        <v>24</v>
      </c>
      <c r="EM79" t="s">
        <v>190</v>
      </c>
      <c r="EN79" t="s">
        <v>401</v>
      </c>
      <c r="EO79" t="s">
        <v>516</v>
      </c>
      <c r="EP79" t="s">
        <v>64</v>
      </c>
      <c r="EQ79" t="s">
        <v>64</v>
      </c>
      <c r="ER79" t="s">
        <v>64</v>
      </c>
      <c r="ES79" t="s">
        <v>64</v>
      </c>
      <c r="ET79" t="s">
        <v>64</v>
      </c>
      <c r="EU79" t="s">
        <v>64</v>
      </c>
      <c r="EV79" t="s">
        <v>64</v>
      </c>
      <c r="EW79" t="s">
        <v>418</v>
      </c>
      <c r="EX79" t="s">
        <v>418</v>
      </c>
      <c r="EY79" t="s">
        <v>147</v>
      </c>
      <c r="EZ79" t="s">
        <v>918</v>
      </c>
      <c r="FA79" t="s">
        <v>832</v>
      </c>
      <c r="FB79" t="s">
        <v>832</v>
      </c>
      <c r="FC79" t="s">
        <v>943</v>
      </c>
      <c r="FD79" t="s">
        <v>943</v>
      </c>
      <c r="FE79" t="s">
        <v>431</v>
      </c>
      <c r="FM79" t="str">
        <f t="shared" si="1"/>
        <v xml:space="preserve">    &lt;route id="Router3_78" edges="31909473.0 31909473.857 62634019#1-AddedOnRampEdge 62634019#1 62634019#2.0 62634019#2.242 62634019#3-AddedOnRampEdge 62634019#3 62634019#3-AddedOffRampEdge 12111747.0 12189453#0.0.0 450844982#0.19 62203497#0 62203497#2 62203497#3 12134479#1 34685684#0 34685684#2 450844947#0 388533142#0 388533142#2 12189045#0 62623987#0 62623987#1 -12142631 12202018 62623986#1 62623986#2 -12189051#1 424080770#0 424080772#0 424080772#2 386547297#0 424080771#0 424080767#0 386547298#0 424769177 424080769#0 55179414#0 12187610#0 -484953508#2 424801339#0 62646509#0 424801338#0 424801338#1 12117702#0 12117702#4 12117702#7 -32121146#3 -32121146#1 55179413#0 424769182 -450827405#2 -450827400#2 -450827382 -450827385#1 12134222#0 12134222#2 12134222#3 386547311#11 386547311#13 357338496#0 357338496#2 450695461#0 62646494#0 424801336#0 484842168#0 283621820 -28555309#1 -424801341 -283621822#1 -424801343#1 -424801343#0 49991658 424801340 424801342 386550018#0 386550018#0-AddedOffRampEdge 386550018#1 49991638 -12144161#0 12144161#0 12144161#1 49991657 283621821#1 283621821#1-AddedOffRampEdge 283621821#2 49991647#1 49991647#2 63060732#0 63060732#1 63060732#2.0 63060732#2.116 50033027 -50033029 50033050#0 50033050#2 424799828 424799825 424799826 50033054 63060727 50033029 50033028#0 50033028#3 50033028#5 50033028#6 49991646 386547300#0 283621823 386547301-AddedOnRampEdge 386547301 424801344#0 424801343#1 283621822#0 424801341 28555309#0 49991649#0 424986163#0 51049946#0 424801337#0 357338497#0 357338497#2 450695460#0 62646499#0 62646499#2 450827424#0 62646508#0 62646508#2 424799820 424799823#0 50033059#0 50033059#2 50033059#3 50033059#4 388756839#0 388756839#1 388756838#0 12136923#0 386547309#0 386547309#2 386547309#3 386547309#5 484953510#2 42706825#0 42706825#2 42706825#4 42706825#5 424799823#0 42706833#0 42706833#2 -42706825#7 12199713#0 12199713#1 -386995514#6 -386995514#5 -386995514#4 -386995514#3 -386995514#2 -386995514#1 12159500#1 12159500#2 51050030#7 gneE35 -gneE34.0 --gneE83.0"/&gt;</v>
      </c>
      <c r="FN79" t="s">
        <v>2516</v>
      </c>
      <c r="FO79" t="s">
        <v>1167</v>
      </c>
      <c r="FP79" t="s">
        <v>2596</v>
      </c>
    </row>
    <row r="80" spans="2:172" x14ac:dyDescent="0.25">
      <c r="B80" t="s">
        <v>112</v>
      </c>
      <c r="C80" t="s">
        <v>91</v>
      </c>
      <c r="D80" t="s">
        <v>91</v>
      </c>
      <c r="E80" t="s">
        <v>91</v>
      </c>
      <c r="F80" t="s">
        <v>91</v>
      </c>
      <c r="G80" t="s">
        <v>91</v>
      </c>
      <c r="H80" t="s">
        <v>91</v>
      </c>
      <c r="I80" t="s">
        <v>91</v>
      </c>
      <c r="J80" t="s">
        <v>91</v>
      </c>
      <c r="K80" t="s">
        <v>91</v>
      </c>
      <c r="L80" t="s">
        <v>91</v>
      </c>
      <c r="M80" t="s">
        <v>91</v>
      </c>
      <c r="N80" t="s">
        <v>91</v>
      </c>
      <c r="O80" t="s">
        <v>91</v>
      </c>
      <c r="P80" t="s">
        <v>91</v>
      </c>
      <c r="Q80" t="s">
        <v>91</v>
      </c>
      <c r="R80" t="s">
        <v>91</v>
      </c>
      <c r="S80" t="s">
        <v>125</v>
      </c>
      <c r="U80" t="s">
        <v>49</v>
      </c>
      <c r="W80" t="s">
        <v>302</v>
      </c>
      <c r="X80" t="s">
        <v>302</v>
      </c>
      <c r="Y80" t="s">
        <v>373</v>
      </c>
      <c r="Z80" t="s">
        <v>373</v>
      </c>
      <c r="AR80" t="s">
        <v>279</v>
      </c>
      <c r="AW80" t="s">
        <v>820</v>
      </c>
      <c r="AY80" t="s">
        <v>401</v>
      </c>
      <c r="AZ80" t="s">
        <v>401</v>
      </c>
      <c r="BA80" t="s">
        <v>401</v>
      </c>
      <c r="BG80" t="s">
        <v>862</v>
      </c>
      <c r="BI80" t="s">
        <v>224</v>
      </c>
      <c r="BJ80" t="s">
        <v>224</v>
      </c>
      <c r="BM80" t="s">
        <v>178</v>
      </c>
      <c r="BN80" t="s">
        <v>775</v>
      </c>
      <c r="BP80" t="s">
        <v>33</v>
      </c>
      <c r="BQ80" t="s">
        <v>644</v>
      </c>
      <c r="BS80" t="s">
        <v>884</v>
      </c>
      <c r="BT80" t="s">
        <v>986</v>
      </c>
      <c r="BU80" t="s">
        <v>986</v>
      </c>
      <c r="BV80" t="s">
        <v>986</v>
      </c>
      <c r="BW80" t="s">
        <v>748</v>
      </c>
      <c r="BY80" t="s">
        <v>286</v>
      </c>
      <c r="BZ80" t="s">
        <v>286</v>
      </c>
      <c r="CA80" t="s">
        <v>286</v>
      </c>
      <c r="CC80" t="s">
        <v>991</v>
      </c>
      <c r="CH80" t="s">
        <v>137</v>
      </c>
      <c r="CJ80" t="s">
        <v>256</v>
      </c>
      <c r="CK80" t="s">
        <v>418</v>
      </c>
      <c r="CL80" t="s">
        <v>674</v>
      </c>
      <c r="CM80" t="s">
        <v>260</v>
      </c>
      <c r="CN80" t="s">
        <v>260</v>
      </c>
      <c r="CO80" t="s">
        <v>23</v>
      </c>
      <c r="CP80" t="s">
        <v>817</v>
      </c>
      <c r="CQ80" t="s">
        <v>817</v>
      </c>
      <c r="CR80" t="s">
        <v>880</v>
      </c>
      <c r="CS80" t="s">
        <v>295</v>
      </c>
      <c r="CT80" t="s">
        <v>471</v>
      </c>
      <c r="CU80" t="s">
        <v>368</v>
      </c>
      <c r="CV80" t="s">
        <v>506</v>
      </c>
      <c r="CX80" t="s">
        <v>20</v>
      </c>
      <c r="DB80" t="s">
        <v>370</v>
      </c>
      <c r="DC80" t="s">
        <v>370</v>
      </c>
      <c r="DD80" t="s">
        <v>145</v>
      </c>
      <c r="DH80" t="s">
        <v>458</v>
      </c>
      <c r="DI80" t="s">
        <v>862</v>
      </c>
      <c r="DL80" t="s">
        <v>224</v>
      </c>
      <c r="DM80" t="s">
        <v>224</v>
      </c>
      <c r="DN80" t="s">
        <v>224</v>
      </c>
      <c r="DO80" t="s">
        <v>224</v>
      </c>
      <c r="EF80" t="s">
        <v>25</v>
      </c>
      <c r="EM80" t="s">
        <v>191</v>
      </c>
      <c r="EN80" t="s">
        <v>402</v>
      </c>
      <c r="EO80" t="s">
        <v>517</v>
      </c>
      <c r="EP80" t="s">
        <v>65</v>
      </c>
      <c r="EQ80" t="s">
        <v>65</v>
      </c>
      <c r="ER80" t="s">
        <v>65</v>
      </c>
      <c r="ES80" t="s">
        <v>65</v>
      </c>
      <c r="ET80" t="s">
        <v>65</v>
      </c>
      <c r="EU80" t="s">
        <v>65</v>
      </c>
      <c r="EV80" t="s">
        <v>65</v>
      </c>
      <c r="EW80" t="s">
        <v>649</v>
      </c>
      <c r="EX80" t="s">
        <v>419</v>
      </c>
      <c r="EY80" t="s">
        <v>148</v>
      </c>
      <c r="EZ80" t="s">
        <v>919</v>
      </c>
      <c r="FA80" t="s">
        <v>833</v>
      </c>
      <c r="FB80" t="s">
        <v>833</v>
      </c>
      <c r="FC80" t="s">
        <v>944</v>
      </c>
      <c r="FD80" t="s">
        <v>944</v>
      </c>
      <c r="FE80" t="s">
        <v>159</v>
      </c>
      <c r="FM80" t="str">
        <f t="shared" si="1"/>
        <v xml:space="preserve">    &lt;route id="Router3_79" edges="31909473.0 31909473.857 62634019#1-AddedOnRampEdge 62634019#1 62634019#2.0 62634019#2.242 62634019#3-AddedOnRampEdge 62634019#3 62634019#3-AddedOffRampEdge 12111747.0 12189453#0.0.0 450844982#0.19 62203497#0 62203497#2 62203497#3 12134479#1 34685684#0 34685684#2 450844947#0 388533142#0 388533142#2 12189045#0 62623987#0 62623987#1 -12142631 12202018 62623986#1 62623986#2 -12189051#1 424080770#0 424080772#0 424080772#2 386547297#0 424080771#0 424080767#0 386547298#0 424769177 424080769#0 55179414#0 12187610#0 -484953508#2 424801339#0 62646509#0 424801338#0 424801338#1 12117702#0 12117702#4 12117702#7 -32121146#3 -32121146#1 55179413#0 424769182 -450827405#2 -450827400#2 -450827382 -450827385#1 12134222#0 12134222#2 12134222#3 386547311#11 386547311#13 357338496#0 357338496#2 450695461#0 62646494#0 424801336#0 484842168#0 283621820 -28555309#1 -424801341 -283621822#1 -424801343#1 -424801343#0 49991658 424801340 424801342 386550018#0 386550018#0-AddedOffRampEdge 386550018#1 49991638 -12144161#0 12144161#0 12144161#1 49991657 283621821#1 283621821#1-AddedOffRampEdge 283621821#2 49991647#1 49991647#2 63060732#0 63060732#1 63060732#2.0 63060732#2.116 50033027 -50033029 50033050#0 50033050#2 424799828 424799825 424799826 50033054 63060727 50033029 50033028#0 50033028#3 50033028#5 50033028#6 49991646 386547300#0 283621823 386547301-AddedOnRampEdge 386547301 424801344#0 424801343#1 283621822#0 424801341 28555309#0 49991649#0 424986163#0 51049946#0 424801337#0 357338497#0 357338497#2 450695460#0 62646499#0 62646499#2 450827424#0 62646508#0 62646508#2 424799820 424799823#0 50033059#0 50033059#2 50033059#3 50033059#4 388756839#0 388756839#1 388756838#0 12136923#0 386547309#0 386547309#2 386547309#3 386547309#5 484953510#2 42706825#0 42706825#2 42706825#4 42706825#5 424799823#0 42706833#0 42706833#2 12189876#0 12189876#2 484953508#1 60185970#0 60185970#2 12149571#1 12187610#3 50033558#2 50033558#3 50033558#4 50033558#6 50033058#0 386995514#9 386995486#0 32121111#11 -12177521#0 -121319040#0 -51155368#5 -50033558#5 -50033558#3 -12188656 -121319046 -42706825#7 -42706825#4 -42706825#3 -42706825#1 194358815 194358817#0 194358817#1 194358817#2 12114363#0 12114363#1 -50033059#4 12175537#0 12175537#2 485017371#0 484953507#1 12182281#8 12182281#9 12167232#0 12167232#1 12167232#2 12152013#4 51050425#4 386995537 386995551 387422150#0 387422150#1 386995531#3 386995531#4 12172918#2 gneE73 gneE75.0 gneE80.125"/&gt;</v>
      </c>
      <c r="FN80" t="s">
        <v>2516</v>
      </c>
      <c r="FO80" t="s">
        <v>1168</v>
      </c>
      <c r="FP80" t="s">
        <v>2597</v>
      </c>
    </row>
    <row r="81" spans="2:172" x14ac:dyDescent="0.25">
      <c r="B81" t="s">
        <v>113</v>
      </c>
      <c r="C81" t="s">
        <v>982</v>
      </c>
      <c r="D81" t="s">
        <v>982</v>
      </c>
      <c r="E81" t="s">
        <v>982</v>
      </c>
      <c r="F81" t="s">
        <v>982</v>
      </c>
      <c r="G81" t="s">
        <v>982</v>
      </c>
      <c r="H81" t="s">
        <v>982</v>
      </c>
      <c r="I81" t="s">
        <v>982</v>
      </c>
      <c r="J81" t="s">
        <v>982</v>
      </c>
      <c r="K81" t="s">
        <v>982</v>
      </c>
      <c r="L81" t="s">
        <v>982</v>
      </c>
      <c r="M81" t="s">
        <v>982</v>
      </c>
      <c r="N81" t="s">
        <v>982</v>
      </c>
      <c r="O81" t="s">
        <v>982</v>
      </c>
      <c r="P81" t="s">
        <v>982</v>
      </c>
      <c r="Q81" t="s">
        <v>982</v>
      </c>
      <c r="R81" t="s">
        <v>982</v>
      </c>
      <c r="S81" t="s">
        <v>126</v>
      </c>
      <c r="U81" t="s">
        <v>50</v>
      </c>
      <c r="W81" t="s">
        <v>303</v>
      </c>
      <c r="X81" t="s">
        <v>303</v>
      </c>
      <c r="Y81" t="s">
        <v>374</v>
      </c>
      <c r="Z81" t="s">
        <v>374</v>
      </c>
      <c r="AR81" t="s">
        <v>280</v>
      </c>
      <c r="AW81" t="s">
        <v>260</v>
      </c>
      <c r="AY81" t="s">
        <v>402</v>
      </c>
      <c r="AZ81" t="s">
        <v>402</v>
      </c>
      <c r="BA81" t="s">
        <v>402</v>
      </c>
      <c r="BG81" t="s">
        <v>593</v>
      </c>
      <c r="BI81" t="s">
        <v>225</v>
      </c>
      <c r="BJ81" t="s">
        <v>225</v>
      </c>
      <c r="BM81" t="s">
        <v>179</v>
      </c>
      <c r="BN81" t="s">
        <v>776</v>
      </c>
      <c r="BP81" t="s">
        <v>809</v>
      </c>
      <c r="BQ81" t="s">
        <v>44</v>
      </c>
      <c r="BS81" t="s">
        <v>885</v>
      </c>
      <c r="BT81" t="s">
        <v>68</v>
      </c>
      <c r="BU81" t="s">
        <v>68</v>
      </c>
      <c r="BV81" t="s">
        <v>68</v>
      </c>
      <c r="BW81" t="s">
        <v>749</v>
      </c>
      <c r="BY81" t="s">
        <v>287</v>
      </c>
      <c r="BZ81" t="s">
        <v>287</v>
      </c>
      <c r="CA81" t="s">
        <v>287</v>
      </c>
      <c r="CC81" t="s">
        <v>946</v>
      </c>
      <c r="CH81" t="s">
        <v>138</v>
      </c>
      <c r="CJ81" t="s">
        <v>257</v>
      </c>
      <c r="CK81" t="s">
        <v>419</v>
      </c>
      <c r="CL81" t="s">
        <v>675</v>
      </c>
      <c r="CM81" t="s">
        <v>108</v>
      </c>
      <c r="CN81" t="s">
        <v>108</v>
      </c>
      <c r="CO81" t="s">
        <v>24</v>
      </c>
      <c r="CP81" t="s">
        <v>818</v>
      </c>
      <c r="CQ81" t="s">
        <v>818</v>
      </c>
      <c r="CR81" t="s">
        <v>830</v>
      </c>
      <c r="CS81" t="s">
        <v>296</v>
      </c>
      <c r="CT81" t="s">
        <v>529</v>
      </c>
      <c r="CU81" t="s">
        <v>369</v>
      </c>
      <c r="CV81" t="s">
        <v>507</v>
      </c>
      <c r="CX81" t="s">
        <v>21</v>
      </c>
      <c r="DB81" t="s">
        <v>371</v>
      </c>
      <c r="DC81" t="s">
        <v>371</v>
      </c>
      <c r="DD81" t="s">
        <v>146</v>
      </c>
      <c r="DH81" t="s">
        <v>259</v>
      </c>
      <c r="DI81" t="s">
        <v>593</v>
      </c>
      <c r="DL81" t="s">
        <v>225</v>
      </c>
      <c r="DM81" t="s">
        <v>225</v>
      </c>
      <c r="DN81" t="s">
        <v>225</v>
      </c>
      <c r="DO81" t="s">
        <v>225</v>
      </c>
      <c r="EF81" t="s">
        <v>26</v>
      </c>
      <c r="EM81" t="s">
        <v>534</v>
      </c>
      <c r="EN81" t="s">
        <v>403</v>
      </c>
      <c r="EO81" t="s">
        <v>518</v>
      </c>
      <c r="EP81" t="s">
        <v>1084</v>
      </c>
      <c r="EQ81" t="s">
        <v>1084</v>
      </c>
      <c r="ER81" t="s">
        <v>1084</v>
      </c>
      <c r="ES81" t="s">
        <v>1084</v>
      </c>
      <c r="ET81" t="s">
        <v>1084</v>
      </c>
      <c r="EU81" t="s">
        <v>1084</v>
      </c>
      <c r="EV81" t="s">
        <v>988</v>
      </c>
      <c r="EW81" t="s">
        <v>650</v>
      </c>
      <c r="EX81" t="s">
        <v>420</v>
      </c>
      <c r="EY81" t="s">
        <v>149</v>
      </c>
      <c r="EZ81" t="s">
        <v>430</v>
      </c>
      <c r="FA81" t="s">
        <v>943</v>
      </c>
      <c r="FB81" t="s">
        <v>943</v>
      </c>
      <c r="FC81" t="s">
        <v>620</v>
      </c>
      <c r="FD81" t="s">
        <v>620</v>
      </c>
      <c r="FE81" t="s">
        <v>160</v>
      </c>
      <c r="FM81" t="str">
        <f t="shared" si="1"/>
        <v xml:space="preserve">    &lt;route id="Router3_80" edges="31909473.0 31909473.857 62634019#1-AddedOnRampEdge 62634019#1 62634019#2.0 62634019#2.242 62634019#3-AddedOnRampEdge 62634019#3 62634019#3-AddedOffRampEdge 12111747.0 12189453#0.0.0 450844982#0.19 62203497#0 62203497#2 62203497#3 12134479#1 34685684#0 34685684#2 450844947#0 388533142#0 388533142#2 12189045#0 62623987#0 62623987#1 -12142631 12202018 62623986#1 62623986#2 -12189051#1 424080770#0 424080772#0 424080772#2 386547297#0 424080771#0 424080767#0 386547298#0 424769177 424080769#0 55179414#0 12187610#0 60185970#0 60185970#2 12149571#1 12187610#3 50033558#2 -12188656 -121319046 -42706825#7 12199713#0 12199713#1 -386995514#6 -386995514#5 -386995514#4 -386995514#3 194358817#0 194358817#1 194358817#2 12114363#0 12114363#1 -50033059#4 12175537#0 12175537#2 12175537#3 12175537#4 12175537#5 12175537#6 12175537#7 12175537#8 12175537#9 12175537#10 12175537#11 12175537#12 12155177#1 12155177#2 387422153#1 gneE73 gneE75.0 gneE80.125"/&gt;</v>
      </c>
      <c r="FN81" t="s">
        <v>2516</v>
      </c>
      <c r="FO81" t="s">
        <v>1169</v>
      </c>
      <c r="FP81" t="s">
        <v>2598</v>
      </c>
    </row>
    <row r="82" spans="2:172" x14ac:dyDescent="0.25">
      <c r="B82" t="s">
        <v>114</v>
      </c>
      <c r="C82" t="s">
        <v>92</v>
      </c>
      <c r="D82" t="s">
        <v>92</v>
      </c>
      <c r="E82" t="s">
        <v>92</v>
      </c>
      <c r="F82" t="s">
        <v>92</v>
      </c>
      <c r="G82" t="s">
        <v>92</v>
      </c>
      <c r="H82" t="s">
        <v>92</v>
      </c>
      <c r="I82" t="s">
        <v>92</v>
      </c>
      <c r="J82" t="s">
        <v>92</v>
      </c>
      <c r="K82" t="s">
        <v>92</v>
      </c>
      <c r="L82" t="s">
        <v>92</v>
      </c>
      <c r="M82" t="s">
        <v>92</v>
      </c>
      <c r="N82" t="s">
        <v>92</v>
      </c>
      <c r="O82" t="s">
        <v>92</v>
      </c>
      <c r="P82" t="s">
        <v>92</v>
      </c>
      <c r="Q82" t="s">
        <v>92</v>
      </c>
      <c r="R82" t="s">
        <v>92</v>
      </c>
      <c r="S82" t="s">
        <v>127</v>
      </c>
      <c r="U82" t="s">
        <v>51</v>
      </c>
      <c r="W82" t="s">
        <v>304</v>
      </c>
      <c r="X82" t="s">
        <v>304</v>
      </c>
      <c r="Y82" t="s">
        <v>375</v>
      </c>
      <c r="Z82" t="s">
        <v>375</v>
      </c>
      <c r="AR82" t="s">
        <v>281</v>
      </c>
      <c r="AW82" t="s">
        <v>108</v>
      </c>
      <c r="AY82" t="s">
        <v>403</v>
      </c>
      <c r="AZ82" t="s">
        <v>403</v>
      </c>
      <c r="BA82" t="s">
        <v>403</v>
      </c>
      <c r="BG82" t="s">
        <v>594</v>
      </c>
      <c r="BI82" t="s">
        <v>226</v>
      </c>
      <c r="BJ82" t="s">
        <v>226</v>
      </c>
      <c r="BM82" t="s">
        <v>180</v>
      </c>
      <c r="BN82" t="s">
        <v>894</v>
      </c>
      <c r="BP82" t="s">
        <v>810</v>
      </c>
      <c r="BQ82" t="s">
        <v>45</v>
      </c>
      <c r="BS82" t="s">
        <v>886</v>
      </c>
      <c r="BT82" t="s">
        <v>987</v>
      </c>
      <c r="BU82" t="s">
        <v>987</v>
      </c>
      <c r="BV82" t="s">
        <v>987</v>
      </c>
      <c r="BW82" t="s">
        <v>750</v>
      </c>
      <c r="BY82" t="s">
        <v>288</v>
      </c>
      <c r="BZ82" t="s">
        <v>288</v>
      </c>
      <c r="CA82" t="s">
        <v>288</v>
      </c>
      <c r="CC82" t="s">
        <v>992</v>
      </c>
      <c r="CH82" t="s">
        <v>139</v>
      </c>
      <c r="CJ82" t="s">
        <v>258</v>
      </c>
      <c r="CK82" t="s">
        <v>943</v>
      </c>
      <c r="CL82" t="s">
        <v>1055</v>
      </c>
      <c r="CM82" t="s">
        <v>109</v>
      </c>
      <c r="CN82" t="s">
        <v>109</v>
      </c>
      <c r="CO82" t="s">
        <v>25</v>
      </c>
      <c r="CP82" t="s">
        <v>764</v>
      </c>
      <c r="CQ82" t="s">
        <v>764</v>
      </c>
      <c r="CR82" t="s">
        <v>142</v>
      </c>
      <c r="CS82" t="s">
        <v>297</v>
      </c>
      <c r="CT82" t="s">
        <v>295</v>
      </c>
      <c r="CU82" t="s">
        <v>284</v>
      </c>
      <c r="CV82" t="s">
        <v>508</v>
      </c>
      <c r="CX82" t="s">
        <v>22</v>
      </c>
      <c r="DB82" t="s">
        <v>372</v>
      </c>
      <c r="DC82" t="s">
        <v>372</v>
      </c>
      <c r="DD82" t="s">
        <v>147</v>
      </c>
      <c r="DH82" t="s">
        <v>352</v>
      </c>
      <c r="DI82" t="s">
        <v>594</v>
      </c>
      <c r="DL82" t="s">
        <v>226</v>
      </c>
      <c r="DM82" t="s">
        <v>226</v>
      </c>
      <c r="DN82" t="s">
        <v>226</v>
      </c>
      <c r="DO82" t="s">
        <v>226</v>
      </c>
      <c r="EF82" t="s">
        <v>27</v>
      </c>
      <c r="EN82" t="s">
        <v>404</v>
      </c>
      <c r="EO82" t="s">
        <v>519</v>
      </c>
      <c r="EP82" t="s">
        <v>1085</v>
      </c>
      <c r="EQ82" t="s">
        <v>1085</v>
      </c>
      <c r="ER82" t="s">
        <v>1085</v>
      </c>
      <c r="ES82" t="s">
        <v>1085</v>
      </c>
      <c r="ET82" t="s">
        <v>1085</v>
      </c>
      <c r="EU82" t="s">
        <v>1085</v>
      </c>
      <c r="EV82" t="s">
        <v>664</v>
      </c>
      <c r="EW82" t="s">
        <v>651</v>
      </c>
      <c r="EX82" t="s">
        <v>1011</v>
      </c>
      <c r="EY82" t="s">
        <v>997</v>
      </c>
      <c r="EZ82" t="s">
        <v>431</v>
      </c>
      <c r="FA82" t="s">
        <v>944</v>
      </c>
      <c r="FB82" t="s">
        <v>944</v>
      </c>
      <c r="FC82" t="s">
        <v>1016</v>
      </c>
      <c r="FD82" t="s">
        <v>835</v>
      </c>
      <c r="FE82" t="s">
        <v>161</v>
      </c>
      <c r="FM82" t="str">
        <f t="shared" si="1"/>
        <v xml:space="preserve">    &lt;route id="Router3_81" edges="31909473.0 31909473.857 62634019#1-AddedOnRampEdge 62634019#1 62634019#2.0 62634019#2.242 62634019#3-AddedOnRampEdge 62634019#3 62634019#3-AddedOffRampEdge 12111747.0 12189453#0.0.0 450844982#0.19 62203497#0 62203497#2 62203497#3 12134479#1 34685684#0 34685684#2 450844947#0 388533142#0 388533142#2 12189045#0 62623987#0 62623987#1 -12142631 12202018 62623986#1 62623986#2 -12189051#1 424080770#0 424080772#0 424080772#2 386547297#0 424080771#0 424080767#0 386547298#0 424769177 424080769#0 55179414#0 12187610#0 60185970#0 60185970#2 12149571#1 12187610#3 50033558#2 50033558#3 50033558#4 50033558#6 50033058#0 386995514#9 386995486#0 32121111#11 -12177521#0 -121319040#0 -51155368#5 -50033558#5 -50033558#3 -12188656 -121319046 -42706825#7 -42706825#4 -42706825#3 -42706825#1 194358815 194358817#0 194358817#1 194358817#2 12114363#0 12114363#1 -50033059#4 12175537#0 12175537#2 485017371#0 484953507#1 12182281#8 12182281#9 12167232#0 12167232#1 12167232#2 12152013#4 51050425#4 386995537 386995551 387422150#0 387422150#1 386995531#3 386995531#4 12172918#2 gneE73 gneE75.0 gneE80.125"/&gt;</v>
      </c>
      <c r="FN82" t="s">
        <v>2516</v>
      </c>
      <c r="FO82" t="s">
        <v>1170</v>
      </c>
      <c r="FP82" t="s">
        <v>2599</v>
      </c>
    </row>
    <row r="83" spans="2:172" x14ac:dyDescent="0.25">
      <c r="B83" t="s">
        <v>722</v>
      </c>
      <c r="C83" t="s">
        <v>533</v>
      </c>
      <c r="D83" t="s">
        <v>533</v>
      </c>
      <c r="E83" t="s">
        <v>533</v>
      </c>
      <c r="F83" t="s">
        <v>533</v>
      </c>
      <c r="G83" t="s">
        <v>533</v>
      </c>
      <c r="H83" t="s">
        <v>533</v>
      </c>
      <c r="I83" t="s">
        <v>533</v>
      </c>
      <c r="J83" t="s">
        <v>533</v>
      </c>
      <c r="K83" t="s">
        <v>533</v>
      </c>
      <c r="L83" t="s">
        <v>533</v>
      </c>
      <c r="M83" t="s">
        <v>533</v>
      </c>
      <c r="N83" t="s">
        <v>533</v>
      </c>
      <c r="O83" t="s">
        <v>533</v>
      </c>
      <c r="P83" t="s">
        <v>533</v>
      </c>
      <c r="Q83" t="s">
        <v>533</v>
      </c>
      <c r="R83" t="s">
        <v>533</v>
      </c>
      <c r="S83" t="s">
        <v>128</v>
      </c>
      <c r="U83" t="s">
        <v>52</v>
      </c>
      <c r="W83" t="s">
        <v>305</v>
      </c>
      <c r="X83" t="s">
        <v>305</v>
      </c>
      <c r="Y83" t="s">
        <v>376</v>
      </c>
      <c r="Z83" t="s">
        <v>573</v>
      </c>
      <c r="AR83" t="s">
        <v>282</v>
      </c>
      <c r="AW83" t="s">
        <v>109</v>
      </c>
      <c r="AY83" t="s">
        <v>404</v>
      </c>
      <c r="AZ83" t="s">
        <v>404</v>
      </c>
      <c r="BA83" t="s">
        <v>404</v>
      </c>
      <c r="BG83" t="s">
        <v>595</v>
      </c>
      <c r="BI83" t="s">
        <v>488</v>
      </c>
      <c r="BJ83" t="s">
        <v>488</v>
      </c>
      <c r="BM83" t="s">
        <v>181</v>
      </c>
      <c r="BN83" t="s">
        <v>797</v>
      </c>
      <c r="BP83" t="s">
        <v>811</v>
      </c>
      <c r="BS83" t="s">
        <v>887</v>
      </c>
      <c r="BT83" t="s">
        <v>615</v>
      </c>
      <c r="BU83" t="s">
        <v>615</v>
      </c>
      <c r="BV83" t="s">
        <v>615</v>
      </c>
      <c r="BW83" t="s">
        <v>936</v>
      </c>
      <c r="BY83" t="s">
        <v>289</v>
      </c>
      <c r="BZ83" t="s">
        <v>289</v>
      </c>
      <c r="CA83" t="s">
        <v>289</v>
      </c>
      <c r="CC83" t="s">
        <v>624</v>
      </c>
      <c r="CH83" t="s">
        <v>140</v>
      </c>
      <c r="CK83" t="s">
        <v>944</v>
      </c>
      <c r="CL83" t="s">
        <v>1056</v>
      </c>
      <c r="CM83" t="s">
        <v>110</v>
      </c>
      <c r="CN83" t="s">
        <v>110</v>
      </c>
      <c r="CO83" t="s">
        <v>26</v>
      </c>
      <c r="CP83" t="s">
        <v>392</v>
      </c>
      <c r="CQ83" t="s">
        <v>392</v>
      </c>
      <c r="CR83" t="s">
        <v>143</v>
      </c>
      <c r="CS83" t="s">
        <v>272</v>
      </c>
      <c r="CT83" t="s">
        <v>296</v>
      </c>
      <c r="CU83" t="s">
        <v>285</v>
      </c>
      <c r="CV83" t="s">
        <v>509</v>
      </c>
      <c r="CX83" t="s">
        <v>23</v>
      </c>
      <c r="DB83" t="s">
        <v>373</v>
      </c>
      <c r="DC83" t="s">
        <v>373</v>
      </c>
      <c r="DD83" t="s">
        <v>148</v>
      </c>
      <c r="DH83" t="s">
        <v>109</v>
      </c>
      <c r="DI83" t="s">
        <v>595</v>
      </c>
      <c r="DL83" t="s">
        <v>187</v>
      </c>
      <c r="DM83" t="s">
        <v>488</v>
      </c>
      <c r="DN83" t="s">
        <v>488</v>
      </c>
      <c r="DO83" t="s">
        <v>488</v>
      </c>
      <c r="EF83" t="s">
        <v>247</v>
      </c>
      <c r="EN83" t="s">
        <v>979</v>
      </c>
      <c r="EO83" t="s">
        <v>401</v>
      </c>
      <c r="EP83" t="s">
        <v>986</v>
      </c>
      <c r="EQ83" t="s">
        <v>986</v>
      </c>
      <c r="ER83" t="s">
        <v>986</v>
      </c>
      <c r="ES83" t="s">
        <v>986</v>
      </c>
      <c r="ET83" t="s">
        <v>986</v>
      </c>
      <c r="EU83" t="s">
        <v>986</v>
      </c>
      <c r="EV83" t="s">
        <v>64</v>
      </c>
      <c r="EW83" t="s">
        <v>652</v>
      </c>
      <c r="EX83" t="s">
        <v>1012</v>
      </c>
      <c r="EY83" t="s">
        <v>998</v>
      </c>
      <c r="EZ83" t="s">
        <v>159</v>
      </c>
      <c r="FA83" t="s">
        <v>620</v>
      </c>
      <c r="FB83" t="s">
        <v>620</v>
      </c>
      <c r="FC83" t="s">
        <v>423</v>
      </c>
      <c r="FD83" t="s">
        <v>836</v>
      </c>
      <c r="FM83" t="str">
        <f t="shared" si="1"/>
        <v xml:space="preserve">    &lt;route id="Router3_82" edges="31909473.0 31909473.857 62634019#1-AddedOnRampEdge 62634019#1 62634019#2.0 62634019#2.242 62634019#3-AddedOnRampEdge 62634019#3 62634019#3-AddedOffRampEdge 12111747.0 12189453#0.0.0 450844982#0.19 62203497#0 62203497#2 62203497#3 12134479#1 34685684#0 34685684#2 450844947#0 388533142#0 388533142#2 388533142#4 62623926#0 62623926#1 450844950#0 12189453#0.0.0 450844982#0.19 62203497#0 62203497#2 62203497#3 12134479#1 34685684#0 34685684#2 388533143#0 388533143#2 12140627#0 63060729#0 -264253834#2 12156992#4 12156992#5 12156992#6 12156992#7 12156992#8 12156992#9 484953505 12148522#0 -12186058#4 -12186058#1 -386995465#1 -386995504#1 386995479#0 12157718#5 12157718#7 485017376 485017373#0 387422135#0 424769003#0 424769003#1 -30953396#1 -30953396#0 -424769006 -424769005 -424769002 -30953391 -43569848 -393884751 12159702 424764853 12149178#0 50189796 50189564 12149178#2 145605533#0 145605533#1-AddedOnRampEdge 145605533#1 145605511#1-AddedOnRampEdge 145605511#12 145605511#1.148"/&gt;</v>
      </c>
      <c r="FN83" t="s">
        <v>2516</v>
      </c>
      <c r="FO83" t="s">
        <v>1171</v>
      </c>
      <c r="FP83" t="s">
        <v>2600</v>
      </c>
    </row>
    <row r="84" spans="2:172" x14ac:dyDescent="0.25">
      <c r="B84" t="s">
        <v>723</v>
      </c>
      <c r="C84" t="s">
        <v>177</v>
      </c>
      <c r="D84" t="s">
        <v>177</v>
      </c>
      <c r="E84" t="s">
        <v>177</v>
      </c>
      <c r="F84" t="s">
        <v>177</v>
      </c>
      <c r="G84" t="s">
        <v>177</v>
      </c>
      <c r="H84" t="s">
        <v>177</v>
      </c>
      <c r="I84" t="s">
        <v>177</v>
      </c>
      <c r="J84" t="s">
        <v>177</v>
      </c>
      <c r="K84" t="s">
        <v>177</v>
      </c>
      <c r="L84" t="s">
        <v>177</v>
      </c>
      <c r="M84" t="s">
        <v>177</v>
      </c>
      <c r="N84" t="s">
        <v>177</v>
      </c>
      <c r="O84" t="s">
        <v>177</v>
      </c>
      <c r="P84" t="s">
        <v>177</v>
      </c>
      <c r="Q84" t="s">
        <v>177</v>
      </c>
      <c r="R84" t="s">
        <v>177</v>
      </c>
      <c r="S84" t="s">
        <v>129</v>
      </c>
      <c r="U84" t="s">
        <v>1018</v>
      </c>
      <c r="W84" t="s">
        <v>306</v>
      </c>
      <c r="X84" t="s">
        <v>306</v>
      </c>
      <c r="Y84" t="s">
        <v>377</v>
      </c>
      <c r="Z84" t="s">
        <v>532</v>
      </c>
      <c r="AR84" t="s">
        <v>283</v>
      </c>
      <c r="AW84" t="s">
        <v>110</v>
      </c>
      <c r="AY84" t="s">
        <v>979</v>
      </c>
      <c r="AZ84" t="s">
        <v>979</v>
      </c>
      <c r="BA84" t="s">
        <v>979</v>
      </c>
      <c r="BG84" t="s">
        <v>167</v>
      </c>
      <c r="BI84" t="s">
        <v>399</v>
      </c>
      <c r="BJ84" t="s">
        <v>399</v>
      </c>
      <c r="BM84" t="s">
        <v>182</v>
      </c>
      <c r="BN84" t="s">
        <v>798</v>
      </c>
      <c r="BP84" t="s">
        <v>1046</v>
      </c>
      <c r="BS84" t="s">
        <v>888</v>
      </c>
      <c r="BT84" t="s">
        <v>616</v>
      </c>
      <c r="BU84" t="s">
        <v>616</v>
      </c>
      <c r="BV84" t="s">
        <v>988</v>
      </c>
      <c r="BW84" t="s">
        <v>1000</v>
      </c>
      <c r="BY84" t="s">
        <v>290</v>
      </c>
      <c r="BZ84" t="s">
        <v>290</v>
      </c>
      <c r="CA84" t="s">
        <v>290</v>
      </c>
      <c r="CC84" t="s">
        <v>625</v>
      </c>
      <c r="CH84" t="s">
        <v>141</v>
      </c>
      <c r="CK84" t="s">
        <v>925</v>
      </c>
      <c r="CL84" t="s">
        <v>245</v>
      </c>
      <c r="CM84" t="s">
        <v>111</v>
      </c>
      <c r="CN84" t="s">
        <v>111</v>
      </c>
      <c r="CO84" t="s">
        <v>27</v>
      </c>
      <c r="CP84" t="s">
        <v>393</v>
      </c>
      <c r="CQ84" t="s">
        <v>393</v>
      </c>
      <c r="CR84" t="s">
        <v>144</v>
      </c>
      <c r="CS84" t="s">
        <v>530</v>
      </c>
      <c r="CT84" t="s">
        <v>297</v>
      </c>
      <c r="CU84" t="s">
        <v>286</v>
      </c>
      <c r="CV84" t="s">
        <v>82</v>
      </c>
      <c r="CX84" t="s">
        <v>24</v>
      </c>
      <c r="DB84" t="s">
        <v>374</v>
      </c>
      <c r="DC84" t="s">
        <v>374</v>
      </c>
      <c r="DD84" t="s">
        <v>149</v>
      </c>
      <c r="DH84" t="s">
        <v>110</v>
      </c>
      <c r="DI84" t="s">
        <v>167</v>
      </c>
      <c r="DL84" t="s">
        <v>188</v>
      </c>
      <c r="DM84" t="s">
        <v>399</v>
      </c>
      <c r="DN84" t="s">
        <v>399</v>
      </c>
      <c r="DO84" t="s">
        <v>399</v>
      </c>
      <c r="EF84" t="s">
        <v>248</v>
      </c>
      <c r="EN84" t="s">
        <v>980</v>
      </c>
      <c r="EO84" t="s">
        <v>402</v>
      </c>
      <c r="EP84" t="s">
        <v>68</v>
      </c>
      <c r="EQ84" t="s">
        <v>68</v>
      </c>
      <c r="ER84" t="s">
        <v>68</v>
      </c>
      <c r="ES84" t="s">
        <v>68</v>
      </c>
      <c r="ET84" t="s">
        <v>68</v>
      </c>
      <c r="EU84" t="s">
        <v>68</v>
      </c>
      <c r="EV84" t="s">
        <v>928</v>
      </c>
      <c r="EW84" t="s">
        <v>913</v>
      </c>
      <c r="EX84" t="s">
        <v>1086</v>
      </c>
      <c r="EY84" t="s">
        <v>421</v>
      </c>
      <c r="EZ84" t="s">
        <v>160</v>
      </c>
      <c r="FA84" t="s">
        <v>1016</v>
      </c>
      <c r="FB84" t="s">
        <v>1016</v>
      </c>
      <c r="FC84" t="s">
        <v>424</v>
      </c>
      <c r="FD84" t="s">
        <v>426</v>
      </c>
      <c r="FM84" t="str">
        <f t="shared" si="1"/>
        <v xml:space="preserve">    &lt;route id="Router3_83" edges="31909473.0 31909473.857 62634019#1-AddedOnRampEdge 62634019#1 62634019#2.0 62634019#2.242 62634019#3-AddedOnRampEdge 62634019#3 62634019#3-AddedOffRampEdge 12111747.0 38502259#0.19 450844933#1 196207110#0 196207110#2"/&gt;</v>
      </c>
      <c r="FN84" t="s">
        <v>2516</v>
      </c>
      <c r="FO84" t="s">
        <v>1172</v>
      </c>
      <c r="FP84" t="s">
        <v>2601</v>
      </c>
    </row>
    <row r="85" spans="2:172" x14ac:dyDescent="0.25">
      <c r="B85" t="s">
        <v>724</v>
      </c>
      <c r="C85" t="s">
        <v>105</v>
      </c>
      <c r="D85" t="s">
        <v>105</v>
      </c>
      <c r="E85" t="s">
        <v>105</v>
      </c>
      <c r="F85" t="s">
        <v>105</v>
      </c>
      <c r="G85" t="s">
        <v>105</v>
      </c>
      <c r="H85" t="s">
        <v>105</v>
      </c>
      <c r="I85" t="s">
        <v>105</v>
      </c>
      <c r="J85" t="s">
        <v>105</v>
      </c>
      <c r="K85" t="s">
        <v>105</v>
      </c>
      <c r="L85" t="s">
        <v>105</v>
      </c>
      <c r="M85" t="s">
        <v>105</v>
      </c>
      <c r="N85" t="s">
        <v>105</v>
      </c>
      <c r="O85" t="s">
        <v>105</v>
      </c>
      <c r="P85" t="s">
        <v>105</v>
      </c>
      <c r="Q85" t="s">
        <v>105</v>
      </c>
      <c r="R85" t="s">
        <v>105</v>
      </c>
      <c r="S85" t="s">
        <v>130</v>
      </c>
      <c r="U85" t="s">
        <v>1019</v>
      </c>
      <c r="W85" t="s">
        <v>307</v>
      </c>
      <c r="X85" t="s">
        <v>307</v>
      </c>
      <c r="Y85" t="s">
        <v>265</v>
      </c>
      <c r="Z85" t="s">
        <v>574</v>
      </c>
      <c r="AR85" t="s">
        <v>579</v>
      </c>
      <c r="AW85" t="s">
        <v>111</v>
      </c>
      <c r="AY85" t="s">
        <v>980</v>
      </c>
      <c r="AZ85" t="s">
        <v>980</v>
      </c>
      <c r="BA85" t="s">
        <v>980</v>
      </c>
      <c r="BG85" t="s">
        <v>168</v>
      </c>
      <c r="BI85" t="s">
        <v>400</v>
      </c>
      <c r="BJ85" t="s">
        <v>515</v>
      </c>
      <c r="BM85" t="s">
        <v>183</v>
      </c>
      <c r="BN85" t="s">
        <v>642</v>
      </c>
      <c r="BP85" t="s">
        <v>1047</v>
      </c>
      <c r="BS85" t="s">
        <v>37</v>
      </c>
      <c r="BT85" t="s">
        <v>617</v>
      </c>
      <c r="BU85" t="s">
        <v>617</v>
      </c>
      <c r="BV85" t="s">
        <v>664</v>
      </c>
      <c r="BW85" t="s">
        <v>1001</v>
      </c>
      <c r="BY85" t="s">
        <v>291</v>
      </c>
      <c r="BZ85" t="s">
        <v>291</v>
      </c>
      <c r="CA85" t="s">
        <v>291</v>
      </c>
      <c r="CC85" t="s">
        <v>993</v>
      </c>
      <c r="CK85" t="s">
        <v>926</v>
      </c>
      <c r="CL85" t="s">
        <v>821</v>
      </c>
      <c r="CM85" t="s">
        <v>112</v>
      </c>
      <c r="CN85" t="s">
        <v>112</v>
      </c>
      <c r="CO85" t="s">
        <v>247</v>
      </c>
      <c r="CP85" t="s">
        <v>394</v>
      </c>
      <c r="CQ85" t="s">
        <v>394</v>
      </c>
      <c r="CR85" t="s">
        <v>145</v>
      </c>
      <c r="CS85" t="s">
        <v>277</v>
      </c>
      <c r="CT85" t="s">
        <v>272</v>
      </c>
      <c r="CU85" t="s">
        <v>287</v>
      </c>
      <c r="CV85" t="s">
        <v>83</v>
      </c>
      <c r="CX85" t="s">
        <v>25</v>
      </c>
      <c r="DB85" t="s">
        <v>375</v>
      </c>
      <c r="DC85" t="s">
        <v>375</v>
      </c>
      <c r="DD85" t="s">
        <v>997</v>
      </c>
      <c r="DH85" t="s">
        <v>111</v>
      </c>
      <c r="DI85" t="s">
        <v>168</v>
      </c>
      <c r="DL85" t="s">
        <v>189</v>
      </c>
      <c r="DM85" t="s">
        <v>400</v>
      </c>
      <c r="DN85" t="s">
        <v>400</v>
      </c>
      <c r="DO85" t="s">
        <v>515</v>
      </c>
      <c r="EF85" t="s">
        <v>249</v>
      </c>
      <c r="EN85" t="s">
        <v>981</v>
      </c>
      <c r="EO85" t="s">
        <v>403</v>
      </c>
      <c r="EP85" t="s">
        <v>987</v>
      </c>
      <c r="EQ85" t="s">
        <v>987</v>
      </c>
      <c r="ER85" t="s">
        <v>987</v>
      </c>
      <c r="ES85" t="s">
        <v>987</v>
      </c>
      <c r="ET85" t="s">
        <v>987</v>
      </c>
      <c r="EU85" t="s">
        <v>987</v>
      </c>
      <c r="EV85" t="s">
        <v>989</v>
      </c>
      <c r="EW85" t="s">
        <v>914</v>
      </c>
      <c r="EX85" t="s">
        <v>1087</v>
      </c>
      <c r="EY85" t="s">
        <v>422</v>
      </c>
      <c r="EZ85" t="s">
        <v>161</v>
      </c>
      <c r="FA85" t="s">
        <v>423</v>
      </c>
      <c r="FB85" t="s">
        <v>423</v>
      </c>
      <c r="FC85" t="s">
        <v>152</v>
      </c>
      <c r="FD85" t="s">
        <v>427</v>
      </c>
      <c r="FM85" t="str">
        <f t="shared" si="1"/>
        <v xml:space="preserve">    &lt;route id="Router3_84" edges="31909473.0 31909473.857 62634019#1-AddedOnRampEdge 62634019#1 62634019#2.0 62634019#2.242 62634019#3-AddedOnRampEdge 62634019#3 62634019#3-AddedOffRampEdge 12111747.0 59671945#0.30 62093806#0 104526265#0.14 424080766 424080768#0 104523976#1 262962063 12189051#0 -12189051#1 -262962063 -424080764 -424080768#1 -424080766 -104526265#1 -262962068#1 -424080774 -32122059#1 -32122059#0 -196393940#2 -196393940#0"/&gt;</v>
      </c>
      <c r="FN85" t="s">
        <v>2516</v>
      </c>
      <c r="FO85" t="s">
        <v>1173</v>
      </c>
      <c r="FP85" t="s">
        <v>2602</v>
      </c>
    </row>
    <row r="86" spans="2:172" x14ac:dyDescent="0.25">
      <c r="B86" t="s">
        <v>725</v>
      </c>
      <c r="C86" t="s">
        <v>106</v>
      </c>
      <c r="D86" t="s">
        <v>106</v>
      </c>
      <c r="E86" t="s">
        <v>106</v>
      </c>
      <c r="F86" t="s">
        <v>106</v>
      </c>
      <c r="G86" t="s">
        <v>106</v>
      </c>
      <c r="H86" t="s">
        <v>106</v>
      </c>
      <c r="I86" t="s">
        <v>106</v>
      </c>
      <c r="J86" t="s">
        <v>106</v>
      </c>
      <c r="K86" t="s">
        <v>106</v>
      </c>
      <c r="L86" t="s">
        <v>106</v>
      </c>
      <c r="M86" t="s">
        <v>106</v>
      </c>
      <c r="N86" t="s">
        <v>106</v>
      </c>
      <c r="O86" t="s">
        <v>106</v>
      </c>
      <c r="P86" t="s">
        <v>106</v>
      </c>
      <c r="Q86" t="s">
        <v>106</v>
      </c>
      <c r="R86" t="s">
        <v>106</v>
      </c>
      <c r="S86" t="s">
        <v>131</v>
      </c>
      <c r="U86" t="s">
        <v>845</v>
      </c>
      <c r="W86" t="s">
        <v>704</v>
      </c>
      <c r="X86" t="s">
        <v>704</v>
      </c>
      <c r="Y86" t="s">
        <v>266</v>
      </c>
      <c r="Z86" t="s">
        <v>278</v>
      </c>
      <c r="AR86" t="s">
        <v>580</v>
      </c>
      <c r="AW86" t="s">
        <v>112</v>
      </c>
      <c r="AY86" t="s">
        <v>981</v>
      </c>
      <c r="AZ86" t="s">
        <v>981</v>
      </c>
      <c r="BA86" t="s">
        <v>981</v>
      </c>
      <c r="BG86" t="s">
        <v>696</v>
      </c>
      <c r="BI86" t="s">
        <v>401</v>
      </c>
      <c r="BJ86" t="s">
        <v>516</v>
      </c>
      <c r="BM86" t="s">
        <v>445</v>
      </c>
      <c r="BN86" t="s">
        <v>643</v>
      </c>
      <c r="BP86" t="s">
        <v>783</v>
      </c>
      <c r="BS86" t="s">
        <v>38</v>
      </c>
      <c r="BT86" t="s">
        <v>618</v>
      </c>
      <c r="BU86" t="s">
        <v>618</v>
      </c>
      <c r="BV86" t="s">
        <v>64</v>
      </c>
      <c r="BW86" t="s">
        <v>1002</v>
      </c>
      <c r="BY86" t="s">
        <v>292</v>
      </c>
      <c r="BZ86" t="s">
        <v>292</v>
      </c>
      <c r="CA86" t="s">
        <v>292</v>
      </c>
      <c r="CC86" t="s">
        <v>656</v>
      </c>
      <c r="CK86" t="s">
        <v>927</v>
      </c>
      <c r="CL86" t="s">
        <v>822</v>
      </c>
      <c r="CM86" t="s">
        <v>113</v>
      </c>
      <c r="CN86" t="s">
        <v>113</v>
      </c>
      <c r="CO86" t="s">
        <v>248</v>
      </c>
      <c r="CP86" t="s">
        <v>218</v>
      </c>
      <c r="CQ86" t="s">
        <v>218</v>
      </c>
      <c r="CR86" t="s">
        <v>146</v>
      </c>
      <c r="CS86" t="s">
        <v>370</v>
      </c>
      <c r="CT86" t="s">
        <v>530</v>
      </c>
      <c r="CU86" t="s">
        <v>288</v>
      </c>
      <c r="CV86" t="s">
        <v>84</v>
      </c>
      <c r="CX86" t="s">
        <v>26</v>
      </c>
      <c r="DB86" t="s">
        <v>573</v>
      </c>
      <c r="DC86" t="s">
        <v>573</v>
      </c>
      <c r="DD86" t="s">
        <v>998</v>
      </c>
      <c r="DH86" t="s">
        <v>112</v>
      </c>
      <c r="DI86" t="s">
        <v>696</v>
      </c>
      <c r="DL86" t="s">
        <v>190</v>
      </c>
      <c r="DM86" t="s">
        <v>401</v>
      </c>
      <c r="DN86" t="s">
        <v>401</v>
      </c>
      <c r="DO86" t="s">
        <v>516</v>
      </c>
      <c r="EF86" t="s">
        <v>250</v>
      </c>
      <c r="EN86" t="s">
        <v>884</v>
      </c>
      <c r="EO86" t="s">
        <v>404</v>
      </c>
      <c r="EP86" t="s">
        <v>615</v>
      </c>
      <c r="EQ86" t="s">
        <v>615</v>
      </c>
      <c r="ER86" t="s">
        <v>615</v>
      </c>
      <c r="ES86" t="s">
        <v>615</v>
      </c>
      <c r="ET86" t="s">
        <v>615</v>
      </c>
      <c r="EU86" t="s">
        <v>615</v>
      </c>
      <c r="EV86" t="s">
        <v>990</v>
      </c>
      <c r="EW86" t="s">
        <v>915</v>
      </c>
      <c r="EX86" t="s">
        <v>918</v>
      </c>
      <c r="EY86" t="s">
        <v>423</v>
      </c>
      <c r="FA86" t="s">
        <v>424</v>
      </c>
      <c r="FB86" t="s">
        <v>424</v>
      </c>
      <c r="FC86" t="s">
        <v>153</v>
      </c>
      <c r="FD86" t="s">
        <v>428</v>
      </c>
      <c r="FM86" t="str">
        <f t="shared" si="1"/>
        <v xml:space="preserve">    &lt;route id="Router3_85" edges="31909473.0 31909473.857 62634019#1-AddedOnRampEdge 62634019#1 62634019#2.0 62634019#2.242 62634019#3-AddedOnRampEdge 62634019#3 62634019#3-AddedOffRampEdge 12111747.0 59671945#0.30 62093806#0 104526265#0.14 424080766 424080768#0 104523976#1 262962063 12189051#0 -12189051#1 -262962063 -424080764 -424080768#1 -424080766 -104526265#1 30953497#0 30953497#2 30953497#3 42706585#0 42706585#1 30953320 30953320-AddedOffRampEdge 104526277 30953215#1-AddedOnRampEdge 30953215#1 121643865#0 12110705 50715233#0 50715233#0-AddedOffRampEdge 50715233#1.0 62203285#14.24 30908387 30908366#1-AddedOnRampEdge 30908366#1 121643863 121643862 51758697#0 51758697#1-AddedOnRampEdge 51758697#1 -gneE46.0 43357850.4841.18 gneE46 49887339#0.596 49887339#0-AddedOffRampEdge 49887339#1 49887339#1-AddedOffRampEdge 104524021 104524021-AddedOffRampEdge 50192637#0 50192637#1-AddedOnRampEdge 50192637#1.0.0 50192637#1.0.382.0.0 50192637#1.697 50192637#1-AddedOffRampEdge 30953181#1 30953181#2-AddedOnRampEdge 30953181#2 30953181#3-AddedOnRampEdge 30953181#3 30953181#3-AddedOffRampEdge 30952933#1.0 30952933#1.199"/&gt;</v>
      </c>
      <c r="FN86" t="s">
        <v>2516</v>
      </c>
      <c r="FO86" t="s">
        <v>1174</v>
      </c>
      <c r="FP86" t="s">
        <v>2603</v>
      </c>
    </row>
    <row r="87" spans="2:172" x14ac:dyDescent="0.25">
      <c r="B87" t="s">
        <v>726</v>
      </c>
      <c r="C87" t="s">
        <v>107</v>
      </c>
      <c r="D87" t="s">
        <v>107</v>
      </c>
      <c r="E87" t="s">
        <v>107</v>
      </c>
      <c r="F87" t="s">
        <v>107</v>
      </c>
      <c r="G87" t="s">
        <v>107</v>
      </c>
      <c r="H87" t="s">
        <v>107</v>
      </c>
      <c r="I87" t="s">
        <v>107</v>
      </c>
      <c r="J87" t="s">
        <v>107</v>
      </c>
      <c r="K87" t="s">
        <v>107</v>
      </c>
      <c r="L87" t="s">
        <v>107</v>
      </c>
      <c r="M87" t="s">
        <v>107</v>
      </c>
      <c r="N87" t="s">
        <v>107</v>
      </c>
      <c r="O87" t="s">
        <v>107</v>
      </c>
      <c r="P87" t="s">
        <v>107</v>
      </c>
      <c r="Q87" t="s">
        <v>107</v>
      </c>
      <c r="R87" t="s">
        <v>107</v>
      </c>
      <c r="S87" t="s">
        <v>132</v>
      </c>
      <c r="U87" t="s">
        <v>596</v>
      </c>
      <c r="W87" t="s">
        <v>705</v>
      </c>
      <c r="X87" t="s">
        <v>1025</v>
      </c>
      <c r="Y87" t="s">
        <v>366</v>
      </c>
      <c r="Z87" t="s">
        <v>279</v>
      </c>
      <c r="AR87" t="s">
        <v>581</v>
      </c>
      <c r="AW87" t="s">
        <v>113</v>
      </c>
      <c r="AY87" t="s">
        <v>884</v>
      </c>
      <c r="AZ87" t="s">
        <v>884</v>
      </c>
      <c r="BA87" t="s">
        <v>884</v>
      </c>
      <c r="BG87" t="s">
        <v>697</v>
      </c>
      <c r="BI87" t="s">
        <v>402</v>
      </c>
      <c r="BJ87" t="s">
        <v>517</v>
      </c>
      <c r="BM87" t="s">
        <v>446</v>
      </c>
      <c r="BN87" t="s">
        <v>644</v>
      </c>
      <c r="BP87" t="s">
        <v>777</v>
      </c>
      <c r="BS87" t="s">
        <v>39</v>
      </c>
      <c r="BT87" t="s">
        <v>619</v>
      </c>
      <c r="BU87" t="s">
        <v>619</v>
      </c>
      <c r="BV87" t="s">
        <v>928</v>
      </c>
      <c r="BW87" t="s">
        <v>1003</v>
      </c>
      <c r="BY87" t="s">
        <v>293</v>
      </c>
      <c r="BZ87" t="s">
        <v>293</v>
      </c>
      <c r="CA87" t="s">
        <v>293</v>
      </c>
      <c r="CC87" t="s">
        <v>839</v>
      </c>
      <c r="CK87" t="s">
        <v>928</v>
      </c>
      <c r="CL87" t="s">
        <v>823</v>
      </c>
      <c r="CM87" t="s">
        <v>114</v>
      </c>
      <c r="CN87" t="s">
        <v>114</v>
      </c>
      <c r="CO87" t="s">
        <v>249</v>
      </c>
      <c r="CP87" t="s">
        <v>219</v>
      </c>
      <c r="CQ87" t="s">
        <v>219</v>
      </c>
      <c r="CR87" t="s">
        <v>147</v>
      </c>
      <c r="CS87" t="s">
        <v>371</v>
      </c>
      <c r="CT87" t="s">
        <v>277</v>
      </c>
      <c r="CU87" t="s">
        <v>289</v>
      </c>
      <c r="CV87" t="s">
        <v>103</v>
      </c>
      <c r="CX87" t="s">
        <v>27</v>
      </c>
      <c r="DB87" t="s">
        <v>532</v>
      </c>
      <c r="DC87" t="s">
        <v>532</v>
      </c>
      <c r="DD87" t="s">
        <v>421</v>
      </c>
      <c r="DH87" t="s">
        <v>113</v>
      </c>
      <c r="DI87" t="s">
        <v>697</v>
      </c>
      <c r="DL87" t="s">
        <v>191</v>
      </c>
      <c r="DM87" t="s">
        <v>402</v>
      </c>
      <c r="DN87" t="s">
        <v>402</v>
      </c>
      <c r="DO87" t="s">
        <v>517</v>
      </c>
      <c r="EF87" t="s">
        <v>709</v>
      </c>
      <c r="EN87" t="s">
        <v>885</v>
      </c>
      <c r="EO87" t="s">
        <v>405</v>
      </c>
      <c r="EP87" t="s">
        <v>616</v>
      </c>
      <c r="EQ87" t="s">
        <v>616</v>
      </c>
      <c r="ER87" t="s">
        <v>616</v>
      </c>
      <c r="ES87" t="s">
        <v>616</v>
      </c>
      <c r="ET87" t="s">
        <v>616</v>
      </c>
      <c r="EU87" t="s">
        <v>616</v>
      </c>
      <c r="EV87" t="s">
        <v>991</v>
      </c>
      <c r="EW87" t="s">
        <v>916</v>
      </c>
      <c r="EX87" t="s">
        <v>919</v>
      </c>
      <c r="EY87" t="s">
        <v>424</v>
      </c>
      <c r="FA87" t="s">
        <v>152</v>
      </c>
      <c r="FB87" t="s">
        <v>152</v>
      </c>
      <c r="FC87" t="s">
        <v>154</v>
      </c>
      <c r="FD87" t="s">
        <v>156</v>
      </c>
      <c r="FM87" t="str">
        <f t="shared" si="1"/>
        <v xml:space="preserve">    &lt;route id="Router3_86" edges="31909473.0 31909473.857 62634019#1-AddedOnRampEdge 62634019#1 62634019#2.0 62634019#2.242 62634019#3-AddedOnRampEdge 62634019#3 62634019#3-AddedOffRampEdge 12111747.0 59671945#0.30 62093806#0 104526265#0.14 424080766 424080768#0 104523976#1 262962063 12189051#0 -12189051#1 -262962063 -424080764 -424080768#1 -424080766 -104526265#1 30953497#0 30953497#2 30953497#3 42706585#0 42706585#1 30953320 30953320-AddedOffRampEdge 104526277 30953215#1-AddedOnRampEdge 30953215#1 121643865#0 12110705 50715233#0 50715233#0-AddedOffRampEdge 50715233#1.0 62203285#14.24 gneE59.30.0.55 gneE59.30.0.0 43539373#0.0.292.17 gneE58 gneE56 gneE54.0 62203360#0 291433361#0 132508433.0 -gneE6.0 gneE6.0 424765883 43570920#0.22 132508717#4 43539378#1 43569848 30953391 12113092 51758697#1-AddedOnRampEdge 51758697#1 -gneE46.0 43357850.4841.18 gneE46 49887339#0.596 49887339#0-AddedOffRampEdge 49887339#1 49887339#1-AddedOffRampEdge 104524021 104524021-AddedOffRampEdge 50192637#0 50192637#1-AddedOnRampEdge 50192637#1.0.0 50192637#1.0.382.0.0 50192637#1.697 50192637#1-AddedOffRampEdge 30953181#1 30953181#2-AddedOnRampEdge 30953181#2 30953181#3-AddedOnRampEdge 30953181#3 30953181#3-AddedOffRampEdge 30952933#1.0 30952933#1.199"/&gt;</v>
      </c>
      <c r="FN87" t="s">
        <v>2516</v>
      </c>
      <c r="FO87" t="s">
        <v>1175</v>
      </c>
      <c r="FP87" t="s">
        <v>2604</v>
      </c>
    </row>
    <row r="88" spans="2:172" x14ac:dyDescent="0.25">
      <c r="B88" t="s">
        <v>727</v>
      </c>
      <c r="C88" t="s">
        <v>383</v>
      </c>
      <c r="D88" t="s">
        <v>383</v>
      </c>
      <c r="E88" t="s">
        <v>383</v>
      </c>
      <c r="F88" t="s">
        <v>383</v>
      </c>
      <c r="G88" t="s">
        <v>383</v>
      </c>
      <c r="H88" t="s">
        <v>383</v>
      </c>
      <c r="I88" t="s">
        <v>383</v>
      </c>
      <c r="J88" t="s">
        <v>383</v>
      </c>
      <c r="K88" t="s">
        <v>383</v>
      </c>
      <c r="L88" t="s">
        <v>383</v>
      </c>
      <c r="M88" t="s">
        <v>383</v>
      </c>
      <c r="N88" t="s">
        <v>383</v>
      </c>
      <c r="O88" t="s">
        <v>383</v>
      </c>
      <c r="P88" t="s">
        <v>383</v>
      </c>
      <c r="Q88" t="s">
        <v>383</v>
      </c>
      <c r="R88" t="s">
        <v>383</v>
      </c>
      <c r="S88" t="s">
        <v>133</v>
      </c>
      <c r="U88" t="s">
        <v>954</v>
      </c>
      <c r="W88" t="s">
        <v>706</v>
      </c>
      <c r="X88" t="s">
        <v>327</v>
      </c>
      <c r="Y88" t="s">
        <v>268</v>
      </c>
      <c r="Z88" t="s">
        <v>280</v>
      </c>
      <c r="AR88" t="s">
        <v>582</v>
      </c>
      <c r="AW88" t="s">
        <v>114</v>
      </c>
      <c r="AY88" t="s">
        <v>885</v>
      </c>
      <c r="AZ88" t="s">
        <v>885</v>
      </c>
      <c r="BA88" t="s">
        <v>885</v>
      </c>
      <c r="BG88" t="s">
        <v>963</v>
      </c>
      <c r="BI88" t="s">
        <v>403</v>
      </c>
      <c r="BJ88" t="s">
        <v>518</v>
      </c>
      <c r="BM88" t="s">
        <v>447</v>
      </c>
      <c r="BN88" t="s">
        <v>44</v>
      </c>
      <c r="BP88" t="s">
        <v>784</v>
      </c>
      <c r="BS88" t="s">
        <v>40</v>
      </c>
      <c r="BT88" t="s">
        <v>620</v>
      </c>
      <c r="BU88" t="s">
        <v>620</v>
      </c>
      <c r="BV88" t="s">
        <v>989</v>
      </c>
      <c r="BW88" t="s">
        <v>1004</v>
      </c>
      <c r="BY88" t="s">
        <v>471</v>
      </c>
      <c r="BZ88" t="s">
        <v>471</v>
      </c>
      <c r="CA88" t="s">
        <v>471</v>
      </c>
      <c r="CC88" t="s">
        <v>840</v>
      </c>
      <c r="CK88" t="s">
        <v>929</v>
      </c>
      <c r="CL88" t="s">
        <v>817</v>
      </c>
      <c r="CM88" t="s">
        <v>115</v>
      </c>
      <c r="CN88" t="s">
        <v>115</v>
      </c>
      <c r="CO88" t="s">
        <v>250</v>
      </c>
      <c r="CP88" t="s">
        <v>220</v>
      </c>
      <c r="CQ88" t="s">
        <v>220</v>
      </c>
      <c r="CR88" t="s">
        <v>148</v>
      </c>
      <c r="CS88" t="s">
        <v>372</v>
      </c>
      <c r="CT88" t="s">
        <v>370</v>
      </c>
      <c r="CU88" t="s">
        <v>290</v>
      </c>
      <c r="CV88" t="s">
        <v>104</v>
      </c>
      <c r="CX88" t="s">
        <v>247</v>
      </c>
      <c r="DB88" t="s">
        <v>574</v>
      </c>
      <c r="DC88" t="s">
        <v>574</v>
      </c>
      <c r="DD88" t="s">
        <v>422</v>
      </c>
      <c r="DH88" t="s">
        <v>114</v>
      </c>
      <c r="DI88" t="s">
        <v>963</v>
      </c>
      <c r="DL88" t="s">
        <v>534</v>
      </c>
      <c r="DM88" t="s">
        <v>403</v>
      </c>
      <c r="DN88" t="s">
        <v>403</v>
      </c>
      <c r="DO88" t="s">
        <v>518</v>
      </c>
      <c r="EF88" t="s">
        <v>710</v>
      </c>
      <c r="EN88" t="s">
        <v>886</v>
      </c>
      <c r="EO88" t="s">
        <v>406</v>
      </c>
      <c r="EP88" t="s">
        <v>617</v>
      </c>
      <c r="EQ88" t="s">
        <v>617</v>
      </c>
      <c r="ER88" t="s">
        <v>617</v>
      </c>
      <c r="ES88" t="s">
        <v>617</v>
      </c>
      <c r="ET88" t="s">
        <v>617</v>
      </c>
      <c r="EU88" t="s">
        <v>617</v>
      </c>
      <c r="EV88" t="s">
        <v>946</v>
      </c>
      <c r="EW88" t="s">
        <v>917</v>
      </c>
      <c r="EX88" t="s">
        <v>920</v>
      </c>
      <c r="EY88" t="s">
        <v>425</v>
      </c>
      <c r="FA88" t="s">
        <v>153</v>
      </c>
      <c r="FB88" t="s">
        <v>153</v>
      </c>
      <c r="FC88" t="s">
        <v>155</v>
      </c>
      <c r="FD88" t="s">
        <v>840</v>
      </c>
      <c r="FM88" t="str">
        <f t="shared" si="1"/>
        <v xml:space="preserve">    &lt;route id="Router3_87" edges="31909473.0 31909473.857 62634019#1-AddedOnRampEdge 62634019#1 62634019#2.0 62634019#2.242 62634019#3-AddedOnRampEdge 62634019#3 62634019#3-AddedOffRampEdge 12111747.0 59671945#0.30 62093806#0 104526265#0.14 424080766 424080768#0 104523976#1 262962063 12189051#0 -12189051#1 -262962063 -424080764 -424080768#1 -424080766 -104526265#1 30953497#0 30953497#2 30953497#3 42706585#0 42706585#1 30953320 30953320-AddedOffRampEdge 104526277 30953215#1-AddedOnRampEdge 30953215#1 121643865#0 12110705 50715233#0 50715233#0-AddedOffRampEdge 50715233#1.0 62203285#14.24 gneE59.30.0.55 gneE59.30.0.0 43539373#0.0.292.17 gneE58 gneE56 gneE54.0 62203360#0 291433361#0 132508433.0 -gneE6.0 gneE6.0 424765883 43570920#0.22 132508717#4 43539378#1 43569848 30953391 12113092 51758697#1-AddedOnRampEdge 51758697#1"/&gt;</v>
      </c>
      <c r="FN88" t="s">
        <v>2516</v>
      </c>
      <c r="FO88" t="s">
        <v>1176</v>
      </c>
      <c r="FP88" t="s">
        <v>2605</v>
      </c>
    </row>
    <row r="89" spans="2:172" x14ac:dyDescent="0.25">
      <c r="B89" t="s">
        <v>728</v>
      </c>
      <c r="C89" t="s">
        <v>384</v>
      </c>
      <c r="D89" t="s">
        <v>384</v>
      </c>
      <c r="E89" t="s">
        <v>384</v>
      </c>
      <c r="F89" t="s">
        <v>384</v>
      </c>
      <c r="G89" t="s">
        <v>451</v>
      </c>
      <c r="H89" t="s">
        <v>451</v>
      </c>
      <c r="I89" t="s">
        <v>451</v>
      </c>
      <c r="J89" t="s">
        <v>451</v>
      </c>
      <c r="K89" t="s">
        <v>451</v>
      </c>
      <c r="L89" t="s">
        <v>451</v>
      </c>
      <c r="M89" t="s">
        <v>451</v>
      </c>
      <c r="N89" t="s">
        <v>451</v>
      </c>
      <c r="O89" t="s">
        <v>451</v>
      </c>
      <c r="P89" t="s">
        <v>451</v>
      </c>
      <c r="Q89" t="s">
        <v>451</v>
      </c>
      <c r="R89" t="s">
        <v>451</v>
      </c>
      <c r="S89" t="s">
        <v>134</v>
      </c>
      <c r="U89" t="s">
        <v>76</v>
      </c>
      <c r="W89" t="s">
        <v>707</v>
      </c>
      <c r="X89" t="s">
        <v>1026</v>
      </c>
      <c r="Y89" t="s">
        <v>269</v>
      </c>
      <c r="Z89" t="s">
        <v>281</v>
      </c>
      <c r="AR89" t="s">
        <v>583</v>
      </c>
      <c r="AW89" t="s">
        <v>115</v>
      </c>
      <c r="AY89" t="s">
        <v>886</v>
      </c>
      <c r="AZ89" t="s">
        <v>886</v>
      </c>
      <c r="BA89" t="s">
        <v>886</v>
      </c>
      <c r="BG89" t="s">
        <v>964</v>
      </c>
      <c r="BI89" t="s">
        <v>404</v>
      </c>
      <c r="BJ89" t="s">
        <v>519</v>
      </c>
      <c r="BM89" t="s">
        <v>448</v>
      </c>
      <c r="BN89" t="s">
        <v>45</v>
      </c>
      <c r="BP89" t="s">
        <v>793</v>
      </c>
      <c r="BS89" t="s">
        <v>41</v>
      </c>
      <c r="BT89" t="s">
        <v>1016</v>
      </c>
      <c r="BU89" t="s">
        <v>1016</v>
      </c>
      <c r="BV89" t="s">
        <v>990</v>
      </c>
      <c r="BW89" t="s">
        <v>1005</v>
      </c>
      <c r="BY89" t="s">
        <v>529</v>
      </c>
      <c r="BZ89" t="s">
        <v>529</v>
      </c>
      <c r="CA89" t="s">
        <v>529</v>
      </c>
      <c r="CC89" t="s">
        <v>431</v>
      </c>
      <c r="CK89" t="s">
        <v>10</v>
      </c>
      <c r="CL89" t="s">
        <v>818</v>
      </c>
      <c r="CM89" t="s">
        <v>116</v>
      </c>
      <c r="CN89" t="s">
        <v>116</v>
      </c>
      <c r="CO89" t="s">
        <v>709</v>
      </c>
      <c r="CP89" t="s">
        <v>221</v>
      </c>
      <c r="CQ89" t="s">
        <v>221</v>
      </c>
      <c r="CR89" t="s">
        <v>149</v>
      </c>
      <c r="CS89" t="s">
        <v>373</v>
      </c>
      <c r="CT89" t="s">
        <v>371</v>
      </c>
      <c r="CU89" t="s">
        <v>291</v>
      </c>
      <c r="CV89" t="s">
        <v>535</v>
      </c>
      <c r="CX89" t="s">
        <v>248</v>
      </c>
      <c r="DB89" t="s">
        <v>278</v>
      </c>
      <c r="DC89" t="s">
        <v>278</v>
      </c>
      <c r="DD89" t="s">
        <v>423</v>
      </c>
      <c r="DH89" t="s">
        <v>115</v>
      </c>
      <c r="DI89" t="s">
        <v>964</v>
      </c>
      <c r="DM89" t="s">
        <v>404</v>
      </c>
      <c r="DN89" t="s">
        <v>404</v>
      </c>
      <c r="DO89" t="s">
        <v>519</v>
      </c>
      <c r="EF89" t="s">
        <v>252</v>
      </c>
      <c r="EN89" t="s">
        <v>887</v>
      </c>
      <c r="EO89" t="s">
        <v>407</v>
      </c>
      <c r="EP89" t="s">
        <v>417</v>
      </c>
      <c r="EQ89" t="s">
        <v>417</v>
      </c>
      <c r="ER89" t="s">
        <v>618</v>
      </c>
      <c r="ES89" t="s">
        <v>618</v>
      </c>
      <c r="ET89" t="s">
        <v>618</v>
      </c>
      <c r="EU89" t="s">
        <v>618</v>
      </c>
      <c r="EV89" t="s">
        <v>992</v>
      </c>
      <c r="EW89" t="s">
        <v>918</v>
      </c>
      <c r="EX89" t="s">
        <v>156</v>
      </c>
      <c r="EY89" t="s">
        <v>654</v>
      </c>
      <c r="FA89" t="s">
        <v>154</v>
      </c>
      <c r="FB89" t="s">
        <v>154</v>
      </c>
      <c r="FC89" t="s">
        <v>429</v>
      </c>
      <c r="FD89" t="s">
        <v>431</v>
      </c>
      <c r="FM89" t="str">
        <f t="shared" si="1"/>
        <v xml:space="preserve">    &lt;route id="Router3_88" edges="31909473.0 31909473.857 62634019#1-AddedOnRampEdge 62634019#1 62634019#2.0 62634019#2.242 62634019#3-AddedOnRampEdge 62634019#3 62634019#3-AddedOffRampEdge 12111747.0 59671945#0.30 62093806#0 104526265#0.14 424080766 424080768#0 104523976#1 262962063 12189051#0 -12189051#1 -262962063 -424080764 -424080768#1 -424080766 -104526265#1 30953497#0 30953497#2 30953497#3 42706585#0 42706585#1 30953320 30953320-AddedOffRampEdge 104526277 30953215#1-AddedOnRampEdge 30953215#1 121643865#0 12110705 50715233#0 50715233#0-AddedOffRampEdge 50715233#1.0 62203285#14.24 gneE59.30.0.55 gneE59.30.0.0 43539373#0.0.292.17 gneE58 gneE56 gneE54.0 gneE62.13 gneE81.0 gneE6.0 424765883 gneE87 196393957 132508433.0 -gneE6.0 gneE81.299.0 gneE81.299.79 gneE81.299.145 12178843#0 12178843#1 43539369#3 43539369#4 43539368#0 43570920#3 43570920#5 404615579 43569828#0 43539397#3 43569816#0 49914076#0 12167196#0.0.0 424764853 12149178#0 12149178#1 12149178#2 50189577 62203295 145605533#1-AddedOnRampEdge 145605533#1 145605511#1-AddedOnRampEdge 145605511#12 145605511#1.148"/&gt;</v>
      </c>
      <c r="FN89" t="s">
        <v>2516</v>
      </c>
      <c r="FO89" t="s">
        <v>1177</v>
      </c>
      <c r="FP89" t="s">
        <v>2606</v>
      </c>
    </row>
    <row r="90" spans="2:172" x14ac:dyDescent="0.25">
      <c r="B90" t="s">
        <v>729</v>
      </c>
      <c r="C90" t="s">
        <v>212</v>
      </c>
      <c r="D90" t="s">
        <v>212</v>
      </c>
      <c r="E90" t="s">
        <v>212</v>
      </c>
      <c r="F90" t="s">
        <v>212</v>
      </c>
      <c r="G90" t="s">
        <v>452</v>
      </c>
      <c r="H90" t="s">
        <v>452</v>
      </c>
      <c r="I90" t="s">
        <v>452</v>
      </c>
      <c r="J90" t="s">
        <v>452</v>
      </c>
      <c r="K90" t="s">
        <v>452</v>
      </c>
      <c r="L90" t="s">
        <v>452</v>
      </c>
      <c r="M90" t="s">
        <v>452</v>
      </c>
      <c r="N90" t="s">
        <v>452</v>
      </c>
      <c r="O90" t="s">
        <v>452</v>
      </c>
      <c r="P90" t="s">
        <v>452</v>
      </c>
      <c r="Q90" t="s">
        <v>452</v>
      </c>
      <c r="R90" t="s">
        <v>452</v>
      </c>
      <c r="S90" t="s">
        <v>135</v>
      </c>
      <c r="U90" t="s">
        <v>77</v>
      </c>
      <c r="W90" t="s">
        <v>330</v>
      </c>
      <c r="X90" t="s">
        <v>1027</v>
      </c>
      <c r="Y90" t="s">
        <v>270</v>
      </c>
      <c r="Z90" t="s">
        <v>282</v>
      </c>
      <c r="AR90" t="s">
        <v>584</v>
      </c>
      <c r="AW90" t="s">
        <v>116</v>
      </c>
      <c r="AY90" t="s">
        <v>887</v>
      </c>
      <c r="AZ90" t="s">
        <v>887</v>
      </c>
      <c r="BA90" t="s">
        <v>887</v>
      </c>
      <c r="BG90" t="s">
        <v>965</v>
      </c>
      <c r="BI90" t="s">
        <v>979</v>
      </c>
      <c r="BJ90" t="s">
        <v>401</v>
      </c>
      <c r="BM90" t="s">
        <v>569</v>
      </c>
      <c r="BP90" t="s">
        <v>638</v>
      </c>
      <c r="BS90" t="s">
        <v>42</v>
      </c>
      <c r="BT90" t="s">
        <v>423</v>
      </c>
      <c r="BU90" t="s">
        <v>423</v>
      </c>
      <c r="BV90" t="s">
        <v>991</v>
      </c>
      <c r="BW90" t="s">
        <v>985</v>
      </c>
      <c r="BY90" t="s">
        <v>295</v>
      </c>
      <c r="BZ90" t="s">
        <v>295</v>
      </c>
      <c r="CA90" t="s">
        <v>295</v>
      </c>
      <c r="CC90" t="s">
        <v>159</v>
      </c>
      <c r="CK90" t="s">
        <v>11</v>
      </c>
      <c r="CL90" t="s">
        <v>764</v>
      </c>
      <c r="CM90" t="s">
        <v>117</v>
      </c>
      <c r="CN90" t="s">
        <v>117</v>
      </c>
      <c r="CO90" t="s">
        <v>710</v>
      </c>
      <c r="CP90" t="s">
        <v>222</v>
      </c>
      <c r="CQ90" t="s">
        <v>222</v>
      </c>
      <c r="CR90" t="s">
        <v>997</v>
      </c>
      <c r="CS90" t="s">
        <v>374</v>
      </c>
      <c r="CT90" t="s">
        <v>372</v>
      </c>
      <c r="CU90" t="s">
        <v>292</v>
      </c>
      <c r="CV90" t="s">
        <v>600</v>
      </c>
      <c r="CX90" t="s">
        <v>249</v>
      </c>
      <c r="DB90" t="s">
        <v>279</v>
      </c>
      <c r="DC90" t="s">
        <v>279</v>
      </c>
      <c r="DD90" t="s">
        <v>424</v>
      </c>
      <c r="DH90" t="s">
        <v>116</v>
      </c>
      <c r="DI90" t="s">
        <v>965</v>
      </c>
      <c r="DM90" t="s">
        <v>979</v>
      </c>
      <c r="DN90" t="s">
        <v>979</v>
      </c>
      <c r="DO90" t="s">
        <v>401</v>
      </c>
      <c r="EF90" t="s">
        <v>253</v>
      </c>
      <c r="EN90" t="s">
        <v>888</v>
      </c>
      <c r="EO90" t="s">
        <v>43</v>
      </c>
      <c r="EP90" t="s">
        <v>1009</v>
      </c>
      <c r="EQ90" t="s">
        <v>1009</v>
      </c>
      <c r="ER90" t="s">
        <v>619</v>
      </c>
      <c r="ES90" t="s">
        <v>619</v>
      </c>
      <c r="ET90" t="s">
        <v>619</v>
      </c>
      <c r="EU90" t="s">
        <v>619</v>
      </c>
      <c r="EV90" t="s">
        <v>624</v>
      </c>
      <c r="EW90" t="s">
        <v>919</v>
      </c>
      <c r="EX90" t="s">
        <v>157</v>
      </c>
      <c r="EY90" t="s">
        <v>837</v>
      </c>
      <c r="FA90" t="s">
        <v>155</v>
      </c>
      <c r="FB90" t="s">
        <v>1017</v>
      </c>
      <c r="FC90" t="s">
        <v>430</v>
      </c>
      <c r="FD90" t="s">
        <v>159</v>
      </c>
      <c r="FM90" t="str">
        <f t="shared" si="1"/>
        <v xml:space="preserve">    &lt;route id="Router3_89" edges="31909473.0 31909473.857 62634019#1-AddedOnRampEdge 62634019#1 62634019#2.0 62634019#2.242 62634019#3-AddedOnRampEdge 62634019#3 62634019#3-AddedOffRampEdge 12111747.0 59671945#0.30 62093806#0 104526265#0.14 424080766 424080768#0 104523976#1 262962063 12189051#0 -12189051#1 -262962063 -424080764 -424080768#1 -424080766 -104526265#1 30953497#0 30953497#2 30953497#3 42706585#0 42706585#1 30953320 30953320-AddedOffRampEdge 104526277 30953215#1-AddedOnRampEdge 30953215#1 121643865#0 12110705 50715233#0 50715233#0-AddedOffRampEdge 50715233#1.0 62203285#14.24 gneE59.30.0.55 gneE59.30.0.0 43539373#0.0.292.17 gneE58 gneE56 gneE54.0 gneE62.13 gneE81.0 gneE81.299.0 12138964.1128 196393941#8 gneE87 196393974#0 49914077 424767578 43569819 387422128#1 43569827#0 43569827#1 43569827#2 43569827#7 43569848 30953391 424769002 424769005 424769006 424769004 30953396#1 -424769003#1 -424769003#0 -485017374 42706828#0 42706828#2 12182281#0 12182281#3 12182281#5 12182281#6 386995507#4 386995507#5 386995507#6 12152013#1 12152013#2 -12175537#6 -12175537#5 -12175537#4 12182281#9 12182281#10 -388756839#1 -388756839#0 -50033059#4 -50033059#3 -50033059#2 -50033059#1 42706833#0 42706833#2 12189876#0 12189876#2 484953508#1 60185970#0 60185970#2 12149571#1 12187610#3 50033558#2 -12188656 -121319046 -42706825#7 12199713#0 12199713#1 -386995514#6 -386995514#5 -386995514#4 -386995514#3 194358817#0 194358817#1 194358817#2 12114363#0 12114363#1 -50033059#4 12175537#0 12175537#2 12175537#3 12175537#4 12175537#5 12175537#6 12175537#7 12175537#8 12175537#9 12175537#10 12175537#11 12175537#12 12155177#1 12155177#2 387422153#1 gneE73 gneE75.0 gneE80.125"/&gt;</v>
      </c>
      <c r="FN90" t="s">
        <v>2516</v>
      </c>
      <c r="FO90" t="s">
        <v>1178</v>
      </c>
      <c r="FP90" t="s">
        <v>2607</v>
      </c>
    </row>
    <row r="91" spans="2:172" x14ac:dyDescent="0.25">
      <c r="B91" t="s">
        <v>222</v>
      </c>
      <c r="C91" t="s">
        <v>259</v>
      </c>
      <c r="D91" t="s">
        <v>259</v>
      </c>
      <c r="E91" t="s">
        <v>259</v>
      </c>
      <c r="F91" t="s">
        <v>259</v>
      </c>
      <c r="G91" t="s">
        <v>453</v>
      </c>
      <c r="H91" t="s">
        <v>453</v>
      </c>
      <c r="I91" t="s">
        <v>453</v>
      </c>
      <c r="J91" t="s">
        <v>453</v>
      </c>
      <c r="K91" t="s">
        <v>453</v>
      </c>
      <c r="L91" t="s">
        <v>453</v>
      </c>
      <c r="M91" t="s">
        <v>453</v>
      </c>
      <c r="N91" t="s">
        <v>453</v>
      </c>
      <c r="O91" t="s">
        <v>453</v>
      </c>
      <c r="P91" t="s">
        <v>453</v>
      </c>
      <c r="Q91" t="s">
        <v>453</v>
      </c>
      <c r="R91" t="s">
        <v>453</v>
      </c>
      <c r="S91" t="s">
        <v>136</v>
      </c>
      <c r="U91" t="s">
        <v>211</v>
      </c>
      <c r="W91" t="s">
        <v>331</v>
      </c>
      <c r="X91" t="s">
        <v>1028</v>
      </c>
      <c r="Y91" t="s">
        <v>271</v>
      </c>
      <c r="Z91" t="s">
        <v>283</v>
      </c>
      <c r="AR91" t="s">
        <v>585</v>
      </c>
      <c r="AW91" t="s">
        <v>117</v>
      </c>
      <c r="AY91" t="s">
        <v>888</v>
      </c>
      <c r="AZ91" t="s">
        <v>888</v>
      </c>
      <c r="BA91" t="s">
        <v>888</v>
      </c>
      <c r="BG91" t="s">
        <v>985</v>
      </c>
      <c r="BI91" t="s">
        <v>980</v>
      </c>
      <c r="BJ91" t="s">
        <v>402</v>
      </c>
      <c r="BM91" t="s">
        <v>721</v>
      </c>
      <c r="BP91" t="s">
        <v>639</v>
      </c>
      <c r="BS91" t="s">
        <v>43</v>
      </c>
      <c r="BT91" t="s">
        <v>424</v>
      </c>
      <c r="BU91" t="s">
        <v>424</v>
      </c>
      <c r="BV91" t="s">
        <v>946</v>
      </c>
      <c r="BW91" t="s">
        <v>986</v>
      </c>
      <c r="BY91" t="s">
        <v>296</v>
      </c>
      <c r="BZ91" t="s">
        <v>296</v>
      </c>
      <c r="CA91" t="s">
        <v>296</v>
      </c>
      <c r="CC91" t="s">
        <v>160</v>
      </c>
      <c r="CK91" t="s">
        <v>68</v>
      </c>
      <c r="CL91" t="s">
        <v>392</v>
      </c>
      <c r="CM91" t="s">
        <v>118</v>
      </c>
      <c r="CN91" t="s">
        <v>118</v>
      </c>
      <c r="CO91" t="s">
        <v>252</v>
      </c>
      <c r="CP91" t="s">
        <v>223</v>
      </c>
      <c r="CQ91" t="s">
        <v>223</v>
      </c>
      <c r="CR91" t="s">
        <v>998</v>
      </c>
      <c r="CS91" t="s">
        <v>375</v>
      </c>
      <c r="CT91" t="s">
        <v>373</v>
      </c>
      <c r="CU91" t="s">
        <v>293</v>
      </c>
      <c r="CV91" t="s">
        <v>601</v>
      </c>
      <c r="CX91" t="s">
        <v>250</v>
      </c>
      <c r="DB91" t="s">
        <v>280</v>
      </c>
      <c r="DC91" t="s">
        <v>280</v>
      </c>
      <c r="DD91" t="s">
        <v>425</v>
      </c>
      <c r="DH91" t="s">
        <v>117</v>
      </c>
      <c r="DI91" t="s">
        <v>985</v>
      </c>
      <c r="DM91" t="s">
        <v>980</v>
      </c>
      <c r="DN91" t="s">
        <v>980</v>
      </c>
      <c r="DO91" t="s">
        <v>402</v>
      </c>
      <c r="EF91" t="s">
        <v>254</v>
      </c>
      <c r="EN91" t="s">
        <v>37</v>
      </c>
      <c r="EO91" t="s">
        <v>44</v>
      </c>
      <c r="EP91" t="s">
        <v>1010</v>
      </c>
      <c r="EQ91" t="s">
        <v>1010</v>
      </c>
      <c r="ER91" t="s">
        <v>620</v>
      </c>
      <c r="ES91" t="s">
        <v>620</v>
      </c>
      <c r="ET91" t="s">
        <v>620</v>
      </c>
      <c r="EU91" t="s">
        <v>620</v>
      </c>
      <c r="EV91" t="s">
        <v>625</v>
      </c>
      <c r="EW91" t="s">
        <v>430</v>
      </c>
      <c r="EX91" t="s">
        <v>158</v>
      </c>
      <c r="EY91" t="s">
        <v>838</v>
      </c>
      <c r="FA91" t="s">
        <v>429</v>
      </c>
      <c r="FB91" t="s">
        <v>919</v>
      </c>
      <c r="FC91" t="s">
        <v>431</v>
      </c>
      <c r="FD91" t="s">
        <v>160</v>
      </c>
      <c r="FM91" t="str">
        <f t="shared" si="1"/>
        <v xml:space="preserve">    &lt;route id="Router3_90" edges="31909473.0 31909473.857 62634019#1-AddedOnRampEdge 62634019#1 62634019#2.0 62634019#2.242 62634019#3-AddedOnRampEdge 62634019#3 62634019#3-AddedOffRampEdge 12111747.0 59671945#0.30 62093806#0 104526265#0.14 424080766 424080768#0 104523976#1 262962063 12189051#0 -12189051#1 -262962063 -424080764 -424080768#1 -424080766 -104526265#1 30953497#0 30953497#2 30953497#3 42706585#0 42706585#1 30953320 30953320-AddedOffRampEdge 104526277 30953215#1-AddedOnRampEdge 30953215#1 121643865#0 12110705 50715233#0 50715233#0-AddedOffRampEdge 50715233#1.0 62203285#14.24 gneE59.30.0.55 gneE59.30.0.0 gneE59.0.0 gneE59.0.12 62203360#0 291433361#0 132508433.0 -gneE6.0 gneE81.299.0 gneE81.299.79 gneE81.299.145 -gneE8 12154353#0 196393941#1 196393941#2 28533986 43539369#2 12178843#2 12178843#3 49960982#2 43569828#0 387422128#1 43569827#0 43569827#1 43569827#2 43569827#7 43569848 30953391 424769002 424769005 424769006 424769004 30953396#1 387422132#0 387422132#1 486653633#0 484953506#3 484953506#4 12157002#0 12157002#1 12157002#3 12157002#5 12114396#4 -12156992#10 -12156992#8 -12156992#7 -12156992#6 -12156992#5 -12156992#4 -12156992#3 -12156992#2 -12156992#1 -386547297#1 -424080772#2 -424080772#1 -262962065#1 -262962063 -424080764 -424080768#1 -424080766 -104526265#1 30953497#0 30953497#2 35920555#0.0 35920555#0.75 62203066 43331031.0 43331031.436 42706585#0 42706585#1 30953320 30953320-AddedOffRampEdge 30953315 104526276-AddedOnRampEdge 104526276 51758697#0 51758697#1-AddedOnRampEdge 51758697#1"/&gt;</v>
      </c>
      <c r="FN91" t="s">
        <v>2516</v>
      </c>
      <c r="FO91" t="s">
        <v>1179</v>
      </c>
      <c r="FP91" t="s">
        <v>2608</v>
      </c>
    </row>
    <row r="92" spans="2:172" x14ac:dyDescent="0.25">
      <c r="B92" t="s">
        <v>223</v>
      </c>
      <c r="C92" t="s">
        <v>352</v>
      </c>
      <c r="D92" t="s">
        <v>352</v>
      </c>
      <c r="E92" t="s">
        <v>352</v>
      </c>
      <c r="F92" t="s">
        <v>352</v>
      </c>
      <c r="G92" t="s">
        <v>454</v>
      </c>
      <c r="H92" t="s">
        <v>454</v>
      </c>
      <c r="I92" t="s">
        <v>454</v>
      </c>
      <c r="J92" t="s">
        <v>454</v>
      </c>
      <c r="K92" t="s">
        <v>454</v>
      </c>
      <c r="L92" t="s">
        <v>454</v>
      </c>
      <c r="M92" t="s">
        <v>454</v>
      </c>
      <c r="N92" t="s">
        <v>454</v>
      </c>
      <c r="O92" t="s">
        <v>454</v>
      </c>
      <c r="P92" t="s">
        <v>454</v>
      </c>
      <c r="Q92" t="s">
        <v>454</v>
      </c>
      <c r="R92" t="s">
        <v>454</v>
      </c>
      <c r="S92" t="s">
        <v>137</v>
      </c>
      <c r="U92" t="s">
        <v>820</v>
      </c>
      <c r="W92" t="s">
        <v>332</v>
      </c>
      <c r="X92" t="s">
        <v>1029</v>
      </c>
      <c r="Y92" t="s">
        <v>367</v>
      </c>
      <c r="Z92" t="s">
        <v>579</v>
      </c>
      <c r="AR92" t="s">
        <v>586</v>
      </c>
      <c r="AW92" t="s">
        <v>118</v>
      </c>
      <c r="AY92" t="s">
        <v>37</v>
      </c>
      <c r="AZ92" t="s">
        <v>37</v>
      </c>
      <c r="BA92" t="s">
        <v>37</v>
      </c>
      <c r="BG92" t="s">
        <v>986</v>
      </c>
      <c r="BI92" t="s">
        <v>981</v>
      </c>
      <c r="BJ92" t="s">
        <v>403</v>
      </c>
      <c r="BM92" t="s">
        <v>449</v>
      </c>
      <c r="BP92" t="s">
        <v>640</v>
      </c>
      <c r="BS92" t="s">
        <v>44</v>
      </c>
      <c r="BT92" t="s">
        <v>152</v>
      </c>
      <c r="BU92" t="s">
        <v>152</v>
      </c>
      <c r="BV92" t="s">
        <v>992</v>
      </c>
      <c r="BW92" t="s">
        <v>68</v>
      </c>
      <c r="BY92" t="s">
        <v>297</v>
      </c>
      <c r="BZ92" t="s">
        <v>297</v>
      </c>
      <c r="CA92" t="s">
        <v>297</v>
      </c>
      <c r="CC92" t="s">
        <v>161</v>
      </c>
      <c r="CK92" t="s">
        <v>69</v>
      </c>
      <c r="CL92" t="s">
        <v>393</v>
      </c>
      <c r="CM92" t="s">
        <v>119</v>
      </c>
      <c r="CN92" t="s">
        <v>119</v>
      </c>
      <c r="CO92" t="s">
        <v>253</v>
      </c>
      <c r="CP92" t="s">
        <v>224</v>
      </c>
      <c r="CQ92" t="s">
        <v>224</v>
      </c>
      <c r="CR92" t="s">
        <v>421</v>
      </c>
      <c r="CS92" t="s">
        <v>573</v>
      </c>
      <c r="CT92" t="s">
        <v>374</v>
      </c>
      <c r="CU92" t="s">
        <v>471</v>
      </c>
      <c r="CV92" t="s">
        <v>263</v>
      </c>
      <c r="CX92" t="s">
        <v>709</v>
      </c>
      <c r="DB92" t="s">
        <v>281</v>
      </c>
      <c r="DC92" t="s">
        <v>281</v>
      </c>
      <c r="DD92" t="s">
        <v>654</v>
      </c>
      <c r="DH92" t="s">
        <v>118</v>
      </c>
      <c r="DI92" t="s">
        <v>986</v>
      </c>
      <c r="DM92" t="s">
        <v>981</v>
      </c>
      <c r="DN92" t="s">
        <v>981</v>
      </c>
      <c r="DO92" t="s">
        <v>403</v>
      </c>
      <c r="EF92" t="s">
        <v>255</v>
      </c>
      <c r="EN92" t="s">
        <v>889</v>
      </c>
      <c r="EO92" t="s">
        <v>45</v>
      </c>
      <c r="EP92" t="s">
        <v>667</v>
      </c>
      <c r="EQ92" t="s">
        <v>667</v>
      </c>
      <c r="ER92" t="s">
        <v>1016</v>
      </c>
      <c r="ES92" t="s">
        <v>1016</v>
      </c>
      <c r="ET92" t="s">
        <v>835</v>
      </c>
      <c r="EU92" t="s">
        <v>835</v>
      </c>
      <c r="EV92" t="s">
        <v>993</v>
      </c>
      <c r="EW92" t="s">
        <v>431</v>
      </c>
      <c r="EX92" t="s">
        <v>159</v>
      </c>
      <c r="EY92" t="s">
        <v>839</v>
      </c>
      <c r="FA92" t="s">
        <v>430</v>
      </c>
      <c r="FB92" t="s">
        <v>430</v>
      </c>
      <c r="FC92" t="s">
        <v>159</v>
      </c>
      <c r="FD92" t="s">
        <v>161</v>
      </c>
      <c r="FM92" t="str">
        <f t="shared" si="1"/>
        <v xml:space="preserve">    &lt;route id="Router3_91" edges="31909473.0 31909473.857 62634019#1-AddedOnRampEdge 62634019#1 62634019#2.0 62634019#2.242 62634019#3-AddedOnRampEdge 62634019#3 62634019#3-AddedOffRampEdge 12111747.0 59671945#0.30 62093806#0 104526265#0.14 424080766 424080768#0 104523976#1 262962063 12189051#0 -12189051#1 424080770#0 424080772#0 12119506#0 -12156992#1 -386547297#1 -424080772#2 -424080772#1 -424080761#1 -62623960 62623959#0 386547296#0 386547296#1 424080773#0 279870839#0 279870839#2 450844960#0 62623926#1 450844950#0 38502259#0.19 450844933#1 196207115#0 196207115#2 196207115#3 196355332#0 450844979#0.0 450844982#0.19 62203497#0 62203497#2 62203497#3 12134479#1 34685684#0 34685684#2 388533143#0 388533143#2 12140627#0 63060729#0 -264253834#2 12156992#4 12156992#5 12156992#6 12156992#7 12156992#8 12156992#9 -12114396#5 -12114396#3 -12114396#1 485017383#0 485017382#0 485017382#1 211575484#0 -12177521#3 -12177521#2 -12177521#1 32121111#12 32121111#14 -12187610#5 -12187610#2 -12187610#1 12150608#0 32121146#2 12117702#9 450844953#0 450844953#2 450844953#3 450844947#0 388533142#0 388533142#2 388533142#4 62623926#0 62623926#1 450844950#0 38502259#0.19 450844933#1 196207110#0 196207110#2"/&gt;</v>
      </c>
      <c r="FN92" t="s">
        <v>2516</v>
      </c>
      <c r="FO92" t="s">
        <v>1180</v>
      </c>
      <c r="FP92" t="s">
        <v>2609</v>
      </c>
    </row>
    <row r="93" spans="2:172" x14ac:dyDescent="0.25">
      <c r="B93" t="s">
        <v>224</v>
      </c>
      <c r="C93" t="s">
        <v>353</v>
      </c>
      <c r="D93" t="s">
        <v>353</v>
      </c>
      <c r="E93" t="s">
        <v>353</v>
      </c>
      <c r="F93" t="s">
        <v>353</v>
      </c>
      <c r="G93" t="s">
        <v>610</v>
      </c>
      <c r="H93" t="s">
        <v>610</v>
      </c>
      <c r="I93" t="s">
        <v>610</v>
      </c>
      <c r="J93" t="s">
        <v>610</v>
      </c>
      <c r="K93" t="s">
        <v>610</v>
      </c>
      <c r="L93" t="s">
        <v>610</v>
      </c>
      <c r="M93" t="s">
        <v>610</v>
      </c>
      <c r="N93" t="s">
        <v>610</v>
      </c>
      <c r="O93" t="s">
        <v>610</v>
      </c>
      <c r="P93" t="s">
        <v>610</v>
      </c>
      <c r="Q93" t="s">
        <v>610</v>
      </c>
      <c r="R93" t="s">
        <v>610</v>
      </c>
      <c r="S93" t="s">
        <v>138</v>
      </c>
      <c r="U93" t="s">
        <v>260</v>
      </c>
      <c r="W93" t="s">
        <v>333</v>
      </c>
      <c r="X93" t="s">
        <v>713</v>
      </c>
      <c r="Y93" t="s">
        <v>368</v>
      </c>
      <c r="Z93" t="s">
        <v>580</v>
      </c>
      <c r="AR93" t="s">
        <v>475</v>
      </c>
      <c r="AW93" t="s">
        <v>119</v>
      </c>
      <c r="AY93" t="s">
        <v>889</v>
      </c>
      <c r="AZ93" t="s">
        <v>889</v>
      </c>
      <c r="BA93" t="s">
        <v>889</v>
      </c>
      <c r="BG93" t="s">
        <v>68</v>
      </c>
      <c r="BI93" t="s">
        <v>884</v>
      </c>
      <c r="BJ93" t="s">
        <v>404</v>
      </c>
      <c r="BM93" t="s">
        <v>450</v>
      </c>
      <c r="BP93" t="s">
        <v>641</v>
      </c>
      <c r="BS93" t="s">
        <v>45</v>
      </c>
      <c r="BT93" t="s">
        <v>153</v>
      </c>
      <c r="BU93" t="s">
        <v>153</v>
      </c>
      <c r="BV93" t="s">
        <v>624</v>
      </c>
      <c r="BW93" t="s">
        <v>987</v>
      </c>
      <c r="BY93" t="s">
        <v>272</v>
      </c>
      <c r="BZ93" t="s">
        <v>272</v>
      </c>
      <c r="CA93" t="s">
        <v>272</v>
      </c>
      <c r="CK93" t="s">
        <v>70</v>
      </c>
      <c r="CL93" t="s">
        <v>394</v>
      </c>
      <c r="CM93" t="s">
        <v>178</v>
      </c>
      <c r="CN93" t="s">
        <v>178</v>
      </c>
      <c r="CO93" t="s">
        <v>254</v>
      </c>
      <c r="CP93" t="s">
        <v>225</v>
      </c>
      <c r="CQ93" t="s">
        <v>225</v>
      </c>
      <c r="CR93" t="s">
        <v>422</v>
      </c>
      <c r="CS93" t="s">
        <v>532</v>
      </c>
      <c r="CT93" t="s">
        <v>375</v>
      </c>
      <c r="CU93" t="s">
        <v>529</v>
      </c>
      <c r="CV93" t="s">
        <v>264</v>
      </c>
      <c r="CX93" t="s">
        <v>710</v>
      </c>
      <c r="DB93" t="s">
        <v>282</v>
      </c>
      <c r="DC93" t="s">
        <v>282</v>
      </c>
      <c r="DD93" t="s">
        <v>837</v>
      </c>
      <c r="DH93" t="s">
        <v>758</v>
      </c>
      <c r="DI93" t="s">
        <v>68</v>
      </c>
      <c r="DM93" t="s">
        <v>884</v>
      </c>
      <c r="DN93" t="s">
        <v>884</v>
      </c>
      <c r="DO93" t="s">
        <v>404</v>
      </c>
      <c r="EF93" t="s">
        <v>256</v>
      </c>
      <c r="EN93" t="s">
        <v>770</v>
      </c>
      <c r="EP93" t="s">
        <v>419</v>
      </c>
      <c r="EQ93" t="s">
        <v>419</v>
      </c>
      <c r="ER93" t="s">
        <v>423</v>
      </c>
      <c r="ES93" t="s">
        <v>423</v>
      </c>
      <c r="ET93" t="s">
        <v>836</v>
      </c>
      <c r="EU93" t="s">
        <v>836</v>
      </c>
      <c r="EV93" t="s">
        <v>656</v>
      </c>
      <c r="EW93" t="s">
        <v>159</v>
      </c>
      <c r="EX93" t="s">
        <v>160</v>
      </c>
      <c r="EY93" t="s">
        <v>840</v>
      </c>
      <c r="FA93" t="s">
        <v>431</v>
      </c>
      <c r="FB93" t="s">
        <v>431</v>
      </c>
      <c r="FC93" t="s">
        <v>160</v>
      </c>
      <c r="FM93" t="str">
        <f t="shared" si="1"/>
        <v xml:space="preserve">    &lt;route id="Router3_92" edges="31909473.0 31909473.857 62634019#1-AddedOnRampEdge 62634019#1 62634019#2.0 62634019#2.242 62634019#3-AddedOnRampEdge 62634019#3 62634019#3-AddedOffRampEdge 12111747.0 59671945#0.30 62093806#0 104526265#0.14 424080766 424080768#0 104523976#1 262962063 12189051#0 -12189051#1 424080770#0 424080772#0 12119506#0 -12156992#1 -386547297#1 -424080772#2 -424080772#1 -424080761#1 -62623960 62623959#0 386547296#0 386547296#1 424080773#0 279870839#0 279870839#2 450844960#0 62623926#1 450844950#0 38502259#0.19 450844933#1 196207115#0 196207115#2 196207115#3 196355332#0 450844979#0.0 450844982#0.19 62203497#0 62203497#2 62203497#3 12134479#1 34685684#0 34685684#2 388533143#0 388533143#2 12140627#0 63060729#0 -264253834#2 12156992#4 12156992#5 12156992#6 12156992#7 12156992#8 12156992#9 -12114396#5 -12114396#3 -12114396#1 485017383#0 485017382#0 485017382#1 211575484#0 -12177521#3 -12177521#2 -12177521#1 32121111#12 32121111#14 -12187610#5 -12187610#2 -12187610#1 12150608#0 32121146#2 12117702#9 450844953#0 450844953#2 450844953#3 450844947#0 388533142#0 388533142#2 388533142#4 62623926#0 62623926#1 450844950#0 38502259#0.19 450844933#1 196207110#0 196355327#2 196355327#5 -196393940#0"/&gt;</v>
      </c>
      <c r="FN93" t="s">
        <v>2516</v>
      </c>
      <c r="FO93" t="s">
        <v>1181</v>
      </c>
      <c r="FP93" t="s">
        <v>2610</v>
      </c>
    </row>
    <row r="94" spans="2:172" x14ac:dyDescent="0.25">
      <c r="B94" t="s">
        <v>225</v>
      </c>
      <c r="C94" t="s">
        <v>575</v>
      </c>
      <c r="D94" t="s">
        <v>575</v>
      </c>
      <c r="E94" t="s">
        <v>575</v>
      </c>
      <c r="F94" t="s">
        <v>575</v>
      </c>
      <c r="G94" t="s">
        <v>611</v>
      </c>
      <c r="H94" t="s">
        <v>611</v>
      </c>
      <c r="I94" t="s">
        <v>611</v>
      </c>
      <c r="J94" t="s">
        <v>611</v>
      </c>
      <c r="K94" t="s">
        <v>611</v>
      </c>
      <c r="L94" t="s">
        <v>611</v>
      </c>
      <c r="M94" t="s">
        <v>611</v>
      </c>
      <c r="N94" t="s">
        <v>611</v>
      </c>
      <c r="O94" t="s">
        <v>611</v>
      </c>
      <c r="P94" t="s">
        <v>611</v>
      </c>
      <c r="Q94" t="s">
        <v>611</v>
      </c>
      <c r="R94" t="s">
        <v>611</v>
      </c>
      <c r="S94" t="s">
        <v>139</v>
      </c>
      <c r="U94" t="s">
        <v>108</v>
      </c>
      <c r="W94" t="s">
        <v>552</v>
      </c>
      <c r="X94" t="s">
        <v>714</v>
      </c>
      <c r="Y94" t="s">
        <v>369</v>
      </c>
      <c r="Z94" t="s">
        <v>581</v>
      </c>
      <c r="AR94" t="s">
        <v>476</v>
      </c>
      <c r="AW94" t="s">
        <v>178</v>
      </c>
      <c r="AY94" t="s">
        <v>770</v>
      </c>
      <c r="AZ94" t="s">
        <v>770</v>
      </c>
      <c r="BA94" t="s">
        <v>770</v>
      </c>
      <c r="BG94" t="s">
        <v>987</v>
      </c>
      <c r="BI94" t="s">
        <v>885</v>
      </c>
      <c r="BJ94" t="s">
        <v>405</v>
      </c>
      <c r="BM94" t="s">
        <v>760</v>
      </c>
      <c r="BP94" t="s">
        <v>642</v>
      </c>
      <c r="BS94" t="s">
        <v>489</v>
      </c>
      <c r="BT94" t="s">
        <v>154</v>
      </c>
      <c r="BU94" t="s">
        <v>154</v>
      </c>
      <c r="BV94" t="s">
        <v>625</v>
      </c>
      <c r="BW94" t="s">
        <v>615</v>
      </c>
      <c r="BY94" t="s">
        <v>530</v>
      </c>
      <c r="BZ94" t="s">
        <v>530</v>
      </c>
      <c r="CA94" t="s">
        <v>530</v>
      </c>
      <c r="CK94" t="s">
        <v>71</v>
      </c>
      <c r="CL94" t="s">
        <v>218</v>
      </c>
      <c r="CM94" t="s">
        <v>233</v>
      </c>
      <c r="CN94" t="s">
        <v>233</v>
      </c>
      <c r="CO94" t="s">
        <v>255</v>
      </c>
      <c r="CP94" t="s">
        <v>226</v>
      </c>
      <c r="CQ94" t="s">
        <v>226</v>
      </c>
      <c r="CR94" t="s">
        <v>423</v>
      </c>
      <c r="CS94" t="s">
        <v>574</v>
      </c>
      <c r="CT94" t="s">
        <v>573</v>
      </c>
      <c r="CU94" t="s">
        <v>295</v>
      </c>
      <c r="CV94" t="s">
        <v>265</v>
      </c>
      <c r="CX94" t="s">
        <v>252</v>
      </c>
      <c r="DB94" t="s">
        <v>283</v>
      </c>
      <c r="DC94" t="s">
        <v>283</v>
      </c>
      <c r="DD94" t="s">
        <v>838</v>
      </c>
      <c r="DH94" t="s">
        <v>445</v>
      </c>
      <c r="DI94" t="s">
        <v>987</v>
      </c>
      <c r="DM94" t="s">
        <v>885</v>
      </c>
      <c r="DN94" t="s">
        <v>885</v>
      </c>
      <c r="DO94" t="s">
        <v>405</v>
      </c>
      <c r="EF94" t="s">
        <v>257</v>
      </c>
      <c r="EN94" t="s">
        <v>890</v>
      </c>
      <c r="EP94" t="s">
        <v>420</v>
      </c>
      <c r="EQ94" t="s">
        <v>420</v>
      </c>
      <c r="ER94" t="s">
        <v>424</v>
      </c>
      <c r="ES94" t="s">
        <v>424</v>
      </c>
      <c r="ET94" t="s">
        <v>654</v>
      </c>
      <c r="EU94" t="s">
        <v>654</v>
      </c>
      <c r="EV94" t="s">
        <v>839</v>
      </c>
      <c r="EW94" t="s">
        <v>160</v>
      </c>
      <c r="EX94" t="s">
        <v>161</v>
      </c>
      <c r="EY94" t="s">
        <v>431</v>
      </c>
      <c r="FA94" t="s">
        <v>159</v>
      </c>
      <c r="FB94" t="s">
        <v>159</v>
      </c>
      <c r="FC94" t="s">
        <v>161</v>
      </c>
      <c r="FM94" t="str">
        <f t="shared" si="1"/>
        <v xml:space="preserve">    &lt;route id="Router3_93" edges="31909473.0 31909473.857 62634019#1-AddedOnRampEdge 62634019#1 62634019#2.0 62634019#2.242 62634019#3-AddedOnRampEdge 62634019#3 62634019#3-AddedOffRampEdge 12111747.0 59671945#0.30 62093806#0 104526265#0.14 424080766 424080768#0 104523976#1 262962063 12189051#0 -12189051#1 424080770#0 424080772#0 12119506#0 -12156992#1 -386547297#1 -424080772#2 -424080772#1 -424080761#1 -62623960 62623959#0 386547296#0 386547296#1 424080773#0 279870839#0 279870839#2 450844960#0 62623926#1 450844950#0 38502259#0.19 450844933#1 196207115#0 196207115#2 196207115#3 196355332#0 450844979#0.0 450844982#0.19 62203497#0 62203497#2 62203497#3 12134479#1 34685684#0 34685684#2 388533143#0 388533143#2 12140627#0 63060729#0 -264253834#2 12156992#4 12156992#5 12156992#6 12156992#7 12156992#8 12156992#9 484953505 12148522#0 -12186058#4 -12186058#1 -386995465#1 -386995504#1 386995479#0 12157718#5 12157718#7 485017376 485017373#0 387422135#0 424769003#0 424769003#1 -30953396#1 -30953396#0 -424769006 -424769005 -424769002 -30953391 -43569848 -393884751 12159702 424764853 12149178#0 50189796 50189564 12149178#2 145605533#0 145605533#1-AddedOnRampEdge 145605533#1 145605511#1-AddedOnRampEdge 145605511#12 145605511#1.148"/&gt;</v>
      </c>
      <c r="FN94" t="s">
        <v>2516</v>
      </c>
      <c r="FO94" t="s">
        <v>1182</v>
      </c>
      <c r="FP94" t="s">
        <v>2611</v>
      </c>
    </row>
    <row r="95" spans="2:172" x14ac:dyDescent="0.25">
      <c r="B95" t="s">
        <v>226</v>
      </c>
      <c r="C95" t="s">
        <v>978</v>
      </c>
      <c r="D95" t="s">
        <v>978</v>
      </c>
      <c r="E95" t="s">
        <v>978</v>
      </c>
      <c r="F95" t="s">
        <v>978</v>
      </c>
      <c r="G95" t="s">
        <v>612</v>
      </c>
      <c r="H95" t="s">
        <v>612</v>
      </c>
      <c r="I95" t="s">
        <v>612</v>
      </c>
      <c r="J95" t="s">
        <v>612</v>
      </c>
      <c r="K95" t="s">
        <v>612</v>
      </c>
      <c r="L95" t="s">
        <v>612</v>
      </c>
      <c r="M95" t="s">
        <v>612</v>
      </c>
      <c r="N95" t="s">
        <v>612</v>
      </c>
      <c r="O95" t="s">
        <v>612</v>
      </c>
      <c r="P95" t="s">
        <v>612</v>
      </c>
      <c r="Q95" t="s">
        <v>612</v>
      </c>
      <c r="R95" t="s">
        <v>612</v>
      </c>
      <c r="S95" t="s">
        <v>140</v>
      </c>
      <c r="U95" t="s">
        <v>109</v>
      </c>
      <c r="W95" t="s">
        <v>553</v>
      </c>
      <c r="X95" t="s">
        <v>715</v>
      </c>
      <c r="Y95" t="s">
        <v>284</v>
      </c>
      <c r="Z95" t="s">
        <v>582</v>
      </c>
      <c r="AR95" t="s">
        <v>378</v>
      </c>
      <c r="AW95" t="s">
        <v>233</v>
      </c>
      <c r="AY95" t="s">
        <v>890</v>
      </c>
      <c r="AZ95" t="s">
        <v>890</v>
      </c>
      <c r="BA95" t="s">
        <v>771</v>
      </c>
      <c r="BG95" t="s">
        <v>615</v>
      </c>
      <c r="BI95" t="s">
        <v>886</v>
      </c>
      <c r="BJ95" t="s">
        <v>406</v>
      </c>
      <c r="BM95" t="s">
        <v>240</v>
      </c>
      <c r="BP95" t="s">
        <v>643</v>
      </c>
      <c r="BS95" t="s">
        <v>120</v>
      </c>
      <c r="BT95" t="s">
        <v>1017</v>
      </c>
      <c r="BU95" t="s">
        <v>1017</v>
      </c>
      <c r="BV95" t="s">
        <v>993</v>
      </c>
      <c r="BW95" t="s">
        <v>616</v>
      </c>
      <c r="BY95" t="s">
        <v>277</v>
      </c>
      <c r="BZ95" t="s">
        <v>277</v>
      </c>
      <c r="CA95" t="s">
        <v>277</v>
      </c>
      <c r="CK95" t="s">
        <v>591</v>
      </c>
      <c r="CL95" t="s">
        <v>219</v>
      </c>
      <c r="CM95" t="s">
        <v>239</v>
      </c>
      <c r="CN95" t="s">
        <v>234</v>
      </c>
      <c r="CO95" t="s">
        <v>256</v>
      </c>
      <c r="CP95" t="s">
        <v>187</v>
      </c>
      <c r="CQ95" t="s">
        <v>488</v>
      </c>
      <c r="CR95" t="s">
        <v>424</v>
      </c>
      <c r="CS95" t="s">
        <v>278</v>
      </c>
      <c r="CT95" t="s">
        <v>532</v>
      </c>
      <c r="CU95" t="s">
        <v>296</v>
      </c>
      <c r="CV95" t="s">
        <v>266</v>
      </c>
      <c r="CX95" t="s">
        <v>253</v>
      </c>
      <c r="DB95" t="s">
        <v>579</v>
      </c>
      <c r="DC95" t="s">
        <v>579</v>
      </c>
      <c r="DD95" t="s">
        <v>839</v>
      </c>
      <c r="DH95" t="s">
        <v>446</v>
      </c>
      <c r="DI95" t="s">
        <v>615</v>
      </c>
      <c r="DM95" t="s">
        <v>886</v>
      </c>
      <c r="DN95" t="s">
        <v>886</v>
      </c>
      <c r="DO95" t="s">
        <v>406</v>
      </c>
      <c r="EF95" t="s">
        <v>258</v>
      </c>
      <c r="EN95" t="s">
        <v>891</v>
      </c>
      <c r="EP95" t="s">
        <v>1011</v>
      </c>
      <c r="EQ95" t="s">
        <v>1011</v>
      </c>
      <c r="ER95" t="s">
        <v>152</v>
      </c>
      <c r="ES95" t="s">
        <v>152</v>
      </c>
      <c r="ET95" t="s">
        <v>837</v>
      </c>
      <c r="EU95" t="s">
        <v>837</v>
      </c>
      <c r="EV95" t="s">
        <v>840</v>
      </c>
      <c r="EW95" t="s">
        <v>161</v>
      </c>
      <c r="EY95" t="s">
        <v>159</v>
      </c>
      <c r="FA95" t="s">
        <v>160</v>
      </c>
      <c r="FB95" t="s">
        <v>160</v>
      </c>
      <c r="FM95" t="str">
        <f t="shared" si="1"/>
        <v xml:space="preserve">    &lt;route id="Router3_94" edges="31909473.0 31909473.857 62634019#1-AddedOnRampEdge 62634019#1 62634019#2.0 62634019#2.242 62634019#3-AddedOnRampEdge 62634019#3 62634019#3-AddedOffRampEdge 12111747.0 59671945#0.30 62093806#0 104526265#0.14 424080766 424080768#0 104523976#1 262962063 12189051#0 -12189051#1 424080770#0 424080772#0 12119506#0 -12156992#1 -386547297#1 -424080772#2 -424080772#1 -424080761#1 -62623960 62623959#0 386547296#0 386547296#1 424080773#0 279870839#0 279870839#2 450844960#0 62623926#1 450844950#0 38502259#0.19 450844933#1 196207115#0 196207115#2 196207115#3 196355332#0 450844979#0.0 450844982#0.19 62203497#0 62203497#2 62203497#3 12134479#1 34685684#0 34685684#2 388533143#0 388533143#2 12140627#0 63060729#0 -264253834#2 12156992#4 12156992#5 12156992#6 12156992#7 12156992#8 12156992#9 484953505 12148522#0 485017381#0 485017381#1 -30953396#1 30953396#1 -424769003#1 -424769003#0 12157002#0 12157002#1 12157002#3 12157002#5 12114396#4 -12156992#10 -12156992#8 -12156992#7 -12156992#6 -12156992#5 -12156992#4 -12156992#3 -12156992#2 -12156992#1 -386547297#1 -424080772#2 -424080772#1 -262962065#1 -262962063 -424080764 -424080768#1 -424080766 -104526265#1 -262962068#1 -424080774 -32122059#1 -32122059#0 -196393940#2 -196393940#0"/&gt;</v>
      </c>
      <c r="FN95" t="s">
        <v>2516</v>
      </c>
      <c r="FO95" t="s">
        <v>1183</v>
      </c>
      <c r="FP95" t="s">
        <v>2612</v>
      </c>
    </row>
    <row r="96" spans="2:172" x14ac:dyDescent="0.25">
      <c r="B96" t="s">
        <v>488</v>
      </c>
      <c r="C96" t="s">
        <v>355</v>
      </c>
      <c r="D96" t="s">
        <v>355</v>
      </c>
      <c r="E96" t="s">
        <v>355</v>
      </c>
      <c r="F96" t="s">
        <v>355</v>
      </c>
      <c r="G96" t="s">
        <v>385</v>
      </c>
      <c r="H96" t="s">
        <v>385</v>
      </c>
      <c r="I96" t="s">
        <v>385</v>
      </c>
      <c r="J96" t="s">
        <v>385</v>
      </c>
      <c r="K96" t="s">
        <v>385</v>
      </c>
      <c r="L96" t="s">
        <v>385</v>
      </c>
      <c r="M96" t="s">
        <v>385</v>
      </c>
      <c r="N96" t="s">
        <v>385</v>
      </c>
      <c r="O96" t="s">
        <v>385</v>
      </c>
      <c r="P96" t="s">
        <v>385</v>
      </c>
      <c r="Q96" t="s">
        <v>385</v>
      </c>
      <c r="R96" t="s">
        <v>385</v>
      </c>
      <c r="S96" t="s">
        <v>141</v>
      </c>
      <c r="U96" t="s">
        <v>110</v>
      </c>
      <c r="W96" t="s">
        <v>692</v>
      </c>
      <c r="X96" t="s">
        <v>1030</v>
      </c>
      <c r="Y96" t="s">
        <v>285</v>
      </c>
      <c r="Z96" t="s">
        <v>583</v>
      </c>
      <c r="AR96" t="s">
        <v>379</v>
      </c>
      <c r="AW96" t="s">
        <v>239</v>
      </c>
      <c r="AY96" t="s">
        <v>891</v>
      </c>
      <c r="AZ96" t="s">
        <v>891</v>
      </c>
      <c r="BA96" t="s">
        <v>772</v>
      </c>
      <c r="BG96" t="s">
        <v>616</v>
      </c>
      <c r="BI96" t="s">
        <v>887</v>
      </c>
      <c r="BJ96" t="s">
        <v>407</v>
      </c>
      <c r="BM96" t="s">
        <v>241</v>
      </c>
      <c r="BP96" t="s">
        <v>644</v>
      </c>
      <c r="BS96" t="s">
        <v>121</v>
      </c>
      <c r="BT96" t="s">
        <v>919</v>
      </c>
      <c r="BU96" t="s">
        <v>919</v>
      </c>
      <c r="BV96" t="s">
        <v>656</v>
      </c>
      <c r="BW96" t="s">
        <v>617</v>
      </c>
      <c r="BY96" t="s">
        <v>370</v>
      </c>
      <c r="BZ96" t="s">
        <v>370</v>
      </c>
      <c r="CA96" t="s">
        <v>370</v>
      </c>
      <c r="CK96" t="s">
        <v>592</v>
      </c>
      <c r="CL96" t="s">
        <v>220</v>
      </c>
      <c r="CN96" t="s">
        <v>1033</v>
      </c>
      <c r="CO96" t="s">
        <v>257</v>
      </c>
      <c r="CP96" t="s">
        <v>188</v>
      </c>
      <c r="CQ96" t="s">
        <v>399</v>
      </c>
      <c r="CR96" t="s">
        <v>425</v>
      </c>
      <c r="CS96" t="s">
        <v>279</v>
      </c>
      <c r="CT96" t="s">
        <v>574</v>
      </c>
      <c r="CU96" t="s">
        <v>297</v>
      </c>
      <c r="CV96" t="s">
        <v>366</v>
      </c>
      <c r="CX96" t="s">
        <v>254</v>
      </c>
      <c r="DB96" t="s">
        <v>580</v>
      </c>
      <c r="DC96" t="s">
        <v>580</v>
      </c>
      <c r="DD96" t="s">
        <v>840</v>
      </c>
      <c r="DH96" t="s">
        <v>447</v>
      </c>
      <c r="DI96" t="s">
        <v>616</v>
      </c>
      <c r="DM96" t="s">
        <v>887</v>
      </c>
      <c r="DN96" t="s">
        <v>887</v>
      </c>
      <c r="DO96" t="s">
        <v>407</v>
      </c>
      <c r="EN96" t="s">
        <v>892</v>
      </c>
      <c r="EP96" t="s">
        <v>1012</v>
      </c>
      <c r="EQ96" t="s">
        <v>1012</v>
      </c>
      <c r="ER96" t="s">
        <v>153</v>
      </c>
      <c r="ES96" t="s">
        <v>153</v>
      </c>
      <c r="ET96" t="s">
        <v>1020</v>
      </c>
      <c r="EU96" t="s">
        <v>1020</v>
      </c>
      <c r="EV96" t="s">
        <v>431</v>
      </c>
      <c r="EY96" t="s">
        <v>160</v>
      </c>
      <c r="FA96" t="s">
        <v>161</v>
      </c>
      <c r="FB96" t="s">
        <v>161</v>
      </c>
      <c r="FM96" t="str">
        <f t="shared" si="1"/>
        <v xml:space="preserve">    &lt;route id="Router3_95" edges="31909473.0 31909473.857 62634019#1-AddedOnRampEdge 62634019#1 62634019#2.0 62634019#2.242 62634019#3-AddedOnRampEdge 62634019#3 62634019#3-AddedOffRampEdge 12111747.0 59671945#0.30 62093806#0 104526265#0.14 424080766 424080768#0 104523976#1 262962063 12189051#0 -12189051#1 424080770#0 424080772#0 12119506#0 -12156992#1 -386547297#1 -424080772#2 -424080772#1 -424080761#1 -62623960 62623959#0 386547296#0 386547296#1 424080773#0 279870839#0 279870839#2 450844960#0 62623926#1 450844950#0 38502259#0.19 450844933#1 196207115#0 196207115#2 196207115#3 196355332#0 450844979#0.0 450844982#0.19 62203497#0 62203497#2 62203497#3 12134479#1 34685684#0 34685684#2 388533143#0 388533143#2 12140627#0 63060729#0 -264253834#2 12156992#4 12156992#5 12156992#6 12156992#7 12156992#8 12156992#9 484953505 12148522#0 485017381#0 485017381#1 -30953396#1 30953396#1 -424769003#1 -424769003#0 12157002#0 12157002#1 12157002#3 12157002#5 12114396#4 -12156992#10 -12156992#8 -12156992#7 -12156992#6 -12156992#5 -12156992#4 -12156992#3 -12156992#2 -12156992#1 -386547297#1 -424080772#2 -424080772#1 -262962065#1 -262962063 -424080764 -424080768#1 -424080766 -104526265#1 30953497#0 30953497#2 30953497#3 42706585#0 42706585#1 30953320 30953320-AddedOffRampEdge 104526277 30953215#1-AddedOnRampEdge 30953215#1 121643865#0 12110705 50715233#0 50715233#0-AddedOffRampEdge 50715233#1.0 62203285#14.24 gneE59.30.0.55 gneE59.30.0.0 43539373#0.0.292.17 gneE58 gneE56 gneE54.0 gneE62.13 gneE81.0 gneE6.0 424765883 43539378#0.15 43539378#1 -393884751 12159702 424764853 12149178#0 50189796 50189564 12149178#2 145605533#0 145605533#1-AddedOnRampEdge 145605533#1 145605511#1-AddedOnRampEdge 145605511#12 145605511#1.148"/&gt;</v>
      </c>
      <c r="FN96" t="s">
        <v>2516</v>
      </c>
      <c r="FO96" t="s">
        <v>1184</v>
      </c>
      <c r="FP96" t="s">
        <v>2613</v>
      </c>
    </row>
    <row r="97" spans="2:172" x14ac:dyDescent="0.25">
      <c r="B97" t="s">
        <v>399</v>
      </c>
      <c r="C97" t="s">
        <v>759</v>
      </c>
      <c r="D97" t="s">
        <v>759</v>
      </c>
      <c r="E97" t="s">
        <v>759</v>
      </c>
      <c r="F97" t="s">
        <v>759</v>
      </c>
      <c r="G97" t="s">
        <v>386</v>
      </c>
      <c r="H97" t="s">
        <v>386</v>
      </c>
      <c r="I97" t="s">
        <v>386</v>
      </c>
      <c r="J97" t="s">
        <v>386</v>
      </c>
      <c r="K97" t="s">
        <v>386</v>
      </c>
      <c r="L97" t="s">
        <v>386</v>
      </c>
      <c r="M97" t="s">
        <v>386</v>
      </c>
      <c r="N97" t="s">
        <v>386</v>
      </c>
      <c r="O97" t="s">
        <v>386</v>
      </c>
      <c r="P97" t="s">
        <v>386</v>
      </c>
      <c r="Q97" t="s">
        <v>386</v>
      </c>
      <c r="R97" t="s">
        <v>456</v>
      </c>
      <c r="U97" t="s">
        <v>111</v>
      </c>
      <c r="W97" t="s">
        <v>693</v>
      </c>
      <c r="X97" t="s">
        <v>275</v>
      </c>
      <c r="Y97" t="s">
        <v>286</v>
      </c>
      <c r="Z97" t="s">
        <v>584</v>
      </c>
      <c r="AR97" t="s">
        <v>380</v>
      </c>
      <c r="AY97" t="s">
        <v>892</v>
      </c>
      <c r="AZ97" t="s">
        <v>892</v>
      </c>
      <c r="BA97" t="s">
        <v>900</v>
      </c>
      <c r="BG97" t="s">
        <v>617</v>
      </c>
      <c r="BI97" t="s">
        <v>888</v>
      </c>
      <c r="BJ97" t="s">
        <v>43</v>
      </c>
      <c r="BM97" t="s">
        <v>391</v>
      </c>
      <c r="BP97" t="s">
        <v>44</v>
      </c>
      <c r="BS97" t="s">
        <v>122</v>
      </c>
      <c r="BT97" t="s">
        <v>430</v>
      </c>
      <c r="BU97" t="s">
        <v>430</v>
      </c>
      <c r="BV97" t="s">
        <v>839</v>
      </c>
      <c r="BW97" t="s">
        <v>417</v>
      </c>
      <c r="BY97" t="s">
        <v>371</v>
      </c>
      <c r="BZ97" t="s">
        <v>371</v>
      </c>
      <c r="CA97" t="s">
        <v>371</v>
      </c>
      <c r="CK97" t="s">
        <v>172</v>
      </c>
      <c r="CL97" t="s">
        <v>221</v>
      </c>
      <c r="CN97" t="s">
        <v>534</v>
      </c>
      <c r="CO97" t="s">
        <v>258</v>
      </c>
      <c r="CP97" t="s">
        <v>189</v>
      </c>
      <c r="CQ97" t="s">
        <v>400</v>
      </c>
      <c r="CR97" t="s">
        <v>654</v>
      </c>
      <c r="CS97" t="s">
        <v>280</v>
      </c>
      <c r="CT97" t="s">
        <v>278</v>
      </c>
      <c r="CU97" t="s">
        <v>272</v>
      </c>
      <c r="CV97" t="s">
        <v>268</v>
      </c>
      <c r="CX97" t="s">
        <v>255</v>
      </c>
      <c r="DB97" t="s">
        <v>581</v>
      </c>
      <c r="DC97" t="s">
        <v>581</v>
      </c>
      <c r="DD97" t="s">
        <v>431</v>
      </c>
      <c r="DH97" t="s">
        <v>448</v>
      </c>
      <c r="DI97" t="s">
        <v>617</v>
      </c>
      <c r="DM97" t="s">
        <v>888</v>
      </c>
      <c r="DN97" t="s">
        <v>888</v>
      </c>
      <c r="DO97" t="s">
        <v>43</v>
      </c>
      <c r="EN97" t="s">
        <v>893</v>
      </c>
      <c r="EP97" t="s">
        <v>150</v>
      </c>
      <c r="EQ97" t="s">
        <v>150</v>
      </c>
      <c r="ER97" t="s">
        <v>154</v>
      </c>
      <c r="ES97" t="s">
        <v>154</v>
      </c>
      <c r="ET97" t="s">
        <v>921</v>
      </c>
      <c r="EU97" t="s">
        <v>921</v>
      </c>
      <c r="EV97" t="s">
        <v>159</v>
      </c>
      <c r="EY97" t="s">
        <v>161</v>
      </c>
      <c r="FM97" t="str">
        <f t="shared" si="1"/>
        <v xml:space="preserve">    &lt;route id="Router3_96" edges="31909473.0 31909473.857 62634019#1-AddedOnRampEdge 62634019#1 62634019#2.0 62634019#2.242 62634019#3-AddedOnRampEdge 62634019#3 62634019#3-AddedOffRampEdge 12111747.0 59671945#0.30 62093806#0 104526265#0.14 424080766 424080768#0 104523976#1 262962063 12189051#0 -12189051#1 424080770#0 424080772#0 12119506#0 -12156992#1 -386547297#1 -424080772#2 -424080772#1 -424080761#1 -62623960 62623959#0 386547296#0 386547296#1 424080773#0 279870839#0 279870839#2 450844960#0 62623926#1 450844950#0 38502259#0.19 450844933#1 196207115#0 196207115#2 196207115#3 196355332#0 450844979#0.0 450844982#0.19 62203497#0 62203497#2 62203497#3 12134479#1 34685684#0 34685684#2 388533143#0 388533143#2 12140627#0 63060729#0 -264253834#2 12156992#4 12156992#5 12156992#6 12156992#7 12156992#8 12156992#9 484953505 12148522#0 485017381#0 485017381#1 -30953396#1 30953396#1 -424769003#1 -424769003#0 12157002#0 12157002#1 12186058#2 485017381#0 -12157718#12 -12157718#10 -12157718#9 -12157718#8 -12157718#6 386995479#1 386995479#2 386995479#3 386995479#4 386995479#5 386995479#6 386995490#0.0 12154359#1.20 12154359#2 -386995521#1 -386995521#0 43357814#0 43357814#1 42706837#4 42706837#5 12154359#5 12154359#6 386995531#1 386995531#2 386995531#3 386995531#4 12172918#2 gneE73 gneE75.0 gneE80.125"/&gt;</v>
      </c>
      <c r="FN97" t="s">
        <v>2516</v>
      </c>
      <c r="FO97" t="s">
        <v>1185</v>
      </c>
      <c r="FP97" t="s">
        <v>2614</v>
      </c>
    </row>
    <row r="98" spans="2:172" x14ac:dyDescent="0.25">
      <c r="B98" t="s">
        <v>400</v>
      </c>
      <c r="C98" t="s">
        <v>108</v>
      </c>
      <c r="D98" t="s">
        <v>108</v>
      </c>
      <c r="E98" t="s">
        <v>108</v>
      </c>
      <c r="F98" t="s">
        <v>108</v>
      </c>
      <c r="G98" t="s">
        <v>387</v>
      </c>
      <c r="H98" t="s">
        <v>387</v>
      </c>
      <c r="I98" t="s">
        <v>387</v>
      </c>
      <c r="J98" t="s">
        <v>387</v>
      </c>
      <c r="K98" t="s">
        <v>387</v>
      </c>
      <c r="L98" t="s">
        <v>387</v>
      </c>
      <c r="M98" t="s">
        <v>387</v>
      </c>
      <c r="N98" t="s">
        <v>387</v>
      </c>
      <c r="O98" t="s">
        <v>387</v>
      </c>
      <c r="P98" t="s">
        <v>387</v>
      </c>
      <c r="Q98" t="s">
        <v>387</v>
      </c>
      <c r="R98" t="s">
        <v>457</v>
      </c>
      <c r="U98" t="s">
        <v>112</v>
      </c>
      <c r="W98" t="s">
        <v>694</v>
      </c>
      <c r="X98" t="s">
        <v>276</v>
      </c>
      <c r="Y98" t="s">
        <v>287</v>
      </c>
      <c r="Z98" t="s">
        <v>585</v>
      </c>
      <c r="AR98" t="s">
        <v>381</v>
      </c>
      <c r="AY98" t="s">
        <v>893</v>
      </c>
      <c r="AZ98" t="s">
        <v>893</v>
      </c>
      <c r="BA98" t="s">
        <v>901</v>
      </c>
      <c r="BG98" t="s">
        <v>618</v>
      </c>
      <c r="BI98" t="s">
        <v>37</v>
      </c>
      <c r="BJ98" t="s">
        <v>44</v>
      </c>
      <c r="BM98" t="s">
        <v>731</v>
      </c>
      <c r="BP98" t="s">
        <v>45</v>
      </c>
      <c r="BS98" t="s">
        <v>123</v>
      </c>
      <c r="BT98" t="s">
        <v>431</v>
      </c>
      <c r="BU98" t="s">
        <v>431</v>
      </c>
      <c r="BV98" t="s">
        <v>840</v>
      </c>
      <c r="BW98" t="s">
        <v>1009</v>
      </c>
      <c r="BY98" t="s">
        <v>372</v>
      </c>
      <c r="BZ98" t="s">
        <v>372</v>
      </c>
      <c r="CA98" t="s">
        <v>372</v>
      </c>
      <c r="CK98" t="s">
        <v>173</v>
      </c>
      <c r="CL98" t="s">
        <v>222</v>
      </c>
      <c r="CP98" t="s">
        <v>190</v>
      </c>
      <c r="CQ98" t="s">
        <v>401</v>
      </c>
      <c r="CR98" t="s">
        <v>837</v>
      </c>
      <c r="CS98" t="s">
        <v>281</v>
      </c>
      <c r="CT98" t="s">
        <v>279</v>
      </c>
      <c r="CU98" t="s">
        <v>530</v>
      </c>
      <c r="CV98" t="s">
        <v>269</v>
      </c>
      <c r="CX98" t="s">
        <v>256</v>
      </c>
      <c r="DB98" t="s">
        <v>582</v>
      </c>
      <c r="DC98" t="s">
        <v>582</v>
      </c>
      <c r="DD98" t="s">
        <v>159</v>
      </c>
      <c r="DH98" t="s">
        <v>569</v>
      </c>
      <c r="DI98" t="s">
        <v>618</v>
      </c>
      <c r="DM98" t="s">
        <v>37</v>
      </c>
      <c r="DN98" t="s">
        <v>37</v>
      </c>
      <c r="DO98" t="s">
        <v>44</v>
      </c>
      <c r="EN98" t="s">
        <v>900</v>
      </c>
      <c r="EP98" t="s">
        <v>151</v>
      </c>
      <c r="EQ98" t="s">
        <v>151</v>
      </c>
      <c r="ER98" t="s">
        <v>155</v>
      </c>
      <c r="ES98" t="s">
        <v>1017</v>
      </c>
      <c r="ET98" t="s">
        <v>922</v>
      </c>
      <c r="EU98" t="s">
        <v>922</v>
      </c>
      <c r="EV98" t="s">
        <v>160</v>
      </c>
      <c r="FM98" t="str">
        <f t="shared" si="1"/>
        <v xml:space="preserve">    &lt;route id="Router3_97" edges="31909473.0 31909473.857 62634019#1-AddedOnRampEdge 62634019#1 62634019#2.0 62634019#2.242 62634019#3-AddedOnRampEdge 62634019#3 62634019#3-AddedOffRampEdge 12111747.0 59671945#0.30 62093806#0 104526265#0.14 424080766 424080768#0 104523976#1 262962063 12189051#0 -12189051#1 424080770#0 424080772#0 424080772#2 386547297#0 424080771#0 424080767#0 386547298#0 424769177 424080769#0 55179414#0 12187610#0 -484953508#2 424801339#0 62646509#0 424801338#0 424801338#1 12117702#0 12117702#4 12117702#7 -32121146#3 -32121146#1 55179413#0 424769182 -450827405#2 -450827400#2 -450827382 -450827385#1 12134222#0 12134222#2 12134222#3 386547311#11 386547311#13 357338496#0 357338496#2 450695461#0 62646494#0 424801336#0 484842168#0 283621820 -28555309#1 -424801341 -283621822#1 -424801343#1 -424801343#0 49991658 424801340 424801342 386550018#0 386550018#0-AddedOffRampEdge 386550018#1 49991638 -12144161#0 12144161#0 12144161#1 49991657 283621821#1 283621821#1-AddedOffRampEdge 283621821#2 49991647#1 49991647#2 63060732#0 63060732#1 63060732#2.0 63060732#2.116 50033027 -50033029 50033050#0 50033050#2 424799828 424799825 424799826 50033054 63060727 50033029 50033028#0 50033028#3 50033028#5 50033028#6 49991646 386547300#0 283621823 386547301-AddedOnRampEdge 386547301 424801344#0 424801343#1 283621822#0 424801341 28555309#0 49991649#0 424986163#0 51049946#0 424801337#0 357338497#0 357338497#2 450695460#0 62646499#0 62646499#2 450827424#0 62646508#0 62646508#2 424799820 424799823#0 50033059#0 50033059#2 50033059#3 50033059#4 388756839#0 388756839#1 388756838#0 12136923#0 386547309#0 386547309#2 386547309#3 386547309#5 386547309#7 51050030#4 51050030#7 gneE35 -gneE34.0 --gneE83.0"/&gt;</v>
      </c>
      <c r="FN98" t="s">
        <v>2516</v>
      </c>
      <c r="FO98" t="s">
        <v>1186</v>
      </c>
      <c r="FP98" t="s">
        <v>2615</v>
      </c>
    </row>
    <row r="99" spans="2:172" x14ac:dyDescent="0.25">
      <c r="B99" t="s">
        <v>401</v>
      </c>
      <c r="C99" t="s">
        <v>109</v>
      </c>
      <c r="D99" t="s">
        <v>109</v>
      </c>
      <c r="E99" t="s">
        <v>109</v>
      </c>
      <c r="F99" t="s">
        <v>109</v>
      </c>
      <c r="G99" t="s">
        <v>388</v>
      </c>
      <c r="H99" t="s">
        <v>388</v>
      </c>
      <c r="I99" t="s">
        <v>388</v>
      </c>
      <c r="J99" t="s">
        <v>388</v>
      </c>
      <c r="K99" t="s">
        <v>388</v>
      </c>
      <c r="L99" t="s">
        <v>388</v>
      </c>
      <c r="M99" t="s">
        <v>388</v>
      </c>
      <c r="N99" t="s">
        <v>388</v>
      </c>
      <c r="O99" t="s">
        <v>388</v>
      </c>
      <c r="P99" t="s">
        <v>388</v>
      </c>
      <c r="Q99" t="s">
        <v>388</v>
      </c>
      <c r="R99" t="s">
        <v>1022</v>
      </c>
      <c r="U99" t="s">
        <v>113</v>
      </c>
      <c r="W99" t="s">
        <v>695</v>
      </c>
      <c r="X99" t="s">
        <v>277</v>
      </c>
      <c r="Y99" t="s">
        <v>288</v>
      </c>
      <c r="Z99" t="s">
        <v>586</v>
      </c>
      <c r="AR99" t="s">
        <v>382</v>
      </c>
      <c r="AY99" t="s">
        <v>900</v>
      </c>
      <c r="AZ99" t="s">
        <v>900</v>
      </c>
      <c r="BA99" t="s">
        <v>902</v>
      </c>
      <c r="BG99" t="s">
        <v>619</v>
      </c>
      <c r="BI99" t="s">
        <v>889</v>
      </c>
      <c r="BJ99" t="s">
        <v>45</v>
      </c>
      <c r="BM99" t="s">
        <v>732</v>
      </c>
      <c r="BS99" t="s">
        <v>124</v>
      </c>
      <c r="BT99" t="s">
        <v>159</v>
      </c>
      <c r="BU99" t="s">
        <v>159</v>
      </c>
      <c r="BV99" t="s">
        <v>431</v>
      </c>
      <c r="BW99" t="s">
        <v>1010</v>
      </c>
      <c r="BY99" t="s">
        <v>373</v>
      </c>
      <c r="BZ99" t="s">
        <v>373</v>
      </c>
      <c r="CA99" t="s">
        <v>373</v>
      </c>
      <c r="CK99" t="s">
        <v>210</v>
      </c>
      <c r="CL99" t="s">
        <v>223</v>
      </c>
      <c r="CP99" t="s">
        <v>191</v>
      </c>
      <c r="CQ99" t="s">
        <v>402</v>
      </c>
      <c r="CR99" t="s">
        <v>838</v>
      </c>
      <c r="CS99" t="s">
        <v>282</v>
      </c>
      <c r="CT99" t="s">
        <v>280</v>
      </c>
      <c r="CU99" t="s">
        <v>277</v>
      </c>
      <c r="CV99" t="s">
        <v>270</v>
      </c>
      <c r="CX99" t="s">
        <v>257</v>
      </c>
      <c r="DB99" t="s">
        <v>583</v>
      </c>
      <c r="DC99" t="s">
        <v>583</v>
      </c>
      <c r="DD99" t="s">
        <v>160</v>
      </c>
      <c r="DH99" t="s">
        <v>721</v>
      </c>
      <c r="DI99" t="s">
        <v>619</v>
      </c>
      <c r="DM99" t="s">
        <v>889</v>
      </c>
      <c r="DN99" t="s">
        <v>889</v>
      </c>
      <c r="DO99" t="s">
        <v>45</v>
      </c>
      <c r="EN99" t="s">
        <v>907</v>
      </c>
      <c r="EP99" t="s">
        <v>425</v>
      </c>
      <c r="EQ99" t="s">
        <v>425</v>
      </c>
      <c r="ER99" t="s">
        <v>429</v>
      </c>
      <c r="ES99" t="s">
        <v>919</v>
      </c>
      <c r="ET99" t="s">
        <v>923</v>
      </c>
      <c r="EU99" t="s">
        <v>923</v>
      </c>
      <c r="EV99" t="s">
        <v>161</v>
      </c>
      <c r="FM99" t="str">
        <f t="shared" si="1"/>
        <v xml:space="preserve">    &lt;route id="Router3_98" edges="31909473.0 31909473.857 62634019#1-AddedOnRampEdge 62634019#1 62634019#2.0 62634019#2.242 62634019#3-AddedOnRampEdge 62634019#3 62634019#3-AddedOffRampEdge 12111747.0 59671945#0.30 62093806#0 104526265#0.14 424080766 424080768#0 104523976#1 262962063 12189051#0 -12189051#1 424080770#0 424080772#0 424080772#2 386547297#0 424080771#0 424080767#0 386547298#0 424769177 424080769#0 55179414#0 12187610#0 -484953508#2 424801339#0 62646509#0 424801338#0 424801338#1 357338496#0 357338487#0 -12134222#6 -12134222#4 -12134222#2 -12134222#1 12175523#0 484953509#4 51050030#0 386547309#9 12180696#0 12180696#2 12180696#4 12180696#6 386547306#0 386547306#4 386547306#6 51049745#0 51049745#2 51049745#3 484842179#16.0 62094032#0.9 288513230#0 288513232 484842173 50033030#0 -424801341 -283621822#1 -424801343#1 -424801343#0 49991658 424801340 424801342 386550018#0 386550018#0-AddedOffRampEdge 386550018#1 49991638 -12144161#0 12144161#0 12144161#1 49991657 283621821#1 283621821#1-AddedOffRampEdge 283621821#2 49991647#1 49991647#2 63060732#0 63060732#1 63060732#2.0 63060732#2.116 50033027 -50033029 50033050#0 50033050#2 424799828 424799825 424799826 50033054 63060727 50033029 50033028#0 50033028#3 50033028#5 50033028#6 49991646 386547300#0 283621823 386547301-AddedOnRampEdge 386547301 424801344#0 424801343#1 283621822#0 424801341 28555309#0 49991649#0 424986163#0 51049946#0 424801337#0 357338497#0 357338497#2 450695460#0 62646499#0 62646499#2 450827424#0 62646508#0 62646508#2 424799820 424799823#0 50033059#0 50033059#2 50033059#3 50033059#4 388756839#0 388756839#1 388756838#0 12136923#0 386547309#0 386547309#2 386547309#3 386547309#5 386547309#7 51050030#4 51050030#7 gneE35 -gneE34.0 --gneE83.0"/&gt;</v>
      </c>
      <c r="FN99" t="s">
        <v>2516</v>
      </c>
      <c r="FO99" t="s">
        <v>1187</v>
      </c>
      <c r="FP99" t="s">
        <v>2616</v>
      </c>
    </row>
    <row r="100" spans="2:172" x14ac:dyDescent="0.25">
      <c r="B100" t="s">
        <v>402</v>
      </c>
      <c r="C100" t="s">
        <v>110</v>
      </c>
      <c r="D100" t="s">
        <v>110</v>
      </c>
      <c r="E100" t="s">
        <v>110</v>
      </c>
      <c r="F100" t="s">
        <v>110</v>
      </c>
      <c r="G100" t="s">
        <v>819</v>
      </c>
      <c r="H100" t="s">
        <v>819</v>
      </c>
      <c r="I100" t="s">
        <v>819</v>
      </c>
      <c r="J100" t="s">
        <v>819</v>
      </c>
      <c r="K100" t="s">
        <v>819</v>
      </c>
      <c r="L100" t="s">
        <v>819</v>
      </c>
      <c r="M100" t="s">
        <v>819</v>
      </c>
      <c r="N100" t="s">
        <v>819</v>
      </c>
      <c r="O100" t="s">
        <v>819</v>
      </c>
      <c r="P100" t="s">
        <v>819</v>
      </c>
      <c r="Q100" t="s">
        <v>819</v>
      </c>
      <c r="R100" t="s">
        <v>387</v>
      </c>
      <c r="U100" t="s">
        <v>114</v>
      </c>
      <c r="W100" t="s">
        <v>561</v>
      </c>
      <c r="X100" t="s">
        <v>370</v>
      </c>
      <c r="Y100" t="s">
        <v>289</v>
      </c>
      <c r="Z100" t="s">
        <v>475</v>
      </c>
      <c r="AR100" t="s">
        <v>587</v>
      </c>
      <c r="AY100" t="s">
        <v>907</v>
      </c>
      <c r="AZ100" t="s">
        <v>907</v>
      </c>
      <c r="BA100" t="s">
        <v>785</v>
      </c>
      <c r="BG100" t="s">
        <v>620</v>
      </c>
      <c r="BI100" t="s">
        <v>770</v>
      </c>
      <c r="BM100" t="s">
        <v>733</v>
      </c>
      <c r="BS100" t="s">
        <v>125</v>
      </c>
      <c r="BT100" t="s">
        <v>160</v>
      </c>
      <c r="BU100" t="s">
        <v>160</v>
      </c>
      <c r="BV100" t="s">
        <v>159</v>
      </c>
      <c r="BW100" t="s">
        <v>667</v>
      </c>
      <c r="BY100" t="s">
        <v>374</v>
      </c>
      <c r="BZ100" t="s">
        <v>374</v>
      </c>
      <c r="CA100" t="s">
        <v>374</v>
      </c>
      <c r="CK100" t="s">
        <v>456</v>
      </c>
      <c r="CL100" t="s">
        <v>224</v>
      </c>
      <c r="CP100" t="s">
        <v>534</v>
      </c>
      <c r="CQ100" t="s">
        <v>403</v>
      </c>
      <c r="CR100" t="s">
        <v>839</v>
      </c>
      <c r="CS100" t="s">
        <v>283</v>
      </c>
      <c r="CT100" t="s">
        <v>281</v>
      </c>
      <c r="CU100" t="s">
        <v>370</v>
      </c>
      <c r="CV100" t="s">
        <v>271</v>
      </c>
      <c r="CX100" t="s">
        <v>258</v>
      </c>
      <c r="DB100" t="s">
        <v>584</v>
      </c>
      <c r="DC100" t="s">
        <v>584</v>
      </c>
      <c r="DD100" t="s">
        <v>161</v>
      </c>
      <c r="DH100" t="s">
        <v>449</v>
      </c>
      <c r="DI100" t="s">
        <v>620</v>
      </c>
      <c r="DM100" t="s">
        <v>770</v>
      </c>
      <c r="DN100" t="s">
        <v>770</v>
      </c>
      <c r="EN100" t="s">
        <v>779</v>
      </c>
      <c r="EP100" t="s">
        <v>654</v>
      </c>
      <c r="EQ100" t="s">
        <v>654</v>
      </c>
      <c r="ER100" t="s">
        <v>430</v>
      </c>
      <c r="ES100" t="s">
        <v>430</v>
      </c>
      <c r="ET100" t="s">
        <v>924</v>
      </c>
      <c r="EU100" t="s">
        <v>924</v>
      </c>
      <c r="FM100" t="str">
        <f t="shared" si="1"/>
        <v xml:space="preserve">    &lt;route id="Router3_99" edges="31909473.0 31909473.857 62634019#1-AddedOnRampEdge 62634019#1 62634019#2.0 62634019#2.242 62634019#3-AddedOnRampEdge 62634019#3 62634019#3-AddedOffRampEdge 12111747.0 59671945#0.30 62093806#0 104526265#0.14 424080766 424080768#0 104523976#1 262962063 12189051#0 -12189051#1 424080770#0 424080772#0 424080772#2 386547297#0 424080771#0 424080767#0 386547298#0 424769177 424080769#0 55179414#0 12187610#0 -484953508#2 424801339#0 62646509#0 424801338#0 424801338#1 357338496#0 357338487#0 -12134222#6 -12134222#4 -12134222#2 -12134222#1 12175523#0 484953509#4 51050030#0 386547309#9 12180696#0 12180696#2 386547311#6 386547311#8 386547311#9 -12134222#4 -12134222#2 -12134222#1 12175523#0 484953509#4 51050030#0 386547309#9 12180696#0 12180696#2 12180696#4 12180696#6 386547306#0 386547306#4 386547306#6 51049745#0 51049745#2 51049745#3 484842179#16.0 62094032#0.9 288513230#0 288513232 484842173 50033030#0 -424801341 -283621822#1 -424801343#1 -424801343#0 49991658 424801340 424801342 386550018#0 386550018#0-AddedOffRampEdge 386550018#1 49991638 -12144161#0 12144161#0 12144161#1 49991657 283621821#1 283621821#1-AddedOffRampEdge 283621821#2 49991647#1 49991647#2 63060732#0 63060732#1 63060732#2.0 63060732#2.116 50033027 -50033029 50033050#0 50033050#2 424799828 424799825 424799826 50033054 63060727 50033029 50033028#0 50033028#3 50033028#5 50033028#6 49991646 386547300#0 283621823 386547301-AddedOnRampEdge 386547301 424801344#0 424801343#1 283621822#0 424801341 28555309#0 49991649#0 424986163#0 51049946#0 424801337#0 357338497#0 357338497#2 450695460#0 62646499#0 62646499#2 450827424#0 62646508#0 62646508#2 424799820 424799823#0 50033059#0 50033059#2 50033059#3 50033059#4 388756839#0 388756839#1 388756838#0 12136923#0 386547309#0 386547309#2 386547309#3 386547309#5 386547309#7 51050030#4 51050030#7 gneE35 -gneE34.0 --gneE83.0"/&gt;</v>
      </c>
      <c r="FN100" t="s">
        <v>2516</v>
      </c>
      <c r="FO100" t="s">
        <v>1188</v>
      </c>
      <c r="FP100" t="s">
        <v>2617</v>
      </c>
    </row>
    <row r="101" spans="2:172" x14ac:dyDescent="0.25">
      <c r="B101" t="s">
        <v>403</v>
      </c>
      <c r="C101" t="s">
        <v>111</v>
      </c>
      <c r="D101" t="s">
        <v>111</v>
      </c>
      <c r="E101" t="s">
        <v>111</v>
      </c>
      <c r="F101" t="s">
        <v>111</v>
      </c>
      <c r="G101" t="s">
        <v>824</v>
      </c>
      <c r="H101" t="s">
        <v>824</v>
      </c>
      <c r="I101" t="s">
        <v>824</v>
      </c>
      <c r="J101" t="s">
        <v>824</v>
      </c>
      <c r="K101" t="s">
        <v>824</v>
      </c>
      <c r="L101" t="s">
        <v>824</v>
      </c>
      <c r="M101" t="s">
        <v>824</v>
      </c>
      <c r="N101" t="s">
        <v>824</v>
      </c>
      <c r="O101" t="s">
        <v>824</v>
      </c>
      <c r="P101" t="s">
        <v>824</v>
      </c>
      <c r="Q101" t="s">
        <v>824</v>
      </c>
      <c r="R101" t="s">
        <v>860</v>
      </c>
      <c r="U101" t="s">
        <v>115</v>
      </c>
      <c r="W101" t="s">
        <v>562</v>
      </c>
      <c r="X101" t="s">
        <v>371</v>
      </c>
      <c r="Y101" t="s">
        <v>290</v>
      </c>
      <c r="Z101" t="s">
        <v>476</v>
      </c>
      <c r="AR101" t="s">
        <v>453</v>
      </c>
      <c r="AY101" t="s">
        <v>779</v>
      </c>
      <c r="AZ101" t="s">
        <v>779</v>
      </c>
      <c r="BA101" t="s">
        <v>786</v>
      </c>
      <c r="BG101" t="s">
        <v>835</v>
      </c>
      <c r="BI101" t="s">
        <v>890</v>
      </c>
      <c r="BM101" t="s">
        <v>734</v>
      </c>
      <c r="BS101" t="s">
        <v>126</v>
      </c>
      <c r="BT101" t="s">
        <v>1</v>
      </c>
      <c r="BU101" t="s">
        <v>161</v>
      </c>
      <c r="BV101" t="s">
        <v>160</v>
      </c>
      <c r="BW101" t="s">
        <v>419</v>
      </c>
      <c r="BY101" t="s">
        <v>375</v>
      </c>
      <c r="BZ101" t="s">
        <v>375</v>
      </c>
      <c r="CA101" t="s">
        <v>375</v>
      </c>
      <c r="CK101" t="s">
        <v>457</v>
      </c>
      <c r="CL101" t="s">
        <v>225</v>
      </c>
      <c r="CQ101" t="s">
        <v>404</v>
      </c>
      <c r="CR101" t="s">
        <v>840</v>
      </c>
      <c r="CS101" t="s">
        <v>579</v>
      </c>
      <c r="CT101" t="s">
        <v>282</v>
      </c>
      <c r="CU101" t="s">
        <v>371</v>
      </c>
      <c r="CV101" t="s">
        <v>367</v>
      </c>
      <c r="DB101" t="s">
        <v>585</v>
      </c>
      <c r="DC101" t="s">
        <v>585</v>
      </c>
      <c r="DH101" t="s">
        <v>450</v>
      </c>
      <c r="DI101" t="s">
        <v>835</v>
      </c>
      <c r="DM101" t="s">
        <v>771</v>
      </c>
      <c r="DN101" t="s">
        <v>771</v>
      </c>
      <c r="EN101" t="s">
        <v>780</v>
      </c>
      <c r="EP101" t="s">
        <v>655</v>
      </c>
      <c r="EQ101" t="s">
        <v>655</v>
      </c>
      <c r="ER101" t="s">
        <v>431</v>
      </c>
      <c r="ES101" t="s">
        <v>431</v>
      </c>
      <c r="ET101" t="s">
        <v>945</v>
      </c>
      <c r="EU101" t="s">
        <v>945</v>
      </c>
      <c r="FM101" t="str">
        <f t="shared" si="1"/>
        <v xml:space="preserve">    &lt;route id="Router3_100" edges="31909473.0 31909473.857 62634019#1-AddedOnRampEdge 62634019#1 62634019#2.0 62634019#2.242 62634019#3-AddedOnRampEdge 62634019#3 62634019#3-AddedOffRampEdge 12111747.0 59671945#0.30 62093806#0 104526265#0.14 424080766 424080768#0 104523976#1 262962063 12189051#0 -12189051#1 424080770#0 424080772#0 424080772#2 386547297#0 424080771#0 424080767#0 386547298#0 424769177 424080769#0 55179414#0 12187610#0 -484953508#2 424801339#0 62646509#0 424801338#0 424801338#1 357338496#0 357338487#0 -12134222#6 -12134222#4 -12134222#2 -12134222#1 12175523#0 484953509#4 51050030#0 386547309#9 12180696#0 12180696#2 386547311#6 386547311#8 386547311#9 -12134222#4 -12134222#2 -12134222#1 12175523#0 484953509#4 51050030#0 386547309#9 12180696#0 12180696#2 386547311#6 386547311#8 386547311#9 -12134222#4 -12134222#2 -12134222#1 450827385#0 450827382 450827400#0 62646509#0 424801338#0 424801338#1 12117702#0 12117702#4 12117702#7 -32121146#3 -32121146#1 55179413#0 424769182 -450827405#2 -450827400#2 -450827382 -450827385#1 12134222#0 12134222#2 12134222#3 386547311#11 386547311#13 357338496#0 357338496#2 450695461#0 62646494#0 424801336#0 484842168#0 283621820 -28555309#1 -424801341 -283621822#1 -424801343#1 -424801343#0 49991658 424801340 424801342 386550018#0 386550018#0-AddedOffRampEdge 386550018#1 49991638 -12144161#0 12144161#0 12144161#1 49991657 283621821#1 283621821#1-AddedOffRampEdge 283621821#2 49991647#1 49991647#2 63060732#0 63060732#1 63060732#2.0 63060732#2.116 50033027 -50033029 50033050#0 50033050#2 424799828 424799825 424799826 50033054 63060727 50033029 50033028#0 50033028#3 50033028#5 50033028#6 49991646 386547300#0 283621823 386547301-AddedOnRampEdge 386547301 424801344#0 424801343#1 283621822#0 424801341 28555309#0 49991649#0 424986163#0 51049946#0 424801337#0 357338497#0 357338497#2 450695460#0 62646499#0 62646499#2 450827424#0 62646508#0 62646508#2 424799820 424799823#0 50033059#0 50033059#2 50033059#3 50033059#4 388756839#0 388756839#1 388756838#0 12136923#0 386547309#0 386547309#2 386547309#3 386547309#5 386547309#7 51050030#4 51050030#7 gneE35 -gneE34.0 --gneE83.0"/&gt;</v>
      </c>
      <c r="FN101" t="s">
        <v>2516</v>
      </c>
      <c r="FO101" t="s">
        <v>1189</v>
      </c>
      <c r="FP101" t="s">
        <v>2618</v>
      </c>
    </row>
    <row r="102" spans="2:172" x14ac:dyDescent="0.25">
      <c r="B102" t="s">
        <v>404</v>
      </c>
      <c r="C102" t="s">
        <v>112</v>
      </c>
      <c r="D102" t="s">
        <v>112</v>
      </c>
      <c r="E102" t="s">
        <v>112</v>
      </c>
      <c r="F102" t="s">
        <v>112</v>
      </c>
      <c r="G102" t="s">
        <v>825</v>
      </c>
      <c r="H102" t="s">
        <v>825</v>
      </c>
      <c r="I102" t="s">
        <v>825</v>
      </c>
      <c r="J102" t="s">
        <v>825</v>
      </c>
      <c r="K102" t="s">
        <v>825</v>
      </c>
      <c r="L102" t="s">
        <v>825</v>
      </c>
      <c r="M102" t="s">
        <v>825</v>
      </c>
      <c r="N102" t="s">
        <v>825</v>
      </c>
      <c r="O102" t="s">
        <v>825</v>
      </c>
      <c r="P102" t="s">
        <v>825</v>
      </c>
      <c r="Q102" t="s">
        <v>825</v>
      </c>
      <c r="R102" t="s">
        <v>629</v>
      </c>
      <c r="U102" t="s">
        <v>116</v>
      </c>
      <c r="W102" t="s">
        <v>563</v>
      </c>
      <c r="X102" t="s">
        <v>531</v>
      </c>
      <c r="Y102" t="s">
        <v>291</v>
      </c>
      <c r="Z102" t="s">
        <v>378</v>
      </c>
      <c r="AR102" t="s">
        <v>454</v>
      </c>
      <c r="AY102" t="s">
        <v>780</v>
      </c>
      <c r="AZ102" t="s">
        <v>780</v>
      </c>
      <c r="BA102" t="s">
        <v>787</v>
      </c>
      <c r="BG102" t="s">
        <v>836</v>
      </c>
      <c r="BI102" t="s">
        <v>891</v>
      </c>
      <c r="BM102" t="s">
        <v>735</v>
      </c>
      <c r="BS102" t="s">
        <v>127</v>
      </c>
      <c r="BT102" t="s">
        <v>2</v>
      </c>
      <c r="BV102" t="s">
        <v>161</v>
      </c>
      <c r="BW102" t="s">
        <v>420</v>
      </c>
      <c r="BY102" t="s">
        <v>573</v>
      </c>
      <c r="BZ102" t="s">
        <v>573</v>
      </c>
      <c r="CA102" t="s">
        <v>573</v>
      </c>
      <c r="CK102" t="s">
        <v>1022</v>
      </c>
      <c r="CL102" t="s">
        <v>226</v>
      </c>
      <c r="CQ102" t="s">
        <v>979</v>
      </c>
      <c r="CR102" t="s">
        <v>431</v>
      </c>
      <c r="CS102" t="s">
        <v>580</v>
      </c>
      <c r="CT102" t="s">
        <v>283</v>
      </c>
      <c r="CU102" t="s">
        <v>372</v>
      </c>
      <c r="CV102" t="s">
        <v>368</v>
      </c>
      <c r="DB102" t="s">
        <v>586</v>
      </c>
      <c r="DC102" t="s">
        <v>586</v>
      </c>
      <c r="DH102" t="s">
        <v>760</v>
      </c>
      <c r="DI102" t="s">
        <v>836</v>
      </c>
      <c r="DM102" t="s">
        <v>772</v>
      </c>
      <c r="DN102" t="s">
        <v>772</v>
      </c>
      <c r="EN102" t="s">
        <v>775</v>
      </c>
      <c r="EP102" t="s">
        <v>960</v>
      </c>
      <c r="EQ102" t="s">
        <v>960</v>
      </c>
      <c r="ER102" t="s">
        <v>159</v>
      </c>
      <c r="ES102" t="s">
        <v>159</v>
      </c>
      <c r="ET102" t="s">
        <v>1021</v>
      </c>
      <c r="EU102" t="s">
        <v>1021</v>
      </c>
      <c r="FM102" t="str">
        <f t="shared" si="1"/>
        <v xml:space="preserve">    &lt;route id="Router3_101" edges="31909473.0 31909473.857 62634019#1-AddedOnRampEdge 62634019#1 62634019#2.0 62634019#2.242 62634019#3-AddedOnRampEdge 62634019#3 62634019#3-AddedOffRampEdge 12111747.0 59671945#0.30 62093806#0 30953497#0 30953497#2 35920555#0.0 35920555#0.75 62203066 43331031.0 43331031.436 42706585#0 42706585#1 30953320 30953320-AddedOffRampEdge 30953315 104526276-AddedOnRampEdge 104526276 51758697#0 51758697#1-AddedOnRampEdge 51758697#1"/&gt;</v>
      </c>
      <c r="FN102" t="s">
        <v>2516</v>
      </c>
      <c r="FO102" t="s">
        <v>1190</v>
      </c>
      <c r="FP102" t="s">
        <v>2619</v>
      </c>
    </row>
    <row r="103" spans="2:172" x14ac:dyDescent="0.25">
      <c r="B103" t="s">
        <v>979</v>
      </c>
      <c r="C103" t="s">
        <v>113</v>
      </c>
      <c r="D103" t="s">
        <v>113</v>
      </c>
      <c r="E103" t="s">
        <v>113</v>
      </c>
      <c r="F103" t="s">
        <v>113</v>
      </c>
      <c r="G103" t="s">
        <v>841</v>
      </c>
      <c r="H103" t="s">
        <v>841</v>
      </c>
      <c r="I103" t="s">
        <v>841</v>
      </c>
      <c r="J103" t="s">
        <v>630</v>
      </c>
      <c r="K103" t="s">
        <v>630</v>
      </c>
      <c r="L103" t="s">
        <v>630</v>
      </c>
      <c r="M103" t="s">
        <v>630</v>
      </c>
      <c r="N103" t="s">
        <v>630</v>
      </c>
      <c r="O103" t="s">
        <v>630</v>
      </c>
      <c r="P103" t="s">
        <v>630</v>
      </c>
      <c r="Q103" t="s">
        <v>630</v>
      </c>
      <c r="R103" t="s">
        <v>863</v>
      </c>
      <c r="U103" t="s">
        <v>117</v>
      </c>
      <c r="W103" t="s">
        <v>564</v>
      </c>
      <c r="X103" t="s">
        <v>532</v>
      </c>
      <c r="Y103" t="s">
        <v>292</v>
      </c>
      <c r="Z103" t="s">
        <v>379</v>
      </c>
      <c r="AR103" t="s">
        <v>455</v>
      </c>
      <c r="AY103" t="s">
        <v>775</v>
      </c>
      <c r="AZ103" t="s">
        <v>775</v>
      </c>
      <c r="BA103" t="s">
        <v>788</v>
      </c>
      <c r="BG103" t="s">
        <v>426</v>
      </c>
      <c r="BI103" t="s">
        <v>892</v>
      </c>
      <c r="BM103" t="s">
        <v>736</v>
      </c>
      <c r="BS103" t="s">
        <v>128</v>
      </c>
      <c r="BT103" t="s">
        <v>3</v>
      </c>
      <c r="BW103" t="s">
        <v>1011</v>
      </c>
      <c r="BY103" t="s">
        <v>532</v>
      </c>
      <c r="BZ103" t="s">
        <v>532</v>
      </c>
      <c r="CA103" t="s">
        <v>532</v>
      </c>
      <c r="CK103" t="s">
        <v>387</v>
      </c>
      <c r="CL103" t="s">
        <v>488</v>
      </c>
      <c r="CQ103" t="s">
        <v>980</v>
      </c>
      <c r="CR103" t="s">
        <v>159</v>
      </c>
      <c r="CS103" t="s">
        <v>581</v>
      </c>
      <c r="CT103" t="s">
        <v>579</v>
      </c>
      <c r="CU103" t="s">
        <v>373</v>
      </c>
      <c r="CV103" t="s">
        <v>369</v>
      </c>
      <c r="DB103" t="s">
        <v>475</v>
      </c>
      <c r="DC103" t="s">
        <v>475</v>
      </c>
      <c r="DH103" t="s">
        <v>240</v>
      </c>
      <c r="DI103" t="s">
        <v>426</v>
      </c>
      <c r="DM103" t="s">
        <v>900</v>
      </c>
      <c r="DN103" t="s">
        <v>900</v>
      </c>
      <c r="EN103" t="s">
        <v>776</v>
      </c>
      <c r="EP103" t="s">
        <v>413</v>
      </c>
      <c r="EQ103" t="s">
        <v>413</v>
      </c>
      <c r="ER103" t="s">
        <v>160</v>
      </c>
      <c r="ES103" t="s">
        <v>160</v>
      </c>
      <c r="ET103" t="s">
        <v>959</v>
      </c>
      <c r="EU103" t="s">
        <v>959</v>
      </c>
      <c r="FM103" t="str">
        <f t="shared" si="1"/>
        <v xml:space="preserve">    &lt;route id="Router3_102" edges="31909473.0 31909473.857 62634019#1-AddedOnRampEdge 62634019#1 62634019#2.0 62634019#2.242 62634019#3-AddedOnRampEdge 62634019#3 62634019#3-AddedOffRampEdge 12111747.0 62203498#0 62093806#0 104526265#0.14 424080766 424080768#0 104523976#1 262962063 424080770#0 -424080761#1 -62623960 62623959#0 386547296#0 386547296#1 424080773#0 104523976#1 262962063 424080770#0 424080772#0 424080772#2 386547297#0 424080771#0 424080767#0 386547298#0 424769177 424080769#0 55179414#0 55179413#0 424769182 -450827405#2 -450827400#2 -450827382 -450827385#1 -450827391#1 -450827381 -450827397#1 12180696#0 59435515#1 59435515#2 59435515#3 59435515#4 424801338#1 12117702#0 12117702#4 12117702#7 -32121146#3 12202008#2.0 12202008#2.171 62646499#2 450827424#0 450827405#0 262962062 -55179413#2 12187610#0 12187610#2 12187610#3 -62105579 12186909#0 12186909#1 12186909#2 12186909#4 12186909#6 386995479#0 12157718#5 12157718#7 485017376 485017373#0 387422135#0 424769003#0 424769003#1 -30953396#1 -30953396#0 -424769006 -424769005 -424769002 -30953391 -43569848 -393884751 12159702 424764853 12149178#0 50189796 50189564 12149178#2 145605533#0 145605533#1-AddedOnRampEdge 145605533#1 145605511#1-AddedOnRampEdge 145605511#12 145605511#1.148"/&gt;</v>
      </c>
      <c r="FN103" t="s">
        <v>2516</v>
      </c>
      <c r="FO103" t="s">
        <v>1191</v>
      </c>
      <c r="FP103" t="s">
        <v>2620</v>
      </c>
    </row>
    <row r="104" spans="2:172" x14ac:dyDescent="0.25">
      <c r="B104" t="s">
        <v>980</v>
      </c>
      <c r="C104" t="s">
        <v>114</v>
      </c>
      <c r="D104" t="s">
        <v>114</v>
      </c>
      <c r="E104" t="s">
        <v>114</v>
      </c>
      <c r="F104" t="s">
        <v>114</v>
      </c>
      <c r="G104" t="s">
        <v>953</v>
      </c>
      <c r="H104" t="s">
        <v>828</v>
      </c>
      <c r="I104" t="s">
        <v>828</v>
      </c>
      <c r="J104" t="s">
        <v>631</v>
      </c>
      <c r="K104" t="s">
        <v>631</v>
      </c>
      <c r="L104" t="s">
        <v>631</v>
      </c>
      <c r="M104" t="s">
        <v>631</v>
      </c>
      <c r="N104" t="s">
        <v>631</v>
      </c>
      <c r="O104" t="s">
        <v>631</v>
      </c>
      <c r="P104" t="s">
        <v>631</v>
      </c>
      <c r="Q104" t="s">
        <v>631</v>
      </c>
      <c r="R104" t="s">
        <v>659</v>
      </c>
      <c r="U104" t="s">
        <v>118</v>
      </c>
      <c r="W104" t="s">
        <v>434</v>
      </c>
      <c r="X104" t="s">
        <v>574</v>
      </c>
      <c r="Y104" t="s">
        <v>293</v>
      </c>
      <c r="Z104" t="s">
        <v>380</v>
      </c>
      <c r="AR104" t="s">
        <v>588</v>
      </c>
      <c r="AY104" t="s">
        <v>776</v>
      </c>
      <c r="AZ104" t="s">
        <v>776</v>
      </c>
      <c r="BA104" t="s">
        <v>789</v>
      </c>
      <c r="BG104" t="s">
        <v>427</v>
      </c>
      <c r="BI104" t="s">
        <v>893</v>
      </c>
      <c r="BM104" t="s">
        <v>46</v>
      </c>
      <c r="BS104" t="s">
        <v>129</v>
      </c>
      <c r="BT104" t="s">
        <v>4</v>
      </c>
      <c r="BW104" t="s">
        <v>1012</v>
      </c>
      <c r="BY104" t="s">
        <v>574</v>
      </c>
      <c r="BZ104" t="s">
        <v>574</v>
      </c>
      <c r="CA104" t="s">
        <v>574</v>
      </c>
      <c r="CK104" t="s">
        <v>860</v>
      </c>
      <c r="CL104" t="s">
        <v>399</v>
      </c>
      <c r="CQ104" t="s">
        <v>981</v>
      </c>
      <c r="CR104" t="s">
        <v>160</v>
      </c>
      <c r="CS104" t="s">
        <v>582</v>
      </c>
      <c r="CT104" t="s">
        <v>580</v>
      </c>
      <c r="CU104" t="s">
        <v>374</v>
      </c>
      <c r="CV104" t="s">
        <v>284</v>
      </c>
      <c r="DB104" t="s">
        <v>476</v>
      </c>
      <c r="DC104" t="s">
        <v>476</v>
      </c>
      <c r="DH104" t="s">
        <v>241</v>
      </c>
      <c r="DI104" t="s">
        <v>427</v>
      </c>
      <c r="DM104" t="s">
        <v>901</v>
      </c>
      <c r="DN104" t="s">
        <v>901</v>
      </c>
      <c r="EN104" t="s">
        <v>905</v>
      </c>
      <c r="EP104" t="s">
        <v>1013</v>
      </c>
      <c r="EQ104" t="s">
        <v>1013</v>
      </c>
      <c r="ER104" t="s">
        <v>161</v>
      </c>
      <c r="ES104" t="s">
        <v>161</v>
      </c>
      <c r="ET104" t="s">
        <v>655</v>
      </c>
      <c r="EU104" t="s">
        <v>655</v>
      </c>
      <c r="FM104" t="str">
        <f t="shared" si="1"/>
        <v xml:space="preserve">    &lt;route id="Router3_103" edges="31909473.0 31909473.857 62634019#1-AddedOnRampEdge 62634019#1 62634019#2.0 62634019#2.242 62634019#3-AddedOnRampEdge 62634019#3 62634019#3-AddedOffRampEdge 12111747.0 62203498#0 62093806#0 104526265#0.14 424080766 424080768#0 104523976#1 262962063 424080770#0 -424080761#1 -62623960 62623959#0 386547296#0 386547296#1 424080773#0 279870839#0 279870839#2 450844960#0 62623926#1 450844950#0 38502259#0.19 450844933#1 196207110#0 196207110#2"/&gt;</v>
      </c>
      <c r="FN104" t="s">
        <v>2516</v>
      </c>
      <c r="FO104" t="s">
        <v>1192</v>
      </c>
      <c r="FP104" t="s">
        <v>2621</v>
      </c>
    </row>
    <row r="105" spans="2:172" x14ac:dyDescent="0.25">
      <c r="B105" t="s">
        <v>981</v>
      </c>
      <c r="C105" t="s">
        <v>722</v>
      </c>
      <c r="D105" t="s">
        <v>722</v>
      </c>
      <c r="E105" t="s">
        <v>722</v>
      </c>
      <c r="F105" t="s">
        <v>115</v>
      </c>
      <c r="G105" t="s">
        <v>983</v>
      </c>
      <c r="H105" t="s">
        <v>829</v>
      </c>
      <c r="I105" t="s">
        <v>829</v>
      </c>
      <c r="J105" t="s">
        <v>632</v>
      </c>
      <c r="K105" t="s">
        <v>632</v>
      </c>
      <c r="L105" t="s">
        <v>632</v>
      </c>
      <c r="M105" t="s">
        <v>632</v>
      </c>
      <c r="N105" t="s">
        <v>632</v>
      </c>
      <c r="O105" t="s">
        <v>632</v>
      </c>
      <c r="P105" t="s">
        <v>632</v>
      </c>
      <c r="Q105" t="s">
        <v>632</v>
      </c>
      <c r="R105" t="s">
        <v>591</v>
      </c>
      <c r="U105" t="s">
        <v>119</v>
      </c>
      <c r="W105" t="s">
        <v>435</v>
      </c>
      <c r="X105" t="s">
        <v>278</v>
      </c>
      <c r="Y105" t="s">
        <v>294</v>
      </c>
      <c r="Z105" t="s">
        <v>381</v>
      </c>
      <c r="AR105" t="s">
        <v>589</v>
      </c>
      <c r="AY105" t="s">
        <v>905</v>
      </c>
      <c r="AZ105" t="s">
        <v>894</v>
      </c>
      <c r="BA105" t="s">
        <v>790</v>
      </c>
      <c r="BG105" t="s">
        <v>428</v>
      </c>
      <c r="BI105" t="s">
        <v>900</v>
      </c>
      <c r="BM105" t="s">
        <v>47</v>
      </c>
      <c r="BS105" t="s">
        <v>130</v>
      </c>
      <c r="BT105" t="s">
        <v>5</v>
      </c>
      <c r="BW105" t="s">
        <v>150</v>
      </c>
      <c r="BY105" t="s">
        <v>278</v>
      </c>
      <c r="BZ105" t="s">
        <v>278</v>
      </c>
      <c r="CA105" t="s">
        <v>278</v>
      </c>
      <c r="CK105" t="s">
        <v>861</v>
      </c>
      <c r="CL105" t="s">
        <v>515</v>
      </c>
      <c r="CQ105" t="s">
        <v>884</v>
      </c>
      <c r="CR105" t="s">
        <v>161</v>
      </c>
      <c r="CS105" t="s">
        <v>583</v>
      </c>
      <c r="CT105" t="s">
        <v>581</v>
      </c>
      <c r="CU105" t="s">
        <v>375</v>
      </c>
      <c r="CV105" t="s">
        <v>285</v>
      </c>
      <c r="DB105" t="s">
        <v>378</v>
      </c>
      <c r="DC105" t="s">
        <v>378</v>
      </c>
      <c r="DH105" t="s">
        <v>391</v>
      </c>
      <c r="DI105" t="s">
        <v>428</v>
      </c>
      <c r="DM105" t="s">
        <v>902</v>
      </c>
      <c r="DN105" t="s">
        <v>902</v>
      </c>
      <c r="EN105" t="s">
        <v>1045</v>
      </c>
      <c r="EP105" t="s">
        <v>1014</v>
      </c>
      <c r="EQ105" t="s">
        <v>1014</v>
      </c>
      <c r="ET105" t="s">
        <v>960</v>
      </c>
      <c r="EU105" t="s">
        <v>960</v>
      </c>
      <c r="FM105" t="str">
        <f t="shared" si="1"/>
        <v xml:space="preserve">    &lt;route id="Router3_104" edges="31909473.0 31909473.857 62634019#1-AddedOnRampEdge 62634019#1 62634019#2.0 62634019#2.242 62634019#3-AddedOnRampEdge 62634019#3 62634019#3-AddedOffRampEdge 12111747.0 62203498#0 62093806#0 104526265#0.14 424080766 424080768#0 104523976#1 262962063 424080770#0 -424080761#1 -62623960 62623959#0 386547296#0 386547296#1 424080773#0 279870839#0 279870839#2 450844960#0 62623926#1 450844950#0 38502259#0.19 450844933#1 196207110#0 196355327#2 196355327#5 -196393940#0"/&gt;</v>
      </c>
      <c r="FN105" t="s">
        <v>2516</v>
      </c>
      <c r="FO105" t="s">
        <v>1193</v>
      </c>
      <c r="FP105" t="s">
        <v>2622</v>
      </c>
    </row>
    <row r="106" spans="2:172" x14ac:dyDescent="0.25">
      <c r="B106" t="s">
        <v>884</v>
      </c>
      <c r="C106" t="s">
        <v>723</v>
      </c>
      <c r="D106" t="s">
        <v>723</v>
      </c>
      <c r="E106" t="s">
        <v>723</v>
      </c>
      <c r="F106" t="s">
        <v>116</v>
      </c>
      <c r="G106" t="s">
        <v>53</v>
      </c>
      <c r="H106" t="s">
        <v>856</v>
      </c>
      <c r="I106" t="s">
        <v>856</v>
      </c>
      <c r="J106" t="s">
        <v>633</v>
      </c>
      <c r="K106" t="s">
        <v>633</v>
      </c>
      <c r="L106" t="s">
        <v>633</v>
      </c>
      <c r="M106" t="s">
        <v>633</v>
      </c>
      <c r="N106" t="s">
        <v>633</v>
      </c>
      <c r="O106" t="s">
        <v>633</v>
      </c>
      <c r="P106" t="s">
        <v>633</v>
      </c>
      <c r="Q106" t="s">
        <v>633</v>
      </c>
      <c r="R106" t="s">
        <v>592</v>
      </c>
      <c r="U106" t="s">
        <v>178</v>
      </c>
      <c r="W106" t="s">
        <v>1024</v>
      </c>
      <c r="X106" t="s">
        <v>279</v>
      </c>
      <c r="Y106" t="s">
        <v>295</v>
      </c>
      <c r="Z106" t="s">
        <v>382</v>
      </c>
      <c r="AR106" t="s">
        <v>590</v>
      </c>
      <c r="AY106" t="s">
        <v>1045</v>
      </c>
      <c r="AZ106" t="s">
        <v>797</v>
      </c>
      <c r="BA106" t="s">
        <v>791</v>
      </c>
      <c r="BG106" t="s">
        <v>156</v>
      </c>
      <c r="BI106" t="s">
        <v>907</v>
      </c>
      <c r="BM106" t="s">
        <v>48</v>
      </c>
      <c r="BS106" t="s">
        <v>131</v>
      </c>
      <c r="BT106" t="s">
        <v>6</v>
      </c>
      <c r="BW106" t="s">
        <v>151</v>
      </c>
      <c r="BY106" t="s">
        <v>279</v>
      </c>
      <c r="BZ106" t="s">
        <v>279</v>
      </c>
      <c r="CA106" t="s">
        <v>279</v>
      </c>
      <c r="CK106" t="s">
        <v>862</v>
      </c>
      <c r="CL106" t="s">
        <v>516</v>
      </c>
      <c r="CQ106" t="s">
        <v>885</v>
      </c>
      <c r="CS106" t="s">
        <v>584</v>
      </c>
      <c r="CT106" t="s">
        <v>582</v>
      </c>
      <c r="CU106" t="s">
        <v>573</v>
      </c>
      <c r="CV106" t="s">
        <v>286</v>
      </c>
      <c r="DB106" t="s">
        <v>379</v>
      </c>
      <c r="DC106" t="s">
        <v>379</v>
      </c>
      <c r="DH106" t="s">
        <v>731</v>
      </c>
      <c r="DI106" t="s">
        <v>156</v>
      </c>
      <c r="DM106" t="s">
        <v>785</v>
      </c>
      <c r="DN106" t="s">
        <v>785</v>
      </c>
      <c r="EN106" t="s">
        <v>784</v>
      </c>
      <c r="EP106" t="s">
        <v>1015</v>
      </c>
      <c r="EQ106" t="s">
        <v>1015</v>
      </c>
      <c r="ET106" t="s">
        <v>413</v>
      </c>
      <c r="EU106" t="s">
        <v>413</v>
      </c>
      <c r="FM106" t="str">
        <f t="shared" si="1"/>
        <v xml:space="preserve">    &lt;route id="Router3_105" edges="31909473.0 31909473.857 62634019#1-AddedOnRampEdge 62634019#1 62634019#2.0 62634019#2.242 62634019#3-AddedOnRampEdge 62634019#3 62634019#3-AddedOffRampEdge 12111747.0 62203498#0 62093806#0 104526265#0.14 424080766 424080768#0 104523976#1 262962063 424080770#0 424080772#0 424080772#2 386547297#0 424080771#0 424080767#0 386547298#0 424769177 424080769#0 12144152#0 12144152#2 12144152#4 12144152#6 12157151#0 12166276#2 -32121146#5 12117702#9 450844953#0 450844953#2 450844953#3 450844947#0 388533142#0 388533142#2 12189045#0 62623987#0 62623987#1 -12142631 12202018 62623986#1 62623986#2 -12189051#1 -262962063 -424080764 -424080768#1 -424080766 -104526265#1 -262962068#1 -424080774 -32122059#1 -32122059#0 -196393940#2 -196393940#0"/&gt;</v>
      </c>
      <c r="FN106" t="s">
        <v>2516</v>
      </c>
      <c r="FO106" t="s">
        <v>1194</v>
      </c>
      <c r="FP106" t="s">
        <v>2623</v>
      </c>
    </row>
    <row r="107" spans="2:172" x14ac:dyDescent="0.25">
      <c r="B107" t="s">
        <v>899</v>
      </c>
      <c r="C107" t="s">
        <v>724</v>
      </c>
      <c r="D107" t="s">
        <v>724</v>
      </c>
      <c r="E107" t="s">
        <v>724</v>
      </c>
      <c r="F107" t="s">
        <v>117</v>
      </c>
      <c r="G107" t="s">
        <v>54</v>
      </c>
      <c r="H107" t="s">
        <v>857</v>
      </c>
      <c r="I107" t="s">
        <v>857</v>
      </c>
      <c r="J107" t="s">
        <v>634</v>
      </c>
      <c r="K107" t="s">
        <v>634</v>
      </c>
      <c r="L107" t="s">
        <v>634</v>
      </c>
      <c r="M107" t="s">
        <v>634</v>
      </c>
      <c r="N107" t="s">
        <v>634</v>
      </c>
      <c r="O107" t="s">
        <v>634</v>
      </c>
      <c r="P107" t="s">
        <v>634</v>
      </c>
      <c r="Q107" t="s">
        <v>634</v>
      </c>
      <c r="R107" t="s">
        <v>172</v>
      </c>
      <c r="U107" t="s">
        <v>233</v>
      </c>
      <c r="W107" t="s">
        <v>340</v>
      </c>
      <c r="X107" t="s">
        <v>280</v>
      </c>
      <c r="Y107" t="s">
        <v>296</v>
      </c>
      <c r="Z107" t="s">
        <v>587</v>
      </c>
      <c r="AR107" t="s">
        <v>660</v>
      </c>
      <c r="AY107" t="s">
        <v>784</v>
      </c>
      <c r="AZ107" t="s">
        <v>798</v>
      </c>
      <c r="BA107" t="s">
        <v>792</v>
      </c>
      <c r="BG107" t="s">
        <v>157</v>
      </c>
      <c r="BI107" t="s">
        <v>779</v>
      </c>
      <c r="BM107" t="s">
        <v>49</v>
      </c>
      <c r="BS107" t="s">
        <v>132</v>
      </c>
      <c r="BT107" t="s">
        <v>7</v>
      </c>
      <c r="BW107" t="s">
        <v>425</v>
      </c>
      <c r="BY107" t="s">
        <v>280</v>
      </c>
      <c r="BZ107" t="s">
        <v>280</v>
      </c>
      <c r="CA107" t="s">
        <v>280</v>
      </c>
      <c r="CK107" t="s">
        <v>593</v>
      </c>
      <c r="CL107" t="s">
        <v>517</v>
      </c>
      <c r="CQ107" t="s">
        <v>886</v>
      </c>
      <c r="CS107" t="s">
        <v>585</v>
      </c>
      <c r="CT107" t="s">
        <v>583</v>
      </c>
      <c r="CU107" t="s">
        <v>532</v>
      </c>
      <c r="CV107" t="s">
        <v>287</v>
      </c>
      <c r="DB107" t="s">
        <v>380</v>
      </c>
      <c r="DC107" t="s">
        <v>380</v>
      </c>
      <c r="DH107" t="s">
        <v>732</v>
      </c>
      <c r="DI107" t="s">
        <v>157</v>
      </c>
      <c r="DM107" t="s">
        <v>786</v>
      </c>
      <c r="DN107" t="s">
        <v>786</v>
      </c>
      <c r="EN107" t="s">
        <v>785</v>
      </c>
      <c r="EP107" t="s">
        <v>835</v>
      </c>
      <c r="EQ107" t="s">
        <v>835</v>
      </c>
      <c r="ET107" t="s">
        <v>1013</v>
      </c>
      <c r="EU107" t="s">
        <v>1013</v>
      </c>
      <c r="FM107" t="str">
        <f t="shared" si="1"/>
        <v xml:space="preserve">    &lt;route id="Router3_106" edges="31909473.0 31909473.857 62634019#1-AddedOnRampEdge 62634019#1 62634019#2.0 62634019#2.242 62634019#3-AddedOnRampEdge 62634019#3 62634019#3-AddedOffRampEdge 12111747.0 62203498#0 62093806#0 104526265#0.14 424080766 424080768#0 104523976#1 262962063 424080770#0 424080772#0 424080772#2 386547297#0 424080771#0 424080767#0 386547298#0 424769177 424080769#0 12144152#0 12144152#2 12144152#4 12166276#0 -351053388#2 12144152#7 450844965#0 388533145#0 -12168663#6 -484953513#2 -484953514#2 -284556051#4 -284556051#2 51050278#0.0 gneE16 -12165855#3.1535 386547306#4 386547306#6 51049745#0 51049745#2 51049745#3 484842179#16.0 62094032#0.9 288513230#0 288513232 484842173 50033030#0 -424801341 -283621822#1 -424801343#1 -424801343#0 49991658 424801340 424801342 386550018#0 386550018#0-AddedOffRampEdge 386550018#1 49991638 -12144161#0 12144161#0 12144161#1 49991657 283621821#1 283621821#1-AddedOffRampEdge 283621821#2 49991647#1 49991647#2 63060732#0 63060732#1 63060732#2.0 63060732#2.116 50033027 -50033029 50033050#0 50033050#2 424799828 424799825 424799826 50033054 63060727 50033029 50033028#0 50033028#3 50033028#5 50033028#6 49991646 386547300#0 283621823 386547301-AddedOnRampEdge 386547301 424801344#0 424801343#1 283621822#0 424801341 28555309#0 49991649#0 424986163#0 51049946#0 424801337#0 357338497#0 357338497#2 450695460#0 62646499#0 62646499#2 450827424#0 62646508#0 62646508#2 424799820 424799823#0 50033059#0 50033059#2 50033059#3 50033059#4 388756839#0 388756839#1 388756838#0 12136923#0 386547309#0 386547309#2 386547309#3 386547309#5 386547309#7 51050030#4 51050030#7 gneE35 -gneE34.0 --gneE83.0"/&gt;</v>
      </c>
      <c r="FN107" t="s">
        <v>2516</v>
      </c>
      <c r="FO107" t="s">
        <v>1195</v>
      </c>
      <c r="FP107" t="s">
        <v>2624</v>
      </c>
    </row>
    <row r="108" spans="2:172" x14ac:dyDescent="0.25">
      <c r="B108" t="s">
        <v>256</v>
      </c>
      <c r="C108" t="s">
        <v>725</v>
      </c>
      <c r="D108" t="s">
        <v>725</v>
      </c>
      <c r="E108" t="s">
        <v>725</v>
      </c>
      <c r="F108" t="s">
        <v>118</v>
      </c>
      <c r="G108" t="s">
        <v>740</v>
      </c>
      <c r="H108" t="s">
        <v>55</v>
      </c>
      <c r="I108" t="s">
        <v>55</v>
      </c>
      <c r="J108" t="s">
        <v>765</v>
      </c>
      <c r="K108" t="s">
        <v>765</v>
      </c>
      <c r="L108" t="s">
        <v>765</v>
      </c>
      <c r="M108" t="s">
        <v>765</v>
      </c>
      <c r="N108" t="s">
        <v>765</v>
      </c>
      <c r="O108" t="s">
        <v>765</v>
      </c>
      <c r="P108" t="s">
        <v>765</v>
      </c>
      <c r="Q108" t="s">
        <v>765</v>
      </c>
      <c r="R108" t="s">
        <v>173</v>
      </c>
      <c r="U108" t="s">
        <v>239</v>
      </c>
      <c r="W108" t="s">
        <v>341</v>
      </c>
      <c r="X108" t="s">
        <v>281</v>
      </c>
      <c r="Y108" t="s">
        <v>297</v>
      </c>
      <c r="Z108" t="s">
        <v>453</v>
      </c>
      <c r="AR108" t="s">
        <v>661</v>
      </c>
      <c r="AY108" t="s">
        <v>785</v>
      </c>
      <c r="AZ108" t="s">
        <v>642</v>
      </c>
      <c r="BA108" t="s">
        <v>642</v>
      </c>
      <c r="BG108" t="s">
        <v>158</v>
      </c>
      <c r="BI108" t="s">
        <v>780</v>
      </c>
      <c r="BM108" t="s">
        <v>50</v>
      </c>
      <c r="BS108" t="s">
        <v>133</v>
      </c>
      <c r="BT108" t="s">
        <v>8</v>
      </c>
      <c r="BW108" t="s">
        <v>654</v>
      </c>
      <c r="BY108" t="s">
        <v>281</v>
      </c>
      <c r="BZ108" t="s">
        <v>281</v>
      </c>
      <c r="CA108" t="s">
        <v>281</v>
      </c>
      <c r="CK108" t="s">
        <v>594</v>
      </c>
      <c r="CL108" t="s">
        <v>518</v>
      </c>
      <c r="CQ108" t="s">
        <v>887</v>
      </c>
      <c r="CS108" t="s">
        <v>586</v>
      </c>
      <c r="CT108" t="s">
        <v>584</v>
      </c>
      <c r="CU108" t="s">
        <v>574</v>
      </c>
      <c r="CV108" t="s">
        <v>288</v>
      </c>
      <c r="DB108" t="s">
        <v>381</v>
      </c>
      <c r="DC108" t="s">
        <v>381</v>
      </c>
      <c r="DH108" t="s">
        <v>733</v>
      </c>
      <c r="DI108" t="s">
        <v>158</v>
      </c>
      <c r="DM108" t="s">
        <v>787</v>
      </c>
      <c r="DN108" t="s">
        <v>787</v>
      </c>
      <c r="EN108" t="s">
        <v>786</v>
      </c>
      <c r="EP108" t="s">
        <v>836</v>
      </c>
      <c r="EQ108" t="s">
        <v>836</v>
      </c>
      <c r="ET108" t="s">
        <v>1014</v>
      </c>
      <c r="EU108" t="s">
        <v>1014</v>
      </c>
      <c r="FM108" t="str">
        <f t="shared" si="1"/>
        <v xml:space="preserve">    &lt;route id="Router3_107" edges="31909473.0 31909473.857 62634019#1-AddedOnRampEdge 62634019#1 62634019#2.0 62634019#2.242 62634019#3-AddedOnRampEdge 62634019#3 62634019#3-AddedOffRampEdge 12111747.0 62203498#0 62093806#0 104526265#0.14 424080766 424080768#0 104523976#1 262962063 424080770#0 424080772#0 424080772#2 386547297#0 424080771#0 424080767#0 386547298#0 424769177 424080769#0 12144152#0 12144152#2 12144152#4 12166276#0 -351053388#2 12144152#7 450844965#0 388533145#0 -12168663#6 -484953513#2 -484953514#2 -284556051#4 -284556051#2 51050278#0.0 gneE16 -12165855#3.1535 386547306#4 386547306#6 51049745#0 51049745#2 51049745#3 484842179#16.0 62094032#0.9 288513230#0 288513232 484842173 50033030#0 -424801341 -283621822#1 -424801343#1 -424801343#0 49991658 424801340 424801342 386550018#0 386550018#0-AddedOffRampEdge 386550018#1 49991638 -12144161#0 12144161#0 12144161#1 49991657 283621821#1 283621821#1-AddedOffRampEdge 283621821#2 49991647#1 49991647#2 63060732#0 63060732#1 63060732#2.0 63060732#2.116 50033027 -50033029 50033050#0 50033050#2 424799828 424799825 424799826 50033054 63060727 50033029 50033028#0 50033028#3 50033028#5 50033028#6 49991646 386547300#0 283621823 386547301-AddedOnRampEdge 386547301 424801344#0 424801343#1 283621822#0 424801341 28555309#0 49991649#0 424986163#0 51049946#0 424801337#0 357338497#0 357338497#2 450695460#0 62646499#0 62646499#2 450827424#0 62646508#0 62646508#2 424799820 424799823#0 50033059#0 50033059#2 50033059#3 50033059#4 388756839#0 388756839#1 388756838#0 12136923#0 386547309#0 386547309#2 386547309#3 386547309#5 484953510#2 42706825#0 42706825#2 42706825#4 42706825#5 121319046 12188656 -50033558#2 12203859#0 12203859#1 42706831#4 42706831#5 -12180988#5 63060729#4 63060729#7 63060729#10 -42706823#3 -42706823#1 42706831#0 42706831#4 42706831#5 42706831#6 32121234#0 32121234#1 32121234#2 50033558#2 50033558#3 50033558#4 50033558#6 50033058#0 386995514#9 386995486#0 32121111#11 -12177521#0 -121319040#0 -51155368#5 -50033558#5 -50033558#3 -12188656 -121319046 -42706825#7 -42706825#4 -42706825#3 -42706825#1 194358815 194358817#0 194358817#1 194358817#2 12114363#0 12114363#1 -50033059#4 12175537#0 12175537#2 485017371#0 484953507#1 12182281#8 12182281#9 12167232#0 12167232#1 12167232#2 12152013#4 51050425#4 386995537 386995551 387422150#0 387422150#1 386995531#3 386995531#4 12172918#2 gneE73 gneE75.0 gneE80.125"/&gt;</v>
      </c>
      <c r="FN108" t="s">
        <v>2516</v>
      </c>
      <c r="FO108" t="s">
        <v>1196</v>
      </c>
      <c r="FP108" t="s">
        <v>2625</v>
      </c>
    </row>
    <row r="109" spans="2:172" x14ac:dyDescent="0.25">
      <c r="B109" t="s">
        <v>257</v>
      </c>
      <c r="C109" t="s">
        <v>726</v>
      </c>
      <c r="D109" t="s">
        <v>726</v>
      </c>
      <c r="E109" t="s">
        <v>726</v>
      </c>
      <c r="F109" t="s">
        <v>119</v>
      </c>
      <c r="G109" t="s">
        <v>741</v>
      </c>
      <c r="H109" t="s">
        <v>56</v>
      </c>
      <c r="I109" t="s">
        <v>56</v>
      </c>
      <c r="J109" t="s">
        <v>766</v>
      </c>
      <c r="K109" t="s">
        <v>766</v>
      </c>
      <c r="L109" t="s">
        <v>766</v>
      </c>
      <c r="M109" t="s">
        <v>766</v>
      </c>
      <c r="N109" t="s">
        <v>766</v>
      </c>
      <c r="O109" t="s">
        <v>766</v>
      </c>
      <c r="P109" t="s">
        <v>766</v>
      </c>
      <c r="Q109" t="s">
        <v>766</v>
      </c>
      <c r="R109" t="s">
        <v>210</v>
      </c>
      <c r="W109" t="s">
        <v>342</v>
      </c>
      <c r="X109" t="s">
        <v>282</v>
      </c>
      <c r="Y109" t="s">
        <v>272</v>
      </c>
      <c r="Z109" t="s">
        <v>454</v>
      </c>
      <c r="AR109" t="s">
        <v>662</v>
      </c>
      <c r="AY109" t="s">
        <v>786</v>
      </c>
      <c r="AZ109" t="s">
        <v>643</v>
      </c>
      <c r="BA109" t="s">
        <v>643</v>
      </c>
      <c r="BG109" t="s">
        <v>159</v>
      </c>
      <c r="BI109" t="s">
        <v>775</v>
      </c>
      <c r="BM109" t="s">
        <v>51</v>
      </c>
      <c r="BS109" t="s">
        <v>134</v>
      </c>
      <c r="BT109" t="s">
        <v>9</v>
      </c>
      <c r="BW109" t="s">
        <v>655</v>
      </c>
      <c r="BY109" t="s">
        <v>282</v>
      </c>
      <c r="BZ109" t="s">
        <v>282</v>
      </c>
      <c r="CA109" t="s">
        <v>282</v>
      </c>
      <c r="CK109" t="s">
        <v>595</v>
      </c>
      <c r="CL109" t="s">
        <v>519</v>
      </c>
      <c r="CQ109" t="s">
        <v>888</v>
      </c>
      <c r="CS109" t="s">
        <v>475</v>
      </c>
      <c r="CT109" t="s">
        <v>585</v>
      </c>
      <c r="CU109" t="s">
        <v>278</v>
      </c>
      <c r="CV109" t="s">
        <v>289</v>
      </c>
      <c r="DB109" t="s">
        <v>382</v>
      </c>
      <c r="DC109" t="s">
        <v>382</v>
      </c>
      <c r="DH109" t="s">
        <v>734</v>
      </c>
      <c r="DI109" t="s">
        <v>159</v>
      </c>
      <c r="DM109" t="s">
        <v>788</v>
      </c>
      <c r="DN109" t="s">
        <v>788</v>
      </c>
      <c r="EN109" t="s">
        <v>33</v>
      </c>
      <c r="EP109" t="s">
        <v>654</v>
      </c>
      <c r="EQ109" t="s">
        <v>426</v>
      </c>
      <c r="ET109" t="s">
        <v>1015</v>
      </c>
      <c r="EU109" t="s">
        <v>1015</v>
      </c>
      <c r="FM109" t="str">
        <f t="shared" si="1"/>
        <v xml:space="preserve">    &lt;route id="Router3_108" edges="31909473.0 31909473.857 62634019#1-AddedOnRampEdge 62634019#1 62634019#2.0 62634019#2.242 62634019#3-AddedOnRampEdge 62634019#3 62634019#3-AddedOffRampEdge 12111747.0 62203498#0 62093806#0 104526265#0.14 424080766 424080768#0 104523976#1 262962063 424080770#0 424080772#0 424080772#2 386547297#0 424080771#0 424080767#0 386547298#0 424769177 424080769#0 12144152#0 12144152#2 450844953#0 450844953#2 450844953#3 450844947#0 388533142#0 388533142#2 388533142#4 62623926#0 62623926#1 450844950#0 12189453#0.0.0 450844982#0.19 62203497#0 62203497#2 62203497#3 12134479#1 34685684#0 34685684#2 388533143#0 388533143#2 12140627#0 63060729#0 -264253834#2 12156992#4 12156992#5 12156992#6 12156992#7 12156992#8 12156992#9 484953505 12148522#0 485017381#0 485017381#1 -30953396#1 30953396#1 -424769003#1 -424769003#0 12157002#0 12157002#1 12186058#2 485017381#0 -12157718#12 -12157718#10 -12157718#9 -12157718#8 -12157718#6 386995479#1 386995479#2 386995479#3 386995479#4 386995479#5 386995479#6 386995490#0.0 12154359#1.20 12154359#2 -386995521#1 -386995521#0 43357814#0 43357814#1 42706837#4 42706837#5 12154359#5 12154359#6 386995531#1 386995531#2 386995531#3 386995531#4 12172918#2 gneE73 gneE75.0 gneE80.125"/&gt;</v>
      </c>
      <c r="FN109" t="s">
        <v>2516</v>
      </c>
      <c r="FO109" t="s">
        <v>1197</v>
      </c>
      <c r="FP109" t="s">
        <v>2626</v>
      </c>
    </row>
    <row r="110" spans="2:172" x14ac:dyDescent="0.25">
      <c r="B110" t="s">
        <v>258</v>
      </c>
      <c r="C110" t="s">
        <v>727</v>
      </c>
      <c r="D110" t="s">
        <v>727</v>
      </c>
      <c r="E110" t="s">
        <v>727</v>
      </c>
      <c r="F110" t="s">
        <v>178</v>
      </c>
      <c r="G110" t="s">
        <v>742</v>
      </c>
      <c r="H110" t="s">
        <v>18</v>
      </c>
      <c r="I110" t="s">
        <v>18</v>
      </c>
      <c r="J110" t="s">
        <v>767</v>
      </c>
      <c r="K110" t="s">
        <v>767</v>
      </c>
      <c r="L110" t="s">
        <v>767</v>
      </c>
      <c r="M110" t="s">
        <v>767</v>
      </c>
      <c r="N110" t="s">
        <v>767</v>
      </c>
      <c r="O110" t="s">
        <v>767</v>
      </c>
      <c r="P110" t="s">
        <v>767</v>
      </c>
      <c r="Q110" t="s">
        <v>767</v>
      </c>
      <c r="R110" t="s">
        <v>456</v>
      </c>
      <c r="W110" t="s">
        <v>343</v>
      </c>
      <c r="X110" t="s">
        <v>283</v>
      </c>
      <c r="Y110" t="s">
        <v>273</v>
      </c>
      <c r="Z110" t="s">
        <v>455</v>
      </c>
      <c r="AR110" t="s">
        <v>663</v>
      </c>
      <c r="AY110" t="s">
        <v>33</v>
      </c>
      <c r="AZ110" t="s">
        <v>644</v>
      </c>
      <c r="BA110" t="s">
        <v>799</v>
      </c>
      <c r="BG110" t="s">
        <v>160</v>
      </c>
      <c r="BI110" t="s">
        <v>776</v>
      </c>
      <c r="BM110" t="s">
        <v>52</v>
      </c>
      <c r="BS110" t="s">
        <v>135</v>
      </c>
      <c r="BT110" t="s">
        <v>408</v>
      </c>
      <c r="BW110" t="s">
        <v>960</v>
      </c>
      <c r="BY110" t="s">
        <v>283</v>
      </c>
      <c r="BZ110" t="s">
        <v>283</v>
      </c>
      <c r="CA110" t="s">
        <v>283</v>
      </c>
      <c r="CK110" t="s">
        <v>167</v>
      </c>
      <c r="CL110" t="s">
        <v>401</v>
      </c>
      <c r="CQ110" t="s">
        <v>37</v>
      </c>
      <c r="CS110" t="s">
        <v>476</v>
      </c>
      <c r="CT110" t="s">
        <v>586</v>
      </c>
      <c r="CU110" t="s">
        <v>279</v>
      </c>
      <c r="CV110" t="s">
        <v>290</v>
      </c>
      <c r="DB110" t="s">
        <v>587</v>
      </c>
      <c r="DC110" t="s">
        <v>587</v>
      </c>
      <c r="DH110" t="s">
        <v>735</v>
      </c>
      <c r="DI110" t="s">
        <v>160</v>
      </c>
      <c r="DM110" t="s">
        <v>789</v>
      </c>
      <c r="DN110" t="s">
        <v>789</v>
      </c>
      <c r="EN110" t="s">
        <v>809</v>
      </c>
      <c r="EP110" t="s">
        <v>837</v>
      </c>
      <c r="EQ110" t="s">
        <v>427</v>
      </c>
      <c r="ET110" t="s">
        <v>1016</v>
      </c>
      <c r="EU110" t="s">
        <v>835</v>
      </c>
      <c r="FM110" t="str">
        <f t="shared" si="1"/>
        <v xml:space="preserve">    &lt;route id="Router3_109" edges="31909473.0 31909473.857 62634019#1-AddedOnRampEdge 62634019#1 62634019#2.0 62634019#2.242 62634019#3-AddedOnRampEdge 62634019#3 62634019#3-AddedOffRampEdge 12111747.0 62203498#0 62093806#0 104526265#0.14 424080766 424080768#0 104523976#1 262962063 424080770#0 424080772#0 424080772#2 386547297#0 424080771#0 424080767#0 386547298#0 424769177 424080769#0 12144152#0 12144152#2 450844953#0 450844953#2 450844953#3 450844947#0 388533142#0 388533142#2 388533142#4 62623926#0 62623926#1 450844950#0 12189453#0.0.0 450844982#0.19 62203497#0 62203497#2 62203497#3 12134479#1 34685684#0 34685684#2 450844947#0 388533142#0 388533142#2 12189045#0 62623987#0 62623987#1 -12142631 12202018 62623986#1 62623986#2 -12189051#1 -262962063 -424080764 -424080768#1 -424080766 -104526265#1 -262962068#1 -424080774 -32122059#1 -32122059#0 -196393940#2 -196393940#0"/&gt;</v>
      </c>
      <c r="FN110" t="s">
        <v>2516</v>
      </c>
      <c r="FO110" t="s">
        <v>1198</v>
      </c>
      <c r="FP110" t="s">
        <v>2627</v>
      </c>
    </row>
    <row r="111" spans="2:172" x14ac:dyDescent="0.25">
      <c r="C111" t="s">
        <v>728</v>
      </c>
      <c r="D111" t="s">
        <v>728</v>
      </c>
      <c r="E111" t="s">
        <v>728</v>
      </c>
      <c r="F111" t="s">
        <v>233</v>
      </c>
      <c r="G111" t="s">
        <v>952</v>
      </c>
      <c r="H111" t="s">
        <v>19</v>
      </c>
      <c r="I111" t="s">
        <v>19</v>
      </c>
      <c r="J111" t="s">
        <v>860</v>
      </c>
      <c r="K111" t="s">
        <v>860</v>
      </c>
      <c r="L111" t="s">
        <v>860</v>
      </c>
      <c r="M111" t="s">
        <v>860</v>
      </c>
      <c r="N111" t="s">
        <v>860</v>
      </c>
      <c r="O111" t="s">
        <v>860</v>
      </c>
      <c r="P111" t="s">
        <v>860</v>
      </c>
      <c r="Q111" t="s">
        <v>860</v>
      </c>
      <c r="R111" t="s">
        <v>457</v>
      </c>
      <c r="W111" t="s">
        <v>344</v>
      </c>
      <c r="X111" t="s">
        <v>579</v>
      </c>
      <c r="Y111" t="s">
        <v>274</v>
      </c>
      <c r="Z111" t="s">
        <v>588</v>
      </c>
      <c r="AR111" t="s">
        <v>1031</v>
      </c>
      <c r="AY111" t="s">
        <v>809</v>
      </c>
      <c r="AZ111" t="s">
        <v>44</v>
      </c>
      <c r="BA111" t="s">
        <v>800</v>
      </c>
      <c r="BG111" t="s">
        <v>161</v>
      </c>
      <c r="BI111" t="s">
        <v>905</v>
      </c>
      <c r="BM111" t="s">
        <v>1018</v>
      </c>
      <c r="BS111" t="s">
        <v>136</v>
      </c>
      <c r="BT111" t="s">
        <v>409</v>
      </c>
      <c r="BW111" t="s">
        <v>413</v>
      </c>
      <c r="BY111" t="s">
        <v>579</v>
      </c>
      <c r="BZ111" t="s">
        <v>579</v>
      </c>
      <c r="CA111" t="s">
        <v>579</v>
      </c>
      <c r="CK111" t="s">
        <v>168</v>
      </c>
      <c r="CL111" t="s">
        <v>402</v>
      </c>
      <c r="CQ111" t="s">
        <v>889</v>
      </c>
      <c r="CS111" t="s">
        <v>378</v>
      </c>
      <c r="CT111" t="s">
        <v>475</v>
      </c>
      <c r="CU111" t="s">
        <v>280</v>
      </c>
      <c r="CV111" t="s">
        <v>291</v>
      </c>
      <c r="DB111" t="s">
        <v>453</v>
      </c>
      <c r="DC111" t="s">
        <v>453</v>
      </c>
      <c r="DH111" t="s">
        <v>736</v>
      </c>
      <c r="DI111" t="s">
        <v>161</v>
      </c>
      <c r="DM111" t="s">
        <v>790</v>
      </c>
      <c r="DN111" t="s">
        <v>790</v>
      </c>
      <c r="EN111" t="s">
        <v>810</v>
      </c>
      <c r="EP111" t="s">
        <v>838</v>
      </c>
      <c r="EQ111" t="s">
        <v>428</v>
      </c>
      <c r="ET111" t="s">
        <v>423</v>
      </c>
      <c r="EU111" t="s">
        <v>836</v>
      </c>
      <c r="FM111" t="str">
        <f t="shared" si="1"/>
        <v xml:space="preserve">    &lt;route id="Router3_110" edges="31909473.0 31909473.857 62634019#1-AddedOnRampEdge 62634019#1 62634019#2.0 62634019#2.242 62634019#3-AddedOnRampEdge 62634019#3 62634019#3-AddedOffRampEdge 30953251#1.0 30953251#1-AddedOffRampEdge 12112003 30953215#1-AddedOnRampEdge 30953215#1 121643865#0 12110705 50715233#0 50715233#0-AddedOffRampEdge 50715233#1.0 62203285#14.24 30908387 30908366#1-AddedOnRampEdge 30908366#1 121643863 121643862 51758697#0 51758697#1-AddedOnRampEdge 51758697#1 -gneE46.0 43357850.4841.18 gneE46 49887339#0.596 49887339#0-AddedOffRampEdge 49887339#1 49887339#1-AddedOffRampEdge 104524021 104524021-AddedOffRampEdge 50192637#0 50192637#1-AddedOnRampEdge 50192637#1.0.0 50192637#1.0.382.0.0 50192637#1.697 50192637#1-AddedOffRampEdge 30953181#1 30953181#2-AddedOnRampEdge 30953181#2 30953181#3-AddedOnRampEdge 30953181#3 30953181#3-AddedOffRampEdge 30952933#1.0 30952933#1.199"/&gt;</v>
      </c>
      <c r="FN111" t="s">
        <v>2516</v>
      </c>
      <c r="FO111" t="s">
        <v>1199</v>
      </c>
      <c r="FP111" t="s">
        <v>2628</v>
      </c>
    </row>
    <row r="112" spans="2:172" x14ac:dyDescent="0.25">
      <c r="C112" t="s">
        <v>729</v>
      </c>
      <c r="D112" t="s">
        <v>729</v>
      </c>
      <c r="E112" t="s">
        <v>729</v>
      </c>
      <c r="F112" t="s">
        <v>239</v>
      </c>
      <c r="G112" t="s">
        <v>846</v>
      </c>
      <c r="H112" t="s">
        <v>20</v>
      </c>
      <c r="I112" t="s">
        <v>20</v>
      </c>
      <c r="J112" t="s">
        <v>629</v>
      </c>
      <c r="K112" t="s">
        <v>629</v>
      </c>
      <c r="L112" t="s">
        <v>629</v>
      </c>
      <c r="M112" t="s">
        <v>629</v>
      </c>
      <c r="N112" t="s">
        <v>629</v>
      </c>
      <c r="O112" t="s">
        <v>629</v>
      </c>
      <c r="P112" t="s">
        <v>629</v>
      </c>
      <c r="Q112" t="s">
        <v>629</v>
      </c>
      <c r="R112" t="s">
        <v>1022</v>
      </c>
      <c r="W112" t="s">
        <v>345</v>
      </c>
      <c r="X112" t="s">
        <v>580</v>
      </c>
      <c r="Y112" t="s">
        <v>298</v>
      </c>
      <c r="Z112" t="s">
        <v>589</v>
      </c>
      <c r="AR112" t="s">
        <v>1032</v>
      </c>
      <c r="AY112" t="s">
        <v>810</v>
      </c>
      <c r="AZ112" t="s">
        <v>45</v>
      </c>
      <c r="BA112" t="s">
        <v>801</v>
      </c>
      <c r="BI112" t="s">
        <v>1045</v>
      </c>
      <c r="BM112" t="s">
        <v>1019</v>
      </c>
      <c r="BS112" t="s">
        <v>137</v>
      </c>
      <c r="BT112" t="s">
        <v>410</v>
      </c>
      <c r="BW112" t="s">
        <v>1013</v>
      </c>
      <c r="BY112" t="s">
        <v>580</v>
      </c>
      <c r="BZ112" t="s">
        <v>580</v>
      </c>
      <c r="CA112" t="s">
        <v>580</v>
      </c>
      <c r="CK112" t="s">
        <v>696</v>
      </c>
      <c r="CL112" t="s">
        <v>403</v>
      </c>
      <c r="CQ112" t="s">
        <v>770</v>
      </c>
      <c r="CS112" t="s">
        <v>379</v>
      </c>
      <c r="CT112" t="s">
        <v>476</v>
      </c>
      <c r="CU112" t="s">
        <v>281</v>
      </c>
      <c r="CV112" t="s">
        <v>292</v>
      </c>
      <c r="DB112" t="s">
        <v>454</v>
      </c>
      <c r="DC112" t="s">
        <v>454</v>
      </c>
      <c r="DH112" t="s">
        <v>46</v>
      </c>
      <c r="DM112" t="s">
        <v>791</v>
      </c>
      <c r="DN112" t="s">
        <v>791</v>
      </c>
      <c r="EN112" t="s">
        <v>811</v>
      </c>
      <c r="EP112" t="s">
        <v>657</v>
      </c>
      <c r="EQ112" t="s">
        <v>156</v>
      </c>
      <c r="ET112" t="s">
        <v>424</v>
      </c>
      <c r="EU112" t="s">
        <v>426</v>
      </c>
      <c r="FM112" t="str">
        <f t="shared" si="1"/>
        <v xml:space="preserve">    &lt;route id="Router3_111" edges="31909473.0 31909473.857 62634019#1-AddedOnRampEdge 62634019#1 62634019#2.0 62634019#2.242 62634019#3-AddedOnRampEdge 62634019#3 62634019#3-AddedOffRampEdge 30953251#1.0 30953251#1-AddedOffRampEdge 12112003 30953215#1-AddedOnRampEdge 30953215#1 121643865#0 12110705 50715233#0 50715233#0-AddedOffRampEdge 50715233#1.0 62203285#14.24 30908387 30908366#1-AddedOnRampEdge 30908366#1 121643863 121643862 51758697#0 51758697#1-AddedOnRampEdge 51758697#1"/&gt;</v>
      </c>
      <c r="FN112" t="s">
        <v>2516</v>
      </c>
      <c r="FO112" t="s">
        <v>1200</v>
      </c>
      <c r="FP112" t="s">
        <v>2629</v>
      </c>
    </row>
    <row r="113" spans="3:172" x14ac:dyDescent="0.25">
      <c r="C113" t="s">
        <v>222</v>
      </c>
      <c r="D113" t="s">
        <v>222</v>
      </c>
      <c r="E113" t="s">
        <v>222</v>
      </c>
      <c r="G113" t="s">
        <v>882</v>
      </c>
      <c r="H113" t="s">
        <v>21</v>
      </c>
      <c r="I113" t="s">
        <v>21</v>
      </c>
      <c r="J113" t="s">
        <v>863</v>
      </c>
      <c r="K113" t="s">
        <v>863</v>
      </c>
      <c r="L113" t="s">
        <v>863</v>
      </c>
      <c r="M113" t="s">
        <v>863</v>
      </c>
      <c r="N113" t="s">
        <v>863</v>
      </c>
      <c r="O113" t="s">
        <v>863</v>
      </c>
      <c r="P113" t="s">
        <v>863</v>
      </c>
      <c r="Q113" t="s">
        <v>863</v>
      </c>
      <c r="R113" t="s">
        <v>387</v>
      </c>
      <c r="W113" t="s">
        <v>432</v>
      </c>
      <c r="X113" t="s">
        <v>581</v>
      </c>
      <c r="Y113" t="s">
        <v>299</v>
      </c>
      <c r="Z113" t="s">
        <v>590</v>
      </c>
      <c r="AR113" t="s">
        <v>930</v>
      </c>
      <c r="AY113" t="s">
        <v>811</v>
      </c>
      <c r="BA113" t="s">
        <v>802</v>
      </c>
      <c r="BI113" t="s">
        <v>784</v>
      </c>
      <c r="BM113" t="s">
        <v>845</v>
      </c>
      <c r="BS113" t="s">
        <v>138</v>
      </c>
      <c r="BT113" t="s">
        <v>161</v>
      </c>
      <c r="BW113" t="s">
        <v>1014</v>
      </c>
      <c r="BY113" t="s">
        <v>581</v>
      </c>
      <c r="BZ113" t="s">
        <v>581</v>
      </c>
      <c r="CA113" t="s">
        <v>581</v>
      </c>
      <c r="CK113" t="s">
        <v>697</v>
      </c>
      <c r="CL113" t="s">
        <v>404</v>
      </c>
      <c r="CQ113" t="s">
        <v>890</v>
      </c>
      <c r="CS113" t="s">
        <v>380</v>
      </c>
      <c r="CT113" t="s">
        <v>378</v>
      </c>
      <c r="CU113" t="s">
        <v>282</v>
      </c>
      <c r="CV113" t="s">
        <v>293</v>
      </c>
      <c r="DB113" t="s">
        <v>455</v>
      </c>
      <c r="DC113" t="s">
        <v>455</v>
      </c>
      <c r="DH113" t="s">
        <v>47</v>
      </c>
      <c r="DM113" t="s">
        <v>792</v>
      </c>
      <c r="DN113" t="s">
        <v>792</v>
      </c>
      <c r="EN113" t="s">
        <v>1046</v>
      </c>
      <c r="EP113" t="s">
        <v>428</v>
      </c>
      <c r="EQ113" t="s">
        <v>840</v>
      </c>
      <c r="ET113" t="s">
        <v>152</v>
      </c>
      <c r="EU113" t="s">
        <v>427</v>
      </c>
      <c r="FM113" t="str">
        <f t="shared" si="1"/>
        <v xml:space="preserve">    &lt;route id="Router3_112" edges="31909473.0 31909473.857 62634019#1-AddedOnRampEdge 62634019#1 62634019#2.0 62634019#2.242 62634019#3-AddedOnRampEdge 62634019#3 62634019#3-AddedOffRampEdge 30953251#1.0 30953251#1-AddedOffRampEdge 12112003 30953215#1-AddedOnRampEdge 30953215#1 121643865#0 12110705 50715233#0 50715233#0-AddedOffRampEdge 50715233#1.0 62203285#14.24 gneE59.30.0.55 gneE59.30.0.0 gneE59.0.0 gneE59.0.12 62203360#0 12159135 12149408#0 49914077 424767578 43569819 387422128#1 43569827#0 43569827#1 43569827#2 43569827#7 43569848 30953391 424769002 424769005 424769006 424769004 30953396#1 -424769003#1 -424769003#0 -485017374 42706828#0 42706828#2 12182281#0 12182281#3 12182281#5 12182281#6 386995507#4 386995507#5 386995507#6 12152013#1 12152013#2 -12175537#6 -12175537#5 -12175537#4 12182281#9 12182281#10 -388756839#1 -388756839#0 -50033059#4 -50033059#3 -50033059#2 -50033059#1 -50033558#8 -51155368#3 121319046 12188656 -50033558#2 12203859#0 12203859#1 42706831#4 42706831#5 42706831#6 42706874#0 42706874#2 12144152#0 12144152#2 450844953#0 450844953#2 450844953#3 450844947#0 388533142#0 388533142#2 388533142#4 62623926#0 62623926#1 450844950#0 12189453#0.0.0 450844982#0.19 62203497#0 62203497#2 62203497#3 12134479#1 34685684#0 34685684#2 388533143#0 388533143#2 12140627#0 63060729#0 -264253834#2 12156992#4 12156992#5 12156992#6 12156992#7 12156992#8 12156992#9 -12114396#5 -12114396#3 -12114396#1 485017383#0 485017382#0 485017382#1 211575484#0 -12177521#3 -12177521#2 -12177521#1 32121111#12 32121111#14 -12187610#5 -12187610#2 -12187610#1 12150608#0 32121146#2 12117702#9 450844953#0 450844953#2 450844953#3 450844947#0 388533142#0 388533142#2 388533142#4 62623926#0 62623926#1 450844950#0 38502259#0.19 450844933#1 196207110#0 196207110#2"/&gt;</v>
      </c>
      <c r="FN113" t="s">
        <v>2516</v>
      </c>
      <c r="FO113" t="s">
        <v>1201</v>
      </c>
      <c r="FP113" t="s">
        <v>2630</v>
      </c>
    </row>
    <row r="114" spans="3:172" x14ac:dyDescent="0.25">
      <c r="C114" t="s">
        <v>223</v>
      </c>
      <c r="D114" t="s">
        <v>223</v>
      </c>
      <c r="E114" t="s">
        <v>223</v>
      </c>
      <c r="G114" t="s">
        <v>598</v>
      </c>
      <c r="H114" t="s">
        <v>22</v>
      </c>
      <c r="I114" t="s">
        <v>864</v>
      </c>
      <c r="J114" t="s">
        <v>659</v>
      </c>
      <c r="K114" t="s">
        <v>659</v>
      </c>
      <c r="L114" t="s">
        <v>659</v>
      </c>
      <c r="M114" t="s">
        <v>659</v>
      </c>
      <c r="N114" t="s">
        <v>659</v>
      </c>
      <c r="O114" t="s">
        <v>659</v>
      </c>
      <c r="P114" t="s">
        <v>659</v>
      </c>
      <c r="Q114" t="s">
        <v>659</v>
      </c>
      <c r="R114" t="s">
        <v>860</v>
      </c>
      <c r="W114" t="s">
        <v>347</v>
      </c>
      <c r="X114" t="s">
        <v>582</v>
      </c>
      <c r="Y114" t="s">
        <v>300</v>
      </c>
      <c r="Z114" t="s">
        <v>660</v>
      </c>
      <c r="AR114" t="s">
        <v>931</v>
      </c>
      <c r="AY114" t="s">
        <v>1046</v>
      </c>
      <c r="BA114" t="s">
        <v>864</v>
      </c>
      <c r="BI114" t="s">
        <v>785</v>
      </c>
      <c r="BM114" t="s">
        <v>596</v>
      </c>
      <c r="BS114" t="s">
        <v>139</v>
      </c>
      <c r="BW114" t="s">
        <v>1015</v>
      </c>
      <c r="BY114" t="s">
        <v>582</v>
      </c>
      <c r="BZ114" t="s">
        <v>582</v>
      </c>
      <c r="CA114" t="s">
        <v>582</v>
      </c>
      <c r="CK114" t="s">
        <v>963</v>
      </c>
      <c r="CL114" t="s">
        <v>405</v>
      </c>
      <c r="CQ114" t="s">
        <v>891</v>
      </c>
      <c r="CS114" t="s">
        <v>381</v>
      </c>
      <c r="CT114" t="s">
        <v>379</v>
      </c>
      <c r="CU114" t="s">
        <v>283</v>
      </c>
      <c r="CV114" t="s">
        <v>471</v>
      </c>
      <c r="DB114" t="s">
        <v>588</v>
      </c>
      <c r="DC114" t="s">
        <v>588</v>
      </c>
      <c r="DH114" t="s">
        <v>48</v>
      </c>
      <c r="DM114" t="s">
        <v>642</v>
      </c>
      <c r="DN114" t="s">
        <v>642</v>
      </c>
      <c r="EN114" t="s">
        <v>1047</v>
      </c>
      <c r="EP114" t="s">
        <v>156</v>
      </c>
      <c r="EQ114" t="s">
        <v>431</v>
      </c>
      <c r="ET114" t="s">
        <v>153</v>
      </c>
      <c r="EU114" t="s">
        <v>428</v>
      </c>
      <c r="FM114" t="str">
        <f t="shared" si="1"/>
        <v xml:space="preserve">    &lt;route id="Router3_113" edges="31909473.0 31909473.857 62634019#1-AddedOnRampEdge 62634019#1 62634019#2.0 62634019#2.242 62634019#3-AddedOnRampEdge 62634019#3 62634019#3-AddedOffRampEdge 30953251#1.0 30953251#1-AddedOffRampEdge 12112003 30953215#1-AddedOnRampEdge 30953215#1 121643865#0 12110705 50715233#0 50715233#0-AddedOffRampEdge 50715233#1.0 62203285#14.24 gneE59.30.0.55 gneE59.30.0.0 gneE59.0.0 gneE59.0.12 62203360#0 12159135 12149408#0 49914077 424767578 43569819 387422128#1 43569827#0 43569827#1 43569827#2 43569827#7 43569848 30953391 424769002 424769005 424769006 424769004 30953396#1 -424769003#1 -424769003#0 -485017374 42706828#0 42706828#2 12182281#0 12182281#3 12182281#5 12182281#6 386995507#4 386995507#5 386995507#6 12152013#1 12152013#2 -12175537#6 -12175537#5 -12175537#4 12182281#9 12182281#10 -388756839#1 -388756839#0 -50033059#4 -50033059#3 -50033059#2 -50033059#1 42706833#0 42706833#2 12189876#0 12189876#2 484953508#1 60185970#0 60185970#2 12149571#1 12187610#3 50033558#2 -12188656 -121319046 -42706825#7 12199713#0 12199713#1 -386995514#6 -386995514#5 -386995514#4 -386995514#3 194358817#0 194358817#1 194358817#2 12114363#0 12114363#1 -50033059#4 12175537#0 12175537#2 12175537#3 12175537#4 12175537#5 12175537#6 12175537#7 12175537#8 12175537#9 12175537#10 12175537#11 12175537#12 12155177#1 12155177#2 387422153#1 gneE73 gneE75.0 gneE80.125"/&gt;</v>
      </c>
      <c r="FN114" t="s">
        <v>2516</v>
      </c>
      <c r="FO114" t="s">
        <v>1202</v>
      </c>
      <c r="FP114" t="s">
        <v>2631</v>
      </c>
    </row>
    <row r="115" spans="3:172" x14ac:dyDescent="0.25">
      <c r="C115" t="s">
        <v>224</v>
      </c>
      <c r="D115" t="s">
        <v>224</v>
      </c>
      <c r="E115" t="s">
        <v>224</v>
      </c>
      <c r="G115" t="s">
        <v>73</v>
      </c>
      <c r="H115" t="s">
        <v>23</v>
      </c>
      <c r="I115" t="s">
        <v>994</v>
      </c>
      <c r="J115" t="s">
        <v>938</v>
      </c>
      <c r="K115" t="s">
        <v>938</v>
      </c>
      <c r="L115" t="s">
        <v>938</v>
      </c>
      <c r="M115" t="s">
        <v>938</v>
      </c>
      <c r="N115" t="s">
        <v>938</v>
      </c>
      <c r="O115" t="s">
        <v>938</v>
      </c>
      <c r="P115" t="s">
        <v>938</v>
      </c>
      <c r="Q115" t="s">
        <v>938</v>
      </c>
      <c r="R115" t="s">
        <v>861</v>
      </c>
      <c r="W115" t="s">
        <v>348</v>
      </c>
      <c r="X115" t="s">
        <v>583</v>
      </c>
      <c r="Y115" t="s">
        <v>301</v>
      </c>
      <c r="Z115" t="s">
        <v>661</v>
      </c>
      <c r="AR115" t="s">
        <v>932</v>
      </c>
      <c r="AY115" t="s">
        <v>1047</v>
      </c>
      <c r="BA115" t="s">
        <v>994</v>
      </c>
      <c r="BI115" t="s">
        <v>786</v>
      </c>
      <c r="BM115" t="s">
        <v>954</v>
      </c>
      <c r="BS115" t="s">
        <v>140</v>
      </c>
      <c r="BW115" t="s">
        <v>1016</v>
      </c>
      <c r="BY115" t="s">
        <v>583</v>
      </c>
      <c r="BZ115" t="s">
        <v>583</v>
      </c>
      <c r="CA115" t="s">
        <v>583</v>
      </c>
      <c r="CK115" t="s">
        <v>964</v>
      </c>
      <c r="CL115" t="s">
        <v>406</v>
      </c>
      <c r="CQ115" t="s">
        <v>892</v>
      </c>
      <c r="CS115" t="s">
        <v>382</v>
      </c>
      <c r="CT115" t="s">
        <v>380</v>
      </c>
      <c r="CU115" t="s">
        <v>579</v>
      </c>
      <c r="CV115" t="s">
        <v>529</v>
      </c>
      <c r="DB115" t="s">
        <v>589</v>
      </c>
      <c r="DC115" t="s">
        <v>589</v>
      </c>
      <c r="DH115" t="s">
        <v>49</v>
      </c>
      <c r="DM115" t="s">
        <v>643</v>
      </c>
      <c r="DN115" t="s">
        <v>643</v>
      </c>
      <c r="EN115" t="s">
        <v>783</v>
      </c>
      <c r="EP115" t="s">
        <v>840</v>
      </c>
      <c r="EQ115" t="s">
        <v>159</v>
      </c>
      <c r="ET115" t="s">
        <v>154</v>
      </c>
      <c r="EU115" t="s">
        <v>429</v>
      </c>
      <c r="FM115" t="str">
        <f t="shared" si="1"/>
        <v xml:space="preserve">    &lt;route id="Router3_114" edges="31909473.0 31909473.857 62634019#1-AddedOnRampEdge 62634019#1 62634019#2.0 62634019#2.242 62634019#3-AddedOnRampEdge 62634019#3 62634019#3-AddedOffRampEdge 30953251#1.0 30953251#1-AddedOffRampEdge 12112003 30953215#1-AddedOnRampEdge 30953215#1 121643865#0 12110705 50715233#0 50715233#0-AddedOffRampEdge 50715233#1.0 62203285#14.24 gneE59.30.0.55 gneE59.30.0.0 gneE59.0.0 gneE59.0.12 62203360#0 12159135 291433360#0 388756841#0 49914076#0 12111949#0 43539384#1.0 424764853 12149178#0 12149178#1 12149178#2 50189577 62203295 145605533#1-AddedOnRampEdge 145605533#1 145605511#1-AddedOnRampEdge 145605511#12 145605511#1.148"/&gt;</v>
      </c>
      <c r="FN115" t="s">
        <v>2516</v>
      </c>
      <c r="FO115" t="s">
        <v>1203</v>
      </c>
      <c r="FP115" t="s">
        <v>2632</v>
      </c>
    </row>
    <row r="116" spans="3:172" x14ac:dyDescent="0.25">
      <c r="C116" t="s">
        <v>225</v>
      </c>
      <c r="D116" t="s">
        <v>225</v>
      </c>
      <c r="E116" t="s">
        <v>225</v>
      </c>
      <c r="G116" t="s">
        <v>74</v>
      </c>
      <c r="H116" t="s">
        <v>24</v>
      </c>
      <c r="I116" t="s">
        <v>995</v>
      </c>
      <c r="J116" t="s">
        <v>609</v>
      </c>
      <c r="K116" t="s">
        <v>609</v>
      </c>
      <c r="L116" t="s">
        <v>609</v>
      </c>
      <c r="M116" t="s">
        <v>609</v>
      </c>
      <c r="N116" t="s">
        <v>609</v>
      </c>
      <c r="O116" t="s">
        <v>609</v>
      </c>
      <c r="P116" t="s">
        <v>609</v>
      </c>
      <c r="Q116" t="s">
        <v>609</v>
      </c>
      <c r="R116" t="s">
        <v>862</v>
      </c>
      <c r="W116" t="s">
        <v>349</v>
      </c>
      <c r="X116" t="s">
        <v>584</v>
      </c>
      <c r="Y116" t="s">
        <v>302</v>
      </c>
      <c r="Z116" t="s">
        <v>662</v>
      </c>
      <c r="AR116" t="s">
        <v>933</v>
      </c>
      <c r="AY116" t="s">
        <v>783</v>
      </c>
      <c r="BA116" t="s">
        <v>995</v>
      </c>
      <c r="BI116" t="s">
        <v>33</v>
      </c>
      <c r="BM116" t="s">
        <v>76</v>
      </c>
      <c r="BS116" t="s">
        <v>141</v>
      </c>
      <c r="BW116" t="s">
        <v>423</v>
      </c>
      <c r="BY116" t="s">
        <v>584</v>
      </c>
      <c r="BZ116" t="s">
        <v>584</v>
      </c>
      <c r="CA116" t="s">
        <v>584</v>
      </c>
      <c r="CK116" t="s">
        <v>965</v>
      </c>
      <c r="CL116" t="s">
        <v>407</v>
      </c>
      <c r="CQ116" t="s">
        <v>893</v>
      </c>
      <c r="CS116" t="s">
        <v>587</v>
      </c>
      <c r="CT116" t="s">
        <v>381</v>
      </c>
      <c r="CU116" t="s">
        <v>580</v>
      </c>
      <c r="CV116" t="s">
        <v>295</v>
      </c>
      <c r="DB116" t="s">
        <v>590</v>
      </c>
      <c r="DC116" t="s">
        <v>590</v>
      </c>
      <c r="DH116" t="s">
        <v>50</v>
      </c>
      <c r="DM116" t="s">
        <v>799</v>
      </c>
      <c r="DN116" t="s">
        <v>799</v>
      </c>
      <c r="EN116" t="s">
        <v>777</v>
      </c>
      <c r="EP116" t="s">
        <v>431</v>
      </c>
      <c r="EQ116" t="s">
        <v>160</v>
      </c>
      <c r="ET116" t="s">
        <v>1017</v>
      </c>
      <c r="EU116" t="s">
        <v>430</v>
      </c>
      <c r="FM116" t="str">
        <f t="shared" si="1"/>
        <v xml:space="preserve">    &lt;route id="Router3_115" edges="31909473.0 31909473.857 62634019#1-AddedOnRampEdge 62634019#1 62634019#2.0 62634019#2.242 62634019#3-AddedOnRampEdge 62634019#3 62634019#3-AddedOffRampEdge 30953251#1.0 30953251#1-AddedOffRampEdge 12112003 30953215#1-AddedOnRampEdge 30953215#1 121643865#0 12110705 50715233#0 50715233#0-AddedOffRampEdge 50715233#1.0 62203285#14.24 gneE59.30.0.55 gneE59.30.0.0 gneE59.0.0 gneE59.0.12 62203360#0 12159135 291433360#0 388756841#0 49914076#0 12111949#0 43539384#1.0 424764853 43539372 12167183.0 gneE82 gneE56 gneE54.0 gneE62.13 gneE81.0 gneE6.0 424765883 43539378#0.15 43539378#1 -393884751 12159702 424764853 12149178#0 50189796 50189564 12149178#2 145605533#0 145605533#1-AddedOnRampEdge 145605533#1 145605511#1-AddedOnRampEdge 145605511#12 145605511#1.148"/&gt;</v>
      </c>
      <c r="FN116" t="s">
        <v>2516</v>
      </c>
      <c r="FO116" t="s">
        <v>1204</v>
      </c>
      <c r="FP116" t="s">
        <v>2633</v>
      </c>
    </row>
    <row r="117" spans="3:172" x14ac:dyDescent="0.25">
      <c r="C117" t="s">
        <v>226</v>
      </c>
      <c r="D117" t="s">
        <v>226</v>
      </c>
      <c r="E117" t="s">
        <v>226</v>
      </c>
      <c r="G117" t="s">
        <v>861</v>
      </c>
      <c r="H117" t="s">
        <v>25</v>
      </c>
      <c r="I117" t="s">
        <v>674</v>
      </c>
      <c r="J117" t="s">
        <v>999</v>
      </c>
      <c r="K117" t="s">
        <v>999</v>
      </c>
      <c r="L117" t="s">
        <v>999</v>
      </c>
      <c r="M117" t="s">
        <v>999</v>
      </c>
      <c r="N117" t="s">
        <v>999</v>
      </c>
      <c r="O117" t="s">
        <v>999</v>
      </c>
      <c r="P117" t="s">
        <v>999</v>
      </c>
      <c r="Q117" t="s">
        <v>999</v>
      </c>
      <c r="R117" t="s">
        <v>593</v>
      </c>
      <c r="W117" t="s">
        <v>350</v>
      </c>
      <c r="X117" t="s">
        <v>585</v>
      </c>
      <c r="Y117" t="s">
        <v>303</v>
      </c>
      <c r="Z117" t="s">
        <v>663</v>
      </c>
      <c r="AR117" t="s">
        <v>934</v>
      </c>
      <c r="AY117" t="s">
        <v>777</v>
      </c>
      <c r="BA117" t="s">
        <v>1057</v>
      </c>
      <c r="BI117" t="s">
        <v>809</v>
      </c>
      <c r="BM117" t="s">
        <v>77</v>
      </c>
      <c r="BW117" t="s">
        <v>424</v>
      </c>
      <c r="BY117" t="s">
        <v>585</v>
      </c>
      <c r="BZ117" t="s">
        <v>585</v>
      </c>
      <c r="CA117" t="s">
        <v>585</v>
      </c>
      <c r="CK117" t="s">
        <v>985</v>
      </c>
      <c r="CL117" t="s">
        <v>43</v>
      </c>
      <c r="CQ117" t="s">
        <v>773</v>
      </c>
      <c r="CS117" t="s">
        <v>453</v>
      </c>
      <c r="CT117" t="s">
        <v>382</v>
      </c>
      <c r="CU117" t="s">
        <v>581</v>
      </c>
      <c r="CV117" t="s">
        <v>296</v>
      </c>
      <c r="DB117" t="s">
        <v>660</v>
      </c>
      <c r="DC117" t="s">
        <v>660</v>
      </c>
      <c r="DH117" t="s">
        <v>51</v>
      </c>
      <c r="DM117" t="s">
        <v>800</v>
      </c>
      <c r="DN117" t="s">
        <v>800</v>
      </c>
      <c r="EN117" t="s">
        <v>784</v>
      </c>
      <c r="EP117" t="s">
        <v>159</v>
      </c>
      <c r="EQ117" t="s">
        <v>161</v>
      </c>
      <c r="ET117" t="s">
        <v>919</v>
      </c>
      <c r="EU117" t="s">
        <v>431</v>
      </c>
      <c r="FM117" t="str">
        <f t="shared" si="1"/>
        <v xml:space="preserve">    &lt;route id="Router3_116" edges="31909473.0 31909473.857 62634019#1-AddedOnRampEdge 62634019#1 62634019#2.0 62634019#2.242 62634019#3-AddedOnRampEdge 62634019#3 62634019#3-AddedOffRampEdge 30953251#1.0 30953251#1-AddedOffRampEdge 12112003 30953215#1-AddedOnRampEdge 30953215#1 121643865#0 12110705 50715233#0 50715233#0-AddedOffRampEdge 50715233#1.0 62203285#14.24 gneE59.30.0.55 gneE59.30.0.0 gneE59.0.0 gneE59.0.12 62203360#0 291433361#0 132508433.0 -gneE6.0 gneE81.299.0 gneE81.299.79 gneE81.299.145 -gneE8 12154353#0 196393941#1 196393941#2 28533986 43539369#2 12178843#2 12178843#3 49960982#2 43569828#0 387422128#1 43569827#0 43569827#1 43569827#2 43569827#7 43569848 30953391 424769002 424769005 424769006 424769004 30953396#1 387422132#0 387422132#1 486653633#0 484953506#3 484953506#4 12157002#0 12157002#1 12157002#3 12157002#5 12114396#4 -12156992#10 -12156992#8 -12156992#7 -12156992#6 -12156992#5 -12156992#4 -12156992#3 -12156992#2 -12156992#1 -386547297#1 -424080772#2 -424080772#1 -262962065#1 -262962063 -424080764 -424080768#1 -424080766 -104526265#1 -262962068#1 -424080774 -32122059#1 -32122059#0 -196393940#2 -196393940#0"/&gt;</v>
      </c>
      <c r="FN117" t="s">
        <v>2516</v>
      </c>
      <c r="FO117" t="s">
        <v>1205</v>
      </c>
      <c r="FP117" t="s">
        <v>2634</v>
      </c>
    </row>
    <row r="118" spans="3:172" x14ac:dyDescent="0.25">
      <c r="C118" t="s">
        <v>187</v>
      </c>
      <c r="D118" t="s">
        <v>488</v>
      </c>
      <c r="E118" t="s">
        <v>488</v>
      </c>
      <c r="G118" t="s">
        <v>862</v>
      </c>
      <c r="H118" t="s">
        <v>26</v>
      </c>
      <c r="I118" t="s">
        <v>675</v>
      </c>
      <c r="J118" t="s">
        <v>952</v>
      </c>
      <c r="K118" t="s">
        <v>952</v>
      </c>
      <c r="L118" t="s">
        <v>952</v>
      </c>
      <c r="M118" t="s">
        <v>952</v>
      </c>
      <c r="N118" t="s">
        <v>952</v>
      </c>
      <c r="O118" t="s">
        <v>952</v>
      </c>
      <c r="P118" t="s">
        <v>952</v>
      </c>
      <c r="Q118" t="s">
        <v>952</v>
      </c>
      <c r="R118" t="s">
        <v>594</v>
      </c>
      <c r="W118" t="s">
        <v>351</v>
      </c>
      <c r="X118" t="s">
        <v>586</v>
      </c>
      <c r="Y118" t="s">
        <v>304</v>
      </c>
      <c r="Z118" t="s">
        <v>1031</v>
      </c>
      <c r="AR118" t="s">
        <v>935</v>
      </c>
      <c r="AY118" t="s">
        <v>784</v>
      </c>
      <c r="BA118" t="s">
        <v>57</v>
      </c>
      <c r="BI118" t="s">
        <v>810</v>
      </c>
      <c r="BM118" t="s">
        <v>211</v>
      </c>
      <c r="BW118" t="s">
        <v>152</v>
      </c>
      <c r="BY118" t="s">
        <v>586</v>
      </c>
      <c r="BZ118" t="s">
        <v>586</v>
      </c>
      <c r="CA118" t="s">
        <v>586</v>
      </c>
      <c r="CK118" t="s">
        <v>986</v>
      </c>
      <c r="CL118" t="s">
        <v>44</v>
      </c>
      <c r="CQ118" t="s">
        <v>774</v>
      </c>
      <c r="CS118" t="s">
        <v>454</v>
      </c>
      <c r="CT118" t="s">
        <v>587</v>
      </c>
      <c r="CU118" t="s">
        <v>582</v>
      </c>
      <c r="CV118" t="s">
        <v>297</v>
      </c>
      <c r="DB118" t="s">
        <v>661</v>
      </c>
      <c r="DC118" t="s">
        <v>661</v>
      </c>
      <c r="DH118" t="s">
        <v>52</v>
      </c>
      <c r="DM118" t="s">
        <v>801</v>
      </c>
      <c r="DN118" t="s">
        <v>801</v>
      </c>
      <c r="EN118" t="s">
        <v>793</v>
      </c>
      <c r="EP118" t="s">
        <v>160</v>
      </c>
      <c r="ET118" t="s">
        <v>430</v>
      </c>
      <c r="EU118" t="s">
        <v>159</v>
      </c>
      <c r="FM118" t="str">
        <f t="shared" si="1"/>
        <v xml:space="preserve">    &lt;route id="Router3_117" edges="31909473.0 31909473.857 62634019#1-AddedOnRampEdge 62634019#1 62634019#2.0 62634019#2.242 62634019#3-AddedOnRampEdge 62634019#3 62634019#3-AddedOffRampEdge 30953251#1.0 30953251#1-AddedOffRampEdge 12112003 30953215#1-AddedOnRampEdge 30953215#1 121643865#0 12110705 50715233#0 50715233#0-AddedOffRampEdge 50715233#1.0 62203285#14.24 gneE59.30.0.55 gneE59.30.0.0 gneE59.0.0 gneE59.0.12 62203360#0 291433361#0 132508433.0 -gneE6.0 gneE81.299.0 gneE81.299.79 gneE81.299.145 -gneE8 12154353#0 196393941#1 196393941#2 28533986 43539369#2 12178843#2 12178843#3 49960982#2 43569828#0 387422128#1 43569827#0 43569827#1 43569827#2 43569827#7 43569848 30953391 424769002 424769005 424769006 424769004 30953396#1 387422132#0 387422132#1 486653633#0 484953506#3 484953506#4 12157002#0 12157002#1 12157002#3 12157002#5 12114396#4 -12156992#10 -12156992#8 -12156992#7 -12156992#6 -12156992#5 -12156992#4 -12156992#3 -12156992#2 -12156992#1 -386547297#1 -424080772#2 -424080772#1 -262962065#1 -262962063 -424080764 -424080768#1 -424080766 -104526265#1 30953497#0 30953497#2 30953497#3 42706585#0 42706585#1 30953320 30953320-AddedOffRampEdge 104526277 30953215#1-AddedOnRampEdge 30953215#1 121643865#0 12110705 50715233#0 50715233#0-AddedOffRampEdge 50715233#1.0 62203285#14.24 gneE59.30.0.55 gneE59.30.0.0 gneE59.0.0 gneE59.0.12 62203360#0 12159135 12149408#0 49914077 424767578 43569819 387422128#1 43569827#0 43569827#1 43569827#2 43569827#7 43569848 30953391 424769002 424769005 424769006 424769004 30953396#1 -424769003#1 -424769003#0 -485017374 42706828#0 42706828#2 12182281#0 12182281#3 12182281#5 12182281#6 386995507#4 386995507#5 386995507#6 12152013#1 12152013#2 -12175537#6 -12175537#5 -12175537#4 12182281#9 12182281#10 -388756839#1 -388756839#0 -50033059#4 -50033059#3 -50033059#2 -50033059#1 -50033558#8 -51155368#3 121319046 12188656 -50033558#2 12203859#0 12203859#1 42706831#4 42706831#5 42706831#6 42706874#0 42706874#2 12144152#0 12144152#2 450844953#0 450844953#2 450844953#3 450844947#0 388533142#0 388533142#2 388533142#4 62623926#0 62623926#1 450844950#0 12189453#0.0.0 450844982#0.19 62203497#0 62203497#2 62203497#3 12134479#1 34685684#0 34685684#2 388533143#0 388533143#2 12140627#0 63060729#0 -264253834#2 12156992#4 12156992#5 12156992#6 12156992#7 12156992#8 12156992#9 -12114396#5 -12114396#3 -12114396#1 485017383#0 485017382#0 485017382#1 211575484#0 -12177521#3 -12177521#2 -12177521#1 32121111#12 32121111#14 -12187610#5 -12187610#2 -12187610#1 12150608#0 32121146#2 12117702#9 450844953#0 450844953#2 450844953#3 450844947#0 388533142#0 388533142#2 388533142#4 62623926#0 62623926#1 450844950#0 38502259#0.19 450844933#1 196207110#0 196207110#2"/&gt;</v>
      </c>
      <c r="FN118" t="s">
        <v>2516</v>
      </c>
      <c r="FO118" t="s">
        <v>1206</v>
      </c>
      <c r="FP118" t="s">
        <v>2635</v>
      </c>
    </row>
    <row r="119" spans="3:172" x14ac:dyDescent="0.25">
      <c r="C119" t="s">
        <v>188</v>
      </c>
      <c r="D119" t="s">
        <v>399</v>
      </c>
      <c r="E119" t="s">
        <v>399</v>
      </c>
      <c r="G119" t="s">
        <v>593</v>
      </c>
      <c r="H119" t="s">
        <v>27</v>
      </c>
      <c r="I119" t="s">
        <v>676</v>
      </c>
      <c r="J119" t="s">
        <v>846</v>
      </c>
      <c r="K119" t="s">
        <v>846</v>
      </c>
      <c r="L119" t="s">
        <v>846</v>
      </c>
      <c r="M119" t="s">
        <v>846</v>
      </c>
      <c r="N119" t="s">
        <v>846</v>
      </c>
      <c r="O119" t="s">
        <v>846</v>
      </c>
      <c r="P119" t="s">
        <v>846</v>
      </c>
      <c r="Q119" t="s">
        <v>846</v>
      </c>
      <c r="R119" t="s">
        <v>595</v>
      </c>
      <c r="W119" t="s">
        <v>182</v>
      </c>
      <c r="X119" t="s">
        <v>475</v>
      </c>
      <c r="Y119" t="s">
        <v>305</v>
      </c>
      <c r="Z119" t="s">
        <v>1032</v>
      </c>
      <c r="AR119" t="s">
        <v>751</v>
      </c>
      <c r="AY119" t="s">
        <v>793</v>
      </c>
      <c r="BA119" t="s">
        <v>58</v>
      </c>
      <c r="BI119" t="s">
        <v>811</v>
      </c>
      <c r="BM119" t="s">
        <v>820</v>
      </c>
      <c r="BW119" t="s">
        <v>153</v>
      </c>
      <c r="BY119" t="s">
        <v>475</v>
      </c>
      <c r="BZ119" t="s">
        <v>475</v>
      </c>
      <c r="CA119" t="s">
        <v>475</v>
      </c>
      <c r="CK119" t="s">
        <v>68</v>
      </c>
      <c r="CL119" t="s">
        <v>45</v>
      </c>
      <c r="CQ119" t="s">
        <v>775</v>
      </c>
      <c r="CS119" t="s">
        <v>455</v>
      </c>
      <c r="CT119" t="s">
        <v>453</v>
      </c>
      <c r="CU119" t="s">
        <v>583</v>
      </c>
      <c r="CV119" t="s">
        <v>272</v>
      </c>
      <c r="DB119" t="s">
        <v>662</v>
      </c>
      <c r="DC119" t="s">
        <v>662</v>
      </c>
      <c r="DH119" t="s">
        <v>1018</v>
      </c>
      <c r="DM119" t="s">
        <v>802</v>
      </c>
      <c r="DN119" t="s">
        <v>802</v>
      </c>
      <c r="EN119" t="s">
        <v>638</v>
      </c>
      <c r="EP119" t="s">
        <v>161</v>
      </c>
      <c r="ET119" t="s">
        <v>431</v>
      </c>
      <c r="EU119" t="s">
        <v>160</v>
      </c>
      <c r="FM119" t="str">
        <f t="shared" si="1"/>
        <v xml:space="preserve">    &lt;route id="Router3_118" edges="31909473.0 31909473.857 62634019#1-AddedOnRampEdge 62634019#1 62634019#2.0 62634019#2.242 62634019#3-AddedOnRampEdge 62634019#3 62634019#3-AddedOffRampEdge 30953251#1.0 30953251#1-AddedOffRampEdge 12112003 30953215#1-AddedOnRampEdge 30953215#1 121643865#0 12110705 50715233#0 50715233#0-AddedOffRampEdge 50715233#1.0 62203285#14.24 gneE59.30.0.55 gneE59.30.0.0 gneE59.0.0 gneE59.0.12 62203360#0 291433361#0 132508433.0 -gneE6.0 gneE81.299.0 gneE81.299.79 gneE81.299.145 -gneE8 12154353#0 196393941#1 196393941#2 28533986 43539369#2 12178843#2 12178843#3 49960982#2 43569828#0 387422128#1 43569827#0 43569827#1 43569827#2 43569827#7 43569848 30953391 424769002 424769005 424769006 424769004 30953396#1 387422132#0 387422132#1 486653633#0 484953506#3 484953506#4 12157002#0 12157002#1 12157002#3 12157002#5 12114396#4 -12156992#10 -12156992#8 -12156992#7 -12156992#6 -12156992#5 -12156992#4 -12156992#3 -12156992#2 -12156992#1 -386547297#1 -424080772#2 -424080772#1 -262962065#1 -262962063 -424080764 -424080768#1 -424080766 -104526265#1 30953497#0 30953497#2 30953497#3 42706585#0 42706585#1 30953320 30953320-AddedOffRampEdge 104526277 30953215#1-AddedOnRampEdge 30953215#1 121643865#0 12110705 50715233#0 50715233#0-AddedOffRampEdge 50715233#1.0 62203285#14.24 gneE59.30.0.55 gneE59.30.0.0 gneE59.0.0 gneE59.0.12 62203360#0 12159135 12149408#0 49914077 424767578 43569819 387422128#1 43569827#0 43569827#1 43569827#2 43569827#7 43569848 30953391 424769002 424769005 424769006 424769004 30953396#1 -424769003#1 -424769003#0 -485017374 42706828#0 42706828#2 12182281#0 12182281#3 12182281#5 12182281#6 386995507#4 386995507#5 386995507#6 12152013#1 12152013#2 -12175537#6 -12175537#5 -12175537#4 12182281#9 12182281#10 -388756839#1 -388756839#0 -50033059#4 -50033059#3 -50033059#2 -50033059#1 42706833#0 42706833#2 -42706825#7 12199713#0 12199713#1 -386995514#6 -386995514#5 -386995514#4 -386995514#3 -386995514#2 -386995514#1 12159500#1 12159500#2 51050030#7 gneE35 -gneE34.0 --gneE83.0"/&gt;</v>
      </c>
      <c r="FN119" t="s">
        <v>2516</v>
      </c>
      <c r="FO119" t="s">
        <v>1207</v>
      </c>
      <c r="FP119" t="s">
        <v>2636</v>
      </c>
    </row>
    <row r="120" spans="3:172" x14ac:dyDescent="0.25">
      <c r="C120" t="s">
        <v>189</v>
      </c>
      <c r="D120" t="s">
        <v>400</v>
      </c>
      <c r="E120" t="s">
        <v>515</v>
      </c>
      <c r="G120" t="s">
        <v>747</v>
      </c>
      <c r="H120" t="s">
        <v>247</v>
      </c>
      <c r="I120" t="s">
        <v>677</v>
      </c>
      <c r="J120" t="s">
        <v>882</v>
      </c>
      <c r="K120" t="s">
        <v>882</v>
      </c>
      <c r="L120" t="s">
        <v>882</v>
      </c>
      <c r="M120" t="s">
        <v>882</v>
      </c>
      <c r="N120" t="s">
        <v>882</v>
      </c>
      <c r="O120" t="s">
        <v>882</v>
      </c>
      <c r="P120" t="s">
        <v>882</v>
      </c>
      <c r="Q120" t="s">
        <v>882</v>
      </c>
      <c r="R120" t="s">
        <v>167</v>
      </c>
      <c r="W120" t="s">
        <v>183</v>
      </c>
      <c r="X120" t="s">
        <v>476</v>
      </c>
      <c r="Y120" t="s">
        <v>306</v>
      </c>
      <c r="Z120" t="s">
        <v>930</v>
      </c>
      <c r="AR120" t="s">
        <v>542</v>
      </c>
      <c r="AY120" t="s">
        <v>638</v>
      </c>
      <c r="BA120" t="s">
        <v>59</v>
      </c>
      <c r="BI120" t="s">
        <v>1046</v>
      </c>
      <c r="BM120" t="s">
        <v>260</v>
      </c>
      <c r="BW120" t="s">
        <v>154</v>
      </c>
      <c r="BY120" t="s">
        <v>476</v>
      </c>
      <c r="BZ120" t="s">
        <v>476</v>
      </c>
      <c r="CA120" t="s">
        <v>476</v>
      </c>
      <c r="CK120" t="s">
        <v>987</v>
      </c>
      <c r="CQ120" t="s">
        <v>776</v>
      </c>
      <c r="CS120" t="s">
        <v>588</v>
      </c>
      <c r="CT120" t="s">
        <v>454</v>
      </c>
      <c r="CU120" t="s">
        <v>584</v>
      </c>
      <c r="CV120" t="s">
        <v>530</v>
      </c>
      <c r="DB120" t="s">
        <v>663</v>
      </c>
      <c r="DC120" t="s">
        <v>663</v>
      </c>
      <c r="DH120" t="s">
        <v>1019</v>
      </c>
      <c r="DM120" t="s">
        <v>864</v>
      </c>
      <c r="DN120" t="s">
        <v>864</v>
      </c>
      <c r="EN120" t="s">
        <v>639</v>
      </c>
      <c r="ET120" t="s">
        <v>159</v>
      </c>
      <c r="EU120" t="s">
        <v>161</v>
      </c>
      <c r="FM120" t="str">
        <f t="shared" si="1"/>
        <v xml:space="preserve">    &lt;route id="Router3_119" edges="31909473.0 31909473.857 62634019#1-AddedOnRampEdge 62634019#1 62634019#2.0 62634019#2.242 62634019#3-AddedOnRampEdge 62634019#3 62634019#3-AddedOffRampEdge 30953251#1.0 30953251#1-AddedOffRampEdge 12112003 30953215#1-AddedOnRampEdge 30953215#1 121643865#0 12110705 50715233#0 50715233#0-AddedOffRampEdge 50715233#1.0 62203285#14.24 gneE59.30.0.55 gneE59.30.0.0 gneE59.0.0 gneE59.0.12 62203360#0 291433361#0 132508433.0 -gneE6.0 gneE81.299.0 gneE81.299.79 gneE81.299.145 -gneE8 12154353#0 196393941#1 196393941#2 28533986 43539369#2 12178843#2 12178843#3 49960982#2 43569828#0 387422128#1 43569827#0 43569827#1 43569827#2 43569827#7 43569848 30953391 424769002 424769005 424769006 424769004 30953396#1 387422132#0 387422132#1 486653633#0 484953506#3 484953506#4 12157002#0 12157002#1 12157002#3 12157002#5 12114396#4 -12156992#10 -12156992#8 -12156992#7 -12156992#6 -12156992#5 -12156992#4 -12156992#3 -12156992#2 -12156992#1 -386547297#1 -424080772#2 -424080772#1 -262962065#1 -262962063 -424080764 -424080768#1 -424080766 -104526265#1 30953497#0 30953497#2 35920555#0.0 35920555#0.75 62203066 43331031.0 43331031.436 42706585#0 42706585#1 30953320 30953320-AddedOffRampEdge 30953315 104526276-AddedOnRampEdge 104526276 51758697#0 51758697#1-AddedOnRampEdge 51758697#1"/&gt;</v>
      </c>
      <c r="FN120" t="s">
        <v>2516</v>
      </c>
      <c r="FO120" t="s">
        <v>1208</v>
      </c>
      <c r="FP120" t="s">
        <v>2637</v>
      </c>
    </row>
    <row r="121" spans="3:172" x14ac:dyDescent="0.25">
      <c r="C121" t="s">
        <v>190</v>
      </c>
      <c r="D121" t="s">
        <v>401</v>
      </c>
      <c r="E121" t="s">
        <v>516</v>
      </c>
      <c r="G121" t="s">
        <v>748</v>
      </c>
      <c r="H121" t="s">
        <v>248</v>
      </c>
      <c r="I121" t="s">
        <v>996</v>
      </c>
      <c r="J121" t="s">
        <v>598</v>
      </c>
      <c r="K121" t="s">
        <v>598</v>
      </c>
      <c r="L121" t="s">
        <v>598</v>
      </c>
      <c r="M121" t="s">
        <v>598</v>
      </c>
      <c r="N121" t="s">
        <v>598</v>
      </c>
      <c r="O121" t="s">
        <v>598</v>
      </c>
      <c r="P121" t="s">
        <v>598</v>
      </c>
      <c r="Q121" t="s">
        <v>598</v>
      </c>
      <c r="R121" t="s">
        <v>168</v>
      </c>
      <c r="W121" t="s">
        <v>445</v>
      </c>
      <c r="X121" t="s">
        <v>378</v>
      </c>
      <c r="Y121" t="s">
        <v>307</v>
      </c>
      <c r="Z121" t="s">
        <v>931</v>
      </c>
      <c r="AR121" t="s">
        <v>543</v>
      </c>
      <c r="AY121" t="s">
        <v>639</v>
      </c>
      <c r="BA121" t="s">
        <v>60</v>
      </c>
      <c r="BI121" t="s">
        <v>1047</v>
      </c>
      <c r="BM121" t="s">
        <v>108</v>
      </c>
      <c r="BW121" t="s">
        <v>1017</v>
      </c>
      <c r="BY121" t="s">
        <v>378</v>
      </c>
      <c r="BZ121" t="s">
        <v>378</v>
      </c>
      <c r="CA121" t="s">
        <v>378</v>
      </c>
      <c r="CK121" t="s">
        <v>615</v>
      </c>
      <c r="CQ121" t="s">
        <v>905</v>
      </c>
      <c r="CS121" t="s">
        <v>589</v>
      </c>
      <c r="CT121" t="s">
        <v>455</v>
      </c>
      <c r="CU121" t="s">
        <v>585</v>
      </c>
      <c r="CV121" t="s">
        <v>277</v>
      </c>
      <c r="DB121" t="s">
        <v>1031</v>
      </c>
      <c r="DC121" t="s">
        <v>1031</v>
      </c>
      <c r="DH121" t="s">
        <v>845</v>
      </c>
      <c r="DM121" t="s">
        <v>994</v>
      </c>
      <c r="DN121" t="s">
        <v>994</v>
      </c>
      <c r="EN121" t="s">
        <v>640</v>
      </c>
      <c r="ET121" t="s">
        <v>160</v>
      </c>
      <c r="FM121" t="str">
        <f t="shared" si="1"/>
        <v xml:space="preserve">    &lt;route id="Router3_120" edges="31909473.0 31909473.857 62634019#1-AddedOnRampEdge 62634019#1 62634019#2.0 62634019#2.242 62634019#3-AddedOnRampEdge 62634019#3 62634019#3-AddedOffRampEdge 30953251#1.0 30953251#1-AddedOffRampEdge 30953251#2.0 104526276-AddedOnRampEdge 104526276 51758697#0 51758697#1-AddedOnRampEdge 51758697#1 -gneE46.0 43357850.4841.18 -gneE45 -485017363 -43117585#0 12185366#0 12185366#2 12185366#3 12185366#4 12185366#5 12185366#7 12185366#9 387422145#0 -12157718#6 386995479#1 386995479#2 386995479#3 386995479#4 386995479#5 386995479#6 386995490#0.0 12154359#1.20 12154359#2 12154359#3 12154359#4 42706837#6 42706837#7 42706837#8 12155177#0 12155177#1 386995531#4 12172918#2 gneE73 gneE75.0 gneE80.125"/&gt;</v>
      </c>
      <c r="FN121" t="s">
        <v>2516</v>
      </c>
      <c r="FO121" t="s">
        <v>1209</v>
      </c>
      <c r="FP121" t="s">
        <v>2638</v>
      </c>
    </row>
    <row r="122" spans="3:172" x14ac:dyDescent="0.25">
      <c r="C122" t="s">
        <v>191</v>
      </c>
      <c r="D122" t="s">
        <v>402</v>
      </c>
      <c r="E122" t="s">
        <v>517</v>
      </c>
      <c r="G122" t="s">
        <v>749</v>
      </c>
      <c r="H122" t="s">
        <v>249</v>
      </c>
      <c r="I122" t="s">
        <v>966</v>
      </c>
      <c r="J122" t="s">
        <v>73</v>
      </c>
      <c r="K122" t="s">
        <v>73</v>
      </c>
      <c r="L122" t="s">
        <v>73</v>
      </c>
      <c r="M122" t="s">
        <v>73</v>
      </c>
      <c r="N122" t="s">
        <v>73</v>
      </c>
      <c r="O122" t="s">
        <v>73</v>
      </c>
      <c r="P122" t="s">
        <v>73</v>
      </c>
      <c r="Q122" t="s">
        <v>73</v>
      </c>
      <c r="R122" t="s">
        <v>696</v>
      </c>
      <c r="W122" t="s">
        <v>446</v>
      </c>
      <c r="X122" t="s">
        <v>379</v>
      </c>
      <c r="Y122" t="s">
        <v>704</v>
      </c>
      <c r="Z122" t="s">
        <v>932</v>
      </c>
      <c r="AR122" t="s">
        <v>544</v>
      </c>
      <c r="AY122" t="s">
        <v>640</v>
      </c>
      <c r="BA122" t="s">
        <v>61</v>
      </c>
      <c r="BI122" t="s">
        <v>783</v>
      </c>
      <c r="BM122" t="s">
        <v>109</v>
      </c>
      <c r="BW122" t="s">
        <v>919</v>
      </c>
      <c r="BY122" t="s">
        <v>379</v>
      </c>
      <c r="BZ122" t="s">
        <v>379</v>
      </c>
      <c r="CA122" t="s">
        <v>379</v>
      </c>
      <c r="CK122" t="s">
        <v>616</v>
      </c>
      <c r="CQ122" t="s">
        <v>798</v>
      </c>
      <c r="CS122" t="s">
        <v>590</v>
      </c>
      <c r="CT122" t="s">
        <v>588</v>
      </c>
      <c r="CU122" t="s">
        <v>586</v>
      </c>
      <c r="CV122" t="s">
        <v>370</v>
      </c>
      <c r="DB122" t="s">
        <v>1032</v>
      </c>
      <c r="DC122" t="s">
        <v>1032</v>
      </c>
      <c r="DH122" t="s">
        <v>596</v>
      </c>
      <c r="DM122" t="s">
        <v>995</v>
      </c>
      <c r="DN122" t="s">
        <v>995</v>
      </c>
      <c r="EN122" t="s">
        <v>641</v>
      </c>
      <c r="ET122" t="s">
        <v>161</v>
      </c>
      <c r="FM122" t="str">
        <f t="shared" si="1"/>
        <v xml:space="preserve">    &lt;route id="Router3_121" edges="31909473.0 31909473.857 62634019#1-AddedOnRampEdge 62634019#1 62634019#2.0 62634019#2.242 62634019#3-AddedOnRampEdge 62634019#3 62634019#3-AddedOffRampEdge 30953251#1.0 30953251#1-AddedOffRampEdge 30953251#2.0 104526276-AddedOnRampEdge 104526276 51758697#0 51758697#1-AddedOnRampEdge 51758697#1 -gneE46.0 43357850.4841.18 -gneE45 -485017363 -43117585#0 12185366#0 12185366#2 12185366#3 12185366#4 12185366#5 12185366#7 12185366#9 387422145#0 -12157718#6 386995479#1 386995479#2 386995479#3 386995479#4 386995479#5 386995479#6 386995490#0.0 12154359#1.20 12154359#2 12154359#3 12154359#4 42706837#6 42706837#7 42706837#8 12155177#0 12175537#13 12172918#1 12172918#2 gneE73 gneE75.0 gneE80.125"/&gt;</v>
      </c>
      <c r="FN122" t="s">
        <v>2516</v>
      </c>
      <c r="FO122" t="s">
        <v>1210</v>
      </c>
      <c r="FP122" t="s">
        <v>2639</v>
      </c>
    </row>
    <row r="123" spans="3:172" x14ac:dyDescent="0.25">
      <c r="C123" t="s">
        <v>534</v>
      </c>
      <c r="D123" t="s">
        <v>403</v>
      </c>
      <c r="E123" t="s">
        <v>518</v>
      </c>
      <c r="G123" t="s">
        <v>984</v>
      </c>
      <c r="H123" t="s">
        <v>250</v>
      </c>
      <c r="I123" t="s">
        <v>967</v>
      </c>
      <c r="J123" t="s">
        <v>74</v>
      </c>
      <c r="K123" t="s">
        <v>74</v>
      </c>
      <c r="L123" t="s">
        <v>74</v>
      </c>
      <c r="M123" t="s">
        <v>74</v>
      </c>
      <c r="N123" t="s">
        <v>74</v>
      </c>
      <c r="O123" t="s">
        <v>74</v>
      </c>
      <c r="P123" t="s">
        <v>74</v>
      </c>
      <c r="Q123" t="s">
        <v>74</v>
      </c>
      <c r="R123" t="s">
        <v>697</v>
      </c>
      <c r="W123" t="s">
        <v>447</v>
      </c>
      <c r="X123" t="s">
        <v>380</v>
      </c>
      <c r="Y123" t="s">
        <v>1025</v>
      </c>
      <c r="Z123" t="s">
        <v>933</v>
      </c>
      <c r="AR123" t="s">
        <v>545</v>
      </c>
      <c r="AY123" t="s">
        <v>641</v>
      </c>
      <c r="BA123" t="s">
        <v>62</v>
      </c>
      <c r="BI123" t="s">
        <v>777</v>
      </c>
      <c r="BM123" t="s">
        <v>110</v>
      </c>
      <c r="BW123" t="s">
        <v>430</v>
      </c>
      <c r="BY123" t="s">
        <v>380</v>
      </c>
      <c r="BZ123" t="s">
        <v>380</v>
      </c>
      <c r="CA123" t="s">
        <v>380</v>
      </c>
      <c r="CK123" t="s">
        <v>617</v>
      </c>
      <c r="CQ123" t="s">
        <v>247</v>
      </c>
      <c r="CS123" t="s">
        <v>660</v>
      </c>
      <c r="CT123" t="s">
        <v>589</v>
      </c>
      <c r="CU123" t="s">
        <v>475</v>
      </c>
      <c r="CV123" t="s">
        <v>371</v>
      </c>
      <c r="DB123" t="s">
        <v>930</v>
      </c>
      <c r="DC123" t="s">
        <v>930</v>
      </c>
      <c r="DH123" t="s">
        <v>954</v>
      </c>
      <c r="DM123" t="s">
        <v>1057</v>
      </c>
      <c r="DN123" t="s">
        <v>1057</v>
      </c>
      <c r="EN123" t="s">
        <v>642</v>
      </c>
      <c r="FM123" t="str">
        <f t="shared" si="1"/>
        <v xml:space="preserve">    &lt;route id="Router3_122" edges="31909473.0 31909473.857 62634019#1-AddedOnRampEdge 62634019#1 62634019#2.0 62634019#2.242 62634019#3-AddedOnRampEdge 62634019#3 62634019#3-AddedOffRampEdge 30953251#1.0 30953251#1-AddedOffRampEdge 30953251#2.0 104526276-AddedOnRampEdge 104526276 51758697#0 51758697#1-AddedOnRampEdge 51758697#1 -gneE46.0 43357850.4841.18 -gneE45 -485017363 -43117585#0 42706797#0 -12171305#1 12178852#1 386995490#0.0 12154359#1.20 32121111#1 32121111#2 32121111#3 12152013#0 386995507#7 43357814#0 43357814#1 42706837#4 42706837#5 42706837#6 42706837#7 42706837#8 12155177#0 12175537#13 12172918#1 12172918#2 gneE73 gneE75.0 gneE80.125"/&gt;</v>
      </c>
      <c r="FN123" t="s">
        <v>2516</v>
      </c>
      <c r="FO123" t="s">
        <v>1211</v>
      </c>
      <c r="FP123" t="s">
        <v>2640</v>
      </c>
    </row>
    <row r="124" spans="3:172" x14ac:dyDescent="0.25">
      <c r="D124" t="s">
        <v>404</v>
      </c>
      <c r="E124" t="s">
        <v>519</v>
      </c>
      <c r="G124" t="s">
        <v>963</v>
      </c>
      <c r="H124" t="s">
        <v>709</v>
      </c>
      <c r="I124" t="s">
        <v>968</v>
      </c>
      <c r="J124" t="s">
        <v>861</v>
      </c>
      <c r="K124" t="s">
        <v>861</v>
      </c>
      <c r="L124" t="s">
        <v>861</v>
      </c>
      <c r="M124" t="s">
        <v>861</v>
      </c>
      <c r="N124" t="s">
        <v>861</v>
      </c>
      <c r="O124" t="s">
        <v>861</v>
      </c>
      <c r="P124" t="s">
        <v>861</v>
      </c>
      <c r="Q124" t="s">
        <v>861</v>
      </c>
      <c r="R124" t="s">
        <v>963</v>
      </c>
      <c r="W124" t="s">
        <v>448</v>
      </c>
      <c r="X124" t="s">
        <v>381</v>
      </c>
      <c r="Y124" t="s">
        <v>327</v>
      </c>
      <c r="Z124" t="s">
        <v>934</v>
      </c>
      <c r="AR124" t="s">
        <v>512</v>
      </c>
      <c r="AY124" t="s">
        <v>642</v>
      </c>
      <c r="BA124" t="s">
        <v>648</v>
      </c>
      <c r="BI124" t="s">
        <v>784</v>
      </c>
      <c r="BM124" t="s">
        <v>111</v>
      </c>
      <c r="BW124" t="s">
        <v>431</v>
      </c>
      <c r="BY124" t="s">
        <v>381</v>
      </c>
      <c r="BZ124" t="s">
        <v>381</v>
      </c>
      <c r="CA124" t="s">
        <v>381</v>
      </c>
      <c r="CK124" t="s">
        <v>618</v>
      </c>
      <c r="CQ124" t="s">
        <v>248</v>
      </c>
      <c r="CS124" t="s">
        <v>661</v>
      </c>
      <c r="CT124" t="s">
        <v>590</v>
      </c>
      <c r="CU124" t="s">
        <v>476</v>
      </c>
      <c r="CV124" t="s">
        <v>372</v>
      </c>
      <c r="DB124" t="s">
        <v>931</v>
      </c>
      <c r="DC124" t="s">
        <v>931</v>
      </c>
      <c r="DH124" t="s">
        <v>76</v>
      </c>
      <c r="DM124" t="s">
        <v>57</v>
      </c>
      <c r="DN124" t="s">
        <v>57</v>
      </c>
      <c r="EN124" t="s">
        <v>643</v>
      </c>
      <c r="FM124" t="str">
        <f t="shared" si="1"/>
        <v xml:space="preserve">    &lt;route id="Router3_123" edges="31909473.0 31909473.857 62634019#1-AddedOnRampEdge 62634019#1 62634019#2.0 62634019#2.242 62634019#3-AddedOnRampEdge 62634019#3 62634019#3-AddedOffRampEdge 30953251#1.0 30953251#1-AddedOffRampEdge 30953251#2.0 104526276-AddedOnRampEdge 104526276 51758697#0 51758697#1-AddedOnRampEdge 51758697#1 -gneE46.0 43357850.4841.18 gneE46 49887339#0.596 49887339#0-AddedOffRampEdge 49887339#1 49887339#1-AddedOffRampEdge 104524021 104524021-AddedOffRampEdge 50192637#0 50192637#1-AddedOnRampEdge 50192637#1.0.0 50192637#1.0.382.0.0 50192637#1.697 50192637#1-AddedOffRampEdge 30953181#1 30953181#2-AddedOnRampEdge 30953181#2 30953181#3-AddedOnRampEdge 30953181#3 30953181#3-AddedOffRampEdge 30952933#1.0 30952933#1.199"/&gt;</v>
      </c>
      <c r="FN124" t="s">
        <v>2516</v>
      </c>
      <c r="FO124" t="s">
        <v>1212</v>
      </c>
      <c r="FP124" t="s">
        <v>2641</v>
      </c>
    </row>
    <row r="125" spans="3:172" x14ac:dyDescent="0.25">
      <c r="D125" t="s">
        <v>979</v>
      </c>
      <c r="E125" t="s">
        <v>401</v>
      </c>
      <c r="G125" t="s">
        <v>964</v>
      </c>
      <c r="H125" t="s">
        <v>710</v>
      </c>
      <c r="I125" t="s">
        <v>880</v>
      </c>
      <c r="J125" t="s">
        <v>862</v>
      </c>
      <c r="K125" t="s">
        <v>862</v>
      </c>
      <c r="L125" t="s">
        <v>862</v>
      </c>
      <c r="M125" t="s">
        <v>862</v>
      </c>
      <c r="N125" t="s">
        <v>862</v>
      </c>
      <c r="O125" t="s">
        <v>862</v>
      </c>
      <c r="P125" t="s">
        <v>862</v>
      </c>
      <c r="Q125" t="s">
        <v>862</v>
      </c>
      <c r="R125" t="s">
        <v>964</v>
      </c>
      <c r="W125" t="s">
        <v>569</v>
      </c>
      <c r="X125" t="s">
        <v>382</v>
      </c>
      <c r="Y125" t="s">
        <v>1026</v>
      </c>
      <c r="Z125" t="s">
        <v>935</v>
      </c>
      <c r="AY125" t="s">
        <v>643</v>
      </c>
      <c r="BA125" t="s">
        <v>418</v>
      </c>
      <c r="BI125" t="s">
        <v>793</v>
      </c>
      <c r="BM125" t="s">
        <v>112</v>
      </c>
      <c r="BW125" t="s">
        <v>159</v>
      </c>
      <c r="BY125" t="s">
        <v>382</v>
      </c>
      <c r="BZ125" t="s">
        <v>382</v>
      </c>
      <c r="CA125" t="s">
        <v>382</v>
      </c>
      <c r="CK125" t="s">
        <v>619</v>
      </c>
      <c r="CQ125" t="s">
        <v>249</v>
      </c>
      <c r="CS125" t="s">
        <v>662</v>
      </c>
      <c r="CT125" t="s">
        <v>660</v>
      </c>
      <c r="CU125" t="s">
        <v>378</v>
      </c>
      <c r="CV125" t="s">
        <v>373</v>
      </c>
      <c r="DB125" t="s">
        <v>932</v>
      </c>
      <c r="DC125" t="s">
        <v>932</v>
      </c>
      <c r="DH125" t="s">
        <v>77</v>
      </c>
      <c r="DM125" t="s">
        <v>58</v>
      </c>
      <c r="DN125" t="s">
        <v>58</v>
      </c>
      <c r="EN125" t="s">
        <v>644</v>
      </c>
      <c r="FM125" t="str">
        <f t="shared" si="1"/>
        <v xml:space="preserve">    &lt;route id="Router3_124" edges="49887339#0.596 49887339#0-AddedOffRampEdge 12113482 424769007 -424769002 -30953391 -43569848 -393884751 12159702 424764853 12149178#0 50189796 50189564 12149178#2 145605533#0 145605533#1-AddedOnRampEdge 145605533#1 145605511#1-AddedOnRampEdge 145605511#12 145605511#1.148"/&gt;</v>
      </c>
      <c r="FN125" t="s">
        <v>2516</v>
      </c>
      <c r="FO125" t="s">
        <v>1213</v>
      </c>
      <c r="FP125" t="s">
        <v>2642</v>
      </c>
    </row>
    <row r="126" spans="3:172" x14ac:dyDescent="0.25">
      <c r="D126" t="s">
        <v>980</v>
      </c>
      <c r="E126" t="s">
        <v>402</v>
      </c>
      <c r="G126" t="s">
        <v>965</v>
      </c>
      <c r="H126" t="s">
        <v>252</v>
      </c>
      <c r="I126" t="s">
        <v>830</v>
      </c>
      <c r="J126" t="s">
        <v>593</v>
      </c>
      <c r="K126" t="s">
        <v>593</v>
      </c>
      <c r="L126" t="s">
        <v>593</v>
      </c>
      <c r="M126" t="s">
        <v>593</v>
      </c>
      <c r="N126" t="s">
        <v>593</v>
      </c>
      <c r="O126" t="s">
        <v>593</v>
      </c>
      <c r="P126" t="s">
        <v>593</v>
      </c>
      <c r="Q126" t="s">
        <v>593</v>
      </c>
      <c r="R126" t="s">
        <v>965</v>
      </c>
      <c r="W126" t="s">
        <v>721</v>
      </c>
      <c r="X126" t="s">
        <v>587</v>
      </c>
      <c r="Y126" t="s">
        <v>1027</v>
      </c>
      <c r="Z126" t="s">
        <v>751</v>
      </c>
      <c r="AY126" t="s">
        <v>644</v>
      </c>
      <c r="BA126" t="s">
        <v>419</v>
      </c>
      <c r="BI126" t="s">
        <v>638</v>
      </c>
      <c r="BM126" t="s">
        <v>113</v>
      </c>
      <c r="BW126" t="s">
        <v>160</v>
      </c>
      <c r="BY126" t="s">
        <v>587</v>
      </c>
      <c r="BZ126" t="s">
        <v>587</v>
      </c>
      <c r="CA126" t="s">
        <v>587</v>
      </c>
      <c r="CK126" t="s">
        <v>620</v>
      </c>
      <c r="CQ126" t="s">
        <v>250</v>
      </c>
      <c r="CS126" t="s">
        <v>663</v>
      </c>
      <c r="CT126" t="s">
        <v>661</v>
      </c>
      <c r="CU126" t="s">
        <v>379</v>
      </c>
      <c r="CV126" t="s">
        <v>374</v>
      </c>
      <c r="DB126" t="s">
        <v>933</v>
      </c>
      <c r="DC126" t="s">
        <v>933</v>
      </c>
      <c r="DH126" t="s">
        <v>211</v>
      </c>
      <c r="DM126" t="s">
        <v>59</v>
      </c>
      <c r="DN126" t="s">
        <v>59</v>
      </c>
      <c r="EN126" t="s">
        <v>44</v>
      </c>
      <c r="FM126" t="str">
        <f t="shared" si="1"/>
        <v xml:space="preserve">    &lt;route id="Router3_125" edges="49887339#0.596 49887339#0-AddedOffRampEdge 12113482 424769007 -424769002 -30953391 -43569848 -43569827#9 -43569827#6 -43569827#1 -43569827#0 28555332 387422130#1 132508717#0 12149210#1 12151897#1 196393941#6 196393941#7 196393941#8 gneE87 196393974#0 388756841#0 49914076#0 12159673#0 12159673#1 393884751 43569848 30953391 12113092 51758697#1-AddedOnRampEdge 51758697#1 -gneE46.0 43357850.4841.18 gneE46 49887339#0.596 49887339#0-AddedOffRampEdge 49887339#1 49887339#1-AddedOffRampEdge 104524021 104524021-AddedOffRampEdge 50192637#0 50192637#1-AddedOnRampEdge 50192637#1.0.0 50192637#1.0.382.0.0 50192637#1.697 50192637#1-AddedOffRampEdge 30953181#1 30953181#2-AddedOnRampEdge 30953181#2 30953181#3-AddedOnRampEdge 30953181#3 30953181#3-AddedOffRampEdge 30952933#1.0 30952933#1.199"/&gt;</v>
      </c>
      <c r="FN126" t="s">
        <v>2516</v>
      </c>
      <c r="FO126" t="s">
        <v>1214</v>
      </c>
      <c r="FP126" t="s">
        <v>2643</v>
      </c>
    </row>
    <row r="127" spans="3:172" x14ac:dyDescent="0.25">
      <c r="D127" t="s">
        <v>981</v>
      </c>
      <c r="E127" t="s">
        <v>403</v>
      </c>
      <c r="G127" t="s">
        <v>985</v>
      </c>
      <c r="H127" t="s">
        <v>253</v>
      </c>
      <c r="I127" t="s">
        <v>142</v>
      </c>
      <c r="J127" t="s">
        <v>747</v>
      </c>
      <c r="K127" t="s">
        <v>747</v>
      </c>
      <c r="L127" t="s">
        <v>747</v>
      </c>
      <c r="M127" t="s">
        <v>747</v>
      </c>
      <c r="N127" t="s">
        <v>747</v>
      </c>
      <c r="O127" t="s">
        <v>747</v>
      </c>
      <c r="P127" t="s">
        <v>747</v>
      </c>
      <c r="Q127" t="s">
        <v>747</v>
      </c>
      <c r="R127" t="s">
        <v>985</v>
      </c>
      <c r="W127" t="s">
        <v>449</v>
      </c>
      <c r="X127" t="s">
        <v>453</v>
      </c>
      <c r="Y127" t="s">
        <v>1028</v>
      </c>
      <c r="Z127" t="s">
        <v>542</v>
      </c>
      <c r="AY127" t="s">
        <v>44</v>
      </c>
      <c r="BA127" t="s">
        <v>943</v>
      </c>
      <c r="BI127" t="s">
        <v>639</v>
      </c>
      <c r="BM127" t="s">
        <v>114</v>
      </c>
      <c r="BW127" t="s">
        <v>161</v>
      </c>
      <c r="BY127" t="s">
        <v>453</v>
      </c>
      <c r="BZ127" t="s">
        <v>453</v>
      </c>
      <c r="CA127" t="s">
        <v>453</v>
      </c>
      <c r="CK127" t="s">
        <v>835</v>
      </c>
      <c r="CQ127" t="s">
        <v>709</v>
      </c>
      <c r="CS127" t="s">
        <v>1031</v>
      </c>
      <c r="CT127" t="s">
        <v>662</v>
      </c>
      <c r="CU127" t="s">
        <v>380</v>
      </c>
      <c r="CV127" t="s">
        <v>375</v>
      </c>
      <c r="DB127" t="s">
        <v>934</v>
      </c>
      <c r="DC127" t="s">
        <v>934</v>
      </c>
      <c r="DH127" t="s">
        <v>820</v>
      </c>
      <c r="DM127" t="s">
        <v>60</v>
      </c>
      <c r="DN127" t="s">
        <v>60</v>
      </c>
      <c r="EN127" t="s">
        <v>45</v>
      </c>
      <c r="FM127" t="str">
        <f t="shared" si="1"/>
        <v xml:space="preserve">    &lt;route id="Router3_126" edges="49887339#0.596 49887339#0-AddedOffRampEdge 12113482 424769007 -424769002 -30953391 -43569848 -43569827#9 -43569827#6 -43569827#1 -43569827#0 28555332 387422130#1 132508717#0 12149210#1 12151897#1 196393941#6 196393941#7 196393941#8 gneE87 196393974#0 388756841#0 49914076#0 12159673#0 12159673#1 393884751 43569848 30953391 424769002 424769005 424769006 424769004 30953396#1 -424769003#1 -424769003#0 -485017374 42706828#0 42706828#2 12182281#0 12185366#7 12185366#9 387422145#0 12157718#7 12157718#9 12157718#10 12157718#12 485017381#1 -30953396#1 -30953396#0 -424769006 -424769005 -424769002 -30953391 -43569848 -393884751 12159702 424764853 12149178#0 50189796 50189564 12149178#2 145605533#0 145605533#1-AddedOnRampEdge 145605533#1 145605511#1-AddedOnRampEdge 145605511#12 145605511#1.148"/&gt;</v>
      </c>
      <c r="FN127" t="s">
        <v>2516</v>
      </c>
      <c r="FO127" t="s">
        <v>1215</v>
      </c>
      <c r="FP127" t="s">
        <v>2644</v>
      </c>
    </row>
    <row r="128" spans="3:172" x14ac:dyDescent="0.25">
      <c r="D128" t="s">
        <v>884</v>
      </c>
      <c r="E128" t="s">
        <v>404</v>
      </c>
      <c r="G128" t="s">
        <v>986</v>
      </c>
      <c r="H128" t="s">
        <v>254</v>
      </c>
      <c r="I128" t="s">
        <v>143</v>
      </c>
      <c r="J128" t="s">
        <v>748</v>
      </c>
      <c r="K128" t="s">
        <v>748</v>
      </c>
      <c r="L128" t="s">
        <v>748</v>
      </c>
      <c r="M128" t="s">
        <v>748</v>
      </c>
      <c r="N128" t="s">
        <v>748</v>
      </c>
      <c r="O128" t="s">
        <v>748</v>
      </c>
      <c r="P128" t="s">
        <v>748</v>
      </c>
      <c r="Q128" t="s">
        <v>748</v>
      </c>
      <c r="R128" t="s">
        <v>986</v>
      </c>
      <c r="W128" t="s">
        <v>450</v>
      </c>
      <c r="X128" t="s">
        <v>454</v>
      </c>
      <c r="Y128" t="s">
        <v>1029</v>
      </c>
      <c r="Z128" t="s">
        <v>543</v>
      </c>
      <c r="AY128" t="s">
        <v>45</v>
      </c>
      <c r="BA128" t="s">
        <v>944</v>
      </c>
      <c r="BI128" t="s">
        <v>640</v>
      </c>
      <c r="BM128" t="s">
        <v>115</v>
      </c>
      <c r="BY128" t="s">
        <v>454</v>
      </c>
      <c r="BZ128" t="s">
        <v>454</v>
      </c>
      <c r="CA128" t="s">
        <v>454</v>
      </c>
      <c r="CK128" t="s">
        <v>836</v>
      </c>
      <c r="CQ128" t="s">
        <v>710</v>
      </c>
      <c r="CS128" t="s">
        <v>1032</v>
      </c>
      <c r="CT128" t="s">
        <v>663</v>
      </c>
      <c r="CU128" t="s">
        <v>381</v>
      </c>
      <c r="CV128" t="s">
        <v>573</v>
      </c>
      <c r="DB128" t="s">
        <v>935</v>
      </c>
      <c r="DC128" t="s">
        <v>935</v>
      </c>
      <c r="DH128" t="s">
        <v>260</v>
      </c>
      <c r="DM128" t="s">
        <v>61</v>
      </c>
      <c r="DN128" t="s">
        <v>61</v>
      </c>
      <c r="EN128" t="s">
        <v>489</v>
      </c>
      <c r="FM128" t="str">
        <f t="shared" si="1"/>
        <v xml:space="preserve">    &lt;route id="Router3_127" edges="49887339#0.596 49887339#0-AddedOffRampEdge 12113482 424769007 -424769002 -30953391 -43569848 -43569827#9 -43569827#6 -43569827#1 -43569827#0 28555332 43569816#0 49914076#0 12111949#0 43539384#1.0 424764853 12149178#0 12149178#1 12149178#2 50189577 62203295 145605533#1-AddedOnRampEdge 145605533#1 145605511#1-AddedOnRampEdge 145605511#12 145605511#1.148"/&gt;</v>
      </c>
      <c r="FN128" t="s">
        <v>2516</v>
      </c>
      <c r="FO128" t="s">
        <v>1216</v>
      </c>
      <c r="FP128" t="s">
        <v>2645</v>
      </c>
    </row>
    <row r="129" spans="4:172" x14ac:dyDescent="0.25">
      <c r="D129" t="s">
        <v>899</v>
      </c>
      <c r="E129" t="s">
        <v>405</v>
      </c>
      <c r="G129" t="s">
        <v>68</v>
      </c>
      <c r="H129" t="s">
        <v>255</v>
      </c>
      <c r="I129" t="s">
        <v>144</v>
      </c>
      <c r="J129" t="s">
        <v>749</v>
      </c>
      <c r="K129" t="s">
        <v>749</v>
      </c>
      <c r="L129" t="s">
        <v>749</v>
      </c>
      <c r="M129" t="s">
        <v>749</v>
      </c>
      <c r="N129" t="s">
        <v>749</v>
      </c>
      <c r="O129" t="s">
        <v>749</v>
      </c>
      <c r="P129" t="s">
        <v>749</v>
      </c>
      <c r="Q129" t="s">
        <v>749</v>
      </c>
      <c r="R129" t="s">
        <v>68</v>
      </c>
      <c r="W129" t="s">
        <v>760</v>
      </c>
      <c r="X129" t="s">
        <v>455</v>
      </c>
      <c r="Y129" t="s">
        <v>713</v>
      </c>
      <c r="Z129" t="s">
        <v>544</v>
      </c>
      <c r="BA129" t="s">
        <v>925</v>
      </c>
      <c r="BI129" t="s">
        <v>641</v>
      </c>
      <c r="BM129" t="s">
        <v>116</v>
      </c>
      <c r="BY129" t="s">
        <v>455</v>
      </c>
      <c r="BZ129" t="s">
        <v>455</v>
      </c>
      <c r="CA129" t="s">
        <v>455</v>
      </c>
      <c r="CK129" t="s">
        <v>426</v>
      </c>
      <c r="CQ129" t="s">
        <v>252</v>
      </c>
      <c r="CS129" t="s">
        <v>930</v>
      </c>
      <c r="CT129" t="s">
        <v>1031</v>
      </c>
      <c r="CU129" t="s">
        <v>382</v>
      </c>
      <c r="CV129" t="s">
        <v>532</v>
      </c>
      <c r="DB129" t="s">
        <v>751</v>
      </c>
      <c r="DC129" t="s">
        <v>701</v>
      </c>
      <c r="DH129" t="s">
        <v>108</v>
      </c>
      <c r="DM129" t="s">
        <v>62</v>
      </c>
      <c r="DN129" t="s">
        <v>62</v>
      </c>
      <c r="EN129" t="s">
        <v>120</v>
      </c>
      <c r="FM129" t="str">
        <f t="shared" si="1"/>
        <v xml:space="preserve">    &lt;route id="Router3_128" edges="49887339#0.596 49887339#0-AddedOffRampEdge 12113482 424769007 -424769002 -30953391 -43569848 -43569827#9 -43569827#6 -43569827#1 -43569827#0 28555332 43569816#0 49914076#0 12167196#0.0.0 424764853 12149178#0 12149178#1 12149178#2 145605533#0 145605533#1-AddedOnRampEdge 145605533#1 145605511#1-AddedOnRampEdge 145605511#12 145605511#1.148"/&gt;</v>
      </c>
      <c r="FN129" t="s">
        <v>2516</v>
      </c>
      <c r="FO129" t="s">
        <v>1217</v>
      </c>
      <c r="FP129" t="s">
        <v>2646</v>
      </c>
    </row>
    <row r="130" spans="4:172" x14ac:dyDescent="0.25">
      <c r="D130" t="s">
        <v>256</v>
      </c>
      <c r="E130" t="s">
        <v>406</v>
      </c>
      <c r="G130" t="s">
        <v>987</v>
      </c>
      <c r="H130" t="s">
        <v>256</v>
      </c>
      <c r="I130" t="s">
        <v>145</v>
      </c>
      <c r="J130" t="s">
        <v>750</v>
      </c>
      <c r="K130" t="s">
        <v>750</v>
      </c>
      <c r="L130" t="s">
        <v>750</v>
      </c>
      <c r="M130" t="s">
        <v>750</v>
      </c>
      <c r="N130" t="s">
        <v>750</v>
      </c>
      <c r="O130" t="s">
        <v>750</v>
      </c>
      <c r="P130" t="s">
        <v>750</v>
      </c>
      <c r="Q130" t="s">
        <v>984</v>
      </c>
      <c r="R130" t="s">
        <v>987</v>
      </c>
      <c r="W130" t="s">
        <v>240</v>
      </c>
      <c r="X130" t="s">
        <v>588</v>
      </c>
      <c r="Y130" t="s">
        <v>714</v>
      </c>
      <c r="Z130" t="s">
        <v>545</v>
      </c>
      <c r="BA130" t="s">
        <v>926</v>
      </c>
      <c r="BI130" t="s">
        <v>642</v>
      </c>
      <c r="BM130" t="s">
        <v>117</v>
      </c>
      <c r="BY130" t="s">
        <v>588</v>
      </c>
      <c r="BZ130" t="s">
        <v>588</v>
      </c>
      <c r="CA130" t="s">
        <v>588</v>
      </c>
      <c r="CK130" t="s">
        <v>427</v>
      </c>
      <c r="CQ130" t="s">
        <v>253</v>
      </c>
      <c r="CS130" t="s">
        <v>931</v>
      </c>
      <c r="CT130" t="s">
        <v>1032</v>
      </c>
      <c r="CU130" t="s">
        <v>587</v>
      </c>
      <c r="CV130" t="s">
        <v>574</v>
      </c>
      <c r="DB130" t="s">
        <v>542</v>
      </c>
      <c r="DC130" t="s">
        <v>702</v>
      </c>
      <c r="DH130" t="s">
        <v>109</v>
      </c>
      <c r="DM130" t="s">
        <v>648</v>
      </c>
      <c r="DN130" t="s">
        <v>648</v>
      </c>
      <c r="EN130" t="s">
        <v>121</v>
      </c>
      <c r="FM130" t="str">
        <f t="shared" si="1"/>
        <v xml:space="preserve">    &lt;route id="Router3_129" edges="49887339#0.596 49887339#0-AddedOffRampEdge 12113482 424769007 -424769002 -30953391 -43569848 -43569827#9 -43569827#6 -43569827#1 -43569827#0 28555332 43569816#0 49914076#0 12167196#0.0.0 424764853 43539372 424764852 12149417#0 12149417#2 12159135 291433360#0 388756841#0 49914076#0 12111949#0 43539384#1.0 424764853 43539372 12167183.0 gneE82 gneE56 gneE54.0 gneE62.13 gneE81.0 gneE6.0 424765883 43539378#0.15 43539378#1 -393884751 12159702 424764853 12149178#0 50189796 50189564 12149178#2 145605533#0 145605533#1-AddedOnRampEdge 145605533#1 145605511#1-AddedOnRampEdge 145605511#12 145605511#1.148"/&gt;</v>
      </c>
      <c r="FN130" t="s">
        <v>2516</v>
      </c>
      <c r="FO130" t="s">
        <v>1218</v>
      </c>
      <c r="FP130" t="s">
        <v>2647</v>
      </c>
    </row>
    <row r="131" spans="4:172" x14ac:dyDescent="0.25">
      <c r="D131" t="s">
        <v>257</v>
      </c>
      <c r="E131" t="s">
        <v>407</v>
      </c>
      <c r="G131" t="s">
        <v>615</v>
      </c>
      <c r="H131" t="s">
        <v>257</v>
      </c>
      <c r="I131" t="s">
        <v>146</v>
      </c>
      <c r="J131" t="s">
        <v>936</v>
      </c>
      <c r="K131" t="s">
        <v>936</v>
      </c>
      <c r="L131" t="s">
        <v>936</v>
      </c>
      <c r="M131" t="s">
        <v>936</v>
      </c>
      <c r="N131" t="s">
        <v>936</v>
      </c>
      <c r="O131" t="s">
        <v>936</v>
      </c>
      <c r="P131" t="s">
        <v>936</v>
      </c>
      <c r="Q131" t="s">
        <v>963</v>
      </c>
      <c r="R131" t="s">
        <v>615</v>
      </c>
      <c r="W131" t="s">
        <v>241</v>
      </c>
      <c r="X131" t="s">
        <v>589</v>
      </c>
      <c r="Y131" t="s">
        <v>715</v>
      </c>
      <c r="Z131" t="s">
        <v>512</v>
      </c>
      <c r="BA131" t="s">
        <v>927</v>
      </c>
      <c r="BI131" t="s">
        <v>643</v>
      </c>
      <c r="BM131" t="s">
        <v>118</v>
      </c>
      <c r="BY131" t="s">
        <v>589</v>
      </c>
      <c r="BZ131" t="s">
        <v>589</v>
      </c>
      <c r="CA131" t="s">
        <v>589</v>
      </c>
      <c r="CK131" t="s">
        <v>428</v>
      </c>
      <c r="CQ131" t="s">
        <v>254</v>
      </c>
      <c r="CS131" t="s">
        <v>932</v>
      </c>
      <c r="CT131" t="s">
        <v>930</v>
      </c>
      <c r="CU131" t="s">
        <v>453</v>
      </c>
      <c r="CV131" t="s">
        <v>278</v>
      </c>
      <c r="DB131" t="s">
        <v>543</v>
      </c>
      <c r="DC131" t="s">
        <v>703</v>
      </c>
      <c r="DH131" t="s">
        <v>110</v>
      </c>
      <c r="DM131" t="s">
        <v>418</v>
      </c>
      <c r="DN131" t="s">
        <v>418</v>
      </c>
      <c r="EN131" t="s">
        <v>122</v>
      </c>
      <c r="FM131" t="str">
        <f t="shared" ref="FM131:FM167" si="2">_xlfn.CONCAT(FN131,FO131,CHAR(34),FP131)</f>
        <v xml:space="preserve">    &lt;route id="Router3_130" edges="49887339#0.596 49887339#0-AddedOffRampEdge 12113482 424769007 -424769002 -30953391 -43569848 -43569827#9 -43569827#6 -43569827#1 -43569827#0 28555332 43569816#0 49914076#0 12167196#0.0.0 424764853 43539372 424764852 12149417#0 12149417#2 12159135 291433360#0 388756841#0 49914076#0 12111949#0 43539384#1.0 424764853 43539372 12167183.0 gneE82 gneE56 gneE54.0 gneE62.13 gneE81.0 gneE6.0 424765883 43539378#0.15 43539378#1 43569848 30953391 12113092 51758697#1-AddedOnRampEdge 51758697#1"/&gt;</v>
      </c>
      <c r="FN131" t="s">
        <v>2516</v>
      </c>
      <c r="FO131" t="s">
        <v>1219</v>
      </c>
      <c r="FP131" t="s">
        <v>2648</v>
      </c>
    </row>
    <row r="132" spans="4:172" x14ac:dyDescent="0.25">
      <c r="D132" t="s">
        <v>258</v>
      </c>
      <c r="E132" t="s">
        <v>43</v>
      </c>
      <c r="G132" t="s">
        <v>988</v>
      </c>
      <c r="H132" t="s">
        <v>258</v>
      </c>
      <c r="I132" t="s">
        <v>147</v>
      </c>
      <c r="J132" t="s">
        <v>1000</v>
      </c>
      <c r="K132" t="s">
        <v>1000</v>
      </c>
      <c r="L132" t="s">
        <v>1000</v>
      </c>
      <c r="M132" t="s">
        <v>1000</v>
      </c>
      <c r="N132" t="s">
        <v>1000</v>
      </c>
      <c r="O132" t="s">
        <v>1000</v>
      </c>
      <c r="P132" t="s">
        <v>1000</v>
      </c>
      <c r="Q132" t="s">
        <v>964</v>
      </c>
      <c r="R132" t="s">
        <v>616</v>
      </c>
      <c r="W132" t="s">
        <v>391</v>
      </c>
      <c r="X132" t="s">
        <v>590</v>
      </c>
      <c r="Y132" t="s">
        <v>1030</v>
      </c>
      <c r="BA132" t="s">
        <v>928</v>
      </c>
      <c r="BI132" t="s">
        <v>644</v>
      </c>
      <c r="BM132" t="s">
        <v>119</v>
      </c>
      <c r="BY132" t="s">
        <v>590</v>
      </c>
      <c r="BZ132" t="s">
        <v>590</v>
      </c>
      <c r="CA132" t="s">
        <v>590</v>
      </c>
      <c r="CK132" t="s">
        <v>156</v>
      </c>
      <c r="CQ132" t="s">
        <v>255</v>
      </c>
      <c r="CS132" t="s">
        <v>933</v>
      </c>
      <c r="CT132" t="s">
        <v>931</v>
      </c>
      <c r="CU132" t="s">
        <v>454</v>
      </c>
      <c r="CV132" t="s">
        <v>279</v>
      </c>
      <c r="DB132" t="s">
        <v>544</v>
      </c>
      <c r="DC132" t="s">
        <v>170</v>
      </c>
      <c r="DH132" t="s">
        <v>111</v>
      </c>
      <c r="DM132" t="s">
        <v>419</v>
      </c>
      <c r="DN132" t="s">
        <v>419</v>
      </c>
      <c r="EN132" t="s">
        <v>123</v>
      </c>
      <c r="FM132" t="str">
        <f t="shared" si="2"/>
        <v xml:space="preserve">    &lt;route id="Router3_131" edges="49887339#0.596 49887339#0-AddedOffRampEdge 12113482 424769007 -424769002 -30953391 -43569848 -43569827#9 -43569827#6 -43569827#1 -43569827#0 28555332 43569816#0 49914076#0 12167196#0.0.0 424764853 43539372 43539373#0.0.0 43539373#0.0.292.17 gneE58 gneE56 gneE54.0 gneE62.13 gneE81.0 gneE6.0 424765883 gneE87 196393957 132508433.0 -gneE6.0 gneE81.299.0 gneE81.299.79 gneE81.299.145 12178843#0 12178843#1 43539369#3 43539369#4 43539368#0 43570920#3 43570920#5 404615579 43569828#0 43539397#3 43569816#0 49914076#0 12167196#0.0.0 424764853 12149178#0 12149178#1 12149178#2 50189577 62203295 145605533#1-AddedOnRampEdge 145605533#1 145605511#1-AddedOnRampEdge 145605511#12 145605511#1.148"/&gt;</v>
      </c>
      <c r="FN132" t="s">
        <v>2516</v>
      </c>
      <c r="FO132" t="s">
        <v>1220</v>
      </c>
      <c r="FP132" t="s">
        <v>2649</v>
      </c>
    </row>
    <row r="133" spans="4:172" x14ac:dyDescent="0.25">
      <c r="E133" t="s">
        <v>44</v>
      </c>
      <c r="G133" t="s">
        <v>664</v>
      </c>
      <c r="I133" t="s">
        <v>148</v>
      </c>
      <c r="J133" t="s">
        <v>1001</v>
      </c>
      <c r="K133" t="s">
        <v>1001</v>
      </c>
      <c r="L133" t="s">
        <v>1001</v>
      </c>
      <c r="M133" t="s">
        <v>1001</v>
      </c>
      <c r="N133" t="s">
        <v>1001</v>
      </c>
      <c r="O133" t="s">
        <v>1001</v>
      </c>
      <c r="P133" t="s">
        <v>1001</v>
      </c>
      <c r="Q133" t="s">
        <v>965</v>
      </c>
      <c r="R133" t="s">
        <v>617</v>
      </c>
      <c r="W133" t="s">
        <v>731</v>
      </c>
      <c r="X133" t="s">
        <v>660</v>
      </c>
      <c r="Y133" t="s">
        <v>275</v>
      </c>
      <c r="BA133" t="s">
        <v>929</v>
      </c>
      <c r="BI133" t="s">
        <v>44</v>
      </c>
      <c r="BM133" t="s">
        <v>178</v>
      </c>
      <c r="BY133" t="s">
        <v>660</v>
      </c>
      <c r="BZ133" t="s">
        <v>660</v>
      </c>
      <c r="CA133" t="s">
        <v>660</v>
      </c>
      <c r="CK133" t="s">
        <v>157</v>
      </c>
      <c r="CQ133" t="s">
        <v>256</v>
      </c>
      <c r="CS133" t="s">
        <v>934</v>
      </c>
      <c r="CT133" t="s">
        <v>932</v>
      </c>
      <c r="CU133" t="s">
        <v>455</v>
      </c>
      <c r="CV133" t="s">
        <v>280</v>
      </c>
      <c r="DB133" t="s">
        <v>545</v>
      </c>
      <c r="DC133" t="s">
        <v>171</v>
      </c>
      <c r="DH133" t="s">
        <v>112</v>
      </c>
      <c r="DM133" t="s">
        <v>943</v>
      </c>
      <c r="DN133" t="s">
        <v>943</v>
      </c>
      <c r="EN133" t="s">
        <v>124</v>
      </c>
      <c r="FM133" t="str">
        <f t="shared" si="2"/>
        <v xml:space="preserve">    &lt;route id="Router3_132" edges="49887339#0.596 49887339#0-AddedOffRampEdge 12113482 424769007 -424769002 12113092 51758697#1-AddedOnRampEdge 51758697#1"/&gt;</v>
      </c>
      <c r="FN133" t="s">
        <v>2516</v>
      </c>
      <c r="FO133" t="s">
        <v>1221</v>
      </c>
      <c r="FP133" t="s">
        <v>2650</v>
      </c>
    </row>
    <row r="134" spans="4:172" x14ac:dyDescent="0.25">
      <c r="E134" t="s">
        <v>45</v>
      </c>
      <c r="G134" t="s">
        <v>64</v>
      </c>
      <c r="I134" t="s">
        <v>149</v>
      </c>
      <c r="J134" t="s">
        <v>1002</v>
      </c>
      <c r="K134" t="s">
        <v>1002</v>
      </c>
      <c r="L134" t="s">
        <v>1002</v>
      </c>
      <c r="M134" t="s">
        <v>1002</v>
      </c>
      <c r="N134" t="s">
        <v>1002</v>
      </c>
      <c r="O134" t="s">
        <v>1002</v>
      </c>
      <c r="P134" t="s">
        <v>1002</v>
      </c>
      <c r="Q134" t="s">
        <v>985</v>
      </c>
      <c r="R134" t="s">
        <v>618</v>
      </c>
      <c r="W134" t="s">
        <v>732</v>
      </c>
      <c r="X134" t="s">
        <v>661</v>
      </c>
      <c r="Y134" t="s">
        <v>276</v>
      </c>
      <c r="BA134" t="s">
        <v>10</v>
      </c>
      <c r="BI134" t="s">
        <v>45</v>
      </c>
      <c r="BM134" t="s">
        <v>233</v>
      </c>
      <c r="BY134" t="s">
        <v>661</v>
      </c>
      <c r="BZ134" t="s">
        <v>661</v>
      </c>
      <c r="CA134" t="s">
        <v>661</v>
      </c>
      <c r="CK134" t="s">
        <v>158</v>
      </c>
      <c r="CQ134" t="s">
        <v>257</v>
      </c>
      <c r="CS134" t="s">
        <v>935</v>
      </c>
      <c r="CT134" t="s">
        <v>933</v>
      </c>
      <c r="CU134" t="s">
        <v>588</v>
      </c>
      <c r="CV134" t="s">
        <v>281</v>
      </c>
      <c r="DB134" t="s">
        <v>512</v>
      </c>
      <c r="DC134" t="s">
        <v>627</v>
      </c>
      <c r="DH134" t="s">
        <v>113</v>
      </c>
      <c r="DM134" t="s">
        <v>944</v>
      </c>
      <c r="DN134" t="s">
        <v>944</v>
      </c>
      <c r="EN134" t="s">
        <v>125</v>
      </c>
      <c r="FM134" t="str">
        <f t="shared" si="2"/>
        <v xml:space="preserve">    &lt;route id="Router3_133" edges="49887339#0.596 49887339#0-AddedOffRampEdge 12113482 424769007 424769005 424769006 424769004 30953396#1 -30953396#1 -30953396#0 -424769006 -424769005 -424769002 12113092 51758697#1-AddedOnRampEdge 51758697#1"/&gt;</v>
      </c>
      <c r="FN134" t="s">
        <v>2516</v>
      </c>
      <c r="FO134" t="s">
        <v>1222</v>
      </c>
      <c r="FP134" t="s">
        <v>2651</v>
      </c>
    </row>
    <row r="135" spans="4:172" x14ac:dyDescent="0.25">
      <c r="G135" t="s">
        <v>928</v>
      </c>
      <c r="I135" t="s">
        <v>997</v>
      </c>
      <c r="J135" t="s">
        <v>1003</v>
      </c>
      <c r="K135" t="s">
        <v>1003</v>
      </c>
      <c r="L135" t="s">
        <v>1003</v>
      </c>
      <c r="M135" t="s">
        <v>1003</v>
      </c>
      <c r="N135" t="s">
        <v>1003</v>
      </c>
      <c r="O135" t="s">
        <v>1003</v>
      </c>
      <c r="P135" t="s">
        <v>1003</v>
      </c>
      <c r="Q135" t="s">
        <v>986</v>
      </c>
      <c r="R135" t="s">
        <v>619</v>
      </c>
      <c r="W135" t="s">
        <v>733</v>
      </c>
      <c r="X135" t="s">
        <v>662</v>
      </c>
      <c r="Y135" t="s">
        <v>277</v>
      </c>
      <c r="BA135" t="s">
        <v>11</v>
      </c>
      <c r="BM135" t="s">
        <v>234</v>
      </c>
      <c r="BY135" t="s">
        <v>662</v>
      </c>
      <c r="BZ135" t="s">
        <v>662</v>
      </c>
      <c r="CA135" t="s">
        <v>662</v>
      </c>
      <c r="CK135" t="s">
        <v>159</v>
      </c>
      <c r="CQ135" t="s">
        <v>258</v>
      </c>
      <c r="CS135" t="s">
        <v>751</v>
      </c>
      <c r="CT135" t="s">
        <v>934</v>
      </c>
      <c r="CU135" t="s">
        <v>589</v>
      </c>
      <c r="CV135" t="s">
        <v>282</v>
      </c>
      <c r="DC135" t="s">
        <v>628</v>
      </c>
      <c r="DH135" t="s">
        <v>114</v>
      </c>
      <c r="DM135" t="s">
        <v>925</v>
      </c>
      <c r="DN135" t="s">
        <v>925</v>
      </c>
      <c r="EN135" t="s">
        <v>126</v>
      </c>
      <c r="FM135" t="str">
        <f t="shared" si="2"/>
        <v xml:space="preserve">    &lt;route id="Router3_134" edges="49887339#0.596 49887339#0-AddedOffRampEdge 12113482 424769007 424769005 424769006 424769004 30953396#1 -30953396#1 30953396#1 -424769003#1 -424769003#0 -485017374 42706828#0 310315797#4 310315797#5 12172067 486653633#2 486653633#3 42706828#4 42706828#6 42706828#7 12152033 12185366#3 12185366#4 12185366#5 12182281#3 386995479#4 386995479#5 12161358#11 12171305#0 12171305#1 42706797#2 42706797#4.13 42706797#5 387422148#0 -386995521#3 -386995521#2 12154359#3 12154359#4 12154359#5 -12175537#9 -12175537#8 -12175537#7 12152013#3 12167232#3 386995531#0 12154359#7 101350669 386995545#0 386995545#2 gneE41 gneE80.0 gneE80.125"/&gt;</v>
      </c>
      <c r="FN135" t="s">
        <v>2516</v>
      </c>
      <c r="FO135" t="s">
        <v>1223</v>
      </c>
      <c r="FP135" t="s">
        <v>2652</v>
      </c>
    </row>
    <row r="136" spans="4:172" x14ac:dyDescent="0.25">
      <c r="G136" t="s">
        <v>989</v>
      </c>
      <c r="I136" t="s">
        <v>998</v>
      </c>
      <c r="J136" t="s">
        <v>1004</v>
      </c>
      <c r="K136" t="s">
        <v>1004</v>
      </c>
      <c r="L136" t="s">
        <v>1004</v>
      </c>
      <c r="M136" t="s">
        <v>1004</v>
      </c>
      <c r="N136" t="s">
        <v>1004</v>
      </c>
      <c r="O136" t="s">
        <v>1004</v>
      </c>
      <c r="P136" t="s">
        <v>1004</v>
      </c>
      <c r="Q136" t="s">
        <v>68</v>
      </c>
      <c r="R136" t="s">
        <v>620</v>
      </c>
      <c r="W136" t="s">
        <v>734</v>
      </c>
      <c r="X136" t="s">
        <v>663</v>
      </c>
      <c r="Y136" t="s">
        <v>370</v>
      </c>
      <c r="BA136" t="s">
        <v>68</v>
      </c>
      <c r="BM136" t="s">
        <v>1033</v>
      </c>
      <c r="BY136" t="s">
        <v>663</v>
      </c>
      <c r="BZ136" t="s">
        <v>663</v>
      </c>
      <c r="CA136" t="s">
        <v>663</v>
      </c>
      <c r="CK136" t="s">
        <v>160</v>
      </c>
      <c r="CS136" t="s">
        <v>542</v>
      </c>
      <c r="CT136" t="s">
        <v>935</v>
      </c>
      <c r="CU136" t="s">
        <v>590</v>
      </c>
      <c r="CV136" t="s">
        <v>283</v>
      </c>
      <c r="DC136" t="s">
        <v>75</v>
      </c>
      <c r="DH136" t="s">
        <v>115</v>
      </c>
      <c r="DM136" t="s">
        <v>926</v>
      </c>
      <c r="DN136" t="s">
        <v>926</v>
      </c>
      <c r="EN136" t="s">
        <v>127</v>
      </c>
      <c r="FM136" t="str">
        <f t="shared" si="2"/>
        <v xml:space="preserve">    &lt;route id="Router3_135" edges="49887339#0.596 49887339#0-AddedOffRampEdge 12113482 424769007 424769005 424769006 424769004 30953396#1 -30953396#1 30953396#1 -424769003#1 -424769003#0 12157002#0 12157002#1 12157002#3 12157002#5 12114396#4 -12156992#10 -12156992#8 -12156992#7 -12156992#6 -12156992#5 -12156992#4 -12156992#3 -12156992#2 -12156992#1 -386547297#1 -424080772#2 -424080772#1 -262962065#1 -262962063 -424080764 -424080768#1 -424080766 -104526265#1 -262962068#1 -424080774 -32122059#1 -32122059#0 -196393940#2 -196393940#0"/&gt;</v>
      </c>
      <c r="FN136" t="s">
        <v>2516</v>
      </c>
      <c r="FO136" t="s">
        <v>1224</v>
      </c>
      <c r="FP136" t="s">
        <v>2653</v>
      </c>
    </row>
    <row r="137" spans="4:172" x14ac:dyDescent="0.25">
      <c r="G137" t="s">
        <v>990</v>
      </c>
      <c r="I137" t="s">
        <v>421</v>
      </c>
      <c r="J137" t="s">
        <v>1005</v>
      </c>
      <c r="K137" t="s">
        <v>1005</v>
      </c>
      <c r="L137" t="s">
        <v>1005</v>
      </c>
      <c r="M137" t="s">
        <v>1005</v>
      </c>
      <c r="N137" t="s">
        <v>1005</v>
      </c>
      <c r="O137" t="s">
        <v>1005</v>
      </c>
      <c r="P137" t="s">
        <v>1005</v>
      </c>
      <c r="Q137" t="s">
        <v>987</v>
      </c>
      <c r="R137" t="s">
        <v>835</v>
      </c>
      <c r="W137" t="s">
        <v>735</v>
      </c>
      <c r="X137" t="s">
        <v>1031</v>
      </c>
      <c r="Y137" t="s">
        <v>371</v>
      </c>
      <c r="BA137" t="s">
        <v>69</v>
      </c>
      <c r="BM137" t="s">
        <v>534</v>
      </c>
      <c r="BY137" t="s">
        <v>1031</v>
      </c>
      <c r="BZ137" t="s">
        <v>1031</v>
      </c>
      <c r="CA137" t="s">
        <v>1031</v>
      </c>
      <c r="CK137" t="s">
        <v>161</v>
      </c>
      <c r="CS137" t="s">
        <v>543</v>
      </c>
      <c r="CT137" t="s">
        <v>751</v>
      </c>
      <c r="CU137" t="s">
        <v>660</v>
      </c>
      <c r="CV137" t="s">
        <v>579</v>
      </c>
      <c r="DC137" t="s">
        <v>768</v>
      </c>
      <c r="DH137" t="s">
        <v>116</v>
      </c>
      <c r="DM137" t="s">
        <v>927</v>
      </c>
      <c r="DN137" t="s">
        <v>927</v>
      </c>
      <c r="EN137" t="s">
        <v>128</v>
      </c>
      <c r="FM137" t="str">
        <f t="shared" si="2"/>
        <v xml:space="preserve">    &lt;route id="Router3_136" edges="49887339#0.596 49887339#0-AddedOffRampEdge 12113482 424769007 424769005 424769006 424769004 30953396#1 -30953396#1 30953396#1 -424769003#1 -424769003#0 12157002#0 12157002#1 12157002#3 12157002#5 12114396#4 -12156992#10 -12156992#8 -12156992#7 -12156992#6 -12156992#5 -12156992#4 -12156992#3 -12156992#2 -12156992#1 -386547297#1 -424080772#2 -424080772#1 -262962065#1 -262962063 -424080764 -424080768#1 -424080766 -104526265#1 450844956#2 12189453#0.0.0 450844982#0.19 62203497#0 62203497#2 62203497#3 12134479#1 34685684#0 34685684#2 450844947#0 388533142#0 388533142#2 388533142#4 62623926#0 62623926#1 450844950#0 12189453#0.0.0 450844982#0.19 62203497#0 62203497#2 62203497#3 12134479#1 34685684#0 34685684#2 388533143#0 388533143#2 12140627#0 63060729#0 -264253834#2 12156992#4 12156992#5 12156992#6 12156992#7 12156992#8 12156992#9 484953505 12148522#0 485017381#0 485017381#1 -30953396#1 -30953396#0 -424769006 -424769005 -424769002 -30953391 -43569848 -393884751 12159702 424764853 12149178#0 50189796 50189564 12149178#2 145605533#0 145605533#1-AddedOnRampEdge 145605533#1 145605511#1-AddedOnRampEdge 145605511#12 145605511#1.148"/&gt;</v>
      </c>
      <c r="FN137" t="s">
        <v>2516</v>
      </c>
      <c r="FO137" t="s">
        <v>1225</v>
      </c>
      <c r="FP137" t="s">
        <v>2654</v>
      </c>
    </row>
    <row r="138" spans="4:172" x14ac:dyDescent="0.25">
      <c r="G138" t="s">
        <v>991</v>
      </c>
      <c r="I138" t="s">
        <v>422</v>
      </c>
      <c r="J138" t="s">
        <v>1006</v>
      </c>
      <c r="K138" t="s">
        <v>985</v>
      </c>
      <c r="L138" t="s">
        <v>985</v>
      </c>
      <c r="M138" t="s">
        <v>985</v>
      </c>
      <c r="N138" t="s">
        <v>985</v>
      </c>
      <c r="O138" t="s">
        <v>985</v>
      </c>
      <c r="P138" t="s">
        <v>985</v>
      </c>
      <c r="Q138" t="s">
        <v>615</v>
      </c>
      <c r="R138" t="s">
        <v>836</v>
      </c>
      <c r="W138" t="s">
        <v>736</v>
      </c>
      <c r="X138" t="s">
        <v>1032</v>
      </c>
      <c r="Y138" t="s">
        <v>531</v>
      </c>
      <c r="BA138" t="s">
        <v>70</v>
      </c>
      <c r="BY138" t="s">
        <v>1032</v>
      </c>
      <c r="BZ138" t="s">
        <v>1032</v>
      </c>
      <c r="CA138" t="s">
        <v>1032</v>
      </c>
      <c r="CS138" t="s">
        <v>544</v>
      </c>
      <c r="CT138" t="s">
        <v>542</v>
      </c>
      <c r="CU138" t="s">
        <v>661</v>
      </c>
      <c r="CV138" t="s">
        <v>580</v>
      </c>
      <c r="DC138" t="s">
        <v>769</v>
      </c>
      <c r="DH138" t="s">
        <v>117</v>
      </c>
      <c r="DM138" t="s">
        <v>928</v>
      </c>
      <c r="DN138" t="s">
        <v>928</v>
      </c>
      <c r="EN138" t="s">
        <v>129</v>
      </c>
      <c r="FM138" t="str">
        <f t="shared" si="2"/>
        <v xml:space="preserve">    &lt;route id="Router3_137" edges="49887339#0.596 49887339#0-AddedOffRampEdge 49887339#1 49887339#1-AddedOffRampEdge 104524021 104524021-AddedOffRampEdge 12158873 121643865#0 12110705 50715233#0 50715233#0-AddedOffRampEdge 50715233#1.0 62203285#14.24 gneE59.30.0.55 gneE59.30.0.0 43539373#0.0.292.17 gneE58 gneE56 gneE54.0 62203360#0 291433361#0 132508433.0 -gneE6.0 gneE6.0 424765883 43539378#0.15 132508717#5 196393974#0 49914077 424767578 387422130#1 132508717#0 12149210#1 12151897#1 196393941#6 196393941#7 196393941#8 gneE87 196393974#0 388756841#0 49914076#0 12159673#0 12159673#1 393884751 43569848 30953391 12113092 51758697#1-AddedOnRampEdge 51758697#1"/&gt;</v>
      </c>
      <c r="FN138" t="s">
        <v>2516</v>
      </c>
      <c r="FO138" t="s">
        <v>1226</v>
      </c>
      <c r="FP138" t="s">
        <v>2655</v>
      </c>
    </row>
    <row r="139" spans="4:172" x14ac:dyDescent="0.25">
      <c r="G139" t="s">
        <v>946</v>
      </c>
      <c r="I139" t="s">
        <v>423</v>
      </c>
      <c r="J139" t="s">
        <v>1007</v>
      </c>
      <c r="K139" t="s">
        <v>986</v>
      </c>
      <c r="L139" t="s">
        <v>986</v>
      </c>
      <c r="M139" t="s">
        <v>986</v>
      </c>
      <c r="N139" t="s">
        <v>986</v>
      </c>
      <c r="O139" t="s">
        <v>986</v>
      </c>
      <c r="P139" t="s">
        <v>986</v>
      </c>
      <c r="Q139" t="s">
        <v>616</v>
      </c>
      <c r="R139" t="s">
        <v>426</v>
      </c>
      <c r="W139" t="s">
        <v>46</v>
      </c>
      <c r="X139" t="s">
        <v>930</v>
      </c>
      <c r="Y139" t="s">
        <v>532</v>
      </c>
      <c r="BA139" t="s">
        <v>71</v>
      </c>
      <c r="BY139" t="s">
        <v>930</v>
      </c>
      <c r="BZ139" t="s">
        <v>930</v>
      </c>
      <c r="CA139" t="s">
        <v>930</v>
      </c>
      <c r="CS139" t="s">
        <v>545</v>
      </c>
      <c r="CT139" t="s">
        <v>543</v>
      </c>
      <c r="CU139" t="s">
        <v>662</v>
      </c>
      <c r="CV139" t="s">
        <v>581</v>
      </c>
      <c r="DC139" t="s">
        <v>632</v>
      </c>
      <c r="DH139" t="s">
        <v>118</v>
      </c>
      <c r="DM139" t="s">
        <v>929</v>
      </c>
      <c r="DN139" t="s">
        <v>929</v>
      </c>
      <c r="EN139" t="s">
        <v>130</v>
      </c>
      <c r="FM139" t="str">
        <f t="shared" si="2"/>
        <v xml:space="preserve">    &lt;route id="Router3_138" edges="49887339#0.596 49887339#0-AddedOffRampEdge 49887339#1 49887339#1-AddedOffRampEdge 104524021 104524021-AddedOffRampEdge 12158873 121643865#0 12110705 50715233#0 50715233#0-AddedOffRampEdge 50715233#1.0 62203285#14.24 gneE59.30.0.55 gneE59.30.0.0 43539373#0.0.292.17 gneE58 gneE56 gneE54.0 62203360#0 291433361#0 132508433.0 -gneE6.0 gneE6.0 424765883 43570920#0.22 132508717#4 43539378#1 43569848 30953391 12113092 51758697#1-AddedOnRampEdge 51758697#1"/&gt;</v>
      </c>
      <c r="FN139" t="s">
        <v>2516</v>
      </c>
      <c r="FO139" t="s">
        <v>1227</v>
      </c>
      <c r="FP139" t="s">
        <v>2656</v>
      </c>
    </row>
    <row r="140" spans="4:172" x14ac:dyDescent="0.25">
      <c r="G140" t="s">
        <v>992</v>
      </c>
      <c r="I140" t="s">
        <v>424</v>
      </c>
      <c r="J140" t="s">
        <v>1008</v>
      </c>
      <c r="K140" t="s">
        <v>68</v>
      </c>
      <c r="L140" t="s">
        <v>68</v>
      </c>
      <c r="M140" t="s">
        <v>68</v>
      </c>
      <c r="N140" t="s">
        <v>68</v>
      </c>
      <c r="O140" t="s">
        <v>68</v>
      </c>
      <c r="P140" t="s">
        <v>68</v>
      </c>
      <c r="Q140" t="s">
        <v>617</v>
      </c>
      <c r="R140" t="s">
        <v>427</v>
      </c>
      <c r="W140" t="s">
        <v>47</v>
      </c>
      <c r="X140" t="s">
        <v>931</v>
      </c>
      <c r="Y140" t="s">
        <v>574</v>
      </c>
      <c r="BA140" t="s">
        <v>591</v>
      </c>
      <c r="BY140" t="s">
        <v>931</v>
      </c>
      <c r="BZ140" t="s">
        <v>931</v>
      </c>
      <c r="CA140" t="s">
        <v>931</v>
      </c>
      <c r="CS140" t="s">
        <v>512</v>
      </c>
      <c r="CT140" t="s">
        <v>544</v>
      </c>
      <c r="CU140" t="s">
        <v>663</v>
      </c>
      <c r="CV140" t="s">
        <v>582</v>
      </c>
      <c r="DC140" t="s">
        <v>633</v>
      </c>
      <c r="DH140" t="s">
        <v>119</v>
      </c>
      <c r="DM140" t="s">
        <v>10</v>
      </c>
      <c r="DN140" t="s">
        <v>10</v>
      </c>
      <c r="EN140" t="s">
        <v>131</v>
      </c>
      <c r="FM140" t="str">
        <f t="shared" si="2"/>
        <v xml:space="preserve">    &lt;route id="Router3_139" edges="49887339#0.596 49887339#0-AddedOffRampEdge 49887339#1 49887339#1-AddedOffRampEdge 104524021 104524021-AddedOffRampEdge 12158873 121643865#0 12110705 50715233#0 50715233#0-AddedOffRampEdge 50715233#1.0 62203285#14.24 gneE59.30.0.55 gneE59.30.0.0 43539373#0.0.292.17 gneE58 gneE56 gneE54.0 gneE62.13 gneE81.0 gneE6.0 424765883 43539378#0.15 43539378#1 -393884751 12159702 424764853 12149178#0 50189796 50189564 12149178#2 145605533#0 145605533#1-AddedOnRampEdge 145605533#1 145605511#1-AddedOnRampEdge 145605511#12 145605511#1.148"/&gt;</v>
      </c>
      <c r="FN140" t="s">
        <v>2516</v>
      </c>
      <c r="FO140" t="s">
        <v>1228</v>
      </c>
      <c r="FP140" t="s">
        <v>2657</v>
      </c>
    </row>
    <row r="141" spans="4:172" x14ac:dyDescent="0.25">
      <c r="G141" t="s">
        <v>624</v>
      </c>
      <c r="I141" t="s">
        <v>425</v>
      </c>
      <c r="J141" t="s">
        <v>698</v>
      </c>
      <c r="K141" t="s">
        <v>987</v>
      </c>
      <c r="L141" t="s">
        <v>987</v>
      </c>
      <c r="M141" t="s">
        <v>987</v>
      </c>
      <c r="N141" t="s">
        <v>987</v>
      </c>
      <c r="O141" t="s">
        <v>987</v>
      </c>
      <c r="P141" t="s">
        <v>987</v>
      </c>
      <c r="Q141" t="s">
        <v>618</v>
      </c>
      <c r="R141" t="s">
        <v>428</v>
      </c>
      <c r="W141" t="s">
        <v>48</v>
      </c>
      <c r="X141" t="s">
        <v>932</v>
      </c>
      <c r="Y141" t="s">
        <v>278</v>
      </c>
      <c r="BA141" t="s">
        <v>592</v>
      </c>
      <c r="BY141" t="s">
        <v>932</v>
      </c>
      <c r="BZ141" t="s">
        <v>932</v>
      </c>
      <c r="CA141" t="s">
        <v>932</v>
      </c>
      <c r="CT141" t="s">
        <v>545</v>
      </c>
      <c r="CU141" t="s">
        <v>1031</v>
      </c>
      <c r="CV141" t="s">
        <v>583</v>
      </c>
      <c r="DC141" t="s">
        <v>763</v>
      </c>
      <c r="DH141" t="s">
        <v>178</v>
      </c>
      <c r="DM141" t="s">
        <v>11</v>
      </c>
      <c r="DN141" t="s">
        <v>11</v>
      </c>
      <c r="EN141" t="s">
        <v>132</v>
      </c>
      <c r="FM141" t="str">
        <f t="shared" si="2"/>
        <v xml:space="preserve">    &lt;route id="Router3_140" edges="49887339#0.596 49887339#0-AddedOffRampEdge 49887339#1 49887339#1-AddedOffRampEdge 104524021 104524021-AddedOffRampEdge 12158873 121643865#0 12110705 50715233#0 50715233#0-AddedOffRampEdge 50715233#1.0 62203285#14.24 gneE59.30.0.55 gneE59.30.0.0 43539373#0.0.292.17 gneE58 gneE56 gneE54.0 gneE62.13 gneE81.0 gneE81.299.0 gneE81.299.79 gneE81.299.145 12178843#0 12178843#1 43539369#3 43539369#4 43539368#0 43570920#3 43570920#5 404615579 43569828#0 43539397#3 43569816#0 49914076#0 12167196#0.0.0 424764853 12149178#0 12149178#1 12149178#2 50189577 62203295 145605533#1-AddedOnRampEdge 145605533#1 145605511#1-AddedOnRampEdge 145605511#12 145605511#1.148"/&gt;</v>
      </c>
      <c r="FN141" t="s">
        <v>2516</v>
      </c>
      <c r="FO141" t="s">
        <v>1229</v>
      </c>
      <c r="FP141" t="s">
        <v>2658</v>
      </c>
    </row>
    <row r="142" spans="4:172" x14ac:dyDescent="0.25">
      <c r="G142" t="s">
        <v>625</v>
      </c>
      <c r="I142" t="s">
        <v>654</v>
      </c>
      <c r="J142" t="s">
        <v>699</v>
      </c>
      <c r="K142" t="s">
        <v>615</v>
      </c>
      <c r="L142" t="s">
        <v>615</v>
      </c>
      <c r="M142" t="s">
        <v>615</v>
      </c>
      <c r="N142" t="s">
        <v>615</v>
      </c>
      <c r="O142" t="s">
        <v>615</v>
      </c>
      <c r="P142" t="s">
        <v>615</v>
      </c>
      <c r="Q142" t="s">
        <v>619</v>
      </c>
      <c r="R142" t="s">
        <v>156</v>
      </c>
      <c r="W142" t="s">
        <v>49</v>
      </c>
      <c r="X142" t="s">
        <v>933</v>
      </c>
      <c r="Y142" t="s">
        <v>279</v>
      </c>
      <c r="BA142" t="s">
        <v>172</v>
      </c>
      <c r="BY142" t="s">
        <v>933</v>
      </c>
      <c r="BZ142" t="s">
        <v>933</v>
      </c>
      <c r="CA142" t="s">
        <v>933</v>
      </c>
      <c r="CT142" t="s">
        <v>512</v>
      </c>
      <c r="CU142" t="s">
        <v>1032</v>
      </c>
      <c r="CV142" t="s">
        <v>584</v>
      </c>
      <c r="DC142" t="s">
        <v>242</v>
      </c>
      <c r="DH142" t="s">
        <v>233</v>
      </c>
      <c r="DM142" t="s">
        <v>68</v>
      </c>
      <c r="DN142" t="s">
        <v>68</v>
      </c>
      <c r="EN142" t="s">
        <v>133</v>
      </c>
      <c r="FM142" t="str">
        <f t="shared" si="2"/>
        <v xml:space="preserve">    &lt;route id="Router3_141" edges="49887339#0.596 49887339#0-AddedOffRampEdge 49887339#1 49887339#1-AddedOffRampEdge 104524021 104524021-AddedOffRampEdge 12158873 121643865#0 12110705 50715233#0 50715233#0-AddedOffRampEdge 50715233#1.0 62203285#14.24 gneE59.30.0.55 gneE59.30.0.0 gneE59.0.0 gneE59.0.12 62203360#0 12159135 291433360#0 388756841#0 49914076#0 12111949#0 43539384#1.0 424764853 43539372 12167183.0 gneE82 gneE56 gneE54.0 gneE62.13 gneE81.0 gneE6.0 424765883 43539378#0.15 43539378#1 -393884751 12159702 424764853 12149178#0 50189796 50189564 12149178#2 145605533#0 145605533#1-AddedOnRampEdge 145605533#1 145605511#1-AddedOnRampEdge 145605511#12 145605511#1.148"/&gt;</v>
      </c>
      <c r="FN142" t="s">
        <v>2516</v>
      </c>
      <c r="FO142" t="s">
        <v>1230</v>
      </c>
      <c r="FP142" t="s">
        <v>2659</v>
      </c>
    </row>
    <row r="143" spans="4:172" x14ac:dyDescent="0.25">
      <c r="G143" t="s">
        <v>993</v>
      </c>
      <c r="I143" t="s">
        <v>837</v>
      </c>
      <c r="J143" t="s">
        <v>700</v>
      </c>
      <c r="K143" t="s">
        <v>616</v>
      </c>
      <c r="L143" t="s">
        <v>616</v>
      </c>
      <c r="M143" t="s">
        <v>616</v>
      </c>
      <c r="N143" t="s">
        <v>616</v>
      </c>
      <c r="O143" t="s">
        <v>616</v>
      </c>
      <c r="P143" t="s">
        <v>616</v>
      </c>
      <c r="Q143" t="s">
        <v>620</v>
      </c>
      <c r="R143" t="s">
        <v>157</v>
      </c>
      <c r="W143" t="s">
        <v>50</v>
      </c>
      <c r="X143" t="s">
        <v>934</v>
      </c>
      <c r="Y143" t="s">
        <v>280</v>
      </c>
      <c r="BA143" t="s">
        <v>173</v>
      </c>
      <c r="BY143" t="s">
        <v>934</v>
      </c>
      <c r="BZ143" t="s">
        <v>934</v>
      </c>
      <c r="CA143" t="s">
        <v>934</v>
      </c>
      <c r="CU143" t="s">
        <v>930</v>
      </c>
      <c r="CV143" t="s">
        <v>585</v>
      </c>
      <c r="DC143" t="s">
        <v>243</v>
      </c>
      <c r="DH143" t="s">
        <v>239</v>
      </c>
      <c r="DM143" t="s">
        <v>69</v>
      </c>
      <c r="DN143" t="s">
        <v>69</v>
      </c>
      <c r="EN143" t="s">
        <v>134</v>
      </c>
      <c r="FM143" t="str">
        <f t="shared" si="2"/>
        <v xml:space="preserve">    &lt;route id="Router3_142" edges="49887339#0.596 49887339#0-AddedOffRampEdge 49887339#1 49887339#1-AddedOffRampEdge 104524021 104524021-AddedOffRampEdge 12158873 121643865#0 12110705 50715233#0 50715233#0-AddedOffRampEdge 50715233#1.0 62203285#14.24 gneE59.30.0.55 gneE59.30.0.0 gneE59.0.0 gneE59.0.12 62203360#0 12159135 291433360#0 388756841#0 49914076#0 12111949#0 43539384#1.0 424764853 43539372 12167183.0 gneE82 gneE56 gneE54.0 gneE62.13 gneE81.0 gneE6.0 424765883 43539378#0.15 43539378#1 43569848 30953391 12113092 51758697#1-AddedOnRampEdge 51758697#1"/&gt;</v>
      </c>
      <c r="FN143" t="s">
        <v>2516</v>
      </c>
      <c r="FO143" t="s">
        <v>1231</v>
      </c>
      <c r="FP143" t="s">
        <v>2660</v>
      </c>
    </row>
    <row r="144" spans="4:172" x14ac:dyDescent="0.25">
      <c r="G144" t="s">
        <v>656</v>
      </c>
      <c r="I144" t="s">
        <v>838</v>
      </c>
      <c r="J144" t="s">
        <v>937</v>
      </c>
      <c r="K144" t="s">
        <v>617</v>
      </c>
      <c r="L144" t="s">
        <v>617</v>
      </c>
      <c r="M144" t="s">
        <v>617</v>
      </c>
      <c r="N144" t="s">
        <v>617</v>
      </c>
      <c r="O144" t="s">
        <v>617</v>
      </c>
      <c r="P144" t="s">
        <v>617</v>
      </c>
      <c r="Q144" t="s">
        <v>1016</v>
      </c>
      <c r="R144" t="s">
        <v>158</v>
      </c>
      <c r="W144" t="s">
        <v>51</v>
      </c>
      <c r="X144" t="s">
        <v>935</v>
      </c>
      <c r="Y144" t="s">
        <v>281</v>
      </c>
      <c r="BA144" t="s">
        <v>210</v>
      </c>
      <c r="BY144" t="s">
        <v>935</v>
      </c>
      <c r="BZ144" t="s">
        <v>935</v>
      </c>
      <c r="CA144" t="s">
        <v>935</v>
      </c>
      <c r="CU144" t="s">
        <v>931</v>
      </c>
      <c r="CV144" t="s">
        <v>586</v>
      </c>
      <c r="DC144" t="s">
        <v>244</v>
      </c>
      <c r="DM144" t="s">
        <v>70</v>
      </c>
      <c r="DN144" t="s">
        <v>70</v>
      </c>
      <c r="EN144" t="s">
        <v>135</v>
      </c>
      <c r="FM144" t="str">
        <f t="shared" si="2"/>
        <v xml:space="preserve">    &lt;route id="Router3_143" edges="49887339#0.596 49887339#0-AddedOffRampEdge 49887339#1 49887339#1-AddedOffRampEdge 104524021 104524021-AddedOffRampEdge 12158873 121643865#0 12110705 50715233#0 50715233#0-AddedOffRampEdge 50715233#1.0 62203285#14.24 gneE59.30.0.55 gneE59.30.0.0 gneE59.0.0 gneE59.0.12 62203360#0 291433361#0 132508433.0 -gneE6.0 gneE81.299.0 gneE81.299.79 gneE81.299.145 -gneE8 12154353#0 196393941#1 196393941#2 28533986 43539369#2 12178843#2 12178843#3 49960982#2 43569828#0 387422128#1 43569827#0 43569827#1 43569827#2 43569827#7 43569848 30953391 424769002 424769005 424769006 424769004 30953396#1 387422132#0 387422132#1 486653633#0 484953506#3 484953506#4 12157002#0 12157002#1 12157002#3 12157002#5 12114396#4 -12156992#10 -12156992#8 -12156992#7 -12156992#6 -12156992#5 -12156992#4 -12156992#3 -12156992#2 -12156992#1 -386547297#1 -424080772#2 -424080772#1 -262962065#1 -262962063 -424080764 -424080768#1 -424080766 -104526265#1 -262962068#1 -424080774 -32122059#1 -32122059#0 -196393940#2 -196393940#0"/&gt;</v>
      </c>
      <c r="FN144" t="s">
        <v>2516</v>
      </c>
      <c r="FO144" t="s">
        <v>1232</v>
      </c>
      <c r="FP144" t="s">
        <v>2661</v>
      </c>
    </row>
    <row r="145" spans="7:172" x14ac:dyDescent="0.25">
      <c r="G145" t="s">
        <v>839</v>
      </c>
      <c r="I145" t="s">
        <v>839</v>
      </c>
      <c r="J145" t="s">
        <v>543</v>
      </c>
      <c r="K145" t="s">
        <v>417</v>
      </c>
      <c r="L145" t="s">
        <v>417</v>
      </c>
      <c r="M145" t="s">
        <v>618</v>
      </c>
      <c r="N145" t="s">
        <v>618</v>
      </c>
      <c r="O145" t="s">
        <v>618</v>
      </c>
      <c r="P145" t="s">
        <v>618</v>
      </c>
      <c r="Q145" t="s">
        <v>423</v>
      </c>
      <c r="R145" t="s">
        <v>159</v>
      </c>
      <c r="W145" t="s">
        <v>52</v>
      </c>
      <c r="X145" t="s">
        <v>751</v>
      </c>
      <c r="Y145" t="s">
        <v>282</v>
      </c>
      <c r="BA145" t="s">
        <v>456</v>
      </c>
      <c r="BY145" t="s">
        <v>751</v>
      </c>
      <c r="BZ145" t="s">
        <v>701</v>
      </c>
      <c r="CA145" t="s">
        <v>701</v>
      </c>
      <c r="CU145" t="s">
        <v>932</v>
      </c>
      <c r="CV145" t="s">
        <v>475</v>
      </c>
      <c r="DC145" t="s">
        <v>761</v>
      </c>
      <c r="DM145" t="s">
        <v>71</v>
      </c>
      <c r="DN145" t="s">
        <v>71</v>
      </c>
      <c r="EN145" t="s">
        <v>136</v>
      </c>
      <c r="FM145" t="str">
        <f t="shared" si="2"/>
        <v xml:space="preserve">    &lt;route id="Router3_144" edges="49887339#0.596 49887339#0-AddedOffRampEdge 49887339#1 49887339#1-AddedOffRampEdge 104524021 104524021-AddedOffRampEdge 12158873 121643865#0 12110705 50715233#0 50715233#0-AddedOffRampEdge 50715233#1.0 62203285#14.24 gneE59.30.0.55 gneE59.30.0.0 gneE59.0.0 gneE59.0.12 62203360#0 291433361#0 132508433.0 -gneE6.0 gneE81.299.0 gneE81.299.79 gneE81.299.145 -gneE8 12154353#0 196393941#1 196393941#2 28533986 43539369#2 12178843#2 12178843#3 49960982#2 43569828#0 387422128#1 43569827#0 43569827#1 43569827#2 43569827#7 43569848 30953391 424769002 424769005 424769006 424769004 30953396#1 387422132#0 387422132#1 486653633#0 484953506#3 484953506#4 12157002#0 12157002#1 12157002#3 12157002#5 12114396#4 -12156992#10 -12156992#8 -12156992#7 -12156992#6 -12156992#5 -12156992#4 -12156992#3 -12156992#2 -12156992#1 -386547297#1 -424080772#2 -424080772#1 -262962065#1 -262962063 -424080764 -424080768#1 -424080766 -104526265#1 30953497#0 30953497#2 30953497#3 42706585#0 42706585#1 30953320 30953320-AddedOffRampEdge 104526277 30953215#1-AddedOnRampEdge 30953215#1 121643865#0 12110705 50715233#0 50715233#0-AddedOffRampEdge 50715233#1.0 62203285#14.24 gneE59.30.0.55 gneE59.30.0.0 43539373#0.0.292.17 gneE58 gneE56 gneE54.0 62203360#0 291433361#0 132508433.0 -gneE6.0 gneE6.0 424765883 43539378#0.15 132508717#5 196393974#0 49914077 424767578 387422130#1 132508717#0 12149210#1 12151897#1 196393941#6 196393941#7 196393941#8 gneE87 196393974#0 388756841#0 49914076#0 12159673#0 12159673#1 393884751 43569848 30953391 12113092 51758697#1-AddedOnRampEdge 51758697#1 -gneE46.0 43357850.4841.18 gneE46 49887339#0.596 49887339#0-AddedOffRampEdge 49887339#1 49887339#1-AddedOffRampEdge 104524021 104524021-AddedOffRampEdge 50192637#0 50192637#1-AddedOnRampEdge 50192637#1.0.0 50192637#1.0.382.0.0 50192637#1.697 50192637#1-AddedOffRampEdge 30953181#1 30953181#2-AddedOnRampEdge 30953181#2 30953181#3-AddedOnRampEdge 30953181#3 30953181#3-AddedOffRampEdge 30952933#1.0 30952933#1.199"/&gt;</v>
      </c>
      <c r="FN145" t="s">
        <v>2516</v>
      </c>
      <c r="FO145" t="s">
        <v>1233</v>
      </c>
      <c r="FP145" t="s">
        <v>2662</v>
      </c>
    </row>
    <row r="146" spans="7:172" x14ac:dyDescent="0.25">
      <c r="G146" t="s">
        <v>840</v>
      </c>
      <c r="I146" t="s">
        <v>840</v>
      </c>
      <c r="J146" t="s">
        <v>544</v>
      </c>
      <c r="K146" t="s">
        <v>1009</v>
      </c>
      <c r="L146" t="s">
        <v>1009</v>
      </c>
      <c r="M146" t="s">
        <v>619</v>
      </c>
      <c r="N146" t="s">
        <v>619</v>
      </c>
      <c r="O146" t="s">
        <v>619</v>
      </c>
      <c r="P146" t="s">
        <v>619</v>
      </c>
      <c r="Q146" t="s">
        <v>424</v>
      </c>
      <c r="R146" t="s">
        <v>160</v>
      </c>
      <c r="W146" t="s">
        <v>1018</v>
      </c>
      <c r="X146" t="s">
        <v>542</v>
      </c>
      <c r="Y146" t="s">
        <v>283</v>
      </c>
      <c r="BA146" t="s">
        <v>457</v>
      </c>
      <c r="BY146" t="s">
        <v>542</v>
      </c>
      <c r="BZ146" t="s">
        <v>702</v>
      </c>
      <c r="CA146" t="s">
        <v>702</v>
      </c>
      <c r="CU146" t="s">
        <v>933</v>
      </c>
      <c r="CV146" t="s">
        <v>476</v>
      </c>
      <c r="DC146" t="s">
        <v>762</v>
      </c>
      <c r="DM146" t="s">
        <v>72</v>
      </c>
      <c r="DN146" t="s">
        <v>591</v>
      </c>
      <c r="EN146" t="s">
        <v>137</v>
      </c>
      <c r="FM146" t="str">
        <f t="shared" si="2"/>
        <v xml:space="preserve">    &lt;route id="Router3_145" edges="49887339#0.596 49887339#0-AddedOffRampEdge 49887339#1 49887339#1-AddedOffRampEdge 104524021 104524021-AddedOffRampEdge 12158873 121643865#0 12110705 50715233#0 50715233#0-AddedOffRampEdge 50715233#1.0 62203285#14.24 gneE59.30.0.55 gneE59.30.0.0 gneE59.0.0 gneE59.0.12 62203360#0 291433361#0 132508433.0 -gneE6.0 gneE81.299.0 gneE81.299.79 gneE81.299.145 -gneE8 12154353#0 196393941#1 196393941#2 28533986 43539369#2 12178843#2 12178843#3 49960982#2 43569828#0 387422128#1 43569827#0 43569827#1 43569827#2 43569827#7 43569848 30953391 424769002 424769005 424769006 424769004 30953396#1 387422132#0 387422132#1 486653633#0 484953506#3 484953506#4 12157002#0 12157002#1 12157002#3 12157002#5 12114396#4 -12156992#10 -12156992#8 -12156992#7 -12156992#6 -12156992#5 -12156992#4 -12156992#3 -12156992#2 -12156992#1 -386547297#1 -424080772#2 -424080772#1 -262962065#1 -262962063 -424080764 -424080768#1 -424080766 -104526265#1 30953497#0 30953497#2 35920555#0.0 35920555#0.75 62203066 43331031.0 43331031.436 42706585#0 42706585#1 30953320 30953320-AddedOffRampEdge 30953315 104526276-AddedOnRampEdge 104526276 51758697#0 51758697#1-AddedOnRampEdge 51758697#1"/&gt;</v>
      </c>
      <c r="FN146" t="s">
        <v>2516</v>
      </c>
      <c r="FO146" t="s">
        <v>1234</v>
      </c>
      <c r="FP146" t="s">
        <v>2663</v>
      </c>
    </row>
    <row r="147" spans="7:172" x14ac:dyDescent="0.25">
      <c r="G147" t="s">
        <v>431</v>
      </c>
      <c r="I147" t="s">
        <v>431</v>
      </c>
      <c r="J147" t="s">
        <v>545</v>
      </c>
      <c r="K147" t="s">
        <v>1010</v>
      </c>
      <c r="L147" t="s">
        <v>1010</v>
      </c>
      <c r="M147" t="s">
        <v>620</v>
      </c>
      <c r="N147" t="s">
        <v>620</v>
      </c>
      <c r="O147" t="s">
        <v>620</v>
      </c>
      <c r="P147" t="s">
        <v>620</v>
      </c>
      <c r="Q147" t="s">
        <v>152</v>
      </c>
      <c r="R147" t="s">
        <v>161</v>
      </c>
      <c r="W147" t="s">
        <v>1019</v>
      </c>
      <c r="X147" t="s">
        <v>543</v>
      </c>
      <c r="Y147" t="s">
        <v>579</v>
      </c>
      <c r="BA147" t="s">
        <v>1022</v>
      </c>
      <c r="BY147" t="s">
        <v>543</v>
      </c>
      <c r="BZ147" t="s">
        <v>703</v>
      </c>
      <c r="CA147" t="s">
        <v>703</v>
      </c>
      <c r="CU147" t="s">
        <v>934</v>
      </c>
      <c r="CV147" t="s">
        <v>378</v>
      </c>
      <c r="DC147" t="s">
        <v>631</v>
      </c>
      <c r="DM147" t="s">
        <v>599</v>
      </c>
      <c r="DN147" t="s">
        <v>592</v>
      </c>
      <c r="EN147" t="s">
        <v>138</v>
      </c>
      <c r="FM147" t="str">
        <f t="shared" si="2"/>
        <v xml:space="preserve">    &lt;route id="Router3_146" edges="49887339#0.596 49887339#0-AddedOffRampEdge 49887339#1 49887339#1-AddedOffRampEdge 104524021 104524021-AddedOffRampEdge 12158873 121643865#0 12110705 50715233#0 50715233#0-AddedOffRampEdge 50715233#1.0 62203285#14.24 gneE59.30.0.55 gneE59.30.0.0 gneE59.0.0 gneE59.0.12 62203360#0 291433361#0 132508433.0 -gneE6.0 gneE81.299.0 gneE81.299.79 gneE81.299.145 -gneE8 12154353#0 196393941#1 196393941#2 28533986 43539369#2 12178843#2 12178843#3 49960982#2 43569828#0 387422128#1 43569827#0 43569827#1 43569827#2 43569827#7 43569848 30953391 424769002 424769005 424769006 424769004 30953396#1 387422132#0 387422132#1 486653633#0 484953506#3 484953506#4 424769003#0 424769003#1 387422132#0 387422132#1 388756840 12202537#1 12202537#2 12202537#3 485017368 485017367#0 12185366#0 12178852#0 12178852#1 386995495#0 386995495#1 -386995507#7 -386995507#6 -386995507#5 -386995507#4 -386995507#3 310315797#0 310315797#1 386995479#3 12182281#5 12182281#6 12182281#7 12182281#8 -12175537#3 12138978 12201597#2 12114363#1 -50033059#4 12175537#0 12175537#2 12175537#3 12175537#4 12162659#2 12159485 12161358#7 12161358#8 386995507#6 386995507#7 386995521#0 386995521#1 12154359#3 12154359#4 12154359#5 12154359#6 12154359#7 101350669 -386995537 -386995526#1 -386995526#0 -43357814#3 12175537#8 12175537#9 12154359#6 386995531#1 386995531#2 387422150#2 12175537#12 12155177#1 386995531#4 12172918#2 gneE73 gneE75.0 gneE80.125"/&gt;</v>
      </c>
      <c r="FN147" t="s">
        <v>2516</v>
      </c>
      <c r="FO147" t="s">
        <v>1235</v>
      </c>
      <c r="FP147" t="s">
        <v>2664</v>
      </c>
    </row>
    <row r="148" spans="7:172" x14ac:dyDescent="0.25">
      <c r="G148" t="s">
        <v>159</v>
      </c>
      <c r="I148" t="s">
        <v>159</v>
      </c>
      <c r="J148" t="s">
        <v>512</v>
      </c>
      <c r="K148" t="s">
        <v>667</v>
      </c>
      <c r="L148" t="s">
        <v>667</v>
      </c>
      <c r="M148" t="s">
        <v>1016</v>
      </c>
      <c r="N148" t="s">
        <v>1016</v>
      </c>
      <c r="O148" t="s">
        <v>835</v>
      </c>
      <c r="P148" t="s">
        <v>835</v>
      </c>
      <c r="Q148" t="s">
        <v>153</v>
      </c>
      <c r="W148" t="s">
        <v>845</v>
      </c>
      <c r="X148" t="s">
        <v>544</v>
      </c>
      <c r="Y148" t="s">
        <v>580</v>
      </c>
      <c r="BA148" t="s">
        <v>387</v>
      </c>
      <c r="BY148" t="s">
        <v>544</v>
      </c>
      <c r="BZ148" t="s">
        <v>170</v>
      </c>
      <c r="CA148" t="s">
        <v>170</v>
      </c>
      <c r="CU148" t="s">
        <v>935</v>
      </c>
      <c r="CV148" t="s">
        <v>379</v>
      </c>
      <c r="DC148" t="s">
        <v>632</v>
      </c>
      <c r="DM148" t="s">
        <v>627</v>
      </c>
      <c r="DN148" t="s">
        <v>593</v>
      </c>
      <c r="EN148" t="s">
        <v>139</v>
      </c>
      <c r="FM148" t="str">
        <f t="shared" si="2"/>
        <v xml:space="preserve">    &lt;route id="Router3_147"edges="49887339#0.596 49887339#0-AddedOffRampEdge 49887339#1 49887339#1-AddedOffRampEdge 104524021 104524021-AddedOffRampEdge 12158873 121643865#0 12110705 50715233#0 50715233#0-AddedOffRampEdge 50715233#1.0 62203285#14.24 gneE59.30.0.55 gneE59.30.0.0 gneE59.0.0 gneE59.0.12 62203360#0 291433361#0 132508433.0 -gneE6.0 gneE81.299.0 gneE81.299.79 gneE81.299.145 -gneE8 12154353#0 196393941#1 196393941#2 28533986 43539369#2 12178843#2 12178843#3 49960982#2 43569828#0 387422128#1 43569827#0 43569827#1 43569827#2 43569827#7 43569848 30953391 424769002 424769005 424769006 424769004 30953396#1 387422132#0 387422132#1 486653633#0 484953506#3 484953506#4 424769003#0 424769003#1 387422132#0 387422132#1 388756840 12202537#1 12202537#2 12202537#3 485017368 485017367#0 12185366#0 12178852#0 12178852#1 386995495#0 386995495#1 -386995507#7 -386995507#6 -386995507#5 -386995507#4 -386995507#3 310315797#0 310315797#1 386995479#3 12182281#5 12182281#6 12182281#7 12182281#8 -12175537#3 12138978 12201597#2 12114363#1 -50033059#4 12175537#0 12175537#2 12175537#3 12175537#4 12162659#2 12159485 12161358#7 12161358#8 386995507#6 386995507#7 386995521#0 386995521#1 12154359#3 12154359#4 12154359#5 12154359#6 12154359#7 101350669 -386995537 -386995526#1 -386995526#0 -43357814#3 12175537#8 12175537#9 12175537#10 12175537#11 12175537#12 12155177#1 386995531#4 12172918#2 gneE73 gneE75.0 gneE80.125"/&gt;</v>
      </c>
      <c r="FN148" t="s">
        <v>2516</v>
      </c>
      <c r="FO148" t="s">
        <v>1236</v>
      </c>
      <c r="FP148" t="s">
        <v>2517</v>
      </c>
    </row>
    <row r="149" spans="7:172" x14ac:dyDescent="0.25">
      <c r="G149" t="s">
        <v>160</v>
      </c>
      <c r="I149" t="s">
        <v>160</v>
      </c>
      <c r="K149" t="s">
        <v>419</v>
      </c>
      <c r="L149" t="s">
        <v>419</v>
      </c>
      <c r="M149" t="s">
        <v>423</v>
      </c>
      <c r="N149" t="s">
        <v>423</v>
      </c>
      <c r="O149" t="s">
        <v>836</v>
      </c>
      <c r="P149" t="s">
        <v>836</v>
      </c>
      <c r="Q149" t="s">
        <v>154</v>
      </c>
      <c r="W149" t="s">
        <v>596</v>
      </c>
      <c r="X149" t="s">
        <v>545</v>
      </c>
      <c r="Y149" t="s">
        <v>581</v>
      </c>
      <c r="BA149" t="s">
        <v>860</v>
      </c>
      <c r="BY149" t="s">
        <v>545</v>
      </c>
      <c r="BZ149" t="s">
        <v>171</v>
      </c>
      <c r="CA149" t="s">
        <v>171</v>
      </c>
      <c r="CU149" t="s">
        <v>751</v>
      </c>
      <c r="CV149" t="s">
        <v>380</v>
      </c>
      <c r="DC149" t="s">
        <v>633</v>
      </c>
      <c r="DM149" t="s">
        <v>628</v>
      </c>
      <c r="DN149" t="s">
        <v>594</v>
      </c>
      <c r="EN149" t="s">
        <v>140</v>
      </c>
      <c r="FM149" t="str">
        <f t="shared" si="2"/>
        <v xml:space="preserve">    &lt;route id="Router3_148" edges="49887339#0.596 49887339#0-AddedOffRampEdge 49887339#1 49887339#1-AddedOffRampEdge 104524021 104524021-AddedOffRampEdge 12158873 121643865#0 12110705 50715233#0 50715233#0-AddedOffRampEdge 50715233#1.0 62203285#14.24 gneE59.30.0.55 gneE59.30.0.0 gneE59.0.0 gneE59.0.12 62203360#0 291433361#0 132508433.0 -gneE6.0 gneE81.299.0 gneE81.299.79 gneE81.299.145 -gneE8 12154353#0 196393941#1 196393941#2 28533986 43539369#2 12178843#2 12178843#3 49960982#2 43569828#0 387422128#1 43569827#0 43569827#1 43569827#2 43569827#7 43569848 30953391 424769002 424769005 424769006 424769004 30953396#1 387422132#0 387422132#1 486653633#0 484953506#3 484953506#4 424769003#0 424769003#1 387422132#0 387422132#1 388756840 12202537#1 12202537#2 12202537#3 485017368 485017367#0 12185366#0 12178852#0 12178852#1 386995495#0 386995495#1 -386995507#7 -386995507#6 -386995507#5 -386995507#4 -386995507#3 310315797#0 310315797#1 386995479#3 12182281#5 12182281#6 12182281#7 12182281#8 -12175537#3 12138978 12201597#2 12114363#1 -50033059#4 12175537#0 12175537#2 12175537#3 12175537#4 12175537#5 12175537#6 12175537#7 -43357814#2 42706837#4 42706837#5 42706837#6 42706837#7 42706837#8 12155177#0 12175537#13 12172918#1 12172918#2 gneE73 gneE75.0 gneE80.125"/&gt;</v>
      </c>
      <c r="FN149" t="s">
        <v>2516</v>
      </c>
      <c r="FO149" t="s">
        <v>1237</v>
      </c>
      <c r="FP149" t="s">
        <v>2665</v>
      </c>
    </row>
    <row r="150" spans="7:172" x14ac:dyDescent="0.25">
      <c r="G150" t="s">
        <v>161</v>
      </c>
      <c r="I150" t="s">
        <v>161</v>
      </c>
      <c r="K150" t="s">
        <v>420</v>
      </c>
      <c r="L150" t="s">
        <v>420</v>
      </c>
      <c r="M150" t="s">
        <v>424</v>
      </c>
      <c r="N150" t="s">
        <v>424</v>
      </c>
      <c r="O150" t="s">
        <v>654</v>
      </c>
      <c r="P150" t="s">
        <v>654</v>
      </c>
      <c r="Q150" t="s">
        <v>1017</v>
      </c>
      <c r="W150" t="s">
        <v>954</v>
      </c>
      <c r="X150" t="s">
        <v>512</v>
      </c>
      <c r="Y150" t="s">
        <v>582</v>
      </c>
      <c r="BA150" t="s">
        <v>861</v>
      </c>
      <c r="BY150" t="s">
        <v>512</v>
      </c>
      <c r="BZ150" t="s">
        <v>590</v>
      </c>
      <c r="CA150" t="s">
        <v>590</v>
      </c>
      <c r="CU150" t="s">
        <v>542</v>
      </c>
      <c r="CV150" t="s">
        <v>381</v>
      </c>
      <c r="DC150" t="s">
        <v>634</v>
      </c>
      <c r="DM150" t="s">
        <v>75</v>
      </c>
      <c r="DN150" t="s">
        <v>595</v>
      </c>
      <c r="EN150" t="s">
        <v>141</v>
      </c>
      <c r="FM150" t="str">
        <f t="shared" si="2"/>
        <v xml:space="preserve">    &lt;route id="Router3_149" edges="49887339#0.596 49887339#0-AddedOffRampEdge 49887339#1 49887339#1-AddedOffRampEdge 104524021 104524021-AddedOffRampEdge 12158873 121643865#0 12110705 50715233#0 50715233#0-AddedOffRampEdge 50715233#1.0 62203285#14.24 gneE59.30.0.55 gneE59.30.0.0 gneE59.0.0 gneE59.0.12 62203360#0 291433361#0 132508433.0 -gneE6.0 gneE81.299.0 gneE81.299.79 gneE81.299.145 -gneE8 12154353#0 196393941#1 196393941#2 28533986 43539369#2 12178843#2 12178843#3 49960982#2 43569828#0 387422128#1 43569827#0 43569827#1 43569827#2 43569827#7 43569848 30953391 424769002 424769005 424769006 424769004 30953396#1 387422132#0 387422132#1 486653633#0 484953506#3 484953506#4 424769003#0 424769003#1 387422132#0 387422132#1 388756840 12202537#1 12202537#2 12202537#3 485017368 485017367#0 12185366#0 12178852#0 12178852#1 386995495#0 386995495#1 -386995507#7 -386995507#6 -386995507#5 -386995507#4 -386995507#3 310315797#0 310315797#1 386995479#3 12182281#5 12182281#6 12182281#7 12182281#8 -12175537#3 12138978 12201597#2 12114363#1 -50033059#4 12175537#0 12175537#2 12175537#3 12175537#4 12175537#5 12175537#6 12175537#7 -43357814#2 42706837#4 42706837#5 42706837#6 42706837#7 42706837#8 42706837#9 12172918#0 12172918#1 12172918#2 gneE73 gneE75.0 gneE80.125"/&gt;</v>
      </c>
      <c r="FN150" t="s">
        <v>2516</v>
      </c>
      <c r="FO150" t="s">
        <v>1238</v>
      </c>
      <c r="FP150" t="s">
        <v>2666</v>
      </c>
    </row>
    <row r="151" spans="7:172" x14ac:dyDescent="0.25">
      <c r="K151" t="s">
        <v>1011</v>
      </c>
      <c r="L151" t="s">
        <v>1011</v>
      </c>
      <c r="M151" t="s">
        <v>152</v>
      </c>
      <c r="N151" t="s">
        <v>152</v>
      </c>
      <c r="O151" t="s">
        <v>837</v>
      </c>
      <c r="P151" t="s">
        <v>837</v>
      </c>
      <c r="Q151" t="s">
        <v>919</v>
      </c>
      <c r="W151" t="s">
        <v>76</v>
      </c>
      <c r="Y151" t="s">
        <v>583</v>
      </c>
      <c r="BA151" t="s">
        <v>862</v>
      </c>
      <c r="BZ151" t="s">
        <v>591</v>
      </c>
      <c r="CA151" t="s">
        <v>591</v>
      </c>
      <c r="CU151" t="s">
        <v>543</v>
      </c>
      <c r="CV151" t="s">
        <v>382</v>
      </c>
      <c r="DC151" t="s">
        <v>765</v>
      </c>
      <c r="DM151" t="s">
        <v>768</v>
      </c>
      <c r="DN151" t="s">
        <v>167</v>
      </c>
      <c r="FM151" t="str">
        <f t="shared" si="2"/>
        <v xml:space="preserve">    &lt;route id="Router3_150" edges="49887339#0.596 49887339#0-AddedOffRampEdge 49887339#1 49887339#1-AddedOffRampEdge 104524021 104524021-AddedOffRampEdge 12158873 121643865#0 12110705 50715233#0 50715233#0-AddedOffRampEdge 50715233#1.0 62203285#14.24 gneE59.30.0.55 gneE59.30.0.0 gneE59.0.0 gneE59.0.12 62203360#0 291433361#0 132508433.0 -gneE6.0 gneE81.299.0 gneE81.299.79 gneE81.299.145 -gneE8 12154353#0 196393941#1 196393941#2 28533986 43539369#2 12178843#2 12178843#3 49960982#2 43569828#0 387422128#1 43569827#0 43569827#1 43569827#2 43569827#7 43569848 30953391 424769002 424769005 424769006 424769004 30953396#1 387422132#0 387422132#1 486653633#0 484953506#3 484953506#4 424769003#0 424769003#1 387422132#0 387422132#1 388756840 12202537#1 12202537#2 12202537#3 485017368 485017367#0 12185366#0 12178852#0 12178852#1 386995495#0 386995495#1 -386995507#7 -386995507#6 -386995507#5 -386995507#4 -386995507#3 310315797#0 310315797#1 386995479#3 12182281#5 12182281#6 12182281#7 12182281#8 -12175537#3 12138978 12201597#2 12114363#1 -50033059#4 12175537#0 12175537#2 12175537#3 12175537#4 12175537#5 12175537#6 12175537#7 12175537#8 12175537#9 12154359#6 386995531#1 12174155#0 -12175537#10 -12175537#9 -12175537#8 -12175537#7 12152013#3 12167232#3 386995531#0 12154359#7 101350669 -386995537 -386995526#1 -386995526#0 -43357814#3 -43357814#2 42706837#4 42706837#5 42706837#6 42706837#7 42706837#8 42706837#9 12172918#0 12172918#1 12172918#2 gneE73 gneE75.0 gneE80.125"/&gt;</v>
      </c>
      <c r="FN151" t="s">
        <v>2516</v>
      </c>
      <c r="FO151" t="s">
        <v>1239</v>
      </c>
      <c r="FP151" t="s">
        <v>2667</v>
      </c>
    </row>
    <row r="152" spans="7:172" x14ac:dyDescent="0.25">
      <c r="K152" t="s">
        <v>1012</v>
      </c>
      <c r="L152" t="s">
        <v>1012</v>
      </c>
      <c r="M152" t="s">
        <v>153</v>
      </c>
      <c r="N152" t="s">
        <v>153</v>
      </c>
      <c r="O152" t="s">
        <v>1020</v>
      </c>
      <c r="P152" t="s">
        <v>1020</v>
      </c>
      <c r="Q152" t="s">
        <v>430</v>
      </c>
      <c r="W152" t="s">
        <v>77</v>
      </c>
      <c r="Y152" t="s">
        <v>584</v>
      </c>
      <c r="BA152" t="s">
        <v>593</v>
      </c>
      <c r="BZ152" t="s">
        <v>592</v>
      </c>
      <c r="CA152" t="s">
        <v>592</v>
      </c>
      <c r="CU152" t="s">
        <v>544</v>
      </c>
      <c r="CV152" t="s">
        <v>587</v>
      </c>
      <c r="DC152" t="s">
        <v>766</v>
      </c>
      <c r="DM152" t="s">
        <v>769</v>
      </c>
      <c r="DN152" t="s">
        <v>168</v>
      </c>
      <c r="FM152" t="str">
        <f t="shared" si="2"/>
        <v xml:space="preserve">    &lt;route id="Router3_151" edges="49887339#0.596 49887339#0-AddedOffRampEdge 49887339#1 49887339#1-AddedOffRampEdge 104524021 104524021-AddedOffRampEdge 12158873 121643865#0 12110705 50715233#0 50715233#0-AddedOffRampEdge 50715233#1.0 62203285#14.24 gneE59.30.0.55 gneE59.30.0.0 gneE59.0.0 gneE59.0.12 62203360#0 291433361#0 132508433.0 -gneE6.0 gneE81.299.0 gneE81.299.79 gneE81.299.145 -gneE8 12154353#0 196393941#1 196393941#2 28533986 43539369#2 12178843#2 12178843#3 49960982#2 43569828#0 387422128#1 43569827#0 43569827#1 43569827#2 43569827#7 43569848 30953391 424769002 424769005 424769006 424769004 30953396#1 387422132#0 387422132#1 486653633#0 484953506#3 484953506#4 424769003#0 424769003#1 387422132#0 387422132#1 388756840 12202537#1 12202537#2 12202537#3 485017368 485017367#0 12185366#0 12178852#0 12178852#1 386995495#0 386995495#1 -386995507#7 -386995507#6 -386995507#5 -386995507#4 -386995507#3 310315797#0 310315797#1 386995479#3 12182281#5 12182281#6 12182281#7 12182281#8 -12175537#3 12138978 12201597#2 12114363#1 -50033059#4 12175537#0 12175537#2 12175537#3 12175537#4 12175537#5 12175537#6 12175537#7 12175537#8 12175537#9 12154359#6 386995531#1 12174155#0 -12175537#10 -12175537#9 -12175537#8 -12175537#7 12152013#3 12167232#3 386995531#0 12154359#7 101350669 -386995537 -386995526#1 -386995526#0 -43357814#3 12175537#8 12175537#9 12175537#10 12175537#11 12175537#12 12175537#13 12172918#1 12172918#2 gneE73 gneE75.0 gneE80.125"/&gt;</v>
      </c>
      <c r="FN152" t="s">
        <v>2516</v>
      </c>
      <c r="FO152" t="s">
        <v>1240</v>
      </c>
      <c r="FP152" t="s">
        <v>2668</v>
      </c>
    </row>
    <row r="153" spans="7:172" x14ac:dyDescent="0.25">
      <c r="K153" t="s">
        <v>150</v>
      </c>
      <c r="L153" t="s">
        <v>150</v>
      </c>
      <c r="M153" t="s">
        <v>154</v>
      </c>
      <c r="N153" t="s">
        <v>154</v>
      </c>
      <c r="O153" t="s">
        <v>921</v>
      </c>
      <c r="P153" t="s">
        <v>921</v>
      </c>
      <c r="Q153" t="s">
        <v>431</v>
      </c>
      <c r="W153" t="s">
        <v>211</v>
      </c>
      <c r="Y153" t="s">
        <v>585</v>
      </c>
      <c r="BA153" t="s">
        <v>594</v>
      </c>
      <c r="BZ153" t="s">
        <v>593</v>
      </c>
      <c r="CA153" t="s">
        <v>172</v>
      </c>
      <c r="CU153" t="s">
        <v>545</v>
      </c>
      <c r="CV153" t="s">
        <v>453</v>
      </c>
      <c r="DC153" t="s">
        <v>767</v>
      </c>
      <c r="DM153" t="s">
        <v>632</v>
      </c>
      <c r="DN153" t="s">
        <v>696</v>
      </c>
      <c r="FM153" t="str">
        <f t="shared" si="2"/>
        <v xml:space="preserve">    &lt;route id="Router3_152" edges="49887339#0.596 49887339#0-AddedOffRampEdge 49887339#1 49887339#1-AddedOffRampEdge 104524021 104524021-AddedOffRampEdge 12158873 121643865#0 12110705 50715233#0 50715233#0-AddedOffRampEdge 50715233#1.0 62203285#14.24 gneE59.30.0.55 gneE59.30.0.0 gneE59.0.0 gneE59.0.12 62203360#0 291433361#0 132508433.0 -gneE6.0 gneE81.299.0 gneE81.299.79 gneE81.299.145 -gneE8 12154353#0 196393941#1 196393941#2 28533986 43539369#2 12178843#2 12178843#3 49960982#2 43569828#0 387422128#1 43569827#0 43569827#1 43569827#2 43569827#7 43569848 30953391 424769002 424769005 424769006 424769004 30953396#1 387422132#0 387422132#1 486653633#0 484953506#3 484953506#4 424769003#0 424769003#1 387422132#0 387422132#1 388756840 12202537#1 12202537#2 12202537#3 485017368 485017367#0 12185366#0 12178852#0 12178852#1 386995495#0 386995495#1 -386995507#7 -386995507#6 -386995507#5 -386995507#4 -386995507#3 310315797#0 310315797#1 386995479#3 12182281#5 12182281#6 12182281#7 12182281#8 -12175537#3 485017371#0 484953507#1 12182281#8 12182281#9 12167232#0 12167232#1 12167232#2 12152013#4 51050425#4 386995537 386995551 387422150#0 387422150#1 386995531#3 386995531#4 12172918#2 gneE73 gneE75.0 gneE80.125"/&gt;</v>
      </c>
      <c r="FN153" t="s">
        <v>2516</v>
      </c>
      <c r="FO153" t="s">
        <v>1241</v>
      </c>
      <c r="FP153" t="s">
        <v>2669</v>
      </c>
    </row>
    <row r="154" spans="7:172" x14ac:dyDescent="0.25">
      <c r="K154" t="s">
        <v>151</v>
      </c>
      <c r="L154" t="s">
        <v>151</v>
      </c>
      <c r="M154" t="s">
        <v>155</v>
      </c>
      <c r="N154" t="s">
        <v>155</v>
      </c>
      <c r="O154" t="s">
        <v>922</v>
      </c>
      <c r="P154" t="s">
        <v>922</v>
      </c>
      <c r="Q154" t="s">
        <v>159</v>
      </c>
      <c r="W154" t="s">
        <v>820</v>
      </c>
      <c r="Y154" t="s">
        <v>586</v>
      </c>
      <c r="BA154" t="s">
        <v>595</v>
      </c>
      <c r="BZ154" t="s">
        <v>594</v>
      </c>
      <c r="CA154" t="s">
        <v>173</v>
      </c>
      <c r="CU154" t="s">
        <v>512</v>
      </c>
      <c r="CV154" t="s">
        <v>454</v>
      </c>
      <c r="DC154" t="s">
        <v>860</v>
      </c>
      <c r="DM154" t="s">
        <v>633</v>
      </c>
      <c r="DN154" t="s">
        <v>697</v>
      </c>
      <c r="FM154" t="str">
        <f t="shared" si="2"/>
        <v xml:space="preserve">    &lt;route id="Router3_153" edges="49887339#0.596 49887339#0-AddedOffRampEdge 49887339#1 49887339#1-AddedOffRampEdge 104524021 104524021-AddedOffRampEdge 12158873 121643865#0 12110705 50715233#0 50715233#0-AddedOffRampEdge 50715233#1.0 62203285#14.24 gneE59.30.0.55 gneE59.30.0.0 gneE59.0.0 gneE59.0.12 62203360#0 291433361#0 132508433.0 -gneE6.0 gneE81.299.0 gneE81.299.79 gneE81.299.145 -gneE8 12154353#0 196393941#1 196393941#2 28533986 43539369#2 12178843#2 12178843#3 49960982#2 43569828#0 387422128#1 43569827#0 43569827#1 43569827#2 43569827#7 43569848 30953391 424769002 424769005 424769006 424769004 30953396#1 387422132#0 387422132#1 486653633#0 484953506#3 484953506#4 424769003#0 424769003#1 387422132#0 387422132#1 388756840 12202537#1 12202537#2 12202537#3 485017368 485017367#0 12185366#0 12178852#0 12178852#1 386995495#0 386995495#1 -386995507#7 -386995507#6 -386995507#5 -386995507#4 -386995507#3 310315797#0 310315797#1 386995479#3 12182281#5 12182281#6 386995507#4 386995507#5 12161358#9 12161358#10 12161358#11 12171305#0 12171305#1 42706797#2 42706797#4.13 42706797#5 387422148#0 387422148#1 12172918#0 12172918#1 12172918#2 gneE73 gneE75.0 gneE80.125"/&gt;</v>
      </c>
      <c r="FN154" t="s">
        <v>2516</v>
      </c>
      <c r="FO154" t="s">
        <v>1242</v>
      </c>
      <c r="FP154" t="s">
        <v>2670</v>
      </c>
    </row>
    <row r="155" spans="7:172" x14ac:dyDescent="0.25">
      <c r="K155" t="s">
        <v>425</v>
      </c>
      <c r="L155" t="s">
        <v>425</v>
      </c>
      <c r="M155" t="s">
        <v>429</v>
      </c>
      <c r="N155" t="s">
        <v>429</v>
      </c>
      <c r="O155" t="s">
        <v>923</v>
      </c>
      <c r="P155" t="s">
        <v>923</v>
      </c>
      <c r="Q155" t="s">
        <v>160</v>
      </c>
      <c r="W155" t="s">
        <v>260</v>
      </c>
      <c r="Y155" t="s">
        <v>475</v>
      </c>
      <c r="BA155" t="s">
        <v>167</v>
      </c>
      <c r="BZ155" t="s">
        <v>595</v>
      </c>
      <c r="CA155" t="s">
        <v>210</v>
      </c>
      <c r="CV155" t="s">
        <v>455</v>
      </c>
      <c r="DC155" t="s">
        <v>629</v>
      </c>
      <c r="DM155" t="s">
        <v>634</v>
      </c>
      <c r="DN155" t="s">
        <v>698</v>
      </c>
      <c r="FM155" t="str">
        <f t="shared" si="2"/>
        <v xml:space="preserve">    &lt;route id="Router3_154" edges="49887339#0.596 49887339#0-AddedOffRampEdge 49887339#1 49887339#1-AddedOffRampEdge 104524021 104524021-AddedOffRampEdge 12158873 121643865#0 12110705 50715233#0 50715233#0-AddedOffRampEdge 50715233#1.0 62203285#14.24 gneE59.30.0.55 gneE59.30.0.0 gneE59.0.0 gneE59.0.12 62203360#0 291433361#0 132508433.0 -gneE6.0 gneE81.299.0 gneE81.299.79 gneE81.299.145 -gneE8 12154353#0 196393941#1 196393941#2 28533986 43539369#2 12178843#2 12178843#3 49960982#2 43569828#0 387422128#1 43569827#0 43569827#1 43569827#2 43569827#7 43569848 30953391 424769002 424769005 424769006 424769004 30953396#1 387422132#0 387422132#1 486653633#0 484953506#3 484953506#4 424769003#0 424769003#1 387422132#0 387422132#1 388756840 12202537#1 12202537#2 12202537#3 485017368 485017367#0 12185366#0 12178852#0 12178852#1 386995495#0 386995495#1 -386995507#7 -386995507#6 -386995507#5 -386995507#4 -386995507#3 310315797#0 310315797#1 386995479#3 12182281#5 12182281#6 386995507#4 386995507#5 386995507#6 386995507#7 386995521#0 386995521#1 386995521#2 386995521#3 387422148#1 12172918#0 -12175537#13 12155177#1 12155177#2 387422153#1 gneE73 gneE75.0 gneE80.125"/&gt;</v>
      </c>
      <c r="FN155" t="s">
        <v>2516</v>
      </c>
      <c r="FO155" t="s">
        <v>1243</v>
      </c>
      <c r="FP155" t="s">
        <v>2671</v>
      </c>
    </row>
    <row r="156" spans="7:172" x14ac:dyDescent="0.25">
      <c r="K156" t="s">
        <v>654</v>
      </c>
      <c r="L156" t="s">
        <v>654</v>
      </c>
      <c r="M156" t="s">
        <v>430</v>
      </c>
      <c r="N156" t="s">
        <v>430</v>
      </c>
      <c r="O156" t="s">
        <v>924</v>
      </c>
      <c r="P156" t="s">
        <v>924</v>
      </c>
      <c r="Q156" t="s">
        <v>161</v>
      </c>
      <c r="W156" t="s">
        <v>108</v>
      </c>
      <c r="Y156" t="s">
        <v>476</v>
      </c>
      <c r="BA156" t="s">
        <v>168</v>
      </c>
      <c r="BZ156" t="s">
        <v>167</v>
      </c>
      <c r="CA156" t="s">
        <v>456</v>
      </c>
      <c r="CV156" t="s">
        <v>588</v>
      </c>
      <c r="DC156" t="s">
        <v>863</v>
      </c>
      <c r="DM156" t="s">
        <v>635</v>
      </c>
      <c r="DN156" t="s">
        <v>699</v>
      </c>
      <c r="FM156" t="str">
        <f t="shared" si="2"/>
        <v xml:space="preserve">    &lt;route id="Router3_155" edges="49887339#0.596 49887339#0-AddedOffRampEdge 49887339#1 49887339#1-AddedOffRampEdge 104524021 104524021-AddedOffRampEdge 12158873 121643865#0 12110705 50715233#0 50715233#0-AddedOffRampEdge 50715233#1.0 62203285#14.24 gneE59.30.0.55 gneE59.30.0.0 gneE59.0.0 gneE59.0.12 62203360#0 291433361#0 132508433.0 -gneE6.0 gneE81.299.0 gneE81.299.79 gneE81.299.145 -gneE8 12154353#0 196393941#1 196393941#2 28533986 43539369#2 12178843#2 12178843#3 49960982#2 43569828#0 387422128#1 43569827#0 43569827#1 43569827#2 43569827#7 43569848 30953391 424769002 424769005 424769006 424769004 30953396#1 387422132#0 387422132#1 486653633#0 484953506#3 484953506#4 424769003#0 424769003#1 387422132#0 387422132#1 388756840 12202537#1 12202537#2 12202537#3 485017368 485017367#0 12185366#0 12178852#0 12178852#1 386995495#0 386995495#1 -386995507#7 -386995507#6 -386995507#5 -386995507#4 -386995507#3 310315797#0 310315797#1 386995479#3 386995479#4 386995479#5 386995479#6 386995490#0.0 12154359#1.20 12154359#2 -386995521#1 -386995521#0 43357814#0 43357814#1 42706837#4 42706837#5 12154359#5 12154359#6 386995531#1 386995531#2 386995531#3 386995531#4 12172918#2 gneE73 gneE75.0 gneE80.125"/&gt;</v>
      </c>
      <c r="FN156" t="s">
        <v>2516</v>
      </c>
      <c r="FO156" t="s">
        <v>1244</v>
      </c>
      <c r="FP156" t="s">
        <v>2672</v>
      </c>
    </row>
    <row r="157" spans="7:172" x14ac:dyDescent="0.25">
      <c r="K157" t="s">
        <v>655</v>
      </c>
      <c r="L157" t="s">
        <v>655</v>
      </c>
      <c r="M157" t="s">
        <v>431</v>
      </c>
      <c r="N157" t="s">
        <v>431</v>
      </c>
      <c r="O157" t="s">
        <v>945</v>
      </c>
      <c r="P157" t="s">
        <v>945</v>
      </c>
      <c r="W157" t="s">
        <v>109</v>
      </c>
      <c r="Y157" t="s">
        <v>378</v>
      </c>
      <c r="BA157" t="s">
        <v>696</v>
      </c>
      <c r="BZ157" t="s">
        <v>168</v>
      </c>
      <c r="CA157" t="s">
        <v>457</v>
      </c>
      <c r="CV157" t="s">
        <v>589</v>
      </c>
      <c r="DC157" t="s">
        <v>659</v>
      </c>
      <c r="DM157" t="s">
        <v>458</v>
      </c>
      <c r="DN157" t="s">
        <v>700</v>
      </c>
      <c r="FM157" t="str">
        <f t="shared" si="2"/>
        <v xml:space="preserve">    &lt;route id="Router3_156" edges="49887339#0.596 49887339#0-AddedOffRampEdge 49887339#1 49887339#1-AddedOffRampEdge 104524021 104524021-AddedOffRampEdge 12158873 121643865#0 12110705 50715233#0 50715233#0-AddedOffRampEdge 50715233#1.0 62203285#14.24 gneE59.30.0.55 gneE59.30.0.0 gneE59.0.0 gneE59.0.12 62203360#0 291433361#0 132508433.0 -gneE6.0 gneE81.299.0 gneE81.299.79 gneE81.299.145 -gneE8 12154353#0 196393941#1 196393941#2 28533986 43539369#2 12178843#2 12178843#3 49960982#2 43569828#0 387422128#1 43569827#0 43569827#1 43569827#2 43569827#7 43569848 30953391 424769002 424769005 424769006 424769004 30953396#1 387422132#0 387422132#1 486653633#0 484953506#3 484953506#4 424769003#0 424769003#1 387422132#0 387422132#1 388756840 12202537#1 12202537#2 12202537#3 485017368 485017367#0 12185366#0 12178852#0 12178852#1 386995495#0 386995495#1 -386995507#7 -386995507#6 12161358#9 12161358#10 12161358#11 12171305#0 12171305#1 42706797#2 42706797#4.13 42706797#5 387422148#0 387422148#1 12172918#0 12172918#1 12172918#2 gneE73 gneE75.0 gneE80.125"/&gt;</v>
      </c>
      <c r="FN157" t="s">
        <v>2516</v>
      </c>
      <c r="FO157" t="s">
        <v>1245</v>
      </c>
      <c r="FP157" t="s">
        <v>2673</v>
      </c>
    </row>
    <row r="158" spans="7:172" x14ac:dyDescent="0.25">
      <c r="K158" t="s">
        <v>960</v>
      </c>
      <c r="L158" t="s">
        <v>960</v>
      </c>
      <c r="M158" t="s">
        <v>159</v>
      </c>
      <c r="N158" t="s">
        <v>159</v>
      </c>
      <c r="O158" t="s">
        <v>1021</v>
      </c>
      <c r="P158" t="s">
        <v>1021</v>
      </c>
      <c r="W158" t="s">
        <v>110</v>
      </c>
      <c r="Y158" t="s">
        <v>379</v>
      </c>
      <c r="BA158" t="s">
        <v>697</v>
      </c>
      <c r="BZ158" t="s">
        <v>696</v>
      </c>
      <c r="CA158" t="s">
        <v>1022</v>
      </c>
      <c r="CV158" t="s">
        <v>590</v>
      </c>
      <c r="DC158" t="s">
        <v>938</v>
      </c>
      <c r="DM158" t="s">
        <v>259</v>
      </c>
      <c r="DN158" t="s">
        <v>937</v>
      </c>
      <c r="FM158" t="str">
        <f t="shared" si="2"/>
        <v xml:space="preserve">    &lt;route id="Router3_157" edges="49887339#0.596 49887339#0-AddedOffRampEdge 49887339#1 49887339#1-AddedOffRampEdge 104524021 104524021-AddedOffRampEdge 12158873 121643865#0 12110705 50715233#0 50715233#0-AddedOffRampEdge 50715233#1.0 62203285#14.24 gneE59.30.0.55 gneE59.30.0.0 gneE59.0.0 gneE59.0.12 62203360#0 291433361#0 132508433.0 -gneE6.0 gneE81.299.0 gneE81.299.79 gneE81.299.145 -gneE8 12154353#0 196393941#1 196393941#2 28533986 43539369#2 12178843#2 12178843#3 49960982#2 43569828#0 387422128#1 43569827#0 43569827#1 43569827#2 43569827#7 43569848 30953391 424769002 424769005 424769006 424769004 30953396#1 387422132#0 387422132#1 486653633#0 484953506#3 484953506#4 424769003#0 424769003#1 387422132#0 387422132#1 388756840 12202537#1 12202537#2 12202537#3 485017368 485017367#0 12185366#0 12178852#0 12178852#1 386995495#0 386995495#1 -386995507#7 -386995507#6 12161358#9 12161358#10 386995479#6 386995490#0.0 12154359#1.20 12154359#2 -386995521#1 12172225 32121111#2 32121111#3 12152013#0 12152013#1 12152013#2 12175537#7 -43357814#2 42706837#4 42706837#5 42706837#6 42706837#7 42706837#8 12155177#0 12175537#13 12172918#1 12172918#2 gneE73 gneE75.0 gneE80.125"/&gt;</v>
      </c>
      <c r="FN158" t="s">
        <v>2516</v>
      </c>
      <c r="FO158" t="s">
        <v>1246</v>
      </c>
      <c r="FP158" t="s">
        <v>2674</v>
      </c>
    </row>
    <row r="159" spans="7:172" x14ac:dyDescent="0.25">
      <c r="K159" t="s">
        <v>413</v>
      </c>
      <c r="L159" t="s">
        <v>413</v>
      </c>
      <c r="M159" t="s">
        <v>160</v>
      </c>
      <c r="N159" t="s">
        <v>160</v>
      </c>
      <c r="O159" t="s">
        <v>959</v>
      </c>
      <c r="P159" t="s">
        <v>959</v>
      </c>
      <c r="W159" t="s">
        <v>111</v>
      </c>
      <c r="Y159" t="s">
        <v>380</v>
      </c>
      <c r="BA159" t="s">
        <v>963</v>
      </c>
      <c r="BZ159" t="s">
        <v>697</v>
      </c>
      <c r="CA159" t="s">
        <v>387</v>
      </c>
      <c r="CV159" t="s">
        <v>660</v>
      </c>
      <c r="DC159" t="s">
        <v>609</v>
      </c>
      <c r="DM159" t="s">
        <v>352</v>
      </c>
      <c r="DN159" t="s">
        <v>543</v>
      </c>
      <c r="FM159" t="str">
        <f t="shared" si="2"/>
        <v xml:space="preserve">    &lt;route id="Router3_158" edges="49887339#0.596 49887339#0-AddedOffRampEdge 49887339#1 49887339#1-AddedOffRampEdge 104524021 104524021-AddedOffRampEdge 12158873 121643865#0 12110705 50715233#0 50715233#0-AddedOffRampEdge 50715233#1.0 62203285#14.24 gneE59.30.0.55 gneE59.30.0.0 gneE59.0.0 gneE59.0.12 62203360#0 291433361#0 132508433.0 -gneE6.0 gneE81.299.0 gneE81.299.79 gneE81.299.145 -gneE8 12154353#0 196393941#1 196393941#2 28533986 43539369#2 12178843#2 12178843#3 49960982#2 43569828#0 387422128#1 43569827#0 43569827#1 43569827#2 43569827#7 43569848 30953391 424769002 424769005 424769006 424769004 30953396#1 387422132#0 387422132#1 486653633#0 484953506#3 484953506#4 424769003#0 424769003#1 387422132#0 387422132#1 388756840 12202537#1 12202537#2 12202537#3 485017368 485017367#0 12185366#0 12178852#0 12178852#1 386995495#0 386995495#1 -386995507#7 -386995507#6 12161358#9 12161358#10 386995479#6 386995490#0.0 12154359#1.20 12154359#2 -386995521#1 12172225 32121111#2 32121111#3 12152013#0 12152013#1 12152013#2 12175537#7 -43357814#2 42706837#4 42706837#5 42706837#6 42706837#7 42706837#8 42706837#9 12172918#0 12172918#1 12172918#2 gneE73 gneE75.0 gneE80.125"/&gt;</v>
      </c>
      <c r="FN159" t="s">
        <v>2516</v>
      </c>
      <c r="FO159" t="s">
        <v>1247</v>
      </c>
      <c r="FP159" t="s">
        <v>2675</v>
      </c>
    </row>
    <row r="160" spans="7:172" x14ac:dyDescent="0.25">
      <c r="K160" t="s">
        <v>1013</v>
      </c>
      <c r="L160" t="s">
        <v>1013</v>
      </c>
      <c r="M160" t="s">
        <v>1</v>
      </c>
      <c r="N160" t="s">
        <v>161</v>
      </c>
      <c r="O160" t="s">
        <v>655</v>
      </c>
      <c r="P160" t="s">
        <v>655</v>
      </c>
      <c r="W160" t="s">
        <v>112</v>
      </c>
      <c r="Y160" t="s">
        <v>381</v>
      </c>
      <c r="BA160" t="s">
        <v>964</v>
      </c>
      <c r="BZ160" t="s">
        <v>698</v>
      </c>
      <c r="CA160" t="s">
        <v>860</v>
      </c>
      <c r="CV160" t="s">
        <v>661</v>
      </c>
      <c r="DC160" t="s">
        <v>999</v>
      </c>
      <c r="DM160" t="s">
        <v>109</v>
      </c>
      <c r="DN160" t="s">
        <v>544</v>
      </c>
      <c r="FM160" t="str">
        <f t="shared" si="2"/>
        <v xml:space="preserve">    &lt;route id="Router3_159" edges="49887339#0.596 49887339#0-AddedOffRampEdge 49887339#1 49887339#1-AddedOffRampEdge 104524021 104524021-AddedOffRampEdge 12158873 121643865#0 12110705 50715233#0 50715233#0-AddedOffRampEdge 50715233#1.0 62203285#14.24 gneE59.30.0.55 gneE59.30.0.0 gneE59.0.0 gneE59.0.12 62203360#0 291433361#0 132508433.0 -gneE6.0 gneE81.299.0 gneE81.299.79 gneE81.299.145 -gneE8 12154353#0 196393941#1 196393941#2 28533986 43539369#2 12178843#2 12178843#3 49960982#2 43569828#0 387422128#1 43569827#0 43569827#1 43569827#2 43569827#7 43569848 30953391 424769002 424769005 424769006 424769004 30953396#1 387422132#0 387422132#1 486653633#0 484953506#3 484953506#4 424769003#0 424769003#1 387422132#0 387422132#1 388756840 12202537#1 12202537#2 12202537#3 485017368 485017367#0 12185366#0 12178852#0 12178852#1 386995495#0 386995495#1 -386995507#7 -386995507#6 12161358#9 12161358#10 386995479#6 386995490#0.0 12154359#1.20 32121111#1 32121111#2 32121111#3 12152013#0 12152013#1 12152013#2 12175537#7 -43357814#2 42706837#4 42706837#5 42706837#6 42706837#7 42706837#8 12155177#0 12175537#13 12172918#1 12172918#2 gneE73 gneE75.0 gneE80.125"/&gt;</v>
      </c>
      <c r="FN160" t="s">
        <v>2516</v>
      </c>
      <c r="FO160" t="s">
        <v>1248</v>
      </c>
      <c r="FP160" t="s">
        <v>2676</v>
      </c>
    </row>
    <row r="161" spans="11:172" x14ac:dyDescent="0.25">
      <c r="K161" t="s">
        <v>1014</v>
      </c>
      <c r="L161" t="s">
        <v>1014</v>
      </c>
      <c r="M161" t="s">
        <v>2</v>
      </c>
      <c r="O161" t="s">
        <v>960</v>
      </c>
      <c r="P161" t="s">
        <v>960</v>
      </c>
      <c r="W161" t="s">
        <v>113</v>
      </c>
      <c r="Y161" t="s">
        <v>382</v>
      </c>
      <c r="BA161" t="s">
        <v>965</v>
      </c>
      <c r="BZ161" t="s">
        <v>699</v>
      </c>
      <c r="CA161" t="s">
        <v>629</v>
      </c>
      <c r="CV161" t="s">
        <v>662</v>
      </c>
      <c r="DC161" t="s">
        <v>952</v>
      </c>
      <c r="DM161" t="s">
        <v>110</v>
      </c>
      <c r="DN161" t="s">
        <v>545</v>
      </c>
      <c r="FM161" t="str">
        <f t="shared" si="2"/>
        <v xml:space="preserve">    &lt;route id="Router3_160" edges="49887339#0.596 49887339#0-AddedOffRampEdge 49887339#1 49887339#1-AddedOffRampEdge 104524021 104524021-AddedOffRampEdge 12158873 121643865#0 12110705 50715233#0 50715233#0-AddedOffRampEdge 50715233#1.0 62203285#14.24 gneE59.30.0.55 gneE59.30.0.0 gneE59.0.0 gneE59.0.12 62203360#0 291433361#0 132508433.0 -gneE6.0 gneE81.299.0 gneE81.299.79 gneE81.299.145 -gneE8 12154353#0 196393941#1 196393941#2 28533986 43539369#2 12178843#2 12178843#3 49960982#2 43569828#0 387422128#1 43569827#0 43569827#1 43569827#2 43569827#7 43569848 30953391 424769002 424769005 424769006 424769004 30953396#1 387422132#0 387422132#1 486653633#0 484953506#3 484953506#4 424769003#0 424769003#1 387422132#0 387422132#1 388756840 12202537#1 12202537#2 12202537#3 485017368 485017367#0 12185366#0 12178852#0 12178852#1 386995495#0 386995495#1 -386995507#7 -386995507#6 12161358#9 12161358#10 386995479#6 386995490#0.0 12154359#1.20 32121111#1 32121111#2 32121111#3 12152013#0 12152013#1 12152013#2 12175537#7 12175537#8 12175537#9 12175537#10 12175537#11 12175537#12 12155177#1 386995531#4 12172918#2 gneE73 gneE75.0 gneE80.125"/&gt;</v>
      </c>
      <c r="FN161" t="s">
        <v>2516</v>
      </c>
      <c r="FO161" t="s">
        <v>1249</v>
      </c>
      <c r="FP161" t="s">
        <v>2677</v>
      </c>
    </row>
    <row r="162" spans="11:172" x14ac:dyDescent="0.25">
      <c r="K162" t="s">
        <v>1015</v>
      </c>
      <c r="L162" t="s">
        <v>1015</v>
      </c>
      <c r="M162" t="s">
        <v>3</v>
      </c>
      <c r="O162" t="s">
        <v>413</v>
      </c>
      <c r="P162" t="s">
        <v>413</v>
      </c>
      <c r="W162" t="s">
        <v>114</v>
      </c>
      <c r="Y162" t="s">
        <v>587</v>
      </c>
      <c r="BA162" t="s">
        <v>985</v>
      </c>
      <c r="BZ162" t="s">
        <v>700</v>
      </c>
      <c r="CA162" t="s">
        <v>863</v>
      </c>
      <c r="CV162" t="s">
        <v>663</v>
      </c>
      <c r="DC162" t="s">
        <v>846</v>
      </c>
      <c r="DM162" t="s">
        <v>111</v>
      </c>
      <c r="DN162" t="s">
        <v>512</v>
      </c>
      <c r="FM162" t="str">
        <f t="shared" si="2"/>
        <v xml:space="preserve">    &lt;route id="Router3_161" edges="49887339#0.596 49887339#0-AddedOffRampEdge 49887339#1 49887339#1-AddedOffRampEdge 104524021 104524021-AddedOffRampEdge 12158873 121643865#0 12110705 50715233#0 50715233#0-AddedOffRampEdge 50715233#1.0 62203285#14.24 gneE59.30.0.55 gneE59.30.0.0 gneE59.0.0 gneE59.0.12 62203360#0 291433361#0 132508433.0 -gneE6.0 gneE81.299.0 gneE81.299.79 gneE81.299.145 -gneE8 12154353#0 196393941#1 196393941#2 28533986 43539369#2 12178843#2 12178843#3 49960982#2 43569828#0 387422128#1 43569827#0 43569827#1 43569827#2 43569827#7 43569848 30953391 424769002 424769005 424769006 424769004 30953396#1 387422132#0 387422132#1 486653633#0 484953506#3 484953506#4 424769003#0 424769003#1 387422132#0 387422132#1 388756840 12202537#1 43357813 484953506#1 484953506#2 486653633#1 486653633#2 486653633#3 12182281#0 12182281#3 386995479#4 386995479#5 12161358#11 12171305#0 12171305#1 42706797#2 42706797#4.13 42706797#5 387422148#0 387422148#1 12172918#0 12172918#1 12172918#2 gneE73 gneE75.0 gneE80.125"/&gt;</v>
      </c>
      <c r="FN162" t="s">
        <v>2516</v>
      </c>
      <c r="FO162" t="s">
        <v>1250</v>
      </c>
      <c r="FP162" t="s">
        <v>2678</v>
      </c>
    </row>
    <row r="163" spans="11:172" x14ac:dyDescent="0.25">
      <c r="K163" t="s">
        <v>1016</v>
      </c>
      <c r="L163" t="s">
        <v>835</v>
      </c>
      <c r="M163" t="s">
        <v>4</v>
      </c>
      <c r="O163" t="s">
        <v>1013</v>
      </c>
      <c r="P163" t="s">
        <v>1013</v>
      </c>
      <c r="W163" t="s">
        <v>115</v>
      </c>
      <c r="Y163" t="s">
        <v>453</v>
      </c>
      <c r="BA163" t="s">
        <v>986</v>
      </c>
      <c r="BZ163" t="s">
        <v>937</v>
      </c>
      <c r="CA163" t="s">
        <v>659</v>
      </c>
      <c r="CV163" t="s">
        <v>1031</v>
      </c>
      <c r="DC163" t="s">
        <v>882</v>
      </c>
      <c r="DM163" t="s">
        <v>112</v>
      </c>
      <c r="FM163" t="str">
        <f t="shared" si="2"/>
        <v xml:space="preserve">    &lt;route id="Router3_162" edges="49887339#0.596 49887339#0-AddedOffRampEdge 49887339#1 49887339#1-AddedOffRampEdge 104524021 104524021-AddedOffRampEdge 12158873 121643865#0 121643865#1 145605511#1-AddedOnRampEdge 145605511#12 145605511#1.148"/&gt;</v>
      </c>
      <c r="FN163" t="s">
        <v>2516</v>
      </c>
      <c r="FO163" t="s">
        <v>1251</v>
      </c>
      <c r="FP163" t="s">
        <v>2679</v>
      </c>
    </row>
    <row r="164" spans="11:172" x14ac:dyDescent="0.25">
      <c r="K164" t="s">
        <v>423</v>
      </c>
      <c r="L164" t="s">
        <v>836</v>
      </c>
      <c r="M164" t="s">
        <v>5</v>
      </c>
      <c r="O164" t="s">
        <v>1014</v>
      </c>
      <c r="P164" t="s">
        <v>1014</v>
      </c>
      <c r="W164" t="s">
        <v>116</v>
      </c>
      <c r="Y164" t="s">
        <v>454</v>
      </c>
      <c r="BA164" t="s">
        <v>68</v>
      </c>
      <c r="BZ164" t="s">
        <v>543</v>
      </c>
      <c r="CA164" t="s">
        <v>938</v>
      </c>
      <c r="CV164" t="s">
        <v>1032</v>
      </c>
      <c r="DC164" t="s">
        <v>598</v>
      </c>
      <c r="DM164" t="s">
        <v>113</v>
      </c>
      <c r="FM164" t="str">
        <f t="shared" si="2"/>
        <v xml:space="preserve">    &lt;route id="Router3_163" edges="49887339#0.596 49887339#0-AddedOffRampEdge 49887339#1 49887339#1-AddedOffRampEdge 104524021 104524021-AddedOffRampEdge 50192637#0 50192637#1-AddedOnRampEdge 50192637#1.0.0 50192637#1.0.382.0.0 50192637#1.697 50192637#1-AddedOffRampEdge 30953181#1 30953181#2-AddedOnRampEdge 30953181#2 30953181#3-AddedOnRampEdge 30953181#3 30953181#3-AddedOffRampEdge 30952933#1.0 30952933#1.199"/&gt;</v>
      </c>
      <c r="FN164" t="s">
        <v>2516</v>
      </c>
      <c r="FO164" t="s">
        <v>1252</v>
      </c>
      <c r="FP164" t="s">
        <v>2680</v>
      </c>
    </row>
    <row r="165" spans="11:172" x14ac:dyDescent="0.25">
      <c r="K165" t="s">
        <v>424</v>
      </c>
      <c r="L165" t="s">
        <v>426</v>
      </c>
      <c r="M165" t="s">
        <v>6</v>
      </c>
      <c r="O165" t="s">
        <v>1015</v>
      </c>
      <c r="P165" t="s">
        <v>1015</v>
      </c>
      <c r="W165" t="s">
        <v>117</v>
      </c>
      <c r="Y165" t="s">
        <v>455</v>
      </c>
      <c r="BA165" t="s">
        <v>987</v>
      </c>
      <c r="BZ165" t="s">
        <v>544</v>
      </c>
      <c r="CA165" t="s">
        <v>609</v>
      </c>
      <c r="CV165" t="s">
        <v>930</v>
      </c>
      <c r="DC165" t="s">
        <v>73</v>
      </c>
      <c r="DM165" t="s">
        <v>114</v>
      </c>
      <c r="FM165" t="str">
        <f t="shared" si="2"/>
        <v xml:space="preserve">    &lt;route id="Router3_164" edges="62203360#0 12159135 291433360#0 388756841#0 49914076#0 12111949#0 43539384#1.0 424764853 43539372 12167183.0 gneE82 gneE56 gneE54.0 gneE62.13 gneE81.0 gneE6.0 424765883 43539378#0.15 43539378#1 -393884751 12159702 424764853 12149178#0 50189796 50189564 12149178#2 145605533#0 145605533#1-AddedOnRampEdge 145605533#1 145605511#1-AddedOnRampEdge 145605511#12 145605511#1.148"/&gt;</v>
      </c>
      <c r="FN165" t="s">
        <v>2516</v>
      </c>
      <c r="FO165" t="s">
        <v>1253</v>
      </c>
      <c r="FP165" t="s">
        <v>2681</v>
      </c>
    </row>
    <row r="166" spans="11:172" x14ac:dyDescent="0.25">
      <c r="K166" t="s">
        <v>152</v>
      </c>
      <c r="L166" t="s">
        <v>427</v>
      </c>
      <c r="M166" t="s">
        <v>7</v>
      </c>
      <c r="O166" t="s">
        <v>1016</v>
      </c>
      <c r="P166" t="s">
        <v>1016</v>
      </c>
      <c r="W166" t="s">
        <v>118</v>
      </c>
      <c r="Y166" t="s">
        <v>588</v>
      </c>
      <c r="BA166" t="s">
        <v>615</v>
      </c>
      <c r="BZ166" t="s">
        <v>545</v>
      </c>
      <c r="CA166" t="s">
        <v>999</v>
      </c>
      <c r="CV166" t="s">
        <v>931</v>
      </c>
      <c r="DC166" t="s">
        <v>74</v>
      </c>
      <c r="DM166" t="s">
        <v>115</v>
      </c>
      <c r="FM166" t="str">
        <f t="shared" si="2"/>
        <v xml:space="preserve">    &lt;route id="Router3_165" edges="62203360#0 291433361#0 132508433.0 -gneE6.0 gneE6.0 424765883 43539378#0.15 132508717#5 196393974#0 49914077 424767578 387422130#1 132508717#0 12149210#1 12151897#1 196393941#6 196393941#7 196393941#8 gneE87 196393974#0 388756841#0 49914076#0 12159673#0 12159673#1 393884751 43569848 30953391 12113092 51758697#1-AddedOnRampEdge 51758697#1"/&gt;</v>
      </c>
      <c r="FN166" t="s">
        <v>2516</v>
      </c>
      <c r="FO166" t="s">
        <v>1254</v>
      </c>
      <c r="FP166" t="s">
        <v>2682</v>
      </c>
    </row>
    <row r="167" spans="11:172" x14ac:dyDescent="0.25">
      <c r="K167" t="s">
        <v>153</v>
      </c>
      <c r="L167" t="s">
        <v>428</v>
      </c>
      <c r="M167" t="s">
        <v>8</v>
      </c>
      <c r="O167" t="s">
        <v>423</v>
      </c>
      <c r="P167" t="s">
        <v>423</v>
      </c>
      <c r="W167" t="s">
        <v>119</v>
      </c>
      <c r="Y167" t="s">
        <v>589</v>
      </c>
      <c r="BA167" t="s">
        <v>616</v>
      </c>
      <c r="BZ167" t="s">
        <v>512</v>
      </c>
      <c r="CA167" t="s">
        <v>952</v>
      </c>
      <c r="CV167" t="s">
        <v>932</v>
      </c>
      <c r="DC167" t="s">
        <v>861</v>
      </c>
      <c r="DM167" t="s">
        <v>116</v>
      </c>
      <c r="FM167" t="str">
        <f t="shared" si="2"/>
        <v xml:space="preserve">    &lt;route id="Router3_166" edges="62203360#0 291433361#0 132508433.0 -gneE6.0 gneE6.0 424765883 43570920#0.22 132508717#4 43539378#1 43569848 30953391 12113092 51758697#1-AddedOnRampEdge 51758697#1"/&gt;</v>
      </c>
      <c r="FN167" t="s">
        <v>2516</v>
      </c>
      <c r="FO167" t="s">
        <v>1255</v>
      </c>
      <c r="FP167" t="s">
        <v>2683</v>
      </c>
    </row>
    <row r="168" spans="11:172" x14ac:dyDescent="0.25">
      <c r="K168" t="s">
        <v>154</v>
      </c>
      <c r="L168" t="s">
        <v>429</v>
      </c>
      <c r="M168" t="s">
        <v>9</v>
      </c>
      <c r="O168" t="s">
        <v>424</v>
      </c>
      <c r="P168" t="s">
        <v>424</v>
      </c>
      <c r="W168" t="s">
        <v>178</v>
      </c>
      <c r="Y168" t="s">
        <v>590</v>
      </c>
      <c r="BA168" t="s">
        <v>617</v>
      </c>
      <c r="CA168" t="s">
        <v>846</v>
      </c>
      <c r="CV168" t="s">
        <v>933</v>
      </c>
      <c r="DC168" t="s">
        <v>862</v>
      </c>
      <c r="DM168" t="s">
        <v>117</v>
      </c>
      <c r="FM168" t="s">
        <v>2518</v>
      </c>
      <c r="FN168" t="s">
        <v>2518</v>
      </c>
    </row>
    <row r="169" spans="11:172" x14ac:dyDescent="0.25">
      <c r="K169" t="s">
        <v>1017</v>
      </c>
      <c r="L169" t="s">
        <v>430</v>
      </c>
      <c r="M169" t="s">
        <v>4</v>
      </c>
      <c r="O169" t="s">
        <v>152</v>
      </c>
      <c r="P169" t="s">
        <v>152</v>
      </c>
      <c r="W169" t="s">
        <v>233</v>
      </c>
      <c r="Y169" t="s">
        <v>660</v>
      </c>
      <c r="BA169" t="s">
        <v>618</v>
      </c>
      <c r="CA169" t="s">
        <v>882</v>
      </c>
      <c r="CV169" t="s">
        <v>934</v>
      </c>
      <c r="DC169" t="s">
        <v>593</v>
      </c>
      <c r="DM169" t="s">
        <v>118</v>
      </c>
    </row>
    <row r="170" spans="11:172" x14ac:dyDescent="0.25">
      <c r="K170" t="s">
        <v>919</v>
      </c>
      <c r="L170" t="s">
        <v>431</v>
      </c>
      <c r="M170" t="s">
        <v>5</v>
      </c>
      <c r="O170" t="s">
        <v>153</v>
      </c>
      <c r="P170" t="s">
        <v>153</v>
      </c>
      <c r="W170" t="s">
        <v>239</v>
      </c>
      <c r="Y170" t="s">
        <v>661</v>
      </c>
      <c r="BA170" t="s">
        <v>619</v>
      </c>
      <c r="CA170" t="s">
        <v>598</v>
      </c>
      <c r="CV170" t="s">
        <v>935</v>
      </c>
      <c r="DC170" t="s">
        <v>747</v>
      </c>
      <c r="DM170" t="s">
        <v>758</v>
      </c>
    </row>
    <row r="171" spans="11:172" x14ac:dyDescent="0.25">
      <c r="K171" t="s">
        <v>430</v>
      </c>
      <c r="L171" t="s">
        <v>159</v>
      </c>
      <c r="M171" t="s">
        <v>6</v>
      </c>
      <c r="O171" t="s">
        <v>154</v>
      </c>
      <c r="P171" t="s">
        <v>154</v>
      </c>
      <c r="Y171" t="s">
        <v>662</v>
      </c>
      <c r="BA171" t="s">
        <v>620</v>
      </c>
      <c r="CA171" t="s">
        <v>73</v>
      </c>
      <c r="CV171" t="s">
        <v>751</v>
      </c>
      <c r="DC171" t="s">
        <v>748</v>
      </c>
      <c r="DM171" t="s">
        <v>445</v>
      </c>
    </row>
    <row r="172" spans="11:172" x14ac:dyDescent="0.25">
      <c r="K172" t="s">
        <v>431</v>
      </c>
      <c r="L172" t="s">
        <v>160</v>
      </c>
      <c r="M172" t="s">
        <v>10</v>
      </c>
      <c r="O172" t="s">
        <v>1017</v>
      </c>
      <c r="P172" t="s">
        <v>1017</v>
      </c>
      <c r="Y172" t="s">
        <v>663</v>
      </c>
      <c r="BA172" t="s">
        <v>835</v>
      </c>
      <c r="CA172" t="s">
        <v>74</v>
      </c>
      <c r="CV172" t="s">
        <v>542</v>
      </c>
      <c r="DC172" t="s">
        <v>749</v>
      </c>
      <c r="DM172" t="s">
        <v>446</v>
      </c>
    </row>
    <row r="173" spans="11:172" x14ac:dyDescent="0.25">
      <c r="K173" t="s">
        <v>159</v>
      </c>
      <c r="L173" t="s">
        <v>161</v>
      </c>
      <c r="M173" t="s">
        <v>11</v>
      </c>
      <c r="O173" t="s">
        <v>919</v>
      </c>
      <c r="P173" t="s">
        <v>919</v>
      </c>
      <c r="Y173" t="s">
        <v>1031</v>
      </c>
      <c r="BA173" t="s">
        <v>836</v>
      </c>
      <c r="CA173" t="s">
        <v>861</v>
      </c>
      <c r="CV173" t="s">
        <v>543</v>
      </c>
      <c r="DC173" t="s">
        <v>984</v>
      </c>
      <c r="DM173" t="s">
        <v>447</v>
      </c>
    </row>
    <row r="174" spans="11:172" x14ac:dyDescent="0.25">
      <c r="K174" t="s">
        <v>160</v>
      </c>
      <c r="M174" t="s">
        <v>12</v>
      </c>
      <c r="O174" t="s">
        <v>430</v>
      </c>
      <c r="P174" t="s">
        <v>430</v>
      </c>
      <c r="Y174" t="s">
        <v>1032</v>
      </c>
      <c r="BA174" t="s">
        <v>426</v>
      </c>
      <c r="CA174" t="s">
        <v>862</v>
      </c>
      <c r="CV174" t="s">
        <v>544</v>
      </c>
      <c r="DC174" t="s">
        <v>963</v>
      </c>
      <c r="DM174" t="s">
        <v>448</v>
      </c>
    </row>
    <row r="175" spans="11:172" x14ac:dyDescent="0.25">
      <c r="K175" t="s">
        <v>161</v>
      </c>
      <c r="M175" t="s">
        <v>13</v>
      </c>
      <c r="O175" t="s">
        <v>431</v>
      </c>
      <c r="P175" t="s">
        <v>431</v>
      </c>
      <c r="Y175" t="s">
        <v>930</v>
      </c>
      <c r="BA175" t="s">
        <v>427</v>
      </c>
      <c r="CA175" t="s">
        <v>593</v>
      </c>
      <c r="CV175" t="s">
        <v>545</v>
      </c>
      <c r="DC175" t="s">
        <v>964</v>
      </c>
      <c r="DM175" t="s">
        <v>569</v>
      </c>
    </row>
    <row r="176" spans="11:172" x14ac:dyDescent="0.25">
      <c r="M176" t="s">
        <v>14</v>
      </c>
      <c r="O176" t="s">
        <v>159</v>
      </c>
      <c r="P176" t="s">
        <v>159</v>
      </c>
      <c r="Y176" t="s">
        <v>931</v>
      </c>
      <c r="BA176" t="s">
        <v>428</v>
      </c>
      <c r="CA176" t="s">
        <v>747</v>
      </c>
      <c r="CV176" t="s">
        <v>512</v>
      </c>
      <c r="DC176" t="s">
        <v>965</v>
      </c>
      <c r="DM176" t="s">
        <v>721</v>
      </c>
    </row>
    <row r="177" spans="13:117" x14ac:dyDescent="0.25">
      <c r="M177" t="s">
        <v>15</v>
      </c>
      <c r="O177" t="s">
        <v>160</v>
      </c>
      <c r="P177" t="s">
        <v>160</v>
      </c>
      <c r="Y177" t="s">
        <v>932</v>
      </c>
      <c r="BA177" t="s">
        <v>156</v>
      </c>
      <c r="CA177" t="s">
        <v>748</v>
      </c>
      <c r="DC177" t="s">
        <v>985</v>
      </c>
      <c r="DM177" t="s">
        <v>449</v>
      </c>
    </row>
    <row r="178" spans="13:117" x14ac:dyDescent="0.25">
      <c r="M178" t="s">
        <v>16</v>
      </c>
      <c r="O178" t="s">
        <v>1</v>
      </c>
      <c r="P178" t="s">
        <v>161</v>
      </c>
      <c r="Y178" t="s">
        <v>933</v>
      </c>
      <c r="BA178" t="s">
        <v>157</v>
      </c>
      <c r="CA178" t="s">
        <v>749</v>
      </c>
      <c r="DC178" t="s">
        <v>986</v>
      </c>
      <c r="DM178" t="s">
        <v>450</v>
      </c>
    </row>
    <row r="179" spans="13:117" x14ac:dyDescent="0.25">
      <c r="M179" t="s">
        <v>142</v>
      </c>
      <c r="O179" t="s">
        <v>2</v>
      </c>
      <c r="Y179" t="s">
        <v>934</v>
      </c>
      <c r="BA179" t="s">
        <v>158</v>
      </c>
      <c r="CA179" t="s">
        <v>984</v>
      </c>
      <c r="DC179" t="s">
        <v>68</v>
      </c>
      <c r="DM179" t="s">
        <v>760</v>
      </c>
    </row>
    <row r="180" spans="13:117" x14ac:dyDescent="0.25">
      <c r="M180" t="s">
        <v>851</v>
      </c>
      <c r="O180" t="s">
        <v>3</v>
      </c>
      <c r="Y180" t="s">
        <v>935</v>
      </c>
      <c r="BA180" t="s">
        <v>159</v>
      </c>
      <c r="CA180" t="s">
        <v>963</v>
      </c>
      <c r="DC180" t="s">
        <v>987</v>
      </c>
      <c r="DM180" t="s">
        <v>240</v>
      </c>
    </row>
    <row r="181" spans="13:117" x14ac:dyDescent="0.25">
      <c r="M181" t="s">
        <v>852</v>
      </c>
      <c r="O181" t="s">
        <v>4</v>
      </c>
      <c r="Y181" t="s">
        <v>751</v>
      </c>
      <c r="BA181" t="s">
        <v>160</v>
      </c>
      <c r="CA181" t="s">
        <v>964</v>
      </c>
      <c r="DC181" t="s">
        <v>615</v>
      </c>
      <c r="DM181" t="s">
        <v>241</v>
      </c>
    </row>
    <row r="182" spans="13:117" x14ac:dyDescent="0.25">
      <c r="M182" t="s">
        <v>853</v>
      </c>
      <c r="O182" t="s">
        <v>5</v>
      </c>
      <c r="Y182" t="s">
        <v>542</v>
      </c>
      <c r="BA182" t="s">
        <v>161</v>
      </c>
      <c r="CA182" t="s">
        <v>965</v>
      </c>
      <c r="DC182" t="s">
        <v>988</v>
      </c>
      <c r="DM182" t="s">
        <v>391</v>
      </c>
    </row>
    <row r="183" spans="13:117" x14ac:dyDescent="0.25">
      <c r="M183" t="s">
        <v>880</v>
      </c>
      <c r="O183" t="s">
        <v>6</v>
      </c>
      <c r="Y183" t="s">
        <v>543</v>
      </c>
      <c r="CA183" t="s">
        <v>985</v>
      </c>
      <c r="DC183" t="s">
        <v>664</v>
      </c>
      <c r="DM183" t="s">
        <v>731</v>
      </c>
    </row>
    <row r="184" spans="13:117" x14ac:dyDescent="0.25">
      <c r="M184" t="s">
        <v>881</v>
      </c>
      <c r="O184" t="s">
        <v>7</v>
      </c>
      <c r="Y184" t="s">
        <v>544</v>
      </c>
      <c r="CA184" t="s">
        <v>986</v>
      </c>
      <c r="DC184" t="s">
        <v>64</v>
      </c>
      <c r="DM184" t="s">
        <v>732</v>
      </c>
    </row>
    <row r="185" spans="13:117" x14ac:dyDescent="0.25">
      <c r="M185" t="s">
        <v>163</v>
      </c>
      <c r="O185" t="s">
        <v>8</v>
      </c>
      <c r="Y185" t="s">
        <v>545</v>
      </c>
      <c r="CA185" t="s">
        <v>68</v>
      </c>
      <c r="DC185" t="s">
        <v>928</v>
      </c>
      <c r="DM185" t="s">
        <v>733</v>
      </c>
    </row>
    <row r="186" spans="13:117" x14ac:dyDescent="0.25">
      <c r="M186" t="s">
        <v>164</v>
      </c>
      <c r="O186" t="s">
        <v>9</v>
      </c>
      <c r="Y186" t="s">
        <v>512</v>
      </c>
      <c r="CA186" t="s">
        <v>987</v>
      </c>
      <c r="DC186" t="s">
        <v>989</v>
      </c>
      <c r="DM186" t="s">
        <v>734</v>
      </c>
    </row>
    <row r="187" spans="13:117" x14ac:dyDescent="0.25">
      <c r="M187" t="s">
        <v>165</v>
      </c>
      <c r="O187" t="s">
        <v>408</v>
      </c>
      <c r="CA187" t="s">
        <v>615</v>
      </c>
      <c r="DC187" t="s">
        <v>990</v>
      </c>
      <c r="DM187" t="s">
        <v>735</v>
      </c>
    </row>
    <row r="188" spans="13:117" x14ac:dyDescent="0.25">
      <c r="M188" t="s">
        <v>166</v>
      </c>
      <c r="O188" t="s">
        <v>409</v>
      </c>
      <c r="CA188" t="s">
        <v>988</v>
      </c>
      <c r="DC188" t="s">
        <v>991</v>
      </c>
      <c r="DM188" t="s">
        <v>736</v>
      </c>
    </row>
    <row r="189" spans="13:117" x14ac:dyDescent="0.25">
      <c r="M189" t="s">
        <v>608</v>
      </c>
      <c r="O189" t="s">
        <v>410</v>
      </c>
      <c r="CA189" t="s">
        <v>664</v>
      </c>
      <c r="DC189" t="s">
        <v>946</v>
      </c>
      <c r="DM189" t="s">
        <v>46</v>
      </c>
    </row>
    <row r="190" spans="13:117" x14ac:dyDescent="0.25">
      <c r="M190" t="s">
        <v>71</v>
      </c>
      <c r="O190" t="s">
        <v>161</v>
      </c>
      <c r="CA190" t="s">
        <v>64</v>
      </c>
      <c r="DC190" t="s">
        <v>992</v>
      </c>
      <c r="DM190" t="s">
        <v>47</v>
      </c>
    </row>
    <row r="191" spans="13:117" x14ac:dyDescent="0.25">
      <c r="M191" t="s">
        <v>72</v>
      </c>
      <c r="CA191" t="s">
        <v>928</v>
      </c>
      <c r="DC191" t="s">
        <v>624</v>
      </c>
      <c r="DM191" t="s">
        <v>48</v>
      </c>
    </row>
    <row r="192" spans="13:117" x14ac:dyDescent="0.25">
      <c r="M192" t="s">
        <v>599</v>
      </c>
      <c r="CA192" t="s">
        <v>989</v>
      </c>
      <c r="DC192" t="s">
        <v>625</v>
      </c>
      <c r="DM192" t="s">
        <v>49</v>
      </c>
    </row>
    <row r="193" spans="13:117" x14ac:dyDescent="0.25">
      <c r="M193" t="s">
        <v>627</v>
      </c>
      <c r="CA193" t="s">
        <v>990</v>
      </c>
      <c r="DC193" t="s">
        <v>993</v>
      </c>
      <c r="DM193" t="s">
        <v>50</v>
      </c>
    </row>
    <row r="194" spans="13:117" x14ac:dyDescent="0.25">
      <c r="M194" t="s">
        <v>628</v>
      </c>
      <c r="CA194" t="s">
        <v>991</v>
      </c>
      <c r="DC194" t="s">
        <v>656</v>
      </c>
      <c r="DM194" t="s">
        <v>51</v>
      </c>
    </row>
    <row r="195" spans="13:117" x14ac:dyDescent="0.25">
      <c r="M195" t="s">
        <v>75</v>
      </c>
      <c r="CA195" t="s">
        <v>946</v>
      </c>
      <c r="DC195" t="s">
        <v>839</v>
      </c>
      <c r="DM195" t="s">
        <v>52</v>
      </c>
    </row>
    <row r="196" spans="13:117" x14ac:dyDescent="0.25">
      <c r="M196" t="s">
        <v>768</v>
      </c>
      <c r="CA196" t="s">
        <v>992</v>
      </c>
      <c r="DC196" t="s">
        <v>840</v>
      </c>
      <c r="DM196" t="s">
        <v>1018</v>
      </c>
    </row>
    <row r="197" spans="13:117" x14ac:dyDescent="0.25">
      <c r="M197" t="s">
        <v>769</v>
      </c>
      <c r="CA197" t="s">
        <v>624</v>
      </c>
      <c r="DC197" t="s">
        <v>431</v>
      </c>
      <c r="DM197" t="s">
        <v>1019</v>
      </c>
    </row>
    <row r="198" spans="13:117" x14ac:dyDescent="0.25">
      <c r="M198" t="s">
        <v>632</v>
      </c>
      <c r="CA198" t="s">
        <v>625</v>
      </c>
      <c r="DC198" t="s">
        <v>159</v>
      </c>
      <c r="DM198" t="s">
        <v>845</v>
      </c>
    </row>
    <row r="199" spans="13:117" x14ac:dyDescent="0.25">
      <c r="M199" t="s">
        <v>633</v>
      </c>
      <c r="CA199" t="s">
        <v>993</v>
      </c>
      <c r="DC199" t="s">
        <v>160</v>
      </c>
      <c r="DM199" t="s">
        <v>596</v>
      </c>
    </row>
    <row r="200" spans="13:117" x14ac:dyDescent="0.25">
      <c r="M200" t="s">
        <v>634</v>
      </c>
      <c r="CA200" t="s">
        <v>656</v>
      </c>
      <c r="DC200" t="s">
        <v>161</v>
      </c>
      <c r="DM200" t="s">
        <v>954</v>
      </c>
    </row>
    <row r="201" spans="13:117" x14ac:dyDescent="0.25">
      <c r="M201" t="s">
        <v>635</v>
      </c>
      <c r="CA201" t="s">
        <v>839</v>
      </c>
      <c r="DM201" t="s">
        <v>76</v>
      </c>
    </row>
    <row r="202" spans="13:117" x14ac:dyDescent="0.25">
      <c r="M202" t="s">
        <v>458</v>
      </c>
      <c r="CA202" t="s">
        <v>840</v>
      </c>
      <c r="DM202" t="s">
        <v>77</v>
      </c>
    </row>
    <row r="203" spans="13:117" x14ac:dyDescent="0.25">
      <c r="M203" t="s">
        <v>259</v>
      </c>
      <c r="CA203" t="s">
        <v>431</v>
      </c>
      <c r="DM203" t="s">
        <v>211</v>
      </c>
    </row>
    <row r="204" spans="13:117" x14ac:dyDescent="0.25">
      <c r="M204" t="s">
        <v>352</v>
      </c>
      <c r="CA204" t="s">
        <v>159</v>
      </c>
      <c r="DM204" t="s">
        <v>820</v>
      </c>
    </row>
    <row r="205" spans="13:117" x14ac:dyDescent="0.25">
      <c r="M205" t="s">
        <v>109</v>
      </c>
      <c r="CA205" t="s">
        <v>160</v>
      </c>
      <c r="DM205" t="s">
        <v>260</v>
      </c>
    </row>
    <row r="206" spans="13:117" x14ac:dyDescent="0.25">
      <c r="M206" t="s">
        <v>110</v>
      </c>
      <c r="CA206" t="s">
        <v>161</v>
      </c>
      <c r="DM206" t="s">
        <v>108</v>
      </c>
    </row>
    <row r="207" spans="13:117" x14ac:dyDescent="0.25">
      <c r="M207" t="s">
        <v>111</v>
      </c>
      <c r="DM207" t="s">
        <v>109</v>
      </c>
    </row>
    <row r="208" spans="13:117" x14ac:dyDescent="0.25">
      <c r="M208" t="s">
        <v>112</v>
      </c>
      <c r="DM208" t="s">
        <v>110</v>
      </c>
    </row>
    <row r="209" spans="13:117" x14ac:dyDescent="0.25">
      <c r="M209" t="s">
        <v>113</v>
      </c>
      <c r="DM209" t="s">
        <v>111</v>
      </c>
    </row>
    <row r="210" spans="13:117" x14ac:dyDescent="0.25">
      <c r="M210" t="s">
        <v>114</v>
      </c>
      <c r="DM210" t="s">
        <v>112</v>
      </c>
    </row>
    <row r="211" spans="13:117" x14ac:dyDescent="0.25">
      <c r="M211" t="s">
        <v>115</v>
      </c>
      <c r="DM211" t="s">
        <v>113</v>
      </c>
    </row>
    <row r="212" spans="13:117" x14ac:dyDescent="0.25">
      <c r="M212" t="s">
        <v>116</v>
      </c>
      <c r="DM212" t="s">
        <v>114</v>
      </c>
    </row>
    <row r="213" spans="13:117" x14ac:dyDescent="0.25">
      <c r="M213" t="s">
        <v>117</v>
      </c>
      <c r="DM213" t="s">
        <v>115</v>
      </c>
    </row>
    <row r="214" spans="13:117" x14ac:dyDescent="0.25">
      <c r="M214" t="s">
        <v>118</v>
      </c>
      <c r="DM214" t="s">
        <v>116</v>
      </c>
    </row>
    <row r="215" spans="13:117" x14ac:dyDescent="0.25">
      <c r="M215" t="s">
        <v>758</v>
      </c>
      <c r="DM215" t="s">
        <v>117</v>
      </c>
    </row>
    <row r="216" spans="13:117" x14ac:dyDescent="0.25">
      <c r="M216" t="s">
        <v>445</v>
      </c>
      <c r="DM216" t="s">
        <v>118</v>
      </c>
    </row>
    <row r="217" spans="13:117" x14ac:dyDescent="0.25">
      <c r="M217" t="s">
        <v>446</v>
      </c>
      <c r="DM217" t="s">
        <v>119</v>
      </c>
    </row>
    <row r="218" spans="13:117" x14ac:dyDescent="0.25">
      <c r="M218" t="s">
        <v>447</v>
      </c>
      <c r="DM218" t="s">
        <v>178</v>
      </c>
    </row>
    <row r="219" spans="13:117" x14ac:dyDescent="0.25">
      <c r="M219" t="s">
        <v>448</v>
      </c>
      <c r="DM219" t="s">
        <v>233</v>
      </c>
    </row>
    <row r="220" spans="13:117" x14ac:dyDescent="0.25">
      <c r="M220" t="s">
        <v>569</v>
      </c>
      <c r="DM220" t="s">
        <v>239</v>
      </c>
    </row>
    <row r="221" spans="13:117" x14ac:dyDescent="0.25">
      <c r="M221" t="s">
        <v>721</v>
      </c>
    </row>
    <row r="222" spans="13:117" x14ac:dyDescent="0.25">
      <c r="M222" t="s">
        <v>449</v>
      </c>
    </row>
    <row r="223" spans="13:117" x14ac:dyDescent="0.25">
      <c r="M223" t="s">
        <v>450</v>
      </c>
    </row>
    <row r="224" spans="13:117" x14ac:dyDescent="0.25">
      <c r="M224" t="s">
        <v>760</v>
      </c>
    </row>
    <row r="225" spans="13:13" x14ac:dyDescent="0.25">
      <c r="M225" t="s">
        <v>240</v>
      </c>
    </row>
    <row r="226" spans="13:13" x14ac:dyDescent="0.25">
      <c r="M226" t="s">
        <v>241</v>
      </c>
    </row>
    <row r="227" spans="13:13" x14ac:dyDescent="0.25">
      <c r="M227" t="s">
        <v>391</v>
      </c>
    </row>
    <row r="228" spans="13:13" x14ac:dyDescent="0.25">
      <c r="M228" t="s">
        <v>731</v>
      </c>
    </row>
    <row r="229" spans="13:13" x14ac:dyDescent="0.25">
      <c r="M229" t="s">
        <v>732</v>
      </c>
    </row>
    <row r="230" spans="13:13" x14ac:dyDescent="0.25">
      <c r="M230" t="s">
        <v>733</v>
      </c>
    </row>
    <row r="231" spans="13:13" x14ac:dyDescent="0.25">
      <c r="M231" t="s">
        <v>734</v>
      </c>
    </row>
    <row r="232" spans="13:13" x14ac:dyDescent="0.25">
      <c r="M232" t="s">
        <v>735</v>
      </c>
    </row>
    <row r="233" spans="13:13" x14ac:dyDescent="0.25">
      <c r="M233" t="s">
        <v>736</v>
      </c>
    </row>
    <row r="234" spans="13:13" x14ac:dyDescent="0.25">
      <c r="M234" t="s">
        <v>46</v>
      </c>
    </row>
    <row r="235" spans="13:13" x14ac:dyDescent="0.25">
      <c r="M235" t="s">
        <v>47</v>
      </c>
    </row>
    <row r="236" spans="13:13" x14ac:dyDescent="0.25">
      <c r="M236" t="s">
        <v>48</v>
      </c>
    </row>
    <row r="237" spans="13:13" x14ac:dyDescent="0.25">
      <c r="M237" t="s">
        <v>49</v>
      </c>
    </row>
    <row r="238" spans="13:13" x14ac:dyDescent="0.25">
      <c r="M238" t="s">
        <v>50</v>
      </c>
    </row>
    <row r="239" spans="13:13" x14ac:dyDescent="0.25">
      <c r="M239" t="s">
        <v>51</v>
      </c>
    </row>
    <row r="240" spans="13:13" x14ac:dyDescent="0.25">
      <c r="M240" t="s">
        <v>52</v>
      </c>
    </row>
    <row r="241" spans="13:13" x14ac:dyDescent="0.25">
      <c r="M241" t="s">
        <v>1018</v>
      </c>
    </row>
    <row r="242" spans="13:13" x14ac:dyDescent="0.25">
      <c r="M242" t="s">
        <v>1019</v>
      </c>
    </row>
    <row r="243" spans="13:13" x14ac:dyDescent="0.25">
      <c r="M243" t="s">
        <v>845</v>
      </c>
    </row>
    <row r="244" spans="13:13" x14ac:dyDescent="0.25">
      <c r="M244" t="s">
        <v>596</v>
      </c>
    </row>
    <row r="245" spans="13:13" x14ac:dyDescent="0.25">
      <c r="M245" t="s">
        <v>954</v>
      </c>
    </row>
    <row r="246" spans="13:13" x14ac:dyDescent="0.25">
      <c r="M246" t="s">
        <v>76</v>
      </c>
    </row>
    <row r="247" spans="13:13" x14ac:dyDescent="0.25">
      <c r="M247" t="s">
        <v>77</v>
      </c>
    </row>
    <row r="248" spans="13:13" x14ac:dyDescent="0.25">
      <c r="M248" t="s">
        <v>211</v>
      </c>
    </row>
    <row r="249" spans="13:13" x14ac:dyDescent="0.25">
      <c r="M249" t="s">
        <v>820</v>
      </c>
    </row>
    <row r="250" spans="13:13" x14ac:dyDescent="0.25">
      <c r="M250" t="s">
        <v>260</v>
      </c>
    </row>
    <row r="251" spans="13:13" x14ac:dyDescent="0.25">
      <c r="M251" t="s">
        <v>108</v>
      </c>
    </row>
    <row r="252" spans="13:13" x14ac:dyDescent="0.25">
      <c r="M252" t="s">
        <v>109</v>
      </c>
    </row>
    <row r="253" spans="13:13" x14ac:dyDescent="0.25">
      <c r="M253" t="s">
        <v>110</v>
      </c>
    </row>
    <row r="254" spans="13:13" x14ac:dyDescent="0.25">
      <c r="M254" t="s">
        <v>111</v>
      </c>
    </row>
    <row r="255" spans="13:13" x14ac:dyDescent="0.25">
      <c r="M255" t="s">
        <v>112</v>
      </c>
    </row>
    <row r="256" spans="13:13" x14ac:dyDescent="0.25">
      <c r="M256" t="s">
        <v>113</v>
      </c>
    </row>
    <row r="257" spans="13:13" x14ac:dyDescent="0.25">
      <c r="M257" t="s">
        <v>114</v>
      </c>
    </row>
    <row r="258" spans="13:13" x14ac:dyDescent="0.25">
      <c r="M258" t="s">
        <v>115</v>
      </c>
    </row>
    <row r="259" spans="13:13" x14ac:dyDescent="0.25">
      <c r="M259" t="s">
        <v>116</v>
      </c>
    </row>
    <row r="260" spans="13:13" x14ac:dyDescent="0.25">
      <c r="M260" t="s">
        <v>117</v>
      </c>
    </row>
    <row r="261" spans="13:13" x14ac:dyDescent="0.25">
      <c r="M261" t="s">
        <v>118</v>
      </c>
    </row>
    <row r="262" spans="13:13" x14ac:dyDescent="0.25">
      <c r="M262" t="s">
        <v>119</v>
      </c>
    </row>
    <row r="263" spans="13:13" x14ac:dyDescent="0.25">
      <c r="M263" t="s">
        <v>178</v>
      </c>
    </row>
    <row r="264" spans="13:13" x14ac:dyDescent="0.25">
      <c r="M264" t="s">
        <v>233</v>
      </c>
    </row>
    <row r="265" spans="13:13" x14ac:dyDescent="0.25">
      <c r="M265" t="s">
        <v>239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41F5FC-FA59-4993-ACC9-6DBD89434C02}">
  <sheetPr codeName="Sheet6"/>
  <dimension ref="A1:EF14312"/>
  <sheetViews>
    <sheetView topLeftCell="A174" zoomScale="85" zoomScaleNormal="85" workbookViewId="0">
      <selection activeCell="AK31" sqref="AK31"/>
    </sheetView>
  </sheetViews>
  <sheetFormatPr defaultRowHeight="15" x14ac:dyDescent="0.25"/>
  <cols>
    <col min="1" max="1" width="13.7109375" customWidth="1"/>
    <col min="2" max="2" width="14" customWidth="1"/>
    <col min="4" max="4" width="33.7109375" customWidth="1"/>
    <col min="5" max="5" width="17.140625" customWidth="1"/>
    <col min="6" max="6" width="18.42578125" customWidth="1"/>
    <col min="12" max="12" width="16.5703125" customWidth="1"/>
    <col min="17" max="17" width="20.5703125" customWidth="1"/>
    <col min="26" max="26" width="12.85546875" customWidth="1"/>
    <col min="27" max="28" width="13.140625" customWidth="1"/>
    <col min="72" max="72" width="44" customWidth="1"/>
    <col min="117" max="117" width="31.7109375" customWidth="1"/>
    <col min="118" max="118" width="14.5703125" customWidth="1"/>
    <col min="119" max="119" width="19.28515625" customWidth="1"/>
    <col min="120" max="120" width="19.7109375" customWidth="1"/>
    <col min="124" max="124" width="88.85546875" customWidth="1"/>
    <col min="125" max="125" width="31" customWidth="1"/>
    <col min="126" max="126" width="36.7109375" customWidth="1"/>
    <col min="136" max="136" width="9.140625" style="14"/>
  </cols>
  <sheetData>
    <row r="1" spans="1:135" x14ac:dyDescent="0.25">
      <c r="A1" s="9"/>
      <c r="E1" t="s">
        <v>2684</v>
      </c>
      <c r="F1" t="s">
        <v>2685</v>
      </c>
    </row>
    <row r="2" spans="1:135" x14ac:dyDescent="0.25">
      <c r="A2" s="9"/>
      <c r="D2" t="s">
        <v>2508</v>
      </c>
      <c r="E2" t="s">
        <v>2363</v>
      </c>
      <c r="F2" t="s">
        <v>2364</v>
      </c>
      <c r="G2" t="s">
        <v>2365</v>
      </c>
      <c r="H2" t="s">
        <v>2366</v>
      </c>
      <c r="I2" t="s">
        <v>2367</v>
      </c>
      <c r="J2" t="s">
        <v>2368</v>
      </c>
      <c r="K2" t="s">
        <v>2369</v>
      </c>
      <c r="L2" t="s">
        <v>2370</v>
      </c>
      <c r="M2" t="s">
        <v>2371</v>
      </c>
      <c r="N2" t="s">
        <v>2372</v>
      </c>
      <c r="O2" t="s">
        <v>2373</v>
      </c>
      <c r="P2" t="s">
        <v>2374</v>
      </c>
      <c r="Q2" t="s">
        <v>2375</v>
      </c>
      <c r="R2" t="s">
        <v>2377</v>
      </c>
      <c r="S2" t="s">
        <v>2378</v>
      </c>
      <c r="T2" t="s">
        <v>2379</v>
      </c>
      <c r="U2" t="s">
        <v>2380</v>
      </c>
      <c r="V2" t="s">
        <v>2381</v>
      </c>
      <c r="W2" t="s">
        <v>2383</v>
      </c>
      <c r="X2" t="s">
        <v>2384</v>
      </c>
      <c r="Y2" t="s">
        <v>2386</v>
      </c>
      <c r="Z2" t="s">
        <v>2388</v>
      </c>
      <c r="AA2" t="s">
        <v>2389</v>
      </c>
      <c r="AB2" t="s">
        <v>2390</v>
      </c>
      <c r="AC2" t="s">
        <v>2391</v>
      </c>
      <c r="AD2" t="s">
        <v>2392</v>
      </c>
      <c r="AE2" t="s">
        <v>2393</v>
      </c>
      <c r="AF2" t="s">
        <v>2395</v>
      </c>
      <c r="AG2" t="s">
        <v>2396</v>
      </c>
      <c r="AH2" t="s">
        <v>2397</v>
      </c>
      <c r="AI2" t="s">
        <v>2398</v>
      </c>
      <c r="AJ2" t="s">
        <v>2399</v>
      </c>
      <c r="AK2" t="s">
        <v>2400</v>
      </c>
      <c r="AL2" t="s">
        <v>2401</v>
      </c>
      <c r="AM2" t="s">
        <v>2402</v>
      </c>
      <c r="AN2" t="s">
        <v>2403</v>
      </c>
      <c r="AO2" t="s">
        <v>2404</v>
      </c>
      <c r="AP2" t="s">
        <v>2405</v>
      </c>
      <c r="AQ2" t="s">
        <v>2511</v>
      </c>
      <c r="AR2" t="s">
        <v>2406</v>
      </c>
      <c r="AS2" t="s">
        <v>2407</v>
      </c>
      <c r="AT2" t="s">
        <v>2408</v>
      </c>
      <c r="AU2" t="s">
        <v>2409</v>
      </c>
      <c r="AV2" t="s">
        <v>2410</v>
      </c>
      <c r="AW2" t="s">
        <v>2411</v>
      </c>
      <c r="AX2" t="s">
        <v>2413</v>
      </c>
      <c r="AY2" t="s">
        <v>2414</v>
      </c>
      <c r="AZ2" t="s">
        <v>2415</v>
      </c>
      <c r="BA2" t="s">
        <v>2417</v>
      </c>
      <c r="BB2" t="s">
        <v>2418</v>
      </c>
      <c r="BC2" t="s">
        <v>2419</v>
      </c>
      <c r="BD2" t="s">
        <v>2420</v>
      </c>
      <c r="BE2" t="s">
        <v>2421</v>
      </c>
      <c r="BF2" t="s">
        <v>2422</v>
      </c>
      <c r="BG2" t="s">
        <v>2423</v>
      </c>
      <c r="BH2" t="s">
        <v>2424</v>
      </c>
      <c r="BI2" t="s">
        <v>2425</v>
      </c>
      <c r="BJ2" t="s">
        <v>2426</v>
      </c>
      <c r="BK2" t="s">
        <v>2427</v>
      </c>
      <c r="BL2" t="s">
        <v>2429</v>
      </c>
      <c r="BM2" t="s">
        <v>2430</v>
      </c>
      <c r="BN2" t="s">
        <v>2431</v>
      </c>
      <c r="BO2" t="s">
        <v>2432</v>
      </c>
      <c r="BP2" t="s">
        <v>2433</v>
      </c>
      <c r="BQ2" t="s">
        <v>2434</v>
      </c>
      <c r="BR2" t="s">
        <v>2435</v>
      </c>
      <c r="BS2" t="s">
        <v>2436</v>
      </c>
      <c r="BT2" t="s">
        <v>2437</v>
      </c>
      <c r="BU2" t="s">
        <v>2438</v>
      </c>
      <c r="BV2" t="s">
        <v>2439</v>
      </c>
      <c r="BW2" t="s">
        <v>2440</v>
      </c>
      <c r="BX2" t="s">
        <v>2441</v>
      </c>
      <c r="BY2" t="s">
        <v>2442</v>
      </c>
      <c r="BZ2" t="s">
        <v>2443</v>
      </c>
      <c r="CA2" t="s">
        <v>2444</v>
      </c>
      <c r="CB2" t="s">
        <v>2445</v>
      </c>
      <c r="CC2" t="s">
        <v>2446</v>
      </c>
      <c r="CD2" t="s">
        <v>2448</v>
      </c>
      <c r="CE2" t="s">
        <v>2449</v>
      </c>
      <c r="CF2" t="s">
        <v>2450</v>
      </c>
      <c r="CG2" t="s">
        <v>2451</v>
      </c>
      <c r="CH2" t="s">
        <v>2452</v>
      </c>
      <c r="CI2" t="s">
        <v>2453</v>
      </c>
      <c r="CJ2" t="s">
        <v>2454</v>
      </c>
      <c r="CK2" t="s">
        <v>2455</v>
      </c>
      <c r="CL2" t="s">
        <v>2456</v>
      </c>
      <c r="CM2" t="s">
        <v>2457</v>
      </c>
      <c r="CN2" t="s">
        <v>2458</v>
      </c>
      <c r="CO2" t="s">
        <v>2459</v>
      </c>
      <c r="CP2" t="s">
        <v>2460</v>
      </c>
      <c r="CQ2" t="s">
        <v>2461</v>
      </c>
      <c r="CR2" t="s">
        <v>2463</v>
      </c>
      <c r="CS2" t="s">
        <v>2464</v>
      </c>
      <c r="CT2" t="s">
        <v>2465</v>
      </c>
      <c r="CU2" t="s">
        <v>2466</v>
      </c>
      <c r="CV2" t="s">
        <v>2467</v>
      </c>
      <c r="CW2" t="s">
        <v>2468</v>
      </c>
      <c r="CX2" t="s">
        <v>2469</v>
      </c>
      <c r="CY2" t="s">
        <v>2471</v>
      </c>
      <c r="CZ2" t="s">
        <v>2472</v>
      </c>
      <c r="DA2" t="s">
        <v>2473</v>
      </c>
      <c r="DB2" t="s">
        <v>2474</v>
      </c>
      <c r="DC2" t="s">
        <v>2475</v>
      </c>
      <c r="DD2" t="s">
        <v>2476</v>
      </c>
      <c r="DE2" t="s">
        <v>2477</v>
      </c>
      <c r="DF2" t="s">
        <v>2478</v>
      </c>
      <c r="DG2" t="s">
        <v>2479</v>
      </c>
      <c r="DH2" t="s">
        <v>2480</v>
      </c>
      <c r="DI2" t="s">
        <v>2481</v>
      </c>
      <c r="DJ2" t="s">
        <v>2482</v>
      </c>
      <c r="DK2" t="s">
        <v>2483</v>
      </c>
      <c r="DL2" t="s">
        <v>2484</v>
      </c>
      <c r="DM2" t="s">
        <v>2485</v>
      </c>
      <c r="DN2" t="s">
        <v>2487</v>
      </c>
      <c r="DO2" t="s">
        <v>2488</v>
      </c>
      <c r="DP2" t="s">
        <v>2489</v>
      </c>
      <c r="DQ2" t="s">
        <v>2490</v>
      </c>
      <c r="DR2" t="s">
        <v>2491</v>
      </c>
      <c r="DS2" t="s">
        <v>2492</v>
      </c>
      <c r="DT2" t="s">
        <v>2493</v>
      </c>
      <c r="DU2" t="s">
        <v>2494</v>
      </c>
      <c r="DV2" t="s">
        <v>2495</v>
      </c>
      <c r="DW2" t="s">
        <v>2496</v>
      </c>
      <c r="DX2" t="s">
        <v>2498</v>
      </c>
      <c r="DY2" t="s">
        <v>2500</v>
      </c>
      <c r="DZ2" t="s">
        <v>2502</v>
      </c>
      <c r="EA2" t="s">
        <v>2503</v>
      </c>
      <c r="EB2" t="s">
        <v>2504</v>
      </c>
      <c r="EC2" t="s">
        <v>2505</v>
      </c>
      <c r="ED2" t="s">
        <v>2506</v>
      </c>
      <c r="EE2" t="s">
        <v>2507</v>
      </c>
    </row>
    <row r="3" spans="1:135" x14ac:dyDescent="0.25">
      <c r="A3" s="10">
        <v>-485017374</v>
      </c>
      <c r="B3" t="s">
        <v>1142</v>
      </c>
      <c r="D3" s="12" t="s">
        <v>2509</v>
      </c>
      <c r="E3" t="s">
        <v>1552</v>
      </c>
      <c r="F3" t="s">
        <v>1518</v>
      </c>
      <c r="G3" t="s">
        <v>1760</v>
      </c>
      <c r="H3">
        <v>49991646</v>
      </c>
      <c r="I3" t="s">
        <v>1837</v>
      </c>
      <c r="J3" t="s">
        <v>1827</v>
      </c>
      <c r="K3" t="s">
        <v>1566</v>
      </c>
      <c r="L3">
        <v>62623960</v>
      </c>
      <c r="M3" t="s">
        <v>2223</v>
      </c>
      <c r="N3" t="s">
        <v>1805</v>
      </c>
      <c r="O3" t="s">
        <v>1791</v>
      </c>
      <c r="P3">
        <v>424799820</v>
      </c>
      <c r="Q3" t="s">
        <v>2376</v>
      </c>
      <c r="R3">
        <v>170366768</v>
      </c>
      <c r="S3" t="s">
        <v>2051</v>
      </c>
      <c r="T3" t="s">
        <v>1563</v>
      </c>
      <c r="U3" t="s">
        <v>1453</v>
      </c>
      <c r="V3" t="s">
        <v>2382</v>
      </c>
      <c r="W3" t="s">
        <v>2077</v>
      </c>
      <c r="X3" t="s">
        <v>2385</v>
      </c>
      <c r="Y3" t="s">
        <v>2387</v>
      </c>
      <c r="Z3" t="s">
        <v>2022</v>
      </c>
      <c r="AA3">
        <v>12176631</v>
      </c>
      <c r="AB3">
        <v>193881737</v>
      </c>
      <c r="AC3">
        <v>170366766</v>
      </c>
      <c r="AD3">
        <v>12173391</v>
      </c>
      <c r="AE3" t="s">
        <v>2394</v>
      </c>
      <c r="AF3" t="s">
        <v>2054</v>
      </c>
      <c r="AG3" t="s">
        <v>1539</v>
      </c>
      <c r="AH3">
        <v>262962062</v>
      </c>
      <c r="AI3" t="s">
        <v>1748</v>
      </c>
      <c r="AJ3" t="s">
        <v>1976</v>
      </c>
      <c r="AK3">
        <v>12112003</v>
      </c>
      <c r="AL3" t="s">
        <v>2080</v>
      </c>
      <c r="AM3" s="1" t="s">
        <v>2079</v>
      </c>
      <c r="AN3" t="s">
        <v>2040</v>
      </c>
      <c r="AO3" t="s">
        <v>1507</v>
      </c>
      <c r="AP3" t="s">
        <v>1460</v>
      </c>
      <c r="AQ3" t="s">
        <v>2512</v>
      </c>
      <c r="AR3" t="s">
        <v>2198</v>
      </c>
      <c r="AS3" t="s">
        <v>1741</v>
      </c>
      <c r="AT3" t="s">
        <v>1972</v>
      </c>
      <c r="AU3" t="s">
        <v>1506</v>
      </c>
      <c r="AV3" t="s">
        <v>1915</v>
      </c>
      <c r="AW3" t="s">
        <v>2412</v>
      </c>
      <c r="AX3" t="s">
        <v>2158</v>
      </c>
      <c r="AY3" t="s">
        <v>2078</v>
      </c>
      <c r="AZ3" t="s">
        <v>2416</v>
      </c>
      <c r="BA3" t="s">
        <v>1908</v>
      </c>
      <c r="BB3" t="s">
        <v>1900</v>
      </c>
      <c r="BC3" t="s">
        <v>2174</v>
      </c>
      <c r="BD3" t="s">
        <v>2166</v>
      </c>
      <c r="BE3" t="s">
        <v>1940</v>
      </c>
      <c r="BF3" t="s">
        <v>1803</v>
      </c>
      <c r="BG3" t="s">
        <v>1666</v>
      </c>
      <c r="BH3" t="s">
        <v>1790</v>
      </c>
      <c r="BI3" t="s">
        <v>1948</v>
      </c>
      <c r="BJ3" t="s">
        <v>2289</v>
      </c>
      <c r="BK3" t="s">
        <v>2428</v>
      </c>
      <c r="BL3" t="s">
        <v>2010</v>
      </c>
      <c r="BM3" t="s">
        <v>1663</v>
      </c>
      <c r="BN3" t="s">
        <v>2279</v>
      </c>
      <c r="BO3">
        <v>386995469</v>
      </c>
      <c r="BP3" t="s">
        <v>2231</v>
      </c>
      <c r="BQ3" t="s">
        <v>2201</v>
      </c>
      <c r="BR3" t="s">
        <v>2041</v>
      </c>
      <c r="BS3" t="s">
        <v>2513</v>
      </c>
      <c r="BT3" t="s">
        <v>1818</v>
      </c>
      <c r="BU3">
        <v>121643863</v>
      </c>
      <c r="BV3">
        <v>30953315</v>
      </c>
      <c r="BW3">
        <v>12158873</v>
      </c>
      <c r="BX3" t="s">
        <v>1515</v>
      </c>
      <c r="BY3" t="s">
        <v>1742</v>
      </c>
      <c r="BZ3" t="s">
        <v>1746</v>
      </c>
      <c r="CA3">
        <v>62203154</v>
      </c>
      <c r="CB3" t="s">
        <v>1994</v>
      </c>
      <c r="CC3" t="s">
        <v>2447</v>
      </c>
      <c r="CD3" t="s">
        <v>1935</v>
      </c>
      <c r="CE3" t="s">
        <v>1940</v>
      </c>
      <c r="CF3" t="s">
        <v>2269</v>
      </c>
      <c r="CG3">
        <v>-450827381</v>
      </c>
      <c r="CH3">
        <v>104524028</v>
      </c>
      <c r="CI3" t="s">
        <v>1880</v>
      </c>
      <c r="CJ3" t="s">
        <v>2205</v>
      </c>
      <c r="CK3">
        <v>-424081473</v>
      </c>
      <c r="CL3">
        <v>30953012</v>
      </c>
      <c r="CM3">
        <v>424081475</v>
      </c>
      <c r="CN3" t="s">
        <v>1555</v>
      </c>
      <c r="CO3" t="s">
        <v>1528</v>
      </c>
      <c r="CP3" t="s">
        <v>1503</v>
      </c>
      <c r="CQ3" t="s">
        <v>2462</v>
      </c>
      <c r="CR3">
        <v>-132508530</v>
      </c>
      <c r="CS3" t="s">
        <v>2196</v>
      </c>
      <c r="CT3" t="s">
        <v>1636</v>
      </c>
      <c r="CU3" t="s">
        <v>2257</v>
      </c>
      <c r="CV3">
        <v>104526277</v>
      </c>
      <c r="CW3" t="s">
        <v>1440</v>
      </c>
      <c r="CX3" t="s">
        <v>2470</v>
      </c>
      <c r="CY3">
        <v>30953320</v>
      </c>
      <c r="CZ3" t="s">
        <v>1566</v>
      </c>
      <c r="DA3">
        <v>104524021</v>
      </c>
      <c r="DB3" t="s">
        <v>2222</v>
      </c>
      <c r="DC3" t="s">
        <v>1807</v>
      </c>
      <c r="DD3">
        <v>30908387</v>
      </c>
      <c r="DE3" t="s">
        <v>1942</v>
      </c>
      <c r="DF3" t="s">
        <v>1509</v>
      </c>
      <c r="DG3" t="s">
        <v>1463</v>
      </c>
      <c r="DH3">
        <v>-424769006</v>
      </c>
      <c r="DI3" t="s">
        <v>2161</v>
      </c>
      <c r="DJ3" t="s">
        <v>1574</v>
      </c>
      <c r="DK3" t="s">
        <v>1568</v>
      </c>
      <c r="DL3" s="1" t="s">
        <v>1694</v>
      </c>
      <c r="DM3" t="s">
        <v>2486</v>
      </c>
      <c r="DN3" t="s">
        <v>1576</v>
      </c>
      <c r="DO3" t="s">
        <v>1562</v>
      </c>
      <c r="DP3">
        <v>43331031</v>
      </c>
      <c r="DQ3">
        <v>62203066</v>
      </c>
      <c r="DR3" s="1" t="s">
        <v>1425</v>
      </c>
      <c r="DS3" t="s">
        <v>1786</v>
      </c>
      <c r="DT3">
        <v>31909473</v>
      </c>
      <c r="DU3" t="s">
        <v>1824</v>
      </c>
      <c r="DV3" t="s">
        <v>1878</v>
      </c>
      <c r="DW3" t="s">
        <v>2497</v>
      </c>
      <c r="DX3" t="s">
        <v>2499</v>
      </c>
      <c r="DY3" t="s">
        <v>2501</v>
      </c>
      <c r="DZ3" t="s">
        <v>2514</v>
      </c>
      <c r="EA3" t="s">
        <v>1455</v>
      </c>
      <c r="EB3">
        <v>-30953391</v>
      </c>
      <c r="EC3">
        <v>30953391</v>
      </c>
      <c r="ED3">
        <v>424769005</v>
      </c>
      <c r="EE3" t="s">
        <v>1446</v>
      </c>
    </row>
    <row r="4" spans="1:135" x14ac:dyDescent="0.25">
      <c r="A4" s="10">
        <v>-485017374</v>
      </c>
      <c r="B4" t="s">
        <v>1148</v>
      </c>
      <c r="D4" t="s">
        <v>2510</v>
      </c>
      <c r="E4">
        <f t="shared" ref="E4:AJ4" si="0">COUNTIF($A$3:$B$14312,E3)</f>
        <v>27</v>
      </c>
      <c r="F4">
        <f t="shared" si="0"/>
        <v>36</v>
      </c>
      <c r="G4">
        <f t="shared" si="0"/>
        <v>13</v>
      </c>
      <c r="H4">
        <f t="shared" si="0"/>
        <v>13</v>
      </c>
      <c r="I4">
        <f t="shared" si="0"/>
        <v>9</v>
      </c>
      <c r="J4">
        <f t="shared" si="0"/>
        <v>35</v>
      </c>
      <c r="K4">
        <f t="shared" si="0"/>
        <v>16</v>
      </c>
      <c r="L4">
        <f t="shared" si="0"/>
        <v>0</v>
      </c>
      <c r="M4">
        <f t="shared" si="0"/>
        <v>15</v>
      </c>
      <c r="N4">
        <f t="shared" si="0"/>
        <v>1</v>
      </c>
      <c r="O4">
        <f t="shared" si="0"/>
        <v>10</v>
      </c>
      <c r="P4">
        <f t="shared" si="0"/>
        <v>13</v>
      </c>
      <c r="Q4">
        <f t="shared" si="0"/>
        <v>0</v>
      </c>
      <c r="R4">
        <f t="shared" si="0"/>
        <v>3</v>
      </c>
      <c r="S4">
        <f t="shared" si="0"/>
        <v>4</v>
      </c>
      <c r="T4">
        <f t="shared" si="0"/>
        <v>7</v>
      </c>
      <c r="U4">
        <f t="shared" si="0"/>
        <v>23</v>
      </c>
      <c r="V4">
        <f t="shared" si="0"/>
        <v>0</v>
      </c>
      <c r="W4">
        <f t="shared" si="0"/>
        <v>55</v>
      </c>
      <c r="X4">
        <f t="shared" si="0"/>
        <v>0</v>
      </c>
      <c r="Y4">
        <f t="shared" si="0"/>
        <v>0</v>
      </c>
      <c r="Z4">
        <f t="shared" si="0"/>
        <v>1</v>
      </c>
      <c r="AA4">
        <f t="shared" si="0"/>
        <v>1</v>
      </c>
      <c r="AB4">
        <f t="shared" si="0"/>
        <v>0</v>
      </c>
      <c r="AC4">
        <f t="shared" si="0"/>
        <v>2</v>
      </c>
      <c r="AD4">
        <f t="shared" si="0"/>
        <v>3</v>
      </c>
      <c r="AE4">
        <f t="shared" si="0"/>
        <v>0</v>
      </c>
      <c r="AF4">
        <f t="shared" si="0"/>
        <v>27</v>
      </c>
      <c r="AG4">
        <f t="shared" si="0"/>
        <v>26</v>
      </c>
      <c r="AH4">
        <f t="shared" si="0"/>
        <v>17</v>
      </c>
      <c r="AI4">
        <f t="shared" si="0"/>
        <v>22</v>
      </c>
      <c r="AJ4">
        <f t="shared" si="0"/>
        <v>9</v>
      </c>
      <c r="AK4">
        <f t="shared" ref="AK4:BP4" si="1">COUNTIF($A$3:$B$14312,AK3)</f>
        <v>10</v>
      </c>
      <c r="AL4">
        <f t="shared" si="1"/>
        <v>25</v>
      </c>
      <c r="AM4">
        <f t="shared" si="1"/>
        <v>45</v>
      </c>
      <c r="AN4">
        <f t="shared" si="1"/>
        <v>20</v>
      </c>
      <c r="AO4">
        <f t="shared" si="1"/>
        <v>15</v>
      </c>
      <c r="AP4">
        <f t="shared" si="1"/>
        <v>27</v>
      </c>
      <c r="AQ4">
        <f t="shared" si="1"/>
        <v>0</v>
      </c>
      <c r="AR4">
        <f t="shared" si="1"/>
        <v>6</v>
      </c>
      <c r="AS4">
        <f t="shared" si="1"/>
        <v>32</v>
      </c>
      <c r="AT4">
        <f t="shared" si="1"/>
        <v>7</v>
      </c>
      <c r="AU4">
        <f t="shared" si="1"/>
        <v>22</v>
      </c>
      <c r="AV4">
        <f t="shared" si="1"/>
        <v>5</v>
      </c>
      <c r="AW4">
        <f t="shared" si="1"/>
        <v>0</v>
      </c>
      <c r="AX4">
        <f t="shared" si="1"/>
        <v>13</v>
      </c>
      <c r="AY4">
        <f t="shared" si="1"/>
        <v>43</v>
      </c>
      <c r="AZ4">
        <f t="shared" si="1"/>
        <v>0</v>
      </c>
      <c r="BA4">
        <f t="shared" si="1"/>
        <v>5</v>
      </c>
      <c r="BB4">
        <f t="shared" si="1"/>
        <v>4</v>
      </c>
      <c r="BC4">
        <f t="shared" si="1"/>
        <v>3</v>
      </c>
      <c r="BD4">
        <f t="shared" si="1"/>
        <v>3</v>
      </c>
      <c r="BE4">
        <f t="shared" si="1"/>
        <v>13</v>
      </c>
      <c r="BF4">
        <f t="shared" si="1"/>
        <v>1</v>
      </c>
      <c r="BG4">
        <f t="shared" si="1"/>
        <v>10</v>
      </c>
      <c r="BH4">
        <f t="shared" si="1"/>
        <v>8</v>
      </c>
      <c r="BI4">
        <f t="shared" si="1"/>
        <v>15</v>
      </c>
      <c r="BJ4">
        <f t="shared" si="1"/>
        <v>1</v>
      </c>
      <c r="BK4">
        <f t="shared" si="1"/>
        <v>0</v>
      </c>
      <c r="BL4">
        <f t="shared" si="1"/>
        <v>1</v>
      </c>
      <c r="BM4">
        <f t="shared" si="1"/>
        <v>16</v>
      </c>
      <c r="BN4">
        <f t="shared" si="1"/>
        <v>2</v>
      </c>
      <c r="BO4">
        <f t="shared" si="1"/>
        <v>0</v>
      </c>
      <c r="BP4">
        <f t="shared" si="1"/>
        <v>3</v>
      </c>
      <c r="BQ4">
        <f t="shared" ref="BQ4:CV4" si="2">COUNTIF($A$3:$B$14312,BQ3)</f>
        <v>6</v>
      </c>
      <c r="BR4">
        <f t="shared" si="2"/>
        <v>1</v>
      </c>
      <c r="BS4">
        <f t="shared" si="2"/>
        <v>0</v>
      </c>
      <c r="BT4">
        <f t="shared" si="2"/>
        <v>62</v>
      </c>
      <c r="BU4">
        <f t="shared" si="2"/>
        <v>5</v>
      </c>
      <c r="BV4">
        <f t="shared" si="2"/>
        <v>7</v>
      </c>
      <c r="BW4">
        <f t="shared" si="2"/>
        <v>26</v>
      </c>
      <c r="BX4">
        <f t="shared" si="2"/>
        <v>26</v>
      </c>
      <c r="BY4">
        <f t="shared" si="2"/>
        <v>32</v>
      </c>
      <c r="BZ4">
        <f t="shared" si="2"/>
        <v>32</v>
      </c>
      <c r="CA4">
        <f t="shared" si="2"/>
        <v>0</v>
      </c>
      <c r="CB4">
        <f t="shared" si="2"/>
        <v>14</v>
      </c>
      <c r="CC4">
        <f t="shared" si="2"/>
        <v>0</v>
      </c>
      <c r="CD4">
        <f t="shared" si="2"/>
        <v>13</v>
      </c>
      <c r="CE4">
        <f t="shared" si="2"/>
        <v>13</v>
      </c>
      <c r="CF4">
        <f t="shared" si="2"/>
        <v>3</v>
      </c>
      <c r="CG4">
        <f t="shared" si="2"/>
        <v>17</v>
      </c>
      <c r="CH4">
        <f t="shared" si="2"/>
        <v>0</v>
      </c>
      <c r="CI4">
        <f t="shared" si="2"/>
        <v>14</v>
      </c>
      <c r="CJ4">
        <f t="shared" si="2"/>
        <v>6</v>
      </c>
      <c r="CK4">
        <f t="shared" si="2"/>
        <v>3</v>
      </c>
      <c r="CL4">
        <f t="shared" si="2"/>
        <v>0</v>
      </c>
      <c r="CM4">
        <f t="shared" si="2"/>
        <v>0</v>
      </c>
      <c r="CN4">
        <f t="shared" si="2"/>
        <v>27</v>
      </c>
      <c r="CO4">
        <f t="shared" si="2"/>
        <v>32</v>
      </c>
      <c r="CP4">
        <f t="shared" si="2"/>
        <v>17</v>
      </c>
      <c r="CQ4">
        <f t="shared" si="2"/>
        <v>0</v>
      </c>
      <c r="CR4">
        <f t="shared" si="2"/>
        <v>1</v>
      </c>
      <c r="CS4">
        <f t="shared" si="2"/>
        <v>6</v>
      </c>
      <c r="CT4">
        <f t="shared" si="2"/>
        <v>10</v>
      </c>
      <c r="CU4">
        <f t="shared" si="2"/>
        <v>2</v>
      </c>
      <c r="CV4">
        <f t="shared" si="2"/>
        <v>22</v>
      </c>
      <c r="CW4">
        <f t="shared" ref="CW4:EB4" si="3">COUNTIF($A$3:$B$14312,CW3)</f>
        <v>1</v>
      </c>
      <c r="CX4">
        <f t="shared" si="3"/>
        <v>0</v>
      </c>
      <c r="CY4">
        <f t="shared" si="3"/>
        <v>29</v>
      </c>
      <c r="CZ4">
        <f t="shared" si="3"/>
        <v>16</v>
      </c>
      <c r="DA4">
        <f t="shared" si="3"/>
        <v>35</v>
      </c>
      <c r="DB4">
        <f t="shared" si="3"/>
        <v>15</v>
      </c>
      <c r="DC4">
        <f t="shared" si="3"/>
        <v>26</v>
      </c>
      <c r="DD4">
        <f t="shared" si="3"/>
        <v>5</v>
      </c>
      <c r="DE4">
        <f t="shared" si="3"/>
        <v>13</v>
      </c>
      <c r="DF4">
        <f t="shared" si="3"/>
        <v>9</v>
      </c>
      <c r="DG4">
        <f t="shared" si="3"/>
        <v>25</v>
      </c>
      <c r="DH4">
        <f t="shared" si="3"/>
        <v>11</v>
      </c>
      <c r="DI4">
        <f t="shared" si="3"/>
        <v>59</v>
      </c>
      <c r="DJ4">
        <f t="shared" si="3"/>
        <v>29</v>
      </c>
      <c r="DK4">
        <f t="shared" si="3"/>
        <v>36</v>
      </c>
      <c r="DL4">
        <f t="shared" si="3"/>
        <v>16</v>
      </c>
      <c r="DM4">
        <f t="shared" si="3"/>
        <v>0</v>
      </c>
      <c r="DN4">
        <f t="shared" si="3"/>
        <v>20</v>
      </c>
      <c r="DO4">
        <f t="shared" si="3"/>
        <v>16</v>
      </c>
      <c r="DP4">
        <f t="shared" si="3"/>
        <v>7</v>
      </c>
      <c r="DQ4">
        <f t="shared" si="3"/>
        <v>7</v>
      </c>
      <c r="DR4">
        <f t="shared" si="3"/>
        <v>37</v>
      </c>
      <c r="DS4">
        <f t="shared" si="3"/>
        <v>7</v>
      </c>
      <c r="DT4">
        <f t="shared" si="3"/>
        <v>59</v>
      </c>
      <c r="DU4">
        <f t="shared" si="3"/>
        <v>48</v>
      </c>
      <c r="DV4">
        <f t="shared" si="3"/>
        <v>14</v>
      </c>
      <c r="DW4">
        <f t="shared" si="3"/>
        <v>0</v>
      </c>
      <c r="DX4">
        <f t="shared" si="3"/>
        <v>0</v>
      </c>
      <c r="DY4">
        <f t="shared" si="3"/>
        <v>0</v>
      </c>
      <c r="DZ4">
        <f t="shared" si="3"/>
        <v>0</v>
      </c>
      <c r="EA4">
        <f t="shared" si="3"/>
        <v>27</v>
      </c>
      <c r="EB4">
        <f t="shared" si="3"/>
        <v>18</v>
      </c>
      <c r="EC4">
        <f>COUNTIF($A$3:$B$14312,EC3)</f>
        <v>55</v>
      </c>
      <c r="ED4">
        <f>COUNTIF($A$3:$B$14312,ED3)</f>
        <v>41</v>
      </c>
      <c r="EE4">
        <f>COUNTIF($A$3:$B$14312,EE3)</f>
        <v>23</v>
      </c>
    </row>
    <row r="5" spans="1:135" x14ac:dyDescent="0.25">
      <c r="A5" s="10">
        <v>-485017374</v>
      </c>
      <c r="B5" t="s">
        <v>1178</v>
      </c>
      <c r="E5" t="str">
        <f t="array" ref="E5">IF(ISERROR(INDEX($A$3:$B$14312,SMALL(IF($A$3:$A$14312=E$3,ROW($A$3:$A$14312)),ROW(3:3)),2)),"",INDEX($A$3:$B$14312,SMALL(IF($A$3:$A$14312=E$3,ROW($A$3:$A$14312)),ROW(3:3)),2))</f>
        <v>Router3_7</v>
      </c>
      <c r="F5" t="str">
        <f t="array" ref="F5">IF(ISERROR(INDEX($A$3:$B$14312,SMALL(IF($A$3:$A$14312=F$3,ROW($A$3:$A$14312)),ROW(3:3)),2)),"",INDEX($A$3:$B$14312,SMALL(IF($A$3:$A$14312=F$3,ROW($A$3:$A$14312)),ROW(3:3)),2))</f>
        <v>Router3_6</v>
      </c>
      <c r="G5" t="str">
        <f t="array" ref="G5">IF(ISERROR(INDEX($A$3:$B$14312,SMALL(IF($A$3:$A$14312=G$3,ROW($A$3:$A$14312)),ROW(3:3)),2)),"",INDEX($A$3:$B$14312,SMALL(IF($A$3:$A$14312=G$3,ROW($A$3:$A$14312)),ROW(3:3)),2))</f>
        <v>Router3_42</v>
      </c>
      <c r="H5" t="str">
        <f t="array" ref="H5">IF(ISERROR(INDEX($A$3:$B$14312,SMALL(IF($A$3:$A$14312=H$3,ROW($A$3:$A$14312)),ROW(3:3)),2)),"",INDEX($A$3:$B$14312,SMALL(IF($A$3:$A$14312=H$3,ROW($A$3:$A$14312)),ROW(3:3)),2))</f>
        <v>Router3_77</v>
      </c>
      <c r="I5" t="str">
        <f t="array" ref="I5">IF(ISERROR(INDEX($A$3:$B$14312,SMALL(IF($A$3:$A$14312=I$3,ROW($A$3:$A$14312)),ROW(3:3)),2)),"",INDEX($A$3:$B$14312,SMALL(IF($A$3:$A$14312=I$3,ROW($A$3:$A$14312)),ROW(3:3)),2))</f>
        <v>Router3_110</v>
      </c>
      <c r="J5" t="str">
        <f t="array" ref="J5">IF(ISERROR(INDEX($A$3:$B$14312,SMALL(IF($A$3:$A$14312=J$3,ROW($A$3:$A$14312)),ROW(3:3)),2)),"",INDEX($A$3:$B$14312,SMALL(IF($A$3:$A$14312=J$3,ROW($A$3:$A$14312)),ROW(3:3)),2))</f>
        <v>Router3_110</v>
      </c>
      <c r="K5" t="str">
        <f t="array" ref="K5">IF(ISERROR(INDEX($A$3:$B$14312,SMALL(IF($A$3:$A$14312=K$3,ROW($A$3:$A$14312)),ROW(3:3)),2)),"",INDEX($A$3:$B$14312,SMALL(IF($A$3:$A$14312=K$3,ROW($A$3:$A$14312)),ROW(3:3)),2))</f>
        <v>Router3_71</v>
      </c>
      <c r="L5" t="str">
        <f t="array" ref="L5">IF(ISERROR(INDEX($A$3:$B$14312,SMALL(IF($A$3:$A$14312=L$3,ROW($A$3:$A$14312)),ROW(3:3)),2)),"",INDEX($A$3:$B$14312,SMALL(IF($A$3:$A$14312=L$3,ROW($A$3:$A$14312)),ROW(3:3)),2))</f>
        <v/>
      </c>
      <c r="M5" t="str">
        <f t="array" ref="M5">IF(ISERROR(INDEX($A$3:$B$14312,SMALL(IF($A$3:$A$14312=M$3,ROW($A$3:$A$14312)),ROW(3:3)),2)),"",INDEX($A$3:$B$14312,SMALL(IF($A$3:$A$14312=M$3,ROW($A$3:$A$14312)),ROW(3:3)),2))</f>
        <v>Router3_81</v>
      </c>
      <c r="N5" t="str">
        <f>VLOOKUP(N3,$A$3:$B$14147,2,FALSE)</f>
        <v>Router3_19</v>
      </c>
      <c r="O5" t="str">
        <f t="array" ref="O5">IF(ISERROR(INDEX($A$3:$B$14312,SMALL(IF($A$3:$A$14312=O$3,ROW($A$3:$A$14312)),ROW(3:3)),2)),"",INDEX($A$3:$B$14312,SMALL(IF($A$3:$A$14312=O$3,ROW($A$3:$A$14312)),ROW(3:3)),2))</f>
        <v>Router3_26</v>
      </c>
      <c r="P5" t="str">
        <f t="array" ref="P5">IF(ISERROR(INDEX($A$3:$B$14312,SMALL(IF($A$3:$A$14312=P$3,ROW($A$3:$A$14312)),ROW(3:3)),2)),"",INDEX($A$3:$B$14312,SMALL(IF($A$3:$A$14312=P$3,ROW($A$3:$A$14312)),ROW(3:3)),2))</f>
        <v>Router3_77</v>
      </c>
      <c r="Q5" t="str">
        <f t="array" ref="Q5">IF(ISERROR(INDEX($A$3:$B$14312,SMALL(IF($A$3:$A$14312=Q$3,ROW($A$3:$A$14312)),ROW(3:3)),2)),"",INDEX($A$3:$B$14312,SMALL(IF($A$3:$A$14312=Q$3,ROW($A$3:$A$14312)),ROW(3:3)),2))</f>
        <v/>
      </c>
      <c r="R5" t="str">
        <f t="array" ref="R5">IF(ISERROR(INDEX($A$3:$B$14312,SMALL(IF($A$3:$A$14312=R$3,ROW($A$3:$A$14312)),ROW(3:3)),2)),"",INDEX($A$3:$B$14312,SMALL(IF($A$3:$A$14312=R$3,ROW($A$3:$A$14312)),ROW(3:3)),2))</f>
        <v>Router3_17</v>
      </c>
      <c r="S5" t="str">
        <f t="array" ref="S5">IF(ISERROR(INDEX($A$3:$B$14312,SMALL(IF($A$3:$A$14312=S$3,ROW($A$3:$A$14312)),ROW(3:3)),2)),"",INDEX($A$3:$B$14312,SMALL(IF($A$3:$A$14312=S$3,ROW($A$3:$A$14312)),ROW(3:3)),2))</f>
        <v>Router3_41</v>
      </c>
      <c r="T5" t="str">
        <f t="array" ref="T5">IF(ISERROR(INDEX($A$3:$B$14312,SMALL(IF($A$3:$A$14312=T$3,ROW($A$3:$A$14312)),ROW(3:3)),2)),"",INDEX($A$3:$B$14312,SMALL(IF($A$3:$A$14312=T$3,ROW($A$3:$A$14312)),ROW(3:3)),2))</f>
        <v>Router3_101</v>
      </c>
      <c r="U5" t="str">
        <f t="array" ref="U5">IF(ISERROR(INDEX($A$3:$B$14312,SMALL(IF($A$3:$A$14312=U$3,ROW($A$3:$A$14312)),ROW(3:3)),2)),"",INDEX($A$3:$B$14312,SMALL(IF($A$3:$A$14312=U$3,ROW($A$3:$A$14312)),ROW(3:3)),2))</f>
        <v>Router3_48</v>
      </c>
      <c r="V5" t="str">
        <f t="array" ref="V5">IF(ISERROR(INDEX($A$3:$B$14312,SMALL(IF($A$3:$A$14312=V$3,ROW($A$3:$A$14312)),ROW(3:3)),2)),"",INDEX($A$3:$B$14312,SMALL(IF($A$3:$A$14312=V$3,ROW($A$3:$A$14312)),ROW(3:3)),2))</f>
        <v/>
      </c>
      <c r="W5" t="str">
        <f t="array" ref="W5">IF(ISERROR(INDEX($A$3:$B$14312,SMALL(IF($A$3:$A$14312=W$3,ROW($A$3:$A$14312)),ROW(3:3)),2)),"",INDEX($A$3:$B$14312,SMALL(IF($A$3:$A$14312=W$3,ROW($A$3:$A$14312)),ROW(3:3)),2))</f>
        <v>Router3_52</v>
      </c>
      <c r="X5" t="str">
        <f t="array" ref="X5">IF(ISERROR(INDEX($A$3:$B$14312,SMALL(IF($A$3:$A$14312=X$3,ROW($A$3:$A$14312)),ROW(3:3)),2)),"",INDEX($A$3:$B$14312,SMALL(IF($A$3:$A$14312=X$3,ROW($A$3:$A$14312)),ROW(3:3)),2))</f>
        <v/>
      </c>
      <c r="Z5" t="str">
        <f>VLOOKUP(Z3,$A$3:$B$14147,2,FALSE)</f>
        <v>Router3_44</v>
      </c>
      <c r="AA5" t="str">
        <f>VLOOKUP(AA3,$A$3:$B$14147,2,FALSE)</f>
        <v>Router3_23</v>
      </c>
      <c r="AB5" t="str">
        <f t="array" ref="AB5">IF(ISERROR(INDEX($A$3:$B$14312,SMALL(IF($A$3:$A$14312=AB$3,ROW($A$3:$A$14312)),ROW(3:3)),2)),"",INDEX($A$3:$B$14312,SMALL(IF($A$3:$A$14312=AB$3,ROW($A$3:$A$14312)),ROW(3:3)),2))</f>
        <v/>
      </c>
      <c r="AC5" t="str">
        <f t="array" ref="AC5">IF(ISERROR(INDEX($A$3:$B$14312,SMALL(IF($A$3:$A$14312=AC$3,ROW($A$3:$A$14312)),ROW(3:3)),2)),"",INDEX($A$3:$B$14312,SMALL(IF($A$3:$A$14312=AC$3,ROW($A$3:$A$14312)),ROW(3:3)),2))</f>
        <v/>
      </c>
      <c r="AD5" t="str">
        <f t="array" ref="AD5">IF(ISERROR(INDEX($A$3:$B$14312,SMALL(IF($A$3:$A$14312=AD$3,ROW($A$3:$A$14312)),ROW(3:3)),2)),"",INDEX($A$3:$B$14312,SMALL(IF($A$3:$A$14312=AD$3,ROW($A$3:$A$14312)),ROW(3:3)),2))</f>
        <v>Router3_2</v>
      </c>
      <c r="AE5" t="str">
        <f t="array" ref="AE5">IF(ISERROR(INDEX($A$3:$B$14312,SMALL(IF($A$3:$A$14312=AE$3,ROW($A$3:$A$14312)),ROW(3:3)),2)),"",INDEX($A$3:$B$14312,SMALL(IF($A$3:$A$14312=AE$3,ROW($A$3:$A$14312)),ROW(3:3)),2))</f>
        <v/>
      </c>
      <c r="AF5" t="str">
        <f t="array" ref="AF5">IF(ISERROR(INDEX($A$3:$B$14312,SMALL(IF($A$3:$A$14312=AF$3,ROW($A$3:$A$14312)),ROW(3:3)),2)),"",INDEX($A$3:$B$14312,SMALL(IF($A$3:$A$14312=AF$3,ROW($A$3:$A$14312)),ROW(3:3)),2))</f>
        <v>Router3_86</v>
      </c>
      <c r="AG5" t="str">
        <f t="array" ref="AG5">IF(ISERROR(INDEX($A$3:$B$14312,SMALL(IF($A$3:$A$14312=AG$3,ROW($A$3:$A$14312)),ROW(3:3)),2)),"",INDEX($A$3:$B$14312,SMALL(IF($A$3:$A$14312=AG$3,ROW($A$3:$A$14312)),ROW(3:3)),2))</f>
        <v>Router3_7</v>
      </c>
      <c r="AH5" t="str">
        <f t="array" ref="AH5">IF(ISERROR(INDEX($A$3:$B$14312,SMALL(IF($A$3:$A$14312=AH$3,ROW($A$3:$A$14312)),ROW(3:3)),2)),"",INDEX($A$3:$B$14312,SMALL(IF($A$3:$A$14312=AH$3,ROW($A$3:$A$14312)),ROW(3:3)),2))</f>
        <v>Router3_11</v>
      </c>
      <c r="AI5" t="str">
        <f t="array" ref="AI5">IF(ISERROR(INDEX($A$3:$B$14312,SMALL(IF($A$3:$A$14312=AI$3,ROW($A$3:$A$14312)),ROW(3:3)),2)),"",INDEX($A$3:$B$14312,SMALL(IF($A$3:$A$14312=AI$3,ROW($A$3:$A$14312)),ROW(3:3)),2))</f>
        <v>Router3_42</v>
      </c>
      <c r="AJ5" t="str">
        <f t="array" ref="AJ5">IF(ISERROR(INDEX($A$3:$B$14312,SMALL(IF($A$3:$A$14312=AJ$3,ROW($A$3:$A$14312)),ROW(3:3)),2)),"",INDEX($A$3:$B$14312,SMALL(IF($A$3:$A$14312=AJ$3,ROW($A$3:$A$14312)),ROW(3:3)),2))</f>
        <v>Router3_65</v>
      </c>
      <c r="AK5" t="str">
        <f t="array" ref="AK5">IF(ISERROR(INDEX($A$3:$B$14312,SMALL(IF($A$3:$A$14312=AK$3,ROW($A$3:$A$14312)),ROW(3:3)),2)),"",INDEX($A$3:$B$14312,SMALL(IF($A$3:$A$14312=AK$3,ROW($A$3:$A$14312)),ROW(3:3)),2))</f>
        <v>Router3_114</v>
      </c>
      <c r="AL5" t="str">
        <f t="array" ref="AL5">IF(ISERROR(INDEX($A$3:$B$14312,SMALL(IF($A$3:$A$14312=AL$3,ROW($A$3:$A$14312)),ROW(3:3)),2)),"",INDEX($A$3:$B$14312,SMALL(IF($A$3:$A$14312=AL$3,ROW($A$3:$A$14312)),ROW(3:3)),2))</f>
        <v>Router3_61</v>
      </c>
      <c r="AM5" t="str">
        <f t="array" ref="AM5">IF(ISERROR(INDEX($A$3:$B$14312,SMALL(IF($A$3:$A$14312=AM$3,ROW($A$3:$A$14312)),ROW(3:3)),2)),"",INDEX($A$3:$B$14312,SMALL(IF($A$3:$A$14312=AM$3,ROW($A$3:$A$14312)),ROW(3:3)),2))</f>
        <v>Router3_52</v>
      </c>
      <c r="AN5" t="str">
        <f t="array" ref="AN5">IF(ISERROR(INDEX($A$3:$B$14312,SMALL(IF($A$3:$A$14312=AN$3,ROW($A$3:$A$14312)),ROW(3:3)),2)),"",INDEX($A$3:$B$14312,SMALL(IF($A$3:$A$14312=AN$3,ROW($A$3:$A$14312)),ROW(3:3)),2))</f>
        <v>Router3_49</v>
      </c>
      <c r="AO5" t="str">
        <f t="array" ref="AO5">IF(ISERROR(INDEX($A$3:$B$14312,SMALL(IF($A$3:$A$14312=AO$3,ROW($A$3:$A$14312)),ROW(3:3)),2)),"",INDEX($A$3:$B$14312,SMALL(IF($A$3:$A$14312=AO$3,ROW($A$3:$A$14312)),ROW(3:3)),2))</f>
        <v>Router3_6</v>
      </c>
      <c r="AP5" t="str">
        <f t="array" ref="AP5">IF(ISERROR(INDEX($A$3:$B$14312,SMALL(IF($A$3:$A$14312=AP$3,ROW($A$3:$A$14312)),ROW(3:3)),2)),"",INDEX($A$3:$B$14312,SMALL(IF($A$3:$A$14312=AP$3,ROW($A$3:$A$14312)),ROW(3:3)),2))</f>
        <v>Router3_6</v>
      </c>
      <c r="AQ5" t="str">
        <f t="array" ref="AQ5">IF(ISERROR(INDEX($A$3:$B$14312,SMALL(IF($A$3:$A$14312=AQ$3,ROW($A$3:$A$14312)),ROW(3:3)),2)),"",INDEX($A$3:$B$14312,SMALL(IF($A$3:$A$14312=AQ$3,ROW($A$3:$A$14312)),ROW(3:3)),2))</f>
        <v/>
      </c>
      <c r="AR5" t="str">
        <f t="array" ref="AR5">IF(ISERROR(INDEX($A$3:$B$14312,SMALL(IF($A$3:$A$14312=AR$3,ROW($A$3:$A$14312)),ROW(3:3)),2)),"",INDEX($A$3:$B$14312,SMALL(IF($A$3:$A$14312=AR$3,ROW($A$3:$A$14312)),ROW(3:3)),2))</f>
        <v>Router3_75</v>
      </c>
      <c r="AS5" t="str">
        <f t="array" ref="AS5">IF(ISERROR(INDEX($A$3:$B$14312,SMALL(IF($A$3:$A$14312=AS$3,ROW($A$3:$A$14312)),ROW(3:3)),2)),"",INDEX($A$3:$B$14312,SMALL(IF($A$3:$A$14312=AS$3,ROW($A$3:$A$14312)),ROW(3:3)),2))</f>
        <v>Router3_42</v>
      </c>
      <c r="AT5" t="str">
        <f t="array" ref="AT5">IF(ISERROR(INDEX($A$3:$B$14312,SMALL(IF($A$3:$A$14312=AT$3,ROW($A$3:$A$14312)),ROW(3:3)),2)),"",INDEX($A$3:$B$14312,SMALL(IF($A$3:$A$14312=AT$3,ROW($A$3:$A$14312)),ROW(3:3)),2))</f>
        <v>Router3_42</v>
      </c>
      <c r="AU5" t="str">
        <f t="array" ref="AU5">IF(ISERROR(INDEX($A$3:$B$14312,SMALL(IF($A$3:$A$14312=AU$3,ROW($A$3:$A$14312)),ROW(3:3)),2)),"",INDEX($A$3:$B$14312,SMALL(IF($A$3:$A$14312=AU$3,ROW($A$3:$A$14312)),ROW(3:3)),2))</f>
        <v>Router3_6</v>
      </c>
      <c r="AV5" t="str">
        <f t="array" ref="AV5">IF(ISERROR(INDEX($A$3:$B$14312,SMALL(IF($A$3:$A$14312=AV$3,ROW($A$3:$A$14312)),ROW(3:3)),2)),"",INDEX($A$3:$B$14312,SMALL(IF($A$3:$A$14312=AV$3,ROW($A$3:$A$14312)),ROW(3:3)),2))</f>
        <v>Router3_70</v>
      </c>
      <c r="AW5" t="str">
        <f t="array" ref="AW5">IF(ISERROR(INDEX($A$3:$B$14312,SMALL(IF($A$3:$A$14312=AW$3,ROW($A$3:$A$14312)),ROW(3:3)),2)),"",INDEX($A$3:$B$14312,SMALL(IF($A$3:$A$14312=AW$3,ROW($A$3:$A$14312)),ROW(3:3)),2))</f>
        <v/>
      </c>
      <c r="AX5" t="str">
        <f t="array" ref="AX5">IF(ISERROR(INDEX($A$3:$B$14312,SMALL(IF($A$3:$A$14312=AX$3,ROW($A$3:$A$14312)),ROW(3:3)),2)),"",INDEX($A$3:$B$14312,SMALL(IF($A$3:$A$14312=AX$3,ROW($A$3:$A$14312)),ROW(3:3)),2))</f>
        <v>Router3_115</v>
      </c>
      <c r="AY5" t="str">
        <f t="array" ref="AY5">IF(ISERROR(INDEX($A$3:$B$14312,SMALL(IF($A$3:$A$14312=AY$3,ROW($A$3:$A$14312)),ROW(3:3)),2)),"",INDEX($A$3:$B$14312,SMALL(IF($A$3:$A$14312=AY$3,ROW($A$3:$A$14312)),ROW(3:3)),2))</f>
        <v>Router3_52</v>
      </c>
      <c r="AZ5" t="str">
        <f t="array" ref="AZ5">IF(ISERROR(INDEX($A$3:$B$14312,SMALL(IF($A$3:$A$14312=AZ$3,ROW($A$3:$A$14312)),ROW(3:3)),2)),"",INDEX($A$3:$B$14312,SMALL(IF($A$3:$A$14312=AZ$3,ROW($A$3:$A$14312)),ROW(3:3)),2))</f>
        <v/>
      </c>
      <c r="BA5" t="str">
        <f t="array" ref="BA5">IF(ISERROR(INDEX($A$3:$B$14312,SMALL(IF($A$3:$A$14312=BA$3,ROW($A$3:$A$14312)),ROW(3:3)),2)),"",INDEX($A$3:$B$14312,SMALL(IF($A$3:$A$14312=BA$3,ROW($A$3:$A$14312)),ROW(3:3)),2))</f>
        <v>Router3_70</v>
      </c>
      <c r="BB5" t="str">
        <f t="array" ref="BB5">IF(ISERROR(INDEX($A$3:$B$14312,SMALL(IF($A$3:$A$14312=BB$3,ROW($A$3:$A$14312)),ROW(3:3)),2)),"",INDEX($A$3:$B$14312,SMALL(IF($A$3:$A$14312=BB$3,ROW($A$3:$A$14312)),ROW(3:3)),2))</f>
        <v>Router3_23</v>
      </c>
      <c r="BC5" t="str">
        <f t="array" ref="BC5">IF(ISERROR(INDEX($A$3:$B$14312,SMALL(IF($A$3:$A$14312=BC$3,ROW($A$3:$A$14312)),ROW(3:3)),2)),"",INDEX($A$3:$B$14312,SMALL(IF($A$3:$A$14312=BC$3,ROW($A$3:$A$14312)),ROW(3:3)),2))</f>
        <v>Router3_66</v>
      </c>
      <c r="BD5" t="str">
        <f t="array" ref="BD5">IF(ISERROR(INDEX($A$3:$B$14312,SMALL(IF($A$3:$A$14312=BD$3,ROW($A$3:$A$14312)),ROW(3:3)),2)),"",INDEX($A$3:$B$14312,SMALL(IF($A$3:$A$14312=BD$3,ROW($A$3:$A$14312)),ROW(3:3)),2))</f>
        <v>Router3_66</v>
      </c>
      <c r="BE5" t="str">
        <f t="array" ref="BE5">IF(ISERROR(INDEX($A$3:$B$14312,SMALL(IF($A$3:$A$14312=BE$3,ROW($A$3:$A$14312)),ROW(3:3)),2)),"",INDEX($A$3:$B$14312,SMALL(IF($A$3:$A$14312=BE$3,ROW($A$3:$A$14312)),ROW(3:3)),2))</f>
        <v>Router3_77</v>
      </c>
      <c r="BF5" t="str">
        <f>VLOOKUP(BF3,$A$3:$B$14147,2,FALSE)</f>
        <v>Router3_19</v>
      </c>
      <c r="BG5" t="str">
        <f t="array" ref="BG5">IF(ISERROR(INDEX($A$3:$B$14312,SMALL(IF($A$3:$A$14312=BG$3,ROW($A$3:$A$14312)),ROW(3:3)),2)),"",INDEX($A$3:$B$14312,SMALL(IF($A$3:$A$14312=BG$3,ROW($A$3:$A$14312)),ROW(3:3)),2))</f>
        <v>Router3_14</v>
      </c>
      <c r="BH5" t="str">
        <f t="array" ref="BH5">IF(ISERROR(INDEX($A$3:$B$14312,SMALL(IF($A$3:$A$14312=BH$3,ROW($A$3:$A$14312)),ROW(3:3)),2)),"",INDEX($A$3:$B$14312,SMALL(IF($A$3:$A$14312=BH$3,ROW($A$3:$A$14312)),ROW(3:3)),2))</f>
        <v>Router3_79</v>
      </c>
      <c r="BI5" t="str">
        <f t="array" ref="BI5">IF(ISERROR(INDEX($A$3:$B$14312,SMALL(IF($A$3:$A$14312=BI$3,ROW($A$3:$A$14312)),ROW(3:3)),2)),"",INDEX($A$3:$B$14312,SMALL(IF($A$3:$A$14312=BI$3,ROW($A$3:$A$14312)),ROW(3:3)),2))</f>
        <v>Router3_77</v>
      </c>
      <c r="BJ5" t="str">
        <f>VLOOKUP(BJ3,$A$3:$B$14147,2,FALSE)</f>
        <v>Router3_107</v>
      </c>
      <c r="BK5" t="str">
        <f t="array" ref="BK5">IF(ISERROR(INDEX($A$3:$B$14312,SMALL(IF($A$3:$A$14312=BK$3,ROW($A$3:$A$14312)),ROW(3:3)),2)),"",INDEX($A$3:$B$14312,SMALL(IF($A$3:$A$14312=BK$3,ROW($A$3:$A$14312)),ROW(3:3)),2))</f>
        <v/>
      </c>
      <c r="BL5" t="str">
        <f>VLOOKUP(BL3,$A$3:$B$14147,2,FALSE)</f>
        <v>Router3_44</v>
      </c>
      <c r="BM5" t="str">
        <f t="array" ref="BM5">IF(ISERROR(INDEX($A$3:$B$14312,SMALL(IF($A$3:$A$14312=BM$3,ROW($A$3:$A$14312)),ROW(3:3)),2)),"",INDEX($A$3:$B$14312,SMALL(IF($A$3:$A$14312=BM$3,ROW($A$3:$A$14312)),ROW(3:3)),2))</f>
        <v>Router3_13</v>
      </c>
      <c r="BN5" t="str">
        <f>VLOOKUP(BN3,$A$3:$B$14147,2,FALSE)</f>
        <v>Router3_106</v>
      </c>
      <c r="BO5" t="str">
        <f t="array" ref="BO5">IF(ISERROR(INDEX($A$3:$B$14312,SMALL(IF($A$3:$A$14312=BO$3,ROW($A$3:$A$14312)),ROW(3:3)),2)),"",INDEX($A$3:$B$14312,SMALL(IF($A$3:$A$14312=BO$3,ROW($A$3:$A$14312)),ROW(3:3)),2))</f>
        <v/>
      </c>
      <c r="BP5" t="str">
        <f t="array" ref="BP5">IF(ISERROR(INDEX($A$3:$B$14312,SMALL(IF($A$3:$A$14312=BP$3,ROW($A$3:$A$14312)),ROW(3:3)),2)),"",INDEX($A$3:$B$14312,SMALL(IF($A$3:$A$14312=BP$3,ROW($A$3:$A$14312)),ROW(3:3)),2))</f>
        <v>Router3_11</v>
      </c>
      <c r="BQ5" t="str">
        <f t="array" ref="BQ5">IF(ISERROR(INDEX($A$3:$B$14312,SMALL(IF($A$3:$A$14312=BQ$3,ROW($A$3:$A$14312)),ROW(3:3)),2)),"",INDEX($A$3:$B$14312,SMALL(IF($A$3:$A$14312=BQ$3,ROW($A$3:$A$14312)),ROW(3:3)),2))</f>
        <v>Router3_75</v>
      </c>
      <c r="BR5" t="str">
        <f>VLOOKUP(BR3,$A$3:$B$14147,2,FALSE)</f>
        <v>Router3_45</v>
      </c>
      <c r="BS5" t="str">
        <f t="array" ref="BS5">IF(ISERROR(INDEX($A$3:$B$14312,SMALL(IF($A$3:$A$14312=BS$3,ROW($A$3:$A$14312)),ROW(3:3)),2)),"",INDEX($A$3:$B$14312,SMALL(IF($A$3:$A$14312=BS$3,ROW($A$3:$A$14312)),ROW(3:3)),2))</f>
        <v/>
      </c>
      <c r="BT5" t="str">
        <f t="array" ref="BT5">IF(ISERROR(INDEX($A$3:$B$14312,SMALL(IF($A$3:$A$14312=BT$3,ROW($A$3:$A$14312)),ROW(3:3)),2)),"",INDEX($A$3:$B$14312,SMALL(IF($A$3:$A$14312=BT$3,ROW($A$3:$A$14312)),ROW(3:3)),2))</f>
        <v>Router3_52</v>
      </c>
      <c r="BU5" t="str">
        <f t="array" ref="BU5">IF(ISERROR(INDEX($A$3:$B$14312,SMALL(IF($A$3:$A$14312=BU$3,ROW($A$3:$A$14312)),ROW(3:3)),2)),"",INDEX($A$3:$B$14312,SMALL(IF($A$3:$A$14312=BU$3,ROW($A$3:$A$14312)),ROW(3:3)),2))</f>
        <v>Router3_111</v>
      </c>
      <c r="BV5" t="str">
        <f t="array" ref="BV5">IF(ISERROR(INDEX($A$3:$B$14312,SMALL(IF($A$3:$A$14312=BV$3,ROW($A$3:$A$14312)),ROW(3:3)),2)),"",INDEX($A$3:$B$14312,SMALL(IF($A$3:$A$14312=BV$3,ROW($A$3:$A$14312)),ROW(3:3)),2))</f>
        <v>Router3_101</v>
      </c>
      <c r="BW5" t="str">
        <f t="array" ref="BW5">IF(ISERROR(INDEX($A$3:$B$14312,SMALL(IF($A$3:$A$14312=BW$3,ROW($A$3:$A$14312)),ROW(3:3)),2)),"",INDEX($A$3:$B$14312,SMALL(IF($A$3:$A$14312=BW$3,ROW($A$3:$A$14312)),ROW(3:3)),2))</f>
        <v>Router3_141</v>
      </c>
      <c r="BX5" t="str">
        <f t="array" ref="BX5">IF(ISERROR(INDEX($A$3:$B$14312,SMALL(IF($A$3:$A$14312=BX$3,ROW($A$3:$A$14312)),ROW(3:3)),2)),"",INDEX($A$3:$B$14312,SMALL(IF($A$3:$A$14312=BX$3,ROW($A$3:$A$14312)),ROW(3:3)),2))</f>
        <v>Router3_6</v>
      </c>
      <c r="BY5" t="str">
        <f t="array" ref="BY5">IF(ISERROR(INDEX($A$3:$B$14312,SMALL(IF($A$3:$A$14312=BY$3,ROW($A$3:$A$14312)),ROW(3:3)),2)),"",INDEX($A$3:$B$14312,SMALL(IF($A$3:$A$14312=BY$3,ROW($A$3:$A$14312)),ROW(3:3)),2))</f>
        <v>Router3_42</v>
      </c>
      <c r="BZ5" t="str">
        <f t="array" ref="BZ5">IF(ISERROR(INDEX($A$3:$B$14312,SMALL(IF($A$3:$A$14312=BZ$3,ROW($A$3:$A$14312)),ROW(3:3)),2)),"",INDEX($A$3:$B$14312,SMALL(IF($A$3:$A$14312=BZ$3,ROW($A$3:$A$14312)),ROW(3:3)),2))</f>
        <v>Router3_42</v>
      </c>
      <c r="CA5" t="str">
        <f t="array" ref="CA5">IF(ISERROR(INDEX($A$3:$B$14312,SMALL(IF($A$3:$A$14312=CA$3,ROW($A$3:$A$14312)),ROW(3:3)),2)),"",INDEX($A$3:$B$14312,SMALL(IF($A$3:$A$14312=CA$3,ROW($A$3:$A$14312)),ROW(3:3)),2))</f>
        <v/>
      </c>
      <c r="CB5" t="str">
        <f t="array" ref="CB5">IF(ISERROR(INDEX($A$3:$B$14312,SMALL(IF($A$3:$A$14312=CB$3,ROW($A$3:$A$14312)),ROW(3:3)),2)),"",INDEX($A$3:$B$14312,SMALL(IF($A$3:$A$14312=CB$3,ROW($A$3:$A$14312)),ROW(3:3)),2))</f>
        <v>Router3_48</v>
      </c>
      <c r="CC5" t="str">
        <f t="array" ref="CC5">IF(ISERROR(INDEX($A$3:$B$14312,SMALL(IF($A$3:$A$14312=CC$3,ROW($A$3:$A$14312)),ROW(3:3)),2)),"",INDEX($A$3:$B$14312,SMALL(IF($A$3:$A$14312=CC$3,ROW($A$3:$A$14312)),ROW(3:3)),2))</f>
        <v/>
      </c>
      <c r="CD5" t="str">
        <f t="array" ref="CD5">IF(ISERROR(INDEX($A$3:$B$14312,SMALL(IF($A$3:$A$14312=CD$3,ROW($A$3:$A$14312)),ROW(3:3)),2)),"",INDEX($A$3:$B$14312,SMALL(IF($A$3:$A$14312=CD$3,ROW($A$3:$A$14312)),ROW(3:3)),2))</f>
        <v>Router3_77</v>
      </c>
      <c r="CE5" t="str">
        <f t="array" ref="CE5">IF(ISERROR(INDEX($A$3:$B$14312,SMALL(IF($A$3:$A$14312=CE$3,ROW($A$3:$A$14312)),ROW(3:3)),2)),"",INDEX($A$3:$B$14312,SMALL(IF($A$3:$A$14312=CE$3,ROW($A$3:$A$14312)),ROW(3:3)),2))</f>
        <v>Router3_77</v>
      </c>
      <c r="CF5" t="str">
        <f t="array" ref="CF5">IF(ISERROR(INDEX($A$3:$B$14312,SMALL(IF($A$3:$A$14312=CF$3,ROW($A$3:$A$14312)),ROW(3:3)),2)),"",INDEX($A$3:$B$14312,SMALL(IF($A$3:$A$14312=CF$3,ROW($A$3:$A$14312)),ROW(3:3)),2))</f>
        <v>Router3_100</v>
      </c>
      <c r="CG5" t="str">
        <f t="array" ref="CG5">IF(ISERROR(INDEX($A$3:$B$14312,SMALL(IF($A$3:$A$14312=CG$3,ROW($A$3:$A$14312)),ROW(3:3)),2)),"",INDEX($A$3:$B$14312,SMALL(IF($A$3:$A$14312=CG$3,ROW($A$3:$A$14312)),ROW(3:3)),2))</f>
        <v>Router3_7</v>
      </c>
      <c r="CH5" t="str">
        <f t="array" ref="CH5">IF(ISERROR(INDEX($A$3:$B$14312,SMALL(IF($A$3:$A$14312=CH$3,ROW($A$3:$A$14312)),ROW(3:3)),2)),"",INDEX($A$3:$B$14312,SMALL(IF($A$3:$A$14312=CH$3,ROW($A$3:$A$14312)),ROW(3:3)),2))</f>
        <v/>
      </c>
      <c r="CI5" t="str">
        <f t="array" ref="CI5">IF(ISERROR(INDEX($A$3:$B$14312,SMALL(IF($A$3:$A$14312=CI$3,ROW($A$3:$A$14312)),ROW(3:3)),2)),"",INDEX($A$3:$B$14312,SMALL(IF($A$3:$A$14312=CI$3,ROW($A$3:$A$14312)),ROW(3:3)),2))</f>
        <v>Router3_26</v>
      </c>
      <c r="CJ5" t="str">
        <f t="array" ref="CJ5">IF(ISERROR(INDEX($A$3:$B$14312,SMALL(IF($A$3:$A$14312=CJ$3,ROW($A$3:$A$14312)),ROW(3:3)),2)),"",INDEX($A$3:$B$14312,SMALL(IF($A$3:$A$14312=CJ$3,ROW($A$3:$A$14312)),ROW(3:3)),2))</f>
        <v>Router3_75</v>
      </c>
      <c r="CK5" t="str">
        <f t="array" ref="CK5">IF(ISERROR(INDEX($A$3:$B$14312,SMALL(IF($A$3:$A$14312=CK$3,ROW($A$3:$A$14312)),ROW(3:3)),2)),"",INDEX($A$3:$B$14312,SMALL(IF($A$3:$A$14312=CK$3,ROW($A$3:$A$14312)),ROW(3:3)),2))</f>
        <v>Router3_24</v>
      </c>
      <c r="CL5" t="str">
        <f t="array" ref="CL5">IF(ISERROR(INDEX($A$3:$B$14312,SMALL(IF($A$3:$A$14312=CL$3,ROW($A$3:$A$14312)),ROW(3:3)),2)),"",INDEX($A$3:$B$14312,SMALL(IF($A$3:$A$14312=CL$3,ROW($A$3:$A$14312)),ROW(3:3)),2))</f>
        <v/>
      </c>
      <c r="CM5" t="str">
        <f t="array" ref="CM5">IF(ISERROR(INDEX($A$3:$B$14312,SMALL(IF($A$3:$A$14312=CM$3,ROW($A$3:$A$14312)),ROW(3:3)),2)),"",INDEX($A$3:$B$14312,SMALL(IF($A$3:$A$14312=CM$3,ROW($A$3:$A$14312)),ROW(3:3)),2))</f>
        <v/>
      </c>
      <c r="CN5" t="str">
        <f t="array" ref="CN5">IF(ISERROR(INDEX($A$3:$B$14312,SMALL(IF($A$3:$A$14312=CN$3,ROW($A$3:$A$14312)),ROW(3:3)),2)),"",INDEX($A$3:$B$14312,SMALL(IF($A$3:$A$14312=CN$3,ROW($A$3:$A$14312)),ROW(3:3)),2))</f>
        <v>Router3_7</v>
      </c>
      <c r="CO5" t="str">
        <f t="array" ref="CO5">IF(ISERROR(INDEX($A$3:$B$14312,SMALL(IF($A$3:$A$14312=CO$3,ROW($A$3:$A$14312)),ROW(3:3)),2)),"",INDEX($A$3:$B$14312,SMALL(IF($A$3:$A$14312=CO$3,ROW($A$3:$A$14312)),ROW(3:3)),2))</f>
        <v>Router3_19</v>
      </c>
      <c r="CP5" t="str">
        <f t="array" ref="CP5">IF(ISERROR(INDEX($A$3:$B$14312,SMALL(IF($A$3:$A$14312=CP$3,ROW($A$3:$A$14312)),ROW(3:3)),2)),"",INDEX($A$3:$B$14312,SMALL(IF($A$3:$A$14312=CP$3,ROW($A$3:$A$14312)),ROW(3:3)),2))</f>
        <v>Router3_6</v>
      </c>
      <c r="CQ5" t="str">
        <f t="array" ref="CQ5">IF(ISERROR(INDEX($A$3:$B$14312,SMALL(IF($A$3:$A$14312=CQ$3,ROW($A$3:$A$14312)),ROW(3:3)),2)),"",INDEX($A$3:$B$14312,SMALL(IF($A$3:$A$14312=CQ$3,ROW($A$3:$A$14312)),ROW(3:3)),2))</f>
        <v/>
      </c>
      <c r="CR5" t="str">
        <f>VLOOKUP(CR3,$A$3:$B$14147,2,FALSE)</f>
        <v>Router3_44</v>
      </c>
      <c r="CS5" t="str">
        <f t="array" ref="CS5">IF(ISERROR(INDEX($A$3:$B$14312,SMALL(IF($A$3:$A$14312=CS$3,ROW($A$3:$A$14312)),ROW(3:3)),2)),"",INDEX($A$3:$B$14312,SMALL(IF($A$3:$A$14312=CS$3,ROW($A$3:$A$14312)),ROW(3:3)),2))</f>
        <v>Router3_75</v>
      </c>
      <c r="CT5" t="str">
        <f t="array" ref="CT5">IF(ISERROR(INDEX($A$3:$B$14312,SMALL(IF($A$3:$A$14312=CT$3,ROW($A$3:$A$14312)),ROW(3:3)),2)),"",INDEX($A$3:$B$14312,SMALL(IF($A$3:$A$14312=CT$3,ROW($A$3:$A$14312)),ROW(3:3)),2))</f>
        <v>Router3_95</v>
      </c>
      <c r="CU5" t="str">
        <f t="array" ref="CU5">IF(ISERROR(INDEX($A$3:$B$14312,SMALL(IF($A$3:$A$14312=CU$3,ROW($A$3:$A$14312)),ROW(3:3)),2)),"",INDEX($A$3:$B$14312,SMALL(IF($A$3:$A$14312=CU$3,ROW($A$3:$A$14312)),ROW(3:3)),2))</f>
        <v/>
      </c>
      <c r="CV5" t="str">
        <f t="array" ref="CV5">IF(ISERROR(INDEX($A$3:$B$14312,SMALL(IF($A$3:$A$14312=CV$3,ROW($A$3:$A$14312)),ROW(3:3)),2)),"",INDEX($A$3:$B$14312,SMALL(IF($A$3:$A$14312=CV$3,ROW($A$3:$A$14312)),ROW(3:3)),2))</f>
        <v>Router3_52</v>
      </c>
      <c r="CW5" t="str">
        <f>VLOOKUP(CW3,$A$3:$B$14147,2,FALSE)</f>
        <v>Router3_1</v>
      </c>
      <c r="CX5" t="str">
        <f t="array" ref="CX5">IF(ISERROR(INDEX($A$3:$B$14312,SMALL(IF($A$3:$A$14312=CX$3,ROW($A$3:$A$14312)),ROW(3:3)),2)),"",INDEX($A$3:$B$14312,SMALL(IF($A$3:$A$14312=CX$3,ROW($A$3:$A$14312)),ROW(3:3)),2))</f>
        <v/>
      </c>
      <c r="CY5" t="str">
        <f t="array" ref="CY5">IF(ISERROR(INDEX($A$3:$B$14312,SMALL(IF($A$3:$A$14312=CY$3,ROW($A$3:$A$14312)),ROW(3:3)),2)),"",INDEX($A$3:$B$14312,SMALL(IF($A$3:$A$14312=CY$3,ROW($A$3:$A$14312)),ROW(3:3)),2))</f>
        <v>Router3_51</v>
      </c>
      <c r="CZ5" t="str">
        <f t="array" ref="CZ5">IF(ISERROR(INDEX($A$3:$B$14312,SMALL(IF($A$3:$A$14312=CZ$3,ROW($A$3:$A$14312)),ROW(3:3)),2)),"",INDEX($A$3:$B$14312,SMALL(IF($A$3:$A$14312=CZ$3,ROW($A$3:$A$14312)),ROW(3:3)),2))</f>
        <v>Router3_71</v>
      </c>
      <c r="DA5" t="str">
        <f t="array" ref="DA5">IF(ISERROR(INDEX($A$3:$B$14312,SMALL(IF($A$3:$A$14312=DA$3,ROW($A$3:$A$14312)),ROW(3:3)),2)),"",INDEX($A$3:$B$14312,SMALL(IF($A$3:$A$14312=DA$3,ROW($A$3:$A$14312)),ROW(3:3)),2))</f>
        <v>Router3_110</v>
      </c>
      <c r="DB5" t="str">
        <f t="array" ref="DB5">IF(ISERROR(INDEX($A$3:$B$14312,SMALL(IF($A$3:$A$14312=DB$3,ROW($A$3:$A$14312)),ROW(3:3)),2)),"",INDEX($A$3:$B$14312,SMALL(IF($A$3:$A$14312=DB$3,ROW($A$3:$A$14312)),ROW(3:3)),2))</f>
        <v>Router3_81</v>
      </c>
      <c r="DC5" t="str">
        <f t="array" ref="DC5">IF(ISERROR(INDEX($A$3:$B$14312,SMALL(IF($A$3:$A$14312=DC$3,ROW($A$3:$A$14312)),ROW(3:3)),2)),"",INDEX($A$3:$B$14312,SMALL(IF($A$3:$A$14312=DC$3,ROW($A$3:$A$14312)),ROW(3:3)),2))</f>
        <v>Router3_53</v>
      </c>
      <c r="DD5" t="str">
        <f t="array" ref="DD5">IF(ISERROR(INDEX($A$3:$B$14312,SMALL(IF($A$3:$A$14312=DD$3,ROW($A$3:$A$14312)),ROW(3:3)),2)),"",INDEX($A$3:$B$14312,SMALL(IF($A$3:$A$14312=DD$3,ROW($A$3:$A$14312)),ROW(3:3)),2))</f>
        <v>Router3_111</v>
      </c>
      <c r="DE5" t="str">
        <f t="array" ref="DE5">IF(ISERROR(INDEX($A$3:$B$14312,SMALL(IF($A$3:$A$14312=DE$3,ROW($A$3:$A$14312)),ROW(3:3)),2)),"",INDEX($A$3:$B$14312,SMALL(IF($A$3:$A$14312=DE$3,ROW($A$3:$A$14312)),ROW(3:3)),2))</f>
        <v>Router3_77</v>
      </c>
      <c r="DF5" t="str">
        <f t="array" ref="DF5">IF(ISERROR(INDEX($A$3:$B$14312,SMALL(IF($A$3:$A$14312=DF$3,ROW($A$3:$A$14312)),ROW(3:3)),2)),"",INDEX($A$3:$B$14312,SMALL(IF($A$3:$A$14312=DF$3,ROW($A$3:$A$14312)),ROW(3:3)),2))</f>
        <v>Router3_6</v>
      </c>
      <c r="DG5" t="str">
        <f t="array" ref="DG5">IF(ISERROR(INDEX($A$3:$B$14312,SMALL(IF($A$3:$A$14312=DG$3,ROW($A$3:$A$14312)),ROW(3:3)),2)),"",INDEX($A$3:$B$14312,SMALL(IF($A$3:$A$14312=DG$3,ROW($A$3:$A$14312)),ROW(3:3)),2))</f>
        <v>Router3_6</v>
      </c>
      <c r="DH5" t="str">
        <f t="array" ref="DH5">IF(ISERROR(INDEX($A$3:$B$14312,SMALL(IF($A$3:$A$14312=DH$3,ROW($A$3:$A$14312)),ROW(3:3)),2)),"",INDEX($A$3:$B$14312,SMALL(IF($A$3:$A$14312=DH$3,ROW($A$3:$A$14312)),ROW(3:3)),2))</f>
        <v>Router3_48</v>
      </c>
      <c r="DI5" t="str">
        <f t="array" ref="DI5">IF(ISERROR(INDEX($A$3:$B$14312,SMALL(IF($A$3:$A$14312=DI$3,ROW($A$3:$A$14312)),ROW(3:3)),2)),"",INDEX($A$3:$B$14312,SMALL(IF($A$3:$A$14312=DI$3,ROW($A$3:$A$14312)),ROW(3:3)),2))</f>
        <v>Router3_69</v>
      </c>
      <c r="DJ5" t="str">
        <f t="array" ref="DJ5">IF(ISERROR(INDEX($A$3:$B$14312,SMALL(IF($A$3:$A$14312=DJ$3,ROW($A$3:$A$14312)),ROW(3:3)),2)),"",INDEX($A$3:$B$14312,SMALL(IF($A$3:$A$14312=DJ$3,ROW($A$3:$A$14312)),ROW(3:3)),2))</f>
        <v>Router3_41</v>
      </c>
      <c r="DK5" t="str">
        <f t="array" ref="DK5">IF(ISERROR(INDEX($A$3:$B$14312,SMALL(IF($A$3:$A$14312=DK$3,ROW($A$3:$A$14312)),ROW(3:3)),2)),"",INDEX($A$3:$B$14312,SMALL(IF($A$3:$A$14312=DK$3,ROW($A$3:$A$14312)),ROW(3:3)),2))</f>
        <v>Router3_52</v>
      </c>
      <c r="DL5" t="str">
        <f t="array" ref="DL5">IF(ISERROR(INDEX($A$3:$B$14312,SMALL(IF($A$3:$A$14312=DL$3,ROW($A$3:$A$14312)),ROW(3:3)),2)),"",INDEX($A$3:$B$14312,SMALL(IF($A$3:$A$14312=DL$3,ROW($A$3:$A$14312)),ROW(3:3)),2))</f>
        <v>Router3_26</v>
      </c>
      <c r="DM5" t="str">
        <f t="array" ref="DM5">IF(ISERROR(INDEX($A$3:$B$14312,SMALL(IF($A$3:$A$14312=DM$3,ROW($A$3:$A$14312)),ROW(3:3)),2)),"",INDEX($A$3:$B$14312,SMALL(IF($A$3:$A$14312=DM$3,ROW($A$3:$A$14312)),ROW(3:3)),2))</f>
        <v/>
      </c>
      <c r="DN5" t="str">
        <f t="array" ref="DN5">IF(ISERROR(INDEX($A$3:$B$14312,SMALL(IF($A$3:$A$14312=DN$3,ROW($A$3:$A$14312)),ROW(3:3)),2)),"",INDEX($A$3:$B$14312,SMALL(IF($A$3:$A$14312=DN$3,ROW($A$3:$A$14312)),ROW(3:3)),2))</f>
        <v>Router3_41</v>
      </c>
      <c r="DO5" t="str">
        <f t="array" ref="DO5">IF(ISERROR(INDEX($A$3:$B$14312,SMALL(IF($A$3:$A$14312=DO$3,ROW($A$3:$A$14312)),ROW(3:3)),2)),"",INDEX($A$3:$B$14312,SMALL(IF($A$3:$A$14312=DO$3,ROW($A$3:$A$14312)),ROW(3:3)),2))</f>
        <v>Router3_46</v>
      </c>
      <c r="DP5" t="str">
        <f t="array" ref="DP5">IF(ISERROR(INDEX($A$3:$B$14312,SMALL(IF($A$3:$A$14312=DP$3,ROW($A$3:$A$14312)),ROW(3:3)),2)),"",INDEX($A$3:$B$14312,SMALL(IF($A$3:$A$14312=DP$3,ROW($A$3:$A$14312)),ROW(3:3)),2))</f>
        <v>Router3_101</v>
      </c>
      <c r="DQ5" t="str">
        <f t="array" ref="DQ5">IF(ISERROR(INDEX($A$3:$B$14312,SMALL(IF($A$3:$A$14312=DQ$3,ROW($A$3:$A$14312)),ROW(3:3)),2)),"",INDEX($A$3:$B$14312,SMALL(IF($A$3:$A$14312=DQ$3,ROW($A$3:$A$14312)),ROW(3:3)),2))</f>
        <v>Router3_101</v>
      </c>
      <c r="DR5" t="str">
        <f t="array" ref="DR5">IF(ISERROR(INDEX($A$3:$B$14312,SMALL(IF($A$3:$A$14312=DR$3,ROW($A$3:$A$14312)),ROW(3:3)),2)),"",INDEX($A$3:$B$14312,SMALL(IF($A$3:$A$14312=DR$3,ROW($A$3:$A$14312)),ROW(3:3)),2))</f>
        <v>Router3_5</v>
      </c>
      <c r="DS5" t="str">
        <f t="array" ref="DS5">IF(ISERROR(INDEX($A$3:$B$14312,SMALL(IF($A$3:$A$14312=DS$3,ROW($A$3:$A$14312)),ROW(3:3)),2)),"",INDEX($A$3:$B$14312,SMALL(IF($A$3:$A$14312=DS$3,ROW($A$3:$A$14312)),ROW(3:3)),2))</f>
        <v>Router3_36</v>
      </c>
      <c r="DT5" t="str">
        <f t="array" ref="DT5">IF(ISERROR(INDEX($A$3:$B$14312,SMALL(IF($A$3:$A$14312=DT$3,ROW($A$3:$A$14312)),ROW(3:3)),2)),"",INDEX($A$3:$B$14312,SMALL(IF($A$3:$A$14312=DT$3,ROW($A$3:$A$14312)),ROW(3:3)),2))</f>
        <v>Router3_69</v>
      </c>
      <c r="DU5" t="str">
        <f t="array" ref="DU5">IF(ISERROR(INDEX($A$3:$B$14312,SMALL(IF($A$3:$A$14312=DU$3,ROW($A$3:$A$14312)),ROW(3:3)),2)),"",INDEX($A$3:$B$14312,SMALL(IF($A$3:$A$14312=DU$3,ROW($A$3:$A$14312)),ROW(3:3)),2))</f>
        <v>Router3_110</v>
      </c>
      <c r="DV5" t="str">
        <f t="array" ref="DV5">IF(ISERROR(INDEX($A$3:$B$14312,SMALL(IF($A$3:$A$14312=DV$3,ROW($A$3:$A$14312)),ROW(3:3)),2)),"",INDEX($A$3:$B$14312,SMALL(IF($A$3:$A$14312=DV$3,ROW($A$3:$A$14312)),ROW(3:3)),2))</f>
        <v>Router3_26</v>
      </c>
      <c r="DW5" t="str">
        <f t="array" ref="DW5">IF(ISERROR(INDEX($A$3:$B$14312,SMALL(IF($A$3:$A$14312=DW$3,ROW($A$3:$A$14312)),ROW(3:3)),2)),"",INDEX($A$3:$B$14312,SMALL(IF($A$3:$A$14312=DW$3,ROW($A$3:$A$14312)),ROW(3:3)),2))</f>
        <v/>
      </c>
      <c r="DX5" t="str">
        <f t="array" ref="DX5">IF(ISERROR(INDEX($A$3:$B$14312,SMALL(IF($A$3:$A$14312=DX$3,ROW($A$3:$A$14312)),ROW(3:3)),2)),"",INDEX($A$3:$B$14312,SMALL(IF($A$3:$A$14312=DX$3,ROW($A$3:$A$14312)),ROW(3:3)),2))</f>
        <v/>
      </c>
      <c r="DY5" t="str">
        <f t="array" ref="DY5">IF(ISERROR(INDEX($A$3:$B$14312,SMALL(IF($A$3:$A$14312=DY$3,ROW($A$3:$A$14312)),ROW(3:3)),2)),"",INDEX($A$3:$B$14312,SMALL(IF($A$3:$A$14312=DY$3,ROW($A$3:$A$14312)),ROW(3:3)),2))</f>
        <v/>
      </c>
      <c r="DZ5" t="str">
        <f t="array" ref="DZ5">IF(ISERROR(INDEX($A$3:$B$14312,SMALL(IF($A$3:$A$14312=DZ$3,ROW($A$3:$A$14312)),ROW(3:3)),2)),"",INDEX($A$3:$B$14312,SMALL(IF($A$3:$A$14312=DZ$3,ROW($A$3:$A$14312)),ROW(3:3)),2))</f>
        <v/>
      </c>
      <c r="EA5" t="str">
        <f t="array" ref="EA5">IF(ISERROR(INDEX($A$3:$B$14312,SMALL(IF($A$3:$A$14312=EA$3,ROW($A$3:$A$14312)),ROW(3:3)),2)),"",INDEX($A$3:$B$14312,SMALL(IF($A$3:$A$14312=EA$3,ROW($A$3:$A$14312)),ROW(3:3)),2))</f>
        <v>Router3_22</v>
      </c>
      <c r="EB5" t="str">
        <f t="array" ref="EB5">IF(ISERROR(INDEX($A$3:$B$14312,SMALL(IF($A$3:$A$14312=EB$3,ROW($A$3:$A$14312)),ROW(3:3)),2)),"",INDEX($A$3:$B$14312,SMALL(IF($A$3:$A$14312=EB$3,ROW($A$3:$A$14312)),ROW(3:3)),2))</f>
        <v>Router3_48</v>
      </c>
      <c r="EC5" t="str">
        <f t="array" ref="EC5">IF(ISERROR(INDEX($A$3:$B$14312,SMALL(IF($A$3:$A$14312=EC$3,ROW($A$3:$A$14312)),ROW(3:3)),2)),"",INDEX($A$3:$B$14312,SMALL(IF($A$3:$A$14312=EC$3,ROW($A$3:$A$14312)),ROW(3:3)),2))</f>
        <v>Router3_52</v>
      </c>
      <c r="ED5" t="str">
        <f t="array" ref="ED5">IF(ISERROR(INDEX($A$3:$B$14312,SMALL(IF($A$3:$A$14312=ED$3,ROW($A$3:$A$14312)),ROW(3:3)),2)),"",INDEX($A$3:$B$14312,SMALL(IF($A$3:$A$14312=ED$3,ROW($A$3:$A$14312)),ROW(3:3)),2))</f>
        <v>Router3_59</v>
      </c>
      <c r="EE5" t="str">
        <f t="array" ref="EE5">IF(ISERROR(INDEX($A$3:$B$14312,SMALL(IF($A$3:$A$14312=EE$3,ROW($A$3:$A$14312)),ROW(3:3)),2)),"",INDEX($A$3:$B$14312,SMALL(IF($A$3:$A$14312=EE$3,ROW($A$3:$A$14312)),ROW(3:3)),2))</f>
        <v>Router3_82</v>
      </c>
    </row>
    <row r="6" spans="1:135" x14ac:dyDescent="0.25">
      <c r="A6" s="10">
        <v>-485017374</v>
      </c>
      <c r="B6" t="s">
        <v>1201</v>
      </c>
      <c r="E6" t="str">
        <f t="array" ref="E6">IF(ISERROR(INDEX($A$3:$B$14312,SMALL(IF($A$3:$A$14312=E$3,ROW($A$3:$A$14312)),ROW(4:4)),2)),"",INDEX($A$3:$B$14312,SMALL(IF($A$3:$A$14312=E$3,ROW($A$3:$A$14312)),ROW(4:4)),2))</f>
        <v>Router3_8</v>
      </c>
      <c r="F6" t="str">
        <f t="array" ref="F6">IF(ISERROR(INDEX($A$3:$B$14312,SMALL(IF($A$3:$A$14312=F$3,ROW($A$3:$A$14312)),ROW(4:4)),2)),"",INDEX($A$3:$B$14312,SMALL(IF($A$3:$A$14312=F$3,ROW($A$3:$A$14312)),ROW(4:4)),2))</f>
        <v>Router3_13</v>
      </c>
      <c r="G6" t="str">
        <f t="array" ref="G6">IF(ISERROR(INDEX($A$3:$B$14312,SMALL(IF($A$3:$A$14312=G$3,ROW($A$3:$A$14312)),ROW(4:4)),2)),"",INDEX($A$3:$B$14312,SMALL(IF($A$3:$A$14312=G$3,ROW($A$3:$A$14312)),ROW(4:4)),2))</f>
        <v>Router3_45</v>
      </c>
      <c r="H6" t="str">
        <f t="array" ref="H6">IF(ISERROR(INDEX($A$3:$B$14312,SMALL(IF($A$3:$A$14312=H$3,ROW($A$3:$A$14312)),ROW(4:4)),2)),"",INDEX($A$3:$B$14312,SMALL(IF($A$3:$A$14312=H$3,ROW($A$3:$A$14312)),ROW(4:4)),2))</f>
        <v>Router3_78</v>
      </c>
      <c r="I6" t="str">
        <f t="array" ref="I6">IF(ISERROR(INDEX($A$3:$B$14312,SMALL(IF($A$3:$A$14312=I$3,ROW($A$3:$A$14312)),ROW(4:4)),2)),"",INDEX($A$3:$B$14312,SMALL(IF($A$3:$A$14312=I$3,ROW($A$3:$A$14312)),ROW(4:4)),2))</f>
        <v>Router3_123</v>
      </c>
      <c r="J6" t="str">
        <f t="array" ref="J6">IF(ISERROR(INDEX($A$3:$B$14312,SMALL(IF($A$3:$A$14312=J$3,ROW($A$3:$A$14312)),ROW(4:4)),2)),"",INDEX($A$3:$B$14312,SMALL(IF($A$3:$A$14312=J$3,ROW($A$3:$A$14312)),ROW(4:4)),2))</f>
        <v>Router3_123</v>
      </c>
      <c r="K6" t="str">
        <f t="array" ref="K6">IF(ISERROR(INDEX($A$3:$B$14312,SMALL(IF($A$3:$A$14312=K$3,ROW($A$3:$A$14312)),ROW(4:4)),2)),"",INDEX($A$3:$B$14312,SMALL(IF($A$3:$A$14312=K$3,ROW($A$3:$A$14312)),ROW(4:4)),2))</f>
        <v>Router3_85</v>
      </c>
      <c r="L6" t="str">
        <f t="array" ref="L6">IF(ISERROR(INDEX($A$3:$B$14312,SMALL(IF($A$3:$A$14312=L$3,ROW($A$3:$A$14312)),ROW(4:4)),2)),"",INDEX($A$3:$B$14312,SMALL(IF($A$3:$A$14312=L$3,ROW($A$3:$A$14312)),ROW(4:4)),2))</f>
        <v/>
      </c>
      <c r="M6" t="str">
        <f t="array" ref="M6">IF(ISERROR(INDEX($A$3:$B$14312,SMALL(IF($A$3:$A$14312=M$3,ROW($A$3:$A$14312)),ROW(4:4)),2)),"",INDEX($A$3:$B$14312,SMALL(IF($A$3:$A$14312=M$3,ROW($A$3:$A$14312)),ROW(4:4)),2))</f>
        <v>Router3_97</v>
      </c>
      <c r="N6" t="str">
        <f t="array" ref="N6">IF(ISERROR(INDEX($A$3:$B$14312,SMALL(IF($A$3:$A$14312=N$3,ROW($A$3:$A$14312)),ROW(4:4)),2)),"",INDEX($A$3:$B$14312,SMALL(IF($A$3:$A$14312=N$3,ROW($A$3:$A$14312)),ROW(4:4)),2))</f>
        <v/>
      </c>
      <c r="O6" t="str">
        <f t="array" ref="O6">IF(ISERROR(INDEX($A$3:$B$14312,SMALL(IF($A$3:$A$14312=O$3,ROW($A$3:$A$14312)),ROW(4:4)),2)),"",INDEX($A$3:$B$14312,SMALL(IF($A$3:$A$14312=O$3,ROW($A$3:$A$14312)),ROW(4:4)),2))</f>
        <v>Router3_53</v>
      </c>
      <c r="P6" t="str">
        <f t="array" ref="P6">IF(ISERROR(INDEX($A$3:$B$14312,SMALL(IF($A$3:$A$14312=P$3,ROW($A$3:$A$14312)),ROW(4:4)),2)),"",INDEX($A$3:$B$14312,SMALL(IF($A$3:$A$14312=P$3,ROW($A$3:$A$14312)),ROW(4:4)),2))</f>
        <v>Router3_78</v>
      </c>
      <c r="Q6" t="str">
        <f t="array" ref="Q6">IF(ISERROR(INDEX($A$3:$B$14312,SMALL(IF($A$3:$A$14312=Q$3,ROW($A$3:$A$14312)),ROW(4:4)),2)),"",INDEX($A$3:$B$14312,SMALL(IF($A$3:$A$14312=Q$3,ROW($A$3:$A$14312)),ROW(4:4)),2))</f>
        <v/>
      </c>
      <c r="R6" t="str">
        <f t="array" ref="R6">IF(ISERROR(INDEX($A$3:$B$14312,SMALL(IF($A$3:$A$14312=R$3,ROW($A$3:$A$14312)),ROW(4:4)),2)),"",INDEX($A$3:$B$14312,SMALL(IF($A$3:$A$14312=R$3,ROW($A$3:$A$14312)),ROW(4:4)),2))</f>
        <v/>
      </c>
      <c r="S6" t="str">
        <f t="array" ref="S6">IF(ISERROR(INDEX($A$3:$B$14312,SMALL(IF($A$3:$A$14312=S$3,ROW($A$3:$A$14312)),ROW(4:4)),2)),"",INDEX($A$3:$B$14312,SMALL(IF($A$3:$A$14312=S$3,ROW($A$3:$A$14312)),ROW(4:4)),2))</f>
        <v>Router3_42</v>
      </c>
      <c r="T6" t="str">
        <f t="array" ref="T6">IF(ISERROR(INDEX($A$3:$B$14312,SMALL(IF($A$3:$A$14312=T$3,ROW($A$3:$A$14312)),ROW(4:4)),2)),"",INDEX($A$3:$B$14312,SMALL(IF($A$3:$A$14312=T$3,ROW($A$3:$A$14312)),ROW(4:4)),2))</f>
        <v>Router3_119</v>
      </c>
      <c r="U6" t="str">
        <f t="array" ref="U6">IF(ISERROR(INDEX($A$3:$B$14312,SMALL(IF($A$3:$A$14312=U$3,ROW($A$3:$A$14312)),ROW(4:4)),2)),"",INDEX($A$3:$B$14312,SMALL(IF($A$3:$A$14312=U$3,ROW($A$3:$A$14312)),ROW(4:4)),2))</f>
        <v>Router3_82</v>
      </c>
      <c r="V6" t="str">
        <f t="array" ref="V6">IF(ISERROR(INDEX($A$3:$B$14312,SMALL(IF($A$3:$A$14312=V$3,ROW($A$3:$A$14312)),ROW(4:4)),2)),"",INDEX($A$3:$B$14312,SMALL(IF($A$3:$A$14312=V$3,ROW($A$3:$A$14312)),ROW(4:4)),2))</f>
        <v/>
      </c>
      <c r="W6" t="str">
        <f t="array" ref="W6">IF(ISERROR(INDEX($A$3:$B$14312,SMALL(IF($A$3:$A$14312=W$3,ROW($A$3:$A$14312)),ROW(4:4)),2)),"",INDEX($A$3:$B$14312,SMALL(IF($A$3:$A$14312=W$3,ROW($A$3:$A$14312)),ROW(4:4)),2))</f>
        <v>Router3_53</v>
      </c>
      <c r="X6" t="str">
        <f t="array" ref="X6">IF(ISERROR(INDEX($A$3:$B$14312,SMALL(IF($A$3:$A$14312=X$3,ROW($A$3:$A$14312)),ROW(4:4)),2)),"",INDEX($A$3:$B$14312,SMALL(IF($A$3:$A$14312=X$3,ROW($A$3:$A$14312)),ROW(4:4)),2))</f>
        <v/>
      </c>
      <c r="Y6" t="str">
        <f t="array" ref="Y6">IF(ISERROR(INDEX($A$3:$B$14312,SMALL(IF($A$3:$A$14312=Y$3,ROW($A$3:$A$14312)),ROW(4:4)),2)),"",INDEX($A$3:$B$14312,SMALL(IF($A$3:$A$14312=Y$3,ROW($A$3:$A$14312)),ROW(4:4)),2))</f>
        <v/>
      </c>
      <c r="Z6" t="str">
        <f t="array" ref="Z6">IF(ISERROR(INDEX($A$3:$B$14312,SMALL(IF($A$3:$A$14312=Z$3,ROW($A$3:$A$14312)),ROW(4:4)),2)),"",INDEX($A$3:$B$14312,SMALL(IF($A$3:$A$14312=Z$3,ROW($A$3:$A$14312)),ROW(4:4)),2))</f>
        <v/>
      </c>
      <c r="AA6" t="str">
        <f t="array" ref="AA6">IF(ISERROR(INDEX($A$3:$B$14312,SMALL(IF($A$3:$A$14312=AA$3,ROW($A$3:$A$14312)),ROW(4:4)),2)),"",INDEX($A$3:$B$14312,SMALL(IF($A$3:$A$14312=AA$3,ROW($A$3:$A$14312)),ROW(4:4)),2))</f>
        <v/>
      </c>
      <c r="AB6" t="str">
        <f t="array" ref="AB6">IF(ISERROR(INDEX($A$3:$B$14312,SMALL(IF($A$3:$A$14312=AB$3,ROW($A$3:$A$14312)),ROW(4:4)),2)),"",INDEX($A$3:$B$14312,SMALL(IF($A$3:$A$14312=AB$3,ROW($A$3:$A$14312)),ROW(4:4)),2))</f>
        <v/>
      </c>
      <c r="AC6" t="str">
        <f t="array" ref="AC6">IF(ISERROR(INDEX($A$3:$B$14312,SMALL(IF($A$3:$A$14312=AC$3,ROW($A$3:$A$14312)),ROW(4:4)),2)),"",INDEX($A$3:$B$14312,SMALL(IF($A$3:$A$14312=AC$3,ROW($A$3:$A$14312)),ROW(4:4)),2))</f>
        <v/>
      </c>
      <c r="AD6" t="str">
        <f t="array" ref="AD6">IF(ISERROR(INDEX($A$3:$B$14312,SMALL(IF($A$3:$A$14312=AD$3,ROW($A$3:$A$14312)),ROW(4:4)),2)),"",INDEX($A$3:$B$14312,SMALL(IF($A$3:$A$14312=AD$3,ROW($A$3:$A$14312)),ROW(4:4)),2))</f>
        <v/>
      </c>
      <c r="AE6" t="str">
        <f t="array" ref="AE6">IF(ISERROR(INDEX($A$3:$B$14312,SMALL(IF($A$3:$A$14312=AE$3,ROW($A$3:$A$14312)),ROW(4:4)),2)),"",INDEX($A$3:$B$14312,SMALL(IF($A$3:$A$14312=AE$3,ROW($A$3:$A$14312)),ROW(4:4)),2))</f>
        <v/>
      </c>
      <c r="AF6" t="str">
        <f t="array" ref="AF6">IF(ISERROR(INDEX($A$3:$B$14312,SMALL(IF($A$3:$A$14312=AF$3,ROW($A$3:$A$14312)),ROW(4:4)),2)),"",INDEX($A$3:$B$14312,SMALL(IF($A$3:$A$14312=AF$3,ROW($A$3:$A$14312)),ROW(4:4)),2))</f>
        <v>Router3_87</v>
      </c>
      <c r="AG6" t="str">
        <f t="array" ref="AG6">IF(ISERROR(INDEX($A$3:$B$14312,SMALL(IF($A$3:$A$14312=AG$3,ROW($A$3:$A$14312)),ROW(4:4)),2)),"",INDEX($A$3:$B$14312,SMALL(IF($A$3:$A$14312=AG$3,ROW($A$3:$A$14312)),ROW(4:4)),2))</f>
        <v>Router3_8</v>
      </c>
      <c r="AH6" t="str">
        <f t="array" ref="AH6">IF(ISERROR(INDEX($A$3:$B$14312,SMALL(IF($A$3:$A$14312=AH$3,ROW($A$3:$A$14312)),ROW(4:4)),2)),"",INDEX($A$3:$B$14312,SMALL(IF($A$3:$A$14312=AH$3,ROW($A$3:$A$14312)),ROW(4:4)),2))</f>
        <v>Router3_12</v>
      </c>
      <c r="AI6" t="str">
        <f t="array" ref="AI6">IF(ISERROR(INDEX($A$3:$B$14312,SMALL(IF($A$3:$A$14312=AI$3,ROW($A$3:$A$14312)),ROW(4:4)),2)),"",INDEX($A$3:$B$14312,SMALL(IF($A$3:$A$14312=AI$3,ROW($A$3:$A$14312)),ROW(4:4)),2))</f>
        <v>Router3_43</v>
      </c>
      <c r="AJ6" t="str">
        <f t="array" ref="AJ6">IF(ISERROR(INDEX($A$3:$B$14312,SMALL(IF($A$3:$A$14312=AJ$3,ROW($A$3:$A$14312)),ROW(4:4)),2)),"",INDEX($A$3:$B$14312,SMALL(IF($A$3:$A$14312=AJ$3,ROW($A$3:$A$14312)),ROW(4:4)),2))</f>
        <v>Router3_66</v>
      </c>
      <c r="AK6" t="str">
        <f t="array" ref="AK6">IF(ISERROR(INDEX($A$3:$B$14312,SMALL(IF($A$3:$A$14312=AK$3,ROW($A$3:$A$14312)),ROW(4:4)),2)),"",INDEX($A$3:$B$14312,SMALL(IF($A$3:$A$14312=AK$3,ROW($A$3:$A$14312)),ROW(4:4)),2))</f>
        <v>Router3_115</v>
      </c>
      <c r="AL6" t="str">
        <f t="array" ref="AL6">IF(ISERROR(INDEX($A$3:$B$14312,SMALL(IF($A$3:$A$14312=AL$3,ROW($A$3:$A$14312)),ROW(4:4)),2)),"",INDEX($A$3:$B$14312,SMALL(IF($A$3:$A$14312=AL$3,ROW($A$3:$A$14312)),ROW(4:4)),2))</f>
        <v>Router3_66</v>
      </c>
      <c r="AM6" t="str">
        <f t="array" ref="AM6">IF(ISERROR(INDEX($A$3:$B$14312,SMALL(IF($A$3:$A$14312=AM$3,ROW($A$3:$A$14312)),ROW(4:4)),2)),"",INDEX($A$3:$B$14312,SMALL(IF($A$3:$A$14312=AM$3,ROW($A$3:$A$14312)),ROW(4:4)),2))</f>
        <v>Router3_53</v>
      </c>
      <c r="AN6" t="str">
        <f t="array" ref="AN6">IF(ISERROR(INDEX($A$3:$B$14312,SMALL(IF($A$3:$A$14312=AN$3,ROW($A$3:$A$14312)),ROW(4:4)),2)),"",INDEX($A$3:$B$14312,SMALL(IF($A$3:$A$14312=AN$3,ROW($A$3:$A$14312)),ROW(4:4)),2))</f>
        <v>Router3_50</v>
      </c>
      <c r="AO6" t="str">
        <f t="array" ref="AO6">IF(ISERROR(INDEX($A$3:$B$14312,SMALL(IF($A$3:$A$14312=AO$3,ROW($A$3:$A$14312)),ROW(4:4)),2)),"",INDEX($A$3:$B$14312,SMALL(IF($A$3:$A$14312=AO$3,ROW($A$3:$A$14312)),ROW(4:4)),2))</f>
        <v>Router3_13</v>
      </c>
      <c r="AP6" t="str">
        <f t="array" ref="AP6">IF(ISERROR(INDEX($A$3:$B$14312,SMALL(IF($A$3:$A$14312=AP$3,ROW($A$3:$A$14312)),ROW(4:4)),2)),"",INDEX($A$3:$B$14312,SMALL(IF($A$3:$A$14312=AP$3,ROW($A$3:$A$14312)),ROW(4:4)),2))</f>
        <v>Router3_7</v>
      </c>
      <c r="AQ6" t="str">
        <f t="array" ref="AQ6">IF(ISERROR(INDEX($A$3:$B$14312,SMALL(IF($A$3:$A$14312=AQ$3,ROW($A$3:$A$14312)),ROW(4:4)),2)),"",INDEX($A$3:$B$14312,SMALL(IF($A$3:$A$14312=AQ$3,ROW($A$3:$A$14312)),ROW(4:4)),2))</f>
        <v/>
      </c>
      <c r="AR6" t="str">
        <f t="array" ref="AR6">IF(ISERROR(INDEX($A$3:$B$14312,SMALL(IF($A$3:$A$14312=AR$3,ROW($A$3:$A$14312)),ROW(4:4)),2)),"",INDEX($A$3:$B$14312,SMALL(IF($A$3:$A$14312=AR$3,ROW($A$3:$A$14312)),ROW(4:4)),2))</f>
        <v>Router3_76</v>
      </c>
      <c r="AS6" t="str">
        <f t="array" ref="AS6">IF(ISERROR(INDEX($A$3:$B$14312,SMALL(IF($A$3:$A$14312=AS$3,ROW($A$3:$A$14312)),ROW(4:4)),2)),"",INDEX($A$3:$B$14312,SMALL(IF($A$3:$A$14312=AS$3,ROW($A$3:$A$14312)),ROW(4:4)),2))</f>
        <v>Router3_43</v>
      </c>
      <c r="AT6" t="str">
        <f t="array" ref="AT6">IF(ISERROR(INDEX($A$3:$B$14312,SMALL(IF($A$3:$A$14312=AT$3,ROW($A$3:$A$14312)),ROW(4:4)),2)),"",INDEX($A$3:$B$14312,SMALL(IF($A$3:$A$14312=AT$3,ROW($A$3:$A$14312)),ROW(4:4)),2))</f>
        <v>Router3_43</v>
      </c>
      <c r="AU6" t="str">
        <f t="array" ref="AU6">IF(ISERROR(INDEX($A$3:$B$14312,SMALL(IF($A$3:$A$14312=AU$3,ROW($A$3:$A$14312)),ROW(4:4)),2)),"",INDEX($A$3:$B$14312,SMALL(IF($A$3:$A$14312=AU$3,ROW($A$3:$A$14312)),ROW(4:4)),2))</f>
        <v>Router3_7</v>
      </c>
      <c r="AV6" t="str">
        <f t="array" ref="AV6">IF(ISERROR(INDEX($A$3:$B$14312,SMALL(IF($A$3:$A$14312=AV$3,ROW($A$3:$A$14312)),ROW(4:4)),2)),"",INDEX($A$3:$B$14312,SMALL(IF($A$3:$A$14312=AV$3,ROW($A$3:$A$14312)),ROW(4:4)),2))</f>
        <v>Router3_50</v>
      </c>
      <c r="AW6" t="str">
        <f t="array" ref="AW6">IF(ISERROR(INDEX($A$3:$B$14312,SMALL(IF($A$3:$A$14312=AW$3,ROW($A$3:$A$14312)),ROW(4:4)),2)),"",INDEX($A$3:$B$14312,SMALL(IF($A$3:$A$14312=AW$3,ROW($A$3:$A$14312)),ROW(4:4)),2))</f>
        <v/>
      </c>
      <c r="AX6" t="str">
        <f t="array" ref="AX6">IF(ISERROR(INDEX($A$3:$B$14312,SMALL(IF($A$3:$A$14312=AX$3,ROW($A$3:$A$14312)),ROW(4:4)),2)),"",INDEX($A$3:$B$14312,SMALL(IF($A$3:$A$14312=AX$3,ROW($A$3:$A$14312)),ROW(4:4)),2))</f>
        <v>Router3_129</v>
      </c>
      <c r="AY6" t="str">
        <f t="array" ref="AY6">IF(ISERROR(INDEX($A$3:$B$14312,SMALL(IF($A$3:$A$14312=AY$3,ROW($A$3:$A$14312)),ROW(4:4)),2)),"",INDEX($A$3:$B$14312,SMALL(IF($A$3:$A$14312=AY$3,ROW($A$3:$A$14312)),ROW(4:4)),2))</f>
        <v>Router3_53</v>
      </c>
      <c r="AZ6" t="str">
        <f t="array" ref="AZ6">IF(ISERROR(INDEX($A$3:$B$14312,SMALL(IF($A$3:$A$14312=AZ$3,ROW($A$3:$A$14312)),ROW(4:4)),2)),"",INDEX($A$3:$B$14312,SMALL(IF($A$3:$A$14312=AZ$3,ROW($A$3:$A$14312)),ROW(4:4)),2))</f>
        <v/>
      </c>
      <c r="BA6" t="str">
        <f t="array" ref="BA6">IF(ISERROR(INDEX($A$3:$B$14312,SMALL(IF($A$3:$A$14312=BA$3,ROW($A$3:$A$14312)),ROW(4:4)),2)),"",INDEX($A$3:$B$14312,SMALL(IF($A$3:$A$14312=BA$3,ROW($A$3:$A$14312)),ROW(4:4)),2))</f>
        <v>Router3_23</v>
      </c>
      <c r="BB6" t="str">
        <f t="array" ref="BB6">IF(ISERROR(INDEX($A$3:$B$14312,SMALL(IF($A$3:$A$14312=BB$3,ROW($A$3:$A$14312)),ROW(4:4)),2)),"",INDEX($A$3:$B$14312,SMALL(IF($A$3:$A$14312=BB$3,ROW($A$3:$A$14312)),ROW(4:4)),2))</f>
        <v>Router3_68</v>
      </c>
      <c r="BC6" t="str">
        <f t="array" ref="BC6">IF(ISERROR(INDEX($A$3:$B$14312,SMALL(IF($A$3:$A$14312=BC$3,ROW($A$3:$A$14312)),ROW(4:4)),2)),"",INDEX($A$3:$B$14312,SMALL(IF($A$3:$A$14312=BC$3,ROW($A$3:$A$14312)),ROW(4:4)),2))</f>
        <v/>
      </c>
      <c r="BD6" t="str">
        <f t="array" ref="BD6">IF(ISERROR(INDEX($A$3:$B$14312,SMALL(IF($A$3:$A$14312=BD$3,ROW($A$3:$A$14312)),ROW(4:4)),2)),"",INDEX($A$3:$B$14312,SMALL(IF($A$3:$A$14312=BD$3,ROW($A$3:$A$14312)),ROW(4:4)),2))</f>
        <v/>
      </c>
      <c r="BE6" t="str">
        <f t="array" ref="BE6">IF(ISERROR(INDEX($A$3:$B$14312,SMALL(IF($A$3:$A$14312=BE$3,ROW($A$3:$A$14312)),ROW(4:4)),2)),"",INDEX($A$3:$B$14312,SMALL(IF($A$3:$A$14312=BE$3,ROW($A$3:$A$14312)),ROW(4:4)),2))</f>
        <v>Router3_78</v>
      </c>
      <c r="BF6" t="str">
        <f t="array" ref="BF6">IF(ISERROR(INDEX($A$3:$B$14312,SMALL(IF($A$3:$A$14312=BF$3,ROW($A$3:$A$14312)),ROW(4:4)),2)),"",INDEX($A$3:$B$14312,SMALL(IF($A$3:$A$14312=BF$3,ROW($A$3:$A$14312)),ROW(4:4)),2))</f>
        <v/>
      </c>
      <c r="BG6" t="str">
        <f t="array" ref="BG6">IF(ISERROR(INDEX($A$3:$B$14312,SMALL(IF($A$3:$A$14312=BG$3,ROW($A$3:$A$14312)),ROW(4:4)),2)),"",INDEX($A$3:$B$14312,SMALL(IF($A$3:$A$14312=BG$3,ROW($A$3:$A$14312)),ROW(4:4)),2))</f>
        <v>Router3_15</v>
      </c>
      <c r="BH6" t="str">
        <f t="array" ref="BH6">IF(ISERROR(INDEX($A$3:$B$14312,SMALL(IF($A$3:$A$14312=BH$3,ROW($A$3:$A$14312)),ROW(4:4)),2)),"",INDEX($A$3:$B$14312,SMALL(IF($A$3:$A$14312=BH$3,ROW($A$3:$A$14312)),ROW(4:4)),2))</f>
        <v>Router3_89</v>
      </c>
      <c r="BI6" t="str">
        <f t="array" ref="BI6">IF(ISERROR(INDEX($A$3:$B$14312,SMALL(IF($A$3:$A$14312=BI$3,ROW($A$3:$A$14312)),ROW(4:4)),2)),"",INDEX($A$3:$B$14312,SMALL(IF($A$3:$A$14312=BI$3,ROW($A$3:$A$14312)),ROW(4:4)),2))</f>
        <v>Router3_78</v>
      </c>
      <c r="BJ6" t="str">
        <f t="array" ref="BJ6">IF(ISERROR(INDEX($A$3:$B$14312,SMALL(IF($A$3:$A$14312=BJ$3,ROW($A$3:$A$14312)),ROW(4:4)),2)),"",INDEX($A$3:$B$14312,SMALL(IF($A$3:$A$14312=BJ$3,ROW($A$3:$A$14312)),ROW(4:4)),2))</f>
        <v/>
      </c>
      <c r="BK6" t="str">
        <f t="array" ref="BK6">IF(ISERROR(INDEX($A$3:$B$14312,SMALL(IF($A$3:$A$14312=BK$3,ROW($A$3:$A$14312)),ROW(4:4)),2)),"",INDEX($A$3:$B$14312,SMALL(IF($A$3:$A$14312=BK$3,ROW($A$3:$A$14312)),ROW(4:4)),2))</f>
        <v/>
      </c>
      <c r="BL6" t="str">
        <f t="array" ref="BL6">IF(ISERROR(INDEX($A$3:$B$14312,SMALL(IF($A$3:$A$14312=BL$3,ROW($A$3:$A$14312)),ROW(4:4)),2)),"",INDEX($A$3:$B$14312,SMALL(IF($A$3:$A$14312=BL$3,ROW($A$3:$A$14312)),ROW(4:4)),2))</f>
        <v/>
      </c>
      <c r="BM6" t="str">
        <f t="array" ref="BM6">IF(ISERROR(INDEX($A$3:$B$14312,SMALL(IF($A$3:$A$14312=BM$3,ROW($A$3:$A$14312)),ROW(4:4)),2)),"",INDEX($A$3:$B$14312,SMALL(IF($A$3:$A$14312=BM$3,ROW($A$3:$A$14312)),ROW(4:4)),2))</f>
        <v>Router3_14</v>
      </c>
      <c r="BN6" t="str">
        <f t="array" ref="BN6">IF(ISERROR(INDEX($A$3:$B$14312,SMALL(IF($A$3:$A$14312=BN$3,ROW($A$3:$A$14312)),ROW(4:4)),2)),"",INDEX($A$3:$B$14312,SMALL(IF($A$3:$A$14312=BN$3,ROW($A$3:$A$14312)),ROW(4:4)),2))</f>
        <v/>
      </c>
      <c r="BO6" t="str">
        <f t="array" ref="BO6">IF(ISERROR(INDEX($A$3:$B$14312,SMALL(IF($A$3:$A$14312=BO$3,ROW($A$3:$A$14312)),ROW(4:4)),2)),"",INDEX($A$3:$B$14312,SMALL(IF($A$3:$A$14312=BO$3,ROW($A$3:$A$14312)),ROW(4:4)),2))</f>
        <v/>
      </c>
      <c r="BP6" t="str">
        <f t="array" ref="BP6">IF(ISERROR(INDEX($A$3:$B$14312,SMALL(IF($A$3:$A$14312=BP$3,ROW($A$3:$A$14312)),ROW(4:4)),2)),"",INDEX($A$3:$B$14312,SMALL(IF($A$3:$A$14312=BP$3,ROW($A$3:$A$14312)),ROW(4:4)),2))</f>
        <v/>
      </c>
      <c r="BQ6" t="str">
        <f t="array" ref="BQ6">IF(ISERROR(INDEX($A$3:$B$14312,SMALL(IF($A$3:$A$14312=BQ$3,ROW($A$3:$A$14312)),ROW(4:4)),2)),"",INDEX($A$3:$B$14312,SMALL(IF($A$3:$A$14312=BQ$3,ROW($A$3:$A$14312)),ROW(4:4)),2))</f>
        <v>Router3_76</v>
      </c>
      <c r="BR6" t="str">
        <f t="array" ref="BR6">IF(ISERROR(INDEX($A$3:$B$14312,SMALL(IF($A$3:$A$14312=BR$3,ROW($A$3:$A$14312)),ROW(4:4)),2)),"",INDEX($A$3:$B$14312,SMALL(IF($A$3:$A$14312=BR$3,ROW($A$3:$A$14312)),ROW(4:4)),2))</f>
        <v/>
      </c>
      <c r="BS6" t="str">
        <f t="array" ref="BS6">IF(ISERROR(INDEX($A$3:$B$14312,SMALL(IF($A$3:$A$14312=BS$3,ROW($A$3:$A$14312)),ROW(4:4)),2)),"",INDEX($A$3:$B$14312,SMALL(IF($A$3:$A$14312=BS$3,ROW($A$3:$A$14312)),ROW(4:4)),2))</f>
        <v/>
      </c>
      <c r="BT6" t="str">
        <f t="array" ref="BT6">IF(ISERROR(INDEX($A$3:$B$14312,SMALL(IF($A$3:$A$14312=BT$3,ROW($A$3:$A$14312)),ROW(4:4)),2)),"",INDEX($A$3:$B$14312,SMALL(IF($A$3:$A$14312=BT$3,ROW($A$3:$A$14312)),ROW(4:4)),2))</f>
        <v>Router3_52</v>
      </c>
      <c r="BU6" t="str">
        <f t="array" ref="BU6">IF(ISERROR(INDEX($A$3:$B$14312,SMALL(IF($A$3:$A$14312=BU$3,ROW($A$3:$A$14312)),ROW(4:4)),2)),"",INDEX($A$3:$B$14312,SMALL(IF($A$3:$A$14312=BU$3,ROW($A$3:$A$14312)),ROW(4:4)),2))</f>
        <v>Router3_50</v>
      </c>
      <c r="BV6" t="str">
        <f t="array" ref="BV6">IF(ISERROR(INDEX($A$3:$B$14312,SMALL(IF($A$3:$A$14312=BV$3,ROW($A$3:$A$14312)),ROW(4:4)),2)),"",INDEX($A$3:$B$14312,SMALL(IF($A$3:$A$14312=BV$3,ROW($A$3:$A$14312)),ROW(4:4)),2))</f>
        <v>Router3_119</v>
      </c>
      <c r="BW6" t="str">
        <f t="array" ref="BW6">IF(ISERROR(INDEX($A$3:$B$14312,SMALL(IF($A$3:$A$14312=BW$3,ROW($A$3:$A$14312)),ROW(4:4)),2)),"",INDEX($A$3:$B$14312,SMALL(IF($A$3:$A$14312=BW$3,ROW($A$3:$A$14312)),ROW(4:4)),2))</f>
        <v>Router3_142</v>
      </c>
      <c r="BX6" t="str">
        <f t="array" ref="BX6">IF(ISERROR(INDEX($A$3:$B$14312,SMALL(IF($A$3:$A$14312=BX$3,ROW($A$3:$A$14312)),ROW(4:4)),2)),"",INDEX($A$3:$B$14312,SMALL(IF($A$3:$A$14312=BX$3,ROW($A$3:$A$14312)),ROW(4:4)),2))</f>
        <v>Router3_13</v>
      </c>
      <c r="BY6" t="str">
        <f t="array" ref="BY6">IF(ISERROR(INDEX($A$3:$B$14312,SMALL(IF($A$3:$A$14312=BY$3,ROW($A$3:$A$14312)),ROW(4:4)),2)),"",INDEX($A$3:$B$14312,SMALL(IF($A$3:$A$14312=BY$3,ROW($A$3:$A$14312)),ROW(4:4)),2))</f>
        <v>Router3_43</v>
      </c>
      <c r="BZ6" t="str">
        <f t="array" ref="BZ6">IF(ISERROR(INDEX($A$3:$B$14312,SMALL(IF($A$3:$A$14312=BZ$3,ROW($A$3:$A$14312)),ROW(4:4)),2)),"",INDEX($A$3:$B$14312,SMALL(IF($A$3:$A$14312=BZ$3,ROW($A$3:$A$14312)),ROW(4:4)),2))</f>
        <v>Router3_43</v>
      </c>
      <c r="CA6" t="str">
        <f t="array" ref="CA6">IF(ISERROR(INDEX($A$3:$B$14312,SMALL(IF($A$3:$A$14312=CA$3,ROW($A$3:$A$14312)),ROW(4:4)),2)),"",INDEX($A$3:$B$14312,SMALL(IF($A$3:$A$14312=CA$3,ROW($A$3:$A$14312)),ROW(4:4)),2))</f>
        <v/>
      </c>
      <c r="CB6" t="str">
        <f t="array" ref="CB6">IF(ISERROR(INDEX($A$3:$B$14312,SMALL(IF($A$3:$A$14312=CB$3,ROW($A$3:$A$14312)),ROW(4:4)),2)),"",INDEX($A$3:$B$14312,SMALL(IF($A$3:$A$14312=CB$3,ROW($A$3:$A$14312)),ROW(4:4)),2))</f>
        <v>Router3_49</v>
      </c>
      <c r="CC6" t="str">
        <f t="array" ref="CC6">IF(ISERROR(INDEX($A$3:$B$14312,SMALL(IF($A$3:$A$14312=CC$3,ROW($A$3:$A$14312)),ROW(4:4)),2)),"",INDEX($A$3:$B$14312,SMALL(IF($A$3:$A$14312=CC$3,ROW($A$3:$A$14312)),ROW(4:4)),2))</f>
        <v/>
      </c>
      <c r="CD6" t="str">
        <f t="array" ref="CD6">IF(ISERROR(INDEX($A$3:$B$14312,SMALL(IF($A$3:$A$14312=CD$3,ROW($A$3:$A$14312)),ROW(4:4)),2)),"",INDEX($A$3:$B$14312,SMALL(IF($A$3:$A$14312=CD$3,ROW($A$3:$A$14312)),ROW(4:4)),2))</f>
        <v>Router3_78</v>
      </c>
      <c r="CE6" t="str">
        <f t="array" ref="CE6">IF(ISERROR(INDEX($A$3:$B$14312,SMALL(IF($A$3:$A$14312=CE$3,ROW($A$3:$A$14312)),ROW(4:4)),2)),"",INDEX($A$3:$B$14312,SMALL(IF($A$3:$A$14312=CE$3,ROW($A$3:$A$14312)),ROW(4:4)),2))</f>
        <v>Router3_78</v>
      </c>
      <c r="CF6" t="str">
        <f t="array" ref="CF6">IF(ISERROR(INDEX($A$3:$B$14312,SMALL(IF($A$3:$A$14312=CF$3,ROW($A$3:$A$14312)),ROW(4:4)),2)),"",INDEX($A$3:$B$14312,SMALL(IF($A$3:$A$14312=CF$3,ROW($A$3:$A$14312)),ROW(4:4)),2))</f>
        <v/>
      </c>
      <c r="CG6" t="str">
        <f t="array" ref="CG6">IF(ISERROR(INDEX($A$3:$B$14312,SMALL(IF($A$3:$A$14312=CG$3,ROW($A$3:$A$14312)),ROW(4:4)),2)),"",INDEX($A$3:$B$14312,SMALL(IF($A$3:$A$14312=CG$3,ROW($A$3:$A$14312)),ROW(4:4)),2))</f>
        <v>Router3_8</v>
      </c>
      <c r="CH6" t="str">
        <f t="array" ref="CH6">IF(ISERROR(INDEX($A$3:$B$14312,SMALL(IF($A$3:$A$14312=CH$3,ROW($A$3:$A$14312)),ROW(4:4)),2)),"",INDEX($A$3:$B$14312,SMALL(IF($A$3:$A$14312=CH$3,ROW($A$3:$A$14312)),ROW(4:4)),2))</f>
        <v/>
      </c>
      <c r="CI6" t="str">
        <f t="array" ref="CI6">IF(ISERROR(INDEX($A$3:$B$14312,SMALL(IF($A$3:$A$14312=CI$3,ROW($A$3:$A$14312)),ROW(4:4)),2)),"",INDEX($A$3:$B$14312,SMALL(IF($A$3:$A$14312=CI$3,ROW($A$3:$A$14312)),ROW(4:4)),2))</f>
        <v>Router3_77</v>
      </c>
      <c r="CJ6" t="str">
        <f t="array" ref="CJ6">IF(ISERROR(INDEX($A$3:$B$14312,SMALL(IF($A$3:$A$14312=CJ$3,ROW($A$3:$A$14312)),ROW(4:4)),2)),"",INDEX($A$3:$B$14312,SMALL(IF($A$3:$A$14312=CJ$3,ROW($A$3:$A$14312)),ROW(4:4)),2))</f>
        <v>Router3_76</v>
      </c>
      <c r="CK6" t="str">
        <f t="array" ref="CK6">IF(ISERROR(INDEX($A$3:$B$14312,SMALL(IF($A$3:$A$14312=CK$3,ROW($A$3:$A$14312)),ROW(4:4)),2)),"",INDEX($A$3:$B$14312,SMALL(IF($A$3:$A$14312=CK$3,ROW($A$3:$A$14312)),ROW(4:4)),2))</f>
        <v/>
      </c>
      <c r="CL6" t="str">
        <f t="array" ref="CL6">IF(ISERROR(INDEX($A$3:$B$14312,SMALL(IF($A$3:$A$14312=CL$3,ROW($A$3:$A$14312)),ROW(4:4)),2)),"",INDEX($A$3:$B$14312,SMALL(IF($A$3:$A$14312=CL$3,ROW($A$3:$A$14312)),ROW(4:4)),2))</f>
        <v/>
      </c>
      <c r="CM6" t="str">
        <f t="array" ref="CM6">IF(ISERROR(INDEX($A$3:$B$14312,SMALL(IF($A$3:$A$14312=CM$3,ROW($A$3:$A$14312)),ROW(4:4)),2)),"",INDEX($A$3:$B$14312,SMALL(IF($A$3:$A$14312=CM$3,ROW($A$3:$A$14312)),ROW(4:4)),2))</f>
        <v/>
      </c>
      <c r="CN6" t="str">
        <f t="array" ref="CN6">IF(ISERROR(INDEX($A$3:$B$14312,SMALL(IF($A$3:$A$14312=CN$3,ROW($A$3:$A$14312)),ROW(4:4)),2)),"",INDEX($A$3:$B$14312,SMALL(IF($A$3:$A$14312=CN$3,ROW($A$3:$A$14312)),ROW(4:4)),2))</f>
        <v>Router3_8</v>
      </c>
      <c r="CO6" t="str">
        <f t="array" ref="CO6">IF(ISERROR(INDEX($A$3:$B$14312,SMALL(IF($A$3:$A$14312=CO$3,ROW($A$3:$A$14312)),ROW(4:4)),2)),"",INDEX($A$3:$B$14312,SMALL(IF($A$3:$A$14312=CO$3,ROW($A$3:$A$14312)),ROW(4:4)),2))</f>
        <v>Router3_51</v>
      </c>
      <c r="CP6" t="str">
        <f t="array" ref="CP6">IF(ISERROR(INDEX($A$3:$B$14312,SMALL(IF($A$3:$A$14312=CP$3,ROW($A$3:$A$14312)),ROW(4:4)),2)),"",INDEX($A$3:$B$14312,SMALL(IF($A$3:$A$14312=CP$3,ROW($A$3:$A$14312)),ROW(4:4)),2))</f>
        <v>Router3_7</v>
      </c>
      <c r="CQ6" t="str">
        <f t="array" ref="CQ6">IF(ISERROR(INDEX($A$3:$B$14312,SMALL(IF($A$3:$A$14312=CQ$3,ROW($A$3:$A$14312)),ROW(4:4)),2)),"",INDEX($A$3:$B$14312,SMALL(IF($A$3:$A$14312=CQ$3,ROW($A$3:$A$14312)),ROW(4:4)),2))</f>
        <v/>
      </c>
      <c r="CR6" t="str">
        <f t="array" ref="CR6">IF(ISERROR(INDEX($A$3:$B$14312,SMALL(IF($A$3:$A$14312=CR$3,ROW($A$3:$A$14312)),ROW(4:4)),2)),"",INDEX($A$3:$B$14312,SMALL(IF($A$3:$A$14312=CR$3,ROW($A$3:$A$14312)),ROW(4:4)),2))</f>
        <v/>
      </c>
      <c r="CS6" t="str">
        <f t="array" ref="CS6">IF(ISERROR(INDEX($A$3:$B$14312,SMALL(IF($A$3:$A$14312=CS$3,ROW($A$3:$A$14312)),ROW(4:4)),2)),"",INDEX($A$3:$B$14312,SMALL(IF($A$3:$A$14312=CS$3,ROW($A$3:$A$14312)),ROW(4:4)),2))</f>
        <v>Router3_76</v>
      </c>
      <c r="CT6" t="str">
        <f t="array" ref="CT6">IF(ISERROR(INDEX($A$3:$B$14312,SMALL(IF($A$3:$A$14312=CT$3,ROW($A$3:$A$14312)),ROW(4:4)),2)),"",INDEX($A$3:$B$14312,SMALL(IF($A$3:$A$14312=CT$3,ROW($A$3:$A$14312)),ROW(4:4)),2))</f>
        <v>Router3_96</v>
      </c>
      <c r="CU6" t="str">
        <f t="array" ref="CU6">IF(ISERROR(INDEX($A$3:$B$14312,SMALL(IF($A$3:$A$14312=CU$3,ROW($A$3:$A$14312)),ROW(4:4)),2)),"",INDEX($A$3:$B$14312,SMALL(IF($A$3:$A$14312=CU$3,ROW($A$3:$A$14312)),ROW(4:4)),2))</f>
        <v/>
      </c>
      <c r="CV6" t="str">
        <f t="array" ref="CV6">IF(ISERROR(INDEX($A$3:$B$14312,SMALL(IF($A$3:$A$14312=CV$3,ROW($A$3:$A$14312)),ROW(4:4)),2)),"",INDEX($A$3:$B$14312,SMALL(IF($A$3:$A$14312=CV$3,ROW($A$3:$A$14312)),ROW(4:4)),2))</f>
        <v>Router3_53</v>
      </c>
      <c r="CW6" t="str">
        <f t="array" ref="CW6">IF(ISERROR(INDEX($A$3:$B$14312,SMALL(IF($A$3:$A$14312=CW$3,ROW($A$3:$A$14312)),ROW(4:4)),2)),"",INDEX($A$3:$B$14312,SMALL(IF($A$3:$A$14312=CW$3,ROW($A$3:$A$14312)),ROW(4:4)),2))</f>
        <v/>
      </c>
      <c r="CX6" t="str">
        <f t="array" ref="CX6">IF(ISERROR(INDEX($A$3:$B$14312,SMALL(IF($A$3:$A$14312=CX$3,ROW($A$3:$A$14312)),ROW(4:4)),2)),"",INDEX($A$3:$B$14312,SMALL(IF($A$3:$A$14312=CX$3,ROW($A$3:$A$14312)),ROW(4:4)),2))</f>
        <v/>
      </c>
      <c r="CY6" t="str">
        <f t="array" ref="CY6">IF(ISERROR(INDEX($A$3:$B$14312,SMALL(IF($A$3:$A$14312=CY$3,ROW($A$3:$A$14312)),ROW(4:4)),2)),"",INDEX($A$3:$B$14312,SMALL(IF($A$3:$A$14312=CY$3,ROW($A$3:$A$14312)),ROW(4:4)),2))</f>
        <v>Router3_52</v>
      </c>
      <c r="CZ6" t="str">
        <f t="array" ref="CZ6">IF(ISERROR(INDEX($A$3:$B$14312,SMALL(IF($A$3:$A$14312=CZ$3,ROW($A$3:$A$14312)),ROW(4:4)),2)),"",INDEX($A$3:$B$14312,SMALL(IF($A$3:$A$14312=CZ$3,ROW($A$3:$A$14312)),ROW(4:4)),2))</f>
        <v>Router3_85</v>
      </c>
      <c r="DA6" t="str">
        <f t="array" ref="DA6">IF(ISERROR(INDEX($A$3:$B$14312,SMALL(IF($A$3:$A$14312=DA$3,ROW($A$3:$A$14312)),ROW(4:4)),2)),"",INDEX($A$3:$B$14312,SMALL(IF($A$3:$A$14312=DA$3,ROW($A$3:$A$14312)),ROW(4:4)),2))</f>
        <v>Router3_123</v>
      </c>
      <c r="DB6" t="str">
        <f t="array" ref="DB6">IF(ISERROR(INDEX($A$3:$B$14312,SMALL(IF($A$3:$A$14312=DB$3,ROW($A$3:$A$14312)),ROW(4:4)),2)),"",INDEX($A$3:$B$14312,SMALL(IF($A$3:$A$14312=DB$3,ROW($A$3:$A$14312)),ROW(4:4)),2))</f>
        <v>Router3_97</v>
      </c>
      <c r="DC6" t="str">
        <f t="array" ref="DC6">IF(ISERROR(INDEX($A$3:$B$14312,SMALL(IF($A$3:$A$14312=DC$3,ROW($A$3:$A$14312)),ROW(4:4)),2)),"",INDEX($A$3:$B$14312,SMALL(IF($A$3:$A$14312=DC$3,ROW($A$3:$A$14312)),ROW(4:4)),2))</f>
        <v>Router3_61</v>
      </c>
      <c r="DD6" t="str">
        <f t="array" ref="DD6">IF(ISERROR(INDEX($A$3:$B$14312,SMALL(IF($A$3:$A$14312=DD$3,ROW($A$3:$A$14312)),ROW(4:4)),2)),"",INDEX($A$3:$B$14312,SMALL(IF($A$3:$A$14312=DD$3,ROW($A$3:$A$14312)),ROW(4:4)),2))</f>
        <v>Router3_65</v>
      </c>
      <c r="DE6" t="str">
        <f t="array" ref="DE6">IF(ISERROR(INDEX($A$3:$B$14312,SMALL(IF($A$3:$A$14312=DE$3,ROW($A$3:$A$14312)),ROW(4:4)),2)),"",INDEX($A$3:$B$14312,SMALL(IF($A$3:$A$14312=DE$3,ROW($A$3:$A$14312)),ROW(4:4)),2))</f>
        <v>Router3_78</v>
      </c>
      <c r="DF6" t="str">
        <f t="array" ref="DF6">IF(ISERROR(INDEX($A$3:$B$14312,SMALL(IF($A$3:$A$14312=DF$3,ROW($A$3:$A$14312)),ROW(4:4)),2)),"",INDEX($A$3:$B$14312,SMALL(IF($A$3:$A$14312=DF$3,ROW($A$3:$A$14312)),ROW(4:4)),2))</f>
        <v>Router3_71</v>
      </c>
      <c r="DG6" t="str">
        <f t="array" ref="DG6">IF(ISERROR(INDEX($A$3:$B$14312,SMALL(IF($A$3:$A$14312=DG$3,ROW($A$3:$A$14312)),ROW(4:4)),2)),"",INDEX($A$3:$B$14312,SMALL(IF($A$3:$A$14312=DG$3,ROW($A$3:$A$14312)),ROW(4:4)),2))</f>
        <v>Router3_7</v>
      </c>
      <c r="DH6" t="str">
        <f t="array" ref="DH6">IF(ISERROR(INDEX($A$3:$B$14312,SMALL(IF($A$3:$A$14312=DH$3,ROW($A$3:$A$14312)),ROW(4:4)),2)),"",INDEX($A$3:$B$14312,SMALL(IF($A$3:$A$14312=DH$3,ROW($A$3:$A$14312)),ROW(4:4)),2))</f>
        <v>Router3_82</v>
      </c>
      <c r="DI6" t="str">
        <f t="array" ref="DI6">IF(ISERROR(INDEX($A$3:$B$14312,SMALL(IF($A$3:$A$14312=DI$3,ROW($A$3:$A$14312)),ROW(4:4)),2)),"",INDEX($A$3:$B$14312,SMALL(IF($A$3:$A$14312=DI$3,ROW($A$3:$A$14312)),ROW(4:4)),2))</f>
        <v>Router3_70</v>
      </c>
      <c r="DJ6" t="str">
        <f t="array" ref="DJ6">IF(ISERROR(INDEX($A$3:$B$14312,SMALL(IF($A$3:$A$14312=DJ$3,ROW($A$3:$A$14312)),ROW(4:4)),2)),"",INDEX($A$3:$B$14312,SMALL(IF($A$3:$A$14312=DJ$3,ROW($A$3:$A$14312)),ROW(4:4)),2))</f>
        <v>Router3_41</v>
      </c>
      <c r="DK6" t="str">
        <f t="array" ref="DK6">IF(ISERROR(INDEX($A$3:$B$14312,SMALL(IF($A$3:$A$14312=DK$3,ROW($A$3:$A$14312)),ROW(4:4)),2)),"",INDEX($A$3:$B$14312,SMALL(IF($A$3:$A$14312=DK$3,ROW($A$3:$A$14312)),ROW(4:4)),2))</f>
        <v>Router3_60</v>
      </c>
      <c r="DL6" t="str">
        <f t="array" ref="DL6">IF(ISERROR(INDEX($A$3:$B$14312,SMALL(IF($A$3:$A$14312=DL$3,ROW($A$3:$A$14312)),ROW(4:4)),2)),"",INDEX($A$3:$B$14312,SMALL(IF($A$3:$A$14312=DL$3,ROW($A$3:$A$14312)),ROW(4:4)),2))</f>
        <v>Router3_33</v>
      </c>
      <c r="DM6" t="str">
        <f t="array" ref="DM6">IF(ISERROR(INDEX($A$3:$B$14312,SMALL(IF($A$3:$A$14312=DM$3,ROW($A$3:$A$14312)),ROW(4:4)),2)),"",INDEX($A$3:$B$14312,SMALL(IF($A$3:$A$14312=DM$3,ROW($A$3:$A$14312)),ROW(4:4)),2))</f>
        <v/>
      </c>
      <c r="DN6" t="str">
        <f t="array" ref="DN6">IF(ISERROR(INDEX($A$3:$B$14312,SMALL(IF($A$3:$A$14312=DN$3,ROW($A$3:$A$14312)),ROW(4:4)),2)),"",INDEX($A$3:$B$14312,SMALL(IF($A$3:$A$14312=DN$3,ROW($A$3:$A$14312)),ROW(4:4)),2))</f>
        <v>Router3_42</v>
      </c>
      <c r="DO6" t="str">
        <f t="array" ref="DO6">IF(ISERROR(INDEX($A$3:$B$14312,SMALL(IF($A$3:$A$14312=DO$3,ROW($A$3:$A$14312)),ROW(4:4)),2)),"",INDEX($A$3:$B$14312,SMALL(IF($A$3:$A$14312=DO$3,ROW($A$3:$A$14312)),ROW(4:4)),2))</f>
        <v>Router3_57</v>
      </c>
      <c r="DP6" t="str">
        <f t="array" ref="DP6">IF(ISERROR(INDEX($A$3:$B$14312,SMALL(IF($A$3:$A$14312=DP$3,ROW($A$3:$A$14312)),ROW(4:4)),2)),"",INDEX($A$3:$B$14312,SMALL(IF($A$3:$A$14312=DP$3,ROW($A$3:$A$14312)),ROW(4:4)),2))</f>
        <v>Router3_119</v>
      </c>
      <c r="DQ6" t="str">
        <f t="array" ref="DQ6">IF(ISERROR(INDEX($A$3:$B$14312,SMALL(IF($A$3:$A$14312=DQ$3,ROW($A$3:$A$14312)),ROW(4:4)),2)),"",INDEX($A$3:$B$14312,SMALL(IF($A$3:$A$14312=DQ$3,ROW($A$3:$A$14312)),ROW(4:4)),2))</f>
        <v>Router3_119</v>
      </c>
      <c r="DR6" t="str">
        <f t="array" ref="DR6">IF(ISERROR(INDEX($A$3:$B$14312,SMALL(IF($A$3:$A$14312=DR$3,ROW($A$3:$A$14312)),ROW(4:4)),2)),"",INDEX($A$3:$B$14312,SMALL(IF($A$3:$A$14312=DR$3,ROW($A$3:$A$14312)),ROW(4:4)),2))</f>
        <v>Router3_6</v>
      </c>
      <c r="DS6" t="str">
        <f t="array" ref="DS6">IF(ISERROR(INDEX($A$3:$B$14312,SMALL(IF($A$3:$A$14312=DS$3,ROW($A$3:$A$14312)),ROW(4:4)),2)),"",INDEX($A$3:$B$14312,SMALL(IF($A$3:$A$14312=DS$3,ROW($A$3:$A$14312)),ROW(4:4)),2))</f>
        <v>Router3_72</v>
      </c>
      <c r="DT6" t="str">
        <f t="array" ref="DT6">IF(ISERROR(INDEX($A$3:$B$14312,SMALL(IF($A$3:$A$14312=DT$3,ROW($A$3:$A$14312)),ROW(4:4)),2)),"",INDEX($A$3:$B$14312,SMALL(IF($A$3:$A$14312=DT$3,ROW($A$3:$A$14312)),ROW(4:4)),2))</f>
        <v>Router3_70</v>
      </c>
      <c r="DU6" t="str">
        <f t="array" ref="DU6">IF(ISERROR(INDEX($A$3:$B$14312,SMALL(IF($A$3:$A$14312=DU$3,ROW($A$3:$A$14312)),ROW(4:4)),2)),"",INDEX($A$3:$B$14312,SMALL(IF($A$3:$A$14312=DU$3,ROW($A$3:$A$14312)),ROW(4:4)),2))</f>
        <v>Router3_123</v>
      </c>
      <c r="DV6" t="str">
        <f t="array" ref="DV6">IF(ISERROR(INDEX($A$3:$B$14312,SMALL(IF($A$3:$A$14312=DV$3,ROW($A$3:$A$14312)),ROW(4:4)),2)),"",INDEX($A$3:$B$14312,SMALL(IF($A$3:$A$14312=DV$3,ROW($A$3:$A$14312)),ROW(4:4)),2))</f>
        <v>Router3_77</v>
      </c>
      <c r="DW6" t="str">
        <f t="array" ref="DW6">IF(ISERROR(INDEX($A$3:$B$14312,SMALL(IF($A$3:$A$14312=DW$3,ROW($A$3:$A$14312)),ROW(4:4)),2)),"",INDEX($A$3:$B$14312,SMALL(IF($A$3:$A$14312=DW$3,ROW($A$3:$A$14312)),ROW(4:4)),2))</f>
        <v/>
      </c>
      <c r="DX6" t="str">
        <f t="array" ref="DX6">IF(ISERROR(INDEX($A$3:$B$14312,SMALL(IF($A$3:$A$14312=DX$3,ROW($A$3:$A$14312)),ROW(4:4)),2)),"",INDEX($A$3:$B$14312,SMALL(IF($A$3:$A$14312=DX$3,ROW($A$3:$A$14312)),ROW(4:4)),2))</f>
        <v/>
      </c>
      <c r="DY6" t="str">
        <f t="array" ref="DY6">IF(ISERROR(INDEX($A$3:$B$14312,SMALL(IF($A$3:$A$14312=DY$3,ROW($A$3:$A$14312)),ROW(4:4)),2)),"",INDEX($A$3:$B$14312,SMALL(IF($A$3:$A$14312=DY$3,ROW($A$3:$A$14312)),ROW(4:4)),2))</f>
        <v/>
      </c>
      <c r="DZ6" t="str">
        <f t="array" ref="DZ6">IF(ISERROR(INDEX($A$3:$B$14312,SMALL(IF($A$3:$A$14312=DZ$3,ROW($A$3:$A$14312)),ROW(4:4)),2)),"",INDEX($A$3:$B$14312,SMALL(IF($A$3:$A$14312=DZ$3,ROW($A$3:$A$14312)),ROW(4:4)),2))</f>
        <v/>
      </c>
      <c r="EA6" t="str">
        <f t="array" ref="EA6">IF(ISERROR(INDEX($A$3:$B$14312,SMALL(IF($A$3:$A$14312=EA$3,ROW($A$3:$A$14312)),ROW(4:4)),2)),"",INDEX($A$3:$B$14312,SMALL(IF($A$3:$A$14312=EA$3,ROW($A$3:$A$14312)),ROW(4:4)),2))</f>
        <v>Router3_43</v>
      </c>
      <c r="EB6" t="str">
        <f t="array" ref="EB6">IF(ISERROR(INDEX($A$3:$B$14312,SMALL(IF($A$3:$A$14312=EB$3,ROW($A$3:$A$14312)),ROW(4:4)),2)),"",INDEX($A$3:$B$14312,SMALL(IF($A$3:$A$14312=EB$3,ROW($A$3:$A$14312)),ROW(4:4)),2))</f>
        <v>Router3_82</v>
      </c>
      <c r="EC6" t="str">
        <f t="array" ref="EC6">IF(ISERROR(INDEX($A$3:$B$14312,SMALL(IF($A$3:$A$14312=EC$3,ROW($A$3:$A$14312)),ROW(4:4)),2)),"",INDEX($A$3:$B$14312,SMALL(IF($A$3:$A$14312=EC$3,ROW($A$3:$A$14312)),ROW(4:4)),2))</f>
        <v>Router3_53</v>
      </c>
      <c r="ED6" t="str">
        <f t="array" ref="ED6">IF(ISERROR(INDEX($A$3:$B$14312,SMALL(IF($A$3:$A$14312=ED$3,ROW($A$3:$A$14312)),ROW(4:4)),2)),"",INDEX($A$3:$B$14312,SMALL(IF($A$3:$A$14312=ED$3,ROW($A$3:$A$14312)),ROW(4:4)),2))</f>
        <v>Router3_61</v>
      </c>
      <c r="EE6" t="str">
        <f t="array" ref="EE6">IF(ISERROR(INDEX($A$3:$B$14312,SMALL(IF($A$3:$A$14312=EE$3,ROW($A$3:$A$14312)),ROW(4:4)),2)),"",INDEX($A$3:$B$14312,SMALL(IF($A$3:$A$14312=EE$3,ROW($A$3:$A$14312)),ROW(4:4)),2))</f>
        <v>Router3_93</v>
      </c>
    </row>
    <row r="7" spans="1:135" x14ac:dyDescent="0.25">
      <c r="A7" s="10">
        <v>-485017374</v>
      </c>
      <c r="B7" t="s">
        <v>1202</v>
      </c>
      <c r="E7" t="str">
        <f t="array" ref="E7">IF(ISERROR(INDEX($A$3:$B$14312,SMALL(IF($A$3:$A$14312=E$3,ROW($A$3:$A$14312)),ROW(5:5)),2)),"",INDEX($A$3:$B$14312,SMALL(IF($A$3:$A$14312=E$3,ROW($A$3:$A$14312)),ROW(5:5)),2))</f>
        <v>Router3_9</v>
      </c>
      <c r="F7" t="str">
        <f t="array" ref="F7">IF(ISERROR(INDEX($A$3:$B$14312,SMALL(IF($A$3:$A$14312=F$3,ROW($A$3:$A$14312)),ROW(5:5)),2)),"",INDEX($A$3:$B$14312,SMALL(IF($A$3:$A$14312=F$3,ROW($A$3:$A$14312)),ROW(5:5)),2))</f>
        <v>Router3_13</v>
      </c>
      <c r="G7" t="str">
        <f t="array" ref="G7">IF(ISERROR(INDEX($A$3:$B$14312,SMALL(IF($A$3:$A$14312=G$3,ROW($A$3:$A$14312)),ROW(5:5)),2)),"",INDEX($A$3:$B$14312,SMALL(IF($A$3:$A$14312=G$3,ROW($A$3:$A$14312)),ROW(5:5)),2))</f>
        <v>Router3_49</v>
      </c>
      <c r="H7" t="str">
        <f t="array" ref="H7">IF(ISERROR(INDEX($A$3:$B$14312,SMALL(IF($A$3:$A$14312=H$3,ROW($A$3:$A$14312)),ROW(5:5)),2)),"",INDEX($A$3:$B$14312,SMALL(IF($A$3:$A$14312=H$3,ROW($A$3:$A$14312)),ROW(5:5)),2))</f>
        <v>Router3_79</v>
      </c>
      <c r="I7" t="str">
        <f t="array" ref="I7">IF(ISERROR(INDEX($A$3:$B$14312,SMALL(IF($A$3:$A$14312=I$3,ROW($A$3:$A$14312)),ROW(5:5)),2)),"",INDEX($A$3:$B$14312,SMALL(IF($A$3:$A$14312=I$3,ROW($A$3:$A$14312)),ROW(5:5)),2))</f>
        <v>Router3_125</v>
      </c>
      <c r="J7" t="str">
        <f t="array" ref="J7">IF(ISERROR(INDEX($A$3:$B$14312,SMALL(IF($A$3:$A$14312=J$3,ROW($A$3:$A$14312)),ROW(5:5)),2)),"",INDEX($A$3:$B$14312,SMALL(IF($A$3:$A$14312=J$3,ROW($A$3:$A$14312)),ROW(5:5)),2))</f>
        <v>Router3_125</v>
      </c>
      <c r="K7" t="str">
        <f t="array" ref="K7">IF(ISERROR(INDEX($A$3:$B$14312,SMALL(IF($A$3:$A$14312=K$3,ROW($A$3:$A$14312)),ROW(5:5)),2)),"",INDEX($A$3:$B$14312,SMALL(IF($A$3:$A$14312=K$3,ROW($A$3:$A$14312)),ROW(5:5)),2))</f>
        <v>Router3_90</v>
      </c>
      <c r="L7" t="str">
        <f t="array" ref="L7">IF(ISERROR(INDEX($A$3:$B$14312,SMALL(IF($A$3:$A$14312=L$3,ROW($A$3:$A$14312)),ROW(5:5)),2)),"",INDEX($A$3:$B$14312,SMALL(IF($A$3:$A$14312=L$3,ROW($A$3:$A$14312)),ROW(5:5)),2))</f>
        <v/>
      </c>
      <c r="M7" t="str">
        <f t="array" ref="M7">IF(ISERROR(INDEX($A$3:$B$14312,SMALL(IF($A$3:$A$14312=M$3,ROW($A$3:$A$14312)),ROW(5:5)),2)),"",INDEX($A$3:$B$14312,SMALL(IF($A$3:$A$14312=M$3,ROW($A$3:$A$14312)),ROW(5:5)),2))</f>
        <v>Router3_98</v>
      </c>
      <c r="N7" t="str">
        <f t="array" ref="N7">IF(ISERROR(INDEX($A$3:$B$14312,SMALL(IF($A$3:$A$14312=N$3,ROW($A$3:$A$14312)),ROW(5:5)),2)),"",INDEX($A$3:$B$14312,SMALL(IF($A$3:$A$14312=N$3,ROW($A$3:$A$14312)),ROW(5:5)),2))</f>
        <v/>
      </c>
      <c r="O7" t="str">
        <f t="array" ref="O7">IF(ISERROR(INDEX($A$3:$B$14312,SMALL(IF($A$3:$A$14312=O$3,ROW($A$3:$A$14312)),ROW(5:5)),2)),"",INDEX($A$3:$B$14312,SMALL(IF($A$3:$A$14312=O$3,ROW($A$3:$A$14312)),ROW(5:5)),2))</f>
        <v>Router3_59</v>
      </c>
      <c r="P7" t="str">
        <f t="array" ref="P7">IF(ISERROR(INDEX($A$3:$B$14312,SMALL(IF($A$3:$A$14312=P$3,ROW($A$3:$A$14312)),ROW(5:5)),2)),"",INDEX($A$3:$B$14312,SMALL(IF($A$3:$A$14312=P$3,ROW($A$3:$A$14312)),ROW(5:5)),2))</f>
        <v>Router3_79</v>
      </c>
      <c r="Q7" t="str">
        <f t="array" ref="Q7">IF(ISERROR(INDEX($A$3:$B$14312,SMALL(IF($A$3:$A$14312=Q$3,ROW($A$3:$A$14312)),ROW(5:5)),2)),"",INDEX($A$3:$B$14312,SMALL(IF($A$3:$A$14312=Q$3,ROW($A$3:$A$14312)),ROW(5:5)),2))</f>
        <v/>
      </c>
      <c r="R7" t="str">
        <f t="array" ref="R7">IF(ISERROR(INDEX($A$3:$B$14312,SMALL(IF($A$3:$A$14312=R$3,ROW($A$3:$A$14312)),ROW(5:5)),2)),"",INDEX($A$3:$B$14312,SMALL(IF($A$3:$A$14312=R$3,ROW($A$3:$A$14312)),ROW(5:5)),2))</f>
        <v/>
      </c>
      <c r="S7" t="str">
        <f t="array" ref="S7">IF(ISERROR(INDEX($A$3:$B$14312,SMALL(IF($A$3:$A$14312=S$3,ROW($A$3:$A$14312)),ROW(5:5)),2)),"",INDEX($A$3:$B$14312,SMALL(IF($A$3:$A$14312=S$3,ROW($A$3:$A$14312)),ROW(5:5)),2))</f>
        <v/>
      </c>
      <c r="T7" t="str">
        <f t="array" ref="T7">IF(ISERROR(INDEX($A$3:$B$14312,SMALL(IF($A$3:$A$14312=T$3,ROW($A$3:$A$14312)),ROW(5:5)),2)),"",INDEX($A$3:$B$14312,SMALL(IF($A$3:$A$14312=T$3,ROW($A$3:$A$14312)),ROW(5:5)),2))</f>
        <v>Router3_145</v>
      </c>
      <c r="U7" t="str">
        <f t="array" ref="U7">IF(ISERROR(INDEX($A$3:$B$14312,SMALL(IF($A$3:$A$14312=U$3,ROW($A$3:$A$14312)),ROW(5:5)),2)),"",INDEX($A$3:$B$14312,SMALL(IF($A$3:$A$14312=U$3,ROW($A$3:$A$14312)),ROW(5:5)),2))</f>
        <v>Router3_88</v>
      </c>
      <c r="V7" t="str">
        <f t="array" ref="V7">IF(ISERROR(INDEX($A$3:$B$14312,SMALL(IF($A$3:$A$14312=V$3,ROW($A$3:$A$14312)),ROW(5:5)),2)),"",INDEX($A$3:$B$14312,SMALL(IF($A$3:$A$14312=V$3,ROW($A$3:$A$14312)),ROW(5:5)),2))</f>
        <v/>
      </c>
      <c r="W7" t="str">
        <f t="array" ref="W7">IF(ISERROR(INDEX($A$3:$B$14312,SMALL(IF($A$3:$A$14312=W$3,ROW($A$3:$A$14312)),ROW(5:5)),2)),"",INDEX($A$3:$B$14312,SMALL(IF($A$3:$A$14312=W$3,ROW($A$3:$A$14312)),ROW(5:5)),2))</f>
        <v>Router3_53</v>
      </c>
      <c r="X7" t="str">
        <f t="array" ref="X7">IF(ISERROR(INDEX($A$3:$B$14312,SMALL(IF($A$3:$A$14312=X$3,ROW($A$3:$A$14312)),ROW(5:5)),2)),"",INDEX($A$3:$B$14312,SMALL(IF($A$3:$A$14312=X$3,ROW($A$3:$A$14312)),ROW(5:5)),2))</f>
        <v/>
      </c>
      <c r="Y7" t="str">
        <f t="array" ref="Y7">IF(ISERROR(INDEX($A$3:$B$14312,SMALL(IF($A$3:$A$14312=Y$3,ROW($A$3:$A$14312)),ROW(5:5)),2)),"",INDEX($A$3:$B$14312,SMALL(IF($A$3:$A$14312=Y$3,ROW($A$3:$A$14312)),ROW(5:5)),2))</f>
        <v/>
      </c>
      <c r="Z7" t="str">
        <f t="array" ref="Z7">IF(ISERROR(INDEX($A$3:$B$14312,SMALL(IF($A$3:$A$14312=Z$3,ROW($A$3:$A$14312)),ROW(5:5)),2)),"",INDEX($A$3:$B$14312,SMALL(IF($A$3:$A$14312=Z$3,ROW($A$3:$A$14312)),ROW(5:5)),2))</f>
        <v/>
      </c>
      <c r="AA7" t="str">
        <f t="array" ref="AA7">IF(ISERROR(INDEX($A$3:$B$14312,SMALL(IF($A$3:$A$14312=AA$3,ROW($A$3:$A$14312)),ROW(5:5)),2)),"",INDEX($A$3:$B$14312,SMALL(IF($A$3:$A$14312=AA$3,ROW($A$3:$A$14312)),ROW(5:5)),2))</f>
        <v/>
      </c>
      <c r="AB7" t="str">
        <f t="array" ref="AB7">IF(ISERROR(INDEX($A$3:$B$14312,SMALL(IF($A$3:$A$14312=AB$3,ROW($A$3:$A$14312)),ROW(5:5)),2)),"",INDEX($A$3:$B$14312,SMALL(IF($A$3:$A$14312=AB$3,ROW($A$3:$A$14312)),ROW(5:5)),2))</f>
        <v/>
      </c>
      <c r="AC7" t="str">
        <f t="array" ref="AC7">IF(ISERROR(INDEX($A$3:$B$14312,SMALL(IF($A$3:$A$14312=AC$3,ROW($A$3:$A$14312)),ROW(5:5)),2)),"",INDEX($A$3:$B$14312,SMALL(IF($A$3:$A$14312=AC$3,ROW($A$3:$A$14312)),ROW(5:5)),2))</f>
        <v/>
      </c>
      <c r="AD7" t="str">
        <f t="array" ref="AD7">IF(ISERROR(INDEX($A$3:$B$14312,SMALL(IF($A$3:$A$14312=AD$3,ROW($A$3:$A$14312)),ROW(5:5)),2)),"",INDEX($A$3:$B$14312,SMALL(IF($A$3:$A$14312=AD$3,ROW($A$3:$A$14312)),ROW(5:5)),2))</f>
        <v/>
      </c>
      <c r="AE7" t="str">
        <f t="array" ref="AE7">IF(ISERROR(INDEX($A$3:$B$14312,SMALL(IF($A$3:$A$14312=AE$3,ROW($A$3:$A$14312)),ROW(5:5)),2)),"",INDEX($A$3:$B$14312,SMALL(IF($A$3:$A$14312=AE$3,ROW($A$3:$A$14312)),ROW(5:5)),2))</f>
        <v/>
      </c>
      <c r="AF7" t="str">
        <f t="array" ref="AF7">IF(ISERROR(INDEX($A$3:$B$14312,SMALL(IF($A$3:$A$14312=AF$3,ROW($A$3:$A$14312)),ROW(5:5)),2)),"",INDEX($A$3:$B$14312,SMALL(IF($A$3:$A$14312=AF$3,ROW($A$3:$A$14312)),ROW(5:5)),2))</f>
        <v>Router3_88</v>
      </c>
      <c r="AG7" t="str">
        <f t="array" ref="AG7">IF(ISERROR(INDEX($A$3:$B$14312,SMALL(IF($A$3:$A$14312=AG$3,ROW($A$3:$A$14312)),ROW(5:5)),2)),"",INDEX($A$3:$B$14312,SMALL(IF($A$3:$A$14312=AG$3,ROW($A$3:$A$14312)),ROW(5:5)),2))</f>
        <v>Router3_9</v>
      </c>
      <c r="AH7" t="str">
        <f t="array" ref="AH7">IF(ISERROR(INDEX($A$3:$B$14312,SMALL(IF($A$3:$A$14312=AH$3,ROW($A$3:$A$14312)),ROW(5:5)),2)),"",INDEX($A$3:$B$14312,SMALL(IF($A$3:$A$14312=AH$3,ROW($A$3:$A$14312)),ROW(5:5)),2))</f>
        <v>Router3_13</v>
      </c>
      <c r="AI7" t="str">
        <f t="array" ref="AI7">IF(ISERROR(INDEX($A$3:$B$14312,SMALL(IF($A$3:$A$14312=AI$3,ROW($A$3:$A$14312)),ROW(5:5)),2)),"",INDEX($A$3:$B$14312,SMALL(IF($A$3:$A$14312=AI$3,ROW($A$3:$A$14312)),ROW(5:5)),2))</f>
        <v>Router3_45</v>
      </c>
      <c r="AJ7" t="str">
        <f t="array" ref="AJ7">IF(ISERROR(INDEX($A$3:$B$14312,SMALL(IF($A$3:$A$14312=AJ$3,ROW($A$3:$A$14312)),ROW(5:5)),2)),"",INDEX($A$3:$B$14312,SMALL(IF($A$3:$A$14312=AJ$3,ROW($A$3:$A$14312)),ROW(5:5)),2))</f>
        <v>Router3_67</v>
      </c>
      <c r="AK7" t="str">
        <f t="array" ref="AK7">IF(ISERROR(INDEX($A$3:$B$14312,SMALL(IF($A$3:$A$14312=AK$3,ROW($A$3:$A$14312)),ROW(5:5)),2)),"",INDEX($A$3:$B$14312,SMALL(IF($A$3:$A$14312=AK$3,ROW($A$3:$A$14312)),ROW(5:5)),2))</f>
        <v>Router3_116</v>
      </c>
      <c r="AL7" t="str">
        <f t="array" ref="AL7">IF(ISERROR(INDEX($A$3:$B$14312,SMALL(IF($A$3:$A$14312=AL$3,ROW($A$3:$A$14312)),ROW(5:5)),2)),"",INDEX($A$3:$B$14312,SMALL(IF($A$3:$A$14312=AL$3,ROW($A$3:$A$14312)),ROW(5:5)),2))</f>
        <v>Router3_68</v>
      </c>
      <c r="AM7" t="str">
        <f t="array" ref="AM7">IF(ISERROR(INDEX($A$3:$B$14312,SMALL(IF($A$3:$A$14312=AM$3,ROW($A$3:$A$14312)),ROW(5:5)),2)),"",INDEX($A$3:$B$14312,SMALL(IF($A$3:$A$14312=AM$3,ROW($A$3:$A$14312)),ROW(5:5)),2))</f>
        <v>Router3_61</v>
      </c>
      <c r="AN7" t="str">
        <f t="array" ref="AN7">IF(ISERROR(INDEX($A$3:$B$14312,SMALL(IF($A$3:$A$14312=AN$3,ROW($A$3:$A$14312)),ROW(5:5)),2)),"",INDEX($A$3:$B$14312,SMALL(IF($A$3:$A$14312=AN$3,ROW($A$3:$A$14312)),ROW(5:5)),2))</f>
        <v>Router3_51</v>
      </c>
      <c r="AO7" t="str">
        <f t="array" ref="AO7">IF(ISERROR(INDEX($A$3:$B$14312,SMALL(IF($A$3:$A$14312=AO$3,ROW($A$3:$A$14312)),ROW(5:5)),2)),"",INDEX($A$3:$B$14312,SMALL(IF($A$3:$A$14312=AO$3,ROW($A$3:$A$14312)),ROW(5:5)),2))</f>
        <v>Router3_21</v>
      </c>
      <c r="AP7" t="str">
        <f t="array" ref="AP7">IF(ISERROR(INDEX($A$3:$B$14312,SMALL(IF($A$3:$A$14312=AP$3,ROW($A$3:$A$14312)),ROW(5:5)),2)),"",INDEX($A$3:$B$14312,SMALL(IF($A$3:$A$14312=AP$3,ROW($A$3:$A$14312)),ROW(5:5)),2))</f>
        <v>Router3_8</v>
      </c>
      <c r="AQ7" t="str">
        <f t="array" ref="AQ7">IF(ISERROR(INDEX($A$3:$B$14312,SMALL(IF($A$3:$A$14312=AQ$3,ROW($A$3:$A$14312)),ROW(5:5)),2)),"",INDEX($A$3:$B$14312,SMALL(IF($A$3:$A$14312=AQ$3,ROW($A$3:$A$14312)),ROW(5:5)),2))</f>
        <v/>
      </c>
      <c r="AR7" t="str">
        <f t="array" ref="AR7">IF(ISERROR(INDEX($A$3:$B$14312,SMALL(IF($A$3:$A$14312=AR$3,ROW($A$3:$A$14312)),ROW(5:5)),2)),"",INDEX($A$3:$B$14312,SMALL(IF($A$3:$A$14312=AR$3,ROW($A$3:$A$14312)),ROW(5:5)),2))</f>
        <v>Router3_10</v>
      </c>
      <c r="AS7" t="str">
        <f t="array" ref="AS7">IF(ISERROR(INDEX($A$3:$B$14312,SMALL(IF($A$3:$A$14312=AS$3,ROW($A$3:$A$14312)),ROW(5:5)),2)),"",INDEX($A$3:$B$14312,SMALL(IF($A$3:$A$14312=AS$3,ROW($A$3:$A$14312)),ROW(5:5)),2))</f>
        <v>Router3_43</v>
      </c>
      <c r="AT7" t="str">
        <f t="array" ref="AT7">IF(ISERROR(INDEX($A$3:$B$14312,SMALL(IF($A$3:$A$14312=AT$3,ROW($A$3:$A$14312)),ROW(5:5)),2)),"",INDEX($A$3:$B$14312,SMALL(IF($A$3:$A$14312=AT$3,ROW($A$3:$A$14312)),ROW(5:5)),2))</f>
        <v>Router3_44</v>
      </c>
      <c r="AU7" t="str">
        <f t="array" ref="AU7">IF(ISERROR(INDEX($A$3:$B$14312,SMALL(IF($A$3:$A$14312=AU$3,ROW($A$3:$A$14312)),ROW(5:5)),2)),"",INDEX($A$3:$B$14312,SMALL(IF($A$3:$A$14312=AU$3,ROW($A$3:$A$14312)),ROW(5:5)),2))</f>
        <v>Router3_8</v>
      </c>
      <c r="AV7" t="str">
        <f t="array" ref="AV7">IF(ISERROR(INDEX($A$3:$B$14312,SMALL(IF($A$3:$A$14312=AV$3,ROW($A$3:$A$14312)),ROW(5:5)),2)),"",INDEX($A$3:$B$14312,SMALL(IF($A$3:$A$14312=AV$3,ROW($A$3:$A$14312)),ROW(5:5)),2))</f>
        <v>Router3_51</v>
      </c>
      <c r="AW7" t="str">
        <f t="array" ref="AW7">IF(ISERROR(INDEX($A$3:$B$14312,SMALL(IF($A$3:$A$14312=AW$3,ROW($A$3:$A$14312)),ROW(5:5)),2)),"",INDEX($A$3:$B$14312,SMALL(IF($A$3:$A$14312=AW$3,ROW($A$3:$A$14312)),ROW(5:5)),2))</f>
        <v/>
      </c>
      <c r="AX7" t="str">
        <f t="array" ref="AX7">IF(ISERROR(INDEX($A$3:$B$14312,SMALL(IF($A$3:$A$14312=AX$3,ROW($A$3:$A$14312)),ROW(5:5)),2)),"",INDEX($A$3:$B$14312,SMALL(IF($A$3:$A$14312=AX$3,ROW($A$3:$A$14312)),ROW(5:5)),2))</f>
        <v>Router3_130</v>
      </c>
      <c r="AY7" t="str">
        <f t="array" ref="AY7">IF(ISERROR(INDEX($A$3:$B$14312,SMALL(IF($A$3:$A$14312=AY$3,ROW($A$3:$A$14312)),ROW(5:5)),2)),"",INDEX($A$3:$B$14312,SMALL(IF($A$3:$A$14312=AY$3,ROW($A$3:$A$14312)),ROW(5:5)),2))</f>
        <v>Router3_61</v>
      </c>
      <c r="AZ7" t="str">
        <f t="array" ref="AZ7">IF(ISERROR(INDEX($A$3:$B$14312,SMALL(IF($A$3:$A$14312=AZ$3,ROW($A$3:$A$14312)),ROW(5:5)),2)),"",INDEX($A$3:$B$14312,SMALL(IF($A$3:$A$14312=AZ$3,ROW($A$3:$A$14312)),ROW(5:5)),2))</f>
        <v/>
      </c>
      <c r="BA7" t="str">
        <f t="array" ref="BA7">IF(ISERROR(INDEX($A$3:$B$14312,SMALL(IF($A$3:$A$14312=BA$3,ROW($A$3:$A$14312)),ROW(5:5)),2)),"",INDEX($A$3:$B$14312,SMALL(IF($A$3:$A$14312=BA$3,ROW($A$3:$A$14312)),ROW(5:5)),2))</f>
        <v>Router3_68</v>
      </c>
      <c r="BB7" t="str">
        <f t="array" ref="BB7">IF(ISERROR(INDEX($A$3:$B$14312,SMALL(IF($A$3:$A$14312=BB$3,ROW($A$3:$A$14312)),ROW(5:5)),2)),"",INDEX($A$3:$B$14312,SMALL(IF($A$3:$A$14312=BB$3,ROW($A$3:$A$14312)),ROW(5:5)),2))</f>
        <v/>
      </c>
      <c r="BC7" t="str">
        <f t="array" ref="BC7">IF(ISERROR(INDEX($A$3:$B$14312,SMALL(IF($A$3:$A$14312=BC$3,ROW($A$3:$A$14312)),ROW(5:5)),2)),"",INDEX($A$3:$B$14312,SMALL(IF($A$3:$A$14312=BC$3,ROW($A$3:$A$14312)),ROW(5:5)),2))</f>
        <v/>
      </c>
      <c r="BD7" t="str">
        <f t="array" ref="BD7">IF(ISERROR(INDEX($A$3:$B$14312,SMALL(IF($A$3:$A$14312=BD$3,ROW($A$3:$A$14312)),ROW(5:5)),2)),"",INDEX($A$3:$B$14312,SMALL(IF($A$3:$A$14312=BD$3,ROW($A$3:$A$14312)),ROW(5:5)),2))</f>
        <v/>
      </c>
      <c r="BE7" t="str">
        <f t="array" ref="BE7">IF(ISERROR(INDEX($A$3:$B$14312,SMALL(IF($A$3:$A$14312=BE$3,ROW($A$3:$A$14312)),ROW(5:5)),2)),"",INDEX($A$3:$B$14312,SMALL(IF($A$3:$A$14312=BE$3,ROW($A$3:$A$14312)),ROW(5:5)),2))</f>
        <v>Router3_79</v>
      </c>
      <c r="BF7" t="str">
        <f t="array" ref="BF7">IF(ISERROR(INDEX($A$3:$B$14312,SMALL(IF($A$3:$A$14312=BF$3,ROW($A$3:$A$14312)),ROW(5:5)),2)),"",INDEX($A$3:$B$14312,SMALL(IF($A$3:$A$14312=BF$3,ROW($A$3:$A$14312)),ROW(5:5)),2))</f>
        <v/>
      </c>
      <c r="BG7" t="str">
        <f t="array" ref="BG7">IF(ISERROR(INDEX($A$3:$B$14312,SMALL(IF($A$3:$A$14312=BG$3,ROW($A$3:$A$14312)),ROW(5:5)),2)),"",INDEX($A$3:$B$14312,SMALL(IF($A$3:$A$14312=BG$3,ROW($A$3:$A$14312)),ROW(5:5)),2))</f>
        <v>Router3_16</v>
      </c>
      <c r="BH7" t="str">
        <f t="array" ref="BH7">IF(ISERROR(INDEX($A$3:$B$14312,SMALL(IF($A$3:$A$14312=BH$3,ROW($A$3:$A$14312)),ROW(5:5)),2)),"",INDEX($A$3:$B$14312,SMALL(IF($A$3:$A$14312=BH$3,ROW($A$3:$A$14312)),ROW(5:5)),2))</f>
        <v>Router3_113</v>
      </c>
      <c r="BI7" t="str">
        <f t="array" ref="BI7">IF(ISERROR(INDEX($A$3:$B$14312,SMALL(IF($A$3:$A$14312=BI$3,ROW($A$3:$A$14312)),ROW(5:5)),2)),"",INDEX($A$3:$B$14312,SMALL(IF($A$3:$A$14312=BI$3,ROW($A$3:$A$14312)),ROW(5:5)),2))</f>
        <v>Router3_78</v>
      </c>
      <c r="BJ7" t="str">
        <f t="array" ref="BJ7">IF(ISERROR(INDEX($A$3:$B$14312,SMALL(IF($A$3:$A$14312=BJ$3,ROW($A$3:$A$14312)),ROW(5:5)),2)),"",INDEX($A$3:$B$14312,SMALL(IF($A$3:$A$14312=BJ$3,ROW($A$3:$A$14312)),ROW(5:5)),2))</f>
        <v/>
      </c>
      <c r="BK7" t="str">
        <f t="array" ref="BK7">IF(ISERROR(INDEX($A$3:$B$14312,SMALL(IF($A$3:$A$14312=BK$3,ROW($A$3:$A$14312)),ROW(5:5)),2)),"",INDEX($A$3:$B$14312,SMALL(IF($A$3:$A$14312=BK$3,ROW($A$3:$A$14312)),ROW(5:5)),2))</f>
        <v/>
      </c>
      <c r="BL7" t="str">
        <f t="array" ref="BL7">IF(ISERROR(INDEX($A$3:$B$14312,SMALL(IF($A$3:$A$14312=BL$3,ROW($A$3:$A$14312)),ROW(5:5)),2)),"",INDEX($A$3:$B$14312,SMALL(IF($A$3:$A$14312=BL$3,ROW($A$3:$A$14312)),ROW(5:5)),2))</f>
        <v/>
      </c>
      <c r="BM7" t="str">
        <f t="array" ref="BM7">IF(ISERROR(INDEX($A$3:$B$14312,SMALL(IF($A$3:$A$14312=BM$3,ROW($A$3:$A$14312)),ROW(5:5)),2)),"",INDEX($A$3:$B$14312,SMALL(IF($A$3:$A$14312=BM$3,ROW($A$3:$A$14312)),ROW(5:5)),2))</f>
        <v>Router3_15</v>
      </c>
      <c r="BN7" t="str">
        <f t="array" ref="BN7">IF(ISERROR(INDEX($A$3:$B$14312,SMALL(IF($A$3:$A$14312=BN$3,ROW($A$3:$A$14312)),ROW(5:5)),2)),"",INDEX($A$3:$B$14312,SMALL(IF($A$3:$A$14312=BN$3,ROW($A$3:$A$14312)),ROW(5:5)),2))</f>
        <v/>
      </c>
      <c r="BO7" t="str">
        <f t="array" ref="BO7">IF(ISERROR(INDEX($A$3:$B$14312,SMALL(IF($A$3:$A$14312=BO$3,ROW($A$3:$A$14312)),ROW(5:5)),2)),"",INDEX($A$3:$B$14312,SMALL(IF($A$3:$A$14312=BO$3,ROW($A$3:$A$14312)),ROW(5:5)),2))</f>
        <v/>
      </c>
      <c r="BP7" t="str">
        <f t="array" ref="BP7">IF(ISERROR(INDEX($A$3:$B$14312,SMALL(IF($A$3:$A$14312=BP$3,ROW($A$3:$A$14312)),ROW(5:5)),2)),"",INDEX($A$3:$B$14312,SMALL(IF($A$3:$A$14312=BP$3,ROW($A$3:$A$14312)),ROW(5:5)),2))</f>
        <v/>
      </c>
      <c r="BQ7" t="str">
        <f t="array" ref="BQ7">IF(ISERROR(INDEX($A$3:$B$14312,SMALL(IF($A$3:$A$14312=BQ$3,ROW($A$3:$A$14312)),ROW(5:5)),2)),"",INDEX($A$3:$B$14312,SMALL(IF($A$3:$A$14312=BQ$3,ROW($A$3:$A$14312)),ROW(5:5)),2))</f>
        <v>Router3_71</v>
      </c>
      <c r="BR7" t="str">
        <f t="array" ref="BR7">IF(ISERROR(INDEX($A$3:$B$14312,SMALL(IF($A$3:$A$14312=BR$3,ROW($A$3:$A$14312)),ROW(5:5)),2)),"",INDEX($A$3:$B$14312,SMALL(IF($A$3:$A$14312=BR$3,ROW($A$3:$A$14312)),ROW(5:5)),2))</f>
        <v/>
      </c>
      <c r="BS7" t="str">
        <f t="array" ref="BS7">IF(ISERROR(INDEX($A$3:$B$14312,SMALL(IF($A$3:$A$14312=BS$3,ROW($A$3:$A$14312)),ROW(5:5)),2)),"",INDEX($A$3:$B$14312,SMALL(IF($A$3:$A$14312=BS$3,ROW($A$3:$A$14312)),ROW(5:5)),2))</f>
        <v/>
      </c>
      <c r="BT7" t="str">
        <f t="array" ref="BT7">IF(ISERROR(INDEX($A$3:$B$14312,SMALL(IF($A$3:$A$14312=BT$3,ROW($A$3:$A$14312)),ROW(5:5)),2)),"",INDEX($A$3:$B$14312,SMALL(IF($A$3:$A$14312=BT$3,ROW($A$3:$A$14312)),ROW(5:5)),2))</f>
        <v>Router3_53</v>
      </c>
      <c r="BU7" t="str">
        <f t="array" ref="BU7">IF(ISERROR(INDEX($A$3:$B$14312,SMALL(IF($A$3:$A$14312=BU$3,ROW($A$3:$A$14312)),ROW(5:5)),2)),"",INDEX($A$3:$B$14312,SMALL(IF($A$3:$A$14312=BU$3,ROW($A$3:$A$14312)),ROW(5:5)),2))</f>
        <v>Router3_51</v>
      </c>
      <c r="BV7" t="str">
        <f t="array" ref="BV7">IF(ISERROR(INDEX($A$3:$B$14312,SMALL(IF($A$3:$A$14312=BV$3,ROW($A$3:$A$14312)),ROW(5:5)),2)),"",INDEX($A$3:$B$14312,SMALL(IF($A$3:$A$14312=BV$3,ROW($A$3:$A$14312)),ROW(5:5)),2))</f>
        <v>Router3_145</v>
      </c>
      <c r="BW7" t="str">
        <f t="array" ref="BW7">IF(ISERROR(INDEX($A$3:$B$14312,SMALL(IF($A$3:$A$14312=BW$3,ROW($A$3:$A$14312)),ROW(5:5)),2)),"",INDEX($A$3:$B$14312,SMALL(IF($A$3:$A$14312=BW$3,ROW($A$3:$A$14312)),ROW(5:5)),2))</f>
        <v>Router3_143</v>
      </c>
      <c r="BX7" t="str">
        <f t="array" ref="BX7">IF(ISERROR(INDEX($A$3:$B$14312,SMALL(IF($A$3:$A$14312=BX$3,ROW($A$3:$A$14312)),ROW(5:5)),2)),"",INDEX($A$3:$B$14312,SMALL(IF($A$3:$A$14312=BX$3,ROW($A$3:$A$14312)),ROW(5:5)),2))</f>
        <v>Router3_13</v>
      </c>
      <c r="BY7" t="str">
        <f t="array" ref="BY7">IF(ISERROR(INDEX($A$3:$B$14312,SMALL(IF($A$3:$A$14312=BY$3,ROW($A$3:$A$14312)),ROW(5:5)),2)),"",INDEX($A$3:$B$14312,SMALL(IF($A$3:$A$14312=BY$3,ROW($A$3:$A$14312)),ROW(5:5)),2))</f>
        <v>Router3_43</v>
      </c>
      <c r="BZ7" t="str">
        <f t="array" ref="BZ7">IF(ISERROR(INDEX($A$3:$B$14312,SMALL(IF($A$3:$A$14312=BZ$3,ROW($A$3:$A$14312)),ROW(5:5)),2)),"",INDEX($A$3:$B$14312,SMALL(IF($A$3:$A$14312=BZ$3,ROW($A$3:$A$14312)),ROW(5:5)),2))</f>
        <v>Router3_43</v>
      </c>
      <c r="CA7" t="str">
        <f t="array" ref="CA7">IF(ISERROR(INDEX($A$3:$B$14312,SMALL(IF($A$3:$A$14312=CA$3,ROW($A$3:$A$14312)),ROW(5:5)),2)),"",INDEX($A$3:$B$14312,SMALL(IF($A$3:$A$14312=CA$3,ROW($A$3:$A$14312)),ROW(5:5)),2))</f>
        <v/>
      </c>
      <c r="CB7" t="str">
        <f t="array" ref="CB7">IF(ISERROR(INDEX($A$3:$B$14312,SMALL(IF($A$3:$A$14312=CB$3,ROW($A$3:$A$14312)),ROW(5:5)),2)),"",INDEX($A$3:$B$14312,SMALL(IF($A$3:$A$14312=CB$3,ROW($A$3:$A$14312)),ROW(5:5)),2))</f>
        <v>Router3_56</v>
      </c>
      <c r="CC7" t="str">
        <f t="array" ref="CC7">IF(ISERROR(INDEX($A$3:$B$14312,SMALL(IF($A$3:$A$14312=CC$3,ROW($A$3:$A$14312)),ROW(5:5)),2)),"",INDEX($A$3:$B$14312,SMALL(IF($A$3:$A$14312=CC$3,ROW($A$3:$A$14312)),ROW(5:5)),2))</f>
        <v/>
      </c>
      <c r="CD7" t="str">
        <f t="array" ref="CD7">IF(ISERROR(INDEX($A$3:$B$14312,SMALL(IF($A$3:$A$14312=CD$3,ROW($A$3:$A$14312)),ROW(5:5)),2)),"",INDEX($A$3:$B$14312,SMALL(IF($A$3:$A$14312=CD$3,ROW($A$3:$A$14312)),ROW(5:5)),2))</f>
        <v>Router3_79</v>
      </c>
      <c r="CE7" t="str">
        <f t="array" ref="CE7">IF(ISERROR(INDEX($A$3:$B$14312,SMALL(IF($A$3:$A$14312=CE$3,ROW($A$3:$A$14312)),ROW(5:5)),2)),"",INDEX($A$3:$B$14312,SMALL(IF($A$3:$A$14312=CE$3,ROW($A$3:$A$14312)),ROW(5:5)),2))</f>
        <v>Router3_79</v>
      </c>
      <c r="CF7" t="str">
        <f t="array" ref="CF7">IF(ISERROR(INDEX($A$3:$B$14312,SMALL(IF($A$3:$A$14312=CF$3,ROW($A$3:$A$14312)),ROW(5:5)),2)),"",INDEX($A$3:$B$14312,SMALL(IF($A$3:$A$14312=CF$3,ROW($A$3:$A$14312)),ROW(5:5)),2))</f>
        <v/>
      </c>
      <c r="CG7" t="str">
        <f t="array" ref="CG7">IF(ISERROR(INDEX($A$3:$B$14312,SMALL(IF($A$3:$A$14312=CG$3,ROW($A$3:$A$14312)),ROW(5:5)),2)),"",INDEX($A$3:$B$14312,SMALL(IF($A$3:$A$14312=CG$3,ROW($A$3:$A$14312)),ROW(5:5)),2))</f>
        <v>Router3_9</v>
      </c>
      <c r="CH7" t="str">
        <f t="array" ref="CH7">IF(ISERROR(INDEX($A$3:$B$14312,SMALL(IF($A$3:$A$14312=CH$3,ROW($A$3:$A$14312)),ROW(5:5)),2)),"",INDEX($A$3:$B$14312,SMALL(IF($A$3:$A$14312=CH$3,ROW($A$3:$A$14312)),ROW(5:5)),2))</f>
        <v/>
      </c>
      <c r="CI7" t="str">
        <f t="array" ref="CI7">IF(ISERROR(INDEX($A$3:$B$14312,SMALL(IF($A$3:$A$14312=CI$3,ROW($A$3:$A$14312)),ROW(5:5)),2)),"",INDEX($A$3:$B$14312,SMALL(IF($A$3:$A$14312=CI$3,ROW($A$3:$A$14312)),ROW(5:5)),2))</f>
        <v>Router3_78</v>
      </c>
      <c r="CJ7" t="str">
        <f t="array" ref="CJ7">IF(ISERROR(INDEX($A$3:$B$14312,SMALL(IF($A$3:$A$14312=CJ$3,ROW($A$3:$A$14312)),ROW(5:5)),2)),"",INDEX($A$3:$B$14312,SMALL(IF($A$3:$A$14312=CJ$3,ROW($A$3:$A$14312)),ROW(5:5)),2))</f>
        <v>Router3_71</v>
      </c>
      <c r="CK7" t="str">
        <f t="array" ref="CK7">IF(ISERROR(INDEX($A$3:$B$14312,SMALL(IF($A$3:$A$14312=CK$3,ROW($A$3:$A$14312)),ROW(5:5)),2)),"",INDEX($A$3:$B$14312,SMALL(IF($A$3:$A$14312=CK$3,ROW($A$3:$A$14312)),ROW(5:5)),2))</f>
        <v/>
      </c>
      <c r="CL7" t="str">
        <f t="array" ref="CL7">IF(ISERROR(INDEX($A$3:$B$14312,SMALL(IF($A$3:$A$14312=CL$3,ROW($A$3:$A$14312)),ROW(5:5)),2)),"",INDEX($A$3:$B$14312,SMALL(IF($A$3:$A$14312=CL$3,ROW($A$3:$A$14312)),ROW(5:5)),2))</f>
        <v/>
      </c>
      <c r="CM7" t="str">
        <f t="array" ref="CM7">IF(ISERROR(INDEX($A$3:$B$14312,SMALL(IF($A$3:$A$14312=CM$3,ROW($A$3:$A$14312)),ROW(5:5)),2)),"",INDEX($A$3:$B$14312,SMALL(IF($A$3:$A$14312=CM$3,ROW($A$3:$A$14312)),ROW(5:5)),2))</f>
        <v/>
      </c>
      <c r="CN7" t="str">
        <f t="array" ref="CN7">IF(ISERROR(INDEX($A$3:$B$14312,SMALL(IF($A$3:$A$14312=CN$3,ROW($A$3:$A$14312)),ROW(5:5)),2)),"",INDEX($A$3:$B$14312,SMALL(IF($A$3:$A$14312=CN$3,ROW($A$3:$A$14312)),ROW(5:5)),2))</f>
        <v>Router3_9</v>
      </c>
      <c r="CO7" t="str">
        <f t="array" ref="CO7">IF(ISERROR(INDEX($A$3:$B$14312,SMALL(IF($A$3:$A$14312=CO$3,ROW($A$3:$A$14312)),ROW(5:5)),2)),"",INDEX($A$3:$B$14312,SMALL(IF($A$3:$A$14312=CO$3,ROW($A$3:$A$14312)),ROW(5:5)),2))</f>
        <v>Router3_52</v>
      </c>
      <c r="CP7" t="str">
        <f t="array" ref="CP7">IF(ISERROR(INDEX($A$3:$B$14312,SMALL(IF($A$3:$A$14312=CP$3,ROW($A$3:$A$14312)),ROW(5:5)),2)),"",INDEX($A$3:$B$14312,SMALL(IF($A$3:$A$14312=CP$3,ROW($A$3:$A$14312)),ROW(5:5)),2))</f>
        <v>Router3_8</v>
      </c>
      <c r="CQ7" t="str">
        <f t="array" ref="CQ7">IF(ISERROR(INDEX($A$3:$B$14312,SMALL(IF($A$3:$A$14312=CQ$3,ROW($A$3:$A$14312)),ROW(5:5)),2)),"",INDEX($A$3:$B$14312,SMALL(IF($A$3:$A$14312=CQ$3,ROW($A$3:$A$14312)),ROW(5:5)),2))</f>
        <v/>
      </c>
      <c r="CR7" t="str">
        <f t="array" ref="CR7">IF(ISERROR(INDEX($A$3:$B$14312,SMALL(IF($A$3:$A$14312=CR$3,ROW($A$3:$A$14312)),ROW(5:5)),2)),"",INDEX($A$3:$B$14312,SMALL(IF($A$3:$A$14312=CR$3,ROW($A$3:$A$14312)),ROW(5:5)),2))</f>
        <v/>
      </c>
      <c r="CS7" t="str">
        <f t="array" ref="CS7">IF(ISERROR(INDEX($A$3:$B$14312,SMALL(IF($A$3:$A$14312=CS$3,ROW($A$3:$A$14312)),ROW(5:5)),2)),"",INDEX($A$3:$B$14312,SMALL(IF($A$3:$A$14312=CS$3,ROW($A$3:$A$14312)),ROW(5:5)),2))</f>
        <v>Router3_71</v>
      </c>
      <c r="CT7" t="str">
        <f t="array" ref="CT7">IF(ISERROR(INDEX($A$3:$B$14312,SMALL(IF($A$3:$A$14312=CT$3,ROW($A$3:$A$14312)),ROW(5:5)),2)),"",INDEX($A$3:$B$14312,SMALL(IF($A$3:$A$14312=CT$3,ROW($A$3:$A$14312)),ROW(5:5)),2))</f>
        <v>Router3_96</v>
      </c>
      <c r="CU7" t="str">
        <f t="array" ref="CU7">IF(ISERROR(INDEX($A$3:$B$14312,SMALL(IF($A$3:$A$14312=CU$3,ROW($A$3:$A$14312)),ROW(5:5)),2)),"",INDEX($A$3:$B$14312,SMALL(IF($A$3:$A$14312=CU$3,ROW($A$3:$A$14312)),ROW(5:5)),2))</f>
        <v/>
      </c>
      <c r="CV7" t="str">
        <f t="array" ref="CV7">IF(ISERROR(INDEX($A$3:$B$14312,SMALL(IF($A$3:$A$14312=CV$3,ROW($A$3:$A$14312)),ROW(5:5)),2)),"",INDEX($A$3:$B$14312,SMALL(IF($A$3:$A$14312=CV$3,ROW($A$3:$A$14312)),ROW(5:5)),2))</f>
        <v>Router3_61</v>
      </c>
      <c r="CW7" t="str">
        <f t="array" ref="CW7">IF(ISERROR(INDEX($A$3:$B$14312,SMALL(IF($A$3:$A$14312=CW$3,ROW($A$3:$A$14312)),ROW(5:5)),2)),"",INDEX($A$3:$B$14312,SMALL(IF($A$3:$A$14312=CW$3,ROW($A$3:$A$14312)),ROW(5:5)),2))</f>
        <v/>
      </c>
      <c r="CX7" t="str">
        <f t="array" ref="CX7">IF(ISERROR(INDEX($A$3:$B$14312,SMALL(IF($A$3:$A$14312=CX$3,ROW($A$3:$A$14312)),ROW(5:5)),2)),"",INDEX($A$3:$B$14312,SMALL(IF($A$3:$A$14312=CX$3,ROW($A$3:$A$14312)),ROW(5:5)),2))</f>
        <v/>
      </c>
      <c r="CY7" t="str">
        <f t="array" ref="CY7">IF(ISERROR(INDEX($A$3:$B$14312,SMALL(IF($A$3:$A$14312=CY$3,ROW($A$3:$A$14312)),ROW(5:5)),2)),"",INDEX($A$3:$B$14312,SMALL(IF($A$3:$A$14312=CY$3,ROW($A$3:$A$14312)),ROW(5:5)),2))</f>
        <v>Router3_53</v>
      </c>
      <c r="CZ7" t="str">
        <f t="array" ref="CZ7">IF(ISERROR(INDEX($A$3:$B$14312,SMALL(IF($A$3:$A$14312=CZ$3,ROW($A$3:$A$14312)),ROW(5:5)),2)),"",INDEX($A$3:$B$14312,SMALL(IF($A$3:$A$14312=CZ$3,ROW($A$3:$A$14312)),ROW(5:5)),2))</f>
        <v>Router3_90</v>
      </c>
      <c r="DA7" t="str">
        <f t="array" ref="DA7">IF(ISERROR(INDEX($A$3:$B$14312,SMALL(IF($A$3:$A$14312=DA$3,ROW($A$3:$A$14312)),ROW(5:5)),2)),"",INDEX($A$3:$B$14312,SMALL(IF($A$3:$A$14312=DA$3,ROW($A$3:$A$14312)),ROW(5:5)),2))</f>
        <v>Router3_125</v>
      </c>
      <c r="DB7" t="str">
        <f t="array" ref="DB7">IF(ISERROR(INDEX($A$3:$B$14312,SMALL(IF($A$3:$A$14312=DB$3,ROW($A$3:$A$14312)),ROW(5:5)),2)),"",INDEX($A$3:$B$14312,SMALL(IF($A$3:$A$14312=DB$3,ROW($A$3:$A$14312)),ROW(5:5)),2))</f>
        <v>Router3_98</v>
      </c>
      <c r="DC7" t="str">
        <f t="array" ref="DC7">IF(ISERROR(INDEX($A$3:$B$14312,SMALL(IF($A$3:$A$14312=DC$3,ROW($A$3:$A$14312)),ROW(5:5)),2)),"",INDEX($A$3:$B$14312,SMALL(IF($A$3:$A$14312=DC$3,ROW($A$3:$A$14312)),ROW(5:5)),2))</f>
        <v>Router3_62</v>
      </c>
      <c r="DD7" t="str">
        <f t="array" ref="DD7">IF(ISERROR(INDEX($A$3:$B$14312,SMALL(IF($A$3:$A$14312=DD$3,ROW($A$3:$A$14312)),ROW(5:5)),2)),"",INDEX($A$3:$B$14312,SMALL(IF($A$3:$A$14312=DD$3,ROW($A$3:$A$14312)),ROW(5:5)),2))</f>
        <v>Router3_66</v>
      </c>
      <c r="DE7" t="str">
        <f t="array" ref="DE7">IF(ISERROR(INDEX($A$3:$B$14312,SMALL(IF($A$3:$A$14312=DE$3,ROW($A$3:$A$14312)),ROW(5:5)),2)),"",INDEX($A$3:$B$14312,SMALL(IF($A$3:$A$14312=DE$3,ROW($A$3:$A$14312)),ROW(5:5)),2))</f>
        <v>Router3_79</v>
      </c>
      <c r="DF7" t="str">
        <f t="array" ref="DF7">IF(ISERROR(INDEX($A$3:$B$14312,SMALL(IF($A$3:$A$14312=DF$3,ROW($A$3:$A$14312)),ROW(5:5)),2)),"",INDEX($A$3:$B$14312,SMALL(IF($A$3:$A$14312=DF$3,ROW($A$3:$A$14312)),ROW(5:5)),2))</f>
        <v>Router3_105</v>
      </c>
      <c r="DG7" t="str">
        <f t="array" ref="DG7">IF(ISERROR(INDEX($A$3:$B$14312,SMALL(IF($A$3:$A$14312=DG$3,ROW($A$3:$A$14312)),ROW(5:5)),2)),"",INDEX($A$3:$B$14312,SMALL(IF($A$3:$A$14312=DG$3,ROW($A$3:$A$14312)),ROW(5:5)),2))</f>
        <v>Router3_8</v>
      </c>
      <c r="DH7" t="str">
        <f t="array" ref="DH7">IF(ISERROR(INDEX($A$3:$B$14312,SMALL(IF($A$3:$A$14312=DH$3,ROW($A$3:$A$14312)),ROW(5:5)),2)),"",INDEX($A$3:$B$14312,SMALL(IF($A$3:$A$14312=DH$3,ROW($A$3:$A$14312)),ROW(5:5)),2))</f>
        <v>Router3_93</v>
      </c>
      <c r="DI7" t="str">
        <f t="array" ref="DI7">IF(ISERROR(INDEX($A$3:$B$14312,SMALL(IF($A$3:$A$14312=DI$3,ROW($A$3:$A$14312)),ROW(5:5)),2)),"",INDEX($A$3:$B$14312,SMALL(IF($A$3:$A$14312=DI$3,ROW($A$3:$A$14312)),ROW(5:5)),2))</f>
        <v>Router3_71</v>
      </c>
      <c r="DJ7" t="str">
        <f t="array" ref="DJ7">IF(ISERROR(INDEX($A$3:$B$14312,SMALL(IF($A$3:$A$14312=DJ$3,ROW($A$3:$A$14312)),ROW(5:5)),2)),"",INDEX($A$3:$B$14312,SMALL(IF($A$3:$A$14312=DJ$3,ROW($A$3:$A$14312)),ROW(5:5)),2))</f>
        <v>Router3_42</v>
      </c>
      <c r="DK7" t="str">
        <f t="array" ref="DK7">IF(ISERROR(INDEX($A$3:$B$14312,SMALL(IF($A$3:$A$14312=DK$3,ROW($A$3:$A$14312)),ROW(5:5)),2)),"",INDEX($A$3:$B$14312,SMALL(IF($A$3:$A$14312=DK$3,ROW($A$3:$A$14312)),ROW(5:5)),2))</f>
        <v>Router3_61</v>
      </c>
      <c r="DL7" t="str">
        <f t="array" ref="DL7">IF(ISERROR(INDEX($A$3:$B$14312,SMALL(IF($A$3:$A$14312=DL$3,ROW($A$3:$A$14312)),ROW(5:5)),2)),"",INDEX($A$3:$B$14312,SMALL(IF($A$3:$A$14312=DL$3,ROW($A$3:$A$14312)),ROW(5:5)),2))</f>
        <v>Router3_44</v>
      </c>
      <c r="DM7" t="str">
        <f t="array" ref="DM7">IF(ISERROR(INDEX($A$3:$B$14312,SMALL(IF($A$3:$A$14312=DM$3,ROW($A$3:$A$14312)),ROW(5:5)),2)),"",INDEX($A$3:$B$14312,SMALL(IF($A$3:$A$14312=DM$3,ROW($A$3:$A$14312)),ROW(5:5)),2))</f>
        <v/>
      </c>
      <c r="DN7" t="str">
        <f t="array" ref="DN7">IF(ISERROR(INDEX($A$3:$B$14312,SMALL(IF($A$3:$A$14312=DN$3,ROW($A$3:$A$14312)),ROW(5:5)),2)),"",INDEX($A$3:$B$14312,SMALL(IF($A$3:$A$14312=DN$3,ROW($A$3:$A$14312)),ROW(5:5)),2))</f>
        <v>Router3_45</v>
      </c>
      <c r="DO7" t="str">
        <f t="array" ref="DO7">IF(ISERROR(INDEX($A$3:$B$14312,SMALL(IF($A$3:$A$14312=DO$3,ROW($A$3:$A$14312)),ROW(5:5)),2)),"",INDEX($A$3:$B$14312,SMALL(IF($A$3:$A$14312=DO$3,ROW($A$3:$A$14312)),ROW(5:5)),2))</f>
        <v>Router3_65</v>
      </c>
      <c r="DP7" t="str">
        <f t="array" ref="DP7">IF(ISERROR(INDEX($A$3:$B$14312,SMALL(IF($A$3:$A$14312=DP$3,ROW($A$3:$A$14312)),ROW(5:5)),2)),"",INDEX($A$3:$B$14312,SMALL(IF($A$3:$A$14312=DP$3,ROW($A$3:$A$14312)),ROW(5:5)),2))</f>
        <v>Router3_145</v>
      </c>
      <c r="DQ7" t="str">
        <f t="array" ref="DQ7">IF(ISERROR(INDEX($A$3:$B$14312,SMALL(IF($A$3:$A$14312=DQ$3,ROW($A$3:$A$14312)),ROW(5:5)),2)),"",INDEX($A$3:$B$14312,SMALL(IF($A$3:$A$14312=DQ$3,ROW($A$3:$A$14312)),ROW(5:5)),2))</f>
        <v>Router3_145</v>
      </c>
      <c r="DR7" t="str">
        <f t="array" ref="DR7">IF(ISERROR(INDEX($A$3:$B$14312,SMALL(IF($A$3:$A$14312=DR$3,ROW($A$3:$A$14312)),ROW(5:5)),2)),"",INDEX($A$3:$B$14312,SMALL(IF($A$3:$A$14312=DR$3,ROW($A$3:$A$14312)),ROW(5:5)),2))</f>
        <v>Router3_7</v>
      </c>
      <c r="DS7" t="str">
        <f t="array" ref="DS7">IF(ISERROR(INDEX($A$3:$B$14312,SMALL(IF($A$3:$A$14312=DS$3,ROW($A$3:$A$14312)),ROW(5:5)),2)),"",INDEX($A$3:$B$14312,SMALL(IF($A$3:$A$14312=DS$3,ROW($A$3:$A$14312)),ROW(5:5)),2))</f>
        <v>Router3_134</v>
      </c>
      <c r="DT7" t="str">
        <f t="array" ref="DT7">IF(ISERROR(INDEX($A$3:$B$14312,SMALL(IF($A$3:$A$14312=DT$3,ROW($A$3:$A$14312)),ROW(5:5)),2)),"",INDEX($A$3:$B$14312,SMALL(IF($A$3:$A$14312=DT$3,ROW($A$3:$A$14312)),ROW(5:5)),2))</f>
        <v>Router3_71</v>
      </c>
      <c r="DU7" t="str">
        <f t="array" ref="DU7">IF(ISERROR(INDEX($A$3:$B$14312,SMALL(IF($A$3:$A$14312=DU$3,ROW($A$3:$A$14312)),ROW(5:5)),2)),"",INDEX($A$3:$B$14312,SMALL(IF($A$3:$A$14312=DU$3,ROW($A$3:$A$14312)),ROW(5:5)),2))</f>
        <v>Router3_124</v>
      </c>
      <c r="DV7" t="str">
        <f t="array" ref="DV7">IF(ISERROR(INDEX($A$3:$B$14312,SMALL(IF($A$3:$A$14312=DV$3,ROW($A$3:$A$14312)),ROW(5:5)),2)),"",INDEX($A$3:$B$14312,SMALL(IF($A$3:$A$14312=DV$3,ROW($A$3:$A$14312)),ROW(5:5)),2))</f>
        <v>Router3_78</v>
      </c>
      <c r="DW7" t="str">
        <f t="array" ref="DW7">IF(ISERROR(INDEX($A$3:$B$14312,SMALL(IF($A$3:$A$14312=DW$3,ROW($A$3:$A$14312)),ROW(5:5)),2)),"",INDEX($A$3:$B$14312,SMALL(IF($A$3:$A$14312=DW$3,ROW($A$3:$A$14312)),ROW(5:5)),2))</f>
        <v/>
      </c>
      <c r="DX7" t="str">
        <f t="array" ref="DX7">IF(ISERROR(INDEX($A$3:$B$14312,SMALL(IF($A$3:$A$14312=DX$3,ROW($A$3:$A$14312)),ROW(5:5)),2)),"",INDEX($A$3:$B$14312,SMALL(IF($A$3:$A$14312=DX$3,ROW($A$3:$A$14312)),ROW(5:5)),2))</f>
        <v/>
      </c>
      <c r="DY7" t="str">
        <f t="array" ref="DY7">IF(ISERROR(INDEX($A$3:$B$14312,SMALL(IF($A$3:$A$14312=DY$3,ROW($A$3:$A$14312)),ROW(5:5)),2)),"",INDEX($A$3:$B$14312,SMALL(IF($A$3:$A$14312=DY$3,ROW($A$3:$A$14312)),ROW(5:5)),2))</f>
        <v/>
      </c>
      <c r="DZ7" t="str">
        <f t="array" ref="DZ7">IF(ISERROR(INDEX($A$3:$B$14312,SMALL(IF($A$3:$A$14312=DZ$3,ROW($A$3:$A$14312)),ROW(5:5)),2)),"",INDEX($A$3:$B$14312,SMALL(IF($A$3:$A$14312=DZ$3,ROW($A$3:$A$14312)),ROW(5:5)),2))</f>
        <v/>
      </c>
      <c r="EA7" t="str">
        <f t="array" ref="EA7">IF(ISERROR(INDEX($A$3:$B$14312,SMALL(IF($A$3:$A$14312=EA$3,ROW($A$3:$A$14312)),ROW(5:5)),2)),"",INDEX($A$3:$B$14312,SMALL(IF($A$3:$A$14312=EA$3,ROW($A$3:$A$14312)),ROW(5:5)),2))</f>
        <v>Router3_48</v>
      </c>
      <c r="EB7" t="str">
        <f t="array" ref="EB7">IF(ISERROR(INDEX($A$3:$B$14312,SMALL(IF($A$3:$A$14312=EB$3,ROW($A$3:$A$14312)),ROW(5:5)),2)),"",INDEX($A$3:$B$14312,SMALL(IF($A$3:$A$14312=EB$3,ROW($A$3:$A$14312)),ROW(5:5)),2))</f>
        <v>Router3_93</v>
      </c>
      <c r="EC7" t="str">
        <f t="array" ref="EC7">IF(ISERROR(INDEX($A$3:$B$14312,SMALL(IF($A$3:$A$14312=EC$3,ROW($A$3:$A$14312)),ROW(5:5)),2)),"",INDEX($A$3:$B$14312,SMALL(IF($A$3:$A$14312=EC$3,ROW($A$3:$A$14312)),ROW(5:5)),2))</f>
        <v>Router3_53</v>
      </c>
      <c r="ED7" t="str">
        <f t="array" ref="ED7">IF(ISERROR(INDEX($A$3:$B$14312,SMALL(IF($A$3:$A$14312=ED$3,ROW($A$3:$A$14312)),ROW(5:5)),2)),"",INDEX($A$3:$B$14312,SMALL(IF($A$3:$A$14312=ED$3,ROW($A$3:$A$14312)),ROW(5:5)),2))</f>
        <v>Router3_62</v>
      </c>
      <c r="EE7" t="str">
        <f t="array" ref="EE7">IF(ISERROR(INDEX($A$3:$B$14312,SMALL(IF($A$3:$A$14312=EE$3,ROW($A$3:$A$14312)),ROW(5:5)),2)),"",INDEX($A$3:$B$14312,SMALL(IF($A$3:$A$14312=EE$3,ROW($A$3:$A$14312)),ROW(5:5)),2))</f>
        <v>Router3_102</v>
      </c>
    </row>
    <row r="8" spans="1:135" x14ac:dyDescent="0.25">
      <c r="A8" s="10">
        <v>-485017374</v>
      </c>
      <c r="B8" t="s">
        <v>1206</v>
      </c>
      <c r="E8" t="str">
        <f t="array" ref="E8">IF(ISERROR(INDEX($A$3:$B$14312,SMALL(IF($A$3:$A$14312=E$3,ROW($A$3:$A$14312)),ROW(6:6)),2)),"",INDEX($A$3:$B$14312,SMALL(IF($A$3:$A$14312=E$3,ROW($A$3:$A$14312)),ROW(6:6)),2))</f>
        <v>Router3_10</v>
      </c>
      <c r="F8" t="str">
        <f t="array" ref="F8">IF(ISERROR(INDEX($A$3:$B$14312,SMALL(IF($A$3:$A$14312=F$3,ROW($A$3:$A$14312)),ROW(6:6)),2)),"",INDEX($A$3:$B$14312,SMALL(IF($A$3:$A$14312=F$3,ROW($A$3:$A$14312)),ROW(6:6)),2))</f>
        <v>Router3_21</v>
      </c>
      <c r="G8" t="str">
        <f t="array" ref="G8">IF(ISERROR(INDEX($A$3:$B$14312,SMALL(IF($A$3:$A$14312=G$3,ROW($A$3:$A$14312)),ROW(6:6)),2)),"",INDEX($A$3:$B$14312,SMALL(IF($A$3:$A$14312=G$3,ROW($A$3:$A$14312)),ROW(6:6)),2))</f>
        <v>Router3_56</v>
      </c>
      <c r="H8" t="str">
        <f t="array" ref="H8">IF(ISERROR(INDEX($A$3:$B$14312,SMALL(IF($A$3:$A$14312=H$3,ROW($A$3:$A$14312)),ROW(6:6)),2)),"",INDEX($A$3:$B$14312,SMALL(IF($A$3:$A$14312=H$3,ROW($A$3:$A$14312)),ROW(6:6)),2))</f>
        <v>Router3_97</v>
      </c>
      <c r="I8" t="str">
        <f t="array" ref="I8">IF(ISERROR(INDEX($A$3:$B$14312,SMALL(IF($A$3:$A$14312=I$3,ROW($A$3:$A$14312)),ROW(6:6)),2)),"",INDEX($A$3:$B$14312,SMALL(IF($A$3:$A$14312=I$3,ROW($A$3:$A$14312)),ROW(6:6)),2))</f>
        <v>Router3_144</v>
      </c>
      <c r="J8" t="str">
        <f t="array" ref="J8">IF(ISERROR(INDEX($A$3:$B$14312,SMALL(IF($A$3:$A$14312=J$3,ROW($A$3:$A$14312)),ROW(6:6)),2)),"",INDEX($A$3:$B$14312,SMALL(IF($A$3:$A$14312=J$3,ROW($A$3:$A$14312)),ROW(6:6)),2))</f>
        <v>Router3_137</v>
      </c>
      <c r="K8" t="str">
        <f t="array" ref="K8">IF(ISERROR(INDEX($A$3:$B$14312,SMALL(IF($A$3:$A$14312=K$3,ROW($A$3:$A$14312)),ROW(6:6)),2)),"",INDEX($A$3:$B$14312,SMALL(IF($A$3:$A$14312=K$3,ROW($A$3:$A$14312)),ROW(6:6)),2))</f>
        <v>Router3_101</v>
      </c>
      <c r="L8" t="str">
        <f t="array" ref="L8">IF(ISERROR(INDEX($A$3:$B$14312,SMALL(IF($A$3:$A$14312=L$3,ROW($A$3:$A$14312)),ROW(6:6)),2)),"",INDEX($A$3:$B$14312,SMALL(IF($A$3:$A$14312=L$3,ROW($A$3:$A$14312)),ROW(6:6)),2))</f>
        <v/>
      </c>
      <c r="M8" t="str">
        <f t="array" ref="M8">IF(ISERROR(INDEX($A$3:$B$14312,SMALL(IF($A$3:$A$14312=M$3,ROW($A$3:$A$14312)),ROW(6:6)),2)),"",INDEX($A$3:$B$14312,SMALL(IF($A$3:$A$14312=M$3,ROW($A$3:$A$14312)),ROW(6:6)),2))</f>
        <v>Router3_99</v>
      </c>
      <c r="N8" t="str">
        <f t="array" ref="N8">IF(ISERROR(INDEX($A$3:$B$14312,SMALL(IF($A$3:$A$14312=N$3,ROW($A$3:$A$14312)),ROW(6:6)),2)),"",INDEX($A$3:$B$14312,SMALL(IF($A$3:$A$14312=N$3,ROW($A$3:$A$14312)),ROW(6:6)),2))</f>
        <v/>
      </c>
      <c r="O8" t="str">
        <f t="array" ref="O8">IF(ISERROR(INDEX($A$3:$B$14312,SMALL(IF($A$3:$A$14312=O$3,ROW($A$3:$A$14312)),ROW(6:6)),2)),"",INDEX($A$3:$B$14312,SMALL(IF($A$3:$A$14312=O$3,ROW($A$3:$A$14312)),ROW(6:6)),2))</f>
        <v>Router3_79</v>
      </c>
      <c r="P8" t="str">
        <f t="array" ref="P8">IF(ISERROR(INDEX($A$3:$B$14312,SMALL(IF($A$3:$A$14312=P$3,ROW($A$3:$A$14312)),ROW(6:6)),2)),"",INDEX($A$3:$B$14312,SMALL(IF($A$3:$A$14312=P$3,ROW($A$3:$A$14312)),ROW(6:6)),2))</f>
        <v>Router3_97</v>
      </c>
      <c r="Q8" t="str">
        <f t="array" ref="Q8">IF(ISERROR(INDEX($A$3:$B$14312,SMALL(IF($A$3:$A$14312=Q$3,ROW($A$3:$A$14312)),ROW(6:6)),2)),"",INDEX($A$3:$B$14312,SMALL(IF($A$3:$A$14312=Q$3,ROW($A$3:$A$14312)),ROW(6:6)),2))</f>
        <v/>
      </c>
      <c r="R8" t="str">
        <f t="array" ref="R8">IF(ISERROR(INDEX($A$3:$B$14312,SMALL(IF($A$3:$A$14312=R$3,ROW($A$3:$A$14312)),ROW(6:6)),2)),"",INDEX($A$3:$B$14312,SMALL(IF($A$3:$A$14312=R$3,ROW($A$3:$A$14312)),ROW(6:6)),2))</f>
        <v/>
      </c>
      <c r="S8" t="str">
        <f t="array" ref="S8">IF(ISERROR(INDEX($A$3:$B$14312,SMALL(IF($A$3:$A$14312=S$3,ROW($A$3:$A$14312)),ROW(6:6)),2)),"",INDEX($A$3:$B$14312,SMALL(IF($A$3:$A$14312=S$3,ROW($A$3:$A$14312)),ROW(6:6)),2))</f>
        <v/>
      </c>
      <c r="T8" t="str">
        <f t="array" ref="T8">IF(ISERROR(INDEX($A$3:$B$14312,SMALL(IF($A$3:$A$14312=T$3,ROW($A$3:$A$14312)),ROW(6:6)),2)),"",INDEX($A$3:$B$14312,SMALL(IF($A$3:$A$14312=T$3,ROW($A$3:$A$14312)),ROW(6:6)),2))</f>
        <v>Router3_5</v>
      </c>
      <c r="U8" t="str">
        <f t="array" ref="U8">IF(ISERROR(INDEX($A$3:$B$14312,SMALL(IF($A$3:$A$14312=U$3,ROW($A$3:$A$14312)),ROW(6:6)),2)),"",INDEX($A$3:$B$14312,SMALL(IF($A$3:$A$14312=U$3,ROW($A$3:$A$14312)),ROW(6:6)),2))</f>
        <v>Router3_93</v>
      </c>
      <c r="V8" t="str">
        <f t="array" ref="V8">IF(ISERROR(INDEX($A$3:$B$14312,SMALL(IF($A$3:$A$14312=V$3,ROW($A$3:$A$14312)),ROW(6:6)),2)),"",INDEX($A$3:$B$14312,SMALL(IF($A$3:$A$14312=V$3,ROW($A$3:$A$14312)),ROW(6:6)),2))</f>
        <v/>
      </c>
      <c r="W8" t="str">
        <f t="array" ref="W8">IF(ISERROR(INDEX($A$3:$B$14312,SMALL(IF($A$3:$A$14312=W$3,ROW($A$3:$A$14312)),ROW(6:6)),2)),"",INDEX($A$3:$B$14312,SMALL(IF($A$3:$A$14312=W$3,ROW($A$3:$A$14312)),ROW(6:6)),2))</f>
        <v>Router3_59</v>
      </c>
      <c r="X8" t="str">
        <f t="array" ref="X8">IF(ISERROR(INDEX($A$3:$B$14312,SMALL(IF($A$3:$A$14312=X$3,ROW($A$3:$A$14312)),ROW(6:6)),2)),"",INDEX($A$3:$B$14312,SMALL(IF($A$3:$A$14312=X$3,ROW($A$3:$A$14312)),ROW(6:6)),2))</f>
        <v/>
      </c>
      <c r="Y8" t="str">
        <f t="array" ref="Y8">IF(ISERROR(INDEX($A$3:$B$14312,SMALL(IF($A$3:$A$14312=Y$3,ROW($A$3:$A$14312)),ROW(6:6)),2)),"",INDEX($A$3:$B$14312,SMALL(IF($A$3:$A$14312=Y$3,ROW($A$3:$A$14312)),ROW(6:6)),2))</f>
        <v/>
      </c>
      <c r="Z8" t="str">
        <f t="array" ref="Z8">IF(ISERROR(INDEX($A$3:$B$14312,SMALL(IF($A$3:$A$14312=Z$3,ROW($A$3:$A$14312)),ROW(6:6)),2)),"",INDEX($A$3:$B$14312,SMALL(IF($A$3:$A$14312=Z$3,ROW($A$3:$A$14312)),ROW(6:6)),2))</f>
        <v/>
      </c>
      <c r="AA8" t="str">
        <f t="array" ref="AA8">IF(ISERROR(INDEX($A$3:$B$14312,SMALL(IF($A$3:$A$14312=AA$3,ROW($A$3:$A$14312)),ROW(6:6)),2)),"",INDEX($A$3:$B$14312,SMALL(IF($A$3:$A$14312=AA$3,ROW($A$3:$A$14312)),ROW(6:6)),2))</f>
        <v/>
      </c>
      <c r="AB8" t="str">
        <f t="array" ref="AB8">IF(ISERROR(INDEX($A$3:$B$14312,SMALL(IF($A$3:$A$14312=AB$3,ROW($A$3:$A$14312)),ROW(6:6)),2)),"",INDEX($A$3:$B$14312,SMALL(IF($A$3:$A$14312=AB$3,ROW($A$3:$A$14312)),ROW(6:6)),2))</f>
        <v/>
      </c>
      <c r="AC8" t="str">
        <f t="array" ref="AC8">IF(ISERROR(INDEX($A$3:$B$14312,SMALL(IF($A$3:$A$14312=AC$3,ROW($A$3:$A$14312)),ROW(6:6)),2)),"",INDEX($A$3:$B$14312,SMALL(IF($A$3:$A$14312=AC$3,ROW($A$3:$A$14312)),ROW(6:6)),2))</f>
        <v/>
      </c>
      <c r="AD8" t="str">
        <f t="array" ref="AD8">IF(ISERROR(INDEX($A$3:$B$14312,SMALL(IF($A$3:$A$14312=AD$3,ROW($A$3:$A$14312)),ROW(6:6)),2)),"",INDEX($A$3:$B$14312,SMALL(IF($A$3:$A$14312=AD$3,ROW($A$3:$A$14312)),ROW(6:6)),2))</f>
        <v/>
      </c>
      <c r="AE8" t="str">
        <f t="array" ref="AE8">IF(ISERROR(INDEX($A$3:$B$14312,SMALL(IF($A$3:$A$14312=AE$3,ROW($A$3:$A$14312)),ROW(6:6)),2)),"",INDEX($A$3:$B$14312,SMALL(IF($A$3:$A$14312=AE$3,ROW($A$3:$A$14312)),ROW(6:6)),2))</f>
        <v/>
      </c>
      <c r="AF8" t="str">
        <f t="array" ref="AF8">IF(ISERROR(INDEX($A$3:$B$14312,SMALL(IF($A$3:$A$14312=AF$3,ROW($A$3:$A$14312)),ROW(6:6)),2)),"",INDEX($A$3:$B$14312,SMALL(IF($A$3:$A$14312=AF$3,ROW($A$3:$A$14312)),ROW(6:6)),2))</f>
        <v>Router3_89</v>
      </c>
      <c r="AG8" t="str">
        <f t="array" ref="AG8">IF(ISERROR(INDEX($A$3:$B$14312,SMALL(IF($A$3:$A$14312=AG$3,ROW($A$3:$A$14312)),ROW(6:6)),2)),"",INDEX($A$3:$B$14312,SMALL(IF($A$3:$A$14312=AG$3,ROW($A$3:$A$14312)),ROW(6:6)),2))</f>
        <v>Router3_10</v>
      </c>
      <c r="AH8" t="str">
        <f t="array" ref="AH8">IF(ISERROR(INDEX($A$3:$B$14312,SMALL(IF($A$3:$A$14312=AH$3,ROW($A$3:$A$14312)),ROW(6:6)),2)),"",INDEX($A$3:$B$14312,SMALL(IF($A$3:$A$14312=AH$3,ROW($A$3:$A$14312)),ROW(6:6)),2))</f>
        <v>Router3_14</v>
      </c>
      <c r="AI8" t="str">
        <f t="array" ref="AI8">IF(ISERROR(INDEX($A$3:$B$14312,SMALL(IF($A$3:$A$14312=AI$3,ROW($A$3:$A$14312)),ROW(6:6)),2)),"",INDEX($A$3:$B$14312,SMALL(IF($A$3:$A$14312=AI$3,ROW($A$3:$A$14312)),ROW(6:6)),2))</f>
        <v>Router3_48</v>
      </c>
      <c r="AJ8" t="str">
        <f t="array" ref="AJ8">IF(ISERROR(INDEX($A$3:$B$14312,SMALL(IF($A$3:$A$14312=AJ$3,ROW($A$3:$A$14312)),ROW(6:6)),2)),"",INDEX($A$3:$B$14312,SMALL(IF($A$3:$A$14312=AJ$3,ROW($A$3:$A$14312)),ROW(6:6)),2))</f>
        <v>Router3_92</v>
      </c>
      <c r="AK8" t="str">
        <f t="array" ref="AK8">IF(ISERROR(INDEX($A$3:$B$14312,SMALL(IF($A$3:$A$14312=AK$3,ROW($A$3:$A$14312)),ROW(6:6)),2)),"",INDEX($A$3:$B$14312,SMALL(IF($A$3:$A$14312=AK$3,ROW($A$3:$A$14312)),ROW(6:6)),2))</f>
        <v>Router3_117</v>
      </c>
      <c r="AL8" t="str">
        <f t="array" ref="AL8">IF(ISERROR(INDEX($A$3:$B$14312,SMALL(IF($A$3:$A$14312=AL$3,ROW($A$3:$A$14312)),ROW(6:6)),2)),"",INDEX($A$3:$B$14312,SMALL(IF($A$3:$A$14312=AL$3,ROW($A$3:$A$14312)),ROW(6:6)),2))</f>
        <v>Router3_69</v>
      </c>
      <c r="AM8" t="str">
        <f t="array" ref="AM8">IF(ISERROR(INDEX($A$3:$B$14312,SMALL(IF($A$3:$A$14312=AM$3,ROW($A$3:$A$14312)),ROW(6:6)),2)),"",INDEX($A$3:$B$14312,SMALL(IF($A$3:$A$14312=AM$3,ROW($A$3:$A$14312)),ROW(6:6)),2))</f>
        <v>Router3_61</v>
      </c>
      <c r="AN8" t="str">
        <f t="array" ref="AN8">IF(ISERROR(INDEX($A$3:$B$14312,SMALL(IF($A$3:$A$14312=AN$3,ROW($A$3:$A$14312)),ROW(6:6)),2)),"",INDEX($A$3:$B$14312,SMALL(IF($A$3:$A$14312=AN$3,ROW($A$3:$A$14312)),ROW(6:6)),2))</f>
        <v>Router3_52</v>
      </c>
      <c r="AO8" t="str">
        <f t="array" ref="AO8">IF(ISERROR(INDEX($A$3:$B$14312,SMALL(IF($A$3:$A$14312=AO$3,ROW($A$3:$A$14312)),ROW(6:6)),2)),"",INDEX($A$3:$B$14312,SMALL(IF($A$3:$A$14312=AO$3,ROW($A$3:$A$14312)),ROW(6:6)),2))</f>
        <v>Router3_71</v>
      </c>
      <c r="AP8" t="str">
        <f t="array" ref="AP8">IF(ISERROR(INDEX($A$3:$B$14312,SMALL(IF($A$3:$A$14312=AP$3,ROW($A$3:$A$14312)),ROW(6:6)),2)),"",INDEX($A$3:$B$14312,SMALL(IF($A$3:$A$14312=AP$3,ROW($A$3:$A$14312)),ROW(6:6)),2))</f>
        <v>Router3_9</v>
      </c>
      <c r="AQ8" t="str">
        <f t="array" ref="AQ8">IF(ISERROR(INDEX($A$3:$B$14312,SMALL(IF($A$3:$A$14312=AQ$3,ROW($A$3:$A$14312)),ROW(6:6)),2)),"",INDEX($A$3:$B$14312,SMALL(IF($A$3:$A$14312=AQ$3,ROW($A$3:$A$14312)),ROW(6:6)),2))</f>
        <v/>
      </c>
      <c r="AR8" t="str">
        <f t="array" ref="AR8">IF(ISERROR(INDEX($A$3:$B$14312,SMALL(IF($A$3:$A$14312=AR$3,ROW($A$3:$A$14312)),ROW(6:6)),2)),"",INDEX($A$3:$B$14312,SMALL(IF($A$3:$A$14312=AR$3,ROW($A$3:$A$14312)),ROW(6:6)),2))</f>
        <v>Router3_11</v>
      </c>
      <c r="AS8" t="str">
        <f t="array" ref="AS8">IF(ISERROR(INDEX($A$3:$B$14312,SMALL(IF($A$3:$A$14312=AS$3,ROW($A$3:$A$14312)),ROW(6:6)),2)),"",INDEX($A$3:$B$14312,SMALL(IF($A$3:$A$14312=AS$3,ROW($A$3:$A$14312)),ROW(6:6)),2))</f>
        <v>Router3_45</v>
      </c>
      <c r="AT8" t="str">
        <f t="array" ref="AT8">IF(ISERROR(INDEX($A$3:$B$14312,SMALL(IF($A$3:$A$14312=AT$3,ROW($A$3:$A$14312)),ROW(6:6)),2)),"",INDEX($A$3:$B$14312,SMALL(IF($A$3:$A$14312=AT$3,ROW($A$3:$A$14312)),ROW(6:6)),2))</f>
        <v>Router3_38</v>
      </c>
      <c r="AU8" t="str">
        <f t="array" ref="AU8">IF(ISERROR(INDEX($A$3:$B$14312,SMALL(IF($A$3:$A$14312=AU$3,ROW($A$3:$A$14312)),ROW(6:6)),2)),"",INDEX($A$3:$B$14312,SMALL(IF($A$3:$A$14312=AU$3,ROW($A$3:$A$14312)),ROW(6:6)),2))</f>
        <v>Router3_9</v>
      </c>
      <c r="AV8" t="str">
        <f t="array" ref="AV8">IF(ISERROR(INDEX($A$3:$B$14312,SMALL(IF($A$3:$A$14312=AV$3,ROW($A$3:$A$14312)),ROW(6:6)),2)),"",INDEX($A$3:$B$14312,SMALL(IF($A$3:$A$14312=AV$3,ROW($A$3:$A$14312)),ROW(6:6)),2))</f>
        <v/>
      </c>
      <c r="AW8" t="str">
        <f t="array" ref="AW8">IF(ISERROR(INDEX($A$3:$B$14312,SMALL(IF($A$3:$A$14312=AW$3,ROW($A$3:$A$14312)),ROW(6:6)),2)),"",INDEX($A$3:$B$14312,SMALL(IF($A$3:$A$14312=AW$3,ROW($A$3:$A$14312)),ROW(6:6)),2))</f>
        <v/>
      </c>
      <c r="AX8" t="str">
        <f t="array" ref="AX8">IF(ISERROR(INDEX($A$3:$B$14312,SMALL(IF($A$3:$A$14312=AX$3,ROW($A$3:$A$14312)),ROW(6:6)),2)),"",INDEX($A$3:$B$14312,SMALL(IF($A$3:$A$14312=AX$3,ROW($A$3:$A$14312)),ROW(6:6)),2))</f>
        <v>Router3_131</v>
      </c>
      <c r="AY8" t="str">
        <f t="array" ref="AY8">IF(ISERROR(INDEX($A$3:$B$14312,SMALL(IF($A$3:$A$14312=AY$3,ROW($A$3:$A$14312)),ROW(6:6)),2)),"",INDEX($A$3:$B$14312,SMALL(IF($A$3:$A$14312=AY$3,ROW($A$3:$A$14312)),ROW(6:6)),2))</f>
        <v>Router3_61</v>
      </c>
      <c r="AZ8" t="str">
        <f t="array" ref="AZ8">IF(ISERROR(INDEX($A$3:$B$14312,SMALL(IF($A$3:$A$14312=AZ$3,ROW($A$3:$A$14312)),ROW(6:6)),2)),"",INDEX($A$3:$B$14312,SMALL(IF($A$3:$A$14312=AZ$3,ROW($A$3:$A$14312)),ROW(6:6)),2))</f>
        <v/>
      </c>
      <c r="BA8" t="str">
        <f t="array" ref="BA8">IF(ISERROR(INDEX($A$3:$B$14312,SMALL(IF($A$3:$A$14312=BA$3,ROW($A$3:$A$14312)),ROW(6:6)),2)),"",INDEX($A$3:$B$14312,SMALL(IF($A$3:$A$14312=BA$3,ROW($A$3:$A$14312)),ROW(6:6)),2))</f>
        <v/>
      </c>
      <c r="BB8" t="str">
        <f t="array" ref="BB8">IF(ISERROR(INDEX($A$3:$B$14312,SMALL(IF($A$3:$A$14312=BB$3,ROW($A$3:$A$14312)),ROW(6:6)),2)),"",INDEX($A$3:$B$14312,SMALL(IF($A$3:$A$14312=BB$3,ROW($A$3:$A$14312)),ROW(6:6)),2))</f>
        <v/>
      </c>
      <c r="BC8" t="str">
        <f t="array" ref="BC8">IF(ISERROR(INDEX($A$3:$B$14312,SMALL(IF($A$3:$A$14312=BC$3,ROW($A$3:$A$14312)),ROW(6:6)),2)),"",INDEX($A$3:$B$14312,SMALL(IF($A$3:$A$14312=BC$3,ROW($A$3:$A$14312)),ROW(6:6)),2))</f>
        <v/>
      </c>
      <c r="BD8" t="str">
        <f t="array" ref="BD8">IF(ISERROR(INDEX($A$3:$B$14312,SMALL(IF($A$3:$A$14312=BD$3,ROW($A$3:$A$14312)),ROW(6:6)),2)),"",INDEX($A$3:$B$14312,SMALL(IF($A$3:$A$14312=BD$3,ROW($A$3:$A$14312)),ROW(6:6)),2))</f>
        <v/>
      </c>
      <c r="BE8" t="str">
        <f t="array" ref="BE8">IF(ISERROR(INDEX($A$3:$B$14312,SMALL(IF($A$3:$A$14312=BE$3,ROW($A$3:$A$14312)),ROW(6:6)),2)),"",INDEX($A$3:$B$14312,SMALL(IF($A$3:$A$14312=BE$3,ROW($A$3:$A$14312)),ROW(6:6)),2))</f>
        <v>Router3_97</v>
      </c>
      <c r="BF8" t="str">
        <f t="array" ref="BF8">IF(ISERROR(INDEX($A$3:$B$14312,SMALL(IF($A$3:$A$14312=BF$3,ROW($A$3:$A$14312)),ROW(6:6)),2)),"",INDEX($A$3:$B$14312,SMALL(IF($A$3:$A$14312=BF$3,ROW($A$3:$A$14312)),ROW(6:6)),2))</f>
        <v/>
      </c>
      <c r="BG8" t="str">
        <f t="array" ref="BG8">IF(ISERROR(INDEX($A$3:$B$14312,SMALL(IF($A$3:$A$14312=BG$3,ROW($A$3:$A$14312)),ROW(6:6)),2)),"",INDEX($A$3:$B$14312,SMALL(IF($A$3:$A$14312=BG$3,ROW($A$3:$A$14312)),ROW(6:6)),2))</f>
        <v>Router3_17</v>
      </c>
      <c r="BH8" t="str">
        <f t="array" ref="BH8">IF(ISERROR(INDEX($A$3:$B$14312,SMALL(IF($A$3:$A$14312=BH$3,ROW($A$3:$A$14312)),ROW(6:6)),2)),"",INDEX($A$3:$B$14312,SMALL(IF($A$3:$A$14312=BH$3,ROW($A$3:$A$14312)),ROW(6:6)),2))</f>
        <v>Router3_118</v>
      </c>
      <c r="BI8" t="str">
        <f t="array" ref="BI8">IF(ISERROR(INDEX($A$3:$B$14312,SMALL(IF($A$3:$A$14312=BI$3,ROW($A$3:$A$14312)),ROW(6:6)),2)),"",INDEX($A$3:$B$14312,SMALL(IF($A$3:$A$14312=BI$3,ROW($A$3:$A$14312)),ROW(6:6)),2))</f>
        <v>Router3_79</v>
      </c>
      <c r="BJ8" t="str">
        <f t="array" ref="BJ8">IF(ISERROR(INDEX($A$3:$B$14312,SMALL(IF($A$3:$A$14312=BJ$3,ROW($A$3:$A$14312)),ROW(6:6)),2)),"",INDEX($A$3:$B$14312,SMALL(IF($A$3:$A$14312=BJ$3,ROW($A$3:$A$14312)),ROW(6:6)),2))</f>
        <v/>
      </c>
      <c r="BK8" t="str">
        <f t="array" ref="BK8">IF(ISERROR(INDEX($A$3:$B$14312,SMALL(IF($A$3:$A$14312=BK$3,ROW($A$3:$A$14312)),ROW(6:6)),2)),"",INDEX($A$3:$B$14312,SMALL(IF($A$3:$A$14312=BK$3,ROW($A$3:$A$14312)),ROW(6:6)),2))</f>
        <v/>
      </c>
      <c r="BL8" t="str">
        <f t="array" ref="BL8">IF(ISERROR(INDEX($A$3:$B$14312,SMALL(IF($A$3:$A$14312=BL$3,ROW($A$3:$A$14312)),ROW(6:6)),2)),"",INDEX($A$3:$B$14312,SMALL(IF($A$3:$A$14312=BL$3,ROW($A$3:$A$14312)),ROW(6:6)),2))</f>
        <v/>
      </c>
      <c r="BM8" t="str">
        <f t="array" ref="BM8">IF(ISERROR(INDEX($A$3:$B$14312,SMALL(IF($A$3:$A$14312=BM$3,ROW($A$3:$A$14312)),ROW(6:6)),2)),"",INDEX($A$3:$B$14312,SMALL(IF($A$3:$A$14312=BM$3,ROW($A$3:$A$14312)),ROW(6:6)),2))</f>
        <v>Router3_16</v>
      </c>
      <c r="BN8" t="str">
        <f t="array" ref="BN8">IF(ISERROR(INDEX($A$3:$B$14312,SMALL(IF($A$3:$A$14312=BN$3,ROW($A$3:$A$14312)),ROW(6:6)),2)),"",INDEX($A$3:$B$14312,SMALL(IF($A$3:$A$14312=BN$3,ROW($A$3:$A$14312)),ROW(6:6)),2))</f>
        <v/>
      </c>
      <c r="BO8" t="str">
        <f t="array" ref="BO8">IF(ISERROR(INDEX($A$3:$B$14312,SMALL(IF($A$3:$A$14312=BO$3,ROW($A$3:$A$14312)),ROW(6:6)),2)),"",INDEX($A$3:$B$14312,SMALL(IF($A$3:$A$14312=BO$3,ROW($A$3:$A$14312)),ROW(6:6)),2))</f>
        <v/>
      </c>
      <c r="BP8" t="str">
        <f t="array" ref="BP8">IF(ISERROR(INDEX($A$3:$B$14312,SMALL(IF($A$3:$A$14312=BP$3,ROW($A$3:$A$14312)),ROW(6:6)),2)),"",INDEX($A$3:$B$14312,SMALL(IF($A$3:$A$14312=BP$3,ROW($A$3:$A$14312)),ROW(6:6)),2))</f>
        <v/>
      </c>
      <c r="BQ8" t="str">
        <f t="array" ref="BQ8">IF(ISERROR(INDEX($A$3:$B$14312,SMALL(IF($A$3:$A$14312=BQ$3,ROW($A$3:$A$14312)),ROW(6:6)),2)),"",INDEX($A$3:$B$14312,SMALL(IF($A$3:$A$14312=BQ$3,ROW($A$3:$A$14312)),ROW(6:6)),2))</f>
        <v>Router3_72</v>
      </c>
      <c r="BR8" t="str">
        <f t="array" ref="BR8">IF(ISERROR(INDEX($A$3:$B$14312,SMALL(IF($A$3:$A$14312=BR$3,ROW($A$3:$A$14312)),ROW(6:6)),2)),"",INDEX($A$3:$B$14312,SMALL(IF($A$3:$A$14312=BR$3,ROW($A$3:$A$14312)),ROW(6:6)),2))</f>
        <v/>
      </c>
      <c r="BS8" t="str">
        <f t="array" ref="BS8">IF(ISERROR(INDEX($A$3:$B$14312,SMALL(IF($A$3:$A$14312=BS$3,ROW($A$3:$A$14312)),ROW(6:6)),2)),"",INDEX($A$3:$B$14312,SMALL(IF($A$3:$A$14312=BS$3,ROW($A$3:$A$14312)),ROW(6:6)),2))</f>
        <v/>
      </c>
      <c r="BT8" t="str">
        <f t="array" ref="BT8">IF(ISERROR(INDEX($A$3:$B$14312,SMALL(IF($A$3:$A$14312=BT$3,ROW($A$3:$A$14312)),ROW(6:6)),2)),"",INDEX($A$3:$B$14312,SMALL(IF($A$3:$A$14312=BT$3,ROW($A$3:$A$14312)),ROW(6:6)),2))</f>
        <v>Router3_53</v>
      </c>
      <c r="BU8" t="str">
        <f t="array" ref="BU8">IF(ISERROR(INDEX($A$3:$B$14312,SMALL(IF($A$3:$A$14312=BU$3,ROW($A$3:$A$14312)),ROW(6:6)),2)),"",INDEX($A$3:$B$14312,SMALL(IF($A$3:$A$14312=BU$3,ROW($A$3:$A$14312)),ROW(6:6)),2))</f>
        <v/>
      </c>
      <c r="BV8" t="str">
        <f t="array" ref="BV8">IF(ISERROR(INDEX($A$3:$B$14312,SMALL(IF($A$3:$A$14312=BV$3,ROW($A$3:$A$14312)),ROW(6:6)),2)),"",INDEX($A$3:$B$14312,SMALL(IF($A$3:$A$14312=BV$3,ROW($A$3:$A$14312)),ROW(6:6)),2))</f>
        <v>Router3_2</v>
      </c>
      <c r="BW8" t="str">
        <f t="array" ref="BW8">IF(ISERROR(INDEX($A$3:$B$14312,SMALL(IF($A$3:$A$14312=BW$3,ROW($A$3:$A$14312)),ROW(6:6)),2)),"",INDEX($A$3:$B$14312,SMALL(IF($A$3:$A$14312=BW$3,ROW($A$3:$A$14312)),ROW(6:6)),2))</f>
        <v>Router3_144</v>
      </c>
      <c r="BX8" t="str">
        <f t="array" ref="BX8">IF(ISERROR(INDEX($A$3:$B$14312,SMALL(IF($A$3:$A$14312=BX$3,ROW($A$3:$A$14312)),ROW(6:6)),2)),"",INDEX($A$3:$B$14312,SMALL(IF($A$3:$A$14312=BX$3,ROW($A$3:$A$14312)),ROW(6:6)),2))</f>
        <v>Router3_21</v>
      </c>
      <c r="BY8" t="str">
        <f t="array" ref="BY8">IF(ISERROR(INDEX($A$3:$B$14312,SMALL(IF($A$3:$A$14312=BY$3,ROW($A$3:$A$14312)),ROW(6:6)),2)),"",INDEX($A$3:$B$14312,SMALL(IF($A$3:$A$14312=BY$3,ROW($A$3:$A$14312)),ROW(6:6)),2))</f>
        <v>Router3_45</v>
      </c>
      <c r="BZ8" t="str">
        <f t="array" ref="BZ8">IF(ISERROR(INDEX($A$3:$B$14312,SMALL(IF($A$3:$A$14312=BZ$3,ROW($A$3:$A$14312)),ROW(6:6)),2)),"",INDEX($A$3:$B$14312,SMALL(IF($A$3:$A$14312=BZ$3,ROW($A$3:$A$14312)),ROW(6:6)),2))</f>
        <v>Router3_45</v>
      </c>
      <c r="CA8" t="str">
        <f t="array" ref="CA8">IF(ISERROR(INDEX($A$3:$B$14312,SMALL(IF($A$3:$A$14312=CA$3,ROW($A$3:$A$14312)),ROW(6:6)),2)),"",INDEX($A$3:$B$14312,SMALL(IF($A$3:$A$14312=CA$3,ROW($A$3:$A$14312)),ROW(6:6)),2))</f>
        <v/>
      </c>
      <c r="CB8" t="str">
        <f t="array" ref="CB8">IF(ISERROR(INDEX($A$3:$B$14312,SMALL(IF($A$3:$A$14312=CB$3,ROW($A$3:$A$14312)),ROW(6:6)),2)),"",INDEX($A$3:$B$14312,SMALL(IF($A$3:$A$14312=CB$3,ROW($A$3:$A$14312)),ROW(6:6)),2))</f>
        <v>Router3_65</v>
      </c>
      <c r="CC8" t="str">
        <f t="array" ref="CC8">IF(ISERROR(INDEX($A$3:$B$14312,SMALL(IF($A$3:$A$14312=CC$3,ROW($A$3:$A$14312)),ROW(6:6)),2)),"",INDEX($A$3:$B$14312,SMALL(IF($A$3:$A$14312=CC$3,ROW($A$3:$A$14312)),ROW(6:6)),2))</f>
        <v/>
      </c>
      <c r="CD8" t="str">
        <f t="array" ref="CD8">IF(ISERROR(INDEX($A$3:$B$14312,SMALL(IF($A$3:$A$14312=CD$3,ROW($A$3:$A$14312)),ROW(6:6)),2)),"",INDEX($A$3:$B$14312,SMALL(IF($A$3:$A$14312=CD$3,ROW($A$3:$A$14312)),ROW(6:6)),2))</f>
        <v>Router3_97</v>
      </c>
      <c r="CE8" t="str">
        <f t="array" ref="CE8">IF(ISERROR(INDEX($A$3:$B$14312,SMALL(IF($A$3:$A$14312=CE$3,ROW($A$3:$A$14312)),ROW(6:6)),2)),"",INDEX($A$3:$B$14312,SMALL(IF($A$3:$A$14312=CE$3,ROW($A$3:$A$14312)),ROW(6:6)),2))</f>
        <v>Router3_97</v>
      </c>
      <c r="CF8" t="str">
        <f t="array" ref="CF8">IF(ISERROR(INDEX($A$3:$B$14312,SMALL(IF($A$3:$A$14312=CF$3,ROW($A$3:$A$14312)),ROW(6:6)),2)),"",INDEX($A$3:$B$14312,SMALL(IF($A$3:$A$14312=CF$3,ROW($A$3:$A$14312)),ROW(6:6)),2))</f>
        <v/>
      </c>
      <c r="CG8" t="str">
        <f t="array" ref="CG8">IF(ISERROR(INDEX($A$3:$B$14312,SMALL(IF($A$3:$A$14312=CG$3,ROW($A$3:$A$14312)),ROW(6:6)),2)),"",INDEX($A$3:$B$14312,SMALL(IF($A$3:$A$14312=CG$3,ROW($A$3:$A$14312)),ROW(6:6)),2))</f>
        <v>Router3_10</v>
      </c>
      <c r="CH8" t="str">
        <f t="array" ref="CH8">IF(ISERROR(INDEX($A$3:$B$14312,SMALL(IF($A$3:$A$14312=CH$3,ROW($A$3:$A$14312)),ROW(6:6)),2)),"",INDEX($A$3:$B$14312,SMALL(IF($A$3:$A$14312=CH$3,ROW($A$3:$A$14312)),ROW(6:6)),2))</f>
        <v/>
      </c>
      <c r="CI8" t="str">
        <f t="array" ref="CI8">IF(ISERROR(INDEX($A$3:$B$14312,SMALL(IF($A$3:$A$14312=CI$3,ROW($A$3:$A$14312)),ROW(6:6)),2)),"",INDEX($A$3:$B$14312,SMALL(IF($A$3:$A$14312=CI$3,ROW($A$3:$A$14312)),ROW(6:6)),2))</f>
        <v>Router3_79</v>
      </c>
      <c r="CJ8" t="str">
        <f t="array" ref="CJ8">IF(ISERROR(INDEX($A$3:$B$14312,SMALL(IF($A$3:$A$14312=CJ$3,ROW($A$3:$A$14312)),ROW(6:6)),2)),"",INDEX($A$3:$B$14312,SMALL(IF($A$3:$A$14312=CJ$3,ROW($A$3:$A$14312)),ROW(6:6)),2))</f>
        <v>Router3_72</v>
      </c>
      <c r="CK8" t="str">
        <f t="array" ref="CK8">IF(ISERROR(INDEX($A$3:$B$14312,SMALL(IF($A$3:$A$14312=CK$3,ROW($A$3:$A$14312)),ROW(6:6)),2)),"",INDEX($A$3:$B$14312,SMALL(IF($A$3:$A$14312=CK$3,ROW($A$3:$A$14312)),ROW(6:6)),2))</f>
        <v/>
      </c>
      <c r="CL8" t="str">
        <f t="array" ref="CL8">IF(ISERROR(INDEX($A$3:$B$14312,SMALL(IF($A$3:$A$14312=CL$3,ROW($A$3:$A$14312)),ROW(6:6)),2)),"",INDEX($A$3:$B$14312,SMALL(IF($A$3:$A$14312=CL$3,ROW($A$3:$A$14312)),ROW(6:6)),2))</f>
        <v/>
      </c>
      <c r="CM8" t="str">
        <f t="array" ref="CM8">IF(ISERROR(INDEX($A$3:$B$14312,SMALL(IF($A$3:$A$14312=CM$3,ROW($A$3:$A$14312)),ROW(6:6)),2)),"",INDEX($A$3:$B$14312,SMALL(IF($A$3:$A$14312=CM$3,ROW($A$3:$A$14312)),ROW(6:6)),2))</f>
        <v/>
      </c>
      <c r="CN8" t="str">
        <f t="array" ref="CN8">IF(ISERROR(INDEX($A$3:$B$14312,SMALL(IF($A$3:$A$14312=CN$3,ROW($A$3:$A$14312)),ROW(6:6)),2)),"",INDEX($A$3:$B$14312,SMALL(IF($A$3:$A$14312=CN$3,ROW($A$3:$A$14312)),ROW(6:6)),2))</f>
        <v>Router3_10</v>
      </c>
      <c r="CO8" t="str">
        <f t="array" ref="CO8">IF(ISERROR(INDEX($A$3:$B$14312,SMALL(IF($A$3:$A$14312=CO$3,ROW($A$3:$A$14312)),ROW(6:6)),2)),"",INDEX($A$3:$B$14312,SMALL(IF($A$3:$A$14312=CO$3,ROW($A$3:$A$14312)),ROW(6:6)),2))</f>
        <v>Router3_53</v>
      </c>
      <c r="CP8" t="str">
        <f t="array" ref="CP8">IF(ISERROR(INDEX($A$3:$B$14312,SMALL(IF($A$3:$A$14312=CP$3,ROW($A$3:$A$14312)),ROW(6:6)),2)),"",INDEX($A$3:$B$14312,SMALL(IF($A$3:$A$14312=CP$3,ROW($A$3:$A$14312)),ROW(6:6)),2))</f>
        <v>Router3_9</v>
      </c>
      <c r="CQ8" t="str">
        <f t="array" ref="CQ8">IF(ISERROR(INDEX($A$3:$B$14312,SMALL(IF($A$3:$A$14312=CQ$3,ROW($A$3:$A$14312)),ROW(6:6)),2)),"",INDEX($A$3:$B$14312,SMALL(IF($A$3:$A$14312=CQ$3,ROW($A$3:$A$14312)),ROW(6:6)),2))</f>
        <v/>
      </c>
      <c r="CR8" t="str">
        <f t="array" ref="CR8">IF(ISERROR(INDEX($A$3:$B$14312,SMALL(IF($A$3:$A$14312=CR$3,ROW($A$3:$A$14312)),ROW(6:6)),2)),"",INDEX($A$3:$B$14312,SMALL(IF($A$3:$A$14312=CR$3,ROW($A$3:$A$14312)),ROW(6:6)),2))</f>
        <v/>
      </c>
      <c r="CS8" t="str">
        <f t="array" ref="CS8">IF(ISERROR(INDEX($A$3:$B$14312,SMALL(IF($A$3:$A$14312=CS$3,ROW($A$3:$A$14312)),ROW(6:6)),2)),"",INDEX($A$3:$B$14312,SMALL(IF($A$3:$A$14312=CS$3,ROW($A$3:$A$14312)),ROW(6:6)),2))</f>
        <v>Router3_72</v>
      </c>
      <c r="CT8" t="str">
        <f t="array" ref="CT8">IF(ISERROR(INDEX($A$3:$B$14312,SMALL(IF($A$3:$A$14312=CT$3,ROW($A$3:$A$14312)),ROW(6:6)),2)),"",INDEX($A$3:$B$14312,SMALL(IF($A$3:$A$14312=CT$3,ROW($A$3:$A$14312)),ROW(6:6)),2))</f>
        <v>Router3_108</v>
      </c>
      <c r="CU8" t="str">
        <f t="array" ref="CU8">IF(ISERROR(INDEX($A$3:$B$14312,SMALL(IF($A$3:$A$14312=CU$3,ROW($A$3:$A$14312)),ROW(6:6)),2)),"",INDEX($A$3:$B$14312,SMALL(IF($A$3:$A$14312=CU$3,ROW($A$3:$A$14312)),ROW(6:6)),2))</f>
        <v/>
      </c>
      <c r="CV8" t="str">
        <f t="array" ref="CV8">IF(ISERROR(INDEX($A$3:$B$14312,SMALL(IF($A$3:$A$14312=CV$3,ROW($A$3:$A$14312)),ROW(6:6)),2)),"",INDEX($A$3:$B$14312,SMALL(IF($A$3:$A$14312=CV$3,ROW($A$3:$A$14312)),ROW(6:6)),2))</f>
        <v>Router3_66</v>
      </c>
      <c r="CW8" t="str">
        <f t="array" ref="CW8">IF(ISERROR(INDEX($A$3:$B$14312,SMALL(IF($A$3:$A$14312=CW$3,ROW($A$3:$A$14312)),ROW(6:6)),2)),"",INDEX($A$3:$B$14312,SMALL(IF($A$3:$A$14312=CW$3,ROW($A$3:$A$14312)),ROW(6:6)),2))</f>
        <v/>
      </c>
      <c r="CX8" t="str">
        <f t="array" ref="CX8">IF(ISERROR(INDEX($A$3:$B$14312,SMALL(IF($A$3:$A$14312=CX$3,ROW($A$3:$A$14312)),ROW(6:6)),2)),"",INDEX($A$3:$B$14312,SMALL(IF($A$3:$A$14312=CX$3,ROW($A$3:$A$14312)),ROW(6:6)),2))</f>
        <v/>
      </c>
      <c r="CY8" t="str">
        <f t="array" ref="CY8">IF(ISERROR(INDEX($A$3:$B$14312,SMALL(IF($A$3:$A$14312=CY$3,ROW($A$3:$A$14312)),ROW(6:6)),2)),"",INDEX($A$3:$B$14312,SMALL(IF($A$3:$A$14312=CY$3,ROW($A$3:$A$14312)),ROW(6:6)),2))</f>
        <v>Router3_61</v>
      </c>
      <c r="CZ8" t="str">
        <f t="array" ref="CZ8">IF(ISERROR(INDEX($A$3:$B$14312,SMALL(IF($A$3:$A$14312=CZ$3,ROW($A$3:$A$14312)),ROW(6:6)),2)),"",INDEX($A$3:$B$14312,SMALL(IF($A$3:$A$14312=CZ$3,ROW($A$3:$A$14312)),ROW(6:6)),2))</f>
        <v>Router3_101</v>
      </c>
      <c r="DA8" t="str">
        <f t="array" ref="DA8">IF(ISERROR(INDEX($A$3:$B$14312,SMALL(IF($A$3:$A$14312=DA$3,ROW($A$3:$A$14312)),ROW(6:6)),2)),"",INDEX($A$3:$B$14312,SMALL(IF($A$3:$A$14312=DA$3,ROW($A$3:$A$14312)),ROW(6:6)),2))</f>
        <v>Router3_137</v>
      </c>
      <c r="DB8" t="str">
        <f t="array" ref="DB8">IF(ISERROR(INDEX($A$3:$B$14312,SMALL(IF($A$3:$A$14312=DB$3,ROW($A$3:$A$14312)),ROW(6:6)),2)),"",INDEX($A$3:$B$14312,SMALL(IF($A$3:$A$14312=DB$3,ROW($A$3:$A$14312)),ROW(6:6)),2))</f>
        <v>Router3_99</v>
      </c>
      <c r="DC8" t="str">
        <f t="array" ref="DC8">IF(ISERROR(INDEX($A$3:$B$14312,SMALL(IF($A$3:$A$14312=DC$3,ROW($A$3:$A$14312)),ROW(6:6)),2)),"",INDEX($A$3:$B$14312,SMALL(IF($A$3:$A$14312=DC$3,ROW($A$3:$A$14312)),ROW(6:6)),2))</f>
        <v>Router3_65</v>
      </c>
      <c r="DD8" t="str">
        <f t="array" ref="DD8">IF(ISERROR(INDEX($A$3:$B$14312,SMALL(IF($A$3:$A$14312=DD$3,ROW($A$3:$A$14312)),ROW(6:6)),2)),"",INDEX($A$3:$B$14312,SMALL(IF($A$3:$A$14312=DD$3,ROW($A$3:$A$14312)),ROW(6:6)),2))</f>
        <v/>
      </c>
      <c r="DE8" t="str">
        <f t="array" ref="DE8">IF(ISERROR(INDEX($A$3:$B$14312,SMALL(IF($A$3:$A$14312=DE$3,ROW($A$3:$A$14312)),ROW(6:6)),2)),"",INDEX($A$3:$B$14312,SMALL(IF($A$3:$A$14312=DE$3,ROW($A$3:$A$14312)),ROW(6:6)),2))</f>
        <v>Router3_97</v>
      </c>
      <c r="DF8" t="str">
        <f t="array" ref="DF8">IF(ISERROR(INDEX($A$3:$B$14312,SMALL(IF($A$3:$A$14312=DF$3,ROW($A$3:$A$14312)),ROW(6:6)),2)),"",INDEX($A$3:$B$14312,SMALL(IF($A$3:$A$14312=DF$3,ROW($A$3:$A$14312)),ROW(6:6)),2))</f>
        <v>Router3_106</v>
      </c>
      <c r="DG8" t="str">
        <f t="array" ref="DG8">IF(ISERROR(INDEX($A$3:$B$14312,SMALL(IF($A$3:$A$14312=DG$3,ROW($A$3:$A$14312)),ROW(6:6)),2)),"",INDEX($A$3:$B$14312,SMALL(IF($A$3:$A$14312=DG$3,ROW($A$3:$A$14312)),ROW(6:6)),2))</f>
        <v>Router3_9</v>
      </c>
      <c r="DH8" t="str">
        <f t="array" ref="DH8">IF(ISERROR(INDEX($A$3:$B$14312,SMALL(IF($A$3:$A$14312=DH$3,ROW($A$3:$A$14312)),ROW(6:6)),2)),"",INDEX($A$3:$B$14312,SMALL(IF($A$3:$A$14312=DH$3,ROW($A$3:$A$14312)),ROW(6:6)),2))</f>
        <v>Router3_102</v>
      </c>
      <c r="DI8" t="str">
        <f t="array" ref="DI8">IF(ISERROR(INDEX($A$3:$B$14312,SMALL(IF($A$3:$A$14312=DI$3,ROW($A$3:$A$14312)),ROW(6:6)),2)),"",INDEX($A$3:$B$14312,SMALL(IF($A$3:$A$14312=DI$3,ROW($A$3:$A$14312)),ROW(6:6)),2))</f>
        <v>Router3_72</v>
      </c>
      <c r="DJ8" t="str">
        <f t="array" ref="DJ8">IF(ISERROR(INDEX($A$3:$B$14312,SMALL(IF($A$3:$A$14312=DJ$3,ROW($A$3:$A$14312)),ROW(6:6)),2)),"",INDEX($A$3:$B$14312,SMALL(IF($A$3:$A$14312=DJ$3,ROW($A$3:$A$14312)),ROW(6:6)),2))</f>
        <v>Router3_42</v>
      </c>
      <c r="DK8" t="str">
        <f t="array" ref="DK8">IF(ISERROR(INDEX($A$3:$B$14312,SMALL(IF($A$3:$A$14312=DK$3,ROW($A$3:$A$14312)),ROW(6:6)),2)),"",INDEX($A$3:$B$14312,SMALL(IF($A$3:$A$14312=DK$3,ROW($A$3:$A$14312)),ROW(6:6)),2))</f>
        <v>Router3_62</v>
      </c>
      <c r="DL8" t="str">
        <f t="array" ref="DL8">IF(ISERROR(INDEX($A$3:$B$14312,SMALL(IF($A$3:$A$14312=DL$3,ROW($A$3:$A$14312)),ROW(6:6)),2)),"",INDEX($A$3:$B$14312,SMALL(IF($A$3:$A$14312=DL$3,ROW($A$3:$A$14312)),ROW(6:6)),2))</f>
        <v>Router3_76</v>
      </c>
      <c r="DM8" t="str">
        <f t="array" ref="DM8">IF(ISERROR(INDEX($A$3:$B$14312,SMALL(IF($A$3:$A$14312=DM$3,ROW($A$3:$A$14312)),ROW(6:6)),2)),"",INDEX($A$3:$B$14312,SMALL(IF($A$3:$A$14312=DM$3,ROW($A$3:$A$14312)),ROW(6:6)),2))</f>
        <v/>
      </c>
      <c r="DN8" t="str">
        <f t="array" ref="DN8">IF(ISERROR(INDEX($A$3:$B$14312,SMALL(IF($A$3:$A$14312=DN$3,ROW($A$3:$A$14312)),ROW(6:6)),2)),"",INDEX($A$3:$B$14312,SMALL(IF($A$3:$A$14312=DN$3,ROW($A$3:$A$14312)),ROW(6:6)),2))</f>
        <v>Router3_47</v>
      </c>
      <c r="DO8" t="str">
        <f t="array" ref="DO8">IF(ISERROR(INDEX($A$3:$B$14312,SMALL(IF($A$3:$A$14312=DO$3,ROW($A$3:$A$14312)),ROW(6:6)),2)),"",INDEX($A$3:$B$14312,SMALL(IF($A$3:$A$14312=DO$3,ROW($A$3:$A$14312)),ROW(6:6)),2))</f>
        <v>Router3_84</v>
      </c>
      <c r="DP8" t="str">
        <f t="array" ref="DP8">IF(ISERROR(INDEX($A$3:$B$14312,SMALL(IF($A$3:$A$14312=DP$3,ROW($A$3:$A$14312)),ROW(6:6)),2)),"",INDEX($A$3:$B$14312,SMALL(IF($A$3:$A$14312=DP$3,ROW($A$3:$A$14312)),ROW(6:6)),2))</f>
        <v>Router3_5</v>
      </c>
      <c r="DQ8" t="str">
        <f t="array" ref="DQ8">IF(ISERROR(INDEX($A$3:$B$14312,SMALL(IF($A$3:$A$14312=DQ$3,ROW($A$3:$A$14312)),ROW(6:6)),2)),"",INDEX($A$3:$B$14312,SMALL(IF($A$3:$A$14312=DQ$3,ROW($A$3:$A$14312)),ROW(6:6)),2))</f>
        <v>Router3_88</v>
      </c>
      <c r="DR8" t="str">
        <f t="array" ref="DR8">IF(ISERROR(INDEX($A$3:$B$14312,SMALL(IF($A$3:$A$14312=DR$3,ROW($A$3:$A$14312)),ROW(6:6)),2)),"",INDEX($A$3:$B$14312,SMALL(IF($A$3:$A$14312=DR$3,ROW($A$3:$A$14312)),ROW(6:6)),2))</f>
        <v>Router3_8</v>
      </c>
      <c r="DS8" t="str">
        <f t="array" ref="DS8">IF(ISERROR(INDEX($A$3:$B$14312,SMALL(IF($A$3:$A$14312=DS$3,ROW($A$3:$A$14312)),ROW(6:6)),2)),"",INDEX($A$3:$B$14312,SMALL(IF($A$3:$A$14312=DS$3,ROW($A$3:$A$14312)),ROW(6:6)),2))</f>
        <v>Router3_1</v>
      </c>
      <c r="DT8" t="str">
        <f t="array" ref="DT8">IF(ISERROR(INDEX($A$3:$B$14312,SMALL(IF($A$3:$A$14312=DT$3,ROW($A$3:$A$14312)),ROW(6:6)),2)),"",INDEX($A$3:$B$14312,SMALL(IF($A$3:$A$14312=DT$3,ROW($A$3:$A$14312)),ROW(6:6)),2))</f>
        <v>Router3_72</v>
      </c>
      <c r="DU8" t="str">
        <f t="array" ref="DU8">IF(ISERROR(INDEX($A$3:$B$14312,SMALL(IF($A$3:$A$14312=DU$3,ROW($A$3:$A$14312)),ROW(6:6)),2)),"",INDEX($A$3:$B$14312,SMALL(IF($A$3:$A$14312=DU$3,ROW($A$3:$A$14312)),ROW(6:6)),2))</f>
        <v>Router3_125</v>
      </c>
      <c r="DV8" t="str">
        <f t="array" ref="DV8">IF(ISERROR(INDEX($A$3:$B$14312,SMALL(IF($A$3:$A$14312=DV$3,ROW($A$3:$A$14312)),ROW(6:6)),2)),"",INDEX($A$3:$B$14312,SMALL(IF($A$3:$A$14312=DV$3,ROW($A$3:$A$14312)),ROW(6:6)),2))</f>
        <v>Router3_79</v>
      </c>
      <c r="DW8" t="str">
        <f t="array" ref="DW8">IF(ISERROR(INDEX($A$3:$B$14312,SMALL(IF($A$3:$A$14312=DW$3,ROW($A$3:$A$14312)),ROW(6:6)),2)),"",INDEX($A$3:$B$14312,SMALL(IF($A$3:$A$14312=DW$3,ROW($A$3:$A$14312)),ROW(6:6)),2))</f>
        <v/>
      </c>
      <c r="DX8" t="str">
        <f t="array" ref="DX8">IF(ISERROR(INDEX($A$3:$B$14312,SMALL(IF($A$3:$A$14312=DX$3,ROW($A$3:$A$14312)),ROW(6:6)),2)),"",INDEX($A$3:$B$14312,SMALL(IF($A$3:$A$14312=DX$3,ROW($A$3:$A$14312)),ROW(6:6)),2))</f>
        <v/>
      </c>
      <c r="DY8" t="str">
        <f t="array" ref="DY8">IF(ISERROR(INDEX($A$3:$B$14312,SMALL(IF($A$3:$A$14312=DY$3,ROW($A$3:$A$14312)),ROW(6:6)),2)),"",INDEX($A$3:$B$14312,SMALL(IF($A$3:$A$14312=DY$3,ROW($A$3:$A$14312)),ROW(6:6)),2))</f>
        <v/>
      </c>
      <c r="DZ8" t="str">
        <f t="array" ref="DZ8">IF(ISERROR(INDEX($A$3:$B$14312,SMALL(IF($A$3:$A$14312=DZ$3,ROW($A$3:$A$14312)),ROW(6:6)),2)),"",INDEX($A$3:$B$14312,SMALL(IF($A$3:$A$14312=DZ$3,ROW($A$3:$A$14312)),ROW(6:6)),2))</f>
        <v/>
      </c>
      <c r="EA8" t="str">
        <f t="array" ref="EA8">IF(ISERROR(INDEX($A$3:$B$14312,SMALL(IF($A$3:$A$14312=EA$3,ROW($A$3:$A$14312)),ROW(6:6)),2)),"",INDEX($A$3:$B$14312,SMALL(IF($A$3:$A$14312=EA$3,ROW($A$3:$A$14312)),ROW(6:6)),2))</f>
        <v>Router3_67</v>
      </c>
      <c r="EB8" t="str">
        <f t="array" ref="EB8">IF(ISERROR(INDEX($A$3:$B$14312,SMALL(IF($A$3:$A$14312=EB$3,ROW($A$3:$A$14312)),ROW(6:6)),2)),"",INDEX($A$3:$B$14312,SMALL(IF($A$3:$A$14312=EB$3,ROW($A$3:$A$14312)),ROW(6:6)),2))</f>
        <v>Router3_102</v>
      </c>
      <c r="EC8" t="str">
        <f t="array" ref="EC8">IF(ISERROR(INDEX($A$3:$B$14312,SMALL(IF($A$3:$A$14312=EC$3,ROW($A$3:$A$14312)),ROW(6:6)),2)),"",INDEX($A$3:$B$14312,SMALL(IF($A$3:$A$14312=EC$3,ROW($A$3:$A$14312)),ROW(6:6)),2))</f>
        <v>Router3_59</v>
      </c>
      <c r="ED8" t="str">
        <f t="array" ref="ED8">IF(ISERROR(INDEX($A$3:$B$14312,SMALL(IF($A$3:$A$14312=ED$3,ROW($A$3:$A$14312)),ROW(6:6)),2)),"",INDEX($A$3:$B$14312,SMALL(IF($A$3:$A$14312=ED$3,ROW($A$3:$A$14312)),ROW(6:6)),2))</f>
        <v>Router3_89</v>
      </c>
      <c r="EE8" t="str">
        <f t="array" ref="EE8">IF(ISERROR(INDEX($A$3:$B$14312,SMALL(IF($A$3:$A$14312=EE$3,ROW($A$3:$A$14312)),ROW(6:6)),2)),"",INDEX($A$3:$B$14312,SMALL(IF($A$3:$A$14312=EE$3,ROW($A$3:$A$14312)),ROW(6:6)),2))</f>
        <v>Router3_146</v>
      </c>
    </row>
    <row r="9" spans="1:135" x14ac:dyDescent="0.25">
      <c r="A9" s="10">
        <v>-485017374</v>
      </c>
      <c r="B9" t="s">
        <v>1207</v>
      </c>
      <c r="E9" t="str">
        <f t="array" ref="E9">IF(ISERROR(INDEX($A$3:$B$14312,SMALL(IF($A$3:$A$14312=E$3,ROW($A$3:$A$14312)),ROW(7:7)),2)),"",INDEX($A$3:$B$14312,SMALL(IF($A$3:$A$14312=E$3,ROW($A$3:$A$14312)),ROW(7:7)),2))</f>
        <v>Router3_11</v>
      </c>
      <c r="F9" t="str">
        <f t="array" ref="F9">IF(ISERROR(INDEX($A$3:$B$14312,SMALL(IF($A$3:$A$14312=F$3,ROW($A$3:$A$14312)),ROW(7:7)),2)),"",INDEX($A$3:$B$14312,SMALL(IF($A$3:$A$14312=F$3,ROW($A$3:$A$14312)),ROW(7:7)),2))</f>
        <v>Router3_21</v>
      </c>
      <c r="G9" t="str">
        <f t="array" ref="G9">IF(ISERROR(INDEX($A$3:$B$14312,SMALL(IF($A$3:$A$14312=G$3,ROW($A$3:$A$14312)),ROW(7:7)),2)),"",INDEX($A$3:$B$14312,SMALL(IF($A$3:$A$14312=G$3,ROW($A$3:$A$14312)),ROW(7:7)),2))</f>
        <v>Router3_65</v>
      </c>
      <c r="H9" t="str">
        <f t="array" ref="H9">IF(ISERROR(INDEX($A$3:$B$14312,SMALL(IF($A$3:$A$14312=H$3,ROW($A$3:$A$14312)),ROW(7:7)),2)),"",INDEX($A$3:$B$14312,SMALL(IF($A$3:$A$14312=H$3,ROW($A$3:$A$14312)),ROW(7:7)),2))</f>
        <v>Router3_98</v>
      </c>
      <c r="I9" t="str">
        <f t="array" ref="I9">IF(ISERROR(INDEX($A$3:$B$14312,SMALL(IF($A$3:$A$14312=I$3,ROW($A$3:$A$14312)),ROW(7:7)),2)),"",INDEX($A$3:$B$14312,SMALL(IF($A$3:$A$14312=I$3,ROW($A$3:$A$14312)),ROW(7:7)),2))</f>
        <v>Router3_163</v>
      </c>
      <c r="J9" t="str">
        <f t="array" ref="J9">IF(ISERROR(INDEX($A$3:$B$14312,SMALL(IF($A$3:$A$14312=J$3,ROW($A$3:$A$14312)),ROW(7:7)),2)),"",INDEX($A$3:$B$14312,SMALL(IF($A$3:$A$14312=J$3,ROW($A$3:$A$14312)),ROW(7:7)),2))</f>
        <v>Router3_138</v>
      </c>
      <c r="K9" t="str">
        <f t="array" ref="K9">IF(ISERROR(INDEX($A$3:$B$14312,SMALL(IF($A$3:$A$14312=K$3,ROW($A$3:$A$14312)),ROW(7:7)),2)),"",INDEX($A$3:$B$14312,SMALL(IF($A$3:$A$14312=K$3,ROW($A$3:$A$14312)),ROW(7:7)),2))</f>
        <v>Router3_110</v>
      </c>
      <c r="L9" t="str">
        <f t="array" ref="L9">IF(ISERROR(INDEX($A$3:$B$14312,SMALL(IF($A$3:$A$14312=L$3,ROW($A$3:$A$14312)),ROW(7:7)),2)),"",INDEX($A$3:$B$14312,SMALL(IF($A$3:$A$14312=L$3,ROW($A$3:$A$14312)),ROW(7:7)),2))</f>
        <v/>
      </c>
      <c r="M9" t="str">
        <f t="array" ref="M9">IF(ISERROR(INDEX($A$3:$B$14312,SMALL(IF($A$3:$A$14312=M$3,ROW($A$3:$A$14312)),ROW(7:7)),2)),"",INDEX($A$3:$B$14312,SMALL(IF($A$3:$A$14312=M$3,ROW($A$3:$A$14312)),ROW(7:7)),2))</f>
        <v>Router3_100</v>
      </c>
      <c r="N9" t="str">
        <f t="array" ref="N9">IF(ISERROR(INDEX($A$3:$B$14312,SMALL(IF($A$3:$A$14312=N$3,ROW($A$3:$A$14312)),ROW(7:7)),2)),"",INDEX($A$3:$B$14312,SMALL(IF($A$3:$A$14312=N$3,ROW($A$3:$A$14312)),ROW(7:7)),2))</f>
        <v/>
      </c>
      <c r="O9" t="str">
        <f t="array" ref="O9">IF(ISERROR(INDEX($A$3:$B$14312,SMALL(IF($A$3:$A$14312=O$3,ROW($A$3:$A$14312)),ROW(7:7)),2)),"",INDEX($A$3:$B$14312,SMALL(IF($A$3:$A$14312=O$3,ROW($A$3:$A$14312)),ROW(7:7)),2))</f>
        <v>Router3_89</v>
      </c>
      <c r="P9" t="str">
        <f t="array" ref="P9">IF(ISERROR(INDEX($A$3:$B$14312,SMALL(IF($A$3:$A$14312=P$3,ROW($A$3:$A$14312)),ROW(7:7)),2)),"",INDEX($A$3:$B$14312,SMALL(IF($A$3:$A$14312=P$3,ROW($A$3:$A$14312)),ROW(7:7)),2))</f>
        <v>Router3_98</v>
      </c>
      <c r="Q9" t="str">
        <f t="array" ref="Q9">IF(ISERROR(INDEX($A$3:$B$14312,SMALL(IF($A$3:$A$14312=Q$3,ROW($A$3:$A$14312)),ROW(7:7)),2)),"",INDEX($A$3:$B$14312,SMALL(IF($A$3:$A$14312=Q$3,ROW($A$3:$A$14312)),ROW(7:7)),2))</f>
        <v/>
      </c>
      <c r="R9" t="str">
        <f t="array" ref="R9">IF(ISERROR(INDEX($A$3:$B$14312,SMALL(IF($A$3:$A$14312=R$3,ROW($A$3:$A$14312)),ROW(7:7)),2)),"",INDEX($A$3:$B$14312,SMALL(IF($A$3:$A$14312=R$3,ROW($A$3:$A$14312)),ROW(7:7)),2))</f>
        <v/>
      </c>
      <c r="S9" t="str">
        <f t="array" ref="S9">IF(ISERROR(INDEX($A$3:$B$14312,SMALL(IF($A$3:$A$14312=S$3,ROW($A$3:$A$14312)),ROW(7:7)),2)),"",INDEX($A$3:$B$14312,SMALL(IF($A$3:$A$14312=S$3,ROW($A$3:$A$14312)),ROW(7:7)),2))</f>
        <v/>
      </c>
      <c r="T9" t="str">
        <f t="array" ref="T9">IF(ISERROR(INDEX($A$3:$B$14312,SMALL(IF($A$3:$A$14312=T$3,ROW($A$3:$A$14312)),ROW(7:7)),2)),"",INDEX($A$3:$B$14312,SMALL(IF($A$3:$A$14312=T$3,ROW($A$3:$A$14312)),ROW(7:7)),2))</f>
        <v>Router3_62</v>
      </c>
      <c r="U9" t="str">
        <f t="array" ref="U9">IF(ISERROR(INDEX($A$3:$B$14312,SMALL(IF($A$3:$A$14312=U$3,ROW($A$3:$A$14312)),ROW(7:7)),2)),"",INDEX($A$3:$B$14312,SMALL(IF($A$3:$A$14312=U$3,ROW($A$3:$A$14312)),ROW(7:7)),2))</f>
        <v>Router3_95</v>
      </c>
      <c r="V9" t="str">
        <f t="array" ref="V9">IF(ISERROR(INDEX($A$3:$B$14312,SMALL(IF($A$3:$A$14312=V$3,ROW($A$3:$A$14312)),ROW(7:7)),2)),"",INDEX($A$3:$B$14312,SMALL(IF($A$3:$A$14312=V$3,ROW($A$3:$A$14312)),ROW(7:7)),2))</f>
        <v/>
      </c>
      <c r="W9" t="str">
        <f t="array" ref="W9">IF(ISERROR(INDEX($A$3:$B$14312,SMALL(IF($A$3:$A$14312=W$3,ROW($A$3:$A$14312)),ROW(7:7)),2)),"",INDEX($A$3:$B$14312,SMALL(IF($A$3:$A$14312=W$3,ROW($A$3:$A$14312)),ROW(7:7)),2))</f>
        <v>Router3_60</v>
      </c>
      <c r="X9" t="str">
        <f t="array" ref="X9">IF(ISERROR(INDEX($A$3:$B$14312,SMALL(IF($A$3:$A$14312=X$3,ROW($A$3:$A$14312)),ROW(7:7)),2)),"",INDEX($A$3:$B$14312,SMALL(IF($A$3:$A$14312=X$3,ROW($A$3:$A$14312)),ROW(7:7)),2))</f>
        <v/>
      </c>
      <c r="Y9" t="str">
        <f t="array" ref="Y9">IF(ISERROR(INDEX($A$3:$B$14312,SMALL(IF($A$3:$A$14312=Y$3,ROW($A$3:$A$14312)),ROW(7:7)),2)),"",INDEX($A$3:$B$14312,SMALL(IF($A$3:$A$14312=Y$3,ROW($A$3:$A$14312)),ROW(7:7)),2))</f>
        <v/>
      </c>
      <c r="Z9" t="str">
        <f t="array" ref="Z9">IF(ISERROR(INDEX($A$3:$B$14312,SMALL(IF($A$3:$A$14312=Z$3,ROW($A$3:$A$14312)),ROW(7:7)),2)),"",INDEX($A$3:$B$14312,SMALL(IF($A$3:$A$14312=Z$3,ROW($A$3:$A$14312)),ROW(7:7)),2))</f>
        <v/>
      </c>
      <c r="AA9" t="str">
        <f t="array" ref="AA9">IF(ISERROR(INDEX($A$3:$B$14312,SMALL(IF($A$3:$A$14312=AA$3,ROW($A$3:$A$14312)),ROW(7:7)),2)),"",INDEX($A$3:$B$14312,SMALL(IF($A$3:$A$14312=AA$3,ROW($A$3:$A$14312)),ROW(7:7)),2))</f>
        <v/>
      </c>
      <c r="AB9" t="str">
        <f t="array" ref="AB9">IF(ISERROR(INDEX($A$3:$B$14312,SMALL(IF($A$3:$A$14312=AB$3,ROW($A$3:$A$14312)),ROW(7:7)),2)),"",INDEX($A$3:$B$14312,SMALL(IF($A$3:$A$14312=AB$3,ROW($A$3:$A$14312)),ROW(7:7)),2))</f>
        <v/>
      </c>
      <c r="AC9" t="str">
        <f t="array" ref="AC9">IF(ISERROR(INDEX($A$3:$B$14312,SMALL(IF($A$3:$A$14312=AC$3,ROW($A$3:$A$14312)),ROW(7:7)),2)),"",INDEX($A$3:$B$14312,SMALL(IF($A$3:$A$14312=AC$3,ROW($A$3:$A$14312)),ROW(7:7)),2))</f>
        <v/>
      </c>
      <c r="AD9" t="str">
        <f t="array" ref="AD9">IF(ISERROR(INDEX($A$3:$B$14312,SMALL(IF($A$3:$A$14312=AD$3,ROW($A$3:$A$14312)),ROW(7:7)),2)),"",INDEX($A$3:$B$14312,SMALL(IF($A$3:$A$14312=AD$3,ROW($A$3:$A$14312)),ROW(7:7)),2))</f>
        <v/>
      </c>
      <c r="AE9" t="str">
        <f t="array" ref="AE9">IF(ISERROR(INDEX($A$3:$B$14312,SMALL(IF($A$3:$A$14312=AE$3,ROW($A$3:$A$14312)),ROW(7:7)),2)),"",INDEX($A$3:$B$14312,SMALL(IF($A$3:$A$14312=AE$3,ROW($A$3:$A$14312)),ROW(7:7)),2))</f>
        <v/>
      </c>
      <c r="AF9" t="str">
        <f t="array" ref="AF9">IF(ISERROR(INDEX($A$3:$B$14312,SMALL(IF($A$3:$A$14312=AF$3,ROW($A$3:$A$14312)),ROW(7:7)),2)),"",INDEX($A$3:$B$14312,SMALL(IF($A$3:$A$14312=AF$3,ROW($A$3:$A$14312)),ROW(7:7)),2))</f>
        <v>Router3_90</v>
      </c>
      <c r="AG9" t="str">
        <f t="array" ref="AG9">IF(ISERROR(INDEX($A$3:$B$14312,SMALL(IF($A$3:$A$14312=AG$3,ROW($A$3:$A$14312)),ROW(7:7)),2)),"",INDEX($A$3:$B$14312,SMALL(IF($A$3:$A$14312=AG$3,ROW($A$3:$A$14312)),ROW(7:7)),2))</f>
        <v>Router3_11</v>
      </c>
      <c r="AH9" t="str">
        <f t="array" ref="AH9">IF(ISERROR(INDEX($A$3:$B$14312,SMALL(IF($A$3:$A$14312=AH$3,ROW($A$3:$A$14312)),ROW(7:7)),2)),"",INDEX($A$3:$B$14312,SMALL(IF($A$3:$A$14312=AH$3,ROW($A$3:$A$14312)),ROW(7:7)),2))</f>
        <v>Router3_15</v>
      </c>
      <c r="AI9" t="str">
        <f t="array" ref="AI9">IF(ISERROR(INDEX($A$3:$B$14312,SMALL(IF($A$3:$A$14312=AI$3,ROW($A$3:$A$14312)),ROW(7:7)),2)),"",INDEX($A$3:$B$14312,SMALL(IF($A$3:$A$14312=AI$3,ROW($A$3:$A$14312)),ROW(7:7)),2))</f>
        <v>Router3_49</v>
      </c>
      <c r="AJ9" t="str">
        <f t="array" ref="AJ9">IF(ISERROR(INDEX($A$3:$B$14312,SMALL(IF($A$3:$A$14312=AJ$3,ROW($A$3:$A$14312)),ROW(7:7)),2)),"",INDEX($A$3:$B$14312,SMALL(IF($A$3:$A$14312=AJ$3,ROW($A$3:$A$14312)),ROW(7:7)),2))</f>
        <v>Router3_104</v>
      </c>
      <c r="AK9" t="str">
        <f t="array" ref="AK9">IF(ISERROR(INDEX($A$3:$B$14312,SMALL(IF($A$3:$A$14312=AK$3,ROW($A$3:$A$14312)),ROW(7:7)),2)),"",INDEX($A$3:$B$14312,SMALL(IF($A$3:$A$14312=AK$3,ROW($A$3:$A$14312)),ROW(7:7)),2))</f>
        <v>Router3_118</v>
      </c>
      <c r="AL9" t="str">
        <f t="array" ref="AL9">IF(ISERROR(INDEX($A$3:$B$14312,SMALL(IF($A$3:$A$14312=AL$3,ROW($A$3:$A$14312)),ROW(7:7)),2)),"",INDEX($A$3:$B$14312,SMALL(IF($A$3:$A$14312=AL$3,ROW($A$3:$A$14312)),ROW(7:7)),2))</f>
        <v>Router3_86</v>
      </c>
      <c r="AM9" t="str">
        <f t="array" ref="AM9">IF(ISERROR(INDEX($A$3:$B$14312,SMALL(IF($A$3:$A$14312=AM$3,ROW($A$3:$A$14312)),ROW(7:7)),2)),"",INDEX($A$3:$B$14312,SMALL(IF($A$3:$A$14312=AM$3,ROW($A$3:$A$14312)),ROW(7:7)),2))</f>
        <v>Router3_62</v>
      </c>
      <c r="AN9" t="str">
        <f t="array" ref="AN9">IF(ISERROR(INDEX($A$3:$B$14312,SMALL(IF($A$3:$A$14312=AN$3,ROW($A$3:$A$14312)),ROW(7:7)),2)),"",INDEX($A$3:$B$14312,SMALL(IF($A$3:$A$14312=AN$3,ROW($A$3:$A$14312)),ROW(7:7)),2))</f>
        <v>Router3_53</v>
      </c>
      <c r="AO9" t="str">
        <f t="array" ref="AO9">IF(ISERROR(INDEX($A$3:$B$14312,SMALL(IF($A$3:$A$14312=AO$3,ROW($A$3:$A$14312)),ROW(7:7)),2)),"",INDEX($A$3:$B$14312,SMALL(IF($A$3:$A$14312=AO$3,ROW($A$3:$A$14312)),ROW(7:7)),2))</f>
        <v>Router3_105</v>
      </c>
      <c r="AP9" t="str">
        <f t="array" ref="AP9">IF(ISERROR(INDEX($A$3:$B$14312,SMALL(IF($A$3:$A$14312=AP$3,ROW($A$3:$A$14312)),ROW(7:7)),2)),"",INDEX($A$3:$B$14312,SMALL(IF($A$3:$A$14312=AP$3,ROW($A$3:$A$14312)),ROW(7:7)),2))</f>
        <v>Router3_10</v>
      </c>
      <c r="AQ9" t="str">
        <f t="array" ref="AQ9">IF(ISERROR(INDEX($A$3:$B$14312,SMALL(IF($A$3:$A$14312=AQ$3,ROW($A$3:$A$14312)),ROW(7:7)),2)),"",INDEX($A$3:$B$14312,SMALL(IF($A$3:$A$14312=AQ$3,ROW($A$3:$A$14312)),ROW(7:7)),2))</f>
        <v/>
      </c>
      <c r="AR9" t="str">
        <f t="array" ref="AR9">IF(ISERROR(INDEX($A$3:$B$14312,SMALL(IF($A$3:$A$14312=AR$3,ROW($A$3:$A$14312)),ROW(7:7)),2)),"",INDEX($A$3:$B$14312,SMALL(IF($A$3:$A$14312=AR$3,ROW($A$3:$A$14312)),ROW(7:7)),2))</f>
        <v/>
      </c>
      <c r="AS9" t="str">
        <f t="array" ref="AS9">IF(ISERROR(INDEX($A$3:$B$14312,SMALL(IF($A$3:$A$14312=AS$3,ROW($A$3:$A$14312)),ROW(7:7)),2)),"",INDEX($A$3:$B$14312,SMALL(IF($A$3:$A$14312=AS$3,ROW($A$3:$A$14312)),ROW(7:7)),2))</f>
        <v>Router3_48</v>
      </c>
      <c r="AT9" t="str">
        <f t="array" ref="AT9">IF(ISERROR(INDEX($A$3:$B$14312,SMALL(IF($A$3:$A$14312=AT$3,ROW($A$3:$A$14312)),ROW(7:7)),2)),"",INDEX($A$3:$B$14312,SMALL(IF($A$3:$A$14312=AT$3,ROW($A$3:$A$14312)),ROW(7:7)),2))</f>
        <v>Router3_39</v>
      </c>
      <c r="AU9" t="str">
        <f t="array" ref="AU9">IF(ISERROR(INDEX($A$3:$B$14312,SMALL(IF($A$3:$A$14312=AU$3,ROW($A$3:$A$14312)),ROW(7:7)),2)),"",INDEX($A$3:$B$14312,SMALL(IF($A$3:$A$14312=AU$3,ROW($A$3:$A$14312)),ROW(7:7)),2))</f>
        <v>Router3_10</v>
      </c>
      <c r="AV9" t="str">
        <f t="array" ref="AV9">IF(ISERROR(INDEX($A$3:$B$14312,SMALL(IF($A$3:$A$14312=AV$3,ROW($A$3:$A$14312)),ROW(7:7)),2)),"",INDEX($A$3:$B$14312,SMALL(IF($A$3:$A$14312=AV$3,ROW($A$3:$A$14312)),ROW(7:7)),2))</f>
        <v/>
      </c>
      <c r="AW9" t="str">
        <f t="array" ref="AW9">IF(ISERROR(INDEX($A$3:$B$14312,SMALL(IF($A$3:$A$14312=AW$3,ROW($A$3:$A$14312)),ROW(7:7)),2)),"",INDEX($A$3:$B$14312,SMALL(IF($A$3:$A$14312=AW$3,ROW($A$3:$A$14312)),ROW(7:7)),2))</f>
        <v/>
      </c>
      <c r="AX9" t="str">
        <f t="array" ref="AX9">IF(ISERROR(INDEX($A$3:$B$14312,SMALL(IF($A$3:$A$14312=AX$3,ROW($A$3:$A$14312)),ROW(7:7)),2)),"",INDEX($A$3:$B$14312,SMALL(IF($A$3:$A$14312=AX$3,ROW($A$3:$A$14312)),ROW(7:7)),2))</f>
        <v>Router3_139</v>
      </c>
      <c r="AY9" t="str">
        <f t="array" ref="AY9">IF(ISERROR(INDEX($A$3:$B$14312,SMALL(IF($A$3:$A$14312=AY$3,ROW($A$3:$A$14312)),ROW(7:7)),2)),"",INDEX($A$3:$B$14312,SMALL(IF($A$3:$A$14312=AY$3,ROW($A$3:$A$14312)),ROW(7:7)),2))</f>
        <v>Router3_62</v>
      </c>
      <c r="AZ9" t="str">
        <f t="array" ref="AZ9">IF(ISERROR(INDEX($A$3:$B$14312,SMALL(IF($A$3:$A$14312=AZ$3,ROW($A$3:$A$14312)),ROW(7:7)),2)),"",INDEX($A$3:$B$14312,SMALL(IF($A$3:$A$14312=AZ$3,ROW($A$3:$A$14312)),ROW(7:7)),2))</f>
        <v/>
      </c>
      <c r="BA9" t="str">
        <f t="array" ref="BA9">IF(ISERROR(INDEX($A$3:$B$14312,SMALL(IF($A$3:$A$14312=BA$3,ROW($A$3:$A$14312)),ROW(7:7)),2)),"",INDEX($A$3:$B$14312,SMALL(IF($A$3:$A$14312=BA$3,ROW($A$3:$A$14312)),ROW(7:7)),2))</f>
        <v/>
      </c>
      <c r="BB9" t="str">
        <f t="array" ref="BB9">IF(ISERROR(INDEX($A$3:$B$14312,SMALL(IF($A$3:$A$14312=BB$3,ROW($A$3:$A$14312)),ROW(7:7)),2)),"",INDEX($A$3:$B$14312,SMALL(IF($A$3:$A$14312=BB$3,ROW($A$3:$A$14312)),ROW(7:7)),2))</f>
        <v/>
      </c>
      <c r="BC9" t="str">
        <f t="array" ref="BC9">IF(ISERROR(INDEX($A$3:$B$14312,SMALL(IF($A$3:$A$14312=BC$3,ROW($A$3:$A$14312)),ROW(7:7)),2)),"",INDEX($A$3:$B$14312,SMALL(IF($A$3:$A$14312=BC$3,ROW($A$3:$A$14312)),ROW(7:7)),2))</f>
        <v/>
      </c>
      <c r="BD9" t="str">
        <f t="array" ref="BD9">IF(ISERROR(INDEX($A$3:$B$14312,SMALL(IF($A$3:$A$14312=BD$3,ROW($A$3:$A$14312)),ROW(7:7)),2)),"",INDEX($A$3:$B$14312,SMALL(IF($A$3:$A$14312=BD$3,ROW($A$3:$A$14312)),ROW(7:7)),2))</f>
        <v/>
      </c>
      <c r="BE9" t="str">
        <f t="array" ref="BE9">IF(ISERROR(INDEX($A$3:$B$14312,SMALL(IF($A$3:$A$14312=BE$3,ROW($A$3:$A$14312)),ROW(7:7)),2)),"",INDEX($A$3:$B$14312,SMALL(IF($A$3:$A$14312=BE$3,ROW($A$3:$A$14312)),ROW(7:7)),2))</f>
        <v>Router3_98</v>
      </c>
      <c r="BF9" t="str">
        <f t="array" ref="BF9">IF(ISERROR(INDEX($A$3:$B$14312,SMALL(IF($A$3:$A$14312=BF$3,ROW($A$3:$A$14312)),ROW(7:7)),2)),"",INDEX($A$3:$B$14312,SMALL(IF($A$3:$A$14312=BF$3,ROW($A$3:$A$14312)),ROW(7:7)),2))</f>
        <v/>
      </c>
      <c r="BG9" t="str">
        <f t="array" ref="BG9">IF(ISERROR(INDEX($A$3:$B$14312,SMALL(IF($A$3:$A$14312=BG$3,ROW($A$3:$A$14312)),ROW(7:7)),2)),"",INDEX($A$3:$B$14312,SMALL(IF($A$3:$A$14312=BG$3,ROW($A$3:$A$14312)),ROW(7:7)),2))</f>
        <v>Router3_75</v>
      </c>
      <c r="BH9" t="str">
        <f t="array" ref="BH9">IF(ISERROR(INDEX($A$3:$B$14312,SMALL(IF($A$3:$A$14312=BH$3,ROW($A$3:$A$14312)),ROW(7:7)),2)),"",INDEX($A$3:$B$14312,SMALL(IF($A$3:$A$14312=BH$3,ROW($A$3:$A$14312)),ROW(7:7)),2))</f>
        <v>Router3_2</v>
      </c>
      <c r="BI9" t="str">
        <f t="array" ref="BI9">IF(ISERROR(INDEX($A$3:$B$14312,SMALL(IF($A$3:$A$14312=BI$3,ROW($A$3:$A$14312)),ROW(7:7)),2)),"",INDEX($A$3:$B$14312,SMALL(IF($A$3:$A$14312=BI$3,ROW($A$3:$A$14312)),ROW(7:7)),2))</f>
        <v>Router3_79</v>
      </c>
      <c r="BJ9" t="str">
        <f t="array" ref="BJ9">IF(ISERROR(INDEX($A$3:$B$14312,SMALL(IF($A$3:$A$14312=BJ$3,ROW($A$3:$A$14312)),ROW(7:7)),2)),"",INDEX($A$3:$B$14312,SMALL(IF($A$3:$A$14312=BJ$3,ROW($A$3:$A$14312)),ROW(7:7)),2))</f>
        <v/>
      </c>
      <c r="BK9" t="str">
        <f t="array" ref="BK9">IF(ISERROR(INDEX($A$3:$B$14312,SMALL(IF($A$3:$A$14312=BK$3,ROW($A$3:$A$14312)),ROW(7:7)),2)),"",INDEX($A$3:$B$14312,SMALL(IF($A$3:$A$14312=BK$3,ROW($A$3:$A$14312)),ROW(7:7)),2))</f>
        <v/>
      </c>
      <c r="BL9" t="str">
        <f t="array" ref="BL9">IF(ISERROR(INDEX($A$3:$B$14312,SMALL(IF($A$3:$A$14312=BL$3,ROW($A$3:$A$14312)),ROW(7:7)),2)),"",INDEX($A$3:$B$14312,SMALL(IF($A$3:$A$14312=BL$3,ROW($A$3:$A$14312)),ROW(7:7)),2))</f>
        <v/>
      </c>
      <c r="BM9" t="str">
        <f t="array" ref="BM9">IF(ISERROR(INDEX($A$3:$B$14312,SMALL(IF($A$3:$A$14312=BM$3,ROW($A$3:$A$14312)),ROW(7:7)),2)),"",INDEX($A$3:$B$14312,SMALL(IF($A$3:$A$14312=BM$3,ROW($A$3:$A$14312)),ROW(7:7)),2))</f>
        <v>Router3_17</v>
      </c>
      <c r="BN9" t="str">
        <f t="array" ref="BN9">IF(ISERROR(INDEX($A$3:$B$14312,SMALL(IF($A$3:$A$14312=BN$3,ROW($A$3:$A$14312)),ROW(7:7)),2)),"",INDEX($A$3:$B$14312,SMALL(IF($A$3:$A$14312=BN$3,ROW($A$3:$A$14312)),ROW(7:7)),2))</f>
        <v/>
      </c>
      <c r="BO9" t="str">
        <f t="array" ref="BO9">IF(ISERROR(INDEX($A$3:$B$14312,SMALL(IF($A$3:$A$14312=BO$3,ROW($A$3:$A$14312)),ROW(7:7)),2)),"",INDEX($A$3:$B$14312,SMALL(IF($A$3:$A$14312=BO$3,ROW($A$3:$A$14312)),ROW(7:7)),2))</f>
        <v/>
      </c>
      <c r="BP9" t="str">
        <f t="array" ref="BP9">IF(ISERROR(INDEX($A$3:$B$14312,SMALL(IF($A$3:$A$14312=BP$3,ROW($A$3:$A$14312)),ROW(7:7)),2)),"",INDEX($A$3:$B$14312,SMALL(IF($A$3:$A$14312=BP$3,ROW($A$3:$A$14312)),ROW(7:7)),2))</f>
        <v/>
      </c>
      <c r="BQ9" t="str">
        <f t="array" ref="BQ9">IF(ISERROR(INDEX($A$3:$B$14312,SMALL(IF($A$3:$A$14312=BQ$3,ROW($A$3:$A$14312)),ROW(7:7)),2)),"",INDEX($A$3:$B$14312,SMALL(IF($A$3:$A$14312=BQ$3,ROW($A$3:$A$14312)),ROW(7:7)),2))</f>
        <v/>
      </c>
      <c r="BR9" t="str">
        <f t="array" ref="BR9">IF(ISERROR(INDEX($A$3:$B$14312,SMALL(IF($A$3:$A$14312=BR$3,ROW($A$3:$A$14312)),ROW(7:7)),2)),"",INDEX($A$3:$B$14312,SMALL(IF($A$3:$A$14312=BR$3,ROW($A$3:$A$14312)),ROW(7:7)),2))</f>
        <v/>
      </c>
      <c r="BS9" t="str">
        <f t="array" ref="BS9">IF(ISERROR(INDEX($A$3:$B$14312,SMALL(IF($A$3:$A$14312=BS$3,ROW($A$3:$A$14312)),ROW(7:7)),2)),"",INDEX($A$3:$B$14312,SMALL(IF($A$3:$A$14312=BS$3,ROW($A$3:$A$14312)),ROW(7:7)),2))</f>
        <v/>
      </c>
      <c r="BT9" t="str">
        <f t="array" ref="BT9">IF(ISERROR(INDEX($A$3:$B$14312,SMALL(IF($A$3:$A$14312=BT$3,ROW($A$3:$A$14312)),ROW(7:7)),2)),"",INDEX($A$3:$B$14312,SMALL(IF($A$3:$A$14312=BT$3,ROW($A$3:$A$14312)),ROW(7:7)),2))</f>
        <v>Router3_59</v>
      </c>
      <c r="BU9" t="str">
        <f t="array" ref="BU9">IF(ISERROR(INDEX($A$3:$B$14312,SMALL(IF($A$3:$A$14312=BU$3,ROW($A$3:$A$14312)),ROW(7:7)),2)),"",INDEX($A$3:$B$14312,SMALL(IF($A$3:$A$14312=BU$3,ROW($A$3:$A$14312)),ROW(7:7)),2))</f>
        <v/>
      </c>
      <c r="BV9" t="str">
        <f t="array" ref="BV9">IF(ISERROR(INDEX($A$3:$B$14312,SMALL(IF($A$3:$A$14312=BV$3,ROW($A$3:$A$14312)),ROW(7:7)),2)),"",INDEX($A$3:$B$14312,SMALL(IF($A$3:$A$14312=BV$3,ROW($A$3:$A$14312)),ROW(7:7)),2))</f>
        <v>Router3_4</v>
      </c>
      <c r="BW9" t="str">
        <f t="array" ref="BW9">IF(ISERROR(INDEX($A$3:$B$14312,SMALL(IF($A$3:$A$14312=BW$3,ROW($A$3:$A$14312)),ROW(7:7)),2)),"",INDEX($A$3:$B$14312,SMALL(IF($A$3:$A$14312=BW$3,ROW($A$3:$A$14312)),ROW(7:7)),2))</f>
        <v>Router3_145</v>
      </c>
      <c r="BX9" t="str">
        <f t="array" ref="BX9">IF(ISERROR(INDEX($A$3:$B$14312,SMALL(IF($A$3:$A$14312=BX$3,ROW($A$3:$A$14312)),ROW(7:7)),2)),"",INDEX($A$3:$B$14312,SMALL(IF($A$3:$A$14312=BX$3,ROW($A$3:$A$14312)),ROW(7:7)),2))</f>
        <v>Router3_21</v>
      </c>
      <c r="BY9" t="str">
        <f t="array" ref="BY9">IF(ISERROR(INDEX($A$3:$B$14312,SMALL(IF($A$3:$A$14312=BY$3,ROW($A$3:$A$14312)),ROW(7:7)),2)),"",INDEX($A$3:$B$14312,SMALL(IF($A$3:$A$14312=BY$3,ROW($A$3:$A$14312)),ROW(7:7)),2))</f>
        <v>Router3_48</v>
      </c>
      <c r="BZ9" t="str">
        <f t="array" ref="BZ9">IF(ISERROR(INDEX($A$3:$B$14312,SMALL(IF($A$3:$A$14312=BZ$3,ROW($A$3:$A$14312)),ROW(7:7)),2)),"",INDEX($A$3:$B$14312,SMALL(IF($A$3:$A$14312=BZ$3,ROW($A$3:$A$14312)),ROW(7:7)),2))</f>
        <v>Router3_48</v>
      </c>
      <c r="CA9" t="str">
        <f t="array" ref="CA9">IF(ISERROR(INDEX($A$3:$B$14312,SMALL(IF($A$3:$A$14312=CA$3,ROW($A$3:$A$14312)),ROW(7:7)),2)),"",INDEX($A$3:$B$14312,SMALL(IF($A$3:$A$14312=CA$3,ROW($A$3:$A$14312)),ROW(7:7)),2))</f>
        <v/>
      </c>
      <c r="CB9" t="str">
        <f t="array" ref="CB9">IF(ISERROR(INDEX($A$3:$B$14312,SMALL(IF($A$3:$A$14312=CB$3,ROW($A$3:$A$14312)),ROW(7:7)),2)),"",INDEX($A$3:$B$14312,SMALL(IF($A$3:$A$14312=CB$3,ROW($A$3:$A$14312)),ROW(7:7)),2))</f>
        <v>Router3_91</v>
      </c>
      <c r="CC9" t="str">
        <f t="array" ref="CC9">IF(ISERROR(INDEX($A$3:$B$14312,SMALL(IF($A$3:$A$14312=CC$3,ROW($A$3:$A$14312)),ROW(7:7)),2)),"",INDEX($A$3:$B$14312,SMALL(IF($A$3:$A$14312=CC$3,ROW($A$3:$A$14312)),ROW(7:7)),2))</f>
        <v/>
      </c>
      <c r="CD9" t="str">
        <f t="array" ref="CD9">IF(ISERROR(INDEX($A$3:$B$14312,SMALL(IF($A$3:$A$14312=CD$3,ROW($A$3:$A$14312)),ROW(7:7)),2)),"",INDEX($A$3:$B$14312,SMALL(IF($A$3:$A$14312=CD$3,ROW($A$3:$A$14312)),ROW(7:7)),2))</f>
        <v>Router3_98</v>
      </c>
      <c r="CE9" t="str">
        <f t="array" ref="CE9">IF(ISERROR(INDEX($A$3:$B$14312,SMALL(IF($A$3:$A$14312=CE$3,ROW($A$3:$A$14312)),ROW(7:7)),2)),"",INDEX($A$3:$B$14312,SMALL(IF($A$3:$A$14312=CE$3,ROW($A$3:$A$14312)),ROW(7:7)),2))</f>
        <v>Router3_98</v>
      </c>
      <c r="CF9" t="str">
        <f t="array" ref="CF9">IF(ISERROR(INDEX($A$3:$B$14312,SMALL(IF($A$3:$A$14312=CF$3,ROW($A$3:$A$14312)),ROW(7:7)),2)),"",INDEX($A$3:$B$14312,SMALL(IF($A$3:$A$14312=CF$3,ROW($A$3:$A$14312)),ROW(7:7)),2))</f>
        <v/>
      </c>
      <c r="CG9" t="str">
        <f t="array" ref="CG9">IF(ISERROR(INDEX($A$3:$B$14312,SMALL(IF($A$3:$A$14312=CG$3,ROW($A$3:$A$14312)),ROW(7:7)),2)),"",INDEX($A$3:$B$14312,SMALL(IF($A$3:$A$14312=CG$3,ROW($A$3:$A$14312)),ROW(7:7)),2))</f>
        <v>Router3_11</v>
      </c>
      <c r="CH9" t="str">
        <f t="array" ref="CH9">IF(ISERROR(INDEX($A$3:$B$14312,SMALL(IF($A$3:$A$14312=CH$3,ROW($A$3:$A$14312)),ROW(7:7)),2)),"",INDEX($A$3:$B$14312,SMALL(IF($A$3:$A$14312=CH$3,ROW($A$3:$A$14312)),ROW(7:7)),2))</f>
        <v/>
      </c>
      <c r="CI9" t="str">
        <f t="array" ref="CI9">IF(ISERROR(INDEX($A$3:$B$14312,SMALL(IF($A$3:$A$14312=CI$3,ROW($A$3:$A$14312)),ROW(7:7)),2)),"",INDEX($A$3:$B$14312,SMALL(IF($A$3:$A$14312=CI$3,ROW($A$3:$A$14312)),ROW(7:7)),2))</f>
        <v>Router3_97</v>
      </c>
      <c r="CJ9" t="str">
        <f t="array" ref="CJ9">IF(ISERROR(INDEX($A$3:$B$14312,SMALL(IF($A$3:$A$14312=CJ$3,ROW($A$3:$A$14312)),ROW(7:7)),2)),"",INDEX($A$3:$B$14312,SMALL(IF($A$3:$A$14312=CJ$3,ROW($A$3:$A$14312)),ROW(7:7)),2))</f>
        <v/>
      </c>
      <c r="CK9" t="str">
        <f t="array" ref="CK9">IF(ISERROR(INDEX($A$3:$B$14312,SMALL(IF($A$3:$A$14312=CK$3,ROW($A$3:$A$14312)),ROW(7:7)),2)),"",INDEX($A$3:$B$14312,SMALL(IF($A$3:$A$14312=CK$3,ROW($A$3:$A$14312)),ROW(7:7)),2))</f>
        <v/>
      </c>
      <c r="CL9" t="str">
        <f t="array" ref="CL9">IF(ISERROR(INDEX($A$3:$B$14312,SMALL(IF($A$3:$A$14312=CL$3,ROW($A$3:$A$14312)),ROW(7:7)),2)),"",INDEX($A$3:$B$14312,SMALL(IF($A$3:$A$14312=CL$3,ROW($A$3:$A$14312)),ROW(7:7)),2))</f>
        <v/>
      </c>
      <c r="CM9" t="str">
        <f t="array" ref="CM9">IF(ISERROR(INDEX($A$3:$B$14312,SMALL(IF($A$3:$A$14312=CM$3,ROW($A$3:$A$14312)),ROW(7:7)),2)),"",INDEX($A$3:$B$14312,SMALL(IF($A$3:$A$14312=CM$3,ROW($A$3:$A$14312)),ROW(7:7)),2))</f>
        <v/>
      </c>
      <c r="CN9" t="str">
        <f t="array" ref="CN9">IF(ISERROR(INDEX($A$3:$B$14312,SMALL(IF($A$3:$A$14312=CN$3,ROW($A$3:$A$14312)),ROW(7:7)),2)),"",INDEX($A$3:$B$14312,SMALL(IF($A$3:$A$14312=CN$3,ROW($A$3:$A$14312)),ROW(7:7)),2))</f>
        <v>Router3_11</v>
      </c>
      <c r="CO9" t="str">
        <f t="array" ref="CO9">IF(ISERROR(INDEX($A$3:$B$14312,SMALL(IF($A$3:$A$14312=CO$3,ROW($A$3:$A$14312)),ROW(7:7)),2)),"",INDEX($A$3:$B$14312,SMALL(IF($A$3:$A$14312=CO$3,ROW($A$3:$A$14312)),ROW(7:7)),2))</f>
        <v>Router3_61</v>
      </c>
      <c r="CP9" t="str">
        <f t="array" ref="CP9">IF(ISERROR(INDEX($A$3:$B$14312,SMALL(IF($A$3:$A$14312=CP$3,ROW($A$3:$A$14312)),ROW(7:7)),2)),"",INDEX($A$3:$B$14312,SMALL(IF($A$3:$A$14312=CP$3,ROW($A$3:$A$14312)),ROW(7:7)),2))</f>
        <v>Router3_10</v>
      </c>
      <c r="CQ9" t="str">
        <f t="array" ref="CQ9">IF(ISERROR(INDEX($A$3:$B$14312,SMALL(IF($A$3:$A$14312=CQ$3,ROW($A$3:$A$14312)),ROW(7:7)),2)),"",INDEX($A$3:$B$14312,SMALL(IF($A$3:$A$14312=CQ$3,ROW($A$3:$A$14312)),ROW(7:7)),2))</f>
        <v/>
      </c>
      <c r="CR9" t="str">
        <f t="array" ref="CR9">IF(ISERROR(INDEX($A$3:$B$14312,SMALL(IF($A$3:$A$14312=CR$3,ROW($A$3:$A$14312)),ROW(7:7)),2)),"",INDEX($A$3:$B$14312,SMALL(IF($A$3:$A$14312=CR$3,ROW($A$3:$A$14312)),ROW(7:7)),2))</f>
        <v/>
      </c>
      <c r="CS9" t="str">
        <f t="array" ref="CS9">IF(ISERROR(INDEX($A$3:$B$14312,SMALL(IF($A$3:$A$14312=CS$3,ROW($A$3:$A$14312)),ROW(7:7)),2)),"",INDEX($A$3:$B$14312,SMALL(IF($A$3:$A$14312=CS$3,ROW($A$3:$A$14312)),ROW(7:7)),2))</f>
        <v/>
      </c>
      <c r="CT9" t="str">
        <f t="array" ref="CT9">IF(ISERROR(INDEX($A$3:$B$14312,SMALL(IF($A$3:$A$14312=CT$3,ROW($A$3:$A$14312)),ROW(7:7)),2)),"",INDEX($A$3:$B$14312,SMALL(IF($A$3:$A$14312=CT$3,ROW($A$3:$A$14312)),ROW(7:7)),2))</f>
        <v>Router3_108</v>
      </c>
      <c r="CU9" t="str">
        <f t="array" ref="CU9">IF(ISERROR(INDEX($A$3:$B$14312,SMALL(IF($A$3:$A$14312=CU$3,ROW($A$3:$A$14312)),ROW(7:7)),2)),"",INDEX($A$3:$B$14312,SMALL(IF($A$3:$A$14312=CU$3,ROW($A$3:$A$14312)),ROW(7:7)),2))</f>
        <v/>
      </c>
      <c r="CV9" t="str">
        <f t="array" ref="CV9">IF(ISERROR(INDEX($A$3:$B$14312,SMALL(IF($A$3:$A$14312=CV$3,ROW($A$3:$A$14312)),ROW(7:7)),2)),"",INDEX($A$3:$B$14312,SMALL(IF($A$3:$A$14312=CV$3,ROW($A$3:$A$14312)),ROW(7:7)),2))</f>
        <v>Router3_67</v>
      </c>
      <c r="CW9" t="str">
        <f t="array" ref="CW9">IF(ISERROR(INDEX($A$3:$B$14312,SMALL(IF($A$3:$A$14312=CW$3,ROW($A$3:$A$14312)),ROW(7:7)),2)),"",INDEX($A$3:$B$14312,SMALL(IF($A$3:$A$14312=CW$3,ROW($A$3:$A$14312)),ROW(7:7)),2))</f>
        <v/>
      </c>
      <c r="CX9" t="str">
        <f t="array" ref="CX9">IF(ISERROR(INDEX($A$3:$B$14312,SMALL(IF($A$3:$A$14312=CX$3,ROW($A$3:$A$14312)),ROW(7:7)),2)),"",INDEX($A$3:$B$14312,SMALL(IF($A$3:$A$14312=CX$3,ROW($A$3:$A$14312)),ROW(7:7)),2))</f>
        <v/>
      </c>
      <c r="CY9" t="str">
        <f t="array" ref="CY9">IF(ISERROR(INDEX($A$3:$B$14312,SMALL(IF($A$3:$A$14312=CY$3,ROW($A$3:$A$14312)),ROW(7:7)),2)),"",INDEX($A$3:$B$14312,SMALL(IF($A$3:$A$14312=CY$3,ROW($A$3:$A$14312)),ROW(7:7)),2))</f>
        <v>Router3_62</v>
      </c>
      <c r="CZ9" t="str">
        <f t="array" ref="CZ9">IF(ISERROR(INDEX($A$3:$B$14312,SMALL(IF($A$3:$A$14312=CZ$3,ROW($A$3:$A$14312)),ROW(7:7)),2)),"",INDEX($A$3:$B$14312,SMALL(IF($A$3:$A$14312=CZ$3,ROW($A$3:$A$14312)),ROW(7:7)),2))</f>
        <v>Router3_110</v>
      </c>
      <c r="DA9" t="str">
        <f t="array" ref="DA9">IF(ISERROR(INDEX($A$3:$B$14312,SMALL(IF($A$3:$A$14312=DA$3,ROW($A$3:$A$14312)),ROW(7:7)),2)),"",INDEX($A$3:$B$14312,SMALL(IF($A$3:$A$14312=DA$3,ROW($A$3:$A$14312)),ROW(7:7)),2))</f>
        <v>Router3_138</v>
      </c>
      <c r="DB9" t="str">
        <f t="array" ref="DB9">IF(ISERROR(INDEX($A$3:$B$14312,SMALL(IF($A$3:$A$14312=DB$3,ROW($A$3:$A$14312)),ROW(7:7)),2)),"",INDEX($A$3:$B$14312,SMALL(IF($A$3:$A$14312=DB$3,ROW($A$3:$A$14312)),ROW(7:7)),2))</f>
        <v>Router3_100</v>
      </c>
      <c r="DC9" t="str">
        <f t="array" ref="DC9">IF(ISERROR(INDEX($A$3:$B$14312,SMALL(IF($A$3:$A$14312=DC$3,ROW($A$3:$A$14312)),ROW(7:7)),2)),"",INDEX($A$3:$B$14312,SMALL(IF($A$3:$A$14312=DC$3,ROW($A$3:$A$14312)),ROW(7:7)),2))</f>
        <v>Router3_90</v>
      </c>
      <c r="DD9" t="str">
        <f t="array" ref="DD9">IF(ISERROR(INDEX($A$3:$B$14312,SMALL(IF($A$3:$A$14312=DD$3,ROW($A$3:$A$14312)),ROW(7:7)),2)),"",INDEX($A$3:$B$14312,SMALL(IF($A$3:$A$14312=DD$3,ROW($A$3:$A$14312)),ROW(7:7)),2))</f>
        <v/>
      </c>
      <c r="DE9" t="str">
        <f t="array" ref="DE9">IF(ISERROR(INDEX($A$3:$B$14312,SMALL(IF($A$3:$A$14312=DE$3,ROW($A$3:$A$14312)),ROW(7:7)),2)),"",INDEX($A$3:$B$14312,SMALL(IF($A$3:$A$14312=DE$3,ROW($A$3:$A$14312)),ROW(7:7)),2))</f>
        <v>Router3_98</v>
      </c>
      <c r="DF9" t="str">
        <f t="array" ref="DF9">IF(ISERROR(INDEX($A$3:$B$14312,SMALL(IF($A$3:$A$14312=DF$3,ROW($A$3:$A$14312)),ROW(7:7)),2)),"",INDEX($A$3:$B$14312,SMALL(IF($A$3:$A$14312=DF$3,ROW($A$3:$A$14312)),ROW(7:7)),2))</f>
        <v>Router3_107</v>
      </c>
      <c r="DG9" t="str">
        <f t="array" ref="DG9">IF(ISERROR(INDEX($A$3:$B$14312,SMALL(IF($A$3:$A$14312=DG$3,ROW($A$3:$A$14312)),ROW(7:7)),2)),"",INDEX($A$3:$B$14312,SMALL(IF($A$3:$A$14312=DG$3,ROW($A$3:$A$14312)),ROW(7:7)),2))</f>
        <v>Router3_10</v>
      </c>
      <c r="DH9" t="str">
        <f t="array" ref="DH9">IF(ISERROR(INDEX($A$3:$B$14312,SMALL(IF($A$3:$A$14312=DH$3,ROW($A$3:$A$14312)),ROW(7:7)),2)),"",INDEX($A$3:$B$14312,SMALL(IF($A$3:$A$14312=DH$3,ROW($A$3:$A$14312)),ROW(7:7)),2))</f>
        <v>Router3_126</v>
      </c>
      <c r="DI9" t="str">
        <f t="array" ref="DI9">IF(ISERROR(INDEX($A$3:$B$14312,SMALL(IF($A$3:$A$14312=DI$3,ROW($A$3:$A$14312)),ROW(7:7)),2)),"",INDEX($A$3:$B$14312,SMALL(IF($A$3:$A$14312=DI$3,ROW($A$3:$A$14312)),ROW(7:7)),2))</f>
        <v>Router3_73</v>
      </c>
      <c r="DJ9" t="str">
        <f t="array" ref="DJ9">IF(ISERROR(INDEX($A$3:$B$14312,SMALL(IF($A$3:$A$14312=DJ$3,ROW($A$3:$A$14312)),ROW(7:7)),2)),"",INDEX($A$3:$B$14312,SMALL(IF($A$3:$A$14312=DJ$3,ROW($A$3:$A$14312)),ROW(7:7)),2))</f>
        <v>Router3_43</v>
      </c>
      <c r="DK9" t="str">
        <f t="array" ref="DK9">IF(ISERROR(INDEX($A$3:$B$14312,SMALL(IF($A$3:$A$14312=DK$3,ROW($A$3:$A$14312)),ROW(7:7)),2)),"",INDEX($A$3:$B$14312,SMALL(IF($A$3:$A$14312=DK$3,ROW($A$3:$A$14312)),ROW(7:7)),2))</f>
        <v>Router3_66</v>
      </c>
      <c r="DL9" t="str">
        <f t="array" ref="DL9">IF(ISERROR(INDEX($A$3:$B$14312,SMALL(IF($A$3:$A$14312=DL$3,ROW($A$3:$A$14312)),ROW(7:7)),2)),"",INDEX($A$3:$B$14312,SMALL(IF($A$3:$A$14312=DL$3,ROW($A$3:$A$14312)),ROW(7:7)),2))</f>
        <v>Router3_77</v>
      </c>
      <c r="DM9" t="str">
        <f t="array" ref="DM9">IF(ISERROR(INDEX($A$3:$B$14312,SMALL(IF($A$3:$A$14312=DM$3,ROW($A$3:$A$14312)),ROW(7:7)),2)),"",INDEX($A$3:$B$14312,SMALL(IF($A$3:$A$14312=DM$3,ROW($A$3:$A$14312)),ROW(7:7)),2))</f>
        <v/>
      </c>
      <c r="DN9" t="str">
        <f t="array" ref="DN9">IF(ISERROR(INDEX($A$3:$B$14312,SMALL(IF($A$3:$A$14312=DN$3,ROW($A$3:$A$14312)),ROW(7:7)),2)),"",INDEX($A$3:$B$14312,SMALL(IF($A$3:$A$14312=DN$3,ROW($A$3:$A$14312)),ROW(7:7)),2))</f>
        <v>Router3_49</v>
      </c>
      <c r="DO9" t="str">
        <f t="array" ref="DO9">IF(ISERROR(INDEX($A$3:$B$14312,SMALL(IF($A$3:$A$14312=DO$3,ROW($A$3:$A$14312)),ROW(7:7)),2)),"",INDEX($A$3:$B$14312,SMALL(IF($A$3:$A$14312=DO$3,ROW($A$3:$A$14312)),ROW(7:7)),2))</f>
        <v>Router3_92</v>
      </c>
      <c r="DP9" t="str">
        <f t="array" ref="DP9">IF(ISERROR(INDEX($A$3:$B$14312,SMALL(IF($A$3:$A$14312=DP$3,ROW($A$3:$A$14312)),ROW(7:7)),2)),"",INDEX($A$3:$B$14312,SMALL(IF($A$3:$A$14312=DP$3,ROW($A$3:$A$14312)),ROW(7:7)),2))</f>
        <v>Router3_62</v>
      </c>
      <c r="DQ9" t="str">
        <f t="array" ref="DQ9">IF(ISERROR(INDEX($A$3:$B$14312,SMALL(IF($A$3:$A$14312=DQ$3,ROW($A$3:$A$14312)),ROW(7:7)),2)),"",INDEX($A$3:$B$14312,SMALL(IF($A$3:$A$14312=DQ$3,ROW($A$3:$A$14312)),ROW(7:7)),2))</f>
        <v>Router3_114</v>
      </c>
      <c r="DR9" t="str">
        <f t="array" ref="DR9">IF(ISERROR(INDEX($A$3:$B$14312,SMALL(IF($A$3:$A$14312=DR$3,ROW($A$3:$A$14312)),ROW(7:7)),2)),"",INDEX($A$3:$B$14312,SMALL(IF($A$3:$A$14312=DR$3,ROW($A$3:$A$14312)),ROW(7:7)),2))</f>
        <v>Router3_9</v>
      </c>
      <c r="DS9" t="str">
        <f t="array" ref="DS9">IF(ISERROR(INDEX($A$3:$B$14312,SMALL(IF($A$3:$A$14312=DS$3,ROW($A$3:$A$14312)),ROW(7:7)),2)),"",INDEX($A$3:$B$14312,SMALL(IF($A$3:$A$14312=DS$3,ROW($A$3:$A$14312)),ROW(7:7)),2))</f>
        <v>Router3_2</v>
      </c>
      <c r="DT9" t="str">
        <f t="array" ref="DT9">IF(ISERROR(INDEX($A$3:$B$14312,SMALL(IF($A$3:$A$14312=DT$3,ROW($A$3:$A$14312)),ROW(7:7)),2)),"",INDEX($A$3:$B$14312,SMALL(IF($A$3:$A$14312=DT$3,ROW($A$3:$A$14312)),ROW(7:7)),2))</f>
        <v>Router3_73</v>
      </c>
      <c r="DU9" t="str">
        <f t="array" ref="DU9">IF(ISERROR(INDEX($A$3:$B$14312,SMALL(IF($A$3:$A$14312=DU$3,ROW($A$3:$A$14312)),ROW(7:7)),2)),"",INDEX($A$3:$B$14312,SMALL(IF($A$3:$A$14312=DU$3,ROW($A$3:$A$14312)),ROW(7:7)),2))</f>
        <v>Router3_125</v>
      </c>
      <c r="DV9" t="str">
        <f t="array" ref="DV9">IF(ISERROR(INDEX($A$3:$B$14312,SMALL(IF($A$3:$A$14312=DV$3,ROW($A$3:$A$14312)),ROW(7:7)),2)),"",INDEX($A$3:$B$14312,SMALL(IF($A$3:$A$14312=DV$3,ROW($A$3:$A$14312)),ROW(7:7)),2))</f>
        <v>Router3_97</v>
      </c>
      <c r="DW9" t="str">
        <f t="array" ref="DW9">IF(ISERROR(INDEX($A$3:$B$14312,SMALL(IF($A$3:$A$14312=DW$3,ROW($A$3:$A$14312)),ROW(7:7)),2)),"",INDEX($A$3:$B$14312,SMALL(IF($A$3:$A$14312=DW$3,ROW($A$3:$A$14312)),ROW(7:7)),2))</f>
        <v/>
      </c>
      <c r="DX9" t="str">
        <f t="array" ref="DX9">IF(ISERROR(INDEX($A$3:$B$14312,SMALL(IF($A$3:$A$14312=DX$3,ROW($A$3:$A$14312)),ROW(7:7)),2)),"",INDEX($A$3:$B$14312,SMALL(IF($A$3:$A$14312=DX$3,ROW($A$3:$A$14312)),ROW(7:7)),2))</f>
        <v/>
      </c>
      <c r="DY9" t="str">
        <f t="array" ref="DY9">IF(ISERROR(INDEX($A$3:$B$14312,SMALL(IF($A$3:$A$14312=DY$3,ROW($A$3:$A$14312)),ROW(7:7)),2)),"",INDEX($A$3:$B$14312,SMALL(IF($A$3:$A$14312=DY$3,ROW($A$3:$A$14312)),ROW(7:7)),2))</f>
        <v/>
      </c>
      <c r="DZ9" t="str">
        <f t="array" ref="DZ9">IF(ISERROR(INDEX($A$3:$B$14312,SMALL(IF($A$3:$A$14312=DZ$3,ROW($A$3:$A$14312)),ROW(7:7)),2)),"",INDEX($A$3:$B$14312,SMALL(IF($A$3:$A$14312=DZ$3,ROW($A$3:$A$14312)),ROW(7:7)),2))</f>
        <v/>
      </c>
      <c r="EA9" t="str">
        <f t="array" ref="EA9">IF(ISERROR(INDEX($A$3:$B$14312,SMALL(IF($A$3:$A$14312=EA$3,ROW($A$3:$A$14312)),ROW(7:7)),2)),"",INDEX($A$3:$B$14312,SMALL(IF($A$3:$A$14312=EA$3,ROW($A$3:$A$14312)),ROW(7:7)),2))</f>
        <v>Router3_82</v>
      </c>
      <c r="EB9" t="str">
        <f t="array" ref="EB9">IF(ISERROR(INDEX($A$3:$B$14312,SMALL(IF($A$3:$A$14312=EB$3,ROW($A$3:$A$14312)),ROW(7:7)),2)),"",INDEX($A$3:$B$14312,SMALL(IF($A$3:$A$14312=EB$3,ROW($A$3:$A$14312)),ROW(7:7)),2))</f>
        <v>Router3_124</v>
      </c>
      <c r="EC9" t="str">
        <f t="array" ref="EC9">IF(ISERROR(INDEX($A$3:$B$14312,SMALL(IF($A$3:$A$14312=EC$3,ROW($A$3:$A$14312)),ROW(7:7)),2)),"",INDEX($A$3:$B$14312,SMALL(IF($A$3:$A$14312=EC$3,ROW($A$3:$A$14312)),ROW(7:7)),2))</f>
        <v>Router3_60</v>
      </c>
      <c r="ED9" t="str">
        <f t="array" ref="ED9">IF(ISERROR(INDEX($A$3:$B$14312,SMALL(IF($A$3:$A$14312=ED$3,ROW($A$3:$A$14312)),ROW(7:7)),2)),"",INDEX($A$3:$B$14312,SMALL(IF($A$3:$A$14312=ED$3,ROW($A$3:$A$14312)),ROW(7:7)),2))</f>
        <v>Router3_90</v>
      </c>
      <c r="EE9" t="str">
        <f t="array" ref="EE9">IF(ISERROR(INDEX($A$3:$B$14312,SMALL(IF($A$3:$A$14312=EE$3,ROW($A$3:$A$14312)),ROW(7:7)),2)),"",INDEX($A$3:$B$14312,SMALL(IF($A$3:$A$14312=EE$3,ROW($A$3:$A$14312)),ROW(7:7)),2))</f>
        <v>Router3_147</v>
      </c>
    </row>
    <row r="10" spans="1:135" x14ac:dyDescent="0.25">
      <c r="A10" s="10">
        <v>-485017374</v>
      </c>
      <c r="B10" t="s">
        <v>1215</v>
      </c>
      <c r="E10" t="str">
        <f t="array" ref="E10">IF(ISERROR(INDEX($A$3:$B$14312,SMALL(IF($A$3:$A$14312=E$3,ROW($A$3:$A$14312)),ROW(8:8)),2)),"",INDEX($A$3:$B$14312,SMALL(IF($A$3:$A$14312=E$3,ROW($A$3:$A$14312)),ROW(8:8)),2))</f>
        <v>Router3_12</v>
      </c>
      <c r="F10" t="str">
        <f t="array" ref="F10">IF(ISERROR(INDEX($A$3:$B$14312,SMALL(IF($A$3:$A$14312=F$3,ROW($A$3:$A$14312)),ROW(8:8)),2)),"",INDEX($A$3:$B$14312,SMALL(IF($A$3:$A$14312=F$3,ROW($A$3:$A$14312)),ROW(8:8)),2))</f>
        <v>Router3_23</v>
      </c>
      <c r="G10" t="str">
        <f t="array" ref="G10">IF(ISERROR(INDEX($A$3:$B$14312,SMALL(IF($A$3:$A$14312=G$3,ROW($A$3:$A$14312)),ROW(8:8)),2)),"",INDEX($A$3:$B$14312,SMALL(IF($A$3:$A$14312=G$3,ROW($A$3:$A$14312)),ROW(8:8)),2))</f>
        <v>Router3_91</v>
      </c>
      <c r="H10" t="str">
        <f t="array" ref="H10">IF(ISERROR(INDEX($A$3:$B$14312,SMALL(IF($A$3:$A$14312=H$3,ROW($A$3:$A$14312)),ROW(8:8)),2)),"",INDEX($A$3:$B$14312,SMALL(IF($A$3:$A$14312=H$3,ROW($A$3:$A$14312)),ROW(8:8)),2))</f>
        <v>Router3_99</v>
      </c>
      <c r="I10" t="str">
        <f t="array" ref="I10">IF(ISERROR(INDEX($A$3:$B$14312,SMALL(IF($A$3:$A$14312=I$3,ROW($A$3:$A$14312)),ROW(8:8)),2)),"",INDEX($A$3:$B$14312,SMALL(IF($A$3:$A$14312=I$3,ROW($A$3:$A$14312)),ROW(8:8)),2))</f>
        <v>Router3_19</v>
      </c>
      <c r="J10" t="str">
        <f t="array" ref="J10">IF(ISERROR(INDEX($A$3:$B$14312,SMALL(IF($A$3:$A$14312=J$3,ROW($A$3:$A$14312)),ROW(8:8)),2)),"",INDEX($A$3:$B$14312,SMALL(IF($A$3:$A$14312=J$3,ROW($A$3:$A$14312)),ROW(8:8)),2))</f>
        <v>Router3_139</v>
      </c>
      <c r="K10" t="str">
        <f t="array" ref="K10">IF(ISERROR(INDEX($A$3:$B$14312,SMALL(IF($A$3:$A$14312=K$3,ROW($A$3:$A$14312)),ROW(8:8)),2)),"",INDEX($A$3:$B$14312,SMALL(IF($A$3:$A$14312=K$3,ROW($A$3:$A$14312)),ROW(8:8)),2))</f>
        <v>Router3_111</v>
      </c>
      <c r="L10" t="str">
        <f t="array" ref="L10">IF(ISERROR(INDEX($A$3:$B$14312,SMALL(IF($A$3:$A$14312=L$3,ROW($A$3:$A$14312)),ROW(8:8)),2)),"",INDEX($A$3:$B$14312,SMALL(IF($A$3:$A$14312=L$3,ROW($A$3:$A$14312)),ROW(8:8)),2))</f>
        <v/>
      </c>
      <c r="M10" t="str">
        <f t="array" ref="M10">IF(ISERROR(INDEX($A$3:$B$14312,SMALL(IF($A$3:$A$14312=M$3,ROW($A$3:$A$14312)),ROW(8:8)),2)),"",INDEX($A$3:$B$14312,SMALL(IF($A$3:$A$14312=M$3,ROW($A$3:$A$14312)),ROW(8:8)),2))</f>
        <v>Router3_102</v>
      </c>
      <c r="N10" t="str">
        <f t="array" ref="N10">IF(ISERROR(INDEX($A$3:$B$14312,SMALL(IF($A$3:$A$14312=N$3,ROW($A$3:$A$14312)),ROW(8:8)),2)),"",INDEX($A$3:$B$14312,SMALL(IF($A$3:$A$14312=N$3,ROW($A$3:$A$14312)),ROW(8:8)),2))</f>
        <v/>
      </c>
      <c r="O10" t="str">
        <f t="array" ref="O10">IF(ISERROR(INDEX($A$3:$B$14312,SMALL(IF($A$3:$A$14312=O$3,ROW($A$3:$A$14312)),ROW(8:8)),2)),"",INDEX($A$3:$B$14312,SMALL(IF($A$3:$A$14312=O$3,ROW($A$3:$A$14312)),ROW(8:8)),2))</f>
        <v>Router3_113</v>
      </c>
      <c r="P10" t="str">
        <f t="array" ref="P10">IF(ISERROR(INDEX($A$3:$B$14312,SMALL(IF($A$3:$A$14312=P$3,ROW($A$3:$A$14312)),ROW(8:8)),2)),"",INDEX($A$3:$B$14312,SMALL(IF($A$3:$A$14312=P$3,ROW($A$3:$A$14312)),ROW(8:8)),2))</f>
        <v>Router3_99</v>
      </c>
      <c r="Q10" t="str">
        <f t="array" ref="Q10">IF(ISERROR(INDEX($A$3:$B$14312,SMALL(IF($A$3:$A$14312=Q$3,ROW($A$3:$A$14312)),ROW(8:8)),2)),"",INDEX($A$3:$B$14312,SMALL(IF($A$3:$A$14312=Q$3,ROW($A$3:$A$14312)),ROW(8:8)),2))</f>
        <v/>
      </c>
      <c r="R10" t="str">
        <f t="array" ref="R10">IF(ISERROR(INDEX($A$3:$B$14312,SMALL(IF($A$3:$A$14312=R$3,ROW($A$3:$A$14312)),ROW(8:8)),2)),"",INDEX($A$3:$B$14312,SMALL(IF($A$3:$A$14312=R$3,ROW($A$3:$A$14312)),ROW(8:8)),2))</f>
        <v/>
      </c>
      <c r="S10" t="str">
        <f t="array" ref="S10">IF(ISERROR(INDEX($A$3:$B$14312,SMALL(IF($A$3:$A$14312=S$3,ROW($A$3:$A$14312)),ROW(8:8)),2)),"",INDEX($A$3:$B$14312,SMALL(IF($A$3:$A$14312=S$3,ROW($A$3:$A$14312)),ROW(8:8)),2))</f>
        <v/>
      </c>
      <c r="T10" t="str">
        <f t="array" ref="T10">IF(ISERROR(INDEX($A$3:$B$14312,SMALL(IF($A$3:$A$14312=T$3,ROW($A$3:$A$14312)),ROW(8:8)),2)),"",INDEX($A$3:$B$14312,SMALL(IF($A$3:$A$14312=T$3,ROW($A$3:$A$14312)),ROW(8:8)),2))</f>
        <v/>
      </c>
      <c r="U10" t="str">
        <f t="array" ref="U10">IF(ISERROR(INDEX($A$3:$B$14312,SMALL(IF($A$3:$A$14312=U$3,ROW($A$3:$A$14312)),ROW(8:8)),2)),"",INDEX($A$3:$B$14312,SMALL(IF($A$3:$A$14312=U$3,ROW($A$3:$A$14312)),ROW(8:8)),2))</f>
        <v>Router3_102</v>
      </c>
      <c r="V10" t="str">
        <f t="array" ref="V10">IF(ISERROR(INDEX($A$3:$B$14312,SMALL(IF($A$3:$A$14312=V$3,ROW($A$3:$A$14312)),ROW(8:8)),2)),"",INDEX($A$3:$B$14312,SMALL(IF($A$3:$A$14312=V$3,ROW($A$3:$A$14312)),ROW(8:8)),2))</f>
        <v/>
      </c>
      <c r="W10" t="str">
        <f t="array" ref="W10">IF(ISERROR(INDEX($A$3:$B$14312,SMALL(IF($A$3:$A$14312=W$3,ROW($A$3:$A$14312)),ROW(8:8)),2)),"",INDEX($A$3:$B$14312,SMALL(IF($A$3:$A$14312=W$3,ROW($A$3:$A$14312)),ROW(8:8)),2))</f>
        <v>Router3_61</v>
      </c>
      <c r="X10" t="str">
        <f t="array" ref="X10">IF(ISERROR(INDEX($A$3:$B$14312,SMALL(IF($A$3:$A$14312=X$3,ROW($A$3:$A$14312)),ROW(8:8)),2)),"",INDEX($A$3:$B$14312,SMALL(IF($A$3:$A$14312=X$3,ROW($A$3:$A$14312)),ROW(8:8)),2))</f>
        <v/>
      </c>
      <c r="Y10" t="str">
        <f t="array" ref="Y10">IF(ISERROR(INDEX($A$3:$B$14312,SMALL(IF($A$3:$A$14312=Y$3,ROW($A$3:$A$14312)),ROW(8:8)),2)),"",INDEX($A$3:$B$14312,SMALL(IF($A$3:$A$14312=Y$3,ROW($A$3:$A$14312)),ROW(8:8)),2))</f>
        <v/>
      </c>
      <c r="Z10" t="str">
        <f t="array" ref="Z10">IF(ISERROR(INDEX($A$3:$B$14312,SMALL(IF($A$3:$A$14312=Z$3,ROW($A$3:$A$14312)),ROW(8:8)),2)),"",INDEX($A$3:$B$14312,SMALL(IF($A$3:$A$14312=Z$3,ROW($A$3:$A$14312)),ROW(8:8)),2))</f>
        <v/>
      </c>
      <c r="AA10" t="str">
        <f t="array" ref="AA10">IF(ISERROR(INDEX($A$3:$B$14312,SMALL(IF($A$3:$A$14312=AA$3,ROW($A$3:$A$14312)),ROW(8:8)),2)),"",INDEX($A$3:$B$14312,SMALL(IF($A$3:$A$14312=AA$3,ROW($A$3:$A$14312)),ROW(8:8)),2))</f>
        <v/>
      </c>
      <c r="AB10" t="str">
        <f t="array" ref="AB10">IF(ISERROR(INDEX($A$3:$B$14312,SMALL(IF($A$3:$A$14312=AB$3,ROW($A$3:$A$14312)),ROW(8:8)),2)),"",INDEX($A$3:$B$14312,SMALL(IF($A$3:$A$14312=AB$3,ROW($A$3:$A$14312)),ROW(8:8)),2))</f>
        <v/>
      </c>
      <c r="AC10" t="str">
        <f t="array" ref="AC10">IF(ISERROR(INDEX($A$3:$B$14312,SMALL(IF($A$3:$A$14312=AC$3,ROW($A$3:$A$14312)),ROW(8:8)),2)),"",INDEX($A$3:$B$14312,SMALL(IF($A$3:$A$14312=AC$3,ROW($A$3:$A$14312)),ROW(8:8)),2))</f>
        <v/>
      </c>
      <c r="AD10" t="str">
        <f t="array" ref="AD10">IF(ISERROR(INDEX($A$3:$B$14312,SMALL(IF($A$3:$A$14312=AD$3,ROW($A$3:$A$14312)),ROW(8:8)),2)),"",INDEX($A$3:$B$14312,SMALL(IF($A$3:$A$14312=AD$3,ROW($A$3:$A$14312)),ROW(8:8)),2))</f>
        <v/>
      </c>
      <c r="AE10" t="str">
        <f t="array" ref="AE10">IF(ISERROR(INDEX($A$3:$B$14312,SMALL(IF($A$3:$A$14312=AE$3,ROW($A$3:$A$14312)),ROW(8:8)),2)),"",INDEX($A$3:$B$14312,SMALL(IF($A$3:$A$14312=AE$3,ROW($A$3:$A$14312)),ROW(8:8)),2))</f>
        <v/>
      </c>
      <c r="AF10" t="str">
        <f t="array" ref="AF10">IF(ISERROR(INDEX($A$3:$B$14312,SMALL(IF($A$3:$A$14312=AF$3,ROW($A$3:$A$14312)),ROW(8:8)),2)),"",INDEX($A$3:$B$14312,SMALL(IF($A$3:$A$14312=AF$3,ROW($A$3:$A$14312)),ROW(8:8)),2))</f>
        <v>Router3_91</v>
      </c>
      <c r="AG10" t="str">
        <f t="array" ref="AG10">IF(ISERROR(INDEX($A$3:$B$14312,SMALL(IF($A$3:$A$14312=AG$3,ROW($A$3:$A$14312)),ROW(8:8)),2)),"",INDEX($A$3:$B$14312,SMALL(IF($A$3:$A$14312=AG$3,ROW($A$3:$A$14312)),ROW(8:8)),2))</f>
        <v>Router3_12</v>
      </c>
      <c r="AH10" t="str">
        <f t="array" ref="AH10">IF(ISERROR(INDEX($A$3:$B$14312,SMALL(IF($A$3:$A$14312=AH$3,ROW($A$3:$A$14312)),ROW(8:8)),2)),"",INDEX($A$3:$B$14312,SMALL(IF($A$3:$A$14312=AH$3,ROW($A$3:$A$14312)),ROW(8:8)),2))</f>
        <v>Router3_16</v>
      </c>
      <c r="AI10" t="str">
        <f t="array" ref="AI10">IF(ISERROR(INDEX($A$3:$B$14312,SMALL(IF($A$3:$A$14312=AI$3,ROW($A$3:$A$14312)),ROW(8:8)),2)),"",INDEX($A$3:$B$14312,SMALL(IF($A$3:$A$14312=AI$3,ROW($A$3:$A$14312)),ROW(8:8)),2))</f>
        <v>Router3_56</v>
      </c>
      <c r="AJ10" t="str">
        <f t="array" ref="AJ10">IF(ISERROR(INDEX($A$3:$B$14312,SMALL(IF($A$3:$A$14312=AJ$3,ROW($A$3:$A$14312)),ROW(8:8)),2)),"",INDEX($A$3:$B$14312,SMALL(IF($A$3:$A$14312=AJ$3,ROW($A$3:$A$14312)),ROW(8:8)),2))</f>
        <v>Router3_38</v>
      </c>
      <c r="AK10" t="str">
        <f t="array" ref="AK10">IF(ISERROR(INDEX($A$3:$B$14312,SMALL(IF($A$3:$A$14312=AK$3,ROW($A$3:$A$14312)),ROW(8:8)),2)),"",INDEX($A$3:$B$14312,SMALL(IF($A$3:$A$14312=AK$3,ROW($A$3:$A$14312)),ROW(8:8)),2))</f>
        <v>Router3_119</v>
      </c>
      <c r="AL10" t="str">
        <f t="array" ref="AL10">IF(ISERROR(INDEX($A$3:$B$14312,SMALL(IF($A$3:$A$14312=AL$3,ROW($A$3:$A$14312)),ROW(8:8)),2)),"",INDEX($A$3:$B$14312,SMALL(IF($A$3:$A$14312=AL$3,ROW($A$3:$A$14312)),ROW(8:8)),2))</f>
        <v>Router3_87</v>
      </c>
      <c r="AM10" t="str">
        <f t="array" ref="AM10">IF(ISERROR(INDEX($A$3:$B$14312,SMALL(IF($A$3:$A$14312=AM$3,ROW($A$3:$A$14312)),ROW(8:8)),2)),"",INDEX($A$3:$B$14312,SMALL(IF($A$3:$A$14312=AM$3,ROW($A$3:$A$14312)),ROW(8:8)),2))</f>
        <v>Router3_66</v>
      </c>
      <c r="AN10" t="str">
        <f t="array" ref="AN10">IF(ISERROR(INDEX($A$3:$B$14312,SMALL(IF($A$3:$A$14312=AN$3,ROW($A$3:$A$14312)),ROW(8:8)),2)),"",INDEX($A$3:$B$14312,SMALL(IF($A$3:$A$14312=AN$3,ROW($A$3:$A$14312)),ROW(8:8)),2))</f>
        <v>Router3_54</v>
      </c>
      <c r="AO10" t="str">
        <f t="array" ref="AO10">IF(ISERROR(INDEX($A$3:$B$14312,SMALL(IF($A$3:$A$14312=AO$3,ROW($A$3:$A$14312)),ROW(8:8)),2)),"",INDEX($A$3:$B$14312,SMALL(IF($A$3:$A$14312=AO$3,ROW($A$3:$A$14312)),ROW(8:8)),2))</f>
        <v>Router3_106</v>
      </c>
      <c r="AP10" t="str">
        <f t="array" ref="AP10">IF(ISERROR(INDEX($A$3:$B$14312,SMALL(IF($A$3:$A$14312=AP$3,ROW($A$3:$A$14312)),ROW(8:8)),2)),"",INDEX($A$3:$B$14312,SMALL(IF($A$3:$A$14312=AP$3,ROW($A$3:$A$14312)),ROW(8:8)),2))</f>
        <v>Router3_11</v>
      </c>
      <c r="AQ10" t="str">
        <f t="array" ref="AQ10">IF(ISERROR(INDEX($A$3:$B$14312,SMALL(IF($A$3:$A$14312=AQ$3,ROW($A$3:$A$14312)),ROW(8:8)),2)),"",INDEX($A$3:$B$14312,SMALL(IF($A$3:$A$14312=AQ$3,ROW($A$3:$A$14312)),ROW(8:8)),2))</f>
        <v/>
      </c>
      <c r="AR10" t="str">
        <f t="array" ref="AR10">IF(ISERROR(INDEX($A$3:$B$14312,SMALL(IF($A$3:$A$14312=AR$3,ROW($A$3:$A$14312)),ROW(8:8)),2)),"",INDEX($A$3:$B$14312,SMALL(IF($A$3:$A$14312=AR$3,ROW($A$3:$A$14312)),ROW(8:8)),2))</f>
        <v/>
      </c>
      <c r="AS10" t="str">
        <f t="array" ref="AS10">IF(ISERROR(INDEX($A$3:$B$14312,SMALL(IF($A$3:$A$14312=AS$3,ROW($A$3:$A$14312)),ROW(8:8)),2)),"",INDEX($A$3:$B$14312,SMALL(IF($A$3:$A$14312=AS$3,ROW($A$3:$A$14312)),ROW(8:8)),2))</f>
        <v>Router3_48</v>
      </c>
      <c r="AT10" t="str">
        <f t="array" ref="AT10">IF(ISERROR(INDEX($A$3:$B$14312,SMALL(IF($A$3:$A$14312=AT$3,ROW($A$3:$A$14312)),ROW(8:8)),2)),"",INDEX($A$3:$B$14312,SMALL(IF($A$3:$A$14312=AT$3,ROW($A$3:$A$14312)),ROW(8:8)),2))</f>
        <v/>
      </c>
      <c r="AU10" t="str">
        <f t="array" ref="AU10">IF(ISERROR(INDEX($A$3:$B$14312,SMALL(IF($A$3:$A$14312=AU$3,ROW($A$3:$A$14312)),ROW(8:8)),2)),"",INDEX($A$3:$B$14312,SMALL(IF($A$3:$A$14312=AU$3,ROW($A$3:$A$14312)),ROW(8:8)),2))</f>
        <v>Router3_11</v>
      </c>
      <c r="AV10" t="str">
        <f t="array" ref="AV10">IF(ISERROR(INDEX($A$3:$B$14312,SMALL(IF($A$3:$A$14312=AV$3,ROW($A$3:$A$14312)),ROW(8:8)),2)),"",INDEX($A$3:$B$14312,SMALL(IF($A$3:$A$14312=AV$3,ROW($A$3:$A$14312)),ROW(8:8)),2))</f>
        <v/>
      </c>
      <c r="AW10" t="str">
        <f t="array" ref="AW10">IF(ISERROR(INDEX($A$3:$B$14312,SMALL(IF($A$3:$A$14312=AW$3,ROW($A$3:$A$14312)),ROW(8:8)),2)),"",INDEX($A$3:$B$14312,SMALL(IF($A$3:$A$14312=AW$3,ROW($A$3:$A$14312)),ROW(8:8)),2))</f>
        <v/>
      </c>
      <c r="AX10" t="str">
        <f t="array" ref="AX10">IF(ISERROR(INDEX($A$3:$B$14312,SMALL(IF($A$3:$A$14312=AX$3,ROW($A$3:$A$14312)),ROW(8:8)),2)),"",INDEX($A$3:$B$14312,SMALL(IF($A$3:$A$14312=AX$3,ROW($A$3:$A$14312)),ROW(8:8)),2))</f>
        <v>Router3_140</v>
      </c>
      <c r="AY10" t="str">
        <f t="array" ref="AY10">IF(ISERROR(INDEX($A$3:$B$14312,SMALL(IF($A$3:$A$14312=AY$3,ROW($A$3:$A$14312)),ROW(8:8)),2)),"",INDEX($A$3:$B$14312,SMALL(IF($A$3:$A$14312=AY$3,ROW($A$3:$A$14312)),ROW(8:8)),2))</f>
        <v>Router3_66</v>
      </c>
      <c r="AZ10" t="str">
        <f t="array" ref="AZ10">IF(ISERROR(INDEX($A$3:$B$14312,SMALL(IF($A$3:$A$14312=AZ$3,ROW($A$3:$A$14312)),ROW(8:8)),2)),"",INDEX($A$3:$B$14312,SMALL(IF($A$3:$A$14312=AZ$3,ROW($A$3:$A$14312)),ROW(8:8)),2))</f>
        <v/>
      </c>
      <c r="BA10" t="str">
        <f t="array" ref="BA10">IF(ISERROR(INDEX($A$3:$B$14312,SMALL(IF($A$3:$A$14312=BA$3,ROW($A$3:$A$14312)),ROW(8:8)),2)),"",INDEX($A$3:$B$14312,SMALL(IF($A$3:$A$14312=BA$3,ROW($A$3:$A$14312)),ROW(8:8)),2))</f>
        <v/>
      </c>
      <c r="BB10" t="str">
        <f t="array" ref="BB10">IF(ISERROR(INDEX($A$3:$B$14312,SMALL(IF($A$3:$A$14312=BB$3,ROW($A$3:$A$14312)),ROW(8:8)),2)),"",INDEX($A$3:$B$14312,SMALL(IF($A$3:$A$14312=BB$3,ROW($A$3:$A$14312)),ROW(8:8)),2))</f>
        <v/>
      </c>
      <c r="BC10" t="str">
        <f t="array" ref="BC10">IF(ISERROR(INDEX($A$3:$B$14312,SMALL(IF($A$3:$A$14312=BC$3,ROW($A$3:$A$14312)),ROW(8:8)),2)),"",INDEX($A$3:$B$14312,SMALL(IF($A$3:$A$14312=BC$3,ROW($A$3:$A$14312)),ROW(8:8)),2))</f>
        <v/>
      </c>
      <c r="BD10" t="str">
        <f t="array" ref="BD10">IF(ISERROR(INDEX($A$3:$B$14312,SMALL(IF($A$3:$A$14312=BD$3,ROW($A$3:$A$14312)),ROW(8:8)),2)),"",INDEX($A$3:$B$14312,SMALL(IF($A$3:$A$14312=BD$3,ROW($A$3:$A$14312)),ROW(8:8)),2))</f>
        <v/>
      </c>
      <c r="BE10" t="str">
        <f t="array" ref="BE10">IF(ISERROR(INDEX($A$3:$B$14312,SMALL(IF($A$3:$A$14312=BE$3,ROW($A$3:$A$14312)),ROW(8:8)),2)),"",INDEX($A$3:$B$14312,SMALL(IF($A$3:$A$14312=BE$3,ROW($A$3:$A$14312)),ROW(8:8)),2))</f>
        <v>Router3_99</v>
      </c>
      <c r="BF10" t="str">
        <f t="array" ref="BF10">IF(ISERROR(INDEX($A$3:$B$14312,SMALL(IF($A$3:$A$14312=BF$3,ROW($A$3:$A$14312)),ROW(8:8)),2)),"",INDEX($A$3:$B$14312,SMALL(IF($A$3:$A$14312=BF$3,ROW($A$3:$A$14312)),ROW(8:8)),2))</f>
        <v/>
      </c>
      <c r="BG10" t="str">
        <f t="array" ref="BG10">IF(ISERROR(INDEX($A$3:$B$14312,SMALL(IF($A$3:$A$14312=BG$3,ROW($A$3:$A$14312)),ROW(8:8)),2)),"",INDEX($A$3:$B$14312,SMALL(IF($A$3:$A$14312=BG$3,ROW($A$3:$A$14312)),ROW(8:8)),2))</f>
        <v>Router3_107</v>
      </c>
      <c r="BH10" t="str">
        <f t="array" ref="BH10">IF(ISERROR(INDEX($A$3:$B$14312,SMALL(IF($A$3:$A$14312=BH$3,ROW($A$3:$A$14312)),ROW(8:8)),2)),"",INDEX($A$3:$B$14312,SMALL(IF($A$3:$A$14312=BH$3,ROW($A$3:$A$14312)),ROW(8:8)),2))</f>
        <v>Router3_3</v>
      </c>
      <c r="BI10" t="str">
        <f t="array" ref="BI10">IF(ISERROR(INDEX($A$3:$B$14312,SMALL(IF($A$3:$A$14312=BI$3,ROW($A$3:$A$14312)),ROW(8:8)),2)),"",INDEX($A$3:$B$14312,SMALL(IF($A$3:$A$14312=BI$3,ROW($A$3:$A$14312)),ROW(8:8)),2))</f>
        <v>Router3_97</v>
      </c>
      <c r="BJ10" t="str">
        <f t="array" ref="BJ10">IF(ISERROR(INDEX($A$3:$B$14312,SMALL(IF($A$3:$A$14312=BJ$3,ROW($A$3:$A$14312)),ROW(8:8)),2)),"",INDEX($A$3:$B$14312,SMALL(IF($A$3:$A$14312=BJ$3,ROW($A$3:$A$14312)),ROW(8:8)),2))</f>
        <v/>
      </c>
      <c r="BK10" t="str">
        <f t="array" ref="BK10">IF(ISERROR(INDEX($A$3:$B$14312,SMALL(IF($A$3:$A$14312=BK$3,ROW($A$3:$A$14312)),ROW(8:8)),2)),"",INDEX($A$3:$B$14312,SMALL(IF($A$3:$A$14312=BK$3,ROW($A$3:$A$14312)),ROW(8:8)),2))</f>
        <v/>
      </c>
      <c r="BL10" t="str">
        <f t="array" ref="BL10">IF(ISERROR(INDEX($A$3:$B$14312,SMALL(IF($A$3:$A$14312=BL$3,ROW($A$3:$A$14312)),ROW(8:8)),2)),"",INDEX($A$3:$B$14312,SMALL(IF($A$3:$A$14312=BL$3,ROW($A$3:$A$14312)),ROW(8:8)),2))</f>
        <v/>
      </c>
      <c r="BM10" t="str">
        <f t="array" ref="BM10">IF(ISERROR(INDEX($A$3:$B$14312,SMALL(IF($A$3:$A$14312=BM$3,ROW($A$3:$A$14312)),ROW(8:8)),2)),"",INDEX($A$3:$B$14312,SMALL(IF($A$3:$A$14312=BM$3,ROW($A$3:$A$14312)),ROW(8:8)),2))</f>
        <v>Router3_19</v>
      </c>
      <c r="BN10" t="str">
        <f t="array" ref="BN10">IF(ISERROR(INDEX($A$3:$B$14312,SMALL(IF($A$3:$A$14312=BN$3,ROW($A$3:$A$14312)),ROW(8:8)),2)),"",INDEX($A$3:$B$14312,SMALL(IF($A$3:$A$14312=BN$3,ROW($A$3:$A$14312)),ROW(8:8)),2))</f>
        <v/>
      </c>
      <c r="BO10" t="str">
        <f t="array" ref="BO10">IF(ISERROR(INDEX($A$3:$B$14312,SMALL(IF($A$3:$A$14312=BO$3,ROW($A$3:$A$14312)),ROW(8:8)),2)),"",INDEX($A$3:$B$14312,SMALL(IF($A$3:$A$14312=BO$3,ROW($A$3:$A$14312)),ROW(8:8)),2))</f>
        <v/>
      </c>
      <c r="BP10" t="str">
        <f t="array" ref="BP10">IF(ISERROR(INDEX($A$3:$B$14312,SMALL(IF($A$3:$A$14312=BP$3,ROW($A$3:$A$14312)),ROW(8:8)),2)),"",INDEX($A$3:$B$14312,SMALL(IF($A$3:$A$14312=BP$3,ROW($A$3:$A$14312)),ROW(8:8)),2))</f>
        <v/>
      </c>
      <c r="BQ10" t="str">
        <f t="array" ref="BQ10">IF(ISERROR(INDEX($A$3:$B$14312,SMALL(IF($A$3:$A$14312=BQ$3,ROW($A$3:$A$14312)),ROW(8:8)),2)),"",INDEX($A$3:$B$14312,SMALL(IF($A$3:$A$14312=BQ$3,ROW($A$3:$A$14312)),ROW(8:8)),2))</f>
        <v/>
      </c>
      <c r="BR10" t="str">
        <f t="array" ref="BR10">IF(ISERROR(INDEX($A$3:$B$14312,SMALL(IF($A$3:$A$14312=BR$3,ROW($A$3:$A$14312)),ROW(8:8)),2)),"",INDEX($A$3:$B$14312,SMALL(IF($A$3:$A$14312=BR$3,ROW($A$3:$A$14312)),ROW(8:8)),2))</f>
        <v/>
      </c>
      <c r="BS10" t="str">
        <f t="array" ref="BS10">IF(ISERROR(INDEX($A$3:$B$14312,SMALL(IF($A$3:$A$14312=BS$3,ROW($A$3:$A$14312)),ROW(8:8)),2)),"",INDEX($A$3:$B$14312,SMALL(IF($A$3:$A$14312=BS$3,ROW($A$3:$A$14312)),ROW(8:8)),2))</f>
        <v/>
      </c>
      <c r="BT10" t="str">
        <f t="array" ref="BT10">IF(ISERROR(INDEX($A$3:$B$14312,SMALL(IF($A$3:$A$14312=BT$3,ROW($A$3:$A$14312)),ROW(8:8)),2)),"",INDEX($A$3:$B$14312,SMALL(IF($A$3:$A$14312=BT$3,ROW($A$3:$A$14312)),ROW(8:8)),2))</f>
        <v>Router3_60</v>
      </c>
      <c r="BU10" t="str">
        <f t="array" ref="BU10">IF(ISERROR(INDEX($A$3:$B$14312,SMALL(IF($A$3:$A$14312=BU$3,ROW($A$3:$A$14312)),ROW(8:8)),2)),"",INDEX($A$3:$B$14312,SMALL(IF($A$3:$A$14312=BU$3,ROW($A$3:$A$14312)),ROW(8:8)),2))</f>
        <v/>
      </c>
      <c r="BV10" t="str">
        <f t="array" ref="BV10">IF(ISERROR(INDEX($A$3:$B$14312,SMALL(IF($A$3:$A$14312=BV$3,ROW($A$3:$A$14312)),ROW(8:8)),2)),"",INDEX($A$3:$B$14312,SMALL(IF($A$3:$A$14312=BV$3,ROW($A$3:$A$14312)),ROW(8:8)),2))</f>
        <v/>
      </c>
      <c r="BW10" t="str">
        <f t="array" ref="BW10">IF(ISERROR(INDEX($A$3:$B$14312,SMALL(IF($A$3:$A$14312=BW$3,ROW($A$3:$A$14312)),ROW(8:8)),2)),"",INDEX($A$3:$B$14312,SMALL(IF($A$3:$A$14312=BW$3,ROW($A$3:$A$14312)),ROW(8:8)),2))</f>
        <v>Router3_146</v>
      </c>
      <c r="BX10" t="str">
        <f t="array" ref="BX10">IF(ISERROR(INDEX($A$3:$B$14312,SMALL(IF($A$3:$A$14312=BX$3,ROW($A$3:$A$14312)),ROW(8:8)),2)),"",INDEX($A$3:$B$14312,SMALL(IF($A$3:$A$14312=BX$3,ROW($A$3:$A$14312)),ROW(8:8)),2))</f>
        <v>Router3_23</v>
      </c>
      <c r="BY10" t="str">
        <f t="array" ref="BY10">IF(ISERROR(INDEX($A$3:$B$14312,SMALL(IF($A$3:$A$14312=BY$3,ROW($A$3:$A$14312)),ROW(8:8)),2)),"",INDEX($A$3:$B$14312,SMALL(IF($A$3:$A$14312=BY$3,ROW($A$3:$A$14312)),ROW(8:8)),2))</f>
        <v>Router3_48</v>
      </c>
      <c r="BZ10" t="str">
        <f t="array" ref="BZ10">IF(ISERROR(INDEX($A$3:$B$14312,SMALL(IF($A$3:$A$14312=BZ$3,ROW($A$3:$A$14312)),ROW(8:8)),2)),"",INDEX($A$3:$B$14312,SMALL(IF($A$3:$A$14312=BZ$3,ROW($A$3:$A$14312)),ROW(8:8)),2))</f>
        <v>Router3_48</v>
      </c>
      <c r="CA10" t="str">
        <f t="array" ref="CA10">IF(ISERROR(INDEX($A$3:$B$14312,SMALL(IF($A$3:$A$14312=CA$3,ROW($A$3:$A$14312)),ROW(8:8)),2)),"",INDEX($A$3:$B$14312,SMALL(IF($A$3:$A$14312=CA$3,ROW($A$3:$A$14312)),ROW(8:8)),2))</f>
        <v/>
      </c>
      <c r="CB10" t="str">
        <f t="array" ref="CB10">IF(ISERROR(INDEX($A$3:$B$14312,SMALL(IF($A$3:$A$14312=CB$3,ROW($A$3:$A$14312)),ROW(8:8)),2)),"",INDEX($A$3:$B$14312,SMALL(IF($A$3:$A$14312=CB$3,ROW($A$3:$A$14312)),ROW(8:8)),2))</f>
        <v>Router3_92</v>
      </c>
      <c r="CC10" t="str">
        <f t="array" ref="CC10">IF(ISERROR(INDEX($A$3:$B$14312,SMALL(IF($A$3:$A$14312=CC$3,ROW($A$3:$A$14312)),ROW(8:8)),2)),"",INDEX($A$3:$B$14312,SMALL(IF($A$3:$A$14312=CC$3,ROW($A$3:$A$14312)),ROW(8:8)),2))</f>
        <v/>
      </c>
      <c r="CD10" t="str">
        <f t="array" ref="CD10">IF(ISERROR(INDEX($A$3:$B$14312,SMALL(IF($A$3:$A$14312=CD$3,ROW($A$3:$A$14312)),ROW(8:8)),2)),"",INDEX($A$3:$B$14312,SMALL(IF($A$3:$A$14312=CD$3,ROW($A$3:$A$14312)),ROW(8:8)),2))</f>
        <v>Router3_99</v>
      </c>
      <c r="CE10" t="str">
        <f t="array" ref="CE10">IF(ISERROR(INDEX($A$3:$B$14312,SMALL(IF($A$3:$A$14312=CE$3,ROW($A$3:$A$14312)),ROW(8:8)),2)),"",INDEX($A$3:$B$14312,SMALL(IF($A$3:$A$14312=CE$3,ROW($A$3:$A$14312)),ROW(8:8)),2))</f>
        <v>Router3_99</v>
      </c>
      <c r="CF10" t="str">
        <f t="array" ref="CF10">IF(ISERROR(INDEX($A$3:$B$14312,SMALL(IF($A$3:$A$14312=CF$3,ROW($A$3:$A$14312)),ROW(8:8)),2)),"",INDEX($A$3:$B$14312,SMALL(IF($A$3:$A$14312=CF$3,ROW($A$3:$A$14312)),ROW(8:8)),2))</f>
        <v/>
      </c>
      <c r="CG10" t="str">
        <f t="array" ref="CG10">IF(ISERROR(INDEX($A$3:$B$14312,SMALL(IF($A$3:$A$14312=CG$3,ROW($A$3:$A$14312)),ROW(8:8)),2)),"",INDEX($A$3:$B$14312,SMALL(IF($A$3:$A$14312=CG$3,ROW($A$3:$A$14312)),ROW(8:8)),2))</f>
        <v>Router3_12</v>
      </c>
      <c r="CH10" t="str">
        <f t="array" ref="CH10">IF(ISERROR(INDEX($A$3:$B$14312,SMALL(IF($A$3:$A$14312=CH$3,ROW($A$3:$A$14312)),ROW(8:8)),2)),"",INDEX($A$3:$B$14312,SMALL(IF($A$3:$A$14312=CH$3,ROW($A$3:$A$14312)),ROW(8:8)),2))</f>
        <v/>
      </c>
      <c r="CI10" t="str">
        <f t="array" ref="CI10">IF(ISERROR(INDEX($A$3:$B$14312,SMALL(IF($A$3:$A$14312=CI$3,ROW($A$3:$A$14312)),ROW(8:8)),2)),"",INDEX($A$3:$B$14312,SMALL(IF($A$3:$A$14312=CI$3,ROW($A$3:$A$14312)),ROW(8:8)),2))</f>
        <v>Router3_98</v>
      </c>
      <c r="CJ10" t="str">
        <f t="array" ref="CJ10">IF(ISERROR(INDEX($A$3:$B$14312,SMALL(IF($A$3:$A$14312=CJ$3,ROW($A$3:$A$14312)),ROW(8:8)),2)),"",INDEX($A$3:$B$14312,SMALL(IF($A$3:$A$14312=CJ$3,ROW($A$3:$A$14312)),ROW(8:8)),2))</f>
        <v/>
      </c>
      <c r="CK10" t="str">
        <f t="array" ref="CK10">IF(ISERROR(INDEX($A$3:$B$14312,SMALL(IF($A$3:$A$14312=CK$3,ROW($A$3:$A$14312)),ROW(8:8)),2)),"",INDEX($A$3:$B$14312,SMALL(IF($A$3:$A$14312=CK$3,ROW($A$3:$A$14312)),ROW(8:8)),2))</f>
        <v/>
      </c>
      <c r="CL10" t="str">
        <f t="array" ref="CL10">IF(ISERROR(INDEX($A$3:$B$14312,SMALL(IF($A$3:$A$14312=CL$3,ROW($A$3:$A$14312)),ROW(8:8)),2)),"",INDEX($A$3:$B$14312,SMALL(IF($A$3:$A$14312=CL$3,ROW($A$3:$A$14312)),ROW(8:8)),2))</f>
        <v/>
      </c>
      <c r="CM10" t="str">
        <f t="array" ref="CM10">IF(ISERROR(INDEX($A$3:$B$14312,SMALL(IF($A$3:$A$14312=CM$3,ROW($A$3:$A$14312)),ROW(8:8)),2)),"",INDEX($A$3:$B$14312,SMALL(IF($A$3:$A$14312=CM$3,ROW($A$3:$A$14312)),ROW(8:8)),2))</f>
        <v/>
      </c>
      <c r="CN10" t="str">
        <f t="array" ref="CN10">IF(ISERROR(INDEX($A$3:$B$14312,SMALL(IF($A$3:$A$14312=CN$3,ROW($A$3:$A$14312)),ROW(8:8)),2)),"",INDEX($A$3:$B$14312,SMALL(IF($A$3:$A$14312=CN$3,ROW($A$3:$A$14312)),ROW(8:8)),2))</f>
        <v>Router3_12</v>
      </c>
      <c r="CO10" t="str">
        <f t="array" ref="CO10">IF(ISERROR(INDEX($A$3:$B$14312,SMALL(IF($A$3:$A$14312=CO$3,ROW($A$3:$A$14312)),ROW(8:8)),2)),"",INDEX($A$3:$B$14312,SMALL(IF($A$3:$A$14312=CO$3,ROW($A$3:$A$14312)),ROW(8:8)),2))</f>
        <v>Router3_62</v>
      </c>
      <c r="CP10" t="str">
        <f t="array" ref="CP10">IF(ISERROR(INDEX($A$3:$B$14312,SMALL(IF($A$3:$A$14312=CP$3,ROW($A$3:$A$14312)),ROW(8:8)),2)),"",INDEX($A$3:$B$14312,SMALL(IF($A$3:$A$14312=CP$3,ROW($A$3:$A$14312)),ROW(8:8)),2))</f>
        <v>Router3_11</v>
      </c>
      <c r="CQ10" t="str">
        <f t="array" ref="CQ10">IF(ISERROR(INDEX($A$3:$B$14312,SMALL(IF($A$3:$A$14312=CQ$3,ROW($A$3:$A$14312)),ROW(8:8)),2)),"",INDEX($A$3:$B$14312,SMALL(IF($A$3:$A$14312=CQ$3,ROW($A$3:$A$14312)),ROW(8:8)),2))</f>
        <v/>
      </c>
      <c r="CR10" t="str">
        <f t="array" ref="CR10">IF(ISERROR(INDEX($A$3:$B$14312,SMALL(IF($A$3:$A$14312=CR$3,ROW($A$3:$A$14312)),ROW(8:8)),2)),"",INDEX($A$3:$B$14312,SMALL(IF($A$3:$A$14312=CR$3,ROW($A$3:$A$14312)),ROW(8:8)),2))</f>
        <v/>
      </c>
      <c r="CS10" t="str">
        <f t="array" ref="CS10">IF(ISERROR(INDEX($A$3:$B$14312,SMALL(IF($A$3:$A$14312=CS$3,ROW($A$3:$A$14312)),ROW(8:8)),2)),"",INDEX($A$3:$B$14312,SMALL(IF($A$3:$A$14312=CS$3,ROW($A$3:$A$14312)),ROW(8:8)),2))</f>
        <v/>
      </c>
      <c r="CT10" t="str">
        <f t="array" ref="CT10">IF(ISERROR(INDEX($A$3:$B$14312,SMALL(IF($A$3:$A$14312=CT$3,ROW($A$3:$A$14312)),ROW(8:8)),2)),"",INDEX($A$3:$B$14312,SMALL(IF($A$3:$A$14312=CT$3,ROW($A$3:$A$14312)),ROW(8:8)),2))</f>
        <v>Router3_136</v>
      </c>
      <c r="CU10" t="str">
        <f t="array" ref="CU10">IF(ISERROR(INDEX($A$3:$B$14312,SMALL(IF($A$3:$A$14312=CU$3,ROW($A$3:$A$14312)),ROW(8:8)),2)),"",INDEX($A$3:$B$14312,SMALL(IF($A$3:$A$14312=CU$3,ROW($A$3:$A$14312)),ROW(8:8)),2))</f>
        <v/>
      </c>
      <c r="CV10" t="str">
        <f t="array" ref="CV10">IF(ISERROR(INDEX($A$3:$B$14312,SMALL(IF($A$3:$A$14312=CV$3,ROW($A$3:$A$14312)),ROW(8:8)),2)),"",INDEX($A$3:$B$14312,SMALL(IF($A$3:$A$14312=CV$3,ROW($A$3:$A$14312)),ROW(8:8)),2))</f>
        <v>Router3_68</v>
      </c>
      <c r="CW10" t="str">
        <f t="array" ref="CW10">IF(ISERROR(INDEX($A$3:$B$14312,SMALL(IF($A$3:$A$14312=CW$3,ROW($A$3:$A$14312)),ROW(8:8)),2)),"",INDEX($A$3:$B$14312,SMALL(IF($A$3:$A$14312=CW$3,ROW($A$3:$A$14312)),ROW(8:8)),2))</f>
        <v/>
      </c>
      <c r="CX10" t="str">
        <f t="array" ref="CX10">IF(ISERROR(INDEX($A$3:$B$14312,SMALL(IF($A$3:$A$14312=CX$3,ROW($A$3:$A$14312)),ROW(8:8)),2)),"",INDEX($A$3:$B$14312,SMALL(IF($A$3:$A$14312=CX$3,ROW($A$3:$A$14312)),ROW(8:8)),2))</f>
        <v/>
      </c>
      <c r="CY10" t="str">
        <f t="array" ref="CY10">IF(ISERROR(INDEX($A$3:$B$14312,SMALL(IF($A$3:$A$14312=CY$3,ROW($A$3:$A$14312)),ROW(8:8)),2)),"",INDEX($A$3:$B$14312,SMALL(IF($A$3:$A$14312=CY$3,ROW($A$3:$A$14312)),ROW(8:8)),2))</f>
        <v>Router3_66</v>
      </c>
      <c r="CZ10" t="str">
        <f t="array" ref="CZ10">IF(ISERROR(INDEX($A$3:$B$14312,SMALL(IF($A$3:$A$14312=CZ$3,ROW($A$3:$A$14312)),ROW(8:8)),2)),"",INDEX($A$3:$B$14312,SMALL(IF($A$3:$A$14312=CZ$3,ROW($A$3:$A$14312)),ROW(8:8)),2))</f>
        <v>Router3_111</v>
      </c>
      <c r="DA10" t="str">
        <f t="array" ref="DA10">IF(ISERROR(INDEX($A$3:$B$14312,SMALL(IF($A$3:$A$14312=DA$3,ROW($A$3:$A$14312)),ROW(8:8)),2)),"",INDEX($A$3:$B$14312,SMALL(IF($A$3:$A$14312=DA$3,ROW($A$3:$A$14312)),ROW(8:8)),2))</f>
        <v>Router3_139</v>
      </c>
      <c r="DB10" t="str">
        <f t="array" ref="DB10">IF(ISERROR(INDEX($A$3:$B$14312,SMALL(IF($A$3:$A$14312=DB$3,ROW($A$3:$A$14312)),ROW(8:8)),2)),"",INDEX($A$3:$B$14312,SMALL(IF($A$3:$A$14312=DB$3,ROW($A$3:$A$14312)),ROW(8:8)),2))</f>
        <v>Router3_102</v>
      </c>
      <c r="DC10" t="str">
        <f t="array" ref="DC10">IF(ISERROR(INDEX($A$3:$B$14312,SMALL(IF($A$3:$A$14312=DC$3,ROW($A$3:$A$14312)),ROW(8:8)),2)),"",INDEX($A$3:$B$14312,SMALL(IF($A$3:$A$14312=DC$3,ROW($A$3:$A$14312)),ROW(8:8)),2))</f>
        <v>Router3_91</v>
      </c>
      <c r="DD10" t="str">
        <f t="array" ref="DD10">IF(ISERROR(INDEX($A$3:$B$14312,SMALL(IF($A$3:$A$14312=DD$3,ROW($A$3:$A$14312)),ROW(8:8)),2)),"",INDEX($A$3:$B$14312,SMALL(IF($A$3:$A$14312=DD$3,ROW($A$3:$A$14312)),ROW(8:8)),2))</f>
        <v/>
      </c>
      <c r="DE10" t="str">
        <f t="array" ref="DE10">IF(ISERROR(INDEX($A$3:$B$14312,SMALL(IF($A$3:$A$14312=DE$3,ROW($A$3:$A$14312)),ROW(8:8)),2)),"",INDEX($A$3:$B$14312,SMALL(IF($A$3:$A$14312=DE$3,ROW($A$3:$A$14312)),ROW(8:8)),2))</f>
        <v>Router3_99</v>
      </c>
      <c r="DF10" t="str">
        <f t="array" ref="DF10">IF(ISERROR(INDEX($A$3:$B$14312,SMALL(IF($A$3:$A$14312=DF$3,ROW($A$3:$A$14312)),ROW(8:8)),2)),"",INDEX($A$3:$B$14312,SMALL(IF($A$3:$A$14312=DF$3,ROW($A$3:$A$14312)),ROW(8:8)),2))</f>
        <v>Router3_2</v>
      </c>
      <c r="DG10" t="str">
        <f t="array" ref="DG10">IF(ISERROR(INDEX($A$3:$B$14312,SMALL(IF($A$3:$A$14312=DG$3,ROW($A$3:$A$14312)),ROW(8:8)),2)),"",INDEX($A$3:$B$14312,SMALL(IF($A$3:$A$14312=DG$3,ROW($A$3:$A$14312)),ROW(8:8)),2))</f>
        <v>Router3_11</v>
      </c>
      <c r="DH10" t="str">
        <f t="array" ref="DH10">IF(ISERROR(INDEX($A$3:$B$14312,SMALL(IF($A$3:$A$14312=DH$3,ROW($A$3:$A$14312)),ROW(8:8)),2)),"",INDEX($A$3:$B$14312,SMALL(IF($A$3:$A$14312=DH$3,ROW($A$3:$A$14312)),ROW(8:8)),2))</f>
        <v>Router3_133</v>
      </c>
      <c r="DI10" t="str">
        <f t="array" ref="DI10">IF(ISERROR(INDEX($A$3:$B$14312,SMALL(IF($A$3:$A$14312=DI$3,ROW($A$3:$A$14312)),ROW(8:8)),2)),"",INDEX($A$3:$B$14312,SMALL(IF($A$3:$A$14312=DI$3,ROW($A$3:$A$14312)),ROW(8:8)),2))</f>
        <v>Router3_74</v>
      </c>
      <c r="DJ10" t="str">
        <f t="array" ref="DJ10">IF(ISERROR(INDEX($A$3:$B$14312,SMALL(IF($A$3:$A$14312=DJ$3,ROW($A$3:$A$14312)),ROW(8:8)),2)),"",INDEX($A$3:$B$14312,SMALL(IF($A$3:$A$14312=DJ$3,ROW($A$3:$A$14312)),ROW(8:8)),2))</f>
        <v>Router3_44</v>
      </c>
      <c r="DK10" t="str">
        <f t="array" ref="DK10">IF(ISERROR(INDEX($A$3:$B$14312,SMALL(IF($A$3:$A$14312=DK$3,ROW($A$3:$A$14312)),ROW(8:8)),2)),"",INDEX($A$3:$B$14312,SMALL(IF($A$3:$A$14312=DK$3,ROW($A$3:$A$14312)),ROW(8:8)),2))</f>
        <v>Router3_68</v>
      </c>
      <c r="DL10" t="str">
        <f t="array" ref="DL10">IF(ISERROR(INDEX($A$3:$B$14312,SMALL(IF($A$3:$A$14312=DL$3,ROW($A$3:$A$14312)),ROW(8:8)),2)),"",INDEX($A$3:$B$14312,SMALL(IF($A$3:$A$14312=DL$3,ROW($A$3:$A$14312)),ROW(8:8)),2))</f>
        <v>Router3_78</v>
      </c>
      <c r="DM10" t="str">
        <f t="array" ref="DM10">IF(ISERROR(INDEX($A$3:$B$14312,SMALL(IF($A$3:$A$14312=DM$3,ROW($A$3:$A$14312)),ROW(8:8)),2)),"",INDEX($A$3:$B$14312,SMALL(IF($A$3:$A$14312=DM$3,ROW($A$3:$A$14312)),ROW(8:8)),2))</f>
        <v/>
      </c>
      <c r="DN10" t="str">
        <f t="array" ref="DN10">IF(ISERROR(INDEX($A$3:$B$14312,SMALL(IF($A$3:$A$14312=DN$3,ROW($A$3:$A$14312)),ROW(8:8)),2)),"",INDEX($A$3:$B$14312,SMALL(IF($A$3:$A$14312=DN$3,ROW($A$3:$A$14312)),ROW(8:8)),2))</f>
        <v>Router3_54</v>
      </c>
      <c r="DO10" t="str">
        <f t="array" ref="DO10">IF(ISERROR(INDEX($A$3:$B$14312,SMALL(IF($A$3:$A$14312=DO$3,ROW($A$3:$A$14312)),ROW(8:8)),2)),"",INDEX($A$3:$B$14312,SMALL(IF($A$3:$A$14312=DO$3,ROW($A$3:$A$14312)),ROW(8:8)),2))</f>
        <v>Router3_94</v>
      </c>
      <c r="DP10" t="str">
        <f t="array" ref="DP10">IF(ISERROR(INDEX($A$3:$B$14312,SMALL(IF($A$3:$A$14312=DP$3,ROW($A$3:$A$14312)),ROW(8:8)),2)),"",INDEX($A$3:$B$14312,SMALL(IF($A$3:$A$14312=DP$3,ROW($A$3:$A$14312)),ROW(8:8)),2))</f>
        <v/>
      </c>
      <c r="DQ10" t="str">
        <f t="array" ref="DQ10">IF(ISERROR(INDEX($A$3:$B$14312,SMALL(IF($A$3:$A$14312=DQ$3,ROW($A$3:$A$14312)),ROW(8:8)),2)),"",INDEX($A$3:$B$14312,SMALL(IF($A$3:$A$14312=DQ$3,ROW($A$3:$A$14312)),ROW(8:8)),2))</f>
        <v/>
      </c>
      <c r="DR10" t="str">
        <f t="array" ref="DR10">IF(ISERROR(INDEX($A$3:$B$14312,SMALL(IF($A$3:$A$14312=DR$3,ROW($A$3:$A$14312)),ROW(8:8)),2)),"",INDEX($A$3:$B$14312,SMALL(IF($A$3:$A$14312=DR$3,ROW($A$3:$A$14312)),ROW(8:8)),2))</f>
        <v>Router3_10</v>
      </c>
      <c r="DS10" t="str">
        <f t="array" ref="DS10">IF(ISERROR(INDEX($A$3:$B$14312,SMALL(IF($A$3:$A$14312=DS$3,ROW($A$3:$A$14312)),ROW(8:8)),2)),"",INDEX($A$3:$B$14312,SMALL(IF($A$3:$A$14312=DS$3,ROW($A$3:$A$14312)),ROW(8:8)),2))</f>
        <v/>
      </c>
      <c r="DT10" t="str">
        <f t="array" ref="DT10">IF(ISERROR(INDEX($A$3:$B$14312,SMALL(IF($A$3:$A$14312=DT$3,ROW($A$3:$A$14312)),ROW(8:8)),2)),"",INDEX($A$3:$B$14312,SMALL(IF($A$3:$A$14312=DT$3,ROW($A$3:$A$14312)),ROW(8:8)),2))</f>
        <v>Router3_74</v>
      </c>
      <c r="DU10" t="str">
        <f t="array" ref="DU10">IF(ISERROR(INDEX($A$3:$B$14312,SMALL(IF($A$3:$A$14312=DU$3,ROW($A$3:$A$14312)),ROW(8:8)),2)),"",INDEX($A$3:$B$14312,SMALL(IF($A$3:$A$14312=DU$3,ROW($A$3:$A$14312)),ROW(8:8)),2))</f>
        <v>Router3_126</v>
      </c>
      <c r="DV10" t="str">
        <f t="array" ref="DV10">IF(ISERROR(INDEX($A$3:$B$14312,SMALL(IF($A$3:$A$14312=DV$3,ROW($A$3:$A$14312)),ROW(8:8)),2)),"",INDEX($A$3:$B$14312,SMALL(IF($A$3:$A$14312=DV$3,ROW($A$3:$A$14312)),ROW(8:8)),2))</f>
        <v>Router3_98</v>
      </c>
      <c r="DW10" t="str">
        <f t="array" ref="DW10">IF(ISERROR(INDEX($A$3:$B$14312,SMALL(IF($A$3:$A$14312=DW$3,ROW($A$3:$A$14312)),ROW(8:8)),2)),"",INDEX($A$3:$B$14312,SMALL(IF($A$3:$A$14312=DW$3,ROW($A$3:$A$14312)),ROW(8:8)),2))</f>
        <v/>
      </c>
      <c r="DX10" t="str">
        <f t="array" ref="DX10">IF(ISERROR(INDEX($A$3:$B$14312,SMALL(IF($A$3:$A$14312=DX$3,ROW($A$3:$A$14312)),ROW(8:8)),2)),"",INDEX($A$3:$B$14312,SMALL(IF($A$3:$A$14312=DX$3,ROW($A$3:$A$14312)),ROW(8:8)),2))</f>
        <v/>
      </c>
      <c r="DY10" t="str">
        <f t="array" ref="DY10">IF(ISERROR(INDEX($A$3:$B$14312,SMALL(IF($A$3:$A$14312=DY$3,ROW($A$3:$A$14312)),ROW(8:8)),2)),"",INDEX($A$3:$B$14312,SMALL(IF($A$3:$A$14312=DY$3,ROW($A$3:$A$14312)),ROW(8:8)),2))</f>
        <v/>
      </c>
      <c r="DZ10" t="str">
        <f t="array" ref="DZ10">IF(ISERROR(INDEX($A$3:$B$14312,SMALL(IF($A$3:$A$14312=DZ$3,ROW($A$3:$A$14312)),ROW(8:8)),2)),"",INDEX($A$3:$B$14312,SMALL(IF($A$3:$A$14312=DZ$3,ROW($A$3:$A$14312)),ROW(8:8)),2))</f>
        <v/>
      </c>
      <c r="EA10" t="str">
        <f t="array" ref="EA10">IF(ISERROR(INDEX($A$3:$B$14312,SMALL(IF($A$3:$A$14312=EA$3,ROW($A$3:$A$14312)),ROW(8:8)),2)),"",INDEX($A$3:$B$14312,SMALL(IF($A$3:$A$14312=EA$3,ROW($A$3:$A$14312)),ROW(8:8)),2))</f>
        <v>Router3_88</v>
      </c>
      <c r="EB10" t="str">
        <f t="array" ref="EB10">IF(ISERROR(INDEX($A$3:$B$14312,SMALL(IF($A$3:$A$14312=EB$3,ROW($A$3:$A$14312)),ROW(8:8)),2)),"",INDEX($A$3:$B$14312,SMALL(IF($A$3:$A$14312=EB$3,ROW($A$3:$A$14312)),ROW(8:8)),2))</f>
        <v>Router3_125</v>
      </c>
      <c r="EC10" t="str">
        <f t="array" ref="EC10">IF(ISERROR(INDEX($A$3:$B$14312,SMALL(IF($A$3:$A$14312=EC$3,ROW($A$3:$A$14312)),ROW(8:8)),2)),"",INDEX($A$3:$B$14312,SMALL(IF($A$3:$A$14312=EC$3,ROW($A$3:$A$14312)),ROW(8:8)),2))</f>
        <v>Router3_61</v>
      </c>
      <c r="ED10" t="str">
        <f t="array" ref="ED10">IF(ISERROR(INDEX($A$3:$B$14312,SMALL(IF($A$3:$A$14312=ED$3,ROW($A$3:$A$14312)),ROW(8:8)),2)),"",INDEX($A$3:$B$14312,SMALL(IF($A$3:$A$14312=ED$3,ROW($A$3:$A$14312)),ROW(8:8)),2))</f>
        <v>Router3_112</v>
      </c>
      <c r="EE10" t="str">
        <f t="array" ref="EE10">IF(ISERROR(INDEX($A$3:$B$14312,SMALL(IF($A$3:$A$14312=EE$3,ROW($A$3:$A$14312)),ROW(8:8)),2)),"",INDEX($A$3:$B$14312,SMALL(IF($A$3:$A$14312=EE$3,ROW($A$3:$A$14312)),ROW(8:8)),2))</f>
        <v>Router3_148</v>
      </c>
    </row>
    <row r="11" spans="1:135" x14ac:dyDescent="0.25">
      <c r="A11" s="10">
        <v>-485017374</v>
      </c>
      <c r="B11" t="s">
        <v>1223</v>
      </c>
      <c r="E11" t="str">
        <f t="array" ref="E11">IF(ISERROR(INDEX($A$3:$B$14312,SMALL(IF($A$3:$A$14312=E$3,ROW($A$3:$A$14312)),ROW(9:9)),2)),"",INDEX($A$3:$B$14312,SMALL(IF($A$3:$A$14312=E$3,ROW($A$3:$A$14312)),ROW(9:9)),2))</f>
        <v>Router3_13</v>
      </c>
      <c r="F11" t="str">
        <f t="array" ref="F11">IF(ISERROR(INDEX($A$3:$B$14312,SMALL(IF($A$3:$A$14312=F$3,ROW($A$3:$A$14312)),ROW(9:9)),2)),"",INDEX($A$3:$B$14312,SMALL(IF($A$3:$A$14312=F$3,ROW($A$3:$A$14312)),ROW(9:9)),2))</f>
        <v>Router3_41</v>
      </c>
      <c r="G11" t="str">
        <f t="array" ref="G11">IF(ISERROR(INDEX($A$3:$B$14312,SMALL(IF($A$3:$A$14312=G$3,ROW($A$3:$A$14312)),ROW(9:9)),2)),"",INDEX($A$3:$B$14312,SMALL(IF($A$3:$A$14312=G$3,ROW($A$3:$A$14312)),ROW(9:9)),2))</f>
        <v>Router3_92</v>
      </c>
      <c r="H11" t="str">
        <f t="array" ref="H11">IF(ISERROR(INDEX($A$3:$B$14312,SMALL(IF($A$3:$A$14312=H$3,ROW($A$3:$A$14312)),ROW(9:9)),2)),"",INDEX($A$3:$B$14312,SMALL(IF($A$3:$A$14312=H$3,ROW($A$3:$A$14312)),ROW(9:9)),2))</f>
        <v>Router3_100</v>
      </c>
      <c r="I11" t="str">
        <f t="array" ref="I11">IF(ISERROR(INDEX($A$3:$B$14312,SMALL(IF($A$3:$A$14312=I$3,ROW($A$3:$A$14312)),ROW(9:9)),2)),"",INDEX($A$3:$B$14312,SMALL(IF($A$3:$A$14312=I$3,ROW($A$3:$A$14312)),ROW(9:9)),2))</f>
        <v>Router3_71</v>
      </c>
      <c r="J11" t="str">
        <f t="array" ref="J11">IF(ISERROR(INDEX($A$3:$B$14312,SMALL(IF($A$3:$A$14312=J$3,ROW($A$3:$A$14312)),ROW(9:9)),2)),"",INDEX($A$3:$B$14312,SMALL(IF($A$3:$A$14312=J$3,ROW($A$3:$A$14312)),ROW(9:9)),2))</f>
        <v>Router3_140</v>
      </c>
      <c r="K11" t="str">
        <f t="array" ref="K11">IF(ISERROR(INDEX($A$3:$B$14312,SMALL(IF($A$3:$A$14312=K$3,ROW($A$3:$A$14312)),ROW(9:9)),2)),"",INDEX($A$3:$B$14312,SMALL(IF($A$3:$A$14312=K$3,ROW($A$3:$A$14312)),ROW(9:9)),2))</f>
        <v>Router3_119</v>
      </c>
      <c r="L11" t="str">
        <f t="array" ref="L11">IF(ISERROR(INDEX($A$3:$B$14312,SMALL(IF($A$3:$A$14312=L$3,ROW($A$3:$A$14312)),ROW(9:9)),2)),"",INDEX($A$3:$B$14312,SMALL(IF($A$3:$A$14312=L$3,ROW($A$3:$A$14312)),ROW(9:9)),2))</f>
        <v/>
      </c>
      <c r="M11" t="str">
        <f t="array" ref="M11">IF(ISERROR(INDEX($A$3:$B$14312,SMALL(IF($A$3:$A$14312=M$3,ROW($A$3:$A$14312)),ROW(9:9)),2)),"",INDEX($A$3:$B$14312,SMALL(IF($A$3:$A$14312=M$3,ROW($A$3:$A$14312)),ROW(9:9)),2))</f>
        <v>Router3_105</v>
      </c>
      <c r="N11" t="str">
        <f t="array" ref="N11">IF(ISERROR(INDEX($A$3:$B$14312,SMALL(IF($A$3:$A$14312=N$3,ROW($A$3:$A$14312)),ROW(9:9)),2)),"",INDEX($A$3:$B$14312,SMALL(IF($A$3:$A$14312=N$3,ROW($A$3:$A$14312)),ROW(9:9)),2))</f>
        <v/>
      </c>
      <c r="O11" t="str">
        <f t="array" ref="O11">IF(ISERROR(INDEX($A$3:$B$14312,SMALL(IF($A$3:$A$14312=O$3,ROW($A$3:$A$14312)),ROW(9:9)),2)),"",INDEX($A$3:$B$14312,SMALL(IF($A$3:$A$14312=O$3,ROW($A$3:$A$14312)),ROW(9:9)),2))</f>
        <v>Router3_18</v>
      </c>
      <c r="P11" t="str">
        <f t="array" ref="P11">IF(ISERROR(INDEX($A$3:$B$14312,SMALL(IF($A$3:$A$14312=P$3,ROW($A$3:$A$14312)),ROW(9:9)),2)),"",INDEX($A$3:$B$14312,SMALL(IF($A$3:$A$14312=P$3,ROW($A$3:$A$14312)),ROW(9:9)),2))</f>
        <v>Router3_100</v>
      </c>
      <c r="Q11" t="str">
        <f t="array" ref="Q11">IF(ISERROR(INDEX($A$3:$B$14312,SMALL(IF($A$3:$A$14312=Q$3,ROW($A$3:$A$14312)),ROW(9:9)),2)),"",INDEX($A$3:$B$14312,SMALL(IF($A$3:$A$14312=Q$3,ROW($A$3:$A$14312)),ROW(9:9)),2))</f>
        <v/>
      </c>
      <c r="R11" t="str">
        <f t="array" ref="R11">IF(ISERROR(INDEX($A$3:$B$14312,SMALL(IF($A$3:$A$14312=R$3,ROW($A$3:$A$14312)),ROW(9:9)),2)),"",INDEX($A$3:$B$14312,SMALL(IF($A$3:$A$14312=R$3,ROW($A$3:$A$14312)),ROW(9:9)),2))</f>
        <v/>
      </c>
      <c r="S11" t="str">
        <f t="array" ref="S11">IF(ISERROR(INDEX($A$3:$B$14312,SMALL(IF($A$3:$A$14312=S$3,ROW($A$3:$A$14312)),ROW(9:9)),2)),"",INDEX($A$3:$B$14312,SMALL(IF($A$3:$A$14312=S$3,ROW($A$3:$A$14312)),ROW(9:9)),2))</f>
        <v/>
      </c>
      <c r="T11" t="str">
        <f t="array" ref="T11">IF(ISERROR(INDEX($A$3:$B$14312,SMALL(IF($A$3:$A$14312=T$3,ROW($A$3:$A$14312)),ROW(9:9)),2)),"",INDEX($A$3:$B$14312,SMALL(IF($A$3:$A$14312=T$3,ROW($A$3:$A$14312)),ROW(9:9)),2))</f>
        <v/>
      </c>
      <c r="U11" t="str">
        <f t="array" ref="U11">IF(ISERROR(INDEX($A$3:$B$14312,SMALL(IF($A$3:$A$14312=U$3,ROW($A$3:$A$14312)),ROW(9:9)),2)),"",INDEX($A$3:$B$14312,SMALL(IF($A$3:$A$14312=U$3,ROW($A$3:$A$14312)),ROW(9:9)),2))</f>
        <v>Router3_114</v>
      </c>
      <c r="V11" t="str">
        <f t="array" ref="V11">IF(ISERROR(INDEX($A$3:$B$14312,SMALL(IF($A$3:$A$14312=V$3,ROW($A$3:$A$14312)),ROW(9:9)),2)),"",INDEX($A$3:$B$14312,SMALL(IF($A$3:$A$14312=V$3,ROW($A$3:$A$14312)),ROW(9:9)),2))</f>
        <v/>
      </c>
      <c r="W11" t="str">
        <f t="array" ref="W11">IF(ISERROR(INDEX($A$3:$B$14312,SMALL(IF($A$3:$A$14312=W$3,ROW($A$3:$A$14312)),ROW(9:9)),2)),"",INDEX($A$3:$B$14312,SMALL(IF($A$3:$A$14312=W$3,ROW($A$3:$A$14312)),ROW(9:9)),2))</f>
        <v>Router3_61</v>
      </c>
      <c r="X11" t="str">
        <f t="array" ref="X11">IF(ISERROR(INDEX($A$3:$B$14312,SMALL(IF($A$3:$A$14312=X$3,ROW($A$3:$A$14312)),ROW(9:9)),2)),"",INDEX($A$3:$B$14312,SMALL(IF($A$3:$A$14312=X$3,ROW($A$3:$A$14312)),ROW(9:9)),2))</f>
        <v/>
      </c>
      <c r="Y11" t="str">
        <f t="array" ref="Y11">IF(ISERROR(INDEX($A$3:$B$14312,SMALL(IF($A$3:$A$14312=Y$3,ROW($A$3:$A$14312)),ROW(9:9)),2)),"",INDEX($A$3:$B$14312,SMALL(IF($A$3:$A$14312=Y$3,ROW($A$3:$A$14312)),ROW(9:9)),2))</f>
        <v/>
      </c>
      <c r="Z11" t="str">
        <f t="array" ref="Z11">IF(ISERROR(INDEX($A$3:$B$14312,SMALL(IF($A$3:$A$14312=Z$3,ROW($A$3:$A$14312)),ROW(9:9)),2)),"",INDEX($A$3:$B$14312,SMALL(IF($A$3:$A$14312=Z$3,ROW($A$3:$A$14312)),ROW(9:9)),2))</f>
        <v/>
      </c>
      <c r="AA11" t="str">
        <f t="array" ref="AA11">IF(ISERROR(INDEX($A$3:$B$14312,SMALL(IF($A$3:$A$14312=AA$3,ROW($A$3:$A$14312)),ROW(9:9)),2)),"",INDEX($A$3:$B$14312,SMALL(IF($A$3:$A$14312=AA$3,ROW($A$3:$A$14312)),ROW(9:9)),2))</f>
        <v/>
      </c>
      <c r="AB11" t="str">
        <f t="array" ref="AB11">IF(ISERROR(INDEX($A$3:$B$14312,SMALL(IF($A$3:$A$14312=AB$3,ROW($A$3:$A$14312)),ROW(9:9)),2)),"",INDEX($A$3:$B$14312,SMALL(IF($A$3:$A$14312=AB$3,ROW($A$3:$A$14312)),ROW(9:9)),2))</f>
        <v/>
      </c>
      <c r="AC11" t="str">
        <f t="array" ref="AC11">IF(ISERROR(INDEX($A$3:$B$14312,SMALL(IF($A$3:$A$14312=AC$3,ROW($A$3:$A$14312)),ROW(9:9)),2)),"",INDEX($A$3:$B$14312,SMALL(IF($A$3:$A$14312=AC$3,ROW($A$3:$A$14312)),ROW(9:9)),2))</f>
        <v/>
      </c>
      <c r="AD11" t="str">
        <f t="array" ref="AD11">IF(ISERROR(INDEX($A$3:$B$14312,SMALL(IF($A$3:$A$14312=AD$3,ROW($A$3:$A$14312)),ROW(9:9)),2)),"",INDEX($A$3:$B$14312,SMALL(IF($A$3:$A$14312=AD$3,ROW($A$3:$A$14312)),ROW(9:9)),2))</f>
        <v/>
      </c>
      <c r="AE11" t="str">
        <f t="array" ref="AE11">IF(ISERROR(INDEX($A$3:$B$14312,SMALL(IF($A$3:$A$14312=AE$3,ROW($A$3:$A$14312)),ROW(9:9)),2)),"",INDEX($A$3:$B$14312,SMALL(IF($A$3:$A$14312=AE$3,ROW($A$3:$A$14312)),ROW(9:9)),2))</f>
        <v/>
      </c>
      <c r="AF11" t="str">
        <f t="array" ref="AF11">IF(ISERROR(INDEX($A$3:$B$14312,SMALL(IF($A$3:$A$14312=AF$3,ROW($A$3:$A$14312)),ROW(9:9)),2)),"",INDEX($A$3:$B$14312,SMALL(IF($A$3:$A$14312=AF$3,ROW($A$3:$A$14312)),ROW(9:9)),2))</f>
        <v>Router3_92</v>
      </c>
      <c r="AG11" t="str">
        <f t="array" ref="AG11">IF(ISERROR(INDEX($A$3:$B$14312,SMALL(IF($A$3:$A$14312=AG$3,ROW($A$3:$A$14312)),ROW(9:9)),2)),"",INDEX($A$3:$B$14312,SMALL(IF($A$3:$A$14312=AG$3,ROW($A$3:$A$14312)),ROW(9:9)),2))</f>
        <v>Router3_13</v>
      </c>
      <c r="AH11" t="str">
        <f t="array" ref="AH11">IF(ISERROR(INDEX($A$3:$B$14312,SMALL(IF($A$3:$A$14312=AH$3,ROW($A$3:$A$14312)),ROW(9:9)),2)),"",INDEX($A$3:$B$14312,SMALL(IF($A$3:$A$14312=AH$3,ROW($A$3:$A$14312)),ROW(9:9)),2))</f>
        <v>Router3_17</v>
      </c>
      <c r="AI11" t="str">
        <f t="array" ref="AI11">IF(ISERROR(INDEX($A$3:$B$14312,SMALL(IF($A$3:$A$14312=AI$3,ROW($A$3:$A$14312)),ROW(9:9)),2)),"",INDEX($A$3:$B$14312,SMALL(IF($A$3:$A$14312=AI$3,ROW($A$3:$A$14312)),ROW(9:9)),2))</f>
        <v>Router3_65</v>
      </c>
      <c r="AJ11" t="str">
        <f t="array" ref="AJ11">IF(ISERROR(INDEX($A$3:$B$14312,SMALL(IF($A$3:$A$14312=AJ$3,ROW($A$3:$A$14312)),ROW(9:9)),2)),"",INDEX($A$3:$B$14312,SMALL(IF($A$3:$A$14312=AJ$3,ROW($A$3:$A$14312)),ROW(9:9)),2))</f>
        <v>Router3_39</v>
      </c>
      <c r="AK11" t="str">
        <f t="array" ref="AK11">IF(ISERROR(INDEX($A$3:$B$14312,SMALL(IF($A$3:$A$14312=AK$3,ROW($A$3:$A$14312)),ROW(9:9)),2)),"",INDEX($A$3:$B$14312,SMALL(IF($A$3:$A$14312=AK$3,ROW($A$3:$A$14312)),ROW(9:9)),2))</f>
        <v>Router3_50</v>
      </c>
      <c r="AL11" t="str">
        <f t="array" ref="AL11">IF(ISERROR(INDEX($A$3:$B$14312,SMALL(IF($A$3:$A$14312=AL$3,ROW($A$3:$A$14312)),ROW(9:9)),2)),"",INDEX($A$3:$B$14312,SMALL(IF($A$3:$A$14312=AL$3,ROW($A$3:$A$14312)),ROW(9:9)),2))</f>
        <v>Router3_88</v>
      </c>
      <c r="AM11" t="str">
        <f t="array" ref="AM11">IF(ISERROR(INDEX($A$3:$B$14312,SMALL(IF($A$3:$A$14312=AM$3,ROW($A$3:$A$14312)),ROW(9:9)),2)),"",INDEX($A$3:$B$14312,SMALL(IF($A$3:$A$14312=AM$3,ROW($A$3:$A$14312)),ROW(9:9)),2))</f>
        <v>Router3_68</v>
      </c>
      <c r="AN11" t="str">
        <f t="array" ref="AN11">IF(ISERROR(INDEX($A$3:$B$14312,SMALL(IF($A$3:$A$14312=AN$3,ROW($A$3:$A$14312)),ROW(9:9)),2)),"",INDEX($A$3:$B$14312,SMALL(IF($A$3:$A$14312=AN$3,ROW($A$3:$A$14312)),ROW(9:9)),2))</f>
        <v>Router3_55</v>
      </c>
      <c r="AO11" t="str">
        <f t="array" ref="AO11">IF(ISERROR(INDEX($A$3:$B$14312,SMALL(IF($A$3:$A$14312=AO$3,ROW($A$3:$A$14312)),ROW(9:9)),2)),"",INDEX($A$3:$B$14312,SMALL(IF($A$3:$A$14312=AO$3,ROW($A$3:$A$14312)),ROW(9:9)),2))</f>
        <v>Router3_107</v>
      </c>
      <c r="AP11" t="str">
        <f t="array" ref="AP11">IF(ISERROR(INDEX($A$3:$B$14312,SMALL(IF($A$3:$A$14312=AP$3,ROW($A$3:$A$14312)),ROW(9:9)),2)),"",INDEX($A$3:$B$14312,SMALL(IF($A$3:$A$14312=AP$3,ROW($A$3:$A$14312)),ROW(9:9)),2))</f>
        <v>Router3_12</v>
      </c>
      <c r="AQ11" t="str">
        <f t="array" ref="AQ11">IF(ISERROR(INDEX($A$3:$B$14312,SMALL(IF($A$3:$A$14312=AQ$3,ROW($A$3:$A$14312)),ROW(9:9)),2)),"",INDEX($A$3:$B$14312,SMALL(IF($A$3:$A$14312=AQ$3,ROW($A$3:$A$14312)),ROW(9:9)),2))</f>
        <v/>
      </c>
      <c r="AR11" t="str">
        <f t="array" ref="AR11">IF(ISERROR(INDEX($A$3:$B$14312,SMALL(IF($A$3:$A$14312=AR$3,ROW($A$3:$A$14312)),ROW(9:9)),2)),"",INDEX($A$3:$B$14312,SMALL(IF($A$3:$A$14312=AR$3,ROW($A$3:$A$14312)),ROW(9:9)),2))</f>
        <v/>
      </c>
      <c r="AS11" t="str">
        <f t="array" ref="AS11">IF(ISERROR(INDEX($A$3:$B$14312,SMALL(IF($A$3:$A$14312=AS$3,ROW($A$3:$A$14312)),ROW(9:9)),2)),"",INDEX($A$3:$B$14312,SMALL(IF($A$3:$A$14312=AS$3,ROW($A$3:$A$14312)),ROW(9:9)),2))</f>
        <v>Router3_49</v>
      </c>
      <c r="AT11" t="str">
        <f t="array" ref="AT11">IF(ISERROR(INDEX($A$3:$B$14312,SMALL(IF($A$3:$A$14312=AT$3,ROW($A$3:$A$14312)),ROW(9:9)),2)),"",INDEX($A$3:$B$14312,SMALL(IF($A$3:$A$14312=AT$3,ROW($A$3:$A$14312)),ROW(9:9)),2))</f>
        <v/>
      </c>
      <c r="AU11" t="str">
        <f t="array" ref="AU11">IF(ISERROR(INDEX($A$3:$B$14312,SMALL(IF($A$3:$A$14312=AU$3,ROW($A$3:$A$14312)),ROW(9:9)),2)),"",INDEX($A$3:$B$14312,SMALL(IF($A$3:$A$14312=AU$3,ROW($A$3:$A$14312)),ROW(9:9)),2))</f>
        <v>Router3_12</v>
      </c>
      <c r="AV11" t="str">
        <f t="array" ref="AV11">IF(ISERROR(INDEX($A$3:$B$14312,SMALL(IF($A$3:$A$14312=AV$3,ROW($A$3:$A$14312)),ROW(9:9)),2)),"",INDEX($A$3:$B$14312,SMALL(IF($A$3:$A$14312=AV$3,ROW($A$3:$A$14312)),ROW(9:9)),2))</f>
        <v/>
      </c>
      <c r="AW11" t="str">
        <f t="array" ref="AW11">IF(ISERROR(INDEX($A$3:$B$14312,SMALL(IF($A$3:$A$14312=AW$3,ROW($A$3:$A$14312)),ROW(9:9)),2)),"",INDEX($A$3:$B$14312,SMALL(IF($A$3:$A$14312=AW$3,ROW($A$3:$A$14312)),ROW(9:9)),2))</f>
        <v/>
      </c>
      <c r="AX11" t="str">
        <f t="array" ref="AX11">IF(ISERROR(INDEX($A$3:$B$14312,SMALL(IF($A$3:$A$14312=AX$3,ROW($A$3:$A$14312)),ROW(9:9)),2)),"",INDEX($A$3:$B$14312,SMALL(IF($A$3:$A$14312=AX$3,ROW($A$3:$A$14312)),ROW(9:9)),2))</f>
        <v>Router3_141</v>
      </c>
      <c r="AY11" t="str">
        <f t="array" ref="AY11">IF(ISERROR(INDEX($A$3:$B$14312,SMALL(IF($A$3:$A$14312=AY$3,ROW($A$3:$A$14312)),ROW(9:9)),2)),"",INDEX($A$3:$B$14312,SMALL(IF($A$3:$A$14312=AY$3,ROW($A$3:$A$14312)),ROW(9:9)),2))</f>
        <v>Router3_68</v>
      </c>
      <c r="AZ11" t="str">
        <f t="array" ref="AZ11">IF(ISERROR(INDEX($A$3:$B$14312,SMALL(IF($A$3:$A$14312=AZ$3,ROW($A$3:$A$14312)),ROW(9:9)),2)),"",INDEX($A$3:$B$14312,SMALL(IF($A$3:$A$14312=AZ$3,ROW($A$3:$A$14312)),ROW(9:9)),2))</f>
        <v/>
      </c>
      <c r="BA11" t="str">
        <f t="array" ref="BA11">IF(ISERROR(INDEX($A$3:$B$14312,SMALL(IF($A$3:$A$14312=BA$3,ROW($A$3:$A$14312)),ROW(9:9)),2)),"",INDEX($A$3:$B$14312,SMALL(IF($A$3:$A$14312=BA$3,ROW($A$3:$A$14312)),ROW(9:9)),2))</f>
        <v/>
      </c>
      <c r="BB11" t="str">
        <f t="array" ref="BB11">IF(ISERROR(INDEX($A$3:$B$14312,SMALL(IF($A$3:$A$14312=BB$3,ROW($A$3:$A$14312)),ROW(9:9)),2)),"",INDEX($A$3:$B$14312,SMALL(IF($A$3:$A$14312=BB$3,ROW($A$3:$A$14312)),ROW(9:9)),2))</f>
        <v/>
      </c>
      <c r="BC11" t="str">
        <f t="array" ref="BC11">IF(ISERROR(INDEX($A$3:$B$14312,SMALL(IF($A$3:$A$14312=BC$3,ROW($A$3:$A$14312)),ROW(9:9)),2)),"",INDEX($A$3:$B$14312,SMALL(IF($A$3:$A$14312=BC$3,ROW($A$3:$A$14312)),ROW(9:9)),2))</f>
        <v/>
      </c>
      <c r="BD11" t="str">
        <f t="array" ref="BD11">IF(ISERROR(INDEX($A$3:$B$14312,SMALL(IF($A$3:$A$14312=BD$3,ROW($A$3:$A$14312)),ROW(9:9)),2)),"",INDEX($A$3:$B$14312,SMALL(IF($A$3:$A$14312=BD$3,ROW($A$3:$A$14312)),ROW(9:9)),2))</f>
        <v/>
      </c>
      <c r="BE11" t="str">
        <f t="array" ref="BE11">IF(ISERROR(INDEX($A$3:$B$14312,SMALL(IF($A$3:$A$14312=BE$3,ROW($A$3:$A$14312)),ROW(9:9)),2)),"",INDEX($A$3:$B$14312,SMALL(IF($A$3:$A$14312=BE$3,ROW($A$3:$A$14312)),ROW(9:9)),2))</f>
        <v>Router3_100</v>
      </c>
      <c r="BF11" t="str">
        <f t="array" ref="BF11">IF(ISERROR(INDEX($A$3:$B$14312,SMALL(IF($A$3:$A$14312=BF$3,ROW($A$3:$A$14312)),ROW(9:9)),2)),"",INDEX($A$3:$B$14312,SMALL(IF($A$3:$A$14312=BF$3,ROW($A$3:$A$14312)),ROW(9:9)),2))</f>
        <v/>
      </c>
      <c r="BG11" t="str">
        <f t="array" ref="BG11">IF(ISERROR(INDEX($A$3:$B$14312,SMALL(IF($A$3:$A$14312=BG$3,ROW($A$3:$A$14312)),ROW(9:9)),2)),"",INDEX($A$3:$B$14312,SMALL(IF($A$3:$A$14312=BG$3,ROW($A$3:$A$14312)),ROW(9:9)),2))</f>
        <v>Router3_2</v>
      </c>
      <c r="BH11" t="str">
        <f t="array" ref="BH11">IF(ISERROR(INDEX($A$3:$B$14312,SMALL(IF($A$3:$A$14312=BH$3,ROW($A$3:$A$14312)),ROW(9:9)),2)),"",INDEX($A$3:$B$14312,SMALL(IF($A$3:$A$14312=BH$3,ROW($A$3:$A$14312)),ROW(9:9)),2))</f>
        <v/>
      </c>
      <c r="BI11" t="str">
        <f t="array" ref="BI11">IF(ISERROR(INDEX($A$3:$B$14312,SMALL(IF($A$3:$A$14312=BI$3,ROW($A$3:$A$14312)),ROW(9:9)),2)),"",INDEX($A$3:$B$14312,SMALL(IF($A$3:$A$14312=BI$3,ROW($A$3:$A$14312)),ROW(9:9)),2))</f>
        <v>Router3_98</v>
      </c>
      <c r="BJ11" t="str">
        <f t="array" ref="BJ11">IF(ISERROR(INDEX($A$3:$B$14312,SMALL(IF($A$3:$A$14312=BJ$3,ROW($A$3:$A$14312)),ROW(9:9)),2)),"",INDEX($A$3:$B$14312,SMALL(IF($A$3:$A$14312=BJ$3,ROW($A$3:$A$14312)),ROW(9:9)),2))</f>
        <v/>
      </c>
      <c r="BK11" t="str">
        <f t="array" ref="BK11">IF(ISERROR(INDEX($A$3:$B$14312,SMALL(IF($A$3:$A$14312=BK$3,ROW($A$3:$A$14312)),ROW(9:9)),2)),"",INDEX($A$3:$B$14312,SMALL(IF($A$3:$A$14312=BK$3,ROW($A$3:$A$14312)),ROW(9:9)),2))</f>
        <v/>
      </c>
      <c r="BL11" t="str">
        <f t="array" ref="BL11">IF(ISERROR(INDEX($A$3:$B$14312,SMALL(IF($A$3:$A$14312=BL$3,ROW($A$3:$A$14312)),ROW(9:9)),2)),"",INDEX($A$3:$B$14312,SMALL(IF($A$3:$A$14312=BL$3,ROW($A$3:$A$14312)),ROW(9:9)),2))</f>
        <v/>
      </c>
      <c r="BM11" t="str">
        <f t="array" ref="BM11">IF(ISERROR(INDEX($A$3:$B$14312,SMALL(IF($A$3:$A$14312=BM$3,ROW($A$3:$A$14312)),ROW(9:9)),2)),"",INDEX($A$3:$B$14312,SMALL(IF($A$3:$A$14312=BM$3,ROW($A$3:$A$14312)),ROW(9:9)),2))</f>
        <v>Router3_21</v>
      </c>
      <c r="BN11" t="str">
        <f t="array" ref="BN11">IF(ISERROR(INDEX($A$3:$B$14312,SMALL(IF($A$3:$A$14312=BN$3,ROW($A$3:$A$14312)),ROW(9:9)),2)),"",INDEX($A$3:$B$14312,SMALL(IF($A$3:$A$14312=BN$3,ROW($A$3:$A$14312)),ROW(9:9)),2))</f>
        <v/>
      </c>
      <c r="BO11" t="str">
        <f t="array" ref="BO11">IF(ISERROR(INDEX($A$3:$B$14312,SMALL(IF($A$3:$A$14312=BO$3,ROW($A$3:$A$14312)),ROW(9:9)),2)),"",INDEX($A$3:$B$14312,SMALL(IF($A$3:$A$14312=BO$3,ROW($A$3:$A$14312)),ROW(9:9)),2))</f>
        <v/>
      </c>
      <c r="BP11" t="str">
        <f t="array" ref="BP11">IF(ISERROR(INDEX($A$3:$B$14312,SMALL(IF($A$3:$A$14312=BP$3,ROW($A$3:$A$14312)),ROW(9:9)),2)),"",INDEX($A$3:$B$14312,SMALL(IF($A$3:$A$14312=BP$3,ROW($A$3:$A$14312)),ROW(9:9)),2))</f>
        <v/>
      </c>
      <c r="BQ11" t="str">
        <f t="array" ref="BQ11">IF(ISERROR(INDEX($A$3:$B$14312,SMALL(IF($A$3:$A$14312=BQ$3,ROW($A$3:$A$14312)),ROW(9:9)),2)),"",INDEX($A$3:$B$14312,SMALL(IF($A$3:$A$14312=BQ$3,ROW($A$3:$A$14312)),ROW(9:9)),2))</f>
        <v/>
      </c>
      <c r="BR11" t="str">
        <f t="array" ref="BR11">IF(ISERROR(INDEX($A$3:$B$14312,SMALL(IF($A$3:$A$14312=BR$3,ROW($A$3:$A$14312)),ROW(9:9)),2)),"",INDEX($A$3:$B$14312,SMALL(IF($A$3:$A$14312=BR$3,ROW($A$3:$A$14312)),ROW(9:9)),2))</f>
        <v/>
      </c>
      <c r="BS11" t="str">
        <f t="array" ref="BS11">IF(ISERROR(INDEX($A$3:$B$14312,SMALL(IF($A$3:$A$14312=BS$3,ROW($A$3:$A$14312)),ROW(9:9)),2)),"",INDEX($A$3:$B$14312,SMALL(IF($A$3:$A$14312=BS$3,ROW($A$3:$A$14312)),ROW(9:9)),2))</f>
        <v/>
      </c>
      <c r="BT11" t="str">
        <f t="array" ref="BT11">IF(ISERROR(INDEX($A$3:$B$14312,SMALL(IF($A$3:$A$14312=BT$3,ROW($A$3:$A$14312)),ROW(9:9)),2)),"",INDEX($A$3:$B$14312,SMALL(IF($A$3:$A$14312=BT$3,ROW($A$3:$A$14312)),ROW(9:9)),2))</f>
        <v>Router3_61</v>
      </c>
      <c r="BU11" t="str">
        <f t="array" ref="BU11">IF(ISERROR(INDEX($A$3:$B$14312,SMALL(IF($A$3:$A$14312=BU$3,ROW($A$3:$A$14312)),ROW(9:9)),2)),"",INDEX($A$3:$B$14312,SMALL(IF($A$3:$A$14312=BU$3,ROW($A$3:$A$14312)),ROW(9:9)),2))</f>
        <v/>
      </c>
      <c r="BV11" t="str">
        <f t="array" ref="BV11">IF(ISERROR(INDEX($A$3:$B$14312,SMALL(IF($A$3:$A$14312=BV$3,ROW($A$3:$A$14312)),ROW(9:9)),2)),"",INDEX($A$3:$B$14312,SMALL(IF($A$3:$A$14312=BV$3,ROW($A$3:$A$14312)),ROW(9:9)),2))</f>
        <v/>
      </c>
      <c r="BW11" t="str">
        <f t="array" ref="BW11">IF(ISERROR(INDEX($A$3:$B$14312,SMALL(IF($A$3:$A$14312=BW$3,ROW($A$3:$A$14312)),ROW(9:9)),2)),"",INDEX($A$3:$B$14312,SMALL(IF($A$3:$A$14312=BW$3,ROW($A$3:$A$14312)),ROW(9:9)),2))</f>
        <v>Router3_147</v>
      </c>
      <c r="BX11" t="str">
        <f t="array" ref="BX11">IF(ISERROR(INDEX($A$3:$B$14312,SMALL(IF($A$3:$A$14312=BX$3,ROW($A$3:$A$14312)),ROW(9:9)),2)),"",INDEX($A$3:$B$14312,SMALL(IF($A$3:$A$14312=BX$3,ROW($A$3:$A$14312)),ROW(9:9)),2))</f>
        <v>Router3_41</v>
      </c>
      <c r="BY11" t="str">
        <f t="array" ref="BY11">IF(ISERROR(INDEX($A$3:$B$14312,SMALL(IF($A$3:$A$14312=BY$3,ROW($A$3:$A$14312)),ROW(9:9)),2)),"",INDEX($A$3:$B$14312,SMALL(IF($A$3:$A$14312=BY$3,ROW($A$3:$A$14312)),ROW(9:9)),2))</f>
        <v>Router3_49</v>
      </c>
      <c r="BZ11" t="str">
        <f t="array" ref="BZ11">IF(ISERROR(INDEX($A$3:$B$14312,SMALL(IF($A$3:$A$14312=BZ$3,ROW($A$3:$A$14312)),ROW(9:9)),2)),"",INDEX($A$3:$B$14312,SMALL(IF($A$3:$A$14312=BZ$3,ROW($A$3:$A$14312)),ROW(9:9)),2))</f>
        <v>Router3_49</v>
      </c>
      <c r="CA11" t="str">
        <f t="array" ref="CA11">IF(ISERROR(INDEX($A$3:$B$14312,SMALL(IF($A$3:$A$14312=CA$3,ROW($A$3:$A$14312)),ROW(9:9)),2)),"",INDEX($A$3:$B$14312,SMALL(IF($A$3:$A$14312=CA$3,ROW($A$3:$A$14312)),ROW(9:9)),2))</f>
        <v/>
      </c>
      <c r="CB11" t="str">
        <f t="array" ref="CB11">IF(ISERROR(INDEX($A$3:$B$14312,SMALL(IF($A$3:$A$14312=CB$3,ROW($A$3:$A$14312)),ROW(9:9)),2)),"",INDEX($A$3:$B$14312,SMALL(IF($A$3:$A$14312=CB$3,ROW($A$3:$A$14312)),ROW(9:9)),2))</f>
        <v>Router3_93</v>
      </c>
      <c r="CC11" t="str">
        <f t="array" ref="CC11">IF(ISERROR(INDEX($A$3:$B$14312,SMALL(IF($A$3:$A$14312=CC$3,ROW($A$3:$A$14312)),ROW(9:9)),2)),"",INDEX($A$3:$B$14312,SMALL(IF($A$3:$A$14312=CC$3,ROW($A$3:$A$14312)),ROW(9:9)),2))</f>
        <v/>
      </c>
      <c r="CD11" t="str">
        <f t="array" ref="CD11">IF(ISERROR(INDEX($A$3:$B$14312,SMALL(IF($A$3:$A$14312=CD$3,ROW($A$3:$A$14312)),ROW(9:9)),2)),"",INDEX($A$3:$B$14312,SMALL(IF($A$3:$A$14312=CD$3,ROW($A$3:$A$14312)),ROW(9:9)),2))</f>
        <v>Router3_100</v>
      </c>
      <c r="CE11" t="str">
        <f t="array" ref="CE11">IF(ISERROR(INDEX($A$3:$B$14312,SMALL(IF($A$3:$A$14312=CE$3,ROW($A$3:$A$14312)),ROW(9:9)),2)),"",INDEX($A$3:$B$14312,SMALL(IF($A$3:$A$14312=CE$3,ROW($A$3:$A$14312)),ROW(9:9)),2))</f>
        <v>Router3_100</v>
      </c>
      <c r="CF11" t="str">
        <f t="array" ref="CF11">IF(ISERROR(INDEX($A$3:$B$14312,SMALL(IF($A$3:$A$14312=CF$3,ROW($A$3:$A$14312)),ROW(9:9)),2)),"",INDEX($A$3:$B$14312,SMALL(IF($A$3:$A$14312=CF$3,ROW($A$3:$A$14312)),ROW(9:9)),2))</f>
        <v/>
      </c>
      <c r="CG11" t="str">
        <f t="array" ref="CG11">IF(ISERROR(INDEX($A$3:$B$14312,SMALL(IF($A$3:$A$14312=CG$3,ROW($A$3:$A$14312)),ROW(9:9)),2)),"",INDEX($A$3:$B$14312,SMALL(IF($A$3:$A$14312=CG$3,ROW($A$3:$A$14312)),ROW(9:9)),2))</f>
        <v>Router3_13</v>
      </c>
      <c r="CH11" t="str">
        <f t="array" ref="CH11">IF(ISERROR(INDEX($A$3:$B$14312,SMALL(IF($A$3:$A$14312=CH$3,ROW($A$3:$A$14312)),ROW(9:9)),2)),"",INDEX($A$3:$B$14312,SMALL(IF($A$3:$A$14312=CH$3,ROW($A$3:$A$14312)),ROW(9:9)),2))</f>
        <v/>
      </c>
      <c r="CI11" t="str">
        <f t="array" ref="CI11">IF(ISERROR(INDEX($A$3:$B$14312,SMALL(IF($A$3:$A$14312=CI$3,ROW($A$3:$A$14312)),ROW(9:9)),2)),"",INDEX($A$3:$B$14312,SMALL(IF($A$3:$A$14312=CI$3,ROW($A$3:$A$14312)),ROW(9:9)),2))</f>
        <v>Router3_99</v>
      </c>
      <c r="CJ11" t="str">
        <f t="array" ref="CJ11">IF(ISERROR(INDEX($A$3:$B$14312,SMALL(IF($A$3:$A$14312=CJ$3,ROW($A$3:$A$14312)),ROW(9:9)),2)),"",INDEX($A$3:$B$14312,SMALL(IF($A$3:$A$14312=CJ$3,ROW($A$3:$A$14312)),ROW(9:9)),2))</f>
        <v/>
      </c>
      <c r="CK11" t="str">
        <f t="array" ref="CK11">IF(ISERROR(INDEX($A$3:$B$14312,SMALL(IF($A$3:$A$14312=CK$3,ROW($A$3:$A$14312)),ROW(9:9)),2)),"",INDEX($A$3:$B$14312,SMALL(IF($A$3:$A$14312=CK$3,ROW($A$3:$A$14312)),ROW(9:9)),2))</f>
        <v/>
      </c>
      <c r="CL11" t="str">
        <f t="array" ref="CL11">IF(ISERROR(INDEX($A$3:$B$14312,SMALL(IF($A$3:$A$14312=CL$3,ROW($A$3:$A$14312)),ROW(9:9)),2)),"",INDEX($A$3:$B$14312,SMALL(IF($A$3:$A$14312=CL$3,ROW($A$3:$A$14312)),ROW(9:9)),2))</f>
        <v/>
      </c>
      <c r="CM11" t="str">
        <f t="array" ref="CM11">IF(ISERROR(INDEX($A$3:$B$14312,SMALL(IF($A$3:$A$14312=CM$3,ROW($A$3:$A$14312)),ROW(9:9)),2)),"",INDEX($A$3:$B$14312,SMALL(IF($A$3:$A$14312=CM$3,ROW($A$3:$A$14312)),ROW(9:9)),2))</f>
        <v/>
      </c>
      <c r="CN11" t="str">
        <f t="array" ref="CN11">IF(ISERROR(INDEX($A$3:$B$14312,SMALL(IF($A$3:$A$14312=CN$3,ROW($A$3:$A$14312)),ROW(9:9)),2)),"",INDEX($A$3:$B$14312,SMALL(IF($A$3:$A$14312=CN$3,ROW($A$3:$A$14312)),ROW(9:9)),2))</f>
        <v>Router3_13</v>
      </c>
      <c r="CO11" t="str">
        <f t="array" ref="CO11">IF(ISERROR(INDEX($A$3:$B$14312,SMALL(IF($A$3:$A$14312=CO$3,ROW($A$3:$A$14312)),ROW(9:9)),2)),"",INDEX($A$3:$B$14312,SMALL(IF($A$3:$A$14312=CO$3,ROW($A$3:$A$14312)),ROW(9:9)),2))</f>
        <v>Router3_71</v>
      </c>
      <c r="CP11" t="str">
        <f t="array" ref="CP11">IF(ISERROR(INDEX($A$3:$B$14312,SMALL(IF($A$3:$A$14312=CP$3,ROW($A$3:$A$14312)),ROW(9:9)),2)),"",INDEX($A$3:$B$14312,SMALL(IF($A$3:$A$14312=CP$3,ROW($A$3:$A$14312)),ROW(9:9)),2))</f>
        <v>Router3_12</v>
      </c>
      <c r="CQ11" t="str">
        <f t="array" ref="CQ11">IF(ISERROR(INDEX($A$3:$B$14312,SMALL(IF($A$3:$A$14312=CQ$3,ROW($A$3:$A$14312)),ROW(9:9)),2)),"",INDEX($A$3:$B$14312,SMALL(IF($A$3:$A$14312=CQ$3,ROW($A$3:$A$14312)),ROW(9:9)),2))</f>
        <v/>
      </c>
      <c r="CR11" t="str">
        <f t="array" ref="CR11">IF(ISERROR(INDEX($A$3:$B$14312,SMALL(IF($A$3:$A$14312=CR$3,ROW($A$3:$A$14312)),ROW(9:9)),2)),"",INDEX($A$3:$B$14312,SMALL(IF($A$3:$A$14312=CR$3,ROW($A$3:$A$14312)),ROW(9:9)),2))</f>
        <v/>
      </c>
      <c r="CS11" t="str">
        <f t="array" ref="CS11">IF(ISERROR(INDEX($A$3:$B$14312,SMALL(IF($A$3:$A$14312=CS$3,ROW($A$3:$A$14312)),ROW(9:9)),2)),"",INDEX($A$3:$B$14312,SMALL(IF($A$3:$A$14312=CS$3,ROW($A$3:$A$14312)),ROW(9:9)),2))</f>
        <v/>
      </c>
      <c r="CT11" t="str">
        <f t="array" ref="CT11">IF(ISERROR(INDEX($A$3:$B$14312,SMALL(IF($A$3:$A$14312=CT$3,ROW($A$3:$A$14312)),ROW(9:9)),2)),"",INDEX($A$3:$B$14312,SMALL(IF($A$3:$A$14312=CT$3,ROW($A$3:$A$14312)),ROW(9:9)),2))</f>
        <v>Router3_43</v>
      </c>
      <c r="CU11" t="str">
        <f t="array" ref="CU11">IF(ISERROR(INDEX($A$3:$B$14312,SMALL(IF($A$3:$A$14312=CU$3,ROW($A$3:$A$14312)),ROW(9:9)),2)),"",INDEX($A$3:$B$14312,SMALL(IF($A$3:$A$14312=CU$3,ROW($A$3:$A$14312)),ROW(9:9)),2))</f>
        <v/>
      </c>
      <c r="CV11" t="str">
        <f t="array" ref="CV11">IF(ISERROR(INDEX($A$3:$B$14312,SMALL(IF($A$3:$A$14312=CV$3,ROW($A$3:$A$14312)),ROW(9:9)),2)),"",INDEX($A$3:$B$14312,SMALL(IF($A$3:$A$14312=CV$3,ROW($A$3:$A$14312)),ROW(9:9)),2))</f>
        <v>Router3_69</v>
      </c>
      <c r="CW11" t="str">
        <f t="array" ref="CW11">IF(ISERROR(INDEX($A$3:$B$14312,SMALL(IF($A$3:$A$14312=CW$3,ROW($A$3:$A$14312)),ROW(9:9)),2)),"",INDEX($A$3:$B$14312,SMALL(IF($A$3:$A$14312=CW$3,ROW($A$3:$A$14312)),ROW(9:9)),2))</f>
        <v/>
      </c>
      <c r="CX11" t="str">
        <f t="array" ref="CX11">IF(ISERROR(INDEX($A$3:$B$14312,SMALL(IF($A$3:$A$14312=CX$3,ROW($A$3:$A$14312)),ROW(9:9)),2)),"",INDEX($A$3:$B$14312,SMALL(IF($A$3:$A$14312=CX$3,ROW($A$3:$A$14312)),ROW(9:9)),2))</f>
        <v/>
      </c>
      <c r="CY11" t="str">
        <f t="array" ref="CY11">IF(ISERROR(INDEX($A$3:$B$14312,SMALL(IF($A$3:$A$14312=CY$3,ROW($A$3:$A$14312)),ROW(9:9)),2)),"",INDEX($A$3:$B$14312,SMALL(IF($A$3:$A$14312=CY$3,ROW($A$3:$A$14312)),ROW(9:9)),2))</f>
        <v>Router3_67</v>
      </c>
      <c r="CZ11" t="str">
        <f t="array" ref="CZ11">IF(ISERROR(INDEX($A$3:$B$14312,SMALL(IF($A$3:$A$14312=CZ$3,ROW($A$3:$A$14312)),ROW(9:9)),2)),"",INDEX($A$3:$B$14312,SMALL(IF($A$3:$A$14312=CZ$3,ROW($A$3:$A$14312)),ROW(9:9)),2))</f>
        <v>Router3_119</v>
      </c>
      <c r="DA11" t="str">
        <f t="array" ref="DA11">IF(ISERROR(INDEX($A$3:$B$14312,SMALL(IF($A$3:$A$14312=DA$3,ROW($A$3:$A$14312)),ROW(9:9)),2)),"",INDEX($A$3:$B$14312,SMALL(IF($A$3:$A$14312=DA$3,ROW($A$3:$A$14312)),ROW(9:9)),2))</f>
        <v>Router3_140</v>
      </c>
      <c r="DB11" t="str">
        <f t="array" ref="DB11">IF(ISERROR(INDEX($A$3:$B$14312,SMALL(IF($A$3:$A$14312=DB$3,ROW($A$3:$A$14312)),ROW(9:9)),2)),"",INDEX($A$3:$B$14312,SMALL(IF($A$3:$A$14312=DB$3,ROW($A$3:$A$14312)),ROW(9:9)),2))</f>
        <v>Router3_105</v>
      </c>
      <c r="DC11" t="str">
        <f t="array" ref="DC11">IF(ISERROR(INDEX($A$3:$B$14312,SMALL(IF($A$3:$A$14312=DC$3,ROW($A$3:$A$14312)),ROW(9:9)),2)),"",INDEX($A$3:$B$14312,SMALL(IF($A$3:$A$14312=DC$3,ROW($A$3:$A$14312)),ROW(9:9)),2))</f>
        <v>Router3_92</v>
      </c>
      <c r="DD11" t="str">
        <f t="array" ref="DD11">IF(ISERROR(INDEX($A$3:$B$14312,SMALL(IF($A$3:$A$14312=DD$3,ROW($A$3:$A$14312)),ROW(9:9)),2)),"",INDEX($A$3:$B$14312,SMALL(IF($A$3:$A$14312=DD$3,ROW($A$3:$A$14312)),ROW(9:9)),2))</f>
        <v/>
      </c>
      <c r="DE11" t="str">
        <f t="array" ref="DE11">IF(ISERROR(INDEX($A$3:$B$14312,SMALL(IF($A$3:$A$14312=DE$3,ROW($A$3:$A$14312)),ROW(9:9)),2)),"",INDEX($A$3:$B$14312,SMALL(IF($A$3:$A$14312=DE$3,ROW($A$3:$A$14312)),ROW(9:9)),2))</f>
        <v>Router3_100</v>
      </c>
      <c r="DF11" t="str">
        <f t="array" ref="DF11">IF(ISERROR(INDEX($A$3:$B$14312,SMALL(IF($A$3:$A$14312=DF$3,ROW($A$3:$A$14312)),ROW(9:9)),2)),"",INDEX($A$3:$B$14312,SMALL(IF($A$3:$A$14312=DF$3,ROW($A$3:$A$14312)),ROW(9:9)),2))</f>
        <v>Router3_3</v>
      </c>
      <c r="DG11" t="str">
        <f t="array" ref="DG11">IF(ISERROR(INDEX($A$3:$B$14312,SMALL(IF($A$3:$A$14312=DG$3,ROW($A$3:$A$14312)),ROW(9:9)),2)),"",INDEX($A$3:$B$14312,SMALL(IF($A$3:$A$14312=DG$3,ROW($A$3:$A$14312)),ROW(9:9)),2))</f>
        <v>Router3_12</v>
      </c>
      <c r="DH11" t="str">
        <f t="array" ref="DH11">IF(ISERROR(INDEX($A$3:$B$14312,SMALL(IF($A$3:$A$14312=DH$3,ROW($A$3:$A$14312)),ROW(9:9)),2)),"",INDEX($A$3:$B$14312,SMALL(IF($A$3:$A$14312=DH$3,ROW($A$3:$A$14312)),ROW(9:9)),2))</f>
        <v>Router3_136</v>
      </c>
      <c r="DI11" t="str">
        <f t="array" ref="DI11">IF(ISERROR(INDEX($A$3:$B$14312,SMALL(IF($A$3:$A$14312=DI$3,ROW($A$3:$A$14312)),ROW(9:9)),2)),"",INDEX($A$3:$B$14312,SMALL(IF($A$3:$A$14312=DI$3,ROW($A$3:$A$14312)),ROW(9:9)),2))</f>
        <v>Router3_75</v>
      </c>
      <c r="DJ11" t="str">
        <f t="array" ref="DJ11">IF(ISERROR(INDEX($A$3:$B$14312,SMALL(IF($A$3:$A$14312=DJ$3,ROW($A$3:$A$14312)),ROW(9:9)),2)),"",INDEX($A$3:$B$14312,SMALL(IF($A$3:$A$14312=DJ$3,ROW($A$3:$A$14312)),ROW(9:9)),2))</f>
        <v>Router3_45</v>
      </c>
      <c r="DK11" t="str">
        <f t="array" ref="DK11">IF(ISERROR(INDEX($A$3:$B$14312,SMALL(IF($A$3:$A$14312=DK$3,ROW($A$3:$A$14312)),ROW(9:9)),2)),"",INDEX($A$3:$B$14312,SMALL(IF($A$3:$A$14312=DK$3,ROW($A$3:$A$14312)),ROW(9:9)),2))</f>
        <v>Router3_69</v>
      </c>
      <c r="DL11" t="str">
        <f t="array" ref="DL11">IF(ISERROR(INDEX($A$3:$B$14312,SMALL(IF($A$3:$A$14312=DL$3,ROW($A$3:$A$14312)),ROW(9:9)),2)),"",INDEX($A$3:$B$14312,SMALL(IF($A$3:$A$14312=DL$3,ROW($A$3:$A$14312)),ROW(9:9)),2))</f>
        <v>Router3_97</v>
      </c>
      <c r="DM11" t="str">
        <f t="array" ref="DM11">IF(ISERROR(INDEX($A$3:$B$14312,SMALL(IF($A$3:$A$14312=DM$3,ROW($A$3:$A$14312)),ROW(9:9)),2)),"",INDEX($A$3:$B$14312,SMALL(IF($A$3:$A$14312=DM$3,ROW($A$3:$A$14312)),ROW(9:9)),2))</f>
        <v/>
      </c>
      <c r="DN11" t="str">
        <f t="array" ref="DN11">IF(ISERROR(INDEX($A$3:$B$14312,SMALL(IF($A$3:$A$14312=DN$3,ROW($A$3:$A$14312)),ROW(9:9)),2)),"",INDEX($A$3:$B$14312,SMALL(IF($A$3:$A$14312=DN$3,ROW($A$3:$A$14312)),ROW(9:9)),2))</f>
        <v>Router3_55</v>
      </c>
      <c r="DO11" t="str">
        <f t="array" ref="DO11">IF(ISERROR(INDEX($A$3:$B$14312,SMALL(IF($A$3:$A$14312=DO$3,ROW($A$3:$A$14312)),ROW(9:9)),2)),"",INDEX($A$3:$B$14312,SMALL(IF($A$3:$A$14312=DO$3,ROW($A$3:$A$14312)),ROW(9:9)),2))</f>
        <v>Router3_104</v>
      </c>
      <c r="DP11" t="str">
        <f t="array" ref="DP11">IF(ISERROR(INDEX($A$3:$B$14312,SMALL(IF($A$3:$A$14312=DP$3,ROW($A$3:$A$14312)),ROW(9:9)),2)),"",INDEX($A$3:$B$14312,SMALL(IF($A$3:$A$14312=DP$3,ROW($A$3:$A$14312)),ROW(9:9)),2))</f>
        <v/>
      </c>
      <c r="DQ11" t="str">
        <f t="array" ref="DQ11">IF(ISERROR(INDEX($A$3:$B$14312,SMALL(IF($A$3:$A$14312=DQ$3,ROW($A$3:$A$14312)),ROW(9:9)),2)),"",INDEX($A$3:$B$14312,SMALL(IF($A$3:$A$14312=DQ$3,ROW($A$3:$A$14312)),ROW(9:9)),2))</f>
        <v/>
      </c>
      <c r="DR11" t="str">
        <f t="array" ref="DR11">IF(ISERROR(INDEX($A$3:$B$14312,SMALL(IF($A$3:$A$14312=DR$3,ROW($A$3:$A$14312)),ROW(9:9)),2)),"",INDEX($A$3:$B$14312,SMALL(IF($A$3:$A$14312=DR$3,ROW($A$3:$A$14312)),ROW(9:9)),2))</f>
        <v>Router3_11</v>
      </c>
      <c r="DS11" t="str">
        <f t="array" ref="DS11">IF(ISERROR(INDEX($A$3:$B$14312,SMALL(IF($A$3:$A$14312=DS$3,ROW($A$3:$A$14312)),ROW(9:9)),2)),"",INDEX($A$3:$B$14312,SMALL(IF($A$3:$A$14312=DS$3,ROW($A$3:$A$14312)),ROW(9:9)),2))</f>
        <v/>
      </c>
      <c r="DT11" t="str">
        <f t="array" ref="DT11">IF(ISERROR(INDEX($A$3:$B$14312,SMALL(IF($A$3:$A$14312=DT$3,ROW($A$3:$A$14312)),ROW(9:9)),2)),"",INDEX($A$3:$B$14312,SMALL(IF($A$3:$A$14312=DT$3,ROW($A$3:$A$14312)),ROW(9:9)),2))</f>
        <v>Router3_75</v>
      </c>
      <c r="DU11" t="str">
        <f t="array" ref="DU11">IF(ISERROR(INDEX($A$3:$B$14312,SMALL(IF($A$3:$A$14312=DU$3,ROW($A$3:$A$14312)),ROW(9:9)),2)),"",INDEX($A$3:$B$14312,SMALL(IF($A$3:$A$14312=DU$3,ROW($A$3:$A$14312)),ROW(9:9)),2))</f>
        <v>Router3_127</v>
      </c>
      <c r="DV11" t="str">
        <f t="array" ref="DV11">IF(ISERROR(INDEX($A$3:$B$14312,SMALL(IF($A$3:$A$14312=DV$3,ROW($A$3:$A$14312)),ROW(9:9)),2)),"",INDEX($A$3:$B$14312,SMALL(IF($A$3:$A$14312=DV$3,ROW($A$3:$A$14312)),ROW(9:9)),2))</f>
        <v>Router3_99</v>
      </c>
      <c r="DW11" t="str">
        <f t="array" ref="DW11">IF(ISERROR(INDEX($A$3:$B$14312,SMALL(IF($A$3:$A$14312=DW$3,ROW($A$3:$A$14312)),ROW(9:9)),2)),"",INDEX($A$3:$B$14312,SMALL(IF($A$3:$A$14312=DW$3,ROW($A$3:$A$14312)),ROW(9:9)),2))</f>
        <v/>
      </c>
      <c r="DX11" t="str">
        <f t="array" ref="DX11">IF(ISERROR(INDEX($A$3:$B$14312,SMALL(IF($A$3:$A$14312=DX$3,ROW($A$3:$A$14312)),ROW(9:9)),2)),"",INDEX($A$3:$B$14312,SMALL(IF($A$3:$A$14312=DX$3,ROW($A$3:$A$14312)),ROW(9:9)),2))</f>
        <v/>
      </c>
      <c r="DY11" t="str">
        <f t="array" ref="DY11">IF(ISERROR(INDEX($A$3:$B$14312,SMALL(IF($A$3:$A$14312=DY$3,ROW($A$3:$A$14312)),ROW(9:9)),2)),"",INDEX($A$3:$B$14312,SMALL(IF($A$3:$A$14312=DY$3,ROW($A$3:$A$14312)),ROW(9:9)),2))</f>
        <v/>
      </c>
      <c r="DZ11" t="str">
        <f t="array" ref="DZ11">IF(ISERROR(INDEX($A$3:$B$14312,SMALL(IF($A$3:$A$14312=DZ$3,ROW($A$3:$A$14312)),ROW(9:9)),2)),"",INDEX($A$3:$B$14312,SMALL(IF($A$3:$A$14312=DZ$3,ROW($A$3:$A$14312)),ROW(9:9)),2))</f>
        <v/>
      </c>
      <c r="EA11" t="str">
        <f t="array" ref="EA11">IF(ISERROR(INDEX($A$3:$B$14312,SMALL(IF($A$3:$A$14312=EA$3,ROW($A$3:$A$14312)),ROW(9:9)),2)),"",INDEX($A$3:$B$14312,SMALL(IF($A$3:$A$14312=EA$3,ROW($A$3:$A$14312)),ROW(9:9)),2))</f>
        <v>Router3_93</v>
      </c>
      <c r="EB11" t="str">
        <f t="array" ref="EB11">IF(ISERROR(INDEX($A$3:$B$14312,SMALL(IF($A$3:$A$14312=EB$3,ROW($A$3:$A$14312)),ROW(9:9)),2)),"",INDEX($A$3:$B$14312,SMALL(IF($A$3:$A$14312=EB$3,ROW($A$3:$A$14312)),ROW(9:9)),2))</f>
        <v>Router3_126</v>
      </c>
      <c r="EC11" t="str">
        <f t="array" ref="EC11">IF(ISERROR(INDEX($A$3:$B$14312,SMALL(IF($A$3:$A$14312=EC$3,ROW($A$3:$A$14312)),ROW(9:9)),2)),"",INDEX($A$3:$B$14312,SMALL(IF($A$3:$A$14312=EC$3,ROW($A$3:$A$14312)),ROW(9:9)),2))</f>
        <v>Router3_61</v>
      </c>
      <c r="ED11" t="str">
        <f t="array" ref="ED11">IF(ISERROR(INDEX($A$3:$B$14312,SMALL(IF($A$3:$A$14312=ED$3,ROW($A$3:$A$14312)),ROW(9:9)),2)),"",INDEX($A$3:$B$14312,SMALL(IF($A$3:$A$14312=ED$3,ROW($A$3:$A$14312)),ROW(9:9)),2))</f>
        <v>Router3_113</v>
      </c>
      <c r="EE11" t="str">
        <f t="array" ref="EE11">IF(ISERROR(INDEX($A$3:$B$14312,SMALL(IF($A$3:$A$14312=EE$3,ROW($A$3:$A$14312)),ROW(9:9)),2)),"",INDEX($A$3:$B$14312,SMALL(IF($A$3:$A$14312=EE$3,ROW($A$3:$A$14312)),ROW(9:9)),2))</f>
        <v>Router3_149</v>
      </c>
    </row>
    <row r="12" spans="1:135" x14ac:dyDescent="0.25">
      <c r="A12" s="10">
        <v>-485017363</v>
      </c>
      <c r="B12" t="s">
        <v>1209</v>
      </c>
      <c r="E12" t="str">
        <f t="array" ref="E12">IF(ISERROR(INDEX($A$3:$B$14312,SMALL(IF($A$3:$A$14312=E$3,ROW($A$3:$A$14312)),ROW(10:10)),2)),"",INDEX($A$3:$B$14312,SMALL(IF($A$3:$A$14312=E$3,ROW($A$3:$A$14312)),ROW(10:10)),2))</f>
        <v>Router3_14</v>
      </c>
      <c r="F12" t="str">
        <f t="array" ref="F12">IF(ISERROR(INDEX($A$3:$B$14312,SMALL(IF($A$3:$A$14312=F$3,ROW($A$3:$A$14312)),ROW(10:10)),2)),"",INDEX($A$3:$B$14312,SMALL(IF($A$3:$A$14312=F$3,ROW($A$3:$A$14312)),ROW(10:10)),2))</f>
        <v>Router3_42</v>
      </c>
      <c r="G12" t="str">
        <f t="array" ref="G12">IF(ISERROR(INDEX($A$3:$B$14312,SMALL(IF($A$3:$A$14312=G$3,ROW($A$3:$A$14312)),ROW(10:10)),2)),"",INDEX($A$3:$B$14312,SMALL(IF($A$3:$A$14312=G$3,ROW($A$3:$A$14312)),ROW(10:10)),2))</f>
        <v>Router3_112</v>
      </c>
      <c r="H12" t="str">
        <f t="array" ref="H12">IF(ISERROR(INDEX($A$3:$B$14312,SMALL(IF($A$3:$A$14312=H$3,ROW($A$3:$A$14312)),ROW(10:10)),2)),"",INDEX($A$3:$B$14312,SMALL(IF($A$3:$A$14312=H$3,ROW($A$3:$A$14312)),ROW(10:10)),2))</f>
        <v>Router3_106</v>
      </c>
      <c r="I12" t="str">
        <f t="array" ref="I12">IF(ISERROR(INDEX($A$3:$B$14312,SMALL(IF($A$3:$A$14312=I$3,ROW($A$3:$A$14312)),ROW(10:10)),2)),"",INDEX($A$3:$B$14312,SMALL(IF($A$3:$A$14312=I$3,ROW($A$3:$A$14312)),ROW(10:10)),2))</f>
        <v/>
      </c>
      <c r="J12" t="str">
        <f t="array" ref="J12">IF(ISERROR(INDEX($A$3:$B$14312,SMALL(IF($A$3:$A$14312=J$3,ROW($A$3:$A$14312)),ROW(10:10)),2)),"",INDEX($A$3:$B$14312,SMALL(IF($A$3:$A$14312=J$3,ROW($A$3:$A$14312)),ROW(10:10)),2))</f>
        <v>Router3_141</v>
      </c>
      <c r="K12" t="str">
        <f t="array" ref="K12">IF(ISERROR(INDEX($A$3:$B$14312,SMALL(IF($A$3:$A$14312=K$3,ROW($A$3:$A$14312)),ROW(10:10)),2)),"",INDEX($A$3:$B$14312,SMALL(IF($A$3:$A$14312=K$3,ROW($A$3:$A$14312)),ROW(10:10)),2))</f>
        <v>Router3_120</v>
      </c>
      <c r="L12" t="str">
        <f t="array" ref="L12">IF(ISERROR(INDEX($A$3:$B$14312,SMALL(IF($A$3:$A$14312=L$3,ROW($A$3:$A$14312)),ROW(10:10)),2)),"",INDEX($A$3:$B$14312,SMALL(IF($A$3:$A$14312=L$3,ROW($A$3:$A$14312)),ROW(10:10)),2))</f>
        <v/>
      </c>
      <c r="M12" t="str">
        <f t="array" ref="M12">IF(ISERROR(INDEX($A$3:$B$14312,SMALL(IF($A$3:$A$14312=M$3,ROW($A$3:$A$14312)),ROW(10:10)),2)),"",INDEX($A$3:$B$14312,SMALL(IF($A$3:$A$14312=M$3,ROW($A$3:$A$14312)),ROW(10:10)),2))</f>
        <v>Router3_106</v>
      </c>
      <c r="N12" t="str">
        <f t="array" ref="N12">IF(ISERROR(INDEX($A$3:$B$14312,SMALL(IF($A$3:$A$14312=N$3,ROW($A$3:$A$14312)),ROW(10:10)),2)),"",INDEX($A$3:$B$14312,SMALL(IF($A$3:$A$14312=N$3,ROW($A$3:$A$14312)),ROW(10:10)),2))</f>
        <v/>
      </c>
      <c r="O12" t="str">
        <f t="array" ref="O12">IF(ISERROR(INDEX($A$3:$B$14312,SMALL(IF($A$3:$A$14312=O$3,ROW($A$3:$A$14312)),ROW(10:10)),2)),"",INDEX($A$3:$B$14312,SMALL(IF($A$3:$A$14312=O$3,ROW($A$3:$A$14312)),ROW(10:10)),2))</f>
        <v>Router3_23</v>
      </c>
      <c r="P12" t="str">
        <f t="array" ref="P12">IF(ISERROR(INDEX($A$3:$B$14312,SMALL(IF($A$3:$A$14312=P$3,ROW($A$3:$A$14312)),ROW(10:10)),2)),"",INDEX($A$3:$B$14312,SMALL(IF($A$3:$A$14312=P$3,ROW($A$3:$A$14312)),ROW(10:10)),2))</f>
        <v>Router3_106</v>
      </c>
      <c r="Q12" t="str">
        <f t="array" ref="Q12">IF(ISERROR(INDEX($A$3:$B$14312,SMALL(IF($A$3:$A$14312=Q$3,ROW($A$3:$A$14312)),ROW(10:10)),2)),"",INDEX($A$3:$B$14312,SMALL(IF($A$3:$A$14312=Q$3,ROW($A$3:$A$14312)),ROW(10:10)),2))</f>
        <v/>
      </c>
      <c r="R12" t="str">
        <f t="array" ref="R12">IF(ISERROR(INDEX($A$3:$B$14312,SMALL(IF($A$3:$A$14312=R$3,ROW($A$3:$A$14312)),ROW(10:10)),2)),"",INDEX($A$3:$B$14312,SMALL(IF($A$3:$A$14312=R$3,ROW($A$3:$A$14312)),ROW(10:10)),2))</f>
        <v/>
      </c>
      <c r="S12" t="str">
        <f t="array" ref="S12">IF(ISERROR(INDEX($A$3:$B$14312,SMALL(IF($A$3:$A$14312=S$3,ROW($A$3:$A$14312)),ROW(10:10)),2)),"",INDEX($A$3:$B$14312,SMALL(IF($A$3:$A$14312=S$3,ROW($A$3:$A$14312)),ROW(10:10)),2))</f>
        <v/>
      </c>
      <c r="T12" t="str">
        <f t="array" ref="T12">IF(ISERROR(INDEX($A$3:$B$14312,SMALL(IF($A$3:$A$14312=T$3,ROW($A$3:$A$14312)),ROW(10:10)),2)),"",INDEX($A$3:$B$14312,SMALL(IF($A$3:$A$14312=T$3,ROW($A$3:$A$14312)),ROW(10:10)),2))</f>
        <v/>
      </c>
      <c r="U12" t="str">
        <f t="array" ref="U12">IF(ISERROR(INDEX($A$3:$B$14312,SMALL(IF($A$3:$A$14312=U$3,ROW($A$3:$A$14312)),ROW(10:10)),2)),"",INDEX($A$3:$B$14312,SMALL(IF($A$3:$A$14312=U$3,ROW($A$3:$A$14312)),ROW(10:10)),2))</f>
        <v>Router3_115</v>
      </c>
      <c r="V12" t="str">
        <f t="array" ref="V12">IF(ISERROR(INDEX($A$3:$B$14312,SMALL(IF($A$3:$A$14312=V$3,ROW($A$3:$A$14312)),ROW(10:10)),2)),"",INDEX($A$3:$B$14312,SMALL(IF($A$3:$A$14312=V$3,ROW($A$3:$A$14312)),ROW(10:10)),2))</f>
        <v/>
      </c>
      <c r="W12" t="str">
        <f t="array" ref="W12">IF(ISERROR(INDEX($A$3:$B$14312,SMALL(IF($A$3:$A$14312=W$3,ROW($A$3:$A$14312)),ROW(10:10)),2)),"",INDEX($A$3:$B$14312,SMALL(IF($A$3:$A$14312=W$3,ROW($A$3:$A$14312)),ROW(10:10)),2))</f>
        <v>Router3_62</v>
      </c>
      <c r="X12" t="str">
        <f t="array" ref="X12">IF(ISERROR(INDEX($A$3:$B$14312,SMALL(IF($A$3:$A$14312=X$3,ROW($A$3:$A$14312)),ROW(10:10)),2)),"",INDEX($A$3:$B$14312,SMALL(IF($A$3:$A$14312=X$3,ROW($A$3:$A$14312)),ROW(10:10)),2))</f>
        <v/>
      </c>
      <c r="Y12" t="str">
        <f t="array" ref="Y12">IF(ISERROR(INDEX($A$3:$B$14312,SMALL(IF($A$3:$A$14312=Y$3,ROW($A$3:$A$14312)),ROW(10:10)),2)),"",INDEX($A$3:$B$14312,SMALL(IF($A$3:$A$14312=Y$3,ROW($A$3:$A$14312)),ROW(10:10)),2))</f>
        <v/>
      </c>
      <c r="Z12" t="str">
        <f t="array" ref="Z12">IF(ISERROR(INDEX($A$3:$B$14312,SMALL(IF($A$3:$A$14312=Z$3,ROW($A$3:$A$14312)),ROW(10:10)),2)),"",INDEX($A$3:$B$14312,SMALL(IF($A$3:$A$14312=Z$3,ROW($A$3:$A$14312)),ROW(10:10)),2))</f>
        <v/>
      </c>
      <c r="AA12" t="str">
        <f t="array" ref="AA12">IF(ISERROR(INDEX($A$3:$B$14312,SMALL(IF($A$3:$A$14312=AA$3,ROW($A$3:$A$14312)),ROW(10:10)),2)),"",INDEX($A$3:$B$14312,SMALL(IF($A$3:$A$14312=AA$3,ROW($A$3:$A$14312)),ROW(10:10)),2))</f>
        <v/>
      </c>
      <c r="AB12" t="str">
        <f t="array" ref="AB12">IF(ISERROR(INDEX($A$3:$B$14312,SMALL(IF($A$3:$A$14312=AB$3,ROW($A$3:$A$14312)),ROW(10:10)),2)),"",INDEX($A$3:$B$14312,SMALL(IF($A$3:$A$14312=AB$3,ROW($A$3:$A$14312)),ROW(10:10)),2))</f>
        <v/>
      </c>
      <c r="AC12" t="str">
        <f t="array" ref="AC12">IF(ISERROR(INDEX($A$3:$B$14312,SMALL(IF($A$3:$A$14312=AC$3,ROW($A$3:$A$14312)),ROW(10:10)),2)),"",INDEX($A$3:$B$14312,SMALL(IF($A$3:$A$14312=AC$3,ROW($A$3:$A$14312)),ROW(10:10)),2))</f>
        <v/>
      </c>
      <c r="AD12" t="str">
        <f t="array" ref="AD12">IF(ISERROR(INDEX($A$3:$B$14312,SMALL(IF($A$3:$A$14312=AD$3,ROW($A$3:$A$14312)),ROW(10:10)),2)),"",INDEX($A$3:$B$14312,SMALL(IF($A$3:$A$14312=AD$3,ROW($A$3:$A$14312)),ROW(10:10)),2))</f>
        <v/>
      </c>
      <c r="AE12" t="str">
        <f t="array" ref="AE12">IF(ISERROR(INDEX($A$3:$B$14312,SMALL(IF($A$3:$A$14312=AE$3,ROW($A$3:$A$14312)),ROW(10:10)),2)),"",INDEX($A$3:$B$14312,SMALL(IF($A$3:$A$14312=AE$3,ROW($A$3:$A$14312)),ROW(10:10)),2))</f>
        <v/>
      </c>
      <c r="AF12" t="str">
        <f t="array" ref="AF12">IF(ISERROR(INDEX($A$3:$B$14312,SMALL(IF($A$3:$A$14312=AF$3,ROW($A$3:$A$14312)),ROW(10:10)),2)),"",INDEX($A$3:$B$14312,SMALL(IF($A$3:$A$14312=AF$3,ROW($A$3:$A$14312)),ROW(10:10)),2))</f>
        <v>Router3_93</v>
      </c>
      <c r="AG12" t="str">
        <f t="array" ref="AG12">IF(ISERROR(INDEX($A$3:$B$14312,SMALL(IF($A$3:$A$14312=AG$3,ROW($A$3:$A$14312)),ROW(10:10)),2)),"",INDEX($A$3:$B$14312,SMALL(IF($A$3:$A$14312=AG$3,ROW($A$3:$A$14312)),ROW(10:10)),2))</f>
        <v>Router3_14</v>
      </c>
      <c r="AH12" t="str">
        <f t="array" ref="AH12">IF(ISERROR(INDEX($A$3:$B$14312,SMALL(IF($A$3:$A$14312=AH$3,ROW($A$3:$A$14312)),ROW(10:10)),2)),"",INDEX($A$3:$B$14312,SMALL(IF($A$3:$A$14312=AH$3,ROW($A$3:$A$14312)),ROW(10:10)),2))</f>
        <v>Router3_18</v>
      </c>
      <c r="AI12" t="str">
        <f t="array" ref="AI12">IF(ISERROR(INDEX($A$3:$B$14312,SMALL(IF($A$3:$A$14312=AI$3,ROW($A$3:$A$14312)),ROW(10:10)),2)),"",INDEX($A$3:$B$14312,SMALL(IF($A$3:$A$14312=AI$3,ROW($A$3:$A$14312)),ROW(10:10)),2))</f>
        <v>Router3_82</v>
      </c>
      <c r="AJ12" t="str">
        <f t="array" ref="AJ12">IF(ISERROR(INDEX($A$3:$B$14312,SMALL(IF($A$3:$A$14312=AJ$3,ROW($A$3:$A$14312)),ROW(10:10)),2)),"",INDEX($A$3:$B$14312,SMALL(IF($A$3:$A$14312=AJ$3,ROW($A$3:$A$14312)),ROW(10:10)),2))</f>
        <v/>
      </c>
      <c r="AK12" t="str">
        <f t="array" ref="AK12">IF(ISERROR(INDEX($A$3:$B$14312,SMALL(IF($A$3:$A$14312=AK$3,ROW($A$3:$A$14312)),ROW(10:10)),2)),"",INDEX($A$3:$B$14312,SMALL(IF($A$3:$A$14312=AK$3,ROW($A$3:$A$14312)),ROW(10:10)),2))</f>
        <v>Router3_51</v>
      </c>
      <c r="AL12" t="str">
        <f t="array" ref="AL12">IF(ISERROR(INDEX($A$3:$B$14312,SMALL(IF($A$3:$A$14312=AL$3,ROW($A$3:$A$14312)),ROW(10:10)),2)),"",INDEX($A$3:$B$14312,SMALL(IF($A$3:$A$14312=AL$3,ROW($A$3:$A$14312)),ROW(10:10)),2))</f>
        <v>Router3_95</v>
      </c>
      <c r="AM12" t="str">
        <f t="array" ref="AM12">IF(ISERROR(INDEX($A$3:$B$14312,SMALL(IF($A$3:$A$14312=AM$3,ROW($A$3:$A$14312)),ROW(10:10)),2)),"",INDEX($A$3:$B$14312,SMALL(IF($A$3:$A$14312=AM$3,ROW($A$3:$A$14312)),ROW(10:10)),2))</f>
        <v>Router3_69</v>
      </c>
      <c r="AN12" t="str">
        <f t="array" ref="AN12">IF(ISERROR(INDEX($A$3:$B$14312,SMALL(IF($A$3:$A$14312=AN$3,ROW($A$3:$A$14312)),ROW(10:10)),2)),"",INDEX($A$3:$B$14312,SMALL(IF($A$3:$A$14312=AN$3,ROW($A$3:$A$14312)),ROW(10:10)),2))</f>
        <v>Router3_56</v>
      </c>
      <c r="AO12" t="str">
        <f t="array" ref="AO12">IF(ISERROR(INDEX($A$3:$B$14312,SMALL(IF($A$3:$A$14312=AO$3,ROW($A$3:$A$14312)),ROW(10:10)),2)),"",INDEX($A$3:$B$14312,SMALL(IF($A$3:$A$14312=AO$3,ROW($A$3:$A$14312)),ROW(10:10)),2))</f>
        <v>Router3_108</v>
      </c>
      <c r="AP12" t="str">
        <f t="array" ref="AP12">IF(ISERROR(INDEX($A$3:$B$14312,SMALL(IF($A$3:$A$14312=AP$3,ROW($A$3:$A$14312)),ROW(10:10)),2)),"",INDEX($A$3:$B$14312,SMALL(IF($A$3:$A$14312=AP$3,ROW($A$3:$A$14312)),ROW(10:10)),2))</f>
        <v>Router3_13</v>
      </c>
      <c r="AQ12" t="str">
        <f t="array" ref="AQ12">IF(ISERROR(INDEX($A$3:$B$14312,SMALL(IF($A$3:$A$14312=AQ$3,ROW($A$3:$A$14312)),ROW(10:10)),2)),"",INDEX($A$3:$B$14312,SMALL(IF($A$3:$A$14312=AQ$3,ROW($A$3:$A$14312)),ROW(10:10)),2))</f>
        <v/>
      </c>
      <c r="AR12" t="str">
        <f t="array" ref="AR12">IF(ISERROR(INDEX($A$3:$B$14312,SMALL(IF($A$3:$A$14312=AR$3,ROW($A$3:$A$14312)),ROW(10:10)),2)),"",INDEX($A$3:$B$14312,SMALL(IF($A$3:$A$14312=AR$3,ROW($A$3:$A$14312)),ROW(10:10)),2))</f>
        <v/>
      </c>
      <c r="AS12" t="str">
        <f t="array" ref="AS12">IF(ISERROR(INDEX($A$3:$B$14312,SMALL(IF($A$3:$A$14312=AS$3,ROW($A$3:$A$14312)),ROW(10:10)),2)),"",INDEX($A$3:$B$14312,SMALL(IF($A$3:$A$14312=AS$3,ROW($A$3:$A$14312)),ROW(10:10)),2))</f>
        <v>Router3_56</v>
      </c>
      <c r="AT12" t="str">
        <f t="array" ref="AT12">IF(ISERROR(INDEX($A$3:$B$14312,SMALL(IF($A$3:$A$14312=AT$3,ROW($A$3:$A$14312)),ROW(10:10)),2)),"",INDEX($A$3:$B$14312,SMALL(IF($A$3:$A$14312=AT$3,ROW($A$3:$A$14312)),ROW(10:10)),2))</f>
        <v/>
      </c>
      <c r="AU12" t="str">
        <f t="array" ref="AU12">IF(ISERROR(INDEX($A$3:$B$14312,SMALL(IF($A$3:$A$14312=AU$3,ROW($A$3:$A$14312)),ROW(10:10)),2)),"",INDEX($A$3:$B$14312,SMALL(IF($A$3:$A$14312=AU$3,ROW($A$3:$A$14312)),ROW(10:10)),2))</f>
        <v>Router3_13</v>
      </c>
      <c r="AV12" t="str">
        <f t="array" ref="AV12">IF(ISERROR(INDEX($A$3:$B$14312,SMALL(IF($A$3:$A$14312=AV$3,ROW($A$3:$A$14312)),ROW(10:10)),2)),"",INDEX($A$3:$B$14312,SMALL(IF($A$3:$A$14312=AV$3,ROW($A$3:$A$14312)),ROW(10:10)),2))</f>
        <v/>
      </c>
      <c r="AW12" t="str">
        <f t="array" ref="AW12">IF(ISERROR(INDEX($A$3:$B$14312,SMALL(IF($A$3:$A$14312=AW$3,ROW($A$3:$A$14312)),ROW(10:10)),2)),"",INDEX($A$3:$B$14312,SMALL(IF($A$3:$A$14312=AW$3,ROW($A$3:$A$14312)),ROW(10:10)),2))</f>
        <v/>
      </c>
      <c r="AX12" t="str">
        <f t="array" ref="AX12">IF(ISERROR(INDEX($A$3:$B$14312,SMALL(IF($A$3:$A$14312=AX$3,ROW($A$3:$A$14312)),ROW(10:10)),2)),"",INDEX($A$3:$B$14312,SMALL(IF($A$3:$A$14312=AX$3,ROW($A$3:$A$14312)),ROW(10:10)),2))</f>
        <v>Router3_142</v>
      </c>
      <c r="AY12" t="str">
        <f t="array" ref="AY12">IF(ISERROR(INDEX($A$3:$B$14312,SMALL(IF($A$3:$A$14312=AY$3,ROW($A$3:$A$14312)),ROW(10:10)),2)),"",INDEX($A$3:$B$14312,SMALL(IF($A$3:$A$14312=AY$3,ROW($A$3:$A$14312)),ROW(10:10)),2))</f>
        <v>Router3_69</v>
      </c>
      <c r="AZ12" t="str">
        <f t="array" ref="AZ12">IF(ISERROR(INDEX($A$3:$B$14312,SMALL(IF($A$3:$A$14312=AZ$3,ROW($A$3:$A$14312)),ROW(10:10)),2)),"",INDEX($A$3:$B$14312,SMALL(IF($A$3:$A$14312=AZ$3,ROW($A$3:$A$14312)),ROW(10:10)),2))</f>
        <v/>
      </c>
      <c r="BA12" t="str">
        <f t="array" ref="BA12">IF(ISERROR(INDEX($A$3:$B$14312,SMALL(IF($A$3:$A$14312=BA$3,ROW($A$3:$A$14312)),ROW(10:10)),2)),"",INDEX($A$3:$B$14312,SMALL(IF($A$3:$A$14312=BA$3,ROW($A$3:$A$14312)),ROW(10:10)),2))</f>
        <v/>
      </c>
      <c r="BB12" t="str">
        <f t="array" ref="BB12">IF(ISERROR(INDEX($A$3:$B$14312,SMALL(IF($A$3:$A$14312=BB$3,ROW($A$3:$A$14312)),ROW(10:10)),2)),"",INDEX($A$3:$B$14312,SMALL(IF($A$3:$A$14312=BB$3,ROW($A$3:$A$14312)),ROW(10:10)),2))</f>
        <v/>
      </c>
      <c r="BC12" t="str">
        <f t="array" ref="BC12">IF(ISERROR(INDEX($A$3:$B$14312,SMALL(IF($A$3:$A$14312=BC$3,ROW($A$3:$A$14312)),ROW(10:10)),2)),"",INDEX($A$3:$B$14312,SMALL(IF($A$3:$A$14312=BC$3,ROW($A$3:$A$14312)),ROW(10:10)),2))</f>
        <v/>
      </c>
      <c r="BD12" t="str">
        <f t="array" ref="BD12">IF(ISERROR(INDEX($A$3:$B$14312,SMALL(IF($A$3:$A$14312=BD$3,ROW($A$3:$A$14312)),ROW(10:10)),2)),"",INDEX($A$3:$B$14312,SMALL(IF($A$3:$A$14312=BD$3,ROW($A$3:$A$14312)),ROW(10:10)),2))</f>
        <v/>
      </c>
      <c r="BE12" t="str">
        <f t="array" ref="BE12">IF(ISERROR(INDEX($A$3:$B$14312,SMALL(IF($A$3:$A$14312=BE$3,ROW($A$3:$A$14312)),ROW(10:10)),2)),"",INDEX($A$3:$B$14312,SMALL(IF($A$3:$A$14312=BE$3,ROW($A$3:$A$14312)),ROW(10:10)),2))</f>
        <v>Router3_106</v>
      </c>
      <c r="BF12" t="str">
        <f t="array" ref="BF12">IF(ISERROR(INDEX($A$3:$B$14312,SMALL(IF($A$3:$A$14312=BF$3,ROW($A$3:$A$14312)),ROW(10:10)),2)),"",INDEX($A$3:$B$14312,SMALL(IF($A$3:$A$14312=BF$3,ROW($A$3:$A$14312)),ROW(10:10)),2))</f>
        <v/>
      </c>
      <c r="BG12" t="str">
        <f t="array" ref="BG12">IF(ISERROR(INDEX($A$3:$B$14312,SMALL(IF($A$3:$A$14312=BG$3,ROW($A$3:$A$14312)),ROW(10:10)),2)),"",INDEX($A$3:$B$14312,SMALL(IF($A$3:$A$14312=BG$3,ROW($A$3:$A$14312)),ROW(10:10)),2))</f>
        <v>Router3_3</v>
      </c>
      <c r="BH12" t="str">
        <f t="array" ref="BH12">IF(ISERROR(INDEX($A$3:$B$14312,SMALL(IF($A$3:$A$14312=BH$3,ROW($A$3:$A$14312)),ROW(10:10)),2)),"",INDEX($A$3:$B$14312,SMALL(IF($A$3:$A$14312=BH$3,ROW($A$3:$A$14312)),ROW(10:10)),2))</f>
        <v/>
      </c>
      <c r="BI12" t="str">
        <f t="array" ref="BI12">IF(ISERROR(INDEX($A$3:$B$14312,SMALL(IF($A$3:$A$14312=BI$3,ROW($A$3:$A$14312)),ROW(10:10)),2)),"",INDEX($A$3:$B$14312,SMALL(IF($A$3:$A$14312=BI$3,ROW($A$3:$A$14312)),ROW(10:10)),2))</f>
        <v>Router3_99</v>
      </c>
      <c r="BJ12" t="str">
        <f t="array" ref="BJ12">IF(ISERROR(INDEX($A$3:$B$14312,SMALL(IF($A$3:$A$14312=BJ$3,ROW($A$3:$A$14312)),ROW(10:10)),2)),"",INDEX($A$3:$B$14312,SMALL(IF($A$3:$A$14312=BJ$3,ROW($A$3:$A$14312)),ROW(10:10)),2))</f>
        <v/>
      </c>
      <c r="BK12" t="str">
        <f t="array" ref="BK12">IF(ISERROR(INDEX($A$3:$B$14312,SMALL(IF($A$3:$A$14312=BK$3,ROW($A$3:$A$14312)),ROW(10:10)),2)),"",INDEX($A$3:$B$14312,SMALL(IF($A$3:$A$14312=BK$3,ROW($A$3:$A$14312)),ROW(10:10)),2))</f>
        <v/>
      </c>
      <c r="BL12" t="str">
        <f t="array" ref="BL12">IF(ISERROR(INDEX($A$3:$B$14312,SMALL(IF($A$3:$A$14312=BL$3,ROW($A$3:$A$14312)),ROW(10:10)),2)),"",INDEX($A$3:$B$14312,SMALL(IF($A$3:$A$14312=BL$3,ROW($A$3:$A$14312)),ROW(10:10)),2))</f>
        <v/>
      </c>
      <c r="BM12" t="str">
        <f t="array" ref="BM12">IF(ISERROR(INDEX($A$3:$B$14312,SMALL(IF($A$3:$A$14312=BM$3,ROW($A$3:$A$14312)),ROW(10:10)),2)),"",INDEX($A$3:$B$14312,SMALL(IF($A$3:$A$14312=BM$3,ROW($A$3:$A$14312)),ROW(10:10)),2))</f>
        <v>Router3_75</v>
      </c>
      <c r="BN12" t="str">
        <f t="array" ref="BN12">IF(ISERROR(INDEX($A$3:$B$14312,SMALL(IF($A$3:$A$14312=BN$3,ROW($A$3:$A$14312)),ROW(10:10)),2)),"",INDEX($A$3:$B$14312,SMALL(IF($A$3:$A$14312=BN$3,ROW($A$3:$A$14312)),ROW(10:10)),2))</f>
        <v/>
      </c>
      <c r="BO12" t="str">
        <f t="array" ref="BO12">IF(ISERROR(INDEX($A$3:$B$14312,SMALL(IF($A$3:$A$14312=BO$3,ROW($A$3:$A$14312)),ROW(10:10)),2)),"",INDEX($A$3:$B$14312,SMALL(IF($A$3:$A$14312=BO$3,ROW($A$3:$A$14312)),ROW(10:10)),2))</f>
        <v/>
      </c>
      <c r="BP12" t="str">
        <f t="array" ref="BP12">IF(ISERROR(INDEX($A$3:$B$14312,SMALL(IF($A$3:$A$14312=BP$3,ROW($A$3:$A$14312)),ROW(10:10)),2)),"",INDEX($A$3:$B$14312,SMALL(IF($A$3:$A$14312=BP$3,ROW($A$3:$A$14312)),ROW(10:10)),2))</f>
        <v/>
      </c>
      <c r="BQ12" t="str">
        <f t="array" ref="BQ12">IF(ISERROR(INDEX($A$3:$B$14312,SMALL(IF($A$3:$A$14312=BQ$3,ROW($A$3:$A$14312)),ROW(10:10)),2)),"",INDEX($A$3:$B$14312,SMALL(IF($A$3:$A$14312=BQ$3,ROW($A$3:$A$14312)),ROW(10:10)),2))</f>
        <v/>
      </c>
      <c r="BR12" t="str">
        <f t="array" ref="BR12">IF(ISERROR(INDEX($A$3:$B$14312,SMALL(IF($A$3:$A$14312=BR$3,ROW($A$3:$A$14312)),ROW(10:10)),2)),"",INDEX($A$3:$B$14312,SMALL(IF($A$3:$A$14312=BR$3,ROW($A$3:$A$14312)),ROW(10:10)),2))</f>
        <v/>
      </c>
      <c r="BS12" t="str">
        <f t="array" ref="BS12">IF(ISERROR(INDEX($A$3:$B$14312,SMALL(IF($A$3:$A$14312=BS$3,ROW($A$3:$A$14312)),ROW(10:10)),2)),"",INDEX($A$3:$B$14312,SMALL(IF($A$3:$A$14312=BS$3,ROW($A$3:$A$14312)),ROW(10:10)),2))</f>
        <v/>
      </c>
      <c r="BT12" t="str">
        <f t="array" ref="BT12">IF(ISERROR(INDEX($A$3:$B$14312,SMALL(IF($A$3:$A$14312=BT$3,ROW($A$3:$A$14312)),ROW(10:10)),2)),"",INDEX($A$3:$B$14312,SMALL(IF($A$3:$A$14312=BT$3,ROW($A$3:$A$14312)),ROW(10:10)),2))</f>
        <v>Router3_61</v>
      </c>
      <c r="BU12" t="str">
        <f t="array" ref="BU12">IF(ISERROR(INDEX($A$3:$B$14312,SMALL(IF($A$3:$A$14312=BU$3,ROW($A$3:$A$14312)),ROW(10:10)),2)),"",INDEX($A$3:$B$14312,SMALL(IF($A$3:$A$14312=BU$3,ROW($A$3:$A$14312)),ROW(10:10)),2))</f>
        <v/>
      </c>
      <c r="BV12" t="str">
        <f t="array" ref="BV12">IF(ISERROR(INDEX($A$3:$B$14312,SMALL(IF($A$3:$A$14312=BV$3,ROW($A$3:$A$14312)),ROW(10:10)),2)),"",INDEX($A$3:$B$14312,SMALL(IF($A$3:$A$14312=BV$3,ROW($A$3:$A$14312)),ROW(10:10)),2))</f>
        <v/>
      </c>
      <c r="BW12" t="str">
        <f t="array" ref="BW12">IF(ISERROR(INDEX($A$3:$B$14312,SMALL(IF($A$3:$A$14312=BW$3,ROW($A$3:$A$14312)),ROW(10:10)),2)),"",INDEX($A$3:$B$14312,SMALL(IF($A$3:$A$14312=BW$3,ROW($A$3:$A$14312)),ROW(10:10)),2))</f>
        <v>Router3_148</v>
      </c>
      <c r="BX12" t="str">
        <f t="array" ref="BX12">IF(ISERROR(INDEX($A$3:$B$14312,SMALL(IF($A$3:$A$14312=BX$3,ROW($A$3:$A$14312)),ROW(10:10)),2)),"",INDEX($A$3:$B$14312,SMALL(IF($A$3:$A$14312=BX$3,ROW($A$3:$A$14312)),ROW(10:10)),2))</f>
        <v>Router3_42</v>
      </c>
      <c r="BY12" t="str">
        <f t="array" ref="BY12">IF(ISERROR(INDEX($A$3:$B$14312,SMALL(IF($A$3:$A$14312=BY$3,ROW($A$3:$A$14312)),ROW(10:10)),2)),"",INDEX($A$3:$B$14312,SMALL(IF($A$3:$A$14312=BY$3,ROW($A$3:$A$14312)),ROW(10:10)),2))</f>
        <v>Router3_56</v>
      </c>
      <c r="BZ12" t="str">
        <f t="array" ref="BZ12">IF(ISERROR(INDEX($A$3:$B$14312,SMALL(IF($A$3:$A$14312=BZ$3,ROW($A$3:$A$14312)),ROW(10:10)),2)),"",INDEX($A$3:$B$14312,SMALL(IF($A$3:$A$14312=BZ$3,ROW($A$3:$A$14312)),ROW(10:10)),2))</f>
        <v>Router3_56</v>
      </c>
      <c r="CA12" t="str">
        <f t="array" ref="CA12">IF(ISERROR(INDEX($A$3:$B$14312,SMALL(IF($A$3:$A$14312=CA$3,ROW($A$3:$A$14312)),ROW(10:10)),2)),"",INDEX($A$3:$B$14312,SMALL(IF($A$3:$A$14312=CA$3,ROW($A$3:$A$14312)),ROW(10:10)),2))</f>
        <v/>
      </c>
      <c r="CB12" t="str">
        <f t="array" ref="CB12">IF(ISERROR(INDEX($A$3:$B$14312,SMALL(IF($A$3:$A$14312=CB$3,ROW($A$3:$A$14312)),ROW(10:10)),2)),"",INDEX($A$3:$B$14312,SMALL(IF($A$3:$A$14312=CB$3,ROW($A$3:$A$14312)),ROW(10:10)),2))</f>
        <v>Router3_94</v>
      </c>
      <c r="CC12" t="str">
        <f t="array" ref="CC12">IF(ISERROR(INDEX($A$3:$B$14312,SMALL(IF($A$3:$A$14312=CC$3,ROW($A$3:$A$14312)),ROW(10:10)),2)),"",INDEX($A$3:$B$14312,SMALL(IF($A$3:$A$14312=CC$3,ROW($A$3:$A$14312)),ROW(10:10)),2))</f>
        <v/>
      </c>
      <c r="CD12" t="str">
        <f t="array" ref="CD12">IF(ISERROR(INDEX($A$3:$B$14312,SMALL(IF($A$3:$A$14312=CD$3,ROW($A$3:$A$14312)),ROW(10:10)),2)),"",INDEX($A$3:$B$14312,SMALL(IF($A$3:$A$14312=CD$3,ROW($A$3:$A$14312)),ROW(10:10)),2))</f>
        <v>Router3_106</v>
      </c>
      <c r="CE12" t="str">
        <f t="array" ref="CE12">IF(ISERROR(INDEX($A$3:$B$14312,SMALL(IF($A$3:$A$14312=CE$3,ROW($A$3:$A$14312)),ROW(10:10)),2)),"",INDEX($A$3:$B$14312,SMALL(IF($A$3:$A$14312=CE$3,ROW($A$3:$A$14312)),ROW(10:10)),2))</f>
        <v>Router3_106</v>
      </c>
      <c r="CF12" t="str">
        <f t="array" ref="CF12">IF(ISERROR(INDEX($A$3:$B$14312,SMALL(IF($A$3:$A$14312=CF$3,ROW($A$3:$A$14312)),ROW(10:10)),2)),"",INDEX($A$3:$B$14312,SMALL(IF($A$3:$A$14312=CF$3,ROW($A$3:$A$14312)),ROW(10:10)),2))</f>
        <v/>
      </c>
      <c r="CG12" t="str">
        <f t="array" ref="CG12">IF(ISERROR(INDEX($A$3:$B$14312,SMALL(IF($A$3:$A$14312=CG$3,ROW($A$3:$A$14312)),ROW(10:10)),2)),"",INDEX($A$3:$B$14312,SMALL(IF($A$3:$A$14312=CG$3,ROW($A$3:$A$14312)),ROW(10:10)),2))</f>
        <v>Router3_14</v>
      </c>
      <c r="CH12" t="str">
        <f t="array" ref="CH12">IF(ISERROR(INDEX($A$3:$B$14312,SMALL(IF($A$3:$A$14312=CH$3,ROW($A$3:$A$14312)),ROW(10:10)),2)),"",INDEX($A$3:$B$14312,SMALL(IF($A$3:$A$14312=CH$3,ROW($A$3:$A$14312)),ROW(10:10)),2))</f>
        <v/>
      </c>
      <c r="CI12" t="str">
        <f t="array" ref="CI12">IF(ISERROR(INDEX($A$3:$B$14312,SMALL(IF($A$3:$A$14312=CI$3,ROW($A$3:$A$14312)),ROW(10:10)),2)),"",INDEX($A$3:$B$14312,SMALL(IF($A$3:$A$14312=CI$3,ROW($A$3:$A$14312)),ROW(10:10)),2))</f>
        <v>Router3_100</v>
      </c>
      <c r="CJ12" t="str">
        <f t="array" ref="CJ12">IF(ISERROR(INDEX($A$3:$B$14312,SMALL(IF($A$3:$A$14312=CJ$3,ROW($A$3:$A$14312)),ROW(10:10)),2)),"",INDEX($A$3:$B$14312,SMALL(IF($A$3:$A$14312=CJ$3,ROW($A$3:$A$14312)),ROW(10:10)),2))</f>
        <v/>
      </c>
      <c r="CK12" t="str">
        <f t="array" ref="CK12">IF(ISERROR(INDEX($A$3:$B$14312,SMALL(IF($A$3:$A$14312=CK$3,ROW($A$3:$A$14312)),ROW(10:10)),2)),"",INDEX($A$3:$B$14312,SMALL(IF($A$3:$A$14312=CK$3,ROW($A$3:$A$14312)),ROW(10:10)),2))</f>
        <v/>
      </c>
      <c r="CL12" t="str">
        <f t="array" ref="CL12">IF(ISERROR(INDEX($A$3:$B$14312,SMALL(IF($A$3:$A$14312=CL$3,ROW($A$3:$A$14312)),ROW(10:10)),2)),"",INDEX($A$3:$B$14312,SMALL(IF($A$3:$A$14312=CL$3,ROW($A$3:$A$14312)),ROW(10:10)),2))</f>
        <v/>
      </c>
      <c r="CM12" t="str">
        <f t="array" ref="CM12">IF(ISERROR(INDEX($A$3:$B$14312,SMALL(IF($A$3:$A$14312=CM$3,ROW($A$3:$A$14312)),ROW(10:10)),2)),"",INDEX($A$3:$B$14312,SMALL(IF($A$3:$A$14312=CM$3,ROW($A$3:$A$14312)),ROW(10:10)),2))</f>
        <v/>
      </c>
      <c r="CN12" t="str">
        <f t="array" ref="CN12">IF(ISERROR(INDEX($A$3:$B$14312,SMALL(IF($A$3:$A$14312=CN$3,ROW($A$3:$A$14312)),ROW(10:10)),2)),"",INDEX($A$3:$B$14312,SMALL(IF($A$3:$A$14312=CN$3,ROW($A$3:$A$14312)),ROW(10:10)),2))</f>
        <v>Router3_14</v>
      </c>
      <c r="CO12" t="str">
        <f t="array" ref="CO12">IF(ISERROR(INDEX($A$3:$B$14312,SMALL(IF($A$3:$A$14312=CO$3,ROW($A$3:$A$14312)),ROW(10:10)),2)),"",INDEX($A$3:$B$14312,SMALL(IF($A$3:$A$14312=CO$3,ROW($A$3:$A$14312)),ROW(10:10)),2))</f>
        <v>Router3_84</v>
      </c>
      <c r="CP12" t="str">
        <f t="array" ref="CP12">IF(ISERROR(INDEX($A$3:$B$14312,SMALL(IF($A$3:$A$14312=CP$3,ROW($A$3:$A$14312)),ROW(10:10)),2)),"",INDEX($A$3:$B$14312,SMALL(IF($A$3:$A$14312=CP$3,ROW($A$3:$A$14312)),ROW(10:10)),2))</f>
        <v>Router3_13</v>
      </c>
      <c r="CQ12" t="str">
        <f t="array" ref="CQ12">IF(ISERROR(INDEX($A$3:$B$14312,SMALL(IF($A$3:$A$14312=CQ$3,ROW($A$3:$A$14312)),ROW(10:10)),2)),"",INDEX($A$3:$B$14312,SMALL(IF($A$3:$A$14312=CQ$3,ROW($A$3:$A$14312)),ROW(10:10)),2))</f>
        <v/>
      </c>
      <c r="CR12" t="str">
        <f t="array" ref="CR12">IF(ISERROR(INDEX($A$3:$B$14312,SMALL(IF($A$3:$A$14312=CR$3,ROW($A$3:$A$14312)),ROW(10:10)),2)),"",INDEX($A$3:$B$14312,SMALL(IF($A$3:$A$14312=CR$3,ROW($A$3:$A$14312)),ROW(10:10)),2))</f>
        <v/>
      </c>
      <c r="CS12" t="str">
        <f t="array" ref="CS12">IF(ISERROR(INDEX($A$3:$B$14312,SMALL(IF($A$3:$A$14312=CS$3,ROW($A$3:$A$14312)),ROW(10:10)),2)),"",INDEX($A$3:$B$14312,SMALL(IF($A$3:$A$14312=CS$3,ROW($A$3:$A$14312)),ROW(10:10)),2))</f>
        <v/>
      </c>
      <c r="CT12" t="str">
        <f t="array" ref="CT12">IF(ISERROR(INDEX($A$3:$B$14312,SMALL(IF($A$3:$A$14312=CT$3,ROW($A$3:$A$14312)),ROW(10:10)),2)),"",INDEX($A$3:$B$14312,SMALL(IF($A$3:$A$14312=CT$3,ROW($A$3:$A$14312)),ROW(10:10)),2))</f>
        <v>Router3_48</v>
      </c>
      <c r="CU12" t="str">
        <f t="array" ref="CU12">IF(ISERROR(INDEX($A$3:$B$14312,SMALL(IF($A$3:$A$14312=CU$3,ROW($A$3:$A$14312)),ROW(10:10)),2)),"",INDEX($A$3:$B$14312,SMALL(IF($A$3:$A$14312=CU$3,ROW($A$3:$A$14312)),ROW(10:10)),2))</f>
        <v/>
      </c>
      <c r="CV12" t="str">
        <f t="array" ref="CV12">IF(ISERROR(INDEX($A$3:$B$14312,SMALL(IF($A$3:$A$14312=CV$3,ROW($A$3:$A$14312)),ROW(10:10)),2)),"",INDEX($A$3:$B$14312,SMALL(IF($A$3:$A$14312=CV$3,ROW($A$3:$A$14312)),ROW(10:10)),2))</f>
        <v>Router3_71</v>
      </c>
      <c r="CW12" t="str">
        <f t="array" ref="CW12">IF(ISERROR(INDEX($A$3:$B$14312,SMALL(IF($A$3:$A$14312=CW$3,ROW($A$3:$A$14312)),ROW(10:10)),2)),"",INDEX($A$3:$B$14312,SMALL(IF($A$3:$A$14312=CW$3,ROW($A$3:$A$14312)),ROW(10:10)),2))</f>
        <v/>
      </c>
      <c r="CX12" t="str">
        <f t="array" ref="CX12">IF(ISERROR(INDEX($A$3:$B$14312,SMALL(IF($A$3:$A$14312=CX$3,ROW($A$3:$A$14312)),ROW(10:10)),2)),"",INDEX($A$3:$B$14312,SMALL(IF($A$3:$A$14312=CX$3,ROW($A$3:$A$14312)),ROW(10:10)),2))</f>
        <v/>
      </c>
      <c r="CY12" t="str">
        <f t="array" ref="CY12">IF(ISERROR(INDEX($A$3:$B$14312,SMALL(IF($A$3:$A$14312=CY$3,ROW($A$3:$A$14312)),ROW(10:10)),2)),"",INDEX($A$3:$B$14312,SMALL(IF($A$3:$A$14312=CY$3,ROW($A$3:$A$14312)),ROW(10:10)),2))</f>
        <v>Router3_68</v>
      </c>
      <c r="CZ12" t="str">
        <f t="array" ref="CZ12">IF(ISERROR(INDEX($A$3:$B$14312,SMALL(IF($A$3:$A$14312=CZ$3,ROW($A$3:$A$14312)),ROW(10:10)),2)),"",INDEX($A$3:$B$14312,SMALL(IF($A$3:$A$14312=CZ$3,ROW($A$3:$A$14312)),ROW(10:10)),2))</f>
        <v>Router3_120</v>
      </c>
      <c r="DA12" t="str">
        <f t="array" ref="DA12">IF(ISERROR(INDEX($A$3:$B$14312,SMALL(IF($A$3:$A$14312=DA$3,ROW($A$3:$A$14312)),ROW(10:10)),2)),"",INDEX($A$3:$B$14312,SMALL(IF($A$3:$A$14312=DA$3,ROW($A$3:$A$14312)),ROW(10:10)),2))</f>
        <v>Router3_141</v>
      </c>
      <c r="DB12" t="str">
        <f t="array" ref="DB12">IF(ISERROR(INDEX($A$3:$B$14312,SMALL(IF($A$3:$A$14312=DB$3,ROW($A$3:$A$14312)),ROW(10:10)),2)),"",INDEX($A$3:$B$14312,SMALL(IF($A$3:$A$14312=DB$3,ROW($A$3:$A$14312)),ROW(10:10)),2))</f>
        <v>Router3_106</v>
      </c>
      <c r="DC12" t="str">
        <f t="array" ref="DC12">IF(ISERROR(INDEX($A$3:$B$14312,SMALL(IF($A$3:$A$14312=DC$3,ROW($A$3:$A$14312)),ROW(10:10)),2)),"",INDEX($A$3:$B$14312,SMALL(IF($A$3:$A$14312=DC$3,ROW($A$3:$A$14312)),ROW(10:10)),2))</f>
        <v>Router3_93</v>
      </c>
      <c r="DD12" t="str">
        <f t="array" ref="DD12">IF(ISERROR(INDEX($A$3:$B$14312,SMALL(IF($A$3:$A$14312=DD$3,ROW($A$3:$A$14312)),ROW(10:10)),2)),"",INDEX($A$3:$B$14312,SMALL(IF($A$3:$A$14312=DD$3,ROW($A$3:$A$14312)),ROW(10:10)),2))</f>
        <v/>
      </c>
      <c r="DE12" t="str">
        <f t="array" ref="DE12">IF(ISERROR(INDEX($A$3:$B$14312,SMALL(IF($A$3:$A$14312=DE$3,ROW($A$3:$A$14312)),ROW(10:10)),2)),"",INDEX($A$3:$B$14312,SMALL(IF($A$3:$A$14312=DE$3,ROW($A$3:$A$14312)),ROW(10:10)),2))</f>
        <v>Router3_106</v>
      </c>
      <c r="DF12" t="str">
        <f t="array" ref="DF12">IF(ISERROR(INDEX($A$3:$B$14312,SMALL(IF($A$3:$A$14312=DF$3,ROW($A$3:$A$14312)),ROW(10:10)),2)),"",INDEX($A$3:$B$14312,SMALL(IF($A$3:$A$14312=DF$3,ROW($A$3:$A$14312)),ROW(10:10)),2))</f>
        <v/>
      </c>
      <c r="DG12" t="str">
        <f t="array" ref="DG12">IF(ISERROR(INDEX($A$3:$B$14312,SMALL(IF($A$3:$A$14312=DG$3,ROW($A$3:$A$14312)),ROW(10:10)),2)),"",INDEX($A$3:$B$14312,SMALL(IF($A$3:$A$14312=DG$3,ROW($A$3:$A$14312)),ROW(10:10)),2))</f>
        <v>Router3_13</v>
      </c>
      <c r="DH12" t="str">
        <f t="array" ref="DH12">IF(ISERROR(INDEX($A$3:$B$14312,SMALL(IF($A$3:$A$14312=DH$3,ROW($A$3:$A$14312)),ROW(10:10)),2)),"",INDEX($A$3:$B$14312,SMALL(IF($A$3:$A$14312=DH$3,ROW($A$3:$A$14312)),ROW(10:10)),2))</f>
        <v>Router3_1</v>
      </c>
      <c r="DI12" t="str">
        <f t="array" ref="DI12">IF(ISERROR(INDEX($A$3:$B$14312,SMALL(IF($A$3:$A$14312=DI$3,ROW($A$3:$A$14312)),ROW(10:10)),2)),"",INDEX($A$3:$B$14312,SMALL(IF($A$3:$A$14312=DI$3,ROW($A$3:$A$14312)),ROW(10:10)),2))</f>
        <v>Router3_76</v>
      </c>
      <c r="DJ12" t="str">
        <f t="array" ref="DJ12">IF(ISERROR(INDEX($A$3:$B$14312,SMALL(IF($A$3:$A$14312=DJ$3,ROW($A$3:$A$14312)),ROW(10:10)),2)),"",INDEX($A$3:$B$14312,SMALL(IF($A$3:$A$14312=DJ$3,ROW($A$3:$A$14312)),ROW(10:10)),2))</f>
        <v>Router3_49</v>
      </c>
      <c r="DK12" t="str">
        <f t="array" ref="DK12">IF(ISERROR(INDEX($A$3:$B$14312,SMALL(IF($A$3:$A$14312=DK$3,ROW($A$3:$A$14312)),ROW(10:10)),2)),"",INDEX($A$3:$B$14312,SMALL(IF($A$3:$A$14312=DK$3,ROW($A$3:$A$14312)),ROW(10:10)),2))</f>
        <v>Router3_70</v>
      </c>
      <c r="DL12" t="str">
        <f t="array" ref="DL12">IF(ISERROR(INDEX($A$3:$B$14312,SMALL(IF($A$3:$A$14312=DL$3,ROW($A$3:$A$14312)),ROW(10:10)),2)),"",INDEX($A$3:$B$14312,SMALL(IF($A$3:$A$14312=DL$3,ROW($A$3:$A$14312)),ROW(10:10)),2))</f>
        <v>Router3_98</v>
      </c>
      <c r="DM12" t="str">
        <f t="array" ref="DM12">IF(ISERROR(INDEX($A$3:$B$14312,SMALL(IF($A$3:$A$14312=DM$3,ROW($A$3:$A$14312)),ROW(10:10)),2)),"",INDEX($A$3:$B$14312,SMALL(IF($A$3:$A$14312=DM$3,ROW($A$3:$A$14312)),ROW(10:10)),2))</f>
        <v/>
      </c>
      <c r="DN12" t="str">
        <f t="array" ref="DN12">IF(ISERROR(INDEX($A$3:$B$14312,SMALL(IF($A$3:$A$14312=DN$3,ROW($A$3:$A$14312)),ROW(10:10)),2)),"",INDEX($A$3:$B$14312,SMALL(IF($A$3:$A$14312=DN$3,ROW($A$3:$A$14312)),ROW(10:10)),2))</f>
        <v>Router3_56</v>
      </c>
      <c r="DO12" t="str">
        <f t="array" ref="DO12">IF(ISERROR(INDEX($A$3:$B$14312,SMALL(IF($A$3:$A$14312=DO$3,ROW($A$3:$A$14312)),ROW(10:10)),2)),"",INDEX($A$3:$B$14312,SMALL(IF($A$3:$A$14312=DO$3,ROW($A$3:$A$14312)),ROW(10:10)),2))</f>
        <v>Router3_105</v>
      </c>
      <c r="DP12" t="str">
        <f t="array" ref="DP12">IF(ISERROR(INDEX($A$3:$B$14312,SMALL(IF($A$3:$A$14312=DP$3,ROW($A$3:$A$14312)),ROW(10:10)),2)),"",INDEX($A$3:$B$14312,SMALL(IF($A$3:$A$14312=DP$3,ROW($A$3:$A$14312)),ROW(10:10)),2))</f>
        <v/>
      </c>
      <c r="DQ12" t="str">
        <f t="array" ref="DQ12">IF(ISERROR(INDEX($A$3:$B$14312,SMALL(IF($A$3:$A$14312=DQ$3,ROW($A$3:$A$14312)),ROW(10:10)),2)),"",INDEX($A$3:$B$14312,SMALL(IF($A$3:$A$14312=DQ$3,ROW($A$3:$A$14312)),ROW(10:10)),2))</f>
        <v/>
      </c>
      <c r="DR12" t="str">
        <f t="array" ref="DR12">IF(ISERROR(INDEX($A$3:$B$14312,SMALL(IF($A$3:$A$14312=DR$3,ROW($A$3:$A$14312)),ROW(10:10)),2)),"",INDEX($A$3:$B$14312,SMALL(IF($A$3:$A$14312=DR$3,ROW($A$3:$A$14312)),ROW(10:10)),2))</f>
        <v>Router3_12</v>
      </c>
      <c r="DS12" t="str">
        <f t="array" ref="DS12">IF(ISERROR(INDEX($A$3:$B$14312,SMALL(IF($A$3:$A$14312=DS$3,ROW($A$3:$A$14312)),ROW(10:10)),2)),"",INDEX($A$3:$B$14312,SMALL(IF($A$3:$A$14312=DS$3,ROW($A$3:$A$14312)),ROW(10:10)),2))</f>
        <v/>
      </c>
      <c r="DT12" t="str">
        <f t="array" ref="DT12">IF(ISERROR(INDEX($A$3:$B$14312,SMALL(IF($A$3:$A$14312=DT$3,ROW($A$3:$A$14312)),ROW(10:10)),2)),"",INDEX($A$3:$B$14312,SMALL(IF($A$3:$A$14312=DT$3,ROW($A$3:$A$14312)),ROW(10:10)),2))</f>
        <v>Router3_76</v>
      </c>
      <c r="DU12" t="str">
        <f t="array" ref="DU12">IF(ISERROR(INDEX($A$3:$B$14312,SMALL(IF($A$3:$A$14312=DU$3,ROW($A$3:$A$14312)),ROW(10:10)),2)),"",INDEX($A$3:$B$14312,SMALL(IF($A$3:$A$14312=DU$3,ROW($A$3:$A$14312)),ROW(10:10)),2))</f>
        <v>Router3_128</v>
      </c>
      <c r="DV12" t="str">
        <f t="array" ref="DV12">IF(ISERROR(INDEX($A$3:$B$14312,SMALL(IF($A$3:$A$14312=DV$3,ROW($A$3:$A$14312)),ROW(10:10)),2)),"",INDEX($A$3:$B$14312,SMALL(IF($A$3:$A$14312=DV$3,ROW($A$3:$A$14312)),ROW(10:10)),2))</f>
        <v>Router3_100</v>
      </c>
      <c r="DW12" t="str">
        <f t="array" ref="DW12">IF(ISERROR(INDEX($A$3:$B$14312,SMALL(IF($A$3:$A$14312=DW$3,ROW($A$3:$A$14312)),ROW(10:10)),2)),"",INDEX($A$3:$B$14312,SMALL(IF($A$3:$A$14312=DW$3,ROW($A$3:$A$14312)),ROW(10:10)),2))</f>
        <v/>
      </c>
      <c r="DX12" t="str">
        <f t="array" ref="DX12">IF(ISERROR(INDEX($A$3:$B$14312,SMALL(IF($A$3:$A$14312=DX$3,ROW($A$3:$A$14312)),ROW(10:10)),2)),"",INDEX($A$3:$B$14312,SMALL(IF($A$3:$A$14312=DX$3,ROW($A$3:$A$14312)),ROW(10:10)),2))</f>
        <v/>
      </c>
      <c r="DY12" t="str">
        <f t="array" ref="DY12">IF(ISERROR(INDEX($A$3:$B$14312,SMALL(IF($A$3:$A$14312=DY$3,ROW($A$3:$A$14312)),ROW(10:10)),2)),"",INDEX($A$3:$B$14312,SMALL(IF($A$3:$A$14312=DY$3,ROW($A$3:$A$14312)),ROW(10:10)),2))</f>
        <v/>
      </c>
      <c r="DZ12" t="str">
        <f t="array" ref="DZ12">IF(ISERROR(INDEX($A$3:$B$14312,SMALL(IF($A$3:$A$14312=DZ$3,ROW($A$3:$A$14312)),ROW(10:10)),2)),"",INDEX($A$3:$B$14312,SMALL(IF($A$3:$A$14312=DZ$3,ROW($A$3:$A$14312)),ROW(10:10)),2))</f>
        <v/>
      </c>
      <c r="EA12" t="str">
        <f t="array" ref="EA12">IF(ISERROR(INDEX($A$3:$B$14312,SMALL(IF($A$3:$A$14312=EA$3,ROW($A$3:$A$14312)),ROW(10:10)),2)),"",INDEX($A$3:$B$14312,SMALL(IF($A$3:$A$14312=EA$3,ROW($A$3:$A$14312)),ROW(10:10)),2))</f>
        <v>Router3_95</v>
      </c>
      <c r="EB12" t="str">
        <f t="array" ref="EB12">IF(ISERROR(INDEX($A$3:$B$14312,SMALL(IF($A$3:$A$14312=EB$3,ROW($A$3:$A$14312)),ROW(10:10)),2)),"",INDEX($A$3:$B$14312,SMALL(IF($A$3:$A$14312=EB$3,ROW($A$3:$A$14312)),ROW(10:10)),2))</f>
        <v>Router3_126</v>
      </c>
      <c r="EC12" t="str">
        <f t="array" ref="EC12">IF(ISERROR(INDEX($A$3:$B$14312,SMALL(IF($A$3:$A$14312=EC$3,ROW($A$3:$A$14312)),ROW(10:10)),2)),"",INDEX($A$3:$B$14312,SMALL(IF($A$3:$A$14312=EC$3,ROW($A$3:$A$14312)),ROW(10:10)),2))</f>
        <v>Router3_62</v>
      </c>
      <c r="ED12" t="str">
        <f t="array" ref="ED12">IF(ISERROR(INDEX($A$3:$B$14312,SMALL(IF($A$3:$A$14312=ED$3,ROW($A$3:$A$14312)),ROW(10:10)),2)),"",INDEX($A$3:$B$14312,SMALL(IF($A$3:$A$14312=ED$3,ROW($A$3:$A$14312)),ROW(10:10)),2))</f>
        <v>Router3_116</v>
      </c>
      <c r="EE12" t="str">
        <f t="array" ref="EE12">IF(ISERROR(INDEX($A$3:$B$14312,SMALL(IF($A$3:$A$14312=EE$3,ROW($A$3:$A$14312)),ROW(10:10)),2)),"",INDEX($A$3:$B$14312,SMALL(IF($A$3:$A$14312=EE$3,ROW($A$3:$A$14312)),ROW(10:10)),2))</f>
        <v>Router3_150</v>
      </c>
    </row>
    <row r="13" spans="1:135" x14ac:dyDescent="0.25">
      <c r="A13" s="10">
        <v>-485017363</v>
      </c>
      <c r="B13" t="s">
        <v>1210</v>
      </c>
      <c r="E13" t="str">
        <f t="array" ref="E13">IF(ISERROR(INDEX($A$3:$B$14312,SMALL(IF($A$3:$A$14312=E$3,ROW($A$3:$A$14312)),ROW(11:11)),2)),"",INDEX($A$3:$B$14312,SMALL(IF($A$3:$A$14312=E$3,ROW($A$3:$A$14312)),ROW(11:11)),2))</f>
        <v>Router3_15</v>
      </c>
      <c r="F13" t="str">
        <f t="array" ref="F13">IF(ISERROR(INDEX($A$3:$B$14312,SMALL(IF($A$3:$A$14312=F$3,ROW($A$3:$A$14312)),ROW(11:11)),2)),"",INDEX($A$3:$B$14312,SMALL(IF($A$3:$A$14312=F$3,ROW($A$3:$A$14312)),ROW(11:11)),2))</f>
        <v>Router3_43</v>
      </c>
      <c r="G13" t="str">
        <f t="array" ref="G13">IF(ISERROR(INDEX($A$3:$B$14312,SMALL(IF($A$3:$A$14312=G$3,ROW($A$3:$A$14312)),ROW(11:11)),2)),"",INDEX($A$3:$B$14312,SMALL(IF($A$3:$A$14312=G$3,ROW($A$3:$A$14312)),ROW(11:11)),2))</f>
        <v>Router3_117</v>
      </c>
      <c r="H13" t="str">
        <f t="array" ref="H13">IF(ISERROR(INDEX($A$3:$B$14312,SMALL(IF($A$3:$A$14312=H$3,ROW($A$3:$A$14312)),ROW(11:11)),2)),"",INDEX($A$3:$B$14312,SMALL(IF($A$3:$A$14312=H$3,ROW($A$3:$A$14312)),ROW(11:11)),2))</f>
        <v>Router3_107</v>
      </c>
      <c r="I13" t="str">
        <f t="array" ref="I13">IF(ISERROR(INDEX($A$3:$B$14312,SMALL(IF($A$3:$A$14312=I$3,ROW($A$3:$A$14312)),ROW(11:11)),2)),"",INDEX($A$3:$B$14312,SMALL(IF($A$3:$A$14312=I$3,ROW($A$3:$A$14312)),ROW(11:11)),2))</f>
        <v/>
      </c>
      <c r="J13" t="str">
        <f t="array" ref="J13">IF(ISERROR(INDEX($A$3:$B$14312,SMALL(IF($A$3:$A$14312=J$3,ROW($A$3:$A$14312)),ROW(11:11)),2)),"",INDEX($A$3:$B$14312,SMALL(IF($A$3:$A$14312=J$3,ROW($A$3:$A$14312)),ROW(11:11)),2))</f>
        <v>Router3_142</v>
      </c>
      <c r="K13" t="str">
        <f t="array" ref="K13">IF(ISERROR(INDEX($A$3:$B$14312,SMALL(IF($A$3:$A$14312=K$3,ROW($A$3:$A$14312)),ROW(11:11)),2)),"",INDEX($A$3:$B$14312,SMALL(IF($A$3:$A$14312=K$3,ROW($A$3:$A$14312)),ROW(11:11)),2))</f>
        <v>Router3_121</v>
      </c>
      <c r="L13" t="str">
        <f t="array" ref="L13">IF(ISERROR(INDEX($A$3:$B$14312,SMALL(IF($A$3:$A$14312=L$3,ROW($A$3:$A$14312)),ROW(11:11)),2)),"",INDEX($A$3:$B$14312,SMALL(IF($A$3:$A$14312=L$3,ROW($A$3:$A$14312)),ROW(11:11)),2))</f>
        <v/>
      </c>
      <c r="M13" t="str">
        <f t="array" ref="M13">IF(ISERROR(INDEX($A$3:$B$14312,SMALL(IF($A$3:$A$14312=M$3,ROW($A$3:$A$14312)),ROW(11:11)),2)),"",INDEX($A$3:$B$14312,SMALL(IF($A$3:$A$14312=M$3,ROW($A$3:$A$14312)),ROW(11:11)),2))</f>
        <v>Router3_107</v>
      </c>
      <c r="N13" t="str">
        <f t="array" ref="N13">IF(ISERROR(INDEX($A$3:$B$14312,SMALL(IF($A$3:$A$14312=N$3,ROW($A$3:$A$14312)),ROW(11:11)),2)),"",INDEX($A$3:$B$14312,SMALL(IF($A$3:$A$14312=N$3,ROW($A$3:$A$14312)),ROW(11:11)),2))</f>
        <v/>
      </c>
      <c r="O13" t="str">
        <f t="array" ref="O13">IF(ISERROR(INDEX($A$3:$B$14312,SMALL(IF($A$3:$A$14312=O$3,ROW($A$3:$A$14312)),ROW(11:11)),2)),"",INDEX($A$3:$B$14312,SMALL(IF($A$3:$A$14312=O$3,ROW($A$3:$A$14312)),ROW(11:11)),2))</f>
        <v/>
      </c>
      <c r="P13" t="str">
        <f t="array" ref="P13">IF(ISERROR(INDEX($A$3:$B$14312,SMALL(IF($A$3:$A$14312=P$3,ROW($A$3:$A$14312)),ROW(11:11)),2)),"",INDEX($A$3:$B$14312,SMALL(IF($A$3:$A$14312=P$3,ROW($A$3:$A$14312)),ROW(11:11)),2))</f>
        <v>Router3_107</v>
      </c>
      <c r="Q13" t="str">
        <f t="array" ref="Q13">IF(ISERROR(INDEX($A$3:$B$14312,SMALL(IF($A$3:$A$14312=Q$3,ROW($A$3:$A$14312)),ROW(11:11)),2)),"",INDEX($A$3:$B$14312,SMALL(IF($A$3:$A$14312=Q$3,ROW($A$3:$A$14312)),ROW(11:11)),2))</f>
        <v/>
      </c>
      <c r="R13" t="str">
        <f t="array" ref="R13">IF(ISERROR(INDEX($A$3:$B$14312,SMALL(IF($A$3:$A$14312=R$3,ROW($A$3:$A$14312)),ROW(11:11)),2)),"",INDEX($A$3:$B$14312,SMALL(IF($A$3:$A$14312=R$3,ROW($A$3:$A$14312)),ROW(11:11)),2))</f>
        <v/>
      </c>
      <c r="S13" t="str">
        <f t="array" ref="S13">IF(ISERROR(INDEX($A$3:$B$14312,SMALL(IF($A$3:$A$14312=S$3,ROW($A$3:$A$14312)),ROW(11:11)),2)),"",INDEX($A$3:$B$14312,SMALL(IF($A$3:$A$14312=S$3,ROW($A$3:$A$14312)),ROW(11:11)),2))</f>
        <v/>
      </c>
      <c r="T13" t="str">
        <f t="array" ref="T13">IF(ISERROR(INDEX($A$3:$B$14312,SMALL(IF($A$3:$A$14312=T$3,ROW($A$3:$A$14312)),ROW(11:11)),2)),"",INDEX($A$3:$B$14312,SMALL(IF($A$3:$A$14312=T$3,ROW($A$3:$A$14312)),ROW(11:11)),2))</f>
        <v/>
      </c>
      <c r="U13" t="str">
        <f t="array" ref="U13">IF(ISERROR(INDEX($A$3:$B$14312,SMALL(IF($A$3:$A$14312=U$3,ROW($A$3:$A$14312)),ROW(11:11)),2)),"",INDEX($A$3:$B$14312,SMALL(IF($A$3:$A$14312=U$3,ROW($A$3:$A$14312)),ROW(11:11)),2))</f>
        <v>Router3_124</v>
      </c>
      <c r="V13" t="str">
        <f t="array" ref="V13">IF(ISERROR(INDEX($A$3:$B$14312,SMALL(IF($A$3:$A$14312=V$3,ROW($A$3:$A$14312)),ROW(11:11)),2)),"",INDEX($A$3:$B$14312,SMALL(IF($A$3:$A$14312=V$3,ROW($A$3:$A$14312)),ROW(11:11)),2))</f>
        <v/>
      </c>
      <c r="W13" t="str">
        <f t="array" ref="W13">IF(ISERROR(INDEX($A$3:$B$14312,SMALL(IF($A$3:$A$14312=W$3,ROW($A$3:$A$14312)),ROW(11:11)),2)),"",INDEX($A$3:$B$14312,SMALL(IF($A$3:$A$14312=W$3,ROW($A$3:$A$14312)),ROW(11:11)),2))</f>
        <v>Router3_66</v>
      </c>
      <c r="X13" t="str">
        <f t="array" ref="X13">IF(ISERROR(INDEX($A$3:$B$14312,SMALL(IF($A$3:$A$14312=X$3,ROW($A$3:$A$14312)),ROW(11:11)),2)),"",INDEX($A$3:$B$14312,SMALL(IF($A$3:$A$14312=X$3,ROW($A$3:$A$14312)),ROW(11:11)),2))</f>
        <v/>
      </c>
      <c r="Y13" t="str">
        <f t="array" ref="Y13">IF(ISERROR(INDEX($A$3:$B$14312,SMALL(IF($A$3:$A$14312=Y$3,ROW($A$3:$A$14312)),ROW(11:11)),2)),"",INDEX($A$3:$B$14312,SMALL(IF($A$3:$A$14312=Y$3,ROW($A$3:$A$14312)),ROW(11:11)),2))</f>
        <v/>
      </c>
      <c r="Z13" t="str">
        <f t="array" ref="Z13">IF(ISERROR(INDEX($A$3:$B$14312,SMALL(IF($A$3:$A$14312=Z$3,ROW($A$3:$A$14312)),ROW(11:11)),2)),"",INDEX($A$3:$B$14312,SMALL(IF($A$3:$A$14312=Z$3,ROW($A$3:$A$14312)),ROW(11:11)),2))</f>
        <v/>
      </c>
      <c r="AA13" t="str">
        <f t="array" ref="AA13">IF(ISERROR(INDEX($A$3:$B$14312,SMALL(IF($A$3:$A$14312=AA$3,ROW($A$3:$A$14312)),ROW(11:11)),2)),"",INDEX($A$3:$B$14312,SMALL(IF($A$3:$A$14312=AA$3,ROW($A$3:$A$14312)),ROW(11:11)),2))</f>
        <v/>
      </c>
      <c r="AB13" t="str">
        <f t="array" ref="AB13">IF(ISERROR(INDEX($A$3:$B$14312,SMALL(IF($A$3:$A$14312=AB$3,ROW($A$3:$A$14312)),ROW(11:11)),2)),"",INDEX($A$3:$B$14312,SMALL(IF($A$3:$A$14312=AB$3,ROW($A$3:$A$14312)),ROW(11:11)),2))</f>
        <v/>
      </c>
      <c r="AC13" t="str">
        <f t="array" ref="AC13">IF(ISERROR(INDEX($A$3:$B$14312,SMALL(IF($A$3:$A$14312=AC$3,ROW($A$3:$A$14312)),ROW(11:11)),2)),"",INDEX($A$3:$B$14312,SMALL(IF($A$3:$A$14312=AC$3,ROW($A$3:$A$14312)),ROW(11:11)),2))</f>
        <v/>
      </c>
      <c r="AD13" t="str">
        <f t="array" ref="AD13">IF(ISERROR(INDEX($A$3:$B$14312,SMALL(IF($A$3:$A$14312=AD$3,ROW($A$3:$A$14312)),ROW(11:11)),2)),"",INDEX($A$3:$B$14312,SMALL(IF($A$3:$A$14312=AD$3,ROW($A$3:$A$14312)),ROW(11:11)),2))</f>
        <v/>
      </c>
      <c r="AE13" t="str">
        <f t="array" ref="AE13">IF(ISERROR(INDEX($A$3:$B$14312,SMALL(IF($A$3:$A$14312=AE$3,ROW($A$3:$A$14312)),ROW(11:11)),2)),"",INDEX($A$3:$B$14312,SMALL(IF($A$3:$A$14312=AE$3,ROW($A$3:$A$14312)),ROW(11:11)),2))</f>
        <v/>
      </c>
      <c r="AF13" t="str">
        <f t="array" ref="AF13">IF(ISERROR(INDEX($A$3:$B$14312,SMALL(IF($A$3:$A$14312=AF$3,ROW($A$3:$A$14312)),ROW(11:11)),2)),"",INDEX($A$3:$B$14312,SMALL(IF($A$3:$A$14312=AF$3,ROW($A$3:$A$14312)),ROW(11:11)),2))</f>
        <v>Router3_94</v>
      </c>
      <c r="AG13" t="str">
        <f t="array" ref="AG13">IF(ISERROR(INDEX($A$3:$B$14312,SMALL(IF($A$3:$A$14312=AG$3,ROW($A$3:$A$14312)),ROW(11:11)),2)),"",INDEX($A$3:$B$14312,SMALL(IF($A$3:$A$14312=AG$3,ROW($A$3:$A$14312)),ROW(11:11)),2))</f>
        <v>Router3_15</v>
      </c>
      <c r="AH13" t="str">
        <f t="array" ref="AH13">IF(ISERROR(INDEX($A$3:$B$14312,SMALL(IF($A$3:$A$14312=AH$3,ROW($A$3:$A$14312)),ROW(11:11)),2)),"",INDEX($A$3:$B$14312,SMALL(IF($A$3:$A$14312=AH$3,ROW($A$3:$A$14312)),ROW(11:11)),2))</f>
        <v>Router3_72</v>
      </c>
      <c r="AI13" t="str">
        <f t="array" ref="AI13">IF(ISERROR(INDEX($A$3:$B$14312,SMALL(IF($A$3:$A$14312=AI$3,ROW($A$3:$A$14312)),ROW(11:11)),2)),"",INDEX($A$3:$B$14312,SMALL(IF($A$3:$A$14312=AI$3,ROW($A$3:$A$14312)),ROW(11:11)),2))</f>
        <v>Router3_91</v>
      </c>
      <c r="AJ13" t="str">
        <f t="array" ref="AJ13">IF(ISERROR(INDEX($A$3:$B$14312,SMALL(IF($A$3:$A$14312=AJ$3,ROW($A$3:$A$14312)),ROW(11:11)),2)),"",INDEX($A$3:$B$14312,SMALL(IF($A$3:$A$14312=AJ$3,ROW($A$3:$A$14312)),ROW(11:11)),2))</f>
        <v/>
      </c>
      <c r="AK13" t="str">
        <f t="array" ref="AK13">IF(ISERROR(INDEX($A$3:$B$14312,SMALL(IF($A$3:$A$14312=AK$3,ROW($A$3:$A$14312)),ROW(11:11)),2)),"",INDEX($A$3:$B$14312,SMALL(IF($A$3:$A$14312=AK$3,ROW($A$3:$A$14312)),ROW(11:11)),2))</f>
        <v/>
      </c>
      <c r="AL13" t="str">
        <f t="array" ref="AL13">IF(ISERROR(INDEX($A$3:$B$14312,SMALL(IF($A$3:$A$14312=AL$3,ROW($A$3:$A$14312)),ROW(11:11)),2)),"",INDEX($A$3:$B$14312,SMALL(IF($A$3:$A$14312=AL$3,ROW($A$3:$A$14312)),ROW(11:11)),2))</f>
        <v>Router3_115</v>
      </c>
      <c r="AM13" t="str">
        <f t="array" ref="AM13">IF(ISERROR(INDEX($A$3:$B$14312,SMALL(IF($A$3:$A$14312=AM$3,ROW($A$3:$A$14312)),ROW(11:11)),2)),"",INDEX($A$3:$B$14312,SMALL(IF($A$3:$A$14312=AM$3,ROW($A$3:$A$14312)),ROW(11:11)),2))</f>
        <v>Router3_86</v>
      </c>
      <c r="AN13" t="str">
        <f t="array" ref="AN13">IF(ISERROR(INDEX($A$3:$B$14312,SMALL(IF($A$3:$A$14312=AN$3,ROW($A$3:$A$14312)),ROW(11:11)),2)),"",INDEX($A$3:$B$14312,SMALL(IF($A$3:$A$14312=AN$3,ROW($A$3:$A$14312)),ROW(11:11)),2))</f>
        <v>Router3_57</v>
      </c>
      <c r="AO13" t="str">
        <f t="array" ref="AO13">IF(ISERROR(INDEX($A$3:$B$14312,SMALL(IF($A$3:$A$14312=AO$3,ROW($A$3:$A$14312)),ROW(11:11)),2)),"",INDEX($A$3:$B$14312,SMALL(IF($A$3:$A$14312=AO$3,ROW($A$3:$A$14312)),ROW(11:11)),2))</f>
        <v>Router3_109</v>
      </c>
      <c r="AP13" t="str">
        <f t="array" ref="AP13">IF(ISERROR(INDEX($A$3:$B$14312,SMALL(IF($A$3:$A$14312=AP$3,ROW($A$3:$A$14312)),ROW(11:11)),2)),"",INDEX($A$3:$B$14312,SMALL(IF($A$3:$A$14312=AP$3,ROW($A$3:$A$14312)),ROW(11:11)),2))</f>
        <v>Router3_13</v>
      </c>
      <c r="AQ13" t="str">
        <f t="array" ref="AQ13">IF(ISERROR(INDEX($A$3:$B$14312,SMALL(IF($A$3:$A$14312=AQ$3,ROW($A$3:$A$14312)),ROW(11:11)),2)),"",INDEX($A$3:$B$14312,SMALL(IF($A$3:$A$14312=AQ$3,ROW($A$3:$A$14312)),ROW(11:11)),2))</f>
        <v/>
      </c>
      <c r="AR13" t="str">
        <f t="array" ref="AR13">IF(ISERROR(INDEX($A$3:$B$14312,SMALL(IF($A$3:$A$14312=AR$3,ROW($A$3:$A$14312)),ROW(11:11)),2)),"",INDEX($A$3:$B$14312,SMALL(IF($A$3:$A$14312=AR$3,ROW($A$3:$A$14312)),ROW(11:11)),2))</f>
        <v/>
      </c>
      <c r="AS13" t="str">
        <f t="array" ref="AS13">IF(ISERROR(INDEX($A$3:$B$14312,SMALL(IF($A$3:$A$14312=AS$3,ROW($A$3:$A$14312)),ROW(11:11)),2)),"",INDEX($A$3:$B$14312,SMALL(IF($A$3:$A$14312=AS$3,ROW($A$3:$A$14312)),ROW(11:11)),2))</f>
        <v>Router3_65</v>
      </c>
      <c r="AT13" t="str">
        <f t="array" ref="AT13">IF(ISERROR(INDEX($A$3:$B$14312,SMALL(IF($A$3:$A$14312=AT$3,ROW($A$3:$A$14312)),ROW(11:11)),2)),"",INDEX($A$3:$B$14312,SMALL(IF($A$3:$A$14312=AT$3,ROW($A$3:$A$14312)),ROW(11:11)),2))</f>
        <v/>
      </c>
      <c r="AU13" t="str">
        <f t="array" ref="AU13">IF(ISERROR(INDEX($A$3:$B$14312,SMALL(IF($A$3:$A$14312=AU$3,ROW($A$3:$A$14312)),ROW(11:11)),2)),"",INDEX($A$3:$B$14312,SMALL(IF($A$3:$A$14312=AU$3,ROW($A$3:$A$14312)),ROW(11:11)),2))</f>
        <v>Router3_13</v>
      </c>
      <c r="AV13" t="str">
        <f t="array" ref="AV13">IF(ISERROR(INDEX($A$3:$B$14312,SMALL(IF($A$3:$A$14312=AV$3,ROW($A$3:$A$14312)),ROW(11:11)),2)),"",INDEX($A$3:$B$14312,SMALL(IF($A$3:$A$14312=AV$3,ROW($A$3:$A$14312)),ROW(11:11)),2))</f>
        <v/>
      </c>
      <c r="AW13" t="str">
        <f t="array" ref="AW13">IF(ISERROR(INDEX($A$3:$B$14312,SMALL(IF($A$3:$A$14312=AW$3,ROW($A$3:$A$14312)),ROW(11:11)),2)),"",INDEX($A$3:$B$14312,SMALL(IF($A$3:$A$14312=AW$3,ROW($A$3:$A$14312)),ROW(11:11)),2))</f>
        <v/>
      </c>
      <c r="AX13" t="str">
        <f t="array" ref="AX13">IF(ISERROR(INDEX($A$3:$B$14312,SMALL(IF($A$3:$A$14312=AX$3,ROW($A$3:$A$14312)),ROW(11:11)),2)),"",INDEX($A$3:$B$14312,SMALL(IF($A$3:$A$14312=AX$3,ROW($A$3:$A$14312)),ROW(11:11)),2))</f>
        <v>Router3_164</v>
      </c>
      <c r="AY13" t="str">
        <f t="array" ref="AY13">IF(ISERROR(INDEX($A$3:$B$14312,SMALL(IF($A$3:$A$14312=AY$3,ROW($A$3:$A$14312)),ROW(11:11)),2)),"",INDEX($A$3:$B$14312,SMALL(IF($A$3:$A$14312=AY$3,ROW($A$3:$A$14312)),ROW(11:11)),2))</f>
        <v>Router3_86</v>
      </c>
      <c r="AZ13" t="str">
        <f t="array" ref="AZ13">IF(ISERROR(INDEX($A$3:$B$14312,SMALL(IF($A$3:$A$14312=AZ$3,ROW($A$3:$A$14312)),ROW(11:11)),2)),"",INDEX($A$3:$B$14312,SMALL(IF($A$3:$A$14312=AZ$3,ROW($A$3:$A$14312)),ROW(11:11)),2))</f>
        <v/>
      </c>
      <c r="BA13" t="str">
        <f t="array" ref="BA13">IF(ISERROR(INDEX($A$3:$B$14312,SMALL(IF($A$3:$A$14312=BA$3,ROW($A$3:$A$14312)),ROW(11:11)),2)),"",INDEX($A$3:$B$14312,SMALL(IF($A$3:$A$14312=BA$3,ROW($A$3:$A$14312)),ROW(11:11)),2))</f>
        <v/>
      </c>
      <c r="BB13" t="str">
        <f t="array" ref="BB13">IF(ISERROR(INDEX($A$3:$B$14312,SMALL(IF($A$3:$A$14312=BB$3,ROW($A$3:$A$14312)),ROW(11:11)),2)),"",INDEX($A$3:$B$14312,SMALL(IF($A$3:$A$14312=BB$3,ROW($A$3:$A$14312)),ROW(11:11)),2))</f>
        <v/>
      </c>
      <c r="BC13" t="str">
        <f t="array" ref="BC13">IF(ISERROR(INDEX($A$3:$B$14312,SMALL(IF($A$3:$A$14312=BC$3,ROW($A$3:$A$14312)),ROW(11:11)),2)),"",INDEX($A$3:$B$14312,SMALL(IF($A$3:$A$14312=BC$3,ROW($A$3:$A$14312)),ROW(11:11)),2))</f>
        <v/>
      </c>
      <c r="BD13" t="str">
        <f t="array" ref="BD13">IF(ISERROR(INDEX($A$3:$B$14312,SMALL(IF($A$3:$A$14312=BD$3,ROW($A$3:$A$14312)),ROW(11:11)),2)),"",INDEX($A$3:$B$14312,SMALL(IF($A$3:$A$14312=BD$3,ROW($A$3:$A$14312)),ROW(11:11)),2))</f>
        <v/>
      </c>
      <c r="BE13" t="str">
        <f t="array" ref="BE13">IF(ISERROR(INDEX($A$3:$B$14312,SMALL(IF($A$3:$A$14312=BE$3,ROW($A$3:$A$14312)),ROW(11:11)),2)),"",INDEX($A$3:$B$14312,SMALL(IF($A$3:$A$14312=BE$3,ROW($A$3:$A$14312)),ROW(11:11)),2))</f>
        <v>Router3_107</v>
      </c>
      <c r="BF13" t="str">
        <f t="array" ref="BF13">IF(ISERROR(INDEX($A$3:$B$14312,SMALL(IF($A$3:$A$14312=BF$3,ROW($A$3:$A$14312)),ROW(11:11)),2)),"",INDEX($A$3:$B$14312,SMALL(IF($A$3:$A$14312=BF$3,ROW($A$3:$A$14312)),ROW(11:11)),2))</f>
        <v/>
      </c>
      <c r="BG13" t="str">
        <f t="array" ref="BG13">IF(ISERROR(INDEX($A$3:$B$14312,SMALL(IF($A$3:$A$14312=BG$3,ROW($A$3:$A$14312)),ROW(11:11)),2)),"",INDEX($A$3:$B$14312,SMALL(IF($A$3:$A$14312=BG$3,ROW($A$3:$A$14312)),ROW(11:11)),2))</f>
        <v/>
      </c>
      <c r="BH13" t="str">
        <f t="array" ref="BH13">IF(ISERROR(INDEX($A$3:$B$14312,SMALL(IF($A$3:$A$14312=BH$3,ROW($A$3:$A$14312)),ROW(11:11)),2)),"",INDEX($A$3:$B$14312,SMALL(IF($A$3:$A$14312=BH$3,ROW($A$3:$A$14312)),ROW(11:11)),2))</f>
        <v/>
      </c>
      <c r="BI13" t="str">
        <f t="array" ref="BI13">IF(ISERROR(INDEX($A$3:$B$14312,SMALL(IF($A$3:$A$14312=BI$3,ROW($A$3:$A$14312)),ROW(11:11)),2)),"",INDEX($A$3:$B$14312,SMALL(IF($A$3:$A$14312=BI$3,ROW($A$3:$A$14312)),ROW(11:11)),2))</f>
        <v>Router3_100</v>
      </c>
      <c r="BJ13" t="str">
        <f t="array" ref="BJ13">IF(ISERROR(INDEX($A$3:$B$14312,SMALL(IF($A$3:$A$14312=BJ$3,ROW($A$3:$A$14312)),ROW(11:11)),2)),"",INDEX($A$3:$B$14312,SMALL(IF($A$3:$A$14312=BJ$3,ROW($A$3:$A$14312)),ROW(11:11)),2))</f>
        <v/>
      </c>
      <c r="BK13" t="str">
        <f t="array" ref="BK13">IF(ISERROR(INDEX($A$3:$B$14312,SMALL(IF($A$3:$A$14312=BK$3,ROW($A$3:$A$14312)),ROW(11:11)),2)),"",INDEX($A$3:$B$14312,SMALL(IF($A$3:$A$14312=BK$3,ROW($A$3:$A$14312)),ROW(11:11)),2))</f>
        <v/>
      </c>
      <c r="BL13" t="str">
        <f t="array" ref="BL13">IF(ISERROR(INDEX($A$3:$B$14312,SMALL(IF($A$3:$A$14312=BL$3,ROW($A$3:$A$14312)),ROW(11:11)),2)),"",INDEX($A$3:$B$14312,SMALL(IF($A$3:$A$14312=BL$3,ROW($A$3:$A$14312)),ROW(11:11)),2))</f>
        <v/>
      </c>
      <c r="BM13" t="str">
        <f t="array" ref="BM13">IF(ISERROR(INDEX($A$3:$B$14312,SMALL(IF($A$3:$A$14312=BM$3,ROW($A$3:$A$14312)),ROW(11:11)),2)),"",INDEX($A$3:$B$14312,SMALL(IF($A$3:$A$14312=BM$3,ROW($A$3:$A$14312)),ROW(11:11)),2))</f>
        <v>Router3_107</v>
      </c>
      <c r="BN13" t="str">
        <f t="array" ref="BN13">IF(ISERROR(INDEX($A$3:$B$14312,SMALL(IF($A$3:$A$14312=BN$3,ROW($A$3:$A$14312)),ROW(11:11)),2)),"",INDEX($A$3:$B$14312,SMALL(IF($A$3:$A$14312=BN$3,ROW($A$3:$A$14312)),ROW(11:11)),2))</f>
        <v/>
      </c>
      <c r="BO13" t="str">
        <f t="array" ref="BO13">IF(ISERROR(INDEX($A$3:$B$14312,SMALL(IF($A$3:$A$14312=BO$3,ROW($A$3:$A$14312)),ROW(11:11)),2)),"",INDEX($A$3:$B$14312,SMALL(IF($A$3:$A$14312=BO$3,ROW($A$3:$A$14312)),ROW(11:11)),2))</f>
        <v/>
      </c>
      <c r="BP13" t="str">
        <f t="array" ref="BP13">IF(ISERROR(INDEX($A$3:$B$14312,SMALL(IF($A$3:$A$14312=BP$3,ROW($A$3:$A$14312)),ROW(11:11)),2)),"",INDEX($A$3:$B$14312,SMALL(IF($A$3:$A$14312=BP$3,ROW($A$3:$A$14312)),ROW(11:11)),2))</f>
        <v/>
      </c>
      <c r="BQ13" t="str">
        <f t="array" ref="BQ13">IF(ISERROR(INDEX($A$3:$B$14312,SMALL(IF($A$3:$A$14312=BQ$3,ROW($A$3:$A$14312)),ROW(11:11)),2)),"",INDEX($A$3:$B$14312,SMALL(IF($A$3:$A$14312=BQ$3,ROW($A$3:$A$14312)),ROW(11:11)),2))</f>
        <v/>
      </c>
      <c r="BR13" t="str">
        <f t="array" ref="BR13">IF(ISERROR(INDEX($A$3:$B$14312,SMALL(IF($A$3:$A$14312=BR$3,ROW($A$3:$A$14312)),ROW(11:11)),2)),"",INDEX($A$3:$B$14312,SMALL(IF($A$3:$A$14312=BR$3,ROW($A$3:$A$14312)),ROW(11:11)),2))</f>
        <v/>
      </c>
      <c r="BS13" t="str">
        <f t="array" ref="BS13">IF(ISERROR(INDEX($A$3:$B$14312,SMALL(IF($A$3:$A$14312=BS$3,ROW($A$3:$A$14312)),ROW(11:11)),2)),"",INDEX($A$3:$B$14312,SMALL(IF($A$3:$A$14312=BS$3,ROW($A$3:$A$14312)),ROW(11:11)),2))</f>
        <v/>
      </c>
      <c r="BT13" t="str">
        <f t="array" ref="BT13">IF(ISERROR(INDEX($A$3:$B$14312,SMALL(IF($A$3:$A$14312=BT$3,ROW($A$3:$A$14312)),ROW(11:11)),2)),"",INDEX($A$3:$B$14312,SMALL(IF($A$3:$A$14312=BT$3,ROW($A$3:$A$14312)),ROW(11:11)),2))</f>
        <v>Router3_62</v>
      </c>
      <c r="BU13" t="str">
        <f t="array" ref="BU13">IF(ISERROR(INDEX($A$3:$B$14312,SMALL(IF($A$3:$A$14312=BU$3,ROW($A$3:$A$14312)),ROW(11:11)),2)),"",INDEX($A$3:$B$14312,SMALL(IF($A$3:$A$14312=BU$3,ROW($A$3:$A$14312)),ROW(11:11)),2))</f>
        <v/>
      </c>
      <c r="BV13" t="str">
        <f t="array" ref="BV13">IF(ISERROR(INDEX($A$3:$B$14312,SMALL(IF($A$3:$A$14312=BV$3,ROW($A$3:$A$14312)),ROW(11:11)),2)),"",INDEX($A$3:$B$14312,SMALL(IF($A$3:$A$14312=BV$3,ROW($A$3:$A$14312)),ROW(11:11)),2))</f>
        <v/>
      </c>
      <c r="BW13" t="str">
        <f t="array" ref="BW13">IF(ISERROR(INDEX($A$3:$B$14312,SMALL(IF($A$3:$A$14312=BW$3,ROW($A$3:$A$14312)),ROW(11:11)),2)),"",INDEX($A$3:$B$14312,SMALL(IF($A$3:$A$14312=BW$3,ROW($A$3:$A$14312)),ROW(11:11)),2))</f>
        <v>Router3_149</v>
      </c>
      <c r="BX13" t="str">
        <f t="array" ref="BX13">IF(ISERROR(INDEX($A$3:$B$14312,SMALL(IF($A$3:$A$14312=BX$3,ROW($A$3:$A$14312)),ROW(11:11)),2)),"",INDEX($A$3:$B$14312,SMALL(IF($A$3:$A$14312=BX$3,ROW($A$3:$A$14312)),ROW(11:11)),2))</f>
        <v>Router3_45</v>
      </c>
      <c r="BY13" t="str">
        <f t="array" ref="BY13">IF(ISERROR(INDEX($A$3:$B$14312,SMALL(IF($A$3:$A$14312=BY$3,ROW($A$3:$A$14312)),ROW(11:11)),2)),"",INDEX($A$3:$B$14312,SMALL(IF($A$3:$A$14312=BY$3,ROW($A$3:$A$14312)),ROW(11:11)),2))</f>
        <v>Router3_65</v>
      </c>
      <c r="BZ13" t="str">
        <f t="array" ref="BZ13">IF(ISERROR(INDEX($A$3:$B$14312,SMALL(IF($A$3:$A$14312=BZ$3,ROW($A$3:$A$14312)),ROW(11:11)),2)),"",INDEX($A$3:$B$14312,SMALL(IF($A$3:$A$14312=BZ$3,ROW($A$3:$A$14312)),ROW(11:11)),2))</f>
        <v>Router3_65</v>
      </c>
      <c r="CA13" t="str">
        <f t="array" ref="CA13">IF(ISERROR(INDEX($A$3:$B$14312,SMALL(IF($A$3:$A$14312=CA$3,ROW($A$3:$A$14312)),ROW(11:11)),2)),"",INDEX($A$3:$B$14312,SMALL(IF($A$3:$A$14312=CA$3,ROW($A$3:$A$14312)),ROW(11:11)),2))</f>
        <v/>
      </c>
      <c r="CB13" t="str">
        <f t="array" ref="CB13">IF(ISERROR(INDEX($A$3:$B$14312,SMALL(IF($A$3:$A$14312=CB$3,ROW($A$3:$A$14312)),ROW(11:11)),2)),"",INDEX($A$3:$B$14312,SMALL(IF($A$3:$A$14312=CB$3,ROW($A$3:$A$14312)),ROW(11:11)),2))</f>
        <v>Router3_95</v>
      </c>
      <c r="CC13" t="str">
        <f t="array" ref="CC13">IF(ISERROR(INDEX($A$3:$B$14312,SMALL(IF($A$3:$A$14312=CC$3,ROW($A$3:$A$14312)),ROW(11:11)),2)),"",INDEX($A$3:$B$14312,SMALL(IF($A$3:$A$14312=CC$3,ROW($A$3:$A$14312)),ROW(11:11)),2))</f>
        <v/>
      </c>
      <c r="CD13" t="str">
        <f t="array" ref="CD13">IF(ISERROR(INDEX($A$3:$B$14312,SMALL(IF($A$3:$A$14312=CD$3,ROW($A$3:$A$14312)),ROW(11:11)),2)),"",INDEX($A$3:$B$14312,SMALL(IF($A$3:$A$14312=CD$3,ROW($A$3:$A$14312)),ROW(11:11)),2))</f>
        <v>Router3_107</v>
      </c>
      <c r="CE13" t="str">
        <f t="array" ref="CE13">IF(ISERROR(INDEX($A$3:$B$14312,SMALL(IF($A$3:$A$14312=CE$3,ROW($A$3:$A$14312)),ROW(11:11)),2)),"",INDEX($A$3:$B$14312,SMALL(IF($A$3:$A$14312=CE$3,ROW($A$3:$A$14312)),ROW(11:11)),2))</f>
        <v>Router3_107</v>
      </c>
      <c r="CF13" t="str">
        <f t="array" ref="CF13">IF(ISERROR(INDEX($A$3:$B$14312,SMALL(IF($A$3:$A$14312=CF$3,ROW($A$3:$A$14312)),ROW(11:11)),2)),"",INDEX($A$3:$B$14312,SMALL(IF($A$3:$A$14312=CF$3,ROW($A$3:$A$14312)),ROW(11:11)),2))</f>
        <v/>
      </c>
      <c r="CG13" t="str">
        <f t="array" ref="CG13">IF(ISERROR(INDEX($A$3:$B$14312,SMALL(IF($A$3:$A$14312=CG$3,ROW($A$3:$A$14312)),ROW(11:11)),2)),"",INDEX($A$3:$B$14312,SMALL(IF($A$3:$A$14312=CG$3,ROW($A$3:$A$14312)),ROW(11:11)),2))</f>
        <v>Router3_15</v>
      </c>
      <c r="CH13" t="str">
        <f t="array" ref="CH13">IF(ISERROR(INDEX($A$3:$B$14312,SMALL(IF($A$3:$A$14312=CH$3,ROW($A$3:$A$14312)),ROW(11:11)),2)),"",INDEX($A$3:$B$14312,SMALL(IF($A$3:$A$14312=CH$3,ROW($A$3:$A$14312)),ROW(11:11)),2))</f>
        <v/>
      </c>
      <c r="CI13" t="str">
        <f t="array" ref="CI13">IF(ISERROR(INDEX($A$3:$B$14312,SMALL(IF($A$3:$A$14312=CI$3,ROW($A$3:$A$14312)),ROW(11:11)),2)),"",INDEX($A$3:$B$14312,SMALL(IF($A$3:$A$14312=CI$3,ROW($A$3:$A$14312)),ROW(11:11)),2))</f>
        <v>Router3_106</v>
      </c>
      <c r="CJ13" t="str">
        <f t="array" ref="CJ13">IF(ISERROR(INDEX($A$3:$B$14312,SMALL(IF($A$3:$A$14312=CJ$3,ROW($A$3:$A$14312)),ROW(11:11)),2)),"",INDEX($A$3:$B$14312,SMALL(IF($A$3:$A$14312=CJ$3,ROW($A$3:$A$14312)),ROW(11:11)),2))</f>
        <v/>
      </c>
      <c r="CK13" t="str">
        <f t="array" ref="CK13">IF(ISERROR(INDEX($A$3:$B$14312,SMALL(IF($A$3:$A$14312=CK$3,ROW($A$3:$A$14312)),ROW(11:11)),2)),"",INDEX($A$3:$B$14312,SMALL(IF($A$3:$A$14312=CK$3,ROW($A$3:$A$14312)),ROW(11:11)),2))</f>
        <v/>
      </c>
      <c r="CL13" t="str">
        <f t="array" ref="CL13">IF(ISERROR(INDEX($A$3:$B$14312,SMALL(IF($A$3:$A$14312=CL$3,ROW($A$3:$A$14312)),ROW(11:11)),2)),"",INDEX($A$3:$B$14312,SMALL(IF($A$3:$A$14312=CL$3,ROW($A$3:$A$14312)),ROW(11:11)),2))</f>
        <v/>
      </c>
      <c r="CM13" t="str">
        <f t="array" ref="CM13">IF(ISERROR(INDEX($A$3:$B$14312,SMALL(IF($A$3:$A$14312=CM$3,ROW($A$3:$A$14312)),ROW(11:11)),2)),"",INDEX($A$3:$B$14312,SMALL(IF($A$3:$A$14312=CM$3,ROW($A$3:$A$14312)),ROW(11:11)),2))</f>
        <v/>
      </c>
      <c r="CN13" t="str">
        <f t="array" ref="CN13">IF(ISERROR(INDEX($A$3:$B$14312,SMALL(IF($A$3:$A$14312=CN$3,ROW($A$3:$A$14312)),ROW(11:11)),2)),"",INDEX($A$3:$B$14312,SMALL(IF($A$3:$A$14312=CN$3,ROW($A$3:$A$14312)),ROW(11:11)),2))</f>
        <v>Router3_15</v>
      </c>
      <c r="CO13" t="str">
        <f t="array" ref="CO13">IF(ISERROR(INDEX($A$3:$B$14312,SMALL(IF($A$3:$A$14312=CO$3,ROW($A$3:$A$14312)),ROW(11:11)),2)),"",INDEX($A$3:$B$14312,SMALL(IF($A$3:$A$14312=CO$3,ROW($A$3:$A$14312)),ROW(11:11)),2))</f>
        <v>Router3_85</v>
      </c>
      <c r="CP13" t="str">
        <f t="array" ref="CP13">IF(ISERROR(INDEX($A$3:$B$14312,SMALL(IF($A$3:$A$14312=CP$3,ROW($A$3:$A$14312)),ROW(11:11)),2)),"",INDEX($A$3:$B$14312,SMALL(IF($A$3:$A$14312=CP$3,ROW($A$3:$A$14312)),ROW(11:11)),2))</f>
        <v>Router3_14</v>
      </c>
      <c r="CQ13" t="str">
        <f t="array" ref="CQ13">IF(ISERROR(INDEX($A$3:$B$14312,SMALL(IF($A$3:$A$14312=CQ$3,ROW($A$3:$A$14312)),ROW(11:11)),2)),"",INDEX($A$3:$B$14312,SMALL(IF($A$3:$A$14312=CQ$3,ROW($A$3:$A$14312)),ROW(11:11)),2))</f>
        <v/>
      </c>
      <c r="CR13" t="str">
        <f t="array" ref="CR13">IF(ISERROR(INDEX($A$3:$B$14312,SMALL(IF($A$3:$A$14312=CR$3,ROW($A$3:$A$14312)),ROW(11:11)),2)),"",INDEX($A$3:$B$14312,SMALL(IF($A$3:$A$14312=CR$3,ROW($A$3:$A$14312)),ROW(11:11)),2))</f>
        <v/>
      </c>
      <c r="CS13" t="str">
        <f t="array" ref="CS13">IF(ISERROR(INDEX($A$3:$B$14312,SMALL(IF($A$3:$A$14312=CS$3,ROW($A$3:$A$14312)),ROW(11:11)),2)),"",INDEX($A$3:$B$14312,SMALL(IF($A$3:$A$14312=CS$3,ROW($A$3:$A$14312)),ROW(11:11)),2))</f>
        <v/>
      </c>
      <c r="CT13" t="str">
        <f t="array" ref="CT13">IF(ISERROR(INDEX($A$3:$B$14312,SMALL(IF($A$3:$A$14312=CT$3,ROW($A$3:$A$14312)),ROW(11:11)),2)),"",INDEX($A$3:$B$14312,SMALL(IF($A$3:$A$14312=CT$3,ROW($A$3:$A$14312)),ROW(11:11)),2))</f>
        <v/>
      </c>
      <c r="CU13" t="str">
        <f t="array" ref="CU13">IF(ISERROR(INDEX($A$3:$B$14312,SMALL(IF($A$3:$A$14312=CU$3,ROW($A$3:$A$14312)),ROW(11:11)),2)),"",INDEX($A$3:$B$14312,SMALL(IF($A$3:$A$14312=CU$3,ROW($A$3:$A$14312)),ROW(11:11)),2))</f>
        <v/>
      </c>
      <c r="CV13" t="str">
        <f t="array" ref="CV13">IF(ISERROR(INDEX($A$3:$B$14312,SMALL(IF($A$3:$A$14312=CV$3,ROW($A$3:$A$14312)),ROW(11:11)),2)),"",INDEX($A$3:$B$14312,SMALL(IF($A$3:$A$14312=CV$3,ROW($A$3:$A$14312)),ROW(11:11)),2))</f>
        <v>Router3_85</v>
      </c>
      <c r="CW13" t="str">
        <f t="array" ref="CW13">IF(ISERROR(INDEX($A$3:$B$14312,SMALL(IF($A$3:$A$14312=CW$3,ROW($A$3:$A$14312)),ROW(11:11)),2)),"",INDEX($A$3:$B$14312,SMALL(IF($A$3:$A$14312=CW$3,ROW($A$3:$A$14312)),ROW(11:11)),2))</f>
        <v/>
      </c>
      <c r="CX13" t="str">
        <f t="array" ref="CX13">IF(ISERROR(INDEX($A$3:$B$14312,SMALL(IF($A$3:$A$14312=CX$3,ROW($A$3:$A$14312)),ROW(11:11)),2)),"",INDEX($A$3:$B$14312,SMALL(IF($A$3:$A$14312=CX$3,ROW($A$3:$A$14312)),ROW(11:11)),2))</f>
        <v/>
      </c>
      <c r="CY13" t="str">
        <f t="array" ref="CY13">IF(ISERROR(INDEX($A$3:$B$14312,SMALL(IF($A$3:$A$14312=CY$3,ROW($A$3:$A$14312)),ROW(11:11)),2)),"",INDEX($A$3:$B$14312,SMALL(IF($A$3:$A$14312=CY$3,ROW($A$3:$A$14312)),ROW(11:11)),2))</f>
        <v>Router3_69</v>
      </c>
      <c r="CZ13" t="str">
        <f t="array" ref="CZ13">IF(ISERROR(INDEX($A$3:$B$14312,SMALL(IF($A$3:$A$14312=CZ$3,ROW($A$3:$A$14312)),ROW(11:11)),2)),"",INDEX($A$3:$B$14312,SMALL(IF($A$3:$A$14312=CZ$3,ROW($A$3:$A$14312)),ROW(11:11)),2))</f>
        <v>Router3_121</v>
      </c>
      <c r="DA13" t="str">
        <f t="array" ref="DA13">IF(ISERROR(INDEX($A$3:$B$14312,SMALL(IF($A$3:$A$14312=DA$3,ROW($A$3:$A$14312)),ROW(11:11)),2)),"",INDEX($A$3:$B$14312,SMALL(IF($A$3:$A$14312=DA$3,ROW($A$3:$A$14312)),ROW(11:11)),2))</f>
        <v>Router3_142</v>
      </c>
      <c r="DB13" t="str">
        <f t="array" ref="DB13">IF(ISERROR(INDEX($A$3:$B$14312,SMALL(IF($A$3:$A$14312=DB$3,ROW($A$3:$A$14312)),ROW(11:11)),2)),"",INDEX($A$3:$B$14312,SMALL(IF($A$3:$A$14312=DB$3,ROW($A$3:$A$14312)),ROW(11:11)),2))</f>
        <v>Router3_107</v>
      </c>
      <c r="DC13" t="str">
        <f t="array" ref="DC13">IF(ISERROR(INDEX($A$3:$B$14312,SMALL(IF($A$3:$A$14312=DC$3,ROW($A$3:$A$14312)),ROW(11:11)),2)),"",INDEX($A$3:$B$14312,SMALL(IF($A$3:$A$14312=DC$3,ROW($A$3:$A$14312)),ROW(11:11)),2))</f>
        <v>Router3_94</v>
      </c>
      <c r="DD13" t="str">
        <f t="array" ref="DD13">IF(ISERROR(INDEX($A$3:$B$14312,SMALL(IF($A$3:$A$14312=DD$3,ROW($A$3:$A$14312)),ROW(11:11)),2)),"",INDEX($A$3:$B$14312,SMALL(IF($A$3:$A$14312=DD$3,ROW($A$3:$A$14312)),ROW(11:11)),2))</f>
        <v/>
      </c>
      <c r="DE13" t="str">
        <f t="array" ref="DE13">IF(ISERROR(INDEX($A$3:$B$14312,SMALL(IF($A$3:$A$14312=DE$3,ROW($A$3:$A$14312)),ROW(11:11)),2)),"",INDEX($A$3:$B$14312,SMALL(IF($A$3:$A$14312=DE$3,ROW($A$3:$A$14312)),ROW(11:11)),2))</f>
        <v>Router3_107</v>
      </c>
      <c r="DF13" t="str">
        <f t="array" ref="DF13">IF(ISERROR(INDEX($A$3:$B$14312,SMALL(IF($A$3:$A$14312=DF$3,ROW($A$3:$A$14312)),ROW(11:11)),2)),"",INDEX($A$3:$B$14312,SMALL(IF($A$3:$A$14312=DF$3,ROW($A$3:$A$14312)),ROW(11:11)),2))</f>
        <v/>
      </c>
      <c r="DG13" t="str">
        <f t="array" ref="DG13">IF(ISERROR(INDEX($A$3:$B$14312,SMALL(IF($A$3:$A$14312=DG$3,ROW($A$3:$A$14312)),ROW(11:11)),2)),"",INDEX($A$3:$B$14312,SMALL(IF($A$3:$A$14312=DG$3,ROW($A$3:$A$14312)),ROW(11:11)),2))</f>
        <v>Router3_13</v>
      </c>
      <c r="DH13" t="str">
        <f t="array" ref="DH13">IF(ISERROR(INDEX($A$3:$B$14312,SMALL(IF($A$3:$A$14312=DH$3,ROW($A$3:$A$14312)),ROW(11:11)),2)),"",INDEX($A$3:$B$14312,SMALL(IF($A$3:$A$14312=DH$3,ROW($A$3:$A$14312)),ROW(11:11)),2))</f>
        <v>Router3_8</v>
      </c>
      <c r="DI13" t="str">
        <f t="array" ref="DI13">IF(ISERROR(INDEX($A$3:$B$14312,SMALL(IF($A$3:$A$14312=DI$3,ROW($A$3:$A$14312)),ROW(11:11)),2)),"",INDEX($A$3:$B$14312,SMALL(IF($A$3:$A$14312=DI$3,ROW($A$3:$A$14312)),ROW(11:11)),2))</f>
        <v>Router3_77</v>
      </c>
      <c r="DJ13" t="str">
        <f t="array" ref="DJ13">IF(ISERROR(INDEX($A$3:$B$14312,SMALL(IF($A$3:$A$14312=DJ$3,ROW($A$3:$A$14312)),ROW(11:11)),2)),"",INDEX($A$3:$B$14312,SMALL(IF($A$3:$A$14312=DJ$3,ROW($A$3:$A$14312)),ROW(11:11)),2))</f>
        <v>Router3_49</v>
      </c>
      <c r="DK13" t="str">
        <f t="array" ref="DK13">IF(ISERROR(INDEX($A$3:$B$14312,SMALL(IF($A$3:$A$14312=DK$3,ROW($A$3:$A$14312)),ROW(11:11)),2)),"",INDEX($A$3:$B$14312,SMALL(IF($A$3:$A$14312=DK$3,ROW($A$3:$A$14312)),ROW(11:11)),2))</f>
        <v>Router3_71</v>
      </c>
      <c r="DL13" t="str">
        <f t="array" ref="DL13">IF(ISERROR(INDEX($A$3:$B$14312,SMALL(IF($A$3:$A$14312=DL$3,ROW($A$3:$A$14312)),ROW(11:11)),2)),"",INDEX($A$3:$B$14312,SMALL(IF($A$3:$A$14312=DL$3,ROW($A$3:$A$14312)),ROW(11:11)),2))</f>
        <v>Router3_99</v>
      </c>
      <c r="DM13" t="str">
        <f t="array" ref="DM13">IF(ISERROR(INDEX($A$3:$B$14312,SMALL(IF($A$3:$A$14312=DM$3,ROW($A$3:$A$14312)),ROW(11:11)),2)),"",INDEX($A$3:$B$14312,SMALL(IF($A$3:$A$14312=DM$3,ROW($A$3:$A$14312)),ROW(11:11)),2))</f>
        <v/>
      </c>
      <c r="DN13" t="str">
        <f t="array" ref="DN13">IF(ISERROR(INDEX($A$3:$B$14312,SMALL(IF($A$3:$A$14312=DN$3,ROW($A$3:$A$14312)),ROW(11:11)),2)),"",INDEX($A$3:$B$14312,SMALL(IF($A$3:$A$14312=DN$3,ROW($A$3:$A$14312)),ROW(11:11)),2))</f>
        <v>Router3_58</v>
      </c>
      <c r="DO13" t="str">
        <f t="array" ref="DO13">IF(ISERROR(INDEX($A$3:$B$14312,SMALL(IF($A$3:$A$14312=DO$3,ROW($A$3:$A$14312)),ROW(11:11)),2)),"",INDEX($A$3:$B$14312,SMALL(IF($A$3:$A$14312=DO$3,ROW($A$3:$A$14312)),ROW(11:11)),2))</f>
        <v>Router3_109</v>
      </c>
      <c r="DP13" t="str">
        <f t="array" ref="DP13">IF(ISERROR(INDEX($A$3:$B$14312,SMALL(IF($A$3:$A$14312=DP$3,ROW($A$3:$A$14312)),ROW(11:11)),2)),"",INDEX($A$3:$B$14312,SMALL(IF($A$3:$A$14312=DP$3,ROW($A$3:$A$14312)),ROW(11:11)),2))</f>
        <v/>
      </c>
      <c r="DQ13" t="str">
        <f t="array" ref="DQ13">IF(ISERROR(INDEX($A$3:$B$14312,SMALL(IF($A$3:$A$14312=DQ$3,ROW($A$3:$A$14312)),ROW(11:11)),2)),"",INDEX($A$3:$B$14312,SMALL(IF($A$3:$A$14312=DQ$3,ROW($A$3:$A$14312)),ROW(11:11)),2))</f>
        <v/>
      </c>
      <c r="DR13" t="str">
        <f t="array" ref="DR13">IF(ISERROR(INDEX($A$3:$B$14312,SMALL(IF($A$3:$A$14312=DR$3,ROW($A$3:$A$14312)),ROW(11:11)),2)),"",INDEX($A$3:$B$14312,SMALL(IF($A$3:$A$14312=DR$3,ROW($A$3:$A$14312)),ROW(11:11)),2))</f>
        <v>Router3_13</v>
      </c>
      <c r="DS13" t="str">
        <f t="array" ref="DS13">IF(ISERROR(INDEX($A$3:$B$14312,SMALL(IF($A$3:$A$14312=DS$3,ROW($A$3:$A$14312)),ROW(11:11)),2)),"",INDEX($A$3:$B$14312,SMALL(IF($A$3:$A$14312=DS$3,ROW($A$3:$A$14312)),ROW(11:11)),2))</f>
        <v/>
      </c>
      <c r="DT13" t="str">
        <f t="array" ref="DT13">IF(ISERROR(INDEX($A$3:$B$14312,SMALL(IF($A$3:$A$14312=DT$3,ROW($A$3:$A$14312)),ROW(11:11)),2)),"",INDEX($A$3:$B$14312,SMALL(IF($A$3:$A$14312=DT$3,ROW($A$3:$A$14312)),ROW(11:11)),2))</f>
        <v>Router3_77</v>
      </c>
      <c r="DU13" t="str">
        <f t="array" ref="DU13">IF(ISERROR(INDEX($A$3:$B$14312,SMALL(IF($A$3:$A$14312=DU$3,ROW($A$3:$A$14312)),ROW(11:11)),2)),"",INDEX($A$3:$B$14312,SMALL(IF($A$3:$A$14312=DU$3,ROW($A$3:$A$14312)),ROW(11:11)),2))</f>
        <v>Router3_129</v>
      </c>
      <c r="DV13" t="str">
        <f t="array" ref="DV13">IF(ISERROR(INDEX($A$3:$B$14312,SMALL(IF($A$3:$A$14312=DV$3,ROW($A$3:$A$14312)),ROW(11:11)),2)),"",INDEX($A$3:$B$14312,SMALL(IF($A$3:$A$14312=DV$3,ROW($A$3:$A$14312)),ROW(11:11)),2))</f>
        <v>Router3_106</v>
      </c>
      <c r="DW13" t="str">
        <f t="array" ref="DW13">IF(ISERROR(INDEX($A$3:$B$14312,SMALL(IF($A$3:$A$14312=DW$3,ROW($A$3:$A$14312)),ROW(11:11)),2)),"",INDEX($A$3:$B$14312,SMALL(IF($A$3:$A$14312=DW$3,ROW($A$3:$A$14312)),ROW(11:11)),2))</f>
        <v/>
      </c>
      <c r="DX13" t="str">
        <f t="array" ref="DX13">IF(ISERROR(INDEX($A$3:$B$14312,SMALL(IF($A$3:$A$14312=DX$3,ROW($A$3:$A$14312)),ROW(11:11)),2)),"",INDEX($A$3:$B$14312,SMALL(IF($A$3:$A$14312=DX$3,ROW($A$3:$A$14312)),ROW(11:11)),2))</f>
        <v/>
      </c>
      <c r="DY13" t="str">
        <f t="array" ref="DY13">IF(ISERROR(INDEX($A$3:$B$14312,SMALL(IF($A$3:$A$14312=DY$3,ROW($A$3:$A$14312)),ROW(11:11)),2)),"",INDEX($A$3:$B$14312,SMALL(IF($A$3:$A$14312=DY$3,ROW($A$3:$A$14312)),ROW(11:11)),2))</f>
        <v/>
      </c>
      <c r="DZ13" t="str">
        <f t="array" ref="DZ13">IF(ISERROR(INDEX($A$3:$B$14312,SMALL(IF($A$3:$A$14312=DZ$3,ROW($A$3:$A$14312)),ROW(11:11)),2)),"",INDEX($A$3:$B$14312,SMALL(IF($A$3:$A$14312=DZ$3,ROW($A$3:$A$14312)),ROW(11:11)),2))</f>
        <v/>
      </c>
      <c r="EA13" t="str">
        <f t="array" ref="EA13">IF(ISERROR(INDEX($A$3:$B$14312,SMALL(IF($A$3:$A$14312=EA$3,ROW($A$3:$A$14312)),ROW(11:11)),2)),"",INDEX($A$3:$B$14312,SMALL(IF($A$3:$A$14312=EA$3,ROW($A$3:$A$14312)),ROW(11:11)),2))</f>
        <v>Router3_102</v>
      </c>
      <c r="EB13" t="str">
        <f t="array" ref="EB13">IF(ISERROR(INDEX($A$3:$B$14312,SMALL(IF($A$3:$A$14312=EB$3,ROW($A$3:$A$14312)),ROW(11:11)),2)),"",INDEX($A$3:$B$14312,SMALL(IF($A$3:$A$14312=EB$3,ROW($A$3:$A$14312)),ROW(11:11)),2))</f>
        <v>Router3_127</v>
      </c>
      <c r="EC13" t="str">
        <f t="array" ref="EC13">IF(ISERROR(INDEX($A$3:$B$14312,SMALL(IF($A$3:$A$14312=EC$3,ROW($A$3:$A$14312)),ROW(11:11)),2)),"",INDEX($A$3:$B$14312,SMALL(IF($A$3:$A$14312=EC$3,ROW($A$3:$A$14312)),ROW(11:11)),2))</f>
        <v>Router3_66</v>
      </c>
      <c r="ED13" t="str">
        <f t="array" ref="ED13">IF(ISERROR(INDEX($A$3:$B$14312,SMALL(IF($A$3:$A$14312=ED$3,ROW($A$3:$A$14312)),ROW(11:11)),2)),"",INDEX($A$3:$B$14312,SMALL(IF($A$3:$A$14312=ED$3,ROW($A$3:$A$14312)),ROW(11:11)),2))</f>
        <v>Router3_117</v>
      </c>
      <c r="EE13" t="str">
        <f t="array" ref="EE13">IF(ISERROR(INDEX($A$3:$B$14312,SMALL(IF($A$3:$A$14312=EE$3,ROW($A$3:$A$14312)),ROW(11:11)),2)),"",INDEX($A$3:$B$14312,SMALL(IF($A$3:$A$14312=EE$3,ROW($A$3:$A$14312)),ROW(11:11)),2))</f>
        <v>Router3_151</v>
      </c>
    </row>
    <row r="14" spans="1:135" x14ac:dyDescent="0.25">
      <c r="A14" s="10">
        <v>-485017363</v>
      </c>
      <c r="B14" t="s">
        <v>1211</v>
      </c>
      <c r="E14" t="str">
        <f t="array" ref="E14">IF(ISERROR(INDEX($A$3:$B$14312,SMALL(IF($A$3:$A$14312=E$3,ROW($A$3:$A$14312)),ROW(12:12)),2)),"",INDEX($A$3:$B$14312,SMALL(IF($A$3:$A$14312=E$3,ROW($A$3:$A$14312)),ROW(12:12)),2))</f>
        <v>Router3_16</v>
      </c>
      <c r="F14" t="str">
        <f t="array" ref="F14">IF(ISERROR(INDEX($A$3:$B$14312,SMALL(IF($A$3:$A$14312=F$3,ROW($A$3:$A$14312)),ROW(12:12)),2)),"",INDEX($A$3:$B$14312,SMALL(IF($A$3:$A$14312=F$3,ROW($A$3:$A$14312)),ROW(12:12)),2))</f>
        <v>Router3_45</v>
      </c>
      <c r="G14" t="str">
        <f t="array" ref="G14">IF(ISERROR(INDEX($A$3:$B$14312,SMALL(IF($A$3:$A$14312=G$3,ROW($A$3:$A$14312)),ROW(12:12)),2)),"",INDEX($A$3:$B$14312,SMALL(IF($A$3:$A$14312=G$3,ROW($A$3:$A$14312)),ROW(12:12)),2))</f>
        <v>Router3_51</v>
      </c>
      <c r="H14" t="str">
        <f t="array" ref="H14">IF(ISERROR(INDEX($A$3:$B$14312,SMALL(IF($A$3:$A$14312=H$3,ROW($A$3:$A$14312)),ROW(12:12)),2)),"",INDEX($A$3:$B$14312,SMALL(IF($A$3:$A$14312=H$3,ROW($A$3:$A$14312)),ROW(12:12)),2))</f>
        <v>Router3_23</v>
      </c>
      <c r="I14" t="str">
        <f t="array" ref="I14">IF(ISERROR(INDEX($A$3:$B$14312,SMALL(IF($A$3:$A$14312=I$3,ROW($A$3:$A$14312)),ROW(12:12)),2)),"",INDEX($A$3:$B$14312,SMALL(IF($A$3:$A$14312=I$3,ROW($A$3:$A$14312)),ROW(12:12)),2))</f>
        <v/>
      </c>
      <c r="J14" t="str">
        <f t="array" ref="J14">IF(ISERROR(INDEX($A$3:$B$14312,SMALL(IF($A$3:$A$14312=J$3,ROW($A$3:$A$14312)),ROW(12:12)),2)),"",INDEX($A$3:$B$14312,SMALL(IF($A$3:$A$14312=J$3,ROW($A$3:$A$14312)),ROW(12:12)),2))</f>
        <v>Router3_143</v>
      </c>
      <c r="K14" t="str">
        <f t="array" ref="K14">IF(ISERROR(INDEX($A$3:$B$14312,SMALL(IF($A$3:$A$14312=K$3,ROW($A$3:$A$14312)),ROW(12:12)),2)),"",INDEX($A$3:$B$14312,SMALL(IF($A$3:$A$14312=K$3,ROW($A$3:$A$14312)),ROW(12:12)),2))</f>
        <v>Router3_122</v>
      </c>
      <c r="L14" t="str">
        <f t="array" ref="L14">IF(ISERROR(INDEX($A$3:$B$14312,SMALL(IF($A$3:$A$14312=L$3,ROW($A$3:$A$14312)),ROW(12:12)),2)),"",INDEX($A$3:$B$14312,SMALL(IF($A$3:$A$14312=L$3,ROW($A$3:$A$14312)),ROW(12:12)),2))</f>
        <v/>
      </c>
      <c r="M14" t="str">
        <f t="array" ref="M14">IF(ISERROR(INDEX($A$3:$B$14312,SMALL(IF($A$3:$A$14312=M$3,ROW($A$3:$A$14312)),ROW(12:12)),2)),"",INDEX($A$3:$B$14312,SMALL(IF($A$3:$A$14312=M$3,ROW($A$3:$A$14312)),ROW(12:12)),2))</f>
        <v>Router3_108</v>
      </c>
      <c r="N14" t="str">
        <f t="array" ref="N14">IF(ISERROR(INDEX($A$3:$B$14312,SMALL(IF($A$3:$A$14312=N$3,ROW($A$3:$A$14312)),ROW(12:12)),2)),"",INDEX($A$3:$B$14312,SMALL(IF($A$3:$A$14312=N$3,ROW($A$3:$A$14312)),ROW(12:12)),2))</f>
        <v/>
      </c>
      <c r="O14" t="str">
        <f t="array" ref="O14">IF(ISERROR(INDEX($A$3:$B$14312,SMALL(IF($A$3:$A$14312=O$3,ROW($A$3:$A$14312)),ROW(12:12)),2)),"",INDEX($A$3:$B$14312,SMALL(IF($A$3:$A$14312=O$3,ROW($A$3:$A$14312)),ROW(12:12)),2))</f>
        <v/>
      </c>
      <c r="P14" t="str">
        <f t="array" ref="P14">IF(ISERROR(INDEX($A$3:$B$14312,SMALL(IF($A$3:$A$14312=P$3,ROW($A$3:$A$14312)),ROW(12:12)),2)),"",INDEX($A$3:$B$14312,SMALL(IF($A$3:$A$14312=P$3,ROW($A$3:$A$14312)),ROW(12:12)),2))</f>
        <v>Router3_25</v>
      </c>
      <c r="Q14" t="str">
        <f t="array" ref="Q14">IF(ISERROR(INDEX($A$3:$B$14312,SMALL(IF($A$3:$A$14312=Q$3,ROW($A$3:$A$14312)),ROW(12:12)),2)),"",INDEX($A$3:$B$14312,SMALL(IF($A$3:$A$14312=Q$3,ROW($A$3:$A$14312)),ROW(12:12)),2))</f>
        <v/>
      </c>
      <c r="R14" t="str">
        <f t="array" ref="R14">IF(ISERROR(INDEX($A$3:$B$14312,SMALL(IF($A$3:$A$14312=R$3,ROW($A$3:$A$14312)),ROW(12:12)),2)),"",INDEX($A$3:$B$14312,SMALL(IF($A$3:$A$14312=R$3,ROW($A$3:$A$14312)),ROW(12:12)),2))</f>
        <v/>
      </c>
      <c r="S14" t="str">
        <f t="array" ref="S14">IF(ISERROR(INDEX($A$3:$B$14312,SMALL(IF($A$3:$A$14312=S$3,ROW($A$3:$A$14312)),ROW(12:12)),2)),"",INDEX($A$3:$B$14312,SMALL(IF($A$3:$A$14312=S$3,ROW($A$3:$A$14312)),ROW(12:12)),2))</f>
        <v/>
      </c>
      <c r="T14" t="str">
        <f t="array" ref="T14">IF(ISERROR(INDEX($A$3:$B$14312,SMALL(IF($A$3:$A$14312=T$3,ROW($A$3:$A$14312)),ROW(12:12)),2)),"",INDEX($A$3:$B$14312,SMALL(IF($A$3:$A$14312=T$3,ROW($A$3:$A$14312)),ROW(12:12)),2))</f>
        <v/>
      </c>
      <c r="U14" t="str">
        <f t="array" ref="U14">IF(ISERROR(INDEX($A$3:$B$14312,SMALL(IF($A$3:$A$14312=U$3,ROW($A$3:$A$14312)),ROW(12:12)),2)),"",INDEX($A$3:$B$14312,SMALL(IF($A$3:$A$14312=U$3,ROW($A$3:$A$14312)),ROW(12:12)),2))</f>
        <v>Router3_126</v>
      </c>
      <c r="V14" t="str">
        <f t="array" ref="V14">IF(ISERROR(INDEX($A$3:$B$14312,SMALL(IF($A$3:$A$14312=V$3,ROW($A$3:$A$14312)),ROW(12:12)),2)),"",INDEX($A$3:$B$14312,SMALL(IF($A$3:$A$14312=V$3,ROW($A$3:$A$14312)),ROW(12:12)),2))</f>
        <v/>
      </c>
      <c r="W14" t="str">
        <f t="array" ref="W14">IF(ISERROR(INDEX($A$3:$B$14312,SMALL(IF($A$3:$A$14312=W$3,ROW($A$3:$A$14312)),ROW(12:12)),2)),"",INDEX($A$3:$B$14312,SMALL(IF($A$3:$A$14312=W$3,ROW($A$3:$A$14312)),ROW(12:12)),2))</f>
        <v>Router3_68</v>
      </c>
      <c r="X14" t="str">
        <f t="array" ref="X14">IF(ISERROR(INDEX($A$3:$B$14312,SMALL(IF($A$3:$A$14312=X$3,ROW($A$3:$A$14312)),ROW(12:12)),2)),"",INDEX($A$3:$B$14312,SMALL(IF($A$3:$A$14312=X$3,ROW($A$3:$A$14312)),ROW(12:12)),2))</f>
        <v/>
      </c>
      <c r="Y14" t="str">
        <f t="array" ref="Y14">IF(ISERROR(INDEX($A$3:$B$14312,SMALL(IF($A$3:$A$14312=Y$3,ROW($A$3:$A$14312)),ROW(12:12)),2)),"",INDEX($A$3:$B$14312,SMALL(IF($A$3:$A$14312=Y$3,ROW($A$3:$A$14312)),ROW(12:12)),2))</f>
        <v/>
      </c>
      <c r="Z14" t="str">
        <f t="array" ref="Z14">IF(ISERROR(INDEX($A$3:$B$14312,SMALL(IF($A$3:$A$14312=Z$3,ROW($A$3:$A$14312)),ROW(12:12)),2)),"",INDEX($A$3:$B$14312,SMALL(IF($A$3:$A$14312=Z$3,ROW($A$3:$A$14312)),ROW(12:12)),2))</f>
        <v/>
      </c>
      <c r="AA14" t="str">
        <f t="array" ref="AA14">IF(ISERROR(INDEX($A$3:$B$14312,SMALL(IF($A$3:$A$14312=AA$3,ROW($A$3:$A$14312)),ROW(12:12)),2)),"",INDEX($A$3:$B$14312,SMALL(IF($A$3:$A$14312=AA$3,ROW($A$3:$A$14312)),ROW(12:12)),2))</f>
        <v/>
      </c>
      <c r="AB14" t="str">
        <f t="array" ref="AB14">IF(ISERROR(INDEX($A$3:$B$14312,SMALL(IF($A$3:$A$14312=AB$3,ROW($A$3:$A$14312)),ROW(12:12)),2)),"",INDEX($A$3:$B$14312,SMALL(IF($A$3:$A$14312=AB$3,ROW($A$3:$A$14312)),ROW(12:12)),2))</f>
        <v/>
      </c>
      <c r="AC14" t="str">
        <f t="array" ref="AC14">IF(ISERROR(INDEX($A$3:$B$14312,SMALL(IF($A$3:$A$14312=AC$3,ROW($A$3:$A$14312)),ROW(12:12)),2)),"",INDEX($A$3:$B$14312,SMALL(IF($A$3:$A$14312=AC$3,ROW($A$3:$A$14312)),ROW(12:12)),2))</f>
        <v/>
      </c>
      <c r="AD14" t="str">
        <f t="array" ref="AD14">IF(ISERROR(INDEX($A$3:$B$14312,SMALL(IF($A$3:$A$14312=AD$3,ROW($A$3:$A$14312)),ROW(12:12)),2)),"",INDEX($A$3:$B$14312,SMALL(IF($A$3:$A$14312=AD$3,ROW($A$3:$A$14312)),ROW(12:12)),2))</f>
        <v/>
      </c>
      <c r="AE14" t="str">
        <f t="array" ref="AE14">IF(ISERROR(INDEX($A$3:$B$14312,SMALL(IF($A$3:$A$14312=AE$3,ROW($A$3:$A$14312)),ROW(12:12)),2)),"",INDEX($A$3:$B$14312,SMALL(IF($A$3:$A$14312=AE$3,ROW($A$3:$A$14312)),ROW(12:12)),2))</f>
        <v/>
      </c>
      <c r="AF14" t="str">
        <f t="array" ref="AF14">IF(ISERROR(INDEX($A$3:$B$14312,SMALL(IF($A$3:$A$14312=AF$3,ROW($A$3:$A$14312)),ROW(12:12)),2)),"",INDEX($A$3:$B$14312,SMALL(IF($A$3:$A$14312=AF$3,ROW($A$3:$A$14312)),ROW(12:12)),2))</f>
        <v>Router3_95</v>
      </c>
      <c r="AG14" t="str">
        <f t="array" ref="AG14">IF(ISERROR(INDEX($A$3:$B$14312,SMALL(IF($A$3:$A$14312=AG$3,ROW($A$3:$A$14312)),ROW(12:12)),2)),"",INDEX($A$3:$B$14312,SMALL(IF($A$3:$A$14312=AG$3,ROW($A$3:$A$14312)),ROW(12:12)),2))</f>
        <v>Router3_16</v>
      </c>
      <c r="AH14" t="str">
        <f t="array" ref="AH14">IF(ISERROR(INDEX($A$3:$B$14312,SMALL(IF($A$3:$A$14312=AH$3,ROW($A$3:$A$14312)),ROW(12:12)),2)),"",INDEX($A$3:$B$14312,SMALL(IF($A$3:$A$14312=AH$3,ROW($A$3:$A$14312)),ROW(12:12)),2))</f>
        <v>Router3_73</v>
      </c>
      <c r="AI14" t="str">
        <f t="array" ref="AI14">IF(ISERROR(INDEX($A$3:$B$14312,SMALL(IF($A$3:$A$14312=AI$3,ROW($A$3:$A$14312)),ROW(12:12)),2)),"",INDEX($A$3:$B$14312,SMALL(IF($A$3:$A$14312=AI$3,ROW($A$3:$A$14312)),ROW(12:12)),2))</f>
        <v>Router3_92</v>
      </c>
      <c r="AJ14" t="str">
        <f t="array" ref="AJ14">IF(ISERROR(INDEX($A$3:$B$14312,SMALL(IF($A$3:$A$14312=AJ$3,ROW($A$3:$A$14312)),ROW(12:12)),2)),"",INDEX($A$3:$B$14312,SMALL(IF($A$3:$A$14312=AJ$3,ROW($A$3:$A$14312)),ROW(12:12)),2))</f>
        <v/>
      </c>
      <c r="AK14" t="str">
        <f t="array" ref="AK14">IF(ISERROR(INDEX($A$3:$B$14312,SMALL(IF($A$3:$A$14312=AK$3,ROW($A$3:$A$14312)),ROW(12:12)),2)),"",INDEX($A$3:$B$14312,SMALL(IF($A$3:$A$14312=AK$3,ROW($A$3:$A$14312)),ROW(12:12)),2))</f>
        <v/>
      </c>
      <c r="AL14" t="str">
        <f t="array" ref="AL14">IF(ISERROR(INDEX($A$3:$B$14312,SMALL(IF($A$3:$A$14312=AL$3,ROW($A$3:$A$14312)),ROW(12:12)),2)),"",INDEX($A$3:$B$14312,SMALL(IF($A$3:$A$14312=AL$3,ROW($A$3:$A$14312)),ROW(12:12)),2))</f>
        <v>Router3_129</v>
      </c>
      <c r="AM14" t="str">
        <f t="array" ref="AM14">IF(ISERROR(INDEX($A$3:$B$14312,SMALL(IF($A$3:$A$14312=AM$3,ROW($A$3:$A$14312)),ROW(12:12)),2)),"",INDEX($A$3:$B$14312,SMALL(IF($A$3:$A$14312=AM$3,ROW($A$3:$A$14312)),ROW(12:12)),2))</f>
        <v>Router3_87</v>
      </c>
      <c r="AN14" t="str">
        <f t="array" ref="AN14">IF(ISERROR(INDEX($A$3:$B$14312,SMALL(IF($A$3:$A$14312=AN$3,ROW($A$3:$A$14312)),ROW(12:12)),2)),"",INDEX($A$3:$B$14312,SMALL(IF($A$3:$A$14312=AN$3,ROW($A$3:$A$14312)),ROW(12:12)),2))</f>
        <v>Router3_58</v>
      </c>
      <c r="AO14" t="str">
        <f t="array" ref="AO14">IF(ISERROR(INDEX($A$3:$B$14312,SMALL(IF($A$3:$A$14312=AO$3,ROW($A$3:$A$14312)),ROW(12:12)),2)),"",INDEX($A$3:$B$14312,SMALL(IF($A$3:$A$14312=AO$3,ROW($A$3:$A$14312)),ROW(12:12)),2))</f>
        <v>Router3_112</v>
      </c>
      <c r="AP14" t="str">
        <f t="array" ref="AP14">IF(ISERROR(INDEX($A$3:$B$14312,SMALL(IF($A$3:$A$14312=AP$3,ROW($A$3:$A$14312)),ROW(12:12)),2)),"",INDEX($A$3:$B$14312,SMALL(IF($A$3:$A$14312=AP$3,ROW($A$3:$A$14312)),ROW(12:12)),2))</f>
        <v>Router3_14</v>
      </c>
      <c r="AQ14" t="str">
        <f t="array" ref="AQ14">IF(ISERROR(INDEX($A$3:$B$14312,SMALL(IF($A$3:$A$14312=AQ$3,ROW($A$3:$A$14312)),ROW(12:12)),2)),"",INDEX($A$3:$B$14312,SMALL(IF($A$3:$A$14312=AQ$3,ROW($A$3:$A$14312)),ROW(12:12)),2))</f>
        <v/>
      </c>
      <c r="AR14" t="str">
        <f t="array" ref="AR14">IF(ISERROR(INDEX($A$3:$B$14312,SMALL(IF($A$3:$A$14312=AR$3,ROW($A$3:$A$14312)),ROW(12:12)),2)),"",INDEX($A$3:$B$14312,SMALL(IF($A$3:$A$14312=AR$3,ROW($A$3:$A$14312)),ROW(12:12)),2))</f>
        <v/>
      </c>
      <c r="AS14" t="str">
        <f t="array" ref="AS14">IF(ISERROR(INDEX($A$3:$B$14312,SMALL(IF($A$3:$A$14312=AS$3,ROW($A$3:$A$14312)),ROW(12:12)),2)),"",INDEX($A$3:$B$14312,SMALL(IF($A$3:$A$14312=AS$3,ROW($A$3:$A$14312)),ROW(12:12)),2))</f>
        <v>Router3_77</v>
      </c>
      <c r="AT14" t="str">
        <f t="array" ref="AT14">IF(ISERROR(INDEX($A$3:$B$14312,SMALL(IF($A$3:$A$14312=AT$3,ROW($A$3:$A$14312)),ROW(12:12)),2)),"",INDEX($A$3:$B$14312,SMALL(IF($A$3:$A$14312=AT$3,ROW($A$3:$A$14312)),ROW(12:12)),2))</f>
        <v/>
      </c>
      <c r="AU14" t="str">
        <f t="array" ref="AU14">IF(ISERROR(INDEX($A$3:$B$14312,SMALL(IF($A$3:$A$14312=AU$3,ROW($A$3:$A$14312)),ROW(12:12)),2)),"",INDEX($A$3:$B$14312,SMALL(IF($A$3:$A$14312=AU$3,ROW($A$3:$A$14312)),ROW(12:12)),2))</f>
        <v>Router3_14</v>
      </c>
      <c r="AV14" t="str">
        <f t="array" ref="AV14">IF(ISERROR(INDEX($A$3:$B$14312,SMALL(IF($A$3:$A$14312=AV$3,ROW($A$3:$A$14312)),ROW(12:12)),2)),"",INDEX($A$3:$B$14312,SMALL(IF($A$3:$A$14312=AV$3,ROW($A$3:$A$14312)),ROW(12:12)),2))</f>
        <v/>
      </c>
      <c r="AW14" t="str">
        <f t="array" ref="AW14">IF(ISERROR(INDEX($A$3:$B$14312,SMALL(IF($A$3:$A$14312=AW$3,ROW($A$3:$A$14312)),ROW(12:12)),2)),"",INDEX($A$3:$B$14312,SMALL(IF($A$3:$A$14312=AW$3,ROW($A$3:$A$14312)),ROW(12:12)),2))</f>
        <v/>
      </c>
      <c r="AX14" t="str">
        <f t="array" ref="AX14">IF(ISERROR(INDEX($A$3:$B$14312,SMALL(IF($A$3:$A$14312=AX$3,ROW($A$3:$A$14312)),ROW(12:12)),2)),"",INDEX($A$3:$B$14312,SMALL(IF($A$3:$A$14312=AX$3,ROW($A$3:$A$14312)),ROW(12:12)),2))</f>
        <v>Router3_51</v>
      </c>
      <c r="AY14" t="str">
        <f t="array" ref="AY14">IF(ISERROR(INDEX($A$3:$B$14312,SMALL(IF($A$3:$A$14312=AY$3,ROW($A$3:$A$14312)),ROW(12:12)),2)),"",INDEX($A$3:$B$14312,SMALL(IF($A$3:$A$14312=AY$3,ROW($A$3:$A$14312)),ROW(12:12)),2))</f>
        <v>Router3_87</v>
      </c>
      <c r="AZ14" t="str">
        <f t="array" ref="AZ14">IF(ISERROR(INDEX($A$3:$B$14312,SMALL(IF($A$3:$A$14312=AZ$3,ROW($A$3:$A$14312)),ROW(12:12)),2)),"",INDEX($A$3:$B$14312,SMALL(IF($A$3:$A$14312=AZ$3,ROW($A$3:$A$14312)),ROW(12:12)),2))</f>
        <v/>
      </c>
      <c r="BA14" t="str">
        <f t="array" ref="BA14">IF(ISERROR(INDEX($A$3:$B$14312,SMALL(IF($A$3:$A$14312=BA$3,ROW($A$3:$A$14312)),ROW(12:12)),2)),"",INDEX($A$3:$B$14312,SMALL(IF($A$3:$A$14312=BA$3,ROW($A$3:$A$14312)),ROW(12:12)),2))</f>
        <v/>
      </c>
      <c r="BB14" t="str">
        <f t="array" ref="BB14">IF(ISERROR(INDEX($A$3:$B$14312,SMALL(IF($A$3:$A$14312=BB$3,ROW($A$3:$A$14312)),ROW(12:12)),2)),"",INDEX($A$3:$B$14312,SMALL(IF($A$3:$A$14312=BB$3,ROW($A$3:$A$14312)),ROW(12:12)),2))</f>
        <v/>
      </c>
      <c r="BC14" t="str">
        <f t="array" ref="BC14">IF(ISERROR(INDEX($A$3:$B$14312,SMALL(IF($A$3:$A$14312=BC$3,ROW($A$3:$A$14312)),ROW(12:12)),2)),"",INDEX($A$3:$B$14312,SMALL(IF($A$3:$A$14312=BC$3,ROW($A$3:$A$14312)),ROW(12:12)),2))</f>
        <v/>
      </c>
      <c r="BD14" t="str">
        <f t="array" ref="BD14">IF(ISERROR(INDEX($A$3:$B$14312,SMALL(IF($A$3:$A$14312=BD$3,ROW($A$3:$A$14312)),ROW(12:12)),2)),"",INDEX($A$3:$B$14312,SMALL(IF($A$3:$A$14312=BD$3,ROW($A$3:$A$14312)),ROW(12:12)),2))</f>
        <v/>
      </c>
      <c r="BE14" t="str">
        <f t="array" ref="BE14">IF(ISERROR(INDEX($A$3:$B$14312,SMALL(IF($A$3:$A$14312=BE$3,ROW($A$3:$A$14312)),ROW(12:12)),2)),"",INDEX($A$3:$B$14312,SMALL(IF($A$3:$A$14312=BE$3,ROW($A$3:$A$14312)),ROW(12:12)),2))</f>
        <v>Router3_98</v>
      </c>
      <c r="BF14" t="str">
        <f t="array" ref="BF14">IF(ISERROR(INDEX($A$3:$B$14312,SMALL(IF($A$3:$A$14312=BF$3,ROW($A$3:$A$14312)),ROW(12:12)),2)),"",INDEX($A$3:$B$14312,SMALL(IF($A$3:$A$14312=BF$3,ROW($A$3:$A$14312)),ROW(12:12)),2))</f>
        <v/>
      </c>
      <c r="BG14" t="str">
        <f t="array" ref="BG14">IF(ISERROR(INDEX($A$3:$B$14312,SMALL(IF($A$3:$A$14312=BG$3,ROW($A$3:$A$14312)),ROW(12:12)),2)),"",INDEX($A$3:$B$14312,SMALL(IF($A$3:$A$14312=BG$3,ROW($A$3:$A$14312)),ROW(12:12)),2))</f>
        <v/>
      </c>
      <c r="BH14" t="str">
        <f t="array" ref="BH14">IF(ISERROR(INDEX($A$3:$B$14312,SMALL(IF($A$3:$A$14312=BH$3,ROW($A$3:$A$14312)),ROW(12:12)),2)),"",INDEX($A$3:$B$14312,SMALL(IF($A$3:$A$14312=BH$3,ROW($A$3:$A$14312)),ROW(12:12)),2))</f>
        <v/>
      </c>
      <c r="BI14" t="str">
        <f t="array" ref="BI14">IF(ISERROR(INDEX($A$3:$B$14312,SMALL(IF($A$3:$A$14312=BI$3,ROW($A$3:$A$14312)),ROW(12:12)),2)),"",INDEX($A$3:$B$14312,SMALL(IF($A$3:$A$14312=BI$3,ROW($A$3:$A$14312)),ROW(12:12)),2))</f>
        <v>Router3_106</v>
      </c>
      <c r="BJ14" t="str">
        <f t="array" ref="BJ14">IF(ISERROR(INDEX($A$3:$B$14312,SMALL(IF($A$3:$A$14312=BJ$3,ROW($A$3:$A$14312)),ROW(12:12)),2)),"",INDEX($A$3:$B$14312,SMALL(IF($A$3:$A$14312=BJ$3,ROW($A$3:$A$14312)),ROW(12:12)),2))</f>
        <v/>
      </c>
      <c r="BK14" t="str">
        <f t="array" ref="BK14">IF(ISERROR(INDEX($A$3:$B$14312,SMALL(IF($A$3:$A$14312=BK$3,ROW($A$3:$A$14312)),ROW(12:12)),2)),"",INDEX($A$3:$B$14312,SMALL(IF($A$3:$A$14312=BK$3,ROW($A$3:$A$14312)),ROW(12:12)),2))</f>
        <v/>
      </c>
      <c r="BL14" t="str">
        <f t="array" ref="BL14">IF(ISERROR(INDEX($A$3:$B$14312,SMALL(IF($A$3:$A$14312=BL$3,ROW($A$3:$A$14312)),ROW(12:12)),2)),"",INDEX($A$3:$B$14312,SMALL(IF($A$3:$A$14312=BL$3,ROW($A$3:$A$14312)),ROW(12:12)),2))</f>
        <v/>
      </c>
      <c r="BM14" t="str">
        <f t="array" ref="BM14">IF(ISERROR(INDEX($A$3:$B$14312,SMALL(IF($A$3:$A$14312=BM$3,ROW($A$3:$A$14312)),ROW(12:12)),2)),"",INDEX($A$3:$B$14312,SMALL(IF($A$3:$A$14312=BM$3,ROW($A$3:$A$14312)),ROW(12:12)),2))</f>
        <v>Router3_107</v>
      </c>
      <c r="BN14" t="str">
        <f t="array" ref="BN14">IF(ISERROR(INDEX($A$3:$B$14312,SMALL(IF($A$3:$A$14312=BN$3,ROW($A$3:$A$14312)),ROW(12:12)),2)),"",INDEX($A$3:$B$14312,SMALL(IF($A$3:$A$14312=BN$3,ROW($A$3:$A$14312)),ROW(12:12)),2))</f>
        <v/>
      </c>
      <c r="BO14" t="str">
        <f t="array" ref="BO14">IF(ISERROR(INDEX($A$3:$B$14312,SMALL(IF($A$3:$A$14312=BO$3,ROW($A$3:$A$14312)),ROW(12:12)),2)),"",INDEX($A$3:$B$14312,SMALL(IF($A$3:$A$14312=BO$3,ROW($A$3:$A$14312)),ROW(12:12)),2))</f>
        <v/>
      </c>
      <c r="BP14" t="str">
        <f t="array" ref="BP14">IF(ISERROR(INDEX($A$3:$B$14312,SMALL(IF($A$3:$A$14312=BP$3,ROW($A$3:$A$14312)),ROW(12:12)),2)),"",INDEX($A$3:$B$14312,SMALL(IF($A$3:$A$14312=BP$3,ROW($A$3:$A$14312)),ROW(12:12)),2))</f>
        <v/>
      </c>
      <c r="BQ14" t="str">
        <f t="array" ref="BQ14">IF(ISERROR(INDEX($A$3:$B$14312,SMALL(IF($A$3:$A$14312=BQ$3,ROW($A$3:$A$14312)),ROW(12:12)),2)),"",INDEX($A$3:$B$14312,SMALL(IF($A$3:$A$14312=BQ$3,ROW($A$3:$A$14312)),ROW(12:12)),2))</f>
        <v/>
      </c>
      <c r="BR14" t="str">
        <f t="array" ref="BR14">IF(ISERROR(INDEX($A$3:$B$14312,SMALL(IF($A$3:$A$14312=BR$3,ROW($A$3:$A$14312)),ROW(12:12)),2)),"",INDEX($A$3:$B$14312,SMALL(IF($A$3:$A$14312=BR$3,ROW($A$3:$A$14312)),ROW(12:12)),2))</f>
        <v/>
      </c>
      <c r="BS14" t="str">
        <f t="array" ref="BS14">IF(ISERROR(INDEX($A$3:$B$14312,SMALL(IF($A$3:$A$14312=BS$3,ROW($A$3:$A$14312)),ROW(12:12)),2)),"",INDEX($A$3:$B$14312,SMALL(IF($A$3:$A$14312=BS$3,ROW($A$3:$A$14312)),ROW(12:12)),2))</f>
        <v/>
      </c>
      <c r="BT14" t="str">
        <f t="array" ref="BT14">IF(ISERROR(INDEX($A$3:$B$14312,SMALL(IF($A$3:$A$14312=BT$3,ROW($A$3:$A$14312)),ROW(12:12)),2)),"",INDEX($A$3:$B$14312,SMALL(IF($A$3:$A$14312=BT$3,ROW($A$3:$A$14312)),ROW(12:12)),2))</f>
        <v>Router3_66</v>
      </c>
      <c r="BU14" t="str">
        <f t="array" ref="BU14">IF(ISERROR(INDEX($A$3:$B$14312,SMALL(IF($A$3:$A$14312=BU$3,ROW($A$3:$A$14312)),ROW(12:12)),2)),"",INDEX($A$3:$B$14312,SMALL(IF($A$3:$A$14312=BU$3,ROW($A$3:$A$14312)),ROW(12:12)),2))</f>
        <v/>
      </c>
      <c r="BV14" t="str">
        <f t="array" ref="BV14">IF(ISERROR(INDEX($A$3:$B$14312,SMALL(IF($A$3:$A$14312=BV$3,ROW($A$3:$A$14312)),ROW(12:12)),2)),"",INDEX($A$3:$B$14312,SMALL(IF($A$3:$A$14312=BV$3,ROW($A$3:$A$14312)),ROW(12:12)),2))</f>
        <v/>
      </c>
      <c r="BW14" t="str">
        <f t="array" ref="BW14">IF(ISERROR(INDEX($A$3:$B$14312,SMALL(IF($A$3:$A$14312=BW$3,ROW($A$3:$A$14312)),ROW(12:12)),2)),"",INDEX($A$3:$B$14312,SMALL(IF($A$3:$A$14312=BW$3,ROW($A$3:$A$14312)),ROW(12:12)),2))</f>
        <v>Router3_150</v>
      </c>
      <c r="BX14" t="str">
        <f t="array" ref="BX14">IF(ISERROR(INDEX($A$3:$B$14312,SMALL(IF($A$3:$A$14312=BX$3,ROW($A$3:$A$14312)),ROW(12:12)),2)),"",INDEX($A$3:$B$14312,SMALL(IF($A$3:$A$14312=BX$3,ROW($A$3:$A$14312)),ROW(12:12)),2))</f>
        <v>Router3_49</v>
      </c>
      <c r="BY14" t="str">
        <f t="array" ref="BY14">IF(ISERROR(INDEX($A$3:$B$14312,SMALL(IF($A$3:$A$14312=BY$3,ROW($A$3:$A$14312)),ROW(12:12)),2)),"",INDEX($A$3:$B$14312,SMALL(IF($A$3:$A$14312=BY$3,ROW($A$3:$A$14312)),ROW(12:12)),2))</f>
        <v>Router3_77</v>
      </c>
      <c r="BZ14" t="str">
        <f t="array" ref="BZ14">IF(ISERROR(INDEX($A$3:$B$14312,SMALL(IF($A$3:$A$14312=BZ$3,ROW($A$3:$A$14312)),ROW(12:12)),2)),"",INDEX($A$3:$B$14312,SMALL(IF($A$3:$A$14312=BZ$3,ROW($A$3:$A$14312)),ROW(12:12)),2))</f>
        <v>Router3_77</v>
      </c>
      <c r="CA14" t="str">
        <f t="array" ref="CA14">IF(ISERROR(INDEX($A$3:$B$14312,SMALL(IF($A$3:$A$14312=CA$3,ROW($A$3:$A$14312)),ROW(12:12)),2)),"",INDEX($A$3:$B$14312,SMALL(IF($A$3:$A$14312=CA$3,ROW($A$3:$A$14312)),ROW(12:12)),2))</f>
        <v/>
      </c>
      <c r="CB14" t="str">
        <f t="array" ref="CB14">IF(ISERROR(INDEX($A$3:$B$14312,SMALL(IF($A$3:$A$14312=CB$3,ROW($A$3:$A$14312)),ROW(12:12)),2)),"",INDEX($A$3:$B$14312,SMALL(IF($A$3:$A$14312=CB$3,ROW($A$3:$A$14312)),ROW(12:12)),2))</f>
        <v>Router3_96</v>
      </c>
      <c r="CC14" t="str">
        <f t="array" ref="CC14">IF(ISERROR(INDEX($A$3:$B$14312,SMALL(IF($A$3:$A$14312=CC$3,ROW($A$3:$A$14312)),ROW(12:12)),2)),"",INDEX($A$3:$B$14312,SMALL(IF($A$3:$A$14312=CC$3,ROW($A$3:$A$14312)),ROW(12:12)),2))</f>
        <v/>
      </c>
      <c r="CD14" t="str">
        <f t="array" ref="CD14">IF(ISERROR(INDEX($A$3:$B$14312,SMALL(IF($A$3:$A$14312=CD$3,ROW($A$3:$A$14312)),ROW(12:12)),2)),"",INDEX($A$3:$B$14312,SMALL(IF($A$3:$A$14312=CD$3,ROW($A$3:$A$14312)),ROW(12:12)),2))</f>
        <v>Router3_23</v>
      </c>
      <c r="CE14" t="str">
        <f t="array" ref="CE14">IF(ISERROR(INDEX($A$3:$B$14312,SMALL(IF($A$3:$A$14312=CE$3,ROW($A$3:$A$14312)),ROW(12:12)),2)),"",INDEX($A$3:$B$14312,SMALL(IF($A$3:$A$14312=CE$3,ROW($A$3:$A$14312)),ROW(12:12)),2))</f>
        <v>Router3_98</v>
      </c>
      <c r="CF14" t="str">
        <f t="array" ref="CF14">IF(ISERROR(INDEX($A$3:$B$14312,SMALL(IF($A$3:$A$14312=CF$3,ROW($A$3:$A$14312)),ROW(12:12)),2)),"",INDEX($A$3:$B$14312,SMALL(IF($A$3:$A$14312=CF$3,ROW($A$3:$A$14312)),ROW(12:12)),2))</f>
        <v/>
      </c>
      <c r="CG14" t="str">
        <f t="array" ref="CG14">IF(ISERROR(INDEX($A$3:$B$14312,SMALL(IF($A$3:$A$14312=CG$3,ROW($A$3:$A$14312)),ROW(12:12)),2)),"",INDEX($A$3:$B$14312,SMALL(IF($A$3:$A$14312=CG$3,ROW($A$3:$A$14312)),ROW(12:12)),2))</f>
        <v>Router3_16</v>
      </c>
      <c r="CH14" t="str">
        <f t="array" ref="CH14">IF(ISERROR(INDEX($A$3:$B$14312,SMALL(IF($A$3:$A$14312=CH$3,ROW($A$3:$A$14312)),ROW(12:12)),2)),"",INDEX($A$3:$B$14312,SMALL(IF($A$3:$A$14312=CH$3,ROW($A$3:$A$14312)),ROW(12:12)),2))</f>
        <v/>
      </c>
      <c r="CI14" t="str">
        <f t="array" ref="CI14">IF(ISERROR(INDEX($A$3:$B$14312,SMALL(IF($A$3:$A$14312=CI$3,ROW($A$3:$A$14312)),ROW(12:12)),2)),"",INDEX($A$3:$B$14312,SMALL(IF($A$3:$A$14312=CI$3,ROW($A$3:$A$14312)),ROW(12:12)),2))</f>
        <v>Router3_107</v>
      </c>
      <c r="CJ14" t="str">
        <f t="array" ref="CJ14">IF(ISERROR(INDEX($A$3:$B$14312,SMALL(IF($A$3:$A$14312=CJ$3,ROW($A$3:$A$14312)),ROW(12:12)),2)),"",INDEX($A$3:$B$14312,SMALL(IF($A$3:$A$14312=CJ$3,ROW($A$3:$A$14312)),ROW(12:12)),2))</f>
        <v/>
      </c>
      <c r="CK14" t="str">
        <f t="array" ref="CK14">IF(ISERROR(INDEX($A$3:$B$14312,SMALL(IF($A$3:$A$14312=CK$3,ROW($A$3:$A$14312)),ROW(12:12)),2)),"",INDEX($A$3:$B$14312,SMALL(IF($A$3:$A$14312=CK$3,ROW($A$3:$A$14312)),ROW(12:12)),2))</f>
        <v/>
      </c>
      <c r="CL14" t="str">
        <f t="array" ref="CL14">IF(ISERROR(INDEX($A$3:$B$14312,SMALL(IF($A$3:$A$14312=CL$3,ROW($A$3:$A$14312)),ROW(12:12)),2)),"",INDEX($A$3:$B$14312,SMALL(IF($A$3:$A$14312=CL$3,ROW($A$3:$A$14312)),ROW(12:12)),2))</f>
        <v/>
      </c>
      <c r="CM14" t="str">
        <f t="array" ref="CM14">IF(ISERROR(INDEX($A$3:$B$14312,SMALL(IF($A$3:$A$14312=CM$3,ROW($A$3:$A$14312)),ROW(12:12)),2)),"",INDEX($A$3:$B$14312,SMALL(IF($A$3:$A$14312=CM$3,ROW($A$3:$A$14312)),ROW(12:12)),2))</f>
        <v/>
      </c>
      <c r="CN14" t="str">
        <f t="array" ref="CN14">IF(ISERROR(INDEX($A$3:$B$14312,SMALL(IF($A$3:$A$14312=CN$3,ROW($A$3:$A$14312)),ROW(12:12)),2)),"",INDEX($A$3:$B$14312,SMALL(IF($A$3:$A$14312=CN$3,ROW($A$3:$A$14312)),ROW(12:12)),2))</f>
        <v>Router3_16</v>
      </c>
      <c r="CO14" t="str">
        <f t="array" ref="CO14">IF(ISERROR(INDEX($A$3:$B$14312,SMALL(IF($A$3:$A$14312=CO$3,ROW($A$3:$A$14312)),ROW(12:12)),2)),"",INDEX($A$3:$B$14312,SMALL(IF($A$3:$A$14312=CO$3,ROW($A$3:$A$14312)),ROW(12:12)),2))</f>
        <v>Router3_86</v>
      </c>
      <c r="CP14" t="str">
        <f t="array" ref="CP14">IF(ISERROR(INDEX($A$3:$B$14312,SMALL(IF($A$3:$A$14312=CP$3,ROW($A$3:$A$14312)),ROW(12:12)),2)),"",INDEX($A$3:$B$14312,SMALL(IF($A$3:$A$14312=CP$3,ROW($A$3:$A$14312)),ROW(12:12)),2))</f>
        <v>Router3_15</v>
      </c>
      <c r="CQ14" t="str">
        <f t="array" ref="CQ14">IF(ISERROR(INDEX($A$3:$B$14312,SMALL(IF($A$3:$A$14312=CQ$3,ROW($A$3:$A$14312)),ROW(12:12)),2)),"",INDEX($A$3:$B$14312,SMALL(IF($A$3:$A$14312=CQ$3,ROW($A$3:$A$14312)),ROW(12:12)),2))</f>
        <v/>
      </c>
      <c r="CR14" t="str">
        <f t="array" ref="CR14">IF(ISERROR(INDEX($A$3:$B$14312,SMALL(IF($A$3:$A$14312=CR$3,ROW($A$3:$A$14312)),ROW(12:12)),2)),"",INDEX($A$3:$B$14312,SMALL(IF($A$3:$A$14312=CR$3,ROW($A$3:$A$14312)),ROW(12:12)),2))</f>
        <v/>
      </c>
      <c r="CS14" t="str">
        <f t="array" ref="CS14">IF(ISERROR(INDEX($A$3:$B$14312,SMALL(IF($A$3:$A$14312=CS$3,ROW($A$3:$A$14312)),ROW(12:12)),2)),"",INDEX($A$3:$B$14312,SMALL(IF($A$3:$A$14312=CS$3,ROW($A$3:$A$14312)),ROW(12:12)),2))</f>
        <v/>
      </c>
      <c r="CT14" t="str">
        <f t="array" ref="CT14">IF(ISERROR(INDEX($A$3:$B$14312,SMALL(IF($A$3:$A$14312=CT$3,ROW($A$3:$A$14312)),ROW(12:12)),2)),"",INDEX($A$3:$B$14312,SMALL(IF($A$3:$A$14312=CT$3,ROW($A$3:$A$14312)),ROW(12:12)),2))</f>
        <v/>
      </c>
      <c r="CU14" t="str">
        <f t="array" ref="CU14">IF(ISERROR(INDEX($A$3:$B$14312,SMALL(IF($A$3:$A$14312=CU$3,ROW($A$3:$A$14312)),ROW(12:12)),2)),"",INDEX($A$3:$B$14312,SMALL(IF($A$3:$A$14312=CU$3,ROW($A$3:$A$14312)),ROW(12:12)),2))</f>
        <v/>
      </c>
      <c r="CV14" t="str">
        <f t="array" ref="CV14">IF(ISERROR(INDEX($A$3:$B$14312,SMALL(IF($A$3:$A$14312=CV$3,ROW($A$3:$A$14312)),ROW(12:12)),2)),"",INDEX($A$3:$B$14312,SMALL(IF($A$3:$A$14312=CV$3,ROW($A$3:$A$14312)),ROW(12:12)),2))</f>
        <v>Router3_86</v>
      </c>
      <c r="CW14" t="str">
        <f t="array" ref="CW14">IF(ISERROR(INDEX($A$3:$B$14312,SMALL(IF($A$3:$A$14312=CW$3,ROW($A$3:$A$14312)),ROW(12:12)),2)),"",INDEX($A$3:$B$14312,SMALL(IF($A$3:$A$14312=CW$3,ROW($A$3:$A$14312)),ROW(12:12)),2))</f>
        <v/>
      </c>
      <c r="CX14" t="str">
        <f t="array" ref="CX14">IF(ISERROR(INDEX($A$3:$B$14312,SMALL(IF($A$3:$A$14312=CX$3,ROW($A$3:$A$14312)),ROW(12:12)),2)),"",INDEX($A$3:$B$14312,SMALL(IF($A$3:$A$14312=CX$3,ROW($A$3:$A$14312)),ROW(12:12)),2))</f>
        <v/>
      </c>
      <c r="CY14" t="str">
        <f t="array" ref="CY14">IF(ISERROR(INDEX($A$3:$B$14312,SMALL(IF($A$3:$A$14312=CY$3,ROW($A$3:$A$14312)),ROW(12:12)),2)),"",INDEX($A$3:$B$14312,SMALL(IF($A$3:$A$14312=CY$3,ROW($A$3:$A$14312)),ROW(12:12)),2))</f>
        <v>Router3_70</v>
      </c>
      <c r="CZ14" t="str">
        <f t="array" ref="CZ14">IF(ISERROR(INDEX($A$3:$B$14312,SMALL(IF($A$3:$A$14312=CZ$3,ROW($A$3:$A$14312)),ROW(12:12)),2)),"",INDEX($A$3:$B$14312,SMALL(IF($A$3:$A$14312=CZ$3,ROW($A$3:$A$14312)),ROW(12:12)),2))</f>
        <v>Router3_122</v>
      </c>
      <c r="DA14" t="str">
        <f t="array" ref="DA14">IF(ISERROR(INDEX($A$3:$B$14312,SMALL(IF($A$3:$A$14312=DA$3,ROW($A$3:$A$14312)),ROW(12:12)),2)),"",INDEX($A$3:$B$14312,SMALL(IF($A$3:$A$14312=DA$3,ROW($A$3:$A$14312)),ROW(12:12)),2))</f>
        <v>Router3_143</v>
      </c>
      <c r="DB14" t="str">
        <f t="array" ref="DB14">IF(ISERROR(INDEX($A$3:$B$14312,SMALL(IF($A$3:$A$14312=DB$3,ROW($A$3:$A$14312)),ROW(12:12)),2)),"",INDEX($A$3:$B$14312,SMALL(IF($A$3:$A$14312=DB$3,ROW($A$3:$A$14312)),ROW(12:12)),2))</f>
        <v>Router3_108</v>
      </c>
      <c r="DC14" t="str">
        <f t="array" ref="DC14">IF(ISERROR(INDEX($A$3:$B$14312,SMALL(IF($A$3:$A$14312=DC$3,ROW($A$3:$A$14312)),ROW(12:12)),2)),"",INDEX($A$3:$B$14312,SMALL(IF($A$3:$A$14312=DC$3,ROW($A$3:$A$14312)),ROW(12:12)),2))</f>
        <v>Router3_94</v>
      </c>
      <c r="DD14" t="str">
        <f t="array" ref="DD14">IF(ISERROR(INDEX($A$3:$B$14312,SMALL(IF($A$3:$A$14312=DD$3,ROW($A$3:$A$14312)),ROW(12:12)),2)),"",INDEX($A$3:$B$14312,SMALL(IF($A$3:$A$14312=DD$3,ROW($A$3:$A$14312)),ROW(12:12)),2))</f>
        <v/>
      </c>
      <c r="DE14" t="str">
        <f t="array" ref="DE14">IF(ISERROR(INDEX($A$3:$B$14312,SMALL(IF($A$3:$A$14312=DE$3,ROW($A$3:$A$14312)),ROW(12:12)),2)),"",INDEX($A$3:$B$14312,SMALL(IF($A$3:$A$14312=DE$3,ROW($A$3:$A$14312)),ROW(12:12)),2))</f>
        <v>Router3_24</v>
      </c>
      <c r="DF14" t="str">
        <f t="array" ref="DF14">IF(ISERROR(INDEX($A$3:$B$14312,SMALL(IF($A$3:$A$14312=DF$3,ROW($A$3:$A$14312)),ROW(12:12)),2)),"",INDEX($A$3:$B$14312,SMALL(IF($A$3:$A$14312=DF$3,ROW($A$3:$A$14312)),ROW(12:12)),2))</f>
        <v/>
      </c>
      <c r="DG14" t="str">
        <f t="array" ref="DG14">IF(ISERROR(INDEX($A$3:$B$14312,SMALL(IF($A$3:$A$14312=DG$3,ROW($A$3:$A$14312)),ROW(12:12)),2)),"",INDEX($A$3:$B$14312,SMALL(IF($A$3:$A$14312=DG$3,ROW($A$3:$A$14312)),ROW(12:12)),2))</f>
        <v>Router3_14</v>
      </c>
      <c r="DH14" t="str">
        <f t="array" ref="DH14">IF(ISERROR(INDEX($A$3:$B$14312,SMALL(IF($A$3:$A$14312=DH$3,ROW($A$3:$A$14312)),ROW(12:12)),2)),"",INDEX($A$3:$B$14312,SMALL(IF($A$3:$A$14312=DH$3,ROW($A$3:$A$14312)),ROW(12:12)),2))</f>
        <v/>
      </c>
      <c r="DI14" t="str">
        <f t="array" ref="DI14">IF(ISERROR(INDEX($A$3:$B$14312,SMALL(IF($A$3:$A$14312=DI$3,ROW($A$3:$A$14312)),ROW(12:12)),2)),"",INDEX($A$3:$B$14312,SMALL(IF($A$3:$A$14312=DI$3,ROW($A$3:$A$14312)),ROW(12:12)),2))</f>
        <v>Router3_78</v>
      </c>
      <c r="DJ14" t="str">
        <f t="array" ref="DJ14">IF(ISERROR(INDEX($A$3:$B$14312,SMALL(IF($A$3:$A$14312=DJ$3,ROW($A$3:$A$14312)),ROW(12:12)),2)),"",INDEX($A$3:$B$14312,SMALL(IF($A$3:$A$14312=DJ$3,ROW($A$3:$A$14312)),ROW(12:12)),2))</f>
        <v>Router3_56</v>
      </c>
      <c r="DK14" t="str">
        <f t="array" ref="DK14">IF(ISERROR(INDEX($A$3:$B$14312,SMALL(IF($A$3:$A$14312=DK$3,ROW($A$3:$A$14312)),ROW(12:12)),2)),"",INDEX($A$3:$B$14312,SMALL(IF($A$3:$A$14312=DK$3,ROW($A$3:$A$14312)),ROW(12:12)),2))</f>
        <v>Router3_85</v>
      </c>
      <c r="DL14" t="str">
        <f t="array" ref="DL14">IF(ISERROR(INDEX($A$3:$B$14312,SMALL(IF($A$3:$A$14312=DL$3,ROW($A$3:$A$14312)),ROW(12:12)),2)),"",INDEX($A$3:$B$14312,SMALL(IF($A$3:$A$14312=DL$3,ROW($A$3:$A$14312)),ROW(12:12)),2))</f>
        <v>Router3_100</v>
      </c>
      <c r="DM14" t="str">
        <f t="array" ref="DM14">IF(ISERROR(INDEX($A$3:$B$14312,SMALL(IF($A$3:$A$14312=DM$3,ROW($A$3:$A$14312)),ROW(12:12)),2)),"",INDEX($A$3:$B$14312,SMALL(IF($A$3:$A$14312=DM$3,ROW($A$3:$A$14312)),ROW(12:12)),2))</f>
        <v/>
      </c>
      <c r="DN14" t="str">
        <f t="array" ref="DN14">IF(ISERROR(INDEX($A$3:$B$14312,SMALL(IF($A$3:$A$14312=DN$3,ROW($A$3:$A$14312)),ROW(12:12)),2)),"",INDEX($A$3:$B$14312,SMALL(IF($A$3:$A$14312=DN$3,ROW($A$3:$A$14312)),ROW(12:12)),2))</f>
        <v>Router3_63</v>
      </c>
      <c r="DO14" t="str">
        <f t="array" ref="DO14">IF(ISERROR(INDEX($A$3:$B$14312,SMALL(IF($A$3:$A$14312=DO$3,ROW($A$3:$A$14312)),ROW(12:12)),2)),"",INDEX($A$3:$B$14312,SMALL(IF($A$3:$A$14312=DO$3,ROW($A$3:$A$14312)),ROW(12:12)),2))</f>
        <v>Router3_116</v>
      </c>
      <c r="DP14" t="str">
        <f t="array" ref="DP14">IF(ISERROR(INDEX($A$3:$B$14312,SMALL(IF($A$3:$A$14312=DP$3,ROW($A$3:$A$14312)),ROW(12:12)),2)),"",INDEX($A$3:$B$14312,SMALL(IF($A$3:$A$14312=DP$3,ROW($A$3:$A$14312)),ROW(12:12)),2))</f>
        <v/>
      </c>
      <c r="DQ14" t="str">
        <f t="array" ref="DQ14">IF(ISERROR(INDEX($A$3:$B$14312,SMALL(IF($A$3:$A$14312=DQ$3,ROW($A$3:$A$14312)),ROW(12:12)),2)),"",INDEX($A$3:$B$14312,SMALL(IF($A$3:$A$14312=DQ$3,ROW($A$3:$A$14312)),ROW(12:12)),2))</f>
        <v/>
      </c>
      <c r="DR14" t="str">
        <f t="array" ref="DR14">IF(ISERROR(INDEX($A$3:$B$14312,SMALL(IF($A$3:$A$14312=DR$3,ROW($A$3:$A$14312)),ROW(12:12)),2)),"",INDEX($A$3:$B$14312,SMALL(IF($A$3:$A$14312=DR$3,ROW($A$3:$A$14312)),ROW(12:12)),2))</f>
        <v>Router3_14</v>
      </c>
      <c r="DS14" t="str">
        <f t="array" ref="DS14">IF(ISERROR(INDEX($A$3:$B$14312,SMALL(IF($A$3:$A$14312=DS$3,ROW($A$3:$A$14312)),ROW(12:12)),2)),"",INDEX($A$3:$B$14312,SMALL(IF($A$3:$A$14312=DS$3,ROW($A$3:$A$14312)),ROW(12:12)),2))</f>
        <v/>
      </c>
      <c r="DT14" t="str">
        <f t="array" ref="DT14">IF(ISERROR(INDEX($A$3:$B$14312,SMALL(IF($A$3:$A$14312=DT$3,ROW($A$3:$A$14312)),ROW(12:12)),2)),"",INDEX($A$3:$B$14312,SMALL(IF($A$3:$A$14312=DT$3,ROW($A$3:$A$14312)),ROW(12:12)),2))</f>
        <v>Router3_78</v>
      </c>
      <c r="DU14" t="str">
        <f t="array" ref="DU14">IF(ISERROR(INDEX($A$3:$B$14312,SMALL(IF($A$3:$A$14312=DU$3,ROW($A$3:$A$14312)),ROW(12:12)),2)),"",INDEX($A$3:$B$14312,SMALL(IF($A$3:$A$14312=DU$3,ROW($A$3:$A$14312)),ROW(12:12)),2))</f>
        <v>Router3_130</v>
      </c>
      <c r="DV14" t="str">
        <f t="array" ref="DV14">IF(ISERROR(INDEX($A$3:$B$14312,SMALL(IF($A$3:$A$14312=DV$3,ROW($A$3:$A$14312)),ROW(12:12)),2)),"",INDEX($A$3:$B$14312,SMALL(IF($A$3:$A$14312=DV$3,ROW($A$3:$A$14312)),ROW(12:12)),2))</f>
        <v>Router3_107</v>
      </c>
      <c r="DW14" t="str">
        <f t="array" ref="DW14">IF(ISERROR(INDEX($A$3:$B$14312,SMALL(IF($A$3:$A$14312=DW$3,ROW($A$3:$A$14312)),ROW(12:12)),2)),"",INDEX($A$3:$B$14312,SMALL(IF($A$3:$A$14312=DW$3,ROW($A$3:$A$14312)),ROW(12:12)),2))</f>
        <v/>
      </c>
      <c r="DX14" t="str">
        <f t="array" ref="DX14">IF(ISERROR(INDEX($A$3:$B$14312,SMALL(IF($A$3:$A$14312=DX$3,ROW($A$3:$A$14312)),ROW(12:12)),2)),"",INDEX($A$3:$B$14312,SMALL(IF($A$3:$A$14312=DX$3,ROW($A$3:$A$14312)),ROW(12:12)),2))</f>
        <v/>
      </c>
      <c r="DY14" t="str">
        <f t="array" ref="DY14">IF(ISERROR(INDEX($A$3:$B$14312,SMALL(IF($A$3:$A$14312=DY$3,ROW($A$3:$A$14312)),ROW(12:12)),2)),"",INDEX($A$3:$B$14312,SMALL(IF($A$3:$A$14312=DY$3,ROW($A$3:$A$14312)),ROW(12:12)),2))</f>
        <v/>
      </c>
      <c r="DZ14" t="str">
        <f t="array" ref="DZ14">IF(ISERROR(INDEX($A$3:$B$14312,SMALL(IF($A$3:$A$14312=DZ$3,ROW($A$3:$A$14312)),ROW(12:12)),2)),"",INDEX($A$3:$B$14312,SMALL(IF($A$3:$A$14312=DZ$3,ROW($A$3:$A$14312)),ROW(12:12)),2))</f>
        <v/>
      </c>
      <c r="EA14" t="str">
        <f t="array" ref="EA14">IF(ISERROR(INDEX($A$3:$B$14312,SMALL(IF($A$3:$A$14312=EA$3,ROW($A$3:$A$14312)),ROW(12:12)),2)),"",INDEX($A$3:$B$14312,SMALL(IF($A$3:$A$14312=EA$3,ROW($A$3:$A$14312)),ROW(12:12)),2))</f>
        <v>Router3_114</v>
      </c>
      <c r="EB14" t="str">
        <f t="array" ref="EB14">IF(ISERROR(INDEX($A$3:$B$14312,SMALL(IF($A$3:$A$14312=EB$3,ROW($A$3:$A$14312)),ROW(12:12)),2)),"",INDEX($A$3:$B$14312,SMALL(IF($A$3:$A$14312=EB$3,ROW($A$3:$A$14312)),ROW(12:12)),2))</f>
        <v>Router3_128</v>
      </c>
      <c r="EC14" t="str">
        <f t="array" ref="EC14">IF(ISERROR(INDEX($A$3:$B$14312,SMALL(IF($A$3:$A$14312=EC$3,ROW($A$3:$A$14312)),ROW(12:12)),2)),"",INDEX($A$3:$B$14312,SMALL(IF($A$3:$A$14312=EC$3,ROW($A$3:$A$14312)),ROW(12:12)),2))</f>
        <v>Router3_68</v>
      </c>
      <c r="ED14" t="str">
        <f t="array" ref="ED14">IF(ISERROR(INDEX($A$3:$B$14312,SMALL(IF($A$3:$A$14312=ED$3,ROW($A$3:$A$14312)),ROW(12:12)),2)),"",INDEX($A$3:$B$14312,SMALL(IF($A$3:$A$14312=ED$3,ROW($A$3:$A$14312)),ROW(12:12)),2))</f>
        <v>Router3_117</v>
      </c>
      <c r="EE14" t="str">
        <f t="array" ref="EE14">IF(ISERROR(INDEX($A$3:$B$14312,SMALL(IF($A$3:$A$14312=EE$3,ROW($A$3:$A$14312)),ROW(12:12)),2)),"",INDEX($A$3:$B$14312,SMALL(IF($A$3:$A$14312=EE$3,ROW($A$3:$A$14312)),ROW(12:12)),2))</f>
        <v>Router3_152</v>
      </c>
    </row>
    <row r="15" spans="1:135" x14ac:dyDescent="0.25">
      <c r="A15" s="10">
        <v>-450827382</v>
      </c>
      <c r="B15" t="s">
        <v>1092</v>
      </c>
      <c r="E15" t="str">
        <f t="array" ref="E15">IF(ISERROR(INDEX($A$3:$B$14312,SMALL(IF($A$3:$A$14312=E$3,ROW($A$3:$A$14312)),ROW(13:13)),2)),"",INDEX($A$3:$B$14312,SMALL(IF($A$3:$A$14312=E$3,ROW($A$3:$A$14312)),ROW(13:13)),2))</f>
        <v>Router3_17</v>
      </c>
      <c r="F15" t="str">
        <f t="array" ref="F15">IF(ISERROR(INDEX($A$3:$B$14312,SMALL(IF($A$3:$A$14312=F$3,ROW($A$3:$A$14312)),ROW(13:13)),2)),"",INDEX($A$3:$B$14312,SMALL(IF($A$3:$A$14312=F$3,ROW($A$3:$A$14312)),ROW(13:13)),2))</f>
        <v>Router3_48</v>
      </c>
      <c r="G15" t="str">
        <f t="array" ref="G15">IF(ISERROR(INDEX($A$3:$B$14312,SMALL(IF($A$3:$A$14312=G$3,ROW($A$3:$A$14312)),ROW(13:13)),2)),"",INDEX($A$3:$B$14312,SMALL(IF($A$3:$A$14312=G$3,ROW($A$3:$A$14312)),ROW(13:13)),2))</f>
        <v>Router3_52</v>
      </c>
      <c r="H15" t="str">
        <f t="array" ref="H15">IF(ISERROR(INDEX($A$3:$B$14312,SMALL(IF($A$3:$A$14312=H$3,ROW($A$3:$A$14312)),ROW(13:13)),2)),"",INDEX($A$3:$B$14312,SMALL(IF($A$3:$A$14312=H$3,ROW($A$3:$A$14312)),ROW(13:13)),2))</f>
        <v>Router3_24</v>
      </c>
      <c r="I15" t="str">
        <f t="array" ref="I15">IF(ISERROR(INDEX($A$3:$B$14312,SMALL(IF($A$3:$A$14312=I$3,ROW($A$3:$A$14312)),ROW(13:13)),2)),"",INDEX($A$3:$B$14312,SMALL(IF($A$3:$A$14312=I$3,ROW($A$3:$A$14312)),ROW(13:13)),2))</f>
        <v/>
      </c>
      <c r="J15" t="str">
        <f t="array" ref="J15">IF(ISERROR(INDEX($A$3:$B$14312,SMALL(IF($A$3:$A$14312=J$3,ROW($A$3:$A$14312)),ROW(13:13)),2)),"",INDEX($A$3:$B$14312,SMALL(IF($A$3:$A$14312=J$3,ROW($A$3:$A$14312)),ROW(13:13)),2))</f>
        <v>Router3_144</v>
      </c>
      <c r="K15" t="str">
        <f t="array" ref="K15">IF(ISERROR(INDEX($A$3:$B$14312,SMALL(IF($A$3:$A$14312=K$3,ROW($A$3:$A$14312)),ROW(13:13)),2)),"",INDEX($A$3:$B$14312,SMALL(IF($A$3:$A$14312=K$3,ROW($A$3:$A$14312)),ROW(13:13)),2))</f>
        <v>Router3_123</v>
      </c>
      <c r="L15" t="str">
        <f t="array" ref="L15">IF(ISERROR(INDEX($A$3:$B$14312,SMALL(IF($A$3:$A$14312=L$3,ROW($A$3:$A$14312)),ROW(13:13)),2)),"",INDEX($A$3:$B$14312,SMALL(IF($A$3:$A$14312=L$3,ROW($A$3:$A$14312)),ROW(13:13)),2))</f>
        <v/>
      </c>
      <c r="M15" t="str">
        <f t="array" ref="M15">IF(ISERROR(INDEX($A$3:$B$14312,SMALL(IF($A$3:$A$14312=M$3,ROW($A$3:$A$14312)),ROW(13:13)),2)),"",INDEX($A$3:$B$14312,SMALL(IF($A$3:$A$14312=M$3,ROW($A$3:$A$14312)),ROW(13:13)),2))</f>
        <v>Router3_109</v>
      </c>
      <c r="N15" t="str">
        <f t="array" ref="N15">IF(ISERROR(INDEX($A$3:$B$14312,SMALL(IF($A$3:$A$14312=N$3,ROW($A$3:$A$14312)),ROW(13:13)),2)),"",INDEX($A$3:$B$14312,SMALL(IF($A$3:$A$14312=N$3,ROW($A$3:$A$14312)),ROW(13:13)),2))</f>
        <v/>
      </c>
      <c r="O15" t="str">
        <f t="array" ref="O15">IF(ISERROR(INDEX($A$3:$B$14312,SMALL(IF($A$3:$A$14312=O$3,ROW($A$3:$A$14312)),ROW(13:13)),2)),"",INDEX($A$3:$B$14312,SMALL(IF($A$3:$A$14312=O$3,ROW($A$3:$A$14312)),ROW(13:13)),2))</f>
        <v/>
      </c>
      <c r="P15" t="str">
        <f t="array" ref="P15">IF(ISERROR(INDEX($A$3:$B$14312,SMALL(IF($A$3:$A$14312=P$3,ROW($A$3:$A$14312)),ROW(13:13)),2)),"",INDEX($A$3:$B$14312,SMALL(IF($A$3:$A$14312=P$3,ROW($A$3:$A$14312)),ROW(13:13)),2))</f>
        <v>Router3_26</v>
      </c>
      <c r="Q15" t="str">
        <f t="array" ref="Q15">IF(ISERROR(INDEX($A$3:$B$14312,SMALL(IF($A$3:$A$14312=Q$3,ROW($A$3:$A$14312)),ROW(13:13)),2)),"",INDEX($A$3:$B$14312,SMALL(IF($A$3:$A$14312=Q$3,ROW($A$3:$A$14312)),ROW(13:13)),2))</f>
        <v/>
      </c>
      <c r="R15" t="str">
        <f t="array" ref="R15">IF(ISERROR(INDEX($A$3:$B$14312,SMALL(IF($A$3:$A$14312=R$3,ROW($A$3:$A$14312)),ROW(13:13)),2)),"",INDEX($A$3:$B$14312,SMALL(IF($A$3:$A$14312=R$3,ROW($A$3:$A$14312)),ROW(13:13)),2))</f>
        <v/>
      </c>
      <c r="S15" t="str">
        <f t="array" ref="S15">IF(ISERROR(INDEX($A$3:$B$14312,SMALL(IF($A$3:$A$14312=S$3,ROW($A$3:$A$14312)),ROW(13:13)),2)),"",INDEX($A$3:$B$14312,SMALL(IF($A$3:$A$14312=S$3,ROW($A$3:$A$14312)),ROW(13:13)),2))</f>
        <v/>
      </c>
      <c r="T15" t="str">
        <f t="array" ref="T15">IF(ISERROR(INDEX($A$3:$B$14312,SMALL(IF($A$3:$A$14312=T$3,ROW($A$3:$A$14312)),ROW(13:13)),2)),"",INDEX($A$3:$B$14312,SMALL(IF($A$3:$A$14312=T$3,ROW($A$3:$A$14312)),ROW(13:13)),2))</f>
        <v/>
      </c>
      <c r="U15" t="str">
        <f t="array" ref="U15">IF(ISERROR(INDEX($A$3:$B$14312,SMALL(IF($A$3:$A$14312=U$3,ROW($A$3:$A$14312)),ROW(13:13)),2)),"",INDEX($A$3:$B$14312,SMALL(IF($A$3:$A$14312=U$3,ROW($A$3:$A$14312)),ROW(13:13)),2))</f>
        <v>Router3_127</v>
      </c>
      <c r="V15" t="str">
        <f t="array" ref="V15">IF(ISERROR(INDEX($A$3:$B$14312,SMALL(IF($A$3:$A$14312=V$3,ROW($A$3:$A$14312)),ROW(13:13)),2)),"",INDEX($A$3:$B$14312,SMALL(IF($A$3:$A$14312=V$3,ROW($A$3:$A$14312)),ROW(13:13)),2))</f>
        <v/>
      </c>
      <c r="W15" t="str">
        <f t="array" ref="W15">IF(ISERROR(INDEX($A$3:$B$14312,SMALL(IF($A$3:$A$14312=W$3,ROW($A$3:$A$14312)),ROW(13:13)),2)),"",INDEX($A$3:$B$14312,SMALL(IF($A$3:$A$14312=W$3,ROW($A$3:$A$14312)),ROW(13:13)),2))</f>
        <v>Router3_69</v>
      </c>
      <c r="X15" t="str">
        <f t="array" ref="X15">IF(ISERROR(INDEX($A$3:$B$14312,SMALL(IF($A$3:$A$14312=X$3,ROW($A$3:$A$14312)),ROW(13:13)),2)),"",INDEX($A$3:$B$14312,SMALL(IF($A$3:$A$14312=X$3,ROW($A$3:$A$14312)),ROW(13:13)),2))</f>
        <v/>
      </c>
      <c r="Y15" t="str">
        <f t="array" ref="Y15">IF(ISERROR(INDEX($A$3:$B$14312,SMALL(IF($A$3:$A$14312=Y$3,ROW($A$3:$A$14312)),ROW(13:13)),2)),"",INDEX($A$3:$B$14312,SMALL(IF($A$3:$A$14312=Y$3,ROW($A$3:$A$14312)),ROW(13:13)),2))</f>
        <v/>
      </c>
      <c r="Z15" t="str">
        <f t="array" ref="Z15">IF(ISERROR(INDEX($A$3:$B$14312,SMALL(IF($A$3:$A$14312=Z$3,ROW($A$3:$A$14312)),ROW(13:13)),2)),"",INDEX($A$3:$B$14312,SMALL(IF($A$3:$A$14312=Z$3,ROW($A$3:$A$14312)),ROW(13:13)),2))</f>
        <v/>
      </c>
      <c r="AA15" t="str">
        <f t="array" ref="AA15">IF(ISERROR(INDEX($A$3:$B$14312,SMALL(IF($A$3:$A$14312=AA$3,ROW($A$3:$A$14312)),ROW(13:13)),2)),"",INDEX($A$3:$B$14312,SMALL(IF($A$3:$A$14312=AA$3,ROW($A$3:$A$14312)),ROW(13:13)),2))</f>
        <v/>
      </c>
      <c r="AB15" t="str">
        <f t="array" ref="AB15">IF(ISERROR(INDEX($A$3:$B$14312,SMALL(IF($A$3:$A$14312=AB$3,ROW($A$3:$A$14312)),ROW(13:13)),2)),"",INDEX($A$3:$B$14312,SMALL(IF($A$3:$A$14312=AB$3,ROW($A$3:$A$14312)),ROW(13:13)),2))</f>
        <v/>
      </c>
      <c r="AC15" t="str">
        <f t="array" ref="AC15">IF(ISERROR(INDEX($A$3:$B$14312,SMALL(IF($A$3:$A$14312=AC$3,ROW($A$3:$A$14312)),ROW(13:13)),2)),"",INDEX($A$3:$B$14312,SMALL(IF($A$3:$A$14312=AC$3,ROW($A$3:$A$14312)),ROW(13:13)),2))</f>
        <v/>
      </c>
      <c r="AD15" t="str">
        <f t="array" ref="AD15">IF(ISERROR(INDEX($A$3:$B$14312,SMALL(IF($A$3:$A$14312=AD$3,ROW($A$3:$A$14312)),ROW(13:13)),2)),"",INDEX($A$3:$B$14312,SMALL(IF($A$3:$A$14312=AD$3,ROW($A$3:$A$14312)),ROW(13:13)),2))</f>
        <v/>
      </c>
      <c r="AE15" t="str">
        <f t="array" ref="AE15">IF(ISERROR(INDEX($A$3:$B$14312,SMALL(IF($A$3:$A$14312=AE$3,ROW($A$3:$A$14312)),ROW(13:13)),2)),"",INDEX($A$3:$B$14312,SMALL(IF($A$3:$A$14312=AE$3,ROW($A$3:$A$14312)),ROW(13:13)),2))</f>
        <v/>
      </c>
      <c r="AF15" t="str">
        <f t="array" ref="AF15">IF(ISERROR(INDEX($A$3:$B$14312,SMALL(IF($A$3:$A$14312=AF$3,ROW($A$3:$A$14312)),ROW(13:13)),2)),"",INDEX($A$3:$B$14312,SMALL(IF($A$3:$A$14312=AF$3,ROW($A$3:$A$14312)),ROW(13:13)),2))</f>
        <v>Router3_96</v>
      </c>
      <c r="AG15" t="str">
        <f t="array" ref="AG15">IF(ISERROR(INDEX($A$3:$B$14312,SMALL(IF($A$3:$A$14312=AG$3,ROW($A$3:$A$14312)),ROW(13:13)),2)),"",INDEX($A$3:$B$14312,SMALL(IF($A$3:$A$14312=AG$3,ROW($A$3:$A$14312)),ROW(13:13)),2))</f>
        <v>Router3_17</v>
      </c>
      <c r="AH15" t="str">
        <f t="array" ref="AH15">IF(ISERROR(INDEX($A$3:$B$14312,SMALL(IF($A$3:$A$14312=AH$3,ROW($A$3:$A$14312)),ROW(13:13)),2)),"",INDEX($A$3:$B$14312,SMALL(IF($A$3:$A$14312=AH$3,ROW($A$3:$A$14312)),ROW(13:13)),2))</f>
        <v>Router3_74</v>
      </c>
      <c r="AI15" t="str">
        <f t="array" ref="AI15">IF(ISERROR(INDEX($A$3:$B$14312,SMALL(IF($A$3:$A$14312=AI$3,ROW($A$3:$A$14312)),ROW(13:13)),2)),"",INDEX($A$3:$B$14312,SMALL(IF($A$3:$A$14312=AI$3,ROW($A$3:$A$14312)),ROW(13:13)),2))</f>
        <v>Router3_93</v>
      </c>
      <c r="AJ15" t="str">
        <f t="array" ref="AJ15">IF(ISERROR(INDEX($A$3:$B$14312,SMALL(IF($A$3:$A$14312=AJ$3,ROW($A$3:$A$14312)),ROW(13:13)),2)),"",INDEX($A$3:$B$14312,SMALL(IF($A$3:$A$14312=AJ$3,ROW($A$3:$A$14312)),ROW(13:13)),2))</f>
        <v/>
      </c>
      <c r="AK15" t="str">
        <f t="array" ref="AK15">IF(ISERROR(INDEX($A$3:$B$14312,SMALL(IF($A$3:$A$14312=AK$3,ROW($A$3:$A$14312)),ROW(13:13)),2)),"",INDEX($A$3:$B$14312,SMALL(IF($A$3:$A$14312=AK$3,ROW($A$3:$A$14312)),ROW(13:13)),2))</f>
        <v/>
      </c>
      <c r="AL15" t="str">
        <f t="array" ref="AL15">IF(ISERROR(INDEX($A$3:$B$14312,SMALL(IF($A$3:$A$14312=AL$3,ROW($A$3:$A$14312)),ROW(13:13)),2)),"",INDEX($A$3:$B$14312,SMALL(IF($A$3:$A$14312=AL$3,ROW($A$3:$A$14312)),ROW(13:13)),2))</f>
        <v>Router3_130</v>
      </c>
      <c r="AM15" t="str">
        <f t="array" ref="AM15">IF(ISERROR(INDEX($A$3:$B$14312,SMALL(IF($A$3:$A$14312=AM$3,ROW($A$3:$A$14312)),ROW(13:13)),2)),"",INDEX($A$3:$B$14312,SMALL(IF($A$3:$A$14312=AM$3,ROW($A$3:$A$14312)),ROW(13:13)),2))</f>
        <v>Router3_88</v>
      </c>
      <c r="AN15" t="str">
        <f t="array" ref="AN15">IF(ISERROR(INDEX($A$3:$B$14312,SMALL(IF($A$3:$A$14312=AN$3,ROW($A$3:$A$14312)),ROW(13:13)),2)),"",INDEX($A$3:$B$14312,SMALL(IF($A$3:$A$14312=AN$3,ROW($A$3:$A$14312)),ROW(13:13)),2))</f>
        <v>Router3_59</v>
      </c>
      <c r="AO15" t="str">
        <f t="array" ref="AO15">IF(ISERROR(INDEX($A$3:$B$14312,SMALL(IF($A$3:$A$14312=AO$3,ROW($A$3:$A$14312)),ROW(13:13)),2)),"",INDEX($A$3:$B$14312,SMALL(IF($A$3:$A$14312=AO$3,ROW($A$3:$A$14312)),ROW(13:13)),2))</f>
        <v>Router3_117</v>
      </c>
      <c r="AP15" t="str">
        <f t="array" ref="AP15">IF(ISERROR(INDEX($A$3:$B$14312,SMALL(IF($A$3:$A$14312=AP$3,ROW($A$3:$A$14312)),ROW(13:13)),2)),"",INDEX($A$3:$B$14312,SMALL(IF($A$3:$A$14312=AP$3,ROW($A$3:$A$14312)),ROW(13:13)),2))</f>
        <v>Router3_15</v>
      </c>
      <c r="AQ15" t="str">
        <f t="array" ref="AQ15">IF(ISERROR(INDEX($A$3:$B$14312,SMALL(IF($A$3:$A$14312=AQ$3,ROW($A$3:$A$14312)),ROW(13:13)),2)),"",INDEX($A$3:$B$14312,SMALL(IF($A$3:$A$14312=AQ$3,ROW($A$3:$A$14312)),ROW(13:13)),2))</f>
        <v/>
      </c>
      <c r="AR15" t="str">
        <f t="array" ref="AR15">IF(ISERROR(INDEX($A$3:$B$14312,SMALL(IF($A$3:$A$14312=AR$3,ROW($A$3:$A$14312)),ROW(13:13)),2)),"",INDEX($A$3:$B$14312,SMALL(IF($A$3:$A$14312=AR$3,ROW($A$3:$A$14312)),ROW(13:13)),2))</f>
        <v/>
      </c>
      <c r="AS15" t="str">
        <f t="array" ref="AS15">IF(ISERROR(INDEX($A$3:$B$14312,SMALL(IF($A$3:$A$14312=AS$3,ROW($A$3:$A$14312)),ROW(13:13)),2)),"",INDEX($A$3:$B$14312,SMALL(IF($A$3:$A$14312=AS$3,ROW($A$3:$A$14312)),ROW(13:13)),2))</f>
        <v>Router3_78</v>
      </c>
      <c r="AT15" t="str">
        <f t="array" ref="AT15">IF(ISERROR(INDEX($A$3:$B$14312,SMALL(IF($A$3:$A$14312=AT$3,ROW($A$3:$A$14312)),ROW(13:13)),2)),"",INDEX($A$3:$B$14312,SMALL(IF($A$3:$A$14312=AT$3,ROW($A$3:$A$14312)),ROW(13:13)),2))</f>
        <v/>
      </c>
      <c r="AU15" t="str">
        <f t="array" ref="AU15">IF(ISERROR(INDEX($A$3:$B$14312,SMALL(IF($A$3:$A$14312=AU$3,ROW($A$3:$A$14312)),ROW(13:13)),2)),"",INDEX($A$3:$B$14312,SMALL(IF($A$3:$A$14312=AU$3,ROW($A$3:$A$14312)),ROW(13:13)),2))</f>
        <v>Router3_15</v>
      </c>
      <c r="AV15" t="str">
        <f t="array" ref="AV15">IF(ISERROR(INDEX($A$3:$B$14312,SMALL(IF($A$3:$A$14312=AV$3,ROW($A$3:$A$14312)),ROW(13:13)),2)),"",INDEX($A$3:$B$14312,SMALL(IF($A$3:$A$14312=AV$3,ROW($A$3:$A$14312)),ROW(13:13)),2))</f>
        <v/>
      </c>
      <c r="AW15" t="str">
        <f t="array" ref="AW15">IF(ISERROR(INDEX($A$3:$B$14312,SMALL(IF($A$3:$A$14312=AW$3,ROW($A$3:$A$14312)),ROW(13:13)),2)),"",INDEX($A$3:$B$14312,SMALL(IF($A$3:$A$14312=AW$3,ROW($A$3:$A$14312)),ROW(13:13)),2))</f>
        <v/>
      </c>
      <c r="AX15" t="str">
        <f t="array" ref="AX15">IF(ISERROR(INDEX($A$3:$B$14312,SMALL(IF($A$3:$A$14312=AX$3,ROW($A$3:$A$14312)),ROW(13:13)),2)),"",INDEX($A$3:$B$14312,SMALL(IF($A$3:$A$14312=AX$3,ROW($A$3:$A$14312)),ROW(13:13)),2))</f>
        <v>Router3_52</v>
      </c>
      <c r="AY15" t="str">
        <f t="array" ref="AY15">IF(ISERROR(INDEX($A$3:$B$14312,SMALL(IF($A$3:$A$14312=AY$3,ROW($A$3:$A$14312)),ROW(13:13)),2)),"",INDEX($A$3:$B$14312,SMALL(IF($A$3:$A$14312=AY$3,ROW($A$3:$A$14312)),ROW(13:13)),2))</f>
        <v>Router3_90</v>
      </c>
      <c r="AZ15" t="str">
        <f t="array" ref="AZ15">IF(ISERROR(INDEX($A$3:$B$14312,SMALL(IF($A$3:$A$14312=AZ$3,ROW($A$3:$A$14312)),ROW(13:13)),2)),"",INDEX($A$3:$B$14312,SMALL(IF($A$3:$A$14312=AZ$3,ROW($A$3:$A$14312)),ROW(13:13)),2))</f>
        <v/>
      </c>
      <c r="BA15" t="str">
        <f t="array" ref="BA15">IF(ISERROR(INDEX($A$3:$B$14312,SMALL(IF($A$3:$A$14312=BA$3,ROW($A$3:$A$14312)),ROW(13:13)),2)),"",INDEX($A$3:$B$14312,SMALL(IF($A$3:$A$14312=BA$3,ROW($A$3:$A$14312)),ROW(13:13)),2))</f>
        <v/>
      </c>
      <c r="BB15" t="str">
        <f t="array" ref="BB15">IF(ISERROR(INDEX($A$3:$B$14312,SMALL(IF($A$3:$A$14312=BB$3,ROW($A$3:$A$14312)),ROW(13:13)),2)),"",INDEX($A$3:$B$14312,SMALL(IF($A$3:$A$14312=BB$3,ROW($A$3:$A$14312)),ROW(13:13)),2))</f>
        <v/>
      </c>
      <c r="BC15" t="str">
        <f t="array" ref="BC15">IF(ISERROR(INDEX($A$3:$B$14312,SMALL(IF($A$3:$A$14312=BC$3,ROW($A$3:$A$14312)),ROW(13:13)),2)),"",INDEX($A$3:$B$14312,SMALL(IF($A$3:$A$14312=BC$3,ROW($A$3:$A$14312)),ROW(13:13)),2))</f>
        <v/>
      </c>
      <c r="BD15" t="str">
        <f t="array" ref="BD15">IF(ISERROR(INDEX($A$3:$B$14312,SMALL(IF($A$3:$A$14312=BD$3,ROW($A$3:$A$14312)),ROW(13:13)),2)),"",INDEX($A$3:$B$14312,SMALL(IF($A$3:$A$14312=BD$3,ROW($A$3:$A$14312)),ROW(13:13)),2))</f>
        <v/>
      </c>
      <c r="BE15" t="str">
        <f t="array" ref="BE15">IF(ISERROR(INDEX($A$3:$B$14312,SMALL(IF($A$3:$A$14312=BE$3,ROW($A$3:$A$14312)),ROW(13:13)),2)),"",INDEX($A$3:$B$14312,SMALL(IF($A$3:$A$14312=BE$3,ROW($A$3:$A$14312)),ROW(13:13)),2))</f>
        <v>Router3_99</v>
      </c>
      <c r="BF15" t="str">
        <f t="array" ref="BF15">IF(ISERROR(INDEX($A$3:$B$14312,SMALL(IF($A$3:$A$14312=BF$3,ROW($A$3:$A$14312)),ROW(13:13)),2)),"",INDEX($A$3:$B$14312,SMALL(IF($A$3:$A$14312=BF$3,ROW($A$3:$A$14312)),ROW(13:13)),2))</f>
        <v/>
      </c>
      <c r="BG15" t="str">
        <f t="array" ref="BG15">IF(ISERROR(INDEX($A$3:$B$14312,SMALL(IF($A$3:$A$14312=BG$3,ROW($A$3:$A$14312)),ROW(13:13)),2)),"",INDEX($A$3:$B$14312,SMALL(IF($A$3:$A$14312=BG$3,ROW($A$3:$A$14312)),ROW(13:13)),2))</f>
        <v/>
      </c>
      <c r="BH15" t="str">
        <f t="array" ref="BH15">IF(ISERROR(INDEX($A$3:$B$14312,SMALL(IF($A$3:$A$14312=BH$3,ROW($A$3:$A$14312)),ROW(13:13)),2)),"",INDEX($A$3:$B$14312,SMALL(IF($A$3:$A$14312=BH$3,ROW($A$3:$A$14312)),ROW(13:13)),2))</f>
        <v/>
      </c>
      <c r="BI15" t="str">
        <f t="array" ref="BI15">IF(ISERROR(INDEX($A$3:$B$14312,SMALL(IF($A$3:$A$14312=BI$3,ROW($A$3:$A$14312)),ROW(13:13)),2)),"",INDEX($A$3:$B$14312,SMALL(IF($A$3:$A$14312=BI$3,ROW($A$3:$A$14312)),ROW(13:13)),2))</f>
        <v>Router3_107</v>
      </c>
      <c r="BJ15" t="str">
        <f t="array" ref="BJ15">IF(ISERROR(INDEX($A$3:$B$14312,SMALL(IF($A$3:$A$14312=BJ$3,ROW($A$3:$A$14312)),ROW(13:13)),2)),"",INDEX($A$3:$B$14312,SMALL(IF($A$3:$A$14312=BJ$3,ROW($A$3:$A$14312)),ROW(13:13)),2))</f>
        <v/>
      </c>
      <c r="BK15" t="str">
        <f t="array" ref="BK15">IF(ISERROR(INDEX($A$3:$B$14312,SMALL(IF($A$3:$A$14312=BK$3,ROW($A$3:$A$14312)),ROW(13:13)),2)),"",INDEX($A$3:$B$14312,SMALL(IF($A$3:$A$14312=BK$3,ROW($A$3:$A$14312)),ROW(13:13)),2))</f>
        <v/>
      </c>
      <c r="BL15" t="str">
        <f t="array" ref="BL15">IF(ISERROR(INDEX($A$3:$B$14312,SMALL(IF($A$3:$A$14312=BL$3,ROW($A$3:$A$14312)),ROW(13:13)),2)),"",INDEX($A$3:$B$14312,SMALL(IF($A$3:$A$14312=BL$3,ROW($A$3:$A$14312)),ROW(13:13)),2))</f>
        <v/>
      </c>
      <c r="BM15" t="str">
        <f t="array" ref="BM15">IF(ISERROR(INDEX($A$3:$B$14312,SMALL(IF($A$3:$A$14312=BM$3,ROW($A$3:$A$14312)),ROW(13:13)),2)),"",INDEX($A$3:$B$14312,SMALL(IF($A$3:$A$14312=BM$3,ROW($A$3:$A$14312)),ROW(13:13)),2))</f>
        <v>Router3_112</v>
      </c>
      <c r="BN15" t="str">
        <f t="array" ref="BN15">IF(ISERROR(INDEX($A$3:$B$14312,SMALL(IF($A$3:$A$14312=BN$3,ROW($A$3:$A$14312)),ROW(13:13)),2)),"",INDEX($A$3:$B$14312,SMALL(IF($A$3:$A$14312=BN$3,ROW($A$3:$A$14312)),ROW(13:13)),2))</f>
        <v/>
      </c>
      <c r="BO15" t="str">
        <f t="array" ref="BO15">IF(ISERROR(INDEX($A$3:$B$14312,SMALL(IF($A$3:$A$14312=BO$3,ROW($A$3:$A$14312)),ROW(13:13)),2)),"",INDEX($A$3:$B$14312,SMALL(IF($A$3:$A$14312=BO$3,ROW($A$3:$A$14312)),ROW(13:13)),2))</f>
        <v/>
      </c>
      <c r="BP15" t="str">
        <f t="array" ref="BP15">IF(ISERROR(INDEX($A$3:$B$14312,SMALL(IF($A$3:$A$14312=BP$3,ROW($A$3:$A$14312)),ROW(13:13)),2)),"",INDEX($A$3:$B$14312,SMALL(IF($A$3:$A$14312=BP$3,ROW($A$3:$A$14312)),ROW(13:13)),2))</f>
        <v/>
      </c>
      <c r="BQ15" t="str">
        <f t="array" ref="BQ15">IF(ISERROR(INDEX($A$3:$B$14312,SMALL(IF($A$3:$A$14312=BQ$3,ROW($A$3:$A$14312)),ROW(13:13)),2)),"",INDEX($A$3:$B$14312,SMALL(IF($A$3:$A$14312=BQ$3,ROW($A$3:$A$14312)),ROW(13:13)),2))</f>
        <v/>
      </c>
      <c r="BR15" t="str">
        <f t="array" ref="BR15">IF(ISERROR(INDEX($A$3:$B$14312,SMALL(IF($A$3:$A$14312=BR$3,ROW($A$3:$A$14312)),ROW(13:13)),2)),"",INDEX($A$3:$B$14312,SMALL(IF($A$3:$A$14312=BR$3,ROW($A$3:$A$14312)),ROW(13:13)),2))</f>
        <v/>
      </c>
      <c r="BS15" t="str">
        <f t="array" ref="BS15">IF(ISERROR(INDEX($A$3:$B$14312,SMALL(IF($A$3:$A$14312=BS$3,ROW($A$3:$A$14312)),ROW(13:13)),2)),"",INDEX($A$3:$B$14312,SMALL(IF($A$3:$A$14312=BS$3,ROW($A$3:$A$14312)),ROW(13:13)),2))</f>
        <v/>
      </c>
      <c r="BT15" t="str">
        <f t="array" ref="BT15">IF(ISERROR(INDEX($A$3:$B$14312,SMALL(IF($A$3:$A$14312=BT$3,ROW($A$3:$A$14312)),ROW(13:13)),2)),"",INDEX($A$3:$B$14312,SMALL(IF($A$3:$A$14312=BT$3,ROW($A$3:$A$14312)),ROW(13:13)),2))</f>
        <v>Router3_68</v>
      </c>
      <c r="BU15" t="str">
        <f t="array" ref="BU15">IF(ISERROR(INDEX($A$3:$B$14312,SMALL(IF($A$3:$A$14312=BU$3,ROW($A$3:$A$14312)),ROW(13:13)),2)),"",INDEX($A$3:$B$14312,SMALL(IF($A$3:$A$14312=BU$3,ROW($A$3:$A$14312)),ROW(13:13)),2))</f>
        <v/>
      </c>
      <c r="BV15" t="str">
        <f t="array" ref="BV15">IF(ISERROR(INDEX($A$3:$B$14312,SMALL(IF($A$3:$A$14312=BV$3,ROW($A$3:$A$14312)),ROW(13:13)),2)),"",INDEX($A$3:$B$14312,SMALL(IF($A$3:$A$14312=BV$3,ROW($A$3:$A$14312)),ROW(13:13)),2))</f>
        <v/>
      </c>
      <c r="BW15" t="str">
        <f t="array" ref="BW15">IF(ISERROR(INDEX($A$3:$B$14312,SMALL(IF($A$3:$A$14312=BW$3,ROW($A$3:$A$14312)),ROW(13:13)),2)),"",INDEX($A$3:$B$14312,SMALL(IF($A$3:$A$14312=BW$3,ROW($A$3:$A$14312)),ROW(13:13)),2))</f>
        <v>Router3_151</v>
      </c>
      <c r="BX15" t="str">
        <f t="array" ref="BX15">IF(ISERROR(INDEX($A$3:$B$14312,SMALL(IF($A$3:$A$14312=BX$3,ROW($A$3:$A$14312)),ROW(13:13)),2)),"",INDEX($A$3:$B$14312,SMALL(IF($A$3:$A$14312=BX$3,ROW($A$3:$A$14312)),ROW(13:13)),2))</f>
        <v>Router3_56</v>
      </c>
      <c r="BY15" t="str">
        <f t="array" ref="BY15">IF(ISERROR(INDEX($A$3:$B$14312,SMALL(IF($A$3:$A$14312=BY$3,ROW($A$3:$A$14312)),ROW(13:13)),2)),"",INDEX($A$3:$B$14312,SMALL(IF($A$3:$A$14312=BY$3,ROW($A$3:$A$14312)),ROW(13:13)),2))</f>
        <v>Router3_78</v>
      </c>
      <c r="BZ15" t="str">
        <f t="array" ref="BZ15">IF(ISERROR(INDEX($A$3:$B$14312,SMALL(IF($A$3:$A$14312=BZ$3,ROW($A$3:$A$14312)),ROW(13:13)),2)),"",INDEX($A$3:$B$14312,SMALL(IF($A$3:$A$14312=BZ$3,ROW($A$3:$A$14312)),ROW(13:13)),2))</f>
        <v>Router3_78</v>
      </c>
      <c r="CA15" t="str">
        <f t="array" ref="CA15">IF(ISERROR(INDEX($A$3:$B$14312,SMALL(IF($A$3:$A$14312=CA$3,ROW($A$3:$A$14312)),ROW(13:13)),2)),"",INDEX($A$3:$B$14312,SMALL(IF($A$3:$A$14312=CA$3,ROW($A$3:$A$14312)),ROW(13:13)),2))</f>
        <v/>
      </c>
      <c r="CB15" t="str">
        <f t="array" ref="CB15">IF(ISERROR(INDEX($A$3:$B$14312,SMALL(IF($A$3:$A$14312=CB$3,ROW($A$3:$A$14312)),ROW(13:13)),2)),"",INDEX($A$3:$B$14312,SMALL(IF($A$3:$A$14312=CB$3,ROW($A$3:$A$14312)),ROW(13:13)),2))</f>
        <v>Router3_44</v>
      </c>
      <c r="CC15" t="str">
        <f t="array" ref="CC15">IF(ISERROR(INDEX($A$3:$B$14312,SMALL(IF($A$3:$A$14312=CC$3,ROW($A$3:$A$14312)),ROW(13:13)),2)),"",INDEX($A$3:$B$14312,SMALL(IF($A$3:$A$14312=CC$3,ROW($A$3:$A$14312)),ROW(13:13)),2))</f>
        <v/>
      </c>
      <c r="CD15" t="str">
        <f t="array" ref="CD15">IF(ISERROR(INDEX($A$3:$B$14312,SMALL(IF($A$3:$A$14312=CD$3,ROW($A$3:$A$14312)),ROW(13:13)),2)),"",INDEX($A$3:$B$14312,SMALL(IF($A$3:$A$14312=CD$3,ROW($A$3:$A$14312)),ROW(13:13)),2))</f>
        <v>Router3_24</v>
      </c>
      <c r="CE15" t="str">
        <f t="array" ref="CE15">IF(ISERROR(INDEX($A$3:$B$14312,SMALL(IF($A$3:$A$14312=CE$3,ROW($A$3:$A$14312)),ROW(13:13)),2)),"",INDEX($A$3:$B$14312,SMALL(IF($A$3:$A$14312=CE$3,ROW($A$3:$A$14312)),ROW(13:13)),2))</f>
        <v>Router3_99</v>
      </c>
      <c r="CF15" t="str">
        <f t="array" ref="CF15">IF(ISERROR(INDEX($A$3:$B$14312,SMALL(IF($A$3:$A$14312=CF$3,ROW($A$3:$A$14312)),ROW(13:13)),2)),"",INDEX($A$3:$B$14312,SMALL(IF($A$3:$A$14312=CF$3,ROW($A$3:$A$14312)),ROW(13:13)),2))</f>
        <v/>
      </c>
      <c r="CG15" t="str">
        <f t="array" ref="CG15">IF(ISERROR(INDEX($A$3:$B$14312,SMALL(IF($A$3:$A$14312=CG$3,ROW($A$3:$A$14312)),ROW(13:13)),2)),"",INDEX($A$3:$B$14312,SMALL(IF($A$3:$A$14312=CG$3,ROW($A$3:$A$14312)),ROW(13:13)),2))</f>
        <v>Router3_17</v>
      </c>
      <c r="CH15" t="str">
        <f t="array" ref="CH15">IF(ISERROR(INDEX($A$3:$B$14312,SMALL(IF($A$3:$A$14312=CH$3,ROW($A$3:$A$14312)),ROW(13:13)),2)),"",INDEX($A$3:$B$14312,SMALL(IF($A$3:$A$14312=CH$3,ROW($A$3:$A$14312)),ROW(13:13)),2))</f>
        <v/>
      </c>
      <c r="CI15" t="str">
        <f t="array" ref="CI15">IF(ISERROR(INDEX($A$3:$B$14312,SMALL(IF($A$3:$A$14312=CI$3,ROW($A$3:$A$14312)),ROW(13:13)),2)),"",INDEX($A$3:$B$14312,SMALL(IF($A$3:$A$14312=CI$3,ROW($A$3:$A$14312)),ROW(13:13)),2))</f>
        <v>Router3_23</v>
      </c>
      <c r="CJ15" t="str">
        <f t="array" ref="CJ15">IF(ISERROR(INDEX($A$3:$B$14312,SMALL(IF($A$3:$A$14312=CJ$3,ROW($A$3:$A$14312)),ROW(13:13)),2)),"",INDEX($A$3:$B$14312,SMALL(IF($A$3:$A$14312=CJ$3,ROW($A$3:$A$14312)),ROW(13:13)),2))</f>
        <v/>
      </c>
      <c r="CK15" t="str">
        <f t="array" ref="CK15">IF(ISERROR(INDEX($A$3:$B$14312,SMALL(IF($A$3:$A$14312=CK$3,ROW($A$3:$A$14312)),ROW(13:13)),2)),"",INDEX($A$3:$B$14312,SMALL(IF($A$3:$A$14312=CK$3,ROW($A$3:$A$14312)),ROW(13:13)),2))</f>
        <v/>
      </c>
      <c r="CL15" t="str">
        <f t="array" ref="CL15">IF(ISERROR(INDEX($A$3:$B$14312,SMALL(IF($A$3:$A$14312=CL$3,ROW($A$3:$A$14312)),ROW(13:13)),2)),"",INDEX($A$3:$B$14312,SMALL(IF($A$3:$A$14312=CL$3,ROW($A$3:$A$14312)),ROW(13:13)),2))</f>
        <v/>
      </c>
      <c r="CM15" t="str">
        <f t="array" ref="CM15">IF(ISERROR(INDEX($A$3:$B$14312,SMALL(IF($A$3:$A$14312=CM$3,ROW($A$3:$A$14312)),ROW(13:13)),2)),"",INDEX($A$3:$B$14312,SMALL(IF($A$3:$A$14312=CM$3,ROW($A$3:$A$14312)),ROW(13:13)),2))</f>
        <v/>
      </c>
      <c r="CN15" t="str">
        <f t="array" ref="CN15">IF(ISERROR(INDEX($A$3:$B$14312,SMALL(IF($A$3:$A$14312=CN$3,ROW($A$3:$A$14312)),ROW(13:13)),2)),"",INDEX($A$3:$B$14312,SMALL(IF($A$3:$A$14312=CN$3,ROW($A$3:$A$14312)),ROW(13:13)),2))</f>
        <v>Router3_17</v>
      </c>
      <c r="CO15" t="str">
        <f t="array" ref="CO15">IF(ISERROR(INDEX($A$3:$B$14312,SMALL(IF($A$3:$A$14312=CO$3,ROW($A$3:$A$14312)),ROW(13:13)),2)),"",INDEX($A$3:$B$14312,SMALL(IF($A$3:$A$14312=CO$3,ROW($A$3:$A$14312)),ROW(13:13)),2))</f>
        <v>Router3_87</v>
      </c>
      <c r="CP15" t="str">
        <f t="array" ref="CP15">IF(ISERROR(INDEX($A$3:$B$14312,SMALL(IF($A$3:$A$14312=CP$3,ROW($A$3:$A$14312)),ROW(13:13)),2)),"",INDEX($A$3:$B$14312,SMALL(IF($A$3:$A$14312=CP$3,ROW($A$3:$A$14312)),ROW(13:13)),2))</f>
        <v>Router3_16</v>
      </c>
      <c r="CQ15" t="str">
        <f t="array" ref="CQ15">IF(ISERROR(INDEX($A$3:$B$14312,SMALL(IF($A$3:$A$14312=CQ$3,ROW($A$3:$A$14312)),ROW(13:13)),2)),"",INDEX($A$3:$B$14312,SMALL(IF($A$3:$A$14312=CQ$3,ROW($A$3:$A$14312)),ROW(13:13)),2))</f>
        <v/>
      </c>
      <c r="CR15" t="str">
        <f t="array" ref="CR15">IF(ISERROR(INDEX($A$3:$B$14312,SMALL(IF($A$3:$A$14312=CR$3,ROW($A$3:$A$14312)),ROW(13:13)),2)),"",INDEX($A$3:$B$14312,SMALL(IF($A$3:$A$14312=CR$3,ROW($A$3:$A$14312)),ROW(13:13)),2))</f>
        <v/>
      </c>
      <c r="CS15" t="str">
        <f t="array" ref="CS15">IF(ISERROR(INDEX($A$3:$B$14312,SMALL(IF($A$3:$A$14312=CS$3,ROW($A$3:$A$14312)),ROW(13:13)),2)),"",INDEX($A$3:$B$14312,SMALL(IF($A$3:$A$14312=CS$3,ROW($A$3:$A$14312)),ROW(13:13)),2))</f>
        <v/>
      </c>
      <c r="CT15" t="str">
        <f t="array" ref="CT15">IF(ISERROR(INDEX($A$3:$B$14312,SMALL(IF($A$3:$A$14312=CT$3,ROW($A$3:$A$14312)),ROW(13:13)),2)),"",INDEX($A$3:$B$14312,SMALL(IF($A$3:$A$14312=CT$3,ROW($A$3:$A$14312)),ROW(13:13)),2))</f>
        <v/>
      </c>
      <c r="CU15" t="str">
        <f t="array" ref="CU15">IF(ISERROR(INDEX($A$3:$B$14312,SMALL(IF($A$3:$A$14312=CU$3,ROW($A$3:$A$14312)),ROW(13:13)),2)),"",INDEX($A$3:$B$14312,SMALL(IF($A$3:$A$14312=CU$3,ROW($A$3:$A$14312)),ROW(13:13)),2))</f>
        <v/>
      </c>
      <c r="CV15" t="str">
        <f t="array" ref="CV15">IF(ISERROR(INDEX($A$3:$B$14312,SMALL(IF($A$3:$A$14312=CV$3,ROW($A$3:$A$14312)),ROW(13:13)),2)),"",INDEX($A$3:$B$14312,SMALL(IF($A$3:$A$14312=CV$3,ROW($A$3:$A$14312)),ROW(13:13)),2))</f>
        <v>Router3_87</v>
      </c>
      <c r="CW15" t="str">
        <f t="array" ref="CW15">IF(ISERROR(INDEX($A$3:$B$14312,SMALL(IF($A$3:$A$14312=CW$3,ROW($A$3:$A$14312)),ROW(13:13)),2)),"",INDEX($A$3:$B$14312,SMALL(IF($A$3:$A$14312=CW$3,ROW($A$3:$A$14312)),ROW(13:13)),2))</f>
        <v/>
      </c>
      <c r="CX15" t="str">
        <f t="array" ref="CX15">IF(ISERROR(INDEX($A$3:$B$14312,SMALL(IF($A$3:$A$14312=CX$3,ROW($A$3:$A$14312)),ROW(13:13)),2)),"",INDEX($A$3:$B$14312,SMALL(IF($A$3:$A$14312=CX$3,ROW($A$3:$A$14312)),ROW(13:13)),2))</f>
        <v/>
      </c>
      <c r="CY15" t="str">
        <f t="array" ref="CY15">IF(ISERROR(INDEX($A$3:$B$14312,SMALL(IF($A$3:$A$14312=CY$3,ROW($A$3:$A$14312)),ROW(13:13)),2)),"",INDEX($A$3:$B$14312,SMALL(IF($A$3:$A$14312=CY$3,ROW($A$3:$A$14312)),ROW(13:13)),2))</f>
        <v>Router3_71</v>
      </c>
      <c r="CZ15" t="str">
        <f t="array" ref="CZ15">IF(ISERROR(INDEX($A$3:$B$14312,SMALL(IF($A$3:$A$14312=CZ$3,ROW($A$3:$A$14312)),ROW(13:13)),2)),"",INDEX($A$3:$B$14312,SMALL(IF($A$3:$A$14312=CZ$3,ROW($A$3:$A$14312)),ROW(13:13)),2))</f>
        <v>Router3_123</v>
      </c>
      <c r="DA15" t="str">
        <f t="array" ref="DA15">IF(ISERROR(INDEX($A$3:$B$14312,SMALL(IF($A$3:$A$14312=DA$3,ROW($A$3:$A$14312)),ROW(13:13)),2)),"",INDEX($A$3:$B$14312,SMALL(IF($A$3:$A$14312=DA$3,ROW($A$3:$A$14312)),ROW(13:13)),2))</f>
        <v>Router3_144</v>
      </c>
      <c r="DB15" t="str">
        <f t="array" ref="DB15">IF(ISERROR(INDEX($A$3:$B$14312,SMALL(IF($A$3:$A$14312=DB$3,ROW($A$3:$A$14312)),ROW(13:13)),2)),"",INDEX($A$3:$B$14312,SMALL(IF($A$3:$A$14312=DB$3,ROW($A$3:$A$14312)),ROW(13:13)),2))</f>
        <v>Router3_109</v>
      </c>
      <c r="DC15" t="str">
        <f t="array" ref="DC15">IF(ISERROR(INDEX($A$3:$B$14312,SMALL(IF($A$3:$A$14312=DC$3,ROW($A$3:$A$14312)),ROW(13:13)),2)),"",INDEX($A$3:$B$14312,SMALL(IF($A$3:$A$14312=DC$3,ROW($A$3:$A$14312)),ROW(13:13)),2))</f>
        <v>Router3_95</v>
      </c>
      <c r="DD15" t="str">
        <f t="array" ref="DD15">IF(ISERROR(INDEX($A$3:$B$14312,SMALL(IF($A$3:$A$14312=DD$3,ROW($A$3:$A$14312)),ROW(13:13)),2)),"",INDEX($A$3:$B$14312,SMALL(IF($A$3:$A$14312=DD$3,ROW($A$3:$A$14312)),ROW(13:13)),2))</f>
        <v/>
      </c>
      <c r="DE15" t="str">
        <f t="array" ref="DE15">IF(ISERROR(INDEX($A$3:$B$14312,SMALL(IF($A$3:$A$14312=DE$3,ROW($A$3:$A$14312)),ROW(13:13)),2)),"",INDEX($A$3:$B$14312,SMALL(IF($A$3:$A$14312=DE$3,ROW($A$3:$A$14312)),ROW(13:13)),2))</f>
        <v>Router3_25</v>
      </c>
      <c r="DF15" t="str">
        <f t="array" ref="DF15">IF(ISERROR(INDEX($A$3:$B$14312,SMALL(IF($A$3:$A$14312=DF$3,ROW($A$3:$A$14312)),ROW(13:13)),2)),"",INDEX($A$3:$B$14312,SMALL(IF($A$3:$A$14312=DF$3,ROW($A$3:$A$14312)),ROW(13:13)),2))</f>
        <v/>
      </c>
      <c r="DG15" t="str">
        <f t="array" ref="DG15">IF(ISERROR(INDEX($A$3:$B$14312,SMALL(IF($A$3:$A$14312=DG$3,ROW($A$3:$A$14312)),ROW(13:13)),2)),"",INDEX($A$3:$B$14312,SMALL(IF($A$3:$A$14312=DG$3,ROW($A$3:$A$14312)),ROW(13:13)),2))</f>
        <v>Router3_15</v>
      </c>
      <c r="DH15" t="str">
        <f t="array" ref="DH15">IF(ISERROR(INDEX($A$3:$B$14312,SMALL(IF($A$3:$A$14312=DH$3,ROW($A$3:$A$14312)),ROW(13:13)),2)),"",INDEX($A$3:$B$14312,SMALL(IF($A$3:$A$14312=DH$3,ROW($A$3:$A$14312)),ROW(13:13)),2))</f>
        <v/>
      </c>
      <c r="DI15" t="str">
        <f t="array" ref="DI15">IF(ISERROR(INDEX($A$3:$B$14312,SMALL(IF($A$3:$A$14312=DI$3,ROW($A$3:$A$14312)),ROW(13:13)),2)),"",INDEX($A$3:$B$14312,SMALL(IF($A$3:$A$14312=DI$3,ROW($A$3:$A$14312)),ROW(13:13)),2))</f>
        <v>Router3_79</v>
      </c>
      <c r="DJ15" t="str">
        <f t="array" ref="DJ15">IF(ISERROR(INDEX($A$3:$B$14312,SMALL(IF($A$3:$A$14312=DJ$3,ROW($A$3:$A$14312)),ROW(13:13)),2)),"",INDEX($A$3:$B$14312,SMALL(IF($A$3:$A$14312=DJ$3,ROW($A$3:$A$14312)),ROW(13:13)),2))</f>
        <v>Router3_65</v>
      </c>
      <c r="DK15" t="str">
        <f t="array" ref="DK15">IF(ISERROR(INDEX($A$3:$B$14312,SMALL(IF($A$3:$A$14312=DK$3,ROW($A$3:$A$14312)),ROW(13:13)),2)),"",INDEX($A$3:$B$14312,SMALL(IF($A$3:$A$14312=DK$3,ROW($A$3:$A$14312)),ROW(13:13)),2))</f>
        <v>Router3_86</v>
      </c>
      <c r="DL15" t="str">
        <f t="array" ref="DL15">IF(ISERROR(INDEX($A$3:$B$14312,SMALL(IF($A$3:$A$14312=DL$3,ROW($A$3:$A$14312)),ROW(13:13)),2)),"",INDEX($A$3:$B$14312,SMALL(IF($A$3:$A$14312=DL$3,ROW($A$3:$A$14312)),ROW(13:13)),2))</f>
        <v>Router3_106</v>
      </c>
      <c r="DM15" t="str">
        <f t="array" ref="DM15">IF(ISERROR(INDEX($A$3:$B$14312,SMALL(IF($A$3:$A$14312=DM$3,ROW($A$3:$A$14312)),ROW(13:13)),2)),"",INDEX($A$3:$B$14312,SMALL(IF($A$3:$A$14312=DM$3,ROW($A$3:$A$14312)),ROW(13:13)),2))</f>
        <v/>
      </c>
      <c r="DN15" t="str">
        <f t="array" ref="DN15">IF(ISERROR(INDEX($A$3:$B$14312,SMALL(IF($A$3:$A$14312=DN$3,ROW($A$3:$A$14312)),ROW(13:13)),2)),"",INDEX($A$3:$B$14312,SMALL(IF($A$3:$A$14312=DN$3,ROW($A$3:$A$14312)),ROW(13:13)),2))</f>
        <v>Router3_64</v>
      </c>
      <c r="DO15" t="str">
        <f t="array" ref="DO15">IF(ISERROR(INDEX($A$3:$B$14312,SMALL(IF($A$3:$A$14312=DO$3,ROW($A$3:$A$14312)),ROW(13:13)),2)),"",INDEX($A$3:$B$14312,SMALL(IF($A$3:$A$14312=DO$3,ROW($A$3:$A$14312)),ROW(13:13)),2))</f>
        <v>Router3_135</v>
      </c>
      <c r="DP15" t="str">
        <f t="array" ref="DP15">IF(ISERROR(INDEX($A$3:$B$14312,SMALL(IF($A$3:$A$14312=DP$3,ROW($A$3:$A$14312)),ROW(13:13)),2)),"",INDEX($A$3:$B$14312,SMALL(IF($A$3:$A$14312=DP$3,ROW($A$3:$A$14312)),ROW(13:13)),2))</f>
        <v/>
      </c>
      <c r="DQ15" t="str">
        <f t="array" ref="DQ15">IF(ISERROR(INDEX($A$3:$B$14312,SMALL(IF($A$3:$A$14312=DQ$3,ROW($A$3:$A$14312)),ROW(13:13)),2)),"",INDEX($A$3:$B$14312,SMALL(IF($A$3:$A$14312=DQ$3,ROW($A$3:$A$14312)),ROW(13:13)),2))</f>
        <v/>
      </c>
      <c r="DR15" t="str">
        <f t="array" ref="DR15">IF(ISERROR(INDEX($A$3:$B$14312,SMALL(IF($A$3:$A$14312=DR$3,ROW($A$3:$A$14312)),ROW(13:13)),2)),"",INDEX($A$3:$B$14312,SMALL(IF($A$3:$A$14312=DR$3,ROW($A$3:$A$14312)),ROW(13:13)),2))</f>
        <v>Router3_15</v>
      </c>
      <c r="DS15" t="str">
        <f t="array" ref="DS15">IF(ISERROR(INDEX($A$3:$B$14312,SMALL(IF($A$3:$A$14312=DS$3,ROW($A$3:$A$14312)),ROW(13:13)),2)),"",INDEX($A$3:$B$14312,SMALL(IF($A$3:$A$14312=DS$3,ROW($A$3:$A$14312)),ROW(13:13)),2))</f>
        <v/>
      </c>
      <c r="DT15" t="str">
        <f t="array" ref="DT15">IF(ISERROR(INDEX($A$3:$B$14312,SMALL(IF($A$3:$A$14312=DT$3,ROW($A$3:$A$14312)),ROW(13:13)),2)),"",INDEX($A$3:$B$14312,SMALL(IF($A$3:$A$14312=DT$3,ROW($A$3:$A$14312)),ROW(13:13)),2))</f>
        <v>Router3_79</v>
      </c>
      <c r="DU15" t="str">
        <f t="array" ref="DU15">IF(ISERROR(INDEX($A$3:$B$14312,SMALL(IF($A$3:$A$14312=DU$3,ROW($A$3:$A$14312)),ROW(13:13)),2)),"",INDEX($A$3:$B$14312,SMALL(IF($A$3:$A$14312=DU$3,ROW($A$3:$A$14312)),ROW(13:13)),2))</f>
        <v>Router3_131</v>
      </c>
      <c r="DV15" t="str">
        <f t="array" ref="DV15">IF(ISERROR(INDEX($A$3:$B$14312,SMALL(IF($A$3:$A$14312=DV$3,ROW($A$3:$A$14312)),ROW(13:13)),2)),"",INDEX($A$3:$B$14312,SMALL(IF($A$3:$A$14312=DV$3,ROW($A$3:$A$14312)),ROW(13:13)),2))</f>
        <v>Router3_23</v>
      </c>
      <c r="DW15" t="str">
        <f t="array" ref="DW15">IF(ISERROR(INDEX($A$3:$B$14312,SMALL(IF($A$3:$A$14312=DW$3,ROW($A$3:$A$14312)),ROW(13:13)),2)),"",INDEX($A$3:$B$14312,SMALL(IF($A$3:$A$14312=DW$3,ROW($A$3:$A$14312)),ROW(13:13)),2))</f>
        <v/>
      </c>
      <c r="DX15" t="str">
        <f t="array" ref="DX15">IF(ISERROR(INDEX($A$3:$B$14312,SMALL(IF($A$3:$A$14312=DX$3,ROW($A$3:$A$14312)),ROW(13:13)),2)),"",INDEX($A$3:$B$14312,SMALL(IF($A$3:$A$14312=DX$3,ROW($A$3:$A$14312)),ROW(13:13)),2))</f>
        <v/>
      </c>
      <c r="DY15" t="str">
        <f t="array" ref="DY15">IF(ISERROR(INDEX($A$3:$B$14312,SMALL(IF($A$3:$A$14312=DY$3,ROW($A$3:$A$14312)),ROW(13:13)),2)),"",INDEX($A$3:$B$14312,SMALL(IF($A$3:$A$14312=DY$3,ROW($A$3:$A$14312)),ROW(13:13)),2))</f>
        <v/>
      </c>
      <c r="DZ15" t="str">
        <f t="array" ref="DZ15">IF(ISERROR(INDEX($A$3:$B$14312,SMALL(IF($A$3:$A$14312=DZ$3,ROW($A$3:$A$14312)),ROW(13:13)),2)),"",INDEX($A$3:$B$14312,SMALL(IF($A$3:$A$14312=DZ$3,ROW($A$3:$A$14312)),ROW(13:13)),2))</f>
        <v/>
      </c>
      <c r="EA15" t="str">
        <f t="array" ref="EA15">IF(ISERROR(INDEX($A$3:$B$14312,SMALL(IF($A$3:$A$14312=EA$3,ROW($A$3:$A$14312)),ROW(13:13)),2)),"",INDEX($A$3:$B$14312,SMALL(IF($A$3:$A$14312=EA$3,ROW($A$3:$A$14312)),ROW(13:13)),2))</f>
        <v>Router3_115</v>
      </c>
      <c r="EB15" t="str">
        <f t="array" ref="EB15">IF(ISERROR(INDEX($A$3:$B$14312,SMALL(IF($A$3:$A$14312=EB$3,ROW($A$3:$A$14312)),ROW(13:13)),2)),"",INDEX($A$3:$B$14312,SMALL(IF($A$3:$A$14312=EB$3,ROW($A$3:$A$14312)),ROW(13:13)),2))</f>
        <v>Router3_129</v>
      </c>
      <c r="EC15" t="str">
        <f t="array" ref="EC15">IF(ISERROR(INDEX($A$3:$B$14312,SMALL(IF($A$3:$A$14312=EC$3,ROW($A$3:$A$14312)),ROW(13:13)),2)),"",INDEX($A$3:$B$14312,SMALL(IF($A$3:$A$14312=EC$3,ROW($A$3:$A$14312)),ROW(13:13)),2))</f>
        <v>Router3_69</v>
      </c>
      <c r="ED15" t="str">
        <f t="array" ref="ED15">IF(ISERROR(INDEX($A$3:$B$14312,SMALL(IF($A$3:$A$14312=ED$3,ROW($A$3:$A$14312)),ROW(13:13)),2)),"",INDEX($A$3:$B$14312,SMALL(IF($A$3:$A$14312=ED$3,ROW($A$3:$A$14312)),ROW(13:13)),2))</f>
        <v>Router3_118</v>
      </c>
      <c r="EE15" t="str">
        <f t="array" ref="EE15">IF(ISERROR(INDEX($A$3:$B$14312,SMALL(IF($A$3:$A$14312=EE$3,ROW($A$3:$A$14312)),ROW(13:13)),2)),"",INDEX($A$3:$B$14312,SMALL(IF($A$3:$A$14312=EE$3,ROW($A$3:$A$14312)),ROW(13:13)),2))</f>
        <v>Router3_153</v>
      </c>
    </row>
    <row r="16" spans="1:135" x14ac:dyDescent="0.25">
      <c r="A16" s="10">
        <v>-450827382</v>
      </c>
      <c r="B16" t="s">
        <v>1093</v>
      </c>
      <c r="E16" t="str">
        <f t="array" ref="E16">IF(ISERROR(INDEX($A$3:$B$14312,SMALL(IF($A$3:$A$14312=E$3,ROW($A$3:$A$14312)),ROW(14:14)),2)),"",INDEX($A$3:$B$14312,SMALL(IF($A$3:$A$14312=E$3,ROW($A$3:$A$14312)),ROW(14:14)),2))</f>
        <v>Router3_18</v>
      </c>
      <c r="F16" t="str">
        <f t="array" ref="F16">IF(ISERROR(INDEX($A$3:$B$14312,SMALL(IF($A$3:$A$14312=F$3,ROW($A$3:$A$14312)),ROW(14:14)),2)),"",INDEX($A$3:$B$14312,SMALL(IF($A$3:$A$14312=F$3,ROW($A$3:$A$14312)),ROW(14:14)),2))</f>
        <v>Router3_49</v>
      </c>
      <c r="G16" t="str">
        <f t="array" ref="G16">IF(ISERROR(INDEX($A$3:$B$14312,SMALL(IF($A$3:$A$14312=G$3,ROW($A$3:$A$14312)),ROW(14:14)),2)),"",INDEX($A$3:$B$14312,SMALL(IF($A$3:$A$14312=G$3,ROW($A$3:$A$14312)),ROW(14:14)),2))</f>
        <v/>
      </c>
      <c r="H16" t="str">
        <f t="array" ref="H16">IF(ISERROR(INDEX($A$3:$B$14312,SMALL(IF($A$3:$A$14312=H$3,ROW($A$3:$A$14312)),ROW(14:14)),2)),"",INDEX($A$3:$B$14312,SMALL(IF($A$3:$A$14312=H$3,ROW($A$3:$A$14312)),ROW(14:14)),2))</f>
        <v/>
      </c>
      <c r="I16" t="str">
        <f t="array" ref="I16">IF(ISERROR(INDEX($A$3:$B$14312,SMALL(IF($A$3:$A$14312=I$3,ROW($A$3:$A$14312)),ROW(14:14)),2)),"",INDEX($A$3:$B$14312,SMALL(IF($A$3:$A$14312=I$3,ROW($A$3:$A$14312)),ROW(14:14)),2))</f>
        <v/>
      </c>
      <c r="J16" t="str">
        <f t="array" ref="J16">IF(ISERROR(INDEX($A$3:$B$14312,SMALL(IF($A$3:$A$14312=J$3,ROW($A$3:$A$14312)),ROW(14:14)),2)),"",INDEX($A$3:$B$14312,SMALL(IF($A$3:$A$14312=J$3,ROW($A$3:$A$14312)),ROW(14:14)),2))</f>
        <v>Router3_144</v>
      </c>
      <c r="K16" t="str">
        <f t="array" ref="K16">IF(ISERROR(INDEX($A$3:$B$14312,SMALL(IF($A$3:$A$14312=K$3,ROW($A$3:$A$14312)),ROW(14:14)),2)),"",INDEX($A$3:$B$14312,SMALL(IF($A$3:$A$14312=K$3,ROW($A$3:$A$14312)),ROW(14:14)),2))</f>
        <v>Router3_145</v>
      </c>
      <c r="L16" t="str">
        <f t="array" ref="L16">IF(ISERROR(INDEX($A$3:$B$14312,SMALL(IF($A$3:$A$14312=L$3,ROW($A$3:$A$14312)),ROW(14:14)),2)),"",INDEX($A$3:$B$14312,SMALL(IF($A$3:$A$14312=L$3,ROW($A$3:$A$14312)),ROW(14:14)),2))</f>
        <v/>
      </c>
      <c r="M16" t="str">
        <f t="array" ref="M16">IF(ISERROR(INDEX($A$3:$B$14312,SMALL(IF($A$3:$A$14312=M$3,ROW($A$3:$A$14312)),ROW(14:14)),2)),"",INDEX($A$3:$B$14312,SMALL(IF($A$3:$A$14312=M$3,ROW($A$3:$A$14312)),ROW(14:14)),2))</f>
        <v>Router3_19</v>
      </c>
      <c r="N16" t="str">
        <f t="array" ref="N16">IF(ISERROR(INDEX($A$3:$B$14312,SMALL(IF($A$3:$A$14312=N$3,ROW($A$3:$A$14312)),ROW(14:14)),2)),"",INDEX($A$3:$B$14312,SMALL(IF($A$3:$A$14312=N$3,ROW($A$3:$A$14312)),ROW(14:14)),2))</f>
        <v/>
      </c>
      <c r="O16" t="str">
        <f t="array" ref="O16">IF(ISERROR(INDEX($A$3:$B$14312,SMALL(IF($A$3:$A$14312=O$3,ROW($A$3:$A$14312)),ROW(14:14)),2)),"",INDEX($A$3:$B$14312,SMALL(IF($A$3:$A$14312=O$3,ROW($A$3:$A$14312)),ROW(14:14)),2))</f>
        <v/>
      </c>
      <c r="P16" t="str">
        <f t="array" ref="P16">IF(ISERROR(INDEX($A$3:$B$14312,SMALL(IF($A$3:$A$14312=P$3,ROW($A$3:$A$14312)),ROW(14:14)),2)),"",INDEX($A$3:$B$14312,SMALL(IF($A$3:$A$14312=P$3,ROW($A$3:$A$14312)),ROW(14:14)),2))</f>
        <v/>
      </c>
      <c r="Q16" t="str">
        <f t="array" ref="Q16">IF(ISERROR(INDEX($A$3:$B$14312,SMALL(IF($A$3:$A$14312=Q$3,ROW($A$3:$A$14312)),ROW(14:14)),2)),"",INDEX($A$3:$B$14312,SMALL(IF($A$3:$A$14312=Q$3,ROW($A$3:$A$14312)),ROW(14:14)),2))</f>
        <v/>
      </c>
      <c r="R16" t="str">
        <f t="array" ref="R16">IF(ISERROR(INDEX($A$3:$B$14312,SMALL(IF($A$3:$A$14312=R$3,ROW($A$3:$A$14312)),ROW(14:14)),2)),"",INDEX($A$3:$B$14312,SMALL(IF($A$3:$A$14312=R$3,ROW($A$3:$A$14312)),ROW(14:14)),2))</f>
        <v/>
      </c>
      <c r="S16" t="str">
        <f t="array" ref="S16">IF(ISERROR(INDEX($A$3:$B$14312,SMALL(IF($A$3:$A$14312=S$3,ROW($A$3:$A$14312)),ROW(14:14)),2)),"",INDEX($A$3:$B$14312,SMALL(IF($A$3:$A$14312=S$3,ROW($A$3:$A$14312)),ROW(14:14)),2))</f>
        <v/>
      </c>
      <c r="T16" t="str">
        <f t="array" ref="T16">IF(ISERROR(INDEX($A$3:$B$14312,SMALL(IF($A$3:$A$14312=T$3,ROW($A$3:$A$14312)),ROW(14:14)),2)),"",INDEX($A$3:$B$14312,SMALL(IF($A$3:$A$14312=T$3,ROW($A$3:$A$14312)),ROW(14:14)),2))</f>
        <v/>
      </c>
      <c r="U16" t="str">
        <f t="array" ref="U16">IF(ISERROR(INDEX($A$3:$B$14312,SMALL(IF($A$3:$A$14312=U$3,ROW($A$3:$A$14312)),ROW(14:14)),2)),"",INDEX($A$3:$B$14312,SMALL(IF($A$3:$A$14312=U$3,ROW($A$3:$A$14312)),ROW(14:14)),2))</f>
        <v>Router3_128</v>
      </c>
      <c r="V16" t="str">
        <f t="array" ref="V16">IF(ISERROR(INDEX($A$3:$B$14312,SMALL(IF($A$3:$A$14312=V$3,ROW($A$3:$A$14312)),ROW(14:14)),2)),"",INDEX($A$3:$B$14312,SMALL(IF($A$3:$A$14312=V$3,ROW($A$3:$A$14312)),ROW(14:14)),2))</f>
        <v/>
      </c>
      <c r="W16" t="str">
        <f t="array" ref="W16">IF(ISERROR(INDEX($A$3:$B$14312,SMALL(IF($A$3:$A$14312=W$3,ROW($A$3:$A$14312)),ROW(14:14)),2)),"",INDEX($A$3:$B$14312,SMALL(IF($A$3:$A$14312=W$3,ROW($A$3:$A$14312)),ROW(14:14)),2))</f>
        <v>Router3_86</v>
      </c>
      <c r="X16" t="str">
        <f t="array" ref="X16">IF(ISERROR(INDEX($A$3:$B$14312,SMALL(IF($A$3:$A$14312=X$3,ROW($A$3:$A$14312)),ROW(14:14)),2)),"",INDEX($A$3:$B$14312,SMALL(IF($A$3:$A$14312=X$3,ROW($A$3:$A$14312)),ROW(14:14)),2))</f>
        <v/>
      </c>
      <c r="Y16" t="str">
        <f t="array" ref="Y16">IF(ISERROR(INDEX($A$3:$B$14312,SMALL(IF($A$3:$A$14312=Y$3,ROW($A$3:$A$14312)),ROW(14:14)),2)),"",INDEX($A$3:$B$14312,SMALL(IF($A$3:$A$14312=Y$3,ROW($A$3:$A$14312)),ROW(14:14)),2))</f>
        <v/>
      </c>
      <c r="Z16" t="str">
        <f t="array" ref="Z16">IF(ISERROR(INDEX($A$3:$B$14312,SMALL(IF($A$3:$A$14312=Z$3,ROW($A$3:$A$14312)),ROW(14:14)),2)),"",INDEX($A$3:$B$14312,SMALL(IF($A$3:$A$14312=Z$3,ROW($A$3:$A$14312)),ROW(14:14)),2))</f>
        <v/>
      </c>
      <c r="AA16" t="str">
        <f t="array" ref="AA16">IF(ISERROR(INDEX($A$3:$B$14312,SMALL(IF($A$3:$A$14312=AA$3,ROW($A$3:$A$14312)),ROW(14:14)),2)),"",INDEX($A$3:$B$14312,SMALL(IF($A$3:$A$14312=AA$3,ROW($A$3:$A$14312)),ROW(14:14)),2))</f>
        <v/>
      </c>
      <c r="AB16" t="str">
        <f t="array" ref="AB16">IF(ISERROR(INDEX($A$3:$B$14312,SMALL(IF($A$3:$A$14312=AB$3,ROW($A$3:$A$14312)),ROW(14:14)),2)),"",INDEX($A$3:$B$14312,SMALL(IF($A$3:$A$14312=AB$3,ROW($A$3:$A$14312)),ROW(14:14)),2))</f>
        <v/>
      </c>
      <c r="AC16" t="str">
        <f t="array" ref="AC16">IF(ISERROR(INDEX($A$3:$B$14312,SMALL(IF($A$3:$A$14312=AC$3,ROW($A$3:$A$14312)),ROW(14:14)),2)),"",INDEX($A$3:$B$14312,SMALL(IF($A$3:$A$14312=AC$3,ROW($A$3:$A$14312)),ROW(14:14)),2))</f>
        <v/>
      </c>
      <c r="AD16" t="str">
        <f t="array" ref="AD16">IF(ISERROR(INDEX($A$3:$B$14312,SMALL(IF($A$3:$A$14312=AD$3,ROW($A$3:$A$14312)),ROW(14:14)),2)),"",INDEX($A$3:$B$14312,SMALL(IF($A$3:$A$14312=AD$3,ROW($A$3:$A$14312)),ROW(14:14)),2))</f>
        <v/>
      </c>
      <c r="AE16" t="str">
        <f t="array" ref="AE16">IF(ISERROR(INDEX($A$3:$B$14312,SMALL(IF($A$3:$A$14312=AE$3,ROW($A$3:$A$14312)),ROW(14:14)),2)),"",INDEX($A$3:$B$14312,SMALL(IF($A$3:$A$14312=AE$3,ROW($A$3:$A$14312)),ROW(14:14)),2))</f>
        <v/>
      </c>
      <c r="AF16" t="str">
        <f t="array" ref="AF16">IF(ISERROR(INDEX($A$3:$B$14312,SMALL(IF($A$3:$A$14312=AF$3,ROW($A$3:$A$14312)),ROW(14:14)),2)),"",INDEX($A$3:$B$14312,SMALL(IF($A$3:$A$14312=AF$3,ROW($A$3:$A$14312)),ROW(14:14)),2))</f>
        <v>Router3_97</v>
      </c>
      <c r="AG16" t="str">
        <f t="array" ref="AG16">IF(ISERROR(INDEX($A$3:$B$14312,SMALL(IF($A$3:$A$14312=AG$3,ROW($A$3:$A$14312)),ROW(14:14)),2)),"",INDEX($A$3:$B$14312,SMALL(IF($A$3:$A$14312=AG$3,ROW($A$3:$A$14312)),ROW(14:14)),2))</f>
        <v>Router3_18</v>
      </c>
      <c r="AH16" t="str">
        <f t="array" ref="AH16">IF(ISERROR(INDEX($A$3:$B$14312,SMALL(IF($A$3:$A$14312=AH$3,ROW($A$3:$A$14312)),ROW(14:14)),2)),"",INDEX($A$3:$B$14312,SMALL(IF($A$3:$A$14312=AH$3,ROW($A$3:$A$14312)),ROW(14:14)),2))</f>
        <v>Router3_75</v>
      </c>
      <c r="AI16" t="str">
        <f t="array" ref="AI16">IF(ISERROR(INDEX($A$3:$B$14312,SMALL(IF($A$3:$A$14312=AI$3,ROW($A$3:$A$14312)),ROW(14:14)),2)),"",INDEX($A$3:$B$14312,SMALL(IF($A$3:$A$14312=AI$3,ROW($A$3:$A$14312)),ROW(14:14)),2))</f>
        <v>Router3_94</v>
      </c>
      <c r="AJ16" t="str">
        <f t="array" ref="AJ16">IF(ISERROR(INDEX($A$3:$B$14312,SMALL(IF($A$3:$A$14312=AJ$3,ROW($A$3:$A$14312)),ROW(14:14)),2)),"",INDEX($A$3:$B$14312,SMALL(IF($A$3:$A$14312=AJ$3,ROW($A$3:$A$14312)),ROW(14:14)),2))</f>
        <v/>
      </c>
      <c r="AK16" t="str">
        <f t="array" ref="AK16">IF(ISERROR(INDEX($A$3:$B$14312,SMALL(IF($A$3:$A$14312=AK$3,ROW($A$3:$A$14312)),ROW(14:14)),2)),"",INDEX($A$3:$B$14312,SMALL(IF($A$3:$A$14312=AK$3,ROW($A$3:$A$14312)),ROW(14:14)),2))</f>
        <v/>
      </c>
      <c r="AL16" t="str">
        <f t="array" ref="AL16">IF(ISERROR(INDEX($A$3:$B$14312,SMALL(IF($A$3:$A$14312=AL$3,ROW($A$3:$A$14312)),ROW(14:14)),2)),"",INDEX($A$3:$B$14312,SMALL(IF($A$3:$A$14312=AL$3,ROW($A$3:$A$14312)),ROW(14:14)),2))</f>
        <v>Router3_131</v>
      </c>
      <c r="AM16" t="str">
        <f t="array" ref="AM16">IF(ISERROR(INDEX($A$3:$B$14312,SMALL(IF($A$3:$A$14312=AM$3,ROW($A$3:$A$14312)),ROW(14:14)),2)),"",INDEX($A$3:$B$14312,SMALL(IF($A$3:$A$14312=AM$3,ROW($A$3:$A$14312)),ROW(14:14)),2))</f>
        <v>Router3_90</v>
      </c>
      <c r="AN16" t="str">
        <f t="array" ref="AN16">IF(ISERROR(INDEX($A$3:$B$14312,SMALL(IF($A$3:$A$14312=AN$3,ROW($A$3:$A$14312)),ROW(14:14)),2)),"",INDEX($A$3:$B$14312,SMALL(IF($A$3:$A$14312=AN$3,ROW($A$3:$A$14312)),ROW(14:14)),2))</f>
        <v>Router3_60</v>
      </c>
      <c r="AO16" t="str">
        <f t="array" ref="AO16">IF(ISERROR(INDEX($A$3:$B$14312,SMALL(IF($A$3:$A$14312=AO$3,ROW($A$3:$A$14312)),ROW(14:14)),2)),"",INDEX($A$3:$B$14312,SMALL(IF($A$3:$A$14312=AO$3,ROW($A$3:$A$14312)),ROW(14:14)),2))</f>
        <v>Router3_2</v>
      </c>
      <c r="AP16" t="str">
        <f t="array" ref="AP16">IF(ISERROR(INDEX($A$3:$B$14312,SMALL(IF($A$3:$A$14312=AP$3,ROW($A$3:$A$14312)),ROW(14:14)),2)),"",INDEX($A$3:$B$14312,SMALL(IF($A$3:$A$14312=AP$3,ROW($A$3:$A$14312)),ROW(14:14)),2))</f>
        <v>Router3_16</v>
      </c>
      <c r="AQ16" t="str">
        <f t="array" ref="AQ16">IF(ISERROR(INDEX($A$3:$B$14312,SMALL(IF($A$3:$A$14312=AQ$3,ROW($A$3:$A$14312)),ROW(14:14)),2)),"",INDEX($A$3:$B$14312,SMALL(IF($A$3:$A$14312=AQ$3,ROW($A$3:$A$14312)),ROW(14:14)),2))</f>
        <v/>
      </c>
      <c r="AR16" t="str">
        <f t="array" ref="AR16">IF(ISERROR(INDEX($A$3:$B$14312,SMALL(IF($A$3:$A$14312=AR$3,ROW($A$3:$A$14312)),ROW(14:14)),2)),"",INDEX($A$3:$B$14312,SMALL(IF($A$3:$A$14312=AR$3,ROW($A$3:$A$14312)),ROW(14:14)),2))</f>
        <v/>
      </c>
      <c r="AS16" t="str">
        <f t="array" ref="AS16">IF(ISERROR(INDEX($A$3:$B$14312,SMALL(IF($A$3:$A$14312=AS$3,ROW($A$3:$A$14312)),ROW(14:14)),2)),"",INDEX($A$3:$B$14312,SMALL(IF($A$3:$A$14312=AS$3,ROW($A$3:$A$14312)),ROW(14:14)),2))</f>
        <v>Router3_79</v>
      </c>
      <c r="AT16" t="str">
        <f t="array" ref="AT16">IF(ISERROR(INDEX($A$3:$B$14312,SMALL(IF($A$3:$A$14312=AT$3,ROW($A$3:$A$14312)),ROW(14:14)),2)),"",INDEX($A$3:$B$14312,SMALL(IF($A$3:$A$14312=AT$3,ROW($A$3:$A$14312)),ROW(14:14)),2))</f>
        <v/>
      </c>
      <c r="AU16" t="str">
        <f t="array" ref="AU16">IF(ISERROR(INDEX($A$3:$B$14312,SMALL(IF($A$3:$A$14312=AU$3,ROW($A$3:$A$14312)),ROW(14:14)),2)),"",INDEX($A$3:$B$14312,SMALL(IF($A$3:$A$14312=AU$3,ROW($A$3:$A$14312)),ROW(14:14)),2))</f>
        <v>Router3_16</v>
      </c>
      <c r="AV16" t="str">
        <f t="array" ref="AV16">IF(ISERROR(INDEX($A$3:$B$14312,SMALL(IF($A$3:$A$14312=AV$3,ROW($A$3:$A$14312)),ROW(14:14)),2)),"",INDEX($A$3:$B$14312,SMALL(IF($A$3:$A$14312=AV$3,ROW($A$3:$A$14312)),ROW(14:14)),2))</f>
        <v/>
      </c>
      <c r="AW16" t="str">
        <f t="array" ref="AW16">IF(ISERROR(INDEX($A$3:$B$14312,SMALL(IF($A$3:$A$14312=AW$3,ROW($A$3:$A$14312)),ROW(14:14)),2)),"",INDEX($A$3:$B$14312,SMALL(IF($A$3:$A$14312=AW$3,ROW($A$3:$A$14312)),ROW(14:14)),2))</f>
        <v/>
      </c>
      <c r="AX16" t="str">
        <f t="array" ref="AX16">IF(ISERROR(INDEX($A$3:$B$14312,SMALL(IF($A$3:$A$14312=AX$3,ROW($A$3:$A$14312)),ROW(14:14)),2)),"",INDEX($A$3:$B$14312,SMALL(IF($A$3:$A$14312=AX$3,ROW($A$3:$A$14312)),ROW(14:14)),2))</f>
        <v/>
      </c>
      <c r="AY16" t="str">
        <f t="array" ref="AY16">IF(ISERROR(INDEX($A$3:$B$14312,SMALL(IF($A$3:$A$14312=AY$3,ROW($A$3:$A$14312)),ROW(14:14)),2)),"",INDEX($A$3:$B$14312,SMALL(IF($A$3:$A$14312=AY$3,ROW($A$3:$A$14312)),ROW(14:14)),2))</f>
        <v>Router3_116</v>
      </c>
      <c r="AZ16" t="str">
        <f t="array" ref="AZ16">IF(ISERROR(INDEX($A$3:$B$14312,SMALL(IF($A$3:$A$14312=AZ$3,ROW($A$3:$A$14312)),ROW(14:14)),2)),"",INDEX($A$3:$B$14312,SMALL(IF($A$3:$A$14312=AZ$3,ROW($A$3:$A$14312)),ROW(14:14)),2))</f>
        <v/>
      </c>
      <c r="BA16" t="str">
        <f t="array" ref="BA16">IF(ISERROR(INDEX($A$3:$B$14312,SMALL(IF($A$3:$A$14312=BA$3,ROW($A$3:$A$14312)),ROW(14:14)),2)),"",INDEX($A$3:$B$14312,SMALL(IF($A$3:$A$14312=BA$3,ROW($A$3:$A$14312)),ROW(14:14)),2))</f>
        <v/>
      </c>
      <c r="BB16" t="str">
        <f t="array" ref="BB16">IF(ISERROR(INDEX($A$3:$B$14312,SMALL(IF($A$3:$A$14312=BB$3,ROW($A$3:$A$14312)),ROW(14:14)),2)),"",INDEX($A$3:$B$14312,SMALL(IF($A$3:$A$14312=BB$3,ROW($A$3:$A$14312)),ROW(14:14)),2))</f>
        <v/>
      </c>
      <c r="BC16" t="str">
        <f t="array" ref="BC16">IF(ISERROR(INDEX($A$3:$B$14312,SMALL(IF($A$3:$A$14312=BC$3,ROW($A$3:$A$14312)),ROW(14:14)),2)),"",INDEX($A$3:$B$14312,SMALL(IF($A$3:$A$14312=BC$3,ROW($A$3:$A$14312)),ROW(14:14)),2))</f>
        <v/>
      </c>
      <c r="BD16" t="str">
        <f t="array" ref="BD16">IF(ISERROR(INDEX($A$3:$B$14312,SMALL(IF($A$3:$A$14312=BD$3,ROW($A$3:$A$14312)),ROW(14:14)),2)),"",INDEX($A$3:$B$14312,SMALL(IF($A$3:$A$14312=BD$3,ROW($A$3:$A$14312)),ROW(14:14)),2))</f>
        <v/>
      </c>
      <c r="BE16" t="str">
        <f t="array" ref="BE16">IF(ISERROR(INDEX($A$3:$B$14312,SMALL(IF($A$3:$A$14312=BE$3,ROW($A$3:$A$14312)),ROW(14:14)),2)),"",INDEX($A$3:$B$14312,SMALL(IF($A$3:$A$14312=BE$3,ROW($A$3:$A$14312)),ROW(14:14)),2))</f>
        <v/>
      </c>
      <c r="BF16" t="str">
        <f t="array" ref="BF16">IF(ISERROR(INDEX($A$3:$B$14312,SMALL(IF($A$3:$A$14312=BF$3,ROW($A$3:$A$14312)),ROW(14:14)),2)),"",INDEX($A$3:$B$14312,SMALL(IF($A$3:$A$14312=BF$3,ROW($A$3:$A$14312)),ROW(14:14)),2))</f>
        <v/>
      </c>
      <c r="BG16" t="str">
        <f t="array" ref="BG16">IF(ISERROR(INDEX($A$3:$B$14312,SMALL(IF($A$3:$A$14312=BG$3,ROW($A$3:$A$14312)),ROW(14:14)),2)),"",INDEX($A$3:$B$14312,SMALL(IF($A$3:$A$14312=BG$3,ROW($A$3:$A$14312)),ROW(14:14)),2))</f>
        <v/>
      </c>
      <c r="BH16" t="str">
        <f t="array" ref="BH16">IF(ISERROR(INDEX($A$3:$B$14312,SMALL(IF($A$3:$A$14312=BH$3,ROW($A$3:$A$14312)),ROW(14:14)),2)),"",INDEX($A$3:$B$14312,SMALL(IF($A$3:$A$14312=BH$3,ROW($A$3:$A$14312)),ROW(14:14)),2))</f>
        <v/>
      </c>
      <c r="BI16" t="str">
        <f t="array" ref="BI16">IF(ISERROR(INDEX($A$3:$B$14312,SMALL(IF($A$3:$A$14312=BI$3,ROW($A$3:$A$14312)),ROW(14:14)),2)),"",INDEX($A$3:$B$14312,SMALL(IF($A$3:$A$14312=BI$3,ROW($A$3:$A$14312)),ROW(14:14)),2))</f>
        <v>Router3_23</v>
      </c>
      <c r="BJ16" t="str">
        <f t="array" ref="BJ16">IF(ISERROR(INDEX($A$3:$B$14312,SMALL(IF($A$3:$A$14312=BJ$3,ROW($A$3:$A$14312)),ROW(14:14)),2)),"",INDEX($A$3:$B$14312,SMALL(IF($A$3:$A$14312=BJ$3,ROW($A$3:$A$14312)),ROW(14:14)),2))</f>
        <v/>
      </c>
      <c r="BK16" t="str">
        <f t="array" ref="BK16">IF(ISERROR(INDEX($A$3:$B$14312,SMALL(IF($A$3:$A$14312=BK$3,ROW($A$3:$A$14312)),ROW(14:14)),2)),"",INDEX($A$3:$B$14312,SMALL(IF($A$3:$A$14312=BK$3,ROW($A$3:$A$14312)),ROW(14:14)),2))</f>
        <v/>
      </c>
      <c r="BL16" t="str">
        <f t="array" ref="BL16">IF(ISERROR(INDEX($A$3:$B$14312,SMALL(IF($A$3:$A$14312=BL$3,ROW($A$3:$A$14312)),ROW(14:14)),2)),"",INDEX($A$3:$B$14312,SMALL(IF($A$3:$A$14312=BL$3,ROW($A$3:$A$14312)),ROW(14:14)),2))</f>
        <v/>
      </c>
      <c r="BM16" t="str">
        <f t="array" ref="BM16">IF(ISERROR(INDEX($A$3:$B$14312,SMALL(IF($A$3:$A$14312=BM$3,ROW($A$3:$A$14312)),ROW(14:14)),2)),"",INDEX($A$3:$B$14312,SMALL(IF($A$3:$A$14312=BM$3,ROW($A$3:$A$14312)),ROW(14:14)),2))</f>
        <v>Router3_117</v>
      </c>
      <c r="BN16" t="str">
        <f t="array" ref="BN16">IF(ISERROR(INDEX($A$3:$B$14312,SMALL(IF($A$3:$A$14312=BN$3,ROW($A$3:$A$14312)),ROW(14:14)),2)),"",INDEX($A$3:$B$14312,SMALL(IF($A$3:$A$14312=BN$3,ROW($A$3:$A$14312)),ROW(14:14)),2))</f>
        <v/>
      </c>
      <c r="BO16" t="str">
        <f t="array" ref="BO16">IF(ISERROR(INDEX($A$3:$B$14312,SMALL(IF($A$3:$A$14312=BO$3,ROW($A$3:$A$14312)),ROW(14:14)),2)),"",INDEX($A$3:$B$14312,SMALL(IF($A$3:$A$14312=BO$3,ROW($A$3:$A$14312)),ROW(14:14)),2))</f>
        <v/>
      </c>
      <c r="BP16" t="str">
        <f t="array" ref="BP16">IF(ISERROR(INDEX($A$3:$B$14312,SMALL(IF($A$3:$A$14312=BP$3,ROW($A$3:$A$14312)),ROW(14:14)),2)),"",INDEX($A$3:$B$14312,SMALL(IF($A$3:$A$14312=BP$3,ROW($A$3:$A$14312)),ROW(14:14)),2))</f>
        <v/>
      </c>
      <c r="BQ16" t="str">
        <f t="array" ref="BQ16">IF(ISERROR(INDEX($A$3:$B$14312,SMALL(IF($A$3:$A$14312=BQ$3,ROW($A$3:$A$14312)),ROW(14:14)),2)),"",INDEX($A$3:$B$14312,SMALL(IF($A$3:$A$14312=BQ$3,ROW($A$3:$A$14312)),ROW(14:14)),2))</f>
        <v/>
      </c>
      <c r="BR16" t="str">
        <f t="array" ref="BR16">IF(ISERROR(INDEX($A$3:$B$14312,SMALL(IF($A$3:$A$14312=BR$3,ROW($A$3:$A$14312)),ROW(14:14)),2)),"",INDEX($A$3:$B$14312,SMALL(IF($A$3:$A$14312=BR$3,ROW($A$3:$A$14312)),ROW(14:14)),2))</f>
        <v/>
      </c>
      <c r="BS16" t="str">
        <f t="array" ref="BS16">IF(ISERROR(INDEX($A$3:$B$14312,SMALL(IF($A$3:$A$14312=BS$3,ROW($A$3:$A$14312)),ROW(14:14)),2)),"",INDEX($A$3:$B$14312,SMALL(IF($A$3:$A$14312=BS$3,ROW($A$3:$A$14312)),ROW(14:14)),2))</f>
        <v/>
      </c>
      <c r="BT16" t="str">
        <f t="array" ref="BT16">IF(ISERROR(INDEX($A$3:$B$14312,SMALL(IF($A$3:$A$14312=BT$3,ROW($A$3:$A$14312)),ROW(14:14)),2)),"",INDEX($A$3:$B$14312,SMALL(IF($A$3:$A$14312=BT$3,ROW($A$3:$A$14312)),ROW(14:14)),2))</f>
        <v>Router3_69</v>
      </c>
      <c r="BU16" t="str">
        <f t="array" ref="BU16">IF(ISERROR(INDEX($A$3:$B$14312,SMALL(IF($A$3:$A$14312=BU$3,ROW($A$3:$A$14312)),ROW(14:14)),2)),"",INDEX($A$3:$B$14312,SMALL(IF($A$3:$A$14312=BU$3,ROW($A$3:$A$14312)),ROW(14:14)),2))</f>
        <v/>
      </c>
      <c r="BV16" t="str">
        <f t="array" ref="BV16">IF(ISERROR(INDEX($A$3:$B$14312,SMALL(IF($A$3:$A$14312=BV$3,ROW($A$3:$A$14312)),ROW(14:14)),2)),"",INDEX($A$3:$B$14312,SMALL(IF($A$3:$A$14312=BV$3,ROW($A$3:$A$14312)),ROW(14:14)),2))</f>
        <v/>
      </c>
      <c r="BW16" t="str">
        <f t="array" ref="BW16">IF(ISERROR(INDEX($A$3:$B$14312,SMALL(IF($A$3:$A$14312=BW$3,ROW($A$3:$A$14312)),ROW(14:14)),2)),"",INDEX($A$3:$B$14312,SMALL(IF($A$3:$A$14312=BW$3,ROW($A$3:$A$14312)),ROW(14:14)),2))</f>
        <v>Router3_152</v>
      </c>
      <c r="BX16" t="str">
        <f t="array" ref="BX16">IF(ISERROR(INDEX($A$3:$B$14312,SMALL(IF($A$3:$A$14312=BX$3,ROW($A$3:$A$14312)),ROW(14:14)),2)),"",INDEX($A$3:$B$14312,SMALL(IF($A$3:$A$14312=BX$3,ROW($A$3:$A$14312)),ROW(14:14)),2))</f>
        <v>Router3_65</v>
      </c>
      <c r="BY16" t="str">
        <f t="array" ref="BY16">IF(ISERROR(INDEX($A$3:$B$14312,SMALL(IF($A$3:$A$14312=BY$3,ROW($A$3:$A$14312)),ROW(14:14)),2)),"",INDEX($A$3:$B$14312,SMALL(IF($A$3:$A$14312=BY$3,ROW($A$3:$A$14312)),ROW(14:14)),2))</f>
        <v>Router3_79</v>
      </c>
      <c r="BZ16" t="str">
        <f t="array" ref="BZ16">IF(ISERROR(INDEX($A$3:$B$14312,SMALL(IF($A$3:$A$14312=BZ$3,ROW($A$3:$A$14312)),ROW(14:14)),2)),"",INDEX($A$3:$B$14312,SMALL(IF($A$3:$A$14312=BZ$3,ROW($A$3:$A$14312)),ROW(14:14)),2))</f>
        <v>Router3_79</v>
      </c>
      <c r="CA16" t="str">
        <f t="array" ref="CA16">IF(ISERROR(INDEX($A$3:$B$14312,SMALL(IF($A$3:$A$14312=CA$3,ROW($A$3:$A$14312)),ROW(14:14)),2)),"",INDEX($A$3:$B$14312,SMALL(IF($A$3:$A$14312=CA$3,ROW($A$3:$A$14312)),ROW(14:14)),2))</f>
        <v/>
      </c>
      <c r="CB16" t="str">
        <f t="array" ref="CB16">IF(ISERROR(INDEX($A$3:$B$14312,SMALL(IF($A$3:$A$14312=CB$3,ROW($A$3:$A$14312)),ROW(14:14)),2)),"",INDEX($A$3:$B$14312,SMALL(IF($A$3:$A$14312=CB$3,ROW($A$3:$A$14312)),ROW(14:14)),2))</f>
        <v>Router3_44</v>
      </c>
      <c r="CC16" t="str">
        <f t="array" ref="CC16">IF(ISERROR(INDEX($A$3:$B$14312,SMALL(IF($A$3:$A$14312=CC$3,ROW($A$3:$A$14312)),ROW(14:14)),2)),"",INDEX($A$3:$B$14312,SMALL(IF($A$3:$A$14312=CC$3,ROW($A$3:$A$14312)),ROW(14:14)),2))</f>
        <v/>
      </c>
      <c r="CD16" t="str">
        <f t="array" ref="CD16">IF(ISERROR(INDEX($A$3:$B$14312,SMALL(IF($A$3:$A$14312=CD$3,ROW($A$3:$A$14312)),ROW(14:14)),2)),"",INDEX($A$3:$B$14312,SMALL(IF($A$3:$A$14312=CD$3,ROW($A$3:$A$14312)),ROW(14:14)),2))</f>
        <v/>
      </c>
      <c r="CE16" t="str">
        <f t="array" ref="CE16">IF(ISERROR(INDEX($A$3:$B$14312,SMALL(IF($A$3:$A$14312=CE$3,ROW($A$3:$A$14312)),ROW(14:14)),2)),"",INDEX($A$3:$B$14312,SMALL(IF($A$3:$A$14312=CE$3,ROW($A$3:$A$14312)),ROW(14:14)),2))</f>
        <v/>
      </c>
      <c r="CF16" t="str">
        <f t="array" ref="CF16">IF(ISERROR(INDEX($A$3:$B$14312,SMALL(IF($A$3:$A$14312=CF$3,ROW($A$3:$A$14312)),ROW(14:14)),2)),"",INDEX($A$3:$B$14312,SMALL(IF($A$3:$A$14312=CF$3,ROW($A$3:$A$14312)),ROW(14:14)),2))</f>
        <v/>
      </c>
      <c r="CG16" t="str">
        <f t="array" ref="CG16">IF(ISERROR(INDEX($A$3:$B$14312,SMALL(IF($A$3:$A$14312=CG$3,ROW($A$3:$A$14312)),ROW(14:14)),2)),"",INDEX($A$3:$B$14312,SMALL(IF($A$3:$A$14312=CG$3,ROW($A$3:$A$14312)),ROW(14:14)),2))</f>
        <v>Router3_18</v>
      </c>
      <c r="CH16" t="str">
        <f t="array" ref="CH16">IF(ISERROR(INDEX($A$3:$B$14312,SMALL(IF($A$3:$A$14312=CH$3,ROW($A$3:$A$14312)),ROW(14:14)),2)),"",INDEX($A$3:$B$14312,SMALL(IF($A$3:$A$14312=CH$3,ROW($A$3:$A$14312)),ROW(14:14)),2))</f>
        <v/>
      </c>
      <c r="CI16" t="str">
        <f t="array" ref="CI16">IF(ISERROR(INDEX($A$3:$B$14312,SMALL(IF($A$3:$A$14312=CI$3,ROW($A$3:$A$14312)),ROW(14:14)),2)),"",INDEX($A$3:$B$14312,SMALL(IF($A$3:$A$14312=CI$3,ROW($A$3:$A$14312)),ROW(14:14)),2))</f>
        <v>Router3_24</v>
      </c>
      <c r="CJ16" t="str">
        <f t="array" ref="CJ16">IF(ISERROR(INDEX($A$3:$B$14312,SMALL(IF($A$3:$A$14312=CJ$3,ROW($A$3:$A$14312)),ROW(14:14)),2)),"",INDEX($A$3:$B$14312,SMALL(IF($A$3:$A$14312=CJ$3,ROW($A$3:$A$14312)),ROW(14:14)),2))</f>
        <v/>
      </c>
      <c r="CK16" t="str">
        <f t="array" ref="CK16">IF(ISERROR(INDEX($A$3:$B$14312,SMALL(IF($A$3:$A$14312=CK$3,ROW($A$3:$A$14312)),ROW(14:14)),2)),"",INDEX($A$3:$B$14312,SMALL(IF($A$3:$A$14312=CK$3,ROW($A$3:$A$14312)),ROW(14:14)),2))</f>
        <v/>
      </c>
      <c r="CL16" t="str">
        <f t="array" ref="CL16">IF(ISERROR(INDEX($A$3:$B$14312,SMALL(IF($A$3:$A$14312=CL$3,ROW($A$3:$A$14312)),ROW(14:14)),2)),"",INDEX($A$3:$B$14312,SMALL(IF($A$3:$A$14312=CL$3,ROW($A$3:$A$14312)),ROW(14:14)),2))</f>
        <v/>
      </c>
      <c r="CM16" t="str">
        <f t="array" ref="CM16">IF(ISERROR(INDEX($A$3:$B$14312,SMALL(IF($A$3:$A$14312=CM$3,ROW($A$3:$A$14312)),ROW(14:14)),2)),"",INDEX($A$3:$B$14312,SMALL(IF($A$3:$A$14312=CM$3,ROW($A$3:$A$14312)),ROW(14:14)),2))</f>
        <v/>
      </c>
      <c r="CN16" t="str">
        <f t="array" ref="CN16">IF(ISERROR(INDEX($A$3:$B$14312,SMALL(IF($A$3:$A$14312=CN$3,ROW($A$3:$A$14312)),ROW(14:14)),2)),"",INDEX($A$3:$B$14312,SMALL(IF($A$3:$A$14312=CN$3,ROW($A$3:$A$14312)),ROW(14:14)),2))</f>
        <v>Router3_18</v>
      </c>
      <c r="CO16" t="str">
        <f t="array" ref="CO16">IF(ISERROR(INDEX($A$3:$B$14312,SMALL(IF($A$3:$A$14312=CO$3,ROW($A$3:$A$14312)),ROW(14:14)),2)),"",INDEX($A$3:$B$14312,SMALL(IF($A$3:$A$14312=CO$3,ROW($A$3:$A$14312)),ROW(14:14)),2))</f>
        <v>Router3_88</v>
      </c>
      <c r="CP16" t="str">
        <f t="array" ref="CP16">IF(ISERROR(INDEX($A$3:$B$14312,SMALL(IF($A$3:$A$14312=CP$3,ROW($A$3:$A$14312)),ROW(14:14)),2)),"",INDEX($A$3:$B$14312,SMALL(IF($A$3:$A$14312=CP$3,ROW($A$3:$A$14312)),ROW(14:14)),2))</f>
        <v>Router3_17</v>
      </c>
      <c r="CQ16" t="str">
        <f t="array" ref="CQ16">IF(ISERROR(INDEX($A$3:$B$14312,SMALL(IF($A$3:$A$14312=CQ$3,ROW($A$3:$A$14312)),ROW(14:14)),2)),"",INDEX($A$3:$B$14312,SMALL(IF($A$3:$A$14312=CQ$3,ROW($A$3:$A$14312)),ROW(14:14)),2))</f>
        <v/>
      </c>
      <c r="CR16" t="str">
        <f t="array" ref="CR16">IF(ISERROR(INDEX($A$3:$B$14312,SMALL(IF($A$3:$A$14312=CR$3,ROW($A$3:$A$14312)),ROW(14:14)),2)),"",INDEX($A$3:$B$14312,SMALL(IF($A$3:$A$14312=CR$3,ROW($A$3:$A$14312)),ROW(14:14)),2))</f>
        <v/>
      </c>
      <c r="CS16" t="str">
        <f t="array" ref="CS16">IF(ISERROR(INDEX($A$3:$B$14312,SMALL(IF($A$3:$A$14312=CS$3,ROW($A$3:$A$14312)),ROW(14:14)),2)),"",INDEX($A$3:$B$14312,SMALL(IF($A$3:$A$14312=CS$3,ROW($A$3:$A$14312)),ROW(14:14)),2))</f>
        <v/>
      </c>
      <c r="CT16" t="str">
        <f t="array" ref="CT16">IF(ISERROR(INDEX($A$3:$B$14312,SMALL(IF($A$3:$A$14312=CT$3,ROW($A$3:$A$14312)),ROW(14:14)),2)),"",INDEX($A$3:$B$14312,SMALL(IF($A$3:$A$14312=CT$3,ROW($A$3:$A$14312)),ROW(14:14)),2))</f>
        <v/>
      </c>
      <c r="CU16" t="str">
        <f t="array" ref="CU16">IF(ISERROR(INDEX($A$3:$B$14312,SMALL(IF($A$3:$A$14312=CU$3,ROW($A$3:$A$14312)),ROW(14:14)),2)),"",INDEX($A$3:$B$14312,SMALL(IF($A$3:$A$14312=CU$3,ROW($A$3:$A$14312)),ROW(14:14)),2))</f>
        <v/>
      </c>
      <c r="CV16" t="str">
        <f t="array" ref="CV16">IF(ISERROR(INDEX($A$3:$B$14312,SMALL(IF($A$3:$A$14312=CV$3,ROW($A$3:$A$14312)),ROW(14:14)),2)),"",INDEX($A$3:$B$14312,SMALL(IF($A$3:$A$14312=CV$3,ROW($A$3:$A$14312)),ROW(14:14)),2))</f>
        <v>Router3_88</v>
      </c>
      <c r="CW16" t="str">
        <f t="array" ref="CW16">IF(ISERROR(INDEX($A$3:$B$14312,SMALL(IF($A$3:$A$14312=CW$3,ROW($A$3:$A$14312)),ROW(14:14)),2)),"",INDEX($A$3:$B$14312,SMALL(IF($A$3:$A$14312=CW$3,ROW($A$3:$A$14312)),ROW(14:14)),2))</f>
        <v/>
      </c>
      <c r="CX16" t="str">
        <f t="array" ref="CX16">IF(ISERROR(INDEX($A$3:$B$14312,SMALL(IF($A$3:$A$14312=CX$3,ROW($A$3:$A$14312)),ROW(14:14)),2)),"",INDEX($A$3:$B$14312,SMALL(IF($A$3:$A$14312=CX$3,ROW($A$3:$A$14312)),ROW(14:14)),2))</f>
        <v/>
      </c>
      <c r="CY16" t="str">
        <f t="array" ref="CY16">IF(ISERROR(INDEX($A$3:$B$14312,SMALL(IF($A$3:$A$14312=CY$3,ROW($A$3:$A$14312)),ROW(14:14)),2)),"",INDEX($A$3:$B$14312,SMALL(IF($A$3:$A$14312=CY$3,ROW($A$3:$A$14312)),ROW(14:14)),2))</f>
        <v>Router3_85</v>
      </c>
      <c r="CZ16" t="str">
        <f t="array" ref="CZ16">IF(ISERROR(INDEX($A$3:$B$14312,SMALL(IF($A$3:$A$14312=CZ$3,ROW($A$3:$A$14312)),ROW(14:14)),2)),"",INDEX($A$3:$B$14312,SMALL(IF($A$3:$A$14312=CZ$3,ROW($A$3:$A$14312)),ROW(14:14)),2))</f>
        <v>Router3_145</v>
      </c>
      <c r="DA16" t="str">
        <f t="array" ref="DA16">IF(ISERROR(INDEX($A$3:$B$14312,SMALL(IF($A$3:$A$14312=DA$3,ROW($A$3:$A$14312)),ROW(14:14)),2)),"",INDEX($A$3:$B$14312,SMALL(IF($A$3:$A$14312=DA$3,ROW($A$3:$A$14312)),ROW(14:14)),2))</f>
        <v>Router3_144</v>
      </c>
      <c r="DB16" t="str">
        <f t="array" ref="DB16">IF(ISERROR(INDEX($A$3:$B$14312,SMALL(IF($A$3:$A$14312=DB$3,ROW($A$3:$A$14312)),ROW(14:14)),2)),"",INDEX($A$3:$B$14312,SMALL(IF($A$3:$A$14312=DB$3,ROW($A$3:$A$14312)),ROW(14:14)),2))</f>
        <v>Router3_19</v>
      </c>
      <c r="DC16" t="str">
        <f t="array" ref="DC16">IF(ISERROR(INDEX($A$3:$B$14312,SMALL(IF($A$3:$A$14312=DC$3,ROW($A$3:$A$14312)),ROW(14:14)),2)),"",INDEX($A$3:$B$14312,SMALL(IF($A$3:$A$14312=DC$3,ROW($A$3:$A$14312)),ROW(14:14)),2))</f>
        <v>Router3_95</v>
      </c>
      <c r="DD16" t="str">
        <f t="array" ref="DD16">IF(ISERROR(INDEX($A$3:$B$14312,SMALL(IF($A$3:$A$14312=DD$3,ROW($A$3:$A$14312)),ROW(14:14)),2)),"",INDEX($A$3:$B$14312,SMALL(IF($A$3:$A$14312=DD$3,ROW($A$3:$A$14312)),ROW(14:14)),2))</f>
        <v/>
      </c>
      <c r="DE16" t="str">
        <f t="array" ref="DE16">IF(ISERROR(INDEX($A$3:$B$14312,SMALL(IF($A$3:$A$14312=DE$3,ROW($A$3:$A$14312)),ROW(14:14)),2)),"",INDEX($A$3:$B$14312,SMALL(IF($A$3:$A$14312=DE$3,ROW($A$3:$A$14312)),ROW(14:14)),2))</f>
        <v/>
      </c>
      <c r="DF16" t="str">
        <f t="array" ref="DF16">IF(ISERROR(INDEX($A$3:$B$14312,SMALL(IF($A$3:$A$14312=DF$3,ROW($A$3:$A$14312)),ROW(14:14)),2)),"",INDEX($A$3:$B$14312,SMALL(IF($A$3:$A$14312=DF$3,ROW($A$3:$A$14312)),ROW(14:14)),2))</f>
        <v/>
      </c>
      <c r="DG16" t="str">
        <f t="array" ref="DG16">IF(ISERROR(INDEX($A$3:$B$14312,SMALL(IF($A$3:$A$14312=DG$3,ROW($A$3:$A$14312)),ROW(14:14)),2)),"",INDEX($A$3:$B$14312,SMALL(IF($A$3:$A$14312=DG$3,ROW($A$3:$A$14312)),ROW(14:14)),2))</f>
        <v>Router3_16</v>
      </c>
      <c r="DH16" t="str">
        <f t="array" ref="DH16">IF(ISERROR(INDEX($A$3:$B$14312,SMALL(IF($A$3:$A$14312=DH$3,ROW($A$3:$A$14312)),ROW(14:14)),2)),"",INDEX($A$3:$B$14312,SMALL(IF($A$3:$A$14312=DH$3,ROW($A$3:$A$14312)),ROW(14:14)),2))</f>
        <v/>
      </c>
      <c r="DI16" t="str">
        <f t="array" ref="DI16">IF(ISERROR(INDEX($A$3:$B$14312,SMALL(IF($A$3:$A$14312=DI$3,ROW($A$3:$A$14312)),ROW(14:14)),2)),"",INDEX($A$3:$B$14312,SMALL(IF($A$3:$A$14312=DI$3,ROW($A$3:$A$14312)),ROW(14:14)),2))</f>
        <v>Router3_80</v>
      </c>
      <c r="DJ16" t="str">
        <f t="array" ref="DJ16">IF(ISERROR(INDEX($A$3:$B$14312,SMALL(IF($A$3:$A$14312=DJ$3,ROW($A$3:$A$14312)),ROW(14:14)),2)),"",INDEX($A$3:$B$14312,SMALL(IF($A$3:$A$14312=DJ$3,ROW($A$3:$A$14312)),ROW(14:14)),2))</f>
        <v>Router3_65</v>
      </c>
      <c r="DK16" t="str">
        <f t="array" ref="DK16">IF(ISERROR(INDEX($A$3:$B$14312,SMALL(IF($A$3:$A$14312=DK$3,ROW($A$3:$A$14312)),ROW(14:14)),2)),"",INDEX($A$3:$B$14312,SMALL(IF($A$3:$A$14312=DK$3,ROW($A$3:$A$14312)),ROW(14:14)),2))</f>
        <v>Router3_87</v>
      </c>
      <c r="DL16" t="str">
        <f t="array" ref="DL16">IF(ISERROR(INDEX($A$3:$B$14312,SMALL(IF($A$3:$A$14312=DL$3,ROW($A$3:$A$14312)),ROW(14:14)),2)),"",INDEX($A$3:$B$14312,SMALL(IF($A$3:$A$14312=DL$3,ROW($A$3:$A$14312)),ROW(14:14)),2))</f>
        <v>Router3_118</v>
      </c>
      <c r="DM16" t="str">
        <f t="array" ref="DM16">IF(ISERROR(INDEX($A$3:$B$14312,SMALL(IF($A$3:$A$14312=DM$3,ROW($A$3:$A$14312)),ROW(14:14)),2)),"",INDEX($A$3:$B$14312,SMALL(IF($A$3:$A$14312=DM$3,ROW($A$3:$A$14312)),ROW(14:14)),2))</f>
        <v/>
      </c>
      <c r="DN16" t="str">
        <f t="array" ref="DN16">IF(ISERROR(INDEX($A$3:$B$14312,SMALL(IF($A$3:$A$14312=DN$3,ROW($A$3:$A$14312)),ROW(14:14)),2)),"",INDEX($A$3:$B$14312,SMALL(IF($A$3:$A$14312=DN$3,ROW($A$3:$A$14312)),ROW(14:14)),2))</f>
        <v>Router3_83</v>
      </c>
      <c r="DO16" t="str">
        <f t="array" ref="DO16">IF(ISERROR(INDEX($A$3:$B$14312,SMALL(IF($A$3:$A$14312=DO$3,ROW($A$3:$A$14312)),ROW(14:14)),2)),"",INDEX($A$3:$B$14312,SMALL(IF($A$3:$A$14312=DO$3,ROW($A$3:$A$14312)),ROW(14:14)),2))</f>
        <v>Router3_143</v>
      </c>
      <c r="DP16" t="str">
        <f t="array" ref="DP16">IF(ISERROR(INDEX($A$3:$B$14312,SMALL(IF($A$3:$A$14312=DP$3,ROW($A$3:$A$14312)),ROW(14:14)),2)),"",INDEX($A$3:$B$14312,SMALL(IF($A$3:$A$14312=DP$3,ROW($A$3:$A$14312)),ROW(14:14)),2))</f>
        <v/>
      </c>
      <c r="DQ16" t="str">
        <f t="array" ref="DQ16">IF(ISERROR(INDEX($A$3:$B$14312,SMALL(IF($A$3:$A$14312=DQ$3,ROW($A$3:$A$14312)),ROW(14:14)),2)),"",INDEX($A$3:$B$14312,SMALL(IF($A$3:$A$14312=DQ$3,ROW($A$3:$A$14312)),ROW(14:14)),2))</f>
        <v/>
      </c>
      <c r="DR16" t="str">
        <f t="array" ref="DR16">IF(ISERROR(INDEX($A$3:$B$14312,SMALL(IF($A$3:$A$14312=DR$3,ROW($A$3:$A$14312)),ROW(14:14)),2)),"",INDEX($A$3:$B$14312,SMALL(IF($A$3:$A$14312=DR$3,ROW($A$3:$A$14312)),ROW(14:14)),2))</f>
        <v>Router3_16</v>
      </c>
      <c r="DS16" t="str">
        <f t="array" ref="DS16">IF(ISERROR(INDEX($A$3:$B$14312,SMALL(IF($A$3:$A$14312=DS$3,ROW($A$3:$A$14312)),ROW(14:14)),2)),"",INDEX($A$3:$B$14312,SMALL(IF($A$3:$A$14312=DS$3,ROW($A$3:$A$14312)),ROW(14:14)),2))</f>
        <v/>
      </c>
      <c r="DT16" t="str">
        <f t="array" ref="DT16">IF(ISERROR(INDEX($A$3:$B$14312,SMALL(IF($A$3:$A$14312=DT$3,ROW($A$3:$A$14312)),ROW(14:14)),2)),"",INDEX($A$3:$B$14312,SMALL(IF($A$3:$A$14312=DT$3,ROW($A$3:$A$14312)),ROW(14:14)),2))</f>
        <v>Router3_80</v>
      </c>
      <c r="DU16" t="str">
        <f t="array" ref="DU16">IF(ISERROR(INDEX($A$3:$B$14312,SMALL(IF($A$3:$A$14312=DU$3,ROW($A$3:$A$14312)),ROW(14:14)),2)),"",INDEX($A$3:$B$14312,SMALL(IF($A$3:$A$14312=DU$3,ROW($A$3:$A$14312)),ROW(14:14)),2))</f>
        <v>Router3_132</v>
      </c>
      <c r="DV16" t="str">
        <f t="array" ref="DV16">IF(ISERROR(INDEX($A$3:$B$14312,SMALL(IF($A$3:$A$14312=DV$3,ROW($A$3:$A$14312)),ROW(14:14)),2)),"",INDEX($A$3:$B$14312,SMALL(IF($A$3:$A$14312=DV$3,ROW($A$3:$A$14312)),ROW(14:14)),2))</f>
        <v>Router3_24</v>
      </c>
      <c r="DW16" t="str">
        <f t="array" ref="DW16">IF(ISERROR(INDEX($A$3:$B$14312,SMALL(IF($A$3:$A$14312=DW$3,ROW($A$3:$A$14312)),ROW(14:14)),2)),"",INDEX($A$3:$B$14312,SMALL(IF($A$3:$A$14312=DW$3,ROW($A$3:$A$14312)),ROW(14:14)),2))</f>
        <v/>
      </c>
      <c r="DX16" t="str">
        <f t="array" ref="DX16">IF(ISERROR(INDEX($A$3:$B$14312,SMALL(IF($A$3:$A$14312=DX$3,ROW($A$3:$A$14312)),ROW(14:14)),2)),"",INDEX($A$3:$B$14312,SMALL(IF($A$3:$A$14312=DX$3,ROW($A$3:$A$14312)),ROW(14:14)),2))</f>
        <v/>
      </c>
      <c r="DY16" t="str">
        <f t="array" ref="DY16">IF(ISERROR(INDEX($A$3:$B$14312,SMALL(IF($A$3:$A$14312=DY$3,ROW($A$3:$A$14312)),ROW(14:14)),2)),"",INDEX($A$3:$B$14312,SMALL(IF($A$3:$A$14312=DY$3,ROW($A$3:$A$14312)),ROW(14:14)),2))</f>
        <v/>
      </c>
      <c r="DZ16" t="str">
        <f t="array" ref="DZ16">IF(ISERROR(INDEX($A$3:$B$14312,SMALL(IF($A$3:$A$14312=DZ$3,ROW($A$3:$A$14312)),ROW(14:14)),2)),"",INDEX($A$3:$B$14312,SMALL(IF($A$3:$A$14312=DZ$3,ROW($A$3:$A$14312)),ROW(14:14)),2))</f>
        <v/>
      </c>
      <c r="EA16" t="str">
        <f t="array" ref="EA16">IF(ISERROR(INDEX($A$3:$B$14312,SMALL(IF($A$3:$A$14312=EA$3,ROW($A$3:$A$14312)),ROW(14:14)),2)),"",INDEX($A$3:$B$14312,SMALL(IF($A$3:$A$14312=EA$3,ROW($A$3:$A$14312)),ROW(14:14)),2))</f>
        <v>Router3_124</v>
      </c>
      <c r="EB16" t="str">
        <f t="array" ref="EB16">IF(ISERROR(INDEX($A$3:$B$14312,SMALL(IF($A$3:$A$14312=EB$3,ROW($A$3:$A$14312)),ROW(14:14)),2)),"",INDEX($A$3:$B$14312,SMALL(IF($A$3:$A$14312=EB$3,ROW($A$3:$A$14312)),ROW(14:14)),2))</f>
        <v>Router3_130</v>
      </c>
      <c r="EC16" t="str">
        <f t="array" ref="EC16">IF(ISERROR(INDEX($A$3:$B$14312,SMALL(IF($A$3:$A$14312=EC$3,ROW($A$3:$A$14312)),ROW(14:14)),2)),"",INDEX($A$3:$B$14312,SMALL(IF($A$3:$A$14312=EC$3,ROW($A$3:$A$14312)),ROW(14:14)),2))</f>
        <v>Router3_86</v>
      </c>
      <c r="ED16" t="str">
        <f t="array" ref="ED16">IF(ISERROR(INDEX($A$3:$B$14312,SMALL(IF($A$3:$A$14312=ED$3,ROW($A$3:$A$14312)),ROW(14:14)),2)),"",INDEX($A$3:$B$14312,SMALL(IF($A$3:$A$14312=ED$3,ROW($A$3:$A$14312)),ROW(14:14)),2))</f>
        <v>Router3_118</v>
      </c>
      <c r="EE16" t="str">
        <f t="array" ref="EE16">IF(ISERROR(INDEX($A$3:$B$14312,SMALL(IF($A$3:$A$14312=EE$3,ROW($A$3:$A$14312)),ROW(14:14)),2)),"",INDEX($A$3:$B$14312,SMALL(IF($A$3:$A$14312=EE$3,ROW($A$3:$A$14312)),ROW(14:14)),2))</f>
        <v>Router3_154</v>
      </c>
    </row>
    <row r="17" spans="1:135" x14ac:dyDescent="0.25">
      <c r="A17" s="10">
        <v>-450827382</v>
      </c>
      <c r="B17" t="s">
        <v>1094</v>
      </c>
      <c r="E17" t="str">
        <f t="array" ref="E17">IF(ISERROR(INDEX($A$3:$B$14312,SMALL(IF($A$3:$A$14312=E$3,ROW($A$3:$A$14312)),ROW(15:15)),2)),"",INDEX($A$3:$B$14312,SMALL(IF($A$3:$A$14312=E$3,ROW($A$3:$A$14312)),ROW(15:15)),2))</f>
        <v>Router3_71</v>
      </c>
      <c r="F17" t="str">
        <f t="array" ref="F17">IF(ISERROR(INDEX($A$3:$B$14312,SMALL(IF($A$3:$A$14312=F$3,ROW($A$3:$A$14312)),ROW(15:15)),2)),"",INDEX($A$3:$B$14312,SMALL(IF($A$3:$A$14312=F$3,ROW($A$3:$A$14312)),ROW(15:15)),2))</f>
        <v>Router3_56</v>
      </c>
      <c r="G17" t="str">
        <f t="array" ref="G17">IF(ISERROR(INDEX($A$3:$B$14312,SMALL(IF($A$3:$A$14312=G$3,ROW($A$3:$A$14312)),ROW(15:15)),2)),"",INDEX($A$3:$B$14312,SMALL(IF($A$3:$A$14312=G$3,ROW($A$3:$A$14312)),ROW(15:15)),2))</f>
        <v/>
      </c>
      <c r="H17" t="str">
        <f t="array" ref="H17">IF(ISERROR(INDEX($A$3:$B$14312,SMALL(IF($A$3:$A$14312=H$3,ROW($A$3:$A$14312)),ROW(15:15)),2)),"",INDEX($A$3:$B$14312,SMALL(IF($A$3:$A$14312=H$3,ROW($A$3:$A$14312)),ROW(15:15)),2))</f>
        <v/>
      </c>
      <c r="I17" t="str">
        <f t="array" ref="I17">IF(ISERROR(INDEX($A$3:$B$14312,SMALL(IF($A$3:$A$14312=I$3,ROW($A$3:$A$14312)),ROW(15:15)),2)),"",INDEX($A$3:$B$14312,SMALL(IF($A$3:$A$14312=I$3,ROW($A$3:$A$14312)),ROW(15:15)),2))</f>
        <v/>
      </c>
      <c r="J17" t="str">
        <f t="array" ref="J17">IF(ISERROR(INDEX($A$3:$B$14312,SMALL(IF($A$3:$A$14312=J$3,ROW($A$3:$A$14312)),ROW(15:15)),2)),"",INDEX($A$3:$B$14312,SMALL(IF($A$3:$A$14312=J$3,ROW($A$3:$A$14312)),ROW(15:15)),2))</f>
        <v>Router3_145</v>
      </c>
      <c r="K17" t="str">
        <f t="array" ref="K17">IF(ISERROR(INDEX($A$3:$B$14312,SMALL(IF($A$3:$A$14312=K$3,ROW($A$3:$A$14312)),ROW(15:15)),2)),"",INDEX($A$3:$B$14312,SMALL(IF($A$3:$A$14312=K$3,ROW($A$3:$A$14312)),ROW(15:15)),2))</f>
        <v>Router3_5</v>
      </c>
      <c r="L17" t="str">
        <f t="array" ref="L17">IF(ISERROR(INDEX($A$3:$B$14312,SMALL(IF($A$3:$A$14312=L$3,ROW($A$3:$A$14312)),ROW(15:15)),2)),"",INDEX($A$3:$B$14312,SMALL(IF($A$3:$A$14312=L$3,ROW($A$3:$A$14312)),ROW(15:15)),2))</f>
        <v/>
      </c>
      <c r="M17" t="str">
        <f t="array" ref="M17">IF(ISERROR(INDEX($A$3:$B$14312,SMALL(IF($A$3:$A$14312=M$3,ROW($A$3:$A$14312)),ROW(15:15)),2)),"",INDEX($A$3:$B$14312,SMALL(IF($A$3:$A$14312=M$3,ROW($A$3:$A$14312)),ROW(15:15)),2))</f>
        <v>Router3_49</v>
      </c>
      <c r="N17" t="str">
        <f t="array" ref="N17">IF(ISERROR(INDEX($A$3:$B$14312,SMALL(IF($A$3:$A$14312=N$3,ROW($A$3:$A$14312)),ROW(15:15)),2)),"",INDEX($A$3:$B$14312,SMALL(IF($A$3:$A$14312=N$3,ROW($A$3:$A$14312)),ROW(15:15)),2))</f>
        <v/>
      </c>
      <c r="O17" t="str">
        <f t="array" ref="O17">IF(ISERROR(INDEX($A$3:$B$14312,SMALL(IF($A$3:$A$14312=O$3,ROW($A$3:$A$14312)),ROW(15:15)),2)),"",INDEX($A$3:$B$14312,SMALL(IF($A$3:$A$14312=O$3,ROW($A$3:$A$14312)),ROW(15:15)),2))</f>
        <v/>
      </c>
      <c r="P17" t="str">
        <f t="array" ref="P17">IF(ISERROR(INDEX($A$3:$B$14312,SMALL(IF($A$3:$A$14312=P$3,ROW($A$3:$A$14312)),ROW(15:15)),2)),"",INDEX($A$3:$B$14312,SMALL(IF($A$3:$A$14312=P$3,ROW($A$3:$A$14312)),ROW(15:15)),2))</f>
        <v/>
      </c>
      <c r="Q17" t="str">
        <f t="array" ref="Q17">IF(ISERROR(INDEX($A$3:$B$14312,SMALL(IF($A$3:$A$14312=Q$3,ROW($A$3:$A$14312)),ROW(15:15)),2)),"",INDEX($A$3:$B$14312,SMALL(IF($A$3:$A$14312=Q$3,ROW($A$3:$A$14312)),ROW(15:15)),2))</f>
        <v/>
      </c>
      <c r="R17" t="str">
        <f t="array" ref="R17">IF(ISERROR(INDEX($A$3:$B$14312,SMALL(IF($A$3:$A$14312=R$3,ROW($A$3:$A$14312)),ROW(15:15)),2)),"",INDEX($A$3:$B$14312,SMALL(IF($A$3:$A$14312=R$3,ROW($A$3:$A$14312)),ROW(15:15)),2))</f>
        <v/>
      </c>
      <c r="S17" t="str">
        <f t="array" ref="S17">IF(ISERROR(INDEX($A$3:$B$14312,SMALL(IF($A$3:$A$14312=S$3,ROW($A$3:$A$14312)),ROW(15:15)),2)),"",INDEX($A$3:$B$14312,SMALL(IF($A$3:$A$14312=S$3,ROW($A$3:$A$14312)),ROW(15:15)),2))</f>
        <v/>
      </c>
      <c r="T17" t="str">
        <f t="array" ref="T17">IF(ISERROR(INDEX($A$3:$B$14312,SMALL(IF($A$3:$A$14312=T$3,ROW($A$3:$A$14312)),ROW(15:15)),2)),"",INDEX($A$3:$B$14312,SMALL(IF($A$3:$A$14312=T$3,ROW($A$3:$A$14312)),ROW(15:15)),2))</f>
        <v/>
      </c>
      <c r="U17" t="str">
        <f t="array" ref="U17">IF(ISERROR(INDEX($A$3:$B$14312,SMALL(IF($A$3:$A$14312=U$3,ROW($A$3:$A$14312)),ROW(15:15)),2)),"",INDEX($A$3:$B$14312,SMALL(IF($A$3:$A$14312=U$3,ROW($A$3:$A$14312)),ROW(15:15)),2))</f>
        <v>Router3_129</v>
      </c>
      <c r="V17" t="str">
        <f t="array" ref="V17">IF(ISERROR(INDEX($A$3:$B$14312,SMALL(IF($A$3:$A$14312=V$3,ROW($A$3:$A$14312)),ROW(15:15)),2)),"",INDEX($A$3:$B$14312,SMALL(IF($A$3:$A$14312=V$3,ROW($A$3:$A$14312)),ROW(15:15)),2))</f>
        <v/>
      </c>
      <c r="W17" t="str">
        <f t="array" ref="W17">IF(ISERROR(INDEX($A$3:$B$14312,SMALL(IF($A$3:$A$14312=W$3,ROW($A$3:$A$14312)),ROW(15:15)),2)),"",INDEX($A$3:$B$14312,SMALL(IF($A$3:$A$14312=W$3,ROW($A$3:$A$14312)),ROW(15:15)),2))</f>
        <v>Router3_87</v>
      </c>
      <c r="X17" t="str">
        <f t="array" ref="X17">IF(ISERROR(INDEX($A$3:$B$14312,SMALL(IF($A$3:$A$14312=X$3,ROW($A$3:$A$14312)),ROW(15:15)),2)),"",INDEX($A$3:$B$14312,SMALL(IF($A$3:$A$14312=X$3,ROW($A$3:$A$14312)),ROW(15:15)),2))</f>
        <v/>
      </c>
      <c r="Y17" t="str">
        <f t="array" ref="Y17">IF(ISERROR(INDEX($A$3:$B$14312,SMALL(IF($A$3:$A$14312=Y$3,ROW($A$3:$A$14312)),ROW(15:15)),2)),"",INDEX($A$3:$B$14312,SMALL(IF($A$3:$A$14312=Y$3,ROW($A$3:$A$14312)),ROW(15:15)),2))</f>
        <v/>
      </c>
      <c r="Z17" t="str">
        <f t="array" ref="Z17">IF(ISERROR(INDEX($A$3:$B$14312,SMALL(IF($A$3:$A$14312=Z$3,ROW($A$3:$A$14312)),ROW(15:15)),2)),"",INDEX($A$3:$B$14312,SMALL(IF($A$3:$A$14312=Z$3,ROW($A$3:$A$14312)),ROW(15:15)),2))</f>
        <v/>
      </c>
      <c r="AA17" t="str">
        <f t="array" ref="AA17">IF(ISERROR(INDEX($A$3:$B$14312,SMALL(IF($A$3:$A$14312=AA$3,ROW($A$3:$A$14312)),ROW(15:15)),2)),"",INDEX($A$3:$B$14312,SMALL(IF($A$3:$A$14312=AA$3,ROW($A$3:$A$14312)),ROW(15:15)),2))</f>
        <v/>
      </c>
      <c r="AB17" t="str">
        <f t="array" ref="AB17">IF(ISERROR(INDEX($A$3:$B$14312,SMALL(IF($A$3:$A$14312=AB$3,ROW($A$3:$A$14312)),ROW(15:15)),2)),"",INDEX($A$3:$B$14312,SMALL(IF($A$3:$A$14312=AB$3,ROW($A$3:$A$14312)),ROW(15:15)),2))</f>
        <v/>
      </c>
      <c r="AC17" t="str">
        <f t="array" ref="AC17">IF(ISERROR(INDEX($A$3:$B$14312,SMALL(IF($A$3:$A$14312=AC$3,ROW($A$3:$A$14312)),ROW(15:15)),2)),"",INDEX($A$3:$B$14312,SMALL(IF($A$3:$A$14312=AC$3,ROW($A$3:$A$14312)),ROW(15:15)),2))</f>
        <v/>
      </c>
      <c r="AD17" t="str">
        <f t="array" ref="AD17">IF(ISERROR(INDEX($A$3:$B$14312,SMALL(IF($A$3:$A$14312=AD$3,ROW($A$3:$A$14312)),ROW(15:15)),2)),"",INDEX($A$3:$B$14312,SMALL(IF($A$3:$A$14312=AD$3,ROW($A$3:$A$14312)),ROW(15:15)),2))</f>
        <v/>
      </c>
      <c r="AE17" t="str">
        <f t="array" ref="AE17">IF(ISERROR(INDEX($A$3:$B$14312,SMALL(IF($A$3:$A$14312=AE$3,ROW($A$3:$A$14312)),ROW(15:15)),2)),"",INDEX($A$3:$B$14312,SMALL(IF($A$3:$A$14312=AE$3,ROW($A$3:$A$14312)),ROW(15:15)),2))</f>
        <v/>
      </c>
      <c r="AF17" t="str">
        <f t="array" ref="AF17">IF(ISERROR(INDEX($A$3:$B$14312,SMALL(IF($A$3:$A$14312=AF$3,ROW($A$3:$A$14312)),ROW(15:15)),2)),"",INDEX($A$3:$B$14312,SMALL(IF($A$3:$A$14312=AF$3,ROW($A$3:$A$14312)),ROW(15:15)),2))</f>
        <v>Router3_98</v>
      </c>
      <c r="AG17" t="str">
        <f t="array" ref="AG17">IF(ISERROR(INDEX($A$3:$B$14312,SMALL(IF($A$3:$A$14312=AG$3,ROW($A$3:$A$14312)),ROW(15:15)),2)),"",INDEX($A$3:$B$14312,SMALL(IF($A$3:$A$14312=AG$3,ROW($A$3:$A$14312)),ROW(15:15)),2))</f>
        <v>Router3_77</v>
      </c>
      <c r="AH17" t="str">
        <f t="array" ref="AH17">IF(ISERROR(INDEX($A$3:$B$14312,SMALL(IF($A$3:$A$14312=AH$3,ROW($A$3:$A$14312)),ROW(15:15)),2)),"",INDEX($A$3:$B$14312,SMALL(IF($A$3:$A$14312=AH$3,ROW($A$3:$A$14312)),ROW(15:15)),2))</f>
        <v>Router3_102</v>
      </c>
      <c r="AI17" t="str">
        <f t="array" ref="AI17">IF(ISERROR(INDEX($A$3:$B$14312,SMALL(IF($A$3:$A$14312=AI$3,ROW($A$3:$A$14312)),ROW(15:15)),2)),"",INDEX($A$3:$B$14312,SMALL(IF($A$3:$A$14312=AI$3,ROW($A$3:$A$14312)),ROW(15:15)),2))</f>
        <v>Router3_95</v>
      </c>
      <c r="AJ17" t="str">
        <f t="array" ref="AJ17">IF(ISERROR(INDEX($A$3:$B$14312,SMALL(IF($A$3:$A$14312=AJ$3,ROW($A$3:$A$14312)),ROW(15:15)),2)),"",INDEX($A$3:$B$14312,SMALL(IF($A$3:$A$14312=AJ$3,ROW($A$3:$A$14312)),ROW(15:15)),2))</f>
        <v/>
      </c>
      <c r="AK17" t="str">
        <f t="array" ref="AK17">IF(ISERROR(INDEX($A$3:$B$14312,SMALL(IF($A$3:$A$14312=AK$3,ROW($A$3:$A$14312)),ROW(15:15)),2)),"",INDEX($A$3:$B$14312,SMALL(IF($A$3:$A$14312=AK$3,ROW($A$3:$A$14312)),ROW(15:15)),2))</f>
        <v/>
      </c>
      <c r="AL17" t="str">
        <f t="array" ref="AL17">IF(ISERROR(INDEX($A$3:$B$14312,SMALL(IF($A$3:$A$14312=AL$3,ROW($A$3:$A$14312)),ROW(15:15)),2)),"",INDEX($A$3:$B$14312,SMALL(IF($A$3:$A$14312=AL$3,ROW($A$3:$A$14312)),ROW(15:15)),2))</f>
        <v>Router3_137</v>
      </c>
      <c r="AM17" t="str">
        <f t="array" ref="AM17">IF(ISERROR(INDEX($A$3:$B$14312,SMALL(IF($A$3:$A$14312=AM$3,ROW($A$3:$A$14312)),ROW(15:15)),2)),"",INDEX($A$3:$B$14312,SMALL(IF($A$3:$A$14312=AM$3,ROW($A$3:$A$14312)),ROW(15:15)),2))</f>
        <v>Router3_116</v>
      </c>
      <c r="AN17" t="str">
        <f t="array" ref="AN17">IF(ISERROR(INDEX($A$3:$B$14312,SMALL(IF($A$3:$A$14312=AN$3,ROW($A$3:$A$14312)),ROW(15:15)),2)),"",INDEX($A$3:$B$14312,SMALL(IF($A$3:$A$14312=AN$3,ROW($A$3:$A$14312)),ROW(15:15)),2))</f>
        <v>Router3_61</v>
      </c>
      <c r="AO17" t="str">
        <f t="array" ref="AO17">IF(ISERROR(INDEX($A$3:$B$14312,SMALL(IF($A$3:$A$14312=AO$3,ROW($A$3:$A$14312)),ROW(15:15)),2)),"",INDEX($A$3:$B$14312,SMALL(IF($A$3:$A$14312=AO$3,ROW($A$3:$A$14312)),ROW(15:15)),2))</f>
        <v>Router3_3</v>
      </c>
      <c r="AP17" t="str">
        <f t="array" ref="AP17">IF(ISERROR(INDEX($A$3:$B$14312,SMALL(IF($A$3:$A$14312=AP$3,ROW($A$3:$A$14312)),ROW(15:15)),2)),"",INDEX($A$3:$B$14312,SMALL(IF($A$3:$A$14312=AP$3,ROW($A$3:$A$14312)),ROW(15:15)),2))</f>
        <v>Router3_17</v>
      </c>
      <c r="AQ17" t="str">
        <f t="array" ref="AQ17">IF(ISERROR(INDEX($A$3:$B$14312,SMALL(IF($A$3:$A$14312=AQ$3,ROW($A$3:$A$14312)),ROW(15:15)),2)),"",INDEX($A$3:$B$14312,SMALL(IF($A$3:$A$14312=AQ$3,ROW($A$3:$A$14312)),ROW(15:15)),2))</f>
        <v/>
      </c>
      <c r="AR17" t="str">
        <f t="array" ref="AR17">IF(ISERROR(INDEX($A$3:$B$14312,SMALL(IF($A$3:$A$14312=AR$3,ROW($A$3:$A$14312)),ROW(15:15)),2)),"",INDEX($A$3:$B$14312,SMALL(IF($A$3:$A$14312=AR$3,ROW($A$3:$A$14312)),ROW(15:15)),2))</f>
        <v/>
      </c>
      <c r="AS17" t="str">
        <f t="array" ref="AS17">IF(ISERROR(INDEX($A$3:$B$14312,SMALL(IF($A$3:$A$14312=AS$3,ROW($A$3:$A$14312)),ROW(15:15)),2)),"",INDEX($A$3:$B$14312,SMALL(IF($A$3:$A$14312=AS$3,ROW($A$3:$A$14312)),ROW(15:15)),2))</f>
        <v>Router3_80</v>
      </c>
      <c r="AT17" t="str">
        <f t="array" ref="AT17">IF(ISERROR(INDEX($A$3:$B$14312,SMALL(IF($A$3:$A$14312=AT$3,ROW($A$3:$A$14312)),ROW(15:15)),2)),"",INDEX($A$3:$B$14312,SMALL(IF($A$3:$A$14312=AT$3,ROW($A$3:$A$14312)),ROW(15:15)),2))</f>
        <v/>
      </c>
      <c r="AU17" t="str">
        <f t="array" ref="AU17">IF(ISERROR(INDEX($A$3:$B$14312,SMALL(IF($A$3:$A$14312=AU$3,ROW($A$3:$A$14312)),ROW(15:15)),2)),"",INDEX($A$3:$B$14312,SMALL(IF($A$3:$A$14312=AU$3,ROW($A$3:$A$14312)),ROW(15:15)),2))</f>
        <v>Router3_17</v>
      </c>
      <c r="AV17" t="str">
        <f t="array" ref="AV17">IF(ISERROR(INDEX($A$3:$B$14312,SMALL(IF($A$3:$A$14312=AV$3,ROW($A$3:$A$14312)),ROW(15:15)),2)),"",INDEX($A$3:$B$14312,SMALL(IF($A$3:$A$14312=AV$3,ROW($A$3:$A$14312)),ROW(15:15)),2))</f>
        <v/>
      </c>
      <c r="AW17" t="str">
        <f t="array" ref="AW17">IF(ISERROR(INDEX($A$3:$B$14312,SMALL(IF($A$3:$A$14312=AW$3,ROW($A$3:$A$14312)),ROW(15:15)),2)),"",INDEX($A$3:$B$14312,SMALL(IF($A$3:$A$14312=AW$3,ROW($A$3:$A$14312)),ROW(15:15)),2))</f>
        <v/>
      </c>
      <c r="AX17" t="str">
        <f t="array" ref="AX17">IF(ISERROR(INDEX($A$3:$B$14312,SMALL(IF($A$3:$A$14312=AX$3,ROW($A$3:$A$14312)),ROW(15:15)),2)),"",INDEX($A$3:$B$14312,SMALL(IF($A$3:$A$14312=AX$3,ROW($A$3:$A$14312)),ROW(15:15)),2))</f>
        <v/>
      </c>
      <c r="AY17" t="str">
        <f t="array" ref="AY17">IF(ISERROR(INDEX($A$3:$B$14312,SMALL(IF($A$3:$A$14312=AY$3,ROW($A$3:$A$14312)),ROW(15:15)),2)),"",INDEX($A$3:$B$14312,SMALL(IF($A$3:$A$14312=AY$3,ROW($A$3:$A$14312)),ROW(15:15)),2))</f>
        <v>Router3_117</v>
      </c>
      <c r="AZ17" t="str">
        <f t="array" ref="AZ17">IF(ISERROR(INDEX($A$3:$B$14312,SMALL(IF($A$3:$A$14312=AZ$3,ROW($A$3:$A$14312)),ROW(15:15)),2)),"",INDEX($A$3:$B$14312,SMALL(IF($A$3:$A$14312=AZ$3,ROW($A$3:$A$14312)),ROW(15:15)),2))</f>
        <v/>
      </c>
      <c r="BA17" t="str">
        <f t="array" ref="BA17">IF(ISERROR(INDEX($A$3:$B$14312,SMALL(IF($A$3:$A$14312=BA$3,ROW($A$3:$A$14312)),ROW(15:15)),2)),"",INDEX($A$3:$B$14312,SMALL(IF($A$3:$A$14312=BA$3,ROW($A$3:$A$14312)),ROW(15:15)),2))</f>
        <v/>
      </c>
      <c r="BB17" t="str">
        <f t="array" ref="BB17">IF(ISERROR(INDEX($A$3:$B$14312,SMALL(IF($A$3:$A$14312=BB$3,ROW($A$3:$A$14312)),ROW(15:15)),2)),"",INDEX($A$3:$B$14312,SMALL(IF($A$3:$A$14312=BB$3,ROW($A$3:$A$14312)),ROW(15:15)),2))</f>
        <v/>
      </c>
      <c r="BC17" t="str">
        <f t="array" ref="BC17">IF(ISERROR(INDEX($A$3:$B$14312,SMALL(IF($A$3:$A$14312=BC$3,ROW($A$3:$A$14312)),ROW(15:15)),2)),"",INDEX($A$3:$B$14312,SMALL(IF($A$3:$A$14312=BC$3,ROW($A$3:$A$14312)),ROW(15:15)),2))</f>
        <v/>
      </c>
      <c r="BD17" t="str">
        <f t="array" ref="BD17">IF(ISERROR(INDEX($A$3:$B$14312,SMALL(IF($A$3:$A$14312=BD$3,ROW($A$3:$A$14312)),ROW(15:15)),2)),"",INDEX($A$3:$B$14312,SMALL(IF($A$3:$A$14312=BD$3,ROW($A$3:$A$14312)),ROW(15:15)),2))</f>
        <v/>
      </c>
      <c r="BE17" t="str">
        <f t="array" ref="BE17">IF(ISERROR(INDEX($A$3:$B$14312,SMALL(IF($A$3:$A$14312=BE$3,ROW($A$3:$A$14312)),ROW(15:15)),2)),"",INDEX($A$3:$B$14312,SMALL(IF($A$3:$A$14312=BE$3,ROW($A$3:$A$14312)),ROW(15:15)),2))</f>
        <v/>
      </c>
      <c r="BF17" t="str">
        <f t="array" ref="BF17">IF(ISERROR(INDEX($A$3:$B$14312,SMALL(IF($A$3:$A$14312=BF$3,ROW($A$3:$A$14312)),ROW(15:15)),2)),"",INDEX($A$3:$B$14312,SMALL(IF($A$3:$A$14312=BF$3,ROW($A$3:$A$14312)),ROW(15:15)),2))</f>
        <v/>
      </c>
      <c r="BG17" t="str">
        <f t="array" ref="BG17">IF(ISERROR(INDEX($A$3:$B$14312,SMALL(IF($A$3:$A$14312=BG$3,ROW($A$3:$A$14312)),ROW(15:15)),2)),"",INDEX($A$3:$B$14312,SMALL(IF($A$3:$A$14312=BG$3,ROW($A$3:$A$14312)),ROW(15:15)),2))</f>
        <v/>
      </c>
      <c r="BH17" t="str">
        <f t="array" ref="BH17">IF(ISERROR(INDEX($A$3:$B$14312,SMALL(IF($A$3:$A$14312=BH$3,ROW($A$3:$A$14312)),ROW(15:15)),2)),"",INDEX($A$3:$B$14312,SMALL(IF($A$3:$A$14312=BH$3,ROW($A$3:$A$14312)),ROW(15:15)),2))</f>
        <v/>
      </c>
      <c r="BI17" t="str">
        <f t="array" ref="BI17">IF(ISERROR(INDEX($A$3:$B$14312,SMALL(IF($A$3:$A$14312=BI$3,ROW($A$3:$A$14312)),ROW(15:15)),2)),"",INDEX($A$3:$B$14312,SMALL(IF($A$3:$A$14312=BI$3,ROW($A$3:$A$14312)),ROW(15:15)),2))</f>
        <v>Router3_24</v>
      </c>
      <c r="BJ17" t="str">
        <f t="array" ref="BJ17">IF(ISERROR(INDEX($A$3:$B$14312,SMALL(IF($A$3:$A$14312=BJ$3,ROW($A$3:$A$14312)),ROW(15:15)),2)),"",INDEX($A$3:$B$14312,SMALL(IF($A$3:$A$14312=BJ$3,ROW($A$3:$A$14312)),ROW(15:15)),2))</f>
        <v/>
      </c>
      <c r="BK17" t="str">
        <f t="array" ref="BK17">IF(ISERROR(INDEX($A$3:$B$14312,SMALL(IF($A$3:$A$14312=BK$3,ROW($A$3:$A$14312)),ROW(15:15)),2)),"",INDEX($A$3:$B$14312,SMALL(IF($A$3:$A$14312=BK$3,ROW($A$3:$A$14312)),ROW(15:15)),2))</f>
        <v/>
      </c>
      <c r="BL17" t="str">
        <f t="array" ref="BL17">IF(ISERROR(INDEX($A$3:$B$14312,SMALL(IF($A$3:$A$14312=BL$3,ROW($A$3:$A$14312)),ROW(15:15)),2)),"",INDEX($A$3:$B$14312,SMALL(IF($A$3:$A$14312=BL$3,ROW($A$3:$A$14312)),ROW(15:15)),2))</f>
        <v/>
      </c>
      <c r="BM17" t="str">
        <f t="array" ref="BM17">IF(ISERROR(INDEX($A$3:$B$14312,SMALL(IF($A$3:$A$14312=BM$3,ROW($A$3:$A$14312)),ROW(15:15)),2)),"",INDEX($A$3:$B$14312,SMALL(IF($A$3:$A$14312=BM$3,ROW($A$3:$A$14312)),ROW(15:15)),2))</f>
        <v>Router3_10</v>
      </c>
      <c r="BN17" t="str">
        <f t="array" ref="BN17">IF(ISERROR(INDEX($A$3:$B$14312,SMALL(IF($A$3:$A$14312=BN$3,ROW($A$3:$A$14312)),ROW(15:15)),2)),"",INDEX($A$3:$B$14312,SMALL(IF($A$3:$A$14312=BN$3,ROW($A$3:$A$14312)),ROW(15:15)),2))</f>
        <v/>
      </c>
      <c r="BO17" t="str">
        <f t="array" ref="BO17">IF(ISERROR(INDEX($A$3:$B$14312,SMALL(IF($A$3:$A$14312=BO$3,ROW($A$3:$A$14312)),ROW(15:15)),2)),"",INDEX($A$3:$B$14312,SMALL(IF($A$3:$A$14312=BO$3,ROW($A$3:$A$14312)),ROW(15:15)),2))</f>
        <v/>
      </c>
      <c r="BP17" t="str">
        <f t="array" ref="BP17">IF(ISERROR(INDEX($A$3:$B$14312,SMALL(IF($A$3:$A$14312=BP$3,ROW($A$3:$A$14312)),ROW(15:15)),2)),"",INDEX($A$3:$B$14312,SMALL(IF($A$3:$A$14312=BP$3,ROW($A$3:$A$14312)),ROW(15:15)),2))</f>
        <v/>
      </c>
      <c r="BQ17" t="str">
        <f t="array" ref="BQ17">IF(ISERROR(INDEX($A$3:$B$14312,SMALL(IF($A$3:$A$14312=BQ$3,ROW($A$3:$A$14312)),ROW(15:15)),2)),"",INDEX($A$3:$B$14312,SMALL(IF($A$3:$A$14312=BQ$3,ROW($A$3:$A$14312)),ROW(15:15)),2))</f>
        <v/>
      </c>
      <c r="BR17" t="str">
        <f t="array" ref="BR17">IF(ISERROR(INDEX($A$3:$B$14312,SMALL(IF($A$3:$A$14312=BR$3,ROW($A$3:$A$14312)),ROW(15:15)),2)),"",INDEX($A$3:$B$14312,SMALL(IF($A$3:$A$14312=BR$3,ROW($A$3:$A$14312)),ROW(15:15)),2))</f>
        <v/>
      </c>
      <c r="BS17" t="str">
        <f t="array" ref="BS17">IF(ISERROR(INDEX($A$3:$B$14312,SMALL(IF($A$3:$A$14312=BS$3,ROW($A$3:$A$14312)),ROW(15:15)),2)),"",INDEX($A$3:$B$14312,SMALL(IF($A$3:$A$14312=BS$3,ROW($A$3:$A$14312)),ROW(15:15)),2))</f>
        <v/>
      </c>
      <c r="BT17" t="str">
        <f t="array" ref="BT17">IF(ISERROR(INDEX($A$3:$B$14312,SMALL(IF($A$3:$A$14312=BT$3,ROW($A$3:$A$14312)),ROW(15:15)),2)),"",INDEX($A$3:$B$14312,SMALL(IF($A$3:$A$14312=BT$3,ROW($A$3:$A$14312)),ROW(15:15)),2))</f>
        <v>Router3_71</v>
      </c>
      <c r="BU17" t="str">
        <f t="array" ref="BU17">IF(ISERROR(INDEX($A$3:$B$14312,SMALL(IF($A$3:$A$14312=BU$3,ROW($A$3:$A$14312)),ROW(15:15)),2)),"",INDEX($A$3:$B$14312,SMALL(IF($A$3:$A$14312=BU$3,ROW($A$3:$A$14312)),ROW(15:15)),2))</f>
        <v/>
      </c>
      <c r="BV17" t="str">
        <f t="array" ref="BV17">IF(ISERROR(INDEX($A$3:$B$14312,SMALL(IF($A$3:$A$14312=BV$3,ROW($A$3:$A$14312)),ROW(15:15)),2)),"",INDEX($A$3:$B$14312,SMALL(IF($A$3:$A$14312=BV$3,ROW($A$3:$A$14312)),ROW(15:15)),2))</f>
        <v/>
      </c>
      <c r="BW17" t="str">
        <f t="array" ref="BW17">IF(ISERROR(INDEX($A$3:$B$14312,SMALL(IF($A$3:$A$14312=BW$3,ROW($A$3:$A$14312)),ROW(15:15)),2)),"",INDEX($A$3:$B$14312,SMALL(IF($A$3:$A$14312=BW$3,ROW($A$3:$A$14312)),ROW(15:15)),2))</f>
        <v>Router3_153</v>
      </c>
      <c r="BX17" t="str">
        <f t="array" ref="BX17">IF(ISERROR(INDEX($A$3:$B$14312,SMALL(IF($A$3:$A$14312=BX$3,ROW($A$3:$A$14312)),ROW(15:15)),2)),"",INDEX($A$3:$B$14312,SMALL(IF($A$3:$A$14312=BX$3,ROW($A$3:$A$14312)),ROW(15:15)),2))</f>
        <v>Router3_71</v>
      </c>
      <c r="BY17" t="str">
        <f t="array" ref="BY17">IF(ISERROR(INDEX($A$3:$B$14312,SMALL(IF($A$3:$A$14312=BY$3,ROW($A$3:$A$14312)),ROW(15:15)),2)),"",INDEX($A$3:$B$14312,SMALL(IF($A$3:$A$14312=BY$3,ROW($A$3:$A$14312)),ROW(15:15)),2))</f>
        <v>Router3_80</v>
      </c>
      <c r="BZ17" t="str">
        <f t="array" ref="BZ17">IF(ISERROR(INDEX($A$3:$B$14312,SMALL(IF($A$3:$A$14312=BZ$3,ROW($A$3:$A$14312)),ROW(15:15)),2)),"",INDEX($A$3:$B$14312,SMALL(IF($A$3:$A$14312=BZ$3,ROW($A$3:$A$14312)),ROW(15:15)),2))</f>
        <v>Router3_80</v>
      </c>
      <c r="CA17" t="str">
        <f t="array" ref="CA17">IF(ISERROR(INDEX($A$3:$B$14312,SMALL(IF($A$3:$A$14312=CA$3,ROW($A$3:$A$14312)),ROW(15:15)),2)),"",INDEX($A$3:$B$14312,SMALL(IF($A$3:$A$14312=CA$3,ROW($A$3:$A$14312)),ROW(15:15)),2))</f>
        <v/>
      </c>
      <c r="CB17" t="str">
        <f t="array" ref="CB17">IF(ISERROR(INDEX($A$3:$B$14312,SMALL(IF($A$3:$A$14312=CB$3,ROW($A$3:$A$14312)),ROW(15:15)),2)),"",INDEX($A$3:$B$14312,SMALL(IF($A$3:$A$14312=CB$3,ROW($A$3:$A$14312)),ROW(15:15)),2))</f>
        <v/>
      </c>
      <c r="CC17" t="str">
        <f t="array" ref="CC17">IF(ISERROR(INDEX($A$3:$B$14312,SMALL(IF($A$3:$A$14312=CC$3,ROW($A$3:$A$14312)),ROW(15:15)),2)),"",INDEX($A$3:$B$14312,SMALL(IF($A$3:$A$14312=CC$3,ROW($A$3:$A$14312)),ROW(15:15)),2))</f>
        <v/>
      </c>
      <c r="CD17" t="str">
        <f t="array" ref="CD17">IF(ISERROR(INDEX($A$3:$B$14312,SMALL(IF($A$3:$A$14312=CD$3,ROW($A$3:$A$14312)),ROW(15:15)),2)),"",INDEX($A$3:$B$14312,SMALL(IF($A$3:$A$14312=CD$3,ROW($A$3:$A$14312)),ROW(15:15)),2))</f>
        <v/>
      </c>
      <c r="CE17" t="str">
        <f t="array" ref="CE17">IF(ISERROR(INDEX($A$3:$B$14312,SMALL(IF($A$3:$A$14312=CE$3,ROW($A$3:$A$14312)),ROW(15:15)),2)),"",INDEX($A$3:$B$14312,SMALL(IF($A$3:$A$14312=CE$3,ROW($A$3:$A$14312)),ROW(15:15)),2))</f>
        <v/>
      </c>
      <c r="CF17" t="str">
        <f t="array" ref="CF17">IF(ISERROR(INDEX($A$3:$B$14312,SMALL(IF($A$3:$A$14312=CF$3,ROW($A$3:$A$14312)),ROW(15:15)),2)),"",INDEX($A$3:$B$14312,SMALL(IF($A$3:$A$14312=CF$3,ROW($A$3:$A$14312)),ROW(15:15)),2))</f>
        <v/>
      </c>
      <c r="CG17" t="str">
        <f t="array" ref="CG17">IF(ISERROR(INDEX($A$3:$B$14312,SMALL(IF($A$3:$A$14312=CG$3,ROW($A$3:$A$14312)),ROW(15:15)),2)),"",INDEX($A$3:$B$14312,SMALL(IF($A$3:$A$14312=CG$3,ROW($A$3:$A$14312)),ROW(15:15)),2))</f>
        <v>Router3_102</v>
      </c>
      <c r="CH17" t="str">
        <f t="array" ref="CH17">IF(ISERROR(INDEX($A$3:$B$14312,SMALL(IF($A$3:$A$14312=CH$3,ROW($A$3:$A$14312)),ROW(15:15)),2)),"",INDEX($A$3:$B$14312,SMALL(IF($A$3:$A$14312=CH$3,ROW($A$3:$A$14312)),ROW(15:15)),2))</f>
        <v/>
      </c>
      <c r="CI17" t="str">
        <f t="array" ref="CI17">IF(ISERROR(INDEX($A$3:$B$14312,SMALL(IF($A$3:$A$14312=CI$3,ROW($A$3:$A$14312)),ROW(15:15)),2)),"",INDEX($A$3:$B$14312,SMALL(IF($A$3:$A$14312=CI$3,ROW($A$3:$A$14312)),ROW(15:15)),2))</f>
        <v/>
      </c>
      <c r="CJ17" t="str">
        <f t="array" ref="CJ17">IF(ISERROR(INDEX($A$3:$B$14312,SMALL(IF($A$3:$A$14312=CJ$3,ROW($A$3:$A$14312)),ROW(15:15)),2)),"",INDEX($A$3:$B$14312,SMALL(IF($A$3:$A$14312=CJ$3,ROW($A$3:$A$14312)),ROW(15:15)),2))</f>
        <v/>
      </c>
      <c r="CK17" t="str">
        <f t="array" ref="CK17">IF(ISERROR(INDEX($A$3:$B$14312,SMALL(IF($A$3:$A$14312=CK$3,ROW($A$3:$A$14312)),ROW(15:15)),2)),"",INDEX($A$3:$B$14312,SMALL(IF($A$3:$A$14312=CK$3,ROW($A$3:$A$14312)),ROW(15:15)),2))</f>
        <v/>
      </c>
      <c r="CL17" t="str">
        <f t="array" ref="CL17">IF(ISERROR(INDEX($A$3:$B$14312,SMALL(IF($A$3:$A$14312=CL$3,ROW($A$3:$A$14312)),ROW(15:15)),2)),"",INDEX($A$3:$B$14312,SMALL(IF($A$3:$A$14312=CL$3,ROW($A$3:$A$14312)),ROW(15:15)),2))</f>
        <v/>
      </c>
      <c r="CM17" t="str">
        <f t="array" ref="CM17">IF(ISERROR(INDEX($A$3:$B$14312,SMALL(IF($A$3:$A$14312=CM$3,ROW($A$3:$A$14312)),ROW(15:15)),2)),"",INDEX($A$3:$B$14312,SMALL(IF($A$3:$A$14312=CM$3,ROW($A$3:$A$14312)),ROW(15:15)),2))</f>
        <v/>
      </c>
      <c r="CN17" t="str">
        <f t="array" ref="CN17">IF(ISERROR(INDEX($A$3:$B$14312,SMALL(IF($A$3:$A$14312=CN$3,ROW($A$3:$A$14312)),ROW(15:15)),2)),"",INDEX($A$3:$B$14312,SMALL(IF($A$3:$A$14312=CN$3,ROW($A$3:$A$14312)),ROW(15:15)),2))</f>
        <v>Router3_71</v>
      </c>
      <c r="CO17" t="str">
        <f t="array" ref="CO17">IF(ISERROR(INDEX($A$3:$B$14312,SMALL(IF($A$3:$A$14312=CO$3,ROW($A$3:$A$14312)),ROW(15:15)),2)),"",INDEX($A$3:$B$14312,SMALL(IF($A$3:$A$14312=CO$3,ROW($A$3:$A$14312)),ROW(15:15)),2))</f>
        <v>Router3_89</v>
      </c>
      <c r="CP17" t="str">
        <f t="array" ref="CP17">IF(ISERROR(INDEX($A$3:$B$14312,SMALL(IF($A$3:$A$14312=CP$3,ROW($A$3:$A$14312)),ROW(15:15)),2)),"",INDEX($A$3:$B$14312,SMALL(IF($A$3:$A$14312=CP$3,ROW($A$3:$A$14312)),ROW(15:15)),2))</f>
        <v>Router3_18</v>
      </c>
      <c r="CQ17" t="str">
        <f t="array" ref="CQ17">IF(ISERROR(INDEX($A$3:$B$14312,SMALL(IF($A$3:$A$14312=CQ$3,ROW($A$3:$A$14312)),ROW(15:15)),2)),"",INDEX($A$3:$B$14312,SMALL(IF($A$3:$A$14312=CQ$3,ROW($A$3:$A$14312)),ROW(15:15)),2))</f>
        <v/>
      </c>
      <c r="CR17" t="str">
        <f t="array" ref="CR17">IF(ISERROR(INDEX($A$3:$B$14312,SMALL(IF($A$3:$A$14312=CR$3,ROW($A$3:$A$14312)),ROW(15:15)),2)),"",INDEX($A$3:$B$14312,SMALL(IF($A$3:$A$14312=CR$3,ROW($A$3:$A$14312)),ROW(15:15)),2))</f>
        <v/>
      </c>
      <c r="CS17" t="str">
        <f t="array" ref="CS17">IF(ISERROR(INDEX($A$3:$B$14312,SMALL(IF($A$3:$A$14312=CS$3,ROW($A$3:$A$14312)),ROW(15:15)),2)),"",INDEX($A$3:$B$14312,SMALL(IF($A$3:$A$14312=CS$3,ROW($A$3:$A$14312)),ROW(15:15)),2))</f>
        <v/>
      </c>
      <c r="CT17" t="str">
        <f t="array" ref="CT17">IF(ISERROR(INDEX($A$3:$B$14312,SMALL(IF($A$3:$A$14312=CT$3,ROW($A$3:$A$14312)),ROW(15:15)),2)),"",INDEX($A$3:$B$14312,SMALL(IF($A$3:$A$14312=CT$3,ROW($A$3:$A$14312)),ROW(15:15)),2))</f>
        <v/>
      </c>
      <c r="CU17" t="str">
        <f t="array" ref="CU17">IF(ISERROR(INDEX($A$3:$B$14312,SMALL(IF($A$3:$A$14312=CU$3,ROW($A$3:$A$14312)),ROW(15:15)),2)),"",INDEX($A$3:$B$14312,SMALL(IF($A$3:$A$14312=CU$3,ROW($A$3:$A$14312)),ROW(15:15)),2))</f>
        <v/>
      </c>
      <c r="CV17" t="str">
        <f t="array" ref="CV17">IF(ISERROR(INDEX($A$3:$B$14312,SMALL(IF($A$3:$A$14312=CV$3,ROW($A$3:$A$14312)),ROW(15:15)),2)),"",INDEX($A$3:$B$14312,SMALL(IF($A$3:$A$14312=CV$3,ROW($A$3:$A$14312)),ROW(15:15)),2))</f>
        <v>Router3_89</v>
      </c>
      <c r="CW17" t="str">
        <f t="array" ref="CW17">IF(ISERROR(INDEX($A$3:$B$14312,SMALL(IF($A$3:$A$14312=CW$3,ROW($A$3:$A$14312)),ROW(15:15)),2)),"",INDEX($A$3:$B$14312,SMALL(IF($A$3:$A$14312=CW$3,ROW($A$3:$A$14312)),ROW(15:15)),2))</f>
        <v/>
      </c>
      <c r="CX17" t="str">
        <f t="array" ref="CX17">IF(ISERROR(INDEX($A$3:$B$14312,SMALL(IF($A$3:$A$14312=CX$3,ROW($A$3:$A$14312)),ROW(15:15)),2)),"",INDEX($A$3:$B$14312,SMALL(IF($A$3:$A$14312=CX$3,ROW($A$3:$A$14312)),ROW(15:15)),2))</f>
        <v/>
      </c>
      <c r="CY17" t="str">
        <f t="array" ref="CY17">IF(ISERROR(INDEX($A$3:$B$14312,SMALL(IF($A$3:$A$14312=CY$3,ROW($A$3:$A$14312)),ROW(15:15)),2)),"",INDEX($A$3:$B$14312,SMALL(IF($A$3:$A$14312=CY$3,ROW($A$3:$A$14312)),ROW(15:15)),2))</f>
        <v>Router3_86</v>
      </c>
      <c r="CZ17" t="str">
        <f t="array" ref="CZ17">IF(ISERROR(INDEX($A$3:$B$14312,SMALL(IF($A$3:$A$14312=CZ$3,ROW($A$3:$A$14312)),ROW(15:15)),2)),"",INDEX($A$3:$B$14312,SMALL(IF($A$3:$A$14312=CZ$3,ROW($A$3:$A$14312)),ROW(15:15)),2))</f>
        <v>Router3_5</v>
      </c>
      <c r="DA17" t="str">
        <f t="array" ref="DA17">IF(ISERROR(INDEX($A$3:$B$14312,SMALL(IF($A$3:$A$14312=DA$3,ROW($A$3:$A$14312)),ROW(15:15)),2)),"",INDEX($A$3:$B$14312,SMALL(IF($A$3:$A$14312=DA$3,ROW($A$3:$A$14312)),ROW(15:15)),2))</f>
        <v>Router3_145</v>
      </c>
      <c r="DB17" t="str">
        <f t="array" ref="DB17">IF(ISERROR(INDEX($A$3:$B$14312,SMALL(IF($A$3:$A$14312=DB$3,ROW($A$3:$A$14312)),ROW(15:15)),2)),"",INDEX($A$3:$B$14312,SMALL(IF($A$3:$A$14312=DB$3,ROW($A$3:$A$14312)),ROW(15:15)),2))</f>
        <v>Router3_49</v>
      </c>
      <c r="DC17" t="str">
        <f t="array" ref="DC17">IF(ISERROR(INDEX($A$3:$B$14312,SMALL(IF($A$3:$A$14312=DC$3,ROW($A$3:$A$14312)),ROW(15:15)),2)),"",INDEX($A$3:$B$14312,SMALL(IF($A$3:$A$14312=DC$3,ROW($A$3:$A$14312)),ROW(15:15)),2))</f>
        <v>Router3_96</v>
      </c>
      <c r="DD17" t="str">
        <f t="array" ref="DD17">IF(ISERROR(INDEX($A$3:$B$14312,SMALL(IF($A$3:$A$14312=DD$3,ROW($A$3:$A$14312)),ROW(15:15)),2)),"",INDEX($A$3:$B$14312,SMALL(IF($A$3:$A$14312=DD$3,ROW($A$3:$A$14312)),ROW(15:15)),2))</f>
        <v/>
      </c>
      <c r="DE17" t="str">
        <f t="array" ref="DE17">IF(ISERROR(INDEX($A$3:$B$14312,SMALL(IF($A$3:$A$14312=DE$3,ROW($A$3:$A$14312)),ROW(15:15)),2)),"",INDEX($A$3:$B$14312,SMALL(IF($A$3:$A$14312=DE$3,ROW($A$3:$A$14312)),ROW(15:15)),2))</f>
        <v/>
      </c>
      <c r="DF17" t="str">
        <f t="array" ref="DF17">IF(ISERROR(INDEX($A$3:$B$14312,SMALL(IF($A$3:$A$14312=DF$3,ROW($A$3:$A$14312)),ROW(15:15)),2)),"",INDEX($A$3:$B$14312,SMALL(IF($A$3:$A$14312=DF$3,ROW($A$3:$A$14312)),ROW(15:15)),2))</f>
        <v/>
      </c>
      <c r="DG17" t="str">
        <f t="array" ref="DG17">IF(ISERROR(INDEX($A$3:$B$14312,SMALL(IF($A$3:$A$14312=DG$3,ROW($A$3:$A$14312)),ROW(15:15)),2)),"",INDEX($A$3:$B$14312,SMALL(IF($A$3:$A$14312=DG$3,ROW($A$3:$A$14312)),ROW(15:15)),2))</f>
        <v>Router3_17</v>
      </c>
      <c r="DH17" t="str">
        <f t="array" ref="DH17">IF(ISERROR(INDEX($A$3:$B$14312,SMALL(IF($A$3:$A$14312=DH$3,ROW($A$3:$A$14312)),ROW(15:15)),2)),"",INDEX($A$3:$B$14312,SMALL(IF($A$3:$A$14312=DH$3,ROW($A$3:$A$14312)),ROW(15:15)),2))</f>
        <v/>
      </c>
      <c r="DI17" t="str">
        <f t="array" ref="DI17">IF(ISERROR(INDEX($A$3:$B$14312,SMALL(IF($A$3:$A$14312=DI$3,ROW($A$3:$A$14312)),ROW(15:15)),2)),"",INDEX($A$3:$B$14312,SMALL(IF($A$3:$A$14312=DI$3,ROW($A$3:$A$14312)),ROW(15:15)),2))</f>
        <v>Router3_81</v>
      </c>
      <c r="DJ17" t="str">
        <f t="array" ref="DJ17">IF(ISERROR(INDEX($A$3:$B$14312,SMALL(IF($A$3:$A$14312=DJ$3,ROW($A$3:$A$14312)),ROW(15:15)),2)),"",INDEX($A$3:$B$14312,SMALL(IF($A$3:$A$14312=DJ$3,ROW($A$3:$A$14312)),ROW(15:15)),2))</f>
        <v>Router3_83</v>
      </c>
      <c r="DK17" t="str">
        <f t="array" ref="DK17">IF(ISERROR(INDEX($A$3:$B$14312,SMALL(IF($A$3:$A$14312=DK$3,ROW($A$3:$A$14312)),ROW(15:15)),2)),"",INDEX($A$3:$B$14312,SMALL(IF($A$3:$A$14312=DK$3,ROW($A$3:$A$14312)),ROW(15:15)),2))</f>
        <v>Router3_90</v>
      </c>
      <c r="DL17" t="str">
        <f t="array" ref="DL17">IF(ISERROR(INDEX($A$3:$B$14312,SMALL(IF($A$3:$A$14312=DL$3,ROW($A$3:$A$14312)),ROW(15:15)),2)),"",INDEX($A$3:$B$14312,SMALL(IF($A$3:$A$14312=DL$3,ROW($A$3:$A$14312)),ROW(15:15)),2))</f>
        <v>Router3_50</v>
      </c>
      <c r="DM17" t="str">
        <f t="array" ref="DM17">IF(ISERROR(INDEX($A$3:$B$14312,SMALL(IF($A$3:$A$14312=DM$3,ROW($A$3:$A$14312)),ROW(15:15)),2)),"",INDEX($A$3:$B$14312,SMALL(IF($A$3:$A$14312=DM$3,ROW($A$3:$A$14312)),ROW(15:15)),2))</f>
        <v/>
      </c>
      <c r="DN17" t="str">
        <f t="array" ref="DN17">IF(ISERROR(INDEX($A$3:$B$14312,SMALL(IF($A$3:$A$14312=DN$3,ROW($A$3:$A$14312)),ROW(15:15)),2)),"",INDEX($A$3:$B$14312,SMALL(IF($A$3:$A$14312=DN$3,ROW($A$3:$A$14312)),ROW(15:15)),2))</f>
        <v>Router3_91</v>
      </c>
      <c r="DO17" t="str">
        <f t="array" ref="DO17">IF(ISERROR(INDEX($A$3:$B$14312,SMALL(IF($A$3:$A$14312=DO$3,ROW($A$3:$A$14312)),ROW(15:15)),2)),"",INDEX($A$3:$B$14312,SMALL(IF($A$3:$A$14312=DO$3,ROW($A$3:$A$14312)),ROW(15:15)),2))</f>
        <v>Router3_65</v>
      </c>
      <c r="DP17" t="str">
        <f t="array" ref="DP17">IF(ISERROR(INDEX($A$3:$B$14312,SMALL(IF($A$3:$A$14312=DP$3,ROW($A$3:$A$14312)),ROW(15:15)),2)),"",INDEX($A$3:$B$14312,SMALL(IF($A$3:$A$14312=DP$3,ROW($A$3:$A$14312)),ROW(15:15)),2))</f>
        <v/>
      </c>
      <c r="DQ17" t="str">
        <f t="array" ref="DQ17">IF(ISERROR(INDEX($A$3:$B$14312,SMALL(IF($A$3:$A$14312=DQ$3,ROW($A$3:$A$14312)),ROW(15:15)),2)),"",INDEX($A$3:$B$14312,SMALL(IF($A$3:$A$14312=DQ$3,ROW($A$3:$A$14312)),ROW(15:15)),2))</f>
        <v/>
      </c>
      <c r="DR17" t="str">
        <f t="array" ref="DR17">IF(ISERROR(INDEX($A$3:$B$14312,SMALL(IF($A$3:$A$14312=DR$3,ROW($A$3:$A$14312)),ROW(15:15)),2)),"",INDEX($A$3:$B$14312,SMALL(IF($A$3:$A$14312=DR$3,ROW($A$3:$A$14312)),ROW(15:15)),2))</f>
        <v>Router3_17</v>
      </c>
      <c r="DS17" t="str">
        <f t="array" ref="DS17">IF(ISERROR(INDEX($A$3:$B$14312,SMALL(IF($A$3:$A$14312=DS$3,ROW($A$3:$A$14312)),ROW(15:15)),2)),"",INDEX($A$3:$B$14312,SMALL(IF($A$3:$A$14312=DS$3,ROW($A$3:$A$14312)),ROW(15:15)),2))</f>
        <v/>
      </c>
      <c r="DT17" t="str">
        <f t="array" ref="DT17">IF(ISERROR(INDEX($A$3:$B$14312,SMALL(IF($A$3:$A$14312=DT$3,ROW($A$3:$A$14312)),ROW(15:15)),2)),"",INDEX($A$3:$B$14312,SMALL(IF($A$3:$A$14312=DT$3,ROW($A$3:$A$14312)),ROW(15:15)),2))</f>
        <v>Router3_81</v>
      </c>
      <c r="DU17" t="str">
        <f t="array" ref="DU17">IF(ISERROR(INDEX($A$3:$B$14312,SMALL(IF($A$3:$A$14312=DU$3,ROW($A$3:$A$14312)),ROW(15:15)),2)),"",INDEX($A$3:$B$14312,SMALL(IF($A$3:$A$14312=DU$3,ROW($A$3:$A$14312)),ROW(15:15)),2))</f>
        <v>Router3_133</v>
      </c>
      <c r="DV17" t="str">
        <f t="array" ref="DV17">IF(ISERROR(INDEX($A$3:$B$14312,SMALL(IF($A$3:$A$14312=DV$3,ROW($A$3:$A$14312)),ROW(15:15)),2)),"",INDEX($A$3:$B$14312,SMALL(IF($A$3:$A$14312=DV$3,ROW($A$3:$A$14312)),ROW(15:15)),2))</f>
        <v/>
      </c>
      <c r="DW17" t="str">
        <f t="array" ref="DW17">IF(ISERROR(INDEX($A$3:$B$14312,SMALL(IF($A$3:$A$14312=DW$3,ROW($A$3:$A$14312)),ROW(15:15)),2)),"",INDEX($A$3:$B$14312,SMALL(IF($A$3:$A$14312=DW$3,ROW($A$3:$A$14312)),ROW(15:15)),2))</f>
        <v/>
      </c>
      <c r="DX17" t="str">
        <f t="array" ref="DX17">IF(ISERROR(INDEX($A$3:$B$14312,SMALL(IF($A$3:$A$14312=DX$3,ROW($A$3:$A$14312)),ROW(15:15)),2)),"",INDEX($A$3:$B$14312,SMALL(IF($A$3:$A$14312=DX$3,ROW($A$3:$A$14312)),ROW(15:15)),2))</f>
        <v/>
      </c>
      <c r="DY17" t="str">
        <f t="array" ref="DY17">IF(ISERROR(INDEX($A$3:$B$14312,SMALL(IF($A$3:$A$14312=DY$3,ROW($A$3:$A$14312)),ROW(15:15)),2)),"",INDEX($A$3:$B$14312,SMALL(IF($A$3:$A$14312=DY$3,ROW($A$3:$A$14312)),ROW(15:15)),2))</f>
        <v/>
      </c>
      <c r="DZ17" t="str">
        <f t="array" ref="DZ17">IF(ISERROR(INDEX($A$3:$B$14312,SMALL(IF($A$3:$A$14312=DZ$3,ROW($A$3:$A$14312)),ROW(15:15)),2)),"",INDEX($A$3:$B$14312,SMALL(IF($A$3:$A$14312=DZ$3,ROW($A$3:$A$14312)),ROW(15:15)),2))</f>
        <v/>
      </c>
      <c r="EA17" t="str">
        <f t="array" ref="EA17">IF(ISERROR(INDEX($A$3:$B$14312,SMALL(IF($A$3:$A$14312=EA$3,ROW($A$3:$A$14312)),ROW(15:15)),2)),"",INDEX($A$3:$B$14312,SMALL(IF($A$3:$A$14312=EA$3,ROW($A$3:$A$14312)),ROW(15:15)),2))</f>
        <v>Router3_126</v>
      </c>
      <c r="EB17" t="str">
        <f t="array" ref="EB17">IF(ISERROR(INDEX($A$3:$B$14312,SMALL(IF($A$3:$A$14312=EB$3,ROW($A$3:$A$14312)),ROW(15:15)),2)),"",INDEX($A$3:$B$14312,SMALL(IF($A$3:$A$14312=EB$3,ROW($A$3:$A$14312)),ROW(15:15)),2))</f>
        <v>Router3_131</v>
      </c>
      <c r="EC17" t="str">
        <f t="array" ref="EC17">IF(ISERROR(INDEX($A$3:$B$14312,SMALL(IF($A$3:$A$14312=EC$3,ROW($A$3:$A$14312)),ROW(15:15)),2)),"",INDEX($A$3:$B$14312,SMALL(IF($A$3:$A$14312=EC$3,ROW($A$3:$A$14312)),ROW(15:15)),2))</f>
        <v>Router3_87</v>
      </c>
      <c r="ED17" t="str">
        <f t="array" ref="ED17">IF(ISERROR(INDEX($A$3:$B$14312,SMALL(IF($A$3:$A$14312=ED$3,ROW($A$3:$A$14312)),ROW(15:15)),2)),"",INDEX($A$3:$B$14312,SMALL(IF($A$3:$A$14312=ED$3,ROW($A$3:$A$14312)),ROW(15:15)),2))</f>
        <v>Router3_119</v>
      </c>
      <c r="EE17" t="str">
        <f t="array" ref="EE17">IF(ISERROR(INDEX($A$3:$B$14312,SMALL(IF($A$3:$A$14312=EE$3,ROW($A$3:$A$14312)),ROW(15:15)),2)),"",INDEX($A$3:$B$14312,SMALL(IF($A$3:$A$14312=EE$3,ROW($A$3:$A$14312)),ROW(15:15)),2))</f>
        <v>Router3_155</v>
      </c>
    </row>
    <row r="18" spans="1:135" x14ac:dyDescent="0.25">
      <c r="A18" s="10">
        <v>-450827382</v>
      </c>
      <c r="B18" t="s">
        <v>1095</v>
      </c>
      <c r="E18" t="str">
        <f t="array" ref="E18">IF(ISERROR(INDEX($A$3:$B$14312,SMALL(IF($A$3:$A$14312=E$3,ROW($A$3:$A$14312)),ROW(16:16)),2)),"",INDEX($A$3:$B$14312,SMALL(IF($A$3:$A$14312=E$3,ROW($A$3:$A$14312)),ROW(16:16)),2))</f>
        <v>Router3_72</v>
      </c>
      <c r="F18" t="str">
        <f t="array" ref="F18">IF(ISERROR(INDEX($A$3:$B$14312,SMALL(IF($A$3:$A$14312=F$3,ROW($A$3:$A$14312)),ROW(16:16)),2)),"",INDEX($A$3:$B$14312,SMALL(IF($A$3:$A$14312=F$3,ROW($A$3:$A$14312)),ROW(16:16)),2))</f>
        <v>Router3_65</v>
      </c>
      <c r="G18" t="str">
        <f t="array" ref="G18">IF(ISERROR(INDEX($A$3:$B$14312,SMALL(IF($A$3:$A$14312=G$3,ROW($A$3:$A$14312)),ROW(16:16)),2)),"",INDEX($A$3:$B$14312,SMALL(IF($A$3:$A$14312=G$3,ROW($A$3:$A$14312)),ROW(16:16)),2))</f>
        <v/>
      </c>
      <c r="H18" t="str">
        <f t="array" ref="H18">IF(ISERROR(INDEX($A$3:$B$14312,SMALL(IF($A$3:$A$14312=H$3,ROW($A$3:$A$14312)),ROW(16:16)),2)),"",INDEX($A$3:$B$14312,SMALL(IF($A$3:$A$14312=H$3,ROW($A$3:$A$14312)),ROW(16:16)),2))</f>
        <v/>
      </c>
      <c r="I18" t="str">
        <f t="array" ref="I18">IF(ISERROR(INDEX($A$3:$B$14312,SMALL(IF($A$3:$A$14312=I$3,ROW($A$3:$A$14312)),ROW(16:16)),2)),"",INDEX($A$3:$B$14312,SMALL(IF($A$3:$A$14312=I$3,ROW($A$3:$A$14312)),ROW(16:16)),2))</f>
        <v/>
      </c>
      <c r="J18" t="str">
        <f t="array" ref="J18">IF(ISERROR(INDEX($A$3:$B$14312,SMALL(IF($A$3:$A$14312=J$3,ROW($A$3:$A$14312)),ROW(16:16)),2)),"",INDEX($A$3:$B$14312,SMALL(IF($A$3:$A$14312=J$3,ROW($A$3:$A$14312)),ROW(16:16)),2))</f>
        <v>Router3_146</v>
      </c>
      <c r="K18" t="str">
        <f t="array" ref="K18">IF(ISERROR(INDEX($A$3:$B$14312,SMALL(IF($A$3:$A$14312=K$3,ROW($A$3:$A$14312)),ROW(16:16)),2)),"",INDEX($A$3:$B$14312,SMALL(IF($A$3:$A$14312=K$3,ROW($A$3:$A$14312)),ROW(16:16)),2))</f>
        <v>Router3_19</v>
      </c>
      <c r="L18" t="str">
        <f t="array" ref="L18">IF(ISERROR(INDEX($A$3:$B$14312,SMALL(IF($A$3:$A$14312=L$3,ROW($A$3:$A$14312)),ROW(16:16)),2)),"",INDEX($A$3:$B$14312,SMALL(IF($A$3:$A$14312=L$3,ROW($A$3:$A$14312)),ROW(16:16)),2))</f>
        <v/>
      </c>
      <c r="M18" t="str">
        <f t="array" ref="M18">IF(ISERROR(INDEX($A$3:$B$14312,SMALL(IF($A$3:$A$14312=M$3,ROW($A$3:$A$14312)),ROW(16:16)),2)),"",INDEX($A$3:$B$14312,SMALL(IF($A$3:$A$14312=M$3,ROW($A$3:$A$14312)),ROW(16:16)),2))</f>
        <v/>
      </c>
      <c r="N18" t="str">
        <f t="array" ref="N18">IF(ISERROR(INDEX($A$3:$B$14312,SMALL(IF($A$3:$A$14312=N$3,ROW($A$3:$A$14312)),ROW(16:16)),2)),"",INDEX($A$3:$B$14312,SMALL(IF($A$3:$A$14312=N$3,ROW($A$3:$A$14312)),ROW(16:16)),2))</f>
        <v/>
      </c>
      <c r="O18" t="str">
        <f t="array" ref="O18">IF(ISERROR(INDEX($A$3:$B$14312,SMALL(IF($A$3:$A$14312=O$3,ROW($A$3:$A$14312)),ROW(16:16)),2)),"",INDEX($A$3:$B$14312,SMALL(IF($A$3:$A$14312=O$3,ROW($A$3:$A$14312)),ROW(16:16)),2))</f>
        <v/>
      </c>
      <c r="P18" t="str">
        <f t="array" ref="P18">IF(ISERROR(INDEX($A$3:$B$14312,SMALL(IF($A$3:$A$14312=P$3,ROW($A$3:$A$14312)),ROW(16:16)),2)),"",INDEX($A$3:$B$14312,SMALL(IF($A$3:$A$14312=P$3,ROW($A$3:$A$14312)),ROW(16:16)),2))</f>
        <v/>
      </c>
      <c r="Q18" t="str">
        <f t="array" ref="Q18">IF(ISERROR(INDEX($A$3:$B$14312,SMALL(IF($A$3:$A$14312=Q$3,ROW($A$3:$A$14312)),ROW(16:16)),2)),"",INDEX($A$3:$B$14312,SMALL(IF($A$3:$A$14312=Q$3,ROW($A$3:$A$14312)),ROW(16:16)),2))</f>
        <v/>
      </c>
      <c r="R18" t="str">
        <f t="array" ref="R18">IF(ISERROR(INDEX($A$3:$B$14312,SMALL(IF($A$3:$A$14312=R$3,ROW($A$3:$A$14312)),ROW(16:16)),2)),"",INDEX($A$3:$B$14312,SMALL(IF($A$3:$A$14312=R$3,ROW($A$3:$A$14312)),ROW(16:16)),2))</f>
        <v/>
      </c>
      <c r="S18" t="str">
        <f t="array" ref="S18">IF(ISERROR(INDEX($A$3:$B$14312,SMALL(IF($A$3:$A$14312=S$3,ROW($A$3:$A$14312)),ROW(16:16)),2)),"",INDEX($A$3:$B$14312,SMALL(IF($A$3:$A$14312=S$3,ROW($A$3:$A$14312)),ROW(16:16)),2))</f>
        <v/>
      </c>
      <c r="T18" t="str">
        <f t="array" ref="T18">IF(ISERROR(INDEX($A$3:$B$14312,SMALL(IF($A$3:$A$14312=T$3,ROW($A$3:$A$14312)),ROW(16:16)),2)),"",INDEX($A$3:$B$14312,SMALL(IF($A$3:$A$14312=T$3,ROW($A$3:$A$14312)),ROW(16:16)),2))</f>
        <v/>
      </c>
      <c r="U18" t="str">
        <f t="array" ref="U18">IF(ISERROR(INDEX($A$3:$B$14312,SMALL(IF($A$3:$A$14312=U$3,ROW($A$3:$A$14312)),ROW(16:16)),2)),"",INDEX($A$3:$B$14312,SMALL(IF($A$3:$A$14312=U$3,ROW($A$3:$A$14312)),ROW(16:16)),2))</f>
        <v>Router3_131</v>
      </c>
      <c r="V18" t="str">
        <f t="array" ref="V18">IF(ISERROR(INDEX($A$3:$B$14312,SMALL(IF($A$3:$A$14312=V$3,ROW($A$3:$A$14312)),ROW(16:16)),2)),"",INDEX($A$3:$B$14312,SMALL(IF($A$3:$A$14312=V$3,ROW($A$3:$A$14312)),ROW(16:16)),2))</f>
        <v/>
      </c>
      <c r="W18" t="str">
        <f t="array" ref="W18">IF(ISERROR(INDEX($A$3:$B$14312,SMALL(IF($A$3:$A$14312=W$3,ROW($A$3:$A$14312)),ROW(16:16)),2)),"",INDEX($A$3:$B$14312,SMALL(IF($A$3:$A$14312=W$3,ROW($A$3:$A$14312)),ROW(16:16)),2))</f>
        <v>Router3_90</v>
      </c>
      <c r="X18" t="str">
        <f t="array" ref="X18">IF(ISERROR(INDEX($A$3:$B$14312,SMALL(IF($A$3:$A$14312=X$3,ROW($A$3:$A$14312)),ROW(16:16)),2)),"",INDEX($A$3:$B$14312,SMALL(IF($A$3:$A$14312=X$3,ROW($A$3:$A$14312)),ROW(16:16)),2))</f>
        <v/>
      </c>
      <c r="Y18" t="str">
        <f t="array" ref="Y18">IF(ISERROR(INDEX($A$3:$B$14312,SMALL(IF($A$3:$A$14312=Y$3,ROW($A$3:$A$14312)),ROW(16:16)),2)),"",INDEX($A$3:$B$14312,SMALL(IF($A$3:$A$14312=Y$3,ROW($A$3:$A$14312)),ROW(16:16)),2))</f>
        <v/>
      </c>
      <c r="Z18" t="str">
        <f t="array" ref="Z18">IF(ISERROR(INDEX($A$3:$B$14312,SMALL(IF($A$3:$A$14312=Z$3,ROW($A$3:$A$14312)),ROW(16:16)),2)),"",INDEX($A$3:$B$14312,SMALL(IF($A$3:$A$14312=Z$3,ROW($A$3:$A$14312)),ROW(16:16)),2))</f>
        <v/>
      </c>
      <c r="AA18" t="str">
        <f t="array" ref="AA18">IF(ISERROR(INDEX($A$3:$B$14312,SMALL(IF($A$3:$A$14312=AA$3,ROW($A$3:$A$14312)),ROW(16:16)),2)),"",INDEX($A$3:$B$14312,SMALL(IF($A$3:$A$14312=AA$3,ROW($A$3:$A$14312)),ROW(16:16)),2))</f>
        <v/>
      </c>
      <c r="AB18" t="str">
        <f t="array" ref="AB18">IF(ISERROR(INDEX($A$3:$B$14312,SMALL(IF($A$3:$A$14312=AB$3,ROW($A$3:$A$14312)),ROW(16:16)),2)),"",INDEX($A$3:$B$14312,SMALL(IF($A$3:$A$14312=AB$3,ROW($A$3:$A$14312)),ROW(16:16)),2))</f>
        <v/>
      </c>
      <c r="AC18" t="str">
        <f t="array" ref="AC18">IF(ISERROR(INDEX($A$3:$B$14312,SMALL(IF($A$3:$A$14312=AC$3,ROW($A$3:$A$14312)),ROW(16:16)),2)),"",INDEX($A$3:$B$14312,SMALL(IF($A$3:$A$14312=AC$3,ROW($A$3:$A$14312)),ROW(16:16)),2))</f>
        <v/>
      </c>
      <c r="AD18" t="str">
        <f t="array" ref="AD18">IF(ISERROR(INDEX($A$3:$B$14312,SMALL(IF($A$3:$A$14312=AD$3,ROW($A$3:$A$14312)),ROW(16:16)),2)),"",INDEX($A$3:$B$14312,SMALL(IF($A$3:$A$14312=AD$3,ROW($A$3:$A$14312)),ROW(16:16)),2))</f>
        <v/>
      </c>
      <c r="AE18" t="str">
        <f t="array" ref="AE18">IF(ISERROR(INDEX($A$3:$B$14312,SMALL(IF($A$3:$A$14312=AE$3,ROW($A$3:$A$14312)),ROW(16:16)),2)),"",INDEX($A$3:$B$14312,SMALL(IF($A$3:$A$14312=AE$3,ROW($A$3:$A$14312)),ROW(16:16)),2))</f>
        <v/>
      </c>
      <c r="AF18" t="str">
        <f t="array" ref="AF18">IF(ISERROR(INDEX($A$3:$B$14312,SMALL(IF($A$3:$A$14312=AF$3,ROW($A$3:$A$14312)),ROW(16:16)),2)),"",INDEX($A$3:$B$14312,SMALL(IF($A$3:$A$14312=AF$3,ROW($A$3:$A$14312)),ROW(16:16)),2))</f>
        <v>Router3_99</v>
      </c>
      <c r="AG18" t="str">
        <f t="array" ref="AG18">IF(ISERROR(INDEX($A$3:$B$14312,SMALL(IF($A$3:$A$14312=AG$3,ROW($A$3:$A$14312)),ROW(16:16)),2)),"",INDEX($A$3:$B$14312,SMALL(IF($A$3:$A$14312=AG$3,ROW($A$3:$A$14312)),ROW(16:16)),2))</f>
        <v>Router3_78</v>
      </c>
      <c r="AH18" t="str">
        <f t="array" ref="AH18">IF(ISERROR(INDEX($A$3:$B$14312,SMALL(IF($A$3:$A$14312=AH$3,ROW($A$3:$A$14312)),ROW(16:16)),2)),"",INDEX($A$3:$B$14312,SMALL(IF($A$3:$A$14312=AH$3,ROW($A$3:$A$14312)),ROW(16:16)),2))</f>
        <v>Router3_49</v>
      </c>
      <c r="AI18" t="str">
        <f t="array" ref="AI18">IF(ISERROR(INDEX($A$3:$B$14312,SMALL(IF($A$3:$A$14312=AI$3,ROW($A$3:$A$14312)),ROW(16:16)),2)),"",INDEX($A$3:$B$14312,SMALL(IF($A$3:$A$14312=AI$3,ROW($A$3:$A$14312)),ROW(16:16)),2))</f>
        <v>Router3_96</v>
      </c>
      <c r="AJ18" t="str">
        <f t="array" ref="AJ18">IF(ISERROR(INDEX($A$3:$B$14312,SMALL(IF($A$3:$A$14312=AJ$3,ROW($A$3:$A$14312)),ROW(16:16)),2)),"",INDEX($A$3:$B$14312,SMALL(IF($A$3:$A$14312=AJ$3,ROW($A$3:$A$14312)),ROW(16:16)),2))</f>
        <v/>
      </c>
      <c r="AK18" t="str">
        <f t="array" ref="AK18">IF(ISERROR(INDEX($A$3:$B$14312,SMALL(IF($A$3:$A$14312=AK$3,ROW($A$3:$A$14312)),ROW(16:16)),2)),"",INDEX($A$3:$B$14312,SMALL(IF($A$3:$A$14312=AK$3,ROW($A$3:$A$14312)),ROW(16:16)),2))</f>
        <v/>
      </c>
      <c r="AL18" t="str">
        <f t="array" ref="AL18">IF(ISERROR(INDEX($A$3:$B$14312,SMALL(IF($A$3:$A$14312=AL$3,ROW($A$3:$A$14312)),ROW(16:16)),2)),"",INDEX($A$3:$B$14312,SMALL(IF($A$3:$A$14312=AL$3,ROW($A$3:$A$14312)),ROW(16:16)),2))</f>
        <v>Router3_138</v>
      </c>
      <c r="AM18" t="str">
        <f t="array" ref="AM18">IF(ISERROR(INDEX($A$3:$B$14312,SMALL(IF($A$3:$A$14312=AM$3,ROW($A$3:$A$14312)),ROW(16:16)),2)),"",INDEX($A$3:$B$14312,SMALL(IF($A$3:$A$14312=AM$3,ROW($A$3:$A$14312)),ROW(16:16)),2))</f>
        <v>Router3_117</v>
      </c>
      <c r="AN18" t="str">
        <f t="array" ref="AN18">IF(ISERROR(INDEX($A$3:$B$14312,SMALL(IF($A$3:$A$14312=AN$3,ROW($A$3:$A$14312)),ROW(16:16)),2)),"",INDEX($A$3:$B$14312,SMALL(IF($A$3:$A$14312=AN$3,ROW($A$3:$A$14312)),ROW(16:16)),2))</f>
        <v>Router3_62</v>
      </c>
      <c r="AO18" t="str">
        <f t="array" ref="AO18">IF(ISERROR(INDEX($A$3:$B$14312,SMALL(IF($A$3:$A$14312=AO$3,ROW($A$3:$A$14312)),ROW(16:16)),2)),"",INDEX($A$3:$B$14312,SMALL(IF($A$3:$A$14312=AO$3,ROW($A$3:$A$14312)),ROW(16:16)),2))</f>
        <v/>
      </c>
      <c r="AP18" t="str">
        <f t="array" ref="AP18">IF(ISERROR(INDEX($A$3:$B$14312,SMALL(IF($A$3:$A$14312=AP$3,ROW($A$3:$A$14312)),ROW(16:16)),2)),"",INDEX($A$3:$B$14312,SMALL(IF($A$3:$A$14312=AP$3,ROW($A$3:$A$14312)),ROW(16:16)),2))</f>
        <v>Router3_18</v>
      </c>
      <c r="AQ18" t="str">
        <f t="array" ref="AQ18">IF(ISERROR(INDEX($A$3:$B$14312,SMALL(IF($A$3:$A$14312=AQ$3,ROW($A$3:$A$14312)),ROW(16:16)),2)),"",INDEX($A$3:$B$14312,SMALL(IF($A$3:$A$14312=AQ$3,ROW($A$3:$A$14312)),ROW(16:16)),2))</f>
        <v/>
      </c>
      <c r="AR18" t="str">
        <f t="array" ref="AR18">IF(ISERROR(INDEX($A$3:$B$14312,SMALL(IF($A$3:$A$14312=AR$3,ROW($A$3:$A$14312)),ROW(16:16)),2)),"",INDEX($A$3:$B$14312,SMALL(IF($A$3:$A$14312=AR$3,ROW($A$3:$A$14312)),ROW(16:16)),2))</f>
        <v/>
      </c>
      <c r="AS18" t="str">
        <f t="array" ref="AS18">IF(ISERROR(INDEX($A$3:$B$14312,SMALL(IF($A$3:$A$14312=AS$3,ROW($A$3:$A$14312)),ROW(16:16)),2)),"",INDEX($A$3:$B$14312,SMALL(IF($A$3:$A$14312=AS$3,ROW($A$3:$A$14312)),ROW(16:16)),2))</f>
        <v>Router3_81</v>
      </c>
      <c r="AT18" t="str">
        <f t="array" ref="AT18">IF(ISERROR(INDEX($A$3:$B$14312,SMALL(IF($A$3:$A$14312=AT$3,ROW($A$3:$A$14312)),ROW(16:16)),2)),"",INDEX($A$3:$B$14312,SMALL(IF($A$3:$A$14312=AT$3,ROW($A$3:$A$14312)),ROW(16:16)),2))</f>
        <v/>
      </c>
      <c r="AU18" t="str">
        <f t="array" ref="AU18">IF(ISERROR(INDEX($A$3:$B$14312,SMALL(IF($A$3:$A$14312=AU$3,ROW($A$3:$A$14312)),ROW(16:16)),2)),"",INDEX($A$3:$B$14312,SMALL(IF($A$3:$A$14312=AU$3,ROW($A$3:$A$14312)),ROW(16:16)),2))</f>
        <v>Router3_18</v>
      </c>
      <c r="AV18" t="str">
        <f t="array" ref="AV18">IF(ISERROR(INDEX($A$3:$B$14312,SMALL(IF($A$3:$A$14312=AV$3,ROW($A$3:$A$14312)),ROW(16:16)),2)),"",INDEX($A$3:$B$14312,SMALL(IF($A$3:$A$14312=AV$3,ROW($A$3:$A$14312)),ROW(16:16)),2))</f>
        <v/>
      </c>
      <c r="AW18" t="str">
        <f t="array" ref="AW18">IF(ISERROR(INDEX($A$3:$B$14312,SMALL(IF($A$3:$A$14312=AW$3,ROW($A$3:$A$14312)),ROW(16:16)),2)),"",INDEX($A$3:$B$14312,SMALL(IF($A$3:$A$14312=AW$3,ROW($A$3:$A$14312)),ROW(16:16)),2))</f>
        <v/>
      </c>
      <c r="AX18" t="str">
        <f t="array" ref="AX18">IF(ISERROR(INDEX($A$3:$B$14312,SMALL(IF($A$3:$A$14312=AX$3,ROW($A$3:$A$14312)),ROW(16:16)),2)),"",INDEX($A$3:$B$14312,SMALL(IF($A$3:$A$14312=AX$3,ROW($A$3:$A$14312)),ROW(16:16)),2))</f>
        <v/>
      </c>
      <c r="AY18" t="str">
        <f t="array" ref="AY18">IF(ISERROR(INDEX($A$3:$B$14312,SMALL(IF($A$3:$A$14312=AY$3,ROW($A$3:$A$14312)),ROW(16:16)),2)),"",INDEX($A$3:$B$14312,SMALL(IF($A$3:$A$14312=AY$3,ROW($A$3:$A$14312)),ROW(16:16)),2))</f>
        <v>Router3_118</v>
      </c>
      <c r="AZ18" t="str">
        <f t="array" ref="AZ18">IF(ISERROR(INDEX($A$3:$B$14312,SMALL(IF($A$3:$A$14312=AZ$3,ROW($A$3:$A$14312)),ROW(16:16)),2)),"",INDEX($A$3:$B$14312,SMALL(IF($A$3:$A$14312=AZ$3,ROW($A$3:$A$14312)),ROW(16:16)),2))</f>
        <v/>
      </c>
      <c r="BA18" t="str">
        <f t="array" ref="BA18">IF(ISERROR(INDEX($A$3:$B$14312,SMALL(IF($A$3:$A$14312=BA$3,ROW($A$3:$A$14312)),ROW(16:16)),2)),"",INDEX($A$3:$B$14312,SMALL(IF($A$3:$A$14312=BA$3,ROW($A$3:$A$14312)),ROW(16:16)),2))</f>
        <v/>
      </c>
      <c r="BB18" t="str">
        <f t="array" ref="BB18">IF(ISERROR(INDEX($A$3:$B$14312,SMALL(IF($A$3:$A$14312=BB$3,ROW($A$3:$A$14312)),ROW(16:16)),2)),"",INDEX($A$3:$B$14312,SMALL(IF($A$3:$A$14312=BB$3,ROW($A$3:$A$14312)),ROW(16:16)),2))</f>
        <v/>
      </c>
      <c r="BC18" t="str">
        <f t="array" ref="BC18">IF(ISERROR(INDEX($A$3:$B$14312,SMALL(IF($A$3:$A$14312=BC$3,ROW($A$3:$A$14312)),ROW(16:16)),2)),"",INDEX($A$3:$B$14312,SMALL(IF($A$3:$A$14312=BC$3,ROW($A$3:$A$14312)),ROW(16:16)),2))</f>
        <v/>
      </c>
      <c r="BD18" t="str">
        <f t="array" ref="BD18">IF(ISERROR(INDEX($A$3:$B$14312,SMALL(IF($A$3:$A$14312=BD$3,ROW($A$3:$A$14312)),ROW(16:16)),2)),"",INDEX($A$3:$B$14312,SMALL(IF($A$3:$A$14312=BD$3,ROW($A$3:$A$14312)),ROW(16:16)),2))</f>
        <v/>
      </c>
      <c r="BE18" t="str">
        <f t="array" ref="BE18">IF(ISERROR(INDEX($A$3:$B$14312,SMALL(IF($A$3:$A$14312=BE$3,ROW($A$3:$A$14312)),ROW(16:16)),2)),"",INDEX($A$3:$B$14312,SMALL(IF($A$3:$A$14312=BE$3,ROW($A$3:$A$14312)),ROW(16:16)),2))</f>
        <v/>
      </c>
      <c r="BF18" t="str">
        <f t="array" ref="BF18">IF(ISERROR(INDEX($A$3:$B$14312,SMALL(IF($A$3:$A$14312=BF$3,ROW($A$3:$A$14312)),ROW(16:16)),2)),"",INDEX($A$3:$B$14312,SMALL(IF($A$3:$A$14312=BF$3,ROW($A$3:$A$14312)),ROW(16:16)),2))</f>
        <v/>
      </c>
      <c r="BG18" t="str">
        <f t="array" ref="BG18">IF(ISERROR(INDEX($A$3:$B$14312,SMALL(IF($A$3:$A$14312=BG$3,ROW($A$3:$A$14312)),ROW(16:16)),2)),"",INDEX($A$3:$B$14312,SMALL(IF($A$3:$A$14312=BG$3,ROW($A$3:$A$14312)),ROW(16:16)),2))</f>
        <v/>
      </c>
      <c r="BH18" t="str">
        <f t="array" ref="BH18">IF(ISERROR(INDEX($A$3:$B$14312,SMALL(IF($A$3:$A$14312=BH$3,ROW($A$3:$A$14312)),ROW(16:16)),2)),"",INDEX($A$3:$B$14312,SMALL(IF($A$3:$A$14312=BH$3,ROW($A$3:$A$14312)),ROW(16:16)),2))</f>
        <v/>
      </c>
      <c r="BI18" t="str">
        <f t="array" ref="BI18">IF(ISERROR(INDEX($A$3:$B$14312,SMALL(IF($A$3:$A$14312=BI$3,ROW($A$3:$A$14312)),ROW(16:16)),2)),"",INDEX($A$3:$B$14312,SMALL(IF($A$3:$A$14312=BI$3,ROW($A$3:$A$14312)),ROW(16:16)),2))</f>
        <v/>
      </c>
      <c r="BJ18" t="str">
        <f t="array" ref="BJ18">IF(ISERROR(INDEX($A$3:$B$14312,SMALL(IF($A$3:$A$14312=BJ$3,ROW($A$3:$A$14312)),ROW(16:16)),2)),"",INDEX($A$3:$B$14312,SMALL(IF($A$3:$A$14312=BJ$3,ROW($A$3:$A$14312)),ROW(16:16)),2))</f>
        <v/>
      </c>
      <c r="BK18" t="str">
        <f t="array" ref="BK18">IF(ISERROR(INDEX($A$3:$B$14312,SMALL(IF($A$3:$A$14312=BK$3,ROW($A$3:$A$14312)),ROW(16:16)),2)),"",INDEX($A$3:$B$14312,SMALL(IF($A$3:$A$14312=BK$3,ROW($A$3:$A$14312)),ROW(16:16)),2))</f>
        <v/>
      </c>
      <c r="BL18" t="str">
        <f t="array" ref="BL18">IF(ISERROR(INDEX($A$3:$B$14312,SMALL(IF($A$3:$A$14312=BL$3,ROW($A$3:$A$14312)),ROW(16:16)),2)),"",INDEX($A$3:$B$14312,SMALL(IF($A$3:$A$14312=BL$3,ROW($A$3:$A$14312)),ROW(16:16)),2))</f>
        <v/>
      </c>
      <c r="BM18" t="str">
        <f t="array" ref="BM18">IF(ISERROR(INDEX($A$3:$B$14312,SMALL(IF($A$3:$A$14312=BM$3,ROW($A$3:$A$14312)),ROW(16:16)),2)),"",INDEX($A$3:$B$14312,SMALL(IF($A$3:$A$14312=BM$3,ROW($A$3:$A$14312)),ROW(16:16)),2))</f>
        <v>Router3_11</v>
      </c>
      <c r="BN18" t="str">
        <f t="array" ref="BN18">IF(ISERROR(INDEX($A$3:$B$14312,SMALL(IF($A$3:$A$14312=BN$3,ROW($A$3:$A$14312)),ROW(16:16)),2)),"",INDEX($A$3:$B$14312,SMALL(IF($A$3:$A$14312=BN$3,ROW($A$3:$A$14312)),ROW(16:16)),2))</f>
        <v/>
      </c>
      <c r="BO18" t="str">
        <f t="array" ref="BO18">IF(ISERROR(INDEX($A$3:$B$14312,SMALL(IF($A$3:$A$14312=BO$3,ROW($A$3:$A$14312)),ROW(16:16)),2)),"",INDEX($A$3:$B$14312,SMALL(IF($A$3:$A$14312=BO$3,ROW($A$3:$A$14312)),ROW(16:16)),2))</f>
        <v/>
      </c>
      <c r="BP18" t="str">
        <f t="array" ref="BP18">IF(ISERROR(INDEX($A$3:$B$14312,SMALL(IF($A$3:$A$14312=BP$3,ROW($A$3:$A$14312)),ROW(16:16)),2)),"",INDEX($A$3:$B$14312,SMALL(IF($A$3:$A$14312=BP$3,ROW($A$3:$A$14312)),ROW(16:16)),2))</f>
        <v/>
      </c>
      <c r="BQ18" t="str">
        <f t="array" ref="BQ18">IF(ISERROR(INDEX($A$3:$B$14312,SMALL(IF($A$3:$A$14312=BQ$3,ROW($A$3:$A$14312)),ROW(16:16)),2)),"",INDEX($A$3:$B$14312,SMALL(IF($A$3:$A$14312=BQ$3,ROW($A$3:$A$14312)),ROW(16:16)),2))</f>
        <v/>
      </c>
      <c r="BR18" t="str">
        <f t="array" ref="BR18">IF(ISERROR(INDEX($A$3:$B$14312,SMALL(IF($A$3:$A$14312=BR$3,ROW($A$3:$A$14312)),ROW(16:16)),2)),"",INDEX($A$3:$B$14312,SMALL(IF($A$3:$A$14312=BR$3,ROW($A$3:$A$14312)),ROW(16:16)),2))</f>
        <v/>
      </c>
      <c r="BS18" t="str">
        <f t="array" ref="BS18">IF(ISERROR(INDEX($A$3:$B$14312,SMALL(IF($A$3:$A$14312=BS$3,ROW($A$3:$A$14312)),ROW(16:16)),2)),"",INDEX($A$3:$B$14312,SMALL(IF($A$3:$A$14312=BS$3,ROW($A$3:$A$14312)),ROW(16:16)),2))</f>
        <v/>
      </c>
      <c r="BT18" t="str">
        <f t="array" ref="BT18">IF(ISERROR(INDEX($A$3:$B$14312,SMALL(IF($A$3:$A$14312=BT$3,ROW($A$3:$A$14312)),ROW(16:16)),2)),"",INDEX($A$3:$B$14312,SMALL(IF($A$3:$A$14312=BT$3,ROW($A$3:$A$14312)),ROW(16:16)),2))</f>
        <v>Router3_85</v>
      </c>
      <c r="BU18" t="str">
        <f t="array" ref="BU18">IF(ISERROR(INDEX($A$3:$B$14312,SMALL(IF($A$3:$A$14312=BU$3,ROW($A$3:$A$14312)),ROW(16:16)),2)),"",INDEX($A$3:$B$14312,SMALL(IF($A$3:$A$14312=BU$3,ROW($A$3:$A$14312)),ROW(16:16)),2))</f>
        <v/>
      </c>
      <c r="BV18" t="str">
        <f t="array" ref="BV18">IF(ISERROR(INDEX($A$3:$B$14312,SMALL(IF($A$3:$A$14312=BV$3,ROW($A$3:$A$14312)),ROW(16:16)),2)),"",INDEX($A$3:$B$14312,SMALL(IF($A$3:$A$14312=BV$3,ROW($A$3:$A$14312)),ROW(16:16)),2))</f>
        <v/>
      </c>
      <c r="BW18" t="str">
        <f t="array" ref="BW18">IF(ISERROR(INDEX($A$3:$B$14312,SMALL(IF($A$3:$A$14312=BW$3,ROW($A$3:$A$14312)),ROW(16:16)),2)),"",INDEX($A$3:$B$14312,SMALL(IF($A$3:$A$14312=BW$3,ROW($A$3:$A$14312)),ROW(16:16)),2))</f>
        <v>Router3_154</v>
      </c>
      <c r="BX18" t="str">
        <f t="array" ref="BX18">IF(ISERROR(INDEX($A$3:$B$14312,SMALL(IF($A$3:$A$14312=BX$3,ROW($A$3:$A$14312)),ROW(16:16)),2)),"",INDEX($A$3:$B$14312,SMALL(IF($A$3:$A$14312=BX$3,ROW($A$3:$A$14312)),ROW(16:16)),2))</f>
        <v>Router3_91</v>
      </c>
      <c r="BY18" t="str">
        <f t="array" ref="BY18">IF(ISERROR(INDEX($A$3:$B$14312,SMALL(IF($A$3:$A$14312=BY$3,ROW($A$3:$A$14312)),ROW(16:16)),2)),"",INDEX($A$3:$B$14312,SMALL(IF($A$3:$A$14312=BY$3,ROW($A$3:$A$14312)),ROW(16:16)),2))</f>
        <v>Router3_81</v>
      </c>
      <c r="BZ18" t="str">
        <f t="array" ref="BZ18">IF(ISERROR(INDEX($A$3:$B$14312,SMALL(IF($A$3:$A$14312=BZ$3,ROW($A$3:$A$14312)),ROW(16:16)),2)),"",INDEX($A$3:$B$14312,SMALL(IF($A$3:$A$14312=BZ$3,ROW($A$3:$A$14312)),ROW(16:16)),2))</f>
        <v>Router3_81</v>
      </c>
      <c r="CA18" t="str">
        <f t="array" ref="CA18">IF(ISERROR(INDEX($A$3:$B$14312,SMALL(IF($A$3:$A$14312=CA$3,ROW($A$3:$A$14312)),ROW(16:16)),2)),"",INDEX($A$3:$B$14312,SMALL(IF($A$3:$A$14312=CA$3,ROW($A$3:$A$14312)),ROW(16:16)),2))</f>
        <v/>
      </c>
      <c r="CB18" t="str">
        <f t="array" ref="CB18">IF(ISERROR(INDEX($A$3:$B$14312,SMALL(IF($A$3:$A$14312=CB$3,ROW($A$3:$A$14312)),ROW(16:16)),2)),"",INDEX($A$3:$B$14312,SMALL(IF($A$3:$A$14312=CB$3,ROW($A$3:$A$14312)),ROW(16:16)),2))</f>
        <v/>
      </c>
      <c r="CC18" t="str">
        <f t="array" ref="CC18">IF(ISERROR(INDEX($A$3:$B$14312,SMALL(IF($A$3:$A$14312=CC$3,ROW($A$3:$A$14312)),ROW(16:16)),2)),"",INDEX($A$3:$B$14312,SMALL(IF($A$3:$A$14312=CC$3,ROW($A$3:$A$14312)),ROW(16:16)),2))</f>
        <v/>
      </c>
      <c r="CD18" t="str">
        <f t="array" ref="CD18">IF(ISERROR(INDEX($A$3:$B$14312,SMALL(IF($A$3:$A$14312=CD$3,ROW($A$3:$A$14312)),ROW(16:16)),2)),"",INDEX($A$3:$B$14312,SMALL(IF($A$3:$A$14312=CD$3,ROW($A$3:$A$14312)),ROW(16:16)),2))</f>
        <v/>
      </c>
      <c r="CE18" t="str">
        <f t="array" ref="CE18">IF(ISERROR(INDEX($A$3:$B$14312,SMALL(IF($A$3:$A$14312=CE$3,ROW($A$3:$A$14312)),ROW(16:16)),2)),"",INDEX($A$3:$B$14312,SMALL(IF($A$3:$A$14312=CE$3,ROW($A$3:$A$14312)),ROW(16:16)),2))</f>
        <v/>
      </c>
      <c r="CF18" t="str">
        <f t="array" ref="CF18">IF(ISERROR(INDEX($A$3:$B$14312,SMALL(IF($A$3:$A$14312=CF$3,ROW($A$3:$A$14312)),ROW(16:16)),2)),"",INDEX($A$3:$B$14312,SMALL(IF($A$3:$A$14312=CF$3,ROW($A$3:$A$14312)),ROW(16:16)),2))</f>
        <v/>
      </c>
      <c r="CG18" t="str">
        <f t="array" ref="CG18">IF(ISERROR(INDEX($A$3:$B$14312,SMALL(IF($A$3:$A$14312=CG$3,ROW($A$3:$A$14312)),ROW(16:16)),2)),"",INDEX($A$3:$B$14312,SMALL(IF($A$3:$A$14312=CG$3,ROW($A$3:$A$14312)),ROW(16:16)),2))</f>
        <v>Router3_23</v>
      </c>
      <c r="CH18" t="str">
        <f t="array" ref="CH18">IF(ISERROR(INDEX($A$3:$B$14312,SMALL(IF($A$3:$A$14312=CH$3,ROW($A$3:$A$14312)),ROW(16:16)),2)),"",INDEX($A$3:$B$14312,SMALL(IF($A$3:$A$14312=CH$3,ROW($A$3:$A$14312)),ROW(16:16)),2))</f>
        <v/>
      </c>
      <c r="CI18" t="str">
        <f t="array" ref="CI18">IF(ISERROR(INDEX($A$3:$B$14312,SMALL(IF($A$3:$A$14312=CI$3,ROW($A$3:$A$14312)),ROW(16:16)),2)),"",INDEX($A$3:$B$14312,SMALL(IF($A$3:$A$14312=CI$3,ROW($A$3:$A$14312)),ROW(16:16)),2))</f>
        <v/>
      </c>
      <c r="CJ18" t="str">
        <f t="array" ref="CJ18">IF(ISERROR(INDEX($A$3:$B$14312,SMALL(IF($A$3:$A$14312=CJ$3,ROW($A$3:$A$14312)),ROW(16:16)),2)),"",INDEX($A$3:$B$14312,SMALL(IF($A$3:$A$14312=CJ$3,ROW($A$3:$A$14312)),ROW(16:16)),2))</f>
        <v/>
      </c>
      <c r="CK18" t="str">
        <f t="array" ref="CK18">IF(ISERROR(INDEX($A$3:$B$14312,SMALL(IF($A$3:$A$14312=CK$3,ROW($A$3:$A$14312)),ROW(16:16)),2)),"",INDEX($A$3:$B$14312,SMALL(IF($A$3:$A$14312=CK$3,ROW($A$3:$A$14312)),ROW(16:16)),2))</f>
        <v/>
      </c>
      <c r="CL18" t="str">
        <f t="array" ref="CL18">IF(ISERROR(INDEX($A$3:$B$14312,SMALL(IF($A$3:$A$14312=CL$3,ROW($A$3:$A$14312)),ROW(16:16)),2)),"",INDEX($A$3:$B$14312,SMALL(IF($A$3:$A$14312=CL$3,ROW($A$3:$A$14312)),ROW(16:16)),2))</f>
        <v/>
      </c>
      <c r="CM18" t="str">
        <f t="array" ref="CM18">IF(ISERROR(INDEX($A$3:$B$14312,SMALL(IF($A$3:$A$14312=CM$3,ROW($A$3:$A$14312)),ROW(16:16)),2)),"",INDEX($A$3:$B$14312,SMALL(IF($A$3:$A$14312=CM$3,ROW($A$3:$A$14312)),ROW(16:16)),2))</f>
        <v/>
      </c>
      <c r="CN18" t="str">
        <f t="array" ref="CN18">IF(ISERROR(INDEX($A$3:$B$14312,SMALL(IF($A$3:$A$14312=CN$3,ROW($A$3:$A$14312)),ROW(16:16)),2)),"",INDEX($A$3:$B$14312,SMALL(IF($A$3:$A$14312=CN$3,ROW($A$3:$A$14312)),ROW(16:16)),2))</f>
        <v>Router3_72</v>
      </c>
      <c r="CO18" t="str">
        <f t="array" ref="CO18">IF(ISERROR(INDEX($A$3:$B$14312,SMALL(IF($A$3:$A$14312=CO$3,ROW($A$3:$A$14312)),ROW(16:16)),2)),"",INDEX($A$3:$B$14312,SMALL(IF($A$3:$A$14312=CO$3,ROW($A$3:$A$14312)),ROW(16:16)),2))</f>
        <v>Router3_90</v>
      </c>
      <c r="CP18" t="str">
        <f t="array" ref="CP18">IF(ISERROR(INDEX($A$3:$B$14312,SMALL(IF($A$3:$A$14312=CP$3,ROW($A$3:$A$14312)),ROW(16:16)),2)),"",INDEX($A$3:$B$14312,SMALL(IF($A$3:$A$14312=CP$3,ROW($A$3:$A$14312)),ROW(16:16)),2))</f>
        <v>Router3_10</v>
      </c>
      <c r="CQ18" t="str">
        <f t="array" ref="CQ18">IF(ISERROR(INDEX($A$3:$B$14312,SMALL(IF($A$3:$A$14312=CQ$3,ROW($A$3:$A$14312)),ROW(16:16)),2)),"",INDEX($A$3:$B$14312,SMALL(IF($A$3:$A$14312=CQ$3,ROW($A$3:$A$14312)),ROW(16:16)),2))</f>
        <v/>
      </c>
      <c r="CR18" t="str">
        <f t="array" ref="CR18">IF(ISERROR(INDEX($A$3:$B$14312,SMALL(IF($A$3:$A$14312=CR$3,ROW($A$3:$A$14312)),ROW(16:16)),2)),"",INDEX($A$3:$B$14312,SMALL(IF($A$3:$A$14312=CR$3,ROW($A$3:$A$14312)),ROW(16:16)),2))</f>
        <v/>
      </c>
      <c r="CS18" t="str">
        <f t="array" ref="CS18">IF(ISERROR(INDEX($A$3:$B$14312,SMALL(IF($A$3:$A$14312=CS$3,ROW($A$3:$A$14312)),ROW(16:16)),2)),"",INDEX($A$3:$B$14312,SMALL(IF($A$3:$A$14312=CS$3,ROW($A$3:$A$14312)),ROW(16:16)),2))</f>
        <v/>
      </c>
      <c r="CT18" t="str">
        <f t="array" ref="CT18">IF(ISERROR(INDEX($A$3:$B$14312,SMALL(IF($A$3:$A$14312=CT$3,ROW($A$3:$A$14312)),ROW(16:16)),2)),"",INDEX($A$3:$B$14312,SMALL(IF($A$3:$A$14312=CT$3,ROW($A$3:$A$14312)),ROW(16:16)),2))</f>
        <v/>
      </c>
      <c r="CU18" t="str">
        <f t="array" ref="CU18">IF(ISERROR(INDEX($A$3:$B$14312,SMALL(IF($A$3:$A$14312=CU$3,ROW($A$3:$A$14312)),ROW(16:16)),2)),"",INDEX($A$3:$B$14312,SMALL(IF($A$3:$A$14312=CU$3,ROW($A$3:$A$14312)),ROW(16:16)),2))</f>
        <v/>
      </c>
      <c r="CV18" t="str">
        <f t="array" ref="CV18">IF(ISERROR(INDEX($A$3:$B$14312,SMALL(IF($A$3:$A$14312=CV$3,ROW($A$3:$A$14312)),ROW(16:16)),2)),"",INDEX($A$3:$B$14312,SMALL(IF($A$3:$A$14312=CV$3,ROW($A$3:$A$14312)),ROW(16:16)),2))</f>
        <v>Router3_90</v>
      </c>
      <c r="CW18" t="str">
        <f t="array" ref="CW18">IF(ISERROR(INDEX($A$3:$B$14312,SMALL(IF($A$3:$A$14312=CW$3,ROW($A$3:$A$14312)),ROW(16:16)),2)),"",INDEX($A$3:$B$14312,SMALL(IF($A$3:$A$14312=CW$3,ROW($A$3:$A$14312)),ROW(16:16)),2))</f>
        <v/>
      </c>
      <c r="CX18" t="str">
        <f t="array" ref="CX18">IF(ISERROR(INDEX($A$3:$B$14312,SMALL(IF($A$3:$A$14312=CX$3,ROW($A$3:$A$14312)),ROW(16:16)),2)),"",INDEX($A$3:$B$14312,SMALL(IF($A$3:$A$14312=CX$3,ROW($A$3:$A$14312)),ROW(16:16)),2))</f>
        <v/>
      </c>
      <c r="CY18" t="str">
        <f t="array" ref="CY18">IF(ISERROR(INDEX($A$3:$B$14312,SMALL(IF($A$3:$A$14312=CY$3,ROW($A$3:$A$14312)),ROW(16:16)),2)),"",INDEX($A$3:$B$14312,SMALL(IF($A$3:$A$14312=CY$3,ROW($A$3:$A$14312)),ROW(16:16)),2))</f>
        <v>Router3_87</v>
      </c>
      <c r="CZ18" t="str">
        <f t="array" ref="CZ18">IF(ISERROR(INDEX($A$3:$B$14312,SMALL(IF($A$3:$A$14312=CZ$3,ROW($A$3:$A$14312)),ROW(16:16)),2)),"",INDEX($A$3:$B$14312,SMALL(IF($A$3:$A$14312=CZ$3,ROW($A$3:$A$14312)),ROW(16:16)),2))</f>
        <v>Router3_19</v>
      </c>
      <c r="DA18" t="str">
        <f t="array" ref="DA18">IF(ISERROR(INDEX($A$3:$B$14312,SMALL(IF($A$3:$A$14312=DA$3,ROW($A$3:$A$14312)),ROW(16:16)),2)),"",INDEX($A$3:$B$14312,SMALL(IF($A$3:$A$14312=DA$3,ROW($A$3:$A$14312)),ROW(16:16)),2))</f>
        <v>Router3_146</v>
      </c>
      <c r="DB18" t="str">
        <f t="array" ref="DB18">IF(ISERROR(INDEX($A$3:$B$14312,SMALL(IF($A$3:$A$14312=DB$3,ROW($A$3:$A$14312)),ROW(16:16)),2)),"",INDEX($A$3:$B$14312,SMALL(IF($A$3:$A$14312=DB$3,ROW($A$3:$A$14312)),ROW(16:16)),2))</f>
        <v/>
      </c>
      <c r="DC18" t="str">
        <f t="array" ref="DC18">IF(ISERROR(INDEX($A$3:$B$14312,SMALL(IF($A$3:$A$14312=DC$3,ROW($A$3:$A$14312)),ROW(16:16)),2)),"",INDEX($A$3:$B$14312,SMALL(IF($A$3:$A$14312=DC$3,ROW($A$3:$A$14312)),ROW(16:16)),2))</f>
        <v>Router3_116</v>
      </c>
      <c r="DD18" t="str">
        <f t="array" ref="DD18">IF(ISERROR(INDEX($A$3:$B$14312,SMALL(IF($A$3:$A$14312=DD$3,ROW($A$3:$A$14312)),ROW(16:16)),2)),"",INDEX($A$3:$B$14312,SMALL(IF($A$3:$A$14312=DD$3,ROW($A$3:$A$14312)),ROW(16:16)),2))</f>
        <v/>
      </c>
      <c r="DE18" t="str">
        <f t="array" ref="DE18">IF(ISERROR(INDEX($A$3:$B$14312,SMALL(IF($A$3:$A$14312=DE$3,ROW($A$3:$A$14312)),ROW(16:16)),2)),"",INDEX($A$3:$B$14312,SMALL(IF($A$3:$A$14312=DE$3,ROW($A$3:$A$14312)),ROW(16:16)),2))</f>
        <v/>
      </c>
      <c r="DF18" t="str">
        <f t="array" ref="DF18">IF(ISERROR(INDEX($A$3:$B$14312,SMALL(IF($A$3:$A$14312=DF$3,ROW($A$3:$A$14312)),ROW(16:16)),2)),"",INDEX($A$3:$B$14312,SMALL(IF($A$3:$A$14312=DF$3,ROW($A$3:$A$14312)),ROW(16:16)),2))</f>
        <v/>
      </c>
      <c r="DG18" t="str">
        <f t="array" ref="DG18">IF(ISERROR(INDEX($A$3:$B$14312,SMALL(IF($A$3:$A$14312=DG$3,ROW($A$3:$A$14312)),ROW(16:16)),2)),"",INDEX($A$3:$B$14312,SMALL(IF($A$3:$A$14312=DG$3,ROW($A$3:$A$14312)),ROW(16:16)),2))</f>
        <v>Router3_18</v>
      </c>
      <c r="DH18" t="str">
        <f t="array" ref="DH18">IF(ISERROR(INDEX($A$3:$B$14312,SMALL(IF($A$3:$A$14312=DH$3,ROW($A$3:$A$14312)),ROW(16:16)),2)),"",INDEX($A$3:$B$14312,SMALL(IF($A$3:$A$14312=DH$3,ROW($A$3:$A$14312)),ROW(16:16)),2))</f>
        <v/>
      </c>
      <c r="DI18" t="str">
        <f t="array" ref="DI18">IF(ISERROR(INDEX($A$3:$B$14312,SMALL(IF($A$3:$A$14312=DI$3,ROW($A$3:$A$14312)),ROW(16:16)),2)),"",INDEX($A$3:$B$14312,SMALL(IF($A$3:$A$14312=DI$3,ROW($A$3:$A$14312)),ROW(16:16)),2))</f>
        <v>Router3_82</v>
      </c>
      <c r="DJ18" t="str">
        <f t="array" ref="DJ18">IF(ISERROR(INDEX($A$3:$B$14312,SMALL(IF($A$3:$A$14312=DJ$3,ROW($A$3:$A$14312)),ROW(16:16)),2)),"",INDEX($A$3:$B$14312,SMALL(IF($A$3:$A$14312=DJ$3,ROW($A$3:$A$14312)),ROW(16:16)),2))</f>
        <v>Router3_91</v>
      </c>
      <c r="DK18" t="str">
        <f t="array" ref="DK18">IF(ISERROR(INDEX($A$3:$B$14312,SMALL(IF($A$3:$A$14312=DK$3,ROW($A$3:$A$14312)),ROW(16:16)),2)),"",INDEX($A$3:$B$14312,SMALL(IF($A$3:$A$14312=DK$3,ROW($A$3:$A$14312)),ROW(16:16)),2))</f>
        <v>Router3_101</v>
      </c>
      <c r="DL18" t="str">
        <f t="array" ref="DL18">IF(ISERROR(INDEX($A$3:$B$14312,SMALL(IF($A$3:$A$14312=DL$3,ROW($A$3:$A$14312)),ROW(16:16)),2)),"",INDEX($A$3:$B$14312,SMALL(IF($A$3:$A$14312=DL$3,ROW($A$3:$A$14312)),ROW(16:16)),2))</f>
        <v>Router3_51</v>
      </c>
      <c r="DM18" t="str">
        <f t="array" ref="DM18">IF(ISERROR(INDEX($A$3:$B$14312,SMALL(IF($A$3:$A$14312=DM$3,ROW($A$3:$A$14312)),ROW(16:16)),2)),"",INDEX($A$3:$B$14312,SMALL(IF($A$3:$A$14312=DM$3,ROW($A$3:$A$14312)),ROW(16:16)),2))</f>
        <v/>
      </c>
      <c r="DN18" t="str">
        <f t="array" ref="DN18">IF(ISERROR(INDEX($A$3:$B$14312,SMALL(IF($A$3:$A$14312=DN$3,ROW($A$3:$A$14312)),ROW(16:16)),2)),"",INDEX($A$3:$B$14312,SMALL(IF($A$3:$A$14312=DN$3,ROW($A$3:$A$14312)),ROW(16:16)),2))</f>
        <v>Router3_103</v>
      </c>
      <c r="DO18" t="str">
        <f t="array" ref="DO18">IF(ISERROR(INDEX($A$3:$B$14312,SMALL(IF($A$3:$A$14312=DO$3,ROW($A$3:$A$14312)),ROW(16:16)),2)),"",INDEX($A$3:$B$14312,SMALL(IF($A$3:$A$14312=DO$3,ROW($A$3:$A$14312)),ROW(16:16)),2))</f>
        <v>Router3_66</v>
      </c>
      <c r="DP18" t="str">
        <f t="array" ref="DP18">IF(ISERROR(INDEX($A$3:$B$14312,SMALL(IF($A$3:$A$14312=DP$3,ROW($A$3:$A$14312)),ROW(16:16)),2)),"",INDEX($A$3:$B$14312,SMALL(IF($A$3:$A$14312=DP$3,ROW($A$3:$A$14312)),ROW(16:16)),2))</f>
        <v/>
      </c>
      <c r="DQ18" t="str">
        <f t="array" ref="DQ18">IF(ISERROR(INDEX($A$3:$B$14312,SMALL(IF($A$3:$A$14312=DQ$3,ROW($A$3:$A$14312)),ROW(16:16)),2)),"",INDEX($A$3:$B$14312,SMALL(IF($A$3:$A$14312=DQ$3,ROW($A$3:$A$14312)),ROW(16:16)),2))</f>
        <v/>
      </c>
      <c r="DR18" t="str">
        <f t="array" ref="DR18">IF(ISERROR(INDEX($A$3:$B$14312,SMALL(IF($A$3:$A$14312=DR$3,ROW($A$3:$A$14312)),ROW(16:16)),2)),"",INDEX($A$3:$B$14312,SMALL(IF($A$3:$A$14312=DR$3,ROW($A$3:$A$14312)),ROW(16:16)),2))</f>
        <v>Router3_18</v>
      </c>
      <c r="DS18" t="str">
        <f t="array" ref="DS18">IF(ISERROR(INDEX($A$3:$B$14312,SMALL(IF($A$3:$A$14312=DS$3,ROW($A$3:$A$14312)),ROW(16:16)),2)),"",INDEX($A$3:$B$14312,SMALL(IF($A$3:$A$14312=DS$3,ROW($A$3:$A$14312)),ROW(16:16)),2))</f>
        <v/>
      </c>
      <c r="DT18" t="str">
        <f t="array" ref="DT18">IF(ISERROR(INDEX($A$3:$B$14312,SMALL(IF($A$3:$A$14312=DT$3,ROW($A$3:$A$14312)),ROW(16:16)),2)),"",INDEX($A$3:$B$14312,SMALL(IF($A$3:$A$14312=DT$3,ROW($A$3:$A$14312)),ROW(16:16)),2))</f>
        <v>Router3_82</v>
      </c>
      <c r="DU18" t="str">
        <f t="array" ref="DU18">IF(ISERROR(INDEX($A$3:$B$14312,SMALL(IF($A$3:$A$14312=DU$3,ROW($A$3:$A$14312)),ROW(16:16)),2)),"",INDEX($A$3:$B$14312,SMALL(IF($A$3:$A$14312=DU$3,ROW($A$3:$A$14312)),ROW(16:16)),2))</f>
        <v>Router3_134</v>
      </c>
      <c r="DV18" t="str">
        <f t="array" ref="DV18">IF(ISERROR(INDEX($A$3:$B$14312,SMALL(IF($A$3:$A$14312=DV$3,ROW($A$3:$A$14312)),ROW(16:16)),2)),"",INDEX($A$3:$B$14312,SMALL(IF($A$3:$A$14312=DV$3,ROW($A$3:$A$14312)),ROW(16:16)),2))</f>
        <v/>
      </c>
      <c r="DW18" t="str">
        <f t="array" ref="DW18">IF(ISERROR(INDEX($A$3:$B$14312,SMALL(IF($A$3:$A$14312=DW$3,ROW($A$3:$A$14312)),ROW(16:16)),2)),"",INDEX($A$3:$B$14312,SMALL(IF($A$3:$A$14312=DW$3,ROW($A$3:$A$14312)),ROW(16:16)),2))</f>
        <v/>
      </c>
      <c r="DX18" t="str">
        <f t="array" ref="DX18">IF(ISERROR(INDEX($A$3:$B$14312,SMALL(IF($A$3:$A$14312=DX$3,ROW($A$3:$A$14312)),ROW(16:16)),2)),"",INDEX($A$3:$B$14312,SMALL(IF($A$3:$A$14312=DX$3,ROW($A$3:$A$14312)),ROW(16:16)),2))</f>
        <v/>
      </c>
      <c r="DY18" t="str">
        <f t="array" ref="DY18">IF(ISERROR(INDEX($A$3:$B$14312,SMALL(IF($A$3:$A$14312=DY$3,ROW($A$3:$A$14312)),ROW(16:16)),2)),"",INDEX($A$3:$B$14312,SMALL(IF($A$3:$A$14312=DY$3,ROW($A$3:$A$14312)),ROW(16:16)),2))</f>
        <v/>
      </c>
      <c r="DZ18" t="str">
        <f t="array" ref="DZ18">IF(ISERROR(INDEX($A$3:$B$14312,SMALL(IF($A$3:$A$14312=DZ$3,ROW($A$3:$A$14312)),ROW(16:16)),2)),"",INDEX($A$3:$B$14312,SMALL(IF($A$3:$A$14312=DZ$3,ROW($A$3:$A$14312)),ROW(16:16)),2))</f>
        <v/>
      </c>
      <c r="EA18" t="str">
        <f t="array" ref="EA18">IF(ISERROR(INDEX($A$3:$B$14312,SMALL(IF($A$3:$A$14312=EA$3,ROW($A$3:$A$14312)),ROW(16:16)),2)),"",INDEX($A$3:$B$14312,SMALL(IF($A$3:$A$14312=EA$3,ROW($A$3:$A$14312)),ROW(16:16)),2))</f>
        <v>Router3_127</v>
      </c>
      <c r="EB18" t="str">
        <f t="array" ref="EB18">IF(ISERROR(INDEX($A$3:$B$14312,SMALL(IF($A$3:$A$14312=EB$3,ROW($A$3:$A$14312)),ROW(16:16)),2)),"",INDEX($A$3:$B$14312,SMALL(IF($A$3:$A$14312=EB$3,ROW($A$3:$A$14312)),ROW(16:16)),2))</f>
        <v>Router3_136</v>
      </c>
      <c r="EC18" t="str">
        <f t="array" ref="EC18">IF(ISERROR(INDEX($A$3:$B$14312,SMALL(IF($A$3:$A$14312=EC$3,ROW($A$3:$A$14312)),ROW(16:16)),2)),"",INDEX($A$3:$B$14312,SMALL(IF($A$3:$A$14312=EC$3,ROW($A$3:$A$14312)),ROW(16:16)),2))</f>
        <v>Router3_89</v>
      </c>
      <c r="ED18" t="str">
        <f t="array" ref="ED18">IF(ISERROR(INDEX($A$3:$B$14312,SMALL(IF($A$3:$A$14312=ED$3,ROW($A$3:$A$14312)),ROW(16:16)),2)),"",INDEX($A$3:$B$14312,SMALL(IF($A$3:$A$14312=ED$3,ROW($A$3:$A$14312)),ROW(16:16)),2))</f>
        <v>Router3_126</v>
      </c>
      <c r="EE18" t="str">
        <f t="array" ref="EE18">IF(ISERROR(INDEX($A$3:$B$14312,SMALL(IF($A$3:$A$14312=EE$3,ROW($A$3:$A$14312)),ROW(16:16)),2)),"",INDEX($A$3:$B$14312,SMALL(IF($A$3:$A$14312=EE$3,ROW($A$3:$A$14312)),ROW(16:16)),2))</f>
        <v>Router3_156</v>
      </c>
    </row>
    <row r="19" spans="1:135" x14ac:dyDescent="0.25">
      <c r="A19" s="10">
        <v>-450827382</v>
      </c>
      <c r="B19" t="s">
        <v>1096</v>
      </c>
      <c r="E19" t="str">
        <f t="array" ref="E19">IF(ISERROR(INDEX($A$3:$B$14312,SMALL(IF($A$3:$A$14312=E$3,ROW($A$3:$A$14312)),ROW(17:17)),2)),"",INDEX($A$3:$B$14312,SMALL(IF($A$3:$A$14312=E$3,ROW($A$3:$A$14312)),ROW(17:17)),2))</f>
        <v>Router3_73</v>
      </c>
      <c r="F19" t="str">
        <f t="array" ref="F19">IF(ISERROR(INDEX($A$3:$B$14312,SMALL(IF($A$3:$A$14312=F$3,ROW($A$3:$A$14312)),ROW(17:17)),2)),"",INDEX($A$3:$B$14312,SMALL(IF($A$3:$A$14312=F$3,ROW($A$3:$A$14312)),ROW(17:17)),2))</f>
        <v>Router3_71</v>
      </c>
      <c r="G19" t="str">
        <f t="array" ref="G19">IF(ISERROR(INDEX($A$3:$B$14312,SMALL(IF($A$3:$A$14312=G$3,ROW($A$3:$A$14312)),ROW(17:17)),2)),"",INDEX($A$3:$B$14312,SMALL(IF($A$3:$A$14312=G$3,ROW($A$3:$A$14312)),ROW(17:17)),2))</f>
        <v/>
      </c>
      <c r="H19" t="str">
        <f t="array" ref="H19">IF(ISERROR(INDEX($A$3:$B$14312,SMALL(IF($A$3:$A$14312=H$3,ROW($A$3:$A$14312)),ROW(17:17)),2)),"",INDEX($A$3:$B$14312,SMALL(IF($A$3:$A$14312=H$3,ROW($A$3:$A$14312)),ROW(17:17)),2))</f>
        <v/>
      </c>
      <c r="I19" t="str">
        <f t="array" ref="I19">IF(ISERROR(INDEX($A$3:$B$14312,SMALL(IF($A$3:$A$14312=I$3,ROW($A$3:$A$14312)),ROW(17:17)),2)),"",INDEX($A$3:$B$14312,SMALL(IF($A$3:$A$14312=I$3,ROW($A$3:$A$14312)),ROW(17:17)),2))</f>
        <v/>
      </c>
      <c r="J19" t="str">
        <f t="array" ref="J19">IF(ISERROR(INDEX($A$3:$B$14312,SMALL(IF($A$3:$A$14312=J$3,ROW($A$3:$A$14312)),ROW(17:17)),2)),"",INDEX($A$3:$B$14312,SMALL(IF($A$3:$A$14312=J$3,ROW($A$3:$A$14312)),ROW(17:17)),2))</f>
        <v>Router3_147</v>
      </c>
      <c r="K19" t="str">
        <f t="array" ref="K19">IF(ISERROR(INDEX($A$3:$B$14312,SMALL(IF($A$3:$A$14312=K$3,ROW($A$3:$A$14312)),ROW(17:17)),2)),"",INDEX($A$3:$B$14312,SMALL(IF($A$3:$A$14312=K$3,ROW($A$3:$A$14312)),ROW(17:17)),2))</f>
        <v/>
      </c>
      <c r="L19" t="str">
        <f t="array" ref="L19">IF(ISERROR(INDEX($A$3:$B$14312,SMALL(IF($A$3:$A$14312=L$3,ROW($A$3:$A$14312)),ROW(17:17)),2)),"",INDEX($A$3:$B$14312,SMALL(IF($A$3:$A$14312=L$3,ROW($A$3:$A$14312)),ROW(17:17)),2))</f>
        <v/>
      </c>
      <c r="M19" t="str">
        <f t="array" ref="M19">IF(ISERROR(INDEX($A$3:$B$14312,SMALL(IF($A$3:$A$14312=M$3,ROW($A$3:$A$14312)),ROW(17:17)),2)),"",INDEX($A$3:$B$14312,SMALL(IF($A$3:$A$14312=M$3,ROW($A$3:$A$14312)),ROW(17:17)),2))</f>
        <v/>
      </c>
      <c r="N19" t="str">
        <f t="array" ref="N19">IF(ISERROR(INDEX($A$3:$B$14312,SMALL(IF($A$3:$A$14312=N$3,ROW($A$3:$A$14312)),ROW(17:17)),2)),"",INDEX($A$3:$B$14312,SMALL(IF($A$3:$A$14312=N$3,ROW($A$3:$A$14312)),ROW(17:17)),2))</f>
        <v/>
      </c>
      <c r="O19" t="str">
        <f t="array" ref="O19">IF(ISERROR(INDEX($A$3:$B$14312,SMALL(IF($A$3:$A$14312=O$3,ROW($A$3:$A$14312)),ROW(17:17)),2)),"",INDEX($A$3:$B$14312,SMALL(IF($A$3:$A$14312=O$3,ROW($A$3:$A$14312)),ROW(17:17)),2))</f>
        <v/>
      </c>
      <c r="P19" t="str">
        <f t="array" ref="P19">IF(ISERROR(INDEX($A$3:$B$14312,SMALL(IF($A$3:$A$14312=P$3,ROW($A$3:$A$14312)),ROW(17:17)),2)),"",INDEX($A$3:$B$14312,SMALL(IF($A$3:$A$14312=P$3,ROW($A$3:$A$14312)),ROW(17:17)),2))</f>
        <v/>
      </c>
      <c r="Q19" t="str">
        <f t="array" ref="Q19">IF(ISERROR(INDEX($A$3:$B$14312,SMALL(IF($A$3:$A$14312=Q$3,ROW($A$3:$A$14312)),ROW(17:17)),2)),"",INDEX($A$3:$B$14312,SMALL(IF($A$3:$A$14312=Q$3,ROW($A$3:$A$14312)),ROW(17:17)),2))</f>
        <v/>
      </c>
      <c r="R19" t="str">
        <f t="array" ref="R19">IF(ISERROR(INDEX($A$3:$B$14312,SMALL(IF($A$3:$A$14312=R$3,ROW($A$3:$A$14312)),ROW(17:17)),2)),"",INDEX($A$3:$B$14312,SMALL(IF($A$3:$A$14312=R$3,ROW($A$3:$A$14312)),ROW(17:17)),2))</f>
        <v/>
      </c>
      <c r="S19" t="str">
        <f t="array" ref="S19">IF(ISERROR(INDEX($A$3:$B$14312,SMALL(IF($A$3:$A$14312=S$3,ROW($A$3:$A$14312)),ROW(17:17)),2)),"",INDEX($A$3:$B$14312,SMALL(IF($A$3:$A$14312=S$3,ROW($A$3:$A$14312)),ROW(17:17)),2))</f>
        <v/>
      </c>
      <c r="T19" t="str">
        <f t="array" ref="T19">IF(ISERROR(INDEX($A$3:$B$14312,SMALL(IF($A$3:$A$14312=T$3,ROW($A$3:$A$14312)),ROW(17:17)),2)),"",INDEX($A$3:$B$14312,SMALL(IF($A$3:$A$14312=T$3,ROW($A$3:$A$14312)),ROW(17:17)),2))</f>
        <v/>
      </c>
      <c r="U19" t="str">
        <f t="array" ref="U19">IF(ISERROR(INDEX($A$3:$B$14312,SMALL(IF($A$3:$A$14312=U$3,ROW($A$3:$A$14312)),ROW(17:17)),2)),"",INDEX($A$3:$B$14312,SMALL(IF($A$3:$A$14312=U$3,ROW($A$3:$A$14312)),ROW(17:17)),2))</f>
        <v>Router3_136</v>
      </c>
      <c r="V19" t="str">
        <f t="array" ref="V19">IF(ISERROR(INDEX($A$3:$B$14312,SMALL(IF($A$3:$A$14312=V$3,ROW($A$3:$A$14312)),ROW(17:17)),2)),"",INDEX($A$3:$B$14312,SMALL(IF($A$3:$A$14312=V$3,ROW($A$3:$A$14312)),ROW(17:17)),2))</f>
        <v/>
      </c>
      <c r="W19" t="str">
        <f t="array" ref="W19">IF(ISERROR(INDEX($A$3:$B$14312,SMALL(IF($A$3:$A$14312=W$3,ROW($A$3:$A$14312)),ROW(17:17)),2)),"",INDEX($A$3:$B$14312,SMALL(IF($A$3:$A$14312=W$3,ROW($A$3:$A$14312)),ROW(17:17)),2))</f>
        <v>Router3_112</v>
      </c>
      <c r="X19" t="str">
        <f t="array" ref="X19">IF(ISERROR(INDEX($A$3:$B$14312,SMALL(IF($A$3:$A$14312=X$3,ROW($A$3:$A$14312)),ROW(17:17)),2)),"",INDEX($A$3:$B$14312,SMALL(IF($A$3:$A$14312=X$3,ROW($A$3:$A$14312)),ROW(17:17)),2))</f>
        <v/>
      </c>
      <c r="Y19" t="str">
        <f t="array" ref="Y19">IF(ISERROR(INDEX($A$3:$B$14312,SMALL(IF($A$3:$A$14312=Y$3,ROW($A$3:$A$14312)),ROW(17:17)),2)),"",INDEX($A$3:$B$14312,SMALL(IF($A$3:$A$14312=Y$3,ROW($A$3:$A$14312)),ROW(17:17)),2))</f>
        <v/>
      </c>
      <c r="Z19" t="str">
        <f t="array" ref="Z19">IF(ISERROR(INDEX($A$3:$B$14312,SMALL(IF($A$3:$A$14312=Z$3,ROW($A$3:$A$14312)),ROW(17:17)),2)),"",INDEX($A$3:$B$14312,SMALL(IF($A$3:$A$14312=Z$3,ROW($A$3:$A$14312)),ROW(17:17)),2))</f>
        <v/>
      </c>
      <c r="AA19" t="str">
        <f t="array" ref="AA19">IF(ISERROR(INDEX($A$3:$B$14312,SMALL(IF($A$3:$A$14312=AA$3,ROW($A$3:$A$14312)),ROW(17:17)),2)),"",INDEX($A$3:$B$14312,SMALL(IF($A$3:$A$14312=AA$3,ROW($A$3:$A$14312)),ROW(17:17)),2))</f>
        <v/>
      </c>
      <c r="AB19" t="str">
        <f t="array" ref="AB19">IF(ISERROR(INDEX($A$3:$B$14312,SMALL(IF($A$3:$A$14312=AB$3,ROW($A$3:$A$14312)),ROW(17:17)),2)),"",INDEX($A$3:$B$14312,SMALL(IF($A$3:$A$14312=AB$3,ROW($A$3:$A$14312)),ROW(17:17)),2))</f>
        <v/>
      </c>
      <c r="AC19" t="str">
        <f t="array" ref="AC19">IF(ISERROR(INDEX($A$3:$B$14312,SMALL(IF($A$3:$A$14312=AC$3,ROW($A$3:$A$14312)),ROW(17:17)),2)),"",INDEX($A$3:$B$14312,SMALL(IF($A$3:$A$14312=AC$3,ROW($A$3:$A$14312)),ROW(17:17)),2))</f>
        <v/>
      </c>
      <c r="AD19" t="str">
        <f t="array" ref="AD19">IF(ISERROR(INDEX($A$3:$B$14312,SMALL(IF($A$3:$A$14312=AD$3,ROW($A$3:$A$14312)),ROW(17:17)),2)),"",INDEX($A$3:$B$14312,SMALL(IF($A$3:$A$14312=AD$3,ROW($A$3:$A$14312)),ROW(17:17)),2))</f>
        <v/>
      </c>
      <c r="AE19" t="str">
        <f t="array" ref="AE19">IF(ISERROR(INDEX($A$3:$B$14312,SMALL(IF($A$3:$A$14312=AE$3,ROW($A$3:$A$14312)),ROW(17:17)),2)),"",INDEX($A$3:$B$14312,SMALL(IF($A$3:$A$14312=AE$3,ROW($A$3:$A$14312)),ROW(17:17)),2))</f>
        <v/>
      </c>
      <c r="AF19" t="str">
        <f t="array" ref="AF19">IF(ISERROR(INDEX($A$3:$B$14312,SMALL(IF($A$3:$A$14312=AF$3,ROW($A$3:$A$14312)),ROW(17:17)),2)),"",INDEX($A$3:$B$14312,SMALL(IF($A$3:$A$14312=AF$3,ROW($A$3:$A$14312)),ROW(17:17)),2))</f>
        <v>Router3_100</v>
      </c>
      <c r="AG19" t="str">
        <f t="array" ref="AG19">IF(ISERROR(INDEX($A$3:$B$14312,SMALL(IF($A$3:$A$14312=AG$3,ROW($A$3:$A$14312)),ROW(17:17)),2)),"",INDEX($A$3:$B$14312,SMALL(IF($A$3:$A$14312=AG$3,ROW($A$3:$A$14312)),ROW(17:17)),2))</f>
        <v>Router3_79</v>
      </c>
      <c r="AH19" t="str">
        <f t="array" ref="AH19">IF(ISERROR(INDEX($A$3:$B$14312,SMALL(IF($A$3:$A$14312=AH$3,ROW($A$3:$A$14312)),ROW(17:17)),2)),"",INDEX($A$3:$B$14312,SMALL(IF($A$3:$A$14312=AH$3,ROW($A$3:$A$14312)),ROW(17:17)),2))</f>
        <v>Router3_65</v>
      </c>
      <c r="AI19" t="str">
        <f t="array" ref="AI19">IF(ISERROR(INDEX($A$3:$B$14312,SMALL(IF($A$3:$A$14312=AI$3,ROW($A$3:$A$14312)),ROW(17:17)),2)),"",INDEX($A$3:$B$14312,SMALL(IF($A$3:$A$14312=AI$3,ROW($A$3:$A$14312)),ROW(17:17)),2))</f>
        <v>Router3_108</v>
      </c>
      <c r="AJ19" t="str">
        <f t="array" ref="AJ19">IF(ISERROR(INDEX($A$3:$B$14312,SMALL(IF($A$3:$A$14312=AJ$3,ROW($A$3:$A$14312)),ROW(17:17)),2)),"",INDEX($A$3:$B$14312,SMALL(IF($A$3:$A$14312=AJ$3,ROW($A$3:$A$14312)),ROW(17:17)),2))</f>
        <v/>
      </c>
      <c r="AK19" t="str">
        <f t="array" ref="AK19">IF(ISERROR(INDEX($A$3:$B$14312,SMALL(IF($A$3:$A$14312=AK$3,ROW($A$3:$A$14312)),ROW(17:17)),2)),"",INDEX($A$3:$B$14312,SMALL(IF($A$3:$A$14312=AK$3,ROW($A$3:$A$14312)),ROW(17:17)),2))</f>
        <v/>
      </c>
      <c r="AL19" t="str">
        <f t="array" ref="AL19">IF(ISERROR(INDEX($A$3:$B$14312,SMALL(IF($A$3:$A$14312=AL$3,ROW($A$3:$A$14312)),ROW(17:17)),2)),"",INDEX($A$3:$B$14312,SMALL(IF($A$3:$A$14312=AL$3,ROW($A$3:$A$14312)),ROW(17:17)),2))</f>
        <v>Router3_139</v>
      </c>
      <c r="AM19" t="str">
        <f t="array" ref="AM19">IF(ISERROR(INDEX($A$3:$B$14312,SMALL(IF($A$3:$A$14312=AM$3,ROW($A$3:$A$14312)),ROW(17:17)),2)),"",INDEX($A$3:$B$14312,SMALL(IF($A$3:$A$14312=AM$3,ROW($A$3:$A$14312)),ROW(17:17)),2))</f>
        <v>Router3_118</v>
      </c>
      <c r="AN19" t="str">
        <f t="array" ref="AN19">IF(ISERROR(INDEX($A$3:$B$14312,SMALL(IF($A$3:$A$14312=AN$3,ROW($A$3:$A$14312)),ROW(17:17)),2)),"",INDEX($A$3:$B$14312,SMALL(IF($A$3:$A$14312=AN$3,ROW($A$3:$A$14312)),ROW(17:17)),2))</f>
        <v>Router3_63</v>
      </c>
      <c r="AO19" t="str">
        <f t="array" ref="AO19">IF(ISERROR(INDEX($A$3:$B$14312,SMALL(IF($A$3:$A$14312=AO$3,ROW($A$3:$A$14312)),ROW(17:17)),2)),"",INDEX($A$3:$B$14312,SMALL(IF($A$3:$A$14312=AO$3,ROW($A$3:$A$14312)),ROW(17:17)),2))</f>
        <v/>
      </c>
      <c r="AP19" t="str">
        <f t="array" ref="AP19">IF(ISERROR(INDEX($A$3:$B$14312,SMALL(IF($A$3:$A$14312=AP$3,ROW($A$3:$A$14312)),ROW(17:17)),2)),"",INDEX($A$3:$B$14312,SMALL(IF($A$3:$A$14312=AP$3,ROW($A$3:$A$14312)),ROW(17:17)),2))</f>
        <v>Router3_19</v>
      </c>
      <c r="AQ19" t="str">
        <f t="array" ref="AQ19">IF(ISERROR(INDEX($A$3:$B$14312,SMALL(IF($A$3:$A$14312=AQ$3,ROW($A$3:$A$14312)),ROW(17:17)),2)),"",INDEX($A$3:$B$14312,SMALL(IF($A$3:$A$14312=AQ$3,ROW($A$3:$A$14312)),ROW(17:17)),2))</f>
        <v/>
      </c>
      <c r="AR19" t="str">
        <f t="array" ref="AR19">IF(ISERROR(INDEX($A$3:$B$14312,SMALL(IF($A$3:$A$14312=AR$3,ROW($A$3:$A$14312)),ROW(17:17)),2)),"",INDEX($A$3:$B$14312,SMALL(IF($A$3:$A$14312=AR$3,ROW($A$3:$A$14312)),ROW(17:17)),2))</f>
        <v/>
      </c>
      <c r="AS19" t="str">
        <f t="array" ref="AS19">IF(ISERROR(INDEX($A$3:$B$14312,SMALL(IF($A$3:$A$14312=AS$3,ROW($A$3:$A$14312)),ROW(17:17)),2)),"",INDEX($A$3:$B$14312,SMALL(IF($A$3:$A$14312=AS$3,ROW($A$3:$A$14312)),ROW(17:17)),2))</f>
        <v>Router3_82</v>
      </c>
      <c r="AT19" t="str">
        <f t="array" ref="AT19">IF(ISERROR(INDEX($A$3:$B$14312,SMALL(IF($A$3:$A$14312=AT$3,ROW($A$3:$A$14312)),ROW(17:17)),2)),"",INDEX($A$3:$B$14312,SMALL(IF($A$3:$A$14312=AT$3,ROW($A$3:$A$14312)),ROW(17:17)),2))</f>
        <v/>
      </c>
      <c r="AU19" t="str">
        <f t="array" ref="AU19">IF(ISERROR(INDEX($A$3:$B$14312,SMALL(IF($A$3:$A$14312=AU$3,ROW($A$3:$A$14312)),ROW(17:17)),2)),"",INDEX($A$3:$B$14312,SMALL(IF($A$3:$A$14312=AU$3,ROW($A$3:$A$14312)),ROW(17:17)),2))</f>
        <v>Router3_19</v>
      </c>
      <c r="AV19" t="str">
        <f t="array" ref="AV19">IF(ISERROR(INDEX($A$3:$B$14312,SMALL(IF($A$3:$A$14312=AV$3,ROW($A$3:$A$14312)),ROW(17:17)),2)),"",INDEX($A$3:$B$14312,SMALL(IF($A$3:$A$14312=AV$3,ROW($A$3:$A$14312)),ROW(17:17)),2))</f>
        <v/>
      </c>
      <c r="AW19" t="str">
        <f t="array" ref="AW19">IF(ISERROR(INDEX($A$3:$B$14312,SMALL(IF($A$3:$A$14312=AW$3,ROW($A$3:$A$14312)),ROW(17:17)),2)),"",INDEX($A$3:$B$14312,SMALL(IF($A$3:$A$14312=AW$3,ROW($A$3:$A$14312)),ROW(17:17)),2))</f>
        <v/>
      </c>
      <c r="AX19" t="str">
        <f t="array" ref="AX19">IF(ISERROR(INDEX($A$3:$B$14312,SMALL(IF($A$3:$A$14312=AX$3,ROW($A$3:$A$14312)),ROW(17:17)),2)),"",INDEX($A$3:$B$14312,SMALL(IF($A$3:$A$14312=AX$3,ROW($A$3:$A$14312)),ROW(17:17)),2))</f>
        <v/>
      </c>
      <c r="AY19" t="str">
        <f t="array" ref="AY19">IF(ISERROR(INDEX($A$3:$B$14312,SMALL(IF($A$3:$A$14312=AY$3,ROW($A$3:$A$14312)),ROW(17:17)),2)),"",INDEX($A$3:$B$14312,SMALL(IF($A$3:$A$14312=AY$3,ROW($A$3:$A$14312)),ROW(17:17)),2))</f>
        <v>Router3_119</v>
      </c>
      <c r="AZ19" t="str">
        <f t="array" ref="AZ19">IF(ISERROR(INDEX($A$3:$B$14312,SMALL(IF($A$3:$A$14312=AZ$3,ROW($A$3:$A$14312)),ROW(17:17)),2)),"",INDEX($A$3:$B$14312,SMALL(IF($A$3:$A$14312=AZ$3,ROW($A$3:$A$14312)),ROW(17:17)),2))</f>
        <v/>
      </c>
      <c r="BA19" t="str">
        <f t="array" ref="BA19">IF(ISERROR(INDEX($A$3:$B$14312,SMALL(IF($A$3:$A$14312=BA$3,ROW($A$3:$A$14312)),ROW(17:17)),2)),"",INDEX($A$3:$B$14312,SMALL(IF($A$3:$A$14312=BA$3,ROW($A$3:$A$14312)),ROW(17:17)),2))</f>
        <v/>
      </c>
      <c r="BB19" t="str">
        <f t="array" ref="BB19">IF(ISERROR(INDEX($A$3:$B$14312,SMALL(IF($A$3:$A$14312=BB$3,ROW($A$3:$A$14312)),ROW(17:17)),2)),"",INDEX($A$3:$B$14312,SMALL(IF($A$3:$A$14312=BB$3,ROW($A$3:$A$14312)),ROW(17:17)),2))</f>
        <v/>
      </c>
      <c r="BC19" t="str">
        <f t="array" ref="BC19">IF(ISERROR(INDEX($A$3:$B$14312,SMALL(IF($A$3:$A$14312=BC$3,ROW($A$3:$A$14312)),ROW(17:17)),2)),"",INDEX($A$3:$B$14312,SMALL(IF($A$3:$A$14312=BC$3,ROW($A$3:$A$14312)),ROW(17:17)),2))</f>
        <v/>
      </c>
      <c r="BD19" t="str">
        <f t="array" ref="BD19">IF(ISERROR(INDEX($A$3:$B$14312,SMALL(IF($A$3:$A$14312=BD$3,ROW($A$3:$A$14312)),ROW(17:17)),2)),"",INDEX($A$3:$B$14312,SMALL(IF($A$3:$A$14312=BD$3,ROW($A$3:$A$14312)),ROW(17:17)),2))</f>
        <v/>
      </c>
      <c r="BE19" t="str">
        <f t="array" ref="BE19">IF(ISERROR(INDEX($A$3:$B$14312,SMALL(IF($A$3:$A$14312=BE$3,ROW($A$3:$A$14312)),ROW(17:17)),2)),"",INDEX($A$3:$B$14312,SMALL(IF($A$3:$A$14312=BE$3,ROW($A$3:$A$14312)),ROW(17:17)),2))</f>
        <v/>
      </c>
      <c r="BF19" t="str">
        <f t="array" ref="BF19">IF(ISERROR(INDEX($A$3:$B$14312,SMALL(IF($A$3:$A$14312=BF$3,ROW($A$3:$A$14312)),ROW(17:17)),2)),"",INDEX($A$3:$B$14312,SMALL(IF($A$3:$A$14312=BF$3,ROW($A$3:$A$14312)),ROW(17:17)),2))</f>
        <v/>
      </c>
      <c r="BG19" t="str">
        <f t="array" ref="BG19">IF(ISERROR(INDEX($A$3:$B$14312,SMALL(IF($A$3:$A$14312=BG$3,ROW($A$3:$A$14312)),ROW(17:17)),2)),"",INDEX($A$3:$B$14312,SMALL(IF($A$3:$A$14312=BG$3,ROW($A$3:$A$14312)),ROW(17:17)),2))</f>
        <v/>
      </c>
      <c r="BH19" t="str">
        <f t="array" ref="BH19">IF(ISERROR(INDEX($A$3:$B$14312,SMALL(IF($A$3:$A$14312=BH$3,ROW($A$3:$A$14312)),ROW(17:17)),2)),"",INDEX($A$3:$B$14312,SMALL(IF($A$3:$A$14312=BH$3,ROW($A$3:$A$14312)),ROW(17:17)),2))</f>
        <v/>
      </c>
      <c r="BI19" t="str">
        <f t="array" ref="BI19">IF(ISERROR(INDEX($A$3:$B$14312,SMALL(IF($A$3:$A$14312=BI$3,ROW($A$3:$A$14312)),ROW(17:17)),2)),"",INDEX($A$3:$B$14312,SMALL(IF($A$3:$A$14312=BI$3,ROW($A$3:$A$14312)),ROW(17:17)),2))</f>
        <v/>
      </c>
      <c r="BJ19" t="str">
        <f t="array" ref="BJ19">IF(ISERROR(INDEX($A$3:$B$14312,SMALL(IF($A$3:$A$14312=BJ$3,ROW($A$3:$A$14312)),ROW(17:17)),2)),"",INDEX($A$3:$B$14312,SMALL(IF($A$3:$A$14312=BJ$3,ROW($A$3:$A$14312)),ROW(17:17)),2))</f>
        <v/>
      </c>
      <c r="BK19" t="str">
        <f t="array" ref="BK19">IF(ISERROR(INDEX($A$3:$B$14312,SMALL(IF($A$3:$A$14312=BK$3,ROW($A$3:$A$14312)),ROW(17:17)),2)),"",INDEX($A$3:$B$14312,SMALL(IF($A$3:$A$14312=BK$3,ROW($A$3:$A$14312)),ROW(17:17)),2))</f>
        <v/>
      </c>
      <c r="BL19" t="str">
        <f t="array" ref="BL19">IF(ISERROR(INDEX($A$3:$B$14312,SMALL(IF($A$3:$A$14312=BL$3,ROW($A$3:$A$14312)),ROW(17:17)),2)),"",INDEX($A$3:$B$14312,SMALL(IF($A$3:$A$14312=BL$3,ROW($A$3:$A$14312)),ROW(17:17)),2))</f>
        <v/>
      </c>
      <c r="BM19" t="str">
        <f t="array" ref="BM19">IF(ISERROR(INDEX($A$3:$B$14312,SMALL(IF($A$3:$A$14312=BM$3,ROW($A$3:$A$14312)),ROW(17:17)),2)),"",INDEX($A$3:$B$14312,SMALL(IF($A$3:$A$14312=BM$3,ROW($A$3:$A$14312)),ROW(17:17)),2))</f>
        <v/>
      </c>
      <c r="BN19" t="str">
        <f t="array" ref="BN19">IF(ISERROR(INDEX($A$3:$B$14312,SMALL(IF($A$3:$A$14312=BN$3,ROW($A$3:$A$14312)),ROW(17:17)),2)),"",INDEX($A$3:$B$14312,SMALL(IF($A$3:$A$14312=BN$3,ROW($A$3:$A$14312)),ROW(17:17)),2))</f>
        <v/>
      </c>
      <c r="BO19" t="str">
        <f t="array" ref="BO19">IF(ISERROR(INDEX($A$3:$B$14312,SMALL(IF($A$3:$A$14312=BO$3,ROW($A$3:$A$14312)),ROW(17:17)),2)),"",INDEX($A$3:$B$14312,SMALL(IF($A$3:$A$14312=BO$3,ROW($A$3:$A$14312)),ROW(17:17)),2))</f>
        <v/>
      </c>
      <c r="BP19" t="str">
        <f t="array" ref="BP19">IF(ISERROR(INDEX($A$3:$B$14312,SMALL(IF($A$3:$A$14312=BP$3,ROW($A$3:$A$14312)),ROW(17:17)),2)),"",INDEX($A$3:$B$14312,SMALL(IF($A$3:$A$14312=BP$3,ROW($A$3:$A$14312)),ROW(17:17)),2))</f>
        <v/>
      </c>
      <c r="BQ19" t="str">
        <f t="array" ref="BQ19">IF(ISERROR(INDEX($A$3:$B$14312,SMALL(IF($A$3:$A$14312=BQ$3,ROW($A$3:$A$14312)),ROW(17:17)),2)),"",INDEX($A$3:$B$14312,SMALL(IF($A$3:$A$14312=BQ$3,ROW($A$3:$A$14312)),ROW(17:17)),2))</f>
        <v/>
      </c>
      <c r="BR19" t="str">
        <f t="array" ref="BR19">IF(ISERROR(INDEX($A$3:$B$14312,SMALL(IF($A$3:$A$14312=BR$3,ROW($A$3:$A$14312)),ROW(17:17)),2)),"",INDEX($A$3:$B$14312,SMALL(IF($A$3:$A$14312=BR$3,ROW($A$3:$A$14312)),ROW(17:17)),2))</f>
        <v/>
      </c>
      <c r="BS19" t="str">
        <f t="array" ref="BS19">IF(ISERROR(INDEX($A$3:$B$14312,SMALL(IF($A$3:$A$14312=BS$3,ROW($A$3:$A$14312)),ROW(17:17)),2)),"",INDEX($A$3:$B$14312,SMALL(IF($A$3:$A$14312=BS$3,ROW($A$3:$A$14312)),ROW(17:17)),2))</f>
        <v/>
      </c>
      <c r="BT19" t="str">
        <f t="array" ref="BT19">IF(ISERROR(INDEX($A$3:$B$14312,SMALL(IF($A$3:$A$14312=BT$3,ROW($A$3:$A$14312)),ROW(17:17)),2)),"",INDEX($A$3:$B$14312,SMALL(IF($A$3:$A$14312=BT$3,ROW($A$3:$A$14312)),ROW(17:17)),2))</f>
        <v>Router3_86</v>
      </c>
      <c r="BU19" t="str">
        <f t="array" ref="BU19">IF(ISERROR(INDEX($A$3:$B$14312,SMALL(IF($A$3:$A$14312=BU$3,ROW($A$3:$A$14312)),ROW(17:17)),2)),"",INDEX($A$3:$B$14312,SMALL(IF($A$3:$A$14312=BU$3,ROW($A$3:$A$14312)),ROW(17:17)),2))</f>
        <v/>
      </c>
      <c r="BV19" t="str">
        <f t="array" ref="BV19">IF(ISERROR(INDEX($A$3:$B$14312,SMALL(IF($A$3:$A$14312=BV$3,ROW($A$3:$A$14312)),ROW(17:17)),2)),"",INDEX($A$3:$B$14312,SMALL(IF($A$3:$A$14312=BV$3,ROW($A$3:$A$14312)),ROW(17:17)),2))</f>
        <v/>
      </c>
      <c r="BW19" t="str">
        <f t="array" ref="BW19">IF(ISERROR(INDEX($A$3:$B$14312,SMALL(IF($A$3:$A$14312=BW$3,ROW($A$3:$A$14312)),ROW(17:17)),2)),"",INDEX($A$3:$B$14312,SMALL(IF($A$3:$A$14312=BW$3,ROW($A$3:$A$14312)),ROW(17:17)),2))</f>
        <v>Router3_155</v>
      </c>
      <c r="BX19" t="str">
        <f t="array" ref="BX19">IF(ISERROR(INDEX($A$3:$B$14312,SMALL(IF($A$3:$A$14312=BX$3,ROW($A$3:$A$14312)),ROW(17:17)),2)),"",INDEX($A$3:$B$14312,SMALL(IF($A$3:$A$14312=BX$3,ROW($A$3:$A$14312)),ROW(17:17)),2))</f>
        <v>Router3_92</v>
      </c>
      <c r="BY19" t="str">
        <f t="array" ref="BY19">IF(ISERROR(INDEX($A$3:$B$14312,SMALL(IF($A$3:$A$14312=BY$3,ROW($A$3:$A$14312)),ROW(17:17)),2)),"",INDEX($A$3:$B$14312,SMALL(IF($A$3:$A$14312=BY$3,ROW($A$3:$A$14312)),ROW(17:17)),2))</f>
        <v>Router3_82</v>
      </c>
      <c r="BZ19" t="str">
        <f t="array" ref="BZ19">IF(ISERROR(INDEX($A$3:$B$14312,SMALL(IF($A$3:$A$14312=BZ$3,ROW($A$3:$A$14312)),ROW(17:17)),2)),"",INDEX($A$3:$B$14312,SMALL(IF($A$3:$A$14312=BZ$3,ROW($A$3:$A$14312)),ROW(17:17)),2))</f>
        <v>Router3_82</v>
      </c>
      <c r="CA19" t="str">
        <f t="array" ref="CA19">IF(ISERROR(INDEX($A$3:$B$14312,SMALL(IF($A$3:$A$14312=CA$3,ROW($A$3:$A$14312)),ROW(17:17)),2)),"",INDEX($A$3:$B$14312,SMALL(IF($A$3:$A$14312=CA$3,ROW($A$3:$A$14312)),ROW(17:17)),2))</f>
        <v/>
      </c>
      <c r="CB19" t="str">
        <f t="array" ref="CB19">IF(ISERROR(INDEX($A$3:$B$14312,SMALL(IF($A$3:$A$14312=CB$3,ROW($A$3:$A$14312)),ROW(17:17)),2)),"",INDEX($A$3:$B$14312,SMALL(IF($A$3:$A$14312=CB$3,ROW($A$3:$A$14312)),ROW(17:17)),2))</f>
        <v/>
      </c>
      <c r="CC19" t="str">
        <f t="array" ref="CC19">IF(ISERROR(INDEX($A$3:$B$14312,SMALL(IF($A$3:$A$14312=CC$3,ROW($A$3:$A$14312)),ROW(17:17)),2)),"",INDEX($A$3:$B$14312,SMALL(IF($A$3:$A$14312=CC$3,ROW($A$3:$A$14312)),ROW(17:17)),2))</f>
        <v/>
      </c>
      <c r="CD19" t="str">
        <f t="array" ref="CD19">IF(ISERROR(INDEX($A$3:$B$14312,SMALL(IF($A$3:$A$14312=CD$3,ROW($A$3:$A$14312)),ROW(17:17)),2)),"",INDEX($A$3:$B$14312,SMALL(IF($A$3:$A$14312=CD$3,ROW($A$3:$A$14312)),ROW(17:17)),2))</f>
        <v/>
      </c>
      <c r="CE19" t="str">
        <f t="array" ref="CE19">IF(ISERROR(INDEX($A$3:$B$14312,SMALL(IF($A$3:$A$14312=CE$3,ROW($A$3:$A$14312)),ROW(17:17)),2)),"",INDEX($A$3:$B$14312,SMALL(IF($A$3:$A$14312=CE$3,ROW($A$3:$A$14312)),ROW(17:17)),2))</f>
        <v/>
      </c>
      <c r="CF19" t="str">
        <f t="array" ref="CF19">IF(ISERROR(INDEX($A$3:$B$14312,SMALL(IF($A$3:$A$14312=CF$3,ROW($A$3:$A$14312)),ROW(17:17)),2)),"",INDEX($A$3:$B$14312,SMALL(IF($A$3:$A$14312=CF$3,ROW($A$3:$A$14312)),ROW(17:17)),2))</f>
        <v/>
      </c>
      <c r="CG19" t="str">
        <f t="array" ref="CG19">IF(ISERROR(INDEX($A$3:$B$14312,SMALL(IF($A$3:$A$14312=CG$3,ROW($A$3:$A$14312)),ROW(17:17)),2)),"",INDEX($A$3:$B$14312,SMALL(IF($A$3:$A$14312=CG$3,ROW($A$3:$A$14312)),ROW(17:17)),2))</f>
        <v>Router3_24</v>
      </c>
      <c r="CH19" t="str">
        <f t="array" ref="CH19">IF(ISERROR(INDEX($A$3:$B$14312,SMALL(IF($A$3:$A$14312=CH$3,ROW($A$3:$A$14312)),ROW(17:17)),2)),"",INDEX($A$3:$B$14312,SMALL(IF($A$3:$A$14312=CH$3,ROW($A$3:$A$14312)),ROW(17:17)),2))</f>
        <v/>
      </c>
      <c r="CI19" t="str">
        <f t="array" ref="CI19">IF(ISERROR(INDEX($A$3:$B$14312,SMALL(IF($A$3:$A$14312=CI$3,ROW($A$3:$A$14312)),ROW(17:17)),2)),"",INDEX($A$3:$B$14312,SMALL(IF($A$3:$A$14312=CI$3,ROW($A$3:$A$14312)),ROW(17:17)),2))</f>
        <v/>
      </c>
      <c r="CJ19" t="str">
        <f t="array" ref="CJ19">IF(ISERROR(INDEX($A$3:$B$14312,SMALL(IF($A$3:$A$14312=CJ$3,ROW($A$3:$A$14312)),ROW(17:17)),2)),"",INDEX($A$3:$B$14312,SMALL(IF($A$3:$A$14312=CJ$3,ROW($A$3:$A$14312)),ROW(17:17)),2))</f>
        <v/>
      </c>
      <c r="CK19" t="str">
        <f t="array" ref="CK19">IF(ISERROR(INDEX($A$3:$B$14312,SMALL(IF($A$3:$A$14312=CK$3,ROW($A$3:$A$14312)),ROW(17:17)),2)),"",INDEX($A$3:$B$14312,SMALL(IF($A$3:$A$14312=CK$3,ROW($A$3:$A$14312)),ROW(17:17)),2))</f>
        <v/>
      </c>
      <c r="CL19" t="str">
        <f t="array" ref="CL19">IF(ISERROR(INDEX($A$3:$B$14312,SMALL(IF($A$3:$A$14312=CL$3,ROW($A$3:$A$14312)),ROW(17:17)),2)),"",INDEX($A$3:$B$14312,SMALL(IF($A$3:$A$14312=CL$3,ROW($A$3:$A$14312)),ROW(17:17)),2))</f>
        <v/>
      </c>
      <c r="CM19" t="str">
        <f t="array" ref="CM19">IF(ISERROR(INDEX($A$3:$B$14312,SMALL(IF($A$3:$A$14312=CM$3,ROW($A$3:$A$14312)),ROW(17:17)),2)),"",INDEX($A$3:$B$14312,SMALL(IF($A$3:$A$14312=CM$3,ROW($A$3:$A$14312)),ROW(17:17)),2))</f>
        <v/>
      </c>
      <c r="CN19" t="str">
        <f t="array" ref="CN19">IF(ISERROR(INDEX($A$3:$B$14312,SMALL(IF($A$3:$A$14312=CN$3,ROW($A$3:$A$14312)),ROW(17:17)),2)),"",INDEX($A$3:$B$14312,SMALL(IF($A$3:$A$14312=CN$3,ROW($A$3:$A$14312)),ROW(17:17)),2))</f>
        <v>Router3_73</v>
      </c>
      <c r="CO19" t="str">
        <f t="array" ref="CO19">IF(ISERROR(INDEX($A$3:$B$14312,SMALL(IF($A$3:$A$14312=CO$3,ROW($A$3:$A$14312)),ROW(17:17)),2)),"",INDEX($A$3:$B$14312,SMALL(IF($A$3:$A$14312=CO$3,ROW($A$3:$A$14312)),ROW(17:17)),2))</f>
        <v>Router3_90</v>
      </c>
      <c r="CP19" t="str">
        <f t="array" ref="CP19">IF(ISERROR(INDEX($A$3:$B$14312,SMALL(IF($A$3:$A$14312=CP$3,ROW($A$3:$A$14312)),ROW(17:17)),2)),"",INDEX($A$3:$B$14312,SMALL(IF($A$3:$A$14312=CP$3,ROW($A$3:$A$14312)),ROW(17:17)),2))</f>
        <v>Router3_11</v>
      </c>
      <c r="CQ19" t="str">
        <f t="array" ref="CQ19">IF(ISERROR(INDEX($A$3:$B$14312,SMALL(IF($A$3:$A$14312=CQ$3,ROW($A$3:$A$14312)),ROW(17:17)),2)),"",INDEX($A$3:$B$14312,SMALL(IF($A$3:$A$14312=CQ$3,ROW($A$3:$A$14312)),ROW(17:17)),2))</f>
        <v/>
      </c>
      <c r="CR19" t="str">
        <f t="array" ref="CR19">IF(ISERROR(INDEX($A$3:$B$14312,SMALL(IF($A$3:$A$14312=CR$3,ROW($A$3:$A$14312)),ROW(17:17)),2)),"",INDEX($A$3:$B$14312,SMALL(IF($A$3:$A$14312=CR$3,ROW($A$3:$A$14312)),ROW(17:17)),2))</f>
        <v/>
      </c>
      <c r="CS19" t="str">
        <f t="array" ref="CS19">IF(ISERROR(INDEX($A$3:$B$14312,SMALL(IF($A$3:$A$14312=CS$3,ROW($A$3:$A$14312)),ROW(17:17)),2)),"",INDEX($A$3:$B$14312,SMALL(IF($A$3:$A$14312=CS$3,ROW($A$3:$A$14312)),ROW(17:17)),2))</f>
        <v/>
      </c>
      <c r="CT19" t="str">
        <f t="array" ref="CT19">IF(ISERROR(INDEX($A$3:$B$14312,SMALL(IF($A$3:$A$14312=CT$3,ROW($A$3:$A$14312)),ROW(17:17)),2)),"",INDEX($A$3:$B$14312,SMALL(IF($A$3:$A$14312=CT$3,ROW($A$3:$A$14312)),ROW(17:17)),2))</f>
        <v/>
      </c>
      <c r="CU19" t="str">
        <f t="array" ref="CU19">IF(ISERROR(INDEX($A$3:$B$14312,SMALL(IF($A$3:$A$14312=CU$3,ROW($A$3:$A$14312)),ROW(17:17)),2)),"",INDEX($A$3:$B$14312,SMALL(IF($A$3:$A$14312=CU$3,ROW($A$3:$A$14312)),ROW(17:17)),2))</f>
        <v/>
      </c>
      <c r="CV19" t="str">
        <f t="array" ref="CV19">IF(ISERROR(INDEX($A$3:$B$14312,SMALL(IF($A$3:$A$14312=CV$3,ROW($A$3:$A$14312)),ROW(17:17)),2)),"",INDEX($A$3:$B$14312,SMALL(IF($A$3:$A$14312=CV$3,ROW($A$3:$A$14312)),ROW(17:17)),2))</f>
        <v>Router3_95</v>
      </c>
      <c r="CW19" t="str">
        <f t="array" ref="CW19">IF(ISERROR(INDEX($A$3:$B$14312,SMALL(IF($A$3:$A$14312=CW$3,ROW($A$3:$A$14312)),ROW(17:17)),2)),"",INDEX($A$3:$B$14312,SMALL(IF($A$3:$A$14312=CW$3,ROW($A$3:$A$14312)),ROW(17:17)),2))</f>
        <v/>
      </c>
      <c r="CX19" t="str">
        <f t="array" ref="CX19">IF(ISERROR(INDEX($A$3:$B$14312,SMALL(IF($A$3:$A$14312=CX$3,ROW($A$3:$A$14312)),ROW(17:17)),2)),"",INDEX($A$3:$B$14312,SMALL(IF($A$3:$A$14312=CX$3,ROW($A$3:$A$14312)),ROW(17:17)),2))</f>
        <v/>
      </c>
      <c r="CY19" t="str">
        <f t="array" ref="CY19">IF(ISERROR(INDEX($A$3:$B$14312,SMALL(IF($A$3:$A$14312=CY$3,ROW($A$3:$A$14312)),ROW(17:17)),2)),"",INDEX($A$3:$B$14312,SMALL(IF($A$3:$A$14312=CY$3,ROW($A$3:$A$14312)),ROW(17:17)),2))</f>
        <v>Router3_88</v>
      </c>
      <c r="CZ19" t="str">
        <f t="array" ref="CZ19">IF(ISERROR(INDEX($A$3:$B$14312,SMALL(IF($A$3:$A$14312=CZ$3,ROW($A$3:$A$14312)),ROW(17:17)),2)),"",INDEX($A$3:$B$14312,SMALL(IF($A$3:$A$14312=CZ$3,ROW($A$3:$A$14312)),ROW(17:17)),2))</f>
        <v/>
      </c>
      <c r="DA19" t="str">
        <f t="array" ref="DA19">IF(ISERROR(INDEX($A$3:$B$14312,SMALL(IF($A$3:$A$14312=DA$3,ROW($A$3:$A$14312)),ROW(17:17)),2)),"",INDEX($A$3:$B$14312,SMALL(IF($A$3:$A$14312=DA$3,ROW($A$3:$A$14312)),ROW(17:17)),2))</f>
        <v>Router3_147</v>
      </c>
      <c r="DB19" t="str">
        <f t="array" ref="DB19">IF(ISERROR(INDEX($A$3:$B$14312,SMALL(IF($A$3:$A$14312=DB$3,ROW($A$3:$A$14312)),ROW(17:17)),2)),"",INDEX($A$3:$B$14312,SMALL(IF($A$3:$A$14312=DB$3,ROW($A$3:$A$14312)),ROW(17:17)),2))</f>
        <v/>
      </c>
      <c r="DC19" t="str">
        <f t="array" ref="DC19">IF(ISERROR(INDEX($A$3:$B$14312,SMALL(IF($A$3:$A$14312=DC$3,ROW($A$3:$A$14312)),ROW(17:17)),2)),"",INDEX($A$3:$B$14312,SMALL(IF($A$3:$A$14312=DC$3,ROW($A$3:$A$14312)),ROW(17:17)),2))</f>
        <v>Router3_117</v>
      </c>
      <c r="DD19" t="str">
        <f t="array" ref="DD19">IF(ISERROR(INDEX($A$3:$B$14312,SMALL(IF($A$3:$A$14312=DD$3,ROW($A$3:$A$14312)),ROW(17:17)),2)),"",INDEX($A$3:$B$14312,SMALL(IF($A$3:$A$14312=DD$3,ROW($A$3:$A$14312)),ROW(17:17)),2))</f>
        <v/>
      </c>
      <c r="DE19" t="str">
        <f t="array" ref="DE19">IF(ISERROR(INDEX($A$3:$B$14312,SMALL(IF($A$3:$A$14312=DE$3,ROW($A$3:$A$14312)),ROW(17:17)),2)),"",INDEX($A$3:$B$14312,SMALL(IF($A$3:$A$14312=DE$3,ROW($A$3:$A$14312)),ROW(17:17)),2))</f>
        <v/>
      </c>
      <c r="DF19" t="str">
        <f t="array" ref="DF19">IF(ISERROR(INDEX($A$3:$B$14312,SMALL(IF($A$3:$A$14312=DF$3,ROW($A$3:$A$14312)),ROW(17:17)),2)),"",INDEX($A$3:$B$14312,SMALL(IF($A$3:$A$14312=DF$3,ROW($A$3:$A$14312)),ROW(17:17)),2))</f>
        <v/>
      </c>
      <c r="DG19" t="str">
        <f t="array" ref="DG19">IF(ISERROR(INDEX($A$3:$B$14312,SMALL(IF($A$3:$A$14312=DG$3,ROW($A$3:$A$14312)),ROW(17:17)),2)),"",INDEX($A$3:$B$14312,SMALL(IF($A$3:$A$14312=DG$3,ROW($A$3:$A$14312)),ROW(17:17)),2))</f>
        <v>Router3_19</v>
      </c>
      <c r="DH19" t="str">
        <f t="array" ref="DH19">IF(ISERROR(INDEX($A$3:$B$14312,SMALL(IF($A$3:$A$14312=DH$3,ROW($A$3:$A$14312)),ROW(17:17)),2)),"",INDEX($A$3:$B$14312,SMALL(IF($A$3:$A$14312=DH$3,ROW($A$3:$A$14312)),ROW(17:17)),2))</f>
        <v/>
      </c>
      <c r="DI19" t="str">
        <f t="array" ref="DI19">IF(ISERROR(INDEX($A$3:$B$14312,SMALL(IF($A$3:$A$14312=DI$3,ROW($A$3:$A$14312)),ROW(17:17)),2)),"",INDEX($A$3:$B$14312,SMALL(IF($A$3:$A$14312=DI$3,ROW($A$3:$A$14312)),ROW(17:17)),2))</f>
        <v>Router3_83</v>
      </c>
      <c r="DJ19" t="str">
        <f t="array" ref="DJ19">IF(ISERROR(INDEX($A$3:$B$14312,SMALL(IF($A$3:$A$14312=DJ$3,ROW($A$3:$A$14312)),ROW(17:17)),2)),"",INDEX($A$3:$B$14312,SMALL(IF($A$3:$A$14312=DJ$3,ROW($A$3:$A$14312)),ROW(17:17)),2))</f>
        <v>Router3_91</v>
      </c>
      <c r="DK19" t="str">
        <f t="array" ref="DK19">IF(ISERROR(INDEX($A$3:$B$14312,SMALL(IF($A$3:$A$14312=DK$3,ROW($A$3:$A$14312)),ROW(17:17)),2)),"",INDEX($A$3:$B$14312,SMALL(IF($A$3:$A$14312=DK$3,ROW($A$3:$A$14312)),ROW(17:17)),2))</f>
        <v>Router3_110</v>
      </c>
      <c r="DL19" t="str">
        <f t="array" ref="DL19">IF(ISERROR(INDEX($A$3:$B$14312,SMALL(IF($A$3:$A$14312=DL$3,ROW($A$3:$A$14312)),ROW(17:17)),2)),"",INDEX($A$3:$B$14312,SMALL(IF($A$3:$A$14312=DL$3,ROW($A$3:$A$14312)),ROW(17:17)),2))</f>
        <v/>
      </c>
      <c r="DM19" t="str">
        <f t="array" ref="DM19">IF(ISERROR(INDEX($A$3:$B$14312,SMALL(IF($A$3:$A$14312=DM$3,ROW($A$3:$A$14312)),ROW(17:17)),2)),"",INDEX($A$3:$B$14312,SMALL(IF($A$3:$A$14312=DM$3,ROW($A$3:$A$14312)),ROW(17:17)),2))</f>
        <v/>
      </c>
      <c r="DN19" t="str">
        <f t="array" ref="DN19">IF(ISERROR(INDEX($A$3:$B$14312,SMALL(IF($A$3:$A$14312=DN$3,ROW($A$3:$A$14312)),ROW(17:17)),2)),"",INDEX($A$3:$B$14312,SMALL(IF($A$3:$A$14312=DN$3,ROW($A$3:$A$14312)),ROW(17:17)),2))</f>
        <v>Router3_112</v>
      </c>
      <c r="DO19" t="str">
        <f t="array" ref="DO19">IF(ISERROR(INDEX($A$3:$B$14312,SMALL(IF($A$3:$A$14312=DO$3,ROW($A$3:$A$14312)),ROW(17:17)),2)),"",INDEX($A$3:$B$14312,SMALL(IF($A$3:$A$14312=DO$3,ROW($A$3:$A$14312)),ROW(17:17)),2))</f>
        <v/>
      </c>
      <c r="DP19" t="str">
        <f t="array" ref="DP19">IF(ISERROR(INDEX($A$3:$B$14312,SMALL(IF($A$3:$A$14312=DP$3,ROW($A$3:$A$14312)),ROW(17:17)),2)),"",INDEX($A$3:$B$14312,SMALL(IF($A$3:$A$14312=DP$3,ROW($A$3:$A$14312)),ROW(17:17)),2))</f>
        <v/>
      </c>
      <c r="DQ19" t="str">
        <f t="array" ref="DQ19">IF(ISERROR(INDEX($A$3:$B$14312,SMALL(IF($A$3:$A$14312=DQ$3,ROW($A$3:$A$14312)),ROW(17:17)),2)),"",INDEX($A$3:$B$14312,SMALL(IF($A$3:$A$14312=DQ$3,ROW($A$3:$A$14312)),ROW(17:17)),2))</f>
        <v/>
      </c>
      <c r="DR19" t="str">
        <f t="array" ref="DR19">IF(ISERROR(INDEX($A$3:$B$14312,SMALL(IF($A$3:$A$14312=DR$3,ROW($A$3:$A$14312)),ROW(17:17)),2)),"",INDEX($A$3:$B$14312,SMALL(IF($A$3:$A$14312=DR$3,ROW($A$3:$A$14312)),ROW(17:17)),2))</f>
        <v>Router3_19</v>
      </c>
      <c r="DS19" t="str">
        <f t="array" ref="DS19">IF(ISERROR(INDEX($A$3:$B$14312,SMALL(IF($A$3:$A$14312=DS$3,ROW($A$3:$A$14312)),ROW(17:17)),2)),"",INDEX($A$3:$B$14312,SMALL(IF($A$3:$A$14312=DS$3,ROW($A$3:$A$14312)),ROW(17:17)),2))</f>
        <v/>
      </c>
      <c r="DT19" t="str">
        <f t="array" ref="DT19">IF(ISERROR(INDEX($A$3:$B$14312,SMALL(IF($A$3:$A$14312=DT$3,ROW($A$3:$A$14312)),ROW(17:17)),2)),"",INDEX($A$3:$B$14312,SMALL(IF($A$3:$A$14312=DT$3,ROW($A$3:$A$14312)),ROW(17:17)),2))</f>
        <v>Router3_83</v>
      </c>
      <c r="DU19" t="str">
        <f t="array" ref="DU19">IF(ISERROR(INDEX($A$3:$B$14312,SMALL(IF($A$3:$A$14312=DU$3,ROW($A$3:$A$14312)),ROW(17:17)),2)),"",INDEX($A$3:$B$14312,SMALL(IF($A$3:$A$14312=DU$3,ROW($A$3:$A$14312)),ROW(17:17)),2))</f>
        <v>Router3_135</v>
      </c>
      <c r="DV19" t="str">
        <f t="array" ref="DV19">IF(ISERROR(INDEX($A$3:$B$14312,SMALL(IF($A$3:$A$14312=DV$3,ROW($A$3:$A$14312)),ROW(17:17)),2)),"",INDEX($A$3:$B$14312,SMALL(IF($A$3:$A$14312=DV$3,ROW($A$3:$A$14312)),ROW(17:17)),2))</f>
        <v/>
      </c>
      <c r="DW19" t="str">
        <f t="array" ref="DW19">IF(ISERROR(INDEX($A$3:$B$14312,SMALL(IF($A$3:$A$14312=DW$3,ROW($A$3:$A$14312)),ROW(17:17)),2)),"",INDEX($A$3:$B$14312,SMALL(IF($A$3:$A$14312=DW$3,ROW($A$3:$A$14312)),ROW(17:17)),2))</f>
        <v/>
      </c>
      <c r="DX19" t="str">
        <f t="array" ref="DX19">IF(ISERROR(INDEX($A$3:$B$14312,SMALL(IF($A$3:$A$14312=DX$3,ROW($A$3:$A$14312)),ROW(17:17)),2)),"",INDEX($A$3:$B$14312,SMALL(IF($A$3:$A$14312=DX$3,ROW($A$3:$A$14312)),ROW(17:17)),2))</f>
        <v/>
      </c>
      <c r="DY19" t="str">
        <f t="array" ref="DY19">IF(ISERROR(INDEX($A$3:$B$14312,SMALL(IF($A$3:$A$14312=DY$3,ROW($A$3:$A$14312)),ROW(17:17)),2)),"",INDEX($A$3:$B$14312,SMALL(IF($A$3:$A$14312=DY$3,ROW($A$3:$A$14312)),ROW(17:17)),2))</f>
        <v/>
      </c>
      <c r="DZ19" t="str">
        <f t="array" ref="DZ19">IF(ISERROR(INDEX($A$3:$B$14312,SMALL(IF($A$3:$A$14312=DZ$3,ROW($A$3:$A$14312)),ROW(17:17)),2)),"",INDEX($A$3:$B$14312,SMALL(IF($A$3:$A$14312=DZ$3,ROW($A$3:$A$14312)),ROW(17:17)),2))</f>
        <v/>
      </c>
      <c r="EA19" t="str">
        <f t="array" ref="EA19">IF(ISERROR(INDEX($A$3:$B$14312,SMALL(IF($A$3:$A$14312=EA$3,ROW($A$3:$A$14312)),ROW(17:17)),2)),"",INDEX($A$3:$B$14312,SMALL(IF($A$3:$A$14312=EA$3,ROW($A$3:$A$14312)),ROW(17:17)),2))</f>
        <v>Router3_128</v>
      </c>
      <c r="EB19" t="str">
        <f t="array" ref="EB19">IF(ISERROR(INDEX($A$3:$B$14312,SMALL(IF($A$3:$A$14312=EB$3,ROW($A$3:$A$14312)),ROW(17:17)),2)),"",INDEX($A$3:$B$14312,SMALL(IF($A$3:$A$14312=EB$3,ROW($A$3:$A$14312)),ROW(17:17)),2))</f>
        <v>Router3_7</v>
      </c>
      <c r="EC19" t="str">
        <f t="array" ref="EC19">IF(ISERROR(INDEX($A$3:$B$14312,SMALL(IF($A$3:$A$14312=EC$3,ROW($A$3:$A$14312)),ROW(17:17)),2)),"",INDEX($A$3:$B$14312,SMALL(IF($A$3:$A$14312=EC$3,ROW($A$3:$A$14312)),ROW(17:17)),2))</f>
        <v>Router3_90</v>
      </c>
      <c r="ED19" t="str">
        <f t="array" ref="ED19">IF(ISERROR(INDEX($A$3:$B$14312,SMALL(IF($A$3:$A$14312=ED$3,ROW($A$3:$A$14312)),ROW(17:17)),2)),"",INDEX($A$3:$B$14312,SMALL(IF($A$3:$A$14312=ED$3,ROW($A$3:$A$14312)),ROW(17:17)),2))</f>
        <v>Router3_133</v>
      </c>
      <c r="EE19" t="str">
        <f t="array" ref="EE19">IF(ISERROR(INDEX($A$3:$B$14312,SMALL(IF($A$3:$A$14312=EE$3,ROW($A$3:$A$14312)),ROW(17:17)),2)),"",INDEX($A$3:$B$14312,SMALL(IF($A$3:$A$14312=EE$3,ROW($A$3:$A$14312)),ROW(17:17)),2))</f>
        <v>Router3_157</v>
      </c>
    </row>
    <row r="20" spans="1:135" x14ac:dyDescent="0.25">
      <c r="A20" s="10">
        <v>-450827382</v>
      </c>
      <c r="B20" t="s">
        <v>1097</v>
      </c>
      <c r="E20" t="str">
        <f t="array" ref="E20">IF(ISERROR(INDEX($A$3:$B$14312,SMALL(IF($A$3:$A$14312=E$3,ROW($A$3:$A$14312)),ROW(18:18)),2)),"",INDEX($A$3:$B$14312,SMALL(IF($A$3:$A$14312=E$3,ROW($A$3:$A$14312)),ROW(18:18)),2))</f>
        <v>Router3_74</v>
      </c>
      <c r="F20" t="str">
        <f t="array" ref="F20">IF(ISERROR(INDEX($A$3:$B$14312,SMALL(IF($A$3:$A$14312=F$3,ROW($A$3:$A$14312)),ROW(18:18)),2)),"",INDEX($A$3:$B$14312,SMALL(IF($A$3:$A$14312=F$3,ROW($A$3:$A$14312)),ROW(18:18)),2))</f>
        <v>Router3_77</v>
      </c>
      <c r="G20" t="str">
        <f t="array" ref="G20">IF(ISERROR(INDEX($A$3:$B$14312,SMALL(IF($A$3:$A$14312=G$3,ROW($A$3:$A$14312)),ROW(18:18)),2)),"",INDEX($A$3:$B$14312,SMALL(IF($A$3:$A$14312=G$3,ROW($A$3:$A$14312)),ROW(18:18)),2))</f>
        <v/>
      </c>
      <c r="H20" t="str">
        <f t="array" ref="H20">IF(ISERROR(INDEX($A$3:$B$14312,SMALL(IF($A$3:$A$14312=H$3,ROW($A$3:$A$14312)),ROW(18:18)),2)),"",INDEX($A$3:$B$14312,SMALL(IF($A$3:$A$14312=H$3,ROW($A$3:$A$14312)),ROW(18:18)),2))</f>
        <v/>
      </c>
      <c r="I20" t="str">
        <f t="array" ref="I20">IF(ISERROR(INDEX($A$3:$B$14312,SMALL(IF($A$3:$A$14312=I$3,ROW($A$3:$A$14312)),ROW(18:18)),2)),"",INDEX($A$3:$B$14312,SMALL(IF($A$3:$A$14312=I$3,ROW($A$3:$A$14312)),ROW(18:18)),2))</f>
        <v/>
      </c>
      <c r="J20" t="str">
        <f t="array" ref="J20">IF(ISERROR(INDEX($A$3:$B$14312,SMALL(IF($A$3:$A$14312=J$3,ROW($A$3:$A$14312)),ROW(18:18)),2)),"",INDEX($A$3:$B$14312,SMALL(IF($A$3:$A$14312=J$3,ROW($A$3:$A$14312)),ROW(18:18)),2))</f>
        <v>Router3_148</v>
      </c>
      <c r="K20" t="str">
        <f t="array" ref="K20">IF(ISERROR(INDEX($A$3:$B$14312,SMALL(IF($A$3:$A$14312=K$3,ROW($A$3:$A$14312)),ROW(18:18)),2)),"",INDEX($A$3:$B$14312,SMALL(IF($A$3:$A$14312=K$3,ROW($A$3:$A$14312)),ROW(18:18)),2))</f>
        <v/>
      </c>
      <c r="L20" t="str">
        <f t="array" ref="L20">IF(ISERROR(INDEX($A$3:$B$14312,SMALL(IF($A$3:$A$14312=L$3,ROW($A$3:$A$14312)),ROW(18:18)),2)),"",INDEX($A$3:$B$14312,SMALL(IF($A$3:$A$14312=L$3,ROW($A$3:$A$14312)),ROW(18:18)),2))</f>
        <v/>
      </c>
      <c r="M20" t="str">
        <f t="array" ref="M20">IF(ISERROR(INDEX($A$3:$B$14312,SMALL(IF($A$3:$A$14312=M$3,ROW($A$3:$A$14312)),ROW(18:18)),2)),"",INDEX($A$3:$B$14312,SMALL(IF($A$3:$A$14312=M$3,ROW($A$3:$A$14312)),ROW(18:18)),2))</f>
        <v/>
      </c>
      <c r="N20" t="str">
        <f t="array" ref="N20">IF(ISERROR(INDEX($A$3:$B$14312,SMALL(IF($A$3:$A$14312=N$3,ROW($A$3:$A$14312)),ROW(18:18)),2)),"",INDEX($A$3:$B$14312,SMALL(IF($A$3:$A$14312=N$3,ROW($A$3:$A$14312)),ROW(18:18)),2))</f>
        <v/>
      </c>
      <c r="O20" t="str">
        <f t="array" ref="O20">IF(ISERROR(INDEX($A$3:$B$14312,SMALL(IF($A$3:$A$14312=O$3,ROW($A$3:$A$14312)),ROW(18:18)),2)),"",INDEX($A$3:$B$14312,SMALL(IF($A$3:$A$14312=O$3,ROW($A$3:$A$14312)),ROW(18:18)),2))</f>
        <v/>
      </c>
      <c r="P20" t="str">
        <f t="array" ref="P20">IF(ISERROR(INDEX($A$3:$B$14312,SMALL(IF($A$3:$A$14312=P$3,ROW($A$3:$A$14312)),ROW(18:18)),2)),"",INDEX($A$3:$B$14312,SMALL(IF($A$3:$A$14312=P$3,ROW($A$3:$A$14312)),ROW(18:18)),2))</f>
        <v/>
      </c>
      <c r="Q20" t="str">
        <f t="array" ref="Q20">IF(ISERROR(INDEX($A$3:$B$14312,SMALL(IF($A$3:$A$14312=Q$3,ROW($A$3:$A$14312)),ROW(18:18)),2)),"",INDEX($A$3:$B$14312,SMALL(IF($A$3:$A$14312=Q$3,ROW($A$3:$A$14312)),ROW(18:18)),2))</f>
        <v/>
      </c>
      <c r="R20" t="str">
        <f t="array" ref="R20">IF(ISERROR(INDEX($A$3:$B$14312,SMALL(IF($A$3:$A$14312=R$3,ROW($A$3:$A$14312)),ROW(18:18)),2)),"",INDEX($A$3:$B$14312,SMALL(IF($A$3:$A$14312=R$3,ROW($A$3:$A$14312)),ROW(18:18)),2))</f>
        <v/>
      </c>
      <c r="S20" t="str">
        <f t="array" ref="S20">IF(ISERROR(INDEX($A$3:$B$14312,SMALL(IF($A$3:$A$14312=S$3,ROW($A$3:$A$14312)),ROW(18:18)),2)),"",INDEX($A$3:$B$14312,SMALL(IF($A$3:$A$14312=S$3,ROW($A$3:$A$14312)),ROW(18:18)),2))</f>
        <v/>
      </c>
      <c r="T20" t="str">
        <f t="array" ref="T20">IF(ISERROR(INDEX($A$3:$B$14312,SMALL(IF($A$3:$A$14312=T$3,ROW($A$3:$A$14312)),ROW(18:18)),2)),"",INDEX($A$3:$B$14312,SMALL(IF($A$3:$A$14312=T$3,ROW($A$3:$A$14312)),ROW(18:18)),2))</f>
        <v/>
      </c>
      <c r="U20" t="str">
        <f t="array" ref="U20">IF(ISERROR(INDEX($A$3:$B$14312,SMALL(IF($A$3:$A$14312=U$3,ROW($A$3:$A$14312)),ROW(18:18)),2)),"",INDEX($A$3:$B$14312,SMALL(IF($A$3:$A$14312=U$3,ROW($A$3:$A$14312)),ROW(18:18)),2))</f>
        <v>Router3_139</v>
      </c>
      <c r="V20" t="str">
        <f t="array" ref="V20">IF(ISERROR(INDEX($A$3:$B$14312,SMALL(IF($A$3:$A$14312=V$3,ROW($A$3:$A$14312)),ROW(18:18)),2)),"",INDEX($A$3:$B$14312,SMALL(IF($A$3:$A$14312=V$3,ROW($A$3:$A$14312)),ROW(18:18)),2))</f>
        <v/>
      </c>
      <c r="W20" t="str">
        <f t="array" ref="W20">IF(ISERROR(INDEX($A$3:$B$14312,SMALL(IF($A$3:$A$14312=W$3,ROW($A$3:$A$14312)),ROW(18:18)),2)),"",INDEX($A$3:$B$14312,SMALL(IF($A$3:$A$14312=W$3,ROW($A$3:$A$14312)),ROW(18:18)),2))</f>
        <v>Router3_113</v>
      </c>
      <c r="X20" t="str">
        <f t="array" ref="X20">IF(ISERROR(INDEX($A$3:$B$14312,SMALL(IF($A$3:$A$14312=X$3,ROW($A$3:$A$14312)),ROW(18:18)),2)),"",INDEX($A$3:$B$14312,SMALL(IF($A$3:$A$14312=X$3,ROW($A$3:$A$14312)),ROW(18:18)),2))</f>
        <v/>
      </c>
      <c r="Y20" t="str">
        <f t="array" ref="Y20">IF(ISERROR(INDEX($A$3:$B$14312,SMALL(IF($A$3:$A$14312=Y$3,ROW($A$3:$A$14312)),ROW(18:18)),2)),"",INDEX($A$3:$B$14312,SMALL(IF($A$3:$A$14312=Y$3,ROW($A$3:$A$14312)),ROW(18:18)),2))</f>
        <v/>
      </c>
      <c r="Z20" t="str">
        <f t="array" ref="Z20">IF(ISERROR(INDEX($A$3:$B$14312,SMALL(IF($A$3:$A$14312=Z$3,ROW($A$3:$A$14312)),ROW(18:18)),2)),"",INDEX($A$3:$B$14312,SMALL(IF($A$3:$A$14312=Z$3,ROW($A$3:$A$14312)),ROW(18:18)),2))</f>
        <v/>
      </c>
      <c r="AA20" t="str">
        <f t="array" ref="AA20">IF(ISERROR(INDEX($A$3:$B$14312,SMALL(IF($A$3:$A$14312=AA$3,ROW($A$3:$A$14312)),ROW(18:18)),2)),"",INDEX($A$3:$B$14312,SMALL(IF($A$3:$A$14312=AA$3,ROW($A$3:$A$14312)),ROW(18:18)),2))</f>
        <v/>
      </c>
      <c r="AB20" t="str">
        <f t="array" ref="AB20">IF(ISERROR(INDEX($A$3:$B$14312,SMALL(IF($A$3:$A$14312=AB$3,ROW($A$3:$A$14312)),ROW(18:18)),2)),"",INDEX($A$3:$B$14312,SMALL(IF($A$3:$A$14312=AB$3,ROW($A$3:$A$14312)),ROW(18:18)),2))</f>
        <v/>
      </c>
      <c r="AC20" t="str">
        <f t="array" ref="AC20">IF(ISERROR(INDEX($A$3:$B$14312,SMALL(IF($A$3:$A$14312=AC$3,ROW($A$3:$A$14312)),ROW(18:18)),2)),"",INDEX($A$3:$B$14312,SMALL(IF($A$3:$A$14312=AC$3,ROW($A$3:$A$14312)),ROW(18:18)),2))</f>
        <v/>
      </c>
      <c r="AD20" t="str">
        <f t="array" ref="AD20">IF(ISERROR(INDEX($A$3:$B$14312,SMALL(IF($A$3:$A$14312=AD$3,ROW($A$3:$A$14312)),ROW(18:18)),2)),"",INDEX($A$3:$B$14312,SMALL(IF($A$3:$A$14312=AD$3,ROW($A$3:$A$14312)),ROW(18:18)),2))</f>
        <v/>
      </c>
      <c r="AE20" t="str">
        <f t="array" ref="AE20">IF(ISERROR(INDEX($A$3:$B$14312,SMALL(IF($A$3:$A$14312=AE$3,ROW($A$3:$A$14312)),ROW(18:18)),2)),"",INDEX($A$3:$B$14312,SMALL(IF($A$3:$A$14312=AE$3,ROW($A$3:$A$14312)),ROW(18:18)),2))</f>
        <v/>
      </c>
      <c r="AF20" t="str">
        <f t="array" ref="AF20">IF(ISERROR(INDEX($A$3:$B$14312,SMALL(IF($A$3:$A$14312=AF$3,ROW($A$3:$A$14312)),ROW(18:18)),2)),"",INDEX($A$3:$B$14312,SMALL(IF($A$3:$A$14312=AF$3,ROW($A$3:$A$14312)),ROW(18:18)),2))</f>
        <v>Router3_102</v>
      </c>
      <c r="AG20" t="str">
        <f t="array" ref="AG20">IF(ISERROR(INDEX($A$3:$B$14312,SMALL(IF($A$3:$A$14312=AG$3,ROW($A$3:$A$14312)),ROW(18:18)),2)),"",INDEX($A$3:$B$14312,SMALL(IF($A$3:$A$14312=AG$3,ROW($A$3:$A$14312)),ROW(18:18)),2))</f>
        <v>Router3_80</v>
      </c>
      <c r="AH20" t="str">
        <f t="array" ref="AH20">IF(ISERROR(INDEX($A$3:$B$14312,SMALL(IF($A$3:$A$14312=AH$3,ROW($A$3:$A$14312)),ROW(18:18)),2)),"",INDEX($A$3:$B$14312,SMALL(IF($A$3:$A$14312=AH$3,ROW($A$3:$A$14312)),ROW(18:18)),2))</f>
        <v/>
      </c>
      <c r="AI20" t="str">
        <f t="array" ref="AI20">IF(ISERROR(INDEX($A$3:$B$14312,SMALL(IF($A$3:$A$14312=AI$3,ROW($A$3:$A$14312)),ROW(18:18)),2)),"",INDEX($A$3:$B$14312,SMALL(IF($A$3:$A$14312=AI$3,ROW($A$3:$A$14312)),ROW(18:18)),2))</f>
        <v>Router3_112</v>
      </c>
      <c r="AJ20" t="str">
        <f t="array" ref="AJ20">IF(ISERROR(INDEX($A$3:$B$14312,SMALL(IF($A$3:$A$14312=AJ$3,ROW($A$3:$A$14312)),ROW(18:18)),2)),"",INDEX($A$3:$B$14312,SMALL(IF($A$3:$A$14312=AJ$3,ROW($A$3:$A$14312)),ROW(18:18)),2))</f>
        <v/>
      </c>
      <c r="AK20" t="str">
        <f t="array" ref="AK20">IF(ISERROR(INDEX($A$3:$B$14312,SMALL(IF($A$3:$A$14312=AK$3,ROW($A$3:$A$14312)),ROW(18:18)),2)),"",INDEX($A$3:$B$14312,SMALL(IF($A$3:$A$14312=AK$3,ROW($A$3:$A$14312)),ROW(18:18)),2))</f>
        <v/>
      </c>
      <c r="AL20" t="str">
        <f t="array" ref="AL20">IF(ISERROR(INDEX($A$3:$B$14312,SMALL(IF($A$3:$A$14312=AL$3,ROW($A$3:$A$14312)),ROW(18:18)),2)),"",INDEX($A$3:$B$14312,SMALL(IF($A$3:$A$14312=AL$3,ROW($A$3:$A$14312)),ROW(18:18)),2))</f>
        <v>Router3_141</v>
      </c>
      <c r="AM20" t="str">
        <f t="array" ref="AM20">IF(ISERROR(INDEX($A$3:$B$14312,SMALL(IF($A$3:$A$14312=AM$3,ROW($A$3:$A$14312)),ROW(18:18)),2)),"",INDEX($A$3:$B$14312,SMALL(IF($A$3:$A$14312=AM$3,ROW($A$3:$A$14312)),ROW(18:18)),2))</f>
        <v>Router3_119</v>
      </c>
      <c r="AN20" t="str">
        <f t="array" ref="AN20">IF(ISERROR(INDEX($A$3:$B$14312,SMALL(IF($A$3:$A$14312=AN$3,ROW($A$3:$A$14312)),ROW(18:18)),2)),"",INDEX($A$3:$B$14312,SMALL(IF($A$3:$A$14312=AN$3,ROW($A$3:$A$14312)),ROW(18:18)),2))</f>
        <v>Router3_64</v>
      </c>
      <c r="AO20" t="str">
        <f t="array" ref="AO20">IF(ISERROR(INDEX($A$3:$B$14312,SMALL(IF($A$3:$A$14312=AO$3,ROW($A$3:$A$14312)),ROW(18:18)),2)),"",INDEX($A$3:$B$14312,SMALL(IF($A$3:$A$14312=AO$3,ROW($A$3:$A$14312)),ROW(18:18)),2))</f>
        <v/>
      </c>
      <c r="AP20" t="str">
        <f t="array" ref="AP20">IF(ISERROR(INDEX($A$3:$B$14312,SMALL(IF($A$3:$A$14312=AP$3,ROW($A$3:$A$14312)),ROW(18:18)),2)),"",INDEX($A$3:$B$14312,SMALL(IF($A$3:$A$14312=AP$3,ROW($A$3:$A$14312)),ROW(18:18)),2))</f>
        <v>Router3_20</v>
      </c>
      <c r="AQ20" t="str">
        <f t="array" ref="AQ20">IF(ISERROR(INDEX($A$3:$B$14312,SMALL(IF($A$3:$A$14312=AQ$3,ROW($A$3:$A$14312)),ROW(18:18)),2)),"",INDEX($A$3:$B$14312,SMALL(IF($A$3:$A$14312=AQ$3,ROW($A$3:$A$14312)),ROW(18:18)),2))</f>
        <v/>
      </c>
      <c r="AR20" t="str">
        <f t="array" ref="AR20">IF(ISERROR(INDEX($A$3:$B$14312,SMALL(IF($A$3:$A$14312=AR$3,ROW($A$3:$A$14312)),ROW(18:18)),2)),"",INDEX($A$3:$B$14312,SMALL(IF($A$3:$A$14312=AR$3,ROW($A$3:$A$14312)),ROW(18:18)),2))</f>
        <v/>
      </c>
      <c r="AS20" t="str">
        <f t="array" ref="AS20">IF(ISERROR(INDEX($A$3:$B$14312,SMALL(IF($A$3:$A$14312=AS$3,ROW($A$3:$A$14312)),ROW(18:18)),2)),"",INDEX($A$3:$B$14312,SMALL(IF($A$3:$A$14312=AS$3,ROW($A$3:$A$14312)),ROW(18:18)),2))</f>
        <v>Router3_82</v>
      </c>
      <c r="AT20" t="str">
        <f t="array" ref="AT20">IF(ISERROR(INDEX($A$3:$B$14312,SMALL(IF($A$3:$A$14312=AT$3,ROW($A$3:$A$14312)),ROW(18:18)),2)),"",INDEX($A$3:$B$14312,SMALL(IF($A$3:$A$14312=AT$3,ROW($A$3:$A$14312)),ROW(18:18)),2))</f>
        <v/>
      </c>
      <c r="AU20" t="str">
        <f t="array" ref="AU20">IF(ISERROR(INDEX($A$3:$B$14312,SMALL(IF($A$3:$A$14312=AU$3,ROW($A$3:$A$14312)),ROW(18:18)),2)),"",INDEX($A$3:$B$14312,SMALL(IF($A$3:$A$14312=AU$3,ROW($A$3:$A$14312)),ROW(18:18)),2))</f>
        <v>Router3_21</v>
      </c>
      <c r="AV20" t="str">
        <f t="array" ref="AV20">IF(ISERROR(INDEX($A$3:$B$14312,SMALL(IF($A$3:$A$14312=AV$3,ROW($A$3:$A$14312)),ROW(18:18)),2)),"",INDEX($A$3:$B$14312,SMALL(IF($A$3:$A$14312=AV$3,ROW($A$3:$A$14312)),ROW(18:18)),2))</f>
        <v/>
      </c>
      <c r="AW20" t="str">
        <f t="array" ref="AW20">IF(ISERROR(INDEX($A$3:$B$14312,SMALL(IF($A$3:$A$14312=AW$3,ROW($A$3:$A$14312)),ROW(18:18)),2)),"",INDEX($A$3:$B$14312,SMALL(IF($A$3:$A$14312=AW$3,ROW($A$3:$A$14312)),ROW(18:18)),2))</f>
        <v/>
      </c>
      <c r="AX20" t="str">
        <f t="array" ref="AX20">IF(ISERROR(INDEX($A$3:$B$14312,SMALL(IF($A$3:$A$14312=AX$3,ROW($A$3:$A$14312)),ROW(18:18)),2)),"",INDEX($A$3:$B$14312,SMALL(IF($A$3:$A$14312=AX$3,ROW($A$3:$A$14312)),ROW(18:18)),2))</f>
        <v/>
      </c>
      <c r="AY20" t="str">
        <f t="array" ref="AY20">IF(ISERROR(INDEX($A$3:$B$14312,SMALL(IF($A$3:$A$14312=AY$3,ROW($A$3:$A$14312)),ROW(18:18)),2)),"",INDEX($A$3:$B$14312,SMALL(IF($A$3:$A$14312=AY$3,ROW($A$3:$A$14312)),ROW(18:18)),2))</f>
        <v>Router3_137</v>
      </c>
      <c r="AZ20" t="str">
        <f t="array" ref="AZ20">IF(ISERROR(INDEX($A$3:$B$14312,SMALL(IF($A$3:$A$14312=AZ$3,ROW($A$3:$A$14312)),ROW(18:18)),2)),"",INDEX($A$3:$B$14312,SMALL(IF($A$3:$A$14312=AZ$3,ROW($A$3:$A$14312)),ROW(18:18)),2))</f>
        <v/>
      </c>
      <c r="BA20" t="str">
        <f t="array" ref="BA20">IF(ISERROR(INDEX($A$3:$B$14312,SMALL(IF($A$3:$A$14312=BA$3,ROW($A$3:$A$14312)),ROW(18:18)),2)),"",INDEX($A$3:$B$14312,SMALL(IF($A$3:$A$14312=BA$3,ROW($A$3:$A$14312)),ROW(18:18)),2))</f>
        <v/>
      </c>
      <c r="BB20" t="str">
        <f t="array" ref="BB20">IF(ISERROR(INDEX($A$3:$B$14312,SMALL(IF($A$3:$A$14312=BB$3,ROW($A$3:$A$14312)),ROW(18:18)),2)),"",INDEX($A$3:$B$14312,SMALL(IF($A$3:$A$14312=BB$3,ROW($A$3:$A$14312)),ROW(18:18)),2))</f>
        <v/>
      </c>
      <c r="BC20" t="str">
        <f t="array" ref="BC20">IF(ISERROR(INDEX($A$3:$B$14312,SMALL(IF($A$3:$A$14312=BC$3,ROW($A$3:$A$14312)),ROW(18:18)),2)),"",INDEX($A$3:$B$14312,SMALL(IF($A$3:$A$14312=BC$3,ROW($A$3:$A$14312)),ROW(18:18)),2))</f>
        <v/>
      </c>
      <c r="BD20" t="str">
        <f t="array" ref="BD20">IF(ISERROR(INDEX($A$3:$B$14312,SMALL(IF($A$3:$A$14312=BD$3,ROW($A$3:$A$14312)),ROW(18:18)),2)),"",INDEX($A$3:$B$14312,SMALL(IF($A$3:$A$14312=BD$3,ROW($A$3:$A$14312)),ROW(18:18)),2))</f>
        <v/>
      </c>
      <c r="BE20" t="str">
        <f t="array" ref="BE20">IF(ISERROR(INDEX($A$3:$B$14312,SMALL(IF($A$3:$A$14312=BE$3,ROW($A$3:$A$14312)),ROW(18:18)),2)),"",INDEX($A$3:$B$14312,SMALL(IF($A$3:$A$14312=BE$3,ROW($A$3:$A$14312)),ROW(18:18)),2))</f>
        <v/>
      </c>
      <c r="BF20" t="str">
        <f t="array" ref="BF20">IF(ISERROR(INDEX($A$3:$B$14312,SMALL(IF($A$3:$A$14312=BF$3,ROW($A$3:$A$14312)),ROW(18:18)),2)),"",INDEX($A$3:$B$14312,SMALL(IF($A$3:$A$14312=BF$3,ROW($A$3:$A$14312)),ROW(18:18)),2))</f>
        <v/>
      </c>
      <c r="BG20" t="str">
        <f t="array" ref="BG20">IF(ISERROR(INDEX($A$3:$B$14312,SMALL(IF($A$3:$A$14312=BG$3,ROW($A$3:$A$14312)),ROW(18:18)),2)),"",INDEX($A$3:$B$14312,SMALL(IF($A$3:$A$14312=BG$3,ROW($A$3:$A$14312)),ROW(18:18)),2))</f>
        <v/>
      </c>
      <c r="BH20" t="str">
        <f t="array" ref="BH20">IF(ISERROR(INDEX($A$3:$B$14312,SMALL(IF($A$3:$A$14312=BH$3,ROW($A$3:$A$14312)),ROW(18:18)),2)),"",INDEX($A$3:$B$14312,SMALL(IF($A$3:$A$14312=BH$3,ROW($A$3:$A$14312)),ROW(18:18)),2))</f>
        <v/>
      </c>
      <c r="BI20" t="str">
        <f t="array" ref="BI20">IF(ISERROR(INDEX($A$3:$B$14312,SMALL(IF($A$3:$A$14312=BI$3,ROW($A$3:$A$14312)),ROW(18:18)),2)),"",INDEX($A$3:$B$14312,SMALL(IF($A$3:$A$14312=BI$3,ROW($A$3:$A$14312)),ROW(18:18)),2))</f>
        <v/>
      </c>
      <c r="BJ20" t="str">
        <f t="array" ref="BJ20">IF(ISERROR(INDEX($A$3:$B$14312,SMALL(IF($A$3:$A$14312=BJ$3,ROW($A$3:$A$14312)),ROW(18:18)),2)),"",INDEX($A$3:$B$14312,SMALL(IF($A$3:$A$14312=BJ$3,ROW($A$3:$A$14312)),ROW(18:18)),2))</f>
        <v/>
      </c>
      <c r="BK20" t="str">
        <f t="array" ref="BK20">IF(ISERROR(INDEX($A$3:$B$14312,SMALL(IF($A$3:$A$14312=BK$3,ROW($A$3:$A$14312)),ROW(18:18)),2)),"",INDEX($A$3:$B$14312,SMALL(IF($A$3:$A$14312=BK$3,ROW($A$3:$A$14312)),ROW(18:18)),2))</f>
        <v/>
      </c>
      <c r="BL20" t="str">
        <f t="array" ref="BL20">IF(ISERROR(INDEX($A$3:$B$14312,SMALL(IF($A$3:$A$14312=BL$3,ROW($A$3:$A$14312)),ROW(18:18)),2)),"",INDEX($A$3:$B$14312,SMALL(IF($A$3:$A$14312=BL$3,ROW($A$3:$A$14312)),ROW(18:18)),2))</f>
        <v/>
      </c>
      <c r="BM20" t="str">
        <f t="array" ref="BM20">IF(ISERROR(INDEX($A$3:$B$14312,SMALL(IF($A$3:$A$14312=BM$3,ROW($A$3:$A$14312)),ROW(18:18)),2)),"",INDEX($A$3:$B$14312,SMALL(IF($A$3:$A$14312=BM$3,ROW($A$3:$A$14312)),ROW(18:18)),2))</f>
        <v/>
      </c>
      <c r="BN20" t="str">
        <f t="array" ref="BN20">IF(ISERROR(INDEX($A$3:$B$14312,SMALL(IF($A$3:$A$14312=BN$3,ROW($A$3:$A$14312)),ROW(18:18)),2)),"",INDEX($A$3:$B$14312,SMALL(IF($A$3:$A$14312=BN$3,ROW($A$3:$A$14312)),ROW(18:18)),2))</f>
        <v/>
      </c>
      <c r="BO20" t="str">
        <f t="array" ref="BO20">IF(ISERROR(INDEX($A$3:$B$14312,SMALL(IF($A$3:$A$14312=BO$3,ROW($A$3:$A$14312)),ROW(18:18)),2)),"",INDEX($A$3:$B$14312,SMALL(IF($A$3:$A$14312=BO$3,ROW($A$3:$A$14312)),ROW(18:18)),2))</f>
        <v/>
      </c>
      <c r="BP20" t="str">
        <f t="array" ref="BP20">IF(ISERROR(INDEX($A$3:$B$14312,SMALL(IF($A$3:$A$14312=BP$3,ROW($A$3:$A$14312)),ROW(18:18)),2)),"",INDEX($A$3:$B$14312,SMALL(IF($A$3:$A$14312=BP$3,ROW($A$3:$A$14312)),ROW(18:18)),2))</f>
        <v/>
      </c>
      <c r="BQ20" t="str">
        <f t="array" ref="BQ20">IF(ISERROR(INDEX($A$3:$B$14312,SMALL(IF($A$3:$A$14312=BQ$3,ROW($A$3:$A$14312)),ROW(18:18)),2)),"",INDEX($A$3:$B$14312,SMALL(IF($A$3:$A$14312=BQ$3,ROW($A$3:$A$14312)),ROW(18:18)),2))</f>
        <v/>
      </c>
      <c r="BR20" t="str">
        <f t="array" ref="BR20">IF(ISERROR(INDEX($A$3:$B$14312,SMALL(IF($A$3:$A$14312=BR$3,ROW($A$3:$A$14312)),ROW(18:18)),2)),"",INDEX($A$3:$B$14312,SMALL(IF($A$3:$A$14312=BR$3,ROW($A$3:$A$14312)),ROW(18:18)),2))</f>
        <v/>
      </c>
      <c r="BS20" t="str">
        <f t="array" ref="BS20">IF(ISERROR(INDEX($A$3:$B$14312,SMALL(IF($A$3:$A$14312=BS$3,ROW($A$3:$A$14312)),ROW(18:18)),2)),"",INDEX($A$3:$B$14312,SMALL(IF($A$3:$A$14312=BS$3,ROW($A$3:$A$14312)),ROW(18:18)),2))</f>
        <v/>
      </c>
      <c r="BT20" t="str">
        <f t="array" ref="BT20">IF(ISERROR(INDEX($A$3:$B$14312,SMALL(IF($A$3:$A$14312=BT$3,ROW($A$3:$A$14312)),ROW(18:18)),2)),"",INDEX($A$3:$B$14312,SMALL(IF($A$3:$A$14312=BT$3,ROW($A$3:$A$14312)),ROW(18:18)),2))</f>
        <v>Router3_87</v>
      </c>
      <c r="BU20" t="str">
        <f t="array" ref="BU20">IF(ISERROR(INDEX($A$3:$B$14312,SMALL(IF($A$3:$A$14312=BU$3,ROW($A$3:$A$14312)),ROW(18:18)),2)),"",INDEX($A$3:$B$14312,SMALL(IF($A$3:$A$14312=BU$3,ROW($A$3:$A$14312)),ROW(18:18)),2))</f>
        <v/>
      </c>
      <c r="BV20" t="str">
        <f t="array" ref="BV20">IF(ISERROR(INDEX($A$3:$B$14312,SMALL(IF($A$3:$A$14312=BV$3,ROW($A$3:$A$14312)),ROW(18:18)),2)),"",INDEX($A$3:$B$14312,SMALL(IF($A$3:$A$14312=BV$3,ROW($A$3:$A$14312)),ROW(18:18)),2))</f>
        <v/>
      </c>
      <c r="BW20" t="str">
        <f t="array" ref="BW20">IF(ISERROR(INDEX($A$3:$B$14312,SMALL(IF($A$3:$A$14312=BW$3,ROW($A$3:$A$14312)),ROW(18:18)),2)),"",INDEX($A$3:$B$14312,SMALL(IF($A$3:$A$14312=BW$3,ROW($A$3:$A$14312)),ROW(18:18)),2))</f>
        <v>Router3_156</v>
      </c>
      <c r="BX20" t="str">
        <f t="array" ref="BX20">IF(ISERROR(INDEX($A$3:$B$14312,SMALL(IF($A$3:$A$14312=BX$3,ROW($A$3:$A$14312)),ROW(18:18)),2)),"",INDEX($A$3:$B$14312,SMALL(IF($A$3:$A$14312=BX$3,ROW($A$3:$A$14312)),ROW(18:18)),2))</f>
        <v>Router3_105</v>
      </c>
      <c r="BY20" t="str">
        <f t="array" ref="BY20">IF(ISERROR(INDEX($A$3:$B$14312,SMALL(IF($A$3:$A$14312=BY$3,ROW($A$3:$A$14312)),ROW(18:18)),2)),"",INDEX($A$3:$B$14312,SMALL(IF($A$3:$A$14312=BY$3,ROW($A$3:$A$14312)),ROW(18:18)),2))</f>
        <v>Router3_82</v>
      </c>
      <c r="BZ20" t="str">
        <f t="array" ref="BZ20">IF(ISERROR(INDEX($A$3:$B$14312,SMALL(IF($A$3:$A$14312=BZ$3,ROW($A$3:$A$14312)),ROW(18:18)),2)),"",INDEX($A$3:$B$14312,SMALL(IF($A$3:$A$14312=BZ$3,ROW($A$3:$A$14312)),ROW(18:18)),2))</f>
        <v>Router3_82</v>
      </c>
      <c r="CA20" t="str">
        <f t="array" ref="CA20">IF(ISERROR(INDEX($A$3:$B$14312,SMALL(IF($A$3:$A$14312=CA$3,ROW($A$3:$A$14312)),ROW(18:18)),2)),"",INDEX($A$3:$B$14312,SMALL(IF($A$3:$A$14312=CA$3,ROW($A$3:$A$14312)),ROW(18:18)),2))</f>
        <v/>
      </c>
      <c r="CB20" t="str">
        <f t="array" ref="CB20">IF(ISERROR(INDEX($A$3:$B$14312,SMALL(IF($A$3:$A$14312=CB$3,ROW($A$3:$A$14312)),ROW(18:18)),2)),"",INDEX($A$3:$B$14312,SMALL(IF($A$3:$A$14312=CB$3,ROW($A$3:$A$14312)),ROW(18:18)),2))</f>
        <v/>
      </c>
      <c r="CC20" t="str">
        <f t="array" ref="CC20">IF(ISERROR(INDEX($A$3:$B$14312,SMALL(IF($A$3:$A$14312=CC$3,ROW($A$3:$A$14312)),ROW(18:18)),2)),"",INDEX($A$3:$B$14312,SMALL(IF($A$3:$A$14312=CC$3,ROW($A$3:$A$14312)),ROW(18:18)),2))</f>
        <v/>
      </c>
      <c r="CD20" t="str">
        <f t="array" ref="CD20">IF(ISERROR(INDEX($A$3:$B$14312,SMALL(IF($A$3:$A$14312=CD$3,ROW($A$3:$A$14312)),ROW(18:18)),2)),"",INDEX($A$3:$B$14312,SMALL(IF($A$3:$A$14312=CD$3,ROW($A$3:$A$14312)),ROW(18:18)),2))</f>
        <v/>
      </c>
      <c r="CE20" t="str">
        <f t="array" ref="CE20">IF(ISERROR(INDEX($A$3:$B$14312,SMALL(IF($A$3:$A$14312=CE$3,ROW($A$3:$A$14312)),ROW(18:18)),2)),"",INDEX($A$3:$B$14312,SMALL(IF($A$3:$A$14312=CE$3,ROW($A$3:$A$14312)),ROW(18:18)),2))</f>
        <v/>
      </c>
      <c r="CF20" t="str">
        <f t="array" ref="CF20">IF(ISERROR(INDEX($A$3:$B$14312,SMALL(IF($A$3:$A$14312=CF$3,ROW($A$3:$A$14312)),ROW(18:18)),2)),"",INDEX($A$3:$B$14312,SMALL(IF($A$3:$A$14312=CF$3,ROW($A$3:$A$14312)),ROW(18:18)),2))</f>
        <v/>
      </c>
      <c r="CG20" t="str">
        <f t="array" ref="CG20">IF(ISERROR(INDEX($A$3:$B$14312,SMALL(IF($A$3:$A$14312=CG$3,ROW($A$3:$A$14312)),ROW(18:18)),2)),"",INDEX($A$3:$B$14312,SMALL(IF($A$3:$A$14312=CG$3,ROW($A$3:$A$14312)),ROW(18:18)),2))</f>
        <v/>
      </c>
      <c r="CH20" t="str">
        <f t="array" ref="CH20">IF(ISERROR(INDEX($A$3:$B$14312,SMALL(IF($A$3:$A$14312=CH$3,ROW($A$3:$A$14312)),ROW(18:18)),2)),"",INDEX($A$3:$B$14312,SMALL(IF($A$3:$A$14312=CH$3,ROW($A$3:$A$14312)),ROW(18:18)),2))</f>
        <v/>
      </c>
      <c r="CI20" t="str">
        <f t="array" ref="CI20">IF(ISERROR(INDEX($A$3:$B$14312,SMALL(IF($A$3:$A$14312=CI$3,ROW($A$3:$A$14312)),ROW(18:18)),2)),"",INDEX($A$3:$B$14312,SMALL(IF($A$3:$A$14312=CI$3,ROW($A$3:$A$14312)),ROW(18:18)),2))</f>
        <v/>
      </c>
      <c r="CJ20" t="str">
        <f t="array" ref="CJ20">IF(ISERROR(INDEX($A$3:$B$14312,SMALL(IF($A$3:$A$14312=CJ$3,ROW($A$3:$A$14312)),ROW(18:18)),2)),"",INDEX($A$3:$B$14312,SMALL(IF($A$3:$A$14312=CJ$3,ROW($A$3:$A$14312)),ROW(18:18)),2))</f>
        <v/>
      </c>
      <c r="CK20" t="str">
        <f t="array" ref="CK20">IF(ISERROR(INDEX($A$3:$B$14312,SMALL(IF($A$3:$A$14312=CK$3,ROW($A$3:$A$14312)),ROW(18:18)),2)),"",INDEX($A$3:$B$14312,SMALL(IF($A$3:$A$14312=CK$3,ROW($A$3:$A$14312)),ROW(18:18)),2))</f>
        <v/>
      </c>
      <c r="CL20" t="str">
        <f t="array" ref="CL20">IF(ISERROR(INDEX($A$3:$B$14312,SMALL(IF($A$3:$A$14312=CL$3,ROW($A$3:$A$14312)),ROW(18:18)),2)),"",INDEX($A$3:$B$14312,SMALL(IF($A$3:$A$14312=CL$3,ROW($A$3:$A$14312)),ROW(18:18)),2))</f>
        <v/>
      </c>
      <c r="CM20" t="str">
        <f t="array" ref="CM20">IF(ISERROR(INDEX($A$3:$B$14312,SMALL(IF($A$3:$A$14312=CM$3,ROW($A$3:$A$14312)),ROW(18:18)),2)),"",INDEX($A$3:$B$14312,SMALL(IF($A$3:$A$14312=CM$3,ROW($A$3:$A$14312)),ROW(18:18)),2))</f>
        <v/>
      </c>
      <c r="CN20" t="str">
        <f t="array" ref="CN20">IF(ISERROR(INDEX($A$3:$B$14312,SMALL(IF($A$3:$A$14312=CN$3,ROW($A$3:$A$14312)),ROW(18:18)),2)),"",INDEX($A$3:$B$14312,SMALL(IF($A$3:$A$14312=CN$3,ROW($A$3:$A$14312)),ROW(18:18)),2))</f>
        <v>Router3_74</v>
      </c>
      <c r="CO20" t="str">
        <f t="array" ref="CO20">IF(ISERROR(INDEX($A$3:$B$14312,SMALL(IF($A$3:$A$14312=CO$3,ROW($A$3:$A$14312)),ROW(18:18)),2)),"",INDEX($A$3:$B$14312,SMALL(IF($A$3:$A$14312=CO$3,ROW($A$3:$A$14312)),ROW(18:18)),2))</f>
        <v>Router3_94</v>
      </c>
      <c r="CP20" t="str">
        <f t="array" ref="CP20">IF(ISERROR(INDEX($A$3:$B$14312,SMALL(IF($A$3:$A$14312=CP$3,ROW($A$3:$A$14312)),ROW(18:18)),2)),"",INDEX($A$3:$B$14312,SMALL(IF($A$3:$A$14312=CP$3,ROW($A$3:$A$14312)),ROW(18:18)),2))</f>
        <v/>
      </c>
      <c r="CQ20" t="str">
        <f t="array" ref="CQ20">IF(ISERROR(INDEX($A$3:$B$14312,SMALL(IF($A$3:$A$14312=CQ$3,ROW($A$3:$A$14312)),ROW(18:18)),2)),"",INDEX($A$3:$B$14312,SMALL(IF($A$3:$A$14312=CQ$3,ROW($A$3:$A$14312)),ROW(18:18)),2))</f>
        <v/>
      </c>
      <c r="CR20" t="str">
        <f t="array" ref="CR20">IF(ISERROR(INDEX($A$3:$B$14312,SMALL(IF($A$3:$A$14312=CR$3,ROW($A$3:$A$14312)),ROW(18:18)),2)),"",INDEX($A$3:$B$14312,SMALL(IF($A$3:$A$14312=CR$3,ROW($A$3:$A$14312)),ROW(18:18)),2))</f>
        <v/>
      </c>
      <c r="CS20" t="str">
        <f t="array" ref="CS20">IF(ISERROR(INDEX($A$3:$B$14312,SMALL(IF($A$3:$A$14312=CS$3,ROW($A$3:$A$14312)),ROW(18:18)),2)),"",INDEX($A$3:$B$14312,SMALL(IF($A$3:$A$14312=CS$3,ROW($A$3:$A$14312)),ROW(18:18)),2))</f>
        <v/>
      </c>
      <c r="CT20" t="str">
        <f t="array" ref="CT20">IF(ISERROR(INDEX($A$3:$B$14312,SMALL(IF($A$3:$A$14312=CT$3,ROW($A$3:$A$14312)),ROW(18:18)),2)),"",INDEX($A$3:$B$14312,SMALL(IF($A$3:$A$14312=CT$3,ROW($A$3:$A$14312)),ROW(18:18)),2))</f>
        <v/>
      </c>
      <c r="CU20" t="str">
        <f t="array" ref="CU20">IF(ISERROR(INDEX($A$3:$B$14312,SMALL(IF($A$3:$A$14312=CU$3,ROW($A$3:$A$14312)),ROW(18:18)),2)),"",INDEX($A$3:$B$14312,SMALL(IF($A$3:$A$14312=CU$3,ROW($A$3:$A$14312)),ROW(18:18)),2))</f>
        <v/>
      </c>
      <c r="CV20" t="str">
        <f t="array" ref="CV20">IF(ISERROR(INDEX($A$3:$B$14312,SMALL(IF($A$3:$A$14312=CV$3,ROW($A$3:$A$14312)),ROW(18:18)),2)),"",INDEX($A$3:$B$14312,SMALL(IF($A$3:$A$14312=CV$3,ROW($A$3:$A$14312)),ROW(18:18)),2))</f>
        <v>Router3_117</v>
      </c>
      <c r="CW20" t="str">
        <f t="array" ref="CW20">IF(ISERROR(INDEX($A$3:$B$14312,SMALL(IF($A$3:$A$14312=CW$3,ROW($A$3:$A$14312)),ROW(18:18)),2)),"",INDEX($A$3:$B$14312,SMALL(IF($A$3:$A$14312=CW$3,ROW($A$3:$A$14312)),ROW(18:18)),2))</f>
        <v/>
      </c>
      <c r="CX20" t="str">
        <f t="array" ref="CX20">IF(ISERROR(INDEX($A$3:$B$14312,SMALL(IF($A$3:$A$14312=CX$3,ROW($A$3:$A$14312)),ROW(18:18)),2)),"",INDEX($A$3:$B$14312,SMALL(IF($A$3:$A$14312=CX$3,ROW($A$3:$A$14312)),ROW(18:18)),2))</f>
        <v/>
      </c>
      <c r="CY20" t="str">
        <f t="array" ref="CY20">IF(ISERROR(INDEX($A$3:$B$14312,SMALL(IF($A$3:$A$14312=CY$3,ROW($A$3:$A$14312)),ROW(18:18)),2)),"",INDEX($A$3:$B$14312,SMALL(IF($A$3:$A$14312=CY$3,ROW($A$3:$A$14312)),ROW(18:18)),2))</f>
        <v>Router3_89</v>
      </c>
      <c r="CZ20" t="str">
        <f t="array" ref="CZ20">IF(ISERROR(INDEX($A$3:$B$14312,SMALL(IF($A$3:$A$14312=CZ$3,ROW($A$3:$A$14312)),ROW(18:18)),2)),"",INDEX($A$3:$B$14312,SMALL(IF($A$3:$A$14312=CZ$3,ROW($A$3:$A$14312)),ROW(18:18)),2))</f>
        <v/>
      </c>
      <c r="DA20" t="str">
        <f t="array" ref="DA20">IF(ISERROR(INDEX($A$3:$B$14312,SMALL(IF($A$3:$A$14312=DA$3,ROW($A$3:$A$14312)),ROW(18:18)),2)),"",INDEX($A$3:$B$14312,SMALL(IF($A$3:$A$14312=DA$3,ROW($A$3:$A$14312)),ROW(18:18)),2))</f>
        <v>Router3_148</v>
      </c>
      <c r="DB20" t="str">
        <f t="array" ref="DB20">IF(ISERROR(INDEX($A$3:$B$14312,SMALL(IF($A$3:$A$14312=DB$3,ROW($A$3:$A$14312)),ROW(18:18)),2)),"",INDEX($A$3:$B$14312,SMALL(IF($A$3:$A$14312=DB$3,ROW($A$3:$A$14312)),ROW(18:18)),2))</f>
        <v/>
      </c>
      <c r="DC20" t="str">
        <f t="array" ref="DC20">IF(ISERROR(INDEX($A$3:$B$14312,SMALL(IF($A$3:$A$14312=DC$3,ROW($A$3:$A$14312)),ROW(18:18)),2)),"",INDEX($A$3:$B$14312,SMALL(IF($A$3:$A$14312=DC$3,ROW($A$3:$A$14312)),ROW(18:18)),2))</f>
        <v>Router3_118</v>
      </c>
      <c r="DD20" t="str">
        <f t="array" ref="DD20">IF(ISERROR(INDEX($A$3:$B$14312,SMALL(IF($A$3:$A$14312=DD$3,ROW($A$3:$A$14312)),ROW(18:18)),2)),"",INDEX($A$3:$B$14312,SMALL(IF($A$3:$A$14312=DD$3,ROW($A$3:$A$14312)),ROW(18:18)),2))</f>
        <v/>
      </c>
      <c r="DE20" t="str">
        <f t="array" ref="DE20">IF(ISERROR(INDEX($A$3:$B$14312,SMALL(IF($A$3:$A$14312=DE$3,ROW($A$3:$A$14312)),ROW(18:18)),2)),"",INDEX($A$3:$B$14312,SMALL(IF($A$3:$A$14312=DE$3,ROW($A$3:$A$14312)),ROW(18:18)),2))</f>
        <v/>
      </c>
      <c r="DF20" t="str">
        <f t="array" ref="DF20">IF(ISERROR(INDEX($A$3:$B$14312,SMALL(IF($A$3:$A$14312=DF$3,ROW($A$3:$A$14312)),ROW(18:18)),2)),"",INDEX($A$3:$B$14312,SMALL(IF($A$3:$A$14312=DF$3,ROW($A$3:$A$14312)),ROW(18:18)),2))</f>
        <v/>
      </c>
      <c r="DG20" t="str">
        <f t="array" ref="DG20">IF(ISERROR(INDEX($A$3:$B$14312,SMALL(IF($A$3:$A$14312=DG$3,ROW($A$3:$A$14312)),ROW(18:18)),2)),"",INDEX($A$3:$B$14312,SMALL(IF($A$3:$A$14312=DG$3,ROW($A$3:$A$14312)),ROW(18:18)),2))</f>
        <v>Router3_20</v>
      </c>
      <c r="DH20" t="str">
        <f t="array" ref="DH20">IF(ISERROR(INDEX($A$3:$B$14312,SMALL(IF($A$3:$A$14312=DH$3,ROW($A$3:$A$14312)),ROW(18:18)),2)),"",INDEX($A$3:$B$14312,SMALL(IF($A$3:$A$14312=DH$3,ROW($A$3:$A$14312)),ROW(18:18)),2))</f>
        <v/>
      </c>
      <c r="DI20" t="str">
        <f t="array" ref="DI20">IF(ISERROR(INDEX($A$3:$B$14312,SMALL(IF($A$3:$A$14312=DI$3,ROW($A$3:$A$14312)),ROW(18:18)),2)),"",INDEX($A$3:$B$14312,SMALL(IF($A$3:$A$14312=DI$3,ROW($A$3:$A$14312)),ROW(18:18)),2))</f>
        <v>Router3_84</v>
      </c>
      <c r="DJ20" t="str">
        <f t="array" ref="DJ20">IF(ISERROR(INDEX($A$3:$B$14312,SMALL(IF($A$3:$A$14312=DJ$3,ROW($A$3:$A$14312)),ROW(18:18)),2)),"",INDEX($A$3:$B$14312,SMALL(IF($A$3:$A$14312=DJ$3,ROW($A$3:$A$14312)),ROW(18:18)),2))</f>
        <v>Router3_92</v>
      </c>
      <c r="DK20" t="str">
        <f t="array" ref="DK20">IF(ISERROR(INDEX($A$3:$B$14312,SMALL(IF($A$3:$A$14312=DK$3,ROW($A$3:$A$14312)),ROW(18:18)),2)),"",INDEX($A$3:$B$14312,SMALL(IF($A$3:$A$14312=DK$3,ROW($A$3:$A$14312)),ROW(18:18)),2))</f>
        <v>Router3_111</v>
      </c>
      <c r="DL20" t="str">
        <f t="array" ref="DL20">IF(ISERROR(INDEX($A$3:$B$14312,SMALL(IF($A$3:$A$14312=DL$3,ROW($A$3:$A$14312)),ROW(18:18)),2)),"",INDEX($A$3:$B$14312,SMALL(IF($A$3:$A$14312=DL$3,ROW($A$3:$A$14312)),ROW(18:18)),2))</f>
        <v/>
      </c>
      <c r="DM20" t="str">
        <f t="array" ref="DM20">IF(ISERROR(INDEX($A$3:$B$14312,SMALL(IF($A$3:$A$14312=DM$3,ROW($A$3:$A$14312)),ROW(18:18)),2)),"",INDEX($A$3:$B$14312,SMALL(IF($A$3:$A$14312=DM$3,ROW($A$3:$A$14312)),ROW(18:18)),2))</f>
        <v/>
      </c>
      <c r="DN20" t="str">
        <f t="array" ref="DN20">IF(ISERROR(INDEX($A$3:$B$14312,SMALL(IF($A$3:$A$14312=DN$3,ROW($A$3:$A$14312)),ROW(18:18)),2)),"",INDEX($A$3:$B$14312,SMALL(IF($A$3:$A$14312=DN$3,ROW($A$3:$A$14312)),ROW(18:18)),2))</f>
        <v>Router3_117</v>
      </c>
      <c r="DO20" t="str">
        <f t="array" ref="DO20">IF(ISERROR(INDEX($A$3:$B$14312,SMALL(IF($A$3:$A$14312=DO$3,ROW($A$3:$A$14312)),ROW(18:18)),2)),"",INDEX($A$3:$B$14312,SMALL(IF($A$3:$A$14312=DO$3,ROW($A$3:$A$14312)),ROW(18:18)),2))</f>
        <v/>
      </c>
      <c r="DP20" t="str">
        <f t="array" ref="DP20">IF(ISERROR(INDEX($A$3:$B$14312,SMALL(IF($A$3:$A$14312=DP$3,ROW($A$3:$A$14312)),ROW(18:18)),2)),"",INDEX($A$3:$B$14312,SMALL(IF($A$3:$A$14312=DP$3,ROW($A$3:$A$14312)),ROW(18:18)),2))</f>
        <v/>
      </c>
      <c r="DQ20" t="str">
        <f t="array" ref="DQ20">IF(ISERROR(INDEX($A$3:$B$14312,SMALL(IF($A$3:$A$14312=DQ$3,ROW($A$3:$A$14312)),ROW(18:18)),2)),"",INDEX($A$3:$B$14312,SMALL(IF($A$3:$A$14312=DQ$3,ROW($A$3:$A$14312)),ROW(18:18)),2))</f>
        <v/>
      </c>
      <c r="DR20" t="str">
        <f t="array" ref="DR20">IF(ISERROR(INDEX($A$3:$B$14312,SMALL(IF($A$3:$A$14312=DR$3,ROW($A$3:$A$14312)),ROW(18:18)),2)),"",INDEX($A$3:$B$14312,SMALL(IF($A$3:$A$14312=DR$3,ROW($A$3:$A$14312)),ROW(18:18)),2))</f>
        <v>Router3_20</v>
      </c>
      <c r="DS20" t="str">
        <f t="array" ref="DS20">IF(ISERROR(INDEX($A$3:$B$14312,SMALL(IF($A$3:$A$14312=DS$3,ROW($A$3:$A$14312)),ROW(18:18)),2)),"",INDEX($A$3:$B$14312,SMALL(IF($A$3:$A$14312=DS$3,ROW($A$3:$A$14312)),ROW(18:18)),2))</f>
        <v/>
      </c>
      <c r="DT20" t="str">
        <f t="array" ref="DT20">IF(ISERROR(INDEX($A$3:$B$14312,SMALL(IF($A$3:$A$14312=DT$3,ROW($A$3:$A$14312)),ROW(18:18)),2)),"",INDEX($A$3:$B$14312,SMALL(IF($A$3:$A$14312=DT$3,ROW($A$3:$A$14312)),ROW(18:18)),2))</f>
        <v>Router3_84</v>
      </c>
      <c r="DU20" t="str">
        <f t="array" ref="DU20">IF(ISERROR(INDEX($A$3:$B$14312,SMALL(IF($A$3:$A$14312=DU$3,ROW($A$3:$A$14312)),ROW(18:18)),2)),"",INDEX($A$3:$B$14312,SMALL(IF($A$3:$A$14312=DU$3,ROW($A$3:$A$14312)),ROW(18:18)),2))</f>
        <v>Router3_136</v>
      </c>
      <c r="DV20" t="str">
        <f t="array" ref="DV20">IF(ISERROR(INDEX($A$3:$B$14312,SMALL(IF($A$3:$A$14312=DV$3,ROW($A$3:$A$14312)),ROW(18:18)),2)),"",INDEX($A$3:$B$14312,SMALL(IF($A$3:$A$14312=DV$3,ROW($A$3:$A$14312)),ROW(18:18)),2))</f>
        <v/>
      </c>
      <c r="DW20" t="str">
        <f t="array" ref="DW20">IF(ISERROR(INDEX($A$3:$B$14312,SMALL(IF($A$3:$A$14312=DW$3,ROW($A$3:$A$14312)),ROW(18:18)),2)),"",INDEX($A$3:$B$14312,SMALL(IF($A$3:$A$14312=DW$3,ROW($A$3:$A$14312)),ROW(18:18)),2))</f>
        <v/>
      </c>
      <c r="DX20" t="str">
        <f t="array" ref="DX20">IF(ISERROR(INDEX($A$3:$B$14312,SMALL(IF($A$3:$A$14312=DX$3,ROW($A$3:$A$14312)),ROW(18:18)),2)),"",INDEX($A$3:$B$14312,SMALL(IF($A$3:$A$14312=DX$3,ROW($A$3:$A$14312)),ROW(18:18)),2))</f>
        <v/>
      </c>
      <c r="DY20" t="str">
        <f t="array" ref="DY20">IF(ISERROR(INDEX($A$3:$B$14312,SMALL(IF($A$3:$A$14312=DY$3,ROW($A$3:$A$14312)),ROW(18:18)),2)),"",INDEX($A$3:$B$14312,SMALL(IF($A$3:$A$14312=DY$3,ROW($A$3:$A$14312)),ROW(18:18)),2))</f>
        <v/>
      </c>
      <c r="DZ20" t="str">
        <f t="array" ref="DZ20">IF(ISERROR(INDEX($A$3:$B$14312,SMALL(IF($A$3:$A$14312=DZ$3,ROW($A$3:$A$14312)),ROW(18:18)),2)),"",INDEX($A$3:$B$14312,SMALL(IF($A$3:$A$14312=DZ$3,ROW($A$3:$A$14312)),ROW(18:18)),2))</f>
        <v/>
      </c>
      <c r="EA20" t="str">
        <f t="array" ref="EA20">IF(ISERROR(INDEX($A$3:$B$14312,SMALL(IF($A$3:$A$14312=EA$3,ROW($A$3:$A$14312)),ROW(18:18)),2)),"",INDEX($A$3:$B$14312,SMALL(IF($A$3:$A$14312=EA$3,ROW($A$3:$A$14312)),ROW(18:18)),2))</f>
        <v>Router3_129</v>
      </c>
      <c r="EB20" t="str">
        <f t="array" ref="EB20">IF(ISERROR(INDEX($A$3:$B$14312,SMALL(IF($A$3:$A$14312=EB$3,ROW($A$3:$A$14312)),ROW(18:18)),2)),"",INDEX($A$3:$B$14312,SMALL(IF($A$3:$A$14312=EB$3,ROW($A$3:$A$14312)),ROW(18:18)),2))</f>
        <v>Router3_10</v>
      </c>
      <c r="EC20" t="str">
        <f t="array" ref="EC20">IF(ISERROR(INDEX($A$3:$B$14312,SMALL(IF($A$3:$A$14312=EC$3,ROW($A$3:$A$14312)),ROW(18:18)),2)),"",INDEX($A$3:$B$14312,SMALL(IF($A$3:$A$14312=EC$3,ROW($A$3:$A$14312)),ROW(18:18)),2))</f>
        <v>Router3_112</v>
      </c>
      <c r="ED20" t="str">
        <f t="array" ref="ED20">IF(ISERROR(INDEX($A$3:$B$14312,SMALL(IF($A$3:$A$14312=ED$3,ROW($A$3:$A$14312)),ROW(18:18)),2)),"",INDEX($A$3:$B$14312,SMALL(IF($A$3:$A$14312=ED$3,ROW($A$3:$A$14312)),ROW(18:18)),2))</f>
        <v>Router3_134</v>
      </c>
      <c r="EE20" t="str">
        <f t="array" ref="EE20">IF(ISERROR(INDEX($A$3:$B$14312,SMALL(IF($A$3:$A$14312=EE$3,ROW($A$3:$A$14312)),ROW(18:18)),2)),"",INDEX($A$3:$B$14312,SMALL(IF($A$3:$A$14312=EE$3,ROW($A$3:$A$14312)),ROW(18:18)),2))</f>
        <v>Router3_158</v>
      </c>
    </row>
    <row r="21" spans="1:135" x14ac:dyDescent="0.25">
      <c r="A21" s="10">
        <v>-450827382</v>
      </c>
      <c r="B21" t="s">
        <v>1098</v>
      </c>
      <c r="E21" t="str">
        <f t="array" ref="E21">IF(ISERROR(INDEX($A$3:$B$14312,SMALL(IF($A$3:$A$14312=E$3,ROW($A$3:$A$14312)),ROW(19:19)),2)),"",INDEX($A$3:$B$14312,SMALL(IF($A$3:$A$14312=E$3,ROW($A$3:$A$14312)),ROW(19:19)),2))</f>
        <v>Router3_75</v>
      </c>
      <c r="F21" t="str">
        <f t="array" ref="F21">IF(ISERROR(INDEX($A$3:$B$14312,SMALL(IF($A$3:$A$14312=F$3,ROW($A$3:$A$14312)),ROW(19:19)),2)),"",INDEX($A$3:$B$14312,SMALL(IF($A$3:$A$14312=F$3,ROW($A$3:$A$14312)),ROW(19:19)),2))</f>
        <v>Router3_78</v>
      </c>
      <c r="G21" t="str">
        <f t="array" ref="G21">IF(ISERROR(INDEX($A$3:$B$14312,SMALL(IF($A$3:$A$14312=G$3,ROW($A$3:$A$14312)),ROW(19:19)),2)),"",INDEX($A$3:$B$14312,SMALL(IF($A$3:$A$14312=G$3,ROW($A$3:$A$14312)),ROW(19:19)),2))</f>
        <v/>
      </c>
      <c r="H21" t="str">
        <f t="array" ref="H21">IF(ISERROR(INDEX($A$3:$B$14312,SMALL(IF($A$3:$A$14312=H$3,ROW($A$3:$A$14312)),ROW(19:19)),2)),"",INDEX($A$3:$B$14312,SMALL(IF($A$3:$A$14312=H$3,ROW($A$3:$A$14312)),ROW(19:19)),2))</f>
        <v/>
      </c>
      <c r="I21" t="str">
        <f t="array" ref="I21">IF(ISERROR(INDEX($A$3:$B$14312,SMALL(IF($A$3:$A$14312=I$3,ROW($A$3:$A$14312)),ROW(19:19)),2)),"",INDEX($A$3:$B$14312,SMALL(IF($A$3:$A$14312=I$3,ROW($A$3:$A$14312)),ROW(19:19)),2))</f>
        <v/>
      </c>
      <c r="J21" t="str">
        <f t="array" ref="J21">IF(ISERROR(INDEX($A$3:$B$14312,SMALL(IF($A$3:$A$14312=J$3,ROW($A$3:$A$14312)),ROW(19:19)),2)),"",INDEX($A$3:$B$14312,SMALL(IF($A$3:$A$14312=J$3,ROW($A$3:$A$14312)),ROW(19:19)),2))</f>
        <v>Router3_149</v>
      </c>
      <c r="K21" t="str">
        <f t="array" ref="K21">IF(ISERROR(INDEX($A$3:$B$14312,SMALL(IF($A$3:$A$14312=K$3,ROW($A$3:$A$14312)),ROW(19:19)),2)),"",INDEX($A$3:$B$14312,SMALL(IF($A$3:$A$14312=K$3,ROW($A$3:$A$14312)),ROW(19:19)),2))</f>
        <v/>
      </c>
      <c r="L21" t="str">
        <f t="array" ref="L21">IF(ISERROR(INDEX($A$3:$B$14312,SMALL(IF($A$3:$A$14312=L$3,ROW($A$3:$A$14312)),ROW(19:19)),2)),"",INDEX($A$3:$B$14312,SMALL(IF($A$3:$A$14312=L$3,ROW($A$3:$A$14312)),ROW(19:19)),2))</f>
        <v/>
      </c>
      <c r="M21" t="str">
        <f t="array" ref="M21">IF(ISERROR(INDEX($A$3:$B$14312,SMALL(IF($A$3:$A$14312=M$3,ROW($A$3:$A$14312)),ROW(19:19)),2)),"",INDEX($A$3:$B$14312,SMALL(IF($A$3:$A$14312=M$3,ROW($A$3:$A$14312)),ROW(19:19)),2))</f>
        <v/>
      </c>
      <c r="N21" t="str">
        <f t="array" ref="N21">IF(ISERROR(INDEX($A$3:$B$14312,SMALL(IF($A$3:$A$14312=N$3,ROW($A$3:$A$14312)),ROW(19:19)),2)),"",INDEX($A$3:$B$14312,SMALL(IF($A$3:$A$14312=N$3,ROW($A$3:$A$14312)),ROW(19:19)),2))</f>
        <v/>
      </c>
      <c r="O21" t="str">
        <f t="array" ref="O21">IF(ISERROR(INDEX($A$3:$B$14312,SMALL(IF($A$3:$A$14312=O$3,ROW($A$3:$A$14312)),ROW(19:19)),2)),"",INDEX($A$3:$B$14312,SMALL(IF($A$3:$A$14312=O$3,ROW($A$3:$A$14312)),ROW(19:19)),2))</f>
        <v/>
      </c>
      <c r="P21" t="str">
        <f t="array" ref="P21">IF(ISERROR(INDEX($A$3:$B$14312,SMALL(IF($A$3:$A$14312=P$3,ROW($A$3:$A$14312)),ROW(19:19)),2)),"",INDEX($A$3:$B$14312,SMALL(IF($A$3:$A$14312=P$3,ROW($A$3:$A$14312)),ROW(19:19)),2))</f>
        <v/>
      </c>
      <c r="Q21" t="str">
        <f t="array" ref="Q21">IF(ISERROR(INDEX($A$3:$B$14312,SMALL(IF($A$3:$A$14312=Q$3,ROW($A$3:$A$14312)),ROW(19:19)),2)),"",INDEX($A$3:$B$14312,SMALL(IF($A$3:$A$14312=Q$3,ROW($A$3:$A$14312)),ROW(19:19)),2))</f>
        <v/>
      </c>
      <c r="R21" t="str">
        <f t="array" ref="R21">IF(ISERROR(INDEX($A$3:$B$14312,SMALL(IF($A$3:$A$14312=R$3,ROW($A$3:$A$14312)),ROW(19:19)),2)),"",INDEX($A$3:$B$14312,SMALL(IF($A$3:$A$14312=R$3,ROW($A$3:$A$14312)),ROW(19:19)),2))</f>
        <v/>
      </c>
      <c r="S21" t="str">
        <f t="array" ref="S21">IF(ISERROR(INDEX($A$3:$B$14312,SMALL(IF($A$3:$A$14312=S$3,ROW($A$3:$A$14312)),ROW(19:19)),2)),"",INDEX($A$3:$B$14312,SMALL(IF($A$3:$A$14312=S$3,ROW($A$3:$A$14312)),ROW(19:19)),2))</f>
        <v/>
      </c>
      <c r="T21" t="str">
        <f t="array" ref="T21">IF(ISERROR(INDEX($A$3:$B$14312,SMALL(IF($A$3:$A$14312=T$3,ROW($A$3:$A$14312)),ROW(19:19)),2)),"",INDEX($A$3:$B$14312,SMALL(IF($A$3:$A$14312=T$3,ROW($A$3:$A$14312)),ROW(19:19)),2))</f>
        <v/>
      </c>
      <c r="U21" t="str">
        <f t="array" ref="U21">IF(ISERROR(INDEX($A$3:$B$14312,SMALL(IF($A$3:$A$14312=U$3,ROW($A$3:$A$14312)),ROW(19:19)),2)),"",INDEX($A$3:$B$14312,SMALL(IF($A$3:$A$14312=U$3,ROW($A$3:$A$14312)),ROW(19:19)),2))</f>
        <v>Router3_140</v>
      </c>
      <c r="V21" t="str">
        <f t="array" ref="V21">IF(ISERROR(INDEX($A$3:$B$14312,SMALL(IF($A$3:$A$14312=V$3,ROW($A$3:$A$14312)),ROW(19:19)),2)),"",INDEX($A$3:$B$14312,SMALL(IF($A$3:$A$14312=V$3,ROW($A$3:$A$14312)),ROW(19:19)),2))</f>
        <v/>
      </c>
      <c r="W21" t="str">
        <f t="array" ref="W21">IF(ISERROR(INDEX($A$3:$B$14312,SMALL(IF($A$3:$A$14312=W$3,ROW($A$3:$A$14312)),ROW(19:19)),2)),"",INDEX($A$3:$B$14312,SMALL(IF($A$3:$A$14312=W$3,ROW($A$3:$A$14312)),ROW(19:19)),2))</f>
        <v>Router3_114</v>
      </c>
      <c r="X21" t="str">
        <f t="array" ref="X21">IF(ISERROR(INDEX($A$3:$B$14312,SMALL(IF($A$3:$A$14312=X$3,ROW($A$3:$A$14312)),ROW(19:19)),2)),"",INDEX($A$3:$B$14312,SMALL(IF($A$3:$A$14312=X$3,ROW($A$3:$A$14312)),ROW(19:19)),2))</f>
        <v/>
      </c>
      <c r="Y21" t="str">
        <f t="array" ref="Y21">IF(ISERROR(INDEX($A$3:$B$14312,SMALL(IF($A$3:$A$14312=Y$3,ROW($A$3:$A$14312)),ROW(19:19)),2)),"",INDEX($A$3:$B$14312,SMALL(IF($A$3:$A$14312=Y$3,ROW($A$3:$A$14312)),ROW(19:19)),2))</f>
        <v/>
      </c>
      <c r="Z21" t="str">
        <f t="array" ref="Z21">IF(ISERROR(INDEX($A$3:$B$14312,SMALL(IF($A$3:$A$14312=Z$3,ROW($A$3:$A$14312)),ROW(19:19)),2)),"",INDEX($A$3:$B$14312,SMALL(IF($A$3:$A$14312=Z$3,ROW($A$3:$A$14312)),ROW(19:19)),2))</f>
        <v/>
      </c>
      <c r="AA21" t="str">
        <f t="array" ref="AA21">IF(ISERROR(INDEX($A$3:$B$14312,SMALL(IF($A$3:$A$14312=AA$3,ROW($A$3:$A$14312)),ROW(19:19)),2)),"",INDEX($A$3:$B$14312,SMALL(IF($A$3:$A$14312=AA$3,ROW($A$3:$A$14312)),ROW(19:19)),2))</f>
        <v/>
      </c>
      <c r="AB21" t="str">
        <f t="array" ref="AB21">IF(ISERROR(INDEX($A$3:$B$14312,SMALL(IF($A$3:$A$14312=AB$3,ROW($A$3:$A$14312)),ROW(19:19)),2)),"",INDEX($A$3:$B$14312,SMALL(IF($A$3:$A$14312=AB$3,ROW($A$3:$A$14312)),ROW(19:19)),2))</f>
        <v/>
      </c>
      <c r="AC21" t="str">
        <f t="array" ref="AC21">IF(ISERROR(INDEX($A$3:$B$14312,SMALL(IF($A$3:$A$14312=AC$3,ROW($A$3:$A$14312)),ROW(19:19)),2)),"",INDEX($A$3:$B$14312,SMALL(IF($A$3:$A$14312=AC$3,ROW($A$3:$A$14312)),ROW(19:19)),2))</f>
        <v/>
      </c>
      <c r="AD21" t="str">
        <f t="array" ref="AD21">IF(ISERROR(INDEX($A$3:$B$14312,SMALL(IF($A$3:$A$14312=AD$3,ROW($A$3:$A$14312)),ROW(19:19)),2)),"",INDEX($A$3:$B$14312,SMALL(IF($A$3:$A$14312=AD$3,ROW($A$3:$A$14312)),ROW(19:19)),2))</f>
        <v/>
      </c>
      <c r="AE21" t="str">
        <f t="array" ref="AE21">IF(ISERROR(INDEX($A$3:$B$14312,SMALL(IF($A$3:$A$14312=AE$3,ROW($A$3:$A$14312)),ROW(19:19)),2)),"",INDEX($A$3:$B$14312,SMALL(IF($A$3:$A$14312=AE$3,ROW($A$3:$A$14312)),ROW(19:19)),2))</f>
        <v/>
      </c>
      <c r="AF21" t="str">
        <f t="array" ref="AF21">IF(ISERROR(INDEX($A$3:$B$14312,SMALL(IF($A$3:$A$14312=AF$3,ROW($A$3:$A$14312)),ROW(19:19)),2)),"",INDEX($A$3:$B$14312,SMALL(IF($A$3:$A$14312=AF$3,ROW($A$3:$A$14312)),ROW(19:19)),2))</f>
        <v>Router3_103</v>
      </c>
      <c r="AG21" t="str">
        <f t="array" ref="AG21">IF(ISERROR(INDEX($A$3:$B$14312,SMALL(IF($A$3:$A$14312=AG$3,ROW($A$3:$A$14312)),ROW(19:19)),2)),"",INDEX($A$3:$B$14312,SMALL(IF($A$3:$A$14312=AG$3,ROW($A$3:$A$14312)),ROW(19:19)),2))</f>
        <v>Router3_81</v>
      </c>
      <c r="AH21" t="str">
        <f t="array" ref="AH21">IF(ISERROR(INDEX($A$3:$B$14312,SMALL(IF($A$3:$A$14312=AH$3,ROW($A$3:$A$14312)),ROW(19:19)),2)),"",INDEX($A$3:$B$14312,SMALL(IF($A$3:$A$14312=AH$3,ROW($A$3:$A$14312)),ROW(19:19)),2))</f>
        <v/>
      </c>
      <c r="AI21" t="str">
        <f t="array" ref="AI21">IF(ISERROR(INDEX($A$3:$B$14312,SMALL(IF($A$3:$A$14312=AI$3,ROW($A$3:$A$14312)),ROW(19:19)),2)),"",INDEX($A$3:$B$14312,SMALL(IF($A$3:$A$14312=AI$3,ROW($A$3:$A$14312)),ROW(19:19)),2))</f>
        <v>Router3_117</v>
      </c>
      <c r="AJ21" t="str">
        <f t="array" ref="AJ21">IF(ISERROR(INDEX($A$3:$B$14312,SMALL(IF($A$3:$A$14312=AJ$3,ROW($A$3:$A$14312)),ROW(19:19)),2)),"",INDEX($A$3:$B$14312,SMALL(IF($A$3:$A$14312=AJ$3,ROW($A$3:$A$14312)),ROW(19:19)),2))</f>
        <v/>
      </c>
      <c r="AK21" t="str">
        <f t="array" ref="AK21">IF(ISERROR(INDEX($A$3:$B$14312,SMALL(IF($A$3:$A$14312=AK$3,ROW($A$3:$A$14312)),ROW(19:19)),2)),"",INDEX($A$3:$B$14312,SMALL(IF($A$3:$A$14312=AK$3,ROW($A$3:$A$14312)),ROW(19:19)),2))</f>
        <v/>
      </c>
      <c r="AL21" t="str">
        <f t="array" ref="AL21">IF(ISERROR(INDEX($A$3:$B$14312,SMALL(IF($A$3:$A$14312=AL$3,ROW($A$3:$A$14312)),ROW(19:19)),2)),"",INDEX($A$3:$B$14312,SMALL(IF($A$3:$A$14312=AL$3,ROW($A$3:$A$14312)),ROW(19:19)),2))</f>
        <v>Router3_142</v>
      </c>
      <c r="AM21" t="str">
        <f t="array" ref="AM21">IF(ISERROR(INDEX($A$3:$B$14312,SMALL(IF($A$3:$A$14312=AM$3,ROW($A$3:$A$14312)),ROW(19:19)),2)),"",INDEX($A$3:$B$14312,SMALL(IF($A$3:$A$14312=AM$3,ROW($A$3:$A$14312)),ROW(19:19)),2))</f>
        <v>Router3_131</v>
      </c>
      <c r="AN21" t="str">
        <f t="array" ref="AN21">IF(ISERROR(INDEX($A$3:$B$14312,SMALL(IF($A$3:$A$14312=AN$3,ROW($A$3:$A$14312)),ROW(19:19)),2)),"",INDEX($A$3:$B$14312,SMALL(IF($A$3:$A$14312=AN$3,ROW($A$3:$A$14312)),ROW(19:19)),2))</f>
        <v>Router3_3</v>
      </c>
      <c r="AO21" t="str">
        <f t="array" ref="AO21">IF(ISERROR(INDEX($A$3:$B$14312,SMALL(IF($A$3:$A$14312=AO$3,ROW($A$3:$A$14312)),ROW(19:19)),2)),"",INDEX($A$3:$B$14312,SMALL(IF($A$3:$A$14312=AO$3,ROW($A$3:$A$14312)),ROW(19:19)),2))</f>
        <v/>
      </c>
      <c r="AP21" t="str">
        <f t="array" ref="AP21">IF(ISERROR(INDEX($A$3:$B$14312,SMALL(IF($A$3:$A$14312=AP$3,ROW($A$3:$A$14312)),ROW(19:19)),2)),"",INDEX($A$3:$B$14312,SMALL(IF($A$3:$A$14312=AP$3,ROW($A$3:$A$14312)),ROW(19:19)),2))</f>
        <v>Router3_21</v>
      </c>
      <c r="AQ21" t="str">
        <f t="array" ref="AQ21">IF(ISERROR(INDEX($A$3:$B$14312,SMALL(IF($A$3:$A$14312=AQ$3,ROW($A$3:$A$14312)),ROW(19:19)),2)),"",INDEX($A$3:$B$14312,SMALL(IF($A$3:$A$14312=AQ$3,ROW($A$3:$A$14312)),ROW(19:19)),2))</f>
        <v/>
      </c>
      <c r="AR21" t="str">
        <f t="array" ref="AR21">IF(ISERROR(INDEX($A$3:$B$14312,SMALL(IF($A$3:$A$14312=AR$3,ROW($A$3:$A$14312)),ROW(19:19)),2)),"",INDEX($A$3:$B$14312,SMALL(IF($A$3:$A$14312=AR$3,ROW($A$3:$A$14312)),ROW(19:19)),2))</f>
        <v/>
      </c>
      <c r="AS21" t="str">
        <f t="array" ref="AS21">IF(ISERROR(INDEX($A$3:$B$14312,SMALL(IF($A$3:$A$14312=AS$3,ROW($A$3:$A$14312)),ROW(19:19)),2)),"",INDEX($A$3:$B$14312,SMALL(IF($A$3:$A$14312=AS$3,ROW($A$3:$A$14312)),ROW(19:19)),2))</f>
        <v>Router3_91</v>
      </c>
      <c r="AT21" t="str">
        <f t="array" ref="AT21">IF(ISERROR(INDEX($A$3:$B$14312,SMALL(IF($A$3:$A$14312=AT$3,ROW($A$3:$A$14312)),ROW(19:19)),2)),"",INDEX($A$3:$B$14312,SMALL(IF($A$3:$A$14312=AT$3,ROW($A$3:$A$14312)),ROW(19:19)),2))</f>
        <v/>
      </c>
      <c r="AU21" t="str">
        <f t="array" ref="AU21">IF(ISERROR(INDEX($A$3:$B$14312,SMALL(IF($A$3:$A$14312=AU$3,ROW($A$3:$A$14312)),ROW(19:19)),2)),"",INDEX($A$3:$B$14312,SMALL(IF($A$3:$A$14312=AU$3,ROW($A$3:$A$14312)),ROW(19:19)),2))</f>
        <v>Router3_112</v>
      </c>
      <c r="AV21" t="str">
        <f t="array" ref="AV21">IF(ISERROR(INDEX($A$3:$B$14312,SMALL(IF($A$3:$A$14312=AV$3,ROW($A$3:$A$14312)),ROW(19:19)),2)),"",INDEX($A$3:$B$14312,SMALL(IF($A$3:$A$14312=AV$3,ROW($A$3:$A$14312)),ROW(19:19)),2))</f>
        <v/>
      </c>
      <c r="AW21" t="str">
        <f t="array" ref="AW21">IF(ISERROR(INDEX($A$3:$B$14312,SMALL(IF($A$3:$A$14312=AW$3,ROW($A$3:$A$14312)),ROW(19:19)),2)),"",INDEX($A$3:$B$14312,SMALL(IF($A$3:$A$14312=AW$3,ROW($A$3:$A$14312)),ROW(19:19)),2))</f>
        <v/>
      </c>
      <c r="AX21" t="str">
        <f t="array" ref="AX21">IF(ISERROR(INDEX($A$3:$B$14312,SMALL(IF($A$3:$A$14312=AX$3,ROW($A$3:$A$14312)),ROW(19:19)),2)),"",INDEX($A$3:$B$14312,SMALL(IF($A$3:$A$14312=AX$3,ROW($A$3:$A$14312)),ROW(19:19)),2))</f>
        <v/>
      </c>
      <c r="AY21" t="str">
        <f t="array" ref="AY21">IF(ISERROR(INDEX($A$3:$B$14312,SMALL(IF($A$3:$A$14312=AY$3,ROW($A$3:$A$14312)),ROW(19:19)),2)),"",INDEX($A$3:$B$14312,SMALL(IF($A$3:$A$14312=AY$3,ROW($A$3:$A$14312)),ROW(19:19)),2))</f>
        <v>Router3_138</v>
      </c>
      <c r="AZ21" t="str">
        <f t="array" ref="AZ21">IF(ISERROR(INDEX($A$3:$B$14312,SMALL(IF($A$3:$A$14312=AZ$3,ROW($A$3:$A$14312)),ROW(19:19)),2)),"",INDEX($A$3:$B$14312,SMALL(IF($A$3:$A$14312=AZ$3,ROW($A$3:$A$14312)),ROW(19:19)),2))</f>
        <v/>
      </c>
      <c r="BA21" t="str">
        <f t="array" ref="BA21">IF(ISERROR(INDEX($A$3:$B$14312,SMALL(IF($A$3:$A$14312=BA$3,ROW($A$3:$A$14312)),ROW(19:19)),2)),"",INDEX($A$3:$B$14312,SMALL(IF($A$3:$A$14312=BA$3,ROW($A$3:$A$14312)),ROW(19:19)),2))</f>
        <v/>
      </c>
      <c r="BB21" t="str">
        <f t="array" ref="BB21">IF(ISERROR(INDEX($A$3:$B$14312,SMALL(IF($A$3:$A$14312=BB$3,ROW($A$3:$A$14312)),ROW(19:19)),2)),"",INDEX($A$3:$B$14312,SMALL(IF($A$3:$A$14312=BB$3,ROW($A$3:$A$14312)),ROW(19:19)),2))</f>
        <v/>
      </c>
      <c r="BC21" t="str">
        <f t="array" ref="BC21">IF(ISERROR(INDEX($A$3:$B$14312,SMALL(IF($A$3:$A$14312=BC$3,ROW($A$3:$A$14312)),ROW(19:19)),2)),"",INDEX($A$3:$B$14312,SMALL(IF($A$3:$A$14312=BC$3,ROW($A$3:$A$14312)),ROW(19:19)),2))</f>
        <v/>
      </c>
      <c r="BD21" t="str">
        <f t="array" ref="BD21">IF(ISERROR(INDEX($A$3:$B$14312,SMALL(IF($A$3:$A$14312=BD$3,ROW($A$3:$A$14312)),ROW(19:19)),2)),"",INDEX($A$3:$B$14312,SMALL(IF($A$3:$A$14312=BD$3,ROW($A$3:$A$14312)),ROW(19:19)),2))</f>
        <v/>
      </c>
      <c r="BE21" t="str">
        <f t="array" ref="BE21">IF(ISERROR(INDEX($A$3:$B$14312,SMALL(IF($A$3:$A$14312=BE$3,ROW($A$3:$A$14312)),ROW(19:19)),2)),"",INDEX($A$3:$B$14312,SMALL(IF($A$3:$A$14312=BE$3,ROW($A$3:$A$14312)),ROW(19:19)),2))</f>
        <v/>
      </c>
      <c r="BF21" t="str">
        <f t="array" ref="BF21">IF(ISERROR(INDEX($A$3:$B$14312,SMALL(IF($A$3:$A$14312=BF$3,ROW($A$3:$A$14312)),ROW(19:19)),2)),"",INDEX($A$3:$B$14312,SMALL(IF($A$3:$A$14312=BF$3,ROW($A$3:$A$14312)),ROW(19:19)),2))</f>
        <v/>
      </c>
      <c r="BG21" t="str">
        <f t="array" ref="BG21">IF(ISERROR(INDEX($A$3:$B$14312,SMALL(IF($A$3:$A$14312=BG$3,ROW($A$3:$A$14312)),ROW(19:19)),2)),"",INDEX($A$3:$B$14312,SMALL(IF($A$3:$A$14312=BG$3,ROW($A$3:$A$14312)),ROW(19:19)),2))</f>
        <v/>
      </c>
      <c r="BH21" t="str">
        <f t="array" ref="BH21">IF(ISERROR(INDEX($A$3:$B$14312,SMALL(IF($A$3:$A$14312=BH$3,ROW($A$3:$A$14312)),ROW(19:19)),2)),"",INDEX($A$3:$B$14312,SMALL(IF($A$3:$A$14312=BH$3,ROW($A$3:$A$14312)),ROW(19:19)),2))</f>
        <v/>
      </c>
      <c r="BI21" t="str">
        <f t="array" ref="BI21">IF(ISERROR(INDEX($A$3:$B$14312,SMALL(IF($A$3:$A$14312=BI$3,ROW($A$3:$A$14312)),ROW(19:19)),2)),"",INDEX($A$3:$B$14312,SMALL(IF($A$3:$A$14312=BI$3,ROW($A$3:$A$14312)),ROW(19:19)),2))</f>
        <v/>
      </c>
      <c r="BJ21" t="str">
        <f t="array" ref="BJ21">IF(ISERROR(INDEX($A$3:$B$14312,SMALL(IF($A$3:$A$14312=BJ$3,ROW($A$3:$A$14312)),ROW(19:19)),2)),"",INDEX($A$3:$B$14312,SMALL(IF($A$3:$A$14312=BJ$3,ROW($A$3:$A$14312)),ROW(19:19)),2))</f>
        <v/>
      </c>
      <c r="BK21" t="str">
        <f t="array" ref="BK21">IF(ISERROR(INDEX($A$3:$B$14312,SMALL(IF($A$3:$A$14312=BK$3,ROW($A$3:$A$14312)),ROW(19:19)),2)),"",INDEX($A$3:$B$14312,SMALL(IF($A$3:$A$14312=BK$3,ROW($A$3:$A$14312)),ROW(19:19)),2))</f>
        <v/>
      </c>
      <c r="BL21" t="str">
        <f t="array" ref="BL21">IF(ISERROR(INDEX($A$3:$B$14312,SMALL(IF($A$3:$A$14312=BL$3,ROW($A$3:$A$14312)),ROW(19:19)),2)),"",INDEX($A$3:$B$14312,SMALL(IF($A$3:$A$14312=BL$3,ROW($A$3:$A$14312)),ROW(19:19)),2))</f>
        <v/>
      </c>
      <c r="BM21" t="str">
        <f t="array" ref="BM21">IF(ISERROR(INDEX($A$3:$B$14312,SMALL(IF($A$3:$A$14312=BM$3,ROW($A$3:$A$14312)),ROW(19:19)),2)),"",INDEX($A$3:$B$14312,SMALL(IF($A$3:$A$14312=BM$3,ROW($A$3:$A$14312)),ROW(19:19)),2))</f>
        <v/>
      </c>
      <c r="BN21" t="str">
        <f t="array" ref="BN21">IF(ISERROR(INDEX($A$3:$B$14312,SMALL(IF($A$3:$A$14312=BN$3,ROW($A$3:$A$14312)),ROW(19:19)),2)),"",INDEX($A$3:$B$14312,SMALL(IF($A$3:$A$14312=BN$3,ROW($A$3:$A$14312)),ROW(19:19)),2))</f>
        <v/>
      </c>
      <c r="BO21" t="str">
        <f t="array" ref="BO21">IF(ISERROR(INDEX($A$3:$B$14312,SMALL(IF($A$3:$A$14312=BO$3,ROW($A$3:$A$14312)),ROW(19:19)),2)),"",INDEX($A$3:$B$14312,SMALL(IF($A$3:$A$14312=BO$3,ROW($A$3:$A$14312)),ROW(19:19)),2))</f>
        <v/>
      </c>
      <c r="BP21" t="str">
        <f t="array" ref="BP21">IF(ISERROR(INDEX($A$3:$B$14312,SMALL(IF($A$3:$A$14312=BP$3,ROW($A$3:$A$14312)),ROW(19:19)),2)),"",INDEX($A$3:$B$14312,SMALL(IF($A$3:$A$14312=BP$3,ROW($A$3:$A$14312)),ROW(19:19)),2))</f>
        <v/>
      </c>
      <c r="BQ21" t="str">
        <f t="array" ref="BQ21">IF(ISERROR(INDEX($A$3:$B$14312,SMALL(IF($A$3:$A$14312=BQ$3,ROW($A$3:$A$14312)),ROW(19:19)),2)),"",INDEX($A$3:$B$14312,SMALL(IF($A$3:$A$14312=BQ$3,ROW($A$3:$A$14312)),ROW(19:19)),2))</f>
        <v/>
      </c>
      <c r="BR21" t="str">
        <f t="array" ref="BR21">IF(ISERROR(INDEX($A$3:$B$14312,SMALL(IF($A$3:$A$14312=BR$3,ROW($A$3:$A$14312)),ROW(19:19)),2)),"",INDEX($A$3:$B$14312,SMALL(IF($A$3:$A$14312=BR$3,ROW($A$3:$A$14312)),ROW(19:19)),2))</f>
        <v/>
      </c>
      <c r="BS21" t="str">
        <f t="array" ref="BS21">IF(ISERROR(INDEX($A$3:$B$14312,SMALL(IF($A$3:$A$14312=BS$3,ROW($A$3:$A$14312)),ROW(19:19)),2)),"",INDEX($A$3:$B$14312,SMALL(IF($A$3:$A$14312=BS$3,ROW($A$3:$A$14312)),ROW(19:19)),2))</f>
        <v/>
      </c>
      <c r="BT21" t="str">
        <f t="array" ref="BT21">IF(ISERROR(INDEX($A$3:$B$14312,SMALL(IF($A$3:$A$14312=BT$3,ROW($A$3:$A$14312)),ROW(19:19)),2)),"",INDEX($A$3:$B$14312,SMALL(IF($A$3:$A$14312=BT$3,ROW($A$3:$A$14312)),ROW(19:19)),2))</f>
        <v>Router3_88</v>
      </c>
      <c r="BU21" t="str">
        <f t="array" ref="BU21">IF(ISERROR(INDEX($A$3:$B$14312,SMALL(IF($A$3:$A$14312=BU$3,ROW($A$3:$A$14312)),ROW(19:19)),2)),"",INDEX($A$3:$B$14312,SMALL(IF($A$3:$A$14312=BU$3,ROW($A$3:$A$14312)),ROW(19:19)),2))</f>
        <v/>
      </c>
      <c r="BV21" t="str">
        <f t="array" ref="BV21">IF(ISERROR(INDEX($A$3:$B$14312,SMALL(IF($A$3:$A$14312=BV$3,ROW($A$3:$A$14312)),ROW(19:19)),2)),"",INDEX($A$3:$B$14312,SMALL(IF($A$3:$A$14312=BV$3,ROW($A$3:$A$14312)),ROW(19:19)),2))</f>
        <v/>
      </c>
      <c r="BW21" t="str">
        <f t="array" ref="BW21">IF(ISERROR(INDEX($A$3:$B$14312,SMALL(IF($A$3:$A$14312=BW$3,ROW($A$3:$A$14312)),ROW(19:19)),2)),"",INDEX($A$3:$B$14312,SMALL(IF($A$3:$A$14312=BW$3,ROW($A$3:$A$14312)),ROW(19:19)),2))</f>
        <v>Router3_157</v>
      </c>
      <c r="BX21" t="str">
        <f t="array" ref="BX21">IF(ISERROR(INDEX($A$3:$B$14312,SMALL(IF($A$3:$A$14312=BX$3,ROW($A$3:$A$14312)),ROW(19:19)),2)),"",INDEX($A$3:$B$14312,SMALL(IF($A$3:$A$14312=BX$3,ROW($A$3:$A$14312)),ROW(19:19)),2))</f>
        <v>Router3_108</v>
      </c>
      <c r="BY21" t="str">
        <f t="array" ref="BY21">IF(ISERROR(INDEX($A$3:$B$14312,SMALL(IF($A$3:$A$14312=BY$3,ROW($A$3:$A$14312)),ROW(19:19)),2)),"",INDEX($A$3:$B$14312,SMALL(IF($A$3:$A$14312=BY$3,ROW($A$3:$A$14312)),ROW(19:19)),2))</f>
        <v>Router3_91</v>
      </c>
      <c r="BZ21" t="str">
        <f t="array" ref="BZ21">IF(ISERROR(INDEX($A$3:$B$14312,SMALL(IF($A$3:$A$14312=BZ$3,ROW($A$3:$A$14312)),ROW(19:19)),2)),"",INDEX($A$3:$B$14312,SMALL(IF($A$3:$A$14312=BZ$3,ROW($A$3:$A$14312)),ROW(19:19)),2))</f>
        <v>Router3_91</v>
      </c>
      <c r="CA21" t="str">
        <f t="array" ref="CA21">IF(ISERROR(INDEX($A$3:$B$14312,SMALL(IF($A$3:$A$14312=CA$3,ROW($A$3:$A$14312)),ROW(19:19)),2)),"",INDEX($A$3:$B$14312,SMALL(IF($A$3:$A$14312=CA$3,ROW($A$3:$A$14312)),ROW(19:19)),2))</f>
        <v/>
      </c>
      <c r="CB21" t="str">
        <f t="array" ref="CB21">IF(ISERROR(INDEX($A$3:$B$14312,SMALL(IF($A$3:$A$14312=CB$3,ROW($A$3:$A$14312)),ROW(19:19)),2)),"",INDEX($A$3:$B$14312,SMALL(IF($A$3:$A$14312=CB$3,ROW($A$3:$A$14312)),ROW(19:19)),2))</f>
        <v/>
      </c>
      <c r="CC21" t="str">
        <f t="array" ref="CC21">IF(ISERROR(INDEX($A$3:$B$14312,SMALL(IF($A$3:$A$14312=CC$3,ROW($A$3:$A$14312)),ROW(19:19)),2)),"",INDEX($A$3:$B$14312,SMALL(IF($A$3:$A$14312=CC$3,ROW($A$3:$A$14312)),ROW(19:19)),2))</f>
        <v/>
      </c>
      <c r="CD21" t="str">
        <f t="array" ref="CD21">IF(ISERROR(INDEX($A$3:$B$14312,SMALL(IF($A$3:$A$14312=CD$3,ROW($A$3:$A$14312)),ROW(19:19)),2)),"",INDEX($A$3:$B$14312,SMALL(IF($A$3:$A$14312=CD$3,ROW($A$3:$A$14312)),ROW(19:19)),2))</f>
        <v/>
      </c>
      <c r="CE21" t="str">
        <f t="array" ref="CE21">IF(ISERROR(INDEX($A$3:$B$14312,SMALL(IF($A$3:$A$14312=CE$3,ROW($A$3:$A$14312)),ROW(19:19)),2)),"",INDEX($A$3:$B$14312,SMALL(IF($A$3:$A$14312=CE$3,ROW($A$3:$A$14312)),ROW(19:19)),2))</f>
        <v/>
      </c>
      <c r="CF21" t="str">
        <f t="array" ref="CF21">IF(ISERROR(INDEX($A$3:$B$14312,SMALL(IF($A$3:$A$14312=CF$3,ROW($A$3:$A$14312)),ROW(19:19)),2)),"",INDEX($A$3:$B$14312,SMALL(IF($A$3:$A$14312=CF$3,ROW($A$3:$A$14312)),ROW(19:19)),2))</f>
        <v/>
      </c>
      <c r="CG21" t="str">
        <f t="array" ref="CG21">IF(ISERROR(INDEX($A$3:$B$14312,SMALL(IF($A$3:$A$14312=CG$3,ROW($A$3:$A$14312)),ROW(19:19)),2)),"",INDEX($A$3:$B$14312,SMALL(IF($A$3:$A$14312=CG$3,ROW($A$3:$A$14312)),ROW(19:19)),2))</f>
        <v/>
      </c>
      <c r="CH21" t="str">
        <f t="array" ref="CH21">IF(ISERROR(INDEX($A$3:$B$14312,SMALL(IF($A$3:$A$14312=CH$3,ROW($A$3:$A$14312)),ROW(19:19)),2)),"",INDEX($A$3:$B$14312,SMALL(IF($A$3:$A$14312=CH$3,ROW($A$3:$A$14312)),ROW(19:19)),2))</f>
        <v/>
      </c>
      <c r="CI21" t="str">
        <f t="array" ref="CI21">IF(ISERROR(INDEX($A$3:$B$14312,SMALL(IF($A$3:$A$14312=CI$3,ROW($A$3:$A$14312)),ROW(19:19)),2)),"",INDEX($A$3:$B$14312,SMALL(IF($A$3:$A$14312=CI$3,ROW($A$3:$A$14312)),ROW(19:19)),2))</f>
        <v/>
      </c>
      <c r="CJ21" t="str">
        <f t="array" ref="CJ21">IF(ISERROR(INDEX($A$3:$B$14312,SMALL(IF($A$3:$A$14312=CJ$3,ROW($A$3:$A$14312)),ROW(19:19)),2)),"",INDEX($A$3:$B$14312,SMALL(IF($A$3:$A$14312=CJ$3,ROW($A$3:$A$14312)),ROW(19:19)),2))</f>
        <v/>
      </c>
      <c r="CK21" t="str">
        <f t="array" ref="CK21">IF(ISERROR(INDEX($A$3:$B$14312,SMALL(IF($A$3:$A$14312=CK$3,ROW($A$3:$A$14312)),ROW(19:19)),2)),"",INDEX($A$3:$B$14312,SMALL(IF($A$3:$A$14312=CK$3,ROW($A$3:$A$14312)),ROW(19:19)),2))</f>
        <v/>
      </c>
      <c r="CL21" t="str">
        <f t="array" ref="CL21">IF(ISERROR(INDEX($A$3:$B$14312,SMALL(IF($A$3:$A$14312=CL$3,ROW($A$3:$A$14312)),ROW(19:19)),2)),"",INDEX($A$3:$B$14312,SMALL(IF($A$3:$A$14312=CL$3,ROW($A$3:$A$14312)),ROW(19:19)),2))</f>
        <v/>
      </c>
      <c r="CM21" t="str">
        <f t="array" ref="CM21">IF(ISERROR(INDEX($A$3:$B$14312,SMALL(IF($A$3:$A$14312=CM$3,ROW($A$3:$A$14312)),ROW(19:19)),2)),"",INDEX($A$3:$B$14312,SMALL(IF($A$3:$A$14312=CM$3,ROW($A$3:$A$14312)),ROW(19:19)),2))</f>
        <v/>
      </c>
      <c r="CN21" t="str">
        <f t="array" ref="CN21">IF(ISERROR(INDEX($A$3:$B$14312,SMALL(IF($A$3:$A$14312=CN$3,ROW($A$3:$A$14312)),ROW(19:19)),2)),"",INDEX($A$3:$B$14312,SMALL(IF($A$3:$A$14312=CN$3,ROW($A$3:$A$14312)),ROW(19:19)),2))</f>
        <v>Router3_75</v>
      </c>
      <c r="CO21" t="str">
        <f t="array" ref="CO21">IF(ISERROR(INDEX($A$3:$B$14312,SMALL(IF($A$3:$A$14312=CO$3,ROW($A$3:$A$14312)),ROW(19:19)),2)),"",INDEX($A$3:$B$14312,SMALL(IF($A$3:$A$14312=CO$3,ROW($A$3:$A$14312)),ROW(19:19)),2))</f>
        <v>Router3_95</v>
      </c>
      <c r="CP21" t="str">
        <f t="array" ref="CP21">IF(ISERROR(INDEX($A$3:$B$14312,SMALL(IF($A$3:$A$14312=CP$3,ROW($A$3:$A$14312)),ROW(19:19)),2)),"",INDEX($A$3:$B$14312,SMALL(IF($A$3:$A$14312=CP$3,ROW($A$3:$A$14312)),ROW(19:19)),2))</f>
        <v/>
      </c>
      <c r="CQ21" t="str">
        <f t="array" ref="CQ21">IF(ISERROR(INDEX($A$3:$B$14312,SMALL(IF($A$3:$A$14312=CQ$3,ROW($A$3:$A$14312)),ROW(19:19)),2)),"",INDEX($A$3:$B$14312,SMALL(IF($A$3:$A$14312=CQ$3,ROW($A$3:$A$14312)),ROW(19:19)),2))</f>
        <v/>
      </c>
      <c r="CR21" t="str">
        <f t="array" ref="CR21">IF(ISERROR(INDEX($A$3:$B$14312,SMALL(IF($A$3:$A$14312=CR$3,ROW($A$3:$A$14312)),ROW(19:19)),2)),"",INDEX($A$3:$B$14312,SMALL(IF($A$3:$A$14312=CR$3,ROW($A$3:$A$14312)),ROW(19:19)),2))</f>
        <v/>
      </c>
      <c r="CS21" t="str">
        <f t="array" ref="CS21">IF(ISERROR(INDEX($A$3:$B$14312,SMALL(IF($A$3:$A$14312=CS$3,ROW($A$3:$A$14312)),ROW(19:19)),2)),"",INDEX($A$3:$B$14312,SMALL(IF($A$3:$A$14312=CS$3,ROW($A$3:$A$14312)),ROW(19:19)),2))</f>
        <v/>
      </c>
      <c r="CT21" t="str">
        <f t="array" ref="CT21">IF(ISERROR(INDEX($A$3:$B$14312,SMALL(IF($A$3:$A$14312=CT$3,ROW($A$3:$A$14312)),ROW(19:19)),2)),"",INDEX($A$3:$B$14312,SMALL(IF($A$3:$A$14312=CT$3,ROW($A$3:$A$14312)),ROW(19:19)),2))</f>
        <v/>
      </c>
      <c r="CU21" t="str">
        <f t="array" ref="CU21">IF(ISERROR(INDEX($A$3:$B$14312,SMALL(IF($A$3:$A$14312=CU$3,ROW($A$3:$A$14312)),ROW(19:19)),2)),"",INDEX($A$3:$B$14312,SMALL(IF($A$3:$A$14312=CU$3,ROW($A$3:$A$14312)),ROW(19:19)),2))</f>
        <v/>
      </c>
      <c r="CV21" t="str">
        <f t="array" ref="CV21">IF(ISERROR(INDEX($A$3:$B$14312,SMALL(IF($A$3:$A$14312=CV$3,ROW($A$3:$A$14312)),ROW(19:19)),2)),"",INDEX($A$3:$B$14312,SMALL(IF($A$3:$A$14312=CV$3,ROW($A$3:$A$14312)),ROW(19:19)),2))</f>
        <v>Router3_118</v>
      </c>
      <c r="CW21" t="str">
        <f t="array" ref="CW21">IF(ISERROR(INDEX($A$3:$B$14312,SMALL(IF($A$3:$A$14312=CW$3,ROW($A$3:$A$14312)),ROW(19:19)),2)),"",INDEX($A$3:$B$14312,SMALL(IF($A$3:$A$14312=CW$3,ROW($A$3:$A$14312)),ROW(19:19)),2))</f>
        <v/>
      </c>
      <c r="CX21" t="str">
        <f t="array" ref="CX21">IF(ISERROR(INDEX($A$3:$B$14312,SMALL(IF($A$3:$A$14312=CX$3,ROW($A$3:$A$14312)),ROW(19:19)),2)),"",INDEX($A$3:$B$14312,SMALL(IF($A$3:$A$14312=CX$3,ROW($A$3:$A$14312)),ROW(19:19)),2))</f>
        <v/>
      </c>
      <c r="CY21" t="str">
        <f t="array" ref="CY21">IF(ISERROR(INDEX($A$3:$B$14312,SMALL(IF($A$3:$A$14312=CY$3,ROW($A$3:$A$14312)),ROW(19:19)),2)),"",INDEX($A$3:$B$14312,SMALL(IF($A$3:$A$14312=CY$3,ROW($A$3:$A$14312)),ROW(19:19)),2))</f>
        <v>Router3_90</v>
      </c>
      <c r="CZ21" t="str">
        <f t="array" ref="CZ21">IF(ISERROR(INDEX($A$3:$B$14312,SMALL(IF($A$3:$A$14312=CZ$3,ROW($A$3:$A$14312)),ROW(19:19)),2)),"",INDEX($A$3:$B$14312,SMALL(IF($A$3:$A$14312=CZ$3,ROW($A$3:$A$14312)),ROW(19:19)),2))</f>
        <v/>
      </c>
      <c r="DA21" t="str">
        <f t="array" ref="DA21">IF(ISERROR(INDEX($A$3:$B$14312,SMALL(IF($A$3:$A$14312=DA$3,ROW($A$3:$A$14312)),ROW(19:19)),2)),"",INDEX($A$3:$B$14312,SMALL(IF($A$3:$A$14312=DA$3,ROW($A$3:$A$14312)),ROW(19:19)),2))</f>
        <v>Router3_149</v>
      </c>
      <c r="DB21" t="str">
        <f t="array" ref="DB21">IF(ISERROR(INDEX($A$3:$B$14312,SMALL(IF($A$3:$A$14312=DB$3,ROW($A$3:$A$14312)),ROW(19:19)),2)),"",INDEX($A$3:$B$14312,SMALL(IF($A$3:$A$14312=DB$3,ROW($A$3:$A$14312)),ROW(19:19)),2))</f>
        <v/>
      </c>
      <c r="DC21" t="str">
        <f t="array" ref="DC21">IF(ISERROR(INDEX($A$3:$B$14312,SMALL(IF($A$3:$A$14312=DC$3,ROW($A$3:$A$14312)),ROW(19:19)),2)),"",INDEX($A$3:$B$14312,SMALL(IF($A$3:$A$14312=DC$3,ROW($A$3:$A$14312)),ROW(19:19)),2))</f>
        <v>Router3_119</v>
      </c>
      <c r="DD21" t="str">
        <f t="array" ref="DD21">IF(ISERROR(INDEX($A$3:$B$14312,SMALL(IF($A$3:$A$14312=DD$3,ROW($A$3:$A$14312)),ROW(19:19)),2)),"",INDEX($A$3:$B$14312,SMALL(IF($A$3:$A$14312=DD$3,ROW($A$3:$A$14312)),ROW(19:19)),2))</f>
        <v/>
      </c>
      <c r="DE21" t="str">
        <f t="array" ref="DE21">IF(ISERROR(INDEX($A$3:$B$14312,SMALL(IF($A$3:$A$14312=DE$3,ROW($A$3:$A$14312)),ROW(19:19)),2)),"",INDEX($A$3:$B$14312,SMALL(IF($A$3:$A$14312=DE$3,ROW($A$3:$A$14312)),ROW(19:19)),2))</f>
        <v/>
      </c>
      <c r="DF21" t="str">
        <f t="array" ref="DF21">IF(ISERROR(INDEX($A$3:$B$14312,SMALL(IF($A$3:$A$14312=DF$3,ROW($A$3:$A$14312)),ROW(19:19)),2)),"",INDEX($A$3:$B$14312,SMALL(IF($A$3:$A$14312=DF$3,ROW($A$3:$A$14312)),ROW(19:19)),2))</f>
        <v/>
      </c>
      <c r="DG21" t="str">
        <f t="array" ref="DG21">IF(ISERROR(INDEX($A$3:$B$14312,SMALL(IF($A$3:$A$14312=DG$3,ROW($A$3:$A$14312)),ROW(19:19)),2)),"",INDEX($A$3:$B$14312,SMALL(IF($A$3:$A$14312=DG$3,ROW($A$3:$A$14312)),ROW(19:19)),2))</f>
        <v>Router3_21</v>
      </c>
      <c r="DH21" t="str">
        <f t="array" ref="DH21">IF(ISERROR(INDEX($A$3:$B$14312,SMALL(IF($A$3:$A$14312=DH$3,ROW($A$3:$A$14312)),ROW(19:19)),2)),"",INDEX($A$3:$B$14312,SMALL(IF($A$3:$A$14312=DH$3,ROW($A$3:$A$14312)),ROW(19:19)),2))</f>
        <v/>
      </c>
      <c r="DI21" t="str">
        <f t="array" ref="DI21">IF(ISERROR(INDEX($A$3:$B$14312,SMALL(IF($A$3:$A$14312=DI$3,ROW($A$3:$A$14312)),ROW(19:19)),2)),"",INDEX($A$3:$B$14312,SMALL(IF($A$3:$A$14312=DI$3,ROW($A$3:$A$14312)),ROW(19:19)),2))</f>
        <v>Router3_85</v>
      </c>
      <c r="DJ21" t="str">
        <f t="array" ref="DJ21">IF(ISERROR(INDEX($A$3:$B$14312,SMALL(IF($A$3:$A$14312=DJ$3,ROW($A$3:$A$14312)),ROW(19:19)),2)),"",INDEX($A$3:$B$14312,SMALL(IF($A$3:$A$14312=DJ$3,ROW($A$3:$A$14312)),ROW(19:19)),2))</f>
        <v>Router3_92</v>
      </c>
      <c r="DK21" t="str">
        <f t="array" ref="DK21">IF(ISERROR(INDEX($A$3:$B$14312,SMALL(IF($A$3:$A$14312=DK$3,ROW($A$3:$A$14312)),ROW(19:19)),2)),"",INDEX($A$3:$B$14312,SMALL(IF($A$3:$A$14312=DK$3,ROW($A$3:$A$14312)),ROW(19:19)),2))</f>
        <v>Router3_119</v>
      </c>
      <c r="DL21" t="str">
        <f t="array" ref="DL21">IF(ISERROR(INDEX($A$3:$B$14312,SMALL(IF($A$3:$A$14312=DL$3,ROW($A$3:$A$14312)),ROW(19:19)),2)),"",INDEX($A$3:$B$14312,SMALL(IF($A$3:$A$14312=DL$3,ROW($A$3:$A$14312)),ROW(19:19)),2))</f>
        <v/>
      </c>
      <c r="DM21" t="str">
        <f t="array" ref="DM21">IF(ISERROR(INDEX($A$3:$B$14312,SMALL(IF($A$3:$A$14312=DM$3,ROW($A$3:$A$14312)),ROW(19:19)),2)),"",INDEX($A$3:$B$14312,SMALL(IF($A$3:$A$14312=DM$3,ROW($A$3:$A$14312)),ROW(19:19)),2))</f>
        <v/>
      </c>
      <c r="DN21" t="str">
        <f t="array" ref="DN21">IF(ISERROR(INDEX($A$3:$B$14312,SMALL(IF($A$3:$A$14312=DN$3,ROW($A$3:$A$14312)),ROW(19:19)),2)),"",INDEX($A$3:$B$14312,SMALL(IF($A$3:$A$14312=DN$3,ROW($A$3:$A$14312)),ROW(19:19)),2))</f>
        <v>Router3_49</v>
      </c>
      <c r="DO21" t="str">
        <f t="array" ref="DO21">IF(ISERROR(INDEX($A$3:$B$14312,SMALL(IF($A$3:$A$14312=DO$3,ROW($A$3:$A$14312)),ROW(19:19)),2)),"",INDEX($A$3:$B$14312,SMALL(IF($A$3:$A$14312=DO$3,ROW($A$3:$A$14312)),ROW(19:19)),2))</f>
        <v/>
      </c>
      <c r="DP21" t="str">
        <f t="array" ref="DP21">IF(ISERROR(INDEX($A$3:$B$14312,SMALL(IF($A$3:$A$14312=DP$3,ROW($A$3:$A$14312)),ROW(19:19)),2)),"",INDEX($A$3:$B$14312,SMALL(IF($A$3:$A$14312=DP$3,ROW($A$3:$A$14312)),ROW(19:19)),2))</f>
        <v/>
      </c>
      <c r="DQ21" t="str">
        <f t="array" ref="DQ21">IF(ISERROR(INDEX($A$3:$B$14312,SMALL(IF($A$3:$A$14312=DQ$3,ROW($A$3:$A$14312)),ROW(19:19)),2)),"",INDEX($A$3:$B$14312,SMALL(IF($A$3:$A$14312=DQ$3,ROW($A$3:$A$14312)),ROW(19:19)),2))</f>
        <v/>
      </c>
      <c r="DR21" t="str">
        <f t="array" ref="DR21">IF(ISERROR(INDEX($A$3:$B$14312,SMALL(IF($A$3:$A$14312=DR$3,ROW($A$3:$A$14312)),ROW(19:19)),2)),"",INDEX($A$3:$B$14312,SMALL(IF($A$3:$A$14312=DR$3,ROW($A$3:$A$14312)),ROW(19:19)),2))</f>
        <v>Router3_21</v>
      </c>
      <c r="DS21" t="str">
        <f t="array" ref="DS21">IF(ISERROR(INDEX($A$3:$B$14312,SMALL(IF($A$3:$A$14312=DS$3,ROW($A$3:$A$14312)),ROW(19:19)),2)),"",INDEX($A$3:$B$14312,SMALL(IF($A$3:$A$14312=DS$3,ROW($A$3:$A$14312)),ROW(19:19)),2))</f>
        <v/>
      </c>
      <c r="DT21" t="str">
        <f t="array" ref="DT21">IF(ISERROR(INDEX($A$3:$B$14312,SMALL(IF($A$3:$A$14312=DT$3,ROW($A$3:$A$14312)),ROW(19:19)),2)),"",INDEX($A$3:$B$14312,SMALL(IF($A$3:$A$14312=DT$3,ROW($A$3:$A$14312)),ROW(19:19)),2))</f>
        <v>Router3_85</v>
      </c>
      <c r="DU21" t="str">
        <f t="array" ref="DU21">IF(ISERROR(INDEX($A$3:$B$14312,SMALL(IF($A$3:$A$14312=DU$3,ROW($A$3:$A$14312)),ROW(19:19)),2)),"",INDEX($A$3:$B$14312,SMALL(IF($A$3:$A$14312=DU$3,ROW($A$3:$A$14312)),ROW(19:19)),2))</f>
        <v>Router3_137</v>
      </c>
      <c r="DV21" t="str">
        <f t="array" ref="DV21">IF(ISERROR(INDEX($A$3:$B$14312,SMALL(IF($A$3:$A$14312=DV$3,ROW($A$3:$A$14312)),ROW(19:19)),2)),"",INDEX($A$3:$B$14312,SMALL(IF($A$3:$A$14312=DV$3,ROW($A$3:$A$14312)),ROW(19:19)),2))</f>
        <v/>
      </c>
      <c r="DW21" t="str">
        <f t="array" ref="DW21">IF(ISERROR(INDEX($A$3:$B$14312,SMALL(IF($A$3:$A$14312=DW$3,ROW($A$3:$A$14312)),ROW(19:19)),2)),"",INDEX($A$3:$B$14312,SMALL(IF($A$3:$A$14312=DW$3,ROW($A$3:$A$14312)),ROW(19:19)),2))</f>
        <v/>
      </c>
      <c r="DX21" t="str">
        <f t="array" ref="DX21">IF(ISERROR(INDEX($A$3:$B$14312,SMALL(IF($A$3:$A$14312=DX$3,ROW($A$3:$A$14312)),ROW(19:19)),2)),"",INDEX($A$3:$B$14312,SMALL(IF($A$3:$A$14312=DX$3,ROW($A$3:$A$14312)),ROW(19:19)),2))</f>
        <v/>
      </c>
      <c r="DY21" t="str">
        <f t="array" ref="DY21">IF(ISERROR(INDEX($A$3:$B$14312,SMALL(IF($A$3:$A$14312=DY$3,ROW($A$3:$A$14312)),ROW(19:19)),2)),"",INDEX($A$3:$B$14312,SMALL(IF($A$3:$A$14312=DY$3,ROW($A$3:$A$14312)),ROW(19:19)),2))</f>
        <v/>
      </c>
      <c r="DZ21" t="str">
        <f t="array" ref="DZ21">IF(ISERROR(INDEX($A$3:$B$14312,SMALL(IF($A$3:$A$14312=DZ$3,ROW($A$3:$A$14312)),ROW(19:19)),2)),"",INDEX($A$3:$B$14312,SMALL(IF($A$3:$A$14312=DZ$3,ROW($A$3:$A$14312)),ROW(19:19)),2))</f>
        <v/>
      </c>
      <c r="EA21" t="str">
        <f t="array" ref="EA21">IF(ISERROR(INDEX($A$3:$B$14312,SMALL(IF($A$3:$A$14312=EA$3,ROW($A$3:$A$14312)),ROW(19:19)),2)),"",INDEX($A$3:$B$14312,SMALL(IF($A$3:$A$14312=EA$3,ROW($A$3:$A$14312)),ROW(19:19)),2))</f>
        <v>Router3_131</v>
      </c>
      <c r="EB21" t="str">
        <f t="array" ref="EB21">IF(ISERROR(INDEX($A$3:$B$14312,SMALL(IF($A$3:$A$14312=EB$3,ROW($A$3:$A$14312)),ROW(19:19)),2)),"",INDEX($A$3:$B$14312,SMALL(IF($A$3:$A$14312=EB$3,ROW($A$3:$A$14312)),ROW(19:19)),2))</f>
        <v/>
      </c>
      <c r="EC21" t="str">
        <f t="array" ref="EC21">IF(ISERROR(INDEX($A$3:$B$14312,SMALL(IF($A$3:$A$14312=EC$3,ROW($A$3:$A$14312)),ROW(19:19)),2)),"",INDEX($A$3:$B$14312,SMALL(IF($A$3:$A$14312=EC$3,ROW($A$3:$A$14312)),ROW(19:19)),2))</f>
        <v>Router3_113</v>
      </c>
      <c r="ED21" t="str">
        <f t="array" ref="ED21">IF(ISERROR(INDEX($A$3:$B$14312,SMALL(IF($A$3:$A$14312=ED$3,ROW($A$3:$A$14312)),ROW(19:19)),2)),"",INDEX($A$3:$B$14312,SMALL(IF($A$3:$A$14312=ED$3,ROW($A$3:$A$14312)),ROW(19:19)),2))</f>
        <v>Router3_135</v>
      </c>
      <c r="EE21" t="str">
        <f t="array" ref="EE21">IF(ISERROR(INDEX($A$3:$B$14312,SMALL(IF($A$3:$A$14312=EE$3,ROW($A$3:$A$14312)),ROW(19:19)),2)),"",INDEX($A$3:$B$14312,SMALL(IF($A$3:$A$14312=EE$3,ROW($A$3:$A$14312)),ROW(19:19)),2))</f>
        <v>Router3_159</v>
      </c>
    </row>
    <row r="22" spans="1:135" x14ac:dyDescent="0.25">
      <c r="A22" s="10">
        <v>-450827382</v>
      </c>
      <c r="B22" t="s">
        <v>1099</v>
      </c>
      <c r="E22" t="str">
        <f t="array" ref="E22">IF(ISERROR(INDEX($A$3:$B$14312,SMALL(IF($A$3:$A$14312=E$3,ROW($A$3:$A$14312)),ROW(20:20)),2)),"",INDEX($A$3:$B$14312,SMALL(IF($A$3:$A$14312=E$3,ROW($A$3:$A$14312)),ROW(20:20)),2))</f>
        <v>Router3_77</v>
      </c>
      <c r="F22" t="str">
        <f t="array" ref="F22">IF(ISERROR(INDEX($A$3:$B$14312,SMALL(IF($A$3:$A$14312=F$3,ROW($A$3:$A$14312)),ROW(20:20)),2)),"",INDEX($A$3:$B$14312,SMALL(IF($A$3:$A$14312=F$3,ROW($A$3:$A$14312)),ROW(20:20)),2))</f>
        <v>Router3_79</v>
      </c>
      <c r="G22" t="str">
        <f t="array" ref="G22">IF(ISERROR(INDEX($A$3:$B$14312,SMALL(IF($A$3:$A$14312=G$3,ROW($A$3:$A$14312)),ROW(20:20)),2)),"",INDEX($A$3:$B$14312,SMALL(IF($A$3:$A$14312=G$3,ROW($A$3:$A$14312)),ROW(20:20)),2))</f>
        <v/>
      </c>
      <c r="H22" t="str">
        <f t="array" ref="H22">IF(ISERROR(INDEX($A$3:$B$14312,SMALL(IF($A$3:$A$14312=H$3,ROW($A$3:$A$14312)),ROW(20:20)),2)),"",INDEX($A$3:$B$14312,SMALL(IF($A$3:$A$14312=H$3,ROW($A$3:$A$14312)),ROW(20:20)),2))</f>
        <v/>
      </c>
      <c r="I22" t="str">
        <f t="array" ref="I22">IF(ISERROR(INDEX($A$3:$B$14312,SMALL(IF($A$3:$A$14312=I$3,ROW($A$3:$A$14312)),ROW(20:20)),2)),"",INDEX($A$3:$B$14312,SMALL(IF($A$3:$A$14312=I$3,ROW($A$3:$A$14312)),ROW(20:20)),2))</f>
        <v/>
      </c>
      <c r="J22" t="str">
        <f t="array" ref="J22">IF(ISERROR(INDEX($A$3:$B$14312,SMALL(IF($A$3:$A$14312=J$3,ROW($A$3:$A$14312)),ROW(20:20)),2)),"",INDEX($A$3:$B$14312,SMALL(IF($A$3:$A$14312=J$3,ROW($A$3:$A$14312)),ROW(20:20)),2))</f>
        <v>Router3_150</v>
      </c>
      <c r="K22" t="str">
        <f t="array" ref="K22">IF(ISERROR(INDEX($A$3:$B$14312,SMALL(IF($A$3:$A$14312=K$3,ROW($A$3:$A$14312)),ROW(20:20)),2)),"",INDEX($A$3:$B$14312,SMALL(IF($A$3:$A$14312=K$3,ROW($A$3:$A$14312)),ROW(20:20)),2))</f>
        <v/>
      </c>
      <c r="L22" t="str">
        <f t="array" ref="L22">IF(ISERROR(INDEX($A$3:$B$14312,SMALL(IF($A$3:$A$14312=L$3,ROW($A$3:$A$14312)),ROW(20:20)),2)),"",INDEX($A$3:$B$14312,SMALL(IF($A$3:$A$14312=L$3,ROW($A$3:$A$14312)),ROW(20:20)),2))</f>
        <v/>
      </c>
      <c r="M22" t="str">
        <f t="array" ref="M22">IF(ISERROR(INDEX($A$3:$B$14312,SMALL(IF($A$3:$A$14312=M$3,ROW($A$3:$A$14312)),ROW(20:20)),2)),"",INDEX($A$3:$B$14312,SMALL(IF($A$3:$A$14312=M$3,ROW($A$3:$A$14312)),ROW(20:20)),2))</f>
        <v/>
      </c>
      <c r="N22" t="str">
        <f t="array" ref="N22">IF(ISERROR(INDEX($A$3:$B$14312,SMALL(IF($A$3:$A$14312=N$3,ROW($A$3:$A$14312)),ROW(20:20)),2)),"",INDEX($A$3:$B$14312,SMALL(IF($A$3:$A$14312=N$3,ROW($A$3:$A$14312)),ROW(20:20)),2))</f>
        <v/>
      </c>
      <c r="O22" t="str">
        <f t="array" ref="O22">IF(ISERROR(INDEX($A$3:$B$14312,SMALL(IF($A$3:$A$14312=O$3,ROW($A$3:$A$14312)),ROW(20:20)),2)),"",INDEX($A$3:$B$14312,SMALL(IF($A$3:$A$14312=O$3,ROW($A$3:$A$14312)),ROW(20:20)),2))</f>
        <v/>
      </c>
      <c r="P22" t="str">
        <f t="array" ref="P22">IF(ISERROR(INDEX($A$3:$B$14312,SMALL(IF($A$3:$A$14312=P$3,ROW($A$3:$A$14312)),ROW(20:20)),2)),"",INDEX($A$3:$B$14312,SMALL(IF($A$3:$A$14312=P$3,ROW($A$3:$A$14312)),ROW(20:20)),2))</f>
        <v/>
      </c>
      <c r="Q22" t="str">
        <f t="array" ref="Q22">IF(ISERROR(INDEX($A$3:$B$14312,SMALL(IF($A$3:$A$14312=Q$3,ROW($A$3:$A$14312)),ROW(20:20)),2)),"",INDEX($A$3:$B$14312,SMALL(IF($A$3:$A$14312=Q$3,ROW($A$3:$A$14312)),ROW(20:20)),2))</f>
        <v/>
      </c>
      <c r="R22" t="str">
        <f t="array" ref="R22">IF(ISERROR(INDEX($A$3:$B$14312,SMALL(IF($A$3:$A$14312=R$3,ROW($A$3:$A$14312)),ROW(20:20)),2)),"",INDEX($A$3:$B$14312,SMALL(IF($A$3:$A$14312=R$3,ROW($A$3:$A$14312)),ROW(20:20)),2))</f>
        <v/>
      </c>
      <c r="S22" t="str">
        <f t="array" ref="S22">IF(ISERROR(INDEX($A$3:$B$14312,SMALL(IF($A$3:$A$14312=S$3,ROW($A$3:$A$14312)),ROW(20:20)),2)),"",INDEX($A$3:$B$14312,SMALL(IF($A$3:$A$14312=S$3,ROW($A$3:$A$14312)),ROW(20:20)),2))</f>
        <v/>
      </c>
      <c r="T22" t="str">
        <f t="array" ref="T22">IF(ISERROR(INDEX($A$3:$B$14312,SMALL(IF($A$3:$A$14312=T$3,ROW($A$3:$A$14312)),ROW(20:20)),2)),"",INDEX($A$3:$B$14312,SMALL(IF($A$3:$A$14312=T$3,ROW($A$3:$A$14312)),ROW(20:20)),2))</f>
        <v/>
      </c>
      <c r="U22" t="str">
        <f t="array" ref="U22">IF(ISERROR(INDEX($A$3:$B$14312,SMALL(IF($A$3:$A$14312=U$3,ROW($A$3:$A$14312)),ROW(20:20)),2)),"",INDEX($A$3:$B$14312,SMALL(IF($A$3:$A$14312=U$3,ROW($A$3:$A$14312)),ROW(20:20)),2))</f>
        <v>Router3_141</v>
      </c>
      <c r="V22" t="str">
        <f t="array" ref="V22">IF(ISERROR(INDEX($A$3:$B$14312,SMALL(IF($A$3:$A$14312=V$3,ROW($A$3:$A$14312)),ROW(20:20)),2)),"",INDEX($A$3:$B$14312,SMALL(IF($A$3:$A$14312=V$3,ROW($A$3:$A$14312)),ROW(20:20)),2))</f>
        <v/>
      </c>
      <c r="W22" t="str">
        <f t="array" ref="W22">IF(ISERROR(INDEX($A$3:$B$14312,SMALL(IF($A$3:$A$14312=W$3,ROW($A$3:$A$14312)),ROW(20:20)),2)),"",INDEX($A$3:$B$14312,SMALL(IF($A$3:$A$14312=W$3,ROW($A$3:$A$14312)),ROW(20:20)),2))</f>
        <v>Router3_115</v>
      </c>
      <c r="X22" t="str">
        <f t="array" ref="X22">IF(ISERROR(INDEX($A$3:$B$14312,SMALL(IF($A$3:$A$14312=X$3,ROW($A$3:$A$14312)),ROW(20:20)),2)),"",INDEX($A$3:$B$14312,SMALL(IF($A$3:$A$14312=X$3,ROW($A$3:$A$14312)),ROW(20:20)),2))</f>
        <v/>
      </c>
      <c r="Y22" t="str">
        <f t="array" ref="Y22">IF(ISERROR(INDEX($A$3:$B$14312,SMALL(IF($A$3:$A$14312=Y$3,ROW($A$3:$A$14312)),ROW(20:20)),2)),"",INDEX($A$3:$B$14312,SMALL(IF($A$3:$A$14312=Y$3,ROW($A$3:$A$14312)),ROW(20:20)),2))</f>
        <v/>
      </c>
      <c r="Z22" t="str">
        <f t="array" ref="Z22">IF(ISERROR(INDEX($A$3:$B$14312,SMALL(IF($A$3:$A$14312=Z$3,ROW($A$3:$A$14312)),ROW(20:20)),2)),"",INDEX($A$3:$B$14312,SMALL(IF($A$3:$A$14312=Z$3,ROW($A$3:$A$14312)),ROW(20:20)),2))</f>
        <v/>
      </c>
      <c r="AA22" t="str">
        <f t="array" ref="AA22">IF(ISERROR(INDEX($A$3:$B$14312,SMALL(IF($A$3:$A$14312=AA$3,ROW($A$3:$A$14312)),ROW(20:20)),2)),"",INDEX($A$3:$B$14312,SMALL(IF($A$3:$A$14312=AA$3,ROW($A$3:$A$14312)),ROW(20:20)),2))</f>
        <v/>
      </c>
      <c r="AB22" t="str">
        <f t="array" ref="AB22">IF(ISERROR(INDEX($A$3:$B$14312,SMALL(IF($A$3:$A$14312=AB$3,ROW($A$3:$A$14312)),ROW(20:20)),2)),"",INDEX($A$3:$B$14312,SMALL(IF($A$3:$A$14312=AB$3,ROW($A$3:$A$14312)),ROW(20:20)),2))</f>
        <v/>
      </c>
      <c r="AC22" t="str">
        <f t="array" ref="AC22">IF(ISERROR(INDEX($A$3:$B$14312,SMALL(IF($A$3:$A$14312=AC$3,ROW($A$3:$A$14312)),ROW(20:20)),2)),"",INDEX($A$3:$B$14312,SMALL(IF($A$3:$A$14312=AC$3,ROW($A$3:$A$14312)),ROW(20:20)),2))</f>
        <v/>
      </c>
      <c r="AD22" t="str">
        <f t="array" ref="AD22">IF(ISERROR(INDEX($A$3:$B$14312,SMALL(IF($A$3:$A$14312=AD$3,ROW($A$3:$A$14312)),ROW(20:20)),2)),"",INDEX($A$3:$B$14312,SMALL(IF($A$3:$A$14312=AD$3,ROW($A$3:$A$14312)),ROW(20:20)),2))</f>
        <v/>
      </c>
      <c r="AE22" t="str">
        <f t="array" ref="AE22">IF(ISERROR(INDEX($A$3:$B$14312,SMALL(IF($A$3:$A$14312=AE$3,ROW($A$3:$A$14312)),ROW(20:20)),2)),"",INDEX($A$3:$B$14312,SMALL(IF($A$3:$A$14312=AE$3,ROW($A$3:$A$14312)),ROW(20:20)),2))</f>
        <v/>
      </c>
      <c r="AF22" t="str">
        <f t="array" ref="AF22">IF(ISERROR(INDEX($A$3:$B$14312,SMALL(IF($A$3:$A$14312=AF$3,ROW($A$3:$A$14312)),ROW(20:20)),2)),"",INDEX($A$3:$B$14312,SMALL(IF($A$3:$A$14312=AF$3,ROW($A$3:$A$14312)),ROW(20:20)),2))</f>
        <v>Router3_104</v>
      </c>
      <c r="AG22" t="str">
        <f t="array" ref="AG22">IF(ISERROR(INDEX($A$3:$B$14312,SMALL(IF($A$3:$A$14312=AG$3,ROW($A$3:$A$14312)),ROW(20:20)),2)),"",INDEX($A$3:$B$14312,SMALL(IF($A$3:$A$14312=AG$3,ROW($A$3:$A$14312)),ROW(20:20)),2))</f>
        <v>Router3_97</v>
      </c>
      <c r="AH22" t="str">
        <f t="array" ref="AH22">IF(ISERROR(INDEX($A$3:$B$14312,SMALL(IF($A$3:$A$14312=AH$3,ROW($A$3:$A$14312)),ROW(20:20)),2)),"",INDEX($A$3:$B$14312,SMALL(IF($A$3:$A$14312=AH$3,ROW($A$3:$A$14312)),ROW(20:20)),2))</f>
        <v/>
      </c>
      <c r="AI22" t="str">
        <f t="array" ref="AI22">IF(ISERROR(INDEX($A$3:$B$14312,SMALL(IF($A$3:$A$14312=AI$3,ROW($A$3:$A$14312)),ROW(20:20)),2)),"",INDEX($A$3:$B$14312,SMALL(IF($A$3:$A$14312=AI$3,ROW($A$3:$A$14312)),ROW(20:20)),2))</f>
        <v>Router3_136</v>
      </c>
      <c r="AJ22" t="str">
        <f t="array" ref="AJ22">IF(ISERROR(INDEX($A$3:$B$14312,SMALL(IF($A$3:$A$14312=AJ$3,ROW($A$3:$A$14312)),ROW(20:20)),2)),"",INDEX($A$3:$B$14312,SMALL(IF($A$3:$A$14312=AJ$3,ROW($A$3:$A$14312)),ROW(20:20)),2))</f>
        <v/>
      </c>
      <c r="AK22" t="str">
        <f t="array" ref="AK22">IF(ISERROR(INDEX($A$3:$B$14312,SMALL(IF($A$3:$A$14312=AK$3,ROW($A$3:$A$14312)),ROW(20:20)),2)),"",INDEX($A$3:$B$14312,SMALL(IF($A$3:$A$14312=AK$3,ROW($A$3:$A$14312)),ROW(20:20)),2))</f>
        <v/>
      </c>
      <c r="AL22" t="str">
        <f t="array" ref="AL22">IF(ISERROR(INDEX($A$3:$B$14312,SMALL(IF($A$3:$A$14312=AL$3,ROW($A$3:$A$14312)),ROW(20:20)),2)),"",INDEX($A$3:$B$14312,SMALL(IF($A$3:$A$14312=AL$3,ROW($A$3:$A$14312)),ROW(20:20)),2))</f>
        <v>Router3_144</v>
      </c>
      <c r="AM22" t="str">
        <f t="array" ref="AM22">IF(ISERROR(INDEX($A$3:$B$14312,SMALL(IF($A$3:$A$14312=AM$3,ROW($A$3:$A$14312)),ROW(20:20)),2)),"",INDEX($A$3:$B$14312,SMALL(IF($A$3:$A$14312=AM$3,ROW($A$3:$A$14312)),ROW(20:20)),2))</f>
        <v>Router3_137</v>
      </c>
      <c r="AN22" t="str">
        <f t="array" ref="AN22">IF(ISERROR(INDEX($A$3:$B$14312,SMALL(IF($A$3:$A$14312=AN$3,ROW($A$3:$A$14312)),ROW(20:20)),2)),"",INDEX($A$3:$B$14312,SMALL(IF($A$3:$A$14312=AN$3,ROW($A$3:$A$14312)),ROW(20:20)),2))</f>
        <v>Router3_38</v>
      </c>
      <c r="AO22" t="str">
        <f t="array" ref="AO22">IF(ISERROR(INDEX($A$3:$B$14312,SMALL(IF($A$3:$A$14312=AO$3,ROW($A$3:$A$14312)),ROW(20:20)),2)),"",INDEX($A$3:$B$14312,SMALL(IF($A$3:$A$14312=AO$3,ROW($A$3:$A$14312)),ROW(20:20)),2))</f>
        <v/>
      </c>
      <c r="AP22" t="str">
        <f t="array" ref="AP22">IF(ISERROR(INDEX($A$3:$B$14312,SMALL(IF($A$3:$A$14312=AP$3,ROW($A$3:$A$14312)),ROW(20:20)),2)),"",INDEX($A$3:$B$14312,SMALL(IF($A$3:$A$14312=AP$3,ROW($A$3:$A$14312)),ROW(20:20)),2))</f>
        <v>Router3_22</v>
      </c>
      <c r="AQ22" t="str">
        <f t="array" ref="AQ22">IF(ISERROR(INDEX($A$3:$B$14312,SMALL(IF($A$3:$A$14312=AQ$3,ROW($A$3:$A$14312)),ROW(20:20)),2)),"",INDEX($A$3:$B$14312,SMALL(IF($A$3:$A$14312=AQ$3,ROW($A$3:$A$14312)),ROW(20:20)),2))</f>
        <v/>
      </c>
      <c r="AR22" t="str">
        <f t="array" ref="AR22">IF(ISERROR(INDEX($A$3:$B$14312,SMALL(IF($A$3:$A$14312=AR$3,ROW($A$3:$A$14312)),ROW(20:20)),2)),"",INDEX($A$3:$B$14312,SMALL(IF($A$3:$A$14312=AR$3,ROW($A$3:$A$14312)),ROW(20:20)),2))</f>
        <v/>
      </c>
      <c r="AS22" t="str">
        <f t="array" ref="AS22">IF(ISERROR(INDEX($A$3:$B$14312,SMALL(IF($A$3:$A$14312=AS$3,ROW($A$3:$A$14312)),ROW(20:20)),2)),"",INDEX($A$3:$B$14312,SMALL(IF($A$3:$A$14312=AS$3,ROW($A$3:$A$14312)),ROW(20:20)),2))</f>
        <v>Router3_92</v>
      </c>
      <c r="AT22" t="str">
        <f t="array" ref="AT22">IF(ISERROR(INDEX($A$3:$B$14312,SMALL(IF($A$3:$A$14312=AT$3,ROW($A$3:$A$14312)),ROW(20:20)),2)),"",INDEX($A$3:$B$14312,SMALL(IF($A$3:$A$14312=AT$3,ROW($A$3:$A$14312)),ROW(20:20)),2))</f>
        <v/>
      </c>
      <c r="AU22" t="str">
        <f t="array" ref="AU22">IF(ISERROR(INDEX($A$3:$B$14312,SMALL(IF($A$3:$A$14312=AU$3,ROW($A$3:$A$14312)),ROW(20:20)),2)),"",INDEX($A$3:$B$14312,SMALL(IF($A$3:$A$14312=AU$3,ROW($A$3:$A$14312)),ROW(20:20)),2))</f>
        <v>Router3_117</v>
      </c>
      <c r="AV22" t="str">
        <f t="array" ref="AV22">IF(ISERROR(INDEX($A$3:$B$14312,SMALL(IF($A$3:$A$14312=AV$3,ROW($A$3:$A$14312)),ROW(20:20)),2)),"",INDEX($A$3:$B$14312,SMALL(IF($A$3:$A$14312=AV$3,ROW($A$3:$A$14312)),ROW(20:20)),2))</f>
        <v/>
      </c>
      <c r="AW22" t="str">
        <f t="array" ref="AW22">IF(ISERROR(INDEX($A$3:$B$14312,SMALL(IF($A$3:$A$14312=AW$3,ROW($A$3:$A$14312)),ROW(20:20)),2)),"",INDEX($A$3:$B$14312,SMALL(IF($A$3:$A$14312=AW$3,ROW($A$3:$A$14312)),ROW(20:20)),2))</f>
        <v/>
      </c>
      <c r="AX22" t="str">
        <f t="array" ref="AX22">IF(ISERROR(INDEX($A$3:$B$14312,SMALL(IF($A$3:$A$14312=AX$3,ROW($A$3:$A$14312)),ROW(20:20)),2)),"",INDEX($A$3:$B$14312,SMALL(IF($A$3:$A$14312=AX$3,ROW($A$3:$A$14312)),ROW(20:20)),2))</f>
        <v/>
      </c>
      <c r="AY22" t="str">
        <f t="array" ref="AY22">IF(ISERROR(INDEX($A$3:$B$14312,SMALL(IF($A$3:$A$14312=AY$3,ROW($A$3:$A$14312)),ROW(20:20)),2)),"",INDEX($A$3:$B$14312,SMALL(IF($A$3:$A$14312=AY$3,ROW($A$3:$A$14312)),ROW(20:20)),2))</f>
        <v>Router3_143</v>
      </c>
      <c r="AZ22" t="str">
        <f t="array" ref="AZ22">IF(ISERROR(INDEX($A$3:$B$14312,SMALL(IF($A$3:$A$14312=AZ$3,ROW($A$3:$A$14312)),ROW(20:20)),2)),"",INDEX($A$3:$B$14312,SMALL(IF($A$3:$A$14312=AZ$3,ROW($A$3:$A$14312)),ROW(20:20)),2))</f>
        <v/>
      </c>
      <c r="BA22" t="str">
        <f t="array" ref="BA22">IF(ISERROR(INDEX($A$3:$B$14312,SMALL(IF($A$3:$A$14312=BA$3,ROW($A$3:$A$14312)),ROW(20:20)),2)),"",INDEX($A$3:$B$14312,SMALL(IF($A$3:$A$14312=BA$3,ROW($A$3:$A$14312)),ROW(20:20)),2))</f>
        <v/>
      </c>
      <c r="BB22" t="str">
        <f t="array" ref="BB22">IF(ISERROR(INDEX($A$3:$B$14312,SMALL(IF($A$3:$A$14312=BB$3,ROW($A$3:$A$14312)),ROW(20:20)),2)),"",INDEX($A$3:$B$14312,SMALL(IF($A$3:$A$14312=BB$3,ROW($A$3:$A$14312)),ROW(20:20)),2))</f>
        <v/>
      </c>
      <c r="BC22" t="str">
        <f t="array" ref="BC22">IF(ISERROR(INDEX($A$3:$B$14312,SMALL(IF($A$3:$A$14312=BC$3,ROW($A$3:$A$14312)),ROW(20:20)),2)),"",INDEX($A$3:$B$14312,SMALL(IF($A$3:$A$14312=BC$3,ROW($A$3:$A$14312)),ROW(20:20)),2))</f>
        <v/>
      </c>
      <c r="BD22" t="str">
        <f t="array" ref="BD22">IF(ISERROR(INDEX($A$3:$B$14312,SMALL(IF($A$3:$A$14312=BD$3,ROW($A$3:$A$14312)),ROW(20:20)),2)),"",INDEX($A$3:$B$14312,SMALL(IF($A$3:$A$14312=BD$3,ROW($A$3:$A$14312)),ROW(20:20)),2))</f>
        <v/>
      </c>
      <c r="BE22" t="str">
        <f t="array" ref="BE22">IF(ISERROR(INDEX($A$3:$B$14312,SMALL(IF($A$3:$A$14312=BE$3,ROW($A$3:$A$14312)),ROW(20:20)),2)),"",INDEX($A$3:$B$14312,SMALL(IF($A$3:$A$14312=BE$3,ROW($A$3:$A$14312)),ROW(20:20)),2))</f>
        <v/>
      </c>
      <c r="BF22" t="str">
        <f t="array" ref="BF22">IF(ISERROR(INDEX($A$3:$B$14312,SMALL(IF($A$3:$A$14312=BF$3,ROW($A$3:$A$14312)),ROW(20:20)),2)),"",INDEX($A$3:$B$14312,SMALL(IF($A$3:$A$14312=BF$3,ROW($A$3:$A$14312)),ROW(20:20)),2))</f>
        <v/>
      </c>
      <c r="BG22" t="str">
        <f t="array" ref="BG22">IF(ISERROR(INDEX($A$3:$B$14312,SMALL(IF($A$3:$A$14312=BG$3,ROW($A$3:$A$14312)),ROW(20:20)),2)),"",INDEX($A$3:$B$14312,SMALL(IF($A$3:$A$14312=BG$3,ROW($A$3:$A$14312)),ROW(20:20)),2))</f>
        <v/>
      </c>
      <c r="BH22" t="str">
        <f t="array" ref="BH22">IF(ISERROR(INDEX($A$3:$B$14312,SMALL(IF($A$3:$A$14312=BH$3,ROW($A$3:$A$14312)),ROW(20:20)),2)),"",INDEX($A$3:$B$14312,SMALL(IF($A$3:$A$14312=BH$3,ROW($A$3:$A$14312)),ROW(20:20)),2))</f>
        <v/>
      </c>
      <c r="BI22" t="str">
        <f t="array" ref="BI22">IF(ISERROR(INDEX($A$3:$B$14312,SMALL(IF($A$3:$A$14312=BI$3,ROW($A$3:$A$14312)),ROW(20:20)),2)),"",INDEX($A$3:$B$14312,SMALL(IF($A$3:$A$14312=BI$3,ROW($A$3:$A$14312)),ROW(20:20)),2))</f>
        <v/>
      </c>
      <c r="BJ22" t="str">
        <f t="array" ref="BJ22">IF(ISERROR(INDEX($A$3:$B$14312,SMALL(IF($A$3:$A$14312=BJ$3,ROW($A$3:$A$14312)),ROW(20:20)),2)),"",INDEX($A$3:$B$14312,SMALL(IF($A$3:$A$14312=BJ$3,ROW($A$3:$A$14312)),ROW(20:20)),2))</f>
        <v/>
      </c>
      <c r="BK22" t="str">
        <f t="array" ref="BK22">IF(ISERROR(INDEX($A$3:$B$14312,SMALL(IF($A$3:$A$14312=BK$3,ROW($A$3:$A$14312)),ROW(20:20)),2)),"",INDEX($A$3:$B$14312,SMALL(IF($A$3:$A$14312=BK$3,ROW($A$3:$A$14312)),ROW(20:20)),2))</f>
        <v/>
      </c>
      <c r="BL22" t="str">
        <f t="array" ref="BL22">IF(ISERROR(INDEX($A$3:$B$14312,SMALL(IF($A$3:$A$14312=BL$3,ROW($A$3:$A$14312)),ROW(20:20)),2)),"",INDEX($A$3:$B$14312,SMALL(IF($A$3:$A$14312=BL$3,ROW($A$3:$A$14312)),ROW(20:20)),2))</f>
        <v/>
      </c>
      <c r="BM22" t="str">
        <f t="array" ref="BM22">IF(ISERROR(INDEX($A$3:$B$14312,SMALL(IF($A$3:$A$14312=BM$3,ROW($A$3:$A$14312)),ROW(20:20)),2)),"",INDEX($A$3:$B$14312,SMALL(IF($A$3:$A$14312=BM$3,ROW($A$3:$A$14312)),ROW(20:20)),2))</f>
        <v/>
      </c>
      <c r="BN22" t="str">
        <f t="array" ref="BN22">IF(ISERROR(INDEX($A$3:$B$14312,SMALL(IF($A$3:$A$14312=BN$3,ROW($A$3:$A$14312)),ROW(20:20)),2)),"",INDEX($A$3:$B$14312,SMALL(IF($A$3:$A$14312=BN$3,ROW($A$3:$A$14312)),ROW(20:20)),2))</f>
        <v/>
      </c>
      <c r="BO22" t="str">
        <f t="array" ref="BO22">IF(ISERROR(INDEX($A$3:$B$14312,SMALL(IF($A$3:$A$14312=BO$3,ROW($A$3:$A$14312)),ROW(20:20)),2)),"",INDEX($A$3:$B$14312,SMALL(IF($A$3:$A$14312=BO$3,ROW($A$3:$A$14312)),ROW(20:20)),2))</f>
        <v/>
      </c>
      <c r="BP22" t="str">
        <f t="array" ref="BP22">IF(ISERROR(INDEX($A$3:$B$14312,SMALL(IF($A$3:$A$14312=BP$3,ROW($A$3:$A$14312)),ROW(20:20)),2)),"",INDEX($A$3:$B$14312,SMALL(IF($A$3:$A$14312=BP$3,ROW($A$3:$A$14312)),ROW(20:20)),2))</f>
        <v/>
      </c>
      <c r="BQ22" t="str">
        <f t="array" ref="BQ22">IF(ISERROR(INDEX($A$3:$B$14312,SMALL(IF($A$3:$A$14312=BQ$3,ROW($A$3:$A$14312)),ROW(20:20)),2)),"",INDEX($A$3:$B$14312,SMALL(IF($A$3:$A$14312=BQ$3,ROW($A$3:$A$14312)),ROW(20:20)),2))</f>
        <v/>
      </c>
      <c r="BR22" t="str">
        <f t="array" ref="BR22">IF(ISERROR(INDEX($A$3:$B$14312,SMALL(IF($A$3:$A$14312=BR$3,ROW($A$3:$A$14312)),ROW(20:20)),2)),"",INDEX($A$3:$B$14312,SMALL(IF($A$3:$A$14312=BR$3,ROW($A$3:$A$14312)),ROW(20:20)),2))</f>
        <v/>
      </c>
      <c r="BS22" t="str">
        <f t="array" ref="BS22">IF(ISERROR(INDEX($A$3:$B$14312,SMALL(IF($A$3:$A$14312=BS$3,ROW($A$3:$A$14312)),ROW(20:20)),2)),"",INDEX($A$3:$B$14312,SMALL(IF($A$3:$A$14312=BS$3,ROW($A$3:$A$14312)),ROW(20:20)),2))</f>
        <v/>
      </c>
      <c r="BT22" t="str">
        <f t="array" ref="BT22">IF(ISERROR(INDEX($A$3:$B$14312,SMALL(IF($A$3:$A$14312=BT$3,ROW($A$3:$A$14312)),ROW(20:20)),2)),"",INDEX($A$3:$B$14312,SMALL(IF($A$3:$A$14312=BT$3,ROW($A$3:$A$14312)),ROW(20:20)),2))</f>
        <v>Router3_89</v>
      </c>
      <c r="BU22" t="str">
        <f t="array" ref="BU22">IF(ISERROR(INDEX($A$3:$B$14312,SMALL(IF($A$3:$A$14312=BU$3,ROW($A$3:$A$14312)),ROW(20:20)),2)),"",INDEX($A$3:$B$14312,SMALL(IF($A$3:$A$14312=BU$3,ROW($A$3:$A$14312)),ROW(20:20)),2))</f>
        <v/>
      </c>
      <c r="BV22" t="str">
        <f t="array" ref="BV22">IF(ISERROR(INDEX($A$3:$B$14312,SMALL(IF($A$3:$A$14312=BV$3,ROW($A$3:$A$14312)),ROW(20:20)),2)),"",INDEX($A$3:$B$14312,SMALL(IF($A$3:$A$14312=BV$3,ROW($A$3:$A$14312)),ROW(20:20)),2))</f>
        <v/>
      </c>
      <c r="BW22" t="str">
        <f t="array" ref="BW22">IF(ISERROR(INDEX($A$3:$B$14312,SMALL(IF($A$3:$A$14312=BW$3,ROW($A$3:$A$14312)),ROW(20:20)),2)),"",INDEX($A$3:$B$14312,SMALL(IF($A$3:$A$14312=BW$3,ROW($A$3:$A$14312)),ROW(20:20)),2))</f>
        <v>Router3_158</v>
      </c>
      <c r="BX22" t="str">
        <f t="array" ref="BX22">IF(ISERROR(INDEX($A$3:$B$14312,SMALL(IF($A$3:$A$14312=BX$3,ROW($A$3:$A$14312)),ROW(20:20)),2)),"",INDEX($A$3:$B$14312,SMALL(IF($A$3:$A$14312=BX$3,ROW($A$3:$A$14312)),ROW(20:20)),2))</f>
        <v>Router3_109</v>
      </c>
      <c r="BY22" t="str">
        <f t="array" ref="BY22">IF(ISERROR(INDEX($A$3:$B$14312,SMALL(IF($A$3:$A$14312=BY$3,ROW($A$3:$A$14312)),ROW(20:20)),2)),"",INDEX($A$3:$B$14312,SMALL(IF($A$3:$A$14312=BY$3,ROW($A$3:$A$14312)),ROW(20:20)),2))</f>
        <v>Router3_92</v>
      </c>
      <c r="BZ22" t="str">
        <f t="array" ref="BZ22">IF(ISERROR(INDEX($A$3:$B$14312,SMALL(IF($A$3:$A$14312=BZ$3,ROW($A$3:$A$14312)),ROW(20:20)),2)),"",INDEX($A$3:$B$14312,SMALL(IF($A$3:$A$14312=BZ$3,ROW($A$3:$A$14312)),ROW(20:20)),2))</f>
        <v>Router3_92</v>
      </c>
      <c r="CA22" t="str">
        <f t="array" ref="CA22">IF(ISERROR(INDEX($A$3:$B$14312,SMALL(IF($A$3:$A$14312=CA$3,ROW($A$3:$A$14312)),ROW(20:20)),2)),"",INDEX($A$3:$B$14312,SMALL(IF($A$3:$A$14312=CA$3,ROW($A$3:$A$14312)),ROW(20:20)),2))</f>
        <v/>
      </c>
      <c r="CB22" t="str">
        <f t="array" ref="CB22">IF(ISERROR(INDEX($A$3:$B$14312,SMALL(IF($A$3:$A$14312=CB$3,ROW($A$3:$A$14312)),ROW(20:20)),2)),"",INDEX($A$3:$B$14312,SMALL(IF($A$3:$A$14312=CB$3,ROW($A$3:$A$14312)),ROW(20:20)),2))</f>
        <v/>
      </c>
      <c r="CC22" t="str">
        <f t="array" ref="CC22">IF(ISERROR(INDEX($A$3:$B$14312,SMALL(IF($A$3:$A$14312=CC$3,ROW($A$3:$A$14312)),ROW(20:20)),2)),"",INDEX($A$3:$B$14312,SMALL(IF($A$3:$A$14312=CC$3,ROW($A$3:$A$14312)),ROW(20:20)),2))</f>
        <v/>
      </c>
      <c r="CD22" t="str">
        <f t="array" ref="CD22">IF(ISERROR(INDEX($A$3:$B$14312,SMALL(IF($A$3:$A$14312=CD$3,ROW($A$3:$A$14312)),ROW(20:20)),2)),"",INDEX($A$3:$B$14312,SMALL(IF($A$3:$A$14312=CD$3,ROW($A$3:$A$14312)),ROW(20:20)),2))</f>
        <v/>
      </c>
      <c r="CE22" t="str">
        <f t="array" ref="CE22">IF(ISERROR(INDEX($A$3:$B$14312,SMALL(IF($A$3:$A$14312=CE$3,ROW($A$3:$A$14312)),ROW(20:20)),2)),"",INDEX($A$3:$B$14312,SMALL(IF($A$3:$A$14312=CE$3,ROW($A$3:$A$14312)),ROW(20:20)),2))</f>
        <v/>
      </c>
      <c r="CF22" t="str">
        <f t="array" ref="CF22">IF(ISERROR(INDEX($A$3:$B$14312,SMALL(IF($A$3:$A$14312=CF$3,ROW($A$3:$A$14312)),ROW(20:20)),2)),"",INDEX($A$3:$B$14312,SMALL(IF($A$3:$A$14312=CF$3,ROW($A$3:$A$14312)),ROW(20:20)),2))</f>
        <v/>
      </c>
      <c r="CG22" t="str">
        <f t="array" ref="CG22">IF(ISERROR(INDEX($A$3:$B$14312,SMALL(IF($A$3:$A$14312=CG$3,ROW($A$3:$A$14312)),ROW(20:20)),2)),"",INDEX($A$3:$B$14312,SMALL(IF($A$3:$A$14312=CG$3,ROW($A$3:$A$14312)),ROW(20:20)),2))</f>
        <v/>
      </c>
      <c r="CH22" t="str">
        <f t="array" ref="CH22">IF(ISERROR(INDEX($A$3:$B$14312,SMALL(IF($A$3:$A$14312=CH$3,ROW($A$3:$A$14312)),ROW(20:20)),2)),"",INDEX($A$3:$B$14312,SMALL(IF($A$3:$A$14312=CH$3,ROW($A$3:$A$14312)),ROW(20:20)),2))</f>
        <v/>
      </c>
      <c r="CI22" t="str">
        <f t="array" ref="CI22">IF(ISERROR(INDEX($A$3:$B$14312,SMALL(IF($A$3:$A$14312=CI$3,ROW($A$3:$A$14312)),ROW(20:20)),2)),"",INDEX($A$3:$B$14312,SMALL(IF($A$3:$A$14312=CI$3,ROW($A$3:$A$14312)),ROW(20:20)),2))</f>
        <v/>
      </c>
      <c r="CJ22" t="str">
        <f t="array" ref="CJ22">IF(ISERROR(INDEX($A$3:$B$14312,SMALL(IF($A$3:$A$14312=CJ$3,ROW($A$3:$A$14312)),ROW(20:20)),2)),"",INDEX($A$3:$B$14312,SMALL(IF($A$3:$A$14312=CJ$3,ROW($A$3:$A$14312)),ROW(20:20)),2))</f>
        <v/>
      </c>
      <c r="CK22" t="str">
        <f t="array" ref="CK22">IF(ISERROR(INDEX($A$3:$B$14312,SMALL(IF($A$3:$A$14312=CK$3,ROW($A$3:$A$14312)),ROW(20:20)),2)),"",INDEX($A$3:$B$14312,SMALL(IF($A$3:$A$14312=CK$3,ROW($A$3:$A$14312)),ROW(20:20)),2))</f>
        <v/>
      </c>
      <c r="CL22" t="str">
        <f t="array" ref="CL22">IF(ISERROR(INDEX($A$3:$B$14312,SMALL(IF($A$3:$A$14312=CL$3,ROW($A$3:$A$14312)),ROW(20:20)),2)),"",INDEX($A$3:$B$14312,SMALL(IF($A$3:$A$14312=CL$3,ROW($A$3:$A$14312)),ROW(20:20)),2))</f>
        <v/>
      </c>
      <c r="CM22" t="str">
        <f t="array" ref="CM22">IF(ISERROR(INDEX($A$3:$B$14312,SMALL(IF($A$3:$A$14312=CM$3,ROW($A$3:$A$14312)),ROW(20:20)),2)),"",INDEX($A$3:$B$14312,SMALL(IF($A$3:$A$14312=CM$3,ROW($A$3:$A$14312)),ROW(20:20)),2))</f>
        <v/>
      </c>
      <c r="CN22" t="str">
        <f t="array" ref="CN22">IF(ISERROR(INDEX($A$3:$B$14312,SMALL(IF($A$3:$A$14312=CN$3,ROW($A$3:$A$14312)),ROW(20:20)),2)),"",INDEX($A$3:$B$14312,SMALL(IF($A$3:$A$14312=CN$3,ROW($A$3:$A$14312)),ROW(20:20)),2))</f>
        <v>Router3_77</v>
      </c>
      <c r="CO22" t="str">
        <f t="array" ref="CO22">IF(ISERROR(INDEX($A$3:$B$14312,SMALL(IF($A$3:$A$14312=CO$3,ROW($A$3:$A$14312)),ROW(20:20)),2)),"",INDEX($A$3:$B$14312,SMALL(IF($A$3:$A$14312=CO$3,ROW($A$3:$A$14312)),ROW(20:20)),2))</f>
        <v>Router3_105</v>
      </c>
      <c r="CP22" t="str">
        <f t="array" ref="CP22">IF(ISERROR(INDEX($A$3:$B$14312,SMALL(IF($A$3:$A$14312=CP$3,ROW($A$3:$A$14312)),ROW(20:20)),2)),"",INDEX($A$3:$B$14312,SMALL(IF($A$3:$A$14312=CP$3,ROW($A$3:$A$14312)),ROW(20:20)),2))</f>
        <v/>
      </c>
      <c r="CQ22" t="str">
        <f t="array" ref="CQ22">IF(ISERROR(INDEX($A$3:$B$14312,SMALL(IF($A$3:$A$14312=CQ$3,ROW($A$3:$A$14312)),ROW(20:20)),2)),"",INDEX($A$3:$B$14312,SMALL(IF($A$3:$A$14312=CQ$3,ROW($A$3:$A$14312)),ROW(20:20)),2))</f>
        <v/>
      </c>
      <c r="CR22" t="str">
        <f t="array" ref="CR22">IF(ISERROR(INDEX($A$3:$B$14312,SMALL(IF($A$3:$A$14312=CR$3,ROW($A$3:$A$14312)),ROW(20:20)),2)),"",INDEX($A$3:$B$14312,SMALL(IF($A$3:$A$14312=CR$3,ROW($A$3:$A$14312)),ROW(20:20)),2))</f>
        <v/>
      </c>
      <c r="CS22" t="str">
        <f t="array" ref="CS22">IF(ISERROR(INDEX($A$3:$B$14312,SMALL(IF($A$3:$A$14312=CS$3,ROW($A$3:$A$14312)),ROW(20:20)),2)),"",INDEX($A$3:$B$14312,SMALL(IF($A$3:$A$14312=CS$3,ROW($A$3:$A$14312)),ROW(20:20)),2))</f>
        <v/>
      </c>
      <c r="CT22" t="str">
        <f t="array" ref="CT22">IF(ISERROR(INDEX($A$3:$B$14312,SMALL(IF($A$3:$A$14312=CT$3,ROW($A$3:$A$14312)),ROW(20:20)),2)),"",INDEX($A$3:$B$14312,SMALL(IF($A$3:$A$14312=CT$3,ROW($A$3:$A$14312)),ROW(20:20)),2))</f>
        <v/>
      </c>
      <c r="CU22" t="str">
        <f t="array" ref="CU22">IF(ISERROR(INDEX($A$3:$B$14312,SMALL(IF($A$3:$A$14312=CU$3,ROW($A$3:$A$14312)),ROW(20:20)),2)),"",INDEX($A$3:$B$14312,SMALL(IF($A$3:$A$14312=CU$3,ROW($A$3:$A$14312)),ROW(20:20)),2))</f>
        <v/>
      </c>
      <c r="CV22" t="str">
        <f t="array" ref="CV22">IF(ISERROR(INDEX($A$3:$B$14312,SMALL(IF($A$3:$A$14312=CV$3,ROW($A$3:$A$14312)),ROW(20:20)),2)),"",INDEX($A$3:$B$14312,SMALL(IF($A$3:$A$14312=CV$3,ROW($A$3:$A$14312)),ROW(20:20)),2))</f>
        <v>Router3_144</v>
      </c>
      <c r="CW22" t="str">
        <f t="array" ref="CW22">IF(ISERROR(INDEX($A$3:$B$14312,SMALL(IF($A$3:$A$14312=CW$3,ROW($A$3:$A$14312)),ROW(20:20)),2)),"",INDEX($A$3:$B$14312,SMALL(IF($A$3:$A$14312=CW$3,ROW($A$3:$A$14312)),ROW(20:20)),2))</f>
        <v/>
      </c>
      <c r="CX22" t="str">
        <f t="array" ref="CX22">IF(ISERROR(INDEX($A$3:$B$14312,SMALL(IF($A$3:$A$14312=CX$3,ROW($A$3:$A$14312)),ROW(20:20)),2)),"",INDEX($A$3:$B$14312,SMALL(IF($A$3:$A$14312=CX$3,ROW($A$3:$A$14312)),ROW(20:20)),2))</f>
        <v/>
      </c>
      <c r="CY22" t="str">
        <f t="array" ref="CY22">IF(ISERROR(INDEX($A$3:$B$14312,SMALL(IF($A$3:$A$14312=CY$3,ROW($A$3:$A$14312)),ROW(20:20)),2)),"",INDEX($A$3:$B$14312,SMALL(IF($A$3:$A$14312=CY$3,ROW($A$3:$A$14312)),ROW(20:20)),2))</f>
        <v>Router3_90</v>
      </c>
      <c r="CZ22" t="str">
        <f t="array" ref="CZ22">IF(ISERROR(INDEX($A$3:$B$14312,SMALL(IF($A$3:$A$14312=CZ$3,ROW($A$3:$A$14312)),ROW(20:20)),2)),"",INDEX($A$3:$B$14312,SMALL(IF($A$3:$A$14312=CZ$3,ROW($A$3:$A$14312)),ROW(20:20)),2))</f>
        <v/>
      </c>
      <c r="DA22" t="str">
        <f t="array" ref="DA22">IF(ISERROR(INDEX($A$3:$B$14312,SMALL(IF($A$3:$A$14312=DA$3,ROW($A$3:$A$14312)),ROW(20:20)),2)),"",INDEX($A$3:$B$14312,SMALL(IF($A$3:$A$14312=DA$3,ROW($A$3:$A$14312)),ROW(20:20)),2))</f>
        <v>Router3_150</v>
      </c>
      <c r="DB22" t="str">
        <f t="array" ref="DB22">IF(ISERROR(INDEX($A$3:$B$14312,SMALL(IF($A$3:$A$14312=DB$3,ROW($A$3:$A$14312)),ROW(20:20)),2)),"",INDEX($A$3:$B$14312,SMALL(IF($A$3:$A$14312=DB$3,ROW($A$3:$A$14312)),ROW(20:20)),2))</f>
        <v/>
      </c>
      <c r="DC22" t="str">
        <f t="array" ref="DC22">IF(ISERROR(INDEX($A$3:$B$14312,SMALL(IF($A$3:$A$14312=DC$3,ROW($A$3:$A$14312)),ROW(20:20)),2)),"",INDEX($A$3:$B$14312,SMALL(IF($A$3:$A$14312=DC$3,ROW($A$3:$A$14312)),ROW(20:20)),2))</f>
        <v>Router3_135</v>
      </c>
      <c r="DD22" t="str">
        <f t="array" ref="DD22">IF(ISERROR(INDEX($A$3:$B$14312,SMALL(IF($A$3:$A$14312=DD$3,ROW($A$3:$A$14312)),ROW(20:20)),2)),"",INDEX($A$3:$B$14312,SMALL(IF($A$3:$A$14312=DD$3,ROW($A$3:$A$14312)),ROW(20:20)),2))</f>
        <v/>
      </c>
      <c r="DE22" t="str">
        <f t="array" ref="DE22">IF(ISERROR(INDEX($A$3:$B$14312,SMALL(IF($A$3:$A$14312=DE$3,ROW($A$3:$A$14312)),ROW(20:20)),2)),"",INDEX($A$3:$B$14312,SMALL(IF($A$3:$A$14312=DE$3,ROW($A$3:$A$14312)),ROW(20:20)),2))</f>
        <v/>
      </c>
      <c r="DF22" t="str">
        <f t="array" ref="DF22">IF(ISERROR(INDEX($A$3:$B$14312,SMALL(IF($A$3:$A$14312=DF$3,ROW($A$3:$A$14312)),ROW(20:20)),2)),"",INDEX($A$3:$B$14312,SMALL(IF($A$3:$A$14312=DF$3,ROW($A$3:$A$14312)),ROW(20:20)),2))</f>
        <v/>
      </c>
      <c r="DG22" t="str">
        <f t="array" ref="DG22">IF(ISERROR(INDEX($A$3:$B$14312,SMALL(IF($A$3:$A$14312=DG$3,ROW($A$3:$A$14312)),ROW(20:20)),2)),"",INDEX($A$3:$B$14312,SMALL(IF($A$3:$A$14312=DG$3,ROW($A$3:$A$14312)),ROW(20:20)),2))</f>
        <v>Router3_33</v>
      </c>
      <c r="DH22" t="str">
        <f t="array" ref="DH22">IF(ISERROR(INDEX($A$3:$B$14312,SMALL(IF($A$3:$A$14312=DH$3,ROW($A$3:$A$14312)),ROW(20:20)),2)),"",INDEX($A$3:$B$14312,SMALL(IF($A$3:$A$14312=DH$3,ROW($A$3:$A$14312)),ROW(20:20)),2))</f>
        <v/>
      </c>
      <c r="DI22" t="str">
        <f t="array" ref="DI22">IF(ISERROR(INDEX($A$3:$B$14312,SMALL(IF($A$3:$A$14312=DI$3,ROW($A$3:$A$14312)),ROW(20:20)),2)),"",INDEX($A$3:$B$14312,SMALL(IF($A$3:$A$14312=DI$3,ROW($A$3:$A$14312)),ROW(20:20)),2))</f>
        <v>Router3_86</v>
      </c>
      <c r="DJ22" t="str">
        <f t="array" ref="DJ22">IF(ISERROR(INDEX($A$3:$B$14312,SMALL(IF($A$3:$A$14312=DJ$3,ROW($A$3:$A$14312)),ROW(20:20)),2)),"",INDEX($A$3:$B$14312,SMALL(IF($A$3:$A$14312=DJ$3,ROW($A$3:$A$14312)),ROW(20:20)),2))</f>
        <v>Router3_93</v>
      </c>
      <c r="DK22" t="str">
        <f t="array" ref="DK22">IF(ISERROR(INDEX($A$3:$B$14312,SMALL(IF($A$3:$A$14312=DK$3,ROW($A$3:$A$14312)),ROW(20:20)),2)),"",INDEX($A$3:$B$14312,SMALL(IF($A$3:$A$14312=DK$3,ROW($A$3:$A$14312)),ROW(20:20)),2))</f>
        <v>Router3_120</v>
      </c>
      <c r="DL22" t="str">
        <f t="array" ref="DL22">IF(ISERROR(INDEX($A$3:$B$14312,SMALL(IF($A$3:$A$14312=DL$3,ROW($A$3:$A$14312)),ROW(20:20)),2)),"",INDEX($A$3:$B$14312,SMALL(IF($A$3:$A$14312=DL$3,ROW($A$3:$A$14312)),ROW(20:20)),2))</f>
        <v/>
      </c>
      <c r="DM22" t="str">
        <f t="array" ref="DM22">IF(ISERROR(INDEX($A$3:$B$14312,SMALL(IF($A$3:$A$14312=DM$3,ROW($A$3:$A$14312)),ROW(20:20)),2)),"",INDEX($A$3:$B$14312,SMALL(IF($A$3:$A$14312=DM$3,ROW($A$3:$A$14312)),ROW(20:20)),2))</f>
        <v/>
      </c>
      <c r="DN22" t="str">
        <f t="array" ref="DN22">IF(ISERROR(INDEX($A$3:$B$14312,SMALL(IF($A$3:$A$14312=DN$3,ROW($A$3:$A$14312)),ROW(20:20)),2)),"",INDEX($A$3:$B$14312,SMALL(IF($A$3:$A$14312=DN$3,ROW($A$3:$A$14312)),ROW(20:20)),2))</f>
        <v>Router3_65</v>
      </c>
      <c r="DO22" t="str">
        <f t="array" ref="DO22">IF(ISERROR(INDEX($A$3:$B$14312,SMALL(IF($A$3:$A$14312=DO$3,ROW($A$3:$A$14312)),ROW(20:20)),2)),"",INDEX($A$3:$B$14312,SMALL(IF($A$3:$A$14312=DO$3,ROW($A$3:$A$14312)),ROW(20:20)),2))</f>
        <v/>
      </c>
      <c r="DP22" t="str">
        <f t="array" ref="DP22">IF(ISERROR(INDEX($A$3:$B$14312,SMALL(IF($A$3:$A$14312=DP$3,ROW($A$3:$A$14312)),ROW(20:20)),2)),"",INDEX($A$3:$B$14312,SMALL(IF($A$3:$A$14312=DP$3,ROW($A$3:$A$14312)),ROW(20:20)),2))</f>
        <v/>
      </c>
      <c r="DQ22" t="str">
        <f t="array" ref="DQ22">IF(ISERROR(INDEX($A$3:$B$14312,SMALL(IF($A$3:$A$14312=DQ$3,ROW($A$3:$A$14312)),ROW(20:20)),2)),"",INDEX($A$3:$B$14312,SMALL(IF($A$3:$A$14312=DQ$3,ROW($A$3:$A$14312)),ROW(20:20)),2))</f>
        <v/>
      </c>
      <c r="DR22" t="str">
        <f t="array" ref="DR22">IF(ISERROR(INDEX($A$3:$B$14312,SMALL(IF($A$3:$A$14312=DR$3,ROW($A$3:$A$14312)),ROW(20:20)),2)),"",INDEX($A$3:$B$14312,SMALL(IF($A$3:$A$14312=DR$3,ROW($A$3:$A$14312)),ROW(20:20)),2))</f>
        <v>Router3_22</v>
      </c>
      <c r="DS22" t="str">
        <f t="array" ref="DS22">IF(ISERROR(INDEX($A$3:$B$14312,SMALL(IF($A$3:$A$14312=DS$3,ROW($A$3:$A$14312)),ROW(20:20)),2)),"",INDEX($A$3:$B$14312,SMALL(IF($A$3:$A$14312=DS$3,ROW($A$3:$A$14312)),ROW(20:20)),2))</f>
        <v/>
      </c>
      <c r="DT22" t="str">
        <f t="array" ref="DT22">IF(ISERROR(INDEX($A$3:$B$14312,SMALL(IF($A$3:$A$14312=DT$3,ROW($A$3:$A$14312)),ROW(20:20)),2)),"",INDEX($A$3:$B$14312,SMALL(IF($A$3:$A$14312=DT$3,ROW($A$3:$A$14312)),ROW(20:20)),2))</f>
        <v>Router3_86</v>
      </c>
      <c r="DU22" t="str">
        <f t="array" ref="DU22">IF(ISERROR(INDEX($A$3:$B$14312,SMALL(IF($A$3:$A$14312=DU$3,ROW($A$3:$A$14312)),ROW(20:20)),2)),"",INDEX($A$3:$B$14312,SMALL(IF($A$3:$A$14312=DU$3,ROW($A$3:$A$14312)),ROW(20:20)),2))</f>
        <v>Router3_138</v>
      </c>
      <c r="DV22" t="str">
        <f t="array" ref="DV22">IF(ISERROR(INDEX($A$3:$B$14312,SMALL(IF($A$3:$A$14312=DV$3,ROW($A$3:$A$14312)),ROW(20:20)),2)),"",INDEX($A$3:$B$14312,SMALL(IF($A$3:$A$14312=DV$3,ROW($A$3:$A$14312)),ROW(20:20)),2))</f>
        <v/>
      </c>
      <c r="DW22" t="str">
        <f t="array" ref="DW22">IF(ISERROR(INDEX($A$3:$B$14312,SMALL(IF($A$3:$A$14312=DW$3,ROW($A$3:$A$14312)),ROW(20:20)),2)),"",INDEX($A$3:$B$14312,SMALL(IF($A$3:$A$14312=DW$3,ROW($A$3:$A$14312)),ROW(20:20)),2))</f>
        <v/>
      </c>
      <c r="DX22" t="str">
        <f t="array" ref="DX22">IF(ISERROR(INDEX($A$3:$B$14312,SMALL(IF($A$3:$A$14312=DX$3,ROW($A$3:$A$14312)),ROW(20:20)),2)),"",INDEX($A$3:$B$14312,SMALL(IF($A$3:$A$14312=DX$3,ROW($A$3:$A$14312)),ROW(20:20)),2))</f>
        <v/>
      </c>
      <c r="DY22" t="str">
        <f t="array" ref="DY22">IF(ISERROR(INDEX($A$3:$B$14312,SMALL(IF($A$3:$A$14312=DY$3,ROW($A$3:$A$14312)),ROW(20:20)),2)),"",INDEX($A$3:$B$14312,SMALL(IF($A$3:$A$14312=DY$3,ROW($A$3:$A$14312)),ROW(20:20)),2))</f>
        <v/>
      </c>
      <c r="DZ22" t="str">
        <f t="array" ref="DZ22">IF(ISERROR(INDEX($A$3:$B$14312,SMALL(IF($A$3:$A$14312=DZ$3,ROW($A$3:$A$14312)),ROW(20:20)),2)),"",INDEX($A$3:$B$14312,SMALL(IF($A$3:$A$14312=DZ$3,ROW($A$3:$A$14312)),ROW(20:20)),2))</f>
        <v/>
      </c>
      <c r="EA22" t="str">
        <f t="array" ref="EA22">IF(ISERROR(INDEX($A$3:$B$14312,SMALL(IF($A$3:$A$14312=EA$3,ROW($A$3:$A$14312)),ROW(20:20)),2)),"",INDEX($A$3:$B$14312,SMALL(IF($A$3:$A$14312=EA$3,ROW($A$3:$A$14312)),ROW(20:20)),2))</f>
        <v>Router3_136</v>
      </c>
      <c r="EB22" t="str">
        <f t="array" ref="EB22">IF(ISERROR(INDEX($A$3:$B$14312,SMALL(IF($A$3:$A$14312=EB$3,ROW($A$3:$A$14312)),ROW(20:20)),2)),"",INDEX($A$3:$B$14312,SMALL(IF($A$3:$A$14312=EB$3,ROW($A$3:$A$14312)),ROW(20:20)),2))</f>
        <v/>
      </c>
      <c r="EC22" t="str">
        <f t="array" ref="EC22">IF(ISERROR(INDEX($A$3:$B$14312,SMALL(IF($A$3:$A$14312=EC$3,ROW($A$3:$A$14312)),ROW(20:20)),2)),"",INDEX($A$3:$B$14312,SMALL(IF($A$3:$A$14312=EC$3,ROW($A$3:$A$14312)),ROW(20:20)),2))</f>
        <v>Router3_116</v>
      </c>
      <c r="ED22" t="str">
        <f t="array" ref="ED22">IF(ISERROR(INDEX($A$3:$B$14312,SMALL(IF($A$3:$A$14312=ED$3,ROW($A$3:$A$14312)),ROW(20:20)),2)),"",INDEX($A$3:$B$14312,SMALL(IF($A$3:$A$14312=ED$3,ROW($A$3:$A$14312)),ROW(20:20)),2))</f>
        <v>Router3_136</v>
      </c>
      <c r="EE22" t="str">
        <f t="array" ref="EE22">IF(ISERROR(INDEX($A$3:$B$14312,SMALL(IF($A$3:$A$14312=EE$3,ROW($A$3:$A$14312)),ROW(20:20)),2)),"",INDEX($A$3:$B$14312,SMALL(IF($A$3:$A$14312=EE$3,ROW($A$3:$A$14312)),ROW(20:20)),2))</f>
        <v>Router3_160</v>
      </c>
    </row>
    <row r="23" spans="1:135" x14ac:dyDescent="0.25">
      <c r="A23" s="10">
        <v>-450827382</v>
      </c>
      <c r="B23" t="s">
        <v>1100</v>
      </c>
      <c r="E23" t="str">
        <f t="array" ref="E23">IF(ISERROR(INDEX($A$3:$B$14312,SMALL(IF($A$3:$A$14312=E$3,ROW($A$3:$A$14312)),ROW(21:21)),2)),"",INDEX($A$3:$B$14312,SMALL(IF($A$3:$A$14312=E$3,ROW($A$3:$A$14312)),ROW(21:21)),2))</f>
        <v>Router3_78</v>
      </c>
      <c r="F23" t="str">
        <f t="array" ref="F23">IF(ISERROR(INDEX($A$3:$B$14312,SMALL(IF($A$3:$A$14312=F$3,ROW($A$3:$A$14312)),ROW(21:21)),2)),"",INDEX($A$3:$B$14312,SMALL(IF($A$3:$A$14312=F$3,ROW($A$3:$A$14312)),ROW(21:21)),2))</f>
        <v>Router3_80</v>
      </c>
      <c r="G23" t="str">
        <f t="array" ref="G23">IF(ISERROR(INDEX($A$3:$B$14312,SMALL(IF($A$3:$A$14312=G$3,ROW($A$3:$A$14312)),ROW(21:21)),2)),"",INDEX($A$3:$B$14312,SMALL(IF($A$3:$A$14312=G$3,ROW($A$3:$A$14312)),ROW(21:21)),2))</f>
        <v/>
      </c>
      <c r="H23" t="str">
        <f t="array" ref="H23">IF(ISERROR(INDEX($A$3:$B$14312,SMALL(IF($A$3:$A$14312=H$3,ROW($A$3:$A$14312)),ROW(21:21)),2)),"",INDEX($A$3:$B$14312,SMALL(IF($A$3:$A$14312=H$3,ROW($A$3:$A$14312)),ROW(21:21)),2))</f>
        <v/>
      </c>
      <c r="I23" t="str">
        <f t="array" ref="I23">IF(ISERROR(INDEX($A$3:$B$14312,SMALL(IF($A$3:$A$14312=I$3,ROW($A$3:$A$14312)),ROW(21:21)),2)),"",INDEX($A$3:$B$14312,SMALL(IF($A$3:$A$14312=I$3,ROW($A$3:$A$14312)),ROW(21:21)),2))</f>
        <v/>
      </c>
      <c r="J23" t="str">
        <f t="array" ref="J23">IF(ISERROR(INDEX($A$3:$B$14312,SMALL(IF($A$3:$A$14312=J$3,ROW($A$3:$A$14312)),ROW(21:21)),2)),"",INDEX($A$3:$B$14312,SMALL(IF($A$3:$A$14312=J$3,ROW($A$3:$A$14312)),ROW(21:21)),2))</f>
        <v>Router3_151</v>
      </c>
      <c r="K23" t="str">
        <f t="array" ref="K23">IF(ISERROR(INDEX($A$3:$B$14312,SMALL(IF($A$3:$A$14312=K$3,ROW($A$3:$A$14312)),ROW(21:21)),2)),"",INDEX($A$3:$B$14312,SMALL(IF($A$3:$A$14312=K$3,ROW($A$3:$A$14312)),ROW(21:21)),2))</f>
        <v/>
      </c>
      <c r="L23" t="str">
        <f t="array" ref="L23">IF(ISERROR(INDEX($A$3:$B$14312,SMALL(IF($A$3:$A$14312=L$3,ROW($A$3:$A$14312)),ROW(21:21)),2)),"",INDEX($A$3:$B$14312,SMALL(IF($A$3:$A$14312=L$3,ROW($A$3:$A$14312)),ROW(21:21)),2))</f>
        <v/>
      </c>
      <c r="M23" t="str">
        <f t="array" ref="M23">IF(ISERROR(INDEX($A$3:$B$14312,SMALL(IF($A$3:$A$14312=M$3,ROW($A$3:$A$14312)),ROW(21:21)),2)),"",INDEX($A$3:$B$14312,SMALL(IF($A$3:$A$14312=M$3,ROW($A$3:$A$14312)),ROW(21:21)),2))</f>
        <v/>
      </c>
      <c r="N23" t="str">
        <f t="array" ref="N23">IF(ISERROR(INDEX($A$3:$B$14312,SMALL(IF($A$3:$A$14312=N$3,ROW($A$3:$A$14312)),ROW(21:21)),2)),"",INDEX($A$3:$B$14312,SMALL(IF($A$3:$A$14312=N$3,ROW($A$3:$A$14312)),ROW(21:21)),2))</f>
        <v/>
      </c>
      <c r="O23" t="str">
        <f t="array" ref="O23">IF(ISERROR(INDEX($A$3:$B$14312,SMALL(IF($A$3:$A$14312=O$3,ROW($A$3:$A$14312)),ROW(21:21)),2)),"",INDEX($A$3:$B$14312,SMALL(IF($A$3:$A$14312=O$3,ROW($A$3:$A$14312)),ROW(21:21)),2))</f>
        <v/>
      </c>
      <c r="P23" t="str">
        <f t="array" ref="P23">IF(ISERROR(INDEX($A$3:$B$14312,SMALL(IF($A$3:$A$14312=P$3,ROW($A$3:$A$14312)),ROW(21:21)),2)),"",INDEX($A$3:$B$14312,SMALL(IF($A$3:$A$14312=P$3,ROW($A$3:$A$14312)),ROW(21:21)),2))</f>
        <v/>
      </c>
      <c r="Q23" t="str">
        <f t="array" ref="Q23">IF(ISERROR(INDEX($A$3:$B$14312,SMALL(IF($A$3:$A$14312=Q$3,ROW($A$3:$A$14312)),ROW(21:21)),2)),"",INDEX($A$3:$B$14312,SMALL(IF($A$3:$A$14312=Q$3,ROW($A$3:$A$14312)),ROW(21:21)),2))</f>
        <v/>
      </c>
      <c r="R23" t="str">
        <f t="array" ref="R23">IF(ISERROR(INDEX($A$3:$B$14312,SMALL(IF($A$3:$A$14312=R$3,ROW($A$3:$A$14312)),ROW(21:21)),2)),"",INDEX($A$3:$B$14312,SMALL(IF($A$3:$A$14312=R$3,ROW($A$3:$A$14312)),ROW(21:21)),2))</f>
        <v/>
      </c>
      <c r="S23" t="str">
        <f t="array" ref="S23">IF(ISERROR(INDEX($A$3:$B$14312,SMALL(IF($A$3:$A$14312=S$3,ROW($A$3:$A$14312)),ROW(21:21)),2)),"",INDEX($A$3:$B$14312,SMALL(IF($A$3:$A$14312=S$3,ROW($A$3:$A$14312)),ROW(21:21)),2))</f>
        <v/>
      </c>
      <c r="T23" t="str">
        <f t="array" ref="T23">IF(ISERROR(INDEX($A$3:$B$14312,SMALL(IF($A$3:$A$14312=T$3,ROW($A$3:$A$14312)),ROW(21:21)),2)),"",INDEX($A$3:$B$14312,SMALL(IF($A$3:$A$14312=T$3,ROW($A$3:$A$14312)),ROW(21:21)),2))</f>
        <v/>
      </c>
      <c r="U23" t="str">
        <f t="array" ref="U23">IF(ISERROR(INDEX($A$3:$B$14312,SMALL(IF($A$3:$A$14312=U$3,ROW($A$3:$A$14312)),ROW(21:21)),2)),"",INDEX($A$3:$B$14312,SMALL(IF($A$3:$A$14312=U$3,ROW($A$3:$A$14312)),ROW(21:21)),2))</f>
        <v>Router3_164</v>
      </c>
      <c r="V23" t="str">
        <f t="array" ref="V23">IF(ISERROR(INDEX($A$3:$B$14312,SMALL(IF($A$3:$A$14312=V$3,ROW($A$3:$A$14312)),ROW(21:21)),2)),"",INDEX($A$3:$B$14312,SMALL(IF($A$3:$A$14312=V$3,ROW($A$3:$A$14312)),ROW(21:21)),2))</f>
        <v/>
      </c>
      <c r="W23" t="str">
        <f t="array" ref="W23">IF(ISERROR(INDEX($A$3:$B$14312,SMALL(IF($A$3:$A$14312=W$3,ROW($A$3:$A$14312)),ROW(21:21)),2)),"",INDEX($A$3:$B$14312,SMALL(IF($A$3:$A$14312=W$3,ROW($A$3:$A$14312)),ROW(21:21)),2))</f>
        <v>Router3_116</v>
      </c>
      <c r="X23" t="str">
        <f t="array" ref="X23">IF(ISERROR(INDEX($A$3:$B$14312,SMALL(IF($A$3:$A$14312=X$3,ROW($A$3:$A$14312)),ROW(21:21)),2)),"",INDEX($A$3:$B$14312,SMALL(IF($A$3:$A$14312=X$3,ROW($A$3:$A$14312)),ROW(21:21)),2))</f>
        <v/>
      </c>
      <c r="Y23" t="str">
        <f t="array" ref="Y23">IF(ISERROR(INDEX($A$3:$B$14312,SMALL(IF($A$3:$A$14312=Y$3,ROW($A$3:$A$14312)),ROW(21:21)),2)),"",INDEX($A$3:$B$14312,SMALL(IF($A$3:$A$14312=Y$3,ROW($A$3:$A$14312)),ROW(21:21)),2))</f>
        <v/>
      </c>
      <c r="Z23" t="str">
        <f t="array" ref="Z23">IF(ISERROR(INDEX($A$3:$B$14312,SMALL(IF($A$3:$A$14312=Z$3,ROW($A$3:$A$14312)),ROW(21:21)),2)),"",INDEX($A$3:$B$14312,SMALL(IF($A$3:$A$14312=Z$3,ROW($A$3:$A$14312)),ROW(21:21)),2))</f>
        <v/>
      </c>
      <c r="AA23" t="str">
        <f t="array" ref="AA23">IF(ISERROR(INDEX($A$3:$B$14312,SMALL(IF($A$3:$A$14312=AA$3,ROW($A$3:$A$14312)),ROW(21:21)),2)),"",INDEX($A$3:$B$14312,SMALL(IF($A$3:$A$14312=AA$3,ROW($A$3:$A$14312)),ROW(21:21)),2))</f>
        <v/>
      </c>
      <c r="AB23" t="str">
        <f t="array" ref="AB23">IF(ISERROR(INDEX($A$3:$B$14312,SMALL(IF($A$3:$A$14312=AB$3,ROW($A$3:$A$14312)),ROW(21:21)),2)),"",INDEX($A$3:$B$14312,SMALL(IF($A$3:$A$14312=AB$3,ROW($A$3:$A$14312)),ROW(21:21)),2))</f>
        <v/>
      </c>
      <c r="AC23" t="str">
        <f t="array" ref="AC23">IF(ISERROR(INDEX($A$3:$B$14312,SMALL(IF($A$3:$A$14312=AC$3,ROW($A$3:$A$14312)),ROW(21:21)),2)),"",INDEX($A$3:$B$14312,SMALL(IF($A$3:$A$14312=AC$3,ROW($A$3:$A$14312)),ROW(21:21)),2))</f>
        <v/>
      </c>
      <c r="AD23" t="str">
        <f t="array" ref="AD23">IF(ISERROR(INDEX($A$3:$B$14312,SMALL(IF($A$3:$A$14312=AD$3,ROW($A$3:$A$14312)),ROW(21:21)),2)),"",INDEX($A$3:$B$14312,SMALL(IF($A$3:$A$14312=AD$3,ROW($A$3:$A$14312)),ROW(21:21)),2))</f>
        <v/>
      </c>
      <c r="AE23" t="str">
        <f t="array" ref="AE23">IF(ISERROR(INDEX($A$3:$B$14312,SMALL(IF($A$3:$A$14312=AE$3,ROW($A$3:$A$14312)),ROW(21:21)),2)),"",INDEX($A$3:$B$14312,SMALL(IF($A$3:$A$14312=AE$3,ROW($A$3:$A$14312)),ROW(21:21)),2))</f>
        <v/>
      </c>
      <c r="AF23" t="str">
        <f t="array" ref="AF23">IF(ISERROR(INDEX($A$3:$B$14312,SMALL(IF($A$3:$A$14312=AF$3,ROW($A$3:$A$14312)),ROW(21:21)),2)),"",INDEX($A$3:$B$14312,SMALL(IF($A$3:$A$14312=AF$3,ROW($A$3:$A$14312)),ROW(21:21)),2))</f>
        <v>Router3_105</v>
      </c>
      <c r="AG23" t="str">
        <f t="array" ref="AG23">IF(ISERROR(INDEX($A$3:$B$14312,SMALL(IF($A$3:$A$14312=AG$3,ROW($A$3:$A$14312)),ROW(21:21)),2)),"",INDEX($A$3:$B$14312,SMALL(IF($A$3:$A$14312=AG$3,ROW($A$3:$A$14312)),ROW(21:21)),2))</f>
        <v>Router3_98</v>
      </c>
      <c r="AH23" t="str">
        <f t="array" ref="AH23">IF(ISERROR(INDEX($A$3:$B$14312,SMALL(IF($A$3:$A$14312=AH$3,ROW($A$3:$A$14312)),ROW(21:21)),2)),"",INDEX($A$3:$B$14312,SMALL(IF($A$3:$A$14312=AH$3,ROW($A$3:$A$14312)),ROW(21:21)),2))</f>
        <v/>
      </c>
      <c r="AI23" t="str">
        <f t="array" ref="AI23">IF(ISERROR(INDEX($A$3:$B$14312,SMALL(IF($A$3:$A$14312=AI$3,ROW($A$3:$A$14312)),ROW(21:21)),2)),"",INDEX($A$3:$B$14312,SMALL(IF($A$3:$A$14312=AI$3,ROW($A$3:$A$14312)),ROW(21:21)),2))</f>
        <v>Router3_13</v>
      </c>
      <c r="AJ23" t="str">
        <f t="array" ref="AJ23">IF(ISERROR(INDEX($A$3:$B$14312,SMALL(IF($A$3:$A$14312=AJ$3,ROW($A$3:$A$14312)),ROW(21:21)),2)),"",INDEX($A$3:$B$14312,SMALL(IF($A$3:$A$14312=AJ$3,ROW($A$3:$A$14312)),ROW(21:21)),2))</f>
        <v/>
      </c>
      <c r="AK23" t="str">
        <f t="array" ref="AK23">IF(ISERROR(INDEX($A$3:$B$14312,SMALL(IF($A$3:$A$14312=AK$3,ROW($A$3:$A$14312)),ROW(21:21)),2)),"",INDEX($A$3:$B$14312,SMALL(IF($A$3:$A$14312=AK$3,ROW($A$3:$A$14312)),ROW(21:21)),2))</f>
        <v/>
      </c>
      <c r="AL23" t="str">
        <f t="array" ref="AL23">IF(ISERROR(INDEX($A$3:$B$14312,SMALL(IF($A$3:$A$14312=AL$3,ROW($A$3:$A$14312)),ROW(21:21)),2)),"",INDEX($A$3:$B$14312,SMALL(IF($A$3:$A$14312=AL$3,ROW($A$3:$A$14312)),ROW(21:21)),2))</f>
        <v>Router3_164</v>
      </c>
      <c r="AM23" t="str">
        <f t="array" ref="AM23">IF(ISERROR(INDEX($A$3:$B$14312,SMALL(IF($A$3:$A$14312=AM$3,ROW($A$3:$A$14312)),ROW(21:21)),2)),"",INDEX($A$3:$B$14312,SMALL(IF($A$3:$A$14312=AM$3,ROW($A$3:$A$14312)),ROW(21:21)),2))</f>
        <v>Router3_138</v>
      </c>
      <c r="AN23" t="str">
        <f t="array" ref="AN23">IF(ISERROR(INDEX($A$3:$B$14312,SMALL(IF($A$3:$A$14312=AN$3,ROW($A$3:$A$14312)),ROW(21:21)),2)),"",INDEX($A$3:$B$14312,SMALL(IF($A$3:$A$14312=AN$3,ROW($A$3:$A$14312)),ROW(21:21)),2))</f>
        <v/>
      </c>
      <c r="AO23" t="str">
        <f t="array" ref="AO23">IF(ISERROR(INDEX($A$3:$B$14312,SMALL(IF($A$3:$A$14312=AO$3,ROW($A$3:$A$14312)),ROW(21:21)),2)),"",INDEX($A$3:$B$14312,SMALL(IF($A$3:$A$14312=AO$3,ROW($A$3:$A$14312)),ROW(21:21)),2))</f>
        <v/>
      </c>
      <c r="AP23" t="str">
        <f t="array" ref="AP23">IF(ISERROR(INDEX($A$3:$B$14312,SMALL(IF($A$3:$A$14312=AP$3,ROW($A$3:$A$14312)),ROW(21:21)),2)),"",INDEX($A$3:$B$14312,SMALL(IF($A$3:$A$14312=AP$3,ROW($A$3:$A$14312)),ROW(21:21)),2))</f>
        <v>Router3_23</v>
      </c>
      <c r="AQ23" t="str">
        <f t="array" ref="AQ23">IF(ISERROR(INDEX($A$3:$B$14312,SMALL(IF($A$3:$A$14312=AQ$3,ROW($A$3:$A$14312)),ROW(21:21)),2)),"",INDEX($A$3:$B$14312,SMALL(IF($A$3:$A$14312=AQ$3,ROW($A$3:$A$14312)),ROW(21:21)),2))</f>
        <v/>
      </c>
      <c r="AR23" t="str">
        <f t="array" ref="AR23">IF(ISERROR(INDEX($A$3:$B$14312,SMALL(IF($A$3:$A$14312=AR$3,ROW($A$3:$A$14312)),ROW(21:21)),2)),"",INDEX($A$3:$B$14312,SMALL(IF($A$3:$A$14312=AR$3,ROW($A$3:$A$14312)),ROW(21:21)),2))</f>
        <v/>
      </c>
      <c r="AS23" t="str">
        <f t="array" ref="AS23">IF(ISERROR(INDEX($A$3:$B$14312,SMALL(IF($A$3:$A$14312=AS$3,ROW($A$3:$A$14312)),ROW(21:21)),2)),"",INDEX($A$3:$B$14312,SMALL(IF($A$3:$A$14312=AS$3,ROW($A$3:$A$14312)),ROW(21:21)),2))</f>
        <v>Router3_93</v>
      </c>
      <c r="AT23" t="str">
        <f t="array" ref="AT23">IF(ISERROR(INDEX($A$3:$B$14312,SMALL(IF($A$3:$A$14312=AT$3,ROW($A$3:$A$14312)),ROW(21:21)),2)),"",INDEX($A$3:$B$14312,SMALL(IF($A$3:$A$14312=AT$3,ROW($A$3:$A$14312)),ROW(21:21)),2))</f>
        <v/>
      </c>
      <c r="AU23" t="str">
        <f t="array" ref="AU23">IF(ISERROR(INDEX($A$3:$B$14312,SMALL(IF($A$3:$A$14312=AU$3,ROW($A$3:$A$14312)),ROW(21:21)),2)),"",INDEX($A$3:$B$14312,SMALL(IF($A$3:$A$14312=AU$3,ROW($A$3:$A$14312)),ROW(21:21)),2))</f>
        <v>Router3_120</v>
      </c>
      <c r="AV23" t="str">
        <f t="array" ref="AV23">IF(ISERROR(INDEX($A$3:$B$14312,SMALL(IF($A$3:$A$14312=AV$3,ROW($A$3:$A$14312)),ROW(21:21)),2)),"",INDEX($A$3:$B$14312,SMALL(IF($A$3:$A$14312=AV$3,ROW($A$3:$A$14312)),ROW(21:21)),2))</f>
        <v/>
      </c>
      <c r="AW23" t="str">
        <f t="array" ref="AW23">IF(ISERROR(INDEX($A$3:$B$14312,SMALL(IF($A$3:$A$14312=AW$3,ROW($A$3:$A$14312)),ROW(21:21)),2)),"",INDEX($A$3:$B$14312,SMALL(IF($A$3:$A$14312=AW$3,ROW($A$3:$A$14312)),ROW(21:21)),2))</f>
        <v/>
      </c>
      <c r="AX23" t="str">
        <f t="array" ref="AX23">IF(ISERROR(INDEX($A$3:$B$14312,SMALL(IF($A$3:$A$14312=AX$3,ROW($A$3:$A$14312)),ROW(21:21)),2)),"",INDEX($A$3:$B$14312,SMALL(IF($A$3:$A$14312=AX$3,ROW($A$3:$A$14312)),ROW(21:21)),2))</f>
        <v/>
      </c>
      <c r="AY23" t="str">
        <f t="array" ref="AY23">IF(ISERROR(INDEX($A$3:$B$14312,SMALL(IF($A$3:$A$14312=AY$3,ROW($A$3:$A$14312)),ROW(21:21)),2)),"",INDEX($A$3:$B$14312,SMALL(IF($A$3:$A$14312=AY$3,ROW($A$3:$A$14312)),ROW(21:21)),2))</f>
        <v>Router3_144</v>
      </c>
      <c r="AZ23" t="str">
        <f t="array" ref="AZ23">IF(ISERROR(INDEX($A$3:$B$14312,SMALL(IF($A$3:$A$14312=AZ$3,ROW($A$3:$A$14312)),ROW(21:21)),2)),"",INDEX($A$3:$B$14312,SMALL(IF($A$3:$A$14312=AZ$3,ROW($A$3:$A$14312)),ROW(21:21)),2))</f>
        <v/>
      </c>
      <c r="BA23" t="str">
        <f t="array" ref="BA23">IF(ISERROR(INDEX($A$3:$B$14312,SMALL(IF($A$3:$A$14312=BA$3,ROW($A$3:$A$14312)),ROW(21:21)),2)),"",INDEX($A$3:$B$14312,SMALL(IF($A$3:$A$14312=BA$3,ROW($A$3:$A$14312)),ROW(21:21)),2))</f>
        <v/>
      </c>
      <c r="BB23" t="str">
        <f t="array" ref="BB23">IF(ISERROR(INDEX($A$3:$B$14312,SMALL(IF($A$3:$A$14312=BB$3,ROW($A$3:$A$14312)),ROW(21:21)),2)),"",INDEX($A$3:$B$14312,SMALL(IF($A$3:$A$14312=BB$3,ROW($A$3:$A$14312)),ROW(21:21)),2))</f>
        <v/>
      </c>
      <c r="BC23" t="str">
        <f t="array" ref="BC23">IF(ISERROR(INDEX($A$3:$B$14312,SMALL(IF($A$3:$A$14312=BC$3,ROW($A$3:$A$14312)),ROW(21:21)),2)),"",INDEX($A$3:$B$14312,SMALL(IF($A$3:$A$14312=BC$3,ROW($A$3:$A$14312)),ROW(21:21)),2))</f>
        <v/>
      </c>
      <c r="BD23" t="str">
        <f t="array" ref="BD23">IF(ISERROR(INDEX($A$3:$B$14312,SMALL(IF($A$3:$A$14312=BD$3,ROW($A$3:$A$14312)),ROW(21:21)),2)),"",INDEX($A$3:$B$14312,SMALL(IF($A$3:$A$14312=BD$3,ROW($A$3:$A$14312)),ROW(21:21)),2))</f>
        <v/>
      </c>
      <c r="BE23" t="str">
        <f t="array" ref="BE23">IF(ISERROR(INDEX($A$3:$B$14312,SMALL(IF($A$3:$A$14312=BE$3,ROW($A$3:$A$14312)),ROW(21:21)),2)),"",INDEX($A$3:$B$14312,SMALL(IF($A$3:$A$14312=BE$3,ROW($A$3:$A$14312)),ROW(21:21)),2))</f>
        <v/>
      </c>
      <c r="BF23" t="str">
        <f t="array" ref="BF23">IF(ISERROR(INDEX($A$3:$B$14312,SMALL(IF($A$3:$A$14312=BF$3,ROW($A$3:$A$14312)),ROW(21:21)),2)),"",INDEX($A$3:$B$14312,SMALL(IF($A$3:$A$14312=BF$3,ROW($A$3:$A$14312)),ROW(21:21)),2))</f>
        <v/>
      </c>
      <c r="BG23" t="str">
        <f t="array" ref="BG23">IF(ISERROR(INDEX($A$3:$B$14312,SMALL(IF($A$3:$A$14312=BG$3,ROW($A$3:$A$14312)),ROW(21:21)),2)),"",INDEX($A$3:$B$14312,SMALL(IF($A$3:$A$14312=BG$3,ROW($A$3:$A$14312)),ROW(21:21)),2))</f>
        <v/>
      </c>
      <c r="BH23" t="str">
        <f t="array" ref="BH23">IF(ISERROR(INDEX($A$3:$B$14312,SMALL(IF($A$3:$A$14312=BH$3,ROW($A$3:$A$14312)),ROW(21:21)),2)),"",INDEX($A$3:$B$14312,SMALL(IF($A$3:$A$14312=BH$3,ROW($A$3:$A$14312)),ROW(21:21)),2))</f>
        <v/>
      </c>
      <c r="BI23" t="str">
        <f t="array" ref="BI23">IF(ISERROR(INDEX($A$3:$B$14312,SMALL(IF($A$3:$A$14312=BI$3,ROW($A$3:$A$14312)),ROW(21:21)),2)),"",INDEX($A$3:$B$14312,SMALL(IF($A$3:$A$14312=BI$3,ROW($A$3:$A$14312)),ROW(21:21)),2))</f>
        <v/>
      </c>
      <c r="BJ23" t="str">
        <f t="array" ref="BJ23">IF(ISERROR(INDEX($A$3:$B$14312,SMALL(IF($A$3:$A$14312=BJ$3,ROW($A$3:$A$14312)),ROW(21:21)),2)),"",INDEX($A$3:$B$14312,SMALL(IF($A$3:$A$14312=BJ$3,ROW($A$3:$A$14312)),ROW(21:21)),2))</f>
        <v/>
      </c>
      <c r="BK23" t="str">
        <f t="array" ref="BK23">IF(ISERROR(INDEX($A$3:$B$14312,SMALL(IF($A$3:$A$14312=BK$3,ROW($A$3:$A$14312)),ROW(21:21)),2)),"",INDEX($A$3:$B$14312,SMALL(IF($A$3:$A$14312=BK$3,ROW($A$3:$A$14312)),ROW(21:21)),2))</f>
        <v/>
      </c>
      <c r="BL23" t="str">
        <f t="array" ref="BL23">IF(ISERROR(INDEX($A$3:$B$14312,SMALL(IF($A$3:$A$14312=BL$3,ROW($A$3:$A$14312)),ROW(21:21)),2)),"",INDEX($A$3:$B$14312,SMALL(IF($A$3:$A$14312=BL$3,ROW($A$3:$A$14312)),ROW(21:21)),2))</f>
        <v/>
      </c>
      <c r="BM23" t="str">
        <f t="array" ref="BM23">IF(ISERROR(INDEX($A$3:$B$14312,SMALL(IF($A$3:$A$14312=BM$3,ROW($A$3:$A$14312)),ROW(21:21)),2)),"",INDEX($A$3:$B$14312,SMALL(IF($A$3:$A$14312=BM$3,ROW($A$3:$A$14312)),ROW(21:21)),2))</f>
        <v/>
      </c>
      <c r="BN23" t="str">
        <f t="array" ref="BN23">IF(ISERROR(INDEX($A$3:$B$14312,SMALL(IF($A$3:$A$14312=BN$3,ROW($A$3:$A$14312)),ROW(21:21)),2)),"",INDEX($A$3:$B$14312,SMALL(IF($A$3:$A$14312=BN$3,ROW($A$3:$A$14312)),ROW(21:21)),2))</f>
        <v/>
      </c>
      <c r="BO23" t="str">
        <f t="array" ref="BO23">IF(ISERROR(INDEX($A$3:$B$14312,SMALL(IF($A$3:$A$14312=BO$3,ROW($A$3:$A$14312)),ROW(21:21)),2)),"",INDEX($A$3:$B$14312,SMALL(IF($A$3:$A$14312=BO$3,ROW($A$3:$A$14312)),ROW(21:21)),2))</f>
        <v/>
      </c>
      <c r="BP23" t="str">
        <f t="array" ref="BP23">IF(ISERROR(INDEX($A$3:$B$14312,SMALL(IF($A$3:$A$14312=BP$3,ROW($A$3:$A$14312)),ROW(21:21)),2)),"",INDEX($A$3:$B$14312,SMALL(IF($A$3:$A$14312=BP$3,ROW($A$3:$A$14312)),ROW(21:21)),2))</f>
        <v/>
      </c>
      <c r="BQ23" t="str">
        <f t="array" ref="BQ23">IF(ISERROR(INDEX($A$3:$B$14312,SMALL(IF($A$3:$A$14312=BQ$3,ROW($A$3:$A$14312)),ROW(21:21)),2)),"",INDEX($A$3:$B$14312,SMALL(IF($A$3:$A$14312=BQ$3,ROW($A$3:$A$14312)),ROW(21:21)),2))</f>
        <v/>
      </c>
      <c r="BR23" t="str">
        <f t="array" ref="BR23">IF(ISERROR(INDEX($A$3:$B$14312,SMALL(IF($A$3:$A$14312=BR$3,ROW($A$3:$A$14312)),ROW(21:21)),2)),"",INDEX($A$3:$B$14312,SMALL(IF($A$3:$A$14312=BR$3,ROW($A$3:$A$14312)),ROW(21:21)),2))</f>
        <v/>
      </c>
      <c r="BS23" t="str">
        <f t="array" ref="BS23">IF(ISERROR(INDEX($A$3:$B$14312,SMALL(IF($A$3:$A$14312=BS$3,ROW($A$3:$A$14312)),ROW(21:21)),2)),"",INDEX($A$3:$B$14312,SMALL(IF($A$3:$A$14312=BS$3,ROW($A$3:$A$14312)),ROW(21:21)),2))</f>
        <v/>
      </c>
      <c r="BT23" t="str">
        <f t="array" ref="BT23">IF(ISERROR(INDEX($A$3:$B$14312,SMALL(IF($A$3:$A$14312=BT$3,ROW($A$3:$A$14312)),ROW(21:21)),2)),"",INDEX($A$3:$B$14312,SMALL(IF($A$3:$A$14312=BT$3,ROW($A$3:$A$14312)),ROW(21:21)),2))</f>
        <v>Router3_90</v>
      </c>
      <c r="BU23" t="str">
        <f t="array" ref="BU23">IF(ISERROR(INDEX($A$3:$B$14312,SMALL(IF($A$3:$A$14312=BU$3,ROW($A$3:$A$14312)),ROW(21:21)),2)),"",INDEX($A$3:$B$14312,SMALL(IF($A$3:$A$14312=BU$3,ROW($A$3:$A$14312)),ROW(21:21)),2))</f>
        <v/>
      </c>
      <c r="BV23" t="str">
        <f t="array" ref="BV23">IF(ISERROR(INDEX($A$3:$B$14312,SMALL(IF($A$3:$A$14312=BV$3,ROW($A$3:$A$14312)),ROW(21:21)),2)),"",INDEX($A$3:$B$14312,SMALL(IF($A$3:$A$14312=BV$3,ROW($A$3:$A$14312)),ROW(21:21)),2))</f>
        <v/>
      </c>
      <c r="BW23" t="str">
        <f t="array" ref="BW23">IF(ISERROR(INDEX($A$3:$B$14312,SMALL(IF($A$3:$A$14312=BW$3,ROW($A$3:$A$14312)),ROW(21:21)),2)),"",INDEX($A$3:$B$14312,SMALL(IF($A$3:$A$14312=BW$3,ROW($A$3:$A$14312)),ROW(21:21)),2))</f>
        <v>Router3_159</v>
      </c>
      <c r="BX23" t="str">
        <f t="array" ref="BX23">IF(ISERROR(INDEX($A$3:$B$14312,SMALL(IF($A$3:$A$14312=BX$3,ROW($A$3:$A$14312)),ROW(21:21)),2)),"",INDEX($A$3:$B$14312,SMALL(IF($A$3:$A$14312=BX$3,ROW($A$3:$A$14312)),ROW(21:21)),2))</f>
        <v>Router3_112</v>
      </c>
      <c r="BY23" t="str">
        <f t="array" ref="BY23">IF(ISERROR(INDEX($A$3:$B$14312,SMALL(IF($A$3:$A$14312=BY$3,ROW($A$3:$A$14312)),ROW(21:21)),2)),"",INDEX($A$3:$B$14312,SMALL(IF($A$3:$A$14312=BY$3,ROW($A$3:$A$14312)),ROW(21:21)),2))</f>
        <v>Router3_93</v>
      </c>
      <c r="BZ23" t="str">
        <f t="array" ref="BZ23">IF(ISERROR(INDEX($A$3:$B$14312,SMALL(IF($A$3:$A$14312=BZ$3,ROW($A$3:$A$14312)),ROW(21:21)),2)),"",INDEX($A$3:$B$14312,SMALL(IF($A$3:$A$14312=BZ$3,ROW($A$3:$A$14312)),ROW(21:21)),2))</f>
        <v>Router3_93</v>
      </c>
      <c r="CA23" t="str">
        <f t="array" ref="CA23">IF(ISERROR(INDEX($A$3:$B$14312,SMALL(IF($A$3:$A$14312=CA$3,ROW($A$3:$A$14312)),ROW(21:21)),2)),"",INDEX($A$3:$B$14312,SMALL(IF($A$3:$A$14312=CA$3,ROW($A$3:$A$14312)),ROW(21:21)),2))</f>
        <v/>
      </c>
      <c r="CB23" t="str">
        <f t="array" ref="CB23">IF(ISERROR(INDEX($A$3:$B$14312,SMALL(IF($A$3:$A$14312=CB$3,ROW($A$3:$A$14312)),ROW(21:21)),2)),"",INDEX($A$3:$B$14312,SMALL(IF($A$3:$A$14312=CB$3,ROW($A$3:$A$14312)),ROW(21:21)),2))</f>
        <v/>
      </c>
      <c r="CC23" t="str">
        <f t="array" ref="CC23">IF(ISERROR(INDEX($A$3:$B$14312,SMALL(IF($A$3:$A$14312=CC$3,ROW($A$3:$A$14312)),ROW(21:21)),2)),"",INDEX($A$3:$B$14312,SMALL(IF($A$3:$A$14312=CC$3,ROW($A$3:$A$14312)),ROW(21:21)),2))</f>
        <v/>
      </c>
      <c r="CD23" t="str">
        <f t="array" ref="CD23">IF(ISERROR(INDEX($A$3:$B$14312,SMALL(IF($A$3:$A$14312=CD$3,ROW($A$3:$A$14312)),ROW(21:21)),2)),"",INDEX($A$3:$B$14312,SMALL(IF($A$3:$A$14312=CD$3,ROW($A$3:$A$14312)),ROW(21:21)),2))</f>
        <v/>
      </c>
      <c r="CE23" t="str">
        <f t="array" ref="CE23">IF(ISERROR(INDEX($A$3:$B$14312,SMALL(IF($A$3:$A$14312=CE$3,ROW($A$3:$A$14312)),ROW(21:21)),2)),"",INDEX($A$3:$B$14312,SMALL(IF($A$3:$A$14312=CE$3,ROW($A$3:$A$14312)),ROW(21:21)),2))</f>
        <v/>
      </c>
      <c r="CF23" t="str">
        <f t="array" ref="CF23">IF(ISERROR(INDEX($A$3:$B$14312,SMALL(IF($A$3:$A$14312=CF$3,ROW($A$3:$A$14312)),ROW(21:21)),2)),"",INDEX($A$3:$B$14312,SMALL(IF($A$3:$A$14312=CF$3,ROW($A$3:$A$14312)),ROW(21:21)),2))</f>
        <v/>
      </c>
      <c r="CG23" t="str">
        <f t="array" ref="CG23">IF(ISERROR(INDEX($A$3:$B$14312,SMALL(IF($A$3:$A$14312=CG$3,ROW($A$3:$A$14312)),ROW(21:21)),2)),"",INDEX($A$3:$B$14312,SMALL(IF($A$3:$A$14312=CG$3,ROW($A$3:$A$14312)),ROW(21:21)),2))</f>
        <v/>
      </c>
      <c r="CH23" t="str">
        <f t="array" ref="CH23">IF(ISERROR(INDEX($A$3:$B$14312,SMALL(IF($A$3:$A$14312=CH$3,ROW($A$3:$A$14312)),ROW(21:21)),2)),"",INDEX($A$3:$B$14312,SMALL(IF($A$3:$A$14312=CH$3,ROW($A$3:$A$14312)),ROW(21:21)),2))</f>
        <v/>
      </c>
      <c r="CI23" t="str">
        <f t="array" ref="CI23">IF(ISERROR(INDEX($A$3:$B$14312,SMALL(IF($A$3:$A$14312=CI$3,ROW($A$3:$A$14312)),ROW(21:21)),2)),"",INDEX($A$3:$B$14312,SMALL(IF($A$3:$A$14312=CI$3,ROW($A$3:$A$14312)),ROW(21:21)),2))</f>
        <v/>
      </c>
      <c r="CJ23" t="str">
        <f t="array" ref="CJ23">IF(ISERROR(INDEX($A$3:$B$14312,SMALL(IF($A$3:$A$14312=CJ$3,ROW($A$3:$A$14312)),ROW(21:21)),2)),"",INDEX($A$3:$B$14312,SMALL(IF($A$3:$A$14312=CJ$3,ROW($A$3:$A$14312)),ROW(21:21)),2))</f>
        <v/>
      </c>
      <c r="CK23" t="str">
        <f t="array" ref="CK23">IF(ISERROR(INDEX($A$3:$B$14312,SMALL(IF($A$3:$A$14312=CK$3,ROW($A$3:$A$14312)),ROW(21:21)),2)),"",INDEX($A$3:$B$14312,SMALL(IF($A$3:$A$14312=CK$3,ROW($A$3:$A$14312)),ROW(21:21)),2))</f>
        <v/>
      </c>
      <c r="CL23" t="str">
        <f t="array" ref="CL23">IF(ISERROR(INDEX($A$3:$B$14312,SMALL(IF($A$3:$A$14312=CL$3,ROW($A$3:$A$14312)),ROW(21:21)),2)),"",INDEX($A$3:$B$14312,SMALL(IF($A$3:$A$14312=CL$3,ROW($A$3:$A$14312)),ROW(21:21)),2))</f>
        <v/>
      </c>
      <c r="CM23" t="str">
        <f t="array" ref="CM23">IF(ISERROR(INDEX($A$3:$B$14312,SMALL(IF($A$3:$A$14312=CM$3,ROW($A$3:$A$14312)),ROW(21:21)),2)),"",INDEX($A$3:$B$14312,SMALL(IF($A$3:$A$14312=CM$3,ROW($A$3:$A$14312)),ROW(21:21)),2))</f>
        <v/>
      </c>
      <c r="CN23" t="str">
        <f t="array" ref="CN23">IF(ISERROR(INDEX($A$3:$B$14312,SMALL(IF($A$3:$A$14312=CN$3,ROW($A$3:$A$14312)),ROW(21:21)),2)),"",INDEX($A$3:$B$14312,SMALL(IF($A$3:$A$14312=CN$3,ROW($A$3:$A$14312)),ROW(21:21)),2))</f>
        <v>Router3_78</v>
      </c>
      <c r="CO23" t="str">
        <f t="array" ref="CO23">IF(ISERROR(INDEX($A$3:$B$14312,SMALL(IF($A$3:$A$14312=CO$3,ROW($A$3:$A$14312)),ROW(21:21)),2)),"",INDEX($A$3:$B$14312,SMALL(IF($A$3:$A$14312=CO$3,ROW($A$3:$A$14312)),ROW(21:21)),2))</f>
        <v>Router3_109</v>
      </c>
      <c r="CP23" t="str">
        <f t="array" ref="CP23">IF(ISERROR(INDEX($A$3:$B$14312,SMALL(IF($A$3:$A$14312=CP$3,ROW($A$3:$A$14312)),ROW(21:21)),2)),"",INDEX($A$3:$B$14312,SMALL(IF($A$3:$A$14312=CP$3,ROW($A$3:$A$14312)),ROW(21:21)),2))</f>
        <v/>
      </c>
      <c r="CQ23" t="str">
        <f t="array" ref="CQ23">IF(ISERROR(INDEX($A$3:$B$14312,SMALL(IF($A$3:$A$14312=CQ$3,ROW($A$3:$A$14312)),ROW(21:21)),2)),"",INDEX($A$3:$B$14312,SMALL(IF($A$3:$A$14312=CQ$3,ROW($A$3:$A$14312)),ROW(21:21)),2))</f>
        <v/>
      </c>
      <c r="CR23" t="str">
        <f t="array" ref="CR23">IF(ISERROR(INDEX($A$3:$B$14312,SMALL(IF($A$3:$A$14312=CR$3,ROW($A$3:$A$14312)),ROW(21:21)),2)),"",INDEX($A$3:$B$14312,SMALL(IF($A$3:$A$14312=CR$3,ROW($A$3:$A$14312)),ROW(21:21)),2))</f>
        <v/>
      </c>
      <c r="CS23" t="str">
        <f t="array" ref="CS23">IF(ISERROR(INDEX($A$3:$B$14312,SMALL(IF($A$3:$A$14312=CS$3,ROW($A$3:$A$14312)),ROW(21:21)),2)),"",INDEX($A$3:$B$14312,SMALL(IF($A$3:$A$14312=CS$3,ROW($A$3:$A$14312)),ROW(21:21)),2))</f>
        <v/>
      </c>
      <c r="CT23" t="str">
        <f t="array" ref="CT23">IF(ISERROR(INDEX($A$3:$B$14312,SMALL(IF($A$3:$A$14312=CT$3,ROW($A$3:$A$14312)),ROW(21:21)),2)),"",INDEX($A$3:$B$14312,SMALL(IF($A$3:$A$14312=CT$3,ROW($A$3:$A$14312)),ROW(21:21)),2))</f>
        <v/>
      </c>
      <c r="CU23" t="str">
        <f t="array" ref="CU23">IF(ISERROR(INDEX($A$3:$B$14312,SMALL(IF($A$3:$A$14312=CU$3,ROW($A$3:$A$14312)),ROW(21:21)),2)),"",INDEX($A$3:$B$14312,SMALL(IF($A$3:$A$14312=CU$3,ROW($A$3:$A$14312)),ROW(21:21)),2))</f>
        <v/>
      </c>
      <c r="CV23" t="str">
        <f t="array" ref="CV23">IF(ISERROR(INDEX($A$3:$B$14312,SMALL(IF($A$3:$A$14312=CV$3,ROW($A$3:$A$14312)),ROW(21:21)),2)),"",INDEX($A$3:$B$14312,SMALL(IF($A$3:$A$14312=CV$3,ROW($A$3:$A$14312)),ROW(21:21)),2))</f>
        <v>Router3_13</v>
      </c>
      <c r="CW23" t="str">
        <f t="array" ref="CW23">IF(ISERROR(INDEX($A$3:$B$14312,SMALL(IF($A$3:$A$14312=CW$3,ROW($A$3:$A$14312)),ROW(21:21)),2)),"",INDEX($A$3:$B$14312,SMALL(IF($A$3:$A$14312=CW$3,ROW($A$3:$A$14312)),ROW(21:21)),2))</f>
        <v/>
      </c>
      <c r="CX23" t="str">
        <f t="array" ref="CX23">IF(ISERROR(INDEX($A$3:$B$14312,SMALL(IF($A$3:$A$14312=CX$3,ROW($A$3:$A$14312)),ROW(21:21)),2)),"",INDEX($A$3:$B$14312,SMALL(IF($A$3:$A$14312=CX$3,ROW($A$3:$A$14312)),ROW(21:21)),2))</f>
        <v/>
      </c>
      <c r="CY23" t="str">
        <f t="array" ref="CY23">IF(ISERROR(INDEX($A$3:$B$14312,SMALL(IF($A$3:$A$14312=CY$3,ROW($A$3:$A$14312)),ROW(21:21)),2)),"",INDEX($A$3:$B$14312,SMALL(IF($A$3:$A$14312=CY$3,ROW($A$3:$A$14312)),ROW(21:21)),2))</f>
        <v>Router3_95</v>
      </c>
      <c r="CZ23" t="str">
        <f t="array" ref="CZ23">IF(ISERROR(INDEX($A$3:$B$14312,SMALL(IF($A$3:$A$14312=CZ$3,ROW($A$3:$A$14312)),ROW(21:21)),2)),"",INDEX($A$3:$B$14312,SMALL(IF($A$3:$A$14312=CZ$3,ROW($A$3:$A$14312)),ROW(21:21)),2))</f>
        <v/>
      </c>
      <c r="DA23" t="str">
        <f t="array" ref="DA23">IF(ISERROR(INDEX($A$3:$B$14312,SMALL(IF($A$3:$A$14312=DA$3,ROW($A$3:$A$14312)),ROW(21:21)),2)),"",INDEX($A$3:$B$14312,SMALL(IF($A$3:$A$14312=DA$3,ROW($A$3:$A$14312)),ROW(21:21)),2))</f>
        <v>Router3_151</v>
      </c>
      <c r="DB23" t="str">
        <f t="array" ref="DB23">IF(ISERROR(INDEX($A$3:$B$14312,SMALL(IF($A$3:$A$14312=DB$3,ROW($A$3:$A$14312)),ROW(21:21)),2)),"",INDEX($A$3:$B$14312,SMALL(IF($A$3:$A$14312=DB$3,ROW($A$3:$A$14312)),ROW(21:21)),2))</f>
        <v/>
      </c>
      <c r="DC23" t="str">
        <f t="array" ref="DC23">IF(ISERROR(INDEX($A$3:$B$14312,SMALL(IF($A$3:$A$14312=DC$3,ROW($A$3:$A$14312)),ROW(21:21)),2)),"",INDEX($A$3:$B$14312,SMALL(IF($A$3:$A$14312=DC$3,ROW($A$3:$A$14312)),ROW(21:21)),2))</f>
        <v>Router3_136</v>
      </c>
      <c r="DD23" t="str">
        <f t="array" ref="DD23">IF(ISERROR(INDEX($A$3:$B$14312,SMALL(IF($A$3:$A$14312=DD$3,ROW($A$3:$A$14312)),ROW(21:21)),2)),"",INDEX($A$3:$B$14312,SMALL(IF($A$3:$A$14312=DD$3,ROW($A$3:$A$14312)),ROW(21:21)),2))</f>
        <v/>
      </c>
      <c r="DE23" t="str">
        <f t="array" ref="DE23">IF(ISERROR(INDEX($A$3:$B$14312,SMALL(IF($A$3:$A$14312=DE$3,ROW($A$3:$A$14312)),ROW(21:21)),2)),"",INDEX($A$3:$B$14312,SMALL(IF($A$3:$A$14312=DE$3,ROW($A$3:$A$14312)),ROW(21:21)),2))</f>
        <v/>
      </c>
      <c r="DF23" t="str">
        <f t="array" ref="DF23">IF(ISERROR(INDEX($A$3:$B$14312,SMALL(IF($A$3:$A$14312=DF$3,ROW($A$3:$A$14312)),ROW(21:21)),2)),"",INDEX($A$3:$B$14312,SMALL(IF($A$3:$A$14312=DF$3,ROW($A$3:$A$14312)),ROW(21:21)),2))</f>
        <v/>
      </c>
      <c r="DG23" t="str">
        <f t="array" ref="DG23">IF(ISERROR(INDEX($A$3:$B$14312,SMALL(IF($A$3:$A$14312=DG$3,ROW($A$3:$A$14312)),ROW(21:21)),2)),"",INDEX($A$3:$B$14312,SMALL(IF($A$3:$A$14312=DG$3,ROW($A$3:$A$14312)),ROW(21:21)),2))</f>
        <v>Router3_120</v>
      </c>
      <c r="DH23" t="str">
        <f t="array" ref="DH23">IF(ISERROR(INDEX($A$3:$B$14312,SMALL(IF($A$3:$A$14312=DH$3,ROW($A$3:$A$14312)),ROW(21:21)),2)),"",INDEX($A$3:$B$14312,SMALL(IF($A$3:$A$14312=DH$3,ROW($A$3:$A$14312)),ROW(21:21)),2))</f>
        <v/>
      </c>
      <c r="DI23" t="str">
        <f t="array" ref="DI23">IF(ISERROR(INDEX($A$3:$B$14312,SMALL(IF($A$3:$A$14312=DI$3,ROW($A$3:$A$14312)),ROW(21:21)),2)),"",INDEX($A$3:$B$14312,SMALL(IF($A$3:$A$14312=DI$3,ROW($A$3:$A$14312)),ROW(21:21)),2))</f>
        <v>Router3_87</v>
      </c>
      <c r="DJ23" t="str">
        <f t="array" ref="DJ23">IF(ISERROR(INDEX($A$3:$B$14312,SMALL(IF($A$3:$A$14312=DJ$3,ROW($A$3:$A$14312)),ROW(21:21)),2)),"",INDEX($A$3:$B$14312,SMALL(IF($A$3:$A$14312=DJ$3,ROW($A$3:$A$14312)),ROW(21:21)),2))</f>
        <v>Router3_94</v>
      </c>
      <c r="DK23" t="str">
        <f t="array" ref="DK23">IF(ISERROR(INDEX($A$3:$B$14312,SMALL(IF($A$3:$A$14312=DK$3,ROW($A$3:$A$14312)),ROW(21:21)),2)),"",INDEX($A$3:$B$14312,SMALL(IF($A$3:$A$14312=DK$3,ROW($A$3:$A$14312)),ROW(21:21)),2))</f>
        <v>Router3_121</v>
      </c>
      <c r="DL23" t="str">
        <f t="array" ref="DL23">IF(ISERROR(INDEX($A$3:$B$14312,SMALL(IF($A$3:$A$14312=DL$3,ROW($A$3:$A$14312)),ROW(21:21)),2)),"",INDEX($A$3:$B$14312,SMALL(IF($A$3:$A$14312=DL$3,ROW($A$3:$A$14312)),ROW(21:21)),2))</f>
        <v/>
      </c>
      <c r="DM23" t="str">
        <f t="array" ref="DM23">IF(ISERROR(INDEX($A$3:$B$14312,SMALL(IF($A$3:$A$14312=DM$3,ROW($A$3:$A$14312)),ROW(21:21)),2)),"",INDEX($A$3:$B$14312,SMALL(IF($A$3:$A$14312=DM$3,ROW($A$3:$A$14312)),ROW(21:21)),2))</f>
        <v/>
      </c>
      <c r="DN23" t="str">
        <f t="array" ref="DN23">IF(ISERROR(INDEX($A$3:$B$14312,SMALL(IF($A$3:$A$14312=DN$3,ROW($A$3:$A$14312)),ROW(21:21)),2)),"",INDEX($A$3:$B$14312,SMALL(IF($A$3:$A$14312=DN$3,ROW($A$3:$A$14312)),ROW(21:21)),2))</f>
        <v/>
      </c>
      <c r="DO23" t="str">
        <f t="array" ref="DO23">IF(ISERROR(INDEX($A$3:$B$14312,SMALL(IF($A$3:$A$14312=DO$3,ROW($A$3:$A$14312)),ROW(21:21)),2)),"",INDEX($A$3:$B$14312,SMALL(IF($A$3:$A$14312=DO$3,ROW($A$3:$A$14312)),ROW(21:21)),2))</f>
        <v/>
      </c>
      <c r="DP23" t="str">
        <f t="array" ref="DP23">IF(ISERROR(INDEX($A$3:$B$14312,SMALL(IF($A$3:$A$14312=DP$3,ROW($A$3:$A$14312)),ROW(21:21)),2)),"",INDEX($A$3:$B$14312,SMALL(IF($A$3:$A$14312=DP$3,ROW($A$3:$A$14312)),ROW(21:21)),2))</f>
        <v/>
      </c>
      <c r="DQ23" t="str">
        <f t="array" ref="DQ23">IF(ISERROR(INDEX($A$3:$B$14312,SMALL(IF($A$3:$A$14312=DQ$3,ROW($A$3:$A$14312)),ROW(21:21)),2)),"",INDEX($A$3:$B$14312,SMALL(IF($A$3:$A$14312=DQ$3,ROW($A$3:$A$14312)),ROW(21:21)),2))</f>
        <v/>
      </c>
      <c r="DR23" t="str">
        <f t="array" ref="DR23">IF(ISERROR(INDEX($A$3:$B$14312,SMALL(IF($A$3:$A$14312=DR$3,ROW($A$3:$A$14312)),ROW(21:21)),2)),"",INDEX($A$3:$B$14312,SMALL(IF($A$3:$A$14312=DR$3,ROW($A$3:$A$14312)),ROW(21:21)),2))</f>
        <v>Router3_23</v>
      </c>
      <c r="DS23" t="str">
        <f t="array" ref="DS23">IF(ISERROR(INDEX($A$3:$B$14312,SMALL(IF($A$3:$A$14312=DS$3,ROW($A$3:$A$14312)),ROW(21:21)),2)),"",INDEX($A$3:$B$14312,SMALL(IF($A$3:$A$14312=DS$3,ROW($A$3:$A$14312)),ROW(21:21)),2))</f>
        <v/>
      </c>
      <c r="DT23" t="str">
        <f t="array" ref="DT23">IF(ISERROR(INDEX($A$3:$B$14312,SMALL(IF($A$3:$A$14312=DT$3,ROW($A$3:$A$14312)),ROW(21:21)),2)),"",INDEX($A$3:$B$14312,SMALL(IF($A$3:$A$14312=DT$3,ROW($A$3:$A$14312)),ROW(21:21)),2))</f>
        <v>Router3_87</v>
      </c>
      <c r="DU23" t="str">
        <f t="array" ref="DU23">IF(ISERROR(INDEX($A$3:$B$14312,SMALL(IF($A$3:$A$14312=DU$3,ROW($A$3:$A$14312)),ROW(21:21)),2)),"",INDEX($A$3:$B$14312,SMALL(IF($A$3:$A$14312=DU$3,ROW($A$3:$A$14312)),ROW(21:21)),2))</f>
        <v>Router3_139</v>
      </c>
      <c r="DV23" t="str">
        <f t="array" ref="DV23">IF(ISERROR(INDEX($A$3:$B$14312,SMALL(IF($A$3:$A$14312=DV$3,ROW($A$3:$A$14312)),ROW(21:21)),2)),"",INDEX($A$3:$B$14312,SMALL(IF($A$3:$A$14312=DV$3,ROW($A$3:$A$14312)),ROW(21:21)),2))</f>
        <v/>
      </c>
      <c r="DW23" t="str">
        <f t="array" ref="DW23">IF(ISERROR(INDEX($A$3:$B$14312,SMALL(IF($A$3:$A$14312=DW$3,ROW($A$3:$A$14312)),ROW(21:21)),2)),"",INDEX($A$3:$B$14312,SMALL(IF($A$3:$A$14312=DW$3,ROW($A$3:$A$14312)),ROW(21:21)),2))</f>
        <v/>
      </c>
      <c r="DX23" t="str">
        <f t="array" ref="DX23">IF(ISERROR(INDEX($A$3:$B$14312,SMALL(IF($A$3:$A$14312=DX$3,ROW($A$3:$A$14312)),ROW(21:21)),2)),"",INDEX($A$3:$B$14312,SMALL(IF($A$3:$A$14312=DX$3,ROW($A$3:$A$14312)),ROW(21:21)),2))</f>
        <v/>
      </c>
      <c r="DY23" t="str">
        <f t="array" ref="DY23">IF(ISERROR(INDEX($A$3:$B$14312,SMALL(IF($A$3:$A$14312=DY$3,ROW($A$3:$A$14312)),ROW(21:21)),2)),"",INDEX($A$3:$B$14312,SMALL(IF($A$3:$A$14312=DY$3,ROW($A$3:$A$14312)),ROW(21:21)),2))</f>
        <v/>
      </c>
      <c r="DZ23" t="str">
        <f t="array" ref="DZ23">IF(ISERROR(INDEX($A$3:$B$14312,SMALL(IF($A$3:$A$14312=DZ$3,ROW($A$3:$A$14312)),ROW(21:21)),2)),"",INDEX($A$3:$B$14312,SMALL(IF($A$3:$A$14312=DZ$3,ROW($A$3:$A$14312)),ROW(21:21)),2))</f>
        <v/>
      </c>
      <c r="EA23" t="str">
        <f t="array" ref="EA23">IF(ISERROR(INDEX($A$3:$B$14312,SMALL(IF($A$3:$A$14312=EA$3,ROW($A$3:$A$14312)),ROW(21:21)),2)),"",INDEX($A$3:$B$14312,SMALL(IF($A$3:$A$14312=EA$3,ROW($A$3:$A$14312)),ROW(21:21)),2))</f>
        <v>Router3_139</v>
      </c>
      <c r="EB23" t="str">
        <f t="array" ref="EB23">IF(ISERROR(INDEX($A$3:$B$14312,SMALL(IF($A$3:$A$14312=EB$3,ROW($A$3:$A$14312)),ROW(21:21)),2)),"",INDEX($A$3:$B$14312,SMALL(IF($A$3:$A$14312=EB$3,ROW($A$3:$A$14312)),ROW(21:21)),2))</f>
        <v/>
      </c>
      <c r="EC23" t="str">
        <f t="array" ref="EC23">IF(ISERROR(INDEX($A$3:$B$14312,SMALL(IF($A$3:$A$14312=EC$3,ROW($A$3:$A$14312)),ROW(21:21)),2)),"",INDEX($A$3:$B$14312,SMALL(IF($A$3:$A$14312=EC$3,ROW($A$3:$A$14312)),ROW(21:21)),2))</f>
        <v>Router3_117</v>
      </c>
      <c r="ED23" t="str">
        <f t="array" ref="ED23">IF(ISERROR(INDEX($A$3:$B$14312,SMALL(IF($A$3:$A$14312=ED$3,ROW($A$3:$A$14312)),ROW(21:21)),2)),"",INDEX($A$3:$B$14312,SMALL(IF($A$3:$A$14312=ED$3,ROW($A$3:$A$14312)),ROW(21:21)),2))</f>
        <v>Router3_143</v>
      </c>
      <c r="EE23" t="str">
        <f t="array" ref="EE23">IF(ISERROR(INDEX($A$3:$B$14312,SMALL(IF($A$3:$A$14312=EE$3,ROW($A$3:$A$14312)),ROW(21:21)),2)),"",INDEX($A$3:$B$14312,SMALL(IF($A$3:$A$14312=EE$3,ROW($A$3:$A$14312)),ROW(21:21)),2))</f>
        <v>Router3_161</v>
      </c>
    </row>
    <row r="24" spans="1:135" x14ac:dyDescent="0.25">
      <c r="A24" s="10">
        <v>-450827382</v>
      </c>
      <c r="B24" t="s">
        <v>1101</v>
      </c>
      <c r="E24" t="str">
        <f t="array" ref="E24">IF(ISERROR(INDEX($A$3:$B$14312,SMALL(IF($A$3:$A$14312=E$3,ROW($A$3:$A$14312)),ROW(22:22)),2)),"",INDEX($A$3:$B$14312,SMALL(IF($A$3:$A$14312=E$3,ROW($A$3:$A$14312)),ROW(22:22)),2))</f>
        <v>Router3_79</v>
      </c>
      <c r="F24" t="str">
        <f t="array" ref="F24">IF(ISERROR(INDEX($A$3:$B$14312,SMALL(IF($A$3:$A$14312=F$3,ROW($A$3:$A$14312)),ROW(22:22)),2)),"",INDEX($A$3:$B$14312,SMALL(IF($A$3:$A$14312=F$3,ROW($A$3:$A$14312)),ROW(22:22)),2))</f>
        <v>Router3_81</v>
      </c>
      <c r="G24" t="str">
        <f t="array" ref="G24">IF(ISERROR(INDEX($A$3:$B$14312,SMALL(IF($A$3:$A$14312=G$3,ROW($A$3:$A$14312)),ROW(22:22)),2)),"",INDEX($A$3:$B$14312,SMALL(IF($A$3:$A$14312=G$3,ROW($A$3:$A$14312)),ROW(22:22)),2))</f>
        <v/>
      </c>
      <c r="H24" t="str">
        <f t="array" ref="H24">IF(ISERROR(INDEX($A$3:$B$14312,SMALL(IF($A$3:$A$14312=H$3,ROW($A$3:$A$14312)),ROW(22:22)),2)),"",INDEX($A$3:$B$14312,SMALL(IF($A$3:$A$14312=H$3,ROW($A$3:$A$14312)),ROW(22:22)),2))</f>
        <v/>
      </c>
      <c r="I24" t="str">
        <f t="array" ref="I24">IF(ISERROR(INDEX($A$3:$B$14312,SMALL(IF($A$3:$A$14312=I$3,ROW($A$3:$A$14312)),ROW(22:22)),2)),"",INDEX($A$3:$B$14312,SMALL(IF($A$3:$A$14312=I$3,ROW($A$3:$A$14312)),ROW(22:22)),2))</f>
        <v/>
      </c>
      <c r="J24" t="str">
        <f t="array" ref="J24">IF(ISERROR(INDEX($A$3:$B$14312,SMALL(IF($A$3:$A$14312=J$3,ROW($A$3:$A$14312)),ROW(22:22)),2)),"",INDEX($A$3:$B$14312,SMALL(IF($A$3:$A$14312=J$3,ROW($A$3:$A$14312)),ROW(22:22)),2))</f>
        <v>Router3_152</v>
      </c>
      <c r="K24" t="str">
        <f t="array" ref="K24">IF(ISERROR(INDEX($A$3:$B$14312,SMALL(IF($A$3:$A$14312=K$3,ROW($A$3:$A$14312)),ROW(22:22)),2)),"",INDEX($A$3:$B$14312,SMALL(IF($A$3:$A$14312=K$3,ROW($A$3:$A$14312)),ROW(22:22)),2))</f>
        <v/>
      </c>
      <c r="L24" t="str">
        <f t="array" ref="L24">IF(ISERROR(INDEX($A$3:$B$14312,SMALL(IF($A$3:$A$14312=L$3,ROW($A$3:$A$14312)),ROW(22:22)),2)),"",INDEX($A$3:$B$14312,SMALL(IF($A$3:$A$14312=L$3,ROW($A$3:$A$14312)),ROW(22:22)),2))</f>
        <v/>
      </c>
      <c r="M24" t="str">
        <f t="array" ref="M24">IF(ISERROR(INDEX($A$3:$B$14312,SMALL(IF($A$3:$A$14312=M$3,ROW($A$3:$A$14312)),ROW(22:22)),2)),"",INDEX($A$3:$B$14312,SMALL(IF($A$3:$A$14312=M$3,ROW($A$3:$A$14312)),ROW(22:22)),2))</f>
        <v/>
      </c>
      <c r="N24" t="str">
        <f t="array" ref="N24">IF(ISERROR(INDEX($A$3:$B$14312,SMALL(IF($A$3:$A$14312=N$3,ROW($A$3:$A$14312)),ROW(22:22)),2)),"",INDEX($A$3:$B$14312,SMALL(IF($A$3:$A$14312=N$3,ROW($A$3:$A$14312)),ROW(22:22)),2))</f>
        <v/>
      </c>
      <c r="O24" t="str">
        <f t="array" ref="O24">IF(ISERROR(INDEX($A$3:$B$14312,SMALL(IF($A$3:$A$14312=O$3,ROW($A$3:$A$14312)),ROW(22:22)),2)),"",INDEX($A$3:$B$14312,SMALL(IF($A$3:$A$14312=O$3,ROW($A$3:$A$14312)),ROW(22:22)),2))</f>
        <v/>
      </c>
      <c r="P24" t="str">
        <f t="array" ref="P24">IF(ISERROR(INDEX($A$3:$B$14312,SMALL(IF($A$3:$A$14312=P$3,ROW($A$3:$A$14312)),ROW(22:22)),2)),"",INDEX($A$3:$B$14312,SMALL(IF($A$3:$A$14312=P$3,ROW($A$3:$A$14312)),ROW(22:22)),2))</f>
        <v/>
      </c>
      <c r="Q24" t="str">
        <f t="array" ref="Q24">IF(ISERROR(INDEX($A$3:$B$14312,SMALL(IF($A$3:$A$14312=Q$3,ROW($A$3:$A$14312)),ROW(22:22)),2)),"",INDEX($A$3:$B$14312,SMALL(IF($A$3:$A$14312=Q$3,ROW($A$3:$A$14312)),ROW(22:22)),2))</f>
        <v/>
      </c>
      <c r="R24" t="str">
        <f t="array" ref="R24">IF(ISERROR(INDEX($A$3:$B$14312,SMALL(IF($A$3:$A$14312=R$3,ROW($A$3:$A$14312)),ROW(22:22)),2)),"",INDEX($A$3:$B$14312,SMALL(IF($A$3:$A$14312=R$3,ROW($A$3:$A$14312)),ROW(22:22)),2))</f>
        <v/>
      </c>
      <c r="S24" t="str">
        <f t="array" ref="S24">IF(ISERROR(INDEX($A$3:$B$14312,SMALL(IF($A$3:$A$14312=S$3,ROW($A$3:$A$14312)),ROW(22:22)),2)),"",INDEX($A$3:$B$14312,SMALL(IF($A$3:$A$14312=S$3,ROW($A$3:$A$14312)),ROW(22:22)),2))</f>
        <v/>
      </c>
      <c r="T24" t="str">
        <f t="array" ref="T24">IF(ISERROR(INDEX($A$3:$B$14312,SMALL(IF($A$3:$A$14312=T$3,ROW($A$3:$A$14312)),ROW(22:22)),2)),"",INDEX($A$3:$B$14312,SMALL(IF($A$3:$A$14312=T$3,ROW($A$3:$A$14312)),ROW(22:22)),2))</f>
        <v/>
      </c>
      <c r="U24" t="str">
        <f t="array" ref="U24">IF(ISERROR(INDEX($A$3:$B$14312,SMALL(IF($A$3:$A$14312=U$3,ROW($A$3:$A$14312)),ROW(22:22)),2)),"",INDEX($A$3:$B$14312,SMALL(IF($A$3:$A$14312=U$3,ROW($A$3:$A$14312)),ROW(22:22)),2))</f>
        <v>Router3_44</v>
      </c>
      <c r="V24" t="str">
        <f t="array" ref="V24">IF(ISERROR(INDEX($A$3:$B$14312,SMALL(IF($A$3:$A$14312=V$3,ROW($A$3:$A$14312)),ROW(22:22)),2)),"",INDEX($A$3:$B$14312,SMALL(IF($A$3:$A$14312=V$3,ROW($A$3:$A$14312)),ROW(22:22)),2))</f>
        <v/>
      </c>
      <c r="W24" t="str">
        <f t="array" ref="W24">IF(ISERROR(INDEX($A$3:$B$14312,SMALL(IF($A$3:$A$14312=W$3,ROW($A$3:$A$14312)),ROW(22:22)),2)),"",INDEX($A$3:$B$14312,SMALL(IF($A$3:$A$14312=W$3,ROW($A$3:$A$14312)),ROW(22:22)),2))</f>
        <v>Router3_117</v>
      </c>
      <c r="X24" t="str">
        <f t="array" ref="X24">IF(ISERROR(INDEX($A$3:$B$14312,SMALL(IF($A$3:$A$14312=X$3,ROW($A$3:$A$14312)),ROW(22:22)),2)),"",INDEX($A$3:$B$14312,SMALL(IF($A$3:$A$14312=X$3,ROW($A$3:$A$14312)),ROW(22:22)),2))</f>
        <v/>
      </c>
      <c r="Y24" t="str">
        <f t="array" ref="Y24">IF(ISERROR(INDEX($A$3:$B$14312,SMALL(IF($A$3:$A$14312=Y$3,ROW($A$3:$A$14312)),ROW(22:22)),2)),"",INDEX($A$3:$B$14312,SMALL(IF($A$3:$A$14312=Y$3,ROW($A$3:$A$14312)),ROW(22:22)),2))</f>
        <v/>
      </c>
      <c r="Z24" t="str">
        <f t="array" ref="Z24">IF(ISERROR(INDEX($A$3:$B$14312,SMALL(IF($A$3:$A$14312=Z$3,ROW($A$3:$A$14312)),ROW(22:22)),2)),"",INDEX($A$3:$B$14312,SMALL(IF($A$3:$A$14312=Z$3,ROW($A$3:$A$14312)),ROW(22:22)),2))</f>
        <v/>
      </c>
      <c r="AA24" t="str">
        <f t="array" ref="AA24">IF(ISERROR(INDEX($A$3:$B$14312,SMALL(IF($A$3:$A$14312=AA$3,ROW($A$3:$A$14312)),ROW(22:22)),2)),"",INDEX($A$3:$B$14312,SMALL(IF($A$3:$A$14312=AA$3,ROW($A$3:$A$14312)),ROW(22:22)),2))</f>
        <v/>
      </c>
      <c r="AB24" t="str">
        <f t="array" ref="AB24">IF(ISERROR(INDEX($A$3:$B$14312,SMALL(IF($A$3:$A$14312=AB$3,ROW($A$3:$A$14312)),ROW(22:22)),2)),"",INDEX($A$3:$B$14312,SMALL(IF($A$3:$A$14312=AB$3,ROW($A$3:$A$14312)),ROW(22:22)),2))</f>
        <v/>
      </c>
      <c r="AC24" t="str">
        <f t="array" ref="AC24">IF(ISERROR(INDEX($A$3:$B$14312,SMALL(IF($A$3:$A$14312=AC$3,ROW($A$3:$A$14312)),ROW(22:22)),2)),"",INDEX($A$3:$B$14312,SMALL(IF($A$3:$A$14312=AC$3,ROW($A$3:$A$14312)),ROW(22:22)),2))</f>
        <v/>
      </c>
      <c r="AD24" t="str">
        <f t="array" ref="AD24">IF(ISERROR(INDEX($A$3:$B$14312,SMALL(IF($A$3:$A$14312=AD$3,ROW($A$3:$A$14312)),ROW(22:22)),2)),"",INDEX($A$3:$B$14312,SMALL(IF($A$3:$A$14312=AD$3,ROW($A$3:$A$14312)),ROW(22:22)),2))</f>
        <v/>
      </c>
      <c r="AE24" t="str">
        <f t="array" ref="AE24">IF(ISERROR(INDEX($A$3:$B$14312,SMALL(IF($A$3:$A$14312=AE$3,ROW($A$3:$A$14312)),ROW(22:22)),2)),"",INDEX($A$3:$B$14312,SMALL(IF($A$3:$A$14312=AE$3,ROW($A$3:$A$14312)),ROW(22:22)),2))</f>
        <v/>
      </c>
      <c r="AF24" t="str">
        <f t="array" ref="AF24">IF(ISERROR(INDEX($A$3:$B$14312,SMALL(IF($A$3:$A$14312=AF$3,ROW($A$3:$A$14312)),ROW(22:22)),2)),"",INDEX($A$3:$B$14312,SMALL(IF($A$3:$A$14312=AF$3,ROW($A$3:$A$14312)),ROW(22:22)),2))</f>
        <v>Router3_106</v>
      </c>
      <c r="AG24" t="str">
        <f t="array" ref="AG24">IF(ISERROR(INDEX($A$3:$B$14312,SMALL(IF($A$3:$A$14312=AG$3,ROW($A$3:$A$14312)),ROW(22:22)),2)),"",INDEX($A$3:$B$14312,SMALL(IF($A$3:$A$14312=AG$3,ROW($A$3:$A$14312)),ROW(22:22)),2))</f>
        <v>Router3_99</v>
      </c>
      <c r="AH24" t="str">
        <f t="array" ref="AH24">IF(ISERROR(INDEX($A$3:$B$14312,SMALL(IF($A$3:$A$14312=AH$3,ROW($A$3:$A$14312)),ROW(22:22)),2)),"",INDEX($A$3:$B$14312,SMALL(IF($A$3:$A$14312=AH$3,ROW($A$3:$A$14312)),ROW(22:22)),2))</f>
        <v/>
      </c>
      <c r="AI24" t="str">
        <f t="array" ref="AI24">IF(ISERROR(INDEX($A$3:$B$14312,SMALL(IF($A$3:$A$14312=AI$3,ROW($A$3:$A$14312)),ROW(22:22)),2)),"",INDEX($A$3:$B$14312,SMALL(IF($A$3:$A$14312=AI$3,ROW($A$3:$A$14312)),ROW(22:22)),2))</f>
        <v>Router3_21</v>
      </c>
      <c r="AJ24" t="str">
        <f t="array" ref="AJ24">IF(ISERROR(INDEX($A$3:$B$14312,SMALL(IF($A$3:$A$14312=AJ$3,ROW($A$3:$A$14312)),ROW(22:22)),2)),"",INDEX($A$3:$B$14312,SMALL(IF($A$3:$A$14312=AJ$3,ROW($A$3:$A$14312)),ROW(22:22)),2))</f>
        <v/>
      </c>
      <c r="AK24" t="str">
        <f t="array" ref="AK24">IF(ISERROR(INDEX($A$3:$B$14312,SMALL(IF($A$3:$A$14312=AK$3,ROW($A$3:$A$14312)),ROW(22:22)),2)),"",INDEX($A$3:$B$14312,SMALL(IF($A$3:$A$14312=AK$3,ROW($A$3:$A$14312)),ROW(22:22)),2))</f>
        <v/>
      </c>
      <c r="AL24" t="str">
        <f t="array" ref="AL24">IF(ISERROR(INDEX($A$3:$B$14312,SMALL(IF($A$3:$A$14312=AL$3,ROW($A$3:$A$14312)),ROW(22:22)),2)),"",INDEX($A$3:$B$14312,SMALL(IF($A$3:$A$14312=AL$3,ROW($A$3:$A$14312)),ROW(22:22)),2))</f>
        <v>Router3_165</v>
      </c>
      <c r="AM24" t="str">
        <f t="array" ref="AM24">IF(ISERROR(INDEX($A$3:$B$14312,SMALL(IF($A$3:$A$14312=AM$3,ROW($A$3:$A$14312)),ROW(22:22)),2)),"",INDEX($A$3:$B$14312,SMALL(IF($A$3:$A$14312=AM$3,ROW($A$3:$A$14312)),ROW(22:22)),2))</f>
        <v>Router3_143</v>
      </c>
      <c r="AN24" t="str">
        <f t="array" ref="AN24">IF(ISERROR(INDEX($A$3:$B$14312,SMALL(IF($A$3:$A$14312=AN$3,ROW($A$3:$A$14312)),ROW(22:22)),2)),"",INDEX($A$3:$B$14312,SMALL(IF($A$3:$A$14312=AN$3,ROW($A$3:$A$14312)),ROW(22:22)),2))</f>
        <v/>
      </c>
      <c r="AO24" t="str">
        <f t="array" ref="AO24">IF(ISERROR(INDEX($A$3:$B$14312,SMALL(IF($A$3:$A$14312=AO$3,ROW($A$3:$A$14312)),ROW(22:22)),2)),"",INDEX($A$3:$B$14312,SMALL(IF($A$3:$A$14312=AO$3,ROW($A$3:$A$14312)),ROW(22:22)),2))</f>
        <v/>
      </c>
      <c r="AP24" t="str">
        <f t="array" ref="AP24">IF(ISERROR(INDEX($A$3:$B$14312,SMALL(IF($A$3:$A$14312=AP$3,ROW($A$3:$A$14312)),ROW(22:22)),2)),"",INDEX($A$3:$B$14312,SMALL(IF($A$3:$A$14312=AP$3,ROW($A$3:$A$14312)),ROW(22:22)),2))</f>
        <v>Router3_24</v>
      </c>
      <c r="AQ24" t="str">
        <f t="array" ref="AQ24">IF(ISERROR(INDEX($A$3:$B$14312,SMALL(IF($A$3:$A$14312=AQ$3,ROW($A$3:$A$14312)),ROW(22:22)),2)),"",INDEX($A$3:$B$14312,SMALL(IF($A$3:$A$14312=AQ$3,ROW($A$3:$A$14312)),ROW(22:22)),2))</f>
        <v/>
      </c>
      <c r="AR24" t="str">
        <f t="array" ref="AR24">IF(ISERROR(INDEX($A$3:$B$14312,SMALL(IF($A$3:$A$14312=AR$3,ROW($A$3:$A$14312)),ROW(22:22)),2)),"",INDEX($A$3:$B$14312,SMALL(IF($A$3:$A$14312=AR$3,ROW($A$3:$A$14312)),ROW(22:22)),2))</f>
        <v/>
      </c>
      <c r="AS24" t="str">
        <f t="array" ref="AS24">IF(ISERROR(INDEX($A$3:$B$14312,SMALL(IF($A$3:$A$14312=AS$3,ROW($A$3:$A$14312)),ROW(22:22)),2)),"",INDEX($A$3:$B$14312,SMALL(IF($A$3:$A$14312=AS$3,ROW($A$3:$A$14312)),ROW(22:22)),2))</f>
        <v>Router3_94</v>
      </c>
      <c r="AT24" t="str">
        <f t="array" ref="AT24">IF(ISERROR(INDEX($A$3:$B$14312,SMALL(IF($A$3:$A$14312=AT$3,ROW($A$3:$A$14312)),ROW(22:22)),2)),"",INDEX($A$3:$B$14312,SMALL(IF($A$3:$A$14312=AT$3,ROW($A$3:$A$14312)),ROW(22:22)),2))</f>
        <v/>
      </c>
      <c r="AU24" t="str">
        <f t="array" ref="AU24">IF(ISERROR(INDEX($A$3:$B$14312,SMALL(IF($A$3:$A$14312=AU$3,ROW($A$3:$A$14312)),ROW(22:22)),2)),"",INDEX($A$3:$B$14312,SMALL(IF($A$3:$A$14312=AU$3,ROW($A$3:$A$14312)),ROW(22:22)),2))</f>
        <v>Router3_121</v>
      </c>
      <c r="AV24" t="str">
        <f t="array" ref="AV24">IF(ISERROR(INDEX($A$3:$B$14312,SMALL(IF($A$3:$A$14312=AV$3,ROW($A$3:$A$14312)),ROW(22:22)),2)),"",INDEX($A$3:$B$14312,SMALL(IF($A$3:$A$14312=AV$3,ROW($A$3:$A$14312)),ROW(22:22)),2))</f>
        <v/>
      </c>
      <c r="AW24" t="str">
        <f t="array" ref="AW24">IF(ISERROR(INDEX($A$3:$B$14312,SMALL(IF($A$3:$A$14312=AW$3,ROW($A$3:$A$14312)),ROW(22:22)),2)),"",INDEX($A$3:$B$14312,SMALL(IF($A$3:$A$14312=AW$3,ROW($A$3:$A$14312)),ROW(22:22)),2))</f>
        <v/>
      </c>
      <c r="AX24" t="str">
        <f t="array" ref="AX24">IF(ISERROR(INDEX($A$3:$B$14312,SMALL(IF($A$3:$A$14312=AX$3,ROW($A$3:$A$14312)),ROW(22:22)),2)),"",INDEX($A$3:$B$14312,SMALL(IF($A$3:$A$14312=AX$3,ROW($A$3:$A$14312)),ROW(22:22)),2))</f>
        <v/>
      </c>
      <c r="AY24" t="str">
        <f t="array" ref="AY24">IF(ISERROR(INDEX($A$3:$B$14312,SMALL(IF($A$3:$A$14312=AY$3,ROW($A$3:$A$14312)),ROW(22:22)),2)),"",INDEX($A$3:$B$14312,SMALL(IF($A$3:$A$14312=AY$3,ROW($A$3:$A$14312)),ROW(22:22)),2))</f>
        <v>Router3_144</v>
      </c>
      <c r="AZ24" t="str">
        <f t="array" ref="AZ24">IF(ISERROR(INDEX($A$3:$B$14312,SMALL(IF($A$3:$A$14312=AZ$3,ROW($A$3:$A$14312)),ROW(22:22)),2)),"",INDEX($A$3:$B$14312,SMALL(IF($A$3:$A$14312=AZ$3,ROW($A$3:$A$14312)),ROW(22:22)),2))</f>
        <v/>
      </c>
      <c r="BA24" t="str">
        <f t="array" ref="BA24">IF(ISERROR(INDEX($A$3:$B$14312,SMALL(IF($A$3:$A$14312=BA$3,ROW($A$3:$A$14312)),ROW(22:22)),2)),"",INDEX($A$3:$B$14312,SMALL(IF($A$3:$A$14312=BA$3,ROW($A$3:$A$14312)),ROW(22:22)),2))</f>
        <v/>
      </c>
      <c r="BB24" t="str">
        <f t="array" ref="BB24">IF(ISERROR(INDEX($A$3:$B$14312,SMALL(IF($A$3:$A$14312=BB$3,ROW($A$3:$A$14312)),ROW(22:22)),2)),"",INDEX($A$3:$B$14312,SMALL(IF($A$3:$A$14312=BB$3,ROW($A$3:$A$14312)),ROW(22:22)),2))</f>
        <v/>
      </c>
      <c r="BC24" t="str">
        <f t="array" ref="BC24">IF(ISERROR(INDEX($A$3:$B$14312,SMALL(IF($A$3:$A$14312=BC$3,ROW($A$3:$A$14312)),ROW(22:22)),2)),"",INDEX($A$3:$B$14312,SMALL(IF($A$3:$A$14312=BC$3,ROW($A$3:$A$14312)),ROW(22:22)),2))</f>
        <v/>
      </c>
      <c r="BD24" t="str">
        <f t="array" ref="BD24">IF(ISERROR(INDEX($A$3:$B$14312,SMALL(IF($A$3:$A$14312=BD$3,ROW($A$3:$A$14312)),ROW(22:22)),2)),"",INDEX($A$3:$B$14312,SMALL(IF($A$3:$A$14312=BD$3,ROW($A$3:$A$14312)),ROW(22:22)),2))</f>
        <v/>
      </c>
      <c r="BE24" t="str">
        <f t="array" ref="BE24">IF(ISERROR(INDEX($A$3:$B$14312,SMALL(IF($A$3:$A$14312=BE$3,ROW($A$3:$A$14312)),ROW(22:22)),2)),"",INDEX($A$3:$B$14312,SMALL(IF($A$3:$A$14312=BE$3,ROW($A$3:$A$14312)),ROW(22:22)),2))</f>
        <v/>
      </c>
      <c r="BF24" t="str">
        <f t="array" ref="BF24">IF(ISERROR(INDEX($A$3:$B$14312,SMALL(IF($A$3:$A$14312=BF$3,ROW($A$3:$A$14312)),ROW(22:22)),2)),"",INDEX($A$3:$B$14312,SMALL(IF($A$3:$A$14312=BF$3,ROW($A$3:$A$14312)),ROW(22:22)),2))</f>
        <v/>
      </c>
      <c r="BG24" t="str">
        <f t="array" ref="BG24">IF(ISERROR(INDEX($A$3:$B$14312,SMALL(IF($A$3:$A$14312=BG$3,ROW($A$3:$A$14312)),ROW(22:22)),2)),"",INDEX($A$3:$B$14312,SMALL(IF($A$3:$A$14312=BG$3,ROW($A$3:$A$14312)),ROW(22:22)),2))</f>
        <v/>
      </c>
      <c r="BH24" t="str">
        <f t="array" ref="BH24">IF(ISERROR(INDEX($A$3:$B$14312,SMALL(IF($A$3:$A$14312=BH$3,ROW($A$3:$A$14312)),ROW(22:22)),2)),"",INDEX($A$3:$B$14312,SMALL(IF($A$3:$A$14312=BH$3,ROW($A$3:$A$14312)),ROW(22:22)),2))</f>
        <v/>
      </c>
      <c r="BI24" t="str">
        <f t="array" ref="BI24">IF(ISERROR(INDEX($A$3:$B$14312,SMALL(IF($A$3:$A$14312=BI$3,ROW($A$3:$A$14312)),ROW(22:22)),2)),"",INDEX($A$3:$B$14312,SMALL(IF($A$3:$A$14312=BI$3,ROW($A$3:$A$14312)),ROW(22:22)),2))</f>
        <v/>
      </c>
      <c r="BJ24" t="str">
        <f t="array" ref="BJ24">IF(ISERROR(INDEX($A$3:$B$14312,SMALL(IF($A$3:$A$14312=BJ$3,ROW($A$3:$A$14312)),ROW(22:22)),2)),"",INDEX($A$3:$B$14312,SMALL(IF($A$3:$A$14312=BJ$3,ROW($A$3:$A$14312)),ROW(22:22)),2))</f>
        <v/>
      </c>
      <c r="BK24" t="str">
        <f t="array" ref="BK24">IF(ISERROR(INDEX($A$3:$B$14312,SMALL(IF($A$3:$A$14312=BK$3,ROW($A$3:$A$14312)),ROW(22:22)),2)),"",INDEX($A$3:$B$14312,SMALL(IF($A$3:$A$14312=BK$3,ROW($A$3:$A$14312)),ROW(22:22)),2))</f>
        <v/>
      </c>
      <c r="BL24" t="str">
        <f t="array" ref="BL24">IF(ISERROR(INDEX($A$3:$B$14312,SMALL(IF($A$3:$A$14312=BL$3,ROW($A$3:$A$14312)),ROW(22:22)),2)),"",INDEX($A$3:$B$14312,SMALL(IF($A$3:$A$14312=BL$3,ROW($A$3:$A$14312)),ROW(22:22)),2))</f>
        <v/>
      </c>
      <c r="BM24" t="str">
        <f t="array" ref="BM24">IF(ISERROR(INDEX($A$3:$B$14312,SMALL(IF($A$3:$A$14312=BM$3,ROW($A$3:$A$14312)),ROW(22:22)),2)),"",INDEX($A$3:$B$14312,SMALL(IF($A$3:$A$14312=BM$3,ROW($A$3:$A$14312)),ROW(22:22)),2))</f>
        <v/>
      </c>
      <c r="BN24" t="str">
        <f t="array" ref="BN24">IF(ISERROR(INDEX($A$3:$B$14312,SMALL(IF($A$3:$A$14312=BN$3,ROW($A$3:$A$14312)),ROW(22:22)),2)),"",INDEX($A$3:$B$14312,SMALL(IF($A$3:$A$14312=BN$3,ROW($A$3:$A$14312)),ROW(22:22)),2))</f>
        <v/>
      </c>
      <c r="BO24" t="str">
        <f t="array" ref="BO24">IF(ISERROR(INDEX($A$3:$B$14312,SMALL(IF($A$3:$A$14312=BO$3,ROW($A$3:$A$14312)),ROW(22:22)),2)),"",INDEX($A$3:$B$14312,SMALL(IF($A$3:$A$14312=BO$3,ROW($A$3:$A$14312)),ROW(22:22)),2))</f>
        <v/>
      </c>
      <c r="BP24" t="str">
        <f t="array" ref="BP24">IF(ISERROR(INDEX($A$3:$B$14312,SMALL(IF($A$3:$A$14312=BP$3,ROW($A$3:$A$14312)),ROW(22:22)),2)),"",INDEX($A$3:$B$14312,SMALL(IF($A$3:$A$14312=BP$3,ROW($A$3:$A$14312)),ROW(22:22)),2))</f>
        <v/>
      </c>
      <c r="BQ24" t="str">
        <f t="array" ref="BQ24">IF(ISERROR(INDEX($A$3:$B$14312,SMALL(IF($A$3:$A$14312=BQ$3,ROW($A$3:$A$14312)),ROW(22:22)),2)),"",INDEX($A$3:$B$14312,SMALL(IF($A$3:$A$14312=BQ$3,ROW($A$3:$A$14312)),ROW(22:22)),2))</f>
        <v/>
      </c>
      <c r="BR24" t="str">
        <f t="array" ref="BR24">IF(ISERROR(INDEX($A$3:$B$14312,SMALL(IF($A$3:$A$14312=BR$3,ROW($A$3:$A$14312)),ROW(22:22)),2)),"",INDEX($A$3:$B$14312,SMALL(IF($A$3:$A$14312=BR$3,ROW($A$3:$A$14312)),ROW(22:22)),2))</f>
        <v/>
      </c>
      <c r="BS24" t="str">
        <f t="array" ref="BS24">IF(ISERROR(INDEX($A$3:$B$14312,SMALL(IF($A$3:$A$14312=BS$3,ROW($A$3:$A$14312)),ROW(22:22)),2)),"",INDEX($A$3:$B$14312,SMALL(IF($A$3:$A$14312=BS$3,ROW($A$3:$A$14312)),ROW(22:22)),2))</f>
        <v/>
      </c>
      <c r="BT24" t="str">
        <f t="array" ref="BT24">IF(ISERROR(INDEX($A$3:$B$14312,SMALL(IF($A$3:$A$14312=BT$3,ROW($A$3:$A$14312)),ROW(22:22)),2)),"",INDEX($A$3:$B$14312,SMALL(IF($A$3:$A$14312=BT$3,ROW($A$3:$A$14312)),ROW(22:22)),2))</f>
        <v>Router3_95</v>
      </c>
      <c r="BU24" t="str">
        <f t="array" ref="BU24">IF(ISERROR(INDEX($A$3:$B$14312,SMALL(IF($A$3:$A$14312=BU$3,ROW($A$3:$A$14312)),ROW(22:22)),2)),"",INDEX($A$3:$B$14312,SMALL(IF($A$3:$A$14312=BU$3,ROW($A$3:$A$14312)),ROW(22:22)),2))</f>
        <v/>
      </c>
      <c r="BV24" t="str">
        <f t="array" ref="BV24">IF(ISERROR(INDEX($A$3:$B$14312,SMALL(IF($A$3:$A$14312=BV$3,ROW($A$3:$A$14312)),ROW(22:22)),2)),"",INDEX($A$3:$B$14312,SMALL(IF($A$3:$A$14312=BV$3,ROW($A$3:$A$14312)),ROW(22:22)),2))</f>
        <v/>
      </c>
      <c r="BW24" t="str">
        <f t="array" ref="BW24">IF(ISERROR(INDEX($A$3:$B$14312,SMALL(IF($A$3:$A$14312=BW$3,ROW($A$3:$A$14312)),ROW(22:22)),2)),"",INDEX($A$3:$B$14312,SMALL(IF($A$3:$A$14312=BW$3,ROW($A$3:$A$14312)),ROW(22:22)),2))</f>
        <v>Router3_160</v>
      </c>
      <c r="BX24" t="str">
        <f t="array" ref="BX24">IF(ISERROR(INDEX($A$3:$B$14312,SMALL(IF($A$3:$A$14312=BX$3,ROW($A$3:$A$14312)),ROW(22:22)),2)),"",INDEX($A$3:$B$14312,SMALL(IF($A$3:$A$14312=BX$3,ROW($A$3:$A$14312)),ROW(22:22)),2))</f>
        <v>Router3_112</v>
      </c>
      <c r="BY24" t="str">
        <f t="array" ref="BY24">IF(ISERROR(INDEX($A$3:$B$14312,SMALL(IF($A$3:$A$14312=BY$3,ROW($A$3:$A$14312)),ROW(22:22)),2)),"",INDEX($A$3:$B$14312,SMALL(IF($A$3:$A$14312=BY$3,ROW($A$3:$A$14312)),ROW(22:22)),2))</f>
        <v>Router3_94</v>
      </c>
      <c r="BZ24" t="str">
        <f t="array" ref="BZ24">IF(ISERROR(INDEX($A$3:$B$14312,SMALL(IF($A$3:$A$14312=BZ$3,ROW($A$3:$A$14312)),ROW(22:22)),2)),"",INDEX($A$3:$B$14312,SMALL(IF($A$3:$A$14312=BZ$3,ROW($A$3:$A$14312)),ROW(22:22)),2))</f>
        <v>Router3_94</v>
      </c>
      <c r="CA24" t="str">
        <f t="array" ref="CA24">IF(ISERROR(INDEX($A$3:$B$14312,SMALL(IF($A$3:$A$14312=CA$3,ROW($A$3:$A$14312)),ROW(22:22)),2)),"",INDEX($A$3:$B$14312,SMALL(IF($A$3:$A$14312=CA$3,ROW($A$3:$A$14312)),ROW(22:22)),2))</f>
        <v/>
      </c>
      <c r="CB24" t="str">
        <f t="array" ref="CB24">IF(ISERROR(INDEX($A$3:$B$14312,SMALL(IF($A$3:$A$14312=CB$3,ROW($A$3:$A$14312)),ROW(22:22)),2)),"",INDEX($A$3:$B$14312,SMALL(IF($A$3:$A$14312=CB$3,ROW($A$3:$A$14312)),ROW(22:22)),2))</f>
        <v/>
      </c>
      <c r="CC24" t="str">
        <f t="array" ref="CC24">IF(ISERROR(INDEX($A$3:$B$14312,SMALL(IF($A$3:$A$14312=CC$3,ROW($A$3:$A$14312)),ROW(22:22)),2)),"",INDEX($A$3:$B$14312,SMALL(IF($A$3:$A$14312=CC$3,ROW($A$3:$A$14312)),ROW(22:22)),2))</f>
        <v/>
      </c>
      <c r="CD24" t="str">
        <f t="array" ref="CD24">IF(ISERROR(INDEX($A$3:$B$14312,SMALL(IF($A$3:$A$14312=CD$3,ROW($A$3:$A$14312)),ROW(22:22)),2)),"",INDEX($A$3:$B$14312,SMALL(IF($A$3:$A$14312=CD$3,ROW($A$3:$A$14312)),ROW(22:22)),2))</f>
        <v/>
      </c>
      <c r="CE24" t="str">
        <f t="array" ref="CE24">IF(ISERROR(INDEX($A$3:$B$14312,SMALL(IF($A$3:$A$14312=CE$3,ROW($A$3:$A$14312)),ROW(22:22)),2)),"",INDEX($A$3:$B$14312,SMALL(IF($A$3:$A$14312=CE$3,ROW($A$3:$A$14312)),ROW(22:22)),2))</f>
        <v/>
      </c>
      <c r="CF24" t="str">
        <f t="array" ref="CF24">IF(ISERROR(INDEX($A$3:$B$14312,SMALL(IF($A$3:$A$14312=CF$3,ROW($A$3:$A$14312)),ROW(22:22)),2)),"",INDEX($A$3:$B$14312,SMALL(IF($A$3:$A$14312=CF$3,ROW($A$3:$A$14312)),ROW(22:22)),2))</f>
        <v/>
      </c>
      <c r="CG24" t="str">
        <f t="array" ref="CG24">IF(ISERROR(INDEX($A$3:$B$14312,SMALL(IF($A$3:$A$14312=CG$3,ROW($A$3:$A$14312)),ROW(22:22)),2)),"",INDEX($A$3:$B$14312,SMALL(IF($A$3:$A$14312=CG$3,ROW($A$3:$A$14312)),ROW(22:22)),2))</f>
        <v/>
      </c>
      <c r="CH24" t="str">
        <f t="array" ref="CH24">IF(ISERROR(INDEX($A$3:$B$14312,SMALL(IF($A$3:$A$14312=CH$3,ROW($A$3:$A$14312)),ROW(22:22)),2)),"",INDEX($A$3:$B$14312,SMALL(IF($A$3:$A$14312=CH$3,ROW($A$3:$A$14312)),ROW(22:22)),2))</f>
        <v/>
      </c>
      <c r="CI24" t="str">
        <f t="array" ref="CI24">IF(ISERROR(INDEX($A$3:$B$14312,SMALL(IF($A$3:$A$14312=CI$3,ROW($A$3:$A$14312)),ROW(22:22)),2)),"",INDEX($A$3:$B$14312,SMALL(IF($A$3:$A$14312=CI$3,ROW($A$3:$A$14312)),ROW(22:22)),2))</f>
        <v/>
      </c>
      <c r="CJ24" t="str">
        <f t="array" ref="CJ24">IF(ISERROR(INDEX($A$3:$B$14312,SMALL(IF($A$3:$A$14312=CJ$3,ROW($A$3:$A$14312)),ROW(22:22)),2)),"",INDEX($A$3:$B$14312,SMALL(IF($A$3:$A$14312=CJ$3,ROW($A$3:$A$14312)),ROW(22:22)),2))</f>
        <v/>
      </c>
      <c r="CK24" t="str">
        <f t="array" ref="CK24">IF(ISERROR(INDEX($A$3:$B$14312,SMALL(IF($A$3:$A$14312=CK$3,ROW($A$3:$A$14312)),ROW(22:22)),2)),"",INDEX($A$3:$B$14312,SMALL(IF($A$3:$A$14312=CK$3,ROW($A$3:$A$14312)),ROW(22:22)),2))</f>
        <v/>
      </c>
      <c r="CL24" t="str">
        <f t="array" ref="CL24">IF(ISERROR(INDEX($A$3:$B$14312,SMALL(IF($A$3:$A$14312=CL$3,ROW($A$3:$A$14312)),ROW(22:22)),2)),"",INDEX($A$3:$B$14312,SMALL(IF($A$3:$A$14312=CL$3,ROW($A$3:$A$14312)),ROW(22:22)),2))</f>
        <v/>
      </c>
      <c r="CM24" t="str">
        <f t="array" ref="CM24">IF(ISERROR(INDEX($A$3:$B$14312,SMALL(IF($A$3:$A$14312=CM$3,ROW($A$3:$A$14312)),ROW(22:22)),2)),"",INDEX($A$3:$B$14312,SMALL(IF($A$3:$A$14312=CM$3,ROW($A$3:$A$14312)),ROW(22:22)),2))</f>
        <v/>
      </c>
      <c r="CN24" t="str">
        <f t="array" ref="CN24">IF(ISERROR(INDEX($A$3:$B$14312,SMALL(IF($A$3:$A$14312=CN$3,ROW($A$3:$A$14312)),ROW(22:22)),2)),"",INDEX($A$3:$B$14312,SMALL(IF($A$3:$A$14312=CN$3,ROW($A$3:$A$14312)),ROW(22:22)),2))</f>
        <v>Router3_79</v>
      </c>
      <c r="CO24" t="str">
        <f t="array" ref="CO24">IF(ISERROR(INDEX($A$3:$B$14312,SMALL(IF($A$3:$A$14312=CO$3,ROW($A$3:$A$14312)),ROW(22:22)),2)),"",INDEX($A$3:$B$14312,SMALL(IF($A$3:$A$14312=CO$3,ROW($A$3:$A$14312)),ROW(22:22)),2))</f>
        <v>Router3_116</v>
      </c>
      <c r="CP24" t="str">
        <f t="array" ref="CP24">IF(ISERROR(INDEX($A$3:$B$14312,SMALL(IF($A$3:$A$14312=CP$3,ROW($A$3:$A$14312)),ROW(22:22)),2)),"",INDEX($A$3:$B$14312,SMALL(IF($A$3:$A$14312=CP$3,ROW($A$3:$A$14312)),ROW(22:22)),2))</f>
        <v/>
      </c>
      <c r="CQ24" t="str">
        <f t="array" ref="CQ24">IF(ISERROR(INDEX($A$3:$B$14312,SMALL(IF($A$3:$A$14312=CQ$3,ROW($A$3:$A$14312)),ROW(22:22)),2)),"",INDEX($A$3:$B$14312,SMALL(IF($A$3:$A$14312=CQ$3,ROW($A$3:$A$14312)),ROW(22:22)),2))</f>
        <v/>
      </c>
      <c r="CR24" t="str">
        <f t="array" ref="CR24">IF(ISERROR(INDEX($A$3:$B$14312,SMALL(IF($A$3:$A$14312=CR$3,ROW($A$3:$A$14312)),ROW(22:22)),2)),"",INDEX($A$3:$B$14312,SMALL(IF($A$3:$A$14312=CR$3,ROW($A$3:$A$14312)),ROW(22:22)),2))</f>
        <v/>
      </c>
      <c r="CS24" t="str">
        <f t="array" ref="CS24">IF(ISERROR(INDEX($A$3:$B$14312,SMALL(IF($A$3:$A$14312=CS$3,ROW($A$3:$A$14312)),ROW(22:22)),2)),"",INDEX($A$3:$B$14312,SMALL(IF($A$3:$A$14312=CS$3,ROW($A$3:$A$14312)),ROW(22:22)),2))</f>
        <v/>
      </c>
      <c r="CT24" t="str">
        <f t="array" ref="CT24">IF(ISERROR(INDEX($A$3:$B$14312,SMALL(IF($A$3:$A$14312=CT$3,ROW($A$3:$A$14312)),ROW(22:22)),2)),"",INDEX($A$3:$B$14312,SMALL(IF($A$3:$A$14312=CT$3,ROW($A$3:$A$14312)),ROW(22:22)),2))</f>
        <v/>
      </c>
      <c r="CU24" t="str">
        <f t="array" ref="CU24">IF(ISERROR(INDEX($A$3:$B$14312,SMALL(IF($A$3:$A$14312=CU$3,ROW($A$3:$A$14312)),ROW(22:22)),2)),"",INDEX($A$3:$B$14312,SMALL(IF($A$3:$A$14312=CU$3,ROW($A$3:$A$14312)),ROW(22:22)),2))</f>
        <v/>
      </c>
      <c r="CV24" t="str">
        <f t="array" ref="CV24">IF(ISERROR(INDEX($A$3:$B$14312,SMALL(IF($A$3:$A$14312=CV$3,ROW($A$3:$A$14312)),ROW(22:22)),2)),"",INDEX($A$3:$B$14312,SMALL(IF($A$3:$A$14312=CV$3,ROW($A$3:$A$14312)),ROW(22:22)),2))</f>
        <v>Router3_21</v>
      </c>
      <c r="CW24" t="str">
        <f t="array" ref="CW24">IF(ISERROR(INDEX($A$3:$B$14312,SMALL(IF($A$3:$A$14312=CW$3,ROW($A$3:$A$14312)),ROW(22:22)),2)),"",INDEX($A$3:$B$14312,SMALL(IF($A$3:$A$14312=CW$3,ROW($A$3:$A$14312)),ROW(22:22)),2))</f>
        <v/>
      </c>
      <c r="CX24" t="str">
        <f t="array" ref="CX24">IF(ISERROR(INDEX($A$3:$B$14312,SMALL(IF($A$3:$A$14312=CX$3,ROW($A$3:$A$14312)),ROW(22:22)),2)),"",INDEX($A$3:$B$14312,SMALL(IF($A$3:$A$14312=CX$3,ROW($A$3:$A$14312)),ROW(22:22)),2))</f>
        <v/>
      </c>
      <c r="CY24" t="str">
        <f t="array" ref="CY24">IF(ISERROR(INDEX($A$3:$B$14312,SMALL(IF($A$3:$A$14312=CY$3,ROW($A$3:$A$14312)),ROW(22:22)),2)),"",INDEX($A$3:$B$14312,SMALL(IF($A$3:$A$14312=CY$3,ROW($A$3:$A$14312)),ROW(22:22)),2))</f>
        <v>Router3_101</v>
      </c>
      <c r="CZ24" t="str">
        <f t="array" ref="CZ24">IF(ISERROR(INDEX($A$3:$B$14312,SMALL(IF($A$3:$A$14312=CZ$3,ROW($A$3:$A$14312)),ROW(22:22)),2)),"",INDEX($A$3:$B$14312,SMALL(IF($A$3:$A$14312=CZ$3,ROW($A$3:$A$14312)),ROW(22:22)),2))</f>
        <v/>
      </c>
      <c r="DA24" t="str">
        <f t="array" ref="DA24">IF(ISERROR(INDEX($A$3:$B$14312,SMALL(IF($A$3:$A$14312=DA$3,ROW($A$3:$A$14312)),ROW(22:22)),2)),"",INDEX($A$3:$B$14312,SMALL(IF($A$3:$A$14312=DA$3,ROW($A$3:$A$14312)),ROW(22:22)),2))</f>
        <v>Router3_152</v>
      </c>
      <c r="DB24" t="str">
        <f t="array" ref="DB24">IF(ISERROR(INDEX($A$3:$B$14312,SMALL(IF($A$3:$A$14312=DB$3,ROW($A$3:$A$14312)),ROW(22:22)),2)),"",INDEX($A$3:$B$14312,SMALL(IF($A$3:$A$14312=DB$3,ROW($A$3:$A$14312)),ROW(22:22)),2))</f>
        <v/>
      </c>
      <c r="DC24" t="str">
        <f t="array" ref="DC24">IF(ISERROR(INDEX($A$3:$B$14312,SMALL(IF($A$3:$A$14312=DC$3,ROW($A$3:$A$14312)),ROW(22:22)),2)),"",INDEX($A$3:$B$14312,SMALL(IF($A$3:$A$14312=DC$3,ROW($A$3:$A$14312)),ROW(22:22)),2))</f>
        <v>Router3_143</v>
      </c>
      <c r="DD24" t="str">
        <f t="array" ref="DD24">IF(ISERROR(INDEX($A$3:$B$14312,SMALL(IF($A$3:$A$14312=DD$3,ROW($A$3:$A$14312)),ROW(22:22)),2)),"",INDEX($A$3:$B$14312,SMALL(IF($A$3:$A$14312=DD$3,ROW($A$3:$A$14312)),ROW(22:22)),2))</f>
        <v/>
      </c>
      <c r="DE24" t="str">
        <f t="array" ref="DE24">IF(ISERROR(INDEX($A$3:$B$14312,SMALL(IF($A$3:$A$14312=DE$3,ROW($A$3:$A$14312)),ROW(22:22)),2)),"",INDEX($A$3:$B$14312,SMALL(IF($A$3:$A$14312=DE$3,ROW($A$3:$A$14312)),ROW(22:22)),2))</f>
        <v/>
      </c>
      <c r="DF24" t="str">
        <f t="array" ref="DF24">IF(ISERROR(INDEX($A$3:$B$14312,SMALL(IF($A$3:$A$14312=DF$3,ROW($A$3:$A$14312)),ROW(22:22)),2)),"",INDEX($A$3:$B$14312,SMALL(IF($A$3:$A$14312=DF$3,ROW($A$3:$A$14312)),ROW(22:22)),2))</f>
        <v/>
      </c>
      <c r="DG24" t="str">
        <f t="array" ref="DG24">IF(ISERROR(INDEX($A$3:$B$14312,SMALL(IF($A$3:$A$14312=DG$3,ROW($A$3:$A$14312)),ROW(22:22)),2)),"",INDEX($A$3:$B$14312,SMALL(IF($A$3:$A$14312=DG$3,ROW($A$3:$A$14312)),ROW(22:22)),2))</f>
        <v>Router3_121</v>
      </c>
      <c r="DH24" t="str">
        <f t="array" ref="DH24">IF(ISERROR(INDEX($A$3:$B$14312,SMALL(IF($A$3:$A$14312=DH$3,ROW($A$3:$A$14312)),ROW(22:22)),2)),"",INDEX($A$3:$B$14312,SMALL(IF($A$3:$A$14312=DH$3,ROW($A$3:$A$14312)),ROW(22:22)),2))</f>
        <v/>
      </c>
      <c r="DI24" t="str">
        <f t="array" ref="DI24">IF(ISERROR(INDEX($A$3:$B$14312,SMALL(IF($A$3:$A$14312=DI$3,ROW($A$3:$A$14312)),ROW(22:22)),2)),"",INDEX($A$3:$B$14312,SMALL(IF($A$3:$A$14312=DI$3,ROW($A$3:$A$14312)),ROW(22:22)),2))</f>
        <v>Router3_88</v>
      </c>
      <c r="DJ24" t="str">
        <f t="array" ref="DJ24">IF(ISERROR(INDEX($A$3:$B$14312,SMALL(IF($A$3:$A$14312=DJ$3,ROW($A$3:$A$14312)),ROW(22:22)),2)),"",INDEX($A$3:$B$14312,SMALL(IF($A$3:$A$14312=DJ$3,ROW($A$3:$A$14312)),ROW(22:22)),2))</f>
        <v>Router3_95</v>
      </c>
      <c r="DK24" t="str">
        <f t="array" ref="DK24">IF(ISERROR(INDEX($A$3:$B$14312,SMALL(IF($A$3:$A$14312=DK$3,ROW($A$3:$A$14312)),ROW(22:22)),2)),"",INDEX($A$3:$B$14312,SMALL(IF($A$3:$A$14312=DK$3,ROW($A$3:$A$14312)),ROW(22:22)),2))</f>
        <v>Router3_122</v>
      </c>
      <c r="DL24" t="str">
        <f t="array" ref="DL24">IF(ISERROR(INDEX($A$3:$B$14312,SMALL(IF($A$3:$A$14312=DL$3,ROW($A$3:$A$14312)),ROW(22:22)),2)),"",INDEX($A$3:$B$14312,SMALL(IF($A$3:$A$14312=DL$3,ROW($A$3:$A$14312)),ROW(22:22)),2))</f>
        <v/>
      </c>
      <c r="DM24" t="str">
        <f t="array" ref="DM24">IF(ISERROR(INDEX($A$3:$B$14312,SMALL(IF($A$3:$A$14312=DM$3,ROW($A$3:$A$14312)),ROW(22:22)),2)),"",INDEX($A$3:$B$14312,SMALL(IF($A$3:$A$14312=DM$3,ROW($A$3:$A$14312)),ROW(22:22)),2))</f>
        <v/>
      </c>
      <c r="DN24" t="str">
        <f t="array" ref="DN24">IF(ISERROR(INDEX($A$3:$B$14312,SMALL(IF($A$3:$A$14312=DN$3,ROW($A$3:$A$14312)),ROW(22:22)),2)),"",INDEX($A$3:$B$14312,SMALL(IF($A$3:$A$14312=DN$3,ROW($A$3:$A$14312)),ROW(22:22)),2))</f>
        <v/>
      </c>
      <c r="DO24" t="str">
        <f t="array" ref="DO24">IF(ISERROR(INDEX($A$3:$B$14312,SMALL(IF($A$3:$A$14312=DO$3,ROW($A$3:$A$14312)),ROW(22:22)),2)),"",INDEX($A$3:$B$14312,SMALL(IF($A$3:$A$14312=DO$3,ROW($A$3:$A$14312)),ROW(22:22)),2))</f>
        <v/>
      </c>
      <c r="DP24" t="str">
        <f t="array" ref="DP24">IF(ISERROR(INDEX($A$3:$B$14312,SMALL(IF($A$3:$A$14312=DP$3,ROW($A$3:$A$14312)),ROW(22:22)),2)),"",INDEX($A$3:$B$14312,SMALL(IF($A$3:$A$14312=DP$3,ROW($A$3:$A$14312)),ROW(22:22)),2))</f>
        <v/>
      </c>
      <c r="DQ24" t="str">
        <f t="array" ref="DQ24">IF(ISERROR(INDEX($A$3:$B$14312,SMALL(IF($A$3:$A$14312=DQ$3,ROW($A$3:$A$14312)),ROW(22:22)),2)),"",INDEX($A$3:$B$14312,SMALL(IF($A$3:$A$14312=DQ$3,ROW($A$3:$A$14312)),ROW(22:22)),2))</f>
        <v/>
      </c>
      <c r="DR24" t="str">
        <f t="array" ref="DR24">IF(ISERROR(INDEX($A$3:$B$14312,SMALL(IF($A$3:$A$14312=DR$3,ROW($A$3:$A$14312)),ROW(22:22)),2)),"",INDEX($A$3:$B$14312,SMALL(IF($A$3:$A$14312=DR$3,ROW($A$3:$A$14312)),ROW(22:22)),2))</f>
        <v>Router3_24</v>
      </c>
      <c r="DS24" t="str">
        <f t="array" ref="DS24">IF(ISERROR(INDEX($A$3:$B$14312,SMALL(IF($A$3:$A$14312=DS$3,ROW($A$3:$A$14312)),ROW(22:22)),2)),"",INDEX($A$3:$B$14312,SMALL(IF($A$3:$A$14312=DS$3,ROW($A$3:$A$14312)),ROW(22:22)),2))</f>
        <v/>
      </c>
      <c r="DT24" t="str">
        <f t="array" ref="DT24">IF(ISERROR(INDEX($A$3:$B$14312,SMALL(IF($A$3:$A$14312=DT$3,ROW($A$3:$A$14312)),ROW(22:22)),2)),"",INDEX($A$3:$B$14312,SMALL(IF($A$3:$A$14312=DT$3,ROW($A$3:$A$14312)),ROW(22:22)),2))</f>
        <v>Router3_88</v>
      </c>
      <c r="DU24" t="str">
        <f t="array" ref="DU24">IF(ISERROR(INDEX($A$3:$B$14312,SMALL(IF($A$3:$A$14312=DU$3,ROW($A$3:$A$14312)),ROW(22:22)),2)),"",INDEX($A$3:$B$14312,SMALL(IF($A$3:$A$14312=DU$3,ROW($A$3:$A$14312)),ROW(22:22)),2))</f>
        <v>Router3_140</v>
      </c>
      <c r="DV24" t="str">
        <f t="array" ref="DV24">IF(ISERROR(INDEX($A$3:$B$14312,SMALL(IF($A$3:$A$14312=DV$3,ROW($A$3:$A$14312)),ROW(22:22)),2)),"",INDEX($A$3:$B$14312,SMALL(IF($A$3:$A$14312=DV$3,ROW($A$3:$A$14312)),ROW(22:22)),2))</f>
        <v/>
      </c>
      <c r="DW24" t="str">
        <f t="array" ref="DW24">IF(ISERROR(INDEX($A$3:$B$14312,SMALL(IF($A$3:$A$14312=DW$3,ROW($A$3:$A$14312)),ROW(22:22)),2)),"",INDEX($A$3:$B$14312,SMALL(IF($A$3:$A$14312=DW$3,ROW($A$3:$A$14312)),ROW(22:22)),2))</f>
        <v/>
      </c>
      <c r="DX24" t="str">
        <f t="array" ref="DX24">IF(ISERROR(INDEX($A$3:$B$14312,SMALL(IF($A$3:$A$14312=DX$3,ROW($A$3:$A$14312)),ROW(22:22)),2)),"",INDEX($A$3:$B$14312,SMALL(IF($A$3:$A$14312=DX$3,ROW($A$3:$A$14312)),ROW(22:22)),2))</f>
        <v/>
      </c>
      <c r="DY24" t="str">
        <f t="array" ref="DY24">IF(ISERROR(INDEX($A$3:$B$14312,SMALL(IF($A$3:$A$14312=DY$3,ROW($A$3:$A$14312)),ROW(22:22)),2)),"",INDEX($A$3:$B$14312,SMALL(IF($A$3:$A$14312=DY$3,ROW($A$3:$A$14312)),ROW(22:22)),2))</f>
        <v/>
      </c>
      <c r="DZ24" t="str">
        <f t="array" ref="DZ24">IF(ISERROR(INDEX($A$3:$B$14312,SMALL(IF($A$3:$A$14312=DZ$3,ROW($A$3:$A$14312)),ROW(22:22)),2)),"",INDEX($A$3:$B$14312,SMALL(IF($A$3:$A$14312=DZ$3,ROW($A$3:$A$14312)),ROW(22:22)),2))</f>
        <v/>
      </c>
      <c r="EA24" t="str">
        <f t="array" ref="EA24">IF(ISERROR(INDEX($A$3:$B$14312,SMALL(IF($A$3:$A$14312=EA$3,ROW($A$3:$A$14312)),ROW(22:22)),2)),"",INDEX($A$3:$B$14312,SMALL(IF($A$3:$A$14312=EA$3,ROW($A$3:$A$14312)),ROW(22:22)),2))</f>
        <v>Router3_140</v>
      </c>
      <c r="EB24" t="str">
        <f t="array" ref="EB24">IF(ISERROR(INDEX($A$3:$B$14312,SMALL(IF($A$3:$A$14312=EB$3,ROW($A$3:$A$14312)),ROW(22:22)),2)),"",INDEX($A$3:$B$14312,SMALL(IF($A$3:$A$14312=EB$3,ROW($A$3:$A$14312)),ROW(22:22)),2))</f>
        <v/>
      </c>
      <c r="EC24" t="str">
        <f t="array" ref="EC24">IF(ISERROR(INDEX($A$3:$B$14312,SMALL(IF($A$3:$A$14312=EC$3,ROW($A$3:$A$14312)),ROW(22:22)),2)),"",INDEX($A$3:$B$14312,SMALL(IF($A$3:$A$14312=EC$3,ROW($A$3:$A$14312)),ROW(22:22)),2))</f>
        <v>Router3_117</v>
      </c>
      <c r="ED24" t="str">
        <f t="array" ref="ED24">IF(ISERROR(INDEX($A$3:$B$14312,SMALL(IF($A$3:$A$14312=ED$3,ROW($A$3:$A$14312)),ROW(22:22)),2)),"",INDEX($A$3:$B$14312,SMALL(IF($A$3:$A$14312=ED$3,ROW($A$3:$A$14312)),ROW(22:22)),2))</f>
        <v>Router3_144</v>
      </c>
      <c r="EE24" t="str">
        <f t="array" ref="EE24">IF(ISERROR(INDEX($A$3:$B$14312,SMALL(IF($A$3:$A$14312=EE$3,ROW($A$3:$A$14312)),ROW(22:22)),2)),"",INDEX($A$3:$B$14312,SMALL(IF($A$3:$A$14312=EE$3,ROW($A$3:$A$14312)),ROW(22:22)),2))</f>
        <v>Router3_9</v>
      </c>
    </row>
    <row r="25" spans="1:135" x14ac:dyDescent="0.25">
      <c r="A25" s="10">
        <v>-450827382</v>
      </c>
      <c r="B25" t="s">
        <v>1102</v>
      </c>
      <c r="E25" t="str">
        <f t="array" ref="E25">IF(ISERROR(INDEX($A$3:$B$14312,SMALL(IF($A$3:$A$14312=E$3,ROW($A$3:$A$14312)),ROW(23:23)),2)),"",INDEX($A$3:$B$14312,SMALL(IF($A$3:$A$14312=E$3,ROW($A$3:$A$14312)),ROW(23:23)),2))</f>
        <v>Router3_97</v>
      </c>
      <c r="F25" t="str">
        <f t="array" ref="F25">IF(ISERROR(INDEX($A$3:$B$14312,SMALL(IF($A$3:$A$14312=F$3,ROW($A$3:$A$14312)),ROW(23:23)),2)),"",INDEX($A$3:$B$14312,SMALL(IF($A$3:$A$14312=F$3,ROW($A$3:$A$14312)),ROW(23:23)),2))</f>
        <v>Router3_82</v>
      </c>
      <c r="G25" t="str">
        <f t="array" ref="G25">IF(ISERROR(INDEX($A$3:$B$14312,SMALL(IF($A$3:$A$14312=G$3,ROW($A$3:$A$14312)),ROW(23:23)),2)),"",INDEX($A$3:$B$14312,SMALL(IF($A$3:$A$14312=G$3,ROW($A$3:$A$14312)),ROW(23:23)),2))</f>
        <v/>
      </c>
      <c r="H25" t="str">
        <f t="array" ref="H25">IF(ISERROR(INDEX($A$3:$B$14312,SMALL(IF($A$3:$A$14312=H$3,ROW($A$3:$A$14312)),ROW(23:23)),2)),"",INDEX($A$3:$B$14312,SMALL(IF($A$3:$A$14312=H$3,ROW($A$3:$A$14312)),ROW(23:23)),2))</f>
        <v/>
      </c>
      <c r="I25" t="str">
        <f t="array" ref="I25">IF(ISERROR(INDEX($A$3:$B$14312,SMALL(IF($A$3:$A$14312=I$3,ROW($A$3:$A$14312)),ROW(23:23)),2)),"",INDEX($A$3:$B$14312,SMALL(IF($A$3:$A$14312=I$3,ROW($A$3:$A$14312)),ROW(23:23)),2))</f>
        <v/>
      </c>
      <c r="J25" t="str">
        <f t="array" ref="J25">IF(ISERROR(INDEX($A$3:$B$14312,SMALL(IF($A$3:$A$14312=J$3,ROW($A$3:$A$14312)),ROW(23:23)),2)),"",INDEX($A$3:$B$14312,SMALL(IF($A$3:$A$14312=J$3,ROW($A$3:$A$14312)),ROW(23:23)),2))</f>
        <v>Router3_153</v>
      </c>
      <c r="K25" t="str">
        <f t="array" ref="K25">IF(ISERROR(INDEX($A$3:$B$14312,SMALL(IF($A$3:$A$14312=K$3,ROW($A$3:$A$14312)),ROW(23:23)),2)),"",INDEX($A$3:$B$14312,SMALL(IF($A$3:$A$14312=K$3,ROW($A$3:$A$14312)),ROW(23:23)),2))</f>
        <v/>
      </c>
      <c r="L25" t="str">
        <f t="array" ref="L25">IF(ISERROR(INDEX($A$3:$B$14312,SMALL(IF($A$3:$A$14312=L$3,ROW($A$3:$A$14312)),ROW(23:23)),2)),"",INDEX($A$3:$B$14312,SMALL(IF($A$3:$A$14312=L$3,ROW($A$3:$A$14312)),ROW(23:23)),2))</f>
        <v/>
      </c>
      <c r="M25" t="str">
        <f t="array" ref="M25">IF(ISERROR(INDEX($A$3:$B$14312,SMALL(IF($A$3:$A$14312=M$3,ROW($A$3:$A$14312)),ROW(23:23)),2)),"",INDEX($A$3:$B$14312,SMALL(IF($A$3:$A$14312=M$3,ROW($A$3:$A$14312)),ROW(23:23)),2))</f>
        <v/>
      </c>
      <c r="N25" t="str">
        <f t="array" ref="N25">IF(ISERROR(INDEX($A$3:$B$14312,SMALL(IF($A$3:$A$14312=N$3,ROW($A$3:$A$14312)),ROW(23:23)),2)),"",INDEX($A$3:$B$14312,SMALL(IF($A$3:$A$14312=N$3,ROW($A$3:$A$14312)),ROW(23:23)),2))</f>
        <v/>
      </c>
      <c r="O25" t="str">
        <f t="array" ref="O25">IF(ISERROR(INDEX($A$3:$B$14312,SMALL(IF($A$3:$A$14312=O$3,ROW($A$3:$A$14312)),ROW(23:23)),2)),"",INDEX($A$3:$B$14312,SMALL(IF($A$3:$A$14312=O$3,ROW($A$3:$A$14312)),ROW(23:23)),2))</f>
        <v/>
      </c>
      <c r="P25" t="str">
        <f t="array" ref="P25">IF(ISERROR(INDEX($A$3:$B$14312,SMALL(IF($A$3:$A$14312=P$3,ROW($A$3:$A$14312)),ROW(23:23)),2)),"",INDEX($A$3:$B$14312,SMALL(IF($A$3:$A$14312=P$3,ROW($A$3:$A$14312)),ROW(23:23)),2))</f>
        <v/>
      </c>
      <c r="Q25" t="str">
        <f t="array" ref="Q25">IF(ISERROR(INDEX($A$3:$B$14312,SMALL(IF($A$3:$A$14312=Q$3,ROW($A$3:$A$14312)),ROW(23:23)),2)),"",INDEX($A$3:$B$14312,SMALL(IF($A$3:$A$14312=Q$3,ROW($A$3:$A$14312)),ROW(23:23)),2))</f>
        <v/>
      </c>
      <c r="R25" t="str">
        <f t="array" ref="R25">IF(ISERROR(INDEX($A$3:$B$14312,SMALL(IF($A$3:$A$14312=R$3,ROW($A$3:$A$14312)),ROW(23:23)),2)),"",INDEX($A$3:$B$14312,SMALL(IF($A$3:$A$14312=R$3,ROW($A$3:$A$14312)),ROW(23:23)),2))</f>
        <v/>
      </c>
      <c r="S25" t="str">
        <f t="array" ref="S25">IF(ISERROR(INDEX($A$3:$B$14312,SMALL(IF($A$3:$A$14312=S$3,ROW($A$3:$A$14312)),ROW(23:23)),2)),"",INDEX($A$3:$B$14312,SMALL(IF($A$3:$A$14312=S$3,ROW($A$3:$A$14312)),ROW(23:23)),2))</f>
        <v/>
      </c>
      <c r="T25" t="str">
        <f t="array" ref="T25">IF(ISERROR(INDEX($A$3:$B$14312,SMALL(IF($A$3:$A$14312=T$3,ROW($A$3:$A$14312)),ROW(23:23)),2)),"",INDEX($A$3:$B$14312,SMALL(IF($A$3:$A$14312=T$3,ROW($A$3:$A$14312)),ROW(23:23)),2))</f>
        <v/>
      </c>
      <c r="U25" t="str">
        <f t="array" ref="U25">IF(ISERROR(INDEX($A$3:$B$14312,SMALL(IF($A$3:$A$14312=U$3,ROW($A$3:$A$14312)),ROW(23:23)),2)),"",INDEX($A$3:$B$14312,SMALL(IF($A$3:$A$14312=U$3,ROW($A$3:$A$14312)),ROW(23:23)),2))</f>
        <v>Router3_44</v>
      </c>
      <c r="V25" t="str">
        <f t="array" ref="V25">IF(ISERROR(INDEX($A$3:$B$14312,SMALL(IF($A$3:$A$14312=V$3,ROW($A$3:$A$14312)),ROW(23:23)),2)),"",INDEX($A$3:$B$14312,SMALL(IF($A$3:$A$14312=V$3,ROW($A$3:$A$14312)),ROW(23:23)),2))</f>
        <v/>
      </c>
      <c r="W25" t="str">
        <f t="array" ref="W25">IF(ISERROR(INDEX($A$3:$B$14312,SMALL(IF($A$3:$A$14312=W$3,ROW($A$3:$A$14312)),ROW(23:23)),2)),"",INDEX($A$3:$B$14312,SMALL(IF($A$3:$A$14312=W$3,ROW($A$3:$A$14312)),ROW(23:23)),2))</f>
        <v>Router3_117</v>
      </c>
      <c r="X25" t="str">
        <f t="array" ref="X25">IF(ISERROR(INDEX($A$3:$B$14312,SMALL(IF($A$3:$A$14312=X$3,ROW($A$3:$A$14312)),ROW(23:23)),2)),"",INDEX($A$3:$B$14312,SMALL(IF($A$3:$A$14312=X$3,ROW($A$3:$A$14312)),ROW(23:23)),2))</f>
        <v/>
      </c>
      <c r="Y25" t="str">
        <f t="array" ref="Y25">IF(ISERROR(INDEX($A$3:$B$14312,SMALL(IF($A$3:$A$14312=Y$3,ROW($A$3:$A$14312)),ROW(23:23)),2)),"",INDEX($A$3:$B$14312,SMALL(IF($A$3:$A$14312=Y$3,ROW($A$3:$A$14312)),ROW(23:23)),2))</f>
        <v/>
      </c>
      <c r="Z25" t="str">
        <f t="array" ref="Z25">IF(ISERROR(INDEX($A$3:$B$14312,SMALL(IF($A$3:$A$14312=Z$3,ROW($A$3:$A$14312)),ROW(23:23)),2)),"",INDEX($A$3:$B$14312,SMALL(IF($A$3:$A$14312=Z$3,ROW($A$3:$A$14312)),ROW(23:23)),2))</f>
        <v/>
      </c>
      <c r="AA25" t="str">
        <f t="array" ref="AA25">IF(ISERROR(INDEX($A$3:$B$14312,SMALL(IF($A$3:$A$14312=AA$3,ROW($A$3:$A$14312)),ROW(23:23)),2)),"",INDEX($A$3:$B$14312,SMALL(IF($A$3:$A$14312=AA$3,ROW($A$3:$A$14312)),ROW(23:23)),2))</f>
        <v/>
      </c>
      <c r="AB25" t="str">
        <f t="array" ref="AB25">IF(ISERROR(INDEX($A$3:$B$14312,SMALL(IF($A$3:$A$14312=AB$3,ROW($A$3:$A$14312)),ROW(23:23)),2)),"",INDEX($A$3:$B$14312,SMALL(IF($A$3:$A$14312=AB$3,ROW($A$3:$A$14312)),ROW(23:23)),2))</f>
        <v/>
      </c>
      <c r="AC25" t="str">
        <f t="array" ref="AC25">IF(ISERROR(INDEX($A$3:$B$14312,SMALL(IF($A$3:$A$14312=AC$3,ROW($A$3:$A$14312)),ROW(23:23)),2)),"",INDEX($A$3:$B$14312,SMALL(IF($A$3:$A$14312=AC$3,ROW($A$3:$A$14312)),ROW(23:23)),2))</f>
        <v/>
      </c>
      <c r="AD25" t="str">
        <f t="array" ref="AD25">IF(ISERROR(INDEX($A$3:$B$14312,SMALL(IF($A$3:$A$14312=AD$3,ROW($A$3:$A$14312)),ROW(23:23)),2)),"",INDEX($A$3:$B$14312,SMALL(IF($A$3:$A$14312=AD$3,ROW($A$3:$A$14312)),ROW(23:23)),2))</f>
        <v/>
      </c>
      <c r="AE25" t="str">
        <f t="array" ref="AE25">IF(ISERROR(INDEX($A$3:$B$14312,SMALL(IF($A$3:$A$14312=AE$3,ROW($A$3:$A$14312)),ROW(23:23)),2)),"",INDEX($A$3:$B$14312,SMALL(IF($A$3:$A$14312=AE$3,ROW($A$3:$A$14312)),ROW(23:23)),2))</f>
        <v/>
      </c>
      <c r="AF25" t="str">
        <f t="array" ref="AF25">IF(ISERROR(INDEX($A$3:$B$14312,SMALL(IF($A$3:$A$14312=AF$3,ROW($A$3:$A$14312)),ROW(23:23)),2)),"",INDEX($A$3:$B$14312,SMALL(IF($A$3:$A$14312=AF$3,ROW($A$3:$A$14312)),ROW(23:23)),2))</f>
        <v>Router3_107</v>
      </c>
      <c r="AG25" t="str">
        <f t="array" ref="AG25">IF(ISERROR(INDEX($A$3:$B$14312,SMALL(IF($A$3:$A$14312=AG$3,ROW($A$3:$A$14312)),ROW(23:23)),2)),"",INDEX($A$3:$B$14312,SMALL(IF($A$3:$A$14312=AG$3,ROW($A$3:$A$14312)),ROW(23:23)),2))</f>
        <v>Router3_100</v>
      </c>
      <c r="AH25" t="str">
        <f t="array" ref="AH25">IF(ISERROR(INDEX($A$3:$B$14312,SMALL(IF($A$3:$A$14312=AH$3,ROW($A$3:$A$14312)),ROW(23:23)),2)),"",INDEX($A$3:$B$14312,SMALL(IF($A$3:$A$14312=AH$3,ROW($A$3:$A$14312)),ROW(23:23)),2))</f>
        <v/>
      </c>
      <c r="AI25" t="str">
        <f t="array" ref="AI25">IF(ISERROR(INDEX($A$3:$B$14312,SMALL(IF($A$3:$A$14312=AI$3,ROW($A$3:$A$14312)),ROW(23:23)),2)),"",INDEX($A$3:$B$14312,SMALL(IF($A$3:$A$14312=AI$3,ROW($A$3:$A$14312)),ROW(23:23)),2))</f>
        <v/>
      </c>
      <c r="AJ25" t="str">
        <f t="array" ref="AJ25">IF(ISERROR(INDEX($A$3:$B$14312,SMALL(IF($A$3:$A$14312=AJ$3,ROW($A$3:$A$14312)),ROW(23:23)),2)),"",INDEX($A$3:$B$14312,SMALL(IF($A$3:$A$14312=AJ$3,ROW($A$3:$A$14312)),ROW(23:23)),2))</f>
        <v/>
      </c>
      <c r="AK25" t="str">
        <f t="array" ref="AK25">IF(ISERROR(INDEX($A$3:$B$14312,SMALL(IF($A$3:$A$14312=AK$3,ROW($A$3:$A$14312)),ROW(23:23)),2)),"",INDEX($A$3:$B$14312,SMALL(IF($A$3:$A$14312=AK$3,ROW($A$3:$A$14312)),ROW(23:23)),2))</f>
        <v/>
      </c>
      <c r="AL25" t="str">
        <f t="array" ref="AL25">IF(ISERROR(INDEX($A$3:$B$14312,SMALL(IF($A$3:$A$14312=AL$3,ROW($A$3:$A$14312)),ROW(23:23)),2)),"",INDEX($A$3:$B$14312,SMALL(IF($A$3:$A$14312=AL$3,ROW($A$3:$A$14312)),ROW(23:23)),2))</f>
        <v>Router3_166</v>
      </c>
      <c r="AM25" t="str">
        <f t="array" ref="AM25">IF(ISERROR(INDEX($A$3:$B$14312,SMALL(IF($A$3:$A$14312=AM$3,ROW($A$3:$A$14312)),ROW(23:23)),2)),"",INDEX($A$3:$B$14312,SMALL(IF($A$3:$A$14312=AM$3,ROW($A$3:$A$14312)),ROW(23:23)),2))</f>
        <v>Router3_144</v>
      </c>
      <c r="AN25" t="str">
        <f t="array" ref="AN25">IF(ISERROR(INDEX($A$3:$B$14312,SMALL(IF($A$3:$A$14312=AN$3,ROW($A$3:$A$14312)),ROW(23:23)),2)),"",INDEX($A$3:$B$14312,SMALL(IF($A$3:$A$14312=AN$3,ROW($A$3:$A$14312)),ROW(23:23)),2))</f>
        <v/>
      </c>
      <c r="AO25" t="str">
        <f t="array" ref="AO25">IF(ISERROR(INDEX($A$3:$B$14312,SMALL(IF($A$3:$A$14312=AO$3,ROW($A$3:$A$14312)),ROW(23:23)),2)),"",INDEX($A$3:$B$14312,SMALL(IF($A$3:$A$14312=AO$3,ROW($A$3:$A$14312)),ROW(23:23)),2))</f>
        <v/>
      </c>
      <c r="AP25" t="str">
        <f t="array" ref="AP25">IF(ISERROR(INDEX($A$3:$B$14312,SMALL(IF($A$3:$A$14312=AP$3,ROW($A$3:$A$14312)),ROW(23:23)),2)),"",INDEX($A$3:$B$14312,SMALL(IF($A$3:$A$14312=AP$3,ROW($A$3:$A$14312)),ROW(23:23)),2))</f>
        <v>Router3_25</v>
      </c>
      <c r="AQ25" t="str">
        <f t="array" ref="AQ25">IF(ISERROR(INDEX($A$3:$B$14312,SMALL(IF($A$3:$A$14312=AQ$3,ROW($A$3:$A$14312)),ROW(23:23)),2)),"",INDEX($A$3:$B$14312,SMALL(IF($A$3:$A$14312=AQ$3,ROW($A$3:$A$14312)),ROW(23:23)),2))</f>
        <v/>
      </c>
      <c r="AR25" t="str">
        <f t="array" ref="AR25">IF(ISERROR(INDEX($A$3:$B$14312,SMALL(IF($A$3:$A$14312=AR$3,ROW($A$3:$A$14312)),ROW(23:23)),2)),"",INDEX($A$3:$B$14312,SMALL(IF($A$3:$A$14312=AR$3,ROW($A$3:$A$14312)),ROW(23:23)),2))</f>
        <v/>
      </c>
      <c r="AS25" t="str">
        <f t="array" ref="AS25">IF(ISERROR(INDEX($A$3:$B$14312,SMALL(IF($A$3:$A$14312=AS$3,ROW($A$3:$A$14312)),ROW(23:23)),2)),"",INDEX($A$3:$B$14312,SMALL(IF($A$3:$A$14312=AS$3,ROW($A$3:$A$14312)),ROW(23:23)),2))</f>
        <v>Router3_95</v>
      </c>
      <c r="AT25" t="str">
        <f t="array" ref="AT25">IF(ISERROR(INDEX($A$3:$B$14312,SMALL(IF($A$3:$A$14312=AT$3,ROW($A$3:$A$14312)),ROW(23:23)),2)),"",INDEX($A$3:$B$14312,SMALL(IF($A$3:$A$14312=AT$3,ROW($A$3:$A$14312)),ROW(23:23)),2))</f>
        <v/>
      </c>
      <c r="AU25" t="str">
        <f t="array" ref="AU25">IF(ISERROR(INDEX($A$3:$B$14312,SMALL(IF($A$3:$A$14312=AU$3,ROW($A$3:$A$14312)),ROW(23:23)),2)),"",INDEX($A$3:$B$14312,SMALL(IF($A$3:$A$14312=AU$3,ROW($A$3:$A$14312)),ROW(23:23)),2))</f>
        <v/>
      </c>
      <c r="AV25" t="str">
        <f t="array" ref="AV25">IF(ISERROR(INDEX($A$3:$B$14312,SMALL(IF($A$3:$A$14312=AV$3,ROW($A$3:$A$14312)),ROW(23:23)),2)),"",INDEX($A$3:$B$14312,SMALL(IF($A$3:$A$14312=AV$3,ROW($A$3:$A$14312)),ROW(23:23)),2))</f>
        <v/>
      </c>
      <c r="AW25" t="str">
        <f t="array" ref="AW25">IF(ISERROR(INDEX($A$3:$B$14312,SMALL(IF($A$3:$A$14312=AW$3,ROW($A$3:$A$14312)),ROW(23:23)),2)),"",INDEX($A$3:$B$14312,SMALL(IF($A$3:$A$14312=AW$3,ROW($A$3:$A$14312)),ROW(23:23)),2))</f>
        <v/>
      </c>
      <c r="AX25" t="str">
        <f t="array" ref="AX25">IF(ISERROR(INDEX($A$3:$B$14312,SMALL(IF($A$3:$A$14312=AX$3,ROW($A$3:$A$14312)),ROW(23:23)),2)),"",INDEX($A$3:$B$14312,SMALL(IF($A$3:$A$14312=AX$3,ROW($A$3:$A$14312)),ROW(23:23)),2))</f>
        <v/>
      </c>
      <c r="AY25" t="str">
        <f t="array" ref="AY25">IF(ISERROR(INDEX($A$3:$B$14312,SMALL(IF($A$3:$A$14312=AY$3,ROW($A$3:$A$14312)),ROW(23:23)),2)),"",INDEX($A$3:$B$14312,SMALL(IF($A$3:$A$14312=AY$3,ROW($A$3:$A$14312)),ROW(23:23)),2))</f>
        <v>Router3_145</v>
      </c>
      <c r="AZ25" t="str">
        <f t="array" ref="AZ25">IF(ISERROR(INDEX($A$3:$B$14312,SMALL(IF($A$3:$A$14312=AZ$3,ROW($A$3:$A$14312)),ROW(23:23)),2)),"",INDEX($A$3:$B$14312,SMALL(IF($A$3:$A$14312=AZ$3,ROW($A$3:$A$14312)),ROW(23:23)),2))</f>
        <v/>
      </c>
      <c r="BA25" t="str">
        <f t="array" ref="BA25">IF(ISERROR(INDEX($A$3:$B$14312,SMALL(IF($A$3:$A$14312=BA$3,ROW($A$3:$A$14312)),ROW(23:23)),2)),"",INDEX($A$3:$B$14312,SMALL(IF($A$3:$A$14312=BA$3,ROW($A$3:$A$14312)),ROW(23:23)),2))</f>
        <v/>
      </c>
      <c r="BB25" t="str">
        <f t="array" ref="BB25">IF(ISERROR(INDEX($A$3:$B$14312,SMALL(IF($A$3:$A$14312=BB$3,ROW($A$3:$A$14312)),ROW(23:23)),2)),"",INDEX($A$3:$B$14312,SMALL(IF($A$3:$A$14312=BB$3,ROW($A$3:$A$14312)),ROW(23:23)),2))</f>
        <v/>
      </c>
      <c r="BC25" t="str">
        <f t="array" ref="BC25">IF(ISERROR(INDEX($A$3:$B$14312,SMALL(IF($A$3:$A$14312=BC$3,ROW($A$3:$A$14312)),ROW(23:23)),2)),"",INDEX($A$3:$B$14312,SMALL(IF($A$3:$A$14312=BC$3,ROW($A$3:$A$14312)),ROW(23:23)),2))</f>
        <v/>
      </c>
      <c r="BD25" t="str">
        <f t="array" ref="BD25">IF(ISERROR(INDEX($A$3:$B$14312,SMALL(IF($A$3:$A$14312=BD$3,ROW($A$3:$A$14312)),ROW(23:23)),2)),"",INDEX($A$3:$B$14312,SMALL(IF($A$3:$A$14312=BD$3,ROW($A$3:$A$14312)),ROW(23:23)),2))</f>
        <v/>
      </c>
      <c r="BE25" t="str">
        <f t="array" ref="BE25">IF(ISERROR(INDEX($A$3:$B$14312,SMALL(IF($A$3:$A$14312=BE$3,ROW($A$3:$A$14312)),ROW(23:23)),2)),"",INDEX($A$3:$B$14312,SMALL(IF($A$3:$A$14312=BE$3,ROW($A$3:$A$14312)),ROW(23:23)),2))</f>
        <v/>
      </c>
      <c r="BF25" t="str">
        <f t="array" ref="BF25">IF(ISERROR(INDEX($A$3:$B$14312,SMALL(IF($A$3:$A$14312=BF$3,ROW($A$3:$A$14312)),ROW(23:23)),2)),"",INDEX($A$3:$B$14312,SMALL(IF($A$3:$A$14312=BF$3,ROW($A$3:$A$14312)),ROW(23:23)),2))</f>
        <v/>
      </c>
      <c r="BG25" t="str">
        <f t="array" ref="BG25">IF(ISERROR(INDEX($A$3:$B$14312,SMALL(IF($A$3:$A$14312=BG$3,ROW($A$3:$A$14312)),ROW(23:23)),2)),"",INDEX($A$3:$B$14312,SMALL(IF($A$3:$A$14312=BG$3,ROW($A$3:$A$14312)),ROW(23:23)),2))</f>
        <v/>
      </c>
      <c r="BH25" t="str">
        <f t="array" ref="BH25">IF(ISERROR(INDEX($A$3:$B$14312,SMALL(IF($A$3:$A$14312=BH$3,ROW($A$3:$A$14312)),ROW(23:23)),2)),"",INDEX($A$3:$B$14312,SMALL(IF($A$3:$A$14312=BH$3,ROW($A$3:$A$14312)),ROW(23:23)),2))</f>
        <v/>
      </c>
      <c r="BI25" t="str">
        <f t="array" ref="BI25">IF(ISERROR(INDEX($A$3:$B$14312,SMALL(IF($A$3:$A$14312=BI$3,ROW($A$3:$A$14312)),ROW(23:23)),2)),"",INDEX($A$3:$B$14312,SMALL(IF($A$3:$A$14312=BI$3,ROW($A$3:$A$14312)),ROW(23:23)),2))</f>
        <v/>
      </c>
      <c r="BJ25" t="str">
        <f t="array" ref="BJ25">IF(ISERROR(INDEX($A$3:$B$14312,SMALL(IF($A$3:$A$14312=BJ$3,ROW($A$3:$A$14312)),ROW(23:23)),2)),"",INDEX($A$3:$B$14312,SMALL(IF($A$3:$A$14312=BJ$3,ROW($A$3:$A$14312)),ROW(23:23)),2))</f>
        <v/>
      </c>
      <c r="BK25" t="str">
        <f t="array" ref="BK25">IF(ISERROR(INDEX($A$3:$B$14312,SMALL(IF($A$3:$A$14312=BK$3,ROW($A$3:$A$14312)),ROW(23:23)),2)),"",INDEX($A$3:$B$14312,SMALL(IF($A$3:$A$14312=BK$3,ROW($A$3:$A$14312)),ROW(23:23)),2))</f>
        <v/>
      </c>
      <c r="BL25" t="str">
        <f t="array" ref="BL25">IF(ISERROR(INDEX($A$3:$B$14312,SMALL(IF($A$3:$A$14312=BL$3,ROW($A$3:$A$14312)),ROW(23:23)),2)),"",INDEX($A$3:$B$14312,SMALL(IF($A$3:$A$14312=BL$3,ROW($A$3:$A$14312)),ROW(23:23)),2))</f>
        <v/>
      </c>
      <c r="BM25" t="str">
        <f t="array" ref="BM25">IF(ISERROR(INDEX($A$3:$B$14312,SMALL(IF($A$3:$A$14312=BM$3,ROW($A$3:$A$14312)),ROW(23:23)),2)),"",INDEX($A$3:$B$14312,SMALL(IF($A$3:$A$14312=BM$3,ROW($A$3:$A$14312)),ROW(23:23)),2))</f>
        <v/>
      </c>
      <c r="BN25" t="str">
        <f t="array" ref="BN25">IF(ISERROR(INDEX($A$3:$B$14312,SMALL(IF($A$3:$A$14312=BN$3,ROW($A$3:$A$14312)),ROW(23:23)),2)),"",INDEX($A$3:$B$14312,SMALL(IF($A$3:$A$14312=BN$3,ROW($A$3:$A$14312)),ROW(23:23)),2))</f>
        <v/>
      </c>
      <c r="BO25" t="str">
        <f t="array" ref="BO25">IF(ISERROR(INDEX($A$3:$B$14312,SMALL(IF($A$3:$A$14312=BO$3,ROW($A$3:$A$14312)),ROW(23:23)),2)),"",INDEX($A$3:$B$14312,SMALL(IF($A$3:$A$14312=BO$3,ROW($A$3:$A$14312)),ROW(23:23)),2))</f>
        <v/>
      </c>
      <c r="BP25" t="str">
        <f t="array" ref="BP25">IF(ISERROR(INDEX($A$3:$B$14312,SMALL(IF($A$3:$A$14312=BP$3,ROW($A$3:$A$14312)),ROW(23:23)),2)),"",INDEX($A$3:$B$14312,SMALL(IF($A$3:$A$14312=BP$3,ROW($A$3:$A$14312)),ROW(23:23)),2))</f>
        <v/>
      </c>
      <c r="BQ25" t="str">
        <f t="array" ref="BQ25">IF(ISERROR(INDEX($A$3:$B$14312,SMALL(IF($A$3:$A$14312=BQ$3,ROW($A$3:$A$14312)),ROW(23:23)),2)),"",INDEX($A$3:$B$14312,SMALL(IF($A$3:$A$14312=BQ$3,ROW($A$3:$A$14312)),ROW(23:23)),2))</f>
        <v/>
      </c>
      <c r="BR25" t="str">
        <f t="array" ref="BR25">IF(ISERROR(INDEX($A$3:$B$14312,SMALL(IF($A$3:$A$14312=BR$3,ROW($A$3:$A$14312)),ROW(23:23)),2)),"",INDEX($A$3:$B$14312,SMALL(IF($A$3:$A$14312=BR$3,ROW($A$3:$A$14312)),ROW(23:23)),2))</f>
        <v/>
      </c>
      <c r="BS25" t="str">
        <f t="array" ref="BS25">IF(ISERROR(INDEX($A$3:$B$14312,SMALL(IF($A$3:$A$14312=BS$3,ROW($A$3:$A$14312)),ROW(23:23)),2)),"",INDEX($A$3:$B$14312,SMALL(IF($A$3:$A$14312=BS$3,ROW($A$3:$A$14312)),ROW(23:23)),2))</f>
        <v/>
      </c>
      <c r="BT25" t="str">
        <f t="array" ref="BT25">IF(ISERROR(INDEX($A$3:$B$14312,SMALL(IF($A$3:$A$14312=BT$3,ROW($A$3:$A$14312)),ROW(23:23)),2)),"",INDEX($A$3:$B$14312,SMALL(IF($A$3:$A$14312=BT$3,ROW($A$3:$A$14312)),ROW(23:23)),2))</f>
        <v>Router3_110</v>
      </c>
      <c r="BU25" t="str">
        <f t="array" ref="BU25">IF(ISERROR(INDEX($A$3:$B$14312,SMALL(IF($A$3:$A$14312=BU$3,ROW($A$3:$A$14312)),ROW(23:23)),2)),"",INDEX($A$3:$B$14312,SMALL(IF($A$3:$A$14312=BU$3,ROW($A$3:$A$14312)),ROW(23:23)),2))</f>
        <v/>
      </c>
      <c r="BV25" t="str">
        <f t="array" ref="BV25">IF(ISERROR(INDEX($A$3:$B$14312,SMALL(IF($A$3:$A$14312=BV$3,ROW($A$3:$A$14312)),ROW(23:23)),2)),"",INDEX($A$3:$B$14312,SMALL(IF($A$3:$A$14312=BV$3,ROW($A$3:$A$14312)),ROW(23:23)),2))</f>
        <v/>
      </c>
      <c r="BW25" t="str">
        <f t="array" ref="BW25">IF(ISERROR(INDEX($A$3:$B$14312,SMALL(IF($A$3:$A$14312=BW$3,ROW($A$3:$A$14312)),ROW(23:23)),2)),"",INDEX($A$3:$B$14312,SMALL(IF($A$3:$A$14312=BW$3,ROW($A$3:$A$14312)),ROW(23:23)),2))</f>
        <v>Router3_161</v>
      </c>
      <c r="BX25" t="str">
        <f t="array" ref="BX25">IF(ISERROR(INDEX($A$3:$B$14312,SMALL(IF($A$3:$A$14312=BX$3,ROW($A$3:$A$14312)),ROW(23:23)),2)),"",INDEX($A$3:$B$14312,SMALL(IF($A$3:$A$14312=BX$3,ROW($A$3:$A$14312)),ROW(23:23)),2))</f>
        <v>Router3_117</v>
      </c>
      <c r="BY25" t="str">
        <f t="array" ref="BY25">IF(ISERROR(INDEX($A$3:$B$14312,SMALL(IF($A$3:$A$14312=BY$3,ROW($A$3:$A$14312)),ROW(23:23)),2)),"",INDEX($A$3:$B$14312,SMALL(IF($A$3:$A$14312=BY$3,ROW($A$3:$A$14312)),ROW(23:23)),2))</f>
        <v>Router3_95</v>
      </c>
      <c r="BZ25" t="str">
        <f t="array" ref="BZ25">IF(ISERROR(INDEX($A$3:$B$14312,SMALL(IF($A$3:$A$14312=BZ$3,ROW($A$3:$A$14312)),ROW(23:23)),2)),"",INDEX($A$3:$B$14312,SMALL(IF($A$3:$A$14312=BZ$3,ROW($A$3:$A$14312)),ROW(23:23)),2))</f>
        <v>Router3_95</v>
      </c>
      <c r="CA25" t="str">
        <f t="array" ref="CA25">IF(ISERROR(INDEX($A$3:$B$14312,SMALL(IF($A$3:$A$14312=CA$3,ROW($A$3:$A$14312)),ROW(23:23)),2)),"",INDEX($A$3:$B$14312,SMALL(IF($A$3:$A$14312=CA$3,ROW($A$3:$A$14312)),ROW(23:23)),2))</f>
        <v/>
      </c>
      <c r="CB25" t="str">
        <f t="array" ref="CB25">IF(ISERROR(INDEX($A$3:$B$14312,SMALL(IF($A$3:$A$14312=CB$3,ROW($A$3:$A$14312)),ROW(23:23)),2)),"",INDEX($A$3:$B$14312,SMALL(IF($A$3:$A$14312=CB$3,ROW($A$3:$A$14312)),ROW(23:23)),2))</f>
        <v/>
      </c>
      <c r="CC25" t="str">
        <f t="array" ref="CC25">IF(ISERROR(INDEX($A$3:$B$14312,SMALL(IF($A$3:$A$14312=CC$3,ROW($A$3:$A$14312)),ROW(23:23)),2)),"",INDEX($A$3:$B$14312,SMALL(IF($A$3:$A$14312=CC$3,ROW($A$3:$A$14312)),ROW(23:23)),2))</f>
        <v/>
      </c>
      <c r="CD25" t="str">
        <f t="array" ref="CD25">IF(ISERROR(INDEX($A$3:$B$14312,SMALL(IF($A$3:$A$14312=CD$3,ROW($A$3:$A$14312)),ROW(23:23)),2)),"",INDEX($A$3:$B$14312,SMALL(IF($A$3:$A$14312=CD$3,ROW($A$3:$A$14312)),ROW(23:23)),2))</f>
        <v/>
      </c>
      <c r="CE25" t="str">
        <f t="array" ref="CE25">IF(ISERROR(INDEX($A$3:$B$14312,SMALL(IF($A$3:$A$14312=CE$3,ROW($A$3:$A$14312)),ROW(23:23)),2)),"",INDEX($A$3:$B$14312,SMALL(IF($A$3:$A$14312=CE$3,ROW($A$3:$A$14312)),ROW(23:23)),2))</f>
        <v/>
      </c>
      <c r="CF25" t="str">
        <f t="array" ref="CF25">IF(ISERROR(INDEX($A$3:$B$14312,SMALL(IF($A$3:$A$14312=CF$3,ROW($A$3:$A$14312)),ROW(23:23)),2)),"",INDEX($A$3:$B$14312,SMALL(IF($A$3:$A$14312=CF$3,ROW($A$3:$A$14312)),ROW(23:23)),2))</f>
        <v/>
      </c>
      <c r="CG25" t="str">
        <f t="array" ref="CG25">IF(ISERROR(INDEX($A$3:$B$14312,SMALL(IF($A$3:$A$14312=CG$3,ROW($A$3:$A$14312)),ROW(23:23)),2)),"",INDEX($A$3:$B$14312,SMALL(IF($A$3:$A$14312=CG$3,ROW($A$3:$A$14312)),ROW(23:23)),2))</f>
        <v/>
      </c>
      <c r="CH25" t="str">
        <f t="array" ref="CH25">IF(ISERROR(INDEX($A$3:$B$14312,SMALL(IF($A$3:$A$14312=CH$3,ROW($A$3:$A$14312)),ROW(23:23)),2)),"",INDEX($A$3:$B$14312,SMALL(IF($A$3:$A$14312=CH$3,ROW($A$3:$A$14312)),ROW(23:23)),2))</f>
        <v/>
      </c>
      <c r="CI25" t="str">
        <f t="array" ref="CI25">IF(ISERROR(INDEX($A$3:$B$14312,SMALL(IF($A$3:$A$14312=CI$3,ROW($A$3:$A$14312)),ROW(23:23)),2)),"",INDEX($A$3:$B$14312,SMALL(IF($A$3:$A$14312=CI$3,ROW($A$3:$A$14312)),ROW(23:23)),2))</f>
        <v/>
      </c>
      <c r="CJ25" t="str">
        <f t="array" ref="CJ25">IF(ISERROR(INDEX($A$3:$B$14312,SMALL(IF($A$3:$A$14312=CJ$3,ROW($A$3:$A$14312)),ROW(23:23)),2)),"",INDEX($A$3:$B$14312,SMALL(IF($A$3:$A$14312=CJ$3,ROW($A$3:$A$14312)),ROW(23:23)),2))</f>
        <v/>
      </c>
      <c r="CK25" t="str">
        <f t="array" ref="CK25">IF(ISERROR(INDEX($A$3:$B$14312,SMALL(IF($A$3:$A$14312=CK$3,ROW($A$3:$A$14312)),ROW(23:23)),2)),"",INDEX($A$3:$B$14312,SMALL(IF($A$3:$A$14312=CK$3,ROW($A$3:$A$14312)),ROW(23:23)),2))</f>
        <v/>
      </c>
      <c r="CL25" t="str">
        <f t="array" ref="CL25">IF(ISERROR(INDEX($A$3:$B$14312,SMALL(IF($A$3:$A$14312=CL$3,ROW($A$3:$A$14312)),ROW(23:23)),2)),"",INDEX($A$3:$B$14312,SMALL(IF($A$3:$A$14312=CL$3,ROW($A$3:$A$14312)),ROW(23:23)),2))</f>
        <v/>
      </c>
      <c r="CM25" t="str">
        <f t="array" ref="CM25">IF(ISERROR(INDEX($A$3:$B$14312,SMALL(IF($A$3:$A$14312=CM$3,ROW($A$3:$A$14312)),ROW(23:23)),2)),"",INDEX($A$3:$B$14312,SMALL(IF($A$3:$A$14312=CM$3,ROW($A$3:$A$14312)),ROW(23:23)),2))</f>
        <v/>
      </c>
      <c r="CN25" t="str">
        <f t="array" ref="CN25">IF(ISERROR(INDEX($A$3:$B$14312,SMALL(IF($A$3:$A$14312=CN$3,ROW($A$3:$A$14312)),ROW(23:23)),2)),"",INDEX($A$3:$B$14312,SMALL(IF($A$3:$A$14312=CN$3,ROW($A$3:$A$14312)),ROW(23:23)),2))</f>
        <v>Router3_97</v>
      </c>
      <c r="CO25" t="str">
        <f t="array" ref="CO25">IF(ISERROR(INDEX($A$3:$B$14312,SMALL(IF($A$3:$A$14312=CO$3,ROW($A$3:$A$14312)),ROW(23:23)),2)),"",INDEX($A$3:$B$14312,SMALL(IF($A$3:$A$14312=CO$3,ROW($A$3:$A$14312)),ROW(23:23)),2))</f>
        <v>Router3_117</v>
      </c>
      <c r="CP25" t="str">
        <f t="array" ref="CP25">IF(ISERROR(INDEX($A$3:$B$14312,SMALL(IF($A$3:$A$14312=CP$3,ROW($A$3:$A$14312)),ROW(23:23)),2)),"",INDEX($A$3:$B$14312,SMALL(IF($A$3:$A$14312=CP$3,ROW($A$3:$A$14312)),ROW(23:23)),2))</f>
        <v/>
      </c>
      <c r="CQ25" t="str">
        <f t="array" ref="CQ25">IF(ISERROR(INDEX($A$3:$B$14312,SMALL(IF($A$3:$A$14312=CQ$3,ROW($A$3:$A$14312)),ROW(23:23)),2)),"",INDEX($A$3:$B$14312,SMALL(IF($A$3:$A$14312=CQ$3,ROW($A$3:$A$14312)),ROW(23:23)),2))</f>
        <v/>
      </c>
      <c r="CR25" t="str">
        <f t="array" ref="CR25">IF(ISERROR(INDEX($A$3:$B$14312,SMALL(IF($A$3:$A$14312=CR$3,ROW($A$3:$A$14312)),ROW(23:23)),2)),"",INDEX($A$3:$B$14312,SMALL(IF($A$3:$A$14312=CR$3,ROW($A$3:$A$14312)),ROW(23:23)),2))</f>
        <v/>
      </c>
      <c r="CS25" t="str">
        <f t="array" ref="CS25">IF(ISERROR(INDEX($A$3:$B$14312,SMALL(IF($A$3:$A$14312=CS$3,ROW($A$3:$A$14312)),ROW(23:23)),2)),"",INDEX($A$3:$B$14312,SMALL(IF($A$3:$A$14312=CS$3,ROW($A$3:$A$14312)),ROW(23:23)),2))</f>
        <v/>
      </c>
      <c r="CT25" t="str">
        <f t="array" ref="CT25">IF(ISERROR(INDEX($A$3:$B$14312,SMALL(IF($A$3:$A$14312=CT$3,ROW($A$3:$A$14312)),ROW(23:23)),2)),"",INDEX($A$3:$B$14312,SMALL(IF($A$3:$A$14312=CT$3,ROW($A$3:$A$14312)),ROW(23:23)),2))</f>
        <v/>
      </c>
      <c r="CU25" t="str">
        <f t="array" ref="CU25">IF(ISERROR(INDEX($A$3:$B$14312,SMALL(IF($A$3:$A$14312=CU$3,ROW($A$3:$A$14312)),ROW(23:23)),2)),"",INDEX($A$3:$B$14312,SMALL(IF($A$3:$A$14312=CU$3,ROW($A$3:$A$14312)),ROW(23:23)),2))</f>
        <v/>
      </c>
      <c r="CV25" t="str">
        <f t="array" ref="CV25">IF(ISERROR(INDEX($A$3:$B$14312,SMALL(IF($A$3:$A$14312=CV$3,ROW($A$3:$A$14312)),ROW(23:23)),2)),"",INDEX($A$3:$B$14312,SMALL(IF($A$3:$A$14312=CV$3,ROW($A$3:$A$14312)),ROW(23:23)),2))</f>
        <v/>
      </c>
      <c r="CW25" t="str">
        <f t="array" ref="CW25">IF(ISERROR(INDEX($A$3:$B$14312,SMALL(IF($A$3:$A$14312=CW$3,ROW($A$3:$A$14312)),ROW(23:23)),2)),"",INDEX($A$3:$B$14312,SMALL(IF($A$3:$A$14312=CW$3,ROW($A$3:$A$14312)),ROW(23:23)),2))</f>
        <v/>
      </c>
      <c r="CX25" t="str">
        <f t="array" ref="CX25">IF(ISERROR(INDEX($A$3:$B$14312,SMALL(IF($A$3:$A$14312=CX$3,ROW($A$3:$A$14312)),ROW(23:23)),2)),"",INDEX($A$3:$B$14312,SMALL(IF($A$3:$A$14312=CX$3,ROW($A$3:$A$14312)),ROW(23:23)),2))</f>
        <v/>
      </c>
      <c r="CY25" t="str">
        <f t="array" ref="CY25">IF(ISERROR(INDEX($A$3:$B$14312,SMALL(IF($A$3:$A$14312=CY$3,ROW($A$3:$A$14312)),ROW(23:23)),2)),"",INDEX($A$3:$B$14312,SMALL(IF($A$3:$A$14312=CY$3,ROW($A$3:$A$14312)),ROW(23:23)),2))</f>
        <v>Router3_117</v>
      </c>
      <c r="CZ25" t="str">
        <f t="array" ref="CZ25">IF(ISERROR(INDEX($A$3:$B$14312,SMALL(IF($A$3:$A$14312=CZ$3,ROW($A$3:$A$14312)),ROW(23:23)),2)),"",INDEX($A$3:$B$14312,SMALL(IF($A$3:$A$14312=CZ$3,ROW($A$3:$A$14312)),ROW(23:23)),2))</f>
        <v/>
      </c>
      <c r="DA25" t="str">
        <f t="array" ref="DA25">IF(ISERROR(INDEX($A$3:$B$14312,SMALL(IF($A$3:$A$14312=DA$3,ROW($A$3:$A$14312)),ROW(23:23)),2)),"",INDEX($A$3:$B$14312,SMALL(IF($A$3:$A$14312=DA$3,ROW($A$3:$A$14312)),ROW(23:23)),2))</f>
        <v>Router3_153</v>
      </c>
      <c r="DB25" t="str">
        <f t="array" ref="DB25">IF(ISERROR(INDEX($A$3:$B$14312,SMALL(IF($A$3:$A$14312=DB$3,ROW($A$3:$A$14312)),ROW(23:23)),2)),"",INDEX($A$3:$B$14312,SMALL(IF($A$3:$A$14312=DB$3,ROW($A$3:$A$14312)),ROW(23:23)),2))</f>
        <v/>
      </c>
      <c r="DC25" t="str">
        <f t="array" ref="DC25">IF(ISERROR(INDEX($A$3:$B$14312,SMALL(IF($A$3:$A$14312=DC$3,ROW($A$3:$A$14312)),ROW(23:23)),2)),"",INDEX($A$3:$B$14312,SMALL(IF($A$3:$A$14312=DC$3,ROW($A$3:$A$14312)),ROW(23:23)),2))</f>
        <v>Router3_144</v>
      </c>
      <c r="DD25" t="str">
        <f t="array" ref="DD25">IF(ISERROR(INDEX($A$3:$B$14312,SMALL(IF($A$3:$A$14312=DD$3,ROW($A$3:$A$14312)),ROW(23:23)),2)),"",INDEX($A$3:$B$14312,SMALL(IF($A$3:$A$14312=DD$3,ROW($A$3:$A$14312)),ROW(23:23)),2))</f>
        <v/>
      </c>
      <c r="DE25" t="str">
        <f t="array" ref="DE25">IF(ISERROR(INDEX($A$3:$B$14312,SMALL(IF($A$3:$A$14312=DE$3,ROW($A$3:$A$14312)),ROW(23:23)),2)),"",INDEX($A$3:$B$14312,SMALL(IF($A$3:$A$14312=DE$3,ROW($A$3:$A$14312)),ROW(23:23)),2))</f>
        <v/>
      </c>
      <c r="DF25" t="str">
        <f t="array" ref="DF25">IF(ISERROR(INDEX($A$3:$B$14312,SMALL(IF($A$3:$A$14312=DF$3,ROW($A$3:$A$14312)),ROW(23:23)),2)),"",INDEX($A$3:$B$14312,SMALL(IF($A$3:$A$14312=DF$3,ROW($A$3:$A$14312)),ROW(23:23)),2))</f>
        <v/>
      </c>
      <c r="DG25" t="str">
        <f t="array" ref="DG25">IF(ISERROR(INDEX($A$3:$B$14312,SMALL(IF($A$3:$A$14312=DG$3,ROW($A$3:$A$14312)),ROW(23:23)),2)),"",INDEX($A$3:$B$14312,SMALL(IF($A$3:$A$14312=DG$3,ROW($A$3:$A$14312)),ROW(23:23)),2))</f>
        <v>Router3_126</v>
      </c>
      <c r="DH25" t="str">
        <f t="array" ref="DH25">IF(ISERROR(INDEX($A$3:$B$14312,SMALL(IF($A$3:$A$14312=DH$3,ROW($A$3:$A$14312)),ROW(23:23)),2)),"",INDEX($A$3:$B$14312,SMALL(IF($A$3:$A$14312=DH$3,ROW($A$3:$A$14312)),ROW(23:23)),2))</f>
        <v/>
      </c>
      <c r="DI25" t="str">
        <f t="array" ref="DI25">IF(ISERROR(INDEX($A$3:$B$14312,SMALL(IF($A$3:$A$14312=DI$3,ROW($A$3:$A$14312)),ROW(23:23)),2)),"",INDEX($A$3:$B$14312,SMALL(IF($A$3:$A$14312=DI$3,ROW($A$3:$A$14312)),ROW(23:23)),2))</f>
        <v>Router3_89</v>
      </c>
      <c r="DJ25" t="str">
        <f t="array" ref="DJ25">IF(ISERROR(INDEX($A$3:$B$14312,SMALL(IF($A$3:$A$14312=DJ$3,ROW($A$3:$A$14312)),ROW(23:23)),2)),"",INDEX($A$3:$B$14312,SMALL(IF($A$3:$A$14312=DJ$3,ROW($A$3:$A$14312)),ROW(23:23)),2))</f>
        <v>Router3_96</v>
      </c>
      <c r="DK25" t="str">
        <f t="array" ref="DK25">IF(ISERROR(INDEX($A$3:$B$14312,SMALL(IF($A$3:$A$14312=DK$3,ROW($A$3:$A$14312)),ROW(23:23)),2)),"",INDEX($A$3:$B$14312,SMALL(IF($A$3:$A$14312=DK$3,ROW($A$3:$A$14312)),ROW(23:23)),2))</f>
        <v>Router3_123</v>
      </c>
      <c r="DL25" t="str">
        <f t="array" ref="DL25">IF(ISERROR(INDEX($A$3:$B$14312,SMALL(IF($A$3:$A$14312=DL$3,ROW($A$3:$A$14312)),ROW(23:23)),2)),"",INDEX($A$3:$B$14312,SMALL(IF($A$3:$A$14312=DL$3,ROW($A$3:$A$14312)),ROW(23:23)),2))</f>
        <v/>
      </c>
      <c r="DM25" t="str">
        <f t="array" ref="DM25">IF(ISERROR(INDEX($A$3:$B$14312,SMALL(IF($A$3:$A$14312=DM$3,ROW($A$3:$A$14312)),ROW(23:23)),2)),"",INDEX($A$3:$B$14312,SMALL(IF($A$3:$A$14312=DM$3,ROW($A$3:$A$14312)),ROW(23:23)),2))</f>
        <v/>
      </c>
      <c r="DN25" t="str">
        <f t="array" ref="DN25">IF(ISERROR(INDEX($A$3:$B$14312,SMALL(IF($A$3:$A$14312=DN$3,ROW($A$3:$A$14312)),ROW(23:23)),2)),"",INDEX($A$3:$B$14312,SMALL(IF($A$3:$A$14312=DN$3,ROW($A$3:$A$14312)),ROW(23:23)),2))</f>
        <v/>
      </c>
      <c r="DO25" t="str">
        <f t="array" ref="DO25">IF(ISERROR(INDEX($A$3:$B$14312,SMALL(IF($A$3:$A$14312=DO$3,ROW($A$3:$A$14312)),ROW(23:23)),2)),"",INDEX($A$3:$B$14312,SMALL(IF($A$3:$A$14312=DO$3,ROW($A$3:$A$14312)),ROW(23:23)),2))</f>
        <v/>
      </c>
      <c r="DP25" t="str">
        <f t="array" ref="DP25">IF(ISERROR(INDEX($A$3:$B$14312,SMALL(IF($A$3:$A$14312=DP$3,ROW($A$3:$A$14312)),ROW(23:23)),2)),"",INDEX($A$3:$B$14312,SMALL(IF($A$3:$A$14312=DP$3,ROW($A$3:$A$14312)),ROW(23:23)),2))</f>
        <v/>
      </c>
      <c r="DQ25" t="str">
        <f t="array" ref="DQ25">IF(ISERROR(INDEX($A$3:$B$14312,SMALL(IF($A$3:$A$14312=DQ$3,ROW($A$3:$A$14312)),ROW(23:23)),2)),"",INDEX($A$3:$B$14312,SMALL(IF($A$3:$A$14312=DQ$3,ROW($A$3:$A$14312)),ROW(23:23)),2))</f>
        <v/>
      </c>
      <c r="DR25" t="str">
        <f t="array" ref="DR25">IF(ISERROR(INDEX($A$3:$B$14312,SMALL(IF($A$3:$A$14312=DR$3,ROW($A$3:$A$14312)),ROW(23:23)),2)),"",INDEX($A$3:$B$14312,SMALL(IF($A$3:$A$14312=DR$3,ROW($A$3:$A$14312)),ROW(23:23)),2))</f>
        <v>Router3_25</v>
      </c>
      <c r="DS25" t="str">
        <f t="array" ref="DS25">IF(ISERROR(INDEX($A$3:$B$14312,SMALL(IF($A$3:$A$14312=DS$3,ROW($A$3:$A$14312)),ROW(23:23)),2)),"",INDEX($A$3:$B$14312,SMALL(IF($A$3:$A$14312=DS$3,ROW($A$3:$A$14312)),ROW(23:23)),2))</f>
        <v/>
      </c>
      <c r="DT25" t="str">
        <f t="array" ref="DT25">IF(ISERROR(INDEX($A$3:$B$14312,SMALL(IF($A$3:$A$14312=DT$3,ROW($A$3:$A$14312)),ROW(23:23)),2)),"",INDEX($A$3:$B$14312,SMALL(IF($A$3:$A$14312=DT$3,ROW($A$3:$A$14312)),ROW(23:23)),2))</f>
        <v>Router3_89</v>
      </c>
      <c r="DU25" t="str">
        <f t="array" ref="DU25">IF(ISERROR(INDEX($A$3:$B$14312,SMALL(IF($A$3:$A$14312=DU$3,ROW($A$3:$A$14312)),ROW(23:23)),2)),"",INDEX($A$3:$B$14312,SMALL(IF($A$3:$A$14312=DU$3,ROW($A$3:$A$14312)),ROW(23:23)),2))</f>
        <v>Router3_141</v>
      </c>
      <c r="DV25" t="str">
        <f t="array" ref="DV25">IF(ISERROR(INDEX($A$3:$B$14312,SMALL(IF($A$3:$A$14312=DV$3,ROW($A$3:$A$14312)),ROW(23:23)),2)),"",INDEX($A$3:$B$14312,SMALL(IF($A$3:$A$14312=DV$3,ROW($A$3:$A$14312)),ROW(23:23)),2))</f>
        <v/>
      </c>
      <c r="DW25" t="str">
        <f t="array" ref="DW25">IF(ISERROR(INDEX($A$3:$B$14312,SMALL(IF($A$3:$A$14312=DW$3,ROW($A$3:$A$14312)),ROW(23:23)),2)),"",INDEX($A$3:$B$14312,SMALL(IF($A$3:$A$14312=DW$3,ROW($A$3:$A$14312)),ROW(23:23)),2))</f>
        <v/>
      </c>
      <c r="DX25" t="str">
        <f t="array" ref="DX25">IF(ISERROR(INDEX($A$3:$B$14312,SMALL(IF($A$3:$A$14312=DX$3,ROW($A$3:$A$14312)),ROW(23:23)),2)),"",INDEX($A$3:$B$14312,SMALL(IF($A$3:$A$14312=DX$3,ROW($A$3:$A$14312)),ROW(23:23)),2))</f>
        <v/>
      </c>
      <c r="DY25" t="str">
        <f t="array" ref="DY25">IF(ISERROR(INDEX($A$3:$B$14312,SMALL(IF($A$3:$A$14312=DY$3,ROW($A$3:$A$14312)),ROW(23:23)),2)),"",INDEX($A$3:$B$14312,SMALL(IF($A$3:$A$14312=DY$3,ROW($A$3:$A$14312)),ROW(23:23)),2))</f>
        <v/>
      </c>
      <c r="DZ25" t="str">
        <f t="array" ref="DZ25">IF(ISERROR(INDEX($A$3:$B$14312,SMALL(IF($A$3:$A$14312=DZ$3,ROW($A$3:$A$14312)),ROW(23:23)),2)),"",INDEX($A$3:$B$14312,SMALL(IF($A$3:$A$14312=DZ$3,ROW($A$3:$A$14312)),ROW(23:23)),2))</f>
        <v/>
      </c>
      <c r="EA25" t="str">
        <f t="array" ref="EA25">IF(ISERROR(INDEX($A$3:$B$14312,SMALL(IF($A$3:$A$14312=EA$3,ROW($A$3:$A$14312)),ROW(23:23)),2)),"",INDEX($A$3:$B$14312,SMALL(IF($A$3:$A$14312=EA$3,ROW($A$3:$A$14312)),ROW(23:23)),2))</f>
        <v>Router3_141</v>
      </c>
      <c r="EB25" t="str">
        <f t="array" ref="EB25">IF(ISERROR(INDEX($A$3:$B$14312,SMALL(IF($A$3:$A$14312=EB$3,ROW($A$3:$A$14312)),ROW(23:23)),2)),"",INDEX($A$3:$B$14312,SMALL(IF($A$3:$A$14312=EB$3,ROW($A$3:$A$14312)),ROW(23:23)),2))</f>
        <v/>
      </c>
      <c r="EC25" t="str">
        <f t="array" ref="EC25">IF(ISERROR(INDEX($A$3:$B$14312,SMALL(IF($A$3:$A$14312=EC$3,ROW($A$3:$A$14312)),ROW(23:23)),2)),"",INDEX($A$3:$B$14312,SMALL(IF($A$3:$A$14312=EC$3,ROW($A$3:$A$14312)),ROW(23:23)),2))</f>
        <v>Router3_118</v>
      </c>
      <c r="ED25" t="str">
        <f t="array" ref="ED25">IF(ISERROR(INDEX($A$3:$B$14312,SMALL(IF($A$3:$A$14312=ED$3,ROW($A$3:$A$14312)),ROW(23:23)),2)),"",INDEX($A$3:$B$14312,SMALL(IF($A$3:$A$14312=ED$3,ROW($A$3:$A$14312)),ROW(23:23)),2))</f>
        <v>Router3_145</v>
      </c>
      <c r="EE25" t="str">
        <f t="array" ref="EE25">IF(ISERROR(INDEX($A$3:$B$14312,SMALL(IF($A$3:$A$14312=EE$3,ROW($A$3:$A$14312)),ROW(23:23)),2)),"",INDEX($A$3:$B$14312,SMALL(IF($A$3:$A$14312=EE$3,ROW($A$3:$A$14312)),ROW(23:23)),2))</f>
        <v>Router3_53</v>
      </c>
    </row>
    <row r="26" spans="1:135" x14ac:dyDescent="0.25">
      <c r="A26" s="10">
        <v>-450827382</v>
      </c>
      <c r="B26" t="s">
        <v>1103</v>
      </c>
      <c r="E26" t="str">
        <f t="array" ref="E26">IF(ISERROR(INDEX($A$3:$B$14312,SMALL(IF($A$3:$A$14312=E$3,ROW($A$3:$A$14312)),ROW(24:24)),2)),"",INDEX($A$3:$B$14312,SMALL(IF($A$3:$A$14312=E$3,ROW($A$3:$A$14312)),ROW(24:24)),2))</f>
        <v>Router3_100</v>
      </c>
      <c r="F26" t="str">
        <f t="array" ref="F26">IF(ISERROR(INDEX($A$3:$B$14312,SMALL(IF($A$3:$A$14312=F$3,ROW($A$3:$A$14312)),ROW(24:24)),2)),"",INDEX($A$3:$B$14312,SMALL(IF($A$3:$A$14312=F$3,ROW($A$3:$A$14312)),ROW(24:24)),2))</f>
        <v>Router3_91</v>
      </c>
      <c r="G26" t="str">
        <f t="array" ref="G26">IF(ISERROR(INDEX($A$3:$B$14312,SMALL(IF($A$3:$A$14312=G$3,ROW($A$3:$A$14312)),ROW(24:24)),2)),"",INDEX($A$3:$B$14312,SMALL(IF($A$3:$A$14312=G$3,ROW($A$3:$A$14312)),ROW(24:24)),2))</f>
        <v/>
      </c>
      <c r="H26" t="str">
        <f t="array" ref="H26">IF(ISERROR(INDEX($A$3:$B$14312,SMALL(IF($A$3:$A$14312=H$3,ROW($A$3:$A$14312)),ROW(24:24)),2)),"",INDEX($A$3:$B$14312,SMALL(IF($A$3:$A$14312=H$3,ROW($A$3:$A$14312)),ROW(24:24)),2))</f>
        <v/>
      </c>
      <c r="I26" t="str">
        <f t="array" ref="I26">IF(ISERROR(INDEX($A$3:$B$14312,SMALL(IF($A$3:$A$14312=I$3,ROW($A$3:$A$14312)),ROW(24:24)),2)),"",INDEX($A$3:$B$14312,SMALL(IF($A$3:$A$14312=I$3,ROW($A$3:$A$14312)),ROW(24:24)),2))</f>
        <v/>
      </c>
      <c r="J26" t="str">
        <f t="array" ref="J26">IF(ISERROR(INDEX($A$3:$B$14312,SMALL(IF($A$3:$A$14312=J$3,ROW($A$3:$A$14312)),ROW(24:24)),2)),"",INDEX($A$3:$B$14312,SMALL(IF($A$3:$A$14312=J$3,ROW($A$3:$A$14312)),ROW(24:24)),2))</f>
        <v>Router3_154</v>
      </c>
      <c r="K26" t="str">
        <f t="array" ref="K26">IF(ISERROR(INDEX($A$3:$B$14312,SMALL(IF($A$3:$A$14312=K$3,ROW($A$3:$A$14312)),ROW(24:24)),2)),"",INDEX($A$3:$B$14312,SMALL(IF($A$3:$A$14312=K$3,ROW($A$3:$A$14312)),ROW(24:24)),2))</f>
        <v/>
      </c>
      <c r="L26" t="str">
        <f t="array" ref="L26">IF(ISERROR(INDEX($A$3:$B$14312,SMALL(IF($A$3:$A$14312=L$3,ROW($A$3:$A$14312)),ROW(24:24)),2)),"",INDEX($A$3:$B$14312,SMALL(IF($A$3:$A$14312=L$3,ROW($A$3:$A$14312)),ROW(24:24)),2))</f>
        <v/>
      </c>
      <c r="M26" t="str">
        <f t="array" ref="M26">IF(ISERROR(INDEX($A$3:$B$14312,SMALL(IF($A$3:$A$14312=M$3,ROW($A$3:$A$14312)),ROW(24:24)),2)),"",INDEX($A$3:$B$14312,SMALL(IF($A$3:$A$14312=M$3,ROW($A$3:$A$14312)),ROW(24:24)),2))</f>
        <v/>
      </c>
      <c r="N26" t="str">
        <f t="array" ref="N26">IF(ISERROR(INDEX($A$3:$B$14312,SMALL(IF($A$3:$A$14312=N$3,ROW($A$3:$A$14312)),ROW(24:24)),2)),"",INDEX($A$3:$B$14312,SMALL(IF($A$3:$A$14312=N$3,ROW($A$3:$A$14312)),ROW(24:24)),2))</f>
        <v/>
      </c>
      <c r="O26" t="str">
        <f t="array" ref="O26">IF(ISERROR(INDEX($A$3:$B$14312,SMALL(IF($A$3:$A$14312=O$3,ROW($A$3:$A$14312)),ROW(24:24)),2)),"",INDEX($A$3:$B$14312,SMALL(IF($A$3:$A$14312=O$3,ROW($A$3:$A$14312)),ROW(24:24)),2))</f>
        <v/>
      </c>
      <c r="P26" t="str">
        <f t="array" ref="P26">IF(ISERROR(INDEX($A$3:$B$14312,SMALL(IF($A$3:$A$14312=P$3,ROW($A$3:$A$14312)),ROW(24:24)),2)),"",INDEX($A$3:$B$14312,SMALL(IF($A$3:$A$14312=P$3,ROW($A$3:$A$14312)),ROW(24:24)),2))</f>
        <v/>
      </c>
      <c r="Q26" t="str">
        <f t="array" ref="Q26">IF(ISERROR(INDEX($A$3:$B$14312,SMALL(IF($A$3:$A$14312=Q$3,ROW($A$3:$A$14312)),ROW(24:24)),2)),"",INDEX($A$3:$B$14312,SMALL(IF($A$3:$A$14312=Q$3,ROW($A$3:$A$14312)),ROW(24:24)),2))</f>
        <v/>
      </c>
      <c r="R26" t="str">
        <f t="array" ref="R26">IF(ISERROR(INDEX($A$3:$B$14312,SMALL(IF($A$3:$A$14312=R$3,ROW($A$3:$A$14312)),ROW(24:24)),2)),"",INDEX($A$3:$B$14312,SMALL(IF($A$3:$A$14312=R$3,ROW($A$3:$A$14312)),ROW(24:24)),2))</f>
        <v/>
      </c>
      <c r="S26" t="str">
        <f t="array" ref="S26">IF(ISERROR(INDEX($A$3:$B$14312,SMALL(IF($A$3:$A$14312=S$3,ROW($A$3:$A$14312)),ROW(24:24)),2)),"",INDEX($A$3:$B$14312,SMALL(IF($A$3:$A$14312=S$3,ROW($A$3:$A$14312)),ROW(24:24)),2))</f>
        <v/>
      </c>
      <c r="T26" t="str">
        <f t="array" ref="T26">IF(ISERROR(INDEX($A$3:$B$14312,SMALL(IF($A$3:$A$14312=T$3,ROW($A$3:$A$14312)),ROW(24:24)),2)),"",INDEX($A$3:$B$14312,SMALL(IF($A$3:$A$14312=T$3,ROW($A$3:$A$14312)),ROW(24:24)),2))</f>
        <v/>
      </c>
      <c r="U26" t="str">
        <f t="array" ref="U26">IF(ISERROR(INDEX($A$3:$B$14312,SMALL(IF($A$3:$A$14312=U$3,ROW($A$3:$A$14312)),ROW(24:24)),2)),"",INDEX($A$3:$B$14312,SMALL(IF($A$3:$A$14312=U$3,ROW($A$3:$A$14312)),ROW(24:24)),2))</f>
        <v/>
      </c>
      <c r="V26" t="str">
        <f t="array" ref="V26">IF(ISERROR(INDEX($A$3:$B$14312,SMALL(IF($A$3:$A$14312=V$3,ROW($A$3:$A$14312)),ROW(24:24)),2)),"",INDEX($A$3:$B$14312,SMALL(IF($A$3:$A$14312=V$3,ROW($A$3:$A$14312)),ROW(24:24)),2))</f>
        <v/>
      </c>
      <c r="W26" t="str">
        <f t="array" ref="W26">IF(ISERROR(INDEX($A$3:$B$14312,SMALL(IF($A$3:$A$14312=W$3,ROW($A$3:$A$14312)),ROW(24:24)),2)),"",INDEX($A$3:$B$14312,SMALL(IF($A$3:$A$14312=W$3,ROW($A$3:$A$14312)),ROW(24:24)),2))</f>
        <v>Router3_118</v>
      </c>
      <c r="X26" t="str">
        <f t="array" ref="X26">IF(ISERROR(INDEX($A$3:$B$14312,SMALL(IF($A$3:$A$14312=X$3,ROW($A$3:$A$14312)),ROW(24:24)),2)),"",INDEX($A$3:$B$14312,SMALL(IF($A$3:$A$14312=X$3,ROW($A$3:$A$14312)),ROW(24:24)),2))</f>
        <v/>
      </c>
      <c r="Y26" t="str">
        <f t="array" ref="Y26">IF(ISERROR(INDEX($A$3:$B$14312,SMALL(IF($A$3:$A$14312=Y$3,ROW($A$3:$A$14312)),ROW(24:24)),2)),"",INDEX($A$3:$B$14312,SMALL(IF($A$3:$A$14312=Y$3,ROW($A$3:$A$14312)),ROW(24:24)),2))</f>
        <v/>
      </c>
      <c r="Z26" t="str">
        <f t="array" ref="Z26">IF(ISERROR(INDEX($A$3:$B$14312,SMALL(IF($A$3:$A$14312=Z$3,ROW($A$3:$A$14312)),ROW(24:24)),2)),"",INDEX($A$3:$B$14312,SMALL(IF($A$3:$A$14312=Z$3,ROW($A$3:$A$14312)),ROW(24:24)),2))</f>
        <v/>
      </c>
      <c r="AA26" t="str">
        <f t="array" ref="AA26">IF(ISERROR(INDEX($A$3:$B$14312,SMALL(IF($A$3:$A$14312=AA$3,ROW($A$3:$A$14312)),ROW(24:24)),2)),"",INDEX($A$3:$B$14312,SMALL(IF($A$3:$A$14312=AA$3,ROW($A$3:$A$14312)),ROW(24:24)),2))</f>
        <v/>
      </c>
      <c r="AB26" t="str">
        <f t="array" ref="AB26">IF(ISERROR(INDEX($A$3:$B$14312,SMALL(IF($A$3:$A$14312=AB$3,ROW($A$3:$A$14312)),ROW(24:24)),2)),"",INDEX($A$3:$B$14312,SMALL(IF($A$3:$A$14312=AB$3,ROW($A$3:$A$14312)),ROW(24:24)),2))</f>
        <v/>
      </c>
      <c r="AC26" t="str">
        <f t="array" ref="AC26">IF(ISERROR(INDEX($A$3:$B$14312,SMALL(IF($A$3:$A$14312=AC$3,ROW($A$3:$A$14312)),ROW(24:24)),2)),"",INDEX($A$3:$B$14312,SMALL(IF($A$3:$A$14312=AC$3,ROW($A$3:$A$14312)),ROW(24:24)),2))</f>
        <v/>
      </c>
      <c r="AD26" t="str">
        <f t="array" ref="AD26">IF(ISERROR(INDEX($A$3:$B$14312,SMALL(IF($A$3:$A$14312=AD$3,ROW($A$3:$A$14312)),ROW(24:24)),2)),"",INDEX($A$3:$B$14312,SMALL(IF($A$3:$A$14312=AD$3,ROW($A$3:$A$14312)),ROW(24:24)),2))</f>
        <v/>
      </c>
      <c r="AE26" t="str">
        <f t="array" ref="AE26">IF(ISERROR(INDEX($A$3:$B$14312,SMALL(IF($A$3:$A$14312=AE$3,ROW($A$3:$A$14312)),ROW(24:24)),2)),"",INDEX($A$3:$B$14312,SMALL(IF($A$3:$A$14312=AE$3,ROW($A$3:$A$14312)),ROW(24:24)),2))</f>
        <v/>
      </c>
      <c r="AF26" t="str">
        <f t="array" ref="AF26">IF(ISERROR(INDEX($A$3:$B$14312,SMALL(IF($A$3:$A$14312=AF$3,ROW($A$3:$A$14312)),ROW(24:24)),2)),"",INDEX($A$3:$B$14312,SMALL(IF($A$3:$A$14312=AF$3,ROW($A$3:$A$14312)),ROW(24:24)),2))</f>
        <v>Router3_108</v>
      </c>
      <c r="AG26" t="str">
        <f t="array" ref="AG26">IF(ISERROR(INDEX($A$3:$B$14312,SMALL(IF($A$3:$A$14312=AG$3,ROW($A$3:$A$14312)),ROW(24:24)),2)),"",INDEX($A$3:$B$14312,SMALL(IF($A$3:$A$14312=AG$3,ROW($A$3:$A$14312)),ROW(24:24)),2))</f>
        <v>Router3_102</v>
      </c>
      <c r="AH26" t="str">
        <f t="array" ref="AH26">IF(ISERROR(INDEX($A$3:$B$14312,SMALL(IF($A$3:$A$14312=AH$3,ROW($A$3:$A$14312)),ROW(24:24)),2)),"",INDEX($A$3:$B$14312,SMALL(IF($A$3:$A$14312=AH$3,ROW($A$3:$A$14312)),ROW(24:24)),2))</f>
        <v/>
      </c>
      <c r="AI26" t="str">
        <f t="array" ref="AI26">IF(ISERROR(INDEX($A$3:$B$14312,SMALL(IF($A$3:$A$14312=AI$3,ROW($A$3:$A$14312)),ROW(24:24)),2)),"",INDEX($A$3:$B$14312,SMALL(IF($A$3:$A$14312=AI$3,ROW($A$3:$A$14312)),ROW(24:24)),2))</f>
        <v/>
      </c>
      <c r="AJ26" t="str">
        <f t="array" ref="AJ26">IF(ISERROR(INDEX($A$3:$B$14312,SMALL(IF($A$3:$A$14312=AJ$3,ROW($A$3:$A$14312)),ROW(24:24)),2)),"",INDEX($A$3:$B$14312,SMALL(IF($A$3:$A$14312=AJ$3,ROW($A$3:$A$14312)),ROW(24:24)),2))</f>
        <v/>
      </c>
      <c r="AK26" t="str">
        <f t="array" ref="AK26">IF(ISERROR(INDEX($A$3:$B$14312,SMALL(IF($A$3:$A$14312=AK$3,ROW($A$3:$A$14312)),ROW(24:24)),2)),"",INDEX($A$3:$B$14312,SMALL(IF($A$3:$A$14312=AK$3,ROW($A$3:$A$14312)),ROW(24:24)),2))</f>
        <v/>
      </c>
      <c r="AL26" t="str">
        <f t="array" ref="AL26">IF(ISERROR(INDEX($A$3:$B$14312,SMALL(IF($A$3:$A$14312=AL$3,ROW($A$3:$A$14312)),ROW(24:24)),2)),"",INDEX($A$3:$B$14312,SMALL(IF($A$3:$A$14312=AL$3,ROW($A$3:$A$14312)),ROW(24:24)),2))</f>
        <v>Router3_50</v>
      </c>
      <c r="AM26" t="str">
        <f t="array" ref="AM26">IF(ISERROR(INDEX($A$3:$B$14312,SMALL(IF($A$3:$A$14312=AM$3,ROW($A$3:$A$14312)),ROW(24:24)),2)),"",INDEX($A$3:$B$14312,SMALL(IF($A$3:$A$14312=AM$3,ROW($A$3:$A$14312)),ROW(24:24)),2))</f>
        <v>Router3_144</v>
      </c>
      <c r="AN26" t="str">
        <f t="array" ref="AN26">IF(ISERROR(INDEX($A$3:$B$14312,SMALL(IF($A$3:$A$14312=AN$3,ROW($A$3:$A$14312)),ROW(24:24)),2)),"",INDEX($A$3:$B$14312,SMALL(IF($A$3:$A$14312=AN$3,ROW($A$3:$A$14312)),ROW(24:24)),2))</f>
        <v/>
      </c>
      <c r="AO26" t="str">
        <f t="array" ref="AO26">IF(ISERROR(INDEX($A$3:$B$14312,SMALL(IF($A$3:$A$14312=AO$3,ROW($A$3:$A$14312)),ROW(24:24)),2)),"",INDEX($A$3:$B$14312,SMALL(IF($A$3:$A$14312=AO$3,ROW($A$3:$A$14312)),ROW(24:24)),2))</f>
        <v/>
      </c>
      <c r="AP26" t="str">
        <f t="array" ref="AP26">IF(ISERROR(INDEX($A$3:$B$14312,SMALL(IF($A$3:$A$14312=AP$3,ROW($A$3:$A$14312)),ROW(24:24)),2)),"",INDEX($A$3:$B$14312,SMALL(IF($A$3:$A$14312=AP$3,ROW($A$3:$A$14312)),ROW(24:24)),2))</f>
        <v>Router3_26</v>
      </c>
      <c r="AQ26" t="str">
        <f t="array" ref="AQ26">IF(ISERROR(INDEX($A$3:$B$14312,SMALL(IF($A$3:$A$14312=AQ$3,ROW($A$3:$A$14312)),ROW(24:24)),2)),"",INDEX($A$3:$B$14312,SMALL(IF($A$3:$A$14312=AQ$3,ROW($A$3:$A$14312)),ROW(24:24)),2))</f>
        <v/>
      </c>
      <c r="AR26" t="str">
        <f t="array" ref="AR26">IF(ISERROR(INDEX($A$3:$B$14312,SMALL(IF($A$3:$A$14312=AR$3,ROW($A$3:$A$14312)),ROW(24:24)),2)),"",INDEX($A$3:$B$14312,SMALL(IF($A$3:$A$14312=AR$3,ROW($A$3:$A$14312)),ROW(24:24)),2))</f>
        <v/>
      </c>
      <c r="AS26" t="str">
        <f t="array" ref="AS26">IF(ISERROR(INDEX($A$3:$B$14312,SMALL(IF($A$3:$A$14312=AS$3,ROW($A$3:$A$14312)),ROW(24:24)),2)),"",INDEX($A$3:$B$14312,SMALL(IF($A$3:$A$14312=AS$3,ROW($A$3:$A$14312)),ROW(24:24)),2))</f>
        <v>Router3_96</v>
      </c>
      <c r="AT26" t="str">
        <f t="array" ref="AT26">IF(ISERROR(INDEX($A$3:$B$14312,SMALL(IF($A$3:$A$14312=AT$3,ROW($A$3:$A$14312)),ROW(24:24)),2)),"",INDEX($A$3:$B$14312,SMALL(IF($A$3:$A$14312=AT$3,ROW($A$3:$A$14312)),ROW(24:24)),2))</f>
        <v/>
      </c>
      <c r="AU26" t="str">
        <f t="array" ref="AU26">IF(ISERROR(INDEX($A$3:$B$14312,SMALL(IF($A$3:$A$14312=AU$3,ROW($A$3:$A$14312)),ROW(24:24)),2)),"",INDEX($A$3:$B$14312,SMALL(IF($A$3:$A$14312=AU$3,ROW($A$3:$A$14312)),ROW(24:24)),2))</f>
        <v/>
      </c>
      <c r="AV26" t="str">
        <f t="array" ref="AV26">IF(ISERROR(INDEX($A$3:$B$14312,SMALL(IF($A$3:$A$14312=AV$3,ROW($A$3:$A$14312)),ROW(24:24)),2)),"",INDEX($A$3:$B$14312,SMALL(IF($A$3:$A$14312=AV$3,ROW($A$3:$A$14312)),ROW(24:24)),2))</f>
        <v/>
      </c>
      <c r="AW26" t="str">
        <f t="array" ref="AW26">IF(ISERROR(INDEX($A$3:$B$14312,SMALL(IF($A$3:$A$14312=AW$3,ROW($A$3:$A$14312)),ROW(24:24)),2)),"",INDEX($A$3:$B$14312,SMALL(IF($A$3:$A$14312=AW$3,ROW($A$3:$A$14312)),ROW(24:24)),2))</f>
        <v/>
      </c>
      <c r="AX26" t="str">
        <f t="array" ref="AX26">IF(ISERROR(INDEX($A$3:$B$14312,SMALL(IF($A$3:$A$14312=AX$3,ROW($A$3:$A$14312)),ROW(24:24)),2)),"",INDEX($A$3:$B$14312,SMALL(IF($A$3:$A$14312=AX$3,ROW($A$3:$A$14312)),ROW(24:24)),2))</f>
        <v/>
      </c>
      <c r="AY26" t="str">
        <f t="array" ref="AY26">IF(ISERROR(INDEX($A$3:$B$14312,SMALL(IF($A$3:$A$14312=AY$3,ROW($A$3:$A$14312)),ROW(24:24)),2)),"",INDEX($A$3:$B$14312,SMALL(IF($A$3:$A$14312=AY$3,ROW($A$3:$A$14312)),ROW(24:24)),2))</f>
        <v>Router3_146</v>
      </c>
      <c r="AZ26" t="str">
        <f t="array" ref="AZ26">IF(ISERROR(INDEX($A$3:$B$14312,SMALL(IF($A$3:$A$14312=AZ$3,ROW($A$3:$A$14312)),ROW(24:24)),2)),"",INDEX($A$3:$B$14312,SMALL(IF($A$3:$A$14312=AZ$3,ROW($A$3:$A$14312)),ROW(24:24)),2))</f>
        <v/>
      </c>
      <c r="BA26" t="str">
        <f t="array" ref="BA26">IF(ISERROR(INDEX($A$3:$B$14312,SMALL(IF($A$3:$A$14312=BA$3,ROW($A$3:$A$14312)),ROW(24:24)),2)),"",INDEX($A$3:$B$14312,SMALL(IF($A$3:$A$14312=BA$3,ROW($A$3:$A$14312)),ROW(24:24)),2))</f>
        <v/>
      </c>
      <c r="BB26" t="str">
        <f t="array" ref="BB26">IF(ISERROR(INDEX($A$3:$B$14312,SMALL(IF($A$3:$A$14312=BB$3,ROW($A$3:$A$14312)),ROW(24:24)),2)),"",INDEX($A$3:$B$14312,SMALL(IF($A$3:$A$14312=BB$3,ROW($A$3:$A$14312)),ROW(24:24)),2))</f>
        <v/>
      </c>
      <c r="BC26" t="str">
        <f t="array" ref="BC26">IF(ISERROR(INDEX($A$3:$B$14312,SMALL(IF($A$3:$A$14312=BC$3,ROW($A$3:$A$14312)),ROW(24:24)),2)),"",INDEX($A$3:$B$14312,SMALL(IF($A$3:$A$14312=BC$3,ROW($A$3:$A$14312)),ROW(24:24)),2))</f>
        <v/>
      </c>
      <c r="BD26" t="str">
        <f t="array" ref="BD26">IF(ISERROR(INDEX($A$3:$B$14312,SMALL(IF($A$3:$A$14312=BD$3,ROW($A$3:$A$14312)),ROW(24:24)),2)),"",INDEX($A$3:$B$14312,SMALL(IF($A$3:$A$14312=BD$3,ROW($A$3:$A$14312)),ROW(24:24)),2))</f>
        <v/>
      </c>
      <c r="BE26" t="str">
        <f t="array" ref="BE26">IF(ISERROR(INDEX($A$3:$B$14312,SMALL(IF($A$3:$A$14312=BE$3,ROW($A$3:$A$14312)),ROW(24:24)),2)),"",INDEX($A$3:$B$14312,SMALL(IF($A$3:$A$14312=BE$3,ROW($A$3:$A$14312)),ROW(24:24)),2))</f>
        <v/>
      </c>
      <c r="BF26" t="str">
        <f t="array" ref="BF26">IF(ISERROR(INDEX($A$3:$B$14312,SMALL(IF($A$3:$A$14312=BF$3,ROW($A$3:$A$14312)),ROW(24:24)),2)),"",INDEX($A$3:$B$14312,SMALL(IF($A$3:$A$14312=BF$3,ROW($A$3:$A$14312)),ROW(24:24)),2))</f>
        <v/>
      </c>
      <c r="BG26" t="str">
        <f t="array" ref="BG26">IF(ISERROR(INDEX($A$3:$B$14312,SMALL(IF($A$3:$A$14312=BG$3,ROW($A$3:$A$14312)),ROW(24:24)),2)),"",INDEX($A$3:$B$14312,SMALL(IF($A$3:$A$14312=BG$3,ROW($A$3:$A$14312)),ROW(24:24)),2))</f>
        <v/>
      </c>
      <c r="BH26" t="str">
        <f t="array" ref="BH26">IF(ISERROR(INDEX($A$3:$B$14312,SMALL(IF($A$3:$A$14312=BH$3,ROW($A$3:$A$14312)),ROW(24:24)),2)),"",INDEX($A$3:$B$14312,SMALL(IF($A$3:$A$14312=BH$3,ROW($A$3:$A$14312)),ROW(24:24)),2))</f>
        <v/>
      </c>
      <c r="BI26" t="str">
        <f t="array" ref="BI26">IF(ISERROR(INDEX($A$3:$B$14312,SMALL(IF($A$3:$A$14312=BI$3,ROW($A$3:$A$14312)),ROW(24:24)),2)),"",INDEX($A$3:$B$14312,SMALL(IF($A$3:$A$14312=BI$3,ROW($A$3:$A$14312)),ROW(24:24)),2))</f>
        <v/>
      </c>
      <c r="BJ26" t="str">
        <f t="array" ref="BJ26">IF(ISERROR(INDEX($A$3:$B$14312,SMALL(IF($A$3:$A$14312=BJ$3,ROW($A$3:$A$14312)),ROW(24:24)),2)),"",INDEX($A$3:$B$14312,SMALL(IF($A$3:$A$14312=BJ$3,ROW($A$3:$A$14312)),ROW(24:24)),2))</f>
        <v/>
      </c>
      <c r="BK26" t="str">
        <f t="array" ref="BK26">IF(ISERROR(INDEX($A$3:$B$14312,SMALL(IF($A$3:$A$14312=BK$3,ROW($A$3:$A$14312)),ROW(24:24)),2)),"",INDEX($A$3:$B$14312,SMALL(IF($A$3:$A$14312=BK$3,ROW($A$3:$A$14312)),ROW(24:24)),2))</f>
        <v/>
      </c>
      <c r="BL26" t="str">
        <f t="array" ref="BL26">IF(ISERROR(INDEX($A$3:$B$14312,SMALL(IF($A$3:$A$14312=BL$3,ROW($A$3:$A$14312)),ROW(24:24)),2)),"",INDEX($A$3:$B$14312,SMALL(IF($A$3:$A$14312=BL$3,ROW($A$3:$A$14312)),ROW(24:24)),2))</f>
        <v/>
      </c>
      <c r="BM26" t="str">
        <f t="array" ref="BM26">IF(ISERROR(INDEX($A$3:$B$14312,SMALL(IF($A$3:$A$14312=BM$3,ROW($A$3:$A$14312)),ROW(24:24)),2)),"",INDEX($A$3:$B$14312,SMALL(IF($A$3:$A$14312=BM$3,ROW($A$3:$A$14312)),ROW(24:24)),2))</f>
        <v/>
      </c>
      <c r="BN26" t="str">
        <f t="array" ref="BN26">IF(ISERROR(INDEX($A$3:$B$14312,SMALL(IF($A$3:$A$14312=BN$3,ROW($A$3:$A$14312)),ROW(24:24)),2)),"",INDEX($A$3:$B$14312,SMALL(IF($A$3:$A$14312=BN$3,ROW($A$3:$A$14312)),ROW(24:24)),2))</f>
        <v/>
      </c>
      <c r="BO26" t="str">
        <f t="array" ref="BO26">IF(ISERROR(INDEX($A$3:$B$14312,SMALL(IF($A$3:$A$14312=BO$3,ROW($A$3:$A$14312)),ROW(24:24)),2)),"",INDEX($A$3:$B$14312,SMALL(IF($A$3:$A$14312=BO$3,ROW($A$3:$A$14312)),ROW(24:24)),2))</f>
        <v/>
      </c>
      <c r="BP26" t="str">
        <f t="array" ref="BP26">IF(ISERROR(INDEX($A$3:$B$14312,SMALL(IF($A$3:$A$14312=BP$3,ROW($A$3:$A$14312)),ROW(24:24)),2)),"",INDEX($A$3:$B$14312,SMALL(IF($A$3:$A$14312=BP$3,ROW($A$3:$A$14312)),ROW(24:24)),2))</f>
        <v/>
      </c>
      <c r="BQ26" t="str">
        <f t="array" ref="BQ26">IF(ISERROR(INDEX($A$3:$B$14312,SMALL(IF($A$3:$A$14312=BQ$3,ROW($A$3:$A$14312)),ROW(24:24)),2)),"",INDEX($A$3:$B$14312,SMALL(IF($A$3:$A$14312=BQ$3,ROW($A$3:$A$14312)),ROW(24:24)),2))</f>
        <v/>
      </c>
      <c r="BR26" t="str">
        <f t="array" ref="BR26">IF(ISERROR(INDEX($A$3:$B$14312,SMALL(IF($A$3:$A$14312=BR$3,ROW($A$3:$A$14312)),ROW(24:24)),2)),"",INDEX($A$3:$B$14312,SMALL(IF($A$3:$A$14312=BR$3,ROW($A$3:$A$14312)),ROW(24:24)),2))</f>
        <v/>
      </c>
      <c r="BS26" t="str">
        <f t="array" ref="BS26">IF(ISERROR(INDEX($A$3:$B$14312,SMALL(IF($A$3:$A$14312=BS$3,ROW($A$3:$A$14312)),ROW(24:24)),2)),"",INDEX($A$3:$B$14312,SMALL(IF($A$3:$A$14312=BS$3,ROW($A$3:$A$14312)),ROW(24:24)),2))</f>
        <v/>
      </c>
      <c r="BT26" t="str">
        <f t="array" ref="BT26">IF(ISERROR(INDEX($A$3:$B$14312,SMALL(IF($A$3:$A$14312=BT$3,ROW($A$3:$A$14312)),ROW(24:24)),2)),"",INDEX($A$3:$B$14312,SMALL(IF($A$3:$A$14312=BT$3,ROW($A$3:$A$14312)),ROW(24:24)),2))</f>
        <v>Router3_111</v>
      </c>
      <c r="BU26" t="str">
        <f t="array" ref="BU26">IF(ISERROR(INDEX($A$3:$B$14312,SMALL(IF($A$3:$A$14312=BU$3,ROW($A$3:$A$14312)),ROW(24:24)),2)),"",INDEX($A$3:$B$14312,SMALL(IF($A$3:$A$14312=BU$3,ROW($A$3:$A$14312)),ROW(24:24)),2))</f>
        <v/>
      </c>
      <c r="BV26" t="str">
        <f t="array" ref="BV26">IF(ISERROR(INDEX($A$3:$B$14312,SMALL(IF($A$3:$A$14312=BV$3,ROW($A$3:$A$14312)),ROW(24:24)),2)),"",INDEX($A$3:$B$14312,SMALL(IF($A$3:$A$14312=BV$3,ROW($A$3:$A$14312)),ROW(24:24)),2))</f>
        <v/>
      </c>
      <c r="BW26" t="str">
        <f t="array" ref="BW26">IF(ISERROR(INDEX($A$3:$B$14312,SMALL(IF($A$3:$A$14312=BW$3,ROW($A$3:$A$14312)),ROW(24:24)),2)),"",INDEX($A$3:$B$14312,SMALL(IF($A$3:$A$14312=BW$3,ROW($A$3:$A$14312)),ROW(24:24)),2))</f>
        <v>Router3_162</v>
      </c>
      <c r="BX26" t="str">
        <f t="array" ref="BX26">IF(ISERROR(INDEX($A$3:$B$14312,SMALL(IF($A$3:$A$14312=BX$3,ROW($A$3:$A$14312)),ROW(24:24)),2)),"",INDEX($A$3:$B$14312,SMALL(IF($A$3:$A$14312=BX$3,ROW($A$3:$A$14312)),ROW(24:24)),2))</f>
        <v>Router3_117</v>
      </c>
      <c r="BY26" t="str">
        <f t="array" ref="BY26">IF(ISERROR(INDEX($A$3:$B$14312,SMALL(IF($A$3:$A$14312=BY$3,ROW($A$3:$A$14312)),ROW(24:24)),2)),"",INDEX($A$3:$B$14312,SMALL(IF($A$3:$A$14312=BY$3,ROW($A$3:$A$14312)),ROW(24:24)),2))</f>
        <v>Router3_96</v>
      </c>
      <c r="BZ26" t="str">
        <f t="array" ref="BZ26">IF(ISERROR(INDEX($A$3:$B$14312,SMALL(IF($A$3:$A$14312=BZ$3,ROW($A$3:$A$14312)),ROW(24:24)),2)),"",INDEX($A$3:$B$14312,SMALL(IF($A$3:$A$14312=BZ$3,ROW($A$3:$A$14312)),ROW(24:24)),2))</f>
        <v>Router3_96</v>
      </c>
      <c r="CA26" t="str">
        <f t="array" ref="CA26">IF(ISERROR(INDEX($A$3:$B$14312,SMALL(IF($A$3:$A$14312=CA$3,ROW($A$3:$A$14312)),ROW(24:24)),2)),"",INDEX($A$3:$B$14312,SMALL(IF($A$3:$A$14312=CA$3,ROW($A$3:$A$14312)),ROW(24:24)),2))</f>
        <v/>
      </c>
      <c r="CB26" t="str">
        <f t="array" ref="CB26">IF(ISERROR(INDEX($A$3:$B$14312,SMALL(IF($A$3:$A$14312=CB$3,ROW($A$3:$A$14312)),ROW(24:24)),2)),"",INDEX($A$3:$B$14312,SMALL(IF($A$3:$A$14312=CB$3,ROW($A$3:$A$14312)),ROW(24:24)),2))</f>
        <v/>
      </c>
      <c r="CC26" t="str">
        <f t="array" ref="CC26">IF(ISERROR(INDEX($A$3:$B$14312,SMALL(IF($A$3:$A$14312=CC$3,ROW($A$3:$A$14312)),ROW(24:24)),2)),"",INDEX($A$3:$B$14312,SMALL(IF($A$3:$A$14312=CC$3,ROW($A$3:$A$14312)),ROW(24:24)),2))</f>
        <v/>
      </c>
      <c r="CD26" t="str">
        <f t="array" ref="CD26">IF(ISERROR(INDEX($A$3:$B$14312,SMALL(IF($A$3:$A$14312=CD$3,ROW($A$3:$A$14312)),ROW(24:24)),2)),"",INDEX($A$3:$B$14312,SMALL(IF($A$3:$A$14312=CD$3,ROW($A$3:$A$14312)),ROW(24:24)),2))</f>
        <v/>
      </c>
      <c r="CE26" t="str">
        <f t="array" ref="CE26">IF(ISERROR(INDEX($A$3:$B$14312,SMALL(IF($A$3:$A$14312=CE$3,ROW($A$3:$A$14312)),ROW(24:24)),2)),"",INDEX($A$3:$B$14312,SMALL(IF($A$3:$A$14312=CE$3,ROW($A$3:$A$14312)),ROW(24:24)),2))</f>
        <v/>
      </c>
      <c r="CF26" t="str">
        <f t="array" ref="CF26">IF(ISERROR(INDEX($A$3:$B$14312,SMALL(IF($A$3:$A$14312=CF$3,ROW($A$3:$A$14312)),ROW(24:24)),2)),"",INDEX($A$3:$B$14312,SMALL(IF($A$3:$A$14312=CF$3,ROW($A$3:$A$14312)),ROW(24:24)),2))</f>
        <v/>
      </c>
      <c r="CG26" t="str">
        <f t="array" ref="CG26">IF(ISERROR(INDEX($A$3:$B$14312,SMALL(IF($A$3:$A$14312=CG$3,ROW($A$3:$A$14312)),ROW(24:24)),2)),"",INDEX($A$3:$B$14312,SMALL(IF($A$3:$A$14312=CG$3,ROW($A$3:$A$14312)),ROW(24:24)),2))</f>
        <v/>
      </c>
      <c r="CH26" t="str">
        <f t="array" ref="CH26">IF(ISERROR(INDEX($A$3:$B$14312,SMALL(IF($A$3:$A$14312=CH$3,ROW($A$3:$A$14312)),ROW(24:24)),2)),"",INDEX($A$3:$B$14312,SMALL(IF($A$3:$A$14312=CH$3,ROW($A$3:$A$14312)),ROW(24:24)),2))</f>
        <v/>
      </c>
      <c r="CI26" t="str">
        <f t="array" ref="CI26">IF(ISERROR(INDEX($A$3:$B$14312,SMALL(IF($A$3:$A$14312=CI$3,ROW($A$3:$A$14312)),ROW(24:24)),2)),"",INDEX($A$3:$B$14312,SMALL(IF($A$3:$A$14312=CI$3,ROW($A$3:$A$14312)),ROW(24:24)),2))</f>
        <v/>
      </c>
      <c r="CJ26" t="str">
        <f t="array" ref="CJ26">IF(ISERROR(INDEX($A$3:$B$14312,SMALL(IF($A$3:$A$14312=CJ$3,ROW($A$3:$A$14312)),ROW(24:24)),2)),"",INDEX($A$3:$B$14312,SMALL(IF($A$3:$A$14312=CJ$3,ROW($A$3:$A$14312)),ROW(24:24)),2))</f>
        <v/>
      </c>
      <c r="CK26" t="str">
        <f t="array" ref="CK26">IF(ISERROR(INDEX($A$3:$B$14312,SMALL(IF($A$3:$A$14312=CK$3,ROW($A$3:$A$14312)),ROW(24:24)),2)),"",INDEX($A$3:$B$14312,SMALL(IF($A$3:$A$14312=CK$3,ROW($A$3:$A$14312)),ROW(24:24)),2))</f>
        <v/>
      </c>
      <c r="CL26" t="str">
        <f t="array" ref="CL26">IF(ISERROR(INDEX($A$3:$B$14312,SMALL(IF($A$3:$A$14312=CL$3,ROW($A$3:$A$14312)),ROW(24:24)),2)),"",INDEX($A$3:$B$14312,SMALL(IF($A$3:$A$14312=CL$3,ROW($A$3:$A$14312)),ROW(24:24)),2))</f>
        <v/>
      </c>
      <c r="CM26" t="str">
        <f t="array" ref="CM26">IF(ISERROR(INDEX($A$3:$B$14312,SMALL(IF($A$3:$A$14312=CM$3,ROW($A$3:$A$14312)),ROW(24:24)),2)),"",INDEX($A$3:$B$14312,SMALL(IF($A$3:$A$14312=CM$3,ROW($A$3:$A$14312)),ROW(24:24)),2))</f>
        <v/>
      </c>
      <c r="CN26" t="str">
        <f t="array" ref="CN26">IF(ISERROR(INDEX($A$3:$B$14312,SMALL(IF($A$3:$A$14312=CN$3,ROW($A$3:$A$14312)),ROW(24:24)),2)),"",INDEX($A$3:$B$14312,SMALL(IF($A$3:$A$14312=CN$3,ROW($A$3:$A$14312)),ROW(24:24)),2))</f>
        <v>Router3_100</v>
      </c>
      <c r="CO26" t="str">
        <f t="array" ref="CO26">IF(ISERROR(INDEX($A$3:$B$14312,SMALL(IF($A$3:$A$14312=CO$3,ROW($A$3:$A$14312)),ROW(24:24)),2)),"",INDEX($A$3:$B$14312,SMALL(IF($A$3:$A$14312=CO$3,ROW($A$3:$A$14312)),ROW(24:24)),2))</f>
        <v>Router3_118</v>
      </c>
      <c r="CP26" t="str">
        <f t="array" ref="CP26">IF(ISERROR(INDEX($A$3:$B$14312,SMALL(IF($A$3:$A$14312=CP$3,ROW($A$3:$A$14312)),ROW(24:24)),2)),"",INDEX($A$3:$B$14312,SMALL(IF($A$3:$A$14312=CP$3,ROW($A$3:$A$14312)),ROW(24:24)),2))</f>
        <v/>
      </c>
      <c r="CQ26" t="str">
        <f t="array" ref="CQ26">IF(ISERROR(INDEX($A$3:$B$14312,SMALL(IF($A$3:$A$14312=CQ$3,ROW($A$3:$A$14312)),ROW(24:24)),2)),"",INDEX($A$3:$B$14312,SMALL(IF($A$3:$A$14312=CQ$3,ROW($A$3:$A$14312)),ROW(24:24)),2))</f>
        <v/>
      </c>
      <c r="CR26" t="str">
        <f t="array" ref="CR26">IF(ISERROR(INDEX($A$3:$B$14312,SMALL(IF($A$3:$A$14312=CR$3,ROW($A$3:$A$14312)),ROW(24:24)),2)),"",INDEX($A$3:$B$14312,SMALL(IF($A$3:$A$14312=CR$3,ROW($A$3:$A$14312)),ROW(24:24)),2))</f>
        <v/>
      </c>
      <c r="CS26" t="str">
        <f t="array" ref="CS26">IF(ISERROR(INDEX($A$3:$B$14312,SMALL(IF($A$3:$A$14312=CS$3,ROW($A$3:$A$14312)),ROW(24:24)),2)),"",INDEX($A$3:$B$14312,SMALL(IF($A$3:$A$14312=CS$3,ROW($A$3:$A$14312)),ROW(24:24)),2))</f>
        <v/>
      </c>
      <c r="CT26" t="str">
        <f t="array" ref="CT26">IF(ISERROR(INDEX($A$3:$B$14312,SMALL(IF($A$3:$A$14312=CT$3,ROW($A$3:$A$14312)),ROW(24:24)),2)),"",INDEX($A$3:$B$14312,SMALL(IF($A$3:$A$14312=CT$3,ROW($A$3:$A$14312)),ROW(24:24)),2))</f>
        <v/>
      </c>
      <c r="CU26" t="str">
        <f t="array" ref="CU26">IF(ISERROR(INDEX($A$3:$B$14312,SMALL(IF($A$3:$A$14312=CU$3,ROW($A$3:$A$14312)),ROW(24:24)),2)),"",INDEX($A$3:$B$14312,SMALL(IF($A$3:$A$14312=CU$3,ROW($A$3:$A$14312)),ROW(24:24)),2))</f>
        <v/>
      </c>
      <c r="CV26" t="str">
        <f t="array" ref="CV26">IF(ISERROR(INDEX($A$3:$B$14312,SMALL(IF($A$3:$A$14312=CV$3,ROW($A$3:$A$14312)),ROW(24:24)),2)),"",INDEX($A$3:$B$14312,SMALL(IF($A$3:$A$14312=CV$3,ROW($A$3:$A$14312)),ROW(24:24)),2))</f>
        <v/>
      </c>
      <c r="CW26" t="str">
        <f t="array" ref="CW26">IF(ISERROR(INDEX($A$3:$B$14312,SMALL(IF($A$3:$A$14312=CW$3,ROW($A$3:$A$14312)),ROW(24:24)),2)),"",INDEX($A$3:$B$14312,SMALL(IF($A$3:$A$14312=CW$3,ROW($A$3:$A$14312)),ROW(24:24)),2))</f>
        <v/>
      </c>
      <c r="CX26" t="str">
        <f t="array" ref="CX26">IF(ISERROR(INDEX($A$3:$B$14312,SMALL(IF($A$3:$A$14312=CX$3,ROW($A$3:$A$14312)),ROW(24:24)),2)),"",INDEX($A$3:$B$14312,SMALL(IF($A$3:$A$14312=CX$3,ROW($A$3:$A$14312)),ROW(24:24)),2))</f>
        <v/>
      </c>
      <c r="CY26" t="str">
        <f t="array" ref="CY26">IF(ISERROR(INDEX($A$3:$B$14312,SMALL(IF($A$3:$A$14312=CY$3,ROW($A$3:$A$14312)),ROW(24:24)),2)),"",INDEX($A$3:$B$14312,SMALL(IF($A$3:$A$14312=CY$3,ROW($A$3:$A$14312)),ROW(24:24)),2))</f>
        <v>Router3_118</v>
      </c>
      <c r="CZ26" t="str">
        <f t="array" ref="CZ26">IF(ISERROR(INDEX($A$3:$B$14312,SMALL(IF($A$3:$A$14312=CZ$3,ROW($A$3:$A$14312)),ROW(24:24)),2)),"",INDEX($A$3:$B$14312,SMALL(IF($A$3:$A$14312=CZ$3,ROW($A$3:$A$14312)),ROW(24:24)),2))</f>
        <v/>
      </c>
      <c r="DA26" t="str">
        <f t="array" ref="DA26">IF(ISERROR(INDEX($A$3:$B$14312,SMALL(IF($A$3:$A$14312=DA$3,ROW($A$3:$A$14312)),ROW(24:24)),2)),"",INDEX($A$3:$B$14312,SMALL(IF($A$3:$A$14312=DA$3,ROW($A$3:$A$14312)),ROW(24:24)),2))</f>
        <v>Router3_154</v>
      </c>
      <c r="DB26" t="str">
        <f t="array" ref="DB26">IF(ISERROR(INDEX($A$3:$B$14312,SMALL(IF($A$3:$A$14312=DB$3,ROW($A$3:$A$14312)),ROW(24:24)),2)),"",INDEX($A$3:$B$14312,SMALL(IF($A$3:$A$14312=DB$3,ROW($A$3:$A$14312)),ROW(24:24)),2))</f>
        <v/>
      </c>
      <c r="DC26" t="str">
        <f t="array" ref="DC26">IF(ISERROR(INDEX($A$3:$B$14312,SMALL(IF($A$3:$A$14312=DC$3,ROW($A$3:$A$14312)),ROW(24:24)),2)),"",INDEX($A$3:$B$14312,SMALL(IF($A$3:$A$14312=DC$3,ROW($A$3:$A$14312)),ROW(24:24)),2))</f>
        <v>Router3_145</v>
      </c>
      <c r="DD26" t="str">
        <f t="array" ref="DD26">IF(ISERROR(INDEX($A$3:$B$14312,SMALL(IF($A$3:$A$14312=DD$3,ROW($A$3:$A$14312)),ROW(24:24)),2)),"",INDEX($A$3:$B$14312,SMALL(IF($A$3:$A$14312=DD$3,ROW($A$3:$A$14312)),ROW(24:24)),2))</f>
        <v/>
      </c>
      <c r="DE26" t="str">
        <f t="array" ref="DE26">IF(ISERROR(INDEX($A$3:$B$14312,SMALL(IF($A$3:$A$14312=DE$3,ROW($A$3:$A$14312)),ROW(24:24)),2)),"",INDEX($A$3:$B$14312,SMALL(IF($A$3:$A$14312=DE$3,ROW($A$3:$A$14312)),ROW(24:24)),2))</f>
        <v/>
      </c>
      <c r="DF26" t="str">
        <f t="array" ref="DF26">IF(ISERROR(INDEX($A$3:$B$14312,SMALL(IF($A$3:$A$14312=DF$3,ROW($A$3:$A$14312)),ROW(24:24)),2)),"",INDEX($A$3:$B$14312,SMALL(IF($A$3:$A$14312=DF$3,ROW($A$3:$A$14312)),ROW(24:24)),2))</f>
        <v/>
      </c>
      <c r="DG26" t="str">
        <f t="array" ref="DG26">IF(ISERROR(INDEX($A$3:$B$14312,SMALL(IF($A$3:$A$14312=DG$3,ROW($A$3:$A$14312)),ROW(24:24)),2)),"",INDEX($A$3:$B$14312,SMALL(IF($A$3:$A$14312=DG$3,ROW($A$3:$A$14312)),ROW(24:24)),2))</f>
        <v>Router3_2</v>
      </c>
      <c r="DH26" t="str">
        <f t="array" ref="DH26">IF(ISERROR(INDEX($A$3:$B$14312,SMALL(IF($A$3:$A$14312=DH$3,ROW($A$3:$A$14312)),ROW(24:24)),2)),"",INDEX($A$3:$B$14312,SMALL(IF($A$3:$A$14312=DH$3,ROW($A$3:$A$14312)),ROW(24:24)),2))</f>
        <v/>
      </c>
      <c r="DI26" t="str">
        <f t="array" ref="DI26">IF(ISERROR(INDEX($A$3:$B$14312,SMALL(IF($A$3:$A$14312=DI$3,ROW($A$3:$A$14312)),ROW(24:24)),2)),"",INDEX($A$3:$B$14312,SMALL(IF($A$3:$A$14312=DI$3,ROW($A$3:$A$14312)),ROW(24:24)),2))</f>
        <v>Router3_90</v>
      </c>
      <c r="DJ26" t="str">
        <f t="array" ref="DJ26">IF(ISERROR(INDEX($A$3:$B$14312,SMALL(IF($A$3:$A$14312=DJ$3,ROW($A$3:$A$14312)),ROW(24:24)),2)),"",INDEX($A$3:$B$14312,SMALL(IF($A$3:$A$14312=DJ$3,ROW($A$3:$A$14312)),ROW(24:24)),2))</f>
        <v>Router3_103</v>
      </c>
      <c r="DK26" t="str">
        <f t="array" ref="DK26">IF(ISERROR(INDEX($A$3:$B$14312,SMALL(IF($A$3:$A$14312=DK$3,ROW($A$3:$A$14312)),ROW(24:24)),2)),"",INDEX($A$3:$B$14312,SMALL(IF($A$3:$A$14312=DK$3,ROW($A$3:$A$14312)),ROW(24:24)),2))</f>
        <v>Router3_125</v>
      </c>
      <c r="DL26" t="str">
        <f t="array" ref="DL26">IF(ISERROR(INDEX($A$3:$B$14312,SMALL(IF($A$3:$A$14312=DL$3,ROW($A$3:$A$14312)),ROW(24:24)),2)),"",INDEX($A$3:$B$14312,SMALL(IF($A$3:$A$14312=DL$3,ROW($A$3:$A$14312)),ROW(24:24)),2))</f>
        <v/>
      </c>
      <c r="DM26" t="str">
        <f t="array" ref="DM26">IF(ISERROR(INDEX($A$3:$B$14312,SMALL(IF($A$3:$A$14312=DM$3,ROW($A$3:$A$14312)),ROW(24:24)),2)),"",INDEX($A$3:$B$14312,SMALL(IF($A$3:$A$14312=DM$3,ROW($A$3:$A$14312)),ROW(24:24)),2))</f>
        <v/>
      </c>
      <c r="DN26" t="str">
        <f t="array" ref="DN26">IF(ISERROR(INDEX($A$3:$B$14312,SMALL(IF($A$3:$A$14312=DN$3,ROW($A$3:$A$14312)),ROW(24:24)),2)),"",INDEX($A$3:$B$14312,SMALL(IF($A$3:$A$14312=DN$3,ROW($A$3:$A$14312)),ROW(24:24)),2))</f>
        <v/>
      </c>
      <c r="DO26" t="str">
        <f t="array" ref="DO26">IF(ISERROR(INDEX($A$3:$B$14312,SMALL(IF($A$3:$A$14312=DO$3,ROW($A$3:$A$14312)),ROW(24:24)),2)),"",INDEX($A$3:$B$14312,SMALL(IF($A$3:$A$14312=DO$3,ROW($A$3:$A$14312)),ROW(24:24)),2))</f>
        <v/>
      </c>
      <c r="DP26" t="str">
        <f t="array" ref="DP26">IF(ISERROR(INDEX($A$3:$B$14312,SMALL(IF($A$3:$A$14312=DP$3,ROW($A$3:$A$14312)),ROW(24:24)),2)),"",INDEX($A$3:$B$14312,SMALL(IF($A$3:$A$14312=DP$3,ROW($A$3:$A$14312)),ROW(24:24)),2))</f>
        <v/>
      </c>
      <c r="DQ26" t="str">
        <f t="array" ref="DQ26">IF(ISERROR(INDEX($A$3:$B$14312,SMALL(IF($A$3:$A$14312=DQ$3,ROW($A$3:$A$14312)),ROW(24:24)),2)),"",INDEX($A$3:$B$14312,SMALL(IF($A$3:$A$14312=DQ$3,ROW($A$3:$A$14312)),ROW(24:24)),2))</f>
        <v/>
      </c>
      <c r="DR26" t="str">
        <f t="array" ref="DR26">IF(ISERROR(INDEX($A$3:$B$14312,SMALL(IF($A$3:$A$14312=DR$3,ROW($A$3:$A$14312)),ROW(24:24)),2)),"",INDEX($A$3:$B$14312,SMALL(IF($A$3:$A$14312=DR$3,ROW($A$3:$A$14312)),ROW(24:24)),2))</f>
        <v>Router3_26</v>
      </c>
      <c r="DS26" t="str">
        <f t="array" ref="DS26">IF(ISERROR(INDEX($A$3:$B$14312,SMALL(IF($A$3:$A$14312=DS$3,ROW($A$3:$A$14312)),ROW(24:24)),2)),"",INDEX($A$3:$B$14312,SMALL(IF($A$3:$A$14312=DS$3,ROW($A$3:$A$14312)),ROW(24:24)),2))</f>
        <v/>
      </c>
      <c r="DT26" t="str">
        <f t="array" ref="DT26">IF(ISERROR(INDEX($A$3:$B$14312,SMALL(IF($A$3:$A$14312=DT$3,ROW($A$3:$A$14312)),ROW(24:24)),2)),"",INDEX($A$3:$B$14312,SMALL(IF($A$3:$A$14312=DT$3,ROW($A$3:$A$14312)),ROW(24:24)),2))</f>
        <v>Router3_90</v>
      </c>
      <c r="DU26" t="str">
        <f t="array" ref="DU26">IF(ISERROR(INDEX($A$3:$B$14312,SMALL(IF($A$3:$A$14312=DU$3,ROW($A$3:$A$14312)),ROW(24:24)),2)),"",INDEX($A$3:$B$14312,SMALL(IF($A$3:$A$14312=DU$3,ROW($A$3:$A$14312)),ROW(24:24)),2))</f>
        <v>Router3_142</v>
      </c>
      <c r="DV26" t="str">
        <f t="array" ref="DV26">IF(ISERROR(INDEX($A$3:$B$14312,SMALL(IF($A$3:$A$14312=DV$3,ROW($A$3:$A$14312)),ROW(24:24)),2)),"",INDEX($A$3:$B$14312,SMALL(IF($A$3:$A$14312=DV$3,ROW($A$3:$A$14312)),ROW(24:24)),2))</f>
        <v/>
      </c>
      <c r="DW26" t="str">
        <f t="array" ref="DW26">IF(ISERROR(INDEX($A$3:$B$14312,SMALL(IF($A$3:$A$14312=DW$3,ROW($A$3:$A$14312)),ROW(24:24)),2)),"",INDEX($A$3:$B$14312,SMALL(IF($A$3:$A$14312=DW$3,ROW($A$3:$A$14312)),ROW(24:24)),2))</f>
        <v/>
      </c>
      <c r="DX26" t="str">
        <f t="array" ref="DX26">IF(ISERROR(INDEX($A$3:$B$14312,SMALL(IF($A$3:$A$14312=DX$3,ROW($A$3:$A$14312)),ROW(24:24)),2)),"",INDEX($A$3:$B$14312,SMALL(IF($A$3:$A$14312=DX$3,ROW($A$3:$A$14312)),ROW(24:24)),2))</f>
        <v/>
      </c>
      <c r="DY26" t="str">
        <f t="array" ref="DY26">IF(ISERROR(INDEX($A$3:$B$14312,SMALL(IF($A$3:$A$14312=DY$3,ROW($A$3:$A$14312)),ROW(24:24)),2)),"",INDEX($A$3:$B$14312,SMALL(IF($A$3:$A$14312=DY$3,ROW($A$3:$A$14312)),ROW(24:24)),2))</f>
        <v/>
      </c>
      <c r="DZ26" t="str">
        <f t="array" ref="DZ26">IF(ISERROR(INDEX($A$3:$B$14312,SMALL(IF($A$3:$A$14312=DZ$3,ROW($A$3:$A$14312)),ROW(24:24)),2)),"",INDEX($A$3:$B$14312,SMALL(IF($A$3:$A$14312=DZ$3,ROW($A$3:$A$14312)),ROW(24:24)),2))</f>
        <v/>
      </c>
      <c r="EA26" t="str">
        <f t="array" ref="EA26">IF(ISERROR(INDEX($A$3:$B$14312,SMALL(IF($A$3:$A$14312=EA$3,ROW($A$3:$A$14312)),ROW(24:24)),2)),"",INDEX($A$3:$B$14312,SMALL(IF($A$3:$A$14312=EA$3,ROW($A$3:$A$14312)),ROW(24:24)),2))</f>
        <v>Router3_162</v>
      </c>
      <c r="EB26" t="str">
        <f t="array" ref="EB26">IF(ISERROR(INDEX($A$3:$B$14312,SMALL(IF($A$3:$A$14312=EB$3,ROW($A$3:$A$14312)),ROW(24:24)),2)),"",INDEX($A$3:$B$14312,SMALL(IF($A$3:$A$14312=EB$3,ROW($A$3:$A$14312)),ROW(24:24)),2))</f>
        <v/>
      </c>
      <c r="EC26" t="str">
        <f t="array" ref="EC26">IF(ISERROR(INDEX($A$3:$B$14312,SMALL(IF($A$3:$A$14312=EC$3,ROW($A$3:$A$14312)),ROW(24:24)),2)),"",INDEX($A$3:$B$14312,SMALL(IF($A$3:$A$14312=EC$3,ROW($A$3:$A$14312)),ROW(24:24)),2))</f>
        <v>Router3_118</v>
      </c>
      <c r="ED26" t="str">
        <f t="array" ref="ED26">IF(ISERROR(INDEX($A$3:$B$14312,SMALL(IF($A$3:$A$14312=ED$3,ROW($A$3:$A$14312)),ROW(24:24)),2)),"",INDEX($A$3:$B$14312,SMALL(IF($A$3:$A$14312=ED$3,ROW($A$3:$A$14312)),ROW(24:24)),2))</f>
        <v>Router3_146</v>
      </c>
      <c r="EE26" t="str">
        <f t="array" ref="EE26">IF(ISERROR(INDEX($A$3:$B$14312,SMALL(IF($A$3:$A$14312=EE$3,ROW($A$3:$A$14312)),ROW(24:24)),2)),"",INDEX($A$3:$B$14312,SMALL(IF($A$3:$A$14312=EE$3,ROW($A$3:$A$14312)),ROW(24:24)),2))</f>
        <v/>
      </c>
    </row>
    <row r="27" spans="1:135" x14ac:dyDescent="0.25">
      <c r="A27" s="10">
        <v>-450827382</v>
      </c>
      <c r="B27" t="s">
        <v>1104</v>
      </c>
      <c r="E27" t="str">
        <f t="array" ref="E27">IF(ISERROR(INDEX($A$3:$B$14312,SMALL(IF($A$3:$A$14312=E$3,ROW($A$3:$A$14312)),ROW(25:25)),2)),"",INDEX($A$3:$B$14312,SMALL(IF($A$3:$A$14312=E$3,ROW($A$3:$A$14312)),ROW(25:25)),2))</f>
        <v>Router3_102</v>
      </c>
      <c r="F27" t="str">
        <f t="array" ref="F27">IF(ISERROR(INDEX($A$3:$B$14312,SMALL(IF($A$3:$A$14312=F$3,ROW($A$3:$A$14312)),ROW(25:25)),2)),"",INDEX($A$3:$B$14312,SMALL(IF($A$3:$A$14312=F$3,ROW($A$3:$A$14312)),ROW(25:25)),2))</f>
        <v>Router3_92</v>
      </c>
      <c r="G27" t="str">
        <f t="array" ref="G27">IF(ISERROR(INDEX($A$3:$B$14312,SMALL(IF($A$3:$A$14312=G$3,ROW($A$3:$A$14312)),ROW(25:25)),2)),"",INDEX($A$3:$B$14312,SMALL(IF($A$3:$A$14312=G$3,ROW($A$3:$A$14312)),ROW(25:25)),2))</f>
        <v/>
      </c>
      <c r="H27" t="str">
        <f t="array" ref="H27">IF(ISERROR(INDEX($A$3:$B$14312,SMALL(IF($A$3:$A$14312=H$3,ROW($A$3:$A$14312)),ROW(25:25)),2)),"",INDEX($A$3:$B$14312,SMALL(IF($A$3:$A$14312=H$3,ROW($A$3:$A$14312)),ROW(25:25)),2))</f>
        <v/>
      </c>
      <c r="I27" t="str">
        <f t="array" ref="I27">IF(ISERROR(INDEX($A$3:$B$14312,SMALL(IF($A$3:$A$14312=I$3,ROW($A$3:$A$14312)),ROW(25:25)),2)),"",INDEX($A$3:$B$14312,SMALL(IF($A$3:$A$14312=I$3,ROW($A$3:$A$14312)),ROW(25:25)),2))</f>
        <v/>
      </c>
      <c r="J27" t="str">
        <f t="array" ref="J27">IF(ISERROR(INDEX($A$3:$B$14312,SMALL(IF($A$3:$A$14312=J$3,ROW($A$3:$A$14312)),ROW(25:25)),2)),"",INDEX($A$3:$B$14312,SMALL(IF($A$3:$A$14312=J$3,ROW($A$3:$A$14312)),ROW(25:25)),2))</f>
        <v>Router3_155</v>
      </c>
      <c r="K27" t="str">
        <f t="array" ref="K27">IF(ISERROR(INDEX($A$3:$B$14312,SMALL(IF($A$3:$A$14312=K$3,ROW($A$3:$A$14312)),ROW(25:25)),2)),"",INDEX($A$3:$B$14312,SMALL(IF($A$3:$A$14312=K$3,ROW($A$3:$A$14312)),ROW(25:25)),2))</f>
        <v/>
      </c>
      <c r="L27" t="str">
        <f t="array" ref="L27">IF(ISERROR(INDEX($A$3:$B$14312,SMALL(IF($A$3:$A$14312=L$3,ROW($A$3:$A$14312)),ROW(25:25)),2)),"",INDEX($A$3:$B$14312,SMALL(IF($A$3:$A$14312=L$3,ROW($A$3:$A$14312)),ROW(25:25)),2))</f>
        <v/>
      </c>
      <c r="M27" t="str">
        <f t="array" ref="M27">IF(ISERROR(INDEX($A$3:$B$14312,SMALL(IF($A$3:$A$14312=M$3,ROW($A$3:$A$14312)),ROW(25:25)),2)),"",INDEX($A$3:$B$14312,SMALL(IF($A$3:$A$14312=M$3,ROW($A$3:$A$14312)),ROW(25:25)),2))</f>
        <v/>
      </c>
      <c r="N27" t="str">
        <f t="array" ref="N27">IF(ISERROR(INDEX($A$3:$B$14312,SMALL(IF($A$3:$A$14312=N$3,ROW($A$3:$A$14312)),ROW(25:25)),2)),"",INDEX($A$3:$B$14312,SMALL(IF($A$3:$A$14312=N$3,ROW($A$3:$A$14312)),ROW(25:25)),2))</f>
        <v/>
      </c>
      <c r="O27" t="str">
        <f t="array" ref="O27">IF(ISERROR(INDEX($A$3:$B$14312,SMALL(IF($A$3:$A$14312=O$3,ROW($A$3:$A$14312)),ROW(25:25)),2)),"",INDEX($A$3:$B$14312,SMALL(IF($A$3:$A$14312=O$3,ROW($A$3:$A$14312)),ROW(25:25)),2))</f>
        <v/>
      </c>
      <c r="P27" t="str">
        <f t="array" ref="P27">IF(ISERROR(INDEX($A$3:$B$14312,SMALL(IF($A$3:$A$14312=P$3,ROW($A$3:$A$14312)),ROW(25:25)),2)),"",INDEX($A$3:$B$14312,SMALL(IF($A$3:$A$14312=P$3,ROW($A$3:$A$14312)),ROW(25:25)),2))</f>
        <v/>
      </c>
      <c r="Q27" t="str">
        <f t="array" ref="Q27">IF(ISERROR(INDEX($A$3:$B$14312,SMALL(IF($A$3:$A$14312=Q$3,ROW($A$3:$A$14312)),ROW(25:25)),2)),"",INDEX($A$3:$B$14312,SMALL(IF($A$3:$A$14312=Q$3,ROW($A$3:$A$14312)),ROW(25:25)),2))</f>
        <v/>
      </c>
      <c r="R27" t="str">
        <f t="array" ref="R27">IF(ISERROR(INDEX($A$3:$B$14312,SMALL(IF($A$3:$A$14312=R$3,ROW($A$3:$A$14312)),ROW(25:25)),2)),"",INDEX($A$3:$B$14312,SMALL(IF($A$3:$A$14312=R$3,ROW($A$3:$A$14312)),ROW(25:25)),2))</f>
        <v/>
      </c>
      <c r="S27" t="str">
        <f t="array" ref="S27">IF(ISERROR(INDEX($A$3:$B$14312,SMALL(IF($A$3:$A$14312=S$3,ROW($A$3:$A$14312)),ROW(25:25)),2)),"",INDEX($A$3:$B$14312,SMALL(IF($A$3:$A$14312=S$3,ROW($A$3:$A$14312)),ROW(25:25)),2))</f>
        <v/>
      </c>
      <c r="T27" t="str">
        <f t="array" ref="T27">IF(ISERROR(INDEX($A$3:$B$14312,SMALL(IF($A$3:$A$14312=T$3,ROW($A$3:$A$14312)),ROW(25:25)),2)),"",INDEX($A$3:$B$14312,SMALL(IF($A$3:$A$14312=T$3,ROW($A$3:$A$14312)),ROW(25:25)),2))</f>
        <v/>
      </c>
      <c r="U27" t="str">
        <f t="array" ref="U27">IF(ISERROR(INDEX($A$3:$B$14312,SMALL(IF($A$3:$A$14312=U$3,ROW($A$3:$A$14312)),ROW(25:25)),2)),"",INDEX($A$3:$B$14312,SMALL(IF($A$3:$A$14312=U$3,ROW($A$3:$A$14312)),ROW(25:25)),2))</f>
        <v/>
      </c>
      <c r="V27" t="str">
        <f t="array" ref="V27">IF(ISERROR(INDEX($A$3:$B$14312,SMALL(IF($A$3:$A$14312=V$3,ROW($A$3:$A$14312)),ROW(25:25)),2)),"",INDEX($A$3:$B$14312,SMALL(IF($A$3:$A$14312=V$3,ROW($A$3:$A$14312)),ROW(25:25)),2))</f>
        <v/>
      </c>
      <c r="W27" t="str">
        <f t="array" ref="W27">IF(ISERROR(INDEX($A$3:$B$14312,SMALL(IF($A$3:$A$14312=W$3,ROW($A$3:$A$14312)),ROW(25:25)),2)),"",INDEX($A$3:$B$14312,SMALL(IF($A$3:$A$14312=W$3,ROW($A$3:$A$14312)),ROW(25:25)),2))</f>
        <v>Router3_118</v>
      </c>
      <c r="X27" t="str">
        <f t="array" ref="X27">IF(ISERROR(INDEX($A$3:$B$14312,SMALL(IF($A$3:$A$14312=X$3,ROW($A$3:$A$14312)),ROW(25:25)),2)),"",INDEX($A$3:$B$14312,SMALL(IF($A$3:$A$14312=X$3,ROW($A$3:$A$14312)),ROW(25:25)),2))</f>
        <v/>
      </c>
      <c r="Y27" t="str">
        <f t="array" ref="Y27">IF(ISERROR(INDEX($A$3:$B$14312,SMALL(IF($A$3:$A$14312=Y$3,ROW($A$3:$A$14312)),ROW(25:25)),2)),"",INDEX($A$3:$B$14312,SMALL(IF($A$3:$A$14312=Y$3,ROW($A$3:$A$14312)),ROW(25:25)),2))</f>
        <v/>
      </c>
      <c r="Z27" t="str">
        <f t="array" ref="Z27">IF(ISERROR(INDEX($A$3:$B$14312,SMALL(IF($A$3:$A$14312=Z$3,ROW($A$3:$A$14312)),ROW(25:25)),2)),"",INDEX($A$3:$B$14312,SMALL(IF($A$3:$A$14312=Z$3,ROW($A$3:$A$14312)),ROW(25:25)),2))</f>
        <v/>
      </c>
      <c r="AA27" t="str">
        <f t="array" ref="AA27">IF(ISERROR(INDEX($A$3:$B$14312,SMALL(IF($A$3:$A$14312=AA$3,ROW($A$3:$A$14312)),ROW(25:25)),2)),"",INDEX($A$3:$B$14312,SMALL(IF($A$3:$A$14312=AA$3,ROW($A$3:$A$14312)),ROW(25:25)),2))</f>
        <v/>
      </c>
      <c r="AB27" t="str">
        <f t="array" ref="AB27">IF(ISERROR(INDEX($A$3:$B$14312,SMALL(IF($A$3:$A$14312=AB$3,ROW($A$3:$A$14312)),ROW(25:25)),2)),"",INDEX($A$3:$B$14312,SMALL(IF($A$3:$A$14312=AB$3,ROW($A$3:$A$14312)),ROW(25:25)),2))</f>
        <v/>
      </c>
      <c r="AC27" t="str">
        <f t="array" ref="AC27">IF(ISERROR(INDEX($A$3:$B$14312,SMALL(IF($A$3:$A$14312=AC$3,ROW($A$3:$A$14312)),ROW(25:25)),2)),"",INDEX($A$3:$B$14312,SMALL(IF($A$3:$A$14312=AC$3,ROW($A$3:$A$14312)),ROW(25:25)),2))</f>
        <v/>
      </c>
      <c r="AD27" t="str">
        <f t="array" ref="AD27">IF(ISERROR(INDEX($A$3:$B$14312,SMALL(IF($A$3:$A$14312=AD$3,ROW($A$3:$A$14312)),ROW(25:25)),2)),"",INDEX($A$3:$B$14312,SMALL(IF($A$3:$A$14312=AD$3,ROW($A$3:$A$14312)),ROW(25:25)),2))</f>
        <v/>
      </c>
      <c r="AE27" t="str">
        <f t="array" ref="AE27">IF(ISERROR(INDEX($A$3:$B$14312,SMALL(IF($A$3:$A$14312=AE$3,ROW($A$3:$A$14312)),ROW(25:25)),2)),"",INDEX($A$3:$B$14312,SMALL(IF($A$3:$A$14312=AE$3,ROW($A$3:$A$14312)),ROW(25:25)),2))</f>
        <v/>
      </c>
      <c r="AF27" t="str">
        <f t="array" ref="AF27">IF(ISERROR(INDEX($A$3:$B$14312,SMALL(IF($A$3:$A$14312=AF$3,ROW($A$3:$A$14312)),ROW(25:25)),2)),"",INDEX($A$3:$B$14312,SMALL(IF($A$3:$A$14312=AF$3,ROW($A$3:$A$14312)),ROW(25:25)),2))</f>
        <v>Router3_109</v>
      </c>
      <c r="AG27" t="str">
        <f t="array" ref="AG27">IF(ISERROR(INDEX($A$3:$B$14312,SMALL(IF($A$3:$A$14312=AG$3,ROW($A$3:$A$14312)),ROW(25:25)),2)),"",INDEX($A$3:$B$14312,SMALL(IF($A$3:$A$14312=AG$3,ROW($A$3:$A$14312)),ROW(25:25)),2))</f>
        <v>Router3_71</v>
      </c>
      <c r="AH27" t="str">
        <f t="array" ref="AH27">IF(ISERROR(INDEX($A$3:$B$14312,SMALL(IF($A$3:$A$14312=AH$3,ROW($A$3:$A$14312)),ROW(25:25)),2)),"",INDEX($A$3:$B$14312,SMALL(IF($A$3:$A$14312=AH$3,ROW($A$3:$A$14312)),ROW(25:25)),2))</f>
        <v/>
      </c>
      <c r="AI27" t="str">
        <f t="array" ref="AI27">IF(ISERROR(INDEX($A$3:$B$14312,SMALL(IF($A$3:$A$14312=AI$3,ROW($A$3:$A$14312)),ROW(25:25)),2)),"",INDEX($A$3:$B$14312,SMALL(IF($A$3:$A$14312=AI$3,ROW($A$3:$A$14312)),ROW(25:25)),2))</f>
        <v/>
      </c>
      <c r="AJ27" t="str">
        <f t="array" ref="AJ27">IF(ISERROR(INDEX($A$3:$B$14312,SMALL(IF($A$3:$A$14312=AJ$3,ROW($A$3:$A$14312)),ROW(25:25)),2)),"",INDEX($A$3:$B$14312,SMALL(IF($A$3:$A$14312=AJ$3,ROW($A$3:$A$14312)),ROW(25:25)),2))</f>
        <v/>
      </c>
      <c r="AK27" t="str">
        <f t="array" ref="AK27">IF(ISERROR(INDEX($A$3:$B$14312,SMALL(IF($A$3:$A$14312=AK$3,ROW($A$3:$A$14312)),ROW(25:25)),2)),"",INDEX($A$3:$B$14312,SMALL(IF($A$3:$A$14312=AK$3,ROW($A$3:$A$14312)),ROW(25:25)),2))</f>
        <v/>
      </c>
      <c r="AL27" t="str">
        <f t="array" ref="AL27">IF(ISERROR(INDEX($A$3:$B$14312,SMALL(IF($A$3:$A$14312=AL$3,ROW($A$3:$A$14312)),ROW(25:25)),2)),"",INDEX($A$3:$B$14312,SMALL(IF($A$3:$A$14312=AL$3,ROW($A$3:$A$14312)),ROW(25:25)),2))</f>
        <v>Router3_51</v>
      </c>
      <c r="AM27" t="str">
        <f t="array" ref="AM27">IF(ISERROR(INDEX($A$3:$B$14312,SMALL(IF($A$3:$A$14312=AM$3,ROW($A$3:$A$14312)),ROW(25:25)),2)),"",INDEX($A$3:$B$14312,SMALL(IF($A$3:$A$14312=AM$3,ROW($A$3:$A$14312)),ROW(25:25)),2))</f>
        <v>Router3_145</v>
      </c>
      <c r="AN27" t="str">
        <f t="array" ref="AN27">IF(ISERROR(INDEX($A$3:$B$14312,SMALL(IF($A$3:$A$14312=AN$3,ROW($A$3:$A$14312)),ROW(25:25)),2)),"",INDEX($A$3:$B$14312,SMALL(IF($A$3:$A$14312=AN$3,ROW($A$3:$A$14312)),ROW(25:25)),2))</f>
        <v/>
      </c>
      <c r="AO27" t="str">
        <f t="array" ref="AO27">IF(ISERROR(INDEX($A$3:$B$14312,SMALL(IF($A$3:$A$14312=AO$3,ROW($A$3:$A$14312)),ROW(25:25)),2)),"",INDEX($A$3:$B$14312,SMALL(IF($A$3:$A$14312=AO$3,ROW($A$3:$A$14312)),ROW(25:25)),2))</f>
        <v/>
      </c>
      <c r="AP27" t="str">
        <f t="array" ref="AP27">IF(ISERROR(INDEX($A$3:$B$14312,SMALL(IF($A$3:$A$14312=AP$3,ROW($A$3:$A$14312)),ROW(25:25)),2)),"",INDEX($A$3:$B$14312,SMALL(IF($A$3:$A$14312=AP$3,ROW($A$3:$A$14312)),ROW(25:25)),2))</f>
        <v>Router3_33</v>
      </c>
      <c r="AQ27" t="str">
        <f t="array" ref="AQ27">IF(ISERROR(INDEX($A$3:$B$14312,SMALL(IF($A$3:$A$14312=AQ$3,ROW($A$3:$A$14312)),ROW(25:25)),2)),"",INDEX($A$3:$B$14312,SMALL(IF($A$3:$A$14312=AQ$3,ROW($A$3:$A$14312)),ROW(25:25)),2))</f>
        <v/>
      </c>
      <c r="AR27" t="str">
        <f t="array" ref="AR27">IF(ISERROR(INDEX($A$3:$B$14312,SMALL(IF($A$3:$A$14312=AR$3,ROW($A$3:$A$14312)),ROW(25:25)),2)),"",INDEX($A$3:$B$14312,SMALL(IF($A$3:$A$14312=AR$3,ROW($A$3:$A$14312)),ROW(25:25)),2))</f>
        <v/>
      </c>
      <c r="AS27" t="str">
        <f t="array" ref="AS27">IF(ISERROR(INDEX($A$3:$B$14312,SMALL(IF($A$3:$A$14312=AS$3,ROW($A$3:$A$14312)),ROW(25:25)),2)),"",INDEX($A$3:$B$14312,SMALL(IF($A$3:$A$14312=AS$3,ROW($A$3:$A$14312)),ROW(25:25)),2))</f>
        <v>Router3_108</v>
      </c>
      <c r="AT27" t="str">
        <f t="array" ref="AT27">IF(ISERROR(INDEX($A$3:$B$14312,SMALL(IF($A$3:$A$14312=AT$3,ROW($A$3:$A$14312)),ROW(25:25)),2)),"",INDEX($A$3:$B$14312,SMALL(IF($A$3:$A$14312=AT$3,ROW($A$3:$A$14312)),ROW(25:25)),2))</f>
        <v/>
      </c>
      <c r="AU27" t="str">
        <f t="array" ref="AU27">IF(ISERROR(INDEX($A$3:$B$14312,SMALL(IF($A$3:$A$14312=AU$3,ROW($A$3:$A$14312)),ROW(25:25)),2)),"",INDEX($A$3:$B$14312,SMALL(IF($A$3:$A$14312=AU$3,ROW($A$3:$A$14312)),ROW(25:25)),2))</f>
        <v/>
      </c>
      <c r="AV27" t="str">
        <f t="array" ref="AV27">IF(ISERROR(INDEX($A$3:$B$14312,SMALL(IF($A$3:$A$14312=AV$3,ROW($A$3:$A$14312)),ROW(25:25)),2)),"",INDEX($A$3:$B$14312,SMALL(IF($A$3:$A$14312=AV$3,ROW($A$3:$A$14312)),ROW(25:25)),2))</f>
        <v/>
      </c>
      <c r="AW27" t="str">
        <f t="array" ref="AW27">IF(ISERROR(INDEX($A$3:$B$14312,SMALL(IF($A$3:$A$14312=AW$3,ROW($A$3:$A$14312)),ROW(25:25)),2)),"",INDEX($A$3:$B$14312,SMALL(IF($A$3:$A$14312=AW$3,ROW($A$3:$A$14312)),ROW(25:25)),2))</f>
        <v/>
      </c>
      <c r="AX27" t="str">
        <f t="array" ref="AX27">IF(ISERROR(INDEX($A$3:$B$14312,SMALL(IF($A$3:$A$14312=AX$3,ROW($A$3:$A$14312)),ROW(25:25)),2)),"",INDEX($A$3:$B$14312,SMALL(IF($A$3:$A$14312=AX$3,ROW($A$3:$A$14312)),ROW(25:25)),2))</f>
        <v/>
      </c>
      <c r="AY27" t="str">
        <f t="array" ref="AY27">IF(ISERROR(INDEX($A$3:$B$14312,SMALL(IF($A$3:$A$14312=AY$3,ROW($A$3:$A$14312)),ROW(25:25)),2)),"",INDEX($A$3:$B$14312,SMALL(IF($A$3:$A$14312=AY$3,ROW($A$3:$A$14312)),ROW(25:25)),2))</f>
        <v>Router3_147</v>
      </c>
      <c r="AZ27" t="str">
        <f t="array" ref="AZ27">IF(ISERROR(INDEX($A$3:$B$14312,SMALL(IF($A$3:$A$14312=AZ$3,ROW($A$3:$A$14312)),ROW(25:25)),2)),"",INDEX($A$3:$B$14312,SMALL(IF($A$3:$A$14312=AZ$3,ROW($A$3:$A$14312)),ROW(25:25)),2))</f>
        <v/>
      </c>
      <c r="BA27" t="str">
        <f t="array" ref="BA27">IF(ISERROR(INDEX($A$3:$B$14312,SMALL(IF($A$3:$A$14312=BA$3,ROW($A$3:$A$14312)),ROW(25:25)),2)),"",INDEX($A$3:$B$14312,SMALL(IF($A$3:$A$14312=BA$3,ROW($A$3:$A$14312)),ROW(25:25)),2))</f>
        <v/>
      </c>
      <c r="BB27" t="str">
        <f t="array" ref="BB27">IF(ISERROR(INDEX($A$3:$B$14312,SMALL(IF($A$3:$A$14312=BB$3,ROW($A$3:$A$14312)),ROW(25:25)),2)),"",INDEX($A$3:$B$14312,SMALL(IF($A$3:$A$14312=BB$3,ROW($A$3:$A$14312)),ROW(25:25)),2))</f>
        <v/>
      </c>
      <c r="BC27" t="str">
        <f t="array" ref="BC27">IF(ISERROR(INDEX($A$3:$B$14312,SMALL(IF($A$3:$A$14312=BC$3,ROW($A$3:$A$14312)),ROW(25:25)),2)),"",INDEX($A$3:$B$14312,SMALL(IF($A$3:$A$14312=BC$3,ROW($A$3:$A$14312)),ROW(25:25)),2))</f>
        <v/>
      </c>
      <c r="BD27" t="str">
        <f t="array" ref="BD27">IF(ISERROR(INDEX($A$3:$B$14312,SMALL(IF($A$3:$A$14312=BD$3,ROW($A$3:$A$14312)),ROW(25:25)),2)),"",INDEX($A$3:$B$14312,SMALL(IF($A$3:$A$14312=BD$3,ROW($A$3:$A$14312)),ROW(25:25)),2))</f>
        <v/>
      </c>
      <c r="BE27" t="str">
        <f t="array" ref="BE27">IF(ISERROR(INDEX($A$3:$B$14312,SMALL(IF($A$3:$A$14312=BE$3,ROW($A$3:$A$14312)),ROW(25:25)),2)),"",INDEX($A$3:$B$14312,SMALL(IF($A$3:$A$14312=BE$3,ROW($A$3:$A$14312)),ROW(25:25)),2))</f>
        <v/>
      </c>
      <c r="BF27" t="str">
        <f t="array" ref="BF27">IF(ISERROR(INDEX($A$3:$B$14312,SMALL(IF($A$3:$A$14312=BF$3,ROW($A$3:$A$14312)),ROW(25:25)),2)),"",INDEX($A$3:$B$14312,SMALL(IF($A$3:$A$14312=BF$3,ROW($A$3:$A$14312)),ROW(25:25)),2))</f>
        <v/>
      </c>
      <c r="BG27" t="str">
        <f t="array" ref="BG27">IF(ISERROR(INDEX($A$3:$B$14312,SMALL(IF($A$3:$A$14312=BG$3,ROW($A$3:$A$14312)),ROW(25:25)),2)),"",INDEX($A$3:$B$14312,SMALL(IF($A$3:$A$14312=BG$3,ROW($A$3:$A$14312)),ROW(25:25)),2))</f>
        <v/>
      </c>
      <c r="BH27" t="str">
        <f t="array" ref="BH27">IF(ISERROR(INDEX($A$3:$B$14312,SMALL(IF($A$3:$A$14312=BH$3,ROW($A$3:$A$14312)),ROW(25:25)),2)),"",INDEX($A$3:$B$14312,SMALL(IF($A$3:$A$14312=BH$3,ROW($A$3:$A$14312)),ROW(25:25)),2))</f>
        <v/>
      </c>
      <c r="BI27" t="str">
        <f t="array" ref="BI27">IF(ISERROR(INDEX($A$3:$B$14312,SMALL(IF($A$3:$A$14312=BI$3,ROW($A$3:$A$14312)),ROW(25:25)),2)),"",INDEX($A$3:$B$14312,SMALL(IF($A$3:$A$14312=BI$3,ROW($A$3:$A$14312)),ROW(25:25)),2))</f>
        <v/>
      </c>
      <c r="BJ27" t="str">
        <f t="array" ref="BJ27">IF(ISERROR(INDEX($A$3:$B$14312,SMALL(IF($A$3:$A$14312=BJ$3,ROW($A$3:$A$14312)),ROW(25:25)),2)),"",INDEX($A$3:$B$14312,SMALL(IF($A$3:$A$14312=BJ$3,ROW($A$3:$A$14312)),ROW(25:25)),2))</f>
        <v/>
      </c>
      <c r="BK27" t="str">
        <f t="array" ref="BK27">IF(ISERROR(INDEX($A$3:$B$14312,SMALL(IF($A$3:$A$14312=BK$3,ROW($A$3:$A$14312)),ROW(25:25)),2)),"",INDEX($A$3:$B$14312,SMALL(IF($A$3:$A$14312=BK$3,ROW($A$3:$A$14312)),ROW(25:25)),2))</f>
        <v/>
      </c>
      <c r="BL27" t="str">
        <f t="array" ref="BL27">IF(ISERROR(INDEX($A$3:$B$14312,SMALL(IF($A$3:$A$14312=BL$3,ROW($A$3:$A$14312)),ROW(25:25)),2)),"",INDEX($A$3:$B$14312,SMALL(IF($A$3:$A$14312=BL$3,ROW($A$3:$A$14312)),ROW(25:25)),2))</f>
        <v/>
      </c>
      <c r="BM27" t="str">
        <f t="array" ref="BM27">IF(ISERROR(INDEX($A$3:$B$14312,SMALL(IF($A$3:$A$14312=BM$3,ROW($A$3:$A$14312)),ROW(25:25)),2)),"",INDEX($A$3:$B$14312,SMALL(IF($A$3:$A$14312=BM$3,ROW($A$3:$A$14312)),ROW(25:25)),2))</f>
        <v/>
      </c>
      <c r="BN27" t="str">
        <f t="array" ref="BN27">IF(ISERROR(INDEX($A$3:$B$14312,SMALL(IF($A$3:$A$14312=BN$3,ROW($A$3:$A$14312)),ROW(25:25)),2)),"",INDEX($A$3:$B$14312,SMALL(IF($A$3:$A$14312=BN$3,ROW($A$3:$A$14312)),ROW(25:25)),2))</f>
        <v/>
      </c>
      <c r="BO27" t="str">
        <f t="array" ref="BO27">IF(ISERROR(INDEX($A$3:$B$14312,SMALL(IF($A$3:$A$14312=BO$3,ROW($A$3:$A$14312)),ROW(25:25)),2)),"",INDEX($A$3:$B$14312,SMALL(IF($A$3:$A$14312=BO$3,ROW($A$3:$A$14312)),ROW(25:25)),2))</f>
        <v/>
      </c>
      <c r="BP27" t="str">
        <f t="array" ref="BP27">IF(ISERROR(INDEX($A$3:$B$14312,SMALL(IF($A$3:$A$14312=BP$3,ROW($A$3:$A$14312)),ROW(25:25)),2)),"",INDEX($A$3:$B$14312,SMALL(IF($A$3:$A$14312=BP$3,ROW($A$3:$A$14312)),ROW(25:25)),2))</f>
        <v/>
      </c>
      <c r="BQ27" t="str">
        <f t="array" ref="BQ27">IF(ISERROR(INDEX($A$3:$B$14312,SMALL(IF($A$3:$A$14312=BQ$3,ROW($A$3:$A$14312)),ROW(25:25)),2)),"",INDEX($A$3:$B$14312,SMALL(IF($A$3:$A$14312=BQ$3,ROW($A$3:$A$14312)),ROW(25:25)),2))</f>
        <v/>
      </c>
      <c r="BR27" t="str">
        <f t="array" ref="BR27">IF(ISERROR(INDEX($A$3:$B$14312,SMALL(IF($A$3:$A$14312=BR$3,ROW($A$3:$A$14312)),ROW(25:25)),2)),"",INDEX($A$3:$B$14312,SMALL(IF($A$3:$A$14312=BR$3,ROW($A$3:$A$14312)),ROW(25:25)),2))</f>
        <v/>
      </c>
      <c r="BS27" t="str">
        <f t="array" ref="BS27">IF(ISERROR(INDEX($A$3:$B$14312,SMALL(IF($A$3:$A$14312=BS$3,ROW($A$3:$A$14312)),ROW(25:25)),2)),"",INDEX($A$3:$B$14312,SMALL(IF($A$3:$A$14312=BS$3,ROW($A$3:$A$14312)),ROW(25:25)),2))</f>
        <v/>
      </c>
      <c r="BT27" t="str">
        <f t="array" ref="BT27">IF(ISERROR(INDEX($A$3:$B$14312,SMALL(IF($A$3:$A$14312=BT$3,ROW($A$3:$A$14312)),ROW(25:25)),2)),"",INDEX($A$3:$B$14312,SMALL(IF($A$3:$A$14312=BT$3,ROW($A$3:$A$14312)),ROW(25:25)),2))</f>
        <v>Router3_112</v>
      </c>
      <c r="BU27" t="str">
        <f t="array" ref="BU27">IF(ISERROR(INDEX($A$3:$B$14312,SMALL(IF($A$3:$A$14312=BU$3,ROW($A$3:$A$14312)),ROW(25:25)),2)),"",INDEX($A$3:$B$14312,SMALL(IF($A$3:$A$14312=BU$3,ROW($A$3:$A$14312)),ROW(25:25)),2))</f>
        <v/>
      </c>
      <c r="BV27" t="str">
        <f t="array" ref="BV27">IF(ISERROR(INDEX($A$3:$B$14312,SMALL(IF($A$3:$A$14312=BV$3,ROW($A$3:$A$14312)),ROW(25:25)),2)),"",INDEX($A$3:$B$14312,SMALL(IF($A$3:$A$14312=BV$3,ROW($A$3:$A$14312)),ROW(25:25)),2))</f>
        <v/>
      </c>
      <c r="BW27" t="str">
        <f t="array" ref="BW27">IF(ISERROR(INDEX($A$3:$B$14312,SMALL(IF($A$3:$A$14312=BW$3,ROW($A$3:$A$14312)),ROW(25:25)),2)),"",INDEX($A$3:$B$14312,SMALL(IF($A$3:$A$14312=BW$3,ROW($A$3:$A$14312)),ROW(25:25)),2))</f>
        <v>Router3_53</v>
      </c>
      <c r="BX27" t="str">
        <f t="array" ref="BX27">IF(ISERROR(INDEX($A$3:$B$14312,SMALL(IF($A$3:$A$14312=BX$3,ROW($A$3:$A$14312)),ROW(25:25)),2)),"",INDEX($A$3:$B$14312,SMALL(IF($A$3:$A$14312=BX$3,ROW($A$3:$A$14312)),ROW(25:25)),2))</f>
        <v>Router3_2</v>
      </c>
      <c r="BY27" t="str">
        <f t="array" ref="BY27">IF(ISERROR(INDEX($A$3:$B$14312,SMALL(IF($A$3:$A$14312=BY$3,ROW($A$3:$A$14312)),ROW(25:25)),2)),"",INDEX($A$3:$B$14312,SMALL(IF($A$3:$A$14312=BY$3,ROW($A$3:$A$14312)),ROW(25:25)),2))</f>
        <v>Router3_108</v>
      </c>
      <c r="BZ27" t="str">
        <f t="array" ref="BZ27">IF(ISERROR(INDEX($A$3:$B$14312,SMALL(IF($A$3:$A$14312=BZ$3,ROW($A$3:$A$14312)),ROW(25:25)),2)),"",INDEX($A$3:$B$14312,SMALL(IF($A$3:$A$14312=BZ$3,ROW($A$3:$A$14312)),ROW(25:25)),2))</f>
        <v>Router3_108</v>
      </c>
      <c r="CA27" t="str">
        <f t="array" ref="CA27">IF(ISERROR(INDEX($A$3:$B$14312,SMALL(IF($A$3:$A$14312=CA$3,ROW($A$3:$A$14312)),ROW(25:25)),2)),"",INDEX($A$3:$B$14312,SMALL(IF($A$3:$A$14312=CA$3,ROW($A$3:$A$14312)),ROW(25:25)),2))</f>
        <v/>
      </c>
      <c r="CB27" t="str">
        <f t="array" ref="CB27">IF(ISERROR(INDEX($A$3:$B$14312,SMALL(IF($A$3:$A$14312=CB$3,ROW($A$3:$A$14312)),ROW(25:25)),2)),"",INDEX($A$3:$B$14312,SMALL(IF($A$3:$A$14312=CB$3,ROW($A$3:$A$14312)),ROW(25:25)),2))</f>
        <v/>
      </c>
      <c r="CC27" t="str">
        <f t="array" ref="CC27">IF(ISERROR(INDEX($A$3:$B$14312,SMALL(IF($A$3:$A$14312=CC$3,ROW($A$3:$A$14312)),ROW(25:25)),2)),"",INDEX($A$3:$B$14312,SMALL(IF($A$3:$A$14312=CC$3,ROW($A$3:$A$14312)),ROW(25:25)),2))</f>
        <v/>
      </c>
      <c r="CD27" t="str">
        <f t="array" ref="CD27">IF(ISERROR(INDEX($A$3:$B$14312,SMALL(IF($A$3:$A$14312=CD$3,ROW($A$3:$A$14312)),ROW(25:25)),2)),"",INDEX($A$3:$B$14312,SMALL(IF($A$3:$A$14312=CD$3,ROW($A$3:$A$14312)),ROW(25:25)),2))</f>
        <v/>
      </c>
      <c r="CE27" t="str">
        <f t="array" ref="CE27">IF(ISERROR(INDEX($A$3:$B$14312,SMALL(IF($A$3:$A$14312=CE$3,ROW($A$3:$A$14312)),ROW(25:25)),2)),"",INDEX($A$3:$B$14312,SMALL(IF($A$3:$A$14312=CE$3,ROW($A$3:$A$14312)),ROW(25:25)),2))</f>
        <v/>
      </c>
      <c r="CF27" t="str">
        <f t="array" ref="CF27">IF(ISERROR(INDEX($A$3:$B$14312,SMALL(IF($A$3:$A$14312=CF$3,ROW($A$3:$A$14312)),ROW(25:25)),2)),"",INDEX($A$3:$B$14312,SMALL(IF($A$3:$A$14312=CF$3,ROW($A$3:$A$14312)),ROW(25:25)),2))</f>
        <v/>
      </c>
      <c r="CG27" t="str">
        <f t="array" ref="CG27">IF(ISERROR(INDEX($A$3:$B$14312,SMALL(IF($A$3:$A$14312=CG$3,ROW($A$3:$A$14312)),ROW(25:25)),2)),"",INDEX($A$3:$B$14312,SMALL(IF($A$3:$A$14312=CG$3,ROW($A$3:$A$14312)),ROW(25:25)),2))</f>
        <v/>
      </c>
      <c r="CH27" t="str">
        <f t="array" ref="CH27">IF(ISERROR(INDEX($A$3:$B$14312,SMALL(IF($A$3:$A$14312=CH$3,ROW($A$3:$A$14312)),ROW(25:25)),2)),"",INDEX($A$3:$B$14312,SMALL(IF($A$3:$A$14312=CH$3,ROW($A$3:$A$14312)),ROW(25:25)),2))</f>
        <v/>
      </c>
      <c r="CI27" t="str">
        <f t="array" ref="CI27">IF(ISERROR(INDEX($A$3:$B$14312,SMALL(IF($A$3:$A$14312=CI$3,ROW($A$3:$A$14312)),ROW(25:25)),2)),"",INDEX($A$3:$B$14312,SMALL(IF($A$3:$A$14312=CI$3,ROW($A$3:$A$14312)),ROW(25:25)),2))</f>
        <v/>
      </c>
      <c r="CJ27" t="str">
        <f t="array" ref="CJ27">IF(ISERROR(INDEX($A$3:$B$14312,SMALL(IF($A$3:$A$14312=CJ$3,ROW($A$3:$A$14312)),ROW(25:25)),2)),"",INDEX($A$3:$B$14312,SMALL(IF($A$3:$A$14312=CJ$3,ROW($A$3:$A$14312)),ROW(25:25)),2))</f>
        <v/>
      </c>
      <c r="CK27" t="str">
        <f t="array" ref="CK27">IF(ISERROR(INDEX($A$3:$B$14312,SMALL(IF($A$3:$A$14312=CK$3,ROW($A$3:$A$14312)),ROW(25:25)),2)),"",INDEX($A$3:$B$14312,SMALL(IF($A$3:$A$14312=CK$3,ROW($A$3:$A$14312)),ROW(25:25)),2))</f>
        <v/>
      </c>
      <c r="CL27" t="str">
        <f t="array" ref="CL27">IF(ISERROR(INDEX($A$3:$B$14312,SMALL(IF($A$3:$A$14312=CL$3,ROW($A$3:$A$14312)),ROW(25:25)),2)),"",INDEX($A$3:$B$14312,SMALL(IF($A$3:$A$14312=CL$3,ROW($A$3:$A$14312)),ROW(25:25)),2))</f>
        <v/>
      </c>
      <c r="CM27" t="str">
        <f t="array" ref="CM27">IF(ISERROR(INDEX($A$3:$B$14312,SMALL(IF($A$3:$A$14312=CM$3,ROW($A$3:$A$14312)),ROW(25:25)),2)),"",INDEX($A$3:$B$14312,SMALL(IF($A$3:$A$14312=CM$3,ROW($A$3:$A$14312)),ROW(25:25)),2))</f>
        <v/>
      </c>
      <c r="CN27" t="str">
        <f t="array" ref="CN27">IF(ISERROR(INDEX($A$3:$B$14312,SMALL(IF($A$3:$A$14312=CN$3,ROW($A$3:$A$14312)),ROW(25:25)),2)),"",INDEX($A$3:$B$14312,SMALL(IF($A$3:$A$14312=CN$3,ROW($A$3:$A$14312)),ROW(25:25)),2))</f>
        <v>Router3_102</v>
      </c>
      <c r="CO27" t="str">
        <f t="array" ref="CO27">IF(ISERROR(INDEX($A$3:$B$14312,SMALL(IF($A$3:$A$14312=CO$3,ROW($A$3:$A$14312)),ROW(25:25)),2)),"",INDEX($A$3:$B$14312,SMALL(IF($A$3:$A$14312=CO$3,ROW($A$3:$A$14312)),ROW(25:25)),2))</f>
        <v>Router3_119</v>
      </c>
      <c r="CP27" t="str">
        <f t="array" ref="CP27">IF(ISERROR(INDEX($A$3:$B$14312,SMALL(IF($A$3:$A$14312=CP$3,ROW($A$3:$A$14312)),ROW(25:25)),2)),"",INDEX($A$3:$B$14312,SMALL(IF($A$3:$A$14312=CP$3,ROW($A$3:$A$14312)),ROW(25:25)),2))</f>
        <v/>
      </c>
      <c r="CQ27" t="str">
        <f t="array" ref="CQ27">IF(ISERROR(INDEX($A$3:$B$14312,SMALL(IF($A$3:$A$14312=CQ$3,ROW($A$3:$A$14312)),ROW(25:25)),2)),"",INDEX($A$3:$B$14312,SMALL(IF($A$3:$A$14312=CQ$3,ROW($A$3:$A$14312)),ROW(25:25)),2))</f>
        <v/>
      </c>
      <c r="CR27" t="str">
        <f t="array" ref="CR27">IF(ISERROR(INDEX($A$3:$B$14312,SMALL(IF($A$3:$A$14312=CR$3,ROW($A$3:$A$14312)),ROW(25:25)),2)),"",INDEX($A$3:$B$14312,SMALL(IF($A$3:$A$14312=CR$3,ROW($A$3:$A$14312)),ROW(25:25)),2))</f>
        <v/>
      </c>
      <c r="CS27" t="str">
        <f t="array" ref="CS27">IF(ISERROR(INDEX($A$3:$B$14312,SMALL(IF($A$3:$A$14312=CS$3,ROW($A$3:$A$14312)),ROW(25:25)),2)),"",INDEX($A$3:$B$14312,SMALL(IF($A$3:$A$14312=CS$3,ROW($A$3:$A$14312)),ROW(25:25)),2))</f>
        <v/>
      </c>
      <c r="CT27" t="str">
        <f t="array" ref="CT27">IF(ISERROR(INDEX($A$3:$B$14312,SMALL(IF($A$3:$A$14312=CT$3,ROW($A$3:$A$14312)),ROW(25:25)),2)),"",INDEX($A$3:$B$14312,SMALL(IF($A$3:$A$14312=CT$3,ROW($A$3:$A$14312)),ROW(25:25)),2))</f>
        <v/>
      </c>
      <c r="CU27" t="str">
        <f t="array" ref="CU27">IF(ISERROR(INDEX($A$3:$B$14312,SMALL(IF($A$3:$A$14312=CU$3,ROW($A$3:$A$14312)),ROW(25:25)),2)),"",INDEX($A$3:$B$14312,SMALL(IF($A$3:$A$14312=CU$3,ROW($A$3:$A$14312)),ROW(25:25)),2))</f>
        <v/>
      </c>
      <c r="CV27" t="str">
        <f t="array" ref="CV27">IF(ISERROR(INDEX($A$3:$B$14312,SMALL(IF($A$3:$A$14312=CV$3,ROW($A$3:$A$14312)),ROW(25:25)),2)),"",INDEX($A$3:$B$14312,SMALL(IF($A$3:$A$14312=CV$3,ROW($A$3:$A$14312)),ROW(25:25)),2))</f>
        <v/>
      </c>
      <c r="CW27" t="str">
        <f t="array" ref="CW27">IF(ISERROR(INDEX($A$3:$B$14312,SMALL(IF($A$3:$A$14312=CW$3,ROW($A$3:$A$14312)),ROW(25:25)),2)),"",INDEX($A$3:$B$14312,SMALL(IF($A$3:$A$14312=CW$3,ROW($A$3:$A$14312)),ROW(25:25)),2))</f>
        <v/>
      </c>
      <c r="CX27" t="str">
        <f t="array" ref="CX27">IF(ISERROR(INDEX($A$3:$B$14312,SMALL(IF($A$3:$A$14312=CX$3,ROW($A$3:$A$14312)),ROW(25:25)),2)),"",INDEX($A$3:$B$14312,SMALL(IF($A$3:$A$14312=CX$3,ROW($A$3:$A$14312)),ROW(25:25)),2))</f>
        <v/>
      </c>
      <c r="CY27" t="str">
        <f t="array" ref="CY27">IF(ISERROR(INDEX($A$3:$B$14312,SMALL(IF($A$3:$A$14312=CY$3,ROW($A$3:$A$14312)),ROW(25:25)),2)),"",INDEX($A$3:$B$14312,SMALL(IF($A$3:$A$14312=CY$3,ROW($A$3:$A$14312)),ROW(25:25)),2))</f>
        <v>Router3_119</v>
      </c>
      <c r="CZ27" t="str">
        <f t="array" ref="CZ27">IF(ISERROR(INDEX($A$3:$B$14312,SMALL(IF($A$3:$A$14312=CZ$3,ROW($A$3:$A$14312)),ROW(25:25)),2)),"",INDEX($A$3:$B$14312,SMALL(IF($A$3:$A$14312=CZ$3,ROW($A$3:$A$14312)),ROW(25:25)),2))</f>
        <v/>
      </c>
      <c r="DA27" t="str">
        <f t="array" ref="DA27">IF(ISERROR(INDEX($A$3:$B$14312,SMALL(IF($A$3:$A$14312=DA$3,ROW($A$3:$A$14312)),ROW(25:25)),2)),"",INDEX($A$3:$B$14312,SMALL(IF($A$3:$A$14312=DA$3,ROW($A$3:$A$14312)),ROW(25:25)),2))</f>
        <v>Router3_155</v>
      </c>
      <c r="DB27" t="str">
        <f t="array" ref="DB27">IF(ISERROR(INDEX($A$3:$B$14312,SMALL(IF($A$3:$A$14312=DB$3,ROW($A$3:$A$14312)),ROW(25:25)),2)),"",INDEX($A$3:$B$14312,SMALL(IF($A$3:$A$14312=DB$3,ROW($A$3:$A$14312)),ROW(25:25)),2))</f>
        <v/>
      </c>
      <c r="DC27" t="str">
        <f t="array" ref="DC27">IF(ISERROR(INDEX($A$3:$B$14312,SMALL(IF($A$3:$A$14312=DC$3,ROW($A$3:$A$14312)),ROW(25:25)),2)),"",INDEX($A$3:$B$14312,SMALL(IF($A$3:$A$14312=DC$3,ROW($A$3:$A$14312)),ROW(25:25)),2))</f>
        <v>Router3_77</v>
      </c>
      <c r="DD27" t="str">
        <f t="array" ref="DD27">IF(ISERROR(INDEX($A$3:$B$14312,SMALL(IF($A$3:$A$14312=DD$3,ROW($A$3:$A$14312)),ROW(25:25)),2)),"",INDEX($A$3:$B$14312,SMALL(IF($A$3:$A$14312=DD$3,ROW($A$3:$A$14312)),ROW(25:25)),2))</f>
        <v/>
      </c>
      <c r="DE27" t="str">
        <f t="array" ref="DE27">IF(ISERROR(INDEX($A$3:$B$14312,SMALL(IF($A$3:$A$14312=DE$3,ROW($A$3:$A$14312)),ROW(25:25)),2)),"",INDEX($A$3:$B$14312,SMALL(IF($A$3:$A$14312=DE$3,ROW($A$3:$A$14312)),ROW(25:25)),2))</f>
        <v/>
      </c>
      <c r="DF27" t="str">
        <f t="array" ref="DF27">IF(ISERROR(INDEX($A$3:$B$14312,SMALL(IF($A$3:$A$14312=DF$3,ROW($A$3:$A$14312)),ROW(25:25)),2)),"",INDEX($A$3:$B$14312,SMALL(IF($A$3:$A$14312=DF$3,ROW($A$3:$A$14312)),ROW(25:25)),2))</f>
        <v/>
      </c>
      <c r="DG27" t="str">
        <f t="array" ref="DG27">IF(ISERROR(INDEX($A$3:$B$14312,SMALL(IF($A$3:$A$14312=DG$3,ROW($A$3:$A$14312)),ROW(25:25)),2)),"",INDEX($A$3:$B$14312,SMALL(IF($A$3:$A$14312=DG$3,ROW($A$3:$A$14312)),ROW(25:25)),2))</f>
        <v>Router3_3</v>
      </c>
      <c r="DH27" t="str">
        <f t="array" ref="DH27">IF(ISERROR(INDEX($A$3:$B$14312,SMALL(IF($A$3:$A$14312=DH$3,ROW($A$3:$A$14312)),ROW(25:25)),2)),"",INDEX($A$3:$B$14312,SMALL(IF($A$3:$A$14312=DH$3,ROW($A$3:$A$14312)),ROW(25:25)),2))</f>
        <v/>
      </c>
      <c r="DI27" t="str">
        <f t="array" ref="DI27">IF(ISERROR(INDEX($A$3:$B$14312,SMALL(IF($A$3:$A$14312=DI$3,ROW($A$3:$A$14312)),ROW(25:25)),2)),"",INDEX($A$3:$B$14312,SMALL(IF($A$3:$A$14312=DI$3,ROW($A$3:$A$14312)),ROW(25:25)),2))</f>
        <v>Router3_91</v>
      </c>
      <c r="DJ27" t="str">
        <f t="array" ref="DJ27">IF(ISERROR(INDEX($A$3:$B$14312,SMALL(IF($A$3:$A$14312=DJ$3,ROW($A$3:$A$14312)),ROW(25:25)),2)),"",INDEX($A$3:$B$14312,SMALL(IF($A$3:$A$14312=DJ$3,ROW($A$3:$A$14312)),ROW(25:25)),2))</f>
        <v>Router3_104</v>
      </c>
      <c r="DK27" t="str">
        <f t="array" ref="DK27">IF(ISERROR(INDEX($A$3:$B$14312,SMALL(IF($A$3:$A$14312=DK$3,ROW($A$3:$A$14312)),ROW(25:25)),2)),"",INDEX($A$3:$B$14312,SMALL(IF($A$3:$A$14312=DK$3,ROW($A$3:$A$14312)),ROW(25:25)),2))</f>
        <v>Router3_130</v>
      </c>
      <c r="DL27" t="str">
        <f t="array" ref="DL27">IF(ISERROR(INDEX($A$3:$B$14312,SMALL(IF($A$3:$A$14312=DL$3,ROW($A$3:$A$14312)),ROW(25:25)),2)),"",INDEX($A$3:$B$14312,SMALL(IF($A$3:$A$14312=DL$3,ROW($A$3:$A$14312)),ROW(25:25)),2))</f>
        <v/>
      </c>
      <c r="DM27" t="str">
        <f t="array" ref="DM27">IF(ISERROR(INDEX($A$3:$B$14312,SMALL(IF($A$3:$A$14312=DM$3,ROW($A$3:$A$14312)),ROW(25:25)),2)),"",INDEX($A$3:$B$14312,SMALL(IF($A$3:$A$14312=DM$3,ROW($A$3:$A$14312)),ROW(25:25)),2))</f>
        <v/>
      </c>
      <c r="DN27" t="str">
        <f t="array" ref="DN27">IF(ISERROR(INDEX($A$3:$B$14312,SMALL(IF($A$3:$A$14312=DN$3,ROW($A$3:$A$14312)),ROW(25:25)),2)),"",INDEX($A$3:$B$14312,SMALL(IF($A$3:$A$14312=DN$3,ROW($A$3:$A$14312)),ROW(25:25)),2))</f>
        <v/>
      </c>
      <c r="DO27" t="str">
        <f t="array" ref="DO27">IF(ISERROR(INDEX($A$3:$B$14312,SMALL(IF($A$3:$A$14312=DO$3,ROW($A$3:$A$14312)),ROW(25:25)),2)),"",INDEX($A$3:$B$14312,SMALL(IF($A$3:$A$14312=DO$3,ROW($A$3:$A$14312)),ROW(25:25)),2))</f>
        <v/>
      </c>
      <c r="DP27" t="str">
        <f t="array" ref="DP27">IF(ISERROR(INDEX($A$3:$B$14312,SMALL(IF($A$3:$A$14312=DP$3,ROW($A$3:$A$14312)),ROW(25:25)),2)),"",INDEX($A$3:$B$14312,SMALL(IF($A$3:$A$14312=DP$3,ROW($A$3:$A$14312)),ROW(25:25)),2))</f>
        <v/>
      </c>
      <c r="DQ27" t="str">
        <f t="array" ref="DQ27">IF(ISERROR(INDEX($A$3:$B$14312,SMALL(IF($A$3:$A$14312=DQ$3,ROW($A$3:$A$14312)),ROW(25:25)),2)),"",INDEX($A$3:$B$14312,SMALL(IF($A$3:$A$14312=DQ$3,ROW($A$3:$A$14312)),ROW(25:25)),2))</f>
        <v/>
      </c>
      <c r="DR27" t="str">
        <f t="array" ref="DR27">IF(ISERROR(INDEX($A$3:$B$14312,SMALL(IF($A$3:$A$14312=DR$3,ROW($A$3:$A$14312)),ROW(25:25)),2)),"",INDEX($A$3:$B$14312,SMALL(IF($A$3:$A$14312=DR$3,ROW($A$3:$A$14312)),ROW(25:25)),2))</f>
        <v>Router3_27</v>
      </c>
      <c r="DS27" t="str">
        <f t="array" ref="DS27">IF(ISERROR(INDEX($A$3:$B$14312,SMALL(IF($A$3:$A$14312=DS$3,ROW($A$3:$A$14312)),ROW(25:25)),2)),"",INDEX($A$3:$B$14312,SMALL(IF($A$3:$A$14312=DS$3,ROW($A$3:$A$14312)),ROW(25:25)),2))</f>
        <v/>
      </c>
      <c r="DT27" t="str">
        <f t="array" ref="DT27">IF(ISERROR(INDEX($A$3:$B$14312,SMALL(IF($A$3:$A$14312=DT$3,ROW($A$3:$A$14312)),ROW(25:25)),2)),"",INDEX($A$3:$B$14312,SMALL(IF($A$3:$A$14312=DT$3,ROW($A$3:$A$14312)),ROW(25:25)),2))</f>
        <v>Router3_91</v>
      </c>
      <c r="DU27" t="str">
        <f t="array" ref="DU27">IF(ISERROR(INDEX($A$3:$B$14312,SMALL(IF($A$3:$A$14312=DU$3,ROW($A$3:$A$14312)),ROW(25:25)),2)),"",INDEX($A$3:$B$14312,SMALL(IF($A$3:$A$14312=DU$3,ROW($A$3:$A$14312)),ROW(25:25)),2))</f>
        <v>Router3_143</v>
      </c>
      <c r="DV27" t="str">
        <f t="array" ref="DV27">IF(ISERROR(INDEX($A$3:$B$14312,SMALL(IF($A$3:$A$14312=DV$3,ROW($A$3:$A$14312)),ROW(25:25)),2)),"",INDEX($A$3:$B$14312,SMALL(IF($A$3:$A$14312=DV$3,ROW($A$3:$A$14312)),ROW(25:25)),2))</f>
        <v/>
      </c>
      <c r="DW27" t="str">
        <f t="array" ref="DW27">IF(ISERROR(INDEX($A$3:$B$14312,SMALL(IF($A$3:$A$14312=DW$3,ROW($A$3:$A$14312)),ROW(25:25)),2)),"",INDEX($A$3:$B$14312,SMALL(IF($A$3:$A$14312=DW$3,ROW($A$3:$A$14312)),ROW(25:25)),2))</f>
        <v/>
      </c>
      <c r="DX27" t="str">
        <f t="array" ref="DX27">IF(ISERROR(INDEX($A$3:$B$14312,SMALL(IF($A$3:$A$14312=DX$3,ROW($A$3:$A$14312)),ROW(25:25)),2)),"",INDEX($A$3:$B$14312,SMALL(IF($A$3:$A$14312=DX$3,ROW($A$3:$A$14312)),ROW(25:25)),2))</f>
        <v/>
      </c>
      <c r="DY27" t="str">
        <f t="array" ref="DY27">IF(ISERROR(INDEX($A$3:$B$14312,SMALL(IF($A$3:$A$14312=DY$3,ROW($A$3:$A$14312)),ROW(25:25)),2)),"",INDEX($A$3:$B$14312,SMALL(IF($A$3:$A$14312=DY$3,ROW($A$3:$A$14312)),ROW(25:25)),2))</f>
        <v/>
      </c>
      <c r="DZ27" t="str">
        <f t="array" ref="DZ27">IF(ISERROR(INDEX($A$3:$B$14312,SMALL(IF($A$3:$A$14312=DZ$3,ROW($A$3:$A$14312)),ROW(25:25)),2)),"",INDEX($A$3:$B$14312,SMALL(IF($A$3:$A$14312=DZ$3,ROW($A$3:$A$14312)),ROW(25:25)),2))</f>
        <v/>
      </c>
      <c r="EA27" t="str">
        <f t="array" ref="EA27">IF(ISERROR(INDEX($A$3:$B$14312,SMALL(IF($A$3:$A$14312=EA$3,ROW($A$3:$A$14312)),ROW(25:25)),2)),"",INDEX($A$3:$B$14312,SMALL(IF($A$3:$A$14312=EA$3,ROW($A$3:$A$14312)),ROW(25:25)),2))</f>
        <v>Router3_164</v>
      </c>
      <c r="EB27" t="str">
        <f t="array" ref="EB27">IF(ISERROR(INDEX($A$3:$B$14312,SMALL(IF($A$3:$A$14312=EB$3,ROW($A$3:$A$14312)),ROW(25:25)),2)),"",INDEX($A$3:$B$14312,SMALL(IF($A$3:$A$14312=EB$3,ROW($A$3:$A$14312)),ROW(25:25)),2))</f>
        <v/>
      </c>
      <c r="EC27" t="str">
        <f t="array" ref="EC27">IF(ISERROR(INDEX($A$3:$B$14312,SMALL(IF($A$3:$A$14312=EC$3,ROW($A$3:$A$14312)),ROW(25:25)),2)),"",INDEX($A$3:$B$14312,SMALL(IF($A$3:$A$14312=EC$3,ROW($A$3:$A$14312)),ROW(25:25)),2))</f>
        <v>Router3_119</v>
      </c>
      <c r="ED27" t="str">
        <f t="array" ref="ED27">IF(ISERROR(INDEX($A$3:$B$14312,SMALL(IF($A$3:$A$14312=ED$3,ROW($A$3:$A$14312)),ROW(25:25)),2)),"",INDEX($A$3:$B$14312,SMALL(IF($A$3:$A$14312=ED$3,ROW($A$3:$A$14312)),ROW(25:25)),2))</f>
        <v>Router3_147</v>
      </c>
      <c r="EE27" t="str">
        <f t="array" ref="EE27">IF(ISERROR(INDEX($A$3:$B$14312,SMALL(IF($A$3:$A$14312=EE$3,ROW($A$3:$A$14312)),ROW(25:25)),2)),"",INDEX($A$3:$B$14312,SMALL(IF($A$3:$A$14312=EE$3,ROW($A$3:$A$14312)),ROW(25:25)),2))</f>
        <v/>
      </c>
    </row>
    <row r="28" spans="1:135" x14ac:dyDescent="0.25">
      <c r="A28" s="10">
        <v>-450827382</v>
      </c>
      <c r="B28" t="s">
        <v>1105</v>
      </c>
      <c r="E28" t="str">
        <f t="array" ref="E28">IF(ISERROR(INDEX($A$3:$B$14312,SMALL(IF($A$3:$A$14312=E$3,ROW($A$3:$A$14312)),ROW(26:26)),2)),"",INDEX($A$3:$B$14312,SMALL(IF($A$3:$A$14312=E$3,ROW($A$3:$A$14312)),ROW(26:26)),2))</f>
        <v>Router3_3</v>
      </c>
      <c r="F28" t="str">
        <f t="array" ref="F28">IF(ISERROR(INDEX($A$3:$B$14312,SMALL(IF($A$3:$A$14312=F$3,ROW($A$3:$A$14312)),ROW(26:26)),2)),"",INDEX($A$3:$B$14312,SMALL(IF($A$3:$A$14312=F$3,ROW($A$3:$A$14312)),ROW(26:26)),2))</f>
        <v>Router3_105</v>
      </c>
      <c r="G28" t="str">
        <f t="array" ref="G28">IF(ISERROR(INDEX($A$3:$B$14312,SMALL(IF($A$3:$A$14312=G$3,ROW($A$3:$A$14312)),ROW(26:26)),2)),"",INDEX($A$3:$B$14312,SMALL(IF($A$3:$A$14312=G$3,ROW($A$3:$A$14312)),ROW(26:26)),2))</f>
        <v/>
      </c>
      <c r="H28" t="str">
        <f t="array" ref="H28">IF(ISERROR(INDEX($A$3:$B$14312,SMALL(IF($A$3:$A$14312=H$3,ROW($A$3:$A$14312)),ROW(26:26)),2)),"",INDEX($A$3:$B$14312,SMALL(IF($A$3:$A$14312=H$3,ROW($A$3:$A$14312)),ROW(26:26)),2))</f>
        <v/>
      </c>
      <c r="I28" t="str">
        <f t="array" ref="I28">IF(ISERROR(INDEX($A$3:$B$14312,SMALL(IF($A$3:$A$14312=I$3,ROW($A$3:$A$14312)),ROW(26:26)),2)),"",INDEX($A$3:$B$14312,SMALL(IF($A$3:$A$14312=I$3,ROW($A$3:$A$14312)),ROW(26:26)),2))</f>
        <v/>
      </c>
      <c r="J28" t="str">
        <f t="array" ref="J28">IF(ISERROR(INDEX($A$3:$B$14312,SMALL(IF($A$3:$A$14312=J$3,ROW($A$3:$A$14312)),ROW(26:26)),2)),"",INDEX($A$3:$B$14312,SMALL(IF($A$3:$A$14312=J$3,ROW($A$3:$A$14312)),ROW(26:26)),2))</f>
        <v>Router3_156</v>
      </c>
      <c r="K28" t="str">
        <f t="array" ref="K28">IF(ISERROR(INDEX($A$3:$B$14312,SMALL(IF($A$3:$A$14312=K$3,ROW($A$3:$A$14312)),ROW(26:26)),2)),"",INDEX($A$3:$B$14312,SMALL(IF($A$3:$A$14312=K$3,ROW($A$3:$A$14312)),ROW(26:26)),2))</f>
        <v/>
      </c>
      <c r="L28" t="str">
        <f t="array" ref="L28">IF(ISERROR(INDEX($A$3:$B$14312,SMALL(IF($A$3:$A$14312=L$3,ROW($A$3:$A$14312)),ROW(26:26)),2)),"",INDEX($A$3:$B$14312,SMALL(IF($A$3:$A$14312=L$3,ROW($A$3:$A$14312)),ROW(26:26)),2))</f>
        <v/>
      </c>
      <c r="M28" t="str">
        <f t="array" ref="M28">IF(ISERROR(INDEX($A$3:$B$14312,SMALL(IF($A$3:$A$14312=M$3,ROW($A$3:$A$14312)),ROW(26:26)),2)),"",INDEX($A$3:$B$14312,SMALL(IF($A$3:$A$14312=M$3,ROW($A$3:$A$14312)),ROW(26:26)),2))</f>
        <v/>
      </c>
      <c r="N28" t="str">
        <f t="array" ref="N28">IF(ISERROR(INDEX($A$3:$B$14312,SMALL(IF($A$3:$A$14312=N$3,ROW($A$3:$A$14312)),ROW(26:26)),2)),"",INDEX($A$3:$B$14312,SMALL(IF($A$3:$A$14312=N$3,ROW($A$3:$A$14312)),ROW(26:26)),2))</f>
        <v/>
      </c>
      <c r="O28" t="str">
        <f t="array" ref="O28">IF(ISERROR(INDEX($A$3:$B$14312,SMALL(IF($A$3:$A$14312=O$3,ROW($A$3:$A$14312)),ROW(26:26)),2)),"",INDEX($A$3:$B$14312,SMALL(IF($A$3:$A$14312=O$3,ROW($A$3:$A$14312)),ROW(26:26)),2))</f>
        <v/>
      </c>
      <c r="P28" t="str">
        <f t="array" ref="P28">IF(ISERROR(INDEX($A$3:$B$14312,SMALL(IF($A$3:$A$14312=P$3,ROW($A$3:$A$14312)),ROW(26:26)),2)),"",INDEX($A$3:$B$14312,SMALL(IF($A$3:$A$14312=P$3,ROW($A$3:$A$14312)),ROW(26:26)),2))</f>
        <v/>
      </c>
      <c r="Q28" t="str">
        <f t="array" ref="Q28">IF(ISERROR(INDEX($A$3:$B$14312,SMALL(IF($A$3:$A$14312=Q$3,ROW($A$3:$A$14312)),ROW(26:26)),2)),"",INDEX($A$3:$B$14312,SMALL(IF($A$3:$A$14312=Q$3,ROW($A$3:$A$14312)),ROW(26:26)),2))</f>
        <v/>
      </c>
      <c r="R28" t="str">
        <f t="array" ref="R28">IF(ISERROR(INDEX($A$3:$B$14312,SMALL(IF($A$3:$A$14312=R$3,ROW($A$3:$A$14312)),ROW(26:26)),2)),"",INDEX($A$3:$B$14312,SMALL(IF($A$3:$A$14312=R$3,ROW($A$3:$A$14312)),ROW(26:26)),2))</f>
        <v/>
      </c>
      <c r="S28" t="str">
        <f t="array" ref="S28">IF(ISERROR(INDEX($A$3:$B$14312,SMALL(IF($A$3:$A$14312=S$3,ROW($A$3:$A$14312)),ROW(26:26)),2)),"",INDEX($A$3:$B$14312,SMALL(IF($A$3:$A$14312=S$3,ROW($A$3:$A$14312)),ROW(26:26)),2))</f>
        <v/>
      </c>
      <c r="T28" t="str">
        <f t="array" ref="T28">IF(ISERROR(INDEX($A$3:$B$14312,SMALL(IF($A$3:$A$14312=T$3,ROW($A$3:$A$14312)),ROW(26:26)),2)),"",INDEX($A$3:$B$14312,SMALL(IF($A$3:$A$14312=T$3,ROW($A$3:$A$14312)),ROW(26:26)),2))</f>
        <v/>
      </c>
      <c r="U28" t="str">
        <f t="array" ref="U28">IF(ISERROR(INDEX($A$3:$B$14312,SMALL(IF($A$3:$A$14312=U$3,ROW($A$3:$A$14312)),ROW(26:26)),2)),"",INDEX($A$3:$B$14312,SMALL(IF($A$3:$A$14312=U$3,ROW($A$3:$A$14312)),ROW(26:26)),2))</f>
        <v/>
      </c>
      <c r="V28" t="str">
        <f t="array" ref="V28">IF(ISERROR(INDEX($A$3:$B$14312,SMALL(IF($A$3:$A$14312=V$3,ROW($A$3:$A$14312)),ROW(26:26)),2)),"",INDEX($A$3:$B$14312,SMALL(IF($A$3:$A$14312=V$3,ROW($A$3:$A$14312)),ROW(26:26)),2))</f>
        <v/>
      </c>
      <c r="W28" t="str">
        <f t="array" ref="W28">IF(ISERROR(INDEX($A$3:$B$14312,SMALL(IF($A$3:$A$14312=W$3,ROW($A$3:$A$14312)),ROW(26:26)),2)),"",INDEX($A$3:$B$14312,SMALL(IF($A$3:$A$14312=W$3,ROW($A$3:$A$14312)),ROW(26:26)),2))</f>
        <v>Router3_119</v>
      </c>
      <c r="X28" t="str">
        <f t="array" ref="X28">IF(ISERROR(INDEX($A$3:$B$14312,SMALL(IF($A$3:$A$14312=X$3,ROW($A$3:$A$14312)),ROW(26:26)),2)),"",INDEX($A$3:$B$14312,SMALL(IF($A$3:$A$14312=X$3,ROW($A$3:$A$14312)),ROW(26:26)),2))</f>
        <v/>
      </c>
      <c r="Y28" t="str">
        <f t="array" ref="Y28">IF(ISERROR(INDEX($A$3:$B$14312,SMALL(IF($A$3:$A$14312=Y$3,ROW($A$3:$A$14312)),ROW(26:26)),2)),"",INDEX($A$3:$B$14312,SMALL(IF($A$3:$A$14312=Y$3,ROW($A$3:$A$14312)),ROW(26:26)),2))</f>
        <v/>
      </c>
      <c r="Z28" t="str">
        <f t="array" ref="Z28">IF(ISERROR(INDEX($A$3:$B$14312,SMALL(IF($A$3:$A$14312=Z$3,ROW($A$3:$A$14312)),ROW(26:26)),2)),"",INDEX($A$3:$B$14312,SMALL(IF($A$3:$A$14312=Z$3,ROW($A$3:$A$14312)),ROW(26:26)),2))</f>
        <v/>
      </c>
      <c r="AA28" t="str">
        <f t="array" ref="AA28">IF(ISERROR(INDEX($A$3:$B$14312,SMALL(IF($A$3:$A$14312=AA$3,ROW($A$3:$A$14312)),ROW(26:26)),2)),"",INDEX($A$3:$B$14312,SMALL(IF($A$3:$A$14312=AA$3,ROW($A$3:$A$14312)),ROW(26:26)),2))</f>
        <v/>
      </c>
      <c r="AB28" t="str">
        <f t="array" ref="AB28">IF(ISERROR(INDEX($A$3:$B$14312,SMALL(IF($A$3:$A$14312=AB$3,ROW($A$3:$A$14312)),ROW(26:26)),2)),"",INDEX($A$3:$B$14312,SMALL(IF($A$3:$A$14312=AB$3,ROW($A$3:$A$14312)),ROW(26:26)),2))</f>
        <v/>
      </c>
      <c r="AC28" t="str">
        <f t="array" ref="AC28">IF(ISERROR(INDEX($A$3:$B$14312,SMALL(IF($A$3:$A$14312=AC$3,ROW($A$3:$A$14312)),ROW(26:26)),2)),"",INDEX($A$3:$B$14312,SMALL(IF($A$3:$A$14312=AC$3,ROW($A$3:$A$14312)),ROW(26:26)),2))</f>
        <v/>
      </c>
      <c r="AD28" t="str">
        <f t="array" ref="AD28">IF(ISERROR(INDEX($A$3:$B$14312,SMALL(IF($A$3:$A$14312=AD$3,ROW($A$3:$A$14312)),ROW(26:26)),2)),"",INDEX($A$3:$B$14312,SMALL(IF($A$3:$A$14312=AD$3,ROW($A$3:$A$14312)),ROW(26:26)),2))</f>
        <v/>
      </c>
      <c r="AE28" t="str">
        <f t="array" ref="AE28">IF(ISERROR(INDEX($A$3:$B$14312,SMALL(IF($A$3:$A$14312=AE$3,ROW($A$3:$A$14312)),ROW(26:26)),2)),"",INDEX($A$3:$B$14312,SMALL(IF($A$3:$A$14312=AE$3,ROW($A$3:$A$14312)),ROW(26:26)),2))</f>
        <v/>
      </c>
      <c r="AF28" t="str">
        <f t="array" ref="AF28">IF(ISERROR(INDEX($A$3:$B$14312,SMALL(IF($A$3:$A$14312=AF$3,ROW($A$3:$A$14312)),ROW(26:26)),2)),"",INDEX($A$3:$B$14312,SMALL(IF($A$3:$A$14312=AF$3,ROW($A$3:$A$14312)),ROW(26:26)),2))</f>
        <v>Router3_2</v>
      </c>
      <c r="AG28" t="str">
        <f t="array" ref="AG28">IF(ISERROR(INDEX($A$3:$B$14312,SMALL(IF($A$3:$A$14312=AG$3,ROW($A$3:$A$14312)),ROW(26:26)),2)),"",INDEX($A$3:$B$14312,SMALL(IF($A$3:$A$14312=AG$3,ROW($A$3:$A$14312)),ROW(26:26)),2))</f>
        <v>Router3_72</v>
      </c>
      <c r="AH28" t="str">
        <f t="array" ref="AH28">IF(ISERROR(INDEX($A$3:$B$14312,SMALL(IF($A$3:$A$14312=AH$3,ROW($A$3:$A$14312)),ROW(26:26)),2)),"",INDEX($A$3:$B$14312,SMALL(IF($A$3:$A$14312=AH$3,ROW($A$3:$A$14312)),ROW(26:26)),2))</f>
        <v/>
      </c>
      <c r="AI28" t="str">
        <f t="array" ref="AI28">IF(ISERROR(INDEX($A$3:$B$14312,SMALL(IF($A$3:$A$14312=AI$3,ROW($A$3:$A$14312)),ROW(26:26)),2)),"",INDEX($A$3:$B$14312,SMALL(IF($A$3:$A$14312=AI$3,ROW($A$3:$A$14312)),ROW(26:26)),2))</f>
        <v/>
      </c>
      <c r="AJ28" t="str">
        <f t="array" ref="AJ28">IF(ISERROR(INDEX($A$3:$B$14312,SMALL(IF($A$3:$A$14312=AJ$3,ROW($A$3:$A$14312)),ROW(26:26)),2)),"",INDEX($A$3:$B$14312,SMALL(IF($A$3:$A$14312=AJ$3,ROW($A$3:$A$14312)),ROW(26:26)),2))</f>
        <v/>
      </c>
      <c r="AK28" t="str">
        <f t="array" ref="AK28">IF(ISERROR(INDEX($A$3:$B$14312,SMALL(IF($A$3:$A$14312=AK$3,ROW($A$3:$A$14312)),ROW(26:26)),2)),"",INDEX($A$3:$B$14312,SMALL(IF($A$3:$A$14312=AK$3,ROW($A$3:$A$14312)),ROW(26:26)),2))</f>
        <v/>
      </c>
      <c r="AL28" t="str">
        <f t="array" ref="AL28">IF(ISERROR(INDEX($A$3:$B$14312,SMALL(IF($A$3:$A$14312=AL$3,ROW($A$3:$A$14312)),ROW(26:26)),2)),"",INDEX($A$3:$B$14312,SMALL(IF($A$3:$A$14312=AL$3,ROW($A$3:$A$14312)),ROW(26:26)),2))</f>
        <v/>
      </c>
      <c r="AM28" t="str">
        <f t="array" ref="AM28">IF(ISERROR(INDEX($A$3:$B$14312,SMALL(IF($A$3:$A$14312=AM$3,ROW($A$3:$A$14312)),ROW(26:26)),2)),"",INDEX($A$3:$B$14312,SMALL(IF($A$3:$A$14312=AM$3,ROW($A$3:$A$14312)),ROW(26:26)),2))</f>
        <v>Router3_146</v>
      </c>
      <c r="AN28" t="str">
        <f t="array" ref="AN28">IF(ISERROR(INDEX($A$3:$B$14312,SMALL(IF($A$3:$A$14312=AN$3,ROW($A$3:$A$14312)),ROW(26:26)),2)),"",INDEX($A$3:$B$14312,SMALL(IF($A$3:$A$14312=AN$3,ROW($A$3:$A$14312)),ROW(26:26)),2))</f>
        <v/>
      </c>
      <c r="AO28" t="str">
        <f t="array" ref="AO28">IF(ISERROR(INDEX($A$3:$B$14312,SMALL(IF($A$3:$A$14312=AO$3,ROW($A$3:$A$14312)),ROW(26:26)),2)),"",INDEX($A$3:$B$14312,SMALL(IF($A$3:$A$14312=AO$3,ROW($A$3:$A$14312)),ROW(26:26)),2))</f>
        <v/>
      </c>
      <c r="AP28" t="str">
        <f t="array" ref="AP28">IF(ISERROR(INDEX($A$3:$B$14312,SMALL(IF($A$3:$A$14312=AP$3,ROW($A$3:$A$14312)),ROW(26:26)),2)),"",INDEX($A$3:$B$14312,SMALL(IF($A$3:$A$14312=AP$3,ROW($A$3:$A$14312)),ROW(26:26)),2))</f>
        <v>Router3_2</v>
      </c>
      <c r="AQ28" t="str">
        <f t="array" ref="AQ28">IF(ISERROR(INDEX($A$3:$B$14312,SMALL(IF($A$3:$A$14312=AQ$3,ROW($A$3:$A$14312)),ROW(26:26)),2)),"",INDEX($A$3:$B$14312,SMALL(IF($A$3:$A$14312=AQ$3,ROW($A$3:$A$14312)),ROW(26:26)),2))</f>
        <v/>
      </c>
      <c r="AR28" t="str">
        <f t="array" ref="AR28">IF(ISERROR(INDEX($A$3:$B$14312,SMALL(IF($A$3:$A$14312=AR$3,ROW($A$3:$A$14312)),ROW(26:26)),2)),"",INDEX($A$3:$B$14312,SMALL(IF($A$3:$A$14312=AR$3,ROW($A$3:$A$14312)),ROW(26:26)),2))</f>
        <v/>
      </c>
      <c r="AS28" t="str">
        <f t="array" ref="AS28">IF(ISERROR(INDEX($A$3:$B$14312,SMALL(IF($A$3:$A$14312=AS$3,ROW($A$3:$A$14312)),ROW(26:26)),2)),"",INDEX($A$3:$B$14312,SMALL(IF($A$3:$A$14312=AS$3,ROW($A$3:$A$14312)),ROW(26:26)),2))</f>
        <v>Router3_109</v>
      </c>
      <c r="AT28" t="str">
        <f t="array" ref="AT28">IF(ISERROR(INDEX($A$3:$B$14312,SMALL(IF($A$3:$A$14312=AT$3,ROW($A$3:$A$14312)),ROW(26:26)),2)),"",INDEX($A$3:$B$14312,SMALL(IF($A$3:$A$14312=AT$3,ROW($A$3:$A$14312)),ROW(26:26)),2))</f>
        <v/>
      </c>
      <c r="AU28" t="str">
        <f t="array" ref="AU28">IF(ISERROR(INDEX($A$3:$B$14312,SMALL(IF($A$3:$A$14312=AU$3,ROW($A$3:$A$14312)),ROW(26:26)),2)),"",INDEX($A$3:$B$14312,SMALL(IF($A$3:$A$14312=AU$3,ROW($A$3:$A$14312)),ROW(26:26)),2))</f>
        <v/>
      </c>
      <c r="AV28" t="str">
        <f t="array" ref="AV28">IF(ISERROR(INDEX($A$3:$B$14312,SMALL(IF($A$3:$A$14312=AV$3,ROW($A$3:$A$14312)),ROW(26:26)),2)),"",INDEX($A$3:$B$14312,SMALL(IF($A$3:$A$14312=AV$3,ROW($A$3:$A$14312)),ROW(26:26)),2))</f>
        <v/>
      </c>
      <c r="AW28" t="str">
        <f t="array" ref="AW28">IF(ISERROR(INDEX($A$3:$B$14312,SMALL(IF($A$3:$A$14312=AW$3,ROW($A$3:$A$14312)),ROW(26:26)),2)),"",INDEX($A$3:$B$14312,SMALL(IF($A$3:$A$14312=AW$3,ROW($A$3:$A$14312)),ROW(26:26)),2))</f>
        <v/>
      </c>
      <c r="AX28" t="str">
        <f t="array" ref="AX28">IF(ISERROR(INDEX($A$3:$B$14312,SMALL(IF($A$3:$A$14312=AX$3,ROW($A$3:$A$14312)),ROW(26:26)),2)),"",INDEX($A$3:$B$14312,SMALL(IF($A$3:$A$14312=AX$3,ROW($A$3:$A$14312)),ROW(26:26)),2))</f>
        <v/>
      </c>
      <c r="AY28" t="str">
        <f t="array" ref="AY28">IF(ISERROR(INDEX($A$3:$B$14312,SMALL(IF($A$3:$A$14312=AY$3,ROW($A$3:$A$14312)),ROW(26:26)),2)),"",INDEX($A$3:$B$14312,SMALL(IF($A$3:$A$14312=AY$3,ROW($A$3:$A$14312)),ROW(26:26)),2))</f>
        <v>Router3_148</v>
      </c>
      <c r="AZ28" t="str">
        <f t="array" ref="AZ28">IF(ISERROR(INDEX($A$3:$B$14312,SMALL(IF($A$3:$A$14312=AZ$3,ROW($A$3:$A$14312)),ROW(26:26)),2)),"",INDEX($A$3:$B$14312,SMALL(IF($A$3:$A$14312=AZ$3,ROW($A$3:$A$14312)),ROW(26:26)),2))</f>
        <v/>
      </c>
      <c r="BA28" t="str">
        <f t="array" ref="BA28">IF(ISERROR(INDEX($A$3:$B$14312,SMALL(IF($A$3:$A$14312=BA$3,ROW($A$3:$A$14312)),ROW(26:26)),2)),"",INDEX($A$3:$B$14312,SMALL(IF($A$3:$A$14312=BA$3,ROW($A$3:$A$14312)),ROW(26:26)),2))</f>
        <v/>
      </c>
      <c r="BB28" t="str">
        <f t="array" ref="BB28">IF(ISERROR(INDEX($A$3:$B$14312,SMALL(IF($A$3:$A$14312=BB$3,ROW($A$3:$A$14312)),ROW(26:26)),2)),"",INDEX($A$3:$B$14312,SMALL(IF($A$3:$A$14312=BB$3,ROW($A$3:$A$14312)),ROW(26:26)),2))</f>
        <v/>
      </c>
      <c r="BC28" t="str">
        <f t="array" ref="BC28">IF(ISERROR(INDEX($A$3:$B$14312,SMALL(IF($A$3:$A$14312=BC$3,ROW($A$3:$A$14312)),ROW(26:26)),2)),"",INDEX($A$3:$B$14312,SMALL(IF($A$3:$A$14312=BC$3,ROW($A$3:$A$14312)),ROW(26:26)),2))</f>
        <v/>
      </c>
      <c r="BD28" t="str">
        <f t="array" ref="BD28">IF(ISERROR(INDEX($A$3:$B$14312,SMALL(IF($A$3:$A$14312=BD$3,ROW($A$3:$A$14312)),ROW(26:26)),2)),"",INDEX($A$3:$B$14312,SMALL(IF($A$3:$A$14312=BD$3,ROW($A$3:$A$14312)),ROW(26:26)),2))</f>
        <v/>
      </c>
      <c r="BE28" t="str">
        <f t="array" ref="BE28">IF(ISERROR(INDEX($A$3:$B$14312,SMALL(IF($A$3:$A$14312=BE$3,ROW($A$3:$A$14312)),ROW(26:26)),2)),"",INDEX($A$3:$B$14312,SMALL(IF($A$3:$A$14312=BE$3,ROW($A$3:$A$14312)),ROW(26:26)),2))</f>
        <v/>
      </c>
      <c r="BF28" t="str">
        <f t="array" ref="BF28">IF(ISERROR(INDEX($A$3:$B$14312,SMALL(IF($A$3:$A$14312=BF$3,ROW($A$3:$A$14312)),ROW(26:26)),2)),"",INDEX($A$3:$B$14312,SMALL(IF($A$3:$A$14312=BF$3,ROW($A$3:$A$14312)),ROW(26:26)),2))</f>
        <v/>
      </c>
      <c r="BG28" t="str">
        <f t="array" ref="BG28">IF(ISERROR(INDEX($A$3:$B$14312,SMALL(IF($A$3:$A$14312=BG$3,ROW($A$3:$A$14312)),ROW(26:26)),2)),"",INDEX($A$3:$B$14312,SMALL(IF($A$3:$A$14312=BG$3,ROW($A$3:$A$14312)),ROW(26:26)),2))</f>
        <v/>
      </c>
      <c r="BH28" t="str">
        <f t="array" ref="BH28">IF(ISERROR(INDEX($A$3:$B$14312,SMALL(IF($A$3:$A$14312=BH$3,ROW($A$3:$A$14312)),ROW(26:26)),2)),"",INDEX($A$3:$B$14312,SMALL(IF($A$3:$A$14312=BH$3,ROW($A$3:$A$14312)),ROW(26:26)),2))</f>
        <v/>
      </c>
      <c r="BI28" t="str">
        <f t="array" ref="BI28">IF(ISERROR(INDEX($A$3:$B$14312,SMALL(IF($A$3:$A$14312=BI$3,ROW($A$3:$A$14312)),ROW(26:26)),2)),"",INDEX($A$3:$B$14312,SMALL(IF($A$3:$A$14312=BI$3,ROW($A$3:$A$14312)),ROW(26:26)),2))</f>
        <v/>
      </c>
      <c r="BJ28" t="str">
        <f t="array" ref="BJ28">IF(ISERROR(INDEX($A$3:$B$14312,SMALL(IF($A$3:$A$14312=BJ$3,ROW($A$3:$A$14312)),ROW(26:26)),2)),"",INDEX($A$3:$B$14312,SMALL(IF($A$3:$A$14312=BJ$3,ROW($A$3:$A$14312)),ROW(26:26)),2))</f>
        <v/>
      </c>
      <c r="BK28" t="str">
        <f t="array" ref="BK28">IF(ISERROR(INDEX($A$3:$B$14312,SMALL(IF($A$3:$A$14312=BK$3,ROW($A$3:$A$14312)),ROW(26:26)),2)),"",INDEX($A$3:$B$14312,SMALL(IF($A$3:$A$14312=BK$3,ROW($A$3:$A$14312)),ROW(26:26)),2))</f>
        <v/>
      </c>
      <c r="BL28" t="str">
        <f t="array" ref="BL28">IF(ISERROR(INDEX($A$3:$B$14312,SMALL(IF($A$3:$A$14312=BL$3,ROW($A$3:$A$14312)),ROW(26:26)),2)),"",INDEX($A$3:$B$14312,SMALL(IF($A$3:$A$14312=BL$3,ROW($A$3:$A$14312)),ROW(26:26)),2))</f>
        <v/>
      </c>
      <c r="BM28" t="str">
        <f t="array" ref="BM28">IF(ISERROR(INDEX($A$3:$B$14312,SMALL(IF($A$3:$A$14312=BM$3,ROW($A$3:$A$14312)),ROW(26:26)),2)),"",INDEX($A$3:$B$14312,SMALL(IF($A$3:$A$14312=BM$3,ROW($A$3:$A$14312)),ROW(26:26)),2))</f>
        <v/>
      </c>
      <c r="BN28" t="str">
        <f t="array" ref="BN28">IF(ISERROR(INDEX($A$3:$B$14312,SMALL(IF($A$3:$A$14312=BN$3,ROW($A$3:$A$14312)),ROW(26:26)),2)),"",INDEX($A$3:$B$14312,SMALL(IF($A$3:$A$14312=BN$3,ROW($A$3:$A$14312)),ROW(26:26)),2))</f>
        <v/>
      </c>
      <c r="BO28" t="str">
        <f t="array" ref="BO28">IF(ISERROR(INDEX($A$3:$B$14312,SMALL(IF($A$3:$A$14312=BO$3,ROW($A$3:$A$14312)),ROW(26:26)),2)),"",INDEX($A$3:$B$14312,SMALL(IF($A$3:$A$14312=BO$3,ROW($A$3:$A$14312)),ROW(26:26)),2))</f>
        <v/>
      </c>
      <c r="BP28" t="str">
        <f t="array" ref="BP28">IF(ISERROR(INDEX($A$3:$B$14312,SMALL(IF($A$3:$A$14312=BP$3,ROW($A$3:$A$14312)),ROW(26:26)),2)),"",INDEX($A$3:$B$14312,SMALL(IF($A$3:$A$14312=BP$3,ROW($A$3:$A$14312)),ROW(26:26)),2))</f>
        <v/>
      </c>
      <c r="BQ28" t="str">
        <f t="array" ref="BQ28">IF(ISERROR(INDEX($A$3:$B$14312,SMALL(IF($A$3:$A$14312=BQ$3,ROW($A$3:$A$14312)),ROW(26:26)),2)),"",INDEX($A$3:$B$14312,SMALL(IF($A$3:$A$14312=BQ$3,ROW($A$3:$A$14312)),ROW(26:26)),2))</f>
        <v/>
      </c>
      <c r="BR28" t="str">
        <f t="array" ref="BR28">IF(ISERROR(INDEX($A$3:$B$14312,SMALL(IF($A$3:$A$14312=BR$3,ROW($A$3:$A$14312)),ROW(26:26)),2)),"",INDEX($A$3:$B$14312,SMALL(IF($A$3:$A$14312=BR$3,ROW($A$3:$A$14312)),ROW(26:26)),2))</f>
        <v/>
      </c>
      <c r="BS28" t="str">
        <f t="array" ref="BS28">IF(ISERROR(INDEX($A$3:$B$14312,SMALL(IF($A$3:$A$14312=BS$3,ROW($A$3:$A$14312)),ROW(26:26)),2)),"",INDEX($A$3:$B$14312,SMALL(IF($A$3:$A$14312=BS$3,ROW($A$3:$A$14312)),ROW(26:26)),2))</f>
        <v/>
      </c>
      <c r="BT28" t="str">
        <f t="array" ref="BT28">IF(ISERROR(INDEX($A$3:$B$14312,SMALL(IF($A$3:$A$14312=BT$3,ROW($A$3:$A$14312)),ROW(26:26)),2)),"",INDEX($A$3:$B$14312,SMALL(IF($A$3:$A$14312=BT$3,ROW($A$3:$A$14312)),ROW(26:26)),2))</f>
        <v>Router3_113</v>
      </c>
      <c r="BU28" t="str">
        <f t="array" ref="BU28">IF(ISERROR(INDEX($A$3:$B$14312,SMALL(IF($A$3:$A$14312=BU$3,ROW($A$3:$A$14312)),ROW(26:26)),2)),"",INDEX($A$3:$B$14312,SMALL(IF($A$3:$A$14312=BU$3,ROW($A$3:$A$14312)),ROW(26:26)),2))</f>
        <v/>
      </c>
      <c r="BV28" t="str">
        <f t="array" ref="BV28">IF(ISERROR(INDEX($A$3:$B$14312,SMALL(IF($A$3:$A$14312=BV$3,ROW($A$3:$A$14312)),ROW(26:26)),2)),"",INDEX($A$3:$B$14312,SMALL(IF($A$3:$A$14312=BV$3,ROW($A$3:$A$14312)),ROW(26:26)),2))</f>
        <v/>
      </c>
      <c r="BW28" t="str">
        <f t="array" ref="BW28">IF(ISERROR(INDEX($A$3:$B$14312,SMALL(IF($A$3:$A$14312=BW$3,ROW($A$3:$A$14312)),ROW(26:26)),2)),"",INDEX($A$3:$B$14312,SMALL(IF($A$3:$A$14312=BW$3,ROW($A$3:$A$14312)),ROW(26:26)),2))</f>
        <v>Router3_59</v>
      </c>
      <c r="BX28" t="str">
        <f t="array" ref="BX28">IF(ISERROR(INDEX($A$3:$B$14312,SMALL(IF($A$3:$A$14312=BX$3,ROW($A$3:$A$14312)),ROW(26:26)),2)),"",INDEX($A$3:$B$14312,SMALL(IF($A$3:$A$14312=BX$3,ROW($A$3:$A$14312)),ROW(26:26)),2))</f>
        <v>Router3_3</v>
      </c>
      <c r="BY28" t="str">
        <f t="array" ref="BY28">IF(ISERROR(INDEX($A$3:$B$14312,SMALL(IF($A$3:$A$14312=BY$3,ROW($A$3:$A$14312)),ROW(26:26)),2)),"",INDEX($A$3:$B$14312,SMALL(IF($A$3:$A$14312=BY$3,ROW($A$3:$A$14312)),ROW(26:26)),2))</f>
        <v>Router3_109</v>
      </c>
      <c r="BZ28" t="str">
        <f t="array" ref="BZ28">IF(ISERROR(INDEX($A$3:$B$14312,SMALL(IF($A$3:$A$14312=BZ$3,ROW($A$3:$A$14312)),ROW(26:26)),2)),"",INDEX($A$3:$B$14312,SMALL(IF($A$3:$A$14312=BZ$3,ROW($A$3:$A$14312)),ROW(26:26)),2))</f>
        <v>Router3_109</v>
      </c>
      <c r="CA28" t="str">
        <f t="array" ref="CA28">IF(ISERROR(INDEX($A$3:$B$14312,SMALL(IF($A$3:$A$14312=CA$3,ROW($A$3:$A$14312)),ROW(26:26)),2)),"",INDEX($A$3:$B$14312,SMALL(IF($A$3:$A$14312=CA$3,ROW($A$3:$A$14312)),ROW(26:26)),2))</f>
        <v/>
      </c>
      <c r="CB28" t="str">
        <f t="array" ref="CB28">IF(ISERROR(INDEX($A$3:$B$14312,SMALL(IF($A$3:$A$14312=CB$3,ROW($A$3:$A$14312)),ROW(26:26)),2)),"",INDEX($A$3:$B$14312,SMALL(IF($A$3:$A$14312=CB$3,ROW($A$3:$A$14312)),ROW(26:26)),2))</f>
        <v/>
      </c>
      <c r="CC28" t="str">
        <f t="array" ref="CC28">IF(ISERROR(INDEX($A$3:$B$14312,SMALL(IF($A$3:$A$14312=CC$3,ROW($A$3:$A$14312)),ROW(26:26)),2)),"",INDEX($A$3:$B$14312,SMALL(IF($A$3:$A$14312=CC$3,ROW($A$3:$A$14312)),ROW(26:26)),2))</f>
        <v/>
      </c>
      <c r="CD28" t="str">
        <f t="array" ref="CD28">IF(ISERROR(INDEX($A$3:$B$14312,SMALL(IF($A$3:$A$14312=CD$3,ROW($A$3:$A$14312)),ROW(26:26)),2)),"",INDEX($A$3:$B$14312,SMALL(IF($A$3:$A$14312=CD$3,ROW($A$3:$A$14312)),ROW(26:26)),2))</f>
        <v/>
      </c>
      <c r="CE28" t="str">
        <f t="array" ref="CE28">IF(ISERROR(INDEX($A$3:$B$14312,SMALL(IF($A$3:$A$14312=CE$3,ROW($A$3:$A$14312)),ROW(26:26)),2)),"",INDEX($A$3:$B$14312,SMALL(IF($A$3:$A$14312=CE$3,ROW($A$3:$A$14312)),ROW(26:26)),2))</f>
        <v/>
      </c>
      <c r="CF28" t="str">
        <f t="array" ref="CF28">IF(ISERROR(INDEX($A$3:$B$14312,SMALL(IF($A$3:$A$14312=CF$3,ROW($A$3:$A$14312)),ROW(26:26)),2)),"",INDEX($A$3:$B$14312,SMALL(IF($A$3:$A$14312=CF$3,ROW($A$3:$A$14312)),ROW(26:26)),2))</f>
        <v/>
      </c>
      <c r="CG28" t="str">
        <f t="array" ref="CG28">IF(ISERROR(INDEX($A$3:$B$14312,SMALL(IF($A$3:$A$14312=CG$3,ROW($A$3:$A$14312)),ROW(26:26)),2)),"",INDEX($A$3:$B$14312,SMALL(IF($A$3:$A$14312=CG$3,ROW($A$3:$A$14312)),ROW(26:26)),2))</f>
        <v/>
      </c>
      <c r="CH28" t="str">
        <f t="array" ref="CH28">IF(ISERROR(INDEX($A$3:$B$14312,SMALL(IF($A$3:$A$14312=CH$3,ROW($A$3:$A$14312)),ROW(26:26)),2)),"",INDEX($A$3:$B$14312,SMALL(IF($A$3:$A$14312=CH$3,ROW($A$3:$A$14312)),ROW(26:26)),2))</f>
        <v/>
      </c>
      <c r="CI28" t="str">
        <f t="array" ref="CI28">IF(ISERROR(INDEX($A$3:$B$14312,SMALL(IF($A$3:$A$14312=CI$3,ROW($A$3:$A$14312)),ROW(26:26)),2)),"",INDEX($A$3:$B$14312,SMALL(IF($A$3:$A$14312=CI$3,ROW($A$3:$A$14312)),ROW(26:26)),2))</f>
        <v/>
      </c>
      <c r="CJ28" t="str">
        <f t="array" ref="CJ28">IF(ISERROR(INDEX($A$3:$B$14312,SMALL(IF($A$3:$A$14312=CJ$3,ROW($A$3:$A$14312)),ROW(26:26)),2)),"",INDEX($A$3:$B$14312,SMALL(IF($A$3:$A$14312=CJ$3,ROW($A$3:$A$14312)),ROW(26:26)),2))</f>
        <v/>
      </c>
      <c r="CK28" t="str">
        <f t="array" ref="CK28">IF(ISERROR(INDEX($A$3:$B$14312,SMALL(IF($A$3:$A$14312=CK$3,ROW($A$3:$A$14312)),ROW(26:26)),2)),"",INDEX($A$3:$B$14312,SMALL(IF($A$3:$A$14312=CK$3,ROW($A$3:$A$14312)),ROW(26:26)),2))</f>
        <v/>
      </c>
      <c r="CL28" t="str">
        <f t="array" ref="CL28">IF(ISERROR(INDEX($A$3:$B$14312,SMALL(IF($A$3:$A$14312=CL$3,ROW($A$3:$A$14312)),ROW(26:26)),2)),"",INDEX($A$3:$B$14312,SMALL(IF($A$3:$A$14312=CL$3,ROW($A$3:$A$14312)),ROW(26:26)),2))</f>
        <v/>
      </c>
      <c r="CM28" t="str">
        <f t="array" ref="CM28">IF(ISERROR(INDEX($A$3:$B$14312,SMALL(IF($A$3:$A$14312=CM$3,ROW($A$3:$A$14312)),ROW(26:26)),2)),"",INDEX($A$3:$B$14312,SMALL(IF($A$3:$A$14312=CM$3,ROW($A$3:$A$14312)),ROW(26:26)),2))</f>
        <v/>
      </c>
      <c r="CN28" t="str">
        <f t="array" ref="CN28">IF(ISERROR(INDEX($A$3:$B$14312,SMALL(IF($A$3:$A$14312=CN$3,ROW($A$3:$A$14312)),ROW(26:26)),2)),"",INDEX($A$3:$B$14312,SMALL(IF($A$3:$A$14312=CN$3,ROW($A$3:$A$14312)),ROW(26:26)),2))</f>
        <v>Router3_2</v>
      </c>
      <c r="CO28" t="str">
        <f t="array" ref="CO28">IF(ISERROR(INDEX($A$3:$B$14312,SMALL(IF($A$3:$A$14312=CO$3,ROW($A$3:$A$14312)),ROW(26:26)),2)),"",INDEX($A$3:$B$14312,SMALL(IF($A$3:$A$14312=CO$3,ROW($A$3:$A$14312)),ROW(26:26)),2))</f>
        <v>Router3_135</v>
      </c>
      <c r="CP28" t="str">
        <f t="array" ref="CP28">IF(ISERROR(INDEX($A$3:$B$14312,SMALL(IF($A$3:$A$14312=CP$3,ROW($A$3:$A$14312)),ROW(26:26)),2)),"",INDEX($A$3:$B$14312,SMALL(IF($A$3:$A$14312=CP$3,ROW($A$3:$A$14312)),ROW(26:26)),2))</f>
        <v/>
      </c>
      <c r="CQ28" t="str">
        <f t="array" ref="CQ28">IF(ISERROR(INDEX($A$3:$B$14312,SMALL(IF($A$3:$A$14312=CQ$3,ROW($A$3:$A$14312)),ROW(26:26)),2)),"",INDEX($A$3:$B$14312,SMALL(IF($A$3:$A$14312=CQ$3,ROW($A$3:$A$14312)),ROW(26:26)),2))</f>
        <v/>
      </c>
      <c r="CR28" t="str">
        <f t="array" ref="CR28">IF(ISERROR(INDEX($A$3:$B$14312,SMALL(IF($A$3:$A$14312=CR$3,ROW($A$3:$A$14312)),ROW(26:26)),2)),"",INDEX($A$3:$B$14312,SMALL(IF($A$3:$A$14312=CR$3,ROW($A$3:$A$14312)),ROW(26:26)),2))</f>
        <v/>
      </c>
      <c r="CS28" t="str">
        <f t="array" ref="CS28">IF(ISERROR(INDEX($A$3:$B$14312,SMALL(IF($A$3:$A$14312=CS$3,ROW($A$3:$A$14312)),ROW(26:26)),2)),"",INDEX($A$3:$B$14312,SMALL(IF($A$3:$A$14312=CS$3,ROW($A$3:$A$14312)),ROW(26:26)),2))</f>
        <v/>
      </c>
      <c r="CT28" t="str">
        <f t="array" ref="CT28">IF(ISERROR(INDEX($A$3:$B$14312,SMALL(IF($A$3:$A$14312=CT$3,ROW($A$3:$A$14312)),ROW(26:26)),2)),"",INDEX($A$3:$B$14312,SMALL(IF($A$3:$A$14312=CT$3,ROW($A$3:$A$14312)),ROW(26:26)),2))</f>
        <v/>
      </c>
      <c r="CU28" t="str">
        <f t="array" ref="CU28">IF(ISERROR(INDEX($A$3:$B$14312,SMALL(IF($A$3:$A$14312=CU$3,ROW($A$3:$A$14312)),ROW(26:26)),2)),"",INDEX($A$3:$B$14312,SMALL(IF($A$3:$A$14312=CU$3,ROW($A$3:$A$14312)),ROW(26:26)),2))</f>
        <v/>
      </c>
      <c r="CV28" t="str">
        <f t="array" ref="CV28">IF(ISERROR(INDEX($A$3:$B$14312,SMALL(IF($A$3:$A$14312=CV$3,ROW($A$3:$A$14312)),ROW(26:26)),2)),"",INDEX($A$3:$B$14312,SMALL(IF($A$3:$A$14312=CV$3,ROW($A$3:$A$14312)),ROW(26:26)),2))</f>
        <v/>
      </c>
      <c r="CW28" t="str">
        <f t="array" ref="CW28">IF(ISERROR(INDEX($A$3:$B$14312,SMALL(IF($A$3:$A$14312=CW$3,ROW($A$3:$A$14312)),ROW(26:26)),2)),"",INDEX($A$3:$B$14312,SMALL(IF($A$3:$A$14312=CW$3,ROW($A$3:$A$14312)),ROW(26:26)),2))</f>
        <v/>
      </c>
      <c r="CX28" t="str">
        <f t="array" ref="CX28">IF(ISERROR(INDEX($A$3:$B$14312,SMALL(IF($A$3:$A$14312=CX$3,ROW($A$3:$A$14312)),ROW(26:26)),2)),"",INDEX($A$3:$B$14312,SMALL(IF($A$3:$A$14312=CX$3,ROW($A$3:$A$14312)),ROW(26:26)),2))</f>
        <v/>
      </c>
      <c r="CY28" t="str">
        <f t="array" ref="CY28">IF(ISERROR(INDEX($A$3:$B$14312,SMALL(IF($A$3:$A$14312=CY$3,ROW($A$3:$A$14312)),ROW(26:26)),2)),"",INDEX($A$3:$B$14312,SMALL(IF($A$3:$A$14312=CY$3,ROW($A$3:$A$14312)),ROW(26:26)),2))</f>
        <v>Router3_144</v>
      </c>
      <c r="CZ28" t="str">
        <f t="array" ref="CZ28">IF(ISERROR(INDEX($A$3:$B$14312,SMALL(IF($A$3:$A$14312=CZ$3,ROW($A$3:$A$14312)),ROW(26:26)),2)),"",INDEX($A$3:$B$14312,SMALL(IF($A$3:$A$14312=CZ$3,ROW($A$3:$A$14312)),ROW(26:26)),2))</f>
        <v/>
      </c>
      <c r="DA28" t="str">
        <f t="array" ref="DA28">IF(ISERROR(INDEX($A$3:$B$14312,SMALL(IF($A$3:$A$14312=DA$3,ROW($A$3:$A$14312)),ROW(26:26)),2)),"",INDEX($A$3:$B$14312,SMALL(IF($A$3:$A$14312=DA$3,ROW($A$3:$A$14312)),ROW(26:26)),2))</f>
        <v>Router3_156</v>
      </c>
      <c r="DB28" t="str">
        <f t="array" ref="DB28">IF(ISERROR(INDEX($A$3:$B$14312,SMALL(IF($A$3:$A$14312=DB$3,ROW($A$3:$A$14312)),ROW(26:26)),2)),"",INDEX($A$3:$B$14312,SMALL(IF($A$3:$A$14312=DB$3,ROW($A$3:$A$14312)),ROW(26:26)),2))</f>
        <v/>
      </c>
      <c r="DC28" t="str">
        <f t="array" ref="DC28">IF(ISERROR(INDEX($A$3:$B$14312,SMALL(IF($A$3:$A$14312=DC$3,ROW($A$3:$A$14312)),ROW(26:26)),2)),"",INDEX($A$3:$B$14312,SMALL(IF($A$3:$A$14312=DC$3,ROW($A$3:$A$14312)),ROW(26:26)),2))</f>
        <v>Router3_78</v>
      </c>
      <c r="DD28" t="str">
        <f t="array" ref="DD28">IF(ISERROR(INDEX($A$3:$B$14312,SMALL(IF($A$3:$A$14312=DD$3,ROW($A$3:$A$14312)),ROW(26:26)),2)),"",INDEX($A$3:$B$14312,SMALL(IF($A$3:$A$14312=DD$3,ROW($A$3:$A$14312)),ROW(26:26)),2))</f>
        <v/>
      </c>
      <c r="DE28" t="str">
        <f t="array" ref="DE28">IF(ISERROR(INDEX($A$3:$B$14312,SMALL(IF($A$3:$A$14312=DE$3,ROW($A$3:$A$14312)),ROW(26:26)),2)),"",INDEX($A$3:$B$14312,SMALL(IF($A$3:$A$14312=DE$3,ROW($A$3:$A$14312)),ROW(26:26)),2))</f>
        <v/>
      </c>
      <c r="DF28" t="str">
        <f t="array" ref="DF28">IF(ISERROR(INDEX($A$3:$B$14312,SMALL(IF($A$3:$A$14312=DF$3,ROW($A$3:$A$14312)),ROW(26:26)),2)),"",INDEX($A$3:$B$14312,SMALL(IF($A$3:$A$14312=DF$3,ROW($A$3:$A$14312)),ROW(26:26)),2))</f>
        <v/>
      </c>
      <c r="DG28" t="str">
        <f t="array" ref="DG28">IF(ISERROR(INDEX($A$3:$B$14312,SMALL(IF($A$3:$A$14312=DG$3,ROW($A$3:$A$14312)),ROW(26:26)),2)),"",INDEX($A$3:$B$14312,SMALL(IF($A$3:$A$14312=DG$3,ROW($A$3:$A$14312)),ROW(26:26)),2))</f>
        <v/>
      </c>
      <c r="DH28" t="str">
        <f t="array" ref="DH28">IF(ISERROR(INDEX($A$3:$B$14312,SMALL(IF($A$3:$A$14312=DH$3,ROW($A$3:$A$14312)),ROW(26:26)),2)),"",INDEX($A$3:$B$14312,SMALL(IF($A$3:$A$14312=DH$3,ROW($A$3:$A$14312)),ROW(26:26)),2))</f>
        <v/>
      </c>
      <c r="DI28" t="str">
        <f t="array" ref="DI28">IF(ISERROR(INDEX($A$3:$B$14312,SMALL(IF($A$3:$A$14312=DI$3,ROW($A$3:$A$14312)),ROW(26:26)),2)),"",INDEX($A$3:$B$14312,SMALL(IF($A$3:$A$14312=DI$3,ROW($A$3:$A$14312)),ROW(26:26)),2))</f>
        <v>Router3_92</v>
      </c>
      <c r="DJ28" t="str">
        <f t="array" ref="DJ28">IF(ISERROR(INDEX($A$3:$B$14312,SMALL(IF($A$3:$A$14312=DJ$3,ROW($A$3:$A$14312)),ROW(26:26)),2)),"",INDEX($A$3:$B$14312,SMALL(IF($A$3:$A$14312=DJ$3,ROW($A$3:$A$14312)),ROW(26:26)),2))</f>
        <v>Router3_112</v>
      </c>
      <c r="DK28" t="str">
        <f t="array" ref="DK28">IF(ISERROR(INDEX($A$3:$B$14312,SMALL(IF($A$3:$A$14312=DK$3,ROW($A$3:$A$14312)),ROW(26:26)),2)),"",INDEX($A$3:$B$14312,SMALL(IF($A$3:$A$14312=DK$3,ROW($A$3:$A$14312)),ROW(26:26)),2))</f>
        <v>Router3_132</v>
      </c>
      <c r="DL28" t="str">
        <f t="array" ref="DL28">IF(ISERROR(INDEX($A$3:$B$14312,SMALL(IF($A$3:$A$14312=DL$3,ROW($A$3:$A$14312)),ROW(26:26)),2)),"",INDEX($A$3:$B$14312,SMALL(IF($A$3:$A$14312=DL$3,ROW($A$3:$A$14312)),ROW(26:26)),2))</f>
        <v/>
      </c>
      <c r="DM28" t="str">
        <f t="array" ref="DM28">IF(ISERROR(INDEX($A$3:$B$14312,SMALL(IF($A$3:$A$14312=DM$3,ROW($A$3:$A$14312)),ROW(26:26)),2)),"",INDEX($A$3:$B$14312,SMALL(IF($A$3:$A$14312=DM$3,ROW($A$3:$A$14312)),ROW(26:26)),2))</f>
        <v/>
      </c>
      <c r="DN28" t="str">
        <f t="array" ref="DN28">IF(ISERROR(INDEX($A$3:$B$14312,SMALL(IF($A$3:$A$14312=DN$3,ROW($A$3:$A$14312)),ROW(26:26)),2)),"",INDEX($A$3:$B$14312,SMALL(IF($A$3:$A$14312=DN$3,ROW($A$3:$A$14312)),ROW(26:26)),2))</f>
        <v/>
      </c>
      <c r="DO28" t="str">
        <f t="array" ref="DO28">IF(ISERROR(INDEX($A$3:$B$14312,SMALL(IF($A$3:$A$14312=DO$3,ROW($A$3:$A$14312)),ROW(26:26)),2)),"",INDEX($A$3:$B$14312,SMALL(IF($A$3:$A$14312=DO$3,ROW($A$3:$A$14312)),ROW(26:26)),2))</f>
        <v/>
      </c>
      <c r="DP28" t="str">
        <f t="array" ref="DP28">IF(ISERROR(INDEX($A$3:$B$14312,SMALL(IF($A$3:$A$14312=DP$3,ROW($A$3:$A$14312)),ROW(26:26)),2)),"",INDEX($A$3:$B$14312,SMALL(IF($A$3:$A$14312=DP$3,ROW($A$3:$A$14312)),ROW(26:26)),2))</f>
        <v/>
      </c>
      <c r="DQ28" t="str">
        <f t="array" ref="DQ28">IF(ISERROR(INDEX($A$3:$B$14312,SMALL(IF($A$3:$A$14312=DQ$3,ROW($A$3:$A$14312)),ROW(26:26)),2)),"",INDEX($A$3:$B$14312,SMALL(IF($A$3:$A$14312=DQ$3,ROW($A$3:$A$14312)),ROW(26:26)),2))</f>
        <v/>
      </c>
      <c r="DR28" t="str">
        <f t="array" ref="DR28">IF(ISERROR(INDEX($A$3:$B$14312,SMALL(IF($A$3:$A$14312=DR$3,ROW($A$3:$A$14312)),ROW(26:26)),2)),"",INDEX($A$3:$B$14312,SMALL(IF($A$3:$A$14312=DR$3,ROW($A$3:$A$14312)),ROW(26:26)),2))</f>
        <v>Router3_28</v>
      </c>
      <c r="DS28" t="str">
        <f t="array" ref="DS28">IF(ISERROR(INDEX($A$3:$B$14312,SMALL(IF($A$3:$A$14312=DS$3,ROW($A$3:$A$14312)),ROW(26:26)),2)),"",INDEX($A$3:$B$14312,SMALL(IF($A$3:$A$14312=DS$3,ROW($A$3:$A$14312)),ROW(26:26)),2))</f>
        <v/>
      </c>
      <c r="DT28" t="str">
        <f t="array" ref="DT28">IF(ISERROR(INDEX($A$3:$B$14312,SMALL(IF($A$3:$A$14312=DT$3,ROW($A$3:$A$14312)),ROW(26:26)),2)),"",INDEX($A$3:$B$14312,SMALL(IF($A$3:$A$14312=DT$3,ROW($A$3:$A$14312)),ROW(26:26)),2))</f>
        <v>Router3_92</v>
      </c>
      <c r="DU28" t="str">
        <f t="array" ref="DU28">IF(ISERROR(INDEX($A$3:$B$14312,SMALL(IF($A$3:$A$14312=DU$3,ROW($A$3:$A$14312)),ROW(26:26)),2)),"",INDEX($A$3:$B$14312,SMALL(IF($A$3:$A$14312=DU$3,ROW($A$3:$A$14312)),ROW(26:26)),2))</f>
        <v>Router3_144</v>
      </c>
      <c r="DV28" t="str">
        <f t="array" ref="DV28">IF(ISERROR(INDEX($A$3:$B$14312,SMALL(IF($A$3:$A$14312=DV$3,ROW($A$3:$A$14312)),ROW(26:26)),2)),"",INDEX($A$3:$B$14312,SMALL(IF($A$3:$A$14312=DV$3,ROW($A$3:$A$14312)),ROW(26:26)),2))</f>
        <v/>
      </c>
      <c r="DW28" t="str">
        <f t="array" ref="DW28">IF(ISERROR(INDEX($A$3:$B$14312,SMALL(IF($A$3:$A$14312=DW$3,ROW($A$3:$A$14312)),ROW(26:26)),2)),"",INDEX($A$3:$B$14312,SMALL(IF($A$3:$A$14312=DW$3,ROW($A$3:$A$14312)),ROW(26:26)),2))</f>
        <v/>
      </c>
      <c r="DX28" t="str">
        <f t="array" ref="DX28">IF(ISERROR(INDEX($A$3:$B$14312,SMALL(IF($A$3:$A$14312=DX$3,ROW($A$3:$A$14312)),ROW(26:26)),2)),"",INDEX($A$3:$B$14312,SMALL(IF($A$3:$A$14312=DX$3,ROW($A$3:$A$14312)),ROW(26:26)),2))</f>
        <v/>
      </c>
      <c r="DY28" t="str">
        <f t="array" ref="DY28">IF(ISERROR(INDEX($A$3:$B$14312,SMALL(IF($A$3:$A$14312=DY$3,ROW($A$3:$A$14312)),ROW(26:26)),2)),"",INDEX($A$3:$B$14312,SMALL(IF($A$3:$A$14312=DY$3,ROW($A$3:$A$14312)),ROW(26:26)),2))</f>
        <v/>
      </c>
      <c r="DZ28" t="str">
        <f t="array" ref="DZ28">IF(ISERROR(INDEX($A$3:$B$14312,SMALL(IF($A$3:$A$14312=DZ$3,ROW($A$3:$A$14312)),ROW(26:26)),2)),"",INDEX($A$3:$B$14312,SMALL(IF($A$3:$A$14312=DZ$3,ROW($A$3:$A$14312)),ROW(26:26)),2))</f>
        <v/>
      </c>
      <c r="EA28" t="str">
        <f t="array" ref="EA28">IF(ISERROR(INDEX($A$3:$B$14312,SMALL(IF($A$3:$A$14312=EA$3,ROW($A$3:$A$14312)),ROW(26:26)),2)),"",INDEX($A$3:$B$14312,SMALL(IF($A$3:$A$14312=EA$3,ROW($A$3:$A$14312)),ROW(26:26)),2))</f>
        <v>Router3_1</v>
      </c>
      <c r="EB28" t="str">
        <f t="array" ref="EB28">IF(ISERROR(INDEX($A$3:$B$14312,SMALL(IF($A$3:$A$14312=EB$3,ROW($A$3:$A$14312)),ROW(26:26)),2)),"",INDEX($A$3:$B$14312,SMALL(IF($A$3:$A$14312=EB$3,ROW($A$3:$A$14312)),ROW(26:26)),2))</f>
        <v/>
      </c>
      <c r="EC28" t="str">
        <f t="array" ref="EC28">IF(ISERROR(INDEX($A$3:$B$14312,SMALL(IF($A$3:$A$14312=EC$3,ROW($A$3:$A$14312)),ROW(26:26)),2)),"",INDEX($A$3:$B$14312,SMALL(IF($A$3:$A$14312=EC$3,ROW($A$3:$A$14312)),ROW(26:26)),2))</f>
        <v>Router3_125</v>
      </c>
      <c r="ED28" t="str">
        <f t="array" ref="ED28">IF(ISERROR(INDEX($A$3:$B$14312,SMALL(IF($A$3:$A$14312=ED$3,ROW($A$3:$A$14312)),ROW(26:26)),2)),"",INDEX($A$3:$B$14312,SMALL(IF($A$3:$A$14312=ED$3,ROW($A$3:$A$14312)),ROW(26:26)),2))</f>
        <v>Router3_148</v>
      </c>
      <c r="EE28" t="str">
        <f t="array" ref="EE28">IF(ISERROR(INDEX($A$3:$B$14312,SMALL(IF($A$3:$A$14312=EE$3,ROW($A$3:$A$14312)),ROW(26:26)),2)),"",INDEX($A$3:$B$14312,SMALL(IF($A$3:$A$14312=EE$3,ROW($A$3:$A$14312)),ROW(26:26)),2))</f>
        <v/>
      </c>
    </row>
    <row r="29" spans="1:135" x14ac:dyDescent="0.25">
      <c r="A29" s="10">
        <v>-450827382</v>
      </c>
      <c r="B29" t="s">
        <v>1106</v>
      </c>
      <c r="E29" t="str">
        <f t="array" ref="E29">IF(ISERROR(INDEX($A$3:$B$14312,SMALL(IF($A$3:$A$14312=E$3,ROW($A$3:$A$14312)),ROW(27:27)),2)),"",INDEX($A$3:$B$14312,SMALL(IF($A$3:$A$14312=E$3,ROW($A$3:$A$14312)),ROW(27:27)),2))</f>
        <v>Router3_4</v>
      </c>
      <c r="F29" t="str">
        <f t="array" ref="F29">IF(ISERROR(INDEX($A$3:$B$14312,SMALL(IF($A$3:$A$14312=F$3,ROW($A$3:$A$14312)),ROW(27:27)),2)),"",INDEX($A$3:$B$14312,SMALL(IF($A$3:$A$14312=F$3,ROW($A$3:$A$14312)),ROW(27:27)),2))</f>
        <v>Router3_108</v>
      </c>
      <c r="G29" t="str">
        <f t="array" ref="G29">IF(ISERROR(INDEX($A$3:$B$14312,SMALL(IF($A$3:$A$14312=G$3,ROW($A$3:$A$14312)),ROW(27:27)),2)),"",INDEX($A$3:$B$14312,SMALL(IF($A$3:$A$14312=G$3,ROW($A$3:$A$14312)),ROW(27:27)),2))</f>
        <v/>
      </c>
      <c r="H29" t="str">
        <f t="array" ref="H29">IF(ISERROR(INDEX($A$3:$B$14312,SMALL(IF($A$3:$A$14312=H$3,ROW($A$3:$A$14312)),ROW(27:27)),2)),"",INDEX($A$3:$B$14312,SMALL(IF($A$3:$A$14312=H$3,ROW($A$3:$A$14312)),ROW(27:27)),2))</f>
        <v/>
      </c>
      <c r="I29" t="str">
        <f t="array" ref="I29">IF(ISERROR(INDEX($A$3:$B$14312,SMALL(IF($A$3:$A$14312=I$3,ROW($A$3:$A$14312)),ROW(27:27)),2)),"",INDEX($A$3:$B$14312,SMALL(IF($A$3:$A$14312=I$3,ROW($A$3:$A$14312)),ROW(27:27)),2))</f>
        <v/>
      </c>
      <c r="J29" t="str">
        <f t="array" ref="J29">IF(ISERROR(INDEX($A$3:$B$14312,SMALL(IF($A$3:$A$14312=J$3,ROW($A$3:$A$14312)),ROW(27:27)),2)),"",INDEX($A$3:$B$14312,SMALL(IF($A$3:$A$14312=J$3,ROW($A$3:$A$14312)),ROW(27:27)),2))</f>
        <v>Router3_157</v>
      </c>
      <c r="K29" t="str">
        <f t="array" ref="K29">IF(ISERROR(INDEX($A$3:$B$14312,SMALL(IF($A$3:$A$14312=K$3,ROW($A$3:$A$14312)),ROW(27:27)),2)),"",INDEX($A$3:$B$14312,SMALL(IF($A$3:$A$14312=K$3,ROW($A$3:$A$14312)),ROW(27:27)),2))</f>
        <v/>
      </c>
      <c r="L29" t="str">
        <f t="array" ref="L29">IF(ISERROR(INDEX($A$3:$B$14312,SMALL(IF($A$3:$A$14312=L$3,ROW($A$3:$A$14312)),ROW(27:27)),2)),"",INDEX($A$3:$B$14312,SMALL(IF($A$3:$A$14312=L$3,ROW($A$3:$A$14312)),ROW(27:27)),2))</f>
        <v/>
      </c>
      <c r="M29" t="str">
        <f t="array" ref="M29">IF(ISERROR(INDEX($A$3:$B$14312,SMALL(IF($A$3:$A$14312=M$3,ROW($A$3:$A$14312)),ROW(27:27)),2)),"",INDEX($A$3:$B$14312,SMALL(IF($A$3:$A$14312=M$3,ROW($A$3:$A$14312)),ROW(27:27)),2))</f>
        <v/>
      </c>
      <c r="N29" t="str">
        <f t="array" ref="N29">IF(ISERROR(INDEX($A$3:$B$14312,SMALL(IF($A$3:$A$14312=N$3,ROW($A$3:$A$14312)),ROW(27:27)),2)),"",INDEX($A$3:$B$14312,SMALL(IF($A$3:$A$14312=N$3,ROW($A$3:$A$14312)),ROW(27:27)),2))</f>
        <v/>
      </c>
      <c r="O29" t="str">
        <f t="array" ref="O29">IF(ISERROR(INDEX($A$3:$B$14312,SMALL(IF($A$3:$A$14312=O$3,ROW($A$3:$A$14312)),ROW(27:27)),2)),"",INDEX($A$3:$B$14312,SMALL(IF($A$3:$A$14312=O$3,ROW($A$3:$A$14312)),ROW(27:27)),2))</f>
        <v/>
      </c>
      <c r="P29" t="str">
        <f t="array" ref="P29">IF(ISERROR(INDEX($A$3:$B$14312,SMALL(IF($A$3:$A$14312=P$3,ROW($A$3:$A$14312)),ROW(27:27)),2)),"",INDEX($A$3:$B$14312,SMALL(IF($A$3:$A$14312=P$3,ROW($A$3:$A$14312)),ROW(27:27)),2))</f>
        <v/>
      </c>
      <c r="Q29" t="str">
        <f t="array" ref="Q29">IF(ISERROR(INDEX($A$3:$B$14312,SMALL(IF($A$3:$A$14312=Q$3,ROW($A$3:$A$14312)),ROW(27:27)),2)),"",INDEX($A$3:$B$14312,SMALL(IF($A$3:$A$14312=Q$3,ROW($A$3:$A$14312)),ROW(27:27)),2))</f>
        <v/>
      </c>
      <c r="R29" t="str">
        <f t="array" ref="R29">IF(ISERROR(INDEX($A$3:$B$14312,SMALL(IF($A$3:$A$14312=R$3,ROW($A$3:$A$14312)),ROW(27:27)),2)),"",INDEX($A$3:$B$14312,SMALL(IF($A$3:$A$14312=R$3,ROW($A$3:$A$14312)),ROW(27:27)),2))</f>
        <v/>
      </c>
      <c r="S29" t="str">
        <f t="array" ref="S29">IF(ISERROR(INDEX($A$3:$B$14312,SMALL(IF($A$3:$A$14312=S$3,ROW($A$3:$A$14312)),ROW(27:27)),2)),"",INDEX($A$3:$B$14312,SMALL(IF($A$3:$A$14312=S$3,ROW($A$3:$A$14312)),ROW(27:27)),2))</f>
        <v/>
      </c>
      <c r="T29" t="str">
        <f t="array" ref="T29">IF(ISERROR(INDEX($A$3:$B$14312,SMALL(IF($A$3:$A$14312=T$3,ROW($A$3:$A$14312)),ROW(27:27)),2)),"",INDEX($A$3:$B$14312,SMALL(IF($A$3:$A$14312=T$3,ROW($A$3:$A$14312)),ROW(27:27)),2))</f>
        <v/>
      </c>
      <c r="U29" t="str">
        <f t="array" ref="U29">IF(ISERROR(INDEX($A$3:$B$14312,SMALL(IF($A$3:$A$14312=U$3,ROW($A$3:$A$14312)),ROW(27:27)),2)),"",INDEX($A$3:$B$14312,SMALL(IF($A$3:$A$14312=U$3,ROW($A$3:$A$14312)),ROW(27:27)),2))</f>
        <v/>
      </c>
      <c r="V29" t="str">
        <f t="array" ref="V29">IF(ISERROR(INDEX($A$3:$B$14312,SMALL(IF($A$3:$A$14312=V$3,ROW($A$3:$A$14312)),ROW(27:27)),2)),"",INDEX($A$3:$B$14312,SMALL(IF($A$3:$A$14312=V$3,ROW($A$3:$A$14312)),ROW(27:27)),2))</f>
        <v/>
      </c>
      <c r="W29" t="str">
        <f t="array" ref="W29">IF(ISERROR(INDEX($A$3:$B$14312,SMALL(IF($A$3:$A$14312=W$3,ROW($A$3:$A$14312)),ROW(27:27)),2)),"",INDEX($A$3:$B$14312,SMALL(IF($A$3:$A$14312=W$3,ROW($A$3:$A$14312)),ROW(27:27)),2))</f>
        <v>Router3_137</v>
      </c>
      <c r="X29" t="str">
        <f t="array" ref="X29">IF(ISERROR(INDEX($A$3:$B$14312,SMALL(IF($A$3:$A$14312=X$3,ROW($A$3:$A$14312)),ROW(27:27)),2)),"",INDEX($A$3:$B$14312,SMALL(IF($A$3:$A$14312=X$3,ROW($A$3:$A$14312)),ROW(27:27)),2))</f>
        <v/>
      </c>
      <c r="Y29" t="str">
        <f t="array" ref="Y29">IF(ISERROR(INDEX($A$3:$B$14312,SMALL(IF($A$3:$A$14312=Y$3,ROW($A$3:$A$14312)),ROW(27:27)),2)),"",INDEX($A$3:$B$14312,SMALL(IF($A$3:$A$14312=Y$3,ROW($A$3:$A$14312)),ROW(27:27)),2))</f>
        <v/>
      </c>
      <c r="Z29" t="str">
        <f t="array" ref="Z29">IF(ISERROR(INDEX($A$3:$B$14312,SMALL(IF($A$3:$A$14312=Z$3,ROW($A$3:$A$14312)),ROW(27:27)),2)),"",INDEX($A$3:$B$14312,SMALL(IF($A$3:$A$14312=Z$3,ROW($A$3:$A$14312)),ROW(27:27)),2))</f>
        <v/>
      </c>
      <c r="AA29" t="str">
        <f t="array" ref="AA29">IF(ISERROR(INDEX($A$3:$B$14312,SMALL(IF($A$3:$A$14312=AA$3,ROW($A$3:$A$14312)),ROW(27:27)),2)),"",INDEX($A$3:$B$14312,SMALL(IF($A$3:$A$14312=AA$3,ROW($A$3:$A$14312)),ROW(27:27)),2))</f>
        <v/>
      </c>
      <c r="AB29" t="str">
        <f t="array" ref="AB29">IF(ISERROR(INDEX($A$3:$B$14312,SMALL(IF($A$3:$A$14312=AB$3,ROW($A$3:$A$14312)),ROW(27:27)),2)),"",INDEX($A$3:$B$14312,SMALL(IF($A$3:$A$14312=AB$3,ROW($A$3:$A$14312)),ROW(27:27)),2))</f>
        <v/>
      </c>
      <c r="AC29" t="str">
        <f t="array" ref="AC29">IF(ISERROR(INDEX($A$3:$B$14312,SMALL(IF($A$3:$A$14312=AC$3,ROW($A$3:$A$14312)),ROW(27:27)),2)),"",INDEX($A$3:$B$14312,SMALL(IF($A$3:$A$14312=AC$3,ROW($A$3:$A$14312)),ROW(27:27)),2))</f>
        <v/>
      </c>
      <c r="AD29" t="str">
        <f t="array" ref="AD29">IF(ISERROR(INDEX($A$3:$B$14312,SMALL(IF($A$3:$A$14312=AD$3,ROW($A$3:$A$14312)),ROW(27:27)),2)),"",INDEX($A$3:$B$14312,SMALL(IF($A$3:$A$14312=AD$3,ROW($A$3:$A$14312)),ROW(27:27)),2))</f>
        <v/>
      </c>
      <c r="AE29" t="str">
        <f t="array" ref="AE29">IF(ISERROR(INDEX($A$3:$B$14312,SMALL(IF($A$3:$A$14312=AE$3,ROW($A$3:$A$14312)),ROW(27:27)),2)),"",INDEX($A$3:$B$14312,SMALL(IF($A$3:$A$14312=AE$3,ROW($A$3:$A$14312)),ROW(27:27)),2))</f>
        <v/>
      </c>
      <c r="AF29" t="str">
        <f t="array" ref="AF29">IF(ISERROR(INDEX($A$3:$B$14312,SMALL(IF($A$3:$A$14312=AF$3,ROW($A$3:$A$14312)),ROW(27:27)),2)),"",INDEX($A$3:$B$14312,SMALL(IF($A$3:$A$14312=AF$3,ROW($A$3:$A$14312)),ROW(27:27)),2))</f>
        <v>Router3_3</v>
      </c>
      <c r="AG29" t="str">
        <f t="array" ref="AG29">IF(ISERROR(INDEX($A$3:$B$14312,SMALL(IF($A$3:$A$14312=AG$3,ROW($A$3:$A$14312)),ROW(27:27)),2)),"",INDEX($A$3:$B$14312,SMALL(IF($A$3:$A$14312=AG$3,ROW($A$3:$A$14312)),ROW(27:27)),2))</f>
        <v/>
      </c>
      <c r="AH29" t="str">
        <f t="array" ref="AH29">IF(ISERROR(INDEX($A$3:$B$14312,SMALL(IF($A$3:$A$14312=AH$3,ROW($A$3:$A$14312)),ROW(27:27)),2)),"",INDEX($A$3:$B$14312,SMALL(IF($A$3:$A$14312=AH$3,ROW($A$3:$A$14312)),ROW(27:27)),2))</f>
        <v/>
      </c>
      <c r="AI29" t="str">
        <f t="array" ref="AI29">IF(ISERROR(INDEX($A$3:$B$14312,SMALL(IF($A$3:$A$14312=AI$3,ROW($A$3:$A$14312)),ROW(27:27)),2)),"",INDEX($A$3:$B$14312,SMALL(IF($A$3:$A$14312=AI$3,ROW($A$3:$A$14312)),ROW(27:27)),2))</f>
        <v/>
      </c>
      <c r="AJ29" t="str">
        <f t="array" ref="AJ29">IF(ISERROR(INDEX($A$3:$B$14312,SMALL(IF($A$3:$A$14312=AJ$3,ROW($A$3:$A$14312)),ROW(27:27)),2)),"",INDEX($A$3:$B$14312,SMALL(IF($A$3:$A$14312=AJ$3,ROW($A$3:$A$14312)),ROW(27:27)),2))</f>
        <v/>
      </c>
      <c r="AK29" t="str">
        <f t="array" ref="AK29">IF(ISERROR(INDEX($A$3:$B$14312,SMALL(IF($A$3:$A$14312=AK$3,ROW($A$3:$A$14312)),ROW(27:27)),2)),"",INDEX($A$3:$B$14312,SMALL(IF($A$3:$A$14312=AK$3,ROW($A$3:$A$14312)),ROW(27:27)),2))</f>
        <v/>
      </c>
      <c r="AL29" t="str">
        <f t="array" ref="AL29">IF(ISERROR(INDEX($A$3:$B$14312,SMALL(IF($A$3:$A$14312=AL$3,ROW($A$3:$A$14312)),ROW(27:27)),2)),"",INDEX($A$3:$B$14312,SMALL(IF($A$3:$A$14312=AL$3,ROW($A$3:$A$14312)),ROW(27:27)),2))</f>
        <v/>
      </c>
      <c r="AM29" t="str">
        <f t="array" ref="AM29">IF(ISERROR(INDEX($A$3:$B$14312,SMALL(IF($A$3:$A$14312=AM$3,ROW($A$3:$A$14312)),ROW(27:27)),2)),"",INDEX($A$3:$B$14312,SMALL(IF($A$3:$A$14312=AM$3,ROW($A$3:$A$14312)),ROW(27:27)),2))</f>
        <v>Router3_147</v>
      </c>
      <c r="AN29" t="str">
        <f t="array" ref="AN29">IF(ISERROR(INDEX($A$3:$B$14312,SMALL(IF($A$3:$A$14312=AN$3,ROW($A$3:$A$14312)),ROW(27:27)),2)),"",INDEX($A$3:$B$14312,SMALL(IF($A$3:$A$14312=AN$3,ROW($A$3:$A$14312)),ROW(27:27)),2))</f>
        <v/>
      </c>
      <c r="AO29" t="str">
        <f t="array" ref="AO29">IF(ISERROR(INDEX($A$3:$B$14312,SMALL(IF($A$3:$A$14312=AO$3,ROW($A$3:$A$14312)),ROW(27:27)),2)),"",INDEX($A$3:$B$14312,SMALL(IF($A$3:$A$14312=AO$3,ROW($A$3:$A$14312)),ROW(27:27)),2))</f>
        <v/>
      </c>
      <c r="AP29" t="str">
        <f t="array" ref="AP29">IF(ISERROR(INDEX($A$3:$B$14312,SMALL(IF($A$3:$A$14312=AP$3,ROW($A$3:$A$14312)),ROW(27:27)),2)),"",INDEX($A$3:$B$14312,SMALL(IF($A$3:$A$14312=AP$3,ROW($A$3:$A$14312)),ROW(27:27)),2))</f>
        <v>Router3_3</v>
      </c>
      <c r="AQ29" t="str">
        <f t="array" ref="AQ29">IF(ISERROR(INDEX($A$3:$B$14312,SMALL(IF($A$3:$A$14312=AQ$3,ROW($A$3:$A$14312)),ROW(27:27)),2)),"",INDEX($A$3:$B$14312,SMALL(IF($A$3:$A$14312=AQ$3,ROW($A$3:$A$14312)),ROW(27:27)),2))</f>
        <v/>
      </c>
      <c r="AR29" t="str">
        <f t="array" ref="AR29">IF(ISERROR(INDEX($A$3:$B$14312,SMALL(IF($A$3:$A$14312=AR$3,ROW($A$3:$A$14312)),ROW(27:27)),2)),"",INDEX($A$3:$B$14312,SMALL(IF($A$3:$A$14312=AR$3,ROW($A$3:$A$14312)),ROW(27:27)),2))</f>
        <v/>
      </c>
      <c r="AS29" t="str">
        <f t="array" ref="AS29">IF(ISERROR(INDEX($A$3:$B$14312,SMALL(IF($A$3:$A$14312=AS$3,ROW($A$3:$A$14312)),ROW(27:27)),2)),"",INDEX($A$3:$B$14312,SMALL(IF($A$3:$A$14312=AS$3,ROW($A$3:$A$14312)),ROW(27:27)),2))</f>
        <v>Router3_112</v>
      </c>
      <c r="AT29" t="str">
        <f t="array" ref="AT29">IF(ISERROR(INDEX($A$3:$B$14312,SMALL(IF($A$3:$A$14312=AT$3,ROW($A$3:$A$14312)),ROW(27:27)),2)),"",INDEX($A$3:$B$14312,SMALL(IF($A$3:$A$14312=AT$3,ROW($A$3:$A$14312)),ROW(27:27)),2))</f>
        <v/>
      </c>
      <c r="AU29" t="str">
        <f t="array" ref="AU29">IF(ISERROR(INDEX($A$3:$B$14312,SMALL(IF($A$3:$A$14312=AU$3,ROW($A$3:$A$14312)),ROW(27:27)),2)),"",INDEX($A$3:$B$14312,SMALL(IF($A$3:$A$14312=AU$3,ROW($A$3:$A$14312)),ROW(27:27)),2))</f>
        <v/>
      </c>
      <c r="AV29" t="str">
        <f t="array" ref="AV29">IF(ISERROR(INDEX($A$3:$B$14312,SMALL(IF($A$3:$A$14312=AV$3,ROW($A$3:$A$14312)),ROW(27:27)),2)),"",INDEX($A$3:$B$14312,SMALL(IF($A$3:$A$14312=AV$3,ROW($A$3:$A$14312)),ROW(27:27)),2))</f>
        <v/>
      </c>
      <c r="AW29" t="str">
        <f t="array" ref="AW29">IF(ISERROR(INDEX($A$3:$B$14312,SMALL(IF($A$3:$A$14312=AW$3,ROW($A$3:$A$14312)),ROW(27:27)),2)),"",INDEX($A$3:$B$14312,SMALL(IF($A$3:$A$14312=AW$3,ROW($A$3:$A$14312)),ROW(27:27)),2))</f>
        <v/>
      </c>
      <c r="AX29" t="str">
        <f t="array" ref="AX29">IF(ISERROR(INDEX($A$3:$B$14312,SMALL(IF($A$3:$A$14312=AX$3,ROW($A$3:$A$14312)),ROW(27:27)),2)),"",INDEX($A$3:$B$14312,SMALL(IF($A$3:$A$14312=AX$3,ROW($A$3:$A$14312)),ROW(27:27)),2))</f>
        <v/>
      </c>
      <c r="AY29" t="str">
        <f t="array" ref="AY29">IF(ISERROR(INDEX($A$3:$B$14312,SMALL(IF($A$3:$A$14312=AY$3,ROW($A$3:$A$14312)),ROW(27:27)),2)),"",INDEX($A$3:$B$14312,SMALL(IF($A$3:$A$14312=AY$3,ROW($A$3:$A$14312)),ROW(27:27)),2))</f>
        <v>Router3_149</v>
      </c>
      <c r="AZ29" t="str">
        <f t="array" ref="AZ29">IF(ISERROR(INDEX($A$3:$B$14312,SMALL(IF($A$3:$A$14312=AZ$3,ROW($A$3:$A$14312)),ROW(27:27)),2)),"",INDEX($A$3:$B$14312,SMALL(IF($A$3:$A$14312=AZ$3,ROW($A$3:$A$14312)),ROW(27:27)),2))</f>
        <v/>
      </c>
      <c r="BA29" t="str">
        <f t="array" ref="BA29">IF(ISERROR(INDEX($A$3:$B$14312,SMALL(IF($A$3:$A$14312=BA$3,ROW($A$3:$A$14312)),ROW(27:27)),2)),"",INDEX($A$3:$B$14312,SMALL(IF($A$3:$A$14312=BA$3,ROW($A$3:$A$14312)),ROW(27:27)),2))</f>
        <v/>
      </c>
      <c r="BB29" t="str">
        <f t="array" ref="BB29">IF(ISERROR(INDEX($A$3:$B$14312,SMALL(IF($A$3:$A$14312=BB$3,ROW($A$3:$A$14312)),ROW(27:27)),2)),"",INDEX($A$3:$B$14312,SMALL(IF($A$3:$A$14312=BB$3,ROW($A$3:$A$14312)),ROW(27:27)),2))</f>
        <v/>
      </c>
      <c r="BC29" t="str">
        <f t="array" ref="BC29">IF(ISERROR(INDEX($A$3:$B$14312,SMALL(IF($A$3:$A$14312=BC$3,ROW($A$3:$A$14312)),ROW(27:27)),2)),"",INDEX($A$3:$B$14312,SMALL(IF($A$3:$A$14312=BC$3,ROW($A$3:$A$14312)),ROW(27:27)),2))</f>
        <v/>
      </c>
      <c r="BD29" t="str">
        <f t="array" ref="BD29">IF(ISERROR(INDEX($A$3:$B$14312,SMALL(IF($A$3:$A$14312=BD$3,ROW($A$3:$A$14312)),ROW(27:27)),2)),"",INDEX($A$3:$B$14312,SMALL(IF($A$3:$A$14312=BD$3,ROW($A$3:$A$14312)),ROW(27:27)),2))</f>
        <v/>
      </c>
      <c r="BE29" t="str">
        <f t="array" ref="BE29">IF(ISERROR(INDEX($A$3:$B$14312,SMALL(IF($A$3:$A$14312=BE$3,ROW($A$3:$A$14312)),ROW(27:27)),2)),"",INDEX($A$3:$B$14312,SMALL(IF($A$3:$A$14312=BE$3,ROW($A$3:$A$14312)),ROW(27:27)),2))</f>
        <v/>
      </c>
      <c r="BF29" t="str">
        <f t="array" ref="BF29">IF(ISERROR(INDEX($A$3:$B$14312,SMALL(IF($A$3:$A$14312=BF$3,ROW($A$3:$A$14312)),ROW(27:27)),2)),"",INDEX($A$3:$B$14312,SMALL(IF($A$3:$A$14312=BF$3,ROW($A$3:$A$14312)),ROW(27:27)),2))</f>
        <v/>
      </c>
      <c r="BG29" t="str">
        <f t="array" ref="BG29">IF(ISERROR(INDEX($A$3:$B$14312,SMALL(IF($A$3:$A$14312=BG$3,ROW($A$3:$A$14312)),ROW(27:27)),2)),"",INDEX($A$3:$B$14312,SMALL(IF($A$3:$A$14312=BG$3,ROW($A$3:$A$14312)),ROW(27:27)),2))</f>
        <v/>
      </c>
      <c r="BH29" t="str">
        <f t="array" ref="BH29">IF(ISERROR(INDEX($A$3:$B$14312,SMALL(IF($A$3:$A$14312=BH$3,ROW($A$3:$A$14312)),ROW(27:27)),2)),"",INDEX($A$3:$B$14312,SMALL(IF($A$3:$A$14312=BH$3,ROW($A$3:$A$14312)),ROW(27:27)),2))</f>
        <v/>
      </c>
      <c r="BI29" t="str">
        <f t="array" ref="BI29">IF(ISERROR(INDEX($A$3:$B$14312,SMALL(IF($A$3:$A$14312=BI$3,ROW($A$3:$A$14312)),ROW(27:27)),2)),"",INDEX($A$3:$B$14312,SMALL(IF($A$3:$A$14312=BI$3,ROW($A$3:$A$14312)),ROW(27:27)),2))</f>
        <v/>
      </c>
      <c r="BJ29" t="str">
        <f t="array" ref="BJ29">IF(ISERROR(INDEX($A$3:$B$14312,SMALL(IF($A$3:$A$14312=BJ$3,ROW($A$3:$A$14312)),ROW(27:27)),2)),"",INDEX($A$3:$B$14312,SMALL(IF($A$3:$A$14312=BJ$3,ROW($A$3:$A$14312)),ROW(27:27)),2))</f>
        <v/>
      </c>
      <c r="BK29" t="str">
        <f t="array" ref="BK29">IF(ISERROR(INDEX($A$3:$B$14312,SMALL(IF($A$3:$A$14312=BK$3,ROW($A$3:$A$14312)),ROW(27:27)),2)),"",INDEX($A$3:$B$14312,SMALL(IF($A$3:$A$14312=BK$3,ROW($A$3:$A$14312)),ROW(27:27)),2))</f>
        <v/>
      </c>
      <c r="BL29" t="str">
        <f t="array" ref="BL29">IF(ISERROR(INDEX($A$3:$B$14312,SMALL(IF($A$3:$A$14312=BL$3,ROW($A$3:$A$14312)),ROW(27:27)),2)),"",INDEX($A$3:$B$14312,SMALL(IF($A$3:$A$14312=BL$3,ROW($A$3:$A$14312)),ROW(27:27)),2))</f>
        <v/>
      </c>
      <c r="BM29" t="str">
        <f t="array" ref="BM29">IF(ISERROR(INDEX($A$3:$B$14312,SMALL(IF($A$3:$A$14312=BM$3,ROW($A$3:$A$14312)),ROW(27:27)),2)),"",INDEX($A$3:$B$14312,SMALL(IF($A$3:$A$14312=BM$3,ROW($A$3:$A$14312)),ROW(27:27)),2))</f>
        <v/>
      </c>
      <c r="BN29" t="str">
        <f t="array" ref="BN29">IF(ISERROR(INDEX($A$3:$B$14312,SMALL(IF($A$3:$A$14312=BN$3,ROW($A$3:$A$14312)),ROW(27:27)),2)),"",INDEX($A$3:$B$14312,SMALL(IF($A$3:$A$14312=BN$3,ROW($A$3:$A$14312)),ROW(27:27)),2))</f>
        <v/>
      </c>
      <c r="BO29" t="str">
        <f t="array" ref="BO29">IF(ISERROR(INDEX($A$3:$B$14312,SMALL(IF($A$3:$A$14312=BO$3,ROW($A$3:$A$14312)),ROW(27:27)),2)),"",INDEX($A$3:$B$14312,SMALL(IF($A$3:$A$14312=BO$3,ROW($A$3:$A$14312)),ROW(27:27)),2))</f>
        <v/>
      </c>
      <c r="BP29" t="str">
        <f t="array" ref="BP29">IF(ISERROR(INDEX($A$3:$B$14312,SMALL(IF($A$3:$A$14312=BP$3,ROW($A$3:$A$14312)),ROW(27:27)),2)),"",INDEX($A$3:$B$14312,SMALL(IF($A$3:$A$14312=BP$3,ROW($A$3:$A$14312)),ROW(27:27)),2))</f>
        <v/>
      </c>
      <c r="BQ29" t="str">
        <f t="array" ref="BQ29">IF(ISERROR(INDEX($A$3:$B$14312,SMALL(IF($A$3:$A$14312=BQ$3,ROW($A$3:$A$14312)),ROW(27:27)),2)),"",INDEX($A$3:$B$14312,SMALL(IF($A$3:$A$14312=BQ$3,ROW($A$3:$A$14312)),ROW(27:27)),2))</f>
        <v/>
      </c>
      <c r="BR29" t="str">
        <f t="array" ref="BR29">IF(ISERROR(INDEX($A$3:$B$14312,SMALL(IF($A$3:$A$14312=BR$3,ROW($A$3:$A$14312)),ROW(27:27)),2)),"",INDEX($A$3:$B$14312,SMALL(IF($A$3:$A$14312=BR$3,ROW($A$3:$A$14312)),ROW(27:27)),2))</f>
        <v/>
      </c>
      <c r="BS29" t="str">
        <f t="array" ref="BS29">IF(ISERROR(INDEX($A$3:$B$14312,SMALL(IF($A$3:$A$14312=BS$3,ROW($A$3:$A$14312)),ROW(27:27)),2)),"",INDEX($A$3:$B$14312,SMALL(IF($A$3:$A$14312=BS$3,ROW($A$3:$A$14312)),ROW(27:27)),2))</f>
        <v/>
      </c>
      <c r="BT29" t="str">
        <f t="array" ref="BT29">IF(ISERROR(INDEX($A$3:$B$14312,SMALL(IF($A$3:$A$14312=BT$3,ROW($A$3:$A$14312)),ROW(27:27)),2)),"",INDEX($A$3:$B$14312,SMALL(IF($A$3:$A$14312=BT$3,ROW($A$3:$A$14312)),ROW(27:27)),2))</f>
        <v>Router3_114</v>
      </c>
      <c r="BU29" t="str">
        <f t="array" ref="BU29">IF(ISERROR(INDEX($A$3:$B$14312,SMALL(IF($A$3:$A$14312=BU$3,ROW($A$3:$A$14312)),ROW(27:27)),2)),"",INDEX($A$3:$B$14312,SMALL(IF($A$3:$A$14312=BU$3,ROW($A$3:$A$14312)),ROW(27:27)),2))</f>
        <v/>
      </c>
      <c r="BV29" t="str">
        <f t="array" ref="BV29">IF(ISERROR(INDEX($A$3:$B$14312,SMALL(IF($A$3:$A$14312=BV$3,ROW($A$3:$A$14312)),ROW(27:27)),2)),"",INDEX($A$3:$B$14312,SMALL(IF($A$3:$A$14312=BV$3,ROW($A$3:$A$14312)),ROW(27:27)),2))</f>
        <v/>
      </c>
      <c r="BW29" t="str">
        <f t="array" ref="BW29">IF(ISERROR(INDEX($A$3:$B$14312,SMALL(IF($A$3:$A$14312=BW$3,ROW($A$3:$A$14312)),ROW(27:27)),2)),"",INDEX($A$3:$B$14312,SMALL(IF($A$3:$A$14312=BW$3,ROW($A$3:$A$14312)),ROW(27:27)),2))</f>
        <v/>
      </c>
      <c r="BX29" t="str">
        <f t="array" ref="BX29">IF(ISERROR(INDEX($A$3:$B$14312,SMALL(IF($A$3:$A$14312=BX$3,ROW($A$3:$A$14312)),ROW(27:27)),2)),"",INDEX($A$3:$B$14312,SMALL(IF($A$3:$A$14312=BX$3,ROW($A$3:$A$14312)),ROW(27:27)),2))</f>
        <v/>
      </c>
      <c r="BY29" t="str">
        <f t="array" ref="BY29">IF(ISERROR(INDEX($A$3:$B$14312,SMALL(IF($A$3:$A$14312=BY$3,ROW($A$3:$A$14312)),ROW(27:27)),2)),"",INDEX($A$3:$B$14312,SMALL(IF($A$3:$A$14312=BY$3,ROW($A$3:$A$14312)),ROW(27:27)),2))</f>
        <v>Router3_112</v>
      </c>
      <c r="BZ29" t="str">
        <f t="array" ref="BZ29">IF(ISERROR(INDEX($A$3:$B$14312,SMALL(IF($A$3:$A$14312=BZ$3,ROW($A$3:$A$14312)),ROW(27:27)),2)),"",INDEX($A$3:$B$14312,SMALL(IF($A$3:$A$14312=BZ$3,ROW($A$3:$A$14312)),ROW(27:27)),2))</f>
        <v>Router3_112</v>
      </c>
      <c r="CA29" t="str">
        <f t="array" ref="CA29">IF(ISERROR(INDEX($A$3:$B$14312,SMALL(IF($A$3:$A$14312=CA$3,ROW($A$3:$A$14312)),ROW(27:27)),2)),"",INDEX($A$3:$B$14312,SMALL(IF($A$3:$A$14312=CA$3,ROW($A$3:$A$14312)),ROW(27:27)),2))</f>
        <v/>
      </c>
      <c r="CB29" t="str">
        <f t="array" ref="CB29">IF(ISERROR(INDEX($A$3:$B$14312,SMALL(IF($A$3:$A$14312=CB$3,ROW($A$3:$A$14312)),ROW(27:27)),2)),"",INDEX($A$3:$B$14312,SMALL(IF($A$3:$A$14312=CB$3,ROW($A$3:$A$14312)),ROW(27:27)),2))</f>
        <v/>
      </c>
      <c r="CC29" t="str">
        <f t="array" ref="CC29">IF(ISERROR(INDEX($A$3:$B$14312,SMALL(IF($A$3:$A$14312=CC$3,ROW($A$3:$A$14312)),ROW(27:27)),2)),"",INDEX($A$3:$B$14312,SMALL(IF($A$3:$A$14312=CC$3,ROW($A$3:$A$14312)),ROW(27:27)),2))</f>
        <v/>
      </c>
      <c r="CD29" t="str">
        <f t="array" ref="CD29">IF(ISERROR(INDEX($A$3:$B$14312,SMALL(IF($A$3:$A$14312=CD$3,ROW($A$3:$A$14312)),ROW(27:27)),2)),"",INDEX($A$3:$B$14312,SMALL(IF($A$3:$A$14312=CD$3,ROW($A$3:$A$14312)),ROW(27:27)),2))</f>
        <v/>
      </c>
      <c r="CE29" t="str">
        <f t="array" ref="CE29">IF(ISERROR(INDEX($A$3:$B$14312,SMALL(IF($A$3:$A$14312=CE$3,ROW($A$3:$A$14312)),ROW(27:27)),2)),"",INDEX($A$3:$B$14312,SMALL(IF($A$3:$A$14312=CE$3,ROW($A$3:$A$14312)),ROW(27:27)),2))</f>
        <v/>
      </c>
      <c r="CF29" t="str">
        <f t="array" ref="CF29">IF(ISERROR(INDEX($A$3:$B$14312,SMALL(IF($A$3:$A$14312=CF$3,ROW($A$3:$A$14312)),ROW(27:27)),2)),"",INDEX($A$3:$B$14312,SMALL(IF($A$3:$A$14312=CF$3,ROW($A$3:$A$14312)),ROW(27:27)),2))</f>
        <v/>
      </c>
      <c r="CG29" t="str">
        <f t="array" ref="CG29">IF(ISERROR(INDEX($A$3:$B$14312,SMALL(IF($A$3:$A$14312=CG$3,ROW($A$3:$A$14312)),ROW(27:27)),2)),"",INDEX($A$3:$B$14312,SMALL(IF($A$3:$A$14312=CG$3,ROW($A$3:$A$14312)),ROW(27:27)),2))</f>
        <v/>
      </c>
      <c r="CH29" t="str">
        <f t="array" ref="CH29">IF(ISERROR(INDEX($A$3:$B$14312,SMALL(IF($A$3:$A$14312=CH$3,ROW($A$3:$A$14312)),ROW(27:27)),2)),"",INDEX($A$3:$B$14312,SMALL(IF($A$3:$A$14312=CH$3,ROW($A$3:$A$14312)),ROW(27:27)),2))</f>
        <v/>
      </c>
      <c r="CI29" t="str">
        <f t="array" ref="CI29">IF(ISERROR(INDEX($A$3:$B$14312,SMALL(IF($A$3:$A$14312=CI$3,ROW($A$3:$A$14312)),ROW(27:27)),2)),"",INDEX($A$3:$B$14312,SMALL(IF($A$3:$A$14312=CI$3,ROW($A$3:$A$14312)),ROW(27:27)),2))</f>
        <v/>
      </c>
      <c r="CJ29" t="str">
        <f t="array" ref="CJ29">IF(ISERROR(INDEX($A$3:$B$14312,SMALL(IF($A$3:$A$14312=CJ$3,ROW($A$3:$A$14312)),ROW(27:27)),2)),"",INDEX($A$3:$B$14312,SMALL(IF($A$3:$A$14312=CJ$3,ROW($A$3:$A$14312)),ROW(27:27)),2))</f>
        <v/>
      </c>
      <c r="CK29" t="str">
        <f t="array" ref="CK29">IF(ISERROR(INDEX($A$3:$B$14312,SMALL(IF($A$3:$A$14312=CK$3,ROW($A$3:$A$14312)),ROW(27:27)),2)),"",INDEX($A$3:$B$14312,SMALL(IF($A$3:$A$14312=CK$3,ROW($A$3:$A$14312)),ROW(27:27)),2))</f>
        <v/>
      </c>
      <c r="CL29" t="str">
        <f t="array" ref="CL29">IF(ISERROR(INDEX($A$3:$B$14312,SMALL(IF($A$3:$A$14312=CL$3,ROW($A$3:$A$14312)),ROW(27:27)),2)),"",INDEX($A$3:$B$14312,SMALL(IF($A$3:$A$14312=CL$3,ROW($A$3:$A$14312)),ROW(27:27)),2))</f>
        <v/>
      </c>
      <c r="CM29" t="str">
        <f t="array" ref="CM29">IF(ISERROR(INDEX($A$3:$B$14312,SMALL(IF($A$3:$A$14312=CM$3,ROW($A$3:$A$14312)),ROW(27:27)),2)),"",INDEX($A$3:$B$14312,SMALL(IF($A$3:$A$14312=CM$3,ROW($A$3:$A$14312)),ROW(27:27)),2))</f>
        <v/>
      </c>
      <c r="CN29" t="str">
        <f t="array" ref="CN29">IF(ISERROR(INDEX($A$3:$B$14312,SMALL(IF($A$3:$A$14312=CN$3,ROW($A$3:$A$14312)),ROW(27:27)),2)),"",INDEX($A$3:$B$14312,SMALL(IF($A$3:$A$14312=CN$3,ROW($A$3:$A$14312)),ROW(27:27)),2))</f>
        <v>Router3_3</v>
      </c>
      <c r="CO29" t="str">
        <f t="array" ref="CO29">IF(ISERROR(INDEX($A$3:$B$14312,SMALL(IF($A$3:$A$14312=CO$3,ROW($A$3:$A$14312)),ROW(27:27)),2)),"",INDEX($A$3:$B$14312,SMALL(IF($A$3:$A$14312=CO$3,ROW($A$3:$A$14312)),ROW(27:27)),2))</f>
        <v>Router3_136</v>
      </c>
      <c r="CP29" t="str">
        <f t="array" ref="CP29">IF(ISERROR(INDEX($A$3:$B$14312,SMALL(IF($A$3:$A$14312=CP$3,ROW($A$3:$A$14312)),ROW(27:27)),2)),"",INDEX($A$3:$B$14312,SMALL(IF($A$3:$A$14312=CP$3,ROW($A$3:$A$14312)),ROW(27:27)),2))</f>
        <v/>
      </c>
      <c r="CQ29" t="str">
        <f t="array" ref="CQ29">IF(ISERROR(INDEX($A$3:$B$14312,SMALL(IF($A$3:$A$14312=CQ$3,ROW($A$3:$A$14312)),ROW(27:27)),2)),"",INDEX($A$3:$B$14312,SMALL(IF($A$3:$A$14312=CQ$3,ROW($A$3:$A$14312)),ROW(27:27)),2))</f>
        <v/>
      </c>
      <c r="CR29" t="str">
        <f t="array" ref="CR29">IF(ISERROR(INDEX($A$3:$B$14312,SMALL(IF($A$3:$A$14312=CR$3,ROW($A$3:$A$14312)),ROW(27:27)),2)),"",INDEX($A$3:$B$14312,SMALL(IF($A$3:$A$14312=CR$3,ROW($A$3:$A$14312)),ROW(27:27)),2))</f>
        <v/>
      </c>
      <c r="CS29" t="str">
        <f t="array" ref="CS29">IF(ISERROR(INDEX($A$3:$B$14312,SMALL(IF($A$3:$A$14312=CS$3,ROW($A$3:$A$14312)),ROW(27:27)),2)),"",INDEX($A$3:$B$14312,SMALL(IF($A$3:$A$14312=CS$3,ROW($A$3:$A$14312)),ROW(27:27)),2))</f>
        <v/>
      </c>
      <c r="CT29" t="str">
        <f t="array" ref="CT29">IF(ISERROR(INDEX($A$3:$B$14312,SMALL(IF($A$3:$A$14312=CT$3,ROW($A$3:$A$14312)),ROW(27:27)),2)),"",INDEX($A$3:$B$14312,SMALL(IF($A$3:$A$14312=CT$3,ROW($A$3:$A$14312)),ROW(27:27)),2))</f>
        <v/>
      </c>
      <c r="CU29" t="str">
        <f t="array" ref="CU29">IF(ISERROR(INDEX($A$3:$B$14312,SMALL(IF($A$3:$A$14312=CU$3,ROW($A$3:$A$14312)),ROW(27:27)),2)),"",INDEX($A$3:$B$14312,SMALL(IF($A$3:$A$14312=CU$3,ROW($A$3:$A$14312)),ROW(27:27)),2))</f>
        <v/>
      </c>
      <c r="CV29" t="str">
        <f t="array" ref="CV29">IF(ISERROR(INDEX($A$3:$B$14312,SMALL(IF($A$3:$A$14312=CV$3,ROW($A$3:$A$14312)),ROW(27:27)),2)),"",INDEX($A$3:$B$14312,SMALL(IF($A$3:$A$14312=CV$3,ROW($A$3:$A$14312)),ROW(27:27)),2))</f>
        <v/>
      </c>
      <c r="CW29" t="str">
        <f t="array" ref="CW29">IF(ISERROR(INDEX($A$3:$B$14312,SMALL(IF($A$3:$A$14312=CW$3,ROW($A$3:$A$14312)),ROW(27:27)),2)),"",INDEX($A$3:$B$14312,SMALL(IF($A$3:$A$14312=CW$3,ROW($A$3:$A$14312)),ROW(27:27)),2))</f>
        <v/>
      </c>
      <c r="CX29" t="str">
        <f t="array" ref="CX29">IF(ISERROR(INDEX($A$3:$B$14312,SMALL(IF($A$3:$A$14312=CX$3,ROW($A$3:$A$14312)),ROW(27:27)),2)),"",INDEX($A$3:$B$14312,SMALL(IF($A$3:$A$14312=CX$3,ROW($A$3:$A$14312)),ROW(27:27)),2))</f>
        <v/>
      </c>
      <c r="CY29" t="str">
        <f t="array" ref="CY29">IF(ISERROR(INDEX($A$3:$B$14312,SMALL(IF($A$3:$A$14312=CY$3,ROW($A$3:$A$14312)),ROW(27:27)),2)),"",INDEX($A$3:$B$14312,SMALL(IF($A$3:$A$14312=CY$3,ROW($A$3:$A$14312)),ROW(27:27)),2))</f>
        <v>Router3_145</v>
      </c>
      <c r="CZ29" t="str">
        <f t="array" ref="CZ29">IF(ISERROR(INDEX($A$3:$B$14312,SMALL(IF($A$3:$A$14312=CZ$3,ROW($A$3:$A$14312)),ROW(27:27)),2)),"",INDEX($A$3:$B$14312,SMALL(IF($A$3:$A$14312=CZ$3,ROW($A$3:$A$14312)),ROW(27:27)),2))</f>
        <v/>
      </c>
      <c r="DA29" t="str">
        <f t="array" ref="DA29">IF(ISERROR(INDEX($A$3:$B$14312,SMALL(IF($A$3:$A$14312=DA$3,ROW($A$3:$A$14312)),ROW(27:27)),2)),"",INDEX($A$3:$B$14312,SMALL(IF($A$3:$A$14312=DA$3,ROW($A$3:$A$14312)),ROW(27:27)),2))</f>
        <v>Router3_157</v>
      </c>
      <c r="DB29" t="str">
        <f t="array" ref="DB29">IF(ISERROR(INDEX($A$3:$B$14312,SMALL(IF($A$3:$A$14312=DB$3,ROW($A$3:$A$14312)),ROW(27:27)),2)),"",INDEX($A$3:$B$14312,SMALL(IF($A$3:$A$14312=DB$3,ROW($A$3:$A$14312)),ROW(27:27)),2))</f>
        <v/>
      </c>
      <c r="DC29" t="str">
        <f t="array" ref="DC29">IF(ISERROR(INDEX($A$3:$B$14312,SMALL(IF($A$3:$A$14312=DC$3,ROW($A$3:$A$14312)),ROW(27:27)),2)),"",INDEX($A$3:$B$14312,SMALL(IF($A$3:$A$14312=DC$3,ROW($A$3:$A$14312)),ROW(27:27)),2))</f>
        <v/>
      </c>
      <c r="DD29" t="str">
        <f t="array" ref="DD29">IF(ISERROR(INDEX($A$3:$B$14312,SMALL(IF($A$3:$A$14312=DD$3,ROW($A$3:$A$14312)),ROW(27:27)),2)),"",INDEX($A$3:$B$14312,SMALL(IF($A$3:$A$14312=DD$3,ROW($A$3:$A$14312)),ROW(27:27)),2))</f>
        <v/>
      </c>
      <c r="DE29" t="str">
        <f t="array" ref="DE29">IF(ISERROR(INDEX($A$3:$B$14312,SMALL(IF($A$3:$A$14312=DE$3,ROW($A$3:$A$14312)),ROW(27:27)),2)),"",INDEX($A$3:$B$14312,SMALL(IF($A$3:$A$14312=DE$3,ROW($A$3:$A$14312)),ROW(27:27)),2))</f>
        <v/>
      </c>
      <c r="DF29" t="str">
        <f t="array" ref="DF29">IF(ISERROR(INDEX($A$3:$B$14312,SMALL(IF($A$3:$A$14312=DF$3,ROW($A$3:$A$14312)),ROW(27:27)),2)),"",INDEX($A$3:$B$14312,SMALL(IF($A$3:$A$14312=DF$3,ROW($A$3:$A$14312)),ROW(27:27)),2))</f>
        <v/>
      </c>
      <c r="DG29" t="str">
        <f t="array" ref="DG29">IF(ISERROR(INDEX($A$3:$B$14312,SMALL(IF($A$3:$A$14312=DG$3,ROW($A$3:$A$14312)),ROW(27:27)),2)),"",INDEX($A$3:$B$14312,SMALL(IF($A$3:$A$14312=DG$3,ROW($A$3:$A$14312)),ROW(27:27)),2))</f>
        <v/>
      </c>
      <c r="DH29" t="str">
        <f t="array" ref="DH29">IF(ISERROR(INDEX($A$3:$B$14312,SMALL(IF($A$3:$A$14312=DH$3,ROW($A$3:$A$14312)),ROW(27:27)),2)),"",INDEX($A$3:$B$14312,SMALL(IF($A$3:$A$14312=DH$3,ROW($A$3:$A$14312)),ROW(27:27)),2))</f>
        <v/>
      </c>
      <c r="DI29" t="str">
        <f t="array" ref="DI29">IF(ISERROR(INDEX($A$3:$B$14312,SMALL(IF($A$3:$A$14312=DI$3,ROW($A$3:$A$14312)),ROW(27:27)),2)),"",INDEX($A$3:$B$14312,SMALL(IF($A$3:$A$14312=DI$3,ROW($A$3:$A$14312)),ROW(27:27)),2))</f>
        <v>Router3_93</v>
      </c>
      <c r="DJ29" t="str">
        <f t="array" ref="DJ29">IF(ISERROR(INDEX($A$3:$B$14312,SMALL(IF($A$3:$A$14312=DJ$3,ROW($A$3:$A$14312)),ROW(27:27)),2)),"",INDEX($A$3:$B$14312,SMALL(IF($A$3:$A$14312=DJ$3,ROW($A$3:$A$14312)),ROW(27:27)),2))</f>
        <v>Router3_117</v>
      </c>
      <c r="DK29" t="str">
        <f t="array" ref="DK29">IF(ISERROR(INDEX($A$3:$B$14312,SMALL(IF($A$3:$A$14312=DK$3,ROW($A$3:$A$14312)),ROW(27:27)),2)),"",INDEX($A$3:$B$14312,SMALL(IF($A$3:$A$14312=DK$3,ROW($A$3:$A$14312)),ROW(27:27)),2))</f>
        <v>Router3_133</v>
      </c>
      <c r="DL29" t="str">
        <f t="array" ref="DL29">IF(ISERROR(INDEX($A$3:$B$14312,SMALL(IF($A$3:$A$14312=DL$3,ROW($A$3:$A$14312)),ROW(27:27)),2)),"",INDEX($A$3:$B$14312,SMALL(IF($A$3:$A$14312=DL$3,ROW($A$3:$A$14312)),ROW(27:27)),2))</f>
        <v/>
      </c>
      <c r="DM29" t="str">
        <f t="array" ref="DM29">IF(ISERROR(INDEX($A$3:$B$14312,SMALL(IF($A$3:$A$14312=DM$3,ROW($A$3:$A$14312)),ROW(27:27)),2)),"",INDEX($A$3:$B$14312,SMALL(IF($A$3:$A$14312=DM$3,ROW($A$3:$A$14312)),ROW(27:27)),2))</f>
        <v/>
      </c>
      <c r="DN29" t="str">
        <f t="array" ref="DN29">IF(ISERROR(INDEX($A$3:$B$14312,SMALL(IF($A$3:$A$14312=DN$3,ROW($A$3:$A$14312)),ROW(27:27)),2)),"",INDEX($A$3:$B$14312,SMALL(IF($A$3:$A$14312=DN$3,ROW($A$3:$A$14312)),ROW(27:27)),2))</f>
        <v/>
      </c>
      <c r="DO29" t="str">
        <f t="array" ref="DO29">IF(ISERROR(INDEX($A$3:$B$14312,SMALL(IF($A$3:$A$14312=DO$3,ROW($A$3:$A$14312)),ROW(27:27)),2)),"",INDEX($A$3:$B$14312,SMALL(IF($A$3:$A$14312=DO$3,ROW($A$3:$A$14312)),ROW(27:27)),2))</f>
        <v/>
      </c>
      <c r="DP29" t="str">
        <f t="array" ref="DP29">IF(ISERROR(INDEX($A$3:$B$14312,SMALL(IF($A$3:$A$14312=DP$3,ROW($A$3:$A$14312)),ROW(27:27)),2)),"",INDEX($A$3:$B$14312,SMALL(IF($A$3:$A$14312=DP$3,ROW($A$3:$A$14312)),ROW(27:27)),2))</f>
        <v/>
      </c>
      <c r="DQ29" t="str">
        <f t="array" ref="DQ29">IF(ISERROR(INDEX($A$3:$B$14312,SMALL(IF($A$3:$A$14312=DQ$3,ROW($A$3:$A$14312)),ROW(27:27)),2)),"",INDEX($A$3:$B$14312,SMALL(IF($A$3:$A$14312=DQ$3,ROW($A$3:$A$14312)),ROW(27:27)),2))</f>
        <v/>
      </c>
      <c r="DR29" t="str">
        <f t="array" ref="DR29">IF(ISERROR(INDEX($A$3:$B$14312,SMALL(IF($A$3:$A$14312=DR$3,ROW($A$3:$A$14312)),ROW(27:27)),2)),"",INDEX($A$3:$B$14312,SMALL(IF($A$3:$A$14312=DR$3,ROW($A$3:$A$14312)),ROW(27:27)),2))</f>
        <v>Router3_29</v>
      </c>
      <c r="DS29" t="str">
        <f t="array" ref="DS29">IF(ISERROR(INDEX($A$3:$B$14312,SMALL(IF($A$3:$A$14312=DS$3,ROW($A$3:$A$14312)),ROW(27:27)),2)),"",INDEX($A$3:$B$14312,SMALL(IF($A$3:$A$14312=DS$3,ROW($A$3:$A$14312)),ROW(27:27)),2))</f>
        <v/>
      </c>
      <c r="DT29" t="str">
        <f t="array" ref="DT29">IF(ISERROR(INDEX($A$3:$B$14312,SMALL(IF($A$3:$A$14312=DT$3,ROW($A$3:$A$14312)),ROW(27:27)),2)),"",INDEX($A$3:$B$14312,SMALL(IF($A$3:$A$14312=DT$3,ROW($A$3:$A$14312)),ROW(27:27)),2))</f>
        <v>Router3_93</v>
      </c>
      <c r="DU29" t="str">
        <f t="array" ref="DU29">IF(ISERROR(INDEX($A$3:$B$14312,SMALL(IF($A$3:$A$14312=DU$3,ROW($A$3:$A$14312)),ROW(27:27)),2)),"",INDEX($A$3:$B$14312,SMALL(IF($A$3:$A$14312=DU$3,ROW($A$3:$A$14312)),ROW(27:27)),2))</f>
        <v>Router3_144</v>
      </c>
      <c r="DV29" t="str">
        <f t="array" ref="DV29">IF(ISERROR(INDEX($A$3:$B$14312,SMALL(IF($A$3:$A$14312=DV$3,ROW($A$3:$A$14312)),ROW(27:27)),2)),"",INDEX($A$3:$B$14312,SMALL(IF($A$3:$A$14312=DV$3,ROW($A$3:$A$14312)),ROW(27:27)),2))</f>
        <v/>
      </c>
      <c r="DW29" t="str">
        <f t="array" ref="DW29">IF(ISERROR(INDEX($A$3:$B$14312,SMALL(IF($A$3:$A$14312=DW$3,ROW($A$3:$A$14312)),ROW(27:27)),2)),"",INDEX($A$3:$B$14312,SMALL(IF($A$3:$A$14312=DW$3,ROW($A$3:$A$14312)),ROW(27:27)),2))</f>
        <v/>
      </c>
      <c r="DX29" t="str">
        <f t="array" ref="DX29">IF(ISERROR(INDEX($A$3:$B$14312,SMALL(IF($A$3:$A$14312=DX$3,ROW($A$3:$A$14312)),ROW(27:27)),2)),"",INDEX($A$3:$B$14312,SMALL(IF($A$3:$A$14312=DX$3,ROW($A$3:$A$14312)),ROW(27:27)),2))</f>
        <v/>
      </c>
      <c r="DY29" t="str">
        <f t="array" ref="DY29">IF(ISERROR(INDEX($A$3:$B$14312,SMALL(IF($A$3:$A$14312=DY$3,ROW($A$3:$A$14312)),ROW(27:27)),2)),"",INDEX($A$3:$B$14312,SMALL(IF($A$3:$A$14312=DY$3,ROW($A$3:$A$14312)),ROW(27:27)),2))</f>
        <v/>
      </c>
      <c r="DZ29" t="str">
        <f t="array" ref="DZ29">IF(ISERROR(INDEX($A$3:$B$14312,SMALL(IF($A$3:$A$14312=DZ$3,ROW($A$3:$A$14312)),ROW(27:27)),2)),"",INDEX($A$3:$B$14312,SMALL(IF($A$3:$A$14312=DZ$3,ROW($A$3:$A$14312)),ROW(27:27)),2))</f>
        <v/>
      </c>
      <c r="EA29" t="str">
        <f t="array" ref="EA29">IF(ISERROR(INDEX($A$3:$B$14312,SMALL(IF($A$3:$A$14312=EA$3,ROW($A$3:$A$14312)),ROW(27:27)),2)),"",INDEX($A$3:$B$14312,SMALL(IF($A$3:$A$14312=EA$3,ROW($A$3:$A$14312)),ROW(27:27)),2))</f>
        <v>Router3_8</v>
      </c>
      <c r="EB29" t="str">
        <f t="array" ref="EB29">IF(ISERROR(INDEX($A$3:$B$14312,SMALL(IF($A$3:$A$14312=EB$3,ROW($A$3:$A$14312)),ROW(27:27)),2)),"",INDEX($A$3:$B$14312,SMALL(IF($A$3:$A$14312=EB$3,ROW($A$3:$A$14312)),ROW(27:27)),2))</f>
        <v/>
      </c>
      <c r="EC29" t="str">
        <f t="array" ref="EC29">IF(ISERROR(INDEX($A$3:$B$14312,SMALL(IF($A$3:$A$14312=EC$3,ROW($A$3:$A$14312)),ROW(27:27)),2)),"",INDEX($A$3:$B$14312,SMALL(IF($A$3:$A$14312=EC$3,ROW($A$3:$A$14312)),ROW(27:27)),2))</f>
        <v>Router3_126</v>
      </c>
      <c r="ED29" t="str">
        <f t="array" ref="ED29">IF(ISERROR(INDEX($A$3:$B$14312,SMALL(IF($A$3:$A$14312=ED$3,ROW($A$3:$A$14312)),ROW(27:27)),2)),"",INDEX($A$3:$B$14312,SMALL(IF($A$3:$A$14312=ED$3,ROW($A$3:$A$14312)),ROW(27:27)),2))</f>
        <v>Router3_149</v>
      </c>
      <c r="EE29" t="str">
        <f t="array" ref="EE29">IF(ISERROR(INDEX($A$3:$B$14312,SMALL(IF($A$3:$A$14312=EE$3,ROW($A$3:$A$14312)),ROW(27:27)),2)),"",INDEX($A$3:$B$14312,SMALL(IF($A$3:$A$14312=EE$3,ROW($A$3:$A$14312)),ROW(27:27)),2))</f>
        <v/>
      </c>
    </row>
    <row r="30" spans="1:135" x14ac:dyDescent="0.25">
      <c r="A30" s="10">
        <v>-450827382</v>
      </c>
      <c r="B30" t="s">
        <v>1107</v>
      </c>
      <c r="E30" t="str">
        <f t="array" ref="E30">IF(ISERROR(INDEX($A$3:$B$14312,SMALL(IF($A$3:$A$14312=E$3,ROW($A$3:$A$14312)),ROW(28:28)),2)),"",INDEX($A$3:$B$14312,SMALL(IF($A$3:$A$14312=E$3,ROW($A$3:$A$14312)),ROW(28:28)),2))</f>
        <v/>
      </c>
      <c r="F30" t="str">
        <f t="array" ref="F30">IF(ISERROR(INDEX($A$3:$B$14312,SMALL(IF($A$3:$A$14312=F$3,ROW($A$3:$A$14312)),ROW(28:28)),2)),"",INDEX($A$3:$B$14312,SMALL(IF($A$3:$A$14312=F$3,ROW($A$3:$A$14312)),ROW(28:28)),2))</f>
        <v>Router3_109</v>
      </c>
      <c r="G30" t="str">
        <f t="array" ref="G30">IF(ISERROR(INDEX($A$3:$B$14312,SMALL(IF($A$3:$A$14312=G$3,ROW($A$3:$A$14312)),ROW(28:28)),2)),"",INDEX($A$3:$B$14312,SMALL(IF($A$3:$A$14312=G$3,ROW($A$3:$A$14312)),ROW(28:28)),2))</f>
        <v/>
      </c>
      <c r="H30" t="str">
        <f t="array" ref="H30">IF(ISERROR(INDEX($A$3:$B$14312,SMALL(IF($A$3:$A$14312=H$3,ROW($A$3:$A$14312)),ROW(28:28)),2)),"",INDEX($A$3:$B$14312,SMALL(IF($A$3:$A$14312=H$3,ROW($A$3:$A$14312)),ROW(28:28)),2))</f>
        <v/>
      </c>
      <c r="I30" t="str">
        <f t="array" ref="I30">IF(ISERROR(INDEX($A$3:$B$14312,SMALL(IF($A$3:$A$14312=I$3,ROW($A$3:$A$14312)),ROW(28:28)),2)),"",INDEX($A$3:$B$14312,SMALL(IF($A$3:$A$14312=I$3,ROW($A$3:$A$14312)),ROW(28:28)),2))</f>
        <v/>
      </c>
      <c r="J30" t="str">
        <f t="array" ref="J30">IF(ISERROR(INDEX($A$3:$B$14312,SMALL(IF($A$3:$A$14312=J$3,ROW($A$3:$A$14312)),ROW(28:28)),2)),"",INDEX($A$3:$B$14312,SMALL(IF($A$3:$A$14312=J$3,ROW($A$3:$A$14312)),ROW(28:28)),2))</f>
        <v>Router3_158</v>
      </c>
      <c r="K30" t="str">
        <f t="array" ref="K30">IF(ISERROR(INDEX($A$3:$B$14312,SMALL(IF($A$3:$A$14312=K$3,ROW($A$3:$A$14312)),ROW(28:28)),2)),"",INDEX($A$3:$B$14312,SMALL(IF($A$3:$A$14312=K$3,ROW($A$3:$A$14312)),ROW(28:28)),2))</f>
        <v/>
      </c>
      <c r="L30" t="str">
        <f t="array" ref="L30">IF(ISERROR(INDEX($A$3:$B$14312,SMALL(IF($A$3:$A$14312=L$3,ROW($A$3:$A$14312)),ROW(28:28)),2)),"",INDEX($A$3:$B$14312,SMALL(IF($A$3:$A$14312=L$3,ROW($A$3:$A$14312)),ROW(28:28)),2))</f>
        <v/>
      </c>
      <c r="M30" t="str">
        <f t="array" ref="M30">IF(ISERROR(INDEX($A$3:$B$14312,SMALL(IF($A$3:$A$14312=M$3,ROW($A$3:$A$14312)),ROW(28:28)),2)),"",INDEX($A$3:$B$14312,SMALL(IF($A$3:$A$14312=M$3,ROW($A$3:$A$14312)),ROW(28:28)),2))</f>
        <v/>
      </c>
      <c r="N30" t="str">
        <f t="array" ref="N30">IF(ISERROR(INDEX($A$3:$B$14312,SMALL(IF($A$3:$A$14312=N$3,ROW($A$3:$A$14312)),ROW(28:28)),2)),"",INDEX($A$3:$B$14312,SMALL(IF($A$3:$A$14312=N$3,ROW($A$3:$A$14312)),ROW(28:28)),2))</f>
        <v/>
      </c>
      <c r="O30" t="str">
        <f t="array" ref="O30">IF(ISERROR(INDEX($A$3:$B$14312,SMALL(IF($A$3:$A$14312=O$3,ROW($A$3:$A$14312)),ROW(28:28)),2)),"",INDEX($A$3:$B$14312,SMALL(IF($A$3:$A$14312=O$3,ROW($A$3:$A$14312)),ROW(28:28)),2))</f>
        <v/>
      </c>
      <c r="P30" t="str">
        <f t="array" ref="P30">IF(ISERROR(INDEX($A$3:$B$14312,SMALL(IF($A$3:$A$14312=P$3,ROW($A$3:$A$14312)),ROW(28:28)),2)),"",INDEX($A$3:$B$14312,SMALL(IF($A$3:$A$14312=P$3,ROW($A$3:$A$14312)),ROW(28:28)),2))</f>
        <v/>
      </c>
      <c r="Q30" t="str">
        <f t="array" ref="Q30">IF(ISERROR(INDEX($A$3:$B$14312,SMALL(IF($A$3:$A$14312=Q$3,ROW($A$3:$A$14312)),ROW(28:28)),2)),"",INDEX($A$3:$B$14312,SMALL(IF($A$3:$A$14312=Q$3,ROW($A$3:$A$14312)),ROW(28:28)),2))</f>
        <v/>
      </c>
      <c r="R30" t="str">
        <f t="array" ref="R30">IF(ISERROR(INDEX($A$3:$B$14312,SMALL(IF($A$3:$A$14312=R$3,ROW($A$3:$A$14312)),ROW(28:28)),2)),"",INDEX($A$3:$B$14312,SMALL(IF($A$3:$A$14312=R$3,ROW($A$3:$A$14312)),ROW(28:28)),2))</f>
        <v/>
      </c>
      <c r="S30" t="str">
        <f t="array" ref="S30">IF(ISERROR(INDEX($A$3:$B$14312,SMALL(IF($A$3:$A$14312=S$3,ROW($A$3:$A$14312)),ROW(28:28)),2)),"",INDEX($A$3:$B$14312,SMALL(IF($A$3:$A$14312=S$3,ROW($A$3:$A$14312)),ROW(28:28)),2))</f>
        <v/>
      </c>
      <c r="T30" t="str">
        <f t="array" ref="T30">IF(ISERROR(INDEX($A$3:$B$14312,SMALL(IF($A$3:$A$14312=T$3,ROW($A$3:$A$14312)),ROW(28:28)),2)),"",INDEX($A$3:$B$14312,SMALL(IF($A$3:$A$14312=T$3,ROW($A$3:$A$14312)),ROW(28:28)),2))</f>
        <v/>
      </c>
      <c r="U30" t="str">
        <f t="array" ref="U30">IF(ISERROR(INDEX($A$3:$B$14312,SMALL(IF($A$3:$A$14312=U$3,ROW($A$3:$A$14312)),ROW(28:28)),2)),"",INDEX($A$3:$B$14312,SMALL(IF($A$3:$A$14312=U$3,ROW($A$3:$A$14312)),ROW(28:28)),2))</f>
        <v/>
      </c>
      <c r="V30" t="str">
        <f t="array" ref="V30">IF(ISERROR(INDEX($A$3:$B$14312,SMALL(IF($A$3:$A$14312=V$3,ROW($A$3:$A$14312)),ROW(28:28)),2)),"",INDEX($A$3:$B$14312,SMALL(IF($A$3:$A$14312=V$3,ROW($A$3:$A$14312)),ROW(28:28)),2))</f>
        <v/>
      </c>
      <c r="W30" t="str">
        <f t="array" ref="W30">IF(ISERROR(INDEX($A$3:$B$14312,SMALL(IF($A$3:$A$14312=W$3,ROW($A$3:$A$14312)),ROW(28:28)),2)),"",INDEX($A$3:$B$14312,SMALL(IF($A$3:$A$14312=W$3,ROW($A$3:$A$14312)),ROW(28:28)),2))</f>
        <v>Router3_138</v>
      </c>
      <c r="X30" t="str">
        <f t="array" ref="X30">IF(ISERROR(INDEX($A$3:$B$14312,SMALL(IF($A$3:$A$14312=X$3,ROW($A$3:$A$14312)),ROW(28:28)),2)),"",INDEX($A$3:$B$14312,SMALL(IF($A$3:$A$14312=X$3,ROW($A$3:$A$14312)),ROW(28:28)),2))</f>
        <v/>
      </c>
      <c r="Y30" t="str">
        <f t="array" ref="Y30">IF(ISERROR(INDEX($A$3:$B$14312,SMALL(IF($A$3:$A$14312=Y$3,ROW($A$3:$A$14312)),ROW(28:28)),2)),"",INDEX($A$3:$B$14312,SMALL(IF($A$3:$A$14312=Y$3,ROW($A$3:$A$14312)),ROW(28:28)),2))</f>
        <v/>
      </c>
      <c r="Z30" t="str">
        <f t="array" ref="Z30">IF(ISERROR(INDEX($A$3:$B$14312,SMALL(IF($A$3:$A$14312=Z$3,ROW($A$3:$A$14312)),ROW(28:28)),2)),"",INDEX($A$3:$B$14312,SMALL(IF($A$3:$A$14312=Z$3,ROW($A$3:$A$14312)),ROW(28:28)),2))</f>
        <v/>
      </c>
      <c r="AA30" t="str">
        <f t="array" ref="AA30">IF(ISERROR(INDEX($A$3:$B$14312,SMALL(IF($A$3:$A$14312=AA$3,ROW($A$3:$A$14312)),ROW(28:28)),2)),"",INDEX($A$3:$B$14312,SMALL(IF($A$3:$A$14312=AA$3,ROW($A$3:$A$14312)),ROW(28:28)),2))</f>
        <v/>
      </c>
      <c r="AB30" t="str">
        <f t="array" ref="AB30">IF(ISERROR(INDEX($A$3:$B$14312,SMALL(IF($A$3:$A$14312=AB$3,ROW($A$3:$A$14312)),ROW(28:28)),2)),"",INDEX($A$3:$B$14312,SMALL(IF($A$3:$A$14312=AB$3,ROW($A$3:$A$14312)),ROW(28:28)),2))</f>
        <v/>
      </c>
      <c r="AC30" t="str">
        <f t="array" ref="AC30">IF(ISERROR(INDEX($A$3:$B$14312,SMALL(IF($A$3:$A$14312=AC$3,ROW($A$3:$A$14312)),ROW(28:28)),2)),"",INDEX($A$3:$B$14312,SMALL(IF($A$3:$A$14312=AC$3,ROW($A$3:$A$14312)),ROW(28:28)),2))</f>
        <v/>
      </c>
      <c r="AD30" t="str">
        <f t="array" ref="AD30">IF(ISERROR(INDEX($A$3:$B$14312,SMALL(IF($A$3:$A$14312=AD$3,ROW($A$3:$A$14312)),ROW(28:28)),2)),"",INDEX($A$3:$B$14312,SMALL(IF($A$3:$A$14312=AD$3,ROW($A$3:$A$14312)),ROW(28:28)),2))</f>
        <v/>
      </c>
      <c r="AE30" t="str">
        <f t="array" ref="AE30">IF(ISERROR(INDEX($A$3:$B$14312,SMALL(IF($A$3:$A$14312=AE$3,ROW($A$3:$A$14312)),ROW(28:28)),2)),"",INDEX($A$3:$B$14312,SMALL(IF($A$3:$A$14312=AE$3,ROW($A$3:$A$14312)),ROW(28:28)),2))</f>
        <v/>
      </c>
      <c r="AF30" t="str">
        <f t="array" ref="AF30">IF(ISERROR(INDEX($A$3:$B$14312,SMALL(IF($A$3:$A$14312=AF$3,ROW($A$3:$A$14312)),ROW(28:28)),2)),"",INDEX($A$3:$B$14312,SMALL(IF($A$3:$A$14312=AF$3,ROW($A$3:$A$14312)),ROW(28:28)),2))</f>
        <v/>
      </c>
      <c r="AG30" t="str">
        <f t="array" ref="AG30">IF(ISERROR(INDEX($A$3:$B$14312,SMALL(IF($A$3:$A$14312=AG$3,ROW($A$3:$A$14312)),ROW(28:28)),2)),"",INDEX($A$3:$B$14312,SMALL(IF($A$3:$A$14312=AG$3,ROW($A$3:$A$14312)),ROW(28:28)),2))</f>
        <v/>
      </c>
      <c r="AH30" t="str">
        <f t="array" ref="AH30">IF(ISERROR(INDEX($A$3:$B$14312,SMALL(IF($A$3:$A$14312=AH$3,ROW($A$3:$A$14312)),ROW(28:28)),2)),"",INDEX($A$3:$B$14312,SMALL(IF($A$3:$A$14312=AH$3,ROW($A$3:$A$14312)),ROW(28:28)),2))</f>
        <v/>
      </c>
      <c r="AI30" t="str">
        <f t="array" ref="AI30">IF(ISERROR(INDEX($A$3:$B$14312,SMALL(IF($A$3:$A$14312=AI$3,ROW($A$3:$A$14312)),ROW(28:28)),2)),"",INDEX($A$3:$B$14312,SMALL(IF($A$3:$A$14312=AI$3,ROW($A$3:$A$14312)),ROW(28:28)),2))</f>
        <v/>
      </c>
      <c r="AJ30" t="str">
        <f t="array" ref="AJ30">IF(ISERROR(INDEX($A$3:$B$14312,SMALL(IF($A$3:$A$14312=AJ$3,ROW($A$3:$A$14312)),ROW(28:28)),2)),"",INDEX($A$3:$B$14312,SMALL(IF($A$3:$A$14312=AJ$3,ROW($A$3:$A$14312)),ROW(28:28)),2))</f>
        <v/>
      </c>
      <c r="AK30" t="str">
        <f t="array" ref="AK30">IF(ISERROR(INDEX($A$3:$B$14312,SMALL(IF($A$3:$A$14312=AK$3,ROW($A$3:$A$14312)),ROW(28:28)),2)),"",INDEX($A$3:$B$14312,SMALL(IF($A$3:$A$14312=AK$3,ROW($A$3:$A$14312)),ROW(28:28)),2))</f>
        <v/>
      </c>
      <c r="AL30" t="str">
        <f t="array" ref="AL30">IF(ISERROR(INDEX($A$3:$B$14312,SMALL(IF($A$3:$A$14312=AL$3,ROW($A$3:$A$14312)),ROW(28:28)),2)),"",INDEX($A$3:$B$14312,SMALL(IF($A$3:$A$14312=AL$3,ROW($A$3:$A$14312)),ROW(28:28)),2))</f>
        <v/>
      </c>
      <c r="AM30" t="str">
        <f t="array" ref="AM30">IF(ISERROR(INDEX($A$3:$B$14312,SMALL(IF($A$3:$A$14312=AM$3,ROW($A$3:$A$14312)),ROW(28:28)),2)),"",INDEX($A$3:$B$14312,SMALL(IF($A$3:$A$14312=AM$3,ROW($A$3:$A$14312)),ROW(28:28)),2))</f>
        <v>Router3_148</v>
      </c>
      <c r="AN30" t="str">
        <f t="array" ref="AN30">IF(ISERROR(INDEX($A$3:$B$14312,SMALL(IF($A$3:$A$14312=AN$3,ROW($A$3:$A$14312)),ROW(28:28)),2)),"",INDEX($A$3:$B$14312,SMALL(IF($A$3:$A$14312=AN$3,ROW($A$3:$A$14312)),ROW(28:28)),2))</f>
        <v/>
      </c>
      <c r="AO30" t="str">
        <f t="array" ref="AO30">IF(ISERROR(INDEX($A$3:$B$14312,SMALL(IF($A$3:$A$14312=AO$3,ROW($A$3:$A$14312)),ROW(28:28)),2)),"",INDEX($A$3:$B$14312,SMALL(IF($A$3:$A$14312=AO$3,ROW($A$3:$A$14312)),ROW(28:28)),2))</f>
        <v/>
      </c>
      <c r="AP30" t="str">
        <f t="array" ref="AP30">IF(ISERROR(INDEX($A$3:$B$14312,SMALL(IF($A$3:$A$14312=AP$3,ROW($A$3:$A$14312)),ROW(28:28)),2)),"",INDEX($A$3:$B$14312,SMALL(IF($A$3:$A$14312=AP$3,ROW($A$3:$A$14312)),ROW(28:28)),2))</f>
        <v/>
      </c>
      <c r="AQ30" t="str">
        <f t="array" ref="AQ30">IF(ISERROR(INDEX($A$3:$B$14312,SMALL(IF($A$3:$A$14312=AQ$3,ROW($A$3:$A$14312)),ROW(28:28)),2)),"",INDEX($A$3:$B$14312,SMALL(IF($A$3:$A$14312=AQ$3,ROW($A$3:$A$14312)),ROW(28:28)),2))</f>
        <v/>
      </c>
      <c r="AR30" t="str">
        <f t="array" ref="AR30">IF(ISERROR(INDEX($A$3:$B$14312,SMALL(IF($A$3:$A$14312=AR$3,ROW($A$3:$A$14312)),ROW(28:28)),2)),"",INDEX($A$3:$B$14312,SMALL(IF($A$3:$A$14312=AR$3,ROW($A$3:$A$14312)),ROW(28:28)),2))</f>
        <v/>
      </c>
      <c r="AS30" t="str">
        <f t="array" ref="AS30">IF(ISERROR(INDEX($A$3:$B$14312,SMALL(IF($A$3:$A$14312=AS$3,ROW($A$3:$A$14312)),ROW(28:28)),2)),"",INDEX($A$3:$B$14312,SMALL(IF($A$3:$A$14312=AS$3,ROW($A$3:$A$14312)),ROW(28:28)),2))</f>
        <v>Router3_117</v>
      </c>
      <c r="AT30" t="str">
        <f t="array" ref="AT30">IF(ISERROR(INDEX($A$3:$B$14312,SMALL(IF($A$3:$A$14312=AT$3,ROW($A$3:$A$14312)),ROW(28:28)),2)),"",INDEX($A$3:$B$14312,SMALL(IF($A$3:$A$14312=AT$3,ROW($A$3:$A$14312)),ROW(28:28)),2))</f>
        <v/>
      </c>
      <c r="AU30" t="str">
        <f t="array" ref="AU30">IF(ISERROR(INDEX($A$3:$B$14312,SMALL(IF($A$3:$A$14312=AU$3,ROW($A$3:$A$14312)),ROW(28:28)),2)),"",INDEX($A$3:$B$14312,SMALL(IF($A$3:$A$14312=AU$3,ROW($A$3:$A$14312)),ROW(28:28)),2))</f>
        <v/>
      </c>
      <c r="AV30" t="str">
        <f t="array" ref="AV30">IF(ISERROR(INDEX($A$3:$B$14312,SMALL(IF($A$3:$A$14312=AV$3,ROW($A$3:$A$14312)),ROW(28:28)),2)),"",INDEX($A$3:$B$14312,SMALL(IF($A$3:$A$14312=AV$3,ROW($A$3:$A$14312)),ROW(28:28)),2))</f>
        <v/>
      </c>
      <c r="AW30" t="str">
        <f t="array" ref="AW30">IF(ISERROR(INDEX($A$3:$B$14312,SMALL(IF($A$3:$A$14312=AW$3,ROW($A$3:$A$14312)),ROW(28:28)),2)),"",INDEX($A$3:$B$14312,SMALL(IF($A$3:$A$14312=AW$3,ROW($A$3:$A$14312)),ROW(28:28)),2))</f>
        <v/>
      </c>
      <c r="AX30" t="str">
        <f t="array" ref="AX30">IF(ISERROR(INDEX($A$3:$B$14312,SMALL(IF($A$3:$A$14312=AX$3,ROW($A$3:$A$14312)),ROW(28:28)),2)),"",INDEX($A$3:$B$14312,SMALL(IF($A$3:$A$14312=AX$3,ROW($A$3:$A$14312)),ROW(28:28)),2))</f>
        <v/>
      </c>
      <c r="AY30" t="str">
        <f t="array" ref="AY30">IF(ISERROR(INDEX($A$3:$B$14312,SMALL(IF($A$3:$A$14312=AY$3,ROW($A$3:$A$14312)),ROW(28:28)),2)),"",INDEX($A$3:$B$14312,SMALL(IF($A$3:$A$14312=AY$3,ROW($A$3:$A$14312)),ROW(28:28)),2))</f>
        <v>Router3_150</v>
      </c>
      <c r="AZ30" t="str">
        <f t="array" ref="AZ30">IF(ISERROR(INDEX($A$3:$B$14312,SMALL(IF($A$3:$A$14312=AZ$3,ROW($A$3:$A$14312)),ROW(28:28)),2)),"",INDEX($A$3:$B$14312,SMALL(IF($A$3:$A$14312=AZ$3,ROW($A$3:$A$14312)),ROW(28:28)),2))</f>
        <v/>
      </c>
      <c r="BA30" t="str">
        <f t="array" ref="BA30">IF(ISERROR(INDEX($A$3:$B$14312,SMALL(IF($A$3:$A$14312=BA$3,ROW($A$3:$A$14312)),ROW(28:28)),2)),"",INDEX($A$3:$B$14312,SMALL(IF($A$3:$A$14312=BA$3,ROW($A$3:$A$14312)),ROW(28:28)),2))</f>
        <v/>
      </c>
      <c r="BB30" t="str">
        <f t="array" ref="BB30">IF(ISERROR(INDEX($A$3:$B$14312,SMALL(IF($A$3:$A$14312=BB$3,ROW($A$3:$A$14312)),ROW(28:28)),2)),"",INDEX($A$3:$B$14312,SMALL(IF($A$3:$A$14312=BB$3,ROW($A$3:$A$14312)),ROW(28:28)),2))</f>
        <v/>
      </c>
      <c r="BC30" t="str">
        <f t="array" ref="BC30">IF(ISERROR(INDEX($A$3:$B$14312,SMALL(IF($A$3:$A$14312=BC$3,ROW($A$3:$A$14312)),ROW(28:28)),2)),"",INDEX($A$3:$B$14312,SMALL(IF($A$3:$A$14312=BC$3,ROW($A$3:$A$14312)),ROW(28:28)),2))</f>
        <v/>
      </c>
      <c r="BD30" t="str">
        <f t="array" ref="BD30">IF(ISERROR(INDEX($A$3:$B$14312,SMALL(IF($A$3:$A$14312=BD$3,ROW($A$3:$A$14312)),ROW(28:28)),2)),"",INDEX($A$3:$B$14312,SMALL(IF($A$3:$A$14312=BD$3,ROW($A$3:$A$14312)),ROW(28:28)),2))</f>
        <v/>
      </c>
      <c r="BE30" t="str">
        <f t="array" ref="BE30">IF(ISERROR(INDEX($A$3:$B$14312,SMALL(IF($A$3:$A$14312=BE$3,ROW($A$3:$A$14312)),ROW(28:28)),2)),"",INDEX($A$3:$B$14312,SMALL(IF($A$3:$A$14312=BE$3,ROW($A$3:$A$14312)),ROW(28:28)),2))</f>
        <v/>
      </c>
      <c r="BF30" t="str">
        <f t="array" ref="BF30">IF(ISERROR(INDEX($A$3:$B$14312,SMALL(IF($A$3:$A$14312=BF$3,ROW($A$3:$A$14312)),ROW(28:28)),2)),"",INDEX($A$3:$B$14312,SMALL(IF($A$3:$A$14312=BF$3,ROW($A$3:$A$14312)),ROW(28:28)),2))</f>
        <v/>
      </c>
      <c r="BG30" t="str">
        <f t="array" ref="BG30">IF(ISERROR(INDEX($A$3:$B$14312,SMALL(IF($A$3:$A$14312=BG$3,ROW($A$3:$A$14312)),ROW(28:28)),2)),"",INDEX($A$3:$B$14312,SMALL(IF($A$3:$A$14312=BG$3,ROW($A$3:$A$14312)),ROW(28:28)),2))</f>
        <v/>
      </c>
      <c r="BH30" t="str">
        <f t="array" ref="BH30">IF(ISERROR(INDEX($A$3:$B$14312,SMALL(IF($A$3:$A$14312=BH$3,ROW($A$3:$A$14312)),ROW(28:28)),2)),"",INDEX($A$3:$B$14312,SMALL(IF($A$3:$A$14312=BH$3,ROW($A$3:$A$14312)),ROW(28:28)),2))</f>
        <v/>
      </c>
      <c r="BI30" t="str">
        <f t="array" ref="BI30">IF(ISERROR(INDEX($A$3:$B$14312,SMALL(IF($A$3:$A$14312=BI$3,ROW($A$3:$A$14312)),ROW(28:28)),2)),"",INDEX($A$3:$B$14312,SMALL(IF($A$3:$A$14312=BI$3,ROW($A$3:$A$14312)),ROW(28:28)),2))</f>
        <v/>
      </c>
      <c r="BJ30" t="str">
        <f t="array" ref="BJ30">IF(ISERROR(INDEX($A$3:$B$14312,SMALL(IF($A$3:$A$14312=BJ$3,ROW($A$3:$A$14312)),ROW(28:28)),2)),"",INDEX($A$3:$B$14312,SMALL(IF($A$3:$A$14312=BJ$3,ROW($A$3:$A$14312)),ROW(28:28)),2))</f>
        <v/>
      </c>
      <c r="BK30" t="str">
        <f t="array" ref="BK30">IF(ISERROR(INDEX($A$3:$B$14312,SMALL(IF($A$3:$A$14312=BK$3,ROW($A$3:$A$14312)),ROW(28:28)),2)),"",INDEX($A$3:$B$14312,SMALL(IF($A$3:$A$14312=BK$3,ROW($A$3:$A$14312)),ROW(28:28)),2))</f>
        <v/>
      </c>
      <c r="BL30" t="str">
        <f t="array" ref="BL30">IF(ISERROR(INDEX($A$3:$B$14312,SMALL(IF($A$3:$A$14312=BL$3,ROW($A$3:$A$14312)),ROW(28:28)),2)),"",INDEX($A$3:$B$14312,SMALL(IF($A$3:$A$14312=BL$3,ROW($A$3:$A$14312)),ROW(28:28)),2))</f>
        <v/>
      </c>
      <c r="BM30" t="str">
        <f t="array" ref="BM30">IF(ISERROR(INDEX($A$3:$B$14312,SMALL(IF($A$3:$A$14312=BM$3,ROW($A$3:$A$14312)),ROW(28:28)),2)),"",INDEX($A$3:$B$14312,SMALL(IF($A$3:$A$14312=BM$3,ROW($A$3:$A$14312)),ROW(28:28)),2))</f>
        <v/>
      </c>
      <c r="BN30" t="str">
        <f t="array" ref="BN30">IF(ISERROR(INDEX($A$3:$B$14312,SMALL(IF($A$3:$A$14312=BN$3,ROW($A$3:$A$14312)),ROW(28:28)),2)),"",INDEX($A$3:$B$14312,SMALL(IF($A$3:$A$14312=BN$3,ROW($A$3:$A$14312)),ROW(28:28)),2))</f>
        <v/>
      </c>
      <c r="BO30" t="str">
        <f t="array" ref="BO30">IF(ISERROR(INDEX($A$3:$B$14312,SMALL(IF($A$3:$A$14312=BO$3,ROW($A$3:$A$14312)),ROW(28:28)),2)),"",INDEX($A$3:$B$14312,SMALL(IF($A$3:$A$14312=BO$3,ROW($A$3:$A$14312)),ROW(28:28)),2))</f>
        <v/>
      </c>
      <c r="BP30" t="str">
        <f t="array" ref="BP30">IF(ISERROR(INDEX($A$3:$B$14312,SMALL(IF($A$3:$A$14312=BP$3,ROW($A$3:$A$14312)),ROW(28:28)),2)),"",INDEX($A$3:$B$14312,SMALL(IF($A$3:$A$14312=BP$3,ROW($A$3:$A$14312)),ROW(28:28)),2))</f>
        <v/>
      </c>
      <c r="BQ30" t="str">
        <f t="array" ref="BQ30">IF(ISERROR(INDEX($A$3:$B$14312,SMALL(IF($A$3:$A$14312=BQ$3,ROW($A$3:$A$14312)),ROW(28:28)),2)),"",INDEX($A$3:$B$14312,SMALL(IF($A$3:$A$14312=BQ$3,ROW($A$3:$A$14312)),ROW(28:28)),2))</f>
        <v/>
      </c>
      <c r="BR30" t="str">
        <f t="array" ref="BR30">IF(ISERROR(INDEX($A$3:$B$14312,SMALL(IF($A$3:$A$14312=BR$3,ROW($A$3:$A$14312)),ROW(28:28)),2)),"",INDEX($A$3:$B$14312,SMALL(IF($A$3:$A$14312=BR$3,ROW($A$3:$A$14312)),ROW(28:28)),2))</f>
        <v/>
      </c>
      <c r="BS30" t="str">
        <f t="array" ref="BS30">IF(ISERROR(INDEX($A$3:$B$14312,SMALL(IF($A$3:$A$14312=BS$3,ROW($A$3:$A$14312)),ROW(28:28)),2)),"",INDEX($A$3:$B$14312,SMALL(IF($A$3:$A$14312=BS$3,ROW($A$3:$A$14312)),ROW(28:28)),2))</f>
        <v/>
      </c>
      <c r="BT30" t="str">
        <f t="array" ref="BT30">IF(ISERROR(INDEX($A$3:$B$14312,SMALL(IF($A$3:$A$14312=BT$3,ROW($A$3:$A$14312)),ROW(28:28)),2)),"",INDEX($A$3:$B$14312,SMALL(IF($A$3:$A$14312=BT$3,ROW($A$3:$A$14312)),ROW(28:28)),2))</f>
        <v>Router3_115</v>
      </c>
      <c r="BU30" t="str">
        <f t="array" ref="BU30">IF(ISERROR(INDEX($A$3:$B$14312,SMALL(IF($A$3:$A$14312=BU$3,ROW($A$3:$A$14312)),ROW(28:28)),2)),"",INDEX($A$3:$B$14312,SMALL(IF($A$3:$A$14312=BU$3,ROW($A$3:$A$14312)),ROW(28:28)),2))</f>
        <v/>
      </c>
      <c r="BV30" t="str">
        <f t="array" ref="BV30">IF(ISERROR(INDEX($A$3:$B$14312,SMALL(IF($A$3:$A$14312=BV$3,ROW($A$3:$A$14312)),ROW(28:28)),2)),"",INDEX($A$3:$B$14312,SMALL(IF($A$3:$A$14312=BV$3,ROW($A$3:$A$14312)),ROW(28:28)),2))</f>
        <v/>
      </c>
      <c r="BW30" t="str">
        <f t="array" ref="BW30">IF(ISERROR(INDEX($A$3:$B$14312,SMALL(IF($A$3:$A$14312=BW$3,ROW($A$3:$A$14312)),ROW(28:28)),2)),"",INDEX($A$3:$B$14312,SMALL(IF($A$3:$A$14312=BW$3,ROW($A$3:$A$14312)),ROW(28:28)),2))</f>
        <v/>
      </c>
      <c r="BX30" t="str">
        <f t="array" ref="BX30">IF(ISERROR(INDEX($A$3:$B$14312,SMALL(IF($A$3:$A$14312=BX$3,ROW($A$3:$A$14312)),ROW(28:28)),2)),"",INDEX($A$3:$B$14312,SMALL(IF($A$3:$A$14312=BX$3,ROW($A$3:$A$14312)),ROW(28:28)),2))</f>
        <v/>
      </c>
      <c r="BY30" t="str">
        <f t="array" ref="BY30">IF(ISERROR(INDEX($A$3:$B$14312,SMALL(IF($A$3:$A$14312=BY$3,ROW($A$3:$A$14312)),ROW(28:28)),2)),"",INDEX($A$3:$B$14312,SMALL(IF($A$3:$A$14312=BY$3,ROW($A$3:$A$14312)),ROW(28:28)),2))</f>
        <v>Router3_117</v>
      </c>
      <c r="BZ30" t="str">
        <f t="array" ref="BZ30">IF(ISERROR(INDEX($A$3:$B$14312,SMALL(IF($A$3:$A$14312=BZ$3,ROW($A$3:$A$14312)),ROW(28:28)),2)),"",INDEX($A$3:$B$14312,SMALL(IF($A$3:$A$14312=BZ$3,ROW($A$3:$A$14312)),ROW(28:28)),2))</f>
        <v>Router3_117</v>
      </c>
      <c r="CA30" t="str">
        <f t="array" ref="CA30">IF(ISERROR(INDEX($A$3:$B$14312,SMALL(IF($A$3:$A$14312=CA$3,ROW($A$3:$A$14312)),ROW(28:28)),2)),"",INDEX($A$3:$B$14312,SMALL(IF($A$3:$A$14312=CA$3,ROW($A$3:$A$14312)),ROW(28:28)),2))</f>
        <v/>
      </c>
      <c r="CB30" t="str">
        <f t="array" ref="CB30">IF(ISERROR(INDEX($A$3:$B$14312,SMALL(IF($A$3:$A$14312=CB$3,ROW($A$3:$A$14312)),ROW(28:28)),2)),"",INDEX($A$3:$B$14312,SMALL(IF($A$3:$A$14312=CB$3,ROW($A$3:$A$14312)),ROW(28:28)),2))</f>
        <v/>
      </c>
      <c r="CC30" t="str">
        <f t="array" ref="CC30">IF(ISERROR(INDEX($A$3:$B$14312,SMALL(IF($A$3:$A$14312=CC$3,ROW($A$3:$A$14312)),ROW(28:28)),2)),"",INDEX($A$3:$B$14312,SMALL(IF($A$3:$A$14312=CC$3,ROW($A$3:$A$14312)),ROW(28:28)),2))</f>
        <v/>
      </c>
      <c r="CD30" t="str">
        <f t="array" ref="CD30">IF(ISERROR(INDEX($A$3:$B$14312,SMALL(IF($A$3:$A$14312=CD$3,ROW($A$3:$A$14312)),ROW(28:28)),2)),"",INDEX($A$3:$B$14312,SMALL(IF($A$3:$A$14312=CD$3,ROW($A$3:$A$14312)),ROW(28:28)),2))</f>
        <v/>
      </c>
      <c r="CE30" t="str">
        <f t="array" ref="CE30">IF(ISERROR(INDEX($A$3:$B$14312,SMALL(IF($A$3:$A$14312=CE$3,ROW($A$3:$A$14312)),ROW(28:28)),2)),"",INDEX($A$3:$B$14312,SMALL(IF($A$3:$A$14312=CE$3,ROW($A$3:$A$14312)),ROW(28:28)),2))</f>
        <v/>
      </c>
      <c r="CF30" t="str">
        <f t="array" ref="CF30">IF(ISERROR(INDEX($A$3:$B$14312,SMALL(IF($A$3:$A$14312=CF$3,ROW($A$3:$A$14312)),ROW(28:28)),2)),"",INDEX($A$3:$B$14312,SMALL(IF($A$3:$A$14312=CF$3,ROW($A$3:$A$14312)),ROW(28:28)),2))</f>
        <v/>
      </c>
      <c r="CG30" t="str">
        <f t="array" ref="CG30">IF(ISERROR(INDEX($A$3:$B$14312,SMALL(IF($A$3:$A$14312=CG$3,ROW($A$3:$A$14312)),ROW(28:28)),2)),"",INDEX($A$3:$B$14312,SMALL(IF($A$3:$A$14312=CG$3,ROW($A$3:$A$14312)),ROW(28:28)),2))</f>
        <v/>
      </c>
      <c r="CH30" t="str">
        <f t="array" ref="CH30">IF(ISERROR(INDEX($A$3:$B$14312,SMALL(IF($A$3:$A$14312=CH$3,ROW($A$3:$A$14312)),ROW(28:28)),2)),"",INDEX($A$3:$B$14312,SMALL(IF($A$3:$A$14312=CH$3,ROW($A$3:$A$14312)),ROW(28:28)),2))</f>
        <v/>
      </c>
      <c r="CI30" t="str">
        <f t="array" ref="CI30">IF(ISERROR(INDEX($A$3:$B$14312,SMALL(IF($A$3:$A$14312=CI$3,ROW($A$3:$A$14312)),ROW(28:28)),2)),"",INDEX($A$3:$B$14312,SMALL(IF($A$3:$A$14312=CI$3,ROW($A$3:$A$14312)),ROW(28:28)),2))</f>
        <v/>
      </c>
      <c r="CJ30" t="str">
        <f t="array" ref="CJ30">IF(ISERROR(INDEX($A$3:$B$14312,SMALL(IF($A$3:$A$14312=CJ$3,ROW($A$3:$A$14312)),ROW(28:28)),2)),"",INDEX($A$3:$B$14312,SMALL(IF($A$3:$A$14312=CJ$3,ROW($A$3:$A$14312)),ROW(28:28)),2))</f>
        <v/>
      </c>
      <c r="CK30" t="str">
        <f t="array" ref="CK30">IF(ISERROR(INDEX($A$3:$B$14312,SMALL(IF($A$3:$A$14312=CK$3,ROW($A$3:$A$14312)),ROW(28:28)),2)),"",INDEX($A$3:$B$14312,SMALL(IF($A$3:$A$14312=CK$3,ROW($A$3:$A$14312)),ROW(28:28)),2))</f>
        <v/>
      </c>
      <c r="CL30" t="str">
        <f t="array" ref="CL30">IF(ISERROR(INDEX($A$3:$B$14312,SMALL(IF($A$3:$A$14312=CL$3,ROW($A$3:$A$14312)),ROW(28:28)),2)),"",INDEX($A$3:$B$14312,SMALL(IF($A$3:$A$14312=CL$3,ROW($A$3:$A$14312)),ROW(28:28)),2))</f>
        <v/>
      </c>
      <c r="CM30" t="str">
        <f t="array" ref="CM30">IF(ISERROR(INDEX($A$3:$B$14312,SMALL(IF($A$3:$A$14312=CM$3,ROW($A$3:$A$14312)),ROW(28:28)),2)),"",INDEX($A$3:$B$14312,SMALL(IF($A$3:$A$14312=CM$3,ROW($A$3:$A$14312)),ROW(28:28)),2))</f>
        <v/>
      </c>
      <c r="CN30" t="str">
        <f t="array" ref="CN30">IF(ISERROR(INDEX($A$3:$B$14312,SMALL(IF($A$3:$A$14312=CN$3,ROW($A$3:$A$14312)),ROW(28:28)),2)),"",INDEX($A$3:$B$14312,SMALL(IF($A$3:$A$14312=CN$3,ROW($A$3:$A$14312)),ROW(28:28)),2))</f>
        <v/>
      </c>
      <c r="CO30" t="str">
        <f t="array" ref="CO30">IF(ISERROR(INDEX($A$3:$B$14312,SMALL(IF($A$3:$A$14312=CO$3,ROW($A$3:$A$14312)),ROW(28:28)),2)),"",INDEX($A$3:$B$14312,SMALL(IF($A$3:$A$14312=CO$3,ROW($A$3:$A$14312)),ROW(28:28)),2))</f>
        <v>Router3_143</v>
      </c>
      <c r="CP30" t="str">
        <f t="array" ref="CP30">IF(ISERROR(INDEX($A$3:$B$14312,SMALL(IF($A$3:$A$14312=CP$3,ROW($A$3:$A$14312)),ROW(28:28)),2)),"",INDEX($A$3:$B$14312,SMALL(IF($A$3:$A$14312=CP$3,ROW($A$3:$A$14312)),ROW(28:28)),2))</f>
        <v/>
      </c>
      <c r="CQ30" t="str">
        <f t="array" ref="CQ30">IF(ISERROR(INDEX($A$3:$B$14312,SMALL(IF($A$3:$A$14312=CQ$3,ROW($A$3:$A$14312)),ROW(28:28)),2)),"",INDEX($A$3:$B$14312,SMALL(IF($A$3:$A$14312=CQ$3,ROW($A$3:$A$14312)),ROW(28:28)),2))</f>
        <v/>
      </c>
      <c r="CR30" t="str">
        <f t="array" ref="CR30">IF(ISERROR(INDEX($A$3:$B$14312,SMALL(IF($A$3:$A$14312=CR$3,ROW($A$3:$A$14312)),ROW(28:28)),2)),"",INDEX($A$3:$B$14312,SMALL(IF($A$3:$A$14312=CR$3,ROW($A$3:$A$14312)),ROW(28:28)),2))</f>
        <v/>
      </c>
      <c r="CS30" t="str">
        <f t="array" ref="CS30">IF(ISERROR(INDEX($A$3:$B$14312,SMALL(IF($A$3:$A$14312=CS$3,ROW($A$3:$A$14312)),ROW(28:28)),2)),"",INDEX($A$3:$B$14312,SMALL(IF($A$3:$A$14312=CS$3,ROW($A$3:$A$14312)),ROW(28:28)),2))</f>
        <v/>
      </c>
      <c r="CT30" t="str">
        <f t="array" ref="CT30">IF(ISERROR(INDEX($A$3:$B$14312,SMALL(IF($A$3:$A$14312=CT$3,ROW($A$3:$A$14312)),ROW(28:28)),2)),"",INDEX($A$3:$B$14312,SMALL(IF($A$3:$A$14312=CT$3,ROW($A$3:$A$14312)),ROW(28:28)),2))</f>
        <v/>
      </c>
      <c r="CU30" t="str">
        <f t="array" ref="CU30">IF(ISERROR(INDEX($A$3:$B$14312,SMALL(IF($A$3:$A$14312=CU$3,ROW($A$3:$A$14312)),ROW(28:28)),2)),"",INDEX($A$3:$B$14312,SMALL(IF($A$3:$A$14312=CU$3,ROW($A$3:$A$14312)),ROW(28:28)),2))</f>
        <v/>
      </c>
      <c r="CV30" t="str">
        <f t="array" ref="CV30">IF(ISERROR(INDEX($A$3:$B$14312,SMALL(IF($A$3:$A$14312=CV$3,ROW($A$3:$A$14312)),ROW(28:28)),2)),"",INDEX($A$3:$B$14312,SMALL(IF($A$3:$A$14312=CV$3,ROW($A$3:$A$14312)),ROW(28:28)),2))</f>
        <v/>
      </c>
      <c r="CW30" t="str">
        <f t="array" ref="CW30">IF(ISERROR(INDEX($A$3:$B$14312,SMALL(IF($A$3:$A$14312=CW$3,ROW($A$3:$A$14312)),ROW(28:28)),2)),"",INDEX($A$3:$B$14312,SMALL(IF($A$3:$A$14312=CW$3,ROW($A$3:$A$14312)),ROW(28:28)),2))</f>
        <v/>
      </c>
      <c r="CX30" t="str">
        <f t="array" ref="CX30">IF(ISERROR(INDEX($A$3:$B$14312,SMALL(IF($A$3:$A$14312=CX$3,ROW($A$3:$A$14312)),ROW(28:28)),2)),"",INDEX($A$3:$B$14312,SMALL(IF($A$3:$A$14312=CX$3,ROW($A$3:$A$14312)),ROW(28:28)),2))</f>
        <v/>
      </c>
      <c r="CY30" t="str">
        <f t="array" ref="CY30">IF(ISERROR(INDEX($A$3:$B$14312,SMALL(IF($A$3:$A$14312=CY$3,ROW($A$3:$A$14312)),ROW(28:28)),2)),"",INDEX($A$3:$B$14312,SMALL(IF($A$3:$A$14312=CY$3,ROW($A$3:$A$14312)),ROW(28:28)),2))</f>
        <v>Router3_50</v>
      </c>
      <c r="CZ30" t="str">
        <f t="array" ref="CZ30">IF(ISERROR(INDEX($A$3:$B$14312,SMALL(IF($A$3:$A$14312=CZ$3,ROW($A$3:$A$14312)),ROW(28:28)),2)),"",INDEX($A$3:$B$14312,SMALL(IF($A$3:$A$14312=CZ$3,ROW($A$3:$A$14312)),ROW(28:28)),2))</f>
        <v/>
      </c>
      <c r="DA30" t="str">
        <f t="array" ref="DA30">IF(ISERROR(INDEX($A$3:$B$14312,SMALL(IF($A$3:$A$14312=DA$3,ROW($A$3:$A$14312)),ROW(28:28)),2)),"",INDEX($A$3:$B$14312,SMALL(IF($A$3:$A$14312=DA$3,ROW($A$3:$A$14312)),ROW(28:28)),2))</f>
        <v>Router3_158</v>
      </c>
      <c r="DB30" t="str">
        <f t="array" ref="DB30">IF(ISERROR(INDEX($A$3:$B$14312,SMALL(IF($A$3:$A$14312=DB$3,ROW($A$3:$A$14312)),ROW(28:28)),2)),"",INDEX($A$3:$B$14312,SMALL(IF($A$3:$A$14312=DB$3,ROW($A$3:$A$14312)),ROW(28:28)),2))</f>
        <v/>
      </c>
      <c r="DC30" t="str">
        <f t="array" ref="DC30">IF(ISERROR(INDEX($A$3:$B$14312,SMALL(IF($A$3:$A$14312=DC$3,ROW($A$3:$A$14312)),ROW(28:28)),2)),"",INDEX($A$3:$B$14312,SMALL(IF($A$3:$A$14312=DC$3,ROW($A$3:$A$14312)),ROW(28:28)),2))</f>
        <v/>
      </c>
      <c r="DD30" t="str">
        <f t="array" ref="DD30">IF(ISERROR(INDEX($A$3:$B$14312,SMALL(IF($A$3:$A$14312=DD$3,ROW($A$3:$A$14312)),ROW(28:28)),2)),"",INDEX($A$3:$B$14312,SMALL(IF($A$3:$A$14312=DD$3,ROW($A$3:$A$14312)),ROW(28:28)),2))</f>
        <v/>
      </c>
      <c r="DE30" t="str">
        <f t="array" ref="DE30">IF(ISERROR(INDEX($A$3:$B$14312,SMALL(IF($A$3:$A$14312=DE$3,ROW($A$3:$A$14312)),ROW(28:28)),2)),"",INDEX($A$3:$B$14312,SMALL(IF($A$3:$A$14312=DE$3,ROW($A$3:$A$14312)),ROW(28:28)),2))</f>
        <v/>
      </c>
      <c r="DF30" t="str">
        <f t="array" ref="DF30">IF(ISERROR(INDEX($A$3:$B$14312,SMALL(IF($A$3:$A$14312=DF$3,ROW($A$3:$A$14312)),ROW(28:28)),2)),"",INDEX($A$3:$B$14312,SMALL(IF($A$3:$A$14312=DF$3,ROW($A$3:$A$14312)),ROW(28:28)),2))</f>
        <v/>
      </c>
      <c r="DG30" t="str">
        <f t="array" ref="DG30">IF(ISERROR(INDEX($A$3:$B$14312,SMALL(IF($A$3:$A$14312=DG$3,ROW($A$3:$A$14312)),ROW(28:28)),2)),"",INDEX($A$3:$B$14312,SMALL(IF($A$3:$A$14312=DG$3,ROW($A$3:$A$14312)),ROW(28:28)),2))</f>
        <v/>
      </c>
      <c r="DH30" t="str">
        <f t="array" ref="DH30">IF(ISERROR(INDEX($A$3:$B$14312,SMALL(IF($A$3:$A$14312=DH$3,ROW($A$3:$A$14312)),ROW(28:28)),2)),"",INDEX($A$3:$B$14312,SMALL(IF($A$3:$A$14312=DH$3,ROW($A$3:$A$14312)),ROW(28:28)),2))</f>
        <v/>
      </c>
      <c r="DI30" t="str">
        <f t="array" ref="DI30">IF(ISERROR(INDEX($A$3:$B$14312,SMALL(IF($A$3:$A$14312=DI$3,ROW($A$3:$A$14312)),ROW(28:28)),2)),"",INDEX($A$3:$B$14312,SMALL(IF($A$3:$A$14312=DI$3,ROW($A$3:$A$14312)),ROW(28:28)),2))</f>
        <v>Router3_94</v>
      </c>
      <c r="DJ30" t="str">
        <f t="array" ref="DJ30">IF(ISERROR(INDEX($A$3:$B$14312,SMALL(IF($A$3:$A$14312=DJ$3,ROW($A$3:$A$14312)),ROW(28:28)),2)),"",INDEX($A$3:$B$14312,SMALL(IF($A$3:$A$14312=DJ$3,ROW($A$3:$A$14312)),ROW(28:28)),2))</f>
        <v>Router3_2</v>
      </c>
      <c r="DK30" t="str">
        <f t="array" ref="DK30">IF(ISERROR(INDEX($A$3:$B$14312,SMALL(IF($A$3:$A$14312=DK$3,ROW($A$3:$A$14312)),ROW(28:28)),2)),"",INDEX($A$3:$B$14312,SMALL(IF($A$3:$A$14312=DK$3,ROW($A$3:$A$14312)),ROW(28:28)),2))</f>
        <v>Router3_137</v>
      </c>
      <c r="DL30" t="str">
        <f t="array" ref="DL30">IF(ISERROR(INDEX($A$3:$B$14312,SMALL(IF($A$3:$A$14312=DL$3,ROW($A$3:$A$14312)),ROW(28:28)),2)),"",INDEX($A$3:$B$14312,SMALL(IF($A$3:$A$14312=DL$3,ROW($A$3:$A$14312)),ROW(28:28)),2))</f>
        <v/>
      </c>
      <c r="DM30" t="str">
        <f t="array" ref="DM30">IF(ISERROR(INDEX($A$3:$B$14312,SMALL(IF($A$3:$A$14312=DM$3,ROW($A$3:$A$14312)),ROW(28:28)),2)),"",INDEX($A$3:$B$14312,SMALL(IF($A$3:$A$14312=DM$3,ROW($A$3:$A$14312)),ROW(28:28)),2))</f>
        <v/>
      </c>
      <c r="DN30" t="str">
        <f t="array" ref="DN30">IF(ISERROR(INDEX($A$3:$B$14312,SMALL(IF($A$3:$A$14312=DN$3,ROW($A$3:$A$14312)),ROW(28:28)),2)),"",INDEX($A$3:$B$14312,SMALL(IF($A$3:$A$14312=DN$3,ROW($A$3:$A$14312)),ROW(28:28)),2))</f>
        <v/>
      </c>
      <c r="DO30" t="str">
        <f t="array" ref="DO30">IF(ISERROR(INDEX($A$3:$B$14312,SMALL(IF($A$3:$A$14312=DO$3,ROW($A$3:$A$14312)),ROW(28:28)),2)),"",INDEX($A$3:$B$14312,SMALL(IF($A$3:$A$14312=DO$3,ROW($A$3:$A$14312)),ROW(28:28)),2))</f>
        <v/>
      </c>
      <c r="DP30" t="str">
        <f t="array" ref="DP30">IF(ISERROR(INDEX($A$3:$B$14312,SMALL(IF($A$3:$A$14312=DP$3,ROW($A$3:$A$14312)),ROW(28:28)),2)),"",INDEX($A$3:$B$14312,SMALL(IF($A$3:$A$14312=DP$3,ROW($A$3:$A$14312)),ROW(28:28)),2))</f>
        <v/>
      </c>
      <c r="DQ30" t="str">
        <f t="array" ref="DQ30">IF(ISERROR(INDEX($A$3:$B$14312,SMALL(IF($A$3:$A$14312=DQ$3,ROW($A$3:$A$14312)),ROW(28:28)),2)),"",INDEX($A$3:$B$14312,SMALL(IF($A$3:$A$14312=DQ$3,ROW($A$3:$A$14312)),ROW(28:28)),2))</f>
        <v/>
      </c>
      <c r="DR30" t="str">
        <f t="array" ref="DR30">IF(ISERROR(INDEX($A$3:$B$14312,SMALL(IF($A$3:$A$14312=DR$3,ROW($A$3:$A$14312)),ROW(28:28)),2)),"",INDEX($A$3:$B$14312,SMALL(IF($A$3:$A$14312=DR$3,ROW($A$3:$A$14312)),ROW(28:28)),2))</f>
        <v>Router3_30</v>
      </c>
      <c r="DS30" t="str">
        <f t="array" ref="DS30">IF(ISERROR(INDEX($A$3:$B$14312,SMALL(IF($A$3:$A$14312=DS$3,ROW($A$3:$A$14312)),ROW(28:28)),2)),"",INDEX($A$3:$B$14312,SMALL(IF($A$3:$A$14312=DS$3,ROW($A$3:$A$14312)),ROW(28:28)),2))</f>
        <v/>
      </c>
      <c r="DT30" t="str">
        <f t="array" ref="DT30">IF(ISERROR(INDEX($A$3:$B$14312,SMALL(IF($A$3:$A$14312=DT$3,ROW($A$3:$A$14312)),ROW(28:28)),2)),"",INDEX($A$3:$B$14312,SMALL(IF($A$3:$A$14312=DT$3,ROW($A$3:$A$14312)),ROW(28:28)),2))</f>
        <v>Router3_94</v>
      </c>
      <c r="DU30" t="str">
        <f t="array" ref="DU30">IF(ISERROR(INDEX($A$3:$B$14312,SMALL(IF($A$3:$A$14312=DU$3,ROW($A$3:$A$14312)),ROW(28:28)),2)),"",INDEX($A$3:$B$14312,SMALL(IF($A$3:$A$14312=DU$3,ROW($A$3:$A$14312)),ROW(28:28)),2))</f>
        <v>Router3_145</v>
      </c>
      <c r="DV30" t="str">
        <f t="array" ref="DV30">IF(ISERROR(INDEX($A$3:$B$14312,SMALL(IF($A$3:$A$14312=DV$3,ROW($A$3:$A$14312)),ROW(28:28)),2)),"",INDEX($A$3:$B$14312,SMALL(IF($A$3:$A$14312=DV$3,ROW($A$3:$A$14312)),ROW(28:28)),2))</f>
        <v/>
      </c>
      <c r="DW30" t="str">
        <f t="array" ref="DW30">IF(ISERROR(INDEX($A$3:$B$14312,SMALL(IF($A$3:$A$14312=DW$3,ROW($A$3:$A$14312)),ROW(28:28)),2)),"",INDEX($A$3:$B$14312,SMALL(IF($A$3:$A$14312=DW$3,ROW($A$3:$A$14312)),ROW(28:28)),2))</f>
        <v/>
      </c>
      <c r="DX30" t="str">
        <f t="array" ref="DX30">IF(ISERROR(INDEX($A$3:$B$14312,SMALL(IF($A$3:$A$14312=DX$3,ROW($A$3:$A$14312)),ROW(28:28)),2)),"",INDEX($A$3:$B$14312,SMALL(IF($A$3:$A$14312=DX$3,ROW($A$3:$A$14312)),ROW(28:28)),2))</f>
        <v/>
      </c>
      <c r="DY30" t="str">
        <f t="array" ref="DY30">IF(ISERROR(INDEX($A$3:$B$14312,SMALL(IF($A$3:$A$14312=DY$3,ROW($A$3:$A$14312)),ROW(28:28)),2)),"",INDEX($A$3:$B$14312,SMALL(IF($A$3:$A$14312=DY$3,ROW($A$3:$A$14312)),ROW(28:28)),2))</f>
        <v/>
      </c>
      <c r="DZ30" t="str">
        <f t="array" ref="DZ30">IF(ISERROR(INDEX($A$3:$B$14312,SMALL(IF($A$3:$A$14312=DZ$3,ROW($A$3:$A$14312)),ROW(28:28)),2)),"",INDEX($A$3:$B$14312,SMALL(IF($A$3:$A$14312=DZ$3,ROW($A$3:$A$14312)),ROW(28:28)),2))</f>
        <v/>
      </c>
      <c r="EA30" t="str">
        <f t="array" ref="EA30">IF(ISERROR(INDEX($A$3:$B$14312,SMALL(IF($A$3:$A$14312=EA$3,ROW($A$3:$A$14312)),ROW(28:28)),2)),"",INDEX($A$3:$B$14312,SMALL(IF($A$3:$A$14312=EA$3,ROW($A$3:$A$14312)),ROW(28:28)),2))</f>
        <v/>
      </c>
      <c r="EB30" t="str">
        <f t="array" ref="EB30">IF(ISERROR(INDEX($A$3:$B$14312,SMALL(IF($A$3:$A$14312=EB$3,ROW($A$3:$A$14312)),ROW(28:28)),2)),"",INDEX($A$3:$B$14312,SMALL(IF($A$3:$A$14312=EB$3,ROW($A$3:$A$14312)),ROW(28:28)),2))</f>
        <v/>
      </c>
      <c r="EC30" t="str">
        <f t="array" ref="EC30">IF(ISERROR(INDEX($A$3:$B$14312,SMALL(IF($A$3:$A$14312=EC$3,ROW($A$3:$A$14312)),ROW(28:28)),2)),"",INDEX($A$3:$B$14312,SMALL(IF($A$3:$A$14312=EC$3,ROW($A$3:$A$14312)),ROW(28:28)),2))</f>
        <v>Router3_130</v>
      </c>
      <c r="ED30" t="str">
        <f t="array" ref="ED30">IF(ISERROR(INDEX($A$3:$B$14312,SMALL(IF($A$3:$A$14312=ED$3,ROW($A$3:$A$14312)),ROW(28:28)),2)),"",INDEX($A$3:$B$14312,SMALL(IF($A$3:$A$14312=ED$3,ROW($A$3:$A$14312)),ROW(28:28)),2))</f>
        <v>Router3_150</v>
      </c>
      <c r="EE30" t="str">
        <f t="array" ref="EE30">IF(ISERROR(INDEX($A$3:$B$14312,SMALL(IF($A$3:$A$14312=EE$3,ROW($A$3:$A$14312)),ROW(28:28)),2)),"",INDEX($A$3:$B$14312,SMALL(IF($A$3:$A$14312=EE$3,ROW($A$3:$A$14312)),ROW(28:28)),2))</f>
        <v/>
      </c>
    </row>
    <row r="31" spans="1:135" x14ac:dyDescent="0.25">
      <c r="A31" s="10">
        <v>-450827382</v>
      </c>
      <c r="B31" t="s">
        <v>1166</v>
      </c>
      <c r="E31" t="str">
        <f t="array" ref="E31">IF(ISERROR(INDEX($A$3:$B$14312,SMALL(IF($A$3:$A$14312=E$3,ROW($A$3:$A$14312)),ROW(29:29)),2)),"",INDEX($A$3:$B$14312,SMALL(IF($A$3:$A$14312=E$3,ROW($A$3:$A$14312)),ROW(29:29)),2))</f>
        <v/>
      </c>
      <c r="F31" t="str">
        <f t="array" ref="F31">IF(ISERROR(INDEX($A$3:$B$14312,SMALL(IF($A$3:$A$14312=F$3,ROW($A$3:$A$14312)),ROW(29:29)),2)),"",INDEX($A$3:$B$14312,SMALL(IF($A$3:$A$14312=F$3,ROW($A$3:$A$14312)),ROW(29:29)),2))</f>
        <v>Router3_109</v>
      </c>
      <c r="G31" t="str">
        <f t="array" ref="G31">IF(ISERROR(INDEX($A$3:$B$14312,SMALL(IF($A$3:$A$14312=G$3,ROW($A$3:$A$14312)),ROW(29:29)),2)),"",INDEX($A$3:$B$14312,SMALL(IF($A$3:$A$14312=G$3,ROW($A$3:$A$14312)),ROW(29:29)),2))</f>
        <v/>
      </c>
      <c r="H31" t="str">
        <f t="array" ref="H31">IF(ISERROR(INDEX($A$3:$B$14312,SMALL(IF($A$3:$A$14312=H$3,ROW($A$3:$A$14312)),ROW(29:29)),2)),"",INDEX($A$3:$B$14312,SMALL(IF($A$3:$A$14312=H$3,ROW($A$3:$A$14312)),ROW(29:29)),2))</f>
        <v/>
      </c>
      <c r="I31" t="str">
        <f t="array" ref="I31">IF(ISERROR(INDEX($A$3:$B$14312,SMALL(IF($A$3:$A$14312=I$3,ROW($A$3:$A$14312)),ROW(29:29)),2)),"",INDEX($A$3:$B$14312,SMALL(IF($A$3:$A$14312=I$3,ROW($A$3:$A$14312)),ROW(29:29)),2))</f>
        <v/>
      </c>
      <c r="J31" t="str">
        <f t="array" ref="J31">IF(ISERROR(INDEX($A$3:$B$14312,SMALL(IF($A$3:$A$14312=J$3,ROW($A$3:$A$14312)),ROW(29:29)),2)),"",INDEX($A$3:$B$14312,SMALL(IF($A$3:$A$14312=J$3,ROW($A$3:$A$14312)),ROW(29:29)),2))</f>
        <v>Router3_159</v>
      </c>
      <c r="K31" t="str">
        <f t="array" ref="K31">IF(ISERROR(INDEX($A$3:$B$14312,SMALL(IF($A$3:$A$14312=K$3,ROW($A$3:$A$14312)),ROW(29:29)),2)),"",INDEX($A$3:$B$14312,SMALL(IF($A$3:$A$14312=K$3,ROW($A$3:$A$14312)),ROW(29:29)),2))</f>
        <v/>
      </c>
      <c r="L31" t="str">
        <f t="array" ref="L31">IF(ISERROR(INDEX($A$3:$B$14312,SMALL(IF($A$3:$A$14312=L$3,ROW($A$3:$A$14312)),ROW(29:29)),2)),"",INDEX($A$3:$B$14312,SMALL(IF($A$3:$A$14312=L$3,ROW($A$3:$A$14312)),ROW(29:29)),2))</f>
        <v/>
      </c>
      <c r="M31" t="str">
        <f t="array" ref="M31">IF(ISERROR(INDEX($A$3:$B$14312,SMALL(IF($A$3:$A$14312=M$3,ROW($A$3:$A$14312)),ROW(29:29)),2)),"",INDEX($A$3:$B$14312,SMALL(IF($A$3:$A$14312=M$3,ROW($A$3:$A$14312)),ROW(29:29)),2))</f>
        <v/>
      </c>
      <c r="N31" t="str">
        <f t="array" ref="N31">IF(ISERROR(INDEX($A$3:$B$14312,SMALL(IF($A$3:$A$14312=N$3,ROW($A$3:$A$14312)),ROW(29:29)),2)),"",INDEX($A$3:$B$14312,SMALL(IF($A$3:$A$14312=N$3,ROW($A$3:$A$14312)),ROW(29:29)),2))</f>
        <v/>
      </c>
      <c r="O31" t="str">
        <f t="array" ref="O31">IF(ISERROR(INDEX($A$3:$B$14312,SMALL(IF($A$3:$A$14312=O$3,ROW($A$3:$A$14312)),ROW(29:29)),2)),"",INDEX($A$3:$B$14312,SMALL(IF($A$3:$A$14312=O$3,ROW($A$3:$A$14312)),ROW(29:29)),2))</f>
        <v/>
      </c>
      <c r="P31" t="str">
        <f t="array" ref="P31">IF(ISERROR(INDEX($A$3:$B$14312,SMALL(IF($A$3:$A$14312=P$3,ROW($A$3:$A$14312)),ROW(29:29)),2)),"",INDEX($A$3:$B$14312,SMALL(IF($A$3:$A$14312=P$3,ROW($A$3:$A$14312)),ROW(29:29)),2))</f>
        <v/>
      </c>
      <c r="Q31" t="str">
        <f t="array" ref="Q31">IF(ISERROR(INDEX($A$3:$B$14312,SMALL(IF($A$3:$A$14312=Q$3,ROW($A$3:$A$14312)),ROW(29:29)),2)),"",INDEX($A$3:$B$14312,SMALL(IF($A$3:$A$14312=Q$3,ROW($A$3:$A$14312)),ROW(29:29)),2))</f>
        <v/>
      </c>
      <c r="R31" t="str">
        <f t="array" ref="R31">IF(ISERROR(INDEX($A$3:$B$14312,SMALL(IF($A$3:$A$14312=R$3,ROW($A$3:$A$14312)),ROW(29:29)),2)),"",INDEX($A$3:$B$14312,SMALL(IF($A$3:$A$14312=R$3,ROW($A$3:$A$14312)),ROW(29:29)),2))</f>
        <v/>
      </c>
      <c r="S31" t="str">
        <f t="array" ref="S31">IF(ISERROR(INDEX($A$3:$B$14312,SMALL(IF($A$3:$A$14312=S$3,ROW($A$3:$A$14312)),ROW(29:29)),2)),"",INDEX($A$3:$B$14312,SMALL(IF($A$3:$A$14312=S$3,ROW($A$3:$A$14312)),ROW(29:29)),2))</f>
        <v/>
      </c>
      <c r="T31" t="str">
        <f t="array" ref="T31">IF(ISERROR(INDEX($A$3:$B$14312,SMALL(IF($A$3:$A$14312=T$3,ROW($A$3:$A$14312)),ROW(29:29)),2)),"",INDEX($A$3:$B$14312,SMALL(IF($A$3:$A$14312=T$3,ROW($A$3:$A$14312)),ROW(29:29)),2))</f>
        <v/>
      </c>
      <c r="U31" t="str">
        <f t="array" ref="U31">IF(ISERROR(INDEX($A$3:$B$14312,SMALL(IF($A$3:$A$14312=U$3,ROW($A$3:$A$14312)),ROW(29:29)),2)),"",INDEX($A$3:$B$14312,SMALL(IF($A$3:$A$14312=U$3,ROW($A$3:$A$14312)),ROW(29:29)),2))</f>
        <v/>
      </c>
      <c r="V31" t="str">
        <f t="array" ref="V31">IF(ISERROR(INDEX($A$3:$B$14312,SMALL(IF($A$3:$A$14312=V$3,ROW($A$3:$A$14312)),ROW(29:29)),2)),"",INDEX($A$3:$B$14312,SMALL(IF($A$3:$A$14312=V$3,ROW($A$3:$A$14312)),ROW(29:29)),2))</f>
        <v/>
      </c>
      <c r="W31" t="str">
        <f t="array" ref="W31">IF(ISERROR(INDEX($A$3:$B$14312,SMALL(IF($A$3:$A$14312=W$3,ROW($A$3:$A$14312)),ROW(29:29)),2)),"",INDEX($A$3:$B$14312,SMALL(IF($A$3:$A$14312=W$3,ROW($A$3:$A$14312)),ROW(29:29)),2))</f>
        <v>Router3_141</v>
      </c>
      <c r="X31" t="str">
        <f t="array" ref="X31">IF(ISERROR(INDEX($A$3:$B$14312,SMALL(IF($A$3:$A$14312=X$3,ROW($A$3:$A$14312)),ROW(29:29)),2)),"",INDEX($A$3:$B$14312,SMALL(IF($A$3:$A$14312=X$3,ROW($A$3:$A$14312)),ROW(29:29)),2))</f>
        <v/>
      </c>
      <c r="Y31" t="str">
        <f t="array" ref="Y31">IF(ISERROR(INDEX($A$3:$B$14312,SMALL(IF($A$3:$A$14312=Y$3,ROW($A$3:$A$14312)),ROW(29:29)),2)),"",INDEX($A$3:$B$14312,SMALL(IF($A$3:$A$14312=Y$3,ROW($A$3:$A$14312)),ROW(29:29)),2))</f>
        <v/>
      </c>
      <c r="Z31" t="str">
        <f t="array" ref="Z31">IF(ISERROR(INDEX($A$3:$B$14312,SMALL(IF($A$3:$A$14312=Z$3,ROW($A$3:$A$14312)),ROW(29:29)),2)),"",INDEX($A$3:$B$14312,SMALL(IF($A$3:$A$14312=Z$3,ROW($A$3:$A$14312)),ROW(29:29)),2))</f>
        <v/>
      </c>
      <c r="AA31" t="str">
        <f t="array" ref="AA31">IF(ISERROR(INDEX($A$3:$B$14312,SMALL(IF($A$3:$A$14312=AA$3,ROW($A$3:$A$14312)),ROW(29:29)),2)),"",INDEX($A$3:$B$14312,SMALL(IF($A$3:$A$14312=AA$3,ROW($A$3:$A$14312)),ROW(29:29)),2))</f>
        <v/>
      </c>
      <c r="AB31" t="str">
        <f t="array" ref="AB31">IF(ISERROR(INDEX($A$3:$B$14312,SMALL(IF($A$3:$A$14312=AB$3,ROW($A$3:$A$14312)),ROW(29:29)),2)),"",INDEX($A$3:$B$14312,SMALL(IF($A$3:$A$14312=AB$3,ROW($A$3:$A$14312)),ROW(29:29)),2))</f>
        <v/>
      </c>
      <c r="AC31" t="str">
        <f t="array" ref="AC31">IF(ISERROR(INDEX($A$3:$B$14312,SMALL(IF($A$3:$A$14312=AC$3,ROW($A$3:$A$14312)),ROW(29:29)),2)),"",INDEX($A$3:$B$14312,SMALL(IF($A$3:$A$14312=AC$3,ROW($A$3:$A$14312)),ROW(29:29)),2))</f>
        <v/>
      </c>
      <c r="AD31" t="str">
        <f t="array" ref="AD31">IF(ISERROR(INDEX($A$3:$B$14312,SMALL(IF($A$3:$A$14312=AD$3,ROW($A$3:$A$14312)),ROW(29:29)),2)),"",INDEX($A$3:$B$14312,SMALL(IF($A$3:$A$14312=AD$3,ROW($A$3:$A$14312)),ROW(29:29)),2))</f>
        <v/>
      </c>
      <c r="AE31" t="str">
        <f t="array" ref="AE31">IF(ISERROR(INDEX($A$3:$B$14312,SMALL(IF($A$3:$A$14312=AE$3,ROW($A$3:$A$14312)),ROW(29:29)),2)),"",INDEX($A$3:$B$14312,SMALL(IF($A$3:$A$14312=AE$3,ROW($A$3:$A$14312)),ROW(29:29)),2))</f>
        <v/>
      </c>
      <c r="AF31" t="str">
        <f t="array" ref="AF31">IF(ISERROR(INDEX($A$3:$B$14312,SMALL(IF($A$3:$A$14312=AF$3,ROW($A$3:$A$14312)),ROW(29:29)),2)),"",INDEX($A$3:$B$14312,SMALL(IF($A$3:$A$14312=AF$3,ROW($A$3:$A$14312)),ROW(29:29)),2))</f>
        <v/>
      </c>
      <c r="AG31" t="str">
        <f t="array" ref="AG31">IF(ISERROR(INDEX($A$3:$B$14312,SMALL(IF($A$3:$A$14312=AG$3,ROW($A$3:$A$14312)),ROW(29:29)),2)),"",INDEX($A$3:$B$14312,SMALL(IF($A$3:$A$14312=AG$3,ROW($A$3:$A$14312)),ROW(29:29)),2))</f>
        <v/>
      </c>
      <c r="AH31" t="str">
        <f t="array" ref="AH31">IF(ISERROR(INDEX($A$3:$B$14312,SMALL(IF($A$3:$A$14312=AH$3,ROW($A$3:$A$14312)),ROW(29:29)),2)),"",INDEX($A$3:$B$14312,SMALL(IF($A$3:$A$14312=AH$3,ROW($A$3:$A$14312)),ROW(29:29)),2))</f>
        <v/>
      </c>
      <c r="AI31" t="str">
        <f t="array" ref="AI31">IF(ISERROR(INDEX($A$3:$B$14312,SMALL(IF($A$3:$A$14312=AI$3,ROW($A$3:$A$14312)),ROW(29:29)),2)),"",INDEX($A$3:$B$14312,SMALL(IF($A$3:$A$14312=AI$3,ROW($A$3:$A$14312)),ROW(29:29)),2))</f>
        <v/>
      </c>
      <c r="AJ31" t="str">
        <f t="array" ref="AJ31">IF(ISERROR(INDEX($A$3:$B$14312,SMALL(IF($A$3:$A$14312=AJ$3,ROW($A$3:$A$14312)),ROW(29:29)),2)),"",INDEX($A$3:$B$14312,SMALL(IF($A$3:$A$14312=AJ$3,ROW($A$3:$A$14312)),ROW(29:29)),2))</f>
        <v/>
      </c>
      <c r="AK31" t="str">
        <f t="array" ref="AK31">IF(ISERROR(INDEX($A$3:$B$14312,SMALL(IF($A$3:$A$14312=AK$3,ROW($A$3:$A$14312)),ROW(29:29)),2)),"",INDEX($A$3:$B$14312,SMALL(IF($A$3:$A$14312=AK$3,ROW($A$3:$A$14312)),ROW(29:29)),2))</f>
        <v/>
      </c>
      <c r="AL31" t="str">
        <f t="array" ref="AL31">IF(ISERROR(INDEX($A$3:$B$14312,SMALL(IF($A$3:$A$14312=AL$3,ROW($A$3:$A$14312)),ROW(29:29)),2)),"",INDEX($A$3:$B$14312,SMALL(IF($A$3:$A$14312=AL$3,ROW($A$3:$A$14312)),ROW(29:29)),2))</f>
        <v/>
      </c>
      <c r="AM31" t="str">
        <f t="array" ref="AM31">IF(ISERROR(INDEX($A$3:$B$14312,SMALL(IF($A$3:$A$14312=AM$3,ROW($A$3:$A$14312)),ROW(29:29)),2)),"",INDEX($A$3:$B$14312,SMALL(IF($A$3:$A$14312=AM$3,ROW($A$3:$A$14312)),ROW(29:29)),2))</f>
        <v>Router3_149</v>
      </c>
      <c r="AN31" t="str">
        <f t="array" ref="AN31">IF(ISERROR(INDEX($A$3:$B$14312,SMALL(IF($A$3:$A$14312=AN$3,ROW($A$3:$A$14312)),ROW(29:29)),2)),"",INDEX($A$3:$B$14312,SMALL(IF($A$3:$A$14312=AN$3,ROW($A$3:$A$14312)),ROW(29:29)),2))</f>
        <v/>
      </c>
      <c r="AO31" t="str">
        <f t="array" ref="AO31">IF(ISERROR(INDEX($A$3:$B$14312,SMALL(IF($A$3:$A$14312=AO$3,ROW($A$3:$A$14312)),ROW(29:29)),2)),"",INDEX($A$3:$B$14312,SMALL(IF($A$3:$A$14312=AO$3,ROW($A$3:$A$14312)),ROW(29:29)),2))</f>
        <v/>
      </c>
      <c r="AP31" t="str">
        <f t="array" ref="AP31">IF(ISERROR(INDEX($A$3:$B$14312,SMALL(IF($A$3:$A$14312=AP$3,ROW($A$3:$A$14312)),ROW(29:29)),2)),"",INDEX($A$3:$B$14312,SMALL(IF($A$3:$A$14312=AP$3,ROW($A$3:$A$14312)),ROW(29:29)),2))</f>
        <v/>
      </c>
      <c r="AQ31" t="str">
        <f t="array" ref="AQ31">IF(ISERROR(INDEX($A$3:$B$14312,SMALL(IF($A$3:$A$14312=AQ$3,ROW($A$3:$A$14312)),ROW(29:29)),2)),"",INDEX($A$3:$B$14312,SMALL(IF($A$3:$A$14312=AQ$3,ROW($A$3:$A$14312)),ROW(29:29)),2))</f>
        <v/>
      </c>
      <c r="AR31" t="str">
        <f t="array" ref="AR31">IF(ISERROR(INDEX($A$3:$B$14312,SMALL(IF($A$3:$A$14312=AR$3,ROW($A$3:$A$14312)),ROW(29:29)),2)),"",INDEX($A$3:$B$14312,SMALL(IF($A$3:$A$14312=AR$3,ROW($A$3:$A$14312)),ROW(29:29)),2))</f>
        <v/>
      </c>
      <c r="AS31" t="str">
        <f t="array" ref="AS31">IF(ISERROR(INDEX($A$3:$B$14312,SMALL(IF($A$3:$A$14312=AS$3,ROW($A$3:$A$14312)),ROW(29:29)),2)),"",INDEX($A$3:$B$14312,SMALL(IF($A$3:$A$14312=AS$3,ROW($A$3:$A$14312)),ROW(29:29)),2))</f>
        <v>Router3_136</v>
      </c>
      <c r="AT31" t="str">
        <f t="array" ref="AT31">IF(ISERROR(INDEX($A$3:$B$14312,SMALL(IF($A$3:$A$14312=AT$3,ROW($A$3:$A$14312)),ROW(29:29)),2)),"",INDEX($A$3:$B$14312,SMALL(IF($A$3:$A$14312=AT$3,ROW($A$3:$A$14312)),ROW(29:29)),2))</f>
        <v/>
      </c>
      <c r="AU31" t="str">
        <f t="array" ref="AU31">IF(ISERROR(INDEX($A$3:$B$14312,SMALL(IF($A$3:$A$14312=AU$3,ROW($A$3:$A$14312)),ROW(29:29)),2)),"",INDEX($A$3:$B$14312,SMALL(IF($A$3:$A$14312=AU$3,ROW($A$3:$A$14312)),ROW(29:29)),2))</f>
        <v/>
      </c>
      <c r="AV31" t="str">
        <f t="array" ref="AV31">IF(ISERROR(INDEX($A$3:$B$14312,SMALL(IF($A$3:$A$14312=AV$3,ROW($A$3:$A$14312)),ROW(29:29)),2)),"",INDEX($A$3:$B$14312,SMALL(IF($A$3:$A$14312=AV$3,ROW($A$3:$A$14312)),ROW(29:29)),2))</f>
        <v/>
      </c>
      <c r="AW31" t="str">
        <f t="array" ref="AW31">IF(ISERROR(INDEX($A$3:$B$14312,SMALL(IF($A$3:$A$14312=AW$3,ROW($A$3:$A$14312)),ROW(29:29)),2)),"",INDEX($A$3:$B$14312,SMALL(IF($A$3:$A$14312=AW$3,ROW($A$3:$A$14312)),ROW(29:29)),2))</f>
        <v/>
      </c>
      <c r="AX31" t="str">
        <f t="array" ref="AX31">IF(ISERROR(INDEX($A$3:$B$14312,SMALL(IF($A$3:$A$14312=AX$3,ROW($A$3:$A$14312)),ROW(29:29)),2)),"",INDEX($A$3:$B$14312,SMALL(IF($A$3:$A$14312=AX$3,ROW($A$3:$A$14312)),ROW(29:29)),2))</f>
        <v/>
      </c>
      <c r="AY31" t="str">
        <f t="array" ref="AY31">IF(ISERROR(INDEX($A$3:$B$14312,SMALL(IF($A$3:$A$14312=AY$3,ROW($A$3:$A$14312)),ROW(29:29)),2)),"",INDEX($A$3:$B$14312,SMALL(IF($A$3:$A$14312=AY$3,ROW($A$3:$A$14312)),ROW(29:29)),2))</f>
        <v>Router3_151</v>
      </c>
      <c r="AZ31" t="str">
        <f t="array" ref="AZ31">IF(ISERROR(INDEX($A$3:$B$14312,SMALL(IF($A$3:$A$14312=AZ$3,ROW($A$3:$A$14312)),ROW(29:29)),2)),"",INDEX($A$3:$B$14312,SMALL(IF($A$3:$A$14312=AZ$3,ROW($A$3:$A$14312)),ROW(29:29)),2))</f>
        <v/>
      </c>
      <c r="BA31" t="str">
        <f t="array" ref="BA31">IF(ISERROR(INDEX($A$3:$B$14312,SMALL(IF($A$3:$A$14312=BA$3,ROW($A$3:$A$14312)),ROW(29:29)),2)),"",INDEX($A$3:$B$14312,SMALL(IF($A$3:$A$14312=BA$3,ROW($A$3:$A$14312)),ROW(29:29)),2))</f>
        <v/>
      </c>
      <c r="BB31" t="str">
        <f t="array" ref="BB31">IF(ISERROR(INDEX($A$3:$B$14312,SMALL(IF($A$3:$A$14312=BB$3,ROW($A$3:$A$14312)),ROW(29:29)),2)),"",INDEX($A$3:$B$14312,SMALL(IF($A$3:$A$14312=BB$3,ROW($A$3:$A$14312)),ROW(29:29)),2))</f>
        <v/>
      </c>
      <c r="BC31" t="str">
        <f t="array" ref="BC31">IF(ISERROR(INDEX($A$3:$B$14312,SMALL(IF($A$3:$A$14312=BC$3,ROW($A$3:$A$14312)),ROW(29:29)),2)),"",INDEX($A$3:$B$14312,SMALL(IF($A$3:$A$14312=BC$3,ROW($A$3:$A$14312)),ROW(29:29)),2))</f>
        <v/>
      </c>
      <c r="BD31" t="str">
        <f t="array" ref="BD31">IF(ISERROR(INDEX($A$3:$B$14312,SMALL(IF($A$3:$A$14312=BD$3,ROW($A$3:$A$14312)),ROW(29:29)),2)),"",INDEX($A$3:$B$14312,SMALL(IF($A$3:$A$14312=BD$3,ROW($A$3:$A$14312)),ROW(29:29)),2))</f>
        <v/>
      </c>
      <c r="BE31" t="str">
        <f t="array" ref="BE31">IF(ISERROR(INDEX($A$3:$B$14312,SMALL(IF($A$3:$A$14312=BE$3,ROW($A$3:$A$14312)),ROW(29:29)),2)),"",INDEX($A$3:$B$14312,SMALL(IF($A$3:$A$14312=BE$3,ROW($A$3:$A$14312)),ROW(29:29)),2))</f>
        <v/>
      </c>
      <c r="BF31" t="str">
        <f t="array" ref="BF31">IF(ISERROR(INDEX($A$3:$B$14312,SMALL(IF($A$3:$A$14312=BF$3,ROW($A$3:$A$14312)),ROW(29:29)),2)),"",INDEX($A$3:$B$14312,SMALL(IF($A$3:$A$14312=BF$3,ROW($A$3:$A$14312)),ROW(29:29)),2))</f>
        <v/>
      </c>
      <c r="BG31" t="str">
        <f t="array" ref="BG31">IF(ISERROR(INDEX($A$3:$B$14312,SMALL(IF($A$3:$A$14312=BG$3,ROW($A$3:$A$14312)),ROW(29:29)),2)),"",INDEX($A$3:$B$14312,SMALL(IF($A$3:$A$14312=BG$3,ROW($A$3:$A$14312)),ROW(29:29)),2))</f>
        <v/>
      </c>
      <c r="BH31" t="str">
        <f t="array" ref="BH31">IF(ISERROR(INDEX($A$3:$B$14312,SMALL(IF($A$3:$A$14312=BH$3,ROW($A$3:$A$14312)),ROW(29:29)),2)),"",INDEX($A$3:$B$14312,SMALL(IF($A$3:$A$14312=BH$3,ROW($A$3:$A$14312)),ROW(29:29)),2))</f>
        <v/>
      </c>
      <c r="BI31" t="str">
        <f t="array" ref="BI31">IF(ISERROR(INDEX($A$3:$B$14312,SMALL(IF($A$3:$A$14312=BI$3,ROW($A$3:$A$14312)),ROW(29:29)),2)),"",INDEX($A$3:$B$14312,SMALL(IF($A$3:$A$14312=BI$3,ROW($A$3:$A$14312)),ROW(29:29)),2))</f>
        <v/>
      </c>
      <c r="BJ31" t="str">
        <f t="array" ref="BJ31">IF(ISERROR(INDEX($A$3:$B$14312,SMALL(IF($A$3:$A$14312=BJ$3,ROW($A$3:$A$14312)),ROW(29:29)),2)),"",INDEX($A$3:$B$14312,SMALL(IF($A$3:$A$14312=BJ$3,ROW($A$3:$A$14312)),ROW(29:29)),2))</f>
        <v/>
      </c>
      <c r="BK31" t="str">
        <f t="array" ref="BK31">IF(ISERROR(INDEX($A$3:$B$14312,SMALL(IF($A$3:$A$14312=BK$3,ROW($A$3:$A$14312)),ROW(29:29)),2)),"",INDEX($A$3:$B$14312,SMALL(IF($A$3:$A$14312=BK$3,ROW($A$3:$A$14312)),ROW(29:29)),2))</f>
        <v/>
      </c>
      <c r="BL31" t="str">
        <f t="array" ref="BL31">IF(ISERROR(INDEX($A$3:$B$14312,SMALL(IF($A$3:$A$14312=BL$3,ROW($A$3:$A$14312)),ROW(29:29)),2)),"",INDEX($A$3:$B$14312,SMALL(IF($A$3:$A$14312=BL$3,ROW($A$3:$A$14312)),ROW(29:29)),2))</f>
        <v/>
      </c>
      <c r="BM31" t="str">
        <f t="array" ref="BM31">IF(ISERROR(INDEX($A$3:$B$14312,SMALL(IF($A$3:$A$14312=BM$3,ROW($A$3:$A$14312)),ROW(29:29)),2)),"",INDEX($A$3:$B$14312,SMALL(IF($A$3:$A$14312=BM$3,ROW($A$3:$A$14312)),ROW(29:29)),2))</f>
        <v/>
      </c>
      <c r="BN31" t="str">
        <f t="array" ref="BN31">IF(ISERROR(INDEX($A$3:$B$14312,SMALL(IF($A$3:$A$14312=BN$3,ROW($A$3:$A$14312)),ROW(29:29)),2)),"",INDEX($A$3:$B$14312,SMALL(IF($A$3:$A$14312=BN$3,ROW($A$3:$A$14312)),ROW(29:29)),2))</f>
        <v/>
      </c>
      <c r="BO31" t="str">
        <f t="array" ref="BO31">IF(ISERROR(INDEX($A$3:$B$14312,SMALL(IF($A$3:$A$14312=BO$3,ROW($A$3:$A$14312)),ROW(29:29)),2)),"",INDEX($A$3:$B$14312,SMALL(IF($A$3:$A$14312=BO$3,ROW($A$3:$A$14312)),ROW(29:29)),2))</f>
        <v/>
      </c>
      <c r="BP31" t="str">
        <f t="array" ref="BP31">IF(ISERROR(INDEX($A$3:$B$14312,SMALL(IF($A$3:$A$14312=BP$3,ROW($A$3:$A$14312)),ROW(29:29)),2)),"",INDEX($A$3:$B$14312,SMALL(IF($A$3:$A$14312=BP$3,ROW($A$3:$A$14312)),ROW(29:29)),2))</f>
        <v/>
      </c>
      <c r="BQ31" t="str">
        <f t="array" ref="BQ31">IF(ISERROR(INDEX($A$3:$B$14312,SMALL(IF($A$3:$A$14312=BQ$3,ROW($A$3:$A$14312)),ROW(29:29)),2)),"",INDEX($A$3:$B$14312,SMALL(IF($A$3:$A$14312=BQ$3,ROW($A$3:$A$14312)),ROW(29:29)),2))</f>
        <v/>
      </c>
      <c r="BR31" t="str">
        <f t="array" ref="BR31">IF(ISERROR(INDEX($A$3:$B$14312,SMALL(IF($A$3:$A$14312=BR$3,ROW($A$3:$A$14312)),ROW(29:29)),2)),"",INDEX($A$3:$B$14312,SMALL(IF($A$3:$A$14312=BR$3,ROW($A$3:$A$14312)),ROW(29:29)),2))</f>
        <v/>
      </c>
      <c r="BS31" t="str">
        <f t="array" ref="BS31">IF(ISERROR(INDEX($A$3:$B$14312,SMALL(IF($A$3:$A$14312=BS$3,ROW($A$3:$A$14312)),ROW(29:29)),2)),"",INDEX($A$3:$B$14312,SMALL(IF($A$3:$A$14312=BS$3,ROW($A$3:$A$14312)),ROW(29:29)),2))</f>
        <v/>
      </c>
      <c r="BT31" t="str">
        <f t="array" ref="BT31">IF(ISERROR(INDEX($A$3:$B$14312,SMALL(IF($A$3:$A$14312=BT$3,ROW($A$3:$A$14312)),ROW(29:29)),2)),"",INDEX($A$3:$B$14312,SMALL(IF($A$3:$A$14312=BT$3,ROW($A$3:$A$14312)),ROW(29:29)),2))</f>
        <v>Router3_116</v>
      </c>
      <c r="BU31" t="str">
        <f t="array" ref="BU31">IF(ISERROR(INDEX($A$3:$B$14312,SMALL(IF($A$3:$A$14312=BU$3,ROW($A$3:$A$14312)),ROW(29:29)),2)),"",INDEX($A$3:$B$14312,SMALL(IF($A$3:$A$14312=BU$3,ROW($A$3:$A$14312)),ROW(29:29)),2))</f>
        <v/>
      </c>
      <c r="BV31" t="str">
        <f t="array" ref="BV31">IF(ISERROR(INDEX($A$3:$B$14312,SMALL(IF($A$3:$A$14312=BV$3,ROW($A$3:$A$14312)),ROW(29:29)),2)),"",INDEX($A$3:$B$14312,SMALL(IF($A$3:$A$14312=BV$3,ROW($A$3:$A$14312)),ROW(29:29)),2))</f>
        <v/>
      </c>
      <c r="BW31" t="str">
        <f t="array" ref="BW31">IF(ISERROR(INDEX($A$3:$B$14312,SMALL(IF($A$3:$A$14312=BW$3,ROW($A$3:$A$14312)),ROW(29:29)),2)),"",INDEX($A$3:$B$14312,SMALL(IF($A$3:$A$14312=BW$3,ROW($A$3:$A$14312)),ROW(29:29)),2))</f>
        <v/>
      </c>
      <c r="BX31" t="str">
        <f t="array" ref="BX31">IF(ISERROR(INDEX($A$3:$B$14312,SMALL(IF($A$3:$A$14312=BX$3,ROW($A$3:$A$14312)),ROW(29:29)),2)),"",INDEX($A$3:$B$14312,SMALL(IF($A$3:$A$14312=BX$3,ROW($A$3:$A$14312)),ROW(29:29)),2))</f>
        <v/>
      </c>
      <c r="BY31" t="str">
        <f t="array" ref="BY31">IF(ISERROR(INDEX($A$3:$B$14312,SMALL(IF($A$3:$A$14312=BY$3,ROW($A$3:$A$14312)),ROW(29:29)),2)),"",INDEX($A$3:$B$14312,SMALL(IF($A$3:$A$14312=BY$3,ROW($A$3:$A$14312)),ROW(29:29)),2))</f>
        <v>Router3_136</v>
      </c>
      <c r="BZ31" t="str">
        <f t="array" ref="BZ31">IF(ISERROR(INDEX($A$3:$B$14312,SMALL(IF($A$3:$A$14312=BZ$3,ROW($A$3:$A$14312)),ROW(29:29)),2)),"",INDEX($A$3:$B$14312,SMALL(IF($A$3:$A$14312=BZ$3,ROW($A$3:$A$14312)),ROW(29:29)),2))</f>
        <v>Router3_136</v>
      </c>
      <c r="CA31" t="str">
        <f t="array" ref="CA31">IF(ISERROR(INDEX($A$3:$B$14312,SMALL(IF($A$3:$A$14312=CA$3,ROW($A$3:$A$14312)),ROW(29:29)),2)),"",INDEX($A$3:$B$14312,SMALL(IF($A$3:$A$14312=CA$3,ROW($A$3:$A$14312)),ROW(29:29)),2))</f>
        <v/>
      </c>
      <c r="CB31" t="str">
        <f t="array" ref="CB31">IF(ISERROR(INDEX($A$3:$B$14312,SMALL(IF($A$3:$A$14312=CB$3,ROW($A$3:$A$14312)),ROW(29:29)),2)),"",INDEX($A$3:$B$14312,SMALL(IF($A$3:$A$14312=CB$3,ROW($A$3:$A$14312)),ROW(29:29)),2))</f>
        <v/>
      </c>
      <c r="CC31" t="str">
        <f t="array" ref="CC31">IF(ISERROR(INDEX($A$3:$B$14312,SMALL(IF($A$3:$A$14312=CC$3,ROW($A$3:$A$14312)),ROW(29:29)),2)),"",INDEX($A$3:$B$14312,SMALL(IF($A$3:$A$14312=CC$3,ROW($A$3:$A$14312)),ROW(29:29)),2))</f>
        <v/>
      </c>
      <c r="CD31" t="str">
        <f t="array" ref="CD31">IF(ISERROR(INDEX($A$3:$B$14312,SMALL(IF($A$3:$A$14312=CD$3,ROW($A$3:$A$14312)),ROW(29:29)),2)),"",INDEX($A$3:$B$14312,SMALL(IF($A$3:$A$14312=CD$3,ROW($A$3:$A$14312)),ROW(29:29)),2))</f>
        <v/>
      </c>
      <c r="CE31" t="str">
        <f t="array" ref="CE31">IF(ISERROR(INDEX($A$3:$B$14312,SMALL(IF($A$3:$A$14312=CE$3,ROW($A$3:$A$14312)),ROW(29:29)),2)),"",INDEX($A$3:$B$14312,SMALL(IF($A$3:$A$14312=CE$3,ROW($A$3:$A$14312)),ROW(29:29)),2))</f>
        <v/>
      </c>
      <c r="CF31" t="str">
        <f t="array" ref="CF31">IF(ISERROR(INDEX($A$3:$B$14312,SMALL(IF($A$3:$A$14312=CF$3,ROW($A$3:$A$14312)),ROW(29:29)),2)),"",INDEX($A$3:$B$14312,SMALL(IF($A$3:$A$14312=CF$3,ROW($A$3:$A$14312)),ROW(29:29)),2))</f>
        <v/>
      </c>
      <c r="CG31" t="str">
        <f t="array" ref="CG31">IF(ISERROR(INDEX($A$3:$B$14312,SMALL(IF($A$3:$A$14312=CG$3,ROW($A$3:$A$14312)),ROW(29:29)),2)),"",INDEX($A$3:$B$14312,SMALL(IF($A$3:$A$14312=CG$3,ROW($A$3:$A$14312)),ROW(29:29)),2))</f>
        <v/>
      </c>
      <c r="CH31" t="str">
        <f t="array" ref="CH31">IF(ISERROR(INDEX($A$3:$B$14312,SMALL(IF($A$3:$A$14312=CH$3,ROW($A$3:$A$14312)),ROW(29:29)),2)),"",INDEX($A$3:$B$14312,SMALL(IF($A$3:$A$14312=CH$3,ROW($A$3:$A$14312)),ROW(29:29)),2))</f>
        <v/>
      </c>
      <c r="CI31" t="str">
        <f t="array" ref="CI31">IF(ISERROR(INDEX($A$3:$B$14312,SMALL(IF($A$3:$A$14312=CI$3,ROW($A$3:$A$14312)),ROW(29:29)),2)),"",INDEX($A$3:$B$14312,SMALL(IF($A$3:$A$14312=CI$3,ROW($A$3:$A$14312)),ROW(29:29)),2))</f>
        <v/>
      </c>
      <c r="CJ31" t="str">
        <f t="array" ref="CJ31">IF(ISERROR(INDEX($A$3:$B$14312,SMALL(IF($A$3:$A$14312=CJ$3,ROW($A$3:$A$14312)),ROW(29:29)),2)),"",INDEX($A$3:$B$14312,SMALL(IF($A$3:$A$14312=CJ$3,ROW($A$3:$A$14312)),ROW(29:29)),2))</f>
        <v/>
      </c>
      <c r="CK31" t="str">
        <f t="array" ref="CK31">IF(ISERROR(INDEX($A$3:$B$14312,SMALL(IF($A$3:$A$14312=CK$3,ROW($A$3:$A$14312)),ROW(29:29)),2)),"",INDEX($A$3:$B$14312,SMALL(IF($A$3:$A$14312=CK$3,ROW($A$3:$A$14312)),ROW(29:29)),2))</f>
        <v/>
      </c>
      <c r="CL31" t="str">
        <f t="array" ref="CL31">IF(ISERROR(INDEX($A$3:$B$14312,SMALL(IF($A$3:$A$14312=CL$3,ROW($A$3:$A$14312)),ROW(29:29)),2)),"",INDEX($A$3:$B$14312,SMALL(IF($A$3:$A$14312=CL$3,ROW($A$3:$A$14312)),ROW(29:29)),2))</f>
        <v/>
      </c>
      <c r="CM31" t="str">
        <f t="array" ref="CM31">IF(ISERROR(INDEX($A$3:$B$14312,SMALL(IF($A$3:$A$14312=CM$3,ROW($A$3:$A$14312)),ROW(29:29)),2)),"",INDEX($A$3:$B$14312,SMALL(IF($A$3:$A$14312=CM$3,ROW($A$3:$A$14312)),ROW(29:29)),2))</f>
        <v/>
      </c>
      <c r="CN31" t="str">
        <f t="array" ref="CN31">IF(ISERROR(INDEX($A$3:$B$14312,SMALL(IF($A$3:$A$14312=CN$3,ROW($A$3:$A$14312)),ROW(29:29)),2)),"",INDEX($A$3:$B$14312,SMALL(IF($A$3:$A$14312=CN$3,ROW($A$3:$A$14312)),ROW(29:29)),2))</f>
        <v/>
      </c>
      <c r="CO31" t="str">
        <f t="array" ref="CO31">IF(ISERROR(INDEX($A$3:$B$14312,SMALL(IF($A$3:$A$14312=CO$3,ROW($A$3:$A$14312)),ROW(29:29)),2)),"",INDEX($A$3:$B$14312,SMALL(IF($A$3:$A$14312=CO$3,ROW($A$3:$A$14312)),ROW(29:29)),2))</f>
        <v>Router3_144</v>
      </c>
      <c r="CP31" t="str">
        <f t="array" ref="CP31">IF(ISERROR(INDEX($A$3:$B$14312,SMALL(IF($A$3:$A$14312=CP$3,ROW($A$3:$A$14312)),ROW(29:29)),2)),"",INDEX($A$3:$B$14312,SMALL(IF($A$3:$A$14312=CP$3,ROW($A$3:$A$14312)),ROW(29:29)),2))</f>
        <v/>
      </c>
      <c r="CQ31" t="str">
        <f t="array" ref="CQ31">IF(ISERROR(INDEX($A$3:$B$14312,SMALL(IF($A$3:$A$14312=CQ$3,ROW($A$3:$A$14312)),ROW(29:29)),2)),"",INDEX($A$3:$B$14312,SMALL(IF($A$3:$A$14312=CQ$3,ROW($A$3:$A$14312)),ROW(29:29)),2))</f>
        <v/>
      </c>
      <c r="CR31" t="str">
        <f t="array" ref="CR31">IF(ISERROR(INDEX($A$3:$B$14312,SMALL(IF($A$3:$A$14312=CR$3,ROW($A$3:$A$14312)),ROW(29:29)),2)),"",INDEX($A$3:$B$14312,SMALL(IF($A$3:$A$14312=CR$3,ROW($A$3:$A$14312)),ROW(29:29)),2))</f>
        <v/>
      </c>
      <c r="CS31" t="str">
        <f t="array" ref="CS31">IF(ISERROR(INDEX($A$3:$B$14312,SMALL(IF($A$3:$A$14312=CS$3,ROW($A$3:$A$14312)),ROW(29:29)),2)),"",INDEX($A$3:$B$14312,SMALL(IF($A$3:$A$14312=CS$3,ROW($A$3:$A$14312)),ROW(29:29)),2))</f>
        <v/>
      </c>
      <c r="CT31" t="str">
        <f t="array" ref="CT31">IF(ISERROR(INDEX($A$3:$B$14312,SMALL(IF($A$3:$A$14312=CT$3,ROW($A$3:$A$14312)),ROW(29:29)),2)),"",INDEX($A$3:$B$14312,SMALL(IF($A$3:$A$14312=CT$3,ROW($A$3:$A$14312)),ROW(29:29)),2))</f>
        <v/>
      </c>
      <c r="CU31" t="str">
        <f t="array" ref="CU31">IF(ISERROR(INDEX($A$3:$B$14312,SMALL(IF($A$3:$A$14312=CU$3,ROW($A$3:$A$14312)),ROW(29:29)),2)),"",INDEX($A$3:$B$14312,SMALL(IF($A$3:$A$14312=CU$3,ROW($A$3:$A$14312)),ROW(29:29)),2))</f>
        <v/>
      </c>
      <c r="CV31" t="str">
        <f t="array" ref="CV31">IF(ISERROR(INDEX($A$3:$B$14312,SMALL(IF($A$3:$A$14312=CV$3,ROW($A$3:$A$14312)),ROW(29:29)),2)),"",INDEX($A$3:$B$14312,SMALL(IF($A$3:$A$14312=CV$3,ROW($A$3:$A$14312)),ROW(29:29)),2))</f>
        <v/>
      </c>
      <c r="CW31" t="str">
        <f t="array" ref="CW31">IF(ISERROR(INDEX($A$3:$B$14312,SMALL(IF($A$3:$A$14312=CW$3,ROW($A$3:$A$14312)),ROW(29:29)),2)),"",INDEX($A$3:$B$14312,SMALL(IF($A$3:$A$14312=CW$3,ROW($A$3:$A$14312)),ROW(29:29)),2))</f>
        <v/>
      </c>
      <c r="CX31" t="str">
        <f t="array" ref="CX31">IF(ISERROR(INDEX($A$3:$B$14312,SMALL(IF($A$3:$A$14312=CX$3,ROW($A$3:$A$14312)),ROW(29:29)),2)),"",INDEX($A$3:$B$14312,SMALL(IF($A$3:$A$14312=CX$3,ROW($A$3:$A$14312)),ROW(29:29)),2))</f>
        <v/>
      </c>
      <c r="CY31" t="str">
        <f t="array" ref="CY31">IF(ISERROR(INDEX($A$3:$B$14312,SMALL(IF($A$3:$A$14312=CY$3,ROW($A$3:$A$14312)),ROW(29:29)),2)),"",INDEX($A$3:$B$14312,SMALL(IF($A$3:$A$14312=CY$3,ROW($A$3:$A$14312)),ROW(29:29)),2))</f>
        <v>Router3_51</v>
      </c>
      <c r="CZ31" t="str">
        <f t="array" ref="CZ31">IF(ISERROR(INDEX($A$3:$B$14312,SMALL(IF($A$3:$A$14312=CZ$3,ROW($A$3:$A$14312)),ROW(29:29)),2)),"",INDEX($A$3:$B$14312,SMALL(IF($A$3:$A$14312=CZ$3,ROW($A$3:$A$14312)),ROW(29:29)),2))</f>
        <v/>
      </c>
      <c r="DA31" t="str">
        <f t="array" ref="DA31">IF(ISERROR(INDEX($A$3:$B$14312,SMALL(IF($A$3:$A$14312=DA$3,ROW($A$3:$A$14312)),ROW(29:29)),2)),"",INDEX($A$3:$B$14312,SMALL(IF($A$3:$A$14312=DA$3,ROW($A$3:$A$14312)),ROW(29:29)),2))</f>
        <v>Router3_159</v>
      </c>
      <c r="DB31" t="str">
        <f t="array" ref="DB31">IF(ISERROR(INDEX($A$3:$B$14312,SMALL(IF($A$3:$A$14312=DB$3,ROW($A$3:$A$14312)),ROW(29:29)),2)),"",INDEX($A$3:$B$14312,SMALL(IF($A$3:$A$14312=DB$3,ROW($A$3:$A$14312)),ROW(29:29)),2))</f>
        <v/>
      </c>
      <c r="DC31" t="str">
        <f t="array" ref="DC31">IF(ISERROR(INDEX($A$3:$B$14312,SMALL(IF($A$3:$A$14312=DC$3,ROW($A$3:$A$14312)),ROW(29:29)),2)),"",INDEX($A$3:$B$14312,SMALL(IF($A$3:$A$14312=DC$3,ROW($A$3:$A$14312)),ROW(29:29)),2))</f>
        <v/>
      </c>
      <c r="DD31" t="str">
        <f t="array" ref="DD31">IF(ISERROR(INDEX($A$3:$B$14312,SMALL(IF($A$3:$A$14312=DD$3,ROW($A$3:$A$14312)),ROW(29:29)),2)),"",INDEX($A$3:$B$14312,SMALL(IF($A$3:$A$14312=DD$3,ROW($A$3:$A$14312)),ROW(29:29)),2))</f>
        <v/>
      </c>
      <c r="DE31" t="str">
        <f t="array" ref="DE31">IF(ISERROR(INDEX($A$3:$B$14312,SMALL(IF($A$3:$A$14312=DE$3,ROW($A$3:$A$14312)),ROW(29:29)),2)),"",INDEX($A$3:$B$14312,SMALL(IF($A$3:$A$14312=DE$3,ROW($A$3:$A$14312)),ROW(29:29)),2))</f>
        <v/>
      </c>
      <c r="DF31" t="str">
        <f t="array" ref="DF31">IF(ISERROR(INDEX($A$3:$B$14312,SMALL(IF($A$3:$A$14312=DF$3,ROW($A$3:$A$14312)),ROW(29:29)),2)),"",INDEX($A$3:$B$14312,SMALL(IF($A$3:$A$14312=DF$3,ROW($A$3:$A$14312)),ROW(29:29)),2))</f>
        <v/>
      </c>
      <c r="DG31" t="str">
        <f t="array" ref="DG31">IF(ISERROR(INDEX($A$3:$B$14312,SMALL(IF($A$3:$A$14312=DG$3,ROW($A$3:$A$14312)),ROW(29:29)),2)),"",INDEX($A$3:$B$14312,SMALL(IF($A$3:$A$14312=DG$3,ROW($A$3:$A$14312)),ROW(29:29)),2))</f>
        <v/>
      </c>
      <c r="DH31" t="str">
        <f t="array" ref="DH31">IF(ISERROR(INDEX($A$3:$B$14312,SMALL(IF($A$3:$A$14312=DH$3,ROW($A$3:$A$14312)),ROW(29:29)),2)),"",INDEX($A$3:$B$14312,SMALL(IF($A$3:$A$14312=DH$3,ROW($A$3:$A$14312)),ROW(29:29)),2))</f>
        <v/>
      </c>
      <c r="DI31" t="str">
        <f t="array" ref="DI31">IF(ISERROR(INDEX($A$3:$B$14312,SMALL(IF($A$3:$A$14312=DI$3,ROW($A$3:$A$14312)),ROW(29:29)),2)),"",INDEX($A$3:$B$14312,SMALL(IF($A$3:$A$14312=DI$3,ROW($A$3:$A$14312)),ROW(29:29)),2))</f>
        <v>Router3_95</v>
      </c>
      <c r="DJ31" t="str">
        <f t="array" ref="DJ31">IF(ISERROR(INDEX($A$3:$B$14312,SMALL(IF($A$3:$A$14312=DJ$3,ROW($A$3:$A$14312)),ROW(29:29)),2)),"",INDEX($A$3:$B$14312,SMALL(IF($A$3:$A$14312=DJ$3,ROW($A$3:$A$14312)),ROW(29:29)),2))</f>
        <v>Router3_3</v>
      </c>
      <c r="DK31" t="str">
        <f t="array" ref="DK31">IF(ISERROR(INDEX($A$3:$B$14312,SMALL(IF($A$3:$A$14312=DK$3,ROW($A$3:$A$14312)),ROW(29:29)),2)),"",INDEX($A$3:$B$14312,SMALL(IF($A$3:$A$14312=DK$3,ROW($A$3:$A$14312)),ROW(29:29)),2))</f>
        <v>Router3_138</v>
      </c>
      <c r="DL31" t="str">
        <f t="array" ref="DL31">IF(ISERROR(INDEX($A$3:$B$14312,SMALL(IF($A$3:$A$14312=DL$3,ROW($A$3:$A$14312)),ROW(29:29)),2)),"",INDEX($A$3:$B$14312,SMALL(IF($A$3:$A$14312=DL$3,ROW($A$3:$A$14312)),ROW(29:29)),2))</f>
        <v/>
      </c>
      <c r="DM31" t="str">
        <f t="array" ref="DM31">IF(ISERROR(INDEX($A$3:$B$14312,SMALL(IF($A$3:$A$14312=DM$3,ROW($A$3:$A$14312)),ROW(29:29)),2)),"",INDEX($A$3:$B$14312,SMALL(IF($A$3:$A$14312=DM$3,ROW($A$3:$A$14312)),ROW(29:29)),2))</f>
        <v/>
      </c>
      <c r="DN31" t="str">
        <f t="array" ref="DN31">IF(ISERROR(INDEX($A$3:$B$14312,SMALL(IF($A$3:$A$14312=DN$3,ROW($A$3:$A$14312)),ROW(29:29)),2)),"",INDEX($A$3:$B$14312,SMALL(IF($A$3:$A$14312=DN$3,ROW($A$3:$A$14312)),ROW(29:29)),2))</f>
        <v/>
      </c>
      <c r="DO31" t="str">
        <f t="array" ref="DO31">IF(ISERROR(INDEX($A$3:$B$14312,SMALL(IF($A$3:$A$14312=DO$3,ROW($A$3:$A$14312)),ROW(29:29)),2)),"",INDEX($A$3:$B$14312,SMALL(IF($A$3:$A$14312=DO$3,ROW($A$3:$A$14312)),ROW(29:29)),2))</f>
        <v/>
      </c>
      <c r="DP31" t="str">
        <f t="array" ref="DP31">IF(ISERROR(INDEX($A$3:$B$14312,SMALL(IF($A$3:$A$14312=DP$3,ROW($A$3:$A$14312)),ROW(29:29)),2)),"",INDEX($A$3:$B$14312,SMALL(IF($A$3:$A$14312=DP$3,ROW($A$3:$A$14312)),ROW(29:29)),2))</f>
        <v/>
      </c>
      <c r="DQ31" t="str">
        <f t="array" ref="DQ31">IF(ISERROR(INDEX($A$3:$B$14312,SMALL(IF($A$3:$A$14312=DQ$3,ROW($A$3:$A$14312)),ROW(29:29)),2)),"",INDEX($A$3:$B$14312,SMALL(IF($A$3:$A$14312=DQ$3,ROW($A$3:$A$14312)),ROW(29:29)),2))</f>
        <v/>
      </c>
      <c r="DR31" t="str">
        <f t="array" ref="DR31">IF(ISERROR(INDEX($A$3:$B$14312,SMALL(IF($A$3:$A$14312=DR$3,ROW($A$3:$A$14312)),ROW(29:29)),2)),"",INDEX($A$3:$B$14312,SMALL(IF($A$3:$A$14312=DR$3,ROW($A$3:$A$14312)),ROW(29:29)),2))</f>
        <v>Router3_31</v>
      </c>
      <c r="DS31" t="str">
        <f t="array" ref="DS31">IF(ISERROR(INDEX($A$3:$B$14312,SMALL(IF($A$3:$A$14312=DS$3,ROW($A$3:$A$14312)),ROW(29:29)),2)),"",INDEX($A$3:$B$14312,SMALL(IF($A$3:$A$14312=DS$3,ROW($A$3:$A$14312)),ROW(29:29)),2))</f>
        <v/>
      </c>
      <c r="DT31" t="str">
        <f t="array" ref="DT31">IF(ISERROR(INDEX($A$3:$B$14312,SMALL(IF($A$3:$A$14312=DT$3,ROW($A$3:$A$14312)),ROW(29:29)),2)),"",INDEX($A$3:$B$14312,SMALL(IF($A$3:$A$14312=DT$3,ROW($A$3:$A$14312)),ROW(29:29)),2))</f>
        <v>Router3_95</v>
      </c>
      <c r="DU31" t="str">
        <f t="array" ref="DU31">IF(ISERROR(INDEX($A$3:$B$14312,SMALL(IF($A$3:$A$14312=DU$3,ROW($A$3:$A$14312)),ROW(29:29)),2)),"",INDEX($A$3:$B$14312,SMALL(IF($A$3:$A$14312=DU$3,ROW($A$3:$A$14312)),ROW(29:29)),2))</f>
        <v>Router3_146</v>
      </c>
      <c r="DV31" t="str">
        <f t="array" ref="DV31">IF(ISERROR(INDEX($A$3:$B$14312,SMALL(IF($A$3:$A$14312=DV$3,ROW($A$3:$A$14312)),ROW(29:29)),2)),"",INDEX($A$3:$B$14312,SMALL(IF($A$3:$A$14312=DV$3,ROW($A$3:$A$14312)),ROW(29:29)),2))</f>
        <v/>
      </c>
      <c r="DW31" t="str">
        <f t="array" ref="DW31">IF(ISERROR(INDEX($A$3:$B$14312,SMALL(IF($A$3:$A$14312=DW$3,ROW($A$3:$A$14312)),ROW(29:29)),2)),"",INDEX($A$3:$B$14312,SMALL(IF($A$3:$A$14312=DW$3,ROW($A$3:$A$14312)),ROW(29:29)),2))</f>
        <v/>
      </c>
      <c r="DX31" t="str">
        <f t="array" ref="DX31">IF(ISERROR(INDEX($A$3:$B$14312,SMALL(IF($A$3:$A$14312=DX$3,ROW($A$3:$A$14312)),ROW(29:29)),2)),"",INDEX($A$3:$B$14312,SMALL(IF($A$3:$A$14312=DX$3,ROW($A$3:$A$14312)),ROW(29:29)),2))</f>
        <v/>
      </c>
      <c r="DY31" t="str">
        <f t="array" ref="DY31">IF(ISERROR(INDEX($A$3:$B$14312,SMALL(IF($A$3:$A$14312=DY$3,ROW($A$3:$A$14312)),ROW(29:29)),2)),"",INDEX($A$3:$B$14312,SMALL(IF($A$3:$A$14312=DY$3,ROW($A$3:$A$14312)),ROW(29:29)),2))</f>
        <v/>
      </c>
      <c r="DZ31" t="str">
        <f t="array" ref="DZ31">IF(ISERROR(INDEX($A$3:$B$14312,SMALL(IF($A$3:$A$14312=DZ$3,ROW($A$3:$A$14312)),ROW(29:29)),2)),"",INDEX($A$3:$B$14312,SMALL(IF($A$3:$A$14312=DZ$3,ROW($A$3:$A$14312)),ROW(29:29)),2))</f>
        <v/>
      </c>
      <c r="EA31" t="str">
        <f t="array" ref="EA31">IF(ISERROR(INDEX($A$3:$B$14312,SMALL(IF($A$3:$A$14312=EA$3,ROW($A$3:$A$14312)),ROW(29:29)),2)),"",INDEX($A$3:$B$14312,SMALL(IF($A$3:$A$14312=EA$3,ROW($A$3:$A$14312)),ROW(29:29)),2))</f>
        <v/>
      </c>
      <c r="EB31" t="str">
        <f t="array" ref="EB31">IF(ISERROR(INDEX($A$3:$B$14312,SMALL(IF($A$3:$A$14312=EB$3,ROW($A$3:$A$14312)),ROW(29:29)),2)),"",INDEX($A$3:$B$14312,SMALL(IF($A$3:$A$14312=EB$3,ROW($A$3:$A$14312)),ROW(29:29)),2))</f>
        <v/>
      </c>
      <c r="EC31" t="str">
        <f t="array" ref="EC31">IF(ISERROR(INDEX($A$3:$B$14312,SMALL(IF($A$3:$A$14312=EC$3,ROW($A$3:$A$14312)),ROW(29:29)),2)),"",INDEX($A$3:$B$14312,SMALL(IF($A$3:$A$14312=EC$3,ROW($A$3:$A$14312)),ROW(29:29)),2))</f>
        <v>Router3_137</v>
      </c>
      <c r="ED31" t="str">
        <f t="array" ref="ED31">IF(ISERROR(INDEX($A$3:$B$14312,SMALL(IF($A$3:$A$14312=ED$3,ROW($A$3:$A$14312)),ROW(29:29)),2)),"",INDEX($A$3:$B$14312,SMALL(IF($A$3:$A$14312=ED$3,ROW($A$3:$A$14312)),ROW(29:29)),2))</f>
        <v>Router3_151</v>
      </c>
      <c r="EE31" t="str">
        <f t="array" ref="EE31">IF(ISERROR(INDEX($A$3:$B$14312,SMALL(IF($A$3:$A$14312=EE$3,ROW($A$3:$A$14312)),ROW(29:29)),2)),"",INDEX($A$3:$B$14312,SMALL(IF($A$3:$A$14312=EE$3,ROW($A$3:$A$14312)),ROW(29:29)),2))</f>
        <v/>
      </c>
    </row>
    <row r="32" spans="1:135" x14ac:dyDescent="0.25">
      <c r="A32" s="10">
        <v>-450827382</v>
      </c>
      <c r="B32" t="s">
        <v>1167</v>
      </c>
      <c r="E32" t="str">
        <f t="array" ref="E32">IF(ISERROR(INDEX($A$3:$B$14312,SMALL(IF($A$3:$A$14312=E$3,ROW($A$3:$A$14312)),ROW(30:30)),2)),"",INDEX($A$3:$B$14312,SMALL(IF($A$3:$A$14312=E$3,ROW($A$3:$A$14312)),ROW(30:30)),2))</f>
        <v/>
      </c>
      <c r="F32" t="str">
        <f t="array" ref="F32">IF(ISERROR(INDEX($A$3:$B$14312,SMALL(IF($A$3:$A$14312=F$3,ROW($A$3:$A$14312)),ROW(30:30)),2)),"",INDEX($A$3:$B$14312,SMALL(IF($A$3:$A$14312=F$3,ROW($A$3:$A$14312)),ROW(30:30)),2))</f>
        <v>Router3_112</v>
      </c>
      <c r="G32" t="str">
        <f t="array" ref="G32">IF(ISERROR(INDEX($A$3:$B$14312,SMALL(IF($A$3:$A$14312=G$3,ROW($A$3:$A$14312)),ROW(30:30)),2)),"",INDEX($A$3:$B$14312,SMALL(IF($A$3:$A$14312=G$3,ROW($A$3:$A$14312)),ROW(30:30)),2))</f>
        <v/>
      </c>
      <c r="H32" t="str">
        <f t="array" ref="H32">IF(ISERROR(INDEX($A$3:$B$14312,SMALL(IF($A$3:$A$14312=H$3,ROW($A$3:$A$14312)),ROW(30:30)),2)),"",INDEX($A$3:$B$14312,SMALL(IF($A$3:$A$14312=H$3,ROW($A$3:$A$14312)),ROW(30:30)),2))</f>
        <v/>
      </c>
      <c r="I32" t="str">
        <f t="array" ref="I32">IF(ISERROR(INDEX($A$3:$B$14312,SMALL(IF($A$3:$A$14312=I$3,ROW($A$3:$A$14312)),ROW(30:30)),2)),"",INDEX($A$3:$B$14312,SMALL(IF($A$3:$A$14312=I$3,ROW($A$3:$A$14312)),ROW(30:30)),2))</f>
        <v/>
      </c>
      <c r="J32" t="str">
        <f t="array" ref="J32">IF(ISERROR(INDEX($A$3:$B$14312,SMALL(IF($A$3:$A$14312=J$3,ROW($A$3:$A$14312)),ROW(30:30)),2)),"",INDEX($A$3:$B$14312,SMALL(IF($A$3:$A$14312=J$3,ROW($A$3:$A$14312)),ROW(30:30)),2))</f>
        <v>Router3_160</v>
      </c>
      <c r="K32" t="str">
        <f t="array" ref="K32">IF(ISERROR(INDEX($A$3:$B$14312,SMALL(IF($A$3:$A$14312=K$3,ROW($A$3:$A$14312)),ROW(30:30)),2)),"",INDEX($A$3:$B$14312,SMALL(IF($A$3:$A$14312=K$3,ROW($A$3:$A$14312)),ROW(30:30)),2))</f>
        <v/>
      </c>
      <c r="L32" t="str">
        <f t="array" ref="L32">IF(ISERROR(INDEX($A$3:$B$14312,SMALL(IF($A$3:$A$14312=L$3,ROW($A$3:$A$14312)),ROW(30:30)),2)),"",INDEX($A$3:$B$14312,SMALL(IF($A$3:$A$14312=L$3,ROW($A$3:$A$14312)),ROW(30:30)),2))</f>
        <v/>
      </c>
      <c r="M32" t="str">
        <f t="array" ref="M32">IF(ISERROR(INDEX($A$3:$B$14312,SMALL(IF($A$3:$A$14312=M$3,ROW($A$3:$A$14312)),ROW(30:30)),2)),"",INDEX($A$3:$B$14312,SMALL(IF($A$3:$A$14312=M$3,ROW($A$3:$A$14312)),ROW(30:30)),2))</f>
        <v/>
      </c>
      <c r="N32" t="str">
        <f t="array" ref="N32">IF(ISERROR(INDEX($A$3:$B$14312,SMALL(IF($A$3:$A$14312=N$3,ROW($A$3:$A$14312)),ROW(30:30)),2)),"",INDEX($A$3:$B$14312,SMALL(IF($A$3:$A$14312=N$3,ROW($A$3:$A$14312)),ROW(30:30)),2))</f>
        <v/>
      </c>
      <c r="O32" t="str">
        <f t="array" ref="O32">IF(ISERROR(INDEX($A$3:$B$14312,SMALL(IF($A$3:$A$14312=O$3,ROW($A$3:$A$14312)),ROW(30:30)),2)),"",INDEX($A$3:$B$14312,SMALL(IF($A$3:$A$14312=O$3,ROW($A$3:$A$14312)),ROW(30:30)),2))</f>
        <v/>
      </c>
      <c r="P32" t="str">
        <f t="array" ref="P32">IF(ISERROR(INDEX($A$3:$B$14312,SMALL(IF($A$3:$A$14312=P$3,ROW($A$3:$A$14312)),ROW(30:30)),2)),"",INDEX($A$3:$B$14312,SMALL(IF($A$3:$A$14312=P$3,ROW($A$3:$A$14312)),ROW(30:30)),2))</f>
        <v/>
      </c>
      <c r="Q32" t="str">
        <f t="array" ref="Q32">IF(ISERROR(INDEX($A$3:$B$14312,SMALL(IF($A$3:$A$14312=Q$3,ROW($A$3:$A$14312)),ROW(30:30)),2)),"",INDEX($A$3:$B$14312,SMALL(IF($A$3:$A$14312=Q$3,ROW($A$3:$A$14312)),ROW(30:30)),2))</f>
        <v/>
      </c>
      <c r="R32" t="str">
        <f t="array" ref="R32">IF(ISERROR(INDEX($A$3:$B$14312,SMALL(IF($A$3:$A$14312=R$3,ROW($A$3:$A$14312)),ROW(30:30)),2)),"",INDEX($A$3:$B$14312,SMALL(IF($A$3:$A$14312=R$3,ROW($A$3:$A$14312)),ROW(30:30)),2))</f>
        <v/>
      </c>
      <c r="S32" t="str">
        <f t="array" ref="S32">IF(ISERROR(INDEX($A$3:$B$14312,SMALL(IF($A$3:$A$14312=S$3,ROW($A$3:$A$14312)),ROW(30:30)),2)),"",INDEX($A$3:$B$14312,SMALL(IF($A$3:$A$14312=S$3,ROW($A$3:$A$14312)),ROW(30:30)),2))</f>
        <v/>
      </c>
      <c r="T32" t="str">
        <f t="array" ref="T32">IF(ISERROR(INDEX($A$3:$B$14312,SMALL(IF($A$3:$A$14312=T$3,ROW($A$3:$A$14312)),ROW(30:30)),2)),"",INDEX($A$3:$B$14312,SMALL(IF($A$3:$A$14312=T$3,ROW($A$3:$A$14312)),ROW(30:30)),2))</f>
        <v/>
      </c>
      <c r="U32" t="str">
        <f t="array" ref="U32">IF(ISERROR(INDEX($A$3:$B$14312,SMALL(IF($A$3:$A$14312=U$3,ROW($A$3:$A$14312)),ROW(30:30)),2)),"",INDEX($A$3:$B$14312,SMALL(IF($A$3:$A$14312=U$3,ROW($A$3:$A$14312)),ROW(30:30)),2))</f>
        <v/>
      </c>
      <c r="V32" t="str">
        <f t="array" ref="V32">IF(ISERROR(INDEX($A$3:$B$14312,SMALL(IF($A$3:$A$14312=V$3,ROW($A$3:$A$14312)),ROW(30:30)),2)),"",INDEX($A$3:$B$14312,SMALL(IF($A$3:$A$14312=V$3,ROW($A$3:$A$14312)),ROW(30:30)),2))</f>
        <v/>
      </c>
      <c r="W32" t="str">
        <f t="array" ref="W32">IF(ISERROR(INDEX($A$3:$B$14312,SMALL(IF($A$3:$A$14312=W$3,ROW($A$3:$A$14312)),ROW(30:30)),2)),"",INDEX($A$3:$B$14312,SMALL(IF($A$3:$A$14312=W$3,ROW($A$3:$A$14312)),ROW(30:30)),2))</f>
        <v>Router3_142</v>
      </c>
      <c r="X32" t="str">
        <f t="array" ref="X32">IF(ISERROR(INDEX($A$3:$B$14312,SMALL(IF($A$3:$A$14312=X$3,ROW($A$3:$A$14312)),ROW(30:30)),2)),"",INDEX($A$3:$B$14312,SMALL(IF($A$3:$A$14312=X$3,ROW($A$3:$A$14312)),ROW(30:30)),2))</f>
        <v/>
      </c>
      <c r="Y32" t="str">
        <f t="array" ref="Y32">IF(ISERROR(INDEX($A$3:$B$14312,SMALL(IF($A$3:$A$14312=Y$3,ROW($A$3:$A$14312)),ROW(30:30)),2)),"",INDEX($A$3:$B$14312,SMALL(IF($A$3:$A$14312=Y$3,ROW($A$3:$A$14312)),ROW(30:30)),2))</f>
        <v/>
      </c>
      <c r="Z32" t="str">
        <f t="array" ref="Z32">IF(ISERROR(INDEX($A$3:$B$14312,SMALL(IF($A$3:$A$14312=Z$3,ROW($A$3:$A$14312)),ROW(30:30)),2)),"",INDEX($A$3:$B$14312,SMALL(IF($A$3:$A$14312=Z$3,ROW($A$3:$A$14312)),ROW(30:30)),2))</f>
        <v/>
      </c>
      <c r="AA32" t="str">
        <f t="array" ref="AA32">IF(ISERROR(INDEX($A$3:$B$14312,SMALL(IF($A$3:$A$14312=AA$3,ROW($A$3:$A$14312)),ROW(30:30)),2)),"",INDEX($A$3:$B$14312,SMALL(IF($A$3:$A$14312=AA$3,ROW($A$3:$A$14312)),ROW(30:30)),2))</f>
        <v/>
      </c>
      <c r="AB32" t="str">
        <f t="array" ref="AB32">IF(ISERROR(INDEX($A$3:$B$14312,SMALL(IF($A$3:$A$14312=AB$3,ROW($A$3:$A$14312)),ROW(30:30)),2)),"",INDEX($A$3:$B$14312,SMALL(IF($A$3:$A$14312=AB$3,ROW($A$3:$A$14312)),ROW(30:30)),2))</f>
        <v/>
      </c>
      <c r="AC32" t="str">
        <f t="array" ref="AC32">IF(ISERROR(INDEX($A$3:$B$14312,SMALL(IF($A$3:$A$14312=AC$3,ROW($A$3:$A$14312)),ROW(30:30)),2)),"",INDEX($A$3:$B$14312,SMALL(IF($A$3:$A$14312=AC$3,ROW($A$3:$A$14312)),ROW(30:30)),2))</f>
        <v/>
      </c>
      <c r="AD32" t="str">
        <f t="array" ref="AD32">IF(ISERROR(INDEX($A$3:$B$14312,SMALL(IF($A$3:$A$14312=AD$3,ROW($A$3:$A$14312)),ROW(30:30)),2)),"",INDEX($A$3:$B$14312,SMALL(IF($A$3:$A$14312=AD$3,ROW($A$3:$A$14312)),ROW(30:30)),2))</f>
        <v/>
      </c>
      <c r="AE32" t="str">
        <f t="array" ref="AE32">IF(ISERROR(INDEX($A$3:$B$14312,SMALL(IF($A$3:$A$14312=AE$3,ROW($A$3:$A$14312)),ROW(30:30)),2)),"",INDEX($A$3:$B$14312,SMALL(IF($A$3:$A$14312=AE$3,ROW($A$3:$A$14312)),ROW(30:30)),2))</f>
        <v/>
      </c>
      <c r="AF32" t="str">
        <f t="array" ref="AF32">IF(ISERROR(INDEX($A$3:$B$14312,SMALL(IF($A$3:$A$14312=AF$3,ROW($A$3:$A$14312)),ROW(30:30)),2)),"",INDEX($A$3:$B$14312,SMALL(IF($A$3:$A$14312=AF$3,ROW($A$3:$A$14312)),ROW(30:30)),2))</f>
        <v/>
      </c>
      <c r="AG32" t="str">
        <f t="array" ref="AG32">IF(ISERROR(INDEX($A$3:$B$14312,SMALL(IF($A$3:$A$14312=AG$3,ROW($A$3:$A$14312)),ROW(30:30)),2)),"",INDEX($A$3:$B$14312,SMALL(IF($A$3:$A$14312=AG$3,ROW($A$3:$A$14312)),ROW(30:30)),2))</f>
        <v/>
      </c>
      <c r="AH32" t="str">
        <f t="array" ref="AH32">IF(ISERROR(INDEX($A$3:$B$14312,SMALL(IF($A$3:$A$14312=AH$3,ROW($A$3:$A$14312)),ROW(30:30)),2)),"",INDEX($A$3:$B$14312,SMALL(IF($A$3:$A$14312=AH$3,ROW($A$3:$A$14312)),ROW(30:30)),2))</f>
        <v/>
      </c>
      <c r="AI32" t="str">
        <f t="array" ref="AI32">IF(ISERROR(INDEX($A$3:$B$14312,SMALL(IF($A$3:$A$14312=AI$3,ROW($A$3:$A$14312)),ROW(30:30)),2)),"",INDEX($A$3:$B$14312,SMALL(IF($A$3:$A$14312=AI$3,ROW($A$3:$A$14312)),ROW(30:30)),2))</f>
        <v/>
      </c>
      <c r="AJ32" t="str">
        <f t="array" ref="AJ32">IF(ISERROR(INDEX($A$3:$B$14312,SMALL(IF($A$3:$A$14312=AJ$3,ROW($A$3:$A$14312)),ROW(30:30)),2)),"",INDEX($A$3:$B$14312,SMALL(IF($A$3:$A$14312=AJ$3,ROW($A$3:$A$14312)),ROW(30:30)),2))</f>
        <v/>
      </c>
      <c r="AK32" t="str">
        <f t="array" ref="AK32">IF(ISERROR(INDEX($A$3:$B$14312,SMALL(IF($A$3:$A$14312=AK$3,ROW($A$3:$A$14312)),ROW(30:30)),2)),"",INDEX($A$3:$B$14312,SMALL(IF($A$3:$A$14312=AK$3,ROW($A$3:$A$14312)),ROW(30:30)),2))</f>
        <v/>
      </c>
      <c r="AL32" t="str">
        <f t="array" ref="AL32">IF(ISERROR(INDEX($A$3:$B$14312,SMALL(IF($A$3:$A$14312=AL$3,ROW($A$3:$A$14312)),ROW(30:30)),2)),"",INDEX($A$3:$B$14312,SMALL(IF($A$3:$A$14312=AL$3,ROW($A$3:$A$14312)),ROW(30:30)),2))</f>
        <v/>
      </c>
      <c r="AM32" t="str">
        <f t="array" ref="AM32">IF(ISERROR(INDEX($A$3:$B$14312,SMALL(IF($A$3:$A$14312=AM$3,ROW($A$3:$A$14312)),ROW(30:30)),2)),"",INDEX($A$3:$B$14312,SMALL(IF($A$3:$A$14312=AM$3,ROW($A$3:$A$14312)),ROW(30:30)),2))</f>
        <v>Router3_150</v>
      </c>
      <c r="AN32" t="str">
        <f t="array" ref="AN32">IF(ISERROR(INDEX($A$3:$B$14312,SMALL(IF($A$3:$A$14312=AN$3,ROW($A$3:$A$14312)),ROW(30:30)),2)),"",INDEX($A$3:$B$14312,SMALL(IF($A$3:$A$14312=AN$3,ROW($A$3:$A$14312)),ROW(30:30)),2))</f>
        <v/>
      </c>
      <c r="AO32" t="str">
        <f t="array" ref="AO32">IF(ISERROR(INDEX($A$3:$B$14312,SMALL(IF($A$3:$A$14312=AO$3,ROW($A$3:$A$14312)),ROW(30:30)),2)),"",INDEX($A$3:$B$14312,SMALL(IF($A$3:$A$14312=AO$3,ROW($A$3:$A$14312)),ROW(30:30)),2))</f>
        <v/>
      </c>
      <c r="AP32" t="str">
        <f t="array" ref="AP32">IF(ISERROR(INDEX($A$3:$B$14312,SMALL(IF($A$3:$A$14312=AP$3,ROW($A$3:$A$14312)),ROW(30:30)),2)),"",INDEX($A$3:$B$14312,SMALL(IF($A$3:$A$14312=AP$3,ROW($A$3:$A$14312)),ROW(30:30)),2))</f>
        <v/>
      </c>
      <c r="AQ32" t="str">
        <f t="array" ref="AQ32">IF(ISERROR(INDEX($A$3:$B$14312,SMALL(IF($A$3:$A$14312=AQ$3,ROW($A$3:$A$14312)),ROW(30:30)),2)),"",INDEX($A$3:$B$14312,SMALL(IF($A$3:$A$14312=AQ$3,ROW($A$3:$A$14312)),ROW(30:30)),2))</f>
        <v/>
      </c>
      <c r="AR32" t="str">
        <f t="array" ref="AR32">IF(ISERROR(INDEX($A$3:$B$14312,SMALL(IF($A$3:$A$14312=AR$3,ROW($A$3:$A$14312)),ROW(30:30)),2)),"",INDEX($A$3:$B$14312,SMALL(IF($A$3:$A$14312=AR$3,ROW($A$3:$A$14312)),ROW(30:30)),2))</f>
        <v/>
      </c>
      <c r="AS32" t="str">
        <f t="array" ref="AS32">IF(ISERROR(INDEX($A$3:$B$14312,SMALL(IF($A$3:$A$14312=AS$3,ROW($A$3:$A$14312)),ROW(30:30)),2)),"",INDEX($A$3:$B$14312,SMALL(IF($A$3:$A$14312=AS$3,ROW($A$3:$A$14312)),ROW(30:30)),2))</f>
        <v>Router3_136</v>
      </c>
      <c r="AT32" t="str">
        <f t="array" ref="AT32">IF(ISERROR(INDEX($A$3:$B$14312,SMALL(IF($A$3:$A$14312=AT$3,ROW($A$3:$A$14312)),ROW(30:30)),2)),"",INDEX($A$3:$B$14312,SMALL(IF($A$3:$A$14312=AT$3,ROW($A$3:$A$14312)),ROW(30:30)),2))</f>
        <v/>
      </c>
      <c r="AU32" t="str">
        <f t="array" ref="AU32">IF(ISERROR(INDEX($A$3:$B$14312,SMALL(IF($A$3:$A$14312=AU$3,ROW($A$3:$A$14312)),ROW(30:30)),2)),"",INDEX($A$3:$B$14312,SMALL(IF($A$3:$A$14312=AU$3,ROW($A$3:$A$14312)),ROW(30:30)),2))</f>
        <v/>
      </c>
      <c r="AV32" t="str">
        <f t="array" ref="AV32">IF(ISERROR(INDEX($A$3:$B$14312,SMALL(IF($A$3:$A$14312=AV$3,ROW($A$3:$A$14312)),ROW(30:30)),2)),"",INDEX($A$3:$B$14312,SMALL(IF($A$3:$A$14312=AV$3,ROW($A$3:$A$14312)),ROW(30:30)),2))</f>
        <v/>
      </c>
      <c r="AW32" t="str">
        <f t="array" ref="AW32">IF(ISERROR(INDEX($A$3:$B$14312,SMALL(IF($A$3:$A$14312=AW$3,ROW($A$3:$A$14312)),ROW(30:30)),2)),"",INDEX($A$3:$B$14312,SMALL(IF($A$3:$A$14312=AW$3,ROW($A$3:$A$14312)),ROW(30:30)),2))</f>
        <v/>
      </c>
      <c r="AX32" t="str">
        <f t="array" ref="AX32">IF(ISERROR(INDEX($A$3:$B$14312,SMALL(IF($A$3:$A$14312=AX$3,ROW($A$3:$A$14312)),ROW(30:30)),2)),"",INDEX($A$3:$B$14312,SMALL(IF($A$3:$A$14312=AX$3,ROW($A$3:$A$14312)),ROW(30:30)),2))</f>
        <v/>
      </c>
      <c r="AY32" t="str">
        <f t="array" ref="AY32">IF(ISERROR(INDEX($A$3:$B$14312,SMALL(IF($A$3:$A$14312=AY$3,ROW($A$3:$A$14312)),ROW(30:30)),2)),"",INDEX($A$3:$B$14312,SMALL(IF($A$3:$A$14312=AY$3,ROW($A$3:$A$14312)),ROW(30:30)),2))</f>
        <v>Router3_152</v>
      </c>
      <c r="AZ32" t="str">
        <f t="array" ref="AZ32">IF(ISERROR(INDEX($A$3:$B$14312,SMALL(IF($A$3:$A$14312=AZ$3,ROW($A$3:$A$14312)),ROW(30:30)),2)),"",INDEX($A$3:$B$14312,SMALL(IF($A$3:$A$14312=AZ$3,ROW($A$3:$A$14312)),ROW(30:30)),2))</f>
        <v/>
      </c>
      <c r="BA32" t="str">
        <f t="array" ref="BA32">IF(ISERROR(INDEX($A$3:$B$14312,SMALL(IF($A$3:$A$14312=BA$3,ROW($A$3:$A$14312)),ROW(30:30)),2)),"",INDEX($A$3:$B$14312,SMALL(IF($A$3:$A$14312=BA$3,ROW($A$3:$A$14312)),ROW(30:30)),2))</f>
        <v/>
      </c>
      <c r="BB32" t="str">
        <f t="array" ref="BB32">IF(ISERROR(INDEX($A$3:$B$14312,SMALL(IF($A$3:$A$14312=BB$3,ROW($A$3:$A$14312)),ROW(30:30)),2)),"",INDEX($A$3:$B$14312,SMALL(IF($A$3:$A$14312=BB$3,ROW($A$3:$A$14312)),ROW(30:30)),2))</f>
        <v/>
      </c>
      <c r="BC32" t="str">
        <f t="array" ref="BC32">IF(ISERROR(INDEX($A$3:$B$14312,SMALL(IF($A$3:$A$14312=BC$3,ROW($A$3:$A$14312)),ROW(30:30)),2)),"",INDEX($A$3:$B$14312,SMALL(IF($A$3:$A$14312=BC$3,ROW($A$3:$A$14312)),ROW(30:30)),2))</f>
        <v/>
      </c>
      <c r="BD32" t="str">
        <f t="array" ref="BD32">IF(ISERROR(INDEX($A$3:$B$14312,SMALL(IF($A$3:$A$14312=BD$3,ROW($A$3:$A$14312)),ROW(30:30)),2)),"",INDEX($A$3:$B$14312,SMALL(IF($A$3:$A$14312=BD$3,ROW($A$3:$A$14312)),ROW(30:30)),2))</f>
        <v/>
      </c>
      <c r="BE32" t="str">
        <f t="array" ref="BE32">IF(ISERROR(INDEX($A$3:$B$14312,SMALL(IF($A$3:$A$14312=BE$3,ROW($A$3:$A$14312)),ROW(30:30)),2)),"",INDEX($A$3:$B$14312,SMALL(IF($A$3:$A$14312=BE$3,ROW($A$3:$A$14312)),ROW(30:30)),2))</f>
        <v/>
      </c>
      <c r="BF32" t="str">
        <f t="array" ref="BF32">IF(ISERROR(INDEX($A$3:$B$14312,SMALL(IF($A$3:$A$14312=BF$3,ROW($A$3:$A$14312)),ROW(30:30)),2)),"",INDEX($A$3:$B$14312,SMALL(IF($A$3:$A$14312=BF$3,ROW($A$3:$A$14312)),ROW(30:30)),2))</f>
        <v/>
      </c>
      <c r="BG32" t="str">
        <f t="array" ref="BG32">IF(ISERROR(INDEX($A$3:$B$14312,SMALL(IF($A$3:$A$14312=BG$3,ROW($A$3:$A$14312)),ROW(30:30)),2)),"",INDEX($A$3:$B$14312,SMALL(IF($A$3:$A$14312=BG$3,ROW($A$3:$A$14312)),ROW(30:30)),2))</f>
        <v/>
      </c>
      <c r="BH32" t="str">
        <f t="array" ref="BH32">IF(ISERROR(INDEX($A$3:$B$14312,SMALL(IF($A$3:$A$14312=BH$3,ROW($A$3:$A$14312)),ROW(30:30)),2)),"",INDEX($A$3:$B$14312,SMALL(IF($A$3:$A$14312=BH$3,ROW($A$3:$A$14312)),ROW(30:30)),2))</f>
        <v/>
      </c>
      <c r="BI32" t="str">
        <f t="array" ref="BI32">IF(ISERROR(INDEX($A$3:$B$14312,SMALL(IF($A$3:$A$14312=BI$3,ROW($A$3:$A$14312)),ROW(30:30)),2)),"",INDEX($A$3:$B$14312,SMALL(IF($A$3:$A$14312=BI$3,ROW($A$3:$A$14312)),ROW(30:30)),2))</f>
        <v/>
      </c>
      <c r="BJ32" t="str">
        <f t="array" ref="BJ32">IF(ISERROR(INDEX($A$3:$B$14312,SMALL(IF($A$3:$A$14312=BJ$3,ROW($A$3:$A$14312)),ROW(30:30)),2)),"",INDEX($A$3:$B$14312,SMALL(IF($A$3:$A$14312=BJ$3,ROW($A$3:$A$14312)),ROW(30:30)),2))</f>
        <v/>
      </c>
      <c r="BK32" t="str">
        <f t="array" ref="BK32">IF(ISERROR(INDEX($A$3:$B$14312,SMALL(IF($A$3:$A$14312=BK$3,ROW($A$3:$A$14312)),ROW(30:30)),2)),"",INDEX($A$3:$B$14312,SMALL(IF($A$3:$A$14312=BK$3,ROW($A$3:$A$14312)),ROW(30:30)),2))</f>
        <v/>
      </c>
      <c r="BL32" t="str">
        <f t="array" ref="BL32">IF(ISERROR(INDEX($A$3:$B$14312,SMALL(IF($A$3:$A$14312=BL$3,ROW($A$3:$A$14312)),ROW(30:30)),2)),"",INDEX($A$3:$B$14312,SMALL(IF($A$3:$A$14312=BL$3,ROW($A$3:$A$14312)),ROW(30:30)),2))</f>
        <v/>
      </c>
      <c r="BM32" t="str">
        <f t="array" ref="BM32">IF(ISERROR(INDEX($A$3:$B$14312,SMALL(IF($A$3:$A$14312=BM$3,ROW($A$3:$A$14312)),ROW(30:30)),2)),"",INDEX($A$3:$B$14312,SMALL(IF($A$3:$A$14312=BM$3,ROW($A$3:$A$14312)),ROW(30:30)),2))</f>
        <v/>
      </c>
      <c r="BN32" t="str">
        <f t="array" ref="BN32">IF(ISERROR(INDEX($A$3:$B$14312,SMALL(IF($A$3:$A$14312=BN$3,ROW($A$3:$A$14312)),ROW(30:30)),2)),"",INDEX($A$3:$B$14312,SMALL(IF($A$3:$A$14312=BN$3,ROW($A$3:$A$14312)),ROW(30:30)),2))</f>
        <v/>
      </c>
      <c r="BO32" t="str">
        <f t="array" ref="BO32">IF(ISERROR(INDEX($A$3:$B$14312,SMALL(IF($A$3:$A$14312=BO$3,ROW($A$3:$A$14312)),ROW(30:30)),2)),"",INDEX($A$3:$B$14312,SMALL(IF($A$3:$A$14312=BO$3,ROW($A$3:$A$14312)),ROW(30:30)),2))</f>
        <v/>
      </c>
      <c r="BP32" t="str">
        <f t="array" ref="BP32">IF(ISERROR(INDEX($A$3:$B$14312,SMALL(IF($A$3:$A$14312=BP$3,ROW($A$3:$A$14312)),ROW(30:30)),2)),"",INDEX($A$3:$B$14312,SMALL(IF($A$3:$A$14312=BP$3,ROW($A$3:$A$14312)),ROW(30:30)),2))</f>
        <v/>
      </c>
      <c r="BQ32" t="str">
        <f t="array" ref="BQ32">IF(ISERROR(INDEX($A$3:$B$14312,SMALL(IF($A$3:$A$14312=BQ$3,ROW($A$3:$A$14312)),ROW(30:30)),2)),"",INDEX($A$3:$B$14312,SMALL(IF($A$3:$A$14312=BQ$3,ROW($A$3:$A$14312)),ROW(30:30)),2))</f>
        <v/>
      </c>
      <c r="BR32" t="str">
        <f t="array" ref="BR32">IF(ISERROR(INDEX($A$3:$B$14312,SMALL(IF($A$3:$A$14312=BR$3,ROW($A$3:$A$14312)),ROW(30:30)),2)),"",INDEX($A$3:$B$14312,SMALL(IF($A$3:$A$14312=BR$3,ROW($A$3:$A$14312)),ROW(30:30)),2))</f>
        <v/>
      </c>
      <c r="BS32" t="str">
        <f t="array" ref="BS32">IF(ISERROR(INDEX($A$3:$B$14312,SMALL(IF($A$3:$A$14312=BS$3,ROW($A$3:$A$14312)),ROW(30:30)),2)),"",INDEX($A$3:$B$14312,SMALL(IF($A$3:$A$14312=BS$3,ROW($A$3:$A$14312)),ROW(30:30)),2))</f>
        <v/>
      </c>
      <c r="BT32" t="str">
        <f t="array" ref="BT32">IF(ISERROR(INDEX($A$3:$B$14312,SMALL(IF($A$3:$A$14312=BT$3,ROW($A$3:$A$14312)),ROW(30:30)),2)),"",INDEX($A$3:$B$14312,SMALL(IF($A$3:$A$14312=BT$3,ROW($A$3:$A$14312)),ROW(30:30)),2))</f>
        <v>Router3_117</v>
      </c>
      <c r="BU32" t="str">
        <f t="array" ref="BU32">IF(ISERROR(INDEX($A$3:$B$14312,SMALL(IF($A$3:$A$14312=BU$3,ROW($A$3:$A$14312)),ROW(30:30)),2)),"",INDEX($A$3:$B$14312,SMALL(IF($A$3:$A$14312=BU$3,ROW($A$3:$A$14312)),ROW(30:30)),2))</f>
        <v/>
      </c>
      <c r="BV32" t="str">
        <f t="array" ref="BV32">IF(ISERROR(INDEX($A$3:$B$14312,SMALL(IF($A$3:$A$14312=BV$3,ROW($A$3:$A$14312)),ROW(30:30)),2)),"",INDEX($A$3:$B$14312,SMALL(IF($A$3:$A$14312=BV$3,ROW($A$3:$A$14312)),ROW(30:30)),2))</f>
        <v/>
      </c>
      <c r="BW32" t="str">
        <f t="array" ref="BW32">IF(ISERROR(INDEX($A$3:$B$14312,SMALL(IF($A$3:$A$14312=BW$3,ROW($A$3:$A$14312)),ROW(30:30)),2)),"",INDEX($A$3:$B$14312,SMALL(IF($A$3:$A$14312=BW$3,ROW($A$3:$A$14312)),ROW(30:30)),2))</f>
        <v/>
      </c>
      <c r="BX32" t="str">
        <f t="array" ref="BX32">IF(ISERROR(INDEX($A$3:$B$14312,SMALL(IF($A$3:$A$14312=BX$3,ROW($A$3:$A$14312)),ROW(30:30)),2)),"",INDEX($A$3:$B$14312,SMALL(IF($A$3:$A$14312=BX$3,ROW($A$3:$A$14312)),ROW(30:30)),2))</f>
        <v/>
      </c>
      <c r="BY32" t="str">
        <f t="array" ref="BY32">IF(ISERROR(INDEX($A$3:$B$14312,SMALL(IF($A$3:$A$14312=BY$3,ROW($A$3:$A$14312)),ROW(30:30)),2)),"",INDEX($A$3:$B$14312,SMALL(IF($A$3:$A$14312=BY$3,ROW($A$3:$A$14312)),ROW(30:30)),2))</f>
        <v>Router3_136</v>
      </c>
      <c r="BZ32" t="str">
        <f t="array" ref="BZ32">IF(ISERROR(INDEX($A$3:$B$14312,SMALL(IF($A$3:$A$14312=BZ$3,ROW($A$3:$A$14312)),ROW(30:30)),2)),"",INDEX($A$3:$B$14312,SMALL(IF($A$3:$A$14312=BZ$3,ROW($A$3:$A$14312)),ROW(30:30)),2))</f>
        <v>Router3_136</v>
      </c>
      <c r="CA32" t="str">
        <f t="array" ref="CA32">IF(ISERROR(INDEX($A$3:$B$14312,SMALL(IF($A$3:$A$14312=CA$3,ROW($A$3:$A$14312)),ROW(30:30)),2)),"",INDEX($A$3:$B$14312,SMALL(IF($A$3:$A$14312=CA$3,ROW($A$3:$A$14312)),ROW(30:30)),2))</f>
        <v/>
      </c>
      <c r="CB32" t="str">
        <f t="array" ref="CB32">IF(ISERROR(INDEX($A$3:$B$14312,SMALL(IF($A$3:$A$14312=CB$3,ROW($A$3:$A$14312)),ROW(30:30)),2)),"",INDEX($A$3:$B$14312,SMALL(IF($A$3:$A$14312=CB$3,ROW($A$3:$A$14312)),ROW(30:30)),2))</f>
        <v/>
      </c>
      <c r="CC32" t="str">
        <f t="array" ref="CC32">IF(ISERROR(INDEX($A$3:$B$14312,SMALL(IF($A$3:$A$14312=CC$3,ROW($A$3:$A$14312)),ROW(30:30)),2)),"",INDEX($A$3:$B$14312,SMALL(IF($A$3:$A$14312=CC$3,ROW($A$3:$A$14312)),ROW(30:30)),2))</f>
        <v/>
      </c>
      <c r="CD32" t="str">
        <f t="array" ref="CD32">IF(ISERROR(INDEX($A$3:$B$14312,SMALL(IF($A$3:$A$14312=CD$3,ROW($A$3:$A$14312)),ROW(30:30)),2)),"",INDEX($A$3:$B$14312,SMALL(IF($A$3:$A$14312=CD$3,ROW($A$3:$A$14312)),ROW(30:30)),2))</f>
        <v/>
      </c>
      <c r="CE32" t="str">
        <f t="array" ref="CE32">IF(ISERROR(INDEX($A$3:$B$14312,SMALL(IF($A$3:$A$14312=CE$3,ROW($A$3:$A$14312)),ROW(30:30)),2)),"",INDEX($A$3:$B$14312,SMALL(IF($A$3:$A$14312=CE$3,ROW($A$3:$A$14312)),ROW(30:30)),2))</f>
        <v/>
      </c>
      <c r="CF32" t="str">
        <f t="array" ref="CF32">IF(ISERROR(INDEX($A$3:$B$14312,SMALL(IF($A$3:$A$14312=CF$3,ROW($A$3:$A$14312)),ROW(30:30)),2)),"",INDEX($A$3:$B$14312,SMALL(IF($A$3:$A$14312=CF$3,ROW($A$3:$A$14312)),ROW(30:30)),2))</f>
        <v/>
      </c>
      <c r="CG32" t="str">
        <f t="array" ref="CG32">IF(ISERROR(INDEX($A$3:$B$14312,SMALL(IF($A$3:$A$14312=CG$3,ROW($A$3:$A$14312)),ROW(30:30)),2)),"",INDEX($A$3:$B$14312,SMALL(IF($A$3:$A$14312=CG$3,ROW($A$3:$A$14312)),ROW(30:30)),2))</f>
        <v/>
      </c>
      <c r="CH32" t="str">
        <f t="array" ref="CH32">IF(ISERROR(INDEX($A$3:$B$14312,SMALL(IF($A$3:$A$14312=CH$3,ROW($A$3:$A$14312)),ROW(30:30)),2)),"",INDEX($A$3:$B$14312,SMALL(IF($A$3:$A$14312=CH$3,ROW($A$3:$A$14312)),ROW(30:30)),2))</f>
        <v/>
      </c>
      <c r="CI32" t="str">
        <f t="array" ref="CI32">IF(ISERROR(INDEX($A$3:$B$14312,SMALL(IF($A$3:$A$14312=CI$3,ROW($A$3:$A$14312)),ROW(30:30)),2)),"",INDEX($A$3:$B$14312,SMALL(IF($A$3:$A$14312=CI$3,ROW($A$3:$A$14312)),ROW(30:30)),2))</f>
        <v/>
      </c>
      <c r="CJ32" t="str">
        <f t="array" ref="CJ32">IF(ISERROR(INDEX($A$3:$B$14312,SMALL(IF($A$3:$A$14312=CJ$3,ROW($A$3:$A$14312)),ROW(30:30)),2)),"",INDEX($A$3:$B$14312,SMALL(IF($A$3:$A$14312=CJ$3,ROW($A$3:$A$14312)),ROW(30:30)),2))</f>
        <v/>
      </c>
      <c r="CK32" t="str">
        <f t="array" ref="CK32">IF(ISERROR(INDEX($A$3:$B$14312,SMALL(IF($A$3:$A$14312=CK$3,ROW($A$3:$A$14312)),ROW(30:30)),2)),"",INDEX($A$3:$B$14312,SMALL(IF($A$3:$A$14312=CK$3,ROW($A$3:$A$14312)),ROW(30:30)),2))</f>
        <v/>
      </c>
      <c r="CL32" t="str">
        <f t="array" ref="CL32">IF(ISERROR(INDEX($A$3:$B$14312,SMALL(IF($A$3:$A$14312=CL$3,ROW($A$3:$A$14312)),ROW(30:30)),2)),"",INDEX($A$3:$B$14312,SMALL(IF($A$3:$A$14312=CL$3,ROW($A$3:$A$14312)),ROW(30:30)),2))</f>
        <v/>
      </c>
      <c r="CM32" t="str">
        <f t="array" ref="CM32">IF(ISERROR(INDEX($A$3:$B$14312,SMALL(IF($A$3:$A$14312=CM$3,ROW($A$3:$A$14312)),ROW(30:30)),2)),"",INDEX($A$3:$B$14312,SMALL(IF($A$3:$A$14312=CM$3,ROW($A$3:$A$14312)),ROW(30:30)),2))</f>
        <v/>
      </c>
      <c r="CN32" t="str">
        <f t="array" ref="CN32">IF(ISERROR(INDEX($A$3:$B$14312,SMALL(IF($A$3:$A$14312=CN$3,ROW($A$3:$A$14312)),ROW(30:30)),2)),"",INDEX($A$3:$B$14312,SMALL(IF($A$3:$A$14312=CN$3,ROW($A$3:$A$14312)),ROW(30:30)),2))</f>
        <v/>
      </c>
      <c r="CO32" t="str">
        <f t="array" ref="CO32">IF(ISERROR(INDEX($A$3:$B$14312,SMALL(IF($A$3:$A$14312=CO$3,ROW($A$3:$A$14312)),ROW(30:30)),2)),"",INDEX($A$3:$B$14312,SMALL(IF($A$3:$A$14312=CO$3,ROW($A$3:$A$14312)),ROW(30:30)),2))</f>
        <v>Router3_145</v>
      </c>
      <c r="CP32" t="str">
        <f t="array" ref="CP32">IF(ISERROR(INDEX($A$3:$B$14312,SMALL(IF($A$3:$A$14312=CP$3,ROW($A$3:$A$14312)),ROW(30:30)),2)),"",INDEX($A$3:$B$14312,SMALL(IF($A$3:$A$14312=CP$3,ROW($A$3:$A$14312)),ROW(30:30)),2))</f>
        <v/>
      </c>
      <c r="CQ32" t="str">
        <f t="array" ref="CQ32">IF(ISERROR(INDEX($A$3:$B$14312,SMALL(IF($A$3:$A$14312=CQ$3,ROW($A$3:$A$14312)),ROW(30:30)),2)),"",INDEX($A$3:$B$14312,SMALL(IF($A$3:$A$14312=CQ$3,ROW($A$3:$A$14312)),ROW(30:30)),2))</f>
        <v/>
      </c>
      <c r="CR32" t="str">
        <f t="array" ref="CR32">IF(ISERROR(INDEX($A$3:$B$14312,SMALL(IF($A$3:$A$14312=CR$3,ROW($A$3:$A$14312)),ROW(30:30)),2)),"",INDEX($A$3:$B$14312,SMALL(IF($A$3:$A$14312=CR$3,ROW($A$3:$A$14312)),ROW(30:30)),2))</f>
        <v/>
      </c>
      <c r="CS32" t="str">
        <f t="array" ref="CS32">IF(ISERROR(INDEX($A$3:$B$14312,SMALL(IF($A$3:$A$14312=CS$3,ROW($A$3:$A$14312)),ROW(30:30)),2)),"",INDEX($A$3:$B$14312,SMALL(IF($A$3:$A$14312=CS$3,ROW($A$3:$A$14312)),ROW(30:30)),2))</f>
        <v/>
      </c>
      <c r="CT32" t="str">
        <f t="array" ref="CT32">IF(ISERROR(INDEX($A$3:$B$14312,SMALL(IF($A$3:$A$14312=CT$3,ROW($A$3:$A$14312)),ROW(30:30)),2)),"",INDEX($A$3:$B$14312,SMALL(IF($A$3:$A$14312=CT$3,ROW($A$3:$A$14312)),ROW(30:30)),2))</f>
        <v/>
      </c>
      <c r="CU32" t="str">
        <f t="array" ref="CU32">IF(ISERROR(INDEX($A$3:$B$14312,SMALL(IF($A$3:$A$14312=CU$3,ROW($A$3:$A$14312)),ROW(30:30)),2)),"",INDEX($A$3:$B$14312,SMALL(IF($A$3:$A$14312=CU$3,ROW($A$3:$A$14312)),ROW(30:30)),2))</f>
        <v/>
      </c>
      <c r="CV32" t="str">
        <f t="array" ref="CV32">IF(ISERROR(INDEX($A$3:$B$14312,SMALL(IF($A$3:$A$14312=CV$3,ROW($A$3:$A$14312)),ROW(30:30)),2)),"",INDEX($A$3:$B$14312,SMALL(IF($A$3:$A$14312=CV$3,ROW($A$3:$A$14312)),ROW(30:30)),2))</f>
        <v/>
      </c>
      <c r="CW32" t="str">
        <f t="array" ref="CW32">IF(ISERROR(INDEX($A$3:$B$14312,SMALL(IF($A$3:$A$14312=CW$3,ROW($A$3:$A$14312)),ROW(30:30)),2)),"",INDEX($A$3:$B$14312,SMALL(IF($A$3:$A$14312=CW$3,ROW($A$3:$A$14312)),ROW(30:30)),2))</f>
        <v/>
      </c>
      <c r="CX32" t="str">
        <f t="array" ref="CX32">IF(ISERROR(INDEX($A$3:$B$14312,SMALL(IF($A$3:$A$14312=CX$3,ROW($A$3:$A$14312)),ROW(30:30)),2)),"",INDEX($A$3:$B$14312,SMALL(IF($A$3:$A$14312=CX$3,ROW($A$3:$A$14312)),ROW(30:30)),2))</f>
        <v/>
      </c>
      <c r="CY32" t="str">
        <f t="array" ref="CY32">IF(ISERROR(INDEX($A$3:$B$14312,SMALL(IF($A$3:$A$14312=CY$3,ROW($A$3:$A$14312)),ROW(30:30)),2)),"",INDEX($A$3:$B$14312,SMALL(IF($A$3:$A$14312=CY$3,ROW($A$3:$A$14312)),ROW(30:30)),2))</f>
        <v/>
      </c>
      <c r="CZ32" t="str">
        <f t="array" ref="CZ32">IF(ISERROR(INDEX($A$3:$B$14312,SMALL(IF($A$3:$A$14312=CZ$3,ROW($A$3:$A$14312)),ROW(30:30)),2)),"",INDEX($A$3:$B$14312,SMALL(IF($A$3:$A$14312=CZ$3,ROW($A$3:$A$14312)),ROW(30:30)),2))</f>
        <v/>
      </c>
      <c r="DA32" t="str">
        <f t="array" ref="DA32">IF(ISERROR(INDEX($A$3:$B$14312,SMALL(IF($A$3:$A$14312=DA$3,ROW($A$3:$A$14312)),ROW(30:30)),2)),"",INDEX($A$3:$B$14312,SMALL(IF($A$3:$A$14312=DA$3,ROW($A$3:$A$14312)),ROW(30:30)),2))</f>
        <v>Router3_160</v>
      </c>
      <c r="DB32" t="str">
        <f t="array" ref="DB32">IF(ISERROR(INDEX($A$3:$B$14312,SMALL(IF($A$3:$A$14312=DB$3,ROW($A$3:$A$14312)),ROW(30:30)),2)),"",INDEX($A$3:$B$14312,SMALL(IF($A$3:$A$14312=DB$3,ROW($A$3:$A$14312)),ROW(30:30)),2))</f>
        <v/>
      </c>
      <c r="DC32" t="str">
        <f t="array" ref="DC32">IF(ISERROR(INDEX($A$3:$B$14312,SMALL(IF($A$3:$A$14312=DC$3,ROW($A$3:$A$14312)),ROW(30:30)),2)),"",INDEX($A$3:$B$14312,SMALL(IF($A$3:$A$14312=DC$3,ROW($A$3:$A$14312)),ROW(30:30)),2))</f>
        <v/>
      </c>
      <c r="DD32" t="str">
        <f t="array" ref="DD32">IF(ISERROR(INDEX($A$3:$B$14312,SMALL(IF($A$3:$A$14312=DD$3,ROW($A$3:$A$14312)),ROW(30:30)),2)),"",INDEX($A$3:$B$14312,SMALL(IF($A$3:$A$14312=DD$3,ROW($A$3:$A$14312)),ROW(30:30)),2))</f>
        <v/>
      </c>
      <c r="DE32" t="str">
        <f t="array" ref="DE32">IF(ISERROR(INDEX($A$3:$B$14312,SMALL(IF($A$3:$A$14312=DE$3,ROW($A$3:$A$14312)),ROW(30:30)),2)),"",INDEX($A$3:$B$14312,SMALL(IF($A$3:$A$14312=DE$3,ROW($A$3:$A$14312)),ROW(30:30)),2))</f>
        <v/>
      </c>
      <c r="DF32" t="str">
        <f t="array" ref="DF32">IF(ISERROR(INDEX($A$3:$B$14312,SMALL(IF($A$3:$A$14312=DF$3,ROW($A$3:$A$14312)),ROW(30:30)),2)),"",INDEX($A$3:$B$14312,SMALL(IF($A$3:$A$14312=DF$3,ROW($A$3:$A$14312)),ROW(30:30)),2))</f>
        <v/>
      </c>
      <c r="DG32" t="str">
        <f t="array" ref="DG32">IF(ISERROR(INDEX($A$3:$B$14312,SMALL(IF($A$3:$A$14312=DG$3,ROW($A$3:$A$14312)),ROW(30:30)),2)),"",INDEX($A$3:$B$14312,SMALL(IF($A$3:$A$14312=DG$3,ROW($A$3:$A$14312)),ROW(30:30)),2))</f>
        <v/>
      </c>
      <c r="DH32" t="str">
        <f t="array" ref="DH32">IF(ISERROR(INDEX($A$3:$B$14312,SMALL(IF($A$3:$A$14312=DH$3,ROW($A$3:$A$14312)),ROW(30:30)),2)),"",INDEX($A$3:$B$14312,SMALL(IF($A$3:$A$14312=DH$3,ROW($A$3:$A$14312)),ROW(30:30)),2))</f>
        <v/>
      </c>
      <c r="DI32" t="str">
        <f t="array" ref="DI32">IF(ISERROR(INDEX($A$3:$B$14312,SMALL(IF($A$3:$A$14312=DI$3,ROW($A$3:$A$14312)),ROW(30:30)),2)),"",INDEX($A$3:$B$14312,SMALL(IF($A$3:$A$14312=DI$3,ROW($A$3:$A$14312)),ROW(30:30)),2))</f>
        <v>Router3_96</v>
      </c>
      <c r="DJ32" t="str">
        <f t="array" ref="DJ32">IF(ISERROR(INDEX($A$3:$B$14312,SMALL(IF($A$3:$A$14312=DJ$3,ROW($A$3:$A$14312)),ROW(30:30)),2)),"",INDEX($A$3:$B$14312,SMALL(IF($A$3:$A$14312=DJ$3,ROW($A$3:$A$14312)),ROW(30:30)),2))</f>
        <v/>
      </c>
      <c r="DK32" t="str">
        <f t="array" ref="DK32">IF(ISERROR(INDEX($A$3:$B$14312,SMALL(IF($A$3:$A$14312=DK$3,ROW($A$3:$A$14312)),ROW(30:30)),2)),"",INDEX($A$3:$B$14312,SMALL(IF($A$3:$A$14312=DK$3,ROW($A$3:$A$14312)),ROW(30:30)),2))</f>
        <v>Router3_142</v>
      </c>
      <c r="DL32" t="str">
        <f t="array" ref="DL32">IF(ISERROR(INDEX($A$3:$B$14312,SMALL(IF($A$3:$A$14312=DL$3,ROW($A$3:$A$14312)),ROW(30:30)),2)),"",INDEX($A$3:$B$14312,SMALL(IF($A$3:$A$14312=DL$3,ROW($A$3:$A$14312)),ROW(30:30)),2))</f>
        <v/>
      </c>
      <c r="DM32" t="str">
        <f t="array" ref="DM32">IF(ISERROR(INDEX($A$3:$B$14312,SMALL(IF($A$3:$A$14312=DM$3,ROW($A$3:$A$14312)),ROW(30:30)),2)),"",INDEX($A$3:$B$14312,SMALL(IF($A$3:$A$14312=DM$3,ROW($A$3:$A$14312)),ROW(30:30)),2))</f>
        <v/>
      </c>
      <c r="DN32" t="str">
        <f t="array" ref="DN32">IF(ISERROR(INDEX($A$3:$B$14312,SMALL(IF($A$3:$A$14312=DN$3,ROW($A$3:$A$14312)),ROW(30:30)),2)),"",INDEX($A$3:$B$14312,SMALL(IF($A$3:$A$14312=DN$3,ROW($A$3:$A$14312)),ROW(30:30)),2))</f>
        <v/>
      </c>
      <c r="DO32" t="str">
        <f t="array" ref="DO32">IF(ISERROR(INDEX($A$3:$B$14312,SMALL(IF($A$3:$A$14312=DO$3,ROW($A$3:$A$14312)),ROW(30:30)),2)),"",INDEX($A$3:$B$14312,SMALL(IF($A$3:$A$14312=DO$3,ROW($A$3:$A$14312)),ROW(30:30)),2))</f>
        <v/>
      </c>
      <c r="DP32" t="str">
        <f t="array" ref="DP32">IF(ISERROR(INDEX($A$3:$B$14312,SMALL(IF($A$3:$A$14312=DP$3,ROW($A$3:$A$14312)),ROW(30:30)),2)),"",INDEX($A$3:$B$14312,SMALL(IF($A$3:$A$14312=DP$3,ROW($A$3:$A$14312)),ROW(30:30)),2))</f>
        <v/>
      </c>
      <c r="DQ32" t="str">
        <f t="array" ref="DQ32">IF(ISERROR(INDEX($A$3:$B$14312,SMALL(IF($A$3:$A$14312=DQ$3,ROW($A$3:$A$14312)),ROW(30:30)),2)),"",INDEX($A$3:$B$14312,SMALL(IF($A$3:$A$14312=DQ$3,ROW($A$3:$A$14312)),ROW(30:30)),2))</f>
        <v/>
      </c>
      <c r="DR32" t="str">
        <f t="array" ref="DR32">IF(ISERROR(INDEX($A$3:$B$14312,SMALL(IF($A$3:$A$14312=DR$3,ROW($A$3:$A$14312)),ROW(30:30)),2)),"",INDEX($A$3:$B$14312,SMALL(IF($A$3:$A$14312=DR$3,ROW($A$3:$A$14312)),ROW(30:30)),2))</f>
        <v>Router3_32</v>
      </c>
      <c r="DS32" t="str">
        <f t="array" ref="DS32">IF(ISERROR(INDEX($A$3:$B$14312,SMALL(IF($A$3:$A$14312=DS$3,ROW($A$3:$A$14312)),ROW(30:30)),2)),"",INDEX($A$3:$B$14312,SMALL(IF($A$3:$A$14312=DS$3,ROW($A$3:$A$14312)),ROW(30:30)),2))</f>
        <v/>
      </c>
      <c r="DT32" t="str">
        <f t="array" ref="DT32">IF(ISERROR(INDEX($A$3:$B$14312,SMALL(IF($A$3:$A$14312=DT$3,ROW($A$3:$A$14312)),ROW(30:30)),2)),"",INDEX($A$3:$B$14312,SMALL(IF($A$3:$A$14312=DT$3,ROW($A$3:$A$14312)),ROW(30:30)),2))</f>
        <v>Router3_96</v>
      </c>
      <c r="DU32" t="str">
        <f t="array" ref="DU32">IF(ISERROR(INDEX($A$3:$B$14312,SMALL(IF($A$3:$A$14312=DU$3,ROW($A$3:$A$14312)),ROW(30:30)),2)),"",INDEX($A$3:$B$14312,SMALL(IF($A$3:$A$14312=DU$3,ROW($A$3:$A$14312)),ROW(30:30)),2))</f>
        <v>Router3_147</v>
      </c>
      <c r="DV32" t="str">
        <f t="array" ref="DV32">IF(ISERROR(INDEX($A$3:$B$14312,SMALL(IF($A$3:$A$14312=DV$3,ROW($A$3:$A$14312)),ROW(30:30)),2)),"",INDEX($A$3:$B$14312,SMALL(IF($A$3:$A$14312=DV$3,ROW($A$3:$A$14312)),ROW(30:30)),2))</f>
        <v/>
      </c>
      <c r="DW32" t="str">
        <f t="array" ref="DW32">IF(ISERROR(INDEX($A$3:$B$14312,SMALL(IF($A$3:$A$14312=DW$3,ROW($A$3:$A$14312)),ROW(30:30)),2)),"",INDEX($A$3:$B$14312,SMALL(IF($A$3:$A$14312=DW$3,ROW($A$3:$A$14312)),ROW(30:30)),2))</f>
        <v/>
      </c>
      <c r="DX32" t="str">
        <f t="array" ref="DX32">IF(ISERROR(INDEX($A$3:$B$14312,SMALL(IF($A$3:$A$14312=DX$3,ROW($A$3:$A$14312)),ROW(30:30)),2)),"",INDEX($A$3:$B$14312,SMALL(IF($A$3:$A$14312=DX$3,ROW($A$3:$A$14312)),ROW(30:30)),2))</f>
        <v/>
      </c>
      <c r="DY32" t="str">
        <f t="array" ref="DY32">IF(ISERROR(INDEX($A$3:$B$14312,SMALL(IF($A$3:$A$14312=DY$3,ROW($A$3:$A$14312)),ROW(30:30)),2)),"",INDEX($A$3:$B$14312,SMALL(IF($A$3:$A$14312=DY$3,ROW($A$3:$A$14312)),ROW(30:30)),2))</f>
        <v/>
      </c>
      <c r="DZ32" t="str">
        <f t="array" ref="DZ32">IF(ISERROR(INDEX($A$3:$B$14312,SMALL(IF($A$3:$A$14312=DZ$3,ROW($A$3:$A$14312)),ROW(30:30)),2)),"",INDEX($A$3:$B$14312,SMALL(IF($A$3:$A$14312=DZ$3,ROW($A$3:$A$14312)),ROW(30:30)),2))</f>
        <v/>
      </c>
      <c r="EA32" t="str">
        <f t="array" ref="EA32">IF(ISERROR(INDEX($A$3:$B$14312,SMALL(IF($A$3:$A$14312=EA$3,ROW($A$3:$A$14312)),ROW(30:30)),2)),"",INDEX($A$3:$B$14312,SMALL(IF($A$3:$A$14312=EA$3,ROW($A$3:$A$14312)),ROW(30:30)),2))</f>
        <v/>
      </c>
      <c r="EB32" t="str">
        <f t="array" ref="EB32">IF(ISERROR(INDEX($A$3:$B$14312,SMALL(IF($A$3:$A$14312=EB$3,ROW($A$3:$A$14312)),ROW(30:30)),2)),"",INDEX($A$3:$B$14312,SMALL(IF($A$3:$A$14312=EB$3,ROW($A$3:$A$14312)),ROW(30:30)),2))</f>
        <v/>
      </c>
      <c r="EC32" t="str">
        <f t="array" ref="EC32">IF(ISERROR(INDEX($A$3:$B$14312,SMALL(IF($A$3:$A$14312=EC$3,ROW($A$3:$A$14312)),ROW(30:30)),2)),"",INDEX($A$3:$B$14312,SMALL(IF($A$3:$A$14312=EC$3,ROW($A$3:$A$14312)),ROW(30:30)),2))</f>
        <v>Router3_138</v>
      </c>
      <c r="ED32" t="str">
        <f t="array" ref="ED32">IF(ISERROR(INDEX($A$3:$B$14312,SMALL(IF($A$3:$A$14312=ED$3,ROW($A$3:$A$14312)),ROW(30:30)),2)),"",INDEX($A$3:$B$14312,SMALL(IF($A$3:$A$14312=ED$3,ROW($A$3:$A$14312)),ROW(30:30)),2))</f>
        <v>Router3_152</v>
      </c>
      <c r="EE32" t="str">
        <f t="array" ref="EE32">IF(ISERROR(INDEX($A$3:$B$14312,SMALL(IF($A$3:$A$14312=EE$3,ROW($A$3:$A$14312)),ROW(30:30)),2)),"",INDEX($A$3:$B$14312,SMALL(IF($A$3:$A$14312=EE$3,ROW($A$3:$A$14312)),ROW(30:30)),2))</f>
        <v/>
      </c>
    </row>
    <row r="33" spans="1:135" x14ac:dyDescent="0.25">
      <c r="A33" s="10">
        <v>-450827382</v>
      </c>
      <c r="B33" t="s">
        <v>1168</v>
      </c>
      <c r="E33" t="str">
        <f t="array" ref="E33">IF(ISERROR(INDEX($A$3:$B$14312,SMALL(IF($A$3:$A$14312=E$3,ROW($A$3:$A$14312)),ROW(31:31)),2)),"",INDEX($A$3:$B$14312,SMALL(IF($A$3:$A$14312=E$3,ROW($A$3:$A$14312)),ROW(31:31)),2))</f>
        <v/>
      </c>
      <c r="F33" t="str">
        <f t="array" ref="F33">IF(ISERROR(INDEX($A$3:$B$14312,SMALL(IF($A$3:$A$14312=F$3,ROW($A$3:$A$14312)),ROW(31:31)),2)),"",INDEX($A$3:$B$14312,SMALL(IF($A$3:$A$14312=F$3,ROW($A$3:$A$14312)),ROW(31:31)),2))</f>
        <v>Router3_112</v>
      </c>
      <c r="G33" t="str">
        <f t="array" ref="G33">IF(ISERROR(INDEX($A$3:$B$14312,SMALL(IF($A$3:$A$14312=G$3,ROW($A$3:$A$14312)),ROW(31:31)),2)),"",INDEX($A$3:$B$14312,SMALL(IF($A$3:$A$14312=G$3,ROW($A$3:$A$14312)),ROW(31:31)),2))</f>
        <v/>
      </c>
      <c r="H33" t="str">
        <f t="array" ref="H33">IF(ISERROR(INDEX($A$3:$B$14312,SMALL(IF($A$3:$A$14312=H$3,ROW($A$3:$A$14312)),ROW(31:31)),2)),"",INDEX($A$3:$B$14312,SMALL(IF($A$3:$A$14312=H$3,ROW($A$3:$A$14312)),ROW(31:31)),2))</f>
        <v/>
      </c>
      <c r="I33" t="str">
        <f t="array" ref="I33">IF(ISERROR(INDEX($A$3:$B$14312,SMALL(IF($A$3:$A$14312=I$3,ROW($A$3:$A$14312)),ROW(31:31)),2)),"",INDEX($A$3:$B$14312,SMALL(IF($A$3:$A$14312=I$3,ROW($A$3:$A$14312)),ROW(31:31)),2))</f>
        <v/>
      </c>
      <c r="J33" t="str">
        <f t="array" ref="J33">IF(ISERROR(INDEX($A$3:$B$14312,SMALL(IF($A$3:$A$14312=J$3,ROW($A$3:$A$14312)),ROW(31:31)),2)),"",INDEX($A$3:$B$14312,SMALL(IF($A$3:$A$14312=J$3,ROW($A$3:$A$14312)),ROW(31:31)),2))</f>
        <v>Router3_161</v>
      </c>
      <c r="K33" t="str">
        <f t="array" ref="K33">IF(ISERROR(INDEX($A$3:$B$14312,SMALL(IF($A$3:$A$14312=K$3,ROW($A$3:$A$14312)),ROW(31:31)),2)),"",INDEX($A$3:$B$14312,SMALL(IF($A$3:$A$14312=K$3,ROW($A$3:$A$14312)),ROW(31:31)),2))</f>
        <v/>
      </c>
      <c r="L33" t="str">
        <f t="array" ref="L33">IF(ISERROR(INDEX($A$3:$B$14312,SMALL(IF($A$3:$A$14312=L$3,ROW($A$3:$A$14312)),ROW(31:31)),2)),"",INDEX($A$3:$B$14312,SMALL(IF($A$3:$A$14312=L$3,ROW($A$3:$A$14312)),ROW(31:31)),2))</f>
        <v/>
      </c>
      <c r="M33" t="str">
        <f t="array" ref="M33">IF(ISERROR(INDEX($A$3:$B$14312,SMALL(IF($A$3:$A$14312=M$3,ROW($A$3:$A$14312)),ROW(31:31)),2)),"",INDEX($A$3:$B$14312,SMALL(IF($A$3:$A$14312=M$3,ROW($A$3:$A$14312)),ROW(31:31)),2))</f>
        <v/>
      </c>
      <c r="N33" t="str">
        <f t="array" ref="N33">IF(ISERROR(INDEX($A$3:$B$14312,SMALL(IF($A$3:$A$14312=N$3,ROW($A$3:$A$14312)),ROW(31:31)),2)),"",INDEX($A$3:$B$14312,SMALL(IF($A$3:$A$14312=N$3,ROW($A$3:$A$14312)),ROW(31:31)),2))</f>
        <v/>
      </c>
      <c r="O33" t="str">
        <f t="array" ref="O33">IF(ISERROR(INDEX($A$3:$B$14312,SMALL(IF($A$3:$A$14312=O$3,ROW($A$3:$A$14312)),ROW(31:31)),2)),"",INDEX($A$3:$B$14312,SMALL(IF($A$3:$A$14312=O$3,ROW($A$3:$A$14312)),ROW(31:31)),2))</f>
        <v/>
      </c>
      <c r="P33" t="str">
        <f t="array" ref="P33">IF(ISERROR(INDEX($A$3:$B$14312,SMALL(IF($A$3:$A$14312=P$3,ROW($A$3:$A$14312)),ROW(31:31)),2)),"",INDEX($A$3:$B$14312,SMALL(IF($A$3:$A$14312=P$3,ROW($A$3:$A$14312)),ROW(31:31)),2))</f>
        <v/>
      </c>
      <c r="Q33" t="str">
        <f t="array" ref="Q33">IF(ISERROR(INDEX($A$3:$B$14312,SMALL(IF($A$3:$A$14312=Q$3,ROW($A$3:$A$14312)),ROW(31:31)),2)),"",INDEX($A$3:$B$14312,SMALL(IF($A$3:$A$14312=Q$3,ROW($A$3:$A$14312)),ROW(31:31)),2))</f>
        <v/>
      </c>
      <c r="R33" t="str">
        <f t="array" ref="R33">IF(ISERROR(INDEX($A$3:$B$14312,SMALL(IF($A$3:$A$14312=R$3,ROW($A$3:$A$14312)),ROW(31:31)),2)),"",INDEX($A$3:$B$14312,SMALL(IF($A$3:$A$14312=R$3,ROW($A$3:$A$14312)),ROW(31:31)),2))</f>
        <v/>
      </c>
      <c r="S33" t="str">
        <f t="array" ref="S33">IF(ISERROR(INDEX($A$3:$B$14312,SMALL(IF($A$3:$A$14312=S$3,ROW($A$3:$A$14312)),ROW(31:31)),2)),"",INDEX($A$3:$B$14312,SMALL(IF($A$3:$A$14312=S$3,ROW($A$3:$A$14312)),ROW(31:31)),2))</f>
        <v/>
      </c>
      <c r="T33" t="str">
        <f t="array" ref="T33">IF(ISERROR(INDEX($A$3:$B$14312,SMALL(IF($A$3:$A$14312=T$3,ROW($A$3:$A$14312)),ROW(31:31)),2)),"",INDEX($A$3:$B$14312,SMALL(IF($A$3:$A$14312=T$3,ROW($A$3:$A$14312)),ROW(31:31)),2))</f>
        <v/>
      </c>
      <c r="U33" t="str">
        <f t="array" ref="U33">IF(ISERROR(INDEX($A$3:$B$14312,SMALL(IF($A$3:$A$14312=U$3,ROW($A$3:$A$14312)),ROW(31:31)),2)),"",INDEX($A$3:$B$14312,SMALL(IF($A$3:$A$14312=U$3,ROW($A$3:$A$14312)),ROW(31:31)),2))</f>
        <v/>
      </c>
      <c r="V33" t="str">
        <f t="array" ref="V33">IF(ISERROR(INDEX($A$3:$B$14312,SMALL(IF($A$3:$A$14312=V$3,ROW($A$3:$A$14312)),ROW(31:31)),2)),"",INDEX($A$3:$B$14312,SMALL(IF($A$3:$A$14312=V$3,ROW($A$3:$A$14312)),ROW(31:31)),2))</f>
        <v/>
      </c>
      <c r="W33" t="str">
        <f t="array" ref="W33">IF(ISERROR(INDEX($A$3:$B$14312,SMALL(IF($A$3:$A$14312=W$3,ROW($A$3:$A$14312)),ROW(31:31)),2)),"",INDEX($A$3:$B$14312,SMALL(IF($A$3:$A$14312=W$3,ROW($A$3:$A$14312)),ROW(31:31)),2))</f>
        <v>Router3_143</v>
      </c>
      <c r="X33" t="str">
        <f t="array" ref="X33">IF(ISERROR(INDEX($A$3:$B$14312,SMALL(IF($A$3:$A$14312=X$3,ROW($A$3:$A$14312)),ROW(31:31)),2)),"",INDEX($A$3:$B$14312,SMALL(IF($A$3:$A$14312=X$3,ROW($A$3:$A$14312)),ROW(31:31)),2))</f>
        <v/>
      </c>
      <c r="Y33" t="str">
        <f t="array" ref="Y33">IF(ISERROR(INDEX($A$3:$B$14312,SMALL(IF($A$3:$A$14312=Y$3,ROW($A$3:$A$14312)),ROW(31:31)),2)),"",INDEX($A$3:$B$14312,SMALL(IF($A$3:$A$14312=Y$3,ROW($A$3:$A$14312)),ROW(31:31)),2))</f>
        <v/>
      </c>
      <c r="Z33" t="str">
        <f t="array" ref="Z33">IF(ISERROR(INDEX($A$3:$B$14312,SMALL(IF($A$3:$A$14312=Z$3,ROW($A$3:$A$14312)),ROW(31:31)),2)),"",INDEX($A$3:$B$14312,SMALL(IF($A$3:$A$14312=Z$3,ROW($A$3:$A$14312)),ROW(31:31)),2))</f>
        <v/>
      </c>
      <c r="AA33" t="str">
        <f t="array" ref="AA33">IF(ISERROR(INDEX($A$3:$B$14312,SMALL(IF($A$3:$A$14312=AA$3,ROW($A$3:$A$14312)),ROW(31:31)),2)),"",INDEX($A$3:$B$14312,SMALL(IF($A$3:$A$14312=AA$3,ROW($A$3:$A$14312)),ROW(31:31)),2))</f>
        <v/>
      </c>
      <c r="AB33" t="str">
        <f t="array" ref="AB33">IF(ISERROR(INDEX($A$3:$B$14312,SMALL(IF($A$3:$A$14312=AB$3,ROW($A$3:$A$14312)),ROW(31:31)),2)),"",INDEX($A$3:$B$14312,SMALL(IF($A$3:$A$14312=AB$3,ROW($A$3:$A$14312)),ROW(31:31)),2))</f>
        <v/>
      </c>
      <c r="AC33" t="str">
        <f t="array" ref="AC33">IF(ISERROR(INDEX($A$3:$B$14312,SMALL(IF($A$3:$A$14312=AC$3,ROW($A$3:$A$14312)),ROW(31:31)),2)),"",INDEX($A$3:$B$14312,SMALL(IF($A$3:$A$14312=AC$3,ROW($A$3:$A$14312)),ROW(31:31)),2))</f>
        <v/>
      </c>
      <c r="AD33" t="str">
        <f t="array" ref="AD33">IF(ISERROR(INDEX($A$3:$B$14312,SMALL(IF($A$3:$A$14312=AD$3,ROW($A$3:$A$14312)),ROW(31:31)),2)),"",INDEX($A$3:$B$14312,SMALL(IF($A$3:$A$14312=AD$3,ROW($A$3:$A$14312)),ROW(31:31)),2))</f>
        <v/>
      </c>
      <c r="AE33" t="str">
        <f t="array" ref="AE33">IF(ISERROR(INDEX($A$3:$B$14312,SMALL(IF($A$3:$A$14312=AE$3,ROW($A$3:$A$14312)),ROW(31:31)),2)),"",INDEX($A$3:$B$14312,SMALL(IF($A$3:$A$14312=AE$3,ROW($A$3:$A$14312)),ROW(31:31)),2))</f>
        <v/>
      </c>
      <c r="AF33" t="str">
        <f t="array" ref="AF33">IF(ISERROR(INDEX($A$3:$B$14312,SMALL(IF($A$3:$A$14312=AF$3,ROW($A$3:$A$14312)),ROW(31:31)),2)),"",INDEX($A$3:$B$14312,SMALL(IF($A$3:$A$14312=AF$3,ROW($A$3:$A$14312)),ROW(31:31)),2))</f>
        <v/>
      </c>
      <c r="AG33" t="str">
        <f t="array" ref="AG33">IF(ISERROR(INDEX($A$3:$B$14312,SMALL(IF($A$3:$A$14312=AG$3,ROW($A$3:$A$14312)),ROW(31:31)),2)),"",INDEX($A$3:$B$14312,SMALL(IF($A$3:$A$14312=AG$3,ROW($A$3:$A$14312)),ROW(31:31)),2))</f>
        <v/>
      </c>
      <c r="AH33" t="str">
        <f t="array" ref="AH33">IF(ISERROR(INDEX($A$3:$B$14312,SMALL(IF($A$3:$A$14312=AH$3,ROW($A$3:$A$14312)),ROW(31:31)),2)),"",INDEX($A$3:$B$14312,SMALL(IF($A$3:$A$14312=AH$3,ROW($A$3:$A$14312)),ROW(31:31)),2))</f>
        <v/>
      </c>
      <c r="AI33" t="str">
        <f t="array" ref="AI33">IF(ISERROR(INDEX($A$3:$B$14312,SMALL(IF($A$3:$A$14312=AI$3,ROW($A$3:$A$14312)),ROW(31:31)),2)),"",INDEX($A$3:$B$14312,SMALL(IF($A$3:$A$14312=AI$3,ROW($A$3:$A$14312)),ROW(31:31)),2))</f>
        <v/>
      </c>
      <c r="AJ33" t="str">
        <f t="array" ref="AJ33">IF(ISERROR(INDEX($A$3:$B$14312,SMALL(IF($A$3:$A$14312=AJ$3,ROW($A$3:$A$14312)),ROW(31:31)),2)),"",INDEX($A$3:$B$14312,SMALL(IF($A$3:$A$14312=AJ$3,ROW($A$3:$A$14312)),ROW(31:31)),2))</f>
        <v/>
      </c>
      <c r="AK33" t="str">
        <f t="array" ref="AK33">IF(ISERROR(INDEX($A$3:$B$14312,SMALL(IF($A$3:$A$14312=AK$3,ROW($A$3:$A$14312)),ROW(31:31)),2)),"",INDEX($A$3:$B$14312,SMALL(IF($A$3:$A$14312=AK$3,ROW($A$3:$A$14312)),ROW(31:31)),2))</f>
        <v/>
      </c>
      <c r="AL33" t="str">
        <f t="array" ref="AL33">IF(ISERROR(INDEX($A$3:$B$14312,SMALL(IF($A$3:$A$14312=AL$3,ROW($A$3:$A$14312)),ROW(31:31)),2)),"",INDEX($A$3:$B$14312,SMALL(IF($A$3:$A$14312=AL$3,ROW($A$3:$A$14312)),ROW(31:31)),2))</f>
        <v/>
      </c>
      <c r="AM33" t="str">
        <f t="array" ref="AM33">IF(ISERROR(INDEX($A$3:$B$14312,SMALL(IF($A$3:$A$14312=AM$3,ROW($A$3:$A$14312)),ROW(31:31)),2)),"",INDEX($A$3:$B$14312,SMALL(IF($A$3:$A$14312=AM$3,ROW($A$3:$A$14312)),ROW(31:31)),2))</f>
        <v>Router3_151</v>
      </c>
      <c r="AN33" t="str">
        <f t="array" ref="AN33">IF(ISERROR(INDEX($A$3:$B$14312,SMALL(IF($A$3:$A$14312=AN$3,ROW($A$3:$A$14312)),ROW(31:31)),2)),"",INDEX($A$3:$B$14312,SMALL(IF($A$3:$A$14312=AN$3,ROW($A$3:$A$14312)),ROW(31:31)),2))</f>
        <v/>
      </c>
      <c r="AO33" t="str">
        <f t="array" ref="AO33">IF(ISERROR(INDEX($A$3:$B$14312,SMALL(IF($A$3:$A$14312=AO$3,ROW($A$3:$A$14312)),ROW(31:31)),2)),"",INDEX($A$3:$B$14312,SMALL(IF($A$3:$A$14312=AO$3,ROW($A$3:$A$14312)),ROW(31:31)),2))</f>
        <v/>
      </c>
      <c r="AP33" t="str">
        <f t="array" ref="AP33">IF(ISERROR(INDEX($A$3:$B$14312,SMALL(IF($A$3:$A$14312=AP$3,ROW($A$3:$A$14312)),ROW(31:31)),2)),"",INDEX($A$3:$B$14312,SMALL(IF($A$3:$A$14312=AP$3,ROW($A$3:$A$14312)),ROW(31:31)),2))</f>
        <v/>
      </c>
      <c r="AQ33" t="str">
        <f t="array" ref="AQ33">IF(ISERROR(INDEX($A$3:$B$14312,SMALL(IF($A$3:$A$14312=AQ$3,ROW($A$3:$A$14312)),ROW(31:31)),2)),"",INDEX($A$3:$B$14312,SMALL(IF($A$3:$A$14312=AQ$3,ROW($A$3:$A$14312)),ROW(31:31)),2))</f>
        <v/>
      </c>
      <c r="AR33" t="str">
        <f t="array" ref="AR33">IF(ISERROR(INDEX($A$3:$B$14312,SMALL(IF($A$3:$A$14312=AR$3,ROW($A$3:$A$14312)),ROW(31:31)),2)),"",INDEX($A$3:$B$14312,SMALL(IF($A$3:$A$14312=AR$3,ROW($A$3:$A$14312)),ROW(31:31)),2))</f>
        <v/>
      </c>
      <c r="AS33" t="str">
        <f t="array" ref="AS33">IF(ISERROR(INDEX($A$3:$B$14312,SMALL(IF($A$3:$A$14312=AS$3,ROW($A$3:$A$14312)),ROW(31:31)),2)),"",INDEX($A$3:$B$14312,SMALL(IF($A$3:$A$14312=AS$3,ROW($A$3:$A$14312)),ROW(31:31)),2))</f>
        <v>Router3_44</v>
      </c>
      <c r="AT33" t="str">
        <f t="array" ref="AT33">IF(ISERROR(INDEX($A$3:$B$14312,SMALL(IF($A$3:$A$14312=AT$3,ROW($A$3:$A$14312)),ROW(31:31)),2)),"",INDEX($A$3:$B$14312,SMALL(IF($A$3:$A$14312=AT$3,ROW($A$3:$A$14312)),ROW(31:31)),2))</f>
        <v/>
      </c>
      <c r="AU33" t="str">
        <f t="array" ref="AU33">IF(ISERROR(INDEX($A$3:$B$14312,SMALL(IF($A$3:$A$14312=AU$3,ROW($A$3:$A$14312)),ROW(31:31)),2)),"",INDEX($A$3:$B$14312,SMALL(IF($A$3:$A$14312=AU$3,ROW($A$3:$A$14312)),ROW(31:31)),2))</f>
        <v/>
      </c>
      <c r="AV33" t="str">
        <f t="array" ref="AV33">IF(ISERROR(INDEX($A$3:$B$14312,SMALL(IF($A$3:$A$14312=AV$3,ROW($A$3:$A$14312)),ROW(31:31)),2)),"",INDEX($A$3:$B$14312,SMALL(IF($A$3:$A$14312=AV$3,ROW($A$3:$A$14312)),ROW(31:31)),2))</f>
        <v/>
      </c>
      <c r="AW33" t="str">
        <f t="array" ref="AW33">IF(ISERROR(INDEX($A$3:$B$14312,SMALL(IF($A$3:$A$14312=AW$3,ROW($A$3:$A$14312)),ROW(31:31)),2)),"",INDEX($A$3:$B$14312,SMALL(IF($A$3:$A$14312=AW$3,ROW($A$3:$A$14312)),ROW(31:31)),2))</f>
        <v/>
      </c>
      <c r="AX33" t="str">
        <f t="array" ref="AX33">IF(ISERROR(INDEX($A$3:$B$14312,SMALL(IF($A$3:$A$14312=AX$3,ROW($A$3:$A$14312)),ROW(31:31)),2)),"",INDEX($A$3:$B$14312,SMALL(IF($A$3:$A$14312=AX$3,ROW($A$3:$A$14312)),ROW(31:31)),2))</f>
        <v/>
      </c>
      <c r="AY33" t="str">
        <f t="array" ref="AY33">IF(ISERROR(INDEX($A$3:$B$14312,SMALL(IF($A$3:$A$14312=AY$3,ROW($A$3:$A$14312)),ROW(31:31)),2)),"",INDEX($A$3:$B$14312,SMALL(IF($A$3:$A$14312=AY$3,ROW($A$3:$A$14312)),ROW(31:31)),2))</f>
        <v>Router3_153</v>
      </c>
      <c r="AZ33" t="str">
        <f t="array" ref="AZ33">IF(ISERROR(INDEX($A$3:$B$14312,SMALL(IF($A$3:$A$14312=AZ$3,ROW($A$3:$A$14312)),ROW(31:31)),2)),"",INDEX($A$3:$B$14312,SMALL(IF($A$3:$A$14312=AZ$3,ROW($A$3:$A$14312)),ROW(31:31)),2))</f>
        <v/>
      </c>
      <c r="BA33" t="str">
        <f t="array" ref="BA33">IF(ISERROR(INDEX($A$3:$B$14312,SMALL(IF($A$3:$A$14312=BA$3,ROW($A$3:$A$14312)),ROW(31:31)),2)),"",INDEX($A$3:$B$14312,SMALL(IF($A$3:$A$14312=BA$3,ROW($A$3:$A$14312)),ROW(31:31)),2))</f>
        <v/>
      </c>
      <c r="BB33" t="str">
        <f t="array" ref="BB33">IF(ISERROR(INDEX($A$3:$B$14312,SMALL(IF($A$3:$A$14312=BB$3,ROW($A$3:$A$14312)),ROW(31:31)),2)),"",INDEX($A$3:$B$14312,SMALL(IF($A$3:$A$14312=BB$3,ROW($A$3:$A$14312)),ROW(31:31)),2))</f>
        <v/>
      </c>
      <c r="BC33" t="str">
        <f t="array" ref="BC33">IF(ISERROR(INDEX($A$3:$B$14312,SMALL(IF($A$3:$A$14312=BC$3,ROW($A$3:$A$14312)),ROW(31:31)),2)),"",INDEX($A$3:$B$14312,SMALL(IF($A$3:$A$14312=BC$3,ROW($A$3:$A$14312)),ROW(31:31)),2))</f>
        <v/>
      </c>
      <c r="BD33" t="str">
        <f t="array" ref="BD33">IF(ISERROR(INDEX($A$3:$B$14312,SMALL(IF($A$3:$A$14312=BD$3,ROW($A$3:$A$14312)),ROW(31:31)),2)),"",INDEX($A$3:$B$14312,SMALL(IF($A$3:$A$14312=BD$3,ROW($A$3:$A$14312)),ROW(31:31)),2))</f>
        <v/>
      </c>
      <c r="BE33" t="str">
        <f t="array" ref="BE33">IF(ISERROR(INDEX($A$3:$B$14312,SMALL(IF($A$3:$A$14312=BE$3,ROW($A$3:$A$14312)),ROW(31:31)),2)),"",INDEX($A$3:$B$14312,SMALL(IF($A$3:$A$14312=BE$3,ROW($A$3:$A$14312)),ROW(31:31)),2))</f>
        <v/>
      </c>
      <c r="BF33" t="str">
        <f t="array" ref="BF33">IF(ISERROR(INDEX($A$3:$B$14312,SMALL(IF($A$3:$A$14312=BF$3,ROW($A$3:$A$14312)),ROW(31:31)),2)),"",INDEX($A$3:$B$14312,SMALL(IF($A$3:$A$14312=BF$3,ROW($A$3:$A$14312)),ROW(31:31)),2))</f>
        <v/>
      </c>
      <c r="BG33" t="str">
        <f t="array" ref="BG33">IF(ISERROR(INDEX($A$3:$B$14312,SMALL(IF($A$3:$A$14312=BG$3,ROW($A$3:$A$14312)),ROW(31:31)),2)),"",INDEX($A$3:$B$14312,SMALL(IF($A$3:$A$14312=BG$3,ROW($A$3:$A$14312)),ROW(31:31)),2))</f>
        <v/>
      </c>
      <c r="BH33" t="str">
        <f t="array" ref="BH33">IF(ISERROR(INDEX($A$3:$B$14312,SMALL(IF($A$3:$A$14312=BH$3,ROW($A$3:$A$14312)),ROW(31:31)),2)),"",INDEX($A$3:$B$14312,SMALL(IF($A$3:$A$14312=BH$3,ROW($A$3:$A$14312)),ROW(31:31)),2))</f>
        <v/>
      </c>
      <c r="BI33" t="str">
        <f t="array" ref="BI33">IF(ISERROR(INDEX($A$3:$B$14312,SMALL(IF($A$3:$A$14312=BI$3,ROW($A$3:$A$14312)),ROW(31:31)),2)),"",INDEX($A$3:$B$14312,SMALL(IF($A$3:$A$14312=BI$3,ROW($A$3:$A$14312)),ROW(31:31)),2))</f>
        <v/>
      </c>
      <c r="BJ33" t="str">
        <f t="array" ref="BJ33">IF(ISERROR(INDEX($A$3:$B$14312,SMALL(IF($A$3:$A$14312=BJ$3,ROW($A$3:$A$14312)),ROW(31:31)),2)),"",INDEX($A$3:$B$14312,SMALL(IF($A$3:$A$14312=BJ$3,ROW($A$3:$A$14312)),ROW(31:31)),2))</f>
        <v/>
      </c>
      <c r="BK33" t="str">
        <f t="array" ref="BK33">IF(ISERROR(INDEX($A$3:$B$14312,SMALL(IF($A$3:$A$14312=BK$3,ROW($A$3:$A$14312)),ROW(31:31)),2)),"",INDEX($A$3:$B$14312,SMALL(IF($A$3:$A$14312=BK$3,ROW($A$3:$A$14312)),ROW(31:31)),2))</f>
        <v/>
      </c>
      <c r="BL33" t="str">
        <f t="array" ref="BL33">IF(ISERROR(INDEX($A$3:$B$14312,SMALL(IF($A$3:$A$14312=BL$3,ROW($A$3:$A$14312)),ROW(31:31)),2)),"",INDEX($A$3:$B$14312,SMALL(IF($A$3:$A$14312=BL$3,ROW($A$3:$A$14312)),ROW(31:31)),2))</f>
        <v/>
      </c>
      <c r="BM33" t="str">
        <f t="array" ref="BM33">IF(ISERROR(INDEX($A$3:$B$14312,SMALL(IF($A$3:$A$14312=BM$3,ROW($A$3:$A$14312)),ROW(31:31)),2)),"",INDEX($A$3:$B$14312,SMALL(IF($A$3:$A$14312=BM$3,ROW($A$3:$A$14312)),ROW(31:31)),2))</f>
        <v/>
      </c>
      <c r="BN33" t="str">
        <f t="array" ref="BN33">IF(ISERROR(INDEX($A$3:$B$14312,SMALL(IF($A$3:$A$14312=BN$3,ROW($A$3:$A$14312)),ROW(31:31)),2)),"",INDEX($A$3:$B$14312,SMALL(IF($A$3:$A$14312=BN$3,ROW($A$3:$A$14312)),ROW(31:31)),2))</f>
        <v/>
      </c>
      <c r="BO33" t="str">
        <f t="array" ref="BO33">IF(ISERROR(INDEX($A$3:$B$14312,SMALL(IF($A$3:$A$14312=BO$3,ROW($A$3:$A$14312)),ROW(31:31)),2)),"",INDEX($A$3:$B$14312,SMALL(IF($A$3:$A$14312=BO$3,ROW($A$3:$A$14312)),ROW(31:31)),2))</f>
        <v/>
      </c>
      <c r="BP33" t="str">
        <f t="array" ref="BP33">IF(ISERROR(INDEX($A$3:$B$14312,SMALL(IF($A$3:$A$14312=BP$3,ROW($A$3:$A$14312)),ROW(31:31)),2)),"",INDEX($A$3:$B$14312,SMALL(IF($A$3:$A$14312=BP$3,ROW($A$3:$A$14312)),ROW(31:31)),2))</f>
        <v/>
      </c>
      <c r="BQ33" t="str">
        <f t="array" ref="BQ33">IF(ISERROR(INDEX($A$3:$B$14312,SMALL(IF($A$3:$A$14312=BQ$3,ROW($A$3:$A$14312)),ROW(31:31)),2)),"",INDEX($A$3:$B$14312,SMALL(IF($A$3:$A$14312=BQ$3,ROW($A$3:$A$14312)),ROW(31:31)),2))</f>
        <v/>
      </c>
      <c r="BR33" t="str">
        <f t="array" ref="BR33">IF(ISERROR(INDEX($A$3:$B$14312,SMALL(IF($A$3:$A$14312=BR$3,ROW($A$3:$A$14312)),ROW(31:31)),2)),"",INDEX($A$3:$B$14312,SMALL(IF($A$3:$A$14312=BR$3,ROW($A$3:$A$14312)),ROW(31:31)),2))</f>
        <v/>
      </c>
      <c r="BS33" t="str">
        <f t="array" ref="BS33">IF(ISERROR(INDEX($A$3:$B$14312,SMALL(IF($A$3:$A$14312=BS$3,ROW($A$3:$A$14312)),ROW(31:31)),2)),"",INDEX($A$3:$B$14312,SMALL(IF($A$3:$A$14312=BS$3,ROW($A$3:$A$14312)),ROW(31:31)),2))</f>
        <v/>
      </c>
      <c r="BT33" t="str">
        <f t="array" ref="BT33">IF(ISERROR(INDEX($A$3:$B$14312,SMALL(IF($A$3:$A$14312=BT$3,ROW($A$3:$A$14312)),ROW(31:31)),2)),"",INDEX($A$3:$B$14312,SMALL(IF($A$3:$A$14312=BT$3,ROW($A$3:$A$14312)),ROW(31:31)),2))</f>
        <v>Router3_117</v>
      </c>
      <c r="BU33" t="str">
        <f t="array" ref="BU33">IF(ISERROR(INDEX($A$3:$B$14312,SMALL(IF($A$3:$A$14312=BU$3,ROW($A$3:$A$14312)),ROW(31:31)),2)),"",INDEX($A$3:$B$14312,SMALL(IF($A$3:$A$14312=BU$3,ROW($A$3:$A$14312)),ROW(31:31)),2))</f>
        <v/>
      </c>
      <c r="BV33" t="str">
        <f t="array" ref="BV33">IF(ISERROR(INDEX($A$3:$B$14312,SMALL(IF($A$3:$A$14312=BV$3,ROW($A$3:$A$14312)),ROW(31:31)),2)),"",INDEX($A$3:$B$14312,SMALL(IF($A$3:$A$14312=BV$3,ROW($A$3:$A$14312)),ROW(31:31)),2))</f>
        <v/>
      </c>
      <c r="BW33" t="str">
        <f t="array" ref="BW33">IF(ISERROR(INDEX($A$3:$B$14312,SMALL(IF($A$3:$A$14312=BW$3,ROW($A$3:$A$14312)),ROW(31:31)),2)),"",INDEX($A$3:$B$14312,SMALL(IF($A$3:$A$14312=BW$3,ROW($A$3:$A$14312)),ROW(31:31)),2))</f>
        <v/>
      </c>
      <c r="BX33" t="str">
        <f t="array" ref="BX33">IF(ISERROR(INDEX($A$3:$B$14312,SMALL(IF($A$3:$A$14312=BX$3,ROW($A$3:$A$14312)),ROW(31:31)),2)),"",INDEX($A$3:$B$14312,SMALL(IF($A$3:$A$14312=BX$3,ROW($A$3:$A$14312)),ROW(31:31)),2))</f>
        <v/>
      </c>
      <c r="BY33" t="str">
        <f t="array" ref="BY33">IF(ISERROR(INDEX($A$3:$B$14312,SMALL(IF($A$3:$A$14312=BY$3,ROW($A$3:$A$14312)),ROW(31:31)),2)),"",INDEX($A$3:$B$14312,SMALL(IF($A$3:$A$14312=BY$3,ROW($A$3:$A$14312)),ROW(31:31)),2))</f>
        <v>Router3_13</v>
      </c>
      <c r="BZ33" t="str">
        <f t="array" ref="BZ33">IF(ISERROR(INDEX($A$3:$B$14312,SMALL(IF($A$3:$A$14312=BZ$3,ROW($A$3:$A$14312)),ROW(31:31)),2)),"",INDEX($A$3:$B$14312,SMALL(IF($A$3:$A$14312=BZ$3,ROW($A$3:$A$14312)),ROW(31:31)),2))</f>
        <v>Router3_13</v>
      </c>
      <c r="CA33" t="str">
        <f t="array" ref="CA33">IF(ISERROR(INDEX($A$3:$B$14312,SMALL(IF($A$3:$A$14312=CA$3,ROW($A$3:$A$14312)),ROW(31:31)),2)),"",INDEX($A$3:$B$14312,SMALL(IF($A$3:$A$14312=CA$3,ROW($A$3:$A$14312)),ROW(31:31)),2))</f>
        <v/>
      </c>
      <c r="CB33" t="str">
        <f t="array" ref="CB33">IF(ISERROR(INDEX($A$3:$B$14312,SMALL(IF($A$3:$A$14312=CB$3,ROW($A$3:$A$14312)),ROW(31:31)),2)),"",INDEX($A$3:$B$14312,SMALL(IF($A$3:$A$14312=CB$3,ROW($A$3:$A$14312)),ROW(31:31)),2))</f>
        <v/>
      </c>
      <c r="CC33" t="str">
        <f t="array" ref="CC33">IF(ISERROR(INDEX($A$3:$B$14312,SMALL(IF($A$3:$A$14312=CC$3,ROW($A$3:$A$14312)),ROW(31:31)),2)),"",INDEX($A$3:$B$14312,SMALL(IF($A$3:$A$14312=CC$3,ROW($A$3:$A$14312)),ROW(31:31)),2))</f>
        <v/>
      </c>
      <c r="CD33" t="str">
        <f t="array" ref="CD33">IF(ISERROR(INDEX($A$3:$B$14312,SMALL(IF($A$3:$A$14312=CD$3,ROW($A$3:$A$14312)),ROW(31:31)),2)),"",INDEX($A$3:$B$14312,SMALL(IF($A$3:$A$14312=CD$3,ROW($A$3:$A$14312)),ROW(31:31)),2))</f>
        <v/>
      </c>
      <c r="CE33" t="str">
        <f t="array" ref="CE33">IF(ISERROR(INDEX($A$3:$B$14312,SMALL(IF($A$3:$A$14312=CE$3,ROW($A$3:$A$14312)),ROW(31:31)),2)),"",INDEX($A$3:$B$14312,SMALL(IF($A$3:$A$14312=CE$3,ROW($A$3:$A$14312)),ROW(31:31)),2))</f>
        <v/>
      </c>
      <c r="CF33" t="str">
        <f t="array" ref="CF33">IF(ISERROR(INDEX($A$3:$B$14312,SMALL(IF($A$3:$A$14312=CF$3,ROW($A$3:$A$14312)),ROW(31:31)),2)),"",INDEX($A$3:$B$14312,SMALL(IF($A$3:$A$14312=CF$3,ROW($A$3:$A$14312)),ROW(31:31)),2))</f>
        <v/>
      </c>
      <c r="CG33" t="str">
        <f t="array" ref="CG33">IF(ISERROR(INDEX($A$3:$B$14312,SMALL(IF($A$3:$A$14312=CG$3,ROW($A$3:$A$14312)),ROW(31:31)),2)),"",INDEX($A$3:$B$14312,SMALL(IF($A$3:$A$14312=CG$3,ROW($A$3:$A$14312)),ROW(31:31)),2))</f>
        <v/>
      </c>
      <c r="CH33" t="str">
        <f t="array" ref="CH33">IF(ISERROR(INDEX($A$3:$B$14312,SMALL(IF($A$3:$A$14312=CH$3,ROW($A$3:$A$14312)),ROW(31:31)),2)),"",INDEX($A$3:$B$14312,SMALL(IF($A$3:$A$14312=CH$3,ROW($A$3:$A$14312)),ROW(31:31)),2))</f>
        <v/>
      </c>
      <c r="CI33" t="str">
        <f t="array" ref="CI33">IF(ISERROR(INDEX($A$3:$B$14312,SMALL(IF($A$3:$A$14312=CI$3,ROW($A$3:$A$14312)),ROW(31:31)),2)),"",INDEX($A$3:$B$14312,SMALL(IF($A$3:$A$14312=CI$3,ROW($A$3:$A$14312)),ROW(31:31)),2))</f>
        <v/>
      </c>
      <c r="CJ33" t="str">
        <f t="array" ref="CJ33">IF(ISERROR(INDEX($A$3:$B$14312,SMALL(IF($A$3:$A$14312=CJ$3,ROW($A$3:$A$14312)),ROW(31:31)),2)),"",INDEX($A$3:$B$14312,SMALL(IF($A$3:$A$14312=CJ$3,ROW($A$3:$A$14312)),ROW(31:31)),2))</f>
        <v/>
      </c>
      <c r="CK33" t="str">
        <f t="array" ref="CK33">IF(ISERROR(INDEX($A$3:$B$14312,SMALL(IF($A$3:$A$14312=CK$3,ROW($A$3:$A$14312)),ROW(31:31)),2)),"",INDEX($A$3:$B$14312,SMALL(IF($A$3:$A$14312=CK$3,ROW($A$3:$A$14312)),ROW(31:31)),2))</f>
        <v/>
      </c>
      <c r="CL33" t="str">
        <f t="array" ref="CL33">IF(ISERROR(INDEX($A$3:$B$14312,SMALL(IF($A$3:$A$14312=CL$3,ROW($A$3:$A$14312)),ROW(31:31)),2)),"",INDEX($A$3:$B$14312,SMALL(IF($A$3:$A$14312=CL$3,ROW($A$3:$A$14312)),ROW(31:31)),2))</f>
        <v/>
      </c>
      <c r="CM33" t="str">
        <f t="array" ref="CM33">IF(ISERROR(INDEX($A$3:$B$14312,SMALL(IF($A$3:$A$14312=CM$3,ROW($A$3:$A$14312)),ROW(31:31)),2)),"",INDEX($A$3:$B$14312,SMALL(IF($A$3:$A$14312=CM$3,ROW($A$3:$A$14312)),ROW(31:31)),2))</f>
        <v/>
      </c>
      <c r="CN33" t="str">
        <f t="array" ref="CN33">IF(ISERROR(INDEX($A$3:$B$14312,SMALL(IF($A$3:$A$14312=CN$3,ROW($A$3:$A$14312)),ROW(31:31)),2)),"",INDEX($A$3:$B$14312,SMALL(IF($A$3:$A$14312=CN$3,ROW($A$3:$A$14312)),ROW(31:31)),2))</f>
        <v/>
      </c>
      <c r="CO33" t="str">
        <f t="array" ref="CO33">IF(ISERROR(INDEX($A$3:$B$14312,SMALL(IF($A$3:$A$14312=CO$3,ROW($A$3:$A$14312)),ROW(31:31)),2)),"",INDEX($A$3:$B$14312,SMALL(IF($A$3:$A$14312=CO$3,ROW($A$3:$A$14312)),ROW(31:31)),2))</f>
        <v>Router3_5</v>
      </c>
      <c r="CP33" t="str">
        <f t="array" ref="CP33">IF(ISERROR(INDEX($A$3:$B$14312,SMALL(IF($A$3:$A$14312=CP$3,ROW($A$3:$A$14312)),ROW(31:31)),2)),"",INDEX($A$3:$B$14312,SMALL(IF($A$3:$A$14312=CP$3,ROW($A$3:$A$14312)),ROW(31:31)),2))</f>
        <v/>
      </c>
      <c r="CQ33" t="str">
        <f t="array" ref="CQ33">IF(ISERROR(INDEX($A$3:$B$14312,SMALL(IF($A$3:$A$14312=CQ$3,ROW($A$3:$A$14312)),ROW(31:31)),2)),"",INDEX($A$3:$B$14312,SMALL(IF($A$3:$A$14312=CQ$3,ROW($A$3:$A$14312)),ROW(31:31)),2))</f>
        <v/>
      </c>
      <c r="CR33" t="str">
        <f t="array" ref="CR33">IF(ISERROR(INDEX($A$3:$B$14312,SMALL(IF($A$3:$A$14312=CR$3,ROW($A$3:$A$14312)),ROW(31:31)),2)),"",INDEX($A$3:$B$14312,SMALL(IF($A$3:$A$14312=CR$3,ROW($A$3:$A$14312)),ROW(31:31)),2))</f>
        <v/>
      </c>
      <c r="CS33" t="str">
        <f t="array" ref="CS33">IF(ISERROR(INDEX($A$3:$B$14312,SMALL(IF($A$3:$A$14312=CS$3,ROW($A$3:$A$14312)),ROW(31:31)),2)),"",INDEX($A$3:$B$14312,SMALL(IF($A$3:$A$14312=CS$3,ROW($A$3:$A$14312)),ROW(31:31)),2))</f>
        <v/>
      </c>
      <c r="CT33" t="str">
        <f t="array" ref="CT33">IF(ISERROR(INDEX($A$3:$B$14312,SMALL(IF($A$3:$A$14312=CT$3,ROW($A$3:$A$14312)),ROW(31:31)),2)),"",INDEX($A$3:$B$14312,SMALL(IF($A$3:$A$14312=CT$3,ROW($A$3:$A$14312)),ROW(31:31)),2))</f>
        <v/>
      </c>
      <c r="CU33" t="str">
        <f t="array" ref="CU33">IF(ISERROR(INDEX($A$3:$B$14312,SMALL(IF($A$3:$A$14312=CU$3,ROW($A$3:$A$14312)),ROW(31:31)),2)),"",INDEX($A$3:$B$14312,SMALL(IF($A$3:$A$14312=CU$3,ROW($A$3:$A$14312)),ROW(31:31)),2))</f>
        <v/>
      </c>
      <c r="CV33" t="str">
        <f t="array" ref="CV33">IF(ISERROR(INDEX($A$3:$B$14312,SMALL(IF($A$3:$A$14312=CV$3,ROW($A$3:$A$14312)),ROW(31:31)),2)),"",INDEX($A$3:$B$14312,SMALL(IF($A$3:$A$14312=CV$3,ROW($A$3:$A$14312)),ROW(31:31)),2))</f>
        <v/>
      </c>
      <c r="CW33" t="str">
        <f t="array" ref="CW33">IF(ISERROR(INDEX($A$3:$B$14312,SMALL(IF($A$3:$A$14312=CW$3,ROW($A$3:$A$14312)),ROW(31:31)),2)),"",INDEX($A$3:$B$14312,SMALL(IF($A$3:$A$14312=CW$3,ROW($A$3:$A$14312)),ROW(31:31)),2))</f>
        <v/>
      </c>
      <c r="CX33" t="str">
        <f t="array" ref="CX33">IF(ISERROR(INDEX($A$3:$B$14312,SMALL(IF($A$3:$A$14312=CX$3,ROW($A$3:$A$14312)),ROW(31:31)),2)),"",INDEX($A$3:$B$14312,SMALL(IF($A$3:$A$14312=CX$3,ROW($A$3:$A$14312)),ROW(31:31)),2))</f>
        <v/>
      </c>
      <c r="CY33" t="str">
        <f t="array" ref="CY33">IF(ISERROR(INDEX($A$3:$B$14312,SMALL(IF($A$3:$A$14312=CY$3,ROW($A$3:$A$14312)),ROW(31:31)),2)),"",INDEX($A$3:$B$14312,SMALL(IF($A$3:$A$14312=CY$3,ROW($A$3:$A$14312)),ROW(31:31)),2))</f>
        <v/>
      </c>
      <c r="CZ33" t="str">
        <f t="array" ref="CZ33">IF(ISERROR(INDEX($A$3:$B$14312,SMALL(IF($A$3:$A$14312=CZ$3,ROW($A$3:$A$14312)),ROW(31:31)),2)),"",INDEX($A$3:$B$14312,SMALL(IF($A$3:$A$14312=CZ$3,ROW($A$3:$A$14312)),ROW(31:31)),2))</f>
        <v/>
      </c>
      <c r="DA33" t="str">
        <f t="array" ref="DA33">IF(ISERROR(INDEX($A$3:$B$14312,SMALL(IF($A$3:$A$14312=DA$3,ROW($A$3:$A$14312)),ROW(31:31)),2)),"",INDEX($A$3:$B$14312,SMALL(IF($A$3:$A$14312=DA$3,ROW($A$3:$A$14312)),ROW(31:31)),2))</f>
        <v>Router3_161</v>
      </c>
      <c r="DB33" t="str">
        <f t="array" ref="DB33">IF(ISERROR(INDEX($A$3:$B$14312,SMALL(IF($A$3:$A$14312=DB$3,ROW($A$3:$A$14312)),ROW(31:31)),2)),"",INDEX($A$3:$B$14312,SMALL(IF($A$3:$A$14312=DB$3,ROW($A$3:$A$14312)),ROW(31:31)),2))</f>
        <v/>
      </c>
      <c r="DC33" t="str">
        <f t="array" ref="DC33">IF(ISERROR(INDEX($A$3:$B$14312,SMALL(IF($A$3:$A$14312=DC$3,ROW($A$3:$A$14312)),ROW(31:31)),2)),"",INDEX($A$3:$B$14312,SMALL(IF($A$3:$A$14312=DC$3,ROW($A$3:$A$14312)),ROW(31:31)),2))</f>
        <v/>
      </c>
      <c r="DD33" t="str">
        <f t="array" ref="DD33">IF(ISERROR(INDEX($A$3:$B$14312,SMALL(IF($A$3:$A$14312=DD$3,ROW($A$3:$A$14312)),ROW(31:31)),2)),"",INDEX($A$3:$B$14312,SMALL(IF($A$3:$A$14312=DD$3,ROW($A$3:$A$14312)),ROW(31:31)),2))</f>
        <v/>
      </c>
      <c r="DE33" t="str">
        <f t="array" ref="DE33">IF(ISERROR(INDEX($A$3:$B$14312,SMALL(IF($A$3:$A$14312=DE$3,ROW($A$3:$A$14312)),ROW(31:31)),2)),"",INDEX($A$3:$B$14312,SMALL(IF($A$3:$A$14312=DE$3,ROW($A$3:$A$14312)),ROW(31:31)),2))</f>
        <v/>
      </c>
      <c r="DF33" t="str">
        <f t="array" ref="DF33">IF(ISERROR(INDEX($A$3:$B$14312,SMALL(IF($A$3:$A$14312=DF$3,ROW($A$3:$A$14312)),ROW(31:31)),2)),"",INDEX($A$3:$B$14312,SMALL(IF($A$3:$A$14312=DF$3,ROW($A$3:$A$14312)),ROW(31:31)),2))</f>
        <v/>
      </c>
      <c r="DG33" t="str">
        <f t="array" ref="DG33">IF(ISERROR(INDEX($A$3:$B$14312,SMALL(IF($A$3:$A$14312=DG$3,ROW($A$3:$A$14312)),ROW(31:31)),2)),"",INDEX($A$3:$B$14312,SMALL(IF($A$3:$A$14312=DG$3,ROW($A$3:$A$14312)),ROW(31:31)),2))</f>
        <v/>
      </c>
      <c r="DH33" t="str">
        <f t="array" ref="DH33">IF(ISERROR(INDEX($A$3:$B$14312,SMALL(IF($A$3:$A$14312=DH$3,ROW($A$3:$A$14312)),ROW(31:31)),2)),"",INDEX($A$3:$B$14312,SMALL(IF($A$3:$A$14312=DH$3,ROW($A$3:$A$14312)),ROW(31:31)),2))</f>
        <v/>
      </c>
      <c r="DI33" t="str">
        <f t="array" ref="DI33">IF(ISERROR(INDEX($A$3:$B$14312,SMALL(IF($A$3:$A$14312=DI$3,ROW($A$3:$A$14312)),ROW(31:31)),2)),"",INDEX($A$3:$B$14312,SMALL(IF($A$3:$A$14312=DI$3,ROW($A$3:$A$14312)),ROW(31:31)),2))</f>
        <v>Router3_97</v>
      </c>
      <c r="DJ33" t="str">
        <f t="array" ref="DJ33">IF(ISERROR(INDEX($A$3:$B$14312,SMALL(IF($A$3:$A$14312=DJ$3,ROW($A$3:$A$14312)),ROW(31:31)),2)),"",INDEX($A$3:$B$14312,SMALL(IF($A$3:$A$14312=DJ$3,ROW($A$3:$A$14312)),ROW(31:31)),2))</f>
        <v/>
      </c>
      <c r="DK33" t="str">
        <f t="array" ref="DK33">IF(ISERROR(INDEX($A$3:$B$14312,SMALL(IF($A$3:$A$14312=DK$3,ROW($A$3:$A$14312)),ROW(31:31)),2)),"",INDEX($A$3:$B$14312,SMALL(IF($A$3:$A$14312=DK$3,ROW($A$3:$A$14312)),ROW(31:31)),2))</f>
        <v>Router3_144</v>
      </c>
      <c r="DL33" t="str">
        <f t="array" ref="DL33">IF(ISERROR(INDEX($A$3:$B$14312,SMALL(IF($A$3:$A$14312=DL$3,ROW($A$3:$A$14312)),ROW(31:31)),2)),"",INDEX($A$3:$B$14312,SMALL(IF($A$3:$A$14312=DL$3,ROW($A$3:$A$14312)),ROW(31:31)),2))</f>
        <v/>
      </c>
      <c r="DM33" t="str">
        <f t="array" ref="DM33">IF(ISERROR(INDEX($A$3:$B$14312,SMALL(IF($A$3:$A$14312=DM$3,ROW($A$3:$A$14312)),ROW(31:31)),2)),"",INDEX($A$3:$B$14312,SMALL(IF($A$3:$A$14312=DM$3,ROW($A$3:$A$14312)),ROW(31:31)),2))</f>
        <v/>
      </c>
      <c r="DN33" t="str">
        <f t="array" ref="DN33">IF(ISERROR(INDEX($A$3:$B$14312,SMALL(IF($A$3:$A$14312=DN$3,ROW($A$3:$A$14312)),ROW(31:31)),2)),"",INDEX($A$3:$B$14312,SMALL(IF($A$3:$A$14312=DN$3,ROW($A$3:$A$14312)),ROW(31:31)),2))</f>
        <v/>
      </c>
      <c r="DO33" t="str">
        <f t="array" ref="DO33">IF(ISERROR(INDEX($A$3:$B$14312,SMALL(IF($A$3:$A$14312=DO$3,ROW($A$3:$A$14312)),ROW(31:31)),2)),"",INDEX($A$3:$B$14312,SMALL(IF($A$3:$A$14312=DO$3,ROW($A$3:$A$14312)),ROW(31:31)),2))</f>
        <v/>
      </c>
      <c r="DP33" t="str">
        <f t="array" ref="DP33">IF(ISERROR(INDEX($A$3:$B$14312,SMALL(IF($A$3:$A$14312=DP$3,ROW($A$3:$A$14312)),ROW(31:31)),2)),"",INDEX($A$3:$B$14312,SMALL(IF($A$3:$A$14312=DP$3,ROW($A$3:$A$14312)),ROW(31:31)),2))</f>
        <v/>
      </c>
      <c r="DQ33" t="str">
        <f t="array" ref="DQ33">IF(ISERROR(INDEX($A$3:$B$14312,SMALL(IF($A$3:$A$14312=DQ$3,ROW($A$3:$A$14312)),ROW(31:31)),2)),"",INDEX($A$3:$B$14312,SMALL(IF($A$3:$A$14312=DQ$3,ROW($A$3:$A$14312)),ROW(31:31)),2))</f>
        <v/>
      </c>
      <c r="DR33" t="str">
        <f t="array" ref="DR33">IF(ISERROR(INDEX($A$3:$B$14312,SMALL(IF($A$3:$A$14312=DR$3,ROW($A$3:$A$14312)),ROW(31:31)),2)),"",INDEX($A$3:$B$14312,SMALL(IF($A$3:$A$14312=DR$3,ROW($A$3:$A$14312)),ROW(31:31)),2))</f>
        <v>Router3_33</v>
      </c>
      <c r="DS33" t="str">
        <f t="array" ref="DS33">IF(ISERROR(INDEX($A$3:$B$14312,SMALL(IF($A$3:$A$14312=DS$3,ROW($A$3:$A$14312)),ROW(31:31)),2)),"",INDEX($A$3:$B$14312,SMALL(IF($A$3:$A$14312=DS$3,ROW($A$3:$A$14312)),ROW(31:31)),2))</f>
        <v/>
      </c>
      <c r="DT33" t="str">
        <f t="array" ref="DT33">IF(ISERROR(INDEX($A$3:$B$14312,SMALL(IF($A$3:$A$14312=DT$3,ROW($A$3:$A$14312)),ROW(31:31)),2)),"",INDEX($A$3:$B$14312,SMALL(IF($A$3:$A$14312=DT$3,ROW($A$3:$A$14312)),ROW(31:31)),2))</f>
        <v>Router3_97</v>
      </c>
      <c r="DU33" t="str">
        <f t="array" ref="DU33">IF(ISERROR(INDEX($A$3:$B$14312,SMALL(IF($A$3:$A$14312=DU$3,ROW($A$3:$A$14312)),ROW(31:31)),2)),"",INDEX($A$3:$B$14312,SMALL(IF($A$3:$A$14312=DU$3,ROW($A$3:$A$14312)),ROW(31:31)),2))</f>
        <v>Router3_148</v>
      </c>
      <c r="DV33" t="str">
        <f t="array" ref="DV33">IF(ISERROR(INDEX($A$3:$B$14312,SMALL(IF($A$3:$A$14312=DV$3,ROW($A$3:$A$14312)),ROW(31:31)),2)),"",INDEX($A$3:$B$14312,SMALL(IF($A$3:$A$14312=DV$3,ROW($A$3:$A$14312)),ROW(31:31)),2))</f>
        <v/>
      </c>
      <c r="DW33" t="str">
        <f t="array" ref="DW33">IF(ISERROR(INDEX($A$3:$B$14312,SMALL(IF($A$3:$A$14312=DW$3,ROW($A$3:$A$14312)),ROW(31:31)),2)),"",INDEX($A$3:$B$14312,SMALL(IF($A$3:$A$14312=DW$3,ROW($A$3:$A$14312)),ROW(31:31)),2))</f>
        <v/>
      </c>
      <c r="DX33" t="str">
        <f t="array" ref="DX33">IF(ISERROR(INDEX($A$3:$B$14312,SMALL(IF($A$3:$A$14312=DX$3,ROW($A$3:$A$14312)),ROW(31:31)),2)),"",INDEX($A$3:$B$14312,SMALL(IF($A$3:$A$14312=DX$3,ROW($A$3:$A$14312)),ROW(31:31)),2))</f>
        <v/>
      </c>
      <c r="DY33" t="str">
        <f t="array" ref="DY33">IF(ISERROR(INDEX($A$3:$B$14312,SMALL(IF($A$3:$A$14312=DY$3,ROW($A$3:$A$14312)),ROW(31:31)),2)),"",INDEX($A$3:$B$14312,SMALL(IF($A$3:$A$14312=DY$3,ROW($A$3:$A$14312)),ROW(31:31)),2))</f>
        <v/>
      </c>
      <c r="DZ33" t="str">
        <f t="array" ref="DZ33">IF(ISERROR(INDEX($A$3:$B$14312,SMALL(IF($A$3:$A$14312=DZ$3,ROW($A$3:$A$14312)),ROW(31:31)),2)),"",INDEX($A$3:$B$14312,SMALL(IF($A$3:$A$14312=DZ$3,ROW($A$3:$A$14312)),ROW(31:31)),2))</f>
        <v/>
      </c>
      <c r="EA33" t="str">
        <f t="array" ref="EA33">IF(ISERROR(INDEX($A$3:$B$14312,SMALL(IF($A$3:$A$14312=EA$3,ROW($A$3:$A$14312)),ROW(31:31)),2)),"",INDEX($A$3:$B$14312,SMALL(IF($A$3:$A$14312=EA$3,ROW($A$3:$A$14312)),ROW(31:31)),2))</f>
        <v/>
      </c>
      <c r="EB33" t="str">
        <f t="array" ref="EB33">IF(ISERROR(INDEX($A$3:$B$14312,SMALL(IF($A$3:$A$14312=EB$3,ROW($A$3:$A$14312)),ROW(31:31)),2)),"",INDEX($A$3:$B$14312,SMALL(IF($A$3:$A$14312=EB$3,ROW($A$3:$A$14312)),ROW(31:31)),2))</f>
        <v/>
      </c>
      <c r="EC33" t="str">
        <f t="array" ref="EC33">IF(ISERROR(INDEX($A$3:$B$14312,SMALL(IF($A$3:$A$14312=EC$3,ROW($A$3:$A$14312)),ROW(31:31)),2)),"",INDEX($A$3:$B$14312,SMALL(IF($A$3:$A$14312=EC$3,ROW($A$3:$A$14312)),ROW(31:31)),2))</f>
        <v>Router3_142</v>
      </c>
      <c r="ED33" t="str">
        <f t="array" ref="ED33">IF(ISERROR(INDEX($A$3:$B$14312,SMALL(IF($A$3:$A$14312=ED$3,ROW($A$3:$A$14312)),ROW(31:31)),2)),"",INDEX($A$3:$B$14312,SMALL(IF($A$3:$A$14312=ED$3,ROW($A$3:$A$14312)),ROW(31:31)),2))</f>
        <v>Router3_153</v>
      </c>
      <c r="EE33" t="str">
        <f t="array" ref="EE33">IF(ISERROR(INDEX($A$3:$B$14312,SMALL(IF($A$3:$A$14312=EE$3,ROW($A$3:$A$14312)),ROW(31:31)),2)),"",INDEX($A$3:$B$14312,SMALL(IF($A$3:$A$14312=EE$3,ROW($A$3:$A$14312)),ROW(31:31)),2))</f>
        <v/>
      </c>
    </row>
    <row r="34" spans="1:135" x14ac:dyDescent="0.25">
      <c r="A34" s="10">
        <v>-450827382</v>
      </c>
      <c r="B34" t="s">
        <v>1186</v>
      </c>
      <c r="E34" t="str">
        <f t="array" ref="E34">IF(ISERROR(INDEX($A$3:$B$14312,SMALL(IF($A$3:$A$14312=E$3,ROW($A$3:$A$14312)),ROW(32:32)),2)),"",INDEX($A$3:$B$14312,SMALL(IF($A$3:$A$14312=E$3,ROW($A$3:$A$14312)),ROW(32:32)),2))</f>
        <v/>
      </c>
      <c r="F34" t="str">
        <f t="array" ref="F34">IF(ISERROR(INDEX($A$3:$B$14312,SMALL(IF($A$3:$A$14312=F$3,ROW($A$3:$A$14312)),ROW(32:32)),2)),"",INDEX($A$3:$B$14312,SMALL(IF($A$3:$A$14312=F$3,ROW($A$3:$A$14312)),ROW(32:32)),2))</f>
        <v>Router3_117</v>
      </c>
      <c r="G34" t="str">
        <f t="array" ref="G34">IF(ISERROR(INDEX($A$3:$B$14312,SMALL(IF($A$3:$A$14312=G$3,ROW($A$3:$A$14312)),ROW(32:32)),2)),"",INDEX($A$3:$B$14312,SMALL(IF($A$3:$A$14312=G$3,ROW($A$3:$A$14312)),ROW(32:32)),2))</f>
        <v/>
      </c>
      <c r="H34" t="str">
        <f t="array" ref="H34">IF(ISERROR(INDEX($A$3:$B$14312,SMALL(IF($A$3:$A$14312=H$3,ROW($A$3:$A$14312)),ROW(32:32)),2)),"",INDEX($A$3:$B$14312,SMALL(IF($A$3:$A$14312=H$3,ROW($A$3:$A$14312)),ROW(32:32)),2))</f>
        <v/>
      </c>
      <c r="I34" t="str">
        <f t="array" ref="I34">IF(ISERROR(INDEX($A$3:$B$14312,SMALL(IF($A$3:$A$14312=I$3,ROW($A$3:$A$14312)),ROW(32:32)),2)),"",INDEX($A$3:$B$14312,SMALL(IF($A$3:$A$14312=I$3,ROW($A$3:$A$14312)),ROW(32:32)),2))</f>
        <v/>
      </c>
      <c r="J34" t="str">
        <f t="array" ref="J34">IF(ISERROR(INDEX($A$3:$B$14312,SMALL(IF($A$3:$A$14312=J$3,ROW($A$3:$A$14312)),ROW(32:32)),2)),"",INDEX($A$3:$B$14312,SMALL(IF($A$3:$A$14312=J$3,ROW($A$3:$A$14312)),ROW(32:32)),2))</f>
        <v>Router3_162</v>
      </c>
      <c r="K34" t="str">
        <f t="array" ref="K34">IF(ISERROR(INDEX($A$3:$B$14312,SMALL(IF($A$3:$A$14312=K$3,ROW($A$3:$A$14312)),ROW(32:32)),2)),"",INDEX($A$3:$B$14312,SMALL(IF($A$3:$A$14312=K$3,ROW($A$3:$A$14312)),ROW(32:32)),2))</f>
        <v/>
      </c>
      <c r="L34" t="str">
        <f t="array" ref="L34">IF(ISERROR(INDEX($A$3:$B$14312,SMALL(IF($A$3:$A$14312=L$3,ROW($A$3:$A$14312)),ROW(32:32)),2)),"",INDEX($A$3:$B$14312,SMALL(IF($A$3:$A$14312=L$3,ROW($A$3:$A$14312)),ROW(32:32)),2))</f>
        <v/>
      </c>
      <c r="M34" t="str">
        <f t="array" ref="M34">IF(ISERROR(INDEX($A$3:$B$14312,SMALL(IF($A$3:$A$14312=M$3,ROW($A$3:$A$14312)),ROW(32:32)),2)),"",INDEX($A$3:$B$14312,SMALL(IF($A$3:$A$14312=M$3,ROW($A$3:$A$14312)),ROW(32:32)),2))</f>
        <v/>
      </c>
      <c r="N34" t="str">
        <f t="array" ref="N34">IF(ISERROR(INDEX($A$3:$B$14312,SMALL(IF($A$3:$A$14312=N$3,ROW($A$3:$A$14312)),ROW(32:32)),2)),"",INDEX($A$3:$B$14312,SMALL(IF($A$3:$A$14312=N$3,ROW($A$3:$A$14312)),ROW(32:32)),2))</f>
        <v/>
      </c>
      <c r="O34" t="str">
        <f t="array" ref="O34">IF(ISERROR(INDEX($A$3:$B$14312,SMALL(IF($A$3:$A$14312=O$3,ROW($A$3:$A$14312)),ROW(32:32)),2)),"",INDEX($A$3:$B$14312,SMALL(IF($A$3:$A$14312=O$3,ROW($A$3:$A$14312)),ROW(32:32)),2))</f>
        <v/>
      </c>
      <c r="P34" t="str">
        <f t="array" ref="P34">IF(ISERROR(INDEX($A$3:$B$14312,SMALL(IF($A$3:$A$14312=P$3,ROW($A$3:$A$14312)),ROW(32:32)),2)),"",INDEX($A$3:$B$14312,SMALL(IF($A$3:$A$14312=P$3,ROW($A$3:$A$14312)),ROW(32:32)),2))</f>
        <v/>
      </c>
      <c r="Q34" t="str">
        <f t="array" ref="Q34">IF(ISERROR(INDEX($A$3:$B$14312,SMALL(IF($A$3:$A$14312=Q$3,ROW($A$3:$A$14312)),ROW(32:32)),2)),"",INDEX($A$3:$B$14312,SMALL(IF($A$3:$A$14312=Q$3,ROW($A$3:$A$14312)),ROW(32:32)),2))</f>
        <v/>
      </c>
      <c r="R34" t="str">
        <f t="array" ref="R34">IF(ISERROR(INDEX($A$3:$B$14312,SMALL(IF($A$3:$A$14312=R$3,ROW($A$3:$A$14312)),ROW(32:32)),2)),"",INDEX($A$3:$B$14312,SMALL(IF($A$3:$A$14312=R$3,ROW($A$3:$A$14312)),ROW(32:32)),2))</f>
        <v/>
      </c>
      <c r="S34" t="str">
        <f t="array" ref="S34">IF(ISERROR(INDEX($A$3:$B$14312,SMALL(IF($A$3:$A$14312=S$3,ROW($A$3:$A$14312)),ROW(32:32)),2)),"",INDEX($A$3:$B$14312,SMALL(IF($A$3:$A$14312=S$3,ROW($A$3:$A$14312)),ROW(32:32)),2))</f>
        <v/>
      </c>
      <c r="T34" t="str">
        <f t="array" ref="T34">IF(ISERROR(INDEX($A$3:$B$14312,SMALL(IF($A$3:$A$14312=T$3,ROW($A$3:$A$14312)),ROW(32:32)),2)),"",INDEX($A$3:$B$14312,SMALL(IF($A$3:$A$14312=T$3,ROW($A$3:$A$14312)),ROW(32:32)),2))</f>
        <v/>
      </c>
      <c r="U34" t="str">
        <f t="array" ref="U34">IF(ISERROR(INDEX($A$3:$B$14312,SMALL(IF($A$3:$A$14312=U$3,ROW($A$3:$A$14312)),ROW(32:32)),2)),"",INDEX($A$3:$B$14312,SMALL(IF($A$3:$A$14312=U$3,ROW($A$3:$A$14312)),ROW(32:32)),2))</f>
        <v/>
      </c>
      <c r="V34" t="str">
        <f t="array" ref="V34">IF(ISERROR(INDEX($A$3:$B$14312,SMALL(IF($A$3:$A$14312=V$3,ROW($A$3:$A$14312)),ROW(32:32)),2)),"",INDEX($A$3:$B$14312,SMALL(IF($A$3:$A$14312=V$3,ROW($A$3:$A$14312)),ROW(32:32)),2))</f>
        <v/>
      </c>
      <c r="W34" t="str">
        <f t="array" ref="W34">IF(ISERROR(INDEX($A$3:$B$14312,SMALL(IF($A$3:$A$14312=W$3,ROW($A$3:$A$14312)),ROW(32:32)),2)),"",INDEX($A$3:$B$14312,SMALL(IF($A$3:$A$14312=W$3,ROW($A$3:$A$14312)),ROW(32:32)),2))</f>
        <v>Router3_144</v>
      </c>
      <c r="X34" t="str">
        <f t="array" ref="X34">IF(ISERROR(INDEX($A$3:$B$14312,SMALL(IF($A$3:$A$14312=X$3,ROW($A$3:$A$14312)),ROW(32:32)),2)),"",INDEX($A$3:$B$14312,SMALL(IF($A$3:$A$14312=X$3,ROW($A$3:$A$14312)),ROW(32:32)),2))</f>
        <v/>
      </c>
      <c r="Y34" t="str">
        <f t="array" ref="Y34">IF(ISERROR(INDEX($A$3:$B$14312,SMALL(IF($A$3:$A$14312=Y$3,ROW($A$3:$A$14312)),ROW(32:32)),2)),"",INDEX($A$3:$B$14312,SMALL(IF($A$3:$A$14312=Y$3,ROW($A$3:$A$14312)),ROW(32:32)),2))</f>
        <v/>
      </c>
      <c r="Z34" t="str">
        <f t="array" ref="Z34">IF(ISERROR(INDEX($A$3:$B$14312,SMALL(IF($A$3:$A$14312=Z$3,ROW($A$3:$A$14312)),ROW(32:32)),2)),"",INDEX($A$3:$B$14312,SMALL(IF($A$3:$A$14312=Z$3,ROW($A$3:$A$14312)),ROW(32:32)),2))</f>
        <v/>
      </c>
      <c r="AA34" t="str">
        <f t="array" ref="AA34">IF(ISERROR(INDEX($A$3:$B$14312,SMALL(IF($A$3:$A$14312=AA$3,ROW($A$3:$A$14312)),ROW(32:32)),2)),"",INDEX($A$3:$B$14312,SMALL(IF($A$3:$A$14312=AA$3,ROW($A$3:$A$14312)),ROW(32:32)),2))</f>
        <v/>
      </c>
      <c r="AB34" t="str">
        <f t="array" ref="AB34">IF(ISERROR(INDEX($A$3:$B$14312,SMALL(IF($A$3:$A$14312=AB$3,ROW($A$3:$A$14312)),ROW(32:32)),2)),"",INDEX($A$3:$B$14312,SMALL(IF($A$3:$A$14312=AB$3,ROW($A$3:$A$14312)),ROW(32:32)),2))</f>
        <v/>
      </c>
      <c r="AC34" t="str">
        <f t="array" ref="AC34">IF(ISERROR(INDEX($A$3:$B$14312,SMALL(IF($A$3:$A$14312=AC$3,ROW($A$3:$A$14312)),ROW(32:32)),2)),"",INDEX($A$3:$B$14312,SMALL(IF($A$3:$A$14312=AC$3,ROW($A$3:$A$14312)),ROW(32:32)),2))</f>
        <v/>
      </c>
      <c r="AD34" t="str">
        <f t="array" ref="AD34">IF(ISERROR(INDEX($A$3:$B$14312,SMALL(IF($A$3:$A$14312=AD$3,ROW($A$3:$A$14312)),ROW(32:32)),2)),"",INDEX($A$3:$B$14312,SMALL(IF($A$3:$A$14312=AD$3,ROW($A$3:$A$14312)),ROW(32:32)),2))</f>
        <v/>
      </c>
      <c r="AE34" t="str">
        <f t="array" ref="AE34">IF(ISERROR(INDEX($A$3:$B$14312,SMALL(IF($A$3:$A$14312=AE$3,ROW($A$3:$A$14312)),ROW(32:32)),2)),"",INDEX($A$3:$B$14312,SMALL(IF($A$3:$A$14312=AE$3,ROW($A$3:$A$14312)),ROW(32:32)),2))</f>
        <v/>
      </c>
      <c r="AF34" t="str">
        <f t="array" ref="AF34">IF(ISERROR(INDEX($A$3:$B$14312,SMALL(IF($A$3:$A$14312=AF$3,ROW($A$3:$A$14312)),ROW(32:32)),2)),"",INDEX($A$3:$B$14312,SMALL(IF($A$3:$A$14312=AF$3,ROW($A$3:$A$14312)),ROW(32:32)),2))</f>
        <v/>
      </c>
      <c r="AG34" t="str">
        <f t="array" ref="AG34">IF(ISERROR(INDEX($A$3:$B$14312,SMALL(IF($A$3:$A$14312=AG$3,ROW($A$3:$A$14312)),ROW(32:32)),2)),"",INDEX($A$3:$B$14312,SMALL(IF($A$3:$A$14312=AG$3,ROW($A$3:$A$14312)),ROW(32:32)),2))</f>
        <v/>
      </c>
      <c r="AH34" t="str">
        <f t="array" ref="AH34">IF(ISERROR(INDEX($A$3:$B$14312,SMALL(IF($A$3:$A$14312=AH$3,ROW($A$3:$A$14312)),ROW(32:32)),2)),"",INDEX($A$3:$B$14312,SMALL(IF($A$3:$A$14312=AH$3,ROW($A$3:$A$14312)),ROW(32:32)),2))</f>
        <v/>
      </c>
      <c r="AI34" t="str">
        <f t="array" ref="AI34">IF(ISERROR(INDEX($A$3:$B$14312,SMALL(IF($A$3:$A$14312=AI$3,ROW($A$3:$A$14312)),ROW(32:32)),2)),"",INDEX($A$3:$B$14312,SMALL(IF($A$3:$A$14312=AI$3,ROW($A$3:$A$14312)),ROW(32:32)),2))</f>
        <v/>
      </c>
      <c r="AJ34" t="str">
        <f t="array" ref="AJ34">IF(ISERROR(INDEX($A$3:$B$14312,SMALL(IF($A$3:$A$14312=AJ$3,ROW($A$3:$A$14312)),ROW(32:32)),2)),"",INDEX($A$3:$B$14312,SMALL(IF($A$3:$A$14312=AJ$3,ROW($A$3:$A$14312)),ROW(32:32)),2))</f>
        <v/>
      </c>
      <c r="AK34" t="str">
        <f t="array" ref="AK34">IF(ISERROR(INDEX($A$3:$B$14312,SMALL(IF($A$3:$A$14312=AK$3,ROW($A$3:$A$14312)),ROW(32:32)),2)),"",INDEX($A$3:$B$14312,SMALL(IF($A$3:$A$14312=AK$3,ROW($A$3:$A$14312)),ROW(32:32)),2))</f>
        <v/>
      </c>
      <c r="AL34" t="str">
        <f t="array" ref="AL34">IF(ISERROR(INDEX($A$3:$B$14312,SMALL(IF($A$3:$A$14312=AL$3,ROW($A$3:$A$14312)),ROW(32:32)),2)),"",INDEX($A$3:$B$14312,SMALL(IF($A$3:$A$14312=AL$3,ROW($A$3:$A$14312)),ROW(32:32)),2))</f>
        <v/>
      </c>
      <c r="AM34" t="str">
        <f t="array" ref="AM34">IF(ISERROR(INDEX($A$3:$B$14312,SMALL(IF($A$3:$A$14312=AM$3,ROW($A$3:$A$14312)),ROW(32:32)),2)),"",INDEX($A$3:$B$14312,SMALL(IF($A$3:$A$14312=AM$3,ROW($A$3:$A$14312)),ROW(32:32)),2))</f>
        <v>Router3_152</v>
      </c>
      <c r="AN34" t="str">
        <f t="array" ref="AN34">IF(ISERROR(INDEX($A$3:$B$14312,SMALL(IF($A$3:$A$14312=AN$3,ROW($A$3:$A$14312)),ROW(32:32)),2)),"",INDEX($A$3:$B$14312,SMALL(IF($A$3:$A$14312=AN$3,ROW($A$3:$A$14312)),ROW(32:32)),2))</f>
        <v/>
      </c>
      <c r="AO34" t="str">
        <f t="array" ref="AO34">IF(ISERROR(INDEX($A$3:$B$14312,SMALL(IF($A$3:$A$14312=AO$3,ROW($A$3:$A$14312)),ROW(32:32)),2)),"",INDEX($A$3:$B$14312,SMALL(IF($A$3:$A$14312=AO$3,ROW($A$3:$A$14312)),ROW(32:32)),2))</f>
        <v/>
      </c>
      <c r="AP34" t="str">
        <f t="array" ref="AP34">IF(ISERROR(INDEX($A$3:$B$14312,SMALL(IF($A$3:$A$14312=AP$3,ROW($A$3:$A$14312)),ROW(32:32)),2)),"",INDEX($A$3:$B$14312,SMALL(IF($A$3:$A$14312=AP$3,ROW($A$3:$A$14312)),ROW(32:32)),2))</f>
        <v/>
      </c>
      <c r="AQ34" t="str">
        <f t="array" ref="AQ34">IF(ISERROR(INDEX($A$3:$B$14312,SMALL(IF($A$3:$A$14312=AQ$3,ROW($A$3:$A$14312)),ROW(32:32)),2)),"",INDEX($A$3:$B$14312,SMALL(IF($A$3:$A$14312=AQ$3,ROW($A$3:$A$14312)),ROW(32:32)),2))</f>
        <v/>
      </c>
      <c r="AR34" t="str">
        <f t="array" ref="AR34">IF(ISERROR(INDEX($A$3:$B$14312,SMALL(IF($A$3:$A$14312=AR$3,ROW($A$3:$A$14312)),ROW(32:32)),2)),"",INDEX($A$3:$B$14312,SMALL(IF($A$3:$A$14312=AR$3,ROW($A$3:$A$14312)),ROW(32:32)),2))</f>
        <v/>
      </c>
      <c r="AS34" t="str">
        <f t="array" ref="AS34">IF(ISERROR(INDEX($A$3:$B$14312,SMALL(IF($A$3:$A$14312=AS$3,ROW($A$3:$A$14312)),ROW(32:32)),2)),"",INDEX($A$3:$B$14312,SMALL(IF($A$3:$A$14312=AS$3,ROW($A$3:$A$14312)),ROW(32:32)),2))</f>
        <v>Router3_44</v>
      </c>
      <c r="AT34" t="str">
        <f t="array" ref="AT34">IF(ISERROR(INDEX($A$3:$B$14312,SMALL(IF($A$3:$A$14312=AT$3,ROW($A$3:$A$14312)),ROW(32:32)),2)),"",INDEX($A$3:$B$14312,SMALL(IF($A$3:$A$14312=AT$3,ROW($A$3:$A$14312)),ROW(32:32)),2))</f>
        <v/>
      </c>
      <c r="AU34" t="str">
        <f t="array" ref="AU34">IF(ISERROR(INDEX($A$3:$B$14312,SMALL(IF($A$3:$A$14312=AU$3,ROW($A$3:$A$14312)),ROW(32:32)),2)),"",INDEX($A$3:$B$14312,SMALL(IF($A$3:$A$14312=AU$3,ROW($A$3:$A$14312)),ROW(32:32)),2))</f>
        <v/>
      </c>
      <c r="AV34" t="str">
        <f t="array" ref="AV34">IF(ISERROR(INDEX($A$3:$B$14312,SMALL(IF($A$3:$A$14312=AV$3,ROW($A$3:$A$14312)),ROW(32:32)),2)),"",INDEX($A$3:$B$14312,SMALL(IF($A$3:$A$14312=AV$3,ROW($A$3:$A$14312)),ROW(32:32)),2))</f>
        <v/>
      </c>
      <c r="AW34" t="str">
        <f t="array" ref="AW34">IF(ISERROR(INDEX($A$3:$B$14312,SMALL(IF($A$3:$A$14312=AW$3,ROW($A$3:$A$14312)),ROW(32:32)),2)),"",INDEX($A$3:$B$14312,SMALL(IF($A$3:$A$14312=AW$3,ROW($A$3:$A$14312)),ROW(32:32)),2))</f>
        <v/>
      </c>
      <c r="AX34" t="str">
        <f t="array" ref="AX34">IF(ISERROR(INDEX($A$3:$B$14312,SMALL(IF($A$3:$A$14312=AX$3,ROW($A$3:$A$14312)),ROW(32:32)),2)),"",INDEX($A$3:$B$14312,SMALL(IF($A$3:$A$14312=AX$3,ROW($A$3:$A$14312)),ROW(32:32)),2))</f>
        <v/>
      </c>
      <c r="AY34" t="str">
        <f t="array" ref="AY34">IF(ISERROR(INDEX($A$3:$B$14312,SMALL(IF($A$3:$A$14312=AY$3,ROW($A$3:$A$14312)),ROW(32:32)),2)),"",INDEX($A$3:$B$14312,SMALL(IF($A$3:$A$14312=AY$3,ROW($A$3:$A$14312)),ROW(32:32)),2))</f>
        <v>Router3_154</v>
      </c>
      <c r="AZ34" t="str">
        <f t="array" ref="AZ34">IF(ISERROR(INDEX($A$3:$B$14312,SMALL(IF($A$3:$A$14312=AZ$3,ROW($A$3:$A$14312)),ROW(32:32)),2)),"",INDEX($A$3:$B$14312,SMALL(IF($A$3:$A$14312=AZ$3,ROW($A$3:$A$14312)),ROW(32:32)),2))</f>
        <v/>
      </c>
      <c r="BA34" t="str">
        <f t="array" ref="BA34">IF(ISERROR(INDEX($A$3:$B$14312,SMALL(IF($A$3:$A$14312=BA$3,ROW($A$3:$A$14312)),ROW(32:32)),2)),"",INDEX($A$3:$B$14312,SMALL(IF($A$3:$A$14312=BA$3,ROW($A$3:$A$14312)),ROW(32:32)),2))</f>
        <v/>
      </c>
      <c r="BB34" t="str">
        <f t="array" ref="BB34">IF(ISERROR(INDEX($A$3:$B$14312,SMALL(IF($A$3:$A$14312=BB$3,ROW($A$3:$A$14312)),ROW(32:32)),2)),"",INDEX($A$3:$B$14312,SMALL(IF($A$3:$A$14312=BB$3,ROW($A$3:$A$14312)),ROW(32:32)),2))</f>
        <v/>
      </c>
      <c r="BC34" t="str">
        <f t="array" ref="BC34">IF(ISERROR(INDEX($A$3:$B$14312,SMALL(IF($A$3:$A$14312=BC$3,ROW($A$3:$A$14312)),ROW(32:32)),2)),"",INDEX($A$3:$B$14312,SMALL(IF($A$3:$A$14312=BC$3,ROW($A$3:$A$14312)),ROW(32:32)),2))</f>
        <v/>
      </c>
      <c r="BD34" t="str">
        <f t="array" ref="BD34">IF(ISERROR(INDEX($A$3:$B$14312,SMALL(IF($A$3:$A$14312=BD$3,ROW($A$3:$A$14312)),ROW(32:32)),2)),"",INDEX($A$3:$B$14312,SMALL(IF($A$3:$A$14312=BD$3,ROW($A$3:$A$14312)),ROW(32:32)),2))</f>
        <v/>
      </c>
      <c r="BE34" t="str">
        <f t="array" ref="BE34">IF(ISERROR(INDEX($A$3:$B$14312,SMALL(IF($A$3:$A$14312=BE$3,ROW($A$3:$A$14312)),ROW(32:32)),2)),"",INDEX($A$3:$B$14312,SMALL(IF($A$3:$A$14312=BE$3,ROW($A$3:$A$14312)),ROW(32:32)),2))</f>
        <v/>
      </c>
      <c r="BF34" t="str">
        <f t="array" ref="BF34">IF(ISERROR(INDEX($A$3:$B$14312,SMALL(IF($A$3:$A$14312=BF$3,ROW($A$3:$A$14312)),ROW(32:32)),2)),"",INDEX($A$3:$B$14312,SMALL(IF($A$3:$A$14312=BF$3,ROW($A$3:$A$14312)),ROW(32:32)),2))</f>
        <v/>
      </c>
      <c r="BG34" t="str">
        <f t="array" ref="BG34">IF(ISERROR(INDEX($A$3:$B$14312,SMALL(IF($A$3:$A$14312=BG$3,ROW($A$3:$A$14312)),ROW(32:32)),2)),"",INDEX($A$3:$B$14312,SMALL(IF($A$3:$A$14312=BG$3,ROW($A$3:$A$14312)),ROW(32:32)),2))</f>
        <v/>
      </c>
      <c r="BH34" t="str">
        <f t="array" ref="BH34">IF(ISERROR(INDEX($A$3:$B$14312,SMALL(IF($A$3:$A$14312=BH$3,ROW($A$3:$A$14312)),ROW(32:32)),2)),"",INDEX($A$3:$B$14312,SMALL(IF($A$3:$A$14312=BH$3,ROW($A$3:$A$14312)),ROW(32:32)),2))</f>
        <v/>
      </c>
      <c r="BI34" t="str">
        <f t="array" ref="BI34">IF(ISERROR(INDEX($A$3:$B$14312,SMALL(IF($A$3:$A$14312=BI$3,ROW($A$3:$A$14312)),ROW(32:32)),2)),"",INDEX($A$3:$B$14312,SMALL(IF($A$3:$A$14312=BI$3,ROW($A$3:$A$14312)),ROW(32:32)),2))</f>
        <v/>
      </c>
      <c r="BJ34" t="str">
        <f t="array" ref="BJ34">IF(ISERROR(INDEX($A$3:$B$14312,SMALL(IF($A$3:$A$14312=BJ$3,ROW($A$3:$A$14312)),ROW(32:32)),2)),"",INDEX($A$3:$B$14312,SMALL(IF($A$3:$A$14312=BJ$3,ROW($A$3:$A$14312)),ROW(32:32)),2))</f>
        <v/>
      </c>
      <c r="BK34" t="str">
        <f t="array" ref="BK34">IF(ISERROR(INDEX($A$3:$B$14312,SMALL(IF($A$3:$A$14312=BK$3,ROW($A$3:$A$14312)),ROW(32:32)),2)),"",INDEX($A$3:$B$14312,SMALL(IF($A$3:$A$14312=BK$3,ROW($A$3:$A$14312)),ROW(32:32)),2))</f>
        <v/>
      </c>
      <c r="BL34" t="str">
        <f t="array" ref="BL34">IF(ISERROR(INDEX($A$3:$B$14312,SMALL(IF($A$3:$A$14312=BL$3,ROW($A$3:$A$14312)),ROW(32:32)),2)),"",INDEX($A$3:$B$14312,SMALL(IF($A$3:$A$14312=BL$3,ROW($A$3:$A$14312)),ROW(32:32)),2))</f>
        <v/>
      </c>
      <c r="BM34" t="str">
        <f t="array" ref="BM34">IF(ISERROR(INDEX($A$3:$B$14312,SMALL(IF($A$3:$A$14312=BM$3,ROW($A$3:$A$14312)),ROW(32:32)),2)),"",INDEX($A$3:$B$14312,SMALL(IF($A$3:$A$14312=BM$3,ROW($A$3:$A$14312)),ROW(32:32)),2))</f>
        <v/>
      </c>
      <c r="BN34" t="str">
        <f t="array" ref="BN34">IF(ISERROR(INDEX($A$3:$B$14312,SMALL(IF($A$3:$A$14312=BN$3,ROW($A$3:$A$14312)),ROW(32:32)),2)),"",INDEX($A$3:$B$14312,SMALL(IF($A$3:$A$14312=BN$3,ROW($A$3:$A$14312)),ROW(32:32)),2))</f>
        <v/>
      </c>
      <c r="BO34" t="str">
        <f t="array" ref="BO34">IF(ISERROR(INDEX($A$3:$B$14312,SMALL(IF($A$3:$A$14312=BO$3,ROW($A$3:$A$14312)),ROW(32:32)),2)),"",INDEX($A$3:$B$14312,SMALL(IF($A$3:$A$14312=BO$3,ROW($A$3:$A$14312)),ROW(32:32)),2))</f>
        <v/>
      </c>
      <c r="BP34" t="str">
        <f t="array" ref="BP34">IF(ISERROR(INDEX($A$3:$B$14312,SMALL(IF($A$3:$A$14312=BP$3,ROW($A$3:$A$14312)),ROW(32:32)),2)),"",INDEX($A$3:$B$14312,SMALL(IF($A$3:$A$14312=BP$3,ROW($A$3:$A$14312)),ROW(32:32)),2))</f>
        <v/>
      </c>
      <c r="BQ34" t="str">
        <f t="array" ref="BQ34">IF(ISERROR(INDEX($A$3:$B$14312,SMALL(IF($A$3:$A$14312=BQ$3,ROW($A$3:$A$14312)),ROW(32:32)),2)),"",INDEX($A$3:$B$14312,SMALL(IF($A$3:$A$14312=BQ$3,ROW($A$3:$A$14312)),ROW(32:32)),2))</f>
        <v/>
      </c>
      <c r="BR34" t="str">
        <f t="array" ref="BR34">IF(ISERROR(INDEX($A$3:$B$14312,SMALL(IF($A$3:$A$14312=BR$3,ROW($A$3:$A$14312)),ROW(32:32)),2)),"",INDEX($A$3:$B$14312,SMALL(IF($A$3:$A$14312=BR$3,ROW($A$3:$A$14312)),ROW(32:32)),2))</f>
        <v/>
      </c>
      <c r="BS34" t="str">
        <f t="array" ref="BS34">IF(ISERROR(INDEX($A$3:$B$14312,SMALL(IF($A$3:$A$14312=BS$3,ROW($A$3:$A$14312)),ROW(32:32)),2)),"",INDEX($A$3:$B$14312,SMALL(IF($A$3:$A$14312=BS$3,ROW($A$3:$A$14312)),ROW(32:32)),2))</f>
        <v/>
      </c>
      <c r="BT34" t="str">
        <f t="array" ref="BT34">IF(ISERROR(INDEX($A$3:$B$14312,SMALL(IF($A$3:$A$14312=BT$3,ROW($A$3:$A$14312)),ROW(32:32)),2)),"",INDEX($A$3:$B$14312,SMALL(IF($A$3:$A$14312=BT$3,ROW($A$3:$A$14312)),ROW(32:32)),2))</f>
        <v>Router3_118</v>
      </c>
      <c r="BU34" t="str">
        <f t="array" ref="BU34">IF(ISERROR(INDEX($A$3:$B$14312,SMALL(IF($A$3:$A$14312=BU$3,ROW($A$3:$A$14312)),ROW(32:32)),2)),"",INDEX($A$3:$B$14312,SMALL(IF($A$3:$A$14312=BU$3,ROW($A$3:$A$14312)),ROW(32:32)),2))</f>
        <v/>
      </c>
      <c r="BV34" t="str">
        <f t="array" ref="BV34">IF(ISERROR(INDEX($A$3:$B$14312,SMALL(IF($A$3:$A$14312=BV$3,ROW($A$3:$A$14312)),ROW(32:32)),2)),"",INDEX($A$3:$B$14312,SMALL(IF($A$3:$A$14312=BV$3,ROW($A$3:$A$14312)),ROW(32:32)),2))</f>
        <v/>
      </c>
      <c r="BW34" t="str">
        <f t="array" ref="BW34">IF(ISERROR(INDEX($A$3:$B$14312,SMALL(IF($A$3:$A$14312=BW$3,ROW($A$3:$A$14312)),ROW(32:32)),2)),"",INDEX($A$3:$B$14312,SMALL(IF($A$3:$A$14312=BW$3,ROW($A$3:$A$14312)),ROW(32:32)),2))</f>
        <v/>
      </c>
      <c r="BX34" t="str">
        <f t="array" ref="BX34">IF(ISERROR(INDEX($A$3:$B$14312,SMALL(IF($A$3:$A$14312=BX$3,ROW($A$3:$A$14312)),ROW(32:32)),2)),"",INDEX($A$3:$B$14312,SMALL(IF($A$3:$A$14312=BX$3,ROW($A$3:$A$14312)),ROW(32:32)),2))</f>
        <v/>
      </c>
      <c r="BY34" t="str">
        <f t="array" ref="BY34">IF(ISERROR(INDEX($A$3:$B$14312,SMALL(IF($A$3:$A$14312=BY$3,ROW($A$3:$A$14312)),ROW(32:32)),2)),"",INDEX($A$3:$B$14312,SMALL(IF($A$3:$A$14312=BY$3,ROW($A$3:$A$14312)),ROW(32:32)),2))</f>
        <v>Router3_21</v>
      </c>
      <c r="BZ34" t="str">
        <f t="array" ref="BZ34">IF(ISERROR(INDEX($A$3:$B$14312,SMALL(IF($A$3:$A$14312=BZ$3,ROW($A$3:$A$14312)),ROW(32:32)),2)),"",INDEX($A$3:$B$14312,SMALL(IF($A$3:$A$14312=BZ$3,ROW($A$3:$A$14312)),ROW(32:32)),2))</f>
        <v>Router3_21</v>
      </c>
      <c r="CA34" t="str">
        <f t="array" ref="CA34">IF(ISERROR(INDEX($A$3:$B$14312,SMALL(IF($A$3:$A$14312=CA$3,ROW($A$3:$A$14312)),ROW(32:32)),2)),"",INDEX($A$3:$B$14312,SMALL(IF($A$3:$A$14312=CA$3,ROW($A$3:$A$14312)),ROW(32:32)),2))</f>
        <v/>
      </c>
      <c r="CB34" t="str">
        <f t="array" ref="CB34">IF(ISERROR(INDEX($A$3:$B$14312,SMALL(IF($A$3:$A$14312=CB$3,ROW($A$3:$A$14312)),ROW(32:32)),2)),"",INDEX($A$3:$B$14312,SMALL(IF($A$3:$A$14312=CB$3,ROW($A$3:$A$14312)),ROW(32:32)),2))</f>
        <v/>
      </c>
      <c r="CC34" t="str">
        <f t="array" ref="CC34">IF(ISERROR(INDEX($A$3:$B$14312,SMALL(IF($A$3:$A$14312=CC$3,ROW($A$3:$A$14312)),ROW(32:32)),2)),"",INDEX($A$3:$B$14312,SMALL(IF($A$3:$A$14312=CC$3,ROW($A$3:$A$14312)),ROW(32:32)),2))</f>
        <v/>
      </c>
      <c r="CD34" t="str">
        <f t="array" ref="CD34">IF(ISERROR(INDEX($A$3:$B$14312,SMALL(IF($A$3:$A$14312=CD$3,ROW($A$3:$A$14312)),ROW(32:32)),2)),"",INDEX($A$3:$B$14312,SMALL(IF($A$3:$A$14312=CD$3,ROW($A$3:$A$14312)),ROW(32:32)),2))</f>
        <v/>
      </c>
      <c r="CE34" t="str">
        <f t="array" ref="CE34">IF(ISERROR(INDEX($A$3:$B$14312,SMALL(IF($A$3:$A$14312=CE$3,ROW($A$3:$A$14312)),ROW(32:32)),2)),"",INDEX($A$3:$B$14312,SMALL(IF($A$3:$A$14312=CE$3,ROW($A$3:$A$14312)),ROW(32:32)),2))</f>
        <v/>
      </c>
      <c r="CF34" t="str">
        <f t="array" ref="CF34">IF(ISERROR(INDEX($A$3:$B$14312,SMALL(IF($A$3:$A$14312=CF$3,ROW($A$3:$A$14312)),ROW(32:32)),2)),"",INDEX($A$3:$B$14312,SMALL(IF($A$3:$A$14312=CF$3,ROW($A$3:$A$14312)),ROW(32:32)),2))</f>
        <v/>
      </c>
      <c r="CG34" t="str">
        <f t="array" ref="CG34">IF(ISERROR(INDEX($A$3:$B$14312,SMALL(IF($A$3:$A$14312=CG$3,ROW($A$3:$A$14312)),ROW(32:32)),2)),"",INDEX($A$3:$B$14312,SMALL(IF($A$3:$A$14312=CG$3,ROW($A$3:$A$14312)),ROW(32:32)),2))</f>
        <v/>
      </c>
      <c r="CH34" t="str">
        <f t="array" ref="CH34">IF(ISERROR(INDEX($A$3:$B$14312,SMALL(IF($A$3:$A$14312=CH$3,ROW($A$3:$A$14312)),ROW(32:32)),2)),"",INDEX($A$3:$B$14312,SMALL(IF($A$3:$A$14312=CH$3,ROW($A$3:$A$14312)),ROW(32:32)),2))</f>
        <v/>
      </c>
      <c r="CI34" t="str">
        <f t="array" ref="CI34">IF(ISERROR(INDEX($A$3:$B$14312,SMALL(IF($A$3:$A$14312=CI$3,ROW($A$3:$A$14312)),ROW(32:32)),2)),"",INDEX($A$3:$B$14312,SMALL(IF($A$3:$A$14312=CI$3,ROW($A$3:$A$14312)),ROW(32:32)),2))</f>
        <v/>
      </c>
      <c r="CJ34" t="str">
        <f t="array" ref="CJ34">IF(ISERROR(INDEX($A$3:$B$14312,SMALL(IF($A$3:$A$14312=CJ$3,ROW($A$3:$A$14312)),ROW(32:32)),2)),"",INDEX($A$3:$B$14312,SMALL(IF($A$3:$A$14312=CJ$3,ROW($A$3:$A$14312)),ROW(32:32)),2))</f>
        <v/>
      </c>
      <c r="CK34" t="str">
        <f t="array" ref="CK34">IF(ISERROR(INDEX($A$3:$B$14312,SMALL(IF($A$3:$A$14312=CK$3,ROW($A$3:$A$14312)),ROW(32:32)),2)),"",INDEX($A$3:$B$14312,SMALL(IF($A$3:$A$14312=CK$3,ROW($A$3:$A$14312)),ROW(32:32)),2))</f>
        <v/>
      </c>
      <c r="CL34" t="str">
        <f t="array" ref="CL34">IF(ISERROR(INDEX($A$3:$B$14312,SMALL(IF($A$3:$A$14312=CL$3,ROW($A$3:$A$14312)),ROW(32:32)),2)),"",INDEX($A$3:$B$14312,SMALL(IF($A$3:$A$14312=CL$3,ROW($A$3:$A$14312)),ROW(32:32)),2))</f>
        <v/>
      </c>
      <c r="CM34" t="str">
        <f t="array" ref="CM34">IF(ISERROR(INDEX($A$3:$B$14312,SMALL(IF($A$3:$A$14312=CM$3,ROW($A$3:$A$14312)),ROW(32:32)),2)),"",INDEX($A$3:$B$14312,SMALL(IF($A$3:$A$14312=CM$3,ROW($A$3:$A$14312)),ROW(32:32)),2))</f>
        <v/>
      </c>
      <c r="CN34" t="str">
        <f t="array" ref="CN34">IF(ISERROR(INDEX($A$3:$B$14312,SMALL(IF($A$3:$A$14312=CN$3,ROW($A$3:$A$14312)),ROW(32:32)),2)),"",INDEX($A$3:$B$14312,SMALL(IF($A$3:$A$14312=CN$3,ROW($A$3:$A$14312)),ROW(32:32)),2))</f>
        <v/>
      </c>
      <c r="CO34" t="str">
        <f t="array" ref="CO34">IF(ISERROR(INDEX($A$3:$B$14312,SMALL(IF($A$3:$A$14312=CO$3,ROW($A$3:$A$14312)),ROW(32:32)),2)),"",INDEX($A$3:$B$14312,SMALL(IF($A$3:$A$14312=CO$3,ROW($A$3:$A$14312)),ROW(32:32)),2))</f>
        <v>Router3_62</v>
      </c>
      <c r="CP34" t="str">
        <f t="array" ref="CP34">IF(ISERROR(INDEX($A$3:$B$14312,SMALL(IF($A$3:$A$14312=CP$3,ROW($A$3:$A$14312)),ROW(32:32)),2)),"",INDEX($A$3:$B$14312,SMALL(IF($A$3:$A$14312=CP$3,ROW($A$3:$A$14312)),ROW(32:32)),2))</f>
        <v/>
      </c>
      <c r="CQ34" t="str">
        <f t="array" ref="CQ34">IF(ISERROR(INDEX($A$3:$B$14312,SMALL(IF($A$3:$A$14312=CQ$3,ROW($A$3:$A$14312)),ROW(32:32)),2)),"",INDEX($A$3:$B$14312,SMALL(IF($A$3:$A$14312=CQ$3,ROW($A$3:$A$14312)),ROW(32:32)),2))</f>
        <v/>
      </c>
      <c r="CR34" t="str">
        <f t="array" ref="CR34">IF(ISERROR(INDEX($A$3:$B$14312,SMALL(IF($A$3:$A$14312=CR$3,ROW($A$3:$A$14312)),ROW(32:32)),2)),"",INDEX($A$3:$B$14312,SMALL(IF($A$3:$A$14312=CR$3,ROW($A$3:$A$14312)),ROW(32:32)),2))</f>
        <v/>
      </c>
      <c r="CS34" t="str">
        <f t="array" ref="CS34">IF(ISERROR(INDEX($A$3:$B$14312,SMALL(IF($A$3:$A$14312=CS$3,ROW($A$3:$A$14312)),ROW(32:32)),2)),"",INDEX($A$3:$B$14312,SMALL(IF($A$3:$A$14312=CS$3,ROW($A$3:$A$14312)),ROW(32:32)),2))</f>
        <v/>
      </c>
      <c r="CT34" t="str">
        <f t="array" ref="CT34">IF(ISERROR(INDEX($A$3:$B$14312,SMALL(IF($A$3:$A$14312=CT$3,ROW($A$3:$A$14312)),ROW(32:32)),2)),"",INDEX($A$3:$B$14312,SMALL(IF($A$3:$A$14312=CT$3,ROW($A$3:$A$14312)),ROW(32:32)),2))</f>
        <v/>
      </c>
      <c r="CU34" t="str">
        <f t="array" ref="CU34">IF(ISERROR(INDEX($A$3:$B$14312,SMALL(IF($A$3:$A$14312=CU$3,ROW($A$3:$A$14312)),ROW(32:32)),2)),"",INDEX($A$3:$B$14312,SMALL(IF($A$3:$A$14312=CU$3,ROW($A$3:$A$14312)),ROW(32:32)),2))</f>
        <v/>
      </c>
      <c r="CV34" t="str">
        <f t="array" ref="CV34">IF(ISERROR(INDEX($A$3:$B$14312,SMALL(IF($A$3:$A$14312=CV$3,ROW($A$3:$A$14312)),ROW(32:32)),2)),"",INDEX($A$3:$B$14312,SMALL(IF($A$3:$A$14312=CV$3,ROW($A$3:$A$14312)),ROW(32:32)),2))</f>
        <v/>
      </c>
      <c r="CW34" t="str">
        <f t="array" ref="CW34">IF(ISERROR(INDEX($A$3:$B$14312,SMALL(IF($A$3:$A$14312=CW$3,ROW($A$3:$A$14312)),ROW(32:32)),2)),"",INDEX($A$3:$B$14312,SMALL(IF($A$3:$A$14312=CW$3,ROW($A$3:$A$14312)),ROW(32:32)),2))</f>
        <v/>
      </c>
      <c r="CX34" t="str">
        <f t="array" ref="CX34">IF(ISERROR(INDEX($A$3:$B$14312,SMALL(IF($A$3:$A$14312=CX$3,ROW($A$3:$A$14312)),ROW(32:32)),2)),"",INDEX($A$3:$B$14312,SMALL(IF($A$3:$A$14312=CX$3,ROW($A$3:$A$14312)),ROW(32:32)),2))</f>
        <v/>
      </c>
      <c r="CY34" t="str">
        <f t="array" ref="CY34">IF(ISERROR(INDEX($A$3:$B$14312,SMALL(IF($A$3:$A$14312=CY$3,ROW($A$3:$A$14312)),ROW(32:32)),2)),"",INDEX($A$3:$B$14312,SMALL(IF($A$3:$A$14312=CY$3,ROW($A$3:$A$14312)),ROW(32:32)),2))</f>
        <v/>
      </c>
      <c r="CZ34" t="str">
        <f t="array" ref="CZ34">IF(ISERROR(INDEX($A$3:$B$14312,SMALL(IF($A$3:$A$14312=CZ$3,ROW($A$3:$A$14312)),ROW(32:32)),2)),"",INDEX($A$3:$B$14312,SMALL(IF($A$3:$A$14312=CZ$3,ROW($A$3:$A$14312)),ROW(32:32)),2))</f>
        <v/>
      </c>
      <c r="DA34" t="str">
        <f t="array" ref="DA34">IF(ISERROR(INDEX($A$3:$B$14312,SMALL(IF($A$3:$A$14312=DA$3,ROW($A$3:$A$14312)),ROW(32:32)),2)),"",INDEX($A$3:$B$14312,SMALL(IF($A$3:$A$14312=DA$3,ROW($A$3:$A$14312)),ROW(32:32)),2))</f>
        <v>Router3_162</v>
      </c>
      <c r="DB34" t="str">
        <f t="array" ref="DB34">IF(ISERROR(INDEX($A$3:$B$14312,SMALL(IF($A$3:$A$14312=DB$3,ROW($A$3:$A$14312)),ROW(32:32)),2)),"",INDEX($A$3:$B$14312,SMALL(IF($A$3:$A$14312=DB$3,ROW($A$3:$A$14312)),ROW(32:32)),2))</f>
        <v/>
      </c>
      <c r="DC34" t="str">
        <f t="array" ref="DC34">IF(ISERROR(INDEX($A$3:$B$14312,SMALL(IF($A$3:$A$14312=DC$3,ROW($A$3:$A$14312)),ROW(32:32)),2)),"",INDEX($A$3:$B$14312,SMALL(IF($A$3:$A$14312=DC$3,ROW($A$3:$A$14312)),ROW(32:32)),2))</f>
        <v/>
      </c>
      <c r="DD34" t="str">
        <f t="array" ref="DD34">IF(ISERROR(INDEX($A$3:$B$14312,SMALL(IF($A$3:$A$14312=DD$3,ROW($A$3:$A$14312)),ROW(32:32)),2)),"",INDEX($A$3:$B$14312,SMALL(IF($A$3:$A$14312=DD$3,ROW($A$3:$A$14312)),ROW(32:32)),2))</f>
        <v/>
      </c>
      <c r="DE34" t="str">
        <f t="array" ref="DE34">IF(ISERROR(INDEX($A$3:$B$14312,SMALL(IF($A$3:$A$14312=DE$3,ROW($A$3:$A$14312)),ROW(32:32)),2)),"",INDEX($A$3:$B$14312,SMALL(IF($A$3:$A$14312=DE$3,ROW($A$3:$A$14312)),ROW(32:32)),2))</f>
        <v/>
      </c>
      <c r="DF34" t="str">
        <f t="array" ref="DF34">IF(ISERROR(INDEX($A$3:$B$14312,SMALL(IF($A$3:$A$14312=DF$3,ROW($A$3:$A$14312)),ROW(32:32)),2)),"",INDEX($A$3:$B$14312,SMALL(IF($A$3:$A$14312=DF$3,ROW($A$3:$A$14312)),ROW(32:32)),2))</f>
        <v/>
      </c>
      <c r="DG34" t="str">
        <f t="array" ref="DG34">IF(ISERROR(INDEX($A$3:$B$14312,SMALL(IF($A$3:$A$14312=DG$3,ROW($A$3:$A$14312)),ROW(32:32)),2)),"",INDEX($A$3:$B$14312,SMALL(IF($A$3:$A$14312=DG$3,ROW($A$3:$A$14312)),ROW(32:32)),2))</f>
        <v/>
      </c>
      <c r="DH34" t="str">
        <f t="array" ref="DH34">IF(ISERROR(INDEX($A$3:$B$14312,SMALL(IF($A$3:$A$14312=DH$3,ROW($A$3:$A$14312)),ROW(32:32)),2)),"",INDEX($A$3:$B$14312,SMALL(IF($A$3:$A$14312=DH$3,ROW($A$3:$A$14312)),ROW(32:32)),2))</f>
        <v/>
      </c>
      <c r="DI34" t="str">
        <f t="array" ref="DI34">IF(ISERROR(INDEX($A$3:$B$14312,SMALL(IF($A$3:$A$14312=DI$3,ROW($A$3:$A$14312)),ROW(32:32)),2)),"",INDEX($A$3:$B$14312,SMALL(IF($A$3:$A$14312=DI$3,ROW($A$3:$A$14312)),ROW(32:32)),2))</f>
        <v>Router3_98</v>
      </c>
      <c r="DJ34" t="str">
        <f t="array" ref="DJ34">IF(ISERROR(INDEX($A$3:$B$14312,SMALL(IF($A$3:$A$14312=DJ$3,ROW($A$3:$A$14312)),ROW(32:32)),2)),"",INDEX($A$3:$B$14312,SMALL(IF($A$3:$A$14312=DJ$3,ROW($A$3:$A$14312)),ROW(32:32)),2))</f>
        <v/>
      </c>
      <c r="DK34" t="str">
        <f t="array" ref="DK34">IF(ISERROR(INDEX($A$3:$B$14312,SMALL(IF($A$3:$A$14312=DK$3,ROW($A$3:$A$14312)),ROW(32:32)),2)),"",INDEX($A$3:$B$14312,SMALL(IF($A$3:$A$14312=DK$3,ROW($A$3:$A$14312)),ROW(32:32)),2))</f>
        <v>Router3_145</v>
      </c>
      <c r="DL34" t="str">
        <f t="array" ref="DL34">IF(ISERROR(INDEX($A$3:$B$14312,SMALL(IF($A$3:$A$14312=DL$3,ROW($A$3:$A$14312)),ROW(32:32)),2)),"",INDEX($A$3:$B$14312,SMALL(IF($A$3:$A$14312=DL$3,ROW($A$3:$A$14312)),ROW(32:32)),2))</f>
        <v/>
      </c>
      <c r="DM34" t="str">
        <f t="array" ref="DM34">IF(ISERROR(INDEX($A$3:$B$14312,SMALL(IF($A$3:$A$14312=DM$3,ROW($A$3:$A$14312)),ROW(32:32)),2)),"",INDEX($A$3:$B$14312,SMALL(IF($A$3:$A$14312=DM$3,ROW($A$3:$A$14312)),ROW(32:32)),2))</f>
        <v/>
      </c>
      <c r="DN34" t="str">
        <f t="array" ref="DN34">IF(ISERROR(INDEX($A$3:$B$14312,SMALL(IF($A$3:$A$14312=DN$3,ROW($A$3:$A$14312)),ROW(32:32)),2)),"",INDEX($A$3:$B$14312,SMALL(IF($A$3:$A$14312=DN$3,ROW($A$3:$A$14312)),ROW(32:32)),2))</f>
        <v/>
      </c>
      <c r="DO34" t="str">
        <f t="array" ref="DO34">IF(ISERROR(INDEX($A$3:$B$14312,SMALL(IF($A$3:$A$14312=DO$3,ROW($A$3:$A$14312)),ROW(32:32)),2)),"",INDEX($A$3:$B$14312,SMALL(IF($A$3:$A$14312=DO$3,ROW($A$3:$A$14312)),ROW(32:32)),2))</f>
        <v/>
      </c>
      <c r="DP34" t="str">
        <f t="array" ref="DP34">IF(ISERROR(INDEX($A$3:$B$14312,SMALL(IF($A$3:$A$14312=DP$3,ROW($A$3:$A$14312)),ROW(32:32)),2)),"",INDEX($A$3:$B$14312,SMALL(IF($A$3:$A$14312=DP$3,ROW($A$3:$A$14312)),ROW(32:32)),2))</f>
        <v/>
      </c>
      <c r="DQ34" t="str">
        <f t="array" ref="DQ34">IF(ISERROR(INDEX($A$3:$B$14312,SMALL(IF($A$3:$A$14312=DQ$3,ROW($A$3:$A$14312)),ROW(32:32)),2)),"",INDEX($A$3:$B$14312,SMALL(IF($A$3:$A$14312=DQ$3,ROW($A$3:$A$14312)),ROW(32:32)),2))</f>
        <v/>
      </c>
      <c r="DR34" t="str">
        <f t="array" ref="DR34">IF(ISERROR(INDEX($A$3:$B$14312,SMALL(IF($A$3:$A$14312=DR$3,ROW($A$3:$A$14312)),ROW(32:32)),2)),"",INDEX($A$3:$B$14312,SMALL(IF($A$3:$A$14312=DR$3,ROW($A$3:$A$14312)),ROW(32:32)),2))</f>
        <v>Router3_34</v>
      </c>
      <c r="DS34" t="str">
        <f t="array" ref="DS34">IF(ISERROR(INDEX($A$3:$B$14312,SMALL(IF($A$3:$A$14312=DS$3,ROW($A$3:$A$14312)),ROW(32:32)),2)),"",INDEX($A$3:$B$14312,SMALL(IF($A$3:$A$14312=DS$3,ROW($A$3:$A$14312)),ROW(32:32)),2))</f>
        <v/>
      </c>
      <c r="DT34" t="str">
        <f t="array" ref="DT34">IF(ISERROR(INDEX($A$3:$B$14312,SMALL(IF($A$3:$A$14312=DT$3,ROW($A$3:$A$14312)),ROW(32:32)),2)),"",INDEX($A$3:$B$14312,SMALL(IF($A$3:$A$14312=DT$3,ROW($A$3:$A$14312)),ROW(32:32)),2))</f>
        <v>Router3_98</v>
      </c>
      <c r="DU34" t="str">
        <f t="array" ref="DU34">IF(ISERROR(INDEX($A$3:$B$14312,SMALL(IF($A$3:$A$14312=DU$3,ROW($A$3:$A$14312)),ROW(32:32)),2)),"",INDEX($A$3:$B$14312,SMALL(IF($A$3:$A$14312=DU$3,ROW($A$3:$A$14312)),ROW(32:32)),2))</f>
        <v>Router3_149</v>
      </c>
      <c r="DV34" t="str">
        <f t="array" ref="DV34">IF(ISERROR(INDEX($A$3:$B$14312,SMALL(IF($A$3:$A$14312=DV$3,ROW($A$3:$A$14312)),ROW(32:32)),2)),"",INDEX($A$3:$B$14312,SMALL(IF($A$3:$A$14312=DV$3,ROW($A$3:$A$14312)),ROW(32:32)),2))</f>
        <v/>
      </c>
      <c r="DW34" t="str">
        <f t="array" ref="DW34">IF(ISERROR(INDEX($A$3:$B$14312,SMALL(IF($A$3:$A$14312=DW$3,ROW($A$3:$A$14312)),ROW(32:32)),2)),"",INDEX($A$3:$B$14312,SMALL(IF($A$3:$A$14312=DW$3,ROW($A$3:$A$14312)),ROW(32:32)),2))</f>
        <v/>
      </c>
      <c r="DX34" t="str">
        <f t="array" ref="DX34">IF(ISERROR(INDEX($A$3:$B$14312,SMALL(IF($A$3:$A$14312=DX$3,ROW($A$3:$A$14312)),ROW(32:32)),2)),"",INDEX($A$3:$B$14312,SMALL(IF($A$3:$A$14312=DX$3,ROW($A$3:$A$14312)),ROW(32:32)),2))</f>
        <v/>
      </c>
      <c r="DY34" t="str">
        <f t="array" ref="DY34">IF(ISERROR(INDEX($A$3:$B$14312,SMALL(IF($A$3:$A$14312=DY$3,ROW($A$3:$A$14312)),ROW(32:32)),2)),"",INDEX($A$3:$B$14312,SMALL(IF($A$3:$A$14312=DY$3,ROW($A$3:$A$14312)),ROW(32:32)),2))</f>
        <v/>
      </c>
      <c r="DZ34" t="str">
        <f t="array" ref="DZ34">IF(ISERROR(INDEX($A$3:$B$14312,SMALL(IF($A$3:$A$14312=DZ$3,ROW($A$3:$A$14312)),ROW(32:32)),2)),"",INDEX($A$3:$B$14312,SMALL(IF($A$3:$A$14312=DZ$3,ROW($A$3:$A$14312)),ROW(32:32)),2))</f>
        <v/>
      </c>
      <c r="EA34" t="str">
        <f t="array" ref="EA34">IF(ISERROR(INDEX($A$3:$B$14312,SMALL(IF($A$3:$A$14312=EA$3,ROW($A$3:$A$14312)),ROW(32:32)),2)),"",INDEX($A$3:$B$14312,SMALL(IF($A$3:$A$14312=EA$3,ROW($A$3:$A$14312)),ROW(32:32)),2))</f>
        <v/>
      </c>
      <c r="EB34" t="str">
        <f t="array" ref="EB34">IF(ISERROR(INDEX($A$3:$B$14312,SMALL(IF($A$3:$A$14312=EB$3,ROW($A$3:$A$14312)),ROW(32:32)),2)),"",INDEX($A$3:$B$14312,SMALL(IF($A$3:$A$14312=EB$3,ROW($A$3:$A$14312)),ROW(32:32)),2))</f>
        <v/>
      </c>
      <c r="EC34" t="str">
        <f t="array" ref="EC34">IF(ISERROR(INDEX($A$3:$B$14312,SMALL(IF($A$3:$A$14312=EC$3,ROW($A$3:$A$14312)),ROW(32:32)),2)),"",INDEX($A$3:$B$14312,SMALL(IF($A$3:$A$14312=EC$3,ROW($A$3:$A$14312)),ROW(32:32)),2))</f>
        <v>Router3_143</v>
      </c>
      <c r="ED34" t="str">
        <f t="array" ref="ED34">IF(ISERROR(INDEX($A$3:$B$14312,SMALL(IF($A$3:$A$14312=ED$3,ROW($A$3:$A$14312)),ROW(32:32)),2)),"",INDEX($A$3:$B$14312,SMALL(IF($A$3:$A$14312=ED$3,ROW($A$3:$A$14312)),ROW(32:32)),2))</f>
        <v>Router3_154</v>
      </c>
      <c r="EE34" t="str">
        <f t="array" ref="EE34">IF(ISERROR(INDEX($A$3:$B$14312,SMALL(IF($A$3:$A$14312=EE$3,ROW($A$3:$A$14312)),ROW(32:32)),2)),"",INDEX($A$3:$B$14312,SMALL(IF($A$3:$A$14312=EE$3,ROW($A$3:$A$14312)),ROW(32:32)),2))</f>
        <v/>
      </c>
    </row>
    <row r="35" spans="1:135" x14ac:dyDescent="0.25">
      <c r="A35" s="10">
        <v>-450827382</v>
      </c>
      <c r="B35" t="s">
        <v>1189</v>
      </c>
      <c r="E35" t="str">
        <f t="array" ref="E35">IF(ISERROR(INDEX($A$3:$B$14312,SMALL(IF($A$3:$A$14312=E$3,ROW($A$3:$A$14312)),ROW(33:33)),2)),"",INDEX($A$3:$B$14312,SMALL(IF($A$3:$A$14312=E$3,ROW($A$3:$A$14312)),ROW(33:33)),2))</f>
        <v/>
      </c>
      <c r="F35" t="str">
        <f t="array" ref="F35">IF(ISERROR(INDEX($A$3:$B$14312,SMALL(IF($A$3:$A$14312=F$3,ROW($A$3:$A$14312)),ROW(33:33)),2)),"",INDEX($A$3:$B$14312,SMALL(IF($A$3:$A$14312=F$3,ROW($A$3:$A$14312)),ROW(33:33)),2))</f>
        <v>Router3_117</v>
      </c>
      <c r="G35" t="str">
        <f t="array" ref="G35">IF(ISERROR(INDEX($A$3:$B$14312,SMALL(IF($A$3:$A$14312=G$3,ROW($A$3:$A$14312)),ROW(33:33)),2)),"",INDEX($A$3:$B$14312,SMALL(IF($A$3:$A$14312=G$3,ROW($A$3:$A$14312)),ROW(33:33)),2))</f>
        <v/>
      </c>
      <c r="H35" t="str">
        <f t="array" ref="H35">IF(ISERROR(INDEX($A$3:$B$14312,SMALL(IF($A$3:$A$14312=H$3,ROW($A$3:$A$14312)),ROW(33:33)),2)),"",INDEX($A$3:$B$14312,SMALL(IF($A$3:$A$14312=H$3,ROW($A$3:$A$14312)),ROW(33:33)),2))</f>
        <v/>
      </c>
      <c r="I35" t="str">
        <f t="array" ref="I35">IF(ISERROR(INDEX($A$3:$B$14312,SMALL(IF($A$3:$A$14312=I$3,ROW($A$3:$A$14312)),ROW(33:33)),2)),"",INDEX($A$3:$B$14312,SMALL(IF($A$3:$A$14312=I$3,ROW($A$3:$A$14312)),ROW(33:33)),2))</f>
        <v/>
      </c>
      <c r="J35" t="str">
        <f t="array" ref="J35">IF(ISERROR(INDEX($A$3:$B$14312,SMALL(IF($A$3:$A$14312=J$3,ROW($A$3:$A$14312)),ROW(33:33)),2)),"",INDEX($A$3:$B$14312,SMALL(IF($A$3:$A$14312=J$3,ROW($A$3:$A$14312)),ROW(33:33)),2))</f>
        <v>Router3_163</v>
      </c>
      <c r="K35" t="str">
        <f t="array" ref="K35">IF(ISERROR(INDEX($A$3:$B$14312,SMALL(IF($A$3:$A$14312=K$3,ROW($A$3:$A$14312)),ROW(33:33)),2)),"",INDEX($A$3:$B$14312,SMALL(IF($A$3:$A$14312=K$3,ROW($A$3:$A$14312)),ROW(33:33)),2))</f>
        <v/>
      </c>
      <c r="L35" t="str">
        <f t="array" ref="L35">IF(ISERROR(INDEX($A$3:$B$14312,SMALL(IF($A$3:$A$14312=L$3,ROW($A$3:$A$14312)),ROW(33:33)),2)),"",INDEX($A$3:$B$14312,SMALL(IF($A$3:$A$14312=L$3,ROW($A$3:$A$14312)),ROW(33:33)),2))</f>
        <v/>
      </c>
      <c r="M35" t="str">
        <f t="array" ref="M35">IF(ISERROR(INDEX($A$3:$B$14312,SMALL(IF($A$3:$A$14312=M$3,ROW($A$3:$A$14312)),ROW(33:33)),2)),"",INDEX($A$3:$B$14312,SMALL(IF($A$3:$A$14312=M$3,ROW($A$3:$A$14312)),ROW(33:33)),2))</f>
        <v/>
      </c>
      <c r="N35" t="str">
        <f t="array" ref="N35">IF(ISERROR(INDEX($A$3:$B$14312,SMALL(IF($A$3:$A$14312=N$3,ROW($A$3:$A$14312)),ROW(33:33)),2)),"",INDEX($A$3:$B$14312,SMALL(IF($A$3:$A$14312=N$3,ROW($A$3:$A$14312)),ROW(33:33)),2))</f>
        <v/>
      </c>
      <c r="O35" t="str">
        <f t="array" ref="O35">IF(ISERROR(INDEX($A$3:$B$14312,SMALL(IF($A$3:$A$14312=O$3,ROW($A$3:$A$14312)),ROW(33:33)),2)),"",INDEX($A$3:$B$14312,SMALL(IF($A$3:$A$14312=O$3,ROW($A$3:$A$14312)),ROW(33:33)),2))</f>
        <v/>
      </c>
      <c r="P35" t="str">
        <f t="array" ref="P35">IF(ISERROR(INDEX($A$3:$B$14312,SMALL(IF($A$3:$A$14312=P$3,ROW($A$3:$A$14312)),ROW(33:33)),2)),"",INDEX($A$3:$B$14312,SMALL(IF($A$3:$A$14312=P$3,ROW($A$3:$A$14312)),ROW(33:33)),2))</f>
        <v/>
      </c>
      <c r="Q35" t="str">
        <f t="array" ref="Q35">IF(ISERROR(INDEX($A$3:$B$14312,SMALL(IF($A$3:$A$14312=Q$3,ROW($A$3:$A$14312)),ROW(33:33)),2)),"",INDEX($A$3:$B$14312,SMALL(IF($A$3:$A$14312=Q$3,ROW($A$3:$A$14312)),ROW(33:33)),2))</f>
        <v/>
      </c>
      <c r="R35" t="str">
        <f t="array" ref="R35">IF(ISERROR(INDEX($A$3:$B$14312,SMALL(IF($A$3:$A$14312=R$3,ROW($A$3:$A$14312)),ROW(33:33)),2)),"",INDEX($A$3:$B$14312,SMALL(IF($A$3:$A$14312=R$3,ROW($A$3:$A$14312)),ROW(33:33)),2))</f>
        <v/>
      </c>
      <c r="S35" t="str">
        <f t="array" ref="S35">IF(ISERROR(INDEX($A$3:$B$14312,SMALL(IF($A$3:$A$14312=S$3,ROW($A$3:$A$14312)),ROW(33:33)),2)),"",INDEX($A$3:$B$14312,SMALL(IF($A$3:$A$14312=S$3,ROW($A$3:$A$14312)),ROW(33:33)),2))</f>
        <v/>
      </c>
      <c r="T35" t="str">
        <f t="array" ref="T35">IF(ISERROR(INDEX($A$3:$B$14312,SMALL(IF($A$3:$A$14312=T$3,ROW($A$3:$A$14312)),ROW(33:33)),2)),"",INDEX($A$3:$B$14312,SMALL(IF($A$3:$A$14312=T$3,ROW($A$3:$A$14312)),ROW(33:33)),2))</f>
        <v/>
      </c>
      <c r="U35" t="str">
        <f t="array" ref="U35">IF(ISERROR(INDEX($A$3:$B$14312,SMALL(IF($A$3:$A$14312=U$3,ROW($A$3:$A$14312)),ROW(33:33)),2)),"",INDEX($A$3:$B$14312,SMALL(IF($A$3:$A$14312=U$3,ROW($A$3:$A$14312)),ROW(33:33)),2))</f>
        <v/>
      </c>
      <c r="V35" t="str">
        <f t="array" ref="V35">IF(ISERROR(INDEX($A$3:$B$14312,SMALL(IF($A$3:$A$14312=V$3,ROW($A$3:$A$14312)),ROW(33:33)),2)),"",INDEX($A$3:$B$14312,SMALL(IF($A$3:$A$14312=V$3,ROW($A$3:$A$14312)),ROW(33:33)),2))</f>
        <v/>
      </c>
      <c r="W35" t="str">
        <f t="array" ref="W35">IF(ISERROR(INDEX($A$3:$B$14312,SMALL(IF($A$3:$A$14312=W$3,ROW($A$3:$A$14312)),ROW(33:33)),2)),"",INDEX($A$3:$B$14312,SMALL(IF($A$3:$A$14312=W$3,ROW($A$3:$A$14312)),ROW(33:33)),2))</f>
        <v>Router3_144</v>
      </c>
      <c r="X35" t="str">
        <f t="array" ref="X35">IF(ISERROR(INDEX($A$3:$B$14312,SMALL(IF($A$3:$A$14312=X$3,ROW($A$3:$A$14312)),ROW(33:33)),2)),"",INDEX($A$3:$B$14312,SMALL(IF($A$3:$A$14312=X$3,ROW($A$3:$A$14312)),ROW(33:33)),2))</f>
        <v/>
      </c>
      <c r="Y35" t="str">
        <f t="array" ref="Y35">IF(ISERROR(INDEX($A$3:$B$14312,SMALL(IF($A$3:$A$14312=Y$3,ROW($A$3:$A$14312)),ROW(33:33)),2)),"",INDEX($A$3:$B$14312,SMALL(IF($A$3:$A$14312=Y$3,ROW($A$3:$A$14312)),ROW(33:33)),2))</f>
        <v/>
      </c>
      <c r="Z35" t="str">
        <f t="array" ref="Z35">IF(ISERROR(INDEX($A$3:$B$14312,SMALL(IF($A$3:$A$14312=Z$3,ROW($A$3:$A$14312)),ROW(33:33)),2)),"",INDEX($A$3:$B$14312,SMALL(IF($A$3:$A$14312=Z$3,ROW($A$3:$A$14312)),ROW(33:33)),2))</f>
        <v/>
      </c>
      <c r="AA35" t="str">
        <f t="array" ref="AA35">IF(ISERROR(INDEX($A$3:$B$14312,SMALL(IF($A$3:$A$14312=AA$3,ROW($A$3:$A$14312)),ROW(33:33)),2)),"",INDEX($A$3:$B$14312,SMALL(IF($A$3:$A$14312=AA$3,ROW($A$3:$A$14312)),ROW(33:33)),2))</f>
        <v/>
      </c>
      <c r="AB35" t="str">
        <f t="array" ref="AB35">IF(ISERROR(INDEX($A$3:$B$14312,SMALL(IF($A$3:$A$14312=AB$3,ROW($A$3:$A$14312)),ROW(33:33)),2)),"",INDEX($A$3:$B$14312,SMALL(IF($A$3:$A$14312=AB$3,ROW($A$3:$A$14312)),ROW(33:33)),2))</f>
        <v/>
      </c>
      <c r="AC35" t="str">
        <f t="array" ref="AC35">IF(ISERROR(INDEX($A$3:$B$14312,SMALL(IF($A$3:$A$14312=AC$3,ROW($A$3:$A$14312)),ROW(33:33)),2)),"",INDEX($A$3:$B$14312,SMALL(IF($A$3:$A$14312=AC$3,ROW($A$3:$A$14312)),ROW(33:33)),2))</f>
        <v/>
      </c>
      <c r="AD35" t="str">
        <f t="array" ref="AD35">IF(ISERROR(INDEX($A$3:$B$14312,SMALL(IF($A$3:$A$14312=AD$3,ROW($A$3:$A$14312)),ROW(33:33)),2)),"",INDEX($A$3:$B$14312,SMALL(IF($A$3:$A$14312=AD$3,ROW($A$3:$A$14312)),ROW(33:33)),2))</f>
        <v/>
      </c>
      <c r="AE35" t="str">
        <f t="array" ref="AE35">IF(ISERROR(INDEX($A$3:$B$14312,SMALL(IF($A$3:$A$14312=AE$3,ROW($A$3:$A$14312)),ROW(33:33)),2)),"",INDEX($A$3:$B$14312,SMALL(IF($A$3:$A$14312=AE$3,ROW($A$3:$A$14312)),ROW(33:33)),2))</f>
        <v/>
      </c>
      <c r="AF35" t="str">
        <f t="array" ref="AF35">IF(ISERROR(INDEX($A$3:$B$14312,SMALL(IF($A$3:$A$14312=AF$3,ROW($A$3:$A$14312)),ROW(33:33)),2)),"",INDEX($A$3:$B$14312,SMALL(IF($A$3:$A$14312=AF$3,ROW($A$3:$A$14312)),ROW(33:33)),2))</f>
        <v/>
      </c>
      <c r="AG35" t="str">
        <f t="array" ref="AG35">IF(ISERROR(INDEX($A$3:$B$14312,SMALL(IF($A$3:$A$14312=AG$3,ROW($A$3:$A$14312)),ROW(33:33)),2)),"",INDEX($A$3:$B$14312,SMALL(IF($A$3:$A$14312=AG$3,ROW($A$3:$A$14312)),ROW(33:33)),2))</f>
        <v/>
      </c>
      <c r="AH35" t="str">
        <f t="array" ref="AH35">IF(ISERROR(INDEX($A$3:$B$14312,SMALL(IF($A$3:$A$14312=AH$3,ROW($A$3:$A$14312)),ROW(33:33)),2)),"",INDEX($A$3:$B$14312,SMALL(IF($A$3:$A$14312=AH$3,ROW($A$3:$A$14312)),ROW(33:33)),2))</f>
        <v/>
      </c>
      <c r="AI35" t="str">
        <f t="array" ref="AI35">IF(ISERROR(INDEX($A$3:$B$14312,SMALL(IF($A$3:$A$14312=AI$3,ROW($A$3:$A$14312)),ROW(33:33)),2)),"",INDEX($A$3:$B$14312,SMALL(IF($A$3:$A$14312=AI$3,ROW($A$3:$A$14312)),ROW(33:33)),2))</f>
        <v/>
      </c>
      <c r="AJ35" t="str">
        <f t="array" ref="AJ35">IF(ISERROR(INDEX($A$3:$B$14312,SMALL(IF($A$3:$A$14312=AJ$3,ROW($A$3:$A$14312)),ROW(33:33)),2)),"",INDEX($A$3:$B$14312,SMALL(IF($A$3:$A$14312=AJ$3,ROW($A$3:$A$14312)),ROW(33:33)),2))</f>
        <v/>
      </c>
      <c r="AK35" t="str">
        <f t="array" ref="AK35">IF(ISERROR(INDEX($A$3:$B$14312,SMALL(IF($A$3:$A$14312=AK$3,ROW($A$3:$A$14312)),ROW(33:33)),2)),"",INDEX($A$3:$B$14312,SMALL(IF($A$3:$A$14312=AK$3,ROW($A$3:$A$14312)),ROW(33:33)),2))</f>
        <v/>
      </c>
      <c r="AL35" t="str">
        <f t="array" ref="AL35">IF(ISERROR(INDEX($A$3:$B$14312,SMALL(IF($A$3:$A$14312=AL$3,ROW($A$3:$A$14312)),ROW(33:33)),2)),"",INDEX($A$3:$B$14312,SMALL(IF($A$3:$A$14312=AL$3,ROW($A$3:$A$14312)),ROW(33:33)),2))</f>
        <v/>
      </c>
      <c r="AM35" t="str">
        <f t="array" ref="AM35">IF(ISERROR(INDEX($A$3:$B$14312,SMALL(IF($A$3:$A$14312=AM$3,ROW($A$3:$A$14312)),ROW(33:33)),2)),"",INDEX($A$3:$B$14312,SMALL(IF($A$3:$A$14312=AM$3,ROW($A$3:$A$14312)),ROW(33:33)),2))</f>
        <v>Router3_153</v>
      </c>
      <c r="AN35" t="str">
        <f t="array" ref="AN35">IF(ISERROR(INDEX($A$3:$B$14312,SMALL(IF($A$3:$A$14312=AN$3,ROW($A$3:$A$14312)),ROW(33:33)),2)),"",INDEX($A$3:$B$14312,SMALL(IF($A$3:$A$14312=AN$3,ROW($A$3:$A$14312)),ROW(33:33)),2))</f>
        <v/>
      </c>
      <c r="AO35" t="str">
        <f t="array" ref="AO35">IF(ISERROR(INDEX($A$3:$B$14312,SMALL(IF($A$3:$A$14312=AO$3,ROW($A$3:$A$14312)),ROW(33:33)),2)),"",INDEX($A$3:$B$14312,SMALL(IF($A$3:$A$14312=AO$3,ROW($A$3:$A$14312)),ROW(33:33)),2))</f>
        <v/>
      </c>
      <c r="AP35" t="str">
        <f t="array" ref="AP35">IF(ISERROR(INDEX($A$3:$B$14312,SMALL(IF($A$3:$A$14312=AP$3,ROW($A$3:$A$14312)),ROW(33:33)),2)),"",INDEX($A$3:$B$14312,SMALL(IF($A$3:$A$14312=AP$3,ROW($A$3:$A$14312)),ROW(33:33)),2))</f>
        <v/>
      </c>
      <c r="AQ35" t="str">
        <f t="array" ref="AQ35">IF(ISERROR(INDEX($A$3:$B$14312,SMALL(IF($A$3:$A$14312=AQ$3,ROW($A$3:$A$14312)),ROW(33:33)),2)),"",INDEX($A$3:$B$14312,SMALL(IF($A$3:$A$14312=AQ$3,ROW($A$3:$A$14312)),ROW(33:33)),2))</f>
        <v/>
      </c>
      <c r="AR35" t="str">
        <f t="array" ref="AR35">IF(ISERROR(INDEX($A$3:$B$14312,SMALL(IF($A$3:$A$14312=AR$3,ROW($A$3:$A$14312)),ROW(33:33)),2)),"",INDEX($A$3:$B$14312,SMALL(IF($A$3:$A$14312=AR$3,ROW($A$3:$A$14312)),ROW(33:33)),2))</f>
        <v/>
      </c>
      <c r="AS35" t="str">
        <f t="array" ref="AS35">IF(ISERROR(INDEX($A$3:$B$14312,SMALL(IF($A$3:$A$14312=AS$3,ROW($A$3:$A$14312)),ROW(33:33)),2)),"",INDEX($A$3:$B$14312,SMALL(IF($A$3:$A$14312=AS$3,ROW($A$3:$A$14312)),ROW(33:33)),2))</f>
        <v/>
      </c>
      <c r="AT35" t="str">
        <f t="array" ref="AT35">IF(ISERROR(INDEX($A$3:$B$14312,SMALL(IF($A$3:$A$14312=AT$3,ROW($A$3:$A$14312)),ROW(33:33)),2)),"",INDEX($A$3:$B$14312,SMALL(IF($A$3:$A$14312=AT$3,ROW($A$3:$A$14312)),ROW(33:33)),2))</f>
        <v/>
      </c>
      <c r="AU35" t="str">
        <f t="array" ref="AU35">IF(ISERROR(INDEX($A$3:$B$14312,SMALL(IF($A$3:$A$14312=AU$3,ROW($A$3:$A$14312)),ROW(33:33)),2)),"",INDEX($A$3:$B$14312,SMALL(IF($A$3:$A$14312=AU$3,ROW($A$3:$A$14312)),ROW(33:33)),2))</f>
        <v/>
      </c>
      <c r="AV35" t="str">
        <f t="array" ref="AV35">IF(ISERROR(INDEX($A$3:$B$14312,SMALL(IF($A$3:$A$14312=AV$3,ROW($A$3:$A$14312)),ROW(33:33)),2)),"",INDEX($A$3:$B$14312,SMALL(IF($A$3:$A$14312=AV$3,ROW($A$3:$A$14312)),ROW(33:33)),2))</f>
        <v/>
      </c>
      <c r="AW35" t="str">
        <f t="array" ref="AW35">IF(ISERROR(INDEX($A$3:$B$14312,SMALL(IF($A$3:$A$14312=AW$3,ROW($A$3:$A$14312)),ROW(33:33)),2)),"",INDEX($A$3:$B$14312,SMALL(IF($A$3:$A$14312=AW$3,ROW($A$3:$A$14312)),ROW(33:33)),2))</f>
        <v/>
      </c>
      <c r="AX35" t="str">
        <f t="array" ref="AX35">IF(ISERROR(INDEX($A$3:$B$14312,SMALL(IF($A$3:$A$14312=AX$3,ROW($A$3:$A$14312)),ROW(33:33)),2)),"",INDEX($A$3:$B$14312,SMALL(IF($A$3:$A$14312=AX$3,ROW($A$3:$A$14312)),ROW(33:33)),2))</f>
        <v/>
      </c>
      <c r="AY35" t="str">
        <f t="array" ref="AY35">IF(ISERROR(INDEX($A$3:$B$14312,SMALL(IF($A$3:$A$14312=AY$3,ROW($A$3:$A$14312)),ROW(33:33)),2)),"",INDEX($A$3:$B$14312,SMALL(IF($A$3:$A$14312=AY$3,ROW($A$3:$A$14312)),ROW(33:33)),2))</f>
        <v>Router3_155</v>
      </c>
      <c r="AZ35" t="str">
        <f t="array" ref="AZ35">IF(ISERROR(INDEX($A$3:$B$14312,SMALL(IF($A$3:$A$14312=AZ$3,ROW($A$3:$A$14312)),ROW(33:33)),2)),"",INDEX($A$3:$B$14312,SMALL(IF($A$3:$A$14312=AZ$3,ROW($A$3:$A$14312)),ROW(33:33)),2))</f>
        <v/>
      </c>
      <c r="BA35" t="str">
        <f t="array" ref="BA35">IF(ISERROR(INDEX($A$3:$B$14312,SMALL(IF($A$3:$A$14312=BA$3,ROW($A$3:$A$14312)),ROW(33:33)),2)),"",INDEX($A$3:$B$14312,SMALL(IF($A$3:$A$14312=BA$3,ROW($A$3:$A$14312)),ROW(33:33)),2))</f>
        <v/>
      </c>
      <c r="BB35" t="str">
        <f t="array" ref="BB35">IF(ISERROR(INDEX($A$3:$B$14312,SMALL(IF($A$3:$A$14312=BB$3,ROW($A$3:$A$14312)),ROW(33:33)),2)),"",INDEX($A$3:$B$14312,SMALL(IF($A$3:$A$14312=BB$3,ROW($A$3:$A$14312)),ROW(33:33)),2))</f>
        <v/>
      </c>
      <c r="BC35" t="str">
        <f t="array" ref="BC35">IF(ISERROR(INDEX($A$3:$B$14312,SMALL(IF($A$3:$A$14312=BC$3,ROW($A$3:$A$14312)),ROW(33:33)),2)),"",INDEX($A$3:$B$14312,SMALL(IF($A$3:$A$14312=BC$3,ROW($A$3:$A$14312)),ROW(33:33)),2))</f>
        <v/>
      </c>
      <c r="BD35" t="str">
        <f t="array" ref="BD35">IF(ISERROR(INDEX($A$3:$B$14312,SMALL(IF($A$3:$A$14312=BD$3,ROW($A$3:$A$14312)),ROW(33:33)),2)),"",INDEX($A$3:$B$14312,SMALL(IF($A$3:$A$14312=BD$3,ROW($A$3:$A$14312)),ROW(33:33)),2))</f>
        <v/>
      </c>
      <c r="BE35" t="str">
        <f t="array" ref="BE35">IF(ISERROR(INDEX($A$3:$B$14312,SMALL(IF($A$3:$A$14312=BE$3,ROW($A$3:$A$14312)),ROW(33:33)),2)),"",INDEX($A$3:$B$14312,SMALL(IF($A$3:$A$14312=BE$3,ROW($A$3:$A$14312)),ROW(33:33)),2))</f>
        <v/>
      </c>
      <c r="BF35" t="str">
        <f t="array" ref="BF35">IF(ISERROR(INDEX($A$3:$B$14312,SMALL(IF($A$3:$A$14312=BF$3,ROW($A$3:$A$14312)),ROW(33:33)),2)),"",INDEX($A$3:$B$14312,SMALL(IF($A$3:$A$14312=BF$3,ROW($A$3:$A$14312)),ROW(33:33)),2))</f>
        <v/>
      </c>
      <c r="BG35" t="str">
        <f t="array" ref="BG35">IF(ISERROR(INDEX($A$3:$B$14312,SMALL(IF($A$3:$A$14312=BG$3,ROW($A$3:$A$14312)),ROW(33:33)),2)),"",INDEX($A$3:$B$14312,SMALL(IF($A$3:$A$14312=BG$3,ROW($A$3:$A$14312)),ROW(33:33)),2))</f>
        <v/>
      </c>
      <c r="BH35" t="str">
        <f t="array" ref="BH35">IF(ISERROR(INDEX($A$3:$B$14312,SMALL(IF($A$3:$A$14312=BH$3,ROW($A$3:$A$14312)),ROW(33:33)),2)),"",INDEX($A$3:$B$14312,SMALL(IF($A$3:$A$14312=BH$3,ROW($A$3:$A$14312)),ROW(33:33)),2))</f>
        <v/>
      </c>
      <c r="BI35" t="str">
        <f t="array" ref="BI35">IF(ISERROR(INDEX($A$3:$B$14312,SMALL(IF($A$3:$A$14312=BI$3,ROW($A$3:$A$14312)),ROW(33:33)),2)),"",INDEX($A$3:$B$14312,SMALL(IF($A$3:$A$14312=BI$3,ROW($A$3:$A$14312)),ROW(33:33)),2))</f>
        <v/>
      </c>
      <c r="BJ35" t="str">
        <f t="array" ref="BJ35">IF(ISERROR(INDEX($A$3:$B$14312,SMALL(IF($A$3:$A$14312=BJ$3,ROW($A$3:$A$14312)),ROW(33:33)),2)),"",INDEX($A$3:$B$14312,SMALL(IF($A$3:$A$14312=BJ$3,ROW($A$3:$A$14312)),ROW(33:33)),2))</f>
        <v/>
      </c>
      <c r="BK35" t="str">
        <f t="array" ref="BK35">IF(ISERROR(INDEX($A$3:$B$14312,SMALL(IF($A$3:$A$14312=BK$3,ROW($A$3:$A$14312)),ROW(33:33)),2)),"",INDEX($A$3:$B$14312,SMALL(IF($A$3:$A$14312=BK$3,ROW($A$3:$A$14312)),ROW(33:33)),2))</f>
        <v/>
      </c>
      <c r="BL35" t="str">
        <f t="array" ref="BL35">IF(ISERROR(INDEX($A$3:$B$14312,SMALL(IF($A$3:$A$14312=BL$3,ROW($A$3:$A$14312)),ROW(33:33)),2)),"",INDEX($A$3:$B$14312,SMALL(IF($A$3:$A$14312=BL$3,ROW($A$3:$A$14312)),ROW(33:33)),2))</f>
        <v/>
      </c>
      <c r="BM35" t="str">
        <f t="array" ref="BM35">IF(ISERROR(INDEX($A$3:$B$14312,SMALL(IF($A$3:$A$14312=BM$3,ROW($A$3:$A$14312)),ROW(33:33)),2)),"",INDEX($A$3:$B$14312,SMALL(IF($A$3:$A$14312=BM$3,ROW($A$3:$A$14312)),ROW(33:33)),2))</f>
        <v/>
      </c>
      <c r="BN35" t="str">
        <f t="array" ref="BN35">IF(ISERROR(INDEX($A$3:$B$14312,SMALL(IF($A$3:$A$14312=BN$3,ROW($A$3:$A$14312)),ROW(33:33)),2)),"",INDEX($A$3:$B$14312,SMALL(IF($A$3:$A$14312=BN$3,ROW($A$3:$A$14312)),ROW(33:33)),2))</f>
        <v/>
      </c>
      <c r="BO35" t="str">
        <f t="array" ref="BO35">IF(ISERROR(INDEX($A$3:$B$14312,SMALL(IF($A$3:$A$14312=BO$3,ROW($A$3:$A$14312)),ROW(33:33)),2)),"",INDEX($A$3:$B$14312,SMALL(IF($A$3:$A$14312=BO$3,ROW($A$3:$A$14312)),ROW(33:33)),2))</f>
        <v/>
      </c>
      <c r="BP35" t="str">
        <f t="array" ref="BP35">IF(ISERROR(INDEX($A$3:$B$14312,SMALL(IF($A$3:$A$14312=BP$3,ROW($A$3:$A$14312)),ROW(33:33)),2)),"",INDEX($A$3:$B$14312,SMALL(IF($A$3:$A$14312=BP$3,ROW($A$3:$A$14312)),ROW(33:33)),2))</f>
        <v/>
      </c>
      <c r="BQ35" t="str">
        <f t="array" ref="BQ35">IF(ISERROR(INDEX($A$3:$B$14312,SMALL(IF($A$3:$A$14312=BQ$3,ROW($A$3:$A$14312)),ROW(33:33)),2)),"",INDEX($A$3:$B$14312,SMALL(IF($A$3:$A$14312=BQ$3,ROW($A$3:$A$14312)),ROW(33:33)),2))</f>
        <v/>
      </c>
      <c r="BR35" t="str">
        <f t="array" ref="BR35">IF(ISERROR(INDEX($A$3:$B$14312,SMALL(IF($A$3:$A$14312=BR$3,ROW($A$3:$A$14312)),ROW(33:33)),2)),"",INDEX($A$3:$B$14312,SMALL(IF($A$3:$A$14312=BR$3,ROW($A$3:$A$14312)),ROW(33:33)),2))</f>
        <v/>
      </c>
      <c r="BS35" t="str">
        <f t="array" ref="BS35">IF(ISERROR(INDEX($A$3:$B$14312,SMALL(IF($A$3:$A$14312=BS$3,ROW($A$3:$A$14312)),ROW(33:33)),2)),"",INDEX($A$3:$B$14312,SMALL(IF($A$3:$A$14312=BS$3,ROW($A$3:$A$14312)),ROW(33:33)),2))</f>
        <v/>
      </c>
      <c r="BT35" t="str">
        <f t="array" ref="BT35">IF(ISERROR(INDEX($A$3:$B$14312,SMALL(IF($A$3:$A$14312=BT$3,ROW($A$3:$A$14312)),ROW(33:33)),2)),"",INDEX($A$3:$B$14312,SMALL(IF($A$3:$A$14312=BT$3,ROW($A$3:$A$14312)),ROW(33:33)),2))</f>
        <v>Router3_118</v>
      </c>
      <c r="BU35" t="str">
        <f t="array" ref="BU35">IF(ISERROR(INDEX($A$3:$B$14312,SMALL(IF($A$3:$A$14312=BU$3,ROW($A$3:$A$14312)),ROW(33:33)),2)),"",INDEX($A$3:$B$14312,SMALL(IF($A$3:$A$14312=BU$3,ROW($A$3:$A$14312)),ROW(33:33)),2))</f>
        <v/>
      </c>
      <c r="BV35" t="str">
        <f t="array" ref="BV35">IF(ISERROR(INDEX($A$3:$B$14312,SMALL(IF($A$3:$A$14312=BV$3,ROW($A$3:$A$14312)),ROW(33:33)),2)),"",INDEX($A$3:$B$14312,SMALL(IF($A$3:$A$14312=BV$3,ROW($A$3:$A$14312)),ROW(33:33)),2))</f>
        <v/>
      </c>
      <c r="BW35" t="str">
        <f t="array" ref="BW35">IF(ISERROR(INDEX($A$3:$B$14312,SMALL(IF($A$3:$A$14312=BW$3,ROW($A$3:$A$14312)),ROW(33:33)),2)),"",INDEX($A$3:$B$14312,SMALL(IF($A$3:$A$14312=BW$3,ROW($A$3:$A$14312)),ROW(33:33)),2))</f>
        <v/>
      </c>
      <c r="BX35" t="str">
        <f t="array" ref="BX35">IF(ISERROR(INDEX($A$3:$B$14312,SMALL(IF($A$3:$A$14312=BX$3,ROW($A$3:$A$14312)),ROW(33:33)),2)),"",INDEX($A$3:$B$14312,SMALL(IF($A$3:$A$14312=BX$3,ROW($A$3:$A$14312)),ROW(33:33)),2))</f>
        <v/>
      </c>
      <c r="BY35" t="str">
        <f t="array" ref="BY35">IF(ISERROR(INDEX($A$3:$B$14312,SMALL(IF($A$3:$A$14312=BY$3,ROW($A$3:$A$14312)),ROW(33:33)),2)),"",INDEX($A$3:$B$14312,SMALL(IF($A$3:$A$14312=BY$3,ROW($A$3:$A$14312)),ROW(33:33)),2))</f>
        <v/>
      </c>
      <c r="BZ35" t="str">
        <f t="array" ref="BZ35">IF(ISERROR(INDEX($A$3:$B$14312,SMALL(IF($A$3:$A$14312=BZ$3,ROW($A$3:$A$14312)),ROW(33:33)),2)),"",INDEX($A$3:$B$14312,SMALL(IF($A$3:$A$14312=BZ$3,ROW($A$3:$A$14312)),ROW(33:33)),2))</f>
        <v/>
      </c>
      <c r="CA35" t="str">
        <f t="array" ref="CA35">IF(ISERROR(INDEX($A$3:$B$14312,SMALL(IF($A$3:$A$14312=CA$3,ROW($A$3:$A$14312)),ROW(33:33)),2)),"",INDEX($A$3:$B$14312,SMALL(IF($A$3:$A$14312=CA$3,ROW($A$3:$A$14312)),ROW(33:33)),2))</f>
        <v/>
      </c>
      <c r="CB35" t="str">
        <f t="array" ref="CB35">IF(ISERROR(INDEX($A$3:$B$14312,SMALL(IF($A$3:$A$14312=CB$3,ROW($A$3:$A$14312)),ROW(33:33)),2)),"",INDEX($A$3:$B$14312,SMALL(IF($A$3:$A$14312=CB$3,ROW($A$3:$A$14312)),ROW(33:33)),2))</f>
        <v/>
      </c>
      <c r="CC35" t="str">
        <f t="array" ref="CC35">IF(ISERROR(INDEX($A$3:$B$14312,SMALL(IF($A$3:$A$14312=CC$3,ROW($A$3:$A$14312)),ROW(33:33)),2)),"",INDEX($A$3:$B$14312,SMALL(IF($A$3:$A$14312=CC$3,ROW($A$3:$A$14312)),ROW(33:33)),2))</f>
        <v/>
      </c>
      <c r="CD35" t="str">
        <f t="array" ref="CD35">IF(ISERROR(INDEX($A$3:$B$14312,SMALL(IF($A$3:$A$14312=CD$3,ROW($A$3:$A$14312)),ROW(33:33)),2)),"",INDEX($A$3:$B$14312,SMALL(IF($A$3:$A$14312=CD$3,ROW($A$3:$A$14312)),ROW(33:33)),2))</f>
        <v/>
      </c>
      <c r="CE35" t="str">
        <f t="array" ref="CE35">IF(ISERROR(INDEX($A$3:$B$14312,SMALL(IF($A$3:$A$14312=CE$3,ROW($A$3:$A$14312)),ROW(33:33)),2)),"",INDEX($A$3:$B$14312,SMALL(IF($A$3:$A$14312=CE$3,ROW($A$3:$A$14312)),ROW(33:33)),2))</f>
        <v/>
      </c>
      <c r="CF35" t="str">
        <f t="array" ref="CF35">IF(ISERROR(INDEX($A$3:$B$14312,SMALL(IF($A$3:$A$14312=CF$3,ROW($A$3:$A$14312)),ROW(33:33)),2)),"",INDEX($A$3:$B$14312,SMALL(IF($A$3:$A$14312=CF$3,ROW($A$3:$A$14312)),ROW(33:33)),2))</f>
        <v/>
      </c>
      <c r="CG35" t="str">
        <f t="array" ref="CG35">IF(ISERROR(INDEX($A$3:$B$14312,SMALL(IF($A$3:$A$14312=CG$3,ROW($A$3:$A$14312)),ROW(33:33)),2)),"",INDEX($A$3:$B$14312,SMALL(IF($A$3:$A$14312=CG$3,ROW($A$3:$A$14312)),ROW(33:33)),2))</f>
        <v/>
      </c>
      <c r="CH35" t="str">
        <f t="array" ref="CH35">IF(ISERROR(INDEX($A$3:$B$14312,SMALL(IF($A$3:$A$14312=CH$3,ROW($A$3:$A$14312)),ROW(33:33)),2)),"",INDEX($A$3:$B$14312,SMALL(IF($A$3:$A$14312=CH$3,ROW($A$3:$A$14312)),ROW(33:33)),2))</f>
        <v/>
      </c>
      <c r="CI35" t="str">
        <f t="array" ref="CI35">IF(ISERROR(INDEX($A$3:$B$14312,SMALL(IF($A$3:$A$14312=CI$3,ROW($A$3:$A$14312)),ROW(33:33)),2)),"",INDEX($A$3:$B$14312,SMALL(IF($A$3:$A$14312=CI$3,ROW($A$3:$A$14312)),ROW(33:33)),2))</f>
        <v/>
      </c>
      <c r="CJ35" t="str">
        <f t="array" ref="CJ35">IF(ISERROR(INDEX($A$3:$B$14312,SMALL(IF($A$3:$A$14312=CJ$3,ROW($A$3:$A$14312)),ROW(33:33)),2)),"",INDEX($A$3:$B$14312,SMALL(IF($A$3:$A$14312=CJ$3,ROW($A$3:$A$14312)),ROW(33:33)),2))</f>
        <v/>
      </c>
      <c r="CK35" t="str">
        <f t="array" ref="CK35">IF(ISERROR(INDEX($A$3:$B$14312,SMALL(IF($A$3:$A$14312=CK$3,ROW($A$3:$A$14312)),ROW(33:33)),2)),"",INDEX($A$3:$B$14312,SMALL(IF($A$3:$A$14312=CK$3,ROW($A$3:$A$14312)),ROW(33:33)),2))</f>
        <v/>
      </c>
      <c r="CL35" t="str">
        <f t="array" ref="CL35">IF(ISERROR(INDEX($A$3:$B$14312,SMALL(IF($A$3:$A$14312=CL$3,ROW($A$3:$A$14312)),ROW(33:33)),2)),"",INDEX($A$3:$B$14312,SMALL(IF($A$3:$A$14312=CL$3,ROW($A$3:$A$14312)),ROW(33:33)),2))</f>
        <v/>
      </c>
      <c r="CM35" t="str">
        <f t="array" ref="CM35">IF(ISERROR(INDEX($A$3:$B$14312,SMALL(IF($A$3:$A$14312=CM$3,ROW($A$3:$A$14312)),ROW(33:33)),2)),"",INDEX($A$3:$B$14312,SMALL(IF($A$3:$A$14312=CM$3,ROW($A$3:$A$14312)),ROW(33:33)),2))</f>
        <v/>
      </c>
      <c r="CN35" t="str">
        <f t="array" ref="CN35">IF(ISERROR(INDEX($A$3:$B$14312,SMALL(IF($A$3:$A$14312=CN$3,ROW($A$3:$A$14312)),ROW(33:33)),2)),"",INDEX($A$3:$B$14312,SMALL(IF($A$3:$A$14312=CN$3,ROW($A$3:$A$14312)),ROW(33:33)),2))</f>
        <v/>
      </c>
      <c r="CO35" t="str">
        <f t="array" ref="CO35">IF(ISERROR(INDEX($A$3:$B$14312,SMALL(IF($A$3:$A$14312=CO$3,ROW($A$3:$A$14312)),ROW(33:33)),2)),"",INDEX($A$3:$B$14312,SMALL(IF($A$3:$A$14312=CO$3,ROW($A$3:$A$14312)),ROW(33:33)),2))</f>
        <v/>
      </c>
      <c r="CP35" t="str">
        <f t="array" ref="CP35">IF(ISERROR(INDEX($A$3:$B$14312,SMALL(IF($A$3:$A$14312=CP$3,ROW($A$3:$A$14312)),ROW(33:33)),2)),"",INDEX($A$3:$B$14312,SMALL(IF($A$3:$A$14312=CP$3,ROW($A$3:$A$14312)),ROW(33:33)),2))</f>
        <v/>
      </c>
      <c r="CQ35" t="str">
        <f t="array" ref="CQ35">IF(ISERROR(INDEX($A$3:$B$14312,SMALL(IF($A$3:$A$14312=CQ$3,ROW($A$3:$A$14312)),ROW(33:33)),2)),"",INDEX($A$3:$B$14312,SMALL(IF($A$3:$A$14312=CQ$3,ROW($A$3:$A$14312)),ROW(33:33)),2))</f>
        <v/>
      </c>
      <c r="CR35" t="str">
        <f t="array" ref="CR35">IF(ISERROR(INDEX($A$3:$B$14312,SMALL(IF($A$3:$A$14312=CR$3,ROW($A$3:$A$14312)),ROW(33:33)),2)),"",INDEX($A$3:$B$14312,SMALL(IF($A$3:$A$14312=CR$3,ROW($A$3:$A$14312)),ROW(33:33)),2))</f>
        <v/>
      </c>
      <c r="CS35" t="str">
        <f t="array" ref="CS35">IF(ISERROR(INDEX($A$3:$B$14312,SMALL(IF($A$3:$A$14312=CS$3,ROW($A$3:$A$14312)),ROW(33:33)),2)),"",INDEX($A$3:$B$14312,SMALL(IF($A$3:$A$14312=CS$3,ROW($A$3:$A$14312)),ROW(33:33)),2))</f>
        <v/>
      </c>
      <c r="CT35" t="str">
        <f t="array" ref="CT35">IF(ISERROR(INDEX($A$3:$B$14312,SMALL(IF($A$3:$A$14312=CT$3,ROW($A$3:$A$14312)),ROW(33:33)),2)),"",INDEX($A$3:$B$14312,SMALL(IF($A$3:$A$14312=CT$3,ROW($A$3:$A$14312)),ROW(33:33)),2))</f>
        <v/>
      </c>
      <c r="CU35" t="str">
        <f t="array" ref="CU35">IF(ISERROR(INDEX($A$3:$B$14312,SMALL(IF($A$3:$A$14312=CU$3,ROW($A$3:$A$14312)),ROW(33:33)),2)),"",INDEX($A$3:$B$14312,SMALL(IF($A$3:$A$14312=CU$3,ROW($A$3:$A$14312)),ROW(33:33)),2))</f>
        <v/>
      </c>
      <c r="CV35" t="str">
        <f t="array" ref="CV35">IF(ISERROR(INDEX($A$3:$B$14312,SMALL(IF($A$3:$A$14312=CV$3,ROW($A$3:$A$14312)),ROW(33:33)),2)),"",INDEX($A$3:$B$14312,SMALL(IF($A$3:$A$14312=CV$3,ROW($A$3:$A$14312)),ROW(33:33)),2))</f>
        <v/>
      </c>
      <c r="CW35" t="str">
        <f t="array" ref="CW35">IF(ISERROR(INDEX($A$3:$B$14312,SMALL(IF($A$3:$A$14312=CW$3,ROW($A$3:$A$14312)),ROW(33:33)),2)),"",INDEX($A$3:$B$14312,SMALL(IF($A$3:$A$14312=CW$3,ROW($A$3:$A$14312)),ROW(33:33)),2))</f>
        <v/>
      </c>
      <c r="CX35" t="str">
        <f t="array" ref="CX35">IF(ISERROR(INDEX($A$3:$B$14312,SMALL(IF($A$3:$A$14312=CX$3,ROW($A$3:$A$14312)),ROW(33:33)),2)),"",INDEX($A$3:$B$14312,SMALL(IF($A$3:$A$14312=CX$3,ROW($A$3:$A$14312)),ROW(33:33)),2))</f>
        <v/>
      </c>
      <c r="CY35" t="str">
        <f t="array" ref="CY35">IF(ISERROR(INDEX($A$3:$B$14312,SMALL(IF($A$3:$A$14312=CY$3,ROW($A$3:$A$14312)),ROW(33:33)),2)),"",INDEX($A$3:$B$14312,SMALL(IF($A$3:$A$14312=CY$3,ROW($A$3:$A$14312)),ROW(33:33)),2))</f>
        <v/>
      </c>
      <c r="CZ35" t="str">
        <f t="array" ref="CZ35">IF(ISERROR(INDEX($A$3:$B$14312,SMALL(IF($A$3:$A$14312=CZ$3,ROW($A$3:$A$14312)),ROW(33:33)),2)),"",INDEX($A$3:$B$14312,SMALL(IF($A$3:$A$14312=CZ$3,ROW($A$3:$A$14312)),ROW(33:33)),2))</f>
        <v/>
      </c>
      <c r="DA35" t="str">
        <f t="array" ref="DA35">IF(ISERROR(INDEX($A$3:$B$14312,SMALL(IF($A$3:$A$14312=DA$3,ROW($A$3:$A$14312)),ROW(33:33)),2)),"",INDEX($A$3:$B$14312,SMALL(IF($A$3:$A$14312=DA$3,ROW($A$3:$A$14312)),ROW(33:33)),2))</f>
        <v>Router3_163</v>
      </c>
      <c r="DB35" t="str">
        <f t="array" ref="DB35">IF(ISERROR(INDEX($A$3:$B$14312,SMALL(IF($A$3:$A$14312=DB$3,ROW($A$3:$A$14312)),ROW(33:33)),2)),"",INDEX($A$3:$B$14312,SMALL(IF($A$3:$A$14312=DB$3,ROW($A$3:$A$14312)),ROW(33:33)),2))</f>
        <v/>
      </c>
      <c r="DC35" t="str">
        <f t="array" ref="DC35">IF(ISERROR(INDEX($A$3:$B$14312,SMALL(IF($A$3:$A$14312=DC$3,ROW($A$3:$A$14312)),ROW(33:33)),2)),"",INDEX($A$3:$B$14312,SMALL(IF($A$3:$A$14312=DC$3,ROW($A$3:$A$14312)),ROW(33:33)),2))</f>
        <v/>
      </c>
      <c r="DD35" t="str">
        <f t="array" ref="DD35">IF(ISERROR(INDEX($A$3:$B$14312,SMALL(IF($A$3:$A$14312=DD$3,ROW($A$3:$A$14312)),ROW(33:33)),2)),"",INDEX($A$3:$B$14312,SMALL(IF($A$3:$A$14312=DD$3,ROW($A$3:$A$14312)),ROW(33:33)),2))</f>
        <v/>
      </c>
      <c r="DE35" t="str">
        <f t="array" ref="DE35">IF(ISERROR(INDEX($A$3:$B$14312,SMALL(IF($A$3:$A$14312=DE$3,ROW($A$3:$A$14312)),ROW(33:33)),2)),"",INDEX($A$3:$B$14312,SMALL(IF($A$3:$A$14312=DE$3,ROW($A$3:$A$14312)),ROW(33:33)),2))</f>
        <v/>
      </c>
      <c r="DF35" t="str">
        <f t="array" ref="DF35">IF(ISERROR(INDEX($A$3:$B$14312,SMALL(IF($A$3:$A$14312=DF$3,ROW($A$3:$A$14312)),ROW(33:33)),2)),"",INDEX($A$3:$B$14312,SMALL(IF($A$3:$A$14312=DF$3,ROW($A$3:$A$14312)),ROW(33:33)),2))</f>
        <v/>
      </c>
      <c r="DG35" t="str">
        <f t="array" ref="DG35">IF(ISERROR(INDEX($A$3:$B$14312,SMALL(IF($A$3:$A$14312=DG$3,ROW($A$3:$A$14312)),ROW(33:33)),2)),"",INDEX($A$3:$B$14312,SMALL(IF($A$3:$A$14312=DG$3,ROW($A$3:$A$14312)),ROW(33:33)),2))</f>
        <v/>
      </c>
      <c r="DH35" t="str">
        <f t="array" ref="DH35">IF(ISERROR(INDEX($A$3:$B$14312,SMALL(IF($A$3:$A$14312=DH$3,ROW($A$3:$A$14312)),ROW(33:33)),2)),"",INDEX($A$3:$B$14312,SMALL(IF($A$3:$A$14312=DH$3,ROW($A$3:$A$14312)),ROW(33:33)),2))</f>
        <v/>
      </c>
      <c r="DI35" t="str">
        <f t="array" ref="DI35">IF(ISERROR(INDEX($A$3:$B$14312,SMALL(IF($A$3:$A$14312=DI$3,ROW($A$3:$A$14312)),ROW(33:33)),2)),"",INDEX($A$3:$B$14312,SMALL(IF($A$3:$A$14312=DI$3,ROW($A$3:$A$14312)),ROW(33:33)),2))</f>
        <v>Router3_99</v>
      </c>
      <c r="DJ35" t="str">
        <f t="array" ref="DJ35">IF(ISERROR(INDEX($A$3:$B$14312,SMALL(IF($A$3:$A$14312=DJ$3,ROW($A$3:$A$14312)),ROW(33:33)),2)),"",INDEX($A$3:$B$14312,SMALL(IF($A$3:$A$14312=DJ$3,ROW($A$3:$A$14312)),ROW(33:33)),2))</f>
        <v/>
      </c>
      <c r="DK35" t="str">
        <f t="array" ref="DK35">IF(ISERROR(INDEX($A$3:$B$14312,SMALL(IF($A$3:$A$14312=DK$3,ROW($A$3:$A$14312)),ROW(33:33)),2)),"",INDEX($A$3:$B$14312,SMALL(IF($A$3:$A$14312=DK$3,ROW($A$3:$A$14312)),ROW(33:33)),2))</f>
        <v>Router3_165</v>
      </c>
      <c r="DL35" t="str">
        <f t="array" ref="DL35">IF(ISERROR(INDEX($A$3:$B$14312,SMALL(IF($A$3:$A$14312=DL$3,ROW($A$3:$A$14312)),ROW(33:33)),2)),"",INDEX($A$3:$B$14312,SMALL(IF($A$3:$A$14312=DL$3,ROW($A$3:$A$14312)),ROW(33:33)),2))</f>
        <v/>
      </c>
      <c r="DM35" t="str">
        <f t="array" ref="DM35">IF(ISERROR(INDEX($A$3:$B$14312,SMALL(IF($A$3:$A$14312=DM$3,ROW($A$3:$A$14312)),ROW(33:33)),2)),"",INDEX($A$3:$B$14312,SMALL(IF($A$3:$A$14312=DM$3,ROW($A$3:$A$14312)),ROW(33:33)),2))</f>
        <v/>
      </c>
      <c r="DN35" t="str">
        <f t="array" ref="DN35">IF(ISERROR(INDEX($A$3:$B$14312,SMALL(IF($A$3:$A$14312=DN$3,ROW($A$3:$A$14312)),ROW(33:33)),2)),"",INDEX($A$3:$B$14312,SMALL(IF($A$3:$A$14312=DN$3,ROW($A$3:$A$14312)),ROW(33:33)),2))</f>
        <v/>
      </c>
      <c r="DO35" t="str">
        <f t="array" ref="DO35">IF(ISERROR(INDEX($A$3:$B$14312,SMALL(IF($A$3:$A$14312=DO$3,ROW($A$3:$A$14312)),ROW(33:33)),2)),"",INDEX($A$3:$B$14312,SMALL(IF($A$3:$A$14312=DO$3,ROW($A$3:$A$14312)),ROW(33:33)),2))</f>
        <v/>
      </c>
      <c r="DP35" t="str">
        <f t="array" ref="DP35">IF(ISERROR(INDEX($A$3:$B$14312,SMALL(IF($A$3:$A$14312=DP$3,ROW($A$3:$A$14312)),ROW(33:33)),2)),"",INDEX($A$3:$B$14312,SMALL(IF($A$3:$A$14312=DP$3,ROW($A$3:$A$14312)),ROW(33:33)),2))</f>
        <v/>
      </c>
      <c r="DQ35" t="str">
        <f t="array" ref="DQ35">IF(ISERROR(INDEX($A$3:$B$14312,SMALL(IF($A$3:$A$14312=DQ$3,ROW($A$3:$A$14312)),ROW(33:33)),2)),"",INDEX($A$3:$B$14312,SMALL(IF($A$3:$A$14312=DQ$3,ROW($A$3:$A$14312)),ROW(33:33)),2))</f>
        <v/>
      </c>
      <c r="DR35" t="str">
        <f t="array" ref="DR35">IF(ISERROR(INDEX($A$3:$B$14312,SMALL(IF($A$3:$A$14312=DR$3,ROW($A$3:$A$14312)),ROW(33:33)),2)),"",INDEX($A$3:$B$14312,SMALL(IF($A$3:$A$14312=DR$3,ROW($A$3:$A$14312)),ROW(33:33)),2))</f>
        <v>Router3_35</v>
      </c>
      <c r="DS35" t="str">
        <f t="array" ref="DS35">IF(ISERROR(INDEX($A$3:$B$14312,SMALL(IF($A$3:$A$14312=DS$3,ROW($A$3:$A$14312)),ROW(33:33)),2)),"",INDEX($A$3:$B$14312,SMALL(IF($A$3:$A$14312=DS$3,ROW($A$3:$A$14312)),ROW(33:33)),2))</f>
        <v/>
      </c>
      <c r="DT35" t="str">
        <f t="array" ref="DT35">IF(ISERROR(INDEX($A$3:$B$14312,SMALL(IF($A$3:$A$14312=DT$3,ROW($A$3:$A$14312)),ROW(33:33)),2)),"",INDEX($A$3:$B$14312,SMALL(IF($A$3:$A$14312=DT$3,ROW($A$3:$A$14312)),ROW(33:33)),2))</f>
        <v>Router3_99</v>
      </c>
      <c r="DU35" t="str">
        <f t="array" ref="DU35">IF(ISERROR(INDEX($A$3:$B$14312,SMALL(IF($A$3:$A$14312=DU$3,ROW($A$3:$A$14312)),ROW(33:33)),2)),"",INDEX($A$3:$B$14312,SMALL(IF($A$3:$A$14312=DU$3,ROW($A$3:$A$14312)),ROW(33:33)),2))</f>
        <v>Router3_150</v>
      </c>
      <c r="DV35" t="str">
        <f t="array" ref="DV35">IF(ISERROR(INDEX($A$3:$B$14312,SMALL(IF($A$3:$A$14312=DV$3,ROW($A$3:$A$14312)),ROW(33:33)),2)),"",INDEX($A$3:$B$14312,SMALL(IF($A$3:$A$14312=DV$3,ROW($A$3:$A$14312)),ROW(33:33)),2))</f>
        <v/>
      </c>
      <c r="DW35" t="str">
        <f t="array" ref="DW35">IF(ISERROR(INDEX($A$3:$B$14312,SMALL(IF($A$3:$A$14312=DW$3,ROW($A$3:$A$14312)),ROW(33:33)),2)),"",INDEX($A$3:$B$14312,SMALL(IF($A$3:$A$14312=DW$3,ROW($A$3:$A$14312)),ROW(33:33)),2))</f>
        <v/>
      </c>
      <c r="DX35" t="str">
        <f t="array" ref="DX35">IF(ISERROR(INDEX($A$3:$B$14312,SMALL(IF($A$3:$A$14312=DX$3,ROW($A$3:$A$14312)),ROW(33:33)),2)),"",INDEX($A$3:$B$14312,SMALL(IF($A$3:$A$14312=DX$3,ROW($A$3:$A$14312)),ROW(33:33)),2))</f>
        <v/>
      </c>
      <c r="DY35" t="str">
        <f t="array" ref="DY35">IF(ISERROR(INDEX($A$3:$B$14312,SMALL(IF($A$3:$A$14312=DY$3,ROW($A$3:$A$14312)),ROW(33:33)),2)),"",INDEX($A$3:$B$14312,SMALL(IF($A$3:$A$14312=DY$3,ROW($A$3:$A$14312)),ROW(33:33)),2))</f>
        <v/>
      </c>
      <c r="DZ35" t="str">
        <f t="array" ref="DZ35">IF(ISERROR(INDEX($A$3:$B$14312,SMALL(IF($A$3:$A$14312=DZ$3,ROW($A$3:$A$14312)),ROW(33:33)),2)),"",INDEX($A$3:$B$14312,SMALL(IF($A$3:$A$14312=DZ$3,ROW($A$3:$A$14312)),ROW(33:33)),2))</f>
        <v/>
      </c>
      <c r="EA35" t="str">
        <f t="array" ref="EA35">IF(ISERROR(INDEX($A$3:$B$14312,SMALL(IF($A$3:$A$14312=EA$3,ROW($A$3:$A$14312)),ROW(33:33)),2)),"",INDEX($A$3:$B$14312,SMALL(IF($A$3:$A$14312=EA$3,ROW($A$3:$A$14312)),ROW(33:33)),2))</f>
        <v/>
      </c>
      <c r="EB35" t="str">
        <f t="array" ref="EB35">IF(ISERROR(INDEX($A$3:$B$14312,SMALL(IF($A$3:$A$14312=EB$3,ROW($A$3:$A$14312)),ROW(33:33)),2)),"",INDEX($A$3:$B$14312,SMALL(IF($A$3:$A$14312=EB$3,ROW($A$3:$A$14312)),ROW(33:33)),2))</f>
        <v/>
      </c>
      <c r="EC35" t="str">
        <f t="array" ref="EC35">IF(ISERROR(INDEX($A$3:$B$14312,SMALL(IF($A$3:$A$14312=EC$3,ROW($A$3:$A$14312)),ROW(33:33)),2)),"",INDEX($A$3:$B$14312,SMALL(IF($A$3:$A$14312=EC$3,ROW($A$3:$A$14312)),ROW(33:33)),2))</f>
        <v>Router3_144</v>
      </c>
      <c r="ED35" t="str">
        <f t="array" ref="ED35">IF(ISERROR(INDEX($A$3:$B$14312,SMALL(IF($A$3:$A$14312=ED$3,ROW($A$3:$A$14312)),ROW(33:33)),2)),"",INDEX($A$3:$B$14312,SMALL(IF($A$3:$A$14312=ED$3,ROW($A$3:$A$14312)),ROW(33:33)),2))</f>
        <v>Router3_155</v>
      </c>
      <c r="EE35" t="str">
        <f t="array" ref="EE35">IF(ISERROR(INDEX($A$3:$B$14312,SMALL(IF($A$3:$A$14312=EE$3,ROW($A$3:$A$14312)),ROW(33:33)),2)),"",INDEX($A$3:$B$14312,SMALL(IF($A$3:$A$14312=EE$3,ROW($A$3:$A$14312)),ROW(33:33)),2))</f>
        <v/>
      </c>
    </row>
    <row r="36" spans="1:135" x14ac:dyDescent="0.25">
      <c r="A36" s="10">
        <v>-450827382</v>
      </c>
      <c r="B36" t="s">
        <v>1191</v>
      </c>
      <c r="E36" t="str">
        <f t="array" ref="E36">IF(ISERROR(INDEX($A$3:$B$14312,SMALL(IF($A$3:$A$14312=E$3,ROW($A$3:$A$14312)),ROW(34:34)),2)),"",INDEX($A$3:$B$14312,SMALL(IF($A$3:$A$14312=E$3,ROW($A$3:$A$14312)),ROW(34:34)),2))</f>
        <v/>
      </c>
      <c r="F36" t="str">
        <f t="array" ref="F36">IF(ISERROR(INDEX($A$3:$B$14312,SMALL(IF($A$3:$A$14312=F$3,ROW($A$3:$A$14312)),ROW(34:34)),2)),"",INDEX($A$3:$B$14312,SMALL(IF($A$3:$A$14312=F$3,ROW($A$3:$A$14312)),ROW(34:34)),2))</f>
        <v>Router3_136</v>
      </c>
      <c r="G36" t="str">
        <f t="array" ref="G36">IF(ISERROR(INDEX($A$3:$B$14312,SMALL(IF($A$3:$A$14312=G$3,ROW($A$3:$A$14312)),ROW(34:34)),2)),"",INDEX($A$3:$B$14312,SMALL(IF($A$3:$A$14312=G$3,ROW($A$3:$A$14312)),ROW(34:34)),2))</f>
        <v/>
      </c>
      <c r="H36" t="str">
        <f t="array" ref="H36">IF(ISERROR(INDEX($A$3:$B$14312,SMALL(IF($A$3:$A$14312=H$3,ROW($A$3:$A$14312)),ROW(34:34)),2)),"",INDEX($A$3:$B$14312,SMALL(IF($A$3:$A$14312=H$3,ROW($A$3:$A$14312)),ROW(34:34)),2))</f>
        <v/>
      </c>
      <c r="I36" t="str">
        <f t="array" ref="I36">IF(ISERROR(INDEX($A$3:$B$14312,SMALL(IF($A$3:$A$14312=I$3,ROW($A$3:$A$14312)),ROW(34:34)),2)),"",INDEX($A$3:$B$14312,SMALL(IF($A$3:$A$14312=I$3,ROW($A$3:$A$14312)),ROW(34:34)),2))</f>
        <v/>
      </c>
      <c r="J36" t="str">
        <f t="array" ref="J36">IF(ISERROR(INDEX($A$3:$B$14312,SMALL(IF($A$3:$A$14312=J$3,ROW($A$3:$A$14312)),ROW(34:34)),2)),"",INDEX($A$3:$B$14312,SMALL(IF($A$3:$A$14312=J$3,ROW($A$3:$A$14312)),ROW(34:34)),2))</f>
        <v>Router3_50</v>
      </c>
      <c r="K36" t="str">
        <f t="array" ref="K36">IF(ISERROR(INDEX($A$3:$B$14312,SMALL(IF($A$3:$A$14312=K$3,ROW($A$3:$A$14312)),ROW(34:34)),2)),"",INDEX($A$3:$B$14312,SMALL(IF($A$3:$A$14312=K$3,ROW($A$3:$A$14312)),ROW(34:34)),2))</f>
        <v/>
      </c>
      <c r="L36" t="str">
        <f t="array" ref="L36">IF(ISERROR(INDEX($A$3:$B$14312,SMALL(IF($A$3:$A$14312=L$3,ROW($A$3:$A$14312)),ROW(34:34)),2)),"",INDEX($A$3:$B$14312,SMALL(IF($A$3:$A$14312=L$3,ROW($A$3:$A$14312)),ROW(34:34)),2))</f>
        <v/>
      </c>
      <c r="M36" t="str">
        <f t="array" ref="M36">IF(ISERROR(INDEX($A$3:$B$14312,SMALL(IF($A$3:$A$14312=M$3,ROW($A$3:$A$14312)),ROW(34:34)),2)),"",INDEX($A$3:$B$14312,SMALL(IF($A$3:$A$14312=M$3,ROW($A$3:$A$14312)),ROW(34:34)),2))</f>
        <v/>
      </c>
      <c r="N36" t="str">
        <f t="array" ref="N36">IF(ISERROR(INDEX($A$3:$B$14312,SMALL(IF($A$3:$A$14312=N$3,ROW($A$3:$A$14312)),ROW(34:34)),2)),"",INDEX($A$3:$B$14312,SMALL(IF($A$3:$A$14312=N$3,ROW($A$3:$A$14312)),ROW(34:34)),2))</f>
        <v/>
      </c>
      <c r="O36" t="str">
        <f t="array" ref="O36">IF(ISERROR(INDEX($A$3:$B$14312,SMALL(IF($A$3:$A$14312=O$3,ROW($A$3:$A$14312)),ROW(34:34)),2)),"",INDEX($A$3:$B$14312,SMALL(IF($A$3:$A$14312=O$3,ROW($A$3:$A$14312)),ROW(34:34)),2))</f>
        <v/>
      </c>
      <c r="P36" t="str">
        <f t="array" ref="P36">IF(ISERROR(INDEX($A$3:$B$14312,SMALL(IF($A$3:$A$14312=P$3,ROW($A$3:$A$14312)),ROW(34:34)),2)),"",INDEX($A$3:$B$14312,SMALL(IF($A$3:$A$14312=P$3,ROW($A$3:$A$14312)),ROW(34:34)),2))</f>
        <v/>
      </c>
      <c r="Q36" t="str">
        <f t="array" ref="Q36">IF(ISERROR(INDEX($A$3:$B$14312,SMALL(IF($A$3:$A$14312=Q$3,ROW($A$3:$A$14312)),ROW(34:34)),2)),"",INDEX($A$3:$B$14312,SMALL(IF($A$3:$A$14312=Q$3,ROW($A$3:$A$14312)),ROW(34:34)),2))</f>
        <v/>
      </c>
      <c r="R36" t="str">
        <f t="array" ref="R36">IF(ISERROR(INDEX($A$3:$B$14312,SMALL(IF($A$3:$A$14312=R$3,ROW($A$3:$A$14312)),ROW(34:34)),2)),"",INDEX($A$3:$B$14312,SMALL(IF($A$3:$A$14312=R$3,ROW($A$3:$A$14312)),ROW(34:34)),2))</f>
        <v/>
      </c>
      <c r="S36" t="str">
        <f t="array" ref="S36">IF(ISERROR(INDEX($A$3:$B$14312,SMALL(IF($A$3:$A$14312=S$3,ROW($A$3:$A$14312)),ROW(34:34)),2)),"",INDEX($A$3:$B$14312,SMALL(IF($A$3:$A$14312=S$3,ROW($A$3:$A$14312)),ROW(34:34)),2))</f>
        <v/>
      </c>
      <c r="T36" t="str">
        <f t="array" ref="T36">IF(ISERROR(INDEX($A$3:$B$14312,SMALL(IF($A$3:$A$14312=T$3,ROW($A$3:$A$14312)),ROW(34:34)),2)),"",INDEX($A$3:$B$14312,SMALL(IF($A$3:$A$14312=T$3,ROW($A$3:$A$14312)),ROW(34:34)),2))</f>
        <v/>
      </c>
      <c r="U36" t="str">
        <f t="array" ref="U36">IF(ISERROR(INDEX($A$3:$B$14312,SMALL(IF($A$3:$A$14312=U$3,ROW($A$3:$A$14312)),ROW(34:34)),2)),"",INDEX($A$3:$B$14312,SMALL(IF($A$3:$A$14312=U$3,ROW($A$3:$A$14312)),ROW(34:34)),2))</f>
        <v/>
      </c>
      <c r="V36" t="str">
        <f t="array" ref="V36">IF(ISERROR(INDEX($A$3:$B$14312,SMALL(IF($A$3:$A$14312=V$3,ROW($A$3:$A$14312)),ROW(34:34)),2)),"",INDEX($A$3:$B$14312,SMALL(IF($A$3:$A$14312=V$3,ROW($A$3:$A$14312)),ROW(34:34)),2))</f>
        <v/>
      </c>
      <c r="W36" t="str">
        <f t="array" ref="W36">IF(ISERROR(INDEX($A$3:$B$14312,SMALL(IF($A$3:$A$14312=W$3,ROW($A$3:$A$14312)),ROW(34:34)),2)),"",INDEX($A$3:$B$14312,SMALL(IF($A$3:$A$14312=W$3,ROW($A$3:$A$14312)),ROW(34:34)),2))</f>
        <v>Router3_145</v>
      </c>
      <c r="X36" t="str">
        <f t="array" ref="X36">IF(ISERROR(INDEX($A$3:$B$14312,SMALL(IF($A$3:$A$14312=X$3,ROW($A$3:$A$14312)),ROW(34:34)),2)),"",INDEX($A$3:$B$14312,SMALL(IF($A$3:$A$14312=X$3,ROW($A$3:$A$14312)),ROW(34:34)),2))</f>
        <v/>
      </c>
      <c r="Y36" t="str">
        <f t="array" ref="Y36">IF(ISERROR(INDEX($A$3:$B$14312,SMALL(IF($A$3:$A$14312=Y$3,ROW($A$3:$A$14312)),ROW(34:34)),2)),"",INDEX($A$3:$B$14312,SMALL(IF($A$3:$A$14312=Y$3,ROW($A$3:$A$14312)),ROW(34:34)),2))</f>
        <v/>
      </c>
      <c r="Z36" t="str">
        <f t="array" ref="Z36">IF(ISERROR(INDEX($A$3:$B$14312,SMALL(IF($A$3:$A$14312=Z$3,ROW($A$3:$A$14312)),ROW(34:34)),2)),"",INDEX($A$3:$B$14312,SMALL(IF($A$3:$A$14312=Z$3,ROW($A$3:$A$14312)),ROW(34:34)),2))</f>
        <v/>
      </c>
      <c r="AA36" t="str">
        <f t="array" ref="AA36">IF(ISERROR(INDEX($A$3:$B$14312,SMALL(IF($A$3:$A$14312=AA$3,ROW($A$3:$A$14312)),ROW(34:34)),2)),"",INDEX($A$3:$B$14312,SMALL(IF($A$3:$A$14312=AA$3,ROW($A$3:$A$14312)),ROW(34:34)),2))</f>
        <v/>
      </c>
      <c r="AB36" t="str">
        <f t="array" ref="AB36">IF(ISERROR(INDEX($A$3:$B$14312,SMALL(IF($A$3:$A$14312=AB$3,ROW($A$3:$A$14312)),ROW(34:34)),2)),"",INDEX($A$3:$B$14312,SMALL(IF($A$3:$A$14312=AB$3,ROW($A$3:$A$14312)),ROW(34:34)),2))</f>
        <v/>
      </c>
      <c r="AC36" t="str">
        <f t="array" ref="AC36">IF(ISERROR(INDEX($A$3:$B$14312,SMALL(IF($A$3:$A$14312=AC$3,ROW($A$3:$A$14312)),ROW(34:34)),2)),"",INDEX($A$3:$B$14312,SMALL(IF($A$3:$A$14312=AC$3,ROW($A$3:$A$14312)),ROW(34:34)),2))</f>
        <v/>
      </c>
      <c r="AD36" t="str">
        <f t="array" ref="AD36">IF(ISERROR(INDEX($A$3:$B$14312,SMALL(IF($A$3:$A$14312=AD$3,ROW($A$3:$A$14312)),ROW(34:34)),2)),"",INDEX($A$3:$B$14312,SMALL(IF($A$3:$A$14312=AD$3,ROW($A$3:$A$14312)),ROW(34:34)),2))</f>
        <v/>
      </c>
      <c r="AE36" t="str">
        <f t="array" ref="AE36">IF(ISERROR(INDEX($A$3:$B$14312,SMALL(IF($A$3:$A$14312=AE$3,ROW($A$3:$A$14312)),ROW(34:34)),2)),"",INDEX($A$3:$B$14312,SMALL(IF($A$3:$A$14312=AE$3,ROW($A$3:$A$14312)),ROW(34:34)),2))</f>
        <v/>
      </c>
      <c r="AF36" t="str">
        <f t="array" ref="AF36">IF(ISERROR(INDEX($A$3:$B$14312,SMALL(IF($A$3:$A$14312=AF$3,ROW($A$3:$A$14312)),ROW(34:34)),2)),"",INDEX($A$3:$B$14312,SMALL(IF($A$3:$A$14312=AF$3,ROW($A$3:$A$14312)),ROW(34:34)),2))</f>
        <v/>
      </c>
      <c r="AG36" t="str">
        <f t="array" ref="AG36">IF(ISERROR(INDEX($A$3:$B$14312,SMALL(IF($A$3:$A$14312=AG$3,ROW($A$3:$A$14312)),ROW(34:34)),2)),"",INDEX($A$3:$B$14312,SMALL(IF($A$3:$A$14312=AG$3,ROW($A$3:$A$14312)),ROW(34:34)),2))</f>
        <v/>
      </c>
      <c r="AH36" t="str">
        <f t="array" ref="AH36">IF(ISERROR(INDEX($A$3:$B$14312,SMALL(IF($A$3:$A$14312=AH$3,ROW($A$3:$A$14312)),ROW(34:34)),2)),"",INDEX($A$3:$B$14312,SMALL(IF($A$3:$A$14312=AH$3,ROW($A$3:$A$14312)),ROW(34:34)),2))</f>
        <v/>
      </c>
      <c r="AI36" t="str">
        <f t="array" ref="AI36">IF(ISERROR(INDEX($A$3:$B$14312,SMALL(IF($A$3:$A$14312=AI$3,ROW($A$3:$A$14312)),ROW(34:34)),2)),"",INDEX($A$3:$B$14312,SMALL(IF($A$3:$A$14312=AI$3,ROW($A$3:$A$14312)),ROW(34:34)),2))</f>
        <v/>
      </c>
      <c r="AJ36" t="str">
        <f t="array" ref="AJ36">IF(ISERROR(INDEX($A$3:$B$14312,SMALL(IF($A$3:$A$14312=AJ$3,ROW($A$3:$A$14312)),ROW(34:34)),2)),"",INDEX($A$3:$B$14312,SMALL(IF($A$3:$A$14312=AJ$3,ROW($A$3:$A$14312)),ROW(34:34)),2))</f>
        <v/>
      </c>
      <c r="AK36" t="str">
        <f t="array" ref="AK36">IF(ISERROR(INDEX($A$3:$B$14312,SMALL(IF($A$3:$A$14312=AK$3,ROW($A$3:$A$14312)),ROW(34:34)),2)),"",INDEX($A$3:$B$14312,SMALL(IF($A$3:$A$14312=AK$3,ROW($A$3:$A$14312)),ROW(34:34)),2))</f>
        <v/>
      </c>
      <c r="AL36" t="str">
        <f t="array" ref="AL36">IF(ISERROR(INDEX($A$3:$B$14312,SMALL(IF($A$3:$A$14312=AL$3,ROW($A$3:$A$14312)),ROW(34:34)),2)),"",INDEX($A$3:$B$14312,SMALL(IF($A$3:$A$14312=AL$3,ROW($A$3:$A$14312)),ROW(34:34)),2))</f>
        <v/>
      </c>
      <c r="AM36" t="str">
        <f t="array" ref="AM36">IF(ISERROR(INDEX($A$3:$B$14312,SMALL(IF($A$3:$A$14312=AM$3,ROW($A$3:$A$14312)),ROW(34:34)),2)),"",INDEX($A$3:$B$14312,SMALL(IF($A$3:$A$14312=AM$3,ROW($A$3:$A$14312)),ROW(34:34)),2))</f>
        <v>Router3_154</v>
      </c>
      <c r="AN36" t="str">
        <f t="array" ref="AN36">IF(ISERROR(INDEX($A$3:$B$14312,SMALL(IF($A$3:$A$14312=AN$3,ROW($A$3:$A$14312)),ROW(34:34)),2)),"",INDEX($A$3:$B$14312,SMALL(IF($A$3:$A$14312=AN$3,ROW($A$3:$A$14312)),ROW(34:34)),2))</f>
        <v/>
      </c>
      <c r="AO36" t="str">
        <f t="array" ref="AO36">IF(ISERROR(INDEX($A$3:$B$14312,SMALL(IF($A$3:$A$14312=AO$3,ROW($A$3:$A$14312)),ROW(34:34)),2)),"",INDEX($A$3:$B$14312,SMALL(IF($A$3:$A$14312=AO$3,ROW($A$3:$A$14312)),ROW(34:34)),2))</f>
        <v/>
      </c>
      <c r="AP36" t="str">
        <f t="array" ref="AP36">IF(ISERROR(INDEX($A$3:$B$14312,SMALL(IF($A$3:$A$14312=AP$3,ROW($A$3:$A$14312)),ROW(34:34)),2)),"",INDEX($A$3:$B$14312,SMALL(IF($A$3:$A$14312=AP$3,ROW($A$3:$A$14312)),ROW(34:34)),2))</f>
        <v/>
      </c>
      <c r="AQ36" t="str">
        <f t="array" ref="AQ36">IF(ISERROR(INDEX($A$3:$B$14312,SMALL(IF($A$3:$A$14312=AQ$3,ROW($A$3:$A$14312)),ROW(34:34)),2)),"",INDEX($A$3:$B$14312,SMALL(IF($A$3:$A$14312=AQ$3,ROW($A$3:$A$14312)),ROW(34:34)),2))</f>
        <v/>
      </c>
      <c r="AR36" t="str">
        <f t="array" ref="AR36">IF(ISERROR(INDEX($A$3:$B$14312,SMALL(IF($A$3:$A$14312=AR$3,ROW($A$3:$A$14312)),ROW(34:34)),2)),"",INDEX($A$3:$B$14312,SMALL(IF($A$3:$A$14312=AR$3,ROW($A$3:$A$14312)),ROW(34:34)),2))</f>
        <v/>
      </c>
      <c r="AS36" t="str">
        <f t="array" ref="AS36">IF(ISERROR(INDEX($A$3:$B$14312,SMALL(IF($A$3:$A$14312=AS$3,ROW($A$3:$A$14312)),ROW(34:34)),2)),"",INDEX($A$3:$B$14312,SMALL(IF($A$3:$A$14312=AS$3,ROW($A$3:$A$14312)),ROW(34:34)),2))</f>
        <v/>
      </c>
      <c r="AT36" t="str">
        <f t="array" ref="AT36">IF(ISERROR(INDEX($A$3:$B$14312,SMALL(IF($A$3:$A$14312=AT$3,ROW($A$3:$A$14312)),ROW(34:34)),2)),"",INDEX($A$3:$B$14312,SMALL(IF($A$3:$A$14312=AT$3,ROW($A$3:$A$14312)),ROW(34:34)),2))</f>
        <v/>
      </c>
      <c r="AU36" t="str">
        <f t="array" ref="AU36">IF(ISERROR(INDEX($A$3:$B$14312,SMALL(IF($A$3:$A$14312=AU$3,ROW($A$3:$A$14312)),ROW(34:34)),2)),"",INDEX($A$3:$B$14312,SMALL(IF($A$3:$A$14312=AU$3,ROW($A$3:$A$14312)),ROW(34:34)),2))</f>
        <v/>
      </c>
      <c r="AV36" t="str">
        <f t="array" ref="AV36">IF(ISERROR(INDEX($A$3:$B$14312,SMALL(IF($A$3:$A$14312=AV$3,ROW($A$3:$A$14312)),ROW(34:34)),2)),"",INDEX($A$3:$B$14312,SMALL(IF($A$3:$A$14312=AV$3,ROW($A$3:$A$14312)),ROW(34:34)),2))</f>
        <v/>
      </c>
      <c r="AW36" t="str">
        <f t="array" ref="AW36">IF(ISERROR(INDEX($A$3:$B$14312,SMALL(IF($A$3:$A$14312=AW$3,ROW($A$3:$A$14312)),ROW(34:34)),2)),"",INDEX($A$3:$B$14312,SMALL(IF($A$3:$A$14312=AW$3,ROW($A$3:$A$14312)),ROW(34:34)),2))</f>
        <v/>
      </c>
      <c r="AX36" t="str">
        <f t="array" ref="AX36">IF(ISERROR(INDEX($A$3:$B$14312,SMALL(IF($A$3:$A$14312=AX$3,ROW($A$3:$A$14312)),ROW(34:34)),2)),"",INDEX($A$3:$B$14312,SMALL(IF($A$3:$A$14312=AX$3,ROW($A$3:$A$14312)),ROW(34:34)),2))</f>
        <v/>
      </c>
      <c r="AY36" t="str">
        <f t="array" ref="AY36">IF(ISERROR(INDEX($A$3:$B$14312,SMALL(IF($A$3:$A$14312=AY$3,ROW($A$3:$A$14312)),ROW(34:34)),2)),"",INDEX($A$3:$B$14312,SMALL(IF($A$3:$A$14312=AY$3,ROW($A$3:$A$14312)),ROW(34:34)),2))</f>
        <v>Router3_156</v>
      </c>
      <c r="AZ36" t="str">
        <f t="array" ref="AZ36">IF(ISERROR(INDEX($A$3:$B$14312,SMALL(IF($A$3:$A$14312=AZ$3,ROW($A$3:$A$14312)),ROW(34:34)),2)),"",INDEX($A$3:$B$14312,SMALL(IF($A$3:$A$14312=AZ$3,ROW($A$3:$A$14312)),ROW(34:34)),2))</f>
        <v/>
      </c>
      <c r="BA36" t="str">
        <f t="array" ref="BA36">IF(ISERROR(INDEX($A$3:$B$14312,SMALL(IF($A$3:$A$14312=BA$3,ROW($A$3:$A$14312)),ROW(34:34)),2)),"",INDEX($A$3:$B$14312,SMALL(IF($A$3:$A$14312=BA$3,ROW($A$3:$A$14312)),ROW(34:34)),2))</f>
        <v/>
      </c>
      <c r="BB36" t="str">
        <f t="array" ref="BB36">IF(ISERROR(INDEX($A$3:$B$14312,SMALL(IF($A$3:$A$14312=BB$3,ROW($A$3:$A$14312)),ROW(34:34)),2)),"",INDEX($A$3:$B$14312,SMALL(IF($A$3:$A$14312=BB$3,ROW($A$3:$A$14312)),ROW(34:34)),2))</f>
        <v/>
      </c>
      <c r="BC36" t="str">
        <f t="array" ref="BC36">IF(ISERROR(INDEX($A$3:$B$14312,SMALL(IF($A$3:$A$14312=BC$3,ROW($A$3:$A$14312)),ROW(34:34)),2)),"",INDEX($A$3:$B$14312,SMALL(IF($A$3:$A$14312=BC$3,ROW($A$3:$A$14312)),ROW(34:34)),2))</f>
        <v/>
      </c>
      <c r="BD36" t="str">
        <f t="array" ref="BD36">IF(ISERROR(INDEX($A$3:$B$14312,SMALL(IF($A$3:$A$14312=BD$3,ROW($A$3:$A$14312)),ROW(34:34)),2)),"",INDEX($A$3:$B$14312,SMALL(IF($A$3:$A$14312=BD$3,ROW($A$3:$A$14312)),ROW(34:34)),2))</f>
        <v/>
      </c>
      <c r="BE36" t="str">
        <f t="array" ref="BE36">IF(ISERROR(INDEX($A$3:$B$14312,SMALL(IF($A$3:$A$14312=BE$3,ROW($A$3:$A$14312)),ROW(34:34)),2)),"",INDEX($A$3:$B$14312,SMALL(IF($A$3:$A$14312=BE$3,ROW($A$3:$A$14312)),ROW(34:34)),2))</f>
        <v/>
      </c>
      <c r="BF36" t="str">
        <f t="array" ref="BF36">IF(ISERROR(INDEX($A$3:$B$14312,SMALL(IF($A$3:$A$14312=BF$3,ROW($A$3:$A$14312)),ROW(34:34)),2)),"",INDEX($A$3:$B$14312,SMALL(IF($A$3:$A$14312=BF$3,ROW($A$3:$A$14312)),ROW(34:34)),2))</f>
        <v/>
      </c>
      <c r="BG36" t="str">
        <f t="array" ref="BG36">IF(ISERROR(INDEX($A$3:$B$14312,SMALL(IF($A$3:$A$14312=BG$3,ROW($A$3:$A$14312)),ROW(34:34)),2)),"",INDEX($A$3:$B$14312,SMALL(IF($A$3:$A$14312=BG$3,ROW($A$3:$A$14312)),ROW(34:34)),2))</f>
        <v/>
      </c>
      <c r="BH36" t="str">
        <f t="array" ref="BH36">IF(ISERROR(INDEX($A$3:$B$14312,SMALL(IF($A$3:$A$14312=BH$3,ROW($A$3:$A$14312)),ROW(34:34)),2)),"",INDEX($A$3:$B$14312,SMALL(IF($A$3:$A$14312=BH$3,ROW($A$3:$A$14312)),ROW(34:34)),2))</f>
        <v/>
      </c>
      <c r="BI36" t="str">
        <f t="array" ref="BI36">IF(ISERROR(INDEX($A$3:$B$14312,SMALL(IF($A$3:$A$14312=BI$3,ROW($A$3:$A$14312)),ROW(34:34)),2)),"",INDEX($A$3:$B$14312,SMALL(IF($A$3:$A$14312=BI$3,ROW($A$3:$A$14312)),ROW(34:34)),2))</f>
        <v/>
      </c>
      <c r="BJ36" t="str">
        <f t="array" ref="BJ36">IF(ISERROR(INDEX($A$3:$B$14312,SMALL(IF($A$3:$A$14312=BJ$3,ROW($A$3:$A$14312)),ROW(34:34)),2)),"",INDEX($A$3:$B$14312,SMALL(IF($A$3:$A$14312=BJ$3,ROW($A$3:$A$14312)),ROW(34:34)),2))</f>
        <v/>
      </c>
      <c r="BK36" t="str">
        <f t="array" ref="BK36">IF(ISERROR(INDEX($A$3:$B$14312,SMALL(IF($A$3:$A$14312=BK$3,ROW($A$3:$A$14312)),ROW(34:34)),2)),"",INDEX($A$3:$B$14312,SMALL(IF($A$3:$A$14312=BK$3,ROW($A$3:$A$14312)),ROW(34:34)),2))</f>
        <v/>
      </c>
      <c r="BL36" t="str">
        <f t="array" ref="BL36">IF(ISERROR(INDEX($A$3:$B$14312,SMALL(IF($A$3:$A$14312=BL$3,ROW($A$3:$A$14312)),ROW(34:34)),2)),"",INDEX($A$3:$B$14312,SMALL(IF($A$3:$A$14312=BL$3,ROW($A$3:$A$14312)),ROW(34:34)),2))</f>
        <v/>
      </c>
      <c r="BM36" t="str">
        <f t="array" ref="BM36">IF(ISERROR(INDEX($A$3:$B$14312,SMALL(IF($A$3:$A$14312=BM$3,ROW($A$3:$A$14312)),ROW(34:34)),2)),"",INDEX($A$3:$B$14312,SMALL(IF($A$3:$A$14312=BM$3,ROW($A$3:$A$14312)),ROW(34:34)),2))</f>
        <v/>
      </c>
      <c r="BN36" t="str">
        <f t="array" ref="BN36">IF(ISERROR(INDEX($A$3:$B$14312,SMALL(IF($A$3:$A$14312=BN$3,ROW($A$3:$A$14312)),ROW(34:34)),2)),"",INDEX($A$3:$B$14312,SMALL(IF($A$3:$A$14312=BN$3,ROW($A$3:$A$14312)),ROW(34:34)),2))</f>
        <v/>
      </c>
      <c r="BO36" t="str">
        <f t="array" ref="BO36">IF(ISERROR(INDEX($A$3:$B$14312,SMALL(IF($A$3:$A$14312=BO$3,ROW($A$3:$A$14312)),ROW(34:34)),2)),"",INDEX($A$3:$B$14312,SMALL(IF($A$3:$A$14312=BO$3,ROW($A$3:$A$14312)),ROW(34:34)),2))</f>
        <v/>
      </c>
      <c r="BP36" t="str">
        <f t="array" ref="BP36">IF(ISERROR(INDEX($A$3:$B$14312,SMALL(IF($A$3:$A$14312=BP$3,ROW($A$3:$A$14312)),ROW(34:34)),2)),"",INDEX($A$3:$B$14312,SMALL(IF($A$3:$A$14312=BP$3,ROW($A$3:$A$14312)),ROW(34:34)),2))</f>
        <v/>
      </c>
      <c r="BQ36" t="str">
        <f t="array" ref="BQ36">IF(ISERROR(INDEX($A$3:$B$14312,SMALL(IF($A$3:$A$14312=BQ$3,ROW($A$3:$A$14312)),ROW(34:34)),2)),"",INDEX($A$3:$B$14312,SMALL(IF($A$3:$A$14312=BQ$3,ROW($A$3:$A$14312)),ROW(34:34)),2))</f>
        <v/>
      </c>
      <c r="BR36" t="str">
        <f t="array" ref="BR36">IF(ISERROR(INDEX($A$3:$B$14312,SMALL(IF($A$3:$A$14312=BR$3,ROW($A$3:$A$14312)),ROW(34:34)),2)),"",INDEX($A$3:$B$14312,SMALL(IF($A$3:$A$14312=BR$3,ROW($A$3:$A$14312)),ROW(34:34)),2))</f>
        <v/>
      </c>
      <c r="BS36" t="str">
        <f t="array" ref="BS36">IF(ISERROR(INDEX($A$3:$B$14312,SMALL(IF($A$3:$A$14312=BS$3,ROW($A$3:$A$14312)),ROW(34:34)),2)),"",INDEX($A$3:$B$14312,SMALL(IF($A$3:$A$14312=BS$3,ROW($A$3:$A$14312)),ROW(34:34)),2))</f>
        <v/>
      </c>
      <c r="BT36" t="str">
        <f t="array" ref="BT36">IF(ISERROR(INDEX($A$3:$B$14312,SMALL(IF($A$3:$A$14312=BT$3,ROW($A$3:$A$14312)),ROW(34:34)),2)),"",INDEX($A$3:$B$14312,SMALL(IF($A$3:$A$14312=BT$3,ROW($A$3:$A$14312)),ROW(34:34)),2))</f>
        <v>Router3_119</v>
      </c>
      <c r="BU36" t="str">
        <f t="array" ref="BU36">IF(ISERROR(INDEX($A$3:$B$14312,SMALL(IF($A$3:$A$14312=BU$3,ROW($A$3:$A$14312)),ROW(34:34)),2)),"",INDEX($A$3:$B$14312,SMALL(IF($A$3:$A$14312=BU$3,ROW($A$3:$A$14312)),ROW(34:34)),2))</f>
        <v/>
      </c>
      <c r="BV36" t="str">
        <f t="array" ref="BV36">IF(ISERROR(INDEX($A$3:$B$14312,SMALL(IF($A$3:$A$14312=BV$3,ROW($A$3:$A$14312)),ROW(34:34)),2)),"",INDEX($A$3:$B$14312,SMALL(IF($A$3:$A$14312=BV$3,ROW($A$3:$A$14312)),ROW(34:34)),2))</f>
        <v/>
      </c>
      <c r="BW36" t="str">
        <f t="array" ref="BW36">IF(ISERROR(INDEX($A$3:$B$14312,SMALL(IF($A$3:$A$14312=BW$3,ROW($A$3:$A$14312)),ROW(34:34)),2)),"",INDEX($A$3:$B$14312,SMALL(IF($A$3:$A$14312=BW$3,ROW($A$3:$A$14312)),ROW(34:34)),2))</f>
        <v/>
      </c>
      <c r="BX36" t="str">
        <f t="array" ref="BX36">IF(ISERROR(INDEX($A$3:$B$14312,SMALL(IF($A$3:$A$14312=BX$3,ROW($A$3:$A$14312)),ROW(34:34)),2)),"",INDEX($A$3:$B$14312,SMALL(IF($A$3:$A$14312=BX$3,ROW($A$3:$A$14312)),ROW(34:34)),2))</f>
        <v/>
      </c>
      <c r="BY36" t="str">
        <f t="array" ref="BY36">IF(ISERROR(INDEX($A$3:$B$14312,SMALL(IF($A$3:$A$14312=BY$3,ROW($A$3:$A$14312)),ROW(34:34)),2)),"",INDEX($A$3:$B$14312,SMALL(IF($A$3:$A$14312=BY$3,ROW($A$3:$A$14312)),ROW(34:34)),2))</f>
        <v/>
      </c>
      <c r="BZ36" t="str">
        <f t="array" ref="BZ36">IF(ISERROR(INDEX($A$3:$B$14312,SMALL(IF($A$3:$A$14312=BZ$3,ROW($A$3:$A$14312)),ROW(34:34)),2)),"",INDEX($A$3:$B$14312,SMALL(IF($A$3:$A$14312=BZ$3,ROW($A$3:$A$14312)),ROW(34:34)),2))</f>
        <v/>
      </c>
      <c r="CA36" t="str">
        <f t="array" ref="CA36">IF(ISERROR(INDEX($A$3:$B$14312,SMALL(IF($A$3:$A$14312=CA$3,ROW($A$3:$A$14312)),ROW(34:34)),2)),"",INDEX($A$3:$B$14312,SMALL(IF($A$3:$A$14312=CA$3,ROW($A$3:$A$14312)),ROW(34:34)),2))</f>
        <v/>
      </c>
      <c r="CB36" t="str">
        <f t="array" ref="CB36">IF(ISERROR(INDEX($A$3:$B$14312,SMALL(IF($A$3:$A$14312=CB$3,ROW($A$3:$A$14312)),ROW(34:34)),2)),"",INDEX($A$3:$B$14312,SMALL(IF($A$3:$A$14312=CB$3,ROW($A$3:$A$14312)),ROW(34:34)),2))</f>
        <v/>
      </c>
      <c r="CC36" t="str">
        <f t="array" ref="CC36">IF(ISERROR(INDEX($A$3:$B$14312,SMALL(IF($A$3:$A$14312=CC$3,ROW($A$3:$A$14312)),ROW(34:34)),2)),"",INDEX($A$3:$B$14312,SMALL(IF($A$3:$A$14312=CC$3,ROW($A$3:$A$14312)),ROW(34:34)),2))</f>
        <v/>
      </c>
      <c r="CD36" t="str">
        <f t="array" ref="CD36">IF(ISERROR(INDEX($A$3:$B$14312,SMALL(IF($A$3:$A$14312=CD$3,ROW($A$3:$A$14312)),ROW(34:34)),2)),"",INDEX($A$3:$B$14312,SMALL(IF($A$3:$A$14312=CD$3,ROW($A$3:$A$14312)),ROW(34:34)),2))</f>
        <v/>
      </c>
      <c r="CE36" t="str">
        <f t="array" ref="CE36">IF(ISERROR(INDEX($A$3:$B$14312,SMALL(IF($A$3:$A$14312=CE$3,ROW($A$3:$A$14312)),ROW(34:34)),2)),"",INDEX($A$3:$B$14312,SMALL(IF($A$3:$A$14312=CE$3,ROW($A$3:$A$14312)),ROW(34:34)),2))</f>
        <v/>
      </c>
      <c r="CF36" t="str">
        <f t="array" ref="CF36">IF(ISERROR(INDEX($A$3:$B$14312,SMALL(IF($A$3:$A$14312=CF$3,ROW($A$3:$A$14312)),ROW(34:34)),2)),"",INDEX($A$3:$B$14312,SMALL(IF($A$3:$A$14312=CF$3,ROW($A$3:$A$14312)),ROW(34:34)),2))</f>
        <v/>
      </c>
      <c r="CG36" t="str">
        <f t="array" ref="CG36">IF(ISERROR(INDEX($A$3:$B$14312,SMALL(IF($A$3:$A$14312=CG$3,ROW($A$3:$A$14312)),ROW(34:34)),2)),"",INDEX($A$3:$B$14312,SMALL(IF($A$3:$A$14312=CG$3,ROW($A$3:$A$14312)),ROW(34:34)),2))</f>
        <v/>
      </c>
      <c r="CH36" t="str">
        <f t="array" ref="CH36">IF(ISERROR(INDEX($A$3:$B$14312,SMALL(IF($A$3:$A$14312=CH$3,ROW($A$3:$A$14312)),ROW(34:34)),2)),"",INDEX($A$3:$B$14312,SMALL(IF($A$3:$A$14312=CH$3,ROW($A$3:$A$14312)),ROW(34:34)),2))</f>
        <v/>
      </c>
      <c r="CI36" t="str">
        <f t="array" ref="CI36">IF(ISERROR(INDEX($A$3:$B$14312,SMALL(IF($A$3:$A$14312=CI$3,ROW($A$3:$A$14312)),ROW(34:34)),2)),"",INDEX($A$3:$B$14312,SMALL(IF($A$3:$A$14312=CI$3,ROW($A$3:$A$14312)),ROW(34:34)),2))</f>
        <v/>
      </c>
      <c r="CJ36" t="str">
        <f t="array" ref="CJ36">IF(ISERROR(INDEX($A$3:$B$14312,SMALL(IF($A$3:$A$14312=CJ$3,ROW($A$3:$A$14312)),ROW(34:34)),2)),"",INDEX($A$3:$B$14312,SMALL(IF($A$3:$A$14312=CJ$3,ROW($A$3:$A$14312)),ROW(34:34)),2))</f>
        <v/>
      </c>
      <c r="CK36" t="str">
        <f t="array" ref="CK36">IF(ISERROR(INDEX($A$3:$B$14312,SMALL(IF($A$3:$A$14312=CK$3,ROW($A$3:$A$14312)),ROW(34:34)),2)),"",INDEX($A$3:$B$14312,SMALL(IF($A$3:$A$14312=CK$3,ROW($A$3:$A$14312)),ROW(34:34)),2))</f>
        <v/>
      </c>
      <c r="CL36" t="str">
        <f t="array" ref="CL36">IF(ISERROR(INDEX($A$3:$B$14312,SMALL(IF($A$3:$A$14312=CL$3,ROW($A$3:$A$14312)),ROW(34:34)),2)),"",INDEX($A$3:$B$14312,SMALL(IF($A$3:$A$14312=CL$3,ROW($A$3:$A$14312)),ROW(34:34)),2))</f>
        <v/>
      </c>
      <c r="CM36" t="str">
        <f t="array" ref="CM36">IF(ISERROR(INDEX($A$3:$B$14312,SMALL(IF($A$3:$A$14312=CM$3,ROW($A$3:$A$14312)),ROW(34:34)),2)),"",INDEX($A$3:$B$14312,SMALL(IF($A$3:$A$14312=CM$3,ROW($A$3:$A$14312)),ROW(34:34)),2))</f>
        <v/>
      </c>
      <c r="CN36" t="str">
        <f t="array" ref="CN36">IF(ISERROR(INDEX($A$3:$B$14312,SMALL(IF($A$3:$A$14312=CN$3,ROW($A$3:$A$14312)),ROW(34:34)),2)),"",INDEX($A$3:$B$14312,SMALL(IF($A$3:$A$14312=CN$3,ROW($A$3:$A$14312)),ROW(34:34)),2))</f>
        <v/>
      </c>
      <c r="CO36" t="str">
        <f t="array" ref="CO36">IF(ISERROR(INDEX($A$3:$B$14312,SMALL(IF($A$3:$A$14312=CO$3,ROW($A$3:$A$14312)),ROW(34:34)),2)),"",INDEX($A$3:$B$14312,SMALL(IF($A$3:$A$14312=CO$3,ROW($A$3:$A$14312)),ROW(34:34)),2))</f>
        <v/>
      </c>
      <c r="CP36" t="str">
        <f t="array" ref="CP36">IF(ISERROR(INDEX($A$3:$B$14312,SMALL(IF($A$3:$A$14312=CP$3,ROW($A$3:$A$14312)),ROW(34:34)),2)),"",INDEX($A$3:$B$14312,SMALL(IF($A$3:$A$14312=CP$3,ROW($A$3:$A$14312)),ROW(34:34)),2))</f>
        <v/>
      </c>
      <c r="CQ36" t="str">
        <f t="array" ref="CQ36">IF(ISERROR(INDEX($A$3:$B$14312,SMALL(IF($A$3:$A$14312=CQ$3,ROW($A$3:$A$14312)),ROW(34:34)),2)),"",INDEX($A$3:$B$14312,SMALL(IF($A$3:$A$14312=CQ$3,ROW($A$3:$A$14312)),ROW(34:34)),2))</f>
        <v/>
      </c>
      <c r="CR36" t="str">
        <f t="array" ref="CR36">IF(ISERROR(INDEX($A$3:$B$14312,SMALL(IF($A$3:$A$14312=CR$3,ROW($A$3:$A$14312)),ROW(34:34)),2)),"",INDEX($A$3:$B$14312,SMALL(IF($A$3:$A$14312=CR$3,ROW($A$3:$A$14312)),ROW(34:34)),2))</f>
        <v/>
      </c>
      <c r="CS36" t="str">
        <f t="array" ref="CS36">IF(ISERROR(INDEX($A$3:$B$14312,SMALL(IF($A$3:$A$14312=CS$3,ROW($A$3:$A$14312)),ROW(34:34)),2)),"",INDEX($A$3:$B$14312,SMALL(IF($A$3:$A$14312=CS$3,ROW($A$3:$A$14312)),ROW(34:34)),2))</f>
        <v/>
      </c>
      <c r="CT36" t="str">
        <f t="array" ref="CT36">IF(ISERROR(INDEX($A$3:$B$14312,SMALL(IF($A$3:$A$14312=CT$3,ROW($A$3:$A$14312)),ROW(34:34)),2)),"",INDEX($A$3:$B$14312,SMALL(IF($A$3:$A$14312=CT$3,ROW($A$3:$A$14312)),ROW(34:34)),2))</f>
        <v/>
      </c>
      <c r="CU36" t="str">
        <f t="array" ref="CU36">IF(ISERROR(INDEX($A$3:$B$14312,SMALL(IF($A$3:$A$14312=CU$3,ROW($A$3:$A$14312)),ROW(34:34)),2)),"",INDEX($A$3:$B$14312,SMALL(IF($A$3:$A$14312=CU$3,ROW($A$3:$A$14312)),ROW(34:34)),2))</f>
        <v/>
      </c>
      <c r="CV36" t="str">
        <f t="array" ref="CV36">IF(ISERROR(INDEX($A$3:$B$14312,SMALL(IF($A$3:$A$14312=CV$3,ROW($A$3:$A$14312)),ROW(34:34)),2)),"",INDEX($A$3:$B$14312,SMALL(IF($A$3:$A$14312=CV$3,ROW($A$3:$A$14312)),ROW(34:34)),2))</f>
        <v/>
      </c>
      <c r="CW36" t="str">
        <f t="array" ref="CW36">IF(ISERROR(INDEX($A$3:$B$14312,SMALL(IF($A$3:$A$14312=CW$3,ROW($A$3:$A$14312)),ROW(34:34)),2)),"",INDEX($A$3:$B$14312,SMALL(IF($A$3:$A$14312=CW$3,ROW($A$3:$A$14312)),ROW(34:34)),2))</f>
        <v/>
      </c>
      <c r="CX36" t="str">
        <f t="array" ref="CX36">IF(ISERROR(INDEX($A$3:$B$14312,SMALL(IF($A$3:$A$14312=CX$3,ROW($A$3:$A$14312)),ROW(34:34)),2)),"",INDEX($A$3:$B$14312,SMALL(IF($A$3:$A$14312=CX$3,ROW($A$3:$A$14312)),ROW(34:34)),2))</f>
        <v/>
      </c>
      <c r="CY36" t="str">
        <f t="array" ref="CY36">IF(ISERROR(INDEX($A$3:$B$14312,SMALL(IF($A$3:$A$14312=CY$3,ROW($A$3:$A$14312)),ROW(34:34)),2)),"",INDEX($A$3:$B$14312,SMALL(IF($A$3:$A$14312=CY$3,ROW($A$3:$A$14312)),ROW(34:34)),2))</f>
        <v/>
      </c>
      <c r="CZ36" t="str">
        <f t="array" ref="CZ36">IF(ISERROR(INDEX($A$3:$B$14312,SMALL(IF($A$3:$A$14312=CZ$3,ROW($A$3:$A$14312)),ROW(34:34)),2)),"",INDEX($A$3:$B$14312,SMALL(IF($A$3:$A$14312=CZ$3,ROW($A$3:$A$14312)),ROW(34:34)),2))</f>
        <v/>
      </c>
      <c r="DA36" t="str">
        <f t="array" ref="DA36">IF(ISERROR(INDEX($A$3:$B$14312,SMALL(IF($A$3:$A$14312=DA$3,ROW($A$3:$A$14312)),ROW(34:34)),2)),"",INDEX($A$3:$B$14312,SMALL(IF($A$3:$A$14312=DA$3,ROW($A$3:$A$14312)),ROW(34:34)),2))</f>
        <v>Router3_5</v>
      </c>
      <c r="DB36" t="str">
        <f t="array" ref="DB36">IF(ISERROR(INDEX($A$3:$B$14312,SMALL(IF($A$3:$A$14312=DB$3,ROW($A$3:$A$14312)),ROW(34:34)),2)),"",INDEX($A$3:$B$14312,SMALL(IF($A$3:$A$14312=DB$3,ROW($A$3:$A$14312)),ROW(34:34)),2))</f>
        <v/>
      </c>
      <c r="DC36" t="str">
        <f t="array" ref="DC36">IF(ISERROR(INDEX($A$3:$B$14312,SMALL(IF($A$3:$A$14312=DC$3,ROW($A$3:$A$14312)),ROW(34:34)),2)),"",INDEX($A$3:$B$14312,SMALL(IF($A$3:$A$14312=DC$3,ROW($A$3:$A$14312)),ROW(34:34)),2))</f>
        <v/>
      </c>
      <c r="DD36" t="str">
        <f t="array" ref="DD36">IF(ISERROR(INDEX($A$3:$B$14312,SMALL(IF($A$3:$A$14312=DD$3,ROW($A$3:$A$14312)),ROW(34:34)),2)),"",INDEX($A$3:$B$14312,SMALL(IF($A$3:$A$14312=DD$3,ROW($A$3:$A$14312)),ROW(34:34)),2))</f>
        <v/>
      </c>
      <c r="DE36" t="str">
        <f t="array" ref="DE36">IF(ISERROR(INDEX($A$3:$B$14312,SMALL(IF($A$3:$A$14312=DE$3,ROW($A$3:$A$14312)),ROW(34:34)),2)),"",INDEX($A$3:$B$14312,SMALL(IF($A$3:$A$14312=DE$3,ROW($A$3:$A$14312)),ROW(34:34)),2))</f>
        <v/>
      </c>
      <c r="DF36" t="str">
        <f t="array" ref="DF36">IF(ISERROR(INDEX($A$3:$B$14312,SMALL(IF($A$3:$A$14312=DF$3,ROW($A$3:$A$14312)),ROW(34:34)),2)),"",INDEX($A$3:$B$14312,SMALL(IF($A$3:$A$14312=DF$3,ROW($A$3:$A$14312)),ROW(34:34)),2))</f>
        <v/>
      </c>
      <c r="DG36" t="str">
        <f t="array" ref="DG36">IF(ISERROR(INDEX($A$3:$B$14312,SMALL(IF($A$3:$A$14312=DG$3,ROW($A$3:$A$14312)),ROW(34:34)),2)),"",INDEX($A$3:$B$14312,SMALL(IF($A$3:$A$14312=DG$3,ROW($A$3:$A$14312)),ROW(34:34)),2))</f>
        <v/>
      </c>
      <c r="DH36" t="str">
        <f t="array" ref="DH36">IF(ISERROR(INDEX($A$3:$B$14312,SMALL(IF($A$3:$A$14312=DH$3,ROW($A$3:$A$14312)),ROW(34:34)),2)),"",INDEX($A$3:$B$14312,SMALL(IF($A$3:$A$14312=DH$3,ROW($A$3:$A$14312)),ROW(34:34)),2))</f>
        <v/>
      </c>
      <c r="DI36" t="str">
        <f t="array" ref="DI36">IF(ISERROR(INDEX($A$3:$B$14312,SMALL(IF($A$3:$A$14312=DI$3,ROW($A$3:$A$14312)),ROW(34:34)),2)),"",INDEX($A$3:$B$14312,SMALL(IF($A$3:$A$14312=DI$3,ROW($A$3:$A$14312)),ROW(34:34)),2))</f>
        <v>Router3_100</v>
      </c>
      <c r="DJ36" t="str">
        <f t="array" ref="DJ36">IF(ISERROR(INDEX($A$3:$B$14312,SMALL(IF($A$3:$A$14312=DJ$3,ROW($A$3:$A$14312)),ROW(34:34)),2)),"",INDEX($A$3:$B$14312,SMALL(IF($A$3:$A$14312=DJ$3,ROW($A$3:$A$14312)),ROW(34:34)),2))</f>
        <v/>
      </c>
      <c r="DK36" t="str">
        <f t="array" ref="DK36">IF(ISERROR(INDEX($A$3:$B$14312,SMALL(IF($A$3:$A$14312=DK$3,ROW($A$3:$A$14312)),ROW(34:34)),2)),"",INDEX($A$3:$B$14312,SMALL(IF($A$3:$A$14312=DK$3,ROW($A$3:$A$14312)),ROW(34:34)),2))</f>
        <v>Router3_166</v>
      </c>
      <c r="DL36" t="str">
        <f t="array" ref="DL36">IF(ISERROR(INDEX($A$3:$B$14312,SMALL(IF($A$3:$A$14312=DL$3,ROW($A$3:$A$14312)),ROW(34:34)),2)),"",INDEX($A$3:$B$14312,SMALL(IF($A$3:$A$14312=DL$3,ROW($A$3:$A$14312)),ROW(34:34)),2))</f>
        <v/>
      </c>
      <c r="DM36" t="str">
        <f t="array" ref="DM36">IF(ISERROR(INDEX($A$3:$B$14312,SMALL(IF($A$3:$A$14312=DM$3,ROW($A$3:$A$14312)),ROW(34:34)),2)),"",INDEX($A$3:$B$14312,SMALL(IF($A$3:$A$14312=DM$3,ROW($A$3:$A$14312)),ROW(34:34)),2))</f>
        <v/>
      </c>
      <c r="DN36" t="str">
        <f t="array" ref="DN36">IF(ISERROR(INDEX($A$3:$B$14312,SMALL(IF($A$3:$A$14312=DN$3,ROW($A$3:$A$14312)),ROW(34:34)),2)),"",INDEX($A$3:$B$14312,SMALL(IF($A$3:$A$14312=DN$3,ROW($A$3:$A$14312)),ROW(34:34)),2))</f>
        <v/>
      </c>
      <c r="DO36" t="str">
        <f t="array" ref="DO36">IF(ISERROR(INDEX($A$3:$B$14312,SMALL(IF($A$3:$A$14312=DO$3,ROW($A$3:$A$14312)),ROW(34:34)),2)),"",INDEX($A$3:$B$14312,SMALL(IF($A$3:$A$14312=DO$3,ROW($A$3:$A$14312)),ROW(34:34)),2))</f>
        <v/>
      </c>
      <c r="DP36" t="str">
        <f t="array" ref="DP36">IF(ISERROR(INDEX($A$3:$B$14312,SMALL(IF($A$3:$A$14312=DP$3,ROW($A$3:$A$14312)),ROW(34:34)),2)),"",INDEX($A$3:$B$14312,SMALL(IF($A$3:$A$14312=DP$3,ROW($A$3:$A$14312)),ROW(34:34)),2))</f>
        <v/>
      </c>
      <c r="DQ36" t="str">
        <f t="array" ref="DQ36">IF(ISERROR(INDEX($A$3:$B$14312,SMALL(IF($A$3:$A$14312=DQ$3,ROW($A$3:$A$14312)),ROW(34:34)),2)),"",INDEX($A$3:$B$14312,SMALL(IF($A$3:$A$14312=DQ$3,ROW($A$3:$A$14312)),ROW(34:34)),2))</f>
        <v/>
      </c>
      <c r="DR36" t="str">
        <f t="array" ref="DR36">IF(ISERROR(INDEX($A$3:$B$14312,SMALL(IF($A$3:$A$14312=DR$3,ROW($A$3:$A$14312)),ROW(34:34)),2)),"",INDEX($A$3:$B$14312,SMALL(IF($A$3:$A$14312=DR$3,ROW($A$3:$A$14312)),ROW(34:34)),2))</f>
        <v>Router3_36</v>
      </c>
      <c r="DS36" t="str">
        <f t="array" ref="DS36">IF(ISERROR(INDEX($A$3:$B$14312,SMALL(IF($A$3:$A$14312=DS$3,ROW($A$3:$A$14312)),ROW(34:34)),2)),"",INDEX($A$3:$B$14312,SMALL(IF($A$3:$A$14312=DS$3,ROW($A$3:$A$14312)),ROW(34:34)),2))</f>
        <v/>
      </c>
      <c r="DT36" t="str">
        <f t="array" ref="DT36">IF(ISERROR(INDEX($A$3:$B$14312,SMALL(IF($A$3:$A$14312=DT$3,ROW($A$3:$A$14312)),ROW(34:34)),2)),"",INDEX($A$3:$B$14312,SMALL(IF($A$3:$A$14312=DT$3,ROW($A$3:$A$14312)),ROW(34:34)),2))</f>
        <v>Router3_100</v>
      </c>
      <c r="DU36" t="str">
        <f t="array" ref="DU36">IF(ISERROR(INDEX($A$3:$B$14312,SMALL(IF($A$3:$A$14312=DU$3,ROW($A$3:$A$14312)),ROW(34:34)),2)),"",INDEX($A$3:$B$14312,SMALL(IF($A$3:$A$14312=DU$3,ROW($A$3:$A$14312)),ROW(34:34)),2))</f>
        <v>Router3_151</v>
      </c>
      <c r="DV36" t="str">
        <f t="array" ref="DV36">IF(ISERROR(INDEX($A$3:$B$14312,SMALL(IF($A$3:$A$14312=DV$3,ROW($A$3:$A$14312)),ROW(34:34)),2)),"",INDEX($A$3:$B$14312,SMALL(IF($A$3:$A$14312=DV$3,ROW($A$3:$A$14312)),ROW(34:34)),2))</f>
        <v/>
      </c>
      <c r="DW36" t="str">
        <f t="array" ref="DW36">IF(ISERROR(INDEX($A$3:$B$14312,SMALL(IF($A$3:$A$14312=DW$3,ROW($A$3:$A$14312)),ROW(34:34)),2)),"",INDEX($A$3:$B$14312,SMALL(IF($A$3:$A$14312=DW$3,ROW($A$3:$A$14312)),ROW(34:34)),2))</f>
        <v/>
      </c>
      <c r="DX36" t="str">
        <f t="array" ref="DX36">IF(ISERROR(INDEX($A$3:$B$14312,SMALL(IF($A$3:$A$14312=DX$3,ROW($A$3:$A$14312)),ROW(34:34)),2)),"",INDEX($A$3:$B$14312,SMALL(IF($A$3:$A$14312=DX$3,ROW($A$3:$A$14312)),ROW(34:34)),2))</f>
        <v/>
      </c>
      <c r="DY36" t="str">
        <f t="array" ref="DY36">IF(ISERROR(INDEX($A$3:$B$14312,SMALL(IF($A$3:$A$14312=DY$3,ROW($A$3:$A$14312)),ROW(34:34)),2)),"",INDEX($A$3:$B$14312,SMALL(IF($A$3:$A$14312=DY$3,ROW($A$3:$A$14312)),ROW(34:34)),2))</f>
        <v/>
      </c>
      <c r="DZ36" t="str">
        <f t="array" ref="DZ36">IF(ISERROR(INDEX($A$3:$B$14312,SMALL(IF($A$3:$A$14312=DZ$3,ROW($A$3:$A$14312)),ROW(34:34)),2)),"",INDEX($A$3:$B$14312,SMALL(IF($A$3:$A$14312=DZ$3,ROW($A$3:$A$14312)),ROW(34:34)),2))</f>
        <v/>
      </c>
      <c r="EA36" t="str">
        <f t="array" ref="EA36">IF(ISERROR(INDEX($A$3:$B$14312,SMALL(IF($A$3:$A$14312=EA$3,ROW($A$3:$A$14312)),ROW(34:34)),2)),"",INDEX($A$3:$B$14312,SMALL(IF($A$3:$A$14312=EA$3,ROW($A$3:$A$14312)),ROW(34:34)),2))</f>
        <v/>
      </c>
      <c r="EB36" t="str">
        <f t="array" ref="EB36">IF(ISERROR(INDEX($A$3:$B$14312,SMALL(IF($A$3:$A$14312=EB$3,ROW($A$3:$A$14312)),ROW(34:34)),2)),"",INDEX($A$3:$B$14312,SMALL(IF($A$3:$A$14312=EB$3,ROW($A$3:$A$14312)),ROW(34:34)),2))</f>
        <v/>
      </c>
      <c r="EC36" t="str">
        <f t="array" ref="EC36">IF(ISERROR(INDEX($A$3:$B$14312,SMALL(IF($A$3:$A$14312=EC$3,ROW($A$3:$A$14312)),ROW(34:34)),2)),"",INDEX($A$3:$B$14312,SMALL(IF($A$3:$A$14312=EC$3,ROW($A$3:$A$14312)),ROW(34:34)),2))</f>
        <v>Router3_144</v>
      </c>
      <c r="ED36" t="str">
        <f t="array" ref="ED36">IF(ISERROR(INDEX($A$3:$B$14312,SMALL(IF($A$3:$A$14312=ED$3,ROW($A$3:$A$14312)),ROW(34:34)),2)),"",INDEX($A$3:$B$14312,SMALL(IF($A$3:$A$14312=ED$3,ROW($A$3:$A$14312)),ROW(34:34)),2))</f>
        <v>Router3_156</v>
      </c>
      <c r="EE36" t="str">
        <f t="array" ref="EE36">IF(ISERROR(INDEX($A$3:$B$14312,SMALL(IF($A$3:$A$14312=EE$3,ROW($A$3:$A$14312)),ROW(34:34)),2)),"",INDEX($A$3:$B$14312,SMALL(IF($A$3:$A$14312=EE$3,ROW($A$3:$A$14312)),ROW(34:34)),2))</f>
        <v/>
      </c>
    </row>
    <row r="37" spans="1:135" x14ac:dyDescent="0.25">
      <c r="A37" s="10">
        <v>-450827381</v>
      </c>
      <c r="B37" t="s">
        <v>1092</v>
      </c>
      <c r="E37" t="str">
        <f t="array" ref="E37">IF(ISERROR(INDEX($A$3:$B$14312,SMALL(IF($A$3:$A$14312=E$3,ROW($A$3:$A$14312)),ROW(35:35)),2)),"",INDEX($A$3:$B$14312,SMALL(IF($A$3:$A$14312=E$3,ROW($A$3:$A$14312)),ROW(35:35)),2))</f>
        <v/>
      </c>
      <c r="F37" t="str">
        <f t="array" ref="F37">IF(ISERROR(INDEX($A$3:$B$14312,SMALL(IF($A$3:$A$14312=F$3,ROW($A$3:$A$14312)),ROW(35:35)),2)),"",INDEX($A$3:$B$14312,SMALL(IF($A$3:$A$14312=F$3,ROW($A$3:$A$14312)),ROW(35:35)),2))</f>
        <v>Router3_6</v>
      </c>
      <c r="G37" t="str">
        <f t="array" ref="G37">IF(ISERROR(INDEX($A$3:$B$14312,SMALL(IF($A$3:$A$14312=G$3,ROW($A$3:$A$14312)),ROW(35:35)),2)),"",INDEX($A$3:$B$14312,SMALL(IF($A$3:$A$14312=G$3,ROW($A$3:$A$14312)),ROW(35:35)),2))</f>
        <v/>
      </c>
      <c r="H37" t="str">
        <f t="array" ref="H37">IF(ISERROR(INDEX($A$3:$B$14312,SMALL(IF($A$3:$A$14312=H$3,ROW($A$3:$A$14312)),ROW(35:35)),2)),"",INDEX($A$3:$B$14312,SMALL(IF($A$3:$A$14312=H$3,ROW($A$3:$A$14312)),ROW(35:35)),2))</f>
        <v/>
      </c>
      <c r="I37" t="str">
        <f t="array" ref="I37">IF(ISERROR(INDEX($A$3:$B$14312,SMALL(IF($A$3:$A$14312=I$3,ROW($A$3:$A$14312)),ROW(35:35)),2)),"",INDEX($A$3:$B$14312,SMALL(IF($A$3:$A$14312=I$3,ROW($A$3:$A$14312)),ROW(35:35)),2))</f>
        <v/>
      </c>
      <c r="J37" t="str">
        <f t="array" ref="J37">IF(ISERROR(INDEX($A$3:$B$14312,SMALL(IF($A$3:$A$14312=J$3,ROW($A$3:$A$14312)),ROW(35:35)),2)),"",INDEX($A$3:$B$14312,SMALL(IF($A$3:$A$14312=J$3,ROW($A$3:$A$14312)),ROW(35:35)),2))</f>
        <v>Router3_51</v>
      </c>
      <c r="K37" t="str">
        <f t="array" ref="K37">IF(ISERROR(INDEX($A$3:$B$14312,SMALL(IF($A$3:$A$14312=K$3,ROW($A$3:$A$14312)),ROW(35:35)),2)),"",INDEX($A$3:$B$14312,SMALL(IF($A$3:$A$14312=K$3,ROW($A$3:$A$14312)),ROW(35:35)),2))</f>
        <v/>
      </c>
      <c r="L37" t="str">
        <f t="array" ref="L37">IF(ISERROR(INDEX($A$3:$B$14312,SMALL(IF($A$3:$A$14312=L$3,ROW($A$3:$A$14312)),ROW(35:35)),2)),"",INDEX($A$3:$B$14312,SMALL(IF($A$3:$A$14312=L$3,ROW($A$3:$A$14312)),ROW(35:35)),2))</f>
        <v/>
      </c>
      <c r="M37" t="str">
        <f t="array" ref="M37">IF(ISERROR(INDEX($A$3:$B$14312,SMALL(IF($A$3:$A$14312=M$3,ROW($A$3:$A$14312)),ROW(35:35)),2)),"",INDEX($A$3:$B$14312,SMALL(IF($A$3:$A$14312=M$3,ROW($A$3:$A$14312)),ROW(35:35)),2))</f>
        <v/>
      </c>
      <c r="N37" t="str">
        <f t="array" ref="N37">IF(ISERROR(INDEX($A$3:$B$14312,SMALL(IF($A$3:$A$14312=N$3,ROW($A$3:$A$14312)),ROW(35:35)),2)),"",INDEX($A$3:$B$14312,SMALL(IF($A$3:$A$14312=N$3,ROW($A$3:$A$14312)),ROW(35:35)),2))</f>
        <v/>
      </c>
      <c r="O37" t="str">
        <f t="array" ref="O37">IF(ISERROR(INDEX($A$3:$B$14312,SMALL(IF($A$3:$A$14312=O$3,ROW($A$3:$A$14312)),ROW(35:35)),2)),"",INDEX($A$3:$B$14312,SMALL(IF($A$3:$A$14312=O$3,ROW($A$3:$A$14312)),ROW(35:35)),2))</f>
        <v/>
      </c>
      <c r="P37" t="str">
        <f t="array" ref="P37">IF(ISERROR(INDEX($A$3:$B$14312,SMALL(IF($A$3:$A$14312=P$3,ROW($A$3:$A$14312)),ROW(35:35)),2)),"",INDEX($A$3:$B$14312,SMALL(IF($A$3:$A$14312=P$3,ROW($A$3:$A$14312)),ROW(35:35)),2))</f>
        <v/>
      </c>
      <c r="Q37" t="str">
        <f t="array" ref="Q37">IF(ISERROR(INDEX($A$3:$B$14312,SMALL(IF($A$3:$A$14312=Q$3,ROW($A$3:$A$14312)),ROW(35:35)),2)),"",INDEX($A$3:$B$14312,SMALL(IF($A$3:$A$14312=Q$3,ROW($A$3:$A$14312)),ROW(35:35)),2))</f>
        <v/>
      </c>
      <c r="R37" t="str">
        <f t="array" ref="R37">IF(ISERROR(INDEX($A$3:$B$14312,SMALL(IF($A$3:$A$14312=R$3,ROW($A$3:$A$14312)),ROW(35:35)),2)),"",INDEX($A$3:$B$14312,SMALL(IF($A$3:$A$14312=R$3,ROW($A$3:$A$14312)),ROW(35:35)),2))</f>
        <v/>
      </c>
      <c r="S37" t="str">
        <f t="array" ref="S37">IF(ISERROR(INDEX($A$3:$B$14312,SMALL(IF($A$3:$A$14312=S$3,ROW($A$3:$A$14312)),ROW(35:35)),2)),"",INDEX($A$3:$B$14312,SMALL(IF($A$3:$A$14312=S$3,ROW($A$3:$A$14312)),ROW(35:35)),2))</f>
        <v/>
      </c>
      <c r="T37" t="str">
        <f t="array" ref="T37">IF(ISERROR(INDEX($A$3:$B$14312,SMALL(IF($A$3:$A$14312=T$3,ROW($A$3:$A$14312)),ROW(35:35)),2)),"",INDEX($A$3:$B$14312,SMALL(IF($A$3:$A$14312=T$3,ROW($A$3:$A$14312)),ROW(35:35)),2))</f>
        <v/>
      </c>
      <c r="U37" t="str">
        <f t="array" ref="U37">IF(ISERROR(INDEX($A$3:$B$14312,SMALL(IF($A$3:$A$14312=U$3,ROW($A$3:$A$14312)),ROW(35:35)),2)),"",INDEX($A$3:$B$14312,SMALL(IF($A$3:$A$14312=U$3,ROW($A$3:$A$14312)),ROW(35:35)),2))</f>
        <v/>
      </c>
      <c r="V37" t="str">
        <f t="array" ref="V37">IF(ISERROR(INDEX($A$3:$B$14312,SMALL(IF($A$3:$A$14312=V$3,ROW($A$3:$A$14312)),ROW(35:35)),2)),"",INDEX($A$3:$B$14312,SMALL(IF($A$3:$A$14312=V$3,ROW($A$3:$A$14312)),ROW(35:35)),2))</f>
        <v/>
      </c>
      <c r="W37" t="str">
        <f t="array" ref="W37">IF(ISERROR(INDEX($A$3:$B$14312,SMALL(IF($A$3:$A$14312=W$3,ROW($A$3:$A$14312)),ROW(35:35)),2)),"",INDEX($A$3:$B$14312,SMALL(IF($A$3:$A$14312=W$3,ROW($A$3:$A$14312)),ROW(35:35)),2))</f>
        <v>Router3_146</v>
      </c>
      <c r="X37" t="str">
        <f t="array" ref="X37">IF(ISERROR(INDEX($A$3:$B$14312,SMALL(IF($A$3:$A$14312=X$3,ROW($A$3:$A$14312)),ROW(35:35)),2)),"",INDEX($A$3:$B$14312,SMALL(IF($A$3:$A$14312=X$3,ROW($A$3:$A$14312)),ROW(35:35)),2))</f>
        <v/>
      </c>
      <c r="Y37" t="str">
        <f t="array" ref="Y37">IF(ISERROR(INDEX($A$3:$B$14312,SMALL(IF($A$3:$A$14312=Y$3,ROW($A$3:$A$14312)),ROW(35:35)),2)),"",INDEX($A$3:$B$14312,SMALL(IF($A$3:$A$14312=Y$3,ROW($A$3:$A$14312)),ROW(35:35)),2))</f>
        <v/>
      </c>
      <c r="Z37" t="str">
        <f t="array" ref="Z37">IF(ISERROR(INDEX($A$3:$B$14312,SMALL(IF($A$3:$A$14312=Z$3,ROW($A$3:$A$14312)),ROW(35:35)),2)),"",INDEX($A$3:$B$14312,SMALL(IF($A$3:$A$14312=Z$3,ROW($A$3:$A$14312)),ROW(35:35)),2))</f>
        <v/>
      </c>
      <c r="AA37" t="str">
        <f t="array" ref="AA37">IF(ISERROR(INDEX($A$3:$B$14312,SMALL(IF($A$3:$A$14312=AA$3,ROW($A$3:$A$14312)),ROW(35:35)),2)),"",INDEX($A$3:$B$14312,SMALL(IF($A$3:$A$14312=AA$3,ROW($A$3:$A$14312)),ROW(35:35)),2))</f>
        <v/>
      </c>
      <c r="AB37" t="str">
        <f t="array" ref="AB37">IF(ISERROR(INDEX($A$3:$B$14312,SMALL(IF($A$3:$A$14312=AB$3,ROW($A$3:$A$14312)),ROW(35:35)),2)),"",INDEX($A$3:$B$14312,SMALL(IF($A$3:$A$14312=AB$3,ROW($A$3:$A$14312)),ROW(35:35)),2))</f>
        <v/>
      </c>
      <c r="AC37" t="str">
        <f t="array" ref="AC37">IF(ISERROR(INDEX($A$3:$B$14312,SMALL(IF($A$3:$A$14312=AC$3,ROW($A$3:$A$14312)),ROW(35:35)),2)),"",INDEX($A$3:$B$14312,SMALL(IF($A$3:$A$14312=AC$3,ROW($A$3:$A$14312)),ROW(35:35)),2))</f>
        <v/>
      </c>
      <c r="AD37" t="str">
        <f t="array" ref="AD37">IF(ISERROR(INDEX($A$3:$B$14312,SMALL(IF($A$3:$A$14312=AD$3,ROW($A$3:$A$14312)),ROW(35:35)),2)),"",INDEX($A$3:$B$14312,SMALL(IF($A$3:$A$14312=AD$3,ROW($A$3:$A$14312)),ROW(35:35)),2))</f>
        <v/>
      </c>
      <c r="AE37" t="str">
        <f t="array" ref="AE37">IF(ISERROR(INDEX($A$3:$B$14312,SMALL(IF($A$3:$A$14312=AE$3,ROW($A$3:$A$14312)),ROW(35:35)),2)),"",INDEX($A$3:$B$14312,SMALL(IF($A$3:$A$14312=AE$3,ROW($A$3:$A$14312)),ROW(35:35)),2))</f>
        <v/>
      </c>
      <c r="AF37" t="str">
        <f t="array" ref="AF37">IF(ISERROR(INDEX($A$3:$B$14312,SMALL(IF($A$3:$A$14312=AF$3,ROW($A$3:$A$14312)),ROW(35:35)),2)),"",INDEX($A$3:$B$14312,SMALL(IF($A$3:$A$14312=AF$3,ROW($A$3:$A$14312)),ROW(35:35)),2))</f>
        <v/>
      </c>
      <c r="AG37" t="str">
        <f t="array" ref="AG37">IF(ISERROR(INDEX($A$3:$B$14312,SMALL(IF($A$3:$A$14312=AG$3,ROW($A$3:$A$14312)),ROW(35:35)),2)),"",INDEX($A$3:$B$14312,SMALL(IF($A$3:$A$14312=AG$3,ROW($A$3:$A$14312)),ROW(35:35)),2))</f>
        <v/>
      </c>
      <c r="AH37" t="str">
        <f t="array" ref="AH37">IF(ISERROR(INDEX($A$3:$B$14312,SMALL(IF($A$3:$A$14312=AH$3,ROW($A$3:$A$14312)),ROW(35:35)),2)),"",INDEX($A$3:$B$14312,SMALL(IF($A$3:$A$14312=AH$3,ROW($A$3:$A$14312)),ROW(35:35)),2))</f>
        <v/>
      </c>
      <c r="AI37" t="str">
        <f t="array" ref="AI37">IF(ISERROR(INDEX($A$3:$B$14312,SMALL(IF($A$3:$A$14312=AI$3,ROW($A$3:$A$14312)),ROW(35:35)),2)),"",INDEX($A$3:$B$14312,SMALL(IF($A$3:$A$14312=AI$3,ROW($A$3:$A$14312)),ROW(35:35)),2))</f>
        <v/>
      </c>
      <c r="AJ37" t="str">
        <f t="array" ref="AJ37">IF(ISERROR(INDEX($A$3:$B$14312,SMALL(IF($A$3:$A$14312=AJ$3,ROW($A$3:$A$14312)),ROW(35:35)),2)),"",INDEX($A$3:$B$14312,SMALL(IF($A$3:$A$14312=AJ$3,ROW($A$3:$A$14312)),ROW(35:35)),2))</f>
        <v/>
      </c>
      <c r="AK37" t="str">
        <f t="array" ref="AK37">IF(ISERROR(INDEX($A$3:$B$14312,SMALL(IF($A$3:$A$14312=AK$3,ROW($A$3:$A$14312)),ROW(35:35)),2)),"",INDEX($A$3:$B$14312,SMALL(IF($A$3:$A$14312=AK$3,ROW($A$3:$A$14312)),ROW(35:35)),2))</f>
        <v/>
      </c>
      <c r="AL37" t="str">
        <f t="array" ref="AL37">IF(ISERROR(INDEX($A$3:$B$14312,SMALL(IF($A$3:$A$14312=AL$3,ROW($A$3:$A$14312)),ROW(35:35)),2)),"",INDEX($A$3:$B$14312,SMALL(IF($A$3:$A$14312=AL$3,ROW($A$3:$A$14312)),ROW(35:35)),2))</f>
        <v/>
      </c>
      <c r="AM37" t="str">
        <f t="array" ref="AM37">IF(ISERROR(INDEX($A$3:$B$14312,SMALL(IF($A$3:$A$14312=AM$3,ROW($A$3:$A$14312)),ROW(35:35)),2)),"",INDEX($A$3:$B$14312,SMALL(IF($A$3:$A$14312=AM$3,ROW($A$3:$A$14312)),ROW(35:35)),2))</f>
        <v>Router3_155</v>
      </c>
      <c r="AN37" t="str">
        <f t="array" ref="AN37">IF(ISERROR(INDEX($A$3:$B$14312,SMALL(IF($A$3:$A$14312=AN$3,ROW($A$3:$A$14312)),ROW(35:35)),2)),"",INDEX($A$3:$B$14312,SMALL(IF($A$3:$A$14312=AN$3,ROW($A$3:$A$14312)),ROW(35:35)),2))</f>
        <v/>
      </c>
      <c r="AO37" t="str">
        <f t="array" ref="AO37">IF(ISERROR(INDEX($A$3:$B$14312,SMALL(IF($A$3:$A$14312=AO$3,ROW($A$3:$A$14312)),ROW(35:35)),2)),"",INDEX($A$3:$B$14312,SMALL(IF($A$3:$A$14312=AO$3,ROW($A$3:$A$14312)),ROW(35:35)),2))</f>
        <v/>
      </c>
      <c r="AP37" t="str">
        <f t="array" ref="AP37">IF(ISERROR(INDEX($A$3:$B$14312,SMALL(IF($A$3:$A$14312=AP$3,ROW($A$3:$A$14312)),ROW(35:35)),2)),"",INDEX($A$3:$B$14312,SMALL(IF($A$3:$A$14312=AP$3,ROW($A$3:$A$14312)),ROW(35:35)),2))</f>
        <v/>
      </c>
      <c r="AQ37" t="str">
        <f t="array" ref="AQ37">IF(ISERROR(INDEX($A$3:$B$14312,SMALL(IF($A$3:$A$14312=AQ$3,ROW($A$3:$A$14312)),ROW(35:35)),2)),"",INDEX($A$3:$B$14312,SMALL(IF($A$3:$A$14312=AQ$3,ROW($A$3:$A$14312)),ROW(35:35)),2))</f>
        <v/>
      </c>
      <c r="AR37" t="str">
        <f t="array" ref="AR37">IF(ISERROR(INDEX($A$3:$B$14312,SMALL(IF($A$3:$A$14312=AR$3,ROW($A$3:$A$14312)),ROW(35:35)),2)),"",INDEX($A$3:$B$14312,SMALL(IF($A$3:$A$14312=AR$3,ROW($A$3:$A$14312)),ROW(35:35)),2))</f>
        <v/>
      </c>
      <c r="AS37" t="str">
        <f t="array" ref="AS37">IF(ISERROR(INDEX($A$3:$B$14312,SMALL(IF($A$3:$A$14312=AS$3,ROW($A$3:$A$14312)),ROW(35:35)),2)),"",INDEX($A$3:$B$14312,SMALL(IF($A$3:$A$14312=AS$3,ROW($A$3:$A$14312)),ROW(35:35)),2))</f>
        <v/>
      </c>
      <c r="AT37" t="str">
        <f t="array" ref="AT37">IF(ISERROR(INDEX($A$3:$B$14312,SMALL(IF($A$3:$A$14312=AT$3,ROW($A$3:$A$14312)),ROW(35:35)),2)),"",INDEX($A$3:$B$14312,SMALL(IF($A$3:$A$14312=AT$3,ROW($A$3:$A$14312)),ROW(35:35)),2))</f>
        <v/>
      </c>
      <c r="AU37" t="str">
        <f t="array" ref="AU37">IF(ISERROR(INDEX($A$3:$B$14312,SMALL(IF($A$3:$A$14312=AU$3,ROW($A$3:$A$14312)),ROW(35:35)),2)),"",INDEX($A$3:$B$14312,SMALL(IF($A$3:$A$14312=AU$3,ROW($A$3:$A$14312)),ROW(35:35)),2))</f>
        <v/>
      </c>
      <c r="AV37" t="str">
        <f t="array" ref="AV37">IF(ISERROR(INDEX($A$3:$B$14312,SMALL(IF($A$3:$A$14312=AV$3,ROW($A$3:$A$14312)),ROW(35:35)),2)),"",INDEX($A$3:$B$14312,SMALL(IF($A$3:$A$14312=AV$3,ROW($A$3:$A$14312)),ROW(35:35)),2))</f>
        <v/>
      </c>
      <c r="AW37" t="str">
        <f t="array" ref="AW37">IF(ISERROR(INDEX($A$3:$B$14312,SMALL(IF($A$3:$A$14312=AW$3,ROW($A$3:$A$14312)),ROW(35:35)),2)),"",INDEX($A$3:$B$14312,SMALL(IF($A$3:$A$14312=AW$3,ROW($A$3:$A$14312)),ROW(35:35)),2))</f>
        <v/>
      </c>
      <c r="AX37" t="str">
        <f t="array" ref="AX37">IF(ISERROR(INDEX($A$3:$B$14312,SMALL(IF($A$3:$A$14312=AX$3,ROW($A$3:$A$14312)),ROW(35:35)),2)),"",INDEX($A$3:$B$14312,SMALL(IF($A$3:$A$14312=AX$3,ROW($A$3:$A$14312)),ROW(35:35)),2))</f>
        <v/>
      </c>
      <c r="AY37" t="str">
        <f t="array" ref="AY37">IF(ISERROR(INDEX($A$3:$B$14312,SMALL(IF($A$3:$A$14312=AY$3,ROW($A$3:$A$14312)),ROW(35:35)),2)),"",INDEX($A$3:$B$14312,SMALL(IF($A$3:$A$14312=AY$3,ROW($A$3:$A$14312)),ROW(35:35)),2))</f>
        <v>Router3_157</v>
      </c>
      <c r="AZ37" t="str">
        <f t="array" ref="AZ37">IF(ISERROR(INDEX($A$3:$B$14312,SMALL(IF($A$3:$A$14312=AZ$3,ROW($A$3:$A$14312)),ROW(35:35)),2)),"",INDEX($A$3:$B$14312,SMALL(IF($A$3:$A$14312=AZ$3,ROW($A$3:$A$14312)),ROW(35:35)),2))</f>
        <v/>
      </c>
      <c r="BA37" t="str">
        <f t="array" ref="BA37">IF(ISERROR(INDEX($A$3:$B$14312,SMALL(IF($A$3:$A$14312=BA$3,ROW($A$3:$A$14312)),ROW(35:35)),2)),"",INDEX($A$3:$B$14312,SMALL(IF($A$3:$A$14312=BA$3,ROW($A$3:$A$14312)),ROW(35:35)),2))</f>
        <v/>
      </c>
      <c r="BB37" t="str">
        <f t="array" ref="BB37">IF(ISERROR(INDEX($A$3:$B$14312,SMALL(IF($A$3:$A$14312=BB$3,ROW($A$3:$A$14312)),ROW(35:35)),2)),"",INDEX($A$3:$B$14312,SMALL(IF($A$3:$A$14312=BB$3,ROW($A$3:$A$14312)),ROW(35:35)),2))</f>
        <v/>
      </c>
      <c r="BC37" t="str">
        <f t="array" ref="BC37">IF(ISERROR(INDEX($A$3:$B$14312,SMALL(IF($A$3:$A$14312=BC$3,ROW($A$3:$A$14312)),ROW(35:35)),2)),"",INDEX($A$3:$B$14312,SMALL(IF($A$3:$A$14312=BC$3,ROW($A$3:$A$14312)),ROW(35:35)),2))</f>
        <v/>
      </c>
      <c r="BD37" t="str">
        <f t="array" ref="BD37">IF(ISERROR(INDEX($A$3:$B$14312,SMALL(IF($A$3:$A$14312=BD$3,ROW($A$3:$A$14312)),ROW(35:35)),2)),"",INDEX($A$3:$B$14312,SMALL(IF($A$3:$A$14312=BD$3,ROW($A$3:$A$14312)),ROW(35:35)),2))</f>
        <v/>
      </c>
      <c r="BE37" t="str">
        <f t="array" ref="BE37">IF(ISERROR(INDEX($A$3:$B$14312,SMALL(IF($A$3:$A$14312=BE$3,ROW($A$3:$A$14312)),ROW(35:35)),2)),"",INDEX($A$3:$B$14312,SMALL(IF($A$3:$A$14312=BE$3,ROW($A$3:$A$14312)),ROW(35:35)),2))</f>
        <v/>
      </c>
      <c r="BF37" t="str">
        <f t="array" ref="BF37">IF(ISERROR(INDEX($A$3:$B$14312,SMALL(IF($A$3:$A$14312=BF$3,ROW($A$3:$A$14312)),ROW(35:35)),2)),"",INDEX($A$3:$B$14312,SMALL(IF($A$3:$A$14312=BF$3,ROW($A$3:$A$14312)),ROW(35:35)),2))</f>
        <v/>
      </c>
      <c r="BG37" t="str">
        <f t="array" ref="BG37">IF(ISERROR(INDEX($A$3:$B$14312,SMALL(IF($A$3:$A$14312=BG$3,ROW($A$3:$A$14312)),ROW(35:35)),2)),"",INDEX($A$3:$B$14312,SMALL(IF($A$3:$A$14312=BG$3,ROW($A$3:$A$14312)),ROW(35:35)),2))</f>
        <v/>
      </c>
      <c r="BH37" t="str">
        <f t="array" ref="BH37">IF(ISERROR(INDEX($A$3:$B$14312,SMALL(IF($A$3:$A$14312=BH$3,ROW($A$3:$A$14312)),ROW(35:35)),2)),"",INDEX($A$3:$B$14312,SMALL(IF($A$3:$A$14312=BH$3,ROW($A$3:$A$14312)),ROW(35:35)),2))</f>
        <v/>
      </c>
      <c r="BI37" t="str">
        <f t="array" ref="BI37">IF(ISERROR(INDEX($A$3:$B$14312,SMALL(IF($A$3:$A$14312=BI$3,ROW($A$3:$A$14312)),ROW(35:35)),2)),"",INDEX($A$3:$B$14312,SMALL(IF($A$3:$A$14312=BI$3,ROW($A$3:$A$14312)),ROW(35:35)),2))</f>
        <v/>
      </c>
      <c r="BJ37" t="str">
        <f t="array" ref="BJ37">IF(ISERROR(INDEX($A$3:$B$14312,SMALL(IF($A$3:$A$14312=BJ$3,ROW($A$3:$A$14312)),ROW(35:35)),2)),"",INDEX($A$3:$B$14312,SMALL(IF($A$3:$A$14312=BJ$3,ROW($A$3:$A$14312)),ROW(35:35)),2))</f>
        <v/>
      </c>
      <c r="BK37" t="str">
        <f t="array" ref="BK37">IF(ISERROR(INDEX($A$3:$B$14312,SMALL(IF($A$3:$A$14312=BK$3,ROW($A$3:$A$14312)),ROW(35:35)),2)),"",INDEX($A$3:$B$14312,SMALL(IF($A$3:$A$14312=BK$3,ROW($A$3:$A$14312)),ROW(35:35)),2))</f>
        <v/>
      </c>
      <c r="BL37" t="str">
        <f t="array" ref="BL37">IF(ISERROR(INDEX($A$3:$B$14312,SMALL(IF($A$3:$A$14312=BL$3,ROW($A$3:$A$14312)),ROW(35:35)),2)),"",INDEX($A$3:$B$14312,SMALL(IF($A$3:$A$14312=BL$3,ROW($A$3:$A$14312)),ROW(35:35)),2))</f>
        <v/>
      </c>
      <c r="BM37" t="str">
        <f t="array" ref="BM37">IF(ISERROR(INDEX($A$3:$B$14312,SMALL(IF($A$3:$A$14312=BM$3,ROW($A$3:$A$14312)),ROW(35:35)),2)),"",INDEX($A$3:$B$14312,SMALL(IF($A$3:$A$14312=BM$3,ROW($A$3:$A$14312)),ROW(35:35)),2))</f>
        <v/>
      </c>
      <c r="BN37" t="str">
        <f t="array" ref="BN37">IF(ISERROR(INDEX($A$3:$B$14312,SMALL(IF($A$3:$A$14312=BN$3,ROW($A$3:$A$14312)),ROW(35:35)),2)),"",INDEX($A$3:$B$14312,SMALL(IF($A$3:$A$14312=BN$3,ROW($A$3:$A$14312)),ROW(35:35)),2))</f>
        <v/>
      </c>
      <c r="BO37" t="str">
        <f t="array" ref="BO37">IF(ISERROR(INDEX($A$3:$B$14312,SMALL(IF($A$3:$A$14312=BO$3,ROW($A$3:$A$14312)),ROW(35:35)),2)),"",INDEX($A$3:$B$14312,SMALL(IF($A$3:$A$14312=BO$3,ROW($A$3:$A$14312)),ROW(35:35)),2))</f>
        <v/>
      </c>
      <c r="BP37" t="str">
        <f t="array" ref="BP37">IF(ISERROR(INDEX($A$3:$B$14312,SMALL(IF($A$3:$A$14312=BP$3,ROW($A$3:$A$14312)),ROW(35:35)),2)),"",INDEX($A$3:$B$14312,SMALL(IF($A$3:$A$14312=BP$3,ROW($A$3:$A$14312)),ROW(35:35)),2))</f>
        <v/>
      </c>
      <c r="BQ37" t="str">
        <f t="array" ref="BQ37">IF(ISERROR(INDEX($A$3:$B$14312,SMALL(IF($A$3:$A$14312=BQ$3,ROW($A$3:$A$14312)),ROW(35:35)),2)),"",INDEX($A$3:$B$14312,SMALL(IF($A$3:$A$14312=BQ$3,ROW($A$3:$A$14312)),ROW(35:35)),2))</f>
        <v/>
      </c>
      <c r="BR37" t="str">
        <f t="array" ref="BR37">IF(ISERROR(INDEX($A$3:$B$14312,SMALL(IF($A$3:$A$14312=BR$3,ROW($A$3:$A$14312)),ROW(35:35)),2)),"",INDEX($A$3:$B$14312,SMALL(IF($A$3:$A$14312=BR$3,ROW($A$3:$A$14312)),ROW(35:35)),2))</f>
        <v/>
      </c>
      <c r="BS37" t="str">
        <f t="array" ref="BS37">IF(ISERROR(INDEX($A$3:$B$14312,SMALL(IF($A$3:$A$14312=BS$3,ROW($A$3:$A$14312)),ROW(35:35)),2)),"",INDEX($A$3:$B$14312,SMALL(IF($A$3:$A$14312=BS$3,ROW($A$3:$A$14312)),ROW(35:35)),2))</f>
        <v/>
      </c>
      <c r="BT37" t="str">
        <f t="array" ref="BT37">IF(ISERROR(INDEX($A$3:$B$14312,SMALL(IF($A$3:$A$14312=BT$3,ROW($A$3:$A$14312)),ROW(35:35)),2)),"",INDEX($A$3:$B$14312,SMALL(IF($A$3:$A$14312=BT$3,ROW($A$3:$A$14312)),ROW(35:35)),2))</f>
        <v>Router3_137</v>
      </c>
      <c r="BU37" t="str">
        <f t="array" ref="BU37">IF(ISERROR(INDEX($A$3:$B$14312,SMALL(IF($A$3:$A$14312=BU$3,ROW($A$3:$A$14312)),ROW(35:35)),2)),"",INDEX($A$3:$B$14312,SMALL(IF($A$3:$A$14312=BU$3,ROW($A$3:$A$14312)),ROW(35:35)),2))</f>
        <v/>
      </c>
      <c r="BV37" t="str">
        <f t="array" ref="BV37">IF(ISERROR(INDEX($A$3:$B$14312,SMALL(IF($A$3:$A$14312=BV$3,ROW($A$3:$A$14312)),ROW(35:35)),2)),"",INDEX($A$3:$B$14312,SMALL(IF($A$3:$A$14312=BV$3,ROW($A$3:$A$14312)),ROW(35:35)),2))</f>
        <v/>
      </c>
      <c r="BW37" t="str">
        <f t="array" ref="BW37">IF(ISERROR(INDEX($A$3:$B$14312,SMALL(IF($A$3:$A$14312=BW$3,ROW($A$3:$A$14312)),ROW(35:35)),2)),"",INDEX($A$3:$B$14312,SMALL(IF($A$3:$A$14312=BW$3,ROW($A$3:$A$14312)),ROW(35:35)),2))</f>
        <v/>
      </c>
      <c r="BX37" t="str">
        <f t="array" ref="BX37">IF(ISERROR(INDEX($A$3:$B$14312,SMALL(IF($A$3:$A$14312=BX$3,ROW($A$3:$A$14312)),ROW(35:35)),2)),"",INDEX($A$3:$B$14312,SMALL(IF($A$3:$A$14312=BX$3,ROW($A$3:$A$14312)),ROW(35:35)),2))</f>
        <v/>
      </c>
      <c r="BY37" t="str">
        <f t="array" ref="BY37">IF(ISERROR(INDEX($A$3:$B$14312,SMALL(IF($A$3:$A$14312=BY$3,ROW($A$3:$A$14312)),ROW(35:35)),2)),"",INDEX($A$3:$B$14312,SMALL(IF($A$3:$A$14312=BY$3,ROW($A$3:$A$14312)),ROW(35:35)),2))</f>
        <v/>
      </c>
      <c r="BZ37" t="str">
        <f t="array" ref="BZ37">IF(ISERROR(INDEX($A$3:$B$14312,SMALL(IF($A$3:$A$14312=BZ$3,ROW($A$3:$A$14312)),ROW(35:35)),2)),"",INDEX($A$3:$B$14312,SMALL(IF($A$3:$A$14312=BZ$3,ROW($A$3:$A$14312)),ROW(35:35)),2))</f>
        <v/>
      </c>
      <c r="CA37" t="str">
        <f t="array" ref="CA37">IF(ISERROR(INDEX($A$3:$B$14312,SMALL(IF($A$3:$A$14312=CA$3,ROW($A$3:$A$14312)),ROW(35:35)),2)),"",INDEX($A$3:$B$14312,SMALL(IF($A$3:$A$14312=CA$3,ROW($A$3:$A$14312)),ROW(35:35)),2))</f>
        <v/>
      </c>
      <c r="CB37" t="str">
        <f t="array" ref="CB37">IF(ISERROR(INDEX($A$3:$B$14312,SMALL(IF($A$3:$A$14312=CB$3,ROW($A$3:$A$14312)),ROW(35:35)),2)),"",INDEX($A$3:$B$14312,SMALL(IF($A$3:$A$14312=CB$3,ROW($A$3:$A$14312)),ROW(35:35)),2))</f>
        <v/>
      </c>
      <c r="CC37" t="str">
        <f t="array" ref="CC37">IF(ISERROR(INDEX($A$3:$B$14312,SMALL(IF($A$3:$A$14312=CC$3,ROW($A$3:$A$14312)),ROW(35:35)),2)),"",INDEX($A$3:$B$14312,SMALL(IF($A$3:$A$14312=CC$3,ROW($A$3:$A$14312)),ROW(35:35)),2))</f>
        <v/>
      </c>
      <c r="CD37" t="str">
        <f t="array" ref="CD37">IF(ISERROR(INDEX($A$3:$B$14312,SMALL(IF($A$3:$A$14312=CD$3,ROW($A$3:$A$14312)),ROW(35:35)),2)),"",INDEX($A$3:$B$14312,SMALL(IF($A$3:$A$14312=CD$3,ROW($A$3:$A$14312)),ROW(35:35)),2))</f>
        <v/>
      </c>
      <c r="CE37" t="str">
        <f t="array" ref="CE37">IF(ISERROR(INDEX($A$3:$B$14312,SMALL(IF($A$3:$A$14312=CE$3,ROW($A$3:$A$14312)),ROW(35:35)),2)),"",INDEX($A$3:$B$14312,SMALL(IF($A$3:$A$14312=CE$3,ROW($A$3:$A$14312)),ROW(35:35)),2))</f>
        <v/>
      </c>
      <c r="CF37" t="str">
        <f t="array" ref="CF37">IF(ISERROR(INDEX($A$3:$B$14312,SMALL(IF($A$3:$A$14312=CF$3,ROW($A$3:$A$14312)),ROW(35:35)),2)),"",INDEX($A$3:$B$14312,SMALL(IF($A$3:$A$14312=CF$3,ROW($A$3:$A$14312)),ROW(35:35)),2))</f>
        <v/>
      </c>
      <c r="CG37" t="str">
        <f t="array" ref="CG37">IF(ISERROR(INDEX($A$3:$B$14312,SMALL(IF($A$3:$A$14312=CG$3,ROW($A$3:$A$14312)),ROW(35:35)),2)),"",INDEX($A$3:$B$14312,SMALL(IF($A$3:$A$14312=CG$3,ROW($A$3:$A$14312)),ROW(35:35)),2))</f>
        <v/>
      </c>
      <c r="CH37" t="str">
        <f t="array" ref="CH37">IF(ISERROR(INDEX($A$3:$B$14312,SMALL(IF($A$3:$A$14312=CH$3,ROW($A$3:$A$14312)),ROW(35:35)),2)),"",INDEX($A$3:$B$14312,SMALL(IF($A$3:$A$14312=CH$3,ROW($A$3:$A$14312)),ROW(35:35)),2))</f>
        <v/>
      </c>
      <c r="CI37" t="str">
        <f t="array" ref="CI37">IF(ISERROR(INDEX($A$3:$B$14312,SMALL(IF($A$3:$A$14312=CI$3,ROW($A$3:$A$14312)),ROW(35:35)),2)),"",INDEX($A$3:$B$14312,SMALL(IF($A$3:$A$14312=CI$3,ROW($A$3:$A$14312)),ROW(35:35)),2))</f>
        <v/>
      </c>
      <c r="CJ37" t="str">
        <f t="array" ref="CJ37">IF(ISERROR(INDEX($A$3:$B$14312,SMALL(IF($A$3:$A$14312=CJ$3,ROW($A$3:$A$14312)),ROW(35:35)),2)),"",INDEX($A$3:$B$14312,SMALL(IF($A$3:$A$14312=CJ$3,ROW($A$3:$A$14312)),ROW(35:35)),2))</f>
        <v/>
      </c>
      <c r="CK37" t="str">
        <f t="array" ref="CK37">IF(ISERROR(INDEX($A$3:$B$14312,SMALL(IF($A$3:$A$14312=CK$3,ROW($A$3:$A$14312)),ROW(35:35)),2)),"",INDEX($A$3:$B$14312,SMALL(IF($A$3:$A$14312=CK$3,ROW($A$3:$A$14312)),ROW(35:35)),2))</f>
        <v/>
      </c>
      <c r="CL37" t="str">
        <f t="array" ref="CL37">IF(ISERROR(INDEX($A$3:$B$14312,SMALL(IF($A$3:$A$14312=CL$3,ROW($A$3:$A$14312)),ROW(35:35)),2)),"",INDEX($A$3:$B$14312,SMALL(IF($A$3:$A$14312=CL$3,ROW($A$3:$A$14312)),ROW(35:35)),2))</f>
        <v/>
      </c>
      <c r="CM37" t="str">
        <f t="array" ref="CM37">IF(ISERROR(INDEX($A$3:$B$14312,SMALL(IF($A$3:$A$14312=CM$3,ROW($A$3:$A$14312)),ROW(35:35)),2)),"",INDEX($A$3:$B$14312,SMALL(IF($A$3:$A$14312=CM$3,ROW($A$3:$A$14312)),ROW(35:35)),2))</f>
        <v/>
      </c>
      <c r="CN37" t="str">
        <f t="array" ref="CN37">IF(ISERROR(INDEX($A$3:$B$14312,SMALL(IF($A$3:$A$14312=CN$3,ROW($A$3:$A$14312)),ROW(35:35)),2)),"",INDEX($A$3:$B$14312,SMALL(IF($A$3:$A$14312=CN$3,ROW($A$3:$A$14312)),ROW(35:35)),2))</f>
        <v/>
      </c>
      <c r="CO37" t="str">
        <f t="array" ref="CO37">IF(ISERROR(INDEX($A$3:$B$14312,SMALL(IF($A$3:$A$14312=CO$3,ROW($A$3:$A$14312)),ROW(35:35)),2)),"",INDEX($A$3:$B$14312,SMALL(IF($A$3:$A$14312=CO$3,ROW($A$3:$A$14312)),ROW(35:35)),2))</f>
        <v/>
      </c>
      <c r="CP37" t="str">
        <f t="array" ref="CP37">IF(ISERROR(INDEX($A$3:$B$14312,SMALL(IF($A$3:$A$14312=CP$3,ROW($A$3:$A$14312)),ROW(35:35)),2)),"",INDEX($A$3:$B$14312,SMALL(IF($A$3:$A$14312=CP$3,ROW($A$3:$A$14312)),ROW(35:35)),2))</f>
        <v/>
      </c>
      <c r="CQ37" t="str">
        <f t="array" ref="CQ37">IF(ISERROR(INDEX($A$3:$B$14312,SMALL(IF($A$3:$A$14312=CQ$3,ROW($A$3:$A$14312)),ROW(35:35)),2)),"",INDEX($A$3:$B$14312,SMALL(IF($A$3:$A$14312=CQ$3,ROW($A$3:$A$14312)),ROW(35:35)),2))</f>
        <v/>
      </c>
      <c r="CR37" t="str">
        <f t="array" ref="CR37">IF(ISERROR(INDEX($A$3:$B$14312,SMALL(IF($A$3:$A$14312=CR$3,ROW($A$3:$A$14312)),ROW(35:35)),2)),"",INDEX($A$3:$B$14312,SMALL(IF($A$3:$A$14312=CR$3,ROW($A$3:$A$14312)),ROW(35:35)),2))</f>
        <v/>
      </c>
      <c r="CS37" t="str">
        <f t="array" ref="CS37">IF(ISERROR(INDEX($A$3:$B$14312,SMALL(IF($A$3:$A$14312=CS$3,ROW($A$3:$A$14312)),ROW(35:35)),2)),"",INDEX($A$3:$B$14312,SMALL(IF($A$3:$A$14312=CS$3,ROW($A$3:$A$14312)),ROW(35:35)),2))</f>
        <v/>
      </c>
      <c r="CT37" t="str">
        <f t="array" ref="CT37">IF(ISERROR(INDEX($A$3:$B$14312,SMALL(IF($A$3:$A$14312=CT$3,ROW($A$3:$A$14312)),ROW(35:35)),2)),"",INDEX($A$3:$B$14312,SMALL(IF($A$3:$A$14312=CT$3,ROW($A$3:$A$14312)),ROW(35:35)),2))</f>
        <v/>
      </c>
      <c r="CU37" t="str">
        <f t="array" ref="CU37">IF(ISERROR(INDEX($A$3:$B$14312,SMALL(IF($A$3:$A$14312=CU$3,ROW($A$3:$A$14312)),ROW(35:35)),2)),"",INDEX($A$3:$B$14312,SMALL(IF($A$3:$A$14312=CU$3,ROW($A$3:$A$14312)),ROW(35:35)),2))</f>
        <v/>
      </c>
      <c r="CV37" t="str">
        <f t="array" ref="CV37">IF(ISERROR(INDEX($A$3:$B$14312,SMALL(IF($A$3:$A$14312=CV$3,ROW($A$3:$A$14312)),ROW(35:35)),2)),"",INDEX($A$3:$B$14312,SMALL(IF($A$3:$A$14312=CV$3,ROW($A$3:$A$14312)),ROW(35:35)),2))</f>
        <v/>
      </c>
      <c r="CW37" t="str">
        <f t="array" ref="CW37">IF(ISERROR(INDEX($A$3:$B$14312,SMALL(IF($A$3:$A$14312=CW$3,ROW($A$3:$A$14312)),ROW(35:35)),2)),"",INDEX($A$3:$B$14312,SMALL(IF($A$3:$A$14312=CW$3,ROW($A$3:$A$14312)),ROW(35:35)),2))</f>
        <v/>
      </c>
      <c r="CX37" t="str">
        <f t="array" ref="CX37">IF(ISERROR(INDEX($A$3:$B$14312,SMALL(IF($A$3:$A$14312=CX$3,ROW($A$3:$A$14312)),ROW(35:35)),2)),"",INDEX($A$3:$B$14312,SMALL(IF($A$3:$A$14312=CX$3,ROW($A$3:$A$14312)),ROW(35:35)),2))</f>
        <v/>
      </c>
      <c r="CY37" t="str">
        <f t="array" ref="CY37">IF(ISERROR(INDEX($A$3:$B$14312,SMALL(IF($A$3:$A$14312=CY$3,ROW($A$3:$A$14312)),ROW(35:35)),2)),"",INDEX($A$3:$B$14312,SMALL(IF($A$3:$A$14312=CY$3,ROW($A$3:$A$14312)),ROW(35:35)),2))</f>
        <v/>
      </c>
      <c r="CZ37" t="str">
        <f t="array" ref="CZ37">IF(ISERROR(INDEX($A$3:$B$14312,SMALL(IF($A$3:$A$14312=CZ$3,ROW($A$3:$A$14312)),ROW(35:35)),2)),"",INDEX($A$3:$B$14312,SMALL(IF($A$3:$A$14312=CZ$3,ROW($A$3:$A$14312)),ROW(35:35)),2))</f>
        <v/>
      </c>
      <c r="DA37" t="str">
        <f t="array" ref="DA37">IF(ISERROR(INDEX($A$3:$B$14312,SMALL(IF($A$3:$A$14312=DA$3,ROW($A$3:$A$14312)),ROW(35:35)),2)),"",INDEX($A$3:$B$14312,SMALL(IF($A$3:$A$14312=DA$3,ROW($A$3:$A$14312)),ROW(35:35)),2))</f>
        <v>Router3_62</v>
      </c>
      <c r="DB37" t="str">
        <f t="array" ref="DB37">IF(ISERROR(INDEX($A$3:$B$14312,SMALL(IF($A$3:$A$14312=DB$3,ROW($A$3:$A$14312)),ROW(35:35)),2)),"",INDEX($A$3:$B$14312,SMALL(IF($A$3:$A$14312=DB$3,ROW($A$3:$A$14312)),ROW(35:35)),2))</f>
        <v/>
      </c>
      <c r="DC37" t="str">
        <f t="array" ref="DC37">IF(ISERROR(INDEX($A$3:$B$14312,SMALL(IF($A$3:$A$14312=DC$3,ROW($A$3:$A$14312)),ROW(35:35)),2)),"",INDEX($A$3:$B$14312,SMALL(IF($A$3:$A$14312=DC$3,ROW($A$3:$A$14312)),ROW(35:35)),2))</f>
        <v/>
      </c>
      <c r="DD37" t="str">
        <f t="array" ref="DD37">IF(ISERROR(INDEX($A$3:$B$14312,SMALL(IF($A$3:$A$14312=DD$3,ROW($A$3:$A$14312)),ROW(35:35)),2)),"",INDEX($A$3:$B$14312,SMALL(IF($A$3:$A$14312=DD$3,ROW($A$3:$A$14312)),ROW(35:35)),2))</f>
        <v/>
      </c>
      <c r="DE37" t="str">
        <f t="array" ref="DE37">IF(ISERROR(INDEX($A$3:$B$14312,SMALL(IF($A$3:$A$14312=DE$3,ROW($A$3:$A$14312)),ROW(35:35)),2)),"",INDEX($A$3:$B$14312,SMALL(IF($A$3:$A$14312=DE$3,ROW($A$3:$A$14312)),ROW(35:35)),2))</f>
        <v/>
      </c>
      <c r="DF37" t="str">
        <f t="array" ref="DF37">IF(ISERROR(INDEX($A$3:$B$14312,SMALL(IF($A$3:$A$14312=DF$3,ROW($A$3:$A$14312)),ROW(35:35)),2)),"",INDEX($A$3:$B$14312,SMALL(IF($A$3:$A$14312=DF$3,ROW($A$3:$A$14312)),ROW(35:35)),2))</f>
        <v/>
      </c>
      <c r="DG37" t="str">
        <f t="array" ref="DG37">IF(ISERROR(INDEX($A$3:$B$14312,SMALL(IF($A$3:$A$14312=DG$3,ROW($A$3:$A$14312)),ROW(35:35)),2)),"",INDEX($A$3:$B$14312,SMALL(IF($A$3:$A$14312=DG$3,ROW($A$3:$A$14312)),ROW(35:35)),2))</f>
        <v/>
      </c>
      <c r="DH37" t="str">
        <f t="array" ref="DH37">IF(ISERROR(INDEX($A$3:$B$14312,SMALL(IF($A$3:$A$14312=DH$3,ROW($A$3:$A$14312)),ROW(35:35)),2)),"",INDEX($A$3:$B$14312,SMALL(IF($A$3:$A$14312=DH$3,ROW($A$3:$A$14312)),ROW(35:35)),2))</f>
        <v/>
      </c>
      <c r="DI37" t="str">
        <f t="array" ref="DI37">IF(ISERROR(INDEX($A$3:$B$14312,SMALL(IF($A$3:$A$14312=DI$3,ROW($A$3:$A$14312)),ROW(35:35)),2)),"",INDEX($A$3:$B$14312,SMALL(IF($A$3:$A$14312=DI$3,ROW($A$3:$A$14312)),ROW(35:35)),2))</f>
        <v>Router3_101</v>
      </c>
      <c r="DJ37" t="str">
        <f t="array" ref="DJ37">IF(ISERROR(INDEX($A$3:$B$14312,SMALL(IF($A$3:$A$14312=DJ$3,ROW($A$3:$A$14312)),ROW(35:35)),2)),"",INDEX($A$3:$B$14312,SMALL(IF($A$3:$A$14312=DJ$3,ROW($A$3:$A$14312)),ROW(35:35)),2))</f>
        <v/>
      </c>
      <c r="DK37" t="str">
        <f t="array" ref="DK37">IF(ISERROR(INDEX($A$3:$B$14312,SMALL(IF($A$3:$A$14312=DK$3,ROW($A$3:$A$14312)),ROW(35:35)),2)),"",INDEX($A$3:$B$14312,SMALL(IF($A$3:$A$14312=DK$3,ROW($A$3:$A$14312)),ROW(35:35)),2))</f>
        <v>Router3_5</v>
      </c>
      <c r="DL37" t="str">
        <f t="array" ref="DL37">IF(ISERROR(INDEX($A$3:$B$14312,SMALL(IF($A$3:$A$14312=DL$3,ROW($A$3:$A$14312)),ROW(35:35)),2)),"",INDEX($A$3:$B$14312,SMALL(IF($A$3:$A$14312=DL$3,ROW($A$3:$A$14312)),ROW(35:35)),2))</f>
        <v/>
      </c>
      <c r="DM37" t="str">
        <f t="array" ref="DM37">IF(ISERROR(INDEX($A$3:$B$14312,SMALL(IF($A$3:$A$14312=DM$3,ROW($A$3:$A$14312)),ROW(35:35)),2)),"",INDEX($A$3:$B$14312,SMALL(IF($A$3:$A$14312=DM$3,ROW($A$3:$A$14312)),ROW(35:35)),2))</f>
        <v/>
      </c>
      <c r="DN37" t="str">
        <f t="array" ref="DN37">IF(ISERROR(INDEX($A$3:$B$14312,SMALL(IF($A$3:$A$14312=DN$3,ROW($A$3:$A$14312)),ROW(35:35)),2)),"",INDEX($A$3:$B$14312,SMALL(IF($A$3:$A$14312=DN$3,ROW($A$3:$A$14312)),ROW(35:35)),2))</f>
        <v/>
      </c>
      <c r="DO37" t="str">
        <f t="array" ref="DO37">IF(ISERROR(INDEX($A$3:$B$14312,SMALL(IF($A$3:$A$14312=DO$3,ROW($A$3:$A$14312)),ROW(35:35)),2)),"",INDEX($A$3:$B$14312,SMALL(IF($A$3:$A$14312=DO$3,ROW($A$3:$A$14312)),ROW(35:35)),2))</f>
        <v/>
      </c>
      <c r="DP37" t="str">
        <f t="array" ref="DP37">IF(ISERROR(INDEX($A$3:$B$14312,SMALL(IF($A$3:$A$14312=DP$3,ROW($A$3:$A$14312)),ROW(35:35)),2)),"",INDEX($A$3:$B$14312,SMALL(IF($A$3:$A$14312=DP$3,ROW($A$3:$A$14312)),ROW(35:35)),2))</f>
        <v/>
      </c>
      <c r="DQ37" t="str">
        <f t="array" ref="DQ37">IF(ISERROR(INDEX($A$3:$B$14312,SMALL(IF($A$3:$A$14312=DQ$3,ROW($A$3:$A$14312)),ROW(35:35)),2)),"",INDEX($A$3:$B$14312,SMALL(IF($A$3:$A$14312=DQ$3,ROW($A$3:$A$14312)),ROW(35:35)),2))</f>
        <v/>
      </c>
      <c r="DR37" t="str">
        <f t="array" ref="DR37">IF(ISERROR(INDEX($A$3:$B$14312,SMALL(IF($A$3:$A$14312=DR$3,ROW($A$3:$A$14312)),ROW(35:35)),2)),"",INDEX($A$3:$B$14312,SMALL(IF($A$3:$A$14312=DR$3,ROW($A$3:$A$14312)),ROW(35:35)),2))</f>
        <v>Router3_37</v>
      </c>
      <c r="DS37" t="str">
        <f t="array" ref="DS37">IF(ISERROR(INDEX($A$3:$B$14312,SMALL(IF($A$3:$A$14312=DS$3,ROW($A$3:$A$14312)),ROW(35:35)),2)),"",INDEX($A$3:$B$14312,SMALL(IF($A$3:$A$14312=DS$3,ROW($A$3:$A$14312)),ROW(35:35)),2))</f>
        <v/>
      </c>
      <c r="DT37" t="str">
        <f t="array" ref="DT37">IF(ISERROR(INDEX($A$3:$B$14312,SMALL(IF($A$3:$A$14312=DT$3,ROW($A$3:$A$14312)),ROW(35:35)),2)),"",INDEX($A$3:$B$14312,SMALL(IF($A$3:$A$14312=DT$3,ROW($A$3:$A$14312)),ROW(35:35)),2))</f>
        <v>Router3_101</v>
      </c>
      <c r="DU37" t="str">
        <f t="array" ref="DU37">IF(ISERROR(INDEX($A$3:$B$14312,SMALL(IF($A$3:$A$14312=DU$3,ROW($A$3:$A$14312)),ROW(35:35)),2)),"",INDEX($A$3:$B$14312,SMALL(IF($A$3:$A$14312=DU$3,ROW($A$3:$A$14312)),ROW(35:35)),2))</f>
        <v>Router3_152</v>
      </c>
      <c r="DV37" t="str">
        <f t="array" ref="DV37">IF(ISERROR(INDEX($A$3:$B$14312,SMALL(IF($A$3:$A$14312=DV$3,ROW($A$3:$A$14312)),ROW(35:35)),2)),"",INDEX($A$3:$B$14312,SMALL(IF($A$3:$A$14312=DV$3,ROW($A$3:$A$14312)),ROW(35:35)),2))</f>
        <v/>
      </c>
      <c r="DW37" t="str">
        <f t="array" ref="DW37">IF(ISERROR(INDEX($A$3:$B$14312,SMALL(IF($A$3:$A$14312=DW$3,ROW($A$3:$A$14312)),ROW(35:35)),2)),"",INDEX($A$3:$B$14312,SMALL(IF($A$3:$A$14312=DW$3,ROW($A$3:$A$14312)),ROW(35:35)),2))</f>
        <v/>
      </c>
      <c r="DX37" t="str">
        <f t="array" ref="DX37">IF(ISERROR(INDEX($A$3:$B$14312,SMALL(IF($A$3:$A$14312=DX$3,ROW($A$3:$A$14312)),ROW(35:35)),2)),"",INDEX($A$3:$B$14312,SMALL(IF($A$3:$A$14312=DX$3,ROW($A$3:$A$14312)),ROW(35:35)),2))</f>
        <v/>
      </c>
      <c r="DY37" t="str">
        <f t="array" ref="DY37">IF(ISERROR(INDEX($A$3:$B$14312,SMALL(IF($A$3:$A$14312=DY$3,ROW($A$3:$A$14312)),ROW(35:35)),2)),"",INDEX($A$3:$B$14312,SMALL(IF($A$3:$A$14312=DY$3,ROW($A$3:$A$14312)),ROW(35:35)),2))</f>
        <v/>
      </c>
      <c r="DZ37" t="str">
        <f t="array" ref="DZ37">IF(ISERROR(INDEX($A$3:$B$14312,SMALL(IF($A$3:$A$14312=DZ$3,ROW($A$3:$A$14312)),ROW(35:35)),2)),"",INDEX($A$3:$B$14312,SMALL(IF($A$3:$A$14312=DZ$3,ROW($A$3:$A$14312)),ROW(35:35)),2))</f>
        <v/>
      </c>
      <c r="EA37" t="str">
        <f t="array" ref="EA37">IF(ISERROR(INDEX($A$3:$B$14312,SMALL(IF($A$3:$A$14312=EA$3,ROW($A$3:$A$14312)),ROW(35:35)),2)),"",INDEX($A$3:$B$14312,SMALL(IF($A$3:$A$14312=EA$3,ROW($A$3:$A$14312)),ROW(35:35)),2))</f>
        <v/>
      </c>
      <c r="EB37" t="str">
        <f t="array" ref="EB37">IF(ISERROR(INDEX($A$3:$B$14312,SMALL(IF($A$3:$A$14312=EB$3,ROW($A$3:$A$14312)),ROW(35:35)),2)),"",INDEX($A$3:$B$14312,SMALL(IF($A$3:$A$14312=EB$3,ROW($A$3:$A$14312)),ROW(35:35)),2))</f>
        <v/>
      </c>
      <c r="EC37" t="str">
        <f t="array" ref="EC37">IF(ISERROR(INDEX($A$3:$B$14312,SMALL(IF($A$3:$A$14312=EC$3,ROW($A$3:$A$14312)),ROW(35:35)),2)),"",INDEX($A$3:$B$14312,SMALL(IF($A$3:$A$14312=EC$3,ROW($A$3:$A$14312)),ROW(35:35)),2))</f>
        <v>Router3_145</v>
      </c>
      <c r="ED37" t="str">
        <f t="array" ref="ED37">IF(ISERROR(INDEX($A$3:$B$14312,SMALL(IF($A$3:$A$14312=ED$3,ROW($A$3:$A$14312)),ROW(35:35)),2)),"",INDEX($A$3:$B$14312,SMALL(IF($A$3:$A$14312=ED$3,ROW($A$3:$A$14312)),ROW(35:35)),2))</f>
        <v>Router3_157</v>
      </c>
      <c r="EE37" t="str">
        <f t="array" ref="EE37">IF(ISERROR(INDEX($A$3:$B$14312,SMALL(IF($A$3:$A$14312=EE$3,ROW($A$3:$A$14312)),ROW(35:35)),2)),"",INDEX($A$3:$B$14312,SMALL(IF($A$3:$A$14312=EE$3,ROW($A$3:$A$14312)),ROW(35:35)),2))</f>
        <v/>
      </c>
    </row>
    <row r="38" spans="1:135" x14ac:dyDescent="0.25">
      <c r="A38" s="10">
        <v>-450827381</v>
      </c>
      <c r="B38" t="s">
        <v>1093</v>
      </c>
      <c r="E38" t="str">
        <f t="array" ref="E38">IF(ISERROR(INDEX($A$3:$B$14312,SMALL(IF($A$3:$A$14312=E$3,ROW($A$3:$A$14312)),ROW(36:36)),2)),"",INDEX($A$3:$B$14312,SMALL(IF($A$3:$A$14312=E$3,ROW($A$3:$A$14312)),ROW(36:36)),2))</f>
        <v/>
      </c>
      <c r="F38" t="str">
        <f t="array" ref="F38">IF(ISERROR(INDEX($A$3:$B$14312,SMALL(IF($A$3:$A$14312=F$3,ROW($A$3:$A$14312)),ROW(36:36)),2)),"",INDEX($A$3:$B$14312,SMALL(IF($A$3:$A$14312=F$3,ROW($A$3:$A$14312)),ROW(36:36)),2))</f>
        <v>Router3_13</v>
      </c>
      <c r="G38" t="str">
        <f t="array" ref="G38">IF(ISERROR(INDEX($A$3:$B$14312,SMALL(IF($A$3:$A$14312=G$3,ROW($A$3:$A$14312)),ROW(36:36)),2)),"",INDEX($A$3:$B$14312,SMALL(IF($A$3:$A$14312=G$3,ROW($A$3:$A$14312)),ROW(36:36)),2))</f>
        <v/>
      </c>
      <c r="H38" t="str">
        <f t="array" ref="H38">IF(ISERROR(INDEX($A$3:$B$14312,SMALL(IF($A$3:$A$14312=H$3,ROW($A$3:$A$14312)),ROW(36:36)),2)),"",INDEX($A$3:$B$14312,SMALL(IF($A$3:$A$14312=H$3,ROW($A$3:$A$14312)),ROW(36:36)),2))</f>
        <v/>
      </c>
      <c r="I38" t="str">
        <f t="array" ref="I38">IF(ISERROR(INDEX($A$3:$B$14312,SMALL(IF($A$3:$A$14312=I$3,ROW($A$3:$A$14312)),ROW(36:36)),2)),"",INDEX($A$3:$B$14312,SMALL(IF($A$3:$A$14312=I$3,ROW($A$3:$A$14312)),ROW(36:36)),2))</f>
        <v/>
      </c>
      <c r="J38" t="str">
        <f t="array" ref="J38">IF(ISERROR(INDEX($A$3:$B$14312,SMALL(IF($A$3:$A$14312=J$3,ROW($A$3:$A$14312)),ROW(36:36)),2)),"",INDEX($A$3:$B$14312,SMALL(IF($A$3:$A$14312=J$3,ROW($A$3:$A$14312)),ROW(36:36)),2))</f>
        <v/>
      </c>
      <c r="K38" t="str">
        <f t="array" ref="K38">IF(ISERROR(INDEX($A$3:$B$14312,SMALL(IF($A$3:$A$14312=K$3,ROW($A$3:$A$14312)),ROW(36:36)),2)),"",INDEX($A$3:$B$14312,SMALL(IF($A$3:$A$14312=K$3,ROW($A$3:$A$14312)),ROW(36:36)),2))</f>
        <v/>
      </c>
      <c r="L38" t="str">
        <f t="array" ref="L38">IF(ISERROR(INDEX($A$3:$B$14312,SMALL(IF($A$3:$A$14312=L$3,ROW($A$3:$A$14312)),ROW(36:36)),2)),"",INDEX($A$3:$B$14312,SMALL(IF($A$3:$A$14312=L$3,ROW($A$3:$A$14312)),ROW(36:36)),2))</f>
        <v/>
      </c>
      <c r="M38" t="str">
        <f t="array" ref="M38">IF(ISERROR(INDEX($A$3:$B$14312,SMALL(IF($A$3:$A$14312=M$3,ROW($A$3:$A$14312)),ROW(36:36)),2)),"",INDEX($A$3:$B$14312,SMALL(IF($A$3:$A$14312=M$3,ROW($A$3:$A$14312)),ROW(36:36)),2))</f>
        <v/>
      </c>
      <c r="N38" t="str">
        <f t="array" ref="N38">IF(ISERROR(INDEX($A$3:$B$14312,SMALL(IF($A$3:$A$14312=N$3,ROW($A$3:$A$14312)),ROW(36:36)),2)),"",INDEX($A$3:$B$14312,SMALL(IF($A$3:$A$14312=N$3,ROW($A$3:$A$14312)),ROW(36:36)),2))</f>
        <v/>
      </c>
      <c r="O38" t="str">
        <f t="array" ref="O38">IF(ISERROR(INDEX($A$3:$B$14312,SMALL(IF($A$3:$A$14312=O$3,ROW($A$3:$A$14312)),ROW(36:36)),2)),"",INDEX($A$3:$B$14312,SMALL(IF($A$3:$A$14312=O$3,ROW($A$3:$A$14312)),ROW(36:36)),2))</f>
        <v/>
      </c>
      <c r="P38" t="str">
        <f t="array" ref="P38">IF(ISERROR(INDEX($A$3:$B$14312,SMALL(IF($A$3:$A$14312=P$3,ROW($A$3:$A$14312)),ROW(36:36)),2)),"",INDEX($A$3:$B$14312,SMALL(IF($A$3:$A$14312=P$3,ROW($A$3:$A$14312)),ROW(36:36)),2))</f>
        <v/>
      </c>
      <c r="Q38" t="str">
        <f t="array" ref="Q38">IF(ISERROR(INDEX($A$3:$B$14312,SMALL(IF($A$3:$A$14312=Q$3,ROW($A$3:$A$14312)),ROW(36:36)),2)),"",INDEX($A$3:$B$14312,SMALL(IF($A$3:$A$14312=Q$3,ROW($A$3:$A$14312)),ROW(36:36)),2))</f>
        <v/>
      </c>
      <c r="R38" t="str">
        <f t="array" ref="R38">IF(ISERROR(INDEX($A$3:$B$14312,SMALL(IF($A$3:$A$14312=R$3,ROW($A$3:$A$14312)),ROW(36:36)),2)),"",INDEX($A$3:$B$14312,SMALL(IF($A$3:$A$14312=R$3,ROW($A$3:$A$14312)),ROW(36:36)),2))</f>
        <v/>
      </c>
      <c r="S38" t="str">
        <f t="array" ref="S38">IF(ISERROR(INDEX($A$3:$B$14312,SMALL(IF($A$3:$A$14312=S$3,ROW($A$3:$A$14312)),ROW(36:36)),2)),"",INDEX($A$3:$B$14312,SMALL(IF($A$3:$A$14312=S$3,ROW($A$3:$A$14312)),ROW(36:36)),2))</f>
        <v/>
      </c>
      <c r="T38" t="str">
        <f t="array" ref="T38">IF(ISERROR(INDEX($A$3:$B$14312,SMALL(IF($A$3:$A$14312=T$3,ROW($A$3:$A$14312)),ROW(36:36)),2)),"",INDEX($A$3:$B$14312,SMALL(IF($A$3:$A$14312=T$3,ROW($A$3:$A$14312)),ROW(36:36)),2))</f>
        <v/>
      </c>
      <c r="U38" t="str">
        <f t="array" ref="U38">IF(ISERROR(INDEX($A$3:$B$14312,SMALL(IF($A$3:$A$14312=U$3,ROW($A$3:$A$14312)),ROW(36:36)),2)),"",INDEX($A$3:$B$14312,SMALL(IF($A$3:$A$14312=U$3,ROW($A$3:$A$14312)),ROW(36:36)),2))</f>
        <v/>
      </c>
      <c r="V38" t="str">
        <f t="array" ref="V38">IF(ISERROR(INDEX($A$3:$B$14312,SMALL(IF($A$3:$A$14312=V$3,ROW($A$3:$A$14312)),ROW(36:36)),2)),"",INDEX($A$3:$B$14312,SMALL(IF($A$3:$A$14312=V$3,ROW($A$3:$A$14312)),ROW(36:36)),2))</f>
        <v/>
      </c>
      <c r="W38" t="str">
        <f t="array" ref="W38">IF(ISERROR(INDEX($A$3:$B$14312,SMALL(IF($A$3:$A$14312=W$3,ROW($A$3:$A$14312)),ROW(36:36)),2)),"",INDEX($A$3:$B$14312,SMALL(IF($A$3:$A$14312=W$3,ROW($A$3:$A$14312)),ROW(36:36)),2))</f>
        <v>Router3_147</v>
      </c>
      <c r="X38" t="str">
        <f t="array" ref="X38">IF(ISERROR(INDEX($A$3:$B$14312,SMALL(IF($A$3:$A$14312=X$3,ROW($A$3:$A$14312)),ROW(36:36)),2)),"",INDEX($A$3:$B$14312,SMALL(IF($A$3:$A$14312=X$3,ROW($A$3:$A$14312)),ROW(36:36)),2))</f>
        <v/>
      </c>
      <c r="Y38" t="str">
        <f t="array" ref="Y38">IF(ISERROR(INDEX($A$3:$B$14312,SMALL(IF($A$3:$A$14312=Y$3,ROW($A$3:$A$14312)),ROW(36:36)),2)),"",INDEX($A$3:$B$14312,SMALL(IF($A$3:$A$14312=Y$3,ROW($A$3:$A$14312)),ROW(36:36)),2))</f>
        <v/>
      </c>
      <c r="Z38" t="str">
        <f t="array" ref="Z38">IF(ISERROR(INDEX($A$3:$B$14312,SMALL(IF($A$3:$A$14312=Z$3,ROW($A$3:$A$14312)),ROW(36:36)),2)),"",INDEX($A$3:$B$14312,SMALL(IF($A$3:$A$14312=Z$3,ROW($A$3:$A$14312)),ROW(36:36)),2))</f>
        <v/>
      </c>
      <c r="AA38" t="str">
        <f t="array" ref="AA38">IF(ISERROR(INDEX($A$3:$B$14312,SMALL(IF($A$3:$A$14312=AA$3,ROW($A$3:$A$14312)),ROW(36:36)),2)),"",INDEX($A$3:$B$14312,SMALL(IF($A$3:$A$14312=AA$3,ROW($A$3:$A$14312)),ROW(36:36)),2))</f>
        <v/>
      </c>
      <c r="AB38" t="str">
        <f t="array" ref="AB38">IF(ISERROR(INDEX($A$3:$B$14312,SMALL(IF($A$3:$A$14312=AB$3,ROW($A$3:$A$14312)),ROW(36:36)),2)),"",INDEX($A$3:$B$14312,SMALL(IF($A$3:$A$14312=AB$3,ROW($A$3:$A$14312)),ROW(36:36)),2))</f>
        <v/>
      </c>
      <c r="AC38" t="str">
        <f t="array" ref="AC38">IF(ISERROR(INDEX($A$3:$B$14312,SMALL(IF($A$3:$A$14312=AC$3,ROW($A$3:$A$14312)),ROW(36:36)),2)),"",INDEX($A$3:$B$14312,SMALL(IF($A$3:$A$14312=AC$3,ROW($A$3:$A$14312)),ROW(36:36)),2))</f>
        <v/>
      </c>
      <c r="AD38" t="str">
        <f t="array" ref="AD38">IF(ISERROR(INDEX($A$3:$B$14312,SMALL(IF($A$3:$A$14312=AD$3,ROW($A$3:$A$14312)),ROW(36:36)),2)),"",INDEX($A$3:$B$14312,SMALL(IF($A$3:$A$14312=AD$3,ROW($A$3:$A$14312)),ROW(36:36)),2))</f>
        <v/>
      </c>
      <c r="AE38" t="str">
        <f t="array" ref="AE38">IF(ISERROR(INDEX($A$3:$B$14312,SMALL(IF($A$3:$A$14312=AE$3,ROW($A$3:$A$14312)),ROW(36:36)),2)),"",INDEX($A$3:$B$14312,SMALL(IF($A$3:$A$14312=AE$3,ROW($A$3:$A$14312)),ROW(36:36)),2))</f>
        <v/>
      </c>
      <c r="AF38" t="str">
        <f t="array" ref="AF38">IF(ISERROR(INDEX($A$3:$B$14312,SMALL(IF($A$3:$A$14312=AF$3,ROW($A$3:$A$14312)),ROW(36:36)),2)),"",INDEX($A$3:$B$14312,SMALL(IF($A$3:$A$14312=AF$3,ROW($A$3:$A$14312)),ROW(36:36)),2))</f>
        <v/>
      </c>
      <c r="AG38" t="str">
        <f t="array" ref="AG38">IF(ISERROR(INDEX($A$3:$B$14312,SMALL(IF($A$3:$A$14312=AG$3,ROW($A$3:$A$14312)),ROW(36:36)),2)),"",INDEX($A$3:$B$14312,SMALL(IF($A$3:$A$14312=AG$3,ROW($A$3:$A$14312)),ROW(36:36)),2))</f>
        <v/>
      </c>
      <c r="AH38" t="str">
        <f t="array" ref="AH38">IF(ISERROR(INDEX($A$3:$B$14312,SMALL(IF($A$3:$A$14312=AH$3,ROW($A$3:$A$14312)),ROW(36:36)),2)),"",INDEX($A$3:$B$14312,SMALL(IF($A$3:$A$14312=AH$3,ROW($A$3:$A$14312)),ROW(36:36)),2))</f>
        <v/>
      </c>
      <c r="AI38" t="str">
        <f t="array" ref="AI38">IF(ISERROR(INDEX($A$3:$B$14312,SMALL(IF($A$3:$A$14312=AI$3,ROW($A$3:$A$14312)),ROW(36:36)),2)),"",INDEX($A$3:$B$14312,SMALL(IF($A$3:$A$14312=AI$3,ROW($A$3:$A$14312)),ROW(36:36)),2))</f>
        <v/>
      </c>
      <c r="AJ38" t="str">
        <f t="array" ref="AJ38">IF(ISERROR(INDEX($A$3:$B$14312,SMALL(IF($A$3:$A$14312=AJ$3,ROW($A$3:$A$14312)),ROW(36:36)),2)),"",INDEX($A$3:$B$14312,SMALL(IF($A$3:$A$14312=AJ$3,ROW($A$3:$A$14312)),ROW(36:36)),2))</f>
        <v/>
      </c>
      <c r="AK38" t="str">
        <f t="array" ref="AK38">IF(ISERROR(INDEX($A$3:$B$14312,SMALL(IF($A$3:$A$14312=AK$3,ROW($A$3:$A$14312)),ROW(36:36)),2)),"",INDEX($A$3:$B$14312,SMALL(IF($A$3:$A$14312=AK$3,ROW($A$3:$A$14312)),ROW(36:36)),2))</f>
        <v/>
      </c>
      <c r="AL38" t="str">
        <f t="array" ref="AL38">IF(ISERROR(INDEX($A$3:$B$14312,SMALL(IF($A$3:$A$14312=AL$3,ROW($A$3:$A$14312)),ROW(36:36)),2)),"",INDEX($A$3:$B$14312,SMALL(IF($A$3:$A$14312=AL$3,ROW($A$3:$A$14312)),ROW(36:36)),2))</f>
        <v/>
      </c>
      <c r="AM38" t="str">
        <f t="array" ref="AM38">IF(ISERROR(INDEX($A$3:$B$14312,SMALL(IF($A$3:$A$14312=AM$3,ROW($A$3:$A$14312)),ROW(36:36)),2)),"",INDEX($A$3:$B$14312,SMALL(IF($A$3:$A$14312=AM$3,ROW($A$3:$A$14312)),ROW(36:36)),2))</f>
        <v>Router3_156</v>
      </c>
      <c r="AN38" t="str">
        <f t="array" ref="AN38">IF(ISERROR(INDEX($A$3:$B$14312,SMALL(IF($A$3:$A$14312=AN$3,ROW($A$3:$A$14312)),ROW(36:36)),2)),"",INDEX($A$3:$B$14312,SMALL(IF($A$3:$A$14312=AN$3,ROW($A$3:$A$14312)),ROW(36:36)),2))</f>
        <v/>
      </c>
      <c r="AO38" t="str">
        <f t="array" ref="AO38">IF(ISERROR(INDEX($A$3:$B$14312,SMALL(IF($A$3:$A$14312=AO$3,ROW($A$3:$A$14312)),ROW(36:36)),2)),"",INDEX($A$3:$B$14312,SMALL(IF($A$3:$A$14312=AO$3,ROW($A$3:$A$14312)),ROW(36:36)),2))</f>
        <v/>
      </c>
      <c r="AP38" t="str">
        <f t="array" ref="AP38">IF(ISERROR(INDEX($A$3:$B$14312,SMALL(IF($A$3:$A$14312=AP$3,ROW($A$3:$A$14312)),ROW(36:36)),2)),"",INDEX($A$3:$B$14312,SMALL(IF($A$3:$A$14312=AP$3,ROW($A$3:$A$14312)),ROW(36:36)),2))</f>
        <v/>
      </c>
      <c r="AQ38" t="str">
        <f t="array" ref="AQ38">IF(ISERROR(INDEX($A$3:$B$14312,SMALL(IF($A$3:$A$14312=AQ$3,ROW($A$3:$A$14312)),ROW(36:36)),2)),"",INDEX($A$3:$B$14312,SMALL(IF($A$3:$A$14312=AQ$3,ROW($A$3:$A$14312)),ROW(36:36)),2))</f>
        <v/>
      </c>
      <c r="AR38" t="str">
        <f t="array" ref="AR38">IF(ISERROR(INDEX($A$3:$B$14312,SMALL(IF($A$3:$A$14312=AR$3,ROW($A$3:$A$14312)),ROW(36:36)),2)),"",INDEX($A$3:$B$14312,SMALL(IF($A$3:$A$14312=AR$3,ROW($A$3:$A$14312)),ROW(36:36)),2))</f>
        <v/>
      </c>
      <c r="AS38" t="str">
        <f t="array" ref="AS38">IF(ISERROR(INDEX($A$3:$B$14312,SMALL(IF($A$3:$A$14312=AS$3,ROW($A$3:$A$14312)),ROW(36:36)),2)),"",INDEX($A$3:$B$14312,SMALL(IF($A$3:$A$14312=AS$3,ROW($A$3:$A$14312)),ROW(36:36)),2))</f>
        <v/>
      </c>
      <c r="AT38" t="str">
        <f t="array" ref="AT38">IF(ISERROR(INDEX($A$3:$B$14312,SMALL(IF($A$3:$A$14312=AT$3,ROW($A$3:$A$14312)),ROW(36:36)),2)),"",INDEX($A$3:$B$14312,SMALL(IF($A$3:$A$14312=AT$3,ROW($A$3:$A$14312)),ROW(36:36)),2))</f>
        <v/>
      </c>
      <c r="AU38" t="str">
        <f t="array" ref="AU38">IF(ISERROR(INDEX($A$3:$B$14312,SMALL(IF($A$3:$A$14312=AU$3,ROW($A$3:$A$14312)),ROW(36:36)),2)),"",INDEX($A$3:$B$14312,SMALL(IF($A$3:$A$14312=AU$3,ROW($A$3:$A$14312)),ROW(36:36)),2))</f>
        <v/>
      </c>
      <c r="AV38" t="str">
        <f t="array" ref="AV38">IF(ISERROR(INDEX($A$3:$B$14312,SMALL(IF($A$3:$A$14312=AV$3,ROW($A$3:$A$14312)),ROW(36:36)),2)),"",INDEX($A$3:$B$14312,SMALL(IF($A$3:$A$14312=AV$3,ROW($A$3:$A$14312)),ROW(36:36)),2))</f>
        <v/>
      </c>
      <c r="AW38" t="str">
        <f t="array" ref="AW38">IF(ISERROR(INDEX($A$3:$B$14312,SMALL(IF($A$3:$A$14312=AW$3,ROW($A$3:$A$14312)),ROW(36:36)),2)),"",INDEX($A$3:$B$14312,SMALL(IF($A$3:$A$14312=AW$3,ROW($A$3:$A$14312)),ROW(36:36)),2))</f>
        <v/>
      </c>
      <c r="AX38" t="str">
        <f t="array" ref="AX38">IF(ISERROR(INDEX($A$3:$B$14312,SMALL(IF($A$3:$A$14312=AX$3,ROW($A$3:$A$14312)),ROW(36:36)),2)),"",INDEX($A$3:$B$14312,SMALL(IF($A$3:$A$14312=AX$3,ROW($A$3:$A$14312)),ROW(36:36)),2))</f>
        <v/>
      </c>
      <c r="AY38" t="str">
        <f t="array" ref="AY38">IF(ISERROR(INDEX($A$3:$B$14312,SMALL(IF($A$3:$A$14312=AY$3,ROW($A$3:$A$14312)),ROW(36:36)),2)),"",INDEX($A$3:$B$14312,SMALL(IF($A$3:$A$14312=AY$3,ROW($A$3:$A$14312)),ROW(36:36)),2))</f>
        <v>Router3_158</v>
      </c>
      <c r="AZ38" t="str">
        <f t="array" ref="AZ38">IF(ISERROR(INDEX($A$3:$B$14312,SMALL(IF($A$3:$A$14312=AZ$3,ROW($A$3:$A$14312)),ROW(36:36)),2)),"",INDEX($A$3:$B$14312,SMALL(IF($A$3:$A$14312=AZ$3,ROW($A$3:$A$14312)),ROW(36:36)),2))</f>
        <v/>
      </c>
      <c r="BA38" t="str">
        <f t="array" ref="BA38">IF(ISERROR(INDEX($A$3:$B$14312,SMALL(IF($A$3:$A$14312=BA$3,ROW($A$3:$A$14312)),ROW(36:36)),2)),"",INDEX($A$3:$B$14312,SMALL(IF($A$3:$A$14312=BA$3,ROW($A$3:$A$14312)),ROW(36:36)),2))</f>
        <v/>
      </c>
      <c r="BB38" t="str">
        <f t="array" ref="BB38">IF(ISERROR(INDEX($A$3:$B$14312,SMALL(IF($A$3:$A$14312=BB$3,ROW($A$3:$A$14312)),ROW(36:36)),2)),"",INDEX($A$3:$B$14312,SMALL(IF($A$3:$A$14312=BB$3,ROW($A$3:$A$14312)),ROW(36:36)),2))</f>
        <v/>
      </c>
      <c r="BC38" t="str">
        <f t="array" ref="BC38">IF(ISERROR(INDEX($A$3:$B$14312,SMALL(IF($A$3:$A$14312=BC$3,ROW($A$3:$A$14312)),ROW(36:36)),2)),"",INDEX($A$3:$B$14312,SMALL(IF($A$3:$A$14312=BC$3,ROW($A$3:$A$14312)),ROW(36:36)),2))</f>
        <v/>
      </c>
      <c r="BD38" t="str">
        <f t="array" ref="BD38">IF(ISERROR(INDEX($A$3:$B$14312,SMALL(IF($A$3:$A$14312=BD$3,ROW($A$3:$A$14312)),ROW(36:36)),2)),"",INDEX($A$3:$B$14312,SMALL(IF($A$3:$A$14312=BD$3,ROW($A$3:$A$14312)),ROW(36:36)),2))</f>
        <v/>
      </c>
      <c r="BE38" t="str">
        <f t="array" ref="BE38">IF(ISERROR(INDEX($A$3:$B$14312,SMALL(IF($A$3:$A$14312=BE$3,ROW($A$3:$A$14312)),ROW(36:36)),2)),"",INDEX($A$3:$B$14312,SMALL(IF($A$3:$A$14312=BE$3,ROW($A$3:$A$14312)),ROW(36:36)),2))</f>
        <v/>
      </c>
      <c r="BF38" t="str">
        <f t="array" ref="BF38">IF(ISERROR(INDEX($A$3:$B$14312,SMALL(IF($A$3:$A$14312=BF$3,ROW($A$3:$A$14312)),ROW(36:36)),2)),"",INDEX($A$3:$B$14312,SMALL(IF($A$3:$A$14312=BF$3,ROW($A$3:$A$14312)),ROW(36:36)),2))</f>
        <v/>
      </c>
      <c r="BG38" t="str">
        <f t="array" ref="BG38">IF(ISERROR(INDEX($A$3:$B$14312,SMALL(IF($A$3:$A$14312=BG$3,ROW($A$3:$A$14312)),ROW(36:36)),2)),"",INDEX($A$3:$B$14312,SMALL(IF($A$3:$A$14312=BG$3,ROW($A$3:$A$14312)),ROW(36:36)),2))</f>
        <v/>
      </c>
      <c r="BH38" t="str">
        <f t="array" ref="BH38">IF(ISERROR(INDEX($A$3:$B$14312,SMALL(IF($A$3:$A$14312=BH$3,ROW($A$3:$A$14312)),ROW(36:36)),2)),"",INDEX($A$3:$B$14312,SMALL(IF($A$3:$A$14312=BH$3,ROW($A$3:$A$14312)),ROW(36:36)),2))</f>
        <v/>
      </c>
      <c r="BI38" t="str">
        <f t="array" ref="BI38">IF(ISERROR(INDEX($A$3:$B$14312,SMALL(IF($A$3:$A$14312=BI$3,ROW($A$3:$A$14312)),ROW(36:36)),2)),"",INDEX($A$3:$B$14312,SMALL(IF($A$3:$A$14312=BI$3,ROW($A$3:$A$14312)),ROW(36:36)),2))</f>
        <v/>
      </c>
      <c r="BJ38" t="str">
        <f t="array" ref="BJ38">IF(ISERROR(INDEX($A$3:$B$14312,SMALL(IF($A$3:$A$14312=BJ$3,ROW($A$3:$A$14312)),ROW(36:36)),2)),"",INDEX($A$3:$B$14312,SMALL(IF($A$3:$A$14312=BJ$3,ROW($A$3:$A$14312)),ROW(36:36)),2))</f>
        <v/>
      </c>
      <c r="BK38" t="str">
        <f t="array" ref="BK38">IF(ISERROR(INDEX($A$3:$B$14312,SMALL(IF($A$3:$A$14312=BK$3,ROW($A$3:$A$14312)),ROW(36:36)),2)),"",INDEX($A$3:$B$14312,SMALL(IF($A$3:$A$14312=BK$3,ROW($A$3:$A$14312)),ROW(36:36)),2))</f>
        <v/>
      </c>
      <c r="BL38" t="str">
        <f t="array" ref="BL38">IF(ISERROR(INDEX($A$3:$B$14312,SMALL(IF($A$3:$A$14312=BL$3,ROW($A$3:$A$14312)),ROW(36:36)),2)),"",INDEX($A$3:$B$14312,SMALL(IF($A$3:$A$14312=BL$3,ROW($A$3:$A$14312)),ROW(36:36)),2))</f>
        <v/>
      </c>
      <c r="BM38" t="str">
        <f t="array" ref="BM38">IF(ISERROR(INDEX($A$3:$B$14312,SMALL(IF($A$3:$A$14312=BM$3,ROW($A$3:$A$14312)),ROW(36:36)),2)),"",INDEX($A$3:$B$14312,SMALL(IF($A$3:$A$14312=BM$3,ROW($A$3:$A$14312)),ROW(36:36)),2))</f>
        <v/>
      </c>
      <c r="BN38" t="str">
        <f t="array" ref="BN38">IF(ISERROR(INDEX($A$3:$B$14312,SMALL(IF($A$3:$A$14312=BN$3,ROW($A$3:$A$14312)),ROW(36:36)),2)),"",INDEX($A$3:$B$14312,SMALL(IF($A$3:$A$14312=BN$3,ROW($A$3:$A$14312)),ROW(36:36)),2))</f>
        <v/>
      </c>
      <c r="BO38" t="str">
        <f t="array" ref="BO38">IF(ISERROR(INDEX($A$3:$B$14312,SMALL(IF($A$3:$A$14312=BO$3,ROW($A$3:$A$14312)),ROW(36:36)),2)),"",INDEX($A$3:$B$14312,SMALL(IF($A$3:$A$14312=BO$3,ROW($A$3:$A$14312)),ROW(36:36)),2))</f>
        <v/>
      </c>
      <c r="BP38" t="str">
        <f t="array" ref="BP38">IF(ISERROR(INDEX($A$3:$B$14312,SMALL(IF($A$3:$A$14312=BP$3,ROW($A$3:$A$14312)),ROW(36:36)),2)),"",INDEX($A$3:$B$14312,SMALL(IF($A$3:$A$14312=BP$3,ROW($A$3:$A$14312)),ROW(36:36)),2))</f>
        <v/>
      </c>
      <c r="BQ38" t="str">
        <f t="array" ref="BQ38">IF(ISERROR(INDEX($A$3:$B$14312,SMALL(IF($A$3:$A$14312=BQ$3,ROW($A$3:$A$14312)),ROW(36:36)),2)),"",INDEX($A$3:$B$14312,SMALL(IF($A$3:$A$14312=BQ$3,ROW($A$3:$A$14312)),ROW(36:36)),2))</f>
        <v/>
      </c>
      <c r="BR38" t="str">
        <f t="array" ref="BR38">IF(ISERROR(INDEX($A$3:$B$14312,SMALL(IF($A$3:$A$14312=BR$3,ROW($A$3:$A$14312)),ROW(36:36)),2)),"",INDEX($A$3:$B$14312,SMALL(IF($A$3:$A$14312=BR$3,ROW($A$3:$A$14312)),ROW(36:36)),2))</f>
        <v/>
      </c>
      <c r="BS38" t="str">
        <f t="array" ref="BS38">IF(ISERROR(INDEX($A$3:$B$14312,SMALL(IF($A$3:$A$14312=BS$3,ROW($A$3:$A$14312)),ROW(36:36)),2)),"",INDEX($A$3:$B$14312,SMALL(IF($A$3:$A$14312=BS$3,ROW($A$3:$A$14312)),ROW(36:36)),2))</f>
        <v/>
      </c>
      <c r="BT38" t="str">
        <f t="array" ref="BT38">IF(ISERROR(INDEX($A$3:$B$14312,SMALL(IF($A$3:$A$14312=BT$3,ROW($A$3:$A$14312)),ROW(36:36)),2)),"",INDEX($A$3:$B$14312,SMALL(IF($A$3:$A$14312=BT$3,ROW($A$3:$A$14312)),ROW(36:36)),2))</f>
        <v>Router3_138</v>
      </c>
      <c r="BU38" t="str">
        <f t="array" ref="BU38">IF(ISERROR(INDEX($A$3:$B$14312,SMALL(IF($A$3:$A$14312=BU$3,ROW($A$3:$A$14312)),ROW(36:36)),2)),"",INDEX($A$3:$B$14312,SMALL(IF($A$3:$A$14312=BU$3,ROW($A$3:$A$14312)),ROW(36:36)),2))</f>
        <v/>
      </c>
      <c r="BV38" t="str">
        <f t="array" ref="BV38">IF(ISERROR(INDEX($A$3:$B$14312,SMALL(IF($A$3:$A$14312=BV$3,ROW($A$3:$A$14312)),ROW(36:36)),2)),"",INDEX($A$3:$B$14312,SMALL(IF($A$3:$A$14312=BV$3,ROW($A$3:$A$14312)),ROW(36:36)),2))</f>
        <v/>
      </c>
      <c r="BW38" t="str">
        <f t="array" ref="BW38">IF(ISERROR(INDEX($A$3:$B$14312,SMALL(IF($A$3:$A$14312=BW$3,ROW($A$3:$A$14312)),ROW(36:36)),2)),"",INDEX($A$3:$B$14312,SMALL(IF($A$3:$A$14312=BW$3,ROW($A$3:$A$14312)),ROW(36:36)),2))</f>
        <v/>
      </c>
      <c r="BX38" t="str">
        <f t="array" ref="BX38">IF(ISERROR(INDEX($A$3:$B$14312,SMALL(IF($A$3:$A$14312=BX$3,ROW($A$3:$A$14312)),ROW(36:36)),2)),"",INDEX($A$3:$B$14312,SMALL(IF($A$3:$A$14312=BX$3,ROW($A$3:$A$14312)),ROW(36:36)),2))</f>
        <v/>
      </c>
      <c r="BY38" t="str">
        <f t="array" ref="BY38">IF(ISERROR(INDEX($A$3:$B$14312,SMALL(IF($A$3:$A$14312=BY$3,ROW($A$3:$A$14312)),ROW(36:36)),2)),"",INDEX($A$3:$B$14312,SMALL(IF($A$3:$A$14312=BY$3,ROW($A$3:$A$14312)),ROW(36:36)),2))</f>
        <v/>
      </c>
      <c r="BZ38" t="str">
        <f t="array" ref="BZ38">IF(ISERROR(INDEX($A$3:$B$14312,SMALL(IF($A$3:$A$14312=BZ$3,ROW($A$3:$A$14312)),ROW(36:36)),2)),"",INDEX($A$3:$B$14312,SMALL(IF($A$3:$A$14312=BZ$3,ROW($A$3:$A$14312)),ROW(36:36)),2))</f>
        <v/>
      </c>
      <c r="CA38" t="str">
        <f t="array" ref="CA38">IF(ISERROR(INDEX($A$3:$B$14312,SMALL(IF($A$3:$A$14312=CA$3,ROW($A$3:$A$14312)),ROW(36:36)),2)),"",INDEX($A$3:$B$14312,SMALL(IF($A$3:$A$14312=CA$3,ROW($A$3:$A$14312)),ROW(36:36)),2))</f>
        <v/>
      </c>
      <c r="CB38" t="str">
        <f t="array" ref="CB38">IF(ISERROR(INDEX($A$3:$B$14312,SMALL(IF($A$3:$A$14312=CB$3,ROW($A$3:$A$14312)),ROW(36:36)),2)),"",INDEX($A$3:$B$14312,SMALL(IF($A$3:$A$14312=CB$3,ROW($A$3:$A$14312)),ROW(36:36)),2))</f>
        <v/>
      </c>
      <c r="CC38" t="str">
        <f t="array" ref="CC38">IF(ISERROR(INDEX($A$3:$B$14312,SMALL(IF($A$3:$A$14312=CC$3,ROW($A$3:$A$14312)),ROW(36:36)),2)),"",INDEX($A$3:$B$14312,SMALL(IF($A$3:$A$14312=CC$3,ROW($A$3:$A$14312)),ROW(36:36)),2))</f>
        <v/>
      </c>
      <c r="CD38" t="str">
        <f t="array" ref="CD38">IF(ISERROR(INDEX($A$3:$B$14312,SMALL(IF($A$3:$A$14312=CD$3,ROW($A$3:$A$14312)),ROW(36:36)),2)),"",INDEX($A$3:$B$14312,SMALL(IF($A$3:$A$14312=CD$3,ROW($A$3:$A$14312)),ROW(36:36)),2))</f>
        <v/>
      </c>
      <c r="CE38" t="str">
        <f t="array" ref="CE38">IF(ISERROR(INDEX($A$3:$B$14312,SMALL(IF($A$3:$A$14312=CE$3,ROW($A$3:$A$14312)),ROW(36:36)),2)),"",INDEX($A$3:$B$14312,SMALL(IF($A$3:$A$14312=CE$3,ROW($A$3:$A$14312)),ROW(36:36)),2))</f>
        <v/>
      </c>
      <c r="CF38" t="str">
        <f t="array" ref="CF38">IF(ISERROR(INDEX($A$3:$B$14312,SMALL(IF($A$3:$A$14312=CF$3,ROW($A$3:$A$14312)),ROW(36:36)),2)),"",INDEX($A$3:$B$14312,SMALL(IF($A$3:$A$14312=CF$3,ROW($A$3:$A$14312)),ROW(36:36)),2))</f>
        <v/>
      </c>
      <c r="CG38" t="str">
        <f t="array" ref="CG38">IF(ISERROR(INDEX($A$3:$B$14312,SMALL(IF($A$3:$A$14312=CG$3,ROW($A$3:$A$14312)),ROW(36:36)),2)),"",INDEX($A$3:$B$14312,SMALL(IF($A$3:$A$14312=CG$3,ROW($A$3:$A$14312)),ROW(36:36)),2))</f>
        <v/>
      </c>
      <c r="CH38" t="str">
        <f t="array" ref="CH38">IF(ISERROR(INDEX($A$3:$B$14312,SMALL(IF($A$3:$A$14312=CH$3,ROW($A$3:$A$14312)),ROW(36:36)),2)),"",INDEX($A$3:$B$14312,SMALL(IF($A$3:$A$14312=CH$3,ROW($A$3:$A$14312)),ROW(36:36)),2))</f>
        <v/>
      </c>
      <c r="CI38" t="str">
        <f t="array" ref="CI38">IF(ISERROR(INDEX($A$3:$B$14312,SMALL(IF($A$3:$A$14312=CI$3,ROW($A$3:$A$14312)),ROW(36:36)),2)),"",INDEX($A$3:$B$14312,SMALL(IF($A$3:$A$14312=CI$3,ROW($A$3:$A$14312)),ROW(36:36)),2))</f>
        <v/>
      </c>
      <c r="CJ38" t="str">
        <f t="array" ref="CJ38">IF(ISERROR(INDEX($A$3:$B$14312,SMALL(IF($A$3:$A$14312=CJ$3,ROW($A$3:$A$14312)),ROW(36:36)),2)),"",INDEX($A$3:$B$14312,SMALL(IF($A$3:$A$14312=CJ$3,ROW($A$3:$A$14312)),ROW(36:36)),2))</f>
        <v/>
      </c>
      <c r="CK38" t="str">
        <f t="array" ref="CK38">IF(ISERROR(INDEX($A$3:$B$14312,SMALL(IF($A$3:$A$14312=CK$3,ROW($A$3:$A$14312)),ROW(36:36)),2)),"",INDEX($A$3:$B$14312,SMALL(IF($A$3:$A$14312=CK$3,ROW($A$3:$A$14312)),ROW(36:36)),2))</f>
        <v/>
      </c>
      <c r="CL38" t="str">
        <f t="array" ref="CL38">IF(ISERROR(INDEX($A$3:$B$14312,SMALL(IF($A$3:$A$14312=CL$3,ROW($A$3:$A$14312)),ROW(36:36)),2)),"",INDEX($A$3:$B$14312,SMALL(IF($A$3:$A$14312=CL$3,ROW($A$3:$A$14312)),ROW(36:36)),2))</f>
        <v/>
      </c>
      <c r="CM38" t="str">
        <f t="array" ref="CM38">IF(ISERROR(INDEX($A$3:$B$14312,SMALL(IF($A$3:$A$14312=CM$3,ROW($A$3:$A$14312)),ROW(36:36)),2)),"",INDEX($A$3:$B$14312,SMALL(IF($A$3:$A$14312=CM$3,ROW($A$3:$A$14312)),ROW(36:36)),2))</f>
        <v/>
      </c>
      <c r="CN38" t="str">
        <f t="array" ref="CN38">IF(ISERROR(INDEX($A$3:$B$14312,SMALL(IF($A$3:$A$14312=CN$3,ROW($A$3:$A$14312)),ROW(36:36)),2)),"",INDEX($A$3:$B$14312,SMALL(IF($A$3:$A$14312=CN$3,ROW($A$3:$A$14312)),ROW(36:36)),2))</f>
        <v/>
      </c>
      <c r="CO38" t="str">
        <f t="array" ref="CO38">IF(ISERROR(INDEX($A$3:$B$14312,SMALL(IF($A$3:$A$14312=CO$3,ROW($A$3:$A$14312)),ROW(36:36)),2)),"",INDEX($A$3:$B$14312,SMALL(IF($A$3:$A$14312=CO$3,ROW($A$3:$A$14312)),ROW(36:36)),2))</f>
        <v/>
      </c>
      <c r="CP38" t="str">
        <f t="array" ref="CP38">IF(ISERROR(INDEX($A$3:$B$14312,SMALL(IF($A$3:$A$14312=CP$3,ROW($A$3:$A$14312)),ROW(36:36)),2)),"",INDEX($A$3:$B$14312,SMALL(IF($A$3:$A$14312=CP$3,ROW($A$3:$A$14312)),ROW(36:36)),2))</f>
        <v/>
      </c>
      <c r="CQ38" t="str">
        <f t="array" ref="CQ38">IF(ISERROR(INDEX($A$3:$B$14312,SMALL(IF($A$3:$A$14312=CQ$3,ROW($A$3:$A$14312)),ROW(36:36)),2)),"",INDEX($A$3:$B$14312,SMALL(IF($A$3:$A$14312=CQ$3,ROW($A$3:$A$14312)),ROW(36:36)),2))</f>
        <v/>
      </c>
      <c r="CR38" t="str">
        <f t="array" ref="CR38">IF(ISERROR(INDEX($A$3:$B$14312,SMALL(IF($A$3:$A$14312=CR$3,ROW($A$3:$A$14312)),ROW(36:36)),2)),"",INDEX($A$3:$B$14312,SMALL(IF($A$3:$A$14312=CR$3,ROW($A$3:$A$14312)),ROW(36:36)),2))</f>
        <v/>
      </c>
      <c r="CS38" t="str">
        <f t="array" ref="CS38">IF(ISERROR(INDEX($A$3:$B$14312,SMALL(IF($A$3:$A$14312=CS$3,ROW($A$3:$A$14312)),ROW(36:36)),2)),"",INDEX($A$3:$B$14312,SMALL(IF($A$3:$A$14312=CS$3,ROW($A$3:$A$14312)),ROW(36:36)),2))</f>
        <v/>
      </c>
      <c r="CT38" t="str">
        <f t="array" ref="CT38">IF(ISERROR(INDEX($A$3:$B$14312,SMALL(IF($A$3:$A$14312=CT$3,ROW($A$3:$A$14312)),ROW(36:36)),2)),"",INDEX($A$3:$B$14312,SMALL(IF($A$3:$A$14312=CT$3,ROW($A$3:$A$14312)),ROW(36:36)),2))</f>
        <v/>
      </c>
      <c r="CU38" t="str">
        <f t="array" ref="CU38">IF(ISERROR(INDEX($A$3:$B$14312,SMALL(IF($A$3:$A$14312=CU$3,ROW($A$3:$A$14312)),ROW(36:36)),2)),"",INDEX($A$3:$B$14312,SMALL(IF($A$3:$A$14312=CU$3,ROW($A$3:$A$14312)),ROW(36:36)),2))</f>
        <v/>
      </c>
      <c r="CV38" t="str">
        <f t="array" ref="CV38">IF(ISERROR(INDEX($A$3:$B$14312,SMALL(IF($A$3:$A$14312=CV$3,ROW($A$3:$A$14312)),ROW(36:36)),2)),"",INDEX($A$3:$B$14312,SMALL(IF($A$3:$A$14312=CV$3,ROW($A$3:$A$14312)),ROW(36:36)),2))</f>
        <v/>
      </c>
      <c r="CW38" t="str">
        <f t="array" ref="CW38">IF(ISERROR(INDEX($A$3:$B$14312,SMALL(IF($A$3:$A$14312=CW$3,ROW($A$3:$A$14312)),ROW(36:36)),2)),"",INDEX($A$3:$B$14312,SMALL(IF($A$3:$A$14312=CW$3,ROW($A$3:$A$14312)),ROW(36:36)),2))</f>
        <v/>
      </c>
      <c r="CX38" t="str">
        <f t="array" ref="CX38">IF(ISERROR(INDEX($A$3:$B$14312,SMALL(IF($A$3:$A$14312=CX$3,ROW($A$3:$A$14312)),ROW(36:36)),2)),"",INDEX($A$3:$B$14312,SMALL(IF($A$3:$A$14312=CX$3,ROW($A$3:$A$14312)),ROW(36:36)),2))</f>
        <v/>
      </c>
      <c r="CY38" t="str">
        <f t="array" ref="CY38">IF(ISERROR(INDEX($A$3:$B$14312,SMALL(IF($A$3:$A$14312=CY$3,ROW($A$3:$A$14312)),ROW(36:36)),2)),"",INDEX($A$3:$B$14312,SMALL(IF($A$3:$A$14312=CY$3,ROW($A$3:$A$14312)),ROW(36:36)),2))</f>
        <v/>
      </c>
      <c r="CZ38" t="str">
        <f t="array" ref="CZ38">IF(ISERROR(INDEX($A$3:$B$14312,SMALL(IF($A$3:$A$14312=CZ$3,ROW($A$3:$A$14312)),ROW(36:36)),2)),"",INDEX($A$3:$B$14312,SMALL(IF($A$3:$A$14312=CZ$3,ROW($A$3:$A$14312)),ROW(36:36)),2))</f>
        <v/>
      </c>
      <c r="DA38" t="str">
        <f t="array" ref="DA38">IF(ISERROR(INDEX($A$3:$B$14312,SMALL(IF($A$3:$A$14312=DA$3,ROW($A$3:$A$14312)),ROW(36:36)),2)),"",INDEX($A$3:$B$14312,SMALL(IF($A$3:$A$14312=DA$3,ROW($A$3:$A$14312)),ROW(36:36)),2))</f>
        <v/>
      </c>
      <c r="DB38" t="str">
        <f t="array" ref="DB38">IF(ISERROR(INDEX($A$3:$B$14312,SMALL(IF($A$3:$A$14312=DB$3,ROW($A$3:$A$14312)),ROW(36:36)),2)),"",INDEX($A$3:$B$14312,SMALL(IF($A$3:$A$14312=DB$3,ROW($A$3:$A$14312)),ROW(36:36)),2))</f>
        <v/>
      </c>
      <c r="DC38" t="str">
        <f t="array" ref="DC38">IF(ISERROR(INDEX($A$3:$B$14312,SMALL(IF($A$3:$A$14312=DC$3,ROW($A$3:$A$14312)),ROW(36:36)),2)),"",INDEX($A$3:$B$14312,SMALL(IF($A$3:$A$14312=DC$3,ROW($A$3:$A$14312)),ROW(36:36)),2))</f>
        <v/>
      </c>
      <c r="DD38" t="str">
        <f t="array" ref="DD38">IF(ISERROR(INDEX($A$3:$B$14312,SMALL(IF($A$3:$A$14312=DD$3,ROW($A$3:$A$14312)),ROW(36:36)),2)),"",INDEX($A$3:$B$14312,SMALL(IF($A$3:$A$14312=DD$3,ROW($A$3:$A$14312)),ROW(36:36)),2))</f>
        <v/>
      </c>
      <c r="DE38" t="str">
        <f t="array" ref="DE38">IF(ISERROR(INDEX($A$3:$B$14312,SMALL(IF($A$3:$A$14312=DE$3,ROW($A$3:$A$14312)),ROW(36:36)),2)),"",INDEX($A$3:$B$14312,SMALL(IF($A$3:$A$14312=DE$3,ROW($A$3:$A$14312)),ROW(36:36)),2))</f>
        <v/>
      </c>
      <c r="DF38" t="str">
        <f t="array" ref="DF38">IF(ISERROR(INDEX($A$3:$B$14312,SMALL(IF($A$3:$A$14312=DF$3,ROW($A$3:$A$14312)),ROW(36:36)),2)),"",INDEX($A$3:$B$14312,SMALL(IF($A$3:$A$14312=DF$3,ROW($A$3:$A$14312)),ROW(36:36)),2))</f>
        <v/>
      </c>
      <c r="DG38" t="str">
        <f t="array" ref="DG38">IF(ISERROR(INDEX($A$3:$B$14312,SMALL(IF($A$3:$A$14312=DG$3,ROW($A$3:$A$14312)),ROW(36:36)),2)),"",INDEX($A$3:$B$14312,SMALL(IF($A$3:$A$14312=DG$3,ROW($A$3:$A$14312)),ROW(36:36)),2))</f>
        <v/>
      </c>
      <c r="DH38" t="str">
        <f t="array" ref="DH38">IF(ISERROR(INDEX($A$3:$B$14312,SMALL(IF($A$3:$A$14312=DH$3,ROW($A$3:$A$14312)),ROW(36:36)),2)),"",INDEX($A$3:$B$14312,SMALL(IF($A$3:$A$14312=DH$3,ROW($A$3:$A$14312)),ROW(36:36)),2))</f>
        <v/>
      </c>
      <c r="DI38" t="str">
        <f t="array" ref="DI38">IF(ISERROR(INDEX($A$3:$B$14312,SMALL(IF($A$3:$A$14312=DI$3,ROW($A$3:$A$14312)),ROW(36:36)),2)),"",INDEX($A$3:$B$14312,SMALL(IF($A$3:$A$14312=DI$3,ROW($A$3:$A$14312)),ROW(36:36)),2))</f>
        <v>Router3_102</v>
      </c>
      <c r="DJ38" t="str">
        <f t="array" ref="DJ38">IF(ISERROR(INDEX($A$3:$B$14312,SMALL(IF($A$3:$A$14312=DJ$3,ROW($A$3:$A$14312)),ROW(36:36)),2)),"",INDEX($A$3:$B$14312,SMALL(IF($A$3:$A$14312=DJ$3,ROW($A$3:$A$14312)),ROW(36:36)),2))</f>
        <v/>
      </c>
      <c r="DK38" t="str">
        <f t="array" ref="DK38">IF(ISERROR(INDEX($A$3:$B$14312,SMALL(IF($A$3:$A$14312=DK$3,ROW($A$3:$A$14312)),ROW(36:36)),2)),"",INDEX($A$3:$B$14312,SMALL(IF($A$3:$A$14312=DK$3,ROW($A$3:$A$14312)),ROW(36:36)),2))</f>
        <v>Router3_19</v>
      </c>
      <c r="DL38" t="str">
        <f t="array" ref="DL38">IF(ISERROR(INDEX($A$3:$B$14312,SMALL(IF($A$3:$A$14312=DL$3,ROW($A$3:$A$14312)),ROW(36:36)),2)),"",INDEX($A$3:$B$14312,SMALL(IF($A$3:$A$14312=DL$3,ROW($A$3:$A$14312)),ROW(36:36)),2))</f>
        <v/>
      </c>
      <c r="DM38" t="str">
        <f t="array" ref="DM38">IF(ISERROR(INDEX($A$3:$B$14312,SMALL(IF($A$3:$A$14312=DM$3,ROW($A$3:$A$14312)),ROW(36:36)),2)),"",INDEX($A$3:$B$14312,SMALL(IF($A$3:$A$14312=DM$3,ROW($A$3:$A$14312)),ROW(36:36)),2))</f>
        <v/>
      </c>
      <c r="DN38" t="str">
        <f t="array" ref="DN38">IF(ISERROR(INDEX($A$3:$B$14312,SMALL(IF($A$3:$A$14312=DN$3,ROW($A$3:$A$14312)),ROW(36:36)),2)),"",INDEX($A$3:$B$14312,SMALL(IF($A$3:$A$14312=DN$3,ROW($A$3:$A$14312)),ROW(36:36)),2))</f>
        <v/>
      </c>
      <c r="DO38" t="str">
        <f t="array" ref="DO38">IF(ISERROR(INDEX($A$3:$B$14312,SMALL(IF($A$3:$A$14312=DO$3,ROW($A$3:$A$14312)),ROW(36:36)),2)),"",INDEX($A$3:$B$14312,SMALL(IF($A$3:$A$14312=DO$3,ROW($A$3:$A$14312)),ROW(36:36)),2))</f>
        <v/>
      </c>
      <c r="DP38" t="str">
        <f t="array" ref="DP38">IF(ISERROR(INDEX($A$3:$B$14312,SMALL(IF($A$3:$A$14312=DP$3,ROW($A$3:$A$14312)),ROW(36:36)),2)),"",INDEX($A$3:$B$14312,SMALL(IF($A$3:$A$14312=DP$3,ROW($A$3:$A$14312)),ROW(36:36)),2))</f>
        <v/>
      </c>
      <c r="DQ38" t="str">
        <f t="array" ref="DQ38">IF(ISERROR(INDEX($A$3:$B$14312,SMALL(IF($A$3:$A$14312=DQ$3,ROW($A$3:$A$14312)),ROW(36:36)),2)),"",INDEX($A$3:$B$14312,SMALL(IF($A$3:$A$14312=DQ$3,ROW($A$3:$A$14312)),ROW(36:36)),2))</f>
        <v/>
      </c>
      <c r="DR38" t="str">
        <f t="array" ref="DR38">IF(ISERROR(INDEX($A$3:$B$14312,SMALL(IF($A$3:$A$14312=DR$3,ROW($A$3:$A$14312)),ROW(36:36)),2)),"",INDEX($A$3:$B$14312,SMALL(IF($A$3:$A$14312=DR$3,ROW($A$3:$A$14312)),ROW(36:36)),2))</f>
        <v>Router3_7</v>
      </c>
      <c r="DS38" t="str">
        <f t="array" ref="DS38">IF(ISERROR(INDEX($A$3:$B$14312,SMALL(IF($A$3:$A$14312=DS$3,ROW($A$3:$A$14312)),ROW(36:36)),2)),"",INDEX($A$3:$B$14312,SMALL(IF($A$3:$A$14312=DS$3,ROW($A$3:$A$14312)),ROW(36:36)),2))</f>
        <v/>
      </c>
      <c r="DT38" t="str">
        <f t="array" ref="DT38">IF(ISERROR(INDEX($A$3:$B$14312,SMALL(IF($A$3:$A$14312=DT$3,ROW($A$3:$A$14312)),ROW(36:36)),2)),"",INDEX($A$3:$B$14312,SMALL(IF($A$3:$A$14312=DT$3,ROW($A$3:$A$14312)),ROW(36:36)),2))</f>
        <v>Router3_102</v>
      </c>
      <c r="DU38" t="str">
        <f t="array" ref="DU38">IF(ISERROR(INDEX($A$3:$B$14312,SMALL(IF($A$3:$A$14312=DU$3,ROW($A$3:$A$14312)),ROW(36:36)),2)),"",INDEX($A$3:$B$14312,SMALL(IF($A$3:$A$14312=DU$3,ROW($A$3:$A$14312)),ROW(36:36)),2))</f>
        <v>Router3_153</v>
      </c>
      <c r="DV38" t="str">
        <f t="array" ref="DV38">IF(ISERROR(INDEX($A$3:$B$14312,SMALL(IF($A$3:$A$14312=DV$3,ROW($A$3:$A$14312)),ROW(36:36)),2)),"",INDEX($A$3:$B$14312,SMALL(IF($A$3:$A$14312=DV$3,ROW($A$3:$A$14312)),ROW(36:36)),2))</f>
        <v/>
      </c>
      <c r="DW38" t="str">
        <f t="array" ref="DW38">IF(ISERROR(INDEX($A$3:$B$14312,SMALL(IF($A$3:$A$14312=DW$3,ROW($A$3:$A$14312)),ROW(36:36)),2)),"",INDEX($A$3:$B$14312,SMALL(IF($A$3:$A$14312=DW$3,ROW($A$3:$A$14312)),ROW(36:36)),2))</f>
        <v/>
      </c>
      <c r="DX38" t="str">
        <f t="array" ref="DX38">IF(ISERROR(INDEX($A$3:$B$14312,SMALL(IF($A$3:$A$14312=DX$3,ROW($A$3:$A$14312)),ROW(36:36)),2)),"",INDEX($A$3:$B$14312,SMALL(IF($A$3:$A$14312=DX$3,ROW($A$3:$A$14312)),ROW(36:36)),2))</f>
        <v/>
      </c>
      <c r="DY38" t="str">
        <f t="array" ref="DY38">IF(ISERROR(INDEX($A$3:$B$14312,SMALL(IF($A$3:$A$14312=DY$3,ROW($A$3:$A$14312)),ROW(36:36)),2)),"",INDEX($A$3:$B$14312,SMALL(IF($A$3:$A$14312=DY$3,ROW($A$3:$A$14312)),ROW(36:36)),2))</f>
        <v/>
      </c>
      <c r="DZ38" t="str">
        <f t="array" ref="DZ38">IF(ISERROR(INDEX($A$3:$B$14312,SMALL(IF($A$3:$A$14312=DZ$3,ROW($A$3:$A$14312)),ROW(36:36)),2)),"",INDEX($A$3:$B$14312,SMALL(IF($A$3:$A$14312=DZ$3,ROW($A$3:$A$14312)),ROW(36:36)),2))</f>
        <v/>
      </c>
      <c r="EA38" t="str">
        <f t="array" ref="EA38">IF(ISERROR(INDEX($A$3:$B$14312,SMALL(IF($A$3:$A$14312=EA$3,ROW($A$3:$A$14312)),ROW(36:36)),2)),"",INDEX($A$3:$B$14312,SMALL(IF($A$3:$A$14312=EA$3,ROW($A$3:$A$14312)),ROW(36:36)),2))</f>
        <v/>
      </c>
      <c r="EB38" t="str">
        <f t="array" ref="EB38">IF(ISERROR(INDEX($A$3:$B$14312,SMALL(IF($A$3:$A$14312=EB$3,ROW($A$3:$A$14312)),ROW(36:36)),2)),"",INDEX($A$3:$B$14312,SMALL(IF($A$3:$A$14312=EB$3,ROW($A$3:$A$14312)),ROW(36:36)),2))</f>
        <v/>
      </c>
      <c r="EC38" t="str">
        <f t="array" ref="EC38">IF(ISERROR(INDEX($A$3:$B$14312,SMALL(IF($A$3:$A$14312=EC$3,ROW($A$3:$A$14312)),ROW(36:36)),2)),"",INDEX($A$3:$B$14312,SMALL(IF($A$3:$A$14312=EC$3,ROW($A$3:$A$14312)),ROW(36:36)),2))</f>
        <v>Router3_146</v>
      </c>
      <c r="ED38" t="str">
        <f t="array" ref="ED38">IF(ISERROR(INDEX($A$3:$B$14312,SMALL(IF($A$3:$A$14312=ED$3,ROW($A$3:$A$14312)),ROW(36:36)),2)),"",INDEX($A$3:$B$14312,SMALL(IF($A$3:$A$14312=ED$3,ROW($A$3:$A$14312)),ROW(36:36)),2))</f>
        <v>Router3_158</v>
      </c>
      <c r="EE38" t="str">
        <f t="array" ref="EE38">IF(ISERROR(INDEX($A$3:$B$14312,SMALL(IF($A$3:$A$14312=EE$3,ROW($A$3:$A$14312)),ROW(36:36)),2)),"",INDEX($A$3:$B$14312,SMALL(IF($A$3:$A$14312=EE$3,ROW($A$3:$A$14312)),ROW(36:36)),2))</f>
        <v/>
      </c>
    </row>
    <row r="39" spans="1:135" x14ac:dyDescent="0.25">
      <c r="A39" s="10">
        <v>-450827381</v>
      </c>
      <c r="B39" t="s">
        <v>1094</v>
      </c>
      <c r="E39" t="str">
        <f t="array" ref="E39">IF(ISERROR(INDEX($A$3:$B$14312,SMALL(IF($A$3:$A$14312=E$3,ROW($A$3:$A$14312)),ROW(37:37)),2)),"",INDEX($A$3:$B$14312,SMALL(IF($A$3:$A$14312=E$3,ROW($A$3:$A$14312)),ROW(37:37)),2))</f>
        <v/>
      </c>
      <c r="F39" t="str">
        <f t="array" ref="F39">IF(ISERROR(INDEX($A$3:$B$14312,SMALL(IF($A$3:$A$14312=F$3,ROW($A$3:$A$14312)),ROW(37:37)),2)),"",INDEX($A$3:$B$14312,SMALL(IF($A$3:$A$14312=F$3,ROW($A$3:$A$14312)),ROW(37:37)),2))</f>
        <v/>
      </c>
      <c r="G39" t="str">
        <f t="array" ref="G39">IF(ISERROR(INDEX($A$3:$B$14312,SMALL(IF($A$3:$A$14312=G$3,ROW($A$3:$A$14312)),ROW(37:37)),2)),"",INDEX($A$3:$B$14312,SMALL(IF($A$3:$A$14312=G$3,ROW($A$3:$A$14312)),ROW(37:37)),2))</f>
        <v/>
      </c>
      <c r="H39" t="str">
        <f t="array" ref="H39">IF(ISERROR(INDEX($A$3:$B$14312,SMALL(IF($A$3:$A$14312=H$3,ROW($A$3:$A$14312)),ROW(37:37)),2)),"",INDEX($A$3:$B$14312,SMALL(IF($A$3:$A$14312=H$3,ROW($A$3:$A$14312)),ROW(37:37)),2))</f>
        <v/>
      </c>
      <c r="I39" t="str">
        <f t="array" ref="I39">IF(ISERROR(INDEX($A$3:$B$14312,SMALL(IF($A$3:$A$14312=I$3,ROW($A$3:$A$14312)),ROW(37:37)),2)),"",INDEX($A$3:$B$14312,SMALL(IF($A$3:$A$14312=I$3,ROW($A$3:$A$14312)),ROW(37:37)),2))</f>
        <v/>
      </c>
      <c r="J39" t="str">
        <f t="array" ref="J39">IF(ISERROR(INDEX($A$3:$B$14312,SMALL(IF($A$3:$A$14312=J$3,ROW($A$3:$A$14312)),ROW(37:37)),2)),"",INDEX($A$3:$B$14312,SMALL(IF($A$3:$A$14312=J$3,ROW($A$3:$A$14312)),ROW(37:37)),2))</f>
        <v/>
      </c>
      <c r="K39" t="str">
        <f t="array" ref="K39">IF(ISERROR(INDEX($A$3:$B$14312,SMALL(IF($A$3:$A$14312=K$3,ROW($A$3:$A$14312)),ROW(37:37)),2)),"",INDEX($A$3:$B$14312,SMALL(IF($A$3:$A$14312=K$3,ROW($A$3:$A$14312)),ROW(37:37)),2))</f>
        <v/>
      </c>
      <c r="L39" t="str">
        <f t="array" ref="L39">IF(ISERROR(INDEX($A$3:$B$14312,SMALL(IF($A$3:$A$14312=L$3,ROW($A$3:$A$14312)),ROW(37:37)),2)),"",INDEX($A$3:$B$14312,SMALL(IF($A$3:$A$14312=L$3,ROW($A$3:$A$14312)),ROW(37:37)),2))</f>
        <v/>
      </c>
      <c r="M39" t="str">
        <f t="array" ref="M39">IF(ISERROR(INDEX($A$3:$B$14312,SMALL(IF($A$3:$A$14312=M$3,ROW($A$3:$A$14312)),ROW(37:37)),2)),"",INDEX($A$3:$B$14312,SMALL(IF($A$3:$A$14312=M$3,ROW($A$3:$A$14312)),ROW(37:37)),2))</f>
        <v/>
      </c>
      <c r="N39" t="str">
        <f t="array" ref="N39">IF(ISERROR(INDEX($A$3:$B$14312,SMALL(IF($A$3:$A$14312=N$3,ROW($A$3:$A$14312)),ROW(37:37)),2)),"",INDEX($A$3:$B$14312,SMALL(IF($A$3:$A$14312=N$3,ROW($A$3:$A$14312)),ROW(37:37)),2))</f>
        <v/>
      </c>
      <c r="O39" t="str">
        <f t="array" ref="O39">IF(ISERROR(INDEX($A$3:$B$14312,SMALL(IF($A$3:$A$14312=O$3,ROW($A$3:$A$14312)),ROW(37:37)),2)),"",INDEX($A$3:$B$14312,SMALL(IF($A$3:$A$14312=O$3,ROW($A$3:$A$14312)),ROW(37:37)),2))</f>
        <v/>
      </c>
      <c r="P39" t="str">
        <f t="array" ref="P39">IF(ISERROR(INDEX($A$3:$B$14312,SMALL(IF($A$3:$A$14312=P$3,ROW($A$3:$A$14312)),ROW(37:37)),2)),"",INDEX($A$3:$B$14312,SMALL(IF($A$3:$A$14312=P$3,ROW($A$3:$A$14312)),ROW(37:37)),2))</f>
        <v/>
      </c>
      <c r="Q39" t="str">
        <f t="array" ref="Q39">IF(ISERROR(INDEX($A$3:$B$14312,SMALL(IF($A$3:$A$14312=Q$3,ROW($A$3:$A$14312)),ROW(37:37)),2)),"",INDEX($A$3:$B$14312,SMALL(IF($A$3:$A$14312=Q$3,ROW($A$3:$A$14312)),ROW(37:37)),2))</f>
        <v/>
      </c>
      <c r="R39" t="str">
        <f t="array" ref="R39">IF(ISERROR(INDEX($A$3:$B$14312,SMALL(IF($A$3:$A$14312=R$3,ROW($A$3:$A$14312)),ROW(37:37)),2)),"",INDEX($A$3:$B$14312,SMALL(IF($A$3:$A$14312=R$3,ROW($A$3:$A$14312)),ROW(37:37)),2))</f>
        <v/>
      </c>
      <c r="S39" t="str">
        <f t="array" ref="S39">IF(ISERROR(INDEX($A$3:$B$14312,SMALL(IF($A$3:$A$14312=S$3,ROW($A$3:$A$14312)),ROW(37:37)),2)),"",INDEX($A$3:$B$14312,SMALL(IF($A$3:$A$14312=S$3,ROW($A$3:$A$14312)),ROW(37:37)),2))</f>
        <v/>
      </c>
      <c r="T39" t="str">
        <f t="array" ref="T39">IF(ISERROR(INDEX($A$3:$B$14312,SMALL(IF($A$3:$A$14312=T$3,ROW($A$3:$A$14312)),ROW(37:37)),2)),"",INDEX($A$3:$B$14312,SMALL(IF($A$3:$A$14312=T$3,ROW($A$3:$A$14312)),ROW(37:37)),2))</f>
        <v/>
      </c>
      <c r="U39" t="str">
        <f t="array" ref="U39">IF(ISERROR(INDEX($A$3:$B$14312,SMALL(IF($A$3:$A$14312=U$3,ROW($A$3:$A$14312)),ROW(37:37)),2)),"",INDEX($A$3:$B$14312,SMALL(IF($A$3:$A$14312=U$3,ROW($A$3:$A$14312)),ROW(37:37)),2))</f>
        <v/>
      </c>
      <c r="V39" t="str">
        <f t="array" ref="V39">IF(ISERROR(INDEX($A$3:$B$14312,SMALL(IF($A$3:$A$14312=V$3,ROW($A$3:$A$14312)),ROW(37:37)),2)),"",INDEX($A$3:$B$14312,SMALL(IF($A$3:$A$14312=V$3,ROW($A$3:$A$14312)),ROW(37:37)),2))</f>
        <v/>
      </c>
      <c r="W39" t="str">
        <f t="array" ref="W39">IF(ISERROR(INDEX($A$3:$B$14312,SMALL(IF($A$3:$A$14312=W$3,ROW($A$3:$A$14312)),ROW(37:37)),2)),"",INDEX($A$3:$B$14312,SMALL(IF($A$3:$A$14312=W$3,ROW($A$3:$A$14312)),ROW(37:37)),2))</f>
        <v>Router3_148</v>
      </c>
      <c r="X39" t="str">
        <f t="array" ref="X39">IF(ISERROR(INDEX($A$3:$B$14312,SMALL(IF($A$3:$A$14312=X$3,ROW($A$3:$A$14312)),ROW(37:37)),2)),"",INDEX($A$3:$B$14312,SMALL(IF($A$3:$A$14312=X$3,ROW($A$3:$A$14312)),ROW(37:37)),2))</f>
        <v/>
      </c>
      <c r="Y39" t="str">
        <f t="array" ref="Y39">IF(ISERROR(INDEX($A$3:$B$14312,SMALL(IF($A$3:$A$14312=Y$3,ROW($A$3:$A$14312)),ROW(37:37)),2)),"",INDEX($A$3:$B$14312,SMALL(IF($A$3:$A$14312=Y$3,ROW($A$3:$A$14312)),ROW(37:37)),2))</f>
        <v/>
      </c>
      <c r="Z39" t="str">
        <f t="array" ref="Z39">IF(ISERROR(INDEX($A$3:$B$14312,SMALL(IF($A$3:$A$14312=Z$3,ROW($A$3:$A$14312)),ROW(37:37)),2)),"",INDEX($A$3:$B$14312,SMALL(IF($A$3:$A$14312=Z$3,ROW($A$3:$A$14312)),ROW(37:37)),2))</f>
        <v/>
      </c>
      <c r="AA39" t="str">
        <f t="array" ref="AA39">IF(ISERROR(INDEX($A$3:$B$14312,SMALL(IF($A$3:$A$14312=AA$3,ROW($A$3:$A$14312)),ROW(37:37)),2)),"",INDEX($A$3:$B$14312,SMALL(IF($A$3:$A$14312=AA$3,ROW($A$3:$A$14312)),ROW(37:37)),2))</f>
        <v/>
      </c>
      <c r="AB39" t="str">
        <f t="array" ref="AB39">IF(ISERROR(INDEX($A$3:$B$14312,SMALL(IF($A$3:$A$14312=AB$3,ROW($A$3:$A$14312)),ROW(37:37)),2)),"",INDEX($A$3:$B$14312,SMALL(IF($A$3:$A$14312=AB$3,ROW($A$3:$A$14312)),ROW(37:37)),2))</f>
        <v/>
      </c>
      <c r="AC39" t="str">
        <f t="array" ref="AC39">IF(ISERROR(INDEX($A$3:$B$14312,SMALL(IF($A$3:$A$14312=AC$3,ROW($A$3:$A$14312)),ROW(37:37)),2)),"",INDEX($A$3:$B$14312,SMALL(IF($A$3:$A$14312=AC$3,ROW($A$3:$A$14312)),ROW(37:37)),2))</f>
        <v/>
      </c>
      <c r="AD39" t="str">
        <f t="array" ref="AD39">IF(ISERROR(INDEX($A$3:$B$14312,SMALL(IF($A$3:$A$14312=AD$3,ROW($A$3:$A$14312)),ROW(37:37)),2)),"",INDEX($A$3:$B$14312,SMALL(IF($A$3:$A$14312=AD$3,ROW($A$3:$A$14312)),ROW(37:37)),2))</f>
        <v/>
      </c>
      <c r="AE39" t="str">
        <f t="array" ref="AE39">IF(ISERROR(INDEX($A$3:$B$14312,SMALL(IF($A$3:$A$14312=AE$3,ROW($A$3:$A$14312)),ROW(37:37)),2)),"",INDEX($A$3:$B$14312,SMALL(IF($A$3:$A$14312=AE$3,ROW($A$3:$A$14312)),ROW(37:37)),2))</f>
        <v/>
      </c>
      <c r="AF39" t="str">
        <f t="array" ref="AF39">IF(ISERROR(INDEX($A$3:$B$14312,SMALL(IF($A$3:$A$14312=AF$3,ROW($A$3:$A$14312)),ROW(37:37)),2)),"",INDEX($A$3:$B$14312,SMALL(IF($A$3:$A$14312=AF$3,ROW($A$3:$A$14312)),ROW(37:37)),2))</f>
        <v/>
      </c>
      <c r="AG39" t="str">
        <f t="array" ref="AG39">IF(ISERROR(INDEX($A$3:$B$14312,SMALL(IF($A$3:$A$14312=AG$3,ROW($A$3:$A$14312)),ROW(37:37)),2)),"",INDEX($A$3:$B$14312,SMALL(IF($A$3:$A$14312=AG$3,ROW($A$3:$A$14312)),ROW(37:37)),2))</f>
        <v/>
      </c>
      <c r="AH39" t="str">
        <f t="array" ref="AH39">IF(ISERROR(INDEX($A$3:$B$14312,SMALL(IF($A$3:$A$14312=AH$3,ROW($A$3:$A$14312)),ROW(37:37)),2)),"",INDEX($A$3:$B$14312,SMALL(IF($A$3:$A$14312=AH$3,ROW($A$3:$A$14312)),ROW(37:37)),2))</f>
        <v/>
      </c>
      <c r="AI39" t="str">
        <f t="array" ref="AI39">IF(ISERROR(INDEX($A$3:$B$14312,SMALL(IF($A$3:$A$14312=AI$3,ROW($A$3:$A$14312)),ROW(37:37)),2)),"",INDEX($A$3:$B$14312,SMALL(IF($A$3:$A$14312=AI$3,ROW($A$3:$A$14312)),ROW(37:37)),2))</f>
        <v/>
      </c>
      <c r="AJ39" t="str">
        <f t="array" ref="AJ39">IF(ISERROR(INDEX($A$3:$B$14312,SMALL(IF($A$3:$A$14312=AJ$3,ROW($A$3:$A$14312)),ROW(37:37)),2)),"",INDEX($A$3:$B$14312,SMALL(IF($A$3:$A$14312=AJ$3,ROW($A$3:$A$14312)),ROW(37:37)),2))</f>
        <v/>
      </c>
      <c r="AK39" t="str">
        <f t="array" ref="AK39">IF(ISERROR(INDEX($A$3:$B$14312,SMALL(IF($A$3:$A$14312=AK$3,ROW($A$3:$A$14312)),ROW(37:37)),2)),"",INDEX($A$3:$B$14312,SMALL(IF($A$3:$A$14312=AK$3,ROW($A$3:$A$14312)),ROW(37:37)),2))</f>
        <v/>
      </c>
      <c r="AL39" t="str">
        <f t="array" ref="AL39">IF(ISERROR(INDEX($A$3:$B$14312,SMALL(IF($A$3:$A$14312=AL$3,ROW($A$3:$A$14312)),ROW(37:37)),2)),"",INDEX($A$3:$B$14312,SMALL(IF($A$3:$A$14312=AL$3,ROW($A$3:$A$14312)),ROW(37:37)),2))</f>
        <v/>
      </c>
      <c r="AM39" t="str">
        <f t="array" ref="AM39">IF(ISERROR(INDEX($A$3:$B$14312,SMALL(IF($A$3:$A$14312=AM$3,ROW($A$3:$A$14312)),ROW(37:37)),2)),"",INDEX($A$3:$B$14312,SMALL(IF($A$3:$A$14312=AM$3,ROW($A$3:$A$14312)),ROW(37:37)),2))</f>
        <v>Router3_157</v>
      </c>
      <c r="AN39" t="str">
        <f t="array" ref="AN39">IF(ISERROR(INDEX($A$3:$B$14312,SMALL(IF($A$3:$A$14312=AN$3,ROW($A$3:$A$14312)),ROW(37:37)),2)),"",INDEX($A$3:$B$14312,SMALL(IF($A$3:$A$14312=AN$3,ROW($A$3:$A$14312)),ROW(37:37)),2))</f>
        <v/>
      </c>
      <c r="AO39" t="str">
        <f t="array" ref="AO39">IF(ISERROR(INDEX($A$3:$B$14312,SMALL(IF($A$3:$A$14312=AO$3,ROW($A$3:$A$14312)),ROW(37:37)),2)),"",INDEX($A$3:$B$14312,SMALL(IF($A$3:$A$14312=AO$3,ROW($A$3:$A$14312)),ROW(37:37)),2))</f>
        <v/>
      </c>
      <c r="AP39" t="str">
        <f t="array" ref="AP39">IF(ISERROR(INDEX($A$3:$B$14312,SMALL(IF($A$3:$A$14312=AP$3,ROW($A$3:$A$14312)),ROW(37:37)),2)),"",INDEX($A$3:$B$14312,SMALL(IF($A$3:$A$14312=AP$3,ROW($A$3:$A$14312)),ROW(37:37)),2))</f>
        <v/>
      </c>
      <c r="AQ39" t="str">
        <f t="array" ref="AQ39">IF(ISERROR(INDEX($A$3:$B$14312,SMALL(IF($A$3:$A$14312=AQ$3,ROW($A$3:$A$14312)),ROW(37:37)),2)),"",INDEX($A$3:$B$14312,SMALL(IF($A$3:$A$14312=AQ$3,ROW($A$3:$A$14312)),ROW(37:37)),2))</f>
        <v/>
      </c>
      <c r="AR39" t="str">
        <f t="array" ref="AR39">IF(ISERROR(INDEX($A$3:$B$14312,SMALL(IF($A$3:$A$14312=AR$3,ROW($A$3:$A$14312)),ROW(37:37)),2)),"",INDEX($A$3:$B$14312,SMALL(IF($A$3:$A$14312=AR$3,ROW($A$3:$A$14312)),ROW(37:37)),2))</f>
        <v/>
      </c>
      <c r="AS39" t="str">
        <f t="array" ref="AS39">IF(ISERROR(INDEX($A$3:$B$14312,SMALL(IF($A$3:$A$14312=AS$3,ROW($A$3:$A$14312)),ROW(37:37)),2)),"",INDEX($A$3:$B$14312,SMALL(IF($A$3:$A$14312=AS$3,ROW($A$3:$A$14312)),ROW(37:37)),2))</f>
        <v/>
      </c>
      <c r="AT39" t="str">
        <f t="array" ref="AT39">IF(ISERROR(INDEX($A$3:$B$14312,SMALL(IF($A$3:$A$14312=AT$3,ROW($A$3:$A$14312)),ROW(37:37)),2)),"",INDEX($A$3:$B$14312,SMALL(IF($A$3:$A$14312=AT$3,ROW($A$3:$A$14312)),ROW(37:37)),2))</f>
        <v/>
      </c>
      <c r="AU39" t="str">
        <f t="array" ref="AU39">IF(ISERROR(INDEX($A$3:$B$14312,SMALL(IF($A$3:$A$14312=AU$3,ROW($A$3:$A$14312)),ROW(37:37)),2)),"",INDEX($A$3:$B$14312,SMALL(IF($A$3:$A$14312=AU$3,ROW($A$3:$A$14312)),ROW(37:37)),2))</f>
        <v/>
      </c>
      <c r="AV39" t="str">
        <f t="array" ref="AV39">IF(ISERROR(INDEX($A$3:$B$14312,SMALL(IF($A$3:$A$14312=AV$3,ROW($A$3:$A$14312)),ROW(37:37)),2)),"",INDEX($A$3:$B$14312,SMALL(IF($A$3:$A$14312=AV$3,ROW($A$3:$A$14312)),ROW(37:37)),2))</f>
        <v/>
      </c>
      <c r="AW39" t="str">
        <f t="array" ref="AW39">IF(ISERROR(INDEX($A$3:$B$14312,SMALL(IF($A$3:$A$14312=AW$3,ROW($A$3:$A$14312)),ROW(37:37)),2)),"",INDEX($A$3:$B$14312,SMALL(IF($A$3:$A$14312=AW$3,ROW($A$3:$A$14312)),ROW(37:37)),2))</f>
        <v/>
      </c>
      <c r="AX39" t="str">
        <f t="array" ref="AX39">IF(ISERROR(INDEX($A$3:$B$14312,SMALL(IF($A$3:$A$14312=AX$3,ROW($A$3:$A$14312)),ROW(37:37)),2)),"",INDEX($A$3:$B$14312,SMALL(IF($A$3:$A$14312=AX$3,ROW($A$3:$A$14312)),ROW(37:37)),2))</f>
        <v/>
      </c>
      <c r="AY39" t="str">
        <f t="array" ref="AY39">IF(ISERROR(INDEX($A$3:$B$14312,SMALL(IF($A$3:$A$14312=AY$3,ROW($A$3:$A$14312)),ROW(37:37)),2)),"",INDEX($A$3:$B$14312,SMALL(IF($A$3:$A$14312=AY$3,ROW($A$3:$A$14312)),ROW(37:37)),2))</f>
        <v>Router3_159</v>
      </c>
      <c r="AZ39" t="str">
        <f t="array" ref="AZ39">IF(ISERROR(INDEX($A$3:$B$14312,SMALL(IF($A$3:$A$14312=AZ$3,ROW($A$3:$A$14312)),ROW(37:37)),2)),"",INDEX($A$3:$B$14312,SMALL(IF($A$3:$A$14312=AZ$3,ROW($A$3:$A$14312)),ROW(37:37)),2))</f>
        <v/>
      </c>
      <c r="BA39" t="str">
        <f t="array" ref="BA39">IF(ISERROR(INDEX($A$3:$B$14312,SMALL(IF($A$3:$A$14312=BA$3,ROW($A$3:$A$14312)),ROW(37:37)),2)),"",INDEX($A$3:$B$14312,SMALL(IF($A$3:$A$14312=BA$3,ROW($A$3:$A$14312)),ROW(37:37)),2))</f>
        <v/>
      </c>
      <c r="BB39" t="str">
        <f t="array" ref="BB39">IF(ISERROR(INDEX($A$3:$B$14312,SMALL(IF($A$3:$A$14312=BB$3,ROW($A$3:$A$14312)),ROW(37:37)),2)),"",INDEX($A$3:$B$14312,SMALL(IF($A$3:$A$14312=BB$3,ROW($A$3:$A$14312)),ROW(37:37)),2))</f>
        <v/>
      </c>
      <c r="BC39" t="str">
        <f t="array" ref="BC39">IF(ISERROR(INDEX($A$3:$B$14312,SMALL(IF($A$3:$A$14312=BC$3,ROW($A$3:$A$14312)),ROW(37:37)),2)),"",INDEX($A$3:$B$14312,SMALL(IF($A$3:$A$14312=BC$3,ROW($A$3:$A$14312)),ROW(37:37)),2))</f>
        <v/>
      </c>
      <c r="BD39" t="str">
        <f t="array" ref="BD39">IF(ISERROR(INDEX($A$3:$B$14312,SMALL(IF($A$3:$A$14312=BD$3,ROW($A$3:$A$14312)),ROW(37:37)),2)),"",INDEX($A$3:$B$14312,SMALL(IF($A$3:$A$14312=BD$3,ROW($A$3:$A$14312)),ROW(37:37)),2))</f>
        <v/>
      </c>
      <c r="BE39" t="str">
        <f t="array" ref="BE39">IF(ISERROR(INDEX($A$3:$B$14312,SMALL(IF($A$3:$A$14312=BE$3,ROW($A$3:$A$14312)),ROW(37:37)),2)),"",INDEX($A$3:$B$14312,SMALL(IF($A$3:$A$14312=BE$3,ROW($A$3:$A$14312)),ROW(37:37)),2))</f>
        <v/>
      </c>
      <c r="BF39" t="str">
        <f t="array" ref="BF39">IF(ISERROR(INDEX($A$3:$B$14312,SMALL(IF($A$3:$A$14312=BF$3,ROW($A$3:$A$14312)),ROW(37:37)),2)),"",INDEX($A$3:$B$14312,SMALL(IF($A$3:$A$14312=BF$3,ROW($A$3:$A$14312)),ROW(37:37)),2))</f>
        <v/>
      </c>
      <c r="BG39" t="str">
        <f t="array" ref="BG39">IF(ISERROR(INDEX($A$3:$B$14312,SMALL(IF($A$3:$A$14312=BG$3,ROW($A$3:$A$14312)),ROW(37:37)),2)),"",INDEX($A$3:$B$14312,SMALL(IF($A$3:$A$14312=BG$3,ROW($A$3:$A$14312)),ROW(37:37)),2))</f>
        <v/>
      </c>
      <c r="BH39" t="str">
        <f t="array" ref="BH39">IF(ISERROR(INDEX($A$3:$B$14312,SMALL(IF($A$3:$A$14312=BH$3,ROW($A$3:$A$14312)),ROW(37:37)),2)),"",INDEX($A$3:$B$14312,SMALL(IF($A$3:$A$14312=BH$3,ROW($A$3:$A$14312)),ROW(37:37)),2))</f>
        <v/>
      </c>
      <c r="BI39" t="str">
        <f t="array" ref="BI39">IF(ISERROR(INDEX($A$3:$B$14312,SMALL(IF($A$3:$A$14312=BI$3,ROW($A$3:$A$14312)),ROW(37:37)),2)),"",INDEX($A$3:$B$14312,SMALL(IF($A$3:$A$14312=BI$3,ROW($A$3:$A$14312)),ROW(37:37)),2))</f>
        <v/>
      </c>
      <c r="BJ39" t="str">
        <f t="array" ref="BJ39">IF(ISERROR(INDEX($A$3:$B$14312,SMALL(IF($A$3:$A$14312=BJ$3,ROW($A$3:$A$14312)),ROW(37:37)),2)),"",INDEX($A$3:$B$14312,SMALL(IF($A$3:$A$14312=BJ$3,ROW($A$3:$A$14312)),ROW(37:37)),2))</f>
        <v/>
      </c>
      <c r="BK39" t="str">
        <f t="array" ref="BK39">IF(ISERROR(INDEX($A$3:$B$14312,SMALL(IF($A$3:$A$14312=BK$3,ROW($A$3:$A$14312)),ROW(37:37)),2)),"",INDEX($A$3:$B$14312,SMALL(IF($A$3:$A$14312=BK$3,ROW($A$3:$A$14312)),ROW(37:37)),2))</f>
        <v/>
      </c>
      <c r="BL39" t="str">
        <f t="array" ref="BL39">IF(ISERROR(INDEX($A$3:$B$14312,SMALL(IF($A$3:$A$14312=BL$3,ROW($A$3:$A$14312)),ROW(37:37)),2)),"",INDEX($A$3:$B$14312,SMALL(IF($A$3:$A$14312=BL$3,ROW($A$3:$A$14312)),ROW(37:37)),2))</f>
        <v/>
      </c>
      <c r="BM39" t="str">
        <f t="array" ref="BM39">IF(ISERROR(INDEX($A$3:$B$14312,SMALL(IF($A$3:$A$14312=BM$3,ROW($A$3:$A$14312)),ROW(37:37)),2)),"",INDEX($A$3:$B$14312,SMALL(IF($A$3:$A$14312=BM$3,ROW($A$3:$A$14312)),ROW(37:37)),2))</f>
        <v/>
      </c>
      <c r="BN39" t="str">
        <f t="array" ref="BN39">IF(ISERROR(INDEX($A$3:$B$14312,SMALL(IF($A$3:$A$14312=BN$3,ROW($A$3:$A$14312)),ROW(37:37)),2)),"",INDEX($A$3:$B$14312,SMALL(IF($A$3:$A$14312=BN$3,ROW($A$3:$A$14312)),ROW(37:37)),2))</f>
        <v/>
      </c>
      <c r="BO39" t="str">
        <f t="array" ref="BO39">IF(ISERROR(INDEX($A$3:$B$14312,SMALL(IF($A$3:$A$14312=BO$3,ROW($A$3:$A$14312)),ROW(37:37)),2)),"",INDEX($A$3:$B$14312,SMALL(IF($A$3:$A$14312=BO$3,ROW($A$3:$A$14312)),ROW(37:37)),2))</f>
        <v/>
      </c>
      <c r="BP39" t="str">
        <f t="array" ref="BP39">IF(ISERROR(INDEX($A$3:$B$14312,SMALL(IF($A$3:$A$14312=BP$3,ROW($A$3:$A$14312)),ROW(37:37)),2)),"",INDEX($A$3:$B$14312,SMALL(IF($A$3:$A$14312=BP$3,ROW($A$3:$A$14312)),ROW(37:37)),2))</f>
        <v/>
      </c>
      <c r="BQ39" t="str">
        <f t="array" ref="BQ39">IF(ISERROR(INDEX($A$3:$B$14312,SMALL(IF($A$3:$A$14312=BQ$3,ROW($A$3:$A$14312)),ROW(37:37)),2)),"",INDEX($A$3:$B$14312,SMALL(IF($A$3:$A$14312=BQ$3,ROW($A$3:$A$14312)),ROW(37:37)),2))</f>
        <v/>
      </c>
      <c r="BR39" t="str">
        <f t="array" ref="BR39">IF(ISERROR(INDEX($A$3:$B$14312,SMALL(IF($A$3:$A$14312=BR$3,ROW($A$3:$A$14312)),ROW(37:37)),2)),"",INDEX($A$3:$B$14312,SMALL(IF($A$3:$A$14312=BR$3,ROW($A$3:$A$14312)),ROW(37:37)),2))</f>
        <v/>
      </c>
      <c r="BS39" t="str">
        <f t="array" ref="BS39">IF(ISERROR(INDEX($A$3:$B$14312,SMALL(IF($A$3:$A$14312=BS$3,ROW($A$3:$A$14312)),ROW(37:37)),2)),"",INDEX($A$3:$B$14312,SMALL(IF($A$3:$A$14312=BS$3,ROW($A$3:$A$14312)),ROW(37:37)),2))</f>
        <v/>
      </c>
      <c r="BT39" t="str">
        <f t="array" ref="BT39">IF(ISERROR(INDEX($A$3:$B$14312,SMALL(IF($A$3:$A$14312=BT$3,ROW($A$3:$A$14312)),ROW(37:37)),2)),"",INDEX($A$3:$B$14312,SMALL(IF($A$3:$A$14312=BT$3,ROW($A$3:$A$14312)),ROW(37:37)),2))</f>
        <v>Router3_139</v>
      </c>
      <c r="BU39" t="str">
        <f t="array" ref="BU39">IF(ISERROR(INDEX($A$3:$B$14312,SMALL(IF($A$3:$A$14312=BU$3,ROW($A$3:$A$14312)),ROW(37:37)),2)),"",INDEX($A$3:$B$14312,SMALL(IF($A$3:$A$14312=BU$3,ROW($A$3:$A$14312)),ROW(37:37)),2))</f>
        <v/>
      </c>
      <c r="BV39" t="str">
        <f t="array" ref="BV39">IF(ISERROR(INDEX($A$3:$B$14312,SMALL(IF($A$3:$A$14312=BV$3,ROW($A$3:$A$14312)),ROW(37:37)),2)),"",INDEX($A$3:$B$14312,SMALL(IF($A$3:$A$14312=BV$3,ROW($A$3:$A$14312)),ROW(37:37)),2))</f>
        <v/>
      </c>
      <c r="BW39" t="str">
        <f t="array" ref="BW39">IF(ISERROR(INDEX($A$3:$B$14312,SMALL(IF($A$3:$A$14312=BW$3,ROW($A$3:$A$14312)),ROW(37:37)),2)),"",INDEX($A$3:$B$14312,SMALL(IF($A$3:$A$14312=BW$3,ROW($A$3:$A$14312)),ROW(37:37)),2))</f>
        <v/>
      </c>
      <c r="BX39" t="str">
        <f t="array" ref="BX39">IF(ISERROR(INDEX($A$3:$B$14312,SMALL(IF($A$3:$A$14312=BX$3,ROW($A$3:$A$14312)),ROW(37:37)),2)),"",INDEX($A$3:$B$14312,SMALL(IF($A$3:$A$14312=BX$3,ROW($A$3:$A$14312)),ROW(37:37)),2))</f>
        <v/>
      </c>
      <c r="BY39" t="str">
        <f t="array" ref="BY39">IF(ISERROR(INDEX($A$3:$B$14312,SMALL(IF($A$3:$A$14312=BY$3,ROW($A$3:$A$14312)),ROW(37:37)),2)),"",INDEX($A$3:$B$14312,SMALL(IF($A$3:$A$14312=BY$3,ROW($A$3:$A$14312)),ROW(37:37)),2))</f>
        <v/>
      </c>
      <c r="BZ39" t="str">
        <f t="array" ref="BZ39">IF(ISERROR(INDEX($A$3:$B$14312,SMALL(IF($A$3:$A$14312=BZ$3,ROW($A$3:$A$14312)),ROW(37:37)),2)),"",INDEX($A$3:$B$14312,SMALL(IF($A$3:$A$14312=BZ$3,ROW($A$3:$A$14312)),ROW(37:37)),2))</f>
        <v/>
      </c>
      <c r="CA39" t="str">
        <f t="array" ref="CA39">IF(ISERROR(INDEX($A$3:$B$14312,SMALL(IF($A$3:$A$14312=CA$3,ROW($A$3:$A$14312)),ROW(37:37)),2)),"",INDEX($A$3:$B$14312,SMALL(IF($A$3:$A$14312=CA$3,ROW($A$3:$A$14312)),ROW(37:37)),2))</f>
        <v/>
      </c>
      <c r="CB39" t="str">
        <f t="array" ref="CB39">IF(ISERROR(INDEX($A$3:$B$14312,SMALL(IF($A$3:$A$14312=CB$3,ROW($A$3:$A$14312)),ROW(37:37)),2)),"",INDEX($A$3:$B$14312,SMALL(IF($A$3:$A$14312=CB$3,ROW($A$3:$A$14312)),ROW(37:37)),2))</f>
        <v/>
      </c>
      <c r="CC39" t="str">
        <f t="array" ref="CC39">IF(ISERROR(INDEX($A$3:$B$14312,SMALL(IF($A$3:$A$14312=CC$3,ROW($A$3:$A$14312)),ROW(37:37)),2)),"",INDEX($A$3:$B$14312,SMALL(IF($A$3:$A$14312=CC$3,ROW($A$3:$A$14312)),ROW(37:37)),2))</f>
        <v/>
      </c>
      <c r="CD39" t="str">
        <f t="array" ref="CD39">IF(ISERROR(INDEX($A$3:$B$14312,SMALL(IF($A$3:$A$14312=CD$3,ROW($A$3:$A$14312)),ROW(37:37)),2)),"",INDEX($A$3:$B$14312,SMALL(IF($A$3:$A$14312=CD$3,ROW($A$3:$A$14312)),ROW(37:37)),2))</f>
        <v/>
      </c>
      <c r="CE39" t="str">
        <f t="array" ref="CE39">IF(ISERROR(INDEX($A$3:$B$14312,SMALL(IF($A$3:$A$14312=CE$3,ROW($A$3:$A$14312)),ROW(37:37)),2)),"",INDEX($A$3:$B$14312,SMALL(IF($A$3:$A$14312=CE$3,ROW($A$3:$A$14312)),ROW(37:37)),2))</f>
        <v/>
      </c>
      <c r="CF39" t="str">
        <f t="array" ref="CF39">IF(ISERROR(INDEX($A$3:$B$14312,SMALL(IF($A$3:$A$14312=CF$3,ROW($A$3:$A$14312)),ROW(37:37)),2)),"",INDEX($A$3:$B$14312,SMALL(IF($A$3:$A$14312=CF$3,ROW($A$3:$A$14312)),ROW(37:37)),2))</f>
        <v/>
      </c>
      <c r="CG39" t="str">
        <f t="array" ref="CG39">IF(ISERROR(INDEX($A$3:$B$14312,SMALL(IF($A$3:$A$14312=CG$3,ROW($A$3:$A$14312)),ROW(37:37)),2)),"",INDEX($A$3:$B$14312,SMALL(IF($A$3:$A$14312=CG$3,ROW($A$3:$A$14312)),ROW(37:37)),2))</f>
        <v/>
      </c>
      <c r="CH39" t="str">
        <f t="array" ref="CH39">IF(ISERROR(INDEX($A$3:$B$14312,SMALL(IF($A$3:$A$14312=CH$3,ROW($A$3:$A$14312)),ROW(37:37)),2)),"",INDEX($A$3:$B$14312,SMALL(IF($A$3:$A$14312=CH$3,ROW($A$3:$A$14312)),ROW(37:37)),2))</f>
        <v/>
      </c>
      <c r="CI39" t="str">
        <f t="array" ref="CI39">IF(ISERROR(INDEX($A$3:$B$14312,SMALL(IF($A$3:$A$14312=CI$3,ROW($A$3:$A$14312)),ROW(37:37)),2)),"",INDEX($A$3:$B$14312,SMALL(IF($A$3:$A$14312=CI$3,ROW($A$3:$A$14312)),ROW(37:37)),2))</f>
        <v/>
      </c>
      <c r="CJ39" t="str">
        <f t="array" ref="CJ39">IF(ISERROR(INDEX($A$3:$B$14312,SMALL(IF($A$3:$A$14312=CJ$3,ROW($A$3:$A$14312)),ROW(37:37)),2)),"",INDEX($A$3:$B$14312,SMALL(IF($A$3:$A$14312=CJ$3,ROW($A$3:$A$14312)),ROW(37:37)),2))</f>
        <v/>
      </c>
      <c r="CK39" t="str">
        <f t="array" ref="CK39">IF(ISERROR(INDEX($A$3:$B$14312,SMALL(IF($A$3:$A$14312=CK$3,ROW($A$3:$A$14312)),ROW(37:37)),2)),"",INDEX($A$3:$B$14312,SMALL(IF($A$3:$A$14312=CK$3,ROW($A$3:$A$14312)),ROW(37:37)),2))</f>
        <v/>
      </c>
      <c r="CL39" t="str">
        <f t="array" ref="CL39">IF(ISERROR(INDEX($A$3:$B$14312,SMALL(IF($A$3:$A$14312=CL$3,ROW($A$3:$A$14312)),ROW(37:37)),2)),"",INDEX($A$3:$B$14312,SMALL(IF($A$3:$A$14312=CL$3,ROW($A$3:$A$14312)),ROW(37:37)),2))</f>
        <v/>
      </c>
      <c r="CM39" t="str">
        <f t="array" ref="CM39">IF(ISERROR(INDEX($A$3:$B$14312,SMALL(IF($A$3:$A$14312=CM$3,ROW($A$3:$A$14312)),ROW(37:37)),2)),"",INDEX($A$3:$B$14312,SMALL(IF($A$3:$A$14312=CM$3,ROW($A$3:$A$14312)),ROW(37:37)),2))</f>
        <v/>
      </c>
      <c r="CN39" t="str">
        <f t="array" ref="CN39">IF(ISERROR(INDEX($A$3:$B$14312,SMALL(IF($A$3:$A$14312=CN$3,ROW($A$3:$A$14312)),ROW(37:37)),2)),"",INDEX($A$3:$B$14312,SMALL(IF($A$3:$A$14312=CN$3,ROW($A$3:$A$14312)),ROW(37:37)),2))</f>
        <v/>
      </c>
      <c r="CO39" t="str">
        <f t="array" ref="CO39">IF(ISERROR(INDEX($A$3:$B$14312,SMALL(IF($A$3:$A$14312=CO$3,ROW($A$3:$A$14312)),ROW(37:37)),2)),"",INDEX($A$3:$B$14312,SMALL(IF($A$3:$A$14312=CO$3,ROW($A$3:$A$14312)),ROW(37:37)),2))</f>
        <v/>
      </c>
      <c r="CP39" t="str">
        <f t="array" ref="CP39">IF(ISERROR(INDEX($A$3:$B$14312,SMALL(IF($A$3:$A$14312=CP$3,ROW($A$3:$A$14312)),ROW(37:37)),2)),"",INDEX($A$3:$B$14312,SMALL(IF($A$3:$A$14312=CP$3,ROW($A$3:$A$14312)),ROW(37:37)),2))</f>
        <v/>
      </c>
      <c r="CQ39" t="str">
        <f t="array" ref="CQ39">IF(ISERROR(INDEX($A$3:$B$14312,SMALL(IF($A$3:$A$14312=CQ$3,ROW($A$3:$A$14312)),ROW(37:37)),2)),"",INDEX($A$3:$B$14312,SMALL(IF($A$3:$A$14312=CQ$3,ROW($A$3:$A$14312)),ROW(37:37)),2))</f>
        <v/>
      </c>
      <c r="CR39" t="str">
        <f t="array" ref="CR39">IF(ISERROR(INDEX($A$3:$B$14312,SMALL(IF($A$3:$A$14312=CR$3,ROW($A$3:$A$14312)),ROW(37:37)),2)),"",INDEX($A$3:$B$14312,SMALL(IF($A$3:$A$14312=CR$3,ROW($A$3:$A$14312)),ROW(37:37)),2))</f>
        <v/>
      </c>
      <c r="CS39" t="str">
        <f t="array" ref="CS39">IF(ISERROR(INDEX($A$3:$B$14312,SMALL(IF($A$3:$A$14312=CS$3,ROW($A$3:$A$14312)),ROW(37:37)),2)),"",INDEX($A$3:$B$14312,SMALL(IF($A$3:$A$14312=CS$3,ROW($A$3:$A$14312)),ROW(37:37)),2))</f>
        <v/>
      </c>
      <c r="CT39" t="str">
        <f t="array" ref="CT39">IF(ISERROR(INDEX($A$3:$B$14312,SMALL(IF($A$3:$A$14312=CT$3,ROW($A$3:$A$14312)),ROW(37:37)),2)),"",INDEX($A$3:$B$14312,SMALL(IF($A$3:$A$14312=CT$3,ROW($A$3:$A$14312)),ROW(37:37)),2))</f>
        <v/>
      </c>
      <c r="CU39" t="str">
        <f t="array" ref="CU39">IF(ISERROR(INDEX($A$3:$B$14312,SMALL(IF($A$3:$A$14312=CU$3,ROW($A$3:$A$14312)),ROW(37:37)),2)),"",INDEX($A$3:$B$14312,SMALL(IF($A$3:$A$14312=CU$3,ROW($A$3:$A$14312)),ROW(37:37)),2))</f>
        <v/>
      </c>
      <c r="CV39" t="str">
        <f t="array" ref="CV39">IF(ISERROR(INDEX($A$3:$B$14312,SMALL(IF($A$3:$A$14312=CV$3,ROW($A$3:$A$14312)),ROW(37:37)),2)),"",INDEX($A$3:$B$14312,SMALL(IF($A$3:$A$14312=CV$3,ROW($A$3:$A$14312)),ROW(37:37)),2))</f>
        <v/>
      </c>
      <c r="CW39" t="str">
        <f t="array" ref="CW39">IF(ISERROR(INDEX($A$3:$B$14312,SMALL(IF($A$3:$A$14312=CW$3,ROW($A$3:$A$14312)),ROW(37:37)),2)),"",INDEX($A$3:$B$14312,SMALL(IF($A$3:$A$14312=CW$3,ROW($A$3:$A$14312)),ROW(37:37)),2))</f>
        <v/>
      </c>
      <c r="CX39" t="str">
        <f t="array" ref="CX39">IF(ISERROR(INDEX($A$3:$B$14312,SMALL(IF($A$3:$A$14312=CX$3,ROW($A$3:$A$14312)),ROW(37:37)),2)),"",INDEX($A$3:$B$14312,SMALL(IF($A$3:$A$14312=CX$3,ROW($A$3:$A$14312)),ROW(37:37)),2))</f>
        <v/>
      </c>
      <c r="CY39" t="str">
        <f t="array" ref="CY39">IF(ISERROR(INDEX($A$3:$B$14312,SMALL(IF($A$3:$A$14312=CY$3,ROW($A$3:$A$14312)),ROW(37:37)),2)),"",INDEX($A$3:$B$14312,SMALL(IF($A$3:$A$14312=CY$3,ROW($A$3:$A$14312)),ROW(37:37)),2))</f>
        <v/>
      </c>
      <c r="CZ39" t="str">
        <f t="array" ref="CZ39">IF(ISERROR(INDEX($A$3:$B$14312,SMALL(IF($A$3:$A$14312=CZ$3,ROW($A$3:$A$14312)),ROW(37:37)),2)),"",INDEX($A$3:$B$14312,SMALL(IF($A$3:$A$14312=CZ$3,ROW($A$3:$A$14312)),ROW(37:37)),2))</f>
        <v/>
      </c>
      <c r="DA39" t="str">
        <f t="array" ref="DA39">IF(ISERROR(INDEX($A$3:$B$14312,SMALL(IF($A$3:$A$14312=DA$3,ROW($A$3:$A$14312)),ROW(37:37)),2)),"",INDEX($A$3:$B$14312,SMALL(IF($A$3:$A$14312=DA$3,ROW($A$3:$A$14312)),ROW(37:37)),2))</f>
        <v/>
      </c>
      <c r="DB39" t="str">
        <f t="array" ref="DB39">IF(ISERROR(INDEX($A$3:$B$14312,SMALL(IF($A$3:$A$14312=DB$3,ROW($A$3:$A$14312)),ROW(37:37)),2)),"",INDEX($A$3:$B$14312,SMALL(IF($A$3:$A$14312=DB$3,ROW($A$3:$A$14312)),ROW(37:37)),2))</f>
        <v/>
      </c>
      <c r="DC39" t="str">
        <f t="array" ref="DC39">IF(ISERROR(INDEX($A$3:$B$14312,SMALL(IF($A$3:$A$14312=DC$3,ROW($A$3:$A$14312)),ROW(37:37)),2)),"",INDEX($A$3:$B$14312,SMALL(IF($A$3:$A$14312=DC$3,ROW($A$3:$A$14312)),ROW(37:37)),2))</f>
        <v/>
      </c>
      <c r="DD39" t="str">
        <f t="array" ref="DD39">IF(ISERROR(INDEX($A$3:$B$14312,SMALL(IF($A$3:$A$14312=DD$3,ROW($A$3:$A$14312)),ROW(37:37)),2)),"",INDEX($A$3:$B$14312,SMALL(IF($A$3:$A$14312=DD$3,ROW($A$3:$A$14312)),ROW(37:37)),2))</f>
        <v/>
      </c>
      <c r="DE39" t="str">
        <f t="array" ref="DE39">IF(ISERROR(INDEX($A$3:$B$14312,SMALL(IF($A$3:$A$14312=DE$3,ROW($A$3:$A$14312)),ROW(37:37)),2)),"",INDEX($A$3:$B$14312,SMALL(IF($A$3:$A$14312=DE$3,ROW($A$3:$A$14312)),ROW(37:37)),2))</f>
        <v/>
      </c>
      <c r="DF39" t="str">
        <f t="array" ref="DF39">IF(ISERROR(INDEX($A$3:$B$14312,SMALL(IF($A$3:$A$14312=DF$3,ROW($A$3:$A$14312)),ROW(37:37)),2)),"",INDEX($A$3:$B$14312,SMALL(IF($A$3:$A$14312=DF$3,ROW($A$3:$A$14312)),ROW(37:37)),2))</f>
        <v/>
      </c>
      <c r="DG39" t="str">
        <f t="array" ref="DG39">IF(ISERROR(INDEX($A$3:$B$14312,SMALL(IF($A$3:$A$14312=DG$3,ROW($A$3:$A$14312)),ROW(37:37)),2)),"",INDEX($A$3:$B$14312,SMALL(IF($A$3:$A$14312=DG$3,ROW($A$3:$A$14312)),ROW(37:37)),2))</f>
        <v/>
      </c>
      <c r="DH39" t="str">
        <f t="array" ref="DH39">IF(ISERROR(INDEX($A$3:$B$14312,SMALL(IF($A$3:$A$14312=DH$3,ROW($A$3:$A$14312)),ROW(37:37)),2)),"",INDEX($A$3:$B$14312,SMALL(IF($A$3:$A$14312=DH$3,ROW($A$3:$A$14312)),ROW(37:37)),2))</f>
        <v/>
      </c>
      <c r="DI39" t="str">
        <f t="array" ref="DI39">IF(ISERROR(INDEX($A$3:$B$14312,SMALL(IF($A$3:$A$14312=DI$3,ROW($A$3:$A$14312)),ROW(37:37)),2)),"",INDEX($A$3:$B$14312,SMALL(IF($A$3:$A$14312=DI$3,ROW($A$3:$A$14312)),ROW(37:37)),2))</f>
        <v>Router3_103</v>
      </c>
      <c r="DJ39" t="str">
        <f t="array" ref="DJ39">IF(ISERROR(INDEX($A$3:$B$14312,SMALL(IF($A$3:$A$14312=DJ$3,ROW($A$3:$A$14312)),ROW(37:37)),2)),"",INDEX($A$3:$B$14312,SMALL(IF($A$3:$A$14312=DJ$3,ROW($A$3:$A$14312)),ROW(37:37)),2))</f>
        <v/>
      </c>
      <c r="DK39" t="str">
        <f t="array" ref="DK39">IF(ISERROR(INDEX($A$3:$B$14312,SMALL(IF($A$3:$A$14312=DK$3,ROW($A$3:$A$14312)),ROW(37:37)),2)),"",INDEX($A$3:$B$14312,SMALL(IF($A$3:$A$14312=DK$3,ROW($A$3:$A$14312)),ROW(37:37)),2))</f>
        <v/>
      </c>
      <c r="DL39" t="str">
        <f t="array" ref="DL39">IF(ISERROR(INDEX($A$3:$B$14312,SMALL(IF($A$3:$A$14312=DL$3,ROW($A$3:$A$14312)),ROW(37:37)),2)),"",INDEX($A$3:$B$14312,SMALL(IF($A$3:$A$14312=DL$3,ROW($A$3:$A$14312)),ROW(37:37)),2))</f>
        <v/>
      </c>
      <c r="DM39" t="str">
        <f t="array" ref="DM39">IF(ISERROR(INDEX($A$3:$B$14312,SMALL(IF($A$3:$A$14312=DM$3,ROW($A$3:$A$14312)),ROW(37:37)),2)),"",INDEX($A$3:$B$14312,SMALL(IF($A$3:$A$14312=DM$3,ROW($A$3:$A$14312)),ROW(37:37)),2))</f>
        <v/>
      </c>
      <c r="DN39" t="str">
        <f t="array" ref="DN39">IF(ISERROR(INDEX($A$3:$B$14312,SMALL(IF($A$3:$A$14312=DN$3,ROW($A$3:$A$14312)),ROW(37:37)),2)),"",INDEX($A$3:$B$14312,SMALL(IF($A$3:$A$14312=DN$3,ROW($A$3:$A$14312)),ROW(37:37)),2))</f>
        <v/>
      </c>
      <c r="DO39" t="str">
        <f t="array" ref="DO39">IF(ISERROR(INDEX($A$3:$B$14312,SMALL(IF($A$3:$A$14312=DO$3,ROW($A$3:$A$14312)),ROW(37:37)),2)),"",INDEX($A$3:$B$14312,SMALL(IF($A$3:$A$14312=DO$3,ROW($A$3:$A$14312)),ROW(37:37)),2))</f>
        <v/>
      </c>
      <c r="DP39" t="str">
        <f t="array" ref="DP39">IF(ISERROR(INDEX($A$3:$B$14312,SMALL(IF($A$3:$A$14312=DP$3,ROW($A$3:$A$14312)),ROW(37:37)),2)),"",INDEX($A$3:$B$14312,SMALL(IF($A$3:$A$14312=DP$3,ROW($A$3:$A$14312)),ROW(37:37)),2))</f>
        <v/>
      </c>
      <c r="DQ39" t="str">
        <f t="array" ref="DQ39">IF(ISERROR(INDEX($A$3:$B$14312,SMALL(IF($A$3:$A$14312=DQ$3,ROW($A$3:$A$14312)),ROW(37:37)),2)),"",INDEX($A$3:$B$14312,SMALL(IF($A$3:$A$14312=DQ$3,ROW($A$3:$A$14312)),ROW(37:37)),2))</f>
        <v/>
      </c>
      <c r="DR39" t="str">
        <f t="array" ref="DR39">IF(ISERROR(INDEX($A$3:$B$14312,SMALL(IF($A$3:$A$14312=DR$3,ROW($A$3:$A$14312)),ROW(37:37)),2)),"",INDEX($A$3:$B$14312,SMALL(IF($A$3:$A$14312=DR$3,ROW($A$3:$A$14312)),ROW(37:37)),2))</f>
        <v>Router3_9</v>
      </c>
      <c r="DS39" t="str">
        <f t="array" ref="DS39">IF(ISERROR(INDEX($A$3:$B$14312,SMALL(IF($A$3:$A$14312=DS$3,ROW($A$3:$A$14312)),ROW(37:37)),2)),"",INDEX($A$3:$B$14312,SMALL(IF($A$3:$A$14312=DS$3,ROW($A$3:$A$14312)),ROW(37:37)),2))</f>
        <v/>
      </c>
      <c r="DT39" t="str">
        <f t="array" ref="DT39">IF(ISERROR(INDEX($A$3:$B$14312,SMALL(IF($A$3:$A$14312=DT$3,ROW($A$3:$A$14312)),ROW(37:37)),2)),"",INDEX($A$3:$B$14312,SMALL(IF($A$3:$A$14312=DT$3,ROW($A$3:$A$14312)),ROW(37:37)),2))</f>
        <v>Router3_103</v>
      </c>
      <c r="DU39" t="str">
        <f t="array" ref="DU39">IF(ISERROR(INDEX($A$3:$B$14312,SMALL(IF($A$3:$A$14312=DU$3,ROW($A$3:$A$14312)),ROW(37:37)),2)),"",INDEX($A$3:$B$14312,SMALL(IF($A$3:$A$14312=DU$3,ROW($A$3:$A$14312)),ROW(37:37)),2))</f>
        <v>Router3_154</v>
      </c>
      <c r="DV39" t="str">
        <f t="array" ref="DV39">IF(ISERROR(INDEX($A$3:$B$14312,SMALL(IF($A$3:$A$14312=DV$3,ROW($A$3:$A$14312)),ROW(37:37)),2)),"",INDEX($A$3:$B$14312,SMALL(IF($A$3:$A$14312=DV$3,ROW($A$3:$A$14312)),ROW(37:37)),2))</f>
        <v/>
      </c>
      <c r="DW39" t="str">
        <f t="array" ref="DW39">IF(ISERROR(INDEX($A$3:$B$14312,SMALL(IF($A$3:$A$14312=DW$3,ROW($A$3:$A$14312)),ROW(37:37)),2)),"",INDEX($A$3:$B$14312,SMALL(IF($A$3:$A$14312=DW$3,ROW($A$3:$A$14312)),ROW(37:37)),2))</f>
        <v/>
      </c>
      <c r="DX39" t="str">
        <f t="array" ref="DX39">IF(ISERROR(INDEX($A$3:$B$14312,SMALL(IF($A$3:$A$14312=DX$3,ROW($A$3:$A$14312)),ROW(37:37)),2)),"",INDEX($A$3:$B$14312,SMALL(IF($A$3:$A$14312=DX$3,ROW($A$3:$A$14312)),ROW(37:37)),2))</f>
        <v/>
      </c>
      <c r="DY39" t="str">
        <f t="array" ref="DY39">IF(ISERROR(INDEX($A$3:$B$14312,SMALL(IF($A$3:$A$14312=DY$3,ROW($A$3:$A$14312)),ROW(37:37)),2)),"",INDEX($A$3:$B$14312,SMALL(IF($A$3:$A$14312=DY$3,ROW($A$3:$A$14312)),ROW(37:37)),2))</f>
        <v/>
      </c>
      <c r="DZ39" t="str">
        <f t="array" ref="DZ39">IF(ISERROR(INDEX($A$3:$B$14312,SMALL(IF($A$3:$A$14312=DZ$3,ROW($A$3:$A$14312)),ROW(37:37)),2)),"",INDEX($A$3:$B$14312,SMALL(IF($A$3:$A$14312=DZ$3,ROW($A$3:$A$14312)),ROW(37:37)),2))</f>
        <v/>
      </c>
      <c r="EA39" t="str">
        <f t="array" ref="EA39">IF(ISERROR(INDEX($A$3:$B$14312,SMALL(IF($A$3:$A$14312=EA$3,ROW($A$3:$A$14312)),ROW(37:37)),2)),"",INDEX($A$3:$B$14312,SMALL(IF($A$3:$A$14312=EA$3,ROW($A$3:$A$14312)),ROW(37:37)),2))</f>
        <v/>
      </c>
      <c r="EB39" t="str">
        <f t="array" ref="EB39">IF(ISERROR(INDEX($A$3:$B$14312,SMALL(IF($A$3:$A$14312=EB$3,ROW($A$3:$A$14312)),ROW(37:37)),2)),"",INDEX($A$3:$B$14312,SMALL(IF($A$3:$A$14312=EB$3,ROW($A$3:$A$14312)),ROW(37:37)),2))</f>
        <v/>
      </c>
      <c r="EC39" t="str">
        <f t="array" ref="EC39">IF(ISERROR(INDEX($A$3:$B$14312,SMALL(IF($A$3:$A$14312=EC$3,ROW($A$3:$A$14312)),ROW(37:37)),2)),"",INDEX($A$3:$B$14312,SMALL(IF($A$3:$A$14312=EC$3,ROW($A$3:$A$14312)),ROW(37:37)),2))</f>
        <v>Router3_147</v>
      </c>
      <c r="ED39" t="str">
        <f t="array" ref="ED39">IF(ISERROR(INDEX($A$3:$B$14312,SMALL(IF($A$3:$A$14312=ED$3,ROW($A$3:$A$14312)),ROW(37:37)),2)),"",INDEX($A$3:$B$14312,SMALL(IF($A$3:$A$14312=ED$3,ROW($A$3:$A$14312)),ROW(37:37)),2))</f>
        <v>Router3_159</v>
      </c>
      <c r="EE39" t="str">
        <f t="array" ref="EE39">IF(ISERROR(INDEX($A$3:$B$14312,SMALL(IF($A$3:$A$14312=EE$3,ROW($A$3:$A$14312)),ROW(37:37)),2)),"",INDEX($A$3:$B$14312,SMALL(IF($A$3:$A$14312=EE$3,ROW($A$3:$A$14312)),ROW(37:37)),2))</f>
        <v/>
      </c>
    </row>
    <row r="40" spans="1:135" x14ac:dyDescent="0.25">
      <c r="A40" s="10">
        <v>-450827381</v>
      </c>
      <c r="B40" t="s">
        <v>1095</v>
      </c>
      <c r="E40" t="str">
        <f t="array" ref="E40">IF(ISERROR(INDEX($A$3:$B$14312,SMALL(IF($A$3:$A$14312=E$3,ROW($A$3:$A$14312)),ROW(38:38)),2)),"",INDEX($A$3:$B$14312,SMALL(IF($A$3:$A$14312=E$3,ROW($A$3:$A$14312)),ROW(38:38)),2))</f>
        <v/>
      </c>
      <c r="F40" t="str">
        <f t="array" ref="F40">IF(ISERROR(INDEX($A$3:$B$14312,SMALL(IF($A$3:$A$14312=F$3,ROW($A$3:$A$14312)),ROW(38:38)),2)),"",INDEX($A$3:$B$14312,SMALL(IF($A$3:$A$14312=F$3,ROW($A$3:$A$14312)),ROW(38:38)),2))</f>
        <v/>
      </c>
      <c r="G40" t="str">
        <f t="array" ref="G40">IF(ISERROR(INDEX($A$3:$B$14312,SMALL(IF($A$3:$A$14312=G$3,ROW($A$3:$A$14312)),ROW(38:38)),2)),"",INDEX($A$3:$B$14312,SMALL(IF($A$3:$A$14312=G$3,ROW($A$3:$A$14312)),ROW(38:38)),2))</f>
        <v/>
      </c>
      <c r="H40" t="str">
        <f t="array" ref="H40">IF(ISERROR(INDEX($A$3:$B$14312,SMALL(IF($A$3:$A$14312=H$3,ROW($A$3:$A$14312)),ROW(38:38)),2)),"",INDEX($A$3:$B$14312,SMALL(IF($A$3:$A$14312=H$3,ROW($A$3:$A$14312)),ROW(38:38)),2))</f>
        <v/>
      </c>
      <c r="I40" t="str">
        <f t="array" ref="I40">IF(ISERROR(INDEX($A$3:$B$14312,SMALL(IF($A$3:$A$14312=I$3,ROW($A$3:$A$14312)),ROW(38:38)),2)),"",INDEX($A$3:$B$14312,SMALL(IF($A$3:$A$14312=I$3,ROW($A$3:$A$14312)),ROW(38:38)),2))</f>
        <v/>
      </c>
      <c r="J40" t="str">
        <f t="array" ref="J40">IF(ISERROR(INDEX($A$3:$B$14312,SMALL(IF($A$3:$A$14312=J$3,ROW($A$3:$A$14312)),ROW(38:38)),2)),"",INDEX($A$3:$B$14312,SMALL(IF($A$3:$A$14312=J$3,ROW($A$3:$A$14312)),ROW(38:38)),2))</f>
        <v/>
      </c>
      <c r="K40" t="str">
        <f t="array" ref="K40">IF(ISERROR(INDEX($A$3:$B$14312,SMALL(IF($A$3:$A$14312=K$3,ROW($A$3:$A$14312)),ROW(38:38)),2)),"",INDEX($A$3:$B$14312,SMALL(IF($A$3:$A$14312=K$3,ROW($A$3:$A$14312)),ROW(38:38)),2))</f>
        <v/>
      </c>
      <c r="L40" t="str">
        <f t="array" ref="L40">IF(ISERROR(INDEX($A$3:$B$14312,SMALL(IF($A$3:$A$14312=L$3,ROW($A$3:$A$14312)),ROW(38:38)),2)),"",INDEX($A$3:$B$14312,SMALL(IF($A$3:$A$14312=L$3,ROW($A$3:$A$14312)),ROW(38:38)),2))</f>
        <v/>
      </c>
      <c r="M40" t="str">
        <f t="array" ref="M40">IF(ISERROR(INDEX($A$3:$B$14312,SMALL(IF($A$3:$A$14312=M$3,ROW($A$3:$A$14312)),ROW(38:38)),2)),"",INDEX($A$3:$B$14312,SMALL(IF($A$3:$A$14312=M$3,ROW($A$3:$A$14312)),ROW(38:38)),2))</f>
        <v/>
      </c>
      <c r="N40" t="str">
        <f t="array" ref="N40">IF(ISERROR(INDEX($A$3:$B$14312,SMALL(IF($A$3:$A$14312=N$3,ROW($A$3:$A$14312)),ROW(38:38)),2)),"",INDEX($A$3:$B$14312,SMALL(IF($A$3:$A$14312=N$3,ROW($A$3:$A$14312)),ROW(38:38)),2))</f>
        <v/>
      </c>
      <c r="O40" t="str">
        <f t="array" ref="O40">IF(ISERROR(INDEX($A$3:$B$14312,SMALL(IF($A$3:$A$14312=O$3,ROW($A$3:$A$14312)),ROW(38:38)),2)),"",INDEX($A$3:$B$14312,SMALL(IF($A$3:$A$14312=O$3,ROW($A$3:$A$14312)),ROW(38:38)),2))</f>
        <v/>
      </c>
      <c r="P40" t="str">
        <f t="array" ref="P40">IF(ISERROR(INDEX($A$3:$B$14312,SMALL(IF($A$3:$A$14312=P$3,ROW($A$3:$A$14312)),ROW(38:38)),2)),"",INDEX($A$3:$B$14312,SMALL(IF($A$3:$A$14312=P$3,ROW($A$3:$A$14312)),ROW(38:38)),2))</f>
        <v/>
      </c>
      <c r="Q40" t="str">
        <f t="array" ref="Q40">IF(ISERROR(INDEX($A$3:$B$14312,SMALL(IF($A$3:$A$14312=Q$3,ROW($A$3:$A$14312)),ROW(38:38)),2)),"",INDEX($A$3:$B$14312,SMALL(IF($A$3:$A$14312=Q$3,ROW($A$3:$A$14312)),ROW(38:38)),2))</f>
        <v/>
      </c>
      <c r="R40" t="str">
        <f t="array" ref="R40">IF(ISERROR(INDEX($A$3:$B$14312,SMALL(IF($A$3:$A$14312=R$3,ROW($A$3:$A$14312)),ROW(38:38)),2)),"",INDEX($A$3:$B$14312,SMALL(IF($A$3:$A$14312=R$3,ROW($A$3:$A$14312)),ROW(38:38)),2))</f>
        <v/>
      </c>
      <c r="S40" t="str">
        <f t="array" ref="S40">IF(ISERROR(INDEX($A$3:$B$14312,SMALL(IF($A$3:$A$14312=S$3,ROW($A$3:$A$14312)),ROW(38:38)),2)),"",INDEX($A$3:$B$14312,SMALL(IF($A$3:$A$14312=S$3,ROW($A$3:$A$14312)),ROW(38:38)),2))</f>
        <v/>
      </c>
      <c r="T40" t="str">
        <f t="array" ref="T40">IF(ISERROR(INDEX($A$3:$B$14312,SMALL(IF($A$3:$A$14312=T$3,ROW($A$3:$A$14312)),ROW(38:38)),2)),"",INDEX($A$3:$B$14312,SMALL(IF($A$3:$A$14312=T$3,ROW($A$3:$A$14312)),ROW(38:38)),2))</f>
        <v/>
      </c>
      <c r="U40" t="str">
        <f t="array" ref="U40">IF(ISERROR(INDEX($A$3:$B$14312,SMALL(IF($A$3:$A$14312=U$3,ROW($A$3:$A$14312)),ROW(38:38)),2)),"",INDEX($A$3:$B$14312,SMALL(IF($A$3:$A$14312=U$3,ROW($A$3:$A$14312)),ROW(38:38)),2))</f>
        <v/>
      </c>
      <c r="V40" t="str">
        <f t="array" ref="V40">IF(ISERROR(INDEX($A$3:$B$14312,SMALL(IF($A$3:$A$14312=V$3,ROW($A$3:$A$14312)),ROW(38:38)),2)),"",INDEX($A$3:$B$14312,SMALL(IF($A$3:$A$14312=V$3,ROW($A$3:$A$14312)),ROW(38:38)),2))</f>
        <v/>
      </c>
      <c r="W40" t="str">
        <f t="array" ref="W40">IF(ISERROR(INDEX($A$3:$B$14312,SMALL(IF($A$3:$A$14312=W$3,ROW($A$3:$A$14312)),ROW(38:38)),2)),"",INDEX($A$3:$B$14312,SMALL(IF($A$3:$A$14312=W$3,ROW($A$3:$A$14312)),ROW(38:38)),2))</f>
        <v>Router3_149</v>
      </c>
      <c r="X40" t="str">
        <f t="array" ref="X40">IF(ISERROR(INDEX($A$3:$B$14312,SMALL(IF($A$3:$A$14312=X$3,ROW($A$3:$A$14312)),ROW(38:38)),2)),"",INDEX($A$3:$B$14312,SMALL(IF($A$3:$A$14312=X$3,ROW($A$3:$A$14312)),ROW(38:38)),2))</f>
        <v/>
      </c>
      <c r="Y40" t="str">
        <f t="array" ref="Y40">IF(ISERROR(INDEX($A$3:$B$14312,SMALL(IF($A$3:$A$14312=Y$3,ROW($A$3:$A$14312)),ROW(38:38)),2)),"",INDEX($A$3:$B$14312,SMALL(IF($A$3:$A$14312=Y$3,ROW($A$3:$A$14312)),ROW(38:38)),2))</f>
        <v/>
      </c>
      <c r="Z40" t="str">
        <f t="array" ref="Z40">IF(ISERROR(INDEX($A$3:$B$14312,SMALL(IF($A$3:$A$14312=Z$3,ROW($A$3:$A$14312)),ROW(38:38)),2)),"",INDEX($A$3:$B$14312,SMALL(IF($A$3:$A$14312=Z$3,ROW($A$3:$A$14312)),ROW(38:38)),2))</f>
        <v/>
      </c>
      <c r="AA40" t="str">
        <f t="array" ref="AA40">IF(ISERROR(INDEX($A$3:$B$14312,SMALL(IF($A$3:$A$14312=AA$3,ROW($A$3:$A$14312)),ROW(38:38)),2)),"",INDEX($A$3:$B$14312,SMALL(IF($A$3:$A$14312=AA$3,ROW($A$3:$A$14312)),ROW(38:38)),2))</f>
        <v/>
      </c>
      <c r="AB40" t="str">
        <f>IF(ISERROR(INDEX($A$3:$B$14312,SMALL(IF($A$3:$A$14312=AB$3,ROW($A$3:$A$14312)),ROW(38:38)),2)),"",INDEX($A$3:$B$14312,SMALL(IF($A$3:$A$14312=AB$3,ROW($A$3:$A$14312)),ROW(38:38)),2))</f>
        <v/>
      </c>
      <c r="AC40" t="str">
        <f t="array" ref="AC40">IF(ISERROR(INDEX($A$3:$B$14312,SMALL(IF($A$3:$A$14312=AC$3,ROW($A$3:$A$14312)),ROW(38:38)),2)),"",INDEX($A$3:$B$14312,SMALL(IF($A$3:$A$14312=AC$3,ROW($A$3:$A$14312)),ROW(38:38)),2))</f>
        <v/>
      </c>
      <c r="AD40" t="str">
        <f t="array" ref="AD40">IF(ISERROR(INDEX($A$3:$B$14312,SMALL(IF($A$3:$A$14312=AD$3,ROW($A$3:$A$14312)),ROW(38:38)),2)),"",INDEX($A$3:$B$14312,SMALL(IF($A$3:$A$14312=AD$3,ROW($A$3:$A$14312)),ROW(38:38)),2))</f>
        <v/>
      </c>
      <c r="AE40" t="str">
        <f t="array" ref="AE40">IF(ISERROR(INDEX($A$3:$B$14312,SMALL(IF($A$3:$A$14312=AE$3,ROW($A$3:$A$14312)),ROW(38:38)),2)),"",INDEX($A$3:$B$14312,SMALL(IF($A$3:$A$14312=AE$3,ROW($A$3:$A$14312)),ROW(38:38)),2))</f>
        <v/>
      </c>
      <c r="AF40" t="str">
        <f t="array" ref="AF40">IF(ISERROR(INDEX($A$3:$B$14312,SMALL(IF($A$3:$A$14312=AF$3,ROW($A$3:$A$14312)),ROW(38:38)),2)),"",INDEX($A$3:$B$14312,SMALL(IF($A$3:$A$14312=AF$3,ROW($A$3:$A$14312)),ROW(38:38)),2))</f>
        <v/>
      </c>
      <c r="AG40" t="str">
        <f t="array" ref="AG40">IF(ISERROR(INDEX($A$3:$B$14312,SMALL(IF($A$3:$A$14312=AG$3,ROW($A$3:$A$14312)),ROW(38:38)),2)),"",INDEX($A$3:$B$14312,SMALL(IF($A$3:$A$14312=AG$3,ROW($A$3:$A$14312)),ROW(38:38)),2))</f>
        <v/>
      </c>
      <c r="AH40" t="str">
        <f t="array" ref="AH40">IF(ISERROR(INDEX($A$3:$B$14312,SMALL(IF($A$3:$A$14312=AH$3,ROW($A$3:$A$14312)),ROW(38:38)),2)),"",INDEX($A$3:$B$14312,SMALL(IF($A$3:$A$14312=AH$3,ROW($A$3:$A$14312)),ROW(38:38)),2))</f>
        <v/>
      </c>
      <c r="AI40" t="str">
        <f t="array" ref="AI40">IF(ISERROR(INDEX($A$3:$B$14312,SMALL(IF($A$3:$A$14312=AI$3,ROW($A$3:$A$14312)),ROW(38:38)),2)),"",INDEX($A$3:$B$14312,SMALL(IF($A$3:$A$14312=AI$3,ROW($A$3:$A$14312)),ROW(38:38)),2))</f>
        <v/>
      </c>
      <c r="AJ40" t="str">
        <f t="array" ref="AJ40">IF(ISERROR(INDEX($A$3:$B$14312,SMALL(IF($A$3:$A$14312=AJ$3,ROW($A$3:$A$14312)),ROW(38:38)),2)),"",INDEX($A$3:$B$14312,SMALL(IF($A$3:$A$14312=AJ$3,ROW($A$3:$A$14312)),ROW(38:38)),2))</f>
        <v/>
      </c>
      <c r="AK40" t="str">
        <f t="array" ref="AK40">IF(ISERROR(INDEX($A$3:$B$14312,SMALL(IF($A$3:$A$14312=AK$3,ROW($A$3:$A$14312)),ROW(38:38)),2)),"",INDEX($A$3:$B$14312,SMALL(IF($A$3:$A$14312=AK$3,ROW($A$3:$A$14312)),ROW(38:38)),2))</f>
        <v/>
      </c>
      <c r="AL40" t="str">
        <f t="array" ref="AL40">IF(ISERROR(INDEX($A$3:$B$14312,SMALL(IF($A$3:$A$14312=AL$3,ROW($A$3:$A$14312)),ROW(38:38)),2)),"",INDEX($A$3:$B$14312,SMALL(IF($A$3:$A$14312=AL$3,ROW($A$3:$A$14312)),ROW(38:38)),2))</f>
        <v/>
      </c>
      <c r="AM40" t="str">
        <f t="array" ref="AM40">IF(ISERROR(INDEX($A$3:$B$14312,SMALL(IF($A$3:$A$14312=AM$3,ROW($A$3:$A$14312)),ROW(38:38)),2)),"",INDEX($A$3:$B$14312,SMALL(IF($A$3:$A$14312=AM$3,ROW($A$3:$A$14312)),ROW(38:38)),2))</f>
        <v>Router3_158</v>
      </c>
      <c r="AN40" t="str">
        <f t="array" ref="AN40">IF(ISERROR(INDEX($A$3:$B$14312,SMALL(IF($A$3:$A$14312=AN$3,ROW($A$3:$A$14312)),ROW(38:38)),2)),"",INDEX($A$3:$B$14312,SMALL(IF($A$3:$A$14312=AN$3,ROW($A$3:$A$14312)),ROW(38:38)),2))</f>
        <v/>
      </c>
      <c r="AO40" t="str">
        <f t="array" ref="AO40">IF(ISERROR(INDEX($A$3:$B$14312,SMALL(IF($A$3:$A$14312=AO$3,ROW($A$3:$A$14312)),ROW(38:38)),2)),"",INDEX($A$3:$B$14312,SMALL(IF($A$3:$A$14312=AO$3,ROW($A$3:$A$14312)),ROW(38:38)),2))</f>
        <v/>
      </c>
      <c r="AP40" t="str">
        <f t="array" ref="AP40">IF(ISERROR(INDEX($A$3:$B$14312,SMALL(IF($A$3:$A$14312=AP$3,ROW($A$3:$A$14312)),ROW(38:38)),2)),"",INDEX($A$3:$B$14312,SMALL(IF($A$3:$A$14312=AP$3,ROW($A$3:$A$14312)),ROW(38:38)),2))</f>
        <v/>
      </c>
      <c r="AQ40" t="str">
        <f t="array" ref="AQ40">IF(ISERROR(INDEX($A$3:$B$14312,SMALL(IF($A$3:$A$14312=AQ$3,ROW($A$3:$A$14312)),ROW(38:38)),2)),"",INDEX($A$3:$B$14312,SMALL(IF($A$3:$A$14312=AQ$3,ROW($A$3:$A$14312)),ROW(38:38)),2))</f>
        <v/>
      </c>
      <c r="AR40" t="str">
        <f t="array" ref="AR40">IF(ISERROR(INDEX($A$3:$B$14312,SMALL(IF($A$3:$A$14312=AR$3,ROW($A$3:$A$14312)),ROW(38:38)),2)),"",INDEX($A$3:$B$14312,SMALL(IF($A$3:$A$14312=AR$3,ROW($A$3:$A$14312)),ROW(38:38)),2))</f>
        <v/>
      </c>
      <c r="AS40" t="str">
        <f t="array" ref="AS40">IF(ISERROR(INDEX($A$3:$B$14312,SMALL(IF($A$3:$A$14312=AS$3,ROW($A$3:$A$14312)),ROW(38:38)),2)),"",INDEX($A$3:$B$14312,SMALL(IF($A$3:$A$14312=AS$3,ROW($A$3:$A$14312)),ROW(38:38)),2))</f>
        <v/>
      </c>
      <c r="AT40" t="str">
        <f t="array" ref="AT40">IF(ISERROR(INDEX($A$3:$B$14312,SMALL(IF($A$3:$A$14312=AT$3,ROW($A$3:$A$14312)),ROW(38:38)),2)),"",INDEX($A$3:$B$14312,SMALL(IF($A$3:$A$14312=AT$3,ROW($A$3:$A$14312)),ROW(38:38)),2))</f>
        <v/>
      </c>
      <c r="AU40" t="str">
        <f t="array" ref="AU40">IF(ISERROR(INDEX($A$3:$B$14312,SMALL(IF($A$3:$A$14312=AU$3,ROW($A$3:$A$14312)),ROW(38:38)),2)),"",INDEX($A$3:$B$14312,SMALL(IF($A$3:$A$14312=AU$3,ROW($A$3:$A$14312)),ROW(38:38)),2))</f>
        <v/>
      </c>
      <c r="AV40" t="str">
        <f t="array" ref="AV40">IF(ISERROR(INDEX($A$3:$B$14312,SMALL(IF($A$3:$A$14312=AV$3,ROW($A$3:$A$14312)),ROW(38:38)),2)),"",INDEX($A$3:$B$14312,SMALL(IF($A$3:$A$14312=AV$3,ROW($A$3:$A$14312)),ROW(38:38)),2))</f>
        <v/>
      </c>
      <c r="AW40" t="str">
        <f t="array" ref="AW40">IF(ISERROR(INDEX($A$3:$B$14312,SMALL(IF($A$3:$A$14312=AW$3,ROW($A$3:$A$14312)),ROW(38:38)),2)),"",INDEX($A$3:$B$14312,SMALL(IF($A$3:$A$14312=AW$3,ROW($A$3:$A$14312)),ROW(38:38)),2))</f>
        <v/>
      </c>
      <c r="AX40" t="str">
        <f t="array" ref="AX40">IF(ISERROR(INDEX($A$3:$B$14312,SMALL(IF($A$3:$A$14312=AX$3,ROW($A$3:$A$14312)),ROW(38:38)),2)),"",INDEX($A$3:$B$14312,SMALL(IF($A$3:$A$14312=AX$3,ROW($A$3:$A$14312)),ROW(38:38)),2))</f>
        <v/>
      </c>
      <c r="AY40" t="str">
        <f t="array" ref="AY40">IF(ISERROR(INDEX($A$3:$B$14312,SMALL(IF($A$3:$A$14312=AY$3,ROW($A$3:$A$14312)),ROW(38:38)),2)),"",INDEX($A$3:$B$14312,SMALL(IF($A$3:$A$14312=AY$3,ROW($A$3:$A$14312)),ROW(38:38)),2))</f>
        <v>Router3_160</v>
      </c>
      <c r="AZ40" t="str">
        <f t="array" ref="AZ40">IF(ISERROR(INDEX($A$3:$B$14312,SMALL(IF($A$3:$A$14312=AZ$3,ROW($A$3:$A$14312)),ROW(38:38)),2)),"",INDEX($A$3:$B$14312,SMALL(IF($A$3:$A$14312=AZ$3,ROW($A$3:$A$14312)),ROW(38:38)),2))</f>
        <v/>
      </c>
      <c r="BA40" t="str">
        <f t="array" ref="BA40">IF(ISERROR(INDEX($A$3:$B$14312,SMALL(IF($A$3:$A$14312=BA$3,ROW($A$3:$A$14312)),ROW(38:38)),2)),"",INDEX($A$3:$B$14312,SMALL(IF($A$3:$A$14312=BA$3,ROW($A$3:$A$14312)),ROW(38:38)),2))</f>
        <v/>
      </c>
      <c r="BB40" t="str">
        <f t="array" ref="BB40">IF(ISERROR(INDEX($A$3:$B$14312,SMALL(IF($A$3:$A$14312=BB$3,ROW($A$3:$A$14312)),ROW(38:38)),2)),"",INDEX($A$3:$B$14312,SMALL(IF($A$3:$A$14312=BB$3,ROW($A$3:$A$14312)),ROW(38:38)),2))</f>
        <v/>
      </c>
      <c r="BC40" t="str">
        <f t="array" ref="BC40">IF(ISERROR(INDEX($A$3:$B$14312,SMALL(IF($A$3:$A$14312=BC$3,ROW($A$3:$A$14312)),ROW(38:38)),2)),"",INDEX($A$3:$B$14312,SMALL(IF($A$3:$A$14312=BC$3,ROW($A$3:$A$14312)),ROW(38:38)),2))</f>
        <v/>
      </c>
      <c r="BD40" t="str">
        <f t="array" ref="BD40">IF(ISERROR(INDEX($A$3:$B$14312,SMALL(IF($A$3:$A$14312=BD$3,ROW($A$3:$A$14312)),ROW(38:38)),2)),"",INDEX($A$3:$B$14312,SMALL(IF($A$3:$A$14312=BD$3,ROW($A$3:$A$14312)),ROW(38:38)),2))</f>
        <v/>
      </c>
      <c r="BE40" t="str">
        <f t="array" ref="BE40">IF(ISERROR(INDEX($A$3:$B$14312,SMALL(IF($A$3:$A$14312=BE$3,ROW($A$3:$A$14312)),ROW(38:38)),2)),"",INDEX($A$3:$B$14312,SMALL(IF($A$3:$A$14312=BE$3,ROW($A$3:$A$14312)),ROW(38:38)),2))</f>
        <v/>
      </c>
      <c r="BF40" t="str">
        <f t="array" ref="BF40">IF(ISERROR(INDEX($A$3:$B$14312,SMALL(IF($A$3:$A$14312=BF$3,ROW($A$3:$A$14312)),ROW(38:38)),2)),"",INDEX($A$3:$B$14312,SMALL(IF($A$3:$A$14312=BF$3,ROW($A$3:$A$14312)),ROW(38:38)),2))</f>
        <v/>
      </c>
      <c r="BG40" t="str">
        <f t="array" ref="BG40">IF(ISERROR(INDEX($A$3:$B$14312,SMALL(IF($A$3:$A$14312=BG$3,ROW($A$3:$A$14312)),ROW(38:38)),2)),"",INDEX($A$3:$B$14312,SMALL(IF($A$3:$A$14312=BG$3,ROW($A$3:$A$14312)),ROW(38:38)),2))</f>
        <v/>
      </c>
      <c r="BH40" t="str">
        <f t="array" ref="BH40">IF(ISERROR(INDEX($A$3:$B$14312,SMALL(IF($A$3:$A$14312=BH$3,ROW($A$3:$A$14312)),ROW(38:38)),2)),"",INDEX($A$3:$B$14312,SMALL(IF($A$3:$A$14312=BH$3,ROW($A$3:$A$14312)),ROW(38:38)),2))</f>
        <v/>
      </c>
      <c r="BI40" t="str">
        <f t="array" ref="BI40">IF(ISERROR(INDEX($A$3:$B$14312,SMALL(IF($A$3:$A$14312=BI$3,ROW($A$3:$A$14312)),ROW(38:38)),2)),"",INDEX($A$3:$B$14312,SMALL(IF($A$3:$A$14312=BI$3,ROW($A$3:$A$14312)),ROW(38:38)),2))</f>
        <v/>
      </c>
      <c r="BJ40" t="str">
        <f t="array" ref="BJ40">IF(ISERROR(INDEX($A$3:$B$14312,SMALL(IF($A$3:$A$14312=BJ$3,ROW($A$3:$A$14312)),ROW(38:38)),2)),"",INDEX($A$3:$B$14312,SMALL(IF($A$3:$A$14312=BJ$3,ROW($A$3:$A$14312)),ROW(38:38)),2))</f>
        <v/>
      </c>
      <c r="BK40" t="str">
        <f t="array" ref="BK40">IF(ISERROR(INDEX($A$3:$B$14312,SMALL(IF($A$3:$A$14312=BK$3,ROW($A$3:$A$14312)),ROW(38:38)),2)),"",INDEX($A$3:$B$14312,SMALL(IF($A$3:$A$14312=BK$3,ROW($A$3:$A$14312)),ROW(38:38)),2))</f>
        <v/>
      </c>
      <c r="BL40" t="str">
        <f t="array" ref="BL40">IF(ISERROR(INDEX($A$3:$B$14312,SMALL(IF($A$3:$A$14312=BL$3,ROW($A$3:$A$14312)),ROW(38:38)),2)),"",INDEX($A$3:$B$14312,SMALL(IF($A$3:$A$14312=BL$3,ROW($A$3:$A$14312)),ROW(38:38)),2))</f>
        <v/>
      </c>
      <c r="BM40" t="str">
        <f t="array" ref="BM40">IF(ISERROR(INDEX($A$3:$B$14312,SMALL(IF($A$3:$A$14312=BM$3,ROW($A$3:$A$14312)),ROW(38:38)),2)),"",INDEX($A$3:$B$14312,SMALL(IF($A$3:$A$14312=BM$3,ROW($A$3:$A$14312)),ROW(38:38)),2))</f>
        <v/>
      </c>
      <c r="BN40" t="str">
        <f t="array" ref="BN40">IF(ISERROR(INDEX($A$3:$B$14312,SMALL(IF($A$3:$A$14312=BN$3,ROW($A$3:$A$14312)),ROW(38:38)),2)),"",INDEX($A$3:$B$14312,SMALL(IF($A$3:$A$14312=BN$3,ROW($A$3:$A$14312)),ROW(38:38)),2))</f>
        <v/>
      </c>
      <c r="BO40" t="str">
        <f t="array" ref="BO40">IF(ISERROR(INDEX($A$3:$B$14312,SMALL(IF($A$3:$A$14312=BO$3,ROW($A$3:$A$14312)),ROW(38:38)),2)),"",INDEX($A$3:$B$14312,SMALL(IF($A$3:$A$14312=BO$3,ROW($A$3:$A$14312)),ROW(38:38)),2))</f>
        <v/>
      </c>
      <c r="BP40" t="str">
        <f t="array" ref="BP40">IF(ISERROR(INDEX($A$3:$B$14312,SMALL(IF($A$3:$A$14312=BP$3,ROW($A$3:$A$14312)),ROW(38:38)),2)),"",INDEX($A$3:$B$14312,SMALL(IF($A$3:$A$14312=BP$3,ROW($A$3:$A$14312)),ROW(38:38)),2))</f>
        <v/>
      </c>
      <c r="BQ40" t="str">
        <f t="array" ref="BQ40">IF(ISERROR(INDEX($A$3:$B$14312,SMALL(IF($A$3:$A$14312=BQ$3,ROW($A$3:$A$14312)),ROW(38:38)),2)),"",INDEX($A$3:$B$14312,SMALL(IF($A$3:$A$14312=BQ$3,ROW($A$3:$A$14312)),ROW(38:38)),2))</f>
        <v/>
      </c>
      <c r="BR40" t="str">
        <f t="array" ref="BR40">IF(ISERROR(INDEX($A$3:$B$14312,SMALL(IF($A$3:$A$14312=BR$3,ROW($A$3:$A$14312)),ROW(38:38)),2)),"",INDEX($A$3:$B$14312,SMALL(IF($A$3:$A$14312=BR$3,ROW($A$3:$A$14312)),ROW(38:38)),2))</f>
        <v/>
      </c>
      <c r="BS40" t="str">
        <f t="array" ref="BS40">IF(ISERROR(INDEX($A$3:$B$14312,SMALL(IF($A$3:$A$14312=BS$3,ROW($A$3:$A$14312)),ROW(38:38)),2)),"",INDEX($A$3:$B$14312,SMALL(IF($A$3:$A$14312=BS$3,ROW($A$3:$A$14312)),ROW(38:38)),2))</f>
        <v/>
      </c>
      <c r="BT40" t="str">
        <f t="array" ref="BT40">IF(ISERROR(INDEX($A$3:$B$14312,SMALL(IF($A$3:$A$14312=BT$3,ROW($A$3:$A$14312)),ROW(38:38)),2)),"",INDEX($A$3:$B$14312,SMALL(IF($A$3:$A$14312=BT$3,ROW($A$3:$A$14312)),ROW(38:38)),2))</f>
        <v>Router3_140</v>
      </c>
      <c r="BU40" t="str">
        <f t="array" ref="BU40">IF(ISERROR(INDEX($A$3:$B$14312,SMALL(IF($A$3:$A$14312=BU$3,ROW($A$3:$A$14312)),ROW(38:38)),2)),"",INDEX($A$3:$B$14312,SMALL(IF($A$3:$A$14312=BU$3,ROW($A$3:$A$14312)),ROW(38:38)),2))</f>
        <v/>
      </c>
      <c r="BV40" t="str">
        <f t="array" ref="BV40">IF(ISERROR(INDEX($A$3:$B$14312,SMALL(IF($A$3:$A$14312=BV$3,ROW($A$3:$A$14312)),ROW(38:38)),2)),"",INDEX($A$3:$B$14312,SMALL(IF($A$3:$A$14312=BV$3,ROW($A$3:$A$14312)),ROW(38:38)),2))</f>
        <v/>
      </c>
      <c r="BW40" t="str">
        <f t="array" ref="BW40">IF(ISERROR(INDEX($A$3:$B$14312,SMALL(IF($A$3:$A$14312=BW$3,ROW($A$3:$A$14312)),ROW(38:38)),2)),"",INDEX($A$3:$B$14312,SMALL(IF($A$3:$A$14312=BW$3,ROW($A$3:$A$14312)),ROW(38:38)),2))</f>
        <v/>
      </c>
      <c r="BX40" t="str">
        <f t="array" ref="BX40">IF(ISERROR(INDEX($A$3:$B$14312,SMALL(IF($A$3:$A$14312=BX$3,ROW($A$3:$A$14312)),ROW(38:38)),2)),"",INDEX($A$3:$B$14312,SMALL(IF($A$3:$A$14312=BX$3,ROW($A$3:$A$14312)),ROW(38:38)),2))</f>
        <v/>
      </c>
      <c r="BY40" t="str">
        <f t="array" ref="BY40">IF(ISERROR(INDEX($A$3:$B$14312,SMALL(IF($A$3:$A$14312=BY$3,ROW($A$3:$A$14312)),ROW(38:38)),2)),"",INDEX($A$3:$B$14312,SMALL(IF($A$3:$A$14312=BY$3,ROW($A$3:$A$14312)),ROW(38:38)),2))</f>
        <v/>
      </c>
      <c r="BZ40" t="str">
        <f t="array" ref="BZ40">IF(ISERROR(INDEX($A$3:$B$14312,SMALL(IF($A$3:$A$14312=BZ$3,ROW($A$3:$A$14312)),ROW(38:38)),2)),"",INDEX($A$3:$B$14312,SMALL(IF($A$3:$A$14312=BZ$3,ROW($A$3:$A$14312)),ROW(38:38)),2))</f>
        <v/>
      </c>
      <c r="CA40" t="str">
        <f t="array" ref="CA40">IF(ISERROR(INDEX($A$3:$B$14312,SMALL(IF($A$3:$A$14312=CA$3,ROW($A$3:$A$14312)),ROW(38:38)),2)),"",INDEX($A$3:$B$14312,SMALL(IF($A$3:$A$14312=CA$3,ROW($A$3:$A$14312)),ROW(38:38)),2))</f>
        <v/>
      </c>
      <c r="CB40" t="str">
        <f t="array" ref="CB40">IF(ISERROR(INDEX($A$3:$B$14312,SMALL(IF($A$3:$A$14312=CB$3,ROW($A$3:$A$14312)),ROW(38:38)),2)),"",INDEX($A$3:$B$14312,SMALL(IF($A$3:$A$14312=CB$3,ROW($A$3:$A$14312)),ROW(38:38)),2))</f>
        <v/>
      </c>
      <c r="CC40" t="str">
        <f t="array" ref="CC40">IF(ISERROR(INDEX($A$3:$B$14312,SMALL(IF($A$3:$A$14312=CC$3,ROW($A$3:$A$14312)),ROW(38:38)),2)),"",INDEX($A$3:$B$14312,SMALL(IF($A$3:$A$14312=CC$3,ROW($A$3:$A$14312)),ROW(38:38)),2))</f>
        <v/>
      </c>
      <c r="CD40" t="str">
        <f t="array" ref="CD40">IF(ISERROR(INDEX($A$3:$B$14312,SMALL(IF($A$3:$A$14312=CD$3,ROW($A$3:$A$14312)),ROW(38:38)),2)),"",INDEX($A$3:$B$14312,SMALL(IF($A$3:$A$14312=CD$3,ROW($A$3:$A$14312)),ROW(38:38)),2))</f>
        <v/>
      </c>
      <c r="CE40" t="str">
        <f t="array" ref="CE40">IF(ISERROR(INDEX($A$3:$B$14312,SMALL(IF($A$3:$A$14312=CE$3,ROW($A$3:$A$14312)),ROW(38:38)),2)),"",INDEX($A$3:$B$14312,SMALL(IF($A$3:$A$14312=CE$3,ROW($A$3:$A$14312)),ROW(38:38)),2))</f>
        <v/>
      </c>
      <c r="CF40" t="str">
        <f t="array" ref="CF40">IF(ISERROR(INDEX($A$3:$B$14312,SMALL(IF($A$3:$A$14312=CF$3,ROW($A$3:$A$14312)),ROW(38:38)),2)),"",INDEX($A$3:$B$14312,SMALL(IF($A$3:$A$14312=CF$3,ROW($A$3:$A$14312)),ROW(38:38)),2))</f>
        <v/>
      </c>
      <c r="CG40" t="str">
        <f t="array" ref="CG40">IF(ISERROR(INDEX($A$3:$B$14312,SMALL(IF($A$3:$A$14312=CG$3,ROW($A$3:$A$14312)),ROW(38:38)),2)),"",INDEX($A$3:$B$14312,SMALL(IF($A$3:$A$14312=CG$3,ROW($A$3:$A$14312)),ROW(38:38)),2))</f>
        <v/>
      </c>
      <c r="CH40" t="str">
        <f t="array" ref="CH40">IF(ISERROR(INDEX($A$3:$B$14312,SMALL(IF($A$3:$A$14312=CH$3,ROW($A$3:$A$14312)),ROW(38:38)),2)),"",INDEX($A$3:$B$14312,SMALL(IF($A$3:$A$14312=CH$3,ROW($A$3:$A$14312)),ROW(38:38)),2))</f>
        <v/>
      </c>
      <c r="CI40" t="str">
        <f t="array" ref="CI40">IF(ISERROR(INDEX($A$3:$B$14312,SMALL(IF($A$3:$A$14312=CI$3,ROW($A$3:$A$14312)),ROW(38:38)),2)),"",INDEX($A$3:$B$14312,SMALL(IF($A$3:$A$14312=CI$3,ROW($A$3:$A$14312)),ROW(38:38)),2))</f>
        <v/>
      </c>
      <c r="CJ40" t="str">
        <f t="array" ref="CJ40">IF(ISERROR(INDEX($A$3:$B$14312,SMALL(IF($A$3:$A$14312=CJ$3,ROW($A$3:$A$14312)),ROW(38:38)),2)),"",INDEX($A$3:$B$14312,SMALL(IF($A$3:$A$14312=CJ$3,ROW($A$3:$A$14312)),ROW(38:38)),2))</f>
        <v/>
      </c>
      <c r="CK40" t="str">
        <f t="array" ref="CK40">IF(ISERROR(INDEX($A$3:$B$14312,SMALL(IF($A$3:$A$14312=CK$3,ROW($A$3:$A$14312)),ROW(38:38)),2)),"",INDEX($A$3:$B$14312,SMALL(IF($A$3:$A$14312=CK$3,ROW($A$3:$A$14312)),ROW(38:38)),2))</f>
        <v/>
      </c>
      <c r="CL40" t="str">
        <f t="array" ref="CL40">IF(ISERROR(INDEX($A$3:$B$14312,SMALL(IF($A$3:$A$14312=CL$3,ROW($A$3:$A$14312)),ROW(38:38)),2)),"",INDEX($A$3:$B$14312,SMALL(IF($A$3:$A$14312=CL$3,ROW($A$3:$A$14312)),ROW(38:38)),2))</f>
        <v/>
      </c>
      <c r="CM40" t="str">
        <f t="array" ref="CM40">IF(ISERROR(INDEX($A$3:$B$14312,SMALL(IF($A$3:$A$14312=CM$3,ROW($A$3:$A$14312)),ROW(38:38)),2)),"",INDEX($A$3:$B$14312,SMALL(IF($A$3:$A$14312=CM$3,ROW($A$3:$A$14312)),ROW(38:38)),2))</f>
        <v/>
      </c>
      <c r="CN40" t="str">
        <f t="array" ref="CN40">IF(ISERROR(INDEX($A$3:$B$14312,SMALL(IF($A$3:$A$14312=CN$3,ROW($A$3:$A$14312)),ROW(38:38)),2)),"",INDEX($A$3:$B$14312,SMALL(IF($A$3:$A$14312=CN$3,ROW($A$3:$A$14312)),ROW(38:38)),2))</f>
        <v/>
      </c>
      <c r="CO40" t="str">
        <f t="array" ref="CO40">IF(ISERROR(INDEX($A$3:$B$14312,SMALL(IF($A$3:$A$14312=CO$3,ROW($A$3:$A$14312)),ROW(38:38)),2)),"",INDEX($A$3:$B$14312,SMALL(IF($A$3:$A$14312=CO$3,ROW($A$3:$A$14312)),ROW(38:38)),2))</f>
        <v/>
      </c>
      <c r="CP40" t="str">
        <f t="array" ref="CP40">IF(ISERROR(INDEX($A$3:$B$14312,SMALL(IF($A$3:$A$14312=CP$3,ROW($A$3:$A$14312)),ROW(38:38)),2)),"",INDEX($A$3:$B$14312,SMALL(IF($A$3:$A$14312=CP$3,ROW($A$3:$A$14312)),ROW(38:38)),2))</f>
        <v/>
      </c>
      <c r="CQ40" t="str">
        <f t="array" ref="CQ40">IF(ISERROR(INDEX($A$3:$B$14312,SMALL(IF($A$3:$A$14312=CQ$3,ROW($A$3:$A$14312)),ROW(38:38)),2)),"",INDEX($A$3:$B$14312,SMALL(IF($A$3:$A$14312=CQ$3,ROW($A$3:$A$14312)),ROW(38:38)),2))</f>
        <v/>
      </c>
      <c r="CR40" t="str">
        <f t="array" ref="CR40">IF(ISERROR(INDEX($A$3:$B$14312,SMALL(IF($A$3:$A$14312=CR$3,ROW($A$3:$A$14312)),ROW(38:38)),2)),"",INDEX($A$3:$B$14312,SMALL(IF($A$3:$A$14312=CR$3,ROW($A$3:$A$14312)),ROW(38:38)),2))</f>
        <v/>
      </c>
      <c r="CS40" t="str">
        <f t="array" ref="CS40">IF(ISERROR(INDEX($A$3:$B$14312,SMALL(IF($A$3:$A$14312=CS$3,ROW($A$3:$A$14312)),ROW(38:38)),2)),"",INDEX($A$3:$B$14312,SMALL(IF($A$3:$A$14312=CS$3,ROW($A$3:$A$14312)),ROW(38:38)),2))</f>
        <v/>
      </c>
      <c r="CT40" t="str">
        <f t="array" ref="CT40">IF(ISERROR(INDEX($A$3:$B$14312,SMALL(IF($A$3:$A$14312=CT$3,ROW($A$3:$A$14312)),ROW(38:38)),2)),"",INDEX($A$3:$B$14312,SMALL(IF($A$3:$A$14312=CT$3,ROW($A$3:$A$14312)),ROW(38:38)),2))</f>
        <v/>
      </c>
      <c r="CU40" t="str">
        <f t="array" ref="CU40">IF(ISERROR(INDEX($A$3:$B$14312,SMALL(IF($A$3:$A$14312=CU$3,ROW($A$3:$A$14312)),ROW(38:38)),2)),"",INDEX($A$3:$B$14312,SMALL(IF($A$3:$A$14312=CU$3,ROW($A$3:$A$14312)),ROW(38:38)),2))</f>
        <v/>
      </c>
      <c r="CV40" t="str">
        <f t="array" ref="CV40">IF(ISERROR(INDEX($A$3:$B$14312,SMALL(IF($A$3:$A$14312=CV$3,ROW($A$3:$A$14312)),ROW(38:38)),2)),"",INDEX($A$3:$B$14312,SMALL(IF($A$3:$A$14312=CV$3,ROW($A$3:$A$14312)),ROW(38:38)),2))</f>
        <v/>
      </c>
      <c r="CW40" t="str">
        <f t="array" ref="CW40">IF(ISERROR(INDEX($A$3:$B$14312,SMALL(IF($A$3:$A$14312=CW$3,ROW($A$3:$A$14312)),ROW(38:38)),2)),"",INDEX($A$3:$B$14312,SMALL(IF($A$3:$A$14312=CW$3,ROW($A$3:$A$14312)),ROW(38:38)),2))</f>
        <v/>
      </c>
      <c r="CX40" t="str">
        <f t="array" ref="CX40">IF(ISERROR(INDEX($A$3:$B$14312,SMALL(IF($A$3:$A$14312=CX$3,ROW($A$3:$A$14312)),ROW(38:38)),2)),"",INDEX($A$3:$B$14312,SMALL(IF($A$3:$A$14312=CX$3,ROW($A$3:$A$14312)),ROW(38:38)),2))</f>
        <v/>
      </c>
      <c r="CY40" t="str">
        <f t="array" ref="CY40">IF(ISERROR(INDEX($A$3:$B$14312,SMALL(IF($A$3:$A$14312=CY$3,ROW($A$3:$A$14312)),ROW(38:38)),2)),"",INDEX($A$3:$B$14312,SMALL(IF($A$3:$A$14312=CY$3,ROW($A$3:$A$14312)),ROW(38:38)),2))</f>
        <v/>
      </c>
      <c r="CZ40" t="str">
        <f t="array" ref="CZ40">IF(ISERROR(INDEX($A$3:$B$14312,SMALL(IF($A$3:$A$14312=CZ$3,ROW($A$3:$A$14312)),ROW(38:38)),2)),"",INDEX($A$3:$B$14312,SMALL(IF($A$3:$A$14312=CZ$3,ROW($A$3:$A$14312)),ROW(38:38)),2))</f>
        <v/>
      </c>
      <c r="DA40" t="str">
        <f t="array" ref="DA40">IF(ISERROR(INDEX($A$3:$B$14312,SMALL(IF($A$3:$A$14312=DA$3,ROW($A$3:$A$14312)),ROW(38:38)),2)),"",INDEX($A$3:$B$14312,SMALL(IF($A$3:$A$14312=DA$3,ROW($A$3:$A$14312)),ROW(38:38)),2))</f>
        <v/>
      </c>
      <c r="DB40" t="str">
        <f t="array" ref="DB40">IF(ISERROR(INDEX($A$3:$B$14312,SMALL(IF($A$3:$A$14312=DB$3,ROW($A$3:$A$14312)),ROW(38:38)),2)),"",INDEX($A$3:$B$14312,SMALL(IF($A$3:$A$14312=DB$3,ROW($A$3:$A$14312)),ROW(38:38)),2))</f>
        <v/>
      </c>
      <c r="DC40" t="str">
        <f t="array" ref="DC40">IF(ISERROR(INDEX($A$3:$B$14312,SMALL(IF($A$3:$A$14312=DC$3,ROW($A$3:$A$14312)),ROW(38:38)),2)),"",INDEX($A$3:$B$14312,SMALL(IF($A$3:$A$14312=DC$3,ROW($A$3:$A$14312)),ROW(38:38)),2))</f>
        <v/>
      </c>
      <c r="DD40" t="str">
        <f t="array" ref="DD40">IF(ISERROR(INDEX($A$3:$B$14312,SMALL(IF($A$3:$A$14312=DD$3,ROW($A$3:$A$14312)),ROW(38:38)),2)),"",INDEX($A$3:$B$14312,SMALL(IF($A$3:$A$14312=DD$3,ROW($A$3:$A$14312)),ROW(38:38)),2))</f>
        <v/>
      </c>
      <c r="DE40" t="str">
        <f t="array" ref="DE40">IF(ISERROR(INDEX($A$3:$B$14312,SMALL(IF($A$3:$A$14312=DE$3,ROW($A$3:$A$14312)),ROW(38:38)),2)),"",INDEX($A$3:$B$14312,SMALL(IF($A$3:$A$14312=DE$3,ROW($A$3:$A$14312)),ROW(38:38)),2))</f>
        <v/>
      </c>
      <c r="DF40" t="str">
        <f t="array" ref="DF40">IF(ISERROR(INDEX($A$3:$B$14312,SMALL(IF($A$3:$A$14312=DF$3,ROW($A$3:$A$14312)),ROW(38:38)),2)),"",INDEX($A$3:$B$14312,SMALL(IF($A$3:$A$14312=DF$3,ROW($A$3:$A$14312)),ROW(38:38)),2))</f>
        <v/>
      </c>
      <c r="DG40" t="str">
        <f t="array" ref="DG40">IF(ISERROR(INDEX($A$3:$B$14312,SMALL(IF($A$3:$A$14312=DG$3,ROW($A$3:$A$14312)),ROW(38:38)),2)),"",INDEX($A$3:$B$14312,SMALL(IF($A$3:$A$14312=DG$3,ROW($A$3:$A$14312)),ROW(38:38)),2))</f>
        <v/>
      </c>
      <c r="DH40" t="str">
        <f t="array" ref="DH40">IF(ISERROR(INDEX($A$3:$B$14312,SMALL(IF($A$3:$A$14312=DH$3,ROW($A$3:$A$14312)),ROW(38:38)),2)),"",INDEX($A$3:$B$14312,SMALL(IF($A$3:$A$14312=DH$3,ROW($A$3:$A$14312)),ROW(38:38)),2))</f>
        <v/>
      </c>
      <c r="DI40" t="str">
        <f t="array" ref="DI40">IF(ISERROR(INDEX($A$3:$B$14312,SMALL(IF($A$3:$A$14312=DI$3,ROW($A$3:$A$14312)),ROW(38:38)),2)),"",INDEX($A$3:$B$14312,SMALL(IF($A$3:$A$14312=DI$3,ROW($A$3:$A$14312)),ROW(38:38)),2))</f>
        <v>Router3_104</v>
      </c>
      <c r="DJ40" t="str">
        <f t="array" ref="DJ40">IF(ISERROR(INDEX($A$3:$B$14312,SMALL(IF($A$3:$A$14312=DJ$3,ROW($A$3:$A$14312)),ROW(38:38)),2)),"",INDEX($A$3:$B$14312,SMALL(IF($A$3:$A$14312=DJ$3,ROW($A$3:$A$14312)),ROW(38:38)),2))</f>
        <v/>
      </c>
      <c r="DK40" t="str">
        <f t="array" ref="DK40">IF(ISERROR(INDEX($A$3:$B$14312,SMALL(IF($A$3:$A$14312=DK$3,ROW($A$3:$A$14312)),ROW(38:38)),2)),"",INDEX($A$3:$B$14312,SMALL(IF($A$3:$A$14312=DK$3,ROW($A$3:$A$14312)),ROW(38:38)),2))</f>
        <v/>
      </c>
      <c r="DL40" t="str">
        <f t="array" ref="DL40">IF(ISERROR(INDEX($A$3:$B$14312,SMALL(IF($A$3:$A$14312=DL$3,ROW($A$3:$A$14312)),ROW(38:38)),2)),"",INDEX($A$3:$B$14312,SMALL(IF($A$3:$A$14312=DL$3,ROW($A$3:$A$14312)),ROW(38:38)),2))</f>
        <v/>
      </c>
      <c r="DM40" t="str">
        <f t="array" ref="DM40">IF(ISERROR(INDEX($A$3:$B$14312,SMALL(IF($A$3:$A$14312=DM$3,ROW($A$3:$A$14312)),ROW(38:38)),2)),"",INDEX($A$3:$B$14312,SMALL(IF($A$3:$A$14312=DM$3,ROW($A$3:$A$14312)),ROW(38:38)),2))</f>
        <v/>
      </c>
      <c r="DN40" t="str">
        <f t="array" ref="DN40">IF(ISERROR(INDEX($A$3:$B$14312,SMALL(IF($A$3:$A$14312=DN$3,ROW($A$3:$A$14312)),ROW(38:38)),2)),"",INDEX($A$3:$B$14312,SMALL(IF($A$3:$A$14312=DN$3,ROW($A$3:$A$14312)),ROW(38:38)),2))</f>
        <v/>
      </c>
      <c r="DO40" t="str">
        <f t="array" ref="DO40">IF(ISERROR(INDEX($A$3:$B$14312,SMALL(IF($A$3:$A$14312=DO$3,ROW($A$3:$A$14312)),ROW(38:38)),2)),"",INDEX($A$3:$B$14312,SMALL(IF($A$3:$A$14312=DO$3,ROW($A$3:$A$14312)),ROW(38:38)),2))</f>
        <v/>
      </c>
      <c r="DP40" t="str">
        <f t="array" ref="DP40">IF(ISERROR(INDEX($A$3:$B$14312,SMALL(IF($A$3:$A$14312=DP$3,ROW($A$3:$A$14312)),ROW(38:38)),2)),"",INDEX($A$3:$B$14312,SMALL(IF($A$3:$A$14312=DP$3,ROW($A$3:$A$14312)),ROW(38:38)),2))</f>
        <v/>
      </c>
      <c r="DQ40" t="str">
        <f t="array" ref="DQ40">IF(ISERROR(INDEX($A$3:$B$14312,SMALL(IF($A$3:$A$14312=DQ$3,ROW($A$3:$A$14312)),ROW(38:38)),2)),"",INDEX($A$3:$B$14312,SMALL(IF($A$3:$A$14312=DQ$3,ROW($A$3:$A$14312)),ROW(38:38)),2))</f>
        <v/>
      </c>
      <c r="DR40" t="str">
        <f t="array" ref="DR40">IF(ISERROR(INDEX($A$3:$B$14312,SMALL(IF($A$3:$A$14312=DR$3,ROW($A$3:$A$14312)),ROW(38:38)),2)),"",INDEX($A$3:$B$14312,SMALL(IF($A$3:$A$14312=DR$3,ROW($A$3:$A$14312)),ROW(38:38)),2))</f>
        <v/>
      </c>
      <c r="DS40" t="str">
        <f t="array" ref="DS40">IF(ISERROR(INDEX($A$3:$B$14312,SMALL(IF($A$3:$A$14312=DS$3,ROW($A$3:$A$14312)),ROW(38:38)),2)),"",INDEX($A$3:$B$14312,SMALL(IF($A$3:$A$14312=DS$3,ROW($A$3:$A$14312)),ROW(38:38)),2))</f>
        <v/>
      </c>
      <c r="DT40" t="str">
        <f t="array" ref="DT40">IF(ISERROR(INDEX($A$3:$B$14312,SMALL(IF($A$3:$A$14312=DT$3,ROW($A$3:$A$14312)),ROW(38:38)),2)),"",INDEX($A$3:$B$14312,SMALL(IF($A$3:$A$14312=DT$3,ROW($A$3:$A$14312)),ROW(38:38)),2))</f>
        <v>Router3_104</v>
      </c>
      <c r="DU40" t="str">
        <f t="array" ref="DU40">IF(ISERROR(INDEX($A$3:$B$14312,SMALL(IF($A$3:$A$14312=DU$3,ROW($A$3:$A$14312)),ROW(38:38)),2)),"",INDEX($A$3:$B$14312,SMALL(IF($A$3:$A$14312=DU$3,ROW($A$3:$A$14312)),ROW(38:38)),2))</f>
        <v>Router3_155</v>
      </c>
      <c r="DV40" t="str">
        <f t="array" ref="DV40">IF(ISERROR(INDEX($A$3:$B$14312,SMALL(IF($A$3:$A$14312=DV$3,ROW($A$3:$A$14312)),ROW(38:38)),2)),"",INDEX($A$3:$B$14312,SMALL(IF($A$3:$A$14312=DV$3,ROW($A$3:$A$14312)),ROW(38:38)),2))</f>
        <v/>
      </c>
      <c r="DW40" t="str">
        <f t="array" ref="DW40">IF(ISERROR(INDEX($A$3:$B$14312,SMALL(IF($A$3:$A$14312=DW$3,ROW($A$3:$A$14312)),ROW(38:38)),2)),"",INDEX($A$3:$B$14312,SMALL(IF($A$3:$A$14312=DW$3,ROW($A$3:$A$14312)),ROW(38:38)),2))</f>
        <v/>
      </c>
      <c r="DX40" t="str">
        <f t="array" ref="DX40">IF(ISERROR(INDEX($A$3:$B$14312,SMALL(IF($A$3:$A$14312=DX$3,ROW($A$3:$A$14312)),ROW(38:38)),2)),"",INDEX($A$3:$B$14312,SMALL(IF($A$3:$A$14312=DX$3,ROW($A$3:$A$14312)),ROW(38:38)),2))</f>
        <v/>
      </c>
      <c r="DY40" t="str">
        <f t="array" ref="DY40">IF(ISERROR(INDEX($A$3:$B$14312,SMALL(IF($A$3:$A$14312=DY$3,ROW($A$3:$A$14312)),ROW(38:38)),2)),"",INDEX($A$3:$B$14312,SMALL(IF($A$3:$A$14312=DY$3,ROW($A$3:$A$14312)),ROW(38:38)),2))</f>
        <v/>
      </c>
      <c r="DZ40" t="str">
        <f t="array" ref="DZ40">IF(ISERROR(INDEX($A$3:$B$14312,SMALL(IF($A$3:$A$14312=DZ$3,ROW($A$3:$A$14312)),ROW(38:38)),2)),"",INDEX($A$3:$B$14312,SMALL(IF($A$3:$A$14312=DZ$3,ROW($A$3:$A$14312)),ROW(38:38)),2))</f>
        <v/>
      </c>
      <c r="EA40" t="str">
        <f t="array" ref="EA40">IF(ISERROR(INDEX($A$3:$B$14312,SMALL(IF($A$3:$A$14312=EA$3,ROW($A$3:$A$14312)),ROW(38:38)),2)),"",INDEX($A$3:$B$14312,SMALL(IF($A$3:$A$14312=EA$3,ROW($A$3:$A$14312)),ROW(38:38)),2))</f>
        <v/>
      </c>
      <c r="EB40" t="str">
        <f t="array" ref="EB40">IF(ISERROR(INDEX($A$3:$B$14312,SMALL(IF($A$3:$A$14312=EB$3,ROW($A$3:$A$14312)),ROW(38:38)),2)),"",INDEX($A$3:$B$14312,SMALL(IF($A$3:$A$14312=EB$3,ROW($A$3:$A$14312)),ROW(38:38)),2))</f>
        <v/>
      </c>
      <c r="EC40" t="str">
        <f t="array" ref="EC40">IF(ISERROR(INDEX($A$3:$B$14312,SMALL(IF($A$3:$A$14312=EC$3,ROW($A$3:$A$14312)),ROW(38:38)),2)),"",INDEX($A$3:$B$14312,SMALL(IF($A$3:$A$14312=EC$3,ROW($A$3:$A$14312)),ROW(38:38)),2))</f>
        <v>Router3_148</v>
      </c>
      <c r="ED40" t="str">
        <f t="array" ref="ED40">IF(ISERROR(INDEX($A$3:$B$14312,SMALL(IF($A$3:$A$14312=ED$3,ROW($A$3:$A$14312)),ROW(38:38)),2)),"",INDEX($A$3:$B$14312,SMALL(IF($A$3:$A$14312=ED$3,ROW($A$3:$A$14312)),ROW(38:38)),2))</f>
        <v>Router3_160</v>
      </c>
      <c r="EE40" t="str">
        <f t="array" ref="EE40">IF(ISERROR(INDEX($A$3:$B$14312,SMALL(IF($A$3:$A$14312=EE$3,ROW($A$3:$A$14312)),ROW(38:38)),2)),"",INDEX($A$3:$B$14312,SMALL(IF($A$3:$A$14312=EE$3,ROW($A$3:$A$14312)),ROW(38:38)),2))</f>
        <v/>
      </c>
    </row>
    <row r="41" spans="1:135" x14ac:dyDescent="0.25">
      <c r="A41" s="10">
        <v>-450827381</v>
      </c>
      <c r="B41" t="s">
        <v>1096</v>
      </c>
      <c r="E41" t="str">
        <f t="array" ref="E41">IF(ISERROR(INDEX($A$3:$B$14312,SMALL(IF($A$3:$A$14312=E$3,ROW($A$3:$A$14312)),ROW(39:39)),2)),"",INDEX($A$3:$B$14312,SMALL(IF($A$3:$A$14312=E$3,ROW($A$3:$A$14312)),ROW(39:39)),2))</f>
        <v/>
      </c>
      <c r="F41" t="str">
        <f t="array" ref="F41">IF(ISERROR(INDEX($A$3:$B$14312,SMALL(IF($A$3:$A$14312=F$3,ROW($A$3:$A$14312)),ROW(39:39)),2)),"",INDEX($A$3:$B$14312,SMALL(IF($A$3:$A$14312=F$3,ROW($A$3:$A$14312)),ROW(39:39)),2))</f>
        <v/>
      </c>
      <c r="G41" t="str">
        <f t="array" ref="G41">IF(ISERROR(INDEX($A$3:$B$14312,SMALL(IF($A$3:$A$14312=G$3,ROW($A$3:$A$14312)),ROW(39:39)),2)),"",INDEX($A$3:$B$14312,SMALL(IF($A$3:$A$14312=G$3,ROW($A$3:$A$14312)),ROW(39:39)),2))</f>
        <v/>
      </c>
      <c r="H41" t="str">
        <f t="array" ref="H41">IF(ISERROR(INDEX($A$3:$B$14312,SMALL(IF($A$3:$A$14312=H$3,ROW($A$3:$A$14312)),ROW(39:39)),2)),"",INDEX($A$3:$B$14312,SMALL(IF($A$3:$A$14312=H$3,ROW($A$3:$A$14312)),ROW(39:39)),2))</f>
        <v/>
      </c>
      <c r="I41" t="str">
        <f t="array" ref="I41">IF(ISERROR(INDEX($A$3:$B$14312,SMALL(IF($A$3:$A$14312=I$3,ROW($A$3:$A$14312)),ROW(39:39)),2)),"",INDEX($A$3:$B$14312,SMALL(IF($A$3:$A$14312=I$3,ROW($A$3:$A$14312)),ROW(39:39)),2))</f>
        <v/>
      </c>
      <c r="J41" t="str">
        <f t="array" ref="J41">IF(ISERROR(INDEX($A$3:$B$14312,SMALL(IF($A$3:$A$14312=J$3,ROW($A$3:$A$14312)),ROW(39:39)),2)),"",INDEX($A$3:$B$14312,SMALL(IF($A$3:$A$14312=J$3,ROW($A$3:$A$14312)),ROW(39:39)),2))</f>
        <v/>
      </c>
      <c r="K41" t="str">
        <f t="array" ref="K41">IF(ISERROR(INDEX($A$3:$B$14312,SMALL(IF($A$3:$A$14312=K$3,ROW($A$3:$A$14312)),ROW(39:39)),2)),"",INDEX($A$3:$B$14312,SMALL(IF($A$3:$A$14312=K$3,ROW($A$3:$A$14312)),ROW(39:39)),2))</f>
        <v/>
      </c>
      <c r="L41" t="str">
        <f t="array" ref="L41">IF(ISERROR(INDEX($A$3:$B$14312,SMALL(IF($A$3:$A$14312=L$3,ROW($A$3:$A$14312)),ROW(39:39)),2)),"",INDEX($A$3:$B$14312,SMALL(IF($A$3:$A$14312=L$3,ROW($A$3:$A$14312)),ROW(39:39)),2))</f>
        <v/>
      </c>
      <c r="M41" t="str">
        <f t="array" ref="M41">IF(ISERROR(INDEX($A$3:$B$14312,SMALL(IF($A$3:$A$14312=M$3,ROW($A$3:$A$14312)),ROW(39:39)),2)),"",INDEX($A$3:$B$14312,SMALL(IF($A$3:$A$14312=M$3,ROW($A$3:$A$14312)),ROW(39:39)),2))</f>
        <v/>
      </c>
      <c r="N41" t="str">
        <f t="array" ref="N41">IF(ISERROR(INDEX($A$3:$B$14312,SMALL(IF($A$3:$A$14312=N$3,ROW($A$3:$A$14312)),ROW(39:39)),2)),"",INDEX($A$3:$B$14312,SMALL(IF($A$3:$A$14312=N$3,ROW($A$3:$A$14312)),ROW(39:39)),2))</f>
        <v/>
      </c>
      <c r="O41" t="str">
        <f t="array" ref="O41">IF(ISERROR(INDEX($A$3:$B$14312,SMALL(IF($A$3:$A$14312=O$3,ROW($A$3:$A$14312)),ROW(39:39)),2)),"",INDEX($A$3:$B$14312,SMALL(IF($A$3:$A$14312=O$3,ROW($A$3:$A$14312)),ROW(39:39)),2))</f>
        <v/>
      </c>
      <c r="P41" t="str">
        <f t="array" ref="P41">IF(ISERROR(INDEX($A$3:$B$14312,SMALL(IF($A$3:$A$14312=P$3,ROW($A$3:$A$14312)),ROW(39:39)),2)),"",INDEX($A$3:$B$14312,SMALL(IF($A$3:$A$14312=P$3,ROW($A$3:$A$14312)),ROW(39:39)),2))</f>
        <v/>
      </c>
      <c r="Q41" t="str">
        <f t="array" ref="Q41">IF(ISERROR(INDEX($A$3:$B$14312,SMALL(IF($A$3:$A$14312=Q$3,ROW($A$3:$A$14312)),ROW(39:39)),2)),"",INDEX($A$3:$B$14312,SMALL(IF($A$3:$A$14312=Q$3,ROW($A$3:$A$14312)),ROW(39:39)),2))</f>
        <v/>
      </c>
      <c r="R41" t="str">
        <f t="array" ref="R41">IF(ISERROR(INDEX($A$3:$B$14312,SMALL(IF($A$3:$A$14312=R$3,ROW($A$3:$A$14312)),ROW(39:39)),2)),"",INDEX($A$3:$B$14312,SMALL(IF($A$3:$A$14312=R$3,ROW($A$3:$A$14312)),ROW(39:39)),2))</f>
        <v/>
      </c>
      <c r="S41" t="str">
        <f t="array" ref="S41">IF(ISERROR(INDEX($A$3:$B$14312,SMALL(IF($A$3:$A$14312=S$3,ROW($A$3:$A$14312)),ROW(39:39)),2)),"",INDEX($A$3:$B$14312,SMALL(IF($A$3:$A$14312=S$3,ROW($A$3:$A$14312)),ROW(39:39)),2))</f>
        <v/>
      </c>
      <c r="T41" t="str">
        <f t="array" ref="T41">IF(ISERROR(INDEX($A$3:$B$14312,SMALL(IF($A$3:$A$14312=T$3,ROW($A$3:$A$14312)),ROW(39:39)),2)),"",INDEX($A$3:$B$14312,SMALL(IF($A$3:$A$14312=T$3,ROW($A$3:$A$14312)),ROW(39:39)),2))</f>
        <v/>
      </c>
      <c r="U41" t="str">
        <f t="array" ref="U41">IF(ISERROR(INDEX($A$3:$B$14312,SMALL(IF($A$3:$A$14312=U$3,ROW($A$3:$A$14312)),ROW(39:39)),2)),"",INDEX($A$3:$B$14312,SMALL(IF($A$3:$A$14312=U$3,ROW($A$3:$A$14312)),ROW(39:39)),2))</f>
        <v/>
      </c>
      <c r="V41" t="str">
        <f t="array" ref="V41">IF(ISERROR(INDEX($A$3:$B$14312,SMALL(IF($A$3:$A$14312=V$3,ROW($A$3:$A$14312)),ROW(39:39)),2)),"",INDEX($A$3:$B$14312,SMALL(IF($A$3:$A$14312=V$3,ROW($A$3:$A$14312)),ROW(39:39)),2))</f>
        <v/>
      </c>
      <c r="W41" t="str">
        <f t="array" ref="W41">IF(ISERROR(INDEX($A$3:$B$14312,SMALL(IF($A$3:$A$14312=W$3,ROW($A$3:$A$14312)),ROW(39:39)),2)),"",INDEX($A$3:$B$14312,SMALL(IF($A$3:$A$14312=W$3,ROW($A$3:$A$14312)),ROW(39:39)),2))</f>
        <v>Router3_150</v>
      </c>
      <c r="X41" t="str">
        <f t="array" ref="X41">IF(ISERROR(INDEX($A$3:$B$14312,SMALL(IF($A$3:$A$14312=X$3,ROW($A$3:$A$14312)),ROW(39:39)),2)),"",INDEX($A$3:$B$14312,SMALL(IF($A$3:$A$14312=X$3,ROW($A$3:$A$14312)),ROW(39:39)),2))</f>
        <v/>
      </c>
      <c r="Y41" t="str">
        <f t="array" ref="Y41">IF(ISERROR(INDEX($A$3:$B$14312,SMALL(IF($A$3:$A$14312=Y$3,ROW($A$3:$A$14312)),ROW(39:39)),2)),"",INDEX($A$3:$B$14312,SMALL(IF($A$3:$A$14312=Y$3,ROW($A$3:$A$14312)),ROW(39:39)),2))</f>
        <v/>
      </c>
      <c r="Z41" t="str">
        <f t="array" ref="Z41">IF(ISERROR(INDEX($A$3:$B$14312,SMALL(IF($A$3:$A$14312=Z$3,ROW($A$3:$A$14312)),ROW(39:39)),2)),"",INDEX($A$3:$B$14312,SMALL(IF($A$3:$A$14312=Z$3,ROW($A$3:$A$14312)),ROW(39:39)),2))</f>
        <v/>
      </c>
      <c r="AA41" t="str">
        <f t="array" ref="AA41">IF(ISERROR(INDEX($A$3:$B$14312,SMALL(IF($A$3:$A$14312=AA$3,ROW($A$3:$A$14312)),ROW(39:39)),2)),"",INDEX($A$3:$B$14312,SMALL(IF($A$3:$A$14312=AA$3,ROW($A$3:$A$14312)),ROW(39:39)),2))</f>
        <v/>
      </c>
      <c r="AB41" t="str">
        <f t="array" ref="AB41">IF(ISERROR(INDEX($A$3:$B$14312,SMALL(IF($A$3:$A$14312=AB$3,ROW($A$3:$A$14312)),ROW(39:39)),2)),"",INDEX($A$3:$B$14312,SMALL(IF($A$3:$A$14312=AB$3,ROW($A$3:$A$14312)),ROW(39:39)),2))</f>
        <v/>
      </c>
      <c r="AC41" t="str">
        <f t="array" ref="AC41">IF(ISERROR(INDEX($A$3:$B$14312,SMALL(IF($A$3:$A$14312=AC$3,ROW($A$3:$A$14312)),ROW(39:39)),2)),"",INDEX($A$3:$B$14312,SMALL(IF($A$3:$A$14312=AC$3,ROW($A$3:$A$14312)),ROW(39:39)),2))</f>
        <v/>
      </c>
      <c r="AD41" t="str">
        <f t="array" ref="AD41">IF(ISERROR(INDEX($A$3:$B$14312,SMALL(IF($A$3:$A$14312=AD$3,ROW($A$3:$A$14312)),ROW(39:39)),2)),"",INDEX($A$3:$B$14312,SMALL(IF($A$3:$A$14312=AD$3,ROW($A$3:$A$14312)),ROW(39:39)),2))</f>
        <v/>
      </c>
      <c r="AE41" t="str">
        <f t="array" ref="AE41">IF(ISERROR(INDEX($A$3:$B$14312,SMALL(IF($A$3:$A$14312=AE$3,ROW($A$3:$A$14312)),ROW(39:39)),2)),"",INDEX($A$3:$B$14312,SMALL(IF($A$3:$A$14312=AE$3,ROW($A$3:$A$14312)),ROW(39:39)),2))</f>
        <v/>
      </c>
      <c r="AF41" t="str">
        <f t="array" ref="AF41">IF(ISERROR(INDEX($A$3:$B$14312,SMALL(IF($A$3:$A$14312=AF$3,ROW($A$3:$A$14312)),ROW(39:39)),2)),"",INDEX($A$3:$B$14312,SMALL(IF($A$3:$A$14312=AF$3,ROW($A$3:$A$14312)),ROW(39:39)),2))</f>
        <v/>
      </c>
      <c r="AG41" t="str">
        <f t="array" ref="AG41">IF(ISERROR(INDEX($A$3:$B$14312,SMALL(IF($A$3:$A$14312=AG$3,ROW($A$3:$A$14312)),ROW(39:39)),2)),"",INDEX($A$3:$B$14312,SMALL(IF($A$3:$A$14312=AG$3,ROW($A$3:$A$14312)),ROW(39:39)),2))</f>
        <v/>
      </c>
      <c r="AH41" t="str">
        <f t="array" ref="AH41">IF(ISERROR(INDEX($A$3:$B$14312,SMALL(IF($A$3:$A$14312=AH$3,ROW($A$3:$A$14312)),ROW(39:39)),2)),"",INDEX($A$3:$B$14312,SMALL(IF($A$3:$A$14312=AH$3,ROW($A$3:$A$14312)),ROW(39:39)),2))</f>
        <v/>
      </c>
      <c r="AI41" t="str">
        <f t="array" ref="AI41">IF(ISERROR(INDEX($A$3:$B$14312,SMALL(IF($A$3:$A$14312=AI$3,ROW($A$3:$A$14312)),ROW(39:39)),2)),"",INDEX($A$3:$B$14312,SMALL(IF($A$3:$A$14312=AI$3,ROW($A$3:$A$14312)),ROW(39:39)),2))</f>
        <v/>
      </c>
      <c r="AJ41" t="str">
        <f t="array" ref="AJ41">IF(ISERROR(INDEX($A$3:$B$14312,SMALL(IF($A$3:$A$14312=AJ$3,ROW($A$3:$A$14312)),ROW(39:39)),2)),"",INDEX($A$3:$B$14312,SMALL(IF($A$3:$A$14312=AJ$3,ROW($A$3:$A$14312)),ROW(39:39)),2))</f>
        <v/>
      </c>
      <c r="AK41" t="str">
        <f t="array" ref="AK41">IF(ISERROR(INDEX($A$3:$B$14312,SMALL(IF($A$3:$A$14312=AK$3,ROW($A$3:$A$14312)),ROW(39:39)),2)),"",INDEX($A$3:$B$14312,SMALL(IF($A$3:$A$14312=AK$3,ROW($A$3:$A$14312)),ROW(39:39)),2))</f>
        <v/>
      </c>
      <c r="AL41" t="str">
        <f t="array" ref="AL41">IF(ISERROR(INDEX($A$3:$B$14312,SMALL(IF($A$3:$A$14312=AL$3,ROW($A$3:$A$14312)),ROW(39:39)),2)),"",INDEX($A$3:$B$14312,SMALL(IF($A$3:$A$14312=AL$3,ROW($A$3:$A$14312)),ROW(39:39)),2))</f>
        <v/>
      </c>
      <c r="AM41" t="str">
        <f t="array" ref="AM41">IF(ISERROR(INDEX($A$3:$B$14312,SMALL(IF($A$3:$A$14312=AM$3,ROW($A$3:$A$14312)),ROW(39:39)),2)),"",INDEX($A$3:$B$14312,SMALL(IF($A$3:$A$14312=AM$3,ROW($A$3:$A$14312)),ROW(39:39)),2))</f>
        <v>Router3_159</v>
      </c>
      <c r="AN41" t="str">
        <f t="array" ref="AN41">IF(ISERROR(INDEX($A$3:$B$14312,SMALL(IF($A$3:$A$14312=AN$3,ROW($A$3:$A$14312)),ROW(39:39)),2)),"",INDEX($A$3:$B$14312,SMALL(IF($A$3:$A$14312=AN$3,ROW($A$3:$A$14312)),ROW(39:39)),2))</f>
        <v/>
      </c>
      <c r="AO41" t="str">
        <f t="array" ref="AO41">IF(ISERROR(INDEX($A$3:$B$14312,SMALL(IF($A$3:$A$14312=AO$3,ROW($A$3:$A$14312)),ROW(39:39)),2)),"",INDEX($A$3:$B$14312,SMALL(IF($A$3:$A$14312=AO$3,ROW($A$3:$A$14312)),ROW(39:39)),2))</f>
        <v/>
      </c>
      <c r="AP41" t="str">
        <f t="array" ref="AP41">IF(ISERROR(INDEX($A$3:$B$14312,SMALL(IF($A$3:$A$14312=AP$3,ROW($A$3:$A$14312)),ROW(39:39)),2)),"",INDEX($A$3:$B$14312,SMALL(IF($A$3:$A$14312=AP$3,ROW($A$3:$A$14312)),ROW(39:39)),2))</f>
        <v/>
      </c>
      <c r="AQ41" t="str">
        <f t="array" ref="AQ41">IF(ISERROR(INDEX($A$3:$B$14312,SMALL(IF($A$3:$A$14312=AQ$3,ROW($A$3:$A$14312)),ROW(39:39)),2)),"",INDEX($A$3:$B$14312,SMALL(IF($A$3:$A$14312=AQ$3,ROW($A$3:$A$14312)),ROW(39:39)),2))</f>
        <v/>
      </c>
      <c r="AR41" t="str">
        <f t="array" ref="AR41">IF(ISERROR(INDEX($A$3:$B$14312,SMALL(IF($A$3:$A$14312=AR$3,ROW($A$3:$A$14312)),ROW(39:39)),2)),"",INDEX($A$3:$B$14312,SMALL(IF($A$3:$A$14312=AR$3,ROW($A$3:$A$14312)),ROW(39:39)),2))</f>
        <v/>
      </c>
      <c r="AS41" t="str">
        <f t="array" ref="AS41">IF(ISERROR(INDEX($A$3:$B$14312,SMALL(IF($A$3:$A$14312=AS$3,ROW($A$3:$A$14312)),ROW(39:39)),2)),"",INDEX($A$3:$B$14312,SMALL(IF($A$3:$A$14312=AS$3,ROW($A$3:$A$14312)),ROW(39:39)),2))</f>
        <v/>
      </c>
      <c r="AT41" t="str">
        <f t="array" ref="AT41">IF(ISERROR(INDEX($A$3:$B$14312,SMALL(IF($A$3:$A$14312=AT$3,ROW($A$3:$A$14312)),ROW(39:39)),2)),"",INDEX($A$3:$B$14312,SMALL(IF($A$3:$A$14312=AT$3,ROW($A$3:$A$14312)),ROW(39:39)),2))</f>
        <v/>
      </c>
      <c r="AU41" t="str">
        <f t="array" ref="AU41">IF(ISERROR(INDEX($A$3:$B$14312,SMALL(IF($A$3:$A$14312=AU$3,ROW($A$3:$A$14312)),ROW(39:39)),2)),"",INDEX($A$3:$B$14312,SMALL(IF($A$3:$A$14312=AU$3,ROW($A$3:$A$14312)),ROW(39:39)),2))</f>
        <v/>
      </c>
      <c r="AV41" t="str">
        <f t="array" ref="AV41">IF(ISERROR(INDEX($A$3:$B$14312,SMALL(IF($A$3:$A$14312=AV$3,ROW($A$3:$A$14312)),ROW(39:39)),2)),"",INDEX($A$3:$B$14312,SMALL(IF($A$3:$A$14312=AV$3,ROW($A$3:$A$14312)),ROW(39:39)),2))</f>
        <v/>
      </c>
      <c r="AW41" t="str">
        <f t="array" ref="AW41">IF(ISERROR(INDEX($A$3:$B$14312,SMALL(IF($A$3:$A$14312=AW$3,ROW($A$3:$A$14312)),ROW(39:39)),2)),"",INDEX($A$3:$B$14312,SMALL(IF($A$3:$A$14312=AW$3,ROW($A$3:$A$14312)),ROW(39:39)),2))</f>
        <v/>
      </c>
      <c r="AX41" t="str">
        <f t="array" ref="AX41">IF(ISERROR(INDEX($A$3:$B$14312,SMALL(IF($A$3:$A$14312=AX$3,ROW($A$3:$A$14312)),ROW(39:39)),2)),"",INDEX($A$3:$B$14312,SMALL(IF($A$3:$A$14312=AX$3,ROW($A$3:$A$14312)),ROW(39:39)),2))</f>
        <v/>
      </c>
      <c r="AY41" t="str">
        <f t="array" ref="AY41">IF(ISERROR(INDEX($A$3:$B$14312,SMALL(IF($A$3:$A$14312=AY$3,ROW($A$3:$A$14312)),ROW(39:39)),2)),"",INDEX($A$3:$B$14312,SMALL(IF($A$3:$A$14312=AY$3,ROW($A$3:$A$14312)),ROW(39:39)),2))</f>
        <v>Router3_161</v>
      </c>
      <c r="AZ41" t="str">
        <f t="array" ref="AZ41">IF(ISERROR(INDEX($A$3:$B$14312,SMALL(IF($A$3:$A$14312=AZ$3,ROW($A$3:$A$14312)),ROW(39:39)),2)),"",INDEX($A$3:$B$14312,SMALL(IF($A$3:$A$14312=AZ$3,ROW($A$3:$A$14312)),ROW(39:39)),2))</f>
        <v/>
      </c>
      <c r="BA41" t="str">
        <f t="array" ref="BA41">IF(ISERROR(INDEX($A$3:$B$14312,SMALL(IF($A$3:$A$14312=BA$3,ROW($A$3:$A$14312)),ROW(39:39)),2)),"",INDEX($A$3:$B$14312,SMALL(IF($A$3:$A$14312=BA$3,ROW($A$3:$A$14312)),ROW(39:39)),2))</f>
        <v/>
      </c>
      <c r="BB41" t="str">
        <f t="array" ref="BB41">IF(ISERROR(INDEX($A$3:$B$14312,SMALL(IF($A$3:$A$14312=BB$3,ROW($A$3:$A$14312)),ROW(39:39)),2)),"",INDEX($A$3:$B$14312,SMALL(IF($A$3:$A$14312=BB$3,ROW($A$3:$A$14312)),ROW(39:39)),2))</f>
        <v/>
      </c>
      <c r="BC41" t="str">
        <f t="array" ref="BC41">IF(ISERROR(INDEX($A$3:$B$14312,SMALL(IF($A$3:$A$14312=BC$3,ROW($A$3:$A$14312)),ROW(39:39)),2)),"",INDEX($A$3:$B$14312,SMALL(IF($A$3:$A$14312=BC$3,ROW($A$3:$A$14312)),ROW(39:39)),2))</f>
        <v/>
      </c>
      <c r="BD41" t="str">
        <f t="array" ref="BD41">IF(ISERROR(INDEX($A$3:$B$14312,SMALL(IF($A$3:$A$14312=BD$3,ROW($A$3:$A$14312)),ROW(39:39)),2)),"",INDEX($A$3:$B$14312,SMALL(IF($A$3:$A$14312=BD$3,ROW($A$3:$A$14312)),ROW(39:39)),2))</f>
        <v/>
      </c>
      <c r="BE41" t="str">
        <f t="array" ref="BE41">IF(ISERROR(INDEX($A$3:$B$14312,SMALL(IF($A$3:$A$14312=BE$3,ROW($A$3:$A$14312)),ROW(39:39)),2)),"",INDEX($A$3:$B$14312,SMALL(IF($A$3:$A$14312=BE$3,ROW($A$3:$A$14312)),ROW(39:39)),2))</f>
        <v/>
      </c>
      <c r="BF41" t="str">
        <f t="array" ref="BF41">IF(ISERROR(INDEX($A$3:$B$14312,SMALL(IF($A$3:$A$14312=BF$3,ROW($A$3:$A$14312)),ROW(39:39)),2)),"",INDEX($A$3:$B$14312,SMALL(IF($A$3:$A$14312=BF$3,ROW($A$3:$A$14312)),ROW(39:39)),2))</f>
        <v/>
      </c>
      <c r="BG41" t="str">
        <f t="array" ref="BG41">IF(ISERROR(INDEX($A$3:$B$14312,SMALL(IF($A$3:$A$14312=BG$3,ROW($A$3:$A$14312)),ROW(39:39)),2)),"",INDEX($A$3:$B$14312,SMALL(IF($A$3:$A$14312=BG$3,ROW($A$3:$A$14312)),ROW(39:39)),2))</f>
        <v/>
      </c>
      <c r="BH41" t="str">
        <f t="array" ref="BH41">IF(ISERROR(INDEX($A$3:$B$14312,SMALL(IF($A$3:$A$14312=BH$3,ROW($A$3:$A$14312)),ROW(39:39)),2)),"",INDEX($A$3:$B$14312,SMALL(IF($A$3:$A$14312=BH$3,ROW($A$3:$A$14312)),ROW(39:39)),2))</f>
        <v/>
      </c>
      <c r="BI41" t="str">
        <f t="array" ref="BI41">IF(ISERROR(INDEX($A$3:$B$14312,SMALL(IF($A$3:$A$14312=BI$3,ROW($A$3:$A$14312)),ROW(39:39)),2)),"",INDEX($A$3:$B$14312,SMALL(IF($A$3:$A$14312=BI$3,ROW($A$3:$A$14312)),ROW(39:39)),2))</f>
        <v/>
      </c>
      <c r="BJ41" t="str">
        <f t="array" ref="BJ41">IF(ISERROR(INDEX($A$3:$B$14312,SMALL(IF($A$3:$A$14312=BJ$3,ROW($A$3:$A$14312)),ROW(39:39)),2)),"",INDEX($A$3:$B$14312,SMALL(IF($A$3:$A$14312=BJ$3,ROW($A$3:$A$14312)),ROW(39:39)),2))</f>
        <v/>
      </c>
      <c r="BK41" t="str">
        <f t="array" ref="BK41">IF(ISERROR(INDEX($A$3:$B$14312,SMALL(IF($A$3:$A$14312=BK$3,ROW($A$3:$A$14312)),ROW(39:39)),2)),"",INDEX($A$3:$B$14312,SMALL(IF($A$3:$A$14312=BK$3,ROW($A$3:$A$14312)),ROW(39:39)),2))</f>
        <v/>
      </c>
      <c r="BL41" t="str">
        <f t="array" ref="BL41">IF(ISERROR(INDEX($A$3:$B$14312,SMALL(IF($A$3:$A$14312=BL$3,ROW($A$3:$A$14312)),ROW(39:39)),2)),"",INDEX($A$3:$B$14312,SMALL(IF($A$3:$A$14312=BL$3,ROW($A$3:$A$14312)),ROW(39:39)),2))</f>
        <v/>
      </c>
      <c r="BM41" t="str">
        <f t="array" ref="BM41">IF(ISERROR(INDEX($A$3:$B$14312,SMALL(IF($A$3:$A$14312=BM$3,ROW($A$3:$A$14312)),ROW(39:39)),2)),"",INDEX($A$3:$B$14312,SMALL(IF($A$3:$A$14312=BM$3,ROW($A$3:$A$14312)),ROW(39:39)),2))</f>
        <v/>
      </c>
      <c r="BN41" t="str">
        <f t="array" ref="BN41">IF(ISERROR(INDEX($A$3:$B$14312,SMALL(IF($A$3:$A$14312=BN$3,ROW($A$3:$A$14312)),ROW(39:39)),2)),"",INDEX($A$3:$B$14312,SMALL(IF($A$3:$A$14312=BN$3,ROW($A$3:$A$14312)),ROW(39:39)),2))</f>
        <v/>
      </c>
      <c r="BO41" t="str">
        <f t="array" ref="BO41">IF(ISERROR(INDEX($A$3:$B$14312,SMALL(IF($A$3:$A$14312=BO$3,ROW($A$3:$A$14312)),ROW(39:39)),2)),"",INDEX($A$3:$B$14312,SMALL(IF($A$3:$A$14312=BO$3,ROW($A$3:$A$14312)),ROW(39:39)),2))</f>
        <v/>
      </c>
      <c r="BP41" t="str">
        <f t="array" ref="BP41">IF(ISERROR(INDEX($A$3:$B$14312,SMALL(IF($A$3:$A$14312=BP$3,ROW($A$3:$A$14312)),ROW(39:39)),2)),"",INDEX($A$3:$B$14312,SMALL(IF($A$3:$A$14312=BP$3,ROW($A$3:$A$14312)),ROW(39:39)),2))</f>
        <v/>
      </c>
      <c r="BQ41" t="str">
        <f t="array" ref="BQ41">IF(ISERROR(INDEX($A$3:$B$14312,SMALL(IF($A$3:$A$14312=BQ$3,ROW($A$3:$A$14312)),ROW(39:39)),2)),"",INDEX($A$3:$B$14312,SMALL(IF($A$3:$A$14312=BQ$3,ROW($A$3:$A$14312)),ROW(39:39)),2))</f>
        <v/>
      </c>
      <c r="BR41" t="str">
        <f t="array" ref="BR41">IF(ISERROR(INDEX($A$3:$B$14312,SMALL(IF($A$3:$A$14312=BR$3,ROW($A$3:$A$14312)),ROW(39:39)),2)),"",INDEX($A$3:$B$14312,SMALL(IF($A$3:$A$14312=BR$3,ROW($A$3:$A$14312)),ROW(39:39)),2))</f>
        <v/>
      </c>
      <c r="BS41" t="str">
        <f t="array" ref="BS41">IF(ISERROR(INDEX($A$3:$B$14312,SMALL(IF($A$3:$A$14312=BS$3,ROW($A$3:$A$14312)),ROW(39:39)),2)),"",INDEX($A$3:$B$14312,SMALL(IF($A$3:$A$14312=BS$3,ROW($A$3:$A$14312)),ROW(39:39)),2))</f>
        <v/>
      </c>
      <c r="BT41" t="str">
        <f t="array" ref="BT41">IF(ISERROR(INDEX($A$3:$B$14312,SMALL(IF($A$3:$A$14312=BT$3,ROW($A$3:$A$14312)),ROW(39:39)),2)),"",INDEX($A$3:$B$14312,SMALL(IF($A$3:$A$14312=BT$3,ROW($A$3:$A$14312)),ROW(39:39)),2))</f>
        <v>Router3_141</v>
      </c>
      <c r="BU41" t="str">
        <f t="array" ref="BU41">IF(ISERROR(INDEX($A$3:$B$14312,SMALL(IF($A$3:$A$14312=BU$3,ROW($A$3:$A$14312)),ROW(39:39)),2)),"",INDEX($A$3:$B$14312,SMALL(IF($A$3:$A$14312=BU$3,ROW($A$3:$A$14312)),ROW(39:39)),2))</f>
        <v/>
      </c>
      <c r="BV41" t="str">
        <f t="array" ref="BV41">IF(ISERROR(INDEX($A$3:$B$14312,SMALL(IF($A$3:$A$14312=BV$3,ROW($A$3:$A$14312)),ROW(39:39)),2)),"",INDEX($A$3:$B$14312,SMALL(IF($A$3:$A$14312=BV$3,ROW($A$3:$A$14312)),ROW(39:39)),2))</f>
        <v/>
      </c>
      <c r="BW41" t="str">
        <f t="array" ref="BW41">IF(ISERROR(INDEX($A$3:$B$14312,SMALL(IF($A$3:$A$14312=BW$3,ROW($A$3:$A$14312)),ROW(39:39)),2)),"",INDEX($A$3:$B$14312,SMALL(IF($A$3:$A$14312=BW$3,ROW($A$3:$A$14312)),ROW(39:39)),2))</f>
        <v/>
      </c>
      <c r="BX41" t="str">
        <f t="array" ref="BX41">IF(ISERROR(INDEX($A$3:$B$14312,SMALL(IF($A$3:$A$14312=BX$3,ROW($A$3:$A$14312)),ROW(39:39)),2)),"",INDEX($A$3:$B$14312,SMALL(IF($A$3:$A$14312=BX$3,ROW($A$3:$A$14312)),ROW(39:39)),2))</f>
        <v/>
      </c>
      <c r="BY41" t="str">
        <f t="array" ref="BY41">IF(ISERROR(INDEX($A$3:$B$14312,SMALL(IF($A$3:$A$14312=BY$3,ROW($A$3:$A$14312)),ROW(39:39)),2)),"",INDEX($A$3:$B$14312,SMALL(IF($A$3:$A$14312=BY$3,ROW($A$3:$A$14312)),ROW(39:39)),2))</f>
        <v/>
      </c>
      <c r="BZ41" t="str">
        <f t="array" ref="BZ41">IF(ISERROR(INDEX($A$3:$B$14312,SMALL(IF($A$3:$A$14312=BZ$3,ROW($A$3:$A$14312)),ROW(39:39)),2)),"",INDEX($A$3:$B$14312,SMALL(IF($A$3:$A$14312=BZ$3,ROW($A$3:$A$14312)),ROW(39:39)),2))</f>
        <v/>
      </c>
      <c r="CA41" t="str">
        <f t="array" ref="CA41">IF(ISERROR(INDEX($A$3:$B$14312,SMALL(IF($A$3:$A$14312=CA$3,ROW($A$3:$A$14312)),ROW(39:39)),2)),"",INDEX($A$3:$B$14312,SMALL(IF($A$3:$A$14312=CA$3,ROW($A$3:$A$14312)),ROW(39:39)),2))</f>
        <v/>
      </c>
      <c r="CB41" t="str">
        <f t="array" ref="CB41">IF(ISERROR(INDEX($A$3:$B$14312,SMALL(IF($A$3:$A$14312=CB$3,ROW($A$3:$A$14312)),ROW(39:39)),2)),"",INDEX($A$3:$B$14312,SMALL(IF($A$3:$A$14312=CB$3,ROW($A$3:$A$14312)),ROW(39:39)),2))</f>
        <v/>
      </c>
      <c r="CC41" t="str">
        <f t="array" ref="CC41">IF(ISERROR(INDEX($A$3:$B$14312,SMALL(IF($A$3:$A$14312=CC$3,ROW($A$3:$A$14312)),ROW(39:39)),2)),"",INDEX($A$3:$B$14312,SMALL(IF($A$3:$A$14312=CC$3,ROW($A$3:$A$14312)),ROW(39:39)),2))</f>
        <v/>
      </c>
      <c r="CD41" t="str">
        <f t="array" ref="CD41">IF(ISERROR(INDEX($A$3:$B$14312,SMALL(IF($A$3:$A$14312=CD$3,ROW($A$3:$A$14312)),ROW(39:39)),2)),"",INDEX($A$3:$B$14312,SMALL(IF($A$3:$A$14312=CD$3,ROW($A$3:$A$14312)),ROW(39:39)),2))</f>
        <v/>
      </c>
      <c r="CE41" t="str">
        <f t="array" ref="CE41">IF(ISERROR(INDEX($A$3:$B$14312,SMALL(IF($A$3:$A$14312=CE$3,ROW($A$3:$A$14312)),ROW(39:39)),2)),"",INDEX($A$3:$B$14312,SMALL(IF($A$3:$A$14312=CE$3,ROW($A$3:$A$14312)),ROW(39:39)),2))</f>
        <v/>
      </c>
      <c r="CF41" t="str">
        <f t="array" ref="CF41">IF(ISERROR(INDEX($A$3:$B$14312,SMALL(IF($A$3:$A$14312=CF$3,ROW($A$3:$A$14312)),ROW(39:39)),2)),"",INDEX($A$3:$B$14312,SMALL(IF($A$3:$A$14312=CF$3,ROW($A$3:$A$14312)),ROW(39:39)),2))</f>
        <v/>
      </c>
      <c r="CG41" t="str">
        <f t="array" ref="CG41">IF(ISERROR(INDEX($A$3:$B$14312,SMALL(IF($A$3:$A$14312=CG$3,ROW($A$3:$A$14312)),ROW(39:39)),2)),"",INDEX($A$3:$B$14312,SMALL(IF($A$3:$A$14312=CG$3,ROW($A$3:$A$14312)),ROW(39:39)),2))</f>
        <v/>
      </c>
      <c r="CH41" t="str">
        <f t="array" ref="CH41">IF(ISERROR(INDEX($A$3:$B$14312,SMALL(IF($A$3:$A$14312=CH$3,ROW($A$3:$A$14312)),ROW(39:39)),2)),"",INDEX($A$3:$B$14312,SMALL(IF($A$3:$A$14312=CH$3,ROW($A$3:$A$14312)),ROW(39:39)),2))</f>
        <v/>
      </c>
      <c r="CI41" t="str">
        <f t="array" ref="CI41">IF(ISERROR(INDEX($A$3:$B$14312,SMALL(IF($A$3:$A$14312=CI$3,ROW($A$3:$A$14312)),ROW(39:39)),2)),"",INDEX($A$3:$B$14312,SMALL(IF($A$3:$A$14312=CI$3,ROW($A$3:$A$14312)),ROW(39:39)),2))</f>
        <v/>
      </c>
      <c r="CJ41" t="str">
        <f t="array" ref="CJ41">IF(ISERROR(INDEX($A$3:$B$14312,SMALL(IF($A$3:$A$14312=CJ$3,ROW($A$3:$A$14312)),ROW(39:39)),2)),"",INDEX($A$3:$B$14312,SMALL(IF($A$3:$A$14312=CJ$3,ROW($A$3:$A$14312)),ROW(39:39)),2))</f>
        <v/>
      </c>
      <c r="CK41" t="str">
        <f t="array" ref="CK41">IF(ISERROR(INDEX($A$3:$B$14312,SMALL(IF($A$3:$A$14312=CK$3,ROW($A$3:$A$14312)),ROW(39:39)),2)),"",INDEX($A$3:$B$14312,SMALL(IF($A$3:$A$14312=CK$3,ROW($A$3:$A$14312)),ROW(39:39)),2))</f>
        <v/>
      </c>
      <c r="CL41" t="str">
        <f t="array" ref="CL41">IF(ISERROR(INDEX($A$3:$B$14312,SMALL(IF($A$3:$A$14312=CL$3,ROW($A$3:$A$14312)),ROW(39:39)),2)),"",INDEX($A$3:$B$14312,SMALL(IF($A$3:$A$14312=CL$3,ROW($A$3:$A$14312)),ROW(39:39)),2))</f>
        <v/>
      </c>
      <c r="CM41" t="str">
        <f t="array" ref="CM41">IF(ISERROR(INDEX($A$3:$B$14312,SMALL(IF($A$3:$A$14312=CM$3,ROW($A$3:$A$14312)),ROW(39:39)),2)),"",INDEX($A$3:$B$14312,SMALL(IF($A$3:$A$14312=CM$3,ROW($A$3:$A$14312)),ROW(39:39)),2))</f>
        <v/>
      </c>
      <c r="CN41" t="str">
        <f t="array" ref="CN41">IF(ISERROR(INDEX($A$3:$B$14312,SMALL(IF($A$3:$A$14312=CN$3,ROW($A$3:$A$14312)),ROW(39:39)),2)),"",INDEX($A$3:$B$14312,SMALL(IF($A$3:$A$14312=CN$3,ROW($A$3:$A$14312)),ROW(39:39)),2))</f>
        <v/>
      </c>
      <c r="CO41" t="str">
        <f t="array" ref="CO41">IF(ISERROR(INDEX($A$3:$B$14312,SMALL(IF($A$3:$A$14312=CO$3,ROW($A$3:$A$14312)),ROW(39:39)),2)),"",INDEX($A$3:$B$14312,SMALL(IF($A$3:$A$14312=CO$3,ROW($A$3:$A$14312)),ROW(39:39)),2))</f>
        <v/>
      </c>
      <c r="CP41" t="str">
        <f t="array" ref="CP41">IF(ISERROR(INDEX($A$3:$B$14312,SMALL(IF($A$3:$A$14312=CP$3,ROW($A$3:$A$14312)),ROW(39:39)),2)),"",INDEX($A$3:$B$14312,SMALL(IF($A$3:$A$14312=CP$3,ROW($A$3:$A$14312)),ROW(39:39)),2))</f>
        <v/>
      </c>
      <c r="CQ41" t="str">
        <f t="array" ref="CQ41">IF(ISERROR(INDEX($A$3:$B$14312,SMALL(IF($A$3:$A$14312=CQ$3,ROW($A$3:$A$14312)),ROW(39:39)),2)),"",INDEX($A$3:$B$14312,SMALL(IF($A$3:$A$14312=CQ$3,ROW($A$3:$A$14312)),ROW(39:39)),2))</f>
        <v/>
      </c>
      <c r="CR41" t="str">
        <f t="array" ref="CR41">IF(ISERROR(INDEX($A$3:$B$14312,SMALL(IF($A$3:$A$14312=CR$3,ROW($A$3:$A$14312)),ROW(39:39)),2)),"",INDEX($A$3:$B$14312,SMALL(IF($A$3:$A$14312=CR$3,ROW($A$3:$A$14312)),ROW(39:39)),2))</f>
        <v/>
      </c>
      <c r="CS41" t="str">
        <f t="array" ref="CS41">IF(ISERROR(INDEX($A$3:$B$14312,SMALL(IF($A$3:$A$14312=CS$3,ROW($A$3:$A$14312)),ROW(39:39)),2)),"",INDEX($A$3:$B$14312,SMALL(IF($A$3:$A$14312=CS$3,ROW($A$3:$A$14312)),ROW(39:39)),2))</f>
        <v/>
      </c>
      <c r="CT41" t="str">
        <f t="array" ref="CT41">IF(ISERROR(INDEX($A$3:$B$14312,SMALL(IF($A$3:$A$14312=CT$3,ROW($A$3:$A$14312)),ROW(39:39)),2)),"",INDEX($A$3:$B$14312,SMALL(IF($A$3:$A$14312=CT$3,ROW($A$3:$A$14312)),ROW(39:39)),2))</f>
        <v/>
      </c>
      <c r="CU41" t="str">
        <f t="array" ref="CU41">IF(ISERROR(INDEX($A$3:$B$14312,SMALL(IF($A$3:$A$14312=CU$3,ROW($A$3:$A$14312)),ROW(39:39)),2)),"",INDEX($A$3:$B$14312,SMALL(IF($A$3:$A$14312=CU$3,ROW($A$3:$A$14312)),ROW(39:39)),2))</f>
        <v/>
      </c>
      <c r="CV41" t="str">
        <f t="array" ref="CV41">IF(ISERROR(INDEX($A$3:$B$14312,SMALL(IF($A$3:$A$14312=CV$3,ROW($A$3:$A$14312)),ROW(39:39)),2)),"",INDEX($A$3:$B$14312,SMALL(IF($A$3:$A$14312=CV$3,ROW($A$3:$A$14312)),ROW(39:39)),2))</f>
        <v/>
      </c>
      <c r="CW41" t="str">
        <f t="array" ref="CW41">IF(ISERROR(INDEX($A$3:$B$14312,SMALL(IF($A$3:$A$14312=CW$3,ROW($A$3:$A$14312)),ROW(39:39)),2)),"",INDEX($A$3:$B$14312,SMALL(IF($A$3:$A$14312=CW$3,ROW($A$3:$A$14312)),ROW(39:39)),2))</f>
        <v/>
      </c>
      <c r="CX41" t="str">
        <f t="array" ref="CX41">IF(ISERROR(INDEX($A$3:$B$14312,SMALL(IF($A$3:$A$14312=CX$3,ROW($A$3:$A$14312)),ROW(39:39)),2)),"",INDEX($A$3:$B$14312,SMALL(IF($A$3:$A$14312=CX$3,ROW($A$3:$A$14312)),ROW(39:39)),2))</f>
        <v/>
      </c>
      <c r="CY41" t="str">
        <f t="array" ref="CY41">IF(ISERROR(INDEX($A$3:$B$14312,SMALL(IF($A$3:$A$14312=CY$3,ROW($A$3:$A$14312)),ROW(39:39)),2)),"",INDEX($A$3:$B$14312,SMALL(IF($A$3:$A$14312=CY$3,ROW($A$3:$A$14312)),ROW(39:39)),2))</f>
        <v/>
      </c>
      <c r="CZ41" t="str">
        <f t="array" ref="CZ41">IF(ISERROR(INDEX($A$3:$B$14312,SMALL(IF($A$3:$A$14312=CZ$3,ROW($A$3:$A$14312)),ROW(39:39)),2)),"",INDEX($A$3:$B$14312,SMALL(IF($A$3:$A$14312=CZ$3,ROW($A$3:$A$14312)),ROW(39:39)),2))</f>
        <v/>
      </c>
      <c r="DA41" t="str">
        <f t="array" ref="DA41">IF(ISERROR(INDEX($A$3:$B$14312,SMALL(IF($A$3:$A$14312=DA$3,ROW($A$3:$A$14312)),ROW(39:39)),2)),"",INDEX($A$3:$B$14312,SMALL(IF($A$3:$A$14312=DA$3,ROW($A$3:$A$14312)),ROW(39:39)),2))</f>
        <v/>
      </c>
      <c r="DB41" t="str">
        <f t="array" ref="DB41">IF(ISERROR(INDEX($A$3:$B$14312,SMALL(IF($A$3:$A$14312=DB$3,ROW($A$3:$A$14312)),ROW(39:39)),2)),"",INDEX($A$3:$B$14312,SMALL(IF($A$3:$A$14312=DB$3,ROW($A$3:$A$14312)),ROW(39:39)),2))</f>
        <v/>
      </c>
      <c r="DC41" t="str">
        <f t="array" ref="DC41">IF(ISERROR(INDEX($A$3:$B$14312,SMALL(IF($A$3:$A$14312=DC$3,ROW($A$3:$A$14312)),ROW(39:39)),2)),"",INDEX($A$3:$B$14312,SMALL(IF($A$3:$A$14312=DC$3,ROW($A$3:$A$14312)),ROW(39:39)),2))</f>
        <v/>
      </c>
      <c r="DD41" t="str">
        <f t="array" ref="DD41">IF(ISERROR(INDEX($A$3:$B$14312,SMALL(IF($A$3:$A$14312=DD$3,ROW($A$3:$A$14312)),ROW(39:39)),2)),"",INDEX($A$3:$B$14312,SMALL(IF($A$3:$A$14312=DD$3,ROW($A$3:$A$14312)),ROW(39:39)),2))</f>
        <v/>
      </c>
      <c r="DE41" t="str">
        <f t="array" ref="DE41">IF(ISERROR(INDEX($A$3:$B$14312,SMALL(IF($A$3:$A$14312=DE$3,ROW($A$3:$A$14312)),ROW(39:39)),2)),"",INDEX($A$3:$B$14312,SMALL(IF($A$3:$A$14312=DE$3,ROW($A$3:$A$14312)),ROW(39:39)),2))</f>
        <v/>
      </c>
      <c r="DF41" t="str">
        <f t="array" ref="DF41">IF(ISERROR(INDEX($A$3:$B$14312,SMALL(IF($A$3:$A$14312=DF$3,ROW($A$3:$A$14312)),ROW(39:39)),2)),"",INDEX($A$3:$B$14312,SMALL(IF($A$3:$A$14312=DF$3,ROW($A$3:$A$14312)),ROW(39:39)),2))</f>
        <v/>
      </c>
      <c r="DG41" t="str">
        <f t="array" ref="DG41">IF(ISERROR(INDEX($A$3:$B$14312,SMALL(IF($A$3:$A$14312=DG$3,ROW($A$3:$A$14312)),ROW(39:39)),2)),"",INDEX($A$3:$B$14312,SMALL(IF($A$3:$A$14312=DG$3,ROW($A$3:$A$14312)),ROW(39:39)),2))</f>
        <v/>
      </c>
      <c r="DH41" t="str">
        <f t="array" ref="DH41">IF(ISERROR(INDEX($A$3:$B$14312,SMALL(IF($A$3:$A$14312=DH$3,ROW($A$3:$A$14312)),ROW(39:39)),2)),"",INDEX($A$3:$B$14312,SMALL(IF($A$3:$A$14312=DH$3,ROW($A$3:$A$14312)),ROW(39:39)),2))</f>
        <v/>
      </c>
      <c r="DI41" t="str">
        <f t="array" ref="DI41">IF(ISERROR(INDEX($A$3:$B$14312,SMALL(IF($A$3:$A$14312=DI$3,ROW($A$3:$A$14312)),ROW(39:39)),2)),"",INDEX($A$3:$B$14312,SMALL(IF($A$3:$A$14312=DI$3,ROW($A$3:$A$14312)),ROW(39:39)),2))</f>
        <v>Router3_105</v>
      </c>
      <c r="DJ41" t="str">
        <f t="array" ref="DJ41">IF(ISERROR(INDEX($A$3:$B$14312,SMALL(IF($A$3:$A$14312=DJ$3,ROW($A$3:$A$14312)),ROW(39:39)),2)),"",INDEX($A$3:$B$14312,SMALL(IF($A$3:$A$14312=DJ$3,ROW($A$3:$A$14312)),ROW(39:39)),2))</f>
        <v/>
      </c>
      <c r="DK41" t="str">
        <f t="array" ref="DK41">IF(ISERROR(INDEX($A$3:$B$14312,SMALL(IF($A$3:$A$14312=DK$3,ROW($A$3:$A$14312)),ROW(39:39)),2)),"",INDEX($A$3:$B$14312,SMALL(IF($A$3:$A$14312=DK$3,ROW($A$3:$A$14312)),ROW(39:39)),2))</f>
        <v/>
      </c>
      <c r="DL41" t="str">
        <f t="array" ref="DL41">IF(ISERROR(INDEX($A$3:$B$14312,SMALL(IF($A$3:$A$14312=DL$3,ROW($A$3:$A$14312)),ROW(39:39)),2)),"",INDEX($A$3:$B$14312,SMALL(IF($A$3:$A$14312=DL$3,ROW($A$3:$A$14312)),ROW(39:39)),2))</f>
        <v/>
      </c>
      <c r="DM41" t="str">
        <f t="array" ref="DM41">IF(ISERROR(INDEX($A$3:$B$14312,SMALL(IF($A$3:$A$14312=DM$3,ROW($A$3:$A$14312)),ROW(39:39)),2)),"",INDEX($A$3:$B$14312,SMALL(IF($A$3:$A$14312=DM$3,ROW($A$3:$A$14312)),ROW(39:39)),2))</f>
        <v/>
      </c>
      <c r="DN41" t="str">
        <f t="array" ref="DN41">IF(ISERROR(INDEX($A$3:$B$14312,SMALL(IF($A$3:$A$14312=DN$3,ROW($A$3:$A$14312)),ROW(39:39)),2)),"",INDEX($A$3:$B$14312,SMALL(IF($A$3:$A$14312=DN$3,ROW($A$3:$A$14312)),ROW(39:39)),2))</f>
        <v/>
      </c>
      <c r="DO41" t="str">
        <f t="array" ref="DO41">IF(ISERROR(INDEX($A$3:$B$14312,SMALL(IF($A$3:$A$14312=DO$3,ROW($A$3:$A$14312)),ROW(39:39)),2)),"",INDEX($A$3:$B$14312,SMALL(IF($A$3:$A$14312=DO$3,ROW($A$3:$A$14312)),ROW(39:39)),2))</f>
        <v/>
      </c>
      <c r="DP41" t="str">
        <f t="array" ref="DP41">IF(ISERROR(INDEX($A$3:$B$14312,SMALL(IF($A$3:$A$14312=DP$3,ROW($A$3:$A$14312)),ROW(39:39)),2)),"",INDEX($A$3:$B$14312,SMALL(IF($A$3:$A$14312=DP$3,ROW($A$3:$A$14312)),ROW(39:39)),2))</f>
        <v/>
      </c>
      <c r="DQ41" t="str">
        <f t="array" ref="DQ41">IF(ISERROR(INDEX($A$3:$B$14312,SMALL(IF($A$3:$A$14312=DQ$3,ROW($A$3:$A$14312)),ROW(39:39)),2)),"",INDEX($A$3:$B$14312,SMALL(IF($A$3:$A$14312=DQ$3,ROW($A$3:$A$14312)),ROW(39:39)),2))</f>
        <v/>
      </c>
      <c r="DR41" t="str">
        <f t="array" ref="DR41">IF(ISERROR(INDEX($A$3:$B$14312,SMALL(IF($A$3:$A$14312=DR$3,ROW($A$3:$A$14312)),ROW(39:39)),2)),"",INDEX($A$3:$B$14312,SMALL(IF($A$3:$A$14312=DR$3,ROW($A$3:$A$14312)),ROW(39:39)),2))</f>
        <v/>
      </c>
      <c r="DS41" t="str">
        <f t="array" ref="DS41">IF(ISERROR(INDEX($A$3:$B$14312,SMALL(IF($A$3:$A$14312=DS$3,ROW($A$3:$A$14312)),ROW(39:39)),2)),"",INDEX($A$3:$B$14312,SMALL(IF($A$3:$A$14312=DS$3,ROW($A$3:$A$14312)),ROW(39:39)),2))</f>
        <v/>
      </c>
      <c r="DT41" t="str">
        <f t="array" ref="DT41">IF(ISERROR(INDEX($A$3:$B$14312,SMALL(IF($A$3:$A$14312=DT$3,ROW($A$3:$A$14312)),ROW(39:39)),2)),"",INDEX($A$3:$B$14312,SMALL(IF($A$3:$A$14312=DT$3,ROW($A$3:$A$14312)),ROW(39:39)),2))</f>
        <v>Router3_105</v>
      </c>
      <c r="DU41" t="str">
        <f t="array" ref="DU41">IF(ISERROR(INDEX($A$3:$B$14312,SMALL(IF($A$3:$A$14312=DU$3,ROW($A$3:$A$14312)),ROW(39:39)),2)),"",INDEX($A$3:$B$14312,SMALL(IF($A$3:$A$14312=DU$3,ROW($A$3:$A$14312)),ROW(39:39)),2))</f>
        <v>Router3_156</v>
      </c>
      <c r="DV41" t="str">
        <f t="array" ref="DV41">IF(ISERROR(INDEX($A$3:$B$14312,SMALL(IF($A$3:$A$14312=DV$3,ROW($A$3:$A$14312)),ROW(39:39)),2)),"",INDEX($A$3:$B$14312,SMALL(IF($A$3:$A$14312=DV$3,ROW($A$3:$A$14312)),ROW(39:39)),2))</f>
        <v/>
      </c>
      <c r="DW41" t="str">
        <f t="array" ref="DW41">IF(ISERROR(INDEX($A$3:$B$14312,SMALL(IF($A$3:$A$14312=DW$3,ROW($A$3:$A$14312)),ROW(39:39)),2)),"",INDEX($A$3:$B$14312,SMALL(IF($A$3:$A$14312=DW$3,ROW($A$3:$A$14312)),ROW(39:39)),2))</f>
        <v/>
      </c>
      <c r="DX41" t="str">
        <f t="array" ref="DX41">IF(ISERROR(INDEX($A$3:$B$14312,SMALL(IF($A$3:$A$14312=DX$3,ROW($A$3:$A$14312)),ROW(39:39)),2)),"",INDEX($A$3:$B$14312,SMALL(IF($A$3:$A$14312=DX$3,ROW($A$3:$A$14312)),ROW(39:39)),2))</f>
        <v/>
      </c>
      <c r="DY41" t="str">
        <f t="array" ref="DY41">IF(ISERROR(INDEX($A$3:$B$14312,SMALL(IF($A$3:$A$14312=DY$3,ROW($A$3:$A$14312)),ROW(39:39)),2)),"",INDEX($A$3:$B$14312,SMALL(IF($A$3:$A$14312=DY$3,ROW($A$3:$A$14312)),ROW(39:39)),2))</f>
        <v/>
      </c>
      <c r="DZ41" t="str">
        <f t="array" ref="DZ41">IF(ISERROR(INDEX($A$3:$B$14312,SMALL(IF($A$3:$A$14312=DZ$3,ROW($A$3:$A$14312)),ROW(39:39)),2)),"",INDEX($A$3:$B$14312,SMALL(IF($A$3:$A$14312=DZ$3,ROW($A$3:$A$14312)),ROW(39:39)),2))</f>
        <v/>
      </c>
      <c r="EA41" t="str">
        <f t="array" ref="EA41">IF(ISERROR(INDEX($A$3:$B$14312,SMALL(IF($A$3:$A$14312=EA$3,ROW($A$3:$A$14312)),ROW(39:39)),2)),"",INDEX($A$3:$B$14312,SMALL(IF($A$3:$A$14312=EA$3,ROW($A$3:$A$14312)),ROW(39:39)),2))</f>
        <v/>
      </c>
      <c r="EB41" t="str">
        <f t="array" ref="EB41">IF(ISERROR(INDEX($A$3:$B$14312,SMALL(IF($A$3:$A$14312=EB$3,ROW($A$3:$A$14312)),ROW(39:39)),2)),"",INDEX($A$3:$B$14312,SMALL(IF($A$3:$A$14312=EB$3,ROW($A$3:$A$14312)),ROW(39:39)),2))</f>
        <v/>
      </c>
      <c r="EC41" t="str">
        <f t="array" ref="EC41">IF(ISERROR(INDEX($A$3:$B$14312,SMALL(IF($A$3:$A$14312=EC$3,ROW($A$3:$A$14312)),ROW(39:39)),2)),"",INDEX($A$3:$B$14312,SMALL(IF($A$3:$A$14312=EC$3,ROW($A$3:$A$14312)),ROW(39:39)),2))</f>
        <v>Router3_149</v>
      </c>
      <c r="ED41" t="str">
        <f t="array" ref="ED41">IF(ISERROR(INDEX($A$3:$B$14312,SMALL(IF($A$3:$A$14312=ED$3,ROW($A$3:$A$14312)),ROW(39:39)),2)),"",INDEX($A$3:$B$14312,SMALL(IF($A$3:$A$14312=ED$3,ROW($A$3:$A$14312)),ROW(39:39)),2))</f>
        <v>Router3_161</v>
      </c>
      <c r="EE41" t="str">
        <f t="array" ref="EE41">IF(ISERROR(INDEX($A$3:$B$14312,SMALL(IF($A$3:$A$14312=EE$3,ROW($A$3:$A$14312)),ROW(39:39)),2)),"",INDEX($A$3:$B$14312,SMALL(IF($A$3:$A$14312=EE$3,ROW($A$3:$A$14312)),ROW(39:39)),2))</f>
        <v/>
      </c>
    </row>
    <row r="42" spans="1:135" x14ac:dyDescent="0.25">
      <c r="A42" s="10">
        <v>-450827381</v>
      </c>
      <c r="B42" t="s">
        <v>1097</v>
      </c>
      <c r="E42" t="str">
        <f t="array" ref="E42">IF(ISERROR(INDEX($A$3:$B$14312,SMALL(IF($A$3:$A$14312=E$3,ROW($A$3:$A$14312)),ROW(40:40)),2)),"",INDEX($A$3:$B$14312,SMALL(IF($A$3:$A$14312=E$3,ROW($A$3:$A$14312)),ROW(40:40)),2))</f>
        <v/>
      </c>
      <c r="F42" t="str">
        <f t="array" ref="F42">IF(ISERROR(INDEX($A$3:$B$14312,SMALL(IF($A$3:$A$14312=F$3,ROW($A$3:$A$14312)),ROW(40:40)),2)),"",INDEX($A$3:$B$14312,SMALL(IF($A$3:$A$14312=F$3,ROW($A$3:$A$14312)),ROW(40:40)),2))</f>
        <v/>
      </c>
      <c r="G42" t="str">
        <f t="array" ref="G42">IF(ISERROR(INDEX($A$3:$B$14312,SMALL(IF($A$3:$A$14312=G$3,ROW($A$3:$A$14312)),ROW(40:40)),2)),"",INDEX($A$3:$B$14312,SMALL(IF($A$3:$A$14312=G$3,ROW($A$3:$A$14312)),ROW(40:40)),2))</f>
        <v/>
      </c>
      <c r="H42" t="str">
        <f t="array" ref="H42">IF(ISERROR(INDEX($A$3:$B$14312,SMALL(IF($A$3:$A$14312=H$3,ROW($A$3:$A$14312)),ROW(40:40)),2)),"",INDEX($A$3:$B$14312,SMALL(IF($A$3:$A$14312=H$3,ROW($A$3:$A$14312)),ROW(40:40)),2))</f>
        <v/>
      </c>
      <c r="I42" t="str">
        <f t="array" ref="I42">IF(ISERROR(INDEX($A$3:$B$14312,SMALL(IF($A$3:$A$14312=I$3,ROW($A$3:$A$14312)),ROW(40:40)),2)),"",INDEX($A$3:$B$14312,SMALL(IF($A$3:$A$14312=I$3,ROW($A$3:$A$14312)),ROW(40:40)),2))</f>
        <v/>
      </c>
      <c r="J42" t="str">
        <f t="array" ref="J42">IF(ISERROR(INDEX($A$3:$B$14312,SMALL(IF($A$3:$A$14312=J$3,ROW($A$3:$A$14312)),ROW(40:40)),2)),"",INDEX($A$3:$B$14312,SMALL(IF($A$3:$A$14312=J$3,ROW($A$3:$A$14312)),ROW(40:40)),2))</f>
        <v/>
      </c>
      <c r="K42" t="str">
        <f t="array" ref="K42">IF(ISERROR(INDEX($A$3:$B$14312,SMALL(IF($A$3:$A$14312=K$3,ROW($A$3:$A$14312)),ROW(40:40)),2)),"",INDEX($A$3:$B$14312,SMALL(IF($A$3:$A$14312=K$3,ROW($A$3:$A$14312)),ROW(40:40)),2))</f>
        <v/>
      </c>
      <c r="L42" t="str">
        <f t="array" ref="L42">IF(ISERROR(INDEX($A$3:$B$14312,SMALL(IF($A$3:$A$14312=L$3,ROW($A$3:$A$14312)),ROW(40:40)),2)),"",INDEX($A$3:$B$14312,SMALL(IF($A$3:$A$14312=L$3,ROW($A$3:$A$14312)),ROW(40:40)),2))</f>
        <v/>
      </c>
      <c r="M42" t="str">
        <f t="array" ref="M42">IF(ISERROR(INDEX($A$3:$B$14312,SMALL(IF($A$3:$A$14312=M$3,ROW($A$3:$A$14312)),ROW(40:40)),2)),"",INDEX($A$3:$B$14312,SMALL(IF($A$3:$A$14312=M$3,ROW($A$3:$A$14312)),ROW(40:40)),2))</f>
        <v/>
      </c>
      <c r="N42" t="str">
        <f t="array" ref="N42">IF(ISERROR(INDEX($A$3:$B$14312,SMALL(IF($A$3:$A$14312=N$3,ROW($A$3:$A$14312)),ROW(40:40)),2)),"",INDEX($A$3:$B$14312,SMALL(IF($A$3:$A$14312=N$3,ROW($A$3:$A$14312)),ROW(40:40)),2))</f>
        <v/>
      </c>
      <c r="O42" t="str">
        <f t="array" ref="O42">IF(ISERROR(INDEX($A$3:$B$14312,SMALL(IF($A$3:$A$14312=O$3,ROW($A$3:$A$14312)),ROW(40:40)),2)),"",INDEX($A$3:$B$14312,SMALL(IF($A$3:$A$14312=O$3,ROW($A$3:$A$14312)),ROW(40:40)),2))</f>
        <v/>
      </c>
      <c r="P42" t="str">
        <f t="array" ref="P42">IF(ISERROR(INDEX($A$3:$B$14312,SMALL(IF($A$3:$A$14312=P$3,ROW($A$3:$A$14312)),ROW(40:40)),2)),"",INDEX($A$3:$B$14312,SMALL(IF($A$3:$A$14312=P$3,ROW($A$3:$A$14312)),ROW(40:40)),2))</f>
        <v/>
      </c>
      <c r="Q42" t="str">
        <f t="array" ref="Q42">IF(ISERROR(INDEX($A$3:$B$14312,SMALL(IF($A$3:$A$14312=Q$3,ROW($A$3:$A$14312)),ROW(40:40)),2)),"",INDEX($A$3:$B$14312,SMALL(IF($A$3:$A$14312=Q$3,ROW($A$3:$A$14312)),ROW(40:40)),2))</f>
        <v/>
      </c>
      <c r="R42" t="str">
        <f t="array" ref="R42">IF(ISERROR(INDEX($A$3:$B$14312,SMALL(IF($A$3:$A$14312=R$3,ROW($A$3:$A$14312)),ROW(40:40)),2)),"",INDEX($A$3:$B$14312,SMALL(IF($A$3:$A$14312=R$3,ROW($A$3:$A$14312)),ROW(40:40)),2))</f>
        <v/>
      </c>
      <c r="S42" t="str">
        <f t="array" ref="S42">IF(ISERROR(INDEX($A$3:$B$14312,SMALL(IF($A$3:$A$14312=S$3,ROW($A$3:$A$14312)),ROW(40:40)),2)),"",INDEX($A$3:$B$14312,SMALL(IF($A$3:$A$14312=S$3,ROW($A$3:$A$14312)),ROW(40:40)),2))</f>
        <v/>
      </c>
      <c r="T42" t="str">
        <f t="array" ref="T42">IF(ISERROR(INDEX($A$3:$B$14312,SMALL(IF($A$3:$A$14312=T$3,ROW($A$3:$A$14312)),ROW(40:40)),2)),"",INDEX($A$3:$B$14312,SMALL(IF($A$3:$A$14312=T$3,ROW($A$3:$A$14312)),ROW(40:40)),2))</f>
        <v/>
      </c>
      <c r="U42" t="str">
        <f t="array" ref="U42">IF(ISERROR(INDEX($A$3:$B$14312,SMALL(IF($A$3:$A$14312=U$3,ROW($A$3:$A$14312)),ROW(40:40)),2)),"",INDEX($A$3:$B$14312,SMALL(IF($A$3:$A$14312=U$3,ROW($A$3:$A$14312)),ROW(40:40)),2))</f>
        <v/>
      </c>
      <c r="V42" t="str">
        <f t="array" ref="V42">IF(ISERROR(INDEX($A$3:$B$14312,SMALL(IF($A$3:$A$14312=V$3,ROW($A$3:$A$14312)),ROW(40:40)),2)),"",INDEX($A$3:$B$14312,SMALL(IF($A$3:$A$14312=V$3,ROW($A$3:$A$14312)),ROW(40:40)),2))</f>
        <v/>
      </c>
      <c r="W42" t="str">
        <f t="array" ref="W42">IF(ISERROR(INDEX($A$3:$B$14312,SMALL(IF($A$3:$A$14312=W$3,ROW($A$3:$A$14312)),ROW(40:40)),2)),"",INDEX($A$3:$B$14312,SMALL(IF($A$3:$A$14312=W$3,ROW($A$3:$A$14312)),ROW(40:40)),2))</f>
        <v>Router3_151</v>
      </c>
      <c r="X42" t="str">
        <f t="array" ref="X42">IF(ISERROR(INDEX($A$3:$B$14312,SMALL(IF($A$3:$A$14312=X$3,ROW($A$3:$A$14312)),ROW(40:40)),2)),"",INDEX($A$3:$B$14312,SMALL(IF($A$3:$A$14312=X$3,ROW($A$3:$A$14312)),ROW(40:40)),2))</f>
        <v/>
      </c>
      <c r="Y42" t="str">
        <f t="array" ref="Y42">IF(ISERROR(INDEX($A$3:$B$14312,SMALL(IF($A$3:$A$14312=Y$3,ROW($A$3:$A$14312)),ROW(40:40)),2)),"",INDEX($A$3:$B$14312,SMALL(IF($A$3:$A$14312=Y$3,ROW($A$3:$A$14312)),ROW(40:40)),2))</f>
        <v/>
      </c>
      <c r="Z42" t="str">
        <f t="array" ref="Z42">IF(ISERROR(INDEX($A$3:$B$14312,SMALL(IF($A$3:$A$14312=Z$3,ROW($A$3:$A$14312)),ROW(40:40)),2)),"",INDEX($A$3:$B$14312,SMALL(IF($A$3:$A$14312=Z$3,ROW($A$3:$A$14312)),ROW(40:40)),2))</f>
        <v/>
      </c>
      <c r="AA42" t="str">
        <f t="array" ref="AA42">IF(ISERROR(INDEX($A$3:$B$14312,SMALL(IF($A$3:$A$14312=AA$3,ROW($A$3:$A$14312)),ROW(40:40)),2)),"",INDEX($A$3:$B$14312,SMALL(IF($A$3:$A$14312=AA$3,ROW($A$3:$A$14312)),ROW(40:40)),2))</f>
        <v/>
      </c>
      <c r="AB42" t="str">
        <f t="array" ref="AB42">IF(ISERROR(INDEX($A$3:$B$14312,SMALL(IF($A$3:$A$14312=AB$3,ROW($A$3:$A$14312)),ROW(40:40)),2)),"",INDEX($A$3:$B$14312,SMALL(IF($A$3:$A$14312=AB$3,ROW($A$3:$A$14312)),ROW(40:40)),2))</f>
        <v/>
      </c>
      <c r="AC42" t="str">
        <f t="array" ref="AC42">IF(ISERROR(INDEX($A$3:$B$14312,SMALL(IF($A$3:$A$14312=AC$3,ROW($A$3:$A$14312)),ROW(40:40)),2)),"",INDEX($A$3:$B$14312,SMALL(IF($A$3:$A$14312=AC$3,ROW($A$3:$A$14312)),ROW(40:40)),2))</f>
        <v/>
      </c>
      <c r="AD42" t="str">
        <f t="array" ref="AD42">IF(ISERROR(INDEX($A$3:$B$14312,SMALL(IF($A$3:$A$14312=AD$3,ROW($A$3:$A$14312)),ROW(40:40)),2)),"",INDEX($A$3:$B$14312,SMALL(IF($A$3:$A$14312=AD$3,ROW($A$3:$A$14312)),ROW(40:40)),2))</f>
        <v/>
      </c>
      <c r="AE42" t="str">
        <f t="array" ref="AE42">IF(ISERROR(INDEX($A$3:$B$14312,SMALL(IF($A$3:$A$14312=AE$3,ROW($A$3:$A$14312)),ROW(40:40)),2)),"",INDEX($A$3:$B$14312,SMALL(IF($A$3:$A$14312=AE$3,ROW($A$3:$A$14312)),ROW(40:40)),2))</f>
        <v/>
      </c>
      <c r="AF42" t="str">
        <f t="array" ref="AF42">IF(ISERROR(INDEX($A$3:$B$14312,SMALL(IF($A$3:$A$14312=AF$3,ROW($A$3:$A$14312)),ROW(40:40)),2)),"",INDEX($A$3:$B$14312,SMALL(IF($A$3:$A$14312=AF$3,ROW($A$3:$A$14312)),ROW(40:40)),2))</f>
        <v/>
      </c>
      <c r="AG42" t="str">
        <f t="array" ref="AG42">IF(ISERROR(INDEX($A$3:$B$14312,SMALL(IF($A$3:$A$14312=AG$3,ROW($A$3:$A$14312)),ROW(40:40)),2)),"",INDEX($A$3:$B$14312,SMALL(IF($A$3:$A$14312=AG$3,ROW($A$3:$A$14312)),ROW(40:40)),2))</f>
        <v/>
      </c>
      <c r="AH42" t="str">
        <f t="array" ref="AH42">IF(ISERROR(INDEX($A$3:$B$14312,SMALL(IF($A$3:$A$14312=AH$3,ROW($A$3:$A$14312)),ROW(40:40)),2)),"",INDEX($A$3:$B$14312,SMALL(IF($A$3:$A$14312=AH$3,ROW($A$3:$A$14312)),ROW(40:40)),2))</f>
        <v/>
      </c>
      <c r="AI42" t="str">
        <f t="array" ref="AI42">IF(ISERROR(INDEX($A$3:$B$14312,SMALL(IF($A$3:$A$14312=AI$3,ROW($A$3:$A$14312)),ROW(40:40)),2)),"",INDEX($A$3:$B$14312,SMALL(IF($A$3:$A$14312=AI$3,ROW($A$3:$A$14312)),ROW(40:40)),2))</f>
        <v/>
      </c>
      <c r="AJ42" t="str">
        <f t="array" ref="AJ42">IF(ISERROR(INDEX($A$3:$B$14312,SMALL(IF($A$3:$A$14312=AJ$3,ROW($A$3:$A$14312)),ROW(40:40)),2)),"",INDEX($A$3:$B$14312,SMALL(IF($A$3:$A$14312=AJ$3,ROW($A$3:$A$14312)),ROW(40:40)),2))</f>
        <v/>
      </c>
      <c r="AK42" t="str">
        <f t="array" ref="AK42">IF(ISERROR(INDEX($A$3:$B$14312,SMALL(IF($A$3:$A$14312=AK$3,ROW($A$3:$A$14312)),ROW(40:40)),2)),"",INDEX($A$3:$B$14312,SMALL(IF($A$3:$A$14312=AK$3,ROW($A$3:$A$14312)),ROW(40:40)),2))</f>
        <v/>
      </c>
      <c r="AL42" t="str">
        <f t="array" ref="AL42">IF(ISERROR(INDEX($A$3:$B$14312,SMALL(IF($A$3:$A$14312=AL$3,ROW($A$3:$A$14312)),ROW(40:40)),2)),"",INDEX($A$3:$B$14312,SMALL(IF($A$3:$A$14312=AL$3,ROW($A$3:$A$14312)),ROW(40:40)),2))</f>
        <v/>
      </c>
      <c r="AM42" t="str">
        <f t="array" ref="AM42">IF(ISERROR(INDEX($A$3:$B$14312,SMALL(IF($A$3:$A$14312=AM$3,ROW($A$3:$A$14312)),ROW(40:40)),2)),"",INDEX($A$3:$B$14312,SMALL(IF($A$3:$A$14312=AM$3,ROW($A$3:$A$14312)),ROW(40:40)),2))</f>
        <v>Router3_160</v>
      </c>
      <c r="AN42" t="str">
        <f t="array" ref="AN42">IF(ISERROR(INDEX($A$3:$B$14312,SMALL(IF($A$3:$A$14312=AN$3,ROW($A$3:$A$14312)),ROW(40:40)),2)),"",INDEX($A$3:$B$14312,SMALL(IF($A$3:$A$14312=AN$3,ROW($A$3:$A$14312)),ROW(40:40)),2))</f>
        <v/>
      </c>
      <c r="AO42" t="str">
        <f t="array" ref="AO42">IF(ISERROR(INDEX($A$3:$B$14312,SMALL(IF($A$3:$A$14312=AO$3,ROW($A$3:$A$14312)),ROW(40:40)),2)),"",INDEX($A$3:$B$14312,SMALL(IF($A$3:$A$14312=AO$3,ROW($A$3:$A$14312)),ROW(40:40)),2))</f>
        <v/>
      </c>
      <c r="AP42" t="str">
        <f t="array" ref="AP42">IF(ISERROR(INDEX($A$3:$B$14312,SMALL(IF($A$3:$A$14312=AP$3,ROW($A$3:$A$14312)),ROW(40:40)),2)),"",INDEX($A$3:$B$14312,SMALL(IF($A$3:$A$14312=AP$3,ROW($A$3:$A$14312)),ROW(40:40)),2))</f>
        <v/>
      </c>
      <c r="AQ42" t="str">
        <f t="array" ref="AQ42">IF(ISERROR(INDEX($A$3:$B$14312,SMALL(IF($A$3:$A$14312=AQ$3,ROW($A$3:$A$14312)),ROW(40:40)),2)),"",INDEX($A$3:$B$14312,SMALL(IF($A$3:$A$14312=AQ$3,ROW($A$3:$A$14312)),ROW(40:40)),2))</f>
        <v/>
      </c>
      <c r="AR42" t="str">
        <f t="array" ref="AR42">IF(ISERROR(INDEX($A$3:$B$14312,SMALL(IF($A$3:$A$14312=AR$3,ROW($A$3:$A$14312)),ROW(40:40)),2)),"",INDEX($A$3:$B$14312,SMALL(IF($A$3:$A$14312=AR$3,ROW($A$3:$A$14312)),ROW(40:40)),2))</f>
        <v/>
      </c>
      <c r="AS42" t="str">
        <f t="array" ref="AS42">IF(ISERROR(INDEX($A$3:$B$14312,SMALL(IF($A$3:$A$14312=AS$3,ROW($A$3:$A$14312)),ROW(40:40)),2)),"",INDEX($A$3:$B$14312,SMALL(IF($A$3:$A$14312=AS$3,ROW($A$3:$A$14312)),ROW(40:40)),2))</f>
        <v/>
      </c>
      <c r="AT42" t="str">
        <f t="array" ref="AT42">IF(ISERROR(INDEX($A$3:$B$14312,SMALL(IF($A$3:$A$14312=AT$3,ROW($A$3:$A$14312)),ROW(40:40)),2)),"",INDEX($A$3:$B$14312,SMALL(IF($A$3:$A$14312=AT$3,ROW($A$3:$A$14312)),ROW(40:40)),2))</f>
        <v/>
      </c>
      <c r="AU42" t="str">
        <f t="array" ref="AU42">IF(ISERROR(INDEX($A$3:$B$14312,SMALL(IF($A$3:$A$14312=AU$3,ROW($A$3:$A$14312)),ROW(40:40)),2)),"",INDEX($A$3:$B$14312,SMALL(IF($A$3:$A$14312=AU$3,ROW($A$3:$A$14312)),ROW(40:40)),2))</f>
        <v/>
      </c>
      <c r="AV42" t="str">
        <f t="array" ref="AV42">IF(ISERROR(INDEX($A$3:$B$14312,SMALL(IF($A$3:$A$14312=AV$3,ROW($A$3:$A$14312)),ROW(40:40)),2)),"",INDEX($A$3:$B$14312,SMALL(IF($A$3:$A$14312=AV$3,ROW($A$3:$A$14312)),ROW(40:40)),2))</f>
        <v/>
      </c>
      <c r="AW42" t="str">
        <f t="array" ref="AW42">IF(ISERROR(INDEX($A$3:$B$14312,SMALL(IF($A$3:$A$14312=AW$3,ROW($A$3:$A$14312)),ROW(40:40)),2)),"",INDEX($A$3:$B$14312,SMALL(IF($A$3:$A$14312=AW$3,ROW($A$3:$A$14312)),ROW(40:40)),2))</f>
        <v/>
      </c>
      <c r="AX42" t="str">
        <f t="array" ref="AX42">IF(ISERROR(INDEX($A$3:$B$14312,SMALL(IF($A$3:$A$14312=AX$3,ROW($A$3:$A$14312)),ROW(40:40)),2)),"",INDEX($A$3:$B$14312,SMALL(IF($A$3:$A$14312=AX$3,ROW($A$3:$A$14312)),ROW(40:40)),2))</f>
        <v/>
      </c>
      <c r="AY42" t="str">
        <f t="array" ref="AY42">IF(ISERROR(INDEX($A$3:$B$14312,SMALL(IF($A$3:$A$14312=AY$3,ROW($A$3:$A$14312)),ROW(40:40)),2)),"",INDEX($A$3:$B$14312,SMALL(IF($A$3:$A$14312=AY$3,ROW($A$3:$A$14312)),ROW(40:40)),2))</f>
        <v>Router3_165</v>
      </c>
      <c r="AZ42" t="str">
        <f t="array" ref="AZ42">IF(ISERROR(INDEX($A$3:$B$14312,SMALL(IF($A$3:$A$14312=AZ$3,ROW($A$3:$A$14312)),ROW(40:40)),2)),"",INDEX($A$3:$B$14312,SMALL(IF($A$3:$A$14312=AZ$3,ROW($A$3:$A$14312)),ROW(40:40)),2))</f>
        <v/>
      </c>
      <c r="BA42" t="str">
        <f t="array" ref="BA42">IF(ISERROR(INDEX($A$3:$B$14312,SMALL(IF($A$3:$A$14312=BA$3,ROW($A$3:$A$14312)),ROW(40:40)),2)),"",INDEX($A$3:$B$14312,SMALL(IF($A$3:$A$14312=BA$3,ROW($A$3:$A$14312)),ROW(40:40)),2))</f>
        <v/>
      </c>
      <c r="BB42" t="str">
        <f t="array" ref="BB42">IF(ISERROR(INDEX($A$3:$B$14312,SMALL(IF($A$3:$A$14312=BB$3,ROW($A$3:$A$14312)),ROW(40:40)),2)),"",INDEX($A$3:$B$14312,SMALL(IF($A$3:$A$14312=BB$3,ROW($A$3:$A$14312)),ROW(40:40)),2))</f>
        <v/>
      </c>
      <c r="BC42" t="str">
        <f t="array" ref="BC42">IF(ISERROR(INDEX($A$3:$B$14312,SMALL(IF($A$3:$A$14312=BC$3,ROW($A$3:$A$14312)),ROW(40:40)),2)),"",INDEX($A$3:$B$14312,SMALL(IF($A$3:$A$14312=BC$3,ROW($A$3:$A$14312)),ROW(40:40)),2))</f>
        <v/>
      </c>
      <c r="BD42" t="str">
        <f t="array" ref="BD42">IF(ISERROR(INDEX($A$3:$B$14312,SMALL(IF($A$3:$A$14312=BD$3,ROW($A$3:$A$14312)),ROW(40:40)),2)),"",INDEX($A$3:$B$14312,SMALL(IF($A$3:$A$14312=BD$3,ROW($A$3:$A$14312)),ROW(40:40)),2))</f>
        <v/>
      </c>
      <c r="BE42" t="str">
        <f t="array" ref="BE42">IF(ISERROR(INDEX($A$3:$B$14312,SMALL(IF($A$3:$A$14312=BE$3,ROW($A$3:$A$14312)),ROW(40:40)),2)),"",INDEX($A$3:$B$14312,SMALL(IF($A$3:$A$14312=BE$3,ROW($A$3:$A$14312)),ROW(40:40)),2))</f>
        <v/>
      </c>
      <c r="BF42" t="str">
        <f t="array" ref="BF42">IF(ISERROR(INDEX($A$3:$B$14312,SMALL(IF($A$3:$A$14312=BF$3,ROW($A$3:$A$14312)),ROW(40:40)),2)),"",INDEX($A$3:$B$14312,SMALL(IF($A$3:$A$14312=BF$3,ROW($A$3:$A$14312)),ROW(40:40)),2))</f>
        <v/>
      </c>
      <c r="BG42" t="str">
        <f t="array" ref="BG42">IF(ISERROR(INDEX($A$3:$B$14312,SMALL(IF($A$3:$A$14312=BG$3,ROW($A$3:$A$14312)),ROW(40:40)),2)),"",INDEX($A$3:$B$14312,SMALL(IF($A$3:$A$14312=BG$3,ROW($A$3:$A$14312)),ROW(40:40)),2))</f>
        <v/>
      </c>
      <c r="BH42" t="str">
        <f t="array" ref="BH42">IF(ISERROR(INDEX($A$3:$B$14312,SMALL(IF($A$3:$A$14312=BH$3,ROW($A$3:$A$14312)),ROW(40:40)),2)),"",INDEX($A$3:$B$14312,SMALL(IF($A$3:$A$14312=BH$3,ROW($A$3:$A$14312)),ROW(40:40)),2))</f>
        <v/>
      </c>
      <c r="BI42" t="str">
        <f t="array" ref="BI42">IF(ISERROR(INDEX($A$3:$B$14312,SMALL(IF($A$3:$A$14312=BI$3,ROW($A$3:$A$14312)),ROW(40:40)),2)),"",INDEX($A$3:$B$14312,SMALL(IF($A$3:$A$14312=BI$3,ROW($A$3:$A$14312)),ROW(40:40)),2))</f>
        <v/>
      </c>
      <c r="BJ42" t="str">
        <f t="array" ref="BJ42">IF(ISERROR(INDEX($A$3:$B$14312,SMALL(IF($A$3:$A$14312=BJ$3,ROW($A$3:$A$14312)),ROW(40:40)),2)),"",INDEX($A$3:$B$14312,SMALL(IF($A$3:$A$14312=BJ$3,ROW($A$3:$A$14312)),ROW(40:40)),2))</f>
        <v/>
      </c>
      <c r="BK42" t="str">
        <f t="array" ref="BK42">IF(ISERROR(INDEX($A$3:$B$14312,SMALL(IF($A$3:$A$14312=BK$3,ROW($A$3:$A$14312)),ROW(40:40)),2)),"",INDEX($A$3:$B$14312,SMALL(IF($A$3:$A$14312=BK$3,ROW($A$3:$A$14312)),ROW(40:40)),2))</f>
        <v/>
      </c>
      <c r="BL42" t="str">
        <f t="array" ref="BL42">IF(ISERROR(INDEX($A$3:$B$14312,SMALL(IF($A$3:$A$14312=BL$3,ROW($A$3:$A$14312)),ROW(40:40)),2)),"",INDEX($A$3:$B$14312,SMALL(IF($A$3:$A$14312=BL$3,ROW($A$3:$A$14312)),ROW(40:40)),2))</f>
        <v/>
      </c>
      <c r="BM42" t="str">
        <f t="array" ref="BM42">IF(ISERROR(INDEX($A$3:$B$14312,SMALL(IF($A$3:$A$14312=BM$3,ROW($A$3:$A$14312)),ROW(40:40)),2)),"",INDEX($A$3:$B$14312,SMALL(IF($A$3:$A$14312=BM$3,ROW($A$3:$A$14312)),ROW(40:40)),2))</f>
        <v/>
      </c>
      <c r="BN42" t="str">
        <f t="array" ref="BN42">IF(ISERROR(INDEX($A$3:$B$14312,SMALL(IF($A$3:$A$14312=BN$3,ROW($A$3:$A$14312)),ROW(40:40)),2)),"",INDEX($A$3:$B$14312,SMALL(IF($A$3:$A$14312=BN$3,ROW($A$3:$A$14312)),ROW(40:40)),2))</f>
        <v/>
      </c>
      <c r="BO42" t="str">
        <f t="array" ref="BO42">IF(ISERROR(INDEX($A$3:$B$14312,SMALL(IF($A$3:$A$14312=BO$3,ROW($A$3:$A$14312)),ROW(40:40)),2)),"",INDEX($A$3:$B$14312,SMALL(IF($A$3:$A$14312=BO$3,ROW($A$3:$A$14312)),ROW(40:40)),2))</f>
        <v/>
      </c>
      <c r="BP42" t="str">
        <f t="array" ref="BP42">IF(ISERROR(INDEX($A$3:$B$14312,SMALL(IF($A$3:$A$14312=BP$3,ROW($A$3:$A$14312)),ROW(40:40)),2)),"",INDEX($A$3:$B$14312,SMALL(IF($A$3:$A$14312=BP$3,ROW($A$3:$A$14312)),ROW(40:40)),2))</f>
        <v/>
      </c>
      <c r="BQ42" t="str">
        <f t="array" ref="BQ42">IF(ISERROR(INDEX($A$3:$B$14312,SMALL(IF($A$3:$A$14312=BQ$3,ROW($A$3:$A$14312)),ROW(40:40)),2)),"",INDEX($A$3:$B$14312,SMALL(IF($A$3:$A$14312=BQ$3,ROW($A$3:$A$14312)),ROW(40:40)),2))</f>
        <v/>
      </c>
      <c r="BR42" t="str">
        <f t="array" ref="BR42">IF(ISERROR(INDEX($A$3:$B$14312,SMALL(IF($A$3:$A$14312=BR$3,ROW($A$3:$A$14312)),ROW(40:40)),2)),"",INDEX($A$3:$B$14312,SMALL(IF($A$3:$A$14312=BR$3,ROW($A$3:$A$14312)),ROW(40:40)),2))</f>
        <v/>
      </c>
      <c r="BS42" t="str">
        <f t="array" ref="BS42">IF(ISERROR(INDEX($A$3:$B$14312,SMALL(IF($A$3:$A$14312=BS$3,ROW($A$3:$A$14312)),ROW(40:40)),2)),"",INDEX($A$3:$B$14312,SMALL(IF($A$3:$A$14312=BS$3,ROW($A$3:$A$14312)),ROW(40:40)),2))</f>
        <v/>
      </c>
      <c r="BT42" t="str">
        <f t="array" ref="BT42">IF(ISERROR(INDEX($A$3:$B$14312,SMALL(IF($A$3:$A$14312=BT$3,ROW($A$3:$A$14312)),ROW(40:40)),2)),"",INDEX($A$3:$B$14312,SMALL(IF($A$3:$A$14312=BT$3,ROW($A$3:$A$14312)),ROW(40:40)),2))</f>
        <v>Router3_142</v>
      </c>
      <c r="BU42" t="str">
        <f t="array" ref="BU42">IF(ISERROR(INDEX($A$3:$B$14312,SMALL(IF($A$3:$A$14312=BU$3,ROW($A$3:$A$14312)),ROW(40:40)),2)),"",INDEX($A$3:$B$14312,SMALL(IF($A$3:$A$14312=BU$3,ROW($A$3:$A$14312)),ROW(40:40)),2))</f>
        <v/>
      </c>
      <c r="BV42" t="str">
        <f t="array" ref="BV42">IF(ISERROR(INDEX($A$3:$B$14312,SMALL(IF($A$3:$A$14312=BV$3,ROW($A$3:$A$14312)),ROW(40:40)),2)),"",INDEX($A$3:$B$14312,SMALL(IF($A$3:$A$14312=BV$3,ROW($A$3:$A$14312)),ROW(40:40)),2))</f>
        <v/>
      </c>
      <c r="BW42" t="str">
        <f t="array" ref="BW42">IF(ISERROR(INDEX($A$3:$B$14312,SMALL(IF($A$3:$A$14312=BW$3,ROW($A$3:$A$14312)),ROW(40:40)),2)),"",INDEX($A$3:$B$14312,SMALL(IF($A$3:$A$14312=BW$3,ROW($A$3:$A$14312)),ROW(40:40)),2))</f>
        <v/>
      </c>
      <c r="BX42" t="str">
        <f t="array" ref="BX42">IF(ISERROR(INDEX($A$3:$B$14312,SMALL(IF($A$3:$A$14312=BX$3,ROW($A$3:$A$14312)),ROW(40:40)),2)),"",INDEX($A$3:$B$14312,SMALL(IF($A$3:$A$14312=BX$3,ROW($A$3:$A$14312)),ROW(40:40)),2))</f>
        <v/>
      </c>
      <c r="BY42" t="str">
        <f t="array" ref="BY42">IF(ISERROR(INDEX($A$3:$B$14312,SMALL(IF($A$3:$A$14312=BY$3,ROW($A$3:$A$14312)),ROW(40:40)),2)),"",INDEX($A$3:$B$14312,SMALL(IF($A$3:$A$14312=BY$3,ROW($A$3:$A$14312)),ROW(40:40)),2))</f>
        <v/>
      </c>
      <c r="BZ42" t="str">
        <f t="array" ref="BZ42">IF(ISERROR(INDEX($A$3:$B$14312,SMALL(IF($A$3:$A$14312=BZ$3,ROW($A$3:$A$14312)),ROW(40:40)),2)),"",INDEX($A$3:$B$14312,SMALL(IF($A$3:$A$14312=BZ$3,ROW($A$3:$A$14312)),ROW(40:40)),2))</f>
        <v/>
      </c>
      <c r="CA42" t="str">
        <f t="array" ref="CA42">IF(ISERROR(INDEX($A$3:$B$14312,SMALL(IF($A$3:$A$14312=CA$3,ROW($A$3:$A$14312)),ROW(40:40)),2)),"",INDEX($A$3:$B$14312,SMALL(IF($A$3:$A$14312=CA$3,ROW($A$3:$A$14312)),ROW(40:40)),2))</f>
        <v/>
      </c>
      <c r="CB42" t="str">
        <f t="array" ref="CB42">IF(ISERROR(INDEX($A$3:$B$14312,SMALL(IF($A$3:$A$14312=CB$3,ROW($A$3:$A$14312)),ROW(40:40)),2)),"",INDEX($A$3:$B$14312,SMALL(IF($A$3:$A$14312=CB$3,ROW($A$3:$A$14312)),ROW(40:40)),2))</f>
        <v/>
      </c>
      <c r="CC42" t="str">
        <f t="array" ref="CC42">IF(ISERROR(INDEX($A$3:$B$14312,SMALL(IF($A$3:$A$14312=CC$3,ROW($A$3:$A$14312)),ROW(40:40)),2)),"",INDEX($A$3:$B$14312,SMALL(IF($A$3:$A$14312=CC$3,ROW($A$3:$A$14312)),ROW(40:40)),2))</f>
        <v/>
      </c>
      <c r="CD42" t="str">
        <f t="array" ref="CD42">IF(ISERROR(INDEX($A$3:$B$14312,SMALL(IF($A$3:$A$14312=CD$3,ROW($A$3:$A$14312)),ROW(40:40)),2)),"",INDEX($A$3:$B$14312,SMALL(IF($A$3:$A$14312=CD$3,ROW($A$3:$A$14312)),ROW(40:40)),2))</f>
        <v/>
      </c>
      <c r="CE42" t="str">
        <f t="array" ref="CE42">IF(ISERROR(INDEX($A$3:$B$14312,SMALL(IF($A$3:$A$14312=CE$3,ROW($A$3:$A$14312)),ROW(40:40)),2)),"",INDEX($A$3:$B$14312,SMALL(IF($A$3:$A$14312=CE$3,ROW($A$3:$A$14312)),ROW(40:40)),2))</f>
        <v/>
      </c>
      <c r="CF42" t="str">
        <f t="array" ref="CF42">IF(ISERROR(INDEX($A$3:$B$14312,SMALL(IF($A$3:$A$14312=CF$3,ROW($A$3:$A$14312)),ROW(40:40)),2)),"",INDEX($A$3:$B$14312,SMALL(IF($A$3:$A$14312=CF$3,ROW($A$3:$A$14312)),ROW(40:40)),2))</f>
        <v/>
      </c>
      <c r="CG42" t="str">
        <f t="array" ref="CG42">IF(ISERROR(INDEX($A$3:$B$14312,SMALL(IF($A$3:$A$14312=CG$3,ROW($A$3:$A$14312)),ROW(40:40)),2)),"",INDEX($A$3:$B$14312,SMALL(IF($A$3:$A$14312=CG$3,ROW($A$3:$A$14312)),ROW(40:40)),2))</f>
        <v/>
      </c>
      <c r="CH42" t="str">
        <f t="array" ref="CH42">IF(ISERROR(INDEX($A$3:$B$14312,SMALL(IF($A$3:$A$14312=CH$3,ROW($A$3:$A$14312)),ROW(40:40)),2)),"",INDEX($A$3:$B$14312,SMALL(IF($A$3:$A$14312=CH$3,ROW($A$3:$A$14312)),ROW(40:40)),2))</f>
        <v/>
      </c>
      <c r="CI42" t="str">
        <f t="array" ref="CI42">IF(ISERROR(INDEX($A$3:$B$14312,SMALL(IF($A$3:$A$14312=CI$3,ROW($A$3:$A$14312)),ROW(40:40)),2)),"",INDEX($A$3:$B$14312,SMALL(IF($A$3:$A$14312=CI$3,ROW($A$3:$A$14312)),ROW(40:40)),2))</f>
        <v/>
      </c>
      <c r="CJ42" t="str">
        <f t="array" ref="CJ42">IF(ISERROR(INDEX($A$3:$B$14312,SMALL(IF($A$3:$A$14312=CJ$3,ROW($A$3:$A$14312)),ROW(40:40)),2)),"",INDEX($A$3:$B$14312,SMALL(IF($A$3:$A$14312=CJ$3,ROW($A$3:$A$14312)),ROW(40:40)),2))</f>
        <v/>
      </c>
      <c r="CK42" t="str">
        <f t="array" ref="CK42">IF(ISERROR(INDEX($A$3:$B$14312,SMALL(IF($A$3:$A$14312=CK$3,ROW($A$3:$A$14312)),ROW(40:40)),2)),"",INDEX($A$3:$B$14312,SMALL(IF($A$3:$A$14312=CK$3,ROW($A$3:$A$14312)),ROW(40:40)),2))</f>
        <v/>
      </c>
      <c r="CL42" t="str">
        <f t="array" ref="CL42">IF(ISERROR(INDEX($A$3:$B$14312,SMALL(IF($A$3:$A$14312=CL$3,ROW($A$3:$A$14312)),ROW(40:40)),2)),"",INDEX($A$3:$B$14312,SMALL(IF($A$3:$A$14312=CL$3,ROW($A$3:$A$14312)),ROW(40:40)),2))</f>
        <v/>
      </c>
      <c r="CM42" t="str">
        <f t="array" ref="CM42">IF(ISERROR(INDEX($A$3:$B$14312,SMALL(IF($A$3:$A$14312=CM$3,ROW($A$3:$A$14312)),ROW(40:40)),2)),"",INDEX($A$3:$B$14312,SMALL(IF($A$3:$A$14312=CM$3,ROW($A$3:$A$14312)),ROW(40:40)),2))</f>
        <v/>
      </c>
      <c r="CN42" t="str">
        <f t="array" ref="CN42">IF(ISERROR(INDEX($A$3:$B$14312,SMALL(IF($A$3:$A$14312=CN$3,ROW($A$3:$A$14312)),ROW(40:40)),2)),"",INDEX($A$3:$B$14312,SMALL(IF($A$3:$A$14312=CN$3,ROW($A$3:$A$14312)),ROW(40:40)),2))</f>
        <v/>
      </c>
      <c r="CO42" t="str">
        <f t="array" ref="CO42">IF(ISERROR(INDEX($A$3:$B$14312,SMALL(IF($A$3:$A$14312=CO$3,ROW($A$3:$A$14312)),ROW(40:40)),2)),"",INDEX($A$3:$B$14312,SMALL(IF($A$3:$A$14312=CO$3,ROW($A$3:$A$14312)),ROW(40:40)),2))</f>
        <v/>
      </c>
      <c r="CP42" t="str">
        <f t="array" ref="CP42">IF(ISERROR(INDEX($A$3:$B$14312,SMALL(IF($A$3:$A$14312=CP$3,ROW($A$3:$A$14312)),ROW(40:40)),2)),"",INDEX($A$3:$B$14312,SMALL(IF($A$3:$A$14312=CP$3,ROW($A$3:$A$14312)),ROW(40:40)),2))</f>
        <v/>
      </c>
      <c r="CQ42" t="str">
        <f t="array" ref="CQ42">IF(ISERROR(INDEX($A$3:$B$14312,SMALL(IF($A$3:$A$14312=CQ$3,ROW($A$3:$A$14312)),ROW(40:40)),2)),"",INDEX($A$3:$B$14312,SMALL(IF($A$3:$A$14312=CQ$3,ROW($A$3:$A$14312)),ROW(40:40)),2))</f>
        <v/>
      </c>
      <c r="CR42" t="str">
        <f t="array" ref="CR42">IF(ISERROR(INDEX($A$3:$B$14312,SMALL(IF($A$3:$A$14312=CR$3,ROW($A$3:$A$14312)),ROW(40:40)),2)),"",INDEX($A$3:$B$14312,SMALL(IF($A$3:$A$14312=CR$3,ROW($A$3:$A$14312)),ROW(40:40)),2))</f>
        <v/>
      </c>
      <c r="CS42" t="str">
        <f t="array" ref="CS42">IF(ISERROR(INDEX($A$3:$B$14312,SMALL(IF($A$3:$A$14312=CS$3,ROW($A$3:$A$14312)),ROW(40:40)),2)),"",INDEX($A$3:$B$14312,SMALL(IF($A$3:$A$14312=CS$3,ROW($A$3:$A$14312)),ROW(40:40)),2))</f>
        <v/>
      </c>
      <c r="CT42" t="str">
        <f t="array" ref="CT42">IF(ISERROR(INDEX($A$3:$B$14312,SMALL(IF($A$3:$A$14312=CT$3,ROW($A$3:$A$14312)),ROW(40:40)),2)),"",INDEX($A$3:$B$14312,SMALL(IF($A$3:$A$14312=CT$3,ROW($A$3:$A$14312)),ROW(40:40)),2))</f>
        <v/>
      </c>
      <c r="CU42" t="str">
        <f t="array" ref="CU42">IF(ISERROR(INDEX($A$3:$B$14312,SMALL(IF($A$3:$A$14312=CU$3,ROW($A$3:$A$14312)),ROW(40:40)),2)),"",INDEX($A$3:$B$14312,SMALL(IF($A$3:$A$14312=CU$3,ROW($A$3:$A$14312)),ROW(40:40)),2))</f>
        <v/>
      </c>
      <c r="CV42" t="str">
        <f t="array" ref="CV42">IF(ISERROR(INDEX($A$3:$B$14312,SMALL(IF($A$3:$A$14312=CV$3,ROW($A$3:$A$14312)),ROW(40:40)),2)),"",INDEX($A$3:$B$14312,SMALL(IF($A$3:$A$14312=CV$3,ROW($A$3:$A$14312)),ROW(40:40)),2))</f>
        <v/>
      </c>
      <c r="CW42" t="str">
        <f t="array" ref="CW42">IF(ISERROR(INDEX($A$3:$B$14312,SMALL(IF($A$3:$A$14312=CW$3,ROW($A$3:$A$14312)),ROW(40:40)),2)),"",INDEX($A$3:$B$14312,SMALL(IF($A$3:$A$14312=CW$3,ROW($A$3:$A$14312)),ROW(40:40)),2))</f>
        <v/>
      </c>
      <c r="CX42" t="str">
        <f t="array" ref="CX42">IF(ISERROR(INDEX($A$3:$B$14312,SMALL(IF($A$3:$A$14312=CX$3,ROW($A$3:$A$14312)),ROW(40:40)),2)),"",INDEX($A$3:$B$14312,SMALL(IF($A$3:$A$14312=CX$3,ROW($A$3:$A$14312)),ROW(40:40)),2))</f>
        <v/>
      </c>
      <c r="CY42" t="str">
        <f t="array" ref="CY42">IF(ISERROR(INDEX($A$3:$B$14312,SMALL(IF($A$3:$A$14312=CY$3,ROW($A$3:$A$14312)),ROW(40:40)),2)),"",INDEX($A$3:$B$14312,SMALL(IF($A$3:$A$14312=CY$3,ROW($A$3:$A$14312)),ROW(40:40)),2))</f>
        <v/>
      </c>
      <c r="CZ42" t="str">
        <f t="array" ref="CZ42">IF(ISERROR(INDEX($A$3:$B$14312,SMALL(IF($A$3:$A$14312=CZ$3,ROW($A$3:$A$14312)),ROW(40:40)),2)),"",INDEX($A$3:$B$14312,SMALL(IF($A$3:$A$14312=CZ$3,ROW($A$3:$A$14312)),ROW(40:40)),2))</f>
        <v/>
      </c>
      <c r="DA42" t="str">
        <f t="array" ref="DA42">IF(ISERROR(INDEX($A$3:$B$14312,SMALL(IF($A$3:$A$14312=DA$3,ROW($A$3:$A$14312)),ROW(40:40)),2)),"",INDEX($A$3:$B$14312,SMALL(IF($A$3:$A$14312=DA$3,ROW($A$3:$A$14312)),ROW(40:40)),2))</f>
        <v/>
      </c>
      <c r="DB42" t="str">
        <f t="array" ref="DB42">IF(ISERROR(INDEX($A$3:$B$14312,SMALL(IF($A$3:$A$14312=DB$3,ROW($A$3:$A$14312)),ROW(40:40)),2)),"",INDEX($A$3:$B$14312,SMALL(IF($A$3:$A$14312=DB$3,ROW($A$3:$A$14312)),ROW(40:40)),2))</f>
        <v/>
      </c>
      <c r="DC42" t="str">
        <f t="array" ref="DC42">IF(ISERROR(INDEX($A$3:$B$14312,SMALL(IF($A$3:$A$14312=DC$3,ROW($A$3:$A$14312)),ROW(40:40)),2)),"",INDEX($A$3:$B$14312,SMALL(IF($A$3:$A$14312=DC$3,ROW($A$3:$A$14312)),ROW(40:40)),2))</f>
        <v/>
      </c>
      <c r="DD42" t="str">
        <f t="array" ref="DD42">IF(ISERROR(INDEX($A$3:$B$14312,SMALL(IF($A$3:$A$14312=DD$3,ROW($A$3:$A$14312)),ROW(40:40)),2)),"",INDEX($A$3:$B$14312,SMALL(IF($A$3:$A$14312=DD$3,ROW($A$3:$A$14312)),ROW(40:40)),2))</f>
        <v/>
      </c>
      <c r="DE42" t="str">
        <f t="array" ref="DE42">IF(ISERROR(INDEX($A$3:$B$14312,SMALL(IF($A$3:$A$14312=DE$3,ROW($A$3:$A$14312)),ROW(40:40)),2)),"",INDEX($A$3:$B$14312,SMALL(IF($A$3:$A$14312=DE$3,ROW($A$3:$A$14312)),ROW(40:40)),2))</f>
        <v/>
      </c>
      <c r="DF42" t="str">
        <f t="array" ref="DF42">IF(ISERROR(INDEX($A$3:$B$14312,SMALL(IF($A$3:$A$14312=DF$3,ROW($A$3:$A$14312)),ROW(40:40)),2)),"",INDEX($A$3:$B$14312,SMALL(IF($A$3:$A$14312=DF$3,ROW($A$3:$A$14312)),ROW(40:40)),2))</f>
        <v/>
      </c>
      <c r="DG42" t="str">
        <f t="array" ref="DG42">IF(ISERROR(INDEX($A$3:$B$14312,SMALL(IF($A$3:$A$14312=DG$3,ROW($A$3:$A$14312)),ROW(40:40)),2)),"",INDEX($A$3:$B$14312,SMALL(IF($A$3:$A$14312=DG$3,ROW($A$3:$A$14312)),ROW(40:40)),2))</f>
        <v/>
      </c>
      <c r="DH42" t="str">
        <f t="array" ref="DH42">IF(ISERROR(INDEX($A$3:$B$14312,SMALL(IF($A$3:$A$14312=DH$3,ROW($A$3:$A$14312)),ROW(40:40)),2)),"",INDEX($A$3:$B$14312,SMALL(IF($A$3:$A$14312=DH$3,ROW($A$3:$A$14312)),ROW(40:40)),2))</f>
        <v/>
      </c>
      <c r="DI42" t="str">
        <f t="array" ref="DI42">IF(ISERROR(INDEX($A$3:$B$14312,SMALL(IF($A$3:$A$14312=DI$3,ROW($A$3:$A$14312)),ROW(40:40)),2)),"",INDEX($A$3:$B$14312,SMALL(IF($A$3:$A$14312=DI$3,ROW($A$3:$A$14312)),ROW(40:40)),2))</f>
        <v>Router3_106</v>
      </c>
      <c r="DJ42" t="str">
        <f t="array" ref="DJ42">IF(ISERROR(INDEX($A$3:$B$14312,SMALL(IF($A$3:$A$14312=DJ$3,ROW($A$3:$A$14312)),ROW(40:40)),2)),"",INDEX($A$3:$B$14312,SMALL(IF($A$3:$A$14312=DJ$3,ROW($A$3:$A$14312)),ROW(40:40)),2))</f>
        <v/>
      </c>
      <c r="DK42" t="str">
        <f t="array" ref="DK42">IF(ISERROR(INDEX($A$3:$B$14312,SMALL(IF($A$3:$A$14312=DK$3,ROW($A$3:$A$14312)),ROW(40:40)),2)),"",INDEX($A$3:$B$14312,SMALL(IF($A$3:$A$14312=DK$3,ROW($A$3:$A$14312)),ROW(40:40)),2))</f>
        <v/>
      </c>
      <c r="DL42" t="str">
        <f t="array" ref="DL42">IF(ISERROR(INDEX($A$3:$B$14312,SMALL(IF($A$3:$A$14312=DL$3,ROW($A$3:$A$14312)),ROW(40:40)),2)),"",INDEX($A$3:$B$14312,SMALL(IF($A$3:$A$14312=DL$3,ROW($A$3:$A$14312)),ROW(40:40)),2))</f>
        <v/>
      </c>
      <c r="DM42" t="str">
        <f t="array" ref="DM42">IF(ISERROR(INDEX($A$3:$B$14312,SMALL(IF($A$3:$A$14312=DM$3,ROW($A$3:$A$14312)),ROW(40:40)),2)),"",INDEX($A$3:$B$14312,SMALL(IF($A$3:$A$14312=DM$3,ROW($A$3:$A$14312)),ROW(40:40)),2))</f>
        <v/>
      </c>
      <c r="DN42" t="str">
        <f t="array" ref="DN42">IF(ISERROR(INDEX($A$3:$B$14312,SMALL(IF($A$3:$A$14312=DN$3,ROW($A$3:$A$14312)),ROW(40:40)),2)),"",INDEX($A$3:$B$14312,SMALL(IF($A$3:$A$14312=DN$3,ROW($A$3:$A$14312)),ROW(40:40)),2))</f>
        <v/>
      </c>
      <c r="DO42" t="str">
        <f t="array" ref="DO42">IF(ISERROR(INDEX($A$3:$B$14312,SMALL(IF($A$3:$A$14312=DO$3,ROW($A$3:$A$14312)),ROW(40:40)),2)),"",INDEX($A$3:$B$14312,SMALL(IF($A$3:$A$14312=DO$3,ROW($A$3:$A$14312)),ROW(40:40)),2))</f>
        <v/>
      </c>
      <c r="DP42" t="str">
        <f t="array" ref="DP42">IF(ISERROR(INDEX($A$3:$B$14312,SMALL(IF($A$3:$A$14312=DP$3,ROW($A$3:$A$14312)),ROW(40:40)),2)),"",INDEX($A$3:$B$14312,SMALL(IF($A$3:$A$14312=DP$3,ROW($A$3:$A$14312)),ROW(40:40)),2))</f>
        <v/>
      </c>
      <c r="DQ42" t="str">
        <f t="array" ref="DQ42">IF(ISERROR(INDEX($A$3:$B$14312,SMALL(IF($A$3:$A$14312=DQ$3,ROW($A$3:$A$14312)),ROW(40:40)),2)),"",INDEX($A$3:$B$14312,SMALL(IF($A$3:$A$14312=DQ$3,ROW($A$3:$A$14312)),ROW(40:40)),2))</f>
        <v/>
      </c>
      <c r="DR42" t="str">
        <f t="array" ref="DR42">IF(ISERROR(INDEX($A$3:$B$14312,SMALL(IF($A$3:$A$14312=DR$3,ROW($A$3:$A$14312)),ROW(40:40)),2)),"",INDEX($A$3:$B$14312,SMALL(IF($A$3:$A$14312=DR$3,ROW($A$3:$A$14312)),ROW(40:40)),2))</f>
        <v/>
      </c>
      <c r="DS42" t="str">
        <f t="array" ref="DS42">IF(ISERROR(INDEX($A$3:$B$14312,SMALL(IF($A$3:$A$14312=DS$3,ROW($A$3:$A$14312)),ROW(40:40)),2)),"",INDEX($A$3:$B$14312,SMALL(IF($A$3:$A$14312=DS$3,ROW($A$3:$A$14312)),ROW(40:40)),2))</f>
        <v/>
      </c>
      <c r="DT42" t="str">
        <f t="array" ref="DT42">IF(ISERROR(INDEX($A$3:$B$14312,SMALL(IF($A$3:$A$14312=DT$3,ROW($A$3:$A$14312)),ROW(40:40)),2)),"",INDEX($A$3:$B$14312,SMALL(IF($A$3:$A$14312=DT$3,ROW($A$3:$A$14312)),ROW(40:40)),2))</f>
        <v>Router3_106</v>
      </c>
      <c r="DU42" t="str">
        <f t="array" ref="DU42">IF(ISERROR(INDEX($A$3:$B$14312,SMALL(IF($A$3:$A$14312=DU$3,ROW($A$3:$A$14312)),ROW(40:40)),2)),"",INDEX($A$3:$B$14312,SMALL(IF($A$3:$A$14312=DU$3,ROW($A$3:$A$14312)),ROW(40:40)),2))</f>
        <v>Router3_157</v>
      </c>
      <c r="DV42" t="str">
        <f t="array" ref="DV42">IF(ISERROR(INDEX($A$3:$B$14312,SMALL(IF($A$3:$A$14312=DV$3,ROW($A$3:$A$14312)),ROW(40:40)),2)),"",INDEX($A$3:$B$14312,SMALL(IF($A$3:$A$14312=DV$3,ROW($A$3:$A$14312)),ROW(40:40)),2))</f>
        <v/>
      </c>
      <c r="DW42" t="str">
        <f t="array" ref="DW42">IF(ISERROR(INDEX($A$3:$B$14312,SMALL(IF($A$3:$A$14312=DW$3,ROW($A$3:$A$14312)),ROW(40:40)),2)),"",INDEX($A$3:$B$14312,SMALL(IF($A$3:$A$14312=DW$3,ROW($A$3:$A$14312)),ROW(40:40)),2))</f>
        <v/>
      </c>
      <c r="DX42" t="str">
        <f t="array" ref="DX42">IF(ISERROR(INDEX($A$3:$B$14312,SMALL(IF($A$3:$A$14312=DX$3,ROW($A$3:$A$14312)),ROW(40:40)),2)),"",INDEX($A$3:$B$14312,SMALL(IF($A$3:$A$14312=DX$3,ROW($A$3:$A$14312)),ROW(40:40)),2))</f>
        <v/>
      </c>
      <c r="DY42" t="str">
        <f t="array" ref="DY42">IF(ISERROR(INDEX($A$3:$B$14312,SMALL(IF($A$3:$A$14312=DY$3,ROW($A$3:$A$14312)),ROW(40:40)),2)),"",INDEX($A$3:$B$14312,SMALL(IF($A$3:$A$14312=DY$3,ROW($A$3:$A$14312)),ROW(40:40)),2))</f>
        <v/>
      </c>
      <c r="DZ42" t="str">
        <f t="array" ref="DZ42">IF(ISERROR(INDEX($A$3:$B$14312,SMALL(IF($A$3:$A$14312=DZ$3,ROW($A$3:$A$14312)),ROW(40:40)),2)),"",INDEX($A$3:$B$14312,SMALL(IF($A$3:$A$14312=DZ$3,ROW($A$3:$A$14312)),ROW(40:40)),2))</f>
        <v/>
      </c>
      <c r="EA42" t="str">
        <f t="array" ref="EA42">IF(ISERROR(INDEX($A$3:$B$14312,SMALL(IF($A$3:$A$14312=EA$3,ROW($A$3:$A$14312)),ROW(40:40)),2)),"",INDEX($A$3:$B$14312,SMALL(IF($A$3:$A$14312=EA$3,ROW($A$3:$A$14312)),ROW(40:40)),2))</f>
        <v/>
      </c>
      <c r="EB42" t="str">
        <f t="array" ref="EB42">IF(ISERROR(INDEX($A$3:$B$14312,SMALL(IF($A$3:$A$14312=EB$3,ROW($A$3:$A$14312)),ROW(40:40)),2)),"",INDEX($A$3:$B$14312,SMALL(IF($A$3:$A$14312=EB$3,ROW($A$3:$A$14312)),ROW(40:40)),2))</f>
        <v/>
      </c>
      <c r="EC42" t="str">
        <f t="array" ref="EC42">IF(ISERROR(INDEX($A$3:$B$14312,SMALL(IF($A$3:$A$14312=EC$3,ROW($A$3:$A$14312)),ROW(40:40)),2)),"",INDEX($A$3:$B$14312,SMALL(IF($A$3:$A$14312=EC$3,ROW($A$3:$A$14312)),ROW(40:40)),2))</f>
        <v>Router3_150</v>
      </c>
      <c r="ED42" t="str">
        <f t="array" ref="ED42">IF(ISERROR(INDEX($A$3:$B$14312,SMALL(IF($A$3:$A$14312=ED$3,ROW($A$3:$A$14312)),ROW(40:40)),2)),"",INDEX($A$3:$B$14312,SMALL(IF($A$3:$A$14312=ED$3,ROW($A$3:$A$14312)),ROW(40:40)),2))</f>
        <v>Router3_51</v>
      </c>
      <c r="EE42" t="str">
        <f t="array" ref="EE42">IF(ISERROR(INDEX($A$3:$B$14312,SMALL(IF($A$3:$A$14312=EE$3,ROW($A$3:$A$14312)),ROW(40:40)),2)),"",INDEX($A$3:$B$14312,SMALL(IF($A$3:$A$14312=EE$3,ROW($A$3:$A$14312)),ROW(40:40)),2))</f>
        <v/>
      </c>
    </row>
    <row r="43" spans="1:135" x14ac:dyDescent="0.25">
      <c r="A43" s="10">
        <v>-450827381</v>
      </c>
      <c r="B43" t="s">
        <v>1098</v>
      </c>
      <c r="E43" t="str">
        <f t="array" ref="E43">IF(ISERROR(INDEX($A$3:$B$14312,SMALL(IF($A$3:$A$14312=E$3,ROW($A$3:$A$14312)),ROW(41:41)),2)),"",INDEX($A$3:$B$14312,SMALL(IF($A$3:$A$14312=E$3,ROW($A$3:$A$14312)),ROW(41:41)),2))</f>
        <v/>
      </c>
      <c r="F43" t="str">
        <f t="array" ref="F43">IF(ISERROR(INDEX($A$3:$B$14312,SMALL(IF($A$3:$A$14312=F$3,ROW($A$3:$A$14312)),ROW(41:41)),2)),"",INDEX($A$3:$B$14312,SMALL(IF($A$3:$A$14312=F$3,ROW($A$3:$A$14312)),ROW(41:41)),2))</f>
        <v/>
      </c>
      <c r="G43" t="str">
        <f t="array" ref="G43">IF(ISERROR(INDEX($A$3:$B$14312,SMALL(IF($A$3:$A$14312=G$3,ROW($A$3:$A$14312)),ROW(41:41)),2)),"",INDEX($A$3:$B$14312,SMALL(IF($A$3:$A$14312=G$3,ROW($A$3:$A$14312)),ROW(41:41)),2))</f>
        <v/>
      </c>
      <c r="H43" t="str">
        <f t="array" ref="H43">IF(ISERROR(INDEX($A$3:$B$14312,SMALL(IF($A$3:$A$14312=H$3,ROW($A$3:$A$14312)),ROW(41:41)),2)),"",INDEX($A$3:$B$14312,SMALL(IF($A$3:$A$14312=H$3,ROW($A$3:$A$14312)),ROW(41:41)),2))</f>
        <v/>
      </c>
      <c r="I43" t="str">
        <f t="array" ref="I43">IF(ISERROR(INDEX($A$3:$B$14312,SMALL(IF($A$3:$A$14312=I$3,ROW($A$3:$A$14312)),ROW(41:41)),2)),"",INDEX($A$3:$B$14312,SMALL(IF($A$3:$A$14312=I$3,ROW($A$3:$A$14312)),ROW(41:41)),2))</f>
        <v/>
      </c>
      <c r="J43" t="str">
        <f t="array" ref="J43">IF(ISERROR(INDEX($A$3:$B$14312,SMALL(IF($A$3:$A$14312=J$3,ROW($A$3:$A$14312)),ROW(41:41)),2)),"",INDEX($A$3:$B$14312,SMALL(IF($A$3:$A$14312=J$3,ROW($A$3:$A$14312)),ROW(41:41)),2))</f>
        <v/>
      </c>
      <c r="K43" t="str">
        <f t="array" ref="K43">IF(ISERROR(INDEX($A$3:$B$14312,SMALL(IF($A$3:$A$14312=K$3,ROW($A$3:$A$14312)),ROW(41:41)),2)),"",INDEX($A$3:$B$14312,SMALL(IF($A$3:$A$14312=K$3,ROW($A$3:$A$14312)),ROW(41:41)),2))</f>
        <v/>
      </c>
      <c r="L43" t="str">
        <f t="array" ref="L43">IF(ISERROR(INDEX($A$3:$B$14312,SMALL(IF($A$3:$A$14312=L$3,ROW($A$3:$A$14312)),ROW(41:41)),2)),"",INDEX($A$3:$B$14312,SMALL(IF($A$3:$A$14312=L$3,ROW($A$3:$A$14312)),ROW(41:41)),2))</f>
        <v/>
      </c>
      <c r="M43" t="str">
        <f t="array" ref="M43">IF(ISERROR(INDEX($A$3:$B$14312,SMALL(IF($A$3:$A$14312=M$3,ROW($A$3:$A$14312)),ROW(41:41)),2)),"",INDEX($A$3:$B$14312,SMALL(IF($A$3:$A$14312=M$3,ROW($A$3:$A$14312)),ROW(41:41)),2))</f>
        <v/>
      </c>
      <c r="N43" t="str">
        <f t="array" ref="N43">IF(ISERROR(INDEX($A$3:$B$14312,SMALL(IF($A$3:$A$14312=N$3,ROW($A$3:$A$14312)),ROW(41:41)),2)),"",INDEX($A$3:$B$14312,SMALL(IF($A$3:$A$14312=N$3,ROW($A$3:$A$14312)),ROW(41:41)),2))</f>
        <v/>
      </c>
      <c r="O43" t="str">
        <f t="array" ref="O43">IF(ISERROR(INDEX($A$3:$B$14312,SMALL(IF($A$3:$A$14312=O$3,ROW($A$3:$A$14312)),ROW(41:41)),2)),"",INDEX($A$3:$B$14312,SMALL(IF($A$3:$A$14312=O$3,ROW($A$3:$A$14312)),ROW(41:41)),2))</f>
        <v/>
      </c>
      <c r="P43" t="str">
        <f t="array" ref="P43">IF(ISERROR(INDEX($A$3:$B$14312,SMALL(IF($A$3:$A$14312=P$3,ROW($A$3:$A$14312)),ROW(41:41)),2)),"",INDEX($A$3:$B$14312,SMALL(IF($A$3:$A$14312=P$3,ROW($A$3:$A$14312)),ROW(41:41)),2))</f>
        <v/>
      </c>
      <c r="Q43" t="str">
        <f t="array" ref="Q43">IF(ISERROR(INDEX($A$3:$B$14312,SMALL(IF($A$3:$A$14312=Q$3,ROW($A$3:$A$14312)),ROW(41:41)),2)),"",INDEX($A$3:$B$14312,SMALL(IF($A$3:$A$14312=Q$3,ROW($A$3:$A$14312)),ROW(41:41)),2))</f>
        <v/>
      </c>
      <c r="R43" t="str">
        <f t="array" ref="R43">IF(ISERROR(INDEX($A$3:$B$14312,SMALL(IF($A$3:$A$14312=R$3,ROW($A$3:$A$14312)),ROW(41:41)),2)),"",INDEX($A$3:$B$14312,SMALL(IF($A$3:$A$14312=R$3,ROW($A$3:$A$14312)),ROW(41:41)),2))</f>
        <v/>
      </c>
      <c r="S43" t="str">
        <f t="array" ref="S43">IF(ISERROR(INDEX($A$3:$B$14312,SMALL(IF($A$3:$A$14312=S$3,ROW($A$3:$A$14312)),ROW(41:41)),2)),"",INDEX($A$3:$B$14312,SMALL(IF($A$3:$A$14312=S$3,ROW($A$3:$A$14312)),ROW(41:41)),2))</f>
        <v/>
      </c>
      <c r="T43" t="str">
        <f t="array" ref="T43">IF(ISERROR(INDEX($A$3:$B$14312,SMALL(IF($A$3:$A$14312=T$3,ROW($A$3:$A$14312)),ROW(41:41)),2)),"",INDEX($A$3:$B$14312,SMALL(IF($A$3:$A$14312=T$3,ROW($A$3:$A$14312)),ROW(41:41)),2))</f>
        <v/>
      </c>
      <c r="U43" t="str">
        <f t="array" ref="U43">IF(ISERROR(INDEX($A$3:$B$14312,SMALL(IF($A$3:$A$14312=U$3,ROW($A$3:$A$14312)),ROW(41:41)),2)),"",INDEX($A$3:$B$14312,SMALL(IF($A$3:$A$14312=U$3,ROW($A$3:$A$14312)),ROW(41:41)),2))</f>
        <v/>
      </c>
      <c r="V43" t="str">
        <f t="array" ref="V43">IF(ISERROR(INDEX($A$3:$B$14312,SMALL(IF($A$3:$A$14312=V$3,ROW($A$3:$A$14312)),ROW(41:41)),2)),"",INDEX($A$3:$B$14312,SMALL(IF($A$3:$A$14312=V$3,ROW($A$3:$A$14312)),ROW(41:41)),2))</f>
        <v/>
      </c>
      <c r="W43" t="str">
        <f t="array" ref="W43">IF(ISERROR(INDEX($A$3:$B$14312,SMALL(IF($A$3:$A$14312=W$3,ROW($A$3:$A$14312)),ROW(41:41)),2)),"",INDEX($A$3:$B$14312,SMALL(IF($A$3:$A$14312=W$3,ROW($A$3:$A$14312)),ROW(41:41)),2))</f>
        <v>Router3_152</v>
      </c>
      <c r="X43" t="str">
        <f t="array" ref="X43">IF(ISERROR(INDEX($A$3:$B$14312,SMALL(IF($A$3:$A$14312=X$3,ROW($A$3:$A$14312)),ROW(41:41)),2)),"",INDEX($A$3:$B$14312,SMALL(IF($A$3:$A$14312=X$3,ROW($A$3:$A$14312)),ROW(41:41)),2))</f>
        <v/>
      </c>
      <c r="Y43" t="str">
        <f t="array" ref="Y43">IF(ISERROR(INDEX($A$3:$B$14312,SMALL(IF($A$3:$A$14312=Y$3,ROW($A$3:$A$14312)),ROW(41:41)),2)),"",INDEX($A$3:$B$14312,SMALL(IF($A$3:$A$14312=Y$3,ROW($A$3:$A$14312)),ROW(41:41)),2))</f>
        <v/>
      </c>
      <c r="Z43" t="str">
        <f t="array" ref="Z43">IF(ISERROR(INDEX($A$3:$B$14312,SMALL(IF($A$3:$A$14312=Z$3,ROW($A$3:$A$14312)),ROW(41:41)),2)),"",INDEX($A$3:$B$14312,SMALL(IF($A$3:$A$14312=Z$3,ROW($A$3:$A$14312)),ROW(41:41)),2))</f>
        <v/>
      </c>
      <c r="AA43" t="str">
        <f t="array" ref="AA43">IF(ISERROR(INDEX($A$3:$B$14312,SMALL(IF($A$3:$A$14312=AA$3,ROW($A$3:$A$14312)),ROW(41:41)),2)),"",INDEX($A$3:$B$14312,SMALL(IF($A$3:$A$14312=AA$3,ROW($A$3:$A$14312)),ROW(41:41)),2))</f>
        <v/>
      </c>
      <c r="AB43" t="str">
        <f t="array" ref="AB43">IF(ISERROR(INDEX($A$3:$B$14312,SMALL(IF($A$3:$A$14312=AB$3,ROW($A$3:$A$14312)),ROW(41:41)),2)),"",INDEX($A$3:$B$14312,SMALL(IF($A$3:$A$14312=AB$3,ROW($A$3:$A$14312)),ROW(41:41)),2))</f>
        <v/>
      </c>
      <c r="AC43" t="str">
        <f t="array" ref="AC43">IF(ISERROR(INDEX($A$3:$B$14312,SMALL(IF($A$3:$A$14312=AC$3,ROW($A$3:$A$14312)),ROW(41:41)),2)),"",INDEX($A$3:$B$14312,SMALL(IF($A$3:$A$14312=AC$3,ROW($A$3:$A$14312)),ROW(41:41)),2))</f>
        <v/>
      </c>
      <c r="AD43" t="str">
        <f t="array" ref="AD43">IF(ISERROR(INDEX($A$3:$B$14312,SMALL(IF($A$3:$A$14312=AD$3,ROW($A$3:$A$14312)),ROW(41:41)),2)),"",INDEX($A$3:$B$14312,SMALL(IF($A$3:$A$14312=AD$3,ROW($A$3:$A$14312)),ROW(41:41)),2))</f>
        <v/>
      </c>
      <c r="AE43" t="str">
        <f t="array" ref="AE43">IF(ISERROR(INDEX($A$3:$B$14312,SMALL(IF($A$3:$A$14312=AE$3,ROW($A$3:$A$14312)),ROW(41:41)),2)),"",INDEX($A$3:$B$14312,SMALL(IF($A$3:$A$14312=AE$3,ROW($A$3:$A$14312)),ROW(41:41)),2))</f>
        <v/>
      </c>
      <c r="AF43" t="str">
        <f t="array" ref="AF43">IF(ISERROR(INDEX($A$3:$B$14312,SMALL(IF($A$3:$A$14312=AF$3,ROW($A$3:$A$14312)),ROW(41:41)),2)),"",INDEX($A$3:$B$14312,SMALL(IF($A$3:$A$14312=AF$3,ROW($A$3:$A$14312)),ROW(41:41)),2))</f>
        <v/>
      </c>
      <c r="AG43" t="str">
        <f t="array" ref="AG43">IF(ISERROR(INDEX($A$3:$B$14312,SMALL(IF($A$3:$A$14312=AG$3,ROW($A$3:$A$14312)),ROW(41:41)),2)),"",INDEX($A$3:$B$14312,SMALL(IF($A$3:$A$14312=AG$3,ROW($A$3:$A$14312)),ROW(41:41)),2))</f>
        <v/>
      </c>
      <c r="AH43" t="str">
        <f t="array" ref="AH43">IF(ISERROR(INDEX($A$3:$B$14312,SMALL(IF($A$3:$A$14312=AH$3,ROW($A$3:$A$14312)),ROW(41:41)),2)),"",INDEX($A$3:$B$14312,SMALL(IF($A$3:$A$14312=AH$3,ROW($A$3:$A$14312)),ROW(41:41)),2))</f>
        <v/>
      </c>
      <c r="AI43" t="str">
        <f t="array" ref="AI43">IF(ISERROR(INDEX($A$3:$B$14312,SMALL(IF($A$3:$A$14312=AI$3,ROW($A$3:$A$14312)),ROW(41:41)),2)),"",INDEX($A$3:$B$14312,SMALL(IF($A$3:$A$14312=AI$3,ROW($A$3:$A$14312)),ROW(41:41)),2))</f>
        <v/>
      </c>
      <c r="AJ43" t="str">
        <f t="array" ref="AJ43">IF(ISERROR(INDEX($A$3:$B$14312,SMALL(IF($A$3:$A$14312=AJ$3,ROW($A$3:$A$14312)),ROW(41:41)),2)),"",INDEX($A$3:$B$14312,SMALL(IF($A$3:$A$14312=AJ$3,ROW($A$3:$A$14312)),ROW(41:41)),2))</f>
        <v/>
      </c>
      <c r="AK43" t="str">
        <f t="array" ref="AK43">IF(ISERROR(INDEX($A$3:$B$14312,SMALL(IF($A$3:$A$14312=AK$3,ROW($A$3:$A$14312)),ROW(41:41)),2)),"",INDEX($A$3:$B$14312,SMALL(IF($A$3:$A$14312=AK$3,ROW($A$3:$A$14312)),ROW(41:41)),2))</f>
        <v/>
      </c>
      <c r="AL43" t="str">
        <f t="array" ref="AL43">IF(ISERROR(INDEX($A$3:$B$14312,SMALL(IF($A$3:$A$14312=AL$3,ROW($A$3:$A$14312)),ROW(41:41)),2)),"",INDEX($A$3:$B$14312,SMALL(IF($A$3:$A$14312=AL$3,ROW($A$3:$A$14312)),ROW(41:41)),2))</f>
        <v/>
      </c>
      <c r="AM43" t="str">
        <f t="array" ref="AM43">IF(ISERROR(INDEX($A$3:$B$14312,SMALL(IF($A$3:$A$14312=AM$3,ROW($A$3:$A$14312)),ROW(41:41)),2)),"",INDEX($A$3:$B$14312,SMALL(IF($A$3:$A$14312=AM$3,ROW($A$3:$A$14312)),ROW(41:41)),2))</f>
        <v>Router3_161</v>
      </c>
      <c r="AN43" t="str">
        <f t="array" ref="AN43">IF(ISERROR(INDEX($A$3:$B$14312,SMALL(IF($A$3:$A$14312=AN$3,ROW($A$3:$A$14312)),ROW(41:41)),2)),"",INDEX($A$3:$B$14312,SMALL(IF($A$3:$A$14312=AN$3,ROW($A$3:$A$14312)),ROW(41:41)),2))</f>
        <v/>
      </c>
      <c r="AO43" t="str">
        <f t="array" ref="AO43">IF(ISERROR(INDEX($A$3:$B$14312,SMALL(IF($A$3:$A$14312=AO$3,ROW($A$3:$A$14312)),ROW(41:41)),2)),"",INDEX($A$3:$B$14312,SMALL(IF($A$3:$A$14312=AO$3,ROW($A$3:$A$14312)),ROW(41:41)),2))</f>
        <v/>
      </c>
      <c r="AP43" t="str">
        <f t="array" ref="AP43">IF(ISERROR(INDEX($A$3:$B$14312,SMALL(IF($A$3:$A$14312=AP$3,ROW($A$3:$A$14312)),ROW(41:41)),2)),"",INDEX($A$3:$B$14312,SMALL(IF($A$3:$A$14312=AP$3,ROW($A$3:$A$14312)),ROW(41:41)),2))</f>
        <v/>
      </c>
      <c r="AQ43" t="str">
        <f t="array" ref="AQ43">IF(ISERROR(INDEX($A$3:$B$14312,SMALL(IF($A$3:$A$14312=AQ$3,ROW($A$3:$A$14312)),ROW(41:41)),2)),"",INDEX($A$3:$B$14312,SMALL(IF($A$3:$A$14312=AQ$3,ROW($A$3:$A$14312)),ROW(41:41)),2))</f>
        <v/>
      </c>
      <c r="AR43" t="str">
        <f t="array" ref="AR43">IF(ISERROR(INDEX($A$3:$B$14312,SMALL(IF($A$3:$A$14312=AR$3,ROW($A$3:$A$14312)),ROW(41:41)),2)),"",INDEX($A$3:$B$14312,SMALL(IF($A$3:$A$14312=AR$3,ROW($A$3:$A$14312)),ROW(41:41)),2))</f>
        <v/>
      </c>
      <c r="AS43" t="str">
        <f t="array" ref="AS43">IF(ISERROR(INDEX($A$3:$B$14312,SMALL(IF($A$3:$A$14312=AS$3,ROW($A$3:$A$14312)),ROW(41:41)),2)),"",INDEX($A$3:$B$14312,SMALL(IF($A$3:$A$14312=AS$3,ROW($A$3:$A$14312)),ROW(41:41)),2))</f>
        <v/>
      </c>
      <c r="AT43" t="str">
        <f t="array" ref="AT43">IF(ISERROR(INDEX($A$3:$B$14312,SMALL(IF($A$3:$A$14312=AT$3,ROW($A$3:$A$14312)),ROW(41:41)),2)),"",INDEX($A$3:$B$14312,SMALL(IF($A$3:$A$14312=AT$3,ROW($A$3:$A$14312)),ROW(41:41)),2))</f>
        <v/>
      </c>
      <c r="AU43" t="str">
        <f t="array" ref="AU43">IF(ISERROR(INDEX($A$3:$B$14312,SMALL(IF($A$3:$A$14312=AU$3,ROW($A$3:$A$14312)),ROW(41:41)),2)),"",INDEX($A$3:$B$14312,SMALL(IF($A$3:$A$14312=AU$3,ROW($A$3:$A$14312)),ROW(41:41)),2))</f>
        <v/>
      </c>
      <c r="AV43" t="str">
        <f t="array" ref="AV43">IF(ISERROR(INDEX($A$3:$B$14312,SMALL(IF($A$3:$A$14312=AV$3,ROW($A$3:$A$14312)),ROW(41:41)),2)),"",INDEX($A$3:$B$14312,SMALL(IF($A$3:$A$14312=AV$3,ROW($A$3:$A$14312)),ROW(41:41)),2))</f>
        <v/>
      </c>
      <c r="AW43" t="str">
        <f t="array" ref="AW43">IF(ISERROR(INDEX($A$3:$B$14312,SMALL(IF($A$3:$A$14312=AW$3,ROW($A$3:$A$14312)),ROW(41:41)),2)),"",INDEX($A$3:$B$14312,SMALL(IF($A$3:$A$14312=AW$3,ROW($A$3:$A$14312)),ROW(41:41)),2))</f>
        <v/>
      </c>
      <c r="AX43" t="str">
        <f t="array" ref="AX43">IF(ISERROR(INDEX($A$3:$B$14312,SMALL(IF($A$3:$A$14312=AX$3,ROW($A$3:$A$14312)),ROW(41:41)),2)),"",INDEX($A$3:$B$14312,SMALL(IF($A$3:$A$14312=AX$3,ROW($A$3:$A$14312)),ROW(41:41)),2))</f>
        <v/>
      </c>
      <c r="AY43" t="str">
        <f t="array" ref="AY43">IF(ISERROR(INDEX($A$3:$B$14312,SMALL(IF($A$3:$A$14312=AY$3,ROW($A$3:$A$14312)),ROW(41:41)),2)),"",INDEX($A$3:$B$14312,SMALL(IF($A$3:$A$14312=AY$3,ROW($A$3:$A$14312)),ROW(41:41)),2))</f>
        <v>Router3_166</v>
      </c>
      <c r="AZ43" t="str">
        <f t="array" ref="AZ43">IF(ISERROR(INDEX($A$3:$B$14312,SMALL(IF($A$3:$A$14312=AZ$3,ROW($A$3:$A$14312)),ROW(41:41)),2)),"",INDEX($A$3:$B$14312,SMALL(IF($A$3:$A$14312=AZ$3,ROW($A$3:$A$14312)),ROW(41:41)),2))</f>
        <v/>
      </c>
      <c r="BA43" t="str">
        <f t="array" ref="BA43">IF(ISERROR(INDEX($A$3:$B$14312,SMALL(IF($A$3:$A$14312=BA$3,ROW($A$3:$A$14312)),ROW(41:41)),2)),"",INDEX($A$3:$B$14312,SMALL(IF($A$3:$A$14312=BA$3,ROW($A$3:$A$14312)),ROW(41:41)),2))</f>
        <v/>
      </c>
      <c r="BB43" t="str">
        <f t="array" ref="BB43">IF(ISERROR(INDEX($A$3:$B$14312,SMALL(IF($A$3:$A$14312=BB$3,ROW($A$3:$A$14312)),ROW(41:41)),2)),"",INDEX($A$3:$B$14312,SMALL(IF($A$3:$A$14312=BB$3,ROW($A$3:$A$14312)),ROW(41:41)),2))</f>
        <v/>
      </c>
      <c r="BC43" t="str">
        <f t="array" ref="BC43">IF(ISERROR(INDEX($A$3:$B$14312,SMALL(IF($A$3:$A$14312=BC$3,ROW($A$3:$A$14312)),ROW(41:41)),2)),"",INDEX($A$3:$B$14312,SMALL(IF($A$3:$A$14312=BC$3,ROW($A$3:$A$14312)),ROW(41:41)),2))</f>
        <v/>
      </c>
      <c r="BD43" t="str">
        <f t="array" ref="BD43">IF(ISERROR(INDEX($A$3:$B$14312,SMALL(IF($A$3:$A$14312=BD$3,ROW($A$3:$A$14312)),ROW(41:41)),2)),"",INDEX($A$3:$B$14312,SMALL(IF($A$3:$A$14312=BD$3,ROW($A$3:$A$14312)),ROW(41:41)),2))</f>
        <v/>
      </c>
      <c r="BE43" t="str">
        <f t="array" ref="BE43">IF(ISERROR(INDEX($A$3:$B$14312,SMALL(IF($A$3:$A$14312=BE$3,ROW($A$3:$A$14312)),ROW(41:41)),2)),"",INDEX($A$3:$B$14312,SMALL(IF($A$3:$A$14312=BE$3,ROW($A$3:$A$14312)),ROW(41:41)),2))</f>
        <v/>
      </c>
      <c r="BF43" t="str">
        <f t="array" ref="BF43">IF(ISERROR(INDEX($A$3:$B$14312,SMALL(IF($A$3:$A$14312=BF$3,ROW($A$3:$A$14312)),ROW(41:41)),2)),"",INDEX($A$3:$B$14312,SMALL(IF($A$3:$A$14312=BF$3,ROW($A$3:$A$14312)),ROW(41:41)),2))</f>
        <v/>
      </c>
      <c r="BG43" t="str">
        <f t="array" ref="BG43">IF(ISERROR(INDEX($A$3:$B$14312,SMALL(IF($A$3:$A$14312=BG$3,ROW($A$3:$A$14312)),ROW(41:41)),2)),"",INDEX($A$3:$B$14312,SMALL(IF($A$3:$A$14312=BG$3,ROW($A$3:$A$14312)),ROW(41:41)),2))</f>
        <v/>
      </c>
      <c r="BH43" t="str">
        <f t="array" ref="BH43">IF(ISERROR(INDEX($A$3:$B$14312,SMALL(IF($A$3:$A$14312=BH$3,ROW($A$3:$A$14312)),ROW(41:41)),2)),"",INDEX($A$3:$B$14312,SMALL(IF($A$3:$A$14312=BH$3,ROW($A$3:$A$14312)),ROW(41:41)),2))</f>
        <v/>
      </c>
      <c r="BI43" t="str">
        <f t="array" ref="BI43">IF(ISERROR(INDEX($A$3:$B$14312,SMALL(IF($A$3:$A$14312=BI$3,ROW($A$3:$A$14312)),ROW(41:41)),2)),"",INDEX($A$3:$B$14312,SMALL(IF($A$3:$A$14312=BI$3,ROW($A$3:$A$14312)),ROW(41:41)),2))</f>
        <v/>
      </c>
      <c r="BJ43" t="str">
        <f t="array" ref="BJ43">IF(ISERROR(INDEX($A$3:$B$14312,SMALL(IF($A$3:$A$14312=BJ$3,ROW($A$3:$A$14312)),ROW(41:41)),2)),"",INDEX($A$3:$B$14312,SMALL(IF($A$3:$A$14312=BJ$3,ROW($A$3:$A$14312)),ROW(41:41)),2))</f>
        <v/>
      </c>
      <c r="BK43" t="str">
        <f t="array" ref="BK43">IF(ISERROR(INDEX($A$3:$B$14312,SMALL(IF($A$3:$A$14312=BK$3,ROW($A$3:$A$14312)),ROW(41:41)),2)),"",INDEX($A$3:$B$14312,SMALL(IF($A$3:$A$14312=BK$3,ROW($A$3:$A$14312)),ROW(41:41)),2))</f>
        <v/>
      </c>
      <c r="BL43" t="str">
        <f t="array" ref="BL43">IF(ISERROR(INDEX($A$3:$B$14312,SMALL(IF($A$3:$A$14312=BL$3,ROW($A$3:$A$14312)),ROW(41:41)),2)),"",INDEX($A$3:$B$14312,SMALL(IF($A$3:$A$14312=BL$3,ROW($A$3:$A$14312)),ROW(41:41)),2))</f>
        <v/>
      </c>
      <c r="BM43" t="str">
        <f t="array" ref="BM43">IF(ISERROR(INDEX($A$3:$B$14312,SMALL(IF($A$3:$A$14312=BM$3,ROW($A$3:$A$14312)),ROW(41:41)),2)),"",INDEX($A$3:$B$14312,SMALL(IF($A$3:$A$14312=BM$3,ROW($A$3:$A$14312)),ROW(41:41)),2))</f>
        <v/>
      </c>
      <c r="BN43" t="str">
        <f t="array" ref="BN43">IF(ISERROR(INDEX($A$3:$B$14312,SMALL(IF($A$3:$A$14312=BN$3,ROW($A$3:$A$14312)),ROW(41:41)),2)),"",INDEX($A$3:$B$14312,SMALL(IF($A$3:$A$14312=BN$3,ROW($A$3:$A$14312)),ROW(41:41)),2))</f>
        <v/>
      </c>
      <c r="BO43" t="str">
        <f t="array" ref="BO43">IF(ISERROR(INDEX($A$3:$B$14312,SMALL(IF($A$3:$A$14312=BO$3,ROW($A$3:$A$14312)),ROW(41:41)),2)),"",INDEX($A$3:$B$14312,SMALL(IF($A$3:$A$14312=BO$3,ROW($A$3:$A$14312)),ROW(41:41)),2))</f>
        <v/>
      </c>
      <c r="BP43" t="str">
        <f t="array" ref="BP43">IF(ISERROR(INDEX($A$3:$B$14312,SMALL(IF($A$3:$A$14312=BP$3,ROW($A$3:$A$14312)),ROW(41:41)),2)),"",INDEX($A$3:$B$14312,SMALL(IF($A$3:$A$14312=BP$3,ROW($A$3:$A$14312)),ROW(41:41)),2))</f>
        <v/>
      </c>
      <c r="BQ43" t="str">
        <f t="array" ref="BQ43">IF(ISERROR(INDEX($A$3:$B$14312,SMALL(IF($A$3:$A$14312=BQ$3,ROW($A$3:$A$14312)),ROW(41:41)),2)),"",INDEX($A$3:$B$14312,SMALL(IF($A$3:$A$14312=BQ$3,ROW($A$3:$A$14312)),ROW(41:41)),2))</f>
        <v/>
      </c>
      <c r="BR43" t="str">
        <f t="array" ref="BR43">IF(ISERROR(INDEX($A$3:$B$14312,SMALL(IF($A$3:$A$14312=BR$3,ROW($A$3:$A$14312)),ROW(41:41)),2)),"",INDEX($A$3:$B$14312,SMALL(IF($A$3:$A$14312=BR$3,ROW($A$3:$A$14312)),ROW(41:41)),2))</f>
        <v/>
      </c>
      <c r="BS43" t="str">
        <f t="array" ref="BS43">IF(ISERROR(INDEX($A$3:$B$14312,SMALL(IF($A$3:$A$14312=BS$3,ROW($A$3:$A$14312)),ROW(41:41)),2)),"",INDEX($A$3:$B$14312,SMALL(IF($A$3:$A$14312=BS$3,ROW($A$3:$A$14312)),ROW(41:41)),2))</f>
        <v/>
      </c>
      <c r="BT43" t="str">
        <f t="array" ref="BT43">IF(ISERROR(INDEX($A$3:$B$14312,SMALL(IF($A$3:$A$14312=BT$3,ROW($A$3:$A$14312)),ROW(41:41)),2)),"",INDEX($A$3:$B$14312,SMALL(IF($A$3:$A$14312=BT$3,ROW($A$3:$A$14312)),ROW(41:41)),2))</f>
        <v>Router3_143</v>
      </c>
      <c r="BU43" t="str">
        <f t="array" ref="BU43">IF(ISERROR(INDEX($A$3:$B$14312,SMALL(IF($A$3:$A$14312=BU$3,ROW($A$3:$A$14312)),ROW(41:41)),2)),"",INDEX($A$3:$B$14312,SMALL(IF($A$3:$A$14312=BU$3,ROW($A$3:$A$14312)),ROW(41:41)),2))</f>
        <v/>
      </c>
      <c r="BV43" t="str">
        <f t="array" ref="BV43">IF(ISERROR(INDEX($A$3:$B$14312,SMALL(IF($A$3:$A$14312=BV$3,ROW($A$3:$A$14312)),ROW(41:41)),2)),"",INDEX($A$3:$B$14312,SMALL(IF($A$3:$A$14312=BV$3,ROW($A$3:$A$14312)),ROW(41:41)),2))</f>
        <v/>
      </c>
      <c r="BW43" t="str">
        <f t="array" ref="BW43">IF(ISERROR(INDEX($A$3:$B$14312,SMALL(IF($A$3:$A$14312=BW$3,ROW($A$3:$A$14312)),ROW(41:41)),2)),"",INDEX($A$3:$B$14312,SMALL(IF($A$3:$A$14312=BW$3,ROW($A$3:$A$14312)),ROW(41:41)),2))</f>
        <v/>
      </c>
      <c r="BX43" t="str">
        <f t="array" ref="BX43">IF(ISERROR(INDEX($A$3:$B$14312,SMALL(IF($A$3:$A$14312=BX$3,ROW($A$3:$A$14312)),ROW(41:41)),2)),"",INDEX($A$3:$B$14312,SMALL(IF($A$3:$A$14312=BX$3,ROW($A$3:$A$14312)),ROW(41:41)),2))</f>
        <v/>
      </c>
      <c r="BY43" t="str">
        <f t="array" ref="BY43">IF(ISERROR(INDEX($A$3:$B$14312,SMALL(IF($A$3:$A$14312=BY$3,ROW($A$3:$A$14312)),ROW(41:41)),2)),"",INDEX($A$3:$B$14312,SMALL(IF($A$3:$A$14312=BY$3,ROW($A$3:$A$14312)),ROW(41:41)),2))</f>
        <v/>
      </c>
      <c r="BZ43" t="str">
        <f t="array" ref="BZ43">IF(ISERROR(INDEX($A$3:$B$14312,SMALL(IF($A$3:$A$14312=BZ$3,ROW($A$3:$A$14312)),ROW(41:41)),2)),"",INDEX($A$3:$B$14312,SMALL(IF($A$3:$A$14312=BZ$3,ROW($A$3:$A$14312)),ROW(41:41)),2))</f>
        <v/>
      </c>
      <c r="CA43" t="str">
        <f t="array" ref="CA43">IF(ISERROR(INDEX($A$3:$B$14312,SMALL(IF($A$3:$A$14312=CA$3,ROW($A$3:$A$14312)),ROW(41:41)),2)),"",INDEX($A$3:$B$14312,SMALL(IF($A$3:$A$14312=CA$3,ROW($A$3:$A$14312)),ROW(41:41)),2))</f>
        <v/>
      </c>
      <c r="CB43" t="str">
        <f t="array" ref="CB43">IF(ISERROR(INDEX($A$3:$B$14312,SMALL(IF($A$3:$A$14312=CB$3,ROW($A$3:$A$14312)),ROW(41:41)),2)),"",INDEX($A$3:$B$14312,SMALL(IF($A$3:$A$14312=CB$3,ROW($A$3:$A$14312)),ROW(41:41)),2))</f>
        <v/>
      </c>
      <c r="CC43" t="str">
        <f t="array" ref="CC43">IF(ISERROR(INDEX($A$3:$B$14312,SMALL(IF($A$3:$A$14312=CC$3,ROW($A$3:$A$14312)),ROW(41:41)),2)),"",INDEX($A$3:$B$14312,SMALL(IF($A$3:$A$14312=CC$3,ROW($A$3:$A$14312)),ROW(41:41)),2))</f>
        <v/>
      </c>
      <c r="CD43" t="str">
        <f t="array" ref="CD43">IF(ISERROR(INDEX($A$3:$B$14312,SMALL(IF($A$3:$A$14312=CD$3,ROW($A$3:$A$14312)),ROW(41:41)),2)),"",INDEX($A$3:$B$14312,SMALL(IF($A$3:$A$14312=CD$3,ROW($A$3:$A$14312)),ROW(41:41)),2))</f>
        <v/>
      </c>
      <c r="CE43" t="str">
        <f t="array" ref="CE43">IF(ISERROR(INDEX($A$3:$B$14312,SMALL(IF($A$3:$A$14312=CE$3,ROW($A$3:$A$14312)),ROW(41:41)),2)),"",INDEX($A$3:$B$14312,SMALL(IF($A$3:$A$14312=CE$3,ROW($A$3:$A$14312)),ROW(41:41)),2))</f>
        <v/>
      </c>
      <c r="CF43" t="str">
        <f t="array" ref="CF43">IF(ISERROR(INDEX($A$3:$B$14312,SMALL(IF($A$3:$A$14312=CF$3,ROW($A$3:$A$14312)),ROW(41:41)),2)),"",INDEX($A$3:$B$14312,SMALL(IF($A$3:$A$14312=CF$3,ROW($A$3:$A$14312)),ROW(41:41)),2))</f>
        <v/>
      </c>
      <c r="CG43" t="str">
        <f t="array" ref="CG43">IF(ISERROR(INDEX($A$3:$B$14312,SMALL(IF($A$3:$A$14312=CG$3,ROW($A$3:$A$14312)),ROW(41:41)),2)),"",INDEX($A$3:$B$14312,SMALL(IF($A$3:$A$14312=CG$3,ROW($A$3:$A$14312)),ROW(41:41)),2))</f>
        <v/>
      </c>
      <c r="CH43" t="str">
        <f t="array" ref="CH43">IF(ISERROR(INDEX($A$3:$B$14312,SMALL(IF($A$3:$A$14312=CH$3,ROW($A$3:$A$14312)),ROW(41:41)),2)),"",INDEX($A$3:$B$14312,SMALL(IF($A$3:$A$14312=CH$3,ROW($A$3:$A$14312)),ROW(41:41)),2))</f>
        <v/>
      </c>
      <c r="CI43" t="str">
        <f t="array" ref="CI43">IF(ISERROR(INDEX($A$3:$B$14312,SMALL(IF($A$3:$A$14312=CI$3,ROW($A$3:$A$14312)),ROW(41:41)),2)),"",INDEX($A$3:$B$14312,SMALL(IF($A$3:$A$14312=CI$3,ROW($A$3:$A$14312)),ROW(41:41)),2))</f>
        <v/>
      </c>
      <c r="CJ43" t="str">
        <f t="array" ref="CJ43">IF(ISERROR(INDEX($A$3:$B$14312,SMALL(IF($A$3:$A$14312=CJ$3,ROW($A$3:$A$14312)),ROW(41:41)),2)),"",INDEX($A$3:$B$14312,SMALL(IF($A$3:$A$14312=CJ$3,ROW($A$3:$A$14312)),ROW(41:41)),2))</f>
        <v/>
      </c>
      <c r="CK43" t="str">
        <f t="array" ref="CK43">IF(ISERROR(INDEX($A$3:$B$14312,SMALL(IF($A$3:$A$14312=CK$3,ROW($A$3:$A$14312)),ROW(41:41)),2)),"",INDEX($A$3:$B$14312,SMALL(IF($A$3:$A$14312=CK$3,ROW($A$3:$A$14312)),ROW(41:41)),2))</f>
        <v/>
      </c>
      <c r="CL43" t="str">
        <f t="array" ref="CL43">IF(ISERROR(INDEX($A$3:$B$14312,SMALL(IF($A$3:$A$14312=CL$3,ROW($A$3:$A$14312)),ROW(41:41)),2)),"",INDEX($A$3:$B$14312,SMALL(IF($A$3:$A$14312=CL$3,ROW($A$3:$A$14312)),ROW(41:41)),2))</f>
        <v/>
      </c>
      <c r="CM43" t="str">
        <f t="array" ref="CM43">IF(ISERROR(INDEX($A$3:$B$14312,SMALL(IF($A$3:$A$14312=CM$3,ROW($A$3:$A$14312)),ROW(41:41)),2)),"",INDEX($A$3:$B$14312,SMALL(IF($A$3:$A$14312=CM$3,ROW($A$3:$A$14312)),ROW(41:41)),2))</f>
        <v/>
      </c>
      <c r="CN43" t="str">
        <f t="array" ref="CN43">IF(ISERROR(INDEX($A$3:$B$14312,SMALL(IF($A$3:$A$14312=CN$3,ROW($A$3:$A$14312)),ROW(41:41)),2)),"",INDEX($A$3:$B$14312,SMALL(IF($A$3:$A$14312=CN$3,ROW($A$3:$A$14312)),ROW(41:41)),2))</f>
        <v/>
      </c>
      <c r="CO43" t="str">
        <f t="array" ref="CO43">IF(ISERROR(INDEX($A$3:$B$14312,SMALL(IF($A$3:$A$14312=CO$3,ROW($A$3:$A$14312)),ROW(41:41)),2)),"",INDEX($A$3:$B$14312,SMALL(IF($A$3:$A$14312=CO$3,ROW($A$3:$A$14312)),ROW(41:41)),2))</f>
        <v/>
      </c>
      <c r="CP43" t="str">
        <f t="array" ref="CP43">IF(ISERROR(INDEX($A$3:$B$14312,SMALL(IF($A$3:$A$14312=CP$3,ROW($A$3:$A$14312)),ROW(41:41)),2)),"",INDEX($A$3:$B$14312,SMALL(IF($A$3:$A$14312=CP$3,ROW($A$3:$A$14312)),ROW(41:41)),2))</f>
        <v/>
      </c>
      <c r="CQ43" t="str">
        <f t="array" ref="CQ43">IF(ISERROR(INDEX($A$3:$B$14312,SMALL(IF($A$3:$A$14312=CQ$3,ROW($A$3:$A$14312)),ROW(41:41)),2)),"",INDEX($A$3:$B$14312,SMALL(IF($A$3:$A$14312=CQ$3,ROW($A$3:$A$14312)),ROW(41:41)),2))</f>
        <v/>
      </c>
      <c r="CR43" t="str">
        <f t="array" ref="CR43">IF(ISERROR(INDEX($A$3:$B$14312,SMALL(IF($A$3:$A$14312=CR$3,ROW($A$3:$A$14312)),ROW(41:41)),2)),"",INDEX($A$3:$B$14312,SMALL(IF($A$3:$A$14312=CR$3,ROW($A$3:$A$14312)),ROW(41:41)),2))</f>
        <v/>
      </c>
      <c r="CS43" t="str">
        <f t="array" ref="CS43">IF(ISERROR(INDEX($A$3:$B$14312,SMALL(IF($A$3:$A$14312=CS$3,ROW($A$3:$A$14312)),ROW(41:41)),2)),"",INDEX($A$3:$B$14312,SMALL(IF($A$3:$A$14312=CS$3,ROW($A$3:$A$14312)),ROW(41:41)),2))</f>
        <v/>
      </c>
      <c r="CT43" t="str">
        <f t="array" ref="CT43">IF(ISERROR(INDEX($A$3:$B$14312,SMALL(IF($A$3:$A$14312=CT$3,ROW($A$3:$A$14312)),ROW(41:41)),2)),"",INDEX($A$3:$B$14312,SMALL(IF($A$3:$A$14312=CT$3,ROW($A$3:$A$14312)),ROW(41:41)),2))</f>
        <v/>
      </c>
      <c r="CU43" t="str">
        <f t="array" ref="CU43">IF(ISERROR(INDEX($A$3:$B$14312,SMALL(IF($A$3:$A$14312=CU$3,ROW($A$3:$A$14312)),ROW(41:41)),2)),"",INDEX($A$3:$B$14312,SMALL(IF($A$3:$A$14312=CU$3,ROW($A$3:$A$14312)),ROW(41:41)),2))</f>
        <v/>
      </c>
      <c r="CV43" t="str">
        <f t="array" ref="CV43">IF(ISERROR(INDEX($A$3:$B$14312,SMALL(IF($A$3:$A$14312=CV$3,ROW($A$3:$A$14312)),ROW(41:41)),2)),"",INDEX($A$3:$B$14312,SMALL(IF($A$3:$A$14312=CV$3,ROW($A$3:$A$14312)),ROW(41:41)),2))</f>
        <v/>
      </c>
      <c r="CW43" t="str">
        <f t="array" ref="CW43">IF(ISERROR(INDEX($A$3:$B$14312,SMALL(IF($A$3:$A$14312=CW$3,ROW($A$3:$A$14312)),ROW(41:41)),2)),"",INDEX($A$3:$B$14312,SMALL(IF($A$3:$A$14312=CW$3,ROW($A$3:$A$14312)),ROW(41:41)),2))</f>
        <v/>
      </c>
      <c r="CX43" t="str">
        <f t="array" ref="CX43">IF(ISERROR(INDEX($A$3:$B$14312,SMALL(IF($A$3:$A$14312=CX$3,ROW($A$3:$A$14312)),ROW(41:41)),2)),"",INDEX($A$3:$B$14312,SMALL(IF($A$3:$A$14312=CX$3,ROW($A$3:$A$14312)),ROW(41:41)),2))</f>
        <v/>
      </c>
      <c r="CY43" t="str">
        <f t="array" ref="CY43">IF(ISERROR(INDEX($A$3:$B$14312,SMALL(IF($A$3:$A$14312=CY$3,ROW($A$3:$A$14312)),ROW(41:41)),2)),"",INDEX($A$3:$B$14312,SMALL(IF($A$3:$A$14312=CY$3,ROW($A$3:$A$14312)),ROW(41:41)),2))</f>
        <v/>
      </c>
      <c r="CZ43" t="str">
        <f t="array" ref="CZ43">IF(ISERROR(INDEX($A$3:$B$14312,SMALL(IF($A$3:$A$14312=CZ$3,ROW($A$3:$A$14312)),ROW(41:41)),2)),"",INDEX($A$3:$B$14312,SMALL(IF($A$3:$A$14312=CZ$3,ROW($A$3:$A$14312)),ROW(41:41)),2))</f>
        <v/>
      </c>
      <c r="DA43" t="str">
        <f t="array" ref="DA43">IF(ISERROR(INDEX($A$3:$B$14312,SMALL(IF($A$3:$A$14312=DA$3,ROW($A$3:$A$14312)),ROW(41:41)),2)),"",INDEX($A$3:$B$14312,SMALL(IF($A$3:$A$14312=DA$3,ROW($A$3:$A$14312)),ROW(41:41)),2))</f>
        <v/>
      </c>
      <c r="DB43" t="str">
        <f t="array" ref="DB43">IF(ISERROR(INDEX($A$3:$B$14312,SMALL(IF($A$3:$A$14312=DB$3,ROW($A$3:$A$14312)),ROW(41:41)),2)),"",INDEX($A$3:$B$14312,SMALL(IF($A$3:$A$14312=DB$3,ROW($A$3:$A$14312)),ROW(41:41)),2))</f>
        <v/>
      </c>
      <c r="DC43" t="str">
        <f t="array" ref="DC43">IF(ISERROR(INDEX($A$3:$B$14312,SMALL(IF($A$3:$A$14312=DC$3,ROW($A$3:$A$14312)),ROW(41:41)),2)),"",INDEX($A$3:$B$14312,SMALL(IF($A$3:$A$14312=DC$3,ROW($A$3:$A$14312)),ROW(41:41)),2))</f>
        <v/>
      </c>
      <c r="DD43" t="str">
        <f t="array" ref="DD43">IF(ISERROR(INDEX($A$3:$B$14312,SMALL(IF($A$3:$A$14312=DD$3,ROW($A$3:$A$14312)),ROW(41:41)),2)),"",INDEX($A$3:$B$14312,SMALL(IF($A$3:$A$14312=DD$3,ROW($A$3:$A$14312)),ROW(41:41)),2))</f>
        <v/>
      </c>
      <c r="DE43" t="str">
        <f t="array" ref="DE43">IF(ISERROR(INDEX($A$3:$B$14312,SMALL(IF($A$3:$A$14312=DE$3,ROW($A$3:$A$14312)),ROW(41:41)),2)),"",INDEX($A$3:$B$14312,SMALL(IF($A$3:$A$14312=DE$3,ROW($A$3:$A$14312)),ROW(41:41)),2))</f>
        <v/>
      </c>
      <c r="DF43" t="str">
        <f t="array" ref="DF43">IF(ISERROR(INDEX($A$3:$B$14312,SMALL(IF($A$3:$A$14312=DF$3,ROW($A$3:$A$14312)),ROW(41:41)),2)),"",INDEX($A$3:$B$14312,SMALL(IF($A$3:$A$14312=DF$3,ROW($A$3:$A$14312)),ROW(41:41)),2))</f>
        <v/>
      </c>
      <c r="DG43" t="str">
        <f t="array" ref="DG43">IF(ISERROR(INDEX($A$3:$B$14312,SMALL(IF($A$3:$A$14312=DG$3,ROW($A$3:$A$14312)),ROW(41:41)),2)),"",INDEX($A$3:$B$14312,SMALL(IF($A$3:$A$14312=DG$3,ROW($A$3:$A$14312)),ROW(41:41)),2))</f>
        <v/>
      </c>
      <c r="DH43" t="str">
        <f t="array" ref="DH43">IF(ISERROR(INDEX($A$3:$B$14312,SMALL(IF($A$3:$A$14312=DH$3,ROW($A$3:$A$14312)),ROW(41:41)),2)),"",INDEX($A$3:$B$14312,SMALL(IF($A$3:$A$14312=DH$3,ROW($A$3:$A$14312)),ROW(41:41)),2))</f>
        <v/>
      </c>
      <c r="DI43" t="str">
        <f t="array" ref="DI43">IF(ISERROR(INDEX($A$3:$B$14312,SMALL(IF($A$3:$A$14312=DI$3,ROW($A$3:$A$14312)),ROW(41:41)),2)),"",INDEX($A$3:$B$14312,SMALL(IF($A$3:$A$14312=DI$3,ROW($A$3:$A$14312)),ROW(41:41)),2))</f>
        <v>Router3_107</v>
      </c>
      <c r="DJ43" t="str">
        <f t="array" ref="DJ43">IF(ISERROR(INDEX($A$3:$B$14312,SMALL(IF($A$3:$A$14312=DJ$3,ROW($A$3:$A$14312)),ROW(41:41)),2)),"",INDEX($A$3:$B$14312,SMALL(IF($A$3:$A$14312=DJ$3,ROW($A$3:$A$14312)),ROW(41:41)),2))</f>
        <v/>
      </c>
      <c r="DK43" t="str">
        <f t="array" ref="DK43">IF(ISERROR(INDEX($A$3:$B$14312,SMALL(IF($A$3:$A$14312=DK$3,ROW($A$3:$A$14312)),ROW(41:41)),2)),"",INDEX($A$3:$B$14312,SMALL(IF($A$3:$A$14312=DK$3,ROW($A$3:$A$14312)),ROW(41:41)),2))</f>
        <v/>
      </c>
      <c r="DL43" t="str">
        <f t="array" ref="DL43">IF(ISERROR(INDEX($A$3:$B$14312,SMALL(IF($A$3:$A$14312=DL$3,ROW($A$3:$A$14312)),ROW(41:41)),2)),"",INDEX($A$3:$B$14312,SMALL(IF($A$3:$A$14312=DL$3,ROW($A$3:$A$14312)),ROW(41:41)),2))</f>
        <v/>
      </c>
      <c r="DM43" t="str">
        <f t="array" ref="DM43">IF(ISERROR(INDEX($A$3:$B$14312,SMALL(IF($A$3:$A$14312=DM$3,ROW($A$3:$A$14312)),ROW(41:41)),2)),"",INDEX($A$3:$B$14312,SMALL(IF($A$3:$A$14312=DM$3,ROW($A$3:$A$14312)),ROW(41:41)),2))</f>
        <v/>
      </c>
      <c r="DN43" t="str">
        <f t="array" ref="DN43">IF(ISERROR(INDEX($A$3:$B$14312,SMALL(IF($A$3:$A$14312=DN$3,ROW($A$3:$A$14312)),ROW(41:41)),2)),"",INDEX($A$3:$B$14312,SMALL(IF($A$3:$A$14312=DN$3,ROW($A$3:$A$14312)),ROW(41:41)),2))</f>
        <v/>
      </c>
      <c r="DO43" t="str">
        <f t="array" ref="DO43">IF(ISERROR(INDEX($A$3:$B$14312,SMALL(IF($A$3:$A$14312=DO$3,ROW($A$3:$A$14312)),ROW(41:41)),2)),"",INDEX($A$3:$B$14312,SMALL(IF($A$3:$A$14312=DO$3,ROW($A$3:$A$14312)),ROW(41:41)),2))</f>
        <v/>
      </c>
      <c r="DP43" t="str">
        <f t="array" ref="DP43">IF(ISERROR(INDEX($A$3:$B$14312,SMALL(IF($A$3:$A$14312=DP$3,ROW($A$3:$A$14312)),ROW(41:41)),2)),"",INDEX($A$3:$B$14312,SMALL(IF($A$3:$A$14312=DP$3,ROW($A$3:$A$14312)),ROW(41:41)),2))</f>
        <v/>
      </c>
      <c r="DQ43" t="str">
        <f t="array" ref="DQ43">IF(ISERROR(INDEX($A$3:$B$14312,SMALL(IF($A$3:$A$14312=DQ$3,ROW($A$3:$A$14312)),ROW(41:41)),2)),"",INDEX($A$3:$B$14312,SMALL(IF($A$3:$A$14312=DQ$3,ROW($A$3:$A$14312)),ROW(41:41)),2))</f>
        <v/>
      </c>
      <c r="DR43" t="str">
        <f t="array" ref="DR43">IF(ISERROR(INDEX($A$3:$B$14312,SMALL(IF($A$3:$A$14312=DR$3,ROW($A$3:$A$14312)),ROW(41:41)),2)),"",INDEX($A$3:$B$14312,SMALL(IF($A$3:$A$14312=DR$3,ROW($A$3:$A$14312)),ROW(41:41)),2))</f>
        <v/>
      </c>
      <c r="DS43" t="str">
        <f t="array" ref="DS43">IF(ISERROR(INDEX($A$3:$B$14312,SMALL(IF($A$3:$A$14312=DS$3,ROW($A$3:$A$14312)),ROW(41:41)),2)),"",INDEX($A$3:$B$14312,SMALL(IF($A$3:$A$14312=DS$3,ROW($A$3:$A$14312)),ROW(41:41)),2))</f>
        <v/>
      </c>
      <c r="DT43" t="str">
        <f t="array" ref="DT43">IF(ISERROR(INDEX($A$3:$B$14312,SMALL(IF($A$3:$A$14312=DT$3,ROW($A$3:$A$14312)),ROW(41:41)),2)),"",INDEX($A$3:$B$14312,SMALL(IF($A$3:$A$14312=DT$3,ROW($A$3:$A$14312)),ROW(41:41)),2))</f>
        <v>Router3_107</v>
      </c>
      <c r="DU43" t="str">
        <f t="array" ref="DU43">IF(ISERROR(INDEX($A$3:$B$14312,SMALL(IF($A$3:$A$14312=DU$3,ROW($A$3:$A$14312)),ROW(41:41)),2)),"",INDEX($A$3:$B$14312,SMALL(IF($A$3:$A$14312=DU$3,ROW($A$3:$A$14312)),ROW(41:41)),2))</f>
        <v>Router3_158</v>
      </c>
      <c r="DV43" t="str">
        <f t="array" ref="DV43">IF(ISERROR(INDEX($A$3:$B$14312,SMALL(IF($A$3:$A$14312=DV$3,ROW($A$3:$A$14312)),ROW(41:41)),2)),"",INDEX($A$3:$B$14312,SMALL(IF($A$3:$A$14312=DV$3,ROW($A$3:$A$14312)),ROW(41:41)),2))</f>
        <v/>
      </c>
      <c r="DW43" t="str">
        <f t="array" ref="DW43">IF(ISERROR(INDEX($A$3:$B$14312,SMALL(IF($A$3:$A$14312=DW$3,ROW($A$3:$A$14312)),ROW(41:41)),2)),"",INDEX($A$3:$B$14312,SMALL(IF($A$3:$A$14312=DW$3,ROW($A$3:$A$14312)),ROW(41:41)),2))</f>
        <v/>
      </c>
      <c r="DX43" t="str">
        <f t="array" ref="DX43">IF(ISERROR(INDEX($A$3:$B$14312,SMALL(IF($A$3:$A$14312=DX$3,ROW($A$3:$A$14312)),ROW(41:41)),2)),"",INDEX($A$3:$B$14312,SMALL(IF($A$3:$A$14312=DX$3,ROW($A$3:$A$14312)),ROW(41:41)),2))</f>
        <v/>
      </c>
      <c r="DY43" t="str">
        <f t="array" ref="DY43">IF(ISERROR(INDEX($A$3:$B$14312,SMALL(IF($A$3:$A$14312=DY$3,ROW($A$3:$A$14312)),ROW(41:41)),2)),"",INDEX($A$3:$B$14312,SMALL(IF($A$3:$A$14312=DY$3,ROW($A$3:$A$14312)),ROW(41:41)),2))</f>
        <v/>
      </c>
      <c r="DZ43" t="str">
        <f t="array" ref="DZ43">IF(ISERROR(INDEX($A$3:$B$14312,SMALL(IF($A$3:$A$14312=DZ$3,ROW($A$3:$A$14312)),ROW(41:41)),2)),"",INDEX($A$3:$B$14312,SMALL(IF($A$3:$A$14312=DZ$3,ROW($A$3:$A$14312)),ROW(41:41)),2))</f>
        <v/>
      </c>
      <c r="EA43" t="str">
        <f t="array" ref="EA43">IF(ISERROR(INDEX($A$3:$B$14312,SMALL(IF($A$3:$A$14312=EA$3,ROW($A$3:$A$14312)),ROW(41:41)),2)),"",INDEX($A$3:$B$14312,SMALL(IF($A$3:$A$14312=EA$3,ROW($A$3:$A$14312)),ROW(41:41)),2))</f>
        <v/>
      </c>
      <c r="EB43" t="str">
        <f t="array" ref="EB43">IF(ISERROR(INDEX($A$3:$B$14312,SMALL(IF($A$3:$A$14312=EB$3,ROW($A$3:$A$14312)),ROW(41:41)),2)),"",INDEX($A$3:$B$14312,SMALL(IF($A$3:$A$14312=EB$3,ROW($A$3:$A$14312)),ROW(41:41)),2))</f>
        <v/>
      </c>
      <c r="EC43" t="str">
        <f t="array" ref="EC43">IF(ISERROR(INDEX($A$3:$B$14312,SMALL(IF($A$3:$A$14312=EC$3,ROW($A$3:$A$14312)),ROW(41:41)),2)),"",INDEX($A$3:$B$14312,SMALL(IF($A$3:$A$14312=EC$3,ROW($A$3:$A$14312)),ROW(41:41)),2))</f>
        <v>Router3_151</v>
      </c>
      <c r="ED43" t="str">
        <f t="array" ref="ED43">IF(ISERROR(INDEX($A$3:$B$14312,SMALL(IF($A$3:$A$14312=ED$3,ROW($A$3:$A$14312)),ROW(41:41)),2)),"",INDEX($A$3:$B$14312,SMALL(IF($A$3:$A$14312=ED$3,ROW($A$3:$A$14312)),ROW(41:41)),2))</f>
        <v>Router3_52</v>
      </c>
      <c r="EE43" t="str">
        <f t="array" ref="EE43">IF(ISERROR(INDEX($A$3:$B$14312,SMALL(IF($A$3:$A$14312=EE$3,ROW($A$3:$A$14312)),ROW(41:41)),2)),"",INDEX($A$3:$B$14312,SMALL(IF($A$3:$A$14312=EE$3,ROW($A$3:$A$14312)),ROW(41:41)),2))</f>
        <v/>
      </c>
    </row>
    <row r="44" spans="1:135" x14ac:dyDescent="0.25">
      <c r="A44" s="10">
        <v>-450827381</v>
      </c>
      <c r="B44" t="s">
        <v>1099</v>
      </c>
      <c r="E44" t="str">
        <f t="array" ref="E44">IF(ISERROR(INDEX($A$3:$B$14312,SMALL(IF($A$3:$A$14312=E$3,ROW($A$3:$A$14312)),ROW(42:42)),2)),"",INDEX($A$3:$B$14312,SMALL(IF($A$3:$A$14312=E$3,ROW($A$3:$A$14312)),ROW(42:42)),2))</f>
        <v/>
      </c>
      <c r="F44" t="str">
        <f t="array" ref="F44">IF(ISERROR(INDEX($A$3:$B$14312,SMALL(IF($A$3:$A$14312=F$3,ROW($A$3:$A$14312)),ROW(42:42)),2)),"",INDEX($A$3:$B$14312,SMALL(IF($A$3:$A$14312=F$3,ROW($A$3:$A$14312)),ROW(42:42)),2))</f>
        <v/>
      </c>
      <c r="G44" t="str">
        <f t="array" ref="G44">IF(ISERROR(INDEX($A$3:$B$14312,SMALL(IF($A$3:$A$14312=G$3,ROW($A$3:$A$14312)),ROW(42:42)),2)),"",INDEX($A$3:$B$14312,SMALL(IF($A$3:$A$14312=G$3,ROW($A$3:$A$14312)),ROW(42:42)),2))</f>
        <v/>
      </c>
      <c r="H44" t="str">
        <f t="array" ref="H44">IF(ISERROR(INDEX($A$3:$B$14312,SMALL(IF($A$3:$A$14312=H$3,ROW($A$3:$A$14312)),ROW(42:42)),2)),"",INDEX($A$3:$B$14312,SMALL(IF($A$3:$A$14312=H$3,ROW($A$3:$A$14312)),ROW(42:42)),2))</f>
        <v/>
      </c>
      <c r="I44" t="str">
        <f t="array" ref="I44">IF(ISERROR(INDEX($A$3:$B$14312,SMALL(IF($A$3:$A$14312=I$3,ROW($A$3:$A$14312)),ROW(42:42)),2)),"",INDEX($A$3:$B$14312,SMALL(IF($A$3:$A$14312=I$3,ROW($A$3:$A$14312)),ROW(42:42)),2))</f>
        <v/>
      </c>
      <c r="J44" t="str">
        <f t="array" ref="J44">IF(ISERROR(INDEX($A$3:$B$14312,SMALL(IF($A$3:$A$14312=J$3,ROW($A$3:$A$14312)),ROW(42:42)),2)),"",INDEX($A$3:$B$14312,SMALL(IF($A$3:$A$14312=J$3,ROW($A$3:$A$14312)),ROW(42:42)),2))</f>
        <v/>
      </c>
      <c r="K44" t="str">
        <f t="array" ref="K44">IF(ISERROR(INDEX($A$3:$B$14312,SMALL(IF($A$3:$A$14312=K$3,ROW($A$3:$A$14312)),ROW(42:42)),2)),"",INDEX($A$3:$B$14312,SMALL(IF($A$3:$A$14312=K$3,ROW($A$3:$A$14312)),ROW(42:42)),2))</f>
        <v/>
      </c>
      <c r="L44" t="str">
        <f t="array" ref="L44">IF(ISERROR(INDEX($A$3:$B$14312,SMALL(IF($A$3:$A$14312=L$3,ROW($A$3:$A$14312)),ROW(42:42)),2)),"",INDEX($A$3:$B$14312,SMALL(IF($A$3:$A$14312=L$3,ROW($A$3:$A$14312)),ROW(42:42)),2))</f>
        <v/>
      </c>
      <c r="M44" t="str">
        <f t="array" ref="M44">IF(ISERROR(INDEX($A$3:$B$14312,SMALL(IF($A$3:$A$14312=M$3,ROW($A$3:$A$14312)),ROW(42:42)),2)),"",INDEX($A$3:$B$14312,SMALL(IF($A$3:$A$14312=M$3,ROW($A$3:$A$14312)),ROW(42:42)),2))</f>
        <v/>
      </c>
      <c r="N44" t="str">
        <f t="array" ref="N44">IF(ISERROR(INDEX($A$3:$B$14312,SMALL(IF($A$3:$A$14312=N$3,ROW($A$3:$A$14312)),ROW(42:42)),2)),"",INDEX($A$3:$B$14312,SMALL(IF($A$3:$A$14312=N$3,ROW($A$3:$A$14312)),ROW(42:42)),2))</f>
        <v/>
      </c>
      <c r="O44" t="str">
        <f t="array" ref="O44">IF(ISERROR(INDEX($A$3:$B$14312,SMALL(IF($A$3:$A$14312=O$3,ROW($A$3:$A$14312)),ROW(42:42)),2)),"",INDEX($A$3:$B$14312,SMALL(IF($A$3:$A$14312=O$3,ROW($A$3:$A$14312)),ROW(42:42)),2))</f>
        <v/>
      </c>
      <c r="P44" t="str">
        <f t="array" ref="P44">IF(ISERROR(INDEX($A$3:$B$14312,SMALL(IF($A$3:$A$14312=P$3,ROW($A$3:$A$14312)),ROW(42:42)),2)),"",INDEX($A$3:$B$14312,SMALL(IF($A$3:$A$14312=P$3,ROW($A$3:$A$14312)),ROW(42:42)),2))</f>
        <v/>
      </c>
      <c r="Q44" t="str">
        <f t="array" ref="Q44">IF(ISERROR(INDEX($A$3:$B$14312,SMALL(IF($A$3:$A$14312=Q$3,ROW($A$3:$A$14312)),ROW(42:42)),2)),"",INDEX($A$3:$B$14312,SMALL(IF($A$3:$A$14312=Q$3,ROW($A$3:$A$14312)),ROW(42:42)),2))</f>
        <v/>
      </c>
      <c r="R44" t="str">
        <f t="array" ref="R44">IF(ISERROR(INDEX($A$3:$B$14312,SMALL(IF($A$3:$A$14312=R$3,ROW($A$3:$A$14312)),ROW(42:42)),2)),"",INDEX($A$3:$B$14312,SMALL(IF($A$3:$A$14312=R$3,ROW($A$3:$A$14312)),ROW(42:42)),2))</f>
        <v/>
      </c>
      <c r="S44" t="str">
        <f t="array" ref="S44">IF(ISERROR(INDEX($A$3:$B$14312,SMALL(IF($A$3:$A$14312=S$3,ROW($A$3:$A$14312)),ROW(42:42)),2)),"",INDEX($A$3:$B$14312,SMALL(IF($A$3:$A$14312=S$3,ROW($A$3:$A$14312)),ROW(42:42)),2))</f>
        <v/>
      </c>
      <c r="T44" t="str">
        <f t="array" ref="T44">IF(ISERROR(INDEX($A$3:$B$14312,SMALL(IF($A$3:$A$14312=T$3,ROW($A$3:$A$14312)),ROW(42:42)),2)),"",INDEX($A$3:$B$14312,SMALL(IF($A$3:$A$14312=T$3,ROW($A$3:$A$14312)),ROW(42:42)),2))</f>
        <v/>
      </c>
      <c r="U44" t="str">
        <f t="array" ref="U44">IF(ISERROR(INDEX($A$3:$B$14312,SMALL(IF($A$3:$A$14312=U$3,ROW($A$3:$A$14312)),ROW(42:42)),2)),"",INDEX($A$3:$B$14312,SMALL(IF($A$3:$A$14312=U$3,ROW($A$3:$A$14312)),ROW(42:42)),2))</f>
        <v/>
      </c>
      <c r="V44" t="str">
        <f t="array" ref="V44">IF(ISERROR(INDEX($A$3:$B$14312,SMALL(IF($A$3:$A$14312=V$3,ROW($A$3:$A$14312)),ROW(42:42)),2)),"",INDEX($A$3:$B$14312,SMALL(IF($A$3:$A$14312=V$3,ROW($A$3:$A$14312)),ROW(42:42)),2))</f>
        <v/>
      </c>
      <c r="W44" t="str">
        <f t="array" ref="W44">IF(ISERROR(INDEX($A$3:$B$14312,SMALL(IF($A$3:$A$14312=W$3,ROW($A$3:$A$14312)),ROW(42:42)),2)),"",INDEX($A$3:$B$14312,SMALL(IF($A$3:$A$14312=W$3,ROW($A$3:$A$14312)),ROW(42:42)),2))</f>
        <v>Router3_153</v>
      </c>
      <c r="X44" t="str">
        <f t="array" ref="X44">IF(ISERROR(INDEX($A$3:$B$14312,SMALL(IF($A$3:$A$14312=X$3,ROW($A$3:$A$14312)),ROW(42:42)),2)),"",INDEX($A$3:$B$14312,SMALL(IF($A$3:$A$14312=X$3,ROW($A$3:$A$14312)),ROW(42:42)),2))</f>
        <v/>
      </c>
      <c r="Y44" t="str">
        <f t="array" ref="Y44">IF(ISERROR(INDEX($A$3:$B$14312,SMALL(IF($A$3:$A$14312=Y$3,ROW($A$3:$A$14312)),ROW(42:42)),2)),"",INDEX($A$3:$B$14312,SMALL(IF($A$3:$A$14312=Y$3,ROW($A$3:$A$14312)),ROW(42:42)),2))</f>
        <v/>
      </c>
      <c r="Z44" t="str">
        <f t="array" ref="Z44">IF(ISERROR(INDEX($A$3:$B$14312,SMALL(IF($A$3:$A$14312=Z$3,ROW($A$3:$A$14312)),ROW(42:42)),2)),"",INDEX($A$3:$B$14312,SMALL(IF($A$3:$A$14312=Z$3,ROW($A$3:$A$14312)),ROW(42:42)),2))</f>
        <v/>
      </c>
      <c r="AA44" t="str">
        <f t="array" ref="AA44">IF(ISERROR(INDEX($A$3:$B$14312,SMALL(IF($A$3:$A$14312=AA$3,ROW($A$3:$A$14312)),ROW(42:42)),2)),"",INDEX($A$3:$B$14312,SMALL(IF($A$3:$A$14312=AA$3,ROW($A$3:$A$14312)),ROW(42:42)),2))</f>
        <v/>
      </c>
      <c r="AB44" t="str">
        <f t="array" ref="AB44">IF(ISERROR(INDEX($A$3:$B$14312,SMALL(IF($A$3:$A$14312=AB$3,ROW($A$3:$A$14312)),ROW(42:42)),2)),"",INDEX($A$3:$B$14312,SMALL(IF($A$3:$A$14312=AB$3,ROW($A$3:$A$14312)),ROW(42:42)),2))</f>
        <v/>
      </c>
      <c r="AC44" t="str">
        <f t="array" ref="AC44">IF(ISERROR(INDEX($A$3:$B$14312,SMALL(IF($A$3:$A$14312=AC$3,ROW($A$3:$A$14312)),ROW(42:42)),2)),"",INDEX($A$3:$B$14312,SMALL(IF($A$3:$A$14312=AC$3,ROW($A$3:$A$14312)),ROW(42:42)),2))</f>
        <v/>
      </c>
      <c r="AD44" t="str">
        <f t="array" ref="AD44">IF(ISERROR(INDEX($A$3:$B$14312,SMALL(IF($A$3:$A$14312=AD$3,ROW($A$3:$A$14312)),ROW(42:42)),2)),"",INDEX($A$3:$B$14312,SMALL(IF($A$3:$A$14312=AD$3,ROW($A$3:$A$14312)),ROW(42:42)),2))</f>
        <v/>
      </c>
      <c r="AE44" t="str">
        <f t="array" ref="AE44">IF(ISERROR(INDEX($A$3:$B$14312,SMALL(IF($A$3:$A$14312=AE$3,ROW($A$3:$A$14312)),ROW(42:42)),2)),"",INDEX($A$3:$B$14312,SMALL(IF($A$3:$A$14312=AE$3,ROW($A$3:$A$14312)),ROW(42:42)),2))</f>
        <v/>
      </c>
      <c r="AF44" t="str">
        <f t="array" ref="AF44">IF(ISERROR(INDEX($A$3:$B$14312,SMALL(IF($A$3:$A$14312=AF$3,ROW($A$3:$A$14312)),ROW(42:42)),2)),"",INDEX($A$3:$B$14312,SMALL(IF($A$3:$A$14312=AF$3,ROW($A$3:$A$14312)),ROW(42:42)),2))</f>
        <v/>
      </c>
      <c r="AG44" t="str">
        <f t="array" ref="AG44">IF(ISERROR(INDEX($A$3:$B$14312,SMALL(IF($A$3:$A$14312=AG$3,ROW($A$3:$A$14312)),ROW(42:42)),2)),"",INDEX($A$3:$B$14312,SMALL(IF($A$3:$A$14312=AG$3,ROW($A$3:$A$14312)),ROW(42:42)),2))</f>
        <v/>
      </c>
      <c r="AH44" t="str">
        <f t="array" ref="AH44">IF(ISERROR(INDEX($A$3:$B$14312,SMALL(IF($A$3:$A$14312=AH$3,ROW($A$3:$A$14312)),ROW(42:42)),2)),"",INDEX($A$3:$B$14312,SMALL(IF($A$3:$A$14312=AH$3,ROW($A$3:$A$14312)),ROW(42:42)),2))</f>
        <v/>
      </c>
      <c r="AI44" t="str">
        <f t="array" ref="AI44">IF(ISERROR(INDEX($A$3:$B$14312,SMALL(IF($A$3:$A$14312=AI$3,ROW($A$3:$A$14312)),ROW(42:42)),2)),"",INDEX($A$3:$B$14312,SMALL(IF($A$3:$A$14312=AI$3,ROW($A$3:$A$14312)),ROW(42:42)),2))</f>
        <v/>
      </c>
      <c r="AJ44" t="str">
        <f t="array" ref="AJ44">IF(ISERROR(INDEX($A$3:$B$14312,SMALL(IF($A$3:$A$14312=AJ$3,ROW($A$3:$A$14312)),ROW(42:42)),2)),"",INDEX($A$3:$B$14312,SMALL(IF($A$3:$A$14312=AJ$3,ROW($A$3:$A$14312)),ROW(42:42)),2))</f>
        <v/>
      </c>
      <c r="AK44" t="str">
        <f t="array" ref="AK44">IF(ISERROR(INDEX($A$3:$B$14312,SMALL(IF($A$3:$A$14312=AK$3,ROW($A$3:$A$14312)),ROW(42:42)),2)),"",INDEX($A$3:$B$14312,SMALL(IF($A$3:$A$14312=AK$3,ROW($A$3:$A$14312)),ROW(42:42)),2))</f>
        <v/>
      </c>
      <c r="AL44" t="str">
        <f t="array" ref="AL44">IF(ISERROR(INDEX($A$3:$B$14312,SMALL(IF($A$3:$A$14312=AL$3,ROW($A$3:$A$14312)),ROW(42:42)),2)),"",INDEX($A$3:$B$14312,SMALL(IF($A$3:$A$14312=AL$3,ROW($A$3:$A$14312)),ROW(42:42)),2))</f>
        <v/>
      </c>
      <c r="AM44" t="str">
        <f t="array" ref="AM44">IF(ISERROR(INDEX($A$3:$B$14312,SMALL(IF($A$3:$A$14312=AM$3,ROW($A$3:$A$14312)),ROW(42:42)),2)),"",INDEX($A$3:$B$14312,SMALL(IF($A$3:$A$14312=AM$3,ROW($A$3:$A$14312)),ROW(42:42)),2))</f>
        <v>Router3_165</v>
      </c>
      <c r="AN44" t="str">
        <f t="array" ref="AN44">IF(ISERROR(INDEX($A$3:$B$14312,SMALL(IF($A$3:$A$14312=AN$3,ROW($A$3:$A$14312)),ROW(42:42)),2)),"",INDEX($A$3:$B$14312,SMALL(IF($A$3:$A$14312=AN$3,ROW($A$3:$A$14312)),ROW(42:42)),2))</f>
        <v/>
      </c>
      <c r="AO44" t="str">
        <f t="array" ref="AO44">IF(ISERROR(INDEX($A$3:$B$14312,SMALL(IF($A$3:$A$14312=AO$3,ROW($A$3:$A$14312)),ROW(42:42)),2)),"",INDEX($A$3:$B$14312,SMALL(IF($A$3:$A$14312=AO$3,ROW($A$3:$A$14312)),ROW(42:42)),2))</f>
        <v/>
      </c>
      <c r="AP44" t="str">
        <f t="array" ref="AP44">IF(ISERROR(INDEX($A$3:$B$14312,SMALL(IF($A$3:$A$14312=AP$3,ROW($A$3:$A$14312)),ROW(42:42)),2)),"",INDEX($A$3:$B$14312,SMALL(IF($A$3:$A$14312=AP$3,ROW($A$3:$A$14312)),ROW(42:42)),2))</f>
        <v/>
      </c>
      <c r="AQ44" t="str">
        <f t="array" ref="AQ44">IF(ISERROR(INDEX($A$3:$B$14312,SMALL(IF($A$3:$A$14312=AQ$3,ROW($A$3:$A$14312)),ROW(42:42)),2)),"",INDEX($A$3:$B$14312,SMALL(IF($A$3:$A$14312=AQ$3,ROW($A$3:$A$14312)),ROW(42:42)),2))</f>
        <v/>
      </c>
      <c r="AR44" t="str">
        <f t="array" ref="AR44">IF(ISERROR(INDEX($A$3:$B$14312,SMALL(IF($A$3:$A$14312=AR$3,ROW($A$3:$A$14312)),ROW(42:42)),2)),"",INDEX($A$3:$B$14312,SMALL(IF($A$3:$A$14312=AR$3,ROW($A$3:$A$14312)),ROW(42:42)),2))</f>
        <v/>
      </c>
      <c r="AS44" t="str">
        <f t="array" ref="AS44">IF(ISERROR(INDEX($A$3:$B$14312,SMALL(IF($A$3:$A$14312=AS$3,ROW($A$3:$A$14312)),ROW(42:42)),2)),"",INDEX($A$3:$B$14312,SMALL(IF($A$3:$A$14312=AS$3,ROW($A$3:$A$14312)),ROW(42:42)),2))</f>
        <v/>
      </c>
      <c r="AT44" t="str">
        <f t="array" ref="AT44">IF(ISERROR(INDEX($A$3:$B$14312,SMALL(IF($A$3:$A$14312=AT$3,ROW($A$3:$A$14312)),ROW(42:42)),2)),"",INDEX($A$3:$B$14312,SMALL(IF($A$3:$A$14312=AT$3,ROW($A$3:$A$14312)),ROW(42:42)),2))</f>
        <v/>
      </c>
      <c r="AU44" t="str">
        <f t="array" ref="AU44">IF(ISERROR(INDEX($A$3:$B$14312,SMALL(IF($A$3:$A$14312=AU$3,ROW($A$3:$A$14312)),ROW(42:42)),2)),"",INDEX($A$3:$B$14312,SMALL(IF($A$3:$A$14312=AU$3,ROW($A$3:$A$14312)),ROW(42:42)),2))</f>
        <v/>
      </c>
      <c r="AV44" t="str">
        <f t="array" ref="AV44">IF(ISERROR(INDEX($A$3:$B$14312,SMALL(IF($A$3:$A$14312=AV$3,ROW($A$3:$A$14312)),ROW(42:42)),2)),"",INDEX($A$3:$B$14312,SMALL(IF($A$3:$A$14312=AV$3,ROW($A$3:$A$14312)),ROW(42:42)),2))</f>
        <v/>
      </c>
      <c r="AW44" t="str">
        <f t="array" ref="AW44">IF(ISERROR(INDEX($A$3:$B$14312,SMALL(IF($A$3:$A$14312=AW$3,ROW($A$3:$A$14312)),ROW(42:42)),2)),"",INDEX($A$3:$B$14312,SMALL(IF($A$3:$A$14312=AW$3,ROW($A$3:$A$14312)),ROW(42:42)),2))</f>
        <v/>
      </c>
      <c r="AX44" t="str">
        <f t="array" ref="AX44">IF(ISERROR(INDEX($A$3:$B$14312,SMALL(IF($A$3:$A$14312=AX$3,ROW($A$3:$A$14312)),ROW(42:42)),2)),"",INDEX($A$3:$B$14312,SMALL(IF($A$3:$A$14312=AX$3,ROW($A$3:$A$14312)),ROW(42:42)),2))</f>
        <v/>
      </c>
      <c r="AY44" t="str">
        <f t="array" ref="AY44">IF(ISERROR(INDEX($A$3:$B$14312,SMALL(IF($A$3:$A$14312=AY$3,ROW($A$3:$A$14312)),ROW(42:42)),2)),"",INDEX($A$3:$B$14312,SMALL(IF($A$3:$A$14312=AY$3,ROW($A$3:$A$14312)),ROW(42:42)),2))</f>
        <v>Router3_19</v>
      </c>
      <c r="AZ44" t="str">
        <f t="array" ref="AZ44">IF(ISERROR(INDEX($A$3:$B$14312,SMALL(IF($A$3:$A$14312=AZ$3,ROW($A$3:$A$14312)),ROW(42:42)),2)),"",INDEX($A$3:$B$14312,SMALL(IF($A$3:$A$14312=AZ$3,ROW($A$3:$A$14312)),ROW(42:42)),2))</f>
        <v/>
      </c>
      <c r="BA44" t="str">
        <f t="array" ref="BA44">IF(ISERROR(INDEX($A$3:$B$14312,SMALL(IF($A$3:$A$14312=BA$3,ROW($A$3:$A$14312)),ROW(42:42)),2)),"",INDEX($A$3:$B$14312,SMALL(IF($A$3:$A$14312=BA$3,ROW($A$3:$A$14312)),ROW(42:42)),2))</f>
        <v/>
      </c>
      <c r="BB44" t="str">
        <f t="array" ref="BB44">IF(ISERROR(INDEX($A$3:$B$14312,SMALL(IF($A$3:$A$14312=BB$3,ROW($A$3:$A$14312)),ROW(42:42)),2)),"",INDEX($A$3:$B$14312,SMALL(IF($A$3:$A$14312=BB$3,ROW($A$3:$A$14312)),ROW(42:42)),2))</f>
        <v/>
      </c>
      <c r="BC44" t="str">
        <f t="array" ref="BC44">IF(ISERROR(INDEX($A$3:$B$14312,SMALL(IF($A$3:$A$14312=BC$3,ROW($A$3:$A$14312)),ROW(42:42)),2)),"",INDEX($A$3:$B$14312,SMALL(IF($A$3:$A$14312=BC$3,ROW($A$3:$A$14312)),ROW(42:42)),2))</f>
        <v/>
      </c>
      <c r="BD44" t="str">
        <f t="array" ref="BD44">IF(ISERROR(INDEX($A$3:$B$14312,SMALL(IF($A$3:$A$14312=BD$3,ROW($A$3:$A$14312)),ROW(42:42)),2)),"",INDEX($A$3:$B$14312,SMALL(IF($A$3:$A$14312=BD$3,ROW($A$3:$A$14312)),ROW(42:42)),2))</f>
        <v/>
      </c>
      <c r="BE44" t="str">
        <f t="array" ref="BE44">IF(ISERROR(INDEX($A$3:$B$14312,SMALL(IF($A$3:$A$14312=BE$3,ROW($A$3:$A$14312)),ROW(42:42)),2)),"",INDEX($A$3:$B$14312,SMALL(IF($A$3:$A$14312=BE$3,ROW($A$3:$A$14312)),ROW(42:42)),2))</f>
        <v/>
      </c>
      <c r="BF44" t="str">
        <f t="array" ref="BF44">IF(ISERROR(INDEX($A$3:$B$14312,SMALL(IF($A$3:$A$14312=BF$3,ROW($A$3:$A$14312)),ROW(42:42)),2)),"",INDEX($A$3:$B$14312,SMALL(IF($A$3:$A$14312=BF$3,ROW($A$3:$A$14312)),ROW(42:42)),2))</f>
        <v/>
      </c>
      <c r="BG44" t="str">
        <f t="array" ref="BG44">IF(ISERROR(INDEX($A$3:$B$14312,SMALL(IF($A$3:$A$14312=BG$3,ROW($A$3:$A$14312)),ROW(42:42)),2)),"",INDEX($A$3:$B$14312,SMALL(IF($A$3:$A$14312=BG$3,ROW($A$3:$A$14312)),ROW(42:42)),2))</f>
        <v/>
      </c>
      <c r="BH44" t="str">
        <f t="array" ref="BH44">IF(ISERROR(INDEX($A$3:$B$14312,SMALL(IF($A$3:$A$14312=BH$3,ROW($A$3:$A$14312)),ROW(42:42)),2)),"",INDEX($A$3:$B$14312,SMALL(IF($A$3:$A$14312=BH$3,ROW($A$3:$A$14312)),ROW(42:42)),2))</f>
        <v/>
      </c>
      <c r="BI44" t="str">
        <f t="array" ref="BI44">IF(ISERROR(INDEX($A$3:$B$14312,SMALL(IF($A$3:$A$14312=BI$3,ROW($A$3:$A$14312)),ROW(42:42)),2)),"",INDEX($A$3:$B$14312,SMALL(IF($A$3:$A$14312=BI$3,ROW($A$3:$A$14312)),ROW(42:42)),2))</f>
        <v/>
      </c>
      <c r="BJ44" t="str">
        <f t="array" ref="BJ44">IF(ISERROR(INDEX($A$3:$B$14312,SMALL(IF($A$3:$A$14312=BJ$3,ROW($A$3:$A$14312)),ROW(42:42)),2)),"",INDEX($A$3:$B$14312,SMALL(IF($A$3:$A$14312=BJ$3,ROW($A$3:$A$14312)),ROW(42:42)),2))</f>
        <v/>
      </c>
      <c r="BK44" t="str">
        <f t="array" ref="BK44">IF(ISERROR(INDEX($A$3:$B$14312,SMALL(IF($A$3:$A$14312=BK$3,ROW($A$3:$A$14312)),ROW(42:42)),2)),"",INDEX($A$3:$B$14312,SMALL(IF($A$3:$A$14312=BK$3,ROW($A$3:$A$14312)),ROW(42:42)),2))</f>
        <v/>
      </c>
      <c r="BL44" t="str">
        <f t="array" ref="BL44">IF(ISERROR(INDEX($A$3:$B$14312,SMALL(IF($A$3:$A$14312=BL$3,ROW($A$3:$A$14312)),ROW(42:42)),2)),"",INDEX($A$3:$B$14312,SMALL(IF($A$3:$A$14312=BL$3,ROW($A$3:$A$14312)),ROW(42:42)),2))</f>
        <v/>
      </c>
      <c r="BM44" t="str">
        <f t="array" ref="BM44">IF(ISERROR(INDEX($A$3:$B$14312,SMALL(IF($A$3:$A$14312=BM$3,ROW($A$3:$A$14312)),ROW(42:42)),2)),"",INDEX($A$3:$B$14312,SMALL(IF($A$3:$A$14312=BM$3,ROW($A$3:$A$14312)),ROW(42:42)),2))</f>
        <v/>
      </c>
      <c r="BN44" t="str">
        <f t="array" ref="BN44">IF(ISERROR(INDEX($A$3:$B$14312,SMALL(IF($A$3:$A$14312=BN$3,ROW($A$3:$A$14312)),ROW(42:42)),2)),"",INDEX($A$3:$B$14312,SMALL(IF($A$3:$A$14312=BN$3,ROW($A$3:$A$14312)),ROW(42:42)),2))</f>
        <v/>
      </c>
      <c r="BO44" t="str">
        <f t="array" ref="BO44">IF(ISERROR(INDEX($A$3:$B$14312,SMALL(IF($A$3:$A$14312=BO$3,ROW($A$3:$A$14312)),ROW(42:42)),2)),"",INDEX($A$3:$B$14312,SMALL(IF($A$3:$A$14312=BO$3,ROW($A$3:$A$14312)),ROW(42:42)),2))</f>
        <v/>
      </c>
      <c r="BP44" t="str">
        <f t="array" ref="BP44">IF(ISERROR(INDEX($A$3:$B$14312,SMALL(IF($A$3:$A$14312=BP$3,ROW($A$3:$A$14312)),ROW(42:42)),2)),"",INDEX($A$3:$B$14312,SMALL(IF($A$3:$A$14312=BP$3,ROW($A$3:$A$14312)),ROW(42:42)),2))</f>
        <v/>
      </c>
      <c r="BQ44" t="str">
        <f t="array" ref="BQ44">IF(ISERROR(INDEX($A$3:$B$14312,SMALL(IF($A$3:$A$14312=BQ$3,ROW($A$3:$A$14312)),ROW(42:42)),2)),"",INDEX($A$3:$B$14312,SMALL(IF($A$3:$A$14312=BQ$3,ROW($A$3:$A$14312)),ROW(42:42)),2))</f>
        <v/>
      </c>
      <c r="BR44" t="str">
        <f t="array" ref="BR44">IF(ISERROR(INDEX($A$3:$B$14312,SMALL(IF($A$3:$A$14312=BR$3,ROW($A$3:$A$14312)),ROW(42:42)),2)),"",INDEX($A$3:$B$14312,SMALL(IF($A$3:$A$14312=BR$3,ROW($A$3:$A$14312)),ROW(42:42)),2))</f>
        <v/>
      </c>
      <c r="BS44" t="str">
        <f t="array" ref="BS44">IF(ISERROR(INDEX($A$3:$B$14312,SMALL(IF($A$3:$A$14312=BS$3,ROW($A$3:$A$14312)),ROW(42:42)),2)),"",INDEX($A$3:$B$14312,SMALL(IF($A$3:$A$14312=BS$3,ROW($A$3:$A$14312)),ROW(42:42)),2))</f>
        <v/>
      </c>
      <c r="BT44" t="str">
        <f t="array" ref="BT44">IF(ISERROR(INDEX($A$3:$B$14312,SMALL(IF($A$3:$A$14312=BT$3,ROW($A$3:$A$14312)),ROW(42:42)),2)),"",INDEX($A$3:$B$14312,SMALL(IF($A$3:$A$14312=BT$3,ROW($A$3:$A$14312)),ROW(42:42)),2))</f>
        <v>Router3_144</v>
      </c>
      <c r="BU44" t="str">
        <f t="array" ref="BU44">IF(ISERROR(INDEX($A$3:$B$14312,SMALL(IF($A$3:$A$14312=BU$3,ROW($A$3:$A$14312)),ROW(42:42)),2)),"",INDEX($A$3:$B$14312,SMALL(IF($A$3:$A$14312=BU$3,ROW($A$3:$A$14312)),ROW(42:42)),2))</f>
        <v/>
      </c>
      <c r="BV44" t="str">
        <f t="array" ref="BV44">IF(ISERROR(INDEX($A$3:$B$14312,SMALL(IF($A$3:$A$14312=BV$3,ROW($A$3:$A$14312)),ROW(42:42)),2)),"",INDEX($A$3:$B$14312,SMALL(IF($A$3:$A$14312=BV$3,ROW($A$3:$A$14312)),ROW(42:42)),2))</f>
        <v/>
      </c>
      <c r="BW44" t="str">
        <f t="array" ref="BW44">IF(ISERROR(INDEX($A$3:$B$14312,SMALL(IF($A$3:$A$14312=BW$3,ROW($A$3:$A$14312)),ROW(42:42)),2)),"",INDEX($A$3:$B$14312,SMALL(IF($A$3:$A$14312=BW$3,ROW($A$3:$A$14312)),ROW(42:42)),2))</f>
        <v/>
      </c>
      <c r="BX44" t="str">
        <f t="array" ref="BX44">IF(ISERROR(INDEX($A$3:$B$14312,SMALL(IF($A$3:$A$14312=BX$3,ROW($A$3:$A$14312)),ROW(42:42)),2)),"",INDEX($A$3:$B$14312,SMALL(IF($A$3:$A$14312=BX$3,ROW($A$3:$A$14312)),ROW(42:42)),2))</f>
        <v/>
      </c>
      <c r="BY44" t="str">
        <f t="array" ref="BY44">IF(ISERROR(INDEX($A$3:$B$14312,SMALL(IF($A$3:$A$14312=BY$3,ROW($A$3:$A$14312)),ROW(42:42)),2)),"",INDEX($A$3:$B$14312,SMALL(IF($A$3:$A$14312=BY$3,ROW($A$3:$A$14312)),ROW(42:42)),2))</f>
        <v/>
      </c>
      <c r="BZ44" t="str">
        <f t="array" ref="BZ44">IF(ISERROR(INDEX($A$3:$B$14312,SMALL(IF($A$3:$A$14312=BZ$3,ROW($A$3:$A$14312)),ROW(42:42)),2)),"",INDEX($A$3:$B$14312,SMALL(IF($A$3:$A$14312=BZ$3,ROW($A$3:$A$14312)),ROW(42:42)),2))</f>
        <v/>
      </c>
      <c r="CA44" t="str">
        <f t="array" ref="CA44">IF(ISERROR(INDEX($A$3:$B$14312,SMALL(IF($A$3:$A$14312=CA$3,ROW($A$3:$A$14312)),ROW(42:42)),2)),"",INDEX($A$3:$B$14312,SMALL(IF($A$3:$A$14312=CA$3,ROW($A$3:$A$14312)),ROW(42:42)),2))</f>
        <v/>
      </c>
      <c r="CB44" t="str">
        <f t="array" ref="CB44">IF(ISERROR(INDEX($A$3:$B$14312,SMALL(IF($A$3:$A$14312=CB$3,ROW($A$3:$A$14312)),ROW(42:42)),2)),"",INDEX($A$3:$B$14312,SMALL(IF($A$3:$A$14312=CB$3,ROW($A$3:$A$14312)),ROW(42:42)),2))</f>
        <v/>
      </c>
      <c r="CC44" t="str">
        <f t="array" ref="CC44">IF(ISERROR(INDEX($A$3:$B$14312,SMALL(IF($A$3:$A$14312=CC$3,ROW($A$3:$A$14312)),ROW(42:42)),2)),"",INDEX($A$3:$B$14312,SMALL(IF($A$3:$A$14312=CC$3,ROW($A$3:$A$14312)),ROW(42:42)),2))</f>
        <v/>
      </c>
      <c r="CD44" t="str">
        <f t="array" ref="CD44">IF(ISERROR(INDEX($A$3:$B$14312,SMALL(IF($A$3:$A$14312=CD$3,ROW($A$3:$A$14312)),ROW(42:42)),2)),"",INDEX($A$3:$B$14312,SMALL(IF($A$3:$A$14312=CD$3,ROW($A$3:$A$14312)),ROW(42:42)),2))</f>
        <v/>
      </c>
      <c r="CE44" t="str">
        <f t="array" ref="CE44">IF(ISERROR(INDEX($A$3:$B$14312,SMALL(IF($A$3:$A$14312=CE$3,ROW($A$3:$A$14312)),ROW(42:42)),2)),"",INDEX($A$3:$B$14312,SMALL(IF($A$3:$A$14312=CE$3,ROW($A$3:$A$14312)),ROW(42:42)),2))</f>
        <v/>
      </c>
      <c r="CF44" t="str">
        <f t="array" ref="CF44">IF(ISERROR(INDEX($A$3:$B$14312,SMALL(IF($A$3:$A$14312=CF$3,ROW($A$3:$A$14312)),ROW(42:42)),2)),"",INDEX($A$3:$B$14312,SMALL(IF($A$3:$A$14312=CF$3,ROW($A$3:$A$14312)),ROW(42:42)),2))</f>
        <v/>
      </c>
      <c r="CG44" t="str">
        <f t="array" ref="CG44">IF(ISERROR(INDEX($A$3:$B$14312,SMALL(IF($A$3:$A$14312=CG$3,ROW($A$3:$A$14312)),ROW(42:42)),2)),"",INDEX($A$3:$B$14312,SMALL(IF($A$3:$A$14312=CG$3,ROW($A$3:$A$14312)),ROW(42:42)),2))</f>
        <v/>
      </c>
      <c r="CH44" t="str">
        <f t="array" ref="CH44">IF(ISERROR(INDEX($A$3:$B$14312,SMALL(IF($A$3:$A$14312=CH$3,ROW($A$3:$A$14312)),ROW(42:42)),2)),"",INDEX($A$3:$B$14312,SMALL(IF($A$3:$A$14312=CH$3,ROW($A$3:$A$14312)),ROW(42:42)),2))</f>
        <v/>
      </c>
      <c r="CI44" t="str">
        <f t="array" ref="CI44">IF(ISERROR(INDEX($A$3:$B$14312,SMALL(IF($A$3:$A$14312=CI$3,ROW($A$3:$A$14312)),ROW(42:42)),2)),"",INDEX($A$3:$B$14312,SMALL(IF($A$3:$A$14312=CI$3,ROW($A$3:$A$14312)),ROW(42:42)),2))</f>
        <v/>
      </c>
      <c r="CJ44" t="str">
        <f t="array" ref="CJ44">IF(ISERROR(INDEX($A$3:$B$14312,SMALL(IF($A$3:$A$14312=CJ$3,ROW($A$3:$A$14312)),ROW(42:42)),2)),"",INDEX($A$3:$B$14312,SMALL(IF($A$3:$A$14312=CJ$3,ROW($A$3:$A$14312)),ROW(42:42)),2))</f>
        <v/>
      </c>
      <c r="CK44" t="str">
        <f t="array" ref="CK44">IF(ISERROR(INDEX($A$3:$B$14312,SMALL(IF($A$3:$A$14312=CK$3,ROW($A$3:$A$14312)),ROW(42:42)),2)),"",INDEX($A$3:$B$14312,SMALL(IF($A$3:$A$14312=CK$3,ROW($A$3:$A$14312)),ROW(42:42)),2))</f>
        <v/>
      </c>
      <c r="CL44" t="str">
        <f t="array" ref="CL44">IF(ISERROR(INDEX($A$3:$B$14312,SMALL(IF($A$3:$A$14312=CL$3,ROW($A$3:$A$14312)),ROW(42:42)),2)),"",INDEX($A$3:$B$14312,SMALL(IF($A$3:$A$14312=CL$3,ROW($A$3:$A$14312)),ROW(42:42)),2))</f>
        <v/>
      </c>
      <c r="CM44" t="str">
        <f t="array" ref="CM44">IF(ISERROR(INDEX($A$3:$B$14312,SMALL(IF($A$3:$A$14312=CM$3,ROW($A$3:$A$14312)),ROW(42:42)),2)),"",INDEX($A$3:$B$14312,SMALL(IF($A$3:$A$14312=CM$3,ROW($A$3:$A$14312)),ROW(42:42)),2))</f>
        <v/>
      </c>
      <c r="CN44" t="str">
        <f t="array" ref="CN44">IF(ISERROR(INDEX($A$3:$B$14312,SMALL(IF($A$3:$A$14312=CN$3,ROW($A$3:$A$14312)),ROW(42:42)),2)),"",INDEX($A$3:$B$14312,SMALL(IF($A$3:$A$14312=CN$3,ROW($A$3:$A$14312)),ROW(42:42)),2))</f>
        <v/>
      </c>
      <c r="CO44" t="str">
        <f t="array" ref="CO44">IF(ISERROR(INDEX($A$3:$B$14312,SMALL(IF($A$3:$A$14312=CO$3,ROW($A$3:$A$14312)),ROW(42:42)),2)),"",INDEX($A$3:$B$14312,SMALL(IF($A$3:$A$14312=CO$3,ROW($A$3:$A$14312)),ROW(42:42)),2))</f>
        <v/>
      </c>
      <c r="CP44" t="str">
        <f t="array" ref="CP44">IF(ISERROR(INDEX($A$3:$B$14312,SMALL(IF($A$3:$A$14312=CP$3,ROW($A$3:$A$14312)),ROW(42:42)),2)),"",INDEX($A$3:$B$14312,SMALL(IF($A$3:$A$14312=CP$3,ROW($A$3:$A$14312)),ROW(42:42)),2))</f>
        <v/>
      </c>
      <c r="CQ44" t="str">
        <f t="array" ref="CQ44">IF(ISERROR(INDEX($A$3:$B$14312,SMALL(IF($A$3:$A$14312=CQ$3,ROW($A$3:$A$14312)),ROW(42:42)),2)),"",INDEX($A$3:$B$14312,SMALL(IF($A$3:$A$14312=CQ$3,ROW($A$3:$A$14312)),ROW(42:42)),2))</f>
        <v/>
      </c>
      <c r="CR44" t="str">
        <f t="array" ref="CR44">IF(ISERROR(INDEX($A$3:$B$14312,SMALL(IF($A$3:$A$14312=CR$3,ROW($A$3:$A$14312)),ROW(42:42)),2)),"",INDEX($A$3:$B$14312,SMALL(IF($A$3:$A$14312=CR$3,ROW($A$3:$A$14312)),ROW(42:42)),2))</f>
        <v/>
      </c>
      <c r="CS44" t="str">
        <f t="array" ref="CS44">IF(ISERROR(INDEX($A$3:$B$14312,SMALL(IF($A$3:$A$14312=CS$3,ROW($A$3:$A$14312)),ROW(42:42)),2)),"",INDEX($A$3:$B$14312,SMALL(IF($A$3:$A$14312=CS$3,ROW($A$3:$A$14312)),ROW(42:42)),2))</f>
        <v/>
      </c>
      <c r="CT44" t="str">
        <f t="array" ref="CT44">IF(ISERROR(INDEX($A$3:$B$14312,SMALL(IF($A$3:$A$14312=CT$3,ROW($A$3:$A$14312)),ROW(42:42)),2)),"",INDEX($A$3:$B$14312,SMALL(IF($A$3:$A$14312=CT$3,ROW($A$3:$A$14312)),ROW(42:42)),2))</f>
        <v/>
      </c>
      <c r="CU44" t="str">
        <f t="array" ref="CU44">IF(ISERROR(INDEX($A$3:$B$14312,SMALL(IF($A$3:$A$14312=CU$3,ROW($A$3:$A$14312)),ROW(42:42)),2)),"",INDEX($A$3:$B$14312,SMALL(IF($A$3:$A$14312=CU$3,ROW($A$3:$A$14312)),ROW(42:42)),2))</f>
        <v/>
      </c>
      <c r="CV44" t="str">
        <f t="array" ref="CV44">IF(ISERROR(INDEX($A$3:$B$14312,SMALL(IF($A$3:$A$14312=CV$3,ROW($A$3:$A$14312)),ROW(42:42)),2)),"",INDEX($A$3:$B$14312,SMALL(IF($A$3:$A$14312=CV$3,ROW($A$3:$A$14312)),ROW(42:42)),2))</f>
        <v/>
      </c>
      <c r="CW44" t="str">
        <f t="array" ref="CW44">IF(ISERROR(INDEX($A$3:$B$14312,SMALL(IF($A$3:$A$14312=CW$3,ROW($A$3:$A$14312)),ROW(42:42)),2)),"",INDEX($A$3:$B$14312,SMALL(IF($A$3:$A$14312=CW$3,ROW($A$3:$A$14312)),ROW(42:42)),2))</f>
        <v/>
      </c>
      <c r="CX44" t="str">
        <f t="array" ref="CX44">IF(ISERROR(INDEX($A$3:$B$14312,SMALL(IF($A$3:$A$14312=CX$3,ROW($A$3:$A$14312)),ROW(42:42)),2)),"",INDEX($A$3:$B$14312,SMALL(IF($A$3:$A$14312=CX$3,ROW($A$3:$A$14312)),ROW(42:42)),2))</f>
        <v/>
      </c>
      <c r="CY44" t="str">
        <f t="array" ref="CY44">IF(ISERROR(INDEX($A$3:$B$14312,SMALL(IF($A$3:$A$14312=CY$3,ROW($A$3:$A$14312)),ROW(42:42)),2)),"",INDEX($A$3:$B$14312,SMALL(IF($A$3:$A$14312=CY$3,ROW($A$3:$A$14312)),ROW(42:42)),2))</f>
        <v/>
      </c>
      <c r="CZ44" t="str">
        <f t="array" ref="CZ44">IF(ISERROR(INDEX($A$3:$B$14312,SMALL(IF($A$3:$A$14312=CZ$3,ROW($A$3:$A$14312)),ROW(42:42)),2)),"",INDEX($A$3:$B$14312,SMALL(IF($A$3:$A$14312=CZ$3,ROW($A$3:$A$14312)),ROW(42:42)),2))</f>
        <v/>
      </c>
      <c r="DA44" t="str">
        <f t="array" ref="DA44">IF(ISERROR(INDEX($A$3:$B$14312,SMALL(IF($A$3:$A$14312=DA$3,ROW($A$3:$A$14312)),ROW(42:42)),2)),"",INDEX($A$3:$B$14312,SMALL(IF($A$3:$A$14312=DA$3,ROW($A$3:$A$14312)),ROW(42:42)),2))</f>
        <v/>
      </c>
      <c r="DB44" t="str">
        <f t="array" ref="DB44">IF(ISERROR(INDEX($A$3:$B$14312,SMALL(IF($A$3:$A$14312=DB$3,ROW($A$3:$A$14312)),ROW(42:42)),2)),"",INDEX($A$3:$B$14312,SMALL(IF($A$3:$A$14312=DB$3,ROW($A$3:$A$14312)),ROW(42:42)),2))</f>
        <v/>
      </c>
      <c r="DC44" t="str">
        <f t="array" ref="DC44">IF(ISERROR(INDEX($A$3:$B$14312,SMALL(IF($A$3:$A$14312=DC$3,ROW($A$3:$A$14312)),ROW(42:42)),2)),"",INDEX($A$3:$B$14312,SMALL(IF($A$3:$A$14312=DC$3,ROW($A$3:$A$14312)),ROW(42:42)),2))</f>
        <v/>
      </c>
      <c r="DD44" t="str">
        <f t="array" ref="DD44">IF(ISERROR(INDEX($A$3:$B$14312,SMALL(IF($A$3:$A$14312=DD$3,ROW($A$3:$A$14312)),ROW(42:42)),2)),"",INDEX($A$3:$B$14312,SMALL(IF($A$3:$A$14312=DD$3,ROW($A$3:$A$14312)),ROW(42:42)),2))</f>
        <v/>
      </c>
      <c r="DE44" t="str">
        <f t="array" ref="DE44">IF(ISERROR(INDEX($A$3:$B$14312,SMALL(IF($A$3:$A$14312=DE$3,ROW($A$3:$A$14312)),ROW(42:42)),2)),"",INDEX($A$3:$B$14312,SMALL(IF($A$3:$A$14312=DE$3,ROW($A$3:$A$14312)),ROW(42:42)),2))</f>
        <v/>
      </c>
      <c r="DF44" t="str">
        <f t="array" ref="DF44">IF(ISERROR(INDEX($A$3:$B$14312,SMALL(IF($A$3:$A$14312=DF$3,ROW($A$3:$A$14312)),ROW(42:42)),2)),"",INDEX($A$3:$B$14312,SMALL(IF($A$3:$A$14312=DF$3,ROW($A$3:$A$14312)),ROW(42:42)),2))</f>
        <v/>
      </c>
      <c r="DG44" t="str">
        <f t="array" ref="DG44">IF(ISERROR(INDEX($A$3:$B$14312,SMALL(IF($A$3:$A$14312=DG$3,ROW($A$3:$A$14312)),ROW(42:42)),2)),"",INDEX($A$3:$B$14312,SMALL(IF($A$3:$A$14312=DG$3,ROW($A$3:$A$14312)),ROW(42:42)),2))</f>
        <v/>
      </c>
      <c r="DH44" t="str">
        <f t="array" ref="DH44">IF(ISERROR(INDEX($A$3:$B$14312,SMALL(IF($A$3:$A$14312=DH$3,ROW($A$3:$A$14312)),ROW(42:42)),2)),"",INDEX($A$3:$B$14312,SMALL(IF($A$3:$A$14312=DH$3,ROW($A$3:$A$14312)),ROW(42:42)),2))</f>
        <v/>
      </c>
      <c r="DI44" t="str">
        <f t="array" ref="DI44">IF(ISERROR(INDEX($A$3:$B$14312,SMALL(IF($A$3:$A$14312=DI$3,ROW($A$3:$A$14312)),ROW(42:42)),2)),"",INDEX($A$3:$B$14312,SMALL(IF($A$3:$A$14312=DI$3,ROW($A$3:$A$14312)),ROW(42:42)),2))</f>
        <v>Router3_108</v>
      </c>
      <c r="DJ44" t="str">
        <f t="array" ref="DJ44">IF(ISERROR(INDEX($A$3:$B$14312,SMALL(IF($A$3:$A$14312=DJ$3,ROW($A$3:$A$14312)),ROW(42:42)),2)),"",INDEX($A$3:$B$14312,SMALL(IF($A$3:$A$14312=DJ$3,ROW($A$3:$A$14312)),ROW(42:42)),2))</f>
        <v/>
      </c>
      <c r="DK44" t="str">
        <f t="array" ref="DK44">IF(ISERROR(INDEX($A$3:$B$14312,SMALL(IF($A$3:$A$14312=DK$3,ROW($A$3:$A$14312)),ROW(42:42)),2)),"",INDEX($A$3:$B$14312,SMALL(IF($A$3:$A$14312=DK$3,ROW($A$3:$A$14312)),ROW(42:42)),2))</f>
        <v/>
      </c>
      <c r="DL44" t="str">
        <f t="array" ref="DL44">IF(ISERROR(INDEX($A$3:$B$14312,SMALL(IF($A$3:$A$14312=DL$3,ROW($A$3:$A$14312)),ROW(42:42)),2)),"",INDEX($A$3:$B$14312,SMALL(IF($A$3:$A$14312=DL$3,ROW($A$3:$A$14312)),ROW(42:42)),2))</f>
        <v/>
      </c>
      <c r="DM44" t="str">
        <f t="array" ref="DM44">IF(ISERROR(INDEX($A$3:$B$14312,SMALL(IF($A$3:$A$14312=DM$3,ROW($A$3:$A$14312)),ROW(42:42)),2)),"",INDEX($A$3:$B$14312,SMALL(IF($A$3:$A$14312=DM$3,ROW($A$3:$A$14312)),ROW(42:42)),2))</f>
        <v/>
      </c>
      <c r="DN44" t="str">
        <f t="array" ref="DN44">IF(ISERROR(INDEX($A$3:$B$14312,SMALL(IF($A$3:$A$14312=DN$3,ROW($A$3:$A$14312)),ROW(42:42)),2)),"",INDEX($A$3:$B$14312,SMALL(IF($A$3:$A$14312=DN$3,ROW($A$3:$A$14312)),ROW(42:42)),2))</f>
        <v/>
      </c>
      <c r="DO44" t="str">
        <f t="array" ref="DO44">IF(ISERROR(INDEX($A$3:$B$14312,SMALL(IF($A$3:$A$14312=DO$3,ROW($A$3:$A$14312)),ROW(42:42)),2)),"",INDEX($A$3:$B$14312,SMALL(IF($A$3:$A$14312=DO$3,ROW($A$3:$A$14312)),ROW(42:42)),2))</f>
        <v/>
      </c>
      <c r="DP44" t="str">
        <f t="array" ref="DP44">IF(ISERROR(INDEX($A$3:$B$14312,SMALL(IF($A$3:$A$14312=DP$3,ROW($A$3:$A$14312)),ROW(42:42)),2)),"",INDEX($A$3:$B$14312,SMALL(IF($A$3:$A$14312=DP$3,ROW($A$3:$A$14312)),ROW(42:42)),2))</f>
        <v/>
      </c>
      <c r="DQ44" t="str">
        <f t="array" ref="DQ44">IF(ISERROR(INDEX($A$3:$B$14312,SMALL(IF($A$3:$A$14312=DQ$3,ROW($A$3:$A$14312)),ROW(42:42)),2)),"",INDEX($A$3:$B$14312,SMALL(IF($A$3:$A$14312=DQ$3,ROW($A$3:$A$14312)),ROW(42:42)),2))</f>
        <v/>
      </c>
      <c r="DR44" t="str">
        <f t="array" ref="DR44">IF(ISERROR(INDEX($A$3:$B$14312,SMALL(IF($A$3:$A$14312=DR$3,ROW($A$3:$A$14312)),ROW(42:42)),2)),"",INDEX($A$3:$B$14312,SMALL(IF($A$3:$A$14312=DR$3,ROW($A$3:$A$14312)),ROW(42:42)),2))</f>
        <v/>
      </c>
      <c r="DS44" t="str">
        <f t="array" ref="DS44">IF(ISERROR(INDEX($A$3:$B$14312,SMALL(IF($A$3:$A$14312=DS$3,ROW($A$3:$A$14312)),ROW(42:42)),2)),"",INDEX($A$3:$B$14312,SMALL(IF($A$3:$A$14312=DS$3,ROW($A$3:$A$14312)),ROW(42:42)),2))</f>
        <v/>
      </c>
      <c r="DT44" t="str">
        <f t="array" ref="DT44">IF(ISERROR(INDEX($A$3:$B$14312,SMALL(IF($A$3:$A$14312=DT$3,ROW($A$3:$A$14312)),ROW(42:42)),2)),"",INDEX($A$3:$B$14312,SMALL(IF($A$3:$A$14312=DT$3,ROW($A$3:$A$14312)),ROW(42:42)),2))</f>
        <v>Router3_108</v>
      </c>
      <c r="DU44" t="str">
        <f t="array" ref="DU44">IF(ISERROR(INDEX($A$3:$B$14312,SMALL(IF($A$3:$A$14312=DU$3,ROW($A$3:$A$14312)),ROW(42:42)),2)),"",INDEX($A$3:$B$14312,SMALL(IF($A$3:$A$14312=DU$3,ROW($A$3:$A$14312)),ROW(42:42)),2))</f>
        <v>Router3_159</v>
      </c>
      <c r="DV44" t="str">
        <f t="array" ref="DV44">IF(ISERROR(INDEX($A$3:$B$14312,SMALL(IF($A$3:$A$14312=DV$3,ROW($A$3:$A$14312)),ROW(42:42)),2)),"",INDEX($A$3:$B$14312,SMALL(IF($A$3:$A$14312=DV$3,ROW($A$3:$A$14312)),ROW(42:42)),2))</f>
        <v/>
      </c>
      <c r="DW44" t="str">
        <f t="array" ref="DW44">IF(ISERROR(INDEX($A$3:$B$14312,SMALL(IF($A$3:$A$14312=DW$3,ROW($A$3:$A$14312)),ROW(42:42)),2)),"",INDEX($A$3:$B$14312,SMALL(IF($A$3:$A$14312=DW$3,ROW($A$3:$A$14312)),ROW(42:42)),2))</f>
        <v/>
      </c>
      <c r="DX44" t="str">
        <f t="array" ref="DX44">IF(ISERROR(INDEX($A$3:$B$14312,SMALL(IF($A$3:$A$14312=DX$3,ROW($A$3:$A$14312)),ROW(42:42)),2)),"",INDEX($A$3:$B$14312,SMALL(IF($A$3:$A$14312=DX$3,ROW($A$3:$A$14312)),ROW(42:42)),2))</f>
        <v/>
      </c>
      <c r="DY44" t="str">
        <f t="array" ref="DY44">IF(ISERROR(INDEX($A$3:$B$14312,SMALL(IF($A$3:$A$14312=DY$3,ROW($A$3:$A$14312)),ROW(42:42)),2)),"",INDEX($A$3:$B$14312,SMALL(IF($A$3:$A$14312=DY$3,ROW($A$3:$A$14312)),ROW(42:42)),2))</f>
        <v/>
      </c>
      <c r="DZ44" t="str">
        <f t="array" ref="DZ44">IF(ISERROR(INDEX($A$3:$B$14312,SMALL(IF($A$3:$A$14312=DZ$3,ROW($A$3:$A$14312)),ROW(42:42)),2)),"",INDEX($A$3:$B$14312,SMALL(IF($A$3:$A$14312=DZ$3,ROW($A$3:$A$14312)),ROW(42:42)),2))</f>
        <v/>
      </c>
      <c r="EA44" t="str">
        <f t="array" ref="EA44">IF(ISERROR(INDEX($A$3:$B$14312,SMALL(IF($A$3:$A$14312=EA$3,ROW($A$3:$A$14312)),ROW(42:42)),2)),"",INDEX($A$3:$B$14312,SMALL(IF($A$3:$A$14312=EA$3,ROW($A$3:$A$14312)),ROW(42:42)),2))</f>
        <v/>
      </c>
      <c r="EB44" t="str">
        <f t="array" ref="EB44">IF(ISERROR(INDEX($A$3:$B$14312,SMALL(IF($A$3:$A$14312=EB$3,ROW($A$3:$A$14312)),ROW(42:42)),2)),"",INDEX($A$3:$B$14312,SMALL(IF($A$3:$A$14312=EB$3,ROW($A$3:$A$14312)),ROW(42:42)),2))</f>
        <v/>
      </c>
      <c r="EC44" t="str">
        <f t="array" ref="EC44">IF(ISERROR(INDEX($A$3:$B$14312,SMALL(IF($A$3:$A$14312=EC$3,ROW($A$3:$A$14312)),ROW(42:42)),2)),"",INDEX($A$3:$B$14312,SMALL(IF($A$3:$A$14312=EC$3,ROW($A$3:$A$14312)),ROW(42:42)),2))</f>
        <v>Router3_152</v>
      </c>
      <c r="ED44" t="str">
        <f t="array" ref="ED44">IF(ISERROR(INDEX($A$3:$B$14312,SMALL(IF($A$3:$A$14312=ED$3,ROW($A$3:$A$14312)),ROW(42:42)),2)),"",INDEX($A$3:$B$14312,SMALL(IF($A$3:$A$14312=ED$3,ROW($A$3:$A$14312)),ROW(42:42)),2))</f>
        <v/>
      </c>
      <c r="EE44" t="str">
        <f t="array" ref="EE44">IF(ISERROR(INDEX($A$3:$B$14312,SMALL(IF($A$3:$A$14312=EE$3,ROW($A$3:$A$14312)),ROW(42:42)),2)),"",INDEX($A$3:$B$14312,SMALL(IF($A$3:$A$14312=EE$3,ROW($A$3:$A$14312)),ROW(42:42)),2))</f>
        <v/>
      </c>
    </row>
    <row r="45" spans="1:135" x14ac:dyDescent="0.25">
      <c r="A45" s="10">
        <v>-450827381</v>
      </c>
      <c r="B45" t="s">
        <v>1100</v>
      </c>
      <c r="E45" t="str">
        <f t="array" ref="E45">IF(ISERROR(INDEX($A$3:$B$14312,SMALL(IF($A$3:$A$14312=E$3,ROW($A$3:$A$14312)),ROW(43:43)),2)),"",INDEX($A$3:$B$14312,SMALL(IF($A$3:$A$14312=E$3,ROW($A$3:$A$14312)),ROW(43:43)),2))</f>
        <v/>
      </c>
      <c r="F45" t="str">
        <f t="array" ref="F45">IF(ISERROR(INDEX($A$3:$B$14312,SMALL(IF($A$3:$A$14312=F$3,ROW($A$3:$A$14312)),ROW(43:43)),2)),"",INDEX($A$3:$B$14312,SMALL(IF($A$3:$A$14312=F$3,ROW($A$3:$A$14312)),ROW(43:43)),2))</f>
        <v/>
      </c>
      <c r="G45" t="str">
        <f t="array" ref="G45">IF(ISERROR(INDEX($A$3:$B$14312,SMALL(IF($A$3:$A$14312=G$3,ROW($A$3:$A$14312)),ROW(43:43)),2)),"",INDEX($A$3:$B$14312,SMALL(IF($A$3:$A$14312=G$3,ROW($A$3:$A$14312)),ROW(43:43)),2))</f>
        <v/>
      </c>
      <c r="H45" t="str">
        <f t="array" ref="H45">IF(ISERROR(INDEX($A$3:$B$14312,SMALL(IF($A$3:$A$14312=H$3,ROW($A$3:$A$14312)),ROW(43:43)),2)),"",INDEX($A$3:$B$14312,SMALL(IF($A$3:$A$14312=H$3,ROW($A$3:$A$14312)),ROW(43:43)),2))</f>
        <v/>
      </c>
      <c r="I45" t="str">
        <f t="array" ref="I45">IF(ISERROR(INDEX($A$3:$B$14312,SMALL(IF($A$3:$A$14312=I$3,ROW($A$3:$A$14312)),ROW(43:43)),2)),"",INDEX($A$3:$B$14312,SMALL(IF($A$3:$A$14312=I$3,ROW($A$3:$A$14312)),ROW(43:43)),2))</f>
        <v/>
      </c>
      <c r="J45" t="str">
        <f t="array" ref="J45">IF(ISERROR(INDEX($A$3:$B$14312,SMALL(IF($A$3:$A$14312=J$3,ROW($A$3:$A$14312)),ROW(43:43)),2)),"",INDEX($A$3:$B$14312,SMALL(IF($A$3:$A$14312=J$3,ROW($A$3:$A$14312)),ROW(43:43)),2))</f>
        <v/>
      </c>
      <c r="K45" t="str">
        <f t="array" ref="K45">IF(ISERROR(INDEX($A$3:$B$14312,SMALL(IF($A$3:$A$14312=K$3,ROW($A$3:$A$14312)),ROW(43:43)),2)),"",INDEX($A$3:$B$14312,SMALL(IF($A$3:$A$14312=K$3,ROW($A$3:$A$14312)),ROW(43:43)),2))</f>
        <v/>
      </c>
      <c r="L45" t="str">
        <f t="array" ref="L45">IF(ISERROR(INDEX($A$3:$B$14312,SMALL(IF($A$3:$A$14312=L$3,ROW($A$3:$A$14312)),ROW(43:43)),2)),"",INDEX($A$3:$B$14312,SMALL(IF($A$3:$A$14312=L$3,ROW($A$3:$A$14312)),ROW(43:43)),2))</f>
        <v/>
      </c>
      <c r="M45" t="str">
        <f t="array" ref="M45">IF(ISERROR(INDEX($A$3:$B$14312,SMALL(IF($A$3:$A$14312=M$3,ROW($A$3:$A$14312)),ROW(43:43)),2)),"",INDEX($A$3:$B$14312,SMALL(IF($A$3:$A$14312=M$3,ROW($A$3:$A$14312)),ROW(43:43)),2))</f>
        <v/>
      </c>
      <c r="N45" t="str">
        <f t="array" ref="N45">IF(ISERROR(INDEX($A$3:$B$14312,SMALL(IF($A$3:$A$14312=N$3,ROW($A$3:$A$14312)),ROW(43:43)),2)),"",INDEX($A$3:$B$14312,SMALL(IF($A$3:$A$14312=N$3,ROW($A$3:$A$14312)),ROW(43:43)),2))</f>
        <v/>
      </c>
      <c r="O45" t="str">
        <f t="array" ref="O45">IF(ISERROR(INDEX($A$3:$B$14312,SMALL(IF($A$3:$A$14312=O$3,ROW($A$3:$A$14312)),ROW(43:43)),2)),"",INDEX($A$3:$B$14312,SMALL(IF($A$3:$A$14312=O$3,ROW($A$3:$A$14312)),ROW(43:43)),2))</f>
        <v/>
      </c>
      <c r="P45" t="str">
        <f t="array" ref="P45">IF(ISERROR(INDEX($A$3:$B$14312,SMALL(IF($A$3:$A$14312=P$3,ROW($A$3:$A$14312)),ROW(43:43)),2)),"",INDEX($A$3:$B$14312,SMALL(IF($A$3:$A$14312=P$3,ROW($A$3:$A$14312)),ROW(43:43)),2))</f>
        <v/>
      </c>
      <c r="Q45" t="str">
        <f t="array" ref="Q45">IF(ISERROR(INDEX($A$3:$B$14312,SMALL(IF($A$3:$A$14312=Q$3,ROW($A$3:$A$14312)),ROW(43:43)),2)),"",INDEX($A$3:$B$14312,SMALL(IF($A$3:$A$14312=Q$3,ROW($A$3:$A$14312)),ROW(43:43)),2))</f>
        <v/>
      </c>
      <c r="R45" t="str">
        <f t="array" ref="R45">IF(ISERROR(INDEX($A$3:$B$14312,SMALL(IF($A$3:$A$14312=R$3,ROW($A$3:$A$14312)),ROW(43:43)),2)),"",INDEX($A$3:$B$14312,SMALL(IF($A$3:$A$14312=R$3,ROW($A$3:$A$14312)),ROW(43:43)),2))</f>
        <v/>
      </c>
      <c r="S45" t="str">
        <f t="array" ref="S45">IF(ISERROR(INDEX($A$3:$B$14312,SMALL(IF($A$3:$A$14312=S$3,ROW($A$3:$A$14312)),ROW(43:43)),2)),"",INDEX($A$3:$B$14312,SMALL(IF($A$3:$A$14312=S$3,ROW($A$3:$A$14312)),ROW(43:43)),2))</f>
        <v/>
      </c>
      <c r="T45" t="str">
        <f t="array" ref="T45">IF(ISERROR(INDEX($A$3:$B$14312,SMALL(IF($A$3:$A$14312=T$3,ROW($A$3:$A$14312)),ROW(43:43)),2)),"",INDEX($A$3:$B$14312,SMALL(IF($A$3:$A$14312=T$3,ROW($A$3:$A$14312)),ROW(43:43)),2))</f>
        <v/>
      </c>
      <c r="U45" t="str">
        <f t="array" ref="U45">IF(ISERROR(INDEX($A$3:$B$14312,SMALL(IF($A$3:$A$14312=U$3,ROW($A$3:$A$14312)),ROW(43:43)),2)),"",INDEX($A$3:$B$14312,SMALL(IF($A$3:$A$14312=U$3,ROW($A$3:$A$14312)),ROW(43:43)),2))</f>
        <v/>
      </c>
      <c r="V45" t="str">
        <f t="array" ref="V45">IF(ISERROR(INDEX($A$3:$B$14312,SMALL(IF($A$3:$A$14312=V$3,ROW($A$3:$A$14312)),ROW(43:43)),2)),"",INDEX($A$3:$B$14312,SMALL(IF($A$3:$A$14312=V$3,ROW($A$3:$A$14312)),ROW(43:43)),2))</f>
        <v/>
      </c>
      <c r="W45" t="str">
        <f t="array" ref="W45">IF(ISERROR(INDEX($A$3:$B$14312,SMALL(IF($A$3:$A$14312=W$3,ROW($A$3:$A$14312)),ROW(43:43)),2)),"",INDEX($A$3:$B$14312,SMALL(IF($A$3:$A$14312=W$3,ROW($A$3:$A$14312)),ROW(43:43)),2))</f>
        <v>Router3_154</v>
      </c>
      <c r="X45" t="str">
        <f t="array" ref="X45">IF(ISERROR(INDEX($A$3:$B$14312,SMALL(IF($A$3:$A$14312=X$3,ROW($A$3:$A$14312)),ROW(43:43)),2)),"",INDEX($A$3:$B$14312,SMALL(IF($A$3:$A$14312=X$3,ROW($A$3:$A$14312)),ROW(43:43)),2))</f>
        <v/>
      </c>
      <c r="Y45" t="str">
        <f t="array" ref="Y45">IF(ISERROR(INDEX($A$3:$B$14312,SMALL(IF($A$3:$A$14312=Y$3,ROW($A$3:$A$14312)),ROW(43:43)),2)),"",INDEX($A$3:$B$14312,SMALL(IF($A$3:$A$14312=Y$3,ROW($A$3:$A$14312)),ROW(43:43)),2))</f>
        <v/>
      </c>
      <c r="Z45" t="str">
        <f t="array" ref="Z45">IF(ISERROR(INDEX($A$3:$B$14312,SMALL(IF($A$3:$A$14312=Z$3,ROW($A$3:$A$14312)),ROW(43:43)),2)),"",INDEX($A$3:$B$14312,SMALL(IF($A$3:$A$14312=Z$3,ROW($A$3:$A$14312)),ROW(43:43)),2))</f>
        <v/>
      </c>
      <c r="AA45" t="str">
        <f t="array" ref="AA45">IF(ISERROR(INDEX($A$3:$B$14312,SMALL(IF($A$3:$A$14312=AA$3,ROW($A$3:$A$14312)),ROW(43:43)),2)),"",INDEX($A$3:$B$14312,SMALL(IF($A$3:$A$14312=AA$3,ROW($A$3:$A$14312)),ROW(43:43)),2))</f>
        <v/>
      </c>
      <c r="AB45" t="str">
        <f t="array" ref="AB45">IF(ISERROR(INDEX($A$3:$B$14312,SMALL(IF($A$3:$A$14312=AB$3,ROW($A$3:$A$14312)),ROW(43:43)),2)),"",INDEX($A$3:$B$14312,SMALL(IF($A$3:$A$14312=AB$3,ROW($A$3:$A$14312)),ROW(43:43)),2))</f>
        <v/>
      </c>
      <c r="AC45" t="str">
        <f t="array" ref="AC45">IF(ISERROR(INDEX($A$3:$B$14312,SMALL(IF($A$3:$A$14312=AC$3,ROW($A$3:$A$14312)),ROW(43:43)),2)),"",INDEX($A$3:$B$14312,SMALL(IF($A$3:$A$14312=AC$3,ROW($A$3:$A$14312)),ROW(43:43)),2))</f>
        <v/>
      </c>
      <c r="AD45" t="str">
        <f t="array" ref="AD45">IF(ISERROR(INDEX($A$3:$B$14312,SMALL(IF($A$3:$A$14312=AD$3,ROW($A$3:$A$14312)),ROW(43:43)),2)),"",INDEX($A$3:$B$14312,SMALL(IF($A$3:$A$14312=AD$3,ROW($A$3:$A$14312)),ROW(43:43)),2))</f>
        <v/>
      </c>
      <c r="AE45" t="str">
        <f t="array" ref="AE45">IF(ISERROR(INDEX($A$3:$B$14312,SMALL(IF($A$3:$A$14312=AE$3,ROW($A$3:$A$14312)),ROW(43:43)),2)),"",INDEX($A$3:$B$14312,SMALL(IF($A$3:$A$14312=AE$3,ROW($A$3:$A$14312)),ROW(43:43)),2))</f>
        <v/>
      </c>
      <c r="AF45" t="str">
        <f t="array" ref="AF45">IF(ISERROR(INDEX($A$3:$B$14312,SMALL(IF($A$3:$A$14312=AF$3,ROW($A$3:$A$14312)),ROW(43:43)),2)),"",INDEX($A$3:$B$14312,SMALL(IF($A$3:$A$14312=AF$3,ROW($A$3:$A$14312)),ROW(43:43)),2))</f>
        <v/>
      </c>
      <c r="AG45" t="str">
        <f t="array" ref="AG45">IF(ISERROR(INDEX($A$3:$B$14312,SMALL(IF($A$3:$A$14312=AG$3,ROW($A$3:$A$14312)),ROW(43:43)),2)),"",INDEX($A$3:$B$14312,SMALL(IF($A$3:$A$14312=AG$3,ROW($A$3:$A$14312)),ROW(43:43)),2))</f>
        <v/>
      </c>
      <c r="AH45" t="str">
        <f t="array" ref="AH45">IF(ISERROR(INDEX($A$3:$B$14312,SMALL(IF($A$3:$A$14312=AH$3,ROW($A$3:$A$14312)),ROW(43:43)),2)),"",INDEX($A$3:$B$14312,SMALL(IF($A$3:$A$14312=AH$3,ROW($A$3:$A$14312)),ROW(43:43)),2))</f>
        <v/>
      </c>
      <c r="AI45" t="str">
        <f t="array" ref="AI45">IF(ISERROR(INDEX($A$3:$B$14312,SMALL(IF($A$3:$A$14312=AI$3,ROW($A$3:$A$14312)),ROW(43:43)),2)),"",INDEX($A$3:$B$14312,SMALL(IF($A$3:$A$14312=AI$3,ROW($A$3:$A$14312)),ROW(43:43)),2))</f>
        <v/>
      </c>
      <c r="AJ45" t="str">
        <f t="array" ref="AJ45">IF(ISERROR(INDEX($A$3:$B$14312,SMALL(IF($A$3:$A$14312=AJ$3,ROW($A$3:$A$14312)),ROW(43:43)),2)),"",INDEX($A$3:$B$14312,SMALL(IF($A$3:$A$14312=AJ$3,ROW($A$3:$A$14312)),ROW(43:43)),2))</f>
        <v/>
      </c>
      <c r="AK45" t="str">
        <f t="array" ref="AK45">IF(ISERROR(INDEX($A$3:$B$14312,SMALL(IF($A$3:$A$14312=AK$3,ROW($A$3:$A$14312)),ROW(43:43)),2)),"",INDEX($A$3:$B$14312,SMALL(IF($A$3:$A$14312=AK$3,ROW($A$3:$A$14312)),ROW(43:43)),2))</f>
        <v/>
      </c>
      <c r="AL45" t="str">
        <f t="array" ref="AL45">IF(ISERROR(INDEX($A$3:$B$14312,SMALL(IF($A$3:$A$14312=AL$3,ROW($A$3:$A$14312)),ROW(43:43)),2)),"",INDEX($A$3:$B$14312,SMALL(IF($A$3:$A$14312=AL$3,ROW($A$3:$A$14312)),ROW(43:43)),2))</f>
        <v/>
      </c>
      <c r="AM45" t="str">
        <f t="array" ref="AM45">IF(ISERROR(INDEX($A$3:$B$14312,SMALL(IF($A$3:$A$14312=AM$3,ROW($A$3:$A$14312)),ROW(43:43)),2)),"",INDEX($A$3:$B$14312,SMALL(IF($A$3:$A$14312=AM$3,ROW($A$3:$A$14312)),ROW(43:43)),2))</f>
        <v>Router3_166</v>
      </c>
      <c r="AN45" t="str">
        <f t="array" ref="AN45">IF(ISERROR(INDEX($A$3:$B$14312,SMALL(IF($A$3:$A$14312=AN$3,ROW($A$3:$A$14312)),ROW(43:43)),2)),"",INDEX($A$3:$B$14312,SMALL(IF($A$3:$A$14312=AN$3,ROW($A$3:$A$14312)),ROW(43:43)),2))</f>
        <v/>
      </c>
      <c r="AO45" t="str">
        <f t="array" ref="AO45">IF(ISERROR(INDEX($A$3:$B$14312,SMALL(IF($A$3:$A$14312=AO$3,ROW($A$3:$A$14312)),ROW(43:43)),2)),"",INDEX($A$3:$B$14312,SMALL(IF($A$3:$A$14312=AO$3,ROW($A$3:$A$14312)),ROW(43:43)),2))</f>
        <v/>
      </c>
      <c r="AP45" t="str">
        <f t="array" ref="AP45">IF(ISERROR(INDEX($A$3:$B$14312,SMALL(IF($A$3:$A$14312=AP$3,ROW($A$3:$A$14312)),ROW(43:43)),2)),"",INDEX($A$3:$B$14312,SMALL(IF($A$3:$A$14312=AP$3,ROW($A$3:$A$14312)),ROW(43:43)),2))</f>
        <v/>
      </c>
      <c r="AQ45" t="str">
        <f t="array" ref="AQ45">IF(ISERROR(INDEX($A$3:$B$14312,SMALL(IF($A$3:$A$14312=AQ$3,ROW($A$3:$A$14312)),ROW(43:43)),2)),"",INDEX($A$3:$B$14312,SMALL(IF($A$3:$A$14312=AQ$3,ROW($A$3:$A$14312)),ROW(43:43)),2))</f>
        <v/>
      </c>
      <c r="AR45" t="str">
        <f t="array" ref="AR45">IF(ISERROR(INDEX($A$3:$B$14312,SMALL(IF($A$3:$A$14312=AR$3,ROW($A$3:$A$14312)),ROW(43:43)),2)),"",INDEX($A$3:$B$14312,SMALL(IF($A$3:$A$14312=AR$3,ROW($A$3:$A$14312)),ROW(43:43)),2))</f>
        <v/>
      </c>
      <c r="AS45" t="str">
        <f t="array" ref="AS45">IF(ISERROR(INDEX($A$3:$B$14312,SMALL(IF($A$3:$A$14312=AS$3,ROW($A$3:$A$14312)),ROW(43:43)),2)),"",INDEX($A$3:$B$14312,SMALL(IF($A$3:$A$14312=AS$3,ROW($A$3:$A$14312)),ROW(43:43)),2))</f>
        <v/>
      </c>
      <c r="AT45" t="str">
        <f t="array" ref="AT45">IF(ISERROR(INDEX($A$3:$B$14312,SMALL(IF($A$3:$A$14312=AT$3,ROW($A$3:$A$14312)),ROW(43:43)),2)),"",INDEX($A$3:$B$14312,SMALL(IF($A$3:$A$14312=AT$3,ROW($A$3:$A$14312)),ROW(43:43)),2))</f>
        <v/>
      </c>
      <c r="AU45" t="str">
        <f t="array" ref="AU45">IF(ISERROR(INDEX($A$3:$B$14312,SMALL(IF($A$3:$A$14312=AU$3,ROW($A$3:$A$14312)),ROW(43:43)),2)),"",INDEX($A$3:$B$14312,SMALL(IF($A$3:$A$14312=AU$3,ROW($A$3:$A$14312)),ROW(43:43)),2))</f>
        <v/>
      </c>
      <c r="AV45" t="str">
        <f t="array" ref="AV45">IF(ISERROR(INDEX($A$3:$B$14312,SMALL(IF($A$3:$A$14312=AV$3,ROW($A$3:$A$14312)),ROW(43:43)),2)),"",INDEX($A$3:$B$14312,SMALL(IF($A$3:$A$14312=AV$3,ROW($A$3:$A$14312)),ROW(43:43)),2))</f>
        <v/>
      </c>
      <c r="AW45" t="str">
        <f t="array" ref="AW45">IF(ISERROR(INDEX($A$3:$B$14312,SMALL(IF($A$3:$A$14312=AW$3,ROW($A$3:$A$14312)),ROW(43:43)),2)),"",INDEX($A$3:$B$14312,SMALL(IF($A$3:$A$14312=AW$3,ROW($A$3:$A$14312)),ROW(43:43)),2))</f>
        <v/>
      </c>
      <c r="AX45" t="str">
        <f t="array" ref="AX45">IF(ISERROR(INDEX($A$3:$B$14312,SMALL(IF($A$3:$A$14312=AX$3,ROW($A$3:$A$14312)),ROW(43:43)),2)),"",INDEX($A$3:$B$14312,SMALL(IF($A$3:$A$14312=AX$3,ROW($A$3:$A$14312)),ROW(43:43)),2))</f>
        <v/>
      </c>
      <c r="AY45" t="str">
        <f t="array" ref="AY45">IF(ISERROR(INDEX($A$3:$B$14312,SMALL(IF($A$3:$A$14312=AY$3,ROW($A$3:$A$14312)),ROW(43:43)),2)),"",INDEX($A$3:$B$14312,SMALL(IF($A$3:$A$14312=AY$3,ROW($A$3:$A$14312)),ROW(43:43)),2))</f>
        <v>Router3_71</v>
      </c>
      <c r="AZ45" t="str">
        <f t="array" ref="AZ45">IF(ISERROR(INDEX($A$3:$B$14312,SMALL(IF($A$3:$A$14312=AZ$3,ROW($A$3:$A$14312)),ROW(43:43)),2)),"",INDEX($A$3:$B$14312,SMALL(IF($A$3:$A$14312=AZ$3,ROW($A$3:$A$14312)),ROW(43:43)),2))</f>
        <v/>
      </c>
      <c r="BA45" t="str">
        <f t="array" ref="BA45">IF(ISERROR(INDEX($A$3:$B$14312,SMALL(IF($A$3:$A$14312=BA$3,ROW($A$3:$A$14312)),ROW(43:43)),2)),"",INDEX($A$3:$B$14312,SMALL(IF($A$3:$A$14312=BA$3,ROW($A$3:$A$14312)),ROW(43:43)),2))</f>
        <v/>
      </c>
      <c r="BB45" t="str">
        <f t="array" ref="BB45">IF(ISERROR(INDEX($A$3:$B$14312,SMALL(IF($A$3:$A$14312=BB$3,ROW($A$3:$A$14312)),ROW(43:43)),2)),"",INDEX($A$3:$B$14312,SMALL(IF($A$3:$A$14312=BB$3,ROW($A$3:$A$14312)),ROW(43:43)),2))</f>
        <v/>
      </c>
      <c r="BC45" t="str">
        <f t="array" ref="BC45">IF(ISERROR(INDEX($A$3:$B$14312,SMALL(IF($A$3:$A$14312=BC$3,ROW($A$3:$A$14312)),ROW(43:43)),2)),"",INDEX($A$3:$B$14312,SMALL(IF($A$3:$A$14312=BC$3,ROW($A$3:$A$14312)),ROW(43:43)),2))</f>
        <v/>
      </c>
      <c r="BD45" t="str">
        <f t="array" ref="BD45">IF(ISERROR(INDEX($A$3:$B$14312,SMALL(IF($A$3:$A$14312=BD$3,ROW($A$3:$A$14312)),ROW(43:43)),2)),"",INDEX($A$3:$B$14312,SMALL(IF($A$3:$A$14312=BD$3,ROW($A$3:$A$14312)),ROW(43:43)),2))</f>
        <v/>
      </c>
      <c r="BE45" t="str">
        <f t="array" ref="BE45">IF(ISERROR(INDEX($A$3:$B$14312,SMALL(IF($A$3:$A$14312=BE$3,ROW($A$3:$A$14312)),ROW(43:43)),2)),"",INDEX($A$3:$B$14312,SMALL(IF($A$3:$A$14312=BE$3,ROW($A$3:$A$14312)),ROW(43:43)),2))</f>
        <v/>
      </c>
      <c r="BF45" t="str">
        <f t="array" ref="BF45">IF(ISERROR(INDEX($A$3:$B$14312,SMALL(IF($A$3:$A$14312=BF$3,ROW($A$3:$A$14312)),ROW(43:43)),2)),"",INDEX($A$3:$B$14312,SMALL(IF($A$3:$A$14312=BF$3,ROW($A$3:$A$14312)),ROW(43:43)),2))</f>
        <v/>
      </c>
      <c r="BG45" t="str">
        <f t="array" ref="BG45">IF(ISERROR(INDEX($A$3:$B$14312,SMALL(IF($A$3:$A$14312=BG$3,ROW($A$3:$A$14312)),ROW(43:43)),2)),"",INDEX($A$3:$B$14312,SMALL(IF($A$3:$A$14312=BG$3,ROW($A$3:$A$14312)),ROW(43:43)),2))</f>
        <v/>
      </c>
      <c r="BH45" t="str">
        <f t="array" ref="BH45">IF(ISERROR(INDEX($A$3:$B$14312,SMALL(IF($A$3:$A$14312=BH$3,ROW($A$3:$A$14312)),ROW(43:43)),2)),"",INDEX($A$3:$B$14312,SMALL(IF($A$3:$A$14312=BH$3,ROW($A$3:$A$14312)),ROW(43:43)),2))</f>
        <v/>
      </c>
      <c r="BI45" t="str">
        <f t="array" ref="BI45">IF(ISERROR(INDEX($A$3:$B$14312,SMALL(IF($A$3:$A$14312=BI$3,ROW($A$3:$A$14312)),ROW(43:43)),2)),"",INDEX($A$3:$B$14312,SMALL(IF($A$3:$A$14312=BI$3,ROW($A$3:$A$14312)),ROW(43:43)),2))</f>
        <v/>
      </c>
      <c r="BJ45" t="str">
        <f t="array" ref="BJ45">IF(ISERROR(INDEX($A$3:$B$14312,SMALL(IF($A$3:$A$14312=BJ$3,ROW($A$3:$A$14312)),ROW(43:43)),2)),"",INDEX($A$3:$B$14312,SMALL(IF($A$3:$A$14312=BJ$3,ROW($A$3:$A$14312)),ROW(43:43)),2))</f>
        <v/>
      </c>
      <c r="BK45" t="str">
        <f t="array" ref="BK45">IF(ISERROR(INDEX($A$3:$B$14312,SMALL(IF($A$3:$A$14312=BK$3,ROW($A$3:$A$14312)),ROW(43:43)),2)),"",INDEX($A$3:$B$14312,SMALL(IF($A$3:$A$14312=BK$3,ROW($A$3:$A$14312)),ROW(43:43)),2))</f>
        <v/>
      </c>
      <c r="BL45" t="str">
        <f t="array" ref="BL45">IF(ISERROR(INDEX($A$3:$B$14312,SMALL(IF($A$3:$A$14312=BL$3,ROW($A$3:$A$14312)),ROW(43:43)),2)),"",INDEX($A$3:$B$14312,SMALL(IF($A$3:$A$14312=BL$3,ROW($A$3:$A$14312)),ROW(43:43)),2))</f>
        <v/>
      </c>
      <c r="BM45" t="str">
        <f t="array" ref="BM45">IF(ISERROR(INDEX($A$3:$B$14312,SMALL(IF($A$3:$A$14312=BM$3,ROW($A$3:$A$14312)),ROW(43:43)),2)),"",INDEX($A$3:$B$14312,SMALL(IF($A$3:$A$14312=BM$3,ROW($A$3:$A$14312)),ROW(43:43)),2))</f>
        <v/>
      </c>
      <c r="BN45" t="str">
        <f t="array" ref="BN45">IF(ISERROR(INDEX($A$3:$B$14312,SMALL(IF($A$3:$A$14312=BN$3,ROW($A$3:$A$14312)),ROW(43:43)),2)),"",INDEX($A$3:$B$14312,SMALL(IF($A$3:$A$14312=BN$3,ROW($A$3:$A$14312)),ROW(43:43)),2))</f>
        <v/>
      </c>
      <c r="BO45" t="str">
        <f t="array" ref="BO45">IF(ISERROR(INDEX($A$3:$B$14312,SMALL(IF($A$3:$A$14312=BO$3,ROW($A$3:$A$14312)),ROW(43:43)),2)),"",INDEX($A$3:$B$14312,SMALL(IF($A$3:$A$14312=BO$3,ROW($A$3:$A$14312)),ROW(43:43)),2))</f>
        <v/>
      </c>
      <c r="BP45" t="str">
        <f t="array" ref="BP45">IF(ISERROR(INDEX($A$3:$B$14312,SMALL(IF($A$3:$A$14312=BP$3,ROW($A$3:$A$14312)),ROW(43:43)),2)),"",INDEX($A$3:$B$14312,SMALL(IF($A$3:$A$14312=BP$3,ROW($A$3:$A$14312)),ROW(43:43)),2))</f>
        <v/>
      </c>
      <c r="BQ45" t="str">
        <f t="array" ref="BQ45">IF(ISERROR(INDEX($A$3:$B$14312,SMALL(IF($A$3:$A$14312=BQ$3,ROW($A$3:$A$14312)),ROW(43:43)),2)),"",INDEX($A$3:$B$14312,SMALL(IF($A$3:$A$14312=BQ$3,ROW($A$3:$A$14312)),ROW(43:43)),2))</f>
        <v/>
      </c>
      <c r="BR45" t="str">
        <f t="array" ref="BR45">IF(ISERROR(INDEX($A$3:$B$14312,SMALL(IF($A$3:$A$14312=BR$3,ROW($A$3:$A$14312)),ROW(43:43)),2)),"",INDEX($A$3:$B$14312,SMALL(IF($A$3:$A$14312=BR$3,ROW($A$3:$A$14312)),ROW(43:43)),2))</f>
        <v/>
      </c>
      <c r="BS45" t="str">
        <f t="array" ref="BS45">IF(ISERROR(INDEX($A$3:$B$14312,SMALL(IF($A$3:$A$14312=BS$3,ROW($A$3:$A$14312)),ROW(43:43)),2)),"",INDEX($A$3:$B$14312,SMALL(IF($A$3:$A$14312=BS$3,ROW($A$3:$A$14312)),ROW(43:43)),2))</f>
        <v/>
      </c>
      <c r="BT45" t="str">
        <f t="array" ref="BT45">IF(ISERROR(INDEX($A$3:$B$14312,SMALL(IF($A$3:$A$14312=BT$3,ROW($A$3:$A$14312)),ROW(43:43)),2)),"",INDEX($A$3:$B$14312,SMALL(IF($A$3:$A$14312=BT$3,ROW($A$3:$A$14312)),ROW(43:43)),2))</f>
        <v>Router3_144</v>
      </c>
      <c r="BU45" t="str">
        <f t="array" ref="BU45">IF(ISERROR(INDEX($A$3:$B$14312,SMALL(IF($A$3:$A$14312=BU$3,ROW($A$3:$A$14312)),ROW(43:43)),2)),"",INDEX($A$3:$B$14312,SMALL(IF($A$3:$A$14312=BU$3,ROW($A$3:$A$14312)),ROW(43:43)),2))</f>
        <v/>
      </c>
      <c r="BV45" t="str">
        <f t="array" ref="BV45">IF(ISERROR(INDEX($A$3:$B$14312,SMALL(IF($A$3:$A$14312=BV$3,ROW($A$3:$A$14312)),ROW(43:43)),2)),"",INDEX($A$3:$B$14312,SMALL(IF($A$3:$A$14312=BV$3,ROW($A$3:$A$14312)),ROW(43:43)),2))</f>
        <v/>
      </c>
      <c r="BW45" t="str">
        <f t="array" ref="BW45">IF(ISERROR(INDEX($A$3:$B$14312,SMALL(IF($A$3:$A$14312=BW$3,ROW($A$3:$A$14312)),ROW(43:43)),2)),"",INDEX($A$3:$B$14312,SMALL(IF($A$3:$A$14312=BW$3,ROW($A$3:$A$14312)),ROW(43:43)),2))</f>
        <v/>
      </c>
      <c r="BX45" t="str">
        <f t="array" ref="BX45">IF(ISERROR(INDEX($A$3:$B$14312,SMALL(IF($A$3:$A$14312=BX$3,ROW($A$3:$A$14312)),ROW(43:43)),2)),"",INDEX($A$3:$B$14312,SMALL(IF($A$3:$A$14312=BX$3,ROW($A$3:$A$14312)),ROW(43:43)),2))</f>
        <v/>
      </c>
      <c r="BY45" t="str">
        <f t="array" ref="BY45">IF(ISERROR(INDEX($A$3:$B$14312,SMALL(IF($A$3:$A$14312=BY$3,ROW($A$3:$A$14312)),ROW(43:43)),2)),"",INDEX($A$3:$B$14312,SMALL(IF($A$3:$A$14312=BY$3,ROW($A$3:$A$14312)),ROW(43:43)),2))</f>
        <v/>
      </c>
      <c r="BZ45" t="str">
        <f t="array" ref="BZ45">IF(ISERROR(INDEX($A$3:$B$14312,SMALL(IF($A$3:$A$14312=BZ$3,ROW($A$3:$A$14312)),ROW(43:43)),2)),"",INDEX($A$3:$B$14312,SMALL(IF($A$3:$A$14312=BZ$3,ROW($A$3:$A$14312)),ROW(43:43)),2))</f>
        <v/>
      </c>
      <c r="CA45" t="str">
        <f t="array" ref="CA45">IF(ISERROR(INDEX($A$3:$B$14312,SMALL(IF($A$3:$A$14312=CA$3,ROW($A$3:$A$14312)),ROW(43:43)),2)),"",INDEX($A$3:$B$14312,SMALL(IF($A$3:$A$14312=CA$3,ROW($A$3:$A$14312)),ROW(43:43)),2))</f>
        <v/>
      </c>
      <c r="CB45" t="str">
        <f t="array" ref="CB45">IF(ISERROR(INDEX($A$3:$B$14312,SMALL(IF($A$3:$A$14312=CB$3,ROW($A$3:$A$14312)),ROW(43:43)),2)),"",INDEX($A$3:$B$14312,SMALL(IF($A$3:$A$14312=CB$3,ROW($A$3:$A$14312)),ROW(43:43)),2))</f>
        <v/>
      </c>
      <c r="CC45" t="str">
        <f t="array" ref="CC45">IF(ISERROR(INDEX($A$3:$B$14312,SMALL(IF($A$3:$A$14312=CC$3,ROW($A$3:$A$14312)),ROW(43:43)),2)),"",INDEX($A$3:$B$14312,SMALL(IF($A$3:$A$14312=CC$3,ROW($A$3:$A$14312)),ROW(43:43)),2))</f>
        <v/>
      </c>
      <c r="CD45" t="str">
        <f t="array" ref="CD45">IF(ISERROR(INDEX($A$3:$B$14312,SMALL(IF($A$3:$A$14312=CD$3,ROW($A$3:$A$14312)),ROW(43:43)),2)),"",INDEX($A$3:$B$14312,SMALL(IF($A$3:$A$14312=CD$3,ROW($A$3:$A$14312)),ROW(43:43)),2))</f>
        <v/>
      </c>
      <c r="CE45" t="str">
        <f t="array" ref="CE45">IF(ISERROR(INDEX($A$3:$B$14312,SMALL(IF($A$3:$A$14312=CE$3,ROW($A$3:$A$14312)),ROW(43:43)),2)),"",INDEX($A$3:$B$14312,SMALL(IF($A$3:$A$14312=CE$3,ROW($A$3:$A$14312)),ROW(43:43)),2))</f>
        <v/>
      </c>
      <c r="CF45" t="str">
        <f t="array" ref="CF45">IF(ISERROR(INDEX($A$3:$B$14312,SMALL(IF($A$3:$A$14312=CF$3,ROW($A$3:$A$14312)),ROW(43:43)),2)),"",INDEX($A$3:$B$14312,SMALL(IF($A$3:$A$14312=CF$3,ROW($A$3:$A$14312)),ROW(43:43)),2))</f>
        <v/>
      </c>
      <c r="CG45" t="str">
        <f t="array" ref="CG45">IF(ISERROR(INDEX($A$3:$B$14312,SMALL(IF($A$3:$A$14312=CG$3,ROW($A$3:$A$14312)),ROW(43:43)),2)),"",INDEX($A$3:$B$14312,SMALL(IF($A$3:$A$14312=CG$3,ROW($A$3:$A$14312)),ROW(43:43)),2))</f>
        <v/>
      </c>
      <c r="CH45" t="str">
        <f t="array" ref="CH45">IF(ISERROR(INDEX($A$3:$B$14312,SMALL(IF($A$3:$A$14312=CH$3,ROW($A$3:$A$14312)),ROW(43:43)),2)),"",INDEX($A$3:$B$14312,SMALL(IF($A$3:$A$14312=CH$3,ROW($A$3:$A$14312)),ROW(43:43)),2))</f>
        <v/>
      </c>
      <c r="CI45" t="str">
        <f t="array" ref="CI45">IF(ISERROR(INDEX($A$3:$B$14312,SMALL(IF($A$3:$A$14312=CI$3,ROW($A$3:$A$14312)),ROW(43:43)),2)),"",INDEX($A$3:$B$14312,SMALL(IF($A$3:$A$14312=CI$3,ROW($A$3:$A$14312)),ROW(43:43)),2))</f>
        <v/>
      </c>
      <c r="CJ45" t="str">
        <f t="array" ref="CJ45">IF(ISERROR(INDEX($A$3:$B$14312,SMALL(IF($A$3:$A$14312=CJ$3,ROW($A$3:$A$14312)),ROW(43:43)),2)),"",INDEX($A$3:$B$14312,SMALL(IF($A$3:$A$14312=CJ$3,ROW($A$3:$A$14312)),ROW(43:43)),2))</f>
        <v/>
      </c>
      <c r="CK45" t="str">
        <f t="array" ref="CK45">IF(ISERROR(INDEX($A$3:$B$14312,SMALL(IF($A$3:$A$14312=CK$3,ROW($A$3:$A$14312)),ROW(43:43)),2)),"",INDEX($A$3:$B$14312,SMALL(IF($A$3:$A$14312=CK$3,ROW($A$3:$A$14312)),ROW(43:43)),2))</f>
        <v/>
      </c>
      <c r="CL45" t="str">
        <f t="array" ref="CL45">IF(ISERROR(INDEX($A$3:$B$14312,SMALL(IF($A$3:$A$14312=CL$3,ROW($A$3:$A$14312)),ROW(43:43)),2)),"",INDEX($A$3:$B$14312,SMALL(IF($A$3:$A$14312=CL$3,ROW($A$3:$A$14312)),ROW(43:43)),2))</f>
        <v/>
      </c>
      <c r="CM45" t="str">
        <f t="array" ref="CM45">IF(ISERROR(INDEX($A$3:$B$14312,SMALL(IF($A$3:$A$14312=CM$3,ROW($A$3:$A$14312)),ROW(43:43)),2)),"",INDEX($A$3:$B$14312,SMALL(IF($A$3:$A$14312=CM$3,ROW($A$3:$A$14312)),ROW(43:43)),2))</f>
        <v/>
      </c>
      <c r="CN45" t="str">
        <f t="array" ref="CN45">IF(ISERROR(INDEX($A$3:$B$14312,SMALL(IF($A$3:$A$14312=CN$3,ROW($A$3:$A$14312)),ROW(43:43)),2)),"",INDEX($A$3:$B$14312,SMALL(IF($A$3:$A$14312=CN$3,ROW($A$3:$A$14312)),ROW(43:43)),2))</f>
        <v/>
      </c>
      <c r="CO45" t="str">
        <f t="array" ref="CO45">IF(ISERROR(INDEX($A$3:$B$14312,SMALL(IF($A$3:$A$14312=CO$3,ROW($A$3:$A$14312)),ROW(43:43)),2)),"",INDEX($A$3:$B$14312,SMALL(IF($A$3:$A$14312=CO$3,ROW($A$3:$A$14312)),ROW(43:43)),2))</f>
        <v/>
      </c>
      <c r="CP45" t="str">
        <f t="array" ref="CP45">IF(ISERROR(INDEX($A$3:$B$14312,SMALL(IF($A$3:$A$14312=CP$3,ROW($A$3:$A$14312)),ROW(43:43)),2)),"",INDEX($A$3:$B$14312,SMALL(IF($A$3:$A$14312=CP$3,ROW($A$3:$A$14312)),ROW(43:43)),2))</f>
        <v/>
      </c>
      <c r="CQ45" t="str">
        <f t="array" ref="CQ45">IF(ISERROR(INDEX($A$3:$B$14312,SMALL(IF($A$3:$A$14312=CQ$3,ROW($A$3:$A$14312)),ROW(43:43)),2)),"",INDEX($A$3:$B$14312,SMALL(IF($A$3:$A$14312=CQ$3,ROW($A$3:$A$14312)),ROW(43:43)),2))</f>
        <v/>
      </c>
      <c r="CR45" t="str">
        <f t="array" ref="CR45">IF(ISERROR(INDEX($A$3:$B$14312,SMALL(IF($A$3:$A$14312=CR$3,ROW($A$3:$A$14312)),ROW(43:43)),2)),"",INDEX($A$3:$B$14312,SMALL(IF($A$3:$A$14312=CR$3,ROW($A$3:$A$14312)),ROW(43:43)),2))</f>
        <v/>
      </c>
      <c r="CS45" t="str">
        <f t="array" ref="CS45">IF(ISERROR(INDEX($A$3:$B$14312,SMALL(IF($A$3:$A$14312=CS$3,ROW($A$3:$A$14312)),ROW(43:43)),2)),"",INDEX($A$3:$B$14312,SMALL(IF($A$3:$A$14312=CS$3,ROW($A$3:$A$14312)),ROW(43:43)),2))</f>
        <v/>
      </c>
      <c r="CT45" t="str">
        <f t="array" ref="CT45">IF(ISERROR(INDEX($A$3:$B$14312,SMALL(IF($A$3:$A$14312=CT$3,ROW($A$3:$A$14312)),ROW(43:43)),2)),"",INDEX($A$3:$B$14312,SMALL(IF($A$3:$A$14312=CT$3,ROW($A$3:$A$14312)),ROW(43:43)),2))</f>
        <v/>
      </c>
      <c r="CU45" t="str">
        <f t="array" ref="CU45">IF(ISERROR(INDEX($A$3:$B$14312,SMALL(IF($A$3:$A$14312=CU$3,ROW($A$3:$A$14312)),ROW(43:43)),2)),"",INDEX($A$3:$B$14312,SMALL(IF($A$3:$A$14312=CU$3,ROW($A$3:$A$14312)),ROW(43:43)),2))</f>
        <v/>
      </c>
      <c r="CV45" t="str">
        <f t="array" ref="CV45">IF(ISERROR(INDEX($A$3:$B$14312,SMALL(IF($A$3:$A$14312=CV$3,ROW($A$3:$A$14312)),ROW(43:43)),2)),"",INDEX($A$3:$B$14312,SMALL(IF($A$3:$A$14312=CV$3,ROW($A$3:$A$14312)),ROW(43:43)),2))</f>
        <v/>
      </c>
      <c r="CW45" t="str">
        <f t="array" ref="CW45">IF(ISERROR(INDEX($A$3:$B$14312,SMALL(IF($A$3:$A$14312=CW$3,ROW($A$3:$A$14312)),ROW(43:43)),2)),"",INDEX($A$3:$B$14312,SMALL(IF($A$3:$A$14312=CW$3,ROW($A$3:$A$14312)),ROW(43:43)),2))</f>
        <v/>
      </c>
      <c r="CX45" t="str">
        <f t="array" ref="CX45">IF(ISERROR(INDEX($A$3:$B$14312,SMALL(IF($A$3:$A$14312=CX$3,ROW($A$3:$A$14312)),ROW(43:43)),2)),"",INDEX($A$3:$B$14312,SMALL(IF($A$3:$A$14312=CX$3,ROW($A$3:$A$14312)),ROW(43:43)),2))</f>
        <v/>
      </c>
      <c r="CY45" t="str">
        <f t="array" ref="CY45">IF(ISERROR(INDEX($A$3:$B$14312,SMALL(IF($A$3:$A$14312=CY$3,ROW($A$3:$A$14312)),ROW(43:43)),2)),"",INDEX($A$3:$B$14312,SMALL(IF($A$3:$A$14312=CY$3,ROW($A$3:$A$14312)),ROW(43:43)),2))</f>
        <v/>
      </c>
      <c r="CZ45" t="str">
        <f t="array" ref="CZ45">IF(ISERROR(INDEX($A$3:$B$14312,SMALL(IF($A$3:$A$14312=CZ$3,ROW($A$3:$A$14312)),ROW(43:43)),2)),"",INDEX($A$3:$B$14312,SMALL(IF($A$3:$A$14312=CZ$3,ROW($A$3:$A$14312)),ROW(43:43)),2))</f>
        <v/>
      </c>
      <c r="DA45" t="str">
        <f t="array" ref="DA45">IF(ISERROR(INDEX($A$3:$B$14312,SMALL(IF($A$3:$A$14312=DA$3,ROW($A$3:$A$14312)),ROW(43:43)),2)),"",INDEX($A$3:$B$14312,SMALL(IF($A$3:$A$14312=DA$3,ROW($A$3:$A$14312)),ROW(43:43)),2))</f>
        <v/>
      </c>
      <c r="DB45" t="str">
        <f t="array" ref="DB45">IF(ISERROR(INDEX($A$3:$B$14312,SMALL(IF($A$3:$A$14312=DB$3,ROW($A$3:$A$14312)),ROW(43:43)),2)),"",INDEX($A$3:$B$14312,SMALL(IF($A$3:$A$14312=DB$3,ROW($A$3:$A$14312)),ROW(43:43)),2))</f>
        <v/>
      </c>
      <c r="DC45" t="str">
        <f t="array" ref="DC45">IF(ISERROR(INDEX($A$3:$B$14312,SMALL(IF($A$3:$A$14312=DC$3,ROW($A$3:$A$14312)),ROW(43:43)),2)),"",INDEX($A$3:$B$14312,SMALL(IF($A$3:$A$14312=DC$3,ROW($A$3:$A$14312)),ROW(43:43)),2))</f>
        <v/>
      </c>
      <c r="DD45" t="str">
        <f t="array" ref="DD45">IF(ISERROR(INDEX($A$3:$B$14312,SMALL(IF($A$3:$A$14312=DD$3,ROW($A$3:$A$14312)),ROW(43:43)),2)),"",INDEX($A$3:$B$14312,SMALL(IF($A$3:$A$14312=DD$3,ROW($A$3:$A$14312)),ROW(43:43)),2))</f>
        <v/>
      </c>
      <c r="DE45" t="str">
        <f t="array" ref="DE45">IF(ISERROR(INDEX($A$3:$B$14312,SMALL(IF($A$3:$A$14312=DE$3,ROW($A$3:$A$14312)),ROW(43:43)),2)),"",INDEX($A$3:$B$14312,SMALL(IF($A$3:$A$14312=DE$3,ROW($A$3:$A$14312)),ROW(43:43)),2))</f>
        <v/>
      </c>
      <c r="DF45" t="str">
        <f t="array" ref="DF45">IF(ISERROR(INDEX($A$3:$B$14312,SMALL(IF($A$3:$A$14312=DF$3,ROW($A$3:$A$14312)),ROW(43:43)),2)),"",INDEX($A$3:$B$14312,SMALL(IF($A$3:$A$14312=DF$3,ROW($A$3:$A$14312)),ROW(43:43)),2))</f>
        <v/>
      </c>
      <c r="DG45" t="str">
        <f t="array" ref="DG45">IF(ISERROR(INDEX($A$3:$B$14312,SMALL(IF($A$3:$A$14312=DG$3,ROW($A$3:$A$14312)),ROW(43:43)),2)),"",INDEX($A$3:$B$14312,SMALL(IF($A$3:$A$14312=DG$3,ROW($A$3:$A$14312)),ROW(43:43)),2))</f>
        <v/>
      </c>
      <c r="DH45" t="str">
        <f t="array" ref="DH45">IF(ISERROR(INDEX($A$3:$B$14312,SMALL(IF($A$3:$A$14312=DH$3,ROW($A$3:$A$14312)),ROW(43:43)),2)),"",INDEX($A$3:$B$14312,SMALL(IF($A$3:$A$14312=DH$3,ROW($A$3:$A$14312)),ROW(43:43)),2))</f>
        <v/>
      </c>
      <c r="DI45" t="str">
        <f t="array" ref="DI45">IF(ISERROR(INDEX($A$3:$B$14312,SMALL(IF($A$3:$A$14312=DI$3,ROW($A$3:$A$14312)),ROW(43:43)),2)),"",INDEX($A$3:$B$14312,SMALL(IF($A$3:$A$14312=DI$3,ROW($A$3:$A$14312)),ROW(43:43)),2))</f>
        <v>Router3_109</v>
      </c>
      <c r="DJ45" t="str">
        <f t="array" ref="DJ45">IF(ISERROR(INDEX($A$3:$B$14312,SMALL(IF($A$3:$A$14312=DJ$3,ROW($A$3:$A$14312)),ROW(43:43)),2)),"",INDEX($A$3:$B$14312,SMALL(IF($A$3:$A$14312=DJ$3,ROW($A$3:$A$14312)),ROW(43:43)),2))</f>
        <v/>
      </c>
      <c r="DK45" t="str">
        <f t="array" ref="DK45">IF(ISERROR(INDEX($A$3:$B$14312,SMALL(IF($A$3:$A$14312=DK$3,ROW($A$3:$A$14312)),ROW(43:43)),2)),"",INDEX($A$3:$B$14312,SMALL(IF($A$3:$A$14312=DK$3,ROW($A$3:$A$14312)),ROW(43:43)),2))</f>
        <v/>
      </c>
      <c r="DL45" t="str">
        <f t="array" ref="DL45">IF(ISERROR(INDEX($A$3:$B$14312,SMALL(IF($A$3:$A$14312=DL$3,ROW($A$3:$A$14312)),ROW(43:43)),2)),"",INDEX($A$3:$B$14312,SMALL(IF($A$3:$A$14312=DL$3,ROW($A$3:$A$14312)),ROW(43:43)),2))</f>
        <v/>
      </c>
      <c r="DM45" t="str">
        <f t="array" ref="DM45">IF(ISERROR(INDEX($A$3:$B$14312,SMALL(IF($A$3:$A$14312=DM$3,ROW($A$3:$A$14312)),ROW(43:43)),2)),"",INDEX($A$3:$B$14312,SMALL(IF($A$3:$A$14312=DM$3,ROW($A$3:$A$14312)),ROW(43:43)),2))</f>
        <v/>
      </c>
      <c r="DN45" t="str">
        <f t="array" ref="DN45">IF(ISERROR(INDEX($A$3:$B$14312,SMALL(IF($A$3:$A$14312=DN$3,ROW($A$3:$A$14312)),ROW(43:43)),2)),"",INDEX($A$3:$B$14312,SMALL(IF($A$3:$A$14312=DN$3,ROW($A$3:$A$14312)),ROW(43:43)),2))</f>
        <v/>
      </c>
      <c r="DO45" t="str">
        <f t="array" ref="DO45">IF(ISERROR(INDEX($A$3:$B$14312,SMALL(IF($A$3:$A$14312=DO$3,ROW($A$3:$A$14312)),ROW(43:43)),2)),"",INDEX($A$3:$B$14312,SMALL(IF($A$3:$A$14312=DO$3,ROW($A$3:$A$14312)),ROW(43:43)),2))</f>
        <v/>
      </c>
      <c r="DP45" t="str">
        <f t="array" ref="DP45">IF(ISERROR(INDEX($A$3:$B$14312,SMALL(IF($A$3:$A$14312=DP$3,ROW($A$3:$A$14312)),ROW(43:43)),2)),"",INDEX($A$3:$B$14312,SMALL(IF($A$3:$A$14312=DP$3,ROW($A$3:$A$14312)),ROW(43:43)),2))</f>
        <v/>
      </c>
      <c r="DQ45" t="str">
        <f t="array" ref="DQ45">IF(ISERROR(INDEX($A$3:$B$14312,SMALL(IF($A$3:$A$14312=DQ$3,ROW($A$3:$A$14312)),ROW(43:43)),2)),"",INDEX($A$3:$B$14312,SMALL(IF($A$3:$A$14312=DQ$3,ROW($A$3:$A$14312)),ROW(43:43)),2))</f>
        <v/>
      </c>
      <c r="DR45" t="str">
        <f t="array" ref="DR45">IF(ISERROR(INDEX($A$3:$B$14312,SMALL(IF($A$3:$A$14312=DR$3,ROW($A$3:$A$14312)),ROW(43:43)),2)),"",INDEX($A$3:$B$14312,SMALL(IF($A$3:$A$14312=DR$3,ROW($A$3:$A$14312)),ROW(43:43)),2))</f>
        <v/>
      </c>
      <c r="DS45" t="str">
        <f t="array" ref="DS45">IF(ISERROR(INDEX($A$3:$B$14312,SMALL(IF($A$3:$A$14312=DS$3,ROW($A$3:$A$14312)),ROW(43:43)),2)),"",INDEX($A$3:$B$14312,SMALL(IF($A$3:$A$14312=DS$3,ROW($A$3:$A$14312)),ROW(43:43)),2))</f>
        <v/>
      </c>
      <c r="DT45" t="str">
        <f t="array" ref="DT45">IF(ISERROR(INDEX($A$3:$B$14312,SMALL(IF($A$3:$A$14312=DT$3,ROW($A$3:$A$14312)),ROW(43:43)),2)),"",INDEX($A$3:$B$14312,SMALL(IF($A$3:$A$14312=DT$3,ROW($A$3:$A$14312)),ROW(43:43)),2))</f>
        <v>Router3_109</v>
      </c>
      <c r="DU45" t="str">
        <f t="array" ref="DU45">IF(ISERROR(INDEX($A$3:$B$14312,SMALL(IF($A$3:$A$14312=DU$3,ROW($A$3:$A$14312)),ROW(43:43)),2)),"",INDEX($A$3:$B$14312,SMALL(IF($A$3:$A$14312=DU$3,ROW($A$3:$A$14312)),ROW(43:43)),2))</f>
        <v>Router3_160</v>
      </c>
      <c r="DV45" t="str">
        <f t="array" ref="DV45">IF(ISERROR(INDEX($A$3:$B$14312,SMALL(IF($A$3:$A$14312=DV$3,ROW($A$3:$A$14312)),ROW(43:43)),2)),"",INDEX($A$3:$B$14312,SMALL(IF($A$3:$A$14312=DV$3,ROW($A$3:$A$14312)),ROW(43:43)),2))</f>
        <v/>
      </c>
      <c r="DW45" t="str">
        <f t="array" ref="DW45">IF(ISERROR(INDEX($A$3:$B$14312,SMALL(IF($A$3:$A$14312=DW$3,ROW($A$3:$A$14312)),ROW(43:43)),2)),"",INDEX($A$3:$B$14312,SMALL(IF($A$3:$A$14312=DW$3,ROW($A$3:$A$14312)),ROW(43:43)),2))</f>
        <v/>
      </c>
      <c r="DX45" t="str">
        <f t="array" ref="DX45">IF(ISERROR(INDEX($A$3:$B$14312,SMALL(IF($A$3:$A$14312=DX$3,ROW($A$3:$A$14312)),ROW(43:43)),2)),"",INDEX($A$3:$B$14312,SMALL(IF($A$3:$A$14312=DX$3,ROW($A$3:$A$14312)),ROW(43:43)),2))</f>
        <v/>
      </c>
      <c r="DY45" t="str">
        <f t="array" ref="DY45">IF(ISERROR(INDEX($A$3:$B$14312,SMALL(IF($A$3:$A$14312=DY$3,ROW($A$3:$A$14312)),ROW(43:43)),2)),"",INDEX($A$3:$B$14312,SMALL(IF($A$3:$A$14312=DY$3,ROW($A$3:$A$14312)),ROW(43:43)),2))</f>
        <v/>
      </c>
      <c r="DZ45" t="str">
        <f t="array" ref="DZ45">IF(ISERROR(INDEX($A$3:$B$14312,SMALL(IF($A$3:$A$14312=DZ$3,ROW($A$3:$A$14312)),ROW(43:43)),2)),"",INDEX($A$3:$B$14312,SMALL(IF($A$3:$A$14312=DZ$3,ROW($A$3:$A$14312)),ROW(43:43)),2))</f>
        <v/>
      </c>
      <c r="EA45" t="str">
        <f t="array" ref="EA45">IF(ISERROR(INDEX($A$3:$B$14312,SMALL(IF($A$3:$A$14312=EA$3,ROW($A$3:$A$14312)),ROW(43:43)),2)),"",INDEX($A$3:$B$14312,SMALL(IF($A$3:$A$14312=EA$3,ROW($A$3:$A$14312)),ROW(43:43)),2))</f>
        <v/>
      </c>
      <c r="EB45" t="str">
        <f t="array" ref="EB45">IF(ISERROR(INDEX($A$3:$B$14312,SMALL(IF($A$3:$A$14312=EB$3,ROW($A$3:$A$14312)),ROW(43:43)),2)),"",INDEX($A$3:$B$14312,SMALL(IF($A$3:$A$14312=EB$3,ROW($A$3:$A$14312)),ROW(43:43)),2))</f>
        <v/>
      </c>
      <c r="EC45" t="str">
        <f t="array" ref="EC45">IF(ISERROR(INDEX($A$3:$B$14312,SMALL(IF($A$3:$A$14312=EC$3,ROW($A$3:$A$14312)),ROW(43:43)),2)),"",INDEX($A$3:$B$14312,SMALL(IF($A$3:$A$14312=EC$3,ROW($A$3:$A$14312)),ROW(43:43)),2))</f>
        <v>Router3_153</v>
      </c>
      <c r="ED45" t="str">
        <f t="array" ref="ED45">IF(ISERROR(INDEX($A$3:$B$14312,SMALL(IF($A$3:$A$14312=ED$3,ROW($A$3:$A$14312)),ROW(43:43)),2)),"",INDEX($A$3:$B$14312,SMALL(IF($A$3:$A$14312=ED$3,ROW($A$3:$A$14312)),ROW(43:43)),2))</f>
        <v/>
      </c>
      <c r="EE45" t="str">
        <f t="array" ref="EE45">IF(ISERROR(INDEX($A$3:$B$14312,SMALL(IF($A$3:$A$14312=EE$3,ROW($A$3:$A$14312)),ROW(43:43)),2)),"",INDEX($A$3:$B$14312,SMALL(IF($A$3:$A$14312=EE$3,ROW($A$3:$A$14312)),ROW(43:43)),2))</f>
        <v/>
      </c>
    </row>
    <row r="46" spans="1:135" x14ac:dyDescent="0.25">
      <c r="A46" s="10">
        <v>-450827381</v>
      </c>
      <c r="B46" t="s">
        <v>1101</v>
      </c>
      <c r="E46" t="str">
        <f t="array" ref="E46">IF(ISERROR(INDEX($A$3:$B$14312,SMALL(IF($A$3:$A$14312=E$3,ROW($A$3:$A$14312)),ROW(44:44)),2)),"",INDEX($A$3:$B$14312,SMALL(IF($A$3:$A$14312=E$3,ROW($A$3:$A$14312)),ROW(44:44)),2))</f>
        <v/>
      </c>
      <c r="F46" t="str">
        <f t="array" ref="F46">IF(ISERROR(INDEX($A$3:$B$14312,SMALL(IF($A$3:$A$14312=F$3,ROW($A$3:$A$14312)),ROW(44:44)),2)),"",INDEX($A$3:$B$14312,SMALL(IF($A$3:$A$14312=F$3,ROW($A$3:$A$14312)),ROW(44:44)),2))</f>
        <v/>
      </c>
      <c r="G46" t="str">
        <f t="array" ref="G46">IF(ISERROR(INDEX($A$3:$B$14312,SMALL(IF($A$3:$A$14312=G$3,ROW($A$3:$A$14312)),ROW(44:44)),2)),"",INDEX($A$3:$B$14312,SMALL(IF($A$3:$A$14312=G$3,ROW($A$3:$A$14312)),ROW(44:44)),2))</f>
        <v/>
      </c>
      <c r="H46" t="str">
        <f t="array" ref="H46">IF(ISERROR(INDEX($A$3:$B$14312,SMALL(IF($A$3:$A$14312=H$3,ROW($A$3:$A$14312)),ROW(44:44)),2)),"",INDEX($A$3:$B$14312,SMALL(IF($A$3:$A$14312=H$3,ROW($A$3:$A$14312)),ROW(44:44)),2))</f>
        <v/>
      </c>
      <c r="I46" t="str">
        <f t="array" ref="I46">IF(ISERROR(INDEX($A$3:$B$14312,SMALL(IF($A$3:$A$14312=I$3,ROW($A$3:$A$14312)),ROW(44:44)),2)),"",INDEX($A$3:$B$14312,SMALL(IF($A$3:$A$14312=I$3,ROW($A$3:$A$14312)),ROW(44:44)),2))</f>
        <v/>
      </c>
      <c r="J46" t="str">
        <f t="array" ref="J46">IF(ISERROR(INDEX($A$3:$B$14312,SMALL(IF($A$3:$A$14312=J$3,ROW($A$3:$A$14312)),ROW(44:44)),2)),"",INDEX($A$3:$B$14312,SMALL(IF($A$3:$A$14312=J$3,ROW($A$3:$A$14312)),ROW(44:44)),2))</f>
        <v/>
      </c>
      <c r="K46" t="str">
        <f t="array" ref="K46">IF(ISERROR(INDEX($A$3:$B$14312,SMALL(IF($A$3:$A$14312=K$3,ROW($A$3:$A$14312)),ROW(44:44)),2)),"",INDEX($A$3:$B$14312,SMALL(IF($A$3:$A$14312=K$3,ROW($A$3:$A$14312)),ROW(44:44)),2))</f>
        <v/>
      </c>
      <c r="L46" t="str">
        <f t="array" ref="L46">IF(ISERROR(INDEX($A$3:$B$14312,SMALL(IF($A$3:$A$14312=L$3,ROW($A$3:$A$14312)),ROW(44:44)),2)),"",INDEX($A$3:$B$14312,SMALL(IF($A$3:$A$14312=L$3,ROW($A$3:$A$14312)),ROW(44:44)),2))</f>
        <v/>
      </c>
      <c r="M46" t="str">
        <f t="array" ref="M46">IF(ISERROR(INDEX($A$3:$B$14312,SMALL(IF($A$3:$A$14312=M$3,ROW($A$3:$A$14312)),ROW(44:44)),2)),"",INDEX($A$3:$B$14312,SMALL(IF($A$3:$A$14312=M$3,ROW($A$3:$A$14312)),ROW(44:44)),2))</f>
        <v/>
      </c>
      <c r="N46" t="str">
        <f t="array" ref="N46">IF(ISERROR(INDEX($A$3:$B$14312,SMALL(IF($A$3:$A$14312=N$3,ROW($A$3:$A$14312)),ROW(44:44)),2)),"",INDEX($A$3:$B$14312,SMALL(IF($A$3:$A$14312=N$3,ROW($A$3:$A$14312)),ROW(44:44)),2))</f>
        <v/>
      </c>
      <c r="O46" t="str">
        <f t="array" ref="O46">IF(ISERROR(INDEX($A$3:$B$14312,SMALL(IF($A$3:$A$14312=O$3,ROW($A$3:$A$14312)),ROW(44:44)),2)),"",INDEX($A$3:$B$14312,SMALL(IF($A$3:$A$14312=O$3,ROW($A$3:$A$14312)),ROW(44:44)),2))</f>
        <v/>
      </c>
      <c r="P46" t="str">
        <f t="array" ref="P46">IF(ISERROR(INDEX($A$3:$B$14312,SMALL(IF($A$3:$A$14312=P$3,ROW($A$3:$A$14312)),ROW(44:44)),2)),"",INDEX($A$3:$B$14312,SMALL(IF($A$3:$A$14312=P$3,ROW($A$3:$A$14312)),ROW(44:44)),2))</f>
        <v/>
      </c>
      <c r="Q46" t="str">
        <f t="array" ref="Q46">IF(ISERROR(INDEX($A$3:$B$14312,SMALL(IF($A$3:$A$14312=Q$3,ROW($A$3:$A$14312)),ROW(44:44)),2)),"",INDEX($A$3:$B$14312,SMALL(IF($A$3:$A$14312=Q$3,ROW($A$3:$A$14312)),ROW(44:44)),2))</f>
        <v/>
      </c>
      <c r="R46" t="str">
        <f t="array" ref="R46">IF(ISERROR(INDEX($A$3:$B$14312,SMALL(IF($A$3:$A$14312=R$3,ROW($A$3:$A$14312)),ROW(44:44)),2)),"",INDEX($A$3:$B$14312,SMALL(IF($A$3:$A$14312=R$3,ROW($A$3:$A$14312)),ROW(44:44)),2))</f>
        <v/>
      </c>
      <c r="S46" t="str">
        <f t="array" ref="S46">IF(ISERROR(INDEX($A$3:$B$14312,SMALL(IF($A$3:$A$14312=S$3,ROW($A$3:$A$14312)),ROW(44:44)),2)),"",INDEX($A$3:$B$14312,SMALL(IF($A$3:$A$14312=S$3,ROW($A$3:$A$14312)),ROW(44:44)),2))</f>
        <v/>
      </c>
      <c r="T46" t="str">
        <f t="array" ref="T46">IF(ISERROR(INDEX($A$3:$B$14312,SMALL(IF($A$3:$A$14312=T$3,ROW($A$3:$A$14312)),ROW(44:44)),2)),"",INDEX($A$3:$B$14312,SMALL(IF($A$3:$A$14312=T$3,ROW($A$3:$A$14312)),ROW(44:44)),2))</f>
        <v/>
      </c>
      <c r="U46" t="str">
        <f t="array" ref="U46">IF(ISERROR(INDEX($A$3:$B$14312,SMALL(IF($A$3:$A$14312=U$3,ROW($A$3:$A$14312)),ROW(44:44)),2)),"",INDEX($A$3:$B$14312,SMALL(IF($A$3:$A$14312=U$3,ROW($A$3:$A$14312)),ROW(44:44)),2))</f>
        <v/>
      </c>
      <c r="V46" t="str">
        <f t="array" ref="V46">IF(ISERROR(INDEX($A$3:$B$14312,SMALL(IF($A$3:$A$14312=V$3,ROW($A$3:$A$14312)),ROW(44:44)),2)),"",INDEX($A$3:$B$14312,SMALL(IF($A$3:$A$14312=V$3,ROW($A$3:$A$14312)),ROW(44:44)),2))</f>
        <v/>
      </c>
      <c r="W46" t="str">
        <f t="array" ref="W46">IF(ISERROR(INDEX($A$3:$B$14312,SMALL(IF($A$3:$A$14312=W$3,ROW($A$3:$A$14312)),ROW(44:44)),2)),"",INDEX($A$3:$B$14312,SMALL(IF($A$3:$A$14312=W$3,ROW($A$3:$A$14312)),ROW(44:44)),2))</f>
        <v>Router3_155</v>
      </c>
      <c r="X46" t="str">
        <f t="array" ref="X46">IF(ISERROR(INDEX($A$3:$B$14312,SMALL(IF($A$3:$A$14312=X$3,ROW($A$3:$A$14312)),ROW(44:44)),2)),"",INDEX($A$3:$B$14312,SMALL(IF($A$3:$A$14312=X$3,ROW($A$3:$A$14312)),ROW(44:44)),2))</f>
        <v/>
      </c>
      <c r="Y46" t="str">
        <f t="array" ref="Y46">IF(ISERROR(INDEX($A$3:$B$14312,SMALL(IF($A$3:$A$14312=Y$3,ROW($A$3:$A$14312)),ROW(44:44)),2)),"",INDEX($A$3:$B$14312,SMALL(IF($A$3:$A$14312=Y$3,ROW($A$3:$A$14312)),ROW(44:44)),2))</f>
        <v/>
      </c>
      <c r="Z46" t="str">
        <f t="array" ref="Z46">IF(ISERROR(INDEX($A$3:$B$14312,SMALL(IF($A$3:$A$14312=Z$3,ROW($A$3:$A$14312)),ROW(44:44)),2)),"",INDEX($A$3:$B$14312,SMALL(IF($A$3:$A$14312=Z$3,ROW($A$3:$A$14312)),ROW(44:44)),2))</f>
        <v/>
      </c>
      <c r="AA46" t="str">
        <f t="array" ref="AA46">IF(ISERROR(INDEX($A$3:$B$14312,SMALL(IF($A$3:$A$14312=AA$3,ROW($A$3:$A$14312)),ROW(44:44)),2)),"",INDEX($A$3:$B$14312,SMALL(IF($A$3:$A$14312=AA$3,ROW($A$3:$A$14312)),ROW(44:44)),2))</f>
        <v/>
      </c>
      <c r="AB46" t="str">
        <f t="array" ref="AB46">IF(ISERROR(INDEX($A$3:$B$14312,SMALL(IF($A$3:$A$14312=AB$3,ROW($A$3:$A$14312)),ROW(44:44)),2)),"",INDEX($A$3:$B$14312,SMALL(IF($A$3:$A$14312=AB$3,ROW($A$3:$A$14312)),ROW(44:44)),2))</f>
        <v/>
      </c>
      <c r="AC46" t="str">
        <f t="array" ref="AC46">IF(ISERROR(INDEX($A$3:$B$14312,SMALL(IF($A$3:$A$14312=AC$3,ROW($A$3:$A$14312)),ROW(44:44)),2)),"",INDEX($A$3:$B$14312,SMALL(IF($A$3:$A$14312=AC$3,ROW($A$3:$A$14312)),ROW(44:44)),2))</f>
        <v/>
      </c>
      <c r="AD46" t="str">
        <f t="array" ref="AD46">IF(ISERROR(INDEX($A$3:$B$14312,SMALL(IF($A$3:$A$14312=AD$3,ROW($A$3:$A$14312)),ROW(44:44)),2)),"",INDEX($A$3:$B$14312,SMALL(IF($A$3:$A$14312=AD$3,ROW($A$3:$A$14312)),ROW(44:44)),2))</f>
        <v/>
      </c>
      <c r="AE46" t="str">
        <f t="array" ref="AE46">IF(ISERROR(INDEX($A$3:$B$14312,SMALL(IF($A$3:$A$14312=AE$3,ROW($A$3:$A$14312)),ROW(44:44)),2)),"",INDEX($A$3:$B$14312,SMALL(IF($A$3:$A$14312=AE$3,ROW($A$3:$A$14312)),ROW(44:44)),2))</f>
        <v/>
      </c>
      <c r="AF46" t="str">
        <f t="array" ref="AF46">IF(ISERROR(INDEX($A$3:$B$14312,SMALL(IF($A$3:$A$14312=AF$3,ROW($A$3:$A$14312)),ROW(44:44)),2)),"",INDEX($A$3:$B$14312,SMALL(IF($A$3:$A$14312=AF$3,ROW($A$3:$A$14312)),ROW(44:44)),2))</f>
        <v/>
      </c>
      <c r="AG46" t="str">
        <f t="array" ref="AG46">IF(ISERROR(INDEX($A$3:$B$14312,SMALL(IF($A$3:$A$14312=AG$3,ROW($A$3:$A$14312)),ROW(44:44)),2)),"",INDEX($A$3:$B$14312,SMALL(IF($A$3:$A$14312=AG$3,ROW($A$3:$A$14312)),ROW(44:44)),2))</f>
        <v/>
      </c>
      <c r="AH46" t="str">
        <f t="array" ref="AH46">IF(ISERROR(INDEX($A$3:$B$14312,SMALL(IF($A$3:$A$14312=AH$3,ROW($A$3:$A$14312)),ROW(44:44)),2)),"",INDEX($A$3:$B$14312,SMALL(IF($A$3:$A$14312=AH$3,ROW($A$3:$A$14312)),ROW(44:44)),2))</f>
        <v/>
      </c>
      <c r="AI46" t="str">
        <f t="array" ref="AI46">IF(ISERROR(INDEX($A$3:$B$14312,SMALL(IF($A$3:$A$14312=AI$3,ROW($A$3:$A$14312)),ROW(44:44)),2)),"",INDEX($A$3:$B$14312,SMALL(IF($A$3:$A$14312=AI$3,ROW($A$3:$A$14312)),ROW(44:44)),2))</f>
        <v/>
      </c>
      <c r="AJ46" t="str">
        <f t="array" ref="AJ46">IF(ISERROR(INDEX($A$3:$B$14312,SMALL(IF($A$3:$A$14312=AJ$3,ROW($A$3:$A$14312)),ROW(44:44)),2)),"",INDEX($A$3:$B$14312,SMALL(IF($A$3:$A$14312=AJ$3,ROW($A$3:$A$14312)),ROW(44:44)),2))</f>
        <v/>
      </c>
      <c r="AK46" t="str">
        <f t="array" ref="AK46">IF(ISERROR(INDEX($A$3:$B$14312,SMALL(IF($A$3:$A$14312=AK$3,ROW($A$3:$A$14312)),ROW(44:44)),2)),"",INDEX($A$3:$B$14312,SMALL(IF($A$3:$A$14312=AK$3,ROW($A$3:$A$14312)),ROW(44:44)),2))</f>
        <v/>
      </c>
      <c r="AL46" t="str">
        <f t="array" ref="AL46">IF(ISERROR(INDEX($A$3:$B$14312,SMALL(IF($A$3:$A$14312=AL$3,ROW($A$3:$A$14312)),ROW(44:44)),2)),"",INDEX($A$3:$B$14312,SMALL(IF($A$3:$A$14312=AL$3,ROW($A$3:$A$14312)),ROW(44:44)),2))</f>
        <v/>
      </c>
      <c r="AM46" t="str">
        <f t="array" ref="AM46">IF(ISERROR(INDEX($A$3:$B$14312,SMALL(IF($A$3:$A$14312=AM$3,ROW($A$3:$A$14312)),ROW(44:44)),2)),"",INDEX($A$3:$B$14312,SMALL(IF($A$3:$A$14312=AM$3,ROW($A$3:$A$14312)),ROW(44:44)),2))</f>
        <v>Router3_60</v>
      </c>
      <c r="AN46" t="str">
        <f t="array" ref="AN46">IF(ISERROR(INDEX($A$3:$B$14312,SMALL(IF($A$3:$A$14312=AN$3,ROW($A$3:$A$14312)),ROW(44:44)),2)),"",INDEX($A$3:$B$14312,SMALL(IF($A$3:$A$14312=AN$3,ROW($A$3:$A$14312)),ROW(44:44)),2))</f>
        <v/>
      </c>
      <c r="AO46" t="str">
        <f t="array" ref="AO46">IF(ISERROR(INDEX($A$3:$B$14312,SMALL(IF($A$3:$A$14312=AO$3,ROW($A$3:$A$14312)),ROW(44:44)),2)),"",INDEX($A$3:$B$14312,SMALL(IF($A$3:$A$14312=AO$3,ROW($A$3:$A$14312)),ROW(44:44)),2))</f>
        <v/>
      </c>
      <c r="AP46" t="str">
        <f t="array" ref="AP46">IF(ISERROR(INDEX($A$3:$B$14312,SMALL(IF($A$3:$A$14312=AP$3,ROW($A$3:$A$14312)),ROW(44:44)),2)),"",INDEX($A$3:$B$14312,SMALL(IF($A$3:$A$14312=AP$3,ROW($A$3:$A$14312)),ROW(44:44)),2))</f>
        <v/>
      </c>
      <c r="AQ46" t="str">
        <f t="array" ref="AQ46">IF(ISERROR(INDEX($A$3:$B$14312,SMALL(IF($A$3:$A$14312=AQ$3,ROW($A$3:$A$14312)),ROW(44:44)),2)),"",INDEX($A$3:$B$14312,SMALL(IF($A$3:$A$14312=AQ$3,ROW($A$3:$A$14312)),ROW(44:44)),2))</f>
        <v/>
      </c>
      <c r="AR46" t="str">
        <f t="array" ref="AR46">IF(ISERROR(INDEX($A$3:$B$14312,SMALL(IF($A$3:$A$14312=AR$3,ROW($A$3:$A$14312)),ROW(44:44)),2)),"",INDEX($A$3:$B$14312,SMALL(IF($A$3:$A$14312=AR$3,ROW($A$3:$A$14312)),ROW(44:44)),2))</f>
        <v/>
      </c>
      <c r="AS46" t="str">
        <f t="array" ref="AS46">IF(ISERROR(INDEX($A$3:$B$14312,SMALL(IF($A$3:$A$14312=AS$3,ROW($A$3:$A$14312)),ROW(44:44)),2)),"",INDEX($A$3:$B$14312,SMALL(IF($A$3:$A$14312=AS$3,ROW($A$3:$A$14312)),ROW(44:44)),2))</f>
        <v/>
      </c>
      <c r="AT46" t="str">
        <f t="array" ref="AT46">IF(ISERROR(INDEX($A$3:$B$14312,SMALL(IF($A$3:$A$14312=AT$3,ROW($A$3:$A$14312)),ROW(44:44)),2)),"",INDEX($A$3:$B$14312,SMALL(IF($A$3:$A$14312=AT$3,ROW($A$3:$A$14312)),ROW(44:44)),2))</f>
        <v/>
      </c>
      <c r="AU46" t="str">
        <f t="array" ref="AU46">IF(ISERROR(INDEX($A$3:$B$14312,SMALL(IF($A$3:$A$14312=AU$3,ROW($A$3:$A$14312)),ROW(44:44)),2)),"",INDEX($A$3:$B$14312,SMALL(IF($A$3:$A$14312=AU$3,ROW($A$3:$A$14312)),ROW(44:44)),2))</f>
        <v/>
      </c>
      <c r="AV46" t="str">
        <f t="array" ref="AV46">IF(ISERROR(INDEX($A$3:$B$14312,SMALL(IF($A$3:$A$14312=AV$3,ROW($A$3:$A$14312)),ROW(44:44)),2)),"",INDEX($A$3:$B$14312,SMALL(IF($A$3:$A$14312=AV$3,ROW($A$3:$A$14312)),ROW(44:44)),2))</f>
        <v/>
      </c>
      <c r="AW46" t="str">
        <f t="array" ref="AW46">IF(ISERROR(INDEX($A$3:$B$14312,SMALL(IF($A$3:$A$14312=AW$3,ROW($A$3:$A$14312)),ROW(44:44)),2)),"",INDEX($A$3:$B$14312,SMALL(IF($A$3:$A$14312=AW$3,ROW($A$3:$A$14312)),ROW(44:44)),2))</f>
        <v/>
      </c>
      <c r="AX46" t="str">
        <f t="array" ref="AX46">IF(ISERROR(INDEX($A$3:$B$14312,SMALL(IF($A$3:$A$14312=AX$3,ROW($A$3:$A$14312)),ROW(44:44)),2)),"",INDEX($A$3:$B$14312,SMALL(IF($A$3:$A$14312=AX$3,ROW($A$3:$A$14312)),ROW(44:44)),2))</f>
        <v/>
      </c>
      <c r="AY46" t="str">
        <f t="array" ref="AY46">IF(ISERROR(INDEX($A$3:$B$14312,SMALL(IF($A$3:$A$14312=AY$3,ROW($A$3:$A$14312)),ROW(44:44)),2)),"",INDEX($A$3:$B$14312,SMALL(IF($A$3:$A$14312=AY$3,ROW($A$3:$A$14312)),ROW(44:44)),2))</f>
        <v/>
      </c>
      <c r="AZ46" t="str">
        <f t="array" ref="AZ46">IF(ISERROR(INDEX($A$3:$B$14312,SMALL(IF($A$3:$A$14312=AZ$3,ROW($A$3:$A$14312)),ROW(44:44)),2)),"",INDEX($A$3:$B$14312,SMALL(IF($A$3:$A$14312=AZ$3,ROW($A$3:$A$14312)),ROW(44:44)),2))</f>
        <v/>
      </c>
      <c r="BA46" t="str">
        <f t="array" ref="BA46">IF(ISERROR(INDEX($A$3:$B$14312,SMALL(IF($A$3:$A$14312=BA$3,ROW($A$3:$A$14312)),ROW(44:44)),2)),"",INDEX($A$3:$B$14312,SMALL(IF($A$3:$A$14312=BA$3,ROW($A$3:$A$14312)),ROW(44:44)),2))</f>
        <v/>
      </c>
      <c r="BB46" t="str">
        <f t="array" ref="BB46">IF(ISERROR(INDEX($A$3:$B$14312,SMALL(IF($A$3:$A$14312=BB$3,ROW($A$3:$A$14312)),ROW(44:44)),2)),"",INDEX($A$3:$B$14312,SMALL(IF($A$3:$A$14312=BB$3,ROW($A$3:$A$14312)),ROW(44:44)),2))</f>
        <v/>
      </c>
      <c r="BC46" t="str">
        <f t="array" ref="BC46">IF(ISERROR(INDEX($A$3:$B$14312,SMALL(IF($A$3:$A$14312=BC$3,ROW($A$3:$A$14312)),ROW(44:44)),2)),"",INDEX($A$3:$B$14312,SMALL(IF($A$3:$A$14312=BC$3,ROW($A$3:$A$14312)),ROW(44:44)),2))</f>
        <v/>
      </c>
      <c r="BD46" t="str">
        <f t="array" ref="BD46">IF(ISERROR(INDEX($A$3:$B$14312,SMALL(IF($A$3:$A$14312=BD$3,ROW($A$3:$A$14312)),ROW(44:44)),2)),"",INDEX($A$3:$B$14312,SMALL(IF($A$3:$A$14312=BD$3,ROW($A$3:$A$14312)),ROW(44:44)),2))</f>
        <v/>
      </c>
      <c r="BE46" t="str">
        <f t="array" ref="BE46">IF(ISERROR(INDEX($A$3:$B$14312,SMALL(IF($A$3:$A$14312=BE$3,ROW($A$3:$A$14312)),ROW(44:44)),2)),"",INDEX($A$3:$B$14312,SMALL(IF($A$3:$A$14312=BE$3,ROW($A$3:$A$14312)),ROW(44:44)),2))</f>
        <v/>
      </c>
      <c r="BF46" t="str">
        <f t="array" ref="BF46">IF(ISERROR(INDEX($A$3:$B$14312,SMALL(IF($A$3:$A$14312=BF$3,ROW($A$3:$A$14312)),ROW(44:44)),2)),"",INDEX($A$3:$B$14312,SMALL(IF($A$3:$A$14312=BF$3,ROW($A$3:$A$14312)),ROW(44:44)),2))</f>
        <v/>
      </c>
      <c r="BG46" t="str">
        <f t="array" ref="BG46">IF(ISERROR(INDEX($A$3:$B$14312,SMALL(IF($A$3:$A$14312=BG$3,ROW($A$3:$A$14312)),ROW(44:44)),2)),"",INDEX($A$3:$B$14312,SMALL(IF($A$3:$A$14312=BG$3,ROW($A$3:$A$14312)),ROW(44:44)),2))</f>
        <v/>
      </c>
      <c r="BH46" t="str">
        <f t="array" ref="BH46">IF(ISERROR(INDEX($A$3:$B$14312,SMALL(IF($A$3:$A$14312=BH$3,ROW($A$3:$A$14312)),ROW(44:44)),2)),"",INDEX($A$3:$B$14312,SMALL(IF($A$3:$A$14312=BH$3,ROW($A$3:$A$14312)),ROW(44:44)),2))</f>
        <v/>
      </c>
      <c r="BI46" t="str">
        <f t="array" ref="BI46">IF(ISERROR(INDEX($A$3:$B$14312,SMALL(IF($A$3:$A$14312=BI$3,ROW($A$3:$A$14312)),ROW(44:44)),2)),"",INDEX($A$3:$B$14312,SMALL(IF($A$3:$A$14312=BI$3,ROW($A$3:$A$14312)),ROW(44:44)),2))</f>
        <v/>
      </c>
      <c r="BJ46" t="str">
        <f t="array" ref="BJ46">IF(ISERROR(INDEX($A$3:$B$14312,SMALL(IF($A$3:$A$14312=BJ$3,ROW($A$3:$A$14312)),ROW(44:44)),2)),"",INDEX($A$3:$B$14312,SMALL(IF($A$3:$A$14312=BJ$3,ROW($A$3:$A$14312)),ROW(44:44)),2))</f>
        <v/>
      </c>
      <c r="BK46" t="str">
        <f t="array" ref="BK46">IF(ISERROR(INDEX($A$3:$B$14312,SMALL(IF($A$3:$A$14312=BK$3,ROW($A$3:$A$14312)),ROW(44:44)),2)),"",INDEX($A$3:$B$14312,SMALL(IF($A$3:$A$14312=BK$3,ROW($A$3:$A$14312)),ROW(44:44)),2))</f>
        <v/>
      </c>
      <c r="BL46" t="str">
        <f t="array" ref="BL46">IF(ISERROR(INDEX($A$3:$B$14312,SMALL(IF($A$3:$A$14312=BL$3,ROW($A$3:$A$14312)),ROW(44:44)),2)),"",INDEX($A$3:$B$14312,SMALL(IF($A$3:$A$14312=BL$3,ROW($A$3:$A$14312)),ROW(44:44)),2))</f>
        <v/>
      </c>
      <c r="BM46" t="str">
        <f t="array" ref="BM46">IF(ISERROR(INDEX($A$3:$B$14312,SMALL(IF($A$3:$A$14312=BM$3,ROW($A$3:$A$14312)),ROW(44:44)),2)),"",INDEX($A$3:$B$14312,SMALL(IF($A$3:$A$14312=BM$3,ROW($A$3:$A$14312)),ROW(44:44)),2))</f>
        <v/>
      </c>
      <c r="BN46" t="str">
        <f t="array" ref="BN46">IF(ISERROR(INDEX($A$3:$B$14312,SMALL(IF($A$3:$A$14312=BN$3,ROW($A$3:$A$14312)),ROW(44:44)),2)),"",INDEX($A$3:$B$14312,SMALL(IF($A$3:$A$14312=BN$3,ROW($A$3:$A$14312)),ROW(44:44)),2))</f>
        <v/>
      </c>
      <c r="BO46" t="str">
        <f t="array" ref="BO46">IF(ISERROR(INDEX($A$3:$B$14312,SMALL(IF($A$3:$A$14312=BO$3,ROW($A$3:$A$14312)),ROW(44:44)),2)),"",INDEX($A$3:$B$14312,SMALL(IF($A$3:$A$14312=BO$3,ROW($A$3:$A$14312)),ROW(44:44)),2))</f>
        <v/>
      </c>
      <c r="BP46" t="str">
        <f t="array" ref="BP46">IF(ISERROR(INDEX($A$3:$B$14312,SMALL(IF($A$3:$A$14312=BP$3,ROW($A$3:$A$14312)),ROW(44:44)),2)),"",INDEX($A$3:$B$14312,SMALL(IF($A$3:$A$14312=BP$3,ROW($A$3:$A$14312)),ROW(44:44)),2))</f>
        <v/>
      </c>
      <c r="BQ46" t="str">
        <f t="array" ref="BQ46">IF(ISERROR(INDEX($A$3:$B$14312,SMALL(IF($A$3:$A$14312=BQ$3,ROW($A$3:$A$14312)),ROW(44:44)),2)),"",INDEX($A$3:$B$14312,SMALL(IF($A$3:$A$14312=BQ$3,ROW($A$3:$A$14312)),ROW(44:44)),2))</f>
        <v/>
      </c>
      <c r="BR46" t="str">
        <f t="array" ref="BR46">IF(ISERROR(INDEX($A$3:$B$14312,SMALL(IF($A$3:$A$14312=BR$3,ROW($A$3:$A$14312)),ROW(44:44)),2)),"",INDEX($A$3:$B$14312,SMALL(IF($A$3:$A$14312=BR$3,ROW($A$3:$A$14312)),ROW(44:44)),2))</f>
        <v/>
      </c>
      <c r="BS46" t="str">
        <f t="array" ref="BS46">IF(ISERROR(INDEX($A$3:$B$14312,SMALL(IF($A$3:$A$14312=BS$3,ROW($A$3:$A$14312)),ROW(44:44)),2)),"",INDEX($A$3:$B$14312,SMALL(IF($A$3:$A$14312=BS$3,ROW($A$3:$A$14312)),ROW(44:44)),2))</f>
        <v/>
      </c>
      <c r="BT46" t="str">
        <f t="array" ref="BT46">IF(ISERROR(INDEX($A$3:$B$14312,SMALL(IF($A$3:$A$14312=BT$3,ROW($A$3:$A$14312)),ROW(44:44)),2)),"",INDEX($A$3:$B$14312,SMALL(IF($A$3:$A$14312=BT$3,ROW($A$3:$A$14312)),ROW(44:44)),2))</f>
        <v>Router3_145</v>
      </c>
      <c r="BU46" t="str">
        <f t="array" ref="BU46">IF(ISERROR(INDEX($A$3:$B$14312,SMALL(IF($A$3:$A$14312=BU$3,ROW($A$3:$A$14312)),ROW(44:44)),2)),"",INDEX($A$3:$B$14312,SMALL(IF($A$3:$A$14312=BU$3,ROW($A$3:$A$14312)),ROW(44:44)),2))</f>
        <v/>
      </c>
      <c r="BV46" t="str">
        <f t="array" ref="BV46">IF(ISERROR(INDEX($A$3:$B$14312,SMALL(IF($A$3:$A$14312=BV$3,ROW($A$3:$A$14312)),ROW(44:44)),2)),"",INDEX($A$3:$B$14312,SMALL(IF($A$3:$A$14312=BV$3,ROW($A$3:$A$14312)),ROW(44:44)),2))</f>
        <v/>
      </c>
      <c r="BW46" t="str">
        <f t="array" ref="BW46">IF(ISERROR(INDEX($A$3:$B$14312,SMALL(IF($A$3:$A$14312=BW$3,ROW($A$3:$A$14312)),ROW(44:44)),2)),"",INDEX($A$3:$B$14312,SMALL(IF($A$3:$A$14312=BW$3,ROW($A$3:$A$14312)),ROW(44:44)),2))</f>
        <v/>
      </c>
      <c r="BX46" t="str">
        <f t="array" ref="BX46">IF(ISERROR(INDEX($A$3:$B$14312,SMALL(IF($A$3:$A$14312=BX$3,ROW($A$3:$A$14312)),ROW(44:44)),2)),"",INDEX($A$3:$B$14312,SMALL(IF($A$3:$A$14312=BX$3,ROW($A$3:$A$14312)),ROW(44:44)),2))</f>
        <v/>
      </c>
      <c r="BY46" t="str">
        <f t="array" ref="BY46">IF(ISERROR(INDEX($A$3:$B$14312,SMALL(IF($A$3:$A$14312=BY$3,ROW($A$3:$A$14312)),ROW(44:44)),2)),"",INDEX($A$3:$B$14312,SMALL(IF($A$3:$A$14312=BY$3,ROW($A$3:$A$14312)),ROW(44:44)),2))</f>
        <v/>
      </c>
      <c r="BZ46" t="str">
        <f t="array" ref="BZ46">IF(ISERROR(INDEX($A$3:$B$14312,SMALL(IF($A$3:$A$14312=BZ$3,ROW($A$3:$A$14312)),ROW(44:44)),2)),"",INDEX($A$3:$B$14312,SMALL(IF($A$3:$A$14312=BZ$3,ROW($A$3:$A$14312)),ROW(44:44)),2))</f>
        <v/>
      </c>
      <c r="CA46" t="str">
        <f t="array" ref="CA46">IF(ISERROR(INDEX($A$3:$B$14312,SMALL(IF($A$3:$A$14312=CA$3,ROW($A$3:$A$14312)),ROW(44:44)),2)),"",INDEX($A$3:$B$14312,SMALL(IF($A$3:$A$14312=CA$3,ROW($A$3:$A$14312)),ROW(44:44)),2))</f>
        <v/>
      </c>
      <c r="CB46" t="str">
        <f t="array" ref="CB46">IF(ISERROR(INDEX($A$3:$B$14312,SMALL(IF($A$3:$A$14312=CB$3,ROW($A$3:$A$14312)),ROW(44:44)),2)),"",INDEX($A$3:$B$14312,SMALL(IF($A$3:$A$14312=CB$3,ROW($A$3:$A$14312)),ROW(44:44)),2))</f>
        <v/>
      </c>
      <c r="CC46" t="str">
        <f t="array" ref="CC46">IF(ISERROR(INDEX($A$3:$B$14312,SMALL(IF($A$3:$A$14312=CC$3,ROW($A$3:$A$14312)),ROW(44:44)),2)),"",INDEX($A$3:$B$14312,SMALL(IF($A$3:$A$14312=CC$3,ROW($A$3:$A$14312)),ROW(44:44)),2))</f>
        <v/>
      </c>
      <c r="CD46" t="str">
        <f t="array" ref="CD46">IF(ISERROR(INDEX($A$3:$B$14312,SMALL(IF($A$3:$A$14312=CD$3,ROW($A$3:$A$14312)),ROW(44:44)),2)),"",INDEX($A$3:$B$14312,SMALL(IF($A$3:$A$14312=CD$3,ROW($A$3:$A$14312)),ROW(44:44)),2))</f>
        <v/>
      </c>
      <c r="CE46" t="str">
        <f t="array" ref="CE46">IF(ISERROR(INDEX($A$3:$B$14312,SMALL(IF($A$3:$A$14312=CE$3,ROW($A$3:$A$14312)),ROW(44:44)),2)),"",INDEX($A$3:$B$14312,SMALL(IF($A$3:$A$14312=CE$3,ROW($A$3:$A$14312)),ROW(44:44)),2))</f>
        <v/>
      </c>
      <c r="CF46" t="str">
        <f t="array" ref="CF46">IF(ISERROR(INDEX($A$3:$B$14312,SMALL(IF($A$3:$A$14312=CF$3,ROW($A$3:$A$14312)),ROW(44:44)),2)),"",INDEX($A$3:$B$14312,SMALL(IF($A$3:$A$14312=CF$3,ROW($A$3:$A$14312)),ROW(44:44)),2))</f>
        <v/>
      </c>
      <c r="CG46" t="str">
        <f t="array" ref="CG46">IF(ISERROR(INDEX($A$3:$B$14312,SMALL(IF($A$3:$A$14312=CG$3,ROW($A$3:$A$14312)),ROW(44:44)),2)),"",INDEX($A$3:$B$14312,SMALL(IF($A$3:$A$14312=CG$3,ROW($A$3:$A$14312)),ROW(44:44)),2))</f>
        <v/>
      </c>
      <c r="CH46" t="str">
        <f t="array" ref="CH46">IF(ISERROR(INDEX($A$3:$B$14312,SMALL(IF($A$3:$A$14312=CH$3,ROW($A$3:$A$14312)),ROW(44:44)),2)),"",INDEX($A$3:$B$14312,SMALL(IF($A$3:$A$14312=CH$3,ROW($A$3:$A$14312)),ROW(44:44)),2))</f>
        <v/>
      </c>
      <c r="CI46" t="str">
        <f t="array" ref="CI46">IF(ISERROR(INDEX($A$3:$B$14312,SMALL(IF($A$3:$A$14312=CI$3,ROW($A$3:$A$14312)),ROW(44:44)),2)),"",INDEX($A$3:$B$14312,SMALL(IF($A$3:$A$14312=CI$3,ROW($A$3:$A$14312)),ROW(44:44)),2))</f>
        <v/>
      </c>
      <c r="CJ46" t="str">
        <f t="array" ref="CJ46">IF(ISERROR(INDEX($A$3:$B$14312,SMALL(IF($A$3:$A$14312=CJ$3,ROW($A$3:$A$14312)),ROW(44:44)),2)),"",INDEX($A$3:$B$14312,SMALL(IF($A$3:$A$14312=CJ$3,ROW($A$3:$A$14312)),ROW(44:44)),2))</f>
        <v/>
      </c>
      <c r="CK46" t="str">
        <f t="array" ref="CK46">IF(ISERROR(INDEX($A$3:$B$14312,SMALL(IF($A$3:$A$14312=CK$3,ROW($A$3:$A$14312)),ROW(44:44)),2)),"",INDEX($A$3:$B$14312,SMALL(IF($A$3:$A$14312=CK$3,ROW($A$3:$A$14312)),ROW(44:44)),2))</f>
        <v/>
      </c>
      <c r="CL46" t="str">
        <f t="array" ref="CL46">IF(ISERROR(INDEX($A$3:$B$14312,SMALL(IF($A$3:$A$14312=CL$3,ROW($A$3:$A$14312)),ROW(44:44)),2)),"",INDEX($A$3:$B$14312,SMALL(IF($A$3:$A$14312=CL$3,ROW($A$3:$A$14312)),ROW(44:44)),2))</f>
        <v/>
      </c>
      <c r="CM46" t="str">
        <f t="array" ref="CM46">IF(ISERROR(INDEX($A$3:$B$14312,SMALL(IF($A$3:$A$14312=CM$3,ROW($A$3:$A$14312)),ROW(44:44)),2)),"",INDEX($A$3:$B$14312,SMALL(IF($A$3:$A$14312=CM$3,ROW($A$3:$A$14312)),ROW(44:44)),2))</f>
        <v/>
      </c>
      <c r="CN46" t="str">
        <f t="array" ref="CN46">IF(ISERROR(INDEX($A$3:$B$14312,SMALL(IF($A$3:$A$14312=CN$3,ROW($A$3:$A$14312)),ROW(44:44)),2)),"",INDEX($A$3:$B$14312,SMALL(IF($A$3:$A$14312=CN$3,ROW($A$3:$A$14312)),ROW(44:44)),2))</f>
        <v/>
      </c>
      <c r="CO46" t="str">
        <f t="array" ref="CO46">IF(ISERROR(INDEX($A$3:$B$14312,SMALL(IF($A$3:$A$14312=CO$3,ROW($A$3:$A$14312)),ROW(44:44)),2)),"",INDEX($A$3:$B$14312,SMALL(IF($A$3:$A$14312=CO$3,ROW($A$3:$A$14312)),ROW(44:44)),2))</f>
        <v/>
      </c>
      <c r="CP46" t="str">
        <f t="array" ref="CP46">IF(ISERROR(INDEX($A$3:$B$14312,SMALL(IF($A$3:$A$14312=CP$3,ROW($A$3:$A$14312)),ROW(44:44)),2)),"",INDEX($A$3:$B$14312,SMALL(IF($A$3:$A$14312=CP$3,ROW($A$3:$A$14312)),ROW(44:44)),2))</f>
        <v/>
      </c>
      <c r="CQ46" t="str">
        <f t="array" ref="CQ46">IF(ISERROR(INDEX($A$3:$B$14312,SMALL(IF($A$3:$A$14312=CQ$3,ROW($A$3:$A$14312)),ROW(44:44)),2)),"",INDEX($A$3:$B$14312,SMALL(IF($A$3:$A$14312=CQ$3,ROW($A$3:$A$14312)),ROW(44:44)),2))</f>
        <v/>
      </c>
      <c r="CR46" t="str">
        <f t="array" ref="CR46">IF(ISERROR(INDEX($A$3:$B$14312,SMALL(IF($A$3:$A$14312=CR$3,ROW($A$3:$A$14312)),ROW(44:44)),2)),"",INDEX($A$3:$B$14312,SMALL(IF($A$3:$A$14312=CR$3,ROW($A$3:$A$14312)),ROW(44:44)),2))</f>
        <v/>
      </c>
      <c r="CS46" t="str">
        <f t="array" ref="CS46">IF(ISERROR(INDEX($A$3:$B$14312,SMALL(IF($A$3:$A$14312=CS$3,ROW($A$3:$A$14312)),ROW(44:44)),2)),"",INDEX($A$3:$B$14312,SMALL(IF($A$3:$A$14312=CS$3,ROW($A$3:$A$14312)),ROW(44:44)),2))</f>
        <v/>
      </c>
      <c r="CT46" t="str">
        <f t="array" ref="CT46">IF(ISERROR(INDEX($A$3:$B$14312,SMALL(IF($A$3:$A$14312=CT$3,ROW($A$3:$A$14312)),ROW(44:44)),2)),"",INDEX($A$3:$B$14312,SMALL(IF($A$3:$A$14312=CT$3,ROW($A$3:$A$14312)),ROW(44:44)),2))</f>
        <v/>
      </c>
      <c r="CU46" t="str">
        <f t="array" ref="CU46">IF(ISERROR(INDEX($A$3:$B$14312,SMALL(IF($A$3:$A$14312=CU$3,ROW($A$3:$A$14312)),ROW(44:44)),2)),"",INDEX($A$3:$B$14312,SMALL(IF($A$3:$A$14312=CU$3,ROW($A$3:$A$14312)),ROW(44:44)),2))</f>
        <v/>
      </c>
      <c r="CV46" t="str">
        <f t="array" ref="CV46">IF(ISERROR(INDEX($A$3:$B$14312,SMALL(IF($A$3:$A$14312=CV$3,ROW($A$3:$A$14312)),ROW(44:44)),2)),"",INDEX($A$3:$B$14312,SMALL(IF($A$3:$A$14312=CV$3,ROW($A$3:$A$14312)),ROW(44:44)),2))</f>
        <v/>
      </c>
      <c r="CW46" t="str">
        <f t="array" ref="CW46">IF(ISERROR(INDEX($A$3:$B$14312,SMALL(IF($A$3:$A$14312=CW$3,ROW($A$3:$A$14312)),ROW(44:44)),2)),"",INDEX($A$3:$B$14312,SMALL(IF($A$3:$A$14312=CW$3,ROW($A$3:$A$14312)),ROW(44:44)),2))</f>
        <v/>
      </c>
      <c r="CX46" t="str">
        <f t="array" ref="CX46">IF(ISERROR(INDEX($A$3:$B$14312,SMALL(IF($A$3:$A$14312=CX$3,ROW($A$3:$A$14312)),ROW(44:44)),2)),"",INDEX($A$3:$B$14312,SMALL(IF($A$3:$A$14312=CX$3,ROW($A$3:$A$14312)),ROW(44:44)),2))</f>
        <v/>
      </c>
      <c r="CY46" t="str">
        <f t="array" ref="CY46">IF(ISERROR(INDEX($A$3:$B$14312,SMALL(IF($A$3:$A$14312=CY$3,ROW($A$3:$A$14312)),ROW(44:44)),2)),"",INDEX($A$3:$B$14312,SMALL(IF($A$3:$A$14312=CY$3,ROW($A$3:$A$14312)),ROW(44:44)),2))</f>
        <v/>
      </c>
      <c r="CZ46" t="str">
        <f t="array" ref="CZ46">IF(ISERROR(INDEX($A$3:$B$14312,SMALL(IF($A$3:$A$14312=CZ$3,ROW($A$3:$A$14312)),ROW(44:44)),2)),"",INDEX($A$3:$B$14312,SMALL(IF($A$3:$A$14312=CZ$3,ROW($A$3:$A$14312)),ROW(44:44)),2))</f>
        <v/>
      </c>
      <c r="DA46" t="str">
        <f t="array" ref="DA46">IF(ISERROR(INDEX($A$3:$B$14312,SMALL(IF($A$3:$A$14312=DA$3,ROW($A$3:$A$14312)),ROW(44:44)),2)),"",INDEX($A$3:$B$14312,SMALL(IF($A$3:$A$14312=DA$3,ROW($A$3:$A$14312)),ROW(44:44)),2))</f>
        <v/>
      </c>
      <c r="DB46" t="str">
        <f t="array" ref="DB46">IF(ISERROR(INDEX($A$3:$B$14312,SMALL(IF($A$3:$A$14312=DB$3,ROW($A$3:$A$14312)),ROW(44:44)),2)),"",INDEX($A$3:$B$14312,SMALL(IF($A$3:$A$14312=DB$3,ROW($A$3:$A$14312)),ROW(44:44)),2))</f>
        <v/>
      </c>
      <c r="DC46" t="str">
        <f t="array" ref="DC46">IF(ISERROR(INDEX($A$3:$B$14312,SMALL(IF($A$3:$A$14312=DC$3,ROW($A$3:$A$14312)),ROW(44:44)),2)),"",INDEX($A$3:$B$14312,SMALL(IF($A$3:$A$14312=DC$3,ROW($A$3:$A$14312)),ROW(44:44)),2))</f>
        <v/>
      </c>
      <c r="DD46" t="str">
        <f t="array" ref="DD46">IF(ISERROR(INDEX($A$3:$B$14312,SMALL(IF($A$3:$A$14312=DD$3,ROW($A$3:$A$14312)),ROW(44:44)),2)),"",INDEX($A$3:$B$14312,SMALL(IF($A$3:$A$14312=DD$3,ROW($A$3:$A$14312)),ROW(44:44)),2))</f>
        <v/>
      </c>
      <c r="DE46" t="str">
        <f t="array" ref="DE46">IF(ISERROR(INDEX($A$3:$B$14312,SMALL(IF($A$3:$A$14312=DE$3,ROW($A$3:$A$14312)),ROW(44:44)),2)),"",INDEX($A$3:$B$14312,SMALL(IF($A$3:$A$14312=DE$3,ROW($A$3:$A$14312)),ROW(44:44)),2))</f>
        <v/>
      </c>
      <c r="DF46" t="str">
        <f t="array" ref="DF46">IF(ISERROR(INDEX($A$3:$B$14312,SMALL(IF($A$3:$A$14312=DF$3,ROW($A$3:$A$14312)),ROW(44:44)),2)),"",INDEX($A$3:$B$14312,SMALL(IF($A$3:$A$14312=DF$3,ROW($A$3:$A$14312)),ROW(44:44)),2))</f>
        <v/>
      </c>
      <c r="DG46" t="str">
        <f t="array" ref="DG46">IF(ISERROR(INDEX($A$3:$B$14312,SMALL(IF($A$3:$A$14312=DG$3,ROW($A$3:$A$14312)),ROW(44:44)),2)),"",INDEX($A$3:$B$14312,SMALL(IF($A$3:$A$14312=DG$3,ROW($A$3:$A$14312)),ROW(44:44)),2))</f>
        <v/>
      </c>
      <c r="DH46" t="str">
        <f t="array" ref="DH46">IF(ISERROR(INDEX($A$3:$B$14312,SMALL(IF($A$3:$A$14312=DH$3,ROW($A$3:$A$14312)),ROW(44:44)),2)),"",INDEX($A$3:$B$14312,SMALL(IF($A$3:$A$14312=DH$3,ROW($A$3:$A$14312)),ROW(44:44)),2))</f>
        <v/>
      </c>
      <c r="DI46" t="str">
        <f t="array" ref="DI46">IF(ISERROR(INDEX($A$3:$B$14312,SMALL(IF($A$3:$A$14312=DI$3,ROW($A$3:$A$14312)),ROW(44:44)),2)),"",INDEX($A$3:$B$14312,SMALL(IF($A$3:$A$14312=DI$3,ROW($A$3:$A$14312)),ROW(44:44)),2))</f>
        <v>Router3_110</v>
      </c>
      <c r="DJ46" t="str">
        <f t="array" ref="DJ46">IF(ISERROR(INDEX($A$3:$B$14312,SMALL(IF($A$3:$A$14312=DJ$3,ROW($A$3:$A$14312)),ROW(44:44)),2)),"",INDEX($A$3:$B$14312,SMALL(IF($A$3:$A$14312=DJ$3,ROW($A$3:$A$14312)),ROW(44:44)),2))</f>
        <v/>
      </c>
      <c r="DK46" t="str">
        <f t="array" ref="DK46">IF(ISERROR(INDEX($A$3:$B$14312,SMALL(IF($A$3:$A$14312=DK$3,ROW($A$3:$A$14312)),ROW(44:44)),2)),"",INDEX($A$3:$B$14312,SMALL(IF($A$3:$A$14312=DK$3,ROW($A$3:$A$14312)),ROW(44:44)),2))</f>
        <v/>
      </c>
      <c r="DL46" t="str">
        <f t="array" ref="DL46">IF(ISERROR(INDEX($A$3:$B$14312,SMALL(IF($A$3:$A$14312=DL$3,ROW($A$3:$A$14312)),ROW(44:44)),2)),"",INDEX($A$3:$B$14312,SMALL(IF($A$3:$A$14312=DL$3,ROW($A$3:$A$14312)),ROW(44:44)),2))</f>
        <v/>
      </c>
      <c r="DM46" t="str">
        <f t="array" ref="DM46">IF(ISERROR(INDEX($A$3:$B$14312,SMALL(IF($A$3:$A$14312=DM$3,ROW($A$3:$A$14312)),ROW(44:44)),2)),"",INDEX($A$3:$B$14312,SMALL(IF($A$3:$A$14312=DM$3,ROW($A$3:$A$14312)),ROW(44:44)),2))</f>
        <v/>
      </c>
      <c r="DN46" t="str">
        <f t="array" ref="DN46">IF(ISERROR(INDEX($A$3:$B$14312,SMALL(IF($A$3:$A$14312=DN$3,ROW($A$3:$A$14312)),ROW(44:44)),2)),"",INDEX($A$3:$B$14312,SMALL(IF($A$3:$A$14312=DN$3,ROW($A$3:$A$14312)),ROW(44:44)),2))</f>
        <v/>
      </c>
      <c r="DO46" t="str">
        <f t="array" ref="DO46">IF(ISERROR(INDEX($A$3:$B$14312,SMALL(IF($A$3:$A$14312=DO$3,ROW($A$3:$A$14312)),ROW(44:44)),2)),"",INDEX($A$3:$B$14312,SMALL(IF($A$3:$A$14312=DO$3,ROW($A$3:$A$14312)),ROW(44:44)),2))</f>
        <v/>
      </c>
      <c r="DP46" t="str">
        <f t="array" ref="DP46">IF(ISERROR(INDEX($A$3:$B$14312,SMALL(IF($A$3:$A$14312=DP$3,ROW($A$3:$A$14312)),ROW(44:44)),2)),"",INDEX($A$3:$B$14312,SMALL(IF($A$3:$A$14312=DP$3,ROW($A$3:$A$14312)),ROW(44:44)),2))</f>
        <v/>
      </c>
      <c r="DQ46" t="str">
        <f t="array" ref="DQ46">IF(ISERROR(INDEX($A$3:$B$14312,SMALL(IF($A$3:$A$14312=DQ$3,ROW($A$3:$A$14312)),ROW(44:44)),2)),"",INDEX($A$3:$B$14312,SMALL(IF($A$3:$A$14312=DQ$3,ROW($A$3:$A$14312)),ROW(44:44)),2))</f>
        <v/>
      </c>
      <c r="DR46" t="str">
        <f t="array" ref="DR46">IF(ISERROR(INDEX($A$3:$B$14312,SMALL(IF($A$3:$A$14312=DR$3,ROW($A$3:$A$14312)),ROW(44:44)),2)),"",INDEX($A$3:$B$14312,SMALL(IF($A$3:$A$14312=DR$3,ROW($A$3:$A$14312)),ROW(44:44)),2))</f>
        <v/>
      </c>
      <c r="DS46" t="str">
        <f t="array" ref="DS46">IF(ISERROR(INDEX($A$3:$B$14312,SMALL(IF($A$3:$A$14312=DS$3,ROW($A$3:$A$14312)),ROW(44:44)),2)),"",INDEX($A$3:$B$14312,SMALL(IF($A$3:$A$14312=DS$3,ROW($A$3:$A$14312)),ROW(44:44)),2))</f>
        <v/>
      </c>
      <c r="DT46" t="str">
        <f t="array" ref="DT46">IF(ISERROR(INDEX($A$3:$B$14312,SMALL(IF($A$3:$A$14312=DT$3,ROW($A$3:$A$14312)),ROW(44:44)),2)),"",INDEX($A$3:$B$14312,SMALL(IF($A$3:$A$14312=DT$3,ROW($A$3:$A$14312)),ROW(44:44)),2))</f>
        <v>Router3_110</v>
      </c>
      <c r="DU46" t="str">
        <f t="array" ref="DU46">IF(ISERROR(INDEX($A$3:$B$14312,SMALL(IF($A$3:$A$14312=DU$3,ROW($A$3:$A$14312)),ROW(44:44)),2)),"",INDEX($A$3:$B$14312,SMALL(IF($A$3:$A$14312=DU$3,ROW($A$3:$A$14312)),ROW(44:44)),2))</f>
        <v>Router3_161</v>
      </c>
      <c r="DV46" t="str">
        <f t="array" ref="DV46">IF(ISERROR(INDEX($A$3:$B$14312,SMALL(IF($A$3:$A$14312=DV$3,ROW($A$3:$A$14312)),ROW(44:44)),2)),"",INDEX($A$3:$B$14312,SMALL(IF($A$3:$A$14312=DV$3,ROW($A$3:$A$14312)),ROW(44:44)),2))</f>
        <v/>
      </c>
      <c r="DW46" t="str">
        <f t="array" ref="DW46">IF(ISERROR(INDEX($A$3:$B$14312,SMALL(IF($A$3:$A$14312=DW$3,ROW($A$3:$A$14312)),ROW(44:44)),2)),"",INDEX($A$3:$B$14312,SMALL(IF($A$3:$A$14312=DW$3,ROW($A$3:$A$14312)),ROW(44:44)),2))</f>
        <v/>
      </c>
      <c r="DX46" t="str">
        <f t="array" ref="DX46">IF(ISERROR(INDEX($A$3:$B$14312,SMALL(IF($A$3:$A$14312=DX$3,ROW($A$3:$A$14312)),ROW(44:44)),2)),"",INDEX($A$3:$B$14312,SMALL(IF($A$3:$A$14312=DX$3,ROW($A$3:$A$14312)),ROW(44:44)),2))</f>
        <v/>
      </c>
      <c r="DY46" t="str">
        <f t="array" ref="DY46">IF(ISERROR(INDEX($A$3:$B$14312,SMALL(IF($A$3:$A$14312=DY$3,ROW($A$3:$A$14312)),ROW(44:44)),2)),"",INDEX($A$3:$B$14312,SMALL(IF($A$3:$A$14312=DY$3,ROW($A$3:$A$14312)),ROW(44:44)),2))</f>
        <v/>
      </c>
      <c r="DZ46" t="str">
        <f t="array" ref="DZ46">IF(ISERROR(INDEX($A$3:$B$14312,SMALL(IF($A$3:$A$14312=DZ$3,ROW($A$3:$A$14312)),ROW(44:44)),2)),"",INDEX($A$3:$B$14312,SMALL(IF($A$3:$A$14312=DZ$3,ROW($A$3:$A$14312)),ROW(44:44)),2))</f>
        <v/>
      </c>
      <c r="EA46" t="str">
        <f t="array" ref="EA46">IF(ISERROR(INDEX($A$3:$B$14312,SMALL(IF($A$3:$A$14312=EA$3,ROW($A$3:$A$14312)),ROW(44:44)),2)),"",INDEX($A$3:$B$14312,SMALL(IF($A$3:$A$14312=EA$3,ROW($A$3:$A$14312)),ROW(44:44)),2))</f>
        <v/>
      </c>
      <c r="EB46" t="str">
        <f t="array" ref="EB46">IF(ISERROR(INDEX($A$3:$B$14312,SMALL(IF($A$3:$A$14312=EB$3,ROW($A$3:$A$14312)),ROW(44:44)),2)),"",INDEX($A$3:$B$14312,SMALL(IF($A$3:$A$14312=EB$3,ROW($A$3:$A$14312)),ROW(44:44)),2))</f>
        <v/>
      </c>
      <c r="EC46" t="str">
        <f t="array" ref="EC46">IF(ISERROR(INDEX($A$3:$B$14312,SMALL(IF($A$3:$A$14312=EC$3,ROW($A$3:$A$14312)),ROW(44:44)),2)),"",INDEX($A$3:$B$14312,SMALL(IF($A$3:$A$14312=EC$3,ROW($A$3:$A$14312)),ROW(44:44)),2))</f>
        <v>Router3_154</v>
      </c>
      <c r="ED46" t="str">
        <f t="array" ref="ED46">IF(ISERROR(INDEX($A$3:$B$14312,SMALL(IF($A$3:$A$14312=ED$3,ROW($A$3:$A$14312)),ROW(44:44)),2)),"",INDEX($A$3:$B$14312,SMALL(IF($A$3:$A$14312=ED$3,ROW($A$3:$A$14312)),ROW(44:44)),2))</f>
        <v/>
      </c>
      <c r="EE46" t="str">
        <f t="array" ref="EE46">IF(ISERROR(INDEX($A$3:$B$14312,SMALL(IF($A$3:$A$14312=EE$3,ROW($A$3:$A$14312)),ROW(44:44)),2)),"",INDEX($A$3:$B$14312,SMALL(IF($A$3:$A$14312=EE$3,ROW($A$3:$A$14312)),ROW(44:44)),2))</f>
        <v/>
      </c>
    </row>
    <row r="47" spans="1:135" x14ac:dyDescent="0.25">
      <c r="A47" s="10">
        <v>-450827381</v>
      </c>
      <c r="B47" t="s">
        <v>1102</v>
      </c>
      <c r="E47" t="str">
        <f t="array" ref="E47">IF(ISERROR(INDEX($A$3:$B$14312,SMALL(IF($A$3:$A$14312=E$3,ROW($A$3:$A$14312)),ROW(45:45)),2)),"",INDEX($A$3:$B$14312,SMALL(IF($A$3:$A$14312=E$3,ROW($A$3:$A$14312)),ROW(45:45)),2))</f>
        <v/>
      </c>
      <c r="F47" t="str">
        <f t="array" ref="F47">IF(ISERROR(INDEX($A$3:$B$14312,SMALL(IF($A$3:$A$14312=F$3,ROW($A$3:$A$14312)),ROW(45:45)),2)),"",INDEX($A$3:$B$14312,SMALL(IF($A$3:$A$14312=F$3,ROW($A$3:$A$14312)),ROW(45:45)),2))</f>
        <v/>
      </c>
      <c r="G47" t="str">
        <f t="array" ref="G47">IF(ISERROR(INDEX($A$3:$B$14312,SMALL(IF($A$3:$A$14312=G$3,ROW($A$3:$A$14312)),ROW(45:45)),2)),"",INDEX($A$3:$B$14312,SMALL(IF($A$3:$A$14312=G$3,ROW($A$3:$A$14312)),ROW(45:45)),2))</f>
        <v/>
      </c>
      <c r="H47" t="str">
        <f t="array" ref="H47">IF(ISERROR(INDEX($A$3:$B$14312,SMALL(IF($A$3:$A$14312=H$3,ROW($A$3:$A$14312)),ROW(45:45)),2)),"",INDEX($A$3:$B$14312,SMALL(IF($A$3:$A$14312=H$3,ROW($A$3:$A$14312)),ROW(45:45)),2))</f>
        <v/>
      </c>
      <c r="I47" t="str">
        <f t="array" ref="I47">IF(ISERROR(INDEX($A$3:$B$14312,SMALL(IF($A$3:$A$14312=I$3,ROW($A$3:$A$14312)),ROW(45:45)),2)),"",INDEX($A$3:$B$14312,SMALL(IF($A$3:$A$14312=I$3,ROW($A$3:$A$14312)),ROW(45:45)),2))</f>
        <v/>
      </c>
      <c r="J47" t="str">
        <f t="array" ref="J47">IF(ISERROR(INDEX($A$3:$B$14312,SMALL(IF($A$3:$A$14312=J$3,ROW($A$3:$A$14312)),ROW(45:45)),2)),"",INDEX($A$3:$B$14312,SMALL(IF($A$3:$A$14312=J$3,ROW($A$3:$A$14312)),ROW(45:45)),2))</f>
        <v/>
      </c>
      <c r="K47" t="str">
        <f t="array" ref="K47">IF(ISERROR(INDEX($A$3:$B$14312,SMALL(IF($A$3:$A$14312=K$3,ROW($A$3:$A$14312)),ROW(45:45)),2)),"",INDEX($A$3:$B$14312,SMALL(IF($A$3:$A$14312=K$3,ROW($A$3:$A$14312)),ROW(45:45)),2))</f>
        <v/>
      </c>
      <c r="L47" t="str">
        <f t="array" ref="L47">IF(ISERROR(INDEX($A$3:$B$14312,SMALL(IF($A$3:$A$14312=L$3,ROW($A$3:$A$14312)),ROW(45:45)),2)),"",INDEX($A$3:$B$14312,SMALL(IF($A$3:$A$14312=L$3,ROW($A$3:$A$14312)),ROW(45:45)),2))</f>
        <v/>
      </c>
      <c r="M47" t="str">
        <f t="array" ref="M47">IF(ISERROR(INDEX($A$3:$B$14312,SMALL(IF($A$3:$A$14312=M$3,ROW($A$3:$A$14312)),ROW(45:45)),2)),"",INDEX($A$3:$B$14312,SMALL(IF($A$3:$A$14312=M$3,ROW($A$3:$A$14312)),ROW(45:45)),2))</f>
        <v/>
      </c>
      <c r="N47" t="str">
        <f t="array" ref="N47">IF(ISERROR(INDEX($A$3:$B$14312,SMALL(IF($A$3:$A$14312=N$3,ROW($A$3:$A$14312)),ROW(45:45)),2)),"",INDEX($A$3:$B$14312,SMALL(IF($A$3:$A$14312=N$3,ROW($A$3:$A$14312)),ROW(45:45)),2))</f>
        <v/>
      </c>
      <c r="O47" t="str">
        <f t="array" ref="O47">IF(ISERROR(INDEX($A$3:$B$14312,SMALL(IF($A$3:$A$14312=O$3,ROW($A$3:$A$14312)),ROW(45:45)),2)),"",INDEX($A$3:$B$14312,SMALL(IF($A$3:$A$14312=O$3,ROW($A$3:$A$14312)),ROW(45:45)),2))</f>
        <v/>
      </c>
      <c r="P47" t="str">
        <f t="array" ref="P47">IF(ISERROR(INDEX($A$3:$B$14312,SMALL(IF($A$3:$A$14312=P$3,ROW($A$3:$A$14312)),ROW(45:45)),2)),"",INDEX($A$3:$B$14312,SMALL(IF($A$3:$A$14312=P$3,ROW($A$3:$A$14312)),ROW(45:45)),2))</f>
        <v/>
      </c>
      <c r="Q47" t="str">
        <f t="array" ref="Q47">IF(ISERROR(INDEX($A$3:$B$14312,SMALL(IF($A$3:$A$14312=Q$3,ROW($A$3:$A$14312)),ROW(45:45)),2)),"",INDEX($A$3:$B$14312,SMALL(IF($A$3:$A$14312=Q$3,ROW($A$3:$A$14312)),ROW(45:45)),2))</f>
        <v/>
      </c>
      <c r="R47" t="str">
        <f t="array" ref="R47">IF(ISERROR(INDEX($A$3:$B$14312,SMALL(IF($A$3:$A$14312=R$3,ROW($A$3:$A$14312)),ROW(45:45)),2)),"",INDEX($A$3:$B$14312,SMALL(IF($A$3:$A$14312=R$3,ROW($A$3:$A$14312)),ROW(45:45)),2))</f>
        <v/>
      </c>
      <c r="S47" t="str">
        <f t="array" ref="S47">IF(ISERROR(INDEX($A$3:$B$14312,SMALL(IF($A$3:$A$14312=S$3,ROW($A$3:$A$14312)),ROW(45:45)),2)),"",INDEX($A$3:$B$14312,SMALL(IF($A$3:$A$14312=S$3,ROW($A$3:$A$14312)),ROW(45:45)),2))</f>
        <v/>
      </c>
      <c r="T47" t="str">
        <f t="array" ref="T47">IF(ISERROR(INDEX($A$3:$B$14312,SMALL(IF($A$3:$A$14312=T$3,ROW($A$3:$A$14312)),ROW(45:45)),2)),"",INDEX($A$3:$B$14312,SMALL(IF($A$3:$A$14312=T$3,ROW($A$3:$A$14312)),ROW(45:45)),2))</f>
        <v/>
      </c>
      <c r="U47" t="str">
        <f t="array" ref="U47">IF(ISERROR(INDEX($A$3:$B$14312,SMALL(IF($A$3:$A$14312=U$3,ROW($A$3:$A$14312)),ROW(45:45)),2)),"",INDEX($A$3:$B$14312,SMALL(IF($A$3:$A$14312=U$3,ROW($A$3:$A$14312)),ROW(45:45)),2))</f>
        <v/>
      </c>
      <c r="V47" t="str">
        <f t="array" ref="V47">IF(ISERROR(INDEX($A$3:$B$14312,SMALL(IF($A$3:$A$14312=V$3,ROW($A$3:$A$14312)),ROW(45:45)),2)),"",INDEX($A$3:$B$14312,SMALL(IF($A$3:$A$14312=V$3,ROW($A$3:$A$14312)),ROW(45:45)),2))</f>
        <v/>
      </c>
      <c r="W47" t="str">
        <f t="array" ref="W47">IF(ISERROR(INDEX($A$3:$B$14312,SMALL(IF($A$3:$A$14312=W$3,ROW($A$3:$A$14312)),ROW(45:45)),2)),"",INDEX($A$3:$B$14312,SMALL(IF($A$3:$A$14312=W$3,ROW($A$3:$A$14312)),ROW(45:45)),2))</f>
        <v>Router3_156</v>
      </c>
      <c r="X47" t="str">
        <f t="array" ref="X47">IF(ISERROR(INDEX($A$3:$B$14312,SMALL(IF($A$3:$A$14312=X$3,ROW($A$3:$A$14312)),ROW(45:45)),2)),"",INDEX($A$3:$B$14312,SMALL(IF($A$3:$A$14312=X$3,ROW($A$3:$A$14312)),ROW(45:45)),2))</f>
        <v/>
      </c>
      <c r="Y47" t="str">
        <f t="array" ref="Y47">IF(ISERROR(INDEX($A$3:$B$14312,SMALL(IF($A$3:$A$14312=Y$3,ROW($A$3:$A$14312)),ROW(45:45)),2)),"",INDEX($A$3:$B$14312,SMALL(IF($A$3:$A$14312=Y$3,ROW($A$3:$A$14312)),ROW(45:45)),2))</f>
        <v/>
      </c>
      <c r="Z47" t="str">
        <f t="array" ref="Z47">IF(ISERROR(INDEX($A$3:$B$14312,SMALL(IF($A$3:$A$14312=Z$3,ROW($A$3:$A$14312)),ROW(45:45)),2)),"",INDEX($A$3:$B$14312,SMALL(IF($A$3:$A$14312=Z$3,ROW($A$3:$A$14312)),ROW(45:45)),2))</f>
        <v/>
      </c>
      <c r="AA47" t="str">
        <f t="array" ref="AA47">IF(ISERROR(INDEX($A$3:$B$14312,SMALL(IF($A$3:$A$14312=AA$3,ROW($A$3:$A$14312)),ROW(45:45)),2)),"",INDEX($A$3:$B$14312,SMALL(IF($A$3:$A$14312=AA$3,ROW($A$3:$A$14312)),ROW(45:45)),2))</f>
        <v/>
      </c>
      <c r="AB47" t="str">
        <f t="array" ref="AB47">IF(ISERROR(INDEX($A$3:$B$14312,SMALL(IF($A$3:$A$14312=AB$3,ROW($A$3:$A$14312)),ROW(45:45)),2)),"",INDEX($A$3:$B$14312,SMALL(IF($A$3:$A$14312=AB$3,ROW($A$3:$A$14312)),ROW(45:45)),2))</f>
        <v/>
      </c>
      <c r="AC47" t="str">
        <f t="array" ref="AC47">IF(ISERROR(INDEX($A$3:$B$14312,SMALL(IF($A$3:$A$14312=AC$3,ROW($A$3:$A$14312)),ROW(45:45)),2)),"",INDEX($A$3:$B$14312,SMALL(IF($A$3:$A$14312=AC$3,ROW($A$3:$A$14312)),ROW(45:45)),2))</f>
        <v/>
      </c>
      <c r="AD47" t="str">
        <f t="array" ref="AD47">IF(ISERROR(INDEX($A$3:$B$14312,SMALL(IF($A$3:$A$14312=AD$3,ROW($A$3:$A$14312)),ROW(45:45)),2)),"",INDEX($A$3:$B$14312,SMALL(IF($A$3:$A$14312=AD$3,ROW($A$3:$A$14312)),ROW(45:45)),2))</f>
        <v/>
      </c>
      <c r="AE47" t="str">
        <f t="array" ref="AE47">IF(ISERROR(INDEX($A$3:$B$14312,SMALL(IF($A$3:$A$14312=AE$3,ROW($A$3:$A$14312)),ROW(45:45)),2)),"",INDEX($A$3:$B$14312,SMALL(IF($A$3:$A$14312=AE$3,ROW($A$3:$A$14312)),ROW(45:45)),2))</f>
        <v/>
      </c>
      <c r="AF47" t="str">
        <f t="array" ref="AF47">IF(ISERROR(INDEX($A$3:$B$14312,SMALL(IF($A$3:$A$14312=AF$3,ROW($A$3:$A$14312)),ROW(45:45)),2)),"",INDEX($A$3:$B$14312,SMALL(IF($A$3:$A$14312=AF$3,ROW($A$3:$A$14312)),ROW(45:45)),2))</f>
        <v/>
      </c>
      <c r="AG47" t="str">
        <f t="array" ref="AG47">IF(ISERROR(INDEX($A$3:$B$14312,SMALL(IF($A$3:$A$14312=AG$3,ROW($A$3:$A$14312)),ROW(45:45)),2)),"",INDEX($A$3:$B$14312,SMALL(IF($A$3:$A$14312=AG$3,ROW($A$3:$A$14312)),ROW(45:45)),2))</f>
        <v/>
      </c>
      <c r="AH47" t="str">
        <f t="array" ref="AH47">IF(ISERROR(INDEX($A$3:$B$14312,SMALL(IF($A$3:$A$14312=AH$3,ROW($A$3:$A$14312)),ROW(45:45)),2)),"",INDEX($A$3:$B$14312,SMALL(IF($A$3:$A$14312=AH$3,ROW($A$3:$A$14312)),ROW(45:45)),2))</f>
        <v/>
      </c>
      <c r="AI47" t="str">
        <f t="array" ref="AI47">IF(ISERROR(INDEX($A$3:$B$14312,SMALL(IF($A$3:$A$14312=AI$3,ROW($A$3:$A$14312)),ROW(45:45)),2)),"",INDEX($A$3:$B$14312,SMALL(IF($A$3:$A$14312=AI$3,ROW($A$3:$A$14312)),ROW(45:45)),2))</f>
        <v/>
      </c>
      <c r="AJ47" t="str">
        <f t="array" ref="AJ47">IF(ISERROR(INDEX($A$3:$B$14312,SMALL(IF($A$3:$A$14312=AJ$3,ROW($A$3:$A$14312)),ROW(45:45)),2)),"",INDEX($A$3:$B$14312,SMALL(IF($A$3:$A$14312=AJ$3,ROW($A$3:$A$14312)),ROW(45:45)),2))</f>
        <v/>
      </c>
      <c r="AK47" t="str">
        <f t="array" ref="AK47">IF(ISERROR(INDEX($A$3:$B$14312,SMALL(IF($A$3:$A$14312=AK$3,ROW($A$3:$A$14312)),ROW(45:45)),2)),"",INDEX($A$3:$B$14312,SMALL(IF($A$3:$A$14312=AK$3,ROW($A$3:$A$14312)),ROW(45:45)),2))</f>
        <v/>
      </c>
      <c r="AL47" t="str">
        <f t="array" ref="AL47">IF(ISERROR(INDEX($A$3:$B$14312,SMALL(IF($A$3:$A$14312=AL$3,ROW($A$3:$A$14312)),ROW(45:45)),2)),"",INDEX($A$3:$B$14312,SMALL(IF($A$3:$A$14312=AL$3,ROW($A$3:$A$14312)),ROW(45:45)),2))</f>
        <v/>
      </c>
      <c r="AM47" t="str">
        <f t="array" ref="AM47">IF(ISERROR(INDEX($A$3:$B$14312,SMALL(IF($A$3:$A$14312=AM$3,ROW($A$3:$A$14312)),ROW(45:45)),2)),"",INDEX($A$3:$B$14312,SMALL(IF($A$3:$A$14312=AM$3,ROW($A$3:$A$14312)),ROW(45:45)),2))</f>
        <v>Router3_88</v>
      </c>
      <c r="AN47" t="str">
        <f t="array" ref="AN47">IF(ISERROR(INDEX($A$3:$B$14312,SMALL(IF($A$3:$A$14312=AN$3,ROW($A$3:$A$14312)),ROW(45:45)),2)),"",INDEX($A$3:$B$14312,SMALL(IF($A$3:$A$14312=AN$3,ROW($A$3:$A$14312)),ROW(45:45)),2))</f>
        <v/>
      </c>
      <c r="AO47" t="str">
        <f t="array" ref="AO47">IF(ISERROR(INDEX($A$3:$B$14312,SMALL(IF($A$3:$A$14312=AO$3,ROW($A$3:$A$14312)),ROW(45:45)),2)),"",INDEX($A$3:$B$14312,SMALL(IF($A$3:$A$14312=AO$3,ROW($A$3:$A$14312)),ROW(45:45)),2))</f>
        <v/>
      </c>
      <c r="AP47" t="str">
        <f t="array" ref="AP47">IF(ISERROR(INDEX($A$3:$B$14312,SMALL(IF($A$3:$A$14312=AP$3,ROW($A$3:$A$14312)),ROW(45:45)),2)),"",INDEX($A$3:$B$14312,SMALL(IF($A$3:$A$14312=AP$3,ROW($A$3:$A$14312)),ROW(45:45)),2))</f>
        <v/>
      </c>
      <c r="AQ47" t="str">
        <f t="array" ref="AQ47">IF(ISERROR(INDEX($A$3:$B$14312,SMALL(IF($A$3:$A$14312=AQ$3,ROW($A$3:$A$14312)),ROW(45:45)),2)),"",INDEX($A$3:$B$14312,SMALL(IF($A$3:$A$14312=AQ$3,ROW($A$3:$A$14312)),ROW(45:45)),2))</f>
        <v/>
      </c>
      <c r="AR47" t="str">
        <f t="array" ref="AR47">IF(ISERROR(INDEX($A$3:$B$14312,SMALL(IF($A$3:$A$14312=AR$3,ROW($A$3:$A$14312)),ROW(45:45)),2)),"",INDEX($A$3:$B$14312,SMALL(IF($A$3:$A$14312=AR$3,ROW($A$3:$A$14312)),ROW(45:45)),2))</f>
        <v/>
      </c>
      <c r="AS47" t="str">
        <f t="array" ref="AS47">IF(ISERROR(INDEX($A$3:$B$14312,SMALL(IF($A$3:$A$14312=AS$3,ROW($A$3:$A$14312)),ROW(45:45)),2)),"",INDEX($A$3:$B$14312,SMALL(IF($A$3:$A$14312=AS$3,ROW($A$3:$A$14312)),ROW(45:45)),2))</f>
        <v/>
      </c>
      <c r="AT47" t="str">
        <f t="array" ref="AT47">IF(ISERROR(INDEX($A$3:$B$14312,SMALL(IF($A$3:$A$14312=AT$3,ROW($A$3:$A$14312)),ROW(45:45)),2)),"",INDEX($A$3:$B$14312,SMALL(IF($A$3:$A$14312=AT$3,ROW($A$3:$A$14312)),ROW(45:45)),2))</f>
        <v/>
      </c>
      <c r="AU47" t="str">
        <f t="array" ref="AU47">IF(ISERROR(INDEX($A$3:$B$14312,SMALL(IF($A$3:$A$14312=AU$3,ROW($A$3:$A$14312)),ROW(45:45)),2)),"",INDEX($A$3:$B$14312,SMALL(IF($A$3:$A$14312=AU$3,ROW($A$3:$A$14312)),ROW(45:45)),2))</f>
        <v/>
      </c>
      <c r="AV47" t="str">
        <f t="array" ref="AV47">IF(ISERROR(INDEX($A$3:$B$14312,SMALL(IF($A$3:$A$14312=AV$3,ROW($A$3:$A$14312)),ROW(45:45)),2)),"",INDEX($A$3:$B$14312,SMALL(IF($A$3:$A$14312=AV$3,ROW($A$3:$A$14312)),ROW(45:45)),2))</f>
        <v/>
      </c>
      <c r="AW47" t="str">
        <f t="array" ref="AW47">IF(ISERROR(INDEX($A$3:$B$14312,SMALL(IF($A$3:$A$14312=AW$3,ROW($A$3:$A$14312)),ROW(45:45)),2)),"",INDEX($A$3:$B$14312,SMALL(IF($A$3:$A$14312=AW$3,ROW($A$3:$A$14312)),ROW(45:45)),2))</f>
        <v/>
      </c>
      <c r="AX47" t="str">
        <f t="array" ref="AX47">IF(ISERROR(INDEX($A$3:$B$14312,SMALL(IF($A$3:$A$14312=AX$3,ROW($A$3:$A$14312)),ROW(45:45)),2)),"",INDEX($A$3:$B$14312,SMALL(IF($A$3:$A$14312=AX$3,ROW($A$3:$A$14312)),ROW(45:45)),2))</f>
        <v/>
      </c>
      <c r="AY47" t="str">
        <f t="array" ref="AY47">IF(ISERROR(INDEX($A$3:$B$14312,SMALL(IF($A$3:$A$14312=AY$3,ROW($A$3:$A$14312)),ROW(45:45)),2)),"",INDEX($A$3:$B$14312,SMALL(IF($A$3:$A$14312=AY$3,ROW($A$3:$A$14312)),ROW(45:45)),2))</f>
        <v/>
      </c>
      <c r="AZ47" t="str">
        <f t="array" ref="AZ47">IF(ISERROR(INDEX($A$3:$B$14312,SMALL(IF($A$3:$A$14312=AZ$3,ROW($A$3:$A$14312)),ROW(45:45)),2)),"",INDEX($A$3:$B$14312,SMALL(IF($A$3:$A$14312=AZ$3,ROW($A$3:$A$14312)),ROW(45:45)),2))</f>
        <v/>
      </c>
      <c r="BA47" t="str">
        <f t="array" ref="BA47">IF(ISERROR(INDEX($A$3:$B$14312,SMALL(IF($A$3:$A$14312=BA$3,ROW($A$3:$A$14312)),ROW(45:45)),2)),"",INDEX($A$3:$B$14312,SMALL(IF($A$3:$A$14312=BA$3,ROW($A$3:$A$14312)),ROW(45:45)),2))</f>
        <v/>
      </c>
      <c r="BB47" t="str">
        <f t="array" ref="BB47">IF(ISERROR(INDEX($A$3:$B$14312,SMALL(IF($A$3:$A$14312=BB$3,ROW($A$3:$A$14312)),ROW(45:45)),2)),"",INDEX($A$3:$B$14312,SMALL(IF($A$3:$A$14312=BB$3,ROW($A$3:$A$14312)),ROW(45:45)),2))</f>
        <v/>
      </c>
      <c r="BC47" t="str">
        <f t="array" ref="BC47">IF(ISERROR(INDEX($A$3:$B$14312,SMALL(IF($A$3:$A$14312=BC$3,ROW($A$3:$A$14312)),ROW(45:45)),2)),"",INDEX($A$3:$B$14312,SMALL(IF($A$3:$A$14312=BC$3,ROW($A$3:$A$14312)),ROW(45:45)),2))</f>
        <v/>
      </c>
      <c r="BD47" t="str">
        <f t="array" ref="BD47">IF(ISERROR(INDEX($A$3:$B$14312,SMALL(IF($A$3:$A$14312=BD$3,ROW($A$3:$A$14312)),ROW(45:45)),2)),"",INDEX($A$3:$B$14312,SMALL(IF($A$3:$A$14312=BD$3,ROW($A$3:$A$14312)),ROW(45:45)),2))</f>
        <v/>
      </c>
      <c r="BE47" t="str">
        <f t="array" ref="BE47">IF(ISERROR(INDEX($A$3:$B$14312,SMALL(IF($A$3:$A$14312=BE$3,ROW($A$3:$A$14312)),ROW(45:45)),2)),"",INDEX($A$3:$B$14312,SMALL(IF($A$3:$A$14312=BE$3,ROW($A$3:$A$14312)),ROW(45:45)),2))</f>
        <v/>
      </c>
      <c r="BF47" t="str">
        <f t="array" ref="BF47">IF(ISERROR(INDEX($A$3:$B$14312,SMALL(IF($A$3:$A$14312=BF$3,ROW($A$3:$A$14312)),ROW(45:45)),2)),"",INDEX($A$3:$B$14312,SMALL(IF($A$3:$A$14312=BF$3,ROW($A$3:$A$14312)),ROW(45:45)),2))</f>
        <v/>
      </c>
      <c r="BG47" t="str">
        <f t="array" ref="BG47">IF(ISERROR(INDEX($A$3:$B$14312,SMALL(IF($A$3:$A$14312=BG$3,ROW($A$3:$A$14312)),ROW(45:45)),2)),"",INDEX($A$3:$B$14312,SMALL(IF($A$3:$A$14312=BG$3,ROW($A$3:$A$14312)),ROW(45:45)),2))</f>
        <v/>
      </c>
      <c r="BH47" t="str">
        <f t="array" ref="BH47">IF(ISERROR(INDEX($A$3:$B$14312,SMALL(IF($A$3:$A$14312=BH$3,ROW($A$3:$A$14312)),ROW(45:45)),2)),"",INDEX($A$3:$B$14312,SMALL(IF($A$3:$A$14312=BH$3,ROW($A$3:$A$14312)),ROW(45:45)),2))</f>
        <v/>
      </c>
      <c r="BI47" t="str">
        <f t="array" ref="BI47">IF(ISERROR(INDEX($A$3:$B$14312,SMALL(IF($A$3:$A$14312=BI$3,ROW($A$3:$A$14312)),ROW(45:45)),2)),"",INDEX($A$3:$B$14312,SMALL(IF($A$3:$A$14312=BI$3,ROW($A$3:$A$14312)),ROW(45:45)),2))</f>
        <v/>
      </c>
      <c r="BJ47" t="str">
        <f t="array" ref="BJ47">IF(ISERROR(INDEX($A$3:$B$14312,SMALL(IF($A$3:$A$14312=BJ$3,ROW($A$3:$A$14312)),ROW(45:45)),2)),"",INDEX($A$3:$B$14312,SMALL(IF($A$3:$A$14312=BJ$3,ROW($A$3:$A$14312)),ROW(45:45)),2))</f>
        <v/>
      </c>
      <c r="BK47" t="str">
        <f t="array" ref="BK47">IF(ISERROR(INDEX($A$3:$B$14312,SMALL(IF($A$3:$A$14312=BK$3,ROW($A$3:$A$14312)),ROW(45:45)),2)),"",INDEX($A$3:$B$14312,SMALL(IF($A$3:$A$14312=BK$3,ROW($A$3:$A$14312)),ROW(45:45)),2))</f>
        <v/>
      </c>
      <c r="BL47" t="str">
        <f t="array" ref="BL47">IF(ISERROR(INDEX($A$3:$B$14312,SMALL(IF($A$3:$A$14312=BL$3,ROW($A$3:$A$14312)),ROW(45:45)),2)),"",INDEX($A$3:$B$14312,SMALL(IF($A$3:$A$14312=BL$3,ROW($A$3:$A$14312)),ROW(45:45)),2))</f>
        <v/>
      </c>
      <c r="BM47" t="str">
        <f t="array" ref="BM47">IF(ISERROR(INDEX($A$3:$B$14312,SMALL(IF($A$3:$A$14312=BM$3,ROW($A$3:$A$14312)),ROW(45:45)),2)),"",INDEX($A$3:$B$14312,SMALL(IF($A$3:$A$14312=BM$3,ROW($A$3:$A$14312)),ROW(45:45)),2))</f>
        <v/>
      </c>
      <c r="BN47" t="str">
        <f t="array" ref="BN47">IF(ISERROR(INDEX($A$3:$B$14312,SMALL(IF($A$3:$A$14312=BN$3,ROW($A$3:$A$14312)),ROW(45:45)),2)),"",INDEX($A$3:$B$14312,SMALL(IF($A$3:$A$14312=BN$3,ROW($A$3:$A$14312)),ROW(45:45)),2))</f>
        <v/>
      </c>
      <c r="BO47" t="str">
        <f t="array" ref="BO47">IF(ISERROR(INDEX($A$3:$B$14312,SMALL(IF($A$3:$A$14312=BO$3,ROW($A$3:$A$14312)),ROW(45:45)),2)),"",INDEX($A$3:$B$14312,SMALL(IF($A$3:$A$14312=BO$3,ROW($A$3:$A$14312)),ROW(45:45)),2))</f>
        <v/>
      </c>
      <c r="BP47" t="str">
        <f t="array" ref="BP47">IF(ISERROR(INDEX($A$3:$B$14312,SMALL(IF($A$3:$A$14312=BP$3,ROW($A$3:$A$14312)),ROW(45:45)),2)),"",INDEX($A$3:$B$14312,SMALL(IF($A$3:$A$14312=BP$3,ROW($A$3:$A$14312)),ROW(45:45)),2))</f>
        <v/>
      </c>
      <c r="BQ47" t="str">
        <f t="array" ref="BQ47">IF(ISERROR(INDEX($A$3:$B$14312,SMALL(IF($A$3:$A$14312=BQ$3,ROW($A$3:$A$14312)),ROW(45:45)),2)),"",INDEX($A$3:$B$14312,SMALL(IF($A$3:$A$14312=BQ$3,ROW($A$3:$A$14312)),ROW(45:45)),2))</f>
        <v/>
      </c>
      <c r="BR47" t="str">
        <f t="array" ref="BR47">IF(ISERROR(INDEX($A$3:$B$14312,SMALL(IF($A$3:$A$14312=BR$3,ROW($A$3:$A$14312)),ROW(45:45)),2)),"",INDEX($A$3:$B$14312,SMALL(IF($A$3:$A$14312=BR$3,ROW($A$3:$A$14312)),ROW(45:45)),2))</f>
        <v/>
      </c>
      <c r="BS47" t="str">
        <f t="array" ref="BS47">IF(ISERROR(INDEX($A$3:$B$14312,SMALL(IF($A$3:$A$14312=BS$3,ROW($A$3:$A$14312)),ROW(45:45)),2)),"",INDEX($A$3:$B$14312,SMALL(IF($A$3:$A$14312=BS$3,ROW($A$3:$A$14312)),ROW(45:45)),2))</f>
        <v/>
      </c>
      <c r="BT47" t="str">
        <f t="array" ref="BT47">IF(ISERROR(INDEX($A$3:$B$14312,SMALL(IF($A$3:$A$14312=BT$3,ROW($A$3:$A$14312)),ROW(45:45)),2)),"",INDEX($A$3:$B$14312,SMALL(IF($A$3:$A$14312=BT$3,ROW($A$3:$A$14312)),ROW(45:45)),2))</f>
        <v>Router3_146</v>
      </c>
      <c r="BU47" t="str">
        <f t="array" ref="BU47">IF(ISERROR(INDEX($A$3:$B$14312,SMALL(IF($A$3:$A$14312=BU$3,ROW($A$3:$A$14312)),ROW(45:45)),2)),"",INDEX($A$3:$B$14312,SMALL(IF($A$3:$A$14312=BU$3,ROW($A$3:$A$14312)),ROW(45:45)),2))</f>
        <v/>
      </c>
      <c r="BV47" t="str">
        <f t="array" ref="BV47">IF(ISERROR(INDEX($A$3:$B$14312,SMALL(IF($A$3:$A$14312=BV$3,ROW($A$3:$A$14312)),ROW(45:45)),2)),"",INDEX($A$3:$B$14312,SMALL(IF($A$3:$A$14312=BV$3,ROW($A$3:$A$14312)),ROW(45:45)),2))</f>
        <v/>
      </c>
      <c r="BW47" t="str">
        <f t="array" ref="BW47">IF(ISERROR(INDEX($A$3:$B$14312,SMALL(IF($A$3:$A$14312=BW$3,ROW($A$3:$A$14312)),ROW(45:45)),2)),"",INDEX($A$3:$B$14312,SMALL(IF($A$3:$A$14312=BW$3,ROW($A$3:$A$14312)),ROW(45:45)),2))</f>
        <v/>
      </c>
      <c r="BX47" t="str">
        <f t="array" ref="BX47">IF(ISERROR(INDEX($A$3:$B$14312,SMALL(IF($A$3:$A$14312=BX$3,ROW($A$3:$A$14312)),ROW(45:45)),2)),"",INDEX($A$3:$B$14312,SMALL(IF($A$3:$A$14312=BX$3,ROW($A$3:$A$14312)),ROW(45:45)),2))</f>
        <v/>
      </c>
      <c r="BY47" t="str">
        <f t="array" ref="BY47">IF(ISERROR(INDEX($A$3:$B$14312,SMALL(IF($A$3:$A$14312=BY$3,ROW($A$3:$A$14312)),ROW(45:45)),2)),"",INDEX($A$3:$B$14312,SMALL(IF($A$3:$A$14312=BY$3,ROW($A$3:$A$14312)),ROW(45:45)),2))</f>
        <v/>
      </c>
      <c r="BZ47" t="str">
        <f t="array" ref="BZ47">IF(ISERROR(INDEX($A$3:$B$14312,SMALL(IF($A$3:$A$14312=BZ$3,ROW($A$3:$A$14312)),ROW(45:45)),2)),"",INDEX($A$3:$B$14312,SMALL(IF($A$3:$A$14312=BZ$3,ROW($A$3:$A$14312)),ROW(45:45)),2))</f>
        <v/>
      </c>
      <c r="CA47" t="str">
        <f t="array" ref="CA47">IF(ISERROR(INDEX($A$3:$B$14312,SMALL(IF($A$3:$A$14312=CA$3,ROW($A$3:$A$14312)),ROW(45:45)),2)),"",INDEX($A$3:$B$14312,SMALL(IF($A$3:$A$14312=CA$3,ROW($A$3:$A$14312)),ROW(45:45)),2))</f>
        <v/>
      </c>
      <c r="CB47" t="str">
        <f t="array" ref="CB47">IF(ISERROR(INDEX($A$3:$B$14312,SMALL(IF($A$3:$A$14312=CB$3,ROW($A$3:$A$14312)),ROW(45:45)),2)),"",INDEX($A$3:$B$14312,SMALL(IF($A$3:$A$14312=CB$3,ROW($A$3:$A$14312)),ROW(45:45)),2))</f>
        <v/>
      </c>
      <c r="CC47" t="str">
        <f t="array" ref="CC47">IF(ISERROR(INDEX($A$3:$B$14312,SMALL(IF($A$3:$A$14312=CC$3,ROW($A$3:$A$14312)),ROW(45:45)),2)),"",INDEX($A$3:$B$14312,SMALL(IF($A$3:$A$14312=CC$3,ROW($A$3:$A$14312)),ROW(45:45)),2))</f>
        <v/>
      </c>
      <c r="CD47" t="str">
        <f t="array" ref="CD47">IF(ISERROR(INDEX($A$3:$B$14312,SMALL(IF($A$3:$A$14312=CD$3,ROW($A$3:$A$14312)),ROW(45:45)),2)),"",INDEX($A$3:$B$14312,SMALL(IF($A$3:$A$14312=CD$3,ROW($A$3:$A$14312)),ROW(45:45)),2))</f>
        <v/>
      </c>
      <c r="CE47" t="str">
        <f t="array" ref="CE47">IF(ISERROR(INDEX($A$3:$B$14312,SMALL(IF($A$3:$A$14312=CE$3,ROW($A$3:$A$14312)),ROW(45:45)),2)),"",INDEX($A$3:$B$14312,SMALL(IF($A$3:$A$14312=CE$3,ROW($A$3:$A$14312)),ROW(45:45)),2))</f>
        <v/>
      </c>
      <c r="CF47" t="str">
        <f t="array" ref="CF47">IF(ISERROR(INDEX($A$3:$B$14312,SMALL(IF($A$3:$A$14312=CF$3,ROW($A$3:$A$14312)),ROW(45:45)),2)),"",INDEX($A$3:$B$14312,SMALL(IF($A$3:$A$14312=CF$3,ROW($A$3:$A$14312)),ROW(45:45)),2))</f>
        <v/>
      </c>
      <c r="CG47" t="str">
        <f t="array" ref="CG47">IF(ISERROR(INDEX($A$3:$B$14312,SMALL(IF($A$3:$A$14312=CG$3,ROW($A$3:$A$14312)),ROW(45:45)),2)),"",INDEX($A$3:$B$14312,SMALL(IF($A$3:$A$14312=CG$3,ROW($A$3:$A$14312)),ROW(45:45)),2))</f>
        <v/>
      </c>
      <c r="CH47" t="str">
        <f t="array" ref="CH47">IF(ISERROR(INDEX($A$3:$B$14312,SMALL(IF($A$3:$A$14312=CH$3,ROW($A$3:$A$14312)),ROW(45:45)),2)),"",INDEX($A$3:$B$14312,SMALL(IF($A$3:$A$14312=CH$3,ROW($A$3:$A$14312)),ROW(45:45)),2))</f>
        <v/>
      </c>
      <c r="CI47" t="str">
        <f t="array" ref="CI47">IF(ISERROR(INDEX($A$3:$B$14312,SMALL(IF($A$3:$A$14312=CI$3,ROW($A$3:$A$14312)),ROW(45:45)),2)),"",INDEX($A$3:$B$14312,SMALL(IF($A$3:$A$14312=CI$3,ROW($A$3:$A$14312)),ROW(45:45)),2))</f>
        <v/>
      </c>
      <c r="CJ47" t="str">
        <f t="array" ref="CJ47">IF(ISERROR(INDEX($A$3:$B$14312,SMALL(IF($A$3:$A$14312=CJ$3,ROW($A$3:$A$14312)),ROW(45:45)),2)),"",INDEX($A$3:$B$14312,SMALL(IF($A$3:$A$14312=CJ$3,ROW($A$3:$A$14312)),ROW(45:45)),2))</f>
        <v/>
      </c>
      <c r="CK47" t="str">
        <f t="array" ref="CK47">IF(ISERROR(INDEX($A$3:$B$14312,SMALL(IF($A$3:$A$14312=CK$3,ROW($A$3:$A$14312)),ROW(45:45)),2)),"",INDEX($A$3:$B$14312,SMALL(IF($A$3:$A$14312=CK$3,ROW($A$3:$A$14312)),ROW(45:45)),2))</f>
        <v/>
      </c>
      <c r="CL47" t="str">
        <f t="array" ref="CL47">IF(ISERROR(INDEX($A$3:$B$14312,SMALL(IF($A$3:$A$14312=CL$3,ROW($A$3:$A$14312)),ROW(45:45)),2)),"",INDEX($A$3:$B$14312,SMALL(IF($A$3:$A$14312=CL$3,ROW($A$3:$A$14312)),ROW(45:45)),2))</f>
        <v/>
      </c>
      <c r="CM47" t="str">
        <f t="array" ref="CM47">IF(ISERROR(INDEX($A$3:$B$14312,SMALL(IF($A$3:$A$14312=CM$3,ROW($A$3:$A$14312)),ROW(45:45)),2)),"",INDEX($A$3:$B$14312,SMALL(IF($A$3:$A$14312=CM$3,ROW($A$3:$A$14312)),ROW(45:45)),2))</f>
        <v/>
      </c>
      <c r="CN47" t="str">
        <f t="array" ref="CN47">IF(ISERROR(INDEX($A$3:$B$14312,SMALL(IF($A$3:$A$14312=CN$3,ROW($A$3:$A$14312)),ROW(45:45)),2)),"",INDEX($A$3:$B$14312,SMALL(IF($A$3:$A$14312=CN$3,ROW($A$3:$A$14312)),ROW(45:45)),2))</f>
        <v/>
      </c>
      <c r="CO47" t="str">
        <f t="array" ref="CO47">IF(ISERROR(INDEX($A$3:$B$14312,SMALL(IF($A$3:$A$14312=CO$3,ROW($A$3:$A$14312)),ROW(45:45)),2)),"",INDEX($A$3:$B$14312,SMALL(IF($A$3:$A$14312=CO$3,ROW($A$3:$A$14312)),ROW(45:45)),2))</f>
        <v/>
      </c>
      <c r="CP47" t="str">
        <f t="array" ref="CP47">IF(ISERROR(INDEX($A$3:$B$14312,SMALL(IF($A$3:$A$14312=CP$3,ROW($A$3:$A$14312)),ROW(45:45)),2)),"",INDEX($A$3:$B$14312,SMALL(IF($A$3:$A$14312=CP$3,ROW($A$3:$A$14312)),ROW(45:45)),2))</f>
        <v/>
      </c>
      <c r="CQ47" t="str">
        <f t="array" ref="CQ47">IF(ISERROR(INDEX($A$3:$B$14312,SMALL(IF($A$3:$A$14312=CQ$3,ROW($A$3:$A$14312)),ROW(45:45)),2)),"",INDEX($A$3:$B$14312,SMALL(IF($A$3:$A$14312=CQ$3,ROW($A$3:$A$14312)),ROW(45:45)),2))</f>
        <v/>
      </c>
      <c r="CR47" t="str">
        <f t="array" ref="CR47">IF(ISERROR(INDEX($A$3:$B$14312,SMALL(IF($A$3:$A$14312=CR$3,ROW($A$3:$A$14312)),ROW(45:45)),2)),"",INDEX($A$3:$B$14312,SMALL(IF($A$3:$A$14312=CR$3,ROW($A$3:$A$14312)),ROW(45:45)),2))</f>
        <v/>
      </c>
      <c r="CS47" t="str">
        <f t="array" ref="CS47">IF(ISERROR(INDEX($A$3:$B$14312,SMALL(IF($A$3:$A$14312=CS$3,ROW($A$3:$A$14312)),ROW(45:45)),2)),"",INDEX($A$3:$B$14312,SMALL(IF($A$3:$A$14312=CS$3,ROW($A$3:$A$14312)),ROW(45:45)),2))</f>
        <v/>
      </c>
      <c r="CT47" t="str">
        <f t="array" ref="CT47">IF(ISERROR(INDEX($A$3:$B$14312,SMALL(IF($A$3:$A$14312=CT$3,ROW($A$3:$A$14312)),ROW(45:45)),2)),"",INDEX($A$3:$B$14312,SMALL(IF($A$3:$A$14312=CT$3,ROW($A$3:$A$14312)),ROW(45:45)),2))</f>
        <v/>
      </c>
      <c r="CU47" t="str">
        <f t="array" ref="CU47">IF(ISERROR(INDEX($A$3:$B$14312,SMALL(IF($A$3:$A$14312=CU$3,ROW($A$3:$A$14312)),ROW(45:45)),2)),"",INDEX($A$3:$B$14312,SMALL(IF($A$3:$A$14312=CU$3,ROW($A$3:$A$14312)),ROW(45:45)),2))</f>
        <v/>
      </c>
      <c r="CV47" t="str">
        <f t="array" ref="CV47">IF(ISERROR(INDEX($A$3:$B$14312,SMALL(IF($A$3:$A$14312=CV$3,ROW($A$3:$A$14312)),ROW(45:45)),2)),"",INDEX($A$3:$B$14312,SMALL(IF($A$3:$A$14312=CV$3,ROW($A$3:$A$14312)),ROW(45:45)),2))</f>
        <v/>
      </c>
      <c r="CW47" t="str">
        <f t="array" ref="CW47">IF(ISERROR(INDEX($A$3:$B$14312,SMALL(IF($A$3:$A$14312=CW$3,ROW($A$3:$A$14312)),ROW(45:45)),2)),"",INDEX($A$3:$B$14312,SMALL(IF($A$3:$A$14312=CW$3,ROW($A$3:$A$14312)),ROW(45:45)),2))</f>
        <v/>
      </c>
      <c r="CX47" t="str">
        <f t="array" ref="CX47">IF(ISERROR(INDEX($A$3:$B$14312,SMALL(IF($A$3:$A$14312=CX$3,ROW($A$3:$A$14312)),ROW(45:45)),2)),"",INDEX($A$3:$B$14312,SMALL(IF($A$3:$A$14312=CX$3,ROW($A$3:$A$14312)),ROW(45:45)),2))</f>
        <v/>
      </c>
      <c r="CY47" t="str">
        <f t="array" ref="CY47">IF(ISERROR(INDEX($A$3:$B$14312,SMALL(IF($A$3:$A$14312=CY$3,ROW($A$3:$A$14312)),ROW(45:45)),2)),"",INDEX($A$3:$B$14312,SMALL(IF($A$3:$A$14312=CY$3,ROW($A$3:$A$14312)),ROW(45:45)),2))</f>
        <v/>
      </c>
      <c r="CZ47" t="str">
        <f t="array" ref="CZ47">IF(ISERROR(INDEX($A$3:$B$14312,SMALL(IF($A$3:$A$14312=CZ$3,ROW($A$3:$A$14312)),ROW(45:45)),2)),"",INDEX($A$3:$B$14312,SMALL(IF($A$3:$A$14312=CZ$3,ROW($A$3:$A$14312)),ROW(45:45)),2))</f>
        <v/>
      </c>
      <c r="DA47" t="str">
        <f t="array" ref="DA47">IF(ISERROR(INDEX($A$3:$B$14312,SMALL(IF($A$3:$A$14312=DA$3,ROW($A$3:$A$14312)),ROW(45:45)),2)),"",INDEX($A$3:$B$14312,SMALL(IF($A$3:$A$14312=DA$3,ROW($A$3:$A$14312)),ROW(45:45)),2))</f>
        <v/>
      </c>
      <c r="DB47" t="str">
        <f t="array" ref="DB47">IF(ISERROR(INDEX($A$3:$B$14312,SMALL(IF($A$3:$A$14312=DB$3,ROW($A$3:$A$14312)),ROW(45:45)),2)),"",INDEX($A$3:$B$14312,SMALL(IF($A$3:$A$14312=DB$3,ROW($A$3:$A$14312)),ROW(45:45)),2))</f>
        <v/>
      </c>
      <c r="DC47" t="str">
        <f t="array" ref="DC47">IF(ISERROR(INDEX($A$3:$B$14312,SMALL(IF($A$3:$A$14312=DC$3,ROW($A$3:$A$14312)),ROW(45:45)),2)),"",INDEX($A$3:$B$14312,SMALL(IF($A$3:$A$14312=DC$3,ROW($A$3:$A$14312)),ROW(45:45)),2))</f>
        <v/>
      </c>
      <c r="DD47" t="str">
        <f t="array" ref="DD47">IF(ISERROR(INDEX($A$3:$B$14312,SMALL(IF($A$3:$A$14312=DD$3,ROW($A$3:$A$14312)),ROW(45:45)),2)),"",INDEX($A$3:$B$14312,SMALL(IF($A$3:$A$14312=DD$3,ROW($A$3:$A$14312)),ROW(45:45)),2))</f>
        <v/>
      </c>
      <c r="DE47" t="str">
        <f t="array" ref="DE47">IF(ISERROR(INDEX($A$3:$B$14312,SMALL(IF($A$3:$A$14312=DE$3,ROW($A$3:$A$14312)),ROW(45:45)),2)),"",INDEX($A$3:$B$14312,SMALL(IF($A$3:$A$14312=DE$3,ROW($A$3:$A$14312)),ROW(45:45)),2))</f>
        <v/>
      </c>
      <c r="DF47" t="str">
        <f t="array" ref="DF47">IF(ISERROR(INDEX($A$3:$B$14312,SMALL(IF($A$3:$A$14312=DF$3,ROW($A$3:$A$14312)),ROW(45:45)),2)),"",INDEX($A$3:$B$14312,SMALL(IF($A$3:$A$14312=DF$3,ROW($A$3:$A$14312)),ROW(45:45)),2))</f>
        <v/>
      </c>
      <c r="DG47" t="str">
        <f t="array" ref="DG47">IF(ISERROR(INDEX($A$3:$B$14312,SMALL(IF($A$3:$A$14312=DG$3,ROW($A$3:$A$14312)),ROW(45:45)),2)),"",INDEX($A$3:$B$14312,SMALL(IF($A$3:$A$14312=DG$3,ROW($A$3:$A$14312)),ROW(45:45)),2))</f>
        <v/>
      </c>
      <c r="DH47" t="str">
        <f t="array" ref="DH47">IF(ISERROR(INDEX($A$3:$B$14312,SMALL(IF($A$3:$A$14312=DH$3,ROW($A$3:$A$14312)),ROW(45:45)),2)),"",INDEX($A$3:$B$14312,SMALL(IF($A$3:$A$14312=DH$3,ROW($A$3:$A$14312)),ROW(45:45)),2))</f>
        <v/>
      </c>
      <c r="DI47" t="str">
        <f t="array" ref="DI47">IF(ISERROR(INDEX($A$3:$B$14312,SMALL(IF($A$3:$A$14312=DI$3,ROW($A$3:$A$14312)),ROW(45:45)),2)),"",INDEX($A$3:$B$14312,SMALL(IF($A$3:$A$14312=DI$3,ROW($A$3:$A$14312)),ROW(45:45)),2))</f>
        <v>Router3_111</v>
      </c>
      <c r="DJ47" t="str">
        <f t="array" ref="DJ47">IF(ISERROR(INDEX($A$3:$B$14312,SMALL(IF($A$3:$A$14312=DJ$3,ROW($A$3:$A$14312)),ROW(45:45)),2)),"",INDEX($A$3:$B$14312,SMALL(IF($A$3:$A$14312=DJ$3,ROW($A$3:$A$14312)),ROW(45:45)),2))</f>
        <v/>
      </c>
      <c r="DK47" t="str">
        <f t="array" ref="DK47">IF(ISERROR(INDEX($A$3:$B$14312,SMALL(IF($A$3:$A$14312=DK$3,ROW($A$3:$A$14312)),ROW(45:45)),2)),"",INDEX($A$3:$B$14312,SMALL(IF($A$3:$A$14312=DK$3,ROW($A$3:$A$14312)),ROW(45:45)),2))</f>
        <v/>
      </c>
      <c r="DL47" t="str">
        <f t="array" ref="DL47">IF(ISERROR(INDEX($A$3:$B$14312,SMALL(IF($A$3:$A$14312=DL$3,ROW($A$3:$A$14312)),ROW(45:45)),2)),"",INDEX($A$3:$B$14312,SMALL(IF($A$3:$A$14312=DL$3,ROW($A$3:$A$14312)),ROW(45:45)),2))</f>
        <v/>
      </c>
      <c r="DM47" t="str">
        <f t="array" ref="DM47">IF(ISERROR(INDEX($A$3:$B$14312,SMALL(IF($A$3:$A$14312=DM$3,ROW($A$3:$A$14312)),ROW(45:45)),2)),"",INDEX($A$3:$B$14312,SMALL(IF($A$3:$A$14312=DM$3,ROW($A$3:$A$14312)),ROW(45:45)),2))</f>
        <v/>
      </c>
      <c r="DN47" t="str">
        <f t="array" ref="DN47">IF(ISERROR(INDEX($A$3:$B$14312,SMALL(IF($A$3:$A$14312=DN$3,ROW($A$3:$A$14312)),ROW(45:45)),2)),"",INDEX($A$3:$B$14312,SMALL(IF($A$3:$A$14312=DN$3,ROW($A$3:$A$14312)),ROW(45:45)),2))</f>
        <v/>
      </c>
      <c r="DO47" t="str">
        <f t="array" ref="DO47">IF(ISERROR(INDEX($A$3:$B$14312,SMALL(IF($A$3:$A$14312=DO$3,ROW($A$3:$A$14312)),ROW(45:45)),2)),"",INDEX($A$3:$B$14312,SMALL(IF($A$3:$A$14312=DO$3,ROW($A$3:$A$14312)),ROW(45:45)),2))</f>
        <v/>
      </c>
      <c r="DP47" t="str">
        <f t="array" ref="DP47">IF(ISERROR(INDEX($A$3:$B$14312,SMALL(IF($A$3:$A$14312=DP$3,ROW($A$3:$A$14312)),ROW(45:45)),2)),"",INDEX($A$3:$B$14312,SMALL(IF($A$3:$A$14312=DP$3,ROW($A$3:$A$14312)),ROW(45:45)),2))</f>
        <v/>
      </c>
      <c r="DQ47" t="str">
        <f t="array" ref="DQ47">IF(ISERROR(INDEX($A$3:$B$14312,SMALL(IF($A$3:$A$14312=DQ$3,ROW($A$3:$A$14312)),ROW(45:45)),2)),"",INDEX($A$3:$B$14312,SMALL(IF($A$3:$A$14312=DQ$3,ROW($A$3:$A$14312)),ROW(45:45)),2))</f>
        <v/>
      </c>
      <c r="DR47" t="str">
        <f t="array" ref="DR47">IF(ISERROR(INDEX($A$3:$B$14312,SMALL(IF($A$3:$A$14312=DR$3,ROW($A$3:$A$14312)),ROW(45:45)),2)),"",INDEX($A$3:$B$14312,SMALL(IF($A$3:$A$14312=DR$3,ROW($A$3:$A$14312)),ROW(45:45)),2))</f>
        <v/>
      </c>
      <c r="DS47" t="str">
        <f t="array" ref="DS47">IF(ISERROR(INDEX($A$3:$B$14312,SMALL(IF($A$3:$A$14312=DS$3,ROW($A$3:$A$14312)),ROW(45:45)),2)),"",INDEX($A$3:$B$14312,SMALL(IF($A$3:$A$14312=DS$3,ROW($A$3:$A$14312)),ROW(45:45)),2))</f>
        <v/>
      </c>
      <c r="DT47" t="str">
        <f t="array" ref="DT47">IF(ISERROR(INDEX($A$3:$B$14312,SMALL(IF($A$3:$A$14312=DT$3,ROW($A$3:$A$14312)),ROW(45:45)),2)),"",INDEX($A$3:$B$14312,SMALL(IF($A$3:$A$14312=DT$3,ROW($A$3:$A$14312)),ROW(45:45)),2))</f>
        <v>Router3_111</v>
      </c>
      <c r="DU47" t="str">
        <f t="array" ref="DU47">IF(ISERROR(INDEX($A$3:$B$14312,SMALL(IF($A$3:$A$14312=DU$3,ROW($A$3:$A$14312)),ROW(45:45)),2)),"",INDEX($A$3:$B$14312,SMALL(IF($A$3:$A$14312=DU$3,ROW($A$3:$A$14312)),ROW(45:45)),2))</f>
        <v>Router3_162</v>
      </c>
      <c r="DV47" t="str">
        <f t="array" ref="DV47">IF(ISERROR(INDEX($A$3:$B$14312,SMALL(IF($A$3:$A$14312=DV$3,ROW($A$3:$A$14312)),ROW(45:45)),2)),"",INDEX($A$3:$B$14312,SMALL(IF($A$3:$A$14312=DV$3,ROW($A$3:$A$14312)),ROW(45:45)),2))</f>
        <v/>
      </c>
      <c r="DW47" t="str">
        <f t="array" ref="DW47">IF(ISERROR(INDEX($A$3:$B$14312,SMALL(IF($A$3:$A$14312=DW$3,ROW($A$3:$A$14312)),ROW(45:45)),2)),"",INDEX($A$3:$B$14312,SMALL(IF($A$3:$A$14312=DW$3,ROW($A$3:$A$14312)),ROW(45:45)),2))</f>
        <v/>
      </c>
      <c r="DX47" t="str">
        <f t="array" ref="DX47">IF(ISERROR(INDEX($A$3:$B$14312,SMALL(IF($A$3:$A$14312=DX$3,ROW($A$3:$A$14312)),ROW(45:45)),2)),"",INDEX($A$3:$B$14312,SMALL(IF($A$3:$A$14312=DX$3,ROW($A$3:$A$14312)),ROW(45:45)),2))</f>
        <v/>
      </c>
      <c r="DY47" t="str">
        <f t="array" ref="DY47">IF(ISERROR(INDEX($A$3:$B$14312,SMALL(IF($A$3:$A$14312=DY$3,ROW($A$3:$A$14312)),ROW(45:45)),2)),"",INDEX($A$3:$B$14312,SMALL(IF($A$3:$A$14312=DY$3,ROW($A$3:$A$14312)),ROW(45:45)),2))</f>
        <v/>
      </c>
      <c r="DZ47" t="str">
        <f t="array" ref="DZ47">IF(ISERROR(INDEX($A$3:$B$14312,SMALL(IF($A$3:$A$14312=DZ$3,ROW($A$3:$A$14312)),ROW(45:45)),2)),"",INDEX($A$3:$B$14312,SMALL(IF($A$3:$A$14312=DZ$3,ROW($A$3:$A$14312)),ROW(45:45)),2))</f>
        <v/>
      </c>
      <c r="EA47" t="str">
        <f t="array" ref="EA47">IF(ISERROR(INDEX($A$3:$B$14312,SMALL(IF($A$3:$A$14312=EA$3,ROW($A$3:$A$14312)),ROW(45:45)),2)),"",INDEX($A$3:$B$14312,SMALL(IF($A$3:$A$14312=EA$3,ROW($A$3:$A$14312)),ROW(45:45)),2))</f>
        <v/>
      </c>
      <c r="EB47" t="str">
        <f t="array" ref="EB47">IF(ISERROR(INDEX($A$3:$B$14312,SMALL(IF($A$3:$A$14312=EB$3,ROW($A$3:$A$14312)),ROW(45:45)),2)),"",INDEX($A$3:$B$14312,SMALL(IF($A$3:$A$14312=EB$3,ROW($A$3:$A$14312)),ROW(45:45)),2))</f>
        <v/>
      </c>
      <c r="EC47" t="str">
        <f t="array" ref="EC47">IF(ISERROR(INDEX($A$3:$B$14312,SMALL(IF($A$3:$A$14312=EC$3,ROW($A$3:$A$14312)),ROW(45:45)),2)),"",INDEX($A$3:$B$14312,SMALL(IF($A$3:$A$14312=EC$3,ROW($A$3:$A$14312)),ROW(45:45)),2))</f>
        <v>Router3_155</v>
      </c>
      <c r="ED47" t="str">
        <f t="array" ref="ED47">IF(ISERROR(INDEX($A$3:$B$14312,SMALL(IF($A$3:$A$14312=ED$3,ROW($A$3:$A$14312)),ROW(45:45)),2)),"",INDEX($A$3:$B$14312,SMALL(IF($A$3:$A$14312=ED$3,ROW($A$3:$A$14312)),ROW(45:45)),2))</f>
        <v/>
      </c>
      <c r="EE47" t="str">
        <f t="array" ref="EE47">IF(ISERROR(INDEX($A$3:$B$14312,SMALL(IF($A$3:$A$14312=EE$3,ROW($A$3:$A$14312)),ROW(45:45)),2)),"",INDEX($A$3:$B$14312,SMALL(IF($A$3:$A$14312=EE$3,ROW($A$3:$A$14312)),ROW(45:45)),2))</f>
        <v/>
      </c>
    </row>
    <row r="48" spans="1:135" x14ac:dyDescent="0.25">
      <c r="A48" s="10">
        <v>-450827381</v>
      </c>
      <c r="B48" t="s">
        <v>1103</v>
      </c>
      <c r="E48" t="str">
        <f t="array" ref="E48">IF(ISERROR(INDEX($A$3:$B$14312,SMALL(IF($A$3:$A$14312=E$3,ROW($A$3:$A$14312)),ROW(46:46)),2)),"",INDEX($A$3:$B$14312,SMALL(IF($A$3:$A$14312=E$3,ROW($A$3:$A$14312)),ROW(46:46)),2))</f>
        <v/>
      </c>
      <c r="F48" t="str">
        <f t="array" ref="F48">IF(ISERROR(INDEX($A$3:$B$14312,SMALL(IF($A$3:$A$14312=F$3,ROW($A$3:$A$14312)),ROW(46:46)),2)),"",INDEX($A$3:$B$14312,SMALL(IF($A$3:$A$14312=F$3,ROW($A$3:$A$14312)),ROW(46:46)),2))</f>
        <v/>
      </c>
      <c r="G48" t="str">
        <f t="array" ref="G48">IF(ISERROR(INDEX($A$3:$B$14312,SMALL(IF($A$3:$A$14312=G$3,ROW($A$3:$A$14312)),ROW(46:46)),2)),"",INDEX($A$3:$B$14312,SMALL(IF($A$3:$A$14312=G$3,ROW($A$3:$A$14312)),ROW(46:46)),2))</f>
        <v/>
      </c>
      <c r="H48" t="str">
        <f t="array" ref="H48">IF(ISERROR(INDEX($A$3:$B$14312,SMALL(IF($A$3:$A$14312=H$3,ROW($A$3:$A$14312)),ROW(46:46)),2)),"",INDEX($A$3:$B$14312,SMALL(IF($A$3:$A$14312=H$3,ROW($A$3:$A$14312)),ROW(46:46)),2))</f>
        <v/>
      </c>
      <c r="I48" t="str">
        <f t="array" ref="I48">IF(ISERROR(INDEX($A$3:$B$14312,SMALL(IF($A$3:$A$14312=I$3,ROW($A$3:$A$14312)),ROW(46:46)),2)),"",INDEX($A$3:$B$14312,SMALL(IF($A$3:$A$14312=I$3,ROW($A$3:$A$14312)),ROW(46:46)),2))</f>
        <v/>
      </c>
      <c r="J48" t="str">
        <f t="array" ref="J48">IF(ISERROR(INDEX($A$3:$B$14312,SMALL(IF($A$3:$A$14312=J$3,ROW($A$3:$A$14312)),ROW(46:46)),2)),"",INDEX($A$3:$B$14312,SMALL(IF($A$3:$A$14312=J$3,ROW($A$3:$A$14312)),ROW(46:46)),2))</f>
        <v/>
      </c>
      <c r="K48" t="str">
        <f t="array" ref="K48">IF(ISERROR(INDEX($A$3:$B$14312,SMALL(IF($A$3:$A$14312=K$3,ROW($A$3:$A$14312)),ROW(46:46)),2)),"",INDEX($A$3:$B$14312,SMALL(IF($A$3:$A$14312=K$3,ROW($A$3:$A$14312)),ROW(46:46)),2))</f>
        <v/>
      </c>
      <c r="L48" t="str">
        <f t="array" ref="L48">IF(ISERROR(INDEX($A$3:$B$14312,SMALL(IF($A$3:$A$14312=L$3,ROW($A$3:$A$14312)),ROW(46:46)),2)),"",INDEX($A$3:$B$14312,SMALL(IF($A$3:$A$14312=L$3,ROW($A$3:$A$14312)),ROW(46:46)),2))</f>
        <v/>
      </c>
      <c r="M48" t="str">
        <f t="array" ref="M48">IF(ISERROR(INDEX($A$3:$B$14312,SMALL(IF($A$3:$A$14312=M$3,ROW($A$3:$A$14312)),ROW(46:46)),2)),"",INDEX($A$3:$B$14312,SMALL(IF($A$3:$A$14312=M$3,ROW($A$3:$A$14312)),ROW(46:46)),2))</f>
        <v/>
      </c>
      <c r="N48" t="str">
        <f t="array" ref="N48">IF(ISERROR(INDEX($A$3:$B$14312,SMALL(IF($A$3:$A$14312=N$3,ROW($A$3:$A$14312)),ROW(46:46)),2)),"",INDEX($A$3:$B$14312,SMALL(IF($A$3:$A$14312=N$3,ROW($A$3:$A$14312)),ROW(46:46)),2))</f>
        <v/>
      </c>
      <c r="O48" t="str">
        <f t="array" ref="O48">IF(ISERROR(INDEX($A$3:$B$14312,SMALL(IF($A$3:$A$14312=O$3,ROW($A$3:$A$14312)),ROW(46:46)),2)),"",INDEX($A$3:$B$14312,SMALL(IF($A$3:$A$14312=O$3,ROW($A$3:$A$14312)),ROW(46:46)),2))</f>
        <v/>
      </c>
      <c r="P48" t="str">
        <f t="array" ref="P48">IF(ISERROR(INDEX($A$3:$B$14312,SMALL(IF($A$3:$A$14312=P$3,ROW($A$3:$A$14312)),ROW(46:46)),2)),"",INDEX($A$3:$B$14312,SMALL(IF($A$3:$A$14312=P$3,ROW($A$3:$A$14312)),ROW(46:46)),2))</f>
        <v/>
      </c>
      <c r="Q48" t="str">
        <f t="array" ref="Q48">IF(ISERROR(INDEX($A$3:$B$14312,SMALL(IF($A$3:$A$14312=Q$3,ROW($A$3:$A$14312)),ROW(46:46)),2)),"",INDEX($A$3:$B$14312,SMALL(IF($A$3:$A$14312=Q$3,ROW($A$3:$A$14312)),ROW(46:46)),2))</f>
        <v/>
      </c>
      <c r="R48" t="str">
        <f t="array" ref="R48">IF(ISERROR(INDEX($A$3:$B$14312,SMALL(IF($A$3:$A$14312=R$3,ROW($A$3:$A$14312)),ROW(46:46)),2)),"",INDEX($A$3:$B$14312,SMALL(IF($A$3:$A$14312=R$3,ROW($A$3:$A$14312)),ROW(46:46)),2))</f>
        <v/>
      </c>
      <c r="S48" t="str">
        <f t="array" ref="S48">IF(ISERROR(INDEX($A$3:$B$14312,SMALL(IF($A$3:$A$14312=S$3,ROW($A$3:$A$14312)),ROW(46:46)),2)),"",INDEX($A$3:$B$14312,SMALL(IF($A$3:$A$14312=S$3,ROW($A$3:$A$14312)),ROW(46:46)),2))</f>
        <v/>
      </c>
      <c r="T48" t="str">
        <f t="array" ref="T48">IF(ISERROR(INDEX($A$3:$B$14312,SMALL(IF($A$3:$A$14312=T$3,ROW($A$3:$A$14312)),ROW(46:46)),2)),"",INDEX($A$3:$B$14312,SMALL(IF($A$3:$A$14312=T$3,ROW($A$3:$A$14312)),ROW(46:46)),2))</f>
        <v/>
      </c>
      <c r="U48" t="str">
        <f t="array" ref="U48">IF(ISERROR(INDEX($A$3:$B$14312,SMALL(IF($A$3:$A$14312=U$3,ROW($A$3:$A$14312)),ROW(46:46)),2)),"",INDEX($A$3:$B$14312,SMALL(IF($A$3:$A$14312=U$3,ROW($A$3:$A$14312)),ROW(46:46)),2))</f>
        <v/>
      </c>
      <c r="V48" t="str">
        <f t="array" ref="V48">IF(ISERROR(INDEX($A$3:$B$14312,SMALL(IF($A$3:$A$14312=V$3,ROW($A$3:$A$14312)),ROW(46:46)),2)),"",INDEX($A$3:$B$14312,SMALL(IF($A$3:$A$14312=V$3,ROW($A$3:$A$14312)),ROW(46:46)),2))</f>
        <v/>
      </c>
      <c r="W48" t="str">
        <f t="array" ref="W48">IF(ISERROR(INDEX($A$3:$B$14312,SMALL(IF($A$3:$A$14312=W$3,ROW($A$3:$A$14312)),ROW(46:46)),2)),"",INDEX($A$3:$B$14312,SMALL(IF($A$3:$A$14312=W$3,ROW($A$3:$A$14312)),ROW(46:46)),2))</f>
        <v>Router3_157</v>
      </c>
      <c r="X48" t="str">
        <f t="array" ref="X48">IF(ISERROR(INDEX($A$3:$B$14312,SMALL(IF($A$3:$A$14312=X$3,ROW($A$3:$A$14312)),ROW(46:46)),2)),"",INDEX($A$3:$B$14312,SMALL(IF($A$3:$A$14312=X$3,ROW($A$3:$A$14312)),ROW(46:46)),2))</f>
        <v/>
      </c>
      <c r="Y48" t="str">
        <f t="array" ref="Y48">IF(ISERROR(INDEX($A$3:$B$14312,SMALL(IF($A$3:$A$14312=Y$3,ROW($A$3:$A$14312)),ROW(46:46)),2)),"",INDEX($A$3:$B$14312,SMALL(IF($A$3:$A$14312=Y$3,ROW($A$3:$A$14312)),ROW(46:46)),2))</f>
        <v/>
      </c>
      <c r="Z48" t="str">
        <f t="array" ref="Z48">IF(ISERROR(INDEX($A$3:$B$14312,SMALL(IF($A$3:$A$14312=Z$3,ROW($A$3:$A$14312)),ROW(46:46)),2)),"",INDEX($A$3:$B$14312,SMALL(IF($A$3:$A$14312=Z$3,ROW($A$3:$A$14312)),ROW(46:46)),2))</f>
        <v/>
      </c>
      <c r="AA48" t="str">
        <f t="array" ref="AA48">IF(ISERROR(INDEX($A$3:$B$14312,SMALL(IF($A$3:$A$14312=AA$3,ROW($A$3:$A$14312)),ROW(46:46)),2)),"",INDEX($A$3:$B$14312,SMALL(IF($A$3:$A$14312=AA$3,ROW($A$3:$A$14312)),ROW(46:46)),2))</f>
        <v/>
      </c>
      <c r="AB48" t="str">
        <f t="array" ref="AB48">IF(ISERROR(INDEX($A$3:$B$14312,SMALL(IF($A$3:$A$14312=AB$3,ROW($A$3:$A$14312)),ROW(46:46)),2)),"",INDEX($A$3:$B$14312,SMALL(IF($A$3:$A$14312=AB$3,ROW($A$3:$A$14312)),ROW(46:46)),2))</f>
        <v/>
      </c>
      <c r="AC48" t="str">
        <f t="array" ref="AC48">IF(ISERROR(INDEX($A$3:$B$14312,SMALL(IF($A$3:$A$14312=AC$3,ROW($A$3:$A$14312)),ROW(46:46)),2)),"",INDEX($A$3:$B$14312,SMALL(IF($A$3:$A$14312=AC$3,ROW($A$3:$A$14312)),ROW(46:46)),2))</f>
        <v/>
      </c>
      <c r="AD48" t="str">
        <f t="array" ref="AD48">IF(ISERROR(INDEX($A$3:$B$14312,SMALL(IF($A$3:$A$14312=AD$3,ROW($A$3:$A$14312)),ROW(46:46)),2)),"",INDEX($A$3:$B$14312,SMALL(IF($A$3:$A$14312=AD$3,ROW($A$3:$A$14312)),ROW(46:46)),2))</f>
        <v/>
      </c>
      <c r="AE48" t="str">
        <f t="array" ref="AE48">IF(ISERROR(INDEX($A$3:$B$14312,SMALL(IF($A$3:$A$14312=AE$3,ROW($A$3:$A$14312)),ROW(46:46)),2)),"",INDEX($A$3:$B$14312,SMALL(IF($A$3:$A$14312=AE$3,ROW($A$3:$A$14312)),ROW(46:46)),2))</f>
        <v/>
      </c>
      <c r="AF48" t="str">
        <f t="array" ref="AF48">IF(ISERROR(INDEX($A$3:$B$14312,SMALL(IF($A$3:$A$14312=AF$3,ROW($A$3:$A$14312)),ROW(46:46)),2)),"",INDEX($A$3:$B$14312,SMALL(IF($A$3:$A$14312=AF$3,ROW($A$3:$A$14312)),ROW(46:46)),2))</f>
        <v/>
      </c>
      <c r="AG48" t="str">
        <f t="array" ref="AG48">IF(ISERROR(INDEX($A$3:$B$14312,SMALL(IF($A$3:$A$14312=AG$3,ROW($A$3:$A$14312)),ROW(46:46)),2)),"",INDEX($A$3:$B$14312,SMALL(IF($A$3:$A$14312=AG$3,ROW($A$3:$A$14312)),ROW(46:46)),2))</f>
        <v/>
      </c>
      <c r="AH48" t="str">
        <f t="array" ref="AH48">IF(ISERROR(INDEX($A$3:$B$14312,SMALL(IF($A$3:$A$14312=AH$3,ROW($A$3:$A$14312)),ROW(46:46)),2)),"",INDEX($A$3:$B$14312,SMALL(IF($A$3:$A$14312=AH$3,ROW($A$3:$A$14312)),ROW(46:46)),2))</f>
        <v/>
      </c>
      <c r="AI48" t="str">
        <f t="array" ref="AI48">IF(ISERROR(INDEX($A$3:$B$14312,SMALL(IF($A$3:$A$14312=AI$3,ROW($A$3:$A$14312)),ROW(46:46)),2)),"",INDEX($A$3:$B$14312,SMALL(IF($A$3:$A$14312=AI$3,ROW($A$3:$A$14312)),ROW(46:46)),2))</f>
        <v/>
      </c>
      <c r="AJ48" t="str">
        <f t="array" ref="AJ48">IF(ISERROR(INDEX($A$3:$B$14312,SMALL(IF($A$3:$A$14312=AJ$3,ROW($A$3:$A$14312)),ROW(46:46)),2)),"",INDEX($A$3:$B$14312,SMALL(IF($A$3:$A$14312=AJ$3,ROW($A$3:$A$14312)),ROW(46:46)),2))</f>
        <v/>
      </c>
      <c r="AK48" t="str">
        <f t="array" ref="AK48">IF(ISERROR(INDEX($A$3:$B$14312,SMALL(IF($A$3:$A$14312=AK$3,ROW($A$3:$A$14312)),ROW(46:46)),2)),"",INDEX($A$3:$B$14312,SMALL(IF($A$3:$A$14312=AK$3,ROW($A$3:$A$14312)),ROW(46:46)),2))</f>
        <v/>
      </c>
      <c r="AL48" t="str">
        <f t="array" ref="AL48">IF(ISERROR(INDEX($A$3:$B$14312,SMALL(IF($A$3:$A$14312=AL$3,ROW($A$3:$A$14312)),ROW(46:46)),2)),"",INDEX($A$3:$B$14312,SMALL(IF($A$3:$A$14312=AL$3,ROW($A$3:$A$14312)),ROW(46:46)),2))</f>
        <v/>
      </c>
      <c r="AM48" t="str">
        <f t="array" ref="AM48">IF(ISERROR(INDEX($A$3:$B$14312,SMALL(IF($A$3:$A$14312=AM$3,ROW($A$3:$A$14312)),ROW(46:46)),2)),"",INDEX($A$3:$B$14312,SMALL(IF($A$3:$A$14312=AM$3,ROW($A$3:$A$14312)),ROW(46:46)),2))</f>
        <v/>
      </c>
      <c r="AN48" t="str">
        <f t="array" ref="AN48">IF(ISERROR(INDEX($A$3:$B$14312,SMALL(IF($A$3:$A$14312=AN$3,ROW($A$3:$A$14312)),ROW(46:46)),2)),"",INDEX($A$3:$B$14312,SMALL(IF($A$3:$A$14312=AN$3,ROW($A$3:$A$14312)),ROW(46:46)),2))</f>
        <v/>
      </c>
      <c r="AO48" t="str">
        <f t="array" ref="AO48">IF(ISERROR(INDEX($A$3:$B$14312,SMALL(IF($A$3:$A$14312=AO$3,ROW($A$3:$A$14312)),ROW(46:46)),2)),"",INDEX($A$3:$B$14312,SMALL(IF($A$3:$A$14312=AO$3,ROW($A$3:$A$14312)),ROW(46:46)),2))</f>
        <v/>
      </c>
      <c r="AP48" t="str">
        <f t="array" ref="AP48">IF(ISERROR(INDEX($A$3:$B$14312,SMALL(IF($A$3:$A$14312=AP$3,ROW($A$3:$A$14312)),ROW(46:46)),2)),"",INDEX($A$3:$B$14312,SMALL(IF($A$3:$A$14312=AP$3,ROW($A$3:$A$14312)),ROW(46:46)),2))</f>
        <v/>
      </c>
      <c r="AQ48" t="str">
        <f t="array" ref="AQ48">IF(ISERROR(INDEX($A$3:$B$14312,SMALL(IF($A$3:$A$14312=AQ$3,ROW($A$3:$A$14312)),ROW(46:46)),2)),"",INDEX($A$3:$B$14312,SMALL(IF($A$3:$A$14312=AQ$3,ROW($A$3:$A$14312)),ROW(46:46)),2))</f>
        <v/>
      </c>
      <c r="AR48" t="str">
        <f t="array" ref="AR48">IF(ISERROR(INDEX($A$3:$B$14312,SMALL(IF($A$3:$A$14312=AR$3,ROW($A$3:$A$14312)),ROW(46:46)),2)),"",INDEX($A$3:$B$14312,SMALL(IF($A$3:$A$14312=AR$3,ROW($A$3:$A$14312)),ROW(46:46)),2))</f>
        <v/>
      </c>
      <c r="AS48" t="str">
        <f t="array" ref="AS48">IF(ISERROR(INDEX($A$3:$B$14312,SMALL(IF($A$3:$A$14312=AS$3,ROW($A$3:$A$14312)),ROW(46:46)),2)),"",INDEX($A$3:$B$14312,SMALL(IF($A$3:$A$14312=AS$3,ROW($A$3:$A$14312)),ROW(46:46)),2))</f>
        <v/>
      </c>
      <c r="AT48" t="str">
        <f t="array" ref="AT48">IF(ISERROR(INDEX($A$3:$B$14312,SMALL(IF($A$3:$A$14312=AT$3,ROW($A$3:$A$14312)),ROW(46:46)),2)),"",INDEX($A$3:$B$14312,SMALL(IF($A$3:$A$14312=AT$3,ROW($A$3:$A$14312)),ROW(46:46)),2))</f>
        <v/>
      </c>
      <c r="AU48" t="str">
        <f t="array" ref="AU48">IF(ISERROR(INDEX($A$3:$B$14312,SMALL(IF($A$3:$A$14312=AU$3,ROW($A$3:$A$14312)),ROW(46:46)),2)),"",INDEX($A$3:$B$14312,SMALL(IF($A$3:$A$14312=AU$3,ROW($A$3:$A$14312)),ROW(46:46)),2))</f>
        <v/>
      </c>
      <c r="AV48" t="str">
        <f t="array" ref="AV48">IF(ISERROR(INDEX($A$3:$B$14312,SMALL(IF($A$3:$A$14312=AV$3,ROW($A$3:$A$14312)),ROW(46:46)),2)),"",INDEX($A$3:$B$14312,SMALL(IF($A$3:$A$14312=AV$3,ROW($A$3:$A$14312)),ROW(46:46)),2))</f>
        <v/>
      </c>
      <c r="AW48" t="str">
        <f t="array" ref="AW48">IF(ISERROR(INDEX($A$3:$B$14312,SMALL(IF($A$3:$A$14312=AW$3,ROW($A$3:$A$14312)),ROW(46:46)),2)),"",INDEX($A$3:$B$14312,SMALL(IF($A$3:$A$14312=AW$3,ROW($A$3:$A$14312)),ROW(46:46)),2))</f>
        <v/>
      </c>
      <c r="AX48" t="str">
        <f t="array" ref="AX48">IF(ISERROR(INDEX($A$3:$B$14312,SMALL(IF($A$3:$A$14312=AX$3,ROW($A$3:$A$14312)),ROW(46:46)),2)),"",INDEX($A$3:$B$14312,SMALL(IF($A$3:$A$14312=AX$3,ROW($A$3:$A$14312)),ROW(46:46)),2))</f>
        <v/>
      </c>
      <c r="AY48" t="str">
        <f t="array" ref="AY48">IF(ISERROR(INDEX($A$3:$B$14312,SMALL(IF($A$3:$A$14312=AY$3,ROW($A$3:$A$14312)),ROW(46:46)),2)),"",INDEX($A$3:$B$14312,SMALL(IF($A$3:$A$14312=AY$3,ROW($A$3:$A$14312)),ROW(46:46)),2))</f>
        <v/>
      </c>
      <c r="AZ48" t="str">
        <f t="array" ref="AZ48">IF(ISERROR(INDEX($A$3:$B$14312,SMALL(IF($A$3:$A$14312=AZ$3,ROW($A$3:$A$14312)),ROW(46:46)),2)),"",INDEX($A$3:$B$14312,SMALL(IF($A$3:$A$14312=AZ$3,ROW($A$3:$A$14312)),ROW(46:46)),2))</f>
        <v/>
      </c>
      <c r="BA48" t="str">
        <f t="array" ref="BA48">IF(ISERROR(INDEX($A$3:$B$14312,SMALL(IF($A$3:$A$14312=BA$3,ROW($A$3:$A$14312)),ROW(46:46)),2)),"",INDEX($A$3:$B$14312,SMALL(IF($A$3:$A$14312=BA$3,ROW($A$3:$A$14312)),ROW(46:46)),2))</f>
        <v/>
      </c>
      <c r="BB48" t="str">
        <f t="array" ref="BB48">IF(ISERROR(INDEX($A$3:$B$14312,SMALL(IF($A$3:$A$14312=BB$3,ROW($A$3:$A$14312)),ROW(46:46)),2)),"",INDEX($A$3:$B$14312,SMALL(IF($A$3:$A$14312=BB$3,ROW($A$3:$A$14312)),ROW(46:46)),2))</f>
        <v/>
      </c>
      <c r="BC48" t="str">
        <f t="array" ref="BC48">IF(ISERROR(INDEX($A$3:$B$14312,SMALL(IF($A$3:$A$14312=BC$3,ROW($A$3:$A$14312)),ROW(46:46)),2)),"",INDEX($A$3:$B$14312,SMALL(IF($A$3:$A$14312=BC$3,ROW($A$3:$A$14312)),ROW(46:46)),2))</f>
        <v/>
      </c>
      <c r="BD48" t="str">
        <f t="array" ref="BD48">IF(ISERROR(INDEX($A$3:$B$14312,SMALL(IF($A$3:$A$14312=BD$3,ROW($A$3:$A$14312)),ROW(46:46)),2)),"",INDEX($A$3:$B$14312,SMALL(IF($A$3:$A$14312=BD$3,ROW($A$3:$A$14312)),ROW(46:46)),2))</f>
        <v/>
      </c>
      <c r="BE48" t="str">
        <f t="array" ref="BE48">IF(ISERROR(INDEX($A$3:$B$14312,SMALL(IF($A$3:$A$14312=BE$3,ROW($A$3:$A$14312)),ROW(46:46)),2)),"",INDEX($A$3:$B$14312,SMALL(IF($A$3:$A$14312=BE$3,ROW($A$3:$A$14312)),ROW(46:46)),2))</f>
        <v/>
      </c>
      <c r="BF48" t="str">
        <f t="array" ref="BF48">IF(ISERROR(INDEX($A$3:$B$14312,SMALL(IF($A$3:$A$14312=BF$3,ROW($A$3:$A$14312)),ROW(46:46)),2)),"",INDEX($A$3:$B$14312,SMALL(IF($A$3:$A$14312=BF$3,ROW($A$3:$A$14312)),ROW(46:46)),2))</f>
        <v/>
      </c>
      <c r="BG48" t="str">
        <f t="array" ref="BG48">IF(ISERROR(INDEX($A$3:$B$14312,SMALL(IF($A$3:$A$14312=BG$3,ROW($A$3:$A$14312)),ROW(46:46)),2)),"",INDEX($A$3:$B$14312,SMALL(IF($A$3:$A$14312=BG$3,ROW($A$3:$A$14312)),ROW(46:46)),2))</f>
        <v/>
      </c>
      <c r="BH48" t="str">
        <f t="array" ref="BH48">IF(ISERROR(INDEX($A$3:$B$14312,SMALL(IF($A$3:$A$14312=BH$3,ROW($A$3:$A$14312)),ROW(46:46)),2)),"",INDEX($A$3:$B$14312,SMALL(IF($A$3:$A$14312=BH$3,ROW($A$3:$A$14312)),ROW(46:46)),2))</f>
        <v/>
      </c>
      <c r="BI48" t="str">
        <f t="array" ref="BI48">IF(ISERROR(INDEX($A$3:$B$14312,SMALL(IF($A$3:$A$14312=BI$3,ROW($A$3:$A$14312)),ROW(46:46)),2)),"",INDEX($A$3:$B$14312,SMALL(IF($A$3:$A$14312=BI$3,ROW($A$3:$A$14312)),ROW(46:46)),2))</f>
        <v/>
      </c>
      <c r="BJ48" t="str">
        <f t="array" ref="BJ48">IF(ISERROR(INDEX($A$3:$B$14312,SMALL(IF($A$3:$A$14312=BJ$3,ROW($A$3:$A$14312)),ROW(46:46)),2)),"",INDEX($A$3:$B$14312,SMALL(IF($A$3:$A$14312=BJ$3,ROW($A$3:$A$14312)),ROW(46:46)),2))</f>
        <v/>
      </c>
      <c r="BK48" t="str">
        <f t="array" ref="BK48">IF(ISERROR(INDEX($A$3:$B$14312,SMALL(IF($A$3:$A$14312=BK$3,ROW($A$3:$A$14312)),ROW(46:46)),2)),"",INDEX($A$3:$B$14312,SMALL(IF($A$3:$A$14312=BK$3,ROW($A$3:$A$14312)),ROW(46:46)),2))</f>
        <v/>
      </c>
      <c r="BL48" t="str">
        <f t="array" ref="BL48">IF(ISERROR(INDEX($A$3:$B$14312,SMALL(IF($A$3:$A$14312=BL$3,ROW($A$3:$A$14312)),ROW(46:46)),2)),"",INDEX($A$3:$B$14312,SMALL(IF($A$3:$A$14312=BL$3,ROW($A$3:$A$14312)),ROW(46:46)),2))</f>
        <v/>
      </c>
      <c r="BM48" t="str">
        <f t="array" ref="BM48">IF(ISERROR(INDEX($A$3:$B$14312,SMALL(IF($A$3:$A$14312=BM$3,ROW($A$3:$A$14312)),ROW(46:46)),2)),"",INDEX($A$3:$B$14312,SMALL(IF($A$3:$A$14312=BM$3,ROW($A$3:$A$14312)),ROW(46:46)),2))</f>
        <v/>
      </c>
      <c r="BN48" t="str">
        <f t="array" ref="BN48">IF(ISERROR(INDEX($A$3:$B$14312,SMALL(IF($A$3:$A$14312=BN$3,ROW($A$3:$A$14312)),ROW(46:46)),2)),"",INDEX($A$3:$B$14312,SMALL(IF($A$3:$A$14312=BN$3,ROW($A$3:$A$14312)),ROW(46:46)),2))</f>
        <v/>
      </c>
      <c r="BO48" t="str">
        <f t="array" ref="BO48">IF(ISERROR(INDEX($A$3:$B$14312,SMALL(IF($A$3:$A$14312=BO$3,ROW($A$3:$A$14312)),ROW(46:46)),2)),"",INDEX($A$3:$B$14312,SMALL(IF($A$3:$A$14312=BO$3,ROW($A$3:$A$14312)),ROW(46:46)),2))</f>
        <v/>
      </c>
      <c r="BP48" t="str">
        <f t="array" ref="BP48">IF(ISERROR(INDEX($A$3:$B$14312,SMALL(IF($A$3:$A$14312=BP$3,ROW($A$3:$A$14312)),ROW(46:46)),2)),"",INDEX($A$3:$B$14312,SMALL(IF($A$3:$A$14312=BP$3,ROW($A$3:$A$14312)),ROW(46:46)),2))</f>
        <v/>
      </c>
      <c r="BQ48" t="str">
        <f t="array" ref="BQ48">IF(ISERROR(INDEX($A$3:$B$14312,SMALL(IF($A$3:$A$14312=BQ$3,ROW($A$3:$A$14312)),ROW(46:46)),2)),"",INDEX($A$3:$B$14312,SMALL(IF($A$3:$A$14312=BQ$3,ROW($A$3:$A$14312)),ROW(46:46)),2))</f>
        <v/>
      </c>
      <c r="BR48" t="str">
        <f t="array" ref="BR48">IF(ISERROR(INDEX($A$3:$B$14312,SMALL(IF($A$3:$A$14312=BR$3,ROW($A$3:$A$14312)),ROW(46:46)),2)),"",INDEX($A$3:$B$14312,SMALL(IF($A$3:$A$14312=BR$3,ROW($A$3:$A$14312)),ROW(46:46)),2))</f>
        <v/>
      </c>
      <c r="BS48" t="str">
        <f t="array" ref="BS48">IF(ISERROR(INDEX($A$3:$B$14312,SMALL(IF($A$3:$A$14312=BS$3,ROW($A$3:$A$14312)),ROW(46:46)),2)),"",INDEX($A$3:$B$14312,SMALL(IF($A$3:$A$14312=BS$3,ROW($A$3:$A$14312)),ROW(46:46)),2))</f>
        <v/>
      </c>
      <c r="BT48" t="str">
        <f t="array" ref="BT48">IF(ISERROR(INDEX($A$3:$B$14312,SMALL(IF($A$3:$A$14312=BT$3,ROW($A$3:$A$14312)),ROW(46:46)),2)),"",INDEX($A$3:$B$14312,SMALL(IF($A$3:$A$14312=BT$3,ROW($A$3:$A$14312)),ROW(46:46)),2))</f>
        <v>Router3_147</v>
      </c>
      <c r="BU48" t="str">
        <f t="array" ref="BU48">IF(ISERROR(INDEX($A$3:$B$14312,SMALL(IF($A$3:$A$14312=BU$3,ROW($A$3:$A$14312)),ROW(46:46)),2)),"",INDEX($A$3:$B$14312,SMALL(IF($A$3:$A$14312=BU$3,ROW($A$3:$A$14312)),ROW(46:46)),2))</f>
        <v/>
      </c>
      <c r="BV48" t="str">
        <f t="array" ref="BV48">IF(ISERROR(INDEX($A$3:$B$14312,SMALL(IF($A$3:$A$14312=BV$3,ROW($A$3:$A$14312)),ROW(46:46)),2)),"",INDEX($A$3:$B$14312,SMALL(IF($A$3:$A$14312=BV$3,ROW($A$3:$A$14312)),ROW(46:46)),2))</f>
        <v/>
      </c>
      <c r="BW48" t="str">
        <f t="array" ref="BW48">IF(ISERROR(INDEX($A$3:$B$14312,SMALL(IF($A$3:$A$14312=BW$3,ROW($A$3:$A$14312)),ROW(46:46)),2)),"",INDEX($A$3:$B$14312,SMALL(IF($A$3:$A$14312=BW$3,ROW($A$3:$A$14312)),ROW(46:46)),2))</f>
        <v/>
      </c>
      <c r="BX48" t="str">
        <f t="array" ref="BX48">IF(ISERROR(INDEX($A$3:$B$14312,SMALL(IF($A$3:$A$14312=BX$3,ROW($A$3:$A$14312)),ROW(46:46)),2)),"",INDEX($A$3:$B$14312,SMALL(IF($A$3:$A$14312=BX$3,ROW($A$3:$A$14312)),ROW(46:46)),2))</f>
        <v/>
      </c>
      <c r="BY48" t="str">
        <f t="array" ref="BY48">IF(ISERROR(INDEX($A$3:$B$14312,SMALL(IF($A$3:$A$14312=BY$3,ROW($A$3:$A$14312)),ROW(46:46)),2)),"",INDEX($A$3:$B$14312,SMALL(IF($A$3:$A$14312=BY$3,ROW($A$3:$A$14312)),ROW(46:46)),2))</f>
        <v/>
      </c>
      <c r="BZ48" t="str">
        <f t="array" ref="BZ48">IF(ISERROR(INDEX($A$3:$B$14312,SMALL(IF($A$3:$A$14312=BZ$3,ROW($A$3:$A$14312)),ROW(46:46)),2)),"",INDEX($A$3:$B$14312,SMALL(IF($A$3:$A$14312=BZ$3,ROW($A$3:$A$14312)),ROW(46:46)),2))</f>
        <v/>
      </c>
      <c r="CA48" t="str">
        <f t="array" ref="CA48">IF(ISERROR(INDEX($A$3:$B$14312,SMALL(IF($A$3:$A$14312=CA$3,ROW($A$3:$A$14312)),ROW(46:46)),2)),"",INDEX($A$3:$B$14312,SMALL(IF($A$3:$A$14312=CA$3,ROW($A$3:$A$14312)),ROW(46:46)),2))</f>
        <v/>
      </c>
      <c r="CB48" t="str">
        <f t="array" ref="CB48">IF(ISERROR(INDEX($A$3:$B$14312,SMALL(IF($A$3:$A$14312=CB$3,ROW($A$3:$A$14312)),ROW(46:46)),2)),"",INDEX($A$3:$B$14312,SMALL(IF($A$3:$A$14312=CB$3,ROW($A$3:$A$14312)),ROW(46:46)),2))</f>
        <v/>
      </c>
      <c r="CC48" t="str">
        <f t="array" ref="CC48">IF(ISERROR(INDEX($A$3:$B$14312,SMALL(IF($A$3:$A$14312=CC$3,ROW($A$3:$A$14312)),ROW(46:46)),2)),"",INDEX($A$3:$B$14312,SMALL(IF($A$3:$A$14312=CC$3,ROW($A$3:$A$14312)),ROW(46:46)),2))</f>
        <v/>
      </c>
      <c r="CD48" t="str">
        <f t="array" ref="CD48">IF(ISERROR(INDEX($A$3:$B$14312,SMALL(IF($A$3:$A$14312=CD$3,ROW($A$3:$A$14312)),ROW(46:46)),2)),"",INDEX($A$3:$B$14312,SMALL(IF($A$3:$A$14312=CD$3,ROW($A$3:$A$14312)),ROW(46:46)),2))</f>
        <v/>
      </c>
      <c r="CE48" t="str">
        <f t="array" ref="CE48">IF(ISERROR(INDEX($A$3:$B$14312,SMALL(IF($A$3:$A$14312=CE$3,ROW($A$3:$A$14312)),ROW(46:46)),2)),"",INDEX($A$3:$B$14312,SMALL(IF($A$3:$A$14312=CE$3,ROW($A$3:$A$14312)),ROW(46:46)),2))</f>
        <v/>
      </c>
      <c r="CF48" t="str">
        <f t="array" ref="CF48">IF(ISERROR(INDEX($A$3:$B$14312,SMALL(IF($A$3:$A$14312=CF$3,ROW($A$3:$A$14312)),ROW(46:46)),2)),"",INDEX($A$3:$B$14312,SMALL(IF($A$3:$A$14312=CF$3,ROW($A$3:$A$14312)),ROW(46:46)),2))</f>
        <v/>
      </c>
      <c r="CG48" t="str">
        <f t="array" ref="CG48">IF(ISERROR(INDEX($A$3:$B$14312,SMALL(IF($A$3:$A$14312=CG$3,ROW($A$3:$A$14312)),ROW(46:46)),2)),"",INDEX($A$3:$B$14312,SMALL(IF($A$3:$A$14312=CG$3,ROW($A$3:$A$14312)),ROW(46:46)),2))</f>
        <v/>
      </c>
      <c r="CH48" t="str">
        <f t="array" ref="CH48">IF(ISERROR(INDEX($A$3:$B$14312,SMALL(IF($A$3:$A$14312=CH$3,ROW($A$3:$A$14312)),ROW(46:46)),2)),"",INDEX($A$3:$B$14312,SMALL(IF($A$3:$A$14312=CH$3,ROW($A$3:$A$14312)),ROW(46:46)),2))</f>
        <v/>
      </c>
      <c r="CI48" t="str">
        <f t="array" ref="CI48">IF(ISERROR(INDEX($A$3:$B$14312,SMALL(IF($A$3:$A$14312=CI$3,ROW($A$3:$A$14312)),ROW(46:46)),2)),"",INDEX($A$3:$B$14312,SMALL(IF($A$3:$A$14312=CI$3,ROW($A$3:$A$14312)),ROW(46:46)),2))</f>
        <v/>
      </c>
      <c r="CJ48" t="str">
        <f t="array" ref="CJ48">IF(ISERROR(INDEX($A$3:$B$14312,SMALL(IF($A$3:$A$14312=CJ$3,ROW($A$3:$A$14312)),ROW(46:46)),2)),"",INDEX($A$3:$B$14312,SMALL(IF($A$3:$A$14312=CJ$3,ROW($A$3:$A$14312)),ROW(46:46)),2))</f>
        <v/>
      </c>
      <c r="CK48" t="str">
        <f t="array" ref="CK48">IF(ISERROR(INDEX($A$3:$B$14312,SMALL(IF($A$3:$A$14312=CK$3,ROW($A$3:$A$14312)),ROW(46:46)),2)),"",INDEX($A$3:$B$14312,SMALL(IF($A$3:$A$14312=CK$3,ROW($A$3:$A$14312)),ROW(46:46)),2))</f>
        <v/>
      </c>
      <c r="CL48" t="str">
        <f t="array" ref="CL48">IF(ISERROR(INDEX($A$3:$B$14312,SMALL(IF($A$3:$A$14312=CL$3,ROW($A$3:$A$14312)),ROW(46:46)),2)),"",INDEX($A$3:$B$14312,SMALL(IF($A$3:$A$14312=CL$3,ROW($A$3:$A$14312)),ROW(46:46)),2))</f>
        <v/>
      </c>
      <c r="CM48" t="str">
        <f t="array" ref="CM48">IF(ISERROR(INDEX($A$3:$B$14312,SMALL(IF($A$3:$A$14312=CM$3,ROW($A$3:$A$14312)),ROW(46:46)),2)),"",INDEX($A$3:$B$14312,SMALL(IF($A$3:$A$14312=CM$3,ROW($A$3:$A$14312)),ROW(46:46)),2))</f>
        <v/>
      </c>
      <c r="CN48" t="str">
        <f t="array" ref="CN48">IF(ISERROR(INDEX($A$3:$B$14312,SMALL(IF($A$3:$A$14312=CN$3,ROW($A$3:$A$14312)),ROW(46:46)),2)),"",INDEX($A$3:$B$14312,SMALL(IF($A$3:$A$14312=CN$3,ROW($A$3:$A$14312)),ROW(46:46)),2))</f>
        <v/>
      </c>
      <c r="CO48" t="str">
        <f t="array" ref="CO48">IF(ISERROR(INDEX($A$3:$B$14312,SMALL(IF($A$3:$A$14312=CO$3,ROW($A$3:$A$14312)),ROW(46:46)),2)),"",INDEX($A$3:$B$14312,SMALL(IF($A$3:$A$14312=CO$3,ROW($A$3:$A$14312)),ROW(46:46)),2))</f>
        <v/>
      </c>
      <c r="CP48" t="str">
        <f t="array" ref="CP48">IF(ISERROR(INDEX($A$3:$B$14312,SMALL(IF($A$3:$A$14312=CP$3,ROW($A$3:$A$14312)),ROW(46:46)),2)),"",INDEX($A$3:$B$14312,SMALL(IF($A$3:$A$14312=CP$3,ROW($A$3:$A$14312)),ROW(46:46)),2))</f>
        <v/>
      </c>
      <c r="CQ48" t="str">
        <f t="array" ref="CQ48">IF(ISERROR(INDEX($A$3:$B$14312,SMALL(IF($A$3:$A$14312=CQ$3,ROW($A$3:$A$14312)),ROW(46:46)),2)),"",INDEX($A$3:$B$14312,SMALL(IF($A$3:$A$14312=CQ$3,ROW($A$3:$A$14312)),ROW(46:46)),2))</f>
        <v/>
      </c>
      <c r="CR48" t="str">
        <f t="array" ref="CR48">IF(ISERROR(INDEX($A$3:$B$14312,SMALL(IF($A$3:$A$14312=CR$3,ROW($A$3:$A$14312)),ROW(46:46)),2)),"",INDEX($A$3:$B$14312,SMALL(IF($A$3:$A$14312=CR$3,ROW($A$3:$A$14312)),ROW(46:46)),2))</f>
        <v/>
      </c>
      <c r="CS48" t="str">
        <f t="array" ref="CS48">IF(ISERROR(INDEX($A$3:$B$14312,SMALL(IF($A$3:$A$14312=CS$3,ROW($A$3:$A$14312)),ROW(46:46)),2)),"",INDEX($A$3:$B$14312,SMALL(IF($A$3:$A$14312=CS$3,ROW($A$3:$A$14312)),ROW(46:46)),2))</f>
        <v/>
      </c>
      <c r="CT48" t="str">
        <f t="array" ref="CT48">IF(ISERROR(INDEX($A$3:$B$14312,SMALL(IF($A$3:$A$14312=CT$3,ROW($A$3:$A$14312)),ROW(46:46)),2)),"",INDEX($A$3:$B$14312,SMALL(IF($A$3:$A$14312=CT$3,ROW($A$3:$A$14312)),ROW(46:46)),2))</f>
        <v/>
      </c>
      <c r="CU48" t="str">
        <f t="array" ref="CU48">IF(ISERROR(INDEX($A$3:$B$14312,SMALL(IF($A$3:$A$14312=CU$3,ROW($A$3:$A$14312)),ROW(46:46)),2)),"",INDEX($A$3:$B$14312,SMALL(IF($A$3:$A$14312=CU$3,ROW($A$3:$A$14312)),ROW(46:46)),2))</f>
        <v/>
      </c>
      <c r="CV48" t="str">
        <f t="array" ref="CV48">IF(ISERROR(INDEX($A$3:$B$14312,SMALL(IF($A$3:$A$14312=CV$3,ROW($A$3:$A$14312)),ROW(46:46)),2)),"",INDEX($A$3:$B$14312,SMALL(IF($A$3:$A$14312=CV$3,ROW($A$3:$A$14312)),ROW(46:46)),2))</f>
        <v/>
      </c>
      <c r="CW48" t="str">
        <f t="array" ref="CW48">IF(ISERROR(INDEX($A$3:$B$14312,SMALL(IF($A$3:$A$14312=CW$3,ROW($A$3:$A$14312)),ROW(46:46)),2)),"",INDEX($A$3:$B$14312,SMALL(IF($A$3:$A$14312=CW$3,ROW($A$3:$A$14312)),ROW(46:46)),2))</f>
        <v/>
      </c>
      <c r="CX48" t="str">
        <f t="array" ref="CX48">IF(ISERROR(INDEX($A$3:$B$14312,SMALL(IF($A$3:$A$14312=CX$3,ROW($A$3:$A$14312)),ROW(46:46)),2)),"",INDEX($A$3:$B$14312,SMALL(IF($A$3:$A$14312=CX$3,ROW($A$3:$A$14312)),ROW(46:46)),2))</f>
        <v/>
      </c>
      <c r="CY48" t="str">
        <f t="array" ref="CY48">IF(ISERROR(INDEX($A$3:$B$14312,SMALL(IF($A$3:$A$14312=CY$3,ROW($A$3:$A$14312)),ROW(46:46)),2)),"",INDEX($A$3:$B$14312,SMALL(IF($A$3:$A$14312=CY$3,ROW($A$3:$A$14312)),ROW(46:46)),2))</f>
        <v/>
      </c>
      <c r="CZ48" t="str">
        <f t="array" ref="CZ48">IF(ISERROR(INDEX($A$3:$B$14312,SMALL(IF($A$3:$A$14312=CZ$3,ROW($A$3:$A$14312)),ROW(46:46)),2)),"",INDEX($A$3:$B$14312,SMALL(IF($A$3:$A$14312=CZ$3,ROW($A$3:$A$14312)),ROW(46:46)),2))</f>
        <v/>
      </c>
      <c r="DA48" t="str">
        <f t="array" ref="DA48">IF(ISERROR(INDEX($A$3:$B$14312,SMALL(IF($A$3:$A$14312=DA$3,ROW($A$3:$A$14312)),ROW(46:46)),2)),"",INDEX($A$3:$B$14312,SMALL(IF($A$3:$A$14312=DA$3,ROW($A$3:$A$14312)),ROW(46:46)),2))</f>
        <v/>
      </c>
      <c r="DB48" t="str">
        <f t="array" ref="DB48">IF(ISERROR(INDEX($A$3:$B$14312,SMALL(IF($A$3:$A$14312=DB$3,ROW($A$3:$A$14312)),ROW(46:46)),2)),"",INDEX($A$3:$B$14312,SMALL(IF($A$3:$A$14312=DB$3,ROW($A$3:$A$14312)),ROW(46:46)),2))</f>
        <v/>
      </c>
      <c r="DC48" t="str">
        <f t="array" ref="DC48">IF(ISERROR(INDEX($A$3:$B$14312,SMALL(IF($A$3:$A$14312=DC$3,ROW($A$3:$A$14312)),ROW(46:46)),2)),"",INDEX($A$3:$B$14312,SMALL(IF($A$3:$A$14312=DC$3,ROW($A$3:$A$14312)),ROW(46:46)),2))</f>
        <v/>
      </c>
      <c r="DD48" t="str">
        <f t="array" ref="DD48">IF(ISERROR(INDEX($A$3:$B$14312,SMALL(IF($A$3:$A$14312=DD$3,ROW($A$3:$A$14312)),ROW(46:46)),2)),"",INDEX($A$3:$B$14312,SMALL(IF($A$3:$A$14312=DD$3,ROW($A$3:$A$14312)),ROW(46:46)),2))</f>
        <v/>
      </c>
      <c r="DE48" t="str">
        <f t="array" ref="DE48">IF(ISERROR(INDEX($A$3:$B$14312,SMALL(IF($A$3:$A$14312=DE$3,ROW($A$3:$A$14312)),ROW(46:46)),2)),"",INDEX($A$3:$B$14312,SMALL(IF($A$3:$A$14312=DE$3,ROW($A$3:$A$14312)),ROW(46:46)),2))</f>
        <v/>
      </c>
      <c r="DF48" t="str">
        <f t="array" ref="DF48">IF(ISERROR(INDEX($A$3:$B$14312,SMALL(IF($A$3:$A$14312=DF$3,ROW($A$3:$A$14312)),ROW(46:46)),2)),"",INDEX($A$3:$B$14312,SMALL(IF($A$3:$A$14312=DF$3,ROW($A$3:$A$14312)),ROW(46:46)),2))</f>
        <v/>
      </c>
      <c r="DG48" t="str">
        <f t="array" ref="DG48">IF(ISERROR(INDEX($A$3:$B$14312,SMALL(IF($A$3:$A$14312=DG$3,ROW($A$3:$A$14312)),ROW(46:46)),2)),"",INDEX($A$3:$B$14312,SMALL(IF($A$3:$A$14312=DG$3,ROW($A$3:$A$14312)),ROW(46:46)),2))</f>
        <v/>
      </c>
      <c r="DH48" t="str">
        <f t="array" ref="DH48">IF(ISERROR(INDEX($A$3:$B$14312,SMALL(IF($A$3:$A$14312=DH$3,ROW($A$3:$A$14312)),ROW(46:46)),2)),"",INDEX($A$3:$B$14312,SMALL(IF($A$3:$A$14312=DH$3,ROW($A$3:$A$14312)),ROW(46:46)),2))</f>
        <v/>
      </c>
      <c r="DI48" t="str">
        <f t="array" ref="DI48">IF(ISERROR(INDEX($A$3:$B$14312,SMALL(IF($A$3:$A$14312=DI$3,ROW($A$3:$A$14312)),ROW(46:46)),2)),"",INDEX($A$3:$B$14312,SMALL(IF($A$3:$A$14312=DI$3,ROW($A$3:$A$14312)),ROW(46:46)),2))</f>
        <v>Router3_112</v>
      </c>
      <c r="DJ48" t="str">
        <f t="array" ref="DJ48">IF(ISERROR(INDEX($A$3:$B$14312,SMALL(IF($A$3:$A$14312=DJ$3,ROW($A$3:$A$14312)),ROW(46:46)),2)),"",INDEX($A$3:$B$14312,SMALL(IF($A$3:$A$14312=DJ$3,ROW($A$3:$A$14312)),ROW(46:46)),2))</f>
        <v/>
      </c>
      <c r="DK48" t="str">
        <f t="array" ref="DK48">IF(ISERROR(INDEX($A$3:$B$14312,SMALL(IF($A$3:$A$14312=DK$3,ROW($A$3:$A$14312)),ROW(46:46)),2)),"",INDEX($A$3:$B$14312,SMALL(IF($A$3:$A$14312=DK$3,ROW($A$3:$A$14312)),ROW(46:46)),2))</f>
        <v/>
      </c>
      <c r="DL48" t="str">
        <f t="array" ref="DL48">IF(ISERROR(INDEX($A$3:$B$14312,SMALL(IF($A$3:$A$14312=DL$3,ROW($A$3:$A$14312)),ROW(46:46)),2)),"",INDEX($A$3:$B$14312,SMALL(IF($A$3:$A$14312=DL$3,ROW($A$3:$A$14312)),ROW(46:46)),2))</f>
        <v/>
      </c>
      <c r="DM48" t="str">
        <f t="array" ref="DM48">IF(ISERROR(INDEX($A$3:$B$14312,SMALL(IF($A$3:$A$14312=DM$3,ROW($A$3:$A$14312)),ROW(46:46)),2)),"",INDEX($A$3:$B$14312,SMALL(IF($A$3:$A$14312=DM$3,ROW($A$3:$A$14312)),ROW(46:46)),2))</f>
        <v/>
      </c>
      <c r="DN48" t="str">
        <f t="array" ref="DN48">IF(ISERROR(INDEX($A$3:$B$14312,SMALL(IF($A$3:$A$14312=DN$3,ROW($A$3:$A$14312)),ROW(46:46)),2)),"",INDEX($A$3:$B$14312,SMALL(IF($A$3:$A$14312=DN$3,ROW($A$3:$A$14312)),ROW(46:46)),2))</f>
        <v/>
      </c>
      <c r="DO48" t="str">
        <f t="array" ref="DO48">IF(ISERROR(INDEX($A$3:$B$14312,SMALL(IF($A$3:$A$14312=DO$3,ROW($A$3:$A$14312)),ROW(46:46)),2)),"",INDEX($A$3:$B$14312,SMALL(IF($A$3:$A$14312=DO$3,ROW($A$3:$A$14312)),ROW(46:46)),2))</f>
        <v/>
      </c>
      <c r="DP48" t="str">
        <f t="array" ref="DP48">IF(ISERROR(INDEX($A$3:$B$14312,SMALL(IF($A$3:$A$14312=DP$3,ROW($A$3:$A$14312)),ROW(46:46)),2)),"",INDEX($A$3:$B$14312,SMALL(IF($A$3:$A$14312=DP$3,ROW($A$3:$A$14312)),ROW(46:46)),2))</f>
        <v/>
      </c>
      <c r="DQ48" t="str">
        <f t="array" ref="DQ48">IF(ISERROR(INDEX($A$3:$B$14312,SMALL(IF($A$3:$A$14312=DQ$3,ROW($A$3:$A$14312)),ROW(46:46)),2)),"",INDEX($A$3:$B$14312,SMALL(IF($A$3:$A$14312=DQ$3,ROW($A$3:$A$14312)),ROW(46:46)),2))</f>
        <v/>
      </c>
      <c r="DR48" t="str">
        <f t="array" ref="DR48">IF(ISERROR(INDEX($A$3:$B$14312,SMALL(IF($A$3:$A$14312=DR$3,ROW($A$3:$A$14312)),ROW(46:46)),2)),"",INDEX($A$3:$B$14312,SMALL(IF($A$3:$A$14312=DR$3,ROW($A$3:$A$14312)),ROW(46:46)),2))</f>
        <v/>
      </c>
      <c r="DS48" t="str">
        <f t="array" ref="DS48">IF(ISERROR(INDEX($A$3:$B$14312,SMALL(IF($A$3:$A$14312=DS$3,ROW($A$3:$A$14312)),ROW(46:46)),2)),"",INDEX($A$3:$B$14312,SMALL(IF($A$3:$A$14312=DS$3,ROW($A$3:$A$14312)),ROW(46:46)),2))</f>
        <v/>
      </c>
      <c r="DT48" t="str">
        <f t="array" ref="DT48">IF(ISERROR(INDEX($A$3:$B$14312,SMALL(IF($A$3:$A$14312=DT$3,ROW($A$3:$A$14312)),ROW(46:46)),2)),"",INDEX($A$3:$B$14312,SMALL(IF($A$3:$A$14312=DT$3,ROW($A$3:$A$14312)),ROW(46:46)),2))</f>
        <v>Router3_112</v>
      </c>
      <c r="DU48" t="str">
        <f t="array" ref="DU48">IF(ISERROR(INDEX($A$3:$B$14312,SMALL(IF($A$3:$A$14312=DU$3,ROW($A$3:$A$14312)),ROW(46:46)),2)),"",INDEX($A$3:$B$14312,SMALL(IF($A$3:$A$14312=DU$3,ROW($A$3:$A$14312)),ROW(46:46)),2))</f>
        <v>Router3_163</v>
      </c>
      <c r="DV48" t="str">
        <f t="array" ref="DV48">IF(ISERROR(INDEX($A$3:$B$14312,SMALL(IF($A$3:$A$14312=DV$3,ROW($A$3:$A$14312)),ROW(46:46)),2)),"",INDEX($A$3:$B$14312,SMALL(IF($A$3:$A$14312=DV$3,ROW($A$3:$A$14312)),ROW(46:46)),2))</f>
        <v/>
      </c>
      <c r="DW48" t="str">
        <f t="array" ref="DW48">IF(ISERROR(INDEX($A$3:$B$14312,SMALL(IF($A$3:$A$14312=DW$3,ROW($A$3:$A$14312)),ROW(46:46)),2)),"",INDEX($A$3:$B$14312,SMALL(IF($A$3:$A$14312=DW$3,ROW($A$3:$A$14312)),ROW(46:46)),2))</f>
        <v/>
      </c>
      <c r="DX48" t="str">
        <f t="array" ref="DX48">IF(ISERROR(INDEX($A$3:$B$14312,SMALL(IF($A$3:$A$14312=DX$3,ROW($A$3:$A$14312)),ROW(46:46)),2)),"",INDEX($A$3:$B$14312,SMALL(IF($A$3:$A$14312=DX$3,ROW($A$3:$A$14312)),ROW(46:46)),2))</f>
        <v/>
      </c>
      <c r="DY48" t="str">
        <f t="array" ref="DY48">IF(ISERROR(INDEX($A$3:$B$14312,SMALL(IF($A$3:$A$14312=DY$3,ROW($A$3:$A$14312)),ROW(46:46)),2)),"",INDEX($A$3:$B$14312,SMALL(IF($A$3:$A$14312=DY$3,ROW($A$3:$A$14312)),ROW(46:46)),2))</f>
        <v/>
      </c>
      <c r="DZ48" t="str">
        <f t="array" ref="DZ48">IF(ISERROR(INDEX($A$3:$B$14312,SMALL(IF($A$3:$A$14312=DZ$3,ROW($A$3:$A$14312)),ROW(46:46)),2)),"",INDEX($A$3:$B$14312,SMALL(IF($A$3:$A$14312=DZ$3,ROW($A$3:$A$14312)),ROW(46:46)),2))</f>
        <v/>
      </c>
      <c r="EA48" t="str">
        <f t="array" ref="EA48">IF(ISERROR(INDEX($A$3:$B$14312,SMALL(IF($A$3:$A$14312=EA$3,ROW($A$3:$A$14312)),ROW(46:46)),2)),"",INDEX($A$3:$B$14312,SMALL(IF($A$3:$A$14312=EA$3,ROW($A$3:$A$14312)),ROW(46:46)),2))</f>
        <v/>
      </c>
      <c r="EB48" t="str">
        <f t="array" ref="EB48">IF(ISERROR(INDEX($A$3:$B$14312,SMALL(IF($A$3:$A$14312=EB$3,ROW($A$3:$A$14312)),ROW(46:46)),2)),"",INDEX($A$3:$B$14312,SMALL(IF($A$3:$A$14312=EB$3,ROW($A$3:$A$14312)),ROW(46:46)),2))</f>
        <v/>
      </c>
      <c r="EC48" t="str">
        <f t="array" ref="EC48">IF(ISERROR(INDEX($A$3:$B$14312,SMALL(IF($A$3:$A$14312=EC$3,ROW($A$3:$A$14312)),ROW(46:46)),2)),"",INDEX($A$3:$B$14312,SMALL(IF($A$3:$A$14312=EC$3,ROW($A$3:$A$14312)),ROW(46:46)),2))</f>
        <v>Router3_156</v>
      </c>
      <c r="ED48" t="str">
        <f t="array" ref="ED48">IF(ISERROR(INDEX($A$3:$B$14312,SMALL(IF($A$3:$A$14312=ED$3,ROW($A$3:$A$14312)),ROW(46:46)),2)),"",INDEX($A$3:$B$14312,SMALL(IF($A$3:$A$14312=ED$3,ROW($A$3:$A$14312)),ROW(46:46)),2))</f>
        <v/>
      </c>
      <c r="EE48" t="str">
        <f t="array" ref="EE48">IF(ISERROR(INDEX($A$3:$B$14312,SMALL(IF($A$3:$A$14312=EE$3,ROW($A$3:$A$14312)),ROW(46:46)),2)),"",INDEX($A$3:$B$14312,SMALL(IF($A$3:$A$14312=EE$3,ROW($A$3:$A$14312)),ROW(46:46)),2))</f>
        <v/>
      </c>
    </row>
    <row r="49" spans="1:135" x14ac:dyDescent="0.25">
      <c r="A49" s="10">
        <v>-450827381</v>
      </c>
      <c r="B49" t="s">
        <v>1104</v>
      </c>
      <c r="E49" t="str">
        <f t="array" ref="E49">IF(ISERROR(INDEX($A$3:$B$14312,SMALL(IF($A$3:$A$14312=E$3,ROW($A$3:$A$14312)),ROW(47:47)),2)),"",INDEX($A$3:$B$14312,SMALL(IF($A$3:$A$14312=E$3,ROW($A$3:$A$14312)),ROW(47:47)),2))</f>
        <v/>
      </c>
      <c r="F49" t="str">
        <f t="array" ref="F49">IF(ISERROR(INDEX($A$3:$B$14312,SMALL(IF($A$3:$A$14312=F$3,ROW($A$3:$A$14312)),ROW(47:47)),2)),"",INDEX($A$3:$B$14312,SMALL(IF($A$3:$A$14312=F$3,ROW($A$3:$A$14312)),ROW(47:47)),2))</f>
        <v/>
      </c>
      <c r="G49" t="str">
        <f t="array" ref="G49">IF(ISERROR(INDEX($A$3:$B$14312,SMALL(IF($A$3:$A$14312=G$3,ROW($A$3:$A$14312)),ROW(47:47)),2)),"",INDEX($A$3:$B$14312,SMALL(IF($A$3:$A$14312=G$3,ROW($A$3:$A$14312)),ROW(47:47)),2))</f>
        <v/>
      </c>
      <c r="H49" t="str">
        <f t="array" ref="H49">IF(ISERROR(INDEX($A$3:$B$14312,SMALL(IF($A$3:$A$14312=H$3,ROW($A$3:$A$14312)),ROW(47:47)),2)),"",INDEX($A$3:$B$14312,SMALL(IF($A$3:$A$14312=H$3,ROW($A$3:$A$14312)),ROW(47:47)),2))</f>
        <v/>
      </c>
      <c r="I49" t="str">
        <f t="array" ref="I49">IF(ISERROR(INDEX($A$3:$B$14312,SMALL(IF($A$3:$A$14312=I$3,ROW($A$3:$A$14312)),ROW(47:47)),2)),"",INDEX($A$3:$B$14312,SMALL(IF($A$3:$A$14312=I$3,ROW($A$3:$A$14312)),ROW(47:47)),2))</f>
        <v/>
      </c>
      <c r="J49" t="str">
        <f t="array" ref="J49">IF(ISERROR(INDEX($A$3:$B$14312,SMALL(IF($A$3:$A$14312=J$3,ROW($A$3:$A$14312)),ROW(47:47)),2)),"",INDEX($A$3:$B$14312,SMALL(IF($A$3:$A$14312=J$3,ROW($A$3:$A$14312)),ROW(47:47)),2))</f>
        <v/>
      </c>
      <c r="K49" t="str">
        <f t="array" ref="K49">IF(ISERROR(INDEX($A$3:$B$14312,SMALL(IF($A$3:$A$14312=K$3,ROW($A$3:$A$14312)),ROW(47:47)),2)),"",INDEX($A$3:$B$14312,SMALL(IF($A$3:$A$14312=K$3,ROW($A$3:$A$14312)),ROW(47:47)),2))</f>
        <v/>
      </c>
      <c r="L49" t="str">
        <f t="array" ref="L49">IF(ISERROR(INDEX($A$3:$B$14312,SMALL(IF($A$3:$A$14312=L$3,ROW($A$3:$A$14312)),ROW(47:47)),2)),"",INDEX($A$3:$B$14312,SMALL(IF($A$3:$A$14312=L$3,ROW($A$3:$A$14312)),ROW(47:47)),2))</f>
        <v/>
      </c>
      <c r="M49" t="str">
        <f t="array" ref="M49">IF(ISERROR(INDEX($A$3:$B$14312,SMALL(IF($A$3:$A$14312=M$3,ROW($A$3:$A$14312)),ROW(47:47)),2)),"",INDEX($A$3:$B$14312,SMALL(IF($A$3:$A$14312=M$3,ROW($A$3:$A$14312)),ROW(47:47)),2))</f>
        <v/>
      </c>
      <c r="N49" t="str">
        <f t="array" ref="N49">IF(ISERROR(INDEX($A$3:$B$14312,SMALL(IF($A$3:$A$14312=N$3,ROW($A$3:$A$14312)),ROW(47:47)),2)),"",INDEX($A$3:$B$14312,SMALL(IF($A$3:$A$14312=N$3,ROW($A$3:$A$14312)),ROW(47:47)),2))</f>
        <v/>
      </c>
      <c r="O49" t="str">
        <f t="array" ref="O49">IF(ISERROR(INDEX($A$3:$B$14312,SMALL(IF($A$3:$A$14312=O$3,ROW($A$3:$A$14312)),ROW(47:47)),2)),"",INDEX($A$3:$B$14312,SMALL(IF($A$3:$A$14312=O$3,ROW($A$3:$A$14312)),ROW(47:47)),2))</f>
        <v/>
      </c>
      <c r="P49" t="str">
        <f t="array" ref="P49">IF(ISERROR(INDEX($A$3:$B$14312,SMALL(IF($A$3:$A$14312=P$3,ROW($A$3:$A$14312)),ROW(47:47)),2)),"",INDEX($A$3:$B$14312,SMALL(IF($A$3:$A$14312=P$3,ROW($A$3:$A$14312)),ROW(47:47)),2))</f>
        <v/>
      </c>
      <c r="Q49" t="str">
        <f t="array" ref="Q49">IF(ISERROR(INDEX($A$3:$B$14312,SMALL(IF($A$3:$A$14312=Q$3,ROW($A$3:$A$14312)),ROW(47:47)),2)),"",INDEX($A$3:$B$14312,SMALL(IF($A$3:$A$14312=Q$3,ROW($A$3:$A$14312)),ROW(47:47)),2))</f>
        <v/>
      </c>
      <c r="R49" t="str">
        <f t="array" ref="R49">IF(ISERROR(INDEX($A$3:$B$14312,SMALL(IF($A$3:$A$14312=R$3,ROW($A$3:$A$14312)),ROW(47:47)),2)),"",INDEX($A$3:$B$14312,SMALL(IF($A$3:$A$14312=R$3,ROW($A$3:$A$14312)),ROW(47:47)),2))</f>
        <v/>
      </c>
      <c r="S49" t="str">
        <f t="array" ref="S49">IF(ISERROR(INDEX($A$3:$B$14312,SMALL(IF($A$3:$A$14312=S$3,ROW($A$3:$A$14312)),ROW(47:47)),2)),"",INDEX($A$3:$B$14312,SMALL(IF($A$3:$A$14312=S$3,ROW($A$3:$A$14312)),ROW(47:47)),2))</f>
        <v/>
      </c>
      <c r="T49" t="str">
        <f t="array" ref="T49">IF(ISERROR(INDEX($A$3:$B$14312,SMALL(IF($A$3:$A$14312=T$3,ROW($A$3:$A$14312)),ROW(47:47)),2)),"",INDEX($A$3:$B$14312,SMALL(IF($A$3:$A$14312=T$3,ROW($A$3:$A$14312)),ROW(47:47)),2))</f>
        <v/>
      </c>
      <c r="U49" t="str">
        <f t="array" ref="U49">IF(ISERROR(INDEX($A$3:$B$14312,SMALL(IF($A$3:$A$14312=U$3,ROW($A$3:$A$14312)),ROW(47:47)),2)),"",INDEX($A$3:$B$14312,SMALL(IF($A$3:$A$14312=U$3,ROW($A$3:$A$14312)),ROW(47:47)),2))</f>
        <v/>
      </c>
      <c r="V49" t="str">
        <f t="array" ref="V49">IF(ISERROR(INDEX($A$3:$B$14312,SMALL(IF($A$3:$A$14312=V$3,ROW($A$3:$A$14312)),ROW(47:47)),2)),"",INDEX($A$3:$B$14312,SMALL(IF($A$3:$A$14312=V$3,ROW($A$3:$A$14312)),ROW(47:47)),2))</f>
        <v/>
      </c>
      <c r="W49" t="str">
        <f t="array" ref="W49">IF(ISERROR(INDEX($A$3:$B$14312,SMALL(IF($A$3:$A$14312=W$3,ROW($A$3:$A$14312)),ROW(47:47)),2)),"",INDEX($A$3:$B$14312,SMALL(IF($A$3:$A$14312=W$3,ROW($A$3:$A$14312)),ROW(47:47)),2))</f>
        <v>Router3_158</v>
      </c>
      <c r="X49" t="str">
        <f t="array" ref="X49">IF(ISERROR(INDEX($A$3:$B$14312,SMALL(IF($A$3:$A$14312=X$3,ROW($A$3:$A$14312)),ROW(47:47)),2)),"",INDEX($A$3:$B$14312,SMALL(IF($A$3:$A$14312=X$3,ROW($A$3:$A$14312)),ROW(47:47)),2))</f>
        <v/>
      </c>
      <c r="Y49" t="str">
        <f t="array" ref="Y49">IF(ISERROR(INDEX($A$3:$B$14312,SMALL(IF($A$3:$A$14312=Y$3,ROW($A$3:$A$14312)),ROW(47:47)),2)),"",INDEX($A$3:$B$14312,SMALL(IF($A$3:$A$14312=Y$3,ROW($A$3:$A$14312)),ROW(47:47)),2))</f>
        <v/>
      </c>
      <c r="Z49" t="str">
        <f t="array" ref="Z49">IF(ISERROR(INDEX($A$3:$B$14312,SMALL(IF($A$3:$A$14312=Z$3,ROW($A$3:$A$14312)),ROW(47:47)),2)),"",INDEX($A$3:$B$14312,SMALL(IF($A$3:$A$14312=Z$3,ROW($A$3:$A$14312)),ROW(47:47)),2))</f>
        <v/>
      </c>
      <c r="AA49" t="str">
        <f t="array" ref="AA49">IF(ISERROR(INDEX($A$3:$B$14312,SMALL(IF($A$3:$A$14312=AA$3,ROW($A$3:$A$14312)),ROW(47:47)),2)),"",INDEX($A$3:$B$14312,SMALL(IF($A$3:$A$14312=AA$3,ROW($A$3:$A$14312)),ROW(47:47)),2))</f>
        <v/>
      </c>
      <c r="AB49" t="str">
        <f t="array" ref="AB49">IF(ISERROR(INDEX($A$3:$B$14312,SMALL(IF($A$3:$A$14312=AB$3,ROW($A$3:$A$14312)),ROW(47:47)),2)),"",INDEX($A$3:$B$14312,SMALL(IF($A$3:$A$14312=AB$3,ROW($A$3:$A$14312)),ROW(47:47)),2))</f>
        <v/>
      </c>
      <c r="AC49" t="str">
        <f t="array" ref="AC49">IF(ISERROR(INDEX($A$3:$B$14312,SMALL(IF($A$3:$A$14312=AC$3,ROW($A$3:$A$14312)),ROW(47:47)),2)),"",INDEX($A$3:$B$14312,SMALL(IF($A$3:$A$14312=AC$3,ROW($A$3:$A$14312)),ROW(47:47)),2))</f>
        <v/>
      </c>
      <c r="AD49" t="str">
        <f t="array" ref="AD49">IF(ISERROR(INDEX($A$3:$B$14312,SMALL(IF($A$3:$A$14312=AD$3,ROW($A$3:$A$14312)),ROW(47:47)),2)),"",INDEX($A$3:$B$14312,SMALL(IF($A$3:$A$14312=AD$3,ROW($A$3:$A$14312)),ROW(47:47)),2))</f>
        <v/>
      </c>
      <c r="AE49" t="str">
        <f t="array" ref="AE49">IF(ISERROR(INDEX($A$3:$B$14312,SMALL(IF($A$3:$A$14312=AE$3,ROW($A$3:$A$14312)),ROW(47:47)),2)),"",INDEX($A$3:$B$14312,SMALL(IF($A$3:$A$14312=AE$3,ROW($A$3:$A$14312)),ROW(47:47)),2))</f>
        <v/>
      </c>
      <c r="AF49" t="str">
        <f t="array" ref="AF49">IF(ISERROR(INDEX($A$3:$B$14312,SMALL(IF($A$3:$A$14312=AF$3,ROW($A$3:$A$14312)),ROW(47:47)),2)),"",INDEX($A$3:$B$14312,SMALL(IF($A$3:$A$14312=AF$3,ROW($A$3:$A$14312)),ROW(47:47)),2))</f>
        <v/>
      </c>
      <c r="AG49" t="str">
        <f t="array" ref="AG49">IF(ISERROR(INDEX($A$3:$B$14312,SMALL(IF($A$3:$A$14312=AG$3,ROW($A$3:$A$14312)),ROW(47:47)),2)),"",INDEX($A$3:$B$14312,SMALL(IF($A$3:$A$14312=AG$3,ROW($A$3:$A$14312)),ROW(47:47)),2))</f>
        <v/>
      </c>
      <c r="AH49" t="str">
        <f t="array" ref="AH49">IF(ISERROR(INDEX($A$3:$B$14312,SMALL(IF($A$3:$A$14312=AH$3,ROW($A$3:$A$14312)),ROW(47:47)),2)),"",INDEX($A$3:$B$14312,SMALL(IF($A$3:$A$14312=AH$3,ROW($A$3:$A$14312)),ROW(47:47)),2))</f>
        <v/>
      </c>
      <c r="AI49" t="str">
        <f t="array" ref="AI49">IF(ISERROR(INDEX($A$3:$B$14312,SMALL(IF($A$3:$A$14312=AI$3,ROW($A$3:$A$14312)),ROW(47:47)),2)),"",INDEX($A$3:$B$14312,SMALL(IF($A$3:$A$14312=AI$3,ROW($A$3:$A$14312)),ROW(47:47)),2))</f>
        <v/>
      </c>
      <c r="AJ49" t="str">
        <f t="array" ref="AJ49">IF(ISERROR(INDEX($A$3:$B$14312,SMALL(IF($A$3:$A$14312=AJ$3,ROW($A$3:$A$14312)),ROW(47:47)),2)),"",INDEX($A$3:$B$14312,SMALL(IF($A$3:$A$14312=AJ$3,ROW($A$3:$A$14312)),ROW(47:47)),2))</f>
        <v/>
      </c>
      <c r="AK49" t="str">
        <f t="array" ref="AK49">IF(ISERROR(INDEX($A$3:$B$14312,SMALL(IF($A$3:$A$14312=AK$3,ROW($A$3:$A$14312)),ROW(47:47)),2)),"",INDEX($A$3:$B$14312,SMALL(IF($A$3:$A$14312=AK$3,ROW($A$3:$A$14312)),ROW(47:47)),2))</f>
        <v/>
      </c>
      <c r="AL49" t="str">
        <f t="array" ref="AL49">IF(ISERROR(INDEX($A$3:$B$14312,SMALL(IF($A$3:$A$14312=AL$3,ROW($A$3:$A$14312)),ROW(47:47)),2)),"",INDEX($A$3:$B$14312,SMALL(IF($A$3:$A$14312=AL$3,ROW($A$3:$A$14312)),ROW(47:47)),2))</f>
        <v/>
      </c>
      <c r="AM49" t="str">
        <f t="array" ref="AM49">IF(ISERROR(INDEX($A$3:$B$14312,SMALL(IF($A$3:$A$14312=AM$3,ROW($A$3:$A$14312)),ROW(47:47)),2)),"",INDEX($A$3:$B$14312,SMALL(IF($A$3:$A$14312=AM$3,ROW($A$3:$A$14312)),ROW(47:47)),2))</f>
        <v/>
      </c>
      <c r="AN49" t="str">
        <f t="array" ref="AN49">IF(ISERROR(INDEX($A$3:$B$14312,SMALL(IF($A$3:$A$14312=AN$3,ROW($A$3:$A$14312)),ROW(47:47)),2)),"",INDEX($A$3:$B$14312,SMALL(IF($A$3:$A$14312=AN$3,ROW($A$3:$A$14312)),ROW(47:47)),2))</f>
        <v/>
      </c>
      <c r="AO49" t="str">
        <f t="array" ref="AO49">IF(ISERROR(INDEX($A$3:$B$14312,SMALL(IF($A$3:$A$14312=AO$3,ROW($A$3:$A$14312)),ROW(47:47)),2)),"",INDEX($A$3:$B$14312,SMALL(IF($A$3:$A$14312=AO$3,ROW($A$3:$A$14312)),ROW(47:47)),2))</f>
        <v/>
      </c>
      <c r="AP49" t="str">
        <f t="array" ref="AP49">IF(ISERROR(INDEX($A$3:$B$14312,SMALL(IF($A$3:$A$14312=AP$3,ROW($A$3:$A$14312)),ROW(47:47)),2)),"",INDEX($A$3:$B$14312,SMALL(IF($A$3:$A$14312=AP$3,ROW($A$3:$A$14312)),ROW(47:47)),2))</f>
        <v/>
      </c>
      <c r="AQ49" t="str">
        <f t="array" ref="AQ49">IF(ISERROR(INDEX($A$3:$B$14312,SMALL(IF($A$3:$A$14312=AQ$3,ROW($A$3:$A$14312)),ROW(47:47)),2)),"",INDEX($A$3:$B$14312,SMALL(IF($A$3:$A$14312=AQ$3,ROW($A$3:$A$14312)),ROW(47:47)),2))</f>
        <v/>
      </c>
      <c r="AR49" t="str">
        <f t="array" ref="AR49">IF(ISERROR(INDEX($A$3:$B$14312,SMALL(IF($A$3:$A$14312=AR$3,ROW($A$3:$A$14312)),ROW(47:47)),2)),"",INDEX($A$3:$B$14312,SMALL(IF($A$3:$A$14312=AR$3,ROW($A$3:$A$14312)),ROW(47:47)),2))</f>
        <v/>
      </c>
      <c r="AS49" t="str">
        <f t="array" ref="AS49">IF(ISERROR(INDEX($A$3:$B$14312,SMALL(IF($A$3:$A$14312=AS$3,ROW($A$3:$A$14312)),ROW(47:47)),2)),"",INDEX($A$3:$B$14312,SMALL(IF($A$3:$A$14312=AS$3,ROW($A$3:$A$14312)),ROW(47:47)),2))</f>
        <v/>
      </c>
      <c r="AT49" t="str">
        <f t="array" ref="AT49">IF(ISERROR(INDEX($A$3:$B$14312,SMALL(IF($A$3:$A$14312=AT$3,ROW($A$3:$A$14312)),ROW(47:47)),2)),"",INDEX($A$3:$B$14312,SMALL(IF($A$3:$A$14312=AT$3,ROW($A$3:$A$14312)),ROW(47:47)),2))</f>
        <v/>
      </c>
      <c r="AU49" t="str">
        <f t="array" ref="AU49">IF(ISERROR(INDEX($A$3:$B$14312,SMALL(IF($A$3:$A$14312=AU$3,ROW($A$3:$A$14312)),ROW(47:47)),2)),"",INDEX($A$3:$B$14312,SMALL(IF($A$3:$A$14312=AU$3,ROW($A$3:$A$14312)),ROW(47:47)),2))</f>
        <v/>
      </c>
      <c r="AV49" t="str">
        <f t="array" ref="AV49">IF(ISERROR(INDEX($A$3:$B$14312,SMALL(IF($A$3:$A$14312=AV$3,ROW($A$3:$A$14312)),ROW(47:47)),2)),"",INDEX($A$3:$B$14312,SMALL(IF($A$3:$A$14312=AV$3,ROW($A$3:$A$14312)),ROW(47:47)),2))</f>
        <v/>
      </c>
      <c r="AW49" t="str">
        <f t="array" ref="AW49">IF(ISERROR(INDEX($A$3:$B$14312,SMALL(IF($A$3:$A$14312=AW$3,ROW($A$3:$A$14312)),ROW(47:47)),2)),"",INDEX($A$3:$B$14312,SMALL(IF($A$3:$A$14312=AW$3,ROW($A$3:$A$14312)),ROW(47:47)),2))</f>
        <v/>
      </c>
      <c r="AX49" t="str">
        <f t="array" ref="AX49">IF(ISERROR(INDEX($A$3:$B$14312,SMALL(IF($A$3:$A$14312=AX$3,ROW($A$3:$A$14312)),ROW(47:47)),2)),"",INDEX($A$3:$B$14312,SMALL(IF($A$3:$A$14312=AX$3,ROW($A$3:$A$14312)),ROW(47:47)),2))</f>
        <v/>
      </c>
      <c r="AY49" t="str">
        <f t="array" ref="AY49">IF(ISERROR(INDEX($A$3:$B$14312,SMALL(IF($A$3:$A$14312=AY$3,ROW($A$3:$A$14312)),ROW(47:47)),2)),"",INDEX($A$3:$B$14312,SMALL(IF($A$3:$A$14312=AY$3,ROW($A$3:$A$14312)),ROW(47:47)),2))</f>
        <v/>
      </c>
      <c r="AZ49" t="str">
        <f t="array" ref="AZ49">IF(ISERROR(INDEX($A$3:$B$14312,SMALL(IF($A$3:$A$14312=AZ$3,ROW($A$3:$A$14312)),ROW(47:47)),2)),"",INDEX($A$3:$B$14312,SMALL(IF($A$3:$A$14312=AZ$3,ROW($A$3:$A$14312)),ROW(47:47)),2))</f>
        <v/>
      </c>
      <c r="BA49" t="str">
        <f t="array" ref="BA49">IF(ISERROR(INDEX($A$3:$B$14312,SMALL(IF($A$3:$A$14312=BA$3,ROW($A$3:$A$14312)),ROW(47:47)),2)),"",INDEX($A$3:$B$14312,SMALL(IF($A$3:$A$14312=BA$3,ROW($A$3:$A$14312)),ROW(47:47)),2))</f>
        <v/>
      </c>
      <c r="BB49" t="str">
        <f t="array" ref="BB49">IF(ISERROR(INDEX($A$3:$B$14312,SMALL(IF($A$3:$A$14312=BB$3,ROW($A$3:$A$14312)),ROW(47:47)),2)),"",INDEX($A$3:$B$14312,SMALL(IF($A$3:$A$14312=BB$3,ROW($A$3:$A$14312)),ROW(47:47)),2))</f>
        <v/>
      </c>
      <c r="BC49" t="str">
        <f t="array" ref="BC49">IF(ISERROR(INDEX($A$3:$B$14312,SMALL(IF($A$3:$A$14312=BC$3,ROW($A$3:$A$14312)),ROW(47:47)),2)),"",INDEX($A$3:$B$14312,SMALL(IF($A$3:$A$14312=BC$3,ROW($A$3:$A$14312)),ROW(47:47)),2))</f>
        <v/>
      </c>
      <c r="BD49" t="str">
        <f t="array" ref="BD49">IF(ISERROR(INDEX($A$3:$B$14312,SMALL(IF($A$3:$A$14312=BD$3,ROW($A$3:$A$14312)),ROW(47:47)),2)),"",INDEX($A$3:$B$14312,SMALL(IF($A$3:$A$14312=BD$3,ROW($A$3:$A$14312)),ROW(47:47)),2))</f>
        <v/>
      </c>
      <c r="BE49" t="str">
        <f t="array" ref="BE49">IF(ISERROR(INDEX($A$3:$B$14312,SMALL(IF($A$3:$A$14312=BE$3,ROW($A$3:$A$14312)),ROW(47:47)),2)),"",INDEX($A$3:$B$14312,SMALL(IF($A$3:$A$14312=BE$3,ROW($A$3:$A$14312)),ROW(47:47)),2))</f>
        <v/>
      </c>
      <c r="BF49" t="str">
        <f t="array" ref="BF49">IF(ISERROR(INDEX($A$3:$B$14312,SMALL(IF($A$3:$A$14312=BF$3,ROW($A$3:$A$14312)),ROW(47:47)),2)),"",INDEX($A$3:$B$14312,SMALL(IF($A$3:$A$14312=BF$3,ROW($A$3:$A$14312)),ROW(47:47)),2))</f>
        <v/>
      </c>
      <c r="BG49" t="str">
        <f t="array" ref="BG49">IF(ISERROR(INDEX($A$3:$B$14312,SMALL(IF($A$3:$A$14312=BG$3,ROW($A$3:$A$14312)),ROW(47:47)),2)),"",INDEX($A$3:$B$14312,SMALL(IF($A$3:$A$14312=BG$3,ROW($A$3:$A$14312)),ROW(47:47)),2))</f>
        <v/>
      </c>
      <c r="BH49" t="str">
        <f t="array" ref="BH49">IF(ISERROR(INDEX($A$3:$B$14312,SMALL(IF($A$3:$A$14312=BH$3,ROW($A$3:$A$14312)),ROW(47:47)),2)),"",INDEX($A$3:$B$14312,SMALL(IF($A$3:$A$14312=BH$3,ROW($A$3:$A$14312)),ROW(47:47)),2))</f>
        <v/>
      </c>
      <c r="BI49" t="str">
        <f t="array" ref="BI49">IF(ISERROR(INDEX($A$3:$B$14312,SMALL(IF($A$3:$A$14312=BI$3,ROW($A$3:$A$14312)),ROW(47:47)),2)),"",INDEX($A$3:$B$14312,SMALL(IF($A$3:$A$14312=BI$3,ROW($A$3:$A$14312)),ROW(47:47)),2))</f>
        <v/>
      </c>
      <c r="BJ49" t="str">
        <f t="array" ref="BJ49">IF(ISERROR(INDEX($A$3:$B$14312,SMALL(IF($A$3:$A$14312=BJ$3,ROW($A$3:$A$14312)),ROW(47:47)),2)),"",INDEX($A$3:$B$14312,SMALL(IF($A$3:$A$14312=BJ$3,ROW($A$3:$A$14312)),ROW(47:47)),2))</f>
        <v/>
      </c>
      <c r="BK49" t="str">
        <f t="array" ref="BK49">IF(ISERROR(INDEX($A$3:$B$14312,SMALL(IF($A$3:$A$14312=BK$3,ROW($A$3:$A$14312)),ROW(47:47)),2)),"",INDEX($A$3:$B$14312,SMALL(IF($A$3:$A$14312=BK$3,ROW($A$3:$A$14312)),ROW(47:47)),2))</f>
        <v/>
      </c>
      <c r="BL49" t="str">
        <f t="array" ref="BL49">IF(ISERROR(INDEX($A$3:$B$14312,SMALL(IF($A$3:$A$14312=BL$3,ROW($A$3:$A$14312)),ROW(47:47)),2)),"",INDEX($A$3:$B$14312,SMALL(IF($A$3:$A$14312=BL$3,ROW($A$3:$A$14312)),ROW(47:47)),2))</f>
        <v/>
      </c>
      <c r="BM49" t="str">
        <f t="array" ref="BM49">IF(ISERROR(INDEX($A$3:$B$14312,SMALL(IF($A$3:$A$14312=BM$3,ROW($A$3:$A$14312)),ROW(47:47)),2)),"",INDEX($A$3:$B$14312,SMALL(IF($A$3:$A$14312=BM$3,ROW($A$3:$A$14312)),ROW(47:47)),2))</f>
        <v/>
      </c>
      <c r="BN49" t="str">
        <f t="array" ref="BN49">IF(ISERROR(INDEX($A$3:$B$14312,SMALL(IF($A$3:$A$14312=BN$3,ROW($A$3:$A$14312)),ROW(47:47)),2)),"",INDEX($A$3:$B$14312,SMALL(IF($A$3:$A$14312=BN$3,ROW($A$3:$A$14312)),ROW(47:47)),2))</f>
        <v/>
      </c>
      <c r="BO49" t="str">
        <f t="array" ref="BO49">IF(ISERROR(INDEX($A$3:$B$14312,SMALL(IF($A$3:$A$14312=BO$3,ROW($A$3:$A$14312)),ROW(47:47)),2)),"",INDEX($A$3:$B$14312,SMALL(IF($A$3:$A$14312=BO$3,ROW($A$3:$A$14312)),ROW(47:47)),2))</f>
        <v/>
      </c>
      <c r="BP49" t="str">
        <f t="array" ref="BP49">IF(ISERROR(INDEX($A$3:$B$14312,SMALL(IF($A$3:$A$14312=BP$3,ROW($A$3:$A$14312)),ROW(47:47)),2)),"",INDEX($A$3:$B$14312,SMALL(IF($A$3:$A$14312=BP$3,ROW($A$3:$A$14312)),ROW(47:47)),2))</f>
        <v/>
      </c>
      <c r="BQ49" t="str">
        <f t="array" ref="BQ49">IF(ISERROR(INDEX($A$3:$B$14312,SMALL(IF($A$3:$A$14312=BQ$3,ROW($A$3:$A$14312)),ROW(47:47)),2)),"",INDEX($A$3:$B$14312,SMALL(IF($A$3:$A$14312=BQ$3,ROW($A$3:$A$14312)),ROW(47:47)),2))</f>
        <v/>
      </c>
      <c r="BR49" t="str">
        <f t="array" ref="BR49">IF(ISERROR(INDEX($A$3:$B$14312,SMALL(IF($A$3:$A$14312=BR$3,ROW($A$3:$A$14312)),ROW(47:47)),2)),"",INDEX($A$3:$B$14312,SMALL(IF($A$3:$A$14312=BR$3,ROW($A$3:$A$14312)),ROW(47:47)),2))</f>
        <v/>
      </c>
      <c r="BS49" t="str">
        <f t="array" ref="BS49">IF(ISERROR(INDEX($A$3:$B$14312,SMALL(IF($A$3:$A$14312=BS$3,ROW($A$3:$A$14312)),ROW(47:47)),2)),"",INDEX($A$3:$B$14312,SMALL(IF($A$3:$A$14312=BS$3,ROW($A$3:$A$14312)),ROW(47:47)),2))</f>
        <v/>
      </c>
      <c r="BT49" t="str">
        <f t="array" ref="BT49">IF(ISERROR(INDEX($A$3:$B$14312,SMALL(IF($A$3:$A$14312=BT$3,ROW($A$3:$A$14312)),ROW(47:47)),2)),"",INDEX($A$3:$B$14312,SMALL(IF($A$3:$A$14312=BT$3,ROW($A$3:$A$14312)),ROW(47:47)),2))</f>
        <v>Router3_148</v>
      </c>
      <c r="BU49" t="str">
        <f t="array" ref="BU49">IF(ISERROR(INDEX($A$3:$B$14312,SMALL(IF($A$3:$A$14312=BU$3,ROW($A$3:$A$14312)),ROW(47:47)),2)),"",INDEX($A$3:$B$14312,SMALL(IF($A$3:$A$14312=BU$3,ROW($A$3:$A$14312)),ROW(47:47)),2))</f>
        <v/>
      </c>
      <c r="BV49" t="str">
        <f t="array" ref="BV49">IF(ISERROR(INDEX($A$3:$B$14312,SMALL(IF($A$3:$A$14312=BV$3,ROW($A$3:$A$14312)),ROW(47:47)),2)),"",INDEX($A$3:$B$14312,SMALL(IF($A$3:$A$14312=BV$3,ROW($A$3:$A$14312)),ROW(47:47)),2))</f>
        <v/>
      </c>
      <c r="BW49" t="str">
        <f t="array" ref="BW49">IF(ISERROR(INDEX($A$3:$B$14312,SMALL(IF($A$3:$A$14312=BW$3,ROW($A$3:$A$14312)),ROW(47:47)),2)),"",INDEX($A$3:$B$14312,SMALL(IF($A$3:$A$14312=BW$3,ROW($A$3:$A$14312)),ROW(47:47)),2))</f>
        <v/>
      </c>
      <c r="BX49" t="str">
        <f t="array" ref="BX49">IF(ISERROR(INDEX($A$3:$B$14312,SMALL(IF($A$3:$A$14312=BX$3,ROW($A$3:$A$14312)),ROW(47:47)),2)),"",INDEX($A$3:$B$14312,SMALL(IF($A$3:$A$14312=BX$3,ROW($A$3:$A$14312)),ROW(47:47)),2))</f>
        <v/>
      </c>
      <c r="BY49" t="str">
        <f t="array" ref="BY49">IF(ISERROR(INDEX($A$3:$B$14312,SMALL(IF($A$3:$A$14312=BY$3,ROW($A$3:$A$14312)),ROW(47:47)),2)),"",INDEX($A$3:$B$14312,SMALL(IF($A$3:$A$14312=BY$3,ROW($A$3:$A$14312)),ROW(47:47)),2))</f>
        <v/>
      </c>
      <c r="BZ49" t="str">
        <f t="array" ref="BZ49">IF(ISERROR(INDEX($A$3:$B$14312,SMALL(IF($A$3:$A$14312=BZ$3,ROW($A$3:$A$14312)),ROW(47:47)),2)),"",INDEX($A$3:$B$14312,SMALL(IF($A$3:$A$14312=BZ$3,ROW($A$3:$A$14312)),ROW(47:47)),2))</f>
        <v/>
      </c>
      <c r="CA49" t="str">
        <f t="array" ref="CA49">IF(ISERROR(INDEX($A$3:$B$14312,SMALL(IF($A$3:$A$14312=CA$3,ROW($A$3:$A$14312)),ROW(47:47)),2)),"",INDEX($A$3:$B$14312,SMALL(IF($A$3:$A$14312=CA$3,ROW($A$3:$A$14312)),ROW(47:47)),2))</f>
        <v/>
      </c>
      <c r="CB49" t="str">
        <f t="array" ref="CB49">IF(ISERROR(INDEX($A$3:$B$14312,SMALL(IF($A$3:$A$14312=CB$3,ROW($A$3:$A$14312)),ROW(47:47)),2)),"",INDEX($A$3:$B$14312,SMALL(IF($A$3:$A$14312=CB$3,ROW($A$3:$A$14312)),ROW(47:47)),2))</f>
        <v/>
      </c>
      <c r="CC49" t="str">
        <f t="array" ref="CC49">IF(ISERROR(INDEX($A$3:$B$14312,SMALL(IF($A$3:$A$14312=CC$3,ROW($A$3:$A$14312)),ROW(47:47)),2)),"",INDEX($A$3:$B$14312,SMALL(IF($A$3:$A$14312=CC$3,ROW($A$3:$A$14312)),ROW(47:47)),2))</f>
        <v/>
      </c>
      <c r="CD49" t="str">
        <f t="array" ref="CD49">IF(ISERROR(INDEX($A$3:$B$14312,SMALL(IF($A$3:$A$14312=CD$3,ROW($A$3:$A$14312)),ROW(47:47)),2)),"",INDEX($A$3:$B$14312,SMALL(IF($A$3:$A$14312=CD$3,ROW($A$3:$A$14312)),ROW(47:47)),2))</f>
        <v/>
      </c>
      <c r="CE49" t="str">
        <f t="array" ref="CE49">IF(ISERROR(INDEX($A$3:$B$14312,SMALL(IF($A$3:$A$14312=CE$3,ROW($A$3:$A$14312)),ROW(47:47)),2)),"",INDEX($A$3:$B$14312,SMALL(IF($A$3:$A$14312=CE$3,ROW($A$3:$A$14312)),ROW(47:47)),2))</f>
        <v/>
      </c>
      <c r="CF49" t="str">
        <f t="array" ref="CF49">IF(ISERROR(INDEX($A$3:$B$14312,SMALL(IF($A$3:$A$14312=CF$3,ROW($A$3:$A$14312)),ROW(47:47)),2)),"",INDEX($A$3:$B$14312,SMALL(IF($A$3:$A$14312=CF$3,ROW($A$3:$A$14312)),ROW(47:47)),2))</f>
        <v/>
      </c>
      <c r="CG49" t="str">
        <f t="array" ref="CG49">IF(ISERROR(INDEX($A$3:$B$14312,SMALL(IF($A$3:$A$14312=CG$3,ROW($A$3:$A$14312)),ROW(47:47)),2)),"",INDEX($A$3:$B$14312,SMALL(IF($A$3:$A$14312=CG$3,ROW($A$3:$A$14312)),ROW(47:47)),2))</f>
        <v/>
      </c>
      <c r="CH49" t="str">
        <f t="array" ref="CH49">IF(ISERROR(INDEX($A$3:$B$14312,SMALL(IF($A$3:$A$14312=CH$3,ROW($A$3:$A$14312)),ROW(47:47)),2)),"",INDEX($A$3:$B$14312,SMALL(IF($A$3:$A$14312=CH$3,ROW($A$3:$A$14312)),ROW(47:47)),2))</f>
        <v/>
      </c>
      <c r="CI49" t="str">
        <f t="array" ref="CI49">IF(ISERROR(INDEX($A$3:$B$14312,SMALL(IF($A$3:$A$14312=CI$3,ROW($A$3:$A$14312)),ROW(47:47)),2)),"",INDEX($A$3:$B$14312,SMALL(IF($A$3:$A$14312=CI$3,ROW($A$3:$A$14312)),ROW(47:47)),2))</f>
        <v/>
      </c>
      <c r="CJ49" t="str">
        <f t="array" ref="CJ49">IF(ISERROR(INDEX($A$3:$B$14312,SMALL(IF($A$3:$A$14312=CJ$3,ROW($A$3:$A$14312)),ROW(47:47)),2)),"",INDEX($A$3:$B$14312,SMALL(IF($A$3:$A$14312=CJ$3,ROW($A$3:$A$14312)),ROW(47:47)),2))</f>
        <v/>
      </c>
      <c r="CK49" t="str">
        <f t="array" ref="CK49">IF(ISERROR(INDEX($A$3:$B$14312,SMALL(IF($A$3:$A$14312=CK$3,ROW($A$3:$A$14312)),ROW(47:47)),2)),"",INDEX($A$3:$B$14312,SMALL(IF($A$3:$A$14312=CK$3,ROW($A$3:$A$14312)),ROW(47:47)),2))</f>
        <v/>
      </c>
      <c r="CL49" t="str">
        <f t="array" ref="CL49">IF(ISERROR(INDEX($A$3:$B$14312,SMALL(IF($A$3:$A$14312=CL$3,ROW($A$3:$A$14312)),ROW(47:47)),2)),"",INDEX($A$3:$B$14312,SMALL(IF($A$3:$A$14312=CL$3,ROW($A$3:$A$14312)),ROW(47:47)),2))</f>
        <v/>
      </c>
      <c r="CM49" t="str">
        <f t="array" ref="CM49">IF(ISERROR(INDEX($A$3:$B$14312,SMALL(IF($A$3:$A$14312=CM$3,ROW($A$3:$A$14312)),ROW(47:47)),2)),"",INDEX($A$3:$B$14312,SMALL(IF($A$3:$A$14312=CM$3,ROW($A$3:$A$14312)),ROW(47:47)),2))</f>
        <v/>
      </c>
      <c r="CN49" t="str">
        <f t="array" ref="CN49">IF(ISERROR(INDEX($A$3:$B$14312,SMALL(IF($A$3:$A$14312=CN$3,ROW($A$3:$A$14312)),ROW(47:47)),2)),"",INDEX($A$3:$B$14312,SMALL(IF($A$3:$A$14312=CN$3,ROW($A$3:$A$14312)),ROW(47:47)),2))</f>
        <v/>
      </c>
      <c r="CO49" t="str">
        <f t="array" ref="CO49">IF(ISERROR(INDEX($A$3:$B$14312,SMALL(IF($A$3:$A$14312=CO$3,ROW($A$3:$A$14312)),ROW(47:47)),2)),"",INDEX($A$3:$B$14312,SMALL(IF($A$3:$A$14312=CO$3,ROW($A$3:$A$14312)),ROW(47:47)),2))</f>
        <v/>
      </c>
      <c r="CP49" t="str">
        <f t="array" ref="CP49">IF(ISERROR(INDEX($A$3:$B$14312,SMALL(IF($A$3:$A$14312=CP$3,ROW($A$3:$A$14312)),ROW(47:47)),2)),"",INDEX($A$3:$B$14312,SMALL(IF($A$3:$A$14312=CP$3,ROW($A$3:$A$14312)),ROW(47:47)),2))</f>
        <v/>
      </c>
      <c r="CQ49" t="str">
        <f t="array" ref="CQ49">IF(ISERROR(INDEX($A$3:$B$14312,SMALL(IF($A$3:$A$14312=CQ$3,ROW($A$3:$A$14312)),ROW(47:47)),2)),"",INDEX($A$3:$B$14312,SMALL(IF($A$3:$A$14312=CQ$3,ROW($A$3:$A$14312)),ROW(47:47)),2))</f>
        <v/>
      </c>
      <c r="CR49" t="str">
        <f t="array" ref="CR49">IF(ISERROR(INDEX($A$3:$B$14312,SMALL(IF($A$3:$A$14312=CR$3,ROW($A$3:$A$14312)),ROW(47:47)),2)),"",INDEX($A$3:$B$14312,SMALL(IF($A$3:$A$14312=CR$3,ROW($A$3:$A$14312)),ROW(47:47)),2))</f>
        <v/>
      </c>
      <c r="CS49" t="str">
        <f t="array" ref="CS49">IF(ISERROR(INDEX($A$3:$B$14312,SMALL(IF($A$3:$A$14312=CS$3,ROW($A$3:$A$14312)),ROW(47:47)),2)),"",INDEX($A$3:$B$14312,SMALL(IF($A$3:$A$14312=CS$3,ROW($A$3:$A$14312)),ROW(47:47)),2))</f>
        <v/>
      </c>
      <c r="CT49" t="str">
        <f t="array" ref="CT49">IF(ISERROR(INDEX($A$3:$B$14312,SMALL(IF($A$3:$A$14312=CT$3,ROW($A$3:$A$14312)),ROW(47:47)),2)),"",INDEX($A$3:$B$14312,SMALL(IF($A$3:$A$14312=CT$3,ROW($A$3:$A$14312)),ROW(47:47)),2))</f>
        <v/>
      </c>
      <c r="CU49" t="str">
        <f t="array" ref="CU49">IF(ISERROR(INDEX($A$3:$B$14312,SMALL(IF($A$3:$A$14312=CU$3,ROW($A$3:$A$14312)),ROW(47:47)),2)),"",INDEX($A$3:$B$14312,SMALL(IF($A$3:$A$14312=CU$3,ROW($A$3:$A$14312)),ROW(47:47)),2))</f>
        <v/>
      </c>
      <c r="CV49" t="str">
        <f t="array" ref="CV49">IF(ISERROR(INDEX($A$3:$B$14312,SMALL(IF($A$3:$A$14312=CV$3,ROW($A$3:$A$14312)),ROW(47:47)),2)),"",INDEX($A$3:$B$14312,SMALL(IF($A$3:$A$14312=CV$3,ROW($A$3:$A$14312)),ROW(47:47)),2))</f>
        <v/>
      </c>
      <c r="CW49" t="str">
        <f t="array" ref="CW49">IF(ISERROR(INDEX($A$3:$B$14312,SMALL(IF($A$3:$A$14312=CW$3,ROW($A$3:$A$14312)),ROW(47:47)),2)),"",INDEX($A$3:$B$14312,SMALL(IF($A$3:$A$14312=CW$3,ROW($A$3:$A$14312)),ROW(47:47)),2))</f>
        <v/>
      </c>
      <c r="CX49" t="str">
        <f t="array" ref="CX49">IF(ISERROR(INDEX($A$3:$B$14312,SMALL(IF($A$3:$A$14312=CX$3,ROW($A$3:$A$14312)),ROW(47:47)),2)),"",INDEX($A$3:$B$14312,SMALL(IF($A$3:$A$14312=CX$3,ROW($A$3:$A$14312)),ROW(47:47)),2))</f>
        <v/>
      </c>
      <c r="CY49" t="str">
        <f t="array" ref="CY49">IF(ISERROR(INDEX($A$3:$B$14312,SMALL(IF($A$3:$A$14312=CY$3,ROW($A$3:$A$14312)),ROW(47:47)),2)),"",INDEX($A$3:$B$14312,SMALL(IF($A$3:$A$14312=CY$3,ROW($A$3:$A$14312)),ROW(47:47)),2))</f>
        <v/>
      </c>
      <c r="CZ49" t="str">
        <f t="array" ref="CZ49">IF(ISERROR(INDEX($A$3:$B$14312,SMALL(IF($A$3:$A$14312=CZ$3,ROW($A$3:$A$14312)),ROW(47:47)),2)),"",INDEX($A$3:$B$14312,SMALL(IF($A$3:$A$14312=CZ$3,ROW($A$3:$A$14312)),ROW(47:47)),2))</f>
        <v/>
      </c>
      <c r="DA49" t="str">
        <f t="array" ref="DA49">IF(ISERROR(INDEX($A$3:$B$14312,SMALL(IF($A$3:$A$14312=DA$3,ROW($A$3:$A$14312)),ROW(47:47)),2)),"",INDEX($A$3:$B$14312,SMALL(IF($A$3:$A$14312=DA$3,ROW($A$3:$A$14312)),ROW(47:47)),2))</f>
        <v/>
      </c>
      <c r="DB49" t="str">
        <f t="array" ref="DB49">IF(ISERROR(INDEX($A$3:$B$14312,SMALL(IF($A$3:$A$14312=DB$3,ROW($A$3:$A$14312)),ROW(47:47)),2)),"",INDEX($A$3:$B$14312,SMALL(IF($A$3:$A$14312=DB$3,ROW($A$3:$A$14312)),ROW(47:47)),2))</f>
        <v/>
      </c>
      <c r="DC49" t="str">
        <f t="array" ref="DC49">IF(ISERROR(INDEX($A$3:$B$14312,SMALL(IF($A$3:$A$14312=DC$3,ROW($A$3:$A$14312)),ROW(47:47)),2)),"",INDEX($A$3:$B$14312,SMALL(IF($A$3:$A$14312=DC$3,ROW($A$3:$A$14312)),ROW(47:47)),2))</f>
        <v/>
      </c>
      <c r="DD49" t="str">
        <f t="array" ref="DD49">IF(ISERROR(INDEX($A$3:$B$14312,SMALL(IF($A$3:$A$14312=DD$3,ROW($A$3:$A$14312)),ROW(47:47)),2)),"",INDEX($A$3:$B$14312,SMALL(IF($A$3:$A$14312=DD$3,ROW($A$3:$A$14312)),ROW(47:47)),2))</f>
        <v/>
      </c>
      <c r="DE49" t="str">
        <f t="array" ref="DE49">IF(ISERROR(INDEX($A$3:$B$14312,SMALL(IF($A$3:$A$14312=DE$3,ROW($A$3:$A$14312)),ROW(47:47)),2)),"",INDEX($A$3:$B$14312,SMALL(IF($A$3:$A$14312=DE$3,ROW($A$3:$A$14312)),ROW(47:47)),2))</f>
        <v/>
      </c>
      <c r="DF49" t="str">
        <f t="array" ref="DF49">IF(ISERROR(INDEX($A$3:$B$14312,SMALL(IF($A$3:$A$14312=DF$3,ROW($A$3:$A$14312)),ROW(47:47)),2)),"",INDEX($A$3:$B$14312,SMALL(IF($A$3:$A$14312=DF$3,ROW($A$3:$A$14312)),ROW(47:47)),2))</f>
        <v/>
      </c>
      <c r="DG49" t="str">
        <f t="array" ref="DG49">IF(ISERROR(INDEX($A$3:$B$14312,SMALL(IF($A$3:$A$14312=DG$3,ROW($A$3:$A$14312)),ROW(47:47)),2)),"",INDEX($A$3:$B$14312,SMALL(IF($A$3:$A$14312=DG$3,ROW($A$3:$A$14312)),ROW(47:47)),2))</f>
        <v/>
      </c>
      <c r="DH49" t="str">
        <f t="array" ref="DH49">IF(ISERROR(INDEX($A$3:$B$14312,SMALL(IF($A$3:$A$14312=DH$3,ROW($A$3:$A$14312)),ROW(47:47)),2)),"",INDEX($A$3:$B$14312,SMALL(IF($A$3:$A$14312=DH$3,ROW($A$3:$A$14312)),ROW(47:47)),2))</f>
        <v/>
      </c>
      <c r="DI49" t="str">
        <f t="array" ref="DI49">IF(ISERROR(INDEX($A$3:$B$14312,SMALL(IF($A$3:$A$14312=DI$3,ROW($A$3:$A$14312)),ROW(47:47)),2)),"",INDEX($A$3:$B$14312,SMALL(IF($A$3:$A$14312=DI$3,ROW($A$3:$A$14312)),ROW(47:47)),2))</f>
        <v>Router3_113</v>
      </c>
      <c r="DJ49" t="str">
        <f t="array" ref="DJ49">IF(ISERROR(INDEX($A$3:$B$14312,SMALL(IF($A$3:$A$14312=DJ$3,ROW($A$3:$A$14312)),ROW(47:47)),2)),"",INDEX($A$3:$B$14312,SMALL(IF($A$3:$A$14312=DJ$3,ROW($A$3:$A$14312)),ROW(47:47)),2))</f>
        <v/>
      </c>
      <c r="DK49" t="str">
        <f t="array" ref="DK49">IF(ISERROR(INDEX($A$3:$B$14312,SMALL(IF($A$3:$A$14312=DK$3,ROW($A$3:$A$14312)),ROW(47:47)),2)),"",INDEX($A$3:$B$14312,SMALL(IF($A$3:$A$14312=DK$3,ROW($A$3:$A$14312)),ROW(47:47)),2))</f>
        <v/>
      </c>
      <c r="DL49" t="str">
        <f t="array" ref="DL49">IF(ISERROR(INDEX($A$3:$B$14312,SMALL(IF($A$3:$A$14312=DL$3,ROW($A$3:$A$14312)),ROW(47:47)),2)),"",INDEX($A$3:$B$14312,SMALL(IF($A$3:$A$14312=DL$3,ROW($A$3:$A$14312)),ROW(47:47)),2))</f>
        <v/>
      </c>
      <c r="DM49" t="str">
        <f t="array" ref="DM49">IF(ISERROR(INDEX($A$3:$B$14312,SMALL(IF($A$3:$A$14312=DM$3,ROW($A$3:$A$14312)),ROW(47:47)),2)),"",INDEX($A$3:$B$14312,SMALL(IF($A$3:$A$14312=DM$3,ROW($A$3:$A$14312)),ROW(47:47)),2))</f>
        <v/>
      </c>
      <c r="DN49" t="str">
        <f t="array" ref="DN49">IF(ISERROR(INDEX($A$3:$B$14312,SMALL(IF($A$3:$A$14312=DN$3,ROW($A$3:$A$14312)),ROW(47:47)),2)),"",INDEX($A$3:$B$14312,SMALL(IF($A$3:$A$14312=DN$3,ROW($A$3:$A$14312)),ROW(47:47)),2))</f>
        <v/>
      </c>
      <c r="DO49" t="str">
        <f t="array" ref="DO49">IF(ISERROR(INDEX($A$3:$B$14312,SMALL(IF($A$3:$A$14312=DO$3,ROW($A$3:$A$14312)),ROW(47:47)),2)),"",INDEX($A$3:$B$14312,SMALL(IF($A$3:$A$14312=DO$3,ROW($A$3:$A$14312)),ROW(47:47)),2))</f>
        <v/>
      </c>
      <c r="DP49" t="str">
        <f t="array" ref="DP49">IF(ISERROR(INDEX($A$3:$B$14312,SMALL(IF($A$3:$A$14312=DP$3,ROW($A$3:$A$14312)),ROW(47:47)),2)),"",INDEX($A$3:$B$14312,SMALL(IF($A$3:$A$14312=DP$3,ROW($A$3:$A$14312)),ROW(47:47)),2))</f>
        <v/>
      </c>
      <c r="DQ49" t="str">
        <f t="array" ref="DQ49">IF(ISERROR(INDEX($A$3:$B$14312,SMALL(IF($A$3:$A$14312=DQ$3,ROW($A$3:$A$14312)),ROW(47:47)),2)),"",INDEX($A$3:$B$14312,SMALL(IF($A$3:$A$14312=DQ$3,ROW($A$3:$A$14312)),ROW(47:47)),2))</f>
        <v/>
      </c>
      <c r="DR49" t="str">
        <f t="array" ref="DR49">IF(ISERROR(INDEX($A$3:$B$14312,SMALL(IF($A$3:$A$14312=DR$3,ROW($A$3:$A$14312)),ROW(47:47)),2)),"",INDEX($A$3:$B$14312,SMALL(IF($A$3:$A$14312=DR$3,ROW($A$3:$A$14312)),ROW(47:47)),2))</f>
        <v/>
      </c>
      <c r="DS49" t="str">
        <f t="array" ref="DS49">IF(ISERROR(INDEX($A$3:$B$14312,SMALL(IF($A$3:$A$14312=DS$3,ROW($A$3:$A$14312)),ROW(47:47)),2)),"",INDEX($A$3:$B$14312,SMALL(IF($A$3:$A$14312=DS$3,ROW($A$3:$A$14312)),ROW(47:47)),2))</f>
        <v/>
      </c>
      <c r="DT49" t="str">
        <f t="array" ref="DT49">IF(ISERROR(INDEX($A$3:$B$14312,SMALL(IF($A$3:$A$14312=DT$3,ROW($A$3:$A$14312)),ROW(47:47)),2)),"",INDEX($A$3:$B$14312,SMALL(IF($A$3:$A$14312=DT$3,ROW($A$3:$A$14312)),ROW(47:47)),2))</f>
        <v>Router3_113</v>
      </c>
      <c r="DU49" t="str">
        <f t="array" ref="DU49">IF(ISERROR(INDEX($A$3:$B$14312,SMALL(IF($A$3:$A$14312=DU$3,ROW($A$3:$A$14312)),ROW(47:47)),2)),"",INDEX($A$3:$B$14312,SMALL(IF($A$3:$A$14312=DU$3,ROW($A$3:$A$14312)),ROW(47:47)),2))</f>
        <v>Router3_19</v>
      </c>
      <c r="DV49" t="str">
        <f t="array" ref="DV49">IF(ISERROR(INDEX($A$3:$B$14312,SMALL(IF($A$3:$A$14312=DV$3,ROW($A$3:$A$14312)),ROW(47:47)),2)),"",INDEX($A$3:$B$14312,SMALL(IF($A$3:$A$14312=DV$3,ROW($A$3:$A$14312)),ROW(47:47)),2))</f>
        <v/>
      </c>
      <c r="DW49" t="str">
        <f t="array" ref="DW49">IF(ISERROR(INDEX($A$3:$B$14312,SMALL(IF($A$3:$A$14312=DW$3,ROW($A$3:$A$14312)),ROW(47:47)),2)),"",INDEX($A$3:$B$14312,SMALL(IF($A$3:$A$14312=DW$3,ROW($A$3:$A$14312)),ROW(47:47)),2))</f>
        <v/>
      </c>
      <c r="DX49" t="str">
        <f t="array" ref="DX49">IF(ISERROR(INDEX($A$3:$B$14312,SMALL(IF($A$3:$A$14312=DX$3,ROW($A$3:$A$14312)),ROW(47:47)),2)),"",INDEX($A$3:$B$14312,SMALL(IF($A$3:$A$14312=DX$3,ROW($A$3:$A$14312)),ROW(47:47)),2))</f>
        <v/>
      </c>
      <c r="DY49" t="str">
        <f t="array" ref="DY49">IF(ISERROR(INDEX($A$3:$B$14312,SMALL(IF($A$3:$A$14312=DY$3,ROW($A$3:$A$14312)),ROW(47:47)),2)),"",INDEX($A$3:$B$14312,SMALL(IF($A$3:$A$14312=DY$3,ROW($A$3:$A$14312)),ROW(47:47)),2))</f>
        <v/>
      </c>
      <c r="DZ49" t="str">
        <f t="array" ref="DZ49">IF(ISERROR(INDEX($A$3:$B$14312,SMALL(IF($A$3:$A$14312=DZ$3,ROW($A$3:$A$14312)),ROW(47:47)),2)),"",INDEX($A$3:$B$14312,SMALL(IF($A$3:$A$14312=DZ$3,ROW($A$3:$A$14312)),ROW(47:47)),2))</f>
        <v/>
      </c>
      <c r="EA49" t="str">
        <f t="array" ref="EA49">IF(ISERROR(INDEX($A$3:$B$14312,SMALL(IF($A$3:$A$14312=EA$3,ROW($A$3:$A$14312)),ROW(47:47)),2)),"",INDEX($A$3:$B$14312,SMALL(IF($A$3:$A$14312=EA$3,ROW($A$3:$A$14312)),ROW(47:47)),2))</f>
        <v/>
      </c>
      <c r="EB49" t="str">
        <f t="array" ref="EB49">IF(ISERROR(INDEX($A$3:$B$14312,SMALL(IF($A$3:$A$14312=EB$3,ROW($A$3:$A$14312)),ROW(47:47)),2)),"",INDEX($A$3:$B$14312,SMALL(IF($A$3:$A$14312=EB$3,ROW($A$3:$A$14312)),ROW(47:47)),2))</f>
        <v/>
      </c>
      <c r="EC49" t="str">
        <f t="array" ref="EC49">IF(ISERROR(INDEX($A$3:$B$14312,SMALL(IF($A$3:$A$14312=EC$3,ROW($A$3:$A$14312)),ROW(47:47)),2)),"",INDEX($A$3:$B$14312,SMALL(IF($A$3:$A$14312=EC$3,ROW($A$3:$A$14312)),ROW(47:47)),2))</f>
        <v>Router3_157</v>
      </c>
      <c r="ED49" t="str">
        <f t="array" ref="ED49">IF(ISERROR(INDEX($A$3:$B$14312,SMALL(IF($A$3:$A$14312=ED$3,ROW($A$3:$A$14312)),ROW(47:47)),2)),"",INDEX($A$3:$B$14312,SMALL(IF($A$3:$A$14312=ED$3,ROW($A$3:$A$14312)),ROW(47:47)),2))</f>
        <v/>
      </c>
      <c r="EE49" t="str">
        <f t="array" ref="EE49">IF(ISERROR(INDEX($A$3:$B$14312,SMALL(IF($A$3:$A$14312=EE$3,ROW($A$3:$A$14312)),ROW(47:47)),2)),"",INDEX($A$3:$B$14312,SMALL(IF($A$3:$A$14312=EE$3,ROW($A$3:$A$14312)),ROW(47:47)),2))</f>
        <v/>
      </c>
    </row>
    <row r="50" spans="1:135" x14ac:dyDescent="0.25">
      <c r="A50" s="10">
        <v>-450827381</v>
      </c>
      <c r="B50" t="s">
        <v>1105</v>
      </c>
      <c r="E50" t="str">
        <f t="array" ref="E50">IF(ISERROR(INDEX($A$3:$B$14312,SMALL(IF($A$3:$A$14312=E$3,ROW($A$3:$A$14312)),ROW(48:48)),2)),"",INDEX($A$3:$B$14312,SMALL(IF($A$3:$A$14312=E$3,ROW($A$3:$A$14312)),ROW(48:48)),2))</f>
        <v/>
      </c>
      <c r="F50" t="str">
        <f t="array" ref="F50">IF(ISERROR(INDEX($A$3:$B$14312,SMALL(IF($A$3:$A$14312=F$3,ROW($A$3:$A$14312)),ROW(48:48)),2)),"",INDEX($A$3:$B$14312,SMALL(IF($A$3:$A$14312=F$3,ROW($A$3:$A$14312)),ROW(48:48)),2))</f>
        <v/>
      </c>
      <c r="G50" t="str">
        <f t="array" ref="G50">IF(ISERROR(INDEX($A$3:$B$14312,SMALL(IF($A$3:$A$14312=G$3,ROW($A$3:$A$14312)),ROW(48:48)),2)),"",INDEX($A$3:$B$14312,SMALL(IF($A$3:$A$14312=G$3,ROW($A$3:$A$14312)),ROW(48:48)),2))</f>
        <v/>
      </c>
      <c r="H50" t="str">
        <f t="array" ref="H50">IF(ISERROR(INDEX($A$3:$B$14312,SMALL(IF($A$3:$A$14312=H$3,ROW($A$3:$A$14312)),ROW(48:48)),2)),"",INDEX($A$3:$B$14312,SMALL(IF($A$3:$A$14312=H$3,ROW($A$3:$A$14312)),ROW(48:48)),2))</f>
        <v/>
      </c>
      <c r="I50" t="str">
        <f t="array" ref="I50">IF(ISERROR(INDEX($A$3:$B$14312,SMALL(IF($A$3:$A$14312=I$3,ROW($A$3:$A$14312)),ROW(48:48)),2)),"",INDEX($A$3:$B$14312,SMALL(IF($A$3:$A$14312=I$3,ROW($A$3:$A$14312)),ROW(48:48)),2))</f>
        <v/>
      </c>
      <c r="J50" t="str">
        <f t="array" ref="J50">IF(ISERROR(INDEX($A$3:$B$14312,SMALL(IF($A$3:$A$14312=J$3,ROW($A$3:$A$14312)),ROW(48:48)),2)),"",INDEX($A$3:$B$14312,SMALL(IF($A$3:$A$14312=J$3,ROW($A$3:$A$14312)),ROW(48:48)),2))</f>
        <v/>
      </c>
      <c r="K50" t="str">
        <f t="array" ref="K50">IF(ISERROR(INDEX($A$3:$B$14312,SMALL(IF($A$3:$A$14312=K$3,ROW($A$3:$A$14312)),ROW(48:48)),2)),"",INDEX($A$3:$B$14312,SMALL(IF($A$3:$A$14312=K$3,ROW($A$3:$A$14312)),ROW(48:48)),2))</f>
        <v/>
      </c>
      <c r="L50" t="str">
        <f t="array" ref="L50">IF(ISERROR(INDEX($A$3:$B$14312,SMALL(IF($A$3:$A$14312=L$3,ROW($A$3:$A$14312)),ROW(48:48)),2)),"",INDEX($A$3:$B$14312,SMALL(IF($A$3:$A$14312=L$3,ROW($A$3:$A$14312)),ROW(48:48)),2))</f>
        <v/>
      </c>
      <c r="M50" t="str">
        <f t="array" ref="M50">IF(ISERROR(INDEX($A$3:$B$14312,SMALL(IF($A$3:$A$14312=M$3,ROW($A$3:$A$14312)),ROW(48:48)),2)),"",INDEX($A$3:$B$14312,SMALL(IF($A$3:$A$14312=M$3,ROW($A$3:$A$14312)),ROW(48:48)),2))</f>
        <v/>
      </c>
      <c r="N50" t="str">
        <f t="array" ref="N50">IF(ISERROR(INDEX($A$3:$B$14312,SMALL(IF($A$3:$A$14312=N$3,ROW($A$3:$A$14312)),ROW(48:48)),2)),"",INDEX($A$3:$B$14312,SMALL(IF($A$3:$A$14312=N$3,ROW($A$3:$A$14312)),ROW(48:48)),2))</f>
        <v/>
      </c>
      <c r="O50" t="str">
        <f t="array" ref="O50">IF(ISERROR(INDEX($A$3:$B$14312,SMALL(IF($A$3:$A$14312=O$3,ROW($A$3:$A$14312)),ROW(48:48)),2)),"",INDEX($A$3:$B$14312,SMALL(IF($A$3:$A$14312=O$3,ROW($A$3:$A$14312)),ROW(48:48)),2))</f>
        <v/>
      </c>
      <c r="P50" t="str">
        <f t="array" ref="P50">IF(ISERROR(INDEX($A$3:$B$14312,SMALL(IF($A$3:$A$14312=P$3,ROW($A$3:$A$14312)),ROW(48:48)),2)),"",INDEX($A$3:$B$14312,SMALL(IF($A$3:$A$14312=P$3,ROW($A$3:$A$14312)),ROW(48:48)),2))</f>
        <v/>
      </c>
      <c r="Q50" t="str">
        <f t="array" ref="Q50">IF(ISERROR(INDEX($A$3:$B$14312,SMALL(IF($A$3:$A$14312=Q$3,ROW($A$3:$A$14312)),ROW(48:48)),2)),"",INDEX($A$3:$B$14312,SMALL(IF($A$3:$A$14312=Q$3,ROW($A$3:$A$14312)),ROW(48:48)),2))</f>
        <v/>
      </c>
      <c r="R50" t="str">
        <f t="array" ref="R50">IF(ISERROR(INDEX($A$3:$B$14312,SMALL(IF($A$3:$A$14312=R$3,ROW($A$3:$A$14312)),ROW(48:48)),2)),"",INDEX($A$3:$B$14312,SMALL(IF($A$3:$A$14312=R$3,ROW($A$3:$A$14312)),ROW(48:48)),2))</f>
        <v/>
      </c>
      <c r="S50" t="str">
        <f t="array" ref="S50">IF(ISERROR(INDEX($A$3:$B$14312,SMALL(IF($A$3:$A$14312=S$3,ROW($A$3:$A$14312)),ROW(48:48)),2)),"",INDEX($A$3:$B$14312,SMALL(IF($A$3:$A$14312=S$3,ROW($A$3:$A$14312)),ROW(48:48)),2))</f>
        <v/>
      </c>
      <c r="T50" t="str">
        <f t="array" ref="T50">IF(ISERROR(INDEX($A$3:$B$14312,SMALL(IF($A$3:$A$14312=T$3,ROW($A$3:$A$14312)),ROW(48:48)),2)),"",INDEX($A$3:$B$14312,SMALL(IF($A$3:$A$14312=T$3,ROW($A$3:$A$14312)),ROW(48:48)),2))</f>
        <v/>
      </c>
      <c r="U50" t="str">
        <f t="array" ref="U50">IF(ISERROR(INDEX($A$3:$B$14312,SMALL(IF($A$3:$A$14312=U$3,ROW($A$3:$A$14312)),ROW(48:48)),2)),"",INDEX($A$3:$B$14312,SMALL(IF($A$3:$A$14312=U$3,ROW($A$3:$A$14312)),ROW(48:48)),2))</f>
        <v/>
      </c>
      <c r="V50" t="str">
        <f t="array" ref="V50">IF(ISERROR(INDEX($A$3:$B$14312,SMALL(IF($A$3:$A$14312=V$3,ROW($A$3:$A$14312)),ROW(48:48)),2)),"",INDEX($A$3:$B$14312,SMALL(IF($A$3:$A$14312=V$3,ROW($A$3:$A$14312)),ROW(48:48)),2))</f>
        <v/>
      </c>
      <c r="W50" t="str">
        <f t="array" ref="W50">IF(ISERROR(INDEX($A$3:$B$14312,SMALL(IF($A$3:$A$14312=W$3,ROW($A$3:$A$14312)),ROW(48:48)),2)),"",INDEX($A$3:$B$14312,SMALL(IF($A$3:$A$14312=W$3,ROW($A$3:$A$14312)),ROW(48:48)),2))</f>
        <v>Router3_159</v>
      </c>
      <c r="X50" t="str">
        <f t="array" ref="X50">IF(ISERROR(INDEX($A$3:$B$14312,SMALL(IF($A$3:$A$14312=X$3,ROW($A$3:$A$14312)),ROW(48:48)),2)),"",INDEX($A$3:$B$14312,SMALL(IF($A$3:$A$14312=X$3,ROW($A$3:$A$14312)),ROW(48:48)),2))</f>
        <v/>
      </c>
      <c r="Y50" t="str">
        <f t="array" ref="Y50">IF(ISERROR(INDEX($A$3:$B$14312,SMALL(IF($A$3:$A$14312=Y$3,ROW($A$3:$A$14312)),ROW(48:48)),2)),"",INDEX($A$3:$B$14312,SMALL(IF($A$3:$A$14312=Y$3,ROW($A$3:$A$14312)),ROW(48:48)),2))</f>
        <v/>
      </c>
      <c r="Z50" t="str">
        <f t="array" ref="Z50">IF(ISERROR(INDEX($A$3:$B$14312,SMALL(IF($A$3:$A$14312=Z$3,ROW($A$3:$A$14312)),ROW(48:48)),2)),"",INDEX($A$3:$B$14312,SMALL(IF($A$3:$A$14312=Z$3,ROW($A$3:$A$14312)),ROW(48:48)),2))</f>
        <v/>
      </c>
      <c r="AA50" t="str">
        <f t="array" ref="AA50">IF(ISERROR(INDEX($A$3:$B$14312,SMALL(IF($A$3:$A$14312=AA$3,ROW($A$3:$A$14312)),ROW(48:48)),2)),"",INDEX($A$3:$B$14312,SMALL(IF($A$3:$A$14312=AA$3,ROW($A$3:$A$14312)),ROW(48:48)),2))</f>
        <v/>
      </c>
      <c r="AB50" t="str">
        <f t="array" ref="AB50">IF(ISERROR(INDEX($A$3:$B$14312,SMALL(IF($A$3:$A$14312=AB$3,ROW($A$3:$A$14312)),ROW(48:48)),2)),"",INDEX($A$3:$B$14312,SMALL(IF($A$3:$A$14312=AB$3,ROW($A$3:$A$14312)),ROW(48:48)),2))</f>
        <v/>
      </c>
      <c r="AC50" t="str">
        <f t="array" ref="AC50">IF(ISERROR(INDEX($A$3:$B$14312,SMALL(IF($A$3:$A$14312=AC$3,ROW($A$3:$A$14312)),ROW(48:48)),2)),"",INDEX($A$3:$B$14312,SMALL(IF($A$3:$A$14312=AC$3,ROW($A$3:$A$14312)),ROW(48:48)),2))</f>
        <v/>
      </c>
      <c r="AD50" t="str">
        <f t="array" ref="AD50">IF(ISERROR(INDEX($A$3:$B$14312,SMALL(IF($A$3:$A$14312=AD$3,ROW($A$3:$A$14312)),ROW(48:48)),2)),"",INDEX($A$3:$B$14312,SMALL(IF($A$3:$A$14312=AD$3,ROW($A$3:$A$14312)),ROW(48:48)),2))</f>
        <v/>
      </c>
      <c r="AE50" t="str">
        <f t="array" ref="AE50">IF(ISERROR(INDEX($A$3:$B$14312,SMALL(IF($A$3:$A$14312=AE$3,ROW($A$3:$A$14312)),ROW(48:48)),2)),"",INDEX($A$3:$B$14312,SMALL(IF($A$3:$A$14312=AE$3,ROW($A$3:$A$14312)),ROW(48:48)),2))</f>
        <v/>
      </c>
      <c r="AF50" t="str">
        <f t="array" ref="AF50">IF(ISERROR(INDEX($A$3:$B$14312,SMALL(IF($A$3:$A$14312=AF$3,ROW($A$3:$A$14312)),ROW(48:48)),2)),"",INDEX($A$3:$B$14312,SMALL(IF($A$3:$A$14312=AF$3,ROW($A$3:$A$14312)),ROW(48:48)),2))</f>
        <v/>
      </c>
      <c r="AG50" t="str">
        <f t="array" ref="AG50">IF(ISERROR(INDEX($A$3:$B$14312,SMALL(IF($A$3:$A$14312=AG$3,ROW($A$3:$A$14312)),ROW(48:48)),2)),"",INDEX($A$3:$B$14312,SMALL(IF($A$3:$A$14312=AG$3,ROW($A$3:$A$14312)),ROW(48:48)),2))</f>
        <v/>
      </c>
      <c r="AH50" t="str">
        <f t="array" ref="AH50">IF(ISERROR(INDEX($A$3:$B$14312,SMALL(IF($A$3:$A$14312=AH$3,ROW($A$3:$A$14312)),ROW(48:48)),2)),"",INDEX($A$3:$B$14312,SMALL(IF($A$3:$A$14312=AH$3,ROW($A$3:$A$14312)),ROW(48:48)),2))</f>
        <v/>
      </c>
      <c r="AI50" t="str">
        <f t="array" ref="AI50">IF(ISERROR(INDEX($A$3:$B$14312,SMALL(IF($A$3:$A$14312=AI$3,ROW($A$3:$A$14312)),ROW(48:48)),2)),"",INDEX($A$3:$B$14312,SMALL(IF($A$3:$A$14312=AI$3,ROW($A$3:$A$14312)),ROW(48:48)),2))</f>
        <v/>
      </c>
      <c r="AJ50" t="str">
        <f t="array" ref="AJ50">IF(ISERROR(INDEX($A$3:$B$14312,SMALL(IF($A$3:$A$14312=AJ$3,ROW($A$3:$A$14312)),ROW(48:48)),2)),"",INDEX($A$3:$B$14312,SMALL(IF($A$3:$A$14312=AJ$3,ROW($A$3:$A$14312)),ROW(48:48)),2))</f>
        <v/>
      </c>
      <c r="AK50" t="str">
        <f t="array" ref="AK50">IF(ISERROR(INDEX($A$3:$B$14312,SMALL(IF($A$3:$A$14312=AK$3,ROW($A$3:$A$14312)),ROW(48:48)),2)),"",INDEX($A$3:$B$14312,SMALL(IF($A$3:$A$14312=AK$3,ROW($A$3:$A$14312)),ROW(48:48)),2))</f>
        <v/>
      </c>
      <c r="AL50" t="str">
        <f t="array" ref="AL50">IF(ISERROR(INDEX($A$3:$B$14312,SMALL(IF($A$3:$A$14312=AL$3,ROW($A$3:$A$14312)),ROW(48:48)),2)),"",INDEX($A$3:$B$14312,SMALL(IF($A$3:$A$14312=AL$3,ROW($A$3:$A$14312)),ROW(48:48)),2))</f>
        <v/>
      </c>
      <c r="AM50" t="str">
        <f t="array" ref="AM50">IF(ISERROR(INDEX($A$3:$B$14312,SMALL(IF($A$3:$A$14312=AM$3,ROW($A$3:$A$14312)),ROW(48:48)),2)),"",INDEX($A$3:$B$14312,SMALL(IF($A$3:$A$14312=AM$3,ROW($A$3:$A$14312)),ROW(48:48)),2))</f>
        <v/>
      </c>
      <c r="AN50" t="str">
        <f t="array" ref="AN50">IF(ISERROR(INDEX($A$3:$B$14312,SMALL(IF($A$3:$A$14312=AN$3,ROW($A$3:$A$14312)),ROW(48:48)),2)),"",INDEX($A$3:$B$14312,SMALL(IF($A$3:$A$14312=AN$3,ROW($A$3:$A$14312)),ROW(48:48)),2))</f>
        <v/>
      </c>
      <c r="AO50" t="str">
        <f t="array" ref="AO50">IF(ISERROR(INDEX($A$3:$B$14312,SMALL(IF($A$3:$A$14312=AO$3,ROW($A$3:$A$14312)),ROW(48:48)),2)),"",INDEX($A$3:$B$14312,SMALL(IF($A$3:$A$14312=AO$3,ROW($A$3:$A$14312)),ROW(48:48)),2))</f>
        <v/>
      </c>
      <c r="AP50" t="str">
        <f t="array" ref="AP50">IF(ISERROR(INDEX($A$3:$B$14312,SMALL(IF($A$3:$A$14312=AP$3,ROW($A$3:$A$14312)),ROW(48:48)),2)),"",INDEX($A$3:$B$14312,SMALL(IF($A$3:$A$14312=AP$3,ROW($A$3:$A$14312)),ROW(48:48)),2))</f>
        <v/>
      </c>
      <c r="AQ50" t="str">
        <f t="array" ref="AQ50">IF(ISERROR(INDEX($A$3:$B$14312,SMALL(IF($A$3:$A$14312=AQ$3,ROW($A$3:$A$14312)),ROW(48:48)),2)),"",INDEX($A$3:$B$14312,SMALL(IF($A$3:$A$14312=AQ$3,ROW($A$3:$A$14312)),ROW(48:48)),2))</f>
        <v/>
      </c>
      <c r="AR50" t="str">
        <f t="array" ref="AR50">IF(ISERROR(INDEX($A$3:$B$14312,SMALL(IF($A$3:$A$14312=AR$3,ROW($A$3:$A$14312)),ROW(48:48)),2)),"",INDEX($A$3:$B$14312,SMALL(IF($A$3:$A$14312=AR$3,ROW($A$3:$A$14312)),ROW(48:48)),2))</f>
        <v/>
      </c>
      <c r="AS50" t="str">
        <f t="array" ref="AS50">IF(ISERROR(INDEX($A$3:$B$14312,SMALL(IF($A$3:$A$14312=AS$3,ROW($A$3:$A$14312)),ROW(48:48)),2)),"",INDEX($A$3:$B$14312,SMALL(IF($A$3:$A$14312=AS$3,ROW($A$3:$A$14312)),ROW(48:48)),2))</f>
        <v/>
      </c>
      <c r="AT50" t="str">
        <f t="array" ref="AT50">IF(ISERROR(INDEX($A$3:$B$14312,SMALL(IF($A$3:$A$14312=AT$3,ROW($A$3:$A$14312)),ROW(48:48)),2)),"",INDEX($A$3:$B$14312,SMALL(IF($A$3:$A$14312=AT$3,ROW($A$3:$A$14312)),ROW(48:48)),2))</f>
        <v/>
      </c>
      <c r="AU50" t="str">
        <f t="array" ref="AU50">IF(ISERROR(INDEX($A$3:$B$14312,SMALL(IF($A$3:$A$14312=AU$3,ROW($A$3:$A$14312)),ROW(48:48)),2)),"",INDEX($A$3:$B$14312,SMALL(IF($A$3:$A$14312=AU$3,ROW($A$3:$A$14312)),ROW(48:48)),2))</f>
        <v/>
      </c>
      <c r="AV50" t="str">
        <f t="array" ref="AV50">IF(ISERROR(INDEX($A$3:$B$14312,SMALL(IF($A$3:$A$14312=AV$3,ROW($A$3:$A$14312)),ROW(48:48)),2)),"",INDEX($A$3:$B$14312,SMALL(IF($A$3:$A$14312=AV$3,ROW($A$3:$A$14312)),ROW(48:48)),2))</f>
        <v/>
      </c>
      <c r="AW50" t="str">
        <f t="array" ref="AW50">IF(ISERROR(INDEX($A$3:$B$14312,SMALL(IF($A$3:$A$14312=AW$3,ROW($A$3:$A$14312)),ROW(48:48)),2)),"",INDEX($A$3:$B$14312,SMALL(IF($A$3:$A$14312=AW$3,ROW($A$3:$A$14312)),ROW(48:48)),2))</f>
        <v/>
      </c>
      <c r="AX50" t="str">
        <f t="array" ref="AX50">IF(ISERROR(INDEX($A$3:$B$14312,SMALL(IF($A$3:$A$14312=AX$3,ROW($A$3:$A$14312)),ROW(48:48)),2)),"",INDEX($A$3:$B$14312,SMALL(IF($A$3:$A$14312=AX$3,ROW($A$3:$A$14312)),ROW(48:48)),2))</f>
        <v/>
      </c>
      <c r="AY50" t="str">
        <f t="array" ref="AY50">IF(ISERROR(INDEX($A$3:$B$14312,SMALL(IF($A$3:$A$14312=AY$3,ROW($A$3:$A$14312)),ROW(48:48)),2)),"",INDEX($A$3:$B$14312,SMALL(IF($A$3:$A$14312=AY$3,ROW($A$3:$A$14312)),ROW(48:48)),2))</f>
        <v/>
      </c>
      <c r="AZ50" t="str">
        <f t="array" ref="AZ50">IF(ISERROR(INDEX($A$3:$B$14312,SMALL(IF($A$3:$A$14312=AZ$3,ROW($A$3:$A$14312)),ROW(48:48)),2)),"",INDEX($A$3:$B$14312,SMALL(IF($A$3:$A$14312=AZ$3,ROW($A$3:$A$14312)),ROW(48:48)),2))</f>
        <v/>
      </c>
      <c r="BA50" t="str">
        <f t="array" ref="BA50">IF(ISERROR(INDEX($A$3:$B$14312,SMALL(IF($A$3:$A$14312=BA$3,ROW($A$3:$A$14312)),ROW(48:48)),2)),"",INDEX($A$3:$B$14312,SMALL(IF($A$3:$A$14312=BA$3,ROW($A$3:$A$14312)),ROW(48:48)),2))</f>
        <v/>
      </c>
      <c r="BB50" t="str">
        <f t="array" ref="BB50">IF(ISERROR(INDEX($A$3:$B$14312,SMALL(IF($A$3:$A$14312=BB$3,ROW($A$3:$A$14312)),ROW(48:48)),2)),"",INDEX($A$3:$B$14312,SMALL(IF($A$3:$A$14312=BB$3,ROW($A$3:$A$14312)),ROW(48:48)),2))</f>
        <v/>
      </c>
      <c r="BC50" t="str">
        <f t="array" ref="BC50">IF(ISERROR(INDEX($A$3:$B$14312,SMALL(IF($A$3:$A$14312=BC$3,ROW($A$3:$A$14312)),ROW(48:48)),2)),"",INDEX($A$3:$B$14312,SMALL(IF($A$3:$A$14312=BC$3,ROW($A$3:$A$14312)),ROW(48:48)),2))</f>
        <v/>
      </c>
      <c r="BD50" t="str">
        <f t="array" ref="BD50">IF(ISERROR(INDEX($A$3:$B$14312,SMALL(IF($A$3:$A$14312=BD$3,ROW($A$3:$A$14312)),ROW(48:48)),2)),"",INDEX($A$3:$B$14312,SMALL(IF($A$3:$A$14312=BD$3,ROW($A$3:$A$14312)),ROW(48:48)),2))</f>
        <v/>
      </c>
      <c r="BE50" t="str">
        <f t="array" ref="BE50">IF(ISERROR(INDEX($A$3:$B$14312,SMALL(IF($A$3:$A$14312=BE$3,ROW($A$3:$A$14312)),ROW(48:48)),2)),"",INDEX($A$3:$B$14312,SMALL(IF($A$3:$A$14312=BE$3,ROW($A$3:$A$14312)),ROW(48:48)),2))</f>
        <v/>
      </c>
      <c r="BF50" t="str">
        <f t="array" ref="BF50">IF(ISERROR(INDEX($A$3:$B$14312,SMALL(IF($A$3:$A$14312=BF$3,ROW($A$3:$A$14312)),ROW(48:48)),2)),"",INDEX($A$3:$B$14312,SMALL(IF($A$3:$A$14312=BF$3,ROW($A$3:$A$14312)),ROW(48:48)),2))</f>
        <v/>
      </c>
      <c r="BG50" t="str">
        <f t="array" ref="BG50">IF(ISERROR(INDEX($A$3:$B$14312,SMALL(IF($A$3:$A$14312=BG$3,ROW($A$3:$A$14312)),ROW(48:48)),2)),"",INDEX($A$3:$B$14312,SMALL(IF($A$3:$A$14312=BG$3,ROW($A$3:$A$14312)),ROW(48:48)),2))</f>
        <v/>
      </c>
      <c r="BH50" t="str">
        <f t="array" ref="BH50">IF(ISERROR(INDEX($A$3:$B$14312,SMALL(IF($A$3:$A$14312=BH$3,ROW($A$3:$A$14312)),ROW(48:48)),2)),"",INDEX($A$3:$B$14312,SMALL(IF($A$3:$A$14312=BH$3,ROW($A$3:$A$14312)),ROW(48:48)),2))</f>
        <v/>
      </c>
      <c r="BI50" t="str">
        <f t="array" ref="BI50">IF(ISERROR(INDEX($A$3:$B$14312,SMALL(IF($A$3:$A$14312=BI$3,ROW($A$3:$A$14312)),ROW(48:48)),2)),"",INDEX($A$3:$B$14312,SMALL(IF($A$3:$A$14312=BI$3,ROW($A$3:$A$14312)),ROW(48:48)),2))</f>
        <v/>
      </c>
      <c r="BJ50" t="str">
        <f t="array" ref="BJ50">IF(ISERROR(INDEX($A$3:$B$14312,SMALL(IF($A$3:$A$14312=BJ$3,ROW($A$3:$A$14312)),ROW(48:48)),2)),"",INDEX($A$3:$B$14312,SMALL(IF($A$3:$A$14312=BJ$3,ROW($A$3:$A$14312)),ROW(48:48)),2))</f>
        <v/>
      </c>
      <c r="BK50" t="str">
        <f t="array" ref="BK50">IF(ISERROR(INDEX($A$3:$B$14312,SMALL(IF($A$3:$A$14312=BK$3,ROW($A$3:$A$14312)),ROW(48:48)),2)),"",INDEX($A$3:$B$14312,SMALL(IF($A$3:$A$14312=BK$3,ROW($A$3:$A$14312)),ROW(48:48)),2))</f>
        <v/>
      </c>
      <c r="BL50" t="str">
        <f t="array" ref="BL50">IF(ISERROR(INDEX($A$3:$B$14312,SMALL(IF($A$3:$A$14312=BL$3,ROW($A$3:$A$14312)),ROW(48:48)),2)),"",INDEX($A$3:$B$14312,SMALL(IF($A$3:$A$14312=BL$3,ROW($A$3:$A$14312)),ROW(48:48)),2))</f>
        <v/>
      </c>
      <c r="BM50" t="str">
        <f t="array" ref="BM50">IF(ISERROR(INDEX($A$3:$B$14312,SMALL(IF($A$3:$A$14312=BM$3,ROW($A$3:$A$14312)),ROW(48:48)),2)),"",INDEX($A$3:$B$14312,SMALL(IF($A$3:$A$14312=BM$3,ROW($A$3:$A$14312)),ROW(48:48)),2))</f>
        <v/>
      </c>
      <c r="BN50" t="str">
        <f t="array" ref="BN50">IF(ISERROR(INDEX($A$3:$B$14312,SMALL(IF($A$3:$A$14312=BN$3,ROW($A$3:$A$14312)),ROW(48:48)),2)),"",INDEX($A$3:$B$14312,SMALL(IF($A$3:$A$14312=BN$3,ROW($A$3:$A$14312)),ROW(48:48)),2))</f>
        <v/>
      </c>
      <c r="BO50" t="str">
        <f t="array" ref="BO50">IF(ISERROR(INDEX($A$3:$B$14312,SMALL(IF($A$3:$A$14312=BO$3,ROW($A$3:$A$14312)),ROW(48:48)),2)),"",INDEX($A$3:$B$14312,SMALL(IF($A$3:$A$14312=BO$3,ROW($A$3:$A$14312)),ROW(48:48)),2))</f>
        <v/>
      </c>
      <c r="BP50" t="str">
        <f t="array" ref="BP50">IF(ISERROR(INDEX($A$3:$B$14312,SMALL(IF($A$3:$A$14312=BP$3,ROW($A$3:$A$14312)),ROW(48:48)),2)),"",INDEX($A$3:$B$14312,SMALL(IF($A$3:$A$14312=BP$3,ROW($A$3:$A$14312)),ROW(48:48)),2))</f>
        <v/>
      </c>
      <c r="BQ50" t="str">
        <f t="array" ref="BQ50">IF(ISERROR(INDEX($A$3:$B$14312,SMALL(IF($A$3:$A$14312=BQ$3,ROW($A$3:$A$14312)),ROW(48:48)),2)),"",INDEX($A$3:$B$14312,SMALL(IF($A$3:$A$14312=BQ$3,ROW($A$3:$A$14312)),ROW(48:48)),2))</f>
        <v/>
      </c>
      <c r="BR50" t="str">
        <f t="array" ref="BR50">IF(ISERROR(INDEX($A$3:$B$14312,SMALL(IF($A$3:$A$14312=BR$3,ROW($A$3:$A$14312)),ROW(48:48)),2)),"",INDEX($A$3:$B$14312,SMALL(IF($A$3:$A$14312=BR$3,ROW($A$3:$A$14312)),ROW(48:48)),2))</f>
        <v/>
      </c>
      <c r="BS50" t="str">
        <f t="array" ref="BS50">IF(ISERROR(INDEX($A$3:$B$14312,SMALL(IF($A$3:$A$14312=BS$3,ROW($A$3:$A$14312)),ROW(48:48)),2)),"",INDEX($A$3:$B$14312,SMALL(IF($A$3:$A$14312=BS$3,ROW($A$3:$A$14312)),ROW(48:48)),2))</f>
        <v/>
      </c>
      <c r="BT50" t="str">
        <f t="array" ref="BT50">IF(ISERROR(INDEX($A$3:$B$14312,SMALL(IF($A$3:$A$14312=BT$3,ROW($A$3:$A$14312)),ROW(48:48)),2)),"",INDEX($A$3:$B$14312,SMALL(IF($A$3:$A$14312=BT$3,ROW($A$3:$A$14312)),ROW(48:48)),2))</f>
        <v>Router3_149</v>
      </c>
      <c r="BU50" t="str">
        <f t="array" ref="BU50">IF(ISERROR(INDEX($A$3:$B$14312,SMALL(IF($A$3:$A$14312=BU$3,ROW($A$3:$A$14312)),ROW(48:48)),2)),"",INDEX($A$3:$B$14312,SMALL(IF($A$3:$A$14312=BU$3,ROW($A$3:$A$14312)),ROW(48:48)),2))</f>
        <v/>
      </c>
      <c r="BV50" t="str">
        <f t="array" ref="BV50">IF(ISERROR(INDEX($A$3:$B$14312,SMALL(IF($A$3:$A$14312=BV$3,ROW($A$3:$A$14312)),ROW(48:48)),2)),"",INDEX($A$3:$B$14312,SMALL(IF($A$3:$A$14312=BV$3,ROW($A$3:$A$14312)),ROW(48:48)),2))</f>
        <v/>
      </c>
      <c r="BW50" t="str">
        <f t="array" ref="BW50">IF(ISERROR(INDEX($A$3:$B$14312,SMALL(IF($A$3:$A$14312=BW$3,ROW($A$3:$A$14312)),ROW(48:48)),2)),"",INDEX($A$3:$B$14312,SMALL(IF($A$3:$A$14312=BW$3,ROW($A$3:$A$14312)),ROW(48:48)),2))</f>
        <v/>
      </c>
      <c r="BX50" t="str">
        <f t="array" ref="BX50">IF(ISERROR(INDEX($A$3:$B$14312,SMALL(IF($A$3:$A$14312=BX$3,ROW($A$3:$A$14312)),ROW(48:48)),2)),"",INDEX($A$3:$B$14312,SMALL(IF($A$3:$A$14312=BX$3,ROW($A$3:$A$14312)),ROW(48:48)),2))</f>
        <v/>
      </c>
      <c r="BY50" t="str">
        <f t="array" ref="BY50">IF(ISERROR(INDEX($A$3:$B$14312,SMALL(IF($A$3:$A$14312=BY$3,ROW($A$3:$A$14312)),ROW(48:48)),2)),"",INDEX($A$3:$B$14312,SMALL(IF($A$3:$A$14312=BY$3,ROW($A$3:$A$14312)),ROW(48:48)),2))</f>
        <v/>
      </c>
      <c r="BZ50" t="str">
        <f t="array" ref="BZ50">IF(ISERROR(INDEX($A$3:$B$14312,SMALL(IF($A$3:$A$14312=BZ$3,ROW($A$3:$A$14312)),ROW(48:48)),2)),"",INDEX($A$3:$B$14312,SMALL(IF($A$3:$A$14312=BZ$3,ROW($A$3:$A$14312)),ROW(48:48)),2))</f>
        <v/>
      </c>
      <c r="CA50" t="str">
        <f t="array" ref="CA50">IF(ISERROR(INDEX($A$3:$B$14312,SMALL(IF($A$3:$A$14312=CA$3,ROW($A$3:$A$14312)),ROW(48:48)),2)),"",INDEX($A$3:$B$14312,SMALL(IF($A$3:$A$14312=CA$3,ROW($A$3:$A$14312)),ROW(48:48)),2))</f>
        <v/>
      </c>
      <c r="CB50" t="str">
        <f t="array" ref="CB50">IF(ISERROR(INDEX($A$3:$B$14312,SMALL(IF($A$3:$A$14312=CB$3,ROW($A$3:$A$14312)),ROW(48:48)),2)),"",INDEX($A$3:$B$14312,SMALL(IF($A$3:$A$14312=CB$3,ROW($A$3:$A$14312)),ROW(48:48)),2))</f>
        <v/>
      </c>
      <c r="CC50" t="str">
        <f t="array" ref="CC50">IF(ISERROR(INDEX($A$3:$B$14312,SMALL(IF($A$3:$A$14312=CC$3,ROW($A$3:$A$14312)),ROW(48:48)),2)),"",INDEX($A$3:$B$14312,SMALL(IF($A$3:$A$14312=CC$3,ROW($A$3:$A$14312)),ROW(48:48)),2))</f>
        <v/>
      </c>
      <c r="CD50" t="str">
        <f t="array" ref="CD50">IF(ISERROR(INDEX($A$3:$B$14312,SMALL(IF($A$3:$A$14312=CD$3,ROW($A$3:$A$14312)),ROW(48:48)),2)),"",INDEX($A$3:$B$14312,SMALL(IF($A$3:$A$14312=CD$3,ROW($A$3:$A$14312)),ROW(48:48)),2))</f>
        <v/>
      </c>
      <c r="CE50" t="str">
        <f t="array" ref="CE50">IF(ISERROR(INDEX($A$3:$B$14312,SMALL(IF($A$3:$A$14312=CE$3,ROW($A$3:$A$14312)),ROW(48:48)),2)),"",INDEX($A$3:$B$14312,SMALL(IF($A$3:$A$14312=CE$3,ROW($A$3:$A$14312)),ROW(48:48)),2))</f>
        <v/>
      </c>
      <c r="CF50" t="str">
        <f t="array" ref="CF50">IF(ISERROR(INDEX($A$3:$B$14312,SMALL(IF($A$3:$A$14312=CF$3,ROW($A$3:$A$14312)),ROW(48:48)),2)),"",INDEX($A$3:$B$14312,SMALL(IF($A$3:$A$14312=CF$3,ROW($A$3:$A$14312)),ROW(48:48)),2))</f>
        <v/>
      </c>
      <c r="CG50" t="str">
        <f t="array" ref="CG50">IF(ISERROR(INDEX($A$3:$B$14312,SMALL(IF($A$3:$A$14312=CG$3,ROW($A$3:$A$14312)),ROW(48:48)),2)),"",INDEX($A$3:$B$14312,SMALL(IF($A$3:$A$14312=CG$3,ROW($A$3:$A$14312)),ROW(48:48)),2))</f>
        <v/>
      </c>
      <c r="CH50" t="str">
        <f t="array" ref="CH50">IF(ISERROR(INDEX($A$3:$B$14312,SMALL(IF($A$3:$A$14312=CH$3,ROW($A$3:$A$14312)),ROW(48:48)),2)),"",INDEX($A$3:$B$14312,SMALL(IF($A$3:$A$14312=CH$3,ROW($A$3:$A$14312)),ROW(48:48)),2))</f>
        <v/>
      </c>
      <c r="CI50" t="str">
        <f t="array" ref="CI50">IF(ISERROR(INDEX($A$3:$B$14312,SMALL(IF($A$3:$A$14312=CI$3,ROW($A$3:$A$14312)),ROW(48:48)),2)),"",INDEX($A$3:$B$14312,SMALL(IF($A$3:$A$14312=CI$3,ROW($A$3:$A$14312)),ROW(48:48)),2))</f>
        <v/>
      </c>
      <c r="CJ50" t="str">
        <f t="array" ref="CJ50">IF(ISERROR(INDEX($A$3:$B$14312,SMALL(IF($A$3:$A$14312=CJ$3,ROW($A$3:$A$14312)),ROW(48:48)),2)),"",INDEX($A$3:$B$14312,SMALL(IF($A$3:$A$14312=CJ$3,ROW($A$3:$A$14312)),ROW(48:48)),2))</f>
        <v/>
      </c>
      <c r="CK50" t="str">
        <f t="array" ref="CK50">IF(ISERROR(INDEX($A$3:$B$14312,SMALL(IF($A$3:$A$14312=CK$3,ROW($A$3:$A$14312)),ROW(48:48)),2)),"",INDEX($A$3:$B$14312,SMALL(IF($A$3:$A$14312=CK$3,ROW($A$3:$A$14312)),ROW(48:48)),2))</f>
        <v/>
      </c>
      <c r="CL50" t="str">
        <f t="array" ref="CL50">IF(ISERROR(INDEX($A$3:$B$14312,SMALL(IF($A$3:$A$14312=CL$3,ROW($A$3:$A$14312)),ROW(48:48)),2)),"",INDEX($A$3:$B$14312,SMALL(IF($A$3:$A$14312=CL$3,ROW($A$3:$A$14312)),ROW(48:48)),2))</f>
        <v/>
      </c>
      <c r="CM50" t="str">
        <f t="array" ref="CM50">IF(ISERROR(INDEX($A$3:$B$14312,SMALL(IF($A$3:$A$14312=CM$3,ROW($A$3:$A$14312)),ROW(48:48)),2)),"",INDEX($A$3:$B$14312,SMALL(IF($A$3:$A$14312=CM$3,ROW($A$3:$A$14312)),ROW(48:48)),2))</f>
        <v/>
      </c>
      <c r="CN50" t="str">
        <f t="array" ref="CN50">IF(ISERROR(INDEX($A$3:$B$14312,SMALL(IF($A$3:$A$14312=CN$3,ROW($A$3:$A$14312)),ROW(48:48)),2)),"",INDEX($A$3:$B$14312,SMALL(IF($A$3:$A$14312=CN$3,ROW($A$3:$A$14312)),ROW(48:48)),2))</f>
        <v/>
      </c>
      <c r="CO50" t="str">
        <f t="array" ref="CO50">IF(ISERROR(INDEX($A$3:$B$14312,SMALL(IF($A$3:$A$14312=CO$3,ROW($A$3:$A$14312)),ROW(48:48)),2)),"",INDEX($A$3:$B$14312,SMALL(IF($A$3:$A$14312=CO$3,ROW($A$3:$A$14312)),ROW(48:48)),2))</f>
        <v/>
      </c>
      <c r="CP50" t="str">
        <f t="array" ref="CP50">IF(ISERROR(INDEX($A$3:$B$14312,SMALL(IF($A$3:$A$14312=CP$3,ROW($A$3:$A$14312)),ROW(48:48)),2)),"",INDEX($A$3:$B$14312,SMALL(IF($A$3:$A$14312=CP$3,ROW($A$3:$A$14312)),ROW(48:48)),2))</f>
        <v/>
      </c>
      <c r="CQ50" t="str">
        <f t="array" ref="CQ50">IF(ISERROR(INDEX($A$3:$B$14312,SMALL(IF($A$3:$A$14312=CQ$3,ROW($A$3:$A$14312)),ROW(48:48)),2)),"",INDEX($A$3:$B$14312,SMALL(IF($A$3:$A$14312=CQ$3,ROW($A$3:$A$14312)),ROW(48:48)),2))</f>
        <v/>
      </c>
      <c r="CR50" t="str">
        <f t="array" ref="CR50">IF(ISERROR(INDEX($A$3:$B$14312,SMALL(IF($A$3:$A$14312=CR$3,ROW($A$3:$A$14312)),ROW(48:48)),2)),"",INDEX($A$3:$B$14312,SMALL(IF($A$3:$A$14312=CR$3,ROW($A$3:$A$14312)),ROW(48:48)),2))</f>
        <v/>
      </c>
      <c r="CS50" t="str">
        <f t="array" ref="CS50">IF(ISERROR(INDEX($A$3:$B$14312,SMALL(IF($A$3:$A$14312=CS$3,ROW($A$3:$A$14312)),ROW(48:48)),2)),"",INDEX($A$3:$B$14312,SMALL(IF($A$3:$A$14312=CS$3,ROW($A$3:$A$14312)),ROW(48:48)),2))</f>
        <v/>
      </c>
      <c r="CT50" t="str">
        <f t="array" ref="CT50">IF(ISERROR(INDEX($A$3:$B$14312,SMALL(IF($A$3:$A$14312=CT$3,ROW($A$3:$A$14312)),ROW(48:48)),2)),"",INDEX($A$3:$B$14312,SMALL(IF($A$3:$A$14312=CT$3,ROW($A$3:$A$14312)),ROW(48:48)),2))</f>
        <v/>
      </c>
      <c r="CU50" t="str">
        <f t="array" ref="CU50">IF(ISERROR(INDEX($A$3:$B$14312,SMALL(IF($A$3:$A$14312=CU$3,ROW($A$3:$A$14312)),ROW(48:48)),2)),"",INDEX($A$3:$B$14312,SMALL(IF($A$3:$A$14312=CU$3,ROW($A$3:$A$14312)),ROW(48:48)),2))</f>
        <v/>
      </c>
      <c r="CV50" t="str">
        <f t="array" ref="CV50">IF(ISERROR(INDEX($A$3:$B$14312,SMALL(IF($A$3:$A$14312=CV$3,ROW($A$3:$A$14312)),ROW(48:48)),2)),"",INDEX($A$3:$B$14312,SMALL(IF($A$3:$A$14312=CV$3,ROW($A$3:$A$14312)),ROW(48:48)),2))</f>
        <v/>
      </c>
      <c r="CW50" t="str">
        <f t="array" ref="CW50">IF(ISERROR(INDEX($A$3:$B$14312,SMALL(IF($A$3:$A$14312=CW$3,ROW($A$3:$A$14312)),ROW(48:48)),2)),"",INDEX($A$3:$B$14312,SMALL(IF($A$3:$A$14312=CW$3,ROW($A$3:$A$14312)),ROW(48:48)),2))</f>
        <v/>
      </c>
      <c r="CX50" t="str">
        <f t="array" ref="CX50">IF(ISERROR(INDEX($A$3:$B$14312,SMALL(IF($A$3:$A$14312=CX$3,ROW($A$3:$A$14312)),ROW(48:48)),2)),"",INDEX($A$3:$B$14312,SMALL(IF($A$3:$A$14312=CX$3,ROW($A$3:$A$14312)),ROW(48:48)),2))</f>
        <v/>
      </c>
      <c r="CY50" t="str">
        <f t="array" ref="CY50">IF(ISERROR(INDEX($A$3:$B$14312,SMALL(IF($A$3:$A$14312=CY$3,ROW($A$3:$A$14312)),ROW(48:48)),2)),"",INDEX($A$3:$B$14312,SMALL(IF($A$3:$A$14312=CY$3,ROW($A$3:$A$14312)),ROW(48:48)),2))</f>
        <v/>
      </c>
      <c r="CZ50" t="str">
        <f t="array" ref="CZ50">IF(ISERROR(INDEX($A$3:$B$14312,SMALL(IF($A$3:$A$14312=CZ$3,ROW($A$3:$A$14312)),ROW(48:48)),2)),"",INDEX($A$3:$B$14312,SMALL(IF($A$3:$A$14312=CZ$3,ROW($A$3:$A$14312)),ROW(48:48)),2))</f>
        <v/>
      </c>
      <c r="DA50" t="str">
        <f t="array" ref="DA50">IF(ISERROR(INDEX($A$3:$B$14312,SMALL(IF($A$3:$A$14312=DA$3,ROW($A$3:$A$14312)),ROW(48:48)),2)),"",INDEX($A$3:$B$14312,SMALL(IF($A$3:$A$14312=DA$3,ROW($A$3:$A$14312)),ROW(48:48)),2))</f>
        <v/>
      </c>
      <c r="DB50" t="str">
        <f t="array" ref="DB50">IF(ISERROR(INDEX($A$3:$B$14312,SMALL(IF($A$3:$A$14312=DB$3,ROW($A$3:$A$14312)),ROW(48:48)),2)),"",INDEX($A$3:$B$14312,SMALL(IF($A$3:$A$14312=DB$3,ROW($A$3:$A$14312)),ROW(48:48)),2))</f>
        <v/>
      </c>
      <c r="DC50" t="str">
        <f t="array" ref="DC50">IF(ISERROR(INDEX($A$3:$B$14312,SMALL(IF($A$3:$A$14312=DC$3,ROW($A$3:$A$14312)),ROW(48:48)),2)),"",INDEX($A$3:$B$14312,SMALL(IF($A$3:$A$14312=DC$3,ROW($A$3:$A$14312)),ROW(48:48)),2))</f>
        <v/>
      </c>
      <c r="DD50" t="str">
        <f t="array" ref="DD50">IF(ISERROR(INDEX($A$3:$B$14312,SMALL(IF($A$3:$A$14312=DD$3,ROW($A$3:$A$14312)),ROW(48:48)),2)),"",INDEX($A$3:$B$14312,SMALL(IF($A$3:$A$14312=DD$3,ROW($A$3:$A$14312)),ROW(48:48)),2))</f>
        <v/>
      </c>
      <c r="DE50" t="str">
        <f t="array" ref="DE50">IF(ISERROR(INDEX($A$3:$B$14312,SMALL(IF($A$3:$A$14312=DE$3,ROW($A$3:$A$14312)),ROW(48:48)),2)),"",INDEX($A$3:$B$14312,SMALL(IF($A$3:$A$14312=DE$3,ROW($A$3:$A$14312)),ROW(48:48)),2))</f>
        <v/>
      </c>
      <c r="DF50" t="str">
        <f t="array" ref="DF50">IF(ISERROR(INDEX($A$3:$B$14312,SMALL(IF($A$3:$A$14312=DF$3,ROW($A$3:$A$14312)),ROW(48:48)),2)),"",INDEX($A$3:$B$14312,SMALL(IF($A$3:$A$14312=DF$3,ROW($A$3:$A$14312)),ROW(48:48)),2))</f>
        <v/>
      </c>
      <c r="DG50" t="str">
        <f t="array" ref="DG50">IF(ISERROR(INDEX($A$3:$B$14312,SMALL(IF($A$3:$A$14312=DG$3,ROW($A$3:$A$14312)),ROW(48:48)),2)),"",INDEX($A$3:$B$14312,SMALL(IF($A$3:$A$14312=DG$3,ROW($A$3:$A$14312)),ROW(48:48)),2))</f>
        <v/>
      </c>
      <c r="DH50" t="str">
        <f t="array" ref="DH50">IF(ISERROR(INDEX($A$3:$B$14312,SMALL(IF($A$3:$A$14312=DH$3,ROW($A$3:$A$14312)),ROW(48:48)),2)),"",INDEX($A$3:$B$14312,SMALL(IF($A$3:$A$14312=DH$3,ROW($A$3:$A$14312)),ROW(48:48)),2))</f>
        <v/>
      </c>
      <c r="DI50" t="str">
        <f t="array" ref="DI50">IF(ISERROR(INDEX($A$3:$B$14312,SMALL(IF($A$3:$A$14312=DI$3,ROW($A$3:$A$14312)),ROW(48:48)),2)),"",INDEX($A$3:$B$14312,SMALL(IF($A$3:$A$14312=DI$3,ROW($A$3:$A$14312)),ROW(48:48)),2))</f>
        <v>Router3_114</v>
      </c>
      <c r="DJ50" t="str">
        <f t="array" ref="DJ50">IF(ISERROR(INDEX($A$3:$B$14312,SMALL(IF($A$3:$A$14312=DJ$3,ROW($A$3:$A$14312)),ROW(48:48)),2)),"",INDEX($A$3:$B$14312,SMALL(IF($A$3:$A$14312=DJ$3,ROW($A$3:$A$14312)),ROW(48:48)),2))</f>
        <v/>
      </c>
      <c r="DK50" t="str">
        <f t="array" ref="DK50">IF(ISERROR(INDEX($A$3:$B$14312,SMALL(IF($A$3:$A$14312=DK$3,ROW($A$3:$A$14312)),ROW(48:48)),2)),"",INDEX($A$3:$B$14312,SMALL(IF($A$3:$A$14312=DK$3,ROW($A$3:$A$14312)),ROW(48:48)),2))</f>
        <v/>
      </c>
      <c r="DL50" t="str">
        <f t="array" ref="DL50">IF(ISERROR(INDEX($A$3:$B$14312,SMALL(IF($A$3:$A$14312=DL$3,ROW($A$3:$A$14312)),ROW(48:48)),2)),"",INDEX($A$3:$B$14312,SMALL(IF($A$3:$A$14312=DL$3,ROW($A$3:$A$14312)),ROW(48:48)),2))</f>
        <v/>
      </c>
      <c r="DM50" t="str">
        <f t="array" ref="DM50">IF(ISERROR(INDEX($A$3:$B$14312,SMALL(IF($A$3:$A$14312=DM$3,ROW($A$3:$A$14312)),ROW(48:48)),2)),"",INDEX($A$3:$B$14312,SMALL(IF($A$3:$A$14312=DM$3,ROW($A$3:$A$14312)),ROW(48:48)),2))</f>
        <v/>
      </c>
      <c r="DN50" t="str">
        <f t="array" ref="DN50">IF(ISERROR(INDEX($A$3:$B$14312,SMALL(IF($A$3:$A$14312=DN$3,ROW($A$3:$A$14312)),ROW(48:48)),2)),"",INDEX($A$3:$B$14312,SMALL(IF($A$3:$A$14312=DN$3,ROW($A$3:$A$14312)),ROW(48:48)),2))</f>
        <v/>
      </c>
      <c r="DO50" t="str">
        <f t="array" ref="DO50">IF(ISERROR(INDEX($A$3:$B$14312,SMALL(IF($A$3:$A$14312=DO$3,ROW($A$3:$A$14312)),ROW(48:48)),2)),"",INDEX($A$3:$B$14312,SMALL(IF($A$3:$A$14312=DO$3,ROW($A$3:$A$14312)),ROW(48:48)),2))</f>
        <v/>
      </c>
      <c r="DP50" t="str">
        <f t="array" ref="DP50">IF(ISERROR(INDEX($A$3:$B$14312,SMALL(IF($A$3:$A$14312=DP$3,ROW($A$3:$A$14312)),ROW(48:48)),2)),"",INDEX($A$3:$B$14312,SMALL(IF($A$3:$A$14312=DP$3,ROW($A$3:$A$14312)),ROW(48:48)),2))</f>
        <v/>
      </c>
      <c r="DQ50" t="str">
        <f t="array" ref="DQ50">IF(ISERROR(INDEX($A$3:$B$14312,SMALL(IF($A$3:$A$14312=DQ$3,ROW($A$3:$A$14312)),ROW(48:48)),2)),"",INDEX($A$3:$B$14312,SMALL(IF($A$3:$A$14312=DQ$3,ROW($A$3:$A$14312)),ROW(48:48)),2))</f>
        <v/>
      </c>
      <c r="DR50" t="str">
        <f t="array" ref="DR50">IF(ISERROR(INDEX($A$3:$B$14312,SMALL(IF($A$3:$A$14312=DR$3,ROW($A$3:$A$14312)),ROW(48:48)),2)),"",INDEX($A$3:$B$14312,SMALL(IF($A$3:$A$14312=DR$3,ROW($A$3:$A$14312)),ROW(48:48)),2))</f>
        <v/>
      </c>
      <c r="DS50" t="str">
        <f t="array" ref="DS50">IF(ISERROR(INDEX($A$3:$B$14312,SMALL(IF($A$3:$A$14312=DS$3,ROW($A$3:$A$14312)),ROW(48:48)),2)),"",INDEX($A$3:$B$14312,SMALL(IF($A$3:$A$14312=DS$3,ROW($A$3:$A$14312)),ROW(48:48)),2))</f>
        <v/>
      </c>
      <c r="DT50" t="str">
        <f t="array" ref="DT50">IF(ISERROR(INDEX($A$3:$B$14312,SMALL(IF($A$3:$A$14312=DT$3,ROW($A$3:$A$14312)),ROW(48:48)),2)),"",INDEX($A$3:$B$14312,SMALL(IF($A$3:$A$14312=DT$3,ROW($A$3:$A$14312)),ROW(48:48)),2))</f>
        <v>Router3_114</v>
      </c>
      <c r="DU50" t="str">
        <f t="array" ref="DU50">IF(ISERROR(INDEX($A$3:$B$14312,SMALL(IF($A$3:$A$14312=DU$3,ROW($A$3:$A$14312)),ROW(48:48)),2)),"",INDEX($A$3:$B$14312,SMALL(IF($A$3:$A$14312=DU$3,ROW($A$3:$A$14312)),ROW(48:48)),2))</f>
        <v>Router3_71</v>
      </c>
      <c r="DV50" t="str">
        <f t="array" ref="DV50">IF(ISERROR(INDEX($A$3:$B$14312,SMALL(IF($A$3:$A$14312=DV$3,ROW($A$3:$A$14312)),ROW(48:48)),2)),"",INDEX($A$3:$B$14312,SMALL(IF($A$3:$A$14312=DV$3,ROW($A$3:$A$14312)),ROW(48:48)),2))</f>
        <v/>
      </c>
      <c r="DW50" t="str">
        <f t="array" ref="DW50">IF(ISERROR(INDEX($A$3:$B$14312,SMALL(IF($A$3:$A$14312=DW$3,ROW($A$3:$A$14312)),ROW(48:48)),2)),"",INDEX($A$3:$B$14312,SMALL(IF($A$3:$A$14312=DW$3,ROW($A$3:$A$14312)),ROW(48:48)),2))</f>
        <v/>
      </c>
      <c r="DX50" t="str">
        <f t="array" ref="DX50">IF(ISERROR(INDEX($A$3:$B$14312,SMALL(IF($A$3:$A$14312=DX$3,ROW($A$3:$A$14312)),ROW(48:48)),2)),"",INDEX($A$3:$B$14312,SMALL(IF($A$3:$A$14312=DX$3,ROW($A$3:$A$14312)),ROW(48:48)),2))</f>
        <v/>
      </c>
      <c r="DY50" t="str">
        <f t="array" ref="DY50">IF(ISERROR(INDEX($A$3:$B$14312,SMALL(IF($A$3:$A$14312=DY$3,ROW($A$3:$A$14312)),ROW(48:48)),2)),"",INDEX($A$3:$B$14312,SMALL(IF($A$3:$A$14312=DY$3,ROW($A$3:$A$14312)),ROW(48:48)),2))</f>
        <v/>
      </c>
      <c r="DZ50" t="str">
        <f t="array" ref="DZ50">IF(ISERROR(INDEX($A$3:$B$14312,SMALL(IF($A$3:$A$14312=DZ$3,ROW($A$3:$A$14312)),ROW(48:48)),2)),"",INDEX($A$3:$B$14312,SMALL(IF($A$3:$A$14312=DZ$3,ROW($A$3:$A$14312)),ROW(48:48)),2))</f>
        <v/>
      </c>
      <c r="EA50" t="str">
        <f t="array" ref="EA50">IF(ISERROR(INDEX($A$3:$B$14312,SMALL(IF($A$3:$A$14312=EA$3,ROW($A$3:$A$14312)),ROW(48:48)),2)),"",INDEX($A$3:$B$14312,SMALL(IF($A$3:$A$14312=EA$3,ROW($A$3:$A$14312)),ROW(48:48)),2))</f>
        <v/>
      </c>
      <c r="EB50" t="str">
        <f t="array" ref="EB50">IF(ISERROR(INDEX($A$3:$B$14312,SMALL(IF($A$3:$A$14312=EB$3,ROW($A$3:$A$14312)),ROW(48:48)),2)),"",INDEX($A$3:$B$14312,SMALL(IF($A$3:$A$14312=EB$3,ROW($A$3:$A$14312)),ROW(48:48)),2))</f>
        <v/>
      </c>
      <c r="EC50" t="str">
        <f t="array" ref="EC50">IF(ISERROR(INDEX($A$3:$B$14312,SMALL(IF($A$3:$A$14312=EC$3,ROW($A$3:$A$14312)),ROW(48:48)),2)),"",INDEX($A$3:$B$14312,SMALL(IF($A$3:$A$14312=EC$3,ROW($A$3:$A$14312)),ROW(48:48)),2))</f>
        <v>Router3_158</v>
      </c>
      <c r="ED50" t="str">
        <f t="array" ref="ED50">IF(ISERROR(INDEX($A$3:$B$14312,SMALL(IF($A$3:$A$14312=ED$3,ROW($A$3:$A$14312)),ROW(48:48)),2)),"",INDEX($A$3:$B$14312,SMALL(IF($A$3:$A$14312=ED$3,ROW($A$3:$A$14312)),ROW(48:48)),2))</f>
        <v/>
      </c>
      <c r="EE50" t="str">
        <f t="array" ref="EE50">IF(ISERROR(INDEX($A$3:$B$14312,SMALL(IF($A$3:$A$14312=EE$3,ROW($A$3:$A$14312)),ROW(48:48)),2)),"",INDEX($A$3:$B$14312,SMALL(IF($A$3:$A$14312=EE$3,ROW($A$3:$A$14312)),ROW(48:48)),2))</f>
        <v/>
      </c>
    </row>
    <row r="51" spans="1:135" x14ac:dyDescent="0.25">
      <c r="A51" s="10">
        <v>-450827381</v>
      </c>
      <c r="B51" t="s">
        <v>1106</v>
      </c>
      <c r="E51" t="str">
        <f t="array" ref="E51">IF(ISERROR(INDEX($A$3:$B$14312,SMALL(IF($A$3:$A$14312=E$3,ROW($A$3:$A$14312)),ROW(49:49)),2)),"",INDEX($A$3:$B$14312,SMALL(IF($A$3:$A$14312=E$3,ROW($A$3:$A$14312)),ROW(49:49)),2))</f>
        <v/>
      </c>
      <c r="F51" t="str">
        <f t="array" ref="F51">IF(ISERROR(INDEX($A$3:$B$14312,SMALL(IF($A$3:$A$14312=F$3,ROW($A$3:$A$14312)),ROW(49:49)),2)),"",INDEX($A$3:$B$14312,SMALL(IF($A$3:$A$14312=F$3,ROW($A$3:$A$14312)),ROW(49:49)),2))</f>
        <v/>
      </c>
      <c r="G51" t="str">
        <f t="array" ref="G51">IF(ISERROR(INDEX($A$3:$B$14312,SMALL(IF($A$3:$A$14312=G$3,ROW($A$3:$A$14312)),ROW(49:49)),2)),"",INDEX($A$3:$B$14312,SMALL(IF($A$3:$A$14312=G$3,ROW($A$3:$A$14312)),ROW(49:49)),2))</f>
        <v/>
      </c>
      <c r="H51" t="str">
        <f t="array" ref="H51">IF(ISERROR(INDEX($A$3:$B$14312,SMALL(IF($A$3:$A$14312=H$3,ROW($A$3:$A$14312)),ROW(49:49)),2)),"",INDEX($A$3:$B$14312,SMALL(IF($A$3:$A$14312=H$3,ROW($A$3:$A$14312)),ROW(49:49)),2))</f>
        <v/>
      </c>
      <c r="I51" t="str">
        <f t="array" ref="I51">IF(ISERROR(INDEX($A$3:$B$14312,SMALL(IF($A$3:$A$14312=I$3,ROW($A$3:$A$14312)),ROW(49:49)),2)),"",INDEX($A$3:$B$14312,SMALL(IF($A$3:$A$14312=I$3,ROW($A$3:$A$14312)),ROW(49:49)),2))</f>
        <v/>
      </c>
      <c r="J51" t="str">
        <f t="array" ref="J51">IF(ISERROR(INDEX($A$3:$B$14312,SMALL(IF($A$3:$A$14312=J$3,ROW($A$3:$A$14312)),ROW(49:49)),2)),"",INDEX($A$3:$B$14312,SMALL(IF($A$3:$A$14312=J$3,ROW($A$3:$A$14312)),ROW(49:49)),2))</f>
        <v/>
      </c>
      <c r="K51" t="str">
        <f t="array" ref="K51">IF(ISERROR(INDEX($A$3:$B$14312,SMALL(IF($A$3:$A$14312=K$3,ROW($A$3:$A$14312)),ROW(49:49)),2)),"",INDEX($A$3:$B$14312,SMALL(IF($A$3:$A$14312=K$3,ROW($A$3:$A$14312)),ROW(49:49)),2))</f>
        <v/>
      </c>
      <c r="L51" t="str">
        <f t="array" ref="L51">IF(ISERROR(INDEX($A$3:$B$14312,SMALL(IF($A$3:$A$14312=L$3,ROW($A$3:$A$14312)),ROW(49:49)),2)),"",INDEX($A$3:$B$14312,SMALL(IF($A$3:$A$14312=L$3,ROW($A$3:$A$14312)),ROW(49:49)),2))</f>
        <v/>
      </c>
      <c r="M51" t="str">
        <f t="array" ref="M51">IF(ISERROR(INDEX($A$3:$B$14312,SMALL(IF($A$3:$A$14312=M$3,ROW($A$3:$A$14312)),ROW(49:49)),2)),"",INDEX($A$3:$B$14312,SMALL(IF($A$3:$A$14312=M$3,ROW($A$3:$A$14312)),ROW(49:49)),2))</f>
        <v/>
      </c>
      <c r="N51" t="str">
        <f t="array" ref="N51">IF(ISERROR(INDEX($A$3:$B$14312,SMALL(IF($A$3:$A$14312=N$3,ROW($A$3:$A$14312)),ROW(49:49)),2)),"",INDEX($A$3:$B$14312,SMALL(IF($A$3:$A$14312=N$3,ROW($A$3:$A$14312)),ROW(49:49)),2))</f>
        <v/>
      </c>
      <c r="O51" t="str">
        <f t="array" ref="O51">IF(ISERROR(INDEX($A$3:$B$14312,SMALL(IF($A$3:$A$14312=O$3,ROW($A$3:$A$14312)),ROW(49:49)),2)),"",INDEX($A$3:$B$14312,SMALL(IF($A$3:$A$14312=O$3,ROW($A$3:$A$14312)),ROW(49:49)),2))</f>
        <v/>
      </c>
      <c r="P51" t="str">
        <f t="array" ref="P51">IF(ISERROR(INDEX($A$3:$B$14312,SMALL(IF($A$3:$A$14312=P$3,ROW($A$3:$A$14312)),ROW(49:49)),2)),"",INDEX($A$3:$B$14312,SMALL(IF($A$3:$A$14312=P$3,ROW($A$3:$A$14312)),ROW(49:49)),2))</f>
        <v/>
      </c>
      <c r="Q51" t="str">
        <f t="array" ref="Q51">IF(ISERROR(INDEX($A$3:$B$14312,SMALL(IF($A$3:$A$14312=Q$3,ROW($A$3:$A$14312)),ROW(49:49)),2)),"",INDEX($A$3:$B$14312,SMALL(IF($A$3:$A$14312=Q$3,ROW($A$3:$A$14312)),ROW(49:49)),2))</f>
        <v/>
      </c>
      <c r="R51" t="str">
        <f t="array" ref="R51">IF(ISERROR(INDEX($A$3:$B$14312,SMALL(IF($A$3:$A$14312=R$3,ROW($A$3:$A$14312)),ROW(49:49)),2)),"",INDEX($A$3:$B$14312,SMALL(IF($A$3:$A$14312=R$3,ROW($A$3:$A$14312)),ROW(49:49)),2))</f>
        <v/>
      </c>
      <c r="S51" t="str">
        <f t="array" ref="S51">IF(ISERROR(INDEX($A$3:$B$14312,SMALL(IF($A$3:$A$14312=S$3,ROW($A$3:$A$14312)),ROW(49:49)),2)),"",INDEX($A$3:$B$14312,SMALL(IF($A$3:$A$14312=S$3,ROW($A$3:$A$14312)),ROW(49:49)),2))</f>
        <v/>
      </c>
      <c r="T51" t="str">
        <f t="array" ref="T51">IF(ISERROR(INDEX($A$3:$B$14312,SMALL(IF($A$3:$A$14312=T$3,ROW($A$3:$A$14312)),ROW(49:49)),2)),"",INDEX($A$3:$B$14312,SMALL(IF($A$3:$A$14312=T$3,ROW($A$3:$A$14312)),ROW(49:49)),2))</f>
        <v/>
      </c>
      <c r="U51" t="str">
        <f t="array" ref="U51">IF(ISERROR(INDEX($A$3:$B$14312,SMALL(IF($A$3:$A$14312=U$3,ROW($A$3:$A$14312)),ROW(49:49)),2)),"",INDEX($A$3:$B$14312,SMALL(IF($A$3:$A$14312=U$3,ROW($A$3:$A$14312)),ROW(49:49)),2))</f>
        <v/>
      </c>
      <c r="V51" t="str">
        <f t="array" ref="V51">IF(ISERROR(INDEX($A$3:$B$14312,SMALL(IF($A$3:$A$14312=V$3,ROW($A$3:$A$14312)),ROW(49:49)),2)),"",INDEX($A$3:$B$14312,SMALL(IF($A$3:$A$14312=V$3,ROW($A$3:$A$14312)),ROW(49:49)),2))</f>
        <v/>
      </c>
      <c r="W51" t="str">
        <f t="array" ref="W51">IF(ISERROR(INDEX($A$3:$B$14312,SMALL(IF($A$3:$A$14312=W$3,ROW($A$3:$A$14312)),ROW(49:49)),2)),"",INDEX($A$3:$B$14312,SMALL(IF($A$3:$A$14312=W$3,ROW($A$3:$A$14312)),ROW(49:49)),2))</f>
        <v>Router3_160</v>
      </c>
      <c r="X51" t="str">
        <f t="array" ref="X51">IF(ISERROR(INDEX($A$3:$B$14312,SMALL(IF($A$3:$A$14312=X$3,ROW($A$3:$A$14312)),ROW(49:49)),2)),"",INDEX($A$3:$B$14312,SMALL(IF($A$3:$A$14312=X$3,ROW($A$3:$A$14312)),ROW(49:49)),2))</f>
        <v/>
      </c>
      <c r="Y51" t="str">
        <f t="array" ref="Y51">IF(ISERROR(INDEX($A$3:$B$14312,SMALL(IF($A$3:$A$14312=Y$3,ROW($A$3:$A$14312)),ROW(49:49)),2)),"",INDEX($A$3:$B$14312,SMALL(IF($A$3:$A$14312=Y$3,ROW($A$3:$A$14312)),ROW(49:49)),2))</f>
        <v/>
      </c>
      <c r="Z51" t="str">
        <f t="array" ref="Z51">IF(ISERROR(INDEX($A$3:$B$14312,SMALL(IF($A$3:$A$14312=Z$3,ROW($A$3:$A$14312)),ROW(49:49)),2)),"",INDEX($A$3:$B$14312,SMALL(IF($A$3:$A$14312=Z$3,ROW($A$3:$A$14312)),ROW(49:49)),2))</f>
        <v/>
      </c>
      <c r="AA51" t="str">
        <f t="array" ref="AA51">IF(ISERROR(INDEX($A$3:$B$14312,SMALL(IF($A$3:$A$14312=AA$3,ROW($A$3:$A$14312)),ROW(49:49)),2)),"",INDEX($A$3:$B$14312,SMALL(IF($A$3:$A$14312=AA$3,ROW($A$3:$A$14312)),ROW(49:49)),2))</f>
        <v/>
      </c>
      <c r="AB51" t="str">
        <f t="array" ref="AB51">IF(ISERROR(INDEX($A$3:$B$14312,SMALL(IF($A$3:$A$14312=AB$3,ROW($A$3:$A$14312)),ROW(49:49)),2)),"",INDEX($A$3:$B$14312,SMALL(IF($A$3:$A$14312=AB$3,ROW($A$3:$A$14312)),ROW(49:49)),2))</f>
        <v/>
      </c>
      <c r="AC51" t="str">
        <f t="array" ref="AC51">IF(ISERROR(INDEX($A$3:$B$14312,SMALL(IF($A$3:$A$14312=AC$3,ROW($A$3:$A$14312)),ROW(49:49)),2)),"",INDEX($A$3:$B$14312,SMALL(IF($A$3:$A$14312=AC$3,ROW($A$3:$A$14312)),ROW(49:49)),2))</f>
        <v/>
      </c>
      <c r="AD51" t="str">
        <f t="array" ref="AD51">IF(ISERROR(INDEX($A$3:$B$14312,SMALL(IF($A$3:$A$14312=AD$3,ROW($A$3:$A$14312)),ROW(49:49)),2)),"",INDEX($A$3:$B$14312,SMALL(IF($A$3:$A$14312=AD$3,ROW($A$3:$A$14312)),ROW(49:49)),2))</f>
        <v/>
      </c>
      <c r="AE51" t="str">
        <f t="array" ref="AE51">IF(ISERROR(INDEX($A$3:$B$14312,SMALL(IF($A$3:$A$14312=AE$3,ROW($A$3:$A$14312)),ROW(49:49)),2)),"",INDEX($A$3:$B$14312,SMALL(IF($A$3:$A$14312=AE$3,ROW($A$3:$A$14312)),ROW(49:49)),2))</f>
        <v/>
      </c>
      <c r="AF51" t="str">
        <f t="array" ref="AF51">IF(ISERROR(INDEX($A$3:$B$14312,SMALL(IF($A$3:$A$14312=AF$3,ROW($A$3:$A$14312)),ROW(49:49)),2)),"",INDEX($A$3:$B$14312,SMALL(IF($A$3:$A$14312=AF$3,ROW($A$3:$A$14312)),ROW(49:49)),2))</f>
        <v/>
      </c>
      <c r="AG51" t="str">
        <f t="array" ref="AG51">IF(ISERROR(INDEX($A$3:$B$14312,SMALL(IF($A$3:$A$14312=AG$3,ROW($A$3:$A$14312)),ROW(49:49)),2)),"",INDEX($A$3:$B$14312,SMALL(IF($A$3:$A$14312=AG$3,ROW($A$3:$A$14312)),ROW(49:49)),2))</f>
        <v/>
      </c>
      <c r="AH51" t="str">
        <f t="array" ref="AH51">IF(ISERROR(INDEX($A$3:$B$14312,SMALL(IF($A$3:$A$14312=AH$3,ROW($A$3:$A$14312)),ROW(49:49)),2)),"",INDEX($A$3:$B$14312,SMALL(IF($A$3:$A$14312=AH$3,ROW($A$3:$A$14312)),ROW(49:49)),2))</f>
        <v/>
      </c>
      <c r="AI51" t="str">
        <f t="array" ref="AI51">IF(ISERROR(INDEX($A$3:$B$14312,SMALL(IF($A$3:$A$14312=AI$3,ROW($A$3:$A$14312)),ROW(49:49)),2)),"",INDEX($A$3:$B$14312,SMALL(IF($A$3:$A$14312=AI$3,ROW($A$3:$A$14312)),ROW(49:49)),2))</f>
        <v/>
      </c>
      <c r="AJ51" t="str">
        <f t="array" ref="AJ51">IF(ISERROR(INDEX($A$3:$B$14312,SMALL(IF($A$3:$A$14312=AJ$3,ROW($A$3:$A$14312)),ROW(49:49)),2)),"",INDEX($A$3:$B$14312,SMALL(IF($A$3:$A$14312=AJ$3,ROW($A$3:$A$14312)),ROW(49:49)),2))</f>
        <v/>
      </c>
      <c r="AK51" t="str">
        <f t="array" ref="AK51">IF(ISERROR(INDEX($A$3:$B$14312,SMALL(IF($A$3:$A$14312=AK$3,ROW($A$3:$A$14312)),ROW(49:49)),2)),"",INDEX($A$3:$B$14312,SMALL(IF($A$3:$A$14312=AK$3,ROW($A$3:$A$14312)),ROW(49:49)),2))</f>
        <v/>
      </c>
      <c r="AL51" t="str">
        <f t="array" ref="AL51">IF(ISERROR(INDEX($A$3:$B$14312,SMALL(IF($A$3:$A$14312=AL$3,ROW($A$3:$A$14312)),ROW(49:49)),2)),"",INDEX($A$3:$B$14312,SMALL(IF($A$3:$A$14312=AL$3,ROW($A$3:$A$14312)),ROW(49:49)),2))</f>
        <v/>
      </c>
      <c r="AM51" t="str">
        <f t="array" ref="AM51">IF(ISERROR(INDEX($A$3:$B$14312,SMALL(IF($A$3:$A$14312=AM$3,ROW($A$3:$A$14312)),ROW(49:49)),2)),"",INDEX($A$3:$B$14312,SMALL(IF($A$3:$A$14312=AM$3,ROW($A$3:$A$14312)),ROW(49:49)),2))</f>
        <v/>
      </c>
      <c r="AN51" t="str">
        <f t="array" ref="AN51">IF(ISERROR(INDEX($A$3:$B$14312,SMALL(IF($A$3:$A$14312=AN$3,ROW($A$3:$A$14312)),ROW(49:49)),2)),"",INDEX($A$3:$B$14312,SMALL(IF($A$3:$A$14312=AN$3,ROW($A$3:$A$14312)),ROW(49:49)),2))</f>
        <v/>
      </c>
      <c r="AO51" t="str">
        <f t="array" ref="AO51">IF(ISERROR(INDEX($A$3:$B$14312,SMALL(IF($A$3:$A$14312=AO$3,ROW($A$3:$A$14312)),ROW(49:49)),2)),"",INDEX($A$3:$B$14312,SMALL(IF($A$3:$A$14312=AO$3,ROW($A$3:$A$14312)),ROW(49:49)),2))</f>
        <v/>
      </c>
      <c r="AP51" t="str">
        <f t="array" ref="AP51">IF(ISERROR(INDEX($A$3:$B$14312,SMALL(IF($A$3:$A$14312=AP$3,ROW($A$3:$A$14312)),ROW(49:49)),2)),"",INDEX($A$3:$B$14312,SMALL(IF($A$3:$A$14312=AP$3,ROW($A$3:$A$14312)),ROW(49:49)),2))</f>
        <v/>
      </c>
      <c r="AQ51" t="str">
        <f t="array" ref="AQ51">IF(ISERROR(INDEX($A$3:$B$14312,SMALL(IF($A$3:$A$14312=AQ$3,ROW($A$3:$A$14312)),ROW(49:49)),2)),"",INDEX($A$3:$B$14312,SMALL(IF($A$3:$A$14312=AQ$3,ROW($A$3:$A$14312)),ROW(49:49)),2))</f>
        <v/>
      </c>
      <c r="AR51" t="str">
        <f t="array" ref="AR51">IF(ISERROR(INDEX($A$3:$B$14312,SMALL(IF($A$3:$A$14312=AR$3,ROW($A$3:$A$14312)),ROW(49:49)),2)),"",INDEX($A$3:$B$14312,SMALL(IF($A$3:$A$14312=AR$3,ROW($A$3:$A$14312)),ROW(49:49)),2))</f>
        <v/>
      </c>
      <c r="AS51" t="str">
        <f t="array" ref="AS51">IF(ISERROR(INDEX($A$3:$B$14312,SMALL(IF($A$3:$A$14312=AS$3,ROW($A$3:$A$14312)),ROW(49:49)),2)),"",INDEX($A$3:$B$14312,SMALL(IF($A$3:$A$14312=AS$3,ROW($A$3:$A$14312)),ROW(49:49)),2))</f>
        <v/>
      </c>
      <c r="AT51" t="str">
        <f t="array" ref="AT51">IF(ISERROR(INDEX($A$3:$B$14312,SMALL(IF($A$3:$A$14312=AT$3,ROW($A$3:$A$14312)),ROW(49:49)),2)),"",INDEX($A$3:$B$14312,SMALL(IF($A$3:$A$14312=AT$3,ROW($A$3:$A$14312)),ROW(49:49)),2))</f>
        <v/>
      </c>
      <c r="AU51" t="str">
        <f t="array" ref="AU51">IF(ISERROR(INDEX($A$3:$B$14312,SMALL(IF($A$3:$A$14312=AU$3,ROW($A$3:$A$14312)),ROW(49:49)),2)),"",INDEX($A$3:$B$14312,SMALL(IF($A$3:$A$14312=AU$3,ROW($A$3:$A$14312)),ROW(49:49)),2))</f>
        <v/>
      </c>
      <c r="AV51" t="str">
        <f t="array" ref="AV51">IF(ISERROR(INDEX($A$3:$B$14312,SMALL(IF($A$3:$A$14312=AV$3,ROW($A$3:$A$14312)),ROW(49:49)),2)),"",INDEX($A$3:$B$14312,SMALL(IF($A$3:$A$14312=AV$3,ROW($A$3:$A$14312)),ROW(49:49)),2))</f>
        <v/>
      </c>
      <c r="AW51" t="str">
        <f t="array" ref="AW51">IF(ISERROR(INDEX($A$3:$B$14312,SMALL(IF($A$3:$A$14312=AW$3,ROW($A$3:$A$14312)),ROW(49:49)),2)),"",INDEX($A$3:$B$14312,SMALL(IF($A$3:$A$14312=AW$3,ROW($A$3:$A$14312)),ROW(49:49)),2))</f>
        <v/>
      </c>
      <c r="AX51" t="str">
        <f t="array" ref="AX51">IF(ISERROR(INDEX($A$3:$B$14312,SMALL(IF($A$3:$A$14312=AX$3,ROW($A$3:$A$14312)),ROW(49:49)),2)),"",INDEX($A$3:$B$14312,SMALL(IF($A$3:$A$14312=AX$3,ROW($A$3:$A$14312)),ROW(49:49)),2))</f>
        <v/>
      </c>
      <c r="AY51" t="str">
        <f t="array" ref="AY51">IF(ISERROR(INDEX($A$3:$B$14312,SMALL(IF($A$3:$A$14312=AY$3,ROW($A$3:$A$14312)),ROW(49:49)),2)),"",INDEX($A$3:$B$14312,SMALL(IF($A$3:$A$14312=AY$3,ROW($A$3:$A$14312)),ROW(49:49)),2))</f>
        <v/>
      </c>
      <c r="AZ51" t="str">
        <f t="array" ref="AZ51">IF(ISERROR(INDEX($A$3:$B$14312,SMALL(IF($A$3:$A$14312=AZ$3,ROW($A$3:$A$14312)),ROW(49:49)),2)),"",INDEX($A$3:$B$14312,SMALL(IF($A$3:$A$14312=AZ$3,ROW($A$3:$A$14312)),ROW(49:49)),2))</f>
        <v/>
      </c>
      <c r="BA51" t="str">
        <f t="array" ref="BA51">IF(ISERROR(INDEX($A$3:$B$14312,SMALL(IF($A$3:$A$14312=BA$3,ROW($A$3:$A$14312)),ROW(49:49)),2)),"",INDEX($A$3:$B$14312,SMALL(IF($A$3:$A$14312=BA$3,ROW($A$3:$A$14312)),ROW(49:49)),2))</f>
        <v/>
      </c>
      <c r="BB51" t="str">
        <f t="array" ref="BB51">IF(ISERROR(INDEX($A$3:$B$14312,SMALL(IF($A$3:$A$14312=BB$3,ROW($A$3:$A$14312)),ROW(49:49)),2)),"",INDEX($A$3:$B$14312,SMALL(IF($A$3:$A$14312=BB$3,ROW($A$3:$A$14312)),ROW(49:49)),2))</f>
        <v/>
      </c>
      <c r="BC51" t="str">
        <f t="array" ref="BC51">IF(ISERROR(INDEX($A$3:$B$14312,SMALL(IF($A$3:$A$14312=BC$3,ROW($A$3:$A$14312)),ROW(49:49)),2)),"",INDEX($A$3:$B$14312,SMALL(IF($A$3:$A$14312=BC$3,ROW($A$3:$A$14312)),ROW(49:49)),2))</f>
        <v/>
      </c>
      <c r="BD51" t="str">
        <f t="array" ref="BD51">IF(ISERROR(INDEX($A$3:$B$14312,SMALL(IF($A$3:$A$14312=BD$3,ROW($A$3:$A$14312)),ROW(49:49)),2)),"",INDEX($A$3:$B$14312,SMALL(IF($A$3:$A$14312=BD$3,ROW($A$3:$A$14312)),ROW(49:49)),2))</f>
        <v/>
      </c>
      <c r="BE51" t="str">
        <f t="array" ref="BE51">IF(ISERROR(INDEX($A$3:$B$14312,SMALL(IF($A$3:$A$14312=BE$3,ROW($A$3:$A$14312)),ROW(49:49)),2)),"",INDEX($A$3:$B$14312,SMALL(IF($A$3:$A$14312=BE$3,ROW($A$3:$A$14312)),ROW(49:49)),2))</f>
        <v/>
      </c>
      <c r="BF51" t="str">
        <f t="array" ref="BF51">IF(ISERROR(INDEX($A$3:$B$14312,SMALL(IF($A$3:$A$14312=BF$3,ROW($A$3:$A$14312)),ROW(49:49)),2)),"",INDEX($A$3:$B$14312,SMALL(IF($A$3:$A$14312=BF$3,ROW($A$3:$A$14312)),ROW(49:49)),2))</f>
        <v/>
      </c>
      <c r="BG51" t="str">
        <f t="array" ref="BG51">IF(ISERROR(INDEX($A$3:$B$14312,SMALL(IF($A$3:$A$14312=BG$3,ROW($A$3:$A$14312)),ROW(49:49)),2)),"",INDEX($A$3:$B$14312,SMALL(IF($A$3:$A$14312=BG$3,ROW($A$3:$A$14312)),ROW(49:49)),2))</f>
        <v/>
      </c>
      <c r="BH51" t="str">
        <f t="array" ref="BH51">IF(ISERROR(INDEX($A$3:$B$14312,SMALL(IF($A$3:$A$14312=BH$3,ROW($A$3:$A$14312)),ROW(49:49)),2)),"",INDEX($A$3:$B$14312,SMALL(IF($A$3:$A$14312=BH$3,ROW($A$3:$A$14312)),ROW(49:49)),2))</f>
        <v/>
      </c>
      <c r="BI51" t="str">
        <f t="array" ref="BI51">IF(ISERROR(INDEX($A$3:$B$14312,SMALL(IF($A$3:$A$14312=BI$3,ROW($A$3:$A$14312)),ROW(49:49)),2)),"",INDEX($A$3:$B$14312,SMALL(IF($A$3:$A$14312=BI$3,ROW($A$3:$A$14312)),ROW(49:49)),2))</f>
        <v/>
      </c>
      <c r="BJ51" t="str">
        <f t="array" ref="BJ51">IF(ISERROR(INDEX($A$3:$B$14312,SMALL(IF($A$3:$A$14312=BJ$3,ROW($A$3:$A$14312)),ROW(49:49)),2)),"",INDEX($A$3:$B$14312,SMALL(IF($A$3:$A$14312=BJ$3,ROW($A$3:$A$14312)),ROW(49:49)),2))</f>
        <v/>
      </c>
      <c r="BK51" t="str">
        <f t="array" ref="BK51">IF(ISERROR(INDEX($A$3:$B$14312,SMALL(IF($A$3:$A$14312=BK$3,ROW($A$3:$A$14312)),ROW(49:49)),2)),"",INDEX($A$3:$B$14312,SMALL(IF($A$3:$A$14312=BK$3,ROW($A$3:$A$14312)),ROW(49:49)),2))</f>
        <v/>
      </c>
      <c r="BL51" t="str">
        <f t="array" ref="BL51">IF(ISERROR(INDEX($A$3:$B$14312,SMALL(IF($A$3:$A$14312=BL$3,ROW($A$3:$A$14312)),ROW(49:49)),2)),"",INDEX($A$3:$B$14312,SMALL(IF($A$3:$A$14312=BL$3,ROW($A$3:$A$14312)),ROW(49:49)),2))</f>
        <v/>
      </c>
      <c r="BM51" t="str">
        <f t="array" ref="BM51">IF(ISERROR(INDEX($A$3:$B$14312,SMALL(IF($A$3:$A$14312=BM$3,ROW($A$3:$A$14312)),ROW(49:49)),2)),"",INDEX($A$3:$B$14312,SMALL(IF($A$3:$A$14312=BM$3,ROW($A$3:$A$14312)),ROW(49:49)),2))</f>
        <v/>
      </c>
      <c r="BN51" t="str">
        <f t="array" ref="BN51">IF(ISERROR(INDEX($A$3:$B$14312,SMALL(IF($A$3:$A$14312=BN$3,ROW($A$3:$A$14312)),ROW(49:49)),2)),"",INDEX($A$3:$B$14312,SMALL(IF($A$3:$A$14312=BN$3,ROW($A$3:$A$14312)),ROW(49:49)),2))</f>
        <v/>
      </c>
      <c r="BO51" t="str">
        <f t="array" ref="BO51">IF(ISERROR(INDEX($A$3:$B$14312,SMALL(IF($A$3:$A$14312=BO$3,ROW($A$3:$A$14312)),ROW(49:49)),2)),"",INDEX($A$3:$B$14312,SMALL(IF($A$3:$A$14312=BO$3,ROW($A$3:$A$14312)),ROW(49:49)),2))</f>
        <v/>
      </c>
      <c r="BP51" t="str">
        <f t="array" ref="BP51">IF(ISERROR(INDEX($A$3:$B$14312,SMALL(IF($A$3:$A$14312=BP$3,ROW($A$3:$A$14312)),ROW(49:49)),2)),"",INDEX($A$3:$B$14312,SMALL(IF($A$3:$A$14312=BP$3,ROW($A$3:$A$14312)),ROW(49:49)),2))</f>
        <v/>
      </c>
      <c r="BQ51" t="str">
        <f t="array" ref="BQ51">IF(ISERROR(INDEX($A$3:$B$14312,SMALL(IF($A$3:$A$14312=BQ$3,ROW($A$3:$A$14312)),ROW(49:49)),2)),"",INDEX($A$3:$B$14312,SMALL(IF($A$3:$A$14312=BQ$3,ROW($A$3:$A$14312)),ROW(49:49)),2))</f>
        <v/>
      </c>
      <c r="BR51" t="str">
        <f t="array" ref="BR51">IF(ISERROR(INDEX($A$3:$B$14312,SMALL(IF($A$3:$A$14312=BR$3,ROW($A$3:$A$14312)),ROW(49:49)),2)),"",INDEX($A$3:$B$14312,SMALL(IF($A$3:$A$14312=BR$3,ROW($A$3:$A$14312)),ROW(49:49)),2))</f>
        <v/>
      </c>
      <c r="BS51" t="str">
        <f t="array" ref="BS51">IF(ISERROR(INDEX($A$3:$B$14312,SMALL(IF($A$3:$A$14312=BS$3,ROW($A$3:$A$14312)),ROW(49:49)),2)),"",INDEX($A$3:$B$14312,SMALL(IF($A$3:$A$14312=BS$3,ROW($A$3:$A$14312)),ROW(49:49)),2))</f>
        <v/>
      </c>
      <c r="BT51" t="str">
        <f t="array" ref="BT51">IF(ISERROR(INDEX($A$3:$B$14312,SMALL(IF($A$3:$A$14312=BT$3,ROW($A$3:$A$14312)),ROW(49:49)),2)),"",INDEX($A$3:$B$14312,SMALL(IF($A$3:$A$14312=BT$3,ROW($A$3:$A$14312)),ROW(49:49)),2))</f>
        <v>Router3_150</v>
      </c>
      <c r="BU51" t="str">
        <f t="array" ref="BU51">IF(ISERROR(INDEX($A$3:$B$14312,SMALL(IF($A$3:$A$14312=BU$3,ROW($A$3:$A$14312)),ROW(49:49)),2)),"",INDEX($A$3:$B$14312,SMALL(IF($A$3:$A$14312=BU$3,ROW($A$3:$A$14312)),ROW(49:49)),2))</f>
        <v/>
      </c>
      <c r="BV51" t="str">
        <f t="array" ref="BV51">IF(ISERROR(INDEX($A$3:$B$14312,SMALL(IF($A$3:$A$14312=BV$3,ROW($A$3:$A$14312)),ROW(49:49)),2)),"",INDEX($A$3:$B$14312,SMALL(IF($A$3:$A$14312=BV$3,ROW($A$3:$A$14312)),ROW(49:49)),2))</f>
        <v/>
      </c>
      <c r="BW51" t="str">
        <f t="array" ref="BW51">IF(ISERROR(INDEX($A$3:$B$14312,SMALL(IF($A$3:$A$14312=BW$3,ROW($A$3:$A$14312)),ROW(49:49)),2)),"",INDEX($A$3:$B$14312,SMALL(IF($A$3:$A$14312=BW$3,ROW($A$3:$A$14312)),ROW(49:49)),2))</f>
        <v/>
      </c>
      <c r="BX51" t="str">
        <f t="array" ref="BX51">IF(ISERROR(INDEX($A$3:$B$14312,SMALL(IF($A$3:$A$14312=BX$3,ROW($A$3:$A$14312)),ROW(49:49)),2)),"",INDEX($A$3:$B$14312,SMALL(IF($A$3:$A$14312=BX$3,ROW($A$3:$A$14312)),ROW(49:49)),2))</f>
        <v/>
      </c>
      <c r="BY51" t="str">
        <f t="array" ref="BY51">IF(ISERROR(INDEX($A$3:$B$14312,SMALL(IF($A$3:$A$14312=BY$3,ROW($A$3:$A$14312)),ROW(49:49)),2)),"",INDEX($A$3:$B$14312,SMALL(IF($A$3:$A$14312=BY$3,ROW($A$3:$A$14312)),ROW(49:49)),2))</f>
        <v/>
      </c>
      <c r="BZ51" t="str">
        <f t="array" ref="BZ51">IF(ISERROR(INDEX($A$3:$B$14312,SMALL(IF($A$3:$A$14312=BZ$3,ROW($A$3:$A$14312)),ROW(49:49)),2)),"",INDEX($A$3:$B$14312,SMALL(IF($A$3:$A$14312=BZ$3,ROW($A$3:$A$14312)),ROW(49:49)),2))</f>
        <v/>
      </c>
      <c r="CA51" t="str">
        <f t="array" ref="CA51">IF(ISERROR(INDEX($A$3:$B$14312,SMALL(IF($A$3:$A$14312=CA$3,ROW($A$3:$A$14312)),ROW(49:49)),2)),"",INDEX($A$3:$B$14312,SMALL(IF($A$3:$A$14312=CA$3,ROW($A$3:$A$14312)),ROW(49:49)),2))</f>
        <v/>
      </c>
      <c r="CB51" t="str">
        <f t="array" ref="CB51">IF(ISERROR(INDEX($A$3:$B$14312,SMALL(IF($A$3:$A$14312=CB$3,ROW($A$3:$A$14312)),ROW(49:49)),2)),"",INDEX($A$3:$B$14312,SMALL(IF($A$3:$A$14312=CB$3,ROW($A$3:$A$14312)),ROW(49:49)),2))</f>
        <v/>
      </c>
      <c r="CC51" t="str">
        <f t="array" ref="CC51">IF(ISERROR(INDEX($A$3:$B$14312,SMALL(IF($A$3:$A$14312=CC$3,ROW($A$3:$A$14312)),ROW(49:49)),2)),"",INDEX($A$3:$B$14312,SMALL(IF($A$3:$A$14312=CC$3,ROW($A$3:$A$14312)),ROW(49:49)),2))</f>
        <v/>
      </c>
      <c r="CD51" t="str">
        <f t="array" ref="CD51">IF(ISERROR(INDEX($A$3:$B$14312,SMALL(IF($A$3:$A$14312=CD$3,ROW($A$3:$A$14312)),ROW(49:49)),2)),"",INDEX($A$3:$B$14312,SMALL(IF($A$3:$A$14312=CD$3,ROW($A$3:$A$14312)),ROW(49:49)),2))</f>
        <v/>
      </c>
      <c r="CE51" t="str">
        <f t="array" ref="CE51">IF(ISERROR(INDEX($A$3:$B$14312,SMALL(IF($A$3:$A$14312=CE$3,ROW($A$3:$A$14312)),ROW(49:49)),2)),"",INDEX($A$3:$B$14312,SMALL(IF($A$3:$A$14312=CE$3,ROW($A$3:$A$14312)),ROW(49:49)),2))</f>
        <v/>
      </c>
      <c r="CF51" t="str">
        <f t="array" ref="CF51">IF(ISERROR(INDEX($A$3:$B$14312,SMALL(IF($A$3:$A$14312=CF$3,ROW($A$3:$A$14312)),ROW(49:49)),2)),"",INDEX($A$3:$B$14312,SMALL(IF($A$3:$A$14312=CF$3,ROW($A$3:$A$14312)),ROW(49:49)),2))</f>
        <v/>
      </c>
      <c r="CG51" t="str">
        <f t="array" ref="CG51">IF(ISERROR(INDEX($A$3:$B$14312,SMALL(IF($A$3:$A$14312=CG$3,ROW($A$3:$A$14312)),ROW(49:49)),2)),"",INDEX($A$3:$B$14312,SMALL(IF($A$3:$A$14312=CG$3,ROW($A$3:$A$14312)),ROW(49:49)),2))</f>
        <v/>
      </c>
      <c r="CH51" t="str">
        <f t="array" ref="CH51">IF(ISERROR(INDEX($A$3:$B$14312,SMALL(IF($A$3:$A$14312=CH$3,ROW($A$3:$A$14312)),ROW(49:49)),2)),"",INDEX($A$3:$B$14312,SMALL(IF($A$3:$A$14312=CH$3,ROW($A$3:$A$14312)),ROW(49:49)),2))</f>
        <v/>
      </c>
      <c r="CI51" t="str">
        <f t="array" ref="CI51">IF(ISERROR(INDEX($A$3:$B$14312,SMALL(IF($A$3:$A$14312=CI$3,ROW($A$3:$A$14312)),ROW(49:49)),2)),"",INDEX($A$3:$B$14312,SMALL(IF($A$3:$A$14312=CI$3,ROW($A$3:$A$14312)),ROW(49:49)),2))</f>
        <v/>
      </c>
      <c r="CJ51" t="str">
        <f t="array" ref="CJ51">IF(ISERROR(INDEX($A$3:$B$14312,SMALL(IF($A$3:$A$14312=CJ$3,ROW($A$3:$A$14312)),ROW(49:49)),2)),"",INDEX($A$3:$B$14312,SMALL(IF($A$3:$A$14312=CJ$3,ROW($A$3:$A$14312)),ROW(49:49)),2))</f>
        <v/>
      </c>
      <c r="CK51" t="str">
        <f t="array" ref="CK51">IF(ISERROR(INDEX($A$3:$B$14312,SMALL(IF($A$3:$A$14312=CK$3,ROW($A$3:$A$14312)),ROW(49:49)),2)),"",INDEX($A$3:$B$14312,SMALL(IF($A$3:$A$14312=CK$3,ROW($A$3:$A$14312)),ROW(49:49)),2))</f>
        <v/>
      </c>
      <c r="CL51" t="str">
        <f t="array" ref="CL51">IF(ISERROR(INDEX($A$3:$B$14312,SMALL(IF($A$3:$A$14312=CL$3,ROW($A$3:$A$14312)),ROW(49:49)),2)),"",INDEX($A$3:$B$14312,SMALL(IF($A$3:$A$14312=CL$3,ROW($A$3:$A$14312)),ROW(49:49)),2))</f>
        <v/>
      </c>
      <c r="CM51" t="str">
        <f t="array" ref="CM51">IF(ISERROR(INDEX($A$3:$B$14312,SMALL(IF($A$3:$A$14312=CM$3,ROW($A$3:$A$14312)),ROW(49:49)),2)),"",INDEX($A$3:$B$14312,SMALL(IF($A$3:$A$14312=CM$3,ROW($A$3:$A$14312)),ROW(49:49)),2))</f>
        <v/>
      </c>
      <c r="CN51" t="str">
        <f t="array" ref="CN51">IF(ISERROR(INDEX($A$3:$B$14312,SMALL(IF($A$3:$A$14312=CN$3,ROW($A$3:$A$14312)),ROW(49:49)),2)),"",INDEX($A$3:$B$14312,SMALL(IF($A$3:$A$14312=CN$3,ROW($A$3:$A$14312)),ROW(49:49)),2))</f>
        <v/>
      </c>
      <c r="CO51" t="str">
        <f t="array" ref="CO51">IF(ISERROR(INDEX($A$3:$B$14312,SMALL(IF($A$3:$A$14312=CO$3,ROW($A$3:$A$14312)),ROW(49:49)),2)),"",INDEX($A$3:$B$14312,SMALL(IF($A$3:$A$14312=CO$3,ROW($A$3:$A$14312)),ROW(49:49)),2))</f>
        <v/>
      </c>
      <c r="CP51" t="str">
        <f t="array" ref="CP51">IF(ISERROR(INDEX($A$3:$B$14312,SMALL(IF($A$3:$A$14312=CP$3,ROW($A$3:$A$14312)),ROW(49:49)),2)),"",INDEX($A$3:$B$14312,SMALL(IF($A$3:$A$14312=CP$3,ROW($A$3:$A$14312)),ROW(49:49)),2))</f>
        <v/>
      </c>
      <c r="CQ51" t="str">
        <f t="array" ref="CQ51">IF(ISERROR(INDEX($A$3:$B$14312,SMALL(IF($A$3:$A$14312=CQ$3,ROW($A$3:$A$14312)),ROW(49:49)),2)),"",INDEX($A$3:$B$14312,SMALL(IF($A$3:$A$14312=CQ$3,ROW($A$3:$A$14312)),ROW(49:49)),2))</f>
        <v/>
      </c>
      <c r="CR51" t="str">
        <f t="array" ref="CR51">IF(ISERROR(INDEX($A$3:$B$14312,SMALL(IF($A$3:$A$14312=CR$3,ROW($A$3:$A$14312)),ROW(49:49)),2)),"",INDEX($A$3:$B$14312,SMALL(IF($A$3:$A$14312=CR$3,ROW($A$3:$A$14312)),ROW(49:49)),2))</f>
        <v/>
      </c>
      <c r="CS51" t="str">
        <f t="array" ref="CS51">IF(ISERROR(INDEX($A$3:$B$14312,SMALL(IF($A$3:$A$14312=CS$3,ROW($A$3:$A$14312)),ROW(49:49)),2)),"",INDEX($A$3:$B$14312,SMALL(IF($A$3:$A$14312=CS$3,ROW($A$3:$A$14312)),ROW(49:49)),2))</f>
        <v/>
      </c>
      <c r="CT51" t="str">
        <f t="array" ref="CT51">IF(ISERROR(INDEX($A$3:$B$14312,SMALL(IF($A$3:$A$14312=CT$3,ROW($A$3:$A$14312)),ROW(49:49)),2)),"",INDEX($A$3:$B$14312,SMALL(IF($A$3:$A$14312=CT$3,ROW($A$3:$A$14312)),ROW(49:49)),2))</f>
        <v/>
      </c>
      <c r="CU51" t="str">
        <f t="array" ref="CU51">IF(ISERROR(INDEX($A$3:$B$14312,SMALL(IF($A$3:$A$14312=CU$3,ROW($A$3:$A$14312)),ROW(49:49)),2)),"",INDEX($A$3:$B$14312,SMALL(IF($A$3:$A$14312=CU$3,ROW($A$3:$A$14312)),ROW(49:49)),2))</f>
        <v/>
      </c>
      <c r="CV51" t="str">
        <f t="array" ref="CV51">IF(ISERROR(INDEX($A$3:$B$14312,SMALL(IF($A$3:$A$14312=CV$3,ROW($A$3:$A$14312)),ROW(49:49)),2)),"",INDEX($A$3:$B$14312,SMALL(IF($A$3:$A$14312=CV$3,ROW($A$3:$A$14312)),ROW(49:49)),2))</f>
        <v/>
      </c>
      <c r="CW51" t="str">
        <f t="array" ref="CW51">IF(ISERROR(INDEX($A$3:$B$14312,SMALL(IF($A$3:$A$14312=CW$3,ROW($A$3:$A$14312)),ROW(49:49)),2)),"",INDEX($A$3:$B$14312,SMALL(IF($A$3:$A$14312=CW$3,ROW($A$3:$A$14312)),ROW(49:49)),2))</f>
        <v/>
      </c>
      <c r="CX51" t="str">
        <f t="array" ref="CX51">IF(ISERROR(INDEX($A$3:$B$14312,SMALL(IF($A$3:$A$14312=CX$3,ROW($A$3:$A$14312)),ROW(49:49)),2)),"",INDEX($A$3:$B$14312,SMALL(IF($A$3:$A$14312=CX$3,ROW($A$3:$A$14312)),ROW(49:49)),2))</f>
        <v/>
      </c>
      <c r="CY51" t="str">
        <f t="array" ref="CY51">IF(ISERROR(INDEX($A$3:$B$14312,SMALL(IF($A$3:$A$14312=CY$3,ROW($A$3:$A$14312)),ROW(49:49)),2)),"",INDEX($A$3:$B$14312,SMALL(IF($A$3:$A$14312=CY$3,ROW($A$3:$A$14312)),ROW(49:49)),2))</f>
        <v/>
      </c>
      <c r="CZ51" t="str">
        <f t="array" ref="CZ51">IF(ISERROR(INDEX($A$3:$B$14312,SMALL(IF($A$3:$A$14312=CZ$3,ROW($A$3:$A$14312)),ROW(49:49)),2)),"",INDEX($A$3:$B$14312,SMALL(IF($A$3:$A$14312=CZ$3,ROW($A$3:$A$14312)),ROW(49:49)),2))</f>
        <v/>
      </c>
      <c r="DA51" t="str">
        <f t="array" ref="DA51">IF(ISERROR(INDEX($A$3:$B$14312,SMALL(IF($A$3:$A$14312=DA$3,ROW($A$3:$A$14312)),ROW(49:49)),2)),"",INDEX($A$3:$B$14312,SMALL(IF($A$3:$A$14312=DA$3,ROW($A$3:$A$14312)),ROW(49:49)),2))</f>
        <v/>
      </c>
      <c r="DB51" t="str">
        <f t="array" ref="DB51">IF(ISERROR(INDEX($A$3:$B$14312,SMALL(IF($A$3:$A$14312=DB$3,ROW($A$3:$A$14312)),ROW(49:49)),2)),"",INDEX($A$3:$B$14312,SMALL(IF($A$3:$A$14312=DB$3,ROW($A$3:$A$14312)),ROW(49:49)),2))</f>
        <v/>
      </c>
      <c r="DC51" t="str">
        <f t="array" ref="DC51">IF(ISERROR(INDEX($A$3:$B$14312,SMALL(IF($A$3:$A$14312=DC$3,ROW($A$3:$A$14312)),ROW(49:49)),2)),"",INDEX($A$3:$B$14312,SMALL(IF($A$3:$A$14312=DC$3,ROW($A$3:$A$14312)),ROW(49:49)),2))</f>
        <v/>
      </c>
      <c r="DD51" t="str">
        <f t="array" ref="DD51">IF(ISERROR(INDEX($A$3:$B$14312,SMALL(IF($A$3:$A$14312=DD$3,ROW($A$3:$A$14312)),ROW(49:49)),2)),"",INDEX($A$3:$B$14312,SMALL(IF($A$3:$A$14312=DD$3,ROW($A$3:$A$14312)),ROW(49:49)),2))</f>
        <v/>
      </c>
      <c r="DE51" t="str">
        <f t="array" ref="DE51">IF(ISERROR(INDEX($A$3:$B$14312,SMALL(IF($A$3:$A$14312=DE$3,ROW($A$3:$A$14312)),ROW(49:49)),2)),"",INDEX($A$3:$B$14312,SMALL(IF($A$3:$A$14312=DE$3,ROW($A$3:$A$14312)),ROW(49:49)),2))</f>
        <v/>
      </c>
      <c r="DF51" t="str">
        <f t="array" ref="DF51">IF(ISERROR(INDEX($A$3:$B$14312,SMALL(IF($A$3:$A$14312=DF$3,ROW($A$3:$A$14312)),ROW(49:49)),2)),"",INDEX($A$3:$B$14312,SMALL(IF($A$3:$A$14312=DF$3,ROW($A$3:$A$14312)),ROW(49:49)),2))</f>
        <v/>
      </c>
      <c r="DG51" t="str">
        <f t="array" ref="DG51">IF(ISERROR(INDEX($A$3:$B$14312,SMALL(IF($A$3:$A$14312=DG$3,ROW($A$3:$A$14312)),ROW(49:49)),2)),"",INDEX($A$3:$B$14312,SMALL(IF($A$3:$A$14312=DG$3,ROW($A$3:$A$14312)),ROW(49:49)),2))</f>
        <v/>
      </c>
      <c r="DH51" t="str">
        <f t="array" ref="DH51">IF(ISERROR(INDEX($A$3:$B$14312,SMALL(IF($A$3:$A$14312=DH$3,ROW($A$3:$A$14312)),ROW(49:49)),2)),"",INDEX($A$3:$B$14312,SMALL(IF($A$3:$A$14312=DH$3,ROW($A$3:$A$14312)),ROW(49:49)),2))</f>
        <v/>
      </c>
      <c r="DI51" t="str">
        <f t="array" ref="DI51">IF(ISERROR(INDEX($A$3:$B$14312,SMALL(IF($A$3:$A$14312=DI$3,ROW($A$3:$A$14312)),ROW(49:49)),2)),"",INDEX($A$3:$B$14312,SMALL(IF($A$3:$A$14312=DI$3,ROW($A$3:$A$14312)),ROW(49:49)),2))</f>
        <v>Router3_115</v>
      </c>
      <c r="DJ51" t="str">
        <f t="array" ref="DJ51">IF(ISERROR(INDEX($A$3:$B$14312,SMALL(IF($A$3:$A$14312=DJ$3,ROW($A$3:$A$14312)),ROW(49:49)),2)),"",INDEX($A$3:$B$14312,SMALL(IF($A$3:$A$14312=DJ$3,ROW($A$3:$A$14312)),ROW(49:49)),2))</f>
        <v/>
      </c>
      <c r="DK51" t="str">
        <f t="array" ref="DK51">IF(ISERROR(INDEX($A$3:$B$14312,SMALL(IF($A$3:$A$14312=DK$3,ROW($A$3:$A$14312)),ROW(49:49)),2)),"",INDEX($A$3:$B$14312,SMALL(IF($A$3:$A$14312=DK$3,ROW($A$3:$A$14312)),ROW(49:49)),2))</f>
        <v/>
      </c>
      <c r="DL51" t="str">
        <f t="array" ref="DL51">IF(ISERROR(INDEX($A$3:$B$14312,SMALL(IF($A$3:$A$14312=DL$3,ROW($A$3:$A$14312)),ROW(49:49)),2)),"",INDEX($A$3:$B$14312,SMALL(IF($A$3:$A$14312=DL$3,ROW($A$3:$A$14312)),ROW(49:49)),2))</f>
        <v/>
      </c>
      <c r="DM51" t="str">
        <f t="array" ref="DM51">IF(ISERROR(INDEX($A$3:$B$14312,SMALL(IF($A$3:$A$14312=DM$3,ROW($A$3:$A$14312)),ROW(49:49)),2)),"",INDEX($A$3:$B$14312,SMALL(IF($A$3:$A$14312=DM$3,ROW($A$3:$A$14312)),ROW(49:49)),2))</f>
        <v/>
      </c>
      <c r="DN51" t="str">
        <f t="array" ref="DN51">IF(ISERROR(INDEX($A$3:$B$14312,SMALL(IF($A$3:$A$14312=DN$3,ROW($A$3:$A$14312)),ROW(49:49)),2)),"",INDEX($A$3:$B$14312,SMALL(IF($A$3:$A$14312=DN$3,ROW($A$3:$A$14312)),ROW(49:49)),2))</f>
        <v/>
      </c>
      <c r="DO51" t="str">
        <f t="array" ref="DO51">IF(ISERROR(INDEX($A$3:$B$14312,SMALL(IF($A$3:$A$14312=DO$3,ROW($A$3:$A$14312)),ROW(49:49)),2)),"",INDEX($A$3:$B$14312,SMALL(IF($A$3:$A$14312=DO$3,ROW($A$3:$A$14312)),ROW(49:49)),2))</f>
        <v/>
      </c>
      <c r="DP51" t="str">
        <f t="array" ref="DP51">IF(ISERROR(INDEX($A$3:$B$14312,SMALL(IF($A$3:$A$14312=DP$3,ROW($A$3:$A$14312)),ROW(49:49)),2)),"",INDEX($A$3:$B$14312,SMALL(IF($A$3:$A$14312=DP$3,ROW($A$3:$A$14312)),ROW(49:49)),2))</f>
        <v/>
      </c>
      <c r="DQ51" t="str">
        <f t="array" ref="DQ51">IF(ISERROR(INDEX($A$3:$B$14312,SMALL(IF($A$3:$A$14312=DQ$3,ROW($A$3:$A$14312)),ROW(49:49)),2)),"",INDEX($A$3:$B$14312,SMALL(IF($A$3:$A$14312=DQ$3,ROW($A$3:$A$14312)),ROW(49:49)),2))</f>
        <v/>
      </c>
      <c r="DR51" t="str">
        <f t="array" ref="DR51">IF(ISERROR(INDEX($A$3:$B$14312,SMALL(IF($A$3:$A$14312=DR$3,ROW($A$3:$A$14312)),ROW(49:49)),2)),"",INDEX($A$3:$B$14312,SMALL(IF($A$3:$A$14312=DR$3,ROW($A$3:$A$14312)),ROW(49:49)),2))</f>
        <v/>
      </c>
      <c r="DS51" t="str">
        <f t="array" ref="DS51">IF(ISERROR(INDEX($A$3:$B$14312,SMALL(IF($A$3:$A$14312=DS$3,ROW($A$3:$A$14312)),ROW(49:49)),2)),"",INDEX($A$3:$B$14312,SMALL(IF($A$3:$A$14312=DS$3,ROW($A$3:$A$14312)),ROW(49:49)),2))</f>
        <v/>
      </c>
      <c r="DT51" t="str">
        <f t="array" ref="DT51">IF(ISERROR(INDEX($A$3:$B$14312,SMALL(IF($A$3:$A$14312=DT$3,ROW($A$3:$A$14312)),ROW(49:49)),2)),"",INDEX($A$3:$B$14312,SMALL(IF($A$3:$A$14312=DT$3,ROW($A$3:$A$14312)),ROW(49:49)),2))</f>
        <v>Router3_115</v>
      </c>
      <c r="DU51" t="str">
        <f t="array" ref="DU51">IF(ISERROR(INDEX($A$3:$B$14312,SMALL(IF($A$3:$A$14312=DU$3,ROW($A$3:$A$14312)),ROW(49:49)),2)),"",INDEX($A$3:$B$14312,SMALL(IF($A$3:$A$14312=DU$3,ROW($A$3:$A$14312)),ROW(49:49)),2))</f>
        <v/>
      </c>
      <c r="DV51" t="str">
        <f t="array" ref="DV51">IF(ISERROR(INDEX($A$3:$B$14312,SMALL(IF($A$3:$A$14312=DV$3,ROW($A$3:$A$14312)),ROW(49:49)),2)),"",INDEX($A$3:$B$14312,SMALL(IF($A$3:$A$14312=DV$3,ROW($A$3:$A$14312)),ROW(49:49)),2))</f>
        <v/>
      </c>
      <c r="DW51" t="str">
        <f t="array" ref="DW51">IF(ISERROR(INDEX($A$3:$B$14312,SMALL(IF($A$3:$A$14312=DW$3,ROW($A$3:$A$14312)),ROW(49:49)),2)),"",INDEX($A$3:$B$14312,SMALL(IF($A$3:$A$14312=DW$3,ROW($A$3:$A$14312)),ROW(49:49)),2))</f>
        <v/>
      </c>
      <c r="DX51" t="str">
        <f t="array" ref="DX51">IF(ISERROR(INDEX($A$3:$B$14312,SMALL(IF($A$3:$A$14312=DX$3,ROW($A$3:$A$14312)),ROW(49:49)),2)),"",INDEX($A$3:$B$14312,SMALL(IF($A$3:$A$14312=DX$3,ROW($A$3:$A$14312)),ROW(49:49)),2))</f>
        <v/>
      </c>
      <c r="DY51" t="str">
        <f t="array" ref="DY51">IF(ISERROR(INDEX($A$3:$B$14312,SMALL(IF($A$3:$A$14312=DY$3,ROW($A$3:$A$14312)),ROW(49:49)),2)),"",INDEX($A$3:$B$14312,SMALL(IF($A$3:$A$14312=DY$3,ROW($A$3:$A$14312)),ROW(49:49)),2))</f>
        <v/>
      </c>
      <c r="DZ51" t="str">
        <f t="array" ref="DZ51">IF(ISERROR(INDEX($A$3:$B$14312,SMALL(IF($A$3:$A$14312=DZ$3,ROW($A$3:$A$14312)),ROW(49:49)),2)),"",INDEX($A$3:$B$14312,SMALL(IF($A$3:$A$14312=DZ$3,ROW($A$3:$A$14312)),ROW(49:49)),2))</f>
        <v/>
      </c>
      <c r="EA51" t="str">
        <f t="array" ref="EA51">IF(ISERROR(INDEX($A$3:$B$14312,SMALL(IF($A$3:$A$14312=EA$3,ROW($A$3:$A$14312)),ROW(49:49)),2)),"",INDEX($A$3:$B$14312,SMALL(IF($A$3:$A$14312=EA$3,ROW($A$3:$A$14312)),ROW(49:49)),2))</f>
        <v/>
      </c>
      <c r="EB51" t="str">
        <f t="array" ref="EB51">IF(ISERROR(INDEX($A$3:$B$14312,SMALL(IF($A$3:$A$14312=EB$3,ROW($A$3:$A$14312)),ROW(49:49)),2)),"",INDEX($A$3:$B$14312,SMALL(IF($A$3:$A$14312=EB$3,ROW($A$3:$A$14312)),ROW(49:49)),2))</f>
        <v/>
      </c>
      <c r="EC51" t="str">
        <f t="array" ref="EC51">IF(ISERROR(INDEX($A$3:$B$14312,SMALL(IF($A$3:$A$14312=EC$3,ROW($A$3:$A$14312)),ROW(49:49)),2)),"",INDEX($A$3:$B$14312,SMALL(IF($A$3:$A$14312=EC$3,ROW($A$3:$A$14312)),ROW(49:49)),2))</f>
        <v>Router3_159</v>
      </c>
      <c r="ED51" t="str">
        <f t="array" ref="ED51">IF(ISERROR(INDEX($A$3:$B$14312,SMALL(IF($A$3:$A$14312=ED$3,ROW($A$3:$A$14312)),ROW(49:49)),2)),"",INDEX($A$3:$B$14312,SMALL(IF($A$3:$A$14312=ED$3,ROW($A$3:$A$14312)),ROW(49:49)),2))</f>
        <v/>
      </c>
      <c r="EE51" t="str">
        <f t="array" ref="EE51">IF(ISERROR(INDEX($A$3:$B$14312,SMALL(IF($A$3:$A$14312=EE$3,ROW($A$3:$A$14312)),ROW(49:49)),2)),"",INDEX($A$3:$B$14312,SMALL(IF($A$3:$A$14312=EE$3,ROW($A$3:$A$14312)),ROW(49:49)),2))</f>
        <v/>
      </c>
    </row>
    <row r="52" spans="1:135" x14ac:dyDescent="0.25">
      <c r="A52" s="10">
        <v>-450827381</v>
      </c>
      <c r="B52" t="s">
        <v>1107</v>
      </c>
      <c r="E52" t="str">
        <f t="array" ref="E52">IF(ISERROR(INDEX($A$3:$B$14312,SMALL(IF($A$3:$A$14312=E$3,ROW($A$3:$A$14312)),ROW(50:50)),2)),"",INDEX($A$3:$B$14312,SMALL(IF($A$3:$A$14312=E$3,ROW($A$3:$A$14312)),ROW(50:50)),2))</f>
        <v/>
      </c>
      <c r="F52" t="str">
        <f t="array" ref="F52">IF(ISERROR(INDEX($A$3:$B$14312,SMALL(IF($A$3:$A$14312=F$3,ROW($A$3:$A$14312)),ROW(50:50)),2)),"",INDEX($A$3:$B$14312,SMALL(IF($A$3:$A$14312=F$3,ROW($A$3:$A$14312)),ROW(50:50)),2))</f>
        <v/>
      </c>
      <c r="G52" t="str">
        <f t="array" ref="G52">IF(ISERROR(INDEX($A$3:$B$14312,SMALL(IF($A$3:$A$14312=G$3,ROW($A$3:$A$14312)),ROW(50:50)),2)),"",INDEX($A$3:$B$14312,SMALL(IF($A$3:$A$14312=G$3,ROW($A$3:$A$14312)),ROW(50:50)),2))</f>
        <v/>
      </c>
      <c r="H52" t="str">
        <f t="array" ref="H52">IF(ISERROR(INDEX($A$3:$B$14312,SMALL(IF($A$3:$A$14312=H$3,ROW($A$3:$A$14312)),ROW(50:50)),2)),"",INDEX($A$3:$B$14312,SMALL(IF($A$3:$A$14312=H$3,ROW($A$3:$A$14312)),ROW(50:50)),2))</f>
        <v/>
      </c>
      <c r="I52" t="str">
        <f t="array" ref="I52">IF(ISERROR(INDEX($A$3:$B$14312,SMALL(IF($A$3:$A$14312=I$3,ROW($A$3:$A$14312)),ROW(50:50)),2)),"",INDEX($A$3:$B$14312,SMALL(IF($A$3:$A$14312=I$3,ROW($A$3:$A$14312)),ROW(50:50)),2))</f>
        <v/>
      </c>
      <c r="J52" t="str">
        <f t="array" ref="J52">IF(ISERROR(INDEX($A$3:$B$14312,SMALL(IF($A$3:$A$14312=J$3,ROW($A$3:$A$14312)),ROW(50:50)),2)),"",INDEX($A$3:$B$14312,SMALL(IF($A$3:$A$14312=J$3,ROW($A$3:$A$14312)),ROW(50:50)),2))</f>
        <v/>
      </c>
      <c r="K52" t="str">
        <f t="array" ref="K52">IF(ISERROR(INDEX($A$3:$B$14312,SMALL(IF($A$3:$A$14312=K$3,ROW($A$3:$A$14312)),ROW(50:50)),2)),"",INDEX($A$3:$B$14312,SMALL(IF($A$3:$A$14312=K$3,ROW($A$3:$A$14312)),ROW(50:50)),2))</f>
        <v/>
      </c>
      <c r="L52" t="str">
        <f t="array" ref="L52">IF(ISERROR(INDEX($A$3:$B$14312,SMALL(IF($A$3:$A$14312=L$3,ROW($A$3:$A$14312)),ROW(50:50)),2)),"",INDEX($A$3:$B$14312,SMALL(IF($A$3:$A$14312=L$3,ROW($A$3:$A$14312)),ROW(50:50)),2))</f>
        <v/>
      </c>
      <c r="M52" t="str">
        <f t="array" ref="M52">IF(ISERROR(INDEX($A$3:$B$14312,SMALL(IF($A$3:$A$14312=M$3,ROW($A$3:$A$14312)),ROW(50:50)),2)),"",INDEX($A$3:$B$14312,SMALL(IF($A$3:$A$14312=M$3,ROW($A$3:$A$14312)),ROW(50:50)),2))</f>
        <v/>
      </c>
      <c r="N52" t="str">
        <f t="array" ref="N52">IF(ISERROR(INDEX($A$3:$B$14312,SMALL(IF($A$3:$A$14312=N$3,ROW($A$3:$A$14312)),ROW(50:50)),2)),"",INDEX($A$3:$B$14312,SMALL(IF($A$3:$A$14312=N$3,ROW($A$3:$A$14312)),ROW(50:50)),2))</f>
        <v/>
      </c>
      <c r="O52" t="str">
        <f t="array" ref="O52">IF(ISERROR(INDEX($A$3:$B$14312,SMALL(IF($A$3:$A$14312=O$3,ROW($A$3:$A$14312)),ROW(50:50)),2)),"",INDEX($A$3:$B$14312,SMALL(IF($A$3:$A$14312=O$3,ROW($A$3:$A$14312)),ROW(50:50)),2))</f>
        <v/>
      </c>
      <c r="P52" t="str">
        <f t="array" ref="P52">IF(ISERROR(INDEX($A$3:$B$14312,SMALL(IF($A$3:$A$14312=P$3,ROW($A$3:$A$14312)),ROW(50:50)),2)),"",INDEX($A$3:$B$14312,SMALL(IF($A$3:$A$14312=P$3,ROW($A$3:$A$14312)),ROW(50:50)),2))</f>
        <v/>
      </c>
      <c r="Q52" t="str">
        <f t="array" ref="Q52">IF(ISERROR(INDEX($A$3:$B$14312,SMALL(IF($A$3:$A$14312=Q$3,ROW($A$3:$A$14312)),ROW(50:50)),2)),"",INDEX($A$3:$B$14312,SMALL(IF($A$3:$A$14312=Q$3,ROW($A$3:$A$14312)),ROW(50:50)),2))</f>
        <v/>
      </c>
      <c r="R52" t="str">
        <f t="array" ref="R52">IF(ISERROR(INDEX($A$3:$B$14312,SMALL(IF($A$3:$A$14312=R$3,ROW($A$3:$A$14312)),ROW(50:50)),2)),"",INDEX($A$3:$B$14312,SMALL(IF($A$3:$A$14312=R$3,ROW($A$3:$A$14312)),ROW(50:50)),2))</f>
        <v/>
      </c>
      <c r="S52" t="str">
        <f t="array" ref="S52">IF(ISERROR(INDEX($A$3:$B$14312,SMALL(IF($A$3:$A$14312=S$3,ROW($A$3:$A$14312)),ROW(50:50)),2)),"",INDEX($A$3:$B$14312,SMALL(IF($A$3:$A$14312=S$3,ROW($A$3:$A$14312)),ROW(50:50)),2))</f>
        <v/>
      </c>
      <c r="T52" t="str">
        <f t="array" ref="T52">IF(ISERROR(INDEX($A$3:$B$14312,SMALL(IF($A$3:$A$14312=T$3,ROW($A$3:$A$14312)),ROW(50:50)),2)),"",INDEX($A$3:$B$14312,SMALL(IF($A$3:$A$14312=T$3,ROW($A$3:$A$14312)),ROW(50:50)),2))</f>
        <v/>
      </c>
      <c r="U52" t="str">
        <f t="array" ref="U52">IF(ISERROR(INDEX($A$3:$B$14312,SMALL(IF($A$3:$A$14312=U$3,ROW($A$3:$A$14312)),ROW(50:50)),2)),"",INDEX($A$3:$B$14312,SMALL(IF($A$3:$A$14312=U$3,ROW($A$3:$A$14312)),ROW(50:50)),2))</f>
        <v/>
      </c>
      <c r="V52" t="str">
        <f t="array" ref="V52">IF(ISERROR(INDEX($A$3:$B$14312,SMALL(IF($A$3:$A$14312=V$3,ROW($A$3:$A$14312)),ROW(50:50)),2)),"",INDEX($A$3:$B$14312,SMALL(IF($A$3:$A$14312=V$3,ROW($A$3:$A$14312)),ROW(50:50)),2))</f>
        <v/>
      </c>
      <c r="W52" t="str">
        <f t="array" ref="W52">IF(ISERROR(INDEX($A$3:$B$14312,SMALL(IF($A$3:$A$14312=W$3,ROW($A$3:$A$14312)),ROW(50:50)),2)),"",INDEX($A$3:$B$14312,SMALL(IF($A$3:$A$14312=W$3,ROW($A$3:$A$14312)),ROW(50:50)),2))</f>
        <v>Router3_161</v>
      </c>
      <c r="X52" t="str">
        <f t="array" ref="X52">IF(ISERROR(INDEX($A$3:$B$14312,SMALL(IF($A$3:$A$14312=X$3,ROW($A$3:$A$14312)),ROW(50:50)),2)),"",INDEX($A$3:$B$14312,SMALL(IF($A$3:$A$14312=X$3,ROW($A$3:$A$14312)),ROW(50:50)),2))</f>
        <v/>
      </c>
      <c r="Y52" t="str">
        <f t="array" ref="Y52">IF(ISERROR(INDEX($A$3:$B$14312,SMALL(IF($A$3:$A$14312=Y$3,ROW($A$3:$A$14312)),ROW(50:50)),2)),"",INDEX($A$3:$B$14312,SMALL(IF($A$3:$A$14312=Y$3,ROW($A$3:$A$14312)),ROW(50:50)),2))</f>
        <v/>
      </c>
      <c r="Z52" t="str">
        <f t="array" ref="Z52">IF(ISERROR(INDEX($A$3:$B$14312,SMALL(IF($A$3:$A$14312=Z$3,ROW($A$3:$A$14312)),ROW(50:50)),2)),"",INDEX($A$3:$B$14312,SMALL(IF($A$3:$A$14312=Z$3,ROW($A$3:$A$14312)),ROW(50:50)),2))</f>
        <v/>
      </c>
      <c r="AA52" t="str">
        <f t="array" ref="AA52">IF(ISERROR(INDEX($A$3:$B$14312,SMALL(IF($A$3:$A$14312=AA$3,ROW($A$3:$A$14312)),ROW(50:50)),2)),"",INDEX($A$3:$B$14312,SMALL(IF($A$3:$A$14312=AA$3,ROW($A$3:$A$14312)),ROW(50:50)),2))</f>
        <v/>
      </c>
      <c r="AB52" t="str">
        <f t="array" ref="AB52">IF(ISERROR(INDEX($A$3:$B$14312,SMALL(IF($A$3:$A$14312=AB$3,ROW($A$3:$A$14312)),ROW(50:50)),2)),"",INDEX($A$3:$B$14312,SMALL(IF($A$3:$A$14312=AB$3,ROW($A$3:$A$14312)),ROW(50:50)),2))</f>
        <v/>
      </c>
      <c r="AC52" t="str">
        <f t="array" ref="AC52">IF(ISERROR(INDEX($A$3:$B$14312,SMALL(IF($A$3:$A$14312=AC$3,ROW($A$3:$A$14312)),ROW(50:50)),2)),"",INDEX($A$3:$B$14312,SMALL(IF($A$3:$A$14312=AC$3,ROW($A$3:$A$14312)),ROW(50:50)),2))</f>
        <v/>
      </c>
      <c r="AD52" t="str">
        <f t="array" ref="AD52">IF(ISERROR(INDEX($A$3:$B$14312,SMALL(IF($A$3:$A$14312=AD$3,ROW($A$3:$A$14312)),ROW(50:50)),2)),"",INDEX($A$3:$B$14312,SMALL(IF($A$3:$A$14312=AD$3,ROW($A$3:$A$14312)),ROW(50:50)),2))</f>
        <v/>
      </c>
      <c r="AE52" t="str">
        <f t="array" ref="AE52">IF(ISERROR(INDEX($A$3:$B$14312,SMALL(IF($A$3:$A$14312=AE$3,ROW($A$3:$A$14312)),ROW(50:50)),2)),"",INDEX($A$3:$B$14312,SMALL(IF($A$3:$A$14312=AE$3,ROW($A$3:$A$14312)),ROW(50:50)),2))</f>
        <v/>
      </c>
      <c r="AF52" t="str">
        <f t="array" ref="AF52">IF(ISERROR(INDEX($A$3:$B$14312,SMALL(IF($A$3:$A$14312=AF$3,ROW($A$3:$A$14312)),ROW(50:50)),2)),"",INDEX($A$3:$B$14312,SMALL(IF($A$3:$A$14312=AF$3,ROW($A$3:$A$14312)),ROW(50:50)),2))</f>
        <v/>
      </c>
      <c r="AG52" t="str">
        <f t="array" ref="AG52">IF(ISERROR(INDEX($A$3:$B$14312,SMALL(IF($A$3:$A$14312=AG$3,ROW($A$3:$A$14312)),ROW(50:50)),2)),"",INDEX($A$3:$B$14312,SMALL(IF($A$3:$A$14312=AG$3,ROW($A$3:$A$14312)),ROW(50:50)),2))</f>
        <v/>
      </c>
      <c r="AH52" t="str">
        <f t="array" ref="AH52">IF(ISERROR(INDEX($A$3:$B$14312,SMALL(IF($A$3:$A$14312=AH$3,ROW($A$3:$A$14312)),ROW(50:50)),2)),"",INDEX($A$3:$B$14312,SMALL(IF($A$3:$A$14312=AH$3,ROW($A$3:$A$14312)),ROW(50:50)),2))</f>
        <v/>
      </c>
      <c r="AI52" t="str">
        <f t="array" ref="AI52">IF(ISERROR(INDEX($A$3:$B$14312,SMALL(IF($A$3:$A$14312=AI$3,ROW($A$3:$A$14312)),ROW(50:50)),2)),"",INDEX($A$3:$B$14312,SMALL(IF($A$3:$A$14312=AI$3,ROW($A$3:$A$14312)),ROW(50:50)),2))</f>
        <v/>
      </c>
      <c r="AJ52" t="str">
        <f t="array" ref="AJ52">IF(ISERROR(INDEX($A$3:$B$14312,SMALL(IF($A$3:$A$14312=AJ$3,ROW($A$3:$A$14312)),ROW(50:50)),2)),"",INDEX($A$3:$B$14312,SMALL(IF($A$3:$A$14312=AJ$3,ROW($A$3:$A$14312)),ROW(50:50)),2))</f>
        <v/>
      </c>
      <c r="AK52" t="str">
        <f t="array" ref="AK52">IF(ISERROR(INDEX($A$3:$B$14312,SMALL(IF($A$3:$A$14312=AK$3,ROW($A$3:$A$14312)),ROW(50:50)),2)),"",INDEX($A$3:$B$14312,SMALL(IF($A$3:$A$14312=AK$3,ROW($A$3:$A$14312)),ROW(50:50)),2))</f>
        <v/>
      </c>
      <c r="AL52" t="str">
        <f t="array" ref="AL52">IF(ISERROR(INDEX($A$3:$B$14312,SMALL(IF($A$3:$A$14312=AL$3,ROW($A$3:$A$14312)),ROW(50:50)),2)),"",INDEX($A$3:$B$14312,SMALL(IF($A$3:$A$14312=AL$3,ROW($A$3:$A$14312)),ROW(50:50)),2))</f>
        <v/>
      </c>
      <c r="AM52" t="str">
        <f t="array" ref="AM52">IF(ISERROR(INDEX($A$3:$B$14312,SMALL(IF($A$3:$A$14312=AM$3,ROW($A$3:$A$14312)),ROW(50:50)),2)),"",INDEX($A$3:$B$14312,SMALL(IF($A$3:$A$14312=AM$3,ROW($A$3:$A$14312)),ROW(50:50)),2))</f>
        <v/>
      </c>
      <c r="AN52" t="str">
        <f t="array" ref="AN52">IF(ISERROR(INDEX($A$3:$B$14312,SMALL(IF($A$3:$A$14312=AN$3,ROW($A$3:$A$14312)),ROW(50:50)),2)),"",INDEX($A$3:$B$14312,SMALL(IF($A$3:$A$14312=AN$3,ROW($A$3:$A$14312)),ROW(50:50)),2))</f>
        <v/>
      </c>
      <c r="AO52" t="str">
        <f t="array" ref="AO52">IF(ISERROR(INDEX($A$3:$B$14312,SMALL(IF($A$3:$A$14312=AO$3,ROW($A$3:$A$14312)),ROW(50:50)),2)),"",INDEX($A$3:$B$14312,SMALL(IF($A$3:$A$14312=AO$3,ROW($A$3:$A$14312)),ROW(50:50)),2))</f>
        <v/>
      </c>
      <c r="AP52" t="str">
        <f t="array" ref="AP52">IF(ISERROR(INDEX($A$3:$B$14312,SMALL(IF($A$3:$A$14312=AP$3,ROW($A$3:$A$14312)),ROW(50:50)),2)),"",INDEX($A$3:$B$14312,SMALL(IF($A$3:$A$14312=AP$3,ROW($A$3:$A$14312)),ROW(50:50)),2))</f>
        <v/>
      </c>
      <c r="AQ52" t="str">
        <f t="array" ref="AQ52">IF(ISERROR(INDEX($A$3:$B$14312,SMALL(IF($A$3:$A$14312=AQ$3,ROW($A$3:$A$14312)),ROW(50:50)),2)),"",INDEX($A$3:$B$14312,SMALL(IF($A$3:$A$14312=AQ$3,ROW($A$3:$A$14312)),ROW(50:50)),2))</f>
        <v/>
      </c>
      <c r="AR52" t="str">
        <f t="array" ref="AR52">IF(ISERROR(INDEX($A$3:$B$14312,SMALL(IF($A$3:$A$14312=AR$3,ROW($A$3:$A$14312)),ROW(50:50)),2)),"",INDEX($A$3:$B$14312,SMALL(IF($A$3:$A$14312=AR$3,ROW($A$3:$A$14312)),ROW(50:50)),2))</f>
        <v/>
      </c>
      <c r="AS52" t="str">
        <f t="array" ref="AS52">IF(ISERROR(INDEX($A$3:$B$14312,SMALL(IF($A$3:$A$14312=AS$3,ROW($A$3:$A$14312)),ROW(50:50)),2)),"",INDEX($A$3:$B$14312,SMALL(IF($A$3:$A$14312=AS$3,ROW($A$3:$A$14312)),ROW(50:50)),2))</f>
        <v/>
      </c>
      <c r="AT52" t="str">
        <f t="array" ref="AT52">IF(ISERROR(INDEX($A$3:$B$14312,SMALL(IF($A$3:$A$14312=AT$3,ROW($A$3:$A$14312)),ROW(50:50)),2)),"",INDEX($A$3:$B$14312,SMALL(IF($A$3:$A$14312=AT$3,ROW($A$3:$A$14312)),ROW(50:50)),2))</f>
        <v/>
      </c>
      <c r="AU52" t="str">
        <f t="array" ref="AU52">IF(ISERROR(INDEX($A$3:$B$14312,SMALL(IF($A$3:$A$14312=AU$3,ROW($A$3:$A$14312)),ROW(50:50)),2)),"",INDEX($A$3:$B$14312,SMALL(IF($A$3:$A$14312=AU$3,ROW($A$3:$A$14312)),ROW(50:50)),2))</f>
        <v/>
      </c>
      <c r="AV52" t="str">
        <f t="array" ref="AV52">IF(ISERROR(INDEX($A$3:$B$14312,SMALL(IF($A$3:$A$14312=AV$3,ROW($A$3:$A$14312)),ROW(50:50)),2)),"",INDEX($A$3:$B$14312,SMALL(IF($A$3:$A$14312=AV$3,ROW($A$3:$A$14312)),ROW(50:50)),2))</f>
        <v/>
      </c>
      <c r="AW52" t="str">
        <f t="array" ref="AW52">IF(ISERROR(INDEX($A$3:$B$14312,SMALL(IF($A$3:$A$14312=AW$3,ROW($A$3:$A$14312)),ROW(50:50)),2)),"",INDEX($A$3:$B$14312,SMALL(IF($A$3:$A$14312=AW$3,ROW($A$3:$A$14312)),ROW(50:50)),2))</f>
        <v/>
      </c>
      <c r="AX52" t="str">
        <f t="array" ref="AX52">IF(ISERROR(INDEX($A$3:$B$14312,SMALL(IF($A$3:$A$14312=AX$3,ROW($A$3:$A$14312)),ROW(50:50)),2)),"",INDEX($A$3:$B$14312,SMALL(IF($A$3:$A$14312=AX$3,ROW($A$3:$A$14312)),ROW(50:50)),2))</f>
        <v/>
      </c>
      <c r="AY52" t="str">
        <f t="array" ref="AY52">IF(ISERROR(INDEX($A$3:$B$14312,SMALL(IF($A$3:$A$14312=AY$3,ROW($A$3:$A$14312)),ROW(50:50)),2)),"",INDEX($A$3:$B$14312,SMALL(IF($A$3:$A$14312=AY$3,ROW($A$3:$A$14312)),ROW(50:50)),2))</f>
        <v/>
      </c>
      <c r="AZ52" t="str">
        <f t="array" ref="AZ52">IF(ISERROR(INDEX($A$3:$B$14312,SMALL(IF($A$3:$A$14312=AZ$3,ROW($A$3:$A$14312)),ROW(50:50)),2)),"",INDEX($A$3:$B$14312,SMALL(IF($A$3:$A$14312=AZ$3,ROW($A$3:$A$14312)),ROW(50:50)),2))</f>
        <v/>
      </c>
      <c r="BA52" t="str">
        <f t="array" ref="BA52">IF(ISERROR(INDEX($A$3:$B$14312,SMALL(IF($A$3:$A$14312=BA$3,ROW($A$3:$A$14312)),ROW(50:50)),2)),"",INDEX($A$3:$B$14312,SMALL(IF($A$3:$A$14312=BA$3,ROW($A$3:$A$14312)),ROW(50:50)),2))</f>
        <v/>
      </c>
      <c r="BB52" t="str">
        <f t="array" ref="BB52">IF(ISERROR(INDEX($A$3:$B$14312,SMALL(IF($A$3:$A$14312=BB$3,ROW($A$3:$A$14312)),ROW(50:50)),2)),"",INDEX($A$3:$B$14312,SMALL(IF($A$3:$A$14312=BB$3,ROW($A$3:$A$14312)),ROW(50:50)),2))</f>
        <v/>
      </c>
      <c r="BC52" t="str">
        <f t="array" ref="BC52">IF(ISERROR(INDEX($A$3:$B$14312,SMALL(IF($A$3:$A$14312=BC$3,ROW($A$3:$A$14312)),ROW(50:50)),2)),"",INDEX($A$3:$B$14312,SMALL(IF($A$3:$A$14312=BC$3,ROW($A$3:$A$14312)),ROW(50:50)),2))</f>
        <v/>
      </c>
      <c r="BD52" t="str">
        <f t="array" ref="BD52">IF(ISERROR(INDEX($A$3:$B$14312,SMALL(IF($A$3:$A$14312=BD$3,ROW($A$3:$A$14312)),ROW(50:50)),2)),"",INDEX($A$3:$B$14312,SMALL(IF($A$3:$A$14312=BD$3,ROW($A$3:$A$14312)),ROW(50:50)),2))</f>
        <v/>
      </c>
      <c r="BE52" t="str">
        <f t="array" ref="BE52">IF(ISERROR(INDEX($A$3:$B$14312,SMALL(IF($A$3:$A$14312=BE$3,ROW($A$3:$A$14312)),ROW(50:50)),2)),"",INDEX($A$3:$B$14312,SMALL(IF($A$3:$A$14312=BE$3,ROW($A$3:$A$14312)),ROW(50:50)),2))</f>
        <v/>
      </c>
      <c r="BF52" t="str">
        <f t="array" ref="BF52">IF(ISERROR(INDEX($A$3:$B$14312,SMALL(IF($A$3:$A$14312=BF$3,ROW($A$3:$A$14312)),ROW(50:50)),2)),"",INDEX($A$3:$B$14312,SMALL(IF($A$3:$A$14312=BF$3,ROW($A$3:$A$14312)),ROW(50:50)),2))</f>
        <v/>
      </c>
      <c r="BG52" t="str">
        <f t="array" ref="BG52">IF(ISERROR(INDEX($A$3:$B$14312,SMALL(IF($A$3:$A$14312=BG$3,ROW($A$3:$A$14312)),ROW(50:50)),2)),"",INDEX($A$3:$B$14312,SMALL(IF($A$3:$A$14312=BG$3,ROW($A$3:$A$14312)),ROW(50:50)),2))</f>
        <v/>
      </c>
      <c r="BH52" t="str">
        <f t="array" ref="BH52">IF(ISERROR(INDEX($A$3:$B$14312,SMALL(IF($A$3:$A$14312=BH$3,ROW($A$3:$A$14312)),ROW(50:50)),2)),"",INDEX($A$3:$B$14312,SMALL(IF($A$3:$A$14312=BH$3,ROW($A$3:$A$14312)),ROW(50:50)),2))</f>
        <v/>
      </c>
      <c r="BI52" t="str">
        <f t="array" ref="BI52">IF(ISERROR(INDEX($A$3:$B$14312,SMALL(IF($A$3:$A$14312=BI$3,ROW($A$3:$A$14312)),ROW(50:50)),2)),"",INDEX($A$3:$B$14312,SMALL(IF($A$3:$A$14312=BI$3,ROW($A$3:$A$14312)),ROW(50:50)),2))</f>
        <v/>
      </c>
      <c r="BJ52" t="str">
        <f t="array" ref="BJ52">IF(ISERROR(INDEX($A$3:$B$14312,SMALL(IF($A$3:$A$14312=BJ$3,ROW($A$3:$A$14312)),ROW(50:50)),2)),"",INDEX($A$3:$B$14312,SMALL(IF($A$3:$A$14312=BJ$3,ROW($A$3:$A$14312)),ROW(50:50)),2))</f>
        <v/>
      </c>
      <c r="BK52" t="str">
        <f t="array" ref="BK52">IF(ISERROR(INDEX($A$3:$B$14312,SMALL(IF($A$3:$A$14312=BK$3,ROW($A$3:$A$14312)),ROW(50:50)),2)),"",INDEX($A$3:$B$14312,SMALL(IF($A$3:$A$14312=BK$3,ROW($A$3:$A$14312)),ROW(50:50)),2))</f>
        <v/>
      </c>
      <c r="BL52" t="str">
        <f t="array" ref="BL52">IF(ISERROR(INDEX($A$3:$B$14312,SMALL(IF($A$3:$A$14312=BL$3,ROW($A$3:$A$14312)),ROW(50:50)),2)),"",INDEX($A$3:$B$14312,SMALL(IF($A$3:$A$14312=BL$3,ROW($A$3:$A$14312)),ROW(50:50)),2))</f>
        <v/>
      </c>
      <c r="BM52" t="str">
        <f t="array" ref="BM52">IF(ISERROR(INDEX($A$3:$B$14312,SMALL(IF($A$3:$A$14312=BM$3,ROW($A$3:$A$14312)),ROW(50:50)),2)),"",INDEX($A$3:$B$14312,SMALL(IF($A$3:$A$14312=BM$3,ROW($A$3:$A$14312)),ROW(50:50)),2))</f>
        <v/>
      </c>
      <c r="BN52" t="str">
        <f t="array" ref="BN52">IF(ISERROR(INDEX($A$3:$B$14312,SMALL(IF($A$3:$A$14312=BN$3,ROW($A$3:$A$14312)),ROW(50:50)),2)),"",INDEX($A$3:$B$14312,SMALL(IF($A$3:$A$14312=BN$3,ROW($A$3:$A$14312)),ROW(50:50)),2))</f>
        <v/>
      </c>
      <c r="BO52" t="str">
        <f t="array" ref="BO52">IF(ISERROR(INDEX($A$3:$B$14312,SMALL(IF($A$3:$A$14312=BO$3,ROW($A$3:$A$14312)),ROW(50:50)),2)),"",INDEX($A$3:$B$14312,SMALL(IF($A$3:$A$14312=BO$3,ROW($A$3:$A$14312)),ROW(50:50)),2))</f>
        <v/>
      </c>
      <c r="BP52" t="str">
        <f t="array" ref="BP52">IF(ISERROR(INDEX($A$3:$B$14312,SMALL(IF($A$3:$A$14312=BP$3,ROW($A$3:$A$14312)),ROW(50:50)),2)),"",INDEX($A$3:$B$14312,SMALL(IF($A$3:$A$14312=BP$3,ROW($A$3:$A$14312)),ROW(50:50)),2))</f>
        <v/>
      </c>
      <c r="BQ52" t="str">
        <f t="array" ref="BQ52">IF(ISERROR(INDEX($A$3:$B$14312,SMALL(IF($A$3:$A$14312=BQ$3,ROW($A$3:$A$14312)),ROW(50:50)),2)),"",INDEX($A$3:$B$14312,SMALL(IF($A$3:$A$14312=BQ$3,ROW($A$3:$A$14312)),ROW(50:50)),2))</f>
        <v/>
      </c>
      <c r="BR52" t="str">
        <f t="array" ref="BR52">IF(ISERROR(INDEX($A$3:$B$14312,SMALL(IF($A$3:$A$14312=BR$3,ROW($A$3:$A$14312)),ROW(50:50)),2)),"",INDEX($A$3:$B$14312,SMALL(IF($A$3:$A$14312=BR$3,ROW($A$3:$A$14312)),ROW(50:50)),2))</f>
        <v/>
      </c>
      <c r="BS52" t="str">
        <f t="array" ref="BS52">IF(ISERROR(INDEX($A$3:$B$14312,SMALL(IF($A$3:$A$14312=BS$3,ROW($A$3:$A$14312)),ROW(50:50)),2)),"",INDEX($A$3:$B$14312,SMALL(IF($A$3:$A$14312=BS$3,ROW($A$3:$A$14312)),ROW(50:50)),2))</f>
        <v/>
      </c>
      <c r="BT52" t="str">
        <f t="array" ref="BT52">IF(ISERROR(INDEX($A$3:$B$14312,SMALL(IF($A$3:$A$14312=BT$3,ROW($A$3:$A$14312)),ROW(50:50)),2)),"",INDEX($A$3:$B$14312,SMALL(IF($A$3:$A$14312=BT$3,ROW($A$3:$A$14312)),ROW(50:50)),2))</f>
        <v>Router3_151</v>
      </c>
      <c r="BU52" t="str">
        <f t="array" ref="BU52">IF(ISERROR(INDEX($A$3:$B$14312,SMALL(IF($A$3:$A$14312=BU$3,ROW($A$3:$A$14312)),ROW(50:50)),2)),"",INDEX($A$3:$B$14312,SMALL(IF($A$3:$A$14312=BU$3,ROW($A$3:$A$14312)),ROW(50:50)),2))</f>
        <v/>
      </c>
      <c r="BV52" t="str">
        <f t="array" ref="BV52">IF(ISERROR(INDEX($A$3:$B$14312,SMALL(IF($A$3:$A$14312=BV$3,ROW($A$3:$A$14312)),ROW(50:50)),2)),"",INDEX($A$3:$B$14312,SMALL(IF($A$3:$A$14312=BV$3,ROW($A$3:$A$14312)),ROW(50:50)),2))</f>
        <v/>
      </c>
      <c r="BW52" t="str">
        <f t="array" ref="BW52">IF(ISERROR(INDEX($A$3:$B$14312,SMALL(IF($A$3:$A$14312=BW$3,ROW($A$3:$A$14312)),ROW(50:50)),2)),"",INDEX($A$3:$B$14312,SMALL(IF($A$3:$A$14312=BW$3,ROW($A$3:$A$14312)),ROW(50:50)),2))</f>
        <v/>
      </c>
      <c r="BX52" t="str">
        <f t="array" ref="BX52">IF(ISERROR(INDEX($A$3:$B$14312,SMALL(IF($A$3:$A$14312=BX$3,ROW($A$3:$A$14312)),ROW(50:50)),2)),"",INDEX($A$3:$B$14312,SMALL(IF($A$3:$A$14312=BX$3,ROW($A$3:$A$14312)),ROW(50:50)),2))</f>
        <v/>
      </c>
      <c r="BY52" t="str">
        <f t="array" ref="BY52">IF(ISERROR(INDEX($A$3:$B$14312,SMALL(IF($A$3:$A$14312=BY$3,ROW($A$3:$A$14312)),ROW(50:50)),2)),"",INDEX($A$3:$B$14312,SMALL(IF($A$3:$A$14312=BY$3,ROW($A$3:$A$14312)),ROW(50:50)),2))</f>
        <v/>
      </c>
      <c r="BZ52" t="str">
        <f t="array" ref="BZ52">IF(ISERROR(INDEX($A$3:$B$14312,SMALL(IF($A$3:$A$14312=BZ$3,ROW($A$3:$A$14312)),ROW(50:50)),2)),"",INDEX($A$3:$B$14312,SMALL(IF($A$3:$A$14312=BZ$3,ROW($A$3:$A$14312)),ROW(50:50)),2))</f>
        <v/>
      </c>
      <c r="CA52" t="str">
        <f t="array" ref="CA52">IF(ISERROR(INDEX($A$3:$B$14312,SMALL(IF($A$3:$A$14312=CA$3,ROW($A$3:$A$14312)),ROW(50:50)),2)),"",INDEX($A$3:$B$14312,SMALL(IF($A$3:$A$14312=CA$3,ROW($A$3:$A$14312)),ROW(50:50)),2))</f>
        <v/>
      </c>
      <c r="CB52" t="str">
        <f t="array" ref="CB52">IF(ISERROR(INDEX($A$3:$B$14312,SMALL(IF($A$3:$A$14312=CB$3,ROW($A$3:$A$14312)),ROW(50:50)),2)),"",INDEX($A$3:$B$14312,SMALL(IF($A$3:$A$14312=CB$3,ROW($A$3:$A$14312)),ROW(50:50)),2))</f>
        <v/>
      </c>
      <c r="CC52" t="str">
        <f t="array" ref="CC52">IF(ISERROR(INDEX($A$3:$B$14312,SMALL(IF($A$3:$A$14312=CC$3,ROW($A$3:$A$14312)),ROW(50:50)),2)),"",INDEX($A$3:$B$14312,SMALL(IF($A$3:$A$14312=CC$3,ROW($A$3:$A$14312)),ROW(50:50)),2))</f>
        <v/>
      </c>
      <c r="CD52" t="str">
        <f t="array" ref="CD52">IF(ISERROR(INDEX($A$3:$B$14312,SMALL(IF($A$3:$A$14312=CD$3,ROW($A$3:$A$14312)),ROW(50:50)),2)),"",INDEX($A$3:$B$14312,SMALL(IF($A$3:$A$14312=CD$3,ROW($A$3:$A$14312)),ROW(50:50)),2))</f>
        <v/>
      </c>
      <c r="CE52" t="str">
        <f t="array" ref="CE52">IF(ISERROR(INDEX($A$3:$B$14312,SMALL(IF($A$3:$A$14312=CE$3,ROW($A$3:$A$14312)),ROW(50:50)),2)),"",INDEX($A$3:$B$14312,SMALL(IF($A$3:$A$14312=CE$3,ROW($A$3:$A$14312)),ROW(50:50)),2))</f>
        <v/>
      </c>
      <c r="CF52" t="str">
        <f t="array" ref="CF52">IF(ISERROR(INDEX($A$3:$B$14312,SMALL(IF($A$3:$A$14312=CF$3,ROW($A$3:$A$14312)),ROW(50:50)),2)),"",INDEX($A$3:$B$14312,SMALL(IF($A$3:$A$14312=CF$3,ROW($A$3:$A$14312)),ROW(50:50)),2))</f>
        <v/>
      </c>
      <c r="CG52" t="str">
        <f t="array" ref="CG52">IF(ISERROR(INDEX($A$3:$B$14312,SMALL(IF($A$3:$A$14312=CG$3,ROW($A$3:$A$14312)),ROW(50:50)),2)),"",INDEX($A$3:$B$14312,SMALL(IF($A$3:$A$14312=CG$3,ROW($A$3:$A$14312)),ROW(50:50)),2))</f>
        <v/>
      </c>
      <c r="CH52" t="str">
        <f t="array" ref="CH52">IF(ISERROR(INDEX($A$3:$B$14312,SMALL(IF($A$3:$A$14312=CH$3,ROW($A$3:$A$14312)),ROW(50:50)),2)),"",INDEX($A$3:$B$14312,SMALL(IF($A$3:$A$14312=CH$3,ROW($A$3:$A$14312)),ROW(50:50)),2))</f>
        <v/>
      </c>
      <c r="CI52" t="str">
        <f t="array" ref="CI52">IF(ISERROR(INDEX($A$3:$B$14312,SMALL(IF($A$3:$A$14312=CI$3,ROW($A$3:$A$14312)),ROW(50:50)),2)),"",INDEX($A$3:$B$14312,SMALL(IF($A$3:$A$14312=CI$3,ROW($A$3:$A$14312)),ROW(50:50)),2))</f>
        <v/>
      </c>
      <c r="CJ52" t="str">
        <f t="array" ref="CJ52">IF(ISERROR(INDEX($A$3:$B$14312,SMALL(IF($A$3:$A$14312=CJ$3,ROW($A$3:$A$14312)),ROW(50:50)),2)),"",INDEX($A$3:$B$14312,SMALL(IF($A$3:$A$14312=CJ$3,ROW($A$3:$A$14312)),ROW(50:50)),2))</f>
        <v/>
      </c>
      <c r="CK52" t="str">
        <f t="array" ref="CK52">IF(ISERROR(INDEX($A$3:$B$14312,SMALL(IF($A$3:$A$14312=CK$3,ROW($A$3:$A$14312)),ROW(50:50)),2)),"",INDEX($A$3:$B$14312,SMALL(IF($A$3:$A$14312=CK$3,ROW($A$3:$A$14312)),ROW(50:50)),2))</f>
        <v/>
      </c>
      <c r="CL52" t="str">
        <f t="array" ref="CL52">IF(ISERROR(INDEX($A$3:$B$14312,SMALL(IF($A$3:$A$14312=CL$3,ROW($A$3:$A$14312)),ROW(50:50)),2)),"",INDEX($A$3:$B$14312,SMALL(IF($A$3:$A$14312=CL$3,ROW($A$3:$A$14312)),ROW(50:50)),2))</f>
        <v/>
      </c>
      <c r="CM52" t="str">
        <f t="array" ref="CM52">IF(ISERROR(INDEX($A$3:$B$14312,SMALL(IF($A$3:$A$14312=CM$3,ROW($A$3:$A$14312)),ROW(50:50)),2)),"",INDEX($A$3:$B$14312,SMALL(IF($A$3:$A$14312=CM$3,ROW($A$3:$A$14312)),ROW(50:50)),2))</f>
        <v/>
      </c>
      <c r="CN52" t="str">
        <f t="array" ref="CN52">IF(ISERROR(INDEX($A$3:$B$14312,SMALL(IF($A$3:$A$14312=CN$3,ROW($A$3:$A$14312)),ROW(50:50)),2)),"",INDEX($A$3:$B$14312,SMALL(IF($A$3:$A$14312=CN$3,ROW($A$3:$A$14312)),ROW(50:50)),2))</f>
        <v/>
      </c>
      <c r="CO52" t="str">
        <f t="array" ref="CO52">IF(ISERROR(INDEX($A$3:$B$14312,SMALL(IF($A$3:$A$14312=CO$3,ROW($A$3:$A$14312)),ROW(50:50)),2)),"",INDEX($A$3:$B$14312,SMALL(IF($A$3:$A$14312=CO$3,ROW($A$3:$A$14312)),ROW(50:50)),2))</f>
        <v/>
      </c>
      <c r="CP52" t="str">
        <f t="array" ref="CP52">IF(ISERROR(INDEX($A$3:$B$14312,SMALL(IF($A$3:$A$14312=CP$3,ROW($A$3:$A$14312)),ROW(50:50)),2)),"",INDEX($A$3:$B$14312,SMALL(IF($A$3:$A$14312=CP$3,ROW($A$3:$A$14312)),ROW(50:50)),2))</f>
        <v/>
      </c>
      <c r="CQ52" t="str">
        <f t="array" ref="CQ52">IF(ISERROR(INDEX($A$3:$B$14312,SMALL(IF($A$3:$A$14312=CQ$3,ROW($A$3:$A$14312)),ROW(50:50)),2)),"",INDEX($A$3:$B$14312,SMALL(IF($A$3:$A$14312=CQ$3,ROW($A$3:$A$14312)),ROW(50:50)),2))</f>
        <v/>
      </c>
      <c r="CR52" t="str">
        <f t="array" ref="CR52">IF(ISERROR(INDEX($A$3:$B$14312,SMALL(IF($A$3:$A$14312=CR$3,ROW($A$3:$A$14312)),ROW(50:50)),2)),"",INDEX($A$3:$B$14312,SMALL(IF($A$3:$A$14312=CR$3,ROW($A$3:$A$14312)),ROW(50:50)),2))</f>
        <v/>
      </c>
      <c r="CS52" t="str">
        <f t="array" ref="CS52">IF(ISERROR(INDEX($A$3:$B$14312,SMALL(IF($A$3:$A$14312=CS$3,ROW($A$3:$A$14312)),ROW(50:50)),2)),"",INDEX($A$3:$B$14312,SMALL(IF($A$3:$A$14312=CS$3,ROW($A$3:$A$14312)),ROW(50:50)),2))</f>
        <v/>
      </c>
      <c r="CT52" t="str">
        <f t="array" ref="CT52">IF(ISERROR(INDEX($A$3:$B$14312,SMALL(IF($A$3:$A$14312=CT$3,ROW($A$3:$A$14312)),ROW(50:50)),2)),"",INDEX($A$3:$B$14312,SMALL(IF($A$3:$A$14312=CT$3,ROW($A$3:$A$14312)),ROW(50:50)),2))</f>
        <v/>
      </c>
      <c r="CU52" t="str">
        <f t="array" ref="CU52">IF(ISERROR(INDEX($A$3:$B$14312,SMALL(IF($A$3:$A$14312=CU$3,ROW($A$3:$A$14312)),ROW(50:50)),2)),"",INDEX($A$3:$B$14312,SMALL(IF($A$3:$A$14312=CU$3,ROW($A$3:$A$14312)),ROW(50:50)),2))</f>
        <v/>
      </c>
      <c r="CV52" t="str">
        <f t="array" ref="CV52">IF(ISERROR(INDEX($A$3:$B$14312,SMALL(IF($A$3:$A$14312=CV$3,ROW($A$3:$A$14312)),ROW(50:50)),2)),"",INDEX($A$3:$B$14312,SMALL(IF($A$3:$A$14312=CV$3,ROW($A$3:$A$14312)),ROW(50:50)),2))</f>
        <v/>
      </c>
      <c r="CW52" t="str">
        <f t="array" ref="CW52">IF(ISERROR(INDEX($A$3:$B$14312,SMALL(IF($A$3:$A$14312=CW$3,ROW($A$3:$A$14312)),ROW(50:50)),2)),"",INDEX($A$3:$B$14312,SMALL(IF($A$3:$A$14312=CW$3,ROW($A$3:$A$14312)),ROW(50:50)),2))</f>
        <v/>
      </c>
      <c r="CX52" t="str">
        <f t="array" ref="CX52">IF(ISERROR(INDEX($A$3:$B$14312,SMALL(IF($A$3:$A$14312=CX$3,ROW($A$3:$A$14312)),ROW(50:50)),2)),"",INDEX($A$3:$B$14312,SMALL(IF($A$3:$A$14312=CX$3,ROW($A$3:$A$14312)),ROW(50:50)),2))</f>
        <v/>
      </c>
      <c r="CY52" t="str">
        <f t="array" ref="CY52">IF(ISERROR(INDEX($A$3:$B$14312,SMALL(IF($A$3:$A$14312=CY$3,ROW($A$3:$A$14312)),ROW(50:50)),2)),"",INDEX($A$3:$B$14312,SMALL(IF($A$3:$A$14312=CY$3,ROW($A$3:$A$14312)),ROW(50:50)),2))</f>
        <v/>
      </c>
      <c r="CZ52" t="str">
        <f t="array" ref="CZ52">IF(ISERROR(INDEX($A$3:$B$14312,SMALL(IF($A$3:$A$14312=CZ$3,ROW($A$3:$A$14312)),ROW(50:50)),2)),"",INDEX($A$3:$B$14312,SMALL(IF($A$3:$A$14312=CZ$3,ROW($A$3:$A$14312)),ROW(50:50)),2))</f>
        <v/>
      </c>
      <c r="DA52" t="str">
        <f t="array" ref="DA52">IF(ISERROR(INDEX($A$3:$B$14312,SMALL(IF($A$3:$A$14312=DA$3,ROW($A$3:$A$14312)),ROW(50:50)),2)),"",INDEX($A$3:$B$14312,SMALL(IF($A$3:$A$14312=DA$3,ROW($A$3:$A$14312)),ROW(50:50)),2))</f>
        <v/>
      </c>
      <c r="DB52" t="str">
        <f t="array" ref="DB52">IF(ISERROR(INDEX($A$3:$B$14312,SMALL(IF($A$3:$A$14312=DB$3,ROW($A$3:$A$14312)),ROW(50:50)),2)),"",INDEX($A$3:$B$14312,SMALL(IF($A$3:$A$14312=DB$3,ROW($A$3:$A$14312)),ROW(50:50)),2))</f>
        <v/>
      </c>
      <c r="DC52" t="str">
        <f t="array" ref="DC52">IF(ISERROR(INDEX($A$3:$B$14312,SMALL(IF($A$3:$A$14312=DC$3,ROW($A$3:$A$14312)),ROW(50:50)),2)),"",INDEX($A$3:$B$14312,SMALL(IF($A$3:$A$14312=DC$3,ROW($A$3:$A$14312)),ROW(50:50)),2))</f>
        <v/>
      </c>
      <c r="DD52" t="str">
        <f t="array" ref="DD52">IF(ISERROR(INDEX($A$3:$B$14312,SMALL(IF($A$3:$A$14312=DD$3,ROW($A$3:$A$14312)),ROW(50:50)),2)),"",INDEX($A$3:$B$14312,SMALL(IF($A$3:$A$14312=DD$3,ROW($A$3:$A$14312)),ROW(50:50)),2))</f>
        <v/>
      </c>
      <c r="DE52" t="str">
        <f t="array" ref="DE52">IF(ISERROR(INDEX($A$3:$B$14312,SMALL(IF($A$3:$A$14312=DE$3,ROW($A$3:$A$14312)),ROW(50:50)),2)),"",INDEX($A$3:$B$14312,SMALL(IF($A$3:$A$14312=DE$3,ROW($A$3:$A$14312)),ROW(50:50)),2))</f>
        <v/>
      </c>
      <c r="DF52" t="str">
        <f t="array" ref="DF52">IF(ISERROR(INDEX($A$3:$B$14312,SMALL(IF($A$3:$A$14312=DF$3,ROW($A$3:$A$14312)),ROW(50:50)),2)),"",INDEX($A$3:$B$14312,SMALL(IF($A$3:$A$14312=DF$3,ROW($A$3:$A$14312)),ROW(50:50)),2))</f>
        <v/>
      </c>
      <c r="DG52" t="str">
        <f t="array" ref="DG52">IF(ISERROR(INDEX($A$3:$B$14312,SMALL(IF($A$3:$A$14312=DG$3,ROW($A$3:$A$14312)),ROW(50:50)),2)),"",INDEX($A$3:$B$14312,SMALL(IF($A$3:$A$14312=DG$3,ROW($A$3:$A$14312)),ROW(50:50)),2))</f>
        <v/>
      </c>
      <c r="DH52" t="str">
        <f t="array" ref="DH52">IF(ISERROR(INDEX($A$3:$B$14312,SMALL(IF($A$3:$A$14312=DH$3,ROW($A$3:$A$14312)),ROW(50:50)),2)),"",INDEX($A$3:$B$14312,SMALL(IF($A$3:$A$14312=DH$3,ROW($A$3:$A$14312)),ROW(50:50)),2))</f>
        <v/>
      </c>
      <c r="DI52" t="str">
        <f t="array" ref="DI52">IF(ISERROR(INDEX($A$3:$B$14312,SMALL(IF($A$3:$A$14312=DI$3,ROW($A$3:$A$14312)),ROW(50:50)),2)),"",INDEX($A$3:$B$14312,SMALL(IF($A$3:$A$14312=DI$3,ROW($A$3:$A$14312)),ROW(50:50)),2))</f>
        <v>Router3_116</v>
      </c>
      <c r="DJ52" t="str">
        <f t="array" ref="DJ52">IF(ISERROR(INDEX($A$3:$B$14312,SMALL(IF($A$3:$A$14312=DJ$3,ROW($A$3:$A$14312)),ROW(50:50)),2)),"",INDEX($A$3:$B$14312,SMALL(IF($A$3:$A$14312=DJ$3,ROW($A$3:$A$14312)),ROW(50:50)),2))</f>
        <v/>
      </c>
      <c r="DK52" t="str">
        <f t="array" ref="DK52">IF(ISERROR(INDEX($A$3:$B$14312,SMALL(IF($A$3:$A$14312=DK$3,ROW($A$3:$A$14312)),ROW(50:50)),2)),"",INDEX($A$3:$B$14312,SMALL(IF($A$3:$A$14312=DK$3,ROW($A$3:$A$14312)),ROW(50:50)),2))</f>
        <v/>
      </c>
      <c r="DL52" t="str">
        <f t="array" ref="DL52">IF(ISERROR(INDEX($A$3:$B$14312,SMALL(IF($A$3:$A$14312=DL$3,ROW($A$3:$A$14312)),ROW(50:50)),2)),"",INDEX($A$3:$B$14312,SMALL(IF($A$3:$A$14312=DL$3,ROW($A$3:$A$14312)),ROW(50:50)),2))</f>
        <v/>
      </c>
      <c r="DM52" t="str">
        <f t="array" ref="DM52">IF(ISERROR(INDEX($A$3:$B$14312,SMALL(IF($A$3:$A$14312=DM$3,ROW($A$3:$A$14312)),ROW(50:50)),2)),"",INDEX($A$3:$B$14312,SMALL(IF($A$3:$A$14312=DM$3,ROW($A$3:$A$14312)),ROW(50:50)),2))</f>
        <v/>
      </c>
      <c r="DN52" t="str">
        <f t="array" ref="DN52">IF(ISERROR(INDEX($A$3:$B$14312,SMALL(IF($A$3:$A$14312=DN$3,ROW($A$3:$A$14312)),ROW(50:50)),2)),"",INDEX($A$3:$B$14312,SMALL(IF($A$3:$A$14312=DN$3,ROW($A$3:$A$14312)),ROW(50:50)),2))</f>
        <v/>
      </c>
      <c r="DO52" t="str">
        <f t="array" ref="DO52">IF(ISERROR(INDEX($A$3:$B$14312,SMALL(IF($A$3:$A$14312=DO$3,ROW($A$3:$A$14312)),ROW(50:50)),2)),"",INDEX($A$3:$B$14312,SMALL(IF($A$3:$A$14312=DO$3,ROW($A$3:$A$14312)),ROW(50:50)),2))</f>
        <v/>
      </c>
      <c r="DP52" t="str">
        <f t="array" ref="DP52">IF(ISERROR(INDEX($A$3:$B$14312,SMALL(IF($A$3:$A$14312=DP$3,ROW($A$3:$A$14312)),ROW(50:50)),2)),"",INDEX($A$3:$B$14312,SMALL(IF($A$3:$A$14312=DP$3,ROW($A$3:$A$14312)),ROW(50:50)),2))</f>
        <v/>
      </c>
      <c r="DQ52" t="str">
        <f t="array" ref="DQ52">IF(ISERROR(INDEX($A$3:$B$14312,SMALL(IF($A$3:$A$14312=DQ$3,ROW($A$3:$A$14312)),ROW(50:50)),2)),"",INDEX($A$3:$B$14312,SMALL(IF($A$3:$A$14312=DQ$3,ROW($A$3:$A$14312)),ROW(50:50)),2))</f>
        <v/>
      </c>
      <c r="DR52" t="str">
        <f t="array" ref="DR52">IF(ISERROR(INDEX($A$3:$B$14312,SMALL(IF($A$3:$A$14312=DR$3,ROW($A$3:$A$14312)),ROW(50:50)),2)),"",INDEX($A$3:$B$14312,SMALL(IF($A$3:$A$14312=DR$3,ROW($A$3:$A$14312)),ROW(50:50)),2))</f>
        <v/>
      </c>
      <c r="DS52" t="str">
        <f t="array" ref="DS52">IF(ISERROR(INDEX($A$3:$B$14312,SMALL(IF($A$3:$A$14312=DS$3,ROW($A$3:$A$14312)),ROW(50:50)),2)),"",INDEX($A$3:$B$14312,SMALL(IF($A$3:$A$14312=DS$3,ROW($A$3:$A$14312)),ROW(50:50)),2))</f>
        <v/>
      </c>
      <c r="DT52" t="str">
        <f t="array" ref="DT52">IF(ISERROR(INDEX($A$3:$B$14312,SMALL(IF($A$3:$A$14312=DT$3,ROW($A$3:$A$14312)),ROW(50:50)),2)),"",INDEX($A$3:$B$14312,SMALL(IF($A$3:$A$14312=DT$3,ROW($A$3:$A$14312)),ROW(50:50)),2))</f>
        <v>Router3_116</v>
      </c>
      <c r="DU52" t="str">
        <f t="array" ref="DU52">IF(ISERROR(INDEX($A$3:$B$14312,SMALL(IF($A$3:$A$14312=DU$3,ROW($A$3:$A$14312)),ROW(50:50)),2)),"",INDEX($A$3:$B$14312,SMALL(IF($A$3:$A$14312=DU$3,ROW($A$3:$A$14312)),ROW(50:50)),2))</f>
        <v/>
      </c>
      <c r="DV52" t="str">
        <f t="array" ref="DV52">IF(ISERROR(INDEX($A$3:$B$14312,SMALL(IF($A$3:$A$14312=DV$3,ROW($A$3:$A$14312)),ROW(50:50)),2)),"",INDEX($A$3:$B$14312,SMALL(IF($A$3:$A$14312=DV$3,ROW($A$3:$A$14312)),ROW(50:50)),2))</f>
        <v/>
      </c>
      <c r="DW52" t="str">
        <f t="array" ref="DW52">IF(ISERROR(INDEX($A$3:$B$14312,SMALL(IF($A$3:$A$14312=DW$3,ROW($A$3:$A$14312)),ROW(50:50)),2)),"",INDEX($A$3:$B$14312,SMALL(IF($A$3:$A$14312=DW$3,ROW($A$3:$A$14312)),ROW(50:50)),2))</f>
        <v/>
      </c>
      <c r="DX52" t="str">
        <f t="array" ref="DX52">IF(ISERROR(INDEX($A$3:$B$14312,SMALL(IF($A$3:$A$14312=DX$3,ROW($A$3:$A$14312)),ROW(50:50)),2)),"",INDEX($A$3:$B$14312,SMALL(IF($A$3:$A$14312=DX$3,ROW($A$3:$A$14312)),ROW(50:50)),2))</f>
        <v/>
      </c>
      <c r="DY52" t="str">
        <f t="array" ref="DY52">IF(ISERROR(INDEX($A$3:$B$14312,SMALL(IF($A$3:$A$14312=DY$3,ROW($A$3:$A$14312)),ROW(50:50)),2)),"",INDEX($A$3:$B$14312,SMALL(IF($A$3:$A$14312=DY$3,ROW($A$3:$A$14312)),ROW(50:50)),2))</f>
        <v/>
      </c>
      <c r="DZ52" t="str">
        <f t="array" ref="DZ52">IF(ISERROR(INDEX($A$3:$B$14312,SMALL(IF($A$3:$A$14312=DZ$3,ROW($A$3:$A$14312)),ROW(50:50)),2)),"",INDEX($A$3:$B$14312,SMALL(IF($A$3:$A$14312=DZ$3,ROW($A$3:$A$14312)),ROW(50:50)),2))</f>
        <v/>
      </c>
      <c r="EA52" t="str">
        <f t="array" ref="EA52">IF(ISERROR(INDEX($A$3:$B$14312,SMALL(IF($A$3:$A$14312=EA$3,ROW($A$3:$A$14312)),ROW(50:50)),2)),"",INDEX($A$3:$B$14312,SMALL(IF($A$3:$A$14312=EA$3,ROW($A$3:$A$14312)),ROW(50:50)),2))</f>
        <v/>
      </c>
      <c r="EB52" t="str">
        <f t="array" ref="EB52">IF(ISERROR(INDEX($A$3:$B$14312,SMALL(IF($A$3:$A$14312=EB$3,ROW($A$3:$A$14312)),ROW(50:50)),2)),"",INDEX($A$3:$B$14312,SMALL(IF($A$3:$A$14312=EB$3,ROW($A$3:$A$14312)),ROW(50:50)),2))</f>
        <v/>
      </c>
      <c r="EC52" t="str">
        <f t="array" ref="EC52">IF(ISERROR(INDEX($A$3:$B$14312,SMALL(IF($A$3:$A$14312=EC$3,ROW($A$3:$A$14312)),ROW(50:50)),2)),"",INDEX($A$3:$B$14312,SMALL(IF($A$3:$A$14312=EC$3,ROW($A$3:$A$14312)),ROW(50:50)),2))</f>
        <v>Router3_160</v>
      </c>
      <c r="ED52" t="str">
        <f t="array" ref="ED52">IF(ISERROR(INDEX($A$3:$B$14312,SMALL(IF($A$3:$A$14312=ED$3,ROW($A$3:$A$14312)),ROW(50:50)),2)),"",INDEX($A$3:$B$14312,SMALL(IF($A$3:$A$14312=ED$3,ROW($A$3:$A$14312)),ROW(50:50)),2))</f>
        <v/>
      </c>
      <c r="EE52" t="str">
        <f t="array" ref="EE52">IF(ISERROR(INDEX($A$3:$B$14312,SMALL(IF($A$3:$A$14312=EE$3,ROW($A$3:$A$14312)),ROW(50:50)),2)),"",INDEX($A$3:$B$14312,SMALL(IF($A$3:$A$14312=EE$3,ROW($A$3:$A$14312)),ROW(50:50)),2))</f>
        <v/>
      </c>
    </row>
    <row r="53" spans="1:135" x14ac:dyDescent="0.25">
      <c r="A53" s="10">
        <v>-450827381</v>
      </c>
      <c r="B53" t="s">
        <v>1191</v>
      </c>
      <c r="E53" t="str">
        <f t="array" ref="E53">IF(ISERROR(INDEX($A$3:$B$14312,SMALL(IF($A$3:$A$14312=E$3,ROW($A$3:$A$14312)),ROW(51:51)),2)),"",INDEX($A$3:$B$14312,SMALL(IF($A$3:$A$14312=E$3,ROW($A$3:$A$14312)),ROW(51:51)),2))</f>
        <v/>
      </c>
      <c r="F53" t="str">
        <f t="array" ref="F53">IF(ISERROR(INDEX($A$3:$B$14312,SMALL(IF($A$3:$A$14312=F$3,ROW($A$3:$A$14312)),ROW(51:51)),2)),"",INDEX($A$3:$B$14312,SMALL(IF($A$3:$A$14312=F$3,ROW($A$3:$A$14312)),ROW(51:51)),2))</f>
        <v/>
      </c>
      <c r="G53" t="str">
        <f t="array" ref="G53">IF(ISERROR(INDEX($A$3:$B$14312,SMALL(IF($A$3:$A$14312=G$3,ROW($A$3:$A$14312)),ROW(51:51)),2)),"",INDEX($A$3:$B$14312,SMALL(IF($A$3:$A$14312=G$3,ROW($A$3:$A$14312)),ROW(51:51)),2))</f>
        <v/>
      </c>
      <c r="H53" t="str">
        <f t="array" ref="H53">IF(ISERROR(INDEX($A$3:$B$14312,SMALL(IF($A$3:$A$14312=H$3,ROW($A$3:$A$14312)),ROW(51:51)),2)),"",INDEX($A$3:$B$14312,SMALL(IF($A$3:$A$14312=H$3,ROW($A$3:$A$14312)),ROW(51:51)),2))</f>
        <v/>
      </c>
      <c r="I53" t="str">
        <f t="array" ref="I53">IF(ISERROR(INDEX($A$3:$B$14312,SMALL(IF($A$3:$A$14312=I$3,ROW($A$3:$A$14312)),ROW(51:51)),2)),"",INDEX($A$3:$B$14312,SMALL(IF($A$3:$A$14312=I$3,ROW($A$3:$A$14312)),ROW(51:51)),2))</f>
        <v/>
      </c>
      <c r="J53" t="str">
        <f t="array" ref="J53">IF(ISERROR(INDEX($A$3:$B$14312,SMALL(IF($A$3:$A$14312=J$3,ROW($A$3:$A$14312)),ROW(51:51)),2)),"",INDEX($A$3:$B$14312,SMALL(IF($A$3:$A$14312=J$3,ROW($A$3:$A$14312)),ROW(51:51)),2))</f>
        <v/>
      </c>
      <c r="K53" t="str">
        <f t="array" ref="K53">IF(ISERROR(INDEX($A$3:$B$14312,SMALL(IF($A$3:$A$14312=K$3,ROW($A$3:$A$14312)),ROW(51:51)),2)),"",INDEX($A$3:$B$14312,SMALL(IF($A$3:$A$14312=K$3,ROW($A$3:$A$14312)),ROW(51:51)),2))</f>
        <v/>
      </c>
      <c r="L53" t="str">
        <f t="array" ref="L53">IF(ISERROR(INDEX($A$3:$B$14312,SMALL(IF($A$3:$A$14312=L$3,ROW($A$3:$A$14312)),ROW(51:51)),2)),"",INDEX($A$3:$B$14312,SMALL(IF($A$3:$A$14312=L$3,ROW($A$3:$A$14312)),ROW(51:51)),2))</f>
        <v/>
      </c>
      <c r="M53" t="str">
        <f t="array" ref="M53">IF(ISERROR(INDEX($A$3:$B$14312,SMALL(IF($A$3:$A$14312=M$3,ROW($A$3:$A$14312)),ROW(51:51)),2)),"",INDEX($A$3:$B$14312,SMALL(IF($A$3:$A$14312=M$3,ROW($A$3:$A$14312)),ROW(51:51)),2))</f>
        <v/>
      </c>
      <c r="N53" t="str">
        <f t="array" ref="N53">IF(ISERROR(INDEX($A$3:$B$14312,SMALL(IF($A$3:$A$14312=N$3,ROW($A$3:$A$14312)),ROW(51:51)),2)),"",INDEX($A$3:$B$14312,SMALL(IF($A$3:$A$14312=N$3,ROW($A$3:$A$14312)),ROW(51:51)),2))</f>
        <v/>
      </c>
      <c r="O53" t="str">
        <f t="array" ref="O53">IF(ISERROR(INDEX($A$3:$B$14312,SMALL(IF($A$3:$A$14312=O$3,ROW($A$3:$A$14312)),ROW(51:51)),2)),"",INDEX($A$3:$B$14312,SMALL(IF($A$3:$A$14312=O$3,ROW($A$3:$A$14312)),ROW(51:51)),2))</f>
        <v/>
      </c>
      <c r="P53" t="str">
        <f t="array" ref="P53">IF(ISERROR(INDEX($A$3:$B$14312,SMALL(IF($A$3:$A$14312=P$3,ROW($A$3:$A$14312)),ROW(51:51)),2)),"",INDEX($A$3:$B$14312,SMALL(IF($A$3:$A$14312=P$3,ROW($A$3:$A$14312)),ROW(51:51)),2))</f>
        <v/>
      </c>
      <c r="Q53" t="str">
        <f t="array" ref="Q53">IF(ISERROR(INDEX($A$3:$B$14312,SMALL(IF($A$3:$A$14312=Q$3,ROW($A$3:$A$14312)),ROW(51:51)),2)),"",INDEX($A$3:$B$14312,SMALL(IF($A$3:$A$14312=Q$3,ROW($A$3:$A$14312)),ROW(51:51)),2))</f>
        <v/>
      </c>
      <c r="R53" t="str">
        <f t="array" ref="R53">IF(ISERROR(INDEX($A$3:$B$14312,SMALL(IF($A$3:$A$14312=R$3,ROW($A$3:$A$14312)),ROW(51:51)),2)),"",INDEX($A$3:$B$14312,SMALL(IF($A$3:$A$14312=R$3,ROW($A$3:$A$14312)),ROW(51:51)),2))</f>
        <v/>
      </c>
      <c r="S53" t="str">
        <f t="array" ref="S53">IF(ISERROR(INDEX($A$3:$B$14312,SMALL(IF($A$3:$A$14312=S$3,ROW($A$3:$A$14312)),ROW(51:51)),2)),"",INDEX($A$3:$B$14312,SMALL(IF($A$3:$A$14312=S$3,ROW($A$3:$A$14312)),ROW(51:51)),2))</f>
        <v/>
      </c>
      <c r="T53" t="str">
        <f t="array" ref="T53">IF(ISERROR(INDEX($A$3:$B$14312,SMALL(IF($A$3:$A$14312=T$3,ROW($A$3:$A$14312)),ROW(51:51)),2)),"",INDEX($A$3:$B$14312,SMALL(IF($A$3:$A$14312=T$3,ROW($A$3:$A$14312)),ROW(51:51)),2))</f>
        <v/>
      </c>
      <c r="U53" t="str">
        <f t="array" ref="U53">IF(ISERROR(INDEX($A$3:$B$14312,SMALL(IF($A$3:$A$14312=U$3,ROW($A$3:$A$14312)),ROW(51:51)),2)),"",INDEX($A$3:$B$14312,SMALL(IF($A$3:$A$14312=U$3,ROW($A$3:$A$14312)),ROW(51:51)),2))</f>
        <v/>
      </c>
      <c r="V53" t="str">
        <f t="array" ref="V53">IF(ISERROR(INDEX($A$3:$B$14312,SMALL(IF($A$3:$A$14312=V$3,ROW($A$3:$A$14312)),ROW(51:51)),2)),"",INDEX($A$3:$B$14312,SMALL(IF($A$3:$A$14312=V$3,ROW($A$3:$A$14312)),ROW(51:51)),2))</f>
        <v/>
      </c>
      <c r="W53" t="str">
        <f t="array" ref="W53">IF(ISERROR(INDEX($A$3:$B$14312,SMALL(IF($A$3:$A$14312=W$3,ROW($A$3:$A$14312)),ROW(51:51)),2)),"",INDEX($A$3:$B$14312,SMALL(IF($A$3:$A$14312=W$3,ROW($A$3:$A$14312)),ROW(51:51)),2))</f>
        <v>Router3_164</v>
      </c>
      <c r="X53" t="str">
        <f t="array" ref="X53">IF(ISERROR(INDEX($A$3:$B$14312,SMALL(IF($A$3:$A$14312=X$3,ROW($A$3:$A$14312)),ROW(51:51)),2)),"",INDEX($A$3:$B$14312,SMALL(IF($A$3:$A$14312=X$3,ROW($A$3:$A$14312)),ROW(51:51)),2))</f>
        <v/>
      </c>
      <c r="Y53" t="str">
        <f t="array" ref="Y53">IF(ISERROR(INDEX($A$3:$B$14312,SMALL(IF($A$3:$A$14312=Y$3,ROW($A$3:$A$14312)),ROW(51:51)),2)),"",INDEX($A$3:$B$14312,SMALL(IF($A$3:$A$14312=Y$3,ROW($A$3:$A$14312)),ROW(51:51)),2))</f>
        <v/>
      </c>
      <c r="Z53" t="str">
        <f t="array" ref="Z53">IF(ISERROR(INDEX($A$3:$B$14312,SMALL(IF($A$3:$A$14312=Z$3,ROW($A$3:$A$14312)),ROW(51:51)),2)),"",INDEX($A$3:$B$14312,SMALL(IF($A$3:$A$14312=Z$3,ROW($A$3:$A$14312)),ROW(51:51)),2))</f>
        <v/>
      </c>
      <c r="AA53" t="str">
        <f t="array" ref="AA53">IF(ISERROR(INDEX($A$3:$B$14312,SMALL(IF($A$3:$A$14312=AA$3,ROW($A$3:$A$14312)),ROW(51:51)),2)),"",INDEX($A$3:$B$14312,SMALL(IF($A$3:$A$14312=AA$3,ROW($A$3:$A$14312)),ROW(51:51)),2))</f>
        <v/>
      </c>
      <c r="AB53" t="str">
        <f t="array" ref="AB53">IF(ISERROR(INDEX($A$3:$B$14312,SMALL(IF($A$3:$A$14312=AB$3,ROW($A$3:$A$14312)),ROW(51:51)),2)),"",INDEX($A$3:$B$14312,SMALL(IF($A$3:$A$14312=AB$3,ROW($A$3:$A$14312)),ROW(51:51)),2))</f>
        <v/>
      </c>
      <c r="AC53" t="str">
        <f t="array" ref="AC53">IF(ISERROR(INDEX($A$3:$B$14312,SMALL(IF($A$3:$A$14312=AC$3,ROW($A$3:$A$14312)),ROW(51:51)),2)),"",INDEX($A$3:$B$14312,SMALL(IF($A$3:$A$14312=AC$3,ROW($A$3:$A$14312)),ROW(51:51)),2))</f>
        <v/>
      </c>
      <c r="AD53" t="str">
        <f t="array" ref="AD53">IF(ISERROR(INDEX($A$3:$B$14312,SMALL(IF($A$3:$A$14312=AD$3,ROW($A$3:$A$14312)),ROW(51:51)),2)),"",INDEX($A$3:$B$14312,SMALL(IF($A$3:$A$14312=AD$3,ROW($A$3:$A$14312)),ROW(51:51)),2))</f>
        <v/>
      </c>
      <c r="AE53" t="str">
        <f t="array" ref="AE53">IF(ISERROR(INDEX($A$3:$B$14312,SMALL(IF($A$3:$A$14312=AE$3,ROW($A$3:$A$14312)),ROW(51:51)),2)),"",INDEX($A$3:$B$14312,SMALL(IF($A$3:$A$14312=AE$3,ROW($A$3:$A$14312)),ROW(51:51)),2))</f>
        <v/>
      </c>
      <c r="AF53" t="str">
        <f t="array" ref="AF53">IF(ISERROR(INDEX($A$3:$B$14312,SMALL(IF($A$3:$A$14312=AF$3,ROW($A$3:$A$14312)),ROW(51:51)),2)),"",INDEX($A$3:$B$14312,SMALL(IF($A$3:$A$14312=AF$3,ROW($A$3:$A$14312)),ROW(51:51)),2))</f>
        <v/>
      </c>
      <c r="AG53" t="str">
        <f t="array" ref="AG53">IF(ISERROR(INDEX($A$3:$B$14312,SMALL(IF($A$3:$A$14312=AG$3,ROW($A$3:$A$14312)),ROW(51:51)),2)),"",INDEX($A$3:$B$14312,SMALL(IF($A$3:$A$14312=AG$3,ROW($A$3:$A$14312)),ROW(51:51)),2))</f>
        <v/>
      </c>
      <c r="AH53" t="str">
        <f t="array" ref="AH53">IF(ISERROR(INDEX($A$3:$B$14312,SMALL(IF($A$3:$A$14312=AH$3,ROW($A$3:$A$14312)),ROW(51:51)),2)),"",INDEX($A$3:$B$14312,SMALL(IF($A$3:$A$14312=AH$3,ROW($A$3:$A$14312)),ROW(51:51)),2))</f>
        <v/>
      </c>
      <c r="AI53" t="str">
        <f t="array" ref="AI53">IF(ISERROR(INDEX($A$3:$B$14312,SMALL(IF($A$3:$A$14312=AI$3,ROW($A$3:$A$14312)),ROW(51:51)),2)),"",INDEX($A$3:$B$14312,SMALL(IF($A$3:$A$14312=AI$3,ROW($A$3:$A$14312)),ROW(51:51)),2))</f>
        <v/>
      </c>
      <c r="AJ53" t="str">
        <f t="array" ref="AJ53">IF(ISERROR(INDEX($A$3:$B$14312,SMALL(IF($A$3:$A$14312=AJ$3,ROW($A$3:$A$14312)),ROW(51:51)),2)),"",INDEX($A$3:$B$14312,SMALL(IF($A$3:$A$14312=AJ$3,ROW($A$3:$A$14312)),ROW(51:51)),2))</f>
        <v/>
      </c>
      <c r="AK53" t="str">
        <f t="array" ref="AK53">IF(ISERROR(INDEX($A$3:$B$14312,SMALL(IF($A$3:$A$14312=AK$3,ROW($A$3:$A$14312)),ROW(51:51)),2)),"",INDEX($A$3:$B$14312,SMALL(IF($A$3:$A$14312=AK$3,ROW($A$3:$A$14312)),ROW(51:51)),2))</f>
        <v/>
      </c>
      <c r="AL53" t="str">
        <f t="array" ref="AL53">IF(ISERROR(INDEX($A$3:$B$14312,SMALL(IF($A$3:$A$14312=AL$3,ROW($A$3:$A$14312)),ROW(51:51)),2)),"",INDEX($A$3:$B$14312,SMALL(IF($A$3:$A$14312=AL$3,ROW($A$3:$A$14312)),ROW(51:51)),2))</f>
        <v/>
      </c>
      <c r="AM53" t="str">
        <f t="array" ref="AM53">IF(ISERROR(INDEX($A$3:$B$14312,SMALL(IF($A$3:$A$14312=AM$3,ROW($A$3:$A$14312)),ROW(51:51)),2)),"",INDEX($A$3:$B$14312,SMALL(IF($A$3:$A$14312=AM$3,ROW($A$3:$A$14312)),ROW(51:51)),2))</f>
        <v/>
      </c>
      <c r="AN53" t="str">
        <f t="array" ref="AN53">IF(ISERROR(INDEX($A$3:$B$14312,SMALL(IF($A$3:$A$14312=AN$3,ROW($A$3:$A$14312)),ROW(51:51)),2)),"",INDEX($A$3:$B$14312,SMALL(IF($A$3:$A$14312=AN$3,ROW($A$3:$A$14312)),ROW(51:51)),2))</f>
        <v/>
      </c>
      <c r="AO53" t="str">
        <f t="array" ref="AO53">IF(ISERROR(INDEX($A$3:$B$14312,SMALL(IF($A$3:$A$14312=AO$3,ROW($A$3:$A$14312)),ROW(51:51)),2)),"",INDEX($A$3:$B$14312,SMALL(IF($A$3:$A$14312=AO$3,ROW($A$3:$A$14312)),ROW(51:51)),2))</f>
        <v/>
      </c>
      <c r="AP53" t="str">
        <f t="array" ref="AP53">IF(ISERROR(INDEX($A$3:$B$14312,SMALL(IF($A$3:$A$14312=AP$3,ROW($A$3:$A$14312)),ROW(51:51)),2)),"",INDEX($A$3:$B$14312,SMALL(IF($A$3:$A$14312=AP$3,ROW($A$3:$A$14312)),ROW(51:51)),2))</f>
        <v/>
      </c>
      <c r="AQ53" t="str">
        <f t="array" ref="AQ53">IF(ISERROR(INDEX($A$3:$B$14312,SMALL(IF($A$3:$A$14312=AQ$3,ROW($A$3:$A$14312)),ROW(51:51)),2)),"",INDEX($A$3:$B$14312,SMALL(IF($A$3:$A$14312=AQ$3,ROW($A$3:$A$14312)),ROW(51:51)),2))</f>
        <v/>
      </c>
      <c r="AR53" t="str">
        <f t="array" ref="AR53">IF(ISERROR(INDEX($A$3:$B$14312,SMALL(IF($A$3:$A$14312=AR$3,ROW($A$3:$A$14312)),ROW(51:51)),2)),"",INDEX($A$3:$B$14312,SMALL(IF($A$3:$A$14312=AR$3,ROW($A$3:$A$14312)),ROW(51:51)),2))</f>
        <v/>
      </c>
      <c r="AS53" t="str">
        <f t="array" ref="AS53">IF(ISERROR(INDEX($A$3:$B$14312,SMALL(IF($A$3:$A$14312=AS$3,ROW($A$3:$A$14312)),ROW(51:51)),2)),"",INDEX($A$3:$B$14312,SMALL(IF($A$3:$A$14312=AS$3,ROW($A$3:$A$14312)),ROW(51:51)),2))</f>
        <v/>
      </c>
      <c r="AT53" t="str">
        <f t="array" ref="AT53">IF(ISERROR(INDEX($A$3:$B$14312,SMALL(IF($A$3:$A$14312=AT$3,ROW($A$3:$A$14312)),ROW(51:51)),2)),"",INDEX($A$3:$B$14312,SMALL(IF($A$3:$A$14312=AT$3,ROW($A$3:$A$14312)),ROW(51:51)),2))</f>
        <v/>
      </c>
      <c r="AU53" t="str">
        <f t="array" ref="AU53">IF(ISERROR(INDEX($A$3:$B$14312,SMALL(IF($A$3:$A$14312=AU$3,ROW($A$3:$A$14312)),ROW(51:51)),2)),"",INDEX($A$3:$B$14312,SMALL(IF($A$3:$A$14312=AU$3,ROW($A$3:$A$14312)),ROW(51:51)),2))</f>
        <v/>
      </c>
      <c r="AV53" t="str">
        <f t="array" ref="AV53">IF(ISERROR(INDEX($A$3:$B$14312,SMALL(IF($A$3:$A$14312=AV$3,ROW($A$3:$A$14312)),ROW(51:51)),2)),"",INDEX($A$3:$B$14312,SMALL(IF($A$3:$A$14312=AV$3,ROW($A$3:$A$14312)),ROW(51:51)),2))</f>
        <v/>
      </c>
      <c r="AW53" t="str">
        <f t="array" ref="AW53">IF(ISERROR(INDEX($A$3:$B$14312,SMALL(IF($A$3:$A$14312=AW$3,ROW($A$3:$A$14312)),ROW(51:51)),2)),"",INDEX($A$3:$B$14312,SMALL(IF($A$3:$A$14312=AW$3,ROW($A$3:$A$14312)),ROW(51:51)),2))</f>
        <v/>
      </c>
      <c r="AX53" t="str">
        <f t="array" ref="AX53">IF(ISERROR(INDEX($A$3:$B$14312,SMALL(IF($A$3:$A$14312=AX$3,ROW($A$3:$A$14312)),ROW(51:51)),2)),"",INDEX($A$3:$B$14312,SMALL(IF($A$3:$A$14312=AX$3,ROW($A$3:$A$14312)),ROW(51:51)),2))</f>
        <v/>
      </c>
      <c r="AY53" t="str">
        <f t="array" ref="AY53">IF(ISERROR(INDEX($A$3:$B$14312,SMALL(IF($A$3:$A$14312=AY$3,ROW($A$3:$A$14312)),ROW(51:51)),2)),"",INDEX($A$3:$B$14312,SMALL(IF($A$3:$A$14312=AY$3,ROW($A$3:$A$14312)),ROW(51:51)),2))</f>
        <v/>
      </c>
      <c r="AZ53" t="str">
        <f t="array" ref="AZ53">IF(ISERROR(INDEX($A$3:$B$14312,SMALL(IF($A$3:$A$14312=AZ$3,ROW($A$3:$A$14312)),ROW(51:51)),2)),"",INDEX($A$3:$B$14312,SMALL(IF($A$3:$A$14312=AZ$3,ROW($A$3:$A$14312)),ROW(51:51)),2))</f>
        <v/>
      </c>
      <c r="BA53" t="str">
        <f t="array" ref="BA53">IF(ISERROR(INDEX($A$3:$B$14312,SMALL(IF($A$3:$A$14312=BA$3,ROW($A$3:$A$14312)),ROW(51:51)),2)),"",INDEX($A$3:$B$14312,SMALL(IF($A$3:$A$14312=BA$3,ROW($A$3:$A$14312)),ROW(51:51)),2))</f>
        <v/>
      </c>
      <c r="BB53" t="str">
        <f t="array" ref="BB53">IF(ISERROR(INDEX($A$3:$B$14312,SMALL(IF($A$3:$A$14312=BB$3,ROW($A$3:$A$14312)),ROW(51:51)),2)),"",INDEX($A$3:$B$14312,SMALL(IF($A$3:$A$14312=BB$3,ROW($A$3:$A$14312)),ROW(51:51)),2))</f>
        <v/>
      </c>
      <c r="BC53" t="str">
        <f t="array" ref="BC53">IF(ISERROR(INDEX($A$3:$B$14312,SMALL(IF($A$3:$A$14312=BC$3,ROW($A$3:$A$14312)),ROW(51:51)),2)),"",INDEX($A$3:$B$14312,SMALL(IF($A$3:$A$14312=BC$3,ROW($A$3:$A$14312)),ROW(51:51)),2))</f>
        <v/>
      </c>
      <c r="BD53" t="str">
        <f t="array" ref="BD53">IF(ISERROR(INDEX($A$3:$B$14312,SMALL(IF($A$3:$A$14312=BD$3,ROW($A$3:$A$14312)),ROW(51:51)),2)),"",INDEX($A$3:$B$14312,SMALL(IF($A$3:$A$14312=BD$3,ROW($A$3:$A$14312)),ROW(51:51)),2))</f>
        <v/>
      </c>
      <c r="BE53" t="str">
        <f t="array" ref="BE53">IF(ISERROR(INDEX($A$3:$B$14312,SMALL(IF($A$3:$A$14312=BE$3,ROW($A$3:$A$14312)),ROW(51:51)),2)),"",INDEX($A$3:$B$14312,SMALL(IF($A$3:$A$14312=BE$3,ROW($A$3:$A$14312)),ROW(51:51)),2))</f>
        <v/>
      </c>
      <c r="BF53" t="str">
        <f t="array" ref="BF53">IF(ISERROR(INDEX($A$3:$B$14312,SMALL(IF($A$3:$A$14312=BF$3,ROW($A$3:$A$14312)),ROW(51:51)),2)),"",INDEX($A$3:$B$14312,SMALL(IF($A$3:$A$14312=BF$3,ROW($A$3:$A$14312)),ROW(51:51)),2))</f>
        <v/>
      </c>
      <c r="BG53" t="str">
        <f t="array" ref="BG53">IF(ISERROR(INDEX($A$3:$B$14312,SMALL(IF($A$3:$A$14312=BG$3,ROW($A$3:$A$14312)),ROW(51:51)),2)),"",INDEX($A$3:$B$14312,SMALL(IF($A$3:$A$14312=BG$3,ROW($A$3:$A$14312)),ROW(51:51)),2))</f>
        <v/>
      </c>
      <c r="BH53" t="str">
        <f t="array" ref="BH53">IF(ISERROR(INDEX($A$3:$B$14312,SMALL(IF($A$3:$A$14312=BH$3,ROW($A$3:$A$14312)),ROW(51:51)),2)),"",INDEX($A$3:$B$14312,SMALL(IF($A$3:$A$14312=BH$3,ROW($A$3:$A$14312)),ROW(51:51)),2))</f>
        <v/>
      </c>
      <c r="BI53" t="str">
        <f t="array" ref="BI53">IF(ISERROR(INDEX($A$3:$B$14312,SMALL(IF($A$3:$A$14312=BI$3,ROW($A$3:$A$14312)),ROW(51:51)),2)),"",INDEX($A$3:$B$14312,SMALL(IF($A$3:$A$14312=BI$3,ROW($A$3:$A$14312)),ROW(51:51)),2))</f>
        <v/>
      </c>
      <c r="BJ53" t="str">
        <f t="array" ref="BJ53">IF(ISERROR(INDEX($A$3:$B$14312,SMALL(IF($A$3:$A$14312=BJ$3,ROW($A$3:$A$14312)),ROW(51:51)),2)),"",INDEX($A$3:$B$14312,SMALL(IF($A$3:$A$14312=BJ$3,ROW($A$3:$A$14312)),ROW(51:51)),2))</f>
        <v/>
      </c>
      <c r="BK53" t="str">
        <f t="array" ref="BK53">IF(ISERROR(INDEX($A$3:$B$14312,SMALL(IF($A$3:$A$14312=BK$3,ROW($A$3:$A$14312)),ROW(51:51)),2)),"",INDEX($A$3:$B$14312,SMALL(IF($A$3:$A$14312=BK$3,ROW($A$3:$A$14312)),ROW(51:51)),2))</f>
        <v/>
      </c>
      <c r="BL53" t="str">
        <f t="array" ref="BL53">IF(ISERROR(INDEX($A$3:$B$14312,SMALL(IF($A$3:$A$14312=BL$3,ROW($A$3:$A$14312)),ROW(51:51)),2)),"",INDEX($A$3:$B$14312,SMALL(IF($A$3:$A$14312=BL$3,ROW($A$3:$A$14312)),ROW(51:51)),2))</f>
        <v/>
      </c>
      <c r="BM53" t="str">
        <f t="array" ref="BM53">IF(ISERROR(INDEX($A$3:$B$14312,SMALL(IF($A$3:$A$14312=BM$3,ROW($A$3:$A$14312)),ROW(51:51)),2)),"",INDEX($A$3:$B$14312,SMALL(IF($A$3:$A$14312=BM$3,ROW($A$3:$A$14312)),ROW(51:51)),2))</f>
        <v/>
      </c>
      <c r="BN53" t="str">
        <f t="array" ref="BN53">IF(ISERROR(INDEX($A$3:$B$14312,SMALL(IF($A$3:$A$14312=BN$3,ROW($A$3:$A$14312)),ROW(51:51)),2)),"",INDEX($A$3:$B$14312,SMALL(IF($A$3:$A$14312=BN$3,ROW($A$3:$A$14312)),ROW(51:51)),2))</f>
        <v/>
      </c>
      <c r="BO53" t="str">
        <f t="array" ref="BO53">IF(ISERROR(INDEX($A$3:$B$14312,SMALL(IF($A$3:$A$14312=BO$3,ROW($A$3:$A$14312)),ROW(51:51)),2)),"",INDEX($A$3:$B$14312,SMALL(IF($A$3:$A$14312=BO$3,ROW($A$3:$A$14312)),ROW(51:51)),2))</f>
        <v/>
      </c>
      <c r="BP53" t="str">
        <f t="array" ref="BP53">IF(ISERROR(INDEX($A$3:$B$14312,SMALL(IF($A$3:$A$14312=BP$3,ROW($A$3:$A$14312)),ROW(51:51)),2)),"",INDEX($A$3:$B$14312,SMALL(IF($A$3:$A$14312=BP$3,ROW($A$3:$A$14312)),ROW(51:51)),2))</f>
        <v/>
      </c>
      <c r="BQ53" t="str">
        <f t="array" ref="BQ53">IF(ISERROR(INDEX($A$3:$B$14312,SMALL(IF($A$3:$A$14312=BQ$3,ROW($A$3:$A$14312)),ROW(51:51)),2)),"",INDEX($A$3:$B$14312,SMALL(IF($A$3:$A$14312=BQ$3,ROW($A$3:$A$14312)),ROW(51:51)),2))</f>
        <v/>
      </c>
      <c r="BR53" t="str">
        <f t="array" ref="BR53">IF(ISERROR(INDEX($A$3:$B$14312,SMALL(IF($A$3:$A$14312=BR$3,ROW($A$3:$A$14312)),ROW(51:51)),2)),"",INDEX($A$3:$B$14312,SMALL(IF($A$3:$A$14312=BR$3,ROW($A$3:$A$14312)),ROW(51:51)),2))</f>
        <v/>
      </c>
      <c r="BS53" t="str">
        <f t="array" ref="BS53">IF(ISERROR(INDEX($A$3:$B$14312,SMALL(IF($A$3:$A$14312=BS$3,ROW($A$3:$A$14312)),ROW(51:51)),2)),"",INDEX($A$3:$B$14312,SMALL(IF($A$3:$A$14312=BS$3,ROW($A$3:$A$14312)),ROW(51:51)),2))</f>
        <v/>
      </c>
      <c r="BT53" t="str">
        <f t="array" ref="BT53">IF(ISERROR(INDEX($A$3:$B$14312,SMALL(IF($A$3:$A$14312=BT$3,ROW($A$3:$A$14312)),ROW(51:51)),2)),"",INDEX($A$3:$B$14312,SMALL(IF($A$3:$A$14312=BT$3,ROW($A$3:$A$14312)),ROW(51:51)),2))</f>
        <v>Router3_152</v>
      </c>
      <c r="BU53" t="str">
        <f t="array" ref="BU53">IF(ISERROR(INDEX($A$3:$B$14312,SMALL(IF($A$3:$A$14312=BU$3,ROW($A$3:$A$14312)),ROW(51:51)),2)),"",INDEX($A$3:$B$14312,SMALL(IF($A$3:$A$14312=BU$3,ROW($A$3:$A$14312)),ROW(51:51)),2))</f>
        <v/>
      </c>
      <c r="BV53" t="str">
        <f t="array" ref="BV53">IF(ISERROR(INDEX($A$3:$B$14312,SMALL(IF($A$3:$A$14312=BV$3,ROW($A$3:$A$14312)),ROW(51:51)),2)),"",INDEX($A$3:$B$14312,SMALL(IF($A$3:$A$14312=BV$3,ROW($A$3:$A$14312)),ROW(51:51)),2))</f>
        <v/>
      </c>
      <c r="BW53" t="str">
        <f t="array" ref="BW53">IF(ISERROR(INDEX($A$3:$B$14312,SMALL(IF($A$3:$A$14312=BW$3,ROW($A$3:$A$14312)),ROW(51:51)),2)),"",INDEX($A$3:$B$14312,SMALL(IF($A$3:$A$14312=BW$3,ROW($A$3:$A$14312)),ROW(51:51)),2))</f>
        <v/>
      </c>
      <c r="BX53" t="str">
        <f t="array" ref="BX53">IF(ISERROR(INDEX($A$3:$B$14312,SMALL(IF($A$3:$A$14312=BX$3,ROW($A$3:$A$14312)),ROW(51:51)),2)),"",INDEX($A$3:$B$14312,SMALL(IF($A$3:$A$14312=BX$3,ROW($A$3:$A$14312)),ROW(51:51)),2))</f>
        <v/>
      </c>
      <c r="BY53" t="str">
        <f t="array" ref="BY53">IF(ISERROR(INDEX($A$3:$B$14312,SMALL(IF($A$3:$A$14312=BY$3,ROW($A$3:$A$14312)),ROW(51:51)),2)),"",INDEX($A$3:$B$14312,SMALL(IF($A$3:$A$14312=BY$3,ROW($A$3:$A$14312)),ROW(51:51)),2))</f>
        <v/>
      </c>
      <c r="BZ53" t="str">
        <f t="array" ref="BZ53">IF(ISERROR(INDEX($A$3:$B$14312,SMALL(IF($A$3:$A$14312=BZ$3,ROW($A$3:$A$14312)),ROW(51:51)),2)),"",INDEX($A$3:$B$14312,SMALL(IF($A$3:$A$14312=BZ$3,ROW($A$3:$A$14312)),ROW(51:51)),2))</f>
        <v/>
      </c>
      <c r="CA53" t="str">
        <f t="array" ref="CA53">IF(ISERROR(INDEX($A$3:$B$14312,SMALL(IF($A$3:$A$14312=CA$3,ROW($A$3:$A$14312)),ROW(51:51)),2)),"",INDEX($A$3:$B$14312,SMALL(IF($A$3:$A$14312=CA$3,ROW($A$3:$A$14312)),ROW(51:51)),2))</f>
        <v/>
      </c>
      <c r="CB53" t="str">
        <f t="array" ref="CB53">IF(ISERROR(INDEX($A$3:$B$14312,SMALL(IF($A$3:$A$14312=CB$3,ROW($A$3:$A$14312)),ROW(51:51)),2)),"",INDEX($A$3:$B$14312,SMALL(IF($A$3:$A$14312=CB$3,ROW($A$3:$A$14312)),ROW(51:51)),2))</f>
        <v/>
      </c>
      <c r="CC53" t="str">
        <f t="array" ref="CC53">IF(ISERROR(INDEX($A$3:$B$14312,SMALL(IF($A$3:$A$14312=CC$3,ROW($A$3:$A$14312)),ROW(51:51)),2)),"",INDEX($A$3:$B$14312,SMALL(IF($A$3:$A$14312=CC$3,ROW($A$3:$A$14312)),ROW(51:51)),2))</f>
        <v/>
      </c>
      <c r="CD53" t="str">
        <f t="array" ref="CD53">IF(ISERROR(INDEX($A$3:$B$14312,SMALL(IF($A$3:$A$14312=CD$3,ROW($A$3:$A$14312)),ROW(51:51)),2)),"",INDEX($A$3:$B$14312,SMALL(IF($A$3:$A$14312=CD$3,ROW($A$3:$A$14312)),ROW(51:51)),2))</f>
        <v/>
      </c>
      <c r="CE53" t="str">
        <f t="array" ref="CE53">IF(ISERROR(INDEX($A$3:$B$14312,SMALL(IF($A$3:$A$14312=CE$3,ROW($A$3:$A$14312)),ROW(51:51)),2)),"",INDEX($A$3:$B$14312,SMALL(IF($A$3:$A$14312=CE$3,ROW($A$3:$A$14312)),ROW(51:51)),2))</f>
        <v/>
      </c>
      <c r="CF53" t="str">
        <f t="array" ref="CF53">IF(ISERROR(INDEX($A$3:$B$14312,SMALL(IF($A$3:$A$14312=CF$3,ROW($A$3:$A$14312)),ROW(51:51)),2)),"",INDEX($A$3:$B$14312,SMALL(IF($A$3:$A$14312=CF$3,ROW($A$3:$A$14312)),ROW(51:51)),2))</f>
        <v/>
      </c>
      <c r="CG53" t="str">
        <f t="array" ref="CG53">IF(ISERROR(INDEX($A$3:$B$14312,SMALL(IF($A$3:$A$14312=CG$3,ROW($A$3:$A$14312)),ROW(51:51)),2)),"",INDEX($A$3:$B$14312,SMALL(IF($A$3:$A$14312=CG$3,ROW($A$3:$A$14312)),ROW(51:51)),2))</f>
        <v/>
      </c>
      <c r="CH53" t="str">
        <f t="array" ref="CH53">IF(ISERROR(INDEX($A$3:$B$14312,SMALL(IF($A$3:$A$14312=CH$3,ROW($A$3:$A$14312)),ROW(51:51)),2)),"",INDEX($A$3:$B$14312,SMALL(IF($A$3:$A$14312=CH$3,ROW($A$3:$A$14312)),ROW(51:51)),2))</f>
        <v/>
      </c>
      <c r="CI53" t="str">
        <f t="array" ref="CI53">IF(ISERROR(INDEX($A$3:$B$14312,SMALL(IF($A$3:$A$14312=CI$3,ROW($A$3:$A$14312)),ROW(51:51)),2)),"",INDEX($A$3:$B$14312,SMALL(IF($A$3:$A$14312=CI$3,ROW($A$3:$A$14312)),ROW(51:51)),2))</f>
        <v/>
      </c>
      <c r="CJ53" t="str">
        <f t="array" ref="CJ53">IF(ISERROR(INDEX($A$3:$B$14312,SMALL(IF($A$3:$A$14312=CJ$3,ROW($A$3:$A$14312)),ROW(51:51)),2)),"",INDEX($A$3:$B$14312,SMALL(IF($A$3:$A$14312=CJ$3,ROW($A$3:$A$14312)),ROW(51:51)),2))</f>
        <v/>
      </c>
      <c r="CK53" t="str">
        <f t="array" ref="CK53">IF(ISERROR(INDEX($A$3:$B$14312,SMALL(IF($A$3:$A$14312=CK$3,ROW($A$3:$A$14312)),ROW(51:51)),2)),"",INDEX($A$3:$B$14312,SMALL(IF($A$3:$A$14312=CK$3,ROW($A$3:$A$14312)),ROW(51:51)),2))</f>
        <v/>
      </c>
      <c r="CL53" t="str">
        <f t="array" ref="CL53">IF(ISERROR(INDEX($A$3:$B$14312,SMALL(IF($A$3:$A$14312=CL$3,ROW($A$3:$A$14312)),ROW(51:51)),2)),"",INDEX($A$3:$B$14312,SMALL(IF($A$3:$A$14312=CL$3,ROW($A$3:$A$14312)),ROW(51:51)),2))</f>
        <v/>
      </c>
      <c r="CM53" t="str">
        <f t="array" ref="CM53">IF(ISERROR(INDEX($A$3:$B$14312,SMALL(IF($A$3:$A$14312=CM$3,ROW($A$3:$A$14312)),ROW(51:51)),2)),"",INDEX($A$3:$B$14312,SMALL(IF($A$3:$A$14312=CM$3,ROW($A$3:$A$14312)),ROW(51:51)),2))</f>
        <v/>
      </c>
      <c r="CN53" t="str">
        <f t="array" ref="CN53">IF(ISERROR(INDEX($A$3:$B$14312,SMALL(IF($A$3:$A$14312=CN$3,ROW($A$3:$A$14312)),ROW(51:51)),2)),"",INDEX($A$3:$B$14312,SMALL(IF($A$3:$A$14312=CN$3,ROW($A$3:$A$14312)),ROW(51:51)),2))</f>
        <v/>
      </c>
      <c r="CO53" t="str">
        <f t="array" ref="CO53">IF(ISERROR(INDEX($A$3:$B$14312,SMALL(IF($A$3:$A$14312=CO$3,ROW($A$3:$A$14312)),ROW(51:51)),2)),"",INDEX($A$3:$B$14312,SMALL(IF($A$3:$A$14312=CO$3,ROW($A$3:$A$14312)),ROW(51:51)),2))</f>
        <v/>
      </c>
      <c r="CP53" t="str">
        <f t="array" ref="CP53">IF(ISERROR(INDEX($A$3:$B$14312,SMALL(IF($A$3:$A$14312=CP$3,ROW($A$3:$A$14312)),ROW(51:51)),2)),"",INDEX($A$3:$B$14312,SMALL(IF($A$3:$A$14312=CP$3,ROW($A$3:$A$14312)),ROW(51:51)),2))</f>
        <v/>
      </c>
      <c r="CQ53" t="str">
        <f t="array" ref="CQ53">IF(ISERROR(INDEX($A$3:$B$14312,SMALL(IF($A$3:$A$14312=CQ$3,ROW($A$3:$A$14312)),ROW(51:51)),2)),"",INDEX($A$3:$B$14312,SMALL(IF($A$3:$A$14312=CQ$3,ROW($A$3:$A$14312)),ROW(51:51)),2))</f>
        <v/>
      </c>
      <c r="CR53" t="str">
        <f t="array" ref="CR53">IF(ISERROR(INDEX($A$3:$B$14312,SMALL(IF($A$3:$A$14312=CR$3,ROW($A$3:$A$14312)),ROW(51:51)),2)),"",INDEX($A$3:$B$14312,SMALL(IF($A$3:$A$14312=CR$3,ROW($A$3:$A$14312)),ROW(51:51)),2))</f>
        <v/>
      </c>
      <c r="CS53" t="str">
        <f t="array" ref="CS53">IF(ISERROR(INDEX($A$3:$B$14312,SMALL(IF($A$3:$A$14312=CS$3,ROW($A$3:$A$14312)),ROW(51:51)),2)),"",INDEX($A$3:$B$14312,SMALL(IF($A$3:$A$14312=CS$3,ROW($A$3:$A$14312)),ROW(51:51)),2))</f>
        <v/>
      </c>
      <c r="CT53" t="str">
        <f t="array" ref="CT53">IF(ISERROR(INDEX($A$3:$B$14312,SMALL(IF($A$3:$A$14312=CT$3,ROW($A$3:$A$14312)),ROW(51:51)),2)),"",INDEX($A$3:$B$14312,SMALL(IF($A$3:$A$14312=CT$3,ROW($A$3:$A$14312)),ROW(51:51)),2))</f>
        <v/>
      </c>
      <c r="CU53" t="str">
        <f t="array" ref="CU53">IF(ISERROR(INDEX($A$3:$B$14312,SMALL(IF($A$3:$A$14312=CU$3,ROW($A$3:$A$14312)),ROW(51:51)),2)),"",INDEX($A$3:$B$14312,SMALL(IF($A$3:$A$14312=CU$3,ROW($A$3:$A$14312)),ROW(51:51)),2))</f>
        <v/>
      </c>
      <c r="CV53" t="str">
        <f t="array" ref="CV53">IF(ISERROR(INDEX($A$3:$B$14312,SMALL(IF($A$3:$A$14312=CV$3,ROW($A$3:$A$14312)),ROW(51:51)),2)),"",INDEX($A$3:$B$14312,SMALL(IF($A$3:$A$14312=CV$3,ROW($A$3:$A$14312)),ROW(51:51)),2))</f>
        <v/>
      </c>
      <c r="CW53" t="str">
        <f t="array" ref="CW53">IF(ISERROR(INDEX($A$3:$B$14312,SMALL(IF($A$3:$A$14312=CW$3,ROW($A$3:$A$14312)),ROW(51:51)),2)),"",INDEX($A$3:$B$14312,SMALL(IF($A$3:$A$14312=CW$3,ROW($A$3:$A$14312)),ROW(51:51)),2))</f>
        <v/>
      </c>
      <c r="CX53" t="str">
        <f t="array" ref="CX53">IF(ISERROR(INDEX($A$3:$B$14312,SMALL(IF($A$3:$A$14312=CX$3,ROW($A$3:$A$14312)),ROW(51:51)),2)),"",INDEX($A$3:$B$14312,SMALL(IF($A$3:$A$14312=CX$3,ROW($A$3:$A$14312)),ROW(51:51)),2))</f>
        <v/>
      </c>
      <c r="CY53" t="str">
        <f t="array" ref="CY53">IF(ISERROR(INDEX($A$3:$B$14312,SMALL(IF($A$3:$A$14312=CY$3,ROW($A$3:$A$14312)),ROW(51:51)),2)),"",INDEX($A$3:$B$14312,SMALL(IF($A$3:$A$14312=CY$3,ROW($A$3:$A$14312)),ROW(51:51)),2))</f>
        <v/>
      </c>
      <c r="CZ53" t="str">
        <f t="array" ref="CZ53">IF(ISERROR(INDEX($A$3:$B$14312,SMALL(IF($A$3:$A$14312=CZ$3,ROW($A$3:$A$14312)),ROW(51:51)),2)),"",INDEX($A$3:$B$14312,SMALL(IF($A$3:$A$14312=CZ$3,ROW($A$3:$A$14312)),ROW(51:51)),2))</f>
        <v/>
      </c>
      <c r="DA53" t="str">
        <f t="array" ref="DA53">IF(ISERROR(INDEX($A$3:$B$14312,SMALL(IF($A$3:$A$14312=DA$3,ROW($A$3:$A$14312)),ROW(51:51)),2)),"",INDEX($A$3:$B$14312,SMALL(IF($A$3:$A$14312=DA$3,ROW($A$3:$A$14312)),ROW(51:51)),2))</f>
        <v/>
      </c>
      <c r="DB53" t="str">
        <f t="array" ref="DB53">IF(ISERROR(INDEX($A$3:$B$14312,SMALL(IF($A$3:$A$14312=DB$3,ROW($A$3:$A$14312)),ROW(51:51)),2)),"",INDEX($A$3:$B$14312,SMALL(IF($A$3:$A$14312=DB$3,ROW($A$3:$A$14312)),ROW(51:51)),2))</f>
        <v/>
      </c>
      <c r="DC53" t="str">
        <f t="array" ref="DC53">IF(ISERROR(INDEX($A$3:$B$14312,SMALL(IF($A$3:$A$14312=DC$3,ROW($A$3:$A$14312)),ROW(51:51)),2)),"",INDEX($A$3:$B$14312,SMALL(IF($A$3:$A$14312=DC$3,ROW($A$3:$A$14312)),ROW(51:51)),2))</f>
        <v/>
      </c>
      <c r="DD53" t="str">
        <f t="array" ref="DD53">IF(ISERROR(INDEX($A$3:$B$14312,SMALL(IF($A$3:$A$14312=DD$3,ROW($A$3:$A$14312)),ROW(51:51)),2)),"",INDEX($A$3:$B$14312,SMALL(IF($A$3:$A$14312=DD$3,ROW($A$3:$A$14312)),ROW(51:51)),2))</f>
        <v/>
      </c>
      <c r="DE53" t="str">
        <f t="array" ref="DE53">IF(ISERROR(INDEX($A$3:$B$14312,SMALL(IF($A$3:$A$14312=DE$3,ROW($A$3:$A$14312)),ROW(51:51)),2)),"",INDEX($A$3:$B$14312,SMALL(IF($A$3:$A$14312=DE$3,ROW($A$3:$A$14312)),ROW(51:51)),2))</f>
        <v/>
      </c>
      <c r="DF53" t="str">
        <f t="array" ref="DF53">IF(ISERROR(INDEX($A$3:$B$14312,SMALL(IF($A$3:$A$14312=DF$3,ROW($A$3:$A$14312)),ROW(51:51)),2)),"",INDEX($A$3:$B$14312,SMALL(IF($A$3:$A$14312=DF$3,ROW($A$3:$A$14312)),ROW(51:51)),2))</f>
        <v/>
      </c>
      <c r="DG53" t="str">
        <f t="array" ref="DG53">IF(ISERROR(INDEX($A$3:$B$14312,SMALL(IF($A$3:$A$14312=DG$3,ROW($A$3:$A$14312)),ROW(51:51)),2)),"",INDEX($A$3:$B$14312,SMALL(IF($A$3:$A$14312=DG$3,ROW($A$3:$A$14312)),ROW(51:51)),2))</f>
        <v/>
      </c>
      <c r="DH53" t="str">
        <f t="array" ref="DH53">IF(ISERROR(INDEX($A$3:$B$14312,SMALL(IF($A$3:$A$14312=DH$3,ROW($A$3:$A$14312)),ROW(51:51)),2)),"",INDEX($A$3:$B$14312,SMALL(IF($A$3:$A$14312=DH$3,ROW($A$3:$A$14312)),ROW(51:51)),2))</f>
        <v/>
      </c>
      <c r="DI53" t="str">
        <f t="array" ref="DI53">IF(ISERROR(INDEX($A$3:$B$14312,SMALL(IF($A$3:$A$14312=DI$3,ROW($A$3:$A$14312)),ROW(51:51)),2)),"",INDEX($A$3:$B$14312,SMALL(IF($A$3:$A$14312=DI$3,ROW($A$3:$A$14312)),ROW(51:51)),2))</f>
        <v>Router3_117</v>
      </c>
      <c r="DJ53" t="str">
        <f t="array" ref="DJ53">IF(ISERROR(INDEX($A$3:$B$14312,SMALL(IF($A$3:$A$14312=DJ$3,ROW($A$3:$A$14312)),ROW(51:51)),2)),"",INDEX($A$3:$B$14312,SMALL(IF($A$3:$A$14312=DJ$3,ROW($A$3:$A$14312)),ROW(51:51)),2))</f>
        <v/>
      </c>
      <c r="DK53" t="str">
        <f t="array" ref="DK53">IF(ISERROR(INDEX($A$3:$B$14312,SMALL(IF($A$3:$A$14312=DK$3,ROW($A$3:$A$14312)),ROW(51:51)),2)),"",INDEX($A$3:$B$14312,SMALL(IF($A$3:$A$14312=DK$3,ROW($A$3:$A$14312)),ROW(51:51)),2))</f>
        <v/>
      </c>
      <c r="DL53" t="str">
        <f t="array" ref="DL53">IF(ISERROR(INDEX($A$3:$B$14312,SMALL(IF($A$3:$A$14312=DL$3,ROW($A$3:$A$14312)),ROW(51:51)),2)),"",INDEX($A$3:$B$14312,SMALL(IF($A$3:$A$14312=DL$3,ROW($A$3:$A$14312)),ROW(51:51)),2))</f>
        <v/>
      </c>
      <c r="DM53" t="str">
        <f t="array" ref="DM53">IF(ISERROR(INDEX($A$3:$B$14312,SMALL(IF($A$3:$A$14312=DM$3,ROW($A$3:$A$14312)),ROW(51:51)),2)),"",INDEX($A$3:$B$14312,SMALL(IF($A$3:$A$14312=DM$3,ROW($A$3:$A$14312)),ROW(51:51)),2))</f>
        <v/>
      </c>
      <c r="DN53" t="str">
        <f t="array" ref="DN53">IF(ISERROR(INDEX($A$3:$B$14312,SMALL(IF($A$3:$A$14312=DN$3,ROW($A$3:$A$14312)),ROW(51:51)),2)),"",INDEX($A$3:$B$14312,SMALL(IF($A$3:$A$14312=DN$3,ROW($A$3:$A$14312)),ROW(51:51)),2))</f>
        <v/>
      </c>
      <c r="DO53" t="str">
        <f t="array" ref="DO53">IF(ISERROR(INDEX($A$3:$B$14312,SMALL(IF($A$3:$A$14312=DO$3,ROW($A$3:$A$14312)),ROW(51:51)),2)),"",INDEX($A$3:$B$14312,SMALL(IF($A$3:$A$14312=DO$3,ROW($A$3:$A$14312)),ROW(51:51)),2))</f>
        <v/>
      </c>
      <c r="DP53" t="str">
        <f t="array" ref="DP53">IF(ISERROR(INDEX($A$3:$B$14312,SMALL(IF($A$3:$A$14312=DP$3,ROW($A$3:$A$14312)),ROW(51:51)),2)),"",INDEX($A$3:$B$14312,SMALL(IF($A$3:$A$14312=DP$3,ROW($A$3:$A$14312)),ROW(51:51)),2))</f>
        <v/>
      </c>
      <c r="DQ53" t="str">
        <f t="array" ref="DQ53">IF(ISERROR(INDEX($A$3:$B$14312,SMALL(IF($A$3:$A$14312=DQ$3,ROW($A$3:$A$14312)),ROW(51:51)),2)),"",INDEX($A$3:$B$14312,SMALL(IF($A$3:$A$14312=DQ$3,ROW($A$3:$A$14312)),ROW(51:51)),2))</f>
        <v/>
      </c>
      <c r="DR53" t="str">
        <f t="array" ref="DR53">IF(ISERROR(INDEX($A$3:$B$14312,SMALL(IF($A$3:$A$14312=DR$3,ROW($A$3:$A$14312)),ROW(51:51)),2)),"",INDEX($A$3:$B$14312,SMALL(IF($A$3:$A$14312=DR$3,ROW($A$3:$A$14312)),ROW(51:51)),2))</f>
        <v/>
      </c>
      <c r="DS53" t="str">
        <f t="array" ref="DS53">IF(ISERROR(INDEX($A$3:$B$14312,SMALL(IF($A$3:$A$14312=DS$3,ROW($A$3:$A$14312)),ROW(51:51)),2)),"",INDEX($A$3:$B$14312,SMALL(IF($A$3:$A$14312=DS$3,ROW($A$3:$A$14312)),ROW(51:51)),2))</f>
        <v/>
      </c>
      <c r="DT53" t="str">
        <f t="array" ref="DT53">IF(ISERROR(INDEX($A$3:$B$14312,SMALL(IF($A$3:$A$14312=DT$3,ROW($A$3:$A$14312)),ROW(51:51)),2)),"",INDEX($A$3:$B$14312,SMALL(IF($A$3:$A$14312=DT$3,ROW($A$3:$A$14312)),ROW(51:51)),2))</f>
        <v>Router3_117</v>
      </c>
      <c r="DU53" t="str">
        <f t="array" ref="DU53">IF(ISERROR(INDEX($A$3:$B$14312,SMALL(IF($A$3:$A$14312=DU$3,ROW($A$3:$A$14312)),ROW(51:51)),2)),"",INDEX($A$3:$B$14312,SMALL(IF($A$3:$A$14312=DU$3,ROW($A$3:$A$14312)),ROW(51:51)),2))</f>
        <v/>
      </c>
      <c r="DV53" t="str">
        <f t="array" ref="DV53">IF(ISERROR(INDEX($A$3:$B$14312,SMALL(IF($A$3:$A$14312=DV$3,ROW($A$3:$A$14312)),ROW(51:51)),2)),"",INDEX($A$3:$B$14312,SMALL(IF($A$3:$A$14312=DV$3,ROW($A$3:$A$14312)),ROW(51:51)),2))</f>
        <v/>
      </c>
      <c r="DW53" t="str">
        <f t="array" ref="DW53">IF(ISERROR(INDEX($A$3:$B$14312,SMALL(IF($A$3:$A$14312=DW$3,ROW($A$3:$A$14312)),ROW(51:51)),2)),"",INDEX($A$3:$B$14312,SMALL(IF($A$3:$A$14312=DW$3,ROW($A$3:$A$14312)),ROW(51:51)),2))</f>
        <v/>
      </c>
      <c r="DX53" t="str">
        <f t="array" ref="DX53">IF(ISERROR(INDEX($A$3:$B$14312,SMALL(IF($A$3:$A$14312=DX$3,ROW($A$3:$A$14312)),ROW(51:51)),2)),"",INDEX($A$3:$B$14312,SMALL(IF($A$3:$A$14312=DX$3,ROW($A$3:$A$14312)),ROW(51:51)),2))</f>
        <v/>
      </c>
      <c r="DY53" t="str">
        <f t="array" ref="DY53">IF(ISERROR(INDEX($A$3:$B$14312,SMALL(IF($A$3:$A$14312=DY$3,ROW($A$3:$A$14312)),ROW(51:51)),2)),"",INDEX($A$3:$B$14312,SMALL(IF($A$3:$A$14312=DY$3,ROW($A$3:$A$14312)),ROW(51:51)),2))</f>
        <v/>
      </c>
      <c r="DZ53" t="str">
        <f t="array" ref="DZ53">IF(ISERROR(INDEX($A$3:$B$14312,SMALL(IF($A$3:$A$14312=DZ$3,ROW($A$3:$A$14312)),ROW(51:51)),2)),"",INDEX($A$3:$B$14312,SMALL(IF($A$3:$A$14312=DZ$3,ROW($A$3:$A$14312)),ROW(51:51)),2))</f>
        <v/>
      </c>
      <c r="EA53" t="str">
        <f t="array" ref="EA53">IF(ISERROR(INDEX($A$3:$B$14312,SMALL(IF($A$3:$A$14312=EA$3,ROW($A$3:$A$14312)),ROW(51:51)),2)),"",INDEX($A$3:$B$14312,SMALL(IF($A$3:$A$14312=EA$3,ROW($A$3:$A$14312)),ROW(51:51)),2))</f>
        <v/>
      </c>
      <c r="EB53" t="str">
        <f t="array" ref="EB53">IF(ISERROR(INDEX($A$3:$B$14312,SMALL(IF($A$3:$A$14312=EB$3,ROW($A$3:$A$14312)),ROW(51:51)),2)),"",INDEX($A$3:$B$14312,SMALL(IF($A$3:$A$14312=EB$3,ROW($A$3:$A$14312)),ROW(51:51)),2))</f>
        <v/>
      </c>
      <c r="EC53" t="str">
        <f t="array" ref="EC53">IF(ISERROR(INDEX($A$3:$B$14312,SMALL(IF($A$3:$A$14312=EC$3,ROW($A$3:$A$14312)),ROW(51:51)),2)),"",INDEX($A$3:$B$14312,SMALL(IF($A$3:$A$14312=EC$3,ROW($A$3:$A$14312)),ROW(51:51)),2))</f>
        <v>Router3_161</v>
      </c>
      <c r="ED53" t="str">
        <f t="array" ref="ED53">IF(ISERROR(INDEX($A$3:$B$14312,SMALL(IF($A$3:$A$14312=ED$3,ROW($A$3:$A$14312)),ROW(51:51)),2)),"",INDEX($A$3:$B$14312,SMALL(IF($A$3:$A$14312=ED$3,ROW($A$3:$A$14312)),ROW(51:51)),2))</f>
        <v/>
      </c>
      <c r="EE53" t="str">
        <f t="array" ref="EE53">IF(ISERROR(INDEX($A$3:$B$14312,SMALL(IF($A$3:$A$14312=EE$3,ROW($A$3:$A$14312)),ROW(51:51)),2)),"",INDEX($A$3:$B$14312,SMALL(IF($A$3:$A$14312=EE$3,ROW($A$3:$A$14312)),ROW(51:51)),2))</f>
        <v/>
      </c>
    </row>
    <row r="54" spans="1:135" x14ac:dyDescent="0.25">
      <c r="A54" s="10">
        <v>-424987520</v>
      </c>
      <c r="B54" t="s">
        <v>1112</v>
      </c>
      <c r="E54" t="str">
        <f t="array" ref="E54">IF(ISERROR(INDEX($A$3:$B$14312,SMALL(IF($A$3:$A$14312=E$3,ROW($A$3:$A$14312)),ROW(52:52)),2)),"",INDEX($A$3:$B$14312,SMALL(IF($A$3:$A$14312=E$3,ROW($A$3:$A$14312)),ROW(52:52)),2))</f>
        <v/>
      </c>
      <c r="F54" t="str">
        <f t="array" ref="F54">IF(ISERROR(INDEX($A$3:$B$14312,SMALL(IF($A$3:$A$14312=F$3,ROW($A$3:$A$14312)),ROW(52:52)),2)),"",INDEX($A$3:$B$14312,SMALL(IF($A$3:$A$14312=F$3,ROW($A$3:$A$14312)),ROW(52:52)),2))</f>
        <v/>
      </c>
      <c r="G54" t="str">
        <f t="array" ref="G54">IF(ISERROR(INDEX($A$3:$B$14312,SMALL(IF($A$3:$A$14312=G$3,ROW($A$3:$A$14312)),ROW(52:52)),2)),"",INDEX($A$3:$B$14312,SMALL(IF($A$3:$A$14312=G$3,ROW($A$3:$A$14312)),ROW(52:52)),2))</f>
        <v/>
      </c>
      <c r="H54" t="str">
        <f t="array" ref="H54">IF(ISERROR(INDEX($A$3:$B$14312,SMALL(IF($A$3:$A$14312=H$3,ROW($A$3:$A$14312)),ROW(52:52)),2)),"",INDEX($A$3:$B$14312,SMALL(IF($A$3:$A$14312=H$3,ROW($A$3:$A$14312)),ROW(52:52)),2))</f>
        <v/>
      </c>
      <c r="I54" t="str">
        <f t="array" ref="I54">IF(ISERROR(INDEX($A$3:$B$14312,SMALL(IF($A$3:$A$14312=I$3,ROW($A$3:$A$14312)),ROW(52:52)),2)),"",INDEX($A$3:$B$14312,SMALL(IF($A$3:$A$14312=I$3,ROW($A$3:$A$14312)),ROW(52:52)),2))</f>
        <v/>
      </c>
      <c r="J54" t="str">
        <f t="array" ref="J54">IF(ISERROR(INDEX($A$3:$B$14312,SMALL(IF($A$3:$A$14312=J$3,ROW($A$3:$A$14312)),ROW(52:52)),2)),"",INDEX($A$3:$B$14312,SMALL(IF($A$3:$A$14312=J$3,ROW($A$3:$A$14312)),ROW(52:52)),2))</f>
        <v/>
      </c>
      <c r="K54" t="str">
        <f t="array" ref="K54">IF(ISERROR(INDEX($A$3:$B$14312,SMALL(IF($A$3:$A$14312=K$3,ROW($A$3:$A$14312)),ROW(52:52)),2)),"",INDEX($A$3:$B$14312,SMALL(IF($A$3:$A$14312=K$3,ROW($A$3:$A$14312)),ROW(52:52)),2))</f>
        <v/>
      </c>
      <c r="L54" t="str">
        <f t="array" ref="L54">IF(ISERROR(INDEX($A$3:$B$14312,SMALL(IF($A$3:$A$14312=L$3,ROW($A$3:$A$14312)),ROW(52:52)),2)),"",INDEX($A$3:$B$14312,SMALL(IF($A$3:$A$14312=L$3,ROW($A$3:$A$14312)),ROW(52:52)),2))</f>
        <v/>
      </c>
      <c r="M54" t="str">
        <f t="array" ref="M54">IF(ISERROR(INDEX($A$3:$B$14312,SMALL(IF($A$3:$A$14312=M$3,ROW($A$3:$A$14312)),ROW(52:52)),2)),"",INDEX($A$3:$B$14312,SMALL(IF($A$3:$A$14312=M$3,ROW($A$3:$A$14312)),ROW(52:52)),2))</f>
        <v/>
      </c>
      <c r="N54" t="str">
        <f t="array" ref="N54">IF(ISERROR(INDEX($A$3:$B$14312,SMALL(IF($A$3:$A$14312=N$3,ROW($A$3:$A$14312)),ROW(52:52)),2)),"",INDEX($A$3:$B$14312,SMALL(IF($A$3:$A$14312=N$3,ROW($A$3:$A$14312)),ROW(52:52)),2))</f>
        <v/>
      </c>
      <c r="O54" t="str">
        <f t="array" ref="O54">IF(ISERROR(INDEX($A$3:$B$14312,SMALL(IF($A$3:$A$14312=O$3,ROW($A$3:$A$14312)),ROW(52:52)),2)),"",INDEX($A$3:$B$14312,SMALL(IF($A$3:$A$14312=O$3,ROW($A$3:$A$14312)),ROW(52:52)),2))</f>
        <v/>
      </c>
      <c r="P54" t="str">
        <f t="array" ref="P54">IF(ISERROR(INDEX($A$3:$B$14312,SMALL(IF($A$3:$A$14312=P$3,ROW($A$3:$A$14312)),ROW(52:52)),2)),"",INDEX($A$3:$B$14312,SMALL(IF($A$3:$A$14312=P$3,ROW($A$3:$A$14312)),ROW(52:52)),2))</f>
        <v/>
      </c>
      <c r="Q54" t="str">
        <f t="array" ref="Q54">IF(ISERROR(INDEX($A$3:$B$14312,SMALL(IF($A$3:$A$14312=Q$3,ROW($A$3:$A$14312)),ROW(52:52)),2)),"",INDEX($A$3:$B$14312,SMALL(IF($A$3:$A$14312=Q$3,ROW($A$3:$A$14312)),ROW(52:52)),2))</f>
        <v/>
      </c>
      <c r="R54" t="str">
        <f t="array" ref="R54">IF(ISERROR(INDEX($A$3:$B$14312,SMALL(IF($A$3:$A$14312=R$3,ROW($A$3:$A$14312)),ROW(52:52)),2)),"",INDEX($A$3:$B$14312,SMALL(IF($A$3:$A$14312=R$3,ROW($A$3:$A$14312)),ROW(52:52)),2))</f>
        <v/>
      </c>
      <c r="S54" t="str">
        <f t="array" ref="S54">IF(ISERROR(INDEX($A$3:$B$14312,SMALL(IF($A$3:$A$14312=S$3,ROW($A$3:$A$14312)),ROW(52:52)),2)),"",INDEX($A$3:$B$14312,SMALL(IF($A$3:$A$14312=S$3,ROW($A$3:$A$14312)),ROW(52:52)),2))</f>
        <v/>
      </c>
      <c r="T54" t="str">
        <f t="array" ref="T54">IF(ISERROR(INDEX($A$3:$B$14312,SMALL(IF($A$3:$A$14312=T$3,ROW($A$3:$A$14312)),ROW(52:52)),2)),"",INDEX($A$3:$B$14312,SMALL(IF($A$3:$A$14312=T$3,ROW($A$3:$A$14312)),ROW(52:52)),2))</f>
        <v/>
      </c>
      <c r="U54" t="str">
        <f t="array" ref="U54">IF(ISERROR(INDEX($A$3:$B$14312,SMALL(IF($A$3:$A$14312=U$3,ROW($A$3:$A$14312)),ROW(52:52)),2)),"",INDEX($A$3:$B$14312,SMALL(IF($A$3:$A$14312=U$3,ROW($A$3:$A$14312)),ROW(52:52)),2))</f>
        <v/>
      </c>
      <c r="V54" t="str">
        <f t="array" ref="V54">IF(ISERROR(INDEX($A$3:$B$14312,SMALL(IF($A$3:$A$14312=V$3,ROW($A$3:$A$14312)),ROW(52:52)),2)),"",INDEX($A$3:$B$14312,SMALL(IF($A$3:$A$14312=V$3,ROW($A$3:$A$14312)),ROW(52:52)),2))</f>
        <v/>
      </c>
      <c r="W54" t="str">
        <f t="array" ref="W54">IF(ISERROR(INDEX($A$3:$B$14312,SMALL(IF($A$3:$A$14312=W$3,ROW($A$3:$A$14312)),ROW(52:52)),2)),"",INDEX($A$3:$B$14312,SMALL(IF($A$3:$A$14312=W$3,ROW($A$3:$A$14312)),ROW(52:52)),2))</f>
        <v>Router3_165</v>
      </c>
      <c r="X54" t="str">
        <f t="array" ref="X54">IF(ISERROR(INDEX($A$3:$B$14312,SMALL(IF($A$3:$A$14312=X$3,ROW($A$3:$A$14312)),ROW(52:52)),2)),"",INDEX($A$3:$B$14312,SMALL(IF($A$3:$A$14312=X$3,ROW($A$3:$A$14312)),ROW(52:52)),2))</f>
        <v/>
      </c>
      <c r="Y54" t="str">
        <f t="array" ref="Y54">IF(ISERROR(INDEX($A$3:$B$14312,SMALL(IF($A$3:$A$14312=Y$3,ROW($A$3:$A$14312)),ROW(52:52)),2)),"",INDEX($A$3:$B$14312,SMALL(IF($A$3:$A$14312=Y$3,ROW($A$3:$A$14312)),ROW(52:52)),2))</f>
        <v/>
      </c>
      <c r="Z54" t="str">
        <f t="array" ref="Z54">IF(ISERROR(INDEX($A$3:$B$14312,SMALL(IF($A$3:$A$14312=Z$3,ROW($A$3:$A$14312)),ROW(52:52)),2)),"",INDEX($A$3:$B$14312,SMALL(IF($A$3:$A$14312=Z$3,ROW($A$3:$A$14312)),ROW(52:52)),2))</f>
        <v/>
      </c>
      <c r="AA54" t="str">
        <f t="array" ref="AA54">IF(ISERROR(INDEX($A$3:$B$14312,SMALL(IF($A$3:$A$14312=AA$3,ROW($A$3:$A$14312)),ROW(52:52)),2)),"",INDEX($A$3:$B$14312,SMALL(IF($A$3:$A$14312=AA$3,ROW($A$3:$A$14312)),ROW(52:52)),2))</f>
        <v/>
      </c>
      <c r="AB54" t="str">
        <f t="array" ref="AB54">IF(ISERROR(INDEX($A$3:$B$14312,SMALL(IF($A$3:$A$14312=AB$3,ROW($A$3:$A$14312)),ROW(52:52)),2)),"",INDEX($A$3:$B$14312,SMALL(IF($A$3:$A$14312=AB$3,ROW($A$3:$A$14312)),ROW(52:52)),2))</f>
        <v/>
      </c>
      <c r="AC54" t="str">
        <f t="array" ref="AC54">IF(ISERROR(INDEX($A$3:$B$14312,SMALL(IF($A$3:$A$14312=AC$3,ROW($A$3:$A$14312)),ROW(52:52)),2)),"",INDEX($A$3:$B$14312,SMALL(IF($A$3:$A$14312=AC$3,ROW($A$3:$A$14312)),ROW(52:52)),2))</f>
        <v/>
      </c>
      <c r="AD54" t="str">
        <f t="array" ref="AD54">IF(ISERROR(INDEX($A$3:$B$14312,SMALL(IF($A$3:$A$14312=AD$3,ROW($A$3:$A$14312)),ROW(52:52)),2)),"",INDEX($A$3:$B$14312,SMALL(IF($A$3:$A$14312=AD$3,ROW($A$3:$A$14312)),ROW(52:52)),2))</f>
        <v/>
      </c>
      <c r="AE54" t="str">
        <f t="array" ref="AE54">IF(ISERROR(INDEX($A$3:$B$14312,SMALL(IF($A$3:$A$14312=AE$3,ROW($A$3:$A$14312)),ROW(52:52)),2)),"",INDEX($A$3:$B$14312,SMALL(IF($A$3:$A$14312=AE$3,ROW($A$3:$A$14312)),ROW(52:52)),2))</f>
        <v/>
      </c>
      <c r="AF54" t="str">
        <f t="array" ref="AF54">IF(ISERROR(INDEX($A$3:$B$14312,SMALL(IF($A$3:$A$14312=AF$3,ROW($A$3:$A$14312)),ROW(52:52)),2)),"",INDEX($A$3:$B$14312,SMALL(IF($A$3:$A$14312=AF$3,ROW($A$3:$A$14312)),ROW(52:52)),2))</f>
        <v/>
      </c>
      <c r="AG54" t="str">
        <f t="array" ref="AG54">IF(ISERROR(INDEX($A$3:$B$14312,SMALL(IF($A$3:$A$14312=AG$3,ROW($A$3:$A$14312)),ROW(52:52)),2)),"",INDEX($A$3:$B$14312,SMALL(IF($A$3:$A$14312=AG$3,ROW($A$3:$A$14312)),ROW(52:52)),2))</f>
        <v/>
      </c>
      <c r="AH54" t="str">
        <f t="array" ref="AH54">IF(ISERROR(INDEX($A$3:$B$14312,SMALL(IF($A$3:$A$14312=AH$3,ROW($A$3:$A$14312)),ROW(52:52)),2)),"",INDEX($A$3:$B$14312,SMALL(IF($A$3:$A$14312=AH$3,ROW($A$3:$A$14312)),ROW(52:52)),2))</f>
        <v/>
      </c>
      <c r="AI54" t="str">
        <f t="array" ref="AI54">IF(ISERROR(INDEX($A$3:$B$14312,SMALL(IF($A$3:$A$14312=AI$3,ROW($A$3:$A$14312)),ROW(52:52)),2)),"",INDEX($A$3:$B$14312,SMALL(IF($A$3:$A$14312=AI$3,ROW($A$3:$A$14312)),ROW(52:52)),2))</f>
        <v/>
      </c>
      <c r="AJ54" t="str">
        <f t="array" ref="AJ54">IF(ISERROR(INDEX($A$3:$B$14312,SMALL(IF($A$3:$A$14312=AJ$3,ROW($A$3:$A$14312)),ROW(52:52)),2)),"",INDEX($A$3:$B$14312,SMALL(IF($A$3:$A$14312=AJ$3,ROW($A$3:$A$14312)),ROW(52:52)),2))</f>
        <v/>
      </c>
      <c r="AK54" t="str">
        <f t="array" ref="AK54">IF(ISERROR(INDEX($A$3:$B$14312,SMALL(IF($A$3:$A$14312=AK$3,ROW($A$3:$A$14312)),ROW(52:52)),2)),"",INDEX($A$3:$B$14312,SMALL(IF($A$3:$A$14312=AK$3,ROW($A$3:$A$14312)),ROW(52:52)),2))</f>
        <v/>
      </c>
      <c r="AL54" t="str">
        <f t="array" ref="AL54">IF(ISERROR(INDEX($A$3:$B$14312,SMALL(IF($A$3:$A$14312=AL$3,ROW($A$3:$A$14312)),ROW(52:52)),2)),"",INDEX($A$3:$B$14312,SMALL(IF($A$3:$A$14312=AL$3,ROW($A$3:$A$14312)),ROW(52:52)),2))</f>
        <v/>
      </c>
      <c r="AM54" t="str">
        <f t="array" ref="AM54">IF(ISERROR(INDEX($A$3:$B$14312,SMALL(IF($A$3:$A$14312=AM$3,ROW($A$3:$A$14312)),ROW(52:52)),2)),"",INDEX($A$3:$B$14312,SMALL(IF($A$3:$A$14312=AM$3,ROW($A$3:$A$14312)),ROW(52:52)),2))</f>
        <v/>
      </c>
      <c r="AN54" t="str">
        <f t="array" ref="AN54">IF(ISERROR(INDEX($A$3:$B$14312,SMALL(IF($A$3:$A$14312=AN$3,ROW($A$3:$A$14312)),ROW(52:52)),2)),"",INDEX($A$3:$B$14312,SMALL(IF($A$3:$A$14312=AN$3,ROW($A$3:$A$14312)),ROW(52:52)),2))</f>
        <v/>
      </c>
      <c r="AO54" t="str">
        <f t="array" ref="AO54">IF(ISERROR(INDEX($A$3:$B$14312,SMALL(IF($A$3:$A$14312=AO$3,ROW($A$3:$A$14312)),ROW(52:52)),2)),"",INDEX($A$3:$B$14312,SMALL(IF($A$3:$A$14312=AO$3,ROW($A$3:$A$14312)),ROW(52:52)),2))</f>
        <v/>
      </c>
      <c r="AP54" t="str">
        <f t="array" ref="AP54">IF(ISERROR(INDEX($A$3:$B$14312,SMALL(IF($A$3:$A$14312=AP$3,ROW($A$3:$A$14312)),ROW(52:52)),2)),"",INDEX($A$3:$B$14312,SMALL(IF($A$3:$A$14312=AP$3,ROW($A$3:$A$14312)),ROW(52:52)),2))</f>
        <v/>
      </c>
      <c r="AQ54" t="str">
        <f t="array" ref="AQ54">IF(ISERROR(INDEX($A$3:$B$14312,SMALL(IF($A$3:$A$14312=AQ$3,ROW($A$3:$A$14312)),ROW(52:52)),2)),"",INDEX($A$3:$B$14312,SMALL(IF($A$3:$A$14312=AQ$3,ROW($A$3:$A$14312)),ROW(52:52)),2))</f>
        <v/>
      </c>
      <c r="AR54" t="str">
        <f t="array" ref="AR54">IF(ISERROR(INDEX($A$3:$B$14312,SMALL(IF($A$3:$A$14312=AR$3,ROW($A$3:$A$14312)),ROW(52:52)),2)),"",INDEX($A$3:$B$14312,SMALL(IF($A$3:$A$14312=AR$3,ROW($A$3:$A$14312)),ROW(52:52)),2))</f>
        <v/>
      </c>
      <c r="AS54" t="str">
        <f t="array" ref="AS54">IF(ISERROR(INDEX($A$3:$B$14312,SMALL(IF($A$3:$A$14312=AS$3,ROW($A$3:$A$14312)),ROW(52:52)),2)),"",INDEX($A$3:$B$14312,SMALL(IF($A$3:$A$14312=AS$3,ROW($A$3:$A$14312)),ROW(52:52)),2))</f>
        <v/>
      </c>
      <c r="AT54" t="str">
        <f t="array" ref="AT54">IF(ISERROR(INDEX($A$3:$B$14312,SMALL(IF($A$3:$A$14312=AT$3,ROW($A$3:$A$14312)),ROW(52:52)),2)),"",INDEX($A$3:$B$14312,SMALL(IF($A$3:$A$14312=AT$3,ROW($A$3:$A$14312)),ROW(52:52)),2))</f>
        <v/>
      </c>
      <c r="AU54" t="str">
        <f t="array" ref="AU54">IF(ISERROR(INDEX($A$3:$B$14312,SMALL(IF($A$3:$A$14312=AU$3,ROW($A$3:$A$14312)),ROW(52:52)),2)),"",INDEX($A$3:$B$14312,SMALL(IF($A$3:$A$14312=AU$3,ROW($A$3:$A$14312)),ROW(52:52)),2))</f>
        <v/>
      </c>
      <c r="AV54" t="str">
        <f t="array" ref="AV54">IF(ISERROR(INDEX($A$3:$B$14312,SMALL(IF($A$3:$A$14312=AV$3,ROW($A$3:$A$14312)),ROW(52:52)),2)),"",INDEX($A$3:$B$14312,SMALL(IF($A$3:$A$14312=AV$3,ROW($A$3:$A$14312)),ROW(52:52)),2))</f>
        <v/>
      </c>
      <c r="AW54" t="str">
        <f t="array" ref="AW54">IF(ISERROR(INDEX($A$3:$B$14312,SMALL(IF($A$3:$A$14312=AW$3,ROW($A$3:$A$14312)),ROW(52:52)),2)),"",INDEX($A$3:$B$14312,SMALL(IF($A$3:$A$14312=AW$3,ROW($A$3:$A$14312)),ROW(52:52)),2))</f>
        <v/>
      </c>
      <c r="AX54" t="str">
        <f t="array" ref="AX54">IF(ISERROR(INDEX($A$3:$B$14312,SMALL(IF($A$3:$A$14312=AX$3,ROW($A$3:$A$14312)),ROW(52:52)),2)),"",INDEX($A$3:$B$14312,SMALL(IF($A$3:$A$14312=AX$3,ROW($A$3:$A$14312)),ROW(52:52)),2))</f>
        <v/>
      </c>
      <c r="AY54" t="str">
        <f t="array" ref="AY54">IF(ISERROR(INDEX($A$3:$B$14312,SMALL(IF($A$3:$A$14312=AY$3,ROW($A$3:$A$14312)),ROW(52:52)),2)),"",INDEX($A$3:$B$14312,SMALL(IF($A$3:$A$14312=AY$3,ROW($A$3:$A$14312)),ROW(52:52)),2))</f>
        <v/>
      </c>
      <c r="AZ54" t="str">
        <f t="array" ref="AZ54">IF(ISERROR(INDEX($A$3:$B$14312,SMALL(IF($A$3:$A$14312=AZ$3,ROW($A$3:$A$14312)),ROW(52:52)),2)),"",INDEX($A$3:$B$14312,SMALL(IF($A$3:$A$14312=AZ$3,ROW($A$3:$A$14312)),ROW(52:52)),2))</f>
        <v/>
      </c>
      <c r="BA54" t="str">
        <f t="array" ref="BA54">IF(ISERROR(INDEX($A$3:$B$14312,SMALL(IF($A$3:$A$14312=BA$3,ROW($A$3:$A$14312)),ROW(52:52)),2)),"",INDEX($A$3:$B$14312,SMALL(IF($A$3:$A$14312=BA$3,ROW($A$3:$A$14312)),ROW(52:52)),2))</f>
        <v/>
      </c>
      <c r="BB54" t="str">
        <f t="array" ref="BB54">IF(ISERROR(INDEX($A$3:$B$14312,SMALL(IF($A$3:$A$14312=BB$3,ROW($A$3:$A$14312)),ROW(52:52)),2)),"",INDEX($A$3:$B$14312,SMALL(IF($A$3:$A$14312=BB$3,ROW($A$3:$A$14312)),ROW(52:52)),2))</f>
        <v/>
      </c>
      <c r="BC54" t="str">
        <f t="array" ref="BC54">IF(ISERROR(INDEX($A$3:$B$14312,SMALL(IF($A$3:$A$14312=BC$3,ROW($A$3:$A$14312)),ROW(52:52)),2)),"",INDEX($A$3:$B$14312,SMALL(IF($A$3:$A$14312=BC$3,ROW($A$3:$A$14312)),ROW(52:52)),2))</f>
        <v/>
      </c>
      <c r="BD54" t="str">
        <f t="array" ref="BD54">IF(ISERROR(INDEX($A$3:$B$14312,SMALL(IF($A$3:$A$14312=BD$3,ROW($A$3:$A$14312)),ROW(52:52)),2)),"",INDEX($A$3:$B$14312,SMALL(IF($A$3:$A$14312=BD$3,ROW($A$3:$A$14312)),ROW(52:52)),2))</f>
        <v/>
      </c>
      <c r="BE54" t="str">
        <f t="array" ref="BE54">IF(ISERROR(INDEX($A$3:$B$14312,SMALL(IF($A$3:$A$14312=BE$3,ROW($A$3:$A$14312)),ROW(52:52)),2)),"",INDEX($A$3:$B$14312,SMALL(IF($A$3:$A$14312=BE$3,ROW($A$3:$A$14312)),ROW(52:52)),2))</f>
        <v/>
      </c>
      <c r="BF54" t="str">
        <f t="array" ref="BF54">IF(ISERROR(INDEX($A$3:$B$14312,SMALL(IF($A$3:$A$14312=BF$3,ROW($A$3:$A$14312)),ROW(52:52)),2)),"",INDEX($A$3:$B$14312,SMALL(IF($A$3:$A$14312=BF$3,ROW($A$3:$A$14312)),ROW(52:52)),2))</f>
        <v/>
      </c>
      <c r="BG54" t="str">
        <f t="array" ref="BG54">IF(ISERROR(INDEX($A$3:$B$14312,SMALL(IF($A$3:$A$14312=BG$3,ROW($A$3:$A$14312)),ROW(52:52)),2)),"",INDEX($A$3:$B$14312,SMALL(IF($A$3:$A$14312=BG$3,ROW($A$3:$A$14312)),ROW(52:52)),2))</f>
        <v/>
      </c>
      <c r="BH54" t="str">
        <f t="array" ref="BH54">IF(ISERROR(INDEX($A$3:$B$14312,SMALL(IF($A$3:$A$14312=BH$3,ROW($A$3:$A$14312)),ROW(52:52)),2)),"",INDEX($A$3:$B$14312,SMALL(IF($A$3:$A$14312=BH$3,ROW($A$3:$A$14312)),ROW(52:52)),2))</f>
        <v/>
      </c>
      <c r="BI54" t="str">
        <f t="array" ref="BI54">IF(ISERROR(INDEX($A$3:$B$14312,SMALL(IF($A$3:$A$14312=BI$3,ROW($A$3:$A$14312)),ROW(52:52)),2)),"",INDEX($A$3:$B$14312,SMALL(IF($A$3:$A$14312=BI$3,ROW($A$3:$A$14312)),ROW(52:52)),2))</f>
        <v/>
      </c>
      <c r="BJ54" t="str">
        <f t="array" ref="BJ54">IF(ISERROR(INDEX($A$3:$B$14312,SMALL(IF($A$3:$A$14312=BJ$3,ROW($A$3:$A$14312)),ROW(52:52)),2)),"",INDEX($A$3:$B$14312,SMALL(IF($A$3:$A$14312=BJ$3,ROW($A$3:$A$14312)),ROW(52:52)),2))</f>
        <v/>
      </c>
      <c r="BK54" t="str">
        <f t="array" ref="BK54">IF(ISERROR(INDEX($A$3:$B$14312,SMALL(IF($A$3:$A$14312=BK$3,ROW($A$3:$A$14312)),ROW(52:52)),2)),"",INDEX($A$3:$B$14312,SMALL(IF($A$3:$A$14312=BK$3,ROW($A$3:$A$14312)),ROW(52:52)),2))</f>
        <v/>
      </c>
      <c r="BL54" t="str">
        <f t="array" ref="BL54">IF(ISERROR(INDEX($A$3:$B$14312,SMALL(IF($A$3:$A$14312=BL$3,ROW($A$3:$A$14312)),ROW(52:52)),2)),"",INDEX($A$3:$B$14312,SMALL(IF($A$3:$A$14312=BL$3,ROW($A$3:$A$14312)),ROW(52:52)),2))</f>
        <v/>
      </c>
      <c r="BM54" t="str">
        <f t="array" ref="BM54">IF(ISERROR(INDEX($A$3:$B$14312,SMALL(IF($A$3:$A$14312=BM$3,ROW($A$3:$A$14312)),ROW(52:52)),2)),"",INDEX($A$3:$B$14312,SMALL(IF($A$3:$A$14312=BM$3,ROW($A$3:$A$14312)),ROW(52:52)),2))</f>
        <v/>
      </c>
      <c r="BN54" t="str">
        <f t="array" ref="BN54">IF(ISERROR(INDEX($A$3:$B$14312,SMALL(IF($A$3:$A$14312=BN$3,ROW($A$3:$A$14312)),ROW(52:52)),2)),"",INDEX($A$3:$B$14312,SMALL(IF($A$3:$A$14312=BN$3,ROW($A$3:$A$14312)),ROW(52:52)),2))</f>
        <v/>
      </c>
      <c r="BO54" t="str">
        <f t="array" ref="BO54">IF(ISERROR(INDEX($A$3:$B$14312,SMALL(IF($A$3:$A$14312=BO$3,ROW($A$3:$A$14312)),ROW(52:52)),2)),"",INDEX($A$3:$B$14312,SMALL(IF($A$3:$A$14312=BO$3,ROW($A$3:$A$14312)),ROW(52:52)),2))</f>
        <v/>
      </c>
      <c r="BP54" t="str">
        <f t="array" ref="BP54">IF(ISERROR(INDEX($A$3:$B$14312,SMALL(IF($A$3:$A$14312=BP$3,ROW($A$3:$A$14312)),ROW(52:52)),2)),"",INDEX($A$3:$B$14312,SMALL(IF($A$3:$A$14312=BP$3,ROW($A$3:$A$14312)),ROW(52:52)),2))</f>
        <v/>
      </c>
      <c r="BQ54" t="str">
        <f t="array" ref="BQ54">IF(ISERROR(INDEX($A$3:$B$14312,SMALL(IF($A$3:$A$14312=BQ$3,ROW($A$3:$A$14312)),ROW(52:52)),2)),"",INDEX($A$3:$B$14312,SMALL(IF($A$3:$A$14312=BQ$3,ROW($A$3:$A$14312)),ROW(52:52)),2))</f>
        <v/>
      </c>
      <c r="BR54" t="str">
        <f t="array" ref="BR54">IF(ISERROR(INDEX($A$3:$B$14312,SMALL(IF($A$3:$A$14312=BR$3,ROW($A$3:$A$14312)),ROW(52:52)),2)),"",INDEX($A$3:$B$14312,SMALL(IF($A$3:$A$14312=BR$3,ROW($A$3:$A$14312)),ROW(52:52)),2))</f>
        <v/>
      </c>
      <c r="BS54" t="str">
        <f t="array" ref="BS54">IF(ISERROR(INDEX($A$3:$B$14312,SMALL(IF($A$3:$A$14312=BS$3,ROW($A$3:$A$14312)),ROW(52:52)),2)),"",INDEX($A$3:$B$14312,SMALL(IF($A$3:$A$14312=BS$3,ROW($A$3:$A$14312)),ROW(52:52)),2))</f>
        <v/>
      </c>
      <c r="BT54" t="str">
        <f t="array" ref="BT54">IF(ISERROR(INDEX($A$3:$B$14312,SMALL(IF($A$3:$A$14312=BT$3,ROW($A$3:$A$14312)),ROW(52:52)),2)),"",INDEX($A$3:$B$14312,SMALL(IF($A$3:$A$14312=BT$3,ROW($A$3:$A$14312)),ROW(52:52)),2))</f>
        <v>Router3_153</v>
      </c>
      <c r="BU54" t="str">
        <f t="array" ref="BU54">IF(ISERROR(INDEX($A$3:$B$14312,SMALL(IF($A$3:$A$14312=BU$3,ROW($A$3:$A$14312)),ROW(52:52)),2)),"",INDEX($A$3:$B$14312,SMALL(IF($A$3:$A$14312=BU$3,ROW($A$3:$A$14312)),ROW(52:52)),2))</f>
        <v/>
      </c>
      <c r="BV54" t="str">
        <f t="array" ref="BV54">IF(ISERROR(INDEX($A$3:$B$14312,SMALL(IF($A$3:$A$14312=BV$3,ROW($A$3:$A$14312)),ROW(52:52)),2)),"",INDEX($A$3:$B$14312,SMALL(IF($A$3:$A$14312=BV$3,ROW($A$3:$A$14312)),ROW(52:52)),2))</f>
        <v/>
      </c>
      <c r="BW54" t="str">
        <f t="array" ref="BW54">IF(ISERROR(INDEX($A$3:$B$14312,SMALL(IF($A$3:$A$14312=BW$3,ROW($A$3:$A$14312)),ROW(52:52)),2)),"",INDEX($A$3:$B$14312,SMALL(IF($A$3:$A$14312=BW$3,ROW($A$3:$A$14312)),ROW(52:52)),2))</f>
        <v/>
      </c>
      <c r="BX54" t="str">
        <f t="array" ref="BX54">IF(ISERROR(INDEX($A$3:$B$14312,SMALL(IF($A$3:$A$14312=BX$3,ROW($A$3:$A$14312)),ROW(52:52)),2)),"",INDEX($A$3:$B$14312,SMALL(IF($A$3:$A$14312=BX$3,ROW($A$3:$A$14312)),ROW(52:52)),2))</f>
        <v/>
      </c>
      <c r="BY54" t="str">
        <f t="array" ref="BY54">IF(ISERROR(INDEX($A$3:$B$14312,SMALL(IF($A$3:$A$14312=BY$3,ROW($A$3:$A$14312)),ROW(52:52)),2)),"",INDEX($A$3:$B$14312,SMALL(IF($A$3:$A$14312=BY$3,ROW($A$3:$A$14312)),ROW(52:52)),2))</f>
        <v/>
      </c>
      <c r="BZ54" t="str">
        <f t="array" ref="BZ54">IF(ISERROR(INDEX($A$3:$B$14312,SMALL(IF($A$3:$A$14312=BZ$3,ROW($A$3:$A$14312)),ROW(52:52)),2)),"",INDEX($A$3:$B$14312,SMALL(IF($A$3:$A$14312=BZ$3,ROW($A$3:$A$14312)),ROW(52:52)),2))</f>
        <v/>
      </c>
      <c r="CA54" t="str">
        <f t="array" ref="CA54">IF(ISERROR(INDEX($A$3:$B$14312,SMALL(IF($A$3:$A$14312=CA$3,ROW($A$3:$A$14312)),ROW(52:52)),2)),"",INDEX($A$3:$B$14312,SMALL(IF($A$3:$A$14312=CA$3,ROW($A$3:$A$14312)),ROW(52:52)),2))</f>
        <v/>
      </c>
      <c r="CB54" t="str">
        <f t="array" ref="CB54">IF(ISERROR(INDEX($A$3:$B$14312,SMALL(IF($A$3:$A$14312=CB$3,ROW($A$3:$A$14312)),ROW(52:52)),2)),"",INDEX($A$3:$B$14312,SMALL(IF($A$3:$A$14312=CB$3,ROW($A$3:$A$14312)),ROW(52:52)),2))</f>
        <v/>
      </c>
      <c r="CC54" t="str">
        <f t="array" ref="CC54">IF(ISERROR(INDEX($A$3:$B$14312,SMALL(IF($A$3:$A$14312=CC$3,ROW($A$3:$A$14312)),ROW(52:52)),2)),"",INDEX($A$3:$B$14312,SMALL(IF($A$3:$A$14312=CC$3,ROW($A$3:$A$14312)),ROW(52:52)),2))</f>
        <v/>
      </c>
      <c r="CD54" t="str">
        <f t="array" ref="CD54">IF(ISERROR(INDEX($A$3:$B$14312,SMALL(IF($A$3:$A$14312=CD$3,ROW($A$3:$A$14312)),ROW(52:52)),2)),"",INDEX($A$3:$B$14312,SMALL(IF($A$3:$A$14312=CD$3,ROW($A$3:$A$14312)),ROW(52:52)),2))</f>
        <v/>
      </c>
      <c r="CE54" t="str">
        <f t="array" ref="CE54">IF(ISERROR(INDEX($A$3:$B$14312,SMALL(IF($A$3:$A$14312=CE$3,ROW($A$3:$A$14312)),ROW(52:52)),2)),"",INDEX($A$3:$B$14312,SMALL(IF($A$3:$A$14312=CE$3,ROW($A$3:$A$14312)),ROW(52:52)),2))</f>
        <v/>
      </c>
      <c r="CF54" t="str">
        <f t="array" ref="CF54">IF(ISERROR(INDEX($A$3:$B$14312,SMALL(IF($A$3:$A$14312=CF$3,ROW($A$3:$A$14312)),ROW(52:52)),2)),"",INDEX($A$3:$B$14312,SMALL(IF($A$3:$A$14312=CF$3,ROW($A$3:$A$14312)),ROW(52:52)),2))</f>
        <v/>
      </c>
      <c r="CG54" t="str">
        <f t="array" ref="CG54">IF(ISERROR(INDEX($A$3:$B$14312,SMALL(IF($A$3:$A$14312=CG$3,ROW($A$3:$A$14312)),ROW(52:52)),2)),"",INDEX($A$3:$B$14312,SMALL(IF($A$3:$A$14312=CG$3,ROW($A$3:$A$14312)),ROW(52:52)),2))</f>
        <v/>
      </c>
      <c r="CH54" t="str">
        <f t="array" ref="CH54">IF(ISERROR(INDEX($A$3:$B$14312,SMALL(IF($A$3:$A$14312=CH$3,ROW($A$3:$A$14312)),ROW(52:52)),2)),"",INDEX($A$3:$B$14312,SMALL(IF($A$3:$A$14312=CH$3,ROW($A$3:$A$14312)),ROW(52:52)),2))</f>
        <v/>
      </c>
      <c r="CI54" t="str">
        <f t="array" ref="CI54">IF(ISERROR(INDEX($A$3:$B$14312,SMALL(IF($A$3:$A$14312=CI$3,ROW($A$3:$A$14312)),ROW(52:52)),2)),"",INDEX($A$3:$B$14312,SMALL(IF($A$3:$A$14312=CI$3,ROW($A$3:$A$14312)),ROW(52:52)),2))</f>
        <v/>
      </c>
      <c r="CJ54" t="str">
        <f t="array" ref="CJ54">IF(ISERROR(INDEX($A$3:$B$14312,SMALL(IF($A$3:$A$14312=CJ$3,ROW($A$3:$A$14312)),ROW(52:52)),2)),"",INDEX($A$3:$B$14312,SMALL(IF($A$3:$A$14312=CJ$3,ROW($A$3:$A$14312)),ROW(52:52)),2))</f>
        <v/>
      </c>
      <c r="CK54" t="str">
        <f t="array" ref="CK54">IF(ISERROR(INDEX($A$3:$B$14312,SMALL(IF($A$3:$A$14312=CK$3,ROW($A$3:$A$14312)),ROW(52:52)),2)),"",INDEX($A$3:$B$14312,SMALL(IF($A$3:$A$14312=CK$3,ROW($A$3:$A$14312)),ROW(52:52)),2))</f>
        <v/>
      </c>
      <c r="CL54" t="str">
        <f t="array" ref="CL54">IF(ISERROR(INDEX($A$3:$B$14312,SMALL(IF($A$3:$A$14312=CL$3,ROW($A$3:$A$14312)),ROW(52:52)),2)),"",INDEX($A$3:$B$14312,SMALL(IF($A$3:$A$14312=CL$3,ROW($A$3:$A$14312)),ROW(52:52)),2))</f>
        <v/>
      </c>
      <c r="CM54" t="str">
        <f t="array" ref="CM54">IF(ISERROR(INDEX($A$3:$B$14312,SMALL(IF($A$3:$A$14312=CM$3,ROW($A$3:$A$14312)),ROW(52:52)),2)),"",INDEX($A$3:$B$14312,SMALL(IF($A$3:$A$14312=CM$3,ROW($A$3:$A$14312)),ROW(52:52)),2))</f>
        <v/>
      </c>
      <c r="CN54" t="str">
        <f t="array" ref="CN54">IF(ISERROR(INDEX($A$3:$B$14312,SMALL(IF($A$3:$A$14312=CN$3,ROW($A$3:$A$14312)),ROW(52:52)),2)),"",INDEX($A$3:$B$14312,SMALL(IF($A$3:$A$14312=CN$3,ROW($A$3:$A$14312)),ROW(52:52)),2))</f>
        <v/>
      </c>
      <c r="CO54" t="str">
        <f t="array" ref="CO54">IF(ISERROR(INDEX($A$3:$B$14312,SMALL(IF($A$3:$A$14312=CO$3,ROW($A$3:$A$14312)),ROW(52:52)),2)),"",INDEX($A$3:$B$14312,SMALL(IF($A$3:$A$14312=CO$3,ROW($A$3:$A$14312)),ROW(52:52)),2))</f>
        <v/>
      </c>
      <c r="CP54" t="str">
        <f t="array" ref="CP54">IF(ISERROR(INDEX($A$3:$B$14312,SMALL(IF($A$3:$A$14312=CP$3,ROW($A$3:$A$14312)),ROW(52:52)),2)),"",INDEX($A$3:$B$14312,SMALL(IF($A$3:$A$14312=CP$3,ROW($A$3:$A$14312)),ROW(52:52)),2))</f>
        <v/>
      </c>
      <c r="CQ54" t="str">
        <f t="array" ref="CQ54">IF(ISERROR(INDEX($A$3:$B$14312,SMALL(IF($A$3:$A$14312=CQ$3,ROW($A$3:$A$14312)),ROW(52:52)),2)),"",INDEX($A$3:$B$14312,SMALL(IF($A$3:$A$14312=CQ$3,ROW($A$3:$A$14312)),ROW(52:52)),2))</f>
        <v/>
      </c>
      <c r="CR54" t="str">
        <f t="array" ref="CR54">IF(ISERROR(INDEX($A$3:$B$14312,SMALL(IF($A$3:$A$14312=CR$3,ROW($A$3:$A$14312)),ROW(52:52)),2)),"",INDEX($A$3:$B$14312,SMALL(IF($A$3:$A$14312=CR$3,ROW($A$3:$A$14312)),ROW(52:52)),2))</f>
        <v/>
      </c>
      <c r="CS54" t="str">
        <f t="array" ref="CS54">IF(ISERROR(INDEX($A$3:$B$14312,SMALL(IF($A$3:$A$14312=CS$3,ROW($A$3:$A$14312)),ROW(52:52)),2)),"",INDEX($A$3:$B$14312,SMALL(IF($A$3:$A$14312=CS$3,ROW($A$3:$A$14312)),ROW(52:52)),2))</f>
        <v/>
      </c>
      <c r="CT54" t="str">
        <f t="array" ref="CT54">IF(ISERROR(INDEX($A$3:$B$14312,SMALL(IF($A$3:$A$14312=CT$3,ROW($A$3:$A$14312)),ROW(52:52)),2)),"",INDEX($A$3:$B$14312,SMALL(IF($A$3:$A$14312=CT$3,ROW($A$3:$A$14312)),ROW(52:52)),2))</f>
        <v/>
      </c>
      <c r="CU54" t="str">
        <f t="array" ref="CU54">IF(ISERROR(INDEX($A$3:$B$14312,SMALL(IF($A$3:$A$14312=CU$3,ROW($A$3:$A$14312)),ROW(52:52)),2)),"",INDEX($A$3:$B$14312,SMALL(IF($A$3:$A$14312=CU$3,ROW($A$3:$A$14312)),ROW(52:52)),2))</f>
        <v/>
      </c>
      <c r="CV54" t="str">
        <f t="array" ref="CV54">IF(ISERROR(INDEX($A$3:$B$14312,SMALL(IF($A$3:$A$14312=CV$3,ROW($A$3:$A$14312)),ROW(52:52)),2)),"",INDEX($A$3:$B$14312,SMALL(IF($A$3:$A$14312=CV$3,ROW($A$3:$A$14312)),ROW(52:52)),2))</f>
        <v/>
      </c>
      <c r="CW54" t="str">
        <f t="array" ref="CW54">IF(ISERROR(INDEX($A$3:$B$14312,SMALL(IF($A$3:$A$14312=CW$3,ROW($A$3:$A$14312)),ROW(52:52)),2)),"",INDEX($A$3:$B$14312,SMALL(IF($A$3:$A$14312=CW$3,ROW($A$3:$A$14312)),ROW(52:52)),2))</f>
        <v/>
      </c>
      <c r="CX54" t="str">
        <f t="array" ref="CX54">IF(ISERROR(INDEX($A$3:$B$14312,SMALL(IF($A$3:$A$14312=CX$3,ROW($A$3:$A$14312)),ROW(52:52)),2)),"",INDEX($A$3:$B$14312,SMALL(IF($A$3:$A$14312=CX$3,ROW($A$3:$A$14312)),ROW(52:52)),2))</f>
        <v/>
      </c>
      <c r="CY54" t="str">
        <f t="array" ref="CY54">IF(ISERROR(INDEX($A$3:$B$14312,SMALL(IF($A$3:$A$14312=CY$3,ROW($A$3:$A$14312)),ROW(52:52)),2)),"",INDEX($A$3:$B$14312,SMALL(IF($A$3:$A$14312=CY$3,ROW($A$3:$A$14312)),ROW(52:52)),2))</f>
        <v/>
      </c>
      <c r="CZ54" t="str">
        <f t="array" ref="CZ54">IF(ISERROR(INDEX($A$3:$B$14312,SMALL(IF($A$3:$A$14312=CZ$3,ROW($A$3:$A$14312)),ROW(52:52)),2)),"",INDEX($A$3:$B$14312,SMALL(IF($A$3:$A$14312=CZ$3,ROW($A$3:$A$14312)),ROW(52:52)),2))</f>
        <v/>
      </c>
      <c r="DA54" t="str">
        <f t="array" ref="DA54">IF(ISERROR(INDEX($A$3:$B$14312,SMALL(IF($A$3:$A$14312=DA$3,ROW($A$3:$A$14312)),ROW(52:52)),2)),"",INDEX($A$3:$B$14312,SMALL(IF($A$3:$A$14312=DA$3,ROW($A$3:$A$14312)),ROW(52:52)),2))</f>
        <v/>
      </c>
      <c r="DB54" t="str">
        <f t="array" ref="DB54">IF(ISERROR(INDEX($A$3:$B$14312,SMALL(IF($A$3:$A$14312=DB$3,ROW($A$3:$A$14312)),ROW(52:52)),2)),"",INDEX($A$3:$B$14312,SMALL(IF($A$3:$A$14312=DB$3,ROW($A$3:$A$14312)),ROW(52:52)),2))</f>
        <v/>
      </c>
      <c r="DC54" t="str">
        <f t="array" ref="DC54">IF(ISERROR(INDEX($A$3:$B$14312,SMALL(IF($A$3:$A$14312=DC$3,ROW($A$3:$A$14312)),ROW(52:52)),2)),"",INDEX($A$3:$B$14312,SMALL(IF($A$3:$A$14312=DC$3,ROW($A$3:$A$14312)),ROW(52:52)),2))</f>
        <v/>
      </c>
      <c r="DD54" t="str">
        <f t="array" ref="DD54">IF(ISERROR(INDEX($A$3:$B$14312,SMALL(IF($A$3:$A$14312=DD$3,ROW($A$3:$A$14312)),ROW(52:52)),2)),"",INDEX($A$3:$B$14312,SMALL(IF($A$3:$A$14312=DD$3,ROW($A$3:$A$14312)),ROW(52:52)),2))</f>
        <v/>
      </c>
      <c r="DE54" t="str">
        <f t="array" ref="DE54">IF(ISERROR(INDEX($A$3:$B$14312,SMALL(IF($A$3:$A$14312=DE$3,ROW($A$3:$A$14312)),ROW(52:52)),2)),"",INDEX($A$3:$B$14312,SMALL(IF($A$3:$A$14312=DE$3,ROW($A$3:$A$14312)),ROW(52:52)),2))</f>
        <v/>
      </c>
      <c r="DF54" t="str">
        <f t="array" ref="DF54">IF(ISERROR(INDEX($A$3:$B$14312,SMALL(IF($A$3:$A$14312=DF$3,ROW($A$3:$A$14312)),ROW(52:52)),2)),"",INDEX($A$3:$B$14312,SMALL(IF($A$3:$A$14312=DF$3,ROW($A$3:$A$14312)),ROW(52:52)),2))</f>
        <v/>
      </c>
      <c r="DG54" t="str">
        <f t="array" ref="DG54">IF(ISERROR(INDEX($A$3:$B$14312,SMALL(IF($A$3:$A$14312=DG$3,ROW($A$3:$A$14312)),ROW(52:52)),2)),"",INDEX($A$3:$B$14312,SMALL(IF($A$3:$A$14312=DG$3,ROW($A$3:$A$14312)),ROW(52:52)),2))</f>
        <v/>
      </c>
      <c r="DH54" t="str">
        <f t="array" ref="DH54">IF(ISERROR(INDEX($A$3:$B$14312,SMALL(IF($A$3:$A$14312=DH$3,ROW($A$3:$A$14312)),ROW(52:52)),2)),"",INDEX($A$3:$B$14312,SMALL(IF($A$3:$A$14312=DH$3,ROW($A$3:$A$14312)),ROW(52:52)),2))</f>
        <v/>
      </c>
      <c r="DI54" t="str">
        <f t="array" ref="DI54">IF(ISERROR(INDEX($A$3:$B$14312,SMALL(IF($A$3:$A$14312=DI$3,ROW($A$3:$A$14312)),ROW(52:52)),2)),"",INDEX($A$3:$B$14312,SMALL(IF($A$3:$A$14312=DI$3,ROW($A$3:$A$14312)),ROW(52:52)),2))</f>
        <v>Router3_118</v>
      </c>
      <c r="DJ54" t="str">
        <f t="array" ref="DJ54">IF(ISERROR(INDEX($A$3:$B$14312,SMALL(IF($A$3:$A$14312=DJ$3,ROW($A$3:$A$14312)),ROW(52:52)),2)),"",INDEX($A$3:$B$14312,SMALL(IF($A$3:$A$14312=DJ$3,ROW($A$3:$A$14312)),ROW(52:52)),2))</f>
        <v/>
      </c>
      <c r="DK54" t="str">
        <f t="array" ref="DK54">IF(ISERROR(INDEX($A$3:$B$14312,SMALL(IF($A$3:$A$14312=DK$3,ROW($A$3:$A$14312)),ROW(52:52)),2)),"",INDEX($A$3:$B$14312,SMALL(IF($A$3:$A$14312=DK$3,ROW($A$3:$A$14312)),ROW(52:52)),2))</f>
        <v/>
      </c>
      <c r="DL54" t="str">
        <f t="array" ref="DL54">IF(ISERROR(INDEX($A$3:$B$14312,SMALL(IF($A$3:$A$14312=DL$3,ROW($A$3:$A$14312)),ROW(52:52)),2)),"",INDEX($A$3:$B$14312,SMALL(IF($A$3:$A$14312=DL$3,ROW($A$3:$A$14312)),ROW(52:52)),2))</f>
        <v/>
      </c>
      <c r="DM54" t="str">
        <f t="array" ref="DM54">IF(ISERROR(INDEX($A$3:$B$14312,SMALL(IF($A$3:$A$14312=DM$3,ROW($A$3:$A$14312)),ROW(52:52)),2)),"",INDEX($A$3:$B$14312,SMALL(IF($A$3:$A$14312=DM$3,ROW($A$3:$A$14312)),ROW(52:52)),2))</f>
        <v/>
      </c>
      <c r="DN54" t="str">
        <f t="array" ref="DN54">IF(ISERROR(INDEX($A$3:$B$14312,SMALL(IF($A$3:$A$14312=DN$3,ROW($A$3:$A$14312)),ROW(52:52)),2)),"",INDEX($A$3:$B$14312,SMALL(IF($A$3:$A$14312=DN$3,ROW($A$3:$A$14312)),ROW(52:52)),2))</f>
        <v/>
      </c>
      <c r="DO54" t="str">
        <f t="array" ref="DO54">IF(ISERROR(INDEX($A$3:$B$14312,SMALL(IF($A$3:$A$14312=DO$3,ROW($A$3:$A$14312)),ROW(52:52)),2)),"",INDEX($A$3:$B$14312,SMALL(IF($A$3:$A$14312=DO$3,ROW($A$3:$A$14312)),ROW(52:52)),2))</f>
        <v/>
      </c>
      <c r="DP54" t="str">
        <f t="array" ref="DP54">IF(ISERROR(INDEX($A$3:$B$14312,SMALL(IF($A$3:$A$14312=DP$3,ROW($A$3:$A$14312)),ROW(52:52)),2)),"",INDEX($A$3:$B$14312,SMALL(IF($A$3:$A$14312=DP$3,ROW($A$3:$A$14312)),ROW(52:52)),2))</f>
        <v/>
      </c>
      <c r="DQ54" t="str">
        <f t="array" ref="DQ54">IF(ISERROR(INDEX($A$3:$B$14312,SMALL(IF($A$3:$A$14312=DQ$3,ROW($A$3:$A$14312)),ROW(52:52)),2)),"",INDEX($A$3:$B$14312,SMALL(IF($A$3:$A$14312=DQ$3,ROW($A$3:$A$14312)),ROW(52:52)),2))</f>
        <v/>
      </c>
      <c r="DR54" t="str">
        <f t="array" ref="DR54">IF(ISERROR(INDEX($A$3:$B$14312,SMALL(IF($A$3:$A$14312=DR$3,ROW($A$3:$A$14312)),ROW(52:52)),2)),"",INDEX($A$3:$B$14312,SMALL(IF($A$3:$A$14312=DR$3,ROW($A$3:$A$14312)),ROW(52:52)),2))</f>
        <v/>
      </c>
      <c r="DS54" t="str">
        <f t="array" ref="DS54">IF(ISERROR(INDEX($A$3:$B$14312,SMALL(IF($A$3:$A$14312=DS$3,ROW($A$3:$A$14312)),ROW(52:52)),2)),"",INDEX($A$3:$B$14312,SMALL(IF($A$3:$A$14312=DS$3,ROW($A$3:$A$14312)),ROW(52:52)),2))</f>
        <v/>
      </c>
      <c r="DT54" t="str">
        <f t="array" ref="DT54">IF(ISERROR(INDEX($A$3:$B$14312,SMALL(IF($A$3:$A$14312=DT$3,ROW($A$3:$A$14312)),ROW(52:52)),2)),"",INDEX($A$3:$B$14312,SMALL(IF($A$3:$A$14312=DT$3,ROW($A$3:$A$14312)),ROW(52:52)),2))</f>
        <v>Router3_118</v>
      </c>
      <c r="DU54" t="str">
        <f t="array" ref="DU54">IF(ISERROR(INDEX($A$3:$B$14312,SMALL(IF($A$3:$A$14312=DU$3,ROW($A$3:$A$14312)),ROW(52:52)),2)),"",INDEX($A$3:$B$14312,SMALL(IF($A$3:$A$14312=DU$3,ROW($A$3:$A$14312)),ROW(52:52)),2))</f>
        <v/>
      </c>
      <c r="DV54" t="str">
        <f t="array" ref="DV54">IF(ISERROR(INDEX($A$3:$B$14312,SMALL(IF($A$3:$A$14312=DV$3,ROW($A$3:$A$14312)),ROW(52:52)),2)),"",INDEX($A$3:$B$14312,SMALL(IF($A$3:$A$14312=DV$3,ROW($A$3:$A$14312)),ROW(52:52)),2))</f>
        <v/>
      </c>
      <c r="DW54" t="str">
        <f t="array" ref="DW54">IF(ISERROR(INDEX($A$3:$B$14312,SMALL(IF($A$3:$A$14312=DW$3,ROW($A$3:$A$14312)),ROW(52:52)),2)),"",INDEX($A$3:$B$14312,SMALL(IF($A$3:$A$14312=DW$3,ROW($A$3:$A$14312)),ROW(52:52)),2))</f>
        <v/>
      </c>
      <c r="DX54" t="str">
        <f t="array" ref="DX54">IF(ISERROR(INDEX($A$3:$B$14312,SMALL(IF($A$3:$A$14312=DX$3,ROW($A$3:$A$14312)),ROW(52:52)),2)),"",INDEX($A$3:$B$14312,SMALL(IF($A$3:$A$14312=DX$3,ROW($A$3:$A$14312)),ROW(52:52)),2))</f>
        <v/>
      </c>
      <c r="DY54" t="str">
        <f t="array" ref="DY54">IF(ISERROR(INDEX($A$3:$B$14312,SMALL(IF($A$3:$A$14312=DY$3,ROW($A$3:$A$14312)),ROW(52:52)),2)),"",INDEX($A$3:$B$14312,SMALL(IF($A$3:$A$14312=DY$3,ROW($A$3:$A$14312)),ROW(52:52)),2))</f>
        <v/>
      </c>
      <c r="DZ54" t="str">
        <f t="array" ref="DZ54">IF(ISERROR(INDEX($A$3:$B$14312,SMALL(IF($A$3:$A$14312=DZ$3,ROW($A$3:$A$14312)),ROW(52:52)),2)),"",INDEX($A$3:$B$14312,SMALL(IF($A$3:$A$14312=DZ$3,ROW($A$3:$A$14312)),ROW(52:52)),2))</f>
        <v/>
      </c>
      <c r="EA54" t="str">
        <f t="array" ref="EA54">IF(ISERROR(INDEX($A$3:$B$14312,SMALL(IF($A$3:$A$14312=EA$3,ROW($A$3:$A$14312)),ROW(52:52)),2)),"",INDEX($A$3:$B$14312,SMALL(IF($A$3:$A$14312=EA$3,ROW($A$3:$A$14312)),ROW(52:52)),2))</f>
        <v/>
      </c>
      <c r="EB54" t="str">
        <f t="array" ref="EB54">IF(ISERROR(INDEX($A$3:$B$14312,SMALL(IF($A$3:$A$14312=EB$3,ROW($A$3:$A$14312)),ROW(52:52)),2)),"",INDEX($A$3:$B$14312,SMALL(IF($A$3:$A$14312=EB$3,ROW($A$3:$A$14312)),ROW(52:52)),2))</f>
        <v/>
      </c>
      <c r="EC54" t="str">
        <f t="array" ref="EC54">IF(ISERROR(INDEX($A$3:$B$14312,SMALL(IF($A$3:$A$14312=EC$3,ROW($A$3:$A$14312)),ROW(52:52)),2)),"",INDEX($A$3:$B$14312,SMALL(IF($A$3:$A$14312=EC$3,ROW($A$3:$A$14312)),ROW(52:52)),2))</f>
        <v>Router3_165</v>
      </c>
      <c r="ED54" t="str">
        <f t="array" ref="ED54">IF(ISERROR(INDEX($A$3:$B$14312,SMALL(IF($A$3:$A$14312=ED$3,ROW($A$3:$A$14312)),ROW(52:52)),2)),"",INDEX($A$3:$B$14312,SMALL(IF($A$3:$A$14312=ED$3,ROW($A$3:$A$14312)),ROW(52:52)),2))</f>
        <v/>
      </c>
      <c r="EE54" t="str">
        <f t="array" ref="EE54">IF(ISERROR(INDEX($A$3:$B$14312,SMALL(IF($A$3:$A$14312=EE$3,ROW($A$3:$A$14312)),ROW(52:52)),2)),"",INDEX($A$3:$B$14312,SMALL(IF($A$3:$A$14312=EE$3,ROW($A$3:$A$14312)),ROW(52:52)),2))</f>
        <v/>
      </c>
    </row>
    <row r="55" spans="1:135" x14ac:dyDescent="0.25">
      <c r="A55" s="10">
        <v>-424987520</v>
      </c>
      <c r="B55" t="s">
        <v>1113</v>
      </c>
      <c r="E55" t="str">
        <f t="array" ref="E55">IF(ISERROR(INDEX($A$3:$B$14312,SMALL(IF($A$3:$A$14312=E$3,ROW($A$3:$A$14312)),ROW(53:53)),2)),"",INDEX($A$3:$B$14312,SMALL(IF($A$3:$A$14312=E$3,ROW($A$3:$A$14312)),ROW(53:53)),2))</f>
        <v/>
      </c>
      <c r="F55" t="str">
        <f t="array" ref="F55">IF(ISERROR(INDEX($A$3:$B$14312,SMALL(IF($A$3:$A$14312=F$3,ROW($A$3:$A$14312)),ROW(53:53)),2)),"",INDEX($A$3:$B$14312,SMALL(IF($A$3:$A$14312=F$3,ROW($A$3:$A$14312)),ROW(53:53)),2))</f>
        <v/>
      </c>
      <c r="G55" t="str">
        <f t="array" ref="G55">IF(ISERROR(INDEX($A$3:$B$14312,SMALL(IF($A$3:$A$14312=G$3,ROW($A$3:$A$14312)),ROW(53:53)),2)),"",INDEX($A$3:$B$14312,SMALL(IF($A$3:$A$14312=G$3,ROW($A$3:$A$14312)),ROW(53:53)),2))</f>
        <v/>
      </c>
      <c r="H55" t="str">
        <f t="array" ref="H55">IF(ISERROR(INDEX($A$3:$B$14312,SMALL(IF($A$3:$A$14312=H$3,ROW($A$3:$A$14312)),ROW(53:53)),2)),"",INDEX($A$3:$B$14312,SMALL(IF($A$3:$A$14312=H$3,ROW($A$3:$A$14312)),ROW(53:53)),2))</f>
        <v/>
      </c>
      <c r="I55" t="str">
        <f t="array" ref="I55">IF(ISERROR(INDEX($A$3:$B$14312,SMALL(IF($A$3:$A$14312=I$3,ROW($A$3:$A$14312)),ROW(53:53)),2)),"",INDEX($A$3:$B$14312,SMALL(IF($A$3:$A$14312=I$3,ROW($A$3:$A$14312)),ROW(53:53)),2))</f>
        <v/>
      </c>
      <c r="J55" t="str">
        <f t="array" ref="J55">IF(ISERROR(INDEX($A$3:$B$14312,SMALL(IF($A$3:$A$14312=J$3,ROW($A$3:$A$14312)),ROW(53:53)),2)),"",INDEX($A$3:$B$14312,SMALL(IF($A$3:$A$14312=J$3,ROW($A$3:$A$14312)),ROW(53:53)),2))</f>
        <v/>
      </c>
      <c r="K55" t="str">
        <f t="array" ref="K55">IF(ISERROR(INDEX($A$3:$B$14312,SMALL(IF($A$3:$A$14312=K$3,ROW($A$3:$A$14312)),ROW(53:53)),2)),"",INDEX($A$3:$B$14312,SMALL(IF($A$3:$A$14312=K$3,ROW($A$3:$A$14312)),ROW(53:53)),2))</f>
        <v/>
      </c>
      <c r="L55" t="str">
        <f t="array" ref="L55">IF(ISERROR(INDEX($A$3:$B$14312,SMALL(IF($A$3:$A$14312=L$3,ROW($A$3:$A$14312)),ROW(53:53)),2)),"",INDEX($A$3:$B$14312,SMALL(IF($A$3:$A$14312=L$3,ROW($A$3:$A$14312)),ROW(53:53)),2))</f>
        <v/>
      </c>
      <c r="M55" t="str">
        <f t="array" ref="M55">IF(ISERROR(INDEX($A$3:$B$14312,SMALL(IF($A$3:$A$14312=M$3,ROW($A$3:$A$14312)),ROW(53:53)),2)),"",INDEX($A$3:$B$14312,SMALL(IF($A$3:$A$14312=M$3,ROW($A$3:$A$14312)),ROW(53:53)),2))</f>
        <v/>
      </c>
      <c r="N55" t="str">
        <f t="array" ref="N55">IF(ISERROR(INDEX($A$3:$B$14312,SMALL(IF($A$3:$A$14312=N$3,ROW($A$3:$A$14312)),ROW(53:53)),2)),"",INDEX($A$3:$B$14312,SMALL(IF($A$3:$A$14312=N$3,ROW($A$3:$A$14312)),ROW(53:53)),2))</f>
        <v/>
      </c>
      <c r="O55" t="str">
        <f t="array" ref="O55">IF(ISERROR(INDEX($A$3:$B$14312,SMALL(IF($A$3:$A$14312=O$3,ROW($A$3:$A$14312)),ROW(53:53)),2)),"",INDEX($A$3:$B$14312,SMALL(IF($A$3:$A$14312=O$3,ROW($A$3:$A$14312)),ROW(53:53)),2))</f>
        <v/>
      </c>
      <c r="P55" t="str">
        <f t="array" ref="P55">IF(ISERROR(INDEX($A$3:$B$14312,SMALL(IF($A$3:$A$14312=P$3,ROW($A$3:$A$14312)),ROW(53:53)),2)),"",INDEX($A$3:$B$14312,SMALL(IF($A$3:$A$14312=P$3,ROW($A$3:$A$14312)),ROW(53:53)),2))</f>
        <v/>
      </c>
      <c r="Q55" t="str">
        <f t="array" ref="Q55">IF(ISERROR(INDEX($A$3:$B$14312,SMALL(IF($A$3:$A$14312=Q$3,ROW($A$3:$A$14312)),ROW(53:53)),2)),"",INDEX($A$3:$B$14312,SMALL(IF($A$3:$A$14312=Q$3,ROW($A$3:$A$14312)),ROW(53:53)),2))</f>
        <v/>
      </c>
      <c r="R55" t="str">
        <f t="array" ref="R55">IF(ISERROR(INDEX($A$3:$B$14312,SMALL(IF($A$3:$A$14312=R$3,ROW($A$3:$A$14312)),ROW(53:53)),2)),"",INDEX($A$3:$B$14312,SMALL(IF($A$3:$A$14312=R$3,ROW($A$3:$A$14312)),ROW(53:53)),2))</f>
        <v/>
      </c>
      <c r="S55" t="str">
        <f t="array" ref="S55">IF(ISERROR(INDEX($A$3:$B$14312,SMALL(IF($A$3:$A$14312=S$3,ROW($A$3:$A$14312)),ROW(53:53)),2)),"",INDEX($A$3:$B$14312,SMALL(IF($A$3:$A$14312=S$3,ROW($A$3:$A$14312)),ROW(53:53)),2))</f>
        <v/>
      </c>
      <c r="T55" t="str">
        <f t="array" ref="T55">IF(ISERROR(INDEX($A$3:$B$14312,SMALL(IF($A$3:$A$14312=T$3,ROW($A$3:$A$14312)),ROW(53:53)),2)),"",INDEX($A$3:$B$14312,SMALL(IF($A$3:$A$14312=T$3,ROW($A$3:$A$14312)),ROW(53:53)),2))</f>
        <v/>
      </c>
      <c r="U55" t="str">
        <f t="array" ref="U55">IF(ISERROR(INDEX($A$3:$B$14312,SMALL(IF($A$3:$A$14312=U$3,ROW($A$3:$A$14312)),ROW(53:53)),2)),"",INDEX($A$3:$B$14312,SMALL(IF($A$3:$A$14312=U$3,ROW($A$3:$A$14312)),ROW(53:53)),2))</f>
        <v/>
      </c>
      <c r="V55" t="str">
        <f t="array" ref="V55">IF(ISERROR(INDEX($A$3:$B$14312,SMALL(IF($A$3:$A$14312=V$3,ROW($A$3:$A$14312)),ROW(53:53)),2)),"",INDEX($A$3:$B$14312,SMALL(IF($A$3:$A$14312=V$3,ROW($A$3:$A$14312)),ROW(53:53)),2))</f>
        <v/>
      </c>
      <c r="W55" t="str">
        <f t="array" ref="W55">IF(ISERROR(INDEX($A$3:$B$14312,SMALL(IF($A$3:$A$14312=W$3,ROW($A$3:$A$14312)),ROW(53:53)),2)),"",INDEX($A$3:$B$14312,SMALL(IF($A$3:$A$14312=W$3,ROW($A$3:$A$14312)),ROW(53:53)),2))</f>
        <v>Router3_166</v>
      </c>
      <c r="X55" t="str">
        <f t="array" ref="X55">IF(ISERROR(INDEX($A$3:$B$14312,SMALL(IF($A$3:$A$14312=X$3,ROW($A$3:$A$14312)),ROW(53:53)),2)),"",INDEX($A$3:$B$14312,SMALL(IF($A$3:$A$14312=X$3,ROW($A$3:$A$14312)),ROW(53:53)),2))</f>
        <v/>
      </c>
      <c r="Y55" t="str">
        <f t="array" ref="Y55">IF(ISERROR(INDEX($A$3:$B$14312,SMALL(IF($A$3:$A$14312=Y$3,ROW($A$3:$A$14312)),ROW(53:53)),2)),"",INDEX($A$3:$B$14312,SMALL(IF($A$3:$A$14312=Y$3,ROW($A$3:$A$14312)),ROW(53:53)),2))</f>
        <v/>
      </c>
      <c r="Z55" t="str">
        <f t="array" ref="Z55">IF(ISERROR(INDEX($A$3:$B$14312,SMALL(IF($A$3:$A$14312=Z$3,ROW($A$3:$A$14312)),ROW(53:53)),2)),"",INDEX($A$3:$B$14312,SMALL(IF($A$3:$A$14312=Z$3,ROW($A$3:$A$14312)),ROW(53:53)),2))</f>
        <v/>
      </c>
      <c r="AA55" t="str">
        <f t="array" ref="AA55">IF(ISERROR(INDEX($A$3:$B$14312,SMALL(IF($A$3:$A$14312=AA$3,ROW($A$3:$A$14312)),ROW(53:53)),2)),"",INDEX($A$3:$B$14312,SMALL(IF($A$3:$A$14312=AA$3,ROW($A$3:$A$14312)),ROW(53:53)),2))</f>
        <v/>
      </c>
      <c r="AB55" t="str">
        <f t="array" ref="AB55">IF(ISERROR(INDEX($A$3:$B$14312,SMALL(IF($A$3:$A$14312=AB$3,ROW($A$3:$A$14312)),ROW(53:53)),2)),"",INDEX($A$3:$B$14312,SMALL(IF($A$3:$A$14312=AB$3,ROW($A$3:$A$14312)),ROW(53:53)),2))</f>
        <v/>
      </c>
      <c r="AC55" t="str">
        <f t="array" ref="AC55">IF(ISERROR(INDEX($A$3:$B$14312,SMALL(IF($A$3:$A$14312=AC$3,ROW($A$3:$A$14312)),ROW(53:53)),2)),"",INDEX($A$3:$B$14312,SMALL(IF($A$3:$A$14312=AC$3,ROW($A$3:$A$14312)),ROW(53:53)),2))</f>
        <v/>
      </c>
      <c r="AD55" t="str">
        <f t="array" ref="AD55">IF(ISERROR(INDEX($A$3:$B$14312,SMALL(IF($A$3:$A$14312=AD$3,ROW($A$3:$A$14312)),ROW(53:53)),2)),"",INDEX($A$3:$B$14312,SMALL(IF($A$3:$A$14312=AD$3,ROW($A$3:$A$14312)),ROW(53:53)),2))</f>
        <v/>
      </c>
      <c r="AE55" t="str">
        <f t="array" ref="AE55">IF(ISERROR(INDEX($A$3:$B$14312,SMALL(IF($A$3:$A$14312=AE$3,ROW($A$3:$A$14312)),ROW(53:53)),2)),"",INDEX($A$3:$B$14312,SMALL(IF($A$3:$A$14312=AE$3,ROW($A$3:$A$14312)),ROW(53:53)),2))</f>
        <v/>
      </c>
      <c r="AF55" t="str">
        <f t="array" ref="AF55">IF(ISERROR(INDEX($A$3:$B$14312,SMALL(IF($A$3:$A$14312=AF$3,ROW($A$3:$A$14312)),ROW(53:53)),2)),"",INDEX($A$3:$B$14312,SMALL(IF($A$3:$A$14312=AF$3,ROW($A$3:$A$14312)),ROW(53:53)),2))</f>
        <v/>
      </c>
      <c r="AG55" t="str">
        <f t="array" ref="AG55">IF(ISERROR(INDEX($A$3:$B$14312,SMALL(IF($A$3:$A$14312=AG$3,ROW($A$3:$A$14312)),ROW(53:53)),2)),"",INDEX($A$3:$B$14312,SMALL(IF($A$3:$A$14312=AG$3,ROW($A$3:$A$14312)),ROW(53:53)),2))</f>
        <v/>
      </c>
      <c r="AH55" t="str">
        <f t="array" ref="AH55">IF(ISERROR(INDEX($A$3:$B$14312,SMALL(IF($A$3:$A$14312=AH$3,ROW($A$3:$A$14312)),ROW(53:53)),2)),"",INDEX($A$3:$B$14312,SMALL(IF($A$3:$A$14312=AH$3,ROW($A$3:$A$14312)),ROW(53:53)),2))</f>
        <v/>
      </c>
      <c r="AI55" t="str">
        <f t="array" ref="AI55">IF(ISERROR(INDEX($A$3:$B$14312,SMALL(IF($A$3:$A$14312=AI$3,ROW($A$3:$A$14312)),ROW(53:53)),2)),"",INDEX($A$3:$B$14312,SMALL(IF($A$3:$A$14312=AI$3,ROW($A$3:$A$14312)),ROW(53:53)),2))</f>
        <v/>
      </c>
      <c r="AJ55" t="str">
        <f t="array" ref="AJ55">IF(ISERROR(INDEX($A$3:$B$14312,SMALL(IF($A$3:$A$14312=AJ$3,ROW($A$3:$A$14312)),ROW(53:53)),2)),"",INDEX($A$3:$B$14312,SMALL(IF($A$3:$A$14312=AJ$3,ROW($A$3:$A$14312)),ROW(53:53)),2))</f>
        <v/>
      </c>
      <c r="AK55" t="str">
        <f t="array" ref="AK55">IF(ISERROR(INDEX($A$3:$B$14312,SMALL(IF($A$3:$A$14312=AK$3,ROW($A$3:$A$14312)),ROW(53:53)),2)),"",INDEX($A$3:$B$14312,SMALL(IF($A$3:$A$14312=AK$3,ROW($A$3:$A$14312)),ROW(53:53)),2))</f>
        <v/>
      </c>
      <c r="AL55" t="str">
        <f t="array" ref="AL55">IF(ISERROR(INDEX($A$3:$B$14312,SMALL(IF($A$3:$A$14312=AL$3,ROW($A$3:$A$14312)),ROW(53:53)),2)),"",INDEX($A$3:$B$14312,SMALL(IF($A$3:$A$14312=AL$3,ROW($A$3:$A$14312)),ROW(53:53)),2))</f>
        <v/>
      </c>
      <c r="AM55" t="str">
        <f t="array" ref="AM55">IF(ISERROR(INDEX($A$3:$B$14312,SMALL(IF($A$3:$A$14312=AM$3,ROW($A$3:$A$14312)),ROW(53:53)),2)),"",INDEX($A$3:$B$14312,SMALL(IF($A$3:$A$14312=AM$3,ROW($A$3:$A$14312)),ROW(53:53)),2))</f>
        <v/>
      </c>
      <c r="AN55" t="str">
        <f t="array" ref="AN55">IF(ISERROR(INDEX($A$3:$B$14312,SMALL(IF($A$3:$A$14312=AN$3,ROW($A$3:$A$14312)),ROW(53:53)),2)),"",INDEX($A$3:$B$14312,SMALL(IF($A$3:$A$14312=AN$3,ROW($A$3:$A$14312)),ROW(53:53)),2))</f>
        <v/>
      </c>
      <c r="AO55" t="str">
        <f t="array" ref="AO55">IF(ISERROR(INDEX($A$3:$B$14312,SMALL(IF($A$3:$A$14312=AO$3,ROW($A$3:$A$14312)),ROW(53:53)),2)),"",INDEX($A$3:$B$14312,SMALL(IF($A$3:$A$14312=AO$3,ROW($A$3:$A$14312)),ROW(53:53)),2))</f>
        <v/>
      </c>
      <c r="AP55" t="str">
        <f t="array" ref="AP55">IF(ISERROR(INDEX($A$3:$B$14312,SMALL(IF($A$3:$A$14312=AP$3,ROW($A$3:$A$14312)),ROW(53:53)),2)),"",INDEX($A$3:$B$14312,SMALL(IF($A$3:$A$14312=AP$3,ROW($A$3:$A$14312)),ROW(53:53)),2))</f>
        <v/>
      </c>
      <c r="AQ55" t="str">
        <f t="array" ref="AQ55">IF(ISERROR(INDEX($A$3:$B$14312,SMALL(IF($A$3:$A$14312=AQ$3,ROW($A$3:$A$14312)),ROW(53:53)),2)),"",INDEX($A$3:$B$14312,SMALL(IF($A$3:$A$14312=AQ$3,ROW($A$3:$A$14312)),ROW(53:53)),2))</f>
        <v/>
      </c>
      <c r="AR55" t="str">
        <f t="array" ref="AR55">IF(ISERROR(INDEX($A$3:$B$14312,SMALL(IF($A$3:$A$14312=AR$3,ROW($A$3:$A$14312)),ROW(53:53)),2)),"",INDEX($A$3:$B$14312,SMALL(IF($A$3:$A$14312=AR$3,ROW($A$3:$A$14312)),ROW(53:53)),2))</f>
        <v/>
      </c>
      <c r="AS55" t="str">
        <f t="array" ref="AS55">IF(ISERROR(INDEX($A$3:$B$14312,SMALL(IF($A$3:$A$14312=AS$3,ROW($A$3:$A$14312)),ROW(53:53)),2)),"",INDEX($A$3:$B$14312,SMALL(IF($A$3:$A$14312=AS$3,ROW($A$3:$A$14312)),ROW(53:53)),2))</f>
        <v/>
      </c>
      <c r="AT55" t="str">
        <f t="array" ref="AT55">IF(ISERROR(INDEX($A$3:$B$14312,SMALL(IF($A$3:$A$14312=AT$3,ROW($A$3:$A$14312)),ROW(53:53)),2)),"",INDEX($A$3:$B$14312,SMALL(IF($A$3:$A$14312=AT$3,ROW($A$3:$A$14312)),ROW(53:53)),2))</f>
        <v/>
      </c>
      <c r="AU55" t="str">
        <f t="array" ref="AU55">IF(ISERROR(INDEX($A$3:$B$14312,SMALL(IF($A$3:$A$14312=AU$3,ROW($A$3:$A$14312)),ROW(53:53)),2)),"",INDEX($A$3:$B$14312,SMALL(IF($A$3:$A$14312=AU$3,ROW($A$3:$A$14312)),ROW(53:53)),2))</f>
        <v/>
      </c>
      <c r="AV55" t="str">
        <f t="array" ref="AV55">IF(ISERROR(INDEX($A$3:$B$14312,SMALL(IF($A$3:$A$14312=AV$3,ROW($A$3:$A$14312)),ROW(53:53)),2)),"",INDEX($A$3:$B$14312,SMALL(IF($A$3:$A$14312=AV$3,ROW($A$3:$A$14312)),ROW(53:53)),2))</f>
        <v/>
      </c>
      <c r="AW55" t="str">
        <f t="array" ref="AW55">IF(ISERROR(INDEX($A$3:$B$14312,SMALL(IF($A$3:$A$14312=AW$3,ROW($A$3:$A$14312)),ROW(53:53)),2)),"",INDEX($A$3:$B$14312,SMALL(IF($A$3:$A$14312=AW$3,ROW($A$3:$A$14312)),ROW(53:53)),2))</f>
        <v/>
      </c>
      <c r="AX55" t="str">
        <f t="array" ref="AX55">IF(ISERROR(INDEX($A$3:$B$14312,SMALL(IF($A$3:$A$14312=AX$3,ROW($A$3:$A$14312)),ROW(53:53)),2)),"",INDEX($A$3:$B$14312,SMALL(IF($A$3:$A$14312=AX$3,ROW($A$3:$A$14312)),ROW(53:53)),2))</f>
        <v/>
      </c>
      <c r="AY55" t="str">
        <f t="array" ref="AY55">IF(ISERROR(INDEX($A$3:$B$14312,SMALL(IF($A$3:$A$14312=AY$3,ROW($A$3:$A$14312)),ROW(53:53)),2)),"",INDEX($A$3:$B$14312,SMALL(IF($A$3:$A$14312=AY$3,ROW($A$3:$A$14312)),ROW(53:53)),2))</f>
        <v/>
      </c>
      <c r="AZ55" t="str">
        <f t="array" ref="AZ55">IF(ISERROR(INDEX($A$3:$B$14312,SMALL(IF($A$3:$A$14312=AZ$3,ROW($A$3:$A$14312)),ROW(53:53)),2)),"",INDEX($A$3:$B$14312,SMALL(IF($A$3:$A$14312=AZ$3,ROW($A$3:$A$14312)),ROW(53:53)),2))</f>
        <v/>
      </c>
      <c r="BA55" t="str">
        <f t="array" ref="BA55">IF(ISERROR(INDEX($A$3:$B$14312,SMALL(IF($A$3:$A$14312=BA$3,ROW($A$3:$A$14312)),ROW(53:53)),2)),"",INDEX($A$3:$B$14312,SMALL(IF($A$3:$A$14312=BA$3,ROW($A$3:$A$14312)),ROW(53:53)),2))</f>
        <v/>
      </c>
      <c r="BB55" t="str">
        <f t="array" ref="BB55">IF(ISERROR(INDEX($A$3:$B$14312,SMALL(IF($A$3:$A$14312=BB$3,ROW($A$3:$A$14312)),ROW(53:53)),2)),"",INDEX($A$3:$B$14312,SMALL(IF($A$3:$A$14312=BB$3,ROW($A$3:$A$14312)),ROW(53:53)),2))</f>
        <v/>
      </c>
      <c r="BC55" t="str">
        <f t="array" ref="BC55">IF(ISERROR(INDEX($A$3:$B$14312,SMALL(IF($A$3:$A$14312=BC$3,ROW($A$3:$A$14312)),ROW(53:53)),2)),"",INDEX($A$3:$B$14312,SMALL(IF($A$3:$A$14312=BC$3,ROW($A$3:$A$14312)),ROW(53:53)),2))</f>
        <v/>
      </c>
      <c r="BD55" t="str">
        <f t="array" ref="BD55">IF(ISERROR(INDEX($A$3:$B$14312,SMALL(IF($A$3:$A$14312=BD$3,ROW($A$3:$A$14312)),ROW(53:53)),2)),"",INDEX($A$3:$B$14312,SMALL(IF($A$3:$A$14312=BD$3,ROW($A$3:$A$14312)),ROW(53:53)),2))</f>
        <v/>
      </c>
      <c r="BE55" t="str">
        <f t="array" ref="BE55">IF(ISERROR(INDEX($A$3:$B$14312,SMALL(IF($A$3:$A$14312=BE$3,ROW($A$3:$A$14312)),ROW(53:53)),2)),"",INDEX($A$3:$B$14312,SMALL(IF($A$3:$A$14312=BE$3,ROW($A$3:$A$14312)),ROW(53:53)),2))</f>
        <v/>
      </c>
      <c r="BF55" t="str">
        <f t="array" ref="BF55">IF(ISERROR(INDEX($A$3:$B$14312,SMALL(IF($A$3:$A$14312=BF$3,ROW($A$3:$A$14312)),ROW(53:53)),2)),"",INDEX($A$3:$B$14312,SMALL(IF($A$3:$A$14312=BF$3,ROW($A$3:$A$14312)),ROW(53:53)),2))</f>
        <v/>
      </c>
      <c r="BG55" t="str">
        <f t="array" ref="BG55">IF(ISERROR(INDEX($A$3:$B$14312,SMALL(IF($A$3:$A$14312=BG$3,ROW($A$3:$A$14312)),ROW(53:53)),2)),"",INDEX($A$3:$B$14312,SMALL(IF($A$3:$A$14312=BG$3,ROW($A$3:$A$14312)),ROW(53:53)),2))</f>
        <v/>
      </c>
      <c r="BH55" t="str">
        <f t="array" ref="BH55">IF(ISERROR(INDEX($A$3:$B$14312,SMALL(IF($A$3:$A$14312=BH$3,ROW($A$3:$A$14312)),ROW(53:53)),2)),"",INDEX($A$3:$B$14312,SMALL(IF($A$3:$A$14312=BH$3,ROW($A$3:$A$14312)),ROW(53:53)),2))</f>
        <v/>
      </c>
      <c r="BI55" t="str">
        <f t="array" ref="BI55">IF(ISERROR(INDEX($A$3:$B$14312,SMALL(IF($A$3:$A$14312=BI$3,ROW($A$3:$A$14312)),ROW(53:53)),2)),"",INDEX($A$3:$B$14312,SMALL(IF($A$3:$A$14312=BI$3,ROW($A$3:$A$14312)),ROW(53:53)),2))</f>
        <v/>
      </c>
      <c r="BJ55" t="str">
        <f t="array" ref="BJ55">IF(ISERROR(INDEX($A$3:$B$14312,SMALL(IF($A$3:$A$14312=BJ$3,ROW($A$3:$A$14312)),ROW(53:53)),2)),"",INDEX($A$3:$B$14312,SMALL(IF($A$3:$A$14312=BJ$3,ROW($A$3:$A$14312)),ROW(53:53)),2))</f>
        <v/>
      </c>
      <c r="BK55" t="str">
        <f t="array" ref="BK55">IF(ISERROR(INDEX($A$3:$B$14312,SMALL(IF($A$3:$A$14312=BK$3,ROW($A$3:$A$14312)),ROW(53:53)),2)),"",INDEX($A$3:$B$14312,SMALL(IF($A$3:$A$14312=BK$3,ROW($A$3:$A$14312)),ROW(53:53)),2))</f>
        <v/>
      </c>
      <c r="BL55" t="str">
        <f t="array" ref="BL55">IF(ISERROR(INDEX($A$3:$B$14312,SMALL(IF($A$3:$A$14312=BL$3,ROW($A$3:$A$14312)),ROW(53:53)),2)),"",INDEX($A$3:$B$14312,SMALL(IF($A$3:$A$14312=BL$3,ROW($A$3:$A$14312)),ROW(53:53)),2))</f>
        <v/>
      </c>
      <c r="BM55" t="str">
        <f t="array" ref="BM55">IF(ISERROR(INDEX($A$3:$B$14312,SMALL(IF($A$3:$A$14312=BM$3,ROW($A$3:$A$14312)),ROW(53:53)),2)),"",INDEX($A$3:$B$14312,SMALL(IF($A$3:$A$14312=BM$3,ROW($A$3:$A$14312)),ROW(53:53)),2))</f>
        <v/>
      </c>
      <c r="BN55" t="str">
        <f t="array" ref="BN55">IF(ISERROR(INDEX($A$3:$B$14312,SMALL(IF($A$3:$A$14312=BN$3,ROW($A$3:$A$14312)),ROW(53:53)),2)),"",INDEX($A$3:$B$14312,SMALL(IF($A$3:$A$14312=BN$3,ROW($A$3:$A$14312)),ROW(53:53)),2))</f>
        <v/>
      </c>
      <c r="BO55" t="str">
        <f t="array" ref="BO55">IF(ISERROR(INDEX($A$3:$B$14312,SMALL(IF($A$3:$A$14312=BO$3,ROW($A$3:$A$14312)),ROW(53:53)),2)),"",INDEX($A$3:$B$14312,SMALL(IF($A$3:$A$14312=BO$3,ROW($A$3:$A$14312)),ROW(53:53)),2))</f>
        <v/>
      </c>
      <c r="BP55" t="str">
        <f t="array" ref="BP55">IF(ISERROR(INDEX($A$3:$B$14312,SMALL(IF($A$3:$A$14312=BP$3,ROW($A$3:$A$14312)),ROW(53:53)),2)),"",INDEX($A$3:$B$14312,SMALL(IF($A$3:$A$14312=BP$3,ROW($A$3:$A$14312)),ROW(53:53)),2))</f>
        <v/>
      </c>
      <c r="BQ55" t="str">
        <f t="array" ref="BQ55">IF(ISERROR(INDEX($A$3:$B$14312,SMALL(IF($A$3:$A$14312=BQ$3,ROW($A$3:$A$14312)),ROW(53:53)),2)),"",INDEX($A$3:$B$14312,SMALL(IF($A$3:$A$14312=BQ$3,ROW($A$3:$A$14312)),ROW(53:53)),2))</f>
        <v/>
      </c>
      <c r="BR55" t="str">
        <f t="array" ref="BR55">IF(ISERROR(INDEX($A$3:$B$14312,SMALL(IF($A$3:$A$14312=BR$3,ROW($A$3:$A$14312)),ROW(53:53)),2)),"",INDEX($A$3:$B$14312,SMALL(IF($A$3:$A$14312=BR$3,ROW($A$3:$A$14312)),ROW(53:53)),2))</f>
        <v/>
      </c>
      <c r="BS55" t="str">
        <f t="array" ref="BS55">IF(ISERROR(INDEX($A$3:$B$14312,SMALL(IF($A$3:$A$14312=BS$3,ROW($A$3:$A$14312)),ROW(53:53)),2)),"",INDEX($A$3:$B$14312,SMALL(IF($A$3:$A$14312=BS$3,ROW($A$3:$A$14312)),ROW(53:53)),2))</f>
        <v/>
      </c>
      <c r="BT55" t="str">
        <f t="array" ref="BT55">IF(ISERROR(INDEX($A$3:$B$14312,SMALL(IF($A$3:$A$14312=BT$3,ROW($A$3:$A$14312)),ROW(53:53)),2)),"",INDEX($A$3:$B$14312,SMALL(IF($A$3:$A$14312=BT$3,ROW($A$3:$A$14312)),ROW(53:53)),2))</f>
        <v>Router3_154</v>
      </c>
      <c r="BU55" t="str">
        <f t="array" ref="BU55">IF(ISERROR(INDEX($A$3:$B$14312,SMALL(IF($A$3:$A$14312=BU$3,ROW($A$3:$A$14312)),ROW(53:53)),2)),"",INDEX($A$3:$B$14312,SMALL(IF($A$3:$A$14312=BU$3,ROW($A$3:$A$14312)),ROW(53:53)),2))</f>
        <v/>
      </c>
      <c r="BV55" t="str">
        <f t="array" ref="BV55">IF(ISERROR(INDEX($A$3:$B$14312,SMALL(IF($A$3:$A$14312=BV$3,ROW($A$3:$A$14312)),ROW(53:53)),2)),"",INDEX($A$3:$B$14312,SMALL(IF($A$3:$A$14312=BV$3,ROW($A$3:$A$14312)),ROW(53:53)),2))</f>
        <v/>
      </c>
      <c r="BW55" t="str">
        <f t="array" ref="BW55">IF(ISERROR(INDEX($A$3:$B$14312,SMALL(IF($A$3:$A$14312=BW$3,ROW($A$3:$A$14312)),ROW(53:53)),2)),"",INDEX($A$3:$B$14312,SMALL(IF($A$3:$A$14312=BW$3,ROW($A$3:$A$14312)),ROW(53:53)),2))</f>
        <v/>
      </c>
      <c r="BX55" t="str">
        <f t="array" ref="BX55">IF(ISERROR(INDEX($A$3:$B$14312,SMALL(IF($A$3:$A$14312=BX$3,ROW($A$3:$A$14312)),ROW(53:53)),2)),"",INDEX($A$3:$B$14312,SMALL(IF($A$3:$A$14312=BX$3,ROW($A$3:$A$14312)),ROW(53:53)),2))</f>
        <v/>
      </c>
      <c r="BY55" t="str">
        <f t="array" ref="BY55">IF(ISERROR(INDEX($A$3:$B$14312,SMALL(IF($A$3:$A$14312=BY$3,ROW($A$3:$A$14312)),ROW(53:53)),2)),"",INDEX($A$3:$B$14312,SMALL(IF($A$3:$A$14312=BY$3,ROW($A$3:$A$14312)),ROW(53:53)),2))</f>
        <v/>
      </c>
      <c r="BZ55" t="str">
        <f t="array" ref="BZ55">IF(ISERROR(INDEX($A$3:$B$14312,SMALL(IF($A$3:$A$14312=BZ$3,ROW($A$3:$A$14312)),ROW(53:53)),2)),"",INDEX($A$3:$B$14312,SMALL(IF($A$3:$A$14312=BZ$3,ROW($A$3:$A$14312)),ROW(53:53)),2))</f>
        <v/>
      </c>
      <c r="CA55" t="str">
        <f t="array" ref="CA55">IF(ISERROR(INDEX($A$3:$B$14312,SMALL(IF($A$3:$A$14312=CA$3,ROW($A$3:$A$14312)),ROW(53:53)),2)),"",INDEX($A$3:$B$14312,SMALL(IF($A$3:$A$14312=CA$3,ROW($A$3:$A$14312)),ROW(53:53)),2))</f>
        <v/>
      </c>
      <c r="CB55" t="str">
        <f t="array" ref="CB55">IF(ISERROR(INDEX($A$3:$B$14312,SMALL(IF($A$3:$A$14312=CB$3,ROW($A$3:$A$14312)),ROW(53:53)),2)),"",INDEX($A$3:$B$14312,SMALL(IF($A$3:$A$14312=CB$3,ROW($A$3:$A$14312)),ROW(53:53)),2))</f>
        <v/>
      </c>
      <c r="CC55" t="str">
        <f t="array" ref="CC55">IF(ISERROR(INDEX($A$3:$B$14312,SMALL(IF($A$3:$A$14312=CC$3,ROW($A$3:$A$14312)),ROW(53:53)),2)),"",INDEX($A$3:$B$14312,SMALL(IF($A$3:$A$14312=CC$3,ROW($A$3:$A$14312)),ROW(53:53)),2))</f>
        <v/>
      </c>
      <c r="CD55" t="str">
        <f t="array" ref="CD55">IF(ISERROR(INDEX($A$3:$B$14312,SMALL(IF($A$3:$A$14312=CD$3,ROW($A$3:$A$14312)),ROW(53:53)),2)),"",INDEX($A$3:$B$14312,SMALL(IF($A$3:$A$14312=CD$3,ROW($A$3:$A$14312)),ROW(53:53)),2))</f>
        <v/>
      </c>
      <c r="CE55" t="str">
        <f t="array" ref="CE55">IF(ISERROR(INDEX($A$3:$B$14312,SMALL(IF($A$3:$A$14312=CE$3,ROW($A$3:$A$14312)),ROW(53:53)),2)),"",INDEX($A$3:$B$14312,SMALL(IF($A$3:$A$14312=CE$3,ROW($A$3:$A$14312)),ROW(53:53)),2))</f>
        <v/>
      </c>
      <c r="CF55" t="str">
        <f t="array" ref="CF55">IF(ISERROR(INDEX($A$3:$B$14312,SMALL(IF($A$3:$A$14312=CF$3,ROW($A$3:$A$14312)),ROW(53:53)),2)),"",INDEX($A$3:$B$14312,SMALL(IF($A$3:$A$14312=CF$3,ROW($A$3:$A$14312)),ROW(53:53)),2))</f>
        <v/>
      </c>
      <c r="CG55" t="str">
        <f t="array" ref="CG55">IF(ISERROR(INDEX($A$3:$B$14312,SMALL(IF($A$3:$A$14312=CG$3,ROW($A$3:$A$14312)),ROW(53:53)),2)),"",INDEX($A$3:$B$14312,SMALL(IF($A$3:$A$14312=CG$3,ROW($A$3:$A$14312)),ROW(53:53)),2))</f>
        <v/>
      </c>
      <c r="CH55" t="str">
        <f t="array" ref="CH55">IF(ISERROR(INDEX($A$3:$B$14312,SMALL(IF($A$3:$A$14312=CH$3,ROW($A$3:$A$14312)),ROW(53:53)),2)),"",INDEX($A$3:$B$14312,SMALL(IF($A$3:$A$14312=CH$3,ROW($A$3:$A$14312)),ROW(53:53)),2))</f>
        <v/>
      </c>
      <c r="CI55" t="str">
        <f t="array" ref="CI55">IF(ISERROR(INDEX($A$3:$B$14312,SMALL(IF($A$3:$A$14312=CI$3,ROW($A$3:$A$14312)),ROW(53:53)),2)),"",INDEX($A$3:$B$14312,SMALL(IF($A$3:$A$14312=CI$3,ROW($A$3:$A$14312)),ROW(53:53)),2))</f>
        <v/>
      </c>
      <c r="CJ55" t="str">
        <f t="array" ref="CJ55">IF(ISERROR(INDEX($A$3:$B$14312,SMALL(IF($A$3:$A$14312=CJ$3,ROW($A$3:$A$14312)),ROW(53:53)),2)),"",INDEX($A$3:$B$14312,SMALL(IF($A$3:$A$14312=CJ$3,ROW($A$3:$A$14312)),ROW(53:53)),2))</f>
        <v/>
      </c>
      <c r="CK55" t="str">
        <f t="array" ref="CK55">IF(ISERROR(INDEX($A$3:$B$14312,SMALL(IF($A$3:$A$14312=CK$3,ROW($A$3:$A$14312)),ROW(53:53)),2)),"",INDEX($A$3:$B$14312,SMALL(IF($A$3:$A$14312=CK$3,ROW($A$3:$A$14312)),ROW(53:53)),2))</f>
        <v/>
      </c>
      <c r="CL55" t="str">
        <f t="array" ref="CL55">IF(ISERROR(INDEX($A$3:$B$14312,SMALL(IF($A$3:$A$14312=CL$3,ROW($A$3:$A$14312)),ROW(53:53)),2)),"",INDEX($A$3:$B$14312,SMALL(IF($A$3:$A$14312=CL$3,ROW($A$3:$A$14312)),ROW(53:53)),2))</f>
        <v/>
      </c>
      <c r="CM55" t="str">
        <f t="array" ref="CM55">IF(ISERROR(INDEX($A$3:$B$14312,SMALL(IF($A$3:$A$14312=CM$3,ROW($A$3:$A$14312)),ROW(53:53)),2)),"",INDEX($A$3:$B$14312,SMALL(IF($A$3:$A$14312=CM$3,ROW($A$3:$A$14312)),ROW(53:53)),2))</f>
        <v/>
      </c>
      <c r="CN55" t="str">
        <f t="array" ref="CN55">IF(ISERROR(INDEX($A$3:$B$14312,SMALL(IF($A$3:$A$14312=CN$3,ROW($A$3:$A$14312)),ROW(53:53)),2)),"",INDEX($A$3:$B$14312,SMALL(IF($A$3:$A$14312=CN$3,ROW($A$3:$A$14312)),ROW(53:53)),2))</f>
        <v/>
      </c>
      <c r="CO55" t="str">
        <f t="array" ref="CO55">IF(ISERROR(INDEX($A$3:$B$14312,SMALL(IF($A$3:$A$14312=CO$3,ROW($A$3:$A$14312)),ROW(53:53)),2)),"",INDEX($A$3:$B$14312,SMALL(IF($A$3:$A$14312=CO$3,ROW($A$3:$A$14312)),ROW(53:53)),2))</f>
        <v/>
      </c>
      <c r="CP55" t="str">
        <f t="array" ref="CP55">IF(ISERROR(INDEX($A$3:$B$14312,SMALL(IF($A$3:$A$14312=CP$3,ROW($A$3:$A$14312)),ROW(53:53)),2)),"",INDEX($A$3:$B$14312,SMALL(IF($A$3:$A$14312=CP$3,ROW($A$3:$A$14312)),ROW(53:53)),2))</f>
        <v/>
      </c>
      <c r="CQ55" t="str">
        <f t="array" ref="CQ55">IF(ISERROR(INDEX($A$3:$B$14312,SMALL(IF($A$3:$A$14312=CQ$3,ROW($A$3:$A$14312)),ROW(53:53)),2)),"",INDEX($A$3:$B$14312,SMALL(IF($A$3:$A$14312=CQ$3,ROW($A$3:$A$14312)),ROW(53:53)),2))</f>
        <v/>
      </c>
      <c r="CR55" t="str">
        <f t="array" ref="CR55">IF(ISERROR(INDEX($A$3:$B$14312,SMALL(IF($A$3:$A$14312=CR$3,ROW($A$3:$A$14312)),ROW(53:53)),2)),"",INDEX($A$3:$B$14312,SMALL(IF($A$3:$A$14312=CR$3,ROW($A$3:$A$14312)),ROW(53:53)),2))</f>
        <v/>
      </c>
      <c r="CS55" t="str">
        <f t="array" ref="CS55">IF(ISERROR(INDEX($A$3:$B$14312,SMALL(IF($A$3:$A$14312=CS$3,ROW($A$3:$A$14312)),ROW(53:53)),2)),"",INDEX($A$3:$B$14312,SMALL(IF($A$3:$A$14312=CS$3,ROW($A$3:$A$14312)),ROW(53:53)),2))</f>
        <v/>
      </c>
      <c r="CT55" t="str">
        <f t="array" ref="CT55">IF(ISERROR(INDEX($A$3:$B$14312,SMALL(IF($A$3:$A$14312=CT$3,ROW($A$3:$A$14312)),ROW(53:53)),2)),"",INDEX($A$3:$B$14312,SMALL(IF($A$3:$A$14312=CT$3,ROW($A$3:$A$14312)),ROW(53:53)),2))</f>
        <v/>
      </c>
      <c r="CU55" t="str">
        <f t="array" ref="CU55">IF(ISERROR(INDEX($A$3:$B$14312,SMALL(IF($A$3:$A$14312=CU$3,ROW($A$3:$A$14312)),ROW(53:53)),2)),"",INDEX($A$3:$B$14312,SMALL(IF($A$3:$A$14312=CU$3,ROW($A$3:$A$14312)),ROW(53:53)),2))</f>
        <v/>
      </c>
      <c r="CV55" t="str">
        <f t="array" ref="CV55">IF(ISERROR(INDEX($A$3:$B$14312,SMALL(IF($A$3:$A$14312=CV$3,ROW($A$3:$A$14312)),ROW(53:53)),2)),"",INDEX($A$3:$B$14312,SMALL(IF($A$3:$A$14312=CV$3,ROW($A$3:$A$14312)),ROW(53:53)),2))</f>
        <v/>
      </c>
      <c r="CW55" t="str">
        <f t="array" ref="CW55">IF(ISERROR(INDEX($A$3:$B$14312,SMALL(IF($A$3:$A$14312=CW$3,ROW($A$3:$A$14312)),ROW(53:53)),2)),"",INDEX($A$3:$B$14312,SMALL(IF($A$3:$A$14312=CW$3,ROW($A$3:$A$14312)),ROW(53:53)),2))</f>
        <v/>
      </c>
      <c r="CX55" t="str">
        <f t="array" ref="CX55">IF(ISERROR(INDEX($A$3:$B$14312,SMALL(IF($A$3:$A$14312=CX$3,ROW($A$3:$A$14312)),ROW(53:53)),2)),"",INDEX($A$3:$B$14312,SMALL(IF($A$3:$A$14312=CX$3,ROW($A$3:$A$14312)),ROW(53:53)),2))</f>
        <v/>
      </c>
      <c r="CY55" t="str">
        <f t="array" ref="CY55">IF(ISERROR(INDEX($A$3:$B$14312,SMALL(IF($A$3:$A$14312=CY$3,ROW($A$3:$A$14312)),ROW(53:53)),2)),"",INDEX($A$3:$B$14312,SMALL(IF($A$3:$A$14312=CY$3,ROW($A$3:$A$14312)),ROW(53:53)),2))</f>
        <v/>
      </c>
      <c r="CZ55" t="str">
        <f t="array" ref="CZ55">IF(ISERROR(INDEX($A$3:$B$14312,SMALL(IF($A$3:$A$14312=CZ$3,ROW($A$3:$A$14312)),ROW(53:53)),2)),"",INDEX($A$3:$B$14312,SMALL(IF($A$3:$A$14312=CZ$3,ROW($A$3:$A$14312)),ROW(53:53)),2))</f>
        <v/>
      </c>
      <c r="DA55" t="str">
        <f t="array" ref="DA55">IF(ISERROR(INDEX($A$3:$B$14312,SMALL(IF($A$3:$A$14312=DA$3,ROW($A$3:$A$14312)),ROW(53:53)),2)),"",INDEX($A$3:$B$14312,SMALL(IF($A$3:$A$14312=DA$3,ROW($A$3:$A$14312)),ROW(53:53)),2))</f>
        <v/>
      </c>
      <c r="DB55" t="str">
        <f t="array" ref="DB55">IF(ISERROR(INDEX($A$3:$B$14312,SMALL(IF($A$3:$A$14312=DB$3,ROW($A$3:$A$14312)),ROW(53:53)),2)),"",INDEX($A$3:$B$14312,SMALL(IF($A$3:$A$14312=DB$3,ROW($A$3:$A$14312)),ROW(53:53)),2))</f>
        <v/>
      </c>
      <c r="DC55" t="str">
        <f t="array" ref="DC55">IF(ISERROR(INDEX($A$3:$B$14312,SMALL(IF($A$3:$A$14312=DC$3,ROW($A$3:$A$14312)),ROW(53:53)),2)),"",INDEX($A$3:$B$14312,SMALL(IF($A$3:$A$14312=DC$3,ROW($A$3:$A$14312)),ROW(53:53)),2))</f>
        <v/>
      </c>
      <c r="DD55" t="str">
        <f t="array" ref="DD55">IF(ISERROR(INDEX($A$3:$B$14312,SMALL(IF($A$3:$A$14312=DD$3,ROW($A$3:$A$14312)),ROW(53:53)),2)),"",INDEX($A$3:$B$14312,SMALL(IF($A$3:$A$14312=DD$3,ROW($A$3:$A$14312)),ROW(53:53)),2))</f>
        <v/>
      </c>
      <c r="DE55" t="str">
        <f t="array" ref="DE55">IF(ISERROR(INDEX($A$3:$B$14312,SMALL(IF($A$3:$A$14312=DE$3,ROW($A$3:$A$14312)),ROW(53:53)),2)),"",INDEX($A$3:$B$14312,SMALL(IF($A$3:$A$14312=DE$3,ROW($A$3:$A$14312)),ROW(53:53)),2))</f>
        <v/>
      </c>
      <c r="DF55" t="str">
        <f t="array" ref="DF55">IF(ISERROR(INDEX($A$3:$B$14312,SMALL(IF($A$3:$A$14312=DF$3,ROW($A$3:$A$14312)),ROW(53:53)),2)),"",INDEX($A$3:$B$14312,SMALL(IF($A$3:$A$14312=DF$3,ROW($A$3:$A$14312)),ROW(53:53)),2))</f>
        <v/>
      </c>
      <c r="DG55" t="str">
        <f t="array" ref="DG55">IF(ISERROR(INDEX($A$3:$B$14312,SMALL(IF($A$3:$A$14312=DG$3,ROW($A$3:$A$14312)),ROW(53:53)),2)),"",INDEX($A$3:$B$14312,SMALL(IF($A$3:$A$14312=DG$3,ROW($A$3:$A$14312)),ROW(53:53)),2))</f>
        <v/>
      </c>
      <c r="DH55" t="str">
        <f t="array" ref="DH55">IF(ISERROR(INDEX($A$3:$B$14312,SMALL(IF($A$3:$A$14312=DH$3,ROW($A$3:$A$14312)),ROW(53:53)),2)),"",INDEX($A$3:$B$14312,SMALL(IF($A$3:$A$14312=DH$3,ROW($A$3:$A$14312)),ROW(53:53)),2))</f>
        <v/>
      </c>
      <c r="DI55" t="str">
        <f t="array" ref="DI55">IF(ISERROR(INDEX($A$3:$B$14312,SMALL(IF($A$3:$A$14312=DI$3,ROW($A$3:$A$14312)),ROW(53:53)),2)),"",INDEX($A$3:$B$14312,SMALL(IF($A$3:$A$14312=DI$3,ROW($A$3:$A$14312)),ROW(53:53)),2))</f>
        <v>Router3_119</v>
      </c>
      <c r="DJ55" t="str">
        <f t="array" ref="DJ55">IF(ISERROR(INDEX($A$3:$B$14312,SMALL(IF($A$3:$A$14312=DJ$3,ROW($A$3:$A$14312)),ROW(53:53)),2)),"",INDEX($A$3:$B$14312,SMALL(IF($A$3:$A$14312=DJ$3,ROW($A$3:$A$14312)),ROW(53:53)),2))</f>
        <v/>
      </c>
      <c r="DK55" t="str">
        <f t="array" ref="DK55">IF(ISERROR(INDEX($A$3:$B$14312,SMALL(IF($A$3:$A$14312=DK$3,ROW($A$3:$A$14312)),ROW(53:53)),2)),"",INDEX($A$3:$B$14312,SMALL(IF($A$3:$A$14312=DK$3,ROW($A$3:$A$14312)),ROW(53:53)),2))</f>
        <v/>
      </c>
      <c r="DL55" t="str">
        <f t="array" ref="DL55">IF(ISERROR(INDEX($A$3:$B$14312,SMALL(IF($A$3:$A$14312=DL$3,ROW($A$3:$A$14312)),ROW(53:53)),2)),"",INDEX($A$3:$B$14312,SMALL(IF($A$3:$A$14312=DL$3,ROW($A$3:$A$14312)),ROW(53:53)),2))</f>
        <v/>
      </c>
      <c r="DM55" t="str">
        <f t="array" ref="DM55">IF(ISERROR(INDEX($A$3:$B$14312,SMALL(IF($A$3:$A$14312=DM$3,ROW($A$3:$A$14312)),ROW(53:53)),2)),"",INDEX($A$3:$B$14312,SMALL(IF($A$3:$A$14312=DM$3,ROW($A$3:$A$14312)),ROW(53:53)),2))</f>
        <v/>
      </c>
      <c r="DN55" t="str">
        <f t="array" ref="DN55">IF(ISERROR(INDEX($A$3:$B$14312,SMALL(IF($A$3:$A$14312=DN$3,ROW($A$3:$A$14312)),ROW(53:53)),2)),"",INDEX($A$3:$B$14312,SMALL(IF($A$3:$A$14312=DN$3,ROW($A$3:$A$14312)),ROW(53:53)),2))</f>
        <v/>
      </c>
      <c r="DO55" t="str">
        <f t="array" ref="DO55">IF(ISERROR(INDEX($A$3:$B$14312,SMALL(IF($A$3:$A$14312=DO$3,ROW($A$3:$A$14312)),ROW(53:53)),2)),"",INDEX($A$3:$B$14312,SMALL(IF($A$3:$A$14312=DO$3,ROW($A$3:$A$14312)),ROW(53:53)),2))</f>
        <v/>
      </c>
      <c r="DP55" t="str">
        <f t="array" ref="DP55">IF(ISERROR(INDEX($A$3:$B$14312,SMALL(IF($A$3:$A$14312=DP$3,ROW($A$3:$A$14312)),ROW(53:53)),2)),"",INDEX($A$3:$B$14312,SMALL(IF($A$3:$A$14312=DP$3,ROW($A$3:$A$14312)),ROW(53:53)),2))</f>
        <v/>
      </c>
      <c r="DQ55" t="str">
        <f t="array" ref="DQ55">IF(ISERROR(INDEX($A$3:$B$14312,SMALL(IF($A$3:$A$14312=DQ$3,ROW($A$3:$A$14312)),ROW(53:53)),2)),"",INDEX($A$3:$B$14312,SMALL(IF($A$3:$A$14312=DQ$3,ROW($A$3:$A$14312)),ROW(53:53)),2))</f>
        <v/>
      </c>
      <c r="DR55" t="str">
        <f t="array" ref="DR55">IF(ISERROR(INDEX($A$3:$B$14312,SMALL(IF($A$3:$A$14312=DR$3,ROW($A$3:$A$14312)),ROW(53:53)),2)),"",INDEX($A$3:$B$14312,SMALL(IF($A$3:$A$14312=DR$3,ROW($A$3:$A$14312)),ROW(53:53)),2))</f>
        <v/>
      </c>
      <c r="DS55" t="str">
        <f t="array" ref="DS55">IF(ISERROR(INDEX($A$3:$B$14312,SMALL(IF($A$3:$A$14312=DS$3,ROW($A$3:$A$14312)),ROW(53:53)),2)),"",INDEX($A$3:$B$14312,SMALL(IF($A$3:$A$14312=DS$3,ROW($A$3:$A$14312)),ROW(53:53)),2))</f>
        <v/>
      </c>
      <c r="DT55" t="str">
        <f t="array" ref="DT55">IF(ISERROR(INDEX($A$3:$B$14312,SMALL(IF($A$3:$A$14312=DT$3,ROW($A$3:$A$14312)),ROW(53:53)),2)),"",INDEX($A$3:$B$14312,SMALL(IF($A$3:$A$14312=DT$3,ROW($A$3:$A$14312)),ROW(53:53)),2))</f>
        <v>Router3_119</v>
      </c>
      <c r="DU55" t="str">
        <f t="array" ref="DU55">IF(ISERROR(INDEX($A$3:$B$14312,SMALL(IF($A$3:$A$14312=DU$3,ROW($A$3:$A$14312)),ROW(53:53)),2)),"",INDEX($A$3:$B$14312,SMALL(IF($A$3:$A$14312=DU$3,ROW($A$3:$A$14312)),ROW(53:53)),2))</f>
        <v/>
      </c>
      <c r="DV55" t="str">
        <f t="array" ref="DV55">IF(ISERROR(INDEX($A$3:$B$14312,SMALL(IF($A$3:$A$14312=DV$3,ROW($A$3:$A$14312)),ROW(53:53)),2)),"",INDEX($A$3:$B$14312,SMALL(IF($A$3:$A$14312=DV$3,ROW($A$3:$A$14312)),ROW(53:53)),2))</f>
        <v/>
      </c>
      <c r="DW55" t="str">
        <f t="array" ref="DW55">IF(ISERROR(INDEX($A$3:$B$14312,SMALL(IF($A$3:$A$14312=DW$3,ROW($A$3:$A$14312)),ROW(53:53)),2)),"",INDEX($A$3:$B$14312,SMALL(IF($A$3:$A$14312=DW$3,ROW($A$3:$A$14312)),ROW(53:53)),2))</f>
        <v/>
      </c>
      <c r="DX55" t="str">
        <f t="array" ref="DX55">IF(ISERROR(INDEX($A$3:$B$14312,SMALL(IF($A$3:$A$14312=DX$3,ROW($A$3:$A$14312)),ROW(53:53)),2)),"",INDEX($A$3:$B$14312,SMALL(IF($A$3:$A$14312=DX$3,ROW($A$3:$A$14312)),ROW(53:53)),2))</f>
        <v/>
      </c>
      <c r="DY55" t="str">
        <f t="array" ref="DY55">IF(ISERROR(INDEX($A$3:$B$14312,SMALL(IF($A$3:$A$14312=DY$3,ROW($A$3:$A$14312)),ROW(53:53)),2)),"",INDEX($A$3:$B$14312,SMALL(IF($A$3:$A$14312=DY$3,ROW($A$3:$A$14312)),ROW(53:53)),2))</f>
        <v/>
      </c>
      <c r="DZ55" t="str">
        <f t="array" ref="DZ55">IF(ISERROR(INDEX($A$3:$B$14312,SMALL(IF($A$3:$A$14312=DZ$3,ROW($A$3:$A$14312)),ROW(53:53)),2)),"",INDEX($A$3:$B$14312,SMALL(IF($A$3:$A$14312=DZ$3,ROW($A$3:$A$14312)),ROW(53:53)),2))</f>
        <v/>
      </c>
      <c r="EA55" t="str">
        <f t="array" ref="EA55">IF(ISERROR(INDEX($A$3:$B$14312,SMALL(IF($A$3:$A$14312=EA$3,ROW($A$3:$A$14312)),ROW(53:53)),2)),"",INDEX($A$3:$B$14312,SMALL(IF($A$3:$A$14312=EA$3,ROW($A$3:$A$14312)),ROW(53:53)),2))</f>
        <v/>
      </c>
      <c r="EB55" t="str">
        <f t="array" ref="EB55">IF(ISERROR(INDEX($A$3:$B$14312,SMALL(IF($A$3:$A$14312=EB$3,ROW($A$3:$A$14312)),ROW(53:53)),2)),"",INDEX($A$3:$B$14312,SMALL(IF($A$3:$A$14312=EB$3,ROW($A$3:$A$14312)),ROW(53:53)),2))</f>
        <v/>
      </c>
      <c r="EC55" t="str">
        <f t="array" ref="EC55">IF(ISERROR(INDEX($A$3:$B$14312,SMALL(IF($A$3:$A$14312=EC$3,ROW($A$3:$A$14312)),ROW(53:53)),2)),"",INDEX($A$3:$B$14312,SMALL(IF($A$3:$A$14312=EC$3,ROW($A$3:$A$14312)),ROW(53:53)),2))</f>
        <v>Router3_166</v>
      </c>
      <c r="ED55" t="str">
        <f t="array" ref="ED55">IF(ISERROR(INDEX($A$3:$B$14312,SMALL(IF($A$3:$A$14312=ED$3,ROW($A$3:$A$14312)),ROW(53:53)),2)),"",INDEX($A$3:$B$14312,SMALL(IF($A$3:$A$14312=ED$3,ROW($A$3:$A$14312)),ROW(53:53)),2))</f>
        <v/>
      </c>
      <c r="EE55" t="str">
        <f t="array" ref="EE55">IF(ISERROR(INDEX($A$3:$B$14312,SMALL(IF($A$3:$A$14312=EE$3,ROW($A$3:$A$14312)),ROW(53:53)),2)),"",INDEX($A$3:$B$14312,SMALL(IF($A$3:$A$14312=EE$3,ROW($A$3:$A$14312)),ROW(53:53)),2))</f>
        <v/>
      </c>
    </row>
    <row r="56" spans="1:135" x14ac:dyDescent="0.25">
      <c r="A56" s="10">
        <v>-424987520</v>
      </c>
      <c r="B56" t="s">
        <v>1114</v>
      </c>
      <c r="E56" t="str">
        <f t="array" ref="E56">IF(ISERROR(INDEX($A$3:$B$14312,SMALL(IF($A$3:$A$14312=E$3,ROW($A$3:$A$14312)),ROW(54:54)),2)),"",INDEX($A$3:$B$14312,SMALL(IF($A$3:$A$14312=E$3,ROW($A$3:$A$14312)),ROW(54:54)),2))</f>
        <v/>
      </c>
      <c r="F56" t="str">
        <f t="array" ref="F56">IF(ISERROR(INDEX($A$3:$B$14312,SMALL(IF($A$3:$A$14312=F$3,ROW($A$3:$A$14312)),ROW(54:54)),2)),"",INDEX($A$3:$B$14312,SMALL(IF($A$3:$A$14312=F$3,ROW($A$3:$A$14312)),ROW(54:54)),2))</f>
        <v/>
      </c>
      <c r="G56" t="str">
        <f t="array" ref="G56">IF(ISERROR(INDEX($A$3:$B$14312,SMALL(IF($A$3:$A$14312=G$3,ROW($A$3:$A$14312)),ROW(54:54)),2)),"",INDEX($A$3:$B$14312,SMALL(IF($A$3:$A$14312=G$3,ROW($A$3:$A$14312)),ROW(54:54)),2))</f>
        <v/>
      </c>
      <c r="H56" t="str">
        <f t="array" ref="H56">IF(ISERROR(INDEX($A$3:$B$14312,SMALL(IF($A$3:$A$14312=H$3,ROW($A$3:$A$14312)),ROW(54:54)),2)),"",INDEX($A$3:$B$14312,SMALL(IF($A$3:$A$14312=H$3,ROW($A$3:$A$14312)),ROW(54:54)),2))</f>
        <v/>
      </c>
      <c r="I56" t="str">
        <f t="array" ref="I56">IF(ISERROR(INDEX($A$3:$B$14312,SMALL(IF($A$3:$A$14312=I$3,ROW($A$3:$A$14312)),ROW(54:54)),2)),"",INDEX($A$3:$B$14312,SMALL(IF($A$3:$A$14312=I$3,ROW($A$3:$A$14312)),ROW(54:54)),2))</f>
        <v/>
      </c>
      <c r="J56" t="str">
        <f t="array" ref="J56">IF(ISERROR(INDEX($A$3:$B$14312,SMALL(IF($A$3:$A$14312=J$3,ROW($A$3:$A$14312)),ROW(54:54)),2)),"",INDEX($A$3:$B$14312,SMALL(IF($A$3:$A$14312=J$3,ROW($A$3:$A$14312)),ROW(54:54)),2))</f>
        <v/>
      </c>
      <c r="K56" t="str">
        <f t="array" ref="K56">IF(ISERROR(INDEX($A$3:$B$14312,SMALL(IF($A$3:$A$14312=K$3,ROW($A$3:$A$14312)),ROW(54:54)),2)),"",INDEX($A$3:$B$14312,SMALL(IF($A$3:$A$14312=K$3,ROW($A$3:$A$14312)),ROW(54:54)),2))</f>
        <v/>
      </c>
      <c r="L56" t="str">
        <f t="array" ref="L56">IF(ISERROR(INDEX($A$3:$B$14312,SMALL(IF($A$3:$A$14312=L$3,ROW($A$3:$A$14312)),ROW(54:54)),2)),"",INDEX($A$3:$B$14312,SMALL(IF($A$3:$A$14312=L$3,ROW($A$3:$A$14312)),ROW(54:54)),2))</f>
        <v/>
      </c>
      <c r="M56" t="str">
        <f t="array" ref="M56">IF(ISERROR(INDEX($A$3:$B$14312,SMALL(IF($A$3:$A$14312=M$3,ROW($A$3:$A$14312)),ROW(54:54)),2)),"",INDEX($A$3:$B$14312,SMALL(IF($A$3:$A$14312=M$3,ROW($A$3:$A$14312)),ROW(54:54)),2))</f>
        <v/>
      </c>
      <c r="N56" t="str">
        <f t="array" ref="N56">IF(ISERROR(INDEX($A$3:$B$14312,SMALL(IF($A$3:$A$14312=N$3,ROW($A$3:$A$14312)),ROW(54:54)),2)),"",INDEX($A$3:$B$14312,SMALL(IF($A$3:$A$14312=N$3,ROW($A$3:$A$14312)),ROW(54:54)),2))</f>
        <v/>
      </c>
      <c r="O56" t="str">
        <f t="array" ref="O56">IF(ISERROR(INDEX($A$3:$B$14312,SMALL(IF($A$3:$A$14312=O$3,ROW($A$3:$A$14312)),ROW(54:54)),2)),"",INDEX($A$3:$B$14312,SMALL(IF($A$3:$A$14312=O$3,ROW($A$3:$A$14312)),ROW(54:54)),2))</f>
        <v/>
      </c>
      <c r="P56" t="str">
        <f t="array" ref="P56">IF(ISERROR(INDEX($A$3:$B$14312,SMALL(IF($A$3:$A$14312=P$3,ROW($A$3:$A$14312)),ROW(54:54)),2)),"",INDEX($A$3:$B$14312,SMALL(IF($A$3:$A$14312=P$3,ROW($A$3:$A$14312)),ROW(54:54)),2))</f>
        <v/>
      </c>
      <c r="Q56" t="str">
        <f t="array" ref="Q56">IF(ISERROR(INDEX($A$3:$B$14312,SMALL(IF($A$3:$A$14312=Q$3,ROW($A$3:$A$14312)),ROW(54:54)),2)),"",INDEX($A$3:$B$14312,SMALL(IF($A$3:$A$14312=Q$3,ROW($A$3:$A$14312)),ROW(54:54)),2))</f>
        <v/>
      </c>
      <c r="R56" t="str">
        <f t="array" ref="R56">IF(ISERROR(INDEX($A$3:$B$14312,SMALL(IF($A$3:$A$14312=R$3,ROW($A$3:$A$14312)),ROW(54:54)),2)),"",INDEX($A$3:$B$14312,SMALL(IF($A$3:$A$14312=R$3,ROW($A$3:$A$14312)),ROW(54:54)),2))</f>
        <v/>
      </c>
      <c r="S56" t="str">
        <f t="array" ref="S56">IF(ISERROR(INDEX($A$3:$B$14312,SMALL(IF($A$3:$A$14312=S$3,ROW($A$3:$A$14312)),ROW(54:54)),2)),"",INDEX($A$3:$B$14312,SMALL(IF($A$3:$A$14312=S$3,ROW($A$3:$A$14312)),ROW(54:54)),2))</f>
        <v/>
      </c>
      <c r="T56" t="str">
        <f t="array" ref="T56">IF(ISERROR(INDEX($A$3:$B$14312,SMALL(IF($A$3:$A$14312=T$3,ROW($A$3:$A$14312)),ROW(54:54)),2)),"",INDEX($A$3:$B$14312,SMALL(IF($A$3:$A$14312=T$3,ROW($A$3:$A$14312)),ROW(54:54)),2))</f>
        <v/>
      </c>
      <c r="U56" t="str">
        <f t="array" ref="U56">IF(ISERROR(INDEX($A$3:$B$14312,SMALL(IF($A$3:$A$14312=U$3,ROW($A$3:$A$14312)),ROW(54:54)),2)),"",INDEX($A$3:$B$14312,SMALL(IF($A$3:$A$14312=U$3,ROW($A$3:$A$14312)),ROW(54:54)),2))</f>
        <v/>
      </c>
      <c r="V56" t="str">
        <f t="array" ref="V56">IF(ISERROR(INDEX($A$3:$B$14312,SMALL(IF($A$3:$A$14312=V$3,ROW($A$3:$A$14312)),ROW(54:54)),2)),"",INDEX($A$3:$B$14312,SMALL(IF($A$3:$A$14312=V$3,ROW($A$3:$A$14312)),ROW(54:54)),2))</f>
        <v/>
      </c>
      <c r="W56" t="str">
        <f t="array" ref="W56">IF(ISERROR(INDEX($A$3:$B$14312,SMALL(IF($A$3:$A$14312=W$3,ROW($A$3:$A$14312)),ROW(54:54)),2)),"",INDEX($A$3:$B$14312,SMALL(IF($A$3:$A$14312=W$3,ROW($A$3:$A$14312)),ROW(54:54)),2))</f>
        <v>Router3_13</v>
      </c>
      <c r="X56" t="str">
        <f t="array" ref="X56">IF(ISERROR(INDEX($A$3:$B$14312,SMALL(IF($A$3:$A$14312=X$3,ROW($A$3:$A$14312)),ROW(54:54)),2)),"",INDEX($A$3:$B$14312,SMALL(IF($A$3:$A$14312=X$3,ROW($A$3:$A$14312)),ROW(54:54)),2))</f>
        <v/>
      </c>
      <c r="Y56" t="str">
        <f t="array" ref="Y56">IF(ISERROR(INDEX($A$3:$B$14312,SMALL(IF($A$3:$A$14312=Y$3,ROW($A$3:$A$14312)),ROW(54:54)),2)),"",INDEX($A$3:$B$14312,SMALL(IF($A$3:$A$14312=Y$3,ROW($A$3:$A$14312)),ROW(54:54)),2))</f>
        <v/>
      </c>
      <c r="Z56" t="str">
        <f t="array" ref="Z56">IF(ISERROR(INDEX($A$3:$B$14312,SMALL(IF($A$3:$A$14312=Z$3,ROW($A$3:$A$14312)),ROW(54:54)),2)),"",INDEX($A$3:$B$14312,SMALL(IF($A$3:$A$14312=Z$3,ROW($A$3:$A$14312)),ROW(54:54)),2))</f>
        <v/>
      </c>
      <c r="AA56" t="str">
        <f t="array" ref="AA56">IF(ISERROR(INDEX($A$3:$B$14312,SMALL(IF($A$3:$A$14312=AA$3,ROW($A$3:$A$14312)),ROW(54:54)),2)),"",INDEX($A$3:$B$14312,SMALL(IF($A$3:$A$14312=AA$3,ROW($A$3:$A$14312)),ROW(54:54)),2))</f>
        <v/>
      </c>
      <c r="AB56" t="str">
        <f t="array" ref="AB56">IF(ISERROR(INDEX($A$3:$B$14312,SMALL(IF($A$3:$A$14312=AB$3,ROW($A$3:$A$14312)),ROW(54:54)),2)),"",INDEX($A$3:$B$14312,SMALL(IF($A$3:$A$14312=AB$3,ROW($A$3:$A$14312)),ROW(54:54)),2))</f>
        <v/>
      </c>
      <c r="AC56" t="str">
        <f t="array" ref="AC56">IF(ISERROR(INDEX($A$3:$B$14312,SMALL(IF($A$3:$A$14312=AC$3,ROW($A$3:$A$14312)),ROW(54:54)),2)),"",INDEX($A$3:$B$14312,SMALL(IF($A$3:$A$14312=AC$3,ROW($A$3:$A$14312)),ROW(54:54)),2))</f>
        <v/>
      </c>
      <c r="AD56" t="str">
        <f t="array" ref="AD56">IF(ISERROR(INDEX($A$3:$B$14312,SMALL(IF($A$3:$A$14312=AD$3,ROW($A$3:$A$14312)),ROW(54:54)),2)),"",INDEX($A$3:$B$14312,SMALL(IF($A$3:$A$14312=AD$3,ROW($A$3:$A$14312)),ROW(54:54)),2))</f>
        <v/>
      </c>
      <c r="AE56" t="str">
        <f t="array" ref="AE56">IF(ISERROR(INDEX($A$3:$B$14312,SMALL(IF($A$3:$A$14312=AE$3,ROW($A$3:$A$14312)),ROW(54:54)),2)),"",INDEX($A$3:$B$14312,SMALL(IF($A$3:$A$14312=AE$3,ROW($A$3:$A$14312)),ROW(54:54)),2))</f>
        <v/>
      </c>
      <c r="AF56" t="str">
        <f t="array" ref="AF56">IF(ISERROR(INDEX($A$3:$B$14312,SMALL(IF($A$3:$A$14312=AF$3,ROW($A$3:$A$14312)),ROW(54:54)),2)),"",INDEX($A$3:$B$14312,SMALL(IF($A$3:$A$14312=AF$3,ROW($A$3:$A$14312)),ROW(54:54)),2))</f>
        <v/>
      </c>
      <c r="AG56" t="str">
        <f t="array" ref="AG56">IF(ISERROR(INDEX($A$3:$B$14312,SMALL(IF($A$3:$A$14312=AG$3,ROW($A$3:$A$14312)),ROW(54:54)),2)),"",INDEX($A$3:$B$14312,SMALL(IF($A$3:$A$14312=AG$3,ROW($A$3:$A$14312)),ROW(54:54)),2))</f>
        <v/>
      </c>
      <c r="AH56" t="str">
        <f t="array" ref="AH56">IF(ISERROR(INDEX($A$3:$B$14312,SMALL(IF($A$3:$A$14312=AH$3,ROW($A$3:$A$14312)),ROW(54:54)),2)),"",INDEX($A$3:$B$14312,SMALL(IF($A$3:$A$14312=AH$3,ROW($A$3:$A$14312)),ROW(54:54)),2))</f>
        <v/>
      </c>
      <c r="AI56" t="str">
        <f t="array" ref="AI56">IF(ISERROR(INDEX($A$3:$B$14312,SMALL(IF($A$3:$A$14312=AI$3,ROW($A$3:$A$14312)),ROW(54:54)),2)),"",INDEX($A$3:$B$14312,SMALL(IF($A$3:$A$14312=AI$3,ROW($A$3:$A$14312)),ROW(54:54)),2))</f>
        <v/>
      </c>
      <c r="AJ56" t="str">
        <f t="array" ref="AJ56">IF(ISERROR(INDEX($A$3:$B$14312,SMALL(IF($A$3:$A$14312=AJ$3,ROW($A$3:$A$14312)),ROW(54:54)),2)),"",INDEX($A$3:$B$14312,SMALL(IF($A$3:$A$14312=AJ$3,ROW($A$3:$A$14312)),ROW(54:54)),2))</f>
        <v/>
      </c>
      <c r="AK56" t="str">
        <f t="array" ref="AK56">IF(ISERROR(INDEX($A$3:$B$14312,SMALL(IF($A$3:$A$14312=AK$3,ROW($A$3:$A$14312)),ROW(54:54)),2)),"",INDEX($A$3:$B$14312,SMALL(IF($A$3:$A$14312=AK$3,ROW($A$3:$A$14312)),ROW(54:54)),2))</f>
        <v/>
      </c>
      <c r="AL56" t="str">
        <f t="array" ref="AL56">IF(ISERROR(INDEX($A$3:$B$14312,SMALL(IF($A$3:$A$14312=AL$3,ROW($A$3:$A$14312)),ROW(54:54)),2)),"",INDEX($A$3:$B$14312,SMALL(IF($A$3:$A$14312=AL$3,ROW($A$3:$A$14312)),ROW(54:54)),2))</f>
        <v/>
      </c>
      <c r="AM56" t="str">
        <f t="array" ref="AM56">IF(ISERROR(INDEX($A$3:$B$14312,SMALL(IF($A$3:$A$14312=AM$3,ROW($A$3:$A$14312)),ROW(54:54)),2)),"",INDEX($A$3:$B$14312,SMALL(IF($A$3:$A$14312=AM$3,ROW($A$3:$A$14312)),ROW(54:54)),2))</f>
        <v/>
      </c>
      <c r="AN56" t="str">
        <f t="array" ref="AN56">IF(ISERROR(INDEX($A$3:$B$14312,SMALL(IF($A$3:$A$14312=AN$3,ROW($A$3:$A$14312)),ROW(54:54)),2)),"",INDEX($A$3:$B$14312,SMALL(IF($A$3:$A$14312=AN$3,ROW($A$3:$A$14312)),ROW(54:54)),2))</f>
        <v/>
      </c>
      <c r="AO56" t="str">
        <f t="array" ref="AO56">IF(ISERROR(INDEX($A$3:$B$14312,SMALL(IF($A$3:$A$14312=AO$3,ROW($A$3:$A$14312)),ROW(54:54)),2)),"",INDEX($A$3:$B$14312,SMALL(IF($A$3:$A$14312=AO$3,ROW($A$3:$A$14312)),ROW(54:54)),2))</f>
        <v/>
      </c>
      <c r="AP56" t="str">
        <f t="array" ref="AP56">IF(ISERROR(INDEX($A$3:$B$14312,SMALL(IF($A$3:$A$14312=AP$3,ROW($A$3:$A$14312)),ROW(54:54)),2)),"",INDEX($A$3:$B$14312,SMALL(IF($A$3:$A$14312=AP$3,ROW($A$3:$A$14312)),ROW(54:54)),2))</f>
        <v/>
      </c>
      <c r="AQ56" t="str">
        <f t="array" ref="AQ56">IF(ISERROR(INDEX($A$3:$B$14312,SMALL(IF($A$3:$A$14312=AQ$3,ROW($A$3:$A$14312)),ROW(54:54)),2)),"",INDEX($A$3:$B$14312,SMALL(IF($A$3:$A$14312=AQ$3,ROW($A$3:$A$14312)),ROW(54:54)),2))</f>
        <v/>
      </c>
      <c r="AR56" t="str">
        <f t="array" ref="AR56">IF(ISERROR(INDEX($A$3:$B$14312,SMALL(IF($A$3:$A$14312=AR$3,ROW($A$3:$A$14312)),ROW(54:54)),2)),"",INDEX($A$3:$B$14312,SMALL(IF($A$3:$A$14312=AR$3,ROW($A$3:$A$14312)),ROW(54:54)),2))</f>
        <v/>
      </c>
      <c r="AS56" t="str">
        <f t="array" ref="AS56">IF(ISERROR(INDEX($A$3:$B$14312,SMALL(IF($A$3:$A$14312=AS$3,ROW($A$3:$A$14312)),ROW(54:54)),2)),"",INDEX($A$3:$B$14312,SMALL(IF($A$3:$A$14312=AS$3,ROW($A$3:$A$14312)),ROW(54:54)),2))</f>
        <v/>
      </c>
      <c r="AT56" t="str">
        <f t="array" ref="AT56">IF(ISERROR(INDEX($A$3:$B$14312,SMALL(IF($A$3:$A$14312=AT$3,ROW($A$3:$A$14312)),ROW(54:54)),2)),"",INDEX($A$3:$B$14312,SMALL(IF($A$3:$A$14312=AT$3,ROW($A$3:$A$14312)),ROW(54:54)),2))</f>
        <v/>
      </c>
      <c r="AU56" t="str">
        <f t="array" ref="AU56">IF(ISERROR(INDEX($A$3:$B$14312,SMALL(IF($A$3:$A$14312=AU$3,ROW($A$3:$A$14312)),ROW(54:54)),2)),"",INDEX($A$3:$B$14312,SMALL(IF($A$3:$A$14312=AU$3,ROW($A$3:$A$14312)),ROW(54:54)),2))</f>
        <v/>
      </c>
      <c r="AV56" t="str">
        <f t="array" ref="AV56">IF(ISERROR(INDEX($A$3:$B$14312,SMALL(IF($A$3:$A$14312=AV$3,ROW($A$3:$A$14312)),ROW(54:54)),2)),"",INDEX($A$3:$B$14312,SMALL(IF($A$3:$A$14312=AV$3,ROW($A$3:$A$14312)),ROW(54:54)),2))</f>
        <v/>
      </c>
      <c r="AW56" t="str">
        <f t="array" ref="AW56">IF(ISERROR(INDEX($A$3:$B$14312,SMALL(IF($A$3:$A$14312=AW$3,ROW($A$3:$A$14312)),ROW(54:54)),2)),"",INDEX($A$3:$B$14312,SMALL(IF($A$3:$A$14312=AW$3,ROW($A$3:$A$14312)),ROW(54:54)),2))</f>
        <v/>
      </c>
      <c r="AX56" t="str">
        <f t="array" ref="AX56">IF(ISERROR(INDEX($A$3:$B$14312,SMALL(IF($A$3:$A$14312=AX$3,ROW($A$3:$A$14312)),ROW(54:54)),2)),"",INDEX($A$3:$B$14312,SMALL(IF($A$3:$A$14312=AX$3,ROW($A$3:$A$14312)),ROW(54:54)),2))</f>
        <v/>
      </c>
      <c r="AY56" t="str">
        <f t="array" ref="AY56">IF(ISERROR(INDEX($A$3:$B$14312,SMALL(IF($A$3:$A$14312=AY$3,ROW($A$3:$A$14312)),ROW(54:54)),2)),"",INDEX($A$3:$B$14312,SMALL(IF($A$3:$A$14312=AY$3,ROW($A$3:$A$14312)),ROW(54:54)),2))</f>
        <v/>
      </c>
      <c r="AZ56" t="str">
        <f t="array" ref="AZ56">IF(ISERROR(INDEX($A$3:$B$14312,SMALL(IF($A$3:$A$14312=AZ$3,ROW($A$3:$A$14312)),ROW(54:54)),2)),"",INDEX($A$3:$B$14312,SMALL(IF($A$3:$A$14312=AZ$3,ROW($A$3:$A$14312)),ROW(54:54)),2))</f>
        <v/>
      </c>
      <c r="BA56" t="str">
        <f t="array" ref="BA56">IF(ISERROR(INDEX($A$3:$B$14312,SMALL(IF($A$3:$A$14312=BA$3,ROW($A$3:$A$14312)),ROW(54:54)),2)),"",INDEX($A$3:$B$14312,SMALL(IF($A$3:$A$14312=BA$3,ROW($A$3:$A$14312)),ROW(54:54)),2))</f>
        <v/>
      </c>
      <c r="BB56" t="str">
        <f t="array" ref="BB56">IF(ISERROR(INDEX($A$3:$B$14312,SMALL(IF($A$3:$A$14312=BB$3,ROW($A$3:$A$14312)),ROW(54:54)),2)),"",INDEX($A$3:$B$14312,SMALL(IF($A$3:$A$14312=BB$3,ROW($A$3:$A$14312)),ROW(54:54)),2))</f>
        <v/>
      </c>
      <c r="BC56" t="str">
        <f t="array" ref="BC56">IF(ISERROR(INDEX($A$3:$B$14312,SMALL(IF($A$3:$A$14312=BC$3,ROW($A$3:$A$14312)),ROW(54:54)),2)),"",INDEX($A$3:$B$14312,SMALL(IF($A$3:$A$14312=BC$3,ROW($A$3:$A$14312)),ROW(54:54)),2))</f>
        <v/>
      </c>
      <c r="BD56" t="str">
        <f t="array" ref="BD56">IF(ISERROR(INDEX($A$3:$B$14312,SMALL(IF($A$3:$A$14312=BD$3,ROW($A$3:$A$14312)),ROW(54:54)),2)),"",INDEX($A$3:$B$14312,SMALL(IF($A$3:$A$14312=BD$3,ROW($A$3:$A$14312)),ROW(54:54)),2))</f>
        <v/>
      </c>
      <c r="BE56" t="str">
        <f t="array" ref="BE56">IF(ISERROR(INDEX($A$3:$B$14312,SMALL(IF($A$3:$A$14312=BE$3,ROW($A$3:$A$14312)),ROW(54:54)),2)),"",INDEX($A$3:$B$14312,SMALL(IF($A$3:$A$14312=BE$3,ROW($A$3:$A$14312)),ROW(54:54)),2))</f>
        <v/>
      </c>
      <c r="BF56" t="str">
        <f t="array" ref="BF56">IF(ISERROR(INDEX($A$3:$B$14312,SMALL(IF($A$3:$A$14312=BF$3,ROW($A$3:$A$14312)),ROW(54:54)),2)),"",INDEX($A$3:$B$14312,SMALL(IF($A$3:$A$14312=BF$3,ROW($A$3:$A$14312)),ROW(54:54)),2))</f>
        <v/>
      </c>
      <c r="BG56" t="str">
        <f t="array" ref="BG56">IF(ISERROR(INDEX($A$3:$B$14312,SMALL(IF($A$3:$A$14312=BG$3,ROW($A$3:$A$14312)),ROW(54:54)),2)),"",INDEX($A$3:$B$14312,SMALL(IF($A$3:$A$14312=BG$3,ROW($A$3:$A$14312)),ROW(54:54)),2))</f>
        <v/>
      </c>
      <c r="BH56" t="str">
        <f t="array" ref="BH56">IF(ISERROR(INDEX($A$3:$B$14312,SMALL(IF($A$3:$A$14312=BH$3,ROW($A$3:$A$14312)),ROW(54:54)),2)),"",INDEX($A$3:$B$14312,SMALL(IF($A$3:$A$14312=BH$3,ROW($A$3:$A$14312)),ROW(54:54)),2))</f>
        <v/>
      </c>
      <c r="BI56" t="str">
        <f t="array" ref="BI56">IF(ISERROR(INDEX($A$3:$B$14312,SMALL(IF($A$3:$A$14312=BI$3,ROW($A$3:$A$14312)),ROW(54:54)),2)),"",INDEX($A$3:$B$14312,SMALL(IF($A$3:$A$14312=BI$3,ROW($A$3:$A$14312)),ROW(54:54)),2))</f>
        <v/>
      </c>
      <c r="BJ56" t="str">
        <f t="array" ref="BJ56">IF(ISERROR(INDEX($A$3:$B$14312,SMALL(IF($A$3:$A$14312=BJ$3,ROW($A$3:$A$14312)),ROW(54:54)),2)),"",INDEX($A$3:$B$14312,SMALL(IF($A$3:$A$14312=BJ$3,ROW($A$3:$A$14312)),ROW(54:54)),2))</f>
        <v/>
      </c>
      <c r="BK56" t="str">
        <f t="array" ref="BK56">IF(ISERROR(INDEX($A$3:$B$14312,SMALL(IF($A$3:$A$14312=BK$3,ROW($A$3:$A$14312)),ROW(54:54)),2)),"",INDEX($A$3:$B$14312,SMALL(IF($A$3:$A$14312=BK$3,ROW($A$3:$A$14312)),ROW(54:54)),2))</f>
        <v/>
      </c>
      <c r="BL56" t="str">
        <f t="array" ref="BL56">IF(ISERROR(INDEX($A$3:$B$14312,SMALL(IF($A$3:$A$14312=BL$3,ROW($A$3:$A$14312)),ROW(54:54)),2)),"",INDEX($A$3:$B$14312,SMALL(IF($A$3:$A$14312=BL$3,ROW($A$3:$A$14312)),ROW(54:54)),2))</f>
        <v/>
      </c>
      <c r="BM56" t="str">
        <f t="array" ref="BM56">IF(ISERROR(INDEX($A$3:$B$14312,SMALL(IF($A$3:$A$14312=BM$3,ROW($A$3:$A$14312)),ROW(54:54)),2)),"",INDEX($A$3:$B$14312,SMALL(IF($A$3:$A$14312=BM$3,ROW($A$3:$A$14312)),ROW(54:54)),2))</f>
        <v/>
      </c>
      <c r="BN56" t="str">
        <f t="array" ref="BN56">IF(ISERROR(INDEX($A$3:$B$14312,SMALL(IF($A$3:$A$14312=BN$3,ROW($A$3:$A$14312)),ROW(54:54)),2)),"",INDEX($A$3:$B$14312,SMALL(IF($A$3:$A$14312=BN$3,ROW($A$3:$A$14312)),ROW(54:54)),2))</f>
        <v/>
      </c>
      <c r="BO56" t="str">
        <f t="array" ref="BO56">IF(ISERROR(INDEX($A$3:$B$14312,SMALL(IF($A$3:$A$14312=BO$3,ROW($A$3:$A$14312)),ROW(54:54)),2)),"",INDEX($A$3:$B$14312,SMALL(IF($A$3:$A$14312=BO$3,ROW($A$3:$A$14312)),ROW(54:54)),2))</f>
        <v/>
      </c>
      <c r="BP56" t="str">
        <f t="array" ref="BP56">IF(ISERROR(INDEX($A$3:$B$14312,SMALL(IF($A$3:$A$14312=BP$3,ROW($A$3:$A$14312)),ROW(54:54)),2)),"",INDEX($A$3:$B$14312,SMALL(IF($A$3:$A$14312=BP$3,ROW($A$3:$A$14312)),ROW(54:54)),2))</f>
        <v/>
      </c>
      <c r="BQ56" t="str">
        <f t="array" ref="BQ56">IF(ISERROR(INDEX($A$3:$B$14312,SMALL(IF($A$3:$A$14312=BQ$3,ROW($A$3:$A$14312)),ROW(54:54)),2)),"",INDEX($A$3:$B$14312,SMALL(IF($A$3:$A$14312=BQ$3,ROW($A$3:$A$14312)),ROW(54:54)),2))</f>
        <v/>
      </c>
      <c r="BR56" t="str">
        <f t="array" ref="BR56">IF(ISERROR(INDEX($A$3:$B$14312,SMALL(IF($A$3:$A$14312=BR$3,ROW($A$3:$A$14312)),ROW(54:54)),2)),"",INDEX($A$3:$B$14312,SMALL(IF($A$3:$A$14312=BR$3,ROW($A$3:$A$14312)),ROW(54:54)),2))</f>
        <v/>
      </c>
      <c r="BS56" t="str">
        <f t="array" ref="BS56">IF(ISERROR(INDEX($A$3:$B$14312,SMALL(IF($A$3:$A$14312=BS$3,ROW($A$3:$A$14312)),ROW(54:54)),2)),"",INDEX($A$3:$B$14312,SMALL(IF($A$3:$A$14312=BS$3,ROW($A$3:$A$14312)),ROW(54:54)),2))</f>
        <v/>
      </c>
      <c r="BT56" t="str">
        <f t="array" ref="BT56">IF(ISERROR(INDEX($A$3:$B$14312,SMALL(IF($A$3:$A$14312=BT$3,ROW($A$3:$A$14312)),ROW(54:54)),2)),"",INDEX($A$3:$B$14312,SMALL(IF($A$3:$A$14312=BT$3,ROW($A$3:$A$14312)),ROW(54:54)),2))</f>
        <v>Router3_155</v>
      </c>
      <c r="BU56" t="str">
        <f t="array" ref="BU56">IF(ISERROR(INDEX($A$3:$B$14312,SMALL(IF($A$3:$A$14312=BU$3,ROW($A$3:$A$14312)),ROW(54:54)),2)),"",INDEX($A$3:$B$14312,SMALL(IF($A$3:$A$14312=BU$3,ROW($A$3:$A$14312)),ROW(54:54)),2))</f>
        <v/>
      </c>
      <c r="BV56" t="str">
        <f t="array" ref="BV56">IF(ISERROR(INDEX($A$3:$B$14312,SMALL(IF($A$3:$A$14312=BV$3,ROW($A$3:$A$14312)),ROW(54:54)),2)),"",INDEX($A$3:$B$14312,SMALL(IF($A$3:$A$14312=BV$3,ROW($A$3:$A$14312)),ROW(54:54)),2))</f>
        <v/>
      </c>
      <c r="BW56" t="str">
        <f t="array" ref="BW56">IF(ISERROR(INDEX($A$3:$B$14312,SMALL(IF($A$3:$A$14312=BW$3,ROW($A$3:$A$14312)),ROW(54:54)),2)),"",INDEX($A$3:$B$14312,SMALL(IF($A$3:$A$14312=BW$3,ROW($A$3:$A$14312)),ROW(54:54)),2))</f>
        <v/>
      </c>
      <c r="BX56" t="str">
        <f t="array" ref="BX56">IF(ISERROR(INDEX($A$3:$B$14312,SMALL(IF($A$3:$A$14312=BX$3,ROW($A$3:$A$14312)),ROW(54:54)),2)),"",INDEX($A$3:$B$14312,SMALL(IF($A$3:$A$14312=BX$3,ROW($A$3:$A$14312)),ROW(54:54)),2))</f>
        <v/>
      </c>
      <c r="BY56" t="str">
        <f t="array" ref="BY56">IF(ISERROR(INDEX($A$3:$B$14312,SMALL(IF($A$3:$A$14312=BY$3,ROW($A$3:$A$14312)),ROW(54:54)),2)),"",INDEX($A$3:$B$14312,SMALL(IF($A$3:$A$14312=BY$3,ROW($A$3:$A$14312)),ROW(54:54)),2))</f>
        <v/>
      </c>
      <c r="BZ56" t="str">
        <f t="array" ref="BZ56">IF(ISERROR(INDEX($A$3:$B$14312,SMALL(IF($A$3:$A$14312=BZ$3,ROW($A$3:$A$14312)),ROW(54:54)),2)),"",INDEX($A$3:$B$14312,SMALL(IF($A$3:$A$14312=BZ$3,ROW($A$3:$A$14312)),ROW(54:54)),2))</f>
        <v/>
      </c>
      <c r="CA56" t="str">
        <f t="array" ref="CA56">IF(ISERROR(INDEX($A$3:$B$14312,SMALL(IF($A$3:$A$14312=CA$3,ROW($A$3:$A$14312)),ROW(54:54)),2)),"",INDEX($A$3:$B$14312,SMALL(IF($A$3:$A$14312=CA$3,ROW($A$3:$A$14312)),ROW(54:54)),2))</f>
        <v/>
      </c>
      <c r="CB56" t="str">
        <f t="array" ref="CB56">IF(ISERROR(INDEX($A$3:$B$14312,SMALL(IF($A$3:$A$14312=CB$3,ROW($A$3:$A$14312)),ROW(54:54)),2)),"",INDEX($A$3:$B$14312,SMALL(IF($A$3:$A$14312=CB$3,ROW($A$3:$A$14312)),ROW(54:54)),2))</f>
        <v/>
      </c>
      <c r="CC56" t="str">
        <f t="array" ref="CC56">IF(ISERROR(INDEX($A$3:$B$14312,SMALL(IF($A$3:$A$14312=CC$3,ROW($A$3:$A$14312)),ROW(54:54)),2)),"",INDEX($A$3:$B$14312,SMALL(IF($A$3:$A$14312=CC$3,ROW($A$3:$A$14312)),ROW(54:54)),2))</f>
        <v/>
      </c>
      <c r="CD56" t="str">
        <f t="array" ref="CD56">IF(ISERROR(INDEX($A$3:$B$14312,SMALL(IF($A$3:$A$14312=CD$3,ROW($A$3:$A$14312)),ROW(54:54)),2)),"",INDEX($A$3:$B$14312,SMALL(IF($A$3:$A$14312=CD$3,ROW($A$3:$A$14312)),ROW(54:54)),2))</f>
        <v/>
      </c>
      <c r="CE56" t="str">
        <f t="array" ref="CE56">IF(ISERROR(INDEX($A$3:$B$14312,SMALL(IF($A$3:$A$14312=CE$3,ROW($A$3:$A$14312)),ROW(54:54)),2)),"",INDEX($A$3:$B$14312,SMALL(IF($A$3:$A$14312=CE$3,ROW($A$3:$A$14312)),ROW(54:54)),2))</f>
        <v/>
      </c>
      <c r="CF56" t="str">
        <f t="array" ref="CF56">IF(ISERROR(INDEX($A$3:$B$14312,SMALL(IF($A$3:$A$14312=CF$3,ROW($A$3:$A$14312)),ROW(54:54)),2)),"",INDEX($A$3:$B$14312,SMALL(IF($A$3:$A$14312=CF$3,ROW($A$3:$A$14312)),ROW(54:54)),2))</f>
        <v/>
      </c>
      <c r="CG56" t="str">
        <f t="array" ref="CG56">IF(ISERROR(INDEX($A$3:$B$14312,SMALL(IF($A$3:$A$14312=CG$3,ROW($A$3:$A$14312)),ROW(54:54)),2)),"",INDEX($A$3:$B$14312,SMALL(IF($A$3:$A$14312=CG$3,ROW($A$3:$A$14312)),ROW(54:54)),2))</f>
        <v/>
      </c>
      <c r="CH56" t="str">
        <f t="array" ref="CH56">IF(ISERROR(INDEX($A$3:$B$14312,SMALL(IF($A$3:$A$14312=CH$3,ROW($A$3:$A$14312)),ROW(54:54)),2)),"",INDEX($A$3:$B$14312,SMALL(IF($A$3:$A$14312=CH$3,ROW($A$3:$A$14312)),ROW(54:54)),2))</f>
        <v/>
      </c>
      <c r="CI56" t="str">
        <f t="array" ref="CI56">IF(ISERROR(INDEX($A$3:$B$14312,SMALL(IF($A$3:$A$14312=CI$3,ROW($A$3:$A$14312)),ROW(54:54)),2)),"",INDEX($A$3:$B$14312,SMALL(IF($A$3:$A$14312=CI$3,ROW($A$3:$A$14312)),ROW(54:54)),2))</f>
        <v/>
      </c>
      <c r="CJ56" t="str">
        <f t="array" ref="CJ56">IF(ISERROR(INDEX($A$3:$B$14312,SMALL(IF($A$3:$A$14312=CJ$3,ROW($A$3:$A$14312)),ROW(54:54)),2)),"",INDEX($A$3:$B$14312,SMALL(IF($A$3:$A$14312=CJ$3,ROW($A$3:$A$14312)),ROW(54:54)),2))</f>
        <v/>
      </c>
      <c r="CK56" t="str">
        <f t="array" ref="CK56">IF(ISERROR(INDEX($A$3:$B$14312,SMALL(IF($A$3:$A$14312=CK$3,ROW($A$3:$A$14312)),ROW(54:54)),2)),"",INDEX($A$3:$B$14312,SMALL(IF($A$3:$A$14312=CK$3,ROW($A$3:$A$14312)),ROW(54:54)),2))</f>
        <v/>
      </c>
      <c r="CL56" t="str">
        <f t="array" ref="CL56">IF(ISERROR(INDEX($A$3:$B$14312,SMALL(IF($A$3:$A$14312=CL$3,ROW($A$3:$A$14312)),ROW(54:54)),2)),"",INDEX($A$3:$B$14312,SMALL(IF($A$3:$A$14312=CL$3,ROW($A$3:$A$14312)),ROW(54:54)),2))</f>
        <v/>
      </c>
      <c r="CM56" t="str">
        <f t="array" ref="CM56">IF(ISERROR(INDEX($A$3:$B$14312,SMALL(IF($A$3:$A$14312=CM$3,ROW($A$3:$A$14312)),ROW(54:54)),2)),"",INDEX($A$3:$B$14312,SMALL(IF($A$3:$A$14312=CM$3,ROW($A$3:$A$14312)),ROW(54:54)),2))</f>
        <v/>
      </c>
      <c r="CN56" t="str">
        <f t="array" ref="CN56">IF(ISERROR(INDEX($A$3:$B$14312,SMALL(IF($A$3:$A$14312=CN$3,ROW($A$3:$A$14312)),ROW(54:54)),2)),"",INDEX($A$3:$B$14312,SMALL(IF($A$3:$A$14312=CN$3,ROW($A$3:$A$14312)),ROW(54:54)),2))</f>
        <v/>
      </c>
      <c r="CO56" t="str">
        <f t="array" ref="CO56">IF(ISERROR(INDEX($A$3:$B$14312,SMALL(IF($A$3:$A$14312=CO$3,ROW($A$3:$A$14312)),ROW(54:54)),2)),"",INDEX($A$3:$B$14312,SMALL(IF($A$3:$A$14312=CO$3,ROW($A$3:$A$14312)),ROW(54:54)),2))</f>
        <v/>
      </c>
      <c r="CP56" t="str">
        <f t="array" ref="CP56">IF(ISERROR(INDEX($A$3:$B$14312,SMALL(IF($A$3:$A$14312=CP$3,ROW($A$3:$A$14312)),ROW(54:54)),2)),"",INDEX($A$3:$B$14312,SMALL(IF($A$3:$A$14312=CP$3,ROW($A$3:$A$14312)),ROW(54:54)),2))</f>
        <v/>
      </c>
      <c r="CQ56" t="str">
        <f t="array" ref="CQ56">IF(ISERROR(INDEX($A$3:$B$14312,SMALL(IF($A$3:$A$14312=CQ$3,ROW($A$3:$A$14312)),ROW(54:54)),2)),"",INDEX($A$3:$B$14312,SMALL(IF($A$3:$A$14312=CQ$3,ROW($A$3:$A$14312)),ROW(54:54)),2))</f>
        <v/>
      </c>
      <c r="CR56" t="str">
        <f t="array" ref="CR56">IF(ISERROR(INDEX($A$3:$B$14312,SMALL(IF($A$3:$A$14312=CR$3,ROW($A$3:$A$14312)),ROW(54:54)),2)),"",INDEX($A$3:$B$14312,SMALL(IF($A$3:$A$14312=CR$3,ROW($A$3:$A$14312)),ROW(54:54)),2))</f>
        <v/>
      </c>
      <c r="CS56" t="str">
        <f t="array" ref="CS56">IF(ISERROR(INDEX($A$3:$B$14312,SMALL(IF($A$3:$A$14312=CS$3,ROW($A$3:$A$14312)),ROW(54:54)),2)),"",INDEX($A$3:$B$14312,SMALL(IF($A$3:$A$14312=CS$3,ROW($A$3:$A$14312)),ROW(54:54)),2))</f>
        <v/>
      </c>
      <c r="CT56" t="str">
        <f t="array" ref="CT56">IF(ISERROR(INDEX($A$3:$B$14312,SMALL(IF($A$3:$A$14312=CT$3,ROW($A$3:$A$14312)),ROW(54:54)),2)),"",INDEX($A$3:$B$14312,SMALL(IF($A$3:$A$14312=CT$3,ROW($A$3:$A$14312)),ROW(54:54)),2))</f>
        <v/>
      </c>
      <c r="CU56" t="str">
        <f t="array" ref="CU56">IF(ISERROR(INDEX($A$3:$B$14312,SMALL(IF($A$3:$A$14312=CU$3,ROW($A$3:$A$14312)),ROW(54:54)),2)),"",INDEX($A$3:$B$14312,SMALL(IF($A$3:$A$14312=CU$3,ROW($A$3:$A$14312)),ROW(54:54)),2))</f>
        <v/>
      </c>
      <c r="CV56" t="str">
        <f t="array" ref="CV56">IF(ISERROR(INDEX($A$3:$B$14312,SMALL(IF($A$3:$A$14312=CV$3,ROW($A$3:$A$14312)),ROW(54:54)),2)),"",INDEX($A$3:$B$14312,SMALL(IF($A$3:$A$14312=CV$3,ROW($A$3:$A$14312)),ROW(54:54)),2))</f>
        <v/>
      </c>
      <c r="CW56" t="str">
        <f t="array" ref="CW56">IF(ISERROR(INDEX($A$3:$B$14312,SMALL(IF($A$3:$A$14312=CW$3,ROW($A$3:$A$14312)),ROW(54:54)),2)),"",INDEX($A$3:$B$14312,SMALL(IF($A$3:$A$14312=CW$3,ROW($A$3:$A$14312)),ROW(54:54)),2))</f>
        <v/>
      </c>
      <c r="CX56" t="str">
        <f t="array" ref="CX56">IF(ISERROR(INDEX($A$3:$B$14312,SMALL(IF($A$3:$A$14312=CX$3,ROW($A$3:$A$14312)),ROW(54:54)),2)),"",INDEX($A$3:$B$14312,SMALL(IF($A$3:$A$14312=CX$3,ROW($A$3:$A$14312)),ROW(54:54)),2))</f>
        <v/>
      </c>
      <c r="CY56" t="str">
        <f t="array" ref="CY56">IF(ISERROR(INDEX($A$3:$B$14312,SMALL(IF($A$3:$A$14312=CY$3,ROW($A$3:$A$14312)),ROW(54:54)),2)),"",INDEX($A$3:$B$14312,SMALL(IF($A$3:$A$14312=CY$3,ROW($A$3:$A$14312)),ROW(54:54)),2))</f>
        <v/>
      </c>
      <c r="CZ56" t="str">
        <f t="array" ref="CZ56">IF(ISERROR(INDEX($A$3:$B$14312,SMALL(IF($A$3:$A$14312=CZ$3,ROW($A$3:$A$14312)),ROW(54:54)),2)),"",INDEX($A$3:$B$14312,SMALL(IF($A$3:$A$14312=CZ$3,ROW($A$3:$A$14312)),ROW(54:54)),2))</f>
        <v/>
      </c>
      <c r="DA56" t="str">
        <f t="array" ref="DA56">IF(ISERROR(INDEX($A$3:$B$14312,SMALL(IF($A$3:$A$14312=DA$3,ROW($A$3:$A$14312)),ROW(54:54)),2)),"",INDEX($A$3:$B$14312,SMALL(IF($A$3:$A$14312=DA$3,ROW($A$3:$A$14312)),ROW(54:54)),2))</f>
        <v/>
      </c>
      <c r="DB56" t="str">
        <f t="array" ref="DB56">IF(ISERROR(INDEX($A$3:$B$14312,SMALL(IF($A$3:$A$14312=DB$3,ROW($A$3:$A$14312)),ROW(54:54)),2)),"",INDEX($A$3:$B$14312,SMALL(IF($A$3:$A$14312=DB$3,ROW($A$3:$A$14312)),ROW(54:54)),2))</f>
        <v/>
      </c>
      <c r="DC56" t="str">
        <f t="array" ref="DC56">IF(ISERROR(INDEX($A$3:$B$14312,SMALL(IF($A$3:$A$14312=DC$3,ROW($A$3:$A$14312)),ROW(54:54)),2)),"",INDEX($A$3:$B$14312,SMALL(IF($A$3:$A$14312=DC$3,ROW($A$3:$A$14312)),ROW(54:54)),2))</f>
        <v/>
      </c>
      <c r="DD56" t="str">
        <f t="array" ref="DD56">IF(ISERROR(INDEX($A$3:$B$14312,SMALL(IF($A$3:$A$14312=DD$3,ROW($A$3:$A$14312)),ROW(54:54)),2)),"",INDEX($A$3:$B$14312,SMALL(IF($A$3:$A$14312=DD$3,ROW($A$3:$A$14312)),ROW(54:54)),2))</f>
        <v/>
      </c>
      <c r="DE56" t="str">
        <f t="array" ref="DE56">IF(ISERROR(INDEX($A$3:$B$14312,SMALL(IF($A$3:$A$14312=DE$3,ROW($A$3:$A$14312)),ROW(54:54)),2)),"",INDEX($A$3:$B$14312,SMALL(IF($A$3:$A$14312=DE$3,ROW($A$3:$A$14312)),ROW(54:54)),2))</f>
        <v/>
      </c>
      <c r="DF56" t="str">
        <f t="array" ref="DF56">IF(ISERROR(INDEX($A$3:$B$14312,SMALL(IF($A$3:$A$14312=DF$3,ROW($A$3:$A$14312)),ROW(54:54)),2)),"",INDEX($A$3:$B$14312,SMALL(IF($A$3:$A$14312=DF$3,ROW($A$3:$A$14312)),ROW(54:54)),2))</f>
        <v/>
      </c>
      <c r="DG56" t="str">
        <f t="array" ref="DG56">IF(ISERROR(INDEX($A$3:$B$14312,SMALL(IF($A$3:$A$14312=DG$3,ROW($A$3:$A$14312)),ROW(54:54)),2)),"",INDEX($A$3:$B$14312,SMALL(IF($A$3:$A$14312=DG$3,ROW($A$3:$A$14312)),ROW(54:54)),2))</f>
        <v/>
      </c>
      <c r="DH56" t="str">
        <f t="array" ref="DH56">IF(ISERROR(INDEX($A$3:$B$14312,SMALL(IF($A$3:$A$14312=DH$3,ROW($A$3:$A$14312)),ROW(54:54)),2)),"",INDEX($A$3:$B$14312,SMALL(IF($A$3:$A$14312=DH$3,ROW($A$3:$A$14312)),ROW(54:54)),2))</f>
        <v/>
      </c>
      <c r="DI56" t="str">
        <f t="array" ref="DI56">IF(ISERROR(INDEX($A$3:$B$14312,SMALL(IF($A$3:$A$14312=DI$3,ROW($A$3:$A$14312)),ROW(54:54)),2)),"",INDEX($A$3:$B$14312,SMALL(IF($A$3:$A$14312=DI$3,ROW($A$3:$A$14312)),ROW(54:54)),2))</f>
        <v>Router3_120</v>
      </c>
      <c r="DJ56" t="str">
        <f t="array" ref="DJ56">IF(ISERROR(INDEX($A$3:$B$14312,SMALL(IF($A$3:$A$14312=DJ$3,ROW($A$3:$A$14312)),ROW(54:54)),2)),"",INDEX($A$3:$B$14312,SMALL(IF($A$3:$A$14312=DJ$3,ROW($A$3:$A$14312)),ROW(54:54)),2))</f>
        <v/>
      </c>
      <c r="DK56" t="str">
        <f t="array" ref="DK56">IF(ISERROR(INDEX($A$3:$B$14312,SMALL(IF($A$3:$A$14312=DK$3,ROW($A$3:$A$14312)),ROW(54:54)),2)),"",INDEX($A$3:$B$14312,SMALL(IF($A$3:$A$14312=DK$3,ROW($A$3:$A$14312)),ROW(54:54)),2))</f>
        <v/>
      </c>
      <c r="DL56" t="str">
        <f t="array" ref="DL56">IF(ISERROR(INDEX($A$3:$B$14312,SMALL(IF($A$3:$A$14312=DL$3,ROW($A$3:$A$14312)),ROW(54:54)),2)),"",INDEX($A$3:$B$14312,SMALL(IF($A$3:$A$14312=DL$3,ROW($A$3:$A$14312)),ROW(54:54)),2))</f>
        <v/>
      </c>
      <c r="DM56" t="str">
        <f t="array" ref="DM56">IF(ISERROR(INDEX($A$3:$B$14312,SMALL(IF($A$3:$A$14312=DM$3,ROW($A$3:$A$14312)),ROW(54:54)),2)),"",INDEX($A$3:$B$14312,SMALL(IF($A$3:$A$14312=DM$3,ROW($A$3:$A$14312)),ROW(54:54)),2))</f>
        <v/>
      </c>
      <c r="DN56" t="str">
        <f t="array" ref="DN56">IF(ISERROR(INDEX($A$3:$B$14312,SMALL(IF($A$3:$A$14312=DN$3,ROW($A$3:$A$14312)),ROW(54:54)),2)),"",INDEX($A$3:$B$14312,SMALL(IF($A$3:$A$14312=DN$3,ROW($A$3:$A$14312)),ROW(54:54)),2))</f>
        <v/>
      </c>
      <c r="DO56" t="str">
        <f t="array" ref="DO56">IF(ISERROR(INDEX($A$3:$B$14312,SMALL(IF($A$3:$A$14312=DO$3,ROW($A$3:$A$14312)),ROW(54:54)),2)),"",INDEX($A$3:$B$14312,SMALL(IF($A$3:$A$14312=DO$3,ROW($A$3:$A$14312)),ROW(54:54)),2))</f>
        <v/>
      </c>
      <c r="DP56" t="str">
        <f t="array" ref="DP56">IF(ISERROR(INDEX($A$3:$B$14312,SMALL(IF($A$3:$A$14312=DP$3,ROW($A$3:$A$14312)),ROW(54:54)),2)),"",INDEX($A$3:$B$14312,SMALL(IF($A$3:$A$14312=DP$3,ROW($A$3:$A$14312)),ROW(54:54)),2))</f>
        <v/>
      </c>
      <c r="DQ56" t="str">
        <f t="array" ref="DQ56">IF(ISERROR(INDEX($A$3:$B$14312,SMALL(IF($A$3:$A$14312=DQ$3,ROW($A$3:$A$14312)),ROW(54:54)),2)),"",INDEX($A$3:$B$14312,SMALL(IF($A$3:$A$14312=DQ$3,ROW($A$3:$A$14312)),ROW(54:54)),2))</f>
        <v/>
      </c>
      <c r="DR56" t="str">
        <f t="array" ref="DR56">IF(ISERROR(INDEX($A$3:$B$14312,SMALL(IF($A$3:$A$14312=DR$3,ROW($A$3:$A$14312)),ROW(54:54)),2)),"",INDEX($A$3:$B$14312,SMALL(IF($A$3:$A$14312=DR$3,ROW($A$3:$A$14312)),ROW(54:54)),2))</f>
        <v/>
      </c>
      <c r="DS56" t="str">
        <f t="array" ref="DS56">IF(ISERROR(INDEX($A$3:$B$14312,SMALL(IF($A$3:$A$14312=DS$3,ROW($A$3:$A$14312)),ROW(54:54)),2)),"",INDEX($A$3:$B$14312,SMALL(IF($A$3:$A$14312=DS$3,ROW($A$3:$A$14312)),ROW(54:54)),2))</f>
        <v/>
      </c>
      <c r="DT56" t="str">
        <f t="array" ref="DT56">IF(ISERROR(INDEX($A$3:$B$14312,SMALL(IF($A$3:$A$14312=DT$3,ROW($A$3:$A$14312)),ROW(54:54)),2)),"",INDEX($A$3:$B$14312,SMALL(IF($A$3:$A$14312=DT$3,ROW($A$3:$A$14312)),ROW(54:54)),2))</f>
        <v>Router3_120</v>
      </c>
      <c r="DU56" t="str">
        <f t="array" ref="DU56">IF(ISERROR(INDEX($A$3:$B$14312,SMALL(IF($A$3:$A$14312=DU$3,ROW($A$3:$A$14312)),ROW(54:54)),2)),"",INDEX($A$3:$B$14312,SMALL(IF($A$3:$A$14312=DU$3,ROW($A$3:$A$14312)),ROW(54:54)),2))</f>
        <v/>
      </c>
      <c r="DV56" t="str">
        <f t="array" ref="DV56">IF(ISERROR(INDEX($A$3:$B$14312,SMALL(IF($A$3:$A$14312=DV$3,ROW($A$3:$A$14312)),ROW(54:54)),2)),"",INDEX($A$3:$B$14312,SMALL(IF($A$3:$A$14312=DV$3,ROW($A$3:$A$14312)),ROW(54:54)),2))</f>
        <v/>
      </c>
      <c r="DW56" t="str">
        <f t="array" ref="DW56">IF(ISERROR(INDEX($A$3:$B$14312,SMALL(IF($A$3:$A$14312=DW$3,ROW($A$3:$A$14312)),ROW(54:54)),2)),"",INDEX($A$3:$B$14312,SMALL(IF($A$3:$A$14312=DW$3,ROW($A$3:$A$14312)),ROW(54:54)),2))</f>
        <v/>
      </c>
      <c r="DX56" t="str">
        <f t="array" ref="DX56">IF(ISERROR(INDEX($A$3:$B$14312,SMALL(IF($A$3:$A$14312=DX$3,ROW($A$3:$A$14312)),ROW(54:54)),2)),"",INDEX($A$3:$B$14312,SMALL(IF($A$3:$A$14312=DX$3,ROW($A$3:$A$14312)),ROW(54:54)),2))</f>
        <v/>
      </c>
      <c r="DY56" t="str">
        <f t="array" ref="DY56">IF(ISERROR(INDEX($A$3:$B$14312,SMALL(IF($A$3:$A$14312=DY$3,ROW($A$3:$A$14312)),ROW(54:54)),2)),"",INDEX($A$3:$B$14312,SMALL(IF($A$3:$A$14312=DY$3,ROW($A$3:$A$14312)),ROW(54:54)),2))</f>
        <v/>
      </c>
      <c r="DZ56" t="str">
        <f t="array" ref="DZ56">IF(ISERROR(INDEX($A$3:$B$14312,SMALL(IF($A$3:$A$14312=DZ$3,ROW($A$3:$A$14312)),ROW(54:54)),2)),"",INDEX($A$3:$B$14312,SMALL(IF($A$3:$A$14312=DZ$3,ROW($A$3:$A$14312)),ROW(54:54)),2))</f>
        <v/>
      </c>
      <c r="EA56" t="str">
        <f t="array" ref="EA56">IF(ISERROR(INDEX($A$3:$B$14312,SMALL(IF($A$3:$A$14312=EA$3,ROW($A$3:$A$14312)),ROW(54:54)),2)),"",INDEX($A$3:$B$14312,SMALL(IF($A$3:$A$14312=EA$3,ROW($A$3:$A$14312)),ROW(54:54)),2))</f>
        <v/>
      </c>
      <c r="EB56" t="str">
        <f t="array" ref="EB56">IF(ISERROR(INDEX($A$3:$B$14312,SMALL(IF($A$3:$A$14312=EB$3,ROW($A$3:$A$14312)),ROW(54:54)),2)),"",INDEX($A$3:$B$14312,SMALL(IF($A$3:$A$14312=EB$3,ROW($A$3:$A$14312)),ROW(54:54)),2))</f>
        <v/>
      </c>
      <c r="EC56" t="str">
        <f t="array" ref="EC56">IF(ISERROR(INDEX($A$3:$B$14312,SMALL(IF($A$3:$A$14312=EC$3,ROW($A$3:$A$14312)),ROW(54:54)),2)),"",INDEX($A$3:$B$14312,SMALL(IF($A$3:$A$14312=EC$3,ROW($A$3:$A$14312)),ROW(54:54)),2))</f>
        <v>Router3_65</v>
      </c>
      <c r="ED56" t="str">
        <f t="array" ref="ED56">IF(ISERROR(INDEX($A$3:$B$14312,SMALL(IF($A$3:$A$14312=ED$3,ROW($A$3:$A$14312)),ROW(54:54)),2)),"",INDEX($A$3:$B$14312,SMALL(IF($A$3:$A$14312=ED$3,ROW($A$3:$A$14312)),ROW(54:54)),2))</f>
        <v/>
      </c>
      <c r="EE56" t="str">
        <f t="array" ref="EE56">IF(ISERROR(INDEX($A$3:$B$14312,SMALL(IF($A$3:$A$14312=EE$3,ROW($A$3:$A$14312)),ROW(54:54)),2)),"",INDEX($A$3:$B$14312,SMALL(IF($A$3:$A$14312=EE$3,ROW($A$3:$A$14312)),ROW(54:54)),2))</f>
        <v/>
      </c>
    </row>
    <row r="57" spans="1:135" x14ac:dyDescent="0.25">
      <c r="A57" s="10">
        <v>-424987520</v>
      </c>
      <c r="B57" t="s">
        <v>1154</v>
      </c>
      <c r="E57" t="str">
        <f t="array" ref="E57">IF(ISERROR(INDEX($A$3:$B$14312,SMALL(IF($A$3:$A$14312=E$3,ROW($A$3:$A$14312)),ROW(55:55)),2)),"",INDEX($A$3:$B$14312,SMALL(IF($A$3:$A$14312=E$3,ROW($A$3:$A$14312)),ROW(55:55)),2))</f>
        <v/>
      </c>
      <c r="F57" t="str">
        <f t="array" ref="F57">IF(ISERROR(INDEX($A$3:$B$14312,SMALL(IF($A$3:$A$14312=F$3,ROW($A$3:$A$14312)),ROW(55:55)),2)),"",INDEX($A$3:$B$14312,SMALL(IF($A$3:$A$14312=F$3,ROW($A$3:$A$14312)),ROW(55:55)),2))</f>
        <v/>
      </c>
      <c r="G57" t="str">
        <f t="array" ref="G57">IF(ISERROR(INDEX($A$3:$B$14312,SMALL(IF($A$3:$A$14312=G$3,ROW($A$3:$A$14312)),ROW(55:55)),2)),"",INDEX($A$3:$B$14312,SMALL(IF($A$3:$A$14312=G$3,ROW($A$3:$A$14312)),ROW(55:55)),2))</f>
        <v/>
      </c>
      <c r="H57" t="str">
        <f t="array" ref="H57">IF(ISERROR(INDEX($A$3:$B$14312,SMALL(IF($A$3:$A$14312=H$3,ROW($A$3:$A$14312)),ROW(55:55)),2)),"",INDEX($A$3:$B$14312,SMALL(IF($A$3:$A$14312=H$3,ROW($A$3:$A$14312)),ROW(55:55)),2))</f>
        <v/>
      </c>
      <c r="I57" t="str">
        <f t="array" ref="I57">IF(ISERROR(INDEX($A$3:$B$14312,SMALL(IF($A$3:$A$14312=I$3,ROW($A$3:$A$14312)),ROW(55:55)),2)),"",INDEX($A$3:$B$14312,SMALL(IF($A$3:$A$14312=I$3,ROW($A$3:$A$14312)),ROW(55:55)),2))</f>
        <v/>
      </c>
      <c r="J57" t="str">
        <f t="array" ref="J57">IF(ISERROR(INDEX($A$3:$B$14312,SMALL(IF($A$3:$A$14312=J$3,ROW($A$3:$A$14312)),ROW(55:55)),2)),"",INDEX($A$3:$B$14312,SMALL(IF($A$3:$A$14312=J$3,ROW($A$3:$A$14312)),ROW(55:55)),2))</f>
        <v/>
      </c>
      <c r="K57" t="str">
        <f t="array" ref="K57">IF(ISERROR(INDEX($A$3:$B$14312,SMALL(IF($A$3:$A$14312=K$3,ROW($A$3:$A$14312)),ROW(55:55)),2)),"",INDEX($A$3:$B$14312,SMALL(IF($A$3:$A$14312=K$3,ROW($A$3:$A$14312)),ROW(55:55)),2))</f>
        <v/>
      </c>
      <c r="L57" t="str">
        <f t="array" ref="L57">IF(ISERROR(INDEX($A$3:$B$14312,SMALL(IF($A$3:$A$14312=L$3,ROW($A$3:$A$14312)),ROW(55:55)),2)),"",INDEX($A$3:$B$14312,SMALL(IF($A$3:$A$14312=L$3,ROW($A$3:$A$14312)),ROW(55:55)),2))</f>
        <v/>
      </c>
      <c r="M57" t="str">
        <f t="array" ref="M57">IF(ISERROR(INDEX($A$3:$B$14312,SMALL(IF($A$3:$A$14312=M$3,ROW($A$3:$A$14312)),ROW(55:55)),2)),"",INDEX($A$3:$B$14312,SMALL(IF($A$3:$A$14312=M$3,ROW($A$3:$A$14312)),ROW(55:55)),2))</f>
        <v/>
      </c>
      <c r="N57" t="str">
        <f t="array" ref="N57">IF(ISERROR(INDEX($A$3:$B$14312,SMALL(IF($A$3:$A$14312=N$3,ROW($A$3:$A$14312)),ROW(55:55)),2)),"",INDEX($A$3:$B$14312,SMALL(IF($A$3:$A$14312=N$3,ROW($A$3:$A$14312)),ROW(55:55)),2))</f>
        <v/>
      </c>
      <c r="O57" t="str">
        <f t="array" ref="O57">IF(ISERROR(INDEX($A$3:$B$14312,SMALL(IF($A$3:$A$14312=O$3,ROW($A$3:$A$14312)),ROW(55:55)),2)),"",INDEX($A$3:$B$14312,SMALL(IF($A$3:$A$14312=O$3,ROW($A$3:$A$14312)),ROW(55:55)),2))</f>
        <v/>
      </c>
      <c r="P57" t="str">
        <f t="array" ref="P57">IF(ISERROR(INDEX($A$3:$B$14312,SMALL(IF($A$3:$A$14312=P$3,ROW($A$3:$A$14312)),ROW(55:55)),2)),"",INDEX($A$3:$B$14312,SMALL(IF($A$3:$A$14312=P$3,ROW($A$3:$A$14312)),ROW(55:55)),2))</f>
        <v/>
      </c>
      <c r="Q57" t="str">
        <f t="array" ref="Q57">IF(ISERROR(INDEX($A$3:$B$14312,SMALL(IF($A$3:$A$14312=Q$3,ROW($A$3:$A$14312)),ROW(55:55)),2)),"",INDEX($A$3:$B$14312,SMALL(IF($A$3:$A$14312=Q$3,ROW($A$3:$A$14312)),ROW(55:55)),2))</f>
        <v/>
      </c>
      <c r="R57" t="str">
        <f t="array" ref="R57">IF(ISERROR(INDEX($A$3:$B$14312,SMALL(IF($A$3:$A$14312=R$3,ROW($A$3:$A$14312)),ROW(55:55)),2)),"",INDEX($A$3:$B$14312,SMALL(IF($A$3:$A$14312=R$3,ROW($A$3:$A$14312)),ROW(55:55)),2))</f>
        <v/>
      </c>
      <c r="S57" t="str">
        <f t="array" ref="S57">IF(ISERROR(INDEX($A$3:$B$14312,SMALL(IF($A$3:$A$14312=S$3,ROW($A$3:$A$14312)),ROW(55:55)),2)),"",INDEX($A$3:$B$14312,SMALL(IF($A$3:$A$14312=S$3,ROW($A$3:$A$14312)),ROW(55:55)),2))</f>
        <v/>
      </c>
      <c r="T57" t="str">
        <f t="array" ref="T57">IF(ISERROR(INDEX($A$3:$B$14312,SMALL(IF($A$3:$A$14312=T$3,ROW($A$3:$A$14312)),ROW(55:55)),2)),"",INDEX($A$3:$B$14312,SMALL(IF($A$3:$A$14312=T$3,ROW($A$3:$A$14312)),ROW(55:55)),2))</f>
        <v/>
      </c>
      <c r="U57" t="str">
        <f t="array" ref="U57">IF(ISERROR(INDEX($A$3:$B$14312,SMALL(IF($A$3:$A$14312=U$3,ROW($A$3:$A$14312)),ROW(55:55)),2)),"",INDEX($A$3:$B$14312,SMALL(IF($A$3:$A$14312=U$3,ROW($A$3:$A$14312)),ROW(55:55)),2))</f>
        <v/>
      </c>
      <c r="V57" t="str">
        <f t="array" ref="V57">IF(ISERROR(INDEX($A$3:$B$14312,SMALL(IF($A$3:$A$14312=V$3,ROW($A$3:$A$14312)),ROW(55:55)),2)),"",INDEX($A$3:$B$14312,SMALL(IF($A$3:$A$14312=V$3,ROW($A$3:$A$14312)),ROW(55:55)),2))</f>
        <v/>
      </c>
      <c r="W57" t="str">
        <f t="array" ref="W57">IF(ISERROR(INDEX($A$3:$B$14312,SMALL(IF($A$3:$A$14312=W$3,ROW($A$3:$A$14312)),ROW(55:55)),2)),"",INDEX($A$3:$B$14312,SMALL(IF($A$3:$A$14312=W$3,ROW($A$3:$A$14312)),ROW(55:55)),2))</f>
        <v>Router3_21</v>
      </c>
      <c r="X57" t="str">
        <f t="array" ref="X57">IF(ISERROR(INDEX($A$3:$B$14312,SMALL(IF($A$3:$A$14312=X$3,ROW($A$3:$A$14312)),ROW(55:55)),2)),"",INDEX($A$3:$B$14312,SMALL(IF($A$3:$A$14312=X$3,ROW($A$3:$A$14312)),ROW(55:55)),2))</f>
        <v/>
      </c>
      <c r="Y57" t="str">
        <f t="array" ref="Y57">IF(ISERROR(INDEX($A$3:$B$14312,SMALL(IF($A$3:$A$14312=Y$3,ROW($A$3:$A$14312)),ROW(55:55)),2)),"",INDEX($A$3:$B$14312,SMALL(IF($A$3:$A$14312=Y$3,ROW($A$3:$A$14312)),ROW(55:55)),2))</f>
        <v/>
      </c>
      <c r="Z57" t="str">
        <f t="array" ref="Z57">IF(ISERROR(INDEX($A$3:$B$14312,SMALL(IF($A$3:$A$14312=Z$3,ROW($A$3:$A$14312)),ROW(55:55)),2)),"",INDEX($A$3:$B$14312,SMALL(IF($A$3:$A$14312=Z$3,ROW($A$3:$A$14312)),ROW(55:55)),2))</f>
        <v/>
      </c>
      <c r="AA57" t="str">
        <f t="array" ref="AA57">IF(ISERROR(INDEX($A$3:$B$14312,SMALL(IF($A$3:$A$14312=AA$3,ROW($A$3:$A$14312)),ROW(55:55)),2)),"",INDEX($A$3:$B$14312,SMALL(IF($A$3:$A$14312=AA$3,ROW($A$3:$A$14312)),ROW(55:55)),2))</f>
        <v/>
      </c>
      <c r="AB57" t="str">
        <f t="array" ref="AB57">IF(ISERROR(INDEX($A$3:$B$14312,SMALL(IF($A$3:$A$14312=AB$3,ROW($A$3:$A$14312)),ROW(55:55)),2)),"",INDEX($A$3:$B$14312,SMALL(IF($A$3:$A$14312=AB$3,ROW($A$3:$A$14312)),ROW(55:55)),2))</f>
        <v/>
      </c>
      <c r="AC57" t="str">
        <f t="array" ref="AC57">IF(ISERROR(INDEX($A$3:$B$14312,SMALL(IF($A$3:$A$14312=AC$3,ROW($A$3:$A$14312)),ROW(55:55)),2)),"",INDEX($A$3:$B$14312,SMALL(IF($A$3:$A$14312=AC$3,ROW($A$3:$A$14312)),ROW(55:55)),2))</f>
        <v/>
      </c>
      <c r="AD57" t="str">
        <f t="array" ref="AD57">IF(ISERROR(INDEX($A$3:$B$14312,SMALL(IF($A$3:$A$14312=AD$3,ROW($A$3:$A$14312)),ROW(55:55)),2)),"",INDEX($A$3:$B$14312,SMALL(IF($A$3:$A$14312=AD$3,ROW($A$3:$A$14312)),ROW(55:55)),2))</f>
        <v/>
      </c>
      <c r="AE57" t="str">
        <f t="array" ref="AE57">IF(ISERROR(INDEX($A$3:$B$14312,SMALL(IF($A$3:$A$14312=AE$3,ROW($A$3:$A$14312)),ROW(55:55)),2)),"",INDEX($A$3:$B$14312,SMALL(IF($A$3:$A$14312=AE$3,ROW($A$3:$A$14312)),ROW(55:55)),2))</f>
        <v/>
      </c>
      <c r="AF57" t="str">
        <f t="array" ref="AF57">IF(ISERROR(INDEX($A$3:$B$14312,SMALL(IF($A$3:$A$14312=AF$3,ROW($A$3:$A$14312)),ROW(55:55)),2)),"",INDEX($A$3:$B$14312,SMALL(IF($A$3:$A$14312=AF$3,ROW($A$3:$A$14312)),ROW(55:55)),2))</f>
        <v/>
      </c>
      <c r="AG57" t="str">
        <f t="array" ref="AG57">IF(ISERROR(INDEX($A$3:$B$14312,SMALL(IF($A$3:$A$14312=AG$3,ROW($A$3:$A$14312)),ROW(55:55)),2)),"",INDEX($A$3:$B$14312,SMALL(IF($A$3:$A$14312=AG$3,ROW($A$3:$A$14312)),ROW(55:55)),2))</f>
        <v/>
      </c>
      <c r="AH57" t="str">
        <f t="array" ref="AH57">IF(ISERROR(INDEX($A$3:$B$14312,SMALL(IF($A$3:$A$14312=AH$3,ROW($A$3:$A$14312)),ROW(55:55)),2)),"",INDEX($A$3:$B$14312,SMALL(IF($A$3:$A$14312=AH$3,ROW($A$3:$A$14312)),ROW(55:55)),2))</f>
        <v/>
      </c>
      <c r="AI57" t="str">
        <f t="array" ref="AI57">IF(ISERROR(INDEX($A$3:$B$14312,SMALL(IF($A$3:$A$14312=AI$3,ROW($A$3:$A$14312)),ROW(55:55)),2)),"",INDEX($A$3:$B$14312,SMALL(IF($A$3:$A$14312=AI$3,ROW($A$3:$A$14312)),ROW(55:55)),2))</f>
        <v/>
      </c>
      <c r="AJ57" t="str">
        <f t="array" ref="AJ57">IF(ISERROR(INDEX($A$3:$B$14312,SMALL(IF($A$3:$A$14312=AJ$3,ROW($A$3:$A$14312)),ROW(55:55)),2)),"",INDEX($A$3:$B$14312,SMALL(IF($A$3:$A$14312=AJ$3,ROW($A$3:$A$14312)),ROW(55:55)),2))</f>
        <v/>
      </c>
      <c r="AK57" t="str">
        <f t="array" ref="AK57">IF(ISERROR(INDEX($A$3:$B$14312,SMALL(IF($A$3:$A$14312=AK$3,ROW($A$3:$A$14312)),ROW(55:55)),2)),"",INDEX($A$3:$B$14312,SMALL(IF($A$3:$A$14312=AK$3,ROW($A$3:$A$14312)),ROW(55:55)),2))</f>
        <v/>
      </c>
      <c r="AL57" t="str">
        <f t="array" ref="AL57">IF(ISERROR(INDEX($A$3:$B$14312,SMALL(IF($A$3:$A$14312=AL$3,ROW($A$3:$A$14312)),ROW(55:55)),2)),"",INDEX($A$3:$B$14312,SMALL(IF($A$3:$A$14312=AL$3,ROW($A$3:$A$14312)),ROW(55:55)),2))</f>
        <v/>
      </c>
      <c r="AM57" t="str">
        <f t="array" ref="AM57">IF(ISERROR(INDEX($A$3:$B$14312,SMALL(IF($A$3:$A$14312=AM$3,ROW($A$3:$A$14312)),ROW(55:55)),2)),"",INDEX($A$3:$B$14312,SMALL(IF($A$3:$A$14312=AM$3,ROW($A$3:$A$14312)),ROW(55:55)),2))</f>
        <v/>
      </c>
      <c r="AN57" t="str">
        <f t="array" ref="AN57">IF(ISERROR(INDEX($A$3:$B$14312,SMALL(IF($A$3:$A$14312=AN$3,ROW($A$3:$A$14312)),ROW(55:55)),2)),"",INDEX($A$3:$B$14312,SMALL(IF($A$3:$A$14312=AN$3,ROW($A$3:$A$14312)),ROW(55:55)),2))</f>
        <v/>
      </c>
      <c r="AO57" t="str">
        <f t="array" ref="AO57">IF(ISERROR(INDEX($A$3:$B$14312,SMALL(IF($A$3:$A$14312=AO$3,ROW($A$3:$A$14312)),ROW(55:55)),2)),"",INDEX($A$3:$B$14312,SMALL(IF($A$3:$A$14312=AO$3,ROW($A$3:$A$14312)),ROW(55:55)),2))</f>
        <v/>
      </c>
      <c r="AP57" t="str">
        <f t="array" ref="AP57">IF(ISERROR(INDEX($A$3:$B$14312,SMALL(IF($A$3:$A$14312=AP$3,ROW($A$3:$A$14312)),ROW(55:55)),2)),"",INDEX($A$3:$B$14312,SMALL(IF($A$3:$A$14312=AP$3,ROW($A$3:$A$14312)),ROW(55:55)),2))</f>
        <v/>
      </c>
      <c r="AQ57" t="str">
        <f t="array" ref="AQ57">IF(ISERROR(INDEX($A$3:$B$14312,SMALL(IF($A$3:$A$14312=AQ$3,ROW($A$3:$A$14312)),ROW(55:55)),2)),"",INDEX($A$3:$B$14312,SMALL(IF($A$3:$A$14312=AQ$3,ROW($A$3:$A$14312)),ROW(55:55)),2))</f>
        <v/>
      </c>
      <c r="AR57" t="str">
        <f t="array" ref="AR57">IF(ISERROR(INDEX($A$3:$B$14312,SMALL(IF($A$3:$A$14312=AR$3,ROW($A$3:$A$14312)),ROW(55:55)),2)),"",INDEX($A$3:$B$14312,SMALL(IF($A$3:$A$14312=AR$3,ROW($A$3:$A$14312)),ROW(55:55)),2))</f>
        <v/>
      </c>
      <c r="AS57" t="str">
        <f t="array" ref="AS57">IF(ISERROR(INDEX($A$3:$B$14312,SMALL(IF($A$3:$A$14312=AS$3,ROW($A$3:$A$14312)),ROW(55:55)),2)),"",INDEX($A$3:$B$14312,SMALL(IF($A$3:$A$14312=AS$3,ROW($A$3:$A$14312)),ROW(55:55)),2))</f>
        <v/>
      </c>
      <c r="AT57" t="str">
        <f t="array" ref="AT57">IF(ISERROR(INDEX($A$3:$B$14312,SMALL(IF($A$3:$A$14312=AT$3,ROW($A$3:$A$14312)),ROW(55:55)),2)),"",INDEX($A$3:$B$14312,SMALL(IF($A$3:$A$14312=AT$3,ROW($A$3:$A$14312)),ROW(55:55)),2))</f>
        <v/>
      </c>
      <c r="AU57" t="str">
        <f t="array" ref="AU57">IF(ISERROR(INDEX($A$3:$B$14312,SMALL(IF($A$3:$A$14312=AU$3,ROW($A$3:$A$14312)),ROW(55:55)),2)),"",INDEX($A$3:$B$14312,SMALL(IF($A$3:$A$14312=AU$3,ROW($A$3:$A$14312)),ROW(55:55)),2))</f>
        <v/>
      </c>
      <c r="AV57" t="str">
        <f t="array" ref="AV57">IF(ISERROR(INDEX($A$3:$B$14312,SMALL(IF($A$3:$A$14312=AV$3,ROW($A$3:$A$14312)),ROW(55:55)),2)),"",INDEX($A$3:$B$14312,SMALL(IF($A$3:$A$14312=AV$3,ROW($A$3:$A$14312)),ROW(55:55)),2))</f>
        <v/>
      </c>
      <c r="AW57" t="str">
        <f t="array" ref="AW57">IF(ISERROR(INDEX($A$3:$B$14312,SMALL(IF($A$3:$A$14312=AW$3,ROW($A$3:$A$14312)),ROW(55:55)),2)),"",INDEX($A$3:$B$14312,SMALL(IF($A$3:$A$14312=AW$3,ROW($A$3:$A$14312)),ROW(55:55)),2))</f>
        <v/>
      </c>
      <c r="AX57" t="str">
        <f t="array" ref="AX57">IF(ISERROR(INDEX($A$3:$B$14312,SMALL(IF($A$3:$A$14312=AX$3,ROW($A$3:$A$14312)),ROW(55:55)),2)),"",INDEX($A$3:$B$14312,SMALL(IF($A$3:$A$14312=AX$3,ROW($A$3:$A$14312)),ROW(55:55)),2))</f>
        <v/>
      </c>
      <c r="AY57" t="str">
        <f t="array" ref="AY57">IF(ISERROR(INDEX($A$3:$B$14312,SMALL(IF($A$3:$A$14312=AY$3,ROW($A$3:$A$14312)),ROW(55:55)),2)),"",INDEX($A$3:$B$14312,SMALL(IF($A$3:$A$14312=AY$3,ROW($A$3:$A$14312)),ROW(55:55)),2))</f>
        <v/>
      </c>
      <c r="AZ57" t="str">
        <f t="array" ref="AZ57">IF(ISERROR(INDEX($A$3:$B$14312,SMALL(IF($A$3:$A$14312=AZ$3,ROW($A$3:$A$14312)),ROW(55:55)),2)),"",INDEX($A$3:$B$14312,SMALL(IF($A$3:$A$14312=AZ$3,ROW($A$3:$A$14312)),ROW(55:55)),2))</f>
        <v/>
      </c>
      <c r="BA57" t="str">
        <f t="array" ref="BA57">IF(ISERROR(INDEX($A$3:$B$14312,SMALL(IF($A$3:$A$14312=BA$3,ROW($A$3:$A$14312)),ROW(55:55)),2)),"",INDEX($A$3:$B$14312,SMALL(IF($A$3:$A$14312=BA$3,ROW($A$3:$A$14312)),ROW(55:55)),2))</f>
        <v/>
      </c>
      <c r="BB57" t="str">
        <f t="array" ref="BB57">IF(ISERROR(INDEX($A$3:$B$14312,SMALL(IF($A$3:$A$14312=BB$3,ROW($A$3:$A$14312)),ROW(55:55)),2)),"",INDEX($A$3:$B$14312,SMALL(IF($A$3:$A$14312=BB$3,ROW($A$3:$A$14312)),ROW(55:55)),2))</f>
        <v/>
      </c>
      <c r="BC57" t="str">
        <f t="array" ref="BC57">IF(ISERROR(INDEX($A$3:$B$14312,SMALL(IF($A$3:$A$14312=BC$3,ROW($A$3:$A$14312)),ROW(55:55)),2)),"",INDEX($A$3:$B$14312,SMALL(IF($A$3:$A$14312=BC$3,ROW($A$3:$A$14312)),ROW(55:55)),2))</f>
        <v/>
      </c>
      <c r="BD57" t="str">
        <f t="array" ref="BD57">IF(ISERROR(INDEX($A$3:$B$14312,SMALL(IF($A$3:$A$14312=BD$3,ROW($A$3:$A$14312)),ROW(55:55)),2)),"",INDEX($A$3:$B$14312,SMALL(IF($A$3:$A$14312=BD$3,ROW($A$3:$A$14312)),ROW(55:55)),2))</f>
        <v/>
      </c>
      <c r="BE57" t="str">
        <f t="array" ref="BE57">IF(ISERROR(INDEX($A$3:$B$14312,SMALL(IF($A$3:$A$14312=BE$3,ROW($A$3:$A$14312)),ROW(55:55)),2)),"",INDEX($A$3:$B$14312,SMALL(IF($A$3:$A$14312=BE$3,ROW($A$3:$A$14312)),ROW(55:55)),2))</f>
        <v/>
      </c>
      <c r="BF57" t="str">
        <f t="array" ref="BF57">IF(ISERROR(INDEX($A$3:$B$14312,SMALL(IF($A$3:$A$14312=BF$3,ROW($A$3:$A$14312)),ROW(55:55)),2)),"",INDEX($A$3:$B$14312,SMALL(IF($A$3:$A$14312=BF$3,ROW($A$3:$A$14312)),ROW(55:55)),2))</f>
        <v/>
      </c>
      <c r="BG57" t="str">
        <f t="array" ref="BG57">IF(ISERROR(INDEX($A$3:$B$14312,SMALL(IF($A$3:$A$14312=BG$3,ROW($A$3:$A$14312)),ROW(55:55)),2)),"",INDEX($A$3:$B$14312,SMALL(IF($A$3:$A$14312=BG$3,ROW($A$3:$A$14312)),ROW(55:55)),2))</f>
        <v/>
      </c>
      <c r="BH57" t="str">
        <f t="array" ref="BH57">IF(ISERROR(INDEX($A$3:$B$14312,SMALL(IF($A$3:$A$14312=BH$3,ROW($A$3:$A$14312)),ROW(55:55)),2)),"",INDEX($A$3:$B$14312,SMALL(IF($A$3:$A$14312=BH$3,ROW($A$3:$A$14312)),ROW(55:55)),2))</f>
        <v/>
      </c>
      <c r="BI57" t="str">
        <f t="array" ref="BI57">IF(ISERROR(INDEX($A$3:$B$14312,SMALL(IF($A$3:$A$14312=BI$3,ROW($A$3:$A$14312)),ROW(55:55)),2)),"",INDEX($A$3:$B$14312,SMALL(IF($A$3:$A$14312=BI$3,ROW($A$3:$A$14312)),ROW(55:55)),2))</f>
        <v/>
      </c>
      <c r="BJ57" t="str">
        <f t="array" ref="BJ57">IF(ISERROR(INDEX($A$3:$B$14312,SMALL(IF($A$3:$A$14312=BJ$3,ROW($A$3:$A$14312)),ROW(55:55)),2)),"",INDEX($A$3:$B$14312,SMALL(IF($A$3:$A$14312=BJ$3,ROW($A$3:$A$14312)),ROW(55:55)),2))</f>
        <v/>
      </c>
      <c r="BK57" t="str">
        <f t="array" ref="BK57">IF(ISERROR(INDEX($A$3:$B$14312,SMALL(IF($A$3:$A$14312=BK$3,ROW($A$3:$A$14312)),ROW(55:55)),2)),"",INDEX($A$3:$B$14312,SMALL(IF($A$3:$A$14312=BK$3,ROW($A$3:$A$14312)),ROW(55:55)),2))</f>
        <v/>
      </c>
      <c r="BL57" t="str">
        <f t="array" ref="BL57">IF(ISERROR(INDEX($A$3:$B$14312,SMALL(IF($A$3:$A$14312=BL$3,ROW($A$3:$A$14312)),ROW(55:55)),2)),"",INDEX($A$3:$B$14312,SMALL(IF($A$3:$A$14312=BL$3,ROW($A$3:$A$14312)),ROW(55:55)),2))</f>
        <v/>
      </c>
      <c r="BM57" t="str">
        <f t="array" ref="BM57">IF(ISERROR(INDEX($A$3:$B$14312,SMALL(IF($A$3:$A$14312=BM$3,ROW($A$3:$A$14312)),ROW(55:55)),2)),"",INDEX($A$3:$B$14312,SMALL(IF($A$3:$A$14312=BM$3,ROW($A$3:$A$14312)),ROW(55:55)),2))</f>
        <v/>
      </c>
      <c r="BN57" t="str">
        <f t="array" ref="BN57">IF(ISERROR(INDEX($A$3:$B$14312,SMALL(IF($A$3:$A$14312=BN$3,ROW($A$3:$A$14312)),ROW(55:55)),2)),"",INDEX($A$3:$B$14312,SMALL(IF($A$3:$A$14312=BN$3,ROW($A$3:$A$14312)),ROW(55:55)),2))</f>
        <v/>
      </c>
      <c r="BO57" t="str">
        <f t="array" ref="BO57">IF(ISERROR(INDEX($A$3:$B$14312,SMALL(IF($A$3:$A$14312=BO$3,ROW($A$3:$A$14312)),ROW(55:55)),2)),"",INDEX($A$3:$B$14312,SMALL(IF($A$3:$A$14312=BO$3,ROW($A$3:$A$14312)),ROW(55:55)),2))</f>
        <v/>
      </c>
      <c r="BP57" t="str">
        <f t="array" ref="BP57">IF(ISERROR(INDEX($A$3:$B$14312,SMALL(IF($A$3:$A$14312=BP$3,ROW($A$3:$A$14312)),ROW(55:55)),2)),"",INDEX($A$3:$B$14312,SMALL(IF($A$3:$A$14312=BP$3,ROW($A$3:$A$14312)),ROW(55:55)),2))</f>
        <v/>
      </c>
      <c r="BQ57" t="str">
        <f t="array" ref="BQ57">IF(ISERROR(INDEX($A$3:$B$14312,SMALL(IF($A$3:$A$14312=BQ$3,ROW($A$3:$A$14312)),ROW(55:55)),2)),"",INDEX($A$3:$B$14312,SMALL(IF($A$3:$A$14312=BQ$3,ROW($A$3:$A$14312)),ROW(55:55)),2))</f>
        <v/>
      </c>
      <c r="BR57" t="str">
        <f t="array" ref="BR57">IF(ISERROR(INDEX($A$3:$B$14312,SMALL(IF($A$3:$A$14312=BR$3,ROW($A$3:$A$14312)),ROW(55:55)),2)),"",INDEX($A$3:$B$14312,SMALL(IF($A$3:$A$14312=BR$3,ROW($A$3:$A$14312)),ROW(55:55)),2))</f>
        <v/>
      </c>
      <c r="BS57" t="str">
        <f t="array" ref="BS57">IF(ISERROR(INDEX($A$3:$B$14312,SMALL(IF($A$3:$A$14312=BS$3,ROW($A$3:$A$14312)),ROW(55:55)),2)),"",INDEX($A$3:$B$14312,SMALL(IF($A$3:$A$14312=BS$3,ROW($A$3:$A$14312)),ROW(55:55)),2))</f>
        <v/>
      </c>
      <c r="BT57" t="str">
        <f t="array" ref="BT57">IF(ISERROR(INDEX($A$3:$B$14312,SMALL(IF($A$3:$A$14312=BT$3,ROW($A$3:$A$14312)),ROW(55:55)),2)),"",INDEX($A$3:$B$14312,SMALL(IF($A$3:$A$14312=BT$3,ROW($A$3:$A$14312)),ROW(55:55)),2))</f>
        <v>Router3_156</v>
      </c>
      <c r="BU57" t="str">
        <f t="array" ref="BU57">IF(ISERROR(INDEX($A$3:$B$14312,SMALL(IF($A$3:$A$14312=BU$3,ROW($A$3:$A$14312)),ROW(55:55)),2)),"",INDEX($A$3:$B$14312,SMALL(IF($A$3:$A$14312=BU$3,ROW($A$3:$A$14312)),ROW(55:55)),2))</f>
        <v/>
      </c>
      <c r="BV57" t="str">
        <f t="array" ref="BV57">IF(ISERROR(INDEX($A$3:$B$14312,SMALL(IF($A$3:$A$14312=BV$3,ROW($A$3:$A$14312)),ROW(55:55)),2)),"",INDEX($A$3:$B$14312,SMALL(IF($A$3:$A$14312=BV$3,ROW($A$3:$A$14312)),ROW(55:55)),2))</f>
        <v/>
      </c>
      <c r="BW57" t="str">
        <f t="array" ref="BW57">IF(ISERROR(INDEX($A$3:$B$14312,SMALL(IF($A$3:$A$14312=BW$3,ROW($A$3:$A$14312)),ROW(55:55)),2)),"",INDEX($A$3:$B$14312,SMALL(IF($A$3:$A$14312=BW$3,ROW($A$3:$A$14312)),ROW(55:55)),2))</f>
        <v/>
      </c>
      <c r="BX57" t="str">
        <f t="array" ref="BX57">IF(ISERROR(INDEX($A$3:$B$14312,SMALL(IF($A$3:$A$14312=BX$3,ROW($A$3:$A$14312)),ROW(55:55)),2)),"",INDEX($A$3:$B$14312,SMALL(IF($A$3:$A$14312=BX$3,ROW($A$3:$A$14312)),ROW(55:55)),2))</f>
        <v/>
      </c>
      <c r="BY57" t="str">
        <f t="array" ref="BY57">IF(ISERROR(INDEX($A$3:$B$14312,SMALL(IF($A$3:$A$14312=BY$3,ROW($A$3:$A$14312)),ROW(55:55)),2)),"",INDEX($A$3:$B$14312,SMALL(IF($A$3:$A$14312=BY$3,ROW($A$3:$A$14312)),ROW(55:55)),2))</f>
        <v/>
      </c>
      <c r="BZ57" t="str">
        <f t="array" ref="BZ57">IF(ISERROR(INDEX($A$3:$B$14312,SMALL(IF($A$3:$A$14312=BZ$3,ROW($A$3:$A$14312)),ROW(55:55)),2)),"",INDEX($A$3:$B$14312,SMALL(IF($A$3:$A$14312=BZ$3,ROW($A$3:$A$14312)),ROW(55:55)),2))</f>
        <v/>
      </c>
      <c r="CA57" t="str">
        <f t="array" ref="CA57">IF(ISERROR(INDEX($A$3:$B$14312,SMALL(IF($A$3:$A$14312=CA$3,ROW($A$3:$A$14312)),ROW(55:55)),2)),"",INDEX($A$3:$B$14312,SMALL(IF($A$3:$A$14312=CA$3,ROW($A$3:$A$14312)),ROW(55:55)),2))</f>
        <v/>
      </c>
      <c r="CB57" t="str">
        <f t="array" ref="CB57">IF(ISERROR(INDEX($A$3:$B$14312,SMALL(IF($A$3:$A$14312=CB$3,ROW($A$3:$A$14312)),ROW(55:55)),2)),"",INDEX($A$3:$B$14312,SMALL(IF($A$3:$A$14312=CB$3,ROW($A$3:$A$14312)),ROW(55:55)),2))</f>
        <v/>
      </c>
      <c r="CC57" t="str">
        <f t="array" ref="CC57">IF(ISERROR(INDEX($A$3:$B$14312,SMALL(IF($A$3:$A$14312=CC$3,ROW($A$3:$A$14312)),ROW(55:55)),2)),"",INDEX($A$3:$B$14312,SMALL(IF($A$3:$A$14312=CC$3,ROW($A$3:$A$14312)),ROW(55:55)),2))</f>
        <v/>
      </c>
      <c r="CD57" t="str">
        <f t="array" ref="CD57">IF(ISERROR(INDEX($A$3:$B$14312,SMALL(IF($A$3:$A$14312=CD$3,ROW($A$3:$A$14312)),ROW(55:55)),2)),"",INDEX($A$3:$B$14312,SMALL(IF($A$3:$A$14312=CD$3,ROW($A$3:$A$14312)),ROW(55:55)),2))</f>
        <v/>
      </c>
      <c r="CE57" t="str">
        <f t="array" ref="CE57">IF(ISERROR(INDEX($A$3:$B$14312,SMALL(IF($A$3:$A$14312=CE$3,ROW($A$3:$A$14312)),ROW(55:55)),2)),"",INDEX($A$3:$B$14312,SMALL(IF($A$3:$A$14312=CE$3,ROW($A$3:$A$14312)),ROW(55:55)),2))</f>
        <v/>
      </c>
      <c r="CF57" t="str">
        <f t="array" ref="CF57">IF(ISERROR(INDEX($A$3:$B$14312,SMALL(IF($A$3:$A$14312=CF$3,ROW($A$3:$A$14312)),ROW(55:55)),2)),"",INDEX($A$3:$B$14312,SMALL(IF($A$3:$A$14312=CF$3,ROW($A$3:$A$14312)),ROW(55:55)),2))</f>
        <v/>
      </c>
      <c r="CG57" t="str">
        <f t="array" ref="CG57">IF(ISERROR(INDEX($A$3:$B$14312,SMALL(IF($A$3:$A$14312=CG$3,ROW($A$3:$A$14312)),ROW(55:55)),2)),"",INDEX($A$3:$B$14312,SMALL(IF($A$3:$A$14312=CG$3,ROW($A$3:$A$14312)),ROW(55:55)),2))</f>
        <v/>
      </c>
      <c r="CH57" t="str">
        <f t="array" ref="CH57">IF(ISERROR(INDEX($A$3:$B$14312,SMALL(IF($A$3:$A$14312=CH$3,ROW($A$3:$A$14312)),ROW(55:55)),2)),"",INDEX($A$3:$B$14312,SMALL(IF($A$3:$A$14312=CH$3,ROW($A$3:$A$14312)),ROW(55:55)),2))</f>
        <v/>
      </c>
      <c r="CI57" t="str">
        <f t="array" ref="CI57">IF(ISERROR(INDEX($A$3:$B$14312,SMALL(IF($A$3:$A$14312=CI$3,ROW($A$3:$A$14312)),ROW(55:55)),2)),"",INDEX($A$3:$B$14312,SMALL(IF($A$3:$A$14312=CI$3,ROW($A$3:$A$14312)),ROW(55:55)),2))</f>
        <v/>
      </c>
      <c r="CJ57" t="str">
        <f t="array" ref="CJ57">IF(ISERROR(INDEX($A$3:$B$14312,SMALL(IF($A$3:$A$14312=CJ$3,ROW($A$3:$A$14312)),ROW(55:55)),2)),"",INDEX($A$3:$B$14312,SMALL(IF($A$3:$A$14312=CJ$3,ROW($A$3:$A$14312)),ROW(55:55)),2))</f>
        <v/>
      </c>
      <c r="CK57" t="str">
        <f t="array" ref="CK57">IF(ISERROR(INDEX($A$3:$B$14312,SMALL(IF($A$3:$A$14312=CK$3,ROW($A$3:$A$14312)),ROW(55:55)),2)),"",INDEX($A$3:$B$14312,SMALL(IF($A$3:$A$14312=CK$3,ROW($A$3:$A$14312)),ROW(55:55)),2))</f>
        <v/>
      </c>
      <c r="CL57" t="str">
        <f t="array" ref="CL57">IF(ISERROR(INDEX($A$3:$B$14312,SMALL(IF($A$3:$A$14312=CL$3,ROW($A$3:$A$14312)),ROW(55:55)),2)),"",INDEX($A$3:$B$14312,SMALL(IF($A$3:$A$14312=CL$3,ROW($A$3:$A$14312)),ROW(55:55)),2))</f>
        <v/>
      </c>
      <c r="CM57" t="str">
        <f t="array" ref="CM57">IF(ISERROR(INDEX($A$3:$B$14312,SMALL(IF($A$3:$A$14312=CM$3,ROW($A$3:$A$14312)),ROW(55:55)),2)),"",INDEX($A$3:$B$14312,SMALL(IF($A$3:$A$14312=CM$3,ROW($A$3:$A$14312)),ROW(55:55)),2))</f>
        <v/>
      </c>
      <c r="CN57" t="str">
        <f t="array" ref="CN57">IF(ISERROR(INDEX($A$3:$B$14312,SMALL(IF($A$3:$A$14312=CN$3,ROW($A$3:$A$14312)),ROW(55:55)),2)),"",INDEX($A$3:$B$14312,SMALL(IF($A$3:$A$14312=CN$3,ROW($A$3:$A$14312)),ROW(55:55)),2))</f>
        <v/>
      </c>
      <c r="CO57" t="str">
        <f t="array" ref="CO57">IF(ISERROR(INDEX($A$3:$B$14312,SMALL(IF($A$3:$A$14312=CO$3,ROW($A$3:$A$14312)),ROW(55:55)),2)),"",INDEX($A$3:$B$14312,SMALL(IF($A$3:$A$14312=CO$3,ROW($A$3:$A$14312)),ROW(55:55)),2))</f>
        <v/>
      </c>
      <c r="CP57" t="str">
        <f t="array" ref="CP57">IF(ISERROR(INDEX($A$3:$B$14312,SMALL(IF($A$3:$A$14312=CP$3,ROW($A$3:$A$14312)),ROW(55:55)),2)),"",INDEX($A$3:$B$14312,SMALL(IF($A$3:$A$14312=CP$3,ROW($A$3:$A$14312)),ROW(55:55)),2))</f>
        <v/>
      </c>
      <c r="CQ57" t="str">
        <f t="array" ref="CQ57">IF(ISERROR(INDEX($A$3:$B$14312,SMALL(IF($A$3:$A$14312=CQ$3,ROW($A$3:$A$14312)),ROW(55:55)),2)),"",INDEX($A$3:$B$14312,SMALL(IF($A$3:$A$14312=CQ$3,ROW($A$3:$A$14312)),ROW(55:55)),2))</f>
        <v/>
      </c>
      <c r="CR57" t="str">
        <f t="array" ref="CR57">IF(ISERROR(INDEX($A$3:$B$14312,SMALL(IF($A$3:$A$14312=CR$3,ROW($A$3:$A$14312)),ROW(55:55)),2)),"",INDEX($A$3:$B$14312,SMALL(IF($A$3:$A$14312=CR$3,ROW($A$3:$A$14312)),ROW(55:55)),2))</f>
        <v/>
      </c>
      <c r="CS57" t="str">
        <f t="array" ref="CS57">IF(ISERROR(INDEX($A$3:$B$14312,SMALL(IF($A$3:$A$14312=CS$3,ROW($A$3:$A$14312)),ROW(55:55)),2)),"",INDEX($A$3:$B$14312,SMALL(IF($A$3:$A$14312=CS$3,ROW($A$3:$A$14312)),ROW(55:55)),2))</f>
        <v/>
      </c>
      <c r="CT57" t="str">
        <f t="array" ref="CT57">IF(ISERROR(INDEX($A$3:$B$14312,SMALL(IF($A$3:$A$14312=CT$3,ROW($A$3:$A$14312)),ROW(55:55)),2)),"",INDEX($A$3:$B$14312,SMALL(IF($A$3:$A$14312=CT$3,ROW($A$3:$A$14312)),ROW(55:55)),2))</f>
        <v/>
      </c>
      <c r="CU57" t="str">
        <f t="array" ref="CU57">IF(ISERROR(INDEX($A$3:$B$14312,SMALL(IF($A$3:$A$14312=CU$3,ROW($A$3:$A$14312)),ROW(55:55)),2)),"",INDEX($A$3:$B$14312,SMALL(IF($A$3:$A$14312=CU$3,ROW($A$3:$A$14312)),ROW(55:55)),2))</f>
        <v/>
      </c>
      <c r="CV57" t="str">
        <f t="array" ref="CV57">IF(ISERROR(INDEX($A$3:$B$14312,SMALL(IF($A$3:$A$14312=CV$3,ROW($A$3:$A$14312)),ROW(55:55)),2)),"",INDEX($A$3:$B$14312,SMALL(IF($A$3:$A$14312=CV$3,ROW($A$3:$A$14312)),ROW(55:55)),2))</f>
        <v/>
      </c>
      <c r="CW57" t="str">
        <f t="array" ref="CW57">IF(ISERROR(INDEX($A$3:$B$14312,SMALL(IF($A$3:$A$14312=CW$3,ROW($A$3:$A$14312)),ROW(55:55)),2)),"",INDEX($A$3:$B$14312,SMALL(IF($A$3:$A$14312=CW$3,ROW($A$3:$A$14312)),ROW(55:55)),2))</f>
        <v/>
      </c>
      <c r="CX57" t="str">
        <f t="array" ref="CX57">IF(ISERROR(INDEX($A$3:$B$14312,SMALL(IF($A$3:$A$14312=CX$3,ROW($A$3:$A$14312)),ROW(55:55)),2)),"",INDEX($A$3:$B$14312,SMALL(IF($A$3:$A$14312=CX$3,ROW($A$3:$A$14312)),ROW(55:55)),2))</f>
        <v/>
      </c>
      <c r="CY57" t="str">
        <f t="array" ref="CY57">IF(ISERROR(INDEX($A$3:$B$14312,SMALL(IF($A$3:$A$14312=CY$3,ROW($A$3:$A$14312)),ROW(55:55)),2)),"",INDEX($A$3:$B$14312,SMALL(IF($A$3:$A$14312=CY$3,ROW($A$3:$A$14312)),ROW(55:55)),2))</f>
        <v/>
      </c>
      <c r="CZ57" t="str">
        <f t="array" ref="CZ57">IF(ISERROR(INDEX($A$3:$B$14312,SMALL(IF($A$3:$A$14312=CZ$3,ROW($A$3:$A$14312)),ROW(55:55)),2)),"",INDEX($A$3:$B$14312,SMALL(IF($A$3:$A$14312=CZ$3,ROW($A$3:$A$14312)),ROW(55:55)),2))</f>
        <v/>
      </c>
      <c r="DA57" t="str">
        <f t="array" ref="DA57">IF(ISERROR(INDEX($A$3:$B$14312,SMALL(IF($A$3:$A$14312=DA$3,ROW($A$3:$A$14312)),ROW(55:55)),2)),"",INDEX($A$3:$B$14312,SMALL(IF($A$3:$A$14312=DA$3,ROW($A$3:$A$14312)),ROW(55:55)),2))</f>
        <v/>
      </c>
      <c r="DB57" t="str">
        <f t="array" ref="DB57">IF(ISERROR(INDEX($A$3:$B$14312,SMALL(IF($A$3:$A$14312=DB$3,ROW($A$3:$A$14312)),ROW(55:55)),2)),"",INDEX($A$3:$B$14312,SMALL(IF($A$3:$A$14312=DB$3,ROW($A$3:$A$14312)),ROW(55:55)),2))</f>
        <v/>
      </c>
      <c r="DC57" t="str">
        <f t="array" ref="DC57">IF(ISERROR(INDEX($A$3:$B$14312,SMALL(IF($A$3:$A$14312=DC$3,ROW($A$3:$A$14312)),ROW(55:55)),2)),"",INDEX($A$3:$B$14312,SMALL(IF($A$3:$A$14312=DC$3,ROW($A$3:$A$14312)),ROW(55:55)),2))</f>
        <v/>
      </c>
      <c r="DD57" t="str">
        <f t="array" ref="DD57">IF(ISERROR(INDEX($A$3:$B$14312,SMALL(IF($A$3:$A$14312=DD$3,ROW($A$3:$A$14312)),ROW(55:55)),2)),"",INDEX($A$3:$B$14312,SMALL(IF($A$3:$A$14312=DD$3,ROW($A$3:$A$14312)),ROW(55:55)),2))</f>
        <v/>
      </c>
      <c r="DE57" t="str">
        <f t="array" ref="DE57">IF(ISERROR(INDEX($A$3:$B$14312,SMALL(IF($A$3:$A$14312=DE$3,ROW($A$3:$A$14312)),ROW(55:55)),2)),"",INDEX($A$3:$B$14312,SMALL(IF($A$3:$A$14312=DE$3,ROW($A$3:$A$14312)),ROW(55:55)),2))</f>
        <v/>
      </c>
      <c r="DF57" t="str">
        <f t="array" ref="DF57">IF(ISERROR(INDEX($A$3:$B$14312,SMALL(IF($A$3:$A$14312=DF$3,ROW($A$3:$A$14312)),ROW(55:55)),2)),"",INDEX($A$3:$B$14312,SMALL(IF($A$3:$A$14312=DF$3,ROW($A$3:$A$14312)),ROW(55:55)),2))</f>
        <v/>
      </c>
      <c r="DG57" t="str">
        <f t="array" ref="DG57">IF(ISERROR(INDEX($A$3:$B$14312,SMALL(IF($A$3:$A$14312=DG$3,ROW($A$3:$A$14312)),ROW(55:55)),2)),"",INDEX($A$3:$B$14312,SMALL(IF($A$3:$A$14312=DG$3,ROW($A$3:$A$14312)),ROW(55:55)),2))</f>
        <v/>
      </c>
      <c r="DH57" t="str">
        <f t="array" ref="DH57">IF(ISERROR(INDEX($A$3:$B$14312,SMALL(IF($A$3:$A$14312=DH$3,ROW($A$3:$A$14312)),ROW(55:55)),2)),"",INDEX($A$3:$B$14312,SMALL(IF($A$3:$A$14312=DH$3,ROW($A$3:$A$14312)),ROW(55:55)),2))</f>
        <v/>
      </c>
      <c r="DI57" t="str">
        <f t="array" ref="DI57">IF(ISERROR(INDEX($A$3:$B$14312,SMALL(IF($A$3:$A$14312=DI$3,ROW($A$3:$A$14312)),ROW(55:55)),2)),"",INDEX($A$3:$B$14312,SMALL(IF($A$3:$A$14312=DI$3,ROW($A$3:$A$14312)),ROW(55:55)),2))</f>
        <v>Router3_121</v>
      </c>
      <c r="DJ57" t="str">
        <f t="array" ref="DJ57">IF(ISERROR(INDEX($A$3:$B$14312,SMALL(IF($A$3:$A$14312=DJ$3,ROW($A$3:$A$14312)),ROW(55:55)),2)),"",INDEX($A$3:$B$14312,SMALL(IF($A$3:$A$14312=DJ$3,ROW($A$3:$A$14312)),ROW(55:55)),2))</f>
        <v/>
      </c>
      <c r="DK57" t="str">
        <f t="array" ref="DK57">IF(ISERROR(INDEX($A$3:$B$14312,SMALL(IF($A$3:$A$14312=DK$3,ROW($A$3:$A$14312)),ROW(55:55)),2)),"",INDEX($A$3:$B$14312,SMALL(IF($A$3:$A$14312=DK$3,ROW($A$3:$A$14312)),ROW(55:55)),2))</f>
        <v/>
      </c>
      <c r="DL57" t="str">
        <f t="array" ref="DL57">IF(ISERROR(INDEX($A$3:$B$14312,SMALL(IF($A$3:$A$14312=DL$3,ROW($A$3:$A$14312)),ROW(55:55)),2)),"",INDEX($A$3:$B$14312,SMALL(IF($A$3:$A$14312=DL$3,ROW($A$3:$A$14312)),ROW(55:55)),2))</f>
        <v/>
      </c>
      <c r="DM57" t="str">
        <f t="array" ref="DM57">IF(ISERROR(INDEX($A$3:$B$14312,SMALL(IF($A$3:$A$14312=DM$3,ROW($A$3:$A$14312)),ROW(55:55)),2)),"",INDEX($A$3:$B$14312,SMALL(IF($A$3:$A$14312=DM$3,ROW($A$3:$A$14312)),ROW(55:55)),2))</f>
        <v/>
      </c>
      <c r="DN57" t="str">
        <f t="array" ref="DN57">IF(ISERROR(INDEX($A$3:$B$14312,SMALL(IF($A$3:$A$14312=DN$3,ROW($A$3:$A$14312)),ROW(55:55)),2)),"",INDEX($A$3:$B$14312,SMALL(IF($A$3:$A$14312=DN$3,ROW($A$3:$A$14312)),ROW(55:55)),2))</f>
        <v/>
      </c>
      <c r="DO57" t="str">
        <f t="array" ref="DO57">IF(ISERROR(INDEX($A$3:$B$14312,SMALL(IF($A$3:$A$14312=DO$3,ROW($A$3:$A$14312)),ROW(55:55)),2)),"",INDEX($A$3:$B$14312,SMALL(IF($A$3:$A$14312=DO$3,ROW($A$3:$A$14312)),ROW(55:55)),2))</f>
        <v/>
      </c>
      <c r="DP57" t="str">
        <f t="array" ref="DP57">IF(ISERROR(INDEX($A$3:$B$14312,SMALL(IF($A$3:$A$14312=DP$3,ROW($A$3:$A$14312)),ROW(55:55)),2)),"",INDEX($A$3:$B$14312,SMALL(IF($A$3:$A$14312=DP$3,ROW($A$3:$A$14312)),ROW(55:55)),2))</f>
        <v/>
      </c>
      <c r="DQ57" t="str">
        <f t="array" ref="DQ57">IF(ISERROR(INDEX($A$3:$B$14312,SMALL(IF($A$3:$A$14312=DQ$3,ROW($A$3:$A$14312)),ROW(55:55)),2)),"",INDEX($A$3:$B$14312,SMALL(IF($A$3:$A$14312=DQ$3,ROW($A$3:$A$14312)),ROW(55:55)),2))</f>
        <v/>
      </c>
      <c r="DR57" t="str">
        <f t="array" ref="DR57">IF(ISERROR(INDEX($A$3:$B$14312,SMALL(IF($A$3:$A$14312=DR$3,ROW($A$3:$A$14312)),ROW(55:55)),2)),"",INDEX($A$3:$B$14312,SMALL(IF($A$3:$A$14312=DR$3,ROW($A$3:$A$14312)),ROW(55:55)),2))</f>
        <v/>
      </c>
      <c r="DS57" t="str">
        <f t="array" ref="DS57">IF(ISERROR(INDEX($A$3:$B$14312,SMALL(IF($A$3:$A$14312=DS$3,ROW($A$3:$A$14312)),ROW(55:55)),2)),"",INDEX($A$3:$B$14312,SMALL(IF($A$3:$A$14312=DS$3,ROW($A$3:$A$14312)),ROW(55:55)),2))</f>
        <v/>
      </c>
      <c r="DT57" t="str">
        <f t="array" ref="DT57">IF(ISERROR(INDEX($A$3:$B$14312,SMALL(IF($A$3:$A$14312=DT$3,ROW($A$3:$A$14312)),ROW(55:55)),2)),"",INDEX($A$3:$B$14312,SMALL(IF($A$3:$A$14312=DT$3,ROW($A$3:$A$14312)),ROW(55:55)),2))</f>
        <v>Router3_121</v>
      </c>
      <c r="DU57" t="str">
        <f t="array" ref="DU57">IF(ISERROR(INDEX($A$3:$B$14312,SMALL(IF($A$3:$A$14312=DU$3,ROW($A$3:$A$14312)),ROW(55:55)),2)),"",INDEX($A$3:$B$14312,SMALL(IF($A$3:$A$14312=DU$3,ROW($A$3:$A$14312)),ROW(55:55)),2))</f>
        <v/>
      </c>
      <c r="DV57" t="str">
        <f t="array" ref="DV57">IF(ISERROR(INDEX($A$3:$B$14312,SMALL(IF($A$3:$A$14312=DV$3,ROW($A$3:$A$14312)),ROW(55:55)),2)),"",INDEX($A$3:$B$14312,SMALL(IF($A$3:$A$14312=DV$3,ROW($A$3:$A$14312)),ROW(55:55)),2))</f>
        <v/>
      </c>
      <c r="DW57" t="str">
        <f t="array" ref="DW57">IF(ISERROR(INDEX($A$3:$B$14312,SMALL(IF($A$3:$A$14312=DW$3,ROW($A$3:$A$14312)),ROW(55:55)),2)),"",INDEX($A$3:$B$14312,SMALL(IF($A$3:$A$14312=DW$3,ROW($A$3:$A$14312)),ROW(55:55)),2))</f>
        <v/>
      </c>
      <c r="DX57" t="str">
        <f t="array" ref="DX57">IF(ISERROR(INDEX($A$3:$B$14312,SMALL(IF($A$3:$A$14312=DX$3,ROW($A$3:$A$14312)),ROW(55:55)),2)),"",INDEX($A$3:$B$14312,SMALL(IF($A$3:$A$14312=DX$3,ROW($A$3:$A$14312)),ROW(55:55)),2))</f>
        <v/>
      </c>
      <c r="DY57" t="str">
        <f t="array" ref="DY57">IF(ISERROR(INDEX($A$3:$B$14312,SMALL(IF($A$3:$A$14312=DY$3,ROW($A$3:$A$14312)),ROW(55:55)),2)),"",INDEX($A$3:$B$14312,SMALL(IF($A$3:$A$14312=DY$3,ROW($A$3:$A$14312)),ROW(55:55)),2))</f>
        <v/>
      </c>
      <c r="DZ57" t="str">
        <f t="array" ref="DZ57">IF(ISERROR(INDEX($A$3:$B$14312,SMALL(IF($A$3:$A$14312=DZ$3,ROW($A$3:$A$14312)),ROW(55:55)),2)),"",INDEX($A$3:$B$14312,SMALL(IF($A$3:$A$14312=DZ$3,ROW($A$3:$A$14312)),ROW(55:55)),2))</f>
        <v/>
      </c>
      <c r="EA57" t="str">
        <f t="array" ref="EA57">IF(ISERROR(INDEX($A$3:$B$14312,SMALL(IF($A$3:$A$14312=EA$3,ROW($A$3:$A$14312)),ROW(55:55)),2)),"",INDEX($A$3:$B$14312,SMALL(IF($A$3:$A$14312=EA$3,ROW($A$3:$A$14312)),ROW(55:55)),2))</f>
        <v/>
      </c>
      <c r="EB57" t="str">
        <f t="array" ref="EB57">IF(ISERROR(INDEX($A$3:$B$14312,SMALL(IF($A$3:$A$14312=EB$3,ROW($A$3:$A$14312)),ROW(55:55)),2)),"",INDEX($A$3:$B$14312,SMALL(IF($A$3:$A$14312=EB$3,ROW($A$3:$A$14312)),ROW(55:55)),2))</f>
        <v/>
      </c>
      <c r="EC57" t="str">
        <f t="array" ref="EC57">IF(ISERROR(INDEX($A$3:$B$14312,SMALL(IF($A$3:$A$14312=EC$3,ROW($A$3:$A$14312)),ROW(55:55)),2)),"",INDEX($A$3:$B$14312,SMALL(IF($A$3:$A$14312=EC$3,ROW($A$3:$A$14312)),ROW(55:55)),2))</f>
        <v>Router3_66</v>
      </c>
      <c r="ED57" t="str">
        <f t="array" ref="ED57">IF(ISERROR(INDEX($A$3:$B$14312,SMALL(IF($A$3:$A$14312=ED$3,ROW($A$3:$A$14312)),ROW(55:55)),2)),"",INDEX($A$3:$B$14312,SMALL(IF($A$3:$A$14312=ED$3,ROW($A$3:$A$14312)),ROW(55:55)),2))</f>
        <v/>
      </c>
      <c r="EE57" t="str">
        <f t="array" ref="EE57">IF(ISERROR(INDEX($A$3:$B$14312,SMALL(IF($A$3:$A$14312=EE$3,ROW($A$3:$A$14312)),ROW(55:55)),2)),"",INDEX($A$3:$B$14312,SMALL(IF($A$3:$A$14312=EE$3,ROW($A$3:$A$14312)),ROW(55:55)),2))</f>
        <v/>
      </c>
    </row>
    <row r="58" spans="1:135" x14ac:dyDescent="0.25">
      <c r="A58" s="10">
        <v>-424987520</v>
      </c>
      <c r="B58" t="s">
        <v>1155</v>
      </c>
      <c r="E58" t="str">
        <f t="array" ref="E58">IF(ISERROR(INDEX($A$3:$B$14312,SMALL(IF($A$3:$A$14312=E$3,ROW($A$3:$A$14312)),ROW(56:56)),2)),"",INDEX($A$3:$B$14312,SMALL(IF($A$3:$A$14312=E$3,ROW($A$3:$A$14312)),ROW(56:56)),2))</f>
        <v/>
      </c>
      <c r="F58" t="str">
        <f t="array" ref="F58">IF(ISERROR(INDEX($A$3:$B$14312,SMALL(IF($A$3:$A$14312=F$3,ROW($A$3:$A$14312)),ROW(56:56)),2)),"",INDEX($A$3:$B$14312,SMALL(IF($A$3:$A$14312=F$3,ROW($A$3:$A$14312)),ROW(56:56)),2))</f>
        <v/>
      </c>
      <c r="G58" t="str">
        <f t="array" ref="G58">IF(ISERROR(INDEX($A$3:$B$14312,SMALL(IF($A$3:$A$14312=G$3,ROW($A$3:$A$14312)),ROW(56:56)),2)),"",INDEX($A$3:$B$14312,SMALL(IF($A$3:$A$14312=G$3,ROW($A$3:$A$14312)),ROW(56:56)),2))</f>
        <v/>
      </c>
      <c r="H58" t="str">
        <f t="array" ref="H58">IF(ISERROR(INDEX($A$3:$B$14312,SMALL(IF($A$3:$A$14312=H$3,ROW($A$3:$A$14312)),ROW(56:56)),2)),"",INDEX($A$3:$B$14312,SMALL(IF($A$3:$A$14312=H$3,ROW($A$3:$A$14312)),ROW(56:56)),2))</f>
        <v/>
      </c>
      <c r="I58" t="str">
        <f t="array" ref="I58">IF(ISERROR(INDEX($A$3:$B$14312,SMALL(IF($A$3:$A$14312=I$3,ROW($A$3:$A$14312)),ROW(56:56)),2)),"",INDEX($A$3:$B$14312,SMALL(IF($A$3:$A$14312=I$3,ROW($A$3:$A$14312)),ROW(56:56)),2))</f>
        <v/>
      </c>
      <c r="J58" t="str">
        <f t="array" ref="J58">IF(ISERROR(INDEX($A$3:$B$14312,SMALL(IF($A$3:$A$14312=J$3,ROW($A$3:$A$14312)),ROW(56:56)),2)),"",INDEX($A$3:$B$14312,SMALL(IF($A$3:$A$14312=J$3,ROW($A$3:$A$14312)),ROW(56:56)),2))</f>
        <v/>
      </c>
      <c r="K58" t="str">
        <f t="array" ref="K58">IF(ISERROR(INDEX($A$3:$B$14312,SMALL(IF($A$3:$A$14312=K$3,ROW($A$3:$A$14312)),ROW(56:56)),2)),"",INDEX($A$3:$B$14312,SMALL(IF($A$3:$A$14312=K$3,ROW($A$3:$A$14312)),ROW(56:56)),2))</f>
        <v/>
      </c>
      <c r="L58" t="str">
        <f t="array" ref="L58">IF(ISERROR(INDEX($A$3:$B$14312,SMALL(IF($A$3:$A$14312=L$3,ROW($A$3:$A$14312)),ROW(56:56)),2)),"",INDEX($A$3:$B$14312,SMALL(IF($A$3:$A$14312=L$3,ROW($A$3:$A$14312)),ROW(56:56)),2))</f>
        <v/>
      </c>
      <c r="M58" t="str">
        <f t="array" ref="M58">IF(ISERROR(INDEX($A$3:$B$14312,SMALL(IF($A$3:$A$14312=M$3,ROW($A$3:$A$14312)),ROW(56:56)),2)),"",INDEX($A$3:$B$14312,SMALL(IF($A$3:$A$14312=M$3,ROW($A$3:$A$14312)),ROW(56:56)),2))</f>
        <v/>
      </c>
      <c r="N58" t="str">
        <f t="array" ref="N58">IF(ISERROR(INDEX($A$3:$B$14312,SMALL(IF($A$3:$A$14312=N$3,ROW($A$3:$A$14312)),ROW(56:56)),2)),"",INDEX($A$3:$B$14312,SMALL(IF($A$3:$A$14312=N$3,ROW($A$3:$A$14312)),ROW(56:56)),2))</f>
        <v/>
      </c>
      <c r="O58" t="str">
        <f t="array" ref="O58">IF(ISERROR(INDEX($A$3:$B$14312,SMALL(IF($A$3:$A$14312=O$3,ROW($A$3:$A$14312)),ROW(56:56)),2)),"",INDEX($A$3:$B$14312,SMALL(IF($A$3:$A$14312=O$3,ROW($A$3:$A$14312)),ROW(56:56)),2))</f>
        <v/>
      </c>
      <c r="P58" t="str">
        <f t="array" ref="P58">IF(ISERROR(INDEX($A$3:$B$14312,SMALL(IF($A$3:$A$14312=P$3,ROW($A$3:$A$14312)),ROW(56:56)),2)),"",INDEX($A$3:$B$14312,SMALL(IF($A$3:$A$14312=P$3,ROW($A$3:$A$14312)),ROW(56:56)),2))</f>
        <v/>
      </c>
      <c r="Q58" t="str">
        <f t="array" ref="Q58">IF(ISERROR(INDEX($A$3:$B$14312,SMALL(IF($A$3:$A$14312=Q$3,ROW($A$3:$A$14312)),ROW(56:56)),2)),"",INDEX($A$3:$B$14312,SMALL(IF($A$3:$A$14312=Q$3,ROW($A$3:$A$14312)),ROW(56:56)),2))</f>
        <v/>
      </c>
      <c r="R58" t="str">
        <f t="array" ref="R58">IF(ISERROR(INDEX($A$3:$B$14312,SMALL(IF($A$3:$A$14312=R$3,ROW($A$3:$A$14312)),ROW(56:56)),2)),"",INDEX($A$3:$B$14312,SMALL(IF($A$3:$A$14312=R$3,ROW($A$3:$A$14312)),ROW(56:56)),2))</f>
        <v/>
      </c>
      <c r="S58" t="str">
        <f t="array" ref="S58">IF(ISERROR(INDEX($A$3:$B$14312,SMALL(IF($A$3:$A$14312=S$3,ROW($A$3:$A$14312)),ROW(56:56)),2)),"",INDEX($A$3:$B$14312,SMALL(IF($A$3:$A$14312=S$3,ROW($A$3:$A$14312)),ROW(56:56)),2))</f>
        <v/>
      </c>
      <c r="T58" t="str">
        <f t="array" ref="T58">IF(ISERROR(INDEX($A$3:$B$14312,SMALL(IF($A$3:$A$14312=T$3,ROW($A$3:$A$14312)),ROW(56:56)),2)),"",INDEX($A$3:$B$14312,SMALL(IF($A$3:$A$14312=T$3,ROW($A$3:$A$14312)),ROW(56:56)),2))</f>
        <v/>
      </c>
      <c r="U58" t="str">
        <f t="array" ref="U58">IF(ISERROR(INDEX($A$3:$B$14312,SMALL(IF($A$3:$A$14312=U$3,ROW($A$3:$A$14312)),ROW(56:56)),2)),"",INDEX($A$3:$B$14312,SMALL(IF($A$3:$A$14312=U$3,ROW($A$3:$A$14312)),ROW(56:56)),2))</f>
        <v/>
      </c>
      <c r="V58" t="str">
        <f t="array" ref="V58">IF(ISERROR(INDEX($A$3:$B$14312,SMALL(IF($A$3:$A$14312=V$3,ROW($A$3:$A$14312)),ROW(56:56)),2)),"",INDEX($A$3:$B$14312,SMALL(IF($A$3:$A$14312=V$3,ROW($A$3:$A$14312)),ROW(56:56)),2))</f>
        <v/>
      </c>
      <c r="W58" t="str">
        <f t="array" ref="W58">IF(ISERROR(INDEX($A$3:$B$14312,SMALL(IF($A$3:$A$14312=W$3,ROW($A$3:$A$14312)),ROW(56:56)),2)),"",INDEX($A$3:$B$14312,SMALL(IF($A$3:$A$14312=W$3,ROW($A$3:$A$14312)),ROW(56:56)),2))</f>
        <v/>
      </c>
      <c r="X58" t="str">
        <f t="array" ref="X58">IF(ISERROR(INDEX($A$3:$B$14312,SMALL(IF($A$3:$A$14312=X$3,ROW($A$3:$A$14312)),ROW(56:56)),2)),"",INDEX($A$3:$B$14312,SMALL(IF($A$3:$A$14312=X$3,ROW($A$3:$A$14312)),ROW(56:56)),2))</f>
        <v/>
      </c>
      <c r="Y58" t="str">
        <f t="array" ref="Y58">IF(ISERROR(INDEX($A$3:$B$14312,SMALL(IF($A$3:$A$14312=Y$3,ROW($A$3:$A$14312)),ROW(56:56)),2)),"",INDEX($A$3:$B$14312,SMALL(IF($A$3:$A$14312=Y$3,ROW($A$3:$A$14312)),ROW(56:56)),2))</f>
        <v/>
      </c>
      <c r="Z58" t="str">
        <f t="array" ref="Z58">IF(ISERROR(INDEX($A$3:$B$14312,SMALL(IF($A$3:$A$14312=Z$3,ROW($A$3:$A$14312)),ROW(56:56)),2)),"",INDEX($A$3:$B$14312,SMALL(IF($A$3:$A$14312=Z$3,ROW($A$3:$A$14312)),ROW(56:56)),2))</f>
        <v/>
      </c>
      <c r="AA58" t="str">
        <f t="array" ref="AA58">IF(ISERROR(INDEX($A$3:$B$14312,SMALL(IF($A$3:$A$14312=AA$3,ROW($A$3:$A$14312)),ROW(56:56)),2)),"",INDEX($A$3:$B$14312,SMALL(IF($A$3:$A$14312=AA$3,ROW($A$3:$A$14312)),ROW(56:56)),2))</f>
        <v/>
      </c>
      <c r="AB58" t="str">
        <f t="array" ref="AB58">IF(ISERROR(INDEX($A$3:$B$14312,SMALL(IF($A$3:$A$14312=AB$3,ROW($A$3:$A$14312)),ROW(56:56)),2)),"",INDEX($A$3:$B$14312,SMALL(IF($A$3:$A$14312=AB$3,ROW($A$3:$A$14312)),ROW(56:56)),2))</f>
        <v/>
      </c>
      <c r="AC58" t="str">
        <f t="array" ref="AC58">IF(ISERROR(INDEX($A$3:$B$14312,SMALL(IF($A$3:$A$14312=AC$3,ROW($A$3:$A$14312)),ROW(56:56)),2)),"",INDEX($A$3:$B$14312,SMALL(IF($A$3:$A$14312=AC$3,ROW($A$3:$A$14312)),ROW(56:56)),2))</f>
        <v/>
      </c>
      <c r="AD58" t="str">
        <f t="array" ref="AD58">IF(ISERROR(INDEX($A$3:$B$14312,SMALL(IF($A$3:$A$14312=AD$3,ROW($A$3:$A$14312)),ROW(56:56)),2)),"",INDEX($A$3:$B$14312,SMALL(IF($A$3:$A$14312=AD$3,ROW($A$3:$A$14312)),ROW(56:56)),2))</f>
        <v/>
      </c>
      <c r="AE58" t="str">
        <f t="array" ref="AE58">IF(ISERROR(INDEX($A$3:$B$14312,SMALL(IF($A$3:$A$14312=AE$3,ROW($A$3:$A$14312)),ROW(56:56)),2)),"",INDEX($A$3:$B$14312,SMALL(IF($A$3:$A$14312=AE$3,ROW($A$3:$A$14312)),ROW(56:56)),2))</f>
        <v/>
      </c>
      <c r="AF58" t="str">
        <f t="array" ref="AF58">IF(ISERROR(INDEX($A$3:$B$14312,SMALL(IF($A$3:$A$14312=AF$3,ROW($A$3:$A$14312)),ROW(56:56)),2)),"",INDEX($A$3:$B$14312,SMALL(IF($A$3:$A$14312=AF$3,ROW($A$3:$A$14312)),ROW(56:56)),2))</f>
        <v/>
      </c>
      <c r="AG58" t="str">
        <f t="array" ref="AG58">IF(ISERROR(INDEX($A$3:$B$14312,SMALL(IF($A$3:$A$14312=AG$3,ROW($A$3:$A$14312)),ROW(56:56)),2)),"",INDEX($A$3:$B$14312,SMALL(IF($A$3:$A$14312=AG$3,ROW($A$3:$A$14312)),ROW(56:56)),2))</f>
        <v/>
      </c>
      <c r="AH58" t="str">
        <f t="array" ref="AH58">IF(ISERROR(INDEX($A$3:$B$14312,SMALL(IF($A$3:$A$14312=AH$3,ROW($A$3:$A$14312)),ROW(56:56)),2)),"",INDEX($A$3:$B$14312,SMALL(IF($A$3:$A$14312=AH$3,ROW($A$3:$A$14312)),ROW(56:56)),2))</f>
        <v/>
      </c>
      <c r="AI58" t="str">
        <f t="array" ref="AI58">IF(ISERROR(INDEX($A$3:$B$14312,SMALL(IF($A$3:$A$14312=AI$3,ROW($A$3:$A$14312)),ROW(56:56)),2)),"",INDEX($A$3:$B$14312,SMALL(IF($A$3:$A$14312=AI$3,ROW($A$3:$A$14312)),ROW(56:56)),2))</f>
        <v/>
      </c>
      <c r="AJ58" t="str">
        <f t="array" ref="AJ58">IF(ISERROR(INDEX($A$3:$B$14312,SMALL(IF($A$3:$A$14312=AJ$3,ROW($A$3:$A$14312)),ROW(56:56)),2)),"",INDEX($A$3:$B$14312,SMALL(IF($A$3:$A$14312=AJ$3,ROW($A$3:$A$14312)),ROW(56:56)),2))</f>
        <v/>
      </c>
      <c r="AK58" t="str">
        <f t="array" ref="AK58">IF(ISERROR(INDEX($A$3:$B$14312,SMALL(IF($A$3:$A$14312=AK$3,ROW($A$3:$A$14312)),ROW(56:56)),2)),"",INDEX($A$3:$B$14312,SMALL(IF($A$3:$A$14312=AK$3,ROW($A$3:$A$14312)),ROW(56:56)),2))</f>
        <v/>
      </c>
      <c r="AL58" t="str">
        <f t="array" ref="AL58">IF(ISERROR(INDEX($A$3:$B$14312,SMALL(IF($A$3:$A$14312=AL$3,ROW($A$3:$A$14312)),ROW(56:56)),2)),"",INDEX($A$3:$B$14312,SMALL(IF($A$3:$A$14312=AL$3,ROW($A$3:$A$14312)),ROW(56:56)),2))</f>
        <v/>
      </c>
      <c r="AM58" t="str">
        <f t="array" ref="AM58">IF(ISERROR(INDEX($A$3:$B$14312,SMALL(IF($A$3:$A$14312=AM$3,ROW($A$3:$A$14312)),ROW(56:56)),2)),"",INDEX($A$3:$B$14312,SMALL(IF($A$3:$A$14312=AM$3,ROW($A$3:$A$14312)),ROW(56:56)),2))</f>
        <v/>
      </c>
      <c r="AN58" t="str">
        <f t="array" ref="AN58">IF(ISERROR(INDEX($A$3:$B$14312,SMALL(IF($A$3:$A$14312=AN$3,ROW($A$3:$A$14312)),ROW(56:56)),2)),"",INDEX($A$3:$B$14312,SMALL(IF($A$3:$A$14312=AN$3,ROW($A$3:$A$14312)),ROW(56:56)),2))</f>
        <v/>
      </c>
      <c r="AO58" t="str">
        <f t="array" ref="AO58">IF(ISERROR(INDEX($A$3:$B$14312,SMALL(IF($A$3:$A$14312=AO$3,ROW($A$3:$A$14312)),ROW(56:56)),2)),"",INDEX($A$3:$B$14312,SMALL(IF($A$3:$A$14312=AO$3,ROW($A$3:$A$14312)),ROW(56:56)),2))</f>
        <v/>
      </c>
      <c r="AP58" t="str">
        <f t="array" ref="AP58">IF(ISERROR(INDEX($A$3:$B$14312,SMALL(IF($A$3:$A$14312=AP$3,ROW($A$3:$A$14312)),ROW(56:56)),2)),"",INDEX($A$3:$B$14312,SMALL(IF($A$3:$A$14312=AP$3,ROW($A$3:$A$14312)),ROW(56:56)),2))</f>
        <v/>
      </c>
      <c r="AQ58" t="str">
        <f t="array" ref="AQ58">IF(ISERROR(INDEX($A$3:$B$14312,SMALL(IF($A$3:$A$14312=AQ$3,ROW($A$3:$A$14312)),ROW(56:56)),2)),"",INDEX($A$3:$B$14312,SMALL(IF($A$3:$A$14312=AQ$3,ROW($A$3:$A$14312)),ROW(56:56)),2))</f>
        <v/>
      </c>
      <c r="AR58" t="str">
        <f t="array" ref="AR58">IF(ISERROR(INDEX($A$3:$B$14312,SMALL(IF($A$3:$A$14312=AR$3,ROW($A$3:$A$14312)),ROW(56:56)),2)),"",INDEX($A$3:$B$14312,SMALL(IF($A$3:$A$14312=AR$3,ROW($A$3:$A$14312)),ROW(56:56)),2))</f>
        <v/>
      </c>
      <c r="AS58" t="str">
        <f t="array" ref="AS58">IF(ISERROR(INDEX($A$3:$B$14312,SMALL(IF($A$3:$A$14312=AS$3,ROW($A$3:$A$14312)),ROW(56:56)),2)),"",INDEX($A$3:$B$14312,SMALL(IF($A$3:$A$14312=AS$3,ROW($A$3:$A$14312)),ROW(56:56)),2))</f>
        <v/>
      </c>
      <c r="AT58" t="str">
        <f t="array" ref="AT58">IF(ISERROR(INDEX($A$3:$B$14312,SMALL(IF($A$3:$A$14312=AT$3,ROW($A$3:$A$14312)),ROW(56:56)),2)),"",INDEX($A$3:$B$14312,SMALL(IF($A$3:$A$14312=AT$3,ROW($A$3:$A$14312)),ROW(56:56)),2))</f>
        <v/>
      </c>
      <c r="AU58" t="str">
        <f t="array" ref="AU58">IF(ISERROR(INDEX($A$3:$B$14312,SMALL(IF($A$3:$A$14312=AU$3,ROW($A$3:$A$14312)),ROW(56:56)),2)),"",INDEX($A$3:$B$14312,SMALL(IF($A$3:$A$14312=AU$3,ROW($A$3:$A$14312)),ROW(56:56)),2))</f>
        <v/>
      </c>
      <c r="AV58" t="str">
        <f t="array" ref="AV58">IF(ISERROR(INDEX($A$3:$B$14312,SMALL(IF($A$3:$A$14312=AV$3,ROW($A$3:$A$14312)),ROW(56:56)),2)),"",INDEX($A$3:$B$14312,SMALL(IF($A$3:$A$14312=AV$3,ROW($A$3:$A$14312)),ROW(56:56)),2))</f>
        <v/>
      </c>
      <c r="AW58" t="str">
        <f t="array" ref="AW58">IF(ISERROR(INDEX($A$3:$B$14312,SMALL(IF($A$3:$A$14312=AW$3,ROW($A$3:$A$14312)),ROW(56:56)),2)),"",INDEX($A$3:$B$14312,SMALL(IF($A$3:$A$14312=AW$3,ROW($A$3:$A$14312)),ROW(56:56)),2))</f>
        <v/>
      </c>
      <c r="AX58" t="str">
        <f t="array" ref="AX58">IF(ISERROR(INDEX($A$3:$B$14312,SMALL(IF($A$3:$A$14312=AX$3,ROW($A$3:$A$14312)),ROW(56:56)),2)),"",INDEX($A$3:$B$14312,SMALL(IF($A$3:$A$14312=AX$3,ROW($A$3:$A$14312)),ROW(56:56)),2))</f>
        <v/>
      </c>
      <c r="AY58" t="str">
        <f t="array" ref="AY58">IF(ISERROR(INDEX($A$3:$B$14312,SMALL(IF($A$3:$A$14312=AY$3,ROW($A$3:$A$14312)),ROW(56:56)),2)),"",INDEX($A$3:$B$14312,SMALL(IF($A$3:$A$14312=AY$3,ROW($A$3:$A$14312)),ROW(56:56)),2))</f>
        <v/>
      </c>
      <c r="AZ58" t="str">
        <f t="array" ref="AZ58">IF(ISERROR(INDEX($A$3:$B$14312,SMALL(IF($A$3:$A$14312=AZ$3,ROW($A$3:$A$14312)),ROW(56:56)),2)),"",INDEX($A$3:$B$14312,SMALL(IF($A$3:$A$14312=AZ$3,ROW($A$3:$A$14312)),ROW(56:56)),2))</f>
        <v/>
      </c>
      <c r="BA58" t="str">
        <f t="array" ref="BA58">IF(ISERROR(INDEX($A$3:$B$14312,SMALL(IF($A$3:$A$14312=BA$3,ROW($A$3:$A$14312)),ROW(56:56)),2)),"",INDEX($A$3:$B$14312,SMALL(IF($A$3:$A$14312=BA$3,ROW($A$3:$A$14312)),ROW(56:56)),2))</f>
        <v/>
      </c>
      <c r="BB58" t="str">
        <f t="array" ref="BB58">IF(ISERROR(INDEX($A$3:$B$14312,SMALL(IF($A$3:$A$14312=BB$3,ROW($A$3:$A$14312)),ROW(56:56)),2)),"",INDEX($A$3:$B$14312,SMALL(IF($A$3:$A$14312=BB$3,ROW($A$3:$A$14312)),ROW(56:56)),2))</f>
        <v/>
      </c>
      <c r="BC58" t="str">
        <f t="array" ref="BC58">IF(ISERROR(INDEX($A$3:$B$14312,SMALL(IF($A$3:$A$14312=BC$3,ROW($A$3:$A$14312)),ROW(56:56)),2)),"",INDEX($A$3:$B$14312,SMALL(IF($A$3:$A$14312=BC$3,ROW($A$3:$A$14312)),ROW(56:56)),2))</f>
        <v/>
      </c>
      <c r="BD58" t="str">
        <f t="array" ref="BD58">IF(ISERROR(INDEX($A$3:$B$14312,SMALL(IF($A$3:$A$14312=BD$3,ROW($A$3:$A$14312)),ROW(56:56)),2)),"",INDEX($A$3:$B$14312,SMALL(IF($A$3:$A$14312=BD$3,ROW($A$3:$A$14312)),ROW(56:56)),2))</f>
        <v/>
      </c>
      <c r="BE58" t="str">
        <f t="array" ref="BE58">IF(ISERROR(INDEX($A$3:$B$14312,SMALL(IF($A$3:$A$14312=BE$3,ROW($A$3:$A$14312)),ROW(56:56)),2)),"",INDEX($A$3:$B$14312,SMALL(IF($A$3:$A$14312=BE$3,ROW($A$3:$A$14312)),ROW(56:56)),2))</f>
        <v/>
      </c>
      <c r="BF58" t="str">
        <f t="array" ref="BF58">IF(ISERROR(INDEX($A$3:$B$14312,SMALL(IF($A$3:$A$14312=BF$3,ROW($A$3:$A$14312)),ROW(56:56)),2)),"",INDEX($A$3:$B$14312,SMALL(IF($A$3:$A$14312=BF$3,ROW($A$3:$A$14312)),ROW(56:56)),2))</f>
        <v/>
      </c>
      <c r="BG58" t="str">
        <f t="array" ref="BG58">IF(ISERROR(INDEX($A$3:$B$14312,SMALL(IF($A$3:$A$14312=BG$3,ROW($A$3:$A$14312)),ROW(56:56)),2)),"",INDEX($A$3:$B$14312,SMALL(IF($A$3:$A$14312=BG$3,ROW($A$3:$A$14312)),ROW(56:56)),2))</f>
        <v/>
      </c>
      <c r="BH58" t="str">
        <f t="array" ref="BH58">IF(ISERROR(INDEX($A$3:$B$14312,SMALL(IF($A$3:$A$14312=BH$3,ROW($A$3:$A$14312)),ROW(56:56)),2)),"",INDEX($A$3:$B$14312,SMALL(IF($A$3:$A$14312=BH$3,ROW($A$3:$A$14312)),ROW(56:56)),2))</f>
        <v/>
      </c>
      <c r="BI58" t="str">
        <f t="array" ref="BI58">IF(ISERROR(INDEX($A$3:$B$14312,SMALL(IF($A$3:$A$14312=BI$3,ROW($A$3:$A$14312)),ROW(56:56)),2)),"",INDEX($A$3:$B$14312,SMALL(IF($A$3:$A$14312=BI$3,ROW($A$3:$A$14312)),ROW(56:56)),2))</f>
        <v/>
      </c>
      <c r="BJ58" t="str">
        <f t="array" ref="BJ58">IF(ISERROR(INDEX($A$3:$B$14312,SMALL(IF($A$3:$A$14312=BJ$3,ROW($A$3:$A$14312)),ROW(56:56)),2)),"",INDEX($A$3:$B$14312,SMALL(IF($A$3:$A$14312=BJ$3,ROW($A$3:$A$14312)),ROW(56:56)),2))</f>
        <v/>
      </c>
      <c r="BK58" t="str">
        <f t="array" ref="BK58">IF(ISERROR(INDEX($A$3:$B$14312,SMALL(IF($A$3:$A$14312=BK$3,ROW($A$3:$A$14312)),ROW(56:56)),2)),"",INDEX($A$3:$B$14312,SMALL(IF($A$3:$A$14312=BK$3,ROW($A$3:$A$14312)),ROW(56:56)),2))</f>
        <v/>
      </c>
      <c r="BL58" t="str">
        <f t="array" ref="BL58">IF(ISERROR(INDEX($A$3:$B$14312,SMALL(IF($A$3:$A$14312=BL$3,ROW($A$3:$A$14312)),ROW(56:56)),2)),"",INDEX($A$3:$B$14312,SMALL(IF($A$3:$A$14312=BL$3,ROW($A$3:$A$14312)),ROW(56:56)),2))</f>
        <v/>
      </c>
      <c r="BM58" t="str">
        <f t="array" ref="BM58">IF(ISERROR(INDEX($A$3:$B$14312,SMALL(IF($A$3:$A$14312=BM$3,ROW($A$3:$A$14312)),ROW(56:56)),2)),"",INDEX($A$3:$B$14312,SMALL(IF($A$3:$A$14312=BM$3,ROW($A$3:$A$14312)),ROW(56:56)),2))</f>
        <v/>
      </c>
      <c r="BN58" t="str">
        <f t="array" ref="BN58">IF(ISERROR(INDEX($A$3:$B$14312,SMALL(IF($A$3:$A$14312=BN$3,ROW($A$3:$A$14312)),ROW(56:56)),2)),"",INDEX($A$3:$B$14312,SMALL(IF($A$3:$A$14312=BN$3,ROW($A$3:$A$14312)),ROW(56:56)),2))</f>
        <v/>
      </c>
      <c r="BO58" t="str">
        <f t="array" ref="BO58">IF(ISERROR(INDEX($A$3:$B$14312,SMALL(IF($A$3:$A$14312=BO$3,ROW($A$3:$A$14312)),ROW(56:56)),2)),"",INDEX($A$3:$B$14312,SMALL(IF($A$3:$A$14312=BO$3,ROW($A$3:$A$14312)),ROW(56:56)),2))</f>
        <v/>
      </c>
      <c r="BP58" t="str">
        <f t="array" ref="BP58">IF(ISERROR(INDEX($A$3:$B$14312,SMALL(IF($A$3:$A$14312=BP$3,ROW($A$3:$A$14312)),ROW(56:56)),2)),"",INDEX($A$3:$B$14312,SMALL(IF($A$3:$A$14312=BP$3,ROW($A$3:$A$14312)),ROW(56:56)),2))</f>
        <v/>
      </c>
      <c r="BQ58" t="str">
        <f t="array" ref="BQ58">IF(ISERROR(INDEX($A$3:$B$14312,SMALL(IF($A$3:$A$14312=BQ$3,ROW($A$3:$A$14312)),ROW(56:56)),2)),"",INDEX($A$3:$B$14312,SMALL(IF($A$3:$A$14312=BQ$3,ROW($A$3:$A$14312)),ROW(56:56)),2))</f>
        <v/>
      </c>
      <c r="BR58" t="str">
        <f t="array" ref="BR58">IF(ISERROR(INDEX($A$3:$B$14312,SMALL(IF($A$3:$A$14312=BR$3,ROW($A$3:$A$14312)),ROW(56:56)),2)),"",INDEX($A$3:$B$14312,SMALL(IF($A$3:$A$14312=BR$3,ROW($A$3:$A$14312)),ROW(56:56)),2))</f>
        <v/>
      </c>
      <c r="BS58" t="str">
        <f t="array" ref="BS58">IF(ISERROR(INDEX($A$3:$B$14312,SMALL(IF($A$3:$A$14312=BS$3,ROW($A$3:$A$14312)),ROW(56:56)),2)),"",INDEX($A$3:$B$14312,SMALL(IF($A$3:$A$14312=BS$3,ROW($A$3:$A$14312)),ROW(56:56)),2))</f>
        <v/>
      </c>
      <c r="BT58" t="str">
        <f t="array" ref="BT58">IF(ISERROR(INDEX($A$3:$B$14312,SMALL(IF($A$3:$A$14312=BT$3,ROW($A$3:$A$14312)),ROW(56:56)),2)),"",INDEX($A$3:$B$14312,SMALL(IF($A$3:$A$14312=BT$3,ROW($A$3:$A$14312)),ROW(56:56)),2))</f>
        <v>Router3_157</v>
      </c>
      <c r="BU58" t="str">
        <f t="array" ref="BU58">IF(ISERROR(INDEX($A$3:$B$14312,SMALL(IF($A$3:$A$14312=BU$3,ROW($A$3:$A$14312)),ROW(56:56)),2)),"",INDEX($A$3:$B$14312,SMALL(IF($A$3:$A$14312=BU$3,ROW($A$3:$A$14312)),ROW(56:56)),2))</f>
        <v/>
      </c>
      <c r="BV58" t="str">
        <f t="array" ref="BV58">IF(ISERROR(INDEX($A$3:$B$14312,SMALL(IF($A$3:$A$14312=BV$3,ROW($A$3:$A$14312)),ROW(56:56)),2)),"",INDEX($A$3:$B$14312,SMALL(IF($A$3:$A$14312=BV$3,ROW($A$3:$A$14312)),ROW(56:56)),2))</f>
        <v/>
      </c>
      <c r="BW58" t="str">
        <f t="array" ref="BW58">IF(ISERROR(INDEX($A$3:$B$14312,SMALL(IF($A$3:$A$14312=BW$3,ROW($A$3:$A$14312)),ROW(56:56)),2)),"",INDEX($A$3:$B$14312,SMALL(IF($A$3:$A$14312=BW$3,ROW($A$3:$A$14312)),ROW(56:56)),2))</f>
        <v/>
      </c>
      <c r="BX58" t="str">
        <f t="array" ref="BX58">IF(ISERROR(INDEX($A$3:$B$14312,SMALL(IF($A$3:$A$14312=BX$3,ROW($A$3:$A$14312)),ROW(56:56)),2)),"",INDEX($A$3:$B$14312,SMALL(IF($A$3:$A$14312=BX$3,ROW($A$3:$A$14312)),ROW(56:56)),2))</f>
        <v/>
      </c>
      <c r="BY58" t="str">
        <f t="array" ref="BY58">IF(ISERROR(INDEX($A$3:$B$14312,SMALL(IF($A$3:$A$14312=BY$3,ROW($A$3:$A$14312)),ROW(56:56)),2)),"",INDEX($A$3:$B$14312,SMALL(IF($A$3:$A$14312=BY$3,ROW($A$3:$A$14312)),ROW(56:56)),2))</f>
        <v/>
      </c>
      <c r="BZ58" t="str">
        <f t="array" ref="BZ58">IF(ISERROR(INDEX($A$3:$B$14312,SMALL(IF($A$3:$A$14312=BZ$3,ROW($A$3:$A$14312)),ROW(56:56)),2)),"",INDEX($A$3:$B$14312,SMALL(IF($A$3:$A$14312=BZ$3,ROW($A$3:$A$14312)),ROW(56:56)),2))</f>
        <v/>
      </c>
      <c r="CA58" t="str">
        <f t="array" ref="CA58">IF(ISERROR(INDEX($A$3:$B$14312,SMALL(IF($A$3:$A$14312=CA$3,ROW($A$3:$A$14312)),ROW(56:56)),2)),"",INDEX($A$3:$B$14312,SMALL(IF($A$3:$A$14312=CA$3,ROW($A$3:$A$14312)),ROW(56:56)),2))</f>
        <v/>
      </c>
      <c r="CB58" t="str">
        <f t="array" ref="CB58">IF(ISERROR(INDEX($A$3:$B$14312,SMALL(IF($A$3:$A$14312=CB$3,ROW($A$3:$A$14312)),ROW(56:56)),2)),"",INDEX($A$3:$B$14312,SMALL(IF($A$3:$A$14312=CB$3,ROW($A$3:$A$14312)),ROW(56:56)),2))</f>
        <v/>
      </c>
      <c r="CC58" t="str">
        <f t="array" ref="CC58">IF(ISERROR(INDEX($A$3:$B$14312,SMALL(IF($A$3:$A$14312=CC$3,ROW($A$3:$A$14312)),ROW(56:56)),2)),"",INDEX($A$3:$B$14312,SMALL(IF($A$3:$A$14312=CC$3,ROW($A$3:$A$14312)),ROW(56:56)),2))</f>
        <v/>
      </c>
      <c r="CD58" t="str">
        <f t="array" ref="CD58">IF(ISERROR(INDEX($A$3:$B$14312,SMALL(IF($A$3:$A$14312=CD$3,ROW($A$3:$A$14312)),ROW(56:56)),2)),"",INDEX($A$3:$B$14312,SMALL(IF($A$3:$A$14312=CD$3,ROW($A$3:$A$14312)),ROW(56:56)),2))</f>
        <v/>
      </c>
      <c r="CE58" t="str">
        <f t="array" ref="CE58">IF(ISERROR(INDEX($A$3:$B$14312,SMALL(IF($A$3:$A$14312=CE$3,ROW($A$3:$A$14312)),ROW(56:56)),2)),"",INDEX($A$3:$B$14312,SMALL(IF($A$3:$A$14312=CE$3,ROW($A$3:$A$14312)),ROW(56:56)),2))</f>
        <v/>
      </c>
      <c r="CF58" t="str">
        <f t="array" ref="CF58">IF(ISERROR(INDEX($A$3:$B$14312,SMALL(IF($A$3:$A$14312=CF$3,ROW($A$3:$A$14312)),ROW(56:56)),2)),"",INDEX($A$3:$B$14312,SMALL(IF($A$3:$A$14312=CF$3,ROW($A$3:$A$14312)),ROW(56:56)),2))</f>
        <v/>
      </c>
      <c r="CG58" t="str">
        <f t="array" ref="CG58">IF(ISERROR(INDEX($A$3:$B$14312,SMALL(IF($A$3:$A$14312=CG$3,ROW($A$3:$A$14312)),ROW(56:56)),2)),"",INDEX($A$3:$B$14312,SMALL(IF($A$3:$A$14312=CG$3,ROW($A$3:$A$14312)),ROW(56:56)),2))</f>
        <v/>
      </c>
      <c r="CH58" t="str">
        <f t="array" ref="CH58">IF(ISERROR(INDEX($A$3:$B$14312,SMALL(IF($A$3:$A$14312=CH$3,ROW($A$3:$A$14312)),ROW(56:56)),2)),"",INDEX($A$3:$B$14312,SMALL(IF($A$3:$A$14312=CH$3,ROW($A$3:$A$14312)),ROW(56:56)),2))</f>
        <v/>
      </c>
      <c r="CI58" t="str">
        <f t="array" ref="CI58">IF(ISERROR(INDEX($A$3:$B$14312,SMALL(IF($A$3:$A$14312=CI$3,ROW($A$3:$A$14312)),ROW(56:56)),2)),"",INDEX($A$3:$B$14312,SMALL(IF($A$3:$A$14312=CI$3,ROW($A$3:$A$14312)),ROW(56:56)),2))</f>
        <v/>
      </c>
      <c r="CJ58" t="str">
        <f t="array" ref="CJ58">IF(ISERROR(INDEX($A$3:$B$14312,SMALL(IF($A$3:$A$14312=CJ$3,ROW($A$3:$A$14312)),ROW(56:56)),2)),"",INDEX($A$3:$B$14312,SMALL(IF($A$3:$A$14312=CJ$3,ROW($A$3:$A$14312)),ROW(56:56)),2))</f>
        <v/>
      </c>
      <c r="CK58" t="str">
        <f t="array" ref="CK58">IF(ISERROR(INDEX($A$3:$B$14312,SMALL(IF($A$3:$A$14312=CK$3,ROW($A$3:$A$14312)),ROW(56:56)),2)),"",INDEX($A$3:$B$14312,SMALL(IF($A$3:$A$14312=CK$3,ROW($A$3:$A$14312)),ROW(56:56)),2))</f>
        <v/>
      </c>
      <c r="CL58" t="str">
        <f t="array" ref="CL58">IF(ISERROR(INDEX($A$3:$B$14312,SMALL(IF($A$3:$A$14312=CL$3,ROW($A$3:$A$14312)),ROW(56:56)),2)),"",INDEX($A$3:$B$14312,SMALL(IF($A$3:$A$14312=CL$3,ROW($A$3:$A$14312)),ROW(56:56)),2))</f>
        <v/>
      </c>
      <c r="CM58" t="str">
        <f t="array" ref="CM58">IF(ISERROR(INDEX($A$3:$B$14312,SMALL(IF($A$3:$A$14312=CM$3,ROW($A$3:$A$14312)),ROW(56:56)),2)),"",INDEX($A$3:$B$14312,SMALL(IF($A$3:$A$14312=CM$3,ROW($A$3:$A$14312)),ROW(56:56)),2))</f>
        <v/>
      </c>
      <c r="CN58" t="str">
        <f t="array" ref="CN58">IF(ISERROR(INDEX($A$3:$B$14312,SMALL(IF($A$3:$A$14312=CN$3,ROW($A$3:$A$14312)),ROW(56:56)),2)),"",INDEX($A$3:$B$14312,SMALL(IF($A$3:$A$14312=CN$3,ROW($A$3:$A$14312)),ROW(56:56)),2))</f>
        <v/>
      </c>
      <c r="CO58" t="str">
        <f t="array" ref="CO58">IF(ISERROR(INDEX($A$3:$B$14312,SMALL(IF($A$3:$A$14312=CO$3,ROW($A$3:$A$14312)),ROW(56:56)),2)),"",INDEX($A$3:$B$14312,SMALL(IF($A$3:$A$14312=CO$3,ROW($A$3:$A$14312)),ROW(56:56)),2))</f>
        <v/>
      </c>
      <c r="CP58" t="str">
        <f t="array" ref="CP58">IF(ISERROR(INDEX($A$3:$B$14312,SMALL(IF($A$3:$A$14312=CP$3,ROW($A$3:$A$14312)),ROW(56:56)),2)),"",INDEX($A$3:$B$14312,SMALL(IF($A$3:$A$14312=CP$3,ROW($A$3:$A$14312)),ROW(56:56)),2))</f>
        <v/>
      </c>
      <c r="CQ58" t="str">
        <f t="array" ref="CQ58">IF(ISERROR(INDEX($A$3:$B$14312,SMALL(IF($A$3:$A$14312=CQ$3,ROW($A$3:$A$14312)),ROW(56:56)),2)),"",INDEX($A$3:$B$14312,SMALL(IF($A$3:$A$14312=CQ$3,ROW($A$3:$A$14312)),ROW(56:56)),2))</f>
        <v/>
      </c>
      <c r="CR58" t="str">
        <f t="array" ref="CR58">IF(ISERROR(INDEX($A$3:$B$14312,SMALL(IF($A$3:$A$14312=CR$3,ROW($A$3:$A$14312)),ROW(56:56)),2)),"",INDEX($A$3:$B$14312,SMALL(IF($A$3:$A$14312=CR$3,ROW($A$3:$A$14312)),ROW(56:56)),2))</f>
        <v/>
      </c>
      <c r="CS58" t="str">
        <f t="array" ref="CS58">IF(ISERROR(INDEX($A$3:$B$14312,SMALL(IF($A$3:$A$14312=CS$3,ROW($A$3:$A$14312)),ROW(56:56)),2)),"",INDEX($A$3:$B$14312,SMALL(IF($A$3:$A$14312=CS$3,ROW($A$3:$A$14312)),ROW(56:56)),2))</f>
        <v/>
      </c>
      <c r="CT58" t="str">
        <f t="array" ref="CT58">IF(ISERROR(INDEX($A$3:$B$14312,SMALL(IF($A$3:$A$14312=CT$3,ROW($A$3:$A$14312)),ROW(56:56)),2)),"",INDEX($A$3:$B$14312,SMALL(IF($A$3:$A$14312=CT$3,ROW($A$3:$A$14312)),ROW(56:56)),2))</f>
        <v/>
      </c>
      <c r="CU58" t="str">
        <f t="array" ref="CU58">IF(ISERROR(INDEX($A$3:$B$14312,SMALL(IF($A$3:$A$14312=CU$3,ROW($A$3:$A$14312)),ROW(56:56)),2)),"",INDEX($A$3:$B$14312,SMALL(IF($A$3:$A$14312=CU$3,ROW($A$3:$A$14312)),ROW(56:56)),2))</f>
        <v/>
      </c>
      <c r="CV58" t="str">
        <f t="array" ref="CV58">IF(ISERROR(INDEX($A$3:$B$14312,SMALL(IF($A$3:$A$14312=CV$3,ROW($A$3:$A$14312)),ROW(56:56)),2)),"",INDEX($A$3:$B$14312,SMALL(IF($A$3:$A$14312=CV$3,ROW($A$3:$A$14312)),ROW(56:56)),2))</f>
        <v/>
      </c>
      <c r="CW58" t="str">
        <f t="array" ref="CW58">IF(ISERROR(INDEX($A$3:$B$14312,SMALL(IF($A$3:$A$14312=CW$3,ROW($A$3:$A$14312)),ROW(56:56)),2)),"",INDEX($A$3:$B$14312,SMALL(IF($A$3:$A$14312=CW$3,ROW($A$3:$A$14312)),ROW(56:56)),2))</f>
        <v/>
      </c>
      <c r="CX58" t="str">
        <f t="array" ref="CX58">IF(ISERROR(INDEX($A$3:$B$14312,SMALL(IF($A$3:$A$14312=CX$3,ROW($A$3:$A$14312)),ROW(56:56)),2)),"",INDEX($A$3:$B$14312,SMALL(IF($A$3:$A$14312=CX$3,ROW($A$3:$A$14312)),ROW(56:56)),2))</f>
        <v/>
      </c>
      <c r="CY58" t="str">
        <f t="array" ref="CY58">IF(ISERROR(INDEX($A$3:$B$14312,SMALL(IF($A$3:$A$14312=CY$3,ROW($A$3:$A$14312)),ROW(56:56)),2)),"",INDEX($A$3:$B$14312,SMALL(IF($A$3:$A$14312=CY$3,ROW($A$3:$A$14312)),ROW(56:56)),2))</f>
        <v/>
      </c>
      <c r="CZ58" t="str">
        <f t="array" ref="CZ58">IF(ISERROR(INDEX($A$3:$B$14312,SMALL(IF($A$3:$A$14312=CZ$3,ROW($A$3:$A$14312)),ROW(56:56)),2)),"",INDEX($A$3:$B$14312,SMALL(IF($A$3:$A$14312=CZ$3,ROW($A$3:$A$14312)),ROW(56:56)),2))</f>
        <v/>
      </c>
      <c r="DA58" t="str">
        <f t="array" ref="DA58">IF(ISERROR(INDEX($A$3:$B$14312,SMALL(IF($A$3:$A$14312=DA$3,ROW($A$3:$A$14312)),ROW(56:56)),2)),"",INDEX($A$3:$B$14312,SMALL(IF($A$3:$A$14312=DA$3,ROW($A$3:$A$14312)),ROW(56:56)),2))</f>
        <v/>
      </c>
      <c r="DB58" t="str">
        <f t="array" ref="DB58">IF(ISERROR(INDEX($A$3:$B$14312,SMALL(IF($A$3:$A$14312=DB$3,ROW($A$3:$A$14312)),ROW(56:56)),2)),"",INDEX($A$3:$B$14312,SMALL(IF($A$3:$A$14312=DB$3,ROW($A$3:$A$14312)),ROW(56:56)),2))</f>
        <v/>
      </c>
      <c r="DC58" t="str">
        <f t="array" ref="DC58">IF(ISERROR(INDEX($A$3:$B$14312,SMALL(IF($A$3:$A$14312=DC$3,ROW($A$3:$A$14312)),ROW(56:56)),2)),"",INDEX($A$3:$B$14312,SMALL(IF($A$3:$A$14312=DC$3,ROW($A$3:$A$14312)),ROW(56:56)),2))</f>
        <v/>
      </c>
      <c r="DD58" t="str">
        <f t="array" ref="DD58">IF(ISERROR(INDEX($A$3:$B$14312,SMALL(IF($A$3:$A$14312=DD$3,ROW($A$3:$A$14312)),ROW(56:56)),2)),"",INDEX($A$3:$B$14312,SMALL(IF($A$3:$A$14312=DD$3,ROW($A$3:$A$14312)),ROW(56:56)),2))</f>
        <v/>
      </c>
      <c r="DE58" t="str">
        <f t="array" ref="DE58">IF(ISERROR(INDEX($A$3:$B$14312,SMALL(IF($A$3:$A$14312=DE$3,ROW($A$3:$A$14312)),ROW(56:56)),2)),"",INDEX($A$3:$B$14312,SMALL(IF($A$3:$A$14312=DE$3,ROW($A$3:$A$14312)),ROW(56:56)),2))</f>
        <v/>
      </c>
      <c r="DF58" t="str">
        <f t="array" ref="DF58">IF(ISERROR(INDEX($A$3:$B$14312,SMALL(IF($A$3:$A$14312=DF$3,ROW($A$3:$A$14312)),ROW(56:56)),2)),"",INDEX($A$3:$B$14312,SMALL(IF($A$3:$A$14312=DF$3,ROW($A$3:$A$14312)),ROW(56:56)),2))</f>
        <v/>
      </c>
      <c r="DG58" t="str">
        <f t="array" ref="DG58">IF(ISERROR(INDEX($A$3:$B$14312,SMALL(IF($A$3:$A$14312=DG$3,ROW($A$3:$A$14312)),ROW(56:56)),2)),"",INDEX($A$3:$B$14312,SMALL(IF($A$3:$A$14312=DG$3,ROW($A$3:$A$14312)),ROW(56:56)),2))</f>
        <v/>
      </c>
      <c r="DH58" t="str">
        <f t="array" ref="DH58">IF(ISERROR(INDEX($A$3:$B$14312,SMALL(IF($A$3:$A$14312=DH$3,ROW($A$3:$A$14312)),ROW(56:56)),2)),"",INDEX($A$3:$B$14312,SMALL(IF($A$3:$A$14312=DH$3,ROW($A$3:$A$14312)),ROW(56:56)),2))</f>
        <v/>
      </c>
      <c r="DI58" t="str">
        <f t="array" ref="DI58">IF(ISERROR(INDEX($A$3:$B$14312,SMALL(IF($A$3:$A$14312=DI$3,ROW($A$3:$A$14312)),ROW(56:56)),2)),"",INDEX($A$3:$B$14312,SMALL(IF($A$3:$A$14312=DI$3,ROW($A$3:$A$14312)),ROW(56:56)),2))</f>
        <v>Router3_122</v>
      </c>
      <c r="DJ58" t="str">
        <f t="array" ref="DJ58">IF(ISERROR(INDEX($A$3:$B$14312,SMALL(IF($A$3:$A$14312=DJ$3,ROW($A$3:$A$14312)),ROW(56:56)),2)),"",INDEX($A$3:$B$14312,SMALL(IF($A$3:$A$14312=DJ$3,ROW($A$3:$A$14312)),ROW(56:56)),2))</f>
        <v/>
      </c>
      <c r="DK58" t="str">
        <f t="array" ref="DK58">IF(ISERROR(INDEX($A$3:$B$14312,SMALL(IF($A$3:$A$14312=DK$3,ROW($A$3:$A$14312)),ROW(56:56)),2)),"",INDEX($A$3:$B$14312,SMALL(IF($A$3:$A$14312=DK$3,ROW($A$3:$A$14312)),ROW(56:56)),2))</f>
        <v/>
      </c>
      <c r="DL58" t="str">
        <f t="array" ref="DL58">IF(ISERROR(INDEX($A$3:$B$14312,SMALL(IF($A$3:$A$14312=DL$3,ROW($A$3:$A$14312)),ROW(56:56)),2)),"",INDEX($A$3:$B$14312,SMALL(IF($A$3:$A$14312=DL$3,ROW($A$3:$A$14312)),ROW(56:56)),2))</f>
        <v/>
      </c>
      <c r="DM58" t="str">
        <f t="array" ref="DM58">IF(ISERROR(INDEX($A$3:$B$14312,SMALL(IF($A$3:$A$14312=DM$3,ROW($A$3:$A$14312)),ROW(56:56)),2)),"",INDEX($A$3:$B$14312,SMALL(IF($A$3:$A$14312=DM$3,ROW($A$3:$A$14312)),ROW(56:56)),2))</f>
        <v/>
      </c>
      <c r="DN58" t="str">
        <f t="array" ref="DN58">IF(ISERROR(INDEX($A$3:$B$14312,SMALL(IF($A$3:$A$14312=DN$3,ROW($A$3:$A$14312)),ROW(56:56)),2)),"",INDEX($A$3:$B$14312,SMALL(IF($A$3:$A$14312=DN$3,ROW($A$3:$A$14312)),ROW(56:56)),2))</f>
        <v/>
      </c>
      <c r="DO58" t="str">
        <f t="array" ref="DO58">IF(ISERROR(INDEX($A$3:$B$14312,SMALL(IF($A$3:$A$14312=DO$3,ROW($A$3:$A$14312)),ROW(56:56)),2)),"",INDEX($A$3:$B$14312,SMALL(IF($A$3:$A$14312=DO$3,ROW($A$3:$A$14312)),ROW(56:56)),2))</f>
        <v/>
      </c>
      <c r="DP58" t="str">
        <f t="array" ref="DP58">IF(ISERROR(INDEX($A$3:$B$14312,SMALL(IF($A$3:$A$14312=DP$3,ROW($A$3:$A$14312)),ROW(56:56)),2)),"",INDEX($A$3:$B$14312,SMALL(IF($A$3:$A$14312=DP$3,ROW($A$3:$A$14312)),ROW(56:56)),2))</f>
        <v/>
      </c>
      <c r="DQ58" t="str">
        <f t="array" ref="DQ58">IF(ISERROR(INDEX($A$3:$B$14312,SMALL(IF($A$3:$A$14312=DQ$3,ROW($A$3:$A$14312)),ROW(56:56)),2)),"",INDEX($A$3:$B$14312,SMALL(IF($A$3:$A$14312=DQ$3,ROW($A$3:$A$14312)),ROW(56:56)),2))</f>
        <v/>
      </c>
      <c r="DR58" t="str">
        <f t="array" ref="DR58">IF(ISERROR(INDEX($A$3:$B$14312,SMALL(IF($A$3:$A$14312=DR$3,ROW($A$3:$A$14312)),ROW(56:56)),2)),"",INDEX($A$3:$B$14312,SMALL(IF($A$3:$A$14312=DR$3,ROW($A$3:$A$14312)),ROW(56:56)),2))</f>
        <v/>
      </c>
      <c r="DS58" t="str">
        <f t="array" ref="DS58">IF(ISERROR(INDEX($A$3:$B$14312,SMALL(IF($A$3:$A$14312=DS$3,ROW($A$3:$A$14312)),ROW(56:56)),2)),"",INDEX($A$3:$B$14312,SMALL(IF($A$3:$A$14312=DS$3,ROW($A$3:$A$14312)),ROW(56:56)),2))</f>
        <v/>
      </c>
      <c r="DT58" t="str">
        <f t="array" ref="DT58">IF(ISERROR(INDEX($A$3:$B$14312,SMALL(IF($A$3:$A$14312=DT$3,ROW($A$3:$A$14312)),ROW(56:56)),2)),"",INDEX($A$3:$B$14312,SMALL(IF($A$3:$A$14312=DT$3,ROW($A$3:$A$14312)),ROW(56:56)),2))</f>
        <v>Router3_122</v>
      </c>
      <c r="DU58" t="str">
        <f t="array" ref="DU58">IF(ISERROR(INDEX($A$3:$B$14312,SMALL(IF($A$3:$A$14312=DU$3,ROW($A$3:$A$14312)),ROW(56:56)),2)),"",INDEX($A$3:$B$14312,SMALL(IF($A$3:$A$14312=DU$3,ROW($A$3:$A$14312)),ROW(56:56)),2))</f>
        <v/>
      </c>
      <c r="DV58" t="str">
        <f t="array" ref="DV58">IF(ISERROR(INDEX($A$3:$B$14312,SMALL(IF($A$3:$A$14312=DV$3,ROW($A$3:$A$14312)),ROW(56:56)),2)),"",INDEX($A$3:$B$14312,SMALL(IF($A$3:$A$14312=DV$3,ROW($A$3:$A$14312)),ROW(56:56)),2))</f>
        <v/>
      </c>
      <c r="DW58" t="str">
        <f t="array" ref="DW58">IF(ISERROR(INDEX($A$3:$B$14312,SMALL(IF($A$3:$A$14312=DW$3,ROW($A$3:$A$14312)),ROW(56:56)),2)),"",INDEX($A$3:$B$14312,SMALL(IF($A$3:$A$14312=DW$3,ROW($A$3:$A$14312)),ROW(56:56)),2))</f>
        <v/>
      </c>
      <c r="DX58" t="str">
        <f t="array" ref="DX58">IF(ISERROR(INDEX($A$3:$B$14312,SMALL(IF($A$3:$A$14312=DX$3,ROW($A$3:$A$14312)),ROW(56:56)),2)),"",INDEX($A$3:$B$14312,SMALL(IF($A$3:$A$14312=DX$3,ROW($A$3:$A$14312)),ROW(56:56)),2))</f>
        <v/>
      </c>
      <c r="DY58" t="str">
        <f t="array" ref="DY58">IF(ISERROR(INDEX($A$3:$B$14312,SMALL(IF($A$3:$A$14312=DY$3,ROW($A$3:$A$14312)),ROW(56:56)),2)),"",INDEX($A$3:$B$14312,SMALL(IF($A$3:$A$14312=DY$3,ROW($A$3:$A$14312)),ROW(56:56)),2))</f>
        <v/>
      </c>
      <c r="DZ58" t="str">
        <f t="array" ref="DZ58">IF(ISERROR(INDEX($A$3:$B$14312,SMALL(IF($A$3:$A$14312=DZ$3,ROW($A$3:$A$14312)),ROW(56:56)),2)),"",INDEX($A$3:$B$14312,SMALL(IF($A$3:$A$14312=DZ$3,ROW($A$3:$A$14312)),ROW(56:56)),2))</f>
        <v/>
      </c>
      <c r="EA58" t="str">
        <f t="array" ref="EA58">IF(ISERROR(INDEX($A$3:$B$14312,SMALL(IF($A$3:$A$14312=EA$3,ROW($A$3:$A$14312)),ROW(56:56)),2)),"",INDEX($A$3:$B$14312,SMALL(IF($A$3:$A$14312=EA$3,ROW($A$3:$A$14312)),ROW(56:56)),2))</f>
        <v/>
      </c>
      <c r="EB58" t="str">
        <f t="array" ref="EB58">IF(ISERROR(INDEX($A$3:$B$14312,SMALL(IF($A$3:$A$14312=EB$3,ROW($A$3:$A$14312)),ROW(56:56)),2)),"",INDEX($A$3:$B$14312,SMALL(IF($A$3:$A$14312=EB$3,ROW($A$3:$A$14312)),ROW(56:56)),2))</f>
        <v/>
      </c>
      <c r="EC58" t="str">
        <f t="array" ref="EC58">IF(ISERROR(INDEX($A$3:$B$14312,SMALL(IF($A$3:$A$14312=EC$3,ROW($A$3:$A$14312)),ROW(56:56)),2)),"",INDEX($A$3:$B$14312,SMALL(IF($A$3:$A$14312=EC$3,ROW($A$3:$A$14312)),ROW(56:56)),2))</f>
        <v/>
      </c>
      <c r="ED58" t="str">
        <f t="array" ref="ED58">IF(ISERROR(INDEX($A$3:$B$14312,SMALL(IF($A$3:$A$14312=ED$3,ROW($A$3:$A$14312)),ROW(56:56)),2)),"",INDEX($A$3:$B$14312,SMALL(IF($A$3:$A$14312=ED$3,ROW($A$3:$A$14312)),ROW(56:56)),2))</f>
        <v/>
      </c>
      <c r="EE58" t="str">
        <f t="array" ref="EE58">IF(ISERROR(INDEX($A$3:$B$14312,SMALL(IF($A$3:$A$14312=EE$3,ROW($A$3:$A$14312)),ROW(56:56)),2)),"",INDEX($A$3:$B$14312,SMALL(IF($A$3:$A$14312=EE$3,ROW($A$3:$A$14312)),ROW(56:56)),2))</f>
        <v/>
      </c>
    </row>
    <row r="59" spans="1:135" x14ac:dyDescent="0.25">
      <c r="A59" s="10">
        <v>-424987520</v>
      </c>
      <c r="B59" t="s">
        <v>1156</v>
      </c>
      <c r="E59" t="str">
        <f t="array" ref="E59">IF(ISERROR(INDEX($A$3:$B$14312,SMALL(IF($A$3:$A$14312=E$3,ROW($A$3:$A$14312)),ROW(57:57)),2)),"",INDEX($A$3:$B$14312,SMALL(IF($A$3:$A$14312=E$3,ROW($A$3:$A$14312)),ROW(57:57)),2))</f>
        <v/>
      </c>
      <c r="F59" t="str">
        <f t="array" ref="F59">IF(ISERROR(INDEX($A$3:$B$14312,SMALL(IF($A$3:$A$14312=F$3,ROW($A$3:$A$14312)),ROW(57:57)),2)),"",INDEX($A$3:$B$14312,SMALL(IF($A$3:$A$14312=F$3,ROW($A$3:$A$14312)),ROW(57:57)),2))</f>
        <v/>
      </c>
      <c r="G59" t="str">
        <f t="array" ref="G59">IF(ISERROR(INDEX($A$3:$B$14312,SMALL(IF($A$3:$A$14312=G$3,ROW($A$3:$A$14312)),ROW(57:57)),2)),"",INDEX($A$3:$B$14312,SMALL(IF($A$3:$A$14312=G$3,ROW($A$3:$A$14312)),ROW(57:57)),2))</f>
        <v/>
      </c>
      <c r="H59" t="str">
        <f t="array" ref="H59">IF(ISERROR(INDEX($A$3:$B$14312,SMALL(IF($A$3:$A$14312=H$3,ROW($A$3:$A$14312)),ROW(57:57)),2)),"",INDEX($A$3:$B$14312,SMALL(IF($A$3:$A$14312=H$3,ROW($A$3:$A$14312)),ROW(57:57)),2))</f>
        <v/>
      </c>
      <c r="I59" t="str">
        <f t="array" ref="I59">IF(ISERROR(INDEX($A$3:$B$14312,SMALL(IF($A$3:$A$14312=I$3,ROW($A$3:$A$14312)),ROW(57:57)),2)),"",INDEX($A$3:$B$14312,SMALL(IF($A$3:$A$14312=I$3,ROW($A$3:$A$14312)),ROW(57:57)),2))</f>
        <v/>
      </c>
      <c r="J59" t="str">
        <f t="array" ref="J59">IF(ISERROR(INDEX($A$3:$B$14312,SMALL(IF($A$3:$A$14312=J$3,ROW($A$3:$A$14312)),ROW(57:57)),2)),"",INDEX($A$3:$B$14312,SMALL(IF($A$3:$A$14312=J$3,ROW($A$3:$A$14312)),ROW(57:57)),2))</f>
        <v/>
      </c>
      <c r="K59" t="str">
        <f t="array" ref="K59">IF(ISERROR(INDEX($A$3:$B$14312,SMALL(IF($A$3:$A$14312=K$3,ROW($A$3:$A$14312)),ROW(57:57)),2)),"",INDEX($A$3:$B$14312,SMALL(IF($A$3:$A$14312=K$3,ROW($A$3:$A$14312)),ROW(57:57)),2))</f>
        <v/>
      </c>
      <c r="L59" t="str">
        <f t="array" ref="L59">IF(ISERROR(INDEX($A$3:$B$14312,SMALL(IF($A$3:$A$14312=L$3,ROW($A$3:$A$14312)),ROW(57:57)),2)),"",INDEX($A$3:$B$14312,SMALL(IF($A$3:$A$14312=L$3,ROW($A$3:$A$14312)),ROW(57:57)),2))</f>
        <v/>
      </c>
      <c r="M59" t="str">
        <f t="array" ref="M59">IF(ISERROR(INDEX($A$3:$B$14312,SMALL(IF($A$3:$A$14312=M$3,ROW($A$3:$A$14312)),ROW(57:57)),2)),"",INDEX($A$3:$B$14312,SMALL(IF($A$3:$A$14312=M$3,ROW($A$3:$A$14312)),ROW(57:57)),2))</f>
        <v/>
      </c>
      <c r="N59" t="str">
        <f t="array" ref="N59">IF(ISERROR(INDEX($A$3:$B$14312,SMALL(IF($A$3:$A$14312=N$3,ROW($A$3:$A$14312)),ROW(57:57)),2)),"",INDEX($A$3:$B$14312,SMALL(IF($A$3:$A$14312=N$3,ROW($A$3:$A$14312)),ROW(57:57)),2))</f>
        <v/>
      </c>
      <c r="O59" t="str">
        <f t="array" ref="O59">IF(ISERROR(INDEX($A$3:$B$14312,SMALL(IF($A$3:$A$14312=O$3,ROW($A$3:$A$14312)),ROW(57:57)),2)),"",INDEX($A$3:$B$14312,SMALL(IF($A$3:$A$14312=O$3,ROW($A$3:$A$14312)),ROW(57:57)),2))</f>
        <v/>
      </c>
      <c r="P59" t="str">
        <f t="array" ref="P59">IF(ISERROR(INDEX($A$3:$B$14312,SMALL(IF($A$3:$A$14312=P$3,ROW($A$3:$A$14312)),ROW(57:57)),2)),"",INDEX($A$3:$B$14312,SMALL(IF($A$3:$A$14312=P$3,ROW($A$3:$A$14312)),ROW(57:57)),2))</f>
        <v/>
      </c>
      <c r="Q59" t="str">
        <f t="array" ref="Q59">IF(ISERROR(INDEX($A$3:$B$14312,SMALL(IF($A$3:$A$14312=Q$3,ROW($A$3:$A$14312)),ROW(57:57)),2)),"",INDEX($A$3:$B$14312,SMALL(IF($A$3:$A$14312=Q$3,ROW($A$3:$A$14312)),ROW(57:57)),2))</f>
        <v/>
      </c>
      <c r="R59" t="str">
        <f t="array" ref="R59">IF(ISERROR(INDEX($A$3:$B$14312,SMALL(IF($A$3:$A$14312=R$3,ROW($A$3:$A$14312)),ROW(57:57)),2)),"",INDEX($A$3:$B$14312,SMALL(IF($A$3:$A$14312=R$3,ROW($A$3:$A$14312)),ROW(57:57)),2))</f>
        <v/>
      </c>
      <c r="S59" t="str">
        <f t="array" ref="S59">IF(ISERROR(INDEX($A$3:$B$14312,SMALL(IF($A$3:$A$14312=S$3,ROW($A$3:$A$14312)),ROW(57:57)),2)),"",INDEX($A$3:$B$14312,SMALL(IF($A$3:$A$14312=S$3,ROW($A$3:$A$14312)),ROW(57:57)),2))</f>
        <v/>
      </c>
      <c r="T59" t="str">
        <f t="array" ref="T59">IF(ISERROR(INDEX($A$3:$B$14312,SMALL(IF($A$3:$A$14312=T$3,ROW($A$3:$A$14312)),ROW(57:57)),2)),"",INDEX($A$3:$B$14312,SMALL(IF($A$3:$A$14312=T$3,ROW($A$3:$A$14312)),ROW(57:57)),2))</f>
        <v/>
      </c>
      <c r="U59" t="str">
        <f t="array" ref="U59">IF(ISERROR(INDEX($A$3:$B$14312,SMALL(IF($A$3:$A$14312=U$3,ROW($A$3:$A$14312)),ROW(57:57)),2)),"",INDEX($A$3:$B$14312,SMALL(IF($A$3:$A$14312=U$3,ROW($A$3:$A$14312)),ROW(57:57)),2))</f>
        <v/>
      </c>
      <c r="V59" t="str">
        <f t="array" ref="V59">IF(ISERROR(INDEX($A$3:$B$14312,SMALL(IF($A$3:$A$14312=V$3,ROW($A$3:$A$14312)),ROW(57:57)),2)),"",INDEX($A$3:$B$14312,SMALL(IF($A$3:$A$14312=V$3,ROW($A$3:$A$14312)),ROW(57:57)),2))</f>
        <v/>
      </c>
      <c r="W59" t="str">
        <f t="array" ref="W59">IF(ISERROR(INDEX($A$3:$B$14312,SMALL(IF($A$3:$A$14312=W$3,ROW($A$3:$A$14312)),ROW(57:57)),2)),"",INDEX($A$3:$B$14312,SMALL(IF($A$3:$A$14312=W$3,ROW($A$3:$A$14312)),ROW(57:57)),2))</f>
        <v/>
      </c>
      <c r="X59" t="str">
        <f t="array" ref="X59">IF(ISERROR(INDEX($A$3:$B$14312,SMALL(IF($A$3:$A$14312=X$3,ROW($A$3:$A$14312)),ROW(57:57)),2)),"",INDEX($A$3:$B$14312,SMALL(IF($A$3:$A$14312=X$3,ROW($A$3:$A$14312)),ROW(57:57)),2))</f>
        <v/>
      </c>
      <c r="Y59" t="str">
        <f t="array" ref="Y59">IF(ISERROR(INDEX($A$3:$B$14312,SMALL(IF($A$3:$A$14312=Y$3,ROW($A$3:$A$14312)),ROW(57:57)),2)),"",INDEX($A$3:$B$14312,SMALL(IF($A$3:$A$14312=Y$3,ROW($A$3:$A$14312)),ROW(57:57)),2))</f>
        <v/>
      </c>
      <c r="Z59" t="str">
        <f t="array" ref="Z59">IF(ISERROR(INDEX($A$3:$B$14312,SMALL(IF($A$3:$A$14312=Z$3,ROW($A$3:$A$14312)),ROW(57:57)),2)),"",INDEX($A$3:$B$14312,SMALL(IF($A$3:$A$14312=Z$3,ROW($A$3:$A$14312)),ROW(57:57)),2))</f>
        <v/>
      </c>
      <c r="AA59" t="str">
        <f t="array" ref="AA59">IF(ISERROR(INDEX($A$3:$B$14312,SMALL(IF($A$3:$A$14312=AA$3,ROW($A$3:$A$14312)),ROW(57:57)),2)),"",INDEX($A$3:$B$14312,SMALL(IF($A$3:$A$14312=AA$3,ROW($A$3:$A$14312)),ROW(57:57)),2))</f>
        <v/>
      </c>
      <c r="AB59" t="str">
        <f t="array" ref="AB59">IF(ISERROR(INDEX($A$3:$B$14312,SMALL(IF($A$3:$A$14312=AB$3,ROW($A$3:$A$14312)),ROW(57:57)),2)),"",INDEX($A$3:$B$14312,SMALL(IF($A$3:$A$14312=AB$3,ROW($A$3:$A$14312)),ROW(57:57)),2))</f>
        <v/>
      </c>
      <c r="AC59" t="str">
        <f t="array" ref="AC59">IF(ISERROR(INDEX($A$3:$B$14312,SMALL(IF($A$3:$A$14312=AC$3,ROW($A$3:$A$14312)),ROW(57:57)),2)),"",INDEX($A$3:$B$14312,SMALL(IF($A$3:$A$14312=AC$3,ROW($A$3:$A$14312)),ROW(57:57)),2))</f>
        <v/>
      </c>
      <c r="AD59" t="str">
        <f t="array" ref="AD59">IF(ISERROR(INDEX($A$3:$B$14312,SMALL(IF($A$3:$A$14312=AD$3,ROW($A$3:$A$14312)),ROW(57:57)),2)),"",INDEX($A$3:$B$14312,SMALL(IF($A$3:$A$14312=AD$3,ROW($A$3:$A$14312)),ROW(57:57)),2))</f>
        <v/>
      </c>
      <c r="AE59" t="str">
        <f t="array" ref="AE59">IF(ISERROR(INDEX($A$3:$B$14312,SMALL(IF($A$3:$A$14312=AE$3,ROW($A$3:$A$14312)),ROW(57:57)),2)),"",INDEX($A$3:$B$14312,SMALL(IF($A$3:$A$14312=AE$3,ROW($A$3:$A$14312)),ROW(57:57)),2))</f>
        <v/>
      </c>
      <c r="AF59" t="str">
        <f t="array" ref="AF59">IF(ISERROR(INDEX($A$3:$B$14312,SMALL(IF($A$3:$A$14312=AF$3,ROW($A$3:$A$14312)),ROW(57:57)),2)),"",INDEX($A$3:$B$14312,SMALL(IF($A$3:$A$14312=AF$3,ROW($A$3:$A$14312)),ROW(57:57)),2))</f>
        <v/>
      </c>
      <c r="AG59" t="str">
        <f t="array" ref="AG59">IF(ISERROR(INDEX($A$3:$B$14312,SMALL(IF($A$3:$A$14312=AG$3,ROW($A$3:$A$14312)),ROW(57:57)),2)),"",INDEX($A$3:$B$14312,SMALL(IF($A$3:$A$14312=AG$3,ROW($A$3:$A$14312)),ROW(57:57)),2))</f>
        <v/>
      </c>
      <c r="AH59" t="str">
        <f t="array" ref="AH59">IF(ISERROR(INDEX($A$3:$B$14312,SMALL(IF($A$3:$A$14312=AH$3,ROW($A$3:$A$14312)),ROW(57:57)),2)),"",INDEX($A$3:$B$14312,SMALL(IF($A$3:$A$14312=AH$3,ROW($A$3:$A$14312)),ROW(57:57)),2))</f>
        <v/>
      </c>
      <c r="AI59" t="str">
        <f t="array" ref="AI59">IF(ISERROR(INDEX($A$3:$B$14312,SMALL(IF($A$3:$A$14312=AI$3,ROW($A$3:$A$14312)),ROW(57:57)),2)),"",INDEX($A$3:$B$14312,SMALL(IF($A$3:$A$14312=AI$3,ROW($A$3:$A$14312)),ROW(57:57)),2))</f>
        <v/>
      </c>
      <c r="AJ59" t="str">
        <f t="array" ref="AJ59">IF(ISERROR(INDEX($A$3:$B$14312,SMALL(IF($A$3:$A$14312=AJ$3,ROW($A$3:$A$14312)),ROW(57:57)),2)),"",INDEX($A$3:$B$14312,SMALL(IF($A$3:$A$14312=AJ$3,ROW($A$3:$A$14312)),ROW(57:57)),2))</f>
        <v/>
      </c>
      <c r="AK59" t="str">
        <f t="array" ref="AK59">IF(ISERROR(INDEX($A$3:$B$14312,SMALL(IF($A$3:$A$14312=AK$3,ROW($A$3:$A$14312)),ROW(57:57)),2)),"",INDEX($A$3:$B$14312,SMALL(IF($A$3:$A$14312=AK$3,ROW($A$3:$A$14312)),ROW(57:57)),2))</f>
        <v/>
      </c>
      <c r="AL59" t="str">
        <f t="array" ref="AL59">IF(ISERROR(INDEX($A$3:$B$14312,SMALL(IF($A$3:$A$14312=AL$3,ROW($A$3:$A$14312)),ROW(57:57)),2)),"",INDEX($A$3:$B$14312,SMALL(IF($A$3:$A$14312=AL$3,ROW($A$3:$A$14312)),ROW(57:57)),2))</f>
        <v/>
      </c>
      <c r="AM59" t="str">
        <f t="array" ref="AM59">IF(ISERROR(INDEX($A$3:$B$14312,SMALL(IF($A$3:$A$14312=AM$3,ROW($A$3:$A$14312)),ROW(57:57)),2)),"",INDEX($A$3:$B$14312,SMALL(IF($A$3:$A$14312=AM$3,ROW($A$3:$A$14312)),ROW(57:57)),2))</f>
        <v/>
      </c>
      <c r="AN59" t="str">
        <f t="array" ref="AN59">IF(ISERROR(INDEX($A$3:$B$14312,SMALL(IF($A$3:$A$14312=AN$3,ROW($A$3:$A$14312)),ROW(57:57)),2)),"",INDEX($A$3:$B$14312,SMALL(IF($A$3:$A$14312=AN$3,ROW($A$3:$A$14312)),ROW(57:57)),2))</f>
        <v/>
      </c>
      <c r="AO59" t="str">
        <f t="array" ref="AO59">IF(ISERROR(INDEX($A$3:$B$14312,SMALL(IF($A$3:$A$14312=AO$3,ROW($A$3:$A$14312)),ROW(57:57)),2)),"",INDEX($A$3:$B$14312,SMALL(IF($A$3:$A$14312=AO$3,ROW($A$3:$A$14312)),ROW(57:57)),2))</f>
        <v/>
      </c>
      <c r="AP59" t="str">
        <f t="array" ref="AP59">IF(ISERROR(INDEX($A$3:$B$14312,SMALL(IF($A$3:$A$14312=AP$3,ROW($A$3:$A$14312)),ROW(57:57)),2)),"",INDEX($A$3:$B$14312,SMALL(IF($A$3:$A$14312=AP$3,ROW($A$3:$A$14312)),ROW(57:57)),2))</f>
        <v/>
      </c>
      <c r="AQ59" t="str">
        <f t="array" ref="AQ59">IF(ISERROR(INDEX($A$3:$B$14312,SMALL(IF($A$3:$A$14312=AQ$3,ROW($A$3:$A$14312)),ROW(57:57)),2)),"",INDEX($A$3:$B$14312,SMALL(IF($A$3:$A$14312=AQ$3,ROW($A$3:$A$14312)),ROW(57:57)),2))</f>
        <v/>
      </c>
      <c r="AR59" t="str">
        <f t="array" ref="AR59">IF(ISERROR(INDEX($A$3:$B$14312,SMALL(IF($A$3:$A$14312=AR$3,ROW($A$3:$A$14312)),ROW(57:57)),2)),"",INDEX($A$3:$B$14312,SMALL(IF($A$3:$A$14312=AR$3,ROW($A$3:$A$14312)),ROW(57:57)),2))</f>
        <v/>
      </c>
      <c r="AS59" t="str">
        <f t="array" ref="AS59">IF(ISERROR(INDEX($A$3:$B$14312,SMALL(IF($A$3:$A$14312=AS$3,ROW($A$3:$A$14312)),ROW(57:57)),2)),"",INDEX($A$3:$B$14312,SMALL(IF($A$3:$A$14312=AS$3,ROW($A$3:$A$14312)),ROW(57:57)),2))</f>
        <v/>
      </c>
      <c r="AT59" t="str">
        <f t="array" ref="AT59">IF(ISERROR(INDEX($A$3:$B$14312,SMALL(IF($A$3:$A$14312=AT$3,ROW($A$3:$A$14312)),ROW(57:57)),2)),"",INDEX($A$3:$B$14312,SMALL(IF($A$3:$A$14312=AT$3,ROW($A$3:$A$14312)),ROW(57:57)),2))</f>
        <v/>
      </c>
      <c r="AU59" t="str">
        <f t="array" ref="AU59">IF(ISERROR(INDEX($A$3:$B$14312,SMALL(IF($A$3:$A$14312=AU$3,ROW($A$3:$A$14312)),ROW(57:57)),2)),"",INDEX($A$3:$B$14312,SMALL(IF($A$3:$A$14312=AU$3,ROW($A$3:$A$14312)),ROW(57:57)),2))</f>
        <v/>
      </c>
      <c r="AV59" t="str">
        <f t="array" ref="AV59">IF(ISERROR(INDEX($A$3:$B$14312,SMALL(IF($A$3:$A$14312=AV$3,ROW($A$3:$A$14312)),ROW(57:57)),2)),"",INDEX($A$3:$B$14312,SMALL(IF($A$3:$A$14312=AV$3,ROW($A$3:$A$14312)),ROW(57:57)),2))</f>
        <v/>
      </c>
      <c r="AW59" t="str">
        <f t="array" ref="AW59">IF(ISERROR(INDEX($A$3:$B$14312,SMALL(IF($A$3:$A$14312=AW$3,ROW($A$3:$A$14312)),ROW(57:57)),2)),"",INDEX($A$3:$B$14312,SMALL(IF($A$3:$A$14312=AW$3,ROW($A$3:$A$14312)),ROW(57:57)),2))</f>
        <v/>
      </c>
      <c r="AX59" t="str">
        <f t="array" ref="AX59">IF(ISERROR(INDEX($A$3:$B$14312,SMALL(IF($A$3:$A$14312=AX$3,ROW($A$3:$A$14312)),ROW(57:57)),2)),"",INDEX($A$3:$B$14312,SMALL(IF($A$3:$A$14312=AX$3,ROW($A$3:$A$14312)),ROW(57:57)),2))</f>
        <v/>
      </c>
      <c r="AY59" t="str">
        <f t="array" ref="AY59">IF(ISERROR(INDEX($A$3:$B$14312,SMALL(IF($A$3:$A$14312=AY$3,ROW($A$3:$A$14312)),ROW(57:57)),2)),"",INDEX($A$3:$B$14312,SMALL(IF($A$3:$A$14312=AY$3,ROW($A$3:$A$14312)),ROW(57:57)),2))</f>
        <v/>
      </c>
      <c r="AZ59" t="str">
        <f t="array" ref="AZ59">IF(ISERROR(INDEX($A$3:$B$14312,SMALL(IF($A$3:$A$14312=AZ$3,ROW($A$3:$A$14312)),ROW(57:57)),2)),"",INDEX($A$3:$B$14312,SMALL(IF($A$3:$A$14312=AZ$3,ROW($A$3:$A$14312)),ROW(57:57)),2))</f>
        <v/>
      </c>
      <c r="BA59" t="str">
        <f t="array" ref="BA59">IF(ISERROR(INDEX($A$3:$B$14312,SMALL(IF($A$3:$A$14312=BA$3,ROW($A$3:$A$14312)),ROW(57:57)),2)),"",INDEX($A$3:$B$14312,SMALL(IF($A$3:$A$14312=BA$3,ROW($A$3:$A$14312)),ROW(57:57)),2))</f>
        <v/>
      </c>
      <c r="BB59" t="str">
        <f t="array" ref="BB59">IF(ISERROR(INDEX($A$3:$B$14312,SMALL(IF($A$3:$A$14312=BB$3,ROW($A$3:$A$14312)),ROW(57:57)),2)),"",INDEX($A$3:$B$14312,SMALL(IF($A$3:$A$14312=BB$3,ROW($A$3:$A$14312)),ROW(57:57)),2))</f>
        <v/>
      </c>
      <c r="BC59" t="str">
        <f t="array" ref="BC59">IF(ISERROR(INDEX($A$3:$B$14312,SMALL(IF($A$3:$A$14312=BC$3,ROW($A$3:$A$14312)),ROW(57:57)),2)),"",INDEX($A$3:$B$14312,SMALL(IF($A$3:$A$14312=BC$3,ROW($A$3:$A$14312)),ROW(57:57)),2))</f>
        <v/>
      </c>
      <c r="BD59" t="str">
        <f t="array" ref="BD59">IF(ISERROR(INDEX($A$3:$B$14312,SMALL(IF($A$3:$A$14312=BD$3,ROW($A$3:$A$14312)),ROW(57:57)),2)),"",INDEX($A$3:$B$14312,SMALL(IF($A$3:$A$14312=BD$3,ROW($A$3:$A$14312)),ROW(57:57)),2))</f>
        <v/>
      </c>
      <c r="BE59" t="str">
        <f t="array" ref="BE59">IF(ISERROR(INDEX($A$3:$B$14312,SMALL(IF($A$3:$A$14312=BE$3,ROW($A$3:$A$14312)),ROW(57:57)),2)),"",INDEX($A$3:$B$14312,SMALL(IF($A$3:$A$14312=BE$3,ROW($A$3:$A$14312)),ROW(57:57)),2))</f>
        <v/>
      </c>
      <c r="BF59" t="str">
        <f t="array" ref="BF59">IF(ISERROR(INDEX($A$3:$B$14312,SMALL(IF($A$3:$A$14312=BF$3,ROW($A$3:$A$14312)),ROW(57:57)),2)),"",INDEX($A$3:$B$14312,SMALL(IF($A$3:$A$14312=BF$3,ROW($A$3:$A$14312)),ROW(57:57)),2))</f>
        <v/>
      </c>
      <c r="BG59" t="str">
        <f t="array" ref="BG59">IF(ISERROR(INDEX($A$3:$B$14312,SMALL(IF($A$3:$A$14312=BG$3,ROW($A$3:$A$14312)),ROW(57:57)),2)),"",INDEX($A$3:$B$14312,SMALL(IF($A$3:$A$14312=BG$3,ROW($A$3:$A$14312)),ROW(57:57)),2))</f>
        <v/>
      </c>
      <c r="BH59" t="str">
        <f t="array" ref="BH59">IF(ISERROR(INDEX($A$3:$B$14312,SMALL(IF($A$3:$A$14312=BH$3,ROW($A$3:$A$14312)),ROW(57:57)),2)),"",INDEX($A$3:$B$14312,SMALL(IF($A$3:$A$14312=BH$3,ROW($A$3:$A$14312)),ROW(57:57)),2))</f>
        <v/>
      </c>
      <c r="BI59" t="str">
        <f t="array" ref="BI59">IF(ISERROR(INDEX($A$3:$B$14312,SMALL(IF($A$3:$A$14312=BI$3,ROW($A$3:$A$14312)),ROW(57:57)),2)),"",INDEX($A$3:$B$14312,SMALL(IF($A$3:$A$14312=BI$3,ROW($A$3:$A$14312)),ROW(57:57)),2))</f>
        <v/>
      </c>
      <c r="BJ59" t="str">
        <f t="array" ref="BJ59">IF(ISERROR(INDEX($A$3:$B$14312,SMALL(IF($A$3:$A$14312=BJ$3,ROW($A$3:$A$14312)),ROW(57:57)),2)),"",INDEX($A$3:$B$14312,SMALL(IF($A$3:$A$14312=BJ$3,ROW($A$3:$A$14312)),ROW(57:57)),2))</f>
        <v/>
      </c>
      <c r="BK59" t="str">
        <f t="array" ref="BK59">IF(ISERROR(INDEX($A$3:$B$14312,SMALL(IF($A$3:$A$14312=BK$3,ROW($A$3:$A$14312)),ROW(57:57)),2)),"",INDEX($A$3:$B$14312,SMALL(IF($A$3:$A$14312=BK$3,ROW($A$3:$A$14312)),ROW(57:57)),2))</f>
        <v/>
      </c>
      <c r="BL59" t="str">
        <f t="array" ref="BL59">IF(ISERROR(INDEX($A$3:$B$14312,SMALL(IF($A$3:$A$14312=BL$3,ROW($A$3:$A$14312)),ROW(57:57)),2)),"",INDEX($A$3:$B$14312,SMALL(IF($A$3:$A$14312=BL$3,ROW($A$3:$A$14312)),ROW(57:57)),2))</f>
        <v/>
      </c>
      <c r="BM59" t="str">
        <f t="array" ref="BM59">IF(ISERROR(INDEX($A$3:$B$14312,SMALL(IF($A$3:$A$14312=BM$3,ROW($A$3:$A$14312)),ROW(57:57)),2)),"",INDEX($A$3:$B$14312,SMALL(IF($A$3:$A$14312=BM$3,ROW($A$3:$A$14312)),ROW(57:57)),2))</f>
        <v/>
      </c>
      <c r="BN59" t="str">
        <f t="array" ref="BN59">IF(ISERROR(INDEX($A$3:$B$14312,SMALL(IF($A$3:$A$14312=BN$3,ROW($A$3:$A$14312)),ROW(57:57)),2)),"",INDEX($A$3:$B$14312,SMALL(IF($A$3:$A$14312=BN$3,ROW($A$3:$A$14312)),ROW(57:57)),2))</f>
        <v/>
      </c>
      <c r="BO59" t="str">
        <f t="array" ref="BO59">IF(ISERROR(INDEX($A$3:$B$14312,SMALL(IF($A$3:$A$14312=BO$3,ROW($A$3:$A$14312)),ROW(57:57)),2)),"",INDEX($A$3:$B$14312,SMALL(IF($A$3:$A$14312=BO$3,ROW($A$3:$A$14312)),ROW(57:57)),2))</f>
        <v/>
      </c>
      <c r="BP59" t="str">
        <f t="array" ref="BP59">IF(ISERROR(INDEX($A$3:$B$14312,SMALL(IF($A$3:$A$14312=BP$3,ROW($A$3:$A$14312)),ROW(57:57)),2)),"",INDEX($A$3:$B$14312,SMALL(IF($A$3:$A$14312=BP$3,ROW($A$3:$A$14312)),ROW(57:57)),2))</f>
        <v/>
      </c>
      <c r="BQ59" t="str">
        <f t="array" ref="BQ59">IF(ISERROR(INDEX($A$3:$B$14312,SMALL(IF($A$3:$A$14312=BQ$3,ROW($A$3:$A$14312)),ROW(57:57)),2)),"",INDEX($A$3:$B$14312,SMALL(IF($A$3:$A$14312=BQ$3,ROW($A$3:$A$14312)),ROW(57:57)),2))</f>
        <v/>
      </c>
      <c r="BR59" t="str">
        <f t="array" ref="BR59">IF(ISERROR(INDEX($A$3:$B$14312,SMALL(IF($A$3:$A$14312=BR$3,ROW($A$3:$A$14312)),ROW(57:57)),2)),"",INDEX($A$3:$B$14312,SMALL(IF($A$3:$A$14312=BR$3,ROW($A$3:$A$14312)),ROW(57:57)),2))</f>
        <v/>
      </c>
      <c r="BS59" t="str">
        <f t="array" ref="BS59">IF(ISERROR(INDEX($A$3:$B$14312,SMALL(IF($A$3:$A$14312=BS$3,ROW($A$3:$A$14312)),ROW(57:57)),2)),"",INDEX($A$3:$B$14312,SMALL(IF($A$3:$A$14312=BS$3,ROW($A$3:$A$14312)),ROW(57:57)),2))</f>
        <v/>
      </c>
      <c r="BT59" t="str">
        <f t="array" ref="BT59">IF(ISERROR(INDEX($A$3:$B$14312,SMALL(IF($A$3:$A$14312=BT$3,ROW($A$3:$A$14312)),ROW(57:57)),2)),"",INDEX($A$3:$B$14312,SMALL(IF($A$3:$A$14312=BT$3,ROW($A$3:$A$14312)),ROW(57:57)),2))</f>
        <v>Router3_158</v>
      </c>
      <c r="BU59" t="str">
        <f t="array" ref="BU59">IF(ISERROR(INDEX($A$3:$B$14312,SMALL(IF($A$3:$A$14312=BU$3,ROW($A$3:$A$14312)),ROW(57:57)),2)),"",INDEX($A$3:$B$14312,SMALL(IF($A$3:$A$14312=BU$3,ROW($A$3:$A$14312)),ROW(57:57)),2))</f>
        <v/>
      </c>
      <c r="BV59" t="str">
        <f t="array" ref="BV59">IF(ISERROR(INDEX($A$3:$B$14312,SMALL(IF($A$3:$A$14312=BV$3,ROW($A$3:$A$14312)),ROW(57:57)),2)),"",INDEX($A$3:$B$14312,SMALL(IF($A$3:$A$14312=BV$3,ROW($A$3:$A$14312)),ROW(57:57)),2))</f>
        <v/>
      </c>
      <c r="BW59" t="str">
        <f t="array" ref="BW59">IF(ISERROR(INDEX($A$3:$B$14312,SMALL(IF($A$3:$A$14312=BW$3,ROW($A$3:$A$14312)),ROW(57:57)),2)),"",INDEX($A$3:$B$14312,SMALL(IF($A$3:$A$14312=BW$3,ROW($A$3:$A$14312)),ROW(57:57)),2))</f>
        <v/>
      </c>
      <c r="BX59" t="str">
        <f t="array" ref="BX59">IF(ISERROR(INDEX($A$3:$B$14312,SMALL(IF($A$3:$A$14312=BX$3,ROW($A$3:$A$14312)),ROW(57:57)),2)),"",INDEX($A$3:$B$14312,SMALL(IF($A$3:$A$14312=BX$3,ROW($A$3:$A$14312)),ROW(57:57)),2))</f>
        <v/>
      </c>
      <c r="BY59" t="str">
        <f t="array" ref="BY59">IF(ISERROR(INDEX($A$3:$B$14312,SMALL(IF($A$3:$A$14312=BY$3,ROW($A$3:$A$14312)),ROW(57:57)),2)),"",INDEX($A$3:$B$14312,SMALL(IF($A$3:$A$14312=BY$3,ROW($A$3:$A$14312)),ROW(57:57)),2))</f>
        <v/>
      </c>
      <c r="BZ59" t="str">
        <f t="array" ref="BZ59">IF(ISERROR(INDEX($A$3:$B$14312,SMALL(IF($A$3:$A$14312=BZ$3,ROW($A$3:$A$14312)),ROW(57:57)),2)),"",INDEX($A$3:$B$14312,SMALL(IF($A$3:$A$14312=BZ$3,ROW($A$3:$A$14312)),ROW(57:57)),2))</f>
        <v/>
      </c>
      <c r="CA59" t="str">
        <f t="array" ref="CA59">IF(ISERROR(INDEX($A$3:$B$14312,SMALL(IF($A$3:$A$14312=CA$3,ROW($A$3:$A$14312)),ROW(57:57)),2)),"",INDEX($A$3:$B$14312,SMALL(IF($A$3:$A$14312=CA$3,ROW($A$3:$A$14312)),ROW(57:57)),2))</f>
        <v/>
      </c>
      <c r="CB59" t="str">
        <f t="array" ref="CB59">IF(ISERROR(INDEX($A$3:$B$14312,SMALL(IF($A$3:$A$14312=CB$3,ROW($A$3:$A$14312)),ROW(57:57)),2)),"",INDEX($A$3:$B$14312,SMALL(IF($A$3:$A$14312=CB$3,ROW($A$3:$A$14312)),ROW(57:57)),2))</f>
        <v/>
      </c>
      <c r="CC59" t="str">
        <f t="array" ref="CC59">IF(ISERROR(INDEX($A$3:$B$14312,SMALL(IF($A$3:$A$14312=CC$3,ROW($A$3:$A$14312)),ROW(57:57)),2)),"",INDEX($A$3:$B$14312,SMALL(IF($A$3:$A$14312=CC$3,ROW($A$3:$A$14312)),ROW(57:57)),2))</f>
        <v/>
      </c>
      <c r="CD59" t="str">
        <f t="array" ref="CD59">IF(ISERROR(INDEX($A$3:$B$14312,SMALL(IF($A$3:$A$14312=CD$3,ROW($A$3:$A$14312)),ROW(57:57)),2)),"",INDEX($A$3:$B$14312,SMALL(IF($A$3:$A$14312=CD$3,ROW($A$3:$A$14312)),ROW(57:57)),2))</f>
        <v/>
      </c>
      <c r="CE59" t="str">
        <f t="array" ref="CE59">IF(ISERROR(INDEX($A$3:$B$14312,SMALL(IF($A$3:$A$14312=CE$3,ROW($A$3:$A$14312)),ROW(57:57)),2)),"",INDEX($A$3:$B$14312,SMALL(IF($A$3:$A$14312=CE$3,ROW($A$3:$A$14312)),ROW(57:57)),2))</f>
        <v/>
      </c>
      <c r="CF59" t="str">
        <f t="array" ref="CF59">IF(ISERROR(INDEX($A$3:$B$14312,SMALL(IF($A$3:$A$14312=CF$3,ROW($A$3:$A$14312)),ROW(57:57)),2)),"",INDEX($A$3:$B$14312,SMALL(IF($A$3:$A$14312=CF$3,ROW($A$3:$A$14312)),ROW(57:57)),2))</f>
        <v/>
      </c>
      <c r="CG59" t="str">
        <f t="array" ref="CG59">IF(ISERROR(INDEX($A$3:$B$14312,SMALL(IF($A$3:$A$14312=CG$3,ROW($A$3:$A$14312)),ROW(57:57)),2)),"",INDEX($A$3:$B$14312,SMALL(IF($A$3:$A$14312=CG$3,ROW($A$3:$A$14312)),ROW(57:57)),2))</f>
        <v/>
      </c>
      <c r="CH59" t="str">
        <f t="array" ref="CH59">IF(ISERROR(INDEX($A$3:$B$14312,SMALL(IF($A$3:$A$14312=CH$3,ROW($A$3:$A$14312)),ROW(57:57)),2)),"",INDEX($A$3:$B$14312,SMALL(IF($A$3:$A$14312=CH$3,ROW($A$3:$A$14312)),ROW(57:57)),2))</f>
        <v/>
      </c>
      <c r="CI59" t="str">
        <f t="array" ref="CI59">IF(ISERROR(INDEX($A$3:$B$14312,SMALL(IF($A$3:$A$14312=CI$3,ROW($A$3:$A$14312)),ROW(57:57)),2)),"",INDEX($A$3:$B$14312,SMALL(IF($A$3:$A$14312=CI$3,ROW($A$3:$A$14312)),ROW(57:57)),2))</f>
        <v/>
      </c>
      <c r="CJ59" t="str">
        <f t="array" ref="CJ59">IF(ISERROR(INDEX($A$3:$B$14312,SMALL(IF($A$3:$A$14312=CJ$3,ROW($A$3:$A$14312)),ROW(57:57)),2)),"",INDEX($A$3:$B$14312,SMALL(IF($A$3:$A$14312=CJ$3,ROW($A$3:$A$14312)),ROW(57:57)),2))</f>
        <v/>
      </c>
      <c r="CK59" t="str">
        <f t="array" ref="CK59">IF(ISERROR(INDEX($A$3:$B$14312,SMALL(IF($A$3:$A$14312=CK$3,ROW($A$3:$A$14312)),ROW(57:57)),2)),"",INDEX($A$3:$B$14312,SMALL(IF($A$3:$A$14312=CK$3,ROW($A$3:$A$14312)),ROW(57:57)),2))</f>
        <v/>
      </c>
      <c r="CL59" t="str">
        <f t="array" ref="CL59">IF(ISERROR(INDEX($A$3:$B$14312,SMALL(IF($A$3:$A$14312=CL$3,ROW($A$3:$A$14312)),ROW(57:57)),2)),"",INDEX($A$3:$B$14312,SMALL(IF($A$3:$A$14312=CL$3,ROW($A$3:$A$14312)),ROW(57:57)),2))</f>
        <v/>
      </c>
      <c r="CM59" t="str">
        <f t="array" ref="CM59">IF(ISERROR(INDEX($A$3:$B$14312,SMALL(IF($A$3:$A$14312=CM$3,ROW($A$3:$A$14312)),ROW(57:57)),2)),"",INDEX($A$3:$B$14312,SMALL(IF($A$3:$A$14312=CM$3,ROW($A$3:$A$14312)),ROW(57:57)),2))</f>
        <v/>
      </c>
      <c r="CN59" t="str">
        <f t="array" ref="CN59">IF(ISERROR(INDEX($A$3:$B$14312,SMALL(IF($A$3:$A$14312=CN$3,ROW($A$3:$A$14312)),ROW(57:57)),2)),"",INDEX($A$3:$B$14312,SMALL(IF($A$3:$A$14312=CN$3,ROW($A$3:$A$14312)),ROW(57:57)),2))</f>
        <v/>
      </c>
      <c r="CO59" t="str">
        <f t="array" ref="CO59">IF(ISERROR(INDEX($A$3:$B$14312,SMALL(IF($A$3:$A$14312=CO$3,ROW($A$3:$A$14312)),ROW(57:57)),2)),"",INDEX($A$3:$B$14312,SMALL(IF($A$3:$A$14312=CO$3,ROW($A$3:$A$14312)),ROW(57:57)),2))</f>
        <v/>
      </c>
      <c r="CP59" t="str">
        <f t="array" ref="CP59">IF(ISERROR(INDEX($A$3:$B$14312,SMALL(IF($A$3:$A$14312=CP$3,ROW($A$3:$A$14312)),ROW(57:57)),2)),"",INDEX($A$3:$B$14312,SMALL(IF($A$3:$A$14312=CP$3,ROW($A$3:$A$14312)),ROW(57:57)),2))</f>
        <v/>
      </c>
      <c r="CQ59" t="str">
        <f t="array" ref="CQ59">IF(ISERROR(INDEX($A$3:$B$14312,SMALL(IF($A$3:$A$14312=CQ$3,ROW($A$3:$A$14312)),ROW(57:57)),2)),"",INDEX($A$3:$B$14312,SMALL(IF($A$3:$A$14312=CQ$3,ROW($A$3:$A$14312)),ROW(57:57)),2))</f>
        <v/>
      </c>
      <c r="CR59" t="str">
        <f t="array" ref="CR59">IF(ISERROR(INDEX($A$3:$B$14312,SMALL(IF($A$3:$A$14312=CR$3,ROW($A$3:$A$14312)),ROW(57:57)),2)),"",INDEX($A$3:$B$14312,SMALL(IF($A$3:$A$14312=CR$3,ROW($A$3:$A$14312)),ROW(57:57)),2))</f>
        <v/>
      </c>
      <c r="CS59" t="str">
        <f t="array" ref="CS59">IF(ISERROR(INDEX($A$3:$B$14312,SMALL(IF($A$3:$A$14312=CS$3,ROW($A$3:$A$14312)),ROW(57:57)),2)),"",INDEX($A$3:$B$14312,SMALL(IF($A$3:$A$14312=CS$3,ROW($A$3:$A$14312)),ROW(57:57)),2))</f>
        <v/>
      </c>
      <c r="CT59" t="str">
        <f t="array" ref="CT59">IF(ISERROR(INDEX($A$3:$B$14312,SMALL(IF($A$3:$A$14312=CT$3,ROW($A$3:$A$14312)),ROW(57:57)),2)),"",INDEX($A$3:$B$14312,SMALL(IF($A$3:$A$14312=CT$3,ROW($A$3:$A$14312)),ROW(57:57)),2))</f>
        <v/>
      </c>
      <c r="CU59" t="str">
        <f t="array" ref="CU59">IF(ISERROR(INDEX($A$3:$B$14312,SMALL(IF($A$3:$A$14312=CU$3,ROW($A$3:$A$14312)),ROW(57:57)),2)),"",INDEX($A$3:$B$14312,SMALL(IF($A$3:$A$14312=CU$3,ROW($A$3:$A$14312)),ROW(57:57)),2))</f>
        <v/>
      </c>
      <c r="CV59" t="str">
        <f t="array" ref="CV59">IF(ISERROR(INDEX($A$3:$B$14312,SMALL(IF($A$3:$A$14312=CV$3,ROW($A$3:$A$14312)),ROW(57:57)),2)),"",INDEX($A$3:$B$14312,SMALL(IF($A$3:$A$14312=CV$3,ROW($A$3:$A$14312)),ROW(57:57)),2))</f>
        <v/>
      </c>
      <c r="CW59" t="str">
        <f t="array" ref="CW59">IF(ISERROR(INDEX($A$3:$B$14312,SMALL(IF($A$3:$A$14312=CW$3,ROW($A$3:$A$14312)),ROW(57:57)),2)),"",INDEX($A$3:$B$14312,SMALL(IF($A$3:$A$14312=CW$3,ROW($A$3:$A$14312)),ROW(57:57)),2))</f>
        <v/>
      </c>
      <c r="CX59" t="str">
        <f t="array" ref="CX59">IF(ISERROR(INDEX($A$3:$B$14312,SMALL(IF($A$3:$A$14312=CX$3,ROW($A$3:$A$14312)),ROW(57:57)),2)),"",INDEX($A$3:$B$14312,SMALL(IF($A$3:$A$14312=CX$3,ROW($A$3:$A$14312)),ROW(57:57)),2))</f>
        <v/>
      </c>
      <c r="CY59" t="str">
        <f t="array" ref="CY59">IF(ISERROR(INDEX($A$3:$B$14312,SMALL(IF($A$3:$A$14312=CY$3,ROW($A$3:$A$14312)),ROW(57:57)),2)),"",INDEX($A$3:$B$14312,SMALL(IF($A$3:$A$14312=CY$3,ROW($A$3:$A$14312)),ROW(57:57)),2))</f>
        <v/>
      </c>
      <c r="CZ59" t="str">
        <f t="array" ref="CZ59">IF(ISERROR(INDEX($A$3:$B$14312,SMALL(IF($A$3:$A$14312=CZ$3,ROW($A$3:$A$14312)),ROW(57:57)),2)),"",INDEX($A$3:$B$14312,SMALL(IF($A$3:$A$14312=CZ$3,ROW($A$3:$A$14312)),ROW(57:57)),2))</f>
        <v/>
      </c>
      <c r="DA59" t="str">
        <f t="array" ref="DA59">IF(ISERROR(INDEX($A$3:$B$14312,SMALL(IF($A$3:$A$14312=DA$3,ROW($A$3:$A$14312)),ROW(57:57)),2)),"",INDEX($A$3:$B$14312,SMALL(IF($A$3:$A$14312=DA$3,ROW($A$3:$A$14312)),ROW(57:57)),2))</f>
        <v/>
      </c>
      <c r="DB59" t="str">
        <f t="array" ref="DB59">IF(ISERROR(INDEX($A$3:$B$14312,SMALL(IF($A$3:$A$14312=DB$3,ROW($A$3:$A$14312)),ROW(57:57)),2)),"",INDEX($A$3:$B$14312,SMALL(IF($A$3:$A$14312=DB$3,ROW($A$3:$A$14312)),ROW(57:57)),2))</f>
        <v/>
      </c>
      <c r="DC59" t="str">
        <f t="array" ref="DC59">IF(ISERROR(INDEX($A$3:$B$14312,SMALL(IF($A$3:$A$14312=DC$3,ROW($A$3:$A$14312)),ROW(57:57)),2)),"",INDEX($A$3:$B$14312,SMALL(IF($A$3:$A$14312=DC$3,ROW($A$3:$A$14312)),ROW(57:57)),2))</f>
        <v/>
      </c>
      <c r="DD59" t="str">
        <f t="array" ref="DD59">IF(ISERROR(INDEX($A$3:$B$14312,SMALL(IF($A$3:$A$14312=DD$3,ROW($A$3:$A$14312)),ROW(57:57)),2)),"",INDEX($A$3:$B$14312,SMALL(IF($A$3:$A$14312=DD$3,ROW($A$3:$A$14312)),ROW(57:57)),2))</f>
        <v/>
      </c>
      <c r="DE59" t="str">
        <f t="array" ref="DE59">IF(ISERROR(INDEX($A$3:$B$14312,SMALL(IF($A$3:$A$14312=DE$3,ROW($A$3:$A$14312)),ROW(57:57)),2)),"",INDEX($A$3:$B$14312,SMALL(IF($A$3:$A$14312=DE$3,ROW($A$3:$A$14312)),ROW(57:57)),2))</f>
        <v/>
      </c>
      <c r="DF59" t="str">
        <f t="array" ref="DF59">IF(ISERROR(INDEX($A$3:$B$14312,SMALL(IF($A$3:$A$14312=DF$3,ROW($A$3:$A$14312)),ROW(57:57)),2)),"",INDEX($A$3:$B$14312,SMALL(IF($A$3:$A$14312=DF$3,ROW($A$3:$A$14312)),ROW(57:57)),2))</f>
        <v/>
      </c>
      <c r="DG59" t="str">
        <f t="array" ref="DG59">IF(ISERROR(INDEX($A$3:$B$14312,SMALL(IF($A$3:$A$14312=DG$3,ROW($A$3:$A$14312)),ROW(57:57)),2)),"",INDEX($A$3:$B$14312,SMALL(IF($A$3:$A$14312=DG$3,ROW($A$3:$A$14312)),ROW(57:57)),2))</f>
        <v/>
      </c>
      <c r="DH59" t="str">
        <f t="array" ref="DH59">IF(ISERROR(INDEX($A$3:$B$14312,SMALL(IF($A$3:$A$14312=DH$3,ROW($A$3:$A$14312)),ROW(57:57)),2)),"",INDEX($A$3:$B$14312,SMALL(IF($A$3:$A$14312=DH$3,ROW($A$3:$A$14312)),ROW(57:57)),2))</f>
        <v/>
      </c>
      <c r="DI59" t="str">
        <f t="array" ref="DI59">IF(ISERROR(INDEX($A$3:$B$14312,SMALL(IF($A$3:$A$14312=DI$3,ROW($A$3:$A$14312)),ROW(57:57)),2)),"",INDEX($A$3:$B$14312,SMALL(IF($A$3:$A$14312=DI$3,ROW($A$3:$A$14312)),ROW(57:57)),2))</f>
        <v>Router3_123</v>
      </c>
      <c r="DJ59" t="str">
        <f t="array" ref="DJ59">IF(ISERROR(INDEX($A$3:$B$14312,SMALL(IF($A$3:$A$14312=DJ$3,ROW($A$3:$A$14312)),ROW(57:57)),2)),"",INDEX($A$3:$B$14312,SMALL(IF($A$3:$A$14312=DJ$3,ROW($A$3:$A$14312)),ROW(57:57)),2))</f>
        <v/>
      </c>
      <c r="DK59" t="str">
        <f t="array" ref="DK59">IF(ISERROR(INDEX($A$3:$B$14312,SMALL(IF($A$3:$A$14312=DK$3,ROW($A$3:$A$14312)),ROW(57:57)),2)),"",INDEX($A$3:$B$14312,SMALL(IF($A$3:$A$14312=DK$3,ROW($A$3:$A$14312)),ROW(57:57)),2))</f>
        <v/>
      </c>
      <c r="DL59" t="str">
        <f t="array" ref="DL59">IF(ISERROR(INDEX($A$3:$B$14312,SMALL(IF($A$3:$A$14312=DL$3,ROW($A$3:$A$14312)),ROW(57:57)),2)),"",INDEX($A$3:$B$14312,SMALL(IF($A$3:$A$14312=DL$3,ROW($A$3:$A$14312)),ROW(57:57)),2))</f>
        <v/>
      </c>
      <c r="DM59" t="str">
        <f t="array" ref="DM59">IF(ISERROR(INDEX($A$3:$B$14312,SMALL(IF($A$3:$A$14312=DM$3,ROW($A$3:$A$14312)),ROW(57:57)),2)),"",INDEX($A$3:$B$14312,SMALL(IF($A$3:$A$14312=DM$3,ROW($A$3:$A$14312)),ROW(57:57)),2))</f>
        <v/>
      </c>
      <c r="DN59" t="str">
        <f t="array" ref="DN59">IF(ISERROR(INDEX($A$3:$B$14312,SMALL(IF($A$3:$A$14312=DN$3,ROW($A$3:$A$14312)),ROW(57:57)),2)),"",INDEX($A$3:$B$14312,SMALL(IF($A$3:$A$14312=DN$3,ROW($A$3:$A$14312)),ROW(57:57)),2))</f>
        <v/>
      </c>
      <c r="DO59" t="str">
        <f t="array" ref="DO59">IF(ISERROR(INDEX($A$3:$B$14312,SMALL(IF($A$3:$A$14312=DO$3,ROW($A$3:$A$14312)),ROW(57:57)),2)),"",INDEX($A$3:$B$14312,SMALL(IF($A$3:$A$14312=DO$3,ROW($A$3:$A$14312)),ROW(57:57)),2))</f>
        <v/>
      </c>
      <c r="DP59" t="str">
        <f t="array" ref="DP59">IF(ISERROR(INDEX($A$3:$B$14312,SMALL(IF($A$3:$A$14312=DP$3,ROW($A$3:$A$14312)),ROW(57:57)),2)),"",INDEX($A$3:$B$14312,SMALL(IF($A$3:$A$14312=DP$3,ROW($A$3:$A$14312)),ROW(57:57)),2))</f>
        <v/>
      </c>
      <c r="DQ59" t="str">
        <f t="array" ref="DQ59">IF(ISERROR(INDEX($A$3:$B$14312,SMALL(IF($A$3:$A$14312=DQ$3,ROW($A$3:$A$14312)),ROW(57:57)),2)),"",INDEX($A$3:$B$14312,SMALL(IF($A$3:$A$14312=DQ$3,ROW($A$3:$A$14312)),ROW(57:57)),2))</f>
        <v/>
      </c>
      <c r="DR59" t="str">
        <f t="array" ref="DR59">IF(ISERROR(INDEX($A$3:$B$14312,SMALL(IF($A$3:$A$14312=DR$3,ROW($A$3:$A$14312)),ROW(57:57)),2)),"",INDEX($A$3:$B$14312,SMALL(IF($A$3:$A$14312=DR$3,ROW($A$3:$A$14312)),ROW(57:57)),2))</f>
        <v/>
      </c>
      <c r="DS59" t="str">
        <f t="array" ref="DS59">IF(ISERROR(INDEX($A$3:$B$14312,SMALL(IF($A$3:$A$14312=DS$3,ROW($A$3:$A$14312)),ROW(57:57)),2)),"",INDEX($A$3:$B$14312,SMALL(IF($A$3:$A$14312=DS$3,ROW($A$3:$A$14312)),ROW(57:57)),2))</f>
        <v/>
      </c>
      <c r="DT59" t="str">
        <f t="array" ref="DT59">IF(ISERROR(INDEX($A$3:$B$14312,SMALL(IF($A$3:$A$14312=DT$3,ROW($A$3:$A$14312)),ROW(57:57)),2)),"",INDEX($A$3:$B$14312,SMALL(IF($A$3:$A$14312=DT$3,ROW($A$3:$A$14312)),ROW(57:57)),2))</f>
        <v>Router3_123</v>
      </c>
      <c r="DU59" t="str">
        <f t="array" ref="DU59">IF(ISERROR(INDEX($A$3:$B$14312,SMALL(IF($A$3:$A$14312=DU$3,ROW($A$3:$A$14312)),ROW(57:57)),2)),"",INDEX($A$3:$B$14312,SMALL(IF($A$3:$A$14312=DU$3,ROW($A$3:$A$14312)),ROW(57:57)),2))</f>
        <v/>
      </c>
      <c r="DV59" t="str">
        <f t="array" ref="DV59">IF(ISERROR(INDEX($A$3:$B$14312,SMALL(IF($A$3:$A$14312=DV$3,ROW($A$3:$A$14312)),ROW(57:57)),2)),"",INDEX($A$3:$B$14312,SMALL(IF($A$3:$A$14312=DV$3,ROW($A$3:$A$14312)),ROW(57:57)),2))</f>
        <v/>
      </c>
      <c r="DW59" t="str">
        <f t="array" ref="DW59">IF(ISERROR(INDEX($A$3:$B$14312,SMALL(IF($A$3:$A$14312=DW$3,ROW($A$3:$A$14312)),ROW(57:57)),2)),"",INDEX($A$3:$B$14312,SMALL(IF($A$3:$A$14312=DW$3,ROW($A$3:$A$14312)),ROW(57:57)),2))</f>
        <v/>
      </c>
      <c r="DX59" t="str">
        <f t="array" ref="DX59">IF(ISERROR(INDEX($A$3:$B$14312,SMALL(IF($A$3:$A$14312=DX$3,ROW($A$3:$A$14312)),ROW(57:57)),2)),"",INDEX($A$3:$B$14312,SMALL(IF($A$3:$A$14312=DX$3,ROW($A$3:$A$14312)),ROW(57:57)),2))</f>
        <v/>
      </c>
      <c r="DY59" t="str">
        <f t="array" ref="DY59">IF(ISERROR(INDEX($A$3:$B$14312,SMALL(IF($A$3:$A$14312=DY$3,ROW($A$3:$A$14312)),ROW(57:57)),2)),"",INDEX($A$3:$B$14312,SMALL(IF($A$3:$A$14312=DY$3,ROW($A$3:$A$14312)),ROW(57:57)),2))</f>
        <v/>
      </c>
      <c r="DZ59" t="str">
        <f t="array" ref="DZ59">IF(ISERROR(INDEX($A$3:$B$14312,SMALL(IF($A$3:$A$14312=DZ$3,ROW($A$3:$A$14312)),ROW(57:57)),2)),"",INDEX($A$3:$B$14312,SMALL(IF($A$3:$A$14312=DZ$3,ROW($A$3:$A$14312)),ROW(57:57)),2))</f>
        <v/>
      </c>
      <c r="EA59" t="str">
        <f t="array" ref="EA59">IF(ISERROR(INDEX($A$3:$B$14312,SMALL(IF($A$3:$A$14312=EA$3,ROW($A$3:$A$14312)),ROW(57:57)),2)),"",INDEX($A$3:$B$14312,SMALL(IF($A$3:$A$14312=EA$3,ROW($A$3:$A$14312)),ROW(57:57)),2))</f>
        <v/>
      </c>
      <c r="EB59" t="str">
        <f t="array" ref="EB59">IF(ISERROR(INDEX($A$3:$B$14312,SMALL(IF($A$3:$A$14312=EB$3,ROW($A$3:$A$14312)),ROW(57:57)),2)),"",INDEX($A$3:$B$14312,SMALL(IF($A$3:$A$14312=EB$3,ROW($A$3:$A$14312)),ROW(57:57)),2))</f>
        <v/>
      </c>
      <c r="EC59" t="str">
        <f t="array" ref="EC59">IF(ISERROR(INDEX($A$3:$B$14312,SMALL(IF($A$3:$A$14312=EC$3,ROW($A$3:$A$14312)),ROW(57:57)),2)),"",INDEX($A$3:$B$14312,SMALL(IF($A$3:$A$14312=EC$3,ROW($A$3:$A$14312)),ROW(57:57)),2))</f>
        <v/>
      </c>
      <c r="ED59" t="str">
        <f t="array" ref="ED59">IF(ISERROR(INDEX($A$3:$B$14312,SMALL(IF($A$3:$A$14312=ED$3,ROW($A$3:$A$14312)),ROW(57:57)),2)),"",INDEX($A$3:$B$14312,SMALL(IF($A$3:$A$14312=ED$3,ROW($A$3:$A$14312)),ROW(57:57)),2))</f>
        <v/>
      </c>
      <c r="EE59" t="str">
        <f t="array" ref="EE59">IF(ISERROR(INDEX($A$3:$B$14312,SMALL(IF($A$3:$A$14312=EE$3,ROW($A$3:$A$14312)),ROW(57:57)),2)),"",INDEX($A$3:$B$14312,SMALL(IF($A$3:$A$14312=EE$3,ROW($A$3:$A$14312)),ROW(57:57)),2))</f>
        <v/>
      </c>
    </row>
    <row r="60" spans="1:135" x14ac:dyDescent="0.25">
      <c r="A60" s="10">
        <v>-424987520</v>
      </c>
      <c r="B60" t="s">
        <v>1157</v>
      </c>
      <c r="E60" t="str">
        <f t="array" ref="E60">IF(ISERROR(INDEX($A$3:$B$14312,SMALL(IF($A$3:$A$14312=E$3,ROW($A$3:$A$14312)),ROW(58:58)),2)),"",INDEX($A$3:$B$14312,SMALL(IF($A$3:$A$14312=E$3,ROW($A$3:$A$14312)),ROW(58:58)),2))</f>
        <v/>
      </c>
      <c r="F60" t="str">
        <f t="array" ref="F60">IF(ISERROR(INDEX($A$3:$B$14312,SMALL(IF($A$3:$A$14312=F$3,ROW($A$3:$A$14312)),ROW(58:58)),2)),"",INDEX($A$3:$B$14312,SMALL(IF($A$3:$A$14312=F$3,ROW($A$3:$A$14312)),ROW(58:58)),2))</f>
        <v/>
      </c>
      <c r="G60" t="str">
        <f t="array" ref="G60">IF(ISERROR(INDEX($A$3:$B$14312,SMALL(IF($A$3:$A$14312=G$3,ROW($A$3:$A$14312)),ROW(58:58)),2)),"",INDEX($A$3:$B$14312,SMALL(IF($A$3:$A$14312=G$3,ROW($A$3:$A$14312)),ROW(58:58)),2))</f>
        <v/>
      </c>
      <c r="H60" t="str">
        <f t="array" ref="H60">IF(ISERROR(INDEX($A$3:$B$14312,SMALL(IF($A$3:$A$14312=H$3,ROW($A$3:$A$14312)),ROW(58:58)),2)),"",INDEX($A$3:$B$14312,SMALL(IF($A$3:$A$14312=H$3,ROW($A$3:$A$14312)),ROW(58:58)),2))</f>
        <v/>
      </c>
      <c r="I60" t="str">
        <f t="array" ref="I60">IF(ISERROR(INDEX($A$3:$B$14312,SMALL(IF($A$3:$A$14312=I$3,ROW($A$3:$A$14312)),ROW(58:58)),2)),"",INDEX($A$3:$B$14312,SMALL(IF($A$3:$A$14312=I$3,ROW($A$3:$A$14312)),ROW(58:58)),2))</f>
        <v/>
      </c>
      <c r="J60" t="str">
        <f t="array" ref="J60">IF(ISERROR(INDEX($A$3:$B$14312,SMALL(IF($A$3:$A$14312=J$3,ROW($A$3:$A$14312)),ROW(58:58)),2)),"",INDEX($A$3:$B$14312,SMALL(IF($A$3:$A$14312=J$3,ROW($A$3:$A$14312)),ROW(58:58)),2))</f>
        <v/>
      </c>
      <c r="K60" t="str">
        <f t="array" ref="K60">IF(ISERROR(INDEX($A$3:$B$14312,SMALL(IF($A$3:$A$14312=K$3,ROW($A$3:$A$14312)),ROW(58:58)),2)),"",INDEX($A$3:$B$14312,SMALL(IF($A$3:$A$14312=K$3,ROW($A$3:$A$14312)),ROW(58:58)),2))</f>
        <v/>
      </c>
      <c r="L60" t="str">
        <f t="array" ref="L60">IF(ISERROR(INDEX($A$3:$B$14312,SMALL(IF($A$3:$A$14312=L$3,ROW($A$3:$A$14312)),ROW(58:58)),2)),"",INDEX($A$3:$B$14312,SMALL(IF($A$3:$A$14312=L$3,ROW($A$3:$A$14312)),ROW(58:58)),2))</f>
        <v/>
      </c>
      <c r="M60" t="str">
        <f t="array" ref="M60">IF(ISERROR(INDEX($A$3:$B$14312,SMALL(IF($A$3:$A$14312=M$3,ROW($A$3:$A$14312)),ROW(58:58)),2)),"",INDEX($A$3:$B$14312,SMALL(IF($A$3:$A$14312=M$3,ROW($A$3:$A$14312)),ROW(58:58)),2))</f>
        <v/>
      </c>
      <c r="N60" t="str">
        <f t="array" ref="N60">IF(ISERROR(INDEX($A$3:$B$14312,SMALL(IF($A$3:$A$14312=N$3,ROW($A$3:$A$14312)),ROW(58:58)),2)),"",INDEX($A$3:$B$14312,SMALL(IF($A$3:$A$14312=N$3,ROW($A$3:$A$14312)),ROW(58:58)),2))</f>
        <v/>
      </c>
      <c r="O60" t="str">
        <f t="array" ref="O60">IF(ISERROR(INDEX($A$3:$B$14312,SMALL(IF($A$3:$A$14312=O$3,ROW($A$3:$A$14312)),ROW(58:58)),2)),"",INDEX($A$3:$B$14312,SMALL(IF($A$3:$A$14312=O$3,ROW($A$3:$A$14312)),ROW(58:58)),2))</f>
        <v/>
      </c>
      <c r="P60" t="str">
        <f t="array" ref="P60">IF(ISERROR(INDEX($A$3:$B$14312,SMALL(IF($A$3:$A$14312=P$3,ROW($A$3:$A$14312)),ROW(58:58)),2)),"",INDEX($A$3:$B$14312,SMALL(IF($A$3:$A$14312=P$3,ROW($A$3:$A$14312)),ROW(58:58)),2))</f>
        <v/>
      </c>
      <c r="Q60" t="str">
        <f t="array" ref="Q60">IF(ISERROR(INDEX($A$3:$B$14312,SMALL(IF($A$3:$A$14312=Q$3,ROW($A$3:$A$14312)),ROW(58:58)),2)),"",INDEX($A$3:$B$14312,SMALL(IF($A$3:$A$14312=Q$3,ROW($A$3:$A$14312)),ROW(58:58)),2))</f>
        <v/>
      </c>
      <c r="R60" t="str">
        <f t="array" ref="R60">IF(ISERROR(INDEX($A$3:$B$14312,SMALL(IF($A$3:$A$14312=R$3,ROW($A$3:$A$14312)),ROW(58:58)),2)),"",INDEX($A$3:$B$14312,SMALL(IF($A$3:$A$14312=R$3,ROW($A$3:$A$14312)),ROW(58:58)),2))</f>
        <v/>
      </c>
      <c r="S60" t="str">
        <f t="array" ref="S60">IF(ISERROR(INDEX($A$3:$B$14312,SMALL(IF($A$3:$A$14312=S$3,ROW($A$3:$A$14312)),ROW(58:58)),2)),"",INDEX($A$3:$B$14312,SMALL(IF($A$3:$A$14312=S$3,ROW($A$3:$A$14312)),ROW(58:58)),2))</f>
        <v/>
      </c>
      <c r="T60" t="str">
        <f t="array" ref="T60">IF(ISERROR(INDEX($A$3:$B$14312,SMALL(IF($A$3:$A$14312=T$3,ROW($A$3:$A$14312)),ROW(58:58)),2)),"",INDEX($A$3:$B$14312,SMALL(IF($A$3:$A$14312=T$3,ROW($A$3:$A$14312)),ROW(58:58)),2))</f>
        <v/>
      </c>
      <c r="U60" t="str">
        <f t="array" ref="U60">IF(ISERROR(INDEX($A$3:$B$14312,SMALL(IF($A$3:$A$14312=U$3,ROW($A$3:$A$14312)),ROW(58:58)),2)),"",INDEX($A$3:$B$14312,SMALL(IF($A$3:$A$14312=U$3,ROW($A$3:$A$14312)),ROW(58:58)),2))</f>
        <v/>
      </c>
      <c r="V60" t="str">
        <f t="array" ref="V60">IF(ISERROR(INDEX($A$3:$B$14312,SMALL(IF($A$3:$A$14312=V$3,ROW($A$3:$A$14312)),ROW(58:58)),2)),"",INDEX($A$3:$B$14312,SMALL(IF($A$3:$A$14312=V$3,ROW($A$3:$A$14312)),ROW(58:58)),2))</f>
        <v/>
      </c>
      <c r="W60" t="str">
        <f t="array" ref="W60">IF(ISERROR(INDEX($A$3:$B$14312,SMALL(IF($A$3:$A$14312=W$3,ROW($A$3:$A$14312)),ROW(58:58)),2)),"",INDEX($A$3:$B$14312,SMALL(IF($A$3:$A$14312=W$3,ROW($A$3:$A$14312)),ROW(58:58)),2))</f>
        <v/>
      </c>
      <c r="X60" t="str">
        <f t="array" ref="X60">IF(ISERROR(INDEX($A$3:$B$14312,SMALL(IF($A$3:$A$14312=X$3,ROW($A$3:$A$14312)),ROW(58:58)),2)),"",INDEX($A$3:$B$14312,SMALL(IF($A$3:$A$14312=X$3,ROW($A$3:$A$14312)),ROW(58:58)),2))</f>
        <v/>
      </c>
      <c r="Y60" t="str">
        <f t="array" ref="Y60">IF(ISERROR(INDEX($A$3:$B$14312,SMALL(IF($A$3:$A$14312=Y$3,ROW($A$3:$A$14312)),ROW(58:58)),2)),"",INDEX($A$3:$B$14312,SMALL(IF($A$3:$A$14312=Y$3,ROW($A$3:$A$14312)),ROW(58:58)),2))</f>
        <v/>
      </c>
      <c r="Z60" t="str">
        <f t="array" ref="Z60">IF(ISERROR(INDEX($A$3:$B$14312,SMALL(IF($A$3:$A$14312=Z$3,ROW($A$3:$A$14312)),ROW(58:58)),2)),"",INDEX($A$3:$B$14312,SMALL(IF($A$3:$A$14312=Z$3,ROW($A$3:$A$14312)),ROW(58:58)),2))</f>
        <v/>
      </c>
      <c r="AA60" t="str">
        <f t="array" ref="AA60">IF(ISERROR(INDEX($A$3:$B$14312,SMALL(IF($A$3:$A$14312=AA$3,ROW($A$3:$A$14312)),ROW(58:58)),2)),"",INDEX($A$3:$B$14312,SMALL(IF($A$3:$A$14312=AA$3,ROW($A$3:$A$14312)),ROW(58:58)),2))</f>
        <v/>
      </c>
      <c r="AB60" t="str">
        <f t="array" ref="AB60">IF(ISERROR(INDEX($A$3:$B$14312,SMALL(IF($A$3:$A$14312=AB$3,ROW($A$3:$A$14312)),ROW(58:58)),2)),"",INDEX($A$3:$B$14312,SMALL(IF($A$3:$A$14312=AB$3,ROW($A$3:$A$14312)),ROW(58:58)),2))</f>
        <v/>
      </c>
      <c r="AC60" t="str">
        <f t="array" ref="AC60">IF(ISERROR(INDEX($A$3:$B$14312,SMALL(IF($A$3:$A$14312=AC$3,ROW($A$3:$A$14312)),ROW(58:58)),2)),"",INDEX($A$3:$B$14312,SMALL(IF($A$3:$A$14312=AC$3,ROW($A$3:$A$14312)),ROW(58:58)),2))</f>
        <v/>
      </c>
      <c r="AD60" t="str">
        <f t="array" ref="AD60">IF(ISERROR(INDEX($A$3:$B$14312,SMALL(IF($A$3:$A$14312=AD$3,ROW($A$3:$A$14312)),ROW(58:58)),2)),"",INDEX($A$3:$B$14312,SMALL(IF($A$3:$A$14312=AD$3,ROW($A$3:$A$14312)),ROW(58:58)),2))</f>
        <v/>
      </c>
      <c r="AE60" t="str">
        <f t="array" ref="AE60">IF(ISERROR(INDEX($A$3:$B$14312,SMALL(IF($A$3:$A$14312=AE$3,ROW($A$3:$A$14312)),ROW(58:58)),2)),"",INDEX($A$3:$B$14312,SMALL(IF($A$3:$A$14312=AE$3,ROW($A$3:$A$14312)),ROW(58:58)),2))</f>
        <v/>
      </c>
      <c r="AF60" t="str">
        <f t="array" ref="AF60">IF(ISERROR(INDEX($A$3:$B$14312,SMALL(IF($A$3:$A$14312=AF$3,ROW($A$3:$A$14312)),ROW(58:58)),2)),"",INDEX($A$3:$B$14312,SMALL(IF($A$3:$A$14312=AF$3,ROW($A$3:$A$14312)),ROW(58:58)),2))</f>
        <v/>
      </c>
      <c r="AG60" t="str">
        <f t="array" ref="AG60">IF(ISERROR(INDEX($A$3:$B$14312,SMALL(IF($A$3:$A$14312=AG$3,ROW($A$3:$A$14312)),ROW(58:58)),2)),"",INDEX($A$3:$B$14312,SMALL(IF($A$3:$A$14312=AG$3,ROW($A$3:$A$14312)),ROW(58:58)),2))</f>
        <v/>
      </c>
      <c r="AH60" t="str">
        <f t="array" ref="AH60">IF(ISERROR(INDEX($A$3:$B$14312,SMALL(IF($A$3:$A$14312=AH$3,ROW($A$3:$A$14312)),ROW(58:58)),2)),"",INDEX($A$3:$B$14312,SMALL(IF($A$3:$A$14312=AH$3,ROW($A$3:$A$14312)),ROW(58:58)),2))</f>
        <v/>
      </c>
      <c r="AI60" t="str">
        <f t="array" ref="AI60">IF(ISERROR(INDEX($A$3:$B$14312,SMALL(IF($A$3:$A$14312=AI$3,ROW($A$3:$A$14312)),ROW(58:58)),2)),"",INDEX($A$3:$B$14312,SMALL(IF($A$3:$A$14312=AI$3,ROW($A$3:$A$14312)),ROW(58:58)),2))</f>
        <v/>
      </c>
      <c r="AJ60" t="str">
        <f t="array" ref="AJ60">IF(ISERROR(INDEX($A$3:$B$14312,SMALL(IF($A$3:$A$14312=AJ$3,ROW($A$3:$A$14312)),ROW(58:58)),2)),"",INDEX($A$3:$B$14312,SMALL(IF($A$3:$A$14312=AJ$3,ROW($A$3:$A$14312)),ROW(58:58)),2))</f>
        <v/>
      </c>
      <c r="AK60" t="str">
        <f t="array" ref="AK60">IF(ISERROR(INDEX($A$3:$B$14312,SMALL(IF($A$3:$A$14312=AK$3,ROW($A$3:$A$14312)),ROW(58:58)),2)),"",INDEX($A$3:$B$14312,SMALL(IF($A$3:$A$14312=AK$3,ROW($A$3:$A$14312)),ROW(58:58)),2))</f>
        <v/>
      </c>
      <c r="AL60" t="str">
        <f t="array" ref="AL60">IF(ISERROR(INDEX($A$3:$B$14312,SMALL(IF($A$3:$A$14312=AL$3,ROW($A$3:$A$14312)),ROW(58:58)),2)),"",INDEX($A$3:$B$14312,SMALL(IF($A$3:$A$14312=AL$3,ROW($A$3:$A$14312)),ROW(58:58)),2))</f>
        <v/>
      </c>
      <c r="AM60" t="str">
        <f t="array" ref="AM60">IF(ISERROR(INDEX($A$3:$B$14312,SMALL(IF($A$3:$A$14312=AM$3,ROW($A$3:$A$14312)),ROW(58:58)),2)),"",INDEX($A$3:$B$14312,SMALL(IF($A$3:$A$14312=AM$3,ROW($A$3:$A$14312)),ROW(58:58)),2))</f>
        <v/>
      </c>
      <c r="AN60" t="str">
        <f t="array" ref="AN60">IF(ISERROR(INDEX($A$3:$B$14312,SMALL(IF($A$3:$A$14312=AN$3,ROW($A$3:$A$14312)),ROW(58:58)),2)),"",INDEX($A$3:$B$14312,SMALL(IF($A$3:$A$14312=AN$3,ROW($A$3:$A$14312)),ROW(58:58)),2))</f>
        <v/>
      </c>
      <c r="AO60" t="str">
        <f t="array" ref="AO60">IF(ISERROR(INDEX($A$3:$B$14312,SMALL(IF($A$3:$A$14312=AO$3,ROW($A$3:$A$14312)),ROW(58:58)),2)),"",INDEX($A$3:$B$14312,SMALL(IF($A$3:$A$14312=AO$3,ROW($A$3:$A$14312)),ROW(58:58)),2))</f>
        <v/>
      </c>
      <c r="AP60" t="str">
        <f t="array" ref="AP60">IF(ISERROR(INDEX($A$3:$B$14312,SMALL(IF($A$3:$A$14312=AP$3,ROW($A$3:$A$14312)),ROW(58:58)),2)),"",INDEX($A$3:$B$14312,SMALL(IF($A$3:$A$14312=AP$3,ROW($A$3:$A$14312)),ROW(58:58)),2))</f>
        <v/>
      </c>
      <c r="AQ60" t="str">
        <f t="array" ref="AQ60">IF(ISERROR(INDEX($A$3:$B$14312,SMALL(IF($A$3:$A$14312=AQ$3,ROW($A$3:$A$14312)),ROW(58:58)),2)),"",INDEX($A$3:$B$14312,SMALL(IF($A$3:$A$14312=AQ$3,ROW($A$3:$A$14312)),ROW(58:58)),2))</f>
        <v/>
      </c>
      <c r="AR60" t="str">
        <f t="array" ref="AR60">IF(ISERROR(INDEX($A$3:$B$14312,SMALL(IF($A$3:$A$14312=AR$3,ROW($A$3:$A$14312)),ROW(58:58)),2)),"",INDEX($A$3:$B$14312,SMALL(IF($A$3:$A$14312=AR$3,ROW($A$3:$A$14312)),ROW(58:58)),2))</f>
        <v/>
      </c>
      <c r="AS60" t="str">
        <f t="array" ref="AS60">IF(ISERROR(INDEX($A$3:$B$14312,SMALL(IF($A$3:$A$14312=AS$3,ROW($A$3:$A$14312)),ROW(58:58)),2)),"",INDEX($A$3:$B$14312,SMALL(IF($A$3:$A$14312=AS$3,ROW($A$3:$A$14312)),ROW(58:58)),2))</f>
        <v/>
      </c>
      <c r="AT60" t="str">
        <f t="array" ref="AT60">IF(ISERROR(INDEX($A$3:$B$14312,SMALL(IF($A$3:$A$14312=AT$3,ROW($A$3:$A$14312)),ROW(58:58)),2)),"",INDEX($A$3:$B$14312,SMALL(IF($A$3:$A$14312=AT$3,ROW($A$3:$A$14312)),ROW(58:58)),2))</f>
        <v/>
      </c>
      <c r="AU60" t="str">
        <f t="array" ref="AU60">IF(ISERROR(INDEX($A$3:$B$14312,SMALL(IF($A$3:$A$14312=AU$3,ROW($A$3:$A$14312)),ROW(58:58)),2)),"",INDEX($A$3:$B$14312,SMALL(IF($A$3:$A$14312=AU$3,ROW($A$3:$A$14312)),ROW(58:58)),2))</f>
        <v/>
      </c>
      <c r="AV60" t="str">
        <f t="array" ref="AV60">IF(ISERROR(INDEX($A$3:$B$14312,SMALL(IF($A$3:$A$14312=AV$3,ROW($A$3:$A$14312)),ROW(58:58)),2)),"",INDEX($A$3:$B$14312,SMALL(IF($A$3:$A$14312=AV$3,ROW($A$3:$A$14312)),ROW(58:58)),2))</f>
        <v/>
      </c>
      <c r="AW60" t="str">
        <f t="array" ref="AW60">IF(ISERROR(INDEX($A$3:$B$14312,SMALL(IF($A$3:$A$14312=AW$3,ROW($A$3:$A$14312)),ROW(58:58)),2)),"",INDEX($A$3:$B$14312,SMALL(IF($A$3:$A$14312=AW$3,ROW($A$3:$A$14312)),ROW(58:58)),2))</f>
        <v/>
      </c>
      <c r="AX60" t="str">
        <f t="array" ref="AX60">IF(ISERROR(INDEX($A$3:$B$14312,SMALL(IF($A$3:$A$14312=AX$3,ROW($A$3:$A$14312)),ROW(58:58)),2)),"",INDEX($A$3:$B$14312,SMALL(IF($A$3:$A$14312=AX$3,ROW($A$3:$A$14312)),ROW(58:58)),2))</f>
        <v/>
      </c>
      <c r="AY60" t="str">
        <f t="array" ref="AY60">IF(ISERROR(INDEX($A$3:$B$14312,SMALL(IF($A$3:$A$14312=AY$3,ROW($A$3:$A$14312)),ROW(58:58)),2)),"",INDEX($A$3:$B$14312,SMALL(IF($A$3:$A$14312=AY$3,ROW($A$3:$A$14312)),ROW(58:58)),2))</f>
        <v/>
      </c>
      <c r="AZ60" t="str">
        <f t="array" ref="AZ60">IF(ISERROR(INDEX($A$3:$B$14312,SMALL(IF($A$3:$A$14312=AZ$3,ROW($A$3:$A$14312)),ROW(58:58)),2)),"",INDEX($A$3:$B$14312,SMALL(IF($A$3:$A$14312=AZ$3,ROW($A$3:$A$14312)),ROW(58:58)),2))</f>
        <v/>
      </c>
      <c r="BA60" t="str">
        <f t="array" ref="BA60">IF(ISERROR(INDEX($A$3:$B$14312,SMALL(IF($A$3:$A$14312=BA$3,ROW($A$3:$A$14312)),ROW(58:58)),2)),"",INDEX($A$3:$B$14312,SMALL(IF($A$3:$A$14312=BA$3,ROW($A$3:$A$14312)),ROW(58:58)),2))</f>
        <v/>
      </c>
      <c r="BB60" t="str">
        <f t="array" ref="BB60">IF(ISERROR(INDEX($A$3:$B$14312,SMALL(IF($A$3:$A$14312=BB$3,ROW($A$3:$A$14312)),ROW(58:58)),2)),"",INDEX($A$3:$B$14312,SMALL(IF($A$3:$A$14312=BB$3,ROW($A$3:$A$14312)),ROW(58:58)),2))</f>
        <v/>
      </c>
      <c r="BC60" t="str">
        <f t="array" ref="BC60">IF(ISERROR(INDEX($A$3:$B$14312,SMALL(IF($A$3:$A$14312=BC$3,ROW($A$3:$A$14312)),ROW(58:58)),2)),"",INDEX($A$3:$B$14312,SMALL(IF($A$3:$A$14312=BC$3,ROW($A$3:$A$14312)),ROW(58:58)),2))</f>
        <v/>
      </c>
      <c r="BD60" t="str">
        <f t="array" ref="BD60">IF(ISERROR(INDEX($A$3:$B$14312,SMALL(IF($A$3:$A$14312=BD$3,ROW($A$3:$A$14312)),ROW(58:58)),2)),"",INDEX($A$3:$B$14312,SMALL(IF($A$3:$A$14312=BD$3,ROW($A$3:$A$14312)),ROW(58:58)),2))</f>
        <v/>
      </c>
      <c r="BE60" t="str">
        <f t="array" ref="BE60">IF(ISERROR(INDEX($A$3:$B$14312,SMALL(IF($A$3:$A$14312=BE$3,ROW($A$3:$A$14312)),ROW(58:58)),2)),"",INDEX($A$3:$B$14312,SMALL(IF($A$3:$A$14312=BE$3,ROW($A$3:$A$14312)),ROW(58:58)),2))</f>
        <v/>
      </c>
      <c r="BF60" t="str">
        <f t="array" ref="BF60">IF(ISERROR(INDEX($A$3:$B$14312,SMALL(IF($A$3:$A$14312=BF$3,ROW($A$3:$A$14312)),ROW(58:58)),2)),"",INDEX($A$3:$B$14312,SMALL(IF($A$3:$A$14312=BF$3,ROW($A$3:$A$14312)),ROW(58:58)),2))</f>
        <v/>
      </c>
      <c r="BG60" t="str">
        <f t="array" ref="BG60">IF(ISERROR(INDEX($A$3:$B$14312,SMALL(IF($A$3:$A$14312=BG$3,ROW($A$3:$A$14312)),ROW(58:58)),2)),"",INDEX($A$3:$B$14312,SMALL(IF($A$3:$A$14312=BG$3,ROW($A$3:$A$14312)),ROW(58:58)),2))</f>
        <v/>
      </c>
      <c r="BH60" t="str">
        <f t="array" ref="BH60">IF(ISERROR(INDEX($A$3:$B$14312,SMALL(IF($A$3:$A$14312=BH$3,ROW($A$3:$A$14312)),ROW(58:58)),2)),"",INDEX($A$3:$B$14312,SMALL(IF($A$3:$A$14312=BH$3,ROW($A$3:$A$14312)),ROW(58:58)),2))</f>
        <v/>
      </c>
      <c r="BI60" t="str">
        <f t="array" ref="BI60">IF(ISERROR(INDEX($A$3:$B$14312,SMALL(IF($A$3:$A$14312=BI$3,ROW($A$3:$A$14312)),ROW(58:58)),2)),"",INDEX($A$3:$B$14312,SMALL(IF($A$3:$A$14312=BI$3,ROW($A$3:$A$14312)),ROW(58:58)),2))</f>
        <v/>
      </c>
      <c r="BJ60" t="str">
        <f t="array" ref="BJ60">IF(ISERROR(INDEX($A$3:$B$14312,SMALL(IF($A$3:$A$14312=BJ$3,ROW($A$3:$A$14312)),ROW(58:58)),2)),"",INDEX($A$3:$B$14312,SMALL(IF($A$3:$A$14312=BJ$3,ROW($A$3:$A$14312)),ROW(58:58)),2))</f>
        <v/>
      </c>
      <c r="BK60" t="str">
        <f t="array" ref="BK60">IF(ISERROR(INDEX($A$3:$B$14312,SMALL(IF($A$3:$A$14312=BK$3,ROW($A$3:$A$14312)),ROW(58:58)),2)),"",INDEX($A$3:$B$14312,SMALL(IF($A$3:$A$14312=BK$3,ROW($A$3:$A$14312)),ROW(58:58)),2))</f>
        <v/>
      </c>
      <c r="BL60" t="str">
        <f t="array" ref="BL60">IF(ISERROR(INDEX($A$3:$B$14312,SMALL(IF($A$3:$A$14312=BL$3,ROW($A$3:$A$14312)),ROW(58:58)),2)),"",INDEX($A$3:$B$14312,SMALL(IF($A$3:$A$14312=BL$3,ROW($A$3:$A$14312)),ROW(58:58)),2))</f>
        <v/>
      </c>
      <c r="BM60" t="str">
        <f t="array" ref="BM60">IF(ISERROR(INDEX($A$3:$B$14312,SMALL(IF($A$3:$A$14312=BM$3,ROW($A$3:$A$14312)),ROW(58:58)),2)),"",INDEX($A$3:$B$14312,SMALL(IF($A$3:$A$14312=BM$3,ROW($A$3:$A$14312)),ROW(58:58)),2))</f>
        <v/>
      </c>
      <c r="BN60" t="str">
        <f t="array" ref="BN60">IF(ISERROR(INDEX($A$3:$B$14312,SMALL(IF($A$3:$A$14312=BN$3,ROW($A$3:$A$14312)),ROW(58:58)),2)),"",INDEX($A$3:$B$14312,SMALL(IF($A$3:$A$14312=BN$3,ROW($A$3:$A$14312)),ROW(58:58)),2))</f>
        <v/>
      </c>
      <c r="BO60" t="str">
        <f t="array" ref="BO60">IF(ISERROR(INDEX($A$3:$B$14312,SMALL(IF($A$3:$A$14312=BO$3,ROW($A$3:$A$14312)),ROW(58:58)),2)),"",INDEX($A$3:$B$14312,SMALL(IF($A$3:$A$14312=BO$3,ROW($A$3:$A$14312)),ROW(58:58)),2))</f>
        <v/>
      </c>
      <c r="BP60" t="str">
        <f t="array" ref="BP60">IF(ISERROR(INDEX($A$3:$B$14312,SMALL(IF($A$3:$A$14312=BP$3,ROW($A$3:$A$14312)),ROW(58:58)),2)),"",INDEX($A$3:$B$14312,SMALL(IF($A$3:$A$14312=BP$3,ROW($A$3:$A$14312)),ROW(58:58)),2))</f>
        <v/>
      </c>
      <c r="BQ60" t="str">
        <f t="array" ref="BQ60">IF(ISERROR(INDEX($A$3:$B$14312,SMALL(IF($A$3:$A$14312=BQ$3,ROW($A$3:$A$14312)),ROW(58:58)),2)),"",INDEX($A$3:$B$14312,SMALL(IF($A$3:$A$14312=BQ$3,ROW($A$3:$A$14312)),ROW(58:58)),2))</f>
        <v/>
      </c>
      <c r="BR60" t="str">
        <f t="array" ref="BR60">IF(ISERROR(INDEX($A$3:$B$14312,SMALL(IF($A$3:$A$14312=BR$3,ROW($A$3:$A$14312)),ROW(58:58)),2)),"",INDEX($A$3:$B$14312,SMALL(IF($A$3:$A$14312=BR$3,ROW($A$3:$A$14312)),ROW(58:58)),2))</f>
        <v/>
      </c>
      <c r="BS60" t="str">
        <f t="array" ref="BS60">IF(ISERROR(INDEX($A$3:$B$14312,SMALL(IF($A$3:$A$14312=BS$3,ROW($A$3:$A$14312)),ROW(58:58)),2)),"",INDEX($A$3:$B$14312,SMALL(IF($A$3:$A$14312=BS$3,ROW($A$3:$A$14312)),ROW(58:58)),2))</f>
        <v/>
      </c>
      <c r="BT60" t="str">
        <f t="array" ref="BT60">IF(ISERROR(INDEX($A$3:$B$14312,SMALL(IF($A$3:$A$14312=BT$3,ROW($A$3:$A$14312)),ROW(58:58)),2)),"",INDEX($A$3:$B$14312,SMALL(IF($A$3:$A$14312=BT$3,ROW($A$3:$A$14312)),ROW(58:58)),2))</f>
        <v>Router3_159</v>
      </c>
      <c r="BU60" t="str">
        <f t="array" ref="BU60">IF(ISERROR(INDEX($A$3:$B$14312,SMALL(IF($A$3:$A$14312=BU$3,ROW($A$3:$A$14312)),ROW(58:58)),2)),"",INDEX($A$3:$B$14312,SMALL(IF($A$3:$A$14312=BU$3,ROW($A$3:$A$14312)),ROW(58:58)),2))</f>
        <v/>
      </c>
      <c r="BV60" t="str">
        <f t="array" ref="BV60">IF(ISERROR(INDEX($A$3:$B$14312,SMALL(IF($A$3:$A$14312=BV$3,ROW($A$3:$A$14312)),ROW(58:58)),2)),"",INDEX($A$3:$B$14312,SMALL(IF($A$3:$A$14312=BV$3,ROW($A$3:$A$14312)),ROW(58:58)),2))</f>
        <v/>
      </c>
      <c r="BW60" t="str">
        <f t="array" ref="BW60">IF(ISERROR(INDEX($A$3:$B$14312,SMALL(IF($A$3:$A$14312=BW$3,ROW($A$3:$A$14312)),ROW(58:58)),2)),"",INDEX($A$3:$B$14312,SMALL(IF($A$3:$A$14312=BW$3,ROW($A$3:$A$14312)),ROW(58:58)),2))</f>
        <v/>
      </c>
      <c r="BX60" t="str">
        <f t="array" ref="BX60">IF(ISERROR(INDEX($A$3:$B$14312,SMALL(IF($A$3:$A$14312=BX$3,ROW($A$3:$A$14312)),ROW(58:58)),2)),"",INDEX($A$3:$B$14312,SMALL(IF($A$3:$A$14312=BX$3,ROW($A$3:$A$14312)),ROW(58:58)),2))</f>
        <v/>
      </c>
      <c r="BY60" t="str">
        <f t="array" ref="BY60">IF(ISERROR(INDEX($A$3:$B$14312,SMALL(IF($A$3:$A$14312=BY$3,ROW($A$3:$A$14312)),ROW(58:58)),2)),"",INDEX($A$3:$B$14312,SMALL(IF($A$3:$A$14312=BY$3,ROW($A$3:$A$14312)),ROW(58:58)),2))</f>
        <v/>
      </c>
      <c r="BZ60" t="str">
        <f t="array" ref="BZ60">IF(ISERROR(INDEX($A$3:$B$14312,SMALL(IF($A$3:$A$14312=BZ$3,ROW($A$3:$A$14312)),ROW(58:58)),2)),"",INDEX($A$3:$B$14312,SMALL(IF($A$3:$A$14312=BZ$3,ROW($A$3:$A$14312)),ROW(58:58)),2))</f>
        <v/>
      </c>
      <c r="CA60" t="str">
        <f t="array" ref="CA60">IF(ISERROR(INDEX($A$3:$B$14312,SMALL(IF($A$3:$A$14312=CA$3,ROW($A$3:$A$14312)),ROW(58:58)),2)),"",INDEX($A$3:$B$14312,SMALL(IF($A$3:$A$14312=CA$3,ROW($A$3:$A$14312)),ROW(58:58)),2))</f>
        <v/>
      </c>
      <c r="CB60" t="str">
        <f t="array" ref="CB60">IF(ISERROR(INDEX($A$3:$B$14312,SMALL(IF($A$3:$A$14312=CB$3,ROW($A$3:$A$14312)),ROW(58:58)),2)),"",INDEX($A$3:$B$14312,SMALL(IF($A$3:$A$14312=CB$3,ROW($A$3:$A$14312)),ROW(58:58)),2))</f>
        <v/>
      </c>
      <c r="CC60" t="str">
        <f t="array" ref="CC60">IF(ISERROR(INDEX($A$3:$B$14312,SMALL(IF($A$3:$A$14312=CC$3,ROW($A$3:$A$14312)),ROW(58:58)),2)),"",INDEX($A$3:$B$14312,SMALL(IF($A$3:$A$14312=CC$3,ROW($A$3:$A$14312)),ROW(58:58)),2))</f>
        <v/>
      </c>
      <c r="CD60" t="str">
        <f t="array" ref="CD60">IF(ISERROR(INDEX($A$3:$B$14312,SMALL(IF($A$3:$A$14312=CD$3,ROW($A$3:$A$14312)),ROW(58:58)),2)),"",INDEX($A$3:$B$14312,SMALL(IF($A$3:$A$14312=CD$3,ROW($A$3:$A$14312)),ROW(58:58)),2))</f>
        <v/>
      </c>
      <c r="CE60" t="str">
        <f t="array" ref="CE60">IF(ISERROR(INDEX($A$3:$B$14312,SMALL(IF($A$3:$A$14312=CE$3,ROW($A$3:$A$14312)),ROW(58:58)),2)),"",INDEX($A$3:$B$14312,SMALL(IF($A$3:$A$14312=CE$3,ROW($A$3:$A$14312)),ROW(58:58)),2))</f>
        <v/>
      </c>
      <c r="CF60" t="str">
        <f t="array" ref="CF60">IF(ISERROR(INDEX($A$3:$B$14312,SMALL(IF($A$3:$A$14312=CF$3,ROW($A$3:$A$14312)),ROW(58:58)),2)),"",INDEX($A$3:$B$14312,SMALL(IF($A$3:$A$14312=CF$3,ROW($A$3:$A$14312)),ROW(58:58)),2))</f>
        <v/>
      </c>
      <c r="CG60" t="str">
        <f t="array" ref="CG60">IF(ISERROR(INDEX($A$3:$B$14312,SMALL(IF($A$3:$A$14312=CG$3,ROW($A$3:$A$14312)),ROW(58:58)),2)),"",INDEX($A$3:$B$14312,SMALL(IF($A$3:$A$14312=CG$3,ROW($A$3:$A$14312)),ROW(58:58)),2))</f>
        <v/>
      </c>
      <c r="CH60" t="str">
        <f t="array" ref="CH60">IF(ISERROR(INDEX($A$3:$B$14312,SMALL(IF($A$3:$A$14312=CH$3,ROW($A$3:$A$14312)),ROW(58:58)),2)),"",INDEX($A$3:$B$14312,SMALL(IF($A$3:$A$14312=CH$3,ROW($A$3:$A$14312)),ROW(58:58)),2))</f>
        <v/>
      </c>
      <c r="CI60" t="str">
        <f t="array" ref="CI60">IF(ISERROR(INDEX($A$3:$B$14312,SMALL(IF($A$3:$A$14312=CI$3,ROW($A$3:$A$14312)),ROW(58:58)),2)),"",INDEX($A$3:$B$14312,SMALL(IF($A$3:$A$14312=CI$3,ROW($A$3:$A$14312)),ROW(58:58)),2))</f>
        <v/>
      </c>
      <c r="CJ60" t="str">
        <f t="array" ref="CJ60">IF(ISERROR(INDEX($A$3:$B$14312,SMALL(IF($A$3:$A$14312=CJ$3,ROW($A$3:$A$14312)),ROW(58:58)),2)),"",INDEX($A$3:$B$14312,SMALL(IF($A$3:$A$14312=CJ$3,ROW($A$3:$A$14312)),ROW(58:58)),2))</f>
        <v/>
      </c>
      <c r="CK60" t="str">
        <f t="array" ref="CK60">IF(ISERROR(INDEX($A$3:$B$14312,SMALL(IF($A$3:$A$14312=CK$3,ROW($A$3:$A$14312)),ROW(58:58)),2)),"",INDEX($A$3:$B$14312,SMALL(IF($A$3:$A$14312=CK$3,ROW($A$3:$A$14312)),ROW(58:58)),2))</f>
        <v/>
      </c>
      <c r="CL60" t="str">
        <f t="array" ref="CL60">IF(ISERROR(INDEX($A$3:$B$14312,SMALL(IF($A$3:$A$14312=CL$3,ROW($A$3:$A$14312)),ROW(58:58)),2)),"",INDEX($A$3:$B$14312,SMALL(IF($A$3:$A$14312=CL$3,ROW($A$3:$A$14312)),ROW(58:58)),2))</f>
        <v/>
      </c>
      <c r="CM60" t="str">
        <f t="array" ref="CM60">IF(ISERROR(INDEX($A$3:$B$14312,SMALL(IF($A$3:$A$14312=CM$3,ROW($A$3:$A$14312)),ROW(58:58)),2)),"",INDEX($A$3:$B$14312,SMALL(IF($A$3:$A$14312=CM$3,ROW($A$3:$A$14312)),ROW(58:58)),2))</f>
        <v/>
      </c>
      <c r="CN60" t="str">
        <f t="array" ref="CN60">IF(ISERROR(INDEX($A$3:$B$14312,SMALL(IF($A$3:$A$14312=CN$3,ROW($A$3:$A$14312)),ROW(58:58)),2)),"",INDEX($A$3:$B$14312,SMALL(IF($A$3:$A$14312=CN$3,ROW($A$3:$A$14312)),ROW(58:58)),2))</f>
        <v/>
      </c>
      <c r="CO60" t="str">
        <f t="array" ref="CO60">IF(ISERROR(INDEX($A$3:$B$14312,SMALL(IF($A$3:$A$14312=CO$3,ROW($A$3:$A$14312)),ROW(58:58)),2)),"",INDEX($A$3:$B$14312,SMALL(IF($A$3:$A$14312=CO$3,ROW($A$3:$A$14312)),ROW(58:58)),2))</f>
        <v/>
      </c>
      <c r="CP60" t="str">
        <f t="array" ref="CP60">IF(ISERROR(INDEX($A$3:$B$14312,SMALL(IF($A$3:$A$14312=CP$3,ROW($A$3:$A$14312)),ROW(58:58)),2)),"",INDEX($A$3:$B$14312,SMALL(IF($A$3:$A$14312=CP$3,ROW($A$3:$A$14312)),ROW(58:58)),2))</f>
        <v/>
      </c>
      <c r="CQ60" t="str">
        <f t="array" ref="CQ60">IF(ISERROR(INDEX($A$3:$B$14312,SMALL(IF($A$3:$A$14312=CQ$3,ROW($A$3:$A$14312)),ROW(58:58)),2)),"",INDEX($A$3:$B$14312,SMALL(IF($A$3:$A$14312=CQ$3,ROW($A$3:$A$14312)),ROW(58:58)),2))</f>
        <v/>
      </c>
      <c r="CR60" t="str">
        <f t="array" ref="CR60">IF(ISERROR(INDEX($A$3:$B$14312,SMALL(IF($A$3:$A$14312=CR$3,ROW($A$3:$A$14312)),ROW(58:58)),2)),"",INDEX($A$3:$B$14312,SMALL(IF($A$3:$A$14312=CR$3,ROW($A$3:$A$14312)),ROW(58:58)),2))</f>
        <v/>
      </c>
      <c r="CS60" t="str">
        <f t="array" ref="CS60">IF(ISERROR(INDEX($A$3:$B$14312,SMALL(IF($A$3:$A$14312=CS$3,ROW($A$3:$A$14312)),ROW(58:58)),2)),"",INDEX($A$3:$B$14312,SMALL(IF($A$3:$A$14312=CS$3,ROW($A$3:$A$14312)),ROW(58:58)),2))</f>
        <v/>
      </c>
      <c r="CT60" t="str">
        <f t="array" ref="CT60">IF(ISERROR(INDEX($A$3:$B$14312,SMALL(IF($A$3:$A$14312=CT$3,ROW($A$3:$A$14312)),ROW(58:58)),2)),"",INDEX($A$3:$B$14312,SMALL(IF($A$3:$A$14312=CT$3,ROW($A$3:$A$14312)),ROW(58:58)),2))</f>
        <v/>
      </c>
      <c r="CU60" t="str">
        <f t="array" ref="CU60">IF(ISERROR(INDEX($A$3:$B$14312,SMALL(IF($A$3:$A$14312=CU$3,ROW($A$3:$A$14312)),ROW(58:58)),2)),"",INDEX($A$3:$B$14312,SMALL(IF($A$3:$A$14312=CU$3,ROW($A$3:$A$14312)),ROW(58:58)),2))</f>
        <v/>
      </c>
      <c r="CV60" t="str">
        <f t="array" ref="CV60">IF(ISERROR(INDEX($A$3:$B$14312,SMALL(IF($A$3:$A$14312=CV$3,ROW($A$3:$A$14312)),ROW(58:58)),2)),"",INDEX($A$3:$B$14312,SMALL(IF($A$3:$A$14312=CV$3,ROW($A$3:$A$14312)),ROW(58:58)),2))</f>
        <v/>
      </c>
      <c r="CW60" t="str">
        <f t="array" ref="CW60">IF(ISERROR(INDEX($A$3:$B$14312,SMALL(IF($A$3:$A$14312=CW$3,ROW($A$3:$A$14312)),ROW(58:58)),2)),"",INDEX($A$3:$B$14312,SMALL(IF($A$3:$A$14312=CW$3,ROW($A$3:$A$14312)),ROW(58:58)),2))</f>
        <v/>
      </c>
      <c r="CX60" t="str">
        <f t="array" ref="CX60">IF(ISERROR(INDEX($A$3:$B$14312,SMALL(IF($A$3:$A$14312=CX$3,ROW($A$3:$A$14312)),ROW(58:58)),2)),"",INDEX($A$3:$B$14312,SMALL(IF($A$3:$A$14312=CX$3,ROW($A$3:$A$14312)),ROW(58:58)),2))</f>
        <v/>
      </c>
      <c r="CY60" t="str">
        <f t="array" ref="CY60">IF(ISERROR(INDEX($A$3:$B$14312,SMALL(IF($A$3:$A$14312=CY$3,ROW($A$3:$A$14312)),ROW(58:58)),2)),"",INDEX($A$3:$B$14312,SMALL(IF($A$3:$A$14312=CY$3,ROW($A$3:$A$14312)),ROW(58:58)),2))</f>
        <v/>
      </c>
      <c r="CZ60" t="str">
        <f t="array" ref="CZ60">IF(ISERROR(INDEX($A$3:$B$14312,SMALL(IF($A$3:$A$14312=CZ$3,ROW($A$3:$A$14312)),ROW(58:58)),2)),"",INDEX($A$3:$B$14312,SMALL(IF($A$3:$A$14312=CZ$3,ROW($A$3:$A$14312)),ROW(58:58)),2))</f>
        <v/>
      </c>
      <c r="DA60" t="str">
        <f t="array" ref="DA60">IF(ISERROR(INDEX($A$3:$B$14312,SMALL(IF($A$3:$A$14312=DA$3,ROW($A$3:$A$14312)),ROW(58:58)),2)),"",INDEX($A$3:$B$14312,SMALL(IF($A$3:$A$14312=DA$3,ROW($A$3:$A$14312)),ROW(58:58)),2))</f>
        <v/>
      </c>
      <c r="DB60" t="str">
        <f t="array" ref="DB60">IF(ISERROR(INDEX($A$3:$B$14312,SMALL(IF($A$3:$A$14312=DB$3,ROW($A$3:$A$14312)),ROW(58:58)),2)),"",INDEX($A$3:$B$14312,SMALL(IF($A$3:$A$14312=DB$3,ROW($A$3:$A$14312)),ROW(58:58)),2))</f>
        <v/>
      </c>
      <c r="DC60" t="str">
        <f t="array" ref="DC60">IF(ISERROR(INDEX($A$3:$B$14312,SMALL(IF($A$3:$A$14312=DC$3,ROW($A$3:$A$14312)),ROW(58:58)),2)),"",INDEX($A$3:$B$14312,SMALL(IF($A$3:$A$14312=DC$3,ROW($A$3:$A$14312)),ROW(58:58)),2))</f>
        <v/>
      </c>
      <c r="DD60" t="str">
        <f t="array" ref="DD60">IF(ISERROR(INDEX($A$3:$B$14312,SMALL(IF($A$3:$A$14312=DD$3,ROW($A$3:$A$14312)),ROW(58:58)),2)),"",INDEX($A$3:$B$14312,SMALL(IF($A$3:$A$14312=DD$3,ROW($A$3:$A$14312)),ROW(58:58)),2))</f>
        <v/>
      </c>
      <c r="DE60" t="str">
        <f t="array" ref="DE60">IF(ISERROR(INDEX($A$3:$B$14312,SMALL(IF($A$3:$A$14312=DE$3,ROW($A$3:$A$14312)),ROW(58:58)),2)),"",INDEX($A$3:$B$14312,SMALL(IF($A$3:$A$14312=DE$3,ROW($A$3:$A$14312)),ROW(58:58)),2))</f>
        <v/>
      </c>
      <c r="DF60" t="str">
        <f t="array" ref="DF60">IF(ISERROR(INDEX($A$3:$B$14312,SMALL(IF($A$3:$A$14312=DF$3,ROW($A$3:$A$14312)),ROW(58:58)),2)),"",INDEX($A$3:$B$14312,SMALL(IF($A$3:$A$14312=DF$3,ROW($A$3:$A$14312)),ROW(58:58)),2))</f>
        <v/>
      </c>
      <c r="DG60" t="str">
        <f t="array" ref="DG60">IF(ISERROR(INDEX($A$3:$B$14312,SMALL(IF($A$3:$A$14312=DG$3,ROW($A$3:$A$14312)),ROW(58:58)),2)),"",INDEX($A$3:$B$14312,SMALL(IF($A$3:$A$14312=DG$3,ROW($A$3:$A$14312)),ROW(58:58)),2))</f>
        <v/>
      </c>
      <c r="DH60" t="str">
        <f t="array" ref="DH60">IF(ISERROR(INDEX($A$3:$B$14312,SMALL(IF($A$3:$A$14312=DH$3,ROW($A$3:$A$14312)),ROW(58:58)),2)),"",INDEX($A$3:$B$14312,SMALL(IF($A$3:$A$14312=DH$3,ROW($A$3:$A$14312)),ROW(58:58)),2))</f>
        <v/>
      </c>
      <c r="DI60" t="str">
        <f t="array" ref="DI60">IF(ISERROR(INDEX($A$3:$B$14312,SMALL(IF($A$3:$A$14312=DI$3,ROW($A$3:$A$14312)),ROW(58:58)),2)),"",INDEX($A$3:$B$14312,SMALL(IF($A$3:$A$14312=DI$3,ROW($A$3:$A$14312)),ROW(58:58)),2))</f>
        <v>Router3_77</v>
      </c>
      <c r="DJ60" t="str">
        <f t="array" ref="DJ60">IF(ISERROR(INDEX($A$3:$B$14312,SMALL(IF($A$3:$A$14312=DJ$3,ROW($A$3:$A$14312)),ROW(58:58)),2)),"",INDEX($A$3:$B$14312,SMALL(IF($A$3:$A$14312=DJ$3,ROW($A$3:$A$14312)),ROW(58:58)),2))</f>
        <v/>
      </c>
      <c r="DK60" t="str">
        <f t="array" ref="DK60">IF(ISERROR(INDEX($A$3:$B$14312,SMALL(IF($A$3:$A$14312=DK$3,ROW($A$3:$A$14312)),ROW(58:58)),2)),"",INDEX($A$3:$B$14312,SMALL(IF($A$3:$A$14312=DK$3,ROW($A$3:$A$14312)),ROW(58:58)),2))</f>
        <v/>
      </c>
      <c r="DL60" t="str">
        <f t="array" ref="DL60">IF(ISERROR(INDEX($A$3:$B$14312,SMALL(IF($A$3:$A$14312=DL$3,ROW($A$3:$A$14312)),ROW(58:58)),2)),"",INDEX($A$3:$B$14312,SMALL(IF($A$3:$A$14312=DL$3,ROW($A$3:$A$14312)),ROW(58:58)),2))</f>
        <v/>
      </c>
      <c r="DM60" t="str">
        <f t="array" ref="DM60">IF(ISERROR(INDEX($A$3:$B$14312,SMALL(IF($A$3:$A$14312=DM$3,ROW($A$3:$A$14312)),ROW(58:58)),2)),"",INDEX($A$3:$B$14312,SMALL(IF($A$3:$A$14312=DM$3,ROW($A$3:$A$14312)),ROW(58:58)),2))</f>
        <v/>
      </c>
      <c r="DN60" t="str">
        <f t="array" ref="DN60">IF(ISERROR(INDEX($A$3:$B$14312,SMALL(IF($A$3:$A$14312=DN$3,ROW($A$3:$A$14312)),ROW(58:58)),2)),"",INDEX($A$3:$B$14312,SMALL(IF($A$3:$A$14312=DN$3,ROW($A$3:$A$14312)),ROW(58:58)),2))</f>
        <v/>
      </c>
      <c r="DO60" t="str">
        <f t="array" ref="DO60">IF(ISERROR(INDEX($A$3:$B$14312,SMALL(IF($A$3:$A$14312=DO$3,ROW($A$3:$A$14312)),ROW(58:58)),2)),"",INDEX($A$3:$B$14312,SMALL(IF($A$3:$A$14312=DO$3,ROW($A$3:$A$14312)),ROW(58:58)),2))</f>
        <v/>
      </c>
      <c r="DP60" t="str">
        <f t="array" ref="DP60">IF(ISERROR(INDEX($A$3:$B$14312,SMALL(IF($A$3:$A$14312=DP$3,ROW($A$3:$A$14312)),ROW(58:58)),2)),"",INDEX($A$3:$B$14312,SMALL(IF($A$3:$A$14312=DP$3,ROW($A$3:$A$14312)),ROW(58:58)),2))</f>
        <v/>
      </c>
      <c r="DQ60" t="str">
        <f t="array" ref="DQ60">IF(ISERROR(INDEX($A$3:$B$14312,SMALL(IF($A$3:$A$14312=DQ$3,ROW($A$3:$A$14312)),ROW(58:58)),2)),"",INDEX($A$3:$B$14312,SMALL(IF($A$3:$A$14312=DQ$3,ROW($A$3:$A$14312)),ROW(58:58)),2))</f>
        <v/>
      </c>
      <c r="DR60" t="str">
        <f t="array" ref="DR60">IF(ISERROR(INDEX($A$3:$B$14312,SMALL(IF($A$3:$A$14312=DR$3,ROW($A$3:$A$14312)),ROW(58:58)),2)),"",INDEX($A$3:$B$14312,SMALL(IF($A$3:$A$14312=DR$3,ROW($A$3:$A$14312)),ROW(58:58)),2))</f>
        <v/>
      </c>
      <c r="DS60" t="str">
        <f t="array" ref="DS60">IF(ISERROR(INDEX($A$3:$B$14312,SMALL(IF($A$3:$A$14312=DS$3,ROW($A$3:$A$14312)),ROW(58:58)),2)),"",INDEX($A$3:$B$14312,SMALL(IF($A$3:$A$14312=DS$3,ROW($A$3:$A$14312)),ROW(58:58)),2))</f>
        <v/>
      </c>
      <c r="DT60" t="str">
        <f t="array" ref="DT60">IF(ISERROR(INDEX($A$3:$B$14312,SMALL(IF($A$3:$A$14312=DT$3,ROW($A$3:$A$14312)),ROW(58:58)),2)),"",INDEX($A$3:$B$14312,SMALL(IF($A$3:$A$14312=DT$3,ROW($A$3:$A$14312)),ROW(58:58)),2))</f>
        <v>Router3_65</v>
      </c>
      <c r="DU60" t="str">
        <f t="array" ref="DU60">IF(ISERROR(INDEX($A$3:$B$14312,SMALL(IF($A$3:$A$14312=DU$3,ROW($A$3:$A$14312)),ROW(58:58)),2)),"",INDEX($A$3:$B$14312,SMALL(IF($A$3:$A$14312=DU$3,ROW($A$3:$A$14312)),ROW(58:58)),2))</f>
        <v/>
      </c>
      <c r="DV60" t="str">
        <f t="array" ref="DV60">IF(ISERROR(INDEX($A$3:$B$14312,SMALL(IF($A$3:$A$14312=DV$3,ROW($A$3:$A$14312)),ROW(58:58)),2)),"",INDEX($A$3:$B$14312,SMALL(IF($A$3:$A$14312=DV$3,ROW($A$3:$A$14312)),ROW(58:58)),2))</f>
        <v/>
      </c>
      <c r="DW60" t="str">
        <f t="array" ref="DW60">IF(ISERROR(INDEX($A$3:$B$14312,SMALL(IF($A$3:$A$14312=DW$3,ROW($A$3:$A$14312)),ROW(58:58)),2)),"",INDEX($A$3:$B$14312,SMALL(IF($A$3:$A$14312=DW$3,ROW($A$3:$A$14312)),ROW(58:58)),2))</f>
        <v/>
      </c>
      <c r="DX60" t="str">
        <f t="array" ref="DX60">IF(ISERROR(INDEX($A$3:$B$14312,SMALL(IF($A$3:$A$14312=DX$3,ROW($A$3:$A$14312)),ROW(58:58)),2)),"",INDEX($A$3:$B$14312,SMALL(IF($A$3:$A$14312=DX$3,ROW($A$3:$A$14312)),ROW(58:58)),2))</f>
        <v/>
      </c>
      <c r="DY60" t="str">
        <f t="array" ref="DY60">IF(ISERROR(INDEX($A$3:$B$14312,SMALL(IF($A$3:$A$14312=DY$3,ROW($A$3:$A$14312)),ROW(58:58)),2)),"",INDEX($A$3:$B$14312,SMALL(IF($A$3:$A$14312=DY$3,ROW($A$3:$A$14312)),ROW(58:58)),2))</f>
        <v/>
      </c>
      <c r="DZ60" t="str">
        <f t="array" ref="DZ60">IF(ISERROR(INDEX($A$3:$B$14312,SMALL(IF($A$3:$A$14312=DZ$3,ROW($A$3:$A$14312)),ROW(58:58)),2)),"",INDEX($A$3:$B$14312,SMALL(IF($A$3:$A$14312=DZ$3,ROW($A$3:$A$14312)),ROW(58:58)),2))</f>
        <v/>
      </c>
      <c r="EA60" t="str">
        <f t="array" ref="EA60">IF(ISERROR(INDEX($A$3:$B$14312,SMALL(IF($A$3:$A$14312=EA$3,ROW($A$3:$A$14312)),ROW(58:58)),2)),"",INDEX($A$3:$B$14312,SMALL(IF($A$3:$A$14312=EA$3,ROW($A$3:$A$14312)),ROW(58:58)),2))</f>
        <v/>
      </c>
      <c r="EB60" t="str">
        <f t="array" ref="EB60">IF(ISERROR(INDEX($A$3:$B$14312,SMALL(IF($A$3:$A$14312=EB$3,ROW($A$3:$A$14312)),ROW(58:58)),2)),"",INDEX($A$3:$B$14312,SMALL(IF($A$3:$A$14312=EB$3,ROW($A$3:$A$14312)),ROW(58:58)),2))</f>
        <v/>
      </c>
      <c r="EC60" t="str">
        <f t="array" ref="EC60">IF(ISERROR(INDEX($A$3:$B$14312,SMALL(IF($A$3:$A$14312=EC$3,ROW($A$3:$A$14312)),ROW(58:58)),2)),"",INDEX($A$3:$B$14312,SMALL(IF($A$3:$A$14312=EC$3,ROW($A$3:$A$14312)),ROW(58:58)),2))</f>
        <v/>
      </c>
      <c r="ED60" t="str">
        <f t="array" ref="ED60">IF(ISERROR(INDEX($A$3:$B$14312,SMALL(IF($A$3:$A$14312=ED$3,ROW($A$3:$A$14312)),ROW(58:58)),2)),"",INDEX($A$3:$B$14312,SMALL(IF($A$3:$A$14312=ED$3,ROW($A$3:$A$14312)),ROW(58:58)),2))</f>
        <v/>
      </c>
      <c r="EE60" t="str">
        <f t="array" ref="EE60">IF(ISERROR(INDEX($A$3:$B$14312,SMALL(IF($A$3:$A$14312=EE$3,ROW($A$3:$A$14312)),ROW(58:58)),2)),"",INDEX($A$3:$B$14312,SMALL(IF($A$3:$A$14312=EE$3,ROW($A$3:$A$14312)),ROW(58:58)),2))</f>
        <v/>
      </c>
    </row>
    <row r="61" spans="1:135" x14ac:dyDescent="0.25">
      <c r="A61" s="10">
        <v>-424987520</v>
      </c>
      <c r="B61" t="s">
        <v>1158</v>
      </c>
      <c r="E61" t="str">
        <f t="array" ref="E61">IF(ISERROR(INDEX($A$3:$B$14312,SMALL(IF($A$3:$A$14312=E$3,ROW($A$3:$A$14312)),ROW(59:59)),2)),"",INDEX($A$3:$B$14312,SMALL(IF($A$3:$A$14312=E$3,ROW($A$3:$A$14312)),ROW(59:59)),2))</f>
        <v/>
      </c>
      <c r="F61" t="str">
        <f t="array" ref="F61">IF(ISERROR(INDEX($A$3:$B$14312,SMALL(IF($A$3:$A$14312=F$3,ROW($A$3:$A$14312)),ROW(59:59)),2)),"",INDEX($A$3:$B$14312,SMALL(IF($A$3:$A$14312=F$3,ROW($A$3:$A$14312)),ROW(59:59)),2))</f>
        <v/>
      </c>
      <c r="G61" t="str">
        <f t="array" ref="G61">IF(ISERROR(INDEX($A$3:$B$14312,SMALL(IF($A$3:$A$14312=G$3,ROW($A$3:$A$14312)),ROW(59:59)),2)),"",INDEX($A$3:$B$14312,SMALL(IF($A$3:$A$14312=G$3,ROW($A$3:$A$14312)),ROW(59:59)),2))</f>
        <v/>
      </c>
      <c r="H61" t="str">
        <f t="array" ref="H61">IF(ISERROR(INDEX($A$3:$B$14312,SMALL(IF($A$3:$A$14312=H$3,ROW($A$3:$A$14312)),ROW(59:59)),2)),"",INDEX($A$3:$B$14312,SMALL(IF($A$3:$A$14312=H$3,ROW($A$3:$A$14312)),ROW(59:59)),2))</f>
        <v/>
      </c>
      <c r="I61" t="str">
        <f t="array" ref="I61">IF(ISERROR(INDEX($A$3:$B$14312,SMALL(IF($A$3:$A$14312=I$3,ROW($A$3:$A$14312)),ROW(59:59)),2)),"",INDEX($A$3:$B$14312,SMALL(IF($A$3:$A$14312=I$3,ROW($A$3:$A$14312)),ROW(59:59)),2))</f>
        <v/>
      </c>
      <c r="J61" t="str">
        <f t="array" ref="J61">IF(ISERROR(INDEX($A$3:$B$14312,SMALL(IF($A$3:$A$14312=J$3,ROW($A$3:$A$14312)),ROW(59:59)),2)),"",INDEX($A$3:$B$14312,SMALL(IF($A$3:$A$14312=J$3,ROW($A$3:$A$14312)),ROW(59:59)),2))</f>
        <v/>
      </c>
      <c r="K61" t="str">
        <f t="array" ref="K61">IF(ISERROR(INDEX($A$3:$B$14312,SMALL(IF($A$3:$A$14312=K$3,ROW($A$3:$A$14312)),ROW(59:59)),2)),"",INDEX($A$3:$B$14312,SMALL(IF($A$3:$A$14312=K$3,ROW($A$3:$A$14312)),ROW(59:59)),2))</f>
        <v/>
      </c>
      <c r="L61" t="str">
        <f t="array" ref="L61">IF(ISERROR(INDEX($A$3:$B$14312,SMALL(IF($A$3:$A$14312=L$3,ROW($A$3:$A$14312)),ROW(59:59)),2)),"",INDEX($A$3:$B$14312,SMALL(IF($A$3:$A$14312=L$3,ROW($A$3:$A$14312)),ROW(59:59)),2))</f>
        <v/>
      </c>
      <c r="M61" t="str">
        <f t="array" ref="M61">IF(ISERROR(INDEX($A$3:$B$14312,SMALL(IF($A$3:$A$14312=M$3,ROW($A$3:$A$14312)),ROW(59:59)),2)),"",INDEX($A$3:$B$14312,SMALL(IF($A$3:$A$14312=M$3,ROW($A$3:$A$14312)),ROW(59:59)),2))</f>
        <v/>
      </c>
      <c r="N61" t="str">
        <f t="array" ref="N61">IF(ISERROR(INDEX($A$3:$B$14312,SMALL(IF($A$3:$A$14312=N$3,ROW($A$3:$A$14312)),ROW(59:59)),2)),"",INDEX($A$3:$B$14312,SMALL(IF($A$3:$A$14312=N$3,ROW($A$3:$A$14312)),ROW(59:59)),2))</f>
        <v/>
      </c>
      <c r="O61" t="str">
        <f t="array" ref="O61">IF(ISERROR(INDEX($A$3:$B$14312,SMALL(IF($A$3:$A$14312=O$3,ROW($A$3:$A$14312)),ROW(59:59)),2)),"",INDEX($A$3:$B$14312,SMALL(IF($A$3:$A$14312=O$3,ROW($A$3:$A$14312)),ROW(59:59)),2))</f>
        <v/>
      </c>
      <c r="P61" t="str">
        <f t="array" ref="P61">IF(ISERROR(INDEX($A$3:$B$14312,SMALL(IF($A$3:$A$14312=P$3,ROW($A$3:$A$14312)),ROW(59:59)),2)),"",INDEX($A$3:$B$14312,SMALL(IF($A$3:$A$14312=P$3,ROW($A$3:$A$14312)),ROW(59:59)),2))</f>
        <v/>
      </c>
      <c r="Q61" t="str">
        <f t="array" ref="Q61">IF(ISERROR(INDEX($A$3:$B$14312,SMALL(IF($A$3:$A$14312=Q$3,ROW($A$3:$A$14312)),ROW(59:59)),2)),"",INDEX($A$3:$B$14312,SMALL(IF($A$3:$A$14312=Q$3,ROW($A$3:$A$14312)),ROW(59:59)),2))</f>
        <v/>
      </c>
      <c r="R61" t="str">
        <f t="array" ref="R61">IF(ISERROR(INDEX($A$3:$B$14312,SMALL(IF($A$3:$A$14312=R$3,ROW($A$3:$A$14312)),ROW(59:59)),2)),"",INDEX($A$3:$B$14312,SMALL(IF($A$3:$A$14312=R$3,ROW($A$3:$A$14312)),ROW(59:59)),2))</f>
        <v/>
      </c>
      <c r="S61" t="str">
        <f t="array" ref="S61">IF(ISERROR(INDEX($A$3:$B$14312,SMALL(IF($A$3:$A$14312=S$3,ROW($A$3:$A$14312)),ROW(59:59)),2)),"",INDEX($A$3:$B$14312,SMALL(IF($A$3:$A$14312=S$3,ROW($A$3:$A$14312)),ROW(59:59)),2))</f>
        <v/>
      </c>
      <c r="T61" t="str">
        <f t="array" ref="T61">IF(ISERROR(INDEX($A$3:$B$14312,SMALL(IF($A$3:$A$14312=T$3,ROW($A$3:$A$14312)),ROW(59:59)),2)),"",INDEX($A$3:$B$14312,SMALL(IF($A$3:$A$14312=T$3,ROW($A$3:$A$14312)),ROW(59:59)),2))</f>
        <v/>
      </c>
      <c r="U61" t="str">
        <f t="array" ref="U61">IF(ISERROR(INDEX($A$3:$B$14312,SMALL(IF($A$3:$A$14312=U$3,ROW($A$3:$A$14312)),ROW(59:59)),2)),"",INDEX($A$3:$B$14312,SMALL(IF($A$3:$A$14312=U$3,ROW($A$3:$A$14312)),ROW(59:59)),2))</f>
        <v/>
      </c>
      <c r="V61" t="str">
        <f t="array" ref="V61">IF(ISERROR(INDEX($A$3:$B$14312,SMALL(IF($A$3:$A$14312=V$3,ROW($A$3:$A$14312)),ROW(59:59)),2)),"",INDEX($A$3:$B$14312,SMALL(IF($A$3:$A$14312=V$3,ROW($A$3:$A$14312)),ROW(59:59)),2))</f>
        <v/>
      </c>
      <c r="W61" t="str">
        <f t="array" ref="W61">IF(ISERROR(INDEX($A$3:$B$14312,SMALL(IF($A$3:$A$14312=W$3,ROW($A$3:$A$14312)),ROW(59:59)),2)),"",INDEX($A$3:$B$14312,SMALL(IF($A$3:$A$14312=W$3,ROW($A$3:$A$14312)),ROW(59:59)),2))</f>
        <v/>
      </c>
      <c r="X61" t="str">
        <f t="array" ref="X61">IF(ISERROR(INDEX($A$3:$B$14312,SMALL(IF($A$3:$A$14312=X$3,ROW($A$3:$A$14312)),ROW(59:59)),2)),"",INDEX($A$3:$B$14312,SMALL(IF($A$3:$A$14312=X$3,ROW($A$3:$A$14312)),ROW(59:59)),2))</f>
        <v/>
      </c>
      <c r="Y61" t="str">
        <f t="array" ref="Y61">IF(ISERROR(INDEX($A$3:$B$14312,SMALL(IF($A$3:$A$14312=Y$3,ROW($A$3:$A$14312)),ROW(59:59)),2)),"",INDEX($A$3:$B$14312,SMALL(IF($A$3:$A$14312=Y$3,ROW($A$3:$A$14312)),ROW(59:59)),2))</f>
        <v/>
      </c>
      <c r="Z61" t="str">
        <f t="array" ref="Z61">IF(ISERROR(INDEX($A$3:$B$14312,SMALL(IF($A$3:$A$14312=Z$3,ROW($A$3:$A$14312)),ROW(59:59)),2)),"",INDEX($A$3:$B$14312,SMALL(IF($A$3:$A$14312=Z$3,ROW($A$3:$A$14312)),ROW(59:59)),2))</f>
        <v/>
      </c>
      <c r="AA61" t="str">
        <f t="array" ref="AA61">IF(ISERROR(INDEX($A$3:$B$14312,SMALL(IF($A$3:$A$14312=AA$3,ROW($A$3:$A$14312)),ROW(59:59)),2)),"",INDEX($A$3:$B$14312,SMALL(IF($A$3:$A$14312=AA$3,ROW($A$3:$A$14312)),ROW(59:59)),2))</f>
        <v/>
      </c>
      <c r="AB61" t="str">
        <f t="array" ref="AB61">IF(ISERROR(INDEX($A$3:$B$14312,SMALL(IF($A$3:$A$14312=AB$3,ROW($A$3:$A$14312)),ROW(59:59)),2)),"",INDEX($A$3:$B$14312,SMALL(IF($A$3:$A$14312=AB$3,ROW($A$3:$A$14312)),ROW(59:59)),2))</f>
        <v/>
      </c>
      <c r="AC61" t="str">
        <f t="array" ref="AC61">IF(ISERROR(INDEX($A$3:$B$14312,SMALL(IF($A$3:$A$14312=AC$3,ROW($A$3:$A$14312)),ROW(59:59)),2)),"",INDEX($A$3:$B$14312,SMALL(IF($A$3:$A$14312=AC$3,ROW($A$3:$A$14312)),ROW(59:59)),2))</f>
        <v/>
      </c>
      <c r="AD61" t="str">
        <f t="array" ref="AD61">IF(ISERROR(INDEX($A$3:$B$14312,SMALL(IF($A$3:$A$14312=AD$3,ROW($A$3:$A$14312)),ROW(59:59)),2)),"",INDEX($A$3:$B$14312,SMALL(IF($A$3:$A$14312=AD$3,ROW($A$3:$A$14312)),ROW(59:59)),2))</f>
        <v/>
      </c>
      <c r="AE61" t="str">
        <f t="array" ref="AE61">IF(ISERROR(INDEX($A$3:$B$14312,SMALL(IF($A$3:$A$14312=AE$3,ROW($A$3:$A$14312)),ROW(59:59)),2)),"",INDEX($A$3:$B$14312,SMALL(IF($A$3:$A$14312=AE$3,ROW($A$3:$A$14312)),ROW(59:59)),2))</f>
        <v/>
      </c>
      <c r="AF61" t="str">
        <f t="array" ref="AF61">IF(ISERROR(INDEX($A$3:$B$14312,SMALL(IF($A$3:$A$14312=AF$3,ROW($A$3:$A$14312)),ROW(59:59)),2)),"",INDEX($A$3:$B$14312,SMALL(IF($A$3:$A$14312=AF$3,ROW($A$3:$A$14312)),ROW(59:59)),2))</f>
        <v/>
      </c>
      <c r="AG61" t="str">
        <f t="array" ref="AG61">IF(ISERROR(INDEX($A$3:$B$14312,SMALL(IF($A$3:$A$14312=AG$3,ROW($A$3:$A$14312)),ROW(59:59)),2)),"",INDEX($A$3:$B$14312,SMALL(IF($A$3:$A$14312=AG$3,ROW($A$3:$A$14312)),ROW(59:59)),2))</f>
        <v/>
      </c>
      <c r="AH61" t="str">
        <f t="array" ref="AH61">IF(ISERROR(INDEX($A$3:$B$14312,SMALL(IF($A$3:$A$14312=AH$3,ROW($A$3:$A$14312)),ROW(59:59)),2)),"",INDEX($A$3:$B$14312,SMALL(IF($A$3:$A$14312=AH$3,ROW($A$3:$A$14312)),ROW(59:59)),2))</f>
        <v/>
      </c>
      <c r="AI61" t="str">
        <f t="array" ref="AI61">IF(ISERROR(INDEX($A$3:$B$14312,SMALL(IF($A$3:$A$14312=AI$3,ROW($A$3:$A$14312)),ROW(59:59)),2)),"",INDEX($A$3:$B$14312,SMALL(IF($A$3:$A$14312=AI$3,ROW($A$3:$A$14312)),ROW(59:59)),2))</f>
        <v/>
      </c>
      <c r="AJ61" t="str">
        <f t="array" ref="AJ61">IF(ISERROR(INDEX($A$3:$B$14312,SMALL(IF($A$3:$A$14312=AJ$3,ROW($A$3:$A$14312)),ROW(59:59)),2)),"",INDEX($A$3:$B$14312,SMALL(IF($A$3:$A$14312=AJ$3,ROW($A$3:$A$14312)),ROW(59:59)),2))</f>
        <v/>
      </c>
      <c r="AK61" t="str">
        <f t="array" ref="AK61">IF(ISERROR(INDEX($A$3:$B$14312,SMALL(IF($A$3:$A$14312=AK$3,ROW($A$3:$A$14312)),ROW(59:59)),2)),"",INDEX($A$3:$B$14312,SMALL(IF($A$3:$A$14312=AK$3,ROW($A$3:$A$14312)),ROW(59:59)),2))</f>
        <v/>
      </c>
      <c r="AL61" t="str">
        <f t="array" ref="AL61">IF(ISERROR(INDEX($A$3:$B$14312,SMALL(IF($A$3:$A$14312=AL$3,ROW($A$3:$A$14312)),ROW(59:59)),2)),"",INDEX($A$3:$B$14312,SMALL(IF($A$3:$A$14312=AL$3,ROW($A$3:$A$14312)),ROW(59:59)),2))</f>
        <v/>
      </c>
      <c r="AM61" t="str">
        <f t="array" ref="AM61">IF(ISERROR(INDEX($A$3:$B$14312,SMALL(IF($A$3:$A$14312=AM$3,ROW($A$3:$A$14312)),ROW(59:59)),2)),"",INDEX($A$3:$B$14312,SMALL(IF($A$3:$A$14312=AM$3,ROW($A$3:$A$14312)),ROW(59:59)),2))</f>
        <v/>
      </c>
      <c r="AN61" t="str">
        <f t="array" ref="AN61">IF(ISERROR(INDEX($A$3:$B$14312,SMALL(IF($A$3:$A$14312=AN$3,ROW($A$3:$A$14312)),ROW(59:59)),2)),"",INDEX($A$3:$B$14312,SMALL(IF($A$3:$A$14312=AN$3,ROW($A$3:$A$14312)),ROW(59:59)),2))</f>
        <v/>
      </c>
      <c r="AO61" t="str">
        <f t="array" ref="AO61">IF(ISERROR(INDEX($A$3:$B$14312,SMALL(IF($A$3:$A$14312=AO$3,ROW($A$3:$A$14312)),ROW(59:59)),2)),"",INDEX($A$3:$B$14312,SMALL(IF($A$3:$A$14312=AO$3,ROW($A$3:$A$14312)),ROW(59:59)),2))</f>
        <v/>
      </c>
      <c r="AP61" t="str">
        <f t="array" ref="AP61">IF(ISERROR(INDEX($A$3:$B$14312,SMALL(IF($A$3:$A$14312=AP$3,ROW($A$3:$A$14312)),ROW(59:59)),2)),"",INDEX($A$3:$B$14312,SMALL(IF($A$3:$A$14312=AP$3,ROW($A$3:$A$14312)),ROW(59:59)),2))</f>
        <v/>
      </c>
      <c r="AQ61" t="str">
        <f t="array" ref="AQ61">IF(ISERROR(INDEX($A$3:$B$14312,SMALL(IF($A$3:$A$14312=AQ$3,ROW($A$3:$A$14312)),ROW(59:59)),2)),"",INDEX($A$3:$B$14312,SMALL(IF($A$3:$A$14312=AQ$3,ROW($A$3:$A$14312)),ROW(59:59)),2))</f>
        <v/>
      </c>
      <c r="AR61" t="str">
        <f t="array" ref="AR61">IF(ISERROR(INDEX($A$3:$B$14312,SMALL(IF($A$3:$A$14312=AR$3,ROW($A$3:$A$14312)),ROW(59:59)),2)),"",INDEX($A$3:$B$14312,SMALL(IF($A$3:$A$14312=AR$3,ROW($A$3:$A$14312)),ROW(59:59)),2))</f>
        <v/>
      </c>
      <c r="AS61" t="str">
        <f t="array" ref="AS61">IF(ISERROR(INDEX($A$3:$B$14312,SMALL(IF($A$3:$A$14312=AS$3,ROW($A$3:$A$14312)),ROW(59:59)),2)),"",INDEX($A$3:$B$14312,SMALL(IF($A$3:$A$14312=AS$3,ROW($A$3:$A$14312)),ROW(59:59)),2))</f>
        <v/>
      </c>
      <c r="AT61" t="str">
        <f t="array" ref="AT61">IF(ISERROR(INDEX($A$3:$B$14312,SMALL(IF($A$3:$A$14312=AT$3,ROW($A$3:$A$14312)),ROW(59:59)),2)),"",INDEX($A$3:$B$14312,SMALL(IF($A$3:$A$14312=AT$3,ROW($A$3:$A$14312)),ROW(59:59)),2))</f>
        <v/>
      </c>
      <c r="AU61" t="str">
        <f t="array" ref="AU61">IF(ISERROR(INDEX($A$3:$B$14312,SMALL(IF($A$3:$A$14312=AU$3,ROW($A$3:$A$14312)),ROW(59:59)),2)),"",INDEX($A$3:$B$14312,SMALL(IF($A$3:$A$14312=AU$3,ROW($A$3:$A$14312)),ROW(59:59)),2))</f>
        <v/>
      </c>
      <c r="AV61" t="str">
        <f t="array" ref="AV61">IF(ISERROR(INDEX($A$3:$B$14312,SMALL(IF($A$3:$A$14312=AV$3,ROW($A$3:$A$14312)),ROW(59:59)),2)),"",INDEX($A$3:$B$14312,SMALL(IF($A$3:$A$14312=AV$3,ROW($A$3:$A$14312)),ROW(59:59)),2))</f>
        <v/>
      </c>
      <c r="AW61" t="str">
        <f t="array" ref="AW61">IF(ISERROR(INDEX($A$3:$B$14312,SMALL(IF($A$3:$A$14312=AW$3,ROW($A$3:$A$14312)),ROW(59:59)),2)),"",INDEX($A$3:$B$14312,SMALL(IF($A$3:$A$14312=AW$3,ROW($A$3:$A$14312)),ROW(59:59)),2))</f>
        <v/>
      </c>
      <c r="AX61" t="str">
        <f t="array" ref="AX61">IF(ISERROR(INDEX($A$3:$B$14312,SMALL(IF($A$3:$A$14312=AX$3,ROW($A$3:$A$14312)),ROW(59:59)),2)),"",INDEX($A$3:$B$14312,SMALL(IF($A$3:$A$14312=AX$3,ROW($A$3:$A$14312)),ROW(59:59)),2))</f>
        <v/>
      </c>
      <c r="AY61" t="str">
        <f t="array" ref="AY61">IF(ISERROR(INDEX($A$3:$B$14312,SMALL(IF($A$3:$A$14312=AY$3,ROW($A$3:$A$14312)),ROW(59:59)),2)),"",INDEX($A$3:$B$14312,SMALL(IF($A$3:$A$14312=AY$3,ROW($A$3:$A$14312)),ROW(59:59)),2))</f>
        <v/>
      </c>
      <c r="AZ61" t="str">
        <f t="array" ref="AZ61">IF(ISERROR(INDEX($A$3:$B$14312,SMALL(IF($A$3:$A$14312=AZ$3,ROW($A$3:$A$14312)),ROW(59:59)),2)),"",INDEX($A$3:$B$14312,SMALL(IF($A$3:$A$14312=AZ$3,ROW($A$3:$A$14312)),ROW(59:59)),2))</f>
        <v/>
      </c>
      <c r="BA61" t="str">
        <f t="array" ref="BA61">IF(ISERROR(INDEX($A$3:$B$14312,SMALL(IF($A$3:$A$14312=BA$3,ROW($A$3:$A$14312)),ROW(59:59)),2)),"",INDEX($A$3:$B$14312,SMALL(IF($A$3:$A$14312=BA$3,ROW($A$3:$A$14312)),ROW(59:59)),2))</f>
        <v/>
      </c>
      <c r="BB61" t="str">
        <f t="array" ref="BB61">IF(ISERROR(INDEX($A$3:$B$14312,SMALL(IF($A$3:$A$14312=BB$3,ROW($A$3:$A$14312)),ROW(59:59)),2)),"",INDEX($A$3:$B$14312,SMALL(IF($A$3:$A$14312=BB$3,ROW($A$3:$A$14312)),ROW(59:59)),2))</f>
        <v/>
      </c>
      <c r="BC61" t="str">
        <f t="array" ref="BC61">IF(ISERROR(INDEX($A$3:$B$14312,SMALL(IF($A$3:$A$14312=BC$3,ROW($A$3:$A$14312)),ROW(59:59)),2)),"",INDEX($A$3:$B$14312,SMALL(IF($A$3:$A$14312=BC$3,ROW($A$3:$A$14312)),ROW(59:59)),2))</f>
        <v/>
      </c>
      <c r="BD61" t="str">
        <f t="array" ref="BD61">IF(ISERROR(INDEX($A$3:$B$14312,SMALL(IF($A$3:$A$14312=BD$3,ROW($A$3:$A$14312)),ROW(59:59)),2)),"",INDEX($A$3:$B$14312,SMALL(IF($A$3:$A$14312=BD$3,ROW($A$3:$A$14312)),ROW(59:59)),2))</f>
        <v/>
      </c>
      <c r="BE61" t="str">
        <f t="array" ref="BE61">IF(ISERROR(INDEX($A$3:$B$14312,SMALL(IF($A$3:$A$14312=BE$3,ROW($A$3:$A$14312)),ROW(59:59)),2)),"",INDEX($A$3:$B$14312,SMALL(IF($A$3:$A$14312=BE$3,ROW($A$3:$A$14312)),ROW(59:59)),2))</f>
        <v/>
      </c>
      <c r="BF61" t="str">
        <f t="array" ref="BF61">IF(ISERROR(INDEX($A$3:$B$14312,SMALL(IF($A$3:$A$14312=BF$3,ROW($A$3:$A$14312)),ROW(59:59)),2)),"",INDEX($A$3:$B$14312,SMALL(IF($A$3:$A$14312=BF$3,ROW($A$3:$A$14312)),ROW(59:59)),2))</f>
        <v/>
      </c>
      <c r="BG61" t="str">
        <f t="array" ref="BG61">IF(ISERROR(INDEX($A$3:$B$14312,SMALL(IF($A$3:$A$14312=BG$3,ROW($A$3:$A$14312)),ROW(59:59)),2)),"",INDEX($A$3:$B$14312,SMALL(IF($A$3:$A$14312=BG$3,ROW($A$3:$A$14312)),ROW(59:59)),2))</f>
        <v/>
      </c>
      <c r="BH61" t="str">
        <f t="array" ref="BH61">IF(ISERROR(INDEX($A$3:$B$14312,SMALL(IF($A$3:$A$14312=BH$3,ROW($A$3:$A$14312)),ROW(59:59)),2)),"",INDEX($A$3:$B$14312,SMALL(IF($A$3:$A$14312=BH$3,ROW($A$3:$A$14312)),ROW(59:59)),2))</f>
        <v/>
      </c>
      <c r="BI61" t="str">
        <f t="array" ref="BI61">IF(ISERROR(INDEX($A$3:$B$14312,SMALL(IF($A$3:$A$14312=BI$3,ROW($A$3:$A$14312)),ROW(59:59)),2)),"",INDEX($A$3:$B$14312,SMALL(IF($A$3:$A$14312=BI$3,ROW($A$3:$A$14312)),ROW(59:59)),2))</f>
        <v/>
      </c>
      <c r="BJ61" t="str">
        <f t="array" ref="BJ61">IF(ISERROR(INDEX($A$3:$B$14312,SMALL(IF($A$3:$A$14312=BJ$3,ROW($A$3:$A$14312)),ROW(59:59)),2)),"",INDEX($A$3:$B$14312,SMALL(IF($A$3:$A$14312=BJ$3,ROW($A$3:$A$14312)),ROW(59:59)),2))</f>
        <v/>
      </c>
      <c r="BK61" t="str">
        <f t="array" ref="BK61">IF(ISERROR(INDEX($A$3:$B$14312,SMALL(IF($A$3:$A$14312=BK$3,ROW($A$3:$A$14312)),ROW(59:59)),2)),"",INDEX($A$3:$B$14312,SMALL(IF($A$3:$A$14312=BK$3,ROW($A$3:$A$14312)),ROW(59:59)),2))</f>
        <v/>
      </c>
      <c r="BL61" t="str">
        <f t="array" ref="BL61">IF(ISERROR(INDEX($A$3:$B$14312,SMALL(IF($A$3:$A$14312=BL$3,ROW($A$3:$A$14312)),ROW(59:59)),2)),"",INDEX($A$3:$B$14312,SMALL(IF($A$3:$A$14312=BL$3,ROW($A$3:$A$14312)),ROW(59:59)),2))</f>
        <v/>
      </c>
      <c r="BM61" t="str">
        <f t="array" ref="BM61">IF(ISERROR(INDEX($A$3:$B$14312,SMALL(IF($A$3:$A$14312=BM$3,ROW($A$3:$A$14312)),ROW(59:59)),2)),"",INDEX($A$3:$B$14312,SMALL(IF($A$3:$A$14312=BM$3,ROW($A$3:$A$14312)),ROW(59:59)),2))</f>
        <v/>
      </c>
      <c r="BN61" t="str">
        <f t="array" ref="BN61">IF(ISERROR(INDEX($A$3:$B$14312,SMALL(IF($A$3:$A$14312=BN$3,ROW($A$3:$A$14312)),ROW(59:59)),2)),"",INDEX($A$3:$B$14312,SMALL(IF($A$3:$A$14312=BN$3,ROW($A$3:$A$14312)),ROW(59:59)),2))</f>
        <v/>
      </c>
      <c r="BO61" t="str">
        <f t="array" ref="BO61">IF(ISERROR(INDEX($A$3:$B$14312,SMALL(IF($A$3:$A$14312=BO$3,ROW($A$3:$A$14312)),ROW(59:59)),2)),"",INDEX($A$3:$B$14312,SMALL(IF($A$3:$A$14312=BO$3,ROW($A$3:$A$14312)),ROW(59:59)),2))</f>
        <v/>
      </c>
      <c r="BP61" t="str">
        <f t="array" ref="BP61">IF(ISERROR(INDEX($A$3:$B$14312,SMALL(IF($A$3:$A$14312=BP$3,ROW($A$3:$A$14312)),ROW(59:59)),2)),"",INDEX($A$3:$B$14312,SMALL(IF($A$3:$A$14312=BP$3,ROW($A$3:$A$14312)),ROW(59:59)),2))</f>
        <v/>
      </c>
      <c r="BQ61" t="str">
        <f t="array" ref="BQ61">IF(ISERROR(INDEX($A$3:$B$14312,SMALL(IF($A$3:$A$14312=BQ$3,ROW($A$3:$A$14312)),ROW(59:59)),2)),"",INDEX($A$3:$B$14312,SMALL(IF($A$3:$A$14312=BQ$3,ROW($A$3:$A$14312)),ROW(59:59)),2))</f>
        <v/>
      </c>
      <c r="BR61" t="str">
        <f t="array" ref="BR61">IF(ISERROR(INDEX($A$3:$B$14312,SMALL(IF($A$3:$A$14312=BR$3,ROW($A$3:$A$14312)),ROW(59:59)),2)),"",INDEX($A$3:$B$14312,SMALL(IF($A$3:$A$14312=BR$3,ROW($A$3:$A$14312)),ROW(59:59)),2))</f>
        <v/>
      </c>
      <c r="BS61" t="str">
        <f t="array" ref="BS61">IF(ISERROR(INDEX($A$3:$B$14312,SMALL(IF($A$3:$A$14312=BS$3,ROW($A$3:$A$14312)),ROW(59:59)),2)),"",INDEX($A$3:$B$14312,SMALL(IF($A$3:$A$14312=BS$3,ROW($A$3:$A$14312)),ROW(59:59)),2))</f>
        <v/>
      </c>
      <c r="BT61" t="str">
        <f t="array" ref="BT61">IF(ISERROR(INDEX($A$3:$B$14312,SMALL(IF($A$3:$A$14312=BT$3,ROW($A$3:$A$14312)),ROW(59:59)),2)),"",INDEX($A$3:$B$14312,SMALL(IF($A$3:$A$14312=BT$3,ROW($A$3:$A$14312)),ROW(59:59)),2))</f>
        <v>Router3_160</v>
      </c>
      <c r="BU61" t="str">
        <f t="array" ref="BU61">IF(ISERROR(INDEX($A$3:$B$14312,SMALL(IF($A$3:$A$14312=BU$3,ROW($A$3:$A$14312)),ROW(59:59)),2)),"",INDEX($A$3:$B$14312,SMALL(IF($A$3:$A$14312=BU$3,ROW($A$3:$A$14312)),ROW(59:59)),2))</f>
        <v/>
      </c>
      <c r="BV61" t="str">
        <f t="array" ref="BV61">IF(ISERROR(INDEX($A$3:$B$14312,SMALL(IF($A$3:$A$14312=BV$3,ROW($A$3:$A$14312)),ROW(59:59)),2)),"",INDEX($A$3:$B$14312,SMALL(IF($A$3:$A$14312=BV$3,ROW($A$3:$A$14312)),ROW(59:59)),2))</f>
        <v/>
      </c>
      <c r="BW61" t="str">
        <f t="array" ref="BW61">IF(ISERROR(INDEX($A$3:$B$14312,SMALL(IF($A$3:$A$14312=BW$3,ROW($A$3:$A$14312)),ROW(59:59)),2)),"",INDEX($A$3:$B$14312,SMALL(IF($A$3:$A$14312=BW$3,ROW($A$3:$A$14312)),ROW(59:59)),2))</f>
        <v/>
      </c>
      <c r="BX61" t="str">
        <f t="array" ref="BX61">IF(ISERROR(INDEX($A$3:$B$14312,SMALL(IF($A$3:$A$14312=BX$3,ROW($A$3:$A$14312)),ROW(59:59)),2)),"",INDEX($A$3:$B$14312,SMALL(IF($A$3:$A$14312=BX$3,ROW($A$3:$A$14312)),ROW(59:59)),2))</f>
        <v/>
      </c>
      <c r="BY61" t="str">
        <f t="array" ref="BY61">IF(ISERROR(INDEX($A$3:$B$14312,SMALL(IF($A$3:$A$14312=BY$3,ROW($A$3:$A$14312)),ROW(59:59)),2)),"",INDEX($A$3:$B$14312,SMALL(IF($A$3:$A$14312=BY$3,ROW($A$3:$A$14312)),ROW(59:59)),2))</f>
        <v/>
      </c>
      <c r="BZ61" t="str">
        <f t="array" ref="BZ61">IF(ISERROR(INDEX($A$3:$B$14312,SMALL(IF($A$3:$A$14312=BZ$3,ROW($A$3:$A$14312)),ROW(59:59)),2)),"",INDEX($A$3:$B$14312,SMALL(IF($A$3:$A$14312=BZ$3,ROW($A$3:$A$14312)),ROW(59:59)),2))</f>
        <v/>
      </c>
      <c r="CA61" t="str">
        <f t="array" ref="CA61">IF(ISERROR(INDEX($A$3:$B$14312,SMALL(IF($A$3:$A$14312=CA$3,ROW($A$3:$A$14312)),ROW(59:59)),2)),"",INDEX($A$3:$B$14312,SMALL(IF($A$3:$A$14312=CA$3,ROW($A$3:$A$14312)),ROW(59:59)),2))</f>
        <v/>
      </c>
      <c r="CB61" t="str">
        <f t="array" ref="CB61">IF(ISERROR(INDEX($A$3:$B$14312,SMALL(IF($A$3:$A$14312=CB$3,ROW($A$3:$A$14312)),ROW(59:59)),2)),"",INDEX($A$3:$B$14312,SMALL(IF($A$3:$A$14312=CB$3,ROW($A$3:$A$14312)),ROW(59:59)),2))</f>
        <v/>
      </c>
      <c r="CC61" t="str">
        <f t="array" ref="CC61">IF(ISERROR(INDEX($A$3:$B$14312,SMALL(IF($A$3:$A$14312=CC$3,ROW($A$3:$A$14312)),ROW(59:59)),2)),"",INDEX($A$3:$B$14312,SMALL(IF($A$3:$A$14312=CC$3,ROW($A$3:$A$14312)),ROW(59:59)),2))</f>
        <v/>
      </c>
      <c r="CD61" t="str">
        <f t="array" ref="CD61">IF(ISERROR(INDEX($A$3:$B$14312,SMALL(IF($A$3:$A$14312=CD$3,ROW($A$3:$A$14312)),ROW(59:59)),2)),"",INDEX($A$3:$B$14312,SMALL(IF($A$3:$A$14312=CD$3,ROW($A$3:$A$14312)),ROW(59:59)),2))</f>
        <v/>
      </c>
      <c r="CE61" t="str">
        <f t="array" ref="CE61">IF(ISERROR(INDEX($A$3:$B$14312,SMALL(IF($A$3:$A$14312=CE$3,ROW($A$3:$A$14312)),ROW(59:59)),2)),"",INDEX($A$3:$B$14312,SMALL(IF($A$3:$A$14312=CE$3,ROW($A$3:$A$14312)),ROW(59:59)),2))</f>
        <v/>
      </c>
      <c r="CF61" t="str">
        <f t="array" ref="CF61">IF(ISERROR(INDEX($A$3:$B$14312,SMALL(IF($A$3:$A$14312=CF$3,ROW($A$3:$A$14312)),ROW(59:59)),2)),"",INDEX($A$3:$B$14312,SMALL(IF($A$3:$A$14312=CF$3,ROW($A$3:$A$14312)),ROW(59:59)),2))</f>
        <v/>
      </c>
      <c r="CG61" t="str">
        <f t="array" ref="CG61">IF(ISERROR(INDEX($A$3:$B$14312,SMALL(IF($A$3:$A$14312=CG$3,ROW($A$3:$A$14312)),ROW(59:59)),2)),"",INDEX($A$3:$B$14312,SMALL(IF($A$3:$A$14312=CG$3,ROW($A$3:$A$14312)),ROW(59:59)),2))</f>
        <v/>
      </c>
      <c r="CH61" t="str">
        <f t="array" ref="CH61">IF(ISERROR(INDEX($A$3:$B$14312,SMALL(IF($A$3:$A$14312=CH$3,ROW($A$3:$A$14312)),ROW(59:59)),2)),"",INDEX($A$3:$B$14312,SMALL(IF($A$3:$A$14312=CH$3,ROW($A$3:$A$14312)),ROW(59:59)),2))</f>
        <v/>
      </c>
      <c r="CI61" t="str">
        <f t="array" ref="CI61">IF(ISERROR(INDEX($A$3:$B$14312,SMALL(IF($A$3:$A$14312=CI$3,ROW($A$3:$A$14312)),ROW(59:59)),2)),"",INDEX($A$3:$B$14312,SMALL(IF($A$3:$A$14312=CI$3,ROW($A$3:$A$14312)),ROW(59:59)),2))</f>
        <v/>
      </c>
      <c r="CJ61" t="str">
        <f t="array" ref="CJ61">IF(ISERROR(INDEX($A$3:$B$14312,SMALL(IF($A$3:$A$14312=CJ$3,ROW($A$3:$A$14312)),ROW(59:59)),2)),"",INDEX($A$3:$B$14312,SMALL(IF($A$3:$A$14312=CJ$3,ROW($A$3:$A$14312)),ROW(59:59)),2))</f>
        <v/>
      </c>
      <c r="CK61" t="str">
        <f t="array" ref="CK61">IF(ISERROR(INDEX($A$3:$B$14312,SMALL(IF($A$3:$A$14312=CK$3,ROW($A$3:$A$14312)),ROW(59:59)),2)),"",INDEX($A$3:$B$14312,SMALL(IF($A$3:$A$14312=CK$3,ROW($A$3:$A$14312)),ROW(59:59)),2))</f>
        <v/>
      </c>
      <c r="CL61" t="str">
        <f t="array" ref="CL61">IF(ISERROR(INDEX($A$3:$B$14312,SMALL(IF($A$3:$A$14312=CL$3,ROW($A$3:$A$14312)),ROW(59:59)),2)),"",INDEX($A$3:$B$14312,SMALL(IF($A$3:$A$14312=CL$3,ROW($A$3:$A$14312)),ROW(59:59)),2))</f>
        <v/>
      </c>
      <c r="CM61" t="str">
        <f t="array" ref="CM61">IF(ISERROR(INDEX($A$3:$B$14312,SMALL(IF($A$3:$A$14312=CM$3,ROW($A$3:$A$14312)),ROW(59:59)),2)),"",INDEX($A$3:$B$14312,SMALL(IF($A$3:$A$14312=CM$3,ROW($A$3:$A$14312)),ROW(59:59)),2))</f>
        <v/>
      </c>
      <c r="CN61" t="str">
        <f t="array" ref="CN61">IF(ISERROR(INDEX($A$3:$B$14312,SMALL(IF($A$3:$A$14312=CN$3,ROW($A$3:$A$14312)),ROW(59:59)),2)),"",INDEX($A$3:$B$14312,SMALL(IF($A$3:$A$14312=CN$3,ROW($A$3:$A$14312)),ROW(59:59)),2))</f>
        <v/>
      </c>
      <c r="CO61" t="str">
        <f t="array" ref="CO61">IF(ISERROR(INDEX($A$3:$B$14312,SMALL(IF($A$3:$A$14312=CO$3,ROW($A$3:$A$14312)),ROW(59:59)),2)),"",INDEX($A$3:$B$14312,SMALL(IF($A$3:$A$14312=CO$3,ROW($A$3:$A$14312)),ROW(59:59)),2))</f>
        <v/>
      </c>
      <c r="CP61" t="str">
        <f t="array" ref="CP61">IF(ISERROR(INDEX($A$3:$B$14312,SMALL(IF($A$3:$A$14312=CP$3,ROW($A$3:$A$14312)),ROW(59:59)),2)),"",INDEX($A$3:$B$14312,SMALL(IF($A$3:$A$14312=CP$3,ROW($A$3:$A$14312)),ROW(59:59)),2))</f>
        <v/>
      </c>
      <c r="CQ61" t="str">
        <f t="array" ref="CQ61">IF(ISERROR(INDEX($A$3:$B$14312,SMALL(IF($A$3:$A$14312=CQ$3,ROW($A$3:$A$14312)),ROW(59:59)),2)),"",INDEX($A$3:$B$14312,SMALL(IF($A$3:$A$14312=CQ$3,ROW($A$3:$A$14312)),ROW(59:59)),2))</f>
        <v/>
      </c>
      <c r="CR61" t="str">
        <f t="array" ref="CR61">IF(ISERROR(INDEX($A$3:$B$14312,SMALL(IF($A$3:$A$14312=CR$3,ROW($A$3:$A$14312)),ROW(59:59)),2)),"",INDEX($A$3:$B$14312,SMALL(IF($A$3:$A$14312=CR$3,ROW($A$3:$A$14312)),ROW(59:59)),2))</f>
        <v/>
      </c>
      <c r="CS61" t="str">
        <f t="array" ref="CS61">IF(ISERROR(INDEX($A$3:$B$14312,SMALL(IF($A$3:$A$14312=CS$3,ROW($A$3:$A$14312)),ROW(59:59)),2)),"",INDEX($A$3:$B$14312,SMALL(IF($A$3:$A$14312=CS$3,ROW($A$3:$A$14312)),ROW(59:59)),2))</f>
        <v/>
      </c>
      <c r="CT61" t="str">
        <f t="array" ref="CT61">IF(ISERROR(INDEX($A$3:$B$14312,SMALL(IF($A$3:$A$14312=CT$3,ROW($A$3:$A$14312)),ROW(59:59)),2)),"",INDEX($A$3:$B$14312,SMALL(IF($A$3:$A$14312=CT$3,ROW($A$3:$A$14312)),ROW(59:59)),2))</f>
        <v/>
      </c>
      <c r="CU61" t="str">
        <f t="array" ref="CU61">IF(ISERROR(INDEX($A$3:$B$14312,SMALL(IF($A$3:$A$14312=CU$3,ROW($A$3:$A$14312)),ROW(59:59)),2)),"",INDEX($A$3:$B$14312,SMALL(IF($A$3:$A$14312=CU$3,ROW($A$3:$A$14312)),ROW(59:59)),2))</f>
        <v/>
      </c>
      <c r="CV61" t="str">
        <f t="array" ref="CV61">IF(ISERROR(INDEX($A$3:$B$14312,SMALL(IF($A$3:$A$14312=CV$3,ROW($A$3:$A$14312)),ROW(59:59)),2)),"",INDEX($A$3:$B$14312,SMALL(IF($A$3:$A$14312=CV$3,ROW($A$3:$A$14312)),ROW(59:59)),2))</f>
        <v/>
      </c>
      <c r="CW61" t="str">
        <f t="array" ref="CW61">IF(ISERROR(INDEX($A$3:$B$14312,SMALL(IF($A$3:$A$14312=CW$3,ROW($A$3:$A$14312)),ROW(59:59)),2)),"",INDEX($A$3:$B$14312,SMALL(IF($A$3:$A$14312=CW$3,ROW($A$3:$A$14312)),ROW(59:59)),2))</f>
        <v/>
      </c>
      <c r="CX61" t="str">
        <f t="array" ref="CX61">IF(ISERROR(INDEX($A$3:$B$14312,SMALL(IF($A$3:$A$14312=CX$3,ROW($A$3:$A$14312)),ROW(59:59)),2)),"",INDEX($A$3:$B$14312,SMALL(IF($A$3:$A$14312=CX$3,ROW($A$3:$A$14312)),ROW(59:59)),2))</f>
        <v/>
      </c>
      <c r="CY61" t="str">
        <f t="array" ref="CY61">IF(ISERROR(INDEX($A$3:$B$14312,SMALL(IF($A$3:$A$14312=CY$3,ROW($A$3:$A$14312)),ROW(59:59)),2)),"",INDEX($A$3:$B$14312,SMALL(IF($A$3:$A$14312=CY$3,ROW($A$3:$A$14312)),ROW(59:59)),2))</f>
        <v/>
      </c>
      <c r="CZ61" t="str">
        <f t="array" ref="CZ61">IF(ISERROR(INDEX($A$3:$B$14312,SMALL(IF($A$3:$A$14312=CZ$3,ROW($A$3:$A$14312)),ROW(59:59)),2)),"",INDEX($A$3:$B$14312,SMALL(IF($A$3:$A$14312=CZ$3,ROW($A$3:$A$14312)),ROW(59:59)),2))</f>
        <v/>
      </c>
      <c r="DA61" t="str">
        <f t="array" ref="DA61">IF(ISERROR(INDEX($A$3:$B$14312,SMALL(IF($A$3:$A$14312=DA$3,ROW($A$3:$A$14312)),ROW(59:59)),2)),"",INDEX($A$3:$B$14312,SMALL(IF($A$3:$A$14312=DA$3,ROW($A$3:$A$14312)),ROW(59:59)),2))</f>
        <v/>
      </c>
      <c r="DB61" t="str">
        <f t="array" ref="DB61">IF(ISERROR(INDEX($A$3:$B$14312,SMALL(IF($A$3:$A$14312=DB$3,ROW($A$3:$A$14312)),ROW(59:59)),2)),"",INDEX($A$3:$B$14312,SMALL(IF($A$3:$A$14312=DB$3,ROW($A$3:$A$14312)),ROW(59:59)),2))</f>
        <v/>
      </c>
      <c r="DC61" t="str">
        <f t="array" ref="DC61">IF(ISERROR(INDEX($A$3:$B$14312,SMALL(IF($A$3:$A$14312=DC$3,ROW($A$3:$A$14312)),ROW(59:59)),2)),"",INDEX($A$3:$B$14312,SMALL(IF($A$3:$A$14312=DC$3,ROW($A$3:$A$14312)),ROW(59:59)),2))</f>
        <v/>
      </c>
      <c r="DD61" t="str">
        <f t="array" ref="DD61">IF(ISERROR(INDEX($A$3:$B$14312,SMALL(IF($A$3:$A$14312=DD$3,ROW($A$3:$A$14312)),ROW(59:59)),2)),"",INDEX($A$3:$B$14312,SMALL(IF($A$3:$A$14312=DD$3,ROW($A$3:$A$14312)),ROW(59:59)),2))</f>
        <v/>
      </c>
      <c r="DE61" t="str">
        <f t="array" ref="DE61">IF(ISERROR(INDEX($A$3:$B$14312,SMALL(IF($A$3:$A$14312=DE$3,ROW($A$3:$A$14312)),ROW(59:59)),2)),"",INDEX($A$3:$B$14312,SMALL(IF($A$3:$A$14312=DE$3,ROW($A$3:$A$14312)),ROW(59:59)),2))</f>
        <v/>
      </c>
      <c r="DF61" t="str">
        <f t="array" ref="DF61">IF(ISERROR(INDEX($A$3:$B$14312,SMALL(IF($A$3:$A$14312=DF$3,ROW($A$3:$A$14312)),ROW(59:59)),2)),"",INDEX($A$3:$B$14312,SMALL(IF($A$3:$A$14312=DF$3,ROW($A$3:$A$14312)),ROW(59:59)),2))</f>
        <v/>
      </c>
      <c r="DG61" t="str">
        <f t="array" ref="DG61">IF(ISERROR(INDEX($A$3:$B$14312,SMALL(IF($A$3:$A$14312=DG$3,ROW($A$3:$A$14312)),ROW(59:59)),2)),"",INDEX($A$3:$B$14312,SMALL(IF($A$3:$A$14312=DG$3,ROW($A$3:$A$14312)),ROW(59:59)),2))</f>
        <v/>
      </c>
      <c r="DH61" t="str">
        <f t="array" ref="DH61">IF(ISERROR(INDEX($A$3:$B$14312,SMALL(IF($A$3:$A$14312=DH$3,ROW($A$3:$A$14312)),ROW(59:59)),2)),"",INDEX($A$3:$B$14312,SMALL(IF($A$3:$A$14312=DH$3,ROW($A$3:$A$14312)),ROW(59:59)),2))</f>
        <v/>
      </c>
      <c r="DI61" t="str">
        <f t="array" ref="DI61">IF(ISERROR(INDEX($A$3:$B$14312,SMALL(IF($A$3:$A$14312=DI$3,ROW($A$3:$A$14312)),ROW(59:59)),2)),"",INDEX($A$3:$B$14312,SMALL(IF($A$3:$A$14312=DI$3,ROW($A$3:$A$14312)),ROW(59:59)),2))</f>
        <v>Router3_78</v>
      </c>
      <c r="DJ61" t="str">
        <f t="array" ref="DJ61">IF(ISERROR(INDEX($A$3:$B$14312,SMALL(IF($A$3:$A$14312=DJ$3,ROW($A$3:$A$14312)),ROW(59:59)),2)),"",INDEX($A$3:$B$14312,SMALL(IF($A$3:$A$14312=DJ$3,ROW($A$3:$A$14312)),ROW(59:59)),2))</f>
        <v/>
      </c>
      <c r="DK61" t="str">
        <f t="array" ref="DK61">IF(ISERROR(INDEX($A$3:$B$14312,SMALL(IF($A$3:$A$14312=DK$3,ROW($A$3:$A$14312)),ROW(59:59)),2)),"",INDEX($A$3:$B$14312,SMALL(IF($A$3:$A$14312=DK$3,ROW($A$3:$A$14312)),ROW(59:59)),2))</f>
        <v/>
      </c>
      <c r="DL61" t="str">
        <f t="array" ref="DL61">IF(ISERROR(INDEX($A$3:$B$14312,SMALL(IF($A$3:$A$14312=DL$3,ROW($A$3:$A$14312)),ROW(59:59)),2)),"",INDEX($A$3:$B$14312,SMALL(IF($A$3:$A$14312=DL$3,ROW($A$3:$A$14312)),ROW(59:59)),2))</f>
        <v/>
      </c>
      <c r="DM61" t="str">
        <f t="array" ref="DM61">IF(ISERROR(INDEX($A$3:$B$14312,SMALL(IF($A$3:$A$14312=DM$3,ROW($A$3:$A$14312)),ROW(59:59)),2)),"",INDEX($A$3:$B$14312,SMALL(IF($A$3:$A$14312=DM$3,ROW($A$3:$A$14312)),ROW(59:59)),2))</f>
        <v/>
      </c>
      <c r="DN61" t="str">
        <f t="array" ref="DN61">IF(ISERROR(INDEX($A$3:$B$14312,SMALL(IF($A$3:$A$14312=DN$3,ROW($A$3:$A$14312)),ROW(59:59)),2)),"",INDEX($A$3:$B$14312,SMALL(IF($A$3:$A$14312=DN$3,ROW($A$3:$A$14312)),ROW(59:59)),2))</f>
        <v/>
      </c>
      <c r="DO61" t="str">
        <f t="array" ref="DO61">IF(ISERROR(INDEX($A$3:$B$14312,SMALL(IF($A$3:$A$14312=DO$3,ROW($A$3:$A$14312)),ROW(59:59)),2)),"",INDEX($A$3:$B$14312,SMALL(IF($A$3:$A$14312=DO$3,ROW($A$3:$A$14312)),ROW(59:59)),2))</f>
        <v/>
      </c>
      <c r="DP61" t="str">
        <f t="array" ref="DP61">IF(ISERROR(INDEX($A$3:$B$14312,SMALL(IF($A$3:$A$14312=DP$3,ROW($A$3:$A$14312)),ROW(59:59)),2)),"",INDEX($A$3:$B$14312,SMALL(IF($A$3:$A$14312=DP$3,ROW($A$3:$A$14312)),ROW(59:59)),2))</f>
        <v/>
      </c>
      <c r="DQ61" t="str">
        <f t="array" ref="DQ61">IF(ISERROR(INDEX($A$3:$B$14312,SMALL(IF($A$3:$A$14312=DQ$3,ROW($A$3:$A$14312)),ROW(59:59)),2)),"",INDEX($A$3:$B$14312,SMALL(IF($A$3:$A$14312=DQ$3,ROW($A$3:$A$14312)),ROW(59:59)),2))</f>
        <v/>
      </c>
      <c r="DR61" t="str">
        <f t="array" ref="DR61">IF(ISERROR(INDEX($A$3:$B$14312,SMALL(IF($A$3:$A$14312=DR$3,ROW($A$3:$A$14312)),ROW(59:59)),2)),"",INDEX($A$3:$B$14312,SMALL(IF($A$3:$A$14312=DR$3,ROW($A$3:$A$14312)),ROW(59:59)),2))</f>
        <v/>
      </c>
      <c r="DS61" t="str">
        <f t="array" ref="DS61">IF(ISERROR(INDEX($A$3:$B$14312,SMALL(IF($A$3:$A$14312=DS$3,ROW($A$3:$A$14312)),ROW(59:59)),2)),"",INDEX($A$3:$B$14312,SMALL(IF($A$3:$A$14312=DS$3,ROW($A$3:$A$14312)),ROW(59:59)),2))</f>
        <v/>
      </c>
      <c r="DT61" t="str">
        <f t="array" ref="DT61">IF(ISERROR(INDEX($A$3:$B$14312,SMALL(IF($A$3:$A$14312=DT$3,ROW($A$3:$A$14312)),ROW(59:59)),2)),"",INDEX($A$3:$B$14312,SMALL(IF($A$3:$A$14312=DT$3,ROW($A$3:$A$14312)),ROW(59:59)),2))</f>
        <v>Router3_66</v>
      </c>
      <c r="DU61" t="str">
        <f t="array" ref="DU61">IF(ISERROR(INDEX($A$3:$B$14312,SMALL(IF($A$3:$A$14312=DU$3,ROW($A$3:$A$14312)),ROW(59:59)),2)),"",INDEX($A$3:$B$14312,SMALL(IF($A$3:$A$14312=DU$3,ROW($A$3:$A$14312)),ROW(59:59)),2))</f>
        <v/>
      </c>
      <c r="DV61" t="str">
        <f t="array" ref="DV61">IF(ISERROR(INDEX($A$3:$B$14312,SMALL(IF($A$3:$A$14312=DV$3,ROW($A$3:$A$14312)),ROW(59:59)),2)),"",INDEX($A$3:$B$14312,SMALL(IF($A$3:$A$14312=DV$3,ROW($A$3:$A$14312)),ROW(59:59)),2))</f>
        <v/>
      </c>
      <c r="DW61" t="str">
        <f t="array" ref="DW61">IF(ISERROR(INDEX($A$3:$B$14312,SMALL(IF($A$3:$A$14312=DW$3,ROW($A$3:$A$14312)),ROW(59:59)),2)),"",INDEX($A$3:$B$14312,SMALL(IF($A$3:$A$14312=DW$3,ROW($A$3:$A$14312)),ROW(59:59)),2))</f>
        <v/>
      </c>
      <c r="DX61" t="str">
        <f t="array" ref="DX61">IF(ISERROR(INDEX($A$3:$B$14312,SMALL(IF($A$3:$A$14312=DX$3,ROW($A$3:$A$14312)),ROW(59:59)),2)),"",INDEX($A$3:$B$14312,SMALL(IF($A$3:$A$14312=DX$3,ROW($A$3:$A$14312)),ROW(59:59)),2))</f>
        <v/>
      </c>
      <c r="DY61" t="str">
        <f t="array" ref="DY61">IF(ISERROR(INDEX($A$3:$B$14312,SMALL(IF($A$3:$A$14312=DY$3,ROW($A$3:$A$14312)),ROW(59:59)),2)),"",INDEX($A$3:$B$14312,SMALL(IF($A$3:$A$14312=DY$3,ROW($A$3:$A$14312)),ROW(59:59)),2))</f>
        <v/>
      </c>
      <c r="DZ61" t="str">
        <f t="array" ref="DZ61">IF(ISERROR(INDEX($A$3:$B$14312,SMALL(IF($A$3:$A$14312=DZ$3,ROW($A$3:$A$14312)),ROW(59:59)),2)),"",INDEX($A$3:$B$14312,SMALL(IF($A$3:$A$14312=DZ$3,ROW($A$3:$A$14312)),ROW(59:59)),2))</f>
        <v/>
      </c>
      <c r="EA61" t="str">
        <f t="array" ref="EA61">IF(ISERROR(INDEX($A$3:$B$14312,SMALL(IF($A$3:$A$14312=EA$3,ROW($A$3:$A$14312)),ROW(59:59)),2)),"",INDEX($A$3:$B$14312,SMALL(IF($A$3:$A$14312=EA$3,ROW($A$3:$A$14312)),ROW(59:59)),2))</f>
        <v/>
      </c>
      <c r="EB61" t="str">
        <f t="array" ref="EB61">IF(ISERROR(INDEX($A$3:$B$14312,SMALL(IF($A$3:$A$14312=EB$3,ROW($A$3:$A$14312)),ROW(59:59)),2)),"",INDEX($A$3:$B$14312,SMALL(IF($A$3:$A$14312=EB$3,ROW($A$3:$A$14312)),ROW(59:59)),2))</f>
        <v/>
      </c>
      <c r="EC61" t="str">
        <f t="array" ref="EC61">IF(ISERROR(INDEX($A$3:$B$14312,SMALL(IF($A$3:$A$14312=EC$3,ROW($A$3:$A$14312)),ROW(59:59)),2)),"",INDEX($A$3:$B$14312,SMALL(IF($A$3:$A$14312=EC$3,ROW($A$3:$A$14312)),ROW(59:59)),2))</f>
        <v/>
      </c>
      <c r="ED61" t="str">
        <f t="array" ref="ED61">IF(ISERROR(INDEX($A$3:$B$14312,SMALL(IF($A$3:$A$14312=ED$3,ROW($A$3:$A$14312)),ROW(59:59)),2)),"",INDEX($A$3:$B$14312,SMALL(IF($A$3:$A$14312=ED$3,ROW($A$3:$A$14312)),ROW(59:59)),2))</f>
        <v/>
      </c>
      <c r="EE61" t="str">
        <f t="array" ref="EE61">IF(ISERROR(INDEX($A$3:$B$14312,SMALL(IF($A$3:$A$14312=EE$3,ROW($A$3:$A$14312)),ROW(59:59)),2)),"",INDEX($A$3:$B$14312,SMALL(IF($A$3:$A$14312=EE$3,ROW($A$3:$A$14312)),ROW(59:59)),2))</f>
        <v/>
      </c>
    </row>
    <row r="62" spans="1:135" x14ac:dyDescent="0.25">
      <c r="A62" s="10">
        <v>-424987520</v>
      </c>
      <c r="B62" t="s">
        <v>1159</v>
      </c>
      <c r="E62" t="str">
        <f t="array" ref="E62">IF(ISERROR(INDEX($A$3:$B$14312,SMALL(IF($A$3:$A$14312=E$3,ROW($A$3:$A$14312)),ROW(60:60)),2)),"",INDEX($A$3:$B$14312,SMALL(IF($A$3:$A$14312=E$3,ROW($A$3:$A$14312)),ROW(60:60)),2))</f>
        <v/>
      </c>
      <c r="F62" t="str">
        <f t="array" ref="F62">IF(ISERROR(INDEX($A$3:$B$14312,SMALL(IF($A$3:$A$14312=F$3,ROW($A$3:$A$14312)),ROW(60:60)),2)),"",INDEX($A$3:$B$14312,SMALL(IF($A$3:$A$14312=F$3,ROW($A$3:$A$14312)),ROW(60:60)),2))</f>
        <v/>
      </c>
      <c r="G62" t="str">
        <f t="array" ref="G62">IF(ISERROR(INDEX($A$3:$B$14312,SMALL(IF($A$3:$A$14312=G$3,ROW($A$3:$A$14312)),ROW(60:60)),2)),"",INDEX($A$3:$B$14312,SMALL(IF($A$3:$A$14312=G$3,ROW($A$3:$A$14312)),ROW(60:60)),2))</f>
        <v/>
      </c>
      <c r="H62" t="str">
        <f t="array" ref="H62">IF(ISERROR(INDEX($A$3:$B$14312,SMALL(IF($A$3:$A$14312=H$3,ROW($A$3:$A$14312)),ROW(60:60)),2)),"",INDEX($A$3:$B$14312,SMALL(IF($A$3:$A$14312=H$3,ROW($A$3:$A$14312)),ROW(60:60)),2))</f>
        <v/>
      </c>
      <c r="I62" t="str">
        <f t="array" ref="I62">IF(ISERROR(INDEX($A$3:$B$14312,SMALL(IF($A$3:$A$14312=I$3,ROW($A$3:$A$14312)),ROW(60:60)),2)),"",INDEX($A$3:$B$14312,SMALL(IF($A$3:$A$14312=I$3,ROW($A$3:$A$14312)),ROW(60:60)),2))</f>
        <v/>
      </c>
      <c r="J62" t="str">
        <f t="array" ref="J62">IF(ISERROR(INDEX($A$3:$B$14312,SMALL(IF($A$3:$A$14312=J$3,ROW($A$3:$A$14312)),ROW(60:60)),2)),"",INDEX($A$3:$B$14312,SMALL(IF($A$3:$A$14312=J$3,ROW($A$3:$A$14312)),ROW(60:60)),2))</f>
        <v/>
      </c>
      <c r="K62" t="str">
        <f t="array" ref="K62">IF(ISERROR(INDEX($A$3:$B$14312,SMALL(IF($A$3:$A$14312=K$3,ROW($A$3:$A$14312)),ROW(60:60)),2)),"",INDEX($A$3:$B$14312,SMALL(IF($A$3:$A$14312=K$3,ROW($A$3:$A$14312)),ROW(60:60)),2))</f>
        <v/>
      </c>
      <c r="L62" t="str">
        <f t="array" ref="L62">IF(ISERROR(INDEX($A$3:$B$14312,SMALL(IF($A$3:$A$14312=L$3,ROW($A$3:$A$14312)),ROW(60:60)),2)),"",INDEX($A$3:$B$14312,SMALL(IF($A$3:$A$14312=L$3,ROW($A$3:$A$14312)),ROW(60:60)),2))</f>
        <v/>
      </c>
      <c r="M62" t="str">
        <f t="array" ref="M62">IF(ISERROR(INDEX($A$3:$B$14312,SMALL(IF($A$3:$A$14312=M$3,ROW($A$3:$A$14312)),ROW(60:60)),2)),"",INDEX($A$3:$B$14312,SMALL(IF($A$3:$A$14312=M$3,ROW($A$3:$A$14312)),ROW(60:60)),2))</f>
        <v/>
      </c>
      <c r="N62" t="str">
        <f t="array" ref="N62">IF(ISERROR(INDEX($A$3:$B$14312,SMALL(IF($A$3:$A$14312=N$3,ROW($A$3:$A$14312)),ROW(60:60)),2)),"",INDEX($A$3:$B$14312,SMALL(IF($A$3:$A$14312=N$3,ROW($A$3:$A$14312)),ROW(60:60)),2))</f>
        <v/>
      </c>
      <c r="O62" t="str">
        <f t="array" ref="O62">IF(ISERROR(INDEX($A$3:$B$14312,SMALL(IF($A$3:$A$14312=O$3,ROW($A$3:$A$14312)),ROW(60:60)),2)),"",INDEX($A$3:$B$14312,SMALL(IF($A$3:$A$14312=O$3,ROW($A$3:$A$14312)),ROW(60:60)),2))</f>
        <v/>
      </c>
      <c r="P62" t="str">
        <f t="array" ref="P62">IF(ISERROR(INDEX($A$3:$B$14312,SMALL(IF($A$3:$A$14312=P$3,ROW($A$3:$A$14312)),ROW(60:60)),2)),"",INDEX($A$3:$B$14312,SMALL(IF($A$3:$A$14312=P$3,ROW($A$3:$A$14312)),ROW(60:60)),2))</f>
        <v/>
      </c>
      <c r="Q62" t="str">
        <f t="array" ref="Q62">IF(ISERROR(INDEX($A$3:$B$14312,SMALL(IF($A$3:$A$14312=Q$3,ROW($A$3:$A$14312)),ROW(60:60)),2)),"",INDEX($A$3:$B$14312,SMALL(IF($A$3:$A$14312=Q$3,ROW($A$3:$A$14312)),ROW(60:60)),2))</f>
        <v/>
      </c>
      <c r="R62" t="str">
        <f t="array" ref="R62">IF(ISERROR(INDEX($A$3:$B$14312,SMALL(IF($A$3:$A$14312=R$3,ROW($A$3:$A$14312)),ROW(60:60)),2)),"",INDEX($A$3:$B$14312,SMALL(IF($A$3:$A$14312=R$3,ROW($A$3:$A$14312)),ROW(60:60)),2))</f>
        <v/>
      </c>
      <c r="S62" t="str">
        <f t="array" ref="S62">IF(ISERROR(INDEX($A$3:$B$14312,SMALL(IF($A$3:$A$14312=S$3,ROW($A$3:$A$14312)),ROW(60:60)),2)),"",INDEX($A$3:$B$14312,SMALL(IF($A$3:$A$14312=S$3,ROW($A$3:$A$14312)),ROW(60:60)),2))</f>
        <v/>
      </c>
      <c r="T62" t="str">
        <f t="array" ref="T62">IF(ISERROR(INDEX($A$3:$B$14312,SMALL(IF($A$3:$A$14312=T$3,ROW($A$3:$A$14312)),ROW(60:60)),2)),"",INDEX($A$3:$B$14312,SMALL(IF($A$3:$A$14312=T$3,ROW($A$3:$A$14312)),ROW(60:60)),2))</f>
        <v/>
      </c>
      <c r="U62" t="str">
        <f t="array" ref="U62">IF(ISERROR(INDEX($A$3:$B$14312,SMALL(IF($A$3:$A$14312=U$3,ROW($A$3:$A$14312)),ROW(60:60)),2)),"",INDEX($A$3:$B$14312,SMALL(IF($A$3:$A$14312=U$3,ROW($A$3:$A$14312)),ROW(60:60)),2))</f>
        <v/>
      </c>
      <c r="V62" t="str">
        <f t="array" ref="V62">IF(ISERROR(INDEX($A$3:$B$14312,SMALL(IF($A$3:$A$14312=V$3,ROW($A$3:$A$14312)),ROW(60:60)),2)),"",INDEX($A$3:$B$14312,SMALL(IF($A$3:$A$14312=V$3,ROW($A$3:$A$14312)),ROW(60:60)),2))</f>
        <v/>
      </c>
      <c r="W62" t="str">
        <f t="array" ref="W62">IF(ISERROR(INDEX($A$3:$B$14312,SMALL(IF($A$3:$A$14312=W$3,ROW($A$3:$A$14312)),ROW(60:60)),2)),"",INDEX($A$3:$B$14312,SMALL(IF($A$3:$A$14312=W$3,ROW($A$3:$A$14312)),ROW(60:60)),2))</f>
        <v/>
      </c>
      <c r="X62" t="str">
        <f t="array" ref="X62">IF(ISERROR(INDEX($A$3:$B$14312,SMALL(IF($A$3:$A$14312=X$3,ROW($A$3:$A$14312)),ROW(60:60)),2)),"",INDEX($A$3:$B$14312,SMALL(IF($A$3:$A$14312=X$3,ROW($A$3:$A$14312)),ROW(60:60)),2))</f>
        <v/>
      </c>
      <c r="Y62" t="str">
        <f t="array" ref="Y62">IF(ISERROR(INDEX($A$3:$B$14312,SMALL(IF($A$3:$A$14312=Y$3,ROW($A$3:$A$14312)),ROW(60:60)),2)),"",INDEX($A$3:$B$14312,SMALL(IF($A$3:$A$14312=Y$3,ROW($A$3:$A$14312)),ROW(60:60)),2))</f>
        <v/>
      </c>
      <c r="Z62" t="str">
        <f t="array" ref="Z62">IF(ISERROR(INDEX($A$3:$B$14312,SMALL(IF($A$3:$A$14312=Z$3,ROW($A$3:$A$14312)),ROW(60:60)),2)),"",INDEX($A$3:$B$14312,SMALL(IF($A$3:$A$14312=Z$3,ROW($A$3:$A$14312)),ROW(60:60)),2))</f>
        <v/>
      </c>
      <c r="AA62" t="str">
        <f t="array" ref="AA62">IF(ISERROR(INDEX($A$3:$B$14312,SMALL(IF($A$3:$A$14312=AA$3,ROW($A$3:$A$14312)),ROW(60:60)),2)),"",INDEX($A$3:$B$14312,SMALL(IF($A$3:$A$14312=AA$3,ROW($A$3:$A$14312)),ROW(60:60)),2))</f>
        <v/>
      </c>
      <c r="AB62" t="str">
        <f t="array" ref="AB62">IF(ISERROR(INDEX($A$3:$B$14312,SMALL(IF($A$3:$A$14312=AB$3,ROW($A$3:$A$14312)),ROW(60:60)),2)),"",INDEX($A$3:$B$14312,SMALL(IF($A$3:$A$14312=AB$3,ROW($A$3:$A$14312)),ROW(60:60)),2))</f>
        <v/>
      </c>
      <c r="AC62" t="str">
        <f t="array" ref="AC62">IF(ISERROR(INDEX($A$3:$B$14312,SMALL(IF($A$3:$A$14312=AC$3,ROW($A$3:$A$14312)),ROW(60:60)),2)),"",INDEX($A$3:$B$14312,SMALL(IF($A$3:$A$14312=AC$3,ROW($A$3:$A$14312)),ROW(60:60)),2))</f>
        <v/>
      </c>
      <c r="AD62" t="str">
        <f t="array" ref="AD62">IF(ISERROR(INDEX($A$3:$B$14312,SMALL(IF($A$3:$A$14312=AD$3,ROW($A$3:$A$14312)),ROW(60:60)),2)),"",INDEX($A$3:$B$14312,SMALL(IF($A$3:$A$14312=AD$3,ROW($A$3:$A$14312)),ROW(60:60)),2))</f>
        <v/>
      </c>
      <c r="AE62" t="str">
        <f t="array" ref="AE62">IF(ISERROR(INDEX($A$3:$B$14312,SMALL(IF($A$3:$A$14312=AE$3,ROW($A$3:$A$14312)),ROW(60:60)),2)),"",INDEX($A$3:$B$14312,SMALL(IF($A$3:$A$14312=AE$3,ROW($A$3:$A$14312)),ROW(60:60)),2))</f>
        <v/>
      </c>
      <c r="AF62" t="str">
        <f t="array" ref="AF62">IF(ISERROR(INDEX($A$3:$B$14312,SMALL(IF($A$3:$A$14312=AF$3,ROW($A$3:$A$14312)),ROW(60:60)),2)),"",INDEX($A$3:$B$14312,SMALL(IF($A$3:$A$14312=AF$3,ROW($A$3:$A$14312)),ROW(60:60)),2))</f>
        <v/>
      </c>
      <c r="AG62" t="str">
        <f t="array" ref="AG62">IF(ISERROR(INDEX($A$3:$B$14312,SMALL(IF($A$3:$A$14312=AG$3,ROW($A$3:$A$14312)),ROW(60:60)),2)),"",INDEX($A$3:$B$14312,SMALL(IF($A$3:$A$14312=AG$3,ROW($A$3:$A$14312)),ROW(60:60)),2))</f>
        <v/>
      </c>
      <c r="AH62" t="str">
        <f t="array" ref="AH62">IF(ISERROR(INDEX($A$3:$B$14312,SMALL(IF($A$3:$A$14312=AH$3,ROW($A$3:$A$14312)),ROW(60:60)),2)),"",INDEX($A$3:$B$14312,SMALL(IF($A$3:$A$14312=AH$3,ROW($A$3:$A$14312)),ROW(60:60)),2))</f>
        <v/>
      </c>
      <c r="AI62" t="str">
        <f t="array" ref="AI62">IF(ISERROR(INDEX($A$3:$B$14312,SMALL(IF($A$3:$A$14312=AI$3,ROW($A$3:$A$14312)),ROW(60:60)),2)),"",INDEX($A$3:$B$14312,SMALL(IF($A$3:$A$14312=AI$3,ROW($A$3:$A$14312)),ROW(60:60)),2))</f>
        <v/>
      </c>
      <c r="AJ62" t="str">
        <f t="array" ref="AJ62">IF(ISERROR(INDEX($A$3:$B$14312,SMALL(IF($A$3:$A$14312=AJ$3,ROW($A$3:$A$14312)),ROW(60:60)),2)),"",INDEX($A$3:$B$14312,SMALL(IF($A$3:$A$14312=AJ$3,ROW($A$3:$A$14312)),ROW(60:60)),2))</f>
        <v/>
      </c>
      <c r="AK62" t="str">
        <f t="array" ref="AK62">IF(ISERROR(INDEX($A$3:$B$14312,SMALL(IF($A$3:$A$14312=AK$3,ROW($A$3:$A$14312)),ROW(60:60)),2)),"",INDEX($A$3:$B$14312,SMALL(IF($A$3:$A$14312=AK$3,ROW($A$3:$A$14312)),ROW(60:60)),2))</f>
        <v/>
      </c>
      <c r="AL62" t="str">
        <f t="array" ref="AL62">IF(ISERROR(INDEX($A$3:$B$14312,SMALL(IF($A$3:$A$14312=AL$3,ROW($A$3:$A$14312)),ROW(60:60)),2)),"",INDEX($A$3:$B$14312,SMALL(IF($A$3:$A$14312=AL$3,ROW($A$3:$A$14312)),ROW(60:60)),2))</f>
        <v/>
      </c>
      <c r="AM62" t="str">
        <f t="array" ref="AM62">IF(ISERROR(INDEX($A$3:$B$14312,SMALL(IF($A$3:$A$14312=AM$3,ROW($A$3:$A$14312)),ROW(60:60)),2)),"",INDEX($A$3:$B$14312,SMALL(IF($A$3:$A$14312=AM$3,ROW($A$3:$A$14312)),ROW(60:60)),2))</f>
        <v/>
      </c>
      <c r="AN62" t="str">
        <f t="array" ref="AN62">IF(ISERROR(INDEX($A$3:$B$14312,SMALL(IF($A$3:$A$14312=AN$3,ROW($A$3:$A$14312)),ROW(60:60)),2)),"",INDEX($A$3:$B$14312,SMALL(IF($A$3:$A$14312=AN$3,ROW($A$3:$A$14312)),ROW(60:60)),2))</f>
        <v/>
      </c>
      <c r="AO62" t="str">
        <f t="array" ref="AO62">IF(ISERROR(INDEX($A$3:$B$14312,SMALL(IF($A$3:$A$14312=AO$3,ROW($A$3:$A$14312)),ROW(60:60)),2)),"",INDEX($A$3:$B$14312,SMALL(IF($A$3:$A$14312=AO$3,ROW($A$3:$A$14312)),ROW(60:60)),2))</f>
        <v/>
      </c>
      <c r="AP62" t="str">
        <f t="array" ref="AP62">IF(ISERROR(INDEX($A$3:$B$14312,SMALL(IF($A$3:$A$14312=AP$3,ROW($A$3:$A$14312)),ROW(60:60)),2)),"",INDEX($A$3:$B$14312,SMALL(IF($A$3:$A$14312=AP$3,ROW($A$3:$A$14312)),ROW(60:60)),2))</f>
        <v/>
      </c>
      <c r="AQ62" t="str">
        <f t="array" ref="AQ62">IF(ISERROR(INDEX($A$3:$B$14312,SMALL(IF($A$3:$A$14312=AQ$3,ROW($A$3:$A$14312)),ROW(60:60)),2)),"",INDEX($A$3:$B$14312,SMALL(IF($A$3:$A$14312=AQ$3,ROW($A$3:$A$14312)),ROW(60:60)),2))</f>
        <v/>
      </c>
      <c r="AR62" t="str">
        <f t="array" ref="AR62">IF(ISERROR(INDEX($A$3:$B$14312,SMALL(IF($A$3:$A$14312=AR$3,ROW($A$3:$A$14312)),ROW(60:60)),2)),"",INDEX($A$3:$B$14312,SMALL(IF($A$3:$A$14312=AR$3,ROW($A$3:$A$14312)),ROW(60:60)),2))</f>
        <v/>
      </c>
      <c r="AS62" t="str">
        <f t="array" ref="AS62">IF(ISERROR(INDEX($A$3:$B$14312,SMALL(IF($A$3:$A$14312=AS$3,ROW($A$3:$A$14312)),ROW(60:60)),2)),"",INDEX($A$3:$B$14312,SMALL(IF($A$3:$A$14312=AS$3,ROW($A$3:$A$14312)),ROW(60:60)),2))</f>
        <v/>
      </c>
      <c r="AT62" t="str">
        <f t="array" ref="AT62">IF(ISERROR(INDEX($A$3:$B$14312,SMALL(IF($A$3:$A$14312=AT$3,ROW($A$3:$A$14312)),ROW(60:60)),2)),"",INDEX($A$3:$B$14312,SMALL(IF($A$3:$A$14312=AT$3,ROW($A$3:$A$14312)),ROW(60:60)),2))</f>
        <v/>
      </c>
      <c r="AU62" t="str">
        <f t="array" ref="AU62">IF(ISERROR(INDEX($A$3:$B$14312,SMALL(IF($A$3:$A$14312=AU$3,ROW($A$3:$A$14312)),ROW(60:60)),2)),"",INDEX($A$3:$B$14312,SMALL(IF($A$3:$A$14312=AU$3,ROW($A$3:$A$14312)),ROW(60:60)),2))</f>
        <v/>
      </c>
      <c r="AV62" t="str">
        <f t="array" ref="AV62">IF(ISERROR(INDEX($A$3:$B$14312,SMALL(IF($A$3:$A$14312=AV$3,ROW($A$3:$A$14312)),ROW(60:60)),2)),"",INDEX($A$3:$B$14312,SMALL(IF($A$3:$A$14312=AV$3,ROW($A$3:$A$14312)),ROW(60:60)),2))</f>
        <v/>
      </c>
      <c r="AW62" t="str">
        <f t="array" ref="AW62">IF(ISERROR(INDEX($A$3:$B$14312,SMALL(IF($A$3:$A$14312=AW$3,ROW($A$3:$A$14312)),ROW(60:60)),2)),"",INDEX($A$3:$B$14312,SMALL(IF($A$3:$A$14312=AW$3,ROW($A$3:$A$14312)),ROW(60:60)),2))</f>
        <v/>
      </c>
      <c r="AX62" t="str">
        <f t="array" ref="AX62">IF(ISERROR(INDEX($A$3:$B$14312,SMALL(IF($A$3:$A$14312=AX$3,ROW($A$3:$A$14312)),ROW(60:60)),2)),"",INDEX($A$3:$B$14312,SMALL(IF($A$3:$A$14312=AX$3,ROW($A$3:$A$14312)),ROW(60:60)),2))</f>
        <v/>
      </c>
      <c r="AY62" t="str">
        <f t="array" ref="AY62">IF(ISERROR(INDEX($A$3:$B$14312,SMALL(IF($A$3:$A$14312=AY$3,ROW($A$3:$A$14312)),ROW(60:60)),2)),"",INDEX($A$3:$B$14312,SMALL(IF($A$3:$A$14312=AY$3,ROW($A$3:$A$14312)),ROW(60:60)),2))</f>
        <v/>
      </c>
      <c r="AZ62" t="str">
        <f t="array" ref="AZ62">IF(ISERROR(INDEX($A$3:$B$14312,SMALL(IF($A$3:$A$14312=AZ$3,ROW($A$3:$A$14312)),ROW(60:60)),2)),"",INDEX($A$3:$B$14312,SMALL(IF($A$3:$A$14312=AZ$3,ROW($A$3:$A$14312)),ROW(60:60)),2))</f>
        <v/>
      </c>
      <c r="BA62" t="str">
        <f t="array" ref="BA62">IF(ISERROR(INDEX($A$3:$B$14312,SMALL(IF($A$3:$A$14312=BA$3,ROW($A$3:$A$14312)),ROW(60:60)),2)),"",INDEX($A$3:$B$14312,SMALL(IF($A$3:$A$14312=BA$3,ROW($A$3:$A$14312)),ROW(60:60)),2))</f>
        <v/>
      </c>
      <c r="BB62" t="str">
        <f t="array" ref="BB62">IF(ISERROR(INDEX($A$3:$B$14312,SMALL(IF($A$3:$A$14312=BB$3,ROW($A$3:$A$14312)),ROW(60:60)),2)),"",INDEX($A$3:$B$14312,SMALL(IF($A$3:$A$14312=BB$3,ROW($A$3:$A$14312)),ROW(60:60)),2))</f>
        <v/>
      </c>
      <c r="BC62" t="str">
        <f t="array" ref="BC62">IF(ISERROR(INDEX($A$3:$B$14312,SMALL(IF($A$3:$A$14312=BC$3,ROW($A$3:$A$14312)),ROW(60:60)),2)),"",INDEX($A$3:$B$14312,SMALL(IF($A$3:$A$14312=BC$3,ROW($A$3:$A$14312)),ROW(60:60)),2))</f>
        <v/>
      </c>
      <c r="BD62" t="str">
        <f t="array" ref="BD62">IF(ISERROR(INDEX($A$3:$B$14312,SMALL(IF($A$3:$A$14312=BD$3,ROW($A$3:$A$14312)),ROW(60:60)),2)),"",INDEX($A$3:$B$14312,SMALL(IF($A$3:$A$14312=BD$3,ROW($A$3:$A$14312)),ROW(60:60)),2))</f>
        <v/>
      </c>
      <c r="BE62" t="str">
        <f t="array" ref="BE62">IF(ISERROR(INDEX($A$3:$B$14312,SMALL(IF($A$3:$A$14312=BE$3,ROW($A$3:$A$14312)),ROW(60:60)),2)),"",INDEX($A$3:$B$14312,SMALL(IF($A$3:$A$14312=BE$3,ROW($A$3:$A$14312)),ROW(60:60)),2))</f>
        <v/>
      </c>
      <c r="BF62" t="str">
        <f t="array" ref="BF62">IF(ISERROR(INDEX($A$3:$B$14312,SMALL(IF($A$3:$A$14312=BF$3,ROW($A$3:$A$14312)),ROW(60:60)),2)),"",INDEX($A$3:$B$14312,SMALL(IF($A$3:$A$14312=BF$3,ROW($A$3:$A$14312)),ROW(60:60)),2))</f>
        <v/>
      </c>
      <c r="BG62" t="str">
        <f t="array" ref="BG62">IF(ISERROR(INDEX($A$3:$B$14312,SMALL(IF($A$3:$A$14312=BG$3,ROW($A$3:$A$14312)),ROW(60:60)),2)),"",INDEX($A$3:$B$14312,SMALL(IF($A$3:$A$14312=BG$3,ROW($A$3:$A$14312)),ROW(60:60)),2))</f>
        <v/>
      </c>
      <c r="BH62" t="str">
        <f t="array" ref="BH62">IF(ISERROR(INDEX($A$3:$B$14312,SMALL(IF($A$3:$A$14312=BH$3,ROW($A$3:$A$14312)),ROW(60:60)),2)),"",INDEX($A$3:$B$14312,SMALL(IF($A$3:$A$14312=BH$3,ROW($A$3:$A$14312)),ROW(60:60)),2))</f>
        <v/>
      </c>
      <c r="BI62" t="str">
        <f t="array" ref="BI62">IF(ISERROR(INDEX($A$3:$B$14312,SMALL(IF($A$3:$A$14312=BI$3,ROW($A$3:$A$14312)),ROW(60:60)),2)),"",INDEX($A$3:$B$14312,SMALL(IF($A$3:$A$14312=BI$3,ROW($A$3:$A$14312)),ROW(60:60)),2))</f>
        <v/>
      </c>
      <c r="BJ62" t="str">
        <f t="array" ref="BJ62">IF(ISERROR(INDEX($A$3:$B$14312,SMALL(IF($A$3:$A$14312=BJ$3,ROW($A$3:$A$14312)),ROW(60:60)),2)),"",INDEX($A$3:$B$14312,SMALL(IF($A$3:$A$14312=BJ$3,ROW($A$3:$A$14312)),ROW(60:60)),2))</f>
        <v/>
      </c>
      <c r="BK62" t="str">
        <f t="array" ref="BK62">IF(ISERROR(INDEX($A$3:$B$14312,SMALL(IF($A$3:$A$14312=BK$3,ROW($A$3:$A$14312)),ROW(60:60)),2)),"",INDEX($A$3:$B$14312,SMALL(IF($A$3:$A$14312=BK$3,ROW($A$3:$A$14312)),ROW(60:60)),2))</f>
        <v/>
      </c>
      <c r="BL62" t="str">
        <f t="array" ref="BL62">IF(ISERROR(INDEX($A$3:$B$14312,SMALL(IF($A$3:$A$14312=BL$3,ROW($A$3:$A$14312)),ROW(60:60)),2)),"",INDEX($A$3:$B$14312,SMALL(IF($A$3:$A$14312=BL$3,ROW($A$3:$A$14312)),ROW(60:60)),2))</f>
        <v/>
      </c>
      <c r="BM62" t="str">
        <f t="array" ref="BM62">IF(ISERROR(INDEX($A$3:$B$14312,SMALL(IF($A$3:$A$14312=BM$3,ROW($A$3:$A$14312)),ROW(60:60)),2)),"",INDEX($A$3:$B$14312,SMALL(IF($A$3:$A$14312=BM$3,ROW($A$3:$A$14312)),ROW(60:60)),2))</f>
        <v/>
      </c>
      <c r="BN62" t="str">
        <f t="array" ref="BN62">IF(ISERROR(INDEX($A$3:$B$14312,SMALL(IF($A$3:$A$14312=BN$3,ROW($A$3:$A$14312)),ROW(60:60)),2)),"",INDEX($A$3:$B$14312,SMALL(IF($A$3:$A$14312=BN$3,ROW($A$3:$A$14312)),ROW(60:60)),2))</f>
        <v/>
      </c>
      <c r="BO62" t="str">
        <f t="array" ref="BO62">IF(ISERROR(INDEX($A$3:$B$14312,SMALL(IF($A$3:$A$14312=BO$3,ROW($A$3:$A$14312)),ROW(60:60)),2)),"",INDEX($A$3:$B$14312,SMALL(IF($A$3:$A$14312=BO$3,ROW($A$3:$A$14312)),ROW(60:60)),2))</f>
        <v/>
      </c>
      <c r="BP62" t="str">
        <f t="array" ref="BP62">IF(ISERROR(INDEX($A$3:$B$14312,SMALL(IF($A$3:$A$14312=BP$3,ROW($A$3:$A$14312)),ROW(60:60)),2)),"",INDEX($A$3:$B$14312,SMALL(IF($A$3:$A$14312=BP$3,ROW($A$3:$A$14312)),ROW(60:60)),2))</f>
        <v/>
      </c>
      <c r="BQ62" t="str">
        <f t="array" ref="BQ62">IF(ISERROR(INDEX($A$3:$B$14312,SMALL(IF($A$3:$A$14312=BQ$3,ROW($A$3:$A$14312)),ROW(60:60)),2)),"",INDEX($A$3:$B$14312,SMALL(IF($A$3:$A$14312=BQ$3,ROW($A$3:$A$14312)),ROW(60:60)),2))</f>
        <v/>
      </c>
      <c r="BR62" t="str">
        <f t="array" ref="BR62">IF(ISERROR(INDEX($A$3:$B$14312,SMALL(IF($A$3:$A$14312=BR$3,ROW($A$3:$A$14312)),ROW(60:60)),2)),"",INDEX($A$3:$B$14312,SMALL(IF($A$3:$A$14312=BR$3,ROW($A$3:$A$14312)),ROW(60:60)),2))</f>
        <v/>
      </c>
      <c r="BS62" t="str">
        <f t="array" ref="BS62">IF(ISERROR(INDEX($A$3:$B$14312,SMALL(IF($A$3:$A$14312=BS$3,ROW($A$3:$A$14312)),ROW(60:60)),2)),"",INDEX($A$3:$B$14312,SMALL(IF($A$3:$A$14312=BS$3,ROW($A$3:$A$14312)),ROW(60:60)),2))</f>
        <v/>
      </c>
      <c r="BT62" t="str">
        <f t="array" ref="BT62">IF(ISERROR(INDEX($A$3:$B$14312,SMALL(IF($A$3:$A$14312=BT$3,ROW($A$3:$A$14312)),ROW(60:60)),2)),"",INDEX($A$3:$B$14312,SMALL(IF($A$3:$A$14312=BT$3,ROW($A$3:$A$14312)),ROW(60:60)),2))</f>
        <v>Router3_161</v>
      </c>
      <c r="BU62" t="str">
        <f t="array" ref="BU62">IF(ISERROR(INDEX($A$3:$B$14312,SMALL(IF($A$3:$A$14312=BU$3,ROW($A$3:$A$14312)),ROW(60:60)),2)),"",INDEX($A$3:$B$14312,SMALL(IF($A$3:$A$14312=BU$3,ROW($A$3:$A$14312)),ROW(60:60)),2))</f>
        <v/>
      </c>
      <c r="BV62" t="str">
        <f t="array" ref="BV62">IF(ISERROR(INDEX($A$3:$B$14312,SMALL(IF($A$3:$A$14312=BV$3,ROW($A$3:$A$14312)),ROW(60:60)),2)),"",INDEX($A$3:$B$14312,SMALL(IF($A$3:$A$14312=BV$3,ROW($A$3:$A$14312)),ROW(60:60)),2))</f>
        <v/>
      </c>
      <c r="BW62" t="str">
        <f t="array" ref="BW62">IF(ISERROR(INDEX($A$3:$B$14312,SMALL(IF($A$3:$A$14312=BW$3,ROW($A$3:$A$14312)),ROW(60:60)),2)),"",INDEX($A$3:$B$14312,SMALL(IF($A$3:$A$14312=BW$3,ROW($A$3:$A$14312)),ROW(60:60)),2))</f>
        <v/>
      </c>
      <c r="BX62" t="str">
        <f t="array" ref="BX62">IF(ISERROR(INDEX($A$3:$B$14312,SMALL(IF($A$3:$A$14312=BX$3,ROW($A$3:$A$14312)),ROW(60:60)),2)),"",INDEX($A$3:$B$14312,SMALL(IF($A$3:$A$14312=BX$3,ROW($A$3:$A$14312)),ROW(60:60)),2))</f>
        <v/>
      </c>
      <c r="BY62" t="str">
        <f t="array" ref="BY62">IF(ISERROR(INDEX($A$3:$B$14312,SMALL(IF($A$3:$A$14312=BY$3,ROW($A$3:$A$14312)),ROW(60:60)),2)),"",INDEX($A$3:$B$14312,SMALL(IF($A$3:$A$14312=BY$3,ROW($A$3:$A$14312)),ROW(60:60)),2))</f>
        <v/>
      </c>
      <c r="BZ62" t="str">
        <f t="array" ref="BZ62">IF(ISERROR(INDEX($A$3:$B$14312,SMALL(IF($A$3:$A$14312=BZ$3,ROW($A$3:$A$14312)),ROW(60:60)),2)),"",INDEX($A$3:$B$14312,SMALL(IF($A$3:$A$14312=BZ$3,ROW($A$3:$A$14312)),ROW(60:60)),2))</f>
        <v/>
      </c>
      <c r="CA62" t="str">
        <f t="array" ref="CA62">IF(ISERROR(INDEX($A$3:$B$14312,SMALL(IF($A$3:$A$14312=CA$3,ROW($A$3:$A$14312)),ROW(60:60)),2)),"",INDEX($A$3:$B$14312,SMALL(IF($A$3:$A$14312=CA$3,ROW($A$3:$A$14312)),ROW(60:60)),2))</f>
        <v/>
      </c>
      <c r="CB62" t="str">
        <f t="array" ref="CB62">IF(ISERROR(INDEX($A$3:$B$14312,SMALL(IF($A$3:$A$14312=CB$3,ROW($A$3:$A$14312)),ROW(60:60)),2)),"",INDEX($A$3:$B$14312,SMALL(IF($A$3:$A$14312=CB$3,ROW($A$3:$A$14312)),ROW(60:60)),2))</f>
        <v/>
      </c>
      <c r="CC62" t="str">
        <f t="array" ref="CC62">IF(ISERROR(INDEX($A$3:$B$14312,SMALL(IF($A$3:$A$14312=CC$3,ROW($A$3:$A$14312)),ROW(60:60)),2)),"",INDEX($A$3:$B$14312,SMALL(IF($A$3:$A$14312=CC$3,ROW($A$3:$A$14312)),ROW(60:60)),2))</f>
        <v/>
      </c>
      <c r="CD62" t="str">
        <f t="array" ref="CD62">IF(ISERROR(INDEX($A$3:$B$14312,SMALL(IF($A$3:$A$14312=CD$3,ROW($A$3:$A$14312)),ROW(60:60)),2)),"",INDEX($A$3:$B$14312,SMALL(IF($A$3:$A$14312=CD$3,ROW($A$3:$A$14312)),ROW(60:60)),2))</f>
        <v/>
      </c>
      <c r="CE62" t="str">
        <f t="array" ref="CE62">IF(ISERROR(INDEX($A$3:$B$14312,SMALL(IF($A$3:$A$14312=CE$3,ROW($A$3:$A$14312)),ROW(60:60)),2)),"",INDEX($A$3:$B$14312,SMALL(IF($A$3:$A$14312=CE$3,ROW($A$3:$A$14312)),ROW(60:60)),2))</f>
        <v/>
      </c>
      <c r="CF62" t="str">
        <f t="array" ref="CF62">IF(ISERROR(INDEX($A$3:$B$14312,SMALL(IF($A$3:$A$14312=CF$3,ROW($A$3:$A$14312)),ROW(60:60)),2)),"",INDEX($A$3:$B$14312,SMALL(IF($A$3:$A$14312=CF$3,ROW($A$3:$A$14312)),ROW(60:60)),2))</f>
        <v/>
      </c>
      <c r="CG62" t="str">
        <f t="array" ref="CG62">IF(ISERROR(INDEX($A$3:$B$14312,SMALL(IF($A$3:$A$14312=CG$3,ROW($A$3:$A$14312)),ROW(60:60)),2)),"",INDEX($A$3:$B$14312,SMALL(IF($A$3:$A$14312=CG$3,ROW($A$3:$A$14312)),ROW(60:60)),2))</f>
        <v/>
      </c>
      <c r="CH62" t="str">
        <f t="array" ref="CH62">IF(ISERROR(INDEX($A$3:$B$14312,SMALL(IF($A$3:$A$14312=CH$3,ROW($A$3:$A$14312)),ROW(60:60)),2)),"",INDEX($A$3:$B$14312,SMALL(IF($A$3:$A$14312=CH$3,ROW($A$3:$A$14312)),ROW(60:60)),2))</f>
        <v/>
      </c>
      <c r="CI62" t="str">
        <f t="array" ref="CI62">IF(ISERROR(INDEX($A$3:$B$14312,SMALL(IF($A$3:$A$14312=CI$3,ROW($A$3:$A$14312)),ROW(60:60)),2)),"",INDEX($A$3:$B$14312,SMALL(IF($A$3:$A$14312=CI$3,ROW($A$3:$A$14312)),ROW(60:60)),2))</f>
        <v/>
      </c>
      <c r="CJ62" t="str">
        <f t="array" ref="CJ62">IF(ISERROR(INDEX($A$3:$B$14312,SMALL(IF($A$3:$A$14312=CJ$3,ROW($A$3:$A$14312)),ROW(60:60)),2)),"",INDEX($A$3:$B$14312,SMALL(IF($A$3:$A$14312=CJ$3,ROW($A$3:$A$14312)),ROW(60:60)),2))</f>
        <v/>
      </c>
      <c r="CK62" t="str">
        <f t="array" ref="CK62">IF(ISERROR(INDEX($A$3:$B$14312,SMALL(IF($A$3:$A$14312=CK$3,ROW($A$3:$A$14312)),ROW(60:60)),2)),"",INDEX($A$3:$B$14312,SMALL(IF($A$3:$A$14312=CK$3,ROW($A$3:$A$14312)),ROW(60:60)),2))</f>
        <v/>
      </c>
      <c r="CL62" t="str">
        <f t="array" ref="CL62">IF(ISERROR(INDEX($A$3:$B$14312,SMALL(IF($A$3:$A$14312=CL$3,ROW($A$3:$A$14312)),ROW(60:60)),2)),"",INDEX($A$3:$B$14312,SMALL(IF($A$3:$A$14312=CL$3,ROW($A$3:$A$14312)),ROW(60:60)),2))</f>
        <v/>
      </c>
      <c r="CM62" t="str">
        <f t="array" ref="CM62">IF(ISERROR(INDEX($A$3:$B$14312,SMALL(IF($A$3:$A$14312=CM$3,ROW($A$3:$A$14312)),ROW(60:60)),2)),"",INDEX($A$3:$B$14312,SMALL(IF($A$3:$A$14312=CM$3,ROW($A$3:$A$14312)),ROW(60:60)),2))</f>
        <v/>
      </c>
      <c r="CN62" t="str">
        <f t="array" ref="CN62">IF(ISERROR(INDEX($A$3:$B$14312,SMALL(IF($A$3:$A$14312=CN$3,ROW($A$3:$A$14312)),ROW(60:60)),2)),"",INDEX($A$3:$B$14312,SMALL(IF($A$3:$A$14312=CN$3,ROW($A$3:$A$14312)),ROW(60:60)),2))</f>
        <v/>
      </c>
      <c r="CO62" t="str">
        <f t="array" ref="CO62">IF(ISERROR(INDEX($A$3:$B$14312,SMALL(IF($A$3:$A$14312=CO$3,ROW($A$3:$A$14312)),ROW(60:60)),2)),"",INDEX($A$3:$B$14312,SMALL(IF($A$3:$A$14312=CO$3,ROW($A$3:$A$14312)),ROW(60:60)),2))</f>
        <v/>
      </c>
      <c r="CP62" t="str">
        <f t="array" ref="CP62">IF(ISERROR(INDEX($A$3:$B$14312,SMALL(IF($A$3:$A$14312=CP$3,ROW($A$3:$A$14312)),ROW(60:60)),2)),"",INDEX($A$3:$B$14312,SMALL(IF($A$3:$A$14312=CP$3,ROW($A$3:$A$14312)),ROW(60:60)),2))</f>
        <v/>
      </c>
      <c r="CQ62" t="str">
        <f t="array" ref="CQ62">IF(ISERROR(INDEX($A$3:$B$14312,SMALL(IF($A$3:$A$14312=CQ$3,ROW($A$3:$A$14312)),ROW(60:60)),2)),"",INDEX($A$3:$B$14312,SMALL(IF($A$3:$A$14312=CQ$3,ROW($A$3:$A$14312)),ROW(60:60)),2))</f>
        <v/>
      </c>
      <c r="CR62" t="str">
        <f t="array" ref="CR62">IF(ISERROR(INDEX($A$3:$B$14312,SMALL(IF($A$3:$A$14312=CR$3,ROW($A$3:$A$14312)),ROW(60:60)),2)),"",INDEX($A$3:$B$14312,SMALL(IF($A$3:$A$14312=CR$3,ROW($A$3:$A$14312)),ROW(60:60)),2))</f>
        <v/>
      </c>
      <c r="CS62" t="str">
        <f t="array" ref="CS62">IF(ISERROR(INDEX($A$3:$B$14312,SMALL(IF($A$3:$A$14312=CS$3,ROW($A$3:$A$14312)),ROW(60:60)),2)),"",INDEX($A$3:$B$14312,SMALL(IF($A$3:$A$14312=CS$3,ROW($A$3:$A$14312)),ROW(60:60)),2))</f>
        <v/>
      </c>
      <c r="CT62" t="str">
        <f t="array" ref="CT62">IF(ISERROR(INDEX($A$3:$B$14312,SMALL(IF($A$3:$A$14312=CT$3,ROW($A$3:$A$14312)),ROW(60:60)),2)),"",INDEX($A$3:$B$14312,SMALL(IF($A$3:$A$14312=CT$3,ROW($A$3:$A$14312)),ROW(60:60)),2))</f>
        <v/>
      </c>
      <c r="CU62" t="str">
        <f t="array" ref="CU62">IF(ISERROR(INDEX($A$3:$B$14312,SMALL(IF($A$3:$A$14312=CU$3,ROW($A$3:$A$14312)),ROW(60:60)),2)),"",INDEX($A$3:$B$14312,SMALL(IF($A$3:$A$14312=CU$3,ROW($A$3:$A$14312)),ROW(60:60)),2))</f>
        <v/>
      </c>
      <c r="CV62" t="str">
        <f t="array" ref="CV62">IF(ISERROR(INDEX($A$3:$B$14312,SMALL(IF($A$3:$A$14312=CV$3,ROW($A$3:$A$14312)),ROW(60:60)),2)),"",INDEX($A$3:$B$14312,SMALL(IF($A$3:$A$14312=CV$3,ROW($A$3:$A$14312)),ROW(60:60)),2))</f>
        <v/>
      </c>
      <c r="CW62" t="str">
        <f t="array" ref="CW62">IF(ISERROR(INDEX($A$3:$B$14312,SMALL(IF($A$3:$A$14312=CW$3,ROW($A$3:$A$14312)),ROW(60:60)),2)),"",INDEX($A$3:$B$14312,SMALL(IF($A$3:$A$14312=CW$3,ROW($A$3:$A$14312)),ROW(60:60)),2))</f>
        <v/>
      </c>
      <c r="CX62" t="str">
        <f t="array" ref="CX62">IF(ISERROR(INDEX($A$3:$B$14312,SMALL(IF($A$3:$A$14312=CX$3,ROW($A$3:$A$14312)),ROW(60:60)),2)),"",INDEX($A$3:$B$14312,SMALL(IF($A$3:$A$14312=CX$3,ROW($A$3:$A$14312)),ROW(60:60)),2))</f>
        <v/>
      </c>
      <c r="CY62" t="str">
        <f t="array" ref="CY62">IF(ISERROR(INDEX($A$3:$B$14312,SMALL(IF($A$3:$A$14312=CY$3,ROW($A$3:$A$14312)),ROW(60:60)),2)),"",INDEX($A$3:$B$14312,SMALL(IF($A$3:$A$14312=CY$3,ROW($A$3:$A$14312)),ROW(60:60)),2))</f>
        <v/>
      </c>
      <c r="CZ62" t="str">
        <f t="array" ref="CZ62">IF(ISERROR(INDEX($A$3:$B$14312,SMALL(IF($A$3:$A$14312=CZ$3,ROW($A$3:$A$14312)),ROW(60:60)),2)),"",INDEX($A$3:$B$14312,SMALL(IF($A$3:$A$14312=CZ$3,ROW($A$3:$A$14312)),ROW(60:60)),2))</f>
        <v/>
      </c>
      <c r="DA62" t="str">
        <f t="array" ref="DA62">IF(ISERROR(INDEX($A$3:$B$14312,SMALL(IF($A$3:$A$14312=DA$3,ROW($A$3:$A$14312)),ROW(60:60)),2)),"",INDEX($A$3:$B$14312,SMALL(IF($A$3:$A$14312=DA$3,ROW($A$3:$A$14312)),ROW(60:60)),2))</f>
        <v/>
      </c>
      <c r="DB62" t="str">
        <f t="array" ref="DB62">IF(ISERROR(INDEX($A$3:$B$14312,SMALL(IF($A$3:$A$14312=DB$3,ROW($A$3:$A$14312)),ROW(60:60)),2)),"",INDEX($A$3:$B$14312,SMALL(IF($A$3:$A$14312=DB$3,ROW($A$3:$A$14312)),ROW(60:60)),2))</f>
        <v/>
      </c>
      <c r="DC62" t="str">
        <f t="array" ref="DC62">IF(ISERROR(INDEX($A$3:$B$14312,SMALL(IF($A$3:$A$14312=DC$3,ROW($A$3:$A$14312)),ROW(60:60)),2)),"",INDEX($A$3:$B$14312,SMALL(IF($A$3:$A$14312=DC$3,ROW($A$3:$A$14312)),ROW(60:60)),2))</f>
        <v/>
      </c>
      <c r="DD62" t="str">
        <f t="array" ref="DD62">IF(ISERROR(INDEX($A$3:$B$14312,SMALL(IF($A$3:$A$14312=DD$3,ROW($A$3:$A$14312)),ROW(60:60)),2)),"",INDEX($A$3:$B$14312,SMALL(IF($A$3:$A$14312=DD$3,ROW($A$3:$A$14312)),ROW(60:60)),2))</f>
        <v/>
      </c>
      <c r="DE62" t="str">
        <f t="array" ref="DE62">IF(ISERROR(INDEX($A$3:$B$14312,SMALL(IF($A$3:$A$14312=DE$3,ROW($A$3:$A$14312)),ROW(60:60)),2)),"",INDEX($A$3:$B$14312,SMALL(IF($A$3:$A$14312=DE$3,ROW($A$3:$A$14312)),ROW(60:60)),2))</f>
        <v/>
      </c>
      <c r="DF62" t="str">
        <f t="array" ref="DF62">IF(ISERROR(INDEX($A$3:$B$14312,SMALL(IF($A$3:$A$14312=DF$3,ROW($A$3:$A$14312)),ROW(60:60)),2)),"",INDEX($A$3:$B$14312,SMALL(IF($A$3:$A$14312=DF$3,ROW($A$3:$A$14312)),ROW(60:60)),2))</f>
        <v/>
      </c>
      <c r="DG62" t="str">
        <f t="array" ref="DG62">IF(ISERROR(INDEX($A$3:$B$14312,SMALL(IF($A$3:$A$14312=DG$3,ROW($A$3:$A$14312)),ROW(60:60)),2)),"",INDEX($A$3:$B$14312,SMALL(IF($A$3:$A$14312=DG$3,ROW($A$3:$A$14312)),ROW(60:60)),2))</f>
        <v/>
      </c>
      <c r="DH62" t="str">
        <f t="array" ref="DH62">IF(ISERROR(INDEX($A$3:$B$14312,SMALL(IF($A$3:$A$14312=DH$3,ROW($A$3:$A$14312)),ROW(60:60)),2)),"",INDEX($A$3:$B$14312,SMALL(IF($A$3:$A$14312=DH$3,ROW($A$3:$A$14312)),ROW(60:60)),2))</f>
        <v/>
      </c>
      <c r="DI62" t="str">
        <f t="array" ref="DI62">IF(ISERROR(INDEX($A$3:$B$14312,SMALL(IF($A$3:$A$14312=DI$3,ROW($A$3:$A$14312)),ROW(60:60)),2)),"",INDEX($A$3:$B$14312,SMALL(IF($A$3:$A$14312=DI$3,ROW($A$3:$A$14312)),ROW(60:60)),2))</f>
        <v/>
      </c>
      <c r="DJ62" t="str">
        <f t="array" ref="DJ62">IF(ISERROR(INDEX($A$3:$B$14312,SMALL(IF($A$3:$A$14312=DJ$3,ROW($A$3:$A$14312)),ROW(60:60)),2)),"",INDEX($A$3:$B$14312,SMALL(IF($A$3:$A$14312=DJ$3,ROW($A$3:$A$14312)),ROW(60:60)),2))</f>
        <v/>
      </c>
      <c r="DK62" t="str">
        <f t="array" ref="DK62">IF(ISERROR(INDEX($A$3:$B$14312,SMALL(IF($A$3:$A$14312=DK$3,ROW($A$3:$A$14312)),ROW(60:60)),2)),"",INDEX($A$3:$B$14312,SMALL(IF($A$3:$A$14312=DK$3,ROW($A$3:$A$14312)),ROW(60:60)),2))</f>
        <v/>
      </c>
      <c r="DL62" t="str">
        <f t="array" ref="DL62">IF(ISERROR(INDEX($A$3:$B$14312,SMALL(IF($A$3:$A$14312=DL$3,ROW($A$3:$A$14312)),ROW(60:60)),2)),"",INDEX($A$3:$B$14312,SMALL(IF($A$3:$A$14312=DL$3,ROW($A$3:$A$14312)),ROW(60:60)),2))</f>
        <v/>
      </c>
      <c r="DM62" t="str">
        <f t="array" ref="DM62">IF(ISERROR(INDEX($A$3:$B$14312,SMALL(IF($A$3:$A$14312=DM$3,ROW($A$3:$A$14312)),ROW(60:60)),2)),"",INDEX($A$3:$B$14312,SMALL(IF($A$3:$A$14312=DM$3,ROW($A$3:$A$14312)),ROW(60:60)),2))</f>
        <v/>
      </c>
      <c r="DN62" t="str">
        <f t="array" ref="DN62">IF(ISERROR(INDEX($A$3:$B$14312,SMALL(IF($A$3:$A$14312=DN$3,ROW($A$3:$A$14312)),ROW(60:60)),2)),"",INDEX($A$3:$B$14312,SMALL(IF($A$3:$A$14312=DN$3,ROW($A$3:$A$14312)),ROW(60:60)),2))</f>
        <v/>
      </c>
      <c r="DO62" t="str">
        <f t="array" ref="DO62">IF(ISERROR(INDEX($A$3:$B$14312,SMALL(IF($A$3:$A$14312=DO$3,ROW($A$3:$A$14312)),ROW(60:60)),2)),"",INDEX($A$3:$B$14312,SMALL(IF($A$3:$A$14312=DO$3,ROW($A$3:$A$14312)),ROW(60:60)),2))</f>
        <v/>
      </c>
      <c r="DP62" t="str">
        <f t="array" ref="DP62">IF(ISERROR(INDEX($A$3:$B$14312,SMALL(IF($A$3:$A$14312=DP$3,ROW($A$3:$A$14312)),ROW(60:60)),2)),"",INDEX($A$3:$B$14312,SMALL(IF($A$3:$A$14312=DP$3,ROW($A$3:$A$14312)),ROW(60:60)),2))</f>
        <v/>
      </c>
      <c r="DQ62" t="str">
        <f t="array" ref="DQ62">IF(ISERROR(INDEX($A$3:$B$14312,SMALL(IF($A$3:$A$14312=DQ$3,ROW($A$3:$A$14312)),ROW(60:60)),2)),"",INDEX($A$3:$B$14312,SMALL(IF($A$3:$A$14312=DQ$3,ROW($A$3:$A$14312)),ROW(60:60)),2))</f>
        <v/>
      </c>
      <c r="DR62" t="str">
        <f t="array" ref="DR62">IF(ISERROR(INDEX($A$3:$B$14312,SMALL(IF($A$3:$A$14312=DR$3,ROW($A$3:$A$14312)),ROW(60:60)),2)),"",INDEX($A$3:$B$14312,SMALL(IF($A$3:$A$14312=DR$3,ROW($A$3:$A$14312)),ROW(60:60)),2))</f>
        <v/>
      </c>
      <c r="DS62" t="str">
        <f t="array" ref="DS62">IF(ISERROR(INDEX($A$3:$B$14312,SMALL(IF($A$3:$A$14312=DS$3,ROW($A$3:$A$14312)),ROW(60:60)),2)),"",INDEX($A$3:$B$14312,SMALL(IF($A$3:$A$14312=DS$3,ROW($A$3:$A$14312)),ROW(60:60)),2))</f>
        <v/>
      </c>
      <c r="DT62" t="str">
        <f t="array" ref="DT62">IF(ISERROR(INDEX($A$3:$B$14312,SMALL(IF($A$3:$A$14312=DT$3,ROW($A$3:$A$14312)),ROW(60:60)),2)),"",INDEX($A$3:$B$14312,SMALL(IF($A$3:$A$14312=DT$3,ROW($A$3:$A$14312)),ROW(60:60)),2))</f>
        <v/>
      </c>
      <c r="DU62" t="str">
        <f t="array" ref="DU62">IF(ISERROR(INDEX($A$3:$B$14312,SMALL(IF($A$3:$A$14312=DU$3,ROW($A$3:$A$14312)),ROW(60:60)),2)),"",INDEX($A$3:$B$14312,SMALL(IF($A$3:$A$14312=DU$3,ROW($A$3:$A$14312)),ROW(60:60)),2))</f>
        <v/>
      </c>
      <c r="DV62" t="str">
        <f t="array" ref="DV62">IF(ISERROR(INDEX($A$3:$B$14312,SMALL(IF($A$3:$A$14312=DV$3,ROW($A$3:$A$14312)),ROW(60:60)),2)),"",INDEX($A$3:$B$14312,SMALL(IF($A$3:$A$14312=DV$3,ROW($A$3:$A$14312)),ROW(60:60)),2))</f>
        <v/>
      </c>
      <c r="DW62" t="str">
        <f t="array" ref="DW62">IF(ISERROR(INDEX($A$3:$B$14312,SMALL(IF($A$3:$A$14312=DW$3,ROW($A$3:$A$14312)),ROW(60:60)),2)),"",INDEX($A$3:$B$14312,SMALL(IF($A$3:$A$14312=DW$3,ROW($A$3:$A$14312)),ROW(60:60)),2))</f>
        <v/>
      </c>
      <c r="DX62" t="str">
        <f t="array" ref="DX62">IF(ISERROR(INDEX($A$3:$B$14312,SMALL(IF($A$3:$A$14312=DX$3,ROW($A$3:$A$14312)),ROW(60:60)),2)),"",INDEX($A$3:$B$14312,SMALL(IF($A$3:$A$14312=DX$3,ROW($A$3:$A$14312)),ROW(60:60)),2))</f>
        <v/>
      </c>
      <c r="DY62" t="str">
        <f t="array" ref="DY62">IF(ISERROR(INDEX($A$3:$B$14312,SMALL(IF($A$3:$A$14312=DY$3,ROW($A$3:$A$14312)),ROW(60:60)),2)),"",INDEX($A$3:$B$14312,SMALL(IF($A$3:$A$14312=DY$3,ROW($A$3:$A$14312)),ROW(60:60)),2))</f>
        <v/>
      </c>
      <c r="DZ62" t="str">
        <f t="array" ref="DZ62">IF(ISERROR(INDEX($A$3:$B$14312,SMALL(IF($A$3:$A$14312=DZ$3,ROW($A$3:$A$14312)),ROW(60:60)),2)),"",INDEX($A$3:$B$14312,SMALL(IF($A$3:$A$14312=DZ$3,ROW($A$3:$A$14312)),ROW(60:60)),2))</f>
        <v/>
      </c>
      <c r="EA62" t="str">
        <f t="array" ref="EA62">IF(ISERROR(INDEX($A$3:$B$14312,SMALL(IF($A$3:$A$14312=EA$3,ROW($A$3:$A$14312)),ROW(60:60)),2)),"",INDEX($A$3:$B$14312,SMALL(IF($A$3:$A$14312=EA$3,ROW($A$3:$A$14312)),ROW(60:60)),2))</f>
        <v/>
      </c>
      <c r="EB62" t="str">
        <f t="array" ref="EB62">IF(ISERROR(INDEX($A$3:$B$14312,SMALL(IF($A$3:$A$14312=EB$3,ROW($A$3:$A$14312)),ROW(60:60)),2)),"",INDEX($A$3:$B$14312,SMALL(IF($A$3:$A$14312=EB$3,ROW($A$3:$A$14312)),ROW(60:60)),2))</f>
        <v/>
      </c>
      <c r="EC62" t="str">
        <f t="array" ref="EC62">IF(ISERROR(INDEX($A$3:$B$14312,SMALL(IF($A$3:$A$14312=EC$3,ROW($A$3:$A$14312)),ROW(60:60)),2)),"",INDEX($A$3:$B$14312,SMALL(IF($A$3:$A$14312=EC$3,ROW($A$3:$A$14312)),ROW(60:60)),2))</f>
        <v/>
      </c>
      <c r="ED62" t="str">
        <f t="array" ref="ED62">IF(ISERROR(INDEX($A$3:$B$14312,SMALL(IF($A$3:$A$14312=ED$3,ROW($A$3:$A$14312)),ROW(60:60)),2)),"",INDEX($A$3:$B$14312,SMALL(IF($A$3:$A$14312=ED$3,ROW($A$3:$A$14312)),ROW(60:60)),2))</f>
        <v/>
      </c>
      <c r="EE62" t="str">
        <f t="array" ref="EE62">IF(ISERROR(INDEX($A$3:$B$14312,SMALL(IF($A$3:$A$14312=EE$3,ROW($A$3:$A$14312)),ROW(60:60)),2)),"",INDEX($A$3:$B$14312,SMALL(IF($A$3:$A$14312=EE$3,ROW($A$3:$A$14312)),ROW(60:60)),2))</f>
        <v/>
      </c>
    </row>
    <row r="63" spans="1:135" x14ac:dyDescent="0.25">
      <c r="A63" s="10">
        <v>-424987519</v>
      </c>
      <c r="B63" t="s">
        <v>1112</v>
      </c>
      <c r="E63" t="str">
        <f t="array" ref="E63">IF(ISERROR(INDEX($A$3:$B$14312,SMALL(IF($A$3:$A$14312=E$3,ROW($A$3:$A$14312)),ROW(61:61)),2)),"",INDEX($A$3:$B$14312,SMALL(IF($A$3:$A$14312=E$3,ROW($A$3:$A$14312)),ROW(61:61)),2))</f>
        <v/>
      </c>
      <c r="F63" t="str">
        <f t="array" ref="F63">IF(ISERROR(INDEX($A$3:$B$14312,SMALL(IF($A$3:$A$14312=F$3,ROW($A$3:$A$14312)),ROW(61:61)),2)),"",INDEX($A$3:$B$14312,SMALL(IF($A$3:$A$14312=F$3,ROW($A$3:$A$14312)),ROW(61:61)),2))</f>
        <v/>
      </c>
      <c r="G63" t="str">
        <f t="array" ref="G63">IF(ISERROR(INDEX($A$3:$B$14312,SMALL(IF($A$3:$A$14312=G$3,ROW($A$3:$A$14312)),ROW(61:61)),2)),"",INDEX($A$3:$B$14312,SMALL(IF($A$3:$A$14312=G$3,ROW($A$3:$A$14312)),ROW(61:61)),2))</f>
        <v/>
      </c>
      <c r="H63" t="str">
        <f t="array" ref="H63">IF(ISERROR(INDEX($A$3:$B$14312,SMALL(IF($A$3:$A$14312=H$3,ROW($A$3:$A$14312)),ROW(61:61)),2)),"",INDEX($A$3:$B$14312,SMALL(IF($A$3:$A$14312=H$3,ROW($A$3:$A$14312)),ROW(61:61)),2))</f>
        <v/>
      </c>
      <c r="I63" t="str">
        <f t="array" ref="I63">IF(ISERROR(INDEX($A$3:$B$14312,SMALL(IF($A$3:$A$14312=I$3,ROW($A$3:$A$14312)),ROW(61:61)),2)),"",INDEX($A$3:$B$14312,SMALL(IF($A$3:$A$14312=I$3,ROW($A$3:$A$14312)),ROW(61:61)),2))</f>
        <v/>
      </c>
      <c r="J63" t="str">
        <f t="array" ref="J63">IF(ISERROR(INDEX($A$3:$B$14312,SMALL(IF($A$3:$A$14312=J$3,ROW($A$3:$A$14312)),ROW(61:61)),2)),"",INDEX($A$3:$B$14312,SMALL(IF($A$3:$A$14312=J$3,ROW($A$3:$A$14312)),ROW(61:61)),2))</f>
        <v/>
      </c>
      <c r="K63" t="str">
        <f t="array" ref="K63">IF(ISERROR(INDEX($A$3:$B$14312,SMALL(IF($A$3:$A$14312=K$3,ROW($A$3:$A$14312)),ROW(61:61)),2)),"",INDEX($A$3:$B$14312,SMALL(IF($A$3:$A$14312=K$3,ROW($A$3:$A$14312)),ROW(61:61)),2))</f>
        <v/>
      </c>
      <c r="L63" t="str">
        <f t="array" ref="L63">IF(ISERROR(INDEX($A$3:$B$14312,SMALL(IF($A$3:$A$14312=L$3,ROW($A$3:$A$14312)),ROW(61:61)),2)),"",INDEX($A$3:$B$14312,SMALL(IF($A$3:$A$14312=L$3,ROW($A$3:$A$14312)),ROW(61:61)),2))</f>
        <v/>
      </c>
      <c r="M63" t="str">
        <f t="array" ref="M63">IF(ISERROR(INDEX($A$3:$B$14312,SMALL(IF($A$3:$A$14312=M$3,ROW($A$3:$A$14312)),ROW(61:61)),2)),"",INDEX($A$3:$B$14312,SMALL(IF($A$3:$A$14312=M$3,ROW($A$3:$A$14312)),ROW(61:61)),2))</f>
        <v/>
      </c>
      <c r="N63" t="str">
        <f t="array" ref="N63">IF(ISERROR(INDEX($A$3:$B$14312,SMALL(IF($A$3:$A$14312=N$3,ROW($A$3:$A$14312)),ROW(61:61)),2)),"",INDEX($A$3:$B$14312,SMALL(IF($A$3:$A$14312=N$3,ROW($A$3:$A$14312)),ROW(61:61)),2))</f>
        <v/>
      </c>
      <c r="O63" t="str">
        <f t="array" ref="O63">IF(ISERROR(INDEX($A$3:$B$14312,SMALL(IF($A$3:$A$14312=O$3,ROW($A$3:$A$14312)),ROW(61:61)),2)),"",INDEX($A$3:$B$14312,SMALL(IF($A$3:$A$14312=O$3,ROW($A$3:$A$14312)),ROW(61:61)),2))</f>
        <v/>
      </c>
      <c r="P63" t="str">
        <f t="array" ref="P63">IF(ISERROR(INDEX($A$3:$B$14312,SMALL(IF($A$3:$A$14312=P$3,ROW($A$3:$A$14312)),ROW(61:61)),2)),"",INDEX($A$3:$B$14312,SMALL(IF($A$3:$A$14312=P$3,ROW($A$3:$A$14312)),ROW(61:61)),2))</f>
        <v/>
      </c>
      <c r="Q63" t="str">
        <f t="array" ref="Q63">IF(ISERROR(INDEX($A$3:$B$14312,SMALL(IF($A$3:$A$14312=Q$3,ROW($A$3:$A$14312)),ROW(61:61)),2)),"",INDEX($A$3:$B$14312,SMALL(IF($A$3:$A$14312=Q$3,ROW($A$3:$A$14312)),ROW(61:61)),2))</f>
        <v/>
      </c>
      <c r="R63" t="str">
        <f t="array" ref="R63">IF(ISERROR(INDEX($A$3:$B$14312,SMALL(IF($A$3:$A$14312=R$3,ROW($A$3:$A$14312)),ROW(61:61)),2)),"",INDEX($A$3:$B$14312,SMALL(IF($A$3:$A$14312=R$3,ROW($A$3:$A$14312)),ROW(61:61)),2))</f>
        <v/>
      </c>
      <c r="S63" t="str">
        <f t="array" ref="S63">IF(ISERROR(INDEX($A$3:$B$14312,SMALL(IF($A$3:$A$14312=S$3,ROW($A$3:$A$14312)),ROW(61:61)),2)),"",INDEX($A$3:$B$14312,SMALL(IF($A$3:$A$14312=S$3,ROW($A$3:$A$14312)),ROW(61:61)),2))</f>
        <v/>
      </c>
      <c r="T63" t="str">
        <f t="array" ref="T63">IF(ISERROR(INDEX($A$3:$B$14312,SMALL(IF($A$3:$A$14312=T$3,ROW($A$3:$A$14312)),ROW(61:61)),2)),"",INDEX($A$3:$B$14312,SMALL(IF($A$3:$A$14312=T$3,ROW($A$3:$A$14312)),ROW(61:61)),2))</f>
        <v/>
      </c>
      <c r="U63" t="str">
        <f t="array" ref="U63">IF(ISERROR(INDEX($A$3:$B$14312,SMALL(IF($A$3:$A$14312=U$3,ROW($A$3:$A$14312)),ROW(61:61)),2)),"",INDEX($A$3:$B$14312,SMALL(IF($A$3:$A$14312=U$3,ROW($A$3:$A$14312)),ROW(61:61)),2))</f>
        <v/>
      </c>
      <c r="V63" t="str">
        <f t="array" ref="V63">IF(ISERROR(INDEX($A$3:$B$14312,SMALL(IF($A$3:$A$14312=V$3,ROW($A$3:$A$14312)),ROW(61:61)),2)),"",INDEX($A$3:$B$14312,SMALL(IF($A$3:$A$14312=V$3,ROW($A$3:$A$14312)),ROW(61:61)),2))</f>
        <v/>
      </c>
      <c r="W63" t="str">
        <f t="array" ref="W63">IF(ISERROR(INDEX($A$3:$B$14312,SMALL(IF($A$3:$A$14312=W$3,ROW($A$3:$A$14312)),ROW(61:61)),2)),"",INDEX($A$3:$B$14312,SMALL(IF($A$3:$A$14312=W$3,ROW($A$3:$A$14312)),ROW(61:61)),2))</f>
        <v/>
      </c>
      <c r="X63" t="str">
        <f t="array" ref="X63">IF(ISERROR(INDEX($A$3:$B$14312,SMALL(IF($A$3:$A$14312=X$3,ROW($A$3:$A$14312)),ROW(61:61)),2)),"",INDEX($A$3:$B$14312,SMALL(IF($A$3:$A$14312=X$3,ROW($A$3:$A$14312)),ROW(61:61)),2))</f>
        <v/>
      </c>
      <c r="Y63" t="str">
        <f t="array" ref="Y63">IF(ISERROR(INDEX($A$3:$B$14312,SMALL(IF($A$3:$A$14312=Y$3,ROW($A$3:$A$14312)),ROW(61:61)),2)),"",INDEX($A$3:$B$14312,SMALL(IF($A$3:$A$14312=Y$3,ROW($A$3:$A$14312)),ROW(61:61)),2))</f>
        <v/>
      </c>
      <c r="Z63" t="str">
        <f t="array" ref="Z63">IF(ISERROR(INDEX($A$3:$B$14312,SMALL(IF($A$3:$A$14312=Z$3,ROW($A$3:$A$14312)),ROW(61:61)),2)),"",INDEX($A$3:$B$14312,SMALL(IF($A$3:$A$14312=Z$3,ROW($A$3:$A$14312)),ROW(61:61)),2))</f>
        <v/>
      </c>
      <c r="AA63" t="str">
        <f t="array" ref="AA63">IF(ISERROR(INDEX($A$3:$B$14312,SMALL(IF($A$3:$A$14312=AA$3,ROW($A$3:$A$14312)),ROW(61:61)),2)),"",INDEX($A$3:$B$14312,SMALL(IF($A$3:$A$14312=AA$3,ROW($A$3:$A$14312)),ROW(61:61)),2))</f>
        <v/>
      </c>
      <c r="AB63" t="str">
        <f t="array" ref="AB63">IF(ISERROR(INDEX($A$3:$B$14312,SMALL(IF($A$3:$A$14312=AB$3,ROW($A$3:$A$14312)),ROW(61:61)),2)),"",INDEX($A$3:$B$14312,SMALL(IF($A$3:$A$14312=AB$3,ROW($A$3:$A$14312)),ROW(61:61)),2))</f>
        <v/>
      </c>
      <c r="AC63" t="str">
        <f t="array" ref="AC63">IF(ISERROR(INDEX($A$3:$B$14312,SMALL(IF($A$3:$A$14312=AC$3,ROW($A$3:$A$14312)),ROW(61:61)),2)),"",INDEX($A$3:$B$14312,SMALL(IF($A$3:$A$14312=AC$3,ROW($A$3:$A$14312)),ROW(61:61)),2))</f>
        <v/>
      </c>
      <c r="AD63" t="str">
        <f t="array" ref="AD63">IF(ISERROR(INDEX($A$3:$B$14312,SMALL(IF($A$3:$A$14312=AD$3,ROW($A$3:$A$14312)),ROW(61:61)),2)),"",INDEX($A$3:$B$14312,SMALL(IF($A$3:$A$14312=AD$3,ROW($A$3:$A$14312)),ROW(61:61)),2))</f>
        <v/>
      </c>
      <c r="AE63" t="str">
        <f t="array" ref="AE63">IF(ISERROR(INDEX($A$3:$B$14312,SMALL(IF($A$3:$A$14312=AE$3,ROW($A$3:$A$14312)),ROW(61:61)),2)),"",INDEX($A$3:$B$14312,SMALL(IF($A$3:$A$14312=AE$3,ROW($A$3:$A$14312)),ROW(61:61)),2))</f>
        <v/>
      </c>
      <c r="AF63" t="str">
        <f t="array" ref="AF63">IF(ISERROR(INDEX($A$3:$B$14312,SMALL(IF($A$3:$A$14312=AF$3,ROW($A$3:$A$14312)),ROW(61:61)),2)),"",INDEX($A$3:$B$14312,SMALL(IF($A$3:$A$14312=AF$3,ROW($A$3:$A$14312)),ROW(61:61)),2))</f>
        <v/>
      </c>
      <c r="AG63" t="str">
        <f t="array" ref="AG63">IF(ISERROR(INDEX($A$3:$B$14312,SMALL(IF($A$3:$A$14312=AG$3,ROW($A$3:$A$14312)),ROW(61:61)),2)),"",INDEX($A$3:$B$14312,SMALL(IF($A$3:$A$14312=AG$3,ROW($A$3:$A$14312)),ROW(61:61)),2))</f>
        <v/>
      </c>
      <c r="AH63" t="str">
        <f t="array" ref="AH63">IF(ISERROR(INDEX($A$3:$B$14312,SMALL(IF($A$3:$A$14312=AH$3,ROW($A$3:$A$14312)),ROW(61:61)),2)),"",INDEX($A$3:$B$14312,SMALL(IF($A$3:$A$14312=AH$3,ROW($A$3:$A$14312)),ROW(61:61)),2))</f>
        <v/>
      </c>
      <c r="AI63" t="str">
        <f t="array" ref="AI63">IF(ISERROR(INDEX($A$3:$B$14312,SMALL(IF($A$3:$A$14312=AI$3,ROW($A$3:$A$14312)),ROW(61:61)),2)),"",INDEX($A$3:$B$14312,SMALL(IF($A$3:$A$14312=AI$3,ROW($A$3:$A$14312)),ROW(61:61)),2))</f>
        <v/>
      </c>
      <c r="AJ63" t="str">
        <f t="array" ref="AJ63">IF(ISERROR(INDEX($A$3:$B$14312,SMALL(IF($A$3:$A$14312=AJ$3,ROW($A$3:$A$14312)),ROW(61:61)),2)),"",INDEX($A$3:$B$14312,SMALL(IF($A$3:$A$14312=AJ$3,ROW($A$3:$A$14312)),ROW(61:61)),2))</f>
        <v/>
      </c>
      <c r="AK63" t="str">
        <f t="array" ref="AK63">IF(ISERROR(INDEX($A$3:$B$14312,SMALL(IF($A$3:$A$14312=AK$3,ROW($A$3:$A$14312)),ROW(61:61)),2)),"",INDEX($A$3:$B$14312,SMALL(IF($A$3:$A$14312=AK$3,ROW($A$3:$A$14312)),ROW(61:61)),2))</f>
        <v/>
      </c>
      <c r="AL63" t="str">
        <f t="array" ref="AL63">IF(ISERROR(INDEX($A$3:$B$14312,SMALL(IF($A$3:$A$14312=AL$3,ROW($A$3:$A$14312)),ROW(61:61)),2)),"",INDEX($A$3:$B$14312,SMALL(IF($A$3:$A$14312=AL$3,ROW($A$3:$A$14312)),ROW(61:61)),2))</f>
        <v/>
      </c>
      <c r="AM63" t="str">
        <f t="array" ref="AM63">IF(ISERROR(INDEX($A$3:$B$14312,SMALL(IF($A$3:$A$14312=AM$3,ROW($A$3:$A$14312)),ROW(61:61)),2)),"",INDEX($A$3:$B$14312,SMALL(IF($A$3:$A$14312=AM$3,ROW($A$3:$A$14312)),ROW(61:61)),2))</f>
        <v/>
      </c>
      <c r="AN63" t="str">
        <f t="array" ref="AN63">IF(ISERROR(INDEX($A$3:$B$14312,SMALL(IF($A$3:$A$14312=AN$3,ROW($A$3:$A$14312)),ROW(61:61)),2)),"",INDEX($A$3:$B$14312,SMALL(IF($A$3:$A$14312=AN$3,ROW($A$3:$A$14312)),ROW(61:61)),2))</f>
        <v/>
      </c>
      <c r="AO63" t="str">
        <f t="array" ref="AO63">IF(ISERROR(INDEX($A$3:$B$14312,SMALL(IF($A$3:$A$14312=AO$3,ROW($A$3:$A$14312)),ROW(61:61)),2)),"",INDEX($A$3:$B$14312,SMALL(IF($A$3:$A$14312=AO$3,ROW($A$3:$A$14312)),ROW(61:61)),2))</f>
        <v/>
      </c>
      <c r="AP63" t="str">
        <f t="array" ref="AP63">IF(ISERROR(INDEX($A$3:$B$14312,SMALL(IF($A$3:$A$14312=AP$3,ROW($A$3:$A$14312)),ROW(61:61)),2)),"",INDEX($A$3:$B$14312,SMALL(IF($A$3:$A$14312=AP$3,ROW($A$3:$A$14312)),ROW(61:61)),2))</f>
        <v/>
      </c>
      <c r="AQ63" t="str">
        <f t="array" ref="AQ63">IF(ISERROR(INDEX($A$3:$B$14312,SMALL(IF($A$3:$A$14312=AQ$3,ROW($A$3:$A$14312)),ROW(61:61)),2)),"",INDEX($A$3:$B$14312,SMALL(IF($A$3:$A$14312=AQ$3,ROW($A$3:$A$14312)),ROW(61:61)),2))</f>
        <v/>
      </c>
      <c r="AR63" t="str">
        <f t="array" ref="AR63">IF(ISERROR(INDEX($A$3:$B$14312,SMALL(IF($A$3:$A$14312=AR$3,ROW($A$3:$A$14312)),ROW(61:61)),2)),"",INDEX($A$3:$B$14312,SMALL(IF($A$3:$A$14312=AR$3,ROW($A$3:$A$14312)),ROW(61:61)),2))</f>
        <v/>
      </c>
      <c r="AS63" t="str">
        <f t="array" ref="AS63">IF(ISERROR(INDEX($A$3:$B$14312,SMALL(IF($A$3:$A$14312=AS$3,ROW($A$3:$A$14312)),ROW(61:61)),2)),"",INDEX($A$3:$B$14312,SMALL(IF($A$3:$A$14312=AS$3,ROW($A$3:$A$14312)),ROW(61:61)),2))</f>
        <v/>
      </c>
      <c r="AT63" t="str">
        <f t="array" ref="AT63">IF(ISERROR(INDEX($A$3:$B$14312,SMALL(IF($A$3:$A$14312=AT$3,ROW($A$3:$A$14312)),ROW(61:61)),2)),"",INDEX($A$3:$B$14312,SMALL(IF($A$3:$A$14312=AT$3,ROW($A$3:$A$14312)),ROW(61:61)),2))</f>
        <v/>
      </c>
      <c r="AU63" t="str">
        <f t="array" ref="AU63">IF(ISERROR(INDEX($A$3:$B$14312,SMALL(IF($A$3:$A$14312=AU$3,ROW($A$3:$A$14312)),ROW(61:61)),2)),"",INDEX($A$3:$B$14312,SMALL(IF($A$3:$A$14312=AU$3,ROW($A$3:$A$14312)),ROW(61:61)),2))</f>
        <v/>
      </c>
      <c r="AV63" t="str">
        <f t="array" ref="AV63">IF(ISERROR(INDEX($A$3:$B$14312,SMALL(IF($A$3:$A$14312=AV$3,ROW($A$3:$A$14312)),ROW(61:61)),2)),"",INDEX($A$3:$B$14312,SMALL(IF($A$3:$A$14312=AV$3,ROW($A$3:$A$14312)),ROW(61:61)),2))</f>
        <v/>
      </c>
      <c r="AW63" t="str">
        <f t="array" ref="AW63">IF(ISERROR(INDEX($A$3:$B$14312,SMALL(IF($A$3:$A$14312=AW$3,ROW($A$3:$A$14312)),ROW(61:61)),2)),"",INDEX($A$3:$B$14312,SMALL(IF($A$3:$A$14312=AW$3,ROW($A$3:$A$14312)),ROW(61:61)),2))</f>
        <v/>
      </c>
      <c r="AX63" t="str">
        <f t="array" ref="AX63">IF(ISERROR(INDEX($A$3:$B$14312,SMALL(IF($A$3:$A$14312=AX$3,ROW($A$3:$A$14312)),ROW(61:61)),2)),"",INDEX($A$3:$B$14312,SMALL(IF($A$3:$A$14312=AX$3,ROW($A$3:$A$14312)),ROW(61:61)),2))</f>
        <v/>
      </c>
      <c r="AY63" t="str">
        <f t="array" ref="AY63">IF(ISERROR(INDEX($A$3:$B$14312,SMALL(IF($A$3:$A$14312=AY$3,ROW($A$3:$A$14312)),ROW(61:61)),2)),"",INDEX($A$3:$B$14312,SMALL(IF($A$3:$A$14312=AY$3,ROW($A$3:$A$14312)),ROW(61:61)),2))</f>
        <v/>
      </c>
      <c r="AZ63" t="str">
        <f t="array" ref="AZ63">IF(ISERROR(INDEX($A$3:$B$14312,SMALL(IF($A$3:$A$14312=AZ$3,ROW($A$3:$A$14312)),ROW(61:61)),2)),"",INDEX($A$3:$B$14312,SMALL(IF($A$3:$A$14312=AZ$3,ROW($A$3:$A$14312)),ROW(61:61)),2))</f>
        <v/>
      </c>
      <c r="BA63" t="str">
        <f t="array" ref="BA63">IF(ISERROR(INDEX($A$3:$B$14312,SMALL(IF($A$3:$A$14312=BA$3,ROW($A$3:$A$14312)),ROW(61:61)),2)),"",INDEX($A$3:$B$14312,SMALL(IF($A$3:$A$14312=BA$3,ROW($A$3:$A$14312)),ROW(61:61)),2))</f>
        <v/>
      </c>
      <c r="BB63" t="str">
        <f t="array" ref="BB63">IF(ISERROR(INDEX($A$3:$B$14312,SMALL(IF($A$3:$A$14312=BB$3,ROW($A$3:$A$14312)),ROW(61:61)),2)),"",INDEX($A$3:$B$14312,SMALL(IF($A$3:$A$14312=BB$3,ROW($A$3:$A$14312)),ROW(61:61)),2))</f>
        <v/>
      </c>
      <c r="BC63" t="str">
        <f t="array" ref="BC63">IF(ISERROR(INDEX($A$3:$B$14312,SMALL(IF($A$3:$A$14312=BC$3,ROW($A$3:$A$14312)),ROW(61:61)),2)),"",INDEX($A$3:$B$14312,SMALL(IF($A$3:$A$14312=BC$3,ROW($A$3:$A$14312)),ROW(61:61)),2))</f>
        <v/>
      </c>
      <c r="BD63" t="str">
        <f t="array" ref="BD63">IF(ISERROR(INDEX($A$3:$B$14312,SMALL(IF($A$3:$A$14312=BD$3,ROW($A$3:$A$14312)),ROW(61:61)),2)),"",INDEX($A$3:$B$14312,SMALL(IF($A$3:$A$14312=BD$3,ROW($A$3:$A$14312)),ROW(61:61)),2))</f>
        <v/>
      </c>
      <c r="BE63" t="str">
        <f t="array" ref="BE63">IF(ISERROR(INDEX($A$3:$B$14312,SMALL(IF($A$3:$A$14312=BE$3,ROW($A$3:$A$14312)),ROW(61:61)),2)),"",INDEX($A$3:$B$14312,SMALL(IF($A$3:$A$14312=BE$3,ROW($A$3:$A$14312)),ROW(61:61)),2))</f>
        <v/>
      </c>
      <c r="BF63" t="str">
        <f t="array" ref="BF63">IF(ISERROR(INDEX($A$3:$B$14312,SMALL(IF($A$3:$A$14312=BF$3,ROW($A$3:$A$14312)),ROW(61:61)),2)),"",INDEX($A$3:$B$14312,SMALL(IF($A$3:$A$14312=BF$3,ROW($A$3:$A$14312)),ROW(61:61)),2))</f>
        <v/>
      </c>
      <c r="BG63" t="str">
        <f t="array" ref="BG63">IF(ISERROR(INDEX($A$3:$B$14312,SMALL(IF($A$3:$A$14312=BG$3,ROW($A$3:$A$14312)),ROW(61:61)),2)),"",INDEX($A$3:$B$14312,SMALL(IF($A$3:$A$14312=BG$3,ROW($A$3:$A$14312)),ROW(61:61)),2))</f>
        <v/>
      </c>
      <c r="BH63" t="str">
        <f t="array" ref="BH63">IF(ISERROR(INDEX($A$3:$B$14312,SMALL(IF($A$3:$A$14312=BH$3,ROW($A$3:$A$14312)),ROW(61:61)),2)),"",INDEX($A$3:$B$14312,SMALL(IF($A$3:$A$14312=BH$3,ROW($A$3:$A$14312)),ROW(61:61)),2))</f>
        <v/>
      </c>
      <c r="BI63" t="str">
        <f t="array" ref="BI63">IF(ISERROR(INDEX($A$3:$B$14312,SMALL(IF($A$3:$A$14312=BI$3,ROW($A$3:$A$14312)),ROW(61:61)),2)),"",INDEX($A$3:$B$14312,SMALL(IF($A$3:$A$14312=BI$3,ROW($A$3:$A$14312)),ROW(61:61)),2))</f>
        <v/>
      </c>
      <c r="BJ63" t="str">
        <f t="array" ref="BJ63">IF(ISERROR(INDEX($A$3:$B$14312,SMALL(IF($A$3:$A$14312=BJ$3,ROW($A$3:$A$14312)),ROW(61:61)),2)),"",INDEX($A$3:$B$14312,SMALL(IF($A$3:$A$14312=BJ$3,ROW($A$3:$A$14312)),ROW(61:61)),2))</f>
        <v/>
      </c>
      <c r="BK63" t="str">
        <f t="array" ref="BK63">IF(ISERROR(INDEX($A$3:$B$14312,SMALL(IF($A$3:$A$14312=BK$3,ROW($A$3:$A$14312)),ROW(61:61)),2)),"",INDEX($A$3:$B$14312,SMALL(IF($A$3:$A$14312=BK$3,ROW($A$3:$A$14312)),ROW(61:61)),2))</f>
        <v/>
      </c>
      <c r="BL63" t="str">
        <f t="array" ref="BL63">IF(ISERROR(INDEX($A$3:$B$14312,SMALL(IF($A$3:$A$14312=BL$3,ROW($A$3:$A$14312)),ROW(61:61)),2)),"",INDEX($A$3:$B$14312,SMALL(IF($A$3:$A$14312=BL$3,ROW($A$3:$A$14312)),ROW(61:61)),2))</f>
        <v/>
      </c>
      <c r="BM63" t="str">
        <f t="array" ref="BM63">IF(ISERROR(INDEX($A$3:$B$14312,SMALL(IF($A$3:$A$14312=BM$3,ROW($A$3:$A$14312)),ROW(61:61)),2)),"",INDEX($A$3:$B$14312,SMALL(IF($A$3:$A$14312=BM$3,ROW($A$3:$A$14312)),ROW(61:61)),2))</f>
        <v/>
      </c>
      <c r="BN63" t="str">
        <f t="array" ref="BN63">IF(ISERROR(INDEX($A$3:$B$14312,SMALL(IF($A$3:$A$14312=BN$3,ROW($A$3:$A$14312)),ROW(61:61)),2)),"",INDEX($A$3:$B$14312,SMALL(IF($A$3:$A$14312=BN$3,ROW($A$3:$A$14312)),ROW(61:61)),2))</f>
        <v/>
      </c>
      <c r="BO63" t="str">
        <f t="array" ref="BO63">IF(ISERROR(INDEX($A$3:$B$14312,SMALL(IF($A$3:$A$14312=BO$3,ROW($A$3:$A$14312)),ROW(61:61)),2)),"",INDEX($A$3:$B$14312,SMALL(IF($A$3:$A$14312=BO$3,ROW($A$3:$A$14312)),ROW(61:61)),2))</f>
        <v/>
      </c>
      <c r="BP63" t="str">
        <f t="array" ref="BP63">IF(ISERROR(INDEX($A$3:$B$14312,SMALL(IF($A$3:$A$14312=BP$3,ROW($A$3:$A$14312)),ROW(61:61)),2)),"",INDEX($A$3:$B$14312,SMALL(IF($A$3:$A$14312=BP$3,ROW($A$3:$A$14312)),ROW(61:61)),2))</f>
        <v/>
      </c>
      <c r="BQ63" t="str">
        <f t="array" ref="BQ63">IF(ISERROR(INDEX($A$3:$B$14312,SMALL(IF($A$3:$A$14312=BQ$3,ROW($A$3:$A$14312)),ROW(61:61)),2)),"",INDEX($A$3:$B$14312,SMALL(IF($A$3:$A$14312=BQ$3,ROW($A$3:$A$14312)),ROW(61:61)),2))</f>
        <v/>
      </c>
      <c r="BR63" t="str">
        <f t="array" ref="BR63">IF(ISERROR(INDEX($A$3:$B$14312,SMALL(IF($A$3:$A$14312=BR$3,ROW($A$3:$A$14312)),ROW(61:61)),2)),"",INDEX($A$3:$B$14312,SMALL(IF($A$3:$A$14312=BR$3,ROW($A$3:$A$14312)),ROW(61:61)),2))</f>
        <v/>
      </c>
      <c r="BS63" t="str">
        <f t="array" ref="BS63">IF(ISERROR(INDEX($A$3:$B$14312,SMALL(IF($A$3:$A$14312=BS$3,ROW($A$3:$A$14312)),ROW(61:61)),2)),"",INDEX($A$3:$B$14312,SMALL(IF($A$3:$A$14312=BS$3,ROW($A$3:$A$14312)),ROW(61:61)),2))</f>
        <v/>
      </c>
      <c r="BT63" t="str">
        <f t="array" ref="BT63">IF(ISERROR(INDEX($A$3:$B$14312,SMALL(IF($A$3:$A$14312=BT$3,ROW($A$3:$A$14312)),ROW(61:61)),2)),"",INDEX($A$3:$B$14312,SMALL(IF($A$3:$A$14312=BT$3,ROW($A$3:$A$14312)),ROW(61:61)),2))</f>
        <v>Router3_39</v>
      </c>
      <c r="BU63" t="str">
        <f t="array" ref="BU63">IF(ISERROR(INDEX($A$3:$B$14312,SMALL(IF($A$3:$A$14312=BU$3,ROW($A$3:$A$14312)),ROW(61:61)),2)),"",INDEX($A$3:$B$14312,SMALL(IF($A$3:$A$14312=BU$3,ROW($A$3:$A$14312)),ROW(61:61)),2))</f>
        <v/>
      </c>
      <c r="BV63" t="str">
        <f t="array" ref="BV63">IF(ISERROR(INDEX($A$3:$B$14312,SMALL(IF($A$3:$A$14312=BV$3,ROW($A$3:$A$14312)),ROW(61:61)),2)),"",INDEX($A$3:$B$14312,SMALL(IF($A$3:$A$14312=BV$3,ROW($A$3:$A$14312)),ROW(61:61)),2))</f>
        <v/>
      </c>
      <c r="BW63" t="str">
        <f t="array" ref="BW63">IF(ISERROR(INDEX($A$3:$B$14312,SMALL(IF($A$3:$A$14312=BW$3,ROW($A$3:$A$14312)),ROW(61:61)),2)),"",INDEX($A$3:$B$14312,SMALL(IF($A$3:$A$14312=BW$3,ROW($A$3:$A$14312)),ROW(61:61)),2))</f>
        <v/>
      </c>
      <c r="BX63" t="str">
        <f t="array" ref="BX63">IF(ISERROR(INDEX($A$3:$B$14312,SMALL(IF($A$3:$A$14312=BX$3,ROW($A$3:$A$14312)),ROW(61:61)),2)),"",INDEX($A$3:$B$14312,SMALL(IF($A$3:$A$14312=BX$3,ROW($A$3:$A$14312)),ROW(61:61)),2))</f>
        <v/>
      </c>
      <c r="BY63" t="str">
        <f t="array" ref="BY63">IF(ISERROR(INDEX($A$3:$B$14312,SMALL(IF($A$3:$A$14312=BY$3,ROW($A$3:$A$14312)),ROW(61:61)),2)),"",INDEX($A$3:$B$14312,SMALL(IF($A$3:$A$14312=BY$3,ROW($A$3:$A$14312)),ROW(61:61)),2))</f>
        <v/>
      </c>
      <c r="BZ63" t="str">
        <f t="array" ref="BZ63">IF(ISERROR(INDEX($A$3:$B$14312,SMALL(IF($A$3:$A$14312=BZ$3,ROW($A$3:$A$14312)),ROW(61:61)),2)),"",INDEX($A$3:$B$14312,SMALL(IF($A$3:$A$14312=BZ$3,ROW($A$3:$A$14312)),ROW(61:61)),2))</f>
        <v/>
      </c>
      <c r="CA63" t="str">
        <f t="array" ref="CA63">IF(ISERROR(INDEX($A$3:$B$14312,SMALL(IF($A$3:$A$14312=CA$3,ROW($A$3:$A$14312)),ROW(61:61)),2)),"",INDEX($A$3:$B$14312,SMALL(IF($A$3:$A$14312=CA$3,ROW($A$3:$A$14312)),ROW(61:61)),2))</f>
        <v/>
      </c>
      <c r="CB63" t="str">
        <f t="array" ref="CB63">IF(ISERROR(INDEX($A$3:$B$14312,SMALL(IF($A$3:$A$14312=CB$3,ROW($A$3:$A$14312)),ROW(61:61)),2)),"",INDEX($A$3:$B$14312,SMALL(IF($A$3:$A$14312=CB$3,ROW($A$3:$A$14312)),ROW(61:61)),2))</f>
        <v/>
      </c>
      <c r="CC63" t="str">
        <f t="array" ref="CC63">IF(ISERROR(INDEX($A$3:$B$14312,SMALL(IF($A$3:$A$14312=CC$3,ROW($A$3:$A$14312)),ROW(61:61)),2)),"",INDEX($A$3:$B$14312,SMALL(IF($A$3:$A$14312=CC$3,ROW($A$3:$A$14312)),ROW(61:61)),2))</f>
        <v/>
      </c>
      <c r="CD63" t="str">
        <f t="array" ref="CD63">IF(ISERROR(INDEX($A$3:$B$14312,SMALL(IF($A$3:$A$14312=CD$3,ROW($A$3:$A$14312)),ROW(61:61)),2)),"",INDEX($A$3:$B$14312,SMALL(IF($A$3:$A$14312=CD$3,ROW($A$3:$A$14312)),ROW(61:61)),2))</f>
        <v/>
      </c>
      <c r="CE63" t="str">
        <f t="array" ref="CE63">IF(ISERROR(INDEX($A$3:$B$14312,SMALL(IF($A$3:$A$14312=CE$3,ROW($A$3:$A$14312)),ROW(61:61)),2)),"",INDEX($A$3:$B$14312,SMALL(IF($A$3:$A$14312=CE$3,ROW($A$3:$A$14312)),ROW(61:61)),2))</f>
        <v/>
      </c>
      <c r="CF63" t="str">
        <f t="array" ref="CF63">IF(ISERROR(INDEX($A$3:$B$14312,SMALL(IF($A$3:$A$14312=CF$3,ROW($A$3:$A$14312)),ROW(61:61)),2)),"",INDEX($A$3:$B$14312,SMALL(IF($A$3:$A$14312=CF$3,ROW($A$3:$A$14312)),ROW(61:61)),2))</f>
        <v/>
      </c>
      <c r="CG63" t="str">
        <f t="array" ref="CG63">IF(ISERROR(INDEX($A$3:$B$14312,SMALL(IF($A$3:$A$14312=CG$3,ROW($A$3:$A$14312)),ROW(61:61)),2)),"",INDEX($A$3:$B$14312,SMALL(IF($A$3:$A$14312=CG$3,ROW($A$3:$A$14312)),ROW(61:61)),2))</f>
        <v/>
      </c>
      <c r="CH63" t="str">
        <f t="array" ref="CH63">IF(ISERROR(INDEX($A$3:$B$14312,SMALL(IF($A$3:$A$14312=CH$3,ROW($A$3:$A$14312)),ROW(61:61)),2)),"",INDEX($A$3:$B$14312,SMALL(IF($A$3:$A$14312=CH$3,ROW($A$3:$A$14312)),ROW(61:61)),2))</f>
        <v/>
      </c>
      <c r="CI63" t="str">
        <f t="array" ref="CI63">IF(ISERROR(INDEX($A$3:$B$14312,SMALL(IF($A$3:$A$14312=CI$3,ROW($A$3:$A$14312)),ROW(61:61)),2)),"",INDEX($A$3:$B$14312,SMALL(IF($A$3:$A$14312=CI$3,ROW($A$3:$A$14312)),ROW(61:61)),2))</f>
        <v/>
      </c>
      <c r="CJ63" t="str">
        <f t="array" ref="CJ63">IF(ISERROR(INDEX($A$3:$B$14312,SMALL(IF($A$3:$A$14312=CJ$3,ROW($A$3:$A$14312)),ROW(61:61)),2)),"",INDEX($A$3:$B$14312,SMALL(IF($A$3:$A$14312=CJ$3,ROW($A$3:$A$14312)),ROW(61:61)),2))</f>
        <v/>
      </c>
      <c r="CK63" t="str">
        <f t="array" ref="CK63">IF(ISERROR(INDEX($A$3:$B$14312,SMALL(IF($A$3:$A$14312=CK$3,ROW($A$3:$A$14312)),ROW(61:61)),2)),"",INDEX($A$3:$B$14312,SMALL(IF($A$3:$A$14312=CK$3,ROW($A$3:$A$14312)),ROW(61:61)),2))</f>
        <v/>
      </c>
      <c r="CL63" t="str">
        <f t="array" ref="CL63">IF(ISERROR(INDEX($A$3:$B$14312,SMALL(IF($A$3:$A$14312=CL$3,ROW($A$3:$A$14312)),ROW(61:61)),2)),"",INDEX($A$3:$B$14312,SMALL(IF($A$3:$A$14312=CL$3,ROW($A$3:$A$14312)),ROW(61:61)),2))</f>
        <v/>
      </c>
      <c r="CM63" t="str">
        <f t="array" ref="CM63">IF(ISERROR(INDEX($A$3:$B$14312,SMALL(IF($A$3:$A$14312=CM$3,ROW($A$3:$A$14312)),ROW(61:61)),2)),"",INDEX($A$3:$B$14312,SMALL(IF($A$3:$A$14312=CM$3,ROW($A$3:$A$14312)),ROW(61:61)),2))</f>
        <v/>
      </c>
      <c r="CN63" t="str">
        <f t="array" ref="CN63">IF(ISERROR(INDEX($A$3:$B$14312,SMALL(IF($A$3:$A$14312=CN$3,ROW($A$3:$A$14312)),ROW(61:61)),2)),"",INDEX($A$3:$B$14312,SMALL(IF($A$3:$A$14312=CN$3,ROW($A$3:$A$14312)),ROW(61:61)),2))</f>
        <v/>
      </c>
      <c r="CO63" t="str">
        <f t="array" ref="CO63">IF(ISERROR(INDEX($A$3:$B$14312,SMALL(IF($A$3:$A$14312=CO$3,ROW($A$3:$A$14312)),ROW(61:61)),2)),"",INDEX($A$3:$B$14312,SMALL(IF($A$3:$A$14312=CO$3,ROW($A$3:$A$14312)),ROW(61:61)),2))</f>
        <v/>
      </c>
      <c r="CP63" t="str">
        <f t="array" ref="CP63">IF(ISERROR(INDEX($A$3:$B$14312,SMALL(IF($A$3:$A$14312=CP$3,ROW($A$3:$A$14312)),ROW(61:61)),2)),"",INDEX($A$3:$B$14312,SMALL(IF($A$3:$A$14312=CP$3,ROW($A$3:$A$14312)),ROW(61:61)),2))</f>
        <v/>
      </c>
      <c r="CQ63" t="str">
        <f t="array" ref="CQ63">IF(ISERROR(INDEX($A$3:$B$14312,SMALL(IF($A$3:$A$14312=CQ$3,ROW($A$3:$A$14312)),ROW(61:61)),2)),"",INDEX($A$3:$B$14312,SMALL(IF($A$3:$A$14312=CQ$3,ROW($A$3:$A$14312)),ROW(61:61)),2))</f>
        <v/>
      </c>
      <c r="CR63" t="str">
        <f t="array" ref="CR63">IF(ISERROR(INDEX($A$3:$B$14312,SMALL(IF($A$3:$A$14312=CR$3,ROW($A$3:$A$14312)),ROW(61:61)),2)),"",INDEX($A$3:$B$14312,SMALL(IF($A$3:$A$14312=CR$3,ROW($A$3:$A$14312)),ROW(61:61)),2))</f>
        <v/>
      </c>
      <c r="CS63" t="str">
        <f t="array" ref="CS63">IF(ISERROR(INDEX($A$3:$B$14312,SMALL(IF($A$3:$A$14312=CS$3,ROW($A$3:$A$14312)),ROW(61:61)),2)),"",INDEX($A$3:$B$14312,SMALL(IF($A$3:$A$14312=CS$3,ROW($A$3:$A$14312)),ROW(61:61)),2))</f>
        <v/>
      </c>
      <c r="CT63" t="str">
        <f t="array" ref="CT63">IF(ISERROR(INDEX($A$3:$B$14312,SMALL(IF($A$3:$A$14312=CT$3,ROW($A$3:$A$14312)),ROW(61:61)),2)),"",INDEX($A$3:$B$14312,SMALL(IF($A$3:$A$14312=CT$3,ROW($A$3:$A$14312)),ROW(61:61)),2))</f>
        <v/>
      </c>
      <c r="CU63" t="str">
        <f t="array" ref="CU63">IF(ISERROR(INDEX($A$3:$B$14312,SMALL(IF($A$3:$A$14312=CU$3,ROW($A$3:$A$14312)),ROW(61:61)),2)),"",INDEX($A$3:$B$14312,SMALL(IF($A$3:$A$14312=CU$3,ROW($A$3:$A$14312)),ROW(61:61)),2))</f>
        <v/>
      </c>
      <c r="CV63" t="str">
        <f t="array" ref="CV63">IF(ISERROR(INDEX($A$3:$B$14312,SMALL(IF($A$3:$A$14312=CV$3,ROW($A$3:$A$14312)),ROW(61:61)),2)),"",INDEX($A$3:$B$14312,SMALL(IF($A$3:$A$14312=CV$3,ROW($A$3:$A$14312)),ROW(61:61)),2))</f>
        <v/>
      </c>
      <c r="CW63" t="str">
        <f t="array" ref="CW63">IF(ISERROR(INDEX($A$3:$B$14312,SMALL(IF($A$3:$A$14312=CW$3,ROW($A$3:$A$14312)),ROW(61:61)),2)),"",INDEX($A$3:$B$14312,SMALL(IF($A$3:$A$14312=CW$3,ROW($A$3:$A$14312)),ROW(61:61)),2))</f>
        <v/>
      </c>
      <c r="CX63" t="str">
        <f t="array" ref="CX63">IF(ISERROR(INDEX($A$3:$B$14312,SMALL(IF($A$3:$A$14312=CX$3,ROW($A$3:$A$14312)),ROW(61:61)),2)),"",INDEX($A$3:$B$14312,SMALL(IF($A$3:$A$14312=CX$3,ROW($A$3:$A$14312)),ROW(61:61)),2))</f>
        <v/>
      </c>
      <c r="CY63" t="str">
        <f t="array" ref="CY63">IF(ISERROR(INDEX($A$3:$B$14312,SMALL(IF($A$3:$A$14312=CY$3,ROW($A$3:$A$14312)),ROW(61:61)),2)),"",INDEX($A$3:$B$14312,SMALL(IF($A$3:$A$14312=CY$3,ROW($A$3:$A$14312)),ROW(61:61)),2))</f>
        <v/>
      </c>
      <c r="CZ63" t="str">
        <f t="array" ref="CZ63">IF(ISERROR(INDEX($A$3:$B$14312,SMALL(IF($A$3:$A$14312=CZ$3,ROW($A$3:$A$14312)),ROW(61:61)),2)),"",INDEX($A$3:$B$14312,SMALL(IF($A$3:$A$14312=CZ$3,ROW($A$3:$A$14312)),ROW(61:61)),2))</f>
        <v/>
      </c>
      <c r="DA63" t="str">
        <f t="array" ref="DA63">IF(ISERROR(INDEX($A$3:$B$14312,SMALL(IF($A$3:$A$14312=DA$3,ROW($A$3:$A$14312)),ROW(61:61)),2)),"",INDEX($A$3:$B$14312,SMALL(IF($A$3:$A$14312=DA$3,ROW($A$3:$A$14312)),ROW(61:61)),2))</f>
        <v/>
      </c>
      <c r="DB63" t="str">
        <f t="array" ref="DB63">IF(ISERROR(INDEX($A$3:$B$14312,SMALL(IF($A$3:$A$14312=DB$3,ROW($A$3:$A$14312)),ROW(61:61)),2)),"",INDEX($A$3:$B$14312,SMALL(IF($A$3:$A$14312=DB$3,ROW($A$3:$A$14312)),ROW(61:61)),2))</f>
        <v/>
      </c>
      <c r="DC63" t="str">
        <f t="array" ref="DC63">IF(ISERROR(INDEX($A$3:$B$14312,SMALL(IF($A$3:$A$14312=DC$3,ROW($A$3:$A$14312)),ROW(61:61)),2)),"",INDEX($A$3:$B$14312,SMALL(IF($A$3:$A$14312=DC$3,ROW($A$3:$A$14312)),ROW(61:61)),2))</f>
        <v/>
      </c>
      <c r="DD63" t="str">
        <f t="array" ref="DD63">IF(ISERROR(INDEX($A$3:$B$14312,SMALL(IF($A$3:$A$14312=DD$3,ROW($A$3:$A$14312)),ROW(61:61)),2)),"",INDEX($A$3:$B$14312,SMALL(IF($A$3:$A$14312=DD$3,ROW($A$3:$A$14312)),ROW(61:61)),2))</f>
        <v/>
      </c>
      <c r="DE63" t="str">
        <f t="array" ref="DE63">IF(ISERROR(INDEX($A$3:$B$14312,SMALL(IF($A$3:$A$14312=DE$3,ROW($A$3:$A$14312)),ROW(61:61)),2)),"",INDEX($A$3:$B$14312,SMALL(IF($A$3:$A$14312=DE$3,ROW($A$3:$A$14312)),ROW(61:61)),2))</f>
        <v/>
      </c>
      <c r="DF63" t="str">
        <f t="array" ref="DF63">IF(ISERROR(INDEX($A$3:$B$14312,SMALL(IF($A$3:$A$14312=DF$3,ROW($A$3:$A$14312)),ROW(61:61)),2)),"",INDEX($A$3:$B$14312,SMALL(IF($A$3:$A$14312=DF$3,ROW($A$3:$A$14312)),ROW(61:61)),2))</f>
        <v/>
      </c>
      <c r="DG63" t="str">
        <f t="array" ref="DG63">IF(ISERROR(INDEX($A$3:$B$14312,SMALL(IF($A$3:$A$14312=DG$3,ROW($A$3:$A$14312)),ROW(61:61)),2)),"",INDEX($A$3:$B$14312,SMALL(IF($A$3:$A$14312=DG$3,ROW($A$3:$A$14312)),ROW(61:61)),2))</f>
        <v/>
      </c>
      <c r="DH63" t="str">
        <f t="array" ref="DH63">IF(ISERROR(INDEX($A$3:$B$14312,SMALL(IF($A$3:$A$14312=DH$3,ROW($A$3:$A$14312)),ROW(61:61)),2)),"",INDEX($A$3:$B$14312,SMALL(IF($A$3:$A$14312=DH$3,ROW($A$3:$A$14312)),ROW(61:61)),2))</f>
        <v/>
      </c>
      <c r="DI63" t="str">
        <f t="array" ref="DI63">IF(ISERROR(INDEX($A$3:$B$14312,SMALL(IF($A$3:$A$14312=DI$3,ROW($A$3:$A$14312)),ROW(61:61)),2)),"",INDEX($A$3:$B$14312,SMALL(IF($A$3:$A$14312=DI$3,ROW($A$3:$A$14312)),ROW(61:61)),2))</f>
        <v/>
      </c>
      <c r="DJ63" t="str">
        <f t="array" ref="DJ63">IF(ISERROR(INDEX($A$3:$B$14312,SMALL(IF($A$3:$A$14312=DJ$3,ROW($A$3:$A$14312)),ROW(61:61)),2)),"",INDEX($A$3:$B$14312,SMALL(IF($A$3:$A$14312=DJ$3,ROW($A$3:$A$14312)),ROW(61:61)),2))</f>
        <v/>
      </c>
      <c r="DK63" t="str">
        <f t="array" ref="DK63">IF(ISERROR(INDEX($A$3:$B$14312,SMALL(IF($A$3:$A$14312=DK$3,ROW($A$3:$A$14312)),ROW(61:61)),2)),"",INDEX($A$3:$B$14312,SMALL(IF($A$3:$A$14312=DK$3,ROW($A$3:$A$14312)),ROW(61:61)),2))</f>
        <v/>
      </c>
      <c r="DL63" t="str">
        <f t="array" ref="DL63">IF(ISERROR(INDEX($A$3:$B$14312,SMALL(IF($A$3:$A$14312=DL$3,ROW($A$3:$A$14312)),ROW(61:61)),2)),"",INDEX($A$3:$B$14312,SMALL(IF($A$3:$A$14312=DL$3,ROW($A$3:$A$14312)),ROW(61:61)),2))</f>
        <v/>
      </c>
      <c r="DM63" t="str">
        <f t="array" ref="DM63">IF(ISERROR(INDEX($A$3:$B$14312,SMALL(IF($A$3:$A$14312=DM$3,ROW($A$3:$A$14312)),ROW(61:61)),2)),"",INDEX($A$3:$B$14312,SMALL(IF($A$3:$A$14312=DM$3,ROW($A$3:$A$14312)),ROW(61:61)),2))</f>
        <v/>
      </c>
      <c r="DN63" t="str">
        <f t="array" ref="DN63">IF(ISERROR(INDEX($A$3:$B$14312,SMALL(IF($A$3:$A$14312=DN$3,ROW($A$3:$A$14312)),ROW(61:61)),2)),"",INDEX($A$3:$B$14312,SMALL(IF($A$3:$A$14312=DN$3,ROW($A$3:$A$14312)),ROW(61:61)),2))</f>
        <v/>
      </c>
      <c r="DO63" t="str">
        <f t="array" ref="DO63">IF(ISERROR(INDEX($A$3:$B$14312,SMALL(IF($A$3:$A$14312=DO$3,ROW($A$3:$A$14312)),ROW(61:61)),2)),"",INDEX($A$3:$B$14312,SMALL(IF($A$3:$A$14312=DO$3,ROW($A$3:$A$14312)),ROW(61:61)),2))</f>
        <v/>
      </c>
      <c r="DP63" t="str">
        <f t="array" ref="DP63">IF(ISERROR(INDEX($A$3:$B$14312,SMALL(IF($A$3:$A$14312=DP$3,ROW($A$3:$A$14312)),ROW(61:61)),2)),"",INDEX($A$3:$B$14312,SMALL(IF($A$3:$A$14312=DP$3,ROW($A$3:$A$14312)),ROW(61:61)),2))</f>
        <v/>
      </c>
      <c r="DQ63" t="str">
        <f t="array" ref="DQ63">IF(ISERROR(INDEX($A$3:$B$14312,SMALL(IF($A$3:$A$14312=DQ$3,ROW($A$3:$A$14312)),ROW(61:61)),2)),"",INDEX($A$3:$B$14312,SMALL(IF($A$3:$A$14312=DQ$3,ROW($A$3:$A$14312)),ROW(61:61)),2))</f>
        <v/>
      </c>
      <c r="DR63" t="str">
        <f t="array" ref="DR63">IF(ISERROR(INDEX($A$3:$B$14312,SMALL(IF($A$3:$A$14312=DR$3,ROW($A$3:$A$14312)),ROW(61:61)),2)),"",INDEX($A$3:$B$14312,SMALL(IF($A$3:$A$14312=DR$3,ROW($A$3:$A$14312)),ROW(61:61)),2))</f>
        <v/>
      </c>
      <c r="DS63" t="str">
        <f t="array" ref="DS63">IF(ISERROR(INDEX($A$3:$B$14312,SMALL(IF($A$3:$A$14312=DS$3,ROW($A$3:$A$14312)),ROW(61:61)),2)),"",INDEX($A$3:$B$14312,SMALL(IF($A$3:$A$14312=DS$3,ROW($A$3:$A$14312)),ROW(61:61)),2))</f>
        <v/>
      </c>
      <c r="DT63" t="str">
        <f t="array" ref="DT63">IF(ISERROR(INDEX($A$3:$B$14312,SMALL(IF($A$3:$A$14312=DT$3,ROW($A$3:$A$14312)),ROW(61:61)),2)),"",INDEX($A$3:$B$14312,SMALL(IF($A$3:$A$14312=DT$3,ROW($A$3:$A$14312)),ROW(61:61)),2))</f>
        <v/>
      </c>
      <c r="DU63" t="str">
        <f t="array" ref="DU63">IF(ISERROR(INDEX($A$3:$B$14312,SMALL(IF($A$3:$A$14312=DU$3,ROW($A$3:$A$14312)),ROW(61:61)),2)),"",INDEX($A$3:$B$14312,SMALL(IF($A$3:$A$14312=DU$3,ROW($A$3:$A$14312)),ROW(61:61)),2))</f>
        <v/>
      </c>
      <c r="DV63" t="str">
        <f t="array" ref="DV63">IF(ISERROR(INDEX($A$3:$B$14312,SMALL(IF($A$3:$A$14312=DV$3,ROW($A$3:$A$14312)),ROW(61:61)),2)),"",INDEX($A$3:$B$14312,SMALL(IF($A$3:$A$14312=DV$3,ROW($A$3:$A$14312)),ROW(61:61)),2))</f>
        <v/>
      </c>
      <c r="DW63" t="str">
        <f t="array" ref="DW63">IF(ISERROR(INDEX($A$3:$B$14312,SMALL(IF($A$3:$A$14312=DW$3,ROW($A$3:$A$14312)),ROW(61:61)),2)),"",INDEX($A$3:$B$14312,SMALL(IF($A$3:$A$14312=DW$3,ROW($A$3:$A$14312)),ROW(61:61)),2))</f>
        <v/>
      </c>
      <c r="DX63" t="str">
        <f t="array" ref="DX63">IF(ISERROR(INDEX($A$3:$B$14312,SMALL(IF($A$3:$A$14312=DX$3,ROW($A$3:$A$14312)),ROW(61:61)),2)),"",INDEX($A$3:$B$14312,SMALL(IF($A$3:$A$14312=DX$3,ROW($A$3:$A$14312)),ROW(61:61)),2))</f>
        <v/>
      </c>
      <c r="DY63" t="str">
        <f t="array" ref="DY63">IF(ISERROR(INDEX($A$3:$B$14312,SMALL(IF($A$3:$A$14312=DY$3,ROW($A$3:$A$14312)),ROW(61:61)),2)),"",INDEX($A$3:$B$14312,SMALL(IF($A$3:$A$14312=DY$3,ROW($A$3:$A$14312)),ROW(61:61)),2))</f>
        <v/>
      </c>
      <c r="DZ63" t="str">
        <f t="array" ref="DZ63">IF(ISERROR(INDEX($A$3:$B$14312,SMALL(IF($A$3:$A$14312=DZ$3,ROW($A$3:$A$14312)),ROW(61:61)),2)),"",INDEX($A$3:$B$14312,SMALL(IF($A$3:$A$14312=DZ$3,ROW($A$3:$A$14312)),ROW(61:61)),2))</f>
        <v/>
      </c>
      <c r="EA63" t="str">
        <f t="array" ref="EA63">IF(ISERROR(INDEX($A$3:$B$14312,SMALL(IF($A$3:$A$14312=EA$3,ROW($A$3:$A$14312)),ROW(61:61)),2)),"",INDEX($A$3:$B$14312,SMALL(IF($A$3:$A$14312=EA$3,ROW($A$3:$A$14312)),ROW(61:61)),2))</f>
        <v/>
      </c>
      <c r="EB63" t="str">
        <f t="array" ref="EB63">IF(ISERROR(INDEX($A$3:$B$14312,SMALL(IF($A$3:$A$14312=EB$3,ROW($A$3:$A$14312)),ROW(61:61)),2)),"",INDEX($A$3:$B$14312,SMALL(IF($A$3:$A$14312=EB$3,ROW($A$3:$A$14312)),ROW(61:61)),2))</f>
        <v/>
      </c>
      <c r="EC63" t="str">
        <f t="array" ref="EC63">IF(ISERROR(INDEX($A$3:$B$14312,SMALL(IF($A$3:$A$14312=EC$3,ROW($A$3:$A$14312)),ROW(61:61)),2)),"",INDEX($A$3:$B$14312,SMALL(IF($A$3:$A$14312=EC$3,ROW($A$3:$A$14312)),ROW(61:61)),2))</f>
        <v/>
      </c>
      <c r="ED63" t="str">
        <f t="array" ref="ED63">IF(ISERROR(INDEX($A$3:$B$14312,SMALL(IF($A$3:$A$14312=ED$3,ROW($A$3:$A$14312)),ROW(61:61)),2)),"",INDEX($A$3:$B$14312,SMALL(IF($A$3:$A$14312=ED$3,ROW($A$3:$A$14312)),ROW(61:61)),2))</f>
        <v/>
      </c>
      <c r="EE63" t="str">
        <f t="array" ref="EE63">IF(ISERROR(INDEX($A$3:$B$14312,SMALL(IF($A$3:$A$14312=EE$3,ROW($A$3:$A$14312)),ROW(61:61)),2)),"",INDEX($A$3:$B$14312,SMALL(IF($A$3:$A$14312=EE$3,ROW($A$3:$A$14312)),ROW(61:61)),2))</f>
        <v/>
      </c>
    </row>
    <row r="64" spans="1:135" s="14" customFormat="1" x14ac:dyDescent="0.25">
      <c r="A64" s="15">
        <v>-424987519</v>
      </c>
      <c r="B64" s="14" t="s">
        <v>1113</v>
      </c>
      <c r="W64" s="14" t="str">
        <f t="array" ref="W64">IF(ISERROR(INDEX($A$3:$B$14312,SMALL(IF($A$3:$A$14312=W$3,ROW($A$3:$A$14312)),ROW(62:62)),2)),"",INDEX($A$3:$B$14312,SMALL(IF($A$3:$A$14312=W$3,ROW($A$3:$A$14312)),ROW(62:62)),2))</f>
        <v/>
      </c>
      <c r="BT64" s="14" t="str">
        <f t="array" ref="BT64">IF(ISERROR(INDEX($A$3:$B$14312,SMALL(IF($A$3:$A$14312=BT$3,ROW($A$3:$A$14312)),ROW(62:62)),2)),"",INDEX($A$3:$B$14312,SMALL(IF($A$3:$A$14312=BT$3,ROW($A$3:$A$14312)),ROW(62:62)),2))</f>
        <v>Router3_40</v>
      </c>
    </row>
    <row r="65" spans="1:136" x14ac:dyDescent="0.25">
      <c r="A65" s="10">
        <v>-424987519</v>
      </c>
      <c r="B65" t="s">
        <v>1114</v>
      </c>
      <c r="E65" t="str">
        <f>_xlfn.CONCAT($E$1,E$2,$F$1)</f>
        <v>&lt;routeDistribution id="CHESTNUT-38th-to-34th-EB-2017-RouteProbe"&gt;</v>
      </c>
      <c r="EF65" t="str">
        <f>_xlfn.CONCAT($E$1,EF$2,$F$1)</f>
        <v>&lt;routeDistribution id=""&gt;</v>
      </c>
    </row>
    <row r="66" spans="1:136" x14ac:dyDescent="0.25">
      <c r="A66" s="10">
        <v>-424987519</v>
      </c>
      <c r="B66" t="s">
        <v>1154</v>
      </c>
      <c r="E66" t="str">
        <f>IF(OR(E65="&lt;/routeDistribution&gt;",E65=""),"",IFERROR(_xlfn.CONCAT(VLOOKUP(E5,Route_Column!#REF!,2,FALSE),CHAR(34)," probability=",CHAR(34),1/E$4,CHAR(34),CHAR(47),CHAR(62)),"&lt;/routeDistribution&gt;"))</f>
        <v>&lt;/routeDistribution&gt;</v>
      </c>
      <c r="EF66" t="str">
        <f>IF(OR(EF65="&lt;/routeDistribution&gt;",EF65=""),"",IFERROR(_xlfn.CONCAT(VLOOKUP(EF5,Route_Column!#REF!,2,FALSE),CHAR(34)," probability=",CHAR(34),1/EF$4,CHAR(34),CHAR(47),CHAR(62)),"&lt;/routeDistribution&gt;"))</f>
        <v>&lt;/routeDistribution&gt;</v>
      </c>
    </row>
    <row r="67" spans="1:136" x14ac:dyDescent="0.25">
      <c r="A67" s="10">
        <v>-424987519</v>
      </c>
      <c r="B67" t="s">
        <v>1155</v>
      </c>
      <c r="E67" t="str">
        <f>IF(OR(E66="&lt;/routeDistribution&gt;",E66=""),"",IFERROR(_xlfn.CONCAT(VLOOKUP(E6,Route_Column!#REF!,2,FALSE),CHAR(34)," probability=",CHAR(34),1/E$4,CHAR(34),CHAR(47),CHAR(62)),"&lt;/routeDistribution&gt;"))</f>
        <v/>
      </c>
      <c r="EF67" t="str">
        <f>IF(OR(EF66="&lt;/routeDistribution&gt;",EF66=""),"",IFERROR(_xlfn.CONCAT(VLOOKUP(EF6,Route_Column!#REF!,2,FALSE),CHAR(34)," probability=",CHAR(34),1/EF$4,CHAR(34),CHAR(47),CHAR(62)),"&lt;/routeDistribution&gt;"))</f>
        <v/>
      </c>
    </row>
    <row r="68" spans="1:136" x14ac:dyDescent="0.25">
      <c r="A68" s="10">
        <v>-424987519</v>
      </c>
      <c r="B68" t="s">
        <v>1156</v>
      </c>
      <c r="E68" t="str">
        <f>IF(OR(E67="&lt;/routeDistribution&gt;",E67=""),"",IFERROR(_xlfn.CONCAT(VLOOKUP(E7,Route_Column!#REF!,2,FALSE),CHAR(34)," probability=",CHAR(34),1/E$4,CHAR(34),CHAR(47),CHAR(62)),"&lt;/routeDistribution&gt;"))</f>
        <v/>
      </c>
      <c r="EF68" t="str">
        <f>IF(OR(EF67="&lt;/routeDistribution&gt;",EF67=""),"",IFERROR(_xlfn.CONCAT(VLOOKUP(EF7,Route_Column!#REF!,2,FALSE),CHAR(34)," probability=",CHAR(34),1/EF$4,CHAR(34),CHAR(47),CHAR(62)),"&lt;/routeDistribution&gt;"))</f>
        <v/>
      </c>
    </row>
    <row r="69" spans="1:136" x14ac:dyDescent="0.25">
      <c r="A69" s="10">
        <v>-424987519</v>
      </c>
      <c r="B69" t="s">
        <v>1157</v>
      </c>
      <c r="E69" t="str">
        <f>IF(OR(E68="&lt;/routeDistribution&gt;",E68=""),"",IFERROR(_xlfn.CONCAT(VLOOKUP(E8,Route_Column!#REF!,2,FALSE),CHAR(34)," probability=",CHAR(34),1/E$4,CHAR(34),CHAR(47),CHAR(62)),"&lt;/routeDistribution&gt;"))</f>
        <v/>
      </c>
      <c r="EF69" t="str">
        <f>IF(OR(EF68="&lt;/routeDistribution&gt;",EF68=""),"",IFERROR(_xlfn.CONCAT(VLOOKUP(EF8,Route_Column!#REF!,2,FALSE),CHAR(34)," probability=",CHAR(34),1/EF$4,CHAR(34),CHAR(47),CHAR(62)),"&lt;/routeDistribution&gt;"))</f>
        <v/>
      </c>
    </row>
    <row r="70" spans="1:136" x14ac:dyDescent="0.25">
      <c r="A70" s="10">
        <v>-424987519</v>
      </c>
      <c r="B70" t="s">
        <v>1158</v>
      </c>
      <c r="E70" t="str">
        <f>IF(OR(E69="&lt;/routeDistribution&gt;",E69=""),"",IFERROR(_xlfn.CONCAT(VLOOKUP(E9,Route_Column!#REF!,2,FALSE),CHAR(34)," probability=",CHAR(34),1/E$4,CHAR(34),CHAR(47),CHAR(62)),"&lt;/routeDistribution&gt;"))</f>
        <v/>
      </c>
      <c r="EF70" t="str">
        <f>IF(OR(EF69="&lt;/routeDistribution&gt;",EF69=""),"",IFERROR(_xlfn.CONCAT(VLOOKUP(EF9,Route_Column!#REF!,2,FALSE),CHAR(34)," probability=",CHAR(34),1/EF$4,CHAR(34),CHAR(47),CHAR(62)),"&lt;/routeDistribution&gt;"))</f>
        <v/>
      </c>
    </row>
    <row r="71" spans="1:136" x14ac:dyDescent="0.25">
      <c r="A71" s="10">
        <v>-424987519</v>
      </c>
      <c r="B71" t="s">
        <v>1159</v>
      </c>
      <c r="E71" t="str">
        <f>IF(OR(E70="&lt;/routeDistribution&gt;",E70=""),"",IFERROR(_xlfn.CONCAT(VLOOKUP(E10,Route_Column!#REF!,2,FALSE),CHAR(34)," probability=",CHAR(34),1/E$4,CHAR(34),CHAR(47),CHAR(62)),"&lt;/routeDistribution&gt;"))</f>
        <v/>
      </c>
      <c r="EF71" t="str">
        <f>IF(OR(EF70="&lt;/routeDistribution&gt;",EF70=""),"",IFERROR(_xlfn.CONCAT(VLOOKUP(EF10,Route_Column!#REF!,2,FALSE),CHAR(34)," probability=",CHAR(34),1/EF$4,CHAR(34),CHAR(47),CHAR(62)),"&lt;/routeDistribution&gt;"))</f>
        <v/>
      </c>
    </row>
    <row r="72" spans="1:136" x14ac:dyDescent="0.25">
      <c r="A72" s="10">
        <v>-424801341</v>
      </c>
      <c r="B72" t="s">
        <v>1112</v>
      </c>
      <c r="E72" t="str">
        <f>IF(OR(E71="&lt;/routeDistribution&gt;",E71=""),"",IFERROR(_xlfn.CONCAT(VLOOKUP(E11,Route_Column!#REF!,2,FALSE),CHAR(34)," probability=",CHAR(34),1/E$4,CHAR(34),CHAR(47),CHAR(62)),"&lt;/routeDistribution&gt;"))</f>
        <v/>
      </c>
      <c r="EF72" t="str">
        <f>IF(OR(EF71="&lt;/routeDistribution&gt;",EF71=""),"",IFERROR(_xlfn.CONCAT(VLOOKUP(EF11,Route_Column!#REF!,2,FALSE),CHAR(34)," probability=",CHAR(34),1/EF$4,CHAR(34),CHAR(47),CHAR(62)),"&lt;/routeDistribution&gt;"))</f>
        <v/>
      </c>
    </row>
    <row r="73" spans="1:136" x14ac:dyDescent="0.25">
      <c r="A73" s="10">
        <v>-424801341</v>
      </c>
      <c r="B73" t="s">
        <v>1113</v>
      </c>
      <c r="E73" t="str">
        <f>IF(OR(E72="&lt;/routeDistribution&gt;",E72=""),"",IFERROR(_xlfn.CONCAT(VLOOKUP(E12,Route_Column!#REF!,2,FALSE),CHAR(34)," probability=",CHAR(34),1/E$4,CHAR(34),CHAR(47),CHAR(62)),"&lt;/routeDistribution&gt;"))</f>
        <v/>
      </c>
      <c r="EF73" t="str">
        <f>IF(OR(EF72="&lt;/routeDistribution&gt;",EF72=""),"",IFERROR(_xlfn.CONCAT(VLOOKUP(EF12,Route_Column!#REF!,2,FALSE),CHAR(34)," probability=",CHAR(34),1/EF$4,CHAR(34),CHAR(47),CHAR(62)),"&lt;/routeDistribution&gt;"))</f>
        <v/>
      </c>
    </row>
    <row r="74" spans="1:136" x14ac:dyDescent="0.25">
      <c r="A74" s="10">
        <v>-424801341</v>
      </c>
      <c r="B74" t="s">
        <v>1114</v>
      </c>
      <c r="E74" t="str">
        <f>IF(OR(E73="&lt;/routeDistribution&gt;",E73=""),"",IFERROR(_xlfn.CONCAT(VLOOKUP(E13,Route_Column!#REF!,2,FALSE),CHAR(34)," probability=",CHAR(34),1/E$4,CHAR(34),CHAR(47),CHAR(62)),"&lt;/routeDistribution&gt;"))</f>
        <v/>
      </c>
      <c r="EF74" t="str">
        <f>IF(OR(EF73="&lt;/routeDistribution&gt;",EF73=""),"",IFERROR(_xlfn.CONCAT(VLOOKUP(EF13,Route_Column!#REF!,2,FALSE),CHAR(34)," probability=",CHAR(34),1/EF$4,CHAR(34),CHAR(47),CHAR(62)),"&lt;/routeDistribution&gt;"))</f>
        <v/>
      </c>
    </row>
    <row r="75" spans="1:136" x14ac:dyDescent="0.25">
      <c r="A75" s="10">
        <v>-424801341</v>
      </c>
      <c r="B75" t="s">
        <v>1114</v>
      </c>
      <c r="E75" t="str">
        <f>IF(OR(E74="&lt;/routeDistribution&gt;",E74=""),"",IFERROR(_xlfn.CONCAT(VLOOKUP(E14,Route_Column!#REF!,2,FALSE),CHAR(34)," probability=",CHAR(34),1/E$4,CHAR(34),CHAR(47),CHAR(62)),"&lt;/routeDistribution&gt;"))</f>
        <v/>
      </c>
      <c r="EF75" t="str">
        <f>IF(OR(EF74="&lt;/routeDistribution&gt;",EF74=""),"",IFERROR(_xlfn.CONCAT(VLOOKUP(EF14,Route_Column!#REF!,2,FALSE),CHAR(34)," probability=",CHAR(34),1/EF$4,CHAR(34),CHAR(47),CHAR(62)),"&lt;/routeDistribution&gt;"))</f>
        <v/>
      </c>
    </row>
    <row r="76" spans="1:136" x14ac:dyDescent="0.25">
      <c r="A76" s="10">
        <v>-424801341</v>
      </c>
      <c r="B76" t="s">
        <v>1115</v>
      </c>
      <c r="E76" t="str">
        <f>IF(OR(E75="&lt;/routeDistribution&gt;",E75=""),"",IFERROR(_xlfn.CONCAT(VLOOKUP(E15,Route_Column!#REF!,2,FALSE),CHAR(34)," probability=",CHAR(34),1/E$4,CHAR(34),CHAR(47),CHAR(62)),"&lt;/routeDistribution&gt;"))</f>
        <v/>
      </c>
      <c r="EF76" t="str">
        <f>IF(OR(EF75="&lt;/routeDistribution&gt;",EF75=""),"",IFERROR(_xlfn.CONCAT(VLOOKUP(EF15,Route_Column!#REF!,2,FALSE),CHAR(34)," probability=",CHAR(34),1/EF$4,CHAR(34),CHAR(47),CHAR(62)),"&lt;/routeDistribution&gt;"))</f>
        <v/>
      </c>
    </row>
    <row r="77" spans="1:136" x14ac:dyDescent="0.25">
      <c r="A77" s="10">
        <v>-424801341</v>
      </c>
      <c r="B77" t="s">
        <v>1166</v>
      </c>
      <c r="E77" t="str">
        <f>IF(OR(E76="&lt;/routeDistribution&gt;",E76=""),"",IFERROR(_xlfn.CONCAT(VLOOKUP(E16,Route_Column!#REF!,2,FALSE),CHAR(34)," probability=",CHAR(34),1/E$4,CHAR(34),CHAR(47),CHAR(62)),"&lt;/routeDistribution&gt;"))</f>
        <v/>
      </c>
      <c r="EF77" t="str">
        <f>IF(OR(EF76="&lt;/routeDistribution&gt;",EF76=""),"",IFERROR(_xlfn.CONCAT(VLOOKUP(EF16,Route_Column!#REF!,2,FALSE),CHAR(34)," probability=",CHAR(34),1/EF$4,CHAR(34),CHAR(47),CHAR(62)),"&lt;/routeDistribution&gt;"))</f>
        <v/>
      </c>
    </row>
    <row r="78" spans="1:136" x14ac:dyDescent="0.25">
      <c r="A78" s="10">
        <v>-424801341</v>
      </c>
      <c r="B78" t="s">
        <v>1167</v>
      </c>
      <c r="E78" t="str">
        <f>IF(OR(E77="&lt;/routeDistribution&gt;",E77=""),"",IFERROR(_xlfn.CONCAT(VLOOKUP(E17,Route_Column!#REF!,2,FALSE),CHAR(34)," probability=",CHAR(34),1/E$4,CHAR(34),CHAR(47),CHAR(62)),"&lt;/routeDistribution&gt;"))</f>
        <v/>
      </c>
      <c r="EF78" t="str">
        <f>IF(OR(EF77="&lt;/routeDistribution&gt;",EF77=""),"",IFERROR(_xlfn.CONCAT(VLOOKUP(EF17,Route_Column!#REF!,2,FALSE),CHAR(34)," probability=",CHAR(34),1/EF$4,CHAR(34),CHAR(47),CHAR(62)),"&lt;/routeDistribution&gt;"))</f>
        <v/>
      </c>
    </row>
    <row r="79" spans="1:136" x14ac:dyDescent="0.25">
      <c r="A79" s="10">
        <v>-424801341</v>
      </c>
      <c r="B79" t="s">
        <v>1168</v>
      </c>
      <c r="E79" t="str">
        <f>IF(OR(E78="&lt;/routeDistribution&gt;",E78=""),"",IFERROR(_xlfn.CONCAT(VLOOKUP(E18,Route_Column!#REF!,2,FALSE),CHAR(34)," probability=",CHAR(34),1/E$4,CHAR(34),CHAR(47),CHAR(62)),"&lt;/routeDistribution&gt;"))</f>
        <v/>
      </c>
      <c r="EF79" t="str">
        <f>IF(OR(EF78="&lt;/routeDistribution&gt;",EF78=""),"",IFERROR(_xlfn.CONCAT(VLOOKUP(EF18,Route_Column!#REF!,2,FALSE),CHAR(34)," probability=",CHAR(34),1/EF$4,CHAR(34),CHAR(47),CHAR(62)),"&lt;/routeDistribution&gt;"))</f>
        <v/>
      </c>
    </row>
    <row r="80" spans="1:136" x14ac:dyDescent="0.25">
      <c r="A80" s="10">
        <v>-424801341</v>
      </c>
      <c r="B80" t="s">
        <v>1186</v>
      </c>
      <c r="E80" t="str">
        <f>IF(OR(E79="&lt;/routeDistribution&gt;",E79=""),"",IFERROR(_xlfn.CONCAT(VLOOKUP(E19,Route_Column!#REF!,2,FALSE),CHAR(34)," probability=",CHAR(34),1/E$4,CHAR(34),CHAR(47),CHAR(62)),"&lt;/routeDistribution&gt;"))</f>
        <v/>
      </c>
      <c r="EF80" t="str">
        <f>IF(OR(EF79="&lt;/routeDistribution&gt;",EF79=""),"",IFERROR(_xlfn.CONCAT(VLOOKUP(EF19,Route_Column!#REF!,2,FALSE),CHAR(34)," probability=",CHAR(34),1/EF$4,CHAR(34),CHAR(47),CHAR(62)),"&lt;/routeDistribution&gt;"))</f>
        <v/>
      </c>
    </row>
    <row r="81" spans="1:136" x14ac:dyDescent="0.25">
      <c r="A81" s="10">
        <v>-424801341</v>
      </c>
      <c r="B81" t="s">
        <v>1187</v>
      </c>
      <c r="E81" t="str">
        <f>IF(OR(E80="&lt;/routeDistribution&gt;",E80=""),"",IFERROR(_xlfn.CONCAT(VLOOKUP(E20,Route_Column!#REF!,2,FALSE),CHAR(34)," probability=",CHAR(34),1/E$4,CHAR(34),CHAR(47),CHAR(62)),"&lt;/routeDistribution&gt;"))</f>
        <v/>
      </c>
      <c r="EF81" t="str">
        <f>IF(OR(EF80="&lt;/routeDistribution&gt;",EF80=""),"",IFERROR(_xlfn.CONCAT(VLOOKUP(EF20,Route_Column!#REF!,2,FALSE),CHAR(34)," probability=",CHAR(34),1/EF$4,CHAR(34),CHAR(47),CHAR(62)),"&lt;/routeDistribution&gt;"))</f>
        <v/>
      </c>
    </row>
    <row r="82" spans="1:136" x14ac:dyDescent="0.25">
      <c r="A82" s="10">
        <v>-424801341</v>
      </c>
      <c r="B82" t="s">
        <v>1188</v>
      </c>
      <c r="E82" t="str">
        <f>IF(OR(E81="&lt;/routeDistribution&gt;",E81=""),"",IFERROR(_xlfn.CONCAT(VLOOKUP(E21,Route_Column!#REF!,2,FALSE),CHAR(34)," probability=",CHAR(34),1/E$4,CHAR(34),CHAR(47),CHAR(62)),"&lt;/routeDistribution&gt;"))</f>
        <v/>
      </c>
      <c r="EF82" t="str">
        <f>IF(OR(EF81="&lt;/routeDistribution&gt;",EF81=""),"",IFERROR(_xlfn.CONCAT(VLOOKUP(EF21,Route_Column!#REF!,2,FALSE),CHAR(34)," probability=",CHAR(34),1/EF$4,CHAR(34),CHAR(47),CHAR(62)),"&lt;/routeDistribution&gt;"))</f>
        <v/>
      </c>
    </row>
    <row r="83" spans="1:136" x14ac:dyDescent="0.25">
      <c r="A83" s="10">
        <v>-424801341</v>
      </c>
      <c r="B83" t="s">
        <v>1189</v>
      </c>
      <c r="E83" t="str">
        <f>IF(OR(E82="&lt;/routeDistribution&gt;",E82=""),"",IFERROR(_xlfn.CONCAT(VLOOKUP(E22,Route_Column!#REF!,2,FALSE),CHAR(34)," probability=",CHAR(34),1/E$4,CHAR(34),CHAR(47),CHAR(62)),"&lt;/routeDistribution&gt;"))</f>
        <v/>
      </c>
      <c r="EF83" t="str">
        <f>IF(OR(EF82="&lt;/routeDistribution&gt;",EF82=""),"",IFERROR(_xlfn.CONCAT(VLOOKUP(EF22,Route_Column!#REF!,2,FALSE),CHAR(34)," probability=",CHAR(34),1/EF$4,CHAR(34),CHAR(47),CHAR(62)),"&lt;/routeDistribution&gt;"))</f>
        <v/>
      </c>
    </row>
    <row r="84" spans="1:136" x14ac:dyDescent="0.25">
      <c r="A84" s="10">
        <v>-424801341</v>
      </c>
      <c r="B84" t="s">
        <v>1195</v>
      </c>
      <c r="E84" t="str">
        <f>IF(OR(E83="&lt;/routeDistribution&gt;",E83=""),"",IFERROR(_xlfn.CONCAT(VLOOKUP(E23,Route_Column!#REF!,2,FALSE),CHAR(34)," probability=",CHAR(34),1/E$4,CHAR(34),CHAR(47),CHAR(62)),"&lt;/routeDistribution&gt;"))</f>
        <v/>
      </c>
      <c r="EF84" t="str">
        <f>IF(OR(EF83="&lt;/routeDistribution&gt;",EF83=""),"",IFERROR(_xlfn.CONCAT(VLOOKUP(EF23,Route_Column!#REF!,2,FALSE),CHAR(34)," probability=",CHAR(34),1/EF$4,CHAR(34),CHAR(47),CHAR(62)),"&lt;/routeDistribution&gt;"))</f>
        <v/>
      </c>
    </row>
    <row r="85" spans="1:136" x14ac:dyDescent="0.25">
      <c r="A85" s="10">
        <v>-424801341</v>
      </c>
      <c r="B85" t="s">
        <v>1196</v>
      </c>
      <c r="E85" t="str">
        <f>IF(OR(E84="&lt;/routeDistribution&gt;",E84=""),"",IFERROR(_xlfn.CONCAT(VLOOKUP(E24,Route_Column!#REF!,2,FALSE),CHAR(34)," probability=",CHAR(34),1/E$4,CHAR(34),CHAR(47),CHAR(62)),"&lt;/routeDistribution&gt;"))</f>
        <v/>
      </c>
      <c r="EF85" t="str">
        <f>IF(OR(EF84="&lt;/routeDistribution&gt;",EF84=""),"",IFERROR(_xlfn.CONCAT(VLOOKUP(EF24,Route_Column!#REF!,2,FALSE),CHAR(34)," probability=",CHAR(34),1/EF$4,CHAR(34),CHAR(47),CHAR(62)),"&lt;/routeDistribution&gt;"))</f>
        <v/>
      </c>
    </row>
    <row r="86" spans="1:136" x14ac:dyDescent="0.25">
      <c r="A86" s="10">
        <v>-424769177</v>
      </c>
      <c r="B86" t="s">
        <v>1108</v>
      </c>
      <c r="E86" t="str">
        <f>IF(OR(E85="&lt;/routeDistribution&gt;",E85=""),"",IFERROR(_xlfn.CONCAT(VLOOKUP(E25,Route_Column!#REF!,2,FALSE),CHAR(34)," probability=",CHAR(34),1/E$4,CHAR(34),CHAR(47),CHAR(62)),"&lt;/routeDistribution&gt;"))</f>
        <v/>
      </c>
      <c r="EF86" t="str">
        <f>IF(OR(EF85="&lt;/routeDistribution&gt;",EF85=""),"",IFERROR(_xlfn.CONCAT(VLOOKUP(EF25,Route_Column!#REF!,2,FALSE),CHAR(34)," probability=",CHAR(34),1/EF$4,CHAR(34),CHAR(47),CHAR(62)),"&lt;/routeDistribution&gt;"))</f>
        <v/>
      </c>
    </row>
    <row r="87" spans="1:136" x14ac:dyDescent="0.25">
      <c r="A87" s="9">
        <v>-424769006</v>
      </c>
      <c r="B87" t="s">
        <v>1090</v>
      </c>
      <c r="E87" t="str">
        <f>IF(OR(E86="&lt;/routeDistribution&gt;",E86=""),"",IFERROR(_xlfn.CONCAT(VLOOKUP(E26,Route_Column!#REF!,2,FALSE),CHAR(34)," probability=",CHAR(34),1/E$4,CHAR(34),CHAR(47),CHAR(62)),"&lt;/routeDistribution&gt;"))</f>
        <v/>
      </c>
      <c r="EF87" t="str">
        <f>IF(OR(EF86="&lt;/routeDistribution&gt;",EF86=""),"",IFERROR(_xlfn.CONCAT(VLOOKUP(EF26,Route_Column!#REF!,2,FALSE),CHAR(34)," probability=",CHAR(34),1/EF$4,CHAR(34),CHAR(47),CHAR(62)),"&lt;/routeDistribution&gt;"))</f>
        <v/>
      </c>
    </row>
    <row r="88" spans="1:136" x14ac:dyDescent="0.25">
      <c r="A88" s="10">
        <v>-424769006</v>
      </c>
      <c r="B88" t="s">
        <v>1097</v>
      </c>
      <c r="E88" t="str">
        <f>IF(OR(E87="&lt;/routeDistribution&gt;",E87=""),"",IFERROR(_xlfn.CONCAT(VLOOKUP(E27,Route_Column!#REF!,2,FALSE),CHAR(34)," probability=",CHAR(34),1/E$4,CHAR(34),CHAR(47),CHAR(62)),"&lt;/routeDistribution&gt;"))</f>
        <v/>
      </c>
      <c r="EF88" t="str">
        <f>IF(OR(EF87="&lt;/routeDistribution&gt;",EF87=""),"",IFERROR(_xlfn.CONCAT(VLOOKUP(EF27,Route_Column!#REF!,2,FALSE),CHAR(34)," probability=",CHAR(34),1/EF$4,CHAR(34),CHAR(47),CHAR(62)),"&lt;/routeDistribution&gt;"))</f>
        <v/>
      </c>
    </row>
    <row r="89" spans="1:136" x14ac:dyDescent="0.25">
      <c r="A89" s="10">
        <v>-424769006</v>
      </c>
      <c r="B89" t="s">
        <v>1111</v>
      </c>
      <c r="E89" t="str">
        <f>IF(OR(E88="&lt;/routeDistribution&gt;",E88=""),"",IFERROR(_xlfn.CONCAT(VLOOKUP(E28,Route_Column!#REF!,2,FALSE),CHAR(34)," probability=",CHAR(34),1/E$4,CHAR(34),CHAR(47),CHAR(62)),"&lt;/routeDistribution&gt;"))</f>
        <v/>
      </c>
      <c r="EF89" t="str">
        <f>IF(OR(EF88="&lt;/routeDistribution&gt;",EF88=""),"",IFERROR(_xlfn.CONCAT(VLOOKUP(EF28,Route_Column!#REF!,2,FALSE),CHAR(34)," probability=",CHAR(34),1/EF$4,CHAR(34),CHAR(47),CHAR(62)),"&lt;/routeDistribution&gt;"))</f>
        <v/>
      </c>
    </row>
    <row r="90" spans="1:136" x14ac:dyDescent="0.25">
      <c r="A90" s="10">
        <v>-424769006</v>
      </c>
      <c r="B90" t="s">
        <v>1132</v>
      </c>
      <c r="E90" t="str">
        <f>IF(OR(E89="&lt;/routeDistribution&gt;",E89=""),"",IFERROR(_xlfn.CONCAT(VLOOKUP(E29,Route_Column!#REF!,2,FALSE),CHAR(34)," probability=",CHAR(34),1/E$4,CHAR(34),CHAR(47),CHAR(62)),"&lt;/routeDistribution&gt;"))</f>
        <v/>
      </c>
      <c r="EF90" t="str">
        <f>IF(OR(EF89="&lt;/routeDistribution&gt;",EF89=""),"",IFERROR(_xlfn.CONCAT(VLOOKUP(EF29,Route_Column!#REF!,2,FALSE),CHAR(34)," probability=",CHAR(34),1/EF$4,CHAR(34),CHAR(47),CHAR(62)),"&lt;/routeDistribution&gt;"))</f>
        <v/>
      </c>
    </row>
    <row r="91" spans="1:136" x14ac:dyDescent="0.25">
      <c r="A91" s="10">
        <v>-424769006</v>
      </c>
      <c r="B91" t="s">
        <v>1137</v>
      </c>
      <c r="E91" t="str">
        <f>IF(OR(E90="&lt;/routeDistribution&gt;",E90=""),"",IFERROR(_xlfn.CONCAT(VLOOKUP(E30,Route_Column!#REF!,2,FALSE),CHAR(34)," probability=",CHAR(34),1/E$4,CHAR(34),CHAR(47),CHAR(62)),"&lt;/routeDistribution&gt;"))</f>
        <v/>
      </c>
      <c r="EF91" t="str">
        <f>IF(OR(EF90="&lt;/routeDistribution&gt;",EF90=""),"",IFERROR(_xlfn.CONCAT(VLOOKUP(EF30,Route_Column!#REF!,2,FALSE),CHAR(34)," probability=",CHAR(34),1/EF$4,CHAR(34),CHAR(47),CHAR(62)),"&lt;/routeDistribution&gt;"))</f>
        <v/>
      </c>
    </row>
    <row r="92" spans="1:136" x14ac:dyDescent="0.25">
      <c r="A92" s="10">
        <v>-424769006</v>
      </c>
      <c r="B92" t="s">
        <v>1171</v>
      </c>
      <c r="E92" t="str">
        <f>IF(OR(E91="&lt;/routeDistribution&gt;",E91=""),"",IFERROR(_xlfn.CONCAT(VLOOKUP(E31,Route_Column!#REF!,2,FALSE),CHAR(34)," probability=",CHAR(34),1/E$4,CHAR(34),CHAR(47),CHAR(62)),"&lt;/routeDistribution&gt;"))</f>
        <v/>
      </c>
      <c r="EF92" t="str">
        <f>IF(OR(EF91="&lt;/routeDistribution&gt;",EF91=""),"",IFERROR(_xlfn.CONCAT(VLOOKUP(EF31,Route_Column!#REF!,2,FALSE),CHAR(34)," probability=",CHAR(34),1/EF$4,CHAR(34),CHAR(47),CHAR(62)),"&lt;/routeDistribution&gt;"))</f>
        <v/>
      </c>
    </row>
    <row r="93" spans="1:136" x14ac:dyDescent="0.25">
      <c r="A93" s="10">
        <v>-424769006</v>
      </c>
      <c r="B93" t="s">
        <v>1182</v>
      </c>
      <c r="E93" t="str">
        <f>IF(OR(E92="&lt;/routeDistribution&gt;",E92=""),"",IFERROR(_xlfn.CONCAT(VLOOKUP(E32,Route_Column!#REF!,2,FALSE),CHAR(34)," probability=",CHAR(34),1/E$4,CHAR(34),CHAR(47),CHAR(62)),"&lt;/routeDistribution&gt;"))</f>
        <v/>
      </c>
      <c r="EF93" t="str">
        <f>IF(OR(EF92="&lt;/routeDistribution&gt;",EF92=""),"",IFERROR(_xlfn.CONCAT(VLOOKUP(EF32,Route_Column!#REF!,2,FALSE),CHAR(34)," probability=",CHAR(34),1/EF$4,CHAR(34),CHAR(47),CHAR(62)),"&lt;/routeDistribution&gt;"))</f>
        <v/>
      </c>
    </row>
    <row r="94" spans="1:136" x14ac:dyDescent="0.25">
      <c r="A94" s="10">
        <v>-424769006</v>
      </c>
      <c r="B94" t="s">
        <v>1191</v>
      </c>
      <c r="E94" t="str">
        <f>IF(OR(E93="&lt;/routeDistribution&gt;",E93=""),"",IFERROR(_xlfn.CONCAT(VLOOKUP(E33,Route_Column!#REF!,2,FALSE),CHAR(34)," probability=",CHAR(34),1/E$4,CHAR(34),CHAR(47),CHAR(62)),"&lt;/routeDistribution&gt;"))</f>
        <v/>
      </c>
      <c r="EF94" t="str">
        <f>IF(OR(EF93="&lt;/routeDistribution&gt;",EF93=""),"",IFERROR(_xlfn.CONCAT(VLOOKUP(EF33,Route_Column!#REF!,2,FALSE),CHAR(34)," probability=",CHAR(34),1/EF$4,CHAR(34),CHAR(47),CHAR(62)),"&lt;/routeDistribution&gt;"))</f>
        <v/>
      </c>
    </row>
    <row r="95" spans="1:136" x14ac:dyDescent="0.25">
      <c r="A95" s="10">
        <v>-424769006</v>
      </c>
      <c r="B95" t="s">
        <v>1215</v>
      </c>
      <c r="E95" t="str">
        <f>IF(OR(E94="&lt;/routeDistribution&gt;",E94=""),"",IFERROR(_xlfn.CONCAT(VLOOKUP(E34,Route_Column!#REF!,2,FALSE),CHAR(34)," probability=",CHAR(34),1/E$4,CHAR(34),CHAR(47),CHAR(62)),"&lt;/routeDistribution&gt;"))</f>
        <v/>
      </c>
      <c r="EF95" t="str">
        <f>IF(OR(EF94="&lt;/routeDistribution&gt;",EF94=""),"",IFERROR(_xlfn.CONCAT(VLOOKUP(EF34,Route_Column!#REF!,2,FALSE),CHAR(34)," probability=",CHAR(34),1/EF$4,CHAR(34),CHAR(47),CHAR(62)),"&lt;/routeDistribution&gt;"))</f>
        <v/>
      </c>
    </row>
    <row r="96" spans="1:136" x14ac:dyDescent="0.25">
      <c r="A96" s="10">
        <v>-424769006</v>
      </c>
      <c r="B96" t="s">
        <v>1222</v>
      </c>
      <c r="E96" t="str">
        <f>IF(OR(E95="&lt;/routeDistribution&gt;",E95=""),"",IFERROR(_xlfn.CONCAT(VLOOKUP(E35,Route_Column!#REF!,2,FALSE),CHAR(34)," probability=",CHAR(34),1/E$4,CHAR(34),CHAR(47),CHAR(62)),"&lt;/routeDistribution&gt;"))</f>
        <v/>
      </c>
      <c r="EF96" t="str">
        <f>IF(OR(EF95="&lt;/routeDistribution&gt;",EF95=""),"",IFERROR(_xlfn.CONCAT(VLOOKUP(EF35,Route_Column!#REF!,2,FALSE),CHAR(34)," probability=",CHAR(34),1/EF$4,CHAR(34),CHAR(47),CHAR(62)),"&lt;/routeDistribution&gt;"))</f>
        <v/>
      </c>
    </row>
    <row r="97" spans="1:136" x14ac:dyDescent="0.25">
      <c r="A97" s="10">
        <v>-424769006</v>
      </c>
      <c r="B97" t="s">
        <v>1225</v>
      </c>
      <c r="E97" t="str">
        <f>IF(OR(E96="&lt;/routeDistribution&gt;",E96=""),"",IFERROR(_xlfn.CONCAT(VLOOKUP(E36,Route_Column!#REF!,2,FALSE),CHAR(34)," probability=",CHAR(34),1/E$4,CHAR(34),CHAR(47),CHAR(62)),"&lt;/routeDistribution&gt;"))</f>
        <v/>
      </c>
      <c r="EF97" t="str">
        <f>IF(OR(EF96="&lt;/routeDistribution&gt;",EF96=""),"",IFERROR(_xlfn.CONCAT(VLOOKUP(EF36,Route_Column!#REF!,2,FALSE),CHAR(34)," probability=",CHAR(34),1/EF$4,CHAR(34),CHAR(47),CHAR(62)),"&lt;/routeDistribution&gt;"))</f>
        <v/>
      </c>
    </row>
    <row r="98" spans="1:136" x14ac:dyDescent="0.25">
      <c r="A98" s="9">
        <v>-424769005</v>
      </c>
      <c r="B98" t="s">
        <v>1090</v>
      </c>
      <c r="E98" t="str">
        <f>IF(OR(E97="&lt;/routeDistribution&gt;",E97=""),"",IFERROR(_xlfn.CONCAT(VLOOKUP(E37,Route_Column!#REF!,2,FALSE),CHAR(34)," probability=",CHAR(34),1/E$4,CHAR(34),CHAR(47),CHAR(62)),"&lt;/routeDistribution&gt;"))</f>
        <v/>
      </c>
      <c r="EF98" t="str">
        <f>IF(OR(EF97="&lt;/routeDistribution&gt;",EF97=""),"",IFERROR(_xlfn.CONCAT(VLOOKUP(EF37,Route_Column!#REF!,2,FALSE),CHAR(34)," probability=",CHAR(34),1/EF$4,CHAR(34),CHAR(47),CHAR(62)),"&lt;/routeDistribution&gt;"))</f>
        <v/>
      </c>
    </row>
    <row r="99" spans="1:136" x14ac:dyDescent="0.25">
      <c r="A99" s="10">
        <v>-424769005</v>
      </c>
      <c r="B99" t="s">
        <v>1097</v>
      </c>
      <c r="E99" t="str">
        <f>IF(OR(E98="&lt;/routeDistribution&gt;",E98=""),"",IFERROR(_xlfn.CONCAT(VLOOKUP(E38,Route_Column!#REF!,2,FALSE),CHAR(34)," probability=",CHAR(34),1/E$4,CHAR(34),CHAR(47),CHAR(62)),"&lt;/routeDistribution&gt;"))</f>
        <v/>
      </c>
      <c r="EF99" t="str">
        <f>IF(OR(EF98="&lt;/routeDistribution&gt;",EF98=""),"",IFERROR(_xlfn.CONCAT(VLOOKUP(EF38,Route_Column!#REF!,2,FALSE),CHAR(34)," probability=",CHAR(34),1/EF$4,CHAR(34),CHAR(47),CHAR(62)),"&lt;/routeDistribution&gt;"))</f>
        <v/>
      </c>
    </row>
    <row r="100" spans="1:136" x14ac:dyDescent="0.25">
      <c r="A100" s="10">
        <v>-424769005</v>
      </c>
      <c r="B100" t="s">
        <v>1111</v>
      </c>
      <c r="E100" t="str">
        <f>IF(OR(E99="&lt;/routeDistribution&gt;",E99=""),"",IFERROR(_xlfn.CONCAT(VLOOKUP(E39,Route_Column!#REF!,2,FALSE),CHAR(34)," probability=",CHAR(34),1/E$4,CHAR(34),CHAR(47),CHAR(62)),"&lt;/routeDistribution&gt;"))</f>
        <v/>
      </c>
      <c r="EF100" t="str">
        <f>IF(OR(EF99="&lt;/routeDistribution&gt;",EF99=""),"",IFERROR(_xlfn.CONCAT(VLOOKUP(EF39,Route_Column!#REF!,2,FALSE),CHAR(34)," probability=",CHAR(34),1/EF$4,CHAR(34),CHAR(47),CHAR(62)),"&lt;/routeDistribution&gt;"))</f>
        <v/>
      </c>
    </row>
    <row r="101" spans="1:136" x14ac:dyDescent="0.25">
      <c r="A101" s="10">
        <v>-424769005</v>
      </c>
      <c r="B101" t="s">
        <v>1132</v>
      </c>
      <c r="E101" t="str">
        <f>IF(OR(E100="&lt;/routeDistribution&gt;",E100=""),"",IFERROR(_xlfn.CONCAT(VLOOKUP(E40,Route_Column!#REF!,2,FALSE),CHAR(34)," probability=",CHAR(34),1/E$4,CHAR(34),CHAR(47),CHAR(62)),"&lt;/routeDistribution&gt;"))</f>
        <v/>
      </c>
      <c r="EF101" t="str">
        <f>IF(OR(EF100="&lt;/routeDistribution&gt;",EF100=""),"",IFERROR(_xlfn.CONCAT(VLOOKUP(EF40,Route_Column!#REF!,2,FALSE),CHAR(34)," probability=",CHAR(34),1/EF$4,CHAR(34),CHAR(47),CHAR(62)),"&lt;/routeDistribution&gt;"))</f>
        <v/>
      </c>
    </row>
    <row r="102" spans="1:136" x14ac:dyDescent="0.25">
      <c r="A102" s="10">
        <v>-424769005</v>
      </c>
      <c r="B102" t="s">
        <v>1137</v>
      </c>
      <c r="E102" t="str">
        <f>IF(OR(E101="&lt;/routeDistribution&gt;",E101=""),"",IFERROR(_xlfn.CONCAT(VLOOKUP(E41,Route_Column!#REF!,2,FALSE),CHAR(34)," probability=",CHAR(34),1/E$4,CHAR(34),CHAR(47),CHAR(62)),"&lt;/routeDistribution&gt;"))</f>
        <v/>
      </c>
      <c r="EF102" t="str">
        <f>IF(OR(EF101="&lt;/routeDistribution&gt;",EF101=""),"",IFERROR(_xlfn.CONCAT(VLOOKUP(EF41,Route_Column!#REF!,2,FALSE),CHAR(34)," probability=",CHAR(34),1/EF$4,CHAR(34),CHAR(47),CHAR(62)),"&lt;/routeDistribution&gt;"))</f>
        <v/>
      </c>
    </row>
    <row r="103" spans="1:136" x14ac:dyDescent="0.25">
      <c r="A103" s="10">
        <v>-424769005</v>
      </c>
      <c r="B103" t="s">
        <v>1171</v>
      </c>
      <c r="E103" t="str">
        <f>IF(OR(E102="&lt;/routeDistribution&gt;",E102=""),"",IFERROR(_xlfn.CONCAT(VLOOKUP(E42,Route_Column!#REF!,2,FALSE),CHAR(34)," probability=",CHAR(34),1/E$4,CHAR(34),CHAR(47),CHAR(62)),"&lt;/routeDistribution&gt;"))</f>
        <v/>
      </c>
      <c r="EF103" t="str">
        <f>IF(OR(EF102="&lt;/routeDistribution&gt;",EF102=""),"",IFERROR(_xlfn.CONCAT(VLOOKUP(EF42,Route_Column!#REF!,2,FALSE),CHAR(34)," probability=",CHAR(34),1/EF$4,CHAR(34),CHAR(47),CHAR(62)),"&lt;/routeDistribution&gt;"))</f>
        <v/>
      </c>
    </row>
    <row r="104" spans="1:136" x14ac:dyDescent="0.25">
      <c r="A104" s="10">
        <v>-424769005</v>
      </c>
      <c r="B104" t="s">
        <v>1182</v>
      </c>
      <c r="E104" t="str">
        <f>IF(OR(E103="&lt;/routeDistribution&gt;",E103=""),"",IFERROR(_xlfn.CONCAT(VLOOKUP(E43,Route_Column!#REF!,2,FALSE),CHAR(34)," probability=",CHAR(34),1/E$4,CHAR(34),CHAR(47),CHAR(62)),"&lt;/routeDistribution&gt;"))</f>
        <v/>
      </c>
      <c r="EF104" t="str">
        <f>IF(OR(EF103="&lt;/routeDistribution&gt;",EF103=""),"",IFERROR(_xlfn.CONCAT(VLOOKUP(EF43,Route_Column!#REF!,2,FALSE),CHAR(34)," probability=",CHAR(34),1/EF$4,CHAR(34),CHAR(47),CHAR(62)),"&lt;/routeDistribution&gt;"))</f>
        <v/>
      </c>
    </row>
    <row r="105" spans="1:136" x14ac:dyDescent="0.25">
      <c r="A105" s="10">
        <v>-424769005</v>
      </c>
      <c r="B105" t="s">
        <v>1191</v>
      </c>
      <c r="E105" t="str">
        <f>IF(OR(E104="&lt;/routeDistribution&gt;",E104=""),"",IFERROR(_xlfn.CONCAT(VLOOKUP(E44,Route_Column!#REF!,2,FALSE),CHAR(34)," probability=",CHAR(34),1/E$4,CHAR(34),CHAR(47),CHAR(62)),"&lt;/routeDistribution&gt;"))</f>
        <v/>
      </c>
      <c r="EF105" t="str">
        <f>IF(OR(EF104="&lt;/routeDistribution&gt;",EF104=""),"",IFERROR(_xlfn.CONCAT(VLOOKUP(EF44,Route_Column!#REF!,2,FALSE),CHAR(34)," probability=",CHAR(34),1/EF$4,CHAR(34),CHAR(47),CHAR(62)),"&lt;/routeDistribution&gt;"))</f>
        <v/>
      </c>
    </row>
    <row r="106" spans="1:136" x14ac:dyDescent="0.25">
      <c r="A106" s="10">
        <v>-424769005</v>
      </c>
      <c r="B106" t="s">
        <v>1215</v>
      </c>
      <c r="E106" t="str">
        <f>IF(OR(E105="&lt;/routeDistribution&gt;",E105=""),"",IFERROR(_xlfn.CONCAT(VLOOKUP(E45,Route_Column!#REF!,2,FALSE),CHAR(34)," probability=",CHAR(34),1/E$4,CHAR(34),CHAR(47),CHAR(62)),"&lt;/routeDistribution&gt;"))</f>
        <v/>
      </c>
      <c r="EF106" t="str">
        <f>IF(OR(EF105="&lt;/routeDistribution&gt;",EF105=""),"",IFERROR(_xlfn.CONCAT(VLOOKUP(EF45,Route_Column!#REF!,2,FALSE),CHAR(34)," probability=",CHAR(34),1/EF$4,CHAR(34),CHAR(47),CHAR(62)),"&lt;/routeDistribution&gt;"))</f>
        <v/>
      </c>
    </row>
    <row r="107" spans="1:136" x14ac:dyDescent="0.25">
      <c r="A107" s="10">
        <v>-424769005</v>
      </c>
      <c r="B107" t="s">
        <v>1222</v>
      </c>
      <c r="E107" t="str">
        <f>IF(OR(E106="&lt;/routeDistribution&gt;",E106=""),"",IFERROR(_xlfn.CONCAT(VLOOKUP(E46,Route_Column!#REF!,2,FALSE),CHAR(34)," probability=",CHAR(34),1/E$4,CHAR(34),CHAR(47),CHAR(62)),"&lt;/routeDistribution&gt;"))</f>
        <v/>
      </c>
      <c r="EF107" t="str">
        <f>IF(OR(EF106="&lt;/routeDistribution&gt;",EF106=""),"",IFERROR(_xlfn.CONCAT(VLOOKUP(EF46,Route_Column!#REF!,2,FALSE),CHAR(34)," probability=",CHAR(34),1/EF$4,CHAR(34),CHAR(47),CHAR(62)),"&lt;/routeDistribution&gt;"))</f>
        <v/>
      </c>
    </row>
    <row r="108" spans="1:136" x14ac:dyDescent="0.25">
      <c r="A108" s="10">
        <v>-424769005</v>
      </c>
      <c r="B108" t="s">
        <v>1225</v>
      </c>
      <c r="E108" t="str">
        <f>IF(OR(E107="&lt;/routeDistribution&gt;",E107=""),"",IFERROR(_xlfn.CONCAT(VLOOKUP(E47,Route_Column!#REF!,2,FALSE),CHAR(34)," probability=",CHAR(34),1/E$4,CHAR(34),CHAR(47),CHAR(62)),"&lt;/routeDistribution&gt;"))</f>
        <v/>
      </c>
      <c r="EF108" t="str">
        <f>IF(OR(EF107="&lt;/routeDistribution&gt;",EF107=""),"",IFERROR(_xlfn.CONCAT(VLOOKUP(EF47,Route_Column!#REF!,2,FALSE),CHAR(34)," probability=",CHAR(34),1/EF$4,CHAR(34),CHAR(47),CHAR(62)),"&lt;/routeDistribution&gt;"))</f>
        <v/>
      </c>
    </row>
    <row r="109" spans="1:136" x14ac:dyDescent="0.25">
      <c r="A109" s="9">
        <v>-424769002</v>
      </c>
      <c r="B109" t="s">
        <v>1090</v>
      </c>
      <c r="E109" t="str">
        <f>IF(OR(E108="&lt;/routeDistribution&gt;",E108=""),"",IFERROR(_xlfn.CONCAT(VLOOKUP(E48,Route_Column!#REF!,2,FALSE),CHAR(34)," probability=",CHAR(34),1/E$4,CHAR(34),CHAR(47),CHAR(62)),"&lt;/routeDistribution&gt;"))</f>
        <v/>
      </c>
      <c r="EF109" t="str">
        <f>IF(OR(EF108="&lt;/routeDistribution&gt;",EF108=""),"",IFERROR(_xlfn.CONCAT(VLOOKUP(EF48,Route_Column!#REF!,2,FALSE),CHAR(34)," probability=",CHAR(34),1/EF$4,CHAR(34),CHAR(47),CHAR(62)),"&lt;/routeDistribution&gt;"))</f>
        <v/>
      </c>
    </row>
    <row r="110" spans="1:136" x14ac:dyDescent="0.25">
      <c r="A110" s="10">
        <v>-424769002</v>
      </c>
      <c r="B110" t="s">
        <v>1097</v>
      </c>
      <c r="E110" t="str">
        <f>IF(OR(E109="&lt;/routeDistribution&gt;",E109=""),"",IFERROR(_xlfn.CONCAT(VLOOKUP(E49,Route_Column!#REF!,2,FALSE),CHAR(34)," probability=",CHAR(34),1/E$4,CHAR(34),CHAR(47),CHAR(62)),"&lt;/routeDistribution&gt;"))</f>
        <v/>
      </c>
      <c r="EF110" t="str">
        <f>IF(OR(EF109="&lt;/routeDistribution&gt;",EF109=""),"",IFERROR(_xlfn.CONCAT(VLOOKUP(EF49,Route_Column!#REF!,2,FALSE),CHAR(34)," probability=",CHAR(34),1/EF$4,CHAR(34),CHAR(47),CHAR(62)),"&lt;/routeDistribution&gt;"))</f>
        <v/>
      </c>
    </row>
    <row r="111" spans="1:136" x14ac:dyDescent="0.25">
      <c r="A111" s="10">
        <v>-424769002</v>
      </c>
      <c r="B111" t="s">
        <v>1111</v>
      </c>
      <c r="E111" t="str">
        <f>IF(OR(E110="&lt;/routeDistribution&gt;",E110=""),"",IFERROR(_xlfn.CONCAT(VLOOKUP(E50,Route_Column!#REF!,2,FALSE),CHAR(34)," probability=",CHAR(34),1/E$4,CHAR(34),CHAR(47),CHAR(62)),"&lt;/routeDistribution&gt;"))</f>
        <v/>
      </c>
      <c r="EF111" t="str">
        <f>IF(OR(EF110="&lt;/routeDistribution&gt;",EF110=""),"",IFERROR(_xlfn.CONCAT(VLOOKUP(EF50,Route_Column!#REF!,2,FALSE),CHAR(34)," probability=",CHAR(34),1/EF$4,CHAR(34),CHAR(47),CHAR(62)),"&lt;/routeDistribution&gt;"))</f>
        <v/>
      </c>
    </row>
    <row r="112" spans="1:136" x14ac:dyDescent="0.25">
      <c r="A112" s="10">
        <v>-424769002</v>
      </c>
      <c r="B112" t="s">
        <v>1132</v>
      </c>
      <c r="E112" t="str">
        <f>IF(OR(E111="&lt;/routeDistribution&gt;",E111=""),"",IFERROR(_xlfn.CONCAT(VLOOKUP(E51,Route_Column!#REF!,2,FALSE),CHAR(34)," probability=",CHAR(34),1/E$4,CHAR(34),CHAR(47),CHAR(62)),"&lt;/routeDistribution&gt;"))</f>
        <v/>
      </c>
      <c r="EF112" t="str">
        <f>IF(OR(EF111="&lt;/routeDistribution&gt;",EF111=""),"",IFERROR(_xlfn.CONCAT(VLOOKUP(EF51,Route_Column!#REF!,2,FALSE),CHAR(34)," probability=",CHAR(34),1/EF$4,CHAR(34),CHAR(47),CHAR(62)),"&lt;/routeDistribution&gt;"))</f>
        <v/>
      </c>
    </row>
    <row r="113" spans="1:136" x14ac:dyDescent="0.25">
      <c r="A113" s="10">
        <v>-424769002</v>
      </c>
      <c r="B113" t="s">
        <v>1137</v>
      </c>
      <c r="E113" t="str">
        <f>IF(OR(E112="&lt;/routeDistribution&gt;",E112=""),"",IFERROR(_xlfn.CONCAT(VLOOKUP(E52,Route_Column!#REF!,2,FALSE),CHAR(34)," probability=",CHAR(34),1/E$4,CHAR(34),CHAR(47),CHAR(62)),"&lt;/routeDistribution&gt;"))</f>
        <v/>
      </c>
      <c r="EF113" t="str">
        <f>IF(OR(EF112="&lt;/routeDistribution&gt;",EF112=""),"",IFERROR(_xlfn.CONCAT(VLOOKUP(EF52,Route_Column!#REF!,2,FALSE),CHAR(34)," probability=",CHAR(34),1/EF$4,CHAR(34),CHAR(47),CHAR(62)),"&lt;/routeDistribution&gt;"))</f>
        <v/>
      </c>
    </row>
    <row r="114" spans="1:136" x14ac:dyDescent="0.25">
      <c r="A114" s="10">
        <v>-424769002</v>
      </c>
      <c r="B114" t="s">
        <v>1171</v>
      </c>
      <c r="E114" t="str">
        <f>IF(OR(E113="&lt;/routeDistribution&gt;",E113=""),"",IFERROR(_xlfn.CONCAT(VLOOKUP(E53,Route_Column!#REF!,2,FALSE),CHAR(34)," probability=",CHAR(34),1/E$4,CHAR(34),CHAR(47),CHAR(62)),"&lt;/routeDistribution&gt;"))</f>
        <v/>
      </c>
      <c r="EF114" t="str">
        <f>IF(OR(EF113="&lt;/routeDistribution&gt;",EF113=""),"",IFERROR(_xlfn.CONCAT(VLOOKUP(EF53,Route_Column!#REF!,2,FALSE),CHAR(34)," probability=",CHAR(34),1/EF$4,CHAR(34),CHAR(47),CHAR(62)),"&lt;/routeDistribution&gt;"))</f>
        <v/>
      </c>
    </row>
    <row r="115" spans="1:136" x14ac:dyDescent="0.25">
      <c r="A115" s="10">
        <v>-424769002</v>
      </c>
      <c r="B115" t="s">
        <v>1182</v>
      </c>
      <c r="E115" t="str">
        <f>IF(OR(E114="&lt;/routeDistribution&gt;",E114=""),"",IFERROR(_xlfn.CONCAT(VLOOKUP(E54,Route_Column!#REF!,2,FALSE),CHAR(34)," probability=",CHAR(34),1/E$4,CHAR(34),CHAR(47),CHAR(62)),"&lt;/routeDistribution&gt;"))</f>
        <v/>
      </c>
      <c r="EF115" t="str">
        <f>IF(OR(EF114="&lt;/routeDistribution&gt;",EF114=""),"",IFERROR(_xlfn.CONCAT(VLOOKUP(EF54,Route_Column!#REF!,2,FALSE),CHAR(34)," probability=",CHAR(34),1/EF$4,CHAR(34),CHAR(47),CHAR(62)),"&lt;/routeDistribution&gt;"))</f>
        <v/>
      </c>
    </row>
    <row r="116" spans="1:136" x14ac:dyDescent="0.25">
      <c r="A116" s="10">
        <v>-424769002</v>
      </c>
      <c r="B116" t="s">
        <v>1191</v>
      </c>
      <c r="E116" t="str">
        <f>IF(OR(E115="&lt;/routeDistribution&gt;",E115=""),"",IFERROR(_xlfn.CONCAT(VLOOKUP(E55,Route_Column!#REF!,2,FALSE),CHAR(34)," probability=",CHAR(34),1/E$4,CHAR(34),CHAR(47),CHAR(62)),"&lt;/routeDistribution&gt;"))</f>
        <v/>
      </c>
      <c r="EF116" t="str">
        <f>IF(OR(EF115="&lt;/routeDistribution&gt;",EF115=""),"",IFERROR(_xlfn.CONCAT(VLOOKUP(EF55,Route_Column!#REF!,2,FALSE),CHAR(34)," probability=",CHAR(34),1/EF$4,CHAR(34),CHAR(47),CHAR(62)),"&lt;/routeDistribution&gt;"))</f>
        <v/>
      </c>
    </row>
    <row r="117" spans="1:136" x14ac:dyDescent="0.25">
      <c r="A117" s="10">
        <v>-424769002</v>
      </c>
      <c r="B117" t="s">
        <v>1213</v>
      </c>
      <c r="E117" t="str">
        <f>IF(OR(E116="&lt;/routeDistribution&gt;",E116=""),"",IFERROR(_xlfn.CONCAT(VLOOKUP(E56,Route_Column!#REF!,2,FALSE),CHAR(34)," probability=",CHAR(34),1/E$4,CHAR(34),CHAR(47),CHAR(62)),"&lt;/routeDistribution&gt;"))</f>
        <v/>
      </c>
      <c r="EF117" t="str">
        <f>IF(OR(EF116="&lt;/routeDistribution&gt;",EF116=""),"",IFERROR(_xlfn.CONCAT(VLOOKUP(EF56,Route_Column!#REF!,2,FALSE),CHAR(34)," probability=",CHAR(34),1/EF$4,CHAR(34),CHAR(47),CHAR(62)),"&lt;/routeDistribution&gt;"))</f>
        <v/>
      </c>
    </row>
    <row r="118" spans="1:136" x14ac:dyDescent="0.25">
      <c r="A118" s="10">
        <v>-424769002</v>
      </c>
      <c r="B118" t="s">
        <v>1214</v>
      </c>
      <c r="E118" t="str">
        <f>IF(OR(E117="&lt;/routeDistribution&gt;",E117=""),"",IFERROR(_xlfn.CONCAT(VLOOKUP(E57,Route_Column!#REF!,2,FALSE),CHAR(34)," probability=",CHAR(34),1/E$4,CHAR(34),CHAR(47),CHAR(62)),"&lt;/routeDistribution&gt;"))</f>
        <v/>
      </c>
      <c r="EF118" t="str">
        <f>IF(OR(EF117="&lt;/routeDistribution&gt;",EF117=""),"",IFERROR(_xlfn.CONCAT(VLOOKUP(EF57,Route_Column!#REF!,2,FALSE),CHAR(34)," probability=",CHAR(34),1/EF$4,CHAR(34),CHAR(47),CHAR(62)),"&lt;/routeDistribution&gt;"))</f>
        <v/>
      </c>
    </row>
    <row r="119" spans="1:136" x14ac:dyDescent="0.25">
      <c r="A119" s="10">
        <v>-424769002</v>
      </c>
      <c r="B119" t="s">
        <v>1215</v>
      </c>
      <c r="E119" t="str">
        <f>IF(OR(E118="&lt;/routeDistribution&gt;",E118=""),"",IFERROR(_xlfn.CONCAT(VLOOKUP(E58,Route_Column!#REF!,2,FALSE),CHAR(34)," probability=",CHAR(34),1/E$4,CHAR(34),CHAR(47),CHAR(62)),"&lt;/routeDistribution&gt;"))</f>
        <v/>
      </c>
      <c r="EF119" t="str">
        <f>IF(OR(EF118="&lt;/routeDistribution&gt;",EF118=""),"",IFERROR(_xlfn.CONCAT(VLOOKUP(EF58,Route_Column!#REF!,2,FALSE),CHAR(34)," probability=",CHAR(34),1/EF$4,CHAR(34),CHAR(47),CHAR(62)),"&lt;/routeDistribution&gt;"))</f>
        <v/>
      </c>
    </row>
    <row r="120" spans="1:136" x14ac:dyDescent="0.25">
      <c r="A120" s="10">
        <v>-424769002</v>
      </c>
      <c r="B120" t="s">
        <v>1215</v>
      </c>
      <c r="E120" t="str">
        <f>IF(OR(E119="&lt;/routeDistribution&gt;",E119=""),"",IFERROR(_xlfn.CONCAT(VLOOKUP(E59,Route_Column!#REF!,2,FALSE),CHAR(34)," probability=",CHAR(34),1/E$4,CHAR(34),CHAR(47),CHAR(62)),"&lt;/routeDistribution&gt;"))</f>
        <v/>
      </c>
      <c r="EF120" t="str">
        <f>IF(OR(EF119="&lt;/routeDistribution&gt;",EF119=""),"",IFERROR(_xlfn.CONCAT(VLOOKUP(EF59,Route_Column!#REF!,2,FALSE),CHAR(34)," probability=",CHAR(34),1/EF$4,CHAR(34),CHAR(47),CHAR(62)),"&lt;/routeDistribution&gt;"))</f>
        <v/>
      </c>
    </row>
    <row r="121" spans="1:136" x14ac:dyDescent="0.25">
      <c r="A121" s="10">
        <v>-424769002</v>
      </c>
      <c r="B121" t="s">
        <v>1216</v>
      </c>
      <c r="E121" t="str">
        <f>IF(OR(E120="&lt;/routeDistribution&gt;",E120=""),"",IFERROR(_xlfn.CONCAT(VLOOKUP(E60,Route_Column!#REF!,2,FALSE),CHAR(34)," probability=",CHAR(34),1/E$4,CHAR(34),CHAR(47),CHAR(62)),"&lt;/routeDistribution&gt;"))</f>
        <v/>
      </c>
      <c r="EF121" t="str">
        <f>IF(OR(EF120="&lt;/routeDistribution&gt;",EF120=""),"",IFERROR(_xlfn.CONCAT(VLOOKUP(EF60,Route_Column!#REF!,2,FALSE),CHAR(34)," probability=",CHAR(34),1/EF$4,CHAR(34),CHAR(47),CHAR(62)),"&lt;/routeDistribution&gt;"))</f>
        <v/>
      </c>
    </row>
    <row r="122" spans="1:136" x14ac:dyDescent="0.25">
      <c r="A122" s="10">
        <v>-424769002</v>
      </c>
      <c r="B122" t="s">
        <v>1217</v>
      </c>
      <c r="E122" t="str">
        <f>IF(OR(E121="&lt;/routeDistribution&gt;",E121=""),"",IFERROR(_xlfn.CONCAT(VLOOKUP(E61,Route_Column!#REF!,2,FALSE),CHAR(34)," probability=",CHAR(34),1/E$4,CHAR(34),CHAR(47),CHAR(62)),"&lt;/routeDistribution&gt;"))</f>
        <v/>
      </c>
      <c r="EF122" t="str">
        <f>IF(OR(EF121="&lt;/routeDistribution&gt;",EF121=""),"",IFERROR(_xlfn.CONCAT(VLOOKUP(EF61,Route_Column!#REF!,2,FALSE),CHAR(34)," probability=",CHAR(34),1/EF$4,CHAR(34),CHAR(47),CHAR(62)),"&lt;/routeDistribution&gt;"))</f>
        <v/>
      </c>
    </row>
    <row r="123" spans="1:136" x14ac:dyDescent="0.25">
      <c r="A123" s="10">
        <v>-424769002</v>
      </c>
      <c r="B123" t="s">
        <v>1218</v>
      </c>
      <c r="E123" t="str">
        <f>IF(OR(E122="&lt;/routeDistribution&gt;",E122=""),"",IFERROR(_xlfn.CONCAT(VLOOKUP(E62,Route_Column!#REF!,2,FALSE),CHAR(34)," probability=",CHAR(34),1/E$4,CHAR(34),CHAR(47),CHAR(62)),"&lt;/routeDistribution&gt;"))</f>
        <v/>
      </c>
      <c r="EF123" t="str">
        <f>IF(OR(EF122="&lt;/routeDistribution&gt;",EF122=""),"",IFERROR(_xlfn.CONCAT(VLOOKUP(EF62,Route_Column!#REF!,2,FALSE),CHAR(34)," probability=",CHAR(34),1/EF$4,CHAR(34),CHAR(47),CHAR(62)),"&lt;/routeDistribution&gt;"))</f>
        <v/>
      </c>
    </row>
    <row r="124" spans="1:136" x14ac:dyDescent="0.25">
      <c r="A124" s="10">
        <v>-424769002</v>
      </c>
      <c r="B124" t="s">
        <v>1219</v>
      </c>
      <c r="E124" t="str">
        <f>IF(OR(E123="&lt;/routeDistribution&gt;",E123=""),"",IFERROR(_xlfn.CONCAT(VLOOKUP(E63,Route_Column!#REF!,2,FALSE),CHAR(34)," probability=",CHAR(34),1/E$4,CHAR(34),CHAR(47),CHAR(62)),"&lt;/routeDistribution&gt;"))</f>
        <v/>
      </c>
      <c r="EF124" t="str">
        <f>IF(OR(EF123="&lt;/routeDistribution&gt;",EF123=""),"",IFERROR(_xlfn.CONCAT(VLOOKUP(EF63,Route_Column!#REF!,2,FALSE),CHAR(34)," probability=",CHAR(34),1/EF$4,CHAR(34),CHAR(47),CHAR(62)),"&lt;/routeDistribution&gt;"))</f>
        <v/>
      </c>
    </row>
    <row r="125" spans="1:136" x14ac:dyDescent="0.25">
      <c r="A125" s="10">
        <v>-424769002</v>
      </c>
      <c r="B125" t="s">
        <v>1220</v>
      </c>
      <c r="E125" t="s">
        <v>2686</v>
      </c>
      <c r="EF125" t="s">
        <v>2686</v>
      </c>
    </row>
    <row r="126" spans="1:136" x14ac:dyDescent="0.25">
      <c r="A126" s="10">
        <v>-424769002</v>
      </c>
      <c r="B126" t="s">
        <v>1221</v>
      </c>
      <c r="E126" t="str">
        <f>IF(OR(E125="&lt;/routeDistribution&gt;",E125=""),"",IFERROR(_xlfn.CONCAT(VLOOKUP(E65,Route_Column!#REF!,2,FALSE),CHAR(34)," probability=",CHAR(34),1/E$4,CHAR(34),CHAR(47),CHAR(62)),"&lt;/routeDistribution&gt;"))</f>
        <v>&lt;/routeDistribution&gt;</v>
      </c>
    </row>
    <row r="127" spans="1:136" x14ac:dyDescent="0.25">
      <c r="A127" s="10">
        <v>-424769002</v>
      </c>
      <c r="B127" t="s">
        <v>1222</v>
      </c>
      <c r="E127" t="str">
        <f>IF(OR(E126="&lt;/routeDistribution&gt;",E126=""),"",IFERROR(_xlfn.CONCAT(VLOOKUP(E66,Route_Column!#REF!,2,FALSE),CHAR(34)," probability=",CHAR(34),1/E$4,CHAR(34),CHAR(47),CHAR(62)),"&lt;/routeDistribution&gt;"))</f>
        <v/>
      </c>
    </row>
    <row r="128" spans="1:136" x14ac:dyDescent="0.25">
      <c r="A128" s="10">
        <v>-424769002</v>
      </c>
      <c r="B128" t="s">
        <v>1225</v>
      </c>
      <c r="E128" t="str">
        <f>IF(OR(E127="&lt;/routeDistribution&gt;",E127=""),"",IFERROR(_xlfn.CONCAT(VLOOKUP(E67,Route_Column!#REF!,2,FALSE),CHAR(34)," probability=",CHAR(34),1/E$4,CHAR(34),CHAR(47),CHAR(62)),"&lt;/routeDistribution&gt;"))</f>
        <v/>
      </c>
    </row>
    <row r="129" spans="1:5" x14ac:dyDescent="0.25">
      <c r="A129" s="10">
        <v>-424081473</v>
      </c>
      <c r="B129" t="s">
        <v>1112</v>
      </c>
      <c r="E129" t="str">
        <f>IF(OR(E128="&lt;/routeDistribution&gt;",E128=""),"",IFERROR(_xlfn.CONCAT(VLOOKUP(E68,Route_Column!#REF!,2,FALSE),CHAR(34)," probability=",CHAR(34),1/E$4,CHAR(34),CHAR(47),CHAR(62)),"&lt;/routeDistribution&gt;"))</f>
        <v/>
      </c>
    </row>
    <row r="130" spans="1:5" x14ac:dyDescent="0.25">
      <c r="A130" s="10">
        <v>-424081473</v>
      </c>
      <c r="B130" t="s">
        <v>1113</v>
      </c>
      <c r="E130" t="str">
        <f>IF(OR(E129="&lt;/routeDistribution&gt;",E129=""),"",IFERROR(_xlfn.CONCAT(VLOOKUP(E69,Route_Column!#REF!,2,FALSE),CHAR(34)," probability=",CHAR(34),1/E$4,CHAR(34),CHAR(47),CHAR(62)),"&lt;/routeDistribution&gt;"))</f>
        <v/>
      </c>
    </row>
    <row r="131" spans="1:5" x14ac:dyDescent="0.25">
      <c r="A131" s="10">
        <v>-424081473</v>
      </c>
      <c r="B131" t="s">
        <v>1114</v>
      </c>
      <c r="E131" t="str">
        <f>IF(OR(E130="&lt;/routeDistribution&gt;",E130=""),"",IFERROR(_xlfn.CONCAT(VLOOKUP(E70,Route_Column!#REF!,2,FALSE),CHAR(34)," probability=",CHAR(34),1/E$4,CHAR(34),CHAR(47),CHAR(62)),"&lt;/routeDistribution&gt;"))</f>
        <v/>
      </c>
    </row>
    <row r="132" spans="1:5" x14ac:dyDescent="0.25">
      <c r="A132" s="10">
        <v>-424081472</v>
      </c>
      <c r="B132" t="s">
        <v>1112</v>
      </c>
      <c r="E132" t="str">
        <f>IF(OR(E131="&lt;/routeDistribution&gt;",E131=""),"",IFERROR(_xlfn.CONCAT(VLOOKUP(E71,Route_Column!#REF!,2,FALSE),CHAR(34)," probability=",CHAR(34),1/E$4,CHAR(34),CHAR(47),CHAR(62)),"&lt;/routeDistribution&gt;"))</f>
        <v/>
      </c>
    </row>
    <row r="133" spans="1:5" x14ac:dyDescent="0.25">
      <c r="A133" s="10">
        <v>-424081472</v>
      </c>
      <c r="B133" t="s">
        <v>1113</v>
      </c>
      <c r="E133" t="str">
        <f>IF(OR(E132="&lt;/routeDistribution&gt;",E132=""),"",IFERROR(_xlfn.CONCAT(VLOOKUP(E72,Route_Column!#REF!,2,FALSE),CHAR(34)," probability=",CHAR(34),1/E$4,CHAR(34),CHAR(47),CHAR(62)),"&lt;/routeDistribution&gt;"))</f>
        <v/>
      </c>
    </row>
    <row r="134" spans="1:5" x14ac:dyDescent="0.25">
      <c r="A134" s="10">
        <v>-424081472</v>
      </c>
      <c r="B134" t="s">
        <v>1114</v>
      </c>
      <c r="E134" t="str">
        <f>IF(OR(E133="&lt;/routeDistribution&gt;",E133=""),"",IFERROR(_xlfn.CONCAT(VLOOKUP(E73,Route_Column!#REF!,2,FALSE),CHAR(34)," probability=",CHAR(34),1/E$4,CHAR(34),CHAR(47),CHAR(62)),"&lt;/routeDistribution&gt;"))</f>
        <v/>
      </c>
    </row>
    <row r="135" spans="1:5" x14ac:dyDescent="0.25">
      <c r="A135" s="10">
        <v>-424081469</v>
      </c>
      <c r="B135" t="s">
        <v>1112</v>
      </c>
      <c r="E135" t="str">
        <f>IF(OR(E134="&lt;/routeDistribution&gt;",E134=""),"",IFERROR(_xlfn.CONCAT(VLOOKUP(E74,Route_Column!#REF!,2,FALSE),CHAR(34)," probability=",CHAR(34),1/E$4,CHAR(34),CHAR(47),CHAR(62)),"&lt;/routeDistribution&gt;"))</f>
        <v/>
      </c>
    </row>
    <row r="136" spans="1:5" x14ac:dyDescent="0.25">
      <c r="A136" s="10">
        <v>-424081469</v>
      </c>
      <c r="B136" t="s">
        <v>1113</v>
      </c>
      <c r="E136" t="str">
        <f>IF(OR(E135="&lt;/routeDistribution&gt;",E135=""),"",IFERROR(_xlfn.CONCAT(VLOOKUP(E75,Route_Column!#REF!,2,FALSE),CHAR(34)," probability=",CHAR(34),1/E$4,CHAR(34),CHAR(47),CHAR(62)),"&lt;/routeDistribution&gt;"))</f>
        <v/>
      </c>
    </row>
    <row r="137" spans="1:5" x14ac:dyDescent="0.25">
      <c r="A137" s="10">
        <v>-424081469</v>
      </c>
      <c r="B137" t="s">
        <v>1114</v>
      </c>
      <c r="E137" t="str">
        <f>IF(OR(E136="&lt;/routeDistribution&gt;",E136=""),"",IFERROR(_xlfn.CONCAT(VLOOKUP(E76,Route_Column!#REF!,2,FALSE),CHAR(34)," probability=",CHAR(34),1/E$4,CHAR(34),CHAR(47),CHAR(62)),"&lt;/routeDistribution&gt;"))</f>
        <v/>
      </c>
    </row>
    <row r="138" spans="1:5" x14ac:dyDescent="0.25">
      <c r="A138" s="10">
        <v>-424080774</v>
      </c>
      <c r="B138" t="s">
        <v>1092</v>
      </c>
      <c r="E138" t="str">
        <f>IF(OR(E137="&lt;/routeDistribution&gt;",E137=""),"",IFERROR(_xlfn.CONCAT(VLOOKUP(E77,Route_Column!#REF!,2,FALSE),CHAR(34)," probability=",CHAR(34),1/E$4,CHAR(34),CHAR(47),CHAR(62)),"&lt;/routeDistribution&gt;"))</f>
        <v/>
      </c>
    </row>
    <row r="139" spans="1:5" x14ac:dyDescent="0.25">
      <c r="A139" s="10">
        <v>-424080774</v>
      </c>
      <c r="B139" t="s">
        <v>1173</v>
      </c>
      <c r="E139" t="str">
        <f>IF(OR(E138="&lt;/routeDistribution&gt;",E138=""),"",IFERROR(_xlfn.CONCAT(VLOOKUP(E78,Route_Column!#REF!,2,FALSE),CHAR(34)," probability=",CHAR(34),1/E$4,CHAR(34),CHAR(47),CHAR(62)),"&lt;/routeDistribution&gt;"))</f>
        <v/>
      </c>
    </row>
    <row r="140" spans="1:5" x14ac:dyDescent="0.25">
      <c r="A140" s="10">
        <v>-424080774</v>
      </c>
      <c r="B140" t="s">
        <v>1183</v>
      </c>
      <c r="E140" t="str">
        <f>_xlfn.CONCAT($E$1,EE$2,$F$1)</f>
        <v>&lt;routeDistribution id="SPGDst-33rd-to-31st-EB-2009-RouteProbe"&gt;</v>
      </c>
    </row>
    <row r="141" spans="1:5" x14ac:dyDescent="0.25">
      <c r="A141" s="10">
        <v>-424080774</v>
      </c>
      <c r="B141" t="s">
        <v>1194</v>
      </c>
      <c r="E141" t="str">
        <f>IF(OR(E140="&lt;/routeDistribution&gt;",E140=""),"",IFERROR(_xlfn.CONCAT(VLOOKUP(EE5,Route_Column!#REF!,2,FALSE),CHAR(34)," probability=",CHAR(34),1/EE$4,CHAR(34),CHAR(47),CHAR(62)),"&lt;/routeDistribution&gt;"))</f>
        <v>&lt;/routeDistribution&gt;</v>
      </c>
    </row>
    <row r="142" spans="1:5" x14ac:dyDescent="0.25">
      <c r="A142" s="10">
        <v>-424080774</v>
      </c>
      <c r="B142" t="s">
        <v>1198</v>
      </c>
      <c r="E142" t="str">
        <f>IF(OR(E141="&lt;/routeDistribution&gt;",E141=""),"",IFERROR(_xlfn.CONCAT(VLOOKUP(EE6,Route_Column!#REF!,2,FALSE),CHAR(34)," probability=",CHAR(34),1/EE$4,CHAR(34),CHAR(47),CHAR(62)),"&lt;/routeDistribution&gt;"))</f>
        <v/>
      </c>
    </row>
    <row r="143" spans="1:5" x14ac:dyDescent="0.25">
      <c r="A143" s="10">
        <v>-424080774</v>
      </c>
      <c r="B143" t="s">
        <v>1205</v>
      </c>
      <c r="E143" t="str">
        <f>IF(OR(E142="&lt;/routeDistribution&gt;",E142=""),"",IFERROR(_xlfn.CONCAT(VLOOKUP(EE7,Route_Column!#REF!,2,FALSE),CHAR(34)," probability=",CHAR(34),1/EE$4,CHAR(34),CHAR(47),CHAR(62)),"&lt;/routeDistribution&gt;"))</f>
        <v/>
      </c>
    </row>
    <row r="144" spans="1:5" x14ac:dyDescent="0.25">
      <c r="A144" s="10">
        <v>-424080774</v>
      </c>
      <c r="B144" t="s">
        <v>1224</v>
      </c>
      <c r="E144" t="str">
        <f>IF(OR(E143="&lt;/routeDistribution&gt;",E143=""),"",IFERROR(_xlfn.CONCAT(VLOOKUP(EE8,Route_Column!#REF!,2,FALSE),CHAR(34)," probability=",CHAR(34),1/EE$4,CHAR(34),CHAR(47),CHAR(62)),"&lt;/routeDistribution&gt;"))</f>
        <v/>
      </c>
    </row>
    <row r="145" spans="1:5" x14ac:dyDescent="0.25">
      <c r="A145" s="10">
        <v>-424080774</v>
      </c>
      <c r="B145" t="s">
        <v>1232</v>
      </c>
      <c r="E145" t="str">
        <f>IF(OR(E144="&lt;/routeDistribution&gt;",E144=""),"",IFERROR(_xlfn.CONCAT(VLOOKUP(EE9,Route_Column!#REF!,2,FALSE),CHAR(34)," probability=",CHAR(34),1/EE$4,CHAR(34),CHAR(47),CHAR(62)),"&lt;/routeDistribution&gt;"))</f>
        <v/>
      </c>
    </row>
    <row r="146" spans="1:5" x14ac:dyDescent="0.25">
      <c r="A146" s="10">
        <v>-424080766</v>
      </c>
      <c r="B146" t="s">
        <v>1091</v>
      </c>
      <c r="E146" t="str">
        <f>IF(OR(E145="&lt;/routeDistribution&gt;",E145=""),"",IFERROR(_xlfn.CONCAT(VLOOKUP(EE10,Route_Column!#REF!,2,FALSE),CHAR(34)," probability=",CHAR(34),1/EE$4,CHAR(34),CHAR(47),CHAR(62)),"&lt;/routeDistribution&gt;"))</f>
        <v/>
      </c>
    </row>
    <row r="147" spans="1:5" x14ac:dyDescent="0.25">
      <c r="A147" s="10">
        <v>-424080766</v>
      </c>
      <c r="B147" t="s">
        <v>1092</v>
      </c>
      <c r="E147" t="str">
        <f>IF(OR(E146="&lt;/routeDistribution&gt;",E146=""),"",IFERROR(_xlfn.CONCAT(VLOOKUP(EE11,Route_Column!#REF!,2,FALSE),CHAR(34)," probability=",CHAR(34),1/EE$4,CHAR(34),CHAR(47),CHAR(62)),"&lt;/routeDistribution&gt;"))</f>
        <v/>
      </c>
    </row>
    <row r="148" spans="1:5" x14ac:dyDescent="0.25">
      <c r="A148" s="10">
        <v>-424080766</v>
      </c>
      <c r="B148" t="s">
        <v>1093</v>
      </c>
      <c r="E148" t="str">
        <f>IF(OR(E147="&lt;/routeDistribution&gt;",E147=""),"",IFERROR(_xlfn.CONCAT(VLOOKUP(EE12,Route_Column!#REF!,2,FALSE),CHAR(34)," probability=",CHAR(34),1/EE$4,CHAR(34),CHAR(47),CHAR(62)),"&lt;/routeDistribution&gt;"))</f>
        <v/>
      </c>
    </row>
    <row r="149" spans="1:5" x14ac:dyDescent="0.25">
      <c r="A149" s="10">
        <v>-424080766</v>
      </c>
      <c r="B149" t="s">
        <v>1094</v>
      </c>
      <c r="E149" t="str">
        <f>IF(OR(E148="&lt;/routeDistribution&gt;",E148=""),"",IFERROR(_xlfn.CONCAT(VLOOKUP(EE13,Route_Column!#REF!,2,FALSE),CHAR(34)," probability=",CHAR(34),1/EE$4,CHAR(34),CHAR(47),CHAR(62)),"&lt;/routeDistribution&gt;"))</f>
        <v/>
      </c>
    </row>
    <row r="150" spans="1:5" x14ac:dyDescent="0.25">
      <c r="A150" s="10">
        <v>-424080766</v>
      </c>
      <c r="B150" t="s">
        <v>1108</v>
      </c>
      <c r="E150" t="str">
        <f>IF(OR(E149="&lt;/routeDistribution&gt;",E149=""),"",IFERROR(_xlfn.CONCAT(VLOOKUP(EE14,Route_Column!#REF!,2,FALSE),CHAR(34)," probability=",CHAR(34),1/EE$4,CHAR(34),CHAR(47),CHAR(62)),"&lt;/routeDistribution&gt;"))</f>
        <v/>
      </c>
    </row>
    <row r="151" spans="1:5" x14ac:dyDescent="0.25">
      <c r="A151" s="10">
        <v>-424080766</v>
      </c>
      <c r="B151" t="s">
        <v>1140</v>
      </c>
      <c r="E151" t="str">
        <f>IF(OR(E150="&lt;/routeDistribution&gt;",E150=""),"",IFERROR(_xlfn.CONCAT(VLOOKUP(EE15,Route_Column!#REF!,2,FALSE),CHAR(34)," probability=",CHAR(34),1/EE$4,CHAR(34),CHAR(47),CHAR(62)),"&lt;/routeDistribution&gt;"))</f>
        <v/>
      </c>
    </row>
    <row r="152" spans="1:5" x14ac:dyDescent="0.25">
      <c r="A152" s="10">
        <v>-424080766</v>
      </c>
      <c r="B152" t="s">
        <v>1141</v>
      </c>
      <c r="E152" t="str">
        <f>IF(OR(E151="&lt;/routeDistribution&gt;",E151=""),"",IFERROR(_xlfn.CONCAT(VLOOKUP(EE16,Route_Column!#REF!,2,FALSE),CHAR(34)," probability=",CHAR(34),1/EE$4,CHAR(34),CHAR(47),CHAR(62)),"&lt;/routeDistribution&gt;"))</f>
        <v/>
      </c>
    </row>
    <row r="153" spans="1:5" x14ac:dyDescent="0.25">
      <c r="A153" s="10">
        <v>-424080766</v>
      </c>
      <c r="B153" t="s">
        <v>1142</v>
      </c>
      <c r="E153" t="str">
        <f>IF(OR(E152="&lt;/routeDistribution&gt;",E152=""),"",IFERROR(_xlfn.CONCAT(VLOOKUP(EE17,Route_Column!#REF!,2,FALSE),CHAR(34)," probability=",CHAR(34),1/EE$4,CHAR(34),CHAR(47),CHAR(62)),"&lt;/routeDistribution&gt;"))</f>
        <v/>
      </c>
    </row>
    <row r="154" spans="1:5" x14ac:dyDescent="0.25">
      <c r="A154" s="10">
        <v>-424080766</v>
      </c>
      <c r="B154" t="s">
        <v>1150</v>
      </c>
      <c r="E154" t="str">
        <f>IF(OR(E153="&lt;/routeDistribution&gt;",E153=""),"",IFERROR(_xlfn.CONCAT(VLOOKUP(EE18,Route_Column!#REF!,2,FALSE),CHAR(34)," probability=",CHAR(34),1/EE$4,CHAR(34),CHAR(47),CHAR(62)),"&lt;/routeDistribution&gt;"))</f>
        <v/>
      </c>
    </row>
    <row r="155" spans="1:5" x14ac:dyDescent="0.25">
      <c r="A155" s="10">
        <v>-424080766</v>
      </c>
      <c r="B155" t="s">
        <v>1151</v>
      </c>
      <c r="E155" t="str">
        <f>IF(OR(E154="&lt;/routeDistribution&gt;",E154=""),"",IFERROR(_xlfn.CONCAT(VLOOKUP(EE19,Route_Column!#REF!,2,FALSE),CHAR(34)," probability=",CHAR(34),1/EE$4,CHAR(34),CHAR(47),CHAR(62)),"&lt;/routeDistribution&gt;"))</f>
        <v/>
      </c>
    </row>
    <row r="156" spans="1:5" x14ac:dyDescent="0.25">
      <c r="A156" s="10">
        <v>-424080766</v>
      </c>
      <c r="B156" t="s">
        <v>1160</v>
      </c>
      <c r="E156" t="str">
        <f>IF(OR(E155="&lt;/routeDistribution&gt;",E155=""),"",IFERROR(_xlfn.CONCAT(VLOOKUP(EE20,Route_Column!#REF!,2,FALSE),CHAR(34)," probability=",CHAR(34),1/EE$4,CHAR(34),CHAR(47),CHAR(62)),"&lt;/routeDistribution&gt;"))</f>
        <v/>
      </c>
    </row>
    <row r="157" spans="1:5" x14ac:dyDescent="0.25">
      <c r="A157" s="10">
        <v>-424080766</v>
      </c>
      <c r="B157" t="s">
        <v>1173</v>
      </c>
      <c r="E157" t="str">
        <f>IF(OR(E156="&lt;/routeDistribution&gt;",E156=""),"",IFERROR(_xlfn.CONCAT(VLOOKUP(EE21,Route_Column!#REF!,2,FALSE),CHAR(34)," probability=",CHAR(34),1/EE$4,CHAR(34),CHAR(47),CHAR(62)),"&lt;/routeDistribution&gt;"))</f>
        <v/>
      </c>
    </row>
    <row r="158" spans="1:5" x14ac:dyDescent="0.25">
      <c r="A158" s="10">
        <v>-424080766</v>
      </c>
      <c r="B158" t="s">
        <v>1174</v>
      </c>
      <c r="E158" t="str">
        <f>IF(OR(E157="&lt;/routeDistribution&gt;",E157=""),"",IFERROR(_xlfn.CONCAT(VLOOKUP(EE22,Route_Column!#REF!,2,FALSE),CHAR(34)," probability=",CHAR(34),1/EE$4,CHAR(34),CHAR(47),CHAR(62)),"&lt;/routeDistribution&gt;"))</f>
        <v/>
      </c>
    </row>
    <row r="159" spans="1:5" x14ac:dyDescent="0.25">
      <c r="A159" s="10">
        <v>-424080766</v>
      </c>
      <c r="B159" t="s">
        <v>1175</v>
      </c>
      <c r="E159" t="str">
        <f>IF(OR(E158="&lt;/routeDistribution&gt;",E158=""),"",IFERROR(_xlfn.CONCAT(VLOOKUP(EE23,Route_Column!#REF!,2,FALSE),CHAR(34)," probability=",CHAR(34),1/EE$4,CHAR(34),CHAR(47),CHAR(62)),"&lt;/routeDistribution&gt;"))</f>
        <v/>
      </c>
    </row>
    <row r="160" spans="1:5" x14ac:dyDescent="0.25">
      <c r="A160" s="10">
        <v>-424080766</v>
      </c>
      <c r="B160" t="s">
        <v>1176</v>
      </c>
      <c r="E160" t="str">
        <f>IF(OR(E159="&lt;/routeDistribution&gt;",E159=""),"",IFERROR(_xlfn.CONCAT(VLOOKUP(EE24,Route_Column!#REF!,2,FALSE),CHAR(34)," probability=",CHAR(34),1/EE$4,CHAR(34),CHAR(47),CHAR(62)),"&lt;/routeDistribution&gt;"))</f>
        <v/>
      </c>
    </row>
    <row r="161" spans="1:5" x14ac:dyDescent="0.25">
      <c r="A161" s="10">
        <v>-424080766</v>
      </c>
      <c r="B161" t="s">
        <v>1177</v>
      </c>
      <c r="E161" t="str">
        <f>IF(OR(E160="&lt;/routeDistribution&gt;",E160=""),"",IFERROR(_xlfn.CONCAT(VLOOKUP(EE25,Route_Column!#REF!,2,FALSE),CHAR(34)," probability=",CHAR(34),1/EE$4,CHAR(34),CHAR(47),CHAR(62)),"&lt;/routeDistribution&gt;"))</f>
        <v/>
      </c>
    </row>
    <row r="162" spans="1:5" x14ac:dyDescent="0.25">
      <c r="A162" s="10">
        <v>-424080766</v>
      </c>
      <c r="B162" t="s">
        <v>1178</v>
      </c>
      <c r="E162" t="str">
        <f>IF(OR(E161="&lt;/routeDistribution&gt;",E161=""),"",IFERROR(_xlfn.CONCAT(VLOOKUP(EE26,Route_Column!#REF!,2,FALSE),CHAR(34)," probability=",CHAR(34),1/EE$4,CHAR(34),CHAR(47),CHAR(62)),"&lt;/routeDistribution&gt;"))</f>
        <v/>
      </c>
    </row>
    <row r="163" spans="1:5" x14ac:dyDescent="0.25">
      <c r="A163" s="10">
        <v>-424080766</v>
      </c>
      <c r="B163" t="s">
        <v>1179</v>
      </c>
      <c r="E163" t="str">
        <f>IF(OR(E162="&lt;/routeDistribution&gt;",E162=""),"",IFERROR(_xlfn.CONCAT(VLOOKUP(EE27,Route_Column!#REF!,2,FALSE),CHAR(34)," probability=",CHAR(34),1/EE$4,CHAR(34),CHAR(47),CHAR(62)),"&lt;/routeDistribution&gt;"))</f>
        <v/>
      </c>
    </row>
    <row r="164" spans="1:5" x14ac:dyDescent="0.25">
      <c r="A164" s="10">
        <v>-424080766</v>
      </c>
      <c r="B164" t="s">
        <v>1179</v>
      </c>
      <c r="E164" t="str">
        <f>IF(OR(E163="&lt;/routeDistribution&gt;",E163=""),"",IFERROR(_xlfn.CONCAT(VLOOKUP(EE28,Route_Column!#REF!,2,FALSE),CHAR(34)," probability=",CHAR(34),1/EE$4,CHAR(34),CHAR(47),CHAR(62)),"&lt;/routeDistribution&gt;"))</f>
        <v/>
      </c>
    </row>
    <row r="165" spans="1:5" x14ac:dyDescent="0.25">
      <c r="A165" s="10">
        <v>-424080766</v>
      </c>
      <c r="B165" t="s">
        <v>1183</v>
      </c>
      <c r="E165" t="str">
        <f>IF(OR(E164="&lt;/routeDistribution&gt;",E164=""),"",IFERROR(_xlfn.CONCAT(VLOOKUP(EE29,Route_Column!#REF!,2,FALSE),CHAR(34)," probability=",CHAR(34),1/EE$4,CHAR(34),CHAR(47),CHAR(62)),"&lt;/routeDistribution&gt;"))</f>
        <v/>
      </c>
    </row>
    <row r="166" spans="1:5" x14ac:dyDescent="0.25">
      <c r="A166" s="10">
        <v>-424080766</v>
      </c>
      <c r="B166" t="s">
        <v>1184</v>
      </c>
      <c r="E166" t="str">
        <f>IF(OR(E165="&lt;/routeDistribution&gt;",E165=""),"",IFERROR(_xlfn.CONCAT(VLOOKUP(EE30,Route_Column!#REF!,2,FALSE),CHAR(34)," probability=",CHAR(34),1/EE$4,CHAR(34),CHAR(47),CHAR(62)),"&lt;/routeDistribution&gt;"))</f>
        <v/>
      </c>
    </row>
    <row r="167" spans="1:5" x14ac:dyDescent="0.25">
      <c r="A167">
        <v>-424080766</v>
      </c>
      <c r="B167" t="s">
        <v>1194</v>
      </c>
      <c r="E167" t="str">
        <f>IF(OR(E166="&lt;/routeDistribution&gt;",E166=""),"",IFERROR(_xlfn.CONCAT(VLOOKUP(EE31,Route_Column!#REF!,2,FALSE),CHAR(34)," probability=",CHAR(34),1/EE$4,CHAR(34),CHAR(47),CHAR(62)),"&lt;/routeDistribution&gt;"))</f>
        <v/>
      </c>
    </row>
    <row r="168" spans="1:5" x14ac:dyDescent="0.25">
      <c r="A168">
        <v>-424080766</v>
      </c>
      <c r="B168" t="s">
        <v>1198</v>
      </c>
      <c r="E168" t="str">
        <f>IF(OR(E167="&lt;/routeDistribution&gt;",E167=""),"",IFERROR(_xlfn.CONCAT(VLOOKUP(EE32,Route_Column!#REF!,2,FALSE),CHAR(34)," probability=",CHAR(34),1/EE$4,CHAR(34),CHAR(47),CHAR(62)),"&lt;/routeDistribution&gt;"))</f>
        <v/>
      </c>
    </row>
    <row r="169" spans="1:5" x14ac:dyDescent="0.25">
      <c r="A169">
        <v>-424080766</v>
      </c>
      <c r="B169" t="s">
        <v>1205</v>
      </c>
      <c r="E169" t="str">
        <f>IF(OR(E168="&lt;/routeDistribution&gt;",E168=""),"",IFERROR(_xlfn.CONCAT(VLOOKUP(EE33,Route_Column!#REF!,2,FALSE),CHAR(34)," probability=",CHAR(34),1/EE$4,CHAR(34),CHAR(47),CHAR(62)),"&lt;/routeDistribution&gt;"))</f>
        <v/>
      </c>
    </row>
    <row r="170" spans="1:5" x14ac:dyDescent="0.25">
      <c r="A170">
        <v>-424080766</v>
      </c>
      <c r="B170" t="s">
        <v>1206</v>
      </c>
      <c r="E170" t="str">
        <f>IF(OR(E169="&lt;/routeDistribution&gt;",E169=""),"",IFERROR(_xlfn.CONCAT(VLOOKUP(EE34,Route_Column!#REF!,2,FALSE),CHAR(34)," probability=",CHAR(34),1/EE$4,CHAR(34),CHAR(47),CHAR(62)),"&lt;/routeDistribution&gt;"))</f>
        <v/>
      </c>
    </row>
    <row r="171" spans="1:5" x14ac:dyDescent="0.25">
      <c r="A171">
        <v>-424080766</v>
      </c>
      <c r="B171" t="s">
        <v>1207</v>
      </c>
      <c r="E171" t="str">
        <f>IF(OR(E170="&lt;/routeDistribution&gt;",E170=""),"",IFERROR(_xlfn.CONCAT(VLOOKUP(EE35,Route_Column!#REF!,2,FALSE),CHAR(34)," probability=",CHAR(34),1/EE$4,CHAR(34),CHAR(47),CHAR(62)),"&lt;/routeDistribution&gt;"))</f>
        <v/>
      </c>
    </row>
    <row r="172" spans="1:5" x14ac:dyDescent="0.25">
      <c r="A172">
        <v>-424080766</v>
      </c>
      <c r="B172" t="s">
        <v>1208</v>
      </c>
      <c r="E172" t="str">
        <f>IF(OR(E171="&lt;/routeDistribution&gt;",E171=""),"",IFERROR(_xlfn.CONCAT(VLOOKUP(EE36,Route_Column!#REF!,2,FALSE),CHAR(34)," probability=",CHAR(34),1/EE$4,CHAR(34),CHAR(47),CHAR(62)),"&lt;/routeDistribution&gt;"))</f>
        <v/>
      </c>
    </row>
    <row r="173" spans="1:5" x14ac:dyDescent="0.25">
      <c r="A173">
        <v>-424080766</v>
      </c>
      <c r="B173" t="s">
        <v>1224</v>
      </c>
      <c r="E173" t="str">
        <f>IF(OR(E172="&lt;/routeDistribution&gt;",E172=""),"",IFERROR(_xlfn.CONCAT(VLOOKUP(EE37,Route_Column!#REF!,2,FALSE),CHAR(34)," probability=",CHAR(34),1/EE$4,CHAR(34),CHAR(47),CHAR(62)),"&lt;/routeDistribution&gt;"))</f>
        <v/>
      </c>
    </row>
    <row r="174" spans="1:5" x14ac:dyDescent="0.25">
      <c r="A174">
        <v>-424080766</v>
      </c>
      <c r="B174" t="s">
        <v>1225</v>
      </c>
      <c r="E174" t="str">
        <f>IF(OR(E173="&lt;/routeDistribution&gt;",E173=""),"",IFERROR(_xlfn.CONCAT(VLOOKUP(EE38,Route_Column!#REF!,2,FALSE),CHAR(34)," probability=",CHAR(34),1/EE$4,CHAR(34),CHAR(47),CHAR(62)),"&lt;/routeDistribution&gt;"))</f>
        <v/>
      </c>
    </row>
    <row r="175" spans="1:5" x14ac:dyDescent="0.25">
      <c r="A175">
        <v>-424080766</v>
      </c>
      <c r="B175" t="s">
        <v>1232</v>
      </c>
      <c r="E175" t="str">
        <f>IF(OR(E174="&lt;/routeDistribution&gt;",E174=""),"",IFERROR(_xlfn.CONCAT(VLOOKUP(EE39,Route_Column!#REF!,2,FALSE),CHAR(34)," probability=",CHAR(34),1/EE$4,CHAR(34),CHAR(47),CHAR(62)),"&lt;/routeDistribution&gt;"))</f>
        <v/>
      </c>
    </row>
    <row r="176" spans="1:5" x14ac:dyDescent="0.25">
      <c r="A176">
        <v>-424080766</v>
      </c>
      <c r="B176" t="s">
        <v>1233</v>
      </c>
      <c r="E176" t="str">
        <f>IF(OR(E175="&lt;/routeDistribution&gt;",E175=""),"",IFERROR(_xlfn.CONCAT(VLOOKUP(EE40,Route_Column!#REF!,2,FALSE),CHAR(34)," probability=",CHAR(34),1/EE$4,CHAR(34),CHAR(47),CHAR(62)),"&lt;/routeDistribution&gt;"))</f>
        <v/>
      </c>
    </row>
    <row r="177" spans="1:5" x14ac:dyDescent="0.25">
      <c r="A177">
        <v>-424080766</v>
      </c>
      <c r="B177" t="s">
        <v>1234</v>
      </c>
      <c r="E177" t="str">
        <f>IF(OR(E176="&lt;/routeDistribution&gt;",E176=""),"",IFERROR(_xlfn.CONCAT(VLOOKUP(EE41,Route_Column!#REF!,2,FALSE),CHAR(34)," probability=",CHAR(34),1/EE$4,CHAR(34),CHAR(47),CHAR(62)),"&lt;/routeDistribution&gt;"))</f>
        <v/>
      </c>
    </row>
    <row r="178" spans="1:5" x14ac:dyDescent="0.25">
      <c r="A178" s="13">
        <v>-424080764</v>
      </c>
      <c r="B178" t="s">
        <v>1091</v>
      </c>
      <c r="E178" t="str">
        <f>IF(OR(E177="&lt;/routeDistribution&gt;",E177=""),"",IFERROR(_xlfn.CONCAT(VLOOKUP(EE42,Route_Column!#REF!,2,FALSE),CHAR(34)," probability=",CHAR(34),1/EE$4,CHAR(34),CHAR(47),CHAR(62)),"&lt;/routeDistribution&gt;"))</f>
        <v/>
      </c>
    </row>
    <row r="179" spans="1:5" x14ac:dyDescent="0.25">
      <c r="A179">
        <v>-424080764</v>
      </c>
      <c r="B179" t="s">
        <v>1092</v>
      </c>
      <c r="E179" t="str">
        <f>IF(OR(E178="&lt;/routeDistribution&gt;",E178=""),"",IFERROR(_xlfn.CONCAT(VLOOKUP(EE43,Route_Column!#REF!,2,FALSE),CHAR(34)," probability=",CHAR(34),1/EE$4,CHAR(34),CHAR(47),CHAR(62)),"&lt;/routeDistribution&gt;"))</f>
        <v/>
      </c>
    </row>
    <row r="180" spans="1:5" x14ac:dyDescent="0.25">
      <c r="A180">
        <v>-424080764</v>
      </c>
      <c r="B180" t="s">
        <v>1093</v>
      </c>
      <c r="E180" t="str">
        <f>IF(OR(E179="&lt;/routeDistribution&gt;",E179=""),"",IFERROR(_xlfn.CONCAT(VLOOKUP(EE44,Route_Column!#REF!,2,FALSE),CHAR(34)," probability=",CHAR(34),1/EE$4,CHAR(34),CHAR(47),CHAR(62)),"&lt;/routeDistribution&gt;"))</f>
        <v/>
      </c>
    </row>
    <row r="181" spans="1:5" x14ac:dyDescent="0.25">
      <c r="A181">
        <v>-424080764</v>
      </c>
      <c r="B181" t="s">
        <v>1094</v>
      </c>
      <c r="E181" t="str">
        <f>IF(OR(E180="&lt;/routeDistribution&gt;",E180=""),"",IFERROR(_xlfn.CONCAT(VLOOKUP(EE45,Route_Column!#REF!,2,FALSE),CHAR(34)," probability=",CHAR(34),1/EE$4,CHAR(34),CHAR(47),CHAR(62)),"&lt;/routeDistribution&gt;"))</f>
        <v/>
      </c>
    </row>
    <row r="182" spans="1:5" x14ac:dyDescent="0.25">
      <c r="A182">
        <v>-424080764</v>
      </c>
      <c r="B182" t="s">
        <v>1140</v>
      </c>
      <c r="E182" t="str">
        <f>IF(OR(E181="&lt;/routeDistribution&gt;",E181=""),"",IFERROR(_xlfn.CONCAT(VLOOKUP(EE46,Route_Column!#REF!,2,FALSE),CHAR(34)," probability=",CHAR(34),1/EE$4,CHAR(34),CHAR(47),CHAR(62)),"&lt;/routeDistribution&gt;"))</f>
        <v/>
      </c>
    </row>
    <row r="183" spans="1:5" x14ac:dyDescent="0.25">
      <c r="A183">
        <v>-424080764</v>
      </c>
      <c r="B183" t="s">
        <v>1141</v>
      </c>
      <c r="E183" t="str">
        <f>IF(OR(E182="&lt;/routeDistribution&gt;",E182=""),"",IFERROR(_xlfn.CONCAT(VLOOKUP(EE47,Route_Column!#REF!,2,FALSE),CHAR(34)," probability=",CHAR(34),1/EE$4,CHAR(34),CHAR(47),CHAR(62)),"&lt;/routeDistribution&gt;"))</f>
        <v/>
      </c>
    </row>
    <row r="184" spans="1:5" x14ac:dyDescent="0.25">
      <c r="A184">
        <v>-424080764</v>
      </c>
      <c r="B184" t="s">
        <v>1142</v>
      </c>
      <c r="E184" t="str">
        <f>IF(OR(E183="&lt;/routeDistribution&gt;",E183=""),"",IFERROR(_xlfn.CONCAT(VLOOKUP(EE48,Route_Column!#REF!,2,FALSE),CHAR(34)," probability=",CHAR(34),1/EE$4,CHAR(34),CHAR(47),CHAR(62)),"&lt;/routeDistribution&gt;"))</f>
        <v/>
      </c>
    </row>
    <row r="185" spans="1:5" x14ac:dyDescent="0.25">
      <c r="A185">
        <v>-424080764</v>
      </c>
      <c r="B185" t="s">
        <v>1150</v>
      </c>
      <c r="E185" t="str">
        <f>IF(OR(E184="&lt;/routeDistribution&gt;",E184=""),"",IFERROR(_xlfn.CONCAT(VLOOKUP(EE49,Route_Column!#REF!,2,FALSE),CHAR(34)," probability=",CHAR(34),1/EE$4,CHAR(34),CHAR(47),CHAR(62)),"&lt;/routeDistribution&gt;"))</f>
        <v/>
      </c>
    </row>
    <row r="186" spans="1:5" x14ac:dyDescent="0.25">
      <c r="A186">
        <v>-424080764</v>
      </c>
      <c r="B186" t="s">
        <v>1151</v>
      </c>
      <c r="E186" t="str">
        <f>IF(OR(E185="&lt;/routeDistribution&gt;",E185=""),"",IFERROR(_xlfn.CONCAT(VLOOKUP(EE50,Route_Column!#REF!,2,FALSE),CHAR(34)," probability=",CHAR(34),1/EE$4,CHAR(34),CHAR(47),CHAR(62)),"&lt;/routeDistribution&gt;"))</f>
        <v/>
      </c>
    </row>
    <row r="187" spans="1:5" x14ac:dyDescent="0.25">
      <c r="A187">
        <v>-424080764</v>
      </c>
      <c r="B187" t="s">
        <v>1160</v>
      </c>
      <c r="E187" t="str">
        <f>IF(OR(E186="&lt;/routeDistribution&gt;",E186=""),"",IFERROR(_xlfn.CONCAT(VLOOKUP(EE51,Route_Column!#REF!,2,FALSE),CHAR(34)," probability=",CHAR(34),1/EE$4,CHAR(34),CHAR(47),CHAR(62)),"&lt;/routeDistribution&gt;"))</f>
        <v/>
      </c>
    </row>
    <row r="188" spans="1:5" x14ac:dyDescent="0.25">
      <c r="A188">
        <v>-424080764</v>
      </c>
      <c r="B188" t="s">
        <v>1173</v>
      </c>
      <c r="E188" t="str">
        <f>IF(OR(E187="&lt;/routeDistribution&gt;",E187=""),"",IFERROR(_xlfn.CONCAT(VLOOKUP(EE52,Route_Column!#REF!,2,FALSE),CHAR(34)," probability=",CHAR(34),1/EE$4,CHAR(34),CHAR(47),CHAR(62)),"&lt;/routeDistribution&gt;"))</f>
        <v/>
      </c>
    </row>
    <row r="189" spans="1:5" x14ac:dyDescent="0.25">
      <c r="A189">
        <v>-424080764</v>
      </c>
      <c r="B189" t="s">
        <v>1174</v>
      </c>
      <c r="E189" t="str">
        <f>IF(OR(E188="&lt;/routeDistribution&gt;",E188=""),"",IFERROR(_xlfn.CONCAT(VLOOKUP(EE53,Route_Column!#REF!,2,FALSE),CHAR(34)," probability=",CHAR(34),1/EE$4,CHAR(34),CHAR(47),CHAR(62)),"&lt;/routeDistribution&gt;"))</f>
        <v/>
      </c>
    </row>
    <row r="190" spans="1:5" x14ac:dyDescent="0.25">
      <c r="A190">
        <v>-424080764</v>
      </c>
      <c r="B190" t="s">
        <v>1175</v>
      </c>
      <c r="E190" t="str">
        <f>IF(OR(E189="&lt;/routeDistribution&gt;",E189=""),"",IFERROR(_xlfn.CONCAT(VLOOKUP(EE54,Route_Column!#REF!,2,FALSE),CHAR(34)," probability=",CHAR(34),1/EE$4,CHAR(34),CHAR(47),CHAR(62)),"&lt;/routeDistribution&gt;"))</f>
        <v/>
      </c>
    </row>
    <row r="191" spans="1:5" x14ac:dyDescent="0.25">
      <c r="A191">
        <v>-424080764</v>
      </c>
      <c r="B191" t="s">
        <v>1176</v>
      </c>
      <c r="E191" t="str">
        <f>IF(OR(E190="&lt;/routeDistribution&gt;",E190=""),"",IFERROR(_xlfn.CONCAT(VLOOKUP(EE55,Route_Column!#REF!,2,FALSE),CHAR(34)," probability=",CHAR(34),1/EE$4,CHAR(34),CHAR(47),CHAR(62)),"&lt;/routeDistribution&gt;"))</f>
        <v/>
      </c>
    </row>
    <row r="192" spans="1:5" x14ac:dyDescent="0.25">
      <c r="A192">
        <v>-424080764</v>
      </c>
      <c r="B192" t="s">
        <v>1177</v>
      </c>
      <c r="E192" t="str">
        <f>IF(OR(E191="&lt;/routeDistribution&gt;",E191=""),"",IFERROR(_xlfn.CONCAT(VLOOKUP(EE56,Route_Column!#REF!,2,FALSE),CHAR(34)," probability=",CHAR(34),1/EE$4,CHAR(34),CHAR(47),CHAR(62)),"&lt;/routeDistribution&gt;"))</f>
        <v/>
      </c>
    </row>
    <row r="193" spans="1:5" x14ac:dyDescent="0.25">
      <c r="A193">
        <v>-424080764</v>
      </c>
      <c r="B193" t="s">
        <v>1178</v>
      </c>
      <c r="E193" t="str">
        <f>IF(OR(E192="&lt;/routeDistribution&gt;",E192=""),"",IFERROR(_xlfn.CONCAT(VLOOKUP(EE57,Route_Column!#REF!,2,FALSE),CHAR(34)," probability=",CHAR(34),1/EE$4,CHAR(34),CHAR(47),CHAR(62)),"&lt;/routeDistribution&gt;"))</f>
        <v/>
      </c>
    </row>
    <row r="194" spans="1:5" x14ac:dyDescent="0.25">
      <c r="A194">
        <v>-424080764</v>
      </c>
      <c r="B194" t="s">
        <v>1179</v>
      </c>
      <c r="E194" t="str">
        <f>IF(OR(E193="&lt;/routeDistribution&gt;",E193=""),"",IFERROR(_xlfn.CONCAT(VLOOKUP(EE58,Route_Column!#REF!,2,FALSE),CHAR(34)," probability=",CHAR(34),1/EE$4,CHAR(34),CHAR(47),CHAR(62)),"&lt;/routeDistribution&gt;"))</f>
        <v/>
      </c>
    </row>
    <row r="195" spans="1:5" x14ac:dyDescent="0.25">
      <c r="A195">
        <v>-424080764</v>
      </c>
      <c r="B195" t="s">
        <v>1179</v>
      </c>
      <c r="E195" t="str">
        <f>IF(OR(E194="&lt;/routeDistribution&gt;",E194=""),"",IFERROR(_xlfn.CONCAT(VLOOKUP(EE59,Route_Column!#REF!,2,FALSE),CHAR(34)," probability=",CHAR(34),1/EE$4,CHAR(34),CHAR(47),CHAR(62)),"&lt;/routeDistribution&gt;"))</f>
        <v/>
      </c>
    </row>
    <row r="196" spans="1:5" x14ac:dyDescent="0.25">
      <c r="A196">
        <v>-424080764</v>
      </c>
      <c r="B196" t="s">
        <v>1183</v>
      </c>
      <c r="E196" t="str">
        <f>IF(OR(E195="&lt;/routeDistribution&gt;",E195=""),"",IFERROR(_xlfn.CONCAT(VLOOKUP(EE60,Route_Column!#REF!,2,FALSE),CHAR(34)," probability=",CHAR(34),1/EE$4,CHAR(34),CHAR(47),CHAR(62)),"&lt;/routeDistribution&gt;"))</f>
        <v/>
      </c>
    </row>
    <row r="197" spans="1:5" x14ac:dyDescent="0.25">
      <c r="A197">
        <v>-424080764</v>
      </c>
      <c r="B197" t="s">
        <v>1184</v>
      </c>
      <c r="E197" t="str">
        <f>IF(OR(E196="&lt;/routeDistribution&gt;",E196=""),"",IFERROR(_xlfn.CONCAT(VLOOKUP(EE61,Route_Column!#REF!,2,FALSE),CHAR(34)," probability=",CHAR(34),1/EE$4,CHAR(34),CHAR(47),CHAR(62)),"&lt;/routeDistribution&gt;"))</f>
        <v/>
      </c>
    </row>
    <row r="198" spans="1:5" x14ac:dyDescent="0.25">
      <c r="A198">
        <v>-424080764</v>
      </c>
      <c r="B198" t="s">
        <v>1194</v>
      </c>
      <c r="E198" t="str">
        <f>IF(OR(E197="&lt;/routeDistribution&gt;",E197=""),"",IFERROR(_xlfn.CONCAT(VLOOKUP(EE62,Route_Column!#REF!,2,FALSE),CHAR(34)," probability=",CHAR(34),1/EE$4,CHAR(34),CHAR(47),CHAR(62)),"&lt;/routeDistribution&gt;"))</f>
        <v/>
      </c>
    </row>
    <row r="199" spans="1:5" x14ac:dyDescent="0.25">
      <c r="A199">
        <v>-424080764</v>
      </c>
      <c r="B199" t="s">
        <v>1198</v>
      </c>
      <c r="E199" t="str">
        <f>IF(OR(E198="&lt;/routeDistribution&gt;",E198=""),"",IFERROR(_xlfn.CONCAT(VLOOKUP(EE63,Route_Column!#REF!,2,FALSE),CHAR(34)," probability=",CHAR(34),1/EE$4,CHAR(34),CHAR(47),CHAR(62)),"&lt;/routeDistribution&gt;"))</f>
        <v/>
      </c>
    </row>
    <row r="200" spans="1:5" x14ac:dyDescent="0.25">
      <c r="A200">
        <v>-424080764</v>
      </c>
      <c r="B200" t="s">
        <v>1205</v>
      </c>
      <c r="E200" t="s">
        <v>2686</v>
      </c>
    </row>
    <row r="201" spans="1:5" x14ac:dyDescent="0.25">
      <c r="A201">
        <v>-424080764</v>
      </c>
      <c r="B201" t="s">
        <v>1206</v>
      </c>
      <c r="E201" t="str">
        <f>_xlfn.CONCAT($E$1,E$2,$F$1)</f>
        <v>&lt;routeDistribution id="CHESTNUT-38th-to-34th-EB-2017-RouteProbe"&gt;</v>
      </c>
    </row>
    <row r="202" spans="1:5" x14ac:dyDescent="0.25">
      <c r="A202">
        <v>-424080764</v>
      </c>
      <c r="B202" t="s">
        <v>1207</v>
      </c>
      <c r="E202" t="str">
        <f>IF(OR(E201="&lt;/routeDistribution&gt;",E201=""),"",IFERROR(_xlfn.CONCAT(VLOOKUP(E141,Route_Column!#REF!,2,FALSE),CHAR(34)," probability=",CHAR(34),1/E$4,CHAR(34),CHAR(47),CHAR(62)),"&lt;/routeDistribution&gt;"))</f>
        <v>&lt;/routeDistribution&gt;</v>
      </c>
    </row>
    <row r="203" spans="1:5" x14ac:dyDescent="0.25">
      <c r="A203">
        <v>-424080764</v>
      </c>
      <c r="B203" t="s">
        <v>1208</v>
      </c>
      <c r="E203" t="str">
        <f>IF(OR(E202="&lt;/routeDistribution&gt;",E202=""),"",IFERROR(_xlfn.CONCAT(VLOOKUP(E142,Route_Column!#REF!,2,FALSE),CHAR(34)," probability=",CHAR(34),1/E$4,CHAR(34),CHAR(47),CHAR(62)),"&lt;/routeDistribution&gt;"))</f>
        <v/>
      </c>
    </row>
    <row r="204" spans="1:5" x14ac:dyDescent="0.25">
      <c r="A204">
        <v>-424080764</v>
      </c>
      <c r="B204" t="s">
        <v>1224</v>
      </c>
      <c r="E204" t="str">
        <f>IF(OR(E203="&lt;/routeDistribution&gt;",E203=""),"",IFERROR(_xlfn.CONCAT(VLOOKUP(E143,Route_Column!#REF!,2,FALSE),CHAR(34)," probability=",CHAR(34),1/E$4,CHAR(34),CHAR(47),CHAR(62)),"&lt;/routeDistribution&gt;"))</f>
        <v/>
      </c>
    </row>
    <row r="205" spans="1:5" x14ac:dyDescent="0.25">
      <c r="A205">
        <v>-424080764</v>
      </c>
      <c r="B205" t="s">
        <v>1225</v>
      </c>
      <c r="E205" t="str">
        <f>IF(OR(E204="&lt;/routeDistribution&gt;",E204=""),"",IFERROR(_xlfn.CONCAT(VLOOKUP(E144,Route_Column!#REF!,2,FALSE),CHAR(34)," probability=",CHAR(34),1/E$4,CHAR(34),CHAR(47),CHAR(62)),"&lt;/routeDistribution&gt;"))</f>
        <v/>
      </c>
    </row>
    <row r="206" spans="1:5" x14ac:dyDescent="0.25">
      <c r="A206">
        <v>-424080764</v>
      </c>
      <c r="B206" t="s">
        <v>1232</v>
      </c>
      <c r="E206" t="str">
        <f>IF(OR(E205="&lt;/routeDistribution&gt;",E205=""),"",IFERROR(_xlfn.CONCAT(VLOOKUP(E145,Route_Column!#REF!,2,FALSE),CHAR(34)," probability=",CHAR(34),1/E$4,CHAR(34),CHAR(47),CHAR(62)),"&lt;/routeDistribution&gt;"))</f>
        <v/>
      </c>
    </row>
    <row r="207" spans="1:5" x14ac:dyDescent="0.25">
      <c r="A207">
        <v>-424080764</v>
      </c>
      <c r="B207" t="s">
        <v>1233</v>
      </c>
      <c r="E207" t="str">
        <f>IF(OR(E206="&lt;/routeDistribution&gt;",E206=""),"",IFERROR(_xlfn.CONCAT(VLOOKUP(E146,Route_Column!#REF!,2,FALSE),CHAR(34)," probability=",CHAR(34),1/E$4,CHAR(34),CHAR(47),CHAR(62)),"&lt;/routeDistribution&gt;"))</f>
        <v/>
      </c>
    </row>
    <row r="208" spans="1:5" x14ac:dyDescent="0.25">
      <c r="A208">
        <v>-424080764</v>
      </c>
      <c r="B208" t="s">
        <v>1234</v>
      </c>
      <c r="E208" t="str">
        <f>IF(OR(E207="&lt;/routeDistribution&gt;",E207=""),"",IFERROR(_xlfn.CONCAT(VLOOKUP(E147,Route_Column!#REF!,2,FALSE),CHAR(34)," probability=",CHAR(34),1/E$4,CHAR(34),CHAR(47),CHAR(62)),"&lt;/routeDistribution&gt;"))</f>
        <v/>
      </c>
    </row>
    <row r="209" spans="1:5" x14ac:dyDescent="0.25">
      <c r="A209" s="11">
        <v>-393884751</v>
      </c>
      <c r="B209" t="s">
        <v>1090</v>
      </c>
      <c r="E209" t="str">
        <f>IF(OR(E208="&lt;/routeDistribution&gt;",E208=""),"",IFERROR(_xlfn.CONCAT(VLOOKUP(E148,Route_Column!#REF!,2,FALSE),CHAR(34)," probability=",CHAR(34),1/E$4,CHAR(34),CHAR(47),CHAR(62)),"&lt;/routeDistribution&gt;"))</f>
        <v/>
      </c>
    </row>
    <row r="210" spans="1:5" x14ac:dyDescent="0.25">
      <c r="A210">
        <v>-393884751</v>
      </c>
      <c r="B210" t="s">
        <v>1097</v>
      </c>
      <c r="E210" t="str">
        <f>IF(OR(E209="&lt;/routeDistribution&gt;",E209=""),"",IFERROR(_xlfn.CONCAT(VLOOKUP(E149,Route_Column!#REF!,2,FALSE),CHAR(34)," probability=",CHAR(34),1/E$4,CHAR(34),CHAR(47),CHAR(62)),"&lt;/routeDistribution&gt;"))</f>
        <v/>
      </c>
    </row>
    <row r="211" spans="1:5" x14ac:dyDescent="0.25">
      <c r="A211">
        <v>-393884751</v>
      </c>
      <c r="B211" t="s">
        <v>1111</v>
      </c>
      <c r="E211" t="str">
        <f>IF(OR(E210="&lt;/routeDistribution&gt;",E210=""),"",IFERROR(_xlfn.CONCAT(VLOOKUP(E150,Route_Column!#REF!,2,FALSE),CHAR(34)," probability=",CHAR(34),1/E$4,CHAR(34),CHAR(47),CHAR(62)),"&lt;/routeDistribution&gt;"))</f>
        <v/>
      </c>
    </row>
    <row r="212" spans="1:5" x14ac:dyDescent="0.25">
      <c r="A212">
        <v>-393884751</v>
      </c>
      <c r="B212" t="s">
        <v>1132</v>
      </c>
      <c r="E212" t="str">
        <f>IF(OR(E211="&lt;/routeDistribution&gt;",E211=""),"",IFERROR(_xlfn.CONCAT(VLOOKUP(E151,Route_Column!#REF!,2,FALSE),CHAR(34)," probability=",CHAR(34),1/E$4,CHAR(34),CHAR(47),CHAR(62)),"&lt;/routeDistribution&gt;"))</f>
        <v/>
      </c>
    </row>
    <row r="213" spans="1:5" x14ac:dyDescent="0.25">
      <c r="A213">
        <v>-393884751</v>
      </c>
      <c r="B213" t="s">
        <v>1137</v>
      </c>
      <c r="E213" t="str">
        <f>IF(OR(E212="&lt;/routeDistribution&gt;",E212=""),"",IFERROR(_xlfn.CONCAT(VLOOKUP(E152,Route_Column!#REF!,2,FALSE),CHAR(34)," probability=",CHAR(34),1/E$4,CHAR(34),CHAR(47),CHAR(62)),"&lt;/routeDistribution&gt;"))</f>
        <v/>
      </c>
    </row>
    <row r="214" spans="1:5" x14ac:dyDescent="0.25">
      <c r="A214">
        <v>-393884751</v>
      </c>
      <c r="B214" t="s">
        <v>1171</v>
      </c>
      <c r="E214" t="str">
        <f>IF(OR(E213="&lt;/routeDistribution&gt;",E213=""),"",IFERROR(_xlfn.CONCAT(VLOOKUP(E153,Route_Column!#REF!,2,FALSE),CHAR(34)," probability=",CHAR(34),1/E$4,CHAR(34),CHAR(47),CHAR(62)),"&lt;/routeDistribution&gt;"))</f>
        <v/>
      </c>
    </row>
    <row r="215" spans="1:5" x14ac:dyDescent="0.25">
      <c r="A215">
        <v>-393884751</v>
      </c>
      <c r="B215" t="s">
        <v>1182</v>
      </c>
      <c r="E215" t="str">
        <f>IF(OR(E214="&lt;/routeDistribution&gt;",E214=""),"",IFERROR(_xlfn.CONCAT(VLOOKUP(E154,Route_Column!#REF!,2,FALSE),CHAR(34)," probability=",CHAR(34),1/E$4,CHAR(34),CHAR(47),CHAR(62)),"&lt;/routeDistribution&gt;"))</f>
        <v/>
      </c>
    </row>
    <row r="216" spans="1:5" x14ac:dyDescent="0.25">
      <c r="A216">
        <v>-393884751</v>
      </c>
      <c r="B216" t="s">
        <v>1184</v>
      </c>
      <c r="E216" t="str">
        <f>IF(OR(E215="&lt;/routeDistribution&gt;",E215=""),"",IFERROR(_xlfn.CONCAT(VLOOKUP(E155,Route_Column!#REF!,2,FALSE),CHAR(34)," probability=",CHAR(34),1/E$4,CHAR(34),CHAR(47),CHAR(62)),"&lt;/routeDistribution&gt;"))</f>
        <v/>
      </c>
    </row>
    <row r="217" spans="1:5" x14ac:dyDescent="0.25">
      <c r="A217">
        <v>-393884751</v>
      </c>
      <c r="B217" t="s">
        <v>1191</v>
      </c>
      <c r="E217" t="str">
        <f>IF(OR(E216="&lt;/routeDistribution&gt;",E216=""),"",IFERROR(_xlfn.CONCAT(VLOOKUP(E156,Route_Column!#REF!,2,FALSE),CHAR(34)," probability=",CHAR(34),1/E$4,CHAR(34),CHAR(47),CHAR(62)),"&lt;/routeDistribution&gt;"))</f>
        <v/>
      </c>
    </row>
    <row r="218" spans="1:5" x14ac:dyDescent="0.25">
      <c r="A218">
        <v>-393884751</v>
      </c>
      <c r="B218" t="s">
        <v>1204</v>
      </c>
      <c r="E218" t="str">
        <f>IF(OR(E217="&lt;/routeDistribution&gt;",E217=""),"",IFERROR(_xlfn.CONCAT(VLOOKUP(E157,Route_Column!#REF!,2,FALSE),CHAR(34)," probability=",CHAR(34),1/E$4,CHAR(34),CHAR(47),CHAR(62)),"&lt;/routeDistribution&gt;"))</f>
        <v/>
      </c>
    </row>
    <row r="219" spans="1:5" x14ac:dyDescent="0.25">
      <c r="A219">
        <v>-393884751</v>
      </c>
      <c r="B219" t="s">
        <v>1213</v>
      </c>
      <c r="E219" t="str">
        <f>IF(OR(E218="&lt;/routeDistribution&gt;",E218=""),"",IFERROR(_xlfn.CONCAT(VLOOKUP(E158,Route_Column!#REF!,2,FALSE),CHAR(34)," probability=",CHAR(34),1/E$4,CHAR(34),CHAR(47),CHAR(62)),"&lt;/routeDistribution&gt;"))</f>
        <v/>
      </c>
    </row>
    <row r="220" spans="1:5" x14ac:dyDescent="0.25">
      <c r="A220">
        <v>-393884751</v>
      </c>
      <c r="B220" t="s">
        <v>1215</v>
      </c>
      <c r="E220" t="str">
        <f>IF(OR(E219="&lt;/routeDistribution&gt;",E219=""),"",IFERROR(_xlfn.CONCAT(VLOOKUP(E159,Route_Column!#REF!,2,FALSE),CHAR(34)," probability=",CHAR(34),1/E$4,CHAR(34),CHAR(47),CHAR(62)),"&lt;/routeDistribution&gt;"))</f>
        <v/>
      </c>
    </row>
    <row r="221" spans="1:5" x14ac:dyDescent="0.25">
      <c r="A221">
        <v>-393884751</v>
      </c>
      <c r="B221" t="s">
        <v>1218</v>
      </c>
      <c r="E221" t="str">
        <f>IF(OR(E220="&lt;/routeDistribution&gt;",E220=""),"",IFERROR(_xlfn.CONCAT(VLOOKUP(E160,Route_Column!#REF!,2,FALSE),CHAR(34)," probability=",CHAR(34),1/E$4,CHAR(34),CHAR(47),CHAR(62)),"&lt;/routeDistribution&gt;"))</f>
        <v/>
      </c>
    </row>
    <row r="222" spans="1:5" x14ac:dyDescent="0.25">
      <c r="A222">
        <v>-393884751</v>
      </c>
      <c r="B222" t="s">
        <v>1225</v>
      </c>
      <c r="E222" t="str">
        <f>IF(OR(E221="&lt;/routeDistribution&gt;",E221=""),"",IFERROR(_xlfn.CONCAT(VLOOKUP(E161,Route_Column!#REF!,2,FALSE),CHAR(34)," probability=",CHAR(34),1/E$4,CHAR(34),CHAR(47),CHAR(62)),"&lt;/routeDistribution&gt;"))</f>
        <v/>
      </c>
    </row>
    <row r="223" spans="1:5" x14ac:dyDescent="0.25">
      <c r="A223">
        <v>-393884751</v>
      </c>
      <c r="B223" t="s">
        <v>1228</v>
      </c>
      <c r="E223" t="str">
        <f>IF(OR(E222="&lt;/routeDistribution&gt;",E222=""),"",IFERROR(_xlfn.CONCAT(VLOOKUP(E162,Route_Column!#REF!,2,FALSE),CHAR(34)," probability=",CHAR(34),1/E$4,CHAR(34),CHAR(47),CHAR(62)),"&lt;/routeDistribution&gt;"))</f>
        <v/>
      </c>
    </row>
    <row r="224" spans="1:5" x14ac:dyDescent="0.25">
      <c r="A224">
        <v>-393884751</v>
      </c>
      <c r="B224" t="s">
        <v>1230</v>
      </c>
      <c r="E224" t="str">
        <f>IF(OR(E223="&lt;/routeDistribution&gt;",E223=""),"",IFERROR(_xlfn.CONCAT(VLOOKUP(E163,Route_Column!#REF!,2,FALSE),CHAR(34)," probability=",CHAR(34),1/E$4,CHAR(34),CHAR(47),CHAR(62)),"&lt;/routeDistribution&gt;"))</f>
        <v/>
      </c>
    </row>
    <row r="225" spans="1:5" x14ac:dyDescent="0.25">
      <c r="A225">
        <v>-393884751</v>
      </c>
      <c r="B225" t="s">
        <v>1253</v>
      </c>
      <c r="E225" t="str">
        <f>IF(OR(E224="&lt;/routeDistribution&gt;",E224=""),"",IFERROR(_xlfn.CONCAT(VLOOKUP(E164,Route_Column!#REF!,2,FALSE),CHAR(34)," probability=",CHAR(34),1/E$4,CHAR(34),CHAR(47),CHAR(62)),"&lt;/routeDistribution&gt;"))</f>
        <v/>
      </c>
    </row>
    <row r="226" spans="1:5" x14ac:dyDescent="0.25">
      <c r="A226">
        <v>-386995551</v>
      </c>
      <c r="B226" t="s">
        <v>1116</v>
      </c>
      <c r="E226" t="str">
        <f>IF(OR(E225="&lt;/routeDistribution&gt;",E225=""),"",IFERROR(_xlfn.CONCAT(VLOOKUP(E165,Route_Column!#REF!,2,FALSE),CHAR(34)," probability=",CHAR(34),1/E$4,CHAR(34),CHAR(47),CHAR(62)),"&lt;/routeDistribution&gt;"))</f>
        <v/>
      </c>
    </row>
    <row r="227" spans="1:5" x14ac:dyDescent="0.25">
      <c r="A227">
        <v>-386995551</v>
      </c>
      <c r="B227" t="s">
        <v>1117</v>
      </c>
      <c r="E227" t="str">
        <f>IF(OR(E226="&lt;/routeDistribution&gt;",E226=""),"",IFERROR(_xlfn.CONCAT(VLOOKUP(E166,Route_Column!#REF!,2,FALSE),CHAR(34)," probability=",CHAR(34),1/E$4,CHAR(34),CHAR(47),CHAR(62)),"&lt;/routeDistribution&gt;"))</f>
        <v/>
      </c>
    </row>
    <row r="228" spans="1:5" x14ac:dyDescent="0.25">
      <c r="A228">
        <v>-386995551</v>
      </c>
      <c r="B228" t="s">
        <v>1118</v>
      </c>
      <c r="E228" t="str">
        <f>IF(OR(E227="&lt;/routeDistribution&gt;",E227=""),"",IFERROR(_xlfn.CONCAT(VLOOKUP(E167,Route_Column!#REF!,2,FALSE),CHAR(34)," probability=",CHAR(34),1/E$4,CHAR(34),CHAR(47),CHAR(62)),"&lt;/routeDistribution&gt;"))</f>
        <v/>
      </c>
    </row>
    <row r="229" spans="1:5" x14ac:dyDescent="0.25">
      <c r="A229">
        <v>-386995551</v>
      </c>
      <c r="B229" t="s">
        <v>1119</v>
      </c>
      <c r="E229" t="str">
        <f>IF(OR(E228="&lt;/routeDistribution&gt;",E228=""),"",IFERROR(_xlfn.CONCAT(VLOOKUP(E168,Route_Column!#REF!,2,FALSE),CHAR(34)," probability=",CHAR(34),1/E$4,CHAR(34),CHAR(47),CHAR(62)),"&lt;/routeDistribution&gt;"))</f>
        <v/>
      </c>
    </row>
    <row r="230" spans="1:5" x14ac:dyDescent="0.25">
      <c r="A230">
        <v>-386995551</v>
      </c>
      <c r="B230" t="s">
        <v>1120</v>
      </c>
      <c r="E230" t="str">
        <f>IF(OR(E229="&lt;/routeDistribution&gt;",E229=""),"",IFERROR(_xlfn.CONCAT(VLOOKUP(E169,Route_Column!#REF!,2,FALSE),CHAR(34)," probability=",CHAR(34),1/E$4,CHAR(34),CHAR(47),CHAR(62)),"&lt;/routeDistribution&gt;"))</f>
        <v/>
      </c>
    </row>
    <row r="231" spans="1:5" x14ac:dyDescent="0.25">
      <c r="A231">
        <v>-386995537</v>
      </c>
      <c r="B231" t="s">
        <v>1100</v>
      </c>
      <c r="E231" t="str">
        <f>IF(OR(E230="&lt;/routeDistribution&gt;",E230=""),"",IFERROR(_xlfn.CONCAT(VLOOKUP(E170,Route_Column!#REF!,2,FALSE),CHAR(34)," probability=",CHAR(34),1/E$4,CHAR(34),CHAR(47),CHAR(62)),"&lt;/routeDistribution&gt;"))</f>
        <v/>
      </c>
    </row>
    <row r="232" spans="1:5" x14ac:dyDescent="0.25">
      <c r="A232">
        <v>-386995537</v>
      </c>
      <c r="B232" t="s">
        <v>1101</v>
      </c>
      <c r="E232" t="str">
        <f>IF(OR(E231="&lt;/routeDistribution&gt;",E231=""),"",IFERROR(_xlfn.CONCAT(VLOOKUP(E171,Route_Column!#REF!,2,FALSE),CHAR(34)," probability=",CHAR(34),1/E$4,CHAR(34),CHAR(47),CHAR(62)),"&lt;/routeDistribution&gt;"))</f>
        <v/>
      </c>
    </row>
    <row r="233" spans="1:5" x14ac:dyDescent="0.25">
      <c r="A233">
        <v>-386995537</v>
      </c>
      <c r="B233" t="s">
        <v>1104</v>
      </c>
      <c r="E233" t="str">
        <f>IF(OR(E232="&lt;/routeDistribution&gt;",E232=""),"",IFERROR(_xlfn.CONCAT(VLOOKUP(E172,Route_Column!#REF!,2,FALSE),CHAR(34)," probability=",CHAR(34),1/E$4,CHAR(34),CHAR(47),CHAR(62)),"&lt;/routeDistribution&gt;"))</f>
        <v/>
      </c>
    </row>
    <row r="234" spans="1:5" x14ac:dyDescent="0.25">
      <c r="A234">
        <v>-386995537</v>
      </c>
      <c r="B234" t="s">
        <v>1105</v>
      </c>
      <c r="E234" t="str">
        <f>IF(OR(E233="&lt;/routeDistribution&gt;",E233=""),"",IFERROR(_xlfn.CONCAT(VLOOKUP(E173,Route_Column!#REF!,2,FALSE),CHAR(34)," probability=",CHAR(34),1/E$4,CHAR(34),CHAR(47),CHAR(62)),"&lt;/routeDistribution&gt;"))</f>
        <v/>
      </c>
    </row>
    <row r="235" spans="1:5" x14ac:dyDescent="0.25">
      <c r="A235">
        <v>-386995537</v>
      </c>
      <c r="B235" t="s">
        <v>1116</v>
      </c>
      <c r="E235" t="str">
        <f>IF(OR(E234="&lt;/routeDistribution&gt;",E234=""),"",IFERROR(_xlfn.CONCAT(VLOOKUP(E174,Route_Column!#REF!,2,FALSE),CHAR(34)," probability=",CHAR(34),1/E$4,CHAR(34),CHAR(47),CHAR(62)),"&lt;/routeDistribution&gt;"))</f>
        <v/>
      </c>
    </row>
    <row r="236" spans="1:5" x14ac:dyDescent="0.25">
      <c r="A236">
        <v>-386995537</v>
      </c>
      <c r="B236" t="s">
        <v>1116</v>
      </c>
      <c r="E236" t="str">
        <f>IF(OR(E235="&lt;/routeDistribution&gt;",E235=""),"",IFERROR(_xlfn.CONCAT(VLOOKUP(E175,Route_Column!#REF!,2,FALSE),CHAR(34)," probability=",CHAR(34),1/E$4,CHAR(34),CHAR(47),CHAR(62)),"&lt;/routeDistribution&gt;"))</f>
        <v/>
      </c>
    </row>
    <row r="237" spans="1:5" x14ac:dyDescent="0.25">
      <c r="A237">
        <v>-386995537</v>
      </c>
      <c r="B237" t="s">
        <v>1117</v>
      </c>
      <c r="E237" t="str">
        <f>IF(OR(E236="&lt;/routeDistribution&gt;",E236=""),"",IFERROR(_xlfn.CONCAT(VLOOKUP(E176,Route_Column!#REF!,2,FALSE),CHAR(34)," probability=",CHAR(34),1/E$4,CHAR(34),CHAR(47),CHAR(62)),"&lt;/routeDistribution&gt;"))</f>
        <v/>
      </c>
    </row>
    <row r="238" spans="1:5" x14ac:dyDescent="0.25">
      <c r="A238">
        <v>-386995537</v>
      </c>
      <c r="B238" t="s">
        <v>1117</v>
      </c>
      <c r="E238" t="str">
        <f>IF(OR(E237="&lt;/routeDistribution&gt;",E237=""),"",IFERROR(_xlfn.CONCAT(VLOOKUP(E177,Route_Column!#REF!,2,FALSE),CHAR(34)," probability=",CHAR(34),1/E$4,CHAR(34),CHAR(47),CHAR(62)),"&lt;/routeDistribution&gt;"))</f>
        <v/>
      </c>
    </row>
    <row r="239" spans="1:5" x14ac:dyDescent="0.25">
      <c r="A239">
        <v>-386995537</v>
      </c>
      <c r="B239" t="s">
        <v>1118</v>
      </c>
      <c r="E239" t="str">
        <f>IF(OR(E238="&lt;/routeDistribution&gt;",E238=""),"",IFERROR(_xlfn.CONCAT(VLOOKUP(E178,Route_Column!#REF!,2,FALSE),CHAR(34)," probability=",CHAR(34),1/E$4,CHAR(34),CHAR(47),CHAR(62)),"&lt;/routeDistribution&gt;"))</f>
        <v/>
      </c>
    </row>
    <row r="240" spans="1:5" x14ac:dyDescent="0.25">
      <c r="A240">
        <v>-386995537</v>
      </c>
      <c r="B240" t="s">
        <v>1118</v>
      </c>
      <c r="E240" t="str">
        <f>IF(OR(E239="&lt;/routeDistribution&gt;",E239=""),"",IFERROR(_xlfn.CONCAT(VLOOKUP(E179,Route_Column!#REF!,2,FALSE),CHAR(34)," probability=",CHAR(34),1/E$4,CHAR(34),CHAR(47),CHAR(62)),"&lt;/routeDistribution&gt;"))</f>
        <v/>
      </c>
    </row>
    <row r="241" spans="1:5" x14ac:dyDescent="0.25">
      <c r="A241">
        <v>-386995537</v>
      </c>
      <c r="B241" t="s">
        <v>1119</v>
      </c>
      <c r="E241" t="str">
        <f>IF(OR(E240="&lt;/routeDistribution&gt;",E240=""),"",IFERROR(_xlfn.CONCAT(VLOOKUP(E180,Route_Column!#REF!,2,FALSE),CHAR(34)," probability=",CHAR(34),1/E$4,CHAR(34),CHAR(47),CHAR(62)),"&lt;/routeDistribution&gt;"))</f>
        <v/>
      </c>
    </row>
    <row r="242" spans="1:5" x14ac:dyDescent="0.25">
      <c r="A242">
        <v>-386995537</v>
      </c>
      <c r="B242" t="s">
        <v>1120</v>
      </c>
      <c r="E242" t="str">
        <f>IF(OR(E241="&lt;/routeDistribution&gt;",E241=""),"",IFERROR(_xlfn.CONCAT(VLOOKUP(E181,Route_Column!#REF!,2,FALSE),CHAR(34)," probability=",CHAR(34),1/E$4,CHAR(34),CHAR(47),CHAR(62)),"&lt;/routeDistribution&gt;"))</f>
        <v/>
      </c>
    </row>
    <row r="243" spans="1:5" x14ac:dyDescent="0.25">
      <c r="A243">
        <v>-386995537</v>
      </c>
      <c r="B243" t="s">
        <v>1164</v>
      </c>
      <c r="E243" t="str">
        <f>IF(OR(E242="&lt;/routeDistribution&gt;",E242=""),"",IFERROR(_xlfn.CONCAT(VLOOKUP(E182,Route_Column!#REF!,2,FALSE),CHAR(34)," probability=",CHAR(34),1/E$4,CHAR(34),CHAR(47),CHAR(62)),"&lt;/routeDistribution&gt;"))</f>
        <v/>
      </c>
    </row>
    <row r="244" spans="1:5" x14ac:dyDescent="0.25">
      <c r="A244">
        <v>-386995537</v>
      </c>
      <c r="B244" t="s">
        <v>1235</v>
      </c>
      <c r="E244" t="str">
        <f>IF(OR(E243="&lt;/routeDistribution&gt;",E243=""),"",IFERROR(_xlfn.CONCAT(VLOOKUP(E183,Route_Column!#REF!,2,FALSE),CHAR(34)," probability=",CHAR(34),1/E$4,CHAR(34),CHAR(47),CHAR(62)),"&lt;/routeDistribution&gt;"))</f>
        <v/>
      </c>
    </row>
    <row r="245" spans="1:5" x14ac:dyDescent="0.25">
      <c r="A245">
        <v>-386995537</v>
      </c>
      <c r="B245" t="s">
        <v>1236</v>
      </c>
      <c r="E245" t="str">
        <f>IF(OR(E244="&lt;/routeDistribution&gt;",E244=""),"",IFERROR(_xlfn.CONCAT(VLOOKUP(E184,Route_Column!#REF!,2,FALSE),CHAR(34)," probability=",CHAR(34),1/E$4,CHAR(34),CHAR(47),CHAR(62)),"&lt;/routeDistribution&gt;"))</f>
        <v/>
      </c>
    </row>
    <row r="246" spans="1:5" x14ac:dyDescent="0.25">
      <c r="A246">
        <v>-386995537</v>
      </c>
      <c r="B246" t="s">
        <v>1239</v>
      </c>
      <c r="E246" t="str">
        <f>IF(OR(E245="&lt;/routeDistribution&gt;",E245=""),"",IFERROR(_xlfn.CONCAT(VLOOKUP(E185,Route_Column!#REF!,2,FALSE),CHAR(34)," probability=",CHAR(34),1/E$4,CHAR(34),CHAR(47),CHAR(62)),"&lt;/routeDistribution&gt;"))</f>
        <v/>
      </c>
    </row>
    <row r="247" spans="1:5" x14ac:dyDescent="0.25">
      <c r="A247">
        <v>-386995537</v>
      </c>
      <c r="B247" t="s">
        <v>1240</v>
      </c>
      <c r="E247" t="str">
        <f>IF(OR(E246="&lt;/routeDistribution&gt;",E246=""),"",IFERROR(_xlfn.CONCAT(VLOOKUP(E186,Route_Column!#REF!,2,FALSE),CHAR(34)," probability=",CHAR(34),1/E$4,CHAR(34),CHAR(47),CHAR(62)),"&lt;/routeDistribution&gt;"))</f>
        <v/>
      </c>
    </row>
    <row r="248" spans="1:5" x14ac:dyDescent="0.25">
      <c r="A248" s="13">
        <v>-262962063</v>
      </c>
      <c r="B248" t="s">
        <v>1091</v>
      </c>
      <c r="E248" t="str">
        <f>IF(OR(E247="&lt;/routeDistribution&gt;",E247=""),"",IFERROR(_xlfn.CONCAT(VLOOKUP(E187,Route_Column!#REF!,2,FALSE),CHAR(34)," probability=",CHAR(34),1/E$4,CHAR(34),CHAR(47),CHAR(62)),"&lt;/routeDistribution&gt;"))</f>
        <v/>
      </c>
    </row>
    <row r="249" spans="1:5" x14ac:dyDescent="0.25">
      <c r="A249">
        <v>-262962063</v>
      </c>
      <c r="B249" t="s">
        <v>1092</v>
      </c>
      <c r="E249" t="str">
        <f>IF(OR(E248="&lt;/routeDistribution&gt;",E248=""),"",IFERROR(_xlfn.CONCAT(VLOOKUP(E188,Route_Column!#REF!,2,FALSE),CHAR(34)," probability=",CHAR(34),1/E$4,CHAR(34),CHAR(47),CHAR(62)),"&lt;/routeDistribution&gt;"))</f>
        <v/>
      </c>
    </row>
    <row r="250" spans="1:5" x14ac:dyDescent="0.25">
      <c r="A250">
        <v>-262962063</v>
      </c>
      <c r="B250" t="s">
        <v>1093</v>
      </c>
      <c r="E250" t="str">
        <f>IF(OR(E249="&lt;/routeDistribution&gt;",E249=""),"",IFERROR(_xlfn.CONCAT(VLOOKUP(E189,Route_Column!#REF!,2,FALSE),CHAR(34)," probability=",CHAR(34),1/E$4,CHAR(34),CHAR(47),CHAR(62)),"&lt;/routeDistribution&gt;"))</f>
        <v/>
      </c>
    </row>
    <row r="251" spans="1:5" x14ac:dyDescent="0.25">
      <c r="A251">
        <v>-262962063</v>
      </c>
      <c r="B251" t="s">
        <v>1094</v>
      </c>
      <c r="E251" t="str">
        <f>IF(OR(E250="&lt;/routeDistribution&gt;",E250=""),"",IFERROR(_xlfn.CONCAT(VLOOKUP(E190,Route_Column!#REF!,2,FALSE),CHAR(34)," probability=",CHAR(34),1/E$4,CHAR(34),CHAR(47),CHAR(62)),"&lt;/routeDistribution&gt;"))</f>
        <v/>
      </c>
    </row>
    <row r="252" spans="1:5" x14ac:dyDescent="0.25">
      <c r="A252">
        <v>-262962063</v>
      </c>
      <c r="B252" t="s">
        <v>1140</v>
      </c>
      <c r="E252" t="str">
        <f>IF(OR(E251="&lt;/routeDistribution&gt;",E251=""),"",IFERROR(_xlfn.CONCAT(VLOOKUP(E191,Route_Column!#REF!,2,FALSE),CHAR(34)," probability=",CHAR(34),1/E$4,CHAR(34),CHAR(47),CHAR(62)),"&lt;/routeDistribution&gt;"))</f>
        <v/>
      </c>
    </row>
    <row r="253" spans="1:5" x14ac:dyDescent="0.25">
      <c r="A253">
        <v>-262962063</v>
      </c>
      <c r="B253" t="s">
        <v>1141</v>
      </c>
      <c r="E253" t="str">
        <f>IF(OR(E252="&lt;/routeDistribution&gt;",E252=""),"",IFERROR(_xlfn.CONCAT(VLOOKUP(E192,Route_Column!#REF!,2,FALSE),CHAR(34)," probability=",CHAR(34),1/E$4,CHAR(34),CHAR(47),CHAR(62)),"&lt;/routeDistribution&gt;"))</f>
        <v/>
      </c>
    </row>
    <row r="254" spans="1:5" x14ac:dyDescent="0.25">
      <c r="A254">
        <v>-262962063</v>
      </c>
      <c r="B254" t="s">
        <v>1142</v>
      </c>
      <c r="E254" t="str">
        <f>IF(OR(E253="&lt;/routeDistribution&gt;",E253=""),"",IFERROR(_xlfn.CONCAT(VLOOKUP(E193,Route_Column!#REF!,2,FALSE),CHAR(34)," probability=",CHAR(34),1/E$4,CHAR(34),CHAR(47),CHAR(62)),"&lt;/routeDistribution&gt;"))</f>
        <v/>
      </c>
    </row>
    <row r="255" spans="1:5" x14ac:dyDescent="0.25">
      <c r="A255">
        <v>-262962063</v>
      </c>
      <c r="B255" t="s">
        <v>1150</v>
      </c>
      <c r="E255" t="str">
        <f>IF(OR(E254="&lt;/routeDistribution&gt;",E254=""),"",IFERROR(_xlfn.CONCAT(VLOOKUP(E194,Route_Column!#REF!,2,FALSE),CHAR(34)," probability=",CHAR(34),1/E$4,CHAR(34),CHAR(47),CHAR(62)),"&lt;/routeDistribution&gt;"))</f>
        <v/>
      </c>
    </row>
    <row r="256" spans="1:5" x14ac:dyDescent="0.25">
      <c r="A256">
        <v>-262962063</v>
      </c>
      <c r="B256" t="s">
        <v>1151</v>
      </c>
      <c r="E256" t="str">
        <f>IF(OR(E255="&lt;/routeDistribution&gt;",E255=""),"",IFERROR(_xlfn.CONCAT(VLOOKUP(E195,Route_Column!#REF!,2,FALSE),CHAR(34)," probability=",CHAR(34),1/E$4,CHAR(34),CHAR(47),CHAR(62)),"&lt;/routeDistribution&gt;"))</f>
        <v/>
      </c>
    </row>
    <row r="257" spans="1:5" x14ac:dyDescent="0.25">
      <c r="A257">
        <v>-262962063</v>
      </c>
      <c r="B257" t="s">
        <v>1160</v>
      </c>
      <c r="E257" t="str">
        <f>IF(OR(E256="&lt;/routeDistribution&gt;",E256=""),"",IFERROR(_xlfn.CONCAT(VLOOKUP(E196,Route_Column!#REF!,2,FALSE),CHAR(34)," probability=",CHAR(34),1/E$4,CHAR(34),CHAR(47),CHAR(62)),"&lt;/routeDistribution&gt;"))</f>
        <v/>
      </c>
    </row>
    <row r="258" spans="1:5" x14ac:dyDescent="0.25">
      <c r="A258">
        <v>-262962063</v>
      </c>
      <c r="B258" t="s">
        <v>1173</v>
      </c>
      <c r="E258" t="str">
        <f>IF(OR(E257="&lt;/routeDistribution&gt;",E257=""),"",IFERROR(_xlfn.CONCAT(VLOOKUP(E197,Route_Column!#REF!,2,FALSE),CHAR(34)," probability=",CHAR(34),1/E$4,CHAR(34),CHAR(47),CHAR(62)),"&lt;/routeDistribution&gt;"))</f>
        <v/>
      </c>
    </row>
    <row r="259" spans="1:5" x14ac:dyDescent="0.25">
      <c r="A259">
        <v>-262962063</v>
      </c>
      <c r="B259" t="s">
        <v>1174</v>
      </c>
      <c r="E259" t="str">
        <f>IF(OR(E258="&lt;/routeDistribution&gt;",E258=""),"",IFERROR(_xlfn.CONCAT(VLOOKUP(E198,Route_Column!#REF!,2,FALSE),CHAR(34)," probability=",CHAR(34),1/E$4,CHAR(34),CHAR(47),CHAR(62)),"&lt;/routeDistribution&gt;"))</f>
        <v/>
      </c>
    </row>
    <row r="260" spans="1:5" x14ac:dyDescent="0.25">
      <c r="A260">
        <v>-262962063</v>
      </c>
      <c r="B260" t="s">
        <v>1175</v>
      </c>
      <c r="E260" t="str">
        <f>IF(OR(E259="&lt;/routeDistribution&gt;",E259=""),"",IFERROR(_xlfn.CONCAT(VLOOKUP(E199,Route_Column!#REF!,2,FALSE),CHAR(34)," probability=",CHAR(34),1/E$4,CHAR(34),CHAR(47),CHAR(62)),"&lt;/routeDistribution&gt;"))</f>
        <v/>
      </c>
    </row>
    <row r="261" spans="1:5" x14ac:dyDescent="0.25">
      <c r="A261">
        <v>-262962063</v>
      </c>
      <c r="B261" t="s">
        <v>1176</v>
      </c>
      <c r="E261" t="str">
        <f>_xlfn.CONCAT($E$1,ED$2,$F$1)</f>
        <v>&lt;routeDistribution id="SPGDst-76-to-31st-WB-2009-RouteProbe"&gt;</v>
      </c>
    </row>
    <row r="262" spans="1:5" x14ac:dyDescent="0.25">
      <c r="A262">
        <v>-262962063</v>
      </c>
      <c r="B262" t="s">
        <v>1177</v>
      </c>
      <c r="E262" t="str">
        <f>IF(OR(E261="&lt;/routeDistribution&gt;",E261=""),"",IFERROR(_xlfn.CONCAT(VLOOKUP(ED5,Route_Column!#REF!,2,FALSE),CHAR(34)," probability=",CHAR(34),1/ED$4,CHAR(34),CHAR(47),CHAR(62)),"&lt;/routeDistribution&gt;"))</f>
        <v>&lt;/routeDistribution&gt;</v>
      </c>
    </row>
    <row r="263" spans="1:5" x14ac:dyDescent="0.25">
      <c r="A263">
        <v>-262962063</v>
      </c>
      <c r="B263" t="s">
        <v>1178</v>
      </c>
      <c r="E263" t="str">
        <f>IF(OR(E262="&lt;/routeDistribution&gt;",E262=""),"",IFERROR(_xlfn.CONCAT(VLOOKUP(ED6,Route_Column!#REF!,2,FALSE),CHAR(34)," probability=",CHAR(34),1/ED$4,CHAR(34),CHAR(47),CHAR(62)),"&lt;/routeDistribution&gt;"))</f>
        <v/>
      </c>
    </row>
    <row r="264" spans="1:5" x14ac:dyDescent="0.25">
      <c r="A264">
        <v>-262962063</v>
      </c>
      <c r="B264" t="s">
        <v>1179</v>
      </c>
      <c r="E264" t="str">
        <f>IF(OR(E263="&lt;/routeDistribution&gt;",E263=""),"",IFERROR(_xlfn.CONCAT(VLOOKUP(ED7,Route_Column!#REF!,2,FALSE),CHAR(34)," probability=",CHAR(34),1/ED$4,CHAR(34),CHAR(47),CHAR(62)),"&lt;/routeDistribution&gt;"))</f>
        <v/>
      </c>
    </row>
    <row r="265" spans="1:5" x14ac:dyDescent="0.25">
      <c r="A265">
        <v>-262962063</v>
      </c>
      <c r="B265" t="s">
        <v>1179</v>
      </c>
      <c r="E265" t="str">
        <f>IF(OR(E264="&lt;/routeDistribution&gt;",E264=""),"",IFERROR(_xlfn.CONCAT(VLOOKUP(ED8,Route_Column!#REF!,2,FALSE),CHAR(34)," probability=",CHAR(34),1/ED$4,CHAR(34),CHAR(47),CHAR(62)),"&lt;/routeDistribution&gt;"))</f>
        <v/>
      </c>
    </row>
    <row r="266" spans="1:5" x14ac:dyDescent="0.25">
      <c r="A266">
        <v>-262962063</v>
      </c>
      <c r="B266" t="s">
        <v>1183</v>
      </c>
      <c r="E266" t="str">
        <f>IF(OR(E265="&lt;/routeDistribution&gt;",E265=""),"",IFERROR(_xlfn.CONCAT(VLOOKUP(ED9,Route_Column!#REF!,2,FALSE),CHAR(34)," probability=",CHAR(34),1/ED$4,CHAR(34),CHAR(47),CHAR(62)),"&lt;/routeDistribution&gt;"))</f>
        <v/>
      </c>
    </row>
    <row r="267" spans="1:5" x14ac:dyDescent="0.25">
      <c r="A267">
        <v>-262962063</v>
      </c>
      <c r="B267" t="s">
        <v>1184</v>
      </c>
      <c r="E267" t="str">
        <f>IF(OR(E266="&lt;/routeDistribution&gt;",E266=""),"",IFERROR(_xlfn.CONCAT(VLOOKUP(ED10,Route_Column!#REF!,2,FALSE),CHAR(34)," probability=",CHAR(34),1/ED$4,CHAR(34),CHAR(47),CHAR(62)),"&lt;/routeDistribution&gt;"))</f>
        <v/>
      </c>
    </row>
    <row r="268" spans="1:5" x14ac:dyDescent="0.25">
      <c r="A268">
        <v>-262962063</v>
      </c>
      <c r="B268" t="s">
        <v>1194</v>
      </c>
      <c r="E268" t="str">
        <f>IF(OR(E267="&lt;/routeDistribution&gt;",E267=""),"",IFERROR(_xlfn.CONCAT(VLOOKUP(ED11,Route_Column!#REF!,2,FALSE),CHAR(34)," probability=",CHAR(34),1/ED$4,CHAR(34),CHAR(47),CHAR(62)),"&lt;/routeDistribution&gt;"))</f>
        <v/>
      </c>
    </row>
    <row r="269" spans="1:5" x14ac:dyDescent="0.25">
      <c r="A269">
        <v>-262962063</v>
      </c>
      <c r="B269" t="s">
        <v>1198</v>
      </c>
      <c r="E269" t="str">
        <f>IF(OR(E268="&lt;/routeDistribution&gt;",E268=""),"",IFERROR(_xlfn.CONCAT(VLOOKUP(ED12,Route_Column!#REF!,2,FALSE),CHAR(34)," probability=",CHAR(34),1/ED$4,CHAR(34),CHAR(47),CHAR(62)),"&lt;/routeDistribution&gt;"))</f>
        <v/>
      </c>
    </row>
    <row r="270" spans="1:5" x14ac:dyDescent="0.25">
      <c r="A270">
        <v>-262962063</v>
      </c>
      <c r="B270" t="s">
        <v>1205</v>
      </c>
      <c r="E270" t="str">
        <f>IF(OR(E269="&lt;/routeDistribution&gt;",E269=""),"",IFERROR(_xlfn.CONCAT(VLOOKUP(ED13,Route_Column!#REF!,2,FALSE),CHAR(34)," probability=",CHAR(34),1/ED$4,CHAR(34),CHAR(47),CHAR(62)),"&lt;/routeDistribution&gt;"))</f>
        <v/>
      </c>
    </row>
    <row r="271" spans="1:5" x14ac:dyDescent="0.25">
      <c r="A271">
        <v>-262962063</v>
      </c>
      <c r="B271" t="s">
        <v>1206</v>
      </c>
      <c r="E271" t="str">
        <f>IF(OR(E270="&lt;/routeDistribution&gt;",E270=""),"",IFERROR(_xlfn.CONCAT(VLOOKUP(ED14,Route_Column!#REF!,2,FALSE),CHAR(34)," probability=",CHAR(34),1/ED$4,CHAR(34),CHAR(47),CHAR(62)),"&lt;/routeDistribution&gt;"))</f>
        <v/>
      </c>
    </row>
    <row r="272" spans="1:5" x14ac:dyDescent="0.25">
      <c r="A272">
        <v>-262962063</v>
      </c>
      <c r="B272" t="s">
        <v>1207</v>
      </c>
      <c r="E272" t="str">
        <f>IF(OR(E271="&lt;/routeDistribution&gt;",E271=""),"",IFERROR(_xlfn.CONCAT(VLOOKUP(ED15,Route_Column!#REF!,2,FALSE),CHAR(34)," probability=",CHAR(34),1/ED$4,CHAR(34),CHAR(47),CHAR(62)),"&lt;/routeDistribution&gt;"))</f>
        <v/>
      </c>
    </row>
    <row r="273" spans="1:5" x14ac:dyDescent="0.25">
      <c r="A273">
        <v>-262962063</v>
      </c>
      <c r="B273" t="s">
        <v>1208</v>
      </c>
      <c r="E273" t="str">
        <f>IF(OR(E272="&lt;/routeDistribution&gt;",E272=""),"",IFERROR(_xlfn.CONCAT(VLOOKUP(ED16,Route_Column!#REF!,2,FALSE),CHAR(34)," probability=",CHAR(34),1/ED$4,CHAR(34),CHAR(47),CHAR(62)),"&lt;/routeDistribution&gt;"))</f>
        <v/>
      </c>
    </row>
    <row r="274" spans="1:5" x14ac:dyDescent="0.25">
      <c r="A274">
        <v>-262962063</v>
      </c>
      <c r="B274" t="s">
        <v>1224</v>
      </c>
      <c r="E274" t="str">
        <f>IF(OR(E273="&lt;/routeDistribution&gt;",E273=""),"",IFERROR(_xlfn.CONCAT(VLOOKUP(ED17,Route_Column!#REF!,2,FALSE),CHAR(34)," probability=",CHAR(34),1/ED$4,CHAR(34),CHAR(47),CHAR(62)),"&lt;/routeDistribution&gt;"))</f>
        <v/>
      </c>
    </row>
    <row r="275" spans="1:5" x14ac:dyDescent="0.25">
      <c r="A275">
        <v>-262962063</v>
      </c>
      <c r="B275" t="s">
        <v>1225</v>
      </c>
      <c r="E275" t="str">
        <f>IF(OR(E274="&lt;/routeDistribution&gt;",E274=""),"",IFERROR(_xlfn.CONCAT(VLOOKUP(ED18,Route_Column!#REF!,2,FALSE),CHAR(34)," probability=",CHAR(34),1/ED$4,CHAR(34),CHAR(47),CHAR(62)),"&lt;/routeDistribution&gt;"))</f>
        <v/>
      </c>
    </row>
    <row r="276" spans="1:5" x14ac:dyDescent="0.25">
      <c r="A276">
        <v>-262962063</v>
      </c>
      <c r="B276" t="s">
        <v>1232</v>
      </c>
      <c r="E276" t="str">
        <f>IF(OR(E275="&lt;/routeDistribution&gt;",E275=""),"",IFERROR(_xlfn.CONCAT(VLOOKUP(ED19,Route_Column!#REF!,2,FALSE),CHAR(34)," probability=",CHAR(34),1/ED$4,CHAR(34),CHAR(47),CHAR(62)),"&lt;/routeDistribution&gt;"))</f>
        <v/>
      </c>
    </row>
    <row r="277" spans="1:5" x14ac:dyDescent="0.25">
      <c r="A277">
        <v>-262962063</v>
      </c>
      <c r="B277" t="s">
        <v>1233</v>
      </c>
      <c r="E277" t="str">
        <f>IF(OR(E276="&lt;/routeDistribution&gt;",E276=""),"",IFERROR(_xlfn.CONCAT(VLOOKUP(ED20,Route_Column!#REF!,2,FALSE),CHAR(34)," probability=",CHAR(34),1/ED$4,CHAR(34),CHAR(47),CHAR(62)),"&lt;/routeDistribution&gt;"))</f>
        <v/>
      </c>
    </row>
    <row r="278" spans="1:5" x14ac:dyDescent="0.25">
      <c r="A278">
        <v>-262962063</v>
      </c>
      <c r="B278" t="s">
        <v>1234</v>
      </c>
      <c r="E278" t="str">
        <f>IF(OR(E277="&lt;/routeDistribution&gt;",E277=""),"",IFERROR(_xlfn.CONCAT(VLOOKUP(ED21,Route_Column!#REF!,2,FALSE),CHAR(34)," probability=",CHAR(34),1/ED$4,CHAR(34),CHAR(47),CHAR(62)),"&lt;/routeDistribution&gt;"))</f>
        <v/>
      </c>
    </row>
    <row r="279" spans="1:5" x14ac:dyDescent="0.25">
      <c r="A279">
        <v>-170366765</v>
      </c>
      <c r="B279" t="s">
        <v>1113</v>
      </c>
      <c r="E279" t="str">
        <f>IF(OR(E278="&lt;/routeDistribution&gt;",E278=""),"",IFERROR(_xlfn.CONCAT(VLOOKUP(ED22,Route_Column!#REF!,2,FALSE),CHAR(34)," probability=",CHAR(34),1/ED$4,CHAR(34),CHAR(47),CHAR(62)),"&lt;/routeDistribution&gt;"))</f>
        <v/>
      </c>
    </row>
    <row r="280" spans="1:5" x14ac:dyDescent="0.25">
      <c r="A280">
        <v>-170366765</v>
      </c>
      <c r="B280" t="s">
        <v>1114</v>
      </c>
      <c r="E280" t="str">
        <f>IF(OR(E279="&lt;/routeDistribution&gt;",E279=""),"",IFERROR(_xlfn.CONCAT(VLOOKUP(ED23,Route_Column!#REF!,2,FALSE),CHAR(34)," probability=",CHAR(34),1/ED$4,CHAR(34),CHAR(47),CHAR(62)),"&lt;/routeDistribution&gt;"))</f>
        <v/>
      </c>
    </row>
    <row r="281" spans="1:5" x14ac:dyDescent="0.25">
      <c r="A281">
        <v>-170366765</v>
      </c>
      <c r="B281" t="s">
        <v>1133</v>
      </c>
      <c r="E281" t="str">
        <f>IF(OR(E280="&lt;/routeDistribution&gt;",E280=""),"",IFERROR(_xlfn.CONCAT(VLOOKUP(ED24,Route_Column!#REF!,2,FALSE),CHAR(34)," probability=",CHAR(34),1/ED$4,CHAR(34),CHAR(47),CHAR(62)),"&lt;/routeDistribution&gt;"))</f>
        <v/>
      </c>
    </row>
    <row r="282" spans="1:5" x14ac:dyDescent="0.25">
      <c r="A282">
        <v>-132508530</v>
      </c>
      <c r="B282" t="s">
        <v>1133</v>
      </c>
      <c r="E282" t="str">
        <f>IF(OR(E281="&lt;/routeDistribution&gt;",E281=""),"",IFERROR(_xlfn.CONCAT(VLOOKUP(ED25,Route_Column!#REF!,2,FALSE),CHAR(34)," probability=",CHAR(34),1/ED$4,CHAR(34),CHAR(47),CHAR(62)),"&lt;/routeDistribution&gt;"))</f>
        <v/>
      </c>
    </row>
    <row r="283" spans="1:5" x14ac:dyDescent="0.25">
      <c r="A283">
        <v>-121319046</v>
      </c>
      <c r="B283" t="s">
        <v>1096</v>
      </c>
      <c r="E283" t="str">
        <f>IF(OR(E282="&lt;/routeDistribution&gt;",E282=""),"",IFERROR(_xlfn.CONCAT(VLOOKUP(ED26,Route_Column!#REF!,2,FALSE),CHAR(34)," probability=",CHAR(34),1/ED$4,CHAR(34),CHAR(47),CHAR(62)),"&lt;/routeDistribution&gt;"))</f>
        <v/>
      </c>
    </row>
    <row r="284" spans="1:5" x14ac:dyDescent="0.25">
      <c r="A284">
        <v>-121319046</v>
      </c>
      <c r="B284" t="s">
        <v>1099</v>
      </c>
      <c r="E284" t="str">
        <f>IF(OR(E283="&lt;/routeDistribution&gt;",E283=""),"",IFERROR(_xlfn.CONCAT(VLOOKUP(ED27,Route_Column!#REF!,2,FALSE),CHAR(34)," probability=",CHAR(34),1/ED$4,CHAR(34),CHAR(47),CHAR(62)),"&lt;/routeDistribution&gt;"))</f>
        <v/>
      </c>
    </row>
    <row r="285" spans="1:5" x14ac:dyDescent="0.25">
      <c r="A285">
        <v>-121319046</v>
      </c>
      <c r="B285" t="s">
        <v>1100</v>
      </c>
      <c r="E285" t="str">
        <f>IF(OR(E284="&lt;/routeDistribution&gt;",E284=""),"",IFERROR(_xlfn.CONCAT(VLOOKUP(ED28,Route_Column!#REF!,2,FALSE),CHAR(34)," probability=",CHAR(34),1/ED$4,CHAR(34),CHAR(47),CHAR(62)),"&lt;/routeDistribution&gt;"))</f>
        <v/>
      </c>
    </row>
    <row r="286" spans="1:5" x14ac:dyDescent="0.25">
      <c r="A286">
        <v>-121319046</v>
      </c>
      <c r="B286" t="s">
        <v>1101</v>
      </c>
      <c r="E286" t="str">
        <f>IF(OR(E285="&lt;/routeDistribution&gt;",E285=""),"",IFERROR(_xlfn.CONCAT(VLOOKUP(ED29,Route_Column!#REF!,2,FALSE),CHAR(34)," probability=",CHAR(34),1/ED$4,CHAR(34),CHAR(47),CHAR(62)),"&lt;/routeDistribution&gt;"))</f>
        <v/>
      </c>
    </row>
    <row r="287" spans="1:5" x14ac:dyDescent="0.25">
      <c r="A287">
        <v>-121319046</v>
      </c>
      <c r="B287" t="s">
        <v>1102</v>
      </c>
      <c r="E287" t="str">
        <f>IF(OR(E286="&lt;/routeDistribution&gt;",E286=""),"",IFERROR(_xlfn.CONCAT(VLOOKUP(ED30,Route_Column!#REF!,2,FALSE),CHAR(34)," probability=",CHAR(34),1/ED$4,CHAR(34),CHAR(47),CHAR(62)),"&lt;/routeDistribution&gt;"))</f>
        <v/>
      </c>
    </row>
    <row r="288" spans="1:5" x14ac:dyDescent="0.25">
      <c r="A288">
        <v>-121319046</v>
      </c>
      <c r="B288" t="s">
        <v>1103</v>
      </c>
      <c r="E288" t="str">
        <f>IF(OR(E287="&lt;/routeDistribution&gt;",E287=""),"",IFERROR(_xlfn.CONCAT(VLOOKUP(ED31,Route_Column!#REF!,2,FALSE),CHAR(34)," probability=",CHAR(34),1/ED$4,CHAR(34),CHAR(47),CHAR(62)),"&lt;/routeDistribution&gt;"))</f>
        <v/>
      </c>
    </row>
    <row r="289" spans="1:5" x14ac:dyDescent="0.25">
      <c r="A289">
        <v>-121319046</v>
      </c>
      <c r="B289" t="s">
        <v>1104</v>
      </c>
      <c r="E289" t="str">
        <f>IF(OR(E288="&lt;/routeDistribution&gt;",E288=""),"",IFERROR(_xlfn.CONCAT(VLOOKUP(ED32,Route_Column!#REF!,2,FALSE),CHAR(34)," probability=",CHAR(34),1/ED$4,CHAR(34),CHAR(47),CHAR(62)),"&lt;/routeDistribution&gt;"))</f>
        <v/>
      </c>
    </row>
    <row r="290" spans="1:5" x14ac:dyDescent="0.25">
      <c r="A290">
        <v>-121319046</v>
      </c>
      <c r="B290" t="s">
        <v>1105</v>
      </c>
      <c r="E290" t="str">
        <f>IF(OR(E289="&lt;/routeDistribution&gt;",E289=""),"",IFERROR(_xlfn.CONCAT(VLOOKUP(ED33,Route_Column!#REF!,2,FALSE),CHAR(34)," probability=",CHAR(34),1/ED$4,CHAR(34),CHAR(47),CHAR(62)),"&lt;/routeDistribution&gt;"))</f>
        <v/>
      </c>
    </row>
    <row r="291" spans="1:5" x14ac:dyDescent="0.25">
      <c r="A291">
        <v>-121319046</v>
      </c>
      <c r="B291" t="s">
        <v>1106</v>
      </c>
      <c r="E291" t="str">
        <f>IF(OR(E290="&lt;/routeDistribution&gt;",E290=""),"",IFERROR(_xlfn.CONCAT(VLOOKUP(ED34,Route_Column!#REF!,2,FALSE),CHAR(34)," probability=",CHAR(34),1/ED$4,CHAR(34),CHAR(47),CHAR(62)),"&lt;/routeDistribution&gt;"))</f>
        <v/>
      </c>
    </row>
    <row r="292" spans="1:5" x14ac:dyDescent="0.25">
      <c r="A292">
        <v>-121319046</v>
      </c>
      <c r="B292" t="s">
        <v>1107</v>
      </c>
      <c r="E292" t="str">
        <f>IF(OR(E291="&lt;/routeDistribution&gt;",E291=""),"",IFERROR(_xlfn.CONCAT(VLOOKUP(ED35,Route_Column!#REF!,2,FALSE),CHAR(34)," probability=",CHAR(34),1/ED$4,CHAR(34),CHAR(47),CHAR(62)),"&lt;/routeDistribution&gt;"))</f>
        <v/>
      </c>
    </row>
    <row r="293" spans="1:5" x14ac:dyDescent="0.25">
      <c r="A293">
        <v>-121319046</v>
      </c>
      <c r="B293" t="s">
        <v>1142</v>
      </c>
      <c r="E293" t="str">
        <f>IF(OR(E292="&lt;/routeDistribution&gt;",E292=""),"",IFERROR(_xlfn.CONCAT(VLOOKUP(ED36,Route_Column!#REF!,2,FALSE),CHAR(34)," probability=",CHAR(34),1/ED$4,CHAR(34),CHAR(47),CHAR(62)),"&lt;/routeDistribution&gt;"))</f>
        <v/>
      </c>
    </row>
    <row r="294" spans="1:5" x14ac:dyDescent="0.25">
      <c r="A294">
        <v>-121319046</v>
      </c>
      <c r="B294" t="s">
        <v>1148</v>
      </c>
      <c r="E294" t="str">
        <f>IF(OR(E293="&lt;/routeDistribution&gt;",E293=""),"",IFERROR(_xlfn.CONCAT(VLOOKUP(ED37,Route_Column!#REF!,2,FALSE),CHAR(34)," probability=",CHAR(34),1/ED$4,CHAR(34),CHAR(47),CHAR(62)),"&lt;/routeDistribution&gt;"))</f>
        <v/>
      </c>
    </row>
    <row r="295" spans="1:5" x14ac:dyDescent="0.25">
      <c r="A295">
        <v>-121319046</v>
      </c>
      <c r="B295" t="s">
        <v>1161</v>
      </c>
      <c r="E295" t="str">
        <f>IF(OR(E294="&lt;/routeDistribution&gt;",E294=""),"",IFERROR(_xlfn.CONCAT(VLOOKUP(ED38,Route_Column!#REF!,2,FALSE),CHAR(34)," probability=",CHAR(34),1/ED$4,CHAR(34),CHAR(47),CHAR(62)),"&lt;/routeDistribution&gt;"))</f>
        <v/>
      </c>
    </row>
    <row r="296" spans="1:5" x14ac:dyDescent="0.25">
      <c r="A296">
        <v>-121319046</v>
      </c>
      <c r="B296" t="s">
        <v>1162</v>
      </c>
      <c r="E296" t="str">
        <f>IF(OR(E295="&lt;/routeDistribution&gt;",E295=""),"",IFERROR(_xlfn.CONCAT(VLOOKUP(ED39,Route_Column!#REF!,2,FALSE),CHAR(34)," probability=",CHAR(34),1/ED$4,CHAR(34),CHAR(47),CHAR(62)),"&lt;/routeDistribution&gt;"))</f>
        <v/>
      </c>
    </row>
    <row r="297" spans="1:5" x14ac:dyDescent="0.25">
      <c r="A297">
        <v>-121319046</v>
      </c>
      <c r="B297" t="s">
        <v>1163</v>
      </c>
      <c r="E297" t="str">
        <f>IF(OR(E296="&lt;/routeDistribution&gt;",E296=""),"",IFERROR(_xlfn.CONCAT(VLOOKUP(ED40,Route_Column!#REF!,2,FALSE),CHAR(34)," probability=",CHAR(34),1/ED$4,CHAR(34),CHAR(47),CHAR(62)),"&lt;/routeDistribution&gt;"))</f>
        <v/>
      </c>
    </row>
    <row r="298" spans="1:5" x14ac:dyDescent="0.25">
      <c r="A298">
        <v>-121319046</v>
      </c>
      <c r="B298" t="s">
        <v>1164</v>
      </c>
      <c r="E298" t="str">
        <f>IF(OR(E297="&lt;/routeDistribution&gt;",E297=""),"",IFERROR(_xlfn.CONCAT(VLOOKUP(ED41,Route_Column!#REF!,2,FALSE),CHAR(34)," probability=",CHAR(34),1/ED$4,CHAR(34),CHAR(47),CHAR(62)),"&lt;/routeDistribution&gt;"))</f>
        <v/>
      </c>
    </row>
    <row r="299" spans="1:5" x14ac:dyDescent="0.25">
      <c r="A299">
        <v>-121319046</v>
      </c>
      <c r="B299" t="s">
        <v>1168</v>
      </c>
      <c r="E299" t="str">
        <f>IF(OR(E298="&lt;/routeDistribution&gt;",E298=""),"",IFERROR(_xlfn.CONCAT(VLOOKUP(ED42,Route_Column!#REF!,2,FALSE),CHAR(34)," probability=",CHAR(34),1/ED$4,CHAR(34),CHAR(47),CHAR(62)),"&lt;/routeDistribution&gt;"))</f>
        <v/>
      </c>
    </row>
    <row r="300" spans="1:5" x14ac:dyDescent="0.25">
      <c r="A300">
        <v>-121319046</v>
      </c>
      <c r="B300" t="s">
        <v>1169</v>
      </c>
      <c r="E300" t="str">
        <f>IF(OR(E299="&lt;/routeDistribution&gt;",E299=""),"",IFERROR(_xlfn.CONCAT(VLOOKUP(ED43,Route_Column!#REF!,2,FALSE),CHAR(34)," probability=",CHAR(34),1/ED$4,CHAR(34),CHAR(47),CHAR(62)),"&lt;/routeDistribution&gt;"))</f>
        <v/>
      </c>
    </row>
    <row r="301" spans="1:5" x14ac:dyDescent="0.25">
      <c r="A301">
        <v>-121319046</v>
      </c>
      <c r="B301" t="s">
        <v>1170</v>
      </c>
      <c r="E301" t="str">
        <f>IF(OR(E300="&lt;/routeDistribution&gt;",E300=""),"",IFERROR(_xlfn.CONCAT(VLOOKUP(ED44,Route_Column!#REF!,2,FALSE),CHAR(34)," probability=",CHAR(34),1/ED$4,CHAR(34),CHAR(47),CHAR(62)),"&lt;/routeDistribution&gt;"))</f>
        <v/>
      </c>
    </row>
    <row r="302" spans="1:5" x14ac:dyDescent="0.25">
      <c r="A302">
        <v>-121319046</v>
      </c>
      <c r="B302" t="s">
        <v>1178</v>
      </c>
      <c r="E302" t="str">
        <f>IF(OR(E301="&lt;/routeDistribution&gt;",E301=""),"",IFERROR(_xlfn.CONCAT(VLOOKUP(ED45,Route_Column!#REF!,2,FALSE),CHAR(34)," probability=",CHAR(34),1/ED$4,CHAR(34),CHAR(47),CHAR(62)),"&lt;/routeDistribution&gt;"))</f>
        <v/>
      </c>
    </row>
    <row r="303" spans="1:5" x14ac:dyDescent="0.25">
      <c r="A303">
        <v>-121319046</v>
      </c>
      <c r="B303" t="s">
        <v>1196</v>
      </c>
      <c r="E303" t="str">
        <f>IF(OR(E302="&lt;/routeDistribution&gt;",E302=""),"",IFERROR(_xlfn.CONCAT(VLOOKUP(ED46,Route_Column!#REF!,2,FALSE),CHAR(34)," probability=",CHAR(34),1/ED$4,CHAR(34),CHAR(47),CHAR(62)),"&lt;/routeDistribution&gt;"))</f>
        <v/>
      </c>
    </row>
    <row r="304" spans="1:5" x14ac:dyDescent="0.25">
      <c r="A304">
        <v>-121319046</v>
      </c>
      <c r="B304" t="s">
        <v>1202</v>
      </c>
      <c r="E304" t="str">
        <f>IF(OR(E303="&lt;/routeDistribution&gt;",E303=""),"",IFERROR(_xlfn.CONCAT(VLOOKUP(ED47,Route_Column!#REF!,2,FALSE),CHAR(34)," probability=",CHAR(34),1/ED$4,CHAR(34),CHAR(47),CHAR(62)),"&lt;/routeDistribution&gt;"))</f>
        <v/>
      </c>
    </row>
    <row r="305" spans="1:5" x14ac:dyDescent="0.25">
      <c r="A305">
        <v>-62623960</v>
      </c>
      <c r="B305" t="s">
        <v>1108</v>
      </c>
      <c r="E305" t="str">
        <f>IF(OR(E304="&lt;/routeDistribution&gt;",E304=""),"",IFERROR(_xlfn.CONCAT(VLOOKUP(ED48,Route_Column!#REF!,2,FALSE),CHAR(34)," probability=",CHAR(34),1/ED$4,CHAR(34),CHAR(47),CHAR(62)),"&lt;/routeDistribution&gt;"))</f>
        <v/>
      </c>
    </row>
    <row r="306" spans="1:5" x14ac:dyDescent="0.25">
      <c r="A306">
        <v>-62623960</v>
      </c>
      <c r="B306" t="s">
        <v>1138</v>
      </c>
      <c r="E306" t="str">
        <f>IF(OR(E305="&lt;/routeDistribution&gt;",E305=""),"",IFERROR(_xlfn.CONCAT(VLOOKUP(ED49,Route_Column!#REF!,2,FALSE),CHAR(34)," probability=",CHAR(34),1/ED$4,CHAR(34),CHAR(47),CHAR(62)),"&lt;/routeDistribution&gt;"))</f>
        <v/>
      </c>
    </row>
    <row r="307" spans="1:5" x14ac:dyDescent="0.25">
      <c r="A307">
        <v>-62623960</v>
      </c>
      <c r="B307" t="s">
        <v>1154</v>
      </c>
      <c r="E307" t="str">
        <f>IF(OR(E306="&lt;/routeDistribution&gt;",E306=""),"",IFERROR(_xlfn.CONCAT(VLOOKUP(ED50,Route_Column!#REF!,2,FALSE),CHAR(34)," probability=",CHAR(34),1/ED$4,CHAR(34),CHAR(47),CHAR(62)),"&lt;/routeDistribution&gt;"))</f>
        <v/>
      </c>
    </row>
    <row r="308" spans="1:5" x14ac:dyDescent="0.25">
      <c r="A308">
        <v>-62623960</v>
      </c>
      <c r="B308" t="s">
        <v>1180</v>
      </c>
      <c r="E308" t="str">
        <f>IF(OR(E307="&lt;/routeDistribution&gt;",E307=""),"",IFERROR(_xlfn.CONCAT(VLOOKUP(ED51,Route_Column!#REF!,2,FALSE),CHAR(34)," probability=",CHAR(34),1/ED$4,CHAR(34),CHAR(47),CHAR(62)),"&lt;/routeDistribution&gt;"))</f>
        <v/>
      </c>
    </row>
    <row r="309" spans="1:5" x14ac:dyDescent="0.25">
      <c r="A309">
        <v>-62623960</v>
      </c>
      <c r="B309" t="s">
        <v>1181</v>
      </c>
      <c r="E309" t="str">
        <f>IF(OR(E308="&lt;/routeDistribution&gt;",E308=""),"",IFERROR(_xlfn.CONCAT(VLOOKUP(ED52,Route_Column!#REF!,2,FALSE),CHAR(34)," probability=",CHAR(34),1/ED$4,CHAR(34),CHAR(47),CHAR(62)),"&lt;/routeDistribution&gt;"))</f>
        <v/>
      </c>
    </row>
    <row r="310" spans="1:5" x14ac:dyDescent="0.25">
      <c r="A310">
        <v>-62623960</v>
      </c>
      <c r="B310" t="s">
        <v>1182</v>
      </c>
      <c r="E310" t="str">
        <f>IF(OR(E309="&lt;/routeDistribution&gt;",E309=""),"",IFERROR(_xlfn.CONCAT(VLOOKUP(ED53,Route_Column!#REF!,2,FALSE),CHAR(34)," probability=",CHAR(34),1/ED$4,CHAR(34),CHAR(47),CHAR(62)),"&lt;/routeDistribution&gt;"))</f>
        <v/>
      </c>
    </row>
    <row r="311" spans="1:5" x14ac:dyDescent="0.25">
      <c r="A311">
        <v>-62623960</v>
      </c>
      <c r="B311" t="s">
        <v>1183</v>
      </c>
      <c r="E311" t="str">
        <f>IF(OR(E310="&lt;/routeDistribution&gt;",E310=""),"",IFERROR(_xlfn.CONCAT(VLOOKUP(ED54,Route_Column!#REF!,2,FALSE),CHAR(34)," probability=",CHAR(34),1/ED$4,CHAR(34),CHAR(47),CHAR(62)),"&lt;/routeDistribution&gt;"))</f>
        <v/>
      </c>
    </row>
    <row r="312" spans="1:5" x14ac:dyDescent="0.25">
      <c r="A312">
        <v>-62623960</v>
      </c>
      <c r="B312" t="s">
        <v>1184</v>
      </c>
      <c r="E312" t="str">
        <f>IF(OR(E311="&lt;/routeDistribution&gt;",E311=""),"",IFERROR(_xlfn.CONCAT(VLOOKUP(ED55,Route_Column!#REF!,2,FALSE),CHAR(34)," probability=",CHAR(34),1/ED$4,CHAR(34),CHAR(47),CHAR(62)),"&lt;/routeDistribution&gt;"))</f>
        <v/>
      </c>
    </row>
    <row r="313" spans="1:5" x14ac:dyDescent="0.25">
      <c r="A313">
        <v>-62623960</v>
      </c>
      <c r="B313" t="s">
        <v>1185</v>
      </c>
      <c r="E313" t="str">
        <f>IF(OR(E312="&lt;/routeDistribution&gt;",E312=""),"",IFERROR(_xlfn.CONCAT(VLOOKUP(ED56,Route_Column!#REF!,2,FALSE),CHAR(34)," probability=",CHAR(34),1/ED$4,CHAR(34),CHAR(47),CHAR(62)),"&lt;/routeDistribution&gt;"))</f>
        <v/>
      </c>
    </row>
    <row r="314" spans="1:5" x14ac:dyDescent="0.25">
      <c r="A314">
        <v>-62623960</v>
      </c>
      <c r="B314" t="s">
        <v>1191</v>
      </c>
      <c r="E314" t="str">
        <f>IF(OR(E313="&lt;/routeDistribution&gt;",E313=""),"",IFERROR(_xlfn.CONCAT(VLOOKUP(ED57,Route_Column!#REF!,2,FALSE),CHAR(34)," probability=",CHAR(34),1/ED$4,CHAR(34),CHAR(47),CHAR(62)),"&lt;/routeDistribution&gt;"))</f>
        <v/>
      </c>
    </row>
    <row r="315" spans="1:5" x14ac:dyDescent="0.25">
      <c r="A315">
        <v>-62623960</v>
      </c>
      <c r="B315" t="s">
        <v>1192</v>
      </c>
      <c r="E315" t="str">
        <f>IF(OR(E314="&lt;/routeDistribution&gt;",E314=""),"",IFERROR(_xlfn.CONCAT(VLOOKUP(ED58,Route_Column!#REF!,2,FALSE),CHAR(34)," probability=",CHAR(34),1/ED$4,CHAR(34),CHAR(47),CHAR(62)),"&lt;/routeDistribution&gt;"))</f>
        <v/>
      </c>
    </row>
    <row r="316" spans="1:5" x14ac:dyDescent="0.25">
      <c r="A316">
        <v>-62623960</v>
      </c>
      <c r="B316" t="s">
        <v>1193</v>
      </c>
      <c r="E316" t="str">
        <f>IF(OR(E315="&lt;/routeDistribution&gt;",E315=""),"",IFERROR(_xlfn.CONCAT(VLOOKUP(ED59,Route_Column!#REF!,2,FALSE),CHAR(34)," probability=",CHAR(34),1/ED$4,CHAR(34),CHAR(47),CHAR(62)),"&lt;/routeDistribution&gt;"))</f>
        <v/>
      </c>
    </row>
    <row r="317" spans="1:5" x14ac:dyDescent="0.25">
      <c r="A317" s="11">
        <v>-62105579</v>
      </c>
      <c r="B317" t="s">
        <v>1091</v>
      </c>
      <c r="E317" t="str">
        <f>IF(OR(E316="&lt;/routeDistribution&gt;",E316=""),"",IFERROR(_xlfn.CONCAT(VLOOKUP(ED60,Route_Column!#REF!,2,FALSE),CHAR(34)," probability=",CHAR(34),1/ED$4,CHAR(34),CHAR(47),CHAR(62)),"&lt;/routeDistribution&gt;"))</f>
        <v/>
      </c>
    </row>
    <row r="318" spans="1:5" x14ac:dyDescent="0.25">
      <c r="A318">
        <v>-62105579</v>
      </c>
      <c r="B318" t="s">
        <v>1092</v>
      </c>
      <c r="E318" t="str">
        <f>IF(OR(E317="&lt;/routeDistribution&gt;",E317=""),"",IFERROR(_xlfn.CONCAT(VLOOKUP(ED61,Route_Column!#REF!,2,FALSE),CHAR(34)," probability=",CHAR(34),1/ED$4,CHAR(34),CHAR(47),CHAR(62)),"&lt;/routeDistribution&gt;"))</f>
        <v/>
      </c>
    </row>
    <row r="319" spans="1:5" x14ac:dyDescent="0.25">
      <c r="A319">
        <v>-62105579</v>
      </c>
      <c r="B319" t="s">
        <v>1093</v>
      </c>
      <c r="E319" t="str">
        <f>IF(OR(E318="&lt;/routeDistribution&gt;",E318=""),"",IFERROR(_xlfn.CONCAT(VLOOKUP(ED62,Route_Column!#REF!,2,FALSE),CHAR(34)," probability=",CHAR(34),1/ED$4,CHAR(34),CHAR(47),CHAR(62)),"&lt;/routeDistribution&gt;"))</f>
        <v/>
      </c>
    </row>
    <row r="320" spans="1:5" x14ac:dyDescent="0.25">
      <c r="A320">
        <v>-62105579</v>
      </c>
      <c r="B320" t="s">
        <v>1094</v>
      </c>
      <c r="E320" t="str">
        <f>IF(OR(E319="&lt;/routeDistribution&gt;",E319=""),"",IFERROR(_xlfn.CONCAT(VLOOKUP(ED63,Route_Column!#REF!,2,FALSE),CHAR(34)," probability=",CHAR(34),1/ED$4,CHAR(34),CHAR(47),CHAR(62)),"&lt;/routeDistribution&gt;"))</f>
        <v/>
      </c>
    </row>
    <row r="321" spans="1:5" x14ac:dyDescent="0.25">
      <c r="A321">
        <v>-62105579</v>
      </c>
      <c r="B321" t="s">
        <v>1095</v>
      </c>
      <c r="E321" t="str">
        <f>_xlfn.CONCAT($E$1,EC$2,$F$1)</f>
        <v>&lt;routeDistribution id="SPGDst-Bridge-Over-River-WB-16-RouteProbe"&gt;</v>
      </c>
    </row>
    <row r="322" spans="1:5" x14ac:dyDescent="0.25">
      <c r="A322">
        <v>-62105579</v>
      </c>
      <c r="B322" t="s">
        <v>1096</v>
      </c>
      <c r="E322" t="str">
        <f>IF(OR(E321="&lt;/routeDistribution&gt;",E321=""),"",IFERROR(_xlfn.CONCAT(VLOOKUP(EC5,Route_Column!#REF!,2,FALSE),CHAR(34)," probability=",CHAR(34),1/EC$4,CHAR(34),CHAR(47),CHAR(62)),"&lt;/routeDistribution&gt;"))</f>
        <v>&lt;/routeDistribution&gt;</v>
      </c>
    </row>
    <row r="323" spans="1:5" x14ac:dyDescent="0.25">
      <c r="A323">
        <v>-62105579</v>
      </c>
      <c r="B323" t="s">
        <v>1096</v>
      </c>
      <c r="E323" t="str">
        <f>IF(OR(E322="&lt;/routeDistribution&gt;",E322=""),"",IFERROR(_xlfn.CONCAT(VLOOKUP(EC6,Route_Column!#REF!,2,FALSE),CHAR(34)," probability=",CHAR(34),1/EC$4,CHAR(34),CHAR(47),CHAR(62)),"&lt;/routeDistribution&gt;"))</f>
        <v/>
      </c>
    </row>
    <row r="324" spans="1:5" x14ac:dyDescent="0.25">
      <c r="A324">
        <v>-62105579</v>
      </c>
      <c r="B324" t="s">
        <v>1097</v>
      </c>
      <c r="E324" t="str">
        <f>IF(OR(E323="&lt;/routeDistribution&gt;",E323=""),"",IFERROR(_xlfn.CONCAT(VLOOKUP(EC7,Route_Column!#REF!,2,FALSE),CHAR(34)," probability=",CHAR(34),1/EC$4,CHAR(34),CHAR(47),CHAR(62)),"&lt;/routeDistribution&gt;"))</f>
        <v/>
      </c>
    </row>
    <row r="325" spans="1:5" x14ac:dyDescent="0.25">
      <c r="A325">
        <v>-62105579</v>
      </c>
      <c r="B325" t="s">
        <v>1097</v>
      </c>
      <c r="E325" t="str">
        <f>IF(OR(E324="&lt;/routeDistribution&gt;",E324=""),"",IFERROR(_xlfn.CONCAT(VLOOKUP(EC8,Route_Column!#REF!,2,FALSE),CHAR(34)," probability=",CHAR(34),1/EC$4,CHAR(34),CHAR(47),CHAR(62)),"&lt;/routeDistribution&gt;"))</f>
        <v/>
      </c>
    </row>
    <row r="326" spans="1:5" x14ac:dyDescent="0.25">
      <c r="A326">
        <v>-62105579</v>
      </c>
      <c r="B326" t="s">
        <v>1098</v>
      </c>
      <c r="E326" t="str">
        <f>IF(OR(E325="&lt;/routeDistribution&gt;",E325=""),"",IFERROR(_xlfn.CONCAT(VLOOKUP(EC9,Route_Column!#REF!,2,FALSE),CHAR(34)," probability=",CHAR(34),1/EC$4,CHAR(34),CHAR(47),CHAR(62)),"&lt;/routeDistribution&gt;"))</f>
        <v/>
      </c>
    </row>
    <row r="327" spans="1:5" x14ac:dyDescent="0.25">
      <c r="A327">
        <v>-62105579</v>
      </c>
      <c r="B327" t="s">
        <v>1098</v>
      </c>
      <c r="E327" t="str">
        <f>IF(OR(E326="&lt;/routeDistribution&gt;",E326=""),"",IFERROR(_xlfn.CONCAT(VLOOKUP(EC10,Route_Column!#REF!,2,FALSE),CHAR(34)," probability=",CHAR(34),1/EC$4,CHAR(34),CHAR(47),CHAR(62)),"&lt;/routeDistribution&gt;"))</f>
        <v/>
      </c>
    </row>
    <row r="328" spans="1:5" x14ac:dyDescent="0.25">
      <c r="A328">
        <v>-62105579</v>
      </c>
      <c r="B328" t="s">
        <v>1099</v>
      </c>
      <c r="E328" t="str">
        <f>IF(OR(E327="&lt;/routeDistribution&gt;",E327=""),"",IFERROR(_xlfn.CONCAT(VLOOKUP(EC11,Route_Column!#REF!,2,FALSE),CHAR(34)," probability=",CHAR(34),1/EC$4,CHAR(34),CHAR(47),CHAR(62)),"&lt;/routeDistribution&gt;"))</f>
        <v/>
      </c>
    </row>
    <row r="329" spans="1:5" x14ac:dyDescent="0.25">
      <c r="A329">
        <v>-62105579</v>
      </c>
      <c r="B329" t="s">
        <v>1099</v>
      </c>
      <c r="E329" t="str">
        <f>IF(OR(E328="&lt;/routeDistribution&gt;",E328=""),"",IFERROR(_xlfn.CONCAT(VLOOKUP(EC12,Route_Column!#REF!,2,FALSE),CHAR(34)," probability=",CHAR(34),1/EC$4,CHAR(34),CHAR(47),CHAR(62)),"&lt;/routeDistribution&gt;"))</f>
        <v/>
      </c>
    </row>
    <row r="330" spans="1:5" x14ac:dyDescent="0.25">
      <c r="A330">
        <v>-62105579</v>
      </c>
      <c r="B330" t="s">
        <v>1100</v>
      </c>
      <c r="E330" t="str">
        <f>IF(OR(E329="&lt;/routeDistribution&gt;",E329=""),"",IFERROR(_xlfn.CONCAT(VLOOKUP(EC13,Route_Column!#REF!,2,FALSE),CHAR(34)," probability=",CHAR(34),1/EC$4,CHAR(34),CHAR(47),CHAR(62)),"&lt;/routeDistribution&gt;"))</f>
        <v/>
      </c>
    </row>
    <row r="331" spans="1:5" x14ac:dyDescent="0.25">
      <c r="A331">
        <v>-62105579</v>
      </c>
      <c r="B331" t="s">
        <v>1100</v>
      </c>
      <c r="E331" t="str">
        <f>IF(OR(E330="&lt;/routeDistribution&gt;",E330=""),"",IFERROR(_xlfn.CONCAT(VLOOKUP(EC14,Route_Column!#REF!,2,FALSE),CHAR(34)," probability=",CHAR(34),1/EC$4,CHAR(34),CHAR(47),CHAR(62)),"&lt;/routeDistribution&gt;"))</f>
        <v/>
      </c>
    </row>
    <row r="332" spans="1:5" x14ac:dyDescent="0.25">
      <c r="A332">
        <v>-62105579</v>
      </c>
      <c r="B332" t="s">
        <v>1101</v>
      </c>
      <c r="E332" t="str">
        <f>IF(OR(E331="&lt;/routeDistribution&gt;",E331=""),"",IFERROR(_xlfn.CONCAT(VLOOKUP(EC15,Route_Column!#REF!,2,FALSE),CHAR(34)," probability=",CHAR(34),1/EC$4,CHAR(34),CHAR(47),CHAR(62)),"&lt;/routeDistribution&gt;"))</f>
        <v/>
      </c>
    </row>
    <row r="333" spans="1:5" x14ac:dyDescent="0.25">
      <c r="A333">
        <v>-62105579</v>
      </c>
      <c r="B333" t="s">
        <v>1101</v>
      </c>
      <c r="E333" t="str">
        <f>IF(OR(E332="&lt;/routeDistribution&gt;",E332=""),"",IFERROR(_xlfn.CONCAT(VLOOKUP(EC16,Route_Column!#REF!,2,FALSE),CHAR(34)," probability=",CHAR(34),1/EC$4,CHAR(34),CHAR(47),CHAR(62)),"&lt;/routeDistribution&gt;"))</f>
        <v/>
      </c>
    </row>
    <row r="334" spans="1:5" x14ac:dyDescent="0.25">
      <c r="A334">
        <v>-62105579</v>
      </c>
      <c r="B334" t="s">
        <v>1102</v>
      </c>
      <c r="E334" t="str">
        <f>IF(OR(E333="&lt;/routeDistribution&gt;",E333=""),"",IFERROR(_xlfn.CONCAT(VLOOKUP(EC17,Route_Column!#REF!,2,FALSE),CHAR(34)," probability=",CHAR(34),1/EC$4,CHAR(34),CHAR(47),CHAR(62)),"&lt;/routeDistribution&gt;"))</f>
        <v/>
      </c>
    </row>
    <row r="335" spans="1:5" x14ac:dyDescent="0.25">
      <c r="A335">
        <v>-62105579</v>
      </c>
      <c r="B335" t="s">
        <v>1102</v>
      </c>
      <c r="E335" t="str">
        <f>IF(OR(E334="&lt;/routeDistribution&gt;",E334=""),"",IFERROR(_xlfn.CONCAT(VLOOKUP(EC18,Route_Column!#REF!,2,FALSE),CHAR(34)," probability=",CHAR(34),1/EC$4,CHAR(34),CHAR(47),CHAR(62)),"&lt;/routeDistribution&gt;"))</f>
        <v/>
      </c>
    </row>
    <row r="336" spans="1:5" x14ac:dyDescent="0.25">
      <c r="A336">
        <v>-62105579</v>
      </c>
      <c r="B336" t="s">
        <v>1103</v>
      </c>
      <c r="E336" t="str">
        <f>IF(OR(E335="&lt;/routeDistribution&gt;",E335=""),"",IFERROR(_xlfn.CONCAT(VLOOKUP(EC19,Route_Column!#REF!,2,FALSE),CHAR(34)," probability=",CHAR(34),1/EC$4,CHAR(34),CHAR(47),CHAR(62)),"&lt;/routeDistribution&gt;"))</f>
        <v/>
      </c>
    </row>
    <row r="337" spans="1:5" x14ac:dyDescent="0.25">
      <c r="A337">
        <v>-62105579</v>
      </c>
      <c r="B337" t="s">
        <v>1103</v>
      </c>
      <c r="E337" t="str">
        <f>IF(OR(E336="&lt;/routeDistribution&gt;",E336=""),"",IFERROR(_xlfn.CONCAT(VLOOKUP(EC20,Route_Column!#REF!,2,FALSE),CHAR(34)," probability=",CHAR(34),1/EC$4,CHAR(34),CHAR(47),CHAR(62)),"&lt;/routeDistribution&gt;"))</f>
        <v/>
      </c>
    </row>
    <row r="338" spans="1:5" x14ac:dyDescent="0.25">
      <c r="A338">
        <v>-62105579</v>
      </c>
      <c r="B338" t="s">
        <v>1104</v>
      </c>
      <c r="E338" t="str">
        <f>IF(OR(E337="&lt;/routeDistribution&gt;",E337=""),"",IFERROR(_xlfn.CONCAT(VLOOKUP(EC21,Route_Column!#REF!,2,FALSE),CHAR(34)," probability=",CHAR(34),1/EC$4,CHAR(34),CHAR(47),CHAR(62)),"&lt;/routeDistribution&gt;"))</f>
        <v/>
      </c>
    </row>
    <row r="339" spans="1:5" x14ac:dyDescent="0.25">
      <c r="A339">
        <v>-62105579</v>
      </c>
      <c r="B339" t="s">
        <v>1104</v>
      </c>
      <c r="E339" t="str">
        <f>IF(OR(E338="&lt;/routeDistribution&gt;",E338=""),"",IFERROR(_xlfn.CONCAT(VLOOKUP(EC22,Route_Column!#REF!,2,FALSE),CHAR(34)," probability=",CHAR(34),1/EC$4,CHAR(34),CHAR(47),CHAR(62)),"&lt;/routeDistribution&gt;"))</f>
        <v/>
      </c>
    </row>
    <row r="340" spans="1:5" x14ac:dyDescent="0.25">
      <c r="A340">
        <v>-62105579</v>
      </c>
      <c r="B340" t="s">
        <v>1105</v>
      </c>
      <c r="E340" t="str">
        <f>IF(OR(E339="&lt;/routeDistribution&gt;",E339=""),"",IFERROR(_xlfn.CONCAT(VLOOKUP(EC23,Route_Column!#REF!,2,FALSE),CHAR(34)," probability=",CHAR(34),1/EC$4,CHAR(34),CHAR(47),CHAR(62)),"&lt;/routeDistribution&gt;"))</f>
        <v/>
      </c>
    </row>
    <row r="341" spans="1:5" x14ac:dyDescent="0.25">
      <c r="A341">
        <v>-62105579</v>
      </c>
      <c r="B341" t="s">
        <v>1105</v>
      </c>
      <c r="E341" t="str">
        <f>IF(OR(E340="&lt;/routeDistribution&gt;",E340=""),"",IFERROR(_xlfn.CONCAT(VLOOKUP(EC24,Route_Column!#REF!,2,FALSE),CHAR(34)," probability=",CHAR(34),1/EC$4,CHAR(34),CHAR(47),CHAR(62)),"&lt;/routeDistribution&gt;"))</f>
        <v/>
      </c>
    </row>
    <row r="342" spans="1:5" x14ac:dyDescent="0.25">
      <c r="A342">
        <v>-62105579</v>
      </c>
      <c r="B342" t="s">
        <v>1106</v>
      </c>
      <c r="E342" t="str">
        <f>IF(OR(E341="&lt;/routeDistribution&gt;",E341=""),"",IFERROR(_xlfn.CONCAT(VLOOKUP(EC25,Route_Column!#REF!,2,FALSE),CHAR(34)," probability=",CHAR(34),1/EC$4,CHAR(34),CHAR(47),CHAR(62)),"&lt;/routeDistribution&gt;"))</f>
        <v/>
      </c>
    </row>
    <row r="343" spans="1:5" x14ac:dyDescent="0.25">
      <c r="A343">
        <v>-62105579</v>
      </c>
      <c r="B343" t="s">
        <v>1106</v>
      </c>
      <c r="E343" t="str">
        <f>IF(OR(E342="&lt;/routeDistribution&gt;",E342=""),"",IFERROR(_xlfn.CONCAT(VLOOKUP(EC26,Route_Column!#REF!,2,FALSE),CHAR(34)," probability=",CHAR(34),1/EC$4,CHAR(34),CHAR(47),CHAR(62)),"&lt;/routeDistribution&gt;"))</f>
        <v/>
      </c>
    </row>
    <row r="344" spans="1:5" x14ac:dyDescent="0.25">
      <c r="A344">
        <v>-62105579</v>
      </c>
      <c r="B344" t="s">
        <v>1107</v>
      </c>
      <c r="E344" t="str">
        <f>IF(OR(E343="&lt;/routeDistribution&gt;",E343=""),"",IFERROR(_xlfn.CONCAT(VLOOKUP(EC27,Route_Column!#REF!,2,FALSE),CHAR(34)," probability=",CHAR(34),1/EC$4,CHAR(34),CHAR(47),CHAR(62)),"&lt;/routeDistribution&gt;"))</f>
        <v/>
      </c>
    </row>
    <row r="345" spans="1:5" x14ac:dyDescent="0.25">
      <c r="A345">
        <v>-62105579</v>
      </c>
      <c r="B345" t="s">
        <v>1161</v>
      </c>
      <c r="E345" t="str">
        <f>IF(OR(E344="&lt;/routeDistribution&gt;",E344=""),"",IFERROR(_xlfn.CONCAT(VLOOKUP(EC28,Route_Column!#REF!,2,FALSE),CHAR(34)," probability=",CHAR(34),1/EC$4,CHAR(34),CHAR(47),CHAR(62)),"&lt;/routeDistribution&gt;"))</f>
        <v/>
      </c>
    </row>
    <row r="346" spans="1:5" x14ac:dyDescent="0.25">
      <c r="A346">
        <v>-62105579</v>
      </c>
      <c r="B346" t="s">
        <v>1162</v>
      </c>
      <c r="E346" t="str">
        <f>IF(OR(E345="&lt;/routeDistribution&gt;",E345=""),"",IFERROR(_xlfn.CONCAT(VLOOKUP(EC29,Route_Column!#REF!,2,FALSE),CHAR(34)," probability=",CHAR(34),1/EC$4,CHAR(34),CHAR(47),CHAR(62)),"&lt;/routeDistribution&gt;"))</f>
        <v/>
      </c>
    </row>
    <row r="347" spans="1:5" x14ac:dyDescent="0.25">
      <c r="A347">
        <v>-62105579</v>
      </c>
      <c r="B347" t="s">
        <v>1163</v>
      </c>
      <c r="E347" t="str">
        <f>IF(OR(E346="&lt;/routeDistribution&gt;",E346=""),"",IFERROR(_xlfn.CONCAT(VLOOKUP(EC30,Route_Column!#REF!,2,FALSE),CHAR(34)," probability=",CHAR(34),1/EC$4,CHAR(34),CHAR(47),CHAR(62)),"&lt;/routeDistribution&gt;"))</f>
        <v/>
      </c>
    </row>
    <row r="348" spans="1:5" x14ac:dyDescent="0.25">
      <c r="A348">
        <v>-62105579</v>
      </c>
      <c r="B348" t="s">
        <v>1164</v>
      </c>
      <c r="E348" t="str">
        <f>IF(OR(E347="&lt;/routeDistribution&gt;",E347=""),"",IFERROR(_xlfn.CONCAT(VLOOKUP(EC31,Route_Column!#REF!,2,FALSE),CHAR(34)," probability=",CHAR(34),1/EC$4,CHAR(34),CHAR(47),CHAR(62)),"&lt;/routeDistribution&gt;"))</f>
        <v/>
      </c>
    </row>
    <row r="349" spans="1:5" x14ac:dyDescent="0.25">
      <c r="A349">
        <v>-62105579</v>
      </c>
      <c r="B349" t="s">
        <v>1191</v>
      </c>
      <c r="E349" t="str">
        <f>IF(OR(E348="&lt;/routeDistribution&gt;",E348=""),"",IFERROR(_xlfn.CONCAT(VLOOKUP(EC32,Route_Column!#REF!,2,FALSE),CHAR(34)," probability=",CHAR(34),1/EC$4,CHAR(34),CHAR(47),CHAR(62)),"&lt;/routeDistribution&gt;"))</f>
        <v/>
      </c>
    </row>
    <row r="350" spans="1:5" x14ac:dyDescent="0.25">
      <c r="A350">
        <v>-50033029</v>
      </c>
      <c r="B350" t="s">
        <v>1113</v>
      </c>
      <c r="E350" t="str">
        <f>IF(OR(E349="&lt;/routeDistribution&gt;",E349=""),"",IFERROR(_xlfn.CONCAT(VLOOKUP(EC33,Route_Column!#REF!,2,FALSE),CHAR(34)," probability=",CHAR(34),1/EC$4,CHAR(34),CHAR(47),CHAR(62)),"&lt;/routeDistribution&gt;"))</f>
        <v/>
      </c>
    </row>
    <row r="351" spans="1:5" x14ac:dyDescent="0.25">
      <c r="A351">
        <v>-50033029</v>
      </c>
      <c r="B351" t="s">
        <v>1114</v>
      </c>
      <c r="E351" t="str">
        <f>IF(OR(E350="&lt;/routeDistribution&gt;",E350=""),"",IFERROR(_xlfn.CONCAT(VLOOKUP(EC34,Route_Column!#REF!,2,FALSE),CHAR(34)," probability=",CHAR(34),1/EC$4,CHAR(34),CHAR(47),CHAR(62)),"&lt;/routeDistribution&gt;"))</f>
        <v/>
      </c>
    </row>
    <row r="352" spans="1:5" x14ac:dyDescent="0.25">
      <c r="A352">
        <v>-50033029</v>
      </c>
      <c r="B352" t="s">
        <v>1114</v>
      </c>
      <c r="E352" t="str">
        <f>IF(OR(E351="&lt;/routeDistribution&gt;",E351=""),"",IFERROR(_xlfn.CONCAT(VLOOKUP(EC35,Route_Column!#REF!,2,FALSE),CHAR(34)," probability=",CHAR(34),1/EC$4,CHAR(34),CHAR(47),CHAR(62)),"&lt;/routeDistribution&gt;"))</f>
        <v/>
      </c>
    </row>
    <row r="353" spans="1:5" x14ac:dyDescent="0.25">
      <c r="A353">
        <v>-50033029</v>
      </c>
      <c r="B353" t="s">
        <v>1115</v>
      </c>
      <c r="E353" t="str">
        <f>IF(OR(E352="&lt;/routeDistribution&gt;",E352=""),"",IFERROR(_xlfn.CONCAT(VLOOKUP(EC36,Route_Column!#REF!,2,FALSE),CHAR(34)," probability=",CHAR(34),1/EC$4,CHAR(34),CHAR(47),CHAR(62)),"&lt;/routeDistribution&gt;"))</f>
        <v/>
      </c>
    </row>
    <row r="354" spans="1:5" x14ac:dyDescent="0.25">
      <c r="A354">
        <v>-50033029</v>
      </c>
      <c r="B354" t="s">
        <v>1133</v>
      </c>
      <c r="E354" t="str">
        <f>IF(OR(E353="&lt;/routeDistribution&gt;",E353=""),"",IFERROR(_xlfn.CONCAT(VLOOKUP(EC37,Route_Column!#REF!,2,FALSE),CHAR(34)," probability=",CHAR(34),1/EC$4,CHAR(34),CHAR(47),CHAR(62)),"&lt;/routeDistribution&gt;"))</f>
        <v/>
      </c>
    </row>
    <row r="355" spans="1:5" x14ac:dyDescent="0.25">
      <c r="A355">
        <v>-50033029</v>
      </c>
      <c r="B355" t="s">
        <v>1166</v>
      </c>
      <c r="E355" t="str">
        <f>IF(OR(E354="&lt;/routeDistribution&gt;",E354=""),"",IFERROR(_xlfn.CONCAT(VLOOKUP(EC38,Route_Column!#REF!,2,FALSE),CHAR(34)," probability=",CHAR(34),1/EC$4,CHAR(34),CHAR(47),CHAR(62)),"&lt;/routeDistribution&gt;"))</f>
        <v/>
      </c>
    </row>
    <row r="356" spans="1:5" x14ac:dyDescent="0.25">
      <c r="A356">
        <v>-50033029</v>
      </c>
      <c r="B356" t="s">
        <v>1167</v>
      </c>
      <c r="E356" t="str">
        <f>IF(OR(E355="&lt;/routeDistribution&gt;",E355=""),"",IFERROR(_xlfn.CONCAT(VLOOKUP(EC39,Route_Column!#REF!,2,FALSE),CHAR(34)," probability=",CHAR(34),1/EC$4,CHAR(34),CHAR(47),CHAR(62)),"&lt;/routeDistribution&gt;"))</f>
        <v/>
      </c>
    </row>
    <row r="357" spans="1:5" x14ac:dyDescent="0.25">
      <c r="A357">
        <v>-50033029</v>
      </c>
      <c r="B357" t="s">
        <v>1168</v>
      </c>
      <c r="E357" t="str">
        <f>IF(OR(E356="&lt;/routeDistribution&gt;",E356=""),"",IFERROR(_xlfn.CONCAT(VLOOKUP(EC40,Route_Column!#REF!,2,FALSE),CHAR(34)," probability=",CHAR(34),1/EC$4,CHAR(34),CHAR(47),CHAR(62)),"&lt;/routeDistribution&gt;"))</f>
        <v/>
      </c>
    </row>
    <row r="358" spans="1:5" x14ac:dyDescent="0.25">
      <c r="A358">
        <v>-50033029</v>
      </c>
      <c r="B358" t="s">
        <v>1186</v>
      </c>
      <c r="E358" t="str">
        <f>IF(OR(E357="&lt;/routeDistribution&gt;",E357=""),"",IFERROR(_xlfn.CONCAT(VLOOKUP(EC41,Route_Column!#REF!,2,FALSE),CHAR(34)," probability=",CHAR(34),1/EC$4,CHAR(34),CHAR(47),CHAR(62)),"&lt;/routeDistribution&gt;"))</f>
        <v/>
      </c>
    </row>
    <row r="359" spans="1:5" x14ac:dyDescent="0.25">
      <c r="A359">
        <v>-50033029</v>
      </c>
      <c r="B359" t="s">
        <v>1187</v>
      </c>
      <c r="E359" t="str">
        <f>IF(OR(E358="&lt;/routeDistribution&gt;",E358=""),"",IFERROR(_xlfn.CONCAT(VLOOKUP(EC42,Route_Column!#REF!,2,FALSE),CHAR(34)," probability=",CHAR(34),1/EC$4,CHAR(34),CHAR(47),CHAR(62)),"&lt;/routeDistribution&gt;"))</f>
        <v/>
      </c>
    </row>
    <row r="360" spans="1:5" x14ac:dyDescent="0.25">
      <c r="A360">
        <v>-50033029</v>
      </c>
      <c r="B360" t="s">
        <v>1188</v>
      </c>
      <c r="E360" t="str">
        <f>IF(OR(E359="&lt;/routeDistribution&gt;",E359=""),"",IFERROR(_xlfn.CONCAT(VLOOKUP(EC43,Route_Column!#REF!,2,FALSE),CHAR(34)," probability=",CHAR(34),1/EC$4,CHAR(34),CHAR(47),CHAR(62)),"&lt;/routeDistribution&gt;"))</f>
        <v/>
      </c>
    </row>
    <row r="361" spans="1:5" x14ac:dyDescent="0.25">
      <c r="A361">
        <v>-50033029</v>
      </c>
      <c r="B361" t="s">
        <v>1189</v>
      </c>
      <c r="E361" t="str">
        <f>IF(OR(E360="&lt;/routeDistribution&gt;",E360=""),"",IFERROR(_xlfn.CONCAT(VLOOKUP(EC44,Route_Column!#REF!,2,FALSE),CHAR(34)," probability=",CHAR(34),1/EC$4,CHAR(34),CHAR(47),CHAR(62)),"&lt;/routeDistribution&gt;"))</f>
        <v/>
      </c>
    </row>
    <row r="362" spans="1:5" x14ac:dyDescent="0.25">
      <c r="A362">
        <v>-50033029</v>
      </c>
      <c r="B362" t="s">
        <v>1195</v>
      </c>
      <c r="E362" t="str">
        <f>IF(OR(E361="&lt;/routeDistribution&gt;",E361=""),"",IFERROR(_xlfn.CONCAT(VLOOKUP(EC45,Route_Column!#REF!,2,FALSE),CHAR(34)," probability=",CHAR(34),1/EC$4,CHAR(34),CHAR(47),CHAR(62)),"&lt;/routeDistribution&gt;"))</f>
        <v/>
      </c>
    </row>
    <row r="363" spans="1:5" x14ac:dyDescent="0.25">
      <c r="A363">
        <v>-50033029</v>
      </c>
      <c r="B363" t="s">
        <v>1196</v>
      </c>
      <c r="E363" t="str">
        <f>IF(OR(E362="&lt;/routeDistribution&gt;",E362=""),"",IFERROR(_xlfn.CONCAT(VLOOKUP(EC46,Route_Column!#REF!,2,FALSE),CHAR(34)," probability=",CHAR(34),1/EC$4,CHAR(34),CHAR(47),CHAR(62)),"&lt;/routeDistribution&gt;"))</f>
        <v/>
      </c>
    </row>
    <row r="364" spans="1:5" x14ac:dyDescent="0.25">
      <c r="A364" s="11">
        <v>-43569848</v>
      </c>
      <c r="B364" t="s">
        <v>1090</v>
      </c>
      <c r="E364" t="str">
        <f>IF(OR(E363="&lt;/routeDistribution&gt;",E363=""),"",IFERROR(_xlfn.CONCAT(VLOOKUP(EC47,Route_Column!#REF!,2,FALSE),CHAR(34)," probability=",CHAR(34),1/EC$4,CHAR(34),CHAR(47),CHAR(62)),"&lt;/routeDistribution&gt;"))</f>
        <v/>
      </c>
    </row>
    <row r="365" spans="1:5" x14ac:dyDescent="0.25">
      <c r="A365">
        <v>-43569848</v>
      </c>
      <c r="B365" t="s">
        <v>1097</v>
      </c>
      <c r="E365" t="str">
        <f>IF(OR(E364="&lt;/routeDistribution&gt;",E364=""),"",IFERROR(_xlfn.CONCAT(VLOOKUP(EC48,Route_Column!#REF!,2,FALSE),CHAR(34)," probability=",CHAR(34),1/EC$4,CHAR(34),CHAR(47),CHAR(62)),"&lt;/routeDistribution&gt;"))</f>
        <v/>
      </c>
    </row>
    <row r="366" spans="1:5" x14ac:dyDescent="0.25">
      <c r="A366">
        <v>-43569848</v>
      </c>
      <c r="B366" t="s">
        <v>1111</v>
      </c>
      <c r="E366" t="str">
        <f>IF(OR(E365="&lt;/routeDistribution&gt;",E365=""),"",IFERROR(_xlfn.CONCAT(VLOOKUP(EC49,Route_Column!#REF!,2,FALSE),CHAR(34)," probability=",CHAR(34),1/EC$4,CHAR(34),CHAR(47),CHAR(62)),"&lt;/routeDistribution&gt;"))</f>
        <v/>
      </c>
    </row>
    <row r="367" spans="1:5" x14ac:dyDescent="0.25">
      <c r="A367">
        <v>-43569848</v>
      </c>
      <c r="B367" t="s">
        <v>1132</v>
      </c>
      <c r="E367" t="str">
        <f>IF(OR(E366="&lt;/routeDistribution&gt;",E366=""),"",IFERROR(_xlfn.CONCAT(VLOOKUP(EC50,Route_Column!#REF!,2,FALSE),CHAR(34)," probability=",CHAR(34),1/EC$4,CHAR(34),CHAR(47),CHAR(62)),"&lt;/routeDistribution&gt;"))</f>
        <v/>
      </c>
    </row>
    <row r="368" spans="1:5" x14ac:dyDescent="0.25">
      <c r="A368">
        <v>-43569848</v>
      </c>
      <c r="B368" t="s">
        <v>1137</v>
      </c>
      <c r="E368" t="str">
        <f>IF(OR(E367="&lt;/routeDistribution&gt;",E367=""),"",IFERROR(_xlfn.CONCAT(VLOOKUP(EC51,Route_Column!#REF!,2,FALSE),CHAR(34)," probability=",CHAR(34),1/EC$4,CHAR(34),CHAR(47),CHAR(62)),"&lt;/routeDistribution&gt;"))</f>
        <v/>
      </c>
    </row>
    <row r="369" spans="1:5" x14ac:dyDescent="0.25">
      <c r="A369">
        <v>-43569848</v>
      </c>
      <c r="B369" t="s">
        <v>1171</v>
      </c>
      <c r="E369" t="str">
        <f>IF(OR(E368="&lt;/routeDistribution&gt;",E368=""),"",IFERROR(_xlfn.CONCAT(VLOOKUP(EC52,Route_Column!#REF!,2,FALSE),CHAR(34)," probability=",CHAR(34),1/EC$4,CHAR(34),CHAR(47),CHAR(62)),"&lt;/routeDistribution&gt;"))</f>
        <v/>
      </c>
    </row>
    <row r="370" spans="1:5" x14ac:dyDescent="0.25">
      <c r="A370">
        <v>-43569848</v>
      </c>
      <c r="B370" t="s">
        <v>1182</v>
      </c>
      <c r="E370" t="str">
        <f>IF(OR(E369="&lt;/routeDistribution&gt;",E369=""),"",IFERROR(_xlfn.CONCAT(VLOOKUP(EC53,Route_Column!#REF!,2,FALSE),CHAR(34)," probability=",CHAR(34),1/EC$4,CHAR(34),CHAR(47),CHAR(62)),"&lt;/routeDistribution&gt;"))</f>
        <v/>
      </c>
    </row>
    <row r="371" spans="1:5" x14ac:dyDescent="0.25">
      <c r="A371">
        <v>-43569848</v>
      </c>
      <c r="B371" t="s">
        <v>1191</v>
      </c>
      <c r="E371" t="str">
        <f>IF(OR(E370="&lt;/routeDistribution&gt;",E370=""),"",IFERROR(_xlfn.CONCAT(VLOOKUP(EC54,Route_Column!#REF!,2,FALSE),CHAR(34)," probability=",CHAR(34),1/EC$4,CHAR(34),CHAR(47),CHAR(62)),"&lt;/routeDistribution&gt;"))</f>
        <v/>
      </c>
    </row>
    <row r="372" spans="1:5" x14ac:dyDescent="0.25">
      <c r="A372">
        <v>-43569848</v>
      </c>
      <c r="B372" t="s">
        <v>1213</v>
      </c>
      <c r="E372" t="str">
        <f>IF(OR(E371="&lt;/routeDistribution&gt;",E371=""),"",IFERROR(_xlfn.CONCAT(VLOOKUP(EC55,Route_Column!#REF!,2,FALSE),CHAR(34)," probability=",CHAR(34),1/EC$4,CHAR(34),CHAR(47),CHAR(62)),"&lt;/routeDistribution&gt;"))</f>
        <v/>
      </c>
    </row>
    <row r="373" spans="1:5" x14ac:dyDescent="0.25">
      <c r="A373">
        <v>-43569848</v>
      </c>
      <c r="B373" t="s">
        <v>1214</v>
      </c>
      <c r="E373" t="str">
        <f>IF(OR(E372="&lt;/routeDistribution&gt;",E372=""),"",IFERROR(_xlfn.CONCAT(VLOOKUP(EC56,Route_Column!#REF!,2,FALSE),CHAR(34)," probability=",CHAR(34),1/EC$4,CHAR(34),CHAR(47),CHAR(62)),"&lt;/routeDistribution&gt;"))</f>
        <v/>
      </c>
    </row>
    <row r="374" spans="1:5" x14ac:dyDescent="0.25">
      <c r="A374">
        <v>-43569848</v>
      </c>
      <c r="B374" t="s">
        <v>1215</v>
      </c>
      <c r="E374" t="str">
        <f>IF(OR(E373="&lt;/routeDistribution&gt;",E373=""),"",IFERROR(_xlfn.CONCAT(VLOOKUP(EC57,Route_Column!#REF!,2,FALSE),CHAR(34)," probability=",CHAR(34),1/EC$4,CHAR(34),CHAR(47),CHAR(62)),"&lt;/routeDistribution&gt;"))</f>
        <v/>
      </c>
    </row>
    <row r="375" spans="1:5" x14ac:dyDescent="0.25">
      <c r="A375">
        <v>-43569848</v>
      </c>
      <c r="B375" t="s">
        <v>1215</v>
      </c>
      <c r="E375" t="str">
        <f>IF(OR(E374="&lt;/routeDistribution&gt;",E374=""),"",IFERROR(_xlfn.CONCAT(VLOOKUP(EC58,Route_Column!#REF!,2,FALSE),CHAR(34)," probability=",CHAR(34),1/EC$4,CHAR(34),CHAR(47),CHAR(62)),"&lt;/routeDistribution&gt;"))</f>
        <v/>
      </c>
    </row>
    <row r="376" spans="1:5" x14ac:dyDescent="0.25">
      <c r="A376">
        <v>-43569848</v>
      </c>
      <c r="B376" t="s">
        <v>1216</v>
      </c>
      <c r="E376" t="str">
        <f>IF(OR(E375="&lt;/routeDistribution&gt;",E375=""),"",IFERROR(_xlfn.CONCAT(VLOOKUP(EC59,Route_Column!#REF!,2,FALSE),CHAR(34)," probability=",CHAR(34),1/EC$4,CHAR(34),CHAR(47),CHAR(62)),"&lt;/routeDistribution&gt;"))</f>
        <v/>
      </c>
    </row>
    <row r="377" spans="1:5" x14ac:dyDescent="0.25">
      <c r="A377">
        <v>-43569848</v>
      </c>
      <c r="B377" t="s">
        <v>1217</v>
      </c>
      <c r="E377" t="str">
        <f>IF(OR(E376="&lt;/routeDistribution&gt;",E376=""),"",IFERROR(_xlfn.CONCAT(VLOOKUP(EC60,Route_Column!#REF!,2,FALSE),CHAR(34)," probability=",CHAR(34),1/EC$4,CHAR(34),CHAR(47),CHAR(62)),"&lt;/routeDistribution&gt;"))</f>
        <v/>
      </c>
    </row>
    <row r="378" spans="1:5" x14ac:dyDescent="0.25">
      <c r="A378">
        <v>-43569848</v>
      </c>
      <c r="B378" t="s">
        <v>1218</v>
      </c>
      <c r="E378" t="str">
        <f>IF(OR(E377="&lt;/routeDistribution&gt;",E377=""),"",IFERROR(_xlfn.CONCAT(VLOOKUP(EC61,Route_Column!#REF!,2,FALSE),CHAR(34)," probability=",CHAR(34),1/EC$4,CHAR(34),CHAR(47),CHAR(62)),"&lt;/routeDistribution&gt;"))</f>
        <v/>
      </c>
    </row>
    <row r="379" spans="1:5" x14ac:dyDescent="0.25">
      <c r="A379">
        <v>-43569848</v>
      </c>
      <c r="B379" t="s">
        <v>1219</v>
      </c>
      <c r="E379" t="str">
        <f>IF(OR(E378="&lt;/routeDistribution&gt;",E378=""),"",IFERROR(_xlfn.CONCAT(VLOOKUP(EC62,Route_Column!#REF!,2,FALSE),CHAR(34)," probability=",CHAR(34),1/EC$4,CHAR(34),CHAR(47),CHAR(62)),"&lt;/routeDistribution&gt;"))</f>
        <v/>
      </c>
    </row>
    <row r="380" spans="1:5" x14ac:dyDescent="0.25">
      <c r="A380">
        <v>-43569848</v>
      </c>
      <c r="B380" t="s">
        <v>1220</v>
      </c>
      <c r="E380" t="str">
        <f>IF(OR(E379="&lt;/routeDistribution&gt;",E379=""),"",IFERROR(_xlfn.CONCAT(VLOOKUP(EC63,Route_Column!#REF!,2,FALSE),CHAR(34)," probability=",CHAR(34),1/EC$4,CHAR(34),CHAR(47),CHAR(62)),"&lt;/routeDistribution&gt;"))</f>
        <v/>
      </c>
    </row>
    <row r="381" spans="1:5" x14ac:dyDescent="0.25">
      <c r="A381">
        <v>-43569848</v>
      </c>
      <c r="B381" t="s">
        <v>1225</v>
      </c>
      <c r="E381" t="s">
        <v>2686</v>
      </c>
    </row>
    <row r="382" spans="1:5" x14ac:dyDescent="0.25">
      <c r="A382" s="11">
        <v>-30953391</v>
      </c>
      <c r="B382" t="s">
        <v>1090</v>
      </c>
    </row>
    <row r="383" spans="1:5" x14ac:dyDescent="0.25">
      <c r="A383">
        <v>-30953391</v>
      </c>
      <c r="B383" t="s">
        <v>1097</v>
      </c>
    </row>
    <row r="384" spans="1:5" x14ac:dyDescent="0.25">
      <c r="A384">
        <v>-30953391</v>
      </c>
      <c r="B384" t="s">
        <v>1111</v>
      </c>
      <c r="E384" t="str">
        <f>_xlfn.CONCAT($E$1,EB$2,$F$1)</f>
        <v>&lt;routeDistribution id="SPGDst-Bridge-Over-River-EB-16-RouteProbe"&gt;</v>
      </c>
    </row>
    <row r="385" spans="1:5" x14ac:dyDescent="0.25">
      <c r="A385">
        <v>-30953391</v>
      </c>
      <c r="B385" t="s">
        <v>1132</v>
      </c>
      <c r="E385" t="str">
        <f>IF(OR(E384="&lt;/routeDistribution&gt;",E384=""),"",IFERROR(_xlfn.CONCAT(VLOOKUP(EB5,Route_Column!#REF!,2,FALSE),CHAR(34)," probability=",CHAR(34),1/EB$4,CHAR(34),CHAR(47),CHAR(62)),"&lt;/routeDistribution&gt;"))</f>
        <v>&lt;/routeDistribution&gt;</v>
      </c>
    </row>
    <row r="386" spans="1:5" x14ac:dyDescent="0.25">
      <c r="A386">
        <v>-30953391</v>
      </c>
      <c r="B386" t="s">
        <v>1137</v>
      </c>
      <c r="E386" t="str">
        <f>IF(OR(E385="&lt;/routeDistribution&gt;",E385=""),"",IFERROR(_xlfn.CONCAT(VLOOKUP(EB6,Route_Column!#REF!,2,FALSE),CHAR(34)," probability=",CHAR(34),1/EB$4,CHAR(34),CHAR(47),CHAR(62)),"&lt;/routeDistribution&gt;"))</f>
        <v/>
      </c>
    </row>
    <row r="387" spans="1:5" x14ac:dyDescent="0.25">
      <c r="A387">
        <v>-30953391</v>
      </c>
      <c r="B387" t="s">
        <v>1171</v>
      </c>
      <c r="E387" t="str">
        <f>IF(OR(E386="&lt;/routeDistribution&gt;",E386=""),"",IFERROR(_xlfn.CONCAT(VLOOKUP(EB7,Route_Column!#REF!,2,FALSE),CHAR(34)," probability=",CHAR(34),1/EB$4,CHAR(34),CHAR(47),CHAR(62)),"&lt;/routeDistribution&gt;"))</f>
        <v/>
      </c>
    </row>
    <row r="388" spans="1:5" x14ac:dyDescent="0.25">
      <c r="A388">
        <v>-30953391</v>
      </c>
      <c r="B388" t="s">
        <v>1182</v>
      </c>
      <c r="E388" t="str">
        <f>IF(OR(E387="&lt;/routeDistribution&gt;",E387=""),"",IFERROR(_xlfn.CONCAT(VLOOKUP(EB8,Route_Column!#REF!,2,FALSE),CHAR(34)," probability=",CHAR(34),1/EB$4,CHAR(34),CHAR(47),CHAR(62)),"&lt;/routeDistribution&gt;"))</f>
        <v/>
      </c>
    </row>
    <row r="389" spans="1:5" x14ac:dyDescent="0.25">
      <c r="A389">
        <v>-30953391</v>
      </c>
      <c r="B389" t="s">
        <v>1191</v>
      </c>
      <c r="E389" t="str">
        <f>IF(OR(E388="&lt;/routeDistribution&gt;",E388=""),"",IFERROR(_xlfn.CONCAT(VLOOKUP(EB9,Route_Column!#REF!,2,FALSE),CHAR(34)," probability=",CHAR(34),1/EB$4,CHAR(34),CHAR(47),CHAR(62)),"&lt;/routeDistribution&gt;"))</f>
        <v/>
      </c>
    </row>
    <row r="390" spans="1:5" x14ac:dyDescent="0.25">
      <c r="A390">
        <v>-30953391</v>
      </c>
      <c r="B390" t="s">
        <v>1213</v>
      </c>
      <c r="E390" t="str">
        <f>IF(OR(E389="&lt;/routeDistribution&gt;",E389=""),"",IFERROR(_xlfn.CONCAT(VLOOKUP(EB10,Route_Column!#REF!,2,FALSE),CHAR(34)," probability=",CHAR(34),1/EB$4,CHAR(34),CHAR(47),CHAR(62)),"&lt;/routeDistribution&gt;"))</f>
        <v/>
      </c>
    </row>
    <row r="391" spans="1:5" x14ac:dyDescent="0.25">
      <c r="A391">
        <v>-30953391</v>
      </c>
      <c r="B391" t="s">
        <v>1214</v>
      </c>
      <c r="E391" t="str">
        <f>IF(OR(E390="&lt;/routeDistribution&gt;",E390=""),"",IFERROR(_xlfn.CONCAT(VLOOKUP(EB11,Route_Column!#REF!,2,FALSE),CHAR(34)," probability=",CHAR(34),1/EB$4,CHAR(34),CHAR(47),CHAR(62)),"&lt;/routeDistribution&gt;"))</f>
        <v/>
      </c>
    </row>
    <row r="392" spans="1:5" x14ac:dyDescent="0.25">
      <c r="A392">
        <v>-30953391</v>
      </c>
      <c r="B392" t="s">
        <v>1215</v>
      </c>
      <c r="E392" t="str">
        <f>IF(OR(E391="&lt;/routeDistribution&gt;",E391=""),"",IFERROR(_xlfn.CONCAT(VLOOKUP(EB12,Route_Column!#REF!,2,FALSE),CHAR(34)," probability=",CHAR(34),1/EB$4,CHAR(34),CHAR(47),CHAR(62)),"&lt;/routeDistribution&gt;"))</f>
        <v/>
      </c>
    </row>
    <row r="393" spans="1:5" x14ac:dyDescent="0.25">
      <c r="A393">
        <v>-30953391</v>
      </c>
      <c r="B393" t="s">
        <v>1215</v>
      </c>
      <c r="E393" t="str">
        <f>IF(OR(E392="&lt;/routeDistribution&gt;",E392=""),"",IFERROR(_xlfn.CONCAT(VLOOKUP(EB13,Route_Column!#REF!,2,FALSE),CHAR(34)," probability=",CHAR(34),1/EB$4,CHAR(34),CHAR(47),CHAR(62)),"&lt;/routeDistribution&gt;"))</f>
        <v/>
      </c>
    </row>
    <row r="394" spans="1:5" x14ac:dyDescent="0.25">
      <c r="A394">
        <v>-30953391</v>
      </c>
      <c r="B394" t="s">
        <v>1216</v>
      </c>
      <c r="E394" t="str">
        <f>IF(OR(E393="&lt;/routeDistribution&gt;",E393=""),"",IFERROR(_xlfn.CONCAT(VLOOKUP(EB14,Route_Column!#REF!,2,FALSE),CHAR(34)," probability=",CHAR(34),1/EB$4,CHAR(34),CHAR(47),CHAR(62)),"&lt;/routeDistribution&gt;"))</f>
        <v/>
      </c>
    </row>
    <row r="395" spans="1:5" x14ac:dyDescent="0.25">
      <c r="A395">
        <v>-30953391</v>
      </c>
      <c r="B395" t="s">
        <v>1217</v>
      </c>
      <c r="E395" t="str">
        <f>IF(OR(E394="&lt;/routeDistribution&gt;",E394=""),"",IFERROR(_xlfn.CONCAT(VLOOKUP(EB15,Route_Column!#REF!,2,FALSE),CHAR(34)," probability=",CHAR(34),1/EB$4,CHAR(34),CHAR(47),CHAR(62)),"&lt;/routeDistribution&gt;"))</f>
        <v/>
      </c>
    </row>
    <row r="396" spans="1:5" x14ac:dyDescent="0.25">
      <c r="A396">
        <v>-30953391</v>
      </c>
      <c r="B396" t="s">
        <v>1218</v>
      </c>
      <c r="E396" t="str">
        <f>IF(OR(E395="&lt;/routeDistribution&gt;",E395=""),"",IFERROR(_xlfn.CONCAT(VLOOKUP(EB16,Route_Column!#REF!,2,FALSE),CHAR(34)," probability=",CHAR(34),1/EB$4,CHAR(34),CHAR(47),CHAR(62)),"&lt;/routeDistribution&gt;"))</f>
        <v/>
      </c>
    </row>
    <row r="397" spans="1:5" x14ac:dyDescent="0.25">
      <c r="A397">
        <v>-30953391</v>
      </c>
      <c r="B397" t="s">
        <v>1219</v>
      </c>
      <c r="E397" t="str">
        <f>IF(OR(E396="&lt;/routeDistribution&gt;",E396=""),"",IFERROR(_xlfn.CONCAT(VLOOKUP(EB17,Route_Column!#REF!,2,FALSE),CHAR(34)," probability=",CHAR(34),1/EB$4,CHAR(34),CHAR(47),CHAR(62)),"&lt;/routeDistribution&gt;"))</f>
        <v/>
      </c>
    </row>
    <row r="398" spans="1:5" x14ac:dyDescent="0.25">
      <c r="A398">
        <v>-30953391</v>
      </c>
      <c r="B398" t="s">
        <v>1220</v>
      </c>
      <c r="E398" t="str">
        <f>IF(OR(E397="&lt;/routeDistribution&gt;",E397=""),"",IFERROR(_xlfn.CONCAT(VLOOKUP(EB18,Route_Column!#REF!,2,FALSE),CHAR(34)," probability=",CHAR(34),1/EB$4,CHAR(34),CHAR(47),CHAR(62)),"&lt;/routeDistribution&gt;"))</f>
        <v/>
      </c>
    </row>
    <row r="399" spans="1:5" x14ac:dyDescent="0.25">
      <c r="A399">
        <v>-30953391</v>
      </c>
      <c r="B399" t="s">
        <v>1225</v>
      </c>
      <c r="E399" t="str">
        <f>IF(OR(E398="&lt;/routeDistribution&gt;",E398=""),"",IFERROR(_xlfn.CONCAT(VLOOKUP(EB19,Route_Column!#REF!,2,FALSE),CHAR(34)," probability=",CHAR(34),1/EB$4,CHAR(34),CHAR(47),CHAR(62)),"&lt;/routeDistribution&gt;"))</f>
        <v/>
      </c>
    </row>
    <row r="400" spans="1:5" x14ac:dyDescent="0.25">
      <c r="A400">
        <v>-12188656</v>
      </c>
      <c r="B400" t="s">
        <v>1096</v>
      </c>
      <c r="E400" t="str">
        <f>IF(OR(E399="&lt;/routeDistribution&gt;",E399=""),"",IFERROR(_xlfn.CONCAT(VLOOKUP(EB20,Route_Column!#REF!,2,FALSE),CHAR(34)," probability=",CHAR(34),1/EB$4,CHAR(34),CHAR(47),CHAR(62)),"&lt;/routeDistribution&gt;"))</f>
        <v/>
      </c>
    </row>
    <row r="401" spans="1:5" x14ac:dyDescent="0.25">
      <c r="A401">
        <v>-12188656</v>
      </c>
      <c r="B401" t="s">
        <v>1099</v>
      </c>
      <c r="E401" t="str">
        <f>IF(OR(E400="&lt;/routeDistribution&gt;",E400=""),"",IFERROR(_xlfn.CONCAT(VLOOKUP(EB21,Route_Column!#REF!,2,FALSE),CHAR(34)," probability=",CHAR(34),1/EB$4,CHAR(34),CHAR(47),CHAR(62)),"&lt;/routeDistribution&gt;"))</f>
        <v/>
      </c>
    </row>
    <row r="402" spans="1:5" x14ac:dyDescent="0.25">
      <c r="A402">
        <v>-12188656</v>
      </c>
      <c r="B402" t="s">
        <v>1100</v>
      </c>
      <c r="E402" t="str">
        <f>IF(OR(E401="&lt;/routeDistribution&gt;",E401=""),"",IFERROR(_xlfn.CONCAT(VLOOKUP(EB22,Route_Column!#REF!,2,FALSE),CHAR(34)," probability=",CHAR(34),1/EB$4,CHAR(34),CHAR(47),CHAR(62)),"&lt;/routeDistribution&gt;"))</f>
        <v/>
      </c>
    </row>
    <row r="403" spans="1:5" x14ac:dyDescent="0.25">
      <c r="A403">
        <v>-12188656</v>
      </c>
      <c r="B403" t="s">
        <v>1101</v>
      </c>
      <c r="E403" t="str">
        <f>IF(OR(E402="&lt;/routeDistribution&gt;",E402=""),"",IFERROR(_xlfn.CONCAT(VLOOKUP(EB23,Route_Column!#REF!,2,FALSE),CHAR(34)," probability=",CHAR(34),1/EB$4,CHAR(34),CHAR(47),CHAR(62)),"&lt;/routeDistribution&gt;"))</f>
        <v/>
      </c>
    </row>
    <row r="404" spans="1:5" x14ac:dyDescent="0.25">
      <c r="A404">
        <v>-12188656</v>
      </c>
      <c r="B404" t="s">
        <v>1102</v>
      </c>
      <c r="E404" t="str">
        <f>IF(OR(E403="&lt;/routeDistribution&gt;",E403=""),"",IFERROR(_xlfn.CONCAT(VLOOKUP(EB24,Route_Column!#REF!,2,FALSE),CHAR(34)," probability=",CHAR(34),1/EB$4,CHAR(34),CHAR(47),CHAR(62)),"&lt;/routeDistribution&gt;"))</f>
        <v/>
      </c>
    </row>
    <row r="405" spans="1:5" x14ac:dyDescent="0.25">
      <c r="A405">
        <v>-12188656</v>
      </c>
      <c r="B405" t="s">
        <v>1103</v>
      </c>
      <c r="E405" t="str">
        <f>IF(OR(E404="&lt;/routeDistribution&gt;",E404=""),"",IFERROR(_xlfn.CONCAT(VLOOKUP(EB25,Route_Column!#REF!,2,FALSE),CHAR(34)," probability=",CHAR(34),1/EB$4,CHAR(34),CHAR(47),CHAR(62)),"&lt;/routeDistribution&gt;"))</f>
        <v/>
      </c>
    </row>
    <row r="406" spans="1:5" x14ac:dyDescent="0.25">
      <c r="A406">
        <v>-12188656</v>
      </c>
      <c r="B406" t="s">
        <v>1104</v>
      </c>
      <c r="E406" t="str">
        <f>IF(OR(E405="&lt;/routeDistribution&gt;",E405=""),"",IFERROR(_xlfn.CONCAT(VLOOKUP(EB26,Route_Column!#REF!,2,FALSE),CHAR(34)," probability=",CHAR(34),1/EB$4,CHAR(34),CHAR(47),CHAR(62)),"&lt;/routeDistribution&gt;"))</f>
        <v/>
      </c>
    </row>
    <row r="407" spans="1:5" x14ac:dyDescent="0.25">
      <c r="A407">
        <v>-12188656</v>
      </c>
      <c r="B407" t="s">
        <v>1105</v>
      </c>
      <c r="E407" t="str">
        <f>IF(OR(E406="&lt;/routeDistribution&gt;",E406=""),"",IFERROR(_xlfn.CONCAT(VLOOKUP(EB27,Route_Column!#REF!,2,FALSE),CHAR(34)," probability=",CHAR(34),1/EB$4,CHAR(34),CHAR(47),CHAR(62)),"&lt;/routeDistribution&gt;"))</f>
        <v/>
      </c>
    </row>
    <row r="408" spans="1:5" x14ac:dyDescent="0.25">
      <c r="A408">
        <v>-12188656</v>
      </c>
      <c r="B408" t="s">
        <v>1106</v>
      </c>
      <c r="E408" t="str">
        <f>IF(OR(E407="&lt;/routeDistribution&gt;",E407=""),"",IFERROR(_xlfn.CONCAT(VLOOKUP(EB28,Route_Column!#REF!,2,FALSE),CHAR(34)," probability=",CHAR(34),1/EB$4,CHAR(34),CHAR(47),CHAR(62)),"&lt;/routeDistribution&gt;"))</f>
        <v/>
      </c>
    </row>
    <row r="409" spans="1:5" x14ac:dyDescent="0.25">
      <c r="A409">
        <v>-12188656</v>
      </c>
      <c r="B409" t="s">
        <v>1107</v>
      </c>
      <c r="E409" t="str">
        <f>IF(OR(E408="&lt;/routeDistribution&gt;",E408=""),"",IFERROR(_xlfn.CONCAT(VLOOKUP(EB29,Route_Column!#REF!,2,FALSE),CHAR(34)," probability=",CHAR(34),1/EB$4,CHAR(34),CHAR(47),CHAR(62)),"&lt;/routeDistribution&gt;"))</f>
        <v/>
      </c>
    </row>
    <row r="410" spans="1:5" x14ac:dyDescent="0.25">
      <c r="A410">
        <v>-12188656</v>
      </c>
      <c r="B410" t="s">
        <v>1142</v>
      </c>
      <c r="E410" t="str">
        <f>IF(OR(E409="&lt;/routeDistribution&gt;",E409=""),"",IFERROR(_xlfn.CONCAT(VLOOKUP(EB30,Route_Column!#REF!,2,FALSE),CHAR(34)," probability=",CHAR(34),1/EB$4,CHAR(34),CHAR(47),CHAR(62)),"&lt;/routeDistribution&gt;"))</f>
        <v/>
      </c>
    </row>
    <row r="411" spans="1:5" x14ac:dyDescent="0.25">
      <c r="A411">
        <v>-12188656</v>
      </c>
      <c r="B411" t="s">
        <v>1148</v>
      </c>
      <c r="E411" t="str">
        <f>IF(OR(E410="&lt;/routeDistribution&gt;",E410=""),"",IFERROR(_xlfn.CONCAT(VLOOKUP(EB31,Route_Column!#REF!,2,FALSE),CHAR(34)," probability=",CHAR(34),1/EB$4,CHAR(34),CHAR(47),CHAR(62)),"&lt;/routeDistribution&gt;"))</f>
        <v/>
      </c>
    </row>
    <row r="412" spans="1:5" x14ac:dyDescent="0.25">
      <c r="A412">
        <v>-12188656</v>
      </c>
      <c r="B412" t="s">
        <v>1161</v>
      </c>
      <c r="E412" t="str">
        <f>IF(OR(E411="&lt;/routeDistribution&gt;",E411=""),"",IFERROR(_xlfn.CONCAT(VLOOKUP(EB32,Route_Column!#REF!,2,FALSE),CHAR(34)," probability=",CHAR(34),1/EB$4,CHAR(34),CHAR(47),CHAR(62)),"&lt;/routeDistribution&gt;"))</f>
        <v/>
      </c>
    </row>
    <row r="413" spans="1:5" x14ac:dyDescent="0.25">
      <c r="A413">
        <v>-12188656</v>
      </c>
      <c r="B413" t="s">
        <v>1162</v>
      </c>
      <c r="E413" t="str">
        <f>IF(OR(E412="&lt;/routeDistribution&gt;",E412=""),"",IFERROR(_xlfn.CONCAT(VLOOKUP(EB33,Route_Column!#REF!,2,FALSE),CHAR(34)," probability=",CHAR(34),1/EB$4,CHAR(34),CHAR(47),CHAR(62)),"&lt;/routeDistribution&gt;"))</f>
        <v/>
      </c>
    </row>
    <row r="414" spans="1:5" x14ac:dyDescent="0.25">
      <c r="A414">
        <v>-12188656</v>
      </c>
      <c r="B414" t="s">
        <v>1163</v>
      </c>
      <c r="E414" t="str">
        <f>IF(OR(E413="&lt;/routeDistribution&gt;",E413=""),"",IFERROR(_xlfn.CONCAT(VLOOKUP(EB34,Route_Column!#REF!,2,FALSE),CHAR(34)," probability=",CHAR(34),1/EB$4,CHAR(34),CHAR(47),CHAR(62)),"&lt;/routeDistribution&gt;"))</f>
        <v/>
      </c>
    </row>
    <row r="415" spans="1:5" x14ac:dyDescent="0.25">
      <c r="A415">
        <v>-12188656</v>
      </c>
      <c r="B415" t="s">
        <v>1164</v>
      </c>
      <c r="E415" t="str">
        <f>IF(OR(E414="&lt;/routeDistribution&gt;",E414=""),"",IFERROR(_xlfn.CONCAT(VLOOKUP(EB35,Route_Column!#REF!,2,FALSE),CHAR(34)," probability=",CHAR(34),1/EB$4,CHAR(34),CHAR(47),CHAR(62)),"&lt;/routeDistribution&gt;"))</f>
        <v/>
      </c>
    </row>
    <row r="416" spans="1:5" x14ac:dyDescent="0.25">
      <c r="A416">
        <v>-12188656</v>
      </c>
      <c r="B416" t="s">
        <v>1168</v>
      </c>
      <c r="E416" t="str">
        <f>IF(OR(E415="&lt;/routeDistribution&gt;",E415=""),"",IFERROR(_xlfn.CONCAT(VLOOKUP(EB36,Route_Column!#REF!,2,FALSE),CHAR(34)," probability=",CHAR(34),1/EB$4,CHAR(34),CHAR(47),CHAR(62)),"&lt;/routeDistribution&gt;"))</f>
        <v/>
      </c>
    </row>
    <row r="417" spans="1:5" x14ac:dyDescent="0.25">
      <c r="A417">
        <v>-12188656</v>
      </c>
      <c r="B417" t="s">
        <v>1169</v>
      </c>
      <c r="E417" t="str">
        <f>IF(OR(E416="&lt;/routeDistribution&gt;",E416=""),"",IFERROR(_xlfn.CONCAT(VLOOKUP(EB37,Route_Column!#REF!,2,FALSE),CHAR(34)," probability=",CHAR(34),1/EB$4,CHAR(34),CHAR(47),CHAR(62)),"&lt;/routeDistribution&gt;"))</f>
        <v/>
      </c>
    </row>
    <row r="418" spans="1:5" x14ac:dyDescent="0.25">
      <c r="A418">
        <v>-12188656</v>
      </c>
      <c r="B418" t="s">
        <v>1170</v>
      </c>
      <c r="E418" t="str">
        <f>IF(OR(E417="&lt;/routeDistribution&gt;",E417=""),"",IFERROR(_xlfn.CONCAT(VLOOKUP(EB38,Route_Column!#REF!,2,FALSE),CHAR(34)," probability=",CHAR(34),1/EB$4,CHAR(34),CHAR(47),CHAR(62)),"&lt;/routeDistribution&gt;"))</f>
        <v/>
      </c>
    </row>
    <row r="419" spans="1:5" x14ac:dyDescent="0.25">
      <c r="A419">
        <v>-12188656</v>
      </c>
      <c r="B419" t="s">
        <v>1178</v>
      </c>
      <c r="E419" t="str">
        <f>IF(OR(E418="&lt;/routeDistribution&gt;",E418=""),"",IFERROR(_xlfn.CONCAT(VLOOKUP(EB39,Route_Column!#REF!,2,FALSE),CHAR(34)," probability=",CHAR(34),1/EB$4,CHAR(34),CHAR(47),CHAR(62)),"&lt;/routeDistribution&gt;"))</f>
        <v/>
      </c>
    </row>
    <row r="420" spans="1:5" x14ac:dyDescent="0.25">
      <c r="A420">
        <v>-12188656</v>
      </c>
      <c r="B420" t="s">
        <v>1196</v>
      </c>
      <c r="E420" t="str">
        <f>IF(OR(E419="&lt;/routeDistribution&gt;",E419=""),"",IFERROR(_xlfn.CONCAT(VLOOKUP(EB40,Route_Column!#REF!,2,FALSE),CHAR(34)," probability=",CHAR(34),1/EB$4,CHAR(34),CHAR(47),CHAR(62)),"&lt;/routeDistribution&gt;"))</f>
        <v/>
      </c>
    </row>
    <row r="421" spans="1:5" x14ac:dyDescent="0.25">
      <c r="A421">
        <v>-12188656</v>
      </c>
      <c r="B421" t="s">
        <v>1202</v>
      </c>
      <c r="E421" t="str">
        <f>IF(OR(E420="&lt;/routeDistribution&gt;",E420=""),"",IFERROR(_xlfn.CONCAT(VLOOKUP(EB41,Route_Column!#REF!,2,FALSE),CHAR(34)," probability=",CHAR(34),1/EB$4,CHAR(34),CHAR(47),CHAR(62)),"&lt;/routeDistribution&gt;"))</f>
        <v/>
      </c>
    </row>
    <row r="422" spans="1:5" x14ac:dyDescent="0.25">
      <c r="A422">
        <v>-12187745</v>
      </c>
      <c r="B422" t="s">
        <v>1136</v>
      </c>
      <c r="E422" t="str">
        <f>IF(OR(E421="&lt;/routeDistribution&gt;",E421=""),"",IFERROR(_xlfn.CONCAT(VLOOKUP(EB42,Route_Column!#REF!,2,FALSE),CHAR(34)," probability=",CHAR(34),1/EB$4,CHAR(34),CHAR(47),CHAR(62)),"&lt;/routeDistribution&gt;"))</f>
        <v/>
      </c>
    </row>
    <row r="423" spans="1:5" x14ac:dyDescent="0.25">
      <c r="A423">
        <v>-12187745</v>
      </c>
      <c r="B423" t="s">
        <v>1144</v>
      </c>
      <c r="E423" t="str">
        <f>IF(OR(E422="&lt;/routeDistribution&gt;",E422=""),"",IFERROR(_xlfn.CONCAT(VLOOKUP(EB43,Route_Column!#REF!,2,FALSE),CHAR(34)," probability=",CHAR(34),1/EB$4,CHAR(34),CHAR(47),CHAR(62)),"&lt;/routeDistribution&gt;"))</f>
        <v/>
      </c>
    </row>
    <row r="424" spans="1:5" x14ac:dyDescent="0.25">
      <c r="A424">
        <v>-12187745</v>
      </c>
      <c r="B424" t="s">
        <v>1153</v>
      </c>
      <c r="E424" t="str">
        <f>IF(OR(E423="&lt;/routeDistribution&gt;",E423=""),"",IFERROR(_xlfn.CONCAT(VLOOKUP(EB44,Route_Column!#REF!,2,FALSE),CHAR(34)," probability=",CHAR(34),1/EB$4,CHAR(34),CHAR(47),CHAR(62)),"&lt;/routeDistribution&gt;"))</f>
        <v/>
      </c>
    </row>
    <row r="425" spans="1:5" x14ac:dyDescent="0.25">
      <c r="A425">
        <v>-12173391</v>
      </c>
      <c r="B425" t="s">
        <v>1133</v>
      </c>
      <c r="E425" t="str">
        <f>IF(OR(E424="&lt;/routeDistribution&gt;",E424=""),"",IFERROR(_xlfn.CONCAT(VLOOKUP(EB45,Route_Column!#REF!,2,FALSE),CHAR(34)," probability=",CHAR(34),1/EB$4,CHAR(34),CHAR(47),CHAR(62)),"&lt;/routeDistribution&gt;"))</f>
        <v/>
      </c>
    </row>
    <row r="426" spans="1:5" x14ac:dyDescent="0.25">
      <c r="A426" s="11">
        <v>-12142631</v>
      </c>
      <c r="B426" t="s">
        <v>1091</v>
      </c>
      <c r="E426" t="str">
        <f>IF(OR(E425="&lt;/routeDistribution&gt;",E425=""),"",IFERROR(_xlfn.CONCAT(VLOOKUP(EB46,Route_Column!#REF!,2,FALSE),CHAR(34)," probability=",CHAR(34),1/EB$4,CHAR(34),CHAR(47),CHAR(62)),"&lt;/routeDistribution&gt;"))</f>
        <v/>
      </c>
    </row>
    <row r="427" spans="1:5" x14ac:dyDescent="0.25">
      <c r="A427">
        <v>-12142631</v>
      </c>
      <c r="B427" t="s">
        <v>1092</v>
      </c>
      <c r="E427" t="str">
        <f>IF(OR(E426="&lt;/routeDistribution&gt;",E426=""),"",IFERROR(_xlfn.CONCAT(VLOOKUP(EB47,Route_Column!#REF!,2,FALSE),CHAR(34)," probability=",CHAR(34),1/EB$4,CHAR(34),CHAR(47),CHAR(62)),"&lt;/routeDistribution&gt;"))</f>
        <v/>
      </c>
    </row>
    <row r="428" spans="1:5" x14ac:dyDescent="0.25">
      <c r="A428">
        <v>-12142631</v>
      </c>
      <c r="B428" t="s">
        <v>1093</v>
      </c>
      <c r="E428" t="str">
        <f>IF(OR(E427="&lt;/routeDistribution&gt;",E427=""),"",IFERROR(_xlfn.CONCAT(VLOOKUP(EB48,Route_Column!#REF!,2,FALSE),CHAR(34)," probability=",CHAR(34),1/EB$4,CHAR(34),CHAR(47),CHAR(62)),"&lt;/routeDistribution&gt;"))</f>
        <v/>
      </c>
    </row>
    <row r="429" spans="1:5" x14ac:dyDescent="0.25">
      <c r="A429">
        <v>-12142631</v>
      </c>
      <c r="B429" t="s">
        <v>1094</v>
      </c>
      <c r="E429" t="str">
        <f>IF(OR(E428="&lt;/routeDistribution&gt;",E428=""),"",IFERROR(_xlfn.CONCAT(VLOOKUP(EB49,Route_Column!#REF!,2,FALSE),CHAR(34)," probability=",CHAR(34),1/EB$4,CHAR(34),CHAR(47),CHAR(62)),"&lt;/routeDistribution&gt;"))</f>
        <v/>
      </c>
    </row>
    <row r="430" spans="1:5" x14ac:dyDescent="0.25">
      <c r="A430">
        <v>-12142631</v>
      </c>
      <c r="B430" t="s">
        <v>1160</v>
      </c>
      <c r="E430" t="str">
        <f>IF(OR(E429="&lt;/routeDistribution&gt;",E429=""),"",IFERROR(_xlfn.CONCAT(VLOOKUP(EB50,Route_Column!#REF!,2,FALSE),CHAR(34)," probability=",CHAR(34),1/EB$4,CHAR(34),CHAR(47),CHAR(62)),"&lt;/routeDistribution&gt;"))</f>
        <v/>
      </c>
    </row>
    <row r="431" spans="1:5" x14ac:dyDescent="0.25">
      <c r="A431">
        <v>-12142631</v>
      </c>
      <c r="B431" t="s">
        <v>1166</v>
      </c>
      <c r="E431" t="str">
        <f>IF(OR(E430="&lt;/routeDistribution&gt;",E430=""),"",IFERROR(_xlfn.CONCAT(VLOOKUP(EB51,Route_Column!#REF!,2,FALSE),CHAR(34)," probability=",CHAR(34),1/EB$4,CHAR(34),CHAR(47),CHAR(62)),"&lt;/routeDistribution&gt;"))</f>
        <v/>
      </c>
    </row>
    <row r="432" spans="1:5" x14ac:dyDescent="0.25">
      <c r="A432">
        <v>-12142631</v>
      </c>
      <c r="B432" t="s">
        <v>1167</v>
      </c>
      <c r="E432" t="str">
        <f>IF(OR(E431="&lt;/routeDistribution&gt;",E431=""),"",IFERROR(_xlfn.CONCAT(VLOOKUP(EB52,Route_Column!#REF!,2,FALSE),CHAR(34)," probability=",CHAR(34),1/EB$4,CHAR(34),CHAR(47),CHAR(62)),"&lt;/routeDistribution&gt;"))</f>
        <v/>
      </c>
    </row>
    <row r="433" spans="1:5" x14ac:dyDescent="0.25">
      <c r="A433">
        <v>-12142631</v>
      </c>
      <c r="B433" t="s">
        <v>1168</v>
      </c>
      <c r="E433" t="str">
        <f>IF(OR(E432="&lt;/routeDistribution&gt;",E432=""),"",IFERROR(_xlfn.CONCAT(VLOOKUP(EB53,Route_Column!#REF!,2,FALSE),CHAR(34)," probability=",CHAR(34),1/EB$4,CHAR(34),CHAR(47),CHAR(62)),"&lt;/routeDistribution&gt;"))</f>
        <v/>
      </c>
    </row>
    <row r="434" spans="1:5" x14ac:dyDescent="0.25">
      <c r="A434">
        <v>-12142631</v>
      </c>
      <c r="B434" t="s">
        <v>1169</v>
      </c>
      <c r="E434" t="str">
        <f>IF(OR(E433="&lt;/routeDistribution&gt;",E433=""),"",IFERROR(_xlfn.CONCAT(VLOOKUP(EB54,Route_Column!#REF!,2,FALSE),CHAR(34)," probability=",CHAR(34),1/EB$4,CHAR(34),CHAR(47),CHAR(62)),"&lt;/routeDistribution&gt;"))</f>
        <v/>
      </c>
    </row>
    <row r="435" spans="1:5" x14ac:dyDescent="0.25">
      <c r="A435">
        <v>-12142631</v>
      </c>
      <c r="B435" t="s">
        <v>1170</v>
      </c>
      <c r="E435" t="str">
        <f>IF(OR(E434="&lt;/routeDistribution&gt;",E434=""),"",IFERROR(_xlfn.CONCAT(VLOOKUP(EB55,Route_Column!#REF!,2,FALSE),CHAR(34)," probability=",CHAR(34),1/EB$4,CHAR(34),CHAR(47),CHAR(62)),"&lt;/routeDistribution&gt;"))</f>
        <v/>
      </c>
    </row>
    <row r="436" spans="1:5" x14ac:dyDescent="0.25">
      <c r="A436">
        <v>-12142631</v>
      </c>
      <c r="B436" t="s">
        <v>1194</v>
      </c>
      <c r="E436" t="str">
        <f>IF(OR(E435="&lt;/routeDistribution&gt;",E435=""),"",IFERROR(_xlfn.CONCAT(VLOOKUP(EB56,Route_Column!#REF!,2,FALSE),CHAR(34)," probability=",CHAR(34),1/EB$4,CHAR(34),CHAR(47),CHAR(62)),"&lt;/routeDistribution&gt;"))</f>
        <v/>
      </c>
    </row>
    <row r="437" spans="1:5" x14ac:dyDescent="0.25">
      <c r="A437">
        <v>-12142631</v>
      </c>
      <c r="B437" t="s">
        <v>1198</v>
      </c>
      <c r="E437" t="str">
        <f>IF(OR(E436="&lt;/routeDistribution&gt;",E436=""),"",IFERROR(_xlfn.CONCAT(VLOOKUP(EB57,Route_Column!#REF!,2,FALSE),CHAR(34)," probability=",CHAR(34),1/EB$4,CHAR(34),CHAR(47),CHAR(62)),"&lt;/routeDistribution&gt;"))</f>
        <v/>
      </c>
    </row>
    <row r="438" spans="1:5" x14ac:dyDescent="0.25">
      <c r="A438">
        <v>12110705</v>
      </c>
      <c r="B438" t="s">
        <v>1108</v>
      </c>
      <c r="E438" t="str">
        <f>IF(OR(E437="&lt;/routeDistribution&gt;",E437=""),"",IFERROR(_xlfn.CONCAT(VLOOKUP(EB58,Route_Column!#REF!,2,FALSE),CHAR(34)," probability=",CHAR(34),1/EB$4,CHAR(34),CHAR(47),CHAR(62)),"&lt;/routeDistribution&gt;"))</f>
        <v/>
      </c>
    </row>
    <row r="439" spans="1:5" x14ac:dyDescent="0.25">
      <c r="A439">
        <v>12110705</v>
      </c>
      <c r="B439" t="s">
        <v>1140</v>
      </c>
      <c r="E439" t="str">
        <f>IF(OR(E438="&lt;/routeDistribution&gt;",E438=""),"",IFERROR(_xlfn.CONCAT(VLOOKUP(EB59,Route_Column!#REF!,2,FALSE),CHAR(34)," probability=",CHAR(34),1/EB$4,CHAR(34),CHAR(47),CHAR(62)),"&lt;/routeDistribution&gt;"))</f>
        <v/>
      </c>
    </row>
    <row r="440" spans="1:5" x14ac:dyDescent="0.25">
      <c r="A440">
        <v>12110705</v>
      </c>
      <c r="B440" t="s">
        <v>1141</v>
      </c>
      <c r="E440" t="str">
        <f>IF(OR(E439="&lt;/routeDistribution&gt;",E439=""),"",IFERROR(_xlfn.CONCAT(VLOOKUP(EB60,Route_Column!#REF!,2,FALSE),CHAR(34)," probability=",CHAR(34),1/EB$4,CHAR(34),CHAR(47),CHAR(62)),"&lt;/routeDistribution&gt;"))</f>
        <v/>
      </c>
    </row>
    <row r="441" spans="1:5" x14ac:dyDescent="0.25">
      <c r="A441">
        <v>12110705</v>
      </c>
      <c r="B441" t="s">
        <v>1142</v>
      </c>
      <c r="E441" t="str">
        <f>IF(OR(E440="&lt;/routeDistribution&gt;",E440=""),"",IFERROR(_xlfn.CONCAT(VLOOKUP(EB61,Route_Column!#REF!,2,FALSE),CHAR(34)," probability=",CHAR(34),1/EB$4,CHAR(34),CHAR(47),CHAR(62)),"&lt;/routeDistribution&gt;"))</f>
        <v/>
      </c>
    </row>
    <row r="442" spans="1:5" x14ac:dyDescent="0.25">
      <c r="A442">
        <v>12110705</v>
      </c>
      <c r="B442" t="s">
        <v>1150</v>
      </c>
      <c r="E442" t="str">
        <f>IF(OR(E441="&lt;/routeDistribution&gt;",E441=""),"",IFERROR(_xlfn.CONCAT(VLOOKUP(EB62,Route_Column!#REF!,2,FALSE),CHAR(34)," probability=",CHAR(34),1/EB$4,CHAR(34),CHAR(47),CHAR(62)),"&lt;/routeDistribution&gt;"))</f>
        <v/>
      </c>
    </row>
    <row r="443" spans="1:5" x14ac:dyDescent="0.25">
      <c r="A443">
        <v>12110705</v>
      </c>
      <c r="B443" t="s">
        <v>1155</v>
      </c>
      <c r="E443" t="str">
        <f>IF(OR(E442="&lt;/routeDistribution&gt;",E442=""),"",IFERROR(_xlfn.CONCAT(VLOOKUP(EB63,Route_Column!#REF!,2,FALSE),CHAR(34)," probability=",CHAR(34),1/EB$4,CHAR(34),CHAR(47),CHAR(62)),"&lt;/routeDistribution&gt;"))</f>
        <v/>
      </c>
    </row>
    <row r="444" spans="1:5" x14ac:dyDescent="0.25">
      <c r="A444">
        <v>12110705</v>
      </c>
      <c r="B444" t="s">
        <v>1157</v>
      </c>
      <c r="E444" t="s">
        <v>2686</v>
      </c>
    </row>
    <row r="445" spans="1:5" x14ac:dyDescent="0.25">
      <c r="A445">
        <v>12110705</v>
      </c>
      <c r="B445" t="s">
        <v>1158</v>
      </c>
    </row>
    <row r="446" spans="1:5" x14ac:dyDescent="0.25">
      <c r="A446">
        <v>12110705</v>
      </c>
      <c r="B446" t="s">
        <v>1160</v>
      </c>
    </row>
    <row r="447" spans="1:5" x14ac:dyDescent="0.25">
      <c r="A447">
        <v>12110705</v>
      </c>
      <c r="B447" t="s">
        <v>1174</v>
      </c>
      <c r="E447" t="str">
        <f>_xlfn.CONCAT($E$1,EA$2,$F$1)</f>
        <v>&lt;routeDistribution id="676-EB-2010-Sink-RouteProbe"&gt;</v>
      </c>
    </row>
    <row r="448" spans="1:5" x14ac:dyDescent="0.25">
      <c r="A448">
        <v>12110705</v>
      </c>
      <c r="B448" t="s">
        <v>1175</v>
      </c>
      <c r="E448" t="str">
        <f>IF(OR(E447="&lt;/routeDistribution&gt;",E447=""),"",IFERROR(_xlfn.CONCAT(VLOOKUP(EA5,Route_Column!#REF!,2,FALSE),CHAR(34)," probability=",CHAR(34),1/EA$4,CHAR(34),CHAR(47),CHAR(62)),"&lt;/routeDistribution&gt;"))</f>
        <v>&lt;/routeDistribution&gt;</v>
      </c>
    </row>
    <row r="449" spans="1:5" x14ac:dyDescent="0.25">
      <c r="A449">
        <v>12110705</v>
      </c>
      <c r="B449" t="s">
        <v>1176</v>
      </c>
      <c r="E449" t="str">
        <f>IF(OR(E448="&lt;/routeDistribution&gt;",E448=""),"",IFERROR(_xlfn.CONCAT(VLOOKUP(EA6,Route_Column!#REF!,2,FALSE),CHAR(34)," probability=",CHAR(34),1/EA$4,CHAR(34),CHAR(47),CHAR(62)),"&lt;/routeDistribution&gt;"))</f>
        <v/>
      </c>
    </row>
    <row r="450" spans="1:5" x14ac:dyDescent="0.25">
      <c r="A450">
        <v>12110705</v>
      </c>
      <c r="B450" t="s">
        <v>1177</v>
      </c>
      <c r="E450" t="str">
        <f>IF(OR(E449="&lt;/routeDistribution&gt;",E449=""),"",IFERROR(_xlfn.CONCAT(VLOOKUP(EA7,Route_Column!#REF!,2,FALSE),CHAR(34)," probability=",CHAR(34),1/EA$4,CHAR(34),CHAR(47),CHAR(62)),"&lt;/routeDistribution&gt;"))</f>
        <v/>
      </c>
    </row>
    <row r="451" spans="1:5" x14ac:dyDescent="0.25">
      <c r="A451">
        <v>12110705</v>
      </c>
      <c r="B451" t="s">
        <v>1178</v>
      </c>
      <c r="E451" t="str">
        <f>IF(OR(E450="&lt;/routeDistribution&gt;",E450=""),"",IFERROR(_xlfn.CONCAT(VLOOKUP(EA8,Route_Column!#REF!,2,FALSE),CHAR(34)," probability=",CHAR(34),1/EA$4,CHAR(34),CHAR(47),CHAR(62)),"&lt;/routeDistribution&gt;"))</f>
        <v/>
      </c>
    </row>
    <row r="452" spans="1:5" x14ac:dyDescent="0.25">
      <c r="A452">
        <v>12110705</v>
      </c>
      <c r="B452" t="s">
        <v>1179</v>
      </c>
      <c r="E452" t="str">
        <f>IF(OR(E451="&lt;/routeDistribution&gt;",E451=""),"",IFERROR(_xlfn.CONCAT(VLOOKUP(EA9,Route_Column!#REF!,2,FALSE),CHAR(34)," probability=",CHAR(34),1/EA$4,CHAR(34),CHAR(47),CHAR(62)),"&lt;/routeDistribution&gt;"))</f>
        <v/>
      </c>
    </row>
    <row r="453" spans="1:5" x14ac:dyDescent="0.25">
      <c r="A453">
        <v>12110705</v>
      </c>
      <c r="B453" t="s">
        <v>1184</v>
      </c>
      <c r="E453" t="str">
        <f>IF(OR(E452="&lt;/routeDistribution&gt;",E452=""),"",IFERROR(_xlfn.CONCAT(VLOOKUP(EA10,Route_Column!#REF!,2,FALSE),CHAR(34)," probability=",CHAR(34),1/EA$4,CHAR(34),CHAR(47),CHAR(62)),"&lt;/routeDistribution&gt;"))</f>
        <v/>
      </c>
    </row>
    <row r="454" spans="1:5" x14ac:dyDescent="0.25">
      <c r="A454">
        <v>12110705</v>
      </c>
      <c r="B454" t="s">
        <v>1199</v>
      </c>
      <c r="E454" t="str">
        <f>IF(OR(E453="&lt;/routeDistribution&gt;",E453=""),"",IFERROR(_xlfn.CONCAT(VLOOKUP(EA11,Route_Column!#REF!,2,FALSE),CHAR(34)," probability=",CHAR(34),1/EA$4,CHAR(34),CHAR(47),CHAR(62)),"&lt;/routeDistribution&gt;"))</f>
        <v/>
      </c>
    </row>
    <row r="455" spans="1:5" x14ac:dyDescent="0.25">
      <c r="A455">
        <v>12110705</v>
      </c>
      <c r="B455" t="s">
        <v>1200</v>
      </c>
      <c r="E455" t="str">
        <f>IF(OR(E454="&lt;/routeDistribution&gt;",E454=""),"",IFERROR(_xlfn.CONCAT(VLOOKUP(EA12,Route_Column!#REF!,2,FALSE),CHAR(34)," probability=",CHAR(34),1/EA$4,CHAR(34),CHAR(47),CHAR(62)),"&lt;/routeDistribution&gt;"))</f>
        <v/>
      </c>
    </row>
    <row r="456" spans="1:5" x14ac:dyDescent="0.25">
      <c r="A456">
        <v>12110705</v>
      </c>
      <c r="B456" t="s">
        <v>1201</v>
      </c>
      <c r="E456" t="str">
        <f>IF(OR(E455="&lt;/routeDistribution&gt;",E455=""),"",IFERROR(_xlfn.CONCAT(VLOOKUP(EA13,Route_Column!#REF!,2,FALSE),CHAR(34)," probability=",CHAR(34),1/EA$4,CHAR(34),CHAR(47),CHAR(62)),"&lt;/routeDistribution&gt;"))</f>
        <v/>
      </c>
    </row>
    <row r="457" spans="1:5" x14ac:dyDescent="0.25">
      <c r="A457">
        <v>12110705</v>
      </c>
      <c r="B457" t="s">
        <v>1202</v>
      </c>
      <c r="E457" t="str">
        <f>IF(OR(E456="&lt;/routeDistribution&gt;",E456=""),"",IFERROR(_xlfn.CONCAT(VLOOKUP(EA14,Route_Column!#REF!,2,FALSE),CHAR(34)," probability=",CHAR(34),1/EA$4,CHAR(34),CHAR(47),CHAR(62)),"&lt;/routeDistribution&gt;"))</f>
        <v/>
      </c>
    </row>
    <row r="458" spans="1:5" x14ac:dyDescent="0.25">
      <c r="A458">
        <v>12110705</v>
      </c>
      <c r="B458" t="s">
        <v>1203</v>
      </c>
      <c r="E458" t="str">
        <f>IF(OR(E457="&lt;/routeDistribution&gt;",E457=""),"",IFERROR(_xlfn.CONCAT(VLOOKUP(EA15,Route_Column!#REF!,2,FALSE),CHAR(34)," probability=",CHAR(34),1/EA$4,CHAR(34),CHAR(47),CHAR(62)),"&lt;/routeDistribution&gt;"))</f>
        <v/>
      </c>
    </row>
    <row r="459" spans="1:5" x14ac:dyDescent="0.25">
      <c r="A459">
        <v>12110705</v>
      </c>
      <c r="B459" t="s">
        <v>1204</v>
      </c>
      <c r="E459" t="str">
        <f>IF(OR(E458="&lt;/routeDistribution&gt;",E458=""),"",IFERROR(_xlfn.CONCAT(VLOOKUP(EA16,Route_Column!#REF!,2,FALSE),CHAR(34)," probability=",CHAR(34),1/EA$4,CHAR(34),CHAR(47),CHAR(62)),"&lt;/routeDistribution&gt;"))</f>
        <v/>
      </c>
    </row>
    <row r="460" spans="1:5" x14ac:dyDescent="0.25">
      <c r="A460">
        <v>12110705</v>
      </c>
      <c r="B460" t="s">
        <v>1205</v>
      </c>
      <c r="E460" t="str">
        <f>IF(OR(E459="&lt;/routeDistribution&gt;",E459=""),"",IFERROR(_xlfn.CONCAT(VLOOKUP(EA17,Route_Column!#REF!,2,FALSE),CHAR(34)," probability=",CHAR(34),1/EA$4,CHAR(34),CHAR(47),CHAR(62)),"&lt;/routeDistribution&gt;"))</f>
        <v/>
      </c>
    </row>
    <row r="461" spans="1:5" x14ac:dyDescent="0.25">
      <c r="A461">
        <v>12110705</v>
      </c>
      <c r="B461" t="s">
        <v>1206</v>
      </c>
      <c r="E461" t="str">
        <f>IF(OR(E460="&lt;/routeDistribution&gt;",E460=""),"",IFERROR(_xlfn.CONCAT(VLOOKUP(EA18,Route_Column!#REF!,2,FALSE),CHAR(34)," probability=",CHAR(34),1/EA$4,CHAR(34),CHAR(47),CHAR(62)),"&lt;/routeDistribution&gt;"))</f>
        <v/>
      </c>
    </row>
    <row r="462" spans="1:5" x14ac:dyDescent="0.25">
      <c r="A462">
        <v>12110705</v>
      </c>
      <c r="B462" t="s">
        <v>1206</v>
      </c>
      <c r="E462" t="str">
        <f>IF(OR(E461="&lt;/routeDistribution&gt;",E461=""),"",IFERROR(_xlfn.CONCAT(VLOOKUP(EA19,Route_Column!#REF!,2,FALSE),CHAR(34)," probability=",CHAR(34),1/EA$4,CHAR(34),CHAR(47),CHAR(62)),"&lt;/routeDistribution&gt;"))</f>
        <v/>
      </c>
    </row>
    <row r="463" spans="1:5" x14ac:dyDescent="0.25">
      <c r="A463">
        <v>12110705</v>
      </c>
      <c r="B463" t="s">
        <v>1207</v>
      </c>
      <c r="E463" t="str">
        <f>IF(OR(E462="&lt;/routeDistribution&gt;",E462=""),"",IFERROR(_xlfn.CONCAT(VLOOKUP(EA20,Route_Column!#REF!,2,FALSE),CHAR(34)," probability=",CHAR(34),1/EA$4,CHAR(34),CHAR(47),CHAR(62)),"&lt;/routeDistribution&gt;"))</f>
        <v/>
      </c>
    </row>
    <row r="464" spans="1:5" x14ac:dyDescent="0.25">
      <c r="A464">
        <v>12110705</v>
      </c>
      <c r="B464" t="s">
        <v>1207</v>
      </c>
      <c r="E464" t="str">
        <f>IF(OR(E463="&lt;/routeDistribution&gt;",E463=""),"",IFERROR(_xlfn.CONCAT(VLOOKUP(EA21,Route_Column!#REF!,2,FALSE),CHAR(34)," probability=",CHAR(34),1/EA$4,CHAR(34),CHAR(47),CHAR(62)),"&lt;/routeDistribution&gt;"))</f>
        <v/>
      </c>
    </row>
    <row r="465" spans="1:5" x14ac:dyDescent="0.25">
      <c r="A465">
        <v>12110705</v>
      </c>
      <c r="B465" t="s">
        <v>1208</v>
      </c>
      <c r="E465" t="str">
        <f>IF(OR(E464="&lt;/routeDistribution&gt;",E464=""),"",IFERROR(_xlfn.CONCAT(VLOOKUP(EA22,Route_Column!#REF!,2,FALSE),CHAR(34)," probability=",CHAR(34),1/EA$4,CHAR(34),CHAR(47),CHAR(62)),"&lt;/routeDistribution&gt;"))</f>
        <v/>
      </c>
    </row>
    <row r="466" spans="1:5" x14ac:dyDescent="0.25">
      <c r="A466">
        <v>12110705</v>
      </c>
      <c r="B466" t="s">
        <v>1226</v>
      </c>
      <c r="E466" t="str">
        <f>IF(OR(E465="&lt;/routeDistribution&gt;",E465=""),"",IFERROR(_xlfn.CONCAT(VLOOKUP(EA23,Route_Column!#REF!,2,FALSE),CHAR(34)," probability=",CHAR(34),1/EA$4,CHAR(34),CHAR(47),CHAR(62)),"&lt;/routeDistribution&gt;"))</f>
        <v/>
      </c>
    </row>
    <row r="467" spans="1:5" x14ac:dyDescent="0.25">
      <c r="A467">
        <v>12110705</v>
      </c>
      <c r="B467" t="s">
        <v>1227</v>
      </c>
      <c r="E467" t="str">
        <f>IF(OR(E466="&lt;/routeDistribution&gt;",E466=""),"",IFERROR(_xlfn.CONCAT(VLOOKUP(EA24,Route_Column!#REF!,2,FALSE),CHAR(34)," probability=",CHAR(34),1/EA$4,CHAR(34),CHAR(47),CHAR(62)),"&lt;/routeDistribution&gt;"))</f>
        <v/>
      </c>
    </row>
    <row r="468" spans="1:5" x14ac:dyDescent="0.25">
      <c r="A468">
        <v>12110705</v>
      </c>
      <c r="B468" t="s">
        <v>1228</v>
      </c>
      <c r="E468" t="str">
        <f>IF(OR(E467="&lt;/routeDistribution&gt;",E467=""),"",IFERROR(_xlfn.CONCAT(VLOOKUP(EA25,Route_Column!#REF!,2,FALSE),CHAR(34)," probability=",CHAR(34),1/EA$4,CHAR(34),CHAR(47),CHAR(62)),"&lt;/routeDistribution&gt;"))</f>
        <v/>
      </c>
    </row>
    <row r="469" spans="1:5" x14ac:dyDescent="0.25">
      <c r="A469">
        <v>12110705</v>
      </c>
      <c r="B469" t="s">
        <v>1229</v>
      </c>
      <c r="E469" t="str">
        <f>IF(OR(E468="&lt;/routeDistribution&gt;",E468=""),"",IFERROR(_xlfn.CONCAT(VLOOKUP(EA26,Route_Column!#REF!,2,FALSE),CHAR(34)," probability=",CHAR(34),1/EA$4,CHAR(34),CHAR(47),CHAR(62)),"&lt;/routeDistribution&gt;"))</f>
        <v/>
      </c>
    </row>
    <row r="470" spans="1:5" x14ac:dyDescent="0.25">
      <c r="A470">
        <v>12110705</v>
      </c>
      <c r="B470" t="s">
        <v>1230</v>
      </c>
      <c r="E470" t="str">
        <f>IF(OR(E469="&lt;/routeDistribution&gt;",E469=""),"",IFERROR(_xlfn.CONCAT(VLOOKUP(EA27,Route_Column!#REF!,2,FALSE),CHAR(34)," probability=",CHAR(34),1/EA$4,CHAR(34),CHAR(47),CHAR(62)),"&lt;/routeDistribution&gt;"))</f>
        <v/>
      </c>
    </row>
    <row r="471" spans="1:5" x14ac:dyDescent="0.25">
      <c r="A471">
        <v>12110705</v>
      </c>
      <c r="B471" t="s">
        <v>1231</v>
      </c>
      <c r="E471" t="str">
        <f>IF(OR(E470="&lt;/routeDistribution&gt;",E470=""),"",IFERROR(_xlfn.CONCAT(VLOOKUP(EA28,Route_Column!#REF!,2,FALSE),CHAR(34)," probability=",CHAR(34),1/EA$4,CHAR(34),CHAR(47),CHAR(62)),"&lt;/routeDistribution&gt;"))</f>
        <v/>
      </c>
    </row>
    <row r="472" spans="1:5" x14ac:dyDescent="0.25">
      <c r="A472">
        <v>12110705</v>
      </c>
      <c r="B472" t="s">
        <v>1232</v>
      </c>
      <c r="E472" t="str">
        <f>IF(OR(E471="&lt;/routeDistribution&gt;",E471=""),"",IFERROR(_xlfn.CONCAT(VLOOKUP(EA29,Route_Column!#REF!,2,FALSE),CHAR(34)," probability=",CHAR(34),1/EA$4,CHAR(34),CHAR(47),CHAR(62)),"&lt;/routeDistribution&gt;"))</f>
        <v/>
      </c>
    </row>
    <row r="473" spans="1:5" x14ac:dyDescent="0.25">
      <c r="A473">
        <v>12110705</v>
      </c>
      <c r="B473" t="s">
        <v>1233</v>
      </c>
      <c r="E473" t="str">
        <f>IF(OR(E472="&lt;/routeDistribution&gt;",E472=""),"",IFERROR(_xlfn.CONCAT(VLOOKUP(EA30,Route_Column!#REF!,2,FALSE),CHAR(34)," probability=",CHAR(34),1/EA$4,CHAR(34),CHAR(47),CHAR(62)),"&lt;/routeDistribution&gt;"))</f>
        <v/>
      </c>
    </row>
    <row r="474" spans="1:5" x14ac:dyDescent="0.25">
      <c r="A474">
        <v>12110705</v>
      </c>
      <c r="B474" t="s">
        <v>1233</v>
      </c>
      <c r="E474" t="str">
        <f>IF(OR(E473="&lt;/routeDistribution&gt;",E473=""),"",IFERROR(_xlfn.CONCAT(VLOOKUP(EA31,Route_Column!#REF!,2,FALSE),CHAR(34)," probability=",CHAR(34),1/EA$4,CHAR(34),CHAR(47),CHAR(62)),"&lt;/routeDistribution&gt;"))</f>
        <v/>
      </c>
    </row>
    <row r="475" spans="1:5" x14ac:dyDescent="0.25">
      <c r="A475">
        <v>12110705</v>
      </c>
      <c r="B475" t="s">
        <v>1234</v>
      </c>
      <c r="E475" t="str">
        <f>IF(OR(E474="&lt;/routeDistribution&gt;",E474=""),"",IFERROR(_xlfn.CONCAT(VLOOKUP(EA32,Route_Column!#REF!,2,FALSE),CHAR(34)," probability=",CHAR(34),1/EA$4,CHAR(34),CHAR(47),CHAR(62)),"&lt;/routeDistribution&gt;"))</f>
        <v/>
      </c>
    </row>
    <row r="476" spans="1:5" x14ac:dyDescent="0.25">
      <c r="A476">
        <v>12110705</v>
      </c>
      <c r="B476" t="s">
        <v>1235</v>
      </c>
      <c r="E476" t="str">
        <f>IF(OR(E475="&lt;/routeDistribution&gt;",E475=""),"",IFERROR(_xlfn.CONCAT(VLOOKUP(EA33,Route_Column!#REF!,2,FALSE),CHAR(34)," probability=",CHAR(34),1/EA$4,CHAR(34),CHAR(47),CHAR(62)),"&lt;/routeDistribution&gt;"))</f>
        <v/>
      </c>
    </row>
    <row r="477" spans="1:5" x14ac:dyDescent="0.25">
      <c r="A477">
        <v>12110705</v>
      </c>
      <c r="B477" t="s">
        <v>1236</v>
      </c>
      <c r="E477" t="str">
        <f>IF(OR(E476="&lt;/routeDistribution&gt;",E476=""),"",IFERROR(_xlfn.CONCAT(VLOOKUP(EA34,Route_Column!#REF!,2,FALSE),CHAR(34)," probability=",CHAR(34),1/EA$4,CHAR(34),CHAR(47),CHAR(62)),"&lt;/routeDistribution&gt;"))</f>
        <v/>
      </c>
    </row>
    <row r="478" spans="1:5" x14ac:dyDescent="0.25">
      <c r="A478">
        <v>12110705</v>
      </c>
      <c r="B478" t="s">
        <v>1237</v>
      </c>
      <c r="E478" t="str">
        <f>IF(OR(E477="&lt;/routeDistribution&gt;",E477=""),"",IFERROR(_xlfn.CONCAT(VLOOKUP(EA35,Route_Column!#REF!,2,FALSE),CHAR(34)," probability=",CHAR(34),1/EA$4,CHAR(34),CHAR(47),CHAR(62)),"&lt;/routeDistribution&gt;"))</f>
        <v/>
      </c>
    </row>
    <row r="479" spans="1:5" x14ac:dyDescent="0.25">
      <c r="A479">
        <v>12110705</v>
      </c>
      <c r="B479" t="s">
        <v>1238</v>
      </c>
      <c r="E479" t="str">
        <f>IF(OR(E478="&lt;/routeDistribution&gt;",E478=""),"",IFERROR(_xlfn.CONCAT(VLOOKUP(EA36,Route_Column!#REF!,2,FALSE),CHAR(34)," probability=",CHAR(34),1/EA$4,CHAR(34),CHAR(47),CHAR(62)),"&lt;/routeDistribution&gt;"))</f>
        <v/>
      </c>
    </row>
    <row r="480" spans="1:5" x14ac:dyDescent="0.25">
      <c r="A480">
        <v>12110705</v>
      </c>
      <c r="B480" t="s">
        <v>1239</v>
      </c>
      <c r="E480" t="str">
        <f>IF(OR(E479="&lt;/routeDistribution&gt;",E479=""),"",IFERROR(_xlfn.CONCAT(VLOOKUP(EA37,Route_Column!#REF!,2,FALSE),CHAR(34)," probability=",CHAR(34),1/EA$4,CHAR(34),CHAR(47),CHAR(62)),"&lt;/routeDistribution&gt;"))</f>
        <v/>
      </c>
    </row>
    <row r="481" spans="1:5" x14ac:dyDescent="0.25">
      <c r="A481">
        <v>12110705</v>
      </c>
      <c r="B481" t="s">
        <v>1240</v>
      </c>
      <c r="E481" t="str">
        <f>IF(OR(E480="&lt;/routeDistribution&gt;",E480=""),"",IFERROR(_xlfn.CONCAT(VLOOKUP(EA38,Route_Column!#REF!,2,FALSE),CHAR(34)," probability=",CHAR(34),1/EA$4,CHAR(34),CHAR(47),CHAR(62)),"&lt;/routeDistribution&gt;"))</f>
        <v/>
      </c>
    </row>
    <row r="482" spans="1:5" x14ac:dyDescent="0.25">
      <c r="A482">
        <v>12110705</v>
      </c>
      <c r="B482" t="s">
        <v>1241</v>
      </c>
      <c r="E482" t="str">
        <f>IF(OR(E481="&lt;/routeDistribution&gt;",E481=""),"",IFERROR(_xlfn.CONCAT(VLOOKUP(EA39,Route_Column!#REF!,2,FALSE),CHAR(34)," probability=",CHAR(34),1/EA$4,CHAR(34),CHAR(47),CHAR(62)),"&lt;/routeDistribution&gt;"))</f>
        <v/>
      </c>
    </row>
    <row r="483" spans="1:5" x14ac:dyDescent="0.25">
      <c r="A483">
        <v>12110705</v>
      </c>
      <c r="B483" t="s">
        <v>1242</v>
      </c>
      <c r="E483" t="str">
        <f>IF(OR(E482="&lt;/routeDistribution&gt;",E482=""),"",IFERROR(_xlfn.CONCAT(VLOOKUP(EA40,Route_Column!#REF!,2,FALSE),CHAR(34)," probability=",CHAR(34),1/EA$4,CHAR(34),CHAR(47),CHAR(62)),"&lt;/routeDistribution&gt;"))</f>
        <v/>
      </c>
    </row>
    <row r="484" spans="1:5" x14ac:dyDescent="0.25">
      <c r="A484">
        <v>12110705</v>
      </c>
      <c r="B484" t="s">
        <v>1243</v>
      </c>
      <c r="E484" t="str">
        <f>IF(OR(E483="&lt;/routeDistribution&gt;",E483=""),"",IFERROR(_xlfn.CONCAT(VLOOKUP(EA41,Route_Column!#REF!,2,FALSE),CHAR(34)," probability=",CHAR(34),1/EA$4,CHAR(34),CHAR(47),CHAR(62)),"&lt;/routeDistribution&gt;"))</f>
        <v/>
      </c>
    </row>
    <row r="485" spans="1:5" x14ac:dyDescent="0.25">
      <c r="A485">
        <v>12110705</v>
      </c>
      <c r="B485" t="s">
        <v>1244</v>
      </c>
      <c r="E485" t="str">
        <f>IF(OR(E484="&lt;/routeDistribution&gt;",E484=""),"",IFERROR(_xlfn.CONCAT(VLOOKUP(EA42,Route_Column!#REF!,2,FALSE),CHAR(34)," probability=",CHAR(34),1/EA$4,CHAR(34),CHAR(47),CHAR(62)),"&lt;/routeDistribution&gt;"))</f>
        <v/>
      </c>
    </row>
    <row r="486" spans="1:5" x14ac:dyDescent="0.25">
      <c r="A486">
        <v>12110705</v>
      </c>
      <c r="B486" t="s">
        <v>1245</v>
      </c>
      <c r="E486" t="str">
        <f>IF(OR(E485="&lt;/routeDistribution&gt;",E485=""),"",IFERROR(_xlfn.CONCAT(VLOOKUP(EA43,Route_Column!#REF!,2,FALSE),CHAR(34)," probability=",CHAR(34),1/EA$4,CHAR(34),CHAR(47),CHAR(62)),"&lt;/routeDistribution&gt;"))</f>
        <v/>
      </c>
    </row>
    <row r="487" spans="1:5" x14ac:dyDescent="0.25">
      <c r="A487">
        <v>12110705</v>
      </c>
      <c r="B487" t="s">
        <v>1246</v>
      </c>
      <c r="E487" t="str">
        <f>IF(OR(E486="&lt;/routeDistribution&gt;",E486=""),"",IFERROR(_xlfn.CONCAT(VLOOKUP(EA44,Route_Column!#REF!,2,FALSE),CHAR(34)," probability=",CHAR(34),1/EA$4,CHAR(34),CHAR(47),CHAR(62)),"&lt;/routeDistribution&gt;"))</f>
        <v/>
      </c>
    </row>
    <row r="488" spans="1:5" x14ac:dyDescent="0.25">
      <c r="A488">
        <v>12110705</v>
      </c>
      <c r="B488" t="s">
        <v>1247</v>
      </c>
      <c r="E488" t="str">
        <f>IF(OR(E487="&lt;/routeDistribution&gt;",E487=""),"",IFERROR(_xlfn.CONCAT(VLOOKUP(EA45,Route_Column!#REF!,2,FALSE),CHAR(34)," probability=",CHAR(34),1/EA$4,CHAR(34),CHAR(47),CHAR(62)),"&lt;/routeDistribution&gt;"))</f>
        <v/>
      </c>
    </row>
    <row r="489" spans="1:5" x14ac:dyDescent="0.25">
      <c r="A489">
        <v>12110705</v>
      </c>
      <c r="B489" t="s">
        <v>1248</v>
      </c>
      <c r="E489" t="str">
        <f>IF(OR(E488="&lt;/routeDistribution&gt;",E488=""),"",IFERROR(_xlfn.CONCAT(VLOOKUP(EA46,Route_Column!#REF!,2,FALSE),CHAR(34)," probability=",CHAR(34),1/EA$4,CHAR(34),CHAR(47),CHAR(62)),"&lt;/routeDistribution&gt;"))</f>
        <v/>
      </c>
    </row>
    <row r="490" spans="1:5" x14ac:dyDescent="0.25">
      <c r="A490">
        <v>12110705</v>
      </c>
      <c r="B490" t="s">
        <v>1249</v>
      </c>
      <c r="E490" t="str">
        <f>IF(OR(E489="&lt;/routeDistribution&gt;",E489=""),"",IFERROR(_xlfn.CONCAT(VLOOKUP(EA47,Route_Column!#REF!,2,FALSE),CHAR(34)," probability=",CHAR(34),1/EA$4,CHAR(34),CHAR(47),CHAR(62)),"&lt;/routeDistribution&gt;"))</f>
        <v/>
      </c>
    </row>
    <row r="491" spans="1:5" x14ac:dyDescent="0.25">
      <c r="A491">
        <v>12110705</v>
      </c>
      <c r="B491" t="s">
        <v>1250</v>
      </c>
      <c r="E491" t="str">
        <f>IF(OR(E490="&lt;/routeDistribution&gt;",E490=""),"",IFERROR(_xlfn.CONCAT(VLOOKUP(EA48,Route_Column!#REF!,2,FALSE),CHAR(34)," probability=",CHAR(34),1/EA$4,CHAR(34),CHAR(47),CHAR(62)),"&lt;/routeDistribution&gt;"))</f>
        <v/>
      </c>
    </row>
    <row r="492" spans="1:5" x14ac:dyDescent="0.25">
      <c r="A492">
        <v>12111747</v>
      </c>
      <c r="B492" t="s">
        <v>1166</v>
      </c>
      <c r="E492" t="str">
        <f>IF(OR(E491="&lt;/routeDistribution&gt;",E491=""),"",IFERROR(_xlfn.CONCAT(VLOOKUP(EA49,Route_Column!#REF!,2,FALSE),CHAR(34)," probability=",CHAR(34),1/EA$4,CHAR(34),CHAR(47),CHAR(62)),"&lt;/routeDistribution&gt;"))</f>
        <v/>
      </c>
    </row>
    <row r="493" spans="1:5" x14ac:dyDescent="0.25">
      <c r="A493">
        <v>12111747</v>
      </c>
      <c r="B493" t="s">
        <v>1167</v>
      </c>
      <c r="E493" t="str">
        <f>IF(OR(E492="&lt;/routeDistribution&gt;",E492=""),"",IFERROR(_xlfn.CONCAT(VLOOKUP(EA50,Route_Column!#REF!,2,FALSE),CHAR(34)," probability=",CHAR(34),1/EA$4,CHAR(34),CHAR(47),CHAR(62)),"&lt;/routeDistribution&gt;"))</f>
        <v/>
      </c>
    </row>
    <row r="494" spans="1:5" x14ac:dyDescent="0.25">
      <c r="A494">
        <v>12111747</v>
      </c>
      <c r="B494" t="s">
        <v>1168</v>
      </c>
      <c r="E494" t="str">
        <f>IF(OR(E493="&lt;/routeDistribution&gt;",E493=""),"",IFERROR(_xlfn.CONCAT(VLOOKUP(EA51,Route_Column!#REF!,2,FALSE),CHAR(34)," probability=",CHAR(34),1/EA$4,CHAR(34),CHAR(47),CHAR(62)),"&lt;/routeDistribution&gt;"))</f>
        <v/>
      </c>
    </row>
    <row r="495" spans="1:5" x14ac:dyDescent="0.25">
      <c r="A495">
        <v>12111747</v>
      </c>
      <c r="B495" t="s">
        <v>1169</v>
      </c>
      <c r="E495" t="str">
        <f>IF(OR(E494="&lt;/routeDistribution&gt;",E494=""),"",IFERROR(_xlfn.CONCAT(VLOOKUP(EA52,Route_Column!#REF!,2,FALSE),CHAR(34)," probability=",CHAR(34),1/EA$4,CHAR(34),CHAR(47),CHAR(62)),"&lt;/routeDistribution&gt;"))</f>
        <v/>
      </c>
    </row>
    <row r="496" spans="1:5" x14ac:dyDescent="0.25">
      <c r="A496">
        <v>12111747</v>
      </c>
      <c r="B496" t="s">
        <v>1170</v>
      </c>
      <c r="E496" t="str">
        <f>IF(OR(E495="&lt;/routeDistribution&gt;",E495=""),"",IFERROR(_xlfn.CONCAT(VLOOKUP(EA53,Route_Column!#REF!,2,FALSE),CHAR(34)," probability=",CHAR(34),1/EA$4,CHAR(34),CHAR(47),CHAR(62)),"&lt;/routeDistribution&gt;"))</f>
        <v/>
      </c>
    </row>
    <row r="497" spans="1:5" x14ac:dyDescent="0.25">
      <c r="A497">
        <v>12111747</v>
      </c>
      <c r="B497" t="s">
        <v>1171</v>
      </c>
      <c r="E497" t="str">
        <f>IF(OR(E496="&lt;/routeDistribution&gt;",E496=""),"",IFERROR(_xlfn.CONCAT(VLOOKUP(EA54,Route_Column!#REF!,2,FALSE),CHAR(34)," probability=",CHAR(34),1/EA$4,CHAR(34),CHAR(47),CHAR(62)),"&lt;/routeDistribution&gt;"))</f>
        <v/>
      </c>
    </row>
    <row r="498" spans="1:5" x14ac:dyDescent="0.25">
      <c r="A498">
        <v>12111747</v>
      </c>
      <c r="B498" t="s">
        <v>1172</v>
      </c>
      <c r="E498" t="str">
        <f>IF(OR(E497="&lt;/routeDistribution&gt;",E497=""),"",IFERROR(_xlfn.CONCAT(VLOOKUP(EA55,Route_Column!#REF!,2,FALSE),CHAR(34)," probability=",CHAR(34),1/EA$4,CHAR(34),CHAR(47),CHAR(62)),"&lt;/routeDistribution&gt;"))</f>
        <v/>
      </c>
    </row>
    <row r="499" spans="1:5" x14ac:dyDescent="0.25">
      <c r="A499">
        <v>12111747</v>
      </c>
      <c r="B499" t="s">
        <v>1173</v>
      </c>
      <c r="E499" t="str">
        <f>IF(OR(E498="&lt;/routeDistribution&gt;",E498=""),"",IFERROR(_xlfn.CONCAT(VLOOKUP(EA56,Route_Column!#REF!,2,FALSE),CHAR(34)," probability=",CHAR(34),1/EA$4,CHAR(34),CHAR(47),CHAR(62)),"&lt;/routeDistribution&gt;"))</f>
        <v/>
      </c>
    </row>
    <row r="500" spans="1:5" x14ac:dyDescent="0.25">
      <c r="A500">
        <v>12111747</v>
      </c>
      <c r="B500" t="s">
        <v>1174</v>
      </c>
      <c r="E500" t="str">
        <f>IF(OR(E499="&lt;/routeDistribution&gt;",E499=""),"",IFERROR(_xlfn.CONCAT(VLOOKUP(EA57,Route_Column!#REF!,2,FALSE),CHAR(34)," probability=",CHAR(34),1/EA$4,CHAR(34),CHAR(47),CHAR(62)),"&lt;/routeDistribution&gt;"))</f>
        <v/>
      </c>
    </row>
    <row r="501" spans="1:5" x14ac:dyDescent="0.25">
      <c r="A501">
        <v>12111747</v>
      </c>
      <c r="B501" t="s">
        <v>1175</v>
      </c>
      <c r="E501" t="str">
        <f>IF(OR(E500="&lt;/routeDistribution&gt;",E500=""),"",IFERROR(_xlfn.CONCAT(VLOOKUP(EA58,Route_Column!#REF!,2,FALSE),CHAR(34)," probability=",CHAR(34),1/EA$4,CHAR(34),CHAR(47),CHAR(62)),"&lt;/routeDistribution&gt;"))</f>
        <v/>
      </c>
    </row>
    <row r="502" spans="1:5" x14ac:dyDescent="0.25">
      <c r="A502">
        <v>12111747</v>
      </c>
      <c r="B502" t="s">
        <v>1176</v>
      </c>
      <c r="E502" t="str">
        <f>IF(OR(E501="&lt;/routeDistribution&gt;",E501=""),"",IFERROR(_xlfn.CONCAT(VLOOKUP(EA59,Route_Column!#REF!,2,FALSE),CHAR(34)," probability=",CHAR(34),1/EA$4,CHAR(34),CHAR(47),CHAR(62)),"&lt;/routeDistribution&gt;"))</f>
        <v/>
      </c>
    </row>
    <row r="503" spans="1:5" x14ac:dyDescent="0.25">
      <c r="A503">
        <v>12111747</v>
      </c>
      <c r="B503" t="s">
        <v>1177</v>
      </c>
      <c r="E503" t="str">
        <f>IF(OR(E502="&lt;/routeDistribution&gt;",E502=""),"",IFERROR(_xlfn.CONCAT(VLOOKUP(EA60,Route_Column!#REF!,2,FALSE),CHAR(34)," probability=",CHAR(34),1/EA$4,CHAR(34),CHAR(47),CHAR(62)),"&lt;/routeDistribution&gt;"))</f>
        <v/>
      </c>
    </row>
    <row r="504" spans="1:5" x14ac:dyDescent="0.25">
      <c r="A504">
        <v>12111747</v>
      </c>
      <c r="B504" t="s">
        <v>1178</v>
      </c>
      <c r="E504" t="str">
        <f>IF(OR(E503="&lt;/routeDistribution&gt;",E503=""),"",IFERROR(_xlfn.CONCAT(VLOOKUP(EA61,Route_Column!#REF!,2,FALSE),CHAR(34)," probability=",CHAR(34),1/EA$4,CHAR(34),CHAR(47),CHAR(62)),"&lt;/routeDistribution&gt;"))</f>
        <v/>
      </c>
    </row>
    <row r="505" spans="1:5" x14ac:dyDescent="0.25">
      <c r="A505">
        <v>12111747</v>
      </c>
      <c r="B505" t="s">
        <v>1179</v>
      </c>
      <c r="E505" t="str">
        <f>IF(OR(E504="&lt;/routeDistribution&gt;",E504=""),"",IFERROR(_xlfn.CONCAT(VLOOKUP(EA62,Route_Column!#REF!,2,FALSE),CHAR(34)," probability=",CHAR(34),1/EA$4,CHAR(34),CHAR(47),CHAR(62)),"&lt;/routeDistribution&gt;"))</f>
        <v/>
      </c>
    </row>
    <row r="506" spans="1:5" x14ac:dyDescent="0.25">
      <c r="A506">
        <v>12111747</v>
      </c>
      <c r="B506" t="s">
        <v>1180</v>
      </c>
      <c r="E506" t="str">
        <f>IF(OR(E505="&lt;/routeDistribution&gt;",E505=""),"",IFERROR(_xlfn.CONCAT(VLOOKUP(EA63,Route_Column!#REF!,2,FALSE),CHAR(34)," probability=",CHAR(34),1/EA$4,CHAR(34),CHAR(47),CHAR(62)),"&lt;/routeDistribution&gt;"))</f>
        <v/>
      </c>
    </row>
    <row r="507" spans="1:5" x14ac:dyDescent="0.25">
      <c r="A507">
        <v>12111747</v>
      </c>
      <c r="B507" t="s">
        <v>1181</v>
      </c>
      <c r="E507" t="s">
        <v>2686</v>
      </c>
    </row>
    <row r="508" spans="1:5" x14ac:dyDescent="0.25">
      <c r="A508">
        <v>12111747</v>
      </c>
      <c r="B508" t="s">
        <v>1182</v>
      </c>
    </row>
    <row r="509" spans="1:5" x14ac:dyDescent="0.25">
      <c r="A509">
        <v>12111747</v>
      </c>
      <c r="B509" t="s">
        <v>1183</v>
      </c>
    </row>
    <row r="510" spans="1:5" x14ac:dyDescent="0.25">
      <c r="A510">
        <v>12111747</v>
      </c>
      <c r="B510" t="s">
        <v>1184</v>
      </c>
      <c r="E510" t="str">
        <f>_xlfn.CONCAT($E$1,DZ$2,$F$1)</f>
        <v>&lt;routeDistribution id="676-on_ramp-10th-WB-Source-RouteProbe"&gt;</v>
      </c>
    </row>
    <row r="511" spans="1:5" x14ac:dyDescent="0.25">
      <c r="A511">
        <v>12111747</v>
      </c>
      <c r="B511" t="s">
        <v>1185</v>
      </c>
      <c r="E511" t="str">
        <f>IF(OR(E510="&lt;/routeDistribution&gt;",E510=""),"",IFERROR(_xlfn.CONCAT(VLOOKUP(DZ5,Route_Column!#REF!,2,FALSE),CHAR(34)," probability=",CHAR(34),1/DZ$4,CHAR(34),CHAR(47),CHAR(62)),"&lt;/routeDistribution&gt;"))</f>
        <v>&lt;/routeDistribution&gt;</v>
      </c>
    </row>
    <row r="512" spans="1:5" x14ac:dyDescent="0.25">
      <c r="A512">
        <v>12111747</v>
      </c>
      <c r="B512" t="s">
        <v>1186</v>
      </c>
      <c r="E512" t="str">
        <f>IF(OR(E511="&lt;/routeDistribution&gt;",E511=""),"",IFERROR(_xlfn.CONCAT(VLOOKUP(DZ6,Route_Column!#REF!,2,FALSE),CHAR(34)," probability=",CHAR(34),1/DZ$4,CHAR(34),CHAR(47),CHAR(62)),"&lt;/routeDistribution&gt;"))</f>
        <v/>
      </c>
    </row>
    <row r="513" spans="1:5" x14ac:dyDescent="0.25">
      <c r="A513">
        <v>12111747</v>
      </c>
      <c r="B513" t="s">
        <v>1187</v>
      </c>
      <c r="E513" t="str">
        <f>IF(OR(E512="&lt;/routeDistribution&gt;",E512=""),"",IFERROR(_xlfn.CONCAT(VLOOKUP(DZ7,Route_Column!#REF!,2,FALSE),CHAR(34)," probability=",CHAR(34),1/DZ$4,CHAR(34),CHAR(47),CHAR(62)),"&lt;/routeDistribution&gt;"))</f>
        <v/>
      </c>
    </row>
    <row r="514" spans="1:5" x14ac:dyDescent="0.25">
      <c r="A514">
        <v>12111747</v>
      </c>
      <c r="B514" t="s">
        <v>1188</v>
      </c>
      <c r="E514" t="str">
        <f>IF(OR(E513="&lt;/routeDistribution&gt;",E513=""),"",IFERROR(_xlfn.CONCAT(VLOOKUP(DZ8,Route_Column!#REF!,2,FALSE),CHAR(34)," probability=",CHAR(34),1/DZ$4,CHAR(34),CHAR(47),CHAR(62)),"&lt;/routeDistribution&gt;"))</f>
        <v/>
      </c>
    </row>
    <row r="515" spans="1:5" x14ac:dyDescent="0.25">
      <c r="A515">
        <v>12111747</v>
      </c>
      <c r="B515" t="s">
        <v>1189</v>
      </c>
      <c r="E515" t="str">
        <f>IF(OR(E514="&lt;/routeDistribution&gt;",E514=""),"",IFERROR(_xlfn.CONCAT(VLOOKUP(DZ9,Route_Column!#REF!,2,FALSE),CHAR(34)," probability=",CHAR(34),1/DZ$4,CHAR(34),CHAR(47),CHAR(62)),"&lt;/routeDistribution&gt;"))</f>
        <v/>
      </c>
    </row>
    <row r="516" spans="1:5" x14ac:dyDescent="0.25">
      <c r="A516">
        <v>12111747</v>
      </c>
      <c r="B516" t="s">
        <v>1190</v>
      </c>
      <c r="E516" t="str">
        <f>IF(OR(E515="&lt;/routeDistribution&gt;",E515=""),"",IFERROR(_xlfn.CONCAT(VLOOKUP(DZ10,Route_Column!#REF!,2,FALSE),CHAR(34)," probability=",CHAR(34),1/DZ$4,CHAR(34),CHAR(47),CHAR(62)),"&lt;/routeDistribution&gt;"))</f>
        <v/>
      </c>
    </row>
    <row r="517" spans="1:5" x14ac:dyDescent="0.25">
      <c r="A517">
        <v>12111747</v>
      </c>
      <c r="B517" t="s">
        <v>1191</v>
      </c>
      <c r="E517" t="str">
        <f>IF(OR(E516="&lt;/routeDistribution&gt;",E516=""),"",IFERROR(_xlfn.CONCAT(VLOOKUP(DZ11,Route_Column!#REF!,2,FALSE),CHAR(34)," probability=",CHAR(34),1/DZ$4,CHAR(34),CHAR(47),CHAR(62)),"&lt;/routeDistribution&gt;"))</f>
        <v/>
      </c>
    </row>
    <row r="518" spans="1:5" x14ac:dyDescent="0.25">
      <c r="A518">
        <v>12111747</v>
      </c>
      <c r="B518" t="s">
        <v>1192</v>
      </c>
      <c r="E518" t="str">
        <f>IF(OR(E517="&lt;/routeDistribution&gt;",E517=""),"",IFERROR(_xlfn.CONCAT(VLOOKUP(DZ12,Route_Column!#REF!,2,FALSE),CHAR(34)," probability=",CHAR(34),1/DZ$4,CHAR(34),CHAR(47),CHAR(62)),"&lt;/routeDistribution&gt;"))</f>
        <v/>
      </c>
    </row>
    <row r="519" spans="1:5" x14ac:dyDescent="0.25">
      <c r="A519">
        <v>12111747</v>
      </c>
      <c r="B519" t="s">
        <v>1193</v>
      </c>
      <c r="E519" t="str">
        <f>IF(OR(E518="&lt;/routeDistribution&gt;",E518=""),"",IFERROR(_xlfn.CONCAT(VLOOKUP(DZ13,Route_Column!#REF!,2,FALSE),CHAR(34)," probability=",CHAR(34),1/DZ$4,CHAR(34),CHAR(47),CHAR(62)),"&lt;/routeDistribution&gt;"))</f>
        <v/>
      </c>
    </row>
    <row r="520" spans="1:5" x14ac:dyDescent="0.25">
      <c r="A520">
        <v>12111747</v>
      </c>
      <c r="B520" t="s">
        <v>1194</v>
      </c>
      <c r="E520" t="str">
        <f>IF(OR(E519="&lt;/routeDistribution&gt;",E519=""),"",IFERROR(_xlfn.CONCAT(VLOOKUP(DZ14,Route_Column!#REF!,2,FALSE),CHAR(34)," probability=",CHAR(34),1/DZ$4,CHAR(34),CHAR(47),CHAR(62)),"&lt;/routeDistribution&gt;"))</f>
        <v/>
      </c>
    </row>
    <row r="521" spans="1:5" x14ac:dyDescent="0.25">
      <c r="A521">
        <v>12111747</v>
      </c>
      <c r="B521" t="s">
        <v>1195</v>
      </c>
      <c r="E521" t="str">
        <f>IF(OR(E520="&lt;/routeDistribution&gt;",E520=""),"",IFERROR(_xlfn.CONCAT(VLOOKUP(DZ15,Route_Column!#REF!,2,FALSE),CHAR(34)," probability=",CHAR(34),1/DZ$4,CHAR(34),CHAR(47),CHAR(62)),"&lt;/routeDistribution&gt;"))</f>
        <v/>
      </c>
    </row>
    <row r="522" spans="1:5" x14ac:dyDescent="0.25">
      <c r="A522">
        <v>12111747</v>
      </c>
      <c r="B522" t="s">
        <v>1196</v>
      </c>
      <c r="E522" t="str">
        <f>IF(OR(E521="&lt;/routeDistribution&gt;",E521=""),"",IFERROR(_xlfn.CONCAT(VLOOKUP(DZ16,Route_Column!#REF!,2,FALSE),CHAR(34)," probability=",CHAR(34),1/DZ$4,CHAR(34),CHAR(47),CHAR(62)),"&lt;/routeDistribution&gt;"))</f>
        <v/>
      </c>
    </row>
    <row r="523" spans="1:5" x14ac:dyDescent="0.25">
      <c r="A523">
        <v>12111747</v>
      </c>
      <c r="B523" t="s">
        <v>1197</v>
      </c>
      <c r="E523" t="str">
        <f>IF(OR(E522="&lt;/routeDistribution&gt;",E522=""),"",IFERROR(_xlfn.CONCAT(VLOOKUP(DZ17,Route_Column!#REF!,2,FALSE),CHAR(34)," probability=",CHAR(34),1/DZ$4,CHAR(34),CHAR(47),CHAR(62)),"&lt;/routeDistribution&gt;"))</f>
        <v/>
      </c>
    </row>
    <row r="524" spans="1:5" x14ac:dyDescent="0.25">
      <c r="A524">
        <v>12111747</v>
      </c>
      <c r="B524" t="s">
        <v>1198</v>
      </c>
      <c r="E524" t="str">
        <f>IF(OR(E523="&lt;/routeDistribution&gt;",E523=""),"",IFERROR(_xlfn.CONCAT(VLOOKUP(DZ18,Route_Column!#REF!,2,FALSE),CHAR(34)," probability=",CHAR(34),1/DZ$4,CHAR(34),CHAR(47),CHAR(62)),"&lt;/routeDistribution&gt;"))</f>
        <v/>
      </c>
    </row>
    <row r="525" spans="1:5" x14ac:dyDescent="0.25">
      <c r="A525">
        <v>12112003</v>
      </c>
      <c r="B525" t="s">
        <v>1199</v>
      </c>
      <c r="E525" t="str">
        <f>IF(OR(E524="&lt;/routeDistribution&gt;",E524=""),"",IFERROR(_xlfn.CONCAT(VLOOKUP(DZ19,Route_Column!#REF!,2,FALSE),CHAR(34)," probability=",CHAR(34),1/DZ$4,CHAR(34),CHAR(47),CHAR(62)),"&lt;/routeDistribution&gt;"))</f>
        <v/>
      </c>
    </row>
    <row r="526" spans="1:5" x14ac:dyDescent="0.25">
      <c r="A526">
        <v>12112003</v>
      </c>
      <c r="B526" t="s">
        <v>1200</v>
      </c>
      <c r="E526" t="str">
        <f>IF(OR(E525="&lt;/routeDistribution&gt;",E525=""),"",IFERROR(_xlfn.CONCAT(VLOOKUP(DZ20,Route_Column!#REF!,2,FALSE),CHAR(34)," probability=",CHAR(34),1/DZ$4,CHAR(34),CHAR(47),CHAR(62)),"&lt;/routeDistribution&gt;"))</f>
        <v/>
      </c>
    </row>
    <row r="527" spans="1:5" x14ac:dyDescent="0.25">
      <c r="A527">
        <v>12112003</v>
      </c>
      <c r="B527" t="s">
        <v>1201</v>
      </c>
      <c r="E527" t="str">
        <f>IF(OR(E526="&lt;/routeDistribution&gt;",E526=""),"",IFERROR(_xlfn.CONCAT(VLOOKUP(DZ21,Route_Column!#REF!,2,FALSE),CHAR(34)," probability=",CHAR(34),1/DZ$4,CHAR(34),CHAR(47),CHAR(62)),"&lt;/routeDistribution&gt;"))</f>
        <v/>
      </c>
    </row>
    <row r="528" spans="1:5" x14ac:dyDescent="0.25">
      <c r="A528">
        <v>12112003</v>
      </c>
      <c r="B528" t="s">
        <v>1202</v>
      </c>
      <c r="E528" t="str">
        <f>IF(OR(E527="&lt;/routeDistribution&gt;",E527=""),"",IFERROR(_xlfn.CONCAT(VLOOKUP(DZ22,Route_Column!#REF!,2,FALSE),CHAR(34)," probability=",CHAR(34),1/DZ$4,CHAR(34),CHAR(47),CHAR(62)),"&lt;/routeDistribution&gt;"))</f>
        <v/>
      </c>
    </row>
    <row r="529" spans="1:5" x14ac:dyDescent="0.25">
      <c r="A529">
        <v>12112003</v>
      </c>
      <c r="B529" t="s">
        <v>1203</v>
      </c>
      <c r="E529" t="str">
        <f>IF(OR(E528="&lt;/routeDistribution&gt;",E528=""),"",IFERROR(_xlfn.CONCAT(VLOOKUP(DZ23,Route_Column!#REF!,2,FALSE),CHAR(34)," probability=",CHAR(34),1/DZ$4,CHAR(34),CHAR(47),CHAR(62)),"&lt;/routeDistribution&gt;"))</f>
        <v/>
      </c>
    </row>
    <row r="530" spans="1:5" x14ac:dyDescent="0.25">
      <c r="A530">
        <v>12112003</v>
      </c>
      <c r="B530" t="s">
        <v>1204</v>
      </c>
      <c r="E530" t="str">
        <f>IF(OR(E529="&lt;/routeDistribution&gt;",E529=""),"",IFERROR(_xlfn.CONCAT(VLOOKUP(DZ24,Route_Column!#REF!,2,FALSE),CHAR(34)," probability=",CHAR(34),1/DZ$4,CHAR(34),CHAR(47),CHAR(62)),"&lt;/routeDistribution&gt;"))</f>
        <v/>
      </c>
    </row>
    <row r="531" spans="1:5" x14ac:dyDescent="0.25">
      <c r="A531">
        <v>12112003</v>
      </c>
      <c r="B531" t="s">
        <v>1205</v>
      </c>
      <c r="E531" t="str">
        <f>IF(OR(E530="&lt;/routeDistribution&gt;",E530=""),"",IFERROR(_xlfn.CONCAT(VLOOKUP(DZ25,Route_Column!#REF!,2,FALSE),CHAR(34)," probability=",CHAR(34),1/DZ$4,CHAR(34),CHAR(47),CHAR(62)),"&lt;/routeDistribution&gt;"))</f>
        <v/>
      </c>
    </row>
    <row r="532" spans="1:5" x14ac:dyDescent="0.25">
      <c r="A532">
        <v>12112003</v>
      </c>
      <c r="B532" t="s">
        <v>1206</v>
      </c>
      <c r="E532" t="str">
        <f>IF(OR(E531="&lt;/routeDistribution&gt;",E531=""),"",IFERROR(_xlfn.CONCAT(VLOOKUP(DZ26,Route_Column!#REF!,2,FALSE),CHAR(34)," probability=",CHAR(34),1/DZ$4,CHAR(34),CHAR(47),CHAR(62)),"&lt;/routeDistribution&gt;"))</f>
        <v/>
      </c>
    </row>
    <row r="533" spans="1:5" x14ac:dyDescent="0.25">
      <c r="A533">
        <v>12112003</v>
      </c>
      <c r="B533" t="s">
        <v>1207</v>
      </c>
      <c r="E533" t="str">
        <f>IF(OR(E532="&lt;/routeDistribution&gt;",E532=""),"",IFERROR(_xlfn.CONCAT(VLOOKUP(DZ27,Route_Column!#REF!,2,FALSE),CHAR(34)," probability=",CHAR(34),1/DZ$4,CHAR(34),CHAR(47),CHAR(62)),"&lt;/routeDistribution&gt;"))</f>
        <v/>
      </c>
    </row>
    <row r="534" spans="1:5" x14ac:dyDescent="0.25">
      <c r="A534">
        <v>12112003</v>
      </c>
      <c r="B534" t="s">
        <v>1208</v>
      </c>
      <c r="E534" t="str">
        <f>IF(OR(E533="&lt;/routeDistribution&gt;",E533=""),"",IFERROR(_xlfn.CONCAT(VLOOKUP(DZ28,Route_Column!#REF!,2,FALSE),CHAR(34)," probability=",CHAR(34),1/DZ$4,CHAR(34),CHAR(47),CHAR(62)),"&lt;/routeDistribution&gt;"))</f>
        <v/>
      </c>
    </row>
    <row r="535" spans="1:5" x14ac:dyDescent="0.25">
      <c r="A535">
        <v>12113092</v>
      </c>
      <c r="B535" t="s">
        <v>1139</v>
      </c>
      <c r="E535" t="str">
        <f>IF(OR(E534="&lt;/routeDistribution&gt;",E534=""),"",IFERROR(_xlfn.CONCAT(VLOOKUP(DZ29,Route_Column!#REF!,2,FALSE),CHAR(34)," probability=",CHAR(34),1/DZ$4,CHAR(34),CHAR(47),CHAR(62)),"&lt;/routeDistribution&gt;"))</f>
        <v/>
      </c>
    </row>
    <row r="536" spans="1:5" x14ac:dyDescent="0.25">
      <c r="A536">
        <v>12113092</v>
      </c>
      <c r="B536" t="s">
        <v>1140</v>
      </c>
      <c r="E536" t="str">
        <f>IF(OR(E535="&lt;/routeDistribution&gt;",E535=""),"",IFERROR(_xlfn.CONCAT(VLOOKUP(DZ30,Route_Column!#REF!,2,FALSE),CHAR(34)," probability=",CHAR(34),1/DZ$4,CHAR(34),CHAR(47),CHAR(62)),"&lt;/routeDistribution&gt;"))</f>
        <v/>
      </c>
    </row>
    <row r="537" spans="1:5" x14ac:dyDescent="0.25">
      <c r="A537">
        <v>12113092</v>
      </c>
      <c r="B537" t="s">
        <v>1141</v>
      </c>
      <c r="E537" t="str">
        <f>IF(OR(E536="&lt;/routeDistribution&gt;",E536=""),"",IFERROR(_xlfn.CONCAT(VLOOKUP(DZ31,Route_Column!#REF!,2,FALSE),CHAR(34)," probability=",CHAR(34),1/DZ$4,CHAR(34),CHAR(47),CHAR(62)),"&lt;/routeDistribution&gt;"))</f>
        <v/>
      </c>
    </row>
    <row r="538" spans="1:5" x14ac:dyDescent="0.25">
      <c r="A538">
        <v>12113092</v>
      </c>
      <c r="B538" t="s">
        <v>1149</v>
      </c>
      <c r="E538" t="str">
        <f>IF(OR(E537="&lt;/routeDistribution&gt;",E537=""),"",IFERROR(_xlfn.CONCAT(VLOOKUP(DZ32,Route_Column!#REF!,2,FALSE),CHAR(34)," probability=",CHAR(34),1/DZ$4,CHAR(34),CHAR(47),CHAR(62)),"&lt;/routeDistribution&gt;"))</f>
        <v/>
      </c>
    </row>
    <row r="539" spans="1:5" x14ac:dyDescent="0.25">
      <c r="A539">
        <v>12113092</v>
      </c>
      <c r="B539" t="s">
        <v>1150</v>
      </c>
      <c r="E539" t="str">
        <f>IF(OR(E538="&lt;/routeDistribution&gt;",E538=""),"",IFERROR(_xlfn.CONCAT(VLOOKUP(DZ33,Route_Column!#REF!,2,FALSE),CHAR(34)," probability=",CHAR(34),1/DZ$4,CHAR(34),CHAR(47),CHAR(62)),"&lt;/routeDistribution&gt;"))</f>
        <v/>
      </c>
    </row>
    <row r="540" spans="1:5" x14ac:dyDescent="0.25">
      <c r="A540">
        <v>12113092</v>
      </c>
      <c r="B540" t="s">
        <v>1155</v>
      </c>
      <c r="E540" t="str">
        <f>IF(OR(E539="&lt;/routeDistribution&gt;",E539=""),"",IFERROR(_xlfn.CONCAT(VLOOKUP(DZ34,Route_Column!#REF!,2,FALSE),CHAR(34)," probability=",CHAR(34),1/DZ$4,CHAR(34),CHAR(47),CHAR(62)),"&lt;/routeDistribution&gt;"))</f>
        <v/>
      </c>
    </row>
    <row r="541" spans="1:5" x14ac:dyDescent="0.25">
      <c r="A541">
        <v>12113092</v>
      </c>
      <c r="B541" t="s">
        <v>1157</v>
      </c>
      <c r="E541" t="str">
        <f>IF(OR(E540="&lt;/routeDistribution&gt;",E540=""),"",IFERROR(_xlfn.CONCAT(VLOOKUP(DZ35,Route_Column!#REF!,2,FALSE),CHAR(34)," probability=",CHAR(34),1/DZ$4,CHAR(34),CHAR(47),CHAR(62)),"&lt;/routeDistribution&gt;"))</f>
        <v/>
      </c>
    </row>
    <row r="542" spans="1:5" x14ac:dyDescent="0.25">
      <c r="A542">
        <v>12113092</v>
      </c>
      <c r="B542" t="s">
        <v>1158</v>
      </c>
      <c r="E542" t="str">
        <f>IF(OR(E541="&lt;/routeDistribution&gt;",E541=""),"",IFERROR(_xlfn.CONCAT(VLOOKUP(DZ36,Route_Column!#REF!,2,FALSE),CHAR(34)," probability=",CHAR(34),1/DZ$4,CHAR(34),CHAR(47),CHAR(62)),"&lt;/routeDistribution&gt;"))</f>
        <v/>
      </c>
    </row>
    <row r="543" spans="1:5" x14ac:dyDescent="0.25">
      <c r="A543">
        <v>12113092</v>
      </c>
      <c r="B543" t="s">
        <v>1175</v>
      </c>
      <c r="E543" t="str">
        <f>IF(OR(E542="&lt;/routeDistribution&gt;",E542=""),"",IFERROR(_xlfn.CONCAT(VLOOKUP(DZ37,Route_Column!#REF!,2,FALSE),CHAR(34)," probability=",CHAR(34),1/DZ$4,CHAR(34),CHAR(47),CHAR(62)),"&lt;/routeDistribution&gt;"))</f>
        <v/>
      </c>
    </row>
    <row r="544" spans="1:5" x14ac:dyDescent="0.25">
      <c r="A544">
        <v>12113092</v>
      </c>
      <c r="B544" t="s">
        <v>1176</v>
      </c>
      <c r="E544" t="str">
        <f>IF(OR(E543="&lt;/routeDistribution&gt;",E543=""),"",IFERROR(_xlfn.CONCAT(VLOOKUP(DZ38,Route_Column!#REF!,2,FALSE),CHAR(34)," probability=",CHAR(34),1/DZ$4,CHAR(34),CHAR(47),CHAR(62)),"&lt;/routeDistribution&gt;"))</f>
        <v/>
      </c>
    </row>
    <row r="545" spans="1:5" x14ac:dyDescent="0.25">
      <c r="A545">
        <v>12113092</v>
      </c>
      <c r="B545" t="s">
        <v>1214</v>
      </c>
      <c r="E545" t="str">
        <f>IF(OR(E544="&lt;/routeDistribution&gt;",E544=""),"",IFERROR(_xlfn.CONCAT(VLOOKUP(DZ39,Route_Column!#REF!,2,FALSE),CHAR(34)," probability=",CHAR(34),1/DZ$4,CHAR(34),CHAR(47),CHAR(62)),"&lt;/routeDistribution&gt;"))</f>
        <v/>
      </c>
    </row>
    <row r="546" spans="1:5" x14ac:dyDescent="0.25">
      <c r="A546">
        <v>12113092</v>
      </c>
      <c r="B546" t="s">
        <v>1219</v>
      </c>
      <c r="E546" t="str">
        <f>IF(OR(E545="&lt;/routeDistribution&gt;",E545=""),"",IFERROR(_xlfn.CONCAT(VLOOKUP(DZ40,Route_Column!#REF!,2,FALSE),CHAR(34)," probability=",CHAR(34),1/DZ$4,CHAR(34),CHAR(47),CHAR(62)),"&lt;/routeDistribution&gt;"))</f>
        <v/>
      </c>
    </row>
    <row r="547" spans="1:5" x14ac:dyDescent="0.25">
      <c r="A547">
        <v>12113092</v>
      </c>
      <c r="B547" t="s">
        <v>1221</v>
      </c>
      <c r="E547" t="str">
        <f>IF(OR(E546="&lt;/routeDistribution&gt;",E546=""),"",IFERROR(_xlfn.CONCAT(VLOOKUP(DZ41,Route_Column!#REF!,2,FALSE),CHAR(34)," probability=",CHAR(34),1/DZ$4,CHAR(34),CHAR(47),CHAR(62)),"&lt;/routeDistribution&gt;"))</f>
        <v/>
      </c>
    </row>
    <row r="548" spans="1:5" x14ac:dyDescent="0.25">
      <c r="A548">
        <v>12113092</v>
      </c>
      <c r="B548" t="s">
        <v>1222</v>
      </c>
      <c r="E548" t="str">
        <f>IF(OR(E547="&lt;/routeDistribution&gt;",E547=""),"",IFERROR(_xlfn.CONCAT(VLOOKUP(DZ42,Route_Column!#REF!,2,FALSE),CHAR(34)," probability=",CHAR(34),1/DZ$4,CHAR(34),CHAR(47),CHAR(62)),"&lt;/routeDistribution&gt;"))</f>
        <v/>
      </c>
    </row>
    <row r="549" spans="1:5" x14ac:dyDescent="0.25">
      <c r="A549">
        <v>12113092</v>
      </c>
      <c r="B549" t="s">
        <v>1226</v>
      </c>
      <c r="E549" t="str">
        <f>IF(OR(E548="&lt;/routeDistribution&gt;",E548=""),"",IFERROR(_xlfn.CONCAT(VLOOKUP(DZ43,Route_Column!#REF!,2,FALSE),CHAR(34)," probability=",CHAR(34),1/DZ$4,CHAR(34),CHAR(47),CHAR(62)),"&lt;/routeDistribution&gt;"))</f>
        <v/>
      </c>
    </row>
    <row r="550" spans="1:5" x14ac:dyDescent="0.25">
      <c r="A550">
        <v>12113092</v>
      </c>
      <c r="B550" t="s">
        <v>1227</v>
      </c>
      <c r="E550" t="str">
        <f>IF(OR(E549="&lt;/routeDistribution&gt;",E549=""),"",IFERROR(_xlfn.CONCAT(VLOOKUP(DZ44,Route_Column!#REF!,2,FALSE),CHAR(34)," probability=",CHAR(34),1/DZ$4,CHAR(34),CHAR(47),CHAR(62)),"&lt;/routeDistribution&gt;"))</f>
        <v/>
      </c>
    </row>
    <row r="551" spans="1:5" x14ac:dyDescent="0.25">
      <c r="A551">
        <v>12113092</v>
      </c>
      <c r="B551" t="s">
        <v>1231</v>
      </c>
      <c r="E551" t="str">
        <f>IF(OR(E550="&lt;/routeDistribution&gt;",E550=""),"",IFERROR(_xlfn.CONCAT(VLOOKUP(DZ45,Route_Column!#REF!,2,FALSE),CHAR(34)," probability=",CHAR(34),1/DZ$4,CHAR(34),CHAR(47),CHAR(62)),"&lt;/routeDistribution&gt;"))</f>
        <v/>
      </c>
    </row>
    <row r="552" spans="1:5" x14ac:dyDescent="0.25">
      <c r="A552">
        <v>12113092</v>
      </c>
      <c r="B552" t="s">
        <v>1233</v>
      </c>
      <c r="E552" t="str">
        <f>IF(OR(E551="&lt;/routeDistribution&gt;",E551=""),"",IFERROR(_xlfn.CONCAT(VLOOKUP(DZ46,Route_Column!#REF!,2,FALSE),CHAR(34)," probability=",CHAR(34),1/DZ$4,CHAR(34),CHAR(47),CHAR(62)),"&lt;/routeDistribution&gt;"))</f>
        <v/>
      </c>
    </row>
    <row r="553" spans="1:5" x14ac:dyDescent="0.25">
      <c r="A553">
        <v>12113092</v>
      </c>
      <c r="B553" t="s">
        <v>1254</v>
      </c>
      <c r="E553" t="str">
        <f>IF(OR(E552="&lt;/routeDistribution&gt;",E552=""),"",IFERROR(_xlfn.CONCAT(VLOOKUP(DZ47,Route_Column!#REF!,2,FALSE),CHAR(34)," probability=",CHAR(34),1/DZ$4,CHAR(34),CHAR(47),CHAR(62)),"&lt;/routeDistribution&gt;"))</f>
        <v/>
      </c>
    </row>
    <row r="554" spans="1:5" x14ac:dyDescent="0.25">
      <c r="A554">
        <v>12113092</v>
      </c>
      <c r="B554" t="s">
        <v>1255</v>
      </c>
      <c r="E554" t="str">
        <f>IF(OR(E553="&lt;/routeDistribution&gt;",E553=""),"",IFERROR(_xlfn.CONCAT(VLOOKUP(DZ48,Route_Column!#REF!,2,FALSE),CHAR(34)," probability=",CHAR(34),1/DZ$4,CHAR(34),CHAR(47),CHAR(62)),"&lt;/routeDistribution&gt;"))</f>
        <v/>
      </c>
    </row>
    <row r="555" spans="1:5" x14ac:dyDescent="0.25">
      <c r="A555">
        <v>12113482</v>
      </c>
      <c r="B555" t="s">
        <v>1213</v>
      </c>
      <c r="E555" t="str">
        <f>IF(OR(E554="&lt;/routeDistribution&gt;",E554=""),"",IFERROR(_xlfn.CONCAT(VLOOKUP(DZ49,Route_Column!#REF!,2,FALSE),CHAR(34)," probability=",CHAR(34),1/DZ$4,CHAR(34),CHAR(47),CHAR(62)),"&lt;/routeDistribution&gt;"))</f>
        <v/>
      </c>
    </row>
    <row r="556" spans="1:5" x14ac:dyDescent="0.25">
      <c r="A556">
        <v>12113482</v>
      </c>
      <c r="B556" t="s">
        <v>1214</v>
      </c>
      <c r="E556" t="str">
        <f>IF(OR(E555="&lt;/routeDistribution&gt;",E555=""),"",IFERROR(_xlfn.CONCAT(VLOOKUP(DZ50,Route_Column!#REF!,2,FALSE),CHAR(34)," probability=",CHAR(34),1/DZ$4,CHAR(34),CHAR(47),CHAR(62)),"&lt;/routeDistribution&gt;"))</f>
        <v/>
      </c>
    </row>
    <row r="557" spans="1:5" x14ac:dyDescent="0.25">
      <c r="A557">
        <v>12113482</v>
      </c>
      <c r="B557" t="s">
        <v>1215</v>
      </c>
      <c r="E557" t="str">
        <f>IF(OR(E556="&lt;/routeDistribution&gt;",E556=""),"",IFERROR(_xlfn.CONCAT(VLOOKUP(DZ51,Route_Column!#REF!,2,FALSE),CHAR(34)," probability=",CHAR(34),1/DZ$4,CHAR(34),CHAR(47),CHAR(62)),"&lt;/routeDistribution&gt;"))</f>
        <v/>
      </c>
    </row>
    <row r="558" spans="1:5" x14ac:dyDescent="0.25">
      <c r="A558">
        <v>12113482</v>
      </c>
      <c r="B558" t="s">
        <v>1216</v>
      </c>
      <c r="E558" t="str">
        <f>IF(OR(E557="&lt;/routeDistribution&gt;",E557=""),"",IFERROR(_xlfn.CONCAT(VLOOKUP(DZ52,Route_Column!#REF!,2,FALSE),CHAR(34)," probability=",CHAR(34),1/DZ$4,CHAR(34),CHAR(47),CHAR(62)),"&lt;/routeDistribution&gt;"))</f>
        <v/>
      </c>
    </row>
    <row r="559" spans="1:5" x14ac:dyDescent="0.25">
      <c r="A559">
        <v>12113482</v>
      </c>
      <c r="B559" t="s">
        <v>1217</v>
      </c>
      <c r="E559" t="str">
        <f>IF(OR(E558="&lt;/routeDistribution&gt;",E558=""),"",IFERROR(_xlfn.CONCAT(VLOOKUP(DZ53,Route_Column!#REF!,2,FALSE),CHAR(34)," probability=",CHAR(34),1/DZ$4,CHAR(34),CHAR(47),CHAR(62)),"&lt;/routeDistribution&gt;"))</f>
        <v/>
      </c>
    </row>
    <row r="560" spans="1:5" x14ac:dyDescent="0.25">
      <c r="A560">
        <v>12113482</v>
      </c>
      <c r="B560" t="s">
        <v>1218</v>
      </c>
      <c r="E560" t="str">
        <f>IF(OR(E559="&lt;/routeDistribution&gt;",E559=""),"",IFERROR(_xlfn.CONCAT(VLOOKUP(DZ54,Route_Column!#REF!,2,FALSE),CHAR(34)," probability=",CHAR(34),1/DZ$4,CHAR(34),CHAR(47),CHAR(62)),"&lt;/routeDistribution&gt;"))</f>
        <v/>
      </c>
    </row>
    <row r="561" spans="1:5" x14ac:dyDescent="0.25">
      <c r="A561">
        <v>12113482</v>
      </c>
      <c r="B561" t="s">
        <v>1219</v>
      </c>
      <c r="E561" t="str">
        <f>IF(OR(E560="&lt;/routeDistribution&gt;",E560=""),"",IFERROR(_xlfn.CONCAT(VLOOKUP(DZ55,Route_Column!#REF!,2,FALSE),CHAR(34)," probability=",CHAR(34),1/DZ$4,CHAR(34),CHAR(47),CHAR(62)),"&lt;/routeDistribution&gt;"))</f>
        <v/>
      </c>
    </row>
    <row r="562" spans="1:5" x14ac:dyDescent="0.25">
      <c r="A562">
        <v>12113482</v>
      </c>
      <c r="B562" t="s">
        <v>1220</v>
      </c>
      <c r="E562" t="str">
        <f>IF(OR(E561="&lt;/routeDistribution&gt;",E561=""),"",IFERROR(_xlfn.CONCAT(VLOOKUP(DZ56,Route_Column!#REF!,2,FALSE),CHAR(34)," probability=",CHAR(34),1/DZ$4,CHAR(34),CHAR(47),CHAR(62)),"&lt;/routeDistribution&gt;"))</f>
        <v/>
      </c>
    </row>
    <row r="563" spans="1:5" x14ac:dyDescent="0.25">
      <c r="A563">
        <v>12113482</v>
      </c>
      <c r="B563" t="s">
        <v>1221</v>
      </c>
      <c r="E563" t="str">
        <f>IF(OR(E562="&lt;/routeDistribution&gt;",E562=""),"",IFERROR(_xlfn.CONCAT(VLOOKUP(DZ57,Route_Column!#REF!,2,FALSE),CHAR(34)," probability=",CHAR(34),1/DZ$4,CHAR(34),CHAR(47),CHAR(62)),"&lt;/routeDistribution&gt;"))</f>
        <v/>
      </c>
    </row>
    <row r="564" spans="1:5" x14ac:dyDescent="0.25">
      <c r="A564">
        <v>12113482</v>
      </c>
      <c r="B564" t="s">
        <v>1222</v>
      </c>
      <c r="E564" t="str">
        <f>IF(OR(E563="&lt;/routeDistribution&gt;",E563=""),"",IFERROR(_xlfn.CONCAT(VLOOKUP(DZ58,Route_Column!#REF!,2,FALSE),CHAR(34)," probability=",CHAR(34),1/DZ$4,CHAR(34),CHAR(47),CHAR(62)),"&lt;/routeDistribution&gt;"))</f>
        <v/>
      </c>
    </row>
    <row r="565" spans="1:5" x14ac:dyDescent="0.25">
      <c r="A565">
        <v>12113482</v>
      </c>
      <c r="B565" t="s">
        <v>1223</v>
      </c>
      <c r="E565" t="str">
        <f>IF(OR(E564="&lt;/routeDistribution&gt;",E564=""),"",IFERROR(_xlfn.CONCAT(VLOOKUP(DZ59,Route_Column!#REF!,2,FALSE),CHAR(34)," probability=",CHAR(34),1/DZ$4,CHAR(34),CHAR(47),CHAR(62)),"&lt;/routeDistribution&gt;"))</f>
        <v/>
      </c>
    </row>
    <row r="566" spans="1:5" x14ac:dyDescent="0.25">
      <c r="A566">
        <v>12113482</v>
      </c>
      <c r="B566" t="s">
        <v>1224</v>
      </c>
      <c r="E566" t="str">
        <f>IF(OR(E565="&lt;/routeDistribution&gt;",E565=""),"",IFERROR(_xlfn.CONCAT(VLOOKUP(DZ60,Route_Column!#REF!,2,FALSE),CHAR(34)," probability=",CHAR(34),1/DZ$4,CHAR(34),CHAR(47),CHAR(62)),"&lt;/routeDistribution&gt;"))</f>
        <v/>
      </c>
    </row>
    <row r="567" spans="1:5" x14ac:dyDescent="0.25">
      <c r="A567">
        <v>12113482</v>
      </c>
      <c r="B567" t="s">
        <v>1225</v>
      </c>
      <c r="E567" t="str">
        <f>IF(OR(E566="&lt;/routeDistribution&gt;",E566=""),"",IFERROR(_xlfn.CONCAT(VLOOKUP(DZ61,Route_Column!#REF!,2,FALSE),CHAR(34)," probability=",CHAR(34),1/DZ$4,CHAR(34),CHAR(47),CHAR(62)),"&lt;/routeDistribution&gt;"))</f>
        <v/>
      </c>
    </row>
    <row r="568" spans="1:5" x14ac:dyDescent="0.25">
      <c r="A568">
        <v>12122485</v>
      </c>
      <c r="B568" t="s">
        <v>1112</v>
      </c>
      <c r="E568" t="str">
        <f>IF(OR(E567="&lt;/routeDistribution&gt;",E567=""),"",IFERROR(_xlfn.CONCAT(VLOOKUP(DZ62,Route_Column!#REF!,2,FALSE),CHAR(34)," probability=",CHAR(34),1/DZ$4,CHAR(34),CHAR(47),CHAR(62)),"&lt;/routeDistribution&gt;"))</f>
        <v/>
      </c>
    </row>
    <row r="569" spans="1:5" x14ac:dyDescent="0.25">
      <c r="A569">
        <v>12122485</v>
      </c>
      <c r="B569" t="s">
        <v>1113</v>
      </c>
      <c r="E569" t="str">
        <f>IF(OR(E568="&lt;/routeDistribution&gt;",E568=""),"",IFERROR(_xlfn.CONCAT(VLOOKUP(DZ63,Route_Column!#REF!,2,FALSE),CHAR(34)," probability=",CHAR(34),1/DZ$4,CHAR(34),CHAR(47),CHAR(62)),"&lt;/routeDistribution&gt;"))</f>
        <v/>
      </c>
    </row>
    <row r="570" spans="1:5" x14ac:dyDescent="0.25">
      <c r="A570">
        <v>12122485</v>
      </c>
      <c r="B570" t="s">
        <v>1114</v>
      </c>
      <c r="E570" t="s">
        <v>2686</v>
      </c>
    </row>
    <row r="571" spans="1:5" x14ac:dyDescent="0.25">
      <c r="A571">
        <v>12138964.1128</v>
      </c>
      <c r="B571" t="s">
        <v>1178</v>
      </c>
    </row>
    <row r="572" spans="1:5" x14ac:dyDescent="0.25">
      <c r="A572">
        <v>12138978</v>
      </c>
      <c r="B572" t="s">
        <v>1235</v>
      </c>
    </row>
    <row r="573" spans="1:5" x14ac:dyDescent="0.25">
      <c r="A573">
        <v>12138978</v>
      </c>
      <c r="B573" t="s">
        <v>1236</v>
      </c>
      <c r="E573" t="str">
        <f>_xlfn.CONCAT($E$1,DY$2,$F$1)</f>
        <v>&lt;routeDistribution id="Grays-SouthWest-EB-1995-Source-RouteProbe"&gt;</v>
      </c>
    </row>
    <row r="574" spans="1:5" x14ac:dyDescent="0.25">
      <c r="A574">
        <v>12138978</v>
      </c>
      <c r="B574" t="s">
        <v>1237</v>
      </c>
      <c r="E574" t="str">
        <f>IF(OR(E573="&lt;/routeDistribution&gt;",E573=""),"",IFERROR(_xlfn.CONCAT(VLOOKUP(DY5,Route_Column!#REF!,2,FALSE),CHAR(34)," probability=",CHAR(34),1/DY$4,CHAR(34),CHAR(47),CHAR(62)),"&lt;/routeDistribution&gt;"))</f>
        <v>&lt;/routeDistribution&gt;</v>
      </c>
    </row>
    <row r="575" spans="1:5" x14ac:dyDescent="0.25">
      <c r="A575">
        <v>12138978</v>
      </c>
      <c r="B575" t="s">
        <v>1238</v>
      </c>
      <c r="E575" t="str">
        <f>IF(OR(E574="&lt;/routeDistribution&gt;",E574=""),"",IFERROR(_xlfn.CONCAT(VLOOKUP(DY6,Route_Column!#REF!,2,FALSE),CHAR(34)," probability=",CHAR(34),1/DY$4,CHAR(34),CHAR(47),CHAR(62)),"&lt;/routeDistribution&gt;"))</f>
        <v/>
      </c>
    </row>
    <row r="576" spans="1:5" x14ac:dyDescent="0.25">
      <c r="A576">
        <v>12138978</v>
      </c>
      <c r="B576" t="s">
        <v>1239</v>
      </c>
      <c r="E576" t="str">
        <f>IF(OR(E575="&lt;/routeDistribution&gt;",E575=""),"",IFERROR(_xlfn.CONCAT(VLOOKUP(DY7,Route_Column!#REF!,2,FALSE),CHAR(34)," probability=",CHAR(34),1/DY$4,CHAR(34),CHAR(47),CHAR(62)),"&lt;/routeDistribution&gt;"))</f>
        <v/>
      </c>
    </row>
    <row r="577" spans="1:5" x14ac:dyDescent="0.25">
      <c r="A577">
        <v>12138978</v>
      </c>
      <c r="B577" t="s">
        <v>1240</v>
      </c>
      <c r="E577" t="str">
        <f>IF(OR(E576="&lt;/routeDistribution&gt;",E576=""),"",IFERROR(_xlfn.CONCAT(VLOOKUP(DY8,Route_Column!#REF!,2,FALSE),CHAR(34)," probability=",CHAR(34),1/DY$4,CHAR(34),CHAR(47),CHAR(62)),"&lt;/routeDistribution&gt;"))</f>
        <v/>
      </c>
    </row>
    <row r="578" spans="1:5" x14ac:dyDescent="0.25">
      <c r="A578">
        <v>12152033</v>
      </c>
      <c r="B578" t="s">
        <v>1223</v>
      </c>
      <c r="E578" t="str">
        <f>IF(OR(E577="&lt;/routeDistribution&gt;",E577=""),"",IFERROR(_xlfn.CONCAT(VLOOKUP(DY9,Route_Column!#REF!,2,FALSE),CHAR(34)," probability=",CHAR(34),1/DY$4,CHAR(34),CHAR(47),CHAR(62)),"&lt;/routeDistribution&gt;"))</f>
        <v/>
      </c>
    </row>
    <row r="579" spans="1:5" x14ac:dyDescent="0.25">
      <c r="A579">
        <v>12152236</v>
      </c>
      <c r="B579" t="s">
        <v>1154</v>
      </c>
      <c r="E579" t="str">
        <f>IF(OR(E578="&lt;/routeDistribution&gt;",E578=""),"",IFERROR(_xlfn.CONCAT(VLOOKUP(DY10,Route_Column!#REF!,2,FALSE),CHAR(34)," probability=",CHAR(34),1/DY$4,CHAR(34),CHAR(47),CHAR(62)),"&lt;/routeDistribution&gt;"))</f>
        <v/>
      </c>
    </row>
    <row r="580" spans="1:5" x14ac:dyDescent="0.25">
      <c r="A580">
        <v>12152236</v>
      </c>
      <c r="B580" t="s">
        <v>1155</v>
      </c>
      <c r="E580" t="str">
        <f>IF(OR(E579="&lt;/routeDistribution&gt;",E579=""),"",IFERROR(_xlfn.CONCAT(VLOOKUP(DY11,Route_Column!#REF!,2,FALSE),CHAR(34)," probability=",CHAR(34),1/DY$4,CHAR(34),CHAR(47),CHAR(62)),"&lt;/routeDistribution&gt;"))</f>
        <v/>
      </c>
    </row>
    <row r="581" spans="1:5" x14ac:dyDescent="0.25">
      <c r="A581">
        <v>12152236</v>
      </c>
      <c r="B581" t="s">
        <v>1156</v>
      </c>
      <c r="E581" t="str">
        <f>IF(OR(E580="&lt;/routeDistribution&gt;",E580=""),"",IFERROR(_xlfn.CONCAT(VLOOKUP(DY12,Route_Column!#REF!,2,FALSE),CHAR(34)," probability=",CHAR(34),1/DY$4,CHAR(34),CHAR(47),CHAR(62)),"&lt;/routeDistribution&gt;"))</f>
        <v/>
      </c>
    </row>
    <row r="582" spans="1:5" x14ac:dyDescent="0.25">
      <c r="A582">
        <v>12158873</v>
      </c>
      <c r="B582" t="s">
        <v>1226</v>
      </c>
      <c r="E582" t="str">
        <f>IF(OR(E581="&lt;/routeDistribution&gt;",E581=""),"",IFERROR(_xlfn.CONCAT(VLOOKUP(DY13,Route_Column!#REF!,2,FALSE),CHAR(34)," probability=",CHAR(34),1/DY$4,CHAR(34),CHAR(47),CHAR(62)),"&lt;/routeDistribution&gt;"))</f>
        <v/>
      </c>
    </row>
    <row r="583" spans="1:5" x14ac:dyDescent="0.25">
      <c r="A583">
        <v>12158873</v>
      </c>
      <c r="B583" t="s">
        <v>1227</v>
      </c>
      <c r="E583" t="str">
        <f>IF(OR(E582="&lt;/routeDistribution&gt;",E582=""),"",IFERROR(_xlfn.CONCAT(VLOOKUP(DY14,Route_Column!#REF!,2,FALSE),CHAR(34)," probability=",CHAR(34),1/DY$4,CHAR(34),CHAR(47),CHAR(62)),"&lt;/routeDistribution&gt;"))</f>
        <v/>
      </c>
    </row>
    <row r="584" spans="1:5" x14ac:dyDescent="0.25">
      <c r="A584">
        <v>12158873</v>
      </c>
      <c r="B584" t="s">
        <v>1228</v>
      </c>
      <c r="E584" t="str">
        <f>IF(OR(E583="&lt;/routeDistribution&gt;",E583=""),"",IFERROR(_xlfn.CONCAT(VLOOKUP(DY15,Route_Column!#REF!,2,FALSE),CHAR(34)," probability=",CHAR(34),1/DY$4,CHAR(34),CHAR(47),CHAR(62)),"&lt;/routeDistribution&gt;"))</f>
        <v/>
      </c>
    </row>
    <row r="585" spans="1:5" x14ac:dyDescent="0.25">
      <c r="A585">
        <v>12158873</v>
      </c>
      <c r="B585" t="s">
        <v>1229</v>
      </c>
      <c r="E585" t="str">
        <f>IF(OR(E584="&lt;/routeDistribution&gt;",E584=""),"",IFERROR(_xlfn.CONCAT(VLOOKUP(DY16,Route_Column!#REF!,2,FALSE),CHAR(34)," probability=",CHAR(34),1/DY$4,CHAR(34),CHAR(47),CHAR(62)),"&lt;/routeDistribution&gt;"))</f>
        <v/>
      </c>
    </row>
    <row r="586" spans="1:5" x14ac:dyDescent="0.25">
      <c r="A586">
        <v>12158873</v>
      </c>
      <c r="B586" t="s">
        <v>1230</v>
      </c>
      <c r="E586" t="str">
        <f>IF(OR(E585="&lt;/routeDistribution&gt;",E585=""),"",IFERROR(_xlfn.CONCAT(VLOOKUP(DY17,Route_Column!#REF!,2,FALSE),CHAR(34)," probability=",CHAR(34),1/DY$4,CHAR(34),CHAR(47),CHAR(62)),"&lt;/routeDistribution&gt;"))</f>
        <v/>
      </c>
    </row>
    <row r="587" spans="1:5" x14ac:dyDescent="0.25">
      <c r="A587">
        <v>12158873</v>
      </c>
      <c r="B587" t="s">
        <v>1231</v>
      </c>
      <c r="E587" t="str">
        <f>IF(OR(E586="&lt;/routeDistribution&gt;",E586=""),"",IFERROR(_xlfn.CONCAT(VLOOKUP(DY18,Route_Column!#REF!,2,FALSE),CHAR(34)," probability=",CHAR(34),1/DY$4,CHAR(34),CHAR(47),CHAR(62)),"&lt;/routeDistribution&gt;"))</f>
        <v/>
      </c>
    </row>
    <row r="588" spans="1:5" x14ac:dyDescent="0.25">
      <c r="A588">
        <v>12158873</v>
      </c>
      <c r="B588" t="s">
        <v>1232</v>
      </c>
      <c r="E588" t="str">
        <f>IF(OR(E587="&lt;/routeDistribution&gt;",E587=""),"",IFERROR(_xlfn.CONCAT(VLOOKUP(DY19,Route_Column!#REF!,2,FALSE),CHAR(34)," probability=",CHAR(34),1/DY$4,CHAR(34),CHAR(47),CHAR(62)),"&lt;/routeDistribution&gt;"))</f>
        <v/>
      </c>
    </row>
    <row r="589" spans="1:5" x14ac:dyDescent="0.25">
      <c r="A589">
        <v>12158873</v>
      </c>
      <c r="B589" t="s">
        <v>1233</v>
      </c>
      <c r="E589" t="str">
        <f>IF(OR(E588="&lt;/routeDistribution&gt;",E588=""),"",IFERROR(_xlfn.CONCAT(VLOOKUP(DY20,Route_Column!#REF!,2,FALSE),CHAR(34)," probability=",CHAR(34),1/DY$4,CHAR(34),CHAR(47),CHAR(62)),"&lt;/routeDistribution&gt;"))</f>
        <v/>
      </c>
    </row>
    <row r="590" spans="1:5" x14ac:dyDescent="0.25">
      <c r="A590">
        <v>12158873</v>
      </c>
      <c r="B590" t="s">
        <v>1234</v>
      </c>
      <c r="E590" t="str">
        <f>IF(OR(E589="&lt;/routeDistribution&gt;",E589=""),"",IFERROR(_xlfn.CONCAT(VLOOKUP(DY21,Route_Column!#REF!,2,FALSE),CHAR(34)," probability=",CHAR(34),1/DY$4,CHAR(34),CHAR(47),CHAR(62)),"&lt;/routeDistribution&gt;"))</f>
        <v/>
      </c>
    </row>
    <row r="591" spans="1:5" x14ac:dyDescent="0.25">
      <c r="A591">
        <v>12158873</v>
      </c>
      <c r="B591" t="s">
        <v>1235</v>
      </c>
      <c r="E591" t="str">
        <f>IF(OR(E590="&lt;/routeDistribution&gt;",E590=""),"",IFERROR(_xlfn.CONCAT(VLOOKUP(DY22,Route_Column!#REF!,2,FALSE),CHAR(34)," probability=",CHAR(34),1/DY$4,CHAR(34),CHAR(47),CHAR(62)),"&lt;/routeDistribution&gt;"))</f>
        <v/>
      </c>
    </row>
    <row r="592" spans="1:5" x14ac:dyDescent="0.25">
      <c r="A592">
        <v>12158873</v>
      </c>
      <c r="B592" t="s">
        <v>1236</v>
      </c>
      <c r="E592" t="str">
        <f>IF(OR(E591="&lt;/routeDistribution&gt;",E591=""),"",IFERROR(_xlfn.CONCAT(VLOOKUP(DY23,Route_Column!#REF!,2,FALSE),CHAR(34)," probability=",CHAR(34),1/DY$4,CHAR(34),CHAR(47),CHAR(62)),"&lt;/routeDistribution&gt;"))</f>
        <v/>
      </c>
    </row>
    <row r="593" spans="1:5" x14ac:dyDescent="0.25">
      <c r="A593">
        <v>12158873</v>
      </c>
      <c r="B593" t="s">
        <v>1237</v>
      </c>
      <c r="E593" t="str">
        <f>IF(OR(E592="&lt;/routeDistribution&gt;",E592=""),"",IFERROR(_xlfn.CONCAT(VLOOKUP(DY24,Route_Column!#REF!,2,FALSE),CHAR(34)," probability=",CHAR(34),1/DY$4,CHAR(34),CHAR(47),CHAR(62)),"&lt;/routeDistribution&gt;"))</f>
        <v/>
      </c>
    </row>
    <row r="594" spans="1:5" x14ac:dyDescent="0.25">
      <c r="A594">
        <v>12158873</v>
      </c>
      <c r="B594" t="s">
        <v>1238</v>
      </c>
      <c r="E594" t="str">
        <f>IF(OR(E593="&lt;/routeDistribution&gt;",E593=""),"",IFERROR(_xlfn.CONCAT(VLOOKUP(DY25,Route_Column!#REF!,2,FALSE),CHAR(34)," probability=",CHAR(34),1/DY$4,CHAR(34),CHAR(47),CHAR(62)),"&lt;/routeDistribution&gt;"))</f>
        <v/>
      </c>
    </row>
    <row r="595" spans="1:5" x14ac:dyDescent="0.25">
      <c r="A595">
        <v>12158873</v>
      </c>
      <c r="B595" t="s">
        <v>1239</v>
      </c>
      <c r="E595" t="str">
        <f>IF(OR(E594="&lt;/routeDistribution&gt;",E594=""),"",IFERROR(_xlfn.CONCAT(VLOOKUP(DY26,Route_Column!#REF!,2,FALSE),CHAR(34)," probability=",CHAR(34),1/DY$4,CHAR(34),CHAR(47),CHAR(62)),"&lt;/routeDistribution&gt;"))</f>
        <v/>
      </c>
    </row>
    <row r="596" spans="1:5" x14ac:dyDescent="0.25">
      <c r="A596">
        <v>12158873</v>
      </c>
      <c r="B596" t="s">
        <v>1240</v>
      </c>
      <c r="E596" t="str">
        <f>IF(OR(E595="&lt;/routeDistribution&gt;",E595=""),"",IFERROR(_xlfn.CONCAT(VLOOKUP(DY27,Route_Column!#REF!,2,FALSE),CHAR(34)," probability=",CHAR(34),1/DY$4,CHAR(34),CHAR(47),CHAR(62)),"&lt;/routeDistribution&gt;"))</f>
        <v/>
      </c>
    </row>
    <row r="597" spans="1:5" x14ac:dyDescent="0.25">
      <c r="A597">
        <v>12158873</v>
      </c>
      <c r="B597" t="s">
        <v>1241</v>
      </c>
      <c r="E597" t="str">
        <f>IF(OR(E596="&lt;/routeDistribution&gt;",E596=""),"",IFERROR(_xlfn.CONCAT(VLOOKUP(DY28,Route_Column!#REF!,2,FALSE),CHAR(34)," probability=",CHAR(34),1/DY$4,CHAR(34),CHAR(47),CHAR(62)),"&lt;/routeDistribution&gt;"))</f>
        <v/>
      </c>
    </row>
    <row r="598" spans="1:5" x14ac:dyDescent="0.25">
      <c r="A598">
        <v>12158873</v>
      </c>
      <c r="B598" t="s">
        <v>1242</v>
      </c>
      <c r="E598" t="str">
        <f>IF(OR(E597="&lt;/routeDistribution&gt;",E597=""),"",IFERROR(_xlfn.CONCAT(VLOOKUP(DY29,Route_Column!#REF!,2,FALSE),CHAR(34)," probability=",CHAR(34),1/DY$4,CHAR(34),CHAR(47),CHAR(62)),"&lt;/routeDistribution&gt;"))</f>
        <v/>
      </c>
    </row>
    <row r="599" spans="1:5" x14ac:dyDescent="0.25">
      <c r="A599">
        <v>12158873</v>
      </c>
      <c r="B599" t="s">
        <v>1243</v>
      </c>
      <c r="E599" t="str">
        <f>IF(OR(E598="&lt;/routeDistribution&gt;",E598=""),"",IFERROR(_xlfn.CONCAT(VLOOKUP(DY30,Route_Column!#REF!,2,FALSE),CHAR(34)," probability=",CHAR(34),1/DY$4,CHAR(34),CHAR(47),CHAR(62)),"&lt;/routeDistribution&gt;"))</f>
        <v/>
      </c>
    </row>
    <row r="600" spans="1:5" x14ac:dyDescent="0.25">
      <c r="A600">
        <v>12158873</v>
      </c>
      <c r="B600" t="s">
        <v>1244</v>
      </c>
      <c r="E600" t="str">
        <f>IF(OR(E599="&lt;/routeDistribution&gt;",E599=""),"",IFERROR(_xlfn.CONCAT(VLOOKUP(DY31,Route_Column!#REF!,2,FALSE),CHAR(34)," probability=",CHAR(34),1/DY$4,CHAR(34),CHAR(47),CHAR(62)),"&lt;/routeDistribution&gt;"))</f>
        <v/>
      </c>
    </row>
    <row r="601" spans="1:5" x14ac:dyDescent="0.25">
      <c r="A601">
        <v>12158873</v>
      </c>
      <c r="B601" t="s">
        <v>1245</v>
      </c>
      <c r="E601" t="str">
        <f>IF(OR(E600="&lt;/routeDistribution&gt;",E600=""),"",IFERROR(_xlfn.CONCAT(VLOOKUP(DY32,Route_Column!#REF!,2,FALSE),CHAR(34)," probability=",CHAR(34),1/DY$4,CHAR(34),CHAR(47),CHAR(62)),"&lt;/routeDistribution&gt;"))</f>
        <v/>
      </c>
    </row>
    <row r="602" spans="1:5" x14ac:dyDescent="0.25">
      <c r="A602">
        <v>12158873</v>
      </c>
      <c r="B602" t="s">
        <v>1246</v>
      </c>
      <c r="E602" t="str">
        <f>IF(OR(E601="&lt;/routeDistribution&gt;",E601=""),"",IFERROR(_xlfn.CONCAT(VLOOKUP(DY33,Route_Column!#REF!,2,FALSE),CHAR(34)," probability=",CHAR(34),1/DY$4,CHAR(34),CHAR(47),CHAR(62)),"&lt;/routeDistribution&gt;"))</f>
        <v/>
      </c>
    </row>
    <row r="603" spans="1:5" x14ac:dyDescent="0.25">
      <c r="A603">
        <v>12158873</v>
      </c>
      <c r="B603" t="s">
        <v>1247</v>
      </c>
      <c r="E603" t="str">
        <f>IF(OR(E602="&lt;/routeDistribution&gt;",E602=""),"",IFERROR(_xlfn.CONCAT(VLOOKUP(DY34,Route_Column!#REF!,2,FALSE),CHAR(34)," probability=",CHAR(34),1/DY$4,CHAR(34),CHAR(47),CHAR(62)),"&lt;/routeDistribution&gt;"))</f>
        <v/>
      </c>
    </row>
    <row r="604" spans="1:5" x14ac:dyDescent="0.25">
      <c r="A604">
        <v>12158873</v>
      </c>
      <c r="B604" t="s">
        <v>1248</v>
      </c>
      <c r="E604" t="str">
        <f>IF(OR(E603="&lt;/routeDistribution&gt;",E603=""),"",IFERROR(_xlfn.CONCAT(VLOOKUP(DY35,Route_Column!#REF!,2,FALSE),CHAR(34)," probability=",CHAR(34),1/DY$4,CHAR(34),CHAR(47),CHAR(62)),"&lt;/routeDistribution&gt;"))</f>
        <v/>
      </c>
    </row>
    <row r="605" spans="1:5" x14ac:dyDescent="0.25">
      <c r="A605">
        <v>12158873</v>
      </c>
      <c r="B605" t="s">
        <v>1249</v>
      </c>
      <c r="E605" t="str">
        <f>IF(OR(E604="&lt;/routeDistribution&gt;",E604=""),"",IFERROR(_xlfn.CONCAT(VLOOKUP(DY36,Route_Column!#REF!,2,FALSE),CHAR(34)," probability=",CHAR(34),1/DY$4,CHAR(34),CHAR(47),CHAR(62)),"&lt;/routeDistribution&gt;"))</f>
        <v/>
      </c>
    </row>
    <row r="606" spans="1:5" x14ac:dyDescent="0.25">
      <c r="A606">
        <v>12158873</v>
      </c>
      <c r="B606" t="s">
        <v>1250</v>
      </c>
      <c r="E606" t="str">
        <f>IF(OR(E605="&lt;/routeDistribution&gt;",E605=""),"",IFERROR(_xlfn.CONCAT(VLOOKUP(DY37,Route_Column!#REF!,2,FALSE),CHAR(34)," probability=",CHAR(34),1/DY$4,CHAR(34),CHAR(47),CHAR(62)),"&lt;/routeDistribution&gt;"))</f>
        <v/>
      </c>
    </row>
    <row r="607" spans="1:5" x14ac:dyDescent="0.25">
      <c r="A607">
        <v>12158873</v>
      </c>
      <c r="B607" t="s">
        <v>1251</v>
      </c>
      <c r="E607" t="str">
        <f>IF(OR(E606="&lt;/routeDistribution&gt;",E606=""),"",IFERROR(_xlfn.CONCAT(VLOOKUP(DY38,Route_Column!#REF!,2,FALSE),CHAR(34)," probability=",CHAR(34),1/DY$4,CHAR(34),CHAR(47),CHAR(62)),"&lt;/routeDistribution&gt;"))</f>
        <v/>
      </c>
    </row>
    <row r="608" spans="1:5" x14ac:dyDescent="0.25">
      <c r="A608">
        <v>12159135</v>
      </c>
      <c r="B608" t="s">
        <v>1142</v>
      </c>
      <c r="E608" t="str">
        <f>IF(OR(E607="&lt;/routeDistribution&gt;",E607=""),"",IFERROR(_xlfn.CONCAT(VLOOKUP(DY39,Route_Column!#REF!,2,FALSE),CHAR(34)," probability=",CHAR(34),1/DY$4,CHAR(34),CHAR(47),CHAR(62)),"&lt;/routeDistribution&gt;"))</f>
        <v/>
      </c>
    </row>
    <row r="609" spans="1:5" x14ac:dyDescent="0.25">
      <c r="A609">
        <v>12159135</v>
      </c>
      <c r="B609" t="s">
        <v>1148</v>
      </c>
      <c r="E609" t="str">
        <f>IF(OR(E608="&lt;/routeDistribution&gt;",E608=""),"",IFERROR(_xlfn.CONCAT(VLOOKUP(DY40,Route_Column!#REF!,2,FALSE),CHAR(34)," probability=",CHAR(34),1/DY$4,CHAR(34),CHAR(47),CHAR(62)),"&lt;/routeDistribution&gt;"))</f>
        <v/>
      </c>
    </row>
    <row r="610" spans="1:5" x14ac:dyDescent="0.25">
      <c r="A610">
        <v>12159135</v>
      </c>
      <c r="B610" t="s">
        <v>1149</v>
      </c>
      <c r="E610" t="str">
        <f>IF(OR(E609="&lt;/routeDistribution&gt;",E609=""),"",IFERROR(_xlfn.CONCAT(VLOOKUP(DY41,Route_Column!#REF!,2,FALSE),CHAR(34)," probability=",CHAR(34),1/DY$4,CHAR(34),CHAR(47),CHAR(62)),"&lt;/routeDistribution&gt;"))</f>
        <v/>
      </c>
    </row>
    <row r="611" spans="1:5" x14ac:dyDescent="0.25">
      <c r="A611">
        <v>12159135</v>
      </c>
      <c r="B611" t="s">
        <v>1201</v>
      </c>
      <c r="E611" t="str">
        <f>IF(OR(E610="&lt;/routeDistribution&gt;",E610=""),"",IFERROR(_xlfn.CONCAT(VLOOKUP(DY42,Route_Column!#REF!,2,FALSE),CHAR(34)," probability=",CHAR(34),1/DY$4,CHAR(34),CHAR(47),CHAR(62)),"&lt;/routeDistribution&gt;"))</f>
        <v/>
      </c>
    </row>
    <row r="612" spans="1:5" x14ac:dyDescent="0.25">
      <c r="A612">
        <v>12159135</v>
      </c>
      <c r="B612" t="s">
        <v>1202</v>
      </c>
      <c r="E612" t="str">
        <f>IF(OR(E611="&lt;/routeDistribution&gt;",E611=""),"",IFERROR(_xlfn.CONCAT(VLOOKUP(DY43,Route_Column!#REF!,2,FALSE),CHAR(34)," probability=",CHAR(34),1/DY$4,CHAR(34),CHAR(47),CHAR(62)),"&lt;/routeDistribution&gt;"))</f>
        <v/>
      </c>
    </row>
    <row r="613" spans="1:5" x14ac:dyDescent="0.25">
      <c r="A613">
        <v>12159135</v>
      </c>
      <c r="B613" t="s">
        <v>1203</v>
      </c>
      <c r="E613" t="str">
        <f>IF(OR(E612="&lt;/routeDistribution&gt;",E612=""),"",IFERROR(_xlfn.CONCAT(VLOOKUP(DY44,Route_Column!#REF!,2,FALSE),CHAR(34)," probability=",CHAR(34),1/DY$4,CHAR(34),CHAR(47),CHAR(62)),"&lt;/routeDistribution&gt;"))</f>
        <v/>
      </c>
    </row>
    <row r="614" spans="1:5" x14ac:dyDescent="0.25">
      <c r="A614">
        <v>12159135</v>
      </c>
      <c r="B614" t="s">
        <v>1204</v>
      </c>
      <c r="E614" t="str">
        <f>IF(OR(E613="&lt;/routeDistribution&gt;",E613=""),"",IFERROR(_xlfn.CONCAT(VLOOKUP(DY45,Route_Column!#REF!,2,FALSE),CHAR(34)," probability=",CHAR(34),1/DY$4,CHAR(34),CHAR(47),CHAR(62)),"&lt;/routeDistribution&gt;"))</f>
        <v/>
      </c>
    </row>
    <row r="615" spans="1:5" x14ac:dyDescent="0.25">
      <c r="A615">
        <v>12159135</v>
      </c>
      <c r="B615" t="s">
        <v>1206</v>
      </c>
      <c r="E615" t="str">
        <f>IF(OR(E614="&lt;/routeDistribution&gt;",E614=""),"",IFERROR(_xlfn.CONCAT(VLOOKUP(DY46,Route_Column!#REF!,2,FALSE),CHAR(34)," probability=",CHAR(34),1/DY$4,CHAR(34),CHAR(47),CHAR(62)),"&lt;/routeDistribution&gt;"))</f>
        <v/>
      </c>
    </row>
    <row r="616" spans="1:5" x14ac:dyDescent="0.25">
      <c r="A616">
        <v>12159135</v>
      </c>
      <c r="B616" t="s">
        <v>1207</v>
      </c>
      <c r="E616" t="str">
        <f>IF(OR(E615="&lt;/routeDistribution&gt;",E615=""),"",IFERROR(_xlfn.CONCAT(VLOOKUP(DY47,Route_Column!#REF!,2,FALSE),CHAR(34)," probability=",CHAR(34),1/DY$4,CHAR(34),CHAR(47),CHAR(62)),"&lt;/routeDistribution&gt;"))</f>
        <v/>
      </c>
    </row>
    <row r="617" spans="1:5" x14ac:dyDescent="0.25">
      <c r="A617">
        <v>12159135</v>
      </c>
      <c r="B617" t="s">
        <v>1218</v>
      </c>
      <c r="E617" t="str">
        <f>IF(OR(E616="&lt;/routeDistribution&gt;",E616=""),"",IFERROR(_xlfn.CONCAT(VLOOKUP(DY48,Route_Column!#REF!,2,FALSE),CHAR(34)," probability=",CHAR(34),1/DY$4,CHAR(34),CHAR(47),CHAR(62)),"&lt;/routeDistribution&gt;"))</f>
        <v/>
      </c>
    </row>
    <row r="618" spans="1:5" x14ac:dyDescent="0.25">
      <c r="A618">
        <v>12159135</v>
      </c>
      <c r="B618" t="s">
        <v>1219</v>
      </c>
      <c r="E618" t="str">
        <f>IF(OR(E617="&lt;/routeDistribution&gt;",E617=""),"",IFERROR(_xlfn.CONCAT(VLOOKUP(DY49,Route_Column!#REF!,2,FALSE),CHAR(34)," probability=",CHAR(34),1/DY$4,CHAR(34),CHAR(47),CHAR(62)),"&lt;/routeDistribution&gt;"))</f>
        <v/>
      </c>
    </row>
    <row r="619" spans="1:5" x14ac:dyDescent="0.25">
      <c r="A619">
        <v>12159135</v>
      </c>
      <c r="B619" t="s">
        <v>1230</v>
      </c>
      <c r="E619" t="str">
        <f>IF(OR(E618="&lt;/routeDistribution&gt;",E618=""),"",IFERROR(_xlfn.CONCAT(VLOOKUP(DY50,Route_Column!#REF!,2,FALSE),CHAR(34)," probability=",CHAR(34),1/DY$4,CHAR(34),CHAR(47),CHAR(62)),"&lt;/routeDistribution&gt;"))</f>
        <v/>
      </c>
    </row>
    <row r="620" spans="1:5" x14ac:dyDescent="0.25">
      <c r="A620">
        <v>12159135</v>
      </c>
      <c r="B620" t="s">
        <v>1231</v>
      </c>
      <c r="E620" t="str">
        <f>IF(OR(E619="&lt;/routeDistribution&gt;",E619=""),"",IFERROR(_xlfn.CONCAT(VLOOKUP(DY51,Route_Column!#REF!,2,FALSE),CHAR(34)," probability=",CHAR(34),1/DY$4,CHAR(34),CHAR(47),CHAR(62)),"&lt;/routeDistribution&gt;"))</f>
        <v/>
      </c>
    </row>
    <row r="621" spans="1:5" x14ac:dyDescent="0.25">
      <c r="A621">
        <v>12159135</v>
      </c>
      <c r="B621" t="s">
        <v>1253</v>
      </c>
      <c r="E621" t="str">
        <f>IF(OR(E620="&lt;/routeDistribution&gt;",E620=""),"",IFERROR(_xlfn.CONCAT(VLOOKUP(DY52,Route_Column!#REF!,2,FALSE),CHAR(34)," probability=",CHAR(34),1/DY$4,CHAR(34),CHAR(47),CHAR(62)),"&lt;/routeDistribution&gt;"))</f>
        <v/>
      </c>
    </row>
    <row r="622" spans="1:5" x14ac:dyDescent="0.25">
      <c r="A622">
        <v>12159485</v>
      </c>
      <c r="B622" t="s">
        <v>1100</v>
      </c>
      <c r="E622" t="str">
        <f>IF(OR(E621="&lt;/routeDistribution&gt;",E621=""),"",IFERROR(_xlfn.CONCAT(VLOOKUP(DY53,Route_Column!#REF!,2,FALSE),CHAR(34)," probability=",CHAR(34),1/DY$4,CHAR(34),CHAR(47),CHAR(62)),"&lt;/routeDistribution&gt;"))</f>
        <v/>
      </c>
    </row>
    <row r="623" spans="1:5" x14ac:dyDescent="0.25">
      <c r="A623">
        <v>12159485</v>
      </c>
      <c r="B623" t="s">
        <v>1101</v>
      </c>
      <c r="E623" t="str">
        <f>IF(OR(E622="&lt;/routeDistribution&gt;",E622=""),"",IFERROR(_xlfn.CONCAT(VLOOKUP(DY54,Route_Column!#REF!,2,FALSE),CHAR(34)," probability=",CHAR(34),1/DY$4,CHAR(34),CHAR(47),CHAR(62)),"&lt;/routeDistribution&gt;"))</f>
        <v/>
      </c>
    </row>
    <row r="624" spans="1:5" x14ac:dyDescent="0.25">
      <c r="A624">
        <v>12159485</v>
      </c>
      <c r="B624" t="s">
        <v>1164</v>
      </c>
      <c r="E624" t="str">
        <f>IF(OR(E623="&lt;/routeDistribution&gt;",E623=""),"",IFERROR(_xlfn.CONCAT(VLOOKUP(DY55,Route_Column!#REF!,2,FALSE),CHAR(34)," probability=",CHAR(34),1/DY$4,CHAR(34),CHAR(47),CHAR(62)),"&lt;/routeDistribution&gt;"))</f>
        <v/>
      </c>
    </row>
    <row r="625" spans="1:5" x14ac:dyDescent="0.25">
      <c r="A625">
        <v>12159485</v>
      </c>
      <c r="B625" t="s">
        <v>1235</v>
      </c>
      <c r="E625" t="str">
        <f>IF(OR(E624="&lt;/routeDistribution&gt;",E624=""),"",IFERROR(_xlfn.CONCAT(VLOOKUP(DY56,Route_Column!#REF!,2,FALSE),CHAR(34)," probability=",CHAR(34),1/DY$4,CHAR(34),CHAR(47),CHAR(62)),"&lt;/routeDistribution&gt;"))</f>
        <v/>
      </c>
    </row>
    <row r="626" spans="1:5" x14ac:dyDescent="0.25">
      <c r="A626">
        <v>12159485</v>
      </c>
      <c r="B626" t="s">
        <v>1236</v>
      </c>
      <c r="E626" t="str">
        <f>IF(OR(E625="&lt;/routeDistribution&gt;",E625=""),"",IFERROR(_xlfn.CONCAT(VLOOKUP(DY57,Route_Column!#REF!,2,FALSE),CHAR(34)," probability=",CHAR(34),1/DY$4,CHAR(34),CHAR(47),CHAR(62)),"&lt;/routeDistribution&gt;"))</f>
        <v/>
      </c>
    </row>
    <row r="627" spans="1:5" x14ac:dyDescent="0.25">
      <c r="A627" s="11">
        <v>12159702</v>
      </c>
      <c r="B627" t="s">
        <v>1090</v>
      </c>
      <c r="E627" t="str">
        <f>IF(OR(E626="&lt;/routeDistribution&gt;",E626=""),"",IFERROR(_xlfn.CONCAT(VLOOKUP(DY58,Route_Column!#REF!,2,FALSE),CHAR(34)," probability=",CHAR(34),1/DY$4,CHAR(34),CHAR(47),CHAR(62)),"&lt;/routeDistribution&gt;"))</f>
        <v/>
      </c>
    </row>
    <row r="628" spans="1:5" x14ac:dyDescent="0.25">
      <c r="A628">
        <v>12159702</v>
      </c>
      <c r="B628" t="s">
        <v>1097</v>
      </c>
      <c r="E628" t="str">
        <f>IF(OR(E627="&lt;/routeDistribution&gt;",E627=""),"",IFERROR(_xlfn.CONCAT(VLOOKUP(DY59,Route_Column!#REF!,2,FALSE),CHAR(34)," probability=",CHAR(34),1/DY$4,CHAR(34),CHAR(47),CHAR(62)),"&lt;/routeDistribution&gt;"))</f>
        <v/>
      </c>
    </row>
    <row r="629" spans="1:5" x14ac:dyDescent="0.25">
      <c r="A629">
        <v>12159702</v>
      </c>
      <c r="B629" t="s">
        <v>1111</v>
      </c>
      <c r="E629" t="str">
        <f>IF(OR(E628="&lt;/routeDistribution&gt;",E628=""),"",IFERROR(_xlfn.CONCAT(VLOOKUP(DY60,Route_Column!#REF!,2,FALSE),CHAR(34)," probability=",CHAR(34),1/DY$4,CHAR(34),CHAR(47),CHAR(62)),"&lt;/routeDistribution&gt;"))</f>
        <v/>
      </c>
    </row>
    <row r="630" spans="1:5" x14ac:dyDescent="0.25">
      <c r="A630">
        <v>12159702</v>
      </c>
      <c r="B630" t="s">
        <v>1132</v>
      </c>
      <c r="E630" t="str">
        <f>IF(OR(E629="&lt;/routeDistribution&gt;",E629=""),"",IFERROR(_xlfn.CONCAT(VLOOKUP(DY61,Route_Column!#REF!,2,FALSE),CHAR(34)," probability=",CHAR(34),1/DY$4,CHAR(34),CHAR(47),CHAR(62)),"&lt;/routeDistribution&gt;"))</f>
        <v/>
      </c>
    </row>
    <row r="631" spans="1:5" x14ac:dyDescent="0.25">
      <c r="A631">
        <v>12159702</v>
      </c>
      <c r="B631" t="s">
        <v>1137</v>
      </c>
      <c r="E631" t="str">
        <f>IF(OR(E630="&lt;/routeDistribution&gt;",E630=""),"",IFERROR(_xlfn.CONCAT(VLOOKUP(DY62,Route_Column!#REF!,2,FALSE),CHAR(34)," probability=",CHAR(34),1/DY$4,CHAR(34),CHAR(47),CHAR(62)),"&lt;/routeDistribution&gt;"))</f>
        <v/>
      </c>
    </row>
    <row r="632" spans="1:5" x14ac:dyDescent="0.25">
      <c r="A632">
        <v>12159702</v>
      </c>
      <c r="B632" t="s">
        <v>1171</v>
      </c>
      <c r="E632" t="str">
        <f>IF(OR(E631="&lt;/routeDistribution&gt;",E631=""),"",IFERROR(_xlfn.CONCAT(VLOOKUP(DY63,Route_Column!#REF!,2,FALSE),CHAR(34)," probability=",CHAR(34),1/DY$4,CHAR(34),CHAR(47),CHAR(62)),"&lt;/routeDistribution&gt;"))</f>
        <v/>
      </c>
    </row>
    <row r="633" spans="1:5" x14ac:dyDescent="0.25">
      <c r="A633">
        <v>12159702</v>
      </c>
      <c r="B633" t="s">
        <v>1182</v>
      </c>
      <c r="E633" t="s">
        <v>2686</v>
      </c>
    </row>
    <row r="634" spans="1:5" x14ac:dyDescent="0.25">
      <c r="A634">
        <v>12159702</v>
      </c>
      <c r="B634" t="s">
        <v>1184</v>
      </c>
    </row>
    <row r="635" spans="1:5" x14ac:dyDescent="0.25">
      <c r="A635">
        <v>12159702</v>
      </c>
      <c r="B635" t="s">
        <v>1191</v>
      </c>
    </row>
    <row r="636" spans="1:5" x14ac:dyDescent="0.25">
      <c r="A636">
        <v>12159702</v>
      </c>
      <c r="B636" t="s">
        <v>1204</v>
      </c>
      <c r="E636" t="str">
        <f>_xlfn.CONCAT($E$1,DX$2,$F$1)</f>
        <v>&lt;routeDistribution id="BaltiAVe-SB-2014-RouteProbe"&gt;</v>
      </c>
    </row>
    <row r="637" spans="1:5" x14ac:dyDescent="0.25">
      <c r="A637">
        <v>12159702</v>
      </c>
      <c r="B637" t="s">
        <v>1213</v>
      </c>
      <c r="E637" t="str">
        <f>IF(OR(E636="&lt;/routeDistribution&gt;",E636=""),"",IFERROR(_xlfn.CONCAT(VLOOKUP(DX5,Route_Column!#REF!,2,FALSE),CHAR(34)," probability=",CHAR(34),1/DX$4,CHAR(34),CHAR(47),CHAR(62)),"&lt;/routeDistribution&gt;"))</f>
        <v>&lt;/routeDistribution&gt;</v>
      </c>
    </row>
    <row r="638" spans="1:5" x14ac:dyDescent="0.25">
      <c r="A638">
        <v>12159702</v>
      </c>
      <c r="B638" t="s">
        <v>1215</v>
      </c>
      <c r="E638" t="str">
        <f>IF(OR(E637="&lt;/routeDistribution&gt;",E637=""),"",IFERROR(_xlfn.CONCAT(VLOOKUP(DX6,Route_Column!#REF!,2,FALSE),CHAR(34)," probability=",CHAR(34),1/DX$4,CHAR(34),CHAR(47),CHAR(62)),"&lt;/routeDistribution&gt;"))</f>
        <v/>
      </c>
    </row>
    <row r="639" spans="1:5" x14ac:dyDescent="0.25">
      <c r="A639">
        <v>12159702</v>
      </c>
      <c r="B639" t="s">
        <v>1218</v>
      </c>
      <c r="E639" t="str">
        <f>IF(OR(E638="&lt;/routeDistribution&gt;",E638=""),"",IFERROR(_xlfn.CONCAT(VLOOKUP(DX7,Route_Column!#REF!,2,FALSE),CHAR(34)," probability=",CHAR(34),1/DX$4,CHAR(34),CHAR(47),CHAR(62)),"&lt;/routeDistribution&gt;"))</f>
        <v/>
      </c>
    </row>
    <row r="640" spans="1:5" x14ac:dyDescent="0.25">
      <c r="A640">
        <v>12159702</v>
      </c>
      <c r="B640" t="s">
        <v>1225</v>
      </c>
      <c r="E640" t="str">
        <f>IF(OR(E639="&lt;/routeDistribution&gt;",E639=""),"",IFERROR(_xlfn.CONCAT(VLOOKUP(DX8,Route_Column!#REF!,2,FALSE),CHAR(34)," probability=",CHAR(34),1/DX$4,CHAR(34),CHAR(47),CHAR(62)),"&lt;/routeDistribution&gt;"))</f>
        <v/>
      </c>
    </row>
    <row r="641" spans="1:5" x14ac:dyDescent="0.25">
      <c r="A641">
        <v>12159702</v>
      </c>
      <c r="B641" t="s">
        <v>1228</v>
      </c>
      <c r="E641" t="str">
        <f>IF(OR(E640="&lt;/routeDistribution&gt;",E640=""),"",IFERROR(_xlfn.CONCAT(VLOOKUP(DX9,Route_Column!#REF!,2,FALSE),CHAR(34)," probability=",CHAR(34),1/DX$4,CHAR(34),CHAR(47),CHAR(62)),"&lt;/routeDistribution&gt;"))</f>
        <v/>
      </c>
    </row>
    <row r="642" spans="1:5" x14ac:dyDescent="0.25">
      <c r="A642">
        <v>12159702</v>
      </c>
      <c r="B642" t="s">
        <v>1230</v>
      </c>
      <c r="E642" t="str">
        <f>IF(OR(E641="&lt;/routeDistribution&gt;",E641=""),"",IFERROR(_xlfn.CONCAT(VLOOKUP(DX10,Route_Column!#REF!,2,FALSE),CHAR(34)," probability=",CHAR(34),1/DX$4,CHAR(34),CHAR(47),CHAR(62)),"&lt;/routeDistribution&gt;"))</f>
        <v/>
      </c>
    </row>
    <row r="643" spans="1:5" x14ac:dyDescent="0.25">
      <c r="A643">
        <v>12159702</v>
      </c>
      <c r="B643" t="s">
        <v>1253</v>
      </c>
      <c r="E643" t="str">
        <f>IF(OR(E642="&lt;/routeDistribution&gt;",E642=""),"",IFERROR(_xlfn.CONCAT(VLOOKUP(DX11,Route_Column!#REF!,2,FALSE),CHAR(34)," probability=",CHAR(34),1/DX$4,CHAR(34),CHAR(47),CHAR(62)),"&lt;/routeDistribution&gt;"))</f>
        <v/>
      </c>
    </row>
    <row r="644" spans="1:5" x14ac:dyDescent="0.25">
      <c r="A644">
        <v>12167183</v>
      </c>
      <c r="B644" t="s">
        <v>1149</v>
      </c>
      <c r="E644" t="str">
        <f>IF(OR(E643="&lt;/routeDistribution&gt;",E643=""),"",IFERROR(_xlfn.CONCAT(VLOOKUP(DX12,Route_Column!#REF!,2,FALSE),CHAR(34)," probability=",CHAR(34),1/DX$4,CHAR(34),CHAR(47),CHAR(62)),"&lt;/routeDistribution&gt;"))</f>
        <v/>
      </c>
    </row>
    <row r="645" spans="1:5" x14ac:dyDescent="0.25">
      <c r="A645">
        <v>12167183</v>
      </c>
      <c r="B645" t="s">
        <v>1204</v>
      </c>
      <c r="E645" t="str">
        <f>IF(OR(E644="&lt;/routeDistribution&gt;",E644=""),"",IFERROR(_xlfn.CONCAT(VLOOKUP(DX13,Route_Column!#REF!,2,FALSE),CHAR(34)," probability=",CHAR(34),1/DX$4,CHAR(34),CHAR(47),CHAR(62)),"&lt;/routeDistribution&gt;"))</f>
        <v/>
      </c>
    </row>
    <row r="646" spans="1:5" x14ac:dyDescent="0.25">
      <c r="A646">
        <v>12167183</v>
      </c>
      <c r="B646" t="s">
        <v>1218</v>
      </c>
      <c r="E646" t="str">
        <f>IF(OR(E645="&lt;/routeDistribution&gt;",E645=""),"",IFERROR(_xlfn.CONCAT(VLOOKUP(DX14,Route_Column!#REF!,2,FALSE),CHAR(34)," probability=",CHAR(34),1/DX$4,CHAR(34),CHAR(47),CHAR(62)),"&lt;/routeDistribution&gt;"))</f>
        <v/>
      </c>
    </row>
    <row r="647" spans="1:5" x14ac:dyDescent="0.25">
      <c r="A647">
        <v>12167183</v>
      </c>
      <c r="B647" t="s">
        <v>1219</v>
      </c>
      <c r="E647" t="str">
        <f>IF(OR(E646="&lt;/routeDistribution&gt;",E646=""),"",IFERROR(_xlfn.CONCAT(VLOOKUP(DX15,Route_Column!#REF!,2,FALSE),CHAR(34)," probability=",CHAR(34),1/DX$4,CHAR(34),CHAR(47),CHAR(62)),"&lt;/routeDistribution&gt;"))</f>
        <v/>
      </c>
    </row>
    <row r="648" spans="1:5" x14ac:dyDescent="0.25">
      <c r="A648">
        <v>12167183</v>
      </c>
      <c r="B648" t="s">
        <v>1230</v>
      </c>
      <c r="E648" t="str">
        <f>IF(OR(E647="&lt;/routeDistribution&gt;",E647=""),"",IFERROR(_xlfn.CONCAT(VLOOKUP(DX16,Route_Column!#REF!,2,FALSE),CHAR(34)," probability=",CHAR(34),1/DX$4,CHAR(34),CHAR(47),CHAR(62)),"&lt;/routeDistribution&gt;"))</f>
        <v/>
      </c>
    </row>
    <row r="649" spans="1:5" x14ac:dyDescent="0.25">
      <c r="A649">
        <v>12167183</v>
      </c>
      <c r="B649" t="s">
        <v>1231</v>
      </c>
      <c r="E649" t="str">
        <f>IF(OR(E648="&lt;/routeDistribution&gt;",E648=""),"",IFERROR(_xlfn.CONCAT(VLOOKUP(DX17,Route_Column!#REF!,2,FALSE),CHAR(34)," probability=",CHAR(34),1/DX$4,CHAR(34),CHAR(47),CHAR(62)),"&lt;/routeDistribution&gt;"))</f>
        <v/>
      </c>
    </row>
    <row r="650" spans="1:5" x14ac:dyDescent="0.25">
      <c r="A650">
        <v>12167183</v>
      </c>
      <c r="B650" t="s">
        <v>1253</v>
      </c>
      <c r="E650" t="str">
        <f>IF(OR(E649="&lt;/routeDistribution&gt;",E649=""),"",IFERROR(_xlfn.CONCAT(VLOOKUP(DX18,Route_Column!#REF!,2,FALSE),CHAR(34)," probability=",CHAR(34),1/DX$4,CHAR(34),CHAR(47),CHAR(62)),"&lt;/routeDistribution&gt;"))</f>
        <v/>
      </c>
    </row>
    <row r="651" spans="1:5" x14ac:dyDescent="0.25">
      <c r="A651">
        <v>12172067</v>
      </c>
      <c r="B651" t="s">
        <v>1223</v>
      </c>
      <c r="E651" t="str">
        <f>IF(OR(E650="&lt;/routeDistribution&gt;",E650=""),"",IFERROR(_xlfn.CONCAT(VLOOKUP(DX19,Route_Column!#REF!,2,FALSE),CHAR(34)," probability=",CHAR(34),1/DX$4,CHAR(34),CHAR(47),CHAR(62)),"&lt;/routeDistribution&gt;"))</f>
        <v/>
      </c>
    </row>
    <row r="652" spans="1:5" x14ac:dyDescent="0.25">
      <c r="A652">
        <v>12172225</v>
      </c>
      <c r="B652" t="s">
        <v>1246</v>
      </c>
      <c r="E652" t="str">
        <f>IF(OR(E651="&lt;/routeDistribution&gt;",E651=""),"",IFERROR(_xlfn.CONCAT(VLOOKUP(DX20,Route_Column!#REF!,2,FALSE),CHAR(34)," probability=",CHAR(34),1/DX$4,CHAR(34),CHAR(47),CHAR(62)),"&lt;/routeDistribution&gt;"))</f>
        <v/>
      </c>
    </row>
    <row r="653" spans="1:5" x14ac:dyDescent="0.25">
      <c r="A653">
        <v>12172225</v>
      </c>
      <c r="B653" t="s">
        <v>1247</v>
      </c>
      <c r="E653" t="str">
        <f>IF(OR(E652="&lt;/routeDistribution&gt;",E652=""),"",IFERROR(_xlfn.CONCAT(VLOOKUP(DX21,Route_Column!#REF!,2,FALSE),CHAR(34)," probability=",CHAR(34),1/DX$4,CHAR(34),CHAR(47),CHAR(62)),"&lt;/routeDistribution&gt;"))</f>
        <v/>
      </c>
    </row>
    <row r="654" spans="1:5" x14ac:dyDescent="0.25">
      <c r="A654">
        <v>12173391</v>
      </c>
      <c r="B654" t="s">
        <v>1112</v>
      </c>
      <c r="E654" t="str">
        <f>IF(OR(E653="&lt;/routeDistribution&gt;",E653=""),"",IFERROR(_xlfn.CONCAT(VLOOKUP(DX22,Route_Column!#REF!,2,FALSE),CHAR(34)," probability=",CHAR(34),1/DX$4,CHAR(34),CHAR(47),CHAR(62)),"&lt;/routeDistribution&gt;"))</f>
        <v/>
      </c>
    </row>
    <row r="655" spans="1:5" x14ac:dyDescent="0.25">
      <c r="A655">
        <v>12173391</v>
      </c>
      <c r="B655" t="s">
        <v>1113</v>
      </c>
      <c r="E655" t="str">
        <f>IF(OR(E654="&lt;/routeDistribution&gt;",E654=""),"",IFERROR(_xlfn.CONCAT(VLOOKUP(DX23,Route_Column!#REF!,2,FALSE),CHAR(34)," probability=",CHAR(34),1/DX$4,CHAR(34),CHAR(47),CHAR(62)),"&lt;/routeDistribution&gt;"))</f>
        <v/>
      </c>
    </row>
    <row r="656" spans="1:5" x14ac:dyDescent="0.25">
      <c r="A656">
        <v>12173391</v>
      </c>
      <c r="B656" t="s">
        <v>1114</v>
      </c>
      <c r="E656" t="str">
        <f>IF(OR(E655="&lt;/routeDistribution&gt;",E655=""),"",IFERROR(_xlfn.CONCAT(VLOOKUP(DX24,Route_Column!#REF!,2,FALSE),CHAR(34)," probability=",CHAR(34),1/DX$4,CHAR(34),CHAR(47),CHAR(62)),"&lt;/routeDistribution&gt;"))</f>
        <v/>
      </c>
    </row>
    <row r="657" spans="1:5" x14ac:dyDescent="0.25">
      <c r="A657">
        <v>12176631</v>
      </c>
      <c r="B657" t="s">
        <v>1112</v>
      </c>
      <c r="E657" t="str">
        <f>IF(OR(E656="&lt;/routeDistribution&gt;",E656=""),"",IFERROR(_xlfn.CONCAT(VLOOKUP(DX25,Route_Column!#REF!,2,FALSE),CHAR(34)," probability=",CHAR(34),1/DX$4,CHAR(34),CHAR(47),CHAR(62)),"&lt;/routeDistribution&gt;"))</f>
        <v/>
      </c>
    </row>
    <row r="658" spans="1:5" x14ac:dyDescent="0.25">
      <c r="A658" s="11">
        <v>12177498</v>
      </c>
      <c r="B658" t="s">
        <v>1091</v>
      </c>
      <c r="E658" t="str">
        <f>IF(OR(E657="&lt;/routeDistribution&gt;",E657=""),"",IFERROR(_xlfn.CONCAT(VLOOKUP(DX26,Route_Column!#REF!,2,FALSE),CHAR(34)," probability=",CHAR(34),1/DX$4,CHAR(34),CHAR(47),CHAR(62)),"&lt;/routeDistribution&gt;"))</f>
        <v/>
      </c>
    </row>
    <row r="659" spans="1:5" x14ac:dyDescent="0.25">
      <c r="A659">
        <v>12177498</v>
      </c>
      <c r="B659" t="s">
        <v>1092</v>
      </c>
      <c r="E659" t="str">
        <f>IF(OR(E658="&lt;/routeDistribution&gt;",E658=""),"",IFERROR(_xlfn.CONCAT(VLOOKUP(DX27,Route_Column!#REF!,2,FALSE),CHAR(34)," probability=",CHAR(34),1/DX$4,CHAR(34),CHAR(47),CHAR(62)),"&lt;/routeDistribution&gt;"))</f>
        <v/>
      </c>
    </row>
    <row r="660" spans="1:5" x14ac:dyDescent="0.25">
      <c r="A660">
        <v>12177498</v>
      </c>
      <c r="B660" t="s">
        <v>1093</v>
      </c>
      <c r="E660" t="str">
        <f>IF(OR(E659="&lt;/routeDistribution&gt;",E659=""),"",IFERROR(_xlfn.CONCAT(VLOOKUP(DX28,Route_Column!#REF!,2,FALSE),CHAR(34)," probability=",CHAR(34),1/DX$4,CHAR(34),CHAR(47),CHAR(62)),"&lt;/routeDistribution&gt;"))</f>
        <v/>
      </c>
    </row>
    <row r="661" spans="1:5" x14ac:dyDescent="0.25">
      <c r="A661">
        <v>12177498</v>
      </c>
      <c r="B661" t="s">
        <v>1094</v>
      </c>
      <c r="E661" t="str">
        <f>IF(OR(E660="&lt;/routeDistribution&gt;",E660=""),"",IFERROR(_xlfn.CONCAT(VLOOKUP(DX29,Route_Column!#REF!,2,FALSE),CHAR(34)," probability=",CHAR(34),1/DX$4,CHAR(34),CHAR(47),CHAR(62)),"&lt;/routeDistribution&gt;"))</f>
        <v/>
      </c>
    </row>
    <row r="662" spans="1:5" x14ac:dyDescent="0.25">
      <c r="A662">
        <v>12177498</v>
      </c>
      <c r="B662" t="s">
        <v>1095</v>
      </c>
      <c r="E662" t="str">
        <f>IF(OR(E661="&lt;/routeDistribution&gt;",E661=""),"",IFERROR(_xlfn.CONCAT(VLOOKUP(DX30,Route_Column!#REF!,2,FALSE),CHAR(34)," probability=",CHAR(34),1/DX$4,CHAR(34),CHAR(47),CHAR(62)),"&lt;/routeDistribution&gt;"))</f>
        <v/>
      </c>
    </row>
    <row r="663" spans="1:5" x14ac:dyDescent="0.25">
      <c r="A663">
        <v>12177498</v>
      </c>
      <c r="B663" t="s">
        <v>1096</v>
      </c>
      <c r="E663" t="str">
        <f>IF(OR(E662="&lt;/routeDistribution&gt;",E662=""),"",IFERROR(_xlfn.CONCAT(VLOOKUP(DX31,Route_Column!#REF!,2,FALSE),CHAR(34)," probability=",CHAR(34),1/DX$4,CHAR(34),CHAR(47),CHAR(62)),"&lt;/routeDistribution&gt;"))</f>
        <v/>
      </c>
    </row>
    <row r="664" spans="1:5" x14ac:dyDescent="0.25">
      <c r="A664">
        <v>12177498</v>
      </c>
      <c r="B664" t="s">
        <v>1097</v>
      </c>
      <c r="E664" t="str">
        <f>IF(OR(E663="&lt;/routeDistribution&gt;",E663=""),"",IFERROR(_xlfn.CONCAT(VLOOKUP(DX32,Route_Column!#REF!,2,FALSE),CHAR(34)," probability=",CHAR(34),1/DX$4,CHAR(34),CHAR(47),CHAR(62)),"&lt;/routeDistribution&gt;"))</f>
        <v/>
      </c>
    </row>
    <row r="665" spans="1:5" x14ac:dyDescent="0.25">
      <c r="A665">
        <v>12177498</v>
      </c>
      <c r="B665" t="s">
        <v>1098</v>
      </c>
      <c r="E665" t="str">
        <f>IF(OR(E664="&lt;/routeDistribution&gt;",E664=""),"",IFERROR(_xlfn.CONCAT(VLOOKUP(DX33,Route_Column!#REF!,2,FALSE),CHAR(34)," probability=",CHAR(34),1/DX$4,CHAR(34),CHAR(47),CHAR(62)),"&lt;/routeDistribution&gt;"))</f>
        <v/>
      </c>
    </row>
    <row r="666" spans="1:5" x14ac:dyDescent="0.25">
      <c r="A666">
        <v>12177498</v>
      </c>
      <c r="B666" t="s">
        <v>1099</v>
      </c>
      <c r="E666" t="str">
        <f>IF(OR(E665="&lt;/routeDistribution&gt;",E665=""),"",IFERROR(_xlfn.CONCAT(VLOOKUP(DX34,Route_Column!#REF!,2,FALSE),CHAR(34)," probability=",CHAR(34),1/DX$4,CHAR(34),CHAR(47),CHAR(62)),"&lt;/routeDistribution&gt;"))</f>
        <v/>
      </c>
    </row>
    <row r="667" spans="1:5" x14ac:dyDescent="0.25">
      <c r="A667">
        <v>12177498</v>
      </c>
      <c r="B667" t="s">
        <v>1100</v>
      </c>
      <c r="E667" t="str">
        <f>IF(OR(E666="&lt;/routeDistribution&gt;",E666=""),"",IFERROR(_xlfn.CONCAT(VLOOKUP(DX35,Route_Column!#REF!,2,FALSE),CHAR(34)," probability=",CHAR(34),1/DX$4,CHAR(34),CHAR(47),CHAR(62)),"&lt;/routeDistribution&gt;"))</f>
        <v/>
      </c>
    </row>
    <row r="668" spans="1:5" x14ac:dyDescent="0.25">
      <c r="A668">
        <v>12177498</v>
      </c>
      <c r="B668" t="s">
        <v>1101</v>
      </c>
      <c r="E668" t="str">
        <f>IF(OR(E667="&lt;/routeDistribution&gt;",E667=""),"",IFERROR(_xlfn.CONCAT(VLOOKUP(DX36,Route_Column!#REF!,2,FALSE),CHAR(34)," probability=",CHAR(34),1/DX$4,CHAR(34),CHAR(47),CHAR(62)),"&lt;/routeDistribution&gt;"))</f>
        <v/>
      </c>
    </row>
    <row r="669" spans="1:5" x14ac:dyDescent="0.25">
      <c r="A669">
        <v>12177498</v>
      </c>
      <c r="B669" t="s">
        <v>1102</v>
      </c>
      <c r="E669" t="str">
        <f>IF(OR(E668="&lt;/routeDistribution&gt;",E668=""),"",IFERROR(_xlfn.CONCAT(VLOOKUP(DX37,Route_Column!#REF!,2,FALSE),CHAR(34)," probability=",CHAR(34),1/DX$4,CHAR(34),CHAR(47),CHAR(62)),"&lt;/routeDistribution&gt;"))</f>
        <v/>
      </c>
    </row>
    <row r="670" spans="1:5" x14ac:dyDescent="0.25">
      <c r="A670">
        <v>12177498</v>
      </c>
      <c r="B670" t="s">
        <v>1103</v>
      </c>
      <c r="E670" t="str">
        <f>IF(OR(E669="&lt;/routeDistribution&gt;",E669=""),"",IFERROR(_xlfn.CONCAT(VLOOKUP(DX38,Route_Column!#REF!,2,FALSE),CHAR(34)," probability=",CHAR(34),1/DX$4,CHAR(34),CHAR(47),CHAR(62)),"&lt;/routeDistribution&gt;"))</f>
        <v/>
      </c>
    </row>
    <row r="671" spans="1:5" x14ac:dyDescent="0.25">
      <c r="A671">
        <v>12177498</v>
      </c>
      <c r="B671" t="s">
        <v>1104</v>
      </c>
      <c r="E671" t="str">
        <f>IF(OR(E670="&lt;/routeDistribution&gt;",E670=""),"",IFERROR(_xlfn.CONCAT(VLOOKUP(DX39,Route_Column!#REF!,2,FALSE),CHAR(34)," probability=",CHAR(34),1/DX$4,CHAR(34),CHAR(47),CHAR(62)),"&lt;/routeDistribution&gt;"))</f>
        <v/>
      </c>
    </row>
    <row r="672" spans="1:5" x14ac:dyDescent="0.25">
      <c r="A672">
        <v>12177498</v>
      </c>
      <c r="B672" t="s">
        <v>1105</v>
      </c>
      <c r="E672" t="str">
        <f>IF(OR(E671="&lt;/routeDistribution&gt;",E671=""),"",IFERROR(_xlfn.CONCAT(VLOOKUP(DX40,Route_Column!#REF!,2,FALSE),CHAR(34)," probability=",CHAR(34),1/DX$4,CHAR(34),CHAR(47),CHAR(62)),"&lt;/routeDistribution&gt;"))</f>
        <v/>
      </c>
    </row>
    <row r="673" spans="1:5" x14ac:dyDescent="0.25">
      <c r="A673">
        <v>12177498</v>
      </c>
      <c r="B673" t="s">
        <v>1106</v>
      </c>
      <c r="E673" t="str">
        <f>IF(OR(E672="&lt;/routeDistribution&gt;",E672=""),"",IFERROR(_xlfn.CONCAT(VLOOKUP(DX41,Route_Column!#REF!,2,FALSE),CHAR(34)," probability=",CHAR(34),1/DX$4,CHAR(34),CHAR(47),CHAR(62)),"&lt;/routeDistribution&gt;"))</f>
        <v/>
      </c>
    </row>
    <row r="674" spans="1:5" x14ac:dyDescent="0.25">
      <c r="A674">
        <v>12177498</v>
      </c>
      <c r="B674" t="s">
        <v>1107</v>
      </c>
      <c r="E674" t="str">
        <f>IF(OR(E673="&lt;/routeDistribution&gt;",E673=""),"",IFERROR(_xlfn.CONCAT(VLOOKUP(DX42,Route_Column!#REF!,2,FALSE),CHAR(34)," probability=",CHAR(34),1/DX$4,CHAR(34),CHAR(47),CHAR(62)),"&lt;/routeDistribution&gt;"))</f>
        <v/>
      </c>
    </row>
    <row r="675" spans="1:5" x14ac:dyDescent="0.25">
      <c r="A675">
        <v>12187745</v>
      </c>
      <c r="B675" t="s">
        <v>1134</v>
      </c>
      <c r="E675" t="str">
        <f>IF(OR(E674="&lt;/routeDistribution&gt;",E674=""),"",IFERROR(_xlfn.CONCAT(VLOOKUP(DX43,Route_Column!#REF!,2,FALSE),CHAR(34)," probability=",CHAR(34),1/DX$4,CHAR(34),CHAR(47),CHAR(62)),"&lt;/routeDistribution&gt;"))</f>
        <v/>
      </c>
    </row>
    <row r="676" spans="1:5" x14ac:dyDescent="0.25">
      <c r="A676">
        <v>12187745</v>
      </c>
      <c r="B676" t="s">
        <v>1136</v>
      </c>
      <c r="E676" t="str">
        <f>IF(OR(E675="&lt;/routeDistribution&gt;",E675=""),"",IFERROR(_xlfn.CONCAT(VLOOKUP(DX44,Route_Column!#REF!,2,FALSE),CHAR(34)," probability=",CHAR(34),1/DX$4,CHAR(34),CHAR(47),CHAR(62)),"&lt;/routeDistribution&gt;"))</f>
        <v/>
      </c>
    </row>
    <row r="677" spans="1:5" x14ac:dyDescent="0.25">
      <c r="A677">
        <v>12187745</v>
      </c>
      <c r="B677" t="s">
        <v>1137</v>
      </c>
      <c r="E677" t="str">
        <f>IF(OR(E676="&lt;/routeDistribution&gt;",E676=""),"",IFERROR(_xlfn.CONCAT(VLOOKUP(DX45,Route_Column!#REF!,2,FALSE),CHAR(34)," probability=",CHAR(34),1/DX$4,CHAR(34),CHAR(47),CHAR(62)),"&lt;/routeDistribution&gt;"))</f>
        <v/>
      </c>
    </row>
    <row r="678" spans="1:5" x14ac:dyDescent="0.25">
      <c r="A678">
        <v>12187745</v>
      </c>
      <c r="B678" t="s">
        <v>1144</v>
      </c>
      <c r="E678" t="str">
        <f>IF(OR(E677="&lt;/routeDistribution&gt;",E677=""),"",IFERROR(_xlfn.CONCAT(VLOOKUP(DX46,Route_Column!#REF!,2,FALSE),CHAR(34)," probability=",CHAR(34),1/DX$4,CHAR(34),CHAR(47),CHAR(62)),"&lt;/routeDistribution&gt;"))</f>
        <v/>
      </c>
    </row>
    <row r="679" spans="1:5" x14ac:dyDescent="0.25">
      <c r="A679">
        <v>12187745</v>
      </c>
      <c r="B679" t="s">
        <v>1145</v>
      </c>
      <c r="E679" t="str">
        <f>IF(OR(E678="&lt;/routeDistribution&gt;",E678=""),"",IFERROR(_xlfn.CONCAT(VLOOKUP(DX47,Route_Column!#REF!,2,FALSE),CHAR(34)," probability=",CHAR(34),1/DX$4,CHAR(34),CHAR(47),CHAR(62)),"&lt;/routeDistribution&gt;"))</f>
        <v/>
      </c>
    </row>
    <row r="680" spans="1:5" x14ac:dyDescent="0.25">
      <c r="A680">
        <v>12188656</v>
      </c>
      <c r="B680" t="s">
        <v>1102</v>
      </c>
      <c r="E680" t="str">
        <f>IF(OR(E679="&lt;/routeDistribution&gt;",E679=""),"",IFERROR(_xlfn.CONCAT(VLOOKUP(DX48,Route_Column!#REF!,2,FALSE),CHAR(34)," probability=",CHAR(34),1/DX$4,CHAR(34),CHAR(47),CHAR(62)),"&lt;/routeDistribution&gt;"))</f>
        <v/>
      </c>
    </row>
    <row r="681" spans="1:5" x14ac:dyDescent="0.25">
      <c r="A681">
        <v>12188656</v>
      </c>
      <c r="B681" t="s">
        <v>1110</v>
      </c>
      <c r="E681" t="str">
        <f>IF(OR(E680="&lt;/routeDistribution&gt;",E680=""),"",IFERROR(_xlfn.CONCAT(VLOOKUP(DX49,Route_Column!#REF!,2,FALSE),CHAR(34)," probability=",CHAR(34),1/DX$4,CHAR(34),CHAR(47),CHAR(62)),"&lt;/routeDistribution&gt;"))</f>
        <v/>
      </c>
    </row>
    <row r="682" spans="1:5" x14ac:dyDescent="0.25">
      <c r="A682">
        <v>12188656</v>
      </c>
      <c r="B682" t="s">
        <v>1196</v>
      </c>
      <c r="E682" t="str">
        <f>IF(OR(E681="&lt;/routeDistribution&gt;",E681=""),"",IFERROR(_xlfn.CONCAT(VLOOKUP(DX50,Route_Column!#REF!,2,FALSE),CHAR(34)," probability=",CHAR(34),1/DX$4,CHAR(34),CHAR(47),CHAR(62)),"&lt;/routeDistribution&gt;"))</f>
        <v/>
      </c>
    </row>
    <row r="683" spans="1:5" x14ac:dyDescent="0.25">
      <c r="A683">
        <v>12188656</v>
      </c>
      <c r="B683" t="s">
        <v>1201</v>
      </c>
      <c r="E683" t="str">
        <f>IF(OR(E682="&lt;/routeDistribution&gt;",E682=""),"",IFERROR(_xlfn.CONCAT(VLOOKUP(DX51,Route_Column!#REF!,2,FALSE),CHAR(34)," probability=",CHAR(34),1/DX$4,CHAR(34),CHAR(47),CHAR(62)),"&lt;/routeDistribution&gt;"))</f>
        <v/>
      </c>
    </row>
    <row r="684" spans="1:5" x14ac:dyDescent="0.25">
      <c r="A684">
        <v>12188656</v>
      </c>
      <c r="B684" t="s">
        <v>1206</v>
      </c>
      <c r="E684" t="str">
        <f>IF(OR(E683="&lt;/routeDistribution&gt;",E683=""),"",IFERROR(_xlfn.CONCAT(VLOOKUP(DX52,Route_Column!#REF!,2,FALSE),CHAR(34)," probability=",CHAR(34),1/DX$4,CHAR(34),CHAR(47),CHAR(62)),"&lt;/routeDistribution&gt;"))</f>
        <v/>
      </c>
    </row>
    <row r="685" spans="1:5" x14ac:dyDescent="0.25">
      <c r="A685" s="11">
        <v>12202018</v>
      </c>
      <c r="B685" t="s">
        <v>1091</v>
      </c>
      <c r="E685" t="str">
        <f>IF(OR(E684="&lt;/routeDistribution&gt;",E684=""),"",IFERROR(_xlfn.CONCAT(VLOOKUP(DX53,Route_Column!#REF!,2,FALSE),CHAR(34)," probability=",CHAR(34),1/DX$4,CHAR(34),CHAR(47),CHAR(62)),"&lt;/routeDistribution&gt;"))</f>
        <v/>
      </c>
    </row>
    <row r="686" spans="1:5" x14ac:dyDescent="0.25">
      <c r="A686">
        <v>12202018</v>
      </c>
      <c r="B686" t="s">
        <v>1092</v>
      </c>
      <c r="E686" t="str">
        <f>IF(OR(E685="&lt;/routeDistribution&gt;",E685=""),"",IFERROR(_xlfn.CONCAT(VLOOKUP(DX54,Route_Column!#REF!,2,FALSE),CHAR(34)," probability=",CHAR(34),1/DX$4,CHAR(34),CHAR(47),CHAR(62)),"&lt;/routeDistribution&gt;"))</f>
        <v/>
      </c>
    </row>
    <row r="687" spans="1:5" x14ac:dyDescent="0.25">
      <c r="A687">
        <v>12202018</v>
      </c>
      <c r="B687" t="s">
        <v>1093</v>
      </c>
      <c r="E687" t="str">
        <f>IF(OR(E686="&lt;/routeDistribution&gt;",E686=""),"",IFERROR(_xlfn.CONCAT(VLOOKUP(DX55,Route_Column!#REF!,2,FALSE),CHAR(34)," probability=",CHAR(34),1/DX$4,CHAR(34),CHAR(47),CHAR(62)),"&lt;/routeDistribution&gt;"))</f>
        <v/>
      </c>
    </row>
    <row r="688" spans="1:5" x14ac:dyDescent="0.25">
      <c r="A688">
        <v>12202018</v>
      </c>
      <c r="B688" t="s">
        <v>1094</v>
      </c>
      <c r="E688" t="str">
        <f>IF(OR(E687="&lt;/routeDistribution&gt;",E687=""),"",IFERROR(_xlfn.CONCAT(VLOOKUP(DX56,Route_Column!#REF!,2,FALSE),CHAR(34)," probability=",CHAR(34),1/DX$4,CHAR(34),CHAR(47),CHAR(62)),"&lt;/routeDistribution&gt;"))</f>
        <v/>
      </c>
    </row>
    <row r="689" spans="1:5" x14ac:dyDescent="0.25">
      <c r="A689">
        <v>12202018</v>
      </c>
      <c r="B689" t="s">
        <v>1160</v>
      </c>
      <c r="E689" t="str">
        <f>IF(OR(E688="&lt;/routeDistribution&gt;",E688=""),"",IFERROR(_xlfn.CONCAT(VLOOKUP(DX57,Route_Column!#REF!,2,FALSE),CHAR(34)," probability=",CHAR(34),1/DX$4,CHAR(34),CHAR(47),CHAR(62)),"&lt;/routeDistribution&gt;"))</f>
        <v/>
      </c>
    </row>
    <row r="690" spans="1:5" x14ac:dyDescent="0.25">
      <c r="A690">
        <v>12202018</v>
      </c>
      <c r="B690" t="s">
        <v>1166</v>
      </c>
      <c r="E690" t="str">
        <f>IF(OR(E689="&lt;/routeDistribution&gt;",E689=""),"",IFERROR(_xlfn.CONCAT(VLOOKUP(DX58,Route_Column!#REF!,2,FALSE),CHAR(34)," probability=",CHAR(34),1/DX$4,CHAR(34),CHAR(47),CHAR(62)),"&lt;/routeDistribution&gt;"))</f>
        <v/>
      </c>
    </row>
    <row r="691" spans="1:5" x14ac:dyDescent="0.25">
      <c r="A691">
        <v>12202018</v>
      </c>
      <c r="B691" t="s">
        <v>1167</v>
      </c>
      <c r="E691" t="str">
        <f>IF(OR(E690="&lt;/routeDistribution&gt;",E690=""),"",IFERROR(_xlfn.CONCAT(VLOOKUP(DX59,Route_Column!#REF!,2,FALSE),CHAR(34)," probability=",CHAR(34),1/DX$4,CHAR(34),CHAR(47),CHAR(62)),"&lt;/routeDistribution&gt;"))</f>
        <v/>
      </c>
    </row>
    <row r="692" spans="1:5" x14ac:dyDescent="0.25">
      <c r="A692">
        <v>12202018</v>
      </c>
      <c r="B692" t="s">
        <v>1168</v>
      </c>
      <c r="E692" t="str">
        <f>IF(OR(E691="&lt;/routeDistribution&gt;",E691=""),"",IFERROR(_xlfn.CONCAT(VLOOKUP(DX60,Route_Column!#REF!,2,FALSE),CHAR(34)," probability=",CHAR(34),1/DX$4,CHAR(34),CHAR(47),CHAR(62)),"&lt;/routeDistribution&gt;"))</f>
        <v/>
      </c>
    </row>
    <row r="693" spans="1:5" x14ac:dyDescent="0.25">
      <c r="A693">
        <v>12202018</v>
      </c>
      <c r="B693" t="s">
        <v>1169</v>
      </c>
      <c r="E693" t="str">
        <f>IF(OR(E692="&lt;/routeDistribution&gt;",E692=""),"",IFERROR(_xlfn.CONCAT(VLOOKUP(DX61,Route_Column!#REF!,2,FALSE),CHAR(34)," probability=",CHAR(34),1/DX$4,CHAR(34),CHAR(47),CHAR(62)),"&lt;/routeDistribution&gt;"))</f>
        <v/>
      </c>
    </row>
    <row r="694" spans="1:5" x14ac:dyDescent="0.25">
      <c r="A694">
        <v>12202018</v>
      </c>
      <c r="B694" t="s">
        <v>1170</v>
      </c>
      <c r="E694" t="str">
        <f>IF(OR(E693="&lt;/routeDistribution&gt;",E693=""),"",IFERROR(_xlfn.CONCAT(VLOOKUP(DX62,Route_Column!#REF!,2,FALSE),CHAR(34)," probability=",CHAR(34),1/DX$4,CHAR(34),CHAR(47),CHAR(62)),"&lt;/routeDistribution&gt;"))</f>
        <v/>
      </c>
    </row>
    <row r="695" spans="1:5" x14ac:dyDescent="0.25">
      <c r="A695">
        <v>12202018</v>
      </c>
      <c r="B695" t="s">
        <v>1194</v>
      </c>
      <c r="E695" t="str">
        <f>IF(OR(E694="&lt;/routeDistribution&gt;",E694=""),"",IFERROR(_xlfn.CONCAT(VLOOKUP(DX63,Route_Column!#REF!,2,FALSE),CHAR(34)," probability=",CHAR(34),1/DX$4,CHAR(34),CHAR(47),CHAR(62)),"&lt;/routeDistribution&gt;"))</f>
        <v/>
      </c>
    </row>
    <row r="696" spans="1:5" x14ac:dyDescent="0.25">
      <c r="A696">
        <v>12202018</v>
      </c>
      <c r="B696" t="s">
        <v>1198</v>
      </c>
      <c r="E696" t="s">
        <v>2686</v>
      </c>
    </row>
    <row r="697" spans="1:5" x14ac:dyDescent="0.25">
      <c r="A697">
        <v>28533986</v>
      </c>
      <c r="B697" t="s">
        <v>1140</v>
      </c>
    </row>
    <row r="698" spans="1:5" x14ac:dyDescent="0.25">
      <c r="A698">
        <v>28533986</v>
      </c>
      <c r="B698" t="s">
        <v>1141</v>
      </c>
    </row>
    <row r="699" spans="1:5" x14ac:dyDescent="0.25">
      <c r="A699">
        <v>28533986</v>
      </c>
      <c r="B699" t="s">
        <v>1142</v>
      </c>
      <c r="E699" t="str">
        <f>_xlfn.CONCAT($E$1,DW$2,$F$1)</f>
        <v>&lt;routeDistribution id="BaltiAVe-NB-2014-RouteProbe"&gt;</v>
      </c>
    </row>
    <row r="700" spans="1:5" x14ac:dyDescent="0.25">
      <c r="A700">
        <v>28533986</v>
      </c>
      <c r="B700" t="s">
        <v>1150</v>
      </c>
      <c r="E700" t="str">
        <f>IF(OR(E699="&lt;/routeDistribution&gt;",E699=""),"",IFERROR(_xlfn.CONCAT(VLOOKUP(DW5,Route_Column!#REF!,2,FALSE),CHAR(34)," probability=",CHAR(34),1/DW$4,CHAR(34),CHAR(47),CHAR(62)),"&lt;/routeDistribution&gt;"))</f>
        <v>&lt;/routeDistribution&gt;</v>
      </c>
    </row>
    <row r="701" spans="1:5" x14ac:dyDescent="0.25">
      <c r="A701">
        <v>28533986</v>
      </c>
      <c r="B701" t="s">
        <v>1151</v>
      </c>
      <c r="E701" t="str">
        <f>IF(OR(E700="&lt;/routeDistribution&gt;",E700=""),"",IFERROR(_xlfn.CONCAT(VLOOKUP(DW6,Route_Column!#REF!,2,FALSE),CHAR(34)," probability=",CHAR(34),1/DW$4,CHAR(34),CHAR(47),CHAR(62)),"&lt;/routeDistribution&gt;"))</f>
        <v/>
      </c>
    </row>
    <row r="702" spans="1:5" x14ac:dyDescent="0.25">
      <c r="A702">
        <v>28533986</v>
      </c>
      <c r="B702" t="s">
        <v>1179</v>
      </c>
      <c r="E702" t="str">
        <f>IF(OR(E701="&lt;/routeDistribution&gt;",E701=""),"",IFERROR(_xlfn.CONCAT(VLOOKUP(DW7,Route_Column!#REF!,2,FALSE),CHAR(34)," probability=",CHAR(34),1/DW$4,CHAR(34),CHAR(47),CHAR(62)),"&lt;/routeDistribution&gt;"))</f>
        <v/>
      </c>
    </row>
    <row r="703" spans="1:5" x14ac:dyDescent="0.25">
      <c r="A703">
        <v>28533986</v>
      </c>
      <c r="B703" t="s">
        <v>1205</v>
      </c>
      <c r="E703" t="str">
        <f>IF(OR(E702="&lt;/routeDistribution&gt;",E702=""),"",IFERROR(_xlfn.CONCAT(VLOOKUP(DW8,Route_Column!#REF!,2,FALSE),CHAR(34)," probability=",CHAR(34),1/DW$4,CHAR(34),CHAR(47),CHAR(62)),"&lt;/routeDistribution&gt;"))</f>
        <v/>
      </c>
    </row>
    <row r="704" spans="1:5" x14ac:dyDescent="0.25">
      <c r="A704">
        <v>28533986</v>
      </c>
      <c r="B704" t="s">
        <v>1206</v>
      </c>
      <c r="E704" t="str">
        <f>IF(OR(E703="&lt;/routeDistribution&gt;",E703=""),"",IFERROR(_xlfn.CONCAT(VLOOKUP(DW9,Route_Column!#REF!,2,FALSE),CHAR(34)," probability=",CHAR(34),1/DW$4,CHAR(34),CHAR(47),CHAR(62)),"&lt;/routeDistribution&gt;"))</f>
        <v/>
      </c>
    </row>
    <row r="705" spans="1:5" x14ac:dyDescent="0.25">
      <c r="A705">
        <v>28533986</v>
      </c>
      <c r="B705" t="s">
        <v>1207</v>
      </c>
      <c r="E705" t="str">
        <f>IF(OR(E704="&lt;/routeDistribution&gt;",E704=""),"",IFERROR(_xlfn.CONCAT(VLOOKUP(DW10,Route_Column!#REF!,2,FALSE),CHAR(34)," probability=",CHAR(34),1/DW$4,CHAR(34),CHAR(47),CHAR(62)),"&lt;/routeDistribution&gt;"))</f>
        <v/>
      </c>
    </row>
    <row r="706" spans="1:5" x14ac:dyDescent="0.25">
      <c r="A706">
        <v>28533986</v>
      </c>
      <c r="B706" t="s">
        <v>1208</v>
      </c>
      <c r="E706" t="str">
        <f>IF(OR(E705="&lt;/routeDistribution&gt;",E705=""),"",IFERROR(_xlfn.CONCAT(VLOOKUP(DW11,Route_Column!#REF!,2,FALSE),CHAR(34)," probability=",CHAR(34),1/DW$4,CHAR(34),CHAR(47),CHAR(62)),"&lt;/routeDistribution&gt;"))</f>
        <v/>
      </c>
    </row>
    <row r="707" spans="1:5" x14ac:dyDescent="0.25">
      <c r="A707">
        <v>28533986</v>
      </c>
      <c r="B707" t="s">
        <v>1232</v>
      </c>
      <c r="E707" t="str">
        <f>IF(OR(E706="&lt;/routeDistribution&gt;",E706=""),"",IFERROR(_xlfn.CONCAT(VLOOKUP(DW12,Route_Column!#REF!,2,FALSE),CHAR(34)," probability=",CHAR(34),1/DW$4,CHAR(34),CHAR(47),CHAR(62)),"&lt;/routeDistribution&gt;"))</f>
        <v/>
      </c>
    </row>
    <row r="708" spans="1:5" x14ac:dyDescent="0.25">
      <c r="A708">
        <v>28533986</v>
      </c>
      <c r="B708" t="s">
        <v>1233</v>
      </c>
      <c r="E708" t="str">
        <f>IF(OR(E707="&lt;/routeDistribution&gt;",E707=""),"",IFERROR(_xlfn.CONCAT(VLOOKUP(DW13,Route_Column!#REF!,2,FALSE),CHAR(34)," probability=",CHAR(34),1/DW$4,CHAR(34),CHAR(47),CHAR(62)),"&lt;/routeDistribution&gt;"))</f>
        <v/>
      </c>
    </row>
    <row r="709" spans="1:5" x14ac:dyDescent="0.25">
      <c r="A709">
        <v>28533986</v>
      </c>
      <c r="B709" t="s">
        <v>1234</v>
      </c>
      <c r="E709" t="str">
        <f>IF(OR(E708="&lt;/routeDistribution&gt;",E708=""),"",IFERROR(_xlfn.CONCAT(VLOOKUP(DW14,Route_Column!#REF!,2,FALSE),CHAR(34)," probability=",CHAR(34),1/DW$4,CHAR(34),CHAR(47),CHAR(62)),"&lt;/routeDistribution&gt;"))</f>
        <v/>
      </c>
    </row>
    <row r="710" spans="1:5" x14ac:dyDescent="0.25">
      <c r="A710">
        <v>28533986</v>
      </c>
      <c r="B710" t="s">
        <v>1235</v>
      </c>
      <c r="E710" t="str">
        <f>IF(OR(E709="&lt;/routeDistribution&gt;",E709=""),"",IFERROR(_xlfn.CONCAT(VLOOKUP(DW15,Route_Column!#REF!,2,FALSE),CHAR(34)," probability=",CHAR(34),1/DW$4,CHAR(34),CHAR(47),CHAR(62)),"&lt;/routeDistribution&gt;"))</f>
        <v/>
      </c>
    </row>
    <row r="711" spans="1:5" x14ac:dyDescent="0.25">
      <c r="A711">
        <v>28533986</v>
      </c>
      <c r="B711" t="s">
        <v>1236</v>
      </c>
      <c r="E711" t="str">
        <f>IF(OR(E710="&lt;/routeDistribution&gt;",E710=""),"",IFERROR(_xlfn.CONCAT(VLOOKUP(DW16,Route_Column!#REF!,2,FALSE),CHAR(34)," probability=",CHAR(34),1/DW$4,CHAR(34),CHAR(47),CHAR(62)),"&lt;/routeDistribution&gt;"))</f>
        <v/>
      </c>
    </row>
    <row r="712" spans="1:5" x14ac:dyDescent="0.25">
      <c r="A712">
        <v>28533986</v>
      </c>
      <c r="B712" t="s">
        <v>1237</v>
      </c>
      <c r="E712" t="str">
        <f>IF(OR(E711="&lt;/routeDistribution&gt;",E711=""),"",IFERROR(_xlfn.CONCAT(VLOOKUP(DW17,Route_Column!#REF!,2,FALSE),CHAR(34)," probability=",CHAR(34),1/DW$4,CHAR(34),CHAR(47),CHAR(62)),"&lt;/routeDistribution&gt;"))</f>
        <v/>
      </c>
    </row>
    <row r="713" spans="1:5" x14ac:dyDescent="0.25">
      <c r="A713">
        <v>28533986</v>
      </c>
      <c r="B713" t="s">
        <v>1238</v>
      </c>
      <c r="E713" t="str">
        <f>IF(OR(E712="&lt;/routeDistribution&gt;",E712=""),"",IFERROR(_xlfn.CONCAT(VLOOKUP(DW18,Route_Column!#REF!,2,FALSE),CHAR(34)," probability=",CHAR(34),1/DW$4,CHAR(34),CHAR(47),CHAR(62)),"&lt;/routeDistribution&gt;"))</f>
        <v/>
      </c>
    </row>
    <row r="714" spans="1:5" x14ac:dyDescent="0.25">
      <c r="A714">
        <v>28533986</v>
      </c>
      <c r="B714" t="s">
        <v>1239</v>
      </c>
      <c r="E714" t="str">
        <f>IF(OR(E713="&lt;/routeDistribution&gt;",E713=""),"",IFERROR(_xlfn.CONCAT(VLOOKUP(DW19,Route_Column!#REF!,2,FALSE),CHAR(34)," probability=",CHAR(34),1/DW$4,CHAR(34),CHAR(47),CHAR(62)),"&lt;/routeDistribution&gt;"))</f>
        <v/>
      </c>
    </row>
    <row r="715" spans="1:5" x14ac:dyDescent="0.25">
      <c r="A715">
        <v>28533986</v>
      </c>
      <c r="B715" t="s">
        <v>1240</v>
      </c>
      <c r="E715" t="str">
        <f>IF(OR(E714="&lt;/routeDistribution&gt;",E714=""),"",IFERROR(_xlfn.CONCAT(VLOOKUP(DW20,Route_Column!#REF!,2,FALSE),CHAR(34)," probability=",CHAR(34),1/DW$4,CHAR(34),CHAR(47),CHAR(62)),"&lt;/routeDistribution&gt;"))</f>
        <v/>
      </c>
    </row>
    <row r="716" spans="1:5" x14ac:dyDescent="0.25">
      <c r="A716">
        <v>28533986</v>
      </c>
      <c r="B716" t="s">
        <v>1241</v>
      </c>
      <c r="E716" t="str">
        <f>IF(OR(E715="&lt;/routeDistribution&gt;",E715=""),"",IFERROR(_xlfn.CONCAT(VLOOKUP(DW21,Route_Column!#REF!,2,FALSE),CHAR(34)," probability=",CHAR(34),1/DW$4,CHAR(34),CHAR(47),CHAR(62)),"&lt;/routeDistribution&gt;"))</f>
        <v/>
      </c>
    </row>
    <row r="717" spans="1:5" x14ac:dyDescent="0.25">
      <c r="A717">
        <v>28533986</v>
      </c>
      <c r="B717" t="s">
        <v>1242</v>
      </c>
      <c r="E717" t="str">
        <f>IF(OR(E716="&lt;/routeDistribution&gt;",E716=""),"",IFERROR(_xlfn.CONCAT(VLOOKUP(DW22,Route_Column!#REF!,2,FALSE),CHAR(34)," probability=",CHAR(34),1/DW$4,CHAR(34),CHAR(47),CHAR(62)),"&lt;/routeDistribution&gt;"))</f>
        <v/>
      </c>
    </row>
    <row r="718" spans="1:5" x14ac:dyDescent="0.25">
      <c r="A718">
        <v>28533986</v>
      </c>
      <c r="B718" t="s">
        <v>1243</v>
      </c>
      <c r="E718" t="str">
        <f>IF(OR(E717="&lt;/routeDistribution&gt;",E717=""),"",IFERROR(_xlfn.CONCAT(VLOOKUP(DW23,Route_Column!#REF!,2,FALSE),CHAR(34)," probability=",CHAR(34),1/DW$4,CHAR(34),CHAR(47),CHAR(62)),"&lt;/routeDistribution&gt;"))</f>
        <v/>
      </c>
    </row>
    <row r="719" spans="1:5" x14ac:dyDescent="0.25">
      <c r="A719">
        <v>28533986</v>
      </c>
      <c r="B719" t="s">
        <v>1244</v>
      </c>
      <c r="E719" t="str">
        <f>IF(OR(E718="&lt;/routeDistribution&gt;",E718=""),"",IFERROR(_xlfn.CONCAT(VLOOKUP(DW24,Route_Column!#REF!,2,FALSE),CHAR(34)," probability=",CHAR(34),1/DW$4,CHAR(34),CHAR(47),CHAR(62)),"&lt;/routeDistribution&gt;"))</f>
        <v/>
      </c>
    </row>
    <row r="720" spans="1:5" x14ac:dyDescent="0.25">
      <c r="A720">
        <v>28533986</v>
      </c>
      <c r="B720" t="s">
        <v>1245</v>
      </c>
      <c r="E720" t="str">
        <f>IF(OR(E719="&lt;/routeDistribution&gt;",E719=""),"",IFERROR(_xlfn.CONCAT(VLOOKUP(DW25,Route_Column!#REF!,2,FALSE),CHAR(34)," probability=",CHAR(34),1/DW$4,CHAR(34),CHAR(47),CHAR(62)),"&lt;/routeDistribution&gt;"))</f>
        <v/>
      </c>
    </row>
    <row r="721" spans="1:5" x14ac:dyDescent="0.25">
      <c r="A721">
        <v>28533986</v>
      </c>
      <c r="B721" t="s">
        <v>1246</v>
      </c>
      <c r="E721" t="str">
        <f>IF(OR(E720="&lt;/routeDistribution&gt;",E720=""),"",IFERROR(_xlfn.CONCAT(VLOOKUP(DW26,Route_Column!#REF!,2,FALSE),CHAR(34)," probability=",CHAR(34),1/DW$4,CHAR(34),CHAR(47),CHAR(62)),"&lt;/routeDistribution&gt;"))</f>
        <v/>
      </c>
    </row>
    <row r="722" spans="1:5" x14ac:dyDescent="0.25">
      <c r="A722">
        <v>28533986</v>
      </c>
      <c r="B722" t="s">
        <v>1247</v>
      </c>
      <c r="E722" t="str">
        <f>IF(OR(E721="&lt;/routeDistribution&gt;",E721=""),"",IFERROR(_xlfn.CONCAT(VLOOKUP(DW27,Route_Column!#REF!,2,FALSE),CHAR(34)," probability=",CHAR(34),1/DW$4,CHAR(34),CHAR(47),CHAR(62)),"&lt;/routeDistribution&gt;"))</f>
        <v/>
      </c>
    </row>
    <row r="723" spans="1:5" x14ac:dyDescent="0.25">
      <c r="A723">
        <v>28533986</v>
      </c>
      <c r="B723" t="s">
        <v>1248</v>
      </c>
      <c r="E723" t="str">
        <f>IF(OR(E722="&lt;/routeDistribution&gt;",E722=""),"",IFERROR(_xlfn.CONCAT(VLOOKUP(DW28,Route_Column!#REF!,2,FALSE),CHAR(34)," probability=",CHAR(34),1/DW$4,CHAR(34),CHAR(47),CHAR(62)),"&lt;/routeDistribution&gt;"))</f>
        <v/>
      </c>
    </row>
    <row r="724" spans="1:5" x14ac:dyDescent="0.25">
      <c r="A724">
        <v>28533986</v>
      </c>
      <c r="B724" t="s">
        <v>1249</v>
      </c>
      <c r="E724" t="str">
        <f>IF(OR(E723="&lt;/routeDistribution&gt;",E723=""),"",IFERROR(_xlfn.CONCAT(VLOOKUP(DW29,Route_Column!#REF!,2,FALSE),CHAR(34)," probability=",CHAR(34),1/DW$4,CHAR(34),CHAR(47),CHAR(62)),"&lt;/routeDistribution&gt;"))</f>
        <v/>
      </c>
    </row>
    <row r="725" spans="1:5" x14ac:dyDescent="0.25">
      <c r="A725">
        <v>28533986</v>
      </c>
      <c r="B725" t="s">
        <v>1250</v>
      </c>
      <c r="E725" t="str">
        <f>IF(OR(E724="&lt;/routeDistribution&gt;",E724=""),"",IFERROR(_xlfn.CONCAT(VLOOKUP(DW30,Route_Column!#REF!,2,FALSE),CHAR(34)," probability=",CHAR(34),1/DW$4,CHAR(34),CHAR(47),CHAR(62)),"&lt;/routeDistribution&gt;"))</f>
        <v/>
      </c>
    </row>
    <row r="726" spans="1:5" x14ac:dyDescent="0.25">
      <c r="A726">
        <v>28555332</v>
      </c>
      <c r="B726" t="s">
        <v>1214</v>
      </c>
      <c r="E726" t="str">
        <f>IF(OR(E725="&lt;/routeDistribution&gt;",E725=""),"",IFERROR(_xlfn.CONCAT(VLOOKUP(DW31,Route_Column!#REF!,2,FALSE),CHAR(34)," probability=",CHAR(34),1/DW$4,CHAR(34),CHAR(47),CHAR(62)),"&lt;/routeDistribution&gt;"))</f>
        <v/>
      </c>
    </row>
    <row r="727" spans="1:5" x14ac:dyDescent="0.25">
      <c r="A727">
        <v>28555332</v>
      </c>
      <c r="B727" t="s">
        <v>1215</v>
      </c>
      <c r="E727" t="str">
        <f>IF(OR(E726="&lt;/routeDistribution&gt;",E726=""),"",IFERROR(_xlfn.CONCAT(VLOOKUP(DW32,Route_Column!#REF!,2,FALSE),CHAR(34)," probability=",CHAR(34),1/DW$4,CHAR(34),CHAR(47),CHAR(62)),"&lt;/routeDistribution&gt;"))</f>
        <v/>
      </c>
    </row>
    <row r="728" spans="1:5" x14ac:dyDescent="0.25">
      <c r="A728">
        <v>28555332</v>
      </c>
      <c r="B728" t="s">
        <v>1216</v>
      </c>
      <c r="E728" t="str">
        <f>IF(OR(E727="&lt;/routeDistribution&gt;",E727=""),"",IFERROR(_xlfn.CONCAT(VLOOKUP(DW33,Route_Column!#REF!,2,FALSE),CHAR(34)," probability=",CHAR(34),1/DW$4,CHAR(34),CHAR(47),CHAR(62)),"&lt;/routeDistribution&gt;"))</f>
        <v/>
      </c>
    </row>
    <row r="729" spans="1:5" x14ac:dyDescent="0.25">
      <c r="A729">
        <v>28555332</v>
      </c>
      <c r="B729" t="s">
        <v>1217</v>
      </c>
      <c r="E729" t="str">
        <f>IF(OR(E728="&lt;/routeDistribution&gt;",E728=""),"",IFERROR(_xlfn.CONCAT(VLOOKUP(DW34,Route_Column!#REF!,2,FALSE),CHAR(34)," probability=",CHAR(34),1/DW$4,CHAR(34),CHAR(47),CHAR(62)),"&lt;/routeDistribution&gt;"))</f>
        <v/>
      </c>
    </row>
    <row r="730" spans="1:5" x14ac:dyDescent="0.25">
      <c r="A730">
        <v>28555332</v>
      </c>
      <c r="B730" t="s">
        <v>1218</v>
      </c>
      <c r="E730" t="str">
        <f>IF(OR(E729="&lt;/routeDistribution&gt;",E729=""),"",IFERROR(_xlfn.CONCAT(VLOOKUP(DW35,Route_Column!#REF!,2,FALSE),CHAR(34)," probability=",CHAR(34),1/DW$4,CHAR(34),CHAR(47),CHAR(62)),"&lt;/routeDistribution&gt;"))</f>
        <v/>
      </c>
    </row>
    <row r="731" spans="1:5" x14ac:dyDescent="0.25">
      <c r="A731">
        <v>28555332</v>
      </c>
      <c r="B731" t="s">
        <v>1219</v>
      </c>
      <c r="E731" t="str">
        <f>IF(OR(E730="&lt;/routeDistribution&gt;",E730=""),"",IFERROR(_xlfn.CONCAT(VLOOKUP(DW36,Route_Column!#REF!,2,FALSE),CHAR(34)," probability=",CHAR(34),1/DW$4,CHAR(34),CHAR(47),CHAR(62)),"&lt;/routeDistribution&gt;"))</f>
        <v/>
      </c>
    </row>
    <row r="732" spans="1:5" x14ac:dyDescent="0.25">
      <c r="A732">
        <v>28555332</v>
      </c>
      <c r="B732" t="s">
        <v>1220</v>
      </c>
      <c r="E732" t="str">
        <f>IF(OR(E731="&lt;/routeDistribution&gt;",E731=""),"",IFERROR(_xlfn.CONCAT(VLOOKUP(DW37,Route_Column!#REF!,2,FALSE),CHAR(34)," probability=",CHAR(34),1/DW$4,CHAR(34),CHAR(47),CHAR(62)),"&lt;/routeDistribution&gt;"))</f>
        <v/>
      </c>
    </row>
    <row r="733" spans="1:5" x14ac:dyDescent="0.25">
      <c r="A733">
        <v>30908387</v>
      </c>
      <c r="B733" t="s">
        <v>1108</v>
      </c>
      <c r="E733" t="str">
        <f>IF(OR(E732="&lt;/routeDistribution&gt;",E732=""),"",IFERROR(_xlfn.CONCAT(VLOOKUP(DW38,Route_Column!#REF!,2,FALSE),CHAR(34)," probability=",CHAR(34),1/DW$4,CHAR(34),CHAR(47),CHAR(62)),"&lt;/routeDistribution&gt;"))</f>
        <v/>
      </c>
    </row>
    <row r="734" spans="1:5" x14ac:dyDescent="0.25">
      <c r="A734">
        <v>30908387</v>
      </c>
      <c r="B734" t="s">
        <v>1160</v>
      </c>
      <c r="E734" t="str">
        <f>IF(OR(E733="&lt;/routeDistribution&gt;",E733=""),"",IFERROR(_xlfn.CONCAT(VLOOKUP(DW39,Route_Column!#REF!,2,FALSE),CHAR(34)," probability=",CHAR(34),1/DW$4,CHAR(34),CHAR(47),CHAR(62)),"&lt;/routeDistribution&gt;"))</f>
        <v/>
      </c>
    </row>
    <row r="735" spans="1:5" x14ac:dyDescent="0.25">
      <c r="A735">
        <v>30908387</v>
      </c>
      <c r="B735" t="s">
        <v>1174</v>
      </c>
      <c r="E735" t="str">
        <f>IF(OR(E734="&lt;/routeDistribution&gt;",E734=""),"",IFERROR(_xlfn.CONCAT(VLOOKUP(DW40,Route_Column!#REF!,2,FALSE),CHAR(34)," probability=",CHAR(34),1/DW$4,CHAR(34),CHAR(47),CHAR(62)),"&lt;/routeDistribution&gt;"))</f>
        <v/>
      </c>
    </row>
    <row r="736" spans="1:5" x14ac:dyDescent="0.25">
      <c r="A736">
        <v>30908387</v>
      </c>
      <c r="B736" t="s">
        <v>1199</v>
      </c>
      <c r="E736" t="str">
        <f>IF(OR(E735="&lt;/routeDistribution&gt;",E735=""),"",IFERROR(_xlfn.CONCAT(VLOOKUP(DW41,Route_Column!#REF!,2,FALSE),CHAR(34)," probability=",CHAR(34),1/DW$4,CHAR(34),CHAR(47),CHAR(62)),"&lt;/routeDistribution&gt;"))</f>
        <v/>
      </c>
    </row>
    <row r="737" spans="1:5" x14ac:dyDescent="0.25">
      <c r="A737">
        <v>30908387</v>
      </c>
      <c r="B737" t="s">
        <v>1200</v>
      </c>
      <c r="E737" t="str">
        <f>IF(OR(E736="&lt;/routeDistribution&gt;",E736=""),"",IFERROR(_xlfn.CONCAT(VLOOKUP(DW42,Route_Column!#REF!,2,FALSE),CHAR(34)," probability=",CHAR(34),1/DW$4,CHAR(34),CHAR(47),CHAR(62)),"&lt;/routeDistribution&gt;"))</f>
        <v/>
      </c>
    </row>
    <row r="738" spans="1:5" x14ac:dyDescent="0.25">
      <c r="A738">
        <v>30953036</v>
      </c>
      <c r="B738" t="s">
        <v>1154</v>
      </c>
      <c r="E738" t="str">
        <f>IF(OR(E737="&lt;/routeDistribution&gt;",E737=""),"",IFERROR(_xlfn.CONCAT(VLOOKUP(DW43,Route_Column!#REF!,2,FALSE),CHAR(34)," probability=",CHAR(34),1/DW$4,CHAR(34),CHAR(47),CHAR(62)),"&lt;/routeDistribution&gt;"))</f>
        <v/>
      </c>
    </row>
    <row r="739" spans="1:5" x14ac:dyDescent="0.25">
      <c r="A739">
        <v>30953036</v>
      </c>
      <c r="B739" t="s">
        <v>1155</v>
      </c>
      <c r="E739" t="str">
        <f>IF(OR(E738="&lt;/routeDistribution&gt;",E738=""),"",IFERROR(_xlfn.CONCAT(VLOOKUP(DW44,Route_Column!#REF!,2,FALSE),CHAR(34)," probability=",CHAR(34),1/DW$4,CHAR(34),CHAR(47),CHAR(62)),"&lt;/routeDistribution&gt;"))</f>
        <v/>
      </c>
    </row>
    <row r="740" spans="1:5" x14ac:dyDescent="0.25">
      <c r="A740">
        <v>30953036</v>
      </c>
      <c r="B740" t="s">
        <v>1156</v>
      </c>
      <c r="E740" t="str">
        <f>IF(OR(E739="&lt;/routeDistribution&gt;",E739=""),"",IFERROR(_xlfn.CONCAT(VLOOKUP(DW45,Route_Column!#REF!,2,FALSE),CHAR(34)," probability=",CHAR(34),1/DW$4,CHAR(34),CHAR(47),CHAR(62)),"&lt;/routeDistribution&gt;"))</f>
        <v/>
      </c>
    </row>
    <row r="741" spans="1:5" x14ac:dyDescent="0.25">
      <c r="A741">
        <v>30953036</v>
      </c>
      <c r="B741" t="s">
        <v>1157</v>
      </c>
      <c r="E741" t="str">
        <f>IF(OR(E740="&lt;/routeDistribution&gt;",E740=""),"",IFERROR(_xlfn.CONCAT(VLOOKUP(DW46,Route_Column!#REF!,2,FALSE),CHAR(34)," probability=",CHAR(34),1/DW$4,CHAR(34),CHAR(47),CHAR(62)),"&lt;/routeDistribution&gt;"))</f>
        <v/>
      </c>
    </row>
    <row r="742" spans="1:5" x14ac:dyDescent="0.25">
      <c r="A742">
        <v>30953036</v>
      </c>
      <c r="B742" t="s">
        <v>1158</v>
      </c>
      <c r="E742" t="str">
        <f>IF(OR(E741="&lt;/routeDistribution&gt;",E741=""),"",IFERROR(_xlfn.CONCAT(VLOOKUP(DW47,Route_Column!#REF!,2,FALSE),CHAR(34)," probability=",CHAR(34),1/DW$4,CHAR(34),CHAR(47),CHAR(62)),"&lt;/routeDistribution&gt;"))</f>
        <v/>
      </c>
    </row>
    <row r="743" spans="1:5" x14ac:dyDescent="0.25">
      <c r="A743">
        <v>30953036</v>
      </c>
      <c r="B743" t="s">
        <v>1159</v>
      </c>
      <c r="E743" t="str">
        <f>IF(OR(E742="&lt;/routeDistribution&gt;",E742=""),"",IFERROR(_xlfn.CONCAT(VLOOKUP(DW48,Route_Column!#REF!,2,FALSE),CHAR(34)," probability=",CHAR(34),1/DW$4,CHAR(34),CHAR(47),CHAR(62)),"&lt;/routeDistribution&gt;"))</f>
        <v/>
      </c>
    </row>
    <row r="744" spans="1:5" x14ac:dyDescent="0.25">
      <c r="A744">
        <v>30953036</v>
      </c>
      <c r="B744" t="s">
        <v>1160</v>
      </c>
      <c r="E744" t="str">
        <f>IF(OR(E743="&lt;/routeDistribution&gt;",E743=""),"",IFERROR(_xlfn.CONCAT(VLOOKUP(DW49,Route_Column!#REF!,2,FALSE),CHAR(34)," probability=",CHAR(34),1/DW$4,CHAR(34),CHAR(47),CHAR(62)),"&lt;/routeDistribution&gt;"))</f>
        <v/>
      </c>
    </row>
    <row r="745" spans="1:5" x14ac:dyDescent="0.25">
      <c r="A745">
        <v>30953036</v>
      </c>
      <c r="B745" t="s">
        <v>1161</v>
      </c>
      <c r="E745" t="str">
        <f>IF(OR(E744="&lt;/routeDistribution&gt;",E744=""),"",IFERROR(_xlfn.CONCAT(VLOOKUP(DW50,Route_Column!#REF!,2,FALSE),CHAR(34)," probability=",CHAR(34),1/DW$4,CHAR(34),CHAR(47),CHAR(62)),"&lt;/routeDistribution&gt;"))</f>
        <v/>
      </c>
    </row>
    <row r="746" spans="1:5" x14ac:dyDescent="0.25">
      <c r="A746">
        <v>30953036</v>
      </c>
      <c r="B746" t="s">
        <v>1162</v>
      </c>
      <c r="E746" t="str">
        <f>IF(OR(E745="&lt;/routeDistribution&gt;",E745=""),"",IFERROR(_xlfn.CONCAT(VLOOKUP(DW51,Route_Column!#REF!,2,FALSE),CHAR(34)," probability=",CHAR(34),1/DW$4,CHAR(34),CHAR(47),CHAR(62)),"&lt;/routeDistribution&gt;"))</f>
        <v/>
      </c>
    </row>
    <row r="747" spans="1:5" x14ac:dyDescent="0.25">
      <c r="A747">
        <v>30953036</v>
      </c>
      <c r="B747" t="s">
        <v>1163</v>
      </c>
      <c r="E747" t="str">
        <f>IF(OR(E746="&lt;/routeDistribution&gt;",E746=""),"",IFERROR(_xlfn.CONCAT(VLOOKUP(DW52,Route_Column!#REF!,2,FALSE),CHAR(34)," probability=",CHAR(34),1/DW$4,CHAR(34),CHAR(47),CHAR(62)),"&lt;/routeDistribution&gt;"))</f>
        <v/>
      </c>
    </row>
    <row r="748" spans="1:5" x14ac:dyDescent="0.25">
      <c r="A748">
        <v>30953036</v>
      </c>
      <c r="B748" t="s">
        <v>1164</v>
      </c>
      <c r="E748" t="str">
        <f>IF(OR(E747="&lt;/routeDistribution&gt;",E747=""),"",IFERROR(_xlfn.CONCAT(VLOOKUP(DW53,Route_Column!#REF!,2,FALSE),CHAR(34)," probability=",CHAR(34),1/DW$4,CHAR(34),CHAR(47),CHAR(62)),"&lt;/routeDistribution&gt;"))</f>
        <v/>
      </c>
    </row>
    <row r="749" spans="1:5" x14ac:dyDescent="0.25">
      <c r="A749">
        <v>30953036</v>
      </c>
      <c r="B749" t="s">
        <v>1165</v>
      </c>
      <c r="E749" t="str">
        <f>IF(OR(E748="&lt;/routeDistribution&gt;",E748=""),"",IFERROR(_xlfn.CONCAT(VLOOKUP(DW54,Route_Column!#REF!,2,FALSE),CHAR(34)," probability=",CHAR(34),1/DW$4,CHAR(34),CHAR(47),CHAR(62)),"&lt;/routeDistribution&gt;"))</f>
        <v/>
      </c>
    </row>
    <row r="750" spans="1:5" x14ac:dyDescent="0.25">
      <c r="A750">
        <v>30953315</v>
      </c>
      <c r="B750" t="s">
        <v>1094</v>
      </c>
      <c r="E750" t="str">
        <f>IF(OR(E749="&lt;/routeDistribution&gt;",E749=""),"",IFERROR(_xlfn.CONCAT(VLOOKUP(DW55,Route_Column!#REF!,2,FALSE),CHAR(34)," probability=",CHAR(34),1/DW$4,CHAR(34),CHAR(47),CHAR(62)),"&lt;/routeDistribution&gt;"))</f>
        <v/>
      </c>
    </row>
    <row r="751" spans="1:5" x14ac:dyDescent="0.25">
      <c r="A751">
        <v>30953315</v>
      </c>
      <c r="B751" t="s">
        <v>1151</v>
      </c>
      <c r="E751" t="str">
        <f>IF(OR(E750="&lt;/routeDistribution&gt;",E750=""),"",IFERROR(_xlfn.CONCAT(VLOOKUP(DW56,Route_Column!#REF!,2,FALSE),CHAR(34)," probability=",CHAR(34),1/DW$4,CHAR(34),CHAR(47),CHAR(62)),"&lt;/routeDistribution&gt;"))</f>
        <v/>
      </c>
    </row>
    <row r="752" spans="1:5" x14ac:dyDescent="0.25">
      <c r="A752">
        <v>30953315</v>
      </c>
      <c r="B752" t="s">
        <v>1159</v>
      </c>
      <c r="E752" t="str">
        <f>IF(OR(E751="&lt;/routeDistribution&gt;",E751=""),"",IFERROR(_xlfn.CONCAT(VLOOKUP(DW57,Route_Column!#REF!,2,FALSE),CHAR(34)," probability=",CHAR(34),1/DW$4,CHAR(34),CHAR(47),CHAR(62)),"&lt;/routeDistribution&gt;"))</f>
        <v/>
      </c>
    </row>
    <row r="753" spans="1:5" x14ac:dyDescent="0.25">
      <c r="A753">
        <v>30953315</v>
      </c>
      <c r="B753" t="s">
        <v>1179</v>
      </c>
      <c r="E753" t="str">
        <f>IF(OR(E752="&lt;/routeDistribution&gt;",E752=""),"",IFERROR(_xlfn.CONCAT(VLOOKUP(DW58,Route_Column!#REF!,2,FALSE),CHAR(34)," probability=",CHAR(34),1/DW$4,CHAR(34),CHAR(47),CHAR(62)),"&lt;/routeDistribution&gt;"))</f>
        <v/>
      </c>
    </row>
    <row r="754" spans="1:5" x14ac:dyDescent="0.25">
      <c r="A754">
        <v>30953315</v>
      </c>
      <c r="B754" t="s">
        <v>1190</v>
      </c>
      <c r="E754" t="str">
        <f>IF(OR(E753="&lt;/routeDistribution&gt;",E753=""),"",IFERROR(_xlfn.CONCAT(VLOOKUP(DW59,Route_Column!#REF!,2,FALSE),CHAR(34)," probability=",CHAR(34),1/DW$4,CHAR(34),CHAR(47),CHAR(62)),"&lt;/routeDistribution&gt;"))</f>
        <v/>
      </c>
    </row>
    <row r="755" spans="1:5" x14ac:dyDescent="0.25">
      <c r="A755">
        <v>30953315</v>
      </c>
      <c r="B755" t="s">
        <v>1208</v>
      </c>
      <c r="E755" t="str">
        <f>IF(OR(E754="&lt;/routeDistribution&gt;",E754=""),"",IFERROR(_xlfn.CONCAT(VLOOKUP(DW60,Route_Column!#REF!,2,FALSE),CHAR(34)," probability=",CHAR(34),1/DW$4,CHAR(34),CHAR(47),CHAR(62)),"&lt;/routeDistribution&gt;"))</f>
        <v/>
      </c>
    </row>
    <row r="756" spans="1:5" x14ac:dyDescent="0.25">
      <c r="A756">
        <v>30953315</v>
      </c>
      <c r="B756" t="s">
        <v>1234</v>
      </c>
      <c r="E756" t="str">
        <f>IF(OR(E755="&lt;/routeDistribution&gt;",E755=""),"",IFERROR(_xlfn.CONCAT(VLOOKUP(DW61,Route_Column!#REF!,2,FALSE),CHAR(34)," probability=",CHAR(34),1/DW$4,CHAR(34),CHAR(47),CHAR(62)),"&lt;/routeDistribution&gt;"))</f>
        <v/>
      </c>
    </row>
    <row r="757" spans="1:5" x14ac:dyDescent="0.25">
      <c r="A757" s="13">
        <v>30953320</v>
      </c>
      <c r="B757" t="s">
        <v>1091</v>
      </c>
      <c r="E757" t="str">
        <f>IF(OR(E756="&lt;/routeDistribution&gt;",E756=""),"",IFERROR(_xlfn.CONCAT(VLOOKUP(DW62,Route_Column!#REF!,2,FALSE),CHAR(34)," probability=",CHAR(34),1/DW$4,CHAR(34),CHAR(47),CHAR(62)),"&lt;/routeDistribution&gt;"))</f>
        <v/>
      </c>
    </row>
    <row r="758" spans="1:5" x14ac:dyDescent="0.25">
      <c r="A758">
        <v>30953320</v>
      </c>
      <c r="B758" t="s">
        <v>1093</v>
      </c>
      <c r="E758" t="str">
        <f>IF(OR(E757="&lt;/routeDistribution&gt;",E757=""),"",IFERROR(_xlfn.CONCAT(VLOOKUP(DW63,Route_Column!#REF!,2,FALSE),CHAR(34)," probability=",CHAR(34),1/DW$4,CHAR(34),CHAR(47),CHAR(62)),"&lt;/routeDistribution&gt;"))</f>
        <v/>
      </c>
    </row>
    <row r="759" spans="1:5" x14ac:dyDescent="0.25">
      <c r="A759">
        <v>30953320</v>
      </c>
      <c r="B759" t="s">
        <v>1094</v>
      </c>
      <c r="E759" t="s">
        <v>2686</v>
      </c>
    </row>
    <row r="760" spans="1:5" x14ac:dyDescent="0.25">
      <c r="A760">
        <v>30953320</v>
      </c>
      <c r="B760" t="s">
        <v>1108</v>
      </c>
    </row>
    <row r="761" spans="1:5" x14ac:dyDescent="0.25">
      <c r="A761">
        <v>30953320</v>
      </c>
      <c r="B761" t="s">
        <v>1140</v>
      </c>
    </row>
    <row r="762" spans="1:5" x14ac:dyDescent="0.25">
      <c r="A762">
        <v>30953320</v>
      </c>
      <c r="B762" t="s">
        <v>1141</v>
      </c>
      <c r="E762" t="str">
        <f>_xlfn.CONCAT($E$1,DV$2,$F$1)</f>
        <v>&lt;routeDistribution id="34st-BRDG-NB-2017-Source-RouteProbe"&gt;</v>
      </c>
    </row>
    <row r="763" spans="1:5" x14ac:dyDescent="0.25">
      <c r="A763">
        <v>30953320</v>
      </c>
      <c r="B763" t="s">
        <v>1142</v>
      </c>
      <c r="E763" t="str">
        <f>IF(OR(E762="&lt;/routeDistribution&gt;",E762=""),"",IFERROR(_xlfn.CONCAT(VLOOKUP(DV5,Route_Column!#REF!,2,FALSE),CHAR(34)," probability=",CHAR(34),1/DV$4,CHAR(34),CHAR(47),CHAR(62)),"&lt;/routeDistribution&gt;"))</f>
        <v>&lt;/routeDistribution&gt;</v>
      </c>
    </row>
    <row r="764" spans="1:5" x14ac:dyDescent="0.25">
      <c r="A764">
        <v>30953320</v>
      </c>
      <c r="B764" t="s">
        <v>1150</v>
      </c>
      <c r="E764" t="str">
        <f>IF(OR(E763="&lt;/routeDistribution&gt;",E763=""),"",IFERROR(_xlfn.CONCAT(VLOOKUP(DV6,Route_Column!#REF!,2,FALSE),CHAR(34)," probability=",CHAR(34),1/DV$4,CHAR(34),CHAR(47),CHAR(62)),"&lt;/routeDistribution&gt;"))</f>
        <v/>
      </c>
    </row>
    <row r="765" spans="1:5" x14ac:dyDescent="0.25">
      <c r="A765">
        <v>30953320</v>
      </c>
      <c r="B765" t="s">
        <v>1151</v>
      </c>
      <c r="E765" t="str">
        <f>IF(OR(E764="&lt;/routeDistribution&gt;",E764=""),"",IFERROR(_xlfn.CONCAT(VLOOKUP(DV7,Route_Column!#REF!,2,FALSE),CHAR(34)," probability=",CHAR(34),1/DV$4,CHAR(34),CHAR(47),CHAR(62)),"&lt;/routeDistribution&gt;"))</f>
        <v/>
      </c>
    </row>
    <row r="766" spans="1:5" x14ac:dyDescent="0.25">
      <c r="A766">
        <v>30953320</v>
      </c>
      <c r="B766" t="s">
        <v>1155</v>
      </c>
      <c r="E766" t="str">
        <f>IF(OR(E765="&lt;/routeDistribution&gt;",E765=""),"",IFERROR(_xlfn.CONCAT(VLOOKUP(DV8,Route_Column!#REF!,2,FALSE),CHAR(34)," probability=",CHAR(34),1/DV$4,CHAR(34),CHAR(47),CHAR(62)),"&lt;/routeDistribution&gt;"))</f>
        <v/>
      </c>
    </row>
    <row r="767" spans="1:5" x14ac:dyDescent="0.25">
      <c r="A767">
        <v>30953320</v>
      </c>
      <c r="B767" t="s">
        <v>1156</v>
      </c>
      <c r="E767" t="str">
        <f>IF(OR(E766="&lt;/routeDistribution&gt;",E766=""),"",IFERROR(_xlfn.CONCAT(VLOOKUP(DV9,Route_Column!#REF!,2,FALSE),CHAR(34)," probability=",CHAR(34),1/DV$4,CHAR(34),CHAR(47),CHAR(62)),"&lt;/routeDistribution&gt;"))</f>
        <v/>
      </c>
    </row>
    <row r="768" spans="1:5" x14ac:dyDescent="0.25">
      <c r="A768">
        <v>30953320</v>
      </c>
      <c r="B768" t="s">
        <v>1157</v>
      </c>
      <c r="E768" t="str">
        <f>IF(OR(E767="&lt;/routeDistribution&gt;",E767=""),"",IFERROR(_xlfn.CONCAT(VLOOKUP(DV10,Route_Column!#REF!,2,FALSE),CHAR(34)," probability=",CHAR(34),1/DV$4,CHAR(34),CHAR(47),CHAR(62)),"&lt;/routeDistribution&gt;"))</f>
        <v/>
      </c>
    </row>
    <row r="769" spans="1:5" x14ac:dyDescent="0.25">
      <c r="A769">
        <v>30953320</v>
      </c>
      <c r="B769" t="s">
        <v>1158</v>
      </c>
      <c r="E769" t="str">
        <f>IF(OR(E768="&lt;/routeDistribution&gt;",E768=""),"",IFERROR(_xlfn.CONCAT(VLOOKUP(DV11,Route_Column!#REF!,2,FALSE),CHAR(34)," probability=",CHAR(34),1/DV$4,CHAR(34),CHAR(47),CHAR(62)),"&lt;/routeDistribution&gt;"))</f>
        <v/>
      </c>
    </row>
    <row r="770" spans="1:5" x14ac:dyDescent="0.25">
      <c r="A770">
        <v>30953320</v>
      </c>
      <c r="B770" t="s">
        <v>1159</v>
      </c>
      <c r="E770" t="str">
        <f>IF(OR(E769="&lt;/routeDistribution&gt;",E769=""),"",IFERROR(_xlfn.CONCAT(VLOOKUP(DV12,Route_Column!#REF!,2,FALSE),CHAR(34)," probability=",CHAR(34),1/DV$4,CHAR(34),CHAR(47),CHAR(62)),"&lt;/routeDistribution&gt;"))</f>
        <v/>
      </c>
    </row>
    <row r="771" spans="1:5" x14ac:dyDescent="0.25">
      <c r="A771">
        <v>30953320</v>
      </c>
      <c r="B771" t="s">
        <v>1160</v>
      </c>
      <c r="E771" t="str">
        <f>IF(OR(E770="&lt;/routeDistribution&gt;",E770=""),"",IFERROR(_xlfn.CONCAT(VLOOKUP(DV13,Route_Column!#REF!,2,FALSE),CHAR(34)," probability=",CHAR(34),1/DV$4,CHAR(34),CHAR(47),CHAR(62)),"&lt;/routeDistribution&gt;"))</f>
        <v/>
      </c>
    </row>
    <row r="772" spans="1:5" x14ac:dyDescent="0.25">
      <c r="A772">
        <v>30953320</v>
      </c>
      <c r="B772" t="s">
        <v>1174</v>
      </c>
      <c r="E772" t="str">
        <f>IF(OR(E771="&lt;/routeDistribution&gt;",E771=""),"",IFERROR(_xlfn.CONCAT(VLOOKUP(DV14,Route_Column!#REF!,2,FALSE),CHAR(34)," probability=",CHAR(34),1/DV$4,CHAR(34),CHAR(47),CHAR(62)),"&lt;/routeDistribution&gt;"))</f>
        <v/>
      </c>
    </row>
    <row r="773" spans="1:5" x14ac:dyDescent="0.25">
      <c r="A773">
        <v>30953320</v>
      </c>
      <c r="B773" t="s">
        <v>1175</v>
      </c>
      <c r="E773" t="str">
        <f>IF(OR(E772="&lt;/routeDistribution&gt;",E772=""),"",IFERROR(_xlfn.CONCAT(VLOOKUP(DV15,Route_Column!#REF!,2,FALSE),CHAR(34)," probability=",CHAR(34),1/DV$4,CHAR(34),CHAR(47),CHAR(62)),"&lt;/routeDistribution&gt;"))</f>
        <v/>
      </c>
    </row>
    <row r="774" spans="1:5" x14ac:dyDescent="0.25">
      <c r="A774">
        <v>30953320</v>
      </c>
      <c r="B774" t="s">
        <v>1176</v>
      </c>
      <c r="E774" t="str">
        <f>IF(OR(E773="&lt;/routeDistribution&gt;",E773=""),"",IFERROR(_xlfn.CONCAT(VLOOKUP(DV16,Route_Column!#REF!,2,FALSE),CHAR(34)," probability=",CHAR(34),1/DV$4,CHAR(34),CHAR(47),CHAR(62)),"&lt;/routeDistribution&gt;"))</f>
        <v/>
      </c>
    </row>
    <row r="775" spans="1:5" x14ac:dyDescent="0.25">
      <c r="A775">
        <v>30953320</v>
      </c>
      <c r="B775" t="s">
        <v>1177</v>
      </c>
      <c r="E775" t="str">
        <f>IF(OR(E774="&lt;/routeDistribution&gt;",E774=""),"",IFERROR(_xlfn.CONCAT(VLOOKUP(DV17,Route_Column!#REF!,2,FALSE),CHAR(34)," probability=",CHAR(34),1/DV$4,CHAR(34),CHAR(47),CHAR(62)),"&lt;/routeDistribution&gt;"))</f>
        <v/>
      </c>
    </row>
    <row r="776" spans="1:5" x14ac:dyDescent="0.25">
      <c r="A776">
        <v>30953320</v>
      </c>
      <c r="B776" t="s">
        <v>1178</v>
      </c>
      <c r="E776" t="str">
        <f>IF(OR(E775="&lt;/routeDistribution&gt;",E775=""),"",IFERROR(_xlfn.CONCAT(VLOOKUP(DV18,Route_Column!#REF!,2,FALSE),CHAR(34)," probability=",CHAR(34),1/DV$4,CHAR(34),CHAR(47),CHAR(62)),"&lt;/routeDistribution&gt;"))</f>
        <v/>
      </c>
    </row>
    <row r="777" spans="1:5" x14ac:dyDescent="0.25">
      <c r="A777">
        <v>30953320</v>
      </c>
      <c r="B777" t="s">
        <v>1179</v>
      </c>
      <c r="E777" t="str">
        <f>IF(OR(E776="&lt;/routeDistribution&gt;",E776=""),"",IFERROR(_xlfn.CONCAT(VLOOKUP(DV19,Route_Column!#REF!,2,FALSE),CHAR(34)," probability=",CHAR(34),1/DV$4,CHAR(34),CHAR(47),CHAR(62)),"&lt;/routeDistribution&gt;"))</f>
        <v/>
      </c>
    </row>
    <row r="778" spans="1:5" x14ac:dyDescent="0.25">
      <c r="A778">
        <v>30953320</v>
      </c>
      <c r="B778" t="s">
        <v>1179</v>
      </c>
      <c r="E778" t="str">
        <f>IF(OR(E777="&lt;/routeDistribution&gt;",E777=""),"",IFERROR(_xlfn.CONCAT(VLOOKUP(DV20,Route_Column!#REF!,2,FALSE),CHAR(34)," probability=",CHAR(34),1/DV$4,CHAR(34),CHAR(47),CHAR(62)),"&lt;/routeDistribution&gt;"))</f>
        <v/>
      </c>
    </row>
    <row r="779" spans="1:5" x14ac:dyDescent="0.25">
      <c r="A779">
        <v>30953320</v>
      </c>
      <c r="B779" t="s">
        <v>1184</v>
      </c>
      <c r="E779" t="str">
        <f>IF(OR(E778="&lt;/routeDistribution&gt;",E778=""),"",IFERROR(_xlfn.CONCAT(VLOOKUP(DV21,Route_Column!#REF!,2,FALSE),CHAR(34)," probability=",CHAR(34),1/DV$4,CHAR(34),CHAR(47),CHAR(62)),"&lt;/routeDistribution&gt;"))</f>
        <v/>
      </c>
    </row>
    <row r="780" spans="1:5" x14ac:dyDescent="0.25">
      <c r="A780">
        <v>30953320</v>
      </c>
      <c r="B780" t="s">
        <v>1190</v>
      </c>
      <c r="E780" t="str">
        <f>IF(OR(E779="&lt;/routeDistribution&gt;",E779=""),"",IFERROR(_xlfn.CONCAT(VLOOKUP(DV22,Route_Column!#REF!,2,FALSE),CHAR(34)," probability=",CHAR(34),1/DV$4,CHAR(34),CHAR(47),CHAR(62)),"&lt;/routeDistribution&gt;"))</f>
        <v/>
      </c>
    </row>
    <row r="781" spans="1:5" x14ac:dyDescent="0.25">
      <c r="A781">
        <v>30953320</v>
      </c>
      <c r="B781" t="s">
        <v>1206</v>
      </c>
      <c r="E781" t="str">
        <f>IF(OR(E780="&lt;/routeDistribution&gt;",E780=""),"",IFERROR(_xlfn.CONCAT(VLOOKUP(DV23,Route_Column!#REF!,2,FALSE),CHAR(34)," probability=",CHAR(34),1/DV$4,CHAR(34),CHAR(47),CHAR(62)),"&lt;/routeDistribution&gt;"))</f>
        <v/>
      </c>
    </row>
    <row r="782" spans="1:5" x14ac:dyDescent="0.25">
      <c r="A782">
        <v>30953320</v>
      </c>
      <c r="B782" t="s">
        <v>1207</v>
      </c>
      <c r="E782" t="str">
        <f>IF(OR(E781="&lt;/routeDistribution&gt;",E781=""),"",IFERROR(_xlfn.CONCAT(VLOOKUP(DV24,Route_Column!#REF!,2,FALSE),CHAR(34)," probability=",CHAR(34),1/DV$4,CHAR(34),CHAR(47),CHAR(62)),"&lt;/routeDistribution&gt;"))</f>
        <v/>
      </c>
    </row>
    <row r="783" spans="1:5" x14ac:dyDescent="0.25">
      <c r="A783">
        <v>30953320</v>
      </c>
      <c r="B783" t="s">
        <v>1208</v>
      </c>
      <c r="E783" t="str">
        <f>IF(OR(E782="&lt;/routeDistribution&gt;",E782=""),"",IFERROR(_xlfn.CONCAT(VLOOKUP(DV25,Route_Column!#REF!,2,FALSE),CHAR(34)," probability=",CHAR(34),1/DV$4,CHAR(34),CHAR(47),CHAR(62)),"&lt;/routeDistribution&gt;"))</f>
        <v/>
      </c>
    </row>
    <row r="784" spans="1:5" x14ac:dyDescent="0.25">
      <c r="A784">
        <v>30953320</v>
      </c>
      <c r="B784" t="s">
        <v>1233</v>
      </c>
      <c r="E784" t="str">
        <f>IF(OR(E783="&lt;/routeDistribution&gt;",E783=""),"",IFERROR(_xlfn.CONCAT(VLOOKUP(DV26,Route_Column!#REF!,2,FALSE),CHAR(34)," probability=",CHAR(34),1/DV$4,CHAR(34),CHAR(47),CHAR(62)),"&lt;/routeDistribution&gt;"))</f>
        <v/>
      </c>
    </row>
    <row r="785" spans="1:5" x14ac:dyDescent="0.25">
      <c r="A785">
        <v>30953320</v>
      </c>
      <c r="B785" t="s">
        <v>1234</v>
      </c>
      <c r="E785" t="str">
        <f>IF(OR(E784="&lt;/routeDistribution&gt;",E784=""),"",IFERROR(_xlfn.CONCAT(VLOOKUP(DV27,Route_Column!#REF!,2,FALSE),CHAR(34)," probability=",CHAR(34),1/DV$4,CHAR(34),CHAR(47),CHAR(62)),"&lt;/routeDistribution&gt;"))</f>
        <v/>
      </c>
    </row>
    <row r="786" spans="1:5" x14ac:dyDescent="0.25">
      <c r="A786">
        <v>30953391</v>
      </c>
      <c r="B786" t="s">
        <v>1139</v>
      </c>
      <c r="E786" t="str">
        <f>IF(OR(E785="&lt;/routeDistribution&gt;",E785=""),"",IFERROR(_xlfn.CONCAT(VLOOKUP(DV28,Route_Column!#REF!,2,FALSE),CHAR(34)," probability=",CHAR(34),1/DV$4,CHAR(34),CHAR(47),CHAR(62)),"&lt;/routeDistribution&gt;"))</f>
        <v/>
      </c>
    </row>
    <row r="787" spans="1:5" x14ac:dyDescent="0.25">
      <c r="A787">
        <v>30953391</v>
      </c>
      <c r="B787" t="s">
        <v>1140</v>
      </c>
      <c r="E787" t="str">
        <f>IF(OR(E786="&lt;/routeDistribution&gt;",E786=""),"",IFERROR(_xlfn.CONCAT(VLOOKUP(DV29,Route_Column!#REF!,2,FALSE),CHAR(34)," probability=",CHAR(34),1/DV$4,CHAR(34),CHAR(47),CHAR(62)),"&lt;/routeDistribution&gt;"))</f>
        <v/>
      </c>
    </row>
    <row r="788" spans="1:5" x14ac:dyDescent="0.25">
      <c r="A788">
        <v>30953391</v>
      </c>
      <c r="B788" t="s">
        <v>1140</v>
      </c>
      <c r="E788" t="str">
        <f>IF(OR(E787="&lt;/routeDistribution&gt;",E787=""),"",IFERROR(_xlfn.CONCAT(VLOOKUP(DV30,Route_Column!#REF!,2,FALSE),CHAR(34)," probability=",CHAR(34),1/DV$4,CHAR(34),CHAR(47),CHAR(62)),"&lt;/routeDistribution&gt;"))</f>
        <v/>
      </c>
    </row>
    <row r="789" spans="1:5" x14ac:dyDescent="0.25">
      <c r="A789">
        <v>30953391</v>
      </c>
      <c r="B789" t="s">
        <v>1141</v>
      </c>
      <c r="E789" t="str">
        <f>IF(OR(E788="&lt;/routeDistribution&gt;",E788=""),"",IFERROR(_xlfn.CONCAT(VLOOKUP(DV31,Route_Column!#REF!,2,FALSE),CHAR(34)," probability=",CHAR(34),1/DV$4,CHAR(34),CHAR(47),CHAR(62)),"&lt;/routeDistribution&gt;"))</f>
        <v/>
      </c>
    </row>
    <row r="790" spans="1:5" x14ac:dyDescent="0.25">
      <c r="A790">
        <v>30953391</v>
      </c>
      <c r="B790" t="s">
        <v>1141</v>
      </c>
      <c r="E790" t="str">
        <f>IF(OR(E789="&lt;/routeDistribution&gt;",E789=""),"",IFERROR(_xlfn.CONCAT(VLOOKUP(DV32,Route_Column!#REF!,2,FALSE),CHAR(34)," probability=",CHAR(34),1/DV$4,CHAR(34),CHAR(47),CHAR(62)),"&lt;/routeDistribution&gt;"))</f>
        <v/>
      </c>
    </row>
    <row r="791" spans="1:5" x14ac:dyDescent="0.25">
      <c r="A791">
        <v>30953391</v>
      </c>
      <c r="B791" t="s">
        <v>1142</v>
      </c>
      <c r="E791" t="str">
        <f>IF(OR(E790="&lt;/routeDistribution&gt;",E790=""),"",IFERROR(_xlfn.CONCAT(VLOOKUP(DV33,Route_Column!#REF!,2,FALSE),CHAR(34)," probability=",CHAR(34),1/DV$4,CHAR(34),CHAR(47),CHAR(62)),"&lt;/routeDistribution&gt;"))</f>
        <v/>
      </c>
    </row>
    <row r="792" spans="1:5" x14ac:dyDescent="0.25">
      <c r="A792">
        <v>30953391</v>
      </c>
      <c r="B792" t="s">
        <v>1142</v>
      </c>
      <c r="E792" t="str">
        <f>IF(OR(E791="&lt;/routeDistribution&gt;",E791=""),"",IFERROR(_xlfn.CONCAT(VLOOKUP(DV34,Route_Column!#REF!,2,FALSE),CHAR(34)," probability=",CHAR(34),1/DV$4,CHAR(34),CHAR(47),CHAR(62)),"&lt;/routeDistribution&gt;"))</f>
        <v/>
      </c>
    </row>
    <row r="793" spans="1:5" x14ac:dyDescent="0.25">
      <c r="A793">
        <v>30953391</v>
      </c>
      <c r="B793" t="s">
        <v>1148</v>
      </c>
      <c r="E793" t="str">
        <f>IF(OR(E792="&lt;/routeDistribution&gt;",E792=""),"",IFERROR(_xlfn.CONCAT(VLOOKUP(DV35,Route_Column!#REF!,2,FALSE),CHAR(34)," probability=",CHAR(34),1/DV$4,CHAR(34),CHAR(47),CHAR(62)),"&lt;/routeDistribution&gt;"))</f>
        <v/>
      </c>
    </row>
    <row r="794" spans="1:5" x14ac:dyDescent="0.25">
      <c r="A794">
        <v>30953391</v>
      </c>
      <c r="B794" t="s">
        <v>1149</v>
      </c>
      <c r="E794" t="str">
        <f>IF(OR(E793="&lt;/routeDistribution&gt;",E793=""),"",IFERROR(_xlfn.CONCAT(VLOOKUP(DV36,Route_Column!#REF!,2,FALSE),CHAR(34)," probability=",CHAR(34),1/DV$4,CHAR(34),CHAR(47),CHAR(62)),"&lt;/routeDistribution&gt;"))</f>
        <v/>
      </c>
    </row>
    <row r="795" spans="1:5" x14ac:dyDescent="0.25">
      <c r="A795">
        <v>30953391</v>
      </c>
      <c r="B795" t="s">
        <v>1150</v>
      </c>
      <c r="E795" t="str">
        <f>IF(OR(E794="&lt;/routeDistribution&gt;",E794=""),"",IFERROR(_xlfn.CONCAT(VLOOKUP(DV37,Route_Column!#REF!,2,FALSE),CHAR(34)," probability=",CHAR(34),1/DV$4,CHAR(34),CHAR(47),CHAR(62)),"&lt;/routeDistribution&gt;"))</f>
        <v/>
      </c>
    </row>
    <row r="796" spans="1:5" x14ac:dyDescent="0.25">
      <c r="A796">
        <v>30953391</v>
      </c>
      <c r="B796" t="s">
        <v>1150</v>
      </c>
      <c r="E796" t="str">
        <f>IF(OR(E795="&lt;/routeDistribution&gt;",E795=""),"",IFERROR(_xlfn.CONCAT(VLOOKUP(DV38,Route_Column!#REF!,2,FALSE),CHAR(34)," probability=",CHAR(34),1/DV$4,CHAR(34),CHAR(47),CHAR(62)),"&lt;/routeDistribution&gt;"))</f>
        <v/>
      </c>
    </row>
    <row r="797" spans="1:5" x14ac:dyDescent="0.25">
      <c r="A797">
        <v>30953391</v>
      </c>
      <c r="B797" t="s">
        <v>1151</v>
      </c>
      <c r="E797" t="str">
        <f>IF(OR(E796="&lt;/routeDistribution&gt;",E796=""),"",IFERROR(_xlfn.CONCAT(VLOOKUP(DV39,Route_Column!#REF!,2,FALSE),CHAR(34)," probability=",CHAR(34),1/DV$4,CHAR(34),CHAR(47),CHAR(62)),"&lt;/routeDistribution&gt;"))</f>
        <v/>
      </c>
    </row>
    <row r="798" spans="1:5" x14ac:dyDescent="0.25">
      <c r="A798">
        <v>30953391</v>
      </c>
      <c r="B798" t="s">
        <v>1155</v>
      </c>
      <c r="E798" t="str">
        <f>IF(OR(E797="&lt;/routeDistribution&gt;",E797=""),"",IFERROR(_xlfn.CONCAT(VLOOKUP(DV40,Route_Column!#REF!,2,FALSE),CHAR(34)," probability=",CHAR(34),1/DV$4,CHAR(34),CHAR(47),CHAR(62)),"&lt;/routeDistribution&gt;"))</f>
        <v/>
      </c>
    </row>
    <row r="799" spans="1:5" x14ac:dyDescent="0.25">
      <c r="A799">
        <v>30953391</v>
      </c>
      <c r="B799" t="s">
        <v>1157</v>
      </c>
      <c r="E799" t="str">
        <f>IF(OR(E798="&lt;/routeDistribution&gt;",E798=""),"",IFERROR(_xlfn.CONCAT(VLOOKUP(DV41,Route_Column!#REF!,2,FALSE),CHAR(34)," probability=",CHAR(34),1/DV$4,CHAR(34),CHAR(47),CHAR(62)),"&lt;/routeDistribution&gt;"))</f>
        <v/>
      </c>
    </row>
    <row r="800" spans="1:5" x14ac:dyDescent="0.25">
      <c r="A800">
        <v>30953391</v>
      </c>
      <c r="B800" t="s">
        <v>1158</v>
      </c>
      <c r="E800" t="str">
        <f>IF(OR(E799="&lt;/routeDistribution&gt;",E799=""),"",IFERROR(_xlfn.CONCAT(VLOOKUP(DV42,Route_Column!#REF!,2,FALSE),CHAR(34)," probability=",CHAR(34),1/DV$4,CHAR(34),CHAR(47),CHAR(62)),"&lt;/routeDistribution&gt;"))</f>
        <v/>
      </c>
    </row>
    <row r="801" spans="1:5" x14ac:dyDescent="0.25">
      <c r="A801">
        <v>30953391</v>
      </c>
      <c r="B801" t="s">
        <v>1175</v>
      </c>
      <c r="E801" t="str">
        <f>IF(OR(E800="&lt;/routeDistribution&gt;",E800=""),"",IFERROR(_xlfn.CONCAT(VLOOKUP(DV43,Route_Column!#REF!,2,FALSE),CHAR(34)," probability=",CHAR(34),1/DV$4,CHAR(34),CHAR(47),CHAR(62)),"&lt;/routeDistribution&gt;"))</f>
        <v/>
      </c>
    </row>
    <row r="802" spans="1:5" x14ac:dyDescent="0.25">
      <c r="A802">
        <v>30953391</v>
      </c>
      <c r="B802" t="s">
        <v>1176</v>
      </c>
      <c r="E802" t="str">
        <f>IF(OR(E801="&lt;/routeDistribution&gt;",E801=""),"",IFERROR(_xlfn.CONCAT(VLOOKUP(DV44,Route_Column!#REF!,2,FALSE),CHAR(34)," probability=",CHAR(34),1/DV$4,CHAR(34),CHAR(47),CHAR(62)),"&lt;/routeDistribution&gt;"))</f>
        <v/>
      </c>
    </row>
    <row r="803" spans="1:5" x14ac:dyDescent="0.25">
      <c r="A803">
        <v>30953391</v>
      </c>
      <c r="B803" t="s">
        <v>1178</v>
      </c>
      <c r="E803" t="str">
        <f>IF(OR(E802="&lt;/routeDistribution&gt;",E802=""),"",IFERROR(_xlfn.CONCAT(VLOOKUP(DV45,Route_Column!#REF!,2,FALSE),CHAR(34)," probability=",CHAR(34),1/DV$4,CHAR(34),CHAR(47),CHAR(62)),"&lt;/routeDistribution&gt;"))</f>
        <v/>
      </c>
    </row>
    <row r="804" spans="1:5" x14ac:dyDescent="0.25">
      <c r="A804">
        <v>30953391</v>
      </c>
      <c r="B804" t="s">
        <v>1179</v>
      </c>
      <c r="E804" t="str">
        <f>IF(OR(E803="&lt;/routeDistribution&gt;",E803=""),"",IFERROR(_xlfn.CONCAT(VLOOKUP(DV46,Route_Column!#REF!,2,FALSE),CHAR(34)," probability=",CHAR(34),1/DV$4,CHAR(34),CHAR(47),CHAR(62)),"&lt;/routeDistribution&gt;"))</f>
        <v/>
      </c>
    </row>
    <row r="805" spans="1:5" x14ac:dyDescent="0.25">
      <c r="A805">
        <v>30953391</v>
      </c>
      <c r="B805" t="s">
        <v>1201</v>
      </c>
      <c r="E805" t="str">
        <f>IF(OR(E804="&lt;/routeDistribution&gt;",E804=""),"",IFERROR(_xlfn.CONCAT(VLOOKUP(DV47,Route_Column!#REF!,2,FALSE),CHAR(34)," probability=",CHAR(34),1/DV$4,CHAR(34),CHAR(47),CHAR(62)),"&lt;/routeDistribution&gt;"))</f>
        <v/>
      </c>
    </row>
    <row r="806" spans="1:5" x14ac:dyDescent="0.25">
      <c r="A806">
        <v>30953391</v>
      </c>
      <c r="B806" t="s">
        <v>1202</v>
      </c>
      <c r="E806" t="str">
        <f>IF(OR(E805="&lt;/routeDistribution&gt;",E805=""),"",IFERROR(_xlfn.CONCAT(VLOOKUP(DV48,Route_Column!#REF!,2,FALSE),CHAR(34)," probability=",CHAR(34),1/DV$4,CHAR(34),CHAR(47),CHAR(62)),"&lt;/routeDistribution&gt;"))</f>
        <v/>
      </c>
    </row>
    <row r="807" spans="1:5" x14ac:dyDescent="0.25">
      <c r="A807">
        <v>30953391</v>
      </c>
      <c r="B807" t="s">
        <v>1205</v>
      </c>
      <c r="E807" t="str">
        <f>IF(OR(E806="&lt;/routeDistribution&gt;",E806=""),"",IFERROR(_xlfn.CONCAT(VLOOKUP(DV49,Route_Column!#REF!,2,FALSE),CHAR(34)," probability=",CHAR(34),1/DV$4,CHAR(34),CHAR(47),CHAR(62)),"&lt;/routeDistribution&gt;"))</f>
        <v/>
      </c>
    </row>
    <row r="808" spans="1:5" x14ac:dyDescent="0.25">
      <c r="A808">
        <v>30953391</v>
      </c>
      <c r="B808" t="s">
        <v>1206</v>
      </c>
      <c r="E808" t="str">
        <f>IF(OR(E807="&lt;/routeDistribution&gt;",E807=""),"",IFERROR(_xlfn.CONCAT(VLOOKUP(DV50,Route_Column!#REF!,2,FALSE),CHAR(34)," probability=",CHAR(34),1/DV$4,CHAR(34),CHAR(47),CHAR(62)),"&lt;/routeDistribution&gt;"))</f>
        <v/>
      </c>
    </row>
    <row r="809" spans="1:5" x14ac:dyDescent="0.25">
      <c r="A809">
        <v>30953391</v>
      </c>
      <c r="B809" t="s">
        <v>1206</v>
      </c>
      <c r="E809" t="str">
        <f>IF(OR(E808="&lt;/routeDistribution&gt;",E808=""),"",IFERROR(_xlfn.CONCAT(VLOOKUP(DV51,Route_Column!#REF!,2,FALSE),CHAR(34)," probability=",CHAR(34),1/DV$4,CHAR(34),CHAR(47),CHAR(62)),"&lt;/routeDistribution&gt;"))</f>
        <v/>
      </c>
    </row>
    <row r="810" spans="1:5" x14ac:dyDescent="0.25">
      <c r="A810">
        <v>30953391</v>
      </c>
      <c r="B810" t="s">
        <v>1207</v>
      </c>
      <c r="E810" t="str">
        <f>IF(OR(E809="&lt;/routeDistribution&gt;",E809=""),"",IFERROR(_xlfn.CONCAT(VLOOKUP(DV52,Route_Column!#REF!,2,FALSE),CHAR(34)," probability=",CHAR(34),1/DV$4,CHAR(34),CHAR(47),CHAR(62)),"&lt;/routeDistribution&gt;"))</f>
        <v/>
      </c>
    </row>
    <row r="811" spans="1:5" x14ac:dyDescent="0.25">
      <c r="A811">
        <v>30953391</v>
      </c>
      <c r="B811" t="s">
        <v>1207</v>
      </c>
      <c r="E811" t="str">
        <f>IF(OR(E810="&lt;/routeDistribution&gt;",E810=""),"",IFERROR(_xlfn.CONCAT(VLOOKUP(DV53,Route_Column!#REF!,2,FALSE),CHAR(34)," probability=",CHAR(34),1/DV$4,CHAR(34),CHAR(47),CHAR(62)),"&lt;/routeDistribution&gt;"))</f>
        <v/>
      </c>
    </row>
    <row r="812" spans="1:5" x14ac:dyDescent="0.25">
      <c r="A812">
        <v>30953391</v>
      </c>
      <c r="B812" t="s">
        <v>1208</v>
      </c>
      <c r="E812" t="str">
        <f>IF(OR(E811="&lt;/routeDistribution&gt;",E811=""),"",IFERROR(_xlfn.CONCAT(VLOOKUP(DV54,Route_Column!#REF!,2,FALSE),CHAR(34)," probability=",CHAR(34),1/DV$4,CHAR(34),CHAR(47),CHAR(62)),"&lt;/routeDistribution&gt;"))</f>
        <v/>
      </c>
    </row>
    <row r="813" spans="1:5" x14ac:dyDescent="0.25">
      <c r="A813">
        <v>30953391</v>
      </c>
      <c r="B813" t="s">
        <v>1214</v>
      </c>
      <c r="E813" t="str">
        <f>IF(OR(E812="&lt;/routeDistribution&gt;",E812=""),"",IFERROR(_xlfn.CONCAT(VLOOKUP(DV55,Route_Column!#REF!,2,FALSE),CHAR(34)," probability=",CHAR(34),1/DV$4,CHAR(34),CHAR(47),CHAR(62)),"&lt;/routeDistribution&gt;"))</f>
        <v/>
      </c>
    </row>
    <row r="814" spans="1:5" x14ac:dyDescent="0.25">
      <c r="A814">
        <v>30953391</v>
      </c>
      <c r="B814" t="s">
        <v>1215</v>
      </c>
      <c r="E814" t="str">
        <f>IF(OR(E813="&lt;/routeDistribution&gt;",E813=""),"",IFERROR(_xlfn.CONCAT(VLOOKUP(DV56,Route_Column!#REF!,2,FALSE),CHAR(34)," probability=",CHAR(34),1/DV$4,CHAR(34),CHAR(47),CHAR(62)),"&lt;/routeDistribution&gt;"))</f>
        <v/>
      </c>
    </row>
    <row r="815" spans="1:5" x14ac:dyDescent="0.25">
      <c r="A815">
        <v>30953391</v>
      </c>
      <c r="B815" t="s">
        <v>1219</v>
      </c>
      <c r="E815" t="str">
        <f>IF(OR(E814="&lt;/routeDistribution&gt;",E814=""),"",IFERROR(_xlfn.CONCAT(VLOOKUP(DV57,Route_Column!#REF!,2,FALSE),CHAR(34)," probability=",CHAR(34),1/DV$4,CHAR(34),CHAR(47),CHAR(62)),"&lt;/routeDistribution&gt;"))</f>
        <v/>
      </c>
    </row>
    <row r="816" spans="1:5" x14ac:dyDescent="0.25">
      <c r="A816">
        <v>30953391</v>
      </c>
      <c r="B816" t="s">
        <v>1226</v>
      </c>
      <c r="E816" t="str">
        <f>IF(OR(E815="&lt;/routeDistribution&gt;",E815=""),"",IFERROR(_xlfn.CONCAT(VLOOKUP(DV58,Route_Column!#REF!,2,FALSE),CHAR(34)," probability=",CHAR(34),1/DV$4,CHAR(34),CHAR(47),CHAR(62)),"&lt;/routeDistribution&gt;"))</f>
        <v/>
      </c>
    </row>
    <row r="817" spans="1:5" x14ac:dyDescent="0.25">
      <c r="A817">
        <v>30953391</v>
      </c>
      <c r="B817" t="s">
        <v>1227</v>
      </c>
      <c r="E817" t="str">
        <f>IF(OR(E816="&lt;/routeDistribution&gt;",E816=""),"",IFERROR(_xlfn.CONCAT(VLOOKUP(DV59,Route_Column!#REF!,2,FALSE),CHAR(34)," probability=",CHAR(34),1/DV$4,CHAR(34),CHAR(47),CHAR(62)),"&lt;/routeDistribution&gt;"))</f>
        <v/>
      </c>
    </row>
    <row r="818" spans="1:5" x14ac:dyDescent="0.25">
      <c r="A818">
        <v>30953391</v>
      </c>
      <c r="B818" t="s">
        <v>1231</v>
      </c>
      <c r="E818" t="str">
        <f>IF(OR(E817="&lt;/routeDistribution&gt;",E817=""),"",IFERROR(_xlfn.CONCAT(VLOOKUP(DV60,Route_Column!#REF!,2,FALSE),CHAR(34)," probability=",CHAR(34),1/DV$4,CHAR(34),CHAR(47),CHAR(62)),"&lt;/routeDistribution&gt;"))</f>
        <v/>
      </c>
    </row>
    <row r="819" spans="1:5" x14ac:dyDescent="0.25">
      <c r="A819">
        <v>30953391</v>
      </c>
      <c r="B819" t="s">
        <v>1232</v>
      </c>
      <c r="E819" t="str">
        <f>IF(OR(E818="&lt;/routeDistribution&gt;",E818=""),"",IFERROR(_xlfn.CONCAT(VLOOKUP(DV61,Route_Column!#REF!,2,FALSE),CHAR(34)," probability=",CHAR(34),1/DV$4,CHAR(34),CHAR(47),CHAR(62)),"&lt;/routeDistribution&gt;"))</f>
        <v/>
      </c>
    </row>
    <row r="820" spans="1:5" x14ac:dyDescent="0.25">
      <c r="A820">
        <v>30953391</v>
      </c>
      <c r="B820" t="s">
        <v>1233</v>
      </c>
      <c r="E820" t="str">
        <f>IF(OR(E819="&lt;/routeDistribution&gt;",E819=""),"",IFERROR(_xlfn.CONCAT(VLOOKUP(DV62,Route_Column!#REF!,2,FALSE),CHAR(34)," probability=",CHAR(34),1/DV$4,CHAR(34),CHAR(47),CHAR(62)),"&lt;/routeDistribution&gt;"))</f>
        <v/>
      </c>
    </row>
    <row r="821" spans="1:5" x14ac:dyDescent="0.25">
      <c r="A821">
        <v>30953391</v>
      </c>
      <c r="B821" t="s">
        <v>1233</v>
      </c>
      <c r="E821" t="str">
        <f>IF(OR(E820="&lt;/routeDistribution&gt;",E820=""),"",IFERROR(_xlfn.CONCAT(VLOOKUP(DV63,Route_Column!#REF!,2,FALSE),CHAR(34)," probability=",CHAR(34),1/DV$4,CHAR(34),CHAR(47),CHAR(62)),"&lt;/routeDistribution&gt;"))</f>
        <v/>
      </c>
    </row>
    <row r="822" spans="1:5" x14ac:dyDescent="0.25">
      <c r="A822">
        <v>30953391</v>
      </c>
      <c r="B822" t="s">
        <v>1234</v>
      </c>
      <c r="E822" t="s">
        <v>2686</v>
      </c>
    </row>
    <row r="823" spans="1:5" x14ac:dyDescent="0.25">
      <c r="A823">
        <v>30953391</v>
      </c>
      <c r="B823" t="s">
        <v>1235</v>
      </c>
    </row>
    <row r="824" spans="1:5" x14ac:dyDescent="0.25">
      <c r="A824">
        <v>30953391</v>
      </c>
      <c r="B824" t="s">
        <v>1236</v>
      </c>
    </row>
    <row r="825" spans="1:5" x14ac:dyDescent="0.25">
      <c r="A825">
        <v>30953391</v>
      </c>
      <c r="B825" t="s">
        <v>1237</v>
      </c>
      <c r="E825" t="str">
        <f>_xlfn.CONCAT($E$1,DU$2,$F$1)</f>
        <v>&lt;routeDistribution id="I-76-EB-2015-Source-RouteProbe"&gt;</v>
      </c>
    </row>
    <row r="826" spans="1:5" x14ac:dyDescent="0.25">
      <c r="A826">
        <v>30953391</v>
      </c>
      <c r="B826" t="s">
        <v>1238</v>
      </c>
      <c r="E826" t="str">
        <f>IF(OR(E825="&lt;/routeDistribution&gt;",E825=""),"",IFERROR(_xlfn.CONCAT(VLOOKUP(DU5,Route_Column!#REF!,2,FALSE),CHAR(34)," probability=",CHAR(34),1/DU$4,CHAR(34),CHAR(47),CHAR(62)),"&lt;/routeDistribution&gt;"))</f>
        <v>&lt;/routeDistribution&gt;</v>
      </c>
    </row>
    <row r="827" spans="1:5" x14ac:dyDescent="0.25">
      <c r="A827">
        <v>30953391</v>
      </c>
      <c r="B827" t="s">
        <v>1239</v>
      </c>
      <c r="E827" t="str">
        <f>IF(OR(E826="&lt;/routeDistribution&gt;",E826=""),"",IFERROR(_xlfn.CONCAT(VLOOKUP(DU6,Route_Column!#REF!,2,FALSE),CHAR(34)," probability=",CHAR(34),1/DU$4,CHAR(34),CHAR(47),CHAR(62)),"&lt;/routeDistribution&gt;"))</f>
        <v/>
      </c>
    </row>
    <row r="828" spans="1:5" x14ac:dyDescent="0.25">
      <c r="A828">
        <v>30953391</v>
      </c>
      <c r="B828" t="s">
        <v>1240</v>
      </c>
      <c r="E828" t="str">
        <f>IF(OR(E827="&lt;/routeDistribution&gt;",E827=""),"",IFERROR(_xlfn.CONCAT(VLOOKUP(DU7,Route_Column!#REF!,2,FALSE),CHAR(34)," probability=",CHAR(34),1/DU$4,CHAR(34),CHAR(47),CHAR(62)),"&lt;/routeDistribution&gt;"))</f>
        <v/>
      </c>
    </row>
    <row r="829" spans="1:5" x14ac:dyDescent="0.25">
      <c r="A829">
        <v>30953391</v>
      </c>
      <c r="B829" t="s">
        <v>1241</v>
      </c>
      <c r="E829" t="str">
        <f>IF(OR(E828="&lt;/routeDistribution&gt;",E828=""),"",IFERROR(_xlfn.CONCAT(VLOOKUP(DU8,Route_Column!#REF!,2,FALSE),CHAR(34)," probability=",CHAR(34),1/DU$4,CHAR(34),CHAR(47),CHAR(62)),"&lt;/routeDistribution&gt;"))</f>
        <v/>
      </c>
    </row>
    <row r="830" spans="1:5" x14ac:dyDescent="0.25">
      <c r="A830">
        <v>30953391</v>
      </c>
      <c r="B830" t="s">
        <v>1242</v>
      </c>
      <c r="E830" t="str">
        <f>IF(OR(E829="&lt;/routeDistribution&gt;",E829=""),"",IFERROR(_xlfn.CONCAT(VLOOKUP(DU9,Route_Column!#REF!,2,FALSE),CHAR(34)," probability=",CHAR(34),1/DU$4,CHAR(34),CHAR(47),CHAR(62)),"&lt;/routeDistribution&gt;"))</f>
        <v/>
      </c>
    </row>
    <row r="831" spans="1:5" x14ac:dyDescent="0.25">
      <c r="A831">
        <v>30953391</v>
      </c>
      <c r="B831" t="s">
        <v>1243</v>
      </c>
      <c r="E831" t="str">
        <f>IF(OR(E830="&lt;/routeDistribution&gt;",E830=""),"",IFERROR(_xlfn.CONCAT(VLOOKUP(DU10,Route_Column!#REF!,2,FALSE),CHAR(34)," probability=",CHAR(34),1/DU$4,CHAR(34),CHAR(47),CHAR(62)),"&lt;/routeDistribution&gt;"))</f>
        <v/>
      </c>
    </row>
    <row r="832" spans="1:5" x14ac:dyDescent="0.25">
      <c r="A832">
        <v>30953391</v>
      </c>
      <c r="B832" t="s">
        <v>1244</v>
      </c>
      <c r="E832" t="str">
        <f>IF(OR(E831="&lt;/routeDistribution&gt;",E831=""),"",IFERROR(_xlfn.CONCAT(VLOOKUP(DU11,Route_Column!#REF!,2,FALSE),CHAR(34)," probability=",CHAR(34),1/DU$4,CHAR(34),CHAR(47),CHAR(62)),"&lt;/routeDistribution&gt;"))</f>
        <v/>
      </c>
    </row>
    <row r="833" spans="1:5" x14ac:dyDescent="0.25">
      <c r="A833">
        <v>30953391</v>
      </c>
      <c r="B833" t="s">
        <v>1245</v>
      </c>
      <c r="E833" t="str">
        <f>IF(OR(E832="&lt;/routeDistribution&gt;",E832=""),"",IFERROR(_xlfn.CONCAT(VLOOKUP(DU12,Route_Column!#REF!,2,FALSE),CHAR(34)," probability=",CHAR(34),1/DU$4,CHAR(34),CHAR(47),CHAR(62)),"&lt;/routeDistribution&gt;"))</f>
        <v/>
      </c>
    </row>
    <row r="834" spans="1:5" x14ac:dyDescent="0.25">
      <c r="A834">
        <v>30953391</v>
      </c>
      <c r="B834" t="s">
        <v>1246</v>
      </c>
      <c r="E834" t="str">
        <f>IF(OR(E833="&lt;/routeDistribution&gt;",E833=""),"",IFERROR(_xlfn.CONCAT(VLOOKUP(DU13,Route_Column!#REF!,2,FALSE),CHAR(34)," probability=",CHAR(34),1/DU$4,CHAR(34),CHAR(47),CHAR(62)),"&lt;/routeDistribution&gt;"))</f>
        <v/>
      </c>
    </row>
    <row r="835" spans="1:5" x14ac:dyDescent="0.25">
      <c r="A835">
        <v>30953391</v>
      </c>
      <c r="B835" t="s">
        <v>1247</v>
      </c>
      <c r="E835" t="str">
        <f>IF(OR(E834="&lt;/routeDistribution&gt;",E834=""),"",IFERROR(_xlfn.CONCAT(VLOOKUP(DU14,Route_Column!#REF!,2,FALSE),CHAR(34)," probability=",CHAR(34),1/DU$4,CHAR(34),CHAR(47),CHAR(62)),"&lt;/routeDistribution&gt;"))</f>
        <v/>
      </c>
    </row>
    <row r="836" spans="1:5" x14ac:dyDescent="0.25">
      <c r="A836">
        <v>30953391</v>
      </c>
      <c r="B836" t="s">
        <v>1248</v>
      </c>
      <c r="E836" t="str">
        <f>IF(OR(E835="&lt;/routeDistribution&gt;",E835=""),"",IFERROR(_xlfn.CONCAT(VLOOKUP(DU15,Route_Column!#REF!,2,FALSE),CHAR(34)," probability=",CHAR(34),1/DU$4,CHAR(34),CHAR(47),CHAR(62)),"&lt;/routeDistribution&gt;"))</f>
        <v/>
      </c>
    </row>
    <row r="837" spans="1:5" x14ac:dyDescent="0.25">
      <c r="A837">
        <v>30953391</v>
      </c>
      <c r="B837" t="s">
        <v>1249</v>
      </c>
      <c r="E837" t="str">
        <f>IF(OR(E836="&lt;/routeDistribution&gt;",E836=""),"",IFERROR(_xlfn.CONCAT(VLOOKUP(DU16,Route_Column!#REF!,2,FALSE),CHAR(34)," probability=",CHAR(34),1/DU$4,CHAR(34),CHAR(47),CHAR(62)),"&lt;/routeDistribution&gt;"))</f>
        <v/>
      </c>
    </row>
    <row r="838" spans="1:5" x14ac:dyDescent="0.25">
      <c r="A838">
        <v>30953391</v>
      </c>
      <c r="B838" t="s">
        <v>1250</v>
      </c>
      <c r="E838" t="str">
        <f>IF(OR(E837="&lt;/routeDistribution&gt;",E837=""),"",IFERROR(_xlfn.CONCAT(VLOOKUP(DU17,Route_Column!#REF!,2,FALSE),CHAR(34)," probability=",CHAR(34),1/DU$4,CHAR(34),CHAR(47),CHAR(62)),"&lt;/routeDistribution&gt;"))</f>
        <v/>
      </c>
    </row>
    <row r="839" spans="1:5" x14ac:dyDescent="0.25">
      <c r="A839">
        <v>30953391</v>
      </c>
      <c r="B839" t="s">
        <v>1254</v>
      </c>
      <c r="E839" t="str">
        <f>IF(OR(E838="&lt;/routeDistribution&gt;",E838=""),"",IFERROR(_xlfn.CONCAT(VLOOKUP(DU18,Route_Column!#REF!,2,FALSE),CHAR(34)," probability=",CHAR(34),1/DU$4,CHAR(34),CHAR(47),CHAR(62)),"&lt;/routeDistribution&gt;"))</f>
        <v/>
      </c>
    </row>
    <row r="840" spans="1:5" x14ac:dyDescent="0.25">
      <c r="A840">
        <v>30953391</v>
      </c>
      <c r="B840" t="s">
        <v>1255</v>
      </c>
      <c r="E840" t="str">
        <f>IF(OR(E839="&lt;/routeDistribution&gt;",E839=""),"",IFERROR(_xlfn.CONCAT(VLOOKUP(DU19,Route_Column!#REF!,2,FALSE),CHAR(34)," probability=",CHAR(34),1/DU$4,CHAR(34),CHAR(47),CHAR(62)),"&lt;/routeDistribution&gt;"))</f>
        <v/>
      </c>
    </row>
    <row r="841" spans="1:5" x14ac:dyDescent="0.25">
      <c r="A841">
        <v>31909473</v>
      </c>
      <c r="B841" t="s">
        <v>1154</v>
      </c>
      <c r="E841" t="str">
        <f>IF(OR(E840="&lt;/routeDistribution&gt;",E840=""),"",IFERROR(_xlfn.CONCAT(VLOOKUP(DU20,Route_Column!#REF!,2,FALSE),CHAR(34)," probability=",CHAR(34),1/DU$4,CHAR(34),CHAR(47),CHAR(62)),"&lt;/routeDistribution&gt;"))</f>
        <v/>
      </c>
    </row>
    <row r="842" spans="1:5" x14ac:dyDescent="0.25">
      <c r="A842">
        <v>31909473</v>
      </c>
      <c r="B842" t="s">
        <v>1155</v>
      </c>
      <c r="E842" t="str">
        <f>IF(OR(E841="&lt;/routeDistribution&gt;",E841=""),"",IFERROR(_xlfn.CONCAT(VLOOKUP(DU21,Route_Column!#REF!,2,FALSE),CHAR(34)," probability=",CHAR(34),1/DU$4,CHAR(34),CHAR(47),CHAR(62)),"&lt;/routeDistribution&gt;"))</f>
        <v/>
      </c>
    </row>
    <row r="843" spans="1:5" x14ac:dyDescent="0.25">
      <c r="A843">
        <v>31909473</v>
      </c>
      <c r="B843" t="s">
        <v>1156</v>
      </c>
      <c r="E843" t="str">
        <f>IF(OR(E842="&lt;/routeDistribution&gt;",E842=""),"",IFERROR(_xlfn.CONCAT(VLOOKUP(DU22,Route_Column!#REF!,2,FALSE),CHAR(34)," probability=",CHAR(34),1/DU$4,CHAR(34),CHAR(47),CHAR(62)),"&lt;/routeDistribution&gt;"))</f>
        <v/>
      </c>
    </row>
    <row r="844" spans="1:5" x14ac:dyDescent="0.25">
      <c r="A844">
        <v>31909473</v>
      </c>
      <c r="B844" t="s">
        <v>1157</v>
      </c>
      <c r="E844" t="str">
        <f>IF(OR(E843="&lt;/routeDistribution&gt;",E843=""),"",IFERROR(_xlfn.CONCAT(VLOOKUP(DU23,Route_Column!#REF!,2,FALSE),CHAR(34)," probability=",CHAR(34),1/DU$4,CHAR(34),CHAR(47),CHAR(62)),"&lt;/routeDistribution&gt;"))</f>
        <v/>
      </c>
    </row>
    <row r="845" spans="1:5" x14ac:dyDescent="0.25">
      <c r="A845">
        <v>31909473</v>
      </c>
      <c r="B845" t="s">
        <v>1158</v>
      </c>
      <c r="E845" t="str">
        <f>IF(OR(E844="&lt;/routeDistribution&gt;",E844=""),"",IFERROR(_xlfn.CONCAT(VLOOKUP(DU24,Route_Column!#REF!,2,FALSE),CHAR(34)," probability=",CHAR(34),1/DU$4,CHAR(34),CHAR(47),CHAR(62)),"&lt;/routeDistribution&gt;"))</f>
        <v/>
      </c>
    </row>
    <row r="846" spans="1:5" x14ac:dyDescent="0.25">
      <c r="A846">
        <v>31909473</v>
      </c>
      <c r="B846" t="s">
        <v>1159</v>
      </c>
      <c r="E846" t="str">
        <f>IF(OR(E845="&lt;/routeDistribution&gt;",E845=""),"",IFERROR(_xlfn.CONCAT(VLOOKUP(DU25,Route_Column!#REF!,2,FALSE),CHAR(34)," probability=",CHAR(34),1/DU$4,CHAR(34),CHAR(47),CHAR(62)),"&lt;/routeDistribution&gt;"))</f>
        <v/>
      </c>
    </row>
    <row r="847" spans="1:5" x14ac:dyDescent="0.25">
      <c r="A847">
        <v>31909473</v>
      </c>
      <c r="B847" t="s">
        <v>1160</v>
      </c>
      <c r="E847" t="str">
        <f>IF(OR(E846="&lt;/routeDistribution&gt;",E846=""),"",IFERROR(_xlfn.CONCAT(VLOOKUP(DU26,Route_Column!#REF!,2,FALSE),CHAR(34)," probability=",CHAR(34),1/DU$4,CHAR(34),CHAR(47),CHAR(62)),"&lt;/routeDistribution&gt;"))</f>
        <v/>
      </c>
    </row>
    <row r="848" spans="1:5" x14ac:dyDescent="0.25">
      <c r="A848">
        <v>31909473</v>
      </c>
      <c r="B848" t="s">
        <v>1161</v>
      </c>
      <c r="E848" t="str">
        <f>IF(OR(E847="&lt;/routeDistribution&gt;",E847=""),"",IFERROR(_xlfn.CONCAT(VLOOKUP(DU27,Route_Column!#REF!,2,FALSE),CHAR(34)," probability=",CHAR(34),1/DU$4,CHAR(34),CHAR(47),CHAR(62)),"&lt;/routeDistribution&gt;"))</f>
        <v/>
      </c>
    </row>
    <row r="849" spans="1:5" x14ac:dyDescent="0.25">
      <c r="A849">
        <v>31909473</v>
      </c>
      <c r="B849" t="s">
        <v>1162</v>
      </c>
      <c r="E849" t="str">
        <f>IF(OR(E848="&lt;/routeDistribution&gt;",E848=""),"",IFERROR(_xlfn.CONCAT(VLOOKUP(DU28,Route_Column!#REF!,2,FALSE),CHAR(34)," probability=",CHAR(34),1/DU$4,CHAR(34),CHAR(47),CHAR(62)),"&lt;/routeDistribution&gt;"))</f>
        <v/>
      </c>
    </row>
    <row r="850" spans="1:5" x14ac:dyDescent="0.25">
      <c r="A850">
        <v>31909473</v>
      </c>
      <c r="B850" t="s">
        <v>1163</v>
      </c>
      <c r="E850" t="str">
        <f>IF(OR(E849="&lt;/routeDistribution&gt;",E849=""),"",IFERROR(_xlfn.CONCAT(VLOOKUP(DU29,Route_Column!#REF!,2,FALSE),CHAR(34)," probability=",CHAR(34),1/DU$4,CHAR(34),CHAR(47),CHAR(62)),"&lt;/routeDistribution&gt;"))</f>
        <v/>
      </c>
    </row>
    <row r="851" spans="1:5" x14ac:dyDescent="0.25">
      <c r="A851">
        <v>31909473</v>
      </c>
      <c r="B851" t="s">
        <v>1164</v>
      </c>
      <c r="E851" t="str">
        <f>IF(OR(E850="&lt;/routeDistribution&gt;",E850=""),"",IFERROR(_xlfn.CONCAT(VLOOKUP(DU30,Route_Column!#REF!,2,FALSE),CHAR(34)," probability=",CHAR(34),1/DU$4,CHAR(34),CHAR(47),CHAR(62)),"&lt;/routeDistribution&gt;"))</f>
        <v/>
      </c>
    </row>
    <row r="852" spans="1:5" x14ac:dyDescent="0.25">
      <c r="A852">
        <v>31909473</v>
      </c>
      <c r="B852" t="s">
        <v>1165</v>
      </c>
      <c r="E852" t="str">
        <f>IF(OR(E851="&lt;/routeDistribution&gt;",E851=""),"",IFERROR(_xlfn.CONCAT(VLOOKUP(DU31,Route_Column!#REF!,2,FALSE),CHAR(34)," probability=",CHAR(34),1/DU$4,CHAR(34),CHAR(47),CHAR(62)),"&lt;/routeDistribution&gt;"))</f>
        <v/>
      </c>
    </row>
    <row r="853" spans="1:5" x14ac:dyDescent="0.25">
      <c r="A853">
        <v>31909473</v>
      </c>
      <c r="B853" t="s">
        <v>1166</v>
      </c>
      <c r="E853" t="str">
        <f>IF(OR(E852="&lt;/routeDistribution&gt;",E852=""),"",IFERROR(_xlfn.CONCAT(VLOOKUP(DU32,Route_Column!#REF!,2,FALSE),CHAR(34)," probability=",CHAR(34),1/DU$4,CHAR(34),CHAR(47),CHAR(62)),"&lt;/routeDistribution&gt;"))</f>
        <v/>
      </c>
    </row>
    <row r="854" spans="1:5" x14ac:dyDescent="0.25">
      <c r="A854">
        <v>31909473</v>
      </c>
      <c r="B854" t="s">
        <v>1167</v>
      </c>
      <c r="E854" t="str">
        <f>IF(OR(E853="&lt;/routeDistribution&gt;",E853=""),"",IFERROR(_xlfn.CONCAT(VLOOKUP(DU33,Route_Column!#REF!,2,FALSE),CHAR(34)," probability=",CHAR(34),1/DU$4,CHAR(34),CHAR(47),CHAR(62)),"&lt;/routeDistribution&gt;"))</f>
        <v/>
      </c>
    </row>
    <row r="855" spans="1:5" x14ac:dyDescent="0.25">
      <c r="A855">
        <v>31909473</v>
      </c>
      <c r="B855" t="s">
        <v>1168</v>
      </c>
      <c r="E855" t="str">
        <f>IF(OR(E854="&lt;/routeDistribution&gt;",E854=""),"",IFERROR(_xlfn.CONCAT(VLOOKUP(DU34,Route_Column!#REF!,2,FALSE),CHAR(34)," probability=",CHAR(34),1/DU$4,CHAR(34),CHAR(47),CHAR(62)),"&lt;/routeDistribution&gt;"))</f>
        <v/>
      </c>
    </row>
    <row r="856" spans="1:5" x14ac:dyDescent="0.25">
      <c r="A856">
        <v>31909473</v>
      </c>
      <c r="B856" t="s">
        <v>1169</v>
      </c>
      <c r="E856" t="str">
        <f>IF(OR(E855="&lt;/routeDistribution&gt;",E855=""),"",IFERROR(_xlfn.CONCAT(VLOOKUP(DU35,Route_Column!#REF!,2,FALSE),CHAR(34)," probability=",CHAR(34),1/DU$4,CHAR(34),CHAR(47),CHAR(62)),"&lt;/routeDistribution&gt;"))</f>
        <v/>
      </c>
    </row>
    <row r="857" spans="1:5" x14ac:dyDescent="0.25">
      <c r="A857">
        <v>31909473</v>
      </c>
      <c r="B857" t="s">
        <v>1170</v>
      </c>
      <c r="E857" t="str">
        <f>IF(OR(E856="&lt;/routeDistribution&gt;",E856=""),"",IFERROR(_xlfn.CONCAT(VLOOKUP(DU36,Route_Column!#REF!,2,FALSE),CHAR(34)," probability=",CHAR(34),1/DU$4,CHAR(34),CHAR(47),CHAR(62)),"&lt;/routeDistribution&gt;"))</f>
        <v/>
      </c>
    </row>
    <row r="858" spans="1:5" x14ac:dyDescent="0.25">
      <c r="A858">
        <v>31909473</v>
      </c>
      <c r="B858" t="s">
        <v>1171</v>
      </c>
      <c r="E858" t="str">
        <f>IF(OR(E857="&lt;/routeDistribution&gt;",E857=""),"",IFERROR(_xlfn.CONCAT(VLOOKUP(DU37,Route_Column!#REF!,2,FALSE),CHAR(34)," probability=",CHAR(34),1/DU$4,CHAR(34),CHAR(47),CHAR(62)),"&lt;/routeDistribution&gt;"))</f>
        <v/>
      </c>
    </row>
    <row r="859" spans="1:5" x14ac:dyDescent="0.25">
      <c r="A859">
        <v>31909473</v>
      </c>
      <c r="B859" t="s">
        <v>1172</v>
      </c>
      <c r="E859" t="str">
        <f>IF(OR(E858="&lt;/routeDistribution&gt;",E858=""),"",IFERROR(_xlfn.CONCAT(VLOOKUP(DU38,Route_Column!#REF!,2,FALSE),CHAR(34)," probability=",CHAR(34),1/DU$4,CHAR(34),CHAR(47),CHAR(62)),"&lt;/routeDistribution&gt;"))</f>
        <v/>
      </c>
    </row>
    <row r="860" spans="1:5" x14ac:dyDescent="0.25">
      <c r="A860">
        <v>31909473</v>
      </c>
      <c r="B860" t="s">
        <v>1173</v>
      </c>
      <c r="E860" t="str">
        <f>IF(OR(E859="&lt;/routeDistribution&gt;",E859=""),"",IFERROR(_xlfn.CONCAT(VLOOKUP(DU39,Route_Column!#REF!,2,FALSE),CHAR(34)," probability=",CHAR(34),1/DU$4,CHAR(34),CHAR(47),CHAR(62)),"&lt;/routeDistribution&gt;"))</f>
        <v/>
      </c>
    </row>
    <row r="861" spans="1:5" x14ac:dyDescent="0.25">
      <c r="A861">
        <v>31909473</v>
      </c>
      <c r="B861" t="s">
        <v>1174</v>
      </c>
      <c r="E861" t="str">
        <f>IF(OR(E860="&lt;/routeDistribution&gt;",E860=""),"",IFERROR(_xlfn.CONCAT(VLOOKUP(DU40,Route_Column!#REF!,2,FALSE),CHAR(34)," probability=",CHAR(34),1/DU$4,CHAR(34),CHAR(47),CHAR(62)),"&lt;/routeDistribution&gt;"))</f>
        <v/>
      </c>
    </row>
    <row r="862" spans="1:5" x14ac:dyDescent="0.25">
      <c r="A862">
        <v>31909473</v>
      </c>
      <c r="B862" t="s">
        <v>1175</v>
      </c>
      <c r="E862" t="str">
        <f>IF(OR(E861="&lt;/routeDistribution&gt;",E861=""),"",IFERROR(_xlfn.CONCAT(VLOOKUP(DU41,Route_Column!#REF!,2,FALSE),CHAR(34)," probability=",CHAR(34),1/DU$4,CHAR(34),CHAR(47),CHAR(62)),"&lt;/routeDistribution&gt;"))</f>
        <v/>
      </c>
    </row>
    <row r="863" spans="1:5" x14ac:dyDescent="0.25">
      <c r="A863">
        <v>31909473</v>
      </c>
      <c r="B863" t="s">
        <v>1176</v>
      </c>
      <c r="E863" t="str">
        <f>IF(OR(E862="&lt;/routeDistribution&gt;",E862=""),"",IFERROR(_xlfn.CONCAT(VLOOKUP(DU42,Route_Column!#REF!,2,FALSE),CHAR(34)," probability=",CHAR(34),1/DU$4,CHAR(34),CHAR(47),CHAR(62)),"&lt;/routeDistribution&gt;"))</f>
        <v/>
      </c>
    </row>
    <row r="864" spans="1:5" x14ac:dyDescent="0.25">
      <c r="A864">
        <v>31909473</v>
      </c>
      <c r="B864" t="s">
        <v>1177</v>
      </c>
      <c r="E864" t="str">
        <f>IF(OR(E863="&lt;/routeDistribution&gt;",E863=""),"",IFERROR(_xlfn.CONCAT(VLOOKUP(DU43,Route_Column!#REF!,2,FALSE),CHAR(34)," probability=",CHAR(34),1/DU$4,CHAR(34),CHAR(47),CHAR(62)),"&lt;/routeDistribution&gt;"))</f>
        <v/>
      </c>
    </row>
    <row r="865" spans="1:5" x14ac:dyDescent="0.25">
      <c r="A865">
        <v>31909473</v>
      </c>
      <c r="B865" t="s">
        <v>1178</v>
      </c>
      <c r="E865" t="str">
        <f>IF(OR(E864="&lt;/routeDistribution&gt;",E864=""),"",IFERROR(_xlfn.CONCAT(VLOOKUP(DU44,Route_Column!#REF!,2,FALSE),CHAR(34)," probability=",CHAR(34),1/DU$4,CHAR(34),CHAR(47),CHAR(62)),"&lt;/routeDistribution&gt;"))</f>
        <v/>
      </c>
    </row>
    <row r="866" spans="1:5" x14ac:dyDescent="0.25">
      <c r="A866">
        <v>31909473</v>
      </c>
      <c r="B866" t="s">
        <v>1179</v>
      </c>
      <c r="E866" t="str">
        <f>IF(OR(E865="&lt;/routeDistribution&gt;",E865=""),"",IFERROR(_xlfn.CONCAT(VLOOKUP(DU45,Route_Column!#REF!,2,FALSE),CHAR(34)," probability=",CHAR(34),1/DU$4,CHAR(34),CHAR(47),CHAR(62)),"&lt;/routeDistribution&gt;"))</f>
        <v/>
      </c>
    </row>
    <row r="867" spans="1:5" x14ac:dyDescent="0.25">
      <c r="A867">
        <v>31909473</v>
      </c>
      <c r="B867" t="s">
        <v>1180</v>
      </c>
      <c r="E867" t="str">
        <f>IF(OR(E866="&lt;/routeDistribution&gt;",E866=""),"",IFERROR(_xlfn.CONCAT(VLOOKUP(DU46,Route_Column!#REF!,2,FALSE),CHAR(34)," probability=",CHAR(34),1/DU$4,CHAR(34),CHAR(47),CHAR(62)),"&lt;/routeDistribution&gt;"))</f>
        <v/>
      </c>
    </row>
    <row r="868" spans="1:5" x14ac:dyDescent="0.25">
      <c r="A868">
        <v>31909473</v>
      </c>
      <c r="B868" t="s">
        <v>1181</v>
      </c>
      <c r="E868" t="str">
        <f>IF(OR(E867="&lt;/routeDistribution&gt;",E867=""),"",IFERROR(_xlfn.CONCAT(VLOOKUP(DU47,Route_Column!#REF!,2,FALSE),CHAR(34)," probability=",CHAR(34),1/DU$4,CHAR(34),CHAR(47),CHAR(62)),"&lt;/routeDistribution&gt;"))</f>
        <v/>
      </c>
    </row>
    <row r="869" spans="1:5" x14ac:dyDescent="0.25">
      <c r="A869">
        <v>31909473</v>
      </c>
      <c r="B869" t="s">
        <v>1182</v>
      </c>
      <c r="E869" t="str">
        <f>IF(OR(E868="&lt;/routeDistribution&gt;",E868=""),"",IFERROR(_xlfn.CONCAT(VLOOKUP(DU48,Route_Column!#REF!,2,FALSE),CHAR(34)," probability=",CHAR(34),1/DU$4,CHAR(34),CHAR(47),CHAR(62)),"&lt;/routeDistribution&gt;"))</f>
        <v/>
      </c>
    </row>
    <row r="870" spans="1:5" x14ac:dyDescent="0.25">
      <c r="A870">
        <v>31909473</v>
      </c>
      <c r="B870" t="s">
        <v>1183</v>
      </c>
      <c r="E870" t="str">
        <f>IF(OR(E869="&lt;/routeDistribution&gt;",E869=""),"",IFERROR(_xlfn.CONCAT(VLOOKUP(DU49,Route_Column!#REF!,2,FALSE),CHAR(34)," probability=",CHAR(34),1/DU$4,CHAR(34),CHAR(47),CHAR(62)),"&lt;/routeDistribution&gt;"))</f>
        <v/>
      </c>
    </row>
    <row r="871" spans="1:5" x14ac:dyDescent="0.25">
      <c r="A871">
        <v>31909473</v>
      </c>
      <c r="B871" t="s">
        <v>1184</v>
      </c>
      <c r="E871" t="str">
        <f>IF(OR(E870="&lt;/routeDistribution&gt;",E870=""),"",IFERROR(_xlfn.CONCAT(VLOOKUP(DU50,Route_Column!#REF!,2,FALSE),CHAR(34)," probability=",CHAR(34),1/DU$4,CHAR(34),CHAR(47),CHAR(62)),"&lt;/routeDistribution&gt;"))</f>
        <v/>
      </c>
    </row>
    <row r="872" spans="1:5" x14ac:dyDescent="0.25">
      <c r="A872">
        <v>31909473</v>
      </c>
      <c r="B872" t="s">
        <v>1185</v>
      </c>
      <c r="E872" t="str">
        <f>IF(OR(E871="&lt;/routeDistribution&gt;",E871=""),"",IFERROR(_xlfn.CONCAT(VLOOKUP(DU51,Route_Column!#REF!,2,FALSE),CHAR(34)," probability=",CHAR(34),1/DU$4,CHAR(34),CHAR(47),CHAR(62)),"&lt;/routeDistribution&gt;"))</f>
        <v/>
      </c>
    </row>
    <row r="873" spans="1:5" x14ac:dyDescent="0.25">
      <c r="A873">
        <v>31909473</v>
      </c>
      <c r="B873" t="s">
        <v>1186</v>
      </c>
      <c r="E873" t="str">
        <f>IF(OR(E872="&lt;/routeDistribution&gt;",E872=""),"",IFERROR(_xlfn.CONCAT(VLOOKUP(DU52,Route_Column!#REF!,2,FALSE),CHAR(34)," probability=",CHAR(34),1/DU$4,CHAR(34),CHAR(47),CHAR(62)),"&lt;/routeDistribution&gt;"))</f>
        <v/>
      </c>
    </row>
    <row r="874" spans="1:5" x14ac:dyDescent="0.25">
      <c r="A874">
        <v>31909473</v>
      </c>
      <c r="B874" t="s">
        <v>1187</v>
      </c>
      <c r="E874" t="str">
        <f>IF(OR(E873="&lt;/routeDistribution&gt;",E873=""),"",IFERROR(_xlfn.CONCAT(VLOOKUP(DU53,Route_Column!#REF!,2,FALSE),CHAR(34)," probability=",CHAR(34),1/DU$4,CHAR(34),CHAR(47),CHAR(62)),"&lt;/routeDistribution&gt;"))</f>
        <v/>
      </c>
    </row>
    <row r="875" spans="1:5" x14ac:dyDescent="0.25">
      <c r="A875">
        <v>31909473</v>
      </c>
      <c r="B875" t="s">
        <v>1188</v>
      </c>
      <c r="E875" t="str">
        <f>IF(OR(E874="&lt;/routeDistribution&gt;",E874=""),"",IFERROR(_xlfn.CONCAT(VLOOKUP(DU54,Route_Column!#REF!,2,FALSE),CHAR(34)," probability=",CHAR(34),1/DU$4,CHAR(34),CHAR(47),CHAR(62)),"&lt;/routeDistribution&gt;"))</f>
        <v/>
      </c>
    </row>
    <row r="876" spans="1:5" x14ac:dyDescent="0.25">
      <c r="A876">
        <v>31909473</v>
      </c>
      <c r="B876" t="s">
        <v>1189</v>
      </c>
      <c r="E876" t="str">
        <f>IF(OR(E875="&lt;/routeDistribution&gt;",E875=""),"",IFERROR(_xlfn.CONCAT(VLOOKUP(DU55,Route_Column!#REF!,2,FALSE),CHAR(34)," probability=",CHAR(34),1/DU$4,CHAR(34),CHAR(47),CHAR(62)),"&lt;/routeDistribution&gt;"))</f>
        <v/>
      </c>
    </row>
    <row r="877" spans="1:5" x14ac:dyDescent="0.25">
      <c r="A877">
        <v>31909473</v>
      </c>
      <c r="B877" t="s">
        <v>1190</v>
      </c>
      <c r="E877" t="str">
        <f>IF(OR(E876="&lt;/routeDistribution&gt;",E876=""),"",IFERROR(_xlfn.CONCAT(VLOOKUP(DU56,Route_Column!#REF!,2,FALSE),CHAR(34)," probability=",CHAR(34),1/DU$4,CHAR(34),CHAR(47),CHAR(62)),"&lt;/routeDistribution&gt;"))</f>
        <v/>
      </c>
    </row>
    <row r="878" spans="1:5" x14ac:dyDescent="0.25">
      <c r="A878">
        <v>31909473</v>
      </c>
      <c r="B878" t="s">
        <v>1191</v>
      </c>
      <c r="E878" t="str">
        <f>IF(OR(E877="&lt;/routeDistribution&gt;",E877=""),"",IFERROR(_xlfn.CONCAT(VLOOKUP(DU57,Route_Column!#REF!,2,FALSE),CHAR(34)," probability=",CHAR(34),1/DU$4,CHAR(34),CHAR(47),CHAR(62)),"&lt;/routeDistribution&gt;"))</f>
        <v/>
      </c>
    </row>
    <row r="879" spans="1:5" x14ac:dyDescent="0.25">
      <c r="A879">
        <v>31909473</v>
      </c>
      <c r="B879" t="s">
        <v>1192</v>
      </c>
      <c r="E879" t="str">
        <f>IF(OR(E878="&lt;/routeDistribution&gt;",E878=""),"",IFERROR(_xlfn.CONCAT(VLOOKUP(DU58,Route_Column!#REF!,2,FALSE),CHAR(34)," probability=",CHAR(34),1/DU$4,CHAR(34),CHAR(47),CHAR(62)),"&lt;/routeDistribution&gt;"))</f>
        <v/>
      </c>
    </row>
    <row r="880" spans="1:5" x14ac:dyDescent="0.25">
      <c r="A880">
        <v>31909473</v>
      </c>
      <c r="B880" t="s">
        <v>1193</v>
      </c>
      <c r="E880" t="str">
        <f>IF(OR(E879="&lt;/routeDistribution&gt;",E879=""),"",IFERROR(_xlfn.CONCAT(VLOOKUP(DU59,Route_Column!#REF!,2,FALSE),CHAR(34)," probability=",CHAR(34),1/DU$4,CHAR(34),CHAR(47),CHAR(62)),"&lt;/routeDistribution&gt;"))</f>
        <v/>
      </c>
    </row>
    <row r="881" spans="1:5" x14ac:dyDescent="0.25">
      <c r="A881">
        <v>31909473</v>
      </c>
      <c r="B881" t="s">
        <v>1194</v>
      </c>
      <c r="E881" t="str">
        <f>IF(OR(E880="&lt;/routeDistribution&gt;",E880=""),"",IFERROR(_xlfn.CONCAT(VLOOKUP(DU60,Route_Column!#REF!,2,FALSE),CHAR(34)," probability=",CHAR(34),1/DU$4,CHAR(34),CHAR(47),CHAR(62)),"&lt;/routeDistribution&gt;"))</f>
        <v/>
      </c>
    </row>
    <row r="882" spans="1:5" x14ac:dyDescent="0.25">
      <c r="A882">
        <v>31909473</v>
      </c>
      <c r="B882" t="s">
        <v>1195</v>
      </c>
      <c r="E882" t="str">
        <f>IF(OR(E881="&lt;/routeDistribution&gt;",E881=""),"",IFERROR(_xlfn.CONCAT(VLOOKUP(DU61,Route_Column!#REF!,2,FALSE),CHAR(34)," probability=",CHAR(34),1/DU$4,CHAR(34),CHAR(47),CHAR(62)),"&lt;/routeDistribution&gt;"))</f>
        <v/>
      </c>
    </row>
    <row r="883" spans="1:5" x14ac:dyDescent="0.25">
      <c r="A883">
        <v>31909473</v>
      </c>
      <c r="B883" t="s">
        <v>1196</v>
      </c>
      <c r="E883" t="str">
        <f>IF(OR(E882="&lt;/routeDistribution&gt;",E882=""),"",IFERROR(_xlfn.CONCAT(VLOOKUP(DU62,Route_Column!#REF!,2,FALSE),CHAR(34)," probability=",CHAR(34),1/DU$4,CHAR(34),CHAR(47),CHAR(62)),"&lt;/routeDistribution&gt;"))</f>
        <v/>
      </c>
    </row>
    <row r="884" spans="1:5" x14ac:dyDescent="0.25">
      <c r="A884">
        <v>31909473</v>
      </c>
      <c r="B884" t="s">
        <v>1197</v>
      </c>
      <c r="E884" t="str">
        <f>IF(OR(E883="&lt;/routeDistribution&gt;",E883=""),"",IFERROR(_xlfn.CONCAT(VLOOKUP(DU63,Route_Column!#REF!,2,FALSE),CHAR(34)," probability=",CHAR(34),1/DU$4,CHAR(34),CHAR(47),CHAR(62)),"&lt;/routeDistribution&gt;"))</f>
        <v/>
      </c>
    </row>
    <row r="885" spans="1:5" x14ac:dyDescent="0.25">
      <c r="A885">
        <v>31909473</v>
      </c>
      <c r="B885" t="s">
        <v>1198</v>
      </c>
      <c r="E885" t="s">
        <v>2686</v>
      </c>
    </row>
    <row r="886" spans="1:5" x14ac:dyDescent="0.25">
      <c r="A886">
        <v>31909473</v>
      </c>
      <c r="B886" t="s">
        <v>1199</v>
      </c>
    </row>
    <row r="887" spans="1:5" x14ac:dyDescent="0.25">
      <c r="A887">
        <v>31909473</v>
      </c>
      <c r="B887" t="s">
        <v>1200</v>
      </c>
    </row>
    <row r="888" spans="1:5" x14ac:dyDescent="0.25">
      <c r="A888">
        <v>31909473</v>
      </c>
      <c r="B888" t="s">
        <v>1201</v>
      </c>
      <c r="E888" t="str">
        <f>_xlfn.CONCAT($E$1,DT$2,$F$1)</f>
        <v>&lt;routeDistribution id="I-76-WB-2015-Source-RouteProbe"&gt;</v>
      </c>
    </row>
    <row r="889" spans="1:5" x14ac:dyDescent="0.25">
      <c r="A889">
        <v>31909473</v>
      </c>
      <c r="B889" t="s">
        <v>1202</v>
      </c>
      <c r="E889" t="str">
        <f>IF(OR(E888="&lt;/routeDistribution&gt;",E888=""),"",IFERROR(_xlfn.CONCAT(VLOOKUP(DT5,Route_Column!#REF!,2,FALSE),CHAR(34)," probability=",CHAR(34),1/DT$4,CHAR(34),CHAR(47),CHAR(62)),"&lt;/routeDistribution&gt;"))</f>
        <v>&lt;/routeDistribution&gt;</v>
      </c>
    </row>
    <row r="890" spans="1:5" x14ac:dyDescent="0.25">
      <c r="A890">
        <v>31909473</v>
      </c>
      <c r="B890" t="s">
        <v>1203</v>
      </c>
      <c r="E890" t="str">
        <f>IF(OR(E889="&lt;/routeDistribution&gt;",E889=""),"",IFERROR(_xlfn.CONCAT(VLOOKUP(DT6,Route_Column!#REF!,2,FALSE),CHAR(34)," probability=",CHAR(34),1/DT$4,CHAR(34),CHAR(47),CHAR(62)),"&lt;/routeDistribution&gt;"))</f>
        <v/>
      </c>
    </row>
    <row r="891" spans="1:5" x14ac:dyDescent="0.25">
      <c r="A891">
        <v>31909473</v>
      </c>
      <c r="B891" t="s">
        <v>1204</v>
      </c>
      <c r="E891" t="str">
        <f>IF(OR(E890="&lt;/routeDistribution&gt;",E890=""),"",IFERROR(_xlfn.CONCAT(VLOOKUP(DT7,Route_Column!#REF!,2,FALSE),CHAR(34)," probability=",CHAR(34),1/DT$4,CHAR(34),CHAR(47),CHAR(62)),"&lt;/routeDistribution&gt;"))</f>
        <v/>
      </c>
    </row>
    <row r="892" spans="1:5" x14ac:dyDescent="0.25">
      <c r="A892">
        <v>31909473</v>
      </c>
      <c r="B892" t="s">
        <v>1205</v>
      </c>
      <c r="E892" t="str">
        <f>IF(OR(E891="&lt;/routeDistribution&gt;",E891=""),"",IFERROR(_xlfn.CONCAT(VLOOKUP(DT8,Route_Column!#REF!,2,FALSE),CHAR(34)," probability=",CHAR(34),1/DT$4,CHAR(34),CHAR(47),CHAR(62)),"&lt;/routeDistribution&gt;"))</f>
        <v/>
      </c>
    </row>
    <row r="893" spans="1:5" x14ac:dyDescent="0.25">
      <c r="A893">
        <v>31909473</v>
      </c>
      <c r="B893" t="s">
        <v>1206</v>
      </c>
      <c r="E893" t="str">
        <f>IF(OR(E892="&lt;/routeDistribution&gt;",E892=""),"",IFERROR(_xlfn.CONCAT(VLOOKUP(DT9,Route_Column!#REF!,2,FALSE),CHAR(34)," probability=",CHAR(34),1/DT$4,CHAR(34),CHAR(47),CHAR(62)),"&lt;/routeDistribution&gt;"))</f>
        <v/>
      </c>
    </row>
    <row r="894" spans="1:5" x14ac:dyDescent="0.25">
      <c r="A894">
        <v>31909473</v>
      </c>
      <c r="B894" t="s">
        <v>1207</v>
      </c>
      <c r="E894" t="str">
        <f>IF(OR(E893="&lt;/routeDistribution&gt;",E893=""),"",IFERROR(_xlfn.CONCAT(VLOOKUP(DT10,Route_Column!#REF!,2,FALSE),CHAR(34)," probability=",CHAR(34),1/DT$4,CHAR(34),CHAR(47),CHAR(62)),"&lt;/routeDistribution&gt;"))</f>
        <v/>
      </c>
    </row>
    <row r="895" spans="1:5" x14ac:dyDescent="0.25">
      <c r="A895">
        <v>31909473</v>
      </c>
      <c r="B895" t="s">
        <v>1208</v>
      </c>
      <c r="E895" t="str">
        <f>IF(OR(E894="&lt;/routeDistribution&gt;",E894=""),"",IFERROR(_xlfn.CONCAT(VLOOKUP(DT11,Route_Column!#REF!,2,FALSE),CHAR(34)," probability=",CHAR(34),1/DT$4,CHAR(34),CHAR(47),CHAR(62)),"&lt;/routeDistribution&gt;"))</f>
        <v/>
      </c>
    </row>
    <row r="896" spans="1:5" x14ac:dyDescent="0.25">
      <c r="A896">
        <v>31909473</v>
      </c>
      <c r="B896" t="s">
        <v>1209</v>
      </c>
      <c r="E896" t="str">
        <f>IF(OR(E895="&lt;/routeDistribution&gt;",E895=""),"",IFERROR(_xlfn.CONCAT(VLOOKUP(DT12,Route_Column!#REF!,2,FALSE),CHAR(34)," probability=",CHAR(34),1/DT$4,CHAR(34),CHAR(47),CHAR(62)),"&lt;/routeDistribution&gt;"))</f>
        <v/>
      </c>
    </row>
    <row r="897" spans="1:5" x14ac:dyDescent="0.25">
      <c r="A897">
        <v>31909473</v>
      </c>
      <c r="B897" t="s">
        <v>1210</v>
      </c>
      <c r="E897" t="str">
        <f>IF(OR(E896="&lt;/routeDistribution&gt;",E896=""),"",IFERROR(_xlfn.CONCAT(VLOOKUP(DT13,Route_Column!#REF!,2,FALSE),CHAR(34)," probability=",CHAR(34),1/DT$4,CHAR(34),CHAR(47),CHAR(62)),"&lt;/routeDistribution&gt;"))</f>
        <v/>
      </c>
    </row>
    <row r="898" spans="1:5" x14ac:dyDescent="0.25">
      <c r="A898">
        <v>31909473</v>
      </c>
      <c r="B898" t="s">
        <v>1211</v>
      </c>
      <c r="E898" t="str">
        <f>IF(OR(E897="&lt;/routeDistribution&gt;",E897=""),"",IFERROR(_xlfn.CONCAT(VLOOKUP(DT14,Route_Column!#REF!,2,FALSE),CHAR(34)," probability=",CHAR(34),1/DT$4,CHAR(34),CHAR(47),CHAR(62)),"&lt;/routeDistribution&gt;"))</f>
        <v/>
      </c>
    </row>
    <row r="899" spans="1:5" x14ac:dyDescent="0.25">
      <c r="A899">
        <v>31909473</v>
      </c>
      <c r="B899" t="s">
        <v>1212</v>
      </c>
      <c r="E899" t="str">
        <f>IF(OR(E898="&lt;/routeDistribution&gt;",E898=""),"",IFERROR(_xlfn.CONCAT(VLOOKUP(DT15,Route_Column!#REF!,2,FALSE),CHAR(34)," probability=",CHAR(34),1/DT$4,CHAR(34),CHAR(47),CHAR(62)),"&lt;/routeDistribution&gt;"))</f>
        <v/>
      </c>
    </row>
    <row r="900" spans="1:5" x14ac:dyDescent="0.25">
      <c r="A900">
        <v>31909473.857000001</v>
      </c>
      <c r="B900" t="s">
        <v>1154</v>
      </c>
      <c r="E900" t="str">
        <f>IF(OR(E899="&lt;/routeDistribution&gt;",E899=""),"",IFERROR(_xlfn.CONCAT(VLOOKUP(DT16,Route_Column!#REF!,2,FALSE),CHAR(34)," probability=",CHAR(34),1/DT$4,CHAR(34),CHAR(47),CHAR(62)),"&lt;/routeDistribution&gt;"))</f>
        <v/>
      </c>
    </row>
    <row r="901" spans="1:5" x14ac:dyDescent="0.25">
      <c r="A901">
        <v>31909473.857000001</v>
      </c>
      <c r="B901" t="s">
        <v>1155</v>
      </c>
      <c r="E901" t="str">
        <f>IF(OR(E900="&lt;/routeDistribution&gt;",E900=""),"",IFERROR(_xlfn.CONCAT(VLOOKUP(DT17,Route_Column!#REF!,2,FALSE),CHAR(34)," probability=",CHAR(34),1/DT$4,CHAR(34),CHAR(47),CHAR(62)),"&lt;/routeDistribution&gt;"))</f>
        <v/>
      </c>
    </row>
    <row r="902" spans="1:5" x14ac:dyDescent="0.25">
      <c r="A902">
        <v>31909473.857000001</v>
      </c>
      <c r="B902" t="s">
        <v>1156</v>
      </c>
      <c r="E902" t="str">
        <f>IF(OR(E901="&lt;/routeDistribution&gt;",E901=""),"",IFERROR(_xlfn.CONCAT(VLOOKUP(DT18,Route_Column!#REF!,2,FALSE),CHAR(34)," probability=",CHAR(34),1/DT$4,CHAR(34),CHAR(47),CHAR(62)),"&lt;/routeDistribution&gt;"))</f>
        <v/>
      </c>
    </row>
    <row r="903" spans="1:5" x14ac:dyDescent="0.25">
      <c r="A903">
        <v>31909473.857000001</v>
      </c>
      <c r="B903" t="s">
        <v>1157</v>
      </c>
      <c r="E903" t="str">
        <f>IF(OR(E902="&lt;/routeDistribution&gt;",E902=""),"",IFERROR(_xlfn.CONCAT(VLOOKUP(DT19,Route_Column!#REF!,2,FALSE),CHAR(34)," probability=",CHAR(34),1/DT$4,CHAR(34),CHAR(47),CHAR(62)),"&lt;/routeDistribution&gt;"))</f>
        <v/>
      </c>
    </row>
    <row r="904" spans="1:5" x14ac:dyDescent="0.25">
      <c r="A904">
        <v>31909473.857000001</v>
      </c>
      <c r="B904" t="s">
        <v>1158</v>
      </c>
      <c r="E904" t="str">
        <f>IF(OR(E903="&lt;/routeDistribution&gt;",E903=""),"",IFERROR(_xlfn.CONCAT(VLOOKUP(DT20,Route_Column!#REF!,2,FALSE),CHAR(34)," probability=",CHAR(34),1/DT$4,CHAR(34),CHAR(47),CHAR(62)),"&lt;/routeDistribution&gt;"))</f>
        <v/>
      </c>
    </row>
    <row r="905" spans="1:5" x14ac:dyDescent="0.25">
      <c r="A905">
        <v>31909473.857000001</v>
      </c>
      <c r="B905" t="s">
        <v>1159</v>
      </c>
      <c r="E905" t="str">
        <f>IF(OR(E904="&lt;/routeDistribution&gt;",E904=""),"",IFERROR(_xlfn.CONCAT(VLOOKUP(DT21,Route_Column!#REF!,2,FALSE),CHAR(34)," probability=",CHAR(34),1/DT$4,CHAR(34),CHAR(47),CHAR(62)),"&lt;/routeDistribution&gt;"))</f>
        <v/>
      </c>
    </row>
    <row r="906" spans="1:5" x14ac:dyDescent="0.25">
      <c r="A906">
        <v>31909473.857000001</v>
      </c>
      <c r="B906" t="s">
        <v>1160</v>
      </c>
      <c r="E906" t="str">
        <f>IF(OR(E905="&lt;/routeDistribution&gt;",E905=""),"",IFERROR(_xlfn.CONCAT(VLOOKUP(DT22,Route_Column!#REF!,2,FALSE),CHAR(34)," probability=",CHAR(34),1/DT$4,CHAR(34),CHAR(47),CHAR(62)),"&lt;/routeDistribution&gt;"))</f>
        <v/>
      </c>
    </row>
    <row r="907" spans="1:5" x14ac:dyDescent="0.25">
      <c r="A907">
        <v>31909473.857000001</v>
      </c>
      <c r="B907" t="s">
        <v>1161</v>
      </c>
      <c r="E907" t="str">
        <f>IF(OR(E906="&lt;/routeDistribution&gt;",E906=""),"",IFERROR(_xlfn.CONCAT(VLOOKUP(DT23,Route_Column!#REF!,2,FALSE),CHAR(34)," probability=",CHAR(34),1/DT$4,CHAR(34),CHAR(47),CHAR(62)),"&lt;/routeDistribution&gt;"))</f>
        <v/>
      </c>
    </row>
    <row r="908" spans="1:5" x14ac:dyDescent="0.25">
      <c r="A908">
        <v>31909473.857000001</v>
      </c>
      <c r="B908" t="s">
        <v>1162</v>
      </c>
      <c r="E908" t="str">
        <f>IF(OR(E907="&lt;/routeDistribution&gt;",E907=""),"",IFERROR(_xlfn.CONCAT(VLOOKUP(DT24,Route_Column!#REF!,2,FALSE),CHAR(34)," probability=",CHAR(34),1/DT$4,CHAR(34),CHAR(47),CHAR(62)),"&lt;/routeDistribution&gt;"))</f>
        <v/>
      </c>
    </row>
    <row r="909" spans="1:5" x14ac:dyDescent="0.25">
      <c r="A909">
        <v>31909473.857000001</v>
      </c>
      <c r="B909" t="s">
        <v>1163</v>
      </c>
      <c r="E909" t="str">
        <f>IF(OR(E908="&lt;/routeDistribution&gt;",E908=""),"",IFERROR(_xlfn.CONCAT(VLOOKUP(DT25,Route_Column!#REF!,2,FALSE),CHAR(34)," probability=",CHAR(34),1/DT$4,CHAR(34),CHAR(47),CHAR(62)),"&lt;/routeDistribution&gt;"))</f>
        <v/>
      </c>
    </row>
    <row r="910" spans="1:5" x14ac:dyDescent="0.25">
      <c r="A910">
        <v>31909473.857000001</v>
      </c>
      <c r="B910" t="s">
        <v>1164</v>
      </c>
      <c r="E910" t="str">
        <f>IF(OR(E909="&lt;/routeDistribution&gt;",E909=""),"",IFERROR(_xlfn.CONCAT(VLOOKUP(DT26,Route_Column!#REF!,2,FALSE),CHAR(34)," probability=",CHAR(34),1/DT$4,CHAR(34),CHAR(47),CHAR(62)),"&lt;/routeDistribution&gt;"))</f>
        <v/>
      </c>
    </row>
    <row r="911" spans="1:5" x14ac:dyDescent="0.25">
      <c r="A911">
        <v>31909473.857000001</v>
      </c>
      <c r="B911" t="s">
        <v>1165</v>
      </c>
      <c r="E911" t="str">
        <f>IF(OR(E910="&lt;/routeDistribution&gt;",E910=""),"",IFERROR(_xlfn.CONCAT(VLOOKUP(DT27,Route_Column!#REF!,2,FALSE),CHAR(34)," probability=",CHAR(34),1/DT$4,CHAR(34),CHAR(47),CHAR(62)),"&lt;/routeDistribution&gt;"))</f>
        <v/>
      </c>
    </row>
    <row r="912" spans="1:5" x14ac:dyDescent="0.25">
      <c r="A912">
        <v>31909473.857000001</v>
      </c>
      <c r="B912" t="s">
        <v>1166</v>
      </c>
      <c r="E912" t="str">
        <f>IF(OR(E911="&lt;/routeDistribution&gt;",E911=""),"",IFERROR(_xlfn.CONCAT(VLOOKUP(DT28,Route_Column!#REF!,2,FALSE),CHAR(34)," probability=",CHAR(34),1/DT$4,CHAR(34),CHAR(47),CHAR(62)),"&lt;/routeDistribution&gt;"))</f>
        <v/>
      </c>
    </row>
    <row r="913" spans="1:5" x14ac:dyDescent="0.25">
      <c r="A913">
        <v>31909473.857000001</v>
      </c>
      <c r="B913" t="s">
        <v>1167</v>
      </c>
      <c r="E913" t="str">
        <f>IF(OR(E912="&lt;/routeDistribution&gt;",E912=""),"",IFERROR(_xlfn.CONCAT(VLOOKUP(DT29,Route_Column!#REF!,2,FALSE),CHAR(34)," probability=",CHAR(34),1/DT$4,CHAR(34),CHAR(47),CHAR(62)),"&lt;/routeDistribution&gt;"))</f>
        <v/>
      </c>
    </row>
    <row r="914" spans="1:5" x14ac:dyDescent="0.25">
      <c r="A914">
        <v>31909473.857000001</v>
      </c>
      <c r="B914" t="s">
        <v>1168</v>
      </c>
      <c r="E914" t="str">
        <f>IF(OR(E913="&lt;/routeDistribution&gt;",E913=""),"",IFERROR(_xlfn.CONCAT(VLOOKUP(DT30,Route_Column!#REF!,2,FALSE),CHAR(34)," probability=",CHAR(34),1/DT$4,CHAR(34),CHAR(47),CHAR(62)),"&lt;/routeDistribution&gt;"))</f>
        <v/>
      </c>
    </row>
    <row r="915" spans="1:5" x14ac:dyDescent="0.25">
      <c r="A915">
        <v>31909473.857000001</v>
      </c>
      <c r="B915" t="s">
        <v>1169</v>
      </c>
      <c r="E915" t="str">
        <f>IF(OR(E914="&lt;/routeDistribution&gt;",E914=""),"",IFERROR(_xlfn.CONCAT(VLOOKUP(DT31,Route_Column!#REF!,2,FALSE),CHAR(34)," probability=",CHAR(34),1/DT$4,CHAR(34),CHAR(47),CHAR(62)),"&lt;/routeDistribution&gt;"))</f>
        <v/>
      </c>
    </row>
    <row r="916" spans="1:5" x14ac:dyDescent="0.25">
      <c r="A916">
        <v>31909473.857000001</v>
      </c>
      <c r="B916" t="s">
        <v>1170</v>
      </c>
      <c r="E916" t="str">
        <f>IF(OR(E915="&lt;/routeDistribution&gt;",E915=""),"",IFERROR(_xlfn.CONCAT(VLOOKUP(DT32,Route_Column!#REF!,2,FALSE),CHAR(34)," probability=",CHAR(34),1/DT$4,CHAR(34),CHAR(47),CHAR(62)),"&lt;/routeDistribution&gt;"))</f>
        <v/>
      </c>
    </row>
    <row r="917" spans="1:5" x14ac:dyDescent="0.25">
      <c r="A917">
        <v>31909473.857000001</v>
      </c>
      <c r="B917" t="s">
        <v>1171</v>
      </c>
      <c r="E917" t="str">
        <f>IF(OR(E916="&lt;/routeDistribution&gt;",E916=""),"",IFERROR(_xlfn.CONCAT(VLOOKUP(DT33,Route_Column!#REF!,2,FALSE),CHAR(34)," probability=",CHAR(34),1/DT$4,CHAR(34),CHAR(47),CHAR(62)),"&lt;/routeDistribution&gt;"))</f>
        <v/>
      </c>
    </row>
    <row r="918" spans="1:5" x14ac:dyDescent="0.25">
      <c r="A918">
        <v>31909473.857000001</v>
      </c>
      <c r="B918" t="s">
        <v>1172</v>
      </c>
      <c r="E918" t="str">
        <f>IF(OR(E917="&lt;/routeDistribution&gt;",E917=""),"",IFERROR(_xlfn.CONCAT(VLOOKUP(DT34,Route_Column!#REF!,2,FALSE),CHAR(34)," probability=",CHAR(34),1/DT$4,CHAR(34),CHAR(47),CHAR(62)),"&lt;/routeDistribution&gt;"))</f>
        <v/>
      </c>
    </row>
    <row r="919" spans="1:5" x14ac:dyDescent="0.25">
      <c r="A919">
        <v>31909473.857000001</v>
      </c>
      <c r="B919" t="s">
        <v>1173</v>
      </c>
      <c r="E919" t="str">
        <f>IF(OR(E918="&lt;/routeDistribution&gt;",E918=""),"",IFERROR(_xlfn.CONCAT(VLOOKUP(DT35,Route_Column!#REF!,2,FALSE),CHAR(34)," probability=",CHAR(34),1/DT$4,CHAR(34),CHAR(47),CHAR(62)),"&lt;/routeDistribution&gt;"))</f>
        <v/>
      </c>
    </row>
    <row r="920" spans="1:5" x14ac:dyDescent="0.25">
      <c r="A920">
        <v>31909473.857000001</v>
      </c>
      <c r="B920" t="s">
        <v>1174</v>
      </c>
      <c r="E920" t="str">
        <f>IF(OR(E919="&lt;/routeDistribution&gt;",E919=""),"",IFERROR(_xlfn.CONCAT(VLOOKUP(DT36,Route_Column!#REF!,2,FALSE),CHAR(34)," probability=",CHAR(34),1/DT$4,CHAR(34),CHAR(47),CHAR(62)),"&lt;/routeDistribution&gt;"))</f>
        <v/>
      </c>
    </row>
    <row r="921" spans="1:5" x14ac:dyDescent="0.25">
      <c r="A921">
        <v>31909473.857000001</v>
      </c>
      <c r="B921" t="s">
        <v>1175</v>
      </c>
      <c r="E921" t="str">
        <f>IF(OR(E920="&lt;/routeDistribution&gt;",E920=""),"",IFERROR(_xlfn.CONCAT(VLOOKUP(DT37,Route_Column!#REF!,2,FALSE),CHAR(34)," probability=",CHAR(34),1/DT$4,CHAR(34),CHAR(47),CHAR(62)),"&lt;/routeDistribution&gt;"))</f>
        <v/>
      </c>
    </row>
    <row r="922" spans="1:5" x14ac:dyDescent="0.25">
      <c r="A922">
        <v>31909473.857000001</v>
      </c>
      <c r="B922" t="s">
        <v>1176</v>
      </c>
      <c r="E922" t="str">
        <f>IF(OR(E921="&lt;/routeDistribution&gt;",E921=""),"",IFERROR(_xlfn.CONCAT(VLOOKUP(DT38,Route_Column!#REF!,2,FALSE),CHAR(34)," probability=",CHAR(34),1/DT$4,CHAR(34),CHAR(47),CHAR(62)),"&lt;/routeDistribution&gt;"))</f>
        <v/>
      </c>
    </row>
    <row r="923" spans="1:5" x14ac:dyDescent="0.25">
      <c r="A923">
        <v>31909473.857000001</v>
      </c>
      <c r="B923" t="s">
        <v>1177</v>
      </c>
      <c r="E923" t="str">
        <f>IF(OR(E922="&lt;/routeDistribution&gt;",E922=""),"",IFERROR(_xlfn.CONCAT(VLOOKUP(DT39,Route_Column!#REF!,2,FALSE),CHAR(34)," probability=",CHAR(34),1/DT$4,CHAR(34),CHAR(47),CHAR(62)),"&lt;/routeDistribution&gt;"))</f>
        <v/>
      </c>
    </row>
    <row r="924" spans="1:5" x14ac:dyDescent="0.25">
      <c r="A924">
        <v>31909473.857000001</v>
      </c>
      <c r="B924" t="s">
        <v>1178</v>
      </c>
      <c r="E924" t="str">
        <f>IF(OR(E923="&lt;/routeDistribution&gt;",E923=""),"",IFERROR(_xlfn.CONCAT(VLOOKUP(DT40,Route_Column!#REF!,2,FALSE),CHAR(34)," probability=",CHAR(34),1/DT$4,CHAR(34),CHAR(47),CHAR(62)),"&lt;/routeDistribution&gt;"))</f>
        <v/>
      </c>
    </row>
    <row r="925" spans="1:5" x14ac:dyDescent="0.25">
      <c r="A925">
        <v>31909473.857000001</v>
      </c>
      <c r="B925" t="s">
        <v>1179</v>
      </c>
      <c r="E925" t="str">
        <f>IF(OR(E924="&lt;/routeDistribution&gt;",E924=""),"",IFERROR(_xlfn.CONCAT(VLOOKUP(DT41,Route_Column!#REF!,2,FALSE),CHAR(34)," probability=",CHAR(34),1/DT$4,CHAR(34),CHAR(47),CHAR(62)),"&lt;/routeDistribution&gt;"))</f>
        <v/>
      </c>
    </row>
    <row r="926" spans="1:5" x14ac:dyDescent="0.25">
      <c r="A926">
        <v>31909473.857000001</v>
      </c>
      <c r="B926" t="s">
        <v>1180</v>
      </c>
      <c r="E926" t="str">
        <f>IF(OR(E925="&lt;/routeDistribution&gt;",E925=""),"",IFERROR(_xlfn.CONCAT(VLOOKUP(DT42,Route_Column!#REF!,2,FALSE),CHAR(34)," probability=",CHAR(34),1/DT$4,CHAR(34),CHAR(47),CHAR(62)),"&lt;/routeDistribution&gt;"))</f>
        <v/>
      </c>
    </row>
    <row r="927" spans="1:5" x14ac:dyDescent="0.25">
      <c r="A927">
        <v>31909473.857000001</v>
      </c>
      <c r="B927" t="s">
        <v>1181</v>
      </c>
      <c r="E927" t="str">
        <f>IF(OR(E926="&lt;/routeDistribution&gt;",E926=""),"",IFERROR(_xlfn.CONCAT(VLOOKUP(DT43,Route_Column!#REF!,2,FALSE),CHAR(34)," probability=",CHAR(34),1/DT$4,CHAR(34),CHAR(47),CHAR(62)),"&lt;/routeDistribution&gt;"))</f>
        <v/>
      </c>
    </row>
    <row r="928" spans="1:5" x14ac:dyDescent="0.25">
      <c r="A928">
        <v>31909473.857000001</v>
      </c>
      <c r="B928" t="s">
        <v>1182</v>
      </c>
      <c r="E928" t="str">
        <f>IF(OR(E927="&lt;/routeDistribution&gt;",E927=""),"",IFERROR(_xlfn.CONCAT(VLOOKUP(DT44,Route_Column!#REF!,2,FALSE),CHAR(34)," probability=",CHAR(34),1/DT$4,CHAR(34),CHAR(47),CHAR(62)),"&lt;/routeDistribution&gt;"))</f>
        <v/>
      </c>
    </row>
    <row r="929" spans="1:5" x14ac:dyDescent="0.25">
      <c r="A929">
        <v>31909473.857000001</v>
      </c>
      <c r="B929" t="s">
        <v>1183</v>
      </c>
      <c r="E929" t="str">
        <f>IF(OR(E928="&lt;/routeDistribution&gt;",E928=""),"",IFERROR(_xlfn.CONCAT(VLOOKUP(DT45,Route_Column!#REF!,2,FALSE),CHAR(34)," probability=",CHAR(34),1/DT$4,CHAR(34),CHAR(47),CHAR(62)),"&lt;/routeDistribution&gt;"))</f>
        <v/>
      </c>
    </row>
    <row r="930" spans="1:5" x14ac:dyDescent="0.25">
      <c r="A930">
        <v>31909473.857000001</v>
      </c>
      <c r="B930" t="s">
        <v>1184</v>
      </c>
      <c r="E930" t="str">
        <f>IF(OR(E929="&lt;/routeDistribution&gt;",E929=""),"",IFERROR(_xlfn.CONCAT(VLOOKUP(DT46,Route_Column!#REF!,2,FALSE),CHAR(34)," probability=",CHAR(34),1/DT$4,CHAR(34),CHAR(47),CHAR(62)),"&lt;/routeDistribution&gt;"))</f>
        <v/>
      </c>
    </row>
    <row r="931" spans="1:5" x14ac:dyDescent="0.25">
      <c r="A931">
        <v>31909473.857000001</v>
      </c>
      <c r="B931" t="s">
        <v>1185</v>
      </c>
      <c r="E931" t="str">
        <f>IF(OR(E930="&lt;/routeDistribution&gt;",E930=""),"",IFERROR(_xlfn.CONCAT(VLOOKUP(DT47,Route_Column!#REF!,2,FALSE),CHAR(34)," probability=",CHAR(34),1/DT$4,CHAR(34),CHAR(47),CHAR(62)),"&lt;/routeDistribution&gt;"))</f>
        <v/>
      </c>
    </row>
    <row r="932" spans="1:5" x14ac:dyDescent="0.25">
      <c r="A932">
        <v>31909473.857000001</v>
      </c>
      <c r="B932" t="s">
        <v>1186</v>
      </c>
      <c r="E932" t="str">
        <f>IF(OR(E931="&lt;/routeDistribution&gt;",E931=""),"",IFERROR(_xlfn.CONCAT(VLOOKUP(DT48,Route_Column!#REF!,2,FALSE),CHAR(34)," probability=",CHAR(34),1/DT$4,CHAR(34),CHAR(47),CHAR(62)),"&lt;/routeDistribution&gt;"))</f>
        <v/>
      </c>
    </row>
    <row r="933" spans="1:5" x14ac:dyDescent="0.25">
      <c r="A933">
        <v>31909473.857000001</v>
      </c>
      <c r="B933" t="s">
        <v>1187</v>
      </c>
      <c r="E933" t="str">
        <f>IF(OR(E932="&lt;/routeDistribution&gt;",E932=""),"",IFERROR(_xlfn.CONCAT(VLOOKUP(DT49,Route_Column!#REF!,2,FALSE),CHAR(34)," probability=",CHAR(34),1/DT$4,CHAR(34),CHAR(47),CHAR(62)),"&lt;/routeDistribution&gt;"))</f>
        <v/>
      </c>
    </row>
    <row r="934" spans="1:5" x14ac:dyDescent="0.25">
      <c r="A934">
        <v>31909473.857000001</v>
      </c>
      <c r="B934" t="s">
        <v>1188</v>
      </c>
      <c r="E934" t="str">
        <f>IF(OR(E933="&lt;/routeDistribution&gt;",E933=""),"",IFERROR(_xlfn.CONCAT(VLOOKUP(DT50,Route_Column!#REF!,2,FALSE),CHAR(34)," probability=",CHAR(34),1/DT$4,CHAR(34),CHAR(47),CHAR(62)),"&lt;/routeDistribution&gt;"))</f>
        <v/>
      </c>
    </row>
    <row r="935" spans="1:5" x14ac:dyDescent="0.25">
      <c r="A935">
        <v>31909473.857000001</v>
      </c>
      <c r="B935" t="s">
        <v>1189</v>
      </c>
      <c r="E935" t="str">
        <f>IF(OR(E934="&lt;/routeDistribution&gt;",E934=""),"",IFERROR(_xlfn.CONCAT(VLOOKUP(DT51,Route_Column!#REF!,2,FALSE),CHAR(34)," probability=",CHAR(34),1/DT$4,CHAR(34),CHAR(47),CHAR(62)),"&lt;/routeDistribution&gt;"))</f>
        <v/>
      </c>
    </row>
    <row r="936" spans="1:5" x14ac:dyDescent="0.25">
      <c r="A936">
        <v>31909473.857000001</v>
      </c>
      <c r="B936" t="s">
        <v>1190</v>
      </c>
      <c r="E936" t="str">
        <f>IF(OR(E935="&lt;/routeDistribution&gt;",E935=""),"",IFERROR(_xlfn.CONCAT(VLOOKUP(DT52,Route_Column!#REF!,2,FALSE),CHAR(34)," probability=",CHAR(34),1/DT$4,CHAR(34),CHAR(47),CHAR(62)),"&lt;/routeDistribution&gt;"))</f>
        <v/>
      </c>
    </row>
    <row r="937" spans="1:5" x14ac:dyDescent="0.25">
      <c r="A937">
        <v>31909473.857000001</v>
      </c>
      <c r="B937" t="s">
        <v>1191</v>
      </c>
      <c r="E937" t="str">
        <f>IF(OR(E936="&lt;/routeDistribution&gt;",E936=""),"",IFERROR(_xlfn.CONCAT(VLOOKUP(DT53,Route_Column!#REF!,2,FALSE),CHAR(34)," probability=",CHAR(34),1/DT$4,CHAR(34),CHAR(47),CHAR(62)),"&lt;/routeDistribution&gt;"))</f>
        <v/>
      </c>
    </row>
    <row r="938" spans="1:5" x14ac:dyDescent="0.25">
      <c r="A938">
        <v>31909473.857000001</v>
      </c>
      <c r="B938" t="s">
        <v>1192</v>
      </c>
      <c r="E938" t="str">
        <f>IF(OR(E937="&lt;/routeDistribution&gt;",E937=""),"",IFERROR(_xlfn.CONCAT(VLOOKUP(DT54,Route_Column!#REF!,2,FALSE),CHAR(34)," probability=",CHAR(34),1/DT$4,CHAR(34),CHAR(47),CHAR(62)),"&lt;/routeDistribution&gt;"))</f>
        <v/>
      </c>
    </row>
    <row r="939" spans="1:5" x14ac:dyDescent="0.25">
      <c r="A939">
        <v>31909473.857000001</v>
      </c>
      <c r="B939" t="s">
        <v>1193</v>
      </c>
      <c r="E939" t="str">
        <f>IF(OR(E938="&lt;/routeDistribution&gt;",E938=""),"",IFERROR(_xlfn.CONCAT(VLOOKUP(DT55,Route_Column!#REF!,2,FALSE),CHAR(34)," probability=",CHAR(34),1/DT$4,CHAR(34),CHAR(47),CHAR(62)),"&lt;/routeDistribution&gt;"))</f>
        <v/>
      </c>
    </row>
    <row r="940" spans="1:5" x14ac:dyDescent="0.25">
      <c r="A940">
        <v>31909473.857000001</v>
      </c>
      <c r="B940" t="s">
        <v>1194</v>
      </c>
      <c r="E940" t="str">
        <f>IF(OR(E939="&lt;/routeDistribution&gt;",E939=""),"",IFERROR(_xlfn.CONCAT(VLOOKUP(DT56,Route_Column!#REF!,2,FALSE),CHAR(34)," probability=",CHAR(34),1/DT$4,CHAR(34),CHAR(47),CHAR(62)),"&lt;/routeDistribution&gt;"))</f>
        <v/>
      </c>
    </row>
    <row r="941" spans="1:5" x14ac:dyDescent="0.25">
      <c r="A941">
        <v>31909473.857000001</v>
      </c>
      <c r="B941" t="s">
        <v>1195</v>
      </c>
      <c r="E941" t="str">
        <f>IF(OR(E940="&lt;/routeDistribution&gt;",E940=""),"",IFERROR(_xlfn.CONCAT(VLOOKUP(DT57,Route_Column!#REF!,2,FALSE),CHAR(34)," probability=",CHAR(34),1/DT$4,CHAR(34),CHAR(47),CHAR(62)),"&lt;/routeDistribution&gt;"))</f>
        <v/>
      </c>
    </row>
    <row r="942" spans="1:5" x14ac:dyDescent="0.25">
      <c r="A942">
        <v>31909473.857000001</v>
      </c>
      <c r="B942" t="s">
        <v>1196</v>
      </c>
      <c r="E942" t="str">
        <f>IF(OR(E941="&lt;/routeDistribution&gt;",E941=""),"",IFERROR(_xlfn.CONCAT(VLOOKUP(DT58,Route_Column!#REF!,2,FALSE),CHAR(34)," probability=",CHAR(34),1/DT$4,CHAR(34),CHAR(47),CHAR(62)),"&lt;/routeDistribution&gt;"))</f>
        <v/>
      </c>
    </row>
    <row r="943" spans="1:5" x14ac:dyDescent="0.25">
      <c r="A943">
        <v>31909473.857000001</v>
      </c>
      <c r="B943" t="s">
        <v>1197</v>
      </c>
      <c r="E943" t="str">
        <f>IF(OR(E942="&lt;/routeDistribution&gt;",E942=""),"",IFERROR(_xlfn.CONCAT(VLOOKUP(DT59,Route_Column!#REF!,2,FALSE),CHAR(34)," probability=",CHAR(34),1/DT$4,CHAR(34),CHAR(47),CHAR(62)),"&lt;/routeDistribution&gt;"))</f>
        <v/>
      </c>
    </row>
    <row r="944" spans="1:5" x14ac:dyDescent="0.25">
      <c r="A944">
        <v>31909473.857000001</v>
      </c>
      <c r="B944" t="s">
        <v>1198</v>
      </c>
      <c r="E944" t="str">
        <f>IF(OR(E943="&lt;/routeDistribution&gt;",E943=""),"",IFERROR(_xlfn.CONCAT(VLOOKUP(DT60,Route_Column!#REF!,2,FALSE),CHAR(34)," probability=",CHAR(34),1/DT$4,CHAR(34),CHAR(47),CHAR(62)),"&lt;/routeDistribution&gt;"))</f>
        <v/>
      </c>
    </row>
    <row r="945" spans="1:5" x14ac:dyDescent="0.25">
      <c r="A945">
        <v>31909473.857000001</v>
      </c>
      <c r="B945" t="s">
        <v>1199</v>
      </c>
      <c r="E945" t="str">
        <f>IF(OR(E944="&lt;/routeDistribution&gt;",E944=""),"",IFERROR(_xlfn.CONCAT(VLOOKUP(DT61,Route_Column!#REF!,2,FALSE),CHAR(34)," probability=",CHAR(34),1/DT$4,CHAR(34),CHAR(47),CHAR(62)),"&lt;/routeDistribution&gt;"))</f>
        <v/>
      </c>
    </row>
    <row r="946" spans="1:5" x14ac:dyDescent="0.25">
      <c r="A946">
        <v>31909473.857000001</v>
      </c>
      <c r="B946" t="s">
        <v>1200</v>
      </c>
      <c r="E946" t="str">
        <f>IF(OR(E945="&lt;/routeDistribution&gt;",E945=""),"",IFERROR(_xlfn.CONCAT(VLOOKUP(DT62,Route_Column!#REF!,2,FALSE),CHAR(34)," probability=",CHAR(34),1/DT$4,CHAR(34),CHAR(47),CHAR(62)),"&lt;/routeDistribution&gt;"))</f>
        <v/>
      </c>
    </row>
    <row r="947" spans="1:5" x14ac:dyDescent="0.25">
      <c r="A947">
        <v>31909473.857000001</v>
      </c>
      <c r="B947" t="s">
        <v>1201</v>
      </c>
      <c r="E947" t="str">
        <f>IF(OR(E946="&lt;/routeDistribution&gt;",E946=""),"",IFERROR(_xlfn.CONCAT(VLOOKUP(DT63,Route_Column!#REF!,2,FALSE),CHAR(34)," probability=",CHAR(34),1/DT$4,CHAR(34),CHAR(47),CHAR(62)),"&lt;/routeDistribution&gt;"))</f>
        <v/>
      </c>
    </row>
    <row r="948" spans="1:5" x14ac:dyDescent="0.25">
      <c r="A948">
        <v>31909473.857000001</v>
      </c>
      <c r="B948" t="s">
        <v>1202</v>
      </c>
      <c r="E948" t="s">
        <v>2686</v>
      </c>
    </row>
    <row r="949" spans="1:5" x14ac:dyDescent="0.25">
      <c r="A949">
        <v>31909473.857000001</v>
      </c>
      <c r="B949" t="s">
        <v>1203</v>
      </c>
    </row>
    <row r="950" spans="1:5" x14ac:dyDescent="0.25">
      <c r="A950">
        <v>31909473.857000001</v>
      </c>
      <c r="B950" t="s">
        <v>1204</v>
      </c>
    </row>
    <row r="951" spans="1:5" x14ac:dyDescent="0.25">
      <c r="A951">
        <v>31909473.857000001</v>
      </c>
      <c r="B951" t="s">
        <v>1205</v>
      </c>
      <c r="E951" t="str">
        <f>_xlfn.CONCAT($E$1,DS$2,$F$1)</f>
        <v>&lt;routeDistribution id="LanAVE-BTH-WB-2015-Sink-RouteProbe"&gt;</v>
      </c>
    </row>
    <row r="952" spans="1:5" x14ac:dyDescent="0.25">
      <c r="A952">
        <v>31909473.857000001</v>
      </c>
      <c r="B952" t="s">
        <v>1206</v>
      </c>
      <c r="E952" t="str">
        <f>IF(OR(E951="&lt;/routeDistribution&gt;",E951=""),"",IFERROR(_xlfn.CONCAT(VLOOKUP(DS5,Route_Column!#REF!,2,FALSE),CHAR(34)," probability=",CHAR(34),1/DS$4,CHAR(34),CHAR(47),CHAR(62)),"&lt;/routeDistribution&gt;"))</f>
        <v>&lt;/routeDistribution&gt;</v>
      </c>
    </row>
    <row r="953" spans="1:5" x14ac:dyDescent="0.25">
      <c r="A953">
        <v>31909473.857000001</v>
      </c>
      <c r="B953" t="s">
        <v>1207</v>
      </c>
      <c r="E953" t="str">
        <f>IF(OR(E952="&lt;/routeDistribution&gt;",E952=""),"",IFERROR(_xlfn.CONCAT(VLOOKUP(DS6,Route_Column!#REF!,2,FALSE),CHAR(34)," probability=",CHAR(34),1/DS$4,CHAR(34),CHAR(47),CHAR(62)),"&lt;/routeDistribution&gt;"))</f>
        <v/>
      </c>
    </row>
    <row r="954" spans="1:5" x14ac:dyDescent="0.25">
      <c r="A954">
        <v>31909473.857000001</v>
      </c>
      <c r="B954" t="s">
        <v>1208</v>
      </c>
      <c r="E954" t="str">
        <f>IF(OR(E953="&lt;/routeDistribution&gt;",E953=""),"",IFERROR(_xlfn.CONCAT(VLOOKUP(DS7,Route_Column!#REF!,2,FALSE),CHAR(34)," probability=",CHAR(34),1/DS$4,CHAR(34),CHAR(47),CHAR(62)),"&lt;/routeDistribution&gt;"))</f>
        <v/>
      </c>
    </row>
    <row r="955" spans="1:5" x14ac:dyDescent="0.25">
      <c r="A955">
        <v>31909473.857000001</v>
      </c>
      <c r="B955" t="s">
        <v>1209</v>
      </c>
      <c r="E955" t="str">
        <f>IF(OR(E954="&lt;/routeDistribution&gt;",E954=""),"",IFERROR(_xlfn.CONCAT(VLOOKUP(DS8,Route_Column!#REF!,2,FALSE),CHAR(34)," probability=",CHAR(34),1/DS$4,CHAR(34),CHAR(47),CHAR(62)),"&lt;/routeDistribution&gt;"))</f>
        <v/>
      </c>
    </row>
    <row r="956" spans="1:5" x14ac:dyDescent="0.25">
      <c r="A956">
        <v>31909473.857000001</v>
      </c>
      <c r="B956" t="s">
        <v>1210</v>
      </c>
      <c r="E956" t="str">
        <f>IF(OR(E955="&lt;/routeDistribution&gt;",E955=""),"",IFERROR(_xlfn.CONCAT(VLOOKUP(DS9,Route_Column!#REF!,2,FALSE),CHAR(34)," probability=",CHAR(34),1/DS$4,CHAR(34),CHAR(47),CHAR(62)),"&lt;/routeDistribution&gt;"))</f>
        <v/>
      </c>
    </row>
    <row r="957" spans="1:5" x14ac:dyDescent="0.25">
      <c r="A957">
        <v>31909473.857000001</v>
      </c>
      <c r="B957" t="s">
        <v>1211</v>
      </c>
      <c r="E957" t="str">
        <f>IF(OR(E956="&lt;/routeDistribution&gt;",E956=""),"",IFERROR(_xlfn.CONCAT(VLOOKUP(DS10,Route_Column!#REF!,2,FALSE),CHAR(34)," probability=",CHAR(34),1/DS$4,CHAR(34),CHAR(47),CHAR(62)),"&lt;/routeDistribution&gt;"))</f>
        <v/>
      </c>
    </row>
    <row r="958" spans="1:5" x14ac:dyDescent="0.25">
      <c r="A958">
        <v>31909473.857000001</v>
      </c>
      <c r="B958" t="s">
        <v>1212</v>
      </c>
      <c r="E958" t="str">
        <f>IF(OR(E957="&lt;/routeDistribution&gt;",E957=""),"",IFERROR(_xlfn.CONCAT(VLOOKUP(DS11,Route_Column!#REF!,2,FALSE),CHAR(34)," probability=",CHAR(34),1/DS$4,CHAR(34),CHAR(47),CHAR(62)),"&lt;/routeDistribution&gt;"))</f>
        <v/>
      </c>
    </row>
    <row r="959" spans="1:5" x14ac:dyDescent="0.25">
      <c r="A959">
        <v>43331031</v>
      </c>
      <c r="B959" t="s">
        <v>1094</v>
      </c>
      <c r="E959" t="str">
        <f>IF(OR(E958="&lt;/routeDistribution&gt;",E958=""),"",IFERROR(_xlfn.CONCAT(VLOOKUP(DS12,Route_Column!#REF!,2,FALSE),CHAR(34)," probability=",CHAR(34),1/DS$4,CHAR(34),CHAR(47),CHAR(62)),"&lt;/routeDistribution&gt;"))</f>
        <v/>
      </c>
    </row>
    <row r="960" spans="1:5" x14ac:dyDescent="0.25">
      <c r="A960">
        <v>43331031</v>
      </c>
      <c r="B960" t="s">
        <v>1151</v>
      </c>
      <c r="E960" t="str">
        <f>IF(OR(E959="&lt;/routeDistribution&gt;",E959=""),"",IFERROR(_xlfn.CONCAT(VLOOKUP(DS13,Route_Column!#REF!,2,FALSE),CHAR(34)," probability=",CHAR(34),1/DS$4,CHAR(34),CHAR(47),CHAR(62)),"&lt;/routeDistribution&gt;"))</f>
        <v/>
      </c>
    </row>
    <row r="961" spans="1:5" x14ac:dyDescent="0.25">
      <c r="A961">
        <v>43331031</v>
      </c>
      <c r="B961" t="s">
        <v>1159</v>
      </c>
      <c r="E961" t="str">
        <f>IF(OR(E960="&lt;/routeDistribution&gt;",E960=""),"",IFERROR(_xlfn.CONCAT(VLOOKUP(DS14,Route_Column!#REF!,2,FALSE),CHAR(34)," probability=",CHAR(34),1/DS$4,CHAR(34),CHAR(47),CHAR(62)),"&lt;/routeDistribution&gt;"))</f>
        <v/>
      </c>
    </row>
    <row r="962" spans="1:5" x14ac:dyDescent="0.25">
      <c r="A962">
        <v>43331031</v>
      </c>
      <c r="B962" t="s">
        <v>1179</v>
      </c>
      <c r="E962" t="str">
        <f>IF(OR(E961="&lt;/routeDistribution&gt;",E961=""),"",IFERROR(_xlfn.CONCAT(VLOOKUP(DS15,Route_Column!#REF!,2,FALSE),CHAR(34)," probability=",CHAR(34),1/DS$4,CHAR(34),CHAR(47),CHAR(62)),"&lt;/routeDistribution&gt;"))</f>
        <v/>
      </c>
    </row>
    <row r="963" spans="1:5" x14ac:dyDescent="0.25">
      <c r="A963">
        <v>43331031</v>
      </c>
      <c r="B963" t="s">
        <v>1190</v>
      </c>
      <c r="E963" t="str">
        <f>IF(OR(E962="&lt;/routeDistribution&gt;",E962=""),"",IFERROR(_xlfn.CONCAT(VLOOKUP(DS16,Route_Column!#REF!,2,FALSE),CHAR(34)," probability=",CHAR(34),1/DS$4,CHAR(34),CHAR(47),CHAR(62)),"&lt;/routeDistribution&gt;"))</f>
        <v/>
      </c>
    </row>
    <row r="964" spans="1:5" x14ac:dyDescent="0.25">
      <c r="A964">
        <v>43331031</v>
      </c>
      <c r="B964" t="s">
        <v>1208</v>
      </c>
      <c r="E964" t="str">
        <f>IF(OR(E963="&lt;/routeDistribution&gt;",E963=""),"",IFERROR(_xlfn.CONCAT(VLOOKUP(DS17,Route_Column!#REF!,2,FALSE),CHAR(34)," probability=",CHAR(34),1/DS$4,CHAR(34),CHAR(47),CHAR(62)),"&lt;/routeDistribution&gt;"))</f>
        <v/>
      </c>
    </row>
    <row r="965" spans="1:5" x14ac:dyDescent="0.25">
      <c r="A965">
        <v>43331031</v>
      </c>
      <c r="B965" t="s">
        <v>1234</v>
      </c>
      <c r="E965" t="str">
        <f>IF(OR(E964="&lt;/routeDistribution&gt;",E964=""),"",IFERROR(_xlfn.CONCAT(VLOOKUP(DS18,Route_Column!#REF!,2,FALSE),CHAR(34)," probability=",CHAR(34),1/DS$4,CHAR(34),CHAR(47),CHAR(62)),"&lt;/routeDistribution&gt;"))</f>
        <v/>
      </c>
    </row>
    <row r="966" spans="1:5" x14ac:dyDescent="0.25">
      <c r="A966">
        <v>43331031.435999997</v>
      </c>
      <c r="B966" t="s">
        <v>1094</v>
      </c>
      <c r="E966" t="str">
        <f>IF(OR(E965="&lt;/routeDistribution&gt;",E965=""),"",IFERROR(_xlfn.CONCAT(VLOOKUP(DS19,Route_Column!#REF!,2,FALSE),CHAR(34)," probability=",CHAR(34),1/DS$4,CHAR(34),CHAR(47),CHAR(62)),"&lt;/routeDistribution&gt;"))</f>
        <v/>
      </c>
    </row>
    <row r="967" spans="1:5" x14ac:dyDescent="0.25">
      <c r="A967">
        <v>43331031.435999997</v>
      </c>
      <c r="B967" t="s">
        <v>1151</v>
      </c>
      <c r="E967" t="str">
        <f>IF(OR(E966="&lt;/routeDistribution&gt;",E966=""),"",IFERROR(_xlfn.CONCAT(VLOOKUP(DS20,Route_Column!#REF!,2,FALSE),CHAR(34)," probability=",CHAR(34),1/DS$4,CHAR(34),CHAR(47),CHAR(62)),"&lt;/routeDistribution&gt;"))</f>
        <v/>
      </c>
    </row>
    <row r="968" spans="1:5" x14ac:dyDescent="0.25">
      <c r="A968">
        <v>43331031.435999997</v>
      </c>
      <c r="B968" t="s">
        <v>1159</v>
      </c>
      <c r="E968" t="str">
        <f>IF(OR(E967="&lt;/routeDistribution&gt;",E967=""),"",IFERROR(_xlfn.CONCAT(VLOOKUP(DS21,Route_Column!#REF!,2,FALSE),CHAR(34)," probability=",CHAR(34),1/DS$4,CHAR(34),CHAR(47),CHAR(62)),"&lt;/routeDistribution&gt;"))</f>
        <v/>
      </c>
    </row>
    <row r="969" spans="1:5" x14ac:dyDescent="0.25">
      <c r="A969">
        <v>43331031.435999997</v>
      </c>
      <c r="B969" t="s">
        <v>1179</v>
      </c>
      <c r="E969" t="str">
        <f>IF(OR(E968="&lt;/routeDistribution&gt;",E968=""),"",IFERROR(_xlfn.CONCAT(VLOOKUP(DS22,Route_Column!#REF!,2,FALSE),CHAR(34)," probability=",CHAR(34),1/DS$4,CHAR(34),CHAR(47),CHAR(62)),"&lt;/routeDistribution&gt;"))</f>
        <v/>
      </c>
    </row>
    <row r="970" spans="1:5" x14ac:dyDescent="0.25">
      <c r="A970">
        <v>43331031.435999997</v>
      </c>
      <c r="B970" t="s">
        <v>1190</v>
      </c>
      <c r="E970" t="str">
        <f>IF(OR(E969="&lt;/routeDistribution&gt;",E969=""),"",IFERROR(_xlfn.CONCAT(VLOOKUP(DS23,Route_Column!#REF!,2,FALSE),CHAR(34)," probability=",CHAR(34),1/DS$4,CHAR(34),CHAR(47),CHAR(62)),"&lt;/routeDistribution&gt;"))</f>
        <v/>
      </c>
    </row>
    <row r="971" spans="1:5" x14ac:dyDescent="0.25">
      <c r="A971">
        <v>43331031.435999997</v>
      </c>
      <c r="B971" t="s">
        <v>1208</v>
      </c>
      <c r="E971" t="str">
        <f>IF(OR(E970="&lt;/routeDistribution&gt;",E970=""),"",IFERROR(_xlfn.CONCAT(VLOOKUP(DS24,Route_Column!#REF!,2,FALSE),CHAR(34)," probability=",CHAR(34),1/DS$4,CHAR(34),CHAR(47),CHAR(62)),"&lt;/routeDistribution&gt;"))</f>
        <v/>
      </c>
    </row>
    <row r="972" spans="1:5" x14ac:dyDescent="0.25">
      <c r="A972">
        <v>43331031.435999997</v>
      </c>
      <c r="B972" t="s">
        <v>1234</v>
      </c>
      <c r="E972" t="str">
        <f>IF(OR(E971="&lt;/routeDistribution&gt;",E971=""),"",IFERROR(_xlfn.CONCAT(VLOOKUP(DS25,Route_Column!#REF!,2,FALSE),CHAR(34)," probability=",CHAR(34),1/DS$4,CHAR(34),CHAR(47),CHAR(62)),"&lt;/routeDistribution&gt;"))</f>
        <v/>
      </c>
    </row>
    <row r="973" spans="1:5" x14ac:dyDescent="0.25">
      <c r="A973">
        <v>43357813</v>
      </c>
      <c r="B973" t="s">
        <v>1250</v>
      </c>
      <c r="E973" t="str">
        <f>IF(OR(E972="&lt;/routeDistribution&gt;",E972=""),"",IFERROR(_xlfn.CONCAT(VLOOKUP(DS26,Route_Column!#REF!,2,FALSE),CHAR(34)," probability=",CHAR(34),1/DS$4,CHAR(34),CHAR(47),CHAR(62)),"&lt;/routeDistribution&gt;"))</f>
        <v/>
      </c>
    </row>
    <row r="974" spans="1:5" x14ac:dyDescent="0.25">
      <c r="A974">
        <v>43539372</v>
      </c>
      <c r="B974" t="s">
        <v>1149</v>
      </c>
      <c r="E974" t="str">
        <f>IF(OR(E973="&lt;/routeDistribution&gt;",E973=""),"",IFERROR(_xlfn.CONCAT(VLOOKUP(DS27,Route_Column!#REF!,2,FALSE),CHAR(34)," probability=",CHAR(34),1/DS$4,CHAR(34),CHAR(47),CHAR(62)),"&lt;/routeDistribution&gt;"))</f>
        <v/>
      </c>
    </row>
    <row r="975" spans="1:5" x14ac:dyDescent="0.25">
      <c r="A975">
        <v>43539372</v>
      </c>
      <c r="B975" t="s">
        <v>1204</v>
      </c>
      <c r="E975" t="str">
        <f>IF(OR(E974="&lt;/routeDistribution&gt;",E974=""),"",IFERROR(_xlfn.CONCAT(VLOOKUP(DS28,Route_Column!#REF!,2,FALSE),CHAR(34)," probability=",CHAR(34),1/DS$4,CHAR(34),CHAR(47),CHAR(62)),"&lt;/routeDistribution&gt;"))</f>
        <v/>
      </c>
    </row>
    <row r="976" spans="1:5" x14ac:dyDescent="0.25">
      <c r="A976">
        <v>43539372</v>
      </c>
      <c r="B976" t="s">
        <v>1218</v>
      </c>
      <c r="E976" t="str">
        <f>IF(OR(E975="&lt;/routeDistribution&gt;",E975=""),"",IFERROR(_xlfn.CONCAT(VLOOKUP(DS29,Route_Column!#REF!,2,FALSE),CHAR(34)," probability=",CHAR(34),1/DS$4,CHAR(34),CHAR(47),CHAR(62)),"&lt;/routeDistribution&gt;"))</f>
        <v/>
      </c>
    </row>
    <row r="977" spans="1:5" x14ac:dyDescent="0.25">
      <c r="A977">
        <v>43539372</v>
      </c>
      <c r="B977" t="s">
        <v>1218</v>
      </c>
      <c r="E977" t="str">
        <f>IF(OR(E976="&lt;/routeDistribution&gt;",E976=""),"",IFERROR(_xlfn.CONCAT(VLOOKUP(DS30,Route_Column!#REF!,2,FALSE),CHAR(34)," probability=",CHAR(34),1/DS$4,CHAR(34),CHAR(47),CHAR(62)),"&lt;/routeDistribution&gt;"))</f>
        <v/>
      </c>
    </row>
    <row r="978" spans="1:5" x14ac:dyDescent="0.25">
      <c r="A978">
        <v>43539372</v>
      </c>
      <c r="B978" t="s">
        <v>1219</v>
      </c>
      <c r="E978" t="str">
        <f>IF(OR(E977="&lt;/routeDistribution&gt;",E977=""),"",IFERROR(_xlfn.CONCAT(VLOOKUP(DS31,Route_Column!#REF!,2,FALSE),CHAR(34)," probability=",CHAR(34),1/DS$4,CHAR(34),CHAR(47),CHAR(62)),"&lt;/routeDistribution&gt;"))</f>
        <v/>
      </c>
    </row>
    <row r="979" spans="1:5" x14ac:dyDescent="0.25">
      <c r="A979">
        <v>43539372</v>
      </c>
      <c r="B979" t="s">
        <v>1219</v>
      </c>
      <c r="E979" t="str">
        <f>IF(OR(E978="&lt;/routeDistribution&gt;",E978=""),"",IFERROR(_xlfn.CONCAT(VLOOKUP(DS32,Route_Column!#REF!,2,FALSE),CHAR(34)," probability=",CHAR(34),1/DS$4,CHAR(34),CHAR(47),CHAR(62)),"&lt;/routeDistribution&gt;"))</f>
        <v/>
      </c>
    </row>
    <row r="980" spans="1:5" x14ac:dyDescent="0.25">
      <c r="A980">
        <v>43539372</v>
      </c>
      <c r="B980" t="s">
        <v>1220</v>
      </c>
      <c r="E980" t="str">
        <f>IF(OR(E979="&lt;/routeDistribution&gt;",E979=""),"",IFERROR(_xlfn.CONCAT(VLOOKUP(DS33,Route_Column!#REF!,2,FALSE),CHAR(34)," probability=",CHAR(34),1/DS$4,CHAR(34),CHAR(47),CHAR(62)),"&lt;/routeDistribution&gt;"))</f>
        <v/>
      </c>
    </row>
    <row r="981" spans="1:5" x14ac:dyDescent="0.25">
      <c r="A981">
        <v>43539372</v>
      </c>
      <c r="B981" t="s">
        <v>1230</v>
      </c>
      <c r="E981" t="str">
        <f>IF(OR(E980="&lt;/routeDistribution&gt;",E980=""),"",IFERROR(_xlfn.CONCAT(VLOOKUP(DS34,Route_Column!#REF!,2,FALSE),CHAR(34)," probability=",CHAR(34),1/DS$4,CHAR(34),CHAR(47),CHAR(62)),"&lt;/routeDistribution&gt;"))</f>
        <v/>
      </c>
    </row>
    <row r="982" spans="1:5" x14ac:dyDescent="0.25">
      <c r="A982">
        <v>43539372</v>
      </c>
      <c r="B982" t="s">
        <v>1231</v>
      </c>
      <c r="E982" t="str">
        <f>IF(OR(E981="&lt;/routeDistribution&gt;",E981=""),"",IFERROR(_xlfn.CONCAT(VLOOKUP(DS35,Route_Column!#REF!,2,FALSE),CHAR(34)," probability=",CHAR(34),1/DS$4,CHAR(34),CHAR(47),CHAR(62)),"&lt;/routeDistribution&gt;"))</f>
        <v/>
      </c>
    </row>
    <row r="983" spans="1:5" x14ac:dyDescent="0.25">
      <c r="A983">
        <v>43539372</v>
      </c>
      <c r="B983" t="s">
        <v>1253</v>
      </c>
      <c r="E983" t="str">
        <f>IF(OR(E982="&lt;/routeDistribution&gt;",E982=""),"",IFERROR(_xlfn.CONCAT(VLOOKUP(DS36,Route_Column!#REF!,2,FALSE),CHAR(34)," probability=",CHAR(34),1/DS$4,CHAR(34),CHAR(47),CHAR(62)),"&lt;/routeDistribution&gt;"))</f>
        <v/>
      </c>
    </row>
    <row r="984" spans="1:5" x14ac:dyDescent="0.25">
      <c r="A984">
        <v>43569819</v>
      </c>
      <c r="B984" t="s">
        <v>1142</v>
      </c>
      <c r="E984" t="str">
        <f>IF(OR(E983="&lt;/routeDistribution&gt;",E983=""),"",IFERROR(_xlfn.CONCAT(VLOOKUP(DS37,Route_Column!#REF!,2,FALSE),CHAR(34)," probability=",CHAR(34),1/DS$4,CHAR(34),CHAR(47),CHAR(62)),"&lt;/routeDistribution&gt;"))</f>
        <v/>
      </c>
    </row>
    <row r="985" spans="1:5" x14ac:dyDescent="0.25">
      <c r="A985">
        <v>43569819</v>
      </c>
      <c r="B985" t="s">
        <v>1148</v>
      </c>
      <c r="E985" t="str">
        <f>IF(OR(E984="&lt;/routeDistribution&gt;",E984=""),"",IFERROR(_xlfn.CONCAT(VLOOKUP(DS38,Route_Column!#REF!,2,FALSE),CHAR(34)," probability=",CHAR(34),1/DS$4,CHAR(34),CHAR(47),CHAR(62)),"&lt;/routeDistribution&gt;"))</f>
        <v/>
      </c>
    </row>
    <row r="986" spans="1:5" x14ac:dyDescent="0.25">
      <c r="A986">
        <v>43569819</v>
      </c>
      <c r="B986" t="s">
        <v>1178</v>
      </c>
      <c r="E986" t="str">
        <f>IF(OR(E985="&lt;/routeDistribution&gt;",E985=""),"",IFERROR(_xlfn.CONCAT(VLOOKUP(DS39,Route_Column!#REF!,2,FALSE),CHAR(34)," probability=",CHAR(34),1/DS$4,CHAR(34),CHAR(47),CHAR(62)),"&lt;/routeDistribution&gt;"))</f>
        <v/>
      </c>
    </row>
    <row r="987" spans="1:5" x14ac:dyDescent="0.25">
      <c r="A987">
        <v>43569819</v>
      </c>
      <c r="B987" t="s">
        <v>1201</v>
      </c>
      <c r="E987" t="str">
        <f>IF(OR(E986="&lt;/routeDistribution&gt;",E986=""),"",IFERROR(_xlfn.CONCAT(VLOOKUP(DS40,Route_Column!#REF!,2,FALSE),CHAR(34)," probability=",CHAR(34),1/DS$4,CHAR(34),CHAR(47),CHAR(62)),"&lt;/routeDistribution&gt;"))</f>
        <v/>
      </c>
    </row>
    <row r="988" spans="1:5" x14ac:dyDescent="0.25">
      <c r="A988">
        <v>43569819</v>
      </c>
      <c r="B988" t="s">
        <v>1202</v>
      </c>
      <c r="E988" t="str">
        <f>IF(OR(E987="&lt;/routeDistribution&gt;",E987=""),"",IFERROR(_xlfn.CONCAT(VLOOKUP(DS41,Route_Column!#REF!,2,FALSE),CHAR(34)," probability=",CHAR(34),1/DS$4,CHAR(34),CHAR(47),CHAR(62)),"&lt;/routeDistribution&gt;"))</f>
        <v/>
      </c>
    </row>
    <row r="989" spans="1:5" x14ac:dyDescent="0.25">
      <c r="A989">
        <v>43569819</v>
      </c>
      <c r="B989" t="s">
        <v>1206</v>
      </c>
      <c r="E989" t="str">
        <f>IF(OR(E988="&lt;/routeDistribution&gt;",E988=""),"",IFERROR(_xlfn.CONCAT(VLOOKUP(DS42,Route_Column!#REF!,2,FALSE),CHAR(34)," probability=",CHAR(34),1/DS$4,CHAR(34),CHAR(47),CHAR(62)),"&lt;/routeDistribution&gt;"))</f>
        <v/>
      </c>
    </row>
    <row r="990" spans="1:5" x14ac:dyDescent="0.25">
      <c r="A990">
        <v>43569819</v>
      </c>
      <c r="B990" t="s">
        <v>1207</v>
      </c>
      <c r="E990" t="str">
        <f>IF(OR(E989="&lt;/routeDistribution&gt;",E989=""),"",IFERROR(_xlfn.CONCAT(VLOOKUP(DS43,Route_Column!#REF!,2,FALSE),CHAR(34)," probability=",CHAR(34),1/DS$4,CHAR(34),CHAR(47),CHAR(62)),"&lt;/routeDistribution&gt;"))</f>
        <v/>
      </c>
    </row>
    <row r="991" spans="1:5" x14ac:dyDescent="0.25">
      <c r="A991">
        <v>43569848</v>
      </c>
      <c r="B991" t="s">
        <v>1139</v>
      </c>
      <c r="E991" t="str">
        <f>IF(OR(E990="&lt;/routeDistribution&gt;",E990=""),"",IFERROR(_xlfn.CONCAT(VLOOKUP(DS44,Route_Column!#REF!,2,FALSE),CHAR(34)," probability=",CHAR(34),1/DS$4,CHAR(34),CHAR(47),CHAR(62)),"&lt;/routeDistribution&gt;"))</f>
        <v/>
      </c>
    </row>
    <row r="992" spans="1:5" x14ac:dyDescent="0.25">
      <c r="A992">
        <v>43569848</v>
      </c>
      <c r="B992" t="s">
        <v>1140</v>
      </c>
      <c r="E992" t="str">
        <f>IF(OR(E991="&lt;/routeDistribution&gt;",E991=""),"",IFERROR(_xlfn.CONCAT(VLOOKUP(DS45,Route_Column!#REF!,2,FALSE),CHAR(34)," probability=",CHAR(34),1/DS$4,CHAR(34),CHAR(47),CHAR(62)),"&lt;/routeDistribution&gt;"))</f>
        <v/>
      </c>
    </row>
    <row r="993" spans="1:5" x14ac:dyDescent="0.25">
      <c r="A993">
        <v>43569848</v>
      </c>
      <c r="B993" t="s">
        <v>1140</v>
      </c>
      <c r="E993" t="str">
        <f>IF(OR(E992="&lt;/routeDistribution&gt;",E992=""),"",IFERROR(_xlfn.CONCAT(VLOOKUP(DS46,Route_Column!#REF!,2,FALSE),CHAR(34)," probability=",CHAR(34),1/DS$4,CHAR(34),CHAR(47),CHAR(62)),"&lt;/routeDistribution&gt;"))</f>
        <v/>
      </c>
    </row>
    <row r="994" spans="1:5" x14ac:dyDescent="0.25">
      <c r="A994">
        <v>43569848</v>
      </c>
      <c r="B994" t="s">
        <v>1141</v>
      </c>
      <c r="E994" t="str">
        <f>IF(OR(E993="&lt;/routeDistribution&gt;",E993=""),"",IFERROR(_xlfn.CONCAT(VLOOKUP(DS47,Route_Column!#REF!,2,FALSE),CHAR(34)," probability=",CHAR(34),1/DS$4,CHAR(34),CHAR(47),CHAR(62)),"&lt;/routeDistribution&gt;"))</f>
        <v/>
      </c>
    </row>
    <row r="995" spans="1:5" x14ac:dyDescent="0.25">
      <c r="A995">
        <v>43569848</v>
      </c>
      <c r="B995" t="s">
        <v>1141</v>
      </c>
      <c r="E995" t="str">
        <f>IF(OR(E994="&lt;/routeDistribution&gt;",E994=""),"",IFERROR(_xlfn.CONCAT(VLOOKUP(DS48,Route_Column!#REF!,2,FALSE),CHAR(34)," probability=",CHAR(34),1/DS$4,CHAR(34),CHAR(47),CHAR(62)),"&lt;/routeDistribution&gt;"))</f>
        <v/>
      </c>
    </row>
    <row r="996" spans="1:5" x14ac:dyDescent="0.25">
      <c r="A996">
        <v>43569848</v>
      </c>
      <c r="B996" t="s">
        <v>1142</v>
      </c>
      <c r="E996" t="str">
        <f>IF(OR(E995="&lt;/routeDistribution&gt;",E995=""),"",IFERROR(_xlfn.CONCAT(VLOOKUP(DS49,Route_Column!#REF!,2,FALSE),CHAR(34)," probability=",CHAR(34),1/DS$4,CHAR(34),CHAR(47),CHAR(62)),"&lt;/routeDistribution&gt;"))</f>
        <v/>
      </c>
    </row>
    <row r="997" spans="1:5" x14ac:dyDescent="0.25">
      <c r="A997">
        <v>43569848</v>
      </c>
      <c r="B997" t="s">
        <v>1142</v>
      </c>
      <c r="E997" t="str">
        <f>IF(OR(E996="&lt;/routeDistribution&gt;",E996=""),"",IFERROR(_xlfn.CONCAT(VLOOKUP(DS50,Route_Column!#REF!,2,FALSE),CHAR(34)," probability=",CHAR(34),1/DS$4,CHAR(34),CHAR(47),CHAR(62)),"&lt;/routeDistribution&gt;"))</f>
        <v/>
      </c>
    </row>
    <row r="998" spans="1:5" x14ac:dyDescent="0.25">
      <c r="A998">
        <v>43569848</v>
      </c>
      <c r="B998" t="s">
        <v>1148</v>
      </c>
      <c r="E998" t="str">
        <f>IF(OR(E997="&lt;/routeDistribution&gt;",E997=""),"",IFERROR(_xlfn.CONCAT(VLOOKUP(DS51,Route_Column!#REF!,2,FALSE),CHAR(34)," probability=",CHAR(34),1/DS$4,CHAR(34),CHAR(47),CHAR(62)),"&lt;/routeDistribution&gt;"))</f>
        <v/>
      </c>
    </row>
    <row r="999" spans="1:5" x14ac:dyDescent="0.25">
      <c r="A999">
        <v>43569848</v>
      </c>
      <c r="B999" t="s">
        <v>1149</v>
      </c>
      <c r="E999" t="str">
        <f>IF(OR(E998="&lt;/routeDistribution&gt;",E998=""),"",IFERROR(_xlfn.CONCAT(VLOOKUP(DS52,Route_Column!#REF!,2,FALSE),CHAR(34)," probability=",CHAR(34),1/DS$4,CHAR(34),CHAR(47),CHAR(62)),"&lt;/routeDistribution&gt;"))</f>
        <v/>
      </c>
    </row>
    <row r="1000" spans="1:5" x14ac:dyDescent="0.25">
      <c r="A1000">
        <v>43569848</v>
      </c>
      <c r="B1000" t="s">
        <v>1150</v>
      </c>
      <c r="E1000" t="str">
        <f>IF(OR(E999="&lt;/routeDistribution&gt;",E999=""),"",IFERROR(_xlfn.CONCAT(VLOOKUP(DS53,Route_Column!#REF!,2,FALSE),CHAR(34)," probability=",CHAR(34),1/DS$4,CHAR(34),CHAR(47),CHAR(62)),"&lt;/routeDistribution&gt;"))</f>
        <v/>
      </c>
    </row>
    <row r="1001" spans="1:5" x14ac:dyDescent="0.25">
      <c r="A1001">
        <v>43569848</v>
      </c>
      <c r="B1001" t="s">
        <v>1150</v>
      </c>
      <c r="E1001" t="str">
        <f>IF(OR(E1000="&lt;/routeDistribution&gt;",E1000=""),"",IFERROR(_xlfn.CONCAT(VLOOKUP(DS54,Route_Column!#REF!,2,FALSE),CHAR(34)," probability=",CHAR(34),1/DS$4,CHAR(34),CHAR(47),CHAR(62)),"&lt;/routeDistribution&gt;"))</f>
        <v/>
      </c>
    </row>
    <row r="1002" spans="1:5" x14ac:dyDescent="0.25">
      <c r="A1002">
        <v>43569848</v>
      </c>
      <c r="B1002" t="s">
        <v>1151</v>
      </c>
      <c r="E1002" t="str">
        <f>IF(OR(E1001="&lt;/routeDistribution&gt;",E1001=""),"",IFERROR(_xlfn.CONCAT(VLOOKUP(DS55,Route_Column!#REF!,2,FALSE),CHAR(34)," probability=",CHAR(34),1/DS$4,CHAR(34),CHAR(47),CHAR(62)),"&lt;/routeDistribution&gt;"))</f>
        <v/>
      </c>
    </row>
    <row r="1003" spans="1:5" x14ac:dyDescent="0.25">
      <c r="A1003">
        <v>43569848</v>
      </c>
      <c r="B1003" t="s">
        <v>1155</v>
      </c>
      <c r="E1003" t="str">
        <f>IF(OR(E1002="&lt;/routeDistribution&gt;",E1002=""),"",IFERROR(_xlfn.CONCAT(VLOOKUP(DS56,Route_Column!#REF!,2,FALSE),CHAR(34)," probability=",CHAR(34),1/DS$4,CHAR(34),CHAR(47),CHAR(62)),"&lt;/routeDistribution&gt;"))</f>
        <v/>
      </c>
    </row>
    <row r="1004" spans="1:5" x14ac:dyDescent="0.25">
      <c r="A1004">
        <v>43569848</v>
      </c>
      <c r="B1004" t="s">
        <v>1157</v>
      </c>
      <c r="E1004" t="str">
        <f>IF(OR(E1003="&lt;/routeDistribution&gt;",E1003=""),"",IFERROR(_xlfn.CONCAT(VLOOKUP(DS57,Route_Column!#REF!,2,FALSE),CHAR(34)," probability=",CHAR(34),1/DS$4,CHAR(34),CHAR(47),CHAR(62)),"&lt;/routeDistribution&gt;"))</f>
        <v/>
      </c>
    </row>
    <row r="1005" spans="1:5" x14ac:dyDescent="0.25">
      <c r="A1005">
        <v>43569848</v>
      </c>
      <c r="B1005" t="s">
        <v>1158</v>
      </c>
      <c r="E1005" t="str">
        <f>IF(OR(E1004="&lt;/routeDistribution&gt;",E1004=""),"",IFERROR(_xlfn.CONCAT(VLOOKUP(DS58,Route_Column!#REF!,2,FALSE),CHAR(34)," probability=",CHAR(34),1/DS$4,CHAR(34),CHAR(47),CHAR(62)),"&lt;/routeDistribution&gt;"))</f>
        <v/>
      </c>
    </row>
    <row r="1006" spans="1:5" x14ac:dyDescent="0.25">
      <c r="A1006">
        <v>43569848</v>
      </c>
      <c r="B1006" t="s">
        <v>1175</v>
      </c>
      <c r="E1006" t="str">
        <f>IF(OR(E1005="&lt;/routeDistribution&gt;",E1005=""),"",IFERROR(_xlfn.CONCAT(VLOOKUP(DS59,Route_Column!#REF!,2,FALSE),CHAR(34)," probability=",CHAR(34),1/DS$4,CHAR(34),CHAR(47),CHAR(62)),"&lt;/routeDistribution&gt;"))</f>
        <v/>
      </c>
    </row>
    <row r="1007" spans="1:5" x14ac:dyDescent="0.25">
      <c r="A1007">
        <v>43569848</v>
      </c>
      <c r="B1007" t="s">
        <v>1176</v>
      </c>
      <c r="E1007" t="str">
        <f>IF(OR(E1006="&lt;/routeDistribution&gt;",E1006=""),"",IFERROR(_xlfn.CONCAT(VLOOKUP(DS60,Route_Column!#REF!,2,FALSE),CHAR(34)," probability=",CHAR(34),1/DS$4,CHAR(34),CHAR(47),CHAR(62)),"&lt;/routeDistribution&gt;"))</f>
        <v/>
      </c>
    </row>
    <row r="1008" spans="1:5" x14ac:dyDescent="0.25">
      <c r="A1008">
        <v>43569848</v>
      </c>
      <c r="B1008" t="s">
        <v>1178</v>
      </c>
      <c r="E1008" t="str">
        <f>IF(OR(E1007="&lt;/routeDistribution&gt;",E1007=""),"",IFERROR(_xlfn.CONCAT(VLOOKUP(DS61,Route_Column!#REF!,2,FALSE),CHAR(34)," probability=",CHAR(34),1/DS$4,CHAR(34),CHAR(47),CHAR(62)),"&lt;/routeDistribution&gt;"))</f>
        <v/>
      </c>
    </row>
    <row r="1009" spans="1:5" x14ac:dyDescent="0.25">
      <c r="A1009">
        <v>43569848</v>
      </c>
      <c r="B1009" t="s">
        <v>1179</v>
      </c>
      <c r="E1009" t="str">
        <f>IF(OR(E1008="&lt;/routeDistribution&gt;",E1008=""),"",IFERROR(_xlfn.CONCAT(VLOOKUP(DS62,Route_Column!#REF!,2,FALSE),CHAR(34)," probability=",CHAR(34),1/DS$4,CHAR(34),CHAR(47),CHAR(62)),"&lt;/routeDistribution&gt;"))</f>
        <v/>
      </c>
    </row>
    <row r="1010" spans="1:5" x14ac:dyDescent="0.25">
      <c r="A1010">
        <v>43569848</v>
      </c>
      <c r="B1010" t="s">
        <v>1201</v>
      </c>
      <c r="E1010" t="str">
        <f>IF(OR(E1009="&lt;/routeDistribution&gt;",E1009=""),"",IFERROR(_xlfn.CONCAT(VLOOKUP(DS63,Route_Column!#REF!,2,FALSE),CHAR(34)," probability=",CHAR(34),1/DS$4,CHAR(34),CHAR(47),CHAR(62)),"&lt;/routeDistribution&gt;"))</f>
        <v/>
      </c>
    </row>
    <row r="1011" spans="1:5" x14ac:dyDescent="0.25">
      <c r="A1011">
        <v>43569848</v>
      </c>
      <c r="B1011" t="s">
        <v>1202</v>
      </c>
      <c r="E1011" t="s">
        <v>2686</v>
      </c>
    </row>
    <row r="1012" spans="1:5" x14ac:dyDescent="0.25">
      <c r="A1012">
        <v>43569848</v>
      </c>
      <c r="B1012" t="s">
        <v>1205</v>
      </c>
    </row>
    <row r="1013" spans="1:5" x14ac:dyDescent="0.25">
      <c r="A1013">
        <v>43569848</v>
      </c>
      <c r="B1013" t="s">
        <v>1206</v>
      </c>
    </row>
    <row r="1014" spans="1:5" x14ac:dyDescent="0.25">
      <c r="A1014">
        <v>43569848</v>
      </c>
      <c r="B1014" t="s">
        <v>1206</v>
      </c>
      <c r="E1014" t="str">
        <f>_xlfn.CONCAT($E$1,DR$2,$F$1)</f>
        <v>&lt;routeDistribution id="LanAVE-BTH-EB-2015-Source-RouteProbe"&gt;</v>
      </c>
    </row>
    <row r="1015" spans="1:5" x14ac:dyDescent="0.25">
      <c r="A1015">
        <v>43569848</v>
      </c>
      <c r="B1015" t="s">
        <v>1207</v>
      </c>
      <c r="E1015" t="str">
        <f>IF(OR(E1014="&lt;/routeDistribution&gt;",E1014=""),"",IFERROR(_xlfn.CONCAT(VLOOKUP(DR5,Route_Column!#REF!,2,FALSE),CHAR(34)," probability=",CHAR(34),1/DR$4,CHAR(34),CHAR(47),CHAR(62)),"&lt;/routeDistribution&gt;"))</f>
        <v>&lt;/routeDistribution&gt;</v>
      </c>
    </row>
    <row r="1016" spans="1:5" x14ac:dyDescent="0.25">
      <c r="A1016">
        <v>43569848</v>
      </c>
      <c r="B1016" t="s">
        <v>1207</v>
      </c>
      <c r="E1016" t="str">
        <f>IF(OR(E1015="&lt;/routeDistribution&gt;",E1015=""),"",IFERROR(_xlfn.CONCAT(VLOOKUP(DR6,Route_Column!#REF!,2,FALSE),CHAR(34)," probability=",CHAR(34),1/DR$4,CHAR(34),CHAR(47),CHAR(62)),"&lt;/routeDistribution&gt;"))</f>
        <v/>
      </c>
    </row>
    <row r="1017" spans="1:5" x14ac:dyDescent="0.25">
      <c r="A1017">
        <v>43569848</v>
      </c>
      <c r="B1017" t="s">
        <v>1208</v>
      </c>
      <c r="E1017" t="str">
        <f>IF(OR(E1016="&lt;/routeDistribution&gt;",E1016=""),"",IFERROR(_xlfn.CONCAT(VLOOKUP(DR7,Route_Column!#REF!,2,FALSE),CHAR(34)," probability=",CHAR(34),1/DR$4,CHAR(34),CHAR(47),CHAR(62)),"&lt;/routeDistribution&gt;"))</f>
        <v/>
      </c>
    </row>
    <row r="1018" spans="1:5" x14ac:dyDescent="0.25">
      <c r="A1018">
        <v>43569848</v>
      </c>
      <c r="B1018" t="s">
        <v>1214</v>
      </c>
      <c r="E1018" t="str">
        <f>IF(OR(E1017="&lt;/routeDistribution&gt;",E1017=""),"",IFERROR(_xlfn.CONCAT(VLOOKUP(DR8,Route_Column!#REF!,2,FALSE),CHAR(34)," probability=",CHAR(34),1/DR$4,CHAR(34),CHAR(47),CHAR(62)),"&lt;/routeDistribution&gt;"))</f>
        <v/>
      </c>
    </row>
    <row r="1019" spans="1:5" x14ac:dyDescent="0.25">
      <c r="A1019">
        <v>43569848</v>
      </c>
      <c r="B1019" t="s">
        <v>1215</v>
      </c>
      <c r="E1019" t="str">
        <f>IF(OR(E1018="&lt;/routeDistribution&gt;",E1018=""),"",IFERROR(_xlfn.CONCAT(VLOOKUP(DR9,Route_Column!#REF!,2,FALSE),CHAR(34)," probability=",CHAR(34),1/DR$4,CHAR(34),CHAR(47),CHAR(62)),"&lt;/routeDistribution&gt;"))</f>
        <v/>
      </c>
    </row>
    <row r="1020" spans="1:5" x14ac:dyDescent="0.25">
      <c r="A1020">
        <v>43569848</v>
      </c>
      <c r="B1020" t="s">
        <v>1219</v>
      </c>
      <c r="E1020" t="str">
        <f>IF(OR(E1019="&lt;/routeDistribution&gt;",E1019=""),"",IFERROR(_xlfn.CONCAT(VLOOKUP(DR10,Route_Column!#REF!,2,FALSE),CHAR(34)," probability=",CHAR(34),1/DR$4,CHAR(34),CHAR(47),CHAR(62)),"&lt;/routeDistribution&gt;"))</f>
        <v/>
      </c>
    </row>
    <row r="1021" spans="1:5" x14ac:dyDescent="0.25">
      <c r="A1021">
        <v>43569848</v>
      </c>
      <c r="B1021" t="s">
        <v>1226</v>
      </c>
      <c r="E1021" t="str">
        <f>IF(OR(E1020="&lt;/routeDistribution&gt;",E1020=""),"",IFERROR(_xlfn.CONCAT(VLOOKUP(DR11,Route_Column!#REF!,2,FALSE),CHAR(34)," probability=",CHAR(34),1/DR$4,CHAR(34),CHAR(47),CHAR(62)),"&lt;/routeDistribution&gt;"))</f>
        <v/>
      </c>
    </row>
    <row r="1022" spans="1:5" x14ac:dyDescent="0.25">
      <c r="A1022">
        <v>43569848</v>
      </c>
      <c r="B1022" t="s">
        <v>1227</v>
      </c>
      <c r="E1022" t="str">
        <f>IF(OR(E1021="&lt;/routeDistribution&gt;",E1021=""),"",IFERROR(_xlfn.CONCAT(VLOOKUP(DR12,Route_Column!#REF!,2,FALSE),CHAR(34)," probability=",CHAR(34),1/DR$4,CHAR(34),CHAR(47),CHAR(62)),"&lt;/routeDistribution&gt;"))</f>
        <v/>
      </c>
    </row>
    <row r="1023" spans="1:5" x14ac:dyDescent="0.25">
      <c r="A1023">
        <v>43569848</v>
      </c>
      <c r="B1023" t="s">
        <v>1231</v>
      </c>
      <c r="E1023" t="str">
        <f>IF(OR(E1022="&lt;/routeDistribution&gt;",E1022=""),"",IFERROR(_xlfn.CONCAT(VLOOKUP(DR13,Route_Column!#REF!,2,FALSE),CHAR(34)," probability=",CHAR(34),1/DR$4,CHAR(34),CHAR(47),CHAR(62)),"&lt;/routeDistribution&gt;"))</f>
        <v/>
      </c>
    </row>
    <row r="1024" spans="1:5" x14ac:dyDescent="0.25">
      <c r="A1024">
        <v>43569848</v>
      </c>
      <c r="B1024" t="s">
        <v>1232</v>
      </c>
      <c r="E1024" t="str">
        <f>IF(OR(E1023="&lt;/routeDistribution&gt;",E1023=""),"",IFERROR(_xlfn.CONCAT(VLOOKUP(DR14,Route_Column!#REF!,2,FALSE),CHAR(34)," probability=",CHAR(34),1/DR$4,CHAR(34),CHAR(47),CHAR(62)),"&lt;/routeDistribution&gt;"))</f>
        <v/>
      </c>
    </row>
    <row r="1025" spans="1:5" x14ac:dyDescent="0.25">
      <c r="A1025">
        <v>43569848</v>
      </c>
      <c r="B1025" t="s">
        <v>1233</v>
      </c>
      <c r="E1025" t="str">
        <f>IF(OR(E1024="&lt;/routeDistribution&gt;",E1024=""),"",IFERROR(_xlfn.CONCAT(VLOOKUP(DR15,Route_Column!#REF!,2,FALSE),CHAR(34)," probability=",CHAR(34),1/DR$4,CHAR(34),CHAR(47),CHAR(62)),"&lt;/routeDistribution&gt;"))</f>
        <v/>
      </c>
    </row>
    <row r="1026" spans="1:5" x14ac:dyDescent="0.25">
      <c r="A1026">
        <v>43569848</v>
      </c>
      <c r="B1026" t="s">
        <v>1233</v>
      </c>
      <c r="E1026" t="str">
        <f>IF(OR(E1025="&lt;/routeDistribution&gt;",E1025=""),"",IFERROR(_xlfn.CONCAT(VLOOKUP(DR16,Route_Column!#REF!,2,FALSE),CHAR(34)," probability=",CHAR(34),1/DR$4,CHAR(34),CHAR(47),CHAR(62)),"&lt;/routeDistribution&gt;"))</f>
        <v/>
      </c>
    </row>
    <row r="1027" spans="1:5" x14ac:dyDescent="0.25">
      <c r="A1027">
        <v>43569848</v>
      </c>
      <c r="B1027" t="s">
        <v>1234</v>
      </c>
      <c r="E1027" t="str">
        <f>IF(OR(E1026="&lt;/routeDistribution&gt;",E1026=""),"",IFERROR(_xlfn.CONCAT(VLOOKUP(DR17,Route_Column!#REF!,2,FALSE),CHAR(34)," probability=",CHAR(34),1/DR$4,CHAR(34),CHAR(47),CHAR(62)),"&lt;/routeDistribution&gt;"))</f>
        <v/>
      </c>
    </row>
    <row r="1028" spans="1:5" x14ac:dyDescent="0.25">
      <c r="A1028">
        <v>43569848</v>
      </c>
      <c r="B1028" t="s">
        <v>1235</v>
      </c>
      <c r="E1028" t="str">
        <f>IF(OR(E1027="&lt;/routeDistribution&gt;",E1027=""),"",IFERROR(_xlfn.CONCAT(VLOOKUP(DR18,Route_Column!#REF!,2,FALSE),CHAR(34)," probability=",CHAR(34),1/DR$4,CHAR(34),CHAR(47),CHAR(62)),"&lt;/routeDistribution&gt;"))</f>
        <v/>
      </c>
    </row>
    <row r="1029" spans="1:5" x14ac:dyDescent="0.25">
      <c r="A1029">
        <v>43569848</v>
      </c>
      <c r="B1029" t="s">
        <v>1236</v>
      </c>
      <c r="E1029" t="str">
        <f>IF(OR(E1028="&lt;/routeDistribution&gt;",E1028=""),"",IFERROR(_xlfn.CONCAT(VLOOKUP(DR19,Route_Column!#REF!,2,FALSE),CHAR(34)," probability=",CHAR(34),1/DR$4,CHAR(34),CHAR(47),CHAR(62)),"&lt;/routeDistribution&gt;"))</f>
        <v/>
      </c>
    </row>
    <row r="1030" spans="1:5" x14ac:dyDescent="0.25">
      <c r="A1030">
        <v>43569848</v>
      </c>
      <c r="B1030" t="s">
        <v>1237</v>
      </c>
      <c r="E1030" t="str">
        <f>IF(OR(E1029="&lt;/routeDistribution&gt;",E1029=""),"",IFERROR(_xlfn.CONCAT(VLOOKUP(DR20,Route_Column!#REF!,2,FALSE),CHAR(34)," probability=",CHAR(34),1/DR$4,CHAR(34),CHAR(47),CHAR(62)),"&lt;/routeDistribution&gt;"))</f>
        <v/>
      </c>
    </row>
    <row r="1031" spans="1:5" x14ac:dyDescent="0.25">
      <c r="A1031">
        <v>43569848</v>
      </c>
      <c r="B1031" t="s">
        <v>1238</v>
      </c>
      <c r="E1031" t="str">
        <f>IF(OR(E1030="&lt;/routeDistribution&gt;",E1030=""),"",IFERROR(_xlfn.CONCAT(VLOOKUP(DR21,Route_Column!#REF!,2,FALSE),CHAR(34)," probability=",CHAR(34),1/DR$4,CHAR(34),CHAR(47),CHAR(62)),"&lt;/routeDistribution&gt;"))</f>
        <v/>
      </c>
    </row>
    <row r="1032" spans="1:5" x14ac:dyDescent="0.25">
      <c r="A1032">
        <v>43569848</v>
      </c>
      <c r="B1032" t="s">
        <v>1239</v>
      </c>
      <c r="E1032" t="str">
        <f>IF(OR(E1031="&lt;/routeDistribution&gt;",E1031=""),"",IFERROR(_xlfn.CONCAT(VLOOKUP(DR22,Route_Column!#REF!,2,FALSE),CHAR(34)," probability=",CHAR(34),1/DR$4,CHAR(34),CHAR(47),CHAR(62)),"&lt;/routeDistribution&gt;"))</f>
        <v/>
      </c>
    </row>
    <row r="1033" spans="1:5" x14ac:dyDescent="0.25">
      <c r="A1033">
        <v>43569848</v>
      </c>
      <c r="B1033" t="s">
        <v>1240</v>
      </c>
      <c r="E1033" t="str">
        <f>IF(OR(E1032="&lt;/routeDistribution&gt;",E1032=""),"",IFERROR(_xlfn.CONCAT(VLOOKUP(DR23,Route_Column!#REF!,2,FALSE),CHAR(34)," probability=",CHAR(34),1/DR$4,CHAR(34),CHAR(47),CHAR(62)),"&lt;/routeDistribution&gt;"))</f>
        <v/>
      </c>
    </row>
    <row r="1034" spans="1:5" x14ac:dyDescent="0.25">
      <c r="A1034">
        <v>43569848</v>
      </c>
      <c r="B1034" t="s">
        <v>1241</v>
      </c>
      <c r="E1034" t="str">
        <f>IF(OR(E1033="&lt;/routeDistribution&gt;",E1033=""),"",IFERROR(_xlfn.CONCAT(VLOOKUP(DR24,Route_Column!#REF!,2,FALSE),CHAR(34)," probability=",CHAR(34),1/DR$4,CHAR(34),CHAR(47),CHAR(62)),"&lt;/routeDistribution&gt;"))</f>
        <v/>
      </c>
    </row>
    <row r="1035" spans="1:5" x14ac:dyDescent="0.25">
      <c r="A1035">
        <v>43569848</v>
      </c>
      <c r="B1035" t="s">
        <v>1242</v>
      </c>
      <c r="E1035" t="str">
        <f>IF(OR(E1034="&lt;/routeDistribution&gt;",E1034=""),"",IFERROR(_xlfn.CONCAT(VLOOKUP(DR25,Route_Column!#REF!,2,FALSE),CHAR(34)," probability=",CHAR(34),1/DR$4,CHAR(34),CHAR(47),CHAR(62)),"&lt;/routeDistribution&gt;"))</f>
        <v/>
      </c>
    </row>
    <row r="1036" spans="1:5" x14ac:dyDescent="0.25">
      <c r="A1036">
        <v>43569848</v>
      </c>
      <c r="B1036" t="s">
        <v>1243</v>
      </c>
      <c r="E1036" t="str">
        <f>IF(OR(E1035="&lt;/routeDistribution&gt;",E1035=""),"",IFERROR(_xlfn.CONCAT(VLOOKUP(DR26,Route_Column!#REF!,2,FALSE),CHAR(34)," probability=",CHAR(34),1/DR$4,CHAR(34),CHAR(47),CHAR(62)),"&lt;/routeDistribution&gt;"))</f>
        <v/>
      </c>
    </row>
    <row r="1037" spans="1:5" x14ac:dyDescent="0.25">
      <c r="A1037">
        <v>43569848</v>
      </c>
      <c r="B1037" t="s">
        <v>1244</v>
      </c>
      <c r="E1037" t="str">
        <f>IF(OR(E1036="&lt;/routeDistribution&gt;",E1036=""),"",IFERROR(_xlfn.CONCAT(VLOOKUP(DR27,Route_Column!#REF!,2,FALSE),CHAR(34)," probability=",CHAR(34),1/DR$4,CHAR(34),CHAR(47),CHAR(62)),"&lt;/routeDistribution&gt;"))</f>
        <v/>
      </c>
    </row>
    <row r="1038" spans="1:5" x14ac:dyDescent="0.25">
      <c r="A1038">
        <v>43569848</v>
      </c>
      <c r="B1038" t="s">
        <v>1245</v>
      </c>
      <c r="E1038" t="str">
        <f>IF(OR(E1037="&lt;/routeDistribution&gt;",E1037=""),"",IFERROR(_xlfn.CONCAT(VLOOKUP(DR28,Route_Column!#REF!,2,FALSE),CHAR(34)," probability=",CHAR(34),1/DR$4,CHAR(34),CHAR(47),CHAR(62)),"&lt;/routeDistribution&gt;"))</f>
        <v/>
      </c>
    </row>
    <row r="1039" spans="1:5" x14ac:dyDescent="0.25">
      <c r="A1039">
        <v>43569848</v>
      </c>
      <c r="B1039" t="s">
        <v>1246</v>
      </c>
      <c r="E1039" t="str">
        <f>IF(OR(E1038="&lt;/routeDistribution&gt;",E1038=""),"",IFERROR(_xlfn.CONCAT(VLOOKUP(DR29,Route_Column!#REF!,2,FALSE),CHAR(34)," probability=",CHAR(34),1/DR$4,CHAR(34),CHAR(47),CHAR(62)),"&lt;/routeDistribution&gt;"))</f>
        <v/>
      </c>
    </row>
    <row r="1040" spans="1:5" x14ac:dyDescent="0.25">
      <c r="A1040">
        <v>43569848</v>
      </c>
      <c r="B1040" t="s">
        <v>1247</v>
      </c>
      <c r="E1040" t="str">
        <f>IF(OR(E1039="&lt;/routeDistribution&gt;",E1039=""),"",IFERROR(_xlfn.CONCAT(VLOOKUP(DR30,Route_Column!#REF!,2,FALSE),CHAR(34)," probability=",CHAR(34),1/DR$4,CHAR(34),CHAR(47),CHAR(62)),"&lt;/routeDistribution&gt;"))</f>
        <v/>
      </c>
    </row>
    <row r="1041" spans="1:5" x14ac:dyDescent="0.25">
      <c r="A1041">
        <v>43569848</v>
      </c>
      <c r="B1041" t="s">
        <v>1248</v>
      </c>
      <c r="E1041" t="str">
        <f>IF(OR(E1040="&lt;/routeDistribution&gt;",E1040=""),"",IFERROR(_xlfn.CONCAT(VLOOKUP(DR31,Route_Column!#REF!,2,FALSE),CHAR(34)," probability=",CHAR(34),1/DR$4,CHAR(34),CHAR(47),CHAR(62)),"&lt;/routeDistribution&gt;"))</f>
        <v/>
      </c>
    </row>
    <row r="1042" spans="1:5" x14ac:dyDescent="0.25">
      <c r="A1042">
        <v>43569848</v>
      </c>
      <c r="B1042" t="s">
        <v>1249</v>
      </c>
      <c r="E1042" t="str">
        <f>IF(OR(E1041="&lt;/routeDistribution&gt;",E1041=""),"",IFERROR(_xlfn.CONCAT(VLOOKUP(DR32,Route_Column!#REF!,2,FALSE),CHAR(34)," probability=",CHAR(34),1/DR$4,CHAR(34),CHAR(47),CHAR(62)),"&lt;/routeDistribution&gt;"))</f>
        <v/>
      </c>
    </row>
    <row r="1043" spans="1:5" x14ac:dyDescent="0.25">
      <c r="A1043">
        <v>43569848</v>
      </c>
      <c r="B1043" t="s">
        <v>1250</v>
      </c>
      <c r="E1043" t="str">
        <f>IF(OR(E1042="&lt;/routeDistribution&gt;",E1042=""),"",IFERROR(_xlfn.CONCAT(VLOOKUP(DR33,Route_Column!#REF!,2,FALSE),CHAR(34)," probability=",CHAR(34),1/DR$4,CHAR(34),CHAR(47),CHAR(62)),"&lt;/routeDistribution&gt;"))</f>
        <v/>
      </c>
    </row>
    <row r="1044" spans="1:5" x14ac:dyDescent="0.25">
      <c r="A1044">
        <v>43569848</v>
      </c>
      <c r="B1044" t="s">
        <v>1254</v>
      </c>
      <c r="E1044" t="str">
        <f>IF(OR(E1043="&lt;/routeDistribution&gt;",E1043=""),"",IFERROR(_xlfn.CONCAT(VLOOKUP(DR34,Route_Column!#REF!,2,FALSE),CHAR(34)," probability=",CHAR(34),1/DR$4,CHAR(34),CHAR(47),CHAR(62)),"&lt;/routeDistribution&gt;"))</f>
        <v/>
      </c>
    </row>
    <row r="1045" spans="1:5" x14ac:dyDescent="0.25">
      <c r="A1045">
        <v>43569848</v>
      </c>
      <c r="B1045" t="s">
        <v>1255</v>
      </c>
      <c r="E1045" t="str">
        <f>IF(OR(E1044="&lt;/routeDistribution&gt;",E1044=""),"",IFERROR(_xlfn.CONCAT(VLOOKUP(DR35,Route_Column!#REF!,2,FALSE),CHAR(34)," probability=",CHAR(34),1/DR$4,CHAR(34),CHAR(47),CHAR(62)),"&lt;/routeDistribution&gt;"))</f>
        <v/>
      </c>
    </row>
    <row r="1046" spans="1:5" x14ac:dyDescent="0.25">
      <c r="A1046">
        <v>49914077</v>
      </c>
      <c r="B1046" t="s">
        <v>1139</v>
      </c>
      <c r="E1046" t="str">
        <f>IF(OR(E1045="&lt;/routeDistribution&gt;",E1045=""),"",IFERROR(_xlfn.CONCAT(VLOOKUP(DR36,Route_Column!#REF!,2,FALSE),CHAR(34)," probability=",CHAR(34),1/DR$4,CHAR(34),CHAR(47),CHAR(62)),"&lt;/routeDistribution&gt;"))</f>
        <v/>
      </c>
    </row>
    <row r="1047" spans="1:5" x14ac:dyDescent="0.25">
      <c r="A1047">
        <v>49914077</v>
      </c>
      <c r="B1047" t="s">
        <v>1140</v>
      </c>
      <c r="E1047" t="str">
        <f>IF(OR(E1046="&lt;/routeDistribution&gt;",E1046=""),"",IFERROR(_xlfn.CONCAT(VLOOKUP(DR37,Route_Column!#REF!,2,FALSE),CHAR(34)," probability=",CHAR(34),1/DR$4,CHAR(34),CHAR(47),CHAR(62)),"&lt;/routeDistribution&gt;"))</f>
        <v/>
      </c>
    </row>
    <row r="1048" spans="1:5" x14ac:dyDescent="0.25">
      <c r="A1048">
        <v>49914077</v>
      </c>
      <c r="B1048" t="s">
        <v>1142</v>
      </c>
      <c r="E1048" t="str">
        <f>IF(OR(E1047="&lt;/routeDistribution&gt;",E1047=""),"",IFERROR(_xlfn.CONCAT(VLOOKUP(DR38,Route_Column!#REF!,2,FALSE),CHAR(34)," probability=",CHAR(34),1/DR$4,CHAR(34),CHAR(47),CHAR(62)),"&lt;/routeDistribution&gt;"))</f>
        <v/>
      </c>
    </row>
    <row r="1049" spans="1:5" x14ac:dyDescent="0.25">
      <c r="A1049">
        <v>49914077</v>
      </c>
      <c r="B1049" t="s">
        <v>1148</v>
      </c>
      <c r="E1049" t="str">
        <f>IF(OR(E1048="&lt;/routeDistribution&gt;",E1048=""),"",IFERROR(_xlfn.CONCAT(VLOOKUP(DR39,Route_Column!#REF!,2,FALSE),CHAR(34)," probability=",CHAR(34),1/DR$4,CHAR(34),CHAR(47),CHAR(62)),"&lt;/routeDistribution&gt;"))</f>
        <v/>
      </c>
    </row>
    <row r="1050" spans="1:5" x14ac:dyDescent="0.25">
      <c r="A1050">
        <v>49914077</v>
      </c>
      <c r="B1050" t="s">
        <v>1150</v>
      </c>
      <c r="E1050" t="str">
        <f>IF(OR(E1049="&lt;/routeDistribution&gt;",E1049=""),"",IFERROR(_xlfn.CONCAT(VLOOKUP(DR40,Route_Column!#REF!,2,FALSE),CHAR(34)," probability=",CHAR(34),1/DR$4,CHAR(34),CHAR(47),CHAR(62)),"&lt;/routeDistribution&gt;"))</f>
        <v/>
      </c>
    </row>
    <row r="1051" spans="1:5" x14ac:dyDescent="0.25">
      <c r="A1051">
        <v>49914077</v>
      </c>
      <c r="B1051" t="s">
        <v>1157</v>
      </c>
      <c r="E1051" t="str">
        <f>IF(OR(E1050="&lt;/routeDistribution&gt;",E1050=""),"",IFERROR(_xlfn.CONCAT(VLOOKUP(DR41,Route_Column!#REF!,2,FALSE),CHAR(34)," probability=",CHAR(34),1/DR$4,CHAR(34),CHAR(47),CHAR(62)),"&lt;/routeDistribution&gt;"))</f>
        <v/>
      </c>
    </row>
    <row r="1052" spans="1:5" x14ac:dyDescent="0.25">
      <c r="A1052">
        <v>49914077</v>
      </c>
      <c r="B1052" t="s">
        <v>1178</v>
      </c>
      <c r="E1052" t="str">
        <f>IF(OR(E1051="&lt;/routeDistribution&gt;",E1051=""),"",IFERROR(_xlfn.CONCAT(VLOOKUP(DR42,Route_Column!#REF!,2,FALSE),CHAR(34)," probability=",CHAR(34),1/DR$4,CHAR(34),CHAR(47),CHAR(62)),"&lt;/routeDistribution&gt;"))</f>
        <v/>
      </c>
    </row>
    <row r="1053" spans="1:5" x14ac:dyDescent="0.25">
      <c r="A1053">
        <v>49914077</v>
      </c>
      <c r="B1053" t="s">
        <v>1201</v>
      </c>
      <c r="E1053" t="str">
        <f>IF(OR(E1052="&lt;/routeDistribution&gt;",E1052=""),"",IFERROR(_xlfn.CONCAT(VLOOKUP(DR43,Route_Column!#REF!,2,FALSE),CHAR(34)," probability=",CHAR(34),1/DR$4,CHAR(34),CHAR(47),CHAR(62)),"&lt;/routeDistribution&gt;"))</f>
        <v/>
      </c>
    </row>
    <row r="1054" spans="1:5" x14ac:dyDescent="0.25">
      <c r="A1054">
        <v>49914077</v>
      </c>
      <c r="B1054" t="s">
        <v>1202</v>
      </c>
      <c r="E1054" t="str">
        <f>IF(OR(E1053="&lt;/routeDistribution&gt;",E1053=""),"",IFERROR(_xlfn.CONCAT(VLOOKUP(DR44,Route_Column!#REF!,2,FALSE),CHAR(34)," probability=",CHAR(34),1/DR$4,CHAR(34),CHAR(47),CHAR(62)),"&lt;/routeDistribution&gt;"))</f>
        <v/>
      </c>
    </row>
    <row r="1055" spans="1:5" x14ac:dyDescent="0.25">
      <c r="A1055">
        <v>49914077</v>
      </c>
      <c r="B1055" t="s">
        <v>1206</v>
      </c>
      <c r="E1055" t="str">
        <f>IF(OR(E1054="&lt;/routeDistribution&gt;",E1054=""),"",IFERROR(_xlfn.CONCAT(VLOOKUP(DR45,Route_Column!#REF!,2,FALSE),CHAR(34)," probability=",CHAR(34),1/DR$4,CHAR(34),CHAR(47),CHAR(62)),"&lt;/routeDistribution&gt;"))</f>
        <v/>
      </c>
    </row>
    <row r="1056" spans="1:5" x14ac:dyDescent="0.25">
      <c r="A1056">
        <v>49914077</v>
      </c>
      <c r="B1056" t="s">
        <v>1207</v>
      </c>
      <c r="E1056" t="str">
        <f>IF(OR(E1055="&lt;/routeDistribution&gt;",E1055=""),"",IFERROR(_xlfn.CONCAT(VLOOKUP(DR46,Route_Column!#REF!,2,FALSE),CHAR(34)," probability=",CHAR(34),1/DR$4,CHAR(34),CHAR(47),CHAR(62)),"&lt;/routeDistribution&gt;"))</f>
        <v/>
      </c>
    </row>
    <row r="1057" spans="1:5" x14ac:dyDescent="0.25">
      <c r="A1057">
        <v>49914077</v>
      </c>
      <c r="B1057" t="s">
        <v>1226</v>
      </c>
      <c r="E1057" t="str">
        <f>IF(OR(E1056="&lt;/routeDistribution&gt;",E1056=""),"",IFERROR(_xlfn.CONCAT(VLOOKUP(DR47,Route_Column!#REF!,2,FALSE),CHAR(34)," probability=",CHAR(34),1/DR$4,CHAR(34),CHAR(47),CHAR(62)),"&lt;/routeDistribution&gt;"))</f>
        <v/>
      </c>
    </row>
    <row r="1058" spans="1:5" x14ac:dyDescent="0.25">
      <c r="A1058">
        <v>49914077</v>
      </c>
      <c r="B1058" t="s">
        <v>1233</v>
      </c>
      <c r="E1058" t="str">
        <f>IF(OR(E1057="&lt;/routeDistribution&gt;",E1057=""),"",IFERROR(_xlfn.CONCAT(VLOOKUP(DR48,Route_Column!#REF!,2,FALSE),CHAR(34)," probability=",CHAR(34),1/DR$4,CHAR(34),CHAR(47),CHAR(62)),"&lt;/routeDistribution&gt;"))</f>
        <v/>
      </c>
    </row>
    <row r="1059" spans="1:5" x14ac:dyDescent="0.25">
      <c r="A1059">
        <v>49914077</v>
      </c>
      <c r="B1059" t="s">
        <v>1254</v>
      </c>
      <c r="E1059" t="str">
        <f>IF(OR(E1058="&lt;/routeDistribution&gt;",E1058=""),"",IFERROR(_xlfn.CONCAT(VLOOKUP(DR49,Route_Column!#REF!,2,FALSE),CHAR(34)," probability=",CHAR(34),1/DR$4,CHAR(34),CHAR(47),CHAR(62)),"&lt;/routeDistribution&gt;"))</f>
        <v/>
      </c>
    </row>
    <row r="1060" spans="1:5" x14ac:dyDescent="0.25">
      <c r="A1060">
        <v>49991638</v>
      </c>
      <c r="B1060" t="s">
        <v>1112</v>
      </c>
      <c r="E1060" t="str">
        <f>IF(OR(E1059="&lt;/routeDistribution&gt;",E1059=""),"",IFERROR(_xlfn.CONCAT(VLOOKUP(DR50,Route_Column!#REF!,2,FALSE),CHAR(34)," probability=",CHAR(34),1/DR$4,CHAR(34),CHAR(47),CHAR(62)),"&lt;/routeDistribution&gt;"))</f>
        <v/>
      </c>
    </row>
    <row r="1061" spans="1:5" x14ac:dyDescent="0.25">
      <c r="A1061">
        <v>49991638</v>
      </c>
      <c r="B1061" t="s">
        <v>1113</v>
      </c>
      <c r="E1061" t="str">
        <f>IF(OR(E1060="&lt;/routeDistribution&gt;",E1060=""),"",IFERROR(_xlfn.CONCAT(VLOOKUP(DR51,Route_Column!#REF!,2,FALSE),CHAR(34)," probability=",CHAR(34),1/DR$4,CHAR(34),CHAR(47),CHAR(62)),"&lt;/routeDistribution&gt;"))</f>
        <v/>
      </c>
    </row>
    <row r="1062" spans="1:5" x14ac:dyDescent="0.25">
      <c r="A1062">
        <v>49991638</v>
      </c>
      <c r="B1062" t="s">
        <v>1114</v>
      </c>
      <c r="E1062" t="str">
        <f>IF(OR(E1061="&lt;/routeDistribution&gt;",E1061=""),"",IFERROR(_xlfn.CONCAT(VLOOKUP(DR52,Route_Column!#REF!,2,FALSE),CHAR(34)," probability=",CHAR(34),1/DR$4,CHAR(34),CHAR(47),CHAR(62)),"&lt;/routeDistribution&gt;"))</f>
        <v/>
      </c>
    </row>
    <row r="1063" spans="1:5" x14ac:dyDescent="0.25">
      <c r="A1063">
        <v>49991638</v>
      </c>
      <c r="B1063" t="s">
        <v>1114</v>
      </c>
      <c r="E1063" t="str">
        <f>IF(OR(E1062="&lt;/routeDistribution&gt;",E1062=""),"",IFERROR(_xlfn.CONCAT(VLOOKUP(DR53,Route_Column!#REF!,2,FALSE),CHAR(34)," probability=",CHAR(34),1/DR$4,CHAR(34),CHAR(47),CHAR(62)),"&lt;/routeDistribution&gt;"))</f>
        <v/>
      </c>
    </row>
    <row r="1064" spans="1:5" x14ac:dyDescent="0.25">
      <c r="A1064">
        <v>49991638</v>
      </c>
      <c r="B1064" t="s">
        <v>1115</v>
      </c>
      <c r="E1064" t="str">
        <f>IF(OR(E1063="&lt;/routeDistribution&gt;",E1063=""),"",IFERROR(_xlfn.CONCAT(VLOOKUP(DR54,Route_Column!#REF!,2,FALSE),CHAR(34)," probability=",CHAR(34),1/DR$4,CHAR(34),CHAR(47),CHAR(62)),"&lt;/routeDistribution&gt;"))</f>
        <v/>
      </c>
    </row>
    <row r="1065" spans="1:5" x14ac:dyDescent="0.25">
      <c r="A1065">
        <v>49991638</v>
      </c>
      <c r="B1065" t="s">
        <v>1166</v>
      </c>
      <c r="E1065" t="str">
        <f>IF(OR(E1064="&lt;/routeDistribution&gt;",E1064=""),"",IFERROR(_xlfn.CONCAT(VLOOKUP(DR55,Route_Column!#REF!,2,FALSE),CHAR(34)," probability=",CHAR(34),1/DR$4,CHAR(34),CHAR(47),CHAR(62)),"&lt;/routeDistribution&gt;"))</f>
        <v/>
      </c>
    </row>
    <row r="1066" spans="1:5" x14ac:dyDescent="0.25">
      <c r="A1066">
        <v>49991638</v>
      </c>
      <c r="B1066" t="s">
        <v>1167</v>
      </c>
      <c r="E1066" t="str">
        <f>IF(OR(E1065="&lt;/routeDistribution&gt;",E1065=""),"",IFERROR(_xlfn.CONCAT(VLOOKUP(DR56,Route_Column!#REF!,2,FALSE),CHAR(34)," probability=",CHAR(34),1/DR$4,CHAR(34),CHAR(47),CHAR(62)),"&lt;/routeDistribution&gt;"))</f>
        <v/>
      </c>
    </row>
    <row r="1067" spans="1:5" x14ac:dyDescent="0.25">
      <c r="A1067">
        <v>49991638</v>
      </c>
      <c r="B1067" t="s">
        <v>1168</v>
      </c>
      <c r="E1067" t="str">
        <f>IF(OR(E1066="&lt;/routeDistribution&gt;",E1066=""),"",IFERROR(_xlfn.CONCAT(VLOOKUP(DR57,Route_Column!#REF!,2,FALSE),CHAR(34)," probability=",CHAR(34),1/DR$4,CHAR(34),CHAR(47),CHAR(62)),"&lt;/routeDistribution&gt;"))</f>
        <v/>
      </c>
    </row>
    <row r="1068" spans="1:5" x14ac:dyDescent="0.25">
      <c r="A1068">
        <v>49991638</v>
      </c>
      <c r="B1068" t="s">
        <v>1186</v>
      </c>
      <c r="E1068" t="str">
        <f>IF(OR(E1067="&lt;/routeDistribution&gt;",E1067=""),"",IFERROR(_xlfn.CONCAT(VLOOKUP(DR58,Route_Column!#REF!,2,FALSE),CHAR(34)," probability=",CHAR(34),1/DR$4,CHAR(34),CHAR(47),CHAR(62)),"&lt;/routeDistribution&gt;"))</f>
        <v/>
      </c>
    </row>
    <row r="1069" spans="1:5" x14ac:dyDescent="0.25">
      <c r="A1069">
        <v>49991638</v>
      </c>
      <c r="B1069" t="s">
        <v>1187</v>
      </c>
      <c r="E1069" t="str">
        <f>IF(OR(E1068="&lt;/routeDistribution&gt;",E1068=""),"",IFERROR(_xlfn.CONCAT(VLOOKUP(DR59,Route_Column!#REF!,2,FALSE),CHAR(34)," probability=",CHAR(34),1/DR$4,CHAR(34),CHAR(47),CHAR(62)),"&lt;/routeDistribution&gt;"))</f>
        <v/>
      </c>
    </row>
    <row r="1070" spans="1:5" x14ac:dyDescent="0.25">
      <c r="A1070">
        <v>49991638</v>
      </c>
      <c r="B1070" t="s">
        <v>1188</v>
      </c>
      <c r="E1070" t="str">
        <f>IF(OR(E1069="&lt;/routeDistribution&gt;",E1069=""),"",IFERROR(_xlfn.CONCAT(VLOOKUP(DR60,Route_Column!#REF!,2,FALSE),CHAR(34)," probability=",CHAR(34),1/DR$4,CHAR(34),CHAR(47),CHAR(62)),"&lt;/routeDistribution&gt;"))</f>
        <v/>
      </c>
    </row>
    <row r="1071" spans="1:5" x14ac:dyDescent="0.25">
      <c r="A1071">
        <v>49991638</v>
      </c>
      <c r="B1071" t="s">
        <v>1189</v>
      </c>
      <c r="E1071" t="str">
        <f>IF(OR(E1070="&lt;/routeDistribution&gt;",E1070=""),"",IFERROR(_xlfn.CONCAT(VLOOKUP(DR61,Route_Column!#REF!,2,FALSE),CHAR(34)," probability=",CHAR(34),1/DR$4,CHAR(34),CHAR(47),CHAR(62)),"&lt;/routeDistribution&gt;"))</f>
        <v/>
      </c>
    </row>
    <row r="1072" spans="1:5" x14ac:dyDescent="0.25">
      <c r="A1072">
        <v>49991638</v>
      </c>
      <c r="B1072" t="s">
        <v>1195</v>
      </c>
      <c r="E1072" t="str">
        <f>IF(OR(E1071="&lt;/routeDistribution&gt;",E1071=""),"",IFERROR(_xlfn.CONCAT(VLOOKUP(DR62,Route_Column!#REF!,2,FALSE),CHAR(34)," probability=",CHAR(34),1/DR$4,CHAR(34),CHAR(47),CHAR(62)),"&lt;/routeDistribution&gt;"))</f>
        <v/>
      </c>
    </row>
    <row r="1073" spans="1:5" x14ac:dyDescent="0.25">
      <c r="A1073">
        <v>49991638</v>
      </c>
      <c r="B1073" t="s">
        <v>1196</v>
      </c>
      <c r="E1073" t="str">
        <f>IF(OR(E1072="&lt;/routeDistribution&gt;",E1072=""),"",IFERROR(_xlfn.CONCAT(VLOOKUP(DR63,Route_Column!#REF!,2,FALSE),CHAR(34)," probability=",CHAR(34),1/DR$4,CHAR(34),CHAR(47),CHAR(62)),"&lt;/routeDistribution&gt;"))</f>
        <v/>
      </c>
    </row>
    <row r="1074" spans="1:5" x14ac:dyDescent="0.25">
      <c r="A1074">
        <v>49991646</v>
      </c>
      <c r="B1074" t="s">
        <v>1113</v>
      </c>
      <c r="E1074" t="s">
        <v>2686</v>
      </c>
    </row>
    <row r="1075" spans="1:5" x14ac:dyDescent="0.25">
      <c r="A1075">
        <v>49991646</v>
      </c>
      <c r="B1075" t="s">
        <v>1114</v>
      </c>
    </row>
    <row r="1076" spans="1:5" x14ac:dyDescent="0.25">
      <c r="A1076">
        <v>49991646</v>
      </c>
      <c r="B1076" t="s">
        <v>1115</v>
      </c>
    </row>
    <row r="1077" spans="1:5" x14ac:dyDescent="0.25">
      <c r="A1077">
        <v>49991646</v>
      </c>
      <c r="B1077" t="s">
        <v>1133</v>
      </c>
      <c r="E1077" t="str">
        <f>_xlfn.CONCAT($E$1,DQ$2,$F$1)</f>
        <v>&lt;routeDistribution id="JFK-22nd-to-21st-EB-2012-RouteProbe"&gt;</v>
      </c>
    </row>
    <row r="1078" spans="1:5" x14ac:dyDescent="0.25">
      <c r="A1078">
        <v>49991646</v>
      </c>
      <c r="B1078" t="s">
        <v>1166</v>
      </c>
      <c r="E1078" t="str">
        <f>IF(OR(E1077="&lt;/routeDistribution&gt;",E1077=""),"",IFERROR(_xlfn.CONCAT(VLOOKUP(DQ5,Route_Column!#REF!,2,FALSE),CHAR(34)," probability=",CHAR(34),1/DQ$4,CHAR(34),CHAR(47),CHAR(62)),"&lt;/routeDistribution&gt;"))</f>
        <v>&lt;/routeDistribution&gt;</v>
      </c>
    </row>
    <row r="1079" spans="1:5" x14ac:dyDescent="0.25">
      <c r="A1079">
        <v>49991646</v>
      </c>
      <c r="B1079" t="s">
        <v>1167</v>
      </c>
      <c r="E1079" t="str">
        <f>IF(OR(E1078="&lt;/routeDistribution&gt;",E1078=""),"",IFERROR(_xlfn.CONCAT(VLOOKUP(DQ6,Route_Column!#REF!,2,FALSE),CHAR(34)," probability=",CHAR(34),1/DQ$4,CHAR(34),CHAR(47),CHAR(62)),"&lt;/routeDistribution&gt;"))</f>
        <v/>
      </c>
    </row>
    <row r="1080" spans="1:5" x14ac:dyDescent="0.25">
      <c r="A1080">
        <v>49991646</v>
      </c>
      <c r="B1080" t="s">
        <v>1168</v>
      </c>
      <c r="E1080" t="str">
        <f>IF(OR(E1079="&lt;/routeDistribution&gt;",E1079=""),"",IFERROR(_xlfn.CONCAT(VLOOKUP(DQ7,Route_Column!#REF!,2,FALSE),CHAR(34)," probability=",CHAR(34),1/DQ$4,CHAR(34),CHAR(47),CHAR(62)),"&lt;/routeDistribution&gt;"))</f>
        <v/>
      </c>
    </row>
    <row r="1081" spans="1:5" x14ac:dyDescent="0.25">
      <c r="A1081">
        <v>49991646</v>
      </c>
      <c r="B1081" t="s">
        <v>1186</v>
      </c>
      <c r="E1081" t="str">
        <f>IF(OR(E1080="&lt;/routeDistribution&gt;",E1080=""),"",IFERROR(_xlfn.CONCAT(VLOOKUP(DQ8,Route_Column!#REF!,2,FALSE),CHAR(34)," probability=",CHAR(34),1/DQ$4,CHAR(34),CHAR(47),CHAR(62)),"&lt;/routeDistribution&gt;"))</f>
        <v/>
      </c>
    </row>
    <row r="1082" spans="1:5" x14ac:dyDescent="0.25">
      <c r="A1082">
        <v>49991646</v>
      </c>
      <c r="B1082" t="s">
        <v>1187</v>
      </c>
      <c r="E1082" t="str">
        <f>IF(OR(E1081="&lt;/routeDistribution&gt;",E1081=""),"",IFERROR(_xlfn.CONCAT(VLOOKUP(DQ9,Route_Column!#REF!,2,FALSE),CHAR(34)," probability=",CHAR(34),1/DQ$4,CHAR(34),CHAR(47),CHAR(62)),"&lt;/routeDistribution&gt;"))</f>
        <v/>
      </c>
    </row>
    <row r="1083" spans="1:5" x14ac:dyDescent="0.25">
      <c r="A1083">
        <v>49991646</v>
      </c>
      <c r="B1083" t="s">
        <v>1188</v>
      </c>
      <c r="E1083" t="str">
        <f>IF(OR(E1082="&lt;/routeDistribution&gt;",E1082=""),"",IFERROR(_xlfn.CONCAT(VLOOKUP(DQ10,Route_Column!#REF!,2,FALSE),CHAR(34)," probability=",CHAR(34),1/DQ$4,CHAR(34),CHAR(47),CHAR(62)),"&lt;/routeDistribution&gt;"))</f>
        <v/>
      </c>
    </row>
    <row r="1084" spans="1:5" x14ac:dyDescent="0.25">
      <c r="A1084">
        <v>49991646</v>
      </c>
      <c r="B1084" t="s">
        <v>1189</v>
      </c>
      <c r="E1084" t="str">
        <f>IF(OR(E1083="&lt;/routeDistribution&gt;",E1083=""),"",IFERROR(_xlfn.CONCAT(VLOOKUP(DQ11,Route_Column!#REF!,2,FALSE),CHAR(34)," probability=",CHAR(34),1/DQ$4,CHAR(34),CHAR(47),CHAR(62)),"&lt;/routeDistribution&gt;"))</f>
        <v/>
      </c>
    </row>
    <row r="1085" spans="1:5" x14ac:dyDescent="0.25">
      <c r="A1085">
        <v>49991646</v>
      </c>
      <c r="B1085" t="s">
        <v>1195</v>
      </c>
      <c r="E1085" t="str">
        <f>IF(OR(E1084="&lt;/routeDistribution&gt;",E1084=""),"",IFERROR(_xlfn.CONCAT(VLOOKUP(DQ12,Route_Column!#REF!,2,FALSE),CHAR(34)," probability=",CHAR(34),1/DQ$4,CHAR(34),CHAR(47),CHAR(62)),"&lt;/routeDistribution&gt;"))</f>
        <v/>
      </c>
    </row>
    <row r="1086" spans="1:5" x14ac:dyDescent="0.25">
      <c r="A1086">
        <v>49991646</v>
      </c>
      <c r="B1086" t="s">
        <v>1196</v>
      </c>
      <c r="E1086" t="str">
        <f>IF(OR(E1085="&lt;/routeDistribution&gt;",E1085=""),"",IFERROR(_xlfn.CONCAT(VLOOKUP(DQ13,Route_Column!#REF!,2,FALSE),CHAR(34)," probability=",CHAR(34),1/DQ$4,CHAR(34),CHAR(47),CHAR(62)),"&lt;/routeDistribution&gt;"))</f>
        <v/>
      </c>
    </row>
    <row r="1087" spans="1:5" x14ac:dyDescent="0.25">
      <c r="A1087">
        <v>49991657</v>
      </c>
      <c r="B1087" t="s">
        <v>1112</v>
      </c>
      <c r="E1087" t="str">
        <f>IF(OR(E1086="&lt;/routeDistribution&gt;",E1086=""),"",IFERROR(_xlfn.CONCAT(VLOOKUP(DQ14,Route_Column!#REF!,2,FALSE),CHAR(34)," probability=",CHAR(34),1/DQ$4,CHAR(34),CHAR(47),CHAR(62)),"&lt;/routeDistribution&gt;"))</f>
        <v/>
      </c>
    </row>
    <row r="1088" spans="1:5" x14ac:dyDescent="0.25">
      <c r="A1088">
        <v>49991657</v>
      </c>
      <c r="B1088" t="s">
        <v>1113</v>
      </c>
      <c r="E1088" t="str">
        <f>IF(OR(E1087="&lt;/routeDistribution&gt;",E1087=""),"",IFERROR(_xlfn.CONCAT(VLOOKUP(DQ15,Route_Column!#REF!,2,FALSE),CHAR(34)," probability=",CHAR(34),1/DQ$4,CHAR(34),CHAR(47),CHAR(62)),"&lt;/routeDistribution&gt;"))</f>
        <v/>
      </c>
    </row>
    <row r="1089" spans="1:5" x14ac:dyDescent="0.25">
      <c r="A1089">
        <v>49991657</v>
      </c>
      <c r="B1089" t="s">
        <v>1114</v>
      </c>
      <c r="E1089" t="str">
        <f>IF(OR(E1088="&lt;/routeDistribution&gt;",E1088=""),"",IFERROR(_xlfn.CONCAT(VLOOKUP(DQ16,Route_Column!#REF!,2,FALSE),CHAR(34)," probability=",CHAR(34),1/DQ$4,CHAR(34),CHAR(47),CHAR(62)),"&lt;/routeDistribution&gt;"))</f>
        <v/>
      </c>
    </row>
    <row r="1090" spans="1:5" x14ac:dyDescent="0.25">
      <c r="A1090">
        <v>49991657</v>
      </c>
      <c r="B1090" t="s">
        <v>1114</v>
      </c>
      <c r="E1090" t="str">
        <f>IF(OR(E1089="&lt;/routeDistribution&gt;",E1089=""),"",IFERROR(_xlfn.CONCAT(VLOOKUP(DQ17,Route_Column!#REF!,2,FALSE),CHAR(34)," probability=",CHAR(34),1/DQ$4,CHAR(34),CHAR(47),CHAR(62)),"&lt;/routeDistribution&gt;"))</f>
        <v/>
      </c>
    </row>
    <row r="1091" spans="1:5" x14ac:dyDescent="0.25">
      <c r="A1091">
        <v>49991657</v>
      </c>
      <c r="B1091" t="s">
        <v>1115</v>
      </c>
      <c r="E1091" t="str">
        <f>IF(OR(E1090="&lt;/routeDistribution&gt;",E1090=""),"",IFERROR(_xlfn.CONCAT(VLOOKUP(DQ18,Route_Column!#REF!,2,FALSE),CHAR(34)," probability=",CHAR(34),1/DQ$4,CHAR(34),CHAR(47),CHAR(62)),"&lt;/routeDistribution&gt;"))</f>
        <v/>
      </c>
    </row>
    <row r="1092" spans="1:5" x14ac:dyDescent="0.25">
      <c r="A1092">
        <v>49991657</v>
      </c>
      <c r="B1092" t="s">
        <v>1166</v>
      </c>
      <c r="E1092" t="str">
        <f>IF(OR(E1091="&lt;/routeDistribution&gt;",E1091=""),"",IFERROR(_xlfn.CONCAT(VLOOKUP(DQ19,Route_Column!#REF!,2,FALSE),CHAR(34)," probability=",CHAR(34),1/DQ$4,CHAR(34),CHAR(47),CHAR(62)),"&lt;/routeDistribution&gt;"))</f>
        <v/>
      </c>
    </row>
    <row r="1093" spans="1:5" x14ac:dyDescent="0.25">
      <c r="A1093">
        <v>49991657</v>
      </c>
      <c r="B1093" t="s">
        <v>1167</v>
      </c>
      <c r="E1093" t="str">
        <f>IF(OR(E1092="&lt;/routeDistribution&gt;",E1092=""),"",IFERROR(_xlfn.CONCAT(VLOOKUP(DQ20,Route_Column!#REF!,2,FALSE),CHAR(34)," probability=",CHAR(34),1/DQ$4,CHAR(34),CHAR(47),CHAR(62)),"&lt;/routeDistribution&gt;"))</f>
        <v/>
      </c>
    </row>
    <row r="1094" spans="1:5" x14ac:dyDescent="0.25">
      <c r="A1094">
        <v>49991657</v>
      </c>
      <c r="B1094" t="s">
        <v>1168</v>
      </c>
      <c r="E1094" t="str">
        <f>IF(OR(E1093="&lt;/routeDistribution&gt;",E1093=""),"",IFERROR(_xlfn.CONCAT(VLOOKUP(DQ21,Route_Column!#REF!,2,FALSE),CHAR(34)," probability=",CHAR(34),1/DQ$4,CHAR(34),CHAR(47),CHAR(62)),"&lt;/routeDistribution&gt;"))</f>
        <v/>
      </c>
    </row>
    <row r="1095" spans="1:5" x14ac:dyDescent="0.25">
      <c r="A1095">
        <v>49991657</v>
      </c>
      <c r="B1095" t="s">
        <v>1186</v>
      </c>
      <c r="E1095" t="str">
        <f>IF(OR(E1094="&lt;/routeDistribution&gt;",E1094=""),"",IFERROR(_xlfn.CONCAT(VLOOKUP(DQ22,Route_Column!#REF!,2,FALSE),CHAR(34)," probability=",CHAR(34),1/DQ$4,CHAR(34),CHAR(47),CHAR(62)),"&lt;/routeDistribution&gt;"))</f>
        <v/>
      </c>
    </row>
    <row r="1096" spans="1:5" x14ac:dyDescent="0.25">
      <c r="A1096">
        <v>49991657</v>
      </c>
      <c r="B1096" t="s">
        <v>1187</v>
      </c>
      <c r="E1096" t="str">
        <f>IF(OR(E1095="&lt;/routeDistribution&gt;",E1095=""),"",IFERROR(_xlfn.CONCAT(VLOOKUP(DQ23,Route_Column!#REF!,2,FALSE),CHAR(34)," probability=",CHAR(34),1/DQ$4,CHAR(34),CHAR(47),CHAR(62)),"&lt;/routeDistribution&gt;"))</f>
        <v/>
      </c>
    </row>
    <row r="1097" spans="1:5" x14ac:dyDescent="0.25">
      <c r="A1097">
        <v>49991657</v>
      </c>
      <c r="B1097" t="s">
        <v>1188</v>
      </c>
      <c r="E1097" t="str">
        <f>IF(OR(E1096="&lt;/routeDistribution&gt;",E1096=""),"",IFERROR(_xlfn.CONCAT(VLOOKUP(DQ24,Route_Column!#REF!,2,FALSE),CHAR(34)," probability=",CHAR(34),1/DQ$4,CHAR(34),CHAR(47),CHAR(62)),"&lt;/routeDistribution&gt;"))</f>
        <v/>
      </c>
    </row>
    <row r="1098" spans="1:5" x14ac:dyDescent="0.25">
      <c r="A1098">
        <v>49991657</v>
      </c>
      <c r="B1098" t="s">
        <v>1189</v>
      </c>
      <c r="E1098" t="str">
        <f>IF(OR(E1097="&lt;/routeDistribution&gt;",E1097=""),"",IFERROR(_xlfn.CONCAT(VLOOKUP(DQ25,Route_Column!#REF!,2,FALSE),CHAR(34)," probability=",CHAR(34),1/DQ$4,CHAR(34),CHAR(47),CHAR(62)),"&lt;/routeDistribution&gt;"))</f>
        <v/>
      </c>
    </row>
    <row r="1099" spans="1:5" x14ac:dyDescent="0.25">
      <c r="A1099">
        <v>49991657</v>
      </c>
      <c r="B1099" t="s">
        <v>1195</v>
      </c>
      <c r="E1099" t="str">
        <f>IF(OR(E1098="&lt;/routeDistribution&gt;",E1098=""),"",IFERROR(_xlfn.CONCAT(VLOOKUP(DQ26,Route_Column!#REF!,2,FALSE),CHAR(34)," probability=",CHAR(34),1/DQ$4,CHAR(34),CHAR(47),CHAR(62)),"&lt;/routeDistribution&gt;"))</f>
        <v/>
      </c>
    </row>
    <row r="1100" spans="1:5" x14ac:dyDescent="0.25">
      <c r="A1100">
        <v>49991657</v>
      </c>
      <c r="B1100" t="s">
        <v>1196</v>
      </c>
      <c r="E1100" t="str">
        <f>IF(OR(E1099="&lt;/routeDistribution&gt;",E1099=""),"",IFERROR(_xlfn.CONCAT(VLOOKUP(DQ27,Route_Column!#REF!,2,FALSE),CHAR(34)," probability=",CHAR(34),1/DQ$4,CHAR(34),CHAR(47),CHAR(62)),"&lt;/routeDistribution&gt;"))</f>
        <v/>
      </c>
    </row>
    <row r="1101" spans="1:5" x14ac:dyDescent="0.25">
      <c r="A1101">
        <v>49991658</v>
      </c>
      <c r="B1101" t="s">
        <v>1112</v>
      </c>
      <c r="E1101" t="str">
        <f>IF(OR(E1100="&lt;/routeDistribution&gt;",E1100=""),"",IFERROR(_xlfn.CONCAT(VLOOKUP(DQ28,Route_Column!#REF!,2,FALSE),CHAR(34)," probability=",CHAR(34),1/DQ$4,CHAR(34),CHAR(47),CHAR(62)),"&lt;/routeDistribution&gt;"))</f>
        <v/>
      </c>
    </row>
    <row r="1102" spans="1:5" x14ac:dyDescent="0.25">
      <c r="A1102">
        <v>49991658</v>
      </c>
      <c r="B1102" t="s">
        <v>1113</v>
      </c>
      <c r="E1102" t="str">
        <f>IF(OR(E1101="&lt;/routeDistribution&gt;",E1101=""),"",IFERROR(_xlfn.CONCAT(VLOOKUP(DQ29,Route_Column!#REF!,2,FALSE),CHAR(34)," probability=",CHAR(34),1/DQ$4,CHAR(34),CHAR(47),CHAR(62)),"&lt;/routeDistribution&gt;"))</f>
        <v/>
      </c>
    </row>
    <row r="1103" spans="1:5" x14ac:dyDescent="0.25">
      <c r="A1103">
        <v>49991658</v>
      </c>
      <c r="B1103" t="s">
        <v>1114</v>
      </c>
      <c r="E1103" t="str">
        <f>IF(OR(E1102="&lt;/routeDistribution&gt;",E1102=""),"",IFERROR(_xlfn.CONCAT(VLOOKUP(DQ30,Route_Column!#REF!,2,FALSE),CHAR(34)," probability=",CHAR(34),1/DQ$4,CHAR(34),CHAR(47),CHAR(62)),"&lt;/routeDistribution&gt;"))</f>
        <v/>
      </c>
    </row>
    <row r="1104" spans="1:5" x14ac:dyDescent="0.25">
      <c r="A1104">
        <v>49991658</v>
      </c>
      <c r="B1104" t="s">
        <v>1114</v>
      </c>
      <c r="E1104" t="str">
        <f>IF(OR(E1103="&lt;/routeDistribution&gt;",E1103=""),"",IFERROR(_xlfn.CONCAT(VLOOKUP(DQ31,Route_Column!#REF!,2,FALSE),CHAR(34)," probability=",CHAR(34),1/DQ$4,CHAR(34),CHAR(47),CHAR(62)),"&lt;/routeDistribution&gt;"))</f>
        <v/>
      </c>
    </row>
    <row r="1105" spans="1:5" x14ac:dyDescent="0.25">
      <c r="A1105">
        <v>49991658</v>
      </c>
      <c r="B1105" t="s">
        <v>1115</v>
      </c>
      <c r="E1105" t="str">
        <f>IF(OR(E1104="&lt;/routeDistribution&gt;",E1104=""),"",IFERROR(_xlfn.CONCAT(VLOOKUP(DQ32,Route_Column!#REF!,2,FALSE),CHAR(34)," probability=",CHAR(34),1/DQ$4,CHAR(34),CHAR(47),CHAR(62)),"&lt;/routeDistribution&gt;"))</f>
        <v/>
      </c>
    </row>
    <row r="1106" spans="1:5" x14ac:dyDescent="0.25">
      <c r="A1106">
        <v>49991658</v>
      </c>
      <c r="B1106" t="s">
        <v>1166</v>
      </c>
      <c r="E1106" t="str">
        <f>IF(OR(E1105="&lt;/routeDistribution&gt;",E1105=""),"",IFERROR(_xlfn.CONCAT(VLOOKUP(DQ33,Route_Column!#REF!,2,FALSE),CHAR(34)," probability=",CHAR(34),1/DQ$4,CHAR(34),CHAR(47),CHAR(62)),"&lt;/routeDistribution&gt;"))</f>
        <v/>
      </c>
    </row>
    <row r="1107" spans="1:5" x14ac:dyDescent="0.25">
      <c r="A1107">
        <v>49991658</v>
      </c>
      <c r="B1107" t="s">
        <v>1167</v>
      </c>
      <c r="E1107" t="str">
        <f>IF(OR(E1106="&lt;/routeDistribution&gt;",E1106=""),"",IFERROR(_xlfn.CONCAT(VLOOKUP(DQ34,Route_Column!#REF!,2,FALSE),CHAR(34)," probability=",CHAR(34),1/DQ$4,CHAR(34),CHAR(47),CHAR(62)),"&lt;/routeDistribution&gt;"))</f>
        <v/>
      </c>
    </row>
    <row r="1108" spans="1:5" x14ac:dyDescent="0.25">
      <c r="A1108">
        <v>49991658</v>
      </c>
      <c r="B1108" t="s">
        <v>1168</v>
      </c>
      <c r="E1108" t="str">
        <f>IF(OR(E1107="&lt;/routeDistribution&gt;",E1107=""),"",IFERROR(_xlfn.CONCAT(VLOOKUP(DQ35,Route_Column!#REF!,2,FALSE),CHAR(34)," probability=",CHAR(34),1/DQ$4,CHAR(34),CHAR(47),CHAR(62)),"&lt;/routeDistribution&gt;"))</f>
        <v/>
      </c>
    </row>
    <row r="1109" spans="1:5" x14ac:dyDescent="0.25">
      <c r="A1109">
        <v>49991658</v>
      </c>
      <c r="B1109" t="s">
        <v>1186</v>
      </c>
      <c r="E1109" t="str">
        <f>IF(OR(E1108="&lt;/routeDistribution&gt;",E1108=""),"",IFERROR(_xlfn.CONCAT(VLOOKUP(DQ36,Route_Column!#REF!,2,FALSE),CHAR(34)," probability=",CHAR(34),1/DQ$4,CHAR(34),CHAR(47),CHAR(62)),"&lt;/routeDistribution&gt;"))</f>
        <v/>
      </c>
    </row>
    <row r="1110" spans="1:5" x14ac:dyDescent="0.25">
      <c r="A1110">
        <v>49991658</v>
      </c>
      <c r="B1110" t="s">
        <v>1187</v>
      </c>
      <c r="E1110" t="str">
        <f>IF(OR(E1109="&lt;/routeDistribution&gt;",E1109=""),"",IFERROR(_xlfn.CONCAT(VLOOKUP(DQ37,Route_Column!#REF!,2,FALSE),CHAR(34)," probability=",CHAR(34),1/DQ$4,CHAR(34),CHAR(47),CHAR(62)),"&lt;/routeDistribution&gt;"))</f>
        <v/>
      </c>
    </row>
    <row r="1111" spans="1:5" x14ac:dyDescent="0.25">
      <c r="A1111">
        <v>49991658</v>
      </c>
      <c r="B1111" t="s">
        <v>1188</v>
      </c>
      <c r="E1111" t="str">
        <f>IF(OR(E1110="&lt;/routeDistribution&gt;",E1110=""),"",IFERROR(_xlfn.CONCAT(VLOOKUP(DQ38,Route_Column!#REF!,2,FALSE),CHAR(34)," probability=",CHAR(34),1/DQ$4,CHAR(34),CHAR(47),CHAR(62)),"&lt;/routeDistribution&gt;"))</f>
        <v/>
      </c>
    </row>
    <row r="1112" spans="1:5" x14ac:dyDescent="0.25">
      <c r="A1112">
        <v>49991658</v>
      </c>
      <c r="B1112" t="s">
        <v>1189</v>
      </c>
      <c r="E1112" t="str">
        <f>IF(OR(E1111="&lt;/routeDistribution&gt;",E1111=""),"",IFERROR(_xlfn.CONCAT(VLOOKUP(DQ39,Route_Column!#REF!,2,FALSE),CHAR(34)," probability=",CHAR(34),1/DQ$4,CHAR(34),CHAR(47),CHAR(62)),"&lt;/routeDistribution&gt;"))</f>
        <v/>
      </c>
    </row>
    <row r="1113" spans="1:5" x14ac:dyDescent="0.25">
      <c r="A1113">
        <v>49991658</v>
      </c>
      <c r="B1113" t="s">
        <v>1195</v>
      </c>
      <c r="E1113" t="str">
        <f>IF(OR(E1112="&lt;/routeDistribution&gt;",E1112=""),"",IFERROR(_xlfn.CONCAT(VLOOKUP(DQ40,Route_Column!#REF!,2,FALSE),CHAR(34)," probability=",CHAR(34),1/DQ$4,CHAR(34),CHAR(47),CHAR(62)),"&lt;/routeDistribution&gt;"))</f>
        <v/>
      </c>
    </row>
    <row r="1114" spans="1:5" x14ac:dyDescent="0.25">
      <c r="A1114">
        <v>49991658</v>
      </c>
      <c r="B1114" t="s">
        <v>1196</v>
      </c>
      <c r="E1114" t="str">
        <f>IF(OR(E1113="&lt;/routeDistribution&gt;",E1113=""),"",IFERROR(_xlfn.CONCAT(VLOOKUP(DQ41,Route_Column!#REF!,2,FALSE),CHAR(34)," probability=",CHAR(34),1/DQ$4,CHAR(34),CHAR(47),CHAR(62)),"&lt;/routeDistribution&gt;"))</f>
        <v/>
      </c>
    </row>
    <row r="1115" spans="1:5" x14ac:dyDescent="0.25">
      <c r="A1115">
        <v>50033027</v>
      </c>
      <c r="B1115" t="s">
        <v>1113</v>
      </c>
      <c r="E1115" t="str">
        <f>IF(OR(E1114="&lt;/routeDistribution&gt;",E1114=""),"",IFERROR(_xlfn.CONCAT(VLOOKUP(DQ42,Route_Column!#REF!,2,FALSE),CHAR(34)," probability=",CHAR(34),1/DQ$4,CHAR(34),CHAR(47),CHAR(62)),"&lt;/routeDistribution&gt;"))</f>
        <v/>
      </c>
    </row>
    <row r="1116" spans="1:5" x14ac:dyDescent="0.25">
      <c r="A1116">
        <v>50033027</v>
      </c>
      <c r="B1116" t="s">
        <v>1114</v>
      </c>
      <c r="E1116" t="str">
        <f>IF(OR(E1115="&lt;/routeDistribution&gt;",E1115=""),"",IFERROR(_xlfn.CONCAT(VLOOKUP(DQ43,Route_Column!#REF!,2,FALSE),CHAR(34)," probability=",CHAR(34),1/DQ$4,CHAR(34),CHAR(47),CHAR(62)),"&lt;/routeDistribution&gt;"))</f>
        <v/>
      </c>
    </row>
    <row r="1117" spans="1:5" x14ac:dyDescent="0.25">
      <c r="A1117">
        <v>50033027</v>
      </c>
      <c r="B1117" t="s">
        <v>1114</v>
      </c>
      <c r="E1117" t="str">
        <f>IF(OR(E1116="&lt;/routeDistribution&gt;",E1116=""),"",IFERROR(_xlfn.CONCAT(VLOOKUP(DQ44,Route_Column!#REF!,2,FALSE),CHAR(34)," probability=",CHAR(34),1/DQ$4,CHAR(34),CHAR(47),CHAR(62)),"&lt;/routeDistribution&gt;"))</f>
        <v/>
      </c>
    </row>
    <row r="1118" spans="1:5" x14ac:dyDescent="0.25">
      <c r="A1118">
        <v>50033027</v>
      </c>
      <c r="B1118" t="s">
        <v>1115</v>
      </c>
      <c r="E1118" t="str">
        <f>IF(OR(E1117="&lt;/routeDistribution&gt;",E1117=""),"",IFERROR(_xlfn.CONCAT(VLOOKUP(DQ45,Route_Column!#REF!,2,FALSE),CHAR(34)," probability=",CHAR(34),1/DQ$4,CHAR(34),CHAR(47),CHAR(62)),"&lt;/routeDistribution&gt;"))</f>
        <v/>
      </c>
    </row>
    <row r="1119" spans="1:5" x14ac:dyDescent="0.25">
      <c r="A1119">
        <v>50033027</v>
      </c>
      <c r="B1119" t="s">
        <v>1133</v>
      </c>
      <c r="E1119" t="str">
        <f>IF(OR(E1118="&lt;/routeDistribution&gt;",E1118=""),"",IFERROR(_xlfn.CONCAT(VLOOKUP(DQ46,Route_Column!#REF!,2,FALSE),CHAR(34)," probability=",CHAR(34),1/DQ$4,CHAR(34),CHAR(47),CHAR(62)),"&lt;/routeDistribution&gt;"))</f>
        <v/>
      </c>
    </row>
    <row r="1120" spans="1:5" x14ac:dyDescent="0.25">
      <c r="A1120">
        <v>50033027</v>
      </c>
      <c r="B1120" t="s">
        <v>1166</v>
      </c>
      <c r="E1120" t="str">
        <f>IF(OR(E1119="&lt;/routeDistribution&gt;",E1119=""),"",IFERROR(_xlfn.CONCAT(VLOOKUP(DQ47,Route_Column!#REF!,2,FALSE),CHAR(34)," probability=",CHAR(34),1/DQ$4,CHAR(34),CHAR(47),CHAR(62)),"&lt;/routeDistribution&gt;"))</f>
        <v/>
      </c>
    </row>
    <row r="1121" spans="1:5" x14ac:dyDescent="0.25">
      <c r="A1121">
        <v>50033027</v>
      </c>
      <c r="B1121" t="s">
        <v>1167</v>
      </c>
      <c r="E1121" t="str">
        <f>IF(OR(E1120="&lt;/routeDistribution&gt;",E1120=""),"",IFERROR(_xlfn.CONCAT(VLOOKUP(DQ48,Route_Column!#REF!,2,FALSE),CHAR(34)," probability=",CHAR(34),1/DQ$4,CHAR(34),CHAR(47),CHAR(62)),"&lt;/routeDistribution&gt;"))</f>
        <v/>
      </c>
    </row>
    <row r="1122" spans="1:5" x14ac:dyDescent="0.25">
      <c r="A1122">
        <v>50033027</v>
      </c>
      <c r="B1122" t="s">
        <v>1168</v>
      </c>
      <c r="E1122" t="str">
        <f>IF(OR(E1121="&lt;/routeDistribution&gt;",E1121=""),"",IFERROR(_xlfn.CONCAT(VLOOKUP(DQ49,Route_Column!#REF!,2,FALSE),CHAR(34)," probability=",CHAR(34),1/DQ$4,CHAR(34),CHAR(47),CHAR(62)),"&lt;/routeDistribution&gt;"))</f>
        <v/>
      </c>
    </row>
    <row r="1123" spans="1:5" x14ac:dyDescent="0.25">
      <c r="A1123">
        <v>50033027</v>
      </c>
      <c r="B1123" t="s">
        <v>1186</v>
      </c>
      <c r="E1123" t="str">
        <f>IF(OR(E1122="&lt;/routeDistribution&gt;",E1122=""),"",IFERROR(_xlfn.CONCAT(VLOOKUP(DQ50,Route_Column!#REF!,2,FALSE),CHAR(34)," probability=",CHAR(34),1/DQ$4,CHAR(34),CHAR(47),CHAR(62)),"&lt;/routeDistribution&gt;"))</f>
        <v/>
      </c>
    </row>
    <row r="1124" spans="1:5" x14ac:dyDescent="0.25">
      <c r="A1124">
        <v>50033027</v>
      </c>
      <c r="B1124" t="s">
        <v>1187</v>
      </c>
      <c r="E1124" t="str">
        <f>IF(OR(E1123="&lt;/routeDistribution&gt;",E1123=""),"",IFERROR(_xlfn.CONCAT(VLOOKUP(DQ51,Route_Column!#REF!,2,FALSE),CHAR(34)," probability=",CHAR(34),1/DQ$4,CHAR(34),CHAR(47),CHAR(62)),"&lt;/routeDistribution&gt;"))</f>
        <v/>
      </c>
    </row>
    <row r="1125" spans="1:5" x14ac:dyDescent="0.25">
      <c r="A1125">
        <v>50033027</v>
      </c>
      <c r="B1125" t="s">
        <v>1188</v>
      </c>
      <c r="E1125" t="str">
        <f>IF(OR(E1124="&lt;/routeDistribution&gt;",E1124=""),"",IFERROR(_xlfn.CONCAT(VLOOKUP(DQ52,Route_Column!#REF!,2,FALSE),CHAR(34)," probability=",CHAR(34),1/DQ$4,CHAR(34),CHAR(47),CHAR(62)),"&lt;/routeDistribution&gt;"))</f>
        <v/>
      </c>
    </row>
    <row r="1126" spans="1:5" x14ac:dyDescent="0.25">
      <c r="A1126">
        <v>50033027</v>
      </c>
      <c r="B1126" t="s">
        <v>1189</v>
      </c>
      <c r="E1126" t="str">
        <f>IF(OR(E1125="&lt;/routeDistribution&gt;",E1125=""),"",IFERROR(_xlfn.CONCAT(VLOOKUP(DQ53,Route_Column!#REF!,2,FALSE),CHAR(34)," probability=",CHAR(34),1/DQ$4,CHAR(34),CHAR(47),CHAR(62)),"&lt;/routeDistribution&gt;"))</f>
        <v/>
      </c>
    </row>
    <row r="1127" spans="1:5" x14ac:dyDescent="0.25">
      <c r="A1127">
        <v>50033027</v>
      </c>
      <c r="B1127" t="s">
        <v>1195</v>
      </c>
      <c r="E1127" t="str">
        <f>IF(OR(E1126="&lt;/routeDistribution&gt;",E1126=""),"",IFERROR(_xlfn.CONCAT(VLOOKUP(DQ54,Route_Column!#REF!,2,FALSE),CHAR(34)," probability=",CHAR(34),1/DQ$4,CHAR(34),CHAR(47),CHAR(62)),"&lt;/routeDistribution&gt;"))</f>
        <v/>
      </c>
    </row>
    <row r="1128" spans="1:5" x14ac:dyDescent="0.25">
      <c r="A1128">
        <v>50033027</v>
      </c>
      <c r="B1128" t="s">
        <v>1196</v>
      </c>
      <c r="E1128" t="str">
        <f>IF(OR(E1127="&lt;/routeDistribution&gt;",E1127=""),"",IFERROR(_xlfn.CONCAT(VLOOKUP(DQ55,Route_Column!#REF!,2,FALSE),CHAR(34)," probability=",CHAR(34),1/DQ$4,CHAR(34),CHAR(47),CHAR(62)),"&lt;/routeDistribution&gt;"))</f>
        <v/>
      </c>
    </row>
    <row r="1129" spans="1:5" x14ac:dyDescent="0.25">
      <c r="A1129">
        <v>50033029</v>
      </c>
      <c r="B1129" t="s">
        <v>1113</v>
      </c>
      <c r="E1129" t="str">
        <f>IF(OR(E1128="&lt;/routeDistribution&gt;",E1128=""),"",IFERROR(_xlfn.CONCAT(VLOOKUP(DQ56,Route_Column!#REF!,2,FALSE),CHAR(34)," probability=",CHAR(34),1/DQ$4,CHAR(34),CHAR(47),CHAR(62)),"&lt;/routeDistribution&gt;"))</f>
        <v/>
      </c>
    </row>
    <row r="1130" spans="1:5" x14ac:dyDescent="0.25">
      <c r="A1130">
        <v>50033029</v>
      </c>
      <c r="B1130" t="s">
        <v>1114</v>
      </c>
      <c r="E1130" t="str">
        <f>IF(OR(E1129="&lt;/routeDistribution&gt;",E1129=""),"",IFERROR(_xlfn.CONCAT(VLOOKUP(DQ57,Route_Column!#REF!,2,FALSE),CHAR(34)," probability=",CHAR(34),1/DQ$4,CHAR(34),CHAR(47),CHAR(62)),"&lt;/routeDistribution&gt;"))</f>
        <v/>
      </c>
    </row>
    <row r="1131" spans="1:5" x14ac:dyDescent="0.25">
      <c r="A1131">
        <v>50033029</v>
      </c>
      <c r="B1131" t="s">
        <v>1115</v>
      </c>
      <c r="E1131" t="str">
        <f>IF(OR(E1130="&lt;/routeDistribution&gt;",E1130=""),"",IFERROR(_xlfn.CONCAT(VLOOKUP(DQ58,Route_Column!#REF!,2,FALSE),CHAR(34)," probability=",CHAR(34),1/DQ$4,CHAR(34),CHAR(47),CHAR(62)),"&lt;/routeDistribution&gt;"))</f>
        <v/>
      </c>
    </row>
    <row r="1132" spans="1:5" x14ac:dyDescent="0.25">
      <c r="A1132">
        <v>50033029</v>
      </c>
      <c r="B1132" t="s">
        <v>1133</v>
      </c>
      <c r="E1132" t="str">
        <f>IF(OR(E1131="&lt;/routeDistribution&gt;",E1131=""),"",IFERROR(_xlfn.CONCAT(VLOOKUP(DQ59,Route_Column!#REF!,2,FALSE),CHAR(34)," probability=",CHAR(34),1/DQ$4,CHAR(34),CHAR(47),CHAR(62)),"&lt;/routeDistribution&gt;"))</f>
        <v/>
      </c>
    </row>
    <row r="1133" spans="1:5" x14ac:dyDescent="0.25">
      <c r="A1133">
        <v>50033029</v>
      </c>
      <c r="B1133" t="s">
        <v>1166</v>
      </c>
      <c r="E1133" t="str">
        <f>IF(OR(E1132="&lt;/routeDistribution&gt;",E1132=""),"",IFERROR(_xlfn.CONCAT(VLOOKUP(DQ60,Route_Column!#REF!,2,FALSE),CHAR(34)," probability=",CHAR(34),1/DQ$4,CHAR(34),CHAR(47),CHAR(62)),"&lt;/routeDistribution&gt;"))</f>
        <v/>
      </c>
    </row>
    <row r="1134" spans="1:5" x14ac:dyDescent="0.25">
      <c r="A1134">
        <v>50033029</v>
      </c>
      <c r="B1134" t="s">
        <v>1167</v>
      </c>
      <c r="E1134" t="str">
        <f>IF(OR(E1133="&lt;/routeDistribution&gt;",E1133=""),"",IFERROR(_xlfn.CONCAT(VLOOKUP(DQ61,Route_Column!#REF!,2,FALSE),CHAR(34)," probability=",CHAR(34),1/DQ$4,CHAR(34),CHAR(47),CHAR(62)),"&lt;/routeDistribution&gt;"))</f>
        <v/>
      </c>
    </row>
    <row r="1135" spans="1:5" x14ac:dyDescent="0.25">
      <c r="A1135">
        <v>50033029</v>
      </c>
      <c r="B1135" t="s">
        <v>1168</v>
      </c>
      <c r="E1135" t="str">
        <f>IF(OR(E1134="&lt;/routeDistribution&gt;",E1134=""),"",IFERROR(_xlfn.CONCAT(VLOOKUP(DQ62,Route_Column!#REF!,2,FALSE),CHAR(34)," probability=",CHAR(34),1/DQ$4,CHAR(34),CHAR(47),CHAR(62)),"&lt;/routeDistribution&gt;"))</f>
        <v/>
      </c>
    </row>
    <row r="1136" spans="1:5" x14ac:dyDescent="0.25">
      <c r="A1136">
        <v>50033029</v>
      </c>
      <c r="B1136" t="s">
        <v>1186</v>
      </c>
      <c r="E1136" t="str">
        <f>IF(OR(E1135="&lt;/routeDistribution&gt;",E1135=""),"",IFERROR(_xlfn.CONCAT(VLOOKUP(DQ63,Route_Column!#REF!,2,FALSE),CHAR(34)," probability=",CHAR(34),1/DQ$4,CHAR(34),CHAR(47),CHAR(62)),"&lt;/routeDistribution&gt;"))</f>
        <v/>
      </c>
    </row>
    <row r="1137" spans="1:5" x14ac:dyDescent="0.25">
      <c r="A1137">
        <v>50033029</v>
      </c>
      <c r="B1137" t="s">
        <v>1187</v>
      </c>
      <c r="E1137" t="s">
        <v>2686</v>
      </c>
    </row>
    <row r="1138" spans="1:5" x14ac:dyDescent="0.25">
      <c r="A1138">
        <v>50033029</v>
      </c>
      <c r="B1138" t="s">
        <v>1188</v>
      </c>
    </row>
    <row r="1139" spans="1:5" x14ac:dyDescent="0.25">
      <c r="A1139">
        <v>50033029</v>
      </c>
      <c r="B1139" t="s">
        <v>1189</v>
      </c>
    </row>
    <row r="1140" spans="1:5" x14ac:dyDescent="0.25">
      <c r="A1140">
        <v>50033029</v>
      </c>
      <c r="B1140" t="s">
        <v>1195</v>
      </c>
      <c r="E1140" t="str">
        <f>_xlfn.CONCAT($E$1,DP$2,$F$1)</f>
        <v>&lt;routeDistribution id="JFK-Brdg-WB-2015-RouteProbe"&gt;</v>
      </c>
    </row>
    <row r="1141" spans="1:5" x14ac:dyDescent="0.25">
      <c r="A1141">
        <v>50033029</v>
      </c>
      <c r="B1141" t="s">
        <v>1196</v>
      </c>
      <c r="E1141" t="str">
        <f>IF(OR(E1140="&lt;/routeDistribution&gt;",E1140=""),"",IFERROR(_xlfn.CONCAT(VLOOKUP(DP5,Route_Column!#REF!,2,FALSE),CHAR(34)," probability=",CHAR(34),1/DP$4,CHAR(34),CHAR(47),CHAR(62)),"&lt;/routeDistribution&gt;"))</f>
        <v>&lt;/routeDistribution&gt;</v>
      </c>
    </row>
    <row r="1142" spans="1:5" x14ac:dyDescent="0.25">
      <c r="A1142">
        <v>50033054</v>
      </c>
      <c r="B1142" t="s">
        <v>1115</v>
      </c>
      <c r="E1142" t="str">
        <f>IF(OR(E1141="&lt;/routeDistribution&gt;",E1141=""),"",IFERROR(_xlfn.CONCAT(VLOOKUP(DP6,Route_Column!#REF!,2,FALSE),CHAR(34)," probability=",CHAR(34),1/DP$4,CHAR(34),CHAR(47),CHAR(62)),"&lt;/routeDistribution&gt;"))</f>
        <v/>
      </c>
    </row>
    <row r="1143" spans="1:5" x14ac:dyDescent="0.25">
      <c r="A1143">
        <v>50033054</v>
      </c>
      <c r="B1143" t="s">
        <v>1166</v>
      </c>
      <c r="E1143" t="str">
        <f>IF(OR(E1142="&lt;/routeDistribution&gt;",E1142=""),"",IFERROR(_xlfn.CONCAT(VLOOKUP(DP7,Route_Column!#REF!,2,FALSE),CHAR(34)," probability=",CHAR(34),1/DP$4,CHAR(34),CHAR(47),CHAR(62)),"&lt;/routeDistribution&gt;"))</f>
        <v/>
      </c>
    </row>
    <row r="1144" spans="1:5" x14ac:dyDescent="0.25">
      <c r="A1144">
        <v>50033054</v>
      </c>
      <c r="B1144" t="s">
        <v>1167</v>
      </c>
      <c r="E1144" t="str">
        <f>IF(OR(E1143="&lt;/routeDistribution&gt;",E1143=""),"",IFERROR(_xlfn.CONCAT(VLOOKUP(DP8,Route_Column!#REF!,2,FALSE),CHAR(34)," probability=",CHAR(34),1/DP$4,CHAR(34),CHAR(47),CHAR(62)),"&lt;/routeDistribution&gt;"))</f>
        <v/>
      </c>
    </row>
    <row r="1145" spans="1:5" x14ac:dyDescent="0.25">
      <c r="A1145">
        <v>50033054</v>
      </c>
      <c r="B1145" t="s">
        <v>1168</v>
      </c>
      <c r="E1145" t="str">
        <f>IF(OR(E1144="&lt;/routeDistribution&gt;",E1144=""),"",IFERROR(_xlfn.CONCAT(VLOOKUP(DP9,Route_Column!#REF!,2,FALSE),CHAR(34)," probability=",CHAR(34),1/DP$4,CHAR(34),CHAR(47),CHAR(62)),"&lt;/routeDistribution&gt;"))</f>
        <v/>
      </c>
    </row>
    <row r="1146" spans="1:5" x14ac:dyDescent="0.25">
      <c r="A1146">
        <v>50033054</v>
      </c>
      <c r="B1146" t="s">
        <v>1186</v>
      </c>
      <c r="E1146" t="str">
        <f>IF(OR(E1145="&lt;/routeDistribution&gt;",E1145=""),"",IFERROR(_xlfn.CONCAT(VLOOKUP(DP10,Route_Column!#REF!,2,FALSE),CHAR(34)," probability=",CHAR(34),1/DP$4,CHAR(34),CHAR(47),CHAR(62)),"&lt;/routeDistribution&gt;"))</f>
        <v/>
      </c>
    </row>
    <row r="1147" spans="1:5" x14ac:dyDescent="0.25">
      <c r="A1147">
        <v>50033054</v>
      </c>
      <c r="B1147" t="s">
        <v>1187</v>
      </c>
      <c r="E1147" t="str">
        <f>IF(OR(E1146="&lt;/routeDistribution&gt;",E1146=""),"",IFERROR(_xlfn.CONCAT(VLOOKUP(DP11,Route_Column!#REF!,2,FALSE),CHAR(34)," probability=",CHAR(34),1/DP$4,CHAR(34),CHAR(47),CHAR(62)),"&lt;/routeDistribution&gt;"))</f>
        <v/>
      </c>
    </row>
    <row r="1148" spans="1:5" x14ac:dyDescent="0.25">
      <c r="A1148">
        <v>50033054</v>
      </c>
      <c r="B1148" t="s">
        <v>1188</v>
      </c>
      <c r="E1148" t="str">
        <f>IF(OR(E1147="&lt;/routeDistribution&gt;",E1147=""),"",IFERROR(_xlfn.CONCAT(VLOOKUP(DP12,Route_Column!#REF!,2,FALSE),CHAR(34)," probability=",CHAR(34),1/DP$4,CHAR(34),CHAR(47),CHAR(62)),"&lt;/routeDistribution&gt;"))</f>
        <v/>
      </c>
    </row>
    <row r="1149" spans="1:5" x14ac:dyDescent="0.25">
      <c r="A1149">
        <v>50033054</v>
      </c>
      <c r="B1149" t="s">
        <v>1189</v>
      </c>
      <c r="E1149" t="str">
        <f>IF(OR(E1148="&lt;/routeDistribution&gt;",E1148=""),"",IFERROR(_xlfn.CONCAT(VLOOKUP(DP13,Route_Column!#REF!,2,FALSE),CHAR(34)," probability=",CHAR(34),1/DP$4,CHAR(34),CHAR(47),CHAR(62)),"&lt;/routeDistribution&gt;"))</f>
        <v/>
      </c>
    </row>
    <row r="1150" spans="1:5" x14ac:dyDescent="0.25">
      <c r="A1150">
        <v>50033054</v>
      </c>
      <c r="B1150" t="s">
        <v>1195</v>
      </c>
      <c r="E1150" t="str">
        <f>IF(OR(E1149="&lt;/routeDistribution&gt;",E1149=""),"",IFERROR(_xlfn.CONCAT(VLOOKUP(DP14,Route_Column!#REF!,2,FALSE),CHAR(34)," probability=",CHAR(34),1/DP$4,CHAR(34),CHAR(47),CHAR(62)),"&lt;/routeDistribution&gt;"))</f>
        <v/>
      </c>
    </row>
    <row r="1151" spans="1:5" x14ac:dyDescent="0.25">
      <c r="A1151">
        <v>50033054</v>
      </c>
      <c r="B1151" t="s">
        <v>1196</v>
      </c>
      <c r="E1151" t="str">
        <f>IF(OR(E1150="&lt;/routeDistribution&gt;",E1150=""),"",IFERROR(_xlfn.CONCAT(VLOOKUP(DP15,Route_Column!#REF!,2,FALSE),CHAR(34)," probability=",CHAR(34),1/DP$4,CHAR(34),CHAR(47),CHAR(62)),"&lt;/routeDistribution&gt;"))</f>
        <v/>
      </c>
    </row>
    <row r="1152" spans="1:5" x14ac:dyDescent="0.25">
      <c r="A1152">
        <v>50033055</v>
      </c>
      <c r="B1152" t="s">
        <v>1113</v>
      </c>
      <c r="E1152" t="str">
        <f>IF(OR(E1151="&lt;/routeDistribution&gt;",E1151=""),"",IFERROR(_xlfn.CONCAT(VLOOKUP(DP16,Route_Column!#REF!,2,FALSE),CHAR(34)," probability=",CHAR(34),1/DP$4,CHAR(34),CHAR(47),CHAR(62)),"&lt;/routeDistribution&gt;"))</f>
        <v/>
      </c>
    </row>
    <row r="1153" spans="1:5" x14ac:dyDescent="0.25">
      <c r="A1153">
        <v>50033055</v>
      </c>
      <c r="B1153" t="s">
        <v>1114</v>
      </c>
      <c r="E1153" t="str">
        <f>IF(OR(E1152="&lt;/routeDistribution&gt;",E1152=""),"",IFERROR(_xlfn.CONCAT(VLOOKUP(DP17,Route_Column!#REF!,2,FALSE),CHAR(34)," probability=",CHAR(34),1/DP$4,CHAR(34),CHAR(47),CHAR(62)),"&lt;/routeDistribution&gt;"))</f>
        <v/>
      </c>
    </row>
    <row r="1154" spans="1:5" x14ac:dyDescent="0.25">
      <c r="A1154">
        <v>50033055</v>
      </c>
      <c r="B1154" t="s">
        <v>1133</v>
      </c>
      <c r="E1154" t="str">
        <f>IF(OR(E1153="&lt;/routeDistribution&gt;",E1153=""),"",IFERROR(_xlfn.CONCAT(VLOOKUP(DP18,Route_Column!#REF!,2,FALSE),CHAR(34)," probability=",CHAR(34),1/DP$4,CHAR(34),CHAR(47),CHAR(62)),"&lt;/routeDistribution&gt;"))</f>
        <v/>
      </c>
    </row>
    <row r="1155" spans="1:5" x14ac:dyDescent="0.25">
      <c r="A1155" s="11">
        <v>50189564</v>
      </c>
      <c r="B1155" t="s">
        <v>1090</v>
      </c>
      <c r="E1155" t="str">
        <f>IF(OR(E1154="&lt;/routeDistribution&gt;",E1154=""),"",IFERROR(_xlfn.CONCAT(VLOOKUP(DP19,Route_Column!#REF!,2,FALSE),CHAR(34)," probability=",CHAR(34),1/DP$4,CHAR(34),CHAR(47),CHAR(62)),"&lt;/routeDistribution&gt;"))</f>
        <v/>
      </c>
    </row>
    <row r="1156" spans="1:5" x14ac:dyDescent="0.25">
      <c r="A1156">
        <v>50189564</v>
      </c>
      <c r="B1156" t="s">
        <v>1097</v>
      </c>
      <c r="E1156" t="str">
        <f>IF(OR(E1155="&lt;/routeDistribution&gt;",E1155=""),"",IFERROR(_xlfn.CONCAT(VLOOKUP(DP20,Route_Column!#REF!,2,FALSE),CHAR(34)," probability=",CHAR(34),1/DP$4,CHAR(34),CHAR(47),CHAR(62)),"&lt;/routeDistribution&gt;"))</f>
        <v/>
      </c>
    </row>
    <row r="1157" spans="1:5" x14ac:dyDescent="0.25">
      <c r="A1157">
        <v>50189564</v>
      </c>
      <c r="B1157" t="s">
        <v>1111</v>
      </c>
      <c r="E1157" t="str">
        <f>IF(OR(E1156="&lt;/routeDistribution&gt;",E1156=""),"",IFERROR(_xlfn.CONCAT(VLOOKUP(DP21,Route_Column!#REF!,2,FALSE),CHAR(34)," probability=",CHAR(34),1/DP$4,CHAR(34),CHAR(47),CHAR(62)),"&lt;/routeDistribution&gt;"))</f>
        <v/>
      </c>
    </row>
    <row r="1158" spans="1:5" x14ac:dyDescent="0.25">
      <c r="A1158">
        <v>50189564</v>
      </c>
      <c r="B1158" t="s">
        <v>1132</v>
      </c>
      <c r="E1158" t="str">
        <f>IF(OR(E1157="&lt;/routeDistribution&gt;",E1157=""),"",IFERROR(_xlfn.CONCAT(VLOOKUP(DP22,Route_Column!#REF!,2,FALSE),CHAR(34)," probability=",CHAR(34),1/DP$4,CHAR(34),CHAR(47),CHAR(62)),"&lt;/routeDistribution&gt;"))</f>
        <v/>
      </c>
    </row>
    <row r="1159" spans="1:5" x14ac:dyDescent="0.25">
      <c r="A1159">
        <v>50189564</v>
      </c>
      <c r="B1159" t="s">
        <v>1137</v>
      </c>
      <c r="E1159" t="str">
        <f>IF(OR(E1158="&lt;/routeDistribution&gt;",E1158=""),"",IFERROR(_xlfn.CONCAT(VLOOKUP(DP23,Route_Column!#REF!,2,FALSE),CHAR(34)," probability=",CHAR(34),1/DP$4,CHAR(34),CHAR(47),CHAR(62)),"&lt;/routeDistribution&gt;"))</f>
        <v/>
      </c>
    </row>
    <row r="1160" spans="1:5" x14ac:dyDescent="0.25">
      <c r="A1160">
        <v>50189564</v>
      </c>
      <c r="B1160" t="s">
        <v>1171</v>
      </c>
      <c r="E1160" t="str">
        <f>IF(OR(E1159="&lt;/routeDistribution&gt;",E1159=""),"",IFERROR(_xlfn.CONCAT(VLOOKUP(DP24,Route_Column!#REF!,2,FALSE),CHAR(34)," probability=",CHAR(34),1/DP$4,CHAR(34),CHAR(47),CHAR(62)),"&lt;/routeDistribution&gt;"))</f>
        <v/>
      </c>
    </row>
    <row r="1161" spans="1:5" x14ac:dyDescent="0.25">
      <c r="A1161">
        <v>50189564</v>
      </c>
      <c r="B1161" t="s">
        <v>1182</v>
      </c>
      <c r="E1161" t="str">
        <f>IF(OR(E1160="&lt;/routeDistribution&gt;",E1160=""),"",IFERROR(_xlfn.CONCAT(VLOOKUP(DP25,Route_Column!#REF!,2,FALSE),CHAR(34)," probability=",CHAR(34),1/DP$4,CHAR(34),CHAR(47),CHAR(62)),"&lt;/routeDistribution&gt;"))</f>
        <v/>
      </c>
    </row>
    <row r="1162" spans="1:5" x14ac:dyDescent="0.25">
      <c r="A1162">
        <v>50189564</v>
      </c>
      <c r="B1162" t="s">
        <v>1184</v>
      </c>
      <c r="E1162" t="str">
        <f>IF(OR(E1161="&lt;/routeDistribution&gt;",E1161=""),"",IFERROR(_xlfn.CONCAT(VLOOKUP(DP26,Route_Column!#REF!,2,FALSE),CHAR(34)," probability=",CHAR(34),1/DP$4,CHAR(34),CHAR(47),CHAR(62)),"&lt;/routeDistribution&gt;"))</f>
        <v/>
      </c>
    </row>
    <row r="1163" spans="1:5" x14ac:dyDescent="0.25">
      <c r="A1163">
        <v>50189564</v>
      </c>
      <c r="B1163" t="s">
        <v>1191</v>
      </c>
      <c r="E1163" t="str">
        <f>IF(OR(E1162="&lt;/routeDistribution&gt;",E1162=""),"",IFERROR(_xlfn.CONCAT(VLOOKUP(DP27,Route_Column!#REF!,2,FALSE),CHAR(34)," probability=",CHAR(34),1/DP$4,CHAR(34),CHAR(47),CHAR(62)),"&lt;/routeDistribution&gt;"))</f>
        <v/>
      </c>
    </row>
    <row r="1164" spans="1:5" x14ac:dyDescent="0.25">
      <c r="A1164">
        <v>50189564</v>
      </c>
      <c r="B1164" t="s">
        <v>1204</v>
      </c>
      <c r="E1164" t="str">
        <f>IF(OR(E1163="&lt;/routeDistribution&gt;",E1163=""),"",IFERROR(_xlfn.CONCAT(VLOOKUP(DP28,Route_Column!#REF!,2,FALSE),CHAR(34)," probability=",CHAR(34),1/DP$4,CHAR(34),CHAR(47),CHAR(62)),"&lt;/routeDistribution&gt;"))</f>
        <v/>
      </c>
    </row>
    <row r="1165" spans="1:5" x14ac:dyDescent="0.25">
      <c r="A1165">
        <v>50189564</v>
      </c>
      <c r="B1165" t="s">
        <v>1213</v>
      </c>
      <c r="E1165" t="str">
        <f>IF(OR(E1164="&lt;/routeDistribution&gt;",E1164=""),"",IFERROR(_xlfn.CONCAT(VLOOKUP(DP29,Route_Column!#REF!,2,FALSE),CHAR(34)," probability=",CHAR(34),1/DP$4,CHAR(34),CHAR(47),CHAR(62)),"&lt;/routeDistribution&gt;"))</f>
        <v/>
      </c>
    </row>
    <row r="1166" spans="1:5" x14ac:dyDescent="0.25">
      <c r="A1166">
        <v>50189564</v>
      </c>
      <c r="B1166" t="s">
        <v>1215</v>
      </c>
      <c r="E1166" t="str">
        <f>IF(OR(E1165="&lt;/routeDistribution&gt;",E1165=""),"",IFERROR(_xlfn.CONCAT(VLOOKUP(DP30,Route_Column!#REF!,2,FALSE),CHAR(34)," probability=",CHAR(34),1/DP$4,CHAR(34),CHAR(47),CHAR(62)),"&lt;/routeDistribution&gt;"))</f>
        <v/>
      </c>
    </row>
    <row r="1167" spans="1:5" x14ac:dyDescent="0.25">
      <c r="A1167">
        <v>50189564</v>
      </c>
      <c r="B1167" t="s">
        <v>1218</v>
      </c>
      <c r="E1167" t="str">
        <f>IF(OR(E1166="&lt;/routeDistribution&gt;",E1166=""),"",IFERROR(_xlfn.CONCAT(VLOOKUP(DP31,Route_Column!#REF!,2,FALSE),CHAR(34)," probability=",CHAR(34),1/DP$4,CHAR(34),CHAR(47),CHAR(62)),"&lt;/routeDistribution&gt;"))</f>
        <v/>
      </c>
    </row>
    <row r="1168" spans="1:5" x14ac:dyDescent="0.25">
      <c r="A1168">
        <v>50189564</v>
      </c>
      <c r="B1168" t="s">
        <v>1225</v>
      </c>
      <c r="E1168" t="str">
        <f>IF(OR(E1167="&lt;/routeDistribution&gt;",E1167=""),"",IFERROR(_xlfn.CONCAT(VLOOKUP(DP32,Route_Column!#REF!,2,FALSE),CHAR(34)," probability=",CHAR(34),1/DP$4,CHAR(34),CHAR(47),CHAR(62)),"&lt;/routeDistribution&gt;"))</f>
        <v/>
      </c>
    </row>
    <row r="1169" spans="1:5" x14ac:dyDescent="0.25">
      <c r="A1169">
        <v>50189564</v>
      </c>
      <c r="B1169" t="s">
        <v>1228</v>
      </c>
      <c r="E1169" t="str">
        <f>IF(OR(E1168="&lt;/routeDistribution&gt;",E1168=""),"",IFERROR(_xlfn.CONCAT(VLOOKUP(DP33,Route_Column!#REF!,2,FALSE),CHAR(34)," probability=",CHAR(34),1/DP$4,CHAR(34),CHAR(47),CHAR(62)),"&lt;/routeDistribution&gt;"))</f>
        <v/>
      </c>
    </row>
    <row r="1170" spans="1:5" x14ac:dyDescent="0.25">
      <c r="A1170">
        <v>50189564</v>
      </c>
      <c r="B1170" t="s">
        <v>1230</v>
      </c>
      <c r="E1170" t="str">
        <f>IF(OR(E1169="&lt;/routeDistribution&gt;",E1169=""),"",IFERROR(_xlfn.CONCAT(VLOOKUP(DP34,Route_Column!#REF!,2,FALSE),CHAR(34)," probability=",CHAR(34),1/DP$4,CHAR(34),CHAR(47),CHAR(62)),"&lt;/routeDistribution&gt;"))</f>
        <v/>
      </c>
    </row>
    <row r="1171" spans="1:5" x14ac:dyDescent="0.25">
      <c r="A1171">
        <v>50189564</v>
      </c>
      <c r="B1171" t="s">
        <v>1253</v>
      </c>
      <c r="E1171" t="str">
        <f>IF(OR(E1170="&lt;/routeDistribution&gt;",E1170=""),"",IFERROR(_xlfn.CONCAT(VLOOKUP(DP35,Route_Column!#REF!,2,FALSE),CHAR(34)," probability=",CHAR(34),1/DP$4,CHAR(34),CHAR(47),CHAR(62)),"&lt;/routeDistribution&gt;"))</f>
        <v/>
      </c>
    </row>
    <row r="1172" spans="1:5" x14ac:dyDescent="0.25">
      <c r="A1172">
        <v>50189577</v>
      </c>
      <c r="B1172" t="s">
        <v>1177</v>
      </c>
      <c r="E1172" t="str">
        <f>IF(OR(E1171="&lt;/routeDistribution&gt;",E1171=""),"",IFERROR(_xlfn.CONCAT(VLOOKUP(DP36,Route_Column!#REF!,2,FALSE),CHAR(34)," probability=",CHAR(34),1/DP$4,CHAR(34),CHAR(47),CHAR(62)),"&lt;/routeDistribution&gt;"))</f>
        <v/>
      </c>
    </row>
    <row r="1173" spans="1:5" x14ac:dyDescent="0.25">
      <c r="A1173">
        <v>50189577</v>
      </c>
      <c r="B1173" t="s">
        <v>1203</v>
      </c>
      <c r="E1173" t="str">
        <f>IF(OR(E1172="&lt;/routeDistribution&gt;",E1172=""),"",IFERROR(_xlfn.CONCAT(VLOOKUP(DP37,Route_Column!#REF!,2,FALSE),CHAR(34)," probability=",CHAR(34),1/DP$4,CHAR(34),CHAR(47),CHAR(62)),"&lt;/routeDistribution&gt;"))</f>
        <v/>
      </c>
    </row>
    <row r="1174" spans="1:5" x14ac:dyDescent="0.25">
      <c r="A1174">
        <v>50189577</v>
      </c>
      <c r="B1174" t="s">
        <v>1216</v>
      </c>
      <c r="E1174" t="str">
        <f>IF(OR(E1173="&lt;/routeDistribution&gt;",E1173=""),"",IFERROR(_xlfn.CONCAT(VLOOKUP(DP38,Route_Column!#REF!,2,FALSE),CHAR(34)," probability=",CHAR(34),1/DP$4,CHAR(34),CHAR(47),CHAR(62)),"&lt;/routeDistribution&gt;"))</f>
        <v/>
      </c>
    </row>
    <row r="1175" spans="1:5" x14ac:dyDescent="0.25">
      <c r="A1175">
        <v>50189577</v>
      </c>
      <c r="B1175" t="s">
        <v>1220</v>
      </c>
      <c r="E1175" t="str">
        <f>IF(OR(E1174="&lt;/routeDistribution&gt;",E1174=""),"",IFERROR(_xlfn.CONCAT(VLOOKUP(DP39,Route_Column!#REF!,2,FALSE),CHAR(34)," probability=",CHAR(34),1/DP$4,CHAR(34),CHAR(47),CHAR(62)),"&lt;/routeDistribution&gt;"))</f>
        <v/>
      </c>
    </row>
    <row r="1176" spans="1:5" x14ac:dyDescent="0.25">
      <c r="A1176">
        <v>50189577</v>
      </c>
      <c r="B1176" t="s">
        <v>1229</v>
      </c>
      <c r="E1176" t="str">
        <f>IF(OR(E1175="&lt;/routeDistribution&gt;",E1175=""),"",IFERROR(_xlfn.CONCAT(VLOOKUP(DP40,Route_Column!#REF!,2,FALSE),CHAR(34)," probability=",CHAR(34),1/DP$4,CHAR(34),CHAR(47),CHAR(62)),"&lt;/routeDistribution&gt;"))</f>
        <v/>
      </c>
    </row>
    <row r="1177" spans="1:5" x14ac:dyDescent="0.25">
      <c r="A1177" s="11">
        <v>50189796</v>
      </c>
      <c r="B1177" t="s">
        <v>1090</v>
      </c>
      <c r="E1177" t="str">
        <f>IF(OR(E1176="&lt;/routeDistribution&gt;",E1176=""),"",IFERROR(_xlfn.CONCAT(VLOOKUP(DP41,Route_Column!#REF!,2,FALSE),CHAR(34)," probability=",CHAR(34),1/DP$4,CHAR(34),CHAR(47),CHAR(62)),"&lt;/routeDistribution&gt;"))</f>
        <v/>
      </c>
    </row>
    <row r="1178" spans="1:5" x14ac:dyDescent="0.25">
      <c r="A1178">
        <v>50189796</v>
      </c>
      <c r="B1178" t="s">
        <v>1097</v>
      </c>
      <c r="E1178" t="str">
        <f>IF(OR(E1177="&lt;/routeDistribution&gt;",E1177=""),"",IFERROR(_xlfn.CONCAT(VLOOKUP(DP42,Route_Column!#REF!,2,FALSE),CHAR(34)," probability=",CHAR(34),1/DP$4,CHAR(34),CHAR(47),CHAR(62)),"&lt;/routeDistribution&gt;"))</f>
        <v/>
      </c>
    </row>
    <row r="1179" spans="1:5" x14ac:dyDescent="0.25">
      <c r="A1179">
        <v>50189796</v>
      </c>
      <c r="B1179" t="s">
        <v>1111</v>
      </c>
      <c r="E1179" t="str">
        <f>IF(OR(E1178="&lt;/routeDistribution&gt;",E1178=""),"",IFERROR(_xlfn.CONCAT(VLOOKUP(DP43,Route_Column!#REF!,2,FALSE),CHAR(34)," probability=",CHAR(34),1/DP$4,CHAR(34),CHAR(47),CHAR(62)),"&lt;/routeDistribution&gt;"))</f>
        <v/>
      </c>
    </row>
    <row r="1180" spans="1:5" x14ac:dyDescent="0.25">
      <c r="A1180">
        <v>50189796</v>
      </c>
      <c r="B1180" t="s">
        <v>1132</v>
      </c>
      <c r="E1180" t="str">
        <f>IF(OR(E1179="&lt;/routeDistribution&gt;",E1179=""),"",IFERROR(_xlfn.CONCAT(VLOOKUP(DP44,Route_Column!#REF!,2,FALSE),CHAR(34)," probability=",CHAR(34),1/DP$4,CHAR(34),CHAR(47),CHAR(62)),"&lt;/routeDistribution&gt;"))</f>
        <v/>
      </c>
    </row>
    <row r="1181" spans="1:5" x14ac:dyDescent="0.25">
      <c r="A1181">
        <v>50189796</v>
      </c>
      <c r="B1181" t="s">
        <v>1137</v>
      </c>
      <c r="E1181" t="str">
        <f>IF(OR(E1180="&lt;/routeDistribution&gt;",E1180=""),"",IFERROR(_xlfn.CONCAT(VLOOKUP(DP45,Route_Column!#REF!,2,FALSE),CHAR(34)," probability=",CHAR(34),1/DP$4,CHAR(34),CHAR(47),CHAR(62)),"&lt;/routeDistribution&gt;"))</f>
        <v/>
      </c>
    </row>
    <row r="1182" spans="1:5" x14ac:dyDescent="0.25">
      <c r="A1182">
        <v>50189796</v>
      </c>
      <c r="B1182" t="s">
        <v>1171</v>
      </c>
      <c r="E1182" t="str">
        <f>IF(OR(E1181="&lt;/routeDistribution&gt;",E1181=""),"",IFERROR(_xlfn.CONCAT(VLOOKUP(DP46,Route_Column!#REF!,2,FALSE),CHAR(34)," probability=",CHAR(34),1/DP$4,CHAR(34),CHAR(47),CHAR(62)),"&lt;/routeDistribution&gt;"))</f>
        <v/>
      </c>
    </row>
    <row r="1183" spans="1:5" x14ac:dyDescent="0.25">
      <c r="A1183">
        <v>50189796</v>
      </c>
      <c r="B1183" t="s">
        <v>1182</v>
      </c>
      <c r="E1183" t="str">
        <f>IF(OR(E1182="&lt;/routeDistribution&gt;",E1182=""),"",IFERROR(_xlfn.CONCAT(VLOOKUP(DP47,Route_Column!#REF!,2,FALSE),CHAR(34)," probability=",CHAR(34),1/DP$4,CHAR(34),CHAR(47),CHAR(62)),"&lt;/routeDistribution&gt;"))</f>
        <v/>
      </c>
    </row>
    <row r="1184" spans="1:5" x14ac:dyDescent="0.25">
      <c r="A1184">
        <v>50189796</v>
      </c>
      <c r="B1184" t="s">
        <v>1184</v>
      </c>
      <c r="E1184" t="str">
        <f>IF(OR(E1183="&lt;/routeDistribution&gt;",E1183=""),"",IFERROR(_xlfn.CONCAT(VLOOKUP(DP48,Route_Column!#REF!,2,FALSE),CHAR(34)," probability=",CHAR(34),1/DP$4,CHAR(34),CHAR(47),CHAR(62)),"&lt;/routeDistribution&gt;"))</f>
        <v/>
      </c>
    </row>
    <row r="1185" spans="1:5" x14ac:dyDescent="0.25">
      <c r="A1185">
        <v>50189796</v>
      </c>
      <c r="B1185" t="s">
        <v>1191</v>
      </c>
      <c r="E1185" t="str">
        <f>IF(OR(E1184="&lt;/routeDistribution&gt;",E1184=""),"",IFERROR(_xlfn.CONCAT(VLOOKUP(DP49,Route_Column!#REF!,2,FALSE),CHAR(34)," probability=",CHAR(34),1/DP$4,CHAR(34),CHAR(47),CHAR(62)),"&lt;/routeDistribution&gt;"))</f>
        <v/>
      </c>
    </row>
    <row r="1186" spans="1:5" x14ac:dyDescent="0.25">
      <c r="A1186">
        <v>50189796</v>
      </c>
      <c r="B1186" t="s">
        <v>1204</v>
      </c>
      <c r="E1186" t="str">
        <f>IF(OR(E1185="&lt;/routeDistribution&gt;",E1185=""),"",IFERROR(_xlfn.CONCAT(VLOOKUP(DP50,Route_Column!#REF!,2,FALSE),CHAR(34)," probability=",CHAR(34),1/DP$4,CHAR(34),CHAR(47),CHAR(62)),"&lt;/routeDistribution&gt;"))</f>
        <v/>
      </c>
    </row>
    <row r="1187" spans="1:5" x14ac:dyDescent="0.25">
      <c r="A1187">
        <v>50189796</v>
      </c>
      <c r="B1187" t="s">
        <v>1213</v>
      </c>
      <c r="E1187" t="str">
        <f>IF(OR(E1186="&lt;/routeDistribution&gt;",E1186=""),"",IFERROR(_xlfn.CONCAT(VLOOKUP(DP51,Route_Column!#REF!,2,FALSE),CHAR(34)," probability=",CHAR(34),1/DP$4,CHAR(34),CHAR(47),CHAR(62)),"&lt;/routeDistribution&gt;"))</f>
        <v/>
      </c>
    </row>
    <row r="1188" spans="1:5" x14ac:dyDescent="0.25">
      <c r="A1188">
        <v>50189796</v>
      </c>
      <c r="B1188" t="s">
        <v>1215</v>
      </c>
      <c r="E1188" t="str">
        <f>IF(OR(E1187="&lt;/routeDistribution&gt;",E1187=""),"",IFERROR(_xlfn.CONCAT(VLOOKUP(DP52,Route_Column!#REF!,2,FALSE),CHAR(34)," probability=",CHAR(34),1/DP$4,CHAR(34),CHAR(47),CHAR(62)),"&lt;/routeDistribution&gt;"))</f>
        <v/>
      </c>
    </row>
    <row r="1189" spans="1:5" x14ac:dyDescent="0.25">
      <c r="A1189">
        <v>50189796</v>
      </c>
      <c r="B1189" t="s">
        <v>1218</v>
      </c>
      <c r="E1189" t="str">
        <f>IF(OR(E1188="&lt;/routeDistribution&gt;",E1188=""),"",IFERROR(_xlfn.CONCAT(VLOOKUP(DP53,Route_Column!#REF!,2,FALSE),CHAR(34)," probability=",CHAR(34),1/DP$4,CHAR(34),CHAR(47),CHAR(62)),"&lt;/routeDistribution&gt;"))</f>
        <v/>
      </c>
    </row>
    <row r="1190" spans="1:5" x14ac:dyDescent="0.25">
      <c r="A1190">
        <v>50189796</v>
      </c>
      <c r="B1190" t="s">
        <v>1225</v>
      </c>
      <c r="E1190" t="str">
        <f>IF(OR(E1189="&lt;/routeDistribution&gt;",E1189=""),"",IFERROR(_xlfn.CONCAT(VLOOKUP(DP54,Route_Column!#REF!,2,FALSE),CHAR(34)," probability=",CHAR(34),1/DP$4,CHAR(34),CHAR(47),CHAR(62)),"&lt;/routeDistribution&gt;"))</f>
        <v/>
      </c>
    </row>
    <row r="1191" spans="1:5" x14ac:dyDescent="0.25">
      <c r="A1191">
        <v>50189796</v>
      </c>
      <c r="B1191" t="s">
        <v>1228</v>
      </c>
      <c r="E1191" t="str">
        <f>IF(OR(E1190="&lt;/routeDistribution&gt;",E1190=""),"",IFERROR(_xlfn.CONCAT(VLOOKUP(DP55,Route_Column!#REF!,2,FALSE),CHAR(34)," probability=",CHAR(34),1/DP$4,CHAR(34),CHAR(47),CHAR(62)),"&lt;/routeDistribution&gt;"))</f>
        <v/>
      </c>
    </row>
    <row r="1192" spans="1:5" x14ac:dyDescent="0.25">
      <c r="A1192">
        <v>50189796</v>
      </c>
      <c r="B1192" t="s">
        <v>1230</v>
      </c>
      <c r="E1192" t="str">
        <f>IF(OR(E1191="&lt;/routeDistribution&gt;",E1191=""),"",IFERROR(_xlfn.CONCAT(VLOOKUP(DP56,Route_Column!#REF!,2,FALSE),CHAR(34)," probability=",CHAR(34),1/DP$4,CHAR(34),CHAR(47),CHAR(62)),"&lt;/routeDistribution&gt;"))</f>
        <v/>
      </c>
    </row>
    <row r="1193" spans="1:5" x14ac:dyDescent="0.25">
      <c r="A1193">
        <v>50189796</v>
      </c>
      <c r="B1193" t="s">
        <v>1253</v>
      </c>
      <c r="E1193" t="str">
        <f>IF(OR(E1192="&lt;/routeDistribution&gt;",E1192=""),"",IFERROR(_xlfn.CONCAT(VLOOKUP(DP57,Route_Column!#REF!,2,FALSE),CHAR(34)," probability=",CHAR(34),1/DP$4,CHAR(34),CHAR(47),CHAR(62)),"&lt;/routeDistribution&gt;"))</f>
        <v/>
      </c>
    </row>
    <row r="1194" spans="1:5" x14ac:dyDescent="0.25">
      <c r="A1194">
        <v>50978397</v>
      </c>
      <c r="B1194" t="s">
        <v>1153</v>
      </c>
      <c r="E1194" t="str">
        <f>IF(OR(E1193="&lt;/routeDistribution&gt;",E1193=""),"",IFERROR(_xlfn.CONCAT(VLOOKUP(DP58,Route_Column!#REF!,2,FALSE),CHAR(34)," probability=",CHAR(34),1/DP$4,CHAR(34),CHAR(47),CHAR(62)),"&lt;/routeDistribution&gt;"))</f>
        <v/>
      </c>
    </row>
    <row r="1195" spans="1:5" x14ac:dyDescent="0.25">
      <c r="A1195">
        <v>62203066</v>
      </c>
      <c r="B1195" t="s">
        <v>1094</v>
      </c>
      <c r="E1195" t="str">
        <f>IF(OR(E1194="&lt;/routeDistribution&gt;",E1194=""),"",IFERROR(_xlfn.CONCAT(VLOOKUP(DP59,Route_Column!#REF!,2,FALSE),CHAR(34)," probability=",CHAR(34),1/DP$4,CHAR(34),CHAR(47),CHAR(62)),"&lt;/routeDistribution&gt;"))</f>
        <v/>
      </c>
    </row>
    <row r="1196" spans="1:5" x14ac:dyDescent="0.25">
      <c r="A1196">
        <v>62203066</v>
      </c>
      <c r="B1196" t="s">
        <v>1151</v>
      </c>
      <c r="E1196" t="str">
        <f>IF(OR(E1195="&lt;/routeDistribution&gt;",E1195=""),"",IFERROR(_xlfn.CONCAT(VLOOKUP(DP60,Route_Column!#REF!,2,FALSE),CHAR(34)," probability=",CHAR(34),1/DP$4,CHAR(34),CHAR(47),CHAR(62)),"&lt;/routeDistribution&gt;"))</f>
        <v/>
      </c>
    </row>
    <row r="1197" spans="1:5" x14ac:dyDescent="0.25">
      <c r="A1197">
        <v>62203066</v>
      </c>
      <c r="B1197" t="s">
        <v>1159</v>
      </c>
      <c r="E1197" t="str">
        <f>IF(OR(E1196="&lt;/routeDistribution&gt;",E1196=""),"",IFERROR(_xlfn.CONCAT(VLOOKUP(DP61,Route_Column!#REF!,2,FALSE),CHAR(34)," probability=",CHAR(34),1/DP$4,CHAR(34),CHAR(47),CHAR(62)),"&lt;/routeDistribution&gt;"))</f>
        <v/>
      </c>
    </row>
    <row r="1198" spans="1:5" x14ac:dyDescent="0.25">
      <c r="A1198">
        <v>62203066</v>
      </c>
      <c r="B1198" t="s">
        <v>1179</v>
      </c>
      <c r="E1198" t="str">
        <f>IF(OR(E1197="&lt;/routeDistribution&gt;",E1197=""),"",IFERROR(_xlfn.CONCAT(VLOOKUP(DP62,Route_Column!#REF!,2,FALSE),CHAR(34)," probability=",CHAR(34),1/DP$4,CHAR(34),CHAR(47),CHAR(62)),"&lt;/routeDistribution&gt;"))</f>
        <v/>
      </c>
    </row>
    <row r="1199" spans="1:5" x14ac:dyDescent="0.25">
      <c r="A1199">
        <v>62203066</v>
      </c>
      <c r="B1199" t="s">
        <v>1190</v>
      </c>
      <c r="E1199" t="str">
        <f>IF(OR(E1198="&lt;/routeDistribution&gt;",E1198=""),"",IFERROR(_xlfn.CONCAT(VLOOKUP(DP63,Route_Column!#REF!,2,FALSE),CHAR(34)," probability=",CHAR(34),1/DP$4,CHAR(34),CHAR(47),CHAR(62)),"&lt;/routeDistribution&gt;"))</f>
        <v/>
      </c>
    </row>
    <row r="1200" spans="1:5" x14ac:dyDescent="0.25">
      <c r="A1200">
        <v>62203066</v>
      </c>
      <c r="B1200" t="s">
        <v>1208</v>
      </c>
      <c r="E1200" t="s">
        <v>2686</v>
      </c>
    </row>
    <row r="1201" spans="1:5" x14ac:dyDescent="0.25">
      <c r="A1201">
        <v>62203066</v>
      </c>
      <c r="B1201" t="s">
        <v>1234</v>
      </c>
    </row>
    <row r="1202" spans="1:5" x14ac:dyDescent="0.25">
      <c r="A1202">
        <v>62203295</v>
      </c>
      <c r="B1202" t="s">
        <v>1177</v>
      </c>
    </row>
    <row r="1203" spans="1:5" x14ac:dyDescent="0.25">
      <c r="A1203">
        <v>62203295</v>
      </c>
      <c r="B1203" t="s">
        <v>1203</v>
      </c>
      <c r="E1203" t="str">
        <f>_xlfn.CONCAT($E$1,DO$2,$F$1)</f>
        <v>&lt;routeDistribution id="Market-22-to-21-EB-Sink-2014-RouteProbe"&gt;</v>
      </c>
    </row>
    <row r="1204" spans="1:5" x14ac:dyDescent="0.25">
      <c r="A1204">
        <v>62203295</v>
      </c>
      <c r="B1204" t="s">
        <v>1216</v>
      </c>
      <c r="E1204" t="str">
        <f>IF(OR(E1203="&lt;/routeDistribution&gt;",E1203=""),"",IFERROR(_xlfn.CONCAT(VLOOKUP(DO5,Route_Column!#REF!,2,FALSE),CHAR(34)," probability=",CHAR(34),1/DO$4,CHAR(34),CHAR(47),CHAR(62)),"&lt;/routeDistribution&gt;"))</f>
        <v>&lt;/routeDistribution&gt;</v>
      </c>
    </row>
    <row r="1205" spans="1:5" x14ac:dyDescent="0.25">
      <c r="A1205">
        <v>62203295</v>
      </c>
      <c r="B1205" t="s">
        <v>1220</v>
      </c>
      <c r="E1205" t="str">
        <f>IF(OR(E1204="&lt;/routeDistribution&gt;",E1204=""),"",IFERROR(_xlfn.CONCAT(VLOOKUP(DO6,Route_Column!#REF!,2,FALSE),CHAR(34)," probability=",CHAR(34),1/DO$4,CHAR(34),CHAR(47),CHAR(62)),"&lt;/routeDistribution&gt;"))</f>
        <v/>
      </c>
    </row>
    <row r="1206" spans="1:5" x14ac:dyDescent="0.25">
      <c r="A1206">
        <v>62203295</v>
      </c>
      <c r="B1206" t="s">
        <v>1229</v>
      </c>
      <c r="E1206" t="str">
        <f>IF(OR(E1205="&lt;/routeDistribution&gt;",E1205=""),"",IFERROR(_xlfn.CONCAT(VLOOKUP(DO7,Route_Column!#REF!,2,FALSE),CHAR(34)," probability=",CHAR(34),1/DO$4,CHAR(34),CHAR(47),CHAR(62)),"&lt;/routeDistribution&gt;"))</f>
        <v/>
      </c>
    </row>
    <row r="1207" spans="1:5" x14ac:dyDescent="0.25">
      <c r="A1207">
        <v>63060727</v>
      </c>
      <c r="B1207" t="s">
        <v>1113</v>
      </c>
      <c r="E1207" t="str">
        <f>IF(OR(E1206="&lt;/routeDistribution&gt;",E1206=""),"",IFERROR(_xlfn.CONCAT(VLOOKUP(DO8,Route_Column!#REF!,2,FALSE),CHAR(34)," probability=",CHAR(34),1/DO$4,CHAR(34),CHAR(47),CHAR(62)),"&lt;/routeDistribution&gt;"))</f>
        <v/>
      </c>
    </row>
    <row r="1208" spans="1:5" x14ac:dyDescent="0.25">
      <c r="A1208">
        <v>63060727</v>
      </c>
      <c r="B1208" t="s">
        <v>1114</v>
      </c>
      <c r="E1208" t="str">
        <f>IF(OR(E1207="&lt;/routeDistribution&gt;",E1207=""),"",IFERROR(_xlfn.CONCAT(VLOOKUP(DO9,Route_Column!#REF!,2,FALSE),CHAR(34)," probability=",CHAR(34),1/DO$4,CHAR(34),CHAR(47),CHAR(62)),"&lt;/routeDistribution&gt;"))</f>
        <v/>
      </c>
    </row>
    <row r="1209" spans="1:5" x14ac:dyDescent="0.25">
      <c r="A1209">
        <v>63060727</v>
      </c>
      <c r="B1209" t="s">
        <v>1115</v>
      </c>
      <c r="E1209" t="str">
        <f>IF(OR(E1208="&lt;/routeDistribution&gt;",E1208=""),"",IFERROR(_xlfn.CONCAT(VLOOKUP(DO10,Route_Column!#REF!,2,FALSE),CHAR(34)," probability=",CHAR(34),1/DO$4,CHAR(34),CHAR(47),CHAR(62)),"&lt;/routeDistribution&gt;"))</f>
        <v/>
      </c>
    </row>
    <row r="1210" spans="1:5" x14ac:dyDescent="0.25">
      <c r="A1210">
        <v>63060727</v>
      </c>
      <c r="B1210" t="s">
        <v>1133</v>
      </c>
      <c r="E1210" t="str">
        <f>IF(OR(E1209="&lt;/routeDistribution&gt;",E1209=""),"",IFERROR(_xlfn.CONCAT(VLOOKUP(DO11,Route_Column!#REF!,2,FALSE),CHAR(34)," probability=",CHAR(34),1/DO$4,CHAR(34),CHAR(47),CHAR(62)),"&lt;/routeDistribution&gt;"))</f>
        <v/>
      </c>
    </row>
    <row r="1211" spans="1:5" x14ac:dyDescent="0.25">
      <c r="A1211">
        <v>63060727</v>
      </c>
      <c r="B1211" t="s">
        <v>1166</v>
      </c>
      <c r="E1211" t="str">
        <f>IF(OR(E1210="&lt;/routeDistribution&gt;",E1210=""),"",IFERROR(_xlfn.CONCAT(VLOOKUP(DO12,Route_Column!#REF!,2,FALSE),CHAR(34)," probability=",CHAR(34),1/DO$4,CHAR(34),CHAR(47),CHAR(62)),"&lt;/routeDistribution&gt;"))</f>
        <v/>
      </c>
    </row>
    <row r="1212" spans="1:5" x14ac:dyDescent="0.25">
      <c r="A1212">
        <v>63060727</v>
      </c>
      <c r="B1212" t="s">
        <v>1167</v>
      </c>
      <c r="E1212" t="str">
        <f>IF(OR(E1211="&lt;/routeDistribution&gt;",E1211=""),"",IFERROR(_xlfn.CONCAT(VLOOKUP(DO13,Route_Column!#REF!,2,FALSE),CHAR(34)," probability=",CHAR(34),1/DO$4,CHAR(34),CHAR(47),CHAR(62)),"&lt;/routeDistribution&gt;"))</f>
        <v/>
      </c>
    </row>
    <row r="1213" spans="1:5" x14ac:dyDescent="0.25">
      <c r="A1213">
        <v>63060727</v>
      </c>
      <c r="B1213" t="s">
        <v>1168</v>
      </c>
      <c r="E1213" t="str">
        <f>IF(OR(E1212="&lt;/routeDistribution&gt;",E1212=""),"",IFERROR(_xlfn.CONCAT(VLOOKUP(DO14,Route_Column!#REF!,2,FALSE),CHAR(34)," probability=",CHAR(34),1/DO$4,CHAR(34),CHAR(47),CHAR(62)),"&lt;/routeDistribution&gt;"))</f>
        <v/>
      </c>
    </row>
    <row r="1214" spans="1:5" x14ac:dyDescent="0.25">
      <c r="A1214">
        <v>63060727</v>
      </c>
      <c r="B1214" t="s">
        <v>1186</v>
      </c>
      <c r="E1214" t="str">
        <f>IF(OR(E1213="&lt;/routeDistribution&gt;",E1213=""),"",IFERROR(_xlfn.CONCAT(VLOOKUP(DO15,Route_Column!#REF!,2,FALSE),CHAR(34)," probability=",CHAR(34),1/DO$4,CHAR(34),CHAR(47),CHAR(62)),"&lt;/routeDistribution&gt;"))</f>
        <v/>
      </c>
    </row>
    <row r="1215" spans="1:5" x14ac:dyDescent="0.25">
      <c r="A1215">
        <v>63060727</v>
      </c>
      <c r="B1215" t="s">
        <v>1187</v>
      </c>
      <c r="E1215" t="str">
        <f>IF(OR(E1214="&lt;/routeDistribution&gt;",E1214=""),"",IFERROR(_xlfn.CONCAT(VLOOKUP(DO16,Route_Column!#REF!,2,FALSE),CHAR(34)," probability=",CHAR(34),1/DO$4,CHAR(34),CHAR(47),CHAR(62)),"&lt;/routeDistribution&gt;"))</f>
        <v/>
      </c>
    </row>
    <row r="1216" spans="1:5" x14ac:dyDescent="0.25">
      <c r="A1216">
        <v>63060727</v>
      </c>
      <c r="B1216" t="s">
        <v>1188</v>
      </c>
      <c r="E1216" t="str">
        <f>IF(OR(E1215="&lt;/routeDistribution&gt;",E1215=""),"",IFERROR(_xlfn.CONCAT(VLOOKUP(DO17,Route_Column!#REF!,2,FALSE),CHAR(34)," probability=",CHAR(34),1/DO$4,CHAR(34),CHAR(47),CHAR(62)),"&lt;/routeDistribution&gt;"))</f>
        <v/>
      </c>
    </row>
    <row r="1217" spans="1:5" x14ac:dyDescent="0.25">
      <c r="A1217">
        <v>63060727</v>
      </c>
      <c r="B1217" t="s">
        <v>1189</v>
      </c>
      <c r="E1217" t="str">
        <f>IF(OR(E1216="&lt;/routeDistribution&gt;",E1216=""),"",IFERROR(_xlfn.CONCAT(VLOOKUP(DO18,Route_Column!#REF!,2,FALSE),CHAR(34)," probability=",CHAR(34),1/DO$4,CHAR(34),CHAR(47),CHAR(62)),"&lt;/routeDistribution&gt;"))</f>
        <v/>
      </c>
    </row>
    <row r="1218" spans="1:5" x14ac:dyDescent="0.25">
      <c r="A1218">
        <v>63060727</v>
      </c>
      <c r="B1218" t="s">
        <v>1195</v>
      </c>
      <c r="E1218" t="str">
        <f>IF(OR(E1217="&lt;/routeDistribution&gt;",E1217=""),"",IFERROR(_xlfn.CONCAT(VLOOKUP(DO19,Route_Column!#REF!,2,FALSE),CHAR(34)," probability=",CHAR(34),1/DO$4,CHAR(34),CHAR(47),CHAR(62)),"&lt;/routeDistribution&gt;"))</f>
        <v/>
      </c>
    </row>
    <row r="1219" spans="1:5" x14ac:dyDescent="0.25">
      <c r="A1219">
        <v>63060727</v>
      </c>
      <c r="B1219" t="s">
        <v>1196</v>
      </c>
      <c r="E1219" t="str">
        <f>IF(OR(E1218="&lt;/routeDistribution&gt;",E1218=""),"",IFERROR(_xlfn.CONCAT(VLOOKUP(DO20,Route_Column!#REF!,2,FALSE),CHAR(34)," probability=",CHAR(34),1/DO$4,CHAR(34),CHAR(47),CHAR(62)),"&lt;/routeDistribution&gt;"))</f>
        <v/>
      </c>
    </row>
    <row r="1220" spans="1:5" x14ac:dyDescent="0.25">
      <c r="A1220">
        <v>101350669</v>
      </c>
      <c r="B1220" t="s">
        <v>1100</v>
      </c>
      <c r="E1220" t="str">
        <f>IF(OR(E1219="&lt;/routeDistribution&gt;",E1219=""),"",IFERROR(_xlfn.CONCAT(VLOOKUP(DO21,Route_Column!#REF!,2,FALSE),CHAR(34)," probability=",CHAR(34),1/DO$4,CHAR(34),CHAR(47),CHAR(62)),"&lt;/routeDistribution&gt;"))</f>
        <v/>
      </c>
    </row>
    <row r="1221" spans="1:5" x14ac:dyDescent="0.25">
      <c r="A1221">
        <v>101350669</v>
      </c>
      <c r="B1221" t="s">
        <v>1101</v>
      </c>
      <c r="E1221" t="str">
        <f>IF(OR(E1220="&lt;/routeDistribution&gt;",E1220=""),"",IFERROR(_xlfn.CONCAT(VLOOKUP(DO22,Route_Column!#REF!,2,FALSE),CHAR(34)," probability=",CHAR(34),1/DO$4,CHAR(34),CHAR(47),CHAR(62)),"&lt;/routeDistribution&gt;"))</f>
        <v/>
      </c>
    </row>
    <row r="1222" spans="1:5" x14ac:dyDescent="0.25">
      <c r="A1222">
        <v>101350669</v>
      </c>
      <c r="B1222" t="s">
        <v>1104</v>
      </c>
      <c r="E1222" t="str">
        <f>IF(OR(E1221="&lt;/routeDistribution&gt;",E1221=""),"",IFERROR(_xlfn.CONCAT(VLOOKUP(DO23,Route_Column!#REF!,2,FALSE),CHAR(34)," probability=",CHAR(34),1/DO$4,CHAR(34),CHAR(47),CHAR(62)),"&lt;/routeDistribution&gt;"))</f>
        <v/>
      </c>
    </row>
    <row r="1223" spans="1:5" x14ac:dyDescent="0.25">
      <c r="A1223">
        <v>101350669</v>
      </c>
      <c r="B1223" t="s">
        <v>1105</v>
      </c>
      <c r="E1223" t="str">
        <f>IF(OR(E1222="&lt;/routeDistribution&gt;",E1222=""),"",IFERROR(_xlfn.CONCAT(VLOOKUP(DO24,Route_Column!#REF!,2,FALSE),CHAR(34)," probability=",CHAR(34),1/DO$4,CHAR(34),CHAR(47),CHAR(62)),"&lt;/routeDistribution&gt;"))</f>
        <v/>
      </c>
    </row>
    <row r="1224" spans="1:5" x14ac:dyDescent="0.25">
      <c r="A1224">
        <v>101350669</v>
      </c>
      <c r="B1224" t="s">
        <v>1116</v>
      </c>
      <c r="E1224" t="str">
        <f>IF(OR(E1223="&lt;/routeDistribution&gt;",E1223=""),"",IFERROR(_xlfn.CONCAT(VLOOKUP(DO25,Route_Column!#REF!,2,FALSE),CHAR(34)," probability=",CHAR(34),1/DO$4,CHAR(34),CHAR(47),CHAR(62)),"&lt;/routeDistribution&gt;"))</f>
        <v/>
      </c>
    </row>
    <row r="1225" spans="1:5" x14ac:dyDescent="0.25">
      <c r="A1225">
        <v>101350669</v>
      </c>
      <c r="B1225" t="s">
        <v>1117</v>
      </c>
      <c r="E1225" t="str">
        <f>IF(OR(E1224="&lt;/routeDistribution&gt;",E1224=""),"",IFERROR(_xlfn.CONCAT(VLOOKUP(DO26,Route_Column!#REF!,2,FALSE),CHAR(34)," probability=",CHAR(34),1/DO$4,CHAR(34),CHAR(47),CHAR(62)),"&lt;/routeDistribution&gt;"))</f>
        <v/>
      </c>
    </row>
    <row r="1226" spans="1:5" x14ac:dyDescent="0.25">
      <c r="A1226">
        <v>101350669</v>
      </c>
      <c r="B1226" t="s">
        <v>1118</v>
      </c>
      <c r="E1226" t="str">
        <f>IF(OR(E1225="&lt;/routeDistribution&gt;",E1225=""),"",IFERROR(_xlfn.CONCAT(VLOOKUP(DO27,Route_Column!#REF!,2,FALSE),CHAR(34)," probability=",CHAR(34),1/DO$4,CHAR(34),CHAR(47),CHAR(62)),"&lt;/routeDistribution&gt;"))</f>
        <v/>
      </c>
    </row>
    <row r="1227" spans="1:5" x14ac:dyDescent="0.25">
      <c r="A1227">
        <v>101350669</v>
      </c>
      <c r="B1227" t="s">
        <v>1164</v>
      </c>
      <c r="E1227" t="str">
        <f>IF(OR(E1226="&lt;/routeDistribution&gt;",E1226=""),"",IFERROR(_xlfn.CONCAT(VLOOKUP(DO28,Route_Column!#REF!,2,FALSE),CHAR(34)," probability=",CHAR(34),1/DO$4,CHAR(34),CHAR(47),CHAR(62)),"&lt;/routeDistribution&gt;"))</f>
        <v/>
      </c>
    </row>
    <row r="1228" spans="1:5" x14ac:dyDescent="0.25">
      <c r="A1228">
        <v>101350669</v>
      </c>
      <c r="B1228" t="s">
        <v>1223</v>
      </c>
      <c r="E1228" t="str">
        <f>IF(OR(E1227="&lt;/routeDistribution&gt;",E1227=""),"",IFERROR(_xlfn.CONCAT(VLOOKUP(DO29,Route_Column!#REF!,2,FALSE),CHAR(34)," probability=",CHAR(34),1/DO$4,CHAR(34),CHAR(47),CHAR(62)),"&lt;/routeDistribution&gt;"))</f>
        <v/>
      </c>
    </row>
    <row r="1229" spans="1:5" x14ac:dyDescent="0.25">
      <c r="A1229">
        <v>101350669</v>
      </c>
      <c r="B1229" t="s">
        <v>1235</v>
      </c>
      <c r="E1229" t="str">
        <f>IF(OR(E1228="&lt;/routeDistribution&gt;",E1228=""),"",IFERROR(_xlfn.CONCAT(VLOOKUP(DO30,Route_Column!#REF!,2,FALSE),CHAR(34)," probability=",CHAR(34),1/DO$4,CHAR(34),CHAR(47),CHAR(62)),"&lt;/routeDistribution&gt;"))</f>
        <v/>
      </c>
    </row>
    <row r="1230" spans="1:5" x14ac:dyDescent="0.25">
      <c r="A1230">
        <v>101350669</v>
      </c>
      <c r="B1230" t="s">
        <v>1236</v>
      </c>
      <c r="E1230" t="str">
        <f>IF(OR(E1229="&lt;/routeDistribution&gt;",E1229=""),"",IFERROR(_xlfn.CONCAT(VLOOKUP(DO31,Route_Column!#REF!,2,FALSE),CHAR(34)," probability=",CHAR(34),1/DO$4,CHAR(34),CHAR(47),CHAR(62)),"&lt;/routeDistribution&gt;"))</f>
        <v/>
      </c>
    </row>
    <row r="1231" spans="1:5" x14ac:dyDescent="0.25">
      <c r="A1231">
        <v>101350669</v>
      </c>
      <c r="B1231" t="s">
        <v>1239</v>
      </c>
      <c r="E1231" t="str">
        <f>IF(OR(E1230="&lt;/routeDistribution&gt;",E1230=""),"",IFERROR(_xlfn.CONCAT(VLOOKUP(DO32,Route_Column!#REF!,2,FALSE),CHAR(34)," probability=",CHAR(34),1/DO$4,CHAR(34),CHAR(47),CHAR(62)),"&lt;/routeDistribution&gt;"))</f>
        <v/>
      </c>
    </row>
    <row r="1232" spans="1:5" x14ac:dyDescent="0.25">
      <c r="A1232">
        <v>101350669</v>
      </c>
      <c r="B1232" t="s">
        <v>1240</v>
      </c>
      <c r="E1232" t="str">
        <f>IF(OR(E1231="&lt;/routeDistribution&gt;",E1231=""),"",IFERROR(_xlfn.CONCAT(VLOOKUP(DO33,Route_Column!#REF!,2,FALSE),CHAR(34)," probability=",CHAR(34),1/DO$4,CHAR(34),CHAR(47),CHAR(62)),"&lt;/routeDistribution&gt;"))</f>
        <v/>
      </c>
    </row>
    <row r="1233" spans="1:5" x14ac:dyDescent="0.25">
      <c r="A1233">
        <v>104524021</v>
      </c>
      <c r="B1233" t="s">
        <v>1108</v>
      </c>
      <c r="E1233" t="str">
        <f>IF(OR(E1232="&lt;/routeDistribution&gt;",E1232=""),"",IFERROR(_xlfn.CONCAT(VLOOKUP(DO34,Route_Column!#REF!,2,FALSE),CHAR(34)," probability=",CHAR(34),1/DO$4,CHAR(34),CHAR(47),CHAR(62)),"&lt;/routeDistribution&gt;"))</f>
        <v/>
      </c>
    </row>
    <row r="1234" spans="1:5" x14ac:dyDescent="0.25">
      <c r="A1234">
        <v>104524021</v>
      </c>
      <c r="B1234" t="s">
        <v>1160</v>
      </c>
      <c r="E1234" t="str">
        <f>IF(OR(E1233="&lt;/routeDistribution&gt;",E1233=""),"",IFERROR(_xlfn.CONCAT(VLOOKUP(DO35,Route_Column!#REF!,2,FALSE),CHAR(34)," probability=",CHAR(34),1/DO$4,CHAR(34),CHAR(47),CHAR(62)),"&lt;/routeDistribution&gt;"))</f>
        <v/>
      </c>
    </row>
    <row r="1235" spans="1:5" x14ac:dyDescent="0.25">
      <c r="A1235">
        <v>104524021</v>
      </c>
      <c r="B1235" t="s">
        <v>1174</v>
      </c>
      <c r="E1235" t="str">
        <f>IF(OR(E1234="&lt;/routeDistribution&gt;",E1234=""),"",IFERROR(_xlfn.CONCAT(VLOOKUP(DO36,Route_Column!#REF!,2,FALSE),CHAR(34)," probability=",CHAR(34),1/DO$4,CHAR(34),CHAR(47),CHAR(62)),"&lt;/routeDistribution&gt;"))</f>
        <v/>
      </c>
    </row>
    <row r="1236" spans="1:5" x14ac:dyDescent="0.25">
      <c r="A1236">
        <v>104524021</v>
      </c>
      <c r="B1236" t="s">
        <v>1175</v>
      </c>
      <c r="E1236" t="str">
        <f>IF(OR(E1235="&lt;/routeDistribution&gt;",E1235=""),"",IFERROR(_xlfn.CONCAT(VLOOKUP(DO37,Route_Column!#REF!,2,FALSE),CHAR(34)," probability=",CHAR(34),1/DO$4,CHAR(34),CHAR(47),CHAR(62)),"&lt;/routeDistribution&gt;"))</f>
        <v/>
      </c>
    </row>
    <row r="1237" spans="1:5" x14ac:dyDescent="0.25">
      <c r="A1237">
        <v>104524021</v>
      </c>
      <c r="B1237" t="s">
        <v>1199</v>
      </c>
      <c r="E1237" t="str">
        <f>IF(OR(E1236="&lt;/routeDistribution&gt;",E1236=""),"",IFERROR(_xlfn.CONCAT(VLOOKUP(DO38,Route_Column!#REF!,2,FALSE),CHAR(34)," probability=",CHAR(34),1/DO$4,CHAR(34),CHAR(47),CHAR(62)),"&lt;/routeDistribution&gt;"))</f>
        <v/>
      </c>
    </row>
    <row r="1238" spans="1:5" x14ac:dyDescent="0.25">
      <c r="A1238">
        <v>104524021</v>
      </c>
      <c r="B1238" t="s">
        <v>1212</v>
      </c>
      <c r="E1238" t="str">
        <f>IF(OR(E1237="&lt;/routeDistribution&gt;",E1237=""),"",IFERROR(_xlfn.CONCAT(VLOOKUP(DO39,Route_Column!#REF!,2,FALSE),CHAR(34)," probability=",CHAR(34),1/DO$4,CHAR(34),CHAR(47),CHAR(62)),"&lt;/routeDistribution&gt;"))</f>
        <v/>
      </c>
    </row>
    <row r="1239" spans="1:5" x14ac:dyDescent="0.25">
      <c r="A1239">
        <v>104524021</v>
      </c>
      <c r="B1239" t="s">
        <v>1214</v>
      </c>
      <c r="E1239" t="str">
        <f>IF(OR(E1238="&lt;/routeDistribution&gt;",E1238=""),"",IFERROR(_xlfn.CONCAT(VLOOKUP(DO40,Route_Column!#REF!,2,FALSE),CHAR(34)," probability=",CHAR(34),1/DO$4,CHAR(34),CHAR(47),CHAR(62)),"&lt;/routeDistribution&gt;"))</f>
        <v/>
      </c>
    </row>
    <row r="1240" spans="1:5" x14ac:dyDescent="0.25">
      <c r="A1240">
        <v>104524021</v>
      </c>
      <c r="B1240" t="s">
        <v>1226</v>
      </c>
      <c r="E1240" t="str">
        <f>IF(OR(E1239="&lt;/routeDistribution&gt;",E1239=""),"",IFERROR(_xlfn.CONCAT(VLOOKUP(DO41,Route_Column!#REF!,2,FALSE),CHAR(34)," probability=",CHAR(34),1/DO$4,CHAR(34),CHAR(47),CHAR(62)),"&lt;/routeDistribution&gt;"))</f>
        <v/>
      </c>
    </row>
    <row r="1241" spans="1:5" x14ac:dyDescent="0.25">
      <c r="A1241">
        <v>104524021</v>
      </c>
      <c r="B1241" t="s">
        <v>1227</v>
      </c>
      <c r="E1241" t="str">
        <f>IF(OR(E1240="&lt;/routeDistribution&gt;",E1240=""),"",IFERROR(_xlfn.CONCAT(VLOOKUP(DO42,Route_Column!#REF!,2,FALSE),CHAR(34)," probability=",CHAR(34),1/DO$4,CHAR(34),CHAR(47),CHAR(62)),"&lt;/routeDistribution&gt;"))</f>
        <v/>
      </c>
    </row>
    <row r="1242" spans="1:5" x14ac:dyDescent="0.25">
      <c r="A1242">
        <v>104524021</v>
      </c>
      <c r="B1242" t="s">
        <v>1228</v>
      </c>
      <c r="E1242" t="str">
        <f>IF(OR(E1241="&lt;/routeDistribution&gt;",E1241=""),"",IFERROR(_xlfn.CONCAT(VLOOKUP(DO43,Route_Column!#REF!,2,FALSE),CHAR(34)," probability=",CHAR(34),1/DO$4,CHAR(34),CHAR(47),CHAR(62)),"&lt;/routeDistribution&gt;"))</f>
        <v/>
      </c>
    </row>
    <row r="1243" spans="1:5" x14ac:dyDescent="0.25">
      <c r="A1243">
        <v>104524021</v>
      </c>
      <c r="B1243" t="s">
        <v>1229</v>
      </c>
      <c r="E1243" t="str">
        <f>IF(OR(E1242="&lt;/routeDistribution&gt;",E1242=""),"",IFERROR(_xlfn.CONCAT(VLOOKUP(DO44,Route_Column!#REF!,2,FALSE),CHAR(34)," probability=",CHAR(34),1/DO$4,CHAR(34),CHAR(47),CHAR(62)),"&lt;/routeDistribution&gt;"))</f>
        <v/>
      </c>
    </row>
    <row r="1244" spans="1:5" x14ac:dyDescent="0.25">
      <c r="A1244">
        <v>104524021</v>
      </c>
      <c r="B1244" t="s">
        <v>1230</v>
      </c>
      <c r="E1244" t="str">
        <f>IF(OR(E1243="&lt;/routeDistribution&gt;",E1243=""),"",IFERROR(_xlfn.CONCAT(VLOOKUP(DO45,Route_Column!#REF!,2,FALSE),CHAR(34)," probability=",CHAR(34),1/DO$4,CHAR(34),CHAR(47),CHAR(62)),"&lt;/routeDistribution&gt;"))</f>
        <v/>
      </c>
    </row>
    <row r="1245" spans="1:5" x14ac:dyDescent="0.25">
      <c r="A1245">
        <v>104524021</v>
      </c>
      <c r="B1245" t="s">
        <v>1231</v>
      </c>
      <c r="E1245" t="str">
        <f>IF(OR(E1244="&lt;/routeDistribution&gt;",E1244=""),"",IFERROR(_xlfn.CONCAT(VLOOKUP(DO46,Route_Column!#REF!,2,FALSE),CHAR(34)," probability=",CHAR(34),1/DO$4,CHAR(34),CHAR(47),CHAR(62)),"&lt;/routeDistribution&gt;"))</f>
        <v/>
      </c>
    </row>
    <row r="1246" spans="1:5" x14ac:dyDescent="0.25">
      <c r="A1246">
        <v>104524021</v>
      </c>
      <c r="B1246" t="s">
        <v>1232</v>
      </c>
      <c r="E1246" t="str">
        <f>IF(OR(E1245="&lt;/routeDistribution&gt;",E1245=""),"",IFERROR(_xlfn.CONCAT(VLOOKUP(DO47,Route_Column!#REF!,2,FALSE),CHAR(34)," probability=",CHAR(34),1/DO$4,CHAR(34),CHAR(47),CHAR(62)),"&lt;/routeDistribution&gt;"))</f>
        <v/>
      </c>
    </row>
    <row r="1247" spans="1:5" x14ac:dyDescent="0.25">
      <c r="A1247">
        <v>104524021</v>
      </c>
      <c r="B1247" t="s">
        <v>1233</v>
      </c>
      <c r="E1247" t="str">
        <f>IF(OR(E1246="&lt;/routeDistribution&gt;",E1246=""),"",IFERROR(_xlfn.CONCAT(VLOOKUP(DO48,Route_Column!#REF!,2,FALSE),CHAR(34)," probability=",CHAR(34),1/DO$4,CHAR(34),CHAR(47),CHAR(62)),"&lt;/routeDistribution&gt;"))</f>
        <v/>
      </c>
    </row>
    <row r="1248" spans="1:5" x14ac:dyDescent="0.25">
      <c r="A1248">
        <v>104524021</v>
      </c>
      <c r="B1248" t="s">
        <v>1233</v>
      </c>
      <c r="E1248" t="str">
        <f>IF(OR(E1247="&lt;/routeDistribution&gt;",E1247=""),"",IFERROR(_xlfn.CONCAT(VLOOKUP(DO49,Route_Column!#REF!,2,FALSE),CHAR(34)," probability=",CHAR(34),1/DO$4,CHAR(34),CHAR(47),CHAR(62)),"&lt;/routeDistribution&gt;"))</f>
        <v/>
      </c>
    </row>
    <row r="1249" spans="1:5" x14ac:dyDescent="0.25">
      <c r="A1249">
        <v>104524021</v>
      </c>
      <c r="B1249" t="s">
        <v>1234</v>
      </c>
      <c r="E1249" t="str">
        <f>IF(OR(E1248="&lt;/routeDistribution&gt;",E1248=""),"",IFERROR(_xlfn.CONCAT(VLOOKUP(DO50,Route_Column!#REF!,2,FALSE),CHAR(34)," probability=",CHAR(34),1/DO$4,CHAR(34),CHAR(47),CHAR(62)),"&lt;/routeDistribution&gt;"))</f>
        <v/>
      </c>
    </row>
    <row r="1250" spans="1:5" x14ac:dyDescent="0.25">
      <c r="A1250">
        <v>104524021</v>
      </c>
      <c r="B1250" t="s">
        <v>1235</v>
      </c>
      <c r="E1250" t="str">
        <f>IF(OR(E1249="&lt;/routeDistribution&gt;",E1249=""),"",IFERROR(_xlfn.CONCAT(VLOOKUP(DO51,Route_Column!#REF!,2,FALSE),CHAR(34)," probability=",CHAR(34),1/DO$4,CHAR(34),CHAR(47),CHAR(62)),"&lt;/routeDistribution&gt;"))</f>
        <v/>
      </c>
    </row>
    <row r="1251" spans="1:5" x14ac:dyDescent="0.25">
      <c r="A1251">
        <v>104524021</v>
      </c>
      <c r="B1251" t="s">
        <v>1236</v>
      </c>
      <c r="E1251" t="str">
        <f>IF(OR(E1250="&lt;/routeDistribution&gt;",E1250=""),"",IFERROR(_xlfn.CONCAT(VLOOKUP(DO52,Route_Column!#REF!,2,FALSE),CHAR(34)," probability=",CHAR(34),1/DO$4,CHAR(34),CHAR(47),CHAR(62)),"&lt;/routeDistribution&gt;"))</f>
        <v/>
      </c>
    </row>
    <row r="1252" spans="1:5" x14ac:dyDescent="0.25">
      <c r="A1252">
        <v>104524021</v>
      </c>
      <c r="B1252" t="s">
        <v>1237</v>
      </c>
      <c r="E1252" t="str">
        <f>IF(OR(E1251="&lt;/routeDistribution&gt;",E1251=""),"",IFERROR(_xlfn.CONCAT(VLOOKUP(DO53,Route_Column!#REF!,2,FALSE),CHAR(34)," probability=",CHAR(34),1/DO$4,CHAR(34),CHAR(47),CHAR(62)),"&lt;/routeDistribution&gt;"))</f>
        <v/>
      </c>
    </row>
    <row r="1253" spans="1:5" x14ac:dyDescent="0.25">
      <c r="A1253">
        <v>104524021</v>
      </c>
      <c r="B1253" t="s">
        <v>1238</v>
      </c>
      <c r="E1253" t="str">
        <f>IF(OR(E1252="&lt;/routeDistribution&gt;",E1252=""),"",IFERROR(_xlfn.CONCAT(VLOOKUP(DO54,Route_Column!#REF!,2,FALSE),CHAR(34)," probability=",CHAR(34),1/DO$4,CHAR(34),CHAR(47),CHAR(62)),"&lt;/routeDistribution&gt;"))</f>
        <v/>
      </c>
    </row>
    <row r="1254" spans="1:5" x14ac:dyDescent="0.25">
      <c r="A1254">
        <v>104524021</v>
      </c>
      <c r="B1254" t="s">
        <v>1239</v>
      </c>
      <c r="E1254" t="str">
        <f>IF(OR(E1253="&lt;/routeDistribution&gt;",E1253=""),"",IFERROR(_xlfn.CONCAT(VLOOKUP(DO55,Route_Column!#REF!,2,FALSE),CHAR(34)," probability=",CHAR(34),1/DO$4,CHAR(34),CHAR(47),CHAR(62)),"&lt;/routeDistribution&gt;"))</f>
        <v/>
      </c>
    </row>
    <row r="1255" spans="1:5" x14ac:dyDescent="0.25">
      <c r="A1255">
        <v>104524021</v>
      </c>
      <c r="B1255" t="s">
        <v>1240</v>
      </c>
      <c r="E1255" t="str">
        <f>IF(OR(E1254="&lt;/routeDistribution&gt;",E1254=""),"",IFERROR(_xlfn.CONCAT(VLOOKUP(DO56,Route_Column!#REF!,2,FALSE),CHAR(34)," probability=",CHAR(34),1/DO$4,CHAR(34),CHAR(47),CHAR(62)),"&lt;/routeDistribution&gt;"))</f>
        <v/>
      </c>
    </row>
    <row r="1256" spans="1:5" x14ac:dyDescent="0.25">
      <c r="A1256">
        <v>104524021</v>
      </c>
      <c r="B1256" t="s">
        <v>1241</v>
      </c>
      <c r="E1256" t="str">
        <f>IF(OR(E1255="&lt;/routeDistribution&gt;",E1255=""),"",IFERROR(_xlfn.CONCAT(VLOOKUP(DO57,Route_Column!#REF!,2,FALSE),CHAR(34)," probability=",CHAR(34),1/DO$4,CHAR(34),CHAR(47),CHAR(62)),"&lt;/routeDistribution&gt;"))</f>
        <v/>
      </c>
    </row>
    <row r="1257" spans="1:5" x14ac:dyDescent="0.25">
      <c r="A1257">
        <v>104524021</v>
      </c>
      <c r="B1257" t="s">
        <v>1242</v>
      </c>
      <c r="E1257" t="str">
        <f>IF(OR(E1256="&lt;/routeDistribution&gt;",E1256=""),"",IFERROR(_xlfn.CONCAT(VLOOKUP(DO58,Route_Column!#REF!,2,FALSE),CHAR(34)," probability=",CHAR(34),1/DO$4,CHAR(34),CHAR(47),CHAR(62)),"&lt;/routeDistribution&gt;"))</f>
        <v/>
      </c>
    </row>
    <row r="1258" spans="1:5" x14ac:dyDescent="0.25">
      <c r="A1258">
        <v>104524021</v>
      </c>
      <c r="B1258" t="s">
        <v>1243</v>
      </c>
      <c r="E1258" t="str">
        <f>IF(OR(E1257="&lt;/routeDistribution&gt;",E1257=""),"",IFERROR(_xlfn.CONCAT(VLOOKUP(DO59,Route_Column!#REF!,2,FALSE),CHAR(34)," probability=",CHAR(34),1/DO$4,CHAR(34),CHAR(47),CHAR(62)),"&lt;/routeDistribution&gt;"))</f>
        <v/>
      </c>
    </row>
    <row r="1259" spans="1:5" x14ac:dyDescent="0.25">
      <c r="A1259">
        <v>104524021</v>
      </c>
      <c r="B1259" t="s">
        <v>1244</v>
      </c>
      <c r="E1259" t="str">
        <f>IF(OR(E1258="&lt;/routeDistribution&gt;",E1258=""),"",IFERROR(_xlfn.CONCAT(VLOOKUP(DO60,Route_Column!#REF!,2,FALSE),CHAR(34)," probability=",CHAR(34),1/DO$4,CHAR(34),CHAR(47),CHAR(62)),"&lt;/routeDistribution&gt;"))</f>
        <v/>
      </c>
    </row>
    <row r="1260" spans="1:5" x14ac:dyDescent="0.25">
      <c r="A1260">
        <v>104524021</v>
      </c>
      <c r="B1260" t="s">
        <v>1245</v>
      </c>
      <c r="E1260" t="str">
        <f>IF(OR(E1259="&lt;/routeDistribution&gt;",E1259=""),"",IFERROR(_xlfn.CONCAT(VLOOKUP(DO61,Route_Column!#REF!,2,FALSE),CHAR(34)," probability=",CHAR(34),1/DO$4,CHAR(34),CHAR(47),CHAR(62)),"&lt;/routeDistribution&gt;"))</f>
        <v/>
      </c>
    </row>
    <row r="1261" spans="1:5" x14ac:dyDescent="0.25">
      <c r="A1261">
        <v>104524021</v>
      </c>
      <c r="B1261" t="s">
        <v>1246</v>
      </c>
      <c r="E1261" t="str">
        <f>IF(OR(E1260="&lt;/routeDistribution&gt;",E1260=""),"",IFERROR(_xlfn.CONCAT(VLOOKUP(DO62,Route_Column!#REF!,2,FALSE),CHAR(34)," probability=",CHAR(34),1/DO$4,CHAR(34),CHAR(47),CHAR(62)),"&lt;/routeDistribution&gt;"))</f>
        <v/>
      </c>
    </row>
    <row r="1262" spans="1:5" x14ac:dyDescent="0.25">
      <c r="A1262">
        <v>104524021</v>
      </c>
      <c r="B1262" t="s">
        <v>1247</v>
      </c>
      <c r="E1262" t="str">
        <f>IF(OR(E1261="&lt;/routeDistribution&gt;",E1261=""),"",IFERROR(_xlfn.CONCAT(VLOOKUP(DO63,Route_Column!#REF!,2,FALSE),CHAR(34)," probability=",CHAR(34),1/DO$4,CHAR(34),CHAR(47),CHAR(62)),"&lt;/routeDistribution&gt;"))</f>
        <v/>
      </c>
    </row>
    <row r="1263" spans="1:5" x14ac:dyDescent="0.25">
      <c r="A1263">
        <v>104524021</v>
      </c>
      <c r="B1263" t="s">
        <v>1248</v>
      </c>
      <c r="E1263" t="s">
        <v>2686</v>
      </c>
    </row>
    <row r="1264" spans="1:5" x14ac:dyDescent="0.25">
      <c r="A1264">
        <v>104524021</v>
      </c>
      <c r="B1264" t="s">
        <v>1249</v>
      </c>
    </row>
    <row r="1265" spans="1:5" x14ac:dyDescent="0.25">
      <c r="A1265">
        <v>104524021</v>
      </c>
      <c r="B1265" t="s">
        <v>1250</v>
      </c>
    </row>
    <row r="1266" spans="1:5" x14ac:dyDescent="0.25">
      <c r="A1266">
        <v>104524021</v>
      </c>
      <c r="B1266" t="s">
        <v>1251</v>
      </c>
      <c r="E1266" t="str">
        <f>_xlfn.CONCAT($E$1,DN$2,$F$1)</f>
        <v>&lt;routeDistribution id="Chestnut-22nd-to-20th-EB-2013-RouteProbe"&gt;</v>
      </c>
    </row>
    <row r="1267" spans="1:5" x14ac:dyDescent="0.25">
      <c r="A1267">
        <v>104524021</v>
      </c>
      <c r="B1267" t="s">
        <v>1252</v>
      </c>
      <c r="E1267" t="str">
        <f>IF(OR(E1266="&lt;/routeDistribution&gt;",E1266=""),"",IFERROR(_xlfn.CONCAT(VLOOKUP(DN5,Route_Column!#REF!,2,FALSE),CHAR(34)," probability=",CHAR(34),1/DN$4,CHAR(34),CHAR(47),CHAR(62)),"&lt;/routeDistribution&gt;"))</f>
        <v>&lt;/routeDistribution&gt;</v>
      </c>
    </row>
    <row r="1268" spans="1:5" x14ac:dyDescent="0.25">
      <c r="A1268">
        <v>104526276</v>
      </c>
      <c r="B1268" t="s">
        <v>1094</v>
      </c>
      <c r="E1268" t="str">
        <f>IF(OR(E1267="&lt;/routeDistribution&gt;",E1267=""),"",IFERROR(_xlfn.CONCAT(VLOOKUP(DN6,Route_Column!#REF!,2,FALSE),CHAR(34)," probability=",CHAR(34),1/DN$4,CHAR(34),CHAR(47),CHAR(62)),"&lt;/routeDistribution&gt;"))</f>
        <v/>
      </c>
    </row>
    <row r="1269" spans="1:5" x14ac:dyDescent="0.25">
      <c r="A1269">
        <v>104526276</v>
      </c>
      <c r="B1269" t="s">
        <v>1151</v>
      </c>
      <c r="E1269" t="str">
        <f>IF(OR(E1268="&lt;/routeDistribution&gt;",E1268=""),"",IFERROR(_xlfn.CONCAT(VLOOKUP(DN7,Route_Column!#REF!,2,FALSE),CHAR(34)," probability=",CHAR(34),1/DN$4,CHAR(34),CHAR(47),CHAR(62)),"&lt;/routeDistribution&gt;"))</f>
        <v/>
      </c>
    </row>
    <row r="1270" spans="1:5" x14ac:dyDescent="0.25">
      <c r="A1270">
        <v>104526276</v>
      </c>
      <c r="B1270" t="s">
        <v>1159</v>
      </c>
      <c r="E1270" t="str">
        <f>IF(OR(E1269="&lt;/routeDistribution&gt;",E1269=""),"",IFERROR(_xlfn.CONCAT(VLOOKUP(DN8,Route_Column!#REF!,2,FALSE),CHAR(34)," probability=",CHAR(34),1/DN$4,CHAR(34),CHAR(47),CHAR(62)),"&lt;/routeDistribution&gt;"))</f>
        <v/>
      </c>
    </row>
    <row r="1271" spans="1:5" x14ac:dyDescent="0.25">
      <c r="A1271">
        <v>104526276</v>
      </c>
      <c r="B1271" t="s">
        <v>1179</v>
      </c>
      <c r="E1271" t="str">
        <f>IF(OR(E1270="&lt;/routeDistribution&gt;",E1270=""),"",IFERROR(_xlfn.CONCAT(VLOOKUP(DN9,Route_Column!#REF!,2,FALSE),CHAR(34)," probability=",CHAR(34),1/DN$4,CHAR(34),CHAR(47),CHAR(62)),"&lt;/routeDistribution&gt;"))</f>
        <v/>
      </c>
    </row>
    <row r="1272" spans="1:5" x14ac:dyDescent="0.25">
      <c r="A1272">
        <v>104526276</v>
      </c>
      <c r="B1272" t="s">
        <v>1190</v>
      </c>
      <c r="E1272" t="str">
        <f>IF(OR(E1271="&lt;/routeDistribution&gt;",E1271=""),"",IFERROR(_xlfn.CONCAT(VLOOKUP(DN10,Route_Column!#REF!,2,FALSE),CHAR(34)," probability=",CHAR(34),1/DN$4,CHAR(34),CHAR(47),CHAR(62)),"&lt;/routeDistribution&gt;"))</f>
        <v/>
      </c>
    </row>
    <row r="1273" spans="1:5" x14ac:dyDescent="0.25">
      <c r="A1273">
        <v>104526276</v>
      </c>
      <c r="B1273" t="s">
        <v>1208</v>
      </c>
      <c r="E1273" t="str">
        <f>IF(OR(E1272="&lt;/routeDistribution&gt;",E1272=""),"",IFERROR(_xlfn.CONCAT(VLOOKUP(DN11,Route_Column!#REF!,2,FALSE),CHAR(34)," probability=",CHAR(34),1/DN$4,CHAR(34),CHAR(47),CHAR(62)),"&lt;/routeDistribution&gt;"))</f>
        <v/>
      </c>
    </row>
    <row r="1274" spans="1:5" x14ac:dyDescent="0.25">
      <c r="A1274">
        <v>104526276</v>
      </c>
      <c r="B1274" t="s">
        <v>1209</v>
      </c>
      <c r="E1274" t="str">
        <f>IF(OR(E1273="&lt;/routeDistribution&gt;",E1273=""),"",IFERROR(_xlfn.CONCAT(VLOOKUP(DN12,Route_Column!#REF!,2,FALSE),CHAR(34)," probability=",CHAR(34),1/DN$4,CHAR(34),CHAR(47),CHAR(62)),"&lt;/routeDistribution&gt;"))</f>
        <v/>
      </c>
    </row>
    <row r="1275" spans="1:5" x14ac:dyDescent="0.25">
      <c r="A1275">
        <v>104526276</v>
      </c>
      <c r="B1275" t="s">
        <v>1210</v>
      </c>
      <c r="E1275" t="str">
        <f>IF(OR(E1274="&lt;/routeDistribution&gt;",E1274=""),"",IFERROR(_xlfn.CONCAT(VLOOKUP(DN13,Route_Column!#REF!,2,FALSE),CHAR(34)," probability=",CHAR(34),1/DN$4,CHAR(34),CHAR(47),CHAR(62)),"&lt;/routeDistribution&gt;"))</f>
        <v/>
      </c>
    </row>
    <row r="1276" spans="1:5" x14ac:dyDescent="0.25">
      <c r="A1276">
        <v>104526276</v>
      </c>
      <c r="B1276" t="s">
        <v>1211</v>
      </c>
      <c r="E1276" t="str">
        <f>IF(OR(E1275="&lt;/routeDistribution&gt;",E1275=""),"",IFERROR(_xlfn.CONCAT(VLOOKUP(DN14,Route_Column!#REF!,2,FALSE),CHAR(34)," probability=",CHAR(34),1/DN$4,CHAR(34),CHAR(47),CHAR(62)),"&lt;/routeDistribution&gt;"))</f>
        <v/>
      </c>
    </row>
    <row r="1277" spans="1:5" x14ac:dyDescent="0.25">
      <c r="A1277">
        <v>104526276</v>
      </c>
      <c r="B1277" t="s">
        <v>1212</v>
      </c>
      <c r="E1277" t="str">
        <f>IF(OR(E1276="&lt;/routeDistribution&gt;",E1276=""),"",IFERROR(_xlfn.CONCAT(VLOOKUP(DN15,Route_Column!#REF!,2,FALSE),CHAR(34)," probability=",CHAR(34),1/DN$4,CHAR(34),CHAR(47),CHAR(62)),"&lt;/routeDistribution&gt;"))</f>
        <v/>
      </c>
    </row>
    <row r="1278" spans="1:5" x14ac:dyDescent="0.25">
      <c r="A1278">
        <v>104526276</v>
      </c>
      <c r="B1278" t="s">
        <v>1234</v>
      </c>
      <c r="E1278" t="str">
        <f>IF(OR(E1277="&lt;/routeDistribution&gt;",E1277=""),"",IFERROR(_xlfn.CONCAT(VLOOKUP(DN16,Route_Column!#REF!,2,FALSE),CHAR(34)," probability=",CHAR(34),1/DN$4,CHAR(34),CHAR(47),CHAR(62)),"&lt;/routeDistribution&gt;"))</f>
        <v/>
      </c>
    </row>
    <row r="1279" spans="1:5" x14ac:dyDescent="0.25">
      <c r="A1279" s="13">
        <v>104526277</v>
      </c>
      <c r="B1279" t="s">
        <v>1091</v>
      </c>
      <c r="E1279" t="str">
        <f>IF(OR(E1278="&lt;/routeDistribution&gt;",E1278=""),"",IFERROR(_xlfn.CONCAT(VLOOKUP(DN17,Route_Column!#REF!,2,FALSE),CHAR(34)," probability=",CHAR(34),1/DN$4,CHAR(34),CHAR(47),CHAR(62)),"&lt;/routeDistribution&gt;"))</f>
        <v/>
      </c>
    </row>
    <row r="1280" spans="1:5" x14ac:dyDescent="0.25">
      <c r="A1280">
        <v>104526277</v>
      </c>
      <c r="B1280" t="s">
        <v>1093</v>
      </c>
      <c r="E1280" t="str">
        <f>IF(OR(E1279="&lt;/routeDistribution&gt;",E1279=""),"",IFERROR(_xlfn.CONCAT(VLOOKUP(DN18,Route_Column!#REF!,2,FALSE),CHAR(34)," probability=",CHAR(34),1/DN$4,CHAR(34),CHAR(47),CHAR(62)),"&lt;/routeDistribution&gt;"))</f>
        <v/>
      </c>
    </row>
    <row r="1281" spans="1:5" x14ac:dyDescent="0.25">
      <c r="A1281">
        <v>104526277</v>
      </c>
      <c r="B1281" t="s">
        <v>1108</v>
      </c>
      <c r="E1281" t="str">
        <f>IF(OR(E1280="&lt;/routeDistribution&gt;",E1280=""),"",IFERROR(_xlfn.CONCAT(VLOOKUP(DN19,Route_Column!#REF!,2,FALSE),CHAR(34)," probability=",CHAR(34),1/DN$4,CHAR(34),CHAR(47),CHAR(62)),"&lt;/routeDistribution&gt;"))</f>
        <v/>
      </c>
    </row>
    <row r="1282" spans="1:5" x14ac:dyDescent="0.25">
      <c r="A1282">
        <v>104526277</v>
      </c>
      <c r="B1282" t="s">
        <v>1140</v>
      </c>
      <c r="E1282" t="str">
        <f>IF(OR(E1281="&lt;/routeDistribution&gt;",E1281=""),"",IFERROR(_xlfn.CONCAT(VLOOKUP(DN20,Route_Column!#REF!,2,FALSE),CHAR(34)," probability=",CHAR(34),1/DN$4,CHAR(34),CHAR(47),CHAR(62)),"&lt;/routeDistribution&gt;"))</f>
        <v/>
      </c>
    </row>
    <row r="1283" spans="1:5" x14ac:dyDescent="0.25">
      <c r="A1283">
        <v>104526277</v>
      </c>
      <c r="B1283" t="s">
        <v>1141</v>
      </c>
      <c r="E1283" t="str">
        <f>IF(OR(E1282="&lt;/routeDistribution&gt;",E1282=""),"",IFERROR(_xlfn.CONCAT(VLOOKUP(DN21,Route_Column!#REF!,2,FALSE),CHAR(34)," probability=",CHAR(34),1/DN$4,CHAR(34),CHAR(47),CHAR(62)),"&lt;/routeDistribution&gt;"))</f>
        <v/>
      </c>
    </row>
    <row r="1284" spans="1:5" x14ac:dyDescent="0.25">
      <c r="A1284">
        <v>104526277</v>
      </c>
      <c r="B1284" t="s">
        <v>1142</v>
      </c>
      <c r="E1284" t="str">
        <f>IF(OR(E1283="&lt;/routeDistribution&gt;",E1283=""),"",IFERROR(_xlfn.CONCAT(VLOOKUP(DN22,Route_Column!#REF!,2,FALSE),CHAR(34)," probability=",CHAR(34),1/DN$4,CHAR(34),CHAR(47),CHAR(62)),"&lt;/routeDistribution&gt;"))</f>
        <v/>
      </c>
    </row>
    <row r="1285" spans="1:5" x14ac:dyDescent="0.25">
      <c r="A1285">
        <v>104526277</v>
      </c>
      <c r="B1285" t="s">
        <v>1150</v>
      </c>
      <c r="E1285" t="str">
        <f>IF(OR(E1284="&lt;/routeDistribution&gt;",E1284=""),"",IFERROR(_xlfn.CONCAT(VLOOKUP(DN23,Route_Column!#REF!,2,FALSE),CHAR(34)," probability=",CHAR(34),1/DN$4,CHAR(34),CHAR(47),CHAR(62)),"&lt;/routeDistribution&gt;"))</f>
        <v/>
      </c>
    </row>
    <row r="1286" spans="1:5" x14ac:dyDescent="0.25">
      <c r="A1286">
        <v>104526277</v>
      </c>
      <c r="B1286" t="s">
        <v>1155</v>
      </c>
      <c r="E1286" t="str">
        <f>IF(OR(E1285="&lt;/routeDistribution&gt;",E1285=""),"",IFERROR(_xlfn.CONCAT(VLOOKUP(DN24,Route_Column!#REF!,2,FALSE),CHAR(34)," probability=",CHAR(34),1/DN$4,CHAR(34),CHAR(47),CHAR(62)),"&lt;/routeDistribution&gt;"))</f>
        <v/>
      </c>
    </row>
    <row r="1287" spans="1:5" x14ac:dyDescent="0.25">
      <c r="A1287">
        <v>104526277</v>
      </c>
      <c r="B1287" t="s">
        <v>1156</v>
      </c>
      <c r="E1287" t="str">
        <f>IF(OR(E1286="&lt;/routeDistribution&gt;",E1286=""),"",IFERROR(_xlfn.CONCAT(VLOOKUP(DN25,Route_Column!#REF!,2,FALSE),CHAR(34)," probability=",CHAR(34),1/DN$4,CHAR(34),CHAR(47),CHAR(62)),"&lt;/routeDistribution&gt;"))</f>
        <v/>
      </c>
    </row>
    <row r="1288" spans="1:5" x14ac:dyDescent="0.25">
      <c r="A1288">
        <v>104526277</v>
      </c>
      <c r="B1288" t="s">
        <v>1157</v>
      </c>
      <c r="E1288" t="str">
        <f>IF(OR(E1287="&lt;/routeDistribution&gt;",E1287=""),"",IFERROR(_xlfn.CONCAT(VLOOKUP(DN26,Route_Column!#REF!,2,FALSE),CHAR(34)," probability=",CHAR(34),1/DN$4,CHAR(34),CHAR(47),CHAR(62)),"&lt;/routeDistribution&gt;"))</f>
        <v/>
      </c>
    </row>
    <row r="1289" spans="1:5" x14ac:dyDescent="0.25">
      <c r="A1289">
        <v>104526277</v>
      </c>
      <c r="B1289" t="s">
        <v>1158</v>
      </c>
      <c r="E1289" t="str">
        <f>IF(OR(E1288="&lt;/routeDistribution&gt;",E1288=""),"",IFERROR(_xlfn.CONCAT(VLOOKUP(DN27,Route_Column!#REF!,2,FALSE),CHAR(34)," probability=",CHAR(34),1/DN$4,CHAR(34),CHAR(47),CHAR(62)),"&lt;/routeDistribution&gt;"))</f>
        <v/>
      </c>
    </row>
    <row r="1290" spans="1:5" x14ac:dyDescent="0.25">
      <c r="A1290">
        <v>104526277</v>
      </c>
      <c r="B1290" t="s">
        <v>1160</v>
      </c>
      <c r="E1290" t="str">
        <f>IF(OR(E1289="&lt;/routeDistribution&gt;",E1289=""),"",IFERROR(_xlfn.CONCAT(VLOOKUP(DN28,Route_Column!#REF!,2,FALSE),CHAR(34)," probability=",CHAR(34),1/DN$4,CHAR(34),CHAR(47),CHAR(62)),"&lt;/routeDistribution&gt;"))</f>
        <v/>
      </c>
    </row>
    <row r="1291" spans="1:5" x14ac:dyDescent="0.25">
      <c r="A1291">
        <v>104526277</v>
      </c>
      <c r="B1291" t="s">
        <v>1174</v>
      </c>
      <c r="E1291" t="str">
        <f>IF(OR(E1290="&lt;/routeDistribution&gt;",E1290=""),"",IFERROR(_xlfn.CONCAT(VLOOKUP(DN29,Route_Column!#REF!,2,FALSE),CHAR(34)," probability=",CHAR(34),1/DN$4,CHAR(34),CHAR(47),CHAR(62)),"&lt;/routeDistribution&gt;"))</f>
        <v/>
      </c>
    </row>
    <row r="1292" spans="1:5" x14ac:dyDescent="0.25">
      <c r="A1292">
        <v>104526277</v>
      </c>
      <c r="B1292" t="s">
        <v>1175</v>
      </c>
      <c r="E1292" t="str">
        <f>IF(OR(E1291="&lt;/routeDistribution&gt;",E1291=""),"",IFERROR(_xlfn.CONCAT(VLOOKUP(DN30,Route_Column!#REF!,2,FALSE),CHAR(34)," probability=",CHAR(34),1/DN$4,CHAR(34),CHAR(47),CHAR(62)),"&lt;/routeDistribution&gt;"))</f>
        <v/>
      </c>
    </row>
    <row r="1293" spans="1:5" x14ac:dyDescent="0.25">
      <c r="A1293">
        <v>104526277</v>
      </c>
      <c r="B1293" t="s">
        <v>1176</v>
      </c>
      <c r="E1293" t="str">
        <f>IF(OR(E1292="&lt;/routeDistribution&gt;",E1292=""),"",IFERROR(_xlfn.CONCAT(VLOOKUP(DN31,Route_Column!#REF!,2,FALSE),CHAR(34)," probability=",CHAR(34),1/DN$4,CHAR(34),CHAR(47),CHAR(62)),"&lt;/routeDistribution&gt;"))</f>
        <v/>
      </c>
    </row>
    <row r="1294" spans="1:5" x14ac:dyDescent="0.25">
      <c r="A1294">
        <v>104526277</v>
      </c>
      <c r="B1294" t="s">
        <v>1177</v>
      </c>
      <c r="E1294" t="str">
        <f>IF(OR(E1293="&lt;/routeDistribution&gt;",E1293=""),"",IFERROR(_xlfn.CONCAT(VLOOKUP(DN32,Route_Column!#REF!,2,FALSE),CHAR(34)," probability=",CHAR(34),1/DN$4,CHAR(34),CHAR(47),CHAR(62)),"&lt;/routeDistribution&gt;"))</f>
        <v/>
      </c>
    </row>
    <row r="1295" spans="1:5" x14ac:dyDescent="0.25">
      <c r="A1295">
        <v>104526277</v>
      </c>
      <c r="B1295" t="s">
        <v>1178</v>
      </c>
      <c r="E1295" t="str">
        <f>IF(OR(E1294="&lt;/routeDistribution&gt;",E1294=""),"",IFERROR(_xlfn.CONCAT(VLOOKUP(DN33,Route_Column!#REF!,2,FALSE),CHAR(34)," probability=",CHAR(34),1/DN$4,CHAR(34),CHAR(47),CHAR(62)),"&lt;/routeDistribution&gt;"))</f>
        <v/>
      </c>
    </row>
    <row r="1296" spans="1:5" x14ac:dyDescent="0.25">
      <c r="A1296">
        <v>104526277</v>
      </c>
      <c r="B1296" t="s">
        <v>1179</v>
      </c>
      <c r="E1296" t="str">
        <f>IF(OR(E1295="&lt;/routeDistribution&gt;",E1295=""),"",IFERROR(_xlfn.CONCAT(VLOOKUP(DN34,Route_Column!#REF!,2,FALSE),CHAR(34)," probability=",CHAR(34),1/DN$4,CHAR(34),CHAR(47),CHAR(62)),"&lt;/routeDistribution&gt;"))</f>
        <v/>
      </c>
    </row>
    <row r="1297" spans="1:5" x14ac:dyDescent="0.25">
      <c r="A1297">
        <v>104526277</v>
      </c>
      <c r="B1297" t="s">
        <v>1184</v>
      </c>
      <c r="E1297" t="str">
        <f>IF(OR(E1296="&lt;/routeDistribution&gt;",E1296=""),"",IFERROR(_xlfn.CONCAT(VLOOKUP(DN35,Route_Column!#REF!,2,FALSE),CHAR(34)," probability=",CHAR(34),1/DN$4,CHAR(34),CHAR(47),CHAR(62)),"&lt;/routeDistribution&gt;"))</f>
        <v/>
      </c>
    </row>
    <row r="1298" spans="1:5" x14ac:dyDescent="0.25">
      <c r="A1298">
        <v>104526277</v>
      </c>
      <c r="B1298" t="s">
        <v>1206</v>
      </c>
      <c r="E1298" t="str">
        <f>IF(OR(E1297="&lt;/routeDistribution&gt;",E1297=""),"",IFERROR(_xlfn.CONCAT(VLOOKUP(DN36,Route_Column!#REF!,2,FALSE),CHAR(34)," probability=",CHAR(34),1/DN$4,CHAR(34),CHAR(47),CHAR(62)),"&lt;/routeDistribution&gt;"))</f>
        <v/>
      </c>
    </row>
    <row r="1299" spans="1:5" x14ac:dyDescent="0.25">
      <c r="A1299">
        <v>104526277</v>
      </c>
      <c r="B1299" t="s">
        <v>1207</v>
      </c>
      <c r="E1299" t="str">
        <f>IF(OR(E1298="&lt;/routeDistribution&gt;",E1298=""),"",IFERROR(_xlfn.CONCAT(VLOOKUP(DN37,Route_Column!#REF!,2,FALSE),CHAR(34)," probability=",CHAR(34),1/DN$4,CHAR(34),CHAR(47),CHAR(62)),"&lt;/routeDistribution&gt;"))</f>
        <v/>
      </c>
    </row>
    <row r="1300" spans="1:5" x14ac:dyDescent="0.25">
      <c r="A1300">
        <v>104526277</v>
      </c>
      <c r="B1300" t="s">
        <v>1233</v>
      </c>
      <c r="E1300" t="str">
        <f>IF(OR(E1299="&lt;/routeDistribution&gt;",E1299=""),"",IFERROR(_xlfn.CONCAT(VLOOKUP(DN38,Route_Column!#REF!,2,FALSE),CHAR(34)," probability=",CHAR(34),1/DN$4,CHAR(34),CHAR(47),CHAR(62)),"&lt;/routeDistribution&gt;"))</f>
        <v/>
      </c>
    </row>
    <row r="1301" spans="1:5" x14ac:dyDescent="0.25">
      <c r="A1301">
        <v>121319046</v>
      </c>
      <c r="B1301" t="s">
        <v>1102</v>
      </c>
      <c r="E1301" t="str">
        <f>IF(OR(E1300="&lt;/routeDistribution&gt;",E1300=""),"",IFERROR(_xlfn.CONCAT(VLOOKUP(DN39,Route_Column!#REF!,2,FALSE),CHAR(34)," probability=",CHAR(34),1/DN$4,CHAR(34),CHAR(47),CHAR(62)),"&lt;/routeDistribution&gt;"))</f>
        <v/>
      </c>
    </row>
    <row r="1302" spans="1:5" x14ac:dyDescent="0.25">
      <c r="A1302">
        <v>121319046</v>
      </c>
      <c r="B1302" t="s">
        <v>1110</v>
      </c>
      <c r="E1302" t="str">
        <f>IF(OR(E1301="&lt;/routeDistribution&gt;",E1301=""),"",IFERROR(_xlfn.CONCAT(VLOOKUP(DN40,Route_Column!#REF!,2,FALSE),CHAR(34)," probability=",CHAR(34),1/DN$4,CHAR(34),CHAR(47),CHAR(62)),"&lt;/routeDistribution&gt;"))</f>
        <v/>
      </c>
    </row>
    <row r="1303" spans="1:5" x14ac:dyDescent="0.25">
      <c r="A1303">
        <v>121319046</v>
      </c>
      <c r="B1303" t="s">
        <v>1196</v>
      </c>
      <c r="E1303" t="str">
        <f>IF(OR(E1302="&lt;/routeDistribution&gt;",E1302=""),"",IFERROR(_xlfn.CONCAT(VLOOKUP(DN41,Route_Column!#REF!,2,FALSE),CHAR(34)," probability=",CHAR(34),1/DN$4,CHAR(34),CHAR(47),CHAR(62)),"&lt;/routeDistribution&gt;"))</f>
        <v/>
      </c>
    </row>
    <row r="1304" spans="1:5" x14ac:dyDescent="0.25">
      <c r="A1304">
        <v>121319046</v>
      </c>
      <c r="B1304" t="s">
        <v>1201</v>
      </c>
      <c r="E1304" t="str">
        <f>IF(OR(E1303="&lt;/routeDistribution&gt;",E1303=""),"",IFERROR(_xlfn.CONCAT(VLOOKUP(DN42,Route_Column!#REF!,2,FALSE),CHAR(34)," probability=",CHAR(34),1/DN$4,CHAR(34),CHAR(47),CHAR(62)),"&lt;/routeDistribution&gt;"))</f>
        <v/>
      </c>
    </row>
    <row r="1305" spans="1:5" x14ac:dyDescent="0.25">
      <c r="A1305">
        <v>121319046</v>
      </c>
      <c r="B1305" t="s">
        <v>1206</v>
      </c>
      <c r="E1305" t="str">
        <f>IF(OR(E1304="&lt;/routeDistribution&gt;",E1304=""),"",IFERROR(_xlfn.CONCAT(VLOOKUP(DN43,Route_Column!#REF!,2,FALSE),CHAR(34)," probability=",CHAR(34),1/DN$4,CHAR(34),CHAR(47),CHAR(62)),"&lt;/routeDistribution&gt;"))</f>
        <v/>
      </c>
    </row>
    <row r="1306" spans="1:5" x14ac:dyDescent="0.25">
      <c r="A1306">
        <v>121643862</v>
      </c>
      <c r="B1306" t="s">
        <v>1108</v>
      </c>
      <c r="E1306" t="str">
        <f>IF(OR(E1305="&lt;/routeDistribution&gt;",E1305=""),"",IFERROR(_xlfn.CONCAT(VLOOKUP(DN44,Route_Column!#REF!,2,FALSE),CHAR(34)," probability=",CHAR(34),1/DN$4,CHAR(34),CHAR(47),CHAR(62)),"&lt;/routeDistribution&gt;"))</f>
        <v/>
      </c>
    </row>
    <row r="1307" spans="1:5" x14ac:dyDescent="0.25">
      <c r="A1307">
        <v>121643862</v>
      </c>
      <c r="B1307" t="s">
        <v>1160</v>
      </c>
      <c r="E1307" t="str">
        <f>IF(OR(E1306="&lt;/routeDistribution&gt;",E1306=""),"",IFERROR(_xlfn.CONCAT(VLOOKUP(DN45,Route_Column!#REF!,2,FALSE),CHAR(34)," probability=",CHAR(34),1/DN$4,CHAR(34),CHAR(47),CHAR(62)),"&lt;/routeDistribution&gt;"))</f>
        <v/>
      </c>
    </row>
    <row r="1308" spans="1:5" x14ac:dyDescent="0.25">
      <c r="A1308">
        <v>121643862</v>
      </c>
      <c r="B1308" t="s">
        <v>1174</v>
      </c>
      <c r="E1308" t="str">
        <f>IF(OR(E1307="&lt;/routeDistribution&gt;",E1307=""),"",IFERROR(_xlfn.CONCAT(VLOOKUP(DN46,Route_Column!#REF!,2,FALSE),CHAR(34)," probability=",CHAR(34),1/DN$4,CHAR(34),CHAR(47),CHAR(62)),"&lt;/routeDistribution&gt;"))</f>
        <v/>
      </c>
    </row>
    <row r="1309" spans="1:5" x14ac:dyDescent="0.25">
      <c r="A1309">
        <v>121643862</v>
      </c>
      <c r="B1309" t="s">
        <v>1199</v>
      </c>
      <c r="E1309" t="str">
        <f>IF(OR(E1308="&lt;/routeDistribution&gt;",E1308=""),"",IFERROR(_xlfn.CONCAT(VLOOKUP(DN47,Route_Column!#REF!,2,FALSE),CHAR(34)," probability=",CHAR(34),1/DN$4,CHAR(34),CHAR(47),CHAR(62)),"&lt;/routeDistribution&gt;"))</f>
        <v/>
      </c>
    </row>
    <row r="1310" spans="1:5" x14ac:dyDescent="0.25">
      <c r="A1310">
        <v>121643862</v>
      </c>
      <c r="B1310" t="s">
        <v>1200</v>
      </c>
      <c r="E1310" t="str">
        <f>IF(OR(E1309="&lt;/routeDistribution&gt;",E1309=""),"",IFERROR(_xlfn.CONCAT(VLOOKUP(DN48,Route_Column!#REF!,2,FALSE),CHAR(34)," probability=",CHAR(34),1/DN$4,CHAR(34),CHAR(47),CHAR(62)),"&lt;/routeDistribution&gt;"))</f>
        <v/>
      </c>
    </row>
    <row r="1311" spans="1:5" x14ac:dyDescent="0.25">
      <c r="A1311">
        <v>121643863</v>
      </c>
      <c r="B1311" t="s">
        <v>1108</v>
      </c>
      <c r="E1311" t="str">
        <f>IF(OR(E1310="&lt;/routeDistribution&gt;",E1310=""),"",IFERROR(_xlfn.CONCAT(VLOOKUP(DN49,Route_Column!#REF!,2,FALSE),CHAR(34)," probability=",CHAR(34),1/DN$4,CHAR(34),CHAR(47),CHAR(62)),"&lt;/routeDistribution&gt;"))</f>
        <v/>
      </c>
    </row>
    <row r="1312" spans="1:5" x14ac:dyDescent="0.25">
      <c r="A1312">
        <v>121643863</v>
      </c>
      <c r="B1312" t="s">
        <v>1160</v>
      </c>
      <c r="E1312" t="str">
        <f>IF(OR(E1311="&lt;/routeDistribution&gt;",E1311=""),"",IFERROR(_xlfn.CONCAT(VLOOKUP(DN50,Route_Column!#REF!,2,FALSE),CHAR(34)," probability=",CHAR(34),1/DN$4,CHAR(34),CHAR(47),CHAR(62)),"&lt;/routeDistribution&gt;"))</f>
        <v/>
      </c>
    </row>
    <row r="1313" spans="1:5" x14ac:dyDescent="0.25">
      <c r="A1313">
        <v>121643863</v>
      </c>
      <c r="B1313" t="s">
        <v>1174</v>
      </c>
      <c r="E1313" t="str">
        <f>IF(OR(E1312="&lt;/routeDistribution&gt;",E1312=""),"",IFERROR(_xlfn.CONCAT(VLOOKUP(DN51,Route_Column!#REF!,2,FALSE),CHAR(34)," probability=",CHAR(34),1/DN$4,CHAR(34),CHAR(47),CHAR(62)),"&lt;/routeDistribution&gt;"))</f>
        <v/>
      </c>
    </row>
    <row r="1314" spans="1:5" x14ac:dyDescent="0.25">
      <c r="A1314">
        <v>121643863</v>
      </c>
      <c r="B1314" t="s">
        <v>1199</v>
      </c>
      <c r="E1314" t="str">
        <f>IF(OR(E1313="&lt;/routeDistribution&gt;",E1313=""),"",IFERROR(_xlfn.CONCAT(VLOOKUP(DN52,Route_Column!#REF!,2,FALSE),CHAR(34)," probability=",CHAR(34),1/DN$4,CHAR(34),CHAR(47),CHAR(62)),"&lt;/routeDistribution&gt;"))</f>
        <v/>
      </c>
    </row>
    <row r="1315" spans="1:5" x14ac:dyDescent="0.25">
      <c r="A1315">
        <v>121643863</v>
      </c>
      <c r="B1315" t="s">
        <v>1200</v>
      </c>
      <c r="E1315" t="str">
        <f>IF(OR(E1314="&lt;/routeDistribution&gt;",E1314=""),"",IFERROR(_xlfn.CONCAT(VLOOKUP(DN53,Route_Column!#REF!,2,FALSE),CHAR(34)," probability=",CHAR(34),1/DN$4,CHAR(34),CHAR(47),CHAR(62)),"&lt;/routeDistribution&gt;"))</f>
        <v/>
      </c>
    </row>
    <row r="1316" spans="1:5" x14ac:dyDescent="0.25">
      <c r="A1316">
        <v>132508433</v>
      </c>
      <c r="B1316" t="s">
        <v>1139</v>
      </c>
      <c r="E1316" t="str">
        <f>IF(OR(E1315="&lt;/routeDistribution&gt;",E1315=""),"",IFERROR(_xlfn.CONCAT(VLOOKUP(DN54,Route_Column!#REF!,2,FALSE),CHAR(34)," probability=",CHAR(34),1/DN$4,CHAR(34),CHAR(47),CHAR(62)),"&lt;/routeDistribution&gt;"))</f>
        <v/>
      </c>
    </row>
    <row r="1317" spans="1:5" x14ac:dyDescent="0.25">
      <c r="A1317">
        <v>132508433</v>
      </c>
      <c r="B1317" t="s">
        <v>1140</v>
      </c>
      <c r="E1317" t="str">
        <f>IF(OR(E1316="&lt;/routeDistribution&gt;",E1316=""),"",IFERROR(_xlfn.CONCAT(VLOOKUP(DN55,Route_Column!#REF!,2,FALSE),CHAR(34)," probability=",CHAR(34),1/DN$4,CHAR(34),CHAR(47),CHAR(62)),"&lt;/routeDistribution&gt;"))</f>
        <v/>
      </c>
    </row>
    <row r="1318" spans="1:5" x14ac:dyDescent="0.25">
      <c r="A1318">
        <v>132508433</v>
      </c>
      <c r="B1318" t="s">
        <v>1140</v>
      </c>
      <c r="E1318" t="str">
        <f>IF(OR(E1317="&lt;/routeDistribution&gt;",E1317=""),"",IFERROR(_xlfn.CONCAT(VLOOKUP(DN56,Route_Column!#REF!,2,FALSE),CHAR(34)," probability=",CHAR(34),1/DN$4,CHAR(34),CHAR(47),CHAR(62)),"&lt;/routeDistribution&gt;"))</f>
        <v/>
      </c>
    </row>
    <row r="1319" spans="1:5" x14ac:dyDescent="0.25">
      <c r="A1319">
        <v>132508433</v>
      </c>
      <c r="B1319" t="s">
        <v>1141</v>
      </c>
      <c r="E1319" t="str">
        <f>IF(OR(E1318="&lt;/routeDistribution&gt;",E1318=""),"",IFERROR(_xlfn.CONCAT(VLOOKUP(DN57,Route_Column!#REF!,2,FALSE),CHAR(34)," probability=",CHAR(34),1/DN$4,CHAR(34),CHAR(47),CHAR(62)),"&lt;/routeDistribution&gt;"))</f>
        <v/>
      </c>
    </row>
    <row r="1320" spans="1:5" x14ac:dyDescent="0.25">
      <c r="A1320">
        <v>132508433</v>
      </c>
      <c r="B1320" t="s">
        <v>1141</v>
      </c>
      <c r="E1320" t="str">
        <f>IF(OR(E1319="&lt;/routeDistribution&gt;",E1319=""),"",IFERROR(_xlfn.CONCAT(VLOOKUP(DN58,Route_Column!#REF!,2,FALSE),CHAR(34)," probability=",CHAR(34),1/DN$4,CHAR(34),CHAR(47),CHAR(62)),"&lt;/routeDistribution&gt;"))</f>
        <v/>
      </c>
    </row>
    <row r="1321" spans="1:5" x14ac:dyDescent="0.25">
      <c r="A1321">
        <v>132508433</v>
      </c>
      <c r="B1321" t="s">
        <v>1142</v>
      </c>
      <c r="E1321" t="str">
        <f>IF(OR(E1320="&lt;/routeDistribution&gt;",E1320=""),"",IFERROR(_xlfn.CONCAT(VLOOKUP(DN59,Route_Column!#REF!,2,FALSE),CHAR(34)," probability=",CHAR(34),1/DN$4,CHAR(34),CHAR(47),CHAR(62)),"&lt;/routeDistribution&gt;"))</f>
        <v/>
      </c>
    </row>
    <row r="1322" spans="1:5" x14ac:dyDescent="0.25">
      <c r="A1322">
        <v>132508433</v>
      </c>
      <c r="B1322" t="s">
        <v>1150</v>
      </c>
      <c r="E1322" t="str">
        <f>IF(OR(E1321="&lt;/routeDistribution&gt;",E1321=""),"",IFERROR(_xlfn.CONCAT(VLOOKUP(DN60,Route_Column!#REF!,2,FALSE),CHAR(34)," probability=",CHAR(34),1/DN$4,CHAR(34),CHAR(47),CHAR(62)),"&lt;/routeDistribution&gt;"))</f>
        <v/>
      </c>
    </row>
    <row r="1323" spans="1:5" x14ac:dyDescent="0.25">
      <c r="A1323">
        <v>132508433</v>
      </c>
      <c r="B1323" t="s">
        <v>1150</v>
      </c>
      <c r="E1323" t="str">
        <f>IF(OR(E1322="&lt;/routeDistribution&gt;",E1322=""),"",IFERROR(_xlfn.CONCAT(VLOOKUP(DN61,Route_Column!#REF!,2,FALSE),CHAR(34)," probability=",CHAR(34),1/DN$4,CHAR(34),CHAR(47),CHAR(62)),"&lt;/routeDistribution&gt;"))</f>
        <v/>
      </c>
    </row>
    <row r="1324" spans="1:5" x14ac:dyDescent="0.25">
      <c r="A1324">
        <v>132508433</v>
      </c>
      <c r="B1324" t="s">
        <v>1151</v>
      </c>
      <c r="E1324" t="str">
        <f>IF(OR(E1323="&lt;/routeDistribution&gt;",E1323=""),"",IFERROR(_xlfn.CONCAT(VLOOKUP(DN62,Route_Column!#REF!,2,FALSE),CHAR(34)," probability=",CHAR(34),1/DN$4,CHAR(34),CHAR(47),CHAR(62)),"&lt;/routeDistribution&gt;"))</f>
        <v/>
      </c>
    </row>
    <row r="1325" spans="1:5" x14ac:dyDescent="0.25">
      <c r="A1325">
        <v>132508433</v>
      </c>
      <c r="B1325" t="s">
        <v>1155</v>
      </c>
      <c r="E1325" t="str">
        <f>IF(OR(E1324="&lt;/routeDistribution&gt;",E1324=""),"",IFERROR(_xlfn.CONCAT(VLOOKUP(DN63,Route_Column!#REF!,2,FALSE),CHAR(34)," probability=",CHAR(34),1/DN$4,CHAR(34),CHAR(47),CHAR(62)),"&lt;/routeDistribution&gt;"))</f>
        <v/>
      </c>
    </row>
    <row r="1326" spans="1:5" x14ac:dyDescent="0.25">
      <c r="A1326">
        <v>132508433</v>
      </c>
      <c r="B1326" t="s">
        <v>1157</v>
      </c>
      <c r="E1326" t="s">
        <v>2686</v>
      </c>
    </row>
    <row r="1327" spans="1:5" x14ac:dyDescent="0.25">
      <c r="A1327">
        <v>132508433</v>
      </c>
      <c r="B1327" t="s">
        <v>1158</v>
      </c>
    </row>
    <row r="1328" spans="1:5" x14ac:dyDescent="0.25">
      <c r="A1328">
        <v>132508433</v>
      </c>
      <c r="B1328" t="s">
        <v>1175</v>
      </c>
    </row>
    <row r="1329" spans="1:5" x14ac:dyDescent="0.25">
      <c r="A1329">
        <v>132508433</v>
      </c>
      <c r="B1329" t="s">
        <v>1176</v>
      </c>
      <c r="E1329" t="str">
        <f>_xlfn.CONCAT($E$1,DM$2,$F$1)</f>
        <v>&lt;routeDistribution id="Cobbs-CreekBrd-EB-2016-Source-RouteProbe"&gt;</v>
      </c>
    </row>
    <row r="1330" spans="1:5" x14ac:dyDescent="0.25">
      <c r="A1330">
        <v>132508433</v>
      </c>
      <c r="B1330" t="s">
        <v>1177</v>
      </c>
      <c r="E1330" t="str">
        <f>IF(OR(E1329="&lt;/routeDistribution&gt;",E1329=""),"",IFERROR(_xlfn.CONCAT(VLOOKUP(DM5,Route_Column!#REF!,2,FALSE),CHAR(34)," probability=",CHAR(34),1/DM$4,CHAR(34),CHAR(47),CHAR(62)),"&lt;/routeDistribution&gt;"))</f>
        <v>&lt;/routeDistribution&gt;</v>
      </c>
    </row>
    <row r="1331" spans="1:5" x14ac:dyDescent="0.25">
      <c r="A1331">
        <v>132508433</v>
      </c>
      <c r="B1331" t="s">
        <v>1179</v>
      </c>
      <c r="E1331" t="str">
        <f>IF(OR(E1330="&lt;/routeDistribution&gt;",E1330=""),"",IFERROR(_xlfn.CONCAT(VLOOKUP(DM6,Route_Column!#REF!,2,FALSE),CHAR(34)," probability=",CHAR(34),1/DM$4,CHAR(34),CHAR(47),CHAR(62)),"&lt;/routeDistribution&gt;"))</f>
        <v/>
      </c>
    </row>
    <row r="1332" spans="1:5" x14ac:dyDescent="0.25">
      <c r="A1332">
        <v>132508433</v>
      </c>
      <c r="B1332" t="s">
        <v>1205</v>
      </c>
      <c r="E1332" t="str">
        <f>IF(OR(E1331="&lt;/routeDistribution&gt;",E1331=""),"",IFERROR(_xlfn.CONCAT(VLOOKUP(DM7,Route_Column!#REF!,2,FALSE),CHAR(34)," probability=",CHAR(34),1/DM$4,CHAR(34),CHAR(47),CHAR(62)),"&lt;/routeDistribution&gt;"))</f>
        <v/>
      </c>
    </row>
    <row r="1333" spans="1:5" x14ac:dyDescent="0.25">
      <c r="A1333">
        <v>132508433</v>
      </c>
      <c r="B1333" t="s">
        <v>1206</v>
      </c>
      <c r="E1333" t="str">
        <f>IF(OR(E1332="&lt;/routeDistribution&gt;",E1332=""),"",IFERROR(_xlfn.CONCAT(VLOOKUP(DM8,Route_Column!#REF!,2,FALSE),CHAR(34)," probability=",CHAR(34),1/DM$4,CHAR(34),CHAR(47),CHAR(62)),"&lt;/routeDistribution&gt;"))</f>
        <v/>
      </c>
    </row>
    <row r="1334" spans="1:5" x14ac:dyDescent="0.25">
      <c r="A1334">
        <v>132508433</v>
      </c>
      <c r="B1334" t="s">
        <v>1207</v>
      </c>
      <c r="E1334" t="str">
        <f>IF(OR(E1333="&lt;/routeDistribution&gt;",E1333=""),"",IFERROR(_xlfn.CONCAT(VLOOKUP(DM9,Route_Column!#REF!,2,FALSE),CHAR(34)," probability=",CHAR(34),1/DM$4,CHAR(34),CHAR(47),CHAR(62)),"&lt;/routeDistribution&gt;"))</f>
        <v/>
      </c>
    </row>
    <row r="1335" spans="1:5" x14ac:dyDescent="0.25">
      <c r="A1335">
        <v>132508433</v>
      </c>
      <c r="B1335" t="s">
        <v>1208</v>
      </c>
      <c r="E1335" t="str">
        <f>IF(OR(E1334="&lt;/routeDistribution&gt;",E1334=""),"",IFERROR(_xlfn.CONCAT(VLOOKUP(DM10,Route_Column!#REF!,2,FALSE),CHAR(34)," probability=",CHAR(34),1/DM$4,CHAR(34),CHAR(47),CHAR(62)),"&lt;/routeDistribution&gt;"))</f>
        <v/>
      </c>
    </row>
    <row r="1336" spans="1:5" x14ac:dyDescent="0.25">
      <c r="A1336">
        <v>132508433</v>
      </c>
      <c r="B1336" t="s">
        <v>1220</v>
      </c>
      <c r="E1336" t="str">
        <f>IF(OR(E1335="&lt;/routeDistribution&gt;",E1335=""),"",IFERROR(_xlfn.CONCAT(VLOOKUP(DM11,Route_Column!#REF!,2,FALSE),CHAR(34)," probability=",CHAR(34),1/DM$4,CHAR(34),CHAR(47),CHAR(62)),"&lt;/routeDistribution&gt;"))</f>
        <v/>
      </c>
    </row>
    <row r="1337" spans="1:5" x14ac:dyDescent="0.25">
      <c r="A1337">
        <v>132508433</v>
      </c>
      <c r="B1337" t="s">
        <v>1226</v>
      </c>
      <c r="E1337" t="str">
        <f>IF(OR(E1336="&lt;/routeDistribution&gt;",E1336=""),"",IFERROR(_xlfn.CONCAT(VLOOKUP(DM12,Route_Column!#REF!,2,FALSE),CHAR(34)," probability=",CHAR(34),1/DM$4,CHAR(34),CHAR(47),CHAR(62)),"&lt;/routeDistribution&gt;"))</f>
        <v/>
      </c>
    </row>
    <row r="1338" spans="1:5" x14ac:dyDescent="0.25">
      <c r="A1338">
        <v>132508433</v>
      </c>
      <c r="B1338" t="s">
        <v>1227</v>
      </c>
      <c r="E1338" t="str">
        <f>IF(OR(E1337="&lt;/routeDistribution&gt;",E1337=""),"",IFERROR(_xlfn.CONCAT(VLOOKUP(DM13,Route_Column!#REF!,2,FALSE),CHAR(34)," probability=",CHAR(34),1/DM$4,CHAR(34),CHAR(47),CHAR(62)),"&lt;/routeDistribution&gt;"))</f>
        <v/>
      </c>
    </row>
    <row r="1339" spans="1:5" x14ac:dyDescent="0.25">
      <c r="A1339">
        <v>132508433</v>
      </c>
      <c r="B1339" t="s">
        <v>1232</v>
      </c>
      <c r="E1339" t="str">
        <f>IF(OR(E1338="&lt;/routeDistribution&gt;",E1338=""),"",IFERROR(_xlfn.CONCAT(VLOOKUP(DM14,Route_Column!#REF!,2,FALSE),CHAR(34)," probability=",CHAR(34),1/DM$4,CHAR(34),CHAR(47),CHAR(62)),"&lt;/routeDistribution&gt;"))</f>
        <v/>
      </c>
    </row>
    <row r="1340" spans="1:5" x14ac:dyDescent="0.25">
      <c r="A1340">
        <v>132508433</v>
      </c>
      <c r="B1340" t="s">
        <v>1233</v>
      </c>
      <c r="E1340" t="str">
        <f>IF(OR(E1339="&lt;/routeDistribution&gt;",E1339=""),"",IFERROR(_xlfn.CONCAT(VLOOKUP(DM15,Route_Column!#REF!,2,FALSE),CHAR(34)," probability=",CHAR(34),1/DM$4,CHAR(34),CHAR(47),CHAR(62)),"&lt;/routeDistribution&gt;"))</f>
        <v/>
      </c>
    </row>
    <row r="1341" spans="1:5" x14ac:dyDescent="0.25">
      <c r="A1341">
        <v>132508433</v>
      </c>
      <c r="B1341" t="s">
        <v>1233</v>
      </c>
      <c r="E1341" t="str">
        <f>IF(OR(E1340="&lt;/routeDistribution&gt;",E1340=""),"",IFERROR(_xlfn.CONCAT(VLOOKUP(DM16,Route_Column!#REF!,2,FALSE),CHAR(34)," probability=",CHAR(34),1/DM$4,CHAR(34),CHAR(47),CHAR(62)),"&lt;/routeDistribution&gt;"))</f>
        <v/>
      </c>
    </row>
    <row r="1342" spans="1:5" x14ac:dyDescent="0.25">
      <c r="A1342">
        <v>132508433</v>
      </c>
      <c r="B1342" t="s">
        <v>1234</v>
      </c>
      <c r="E1342" t="str">
        <f>IF(OR(E1341="&lt;/routeDistribution&gt;",E1341=""),"",IFERROR(_xlfn.CONCAT(VLOOKUP(DM17,Route_Column!#REF!,2,FALSE),CHAR(34)," probability=",CHAR(34),1/DM$4,CHAR(34),CHAR(47),CHAR(62)),"&lt;/routeDistribution&gt;"))</f>
        <v/>
      </c>
    </row>
    <row r="1343" spans="1:5" x14ac:dyDescent="0.25">
      <c r="A1343">
        <v>132508433</v>
      </c>
      <c r="B1343" t="s">
        <v>1235</v>
      </c>
      <c r="E1343" t="str">
        <f>IF(OR(E1342="&lt;/routeDistribution&gt;",E1342=""),"",IFERROR(_xlfn.CONCAT(VLOOKUP(DM18,Route_Column!#REF!,2,FALSE),CHAR(34)," probability=",CHAR(34),1/DM$4,CHAR(34),CHAR(47),CHAR(62)),"&lt;/routeDistribution&gt;"))</f>
        <v/>
      </c>
    </row>
    <row r="1344" spans="1:5" x14ac:dyDescent="0.25">
      <c r="A1344">
        <v>132508433</v>
      </c>
      <c r="B1344" t="s">
        <v>1236</v>
      </c>
      <c r="E1344" t="str">
        <f>IF(OR(E1343="&lt;/routeDistribution&gt;",E1343=""),"",IFERROR(_xlfn.CONCAT(VLOOKUP(DM19,Route_Column!#REF!,2,FALSE),CHAR(34)," probability=",CHAR(34),1/DM$4,CHAR(34),CHAR(47),CHAR(62)),"&lt;/routeDistribution&gt;"))</f>
        <v/>
      </c>
    </row>
    <row r="1345" spans="1:5" x14ac:dyDescent="0.25">
      <c r="A1345">
        <v>132508433</v>
      </c>
      <c r="B1345" t="s">
        <v>1237</v>
      </c>
      <c r="E1345" t="str">
        <f>IF(OR(E1344="&lt;/routeDistribution&gt;",E1344=""),"",IFERROR(_xlfn.CONCAT(VLOOKUP(DM20,Route_Column!#REF!,2,FALSE),CHAR(34)," probability=",CHAR(34),1/DM$4,CHAR(34),CHAR(47),CHAR(62)),"&lt;/routeDistribution&gt;"))</f>
        <v/>
      </c>
    </row>
    <row r="1346" spans="1:5" x14ac:dyDescent="0.25">
      <c r="A1346">
        <v>132508433</v>
      </c>
      <c r="B1346" t="s">
        <v>1238</v>
      </c>
      <c r="E1346" t="str">
        <f>IF(OR(E1345="&lt;/routeDistribution&gt;",E1345=""),"",IFERROR(_xlfn.CONCAT(VLOOKUP(DM21,Route_Column!#REF!,2,FALSE),CHAR(34)," probability=",CHAR(34),1/DM$4,CHAR(34),CHAR(47),CHAR(62)),"&lt;/routeDistribution&gt;"))</f>
        <v/>
      </c>
    </row>
    <row r="1347" spans="1:5" x14ac:dyDescent="0.25">
      <c r="A1347">
        <v>132508433</v>
      </c>
      <c r="B1347" t="s">
        <v>1239</v>
      </c>
      <c r="E1347" t="str">
        <f>IF(OR(E1346="&lt;/routeDistribution&gt;",E1346=""),"",IFERROR(_xlfn.CONCAT(VLOOKUP(DM22,Route_Column!#REF!,2,FALSE),CHAR(34)," probability=",CHAR(34),1/DM$4,CHAR(34),CHAR(47),CHAR(62)),"&lt;/routeDistribution&gt;"))</f>
        <v/>
      </c>
    </row>
    <row r="1348" spans="1:5" x14ac:dyDescent="0.25">
      <c r="A1348">
        <v>132508433</v>
      </c>
      <c r="B1348" t="s">
        <v>1240</v>
      </c>
      <c r="E1348" t="str">
        <f>IF(OR(E1347="&lt;/routeDistribution&gt;",E1347=""),"",IFERROR(_xlfn.CONCAT(VLOOKUP(DM23,Route_Column!#REF!,2,FALSE),CHAR(34)," probability=",CHAR(34),1/DM$4,CHAR(34),CHAR(47),CHAR(62)),"&lt;/routeDistribution&gt;"))</f>
        <v/>
      </c>
    </row>
    <row r="1349" spans="1:5" x14ac:dyDescent="0.25">
      <c r="A1349">
        <v>132508433</v>
      </c>
      <c r="B1349" t="s">
        <v>1241</v>
      </c>
      <c r="E1349" t="str">
        <f>IF(OR(E1348="&lt;/routeDistribution&gt;",E1348=""),"",IFERROR(_xlfn.CONCAT(VLOOKUP(DM24,Route_Column!#REF!,2,FALSE),CHAR(34)," probability=",CHAR(34),1/DM$4,CHAR(34),CHAR(47),CHAR(62)),"&lt;/routeDistribution&gt;"))</f>
        <v/>
      </c>
    </row>
    <row r="1350" spans="1:5" x14ac:dyDescent="0.25">
      <c r="A1350">
        <v>132508433</v>
      </c>
      <c r="B1350" t="s">
        <v>1242</v>
      </c>
      <c r="E1350" t="str">
        <f>IF(OR(E1349="&lt;/routeDistribution&gt;",E1349=""),"",IFERROR(_xlfn.CONCAT(VLOOKUP(DM25,Route_Column!#REF!,2,FALSE),CHAR(34)," probability=",CHAR(34),1/DM$4,CHAR(34),CHAR(47),CHAR(62)),"&lt;/routeDistribution&gt;"))</f>
        <v/>
      </c>
    </row>
    <row r="1351" spans="1:5" x14ac:dyDescent="0.25">
      <c r="A1351">
        <v>132508433</v>
      </c>
      <c r="B1351" t="s">
        <v>1243</v>
      </c>
      <c r="E1351" t="str">
        <f>IF(OR(E1350="&lt;/routeDistribution&gt;",E1350=""),"",IFERROR(_xlfn.CONCAT(VLOOKUP(DM26,Route_Column!#REF!,2,FALSE),CHAR(34)," probability=",CHAR(34),1/DM$4,CHAR(34),CHAR(47),CHAR(62)),"&lt;/routeDistribution&gt;"))</f>
        <v/>
      </c>
    </row>
    <row r="1352" spans="1:5" x14ac:dyDescent="0.25">
      <c r="A1352">
        <v>132508433</v>
      </c>
      <c r="B1352" t="s">
        <v>1244</v>
      </c>
      <c r="E1352" t="str">
        <f>IF(OR(E1351="&lt;/routeDistribution&gt;",E1351=""),"",IFERROR(_xlfn.CONCAT(VLOOKUP(DM27,Route_Column!#REF!,2,FALSE),CHAR(34)," probability=",CHAR(34),1/DM$4,CHAR(34),CHAR(47),CHAR(62)),"&lt;/routeDistribution&gt;"))</f>
        <v/>
      </c>
    </row>
    <row r="1353" spans="1:5" x14ac:dyDescent="0.25">
      <c r="A1353">
        <v>132508433</v>
      </c>
      <c r="B1353" t="s">
        <v>1245</v>
      </c>
      <c r="E1353" t="str">
        <f>IF(OR(E1352="&lt;/routeDistribution&gt;",E1352=""),"",IFERROR(_xlfn.CONCAT(VLOOKUP(DM28,Route_Column!#REF!,2,FALSE),CHAR(34)," probability=",CHAR(34),1/DM$4,CHAR(34),CHAR(47),CHAR(62)),"&lt;/routeDistribution&gt;"))</f>
        <v/>
      </c>
    </row>
    <row r="1354" spans="1:5" x14ac:dyDescent="0.25">
      <c r="A1354">
        <v>132508433</v>
      </c>
      <c r="B1354" t="s">
        <v>1246</v>
      </c>
      <c r="E1354" t="str">
        <f>IF(OR(E1353="&lt;/routeDistribution&gt;",E1353=""),"",IFERROR(_xlfn.CONCAT(VLOOKUP(DM29,Route_Column!#REF!,2,FALSE),CHAR(34)," probability=",CHAR(34),1/DM$4,CHAR(34),CHAR(47),CHAR(62)),"&lt;/routeDistribution&gt;"))</f>
        <v/>
      </c>
    </row>
    <row r="1355" spans="1:5" x14ac:dyDescent="0.25">
      <c r="A1355">
        <v>132508433</v>
      </c>
      <c r="B1355" t="s">
        <v>1247</v>
      </c>
      <c r="E1355" t="str">
        <f>IF(OR(E1354="&lt;/routeDistribution&gt;",E1354=""),"",IFERROR(_xlfn.CONCAT(VLOOKUP(DM30,Route_Column!#REF!,2,FALSE),CHAR(34)," probability=",CHAR(34),1/DM$4,CHAR(34),CHAR(47),CHAR(62)),"&lt;/routeDistribution&gt;"))</f>
        <v/>
      </c>
    </row>
    <row r="1356" spans="1:5" x14ac:dyDescent="0.25">
      <c r="A1356">
        <v>132508433</v>
      </c>
      <c r="B1356" t="s">
        <v>1248</v>
      </c>
      <c r="E1356" t="str">
        <f>IF(OR(E1355="&lt;/routeDistribution&gt;",E1355=""),"",IFERROR(_xlfn.CONCAT(VLOOKUP(DM31,Route_Column!#REF!,2,FALSE),CHAR(34)," probability=",CHAR(34),1/DM$4,CHAR(34),CHAR(47),CHAR(62)),"&lt;/routeDistribution&gt;"))</f>
        <v/>
      </c>
    </row>
    <row r="1357" spans="1:5" x14ac:dyDescent="0.25">
      <c r="A1357">
        <v>132508433</v>
      </c>
      <c r="B1357" t="s">
        <v>1249</v>
      </c>
      <c r="E1357" t="str">
        <f>IF(OR(E1356="&lt;/routeDistribution&gt;",E1356=""),"",IFERROR(_xlfn.CONCAT(VLOOKUP(DM32,Route_Column!#REF!,2,FALSE),CHAR(34)," probability=",CHAR(34),1/DM$4,CHAR(34),CHAR(47),CHAR(62)),"&lt;/routeDistribution&gt;"))</f>
        <v/>
      </c>
    </row>
    <row r="1358" spans="1:5" x14ac:dyDescent="0.25">
      <c r="A1358">
        <v>132508433</v>
      </c>
      <c r="B1358" t="s">
        <v>1250</v>
      </c>
      <c r="E1358" t="str">
        <f>IF(OR(E1357="&lt;/routeDistribution&gt;",E1357=""),"",IFERROR(_xlfn.CONCAT(VLOOKUP(DM33,Route_Column!#REF!,2,FALSE),CHAR(34)," probability=",CHAR(34),1/DM$4,CHAR(34),CHAR(47),CHAR(62)),"&lt;/routeDistribution&gt;"))</f>
        <v/>
      </c>
    </row>
    <row r="1359" spans="1:5" x14ac:dyDescent="0.25">
      <c r="A1359">
        <v>132508433</v>
      </c>
      <c r="B1359" t="s">
        <v>1254</v>
      </c>
      <c r="E1359" t="str">
        <f>IF(OR(E1358="&lt;/routeDistribution&gt;",E1358=""),"",IFERROR(_xlfn.CONCAT(VLOOKUP(DM34,Route_Column!#REF!,2,FALSE),CHAR(34)," probability=",CHAR(34),1/DM$4,CHAR(34),CHAR(47),CHAR(62)),"&lt;/routeDistribution&gt;"))</f>
        <v/>
      </c>
    </row>
    <row r="1360" spans="1:5" x14ac:dyDescent="0.25">
      <c r="A1360">
        <v>132508433</v>
      </c>
      <c r="B1360" t="s">
        <v>1255</v>
      </c>
      <c r="E1360" t="str">
        <f>IF(OR(E1359="&lt;/routeDistribution&gt;",E1359=""),"",IFERROR(_xlfn.CONCAT(VLOOKUP(DM35,Route_Column!#REF!,2,FALSE),CHAR(34)," probability=",CHAR(34),1/DM$4,CHAR(34),CHAR(47),CHAR(62)),"&lt;/routeDistribution&gt;"))</f>
        <v/>
      </c>
    </row>
    <row r="1361" spans="1:5" x14ac:dyDescent="0.25">
      <c r="A1361">
        <v>170366765</v>
      </c>
      <c r="B1361" t="s">
        <v>1112</v>
      </c>
      <c r="E1361" t="str">
        <f>IF(OR(E1360="&lt;/routeDistribution&gt;",E1360=""),"",IFERROR(_xlfn.CONCAT(VLOOKUP(DM36,Route_Column!#REF!,2,FALSE),CHAR(34)," probability=",CHAR(34),1/DM$4,CHAR(34),CHAR(47),CHAR(62)),"&lt;/routeDistribution&gt;"))</f>
        <v/>
      </c>
    </row>
    <row r="1362" spans="1:5" x14ac:dyDescent="0.25">
      <c r="A1362">
        <v>170366765</v>
      </c>
      <c r="B1362" t="s">
        <v>1113</v>
      </c>
      <c r="E1362" t="str">
        <f>IF(OR(E1361="&lt;/routeDistribution&gt;",E1361=""),"",IFERROR(_xlfn.CONCAT(VLOOKUP(DM37,Route_Column!#REF!,2,FALSE),CHAR(34)," probability=",CHAR(34),1/DM$4,CHAR(34),CHAR(47),CHAR(62)),"&lt;/routeDistribution&gt;"))</f>
        <v/>
      </c>
    </row>
    <row r="1363" spans="1:5" x14ac:dyDescent="0.25">
      <c r="A1363">
        <v>170366765</v>
      </c>
      <c r="B1363" t="s">
        <v>1114</v>
      </c>
      <c r="E1363" t="str">
        <f>IF(OR(E1362="&lt;/routeDistribution&gt;",E1362=""),"",IFERROR(_xlfn.CONCAT(VLOOKUP(DM38,Route_Column!#REF!,2,FALSE),CHAR(34)," probability=",CHAR(34),1/DM$4,CHAR(34),CHAR(47),CHAR(62)),"&lt;/routeDistribution&gt;"))</f>
        <v/>
      </c>
    </row>
    <row r="1364" spans="1:5" x14ac:dyDescent="0.25">
      <c r="A1364">
        <v>170366766</v>
      </c>
      <c r="B1364" t="s">
        <v>1113</v>
      </c>
      <c r="E1364" t="str">
        <f>IF(OR(E1363="&lt;/routeDistribution&gt;",E1363=""),"",IFERROR(_xlfn.CONCAT(VLOOKUP(DM39,Route_Column!#REF!,2,FALSE),CHAR(34)," probability=",CHAR(34),1/DM$4,CHAR(34),CHAR(47),CHAR(62)),"&lt;/routeDistribution&gt;"))</f>
        <v/>
      </c>
    </row>
    <row r="1365" spans="1:5" x14ac:dyDescent="0.25">
      <c r="A1365">
        <v>170366766</v>
      </c>
      <c r="B1365" t="s">
        <v>1114</v>
      </c>
      <c r="E1365" t="str">
        <f>IF(OR(E1364="&lt;/routeDistribution&gt;",E1364=""),"",IFERROR(_xlfn.CONCAT(VLOOKUP(DM40,Route_Column!#REF!,2,FALSE),CHAR(34)," probability=",CHAR(34),1/DM$4,CHAR(34),CHAR(47),CHAR(62)),"&lt;/routeDistribution&gt;"))</f>
        <v/>
      </c>
    </row>
    <row r="1366" spans="1:5" x14ac:dyDescent="0.25">
      <c r="A1366">
        <v>170366768</v>
      </c>
      <c r="B1366" t="s">
        <v>1113</v>
      </c>
      <c r="E1366" t="str">
        <f>IF(OR(E1365="&lt;/routeDistribution&gt;",E1365=""),"",IFERROR(_xlfn.CONCAT(VLOOKUP(DM41,Route_Column!#REF!,2,FALSE),CHAR(34)," probability=",CHAR(34),1/DM$4,CHAR(34),CHAR(47),CHAR(62)),"&lt;/routeDistribution&gt;"))</f>
        <v/>
      </c>
    </row>
    <row r="1367" spans="1:5" x14ac:dyDescent="0.25">
      <c r="A1367">
        <v>170366768</v>
      </c>
      <c r="B1367" t="s">
        <v>1114</v>
      </c>
      <c r="E1367" t="str">
        <f>IF(OR(E1366="&lt;/routeDistribution&gt;",E1366=""),"",IFERROR(_xlfn.CONCAT(VLOOKUP(DM42,Route_Column!#REF!,2,FALSE),CHAR(34)," probability=",CHAR(34),1/DM$4,CHAR(34),CHAR(47),CHAR(62)),"&lt;/routeDistribution&gt;"))</f>
        <v/>
      </c>
    </row>
    <row r="1368" spans="1:5" x14ac:dyDescent="0.25">
      <c r="A1368">
        <v>170366768</v>
      </c>
      <c r="B1368" t="s">
        <v>1133</v>
      </c>
      <c r="E1368" t="str">
        <f>IF(OR(E1367="&lt;/routeDistribution&gt;",E1367=""),"",IFERROR(_xlfn.CONCAT(VLOOKUP(DM43,Route_Column!#REF!,2,FALSE),CHAR(34)," probability=",CHAR(34),1/DM$4,CHAR(34),CHAR(47),CHAR(62)),"&lt;/routeDistribution&gt;"))</f>
        <v/>
      </c>
    </row>
    <row r="1369" spans="1:5" x14ac:dyDescent="0.25">
      <c r="A1369">
        <v>194358815</v>
      </c>
      <c r="B1369" t="s">
        <v>1096</v>
      </c>
      <c r="E1369" t="str">
        <f>IF(OR(E1368="&lt;/routeDistribution&gt;",E1368=""),"",IFERROR(_xlfn.CONCAT(VLOOKUP(DM44,Route_Column!#REF!,2,FALSE),CHAR(34)," probability=",CHAR(34),1/DM$4,CHAR(34),CHAR(47),CHAR(62)),"&lt;/routeDistribution&gt;"))</f>
        <v/>
      </c>
    </row>
    <row r="1370" spans="1:5" x14ac:dyDescent="0.25">
      <c r="A1370">
        <v>194358815</v>
      </c>
      <c r="B1370" t="s">
        <v>1106</v>
      </c>
      <c r="E1370" t="str">
        <f>IF(OR(E1369="&lt;/routeDistribution&gt;",E1369=""),"",IFERROR(_xlfn.CONCAT(VLOOKUP(DM45,Route_Column!#REF!,2,FALSE),CHAR(34)," probability=",CHAR(34),1/DM$4,CHAR(34),CHAR(47),CHAR(62)),"&lt;/routeDistribution&gt;"))</f>
        <v/>
      </c>
    </row>
    <row r="1371" spans="1:5" x14ac:dyDescent="0.25">
      <c r="A1371">
        <v>194358815</v>
      </c>
      <c r="B1371" t="s">
        <v>1161</v>
      </c>
      <c r="E1371" t="str">
        <f>IF(OR(E1370="&lt;/routeDistribution&gt;",E1370=""),"",IFERROR(_xlfn.CONCAT(VLOOKUP(DM46,Route_Column!#REF!,2,FALSE),CHAR(34)," probability=",CHAR(34),1/DM$4,CHAR(34),CHAR(47),CHAR(62)),"&lt;/routeDistribution&gt;"))</f>
        <v/>
      </c>
    </row>
    <row r="1372" spans="1:5" x14ac:dyDescent="0.25">
      <c r="A1372">
        <v>194358815</v>
      </c>
      <c r="B1372" t="s">
        <v>1162</v>
      </c>
      <c r="E1372" t="str">
        <f>IF(OR(E1371="&lt;/routeDistribution&gt;",E1371=""),"",IFERROR(_xlfn.CONCAT(VLOOKUP(DM47,Route_Column!#REF!,2,FALSE),CHAR(34)," probability=",CHAR(34),1/DM$4,CHAR(34),CHAR(47),CHAR(62)),"&lt;/routeDistribution&gt;"))</f>
        <v/>
      </c>
    </row>
    <row r="1373" spans="1:5" x14ac:dyDescent="0.25">
      <c r="A1373">
        <v>194358815</v>
      </c>
      <c r="B1373" t="s">
        <v>1163</v>
      </c>
      <c r="E1373" t="str">
        <f>IF(OR(E1372="&lt;/routeDistribution&gt;",E1372=""),"",IFERROR(_xlfn.CONCAT(VLOOKUP(DM48,Route_Column!#REF!,2,FALSE),CHAR(34)," probability=",CHAR(34),1/DM$4,CHAR(34),CHAR(47),CHAR(62)),"&lt;/routeDistribution&gt;"))</f>
        <v/>
      </c>
    </row>
    <row r="1374" spans="1:5" x14ac:dyDescent="0.25">
      <c r="A1374">
        <v>194358815</v>
      </c>
      <c r="B1374" t="s">
        <v>1168</v>
      </c>
      <c r="E1374" t="str">
        <f>IF(OR(E1373="&lt;/routeDistribution&gt;",E1373=""),"",IFERROR(_xlfn.CONCAT(VLOOKUP(DM49,Route_Column!#REF!,2,FALSE),CHAR(34)," probability=",CHAR(34),1/DM$4,CHAR(34),CHAR(47),CHAR(62)),"&lt;/routeDistribution&gt;"))</f>
        <v/>
      </c>
    </row>
    <row r="1375" spans="1:5" x14ac:dyDescent="0.25">
      <c r="A1375">
        <v>194358815</v>
      </c>
      <c r="B1375" t="s">
        <v>1170</v>
      </c>
      <c r="E1375" t="str">
        <f>IF(OR(E1374="&lt;/routeDistribution&gt;",E1374=""),"",IFERROR(_xlfn.CONCAT(VLOOKUP(DM50,Route_Column!#REF!,2,FALSE),CHAR(34)," probability=",CHAR(34),1/DM$4,CHAR(34),CHAR(47),CHAR(62)),"&lt;/routeDistribution&gt;"))</f>
        <v/>
      </c>
    </row>
    <row r="1376" spans="1:5" x14ac:dyDescent="0.25">
      <c r="A1376">
        <v>194358815</v>
      </c>
      <c r="B1376" t="s">
        <v>1196</v>
      </c>
      <c r="E1376" t="str">
        <f>IF(OR(E1375="&lt;/routeDistribution&gt;",E1375=""),"",IFERROR(_xlfn.CONCAT(VLOOKUP(DM51,Route_Column!#REF!,2,FALSE),CHAR(34)," probability=",CHAR(34),1/DM$4,CHAR(34),CHAR(47),CHAR(62)),"&lt;/routeDistribution&gt;"))</f>
        <v/>
      </c>
    </row>
    <row r="1377" spans="1:5" x14ac:dyDescent="0.25">
      <c r="A1377">
        <v>196393937</v>
      </c>
      <c r="B1377" t="s">
        <v>1133</v>
      </c>
      <c r="E1377" t="str">
        <f>IF(OR(E1376="&lt;/routeDistribution&gt;",E1376=""),"",IFERROR(_xlfn.CONCAT(VLOOKUP(DM52,Route_Column!#REF!,2,FALSE),CHAR(34)," probability=",CHAR(34),1/DM$4,CHAR(34),CHAR(47),CHAR(62)),"&lt;/routeDistribution&gt;"))</f>
        <v/>
      </c>
    </row>
    <row r="1378" spans="1:5" x14ac:dyDescent="0.25">
      <c r="A1378">
        <v>196393957</v>
      </c>
      <c r="B1378" t="s">
        <v>1177</v>
      </c>
      <c r="E1378" t="str">
        <f>IF(OR(E1377="&lt;/routeDistribution&gt;",E1377=""),"",IFERROR(_xlfn.CONCAT(VLOOKUP(DM53,Route_Column!#REF!,2,FALSE),CHAR(34)," probability=",CHAR(34),1/DM$4,CHAR(34),CHAR(47),CHAR(62)),"&lt;/routeDistribution&gt;"))</f>
        <v/>
      </c>
    </row>
    <row r="1379" spans="1:5" x14ac:dyDescent="0.25">
      <c r="A1379">
        <v>196393957</v>
      </c>
      <c r="B1379" t="s">
        <v>1220</v>
      </c>
      <c r="E1379" t="str">
        <f>IF(OR(E1378="&lt;/routeDistribution&gt;",E1378=""),"",IFERROR(_xlfn.CONCAT(VLOOKUP(DM54,Route_Column!#REF!,2,FALSE),CHAR(34)," probability=",CHAR(34),1/DM$4,CHAR(34),CHAR(47),CHAR(62)),"&lt;/routeDistribution&gt;"))</f>
        <v/>
      </c>
    </row>
    <row r="1380" spans="1:5" x14ac:dyDescent="0.25">
      <c r="A1380">
        <v>262962062</v>
      </c>
      <c r="B1380" t="s">
        <v>1096</v>
      </c>
      <c r="E1380" t="str">
        <f>IF(OR(E1379="&lt;/routeDistribution&gt;",E1379=""),"",IFERROR(_xlfn.CONCAT(VLOOKUP(DM55,Route_Column!#REF!,2,FALSE),CHAR(34)," probability=",CHAR(34),1/DM$4,CHAR(34),CHAR(47),CHAR(62)),"&lt;/routeDistribution&gt;"))</f>
        <v/>
      </c>
    </row>
    <row r="1381" spans="1:5" x14ac:dyDescent="0.25">
      <c r="A1381">
        <v>262962062</v>
      </c>
      <c r="B1381" t="s">
        <v>1097</v>
      </c>
      <c r="E1381" t="str">
        <f>IF(OR(E1380="&lt;/routeDistribution&gt;",E1380=""),"",IFERROR(_xlfn.CONCAT(VLOOKUP(DM56,Route_Column!#REF!,2,FALSE),CHAR(34)," probability=",CHAR(34),1/DM$4,CHAR(34),CHAR(47),CHAR(62)),"&lt;/routeDistribution&gt;"))</f>
        <v/>
      </c>
    </row>
    <row r="1382" spans="1:5" x14ac:dyDescent="0.25">
      <c r="A1382">
        <v>262962062</v>
      </c>
      <c r="B1382" t="s">
        <v>1098</v>
      </c>
      <c r="E1382" t="str">
        <f>IF(OR(E1381="&lt;/routeDistribution&gt;",E1381=""),"",IFERROR(_xlfn.CONCAT(VLOOKUP(DM57,Route_Column!#REF!,2,FALSE),CHAR(34)," probability=",CHAR(34),1/DM$4,CHAR(34),CHAR(47),CHAR(62)),"&lt;/routeDistribution&gt;"))</f>
        <v/>
      </c>
    </row>
    <row r="1383" spans="1:5" x14ac:dyDescent="0.25">
      <c r="A1383">
        <v>262962062</v>
      </c>
      <c r="B1383" t="s">
        <v>1099</v>
      </c>
      <c r="E1383" t="str">
        <f>IF(OR(E1382="&lt;/routeDistribution&gt;",E1382=""),"",IFERROR(_xlfn.CONCAT(VLOOKUP(DM58,Route_Column!#REF!,2,FALSE),CHAR(34)," probability=",CHAR(34),1/DM$4,CHAR(34),CHAR(47),CHAR(62)),"&lt;/routeDistribution&gt;"))</f>
        <v/>
      </c>
    </row>
    <row r="1384" spans="1:5" x14ac:dyDescent="0.25">
      <c r="A1384">
        <v>262962062</v>
      </c>
      <c r="B1384" t="s">
        <v>1100</v>
      </c>
      <c r="E1384" t="str">
        <f>IF(OR(E1383="&lt;/routeDistribution&gt;",E1383=""),"",IFERROR(_xlfn.CONCAT(VLOOKUP(DM59,Route_Column!#REF!,2,FALSE),CHAR(34)," probability=",CHAR(34),1/DM$4,CHAR(34),CHAR(47),CHAR(62)),"&lt;/routeDistribution&gt;"))</f>
        <v/>
      </c>
    </row>
    <row r="1385" spans="1:5" x14ac:dyDescent="0.25">
      <c r="A1385">
        <v>262962062</v>
      </c>
      <c r="B1385" t="s">
        <v>1101</v>
      </c>
      <c r="E1385" t="str">
        <f>IF(OR(E1384="&lt;/routeDistribution&gt;",E1384=""),"",IFERROR(_xlfn.CONCAT(VLOOKUP(DM60,Route_Column!#REF!,2,FALSE),CHAR(34)," probability=",CHAR(34),1/DM$4,CHAR(34),CHAR(47),CHAR(62)),"&lt;/routeDistribution&gt;"))</f>
        <v/>
      </c>
    </row>
    <row r="1386" spans="1:5" x14ac:dyDescent="0.25">
      <c r="A1386">
        <v>262962062</v>
      </c>
      <c r="B1386" t="s">
        <v>1102</v>
      </c>
      <c r="E1386" t="str">
        <f>IF(OR(E1385="&lt;/routeDistribution&gt;",E1385=""),"",IFERROR(_xlfn.CONCAT(VLOOKUP(DM61,Route_Column!#REF!,2,FALSE),CHAR(34)," probability=",CHAR(34),1/DM$4,CHAR(34),CHAR(47),CHAR(62)),"&lt;/routeDistribution&gt;"))</f>
        <v/>
      </c>
    </row>
    <row r="1387" spans="1:5" x14ac:dyDescent="0.25">
      <c r="A1387">
        <v>262962062</v>
      </c>
      <c r="B1387" t="s">
        <v>1103</v>
      </c>
      <c r="E1387" t="str">
        <f>IF(OR(E1386="&lt;/routeDistribution&gt;",E1386=""),"",IFERROR(_xlfn.CONCAT(VLOOKUP(DM62,Route_Column!#REF!,2,FALSE),CHAR(34)," probability=",CHAR(34),1/DM$4,CHAR(34),CHAR(47),CHAR(62)),"&lt;/routeDistribution&gt;"))</f>
        <v/>
      </c>
    </row>
    <row r="1388" spans="1:5" x14ac:dyDescent="0.25">
      <c r="A1388">
        <v>262962062</v>
      </c>
      <c r="B1388" t="s">
        <v>1104</v>
      </c>
      <c r="E1388" t="str">
        <f>IF(OR(E1387="&lt;/routeDistribution&gt;",E1387=""),"",IFERROR(_xlfn.CONCAT(VLOOKUP(DM63,Route_Column!#REF!,2,FALSE),CHAR(34)," probability=",CHAR(34),1/DM$4,CHAR(34),CHAR(47),CHAR(62)),"&lt;/routeDistribution&gt;"))</f>
        <v/>
      </c>
    </row>
    <row r="1389" spans="1:5" x14ac:dyDescent="0.25">
      <c r="A1389">
        <v>262962062</v>
      </c>
      <c r="B1389" t="s">
        <v>1105</v>
      </c>
      <c r="E1389" t="s">
        <v>2686</v>
      </c>
    </row>
    <row r="1390" spans="1:5" x14ac:dyDescent="0.25">
      <c r="A1390">
        <v>262962062</v>
      </c>
      <c r="B1390" t="s">
        <v>1106</v>
      </c>
    </row>
    <row r="1391" spans="1:5" x14ac:dyDescent="0.25">
      <c r="A1391">
        <v>262962062</v>
      </c>
      <c r="B1391" t="s">
        <v>1107</v>
      </c>
    </row>
    <row r="1392" spans="1:5" x14ac:dyDescent="0.25">
      <c r="A1392">
        <v>262962062</v>
      </c>
      <c r="B1392" t="s">
        <v>1161</v>
      </c>
      <c r="E1392" t="str">
        <f>_xlfn.CONCAT($E$1,DL$2,$F$1)</f>
        <v>&lt;routeDistribution id="Cobbs-CreekBrd-WB-2016-RouteProbe"&gt;</v>
      </c>
    </row>
    <row r="1393" spans="1:5" x14ac:dyDescent="0.25">
      <c r="A1393">
        <v>262962062</v>
      </c>
      <c r="B1393" t="s">
        <v>1162</v>
      </c>
      <c r="E1393" t="str">
        <f>IF(OR(E1392="&lt;/routeDistribution&gt;",E1392=""),"",IFERROR(_xlfn.CONCAT(VLOOKUP(DL5,Route_Column!#REF!,2,FALSE),CHAR(34)," probability=",CHAR(34),1/DL$4,CHAR(34),CHAR(47),CHAR(62)),"&lt;/routeDistribution&gt;"))</f>
        <v>&lt;/routeDistribution&gt;</v>
      </c>
    </row>
    <row r="1394" spans="1:5" x14ac:dyDescent="0.25">
      <c r="A1394">
        <v>262962062</v>
      </c>
      <c r="B1394" t="s">
        <v>1163</v>
      </c>
      <c r="E1394" t="str">
        <f>IF(OR(E1393="&lt;/routeDistribution&gt;",E1393=""),"",IFERROR(_xlfn.CONCAT(VLOOKUP(DL6,Route_Column!#REF!,2,FALSE),CHAR(34)," probability=",CHAR(34),1/DL$4,CHAR(34),CHAR(47),CHAR(62)),"&lt;/routeDistribution&gt;"))</f>
        <v/>
      </c>
    </row>
    <row r="1395" spans="1:5" x14ac:dyDescent="0.25">
      <c r="A1395">
        <v>262962062</v>
      </c>
      <c r="B1395" t="s">
        <v>1164</v>
      </c>
      <c r="E1395" t="str">
        <f>IF(OR(E1394="&lt;/routeDistribution&gt;",E1394=""),"",IFERROR(_xlfn.CONCAT(VLOOKUP(DL7,Route_Column!#REF!,2,FALSE),CHAR(34)," probability=",CHAR(34),1/DL$4,CHAR(34),CHAR(47),CHAR(62)),"&lt;/routeDistribution&gt;"))</f>
        <v/>
      </c>
    </row>
    <row r="1396" spans="1:5" x14ac:dyDescent="0.25">
      <c r="A1396">
        <v>262962062</v>
      </c>
      <c r="B1396" t="s">
        <v>1191</v>
      </c>
      <c r="E1396" t="str">
        <f>IF(OR(E1395="&lt;/routeDistribution&gt;",E1395=""),"",IFERROR(_xlfn.CONCAT(VLOOKUP(DL8,Route_Column!#REF!,2,FALSE),CHAR(34)," probability=",CHAR(34),1/DL$4,CHAR(34),CHAR(47),CHAR(62)),"&lt;/routeDistribution&gt;"))</f>
        <v/>
      </c>
    </row>
    <row r="1397" spans="1:5" x14ac:dyDescent="0.25">
      <c r="A1397">
        <v>262962063</v>
      </c>
      <c r="B1397" t="s">
        <v>1138</v>
      </c>
      <c r="E1397" t="str">
        <f>IF(OR(E1396="&lt;/routeDistribution&gt;",E1396=""),"",IFERROR(_xlfn.CONCAT(VLOOKUP(DL9,Route_Column!#REF!,2,FALSE),CHAR(34)," probability=",CHAR(34),1/DL$4,CHAR(34),CHAR(47),CHAR(62)),"&lt;/routeDistribution&gt;"))</f>
        <v/>
      </c>
    </row>
    <row r="1398" spans="1:5" x14ac:dyDescent="0.25">
      <c r="A1398">
        <v>262962063</v>
      </c>
      <c r="B1398" t="s">
        <v>1154</v>
      </c>
      <c r="E1398" t="str">
        <f>IF(OR(E1397="&lt;/routeDistribution&gt;",E1397=""),"",IFERROR(_xlfn.CONCAT(VLOOKUP(DL10,Route_Column!#REF!,2,FALSE),CHAR(34)," probability=",CHAR(34),1/DL$4,CHAR(34),CHAR(47),CHAR(62)),"&lt;/routeDistribution&gt;"))</f>
        <v/>
      </c>
    </row>
    <row r="1399" spans="1:5" x14ac:dyDescent="0.25">
      <c r="A1399">
        <v>262962063</v>
      </c>
      <c r="B1399" t="s">
        <v>1173</v>
      </c>
      <c r="E1399" t="str">
        <f>IF(OR(E1398="&lt;/routeDistribution&gt;",E1398=""),"",IFERROR(_xlfn.CONCAT(VLOOKUP(DL11,Route_Column!#REF!,2,FALSE),CHAR(34)," probability=",CHAR(34),1/DL$4,CHAR(34),CHAR(47),CHAR(62)),"&lt;/routeDistribution&gt;"))</f>
        <v/>
      </c>
    </row>
    <row r="1400" spans="1:5" x14ac:dyDescent="0.25">
      <c r="A1400">
        <v>262962063</v>
      </c>
      <c r="B1400" t="s">
        <v>1174</v>
      </c>
      <c r="E1400" t="str">
        <f>IF(OR(E1399="&lt;/routeDistribution&gt;",E1399=""),"",IFERROR(_xlfn.CONCAT(VLOOKUP(DL12,Route_Column!#REF!,2,FALSE),CHAR(34)," probability=",CHAR(34),1/DL$4,CHAR(34),CHAR(47),CHAR(62)),"&lt;/routeDistribution&gt;"))</f>
        <v/>
      </c>
    </row>
    <row r="1401" spans="1:5" x14ac:dyDescent="0.25">
      <c r="A1401">
        <v>262962063</v>
      </c>
      <c r="B1401" t="s">
        <v>1175</v>
      </c>
      <c r="E1401" t="str">
        <f>IF(OR(E1400="&lt;/routeDistribution&gt;",E1400=""),"",IFERROR(_xlfn.CONCAT(VLOOKUP(DL13,Route_Column!#REF!,2,FALSE),CHAR(34)," probability=",CHAR(34),1/DL$4,CHAR(34),CHAR(47),CHAR(62)),"&lt;/routeDistribution&gt;"))</f>
        <v/>
      </c>
    </row>
    <row r="1402" spans="1:5" x14ac:dyDescent="0.25">
      <c r="A1402">
        <v>262962063</v>
      </c>
      <c r="B1402" t="s">
        <v>1176</v>
      </c>
      <c r="E1402" t="str">
        <f>IF(OR(E1401="&lt;/routeDistribution&gt;",E1401=""),"",IFERROR(_xlfn.CONCAT(VLOOKUP(DL14,Route_Column!#REF!,2,FALSE),CHAR(34)," probability=",CHAR(34),1/DL$4,CHAR(34),CHAR(47),CHAR(62)),"&lt;/routeDistribution&gt;"))</f>
        <v/>
      </c>
    </row>
    <row r="1403" spans="1:5" x14ac:dyDescent="0.25">
      <c r="A1403">
        <v>262962063</v>
      </c>
      <c r="B1403" t="s">
        <v>1177</v>
      </c>
      <c r="E1403" t="str">
        <f>IF(OR(E1402="&lt;/routeDistribution&gt;",E1402=""),"",IFERROR(_xlfn.CONCAT(VLOOKUP(DL15,Route_Column!#REF!,2,FALSE),CHAR(34)," probability=",CHAR(34),1/DL$4,CHAR(34),CHAR(47),CHAR(62)),"&lt;/routeDistribution&gt;"))</f>
        <v/>
      </c>
    </row>
    <row r="1404" spans="1:5" x14ac:dyDescent="0.25">
      <c r="A1404">
        <v>262962063</v>
      </c>
      <c r="B1404" t="s">
        <v>1178</v>
      </c>
      <c r="E1404" t="str">
        <f>IF(OR(E1403="&lt;/routeDistribution&gt;",E1403=""),"",IFERROR(_xlfn.CONCAT(VLOOKUP(DL16,Route_Column!#REF!,2,FALSE),CHAR(34)," probability=",CHAR(34),1/DL$4,CHAR(34),CHAR(47),CHAR(62)),"&lt;/routeDistribution&gt;"))</f>
        <v/>
      </c>
    </row>
    <row r="1405" spans="1:5" x14ac:dyDescent="0.25">
      <c r="A1405">
        <v>262962063</v>
      </c>
      <c r="B1405" t="s">
        <v>1179</v>
      </c>
      <c r="E1405" t="str">
        <f>IF(OR(E1404="&lt;/routeDistribution&gt;",E1404=""),"",IFERROR(_xlfn.CONCAT(VLOOKUP(DL17,Route_Column!#REF!,2,FALSE),CHAR(34)," probability=",CHAR(34),1/DL$4,CHAR(34),CHAR(47),CHAR(62)),"&lt;/routeDistribution&gt;"))</f>
        <v/>
      </c>
    </row>
    <row r="1406" spans="1:5" x14ac:dyDescent="0.25">
      <c r="A1406">
        <v>262962063</v>
      </c>
      <c r="B1406" t="s">
        <v>1180</v>
      </c>
      <c r="E1406" t="str">
        <f>IF(OR(E1405="&lt;/routeDistribution&gt;",E1405=""),"",IFERROR(_xlfn.CONCAT(VLOOKUP(DL18,Route_Column!#REF!,2,FALSE),CHAR(34)," probability=",CHAR(34),1/DL$4,CHAR(34),CHAR(47),CHAR(62)),"&lt;/routeDistribution&gt;"))</f>
        <v/>
      </c>
    </row>
    <row r="1407" spans="1:5" x14ac:dyDescent="0.25">
      <c r="A1407">
        <v>262962063</v>
      </c>
      <c r="B1407" t="s">
        <v>1181</v>
      </c>
      <c r="E1407" t="str">
        <f>IF(OR(E1406="&lt;/routeDistribution&gt;",E1406=""),"",IFERROR(_xlfn.CONCAT(VLOOKUP(DL19,Route_Column!#REF!,2,FALSE),CHAR(34)," probability=",CHAR(34),1/DL$4,CHAR(34),CHAR(47),CHAR(62)),"&lt;/routeDistribution&gt;"))</f>
        <v/>
      </c>
    </row>
    <row r="1408" spans="1:5" x14ac:dyDescent="0.25">
      <c r="A1408">
        <v>262962063</v>
      </c>
      <c r="B1408" t="s">
        <v>1182</v>
      </c>
      <c r="E1408" t="str">
        <f>IF(OR(E1407="&lt;/routeDistribution&gt;",E1407=""),"",IFERROR(_xlfn.CONCAT(VLOOKUP(DL20,Route_Column!#REF!,2,FALSE),CHAR(34)," probability=",CHAR(34),1/DL$4,CHAR(34),CHAR(47),CHAR(62)),"&lt;/routeDistribution&gt;"))</f>
        <v/>
      </c>
    </row>
    <row r="1409" spans="1:5" x14ac:dyDescent="0.25">
      <c r="A1409">
        <v>262962063</v>
      </c>
      <c r="B1409" t="s">
        <v>1183</v>
      </c>
      <c r="E1409" t="str">
        <f>IF(OR(E1408="&lt;/routeDistribution&gt;",E1408=""),"",IFERROR(_xlfn.CONCAT(VLOOKUP(DL21,Route_Column!#REF!,2,FALSE),CHAR(34)," probability=",CHAR(34),1/DL$4,CHAR(34),CHAR(47),CHAR(62)),"&lt;/routeDistribution&gt;"))</f>
        <v/>
      </c>
    </row>
    <row r="1410" spans="1:5" x14ac:dyDescent="0.25">
      <c r="A1410">
        <v>262962063</v>
      </c>
      <c r="B1410" t="s">
        <v>1184</v>
      </c>
      <c r="E1410" t="str">
        <f>IF(OR(E1409="&lt;/routeDistribution&gt;",E1409=""),"",IFERROR(_xlfn.CONCAT(VLOOKUP(DL22,Route_Column!#REF!,2,FALSE),CHAR(34)," probability=",CHAR(34),1/DL$4,CHAR(34),CHAR(47),CHAR(62)),"&lt;/routeDistribution&gt;"))</f>
        <v/>
      </c>
    </row>
    <row r="1411" spans="1:5" x14ac:dyDescent="0.25">
      <c r="A1411">
        <v>262962063</v>
      </c>
      <c r="B1411" t="s">
        <v>1185</v>
      </c>
      <c r="E1411" t="str">
        <f>IF(OR(E1410="&lt;/routeDistribution&gt;",E1410=""),"",IFERROR(_xlfn.CONCAT(VLOOKUP(DL23,Route_Column!#REF!,2,FALSE),CHAR(34)," probability=",CHAR(34),1/DL$4,CHAR(34),CHAR(47),CHAR(62)),"&lt;/routeDistribution&gt;"))</f>
        <v/>
      </c>
    </row>
    <row r="1412" spans="1:5" x14ac:dyDescent="0.25">
      <c r="A1412">
        <v>262962063</v>
      </c>
      <c r="B1412" t="s">
        <v>1186</v>
      </c>
      <c r="E1412" t="str">
        <f>IF(OR(E1411="&lt;/routeDistribution&gt;",E1411=""),"",IFERROR(_xlfn.CONCAT(VLOOKUP(DL24,Route_Column!#REF!,2,FALSE),CHAR(34)," probability=",CHAR(34),1/DL$4,CHAR(34),CHAR(47),CHAR(62)),"&lt;/routeDistribution&gt;"))</f>
        <v/>
      </c>
    </row>
    <row r="1413" spans="1:5" x14ac:dyDescent="0.25">
      <c r="A1413">
        <v>262962063</v>
      </c>
      <c r="B1413" t="s">
        <v>1187</v>
      </c>
      <c r="E1413" t="str">
        <f>IF(OR(E1412="&lt;/routeDistribution&gt;",E1412=""),"",IFERROR(_xlfn.CONCAT(VLOOKUP(DL25,Route_Column!#REF!,2,FALSE),CHAR(34)," probability=",CHAR(34),1/DL$4,CHAR(34),CHAR(47),CHAR(62)),"&lt;/routeDistribution&gt;"))</f>
        <v/>
      </c>
    </row>
    <row r="1414" spans="1:5" x14ac:dyDescent="0.25">
      <c r="A1414">
        <v>262962063</v>
      </c>
      <c r="B1414" t="s">
        <v>1188</v>
      </c>
      <c r="E1414" t="str">
        <f>IF(OR(E1413="&lt;/routeDistribution&gt;",E1413=""),"",IFERROR(_xlfn.CONCAT(VLOOKUP(DL26,Route_Column!#REF!,2,FALSE),CHAR(34)," probability=",CHAR(34),1/DL$4,CHAR(34),CHAR(47),CHAR(62)),"&lt;/routeDistribution&gt;"))</f>
        <v/>
      </c>
    </row>
    <row r="1415" spans="1:5" x14ac:dyDescent="0.25">
      <c r="A1415">
        <v>262962063</v>
      </c>
      <c r="B1415" t="s">
        <v>1189</v>
      </c>
      <c r="E1415" t="str">
        <f>IF(OR(E1414="&lt;/routeDistribution&gt;",E1414=""),"",IFERROR(_xlfn.CONCAT(VLOOKUP(DL27,Route_Column!#REF!,2,FALSE),CHAR(34)," probability=",CHAR(34),1/DL$4,CHAR(34),CHAR(47),CHAR(62)),"&lt;/routeDistribution&gt;"))</f>
        <v/>
      </c>
    </row>
    <row r="1416" spans="1:5" x14ac:dyDescent="0.25">
      <c r="A1416">
        <v>262962063</v>
      </c>
      <c r="B1416" t="s">
        <v>1191</v>
      </c>
      <c r="E1416" t="str">
        <f>IF(OR(E1415="&lt;/routeDistribution&gt;",E1415=""),"",IFERROR(_xlfn.CONCAT(VLOOKUP(DL28,Route_Column!#REF!,2,FALSE),CHAR(34)," probability=",CHAR(34),1/DL$4,CHAR(34),CHAR(47),CHAR(62)),"&lt;/routeDistribution&gt;"))</f>
        <v/>
      </c>
    </row>
    <row r="1417" spans="1:5" x14ac:dyDescent="0.25">
      <c r="A1417">
        <v>262962063</v>
      </c>
      <c r="B1417" t="s">
        <v>1191</v>
      </c>
      <c r="E1417" t="str">
        <f>IF(OR(E1416="&lt;/routeDistribution&gt;",E1416=""),"",IFERROR(_xlfn.CONCAT(VLOOKUP(DL29,Route_Column!#REF!,2,FALSE),CHAR(34)," probability=",CHAR(34),1/DL$4,CHAR(34),CHAR(47),CHAR(62)),"&lt;/routeDistribution&gt;"))</f>
        <v/>
      </c>
    </row>
    <row r="1418" spans="1:5" x14ac:dyDescent="0.25">
      <c r="A1418">
        <v>262962063</v>
      </c>
      <c r="B1418" t="s">
        <v>1192</v>
      </c>
      <c r="E1418" t="str">
        <f>IF(OR(E1417="&lt;/routeDistribution&gt;",E1417=""),"",IFERROR(_xlfn.CONCAT(VLOOKUP(DL30,Route_Column!#REF!,2,FALSE),CHAR(34)," probability=",CHAR(34),1/DL$4,CHAR(34),CHAR(47),CHAR(62)),"&lt;/routeDistribution&gt;"))</f>
        <v/>
      </c>
    </row>
    <row r="1419" spans="1:5" x14ac:dyDescent="0.25">
      <c r="A1419">
        <v>262962063</v>
      </c>
      <c r="B1419" t="s">
        <v>1193</v>
      </c>
      <c r="E1419" t="str">
        <f>IF(OR(E1418="&lt;/routeDistribution&gt;",E1418=""),"",IFERROR(_xlfn.CONCAT(VLOOKUP(DL31,Route_Column!#REF!,2,FALSE),CHAR(34)," probability=",CHAR(34),1/DL$4,CHAR(34),CHAR(47),CHAR(62)),"&lt;/routeDistribution&gt;"))</f>
        <v/>
      </c>
    </row>
    <row r="1420" spans="1:5" x14ac:dyDescent="0.25">
      <c r="A1420">
        <v>262962063</v>
      </c>
      <c r="B1420" t="s">
        <v>1194</v>
      </c>
      <c r="E1420" t="str">
        <f>IF(OR(E1419="&lt;/routeDistribution&gt;",E1419=""),"",IFERROR(_xlfn.CONCAT(VLOOKUP(DL32,Route_Column!#REF!,2,FALSE),CHAR(34)," probability=",CHAR(34),1/DL$4,CHAR(34),CHAR(47),CHAR(62)),"&lt;/routeDistribution&gt;"))</f>
        <v/>
      </c>
    </row>
    <row r="1421" spans="1:5" x14ac:dyDescent="0.25">
      <c r="A1421">
        <v>262962063</v>
      </c>
      <c r="B1421" t="s">
        <v>1195</v>
      </c>
      <c r="E1421" t="str">
        <f>IF(OR(E1420="&lt;/routeDistribution&gt;",E1420=""),"",IFERROR(_xlfn.CONCAT(VLOOKUP(DL33,Route_Column!#REF!,2,FALSE),CHAR(34)," probability=",CHAR(34),1/DL$4,CHAR(34),CHAR(47),CHAR(62)),"&lt;/routeDistribution&gt;"))</f>
        <v/>
      </c>
    </row>
    <row r="1422" spans="1:5" x14ac:dyDescent="0.25">
      <c r="A1422">
        <v>262962063</v>
      </c>
      <c r="B1422" t="s">
        <v>1196</v>
      </c>
      <c r="E1422" t="str">
        <f>IF(OR(E1421="&lt;/routeDistribution&gt;",E1421=""),"",IFERROR(_xlfn.CONCAT(VLOOKUP(DL34,Route_Column!#REF!,2,FALSE),CHAR(34)," probability=",CHAR(34),1/DL$4,CHAR(34),CHAR(47),CHAR(62)),"&lt;/routeDistribution&gt;"))</f>
        <v/>
      </c>
    </row>
    <row r="1423" spans="1:5" x14ac:dyDescent="0.25">
      <c r="A1423">
        <v>262962063</v>
      </c>
      <c r="B1423" t="s">
        <v>1197</v>
      </c>
      <c r="E1423" t="str">
        <f>IF(OR(E1422="&lt;/routeDistribution&gt;",E1422=""),"",IFERROR(_xlfn.CONCAT(VLOOKUP(DL35,Route_Column!#REF!,2,FALSE),CHAR(34)," probability=",CHAR(34),1/DL$4,CHAR(34),CHAR(47),CHAR(62)),"&lt;/routeDistribution&gt;"))</f>
        <v/>
      </c>
    </row>
    <row r="1424" spans="1:5" x14ac:dyDescent="0.25">
      <c r="A1424">
        <v>262962063</v>
      </c>
      <c r="B1424" t="s">
        <v>1198</v>
      </c>
      <c r="E1424" t="str">
        <f>IF(OR(E1423="&lt;/routeDistribution&gt;",E1423=""),"",IFERROR(_xlfn.CONCAT(VLOOKUP(DL36,Route_Column!#REF!,2,FALSE),CHAR(34)," probability=",CHAR(34),1/DL$4,CHAR(34),CHAR(47),CHAR(62)),"&lt;/routeDistribution&gt;"))</f>
        <v/>
      </c>
    </row>
    <row r="1425" spans="1:5" x14ac:dyDescent="0.25">
      <c r="A1425">
        <v>273888485</v>
      </c>
      <c r="B1425" t="s">
        <v>1113</v>
      </c>
      <c r="E1425" t="str">
        <f>IF(OR(E1424="&lt;/routeDistribution&gt;",E1424=""),"",IFERROR(_xlfn.CONCAT(VLOOKUP(DL37,Route_Column!#REF!,2,FALSE),CHAR(34)," probability=",CHAR(34),1/DL$4,CHAR(34),CHAR(47),CHAR(62)),"&lt;/routeDistribution&gt;"))</f>
        <v/>
      </c>
    </row>
    <row r="1426" spans="1:5" x14ac:dyDescent="0.25">
      <c r="A1426">
        <v>273888485</v>
      </c>
      <c r="B1426" t="s">
        <v>1114</v>
      </c>
      <c r="E1426" t="str">
        <f>IF(OR(E1425="&lt;/routeDistribution&gt;",E1425=""),"",IFERROR(_xlfn.CONCAT(VLOOKUP(DL38,Route_Column!#REF!,2,FALSE),CHAR(34)," probability=",CHAR(34),1/DL$4,CHAR(34),CHAR(47),CHAR(62)),"&lt;/routeDistribution&gt;"))</f>
        <v/>
      </c>
    </row>
    <row r="1427" spans="1:5" x14ac:dyDescent="0.25">
      <c r="A1427">
        <v>273888485</v>
      </c>
      <c r="B1427" t="s">
        <v>1133</v>
      </c>
      <c r="E1427" t="str">
        <f>IF(OR(E1426="&lt;/routeDistribution&gt;",E1426=""),"",IFERROR(_xlfn.CONCAT(VLOOKUP(DL39,Route_Column!#REF!,2,FALSE),CHAR(34)," probability=",CHAR(34),1/DL$4,CHAR(34),CHAR(47),CHAR(62)),"&lt;/routeDistribution&gt;"))</f>
        <v/>
      </c>
    </row>
    <row r="1428" spans="1:5" x14ac:dyDescent="0.25">
      <c r="A1428">
        <v>273888488.10000002</v>
      </c>
      <c r="B1428" t="s">
        <v>1112</v>
      </c>
      <c r="E1428" t="str">
        <f>IF(OR(E1427="&lt;/routeDistribution&gt;",E1427=""),"",IFERROR(_xlfn.CONCAT(VLOOKUP(DL40,Route_Column!#REF!,2,FALSE),CHAR(34)," probability=",CHAR(34),1/DL$4,CHAR(34),CHAR(47),CHAR(62)),"&lt;/routeDistribution&gt;"))</f>
        <v/>
      </c>
    </row>
    <row r="1429" spans="1:5" x14ac:dyDescent="0.25">
      <c r="A1429">
        <v>273888488.10000002</v>
      </c>
      <c r="B1429" t="s">
        <v>1113</v>
      </c>
      <c r="E1429" t="str">
        <f>IF(OR(E1428="&lt;/routeDistribution&gt;",E1428=""),"",IFERROR(_xlfn.CONCAT(VLOOKUP(DL41,Route_Column!#REF!,2,FALSE),CHAR(34)," probability=",CHAR(34),1/DL$4,CHAR(34),CHAR(47),CHAR(62)),"&lt;/routeDistribution&gt;"))</f>
        <v/>
      </c>
    </row>
    <row r="1430" spans="1:5" x14ac:dyDescent="0.25">
      <c r="A1430">
        <v>273888488.10000002</v>
      </c>
      <c r="B1430" t="s">
        <v>1114</v>
      </c>
      <c r="E1430" t="str">
        <f>IF(OR(E1429="&lt;/routeDistribution&gt;",E1429=""),"",IFERROR(_xlfn.CONCAT(VLOOKUP(DL42,Route_Column!#REF!,2,FALSE),CHAR(34)," probability=",CHAR(34),1/DL$4,CHAR(34),CHAR(47),CHAR(62)),"&lt;/routeDistribution&gt;"))</f>
        <v/>
      </c>
    </row>
    <row r="1431" spans="1:5" x14ac:dyDescent="0.25">
      <c r="A1431">
        <v>283621820</v>
      </c>
      <c r="B1431" t="s">
        <v>1112</v>
      </c>
      <c r="E1431" t="str">
        <f>IF(OR(E1430="&lt;/routeDistribution&gt;",E1430=""),"",IFERROR(_xlfn.CONCAT(VLOOKUP(DL43,Route_Column!#REF!,2,FALSE),CHAR(34)," probability=",CHAR(34),1/DL$4,CHAR(34),CHAR(47),CHAR(62)),"&lt;/routeDistribution&gt;"))</f>
        <v/>
      </c>
    </row>
    <row r="1432" spans="1:5" x14ac:dyDescent="0.25">
      <c r="A1432">
        <v>283621820</v>
      </c>
      <c r="B1432" t="s">
        <v>1113</v>
      </c>
      <c r="E1432" t="str">
        <f>IF(OR(E1431="&lt;/routeDistribution&gt;",E1431=""),"",IFERROR(_xlfn.CONCAT(VLOOKUP(DL44,Route_Column!#REF!,2,FALSE),CHAR(34)," probability=",CHAR(34),1/DL$4,CHAR(34),CHAR(47),CHAR(62)),"&lt;/routeDistribution&gt;"))</f>
        <v/>
      </c>
    </row>
    <row r="1433" spans="1:5" x14ac:dyDescent="0.25">
      <c r="A1433">
        <v>283621820</v>
      </c>
      <c r="B1433" t="s">
        <v>1114</v>
      </c>
      <c r="E1433" t="str">
        <f>IF(OR(E1432="&lt;/routeDistribution&gt;",E1432=""),"",IFERROR(_xlfn.CONCAT(VLOOKUP(DL45,Route_Column!#REF!,2,FALSE),CHAR(34)," probability=",CHAR(34),1/DL$4,CHAR(34),CHAR(47),CHAR(62)),"&lt;/routeDistribution&gt;"))</f>
        <v/>
      </c>
    </row>
    <row r="1434" spans="1:5" x14ac:dyDescent="0.25">
      <c r="A1434">
        <v>283621820</v>
      </c>
      <c r="B1434" t="s">
        <v>1114</v>
      </c>
      <c r="E1434" t="str">
        <f>IF(OR(E1433="&lt;/routeDistribution&gt;",E1433=""),"",IFERROR(_xlfn.CONCAT(VLOOKUP(DL46,Route_Column!#REF!,2,FALSE),CHAR(34)," probability=",CHAR(34),1/DL$4,CHAR(34),CHAR(47),CHAR(62)),"&lt;/routeDistribution&gt;"))</f>
        <v/>
      </c>
    </row>
    <row r="1435" spans="1:5" x14ac:dyDescent="0.25">
      <c r="A1435">
        <v>283621820</v>
      </c>
      <c r="B1435" t="s">
        <v>1115</v>
      </c>
      <c r="E1435" t="str">
        <f>IF(OR(E1434="&lt;/routeDistribution&gt;",E1434=""),"",IFERROR(_xlfn.CONCAT(VLOOKUP(DL47,Route_Column!#REF!,2,FALSE),CHAR(34)," probability=",CHAR(34),1/DL$4,CHAR(34),CHAR(47),CHAR(62)),"&lt;/routeDistribution&gt;"))</f>
        <v/>
      </c>
    </row>
    <row r="1436" spans="1:5" x14ac:dyDescent="0.25">
      <c r="A1436">
        <v>283621820</v>
      </c>
      <c r="B1436" t="s">
        <v>1166</v>
      </c>
      <c r="E1436" t="str">
        <f>IF(OR(E1435="&lt;/routeDistribution&gt;",E1435=""),"",IFERROR(_xlfn.CONCAT(VLOOKUP(DL48,Route_Column!#REF!,2,FALSE),CHAR(34)," probability=",CHAR(34),1/DL$4,CHAR(34),CHAR(47),CHAR(62)),"&lt;/routeDistribution&gt;"))</f>
        <v/>
      </c>
    </row>
    <row r="1437" spans="1:5" x14ac:dyDescent="0.25">
      <c r="A1437">
        <v>283621820</v>
      </c>
      <c r="B1437" t="s">
        <v>1167</v>
      </c>
      <c r="E1437" t="str">
        <f>IF(OR(E1436="&lt;/routeDistribution&gt;",E1436=""),"",IFERROR(_xlfn.CONCAT(VLOOKUP(DL49,Route_Column!#REF!,2,FALSE),CHAR(34)," probability=",CHAR(34),1/DL$4,CHAR(34),CHAR(47),CHAR(62)),"&lt;/routeDistribution&gt;"))</f>
        <v/>
      </c>
    </row>
    <row r="1438" spans="1:5" x14ac:dyDescent="0.25">
      <c r="A1438">
        <v>283621820</v>
      </c>
      <c r="B1438" t="s">
        <v>1168</v>
      </c>
      <c r="E1438" t="str">
        <f>IF(OR(E1437="&lt;/routeDistribution&gt;",E1437=""),"",IFERROR(_xlfn.CONCAT(VLOOKUP(DL50,Route_Column!#REF!,2,FALSE),CHAR(34)," probability=",CHAR(34),1/DL$4,CHAR(34),CHAR(47),CHAR(62)),"&lt;/routeDistribution&gt;"))</f>
        <v/>
      </c>
    </row>
    <row r="1439" spans="1:5" x14ac:dyDescent="0.25">
      <c r="A1439">
        <v>283621820</v>
      </c>
      <c r="B1439" t="s">
        <v>1186</v>
      </c>
      <c r="E1439" t="str">
        <f>IF(OR(E1438="&lt;/routeDistribution&gt;",E1438=""),"",IFERROR(_xlfn.CONCAT(VLOOKUP(DL51,Route_Column!#REF!,2,FALSE),CHAR(34)," probability=",CHAR(34),1/DL$4,CHAR(34),CHAR(47),CHAR(62)),"&lt;/routeDistribution&gt;"))</f>
        <v/>
      </c>
    </row>
    <row r="1440" spans="1:5" x14ac:dyDescent="0.25">
      <c r="A1440">
        <v>283621820</v>
      </c>
      <c r="B1440" t="s">
        <v>1189</v>
      </c>
      <c r="E1440" t="str">
        <f>IF(OR(E1439="&lt;/routeDistribution&gt;",E1439=""),"",IFERROR(_xlfn.CONCAT(VLOOKUP(DL52,Route_Column!#REF!,2,FALSE),CHAR(34)," probability=",CHAR(34),1/DL$4,CHAR(34),CHAR(47),CHAR(62)),"&lt;/routeDistribution&gt;"))</f>
        <v/>
      </c>
    </row>
    <row r="1441" spans="1:5" x14ac:dyDescent="0.25">
      <c r="A1441">
        <v>283621823</v>
      </c>
      <c r="B1441" t="s">
        <v>1113</v>
      </c>
      <c r="E1441" t="str">
        <f>IF(OR(E1440="&lt;/routeDistribution&gt;",E1440=""),"",IFERROR(_xlfn.CONCAT(VLOOKUP(DL53,Route_Column!#REF!,2,FALSE),CHAR(34)," probability=",CHAR(34),1/DL$4,CHAR(34),CHAR(47),CHAR(62)),"&lt;/routeDistribution&gt;"))</f>
        <v/>
      </c>
    </row>
    <row r="1442" spans="1:5" x14ac:dyDescent="0.25">
      <c r="A1442">
        <v>283621823</v>
      </c>
      <c r="B1442" t="s">
        <v>1114</v>
      </c>
      <c r="E1442" t="str">
        <f>IF(OR(E1441="&lt;/routeDistribution&gt;",E1441=""),"",IFERROR(_xlfn.CONCAT(VLOOKUP(DL54,Route_Column!#REF!,2,FALSE),CHAR(34)," probability=",CHAR(34),1/DL$4,CHAR(34),CHAR(47),CHAR(62)),"&lt;/routeDistribution&gt;"))</f>
        <v/>
      </c>
    </row>
    <row r="1443" spans="1:5" x14ac:dyDescent="0.25">
      <c r="A1443">
        <v>283621823</v>
      </c>
      <c r="B1443" t="s">
        <v>1115</v>
      </c>
      <c r="E1443" t="str">
        <f>IF(OR(E1442="&lt;/routeDistribution&gt;",E1442=""),"",IFERROR(_xlfn.CONCAT(VLOOKUP(DL55,Route_Column!#REF!,2,FALSE),CHAR(34)," probability=",CHAR(34),1/DL$4,CHAR(34),CHAR(47),CHAR(62)),"&lt;/routeDistribution&gt;"))</f>
        <v/>
      </c>
    </row>
    <row r="1444" spans="1:5" x14ac:dyDescent="0.25">
      <c r="A1444">
        <v>283621823</v>
      </c>
      <c r="B1444" t="s">
        <v>1133</v>
      </c>
      <c r="E1444" t="str">
        <f>IF(OR(E1443="&lt;/routeDistribution&gt;",E1443=""),"",IFERROR(_xlfn.CONCAT(VLOOKUP(DL56,Route_Column!#REF!,2,FALSE),CHAR(34)," probability=",CHAR(34),1/DL$4,CHAR(34),CHAR(47),CHAR(62)),"&lt;/routeDistribution&gt;"))</f>
        <v/>
      </c>
    </row>
    <row r="1445" spans="1:5" x14ac:dyDescent="0.25">
      <c r="A1445">
        <v>283621823</v>
      </c>
      <c r="B1445" t="s">
        <v>1166</v>
      </c>
      <c r="E1445" t="str">
        <f>IF(OR(E1444="&lt;/routeDistribution&gt;",E1444=""),"",IFERROR(_xlfn.CONCAT(VLOOKUP(DL57,Route_Column!#REF!,2,FALSE),CHAR(34)," probability=",CHAR(34),1/DL$4,CHAR(34),CHAR(47),CHAR(62)),"&lt;/routeDistribution&gt;"))</f>
        <v/>
      </c>
    </row>
    <row r="1446" spans="1:5" x14ac:dyDescent="0.25">
      <c r="A1446">
        <v>283621823</v>
      </c>
      <c r="B1446" t="s">
        <v>1167</v>
      </c>
      <c r="E1446" t="str">
        <f>IF(OR(E1445="&lt;/routeDistribution&gt;",E1445=""),"",IFERROR(_xlfn.CONCAT(VLOOKUP(DL58,Route_Column!#REF!,2,FALSE),CHAR(34)," probability=",CHAR(34),1/DL$4,CHAR(34),CHAR(47),CHAR(62)),"&lt;/routeDistribution&gt;"))</f>
        <v/>
      </c>
    </row>
    <row r="1447" spans="1:5" x14ac:dyDescent="0.25">
      <c r="A1447">
        <v>283621823</v>
      </c>
      <c r="B1447" t="s">
        <v>1168</v>
      </c>
      <c r="E1447" t="str">
        <f>IF(OR(E1446="&lt;/routeDistribution&gt;",E1446=""),"",IFERROR(_xlfn.CONCAT(VLOOKUP(DL59,Route_Column!#REF!,2,FALSE),CHAR(34)," probability=",CHAR(34),1/DL$4,CHAR(34),CHAR(47),CHAR(62)),"&lt;/routeDistribution&gt;"))</f>
        <v/>
      </c>
    </row>
    <row r="1448" spans="1:5" x14ac:dyDescent="0.25">
      <c r="A1448">
        <v>283621823</v>
      </c>
      <c r="B1448" t="s">
        <v>1186</v>
      </c>
      <c r="E1448" t="str">
        <f>IF(OR(E1447="&lt;/routeDistribution&gt;",E1447=""),"",IFERROR(_xlfn.CONCAT(VLOOKUP(DL60,Route_Column!#REF!,2,FALSE),CHAR(34)," probability=",CHAR(34),1/DL$4,CHAR(34),CHAR(47),CHAR(62)),"&lt;/routeDistribution&gt;"))</f>
        <v/>
      </c>
    </row>
    <row r="1449" spans="1:5" x14ac:dyDescent="0.25">
      <c r="A1449">
        <v>283621823</v>
      </c>
      <c r="B1449" t="s">
        <v>1187</v>
      </c>
      <c r="E1449" t="str">
        <f>IF(OR(E1448="&lt;/routeDistribution&gt;",E1448=""),"",IFERROR(_xlfn.CONCAT(VLOOKUP(DL61,Route_Column!#REF!,2,FALSE),CHAR(34)," probability=",CHAR(34),1/DL$4,CHAR(34),CHAR(47),CHAR(62)),"&lt;/routeDistribution&gt;"))</f>
        <v/>
      </c>
    </row>
    <row r="1450" spans="1:5" x14ac:dyDescent="0.25">
      <c r="A1450">
        <v>283621823</v>
      </c>
      <c r="B1450" t="s">
        <v>1188</v>
      </c>
      <c r="E1450" t="str">
        <f>IF(OR(E1449="&lt;/routeDistribution&gt;",E1449=""),"",IFERROR(_xlfn.CONCAT(VLOOKUP(DL62,Route_Column!#REF!,2,FALSE),CHAR(34)," probability=",CHAR(34),1/DL$4,CHAR(34),CHAR(47),CHAR(62)),"&lt;/routeDistribution&gt;"))</f>
        <v/>
      </c>
    </row>
    <row r="1451" spans="1:5" x14ac:dyDescent="0.25">
      <c r="A1451">
        <v>283621823</v>
      </c>
      <c r="B1451" t="s">
        <v>1189</v>
      </c>
      <c r="E1451" t="str">
        <f>IF(OR(E1450="&lt;/routeDistribution&gt;",E1450=""),"",IFERROR(_xlfn.CONCAT(VLOOKUP(DL63,Route_Column!#REF!,2,FALSE),CHAR(34)," probability=",CHAR(34),1/DL$4,CHAR(34),CHAR(47),CHAR(62)),"&lt;/routeDistribution&gt;"))</f>
        <v/>
      </c>
    </row>
    <row r="1452" spans="1:5" x14ac:dyDescent="0.25">
      <c r="A1452">
        <v>283621823</v>
      </c>
      <c r="B1452" t="s">
        <v>1195</v>
      </c>
      <c r="E1452" t="s">
        <v>2686</v>
      </c>
    </row>
    <row r="1453" spans="1:5" x14ac:dyDescent="0.25">
      <c r="A1453">
        <v>283621823</v>
      </c>
      <c r="B1453" t="s">
        <v>1196</v>
      </c>
    </row>
    <row r="1454" spans="1:5" x14ac:dyDescent="0.25">
      <c r="A1454">
        <v>288513232</v>
      </c>
      <c r="B1454" t="s">
        <v>1187</v>
      </c>
    </row>
    <row r="1455" spans="1:5" x14ac:dyDescent="0.25">
      <c r="A1455">
        <v>288513232</v>
      </c>
      <c r="B1455" t="s">
        <v>1188</v>
      </c>
      <c r="E1455" t="str">
        <f>_xlfn.CONCAT($E$1,DK$2,$F$1)</f>
        <v>&lt;routeDistribution id="I-76-SPGRST-to-Girdard-WB-2015-RouteProbe"&gt;</v>
      </c>
    </row>
    <row r="1456" spans="1:5" x14ac:dyDescent="0.25">
      <c r="A1456">
        <v>288513232</v>
      </c>
      <c r="B1456" t="s">
        <v>1195</v>
      </c>
      <c r="E1456" t="str">
        <f>IF(OR(E1455="&lt;/routeDistribution&gt;",E1455=""),"",IFERROR(_xlfn.CONCAT(VLOOKUP(DK5,Route_Column!#REF!,2,FALSE),CHAR(34)," probability=",CHAR(34),1/DK$4,CHAR(34),CHAR(47),CHAR(62)),"&lt;/routeDistribution&gt;"))</f>
        <v>&lt;/routeDistribution&gt;</v>
      </c>
    </row>
    <row r="1457" spans="1:5" x14ac:dyDescent="0.25">
      <c r="A1457">
        <v>288513232</v>
      </c>
      <c r="B1457" t="s">
        <v>1196</v>
      </c>
      <c r="E1457" t="str">
        <f>IF(OR(E1456="&lt;/routeDistribution&gt;",E1456=""),"",IFERROR(_xlfn.CONCAT(VLOOKUP(DK6,Route_Column!#REF!,2,FALSE),CHAR(34)," probability=",CHAR(34),1/DK$4,CHAR(34),CHAR(47),CHAR(62)),"&lt;/routeDistribution&gt;"))</f>
        <v/>
      </c>
    </row>
    <row r="1458" spans="1:5" x14ac:dyDescent="0.25">
      <c r="A1458">
        <v>386547301</v>
      </c>
      <c r="B1458" t="s">
        <v>1113</v>
      </c>
      <c r="E1458" t="str">
        <f>IF(OR(E1457="&lt;/routeDistribution&gt;",E1457=""),"",IFERROR(_xlfn.CONCAT(VLOOKUP(DK7,Route_Column!#REF!,2,FALSE),CHAR(34)," probability=",CHAR(34),1/DK$4,CHAR(34),CHAR(47),CHAR(62)),"&lt;/routeDistribution&gt;"))</f>
        <v/>
      </c>
    </row>
    <row r="1459" spans="1:5" x14ac:dyDescent="0.25">
      <c r="A1459">
        <v>386547301</v>
      </c>
      <c r="B1459" t="s">
        <v>1114</v>
      </c>
      <c r="E1459" t="str">
        <f>IF(OR(E1458="&lt;/routeDistribution&gt;",E1458=""),"",IFERROR(_xlfn.CONCAT(VLOOKUP(DK8,Route_Column!#REF!,2,FALSE),CHAR(34)," probability=",CHAR(34),1/DK$4,CHAR(34),CHAR(47),CHAR(62)),"&lt;/routeDistribution&gt;"))</f>
        <v/>
      </c>
    </row>
    <row r="1460" spans="1:5" x14ac:dyDescent="0.25">
      <c r="A1460">
        <v>386547301</v>
      </c>
      <c r="B1460" t="s">
        <v>1115</v>
      </c>
      <c r="E1460" t="str">
        <f>IF(OR(E1459="&lt;/routeDistribution&gt;",E1459=""),"",IFERROR(_xlfn.CONCAT(VLOOKUP(DK9,Route_Column!#REF!,2,FALSE),CHAR(34)," probability=",CHAR(34),1/DK$4,CHAR(34),CHAR(47),CHAR(62)),"&lt;/routeDistribution&gt;"))</f>
        <v/>
      </c>
    </row>
    <row r="1461" spans="1:5" x14ac:dyDescent="0.25">
      <c r="A1461">
        <v>386547301</v>
      </c>
      <c r="B1461" t="s">
        <v>1133</v>
      </c>
      <c r="E1461" t="str">
        <f>IF(OR(E1460="&lt;/routeDistribution&gt;",E1460=""),"",IFERROR(_xlfn.CONCAT(VLOOKUP(DK10,Route_Column!#REF!,2,FALSE),CHAR(34)," probability=",CHAR(34),1/DK$4,CHAR(34),CHAR(47),CHAR(62)),"&lt;/routeDistribution&gt;"))</f>
        <v/>
      </c>
    </row>
    <row r="1462" spans="1:5" x14ac:dyDescent="0.25">
      <c r="A1462">
        <v>386547301</v>
      </c>
      <c r="B1462" t="s">
        <v>1166</v>
      </c>
      <c r="E1462" t="str">
        <f>IF(OR(E1461="&lt;/routeDistribution&gt;",E1461=""),"",IFERROR(_xlfn.CONCAT(VLOOKUP(DK11,Route_Column!#REF!,2,FALSE),CHAR(34)," probability=",CHAR(34),1/DK$4,CHAR(34),CHAR(47),CHAR(62)),"&lt;/routeDistribution&gt;"))</f>
        <v/>
      </c>
    </row>
    <row r="1463" spans="1:5" x14ac:dyDescent="0.25">
      <c r="A1463">
        <v>386547301</v>
      </c>
      <c r="B1463" t="s">
        <v>1167</v>
      </c>
      <c r="E1463" t="str">
        <f>IF(OR(E1462="&lt;/routeDistribution&gt;",E1462=""),"",IFERROR(_xlfn.CONCAT(VLOOKUP(DK12,Route_Column!#REF!,2,FALSE),CHAR(34)," probability=",CHAR(34),1/DK$4,CHAR(34),CHAR(47),CHAR(62)),"&lt;/routeDistribution&gt;"))</f>
        <v/>
      </c>
    </row>
    <row r="1464" spans="1:5" x14ac:dyDescent="0.25">
      <c r="A1464">
        <v>386547301</v>
      </c>
      <c r="B1464" t="s">
        <v>1168</v>
      </c>
      <c r="E1464" t="str">
        <f>IF(OR(E1463="&lt;/routeDistribution&gt;",E1463=""),"",IFERROR(_xlfn.CONCAT(VLOOKUP(DK13,Route_Column!#REF!,2,FALSE),CHAR(34)," probability=",CHAR(34),1/DK$4,CHAR(34),CHAR(47),CHAR(62)),"&lt;/routeDistribution&gt;"))</f>
        <v/>
      </c>
    </row>
    <row r="1465" spans="1:5" x14ac:dyDescent="0.25">
      <c r="A1465">
        <v>386547301</v>
      </c>
      <c r="B1465" t="s">
        <v>1186</v>
      </c>
      <c r="E1465" t="str">
        <f>IF(OR(E1464="&lt;/routeDistribution&gt;",E1464=""),"",IFERROR(_xlfn.CONCAT(VLOOKUP(DK14,Route_Column!#REF!,2,FALSE),CHAR(34)," probability=",CHAR(34),1/DK$4,CHAR(34),CHAR(47),CHAR(62)),"&lt;/routeDistribution&gt;"))</f>
        <v/>
      </c>
    </row>
    <row r="1466" spans="1:5" x14ac:dyDescent="0.25">
      <c r="A1466">
        <v>386547301</v>
      </c>
      <c r="B1466" t="s">
        <v>1187</v>
      </c>
      <c r="E1466" t="str">
        <f>IF(OR(E1465="&lt;/routeDistribution&gt;",E1465=""),"",IFERROR(_xlfn.CONCAT(VLOOKUP(DK15,Route_Column!#REF!,2,FALSE),CHAR(34)," probability=",CHAR(34),1/DK$4,CHAR(34),CHAR(47),CHAR(62)),"&lt;/routeDistribution&gt;"))</f>
        <v/>
      </c>
    </row>
    <row r="1467" spans="1:5" x14ac:dyDescent="0.25">
      <c r="A1467">
        <v>386547301</v>
      </c>
      <c r="B1467" t="s">
        <v>1188</v>
      </c>
      <c r="E1467" t="str">
        <f>IF(OR(E1466="&lt;/routeDistribution&gt;",E1466=""),"",IFERROR(_xlfn.CONCAT(VLOOKUP(DK16,Route_Column!#REF!,2,FALSE),CHAR(34)," probability=",CHAR(34),1/DK$4,CHAR(34),CHAR(47),CHAR(62)),"&lt;/routeDistribution&gt;"))</f>
        <v/>
      </c>
    </row>
    <row r="1468" spans="1:5" x14ac:dyDescent="0.25">
      <c r="A1468">
        <v>386547301</v>
      </c>
      <c r="B1468" t="s">
        <v>1189</v>
      </c>
      <c r="E1468" t="str">
        <f>IF(OR(E1467="&lt;/routeDistribution&gt;",E1467=""),"",IFERROR(_xlfn.CONCAT(VLOOKUP(DK17,Route_Column!#REF!,2,FALSE),CHAR(34)," probability=",CHAR(34),1/DK$4,CHAR(34),CHAR(47),CHAR(62)),"&lt;/routeDistribution&gt;"))</f>
        <v/>
      </c>
    </row>
    <row r="1469" spans="1:5" x14ac:dyDescent="0.25">
      <c r="A1469">
        <v>386547301</v>
      </c>
      <c r="B1469" t="s">
        <v>1195</v>
      </c>
      <c r="E1469" t="str">
        <f>IF(OR(E1468="&lt;/routeDistribution&gt;",E1468=""),"",IFERROR(_xlfn.CONCAT(VLOOKUP(DK18,Route_Column!#REF!,2,FALSE),CHAR(34)," probability=",CHAR(34),1/DK$4,CHAR(34),CHAR(47),CHAR(62)),"&lt;/routeDistribution&gt;"))</f>
        <v/>
      </c>
    </row>
    <row r="1470" spans="1:5" x14ac:dyDescent="0.25">
      <c r="A1470">
        <v>386547301</v>
      </c>
      <c r="B1470" t="s">
        <v>1196</v>
      </c>
      <c r="E1470" t="str">
        <f>IF(OR(E1469="&lt;/routeDistribution&gt;",E1469=""),"",IFERROR(_xlfn.CONCAT(VLOOKUP(DK19,Route_Column!#REF!,2,FALSE),CHAR(34)," probability=",CHAR(34),1/DK$4,CHAR(34),CHAR(47),CHAR(62)),"&lt;/routeDistribution&gt;"))</f>
        <v/>
      </c>
    </row>
    <row r="1471" spans="1:5" x14ac:dyDescent="0.25">
      <c r="A1471" s="11">
        <v>386547310</v>
      </c>
      <c r="B1471" t="s">
        <v>1091</v>
      </c>
      <c r="E1471" t="str">
        <f>IF(OR(E1470="&lt;/routeDistribution&gt;",E1470=""),"",IFERROR(_xlfn.CONCAT(VLOOKUP(DK20,Route_Column!#REF!,2,FALSE),CHAR(34)," probability=",CHAR(34),1/DK$4,CHAR(34),CHAR(47),CHAR(62)),"&lt;/routeDistribution&gt;"))</f>
        <v/>
      </c>
    </row>
    <row r="1472" spans="1:5" x14ac:dyDescent="0.25">
      <c r="A1472" s="13">
        <v>386547310</v>
      </c>
      <c r="B1472" t="s">
        <v>1092</v>
      </c>
      <c r="E1472" t="str">
        <f>IF(OR(E1471="&lt;/routeDistribution&gt;",E1471=""),"",IFERROR(_xlfn.CONCAT(VLOOKUP(DK21,Route_Column!#REF!,2,FALSE),CHAR(34)," probability=",CHAR(34),1/DK$4,CHAR(34),CHAR(47),CHAR(62)),"&lt;/routeDistribution&gt;"))</f>
        <v/>
      </c>
    </row>
    <row r="1473" spans="1:5" x14ac:dyDescent="0.25">
      <c r="A1473">
        <v>386547310</v>
      </c>
      <c r="B1473" t="s">
        <v>1093</v>
      </c>
      <c r="E1473" t="str">
        <f>IF(OR(E1472="&lt;/routeDistribution&gt;",E1472=""),"",IFERROR(_xlfn.CONCAT(VLOOKUP(DK22,Route_Column!#REF!,2,FALSE),CHAR(34)," probability=",CHAR(34),1/DK$4,CHAR(34),CHAR(47),CHAR(62)),"&lt;/routeDistribution&gt;"))</f>
        <v/>
      </c>
    </row>
    <row r="1474" spans="1:5" x14ac:dyDescent="0.25">
      <c r="A1474">
        <v>386547310</v>
      </c>
      <c r="B1474" t="s">
        <v>1094</v>
      </c>
      <c r="E1474" t="str">
        <f>IF(OR(E1473="&lt;/routeDistribution&gt;",E1473=""),"",IFERROR(_xlfn.CONCAT(VLOOKUP(DK23,Route_Column!#REF!,2,FALSE),CHAR(34)," probability=",CHAR(34),1/DK$4,CHAR(34),CHAR(47),CHAR(62)),"&lt;/routeDistribution&gt;"))</f>
        <v/>
      </c>
    </row>
    <row r="1475" spans="1:5" x14ac:dyDescent="0.25">
      <c r="A1475">
        <v>386547310</v>
      </c>
      <c r="B1475" t="s">
        <v>1095</v>
      </c>
      <c r="E1475" t="str">
        <f>IF(OR(E1474="&lt;/routeDistribution&gt;",E1474=""),"",IFERROR(_xlfn.CONCAT(VLOOKUP(DK24,Route_Column!#REF!,2,FALSE),CHAR(34)," probability=",CHAR(34),1/DK$4,CHAR(34),CHAR(47),CHAR(62)),"&lt;/routeDistribution&gt;"))</f>
        <v/>
      </c>
    </row>
    <row r="1476" spans="1:5" x14ac:dyDescent="0.25">
      <c r="A1476">
        <v>386547310</v>
      </c>
      <c r="B1476" t="s">
        <v>1096</v>
      </c>
      <c r="E1476" t="str">
        <f>IF(OR(E1475="&lt;/routeDistribution&gt;",E1475=""),"",IFERROR(_xlfn.CONCAT(VLOOKUP(DK25,Route_Column!#REF!,2,FALSE),CHAR(34)," probability=",CHAR(34),1/DK$4,CHAR(34),CHAR(47),CHAR(62)),"&lt;/routeDistribution&gt;"))</f>
        <v/>
      </c>
    </row>
    <row r="1477" spans="1:5" x14ac:dyDescent="0.25">
      <c r="A1477">
        <v>386547310</v>
      </c>
      <c r="B1477" t="s">
        <v>1097</v>
      </c>
      <c r="E1477" t="str">
        <f>IF(OR(E1476="&lt;/routeDistribution&gt;",E1476=""),"",IFERROR(_xlfn.CONCAT(VLOOKUP(DK26,Route_Column!#REF!,2,FALSE),CHAR(34)," probability=",CHAR(34),1/DK$4,CHAR(34),CHAR(47),CHAR(62)),"&lt;/routeDistribution&gt;"))</f>
        <v/>
      </c>
    </row>
    <row r="1478" spans="1:5" x14ac:dyDescent="0.25">
      <c r="A1478">
        <v>386547310</v>
      </c>
      <c r="B1478" t="s">
        <v>1098</v>
      </c>
      <c r="E1478" t="str">
        <f>IF(OR(E1477="&lt;/routeDistribution&gt;",E1477=""),"",IFERROR(_xlfn.CONCAT(VLOOKUP(DK27,Route_Column!#REF!,2,FALSE),CHAR(34)," probability=",CHAR(34),1/DK$4,CHAR(34),CHAR(47),CHAR(62)),"&lt;/routeDistribution&gt;"))</f>
        <v/>
      </c>
    </row>
    <row r="1479" spans="1:5" x14ac:dyDescent="0.25">
      <c r="A1479">
        <v>386547310</v>
      </c>
      <c r="B1479" t="s">
        <v>1099</v>
      </c>
      <c r="E1479" t="str">
        <f>IF(OR(E1478="&lt;/routeDistribution&gt;",E1478=""),"",IFERROR(_xlfn.CONCAT(VLOOKUP(DK28,Route_Column!#REF!,2,FALSE),CHAR(34)," probability=",CHAR(34),1/DK$4,CHAR(34),CHAR(47),CHAR(62)),"&lt;/routeDistribution&gt;"))</f>
        <v/>
      </c>
    </row>
    <row r="1480" spans="1:5" x14ac:dyDescent="0.25">
      <c r="A1480">
        <v>386547310</v>
      </c>
      <c r="B1480" t="s">
        <v>1100</v>
      </c>
      <c r="E1480" t="str">
        <f>IF(OR(E1479="&lt;/routeDistribution&gt;",E1479=""),"",IFERROR(_xlfn.CONCAT(VLOOKUP(DK29,Route_Column!#REF!,2,FALSE),CHAR(34)," probability=",CHAR(34),1/DK$4,CHAR(34),CHAR(47),CHAR(62)),"&lt;/routeDistribution&gt;"))</f>
        <v/>
      </c>
    </row>
    <row r="1481" spans="1:5" x14ac:dyDescent="0.25">
      <c r="A1481">
        <v>386547310</v>
      </c>
      <c r="B1481" t="s">
        <v>1101</v>
      </c>
      <c r="E1481" t="str">
        <f>IF(OR(E1480="&lt;/routeDistribution&gt;",E1480=""),"",IFERROR(_xlfn.CONCAT(VLOOKUP(DK30,Route_Column!#REF!,2,FALSE),CHAR(34)," probability=",CHAR(34),1/DK$4,CHAR(34),CHAR(47),CHAR(62)),"&lt;/routeDistribution&gt;"))</f>
        <v/>
      </c>
    </row>
    <row r="1482" spans="1:5" x14ac:dyDescent="0.25">
      <c r="A1482">
        <v>386547310</v>
      </c>
      <c r="B1482" t="s">
        <v>1102</v>
      </c>
      <c r="E1482" t="str">
        <f>IF(OR(E1481="&lt;/routeDistribution&gt;",E1481=""),"",IFERROR(_xlfn.CONCAT(VLOOKUP(DK31,Route_Column!#REF!,2,FALSE),CHAR(34)," probability=",CHAR(34),1/DK$4,CHAR(34),CHAR(47),CHAR(62)),"&lt;/routeDistribution&gt;"))</f>
        <v/>
      </c>
    </row>
    <row r="1483" spans="1:5" x14ac:dyDescent="0.25">
      <c r="A1483">
        <v>386547310</v>
      </c>
      <c r="B1483" t="s">
        <v>1102</v>
      </c>
      <c r="E1483" t="str">
        <f>IF(OR(E1482="&lt;/routeDistribution&gt;",E1482=""),"",IFERROR(_xlfn.CONCAT(VLOOKUP(DK32,Route_Column!#REF!,2,FALSE),CHAR(34)," probability=",CHAR(34),1/DK$4,CHAR(34),CHAR(47),CHAR(62)),"&lt;/routeDistribution&gt;"))</f>
        <v/>
      </c>
    </row>
    <row r="1484" spans="1:5" x14ac:dyDescent="0.25">
      <c r="A1484">
        <v>386547310</v>
      </c>
      <c r="B1484" t="s">
        <v>1103</v>
      </c>
      <c r="E1484" t="str">
        <f>IF(OR(E1483="&lt;/routeDistribution&gt;",E1483=""),"",IFERROR(_xlfn.CONCAT(VLOOKUP(DK33,Route_Column!#REF!,2,FALSE),CHAR(34)," probability=",CHAR(34),1/DK$4,CHAR(34),CHAR(47),CHAR(62)),"&lt;/routeDistribution&gt;"))</f>
        <v/>
      </c>
    </row>
    <row r="1485" spans="1:5" x14ac:dyDescent="0.25">
      <c r="A1485">
        <v>386547310</v>
      </c>
      <c r="B1485" t="s">
        <v>1104</v>
      </c>
      <c r="E1485" t="str">
        <f>IF(OR(E1484="&lt;/routeDistribution&gt;",E1484=""),"",IFERROR(_xlfn.CONCAT(VLOOKUP(DK34,Route_Column!#REF!,2,FALSE),CHAR(34)," probability=",CHAR(34),1/DK$4,CHAR(34),CHAR(47),CHAR(62)),"&lt;/routeDistribution&gt;"))</f>
        <v/>
      </c>
    </row>
    <row r="1486" spans="1:5" x14ac:dyDescent="0.25">
      <c r="A1486">
        <v>386547310</v>
      </c>
      <c r="B1486" t="s">
        <v>1104</v>
      </c>
      <c r="E1486" t="str">
        <f>IF(OR(E1485="&lt;/routeDistribution&gt;",E1485=""),"",IFERROR(_xlfn.CONCAT(VLOOKUP(DK35,Route_Column!#REF!,2,FALSE),CHAR(34)," probability=",CHAR(34),1/DK$4,CHAR(34),CHAR(47),CHAR(62)),"&lt;/routeDistribution&gt;"))</f>
        <v/>
      </c>
    </row>
    <row r="1487" spans="1:5" x14ac:dyDescent="0.25">
      <c r="A1487">
        <v>386547310</v>
      </c>
      <c r="B1487" t="s">
        <v>1105</v>
      </c>
      <c r="E1487" t="str">
        <f>IF(OR(E1486="&lt;/routeDistribution&gt;",E1486=""),"",IFERROR(_xlfn.CONCAT(VLOOKUP(DK36,Route_Column!#REF!,2,FALSE),CHAR(34)," probability=",CHAR(34),1/DK$4,CHAR(34),CHAR(47),CHAR(62)),"&lt;/routeDistribution&gt;"))</f>
        <v/>
      </c>
    </row>
    <row r="1488" spans="1:5" x14ac:dyDescent="0.25">
      <c r="A1488">
        <v>386547310</v>
      </c>
      <c r="B1488" t="s">
        <v>1106</v>
      </c>
      <c r="E1488" t="str">
        <f>IF(OR(E1487="&lt;/routeDistribution&gt;",E1487=""),"",IFERROR(_xlfn.CONCAT(VLOOKUP(DK37,Route_Column!#REF!,2,FALSE),CHAR(34)," probability=",CHAR(34),1/DK$4,CHAR(34),CHAR(47),CHAR(62)),"&lt;/routeDistribution&gt;"))</f>
        <v/>
      </c>
    </row>
    <row r="1489" spans="1:5" x14ac:dyDescent="0.25">
      <c r="A1489">
        <v>386547310</v>
      </c>
      <c r="B1489" t="s">
        <v>1107</v>
      </c>
      <c r="E1489" t="str">
        <f>IF(OR(E1488="&lt;/routeDistribution&gt;",E1488=""),"",IFERROR(_xlfn.CONCAT(VLOOKUP(DK38,Route_Column!#REF!,2,FALSE),CHAR(34)," probability=",CHAR(34),1/DK$4,CHAR(34),CHAR(47),CHAR(62)),"&lt;/routeDistribution&gt;"))</f>
        <v/>
      </c>
    </row>
    <row r="1490" spans="1:5" x14ac:dyDescent="0.25">
      <c r="A1490">
        <v>386547310</v>
      </c>
      <c r="B1490" t="s">
        <v>1108</v>
      </c>
      <c r="E1490" t="str">
        <f>IF(OR(E1489="&lt;/routeDistribution&gt;",E1489=""),"",IFERROR(_xlfn.CONCAT(VLOOKUP(DK39,Route_Column!#REF!,2,FALSE),CHAR(34)," probability=",CHAR(34),1/DK$4,CHAR(34),CHAR(47),CHAR(62)),"&lt;/routeDistribution&gt;"))</f>
        <v/>
      </c>
    </row>
    <row r="1491" spans="1:5" x14ac:dyDescent="0.25">
      <c r="A1491">
        <v>386547310</v>
      </c>
      <c r="B1491" t="s">
        <v>1109</v>
      </c>
      <c r="E1491" t="str">
        <f>IF(OR(E1490="&lt;/routeDistribution&gt;",E1490=""),"",IFERROR(_xlfn.CONCAT(VLOOKUP(DK40,Route_Column!#REF!,2,FALSE),CHAR(34)," probability=",CHAR(34),1/DK$4,CHAR(34),CHAR(47),CHAR(62)),"&lt;/routeDistribution&gt;"))</f>
        <v/>
      </c>
    </row>
    <row r="1492" spans="1:5" x14ac:dyDescent="0.25">
      <c r="A1492">
        <v>386547310</v>
      </c>
      <c r="B1492" t="s">
        <v>1110</v>
      </c>
      <c r="E1492" t="str">
        <f>IF(OR(E1491="&lt;/routeDistribution&gt;",E1491=""),"",IFERROR(_xlfn.CONCAT(VLOOKUP(DK41,Route_Column!#REF!,2,FALSE),CHAR(34)," probability=",CHAR(34),1/DK$4,CHAR(34),CHAR(47),CHAR(62)),"&lt;/routeDistribution&gt;"))</f>
        <v/>
      </c>
    </row>
    <row r="1493" spans="1:5" x14ac:dyDescent="0.25">
      <c r="A1493">
        <v>386547310</v>
      </c>
      <c r="B1493" t="s">
        <v>1111</v>
      </c>
      <c r="E1493" t="str">
        <f>IF(OR(E1492="&lt;/routeDistribution&gt;",E1492=""),"",IFERROR(_xlfn.CONCAT(VLOOKUP(DK42,Route_Column!#REF!,2,FALSE),CHAR(34)," probability=",CHAR(34),1/DK$4,CHAR(34),CHAR(47),CHAR(62)),"&lt;/routeDistribution&gt;"))</f>
        <v/>
      </c>
    </row>
    <row r="1494" spans="1:5" x14ac:dyDescent="0.25">
      <c r="A1494">
        <v>386547310</v>
      </c>
      <c r="B1494" t="s">
        <v>1112</v>
      </c>
      <c r="E1494" t="str">
        <f>IF(OR(E1493="&lt;/routeDistribution&gt;",E1493=""),"",IFERROR(_xlfn.CONCAT(VLOOKUP(DK43,Route_Column!#REF!,2,FALSE),CHAR(34)," probability=",CHAR(34),1/DK$4,CHAR(34),CHAR(47),CHAR(62)),"&lt;/routeDistribution&gt;"))</f>
        <v/>
      </c>
    </row>
    <row r="1495" spans="1:5" x14ac:dyDescent="0.25">
      <c r="A1495">
        <v>386547310</v>
      </c>
      <c r="B1495" t="s">
        <v>1113</v>
      </c>
      <c r="E1495" t="str">
        <f>IF(OR(E1494="&lt;/routeDistribution&gt;",E1494=""),"",IFERROR(_xlfn.CONCAT(VLOOKUP(DK44,Route_Column!#REF!,2,FALSE),CHAR(34)," probability=",CHAR(34),1/DK$4,CHAR(34),CHAR(47),CHAR(62)),"&lt;/routeDistribution&gt;"))</f>
        <v/>
      </c>
    </row>
    <row r="1496" spans="1:5" x14ac:dyDescent="0.25">
      <c r="A1496">
        <v>386547310</v>
      </c>
      <c r="B1496" t="s">
        <v>1114</v>
      </c>
      <c r="E1496" t="str">
        <f>IF(OR(E1495="&lt;/routeDistribution&gt;",E1495=""),"",IFERROR(_xlfn.CONCAT(VLOOKUP(DK45,Route_Column!#REF!,2,FALSE),CHAR(34)," probability=",CHAR(34),1/DK$4,CHAR(34),CHAR(47),CHAR(62)),"&lt;/routeDistribution&gt;"))</f>
        <v/>
      </c>
    </row>
    <row r="1497" spans="1:5" x14ac:dyDescent="0.25">
      <c r="A1497">
        <v>386547310</v>
      </c>
      <c r="B1497" t="s">
        <v>1115</v>
      </c>
      <c r="E1497" t="str">
        <f>IF(OR(E1496="&lt;/routeDistribution&gt;",E1496=""),"",IFERROR(_xlfn.CONCAT(VLOOKUP(DK46,Route_Column!#REF!,2,FALSE),CHAR(34)," probability=",CHAR(34),1/DK$4,CHAR(34),CHAR(47),CHAR(62)),"&lt;/routeDistribution&gt;"))</f>
        <v/>
      </c>
    </row>
    <row r="1498" spans="1:5" x14ac:dyDescent="0.25">
      <c r="A1498">
        <v>386547310</v>
      </c>
      <c r="B1498" t="s">
        <v>1116</v>
      </c>
      <c r="E1498" t="str">
        <f>IF(OR(E1497="&lt;/routeDistribution&gt;",E1497=""),"",IFERROR(_xlfn.CONCAT(VLOOKUP(DK47,Route_Column!#REF!,2,FALSE),CHAR(34)," probability=",CHAR(34),1/DK$4,CHAR(34),CHAR(47),CHAR(62)),"&lt;/routeDistribution&gt;"))</f>
        <v/>
      </c>
    </row>
    <row r="1499" spans="1:5" x14ac:dyDescent="0.25">
      <c r="A1499">
        <v>386547310</v>
      </c>
      <c r="B1499" t="s">
        <v>1116</v>
      </c>
      <c r="E1499" t="str">
        <f>IF(OR(E1498="&lt;/routeDistribution&gt;",E1498=""),"",IFERROR(_xlfn.CONCAT(VLOOKUP(DK48,Route_Column!#REF!,2,FALSE),CHAR(34)," probability=",CHAR(34),1/DK$4,CHAR(34),CHAR(47),CHAR(62)),"&lt;/routeDistribution&gt;"))</f>
        <v/>
      </c>
    </row>
    <row r="1500" spans="1:5" x14ac:dyDescent="0.25">
      <c r="A1500">
        <v>386547310</v>
      </c>
      <c r="B1500" t="s">
        <v>1117</v>
      </c>
      <c r="E1500" t="str">
        <f>IF(OR(E1499="&lt;/routeDistribution&gt;",E1499=""),"",IFERROR(_xlfn.CONCAT(VLOOKUP(DK49,Route_Column!#REF!,2,FALSE),CHAR(34)," probability=",CHAR(34),1/DK$4,CHAR(34),CHAR(47),CHAR(62)),"&lt;/routeDistribution&gt;"))</f>
        <v/>
      </c>
    </row>
    <row r="1501" spans="1:5" x14ac:dyDescent="0.25">
      <c r="A1501">
        <v>386547310</v>
      </c>
      <c r="B1501" t="s">
        <v>1118</v>
      </c>
      <c r="E1501" t="str">
        <f>IF(OR(E1500="&lt;/routeDistribution&gt;",E1500=""),"",IFERROR(_xlfn.CONCAT(VLOOKUP(DK50,Route_Column!#REF!,2,FALSE),CHAR(34)," probability=",CHAR(34),1/DK$4,CHAR(34),CHAR(47),CHAR(62)),"&lt;/routeDistribution&gt;"))</f>
        <v/>
      </c>
    </row>
    <row r="1502" spans="1:5" x14ac:dyDescent="0.25">
      <c r="A1502">
        <v>386547310</v>
      </c>
      <c r="B1502" t="s">
        <v>1119</v>
      </c>
      <c r="E1502" t="str">
        <f>IF(OR(E1501="&lt;/routeDistribution&gt;",E1501=""),"",IFERROR(_xlfn.CONCAT(VLOOKUP(DK51,Route_Column!#REF!,2,FALSE),CHAR(34)," probability=",CHAR(34),1/DK$4,CHAR(34),CHAR(47),CHAR(62)),"&lt;/routeDistribution&gt;"))</f>
        <v/>
      </c>
    </row>
    <row r="1503" spans="1:5" x14ac:dyDescent="0.25">
      <c r="A1503">
        <v>386547310</v>
      </c>
      <c r="B1503" t="s">
        <v>1120</v>
      </c>
      <c r="E1503" t="str">
        <f>IF(OR(E1502="&lt;/routeDistribution&gt;",E1502=""),"",IFERROR(_xlfn.CONCAT(VLOOKUP(DK52,Route_Column!#REF!,2,FALSE),CHAR(34)," probability=",CHAR(34),1/DK$4,CHAR(34),CHAR(47),CHAR(62)),"&lt;/routeDistribution&gt;"))</f>
        <v/>
      </c>
    </row>
    <row r="1504" spans="1:5" x14ac:dyDescent="0.25">
      <c r="A1504">
        <v>386547310</v>
      </c>
      <c r="B1504" t="s">
        <v>1121</v>
      </c>
      <c r="E1504" t="str">
        <f>IF(OR(E1503="&lt;/routeDistribution&gt;",E1503=""),"",IFERROR(_xlfn.CONCAT(VLOOKUP(DK53,Route_Column!#REF!,2,FALSE),CHAR(34)," probability=",CHAR(34),1/DK$4,CHAR(34),CHAR(47),CHAR(62)),"&lt;/routeDistribution&gt;"))</f>
        <v/>
      </c>
    </row>
    <row r="1505" spans="1:5" x14ac:dyDescent="0.25">
      <c r="A1505">
        <v>386547310</v>
      </c>
      <c r="B1505" t="s">
        <v>1121</v>
      </c>
      <c r="E1505" t="str">
        <f>IF(OR(E1504="&lt;/routeDistribution&gt;",E1504=""),"",IFERROR(_xlfn.CONCAT(VLOOKUP(DK54,Route_Column!#REF!,2,FALSE),CHAR(34)," probability=",CHAR(34),1/DK$4,CHAR(34),CHAR(47),CHAR(62)),"&lt;/routeDistribution&gt;"))</f>
        <v/>
      </c>
    </row>
    <row r="1506" spans="1:5" x14ac:dyDescent="0.25">
      <c r="A1506">
        <v>386547310</v>
      </c>
      <c r="B1506" t="s">
        <v>1122</v>
      </c>
      <c r="E1506" t="str">
        <f>IF(OR(E1505="&lt;/routeDistribution&gt;",E1505=""),"",IFERROR(_xlfn.CONCAT(VLOOKUP(DK55,Route_Column!#REF!,2,FALSE),CHAR(34)," probability=",CHAR(34),1/DK$4,CHAR(34),CHAR(47),CHAR(62)),"&lt;/routeDistribution&gt;"))</f>
        <v/>
      </c>
    </row>
    <row r="1507" spans="1:5" x14ac:dyDescent="0.25">
      <c r="A1507">
        <v>386547310</v>
      </c>
      <c r="B1507" t="s">
        <v>1122</v>
      </c>
      <c r="E1507" t="str">
        <f>IF(OR(E1506="&lt;/routeDistribution&gt;",E1506=""),"",IFERROR(_xlfn.CONCAT(VLOOKUP(DK56,Route_Column!#REF!,2,FALSE),CHAR(34)," probability=",CHAR(34),1/DK$4,CHAR(34),CHAR(47),CHAR(62)),"&lt;/routeDistribution&gt;"))</f>
        <v/>
      </c>
    </row>
    <row r="1508" spans="1:5" x14ac:dyDescent="0.25">
      <c r="A1508">
        <v>386547310</v>
      </c>
      <c r="B1508" t="s">
        <v>1123</v>
      </c>
      <c r="E1508" t="str">
        <f>IF(OR(E1507="&lt;/routeDistribution&gt;",E1507=""),"",IFERROR(_xlfn.CONCAT(VLOOKUP(DK57,Route_Column!#REF!,2,FALSE),CHAR(34)," probability=",CHAR(34),1/DK$4,CHAR(34),CHAR(47),CHAR(62)),"&lt;/routeDistribution&gt;"))</f>
        <v/>
      </c>
    </row>
    <row r="1509" spans="1:5" x14ac:dyDescent="0.25">
      <c r="A1509">
        <v>386547310</v>
      </c>
      <c r="B1509" t="s">
        <v>1123</v>
      </c>
      <c r="E1509" t="str">
        <f>IF(OR(E1508="&lt;/routeDistribution&gt;",E1508=""),"",IFERROR(_xlfn.CONCAT(VLOOKUP(DK58,Route_Column!#REF!,2,FALSE),CHAR(34)," probability=",CHAR(34),1/DK$4,CHAR(34),CHAR(47),CHAR(62)),"&lt;/routeDistribution&gt;"))</f>
        <v/>
      </c>
    </row>
    <row r="1510" spans="1:5" x14ac:dyDescent="0.25">
      <c r="A1510">
        <v>386547310</v>
      </c>
      <c r="B1510" t="s">
        <v>1124</v>
      </c>
      <c r="E1510" t="str">
        <f>IF(OR(E1509="&lt;/routeDistribution&gt;",E1509=""),"",IFERROR(_xlfn.CONCAT(VLOOKUP(DK59,Route_Column!#REF!,2,FALSE),CHAR(34)," probability=",CHAR(34),1/DK$4,CHAR(34),CHAR(47),CHAR(62)),"&lt;/routeDistribution&gt;"))</f>
        <v/>
      </c>
    </row>
    <row r="1511" spans="1:5" x14ac:dyDescent="0.25">
      <c r="A1511">
        <v>386547310</v>
      </c>
      <c r="B1511" t="s">
        <v>1125</v>
      </c>
      <c r="E1511" t="str">
        <f>IF(OR(E1510="&lt;/routeDistribution&gt;",E1510=""),"",IFERROR(_xlfn.CONCAT(VLOOKUP(DK60,Route_Column!#REF!,2,FALSE),CHAR(34)," probability=",CHAR(34),1/DK$4,CHAR(34),CHAR(47),CHAR(62)),"&lt;/routeDistribution&gt;"))</f>
        <v/>
      </c>
    </row>
    <row r="1512" spans="1:5" x14ac:dyDescent="0.25">
      <c r="A1512">
        <v>386547310</v>
      </c>
      <c r="B1512" t="s">
        <v>1161</v>
      </c>
      <c r="E1512" t="str">
        <f>IF(OR(E1511="&lt;/routeDistribution&gt;",E1511=""),"",IFERROR(_xlfn.CONCAT(VLOOKUP(DK61,Route_Column!#REF!,2,FALSE),CHAR(34)," probability=",CHAR(34),1/DK$4,CHAR(34),CHAR(47),CHAR(62)),"&lt;/routeDistribution&gt;"))</f>
        <v/>
      </c>
    </row>
    <row r="1513" spans="1:5" x14ac:dyDescent="0.25">
      <c r="A1513">
        <v>386995537</v>
      </c>
      <c r="B1513" t="s">
        <v>1096</v>
      </c>
      <c r="E1513" t="str">
        <f>IF(OR(E1512="&lt;/routeDistribution&gt;",E1512=""),"",IFERROR(_xlfn.CONCAT(VLOOKUP(DK62,Route_Column!#REF!,2,FALSE),CHAR(34)," probability=",CHAR(34),1/DK$4,CHAR(34),CHAR(47),CHAR(62)),"&lt;/routeDistribution&gt;"))</f>
        <v/>
      </c>
    </row>
    <row r="1514" spans="1:5" x14ac:dyDescent="0.25">
      <c r="A1514">
        <v>386995537</v>
      </c>
      <c r="B1514" t="s">
        <v>1163</v>
      </c>
      <c r="E1514" t="str">
        <f>IF(OR(E1513="&lt;/routeDistribution&gt;",E1513=""),"",IFERROR(_xlfn.CONCAT(VLOOKUP(DK63,Route_Column!#REF!,2,FALSE),CHAR(34)," probability=",CHAR(34),1/DK$4,CHAR(34),CHAR(47),CHAR(62)),"&lt;/routeDistribution&gt;"))</f>
        <v/>
      </c>
    </row>
    <row r="1515" spans="1:5" x14ac:dyDescent="0.25">
      <c r="A1515">
        <v>386995537</v>
      </c>
      <c r="B1515" t="s">
        <v>1168</v>
      </c>
      <c r="E1515" t="s">
        <v>2686</v>
      </c>
    </row>
    <row r="1516" spans="1:5" x14ac:dyDescent="0.25">
      <c r="A1516">
        <v>386995537</v>
      </c>
      <c r="B1516" t="s">
        <v>1170</v>
      </c>
    </row>
    <row r="1517" spans="1:5" x14ac:dyDescent="0.25">
      <c r="A1517">
        <v>386995537</v>
      </c>
      <c r="B1517" t="s">
        <v>1196</v>
      </c>
    </row>
    <row r="1518" spans="1:5" x14ac:dyDescent="0.25">
      <c r="A1518">
        <v>386995537</v>
      </c>
      <c r="B1518" t="s">
        <v>1241</v>
      </c>
      <c r="E1518" t="str">
        <f>_xlfn.CONCAT($E$1,DJ$2,$F$1)</f>
        <v>&lt;routeDistribution id="ChestnutST-Bridge-EB-2017-RouteProbe"&gt;</v>
      </c>
    </row>
    <row r="1519" spans="1:5" x14ac:dyDescent="0.25">
      <c r="A1519">
        <v>386995551</v>
      </c>
      <c r="B1519" t="s">
        <v>1096</v>
      </c>
      <c r="E1519" t="str">
        <f>IF(OR(E1518="&lt;/routeDistribution&gt;",E1518=""),"",IFERROR(_xlfn.CONCAT(VLOOKUP(DJ5,Route_Column!#REF!,2,FALSE),CHAR(34)," probability=",CHAR(34),1/DJ$4,CHAR(34),CHAR(47),CHAR(62)),"&lt;/routeDistribution&gt;"))</f>
        <v>&lt;/routeDistribution&gt;</v>
      </c>
    </row>
    <row r="1520" spans="1:5" x14ac:dyDescent="0.25">
      <c r="A1520">
        <v>386995551</v>
      </c>
      <c r="B1520" t="s">
        <v>1163</v>
      </c>
      <c r="E1520" t="str">
        <f>IF(OR(E1519="&lt;/routeDistribution&gt;",E1519=""),"",IFERROR(_xlfn.CONCAT(VLOOKUP(DJ6,Route_Column!#REF!,2,FALSE),CHAR(34)," probability=",CHAR(34),1/DJ$4,CHAR(34),CHAR(47),CHAR(62)),"&lt;/routeDistribution&gt;"))</f>
        <v/>
      </c>
    </row>
    <row r="1521" spans="1:5" x14ac:dyDescent="0.25">
      <c r="A1521">
        <v>386995551</v>
      </c>
      <c r="B1521" t="s">
        <v>1168</v>
      </c>
      <c r="E1521" t="str">
        <f>IF(OR(E1520="&lt;/routeDistribution&gt;",E1520=""),"",IFERROR(_xlfn.CONCAT(VLOOKUP(DJ7,Route_Column!#REF!,2,FALSE),CHAR(34)," probability=",CHAR(34),1/DJ$4,CHAR(34),CHAR(47),CHAR(62)),"&lt;/routeDistribution&gt;"))</f>
        <v/>
      </c>
    </row>
    <row r="1522" spans="1:5" x14ac:dyDescent="0.25">
      <c r="A1522">
        <v>386995551</v>
      </c>
      <c r="B1522" t="s">
        <v>1170</v>
      </c>
      <c r="E1522" t="str">
        <f>IF(OR(E1521="&lt;/routeDistribution&gt;",E1521=""),"",IFERROR(_xlfn.CONCAT(VLOOKUP(DJ8,Route_Column!#REF!,2,FALSE),CHAR(34)," probability=",CHAR(34),1/DJ$4,CHAR(34),CHAR(47),CHAR(62)),"&lt;/routeDistribution&gt;"))</f>
        <v/>
      </c>
    </row>
    <row r="1523" spans="1:5" x14ac:dyDescent="0.25">
      <c r="A1523">
        <v>386995551</v>
      </c>
      <c r="B1523" t="s">
        <v>1196</v>
      </c>
      <c r="E1523" t="str">
        <f>IF(OR(E1522="&lt;/routeDistribution&gt;",E1522=""),"",IFERROR(_xlfn.CONCAT(VLOOKUP(DJ9,Route_Column!#REF!,2,FALSE),CHAR(34)," probability=",CHAR(34),1/DJ$4,CHAR(34),CHAR(47),CHAR(62)),"&lt;/routeDistribution&gt;"))</f>
        <v/>
      </c>
    </row>
    <row r="1524" spans="1:5" x14ac:dyDescent="0.25">
      <c r="A1524">
        <v>386995551</v>
      </c>
      <c r="B1524" t="s">
        <v>1241</v>
      </c>
      <c r="E1524" t="str">
        <f>IF(OR(E1523="&lt;/routeDistribution&gt;",E1523=""),"",IFERROR(_xlfn.CONCAT(VLOOKUP(DJ10,Route_Column!#REF!,2,FALSE),CHAR(34)," probability=",CHAR(34),1/DJ$4,CHAR(34),CHAR(47),CHAR(62)),"&lt;/routeDistribution&gt;"))</f>
        <v/>
      </c>
    </row>
    <row r="1525" spans="1:5" x14ac:dyDescent="0.25">
      <c r="A1525">
        <v>388756840</v>
      </c>
      <c r="B1525" t="s">
        <v>1235</v>
      </c>
      <c r="E1525" t="str">
        <f>IF(OR(E1524="&lt;/routeDistribution&gt;",E1524=""),"",IFERROR(_xlfn.CONCAT(VLOOKUP(DJ11,Route_Column!#REF!,2,FALSE),CHAR(34)," probability=",CHAR(34),1/DJ$4,CHAR(34),CHAR(47),CHAR(62)),"&lt;/routeDistribution&gt;"))</f>
        <v/>
      </c>
    </row>
    <row r="1526" spans="1:5" x14ac:dyDescent="0.25">
      <c r="A1526">
        <v>388756840</v>
      </c>
      <c r="B1526" t="s">
        <v>1236</v>
      </c>
      <c r="E1526" t="str">
        <f>IF(OR(E1525="&lt;/routeDistribution&gt;",E1525=""),"",IFERROR(_xlfn.CONCAT(VLOOKUP(DJ12,Route_Column!#REF!,2,FALSE),CHAR(34)," probability=",CHAR(34),1/DJ$4,CHAR(34),CHAR(47),CHAR(62)),"&lt;/routeDistribution&gt;"))</f>
        <v/>
      </c>
    </row>
    <row r="1527" spans="1:5" x14ac:dyDescent="0.25">
      <c r="A1527">
        <v>388756840</v>
      </c>
      <c r="B1527" t="s">
        <v>1237</v>
      </c>
      <c r="E1527" t="str">
        <f>IF(OR(E1526="&lt;/routeDistribution&gt;",E1526=""),"",IFERROR(_xlfn.CONCAT(VLOOKUP(DJ13,Route_Column!#REF!,2,FALSE),CHAR(34)," probability=",CHAR(34),1/DJ$4,CHAR(34),CHAR(47),CHAR(62)),"&lt;/routeDistribution&gt;"))</f>
        <v/>
      </c>
    </row>
    <row r="1528" spans="1:5" x14ac:dyDescent="0.25">
      <c r="A1528">
        <v>388756840</v>
      </c>
      <c r="B1528" t="s">
        <v>1238</v>
      </c>
      <c r="E1528" t="str">
        <f>IF(OR(E1527="&lt;/routeDistribution&gt;",E1527=""),"",IFERROR(_xlfn.CONCAT(VLOOKUP(DJ14,Route_Column!#REF!,2,FALSE),CHAR(34)," probability=",CHAR(34),1/DJ$4,CHAR(34),CHAR(47),CHAR(62)),"&lt;/routeDistribution&gt;"))</f>
        <v/>
      </c>
    </row>
    <row r="1529" spans="1:5" x14ac:dyDescent="0.25">
      <c r="A1529">
        <v>388756840</v>
      </c>
      <c r="B1529" t="s">
        <v>1239</v>
      </c>
      <c r="E1529" t="str">
        <f>IF(OR(E1528="&lt;/routeDistribution&gt;",E1528=""),"",IFERROR(_xlfn.CONCAT(VLOOKUP(DJ15,Route_Column!#REF!,2,FALSE),CHAR(34)," probability=",CHAR(34),1/DJ$4,CHAR(34),CHAR(47),CHAR(62)),"&lt;/routeDistribution&gt;"))</f>
        <v/>
      </c>
    </row>
    <row r="1530" spans="1:5" x14ac:dyDescent="0.25">
      <c r="A1530">
        <v>388756840</v>
      </c>
      <c r="B1530" t="s">
        <v>1240</v>
      </c>
      <c r="E1530" t="str">
        <f>IF(OR(E1529="&lt;/routeDistribution&gt;",E1529=""),"",IFERROR(_xlfn.CONCAT(VLOOKUP(DJ16,Route_Column!#REF!,2,FALSE),CHAR(34)," probability=",CHAR(34),1/DJ$4,CHAR(34),CHAR(47),CHAR(62)),"&lt;/routeDistribution&gt;"))</f>
        <v/>
      </c>
    </row>
    <row r="1531" spans="1:5" x14ac:dyDescent="0.25">
      <c r="A1531">
        <v>388756840</v>
      </c>
      <c r="B1531" t="s">
        <v>1241</v>
      </c>
      <c r="E1531" t="str">
        <f>IF(OR(E1530="&lt;/routeDistribution&gt;",E1530=""),"",IFERROR(_xlfn.CONCAT(VLOOKUP(DJ17,Route_Column!#REF!,2,FALSE),CHAR(34)," probability=",CHAR(34),1/DJ$4,CHAR(34),CHAR(47),CHAR(62)),"&lt;/routeDistribution&gt;"))</f>
        <v/>
      </c>
    </row>
    <row r="1532" spans="1:5" x14ac:dyDescent="0.25">
      <c r="A1532">
        <v>388756840</v>
      </c>
      <c r="B1532" t="s">
        <v>1242</v>
      </c>
      <c r="E1532" t="str">
        <f>IF(OR(E1531="&lt;/routeDistribution&gt;",E1531=""),"",IFERROR(_xlfn.CONCAT(VLOOKUP(DJ18,Route_Column!#REF!,2,FALSE),CHAR(34)," probability=",CHAR(34),1/DJ$4,CHAR(34),CHAR(47),CHAR(62)),"&lt;/routeDistribution&gt;"))</f>
        <v/>
      </c>
    </row>
    <row r="1533" spans="1:5" x14ac:dyDescent="0.25">
      <c r="A1533">
        <v>388756840</v>
      </c>
      <c r="B1533" t="s">
        <v>1243</v>
      </c>
      <c r="E1533" t="str">
        <f>IF(OR(E1532="&lt;/routeDistribution&gt;",E1532=""),"",IFERROR(_xlfn.CONCAT(VLOOKUP(DJ19,Route_Column!#REF!,2,FALSE),CHAR(34)," probability=",CHAR(34),1/DJ$4,CHAR(34),CHAR(47),CHAR(62)),"&lt;/routeDistribution&gt;"))</f>
        <v/>
      </c>
    </row>
    <row r="1534" spans="1:5" x14ac:dyDescent="0.25">
      <c r="A1534">
        <v>388756840</v>
      </c>
      <c r="B1534" t="s">
        <v>1244</v>
      </c>
      <c r="E1534" t="str">
        <f>IF(OR(E1533="&lt;/routeDistribution&gt;",E1533=""),"",IFERROR(_xlfn.CONCAT(VLOOKUP(DJ20,Route_Column!#REF!,2,FALSE),CHAR(34)," probability=",CHAR(34),1/DJ$4,CHAR(34),CHAR(47),CHAR(62)),"&lt;/routeDistribution&gt;"))</f>
        <v/>
      </c>
    </row>
    <row r="1535" spans="1:5" x14ac:dyDescent="0.25">
      <c r="A1535">
        <v>388756840</v>
      </c>
      <c r="B1535" t="s">
        <v>1245</v>
      </c>
      <c r="E1535" t="str">
        <f>IF(OR(E1534="&lt;/routeDistribution&gt;",E1534=""),"",IFERROR(_xlfn.CONCAT(VLOOKUP(DJ21,Route_Column!#REF!,2,FALSE),CHAR(34)," probability=",CHAR(34),1/DJ$4,CHAR(34),CHAR(47),CHAR(62)),"&lt;/routeDistribution&gt;"))</f>
        <v/>
      </c>
    </row>
    <row r="1536" spans="1:5" x14ac:dyDescent="0.25">
      <c r="A1536">
        <v>388756840</v>
      </c>
      <c r="B1536" t="s">
        <v>1246</v>
      </c>
      <c r="E1536" t="str">
        <f>IF(OR(E1535="&lt;/routeDistribution&gt;",E1535=""),"",IFERROR(_xlfn.CONCAT(VLOOKUP(DJ22,Route_Column!#REF!,2,FALSE),CHAR(34)," probability=",CHAR(34),1/DJ$4,CHAR(34),CHAR(47),CHAR(62)),"&lt;/routeDistribution&gt;"))</f>
        <v/>
      </c>
    </row>
    <row r="1537" spans="1:5" x14ac:dyDescent="0.25">
      <c r="A1537">
        <v>388756840</v>
      </c>
      <c r="B1537" t="s">
        <v>1247</v>
      </c>
      <c r="E1537" t="str">
        <f>IF(OR(E1536="&lt;/routeDistribution&gt;",E1536=""),"",IFERROR(_xlfn.CONCAT(VLOOKUP(DJ23,Route_Column!#REF!,2,FALSE),CHAR(34)," probability=",CHAR(34),1/DJ$4,CHAR(34),CHAR(47),CHAR(62)),"&lt;/routeDistribution&gt;"))</f>
        <v/>
      </c>
    </row>
    <row r="1538" spans="1:5" x14ac:dyDescent="0.25">
      <c r="A1538">
        <v>388756840</v>
      </c>
      <c r="B1538" t="s">
        <v>1248</v>
      </c>
      <c r="E1538" t="str">
        <f>IF(OR(E1537="&lt;/routeDistribution&gt;",E1537=""),"",IFERROR(_xlfn.CONCAT(VLOOKUP(DJ24,Route_Column!#REF!,2,FALSE),CHAR(34)," probability=",CHAR(34),1/DJ$4,CHAR(34),CHAR(47),CHAR(62)),"&lt;/routeDistribution&gt;"))</f>
        <v/>
      </c>
    </row>
    <row r="1539" spans="1:5" x14ac:dyDescent="0.25">
      <c r="A1539">
        <v>388756840</v>
      </c>
      <c r="B1539" t="s">
        <v>1249</v>
      </c>
      <c r="E1539" t="str">
        <f>IF(OR(E1538="&lt;/routeDistribution&gt;",E1538=""),"",IFERROR(_xlfn.CONCAT(VLOOKUP(DJ25,Route_Column!#REF!,2,FALSE),CHAR(34)," probability=",CHAR(34),1/DJ$4,CHAR(34),CHAR(47),CHAR(62)),"&lt;/routeDistribution&gt;"))</f>
        <v/>
      </c>
    </row>
    <row r="1540" spans="1:5" x14ac:dyDescent="0.25">
      <c r="A1540">
        <v>388756840</v>
      </c>
      <c r="B1540" t="s">
        <v>1250</v>
      </c>
      <c r="E1540" t="str">
        <f>IF(OR(E1539="&lt;/routeDistribution&gt;",E1539=""),"",IFERROR(_xlfn.CONCAT(VLOOKUP(DJ26,Route_Column!#REF!,2,FALSE),CHAR(34)," probability=",CHAR(34),1/DJ$4,CHAR(34),CHAR(47),CHAR(62)),"&lt;/routeDistribution&gt;"))</f>
        <v/>
      </c>
    </row>
    <row r="1541" spans="1:5" x14ac:dyDescent="0.25">
      <c r="A1541">
        <v>393884751</v>
      </c>
      <c r="B1541" t="s">
        <v>1139</v>
      </c>
      <c r="E1541" t="str">
        <f>IF(OR(E1540="&lt;/routeDistribution&gt;",E1540=""),"",IFERROR(_xlfn.CONCAT(VLOOKUP(DJ27,Route_Column!#REF!,2,FALSE),CHAR(34)," probability=",CHAR(34),1/DJ$4,CHAR(34),CHAR(47),CHAR(62)),"&lt;/routeDistribution&gt;"))</f>
        <v/>
      </c>
    </row>
    <row r="1542" spans="1:5" x14ac:dyDescent="0.25">
      <c r="A1542">
        <v>393884751</v>
      </c>
      <c r="B1542" t="s">
        <v>1140</v>
      </c>
      <c r="E1542" t="str">
        <f>IF(OR(E1541="&lt;/routeDistribution&gt;",E1541=""),"",IFERROR(_xlfn.CONCAT(VLOOKUP(DJ28,Route_Column!#REF!,2,FALSE),CHAR(34)," probability=",CHAR(34),1/DJ$4,CHAR(34),CHAR(47),CHAR(62)),"&lt;/routeDistribution&gt;"))</f>
        <v/>
      </c>
    </row>
    <row r="1543" spans="1:5" x14ac:dyDescent="0.25">
      <c r="A1543">
        <v>393884751</v>
      </c>
      <c r="B1543" t="s">
        <v>1150</v>
      </c>
      <c r="E1543" t="str">
        <f>IF(OR(E1542="&lt;/routeDistribution&gt;",E1542=""),"",IFERROR(_xlfn.CONCAT(VLOOKUP(DJ29,Route_Column!#REF!,2,FALSE),CHAR(34)," probability=",CHAR(34),1/DJ$4,CHAR(34),CHAR(47),CHAR(62)),"&lt;/routeDistribution&gt;"))</f>
        <v/>
      </c>
    </row>
    <row r="1544" spans="1:5" x14ac:dyDescent="0.25">
      <c r="A1544">
        <v>393884751</v>
      </c>
      <c r="B1544" t="s">
        <v>1157</v>
      </c>
      <c r="E1544" t="str">
        <f>IF(OR(E1543="&lt;/routeDistribution&gt;",E1543=""),"",IFERROR(_xlfn.CONCAT(VLOOKUP(DJ30,Route_Column!#REF!,2,FALSE),CHAR(34)," probability=",CHAR(34),1/DJ$4,CHAR(34),CHAR(47),CHAR(62)),"&lt;/routeDistribution&gt;"))</f>
        <v/>
      </c>
    </row>
    <row r="1545" spans="1:5" x14ac:dyDescent="0.25">
      <c r="A1545">
        <v>393884751</v>
      </c>
      <c r="B1545" t="s">
        <v>1214</v>
      </c>
      <c r="E1545" t="str">
        <f>IF(OR(E1544="&lt;/routeDistribution&gt;",E1544=""),"",IFERROR(_xlfn.CONCAT(VLOOKUP(DJ31,Route_Column!#REF!,2,FALSE),CHAR(34)," probability=",CHAR(34),1/DJ$4,CHAR(34),CHAR(47),CHAR(62)),"&lt;/routeDistribution&gt;"))</f>
        <v/>
      </c>
    </row>
    <row r="1546" spans="1:5" x14ac:dyDescent="0.25">
      <c r="A1546">
        <v>393884751</v>
      </c>
      <c r="B1546" t="s">
        <v>1215</v>
      </c>
      <c r="E1546" t="str">
        <f>IF(OR(E1545="&lt;/routeDistribution&gt;",E1545=""),"",IFERROR(_xlfn.CONCAT(VLOOKUP(DJ32,Route_Column!#REF!,2,FALSE),CHAR(34)," probability=",CHAR(34),1/DJ$4,CHAR(34),CHAR(47),CHAR(62)),"&lt;/routeDistribution&gt;"))</f>
        <v/>
      </c>
    </row>
    <row r="1547" spans="1:5" x14ac:dyDescent="0.25">
      <c r="A1547">
        <v>393884751</v>
      </c>
      <c r="B1547" t="s">
        <v>1226</v>
      </c>
      <c r="E1547" t="str">
        <f>IF(OR(E1546="&lt;/routeDistribution&gt;",E1546=""),"",IFERROR(_xlfn.CONCAT(VLOOKUP(DJ33,Route_Column!#REF!,2,FALSE),CHAR(34)," probability=",CHAR(34),1/DJ$4,CHAR(34),CHAR(47),CHAR(62)),"&lt;/routeDistribution&gt;"))</f>
        <v/>
      </c>
    </row>
    <row r="1548" spans="1:5" x14ac:dyDescent="0.25">
      <c r="A1548">
        <v>393884751</v>
      </c>
      <c r="B1548" t="s">
        <v>1233</v>
      </c>
      <c r="E1548" t="str">
        <f>IF(OR(E1547="&lt;/routeDistribution&gt;",E1547=""),"",IFERROR(_xlfn.CONCAT(VLOOKUP(DJ34,Route_Column!#REF!,2,FALSE),CHAR(34)," probability=",CHAR(34),1/DJ$4,CHAR(34),CHAR(47),CHAR(62)),"&lt;/routeDistribution&gt;"))</f>
        <v/>
      </c>
    </row>
    <row r="1549" spans="1:5" x14ac:dyDescent="0.25">
      <c r="A1549">
        <v>393884751</v>
      </c>
      <c r="B1549" t="s">
        <v>1254</v>
      </c>
      <c r="E1549" t="str">
        <f>IF(OR(E1548="&lt;/routeDistribution&gt;",E1548=""),"",IFERROR(_xlfn.CONCAT(VLOOKUP(DJ35,Route_Column!#REF!,2,FALSE),CHAR(34)," probability=",CHAR(34),1/DJ$4,CHAR(34),CHAR(47),CHAR(62)),"&lt;/routeDistribution&gt;"))</f>
        <v/>
      </c>
    </row>
    <row r="1550" spans="1:5" x14ac:dyDescent="0.25">
      <c r="A1550">
        <v>404615579</v>
      </c>
      <c r="B1550" t="s">
        <v>1177</v>
      </c>
      <c r="E1550" t="str">
        <f>IF(OR(E1549="&lt;/routeDistribution&gt;",E1549=""),"",IFERROR(_xlfn.CONCAT(VLOOKUP(DJ36,Route_Column!#REF!,2,FALSE),CHAR(34)," probability=",CHAR(34),1/DJ$4,CHAR(34),CHAR(47),CHAR(62)),"&lt;/routeDistribution&gt;"))</f>
        <v/>
      </c>
    </row>
    <row r="1551" spans="1:5" x14ac:dyDescent="0.25">
      <c r="A1551">
        <v>404615579</v>
      </c>
      <c r="B1551" t="s">
        <v>1220</v>
      </c>
      <c r="E1551" t="str">
        <f>IF(OR(E1550="&lt;/routeDistribution&gt;",E1550=""),"",IFERROR(_xlfn.CONCAT(VLOOKUP(DJ37,Route_Column!#REF!,2,FALSE),CHAR(34)," probability=",CHAR(34),1/DJ$4,CHAR(34),CHAR(47),CHAR(62)),"&lt;/routeDistribution&gt;"))</f>
        <v/>
      </c>
    </row>
    <row r="1552" spans="1:5" x14ac:dyDescent="0.25">
      <c r="A1552">
        <v>404615579</v>
      </c>
      <c r="B1552" t="s">
        <v>1229</v>
      </c>
      <c r="E1552" t="str">
        <f>IF(OR(E1551="&lt;/routeDistribution&gt;",E1551=""),"",IFERROR(_xlfn.CONCAT(VLOOKUP(DJ38,Route_Column!#REF!,2,FALSE),CHAR(34)," probability=",CHAR(34),1/DJ$4,CHAR(34),CHAR(47),CHAR(62)),"&lt;/routeDistribution&gt;"))</f>
        <v/>
      </c>
    </row>
    <row r="1553" spans="1:5" x14ac:dyDescent="0.25">
      <c r="A1553">
        <v>424080766</v>
      </c>
      <c r="B1553" t="s">
        <v>1138</v>
      </c>
      <c r="E1553" t="str">
        <f>IF(OR(E1552="&lt;/routeDistribution&gt;",E1552=""),"",IFERROR(_xlfn.CONCAT(VLOOKUP(DJ39,Route_Column!#REF!,2,FALSE),CHAR(34)," probability=",CHAR(34),1/DJ$4,CHAR(34),CHAR(47),CHAR(62)),"&lt;/routeDistribution&gt;"))</f>
        <v/>
      </c>
    </row>
    <row r="1554" spans="1:5" x14ac:dyDescent="0.25">
      <c r="A1554">
        <v>424080766</v>
      </c>
      <c r="B1554" t="s">
        <v>1154</v>
      </c>
      <c r="E1554" t="str">
        <f>IF(OR(E1553="&lt;/routeDistribution&gt;",E1553=""),"",IFERROR(_xlfn.CONCAT(VLOOKUP(DJ40,Route_Column!#REF!,2,FALSE),CHAR(34)," probability=",CHAR(34),1/DJ$4,CHAR(34),CHAR(47),CHAR(62)),"&lt;/routeDistribution&gt;"))</f>
        <v/>
      </c>
    </row>
    <row r="1555" spans="1:5" x14ac:dyDescent="0.25">
      <c r="A1555">
        <v>424080766</v>
      </c>
      <c r="B1555" t="s">
        <v>1173</v>
      </c>
      <c r="E1555" t="str">
        <f>IF(OR(E1554="&lt;/routeDistribution&gt;",E1554=""),"",IFERROR(_xlfn.CONCAT(VLOOKUP(DJ41,Route_Column!#REF!,2,FALSE),CHAR(34)," probability=",CHAR(34),1/DJ$4,CHAR(34),CHAR(47),CHAR(62)),"&lt;/routeDistribution&gt;"))</f>
        <v/>
      </c>
    </row>
    <row r="1556" spans="1:5" x14ac:dyDescent="0.25">
      <c r="A1556">
        <v>424080766</v>
      </c>
      <c r="B1556" t="s">
        <v>1174</v>
      </c>
      <c r="E1556" t="str">
        <f>IF(OR(E1555="&lt;/routeDistribution&gt;",E1555=""),"",IFERROR(_xlfn.CONCAT(VLOOKUP(DJ42,Route_Column!#REF!,2,FALSE),CHAR(34)," probability=",CHAR(34),1/DJ$4,CHAR(34),CHAR(47),CHAR(62)),"&lt;/routeDistribution&gt;"))</f>
        <v/>
      </c>
    </row>
    <row r="1557" spans="1:5" x14ac:dyDescent="0.25">
      <c r="A1557">
        <v>424080766</v>
      </c>
      <c r="B1557" t="s">
        <v>1175</v>
      </c>
      <c r="E1557" t="str">
        <f>IF(OR(E1556="&lt;/routeDistribution&gt;",E1556=""),"",IFERROR(_xlfn.CONCAT(VLOOKUP(DJ43,Route_Column!#REF!,2,FALSE),CHAR(34)," probability=",CHAR(34),1/DJ$4,CHAR(34),CHAR(47),CHAR(62)),"&lt;/routeDistribution&gt;"))</f>
        <v/>
      </c>
    </row>
    <row r="1558" spans="1:5" x14ac:dyDescent="0.25">
      <c r="A1558">
        <v>424080766</v>
      </c>
      <c r="B1558" t="s">
        <v>1176</v>
      </c>
      <c r="E1558" t="str">
        <f>IF(OR(E1557="&lt;/routeDistribution&gt;",E1557=""),"",IFERROR(_xlfn.CONCAT(VLOOKUP(DJ44,Route_Column!#REF!,2,FALSE),CHAR(34)," probability=",CHAR(34),1/DJ$4,CHAR(34),CHAR(47),CHAR(62)),"&lt;/routeDistribution&gt;"))</f>
        <v/>
      </c>
    </row>
    <row r="1559" spans="1:5" x14ac:dyDescent="0.25">
      <c r="A1559">
        <v>424080766</v>
      </c>
      <c r="B1559" t="s">
        <v>1177</v>
      </c>
      <c r="E1559" t="str">
        <f>IF(OR(E1558="&lt;/routeDistribution&gt;",E1558=""),"",IFERROR(_xlfn.CONCAT(VLOOKUP(DJ45,Route_Column!#REF!,2,FALSE),CHAR(34)," probability=",CHAR(34),1/DJ$4,CHAR(34),CHAR(47),CHAR(62)),"&lt;/routeDistribution&gt;"))</f>
        <v/>
      </c>
    </row>
    <row r="1560" spans="1:5" x14ac:dyDescent="0.25">
      <c r="A1560">
        <v>424080766</v>
      </c>
      <c r="B1560" t="s">
        <v>1178</v>
      </c>
      <c r="E1560" t="str">
        <f>IF(OR(E1559="&lt;/routeDistribution&gt;",E1559=""),"",IFERROR(_xlfn.CONCAT(VLOOKUP(DJ46,Route_Column!#REF!,2,FALSE),CHAR(34)," probability=",CHAR(34),1/DJ$4,CHAR(34),CHAR(47),CHAR(62)),"&lt;/routeDistribution&gt;"))</f>
        <v/>
      </c>
    </row>
    <row r="1561" spans="1:5" x14ac:dyDescent="0.25">
      <c r="A1561">
        <v>424080766</v>
      </c>
      <c r="B1561" t="s">
        <v>1179</v>
      </c>
      <c r="E1561" t="str">
        <f>IF(OR(E1560="&lt;/routeDistribution&gt;",E1560=""),"",IFERROR(_xlfn.CONCAT(VLOOKUP(DJ47,Route_Column!#REF!,2,FALSE),CHAR(34)," probability=",CHAR(34),1/DJ$4,CHAR(34),CHAR(47),CHAR(62)),"&lt;/routeDistribution&gt;"))</f>
        <v/>
      </c>
    </row>
    <row r="1562" spans="1:5" x14ac:dyDescent="0.25">
      <c r="A1562">
        <v>424080766</v>
      </c>
      <c r="B1562" t="s">
        <v>1180</v>
      </c>
      <c r="E1562" t="str">
        <f>IF(OR(E1561="&lt;/routeDistribution&gt;",E1561=""),"",IFERROR(_xlfn.CONCAT(VLOOKUP(DJ48,Route_Column!#REF!,2,FALSE),CHAR(34)," probability=",CHAR(34),1/DJ$4,CHAR(34),CHAR(47),CHAR(62)),"&lt;/routeDistribution&gt;"))</f>
        <v/>
      </c>
    </row>
    <row r="1563" spans="1:5" x14ac:dyDescent="0.25">
      <c r="A1563">
        <v>424080766</v>
      </c>
      <c r="B1563" t="s">
        <v>1181</v>
      </c>
      <c r="E1563" t="str">
        <f>IF(OR(E1562="&lt;/routeDistribution&gt;",E1562=""),"",IFERROR(_xlfn.CONCAT(VLOOKUP(DJ49,Route_Column!#REF!,2,FALSE),CHAR(34)," probability=",CHAR(34),1/DJ$4,CHAR(34),CHAR(47),CHAR(62)),"&lt;/routeDistribution&gt;"))</f>
        <v/>
      </c>
    </row>
    <row r="1564" spans="1:5" x14ac:dyDescent="0.25">
      <c r="A1564">
        <v>424080766</v>
      </c>
      <c r="B1564" t="s">
        <v>1182</v>
      </c>
      <c r="E1564" t="str">
        <f>IF(OR(E1563="&lt;/routeDistribution&gt;",E1563=""),"",IFERROR(_xlfn.CONCAT(VLOOKUP(DJ50,Route_Column!#REF!,2,FALSE),CHAR(34)," probability=",CHAR(34),1/DJ$4,CHAR(34),CHAR(47),CHAR(62)),"&lt;/routeDistribution&gt;"))</f>
        <v/>
      </c>
    </row>
    <row r="1565" spans="1:5" x14ac:dyDescent="0.25">
      <c r="A1565">
        <v>424080766</v>
      </c>
      <c r="B1565" t="s">
        <v>1183</v>
      </c>
      <c r="E1565" t="str">
        <f>IF(OR(E1564="&lt;/routeDistribution&gt;",E1564=""),"",IFERROR(_xlfn.CONCAT(VLOOKUP(DJ51,Route_Column!#REF!,2,FALSE),CHAR(34)," probability=",CHAR(34),1/DJ$4,CHAR(34),CHAR(47),CHAR(62)),"&lt;/routeDistribution&gt;"))</f>
        <v/>
      </c>
    </row>
    <row r="1566" spans="1:5" x14ac:dyDescent="0.25">
      <c r="A1566">
        <v>424080766</v>
      </c>
      <c r="B1566" t="s">
        <v>1184</v>
      </c>
      <c r="E1566" t="str">
        <f>IF(OR(E1565="&lt;/routeDistribution&gt;",E1565=""),"",IFERROR(_xlfn.CONCAT(VLOOKUP(DJ52,Route_Column!#REF!,2,FALSE),CHAR(34)," probability=",CHAR(34),1/DJ$4,CHAR(34),CHAR(47),CHAR(62)),"&lt;/routeDistribution&gt;"))</f>
        <v/>
      </c>
    </row>
    <row r="1567" spans="1:5" x14ac:dyDescent="0.25">
      <c r="A1567">
        <v>424080766</v>
      </c>
      <c r="B1567" t="s">
        <v>1185</v>
      </c>
      <c r="E1567" t="str">
        <f>IF(OR(E1566="&lt;/routeDistribution&gt;",E1566=""),"",IFERROR(_xlfn.CONCAT(VLOOKUP(DJ53,Route_Column!#REF!,2,FALSE),CHAR(34)," probability=",CHAR(34),1/DJ$4,CHAR(34),CHAR(47),CHAR(62)),"&lt;/routeDistribution&gt;"))</f>
        <v/>
      </c>
    </row>
    <row r="1568" spans="1:5" x14ac:dyDescent="0.25">
      <c r="A1568">
        <v>424080766</v>
      </c>
      <c r="B1568" t="s">
        <v>1186</v>
      </c>
      <c r="E1568" t="str">
        <f>IF(OR(E1567="&lt;/routeDistribution&gt;",E1567=""),"",IFERROR(_xlfn.CONCAT(VLOOKUP(DJ54,Route_Column!#REF!,2,FALSE),CHAR(34)," probability=",CHAR(34),1/DJ$4,CHAR(34),CHAR(47),CHAR(62)),"&lt;/routeDistribution&gt;"))</f>
        <v/>
      </c>
    </row>
    <row r="1569" spans="1:5" x14ac:dyDescent="0.25">
      <c r="A1569">
        <v>424080766</v>
      </c>
      <c r="B1569" t="s">
        <v>1187</v>
      </c>
      <c r="E1569" t="str">
        <f>IF(OR(E1568="&lt;/routeDistribution&gt;",E1568=""),"",IFERROR(_xlfn.CONCAT(VLOOKUP(DJ55,Route_Column!#REF!,2,FALSE),CHAR(34)," probability=",CHAR(34),1/DJ$4,CHAR(34),CHAR(47),CHAR(62)),"&lt;/routeDistribution&gt;"))</f>
        <v/>
      </c>
    </row>
    <row r="1570" spans="1:5" x14ac:dyDescent="0.25">
      <c r="A1570">
        <v>424080766</v>
      </c>
      <c r="B1570" t="s">
        <v>1188</v>
      </c>
      <c r="E1570" t="str">
        <f>IF(OR(E1569="&lt;/routeDistribution&gt;",E1569=""),"",IFERROR(_xlfn.CONCAT(VLOOKUP(DJ56,Route_Column!#REF!,2,FALSE),CHAR(34)," probability=",CHAR(34),1/DJ$4,CHAR(34),CHAR(47),CHAR(62)),"&lt;/routeDistribution&gt;"))</f>
        <v/>
      </c>
    </row>
    <row r="1571" spans="1:5" x14ac:dyDescent="0.25">
      <c r="A1571">
        <v>424080766</v>
      </c>
      <c r="B1571" t="s">
        <v>1189</v>
      </c>
      <c r="E1571" t="str">
        <f>IF(OR(E1570="&lt;/routeDistribution&gt;",E1570=""),"",IFERROR(_xlfn.CONCAT(VLOOKUP(DJ57,Route_Column!#REF!,2,FALSE),CHAR(34)," probability=",CHAR(34),1/DJ$4,CHAR(34),CHAR(47),CHAR(62)),"&lt;/routeDistribution&gt;"))</f>
        <v/>
      </c>
    </row>
    <row r="1572" spans="1:5" x14ac:dyDescent="0.25">
      <c r="A1572">
        <v>424080766</v>
      </c>
      <c r="B1572" t="s">
        <v>1191</v>
      </c>
      <c r="E1572" t="str">
        <f>IF(OR(E1571="&lt;/routeDistribution&gt;",E1571=""),"",IFERROR(_xlfn.CONCAT(VLOOKUP(DJ58,Route_Column!#REF!,2,FALSE),CHAR(34)," probability=",CHAR(34),1/DJ$4,CHAR(34),CHAR(47),CHAR(62)),"&lt;/routeDistribution&gt;"))</f>
        <v/>
      </c>
    </row>
    <row r="1573" spans="1:5" x14ac:dyDescent="0.25">
      <c r="A1573">
        <v>424080766</v>
      </c>
      <c r="B1573" t="s">
        <v>1192</v>
      </c>
      <c r="E1573" t="str">
        <f>IF(OR(E1572="&lt;/routeDistribution&gt;",E1572=""),"",IFERROR(_xlfn.CONCAT(VLOOKUP(DJ59,Route_Column!#REF!,2,FALSE),CHAR(34)," probability=",CHAR(34),1/DJ$4,CHAR(34),CHAR(47),CHAR(62)),"&lt;/routeDistribution&gt;"))</f>
        <v/>
      </c>
    </row>
    <row r="1574" spans="1:5" x14ac:dyDescent="0.25">
      <c r="A1574">
        <v>424080766</v>
      </c>
      <c r="B1574" t="s">
        <v>1193</v>
      </c>
      <c r="E1574" t="str">
        <f>IF(OR(E1573="&lt;/routeDistribution&gt;",E1573=""),"",IFERROR(_xlfn.CONCAT(VLOOKUP(DJ60,Route_Column!#REF!,2,FALSE),CHAR(34)," probability=",CHAR(34),1/DJ$4,CHAR(34),CHAR(47),CHAR(62)),"&lt;/routeDistribution&gt;"))</f>
        <v/>
      </c>
    </row>
    <row r="1575" spans="1:5" x14ac:dyDescent="0.25">
      <c r="A1575">
        <v>424080766</v>
      </c>
      <c r="B1575" t="s">
        <v>1194</v>
      </c>
      <c r="E1575" t="str">
        <f>IF(OR(E1574="&lt;/routeDistribution&gt;",E1574=""),"",IFERROR(_xlfn.CONCAT(VLOOKUP(DJ61,Route_Column!#REF!,2,FALSE),CHAR(34)," probability=",CHAR(34),1/DJ$4,CHAR(34),CHAR(47),CHAR(62)),"&lt;/routeDistribution&gt;"))</f>
        <v/>
      </c>
    </row>
    <row r="1576" spans="1:5" x14ac:dyDescent="0.25">
      <c r="A1576">
        <v>424080766</v>
      </c>
      <c r="B1576" t="s">
        <v>1195</v>
      </c>
      <c r="E1576" t="str">
        <f>IF(OR(E1575="&lt;/routeDistribution&gt;",E1575=""),"",IFERROR(_xlfn.CONCAT(VLOOKUP(DJ62,Route_Column!#REF!,2,FALSE),CHAR(34)," probability=",CHAR(34),1/DJ$4,CHAR(34),CHAR(47),CHAR(62)),"&lt;/routeDistribution&gt;"))</f>
        <v/>
      </c>
    </row>
    <row r="1577" spans="1:5" x14ac:dyDescent="0.25">
      <c r="A1577">
        <v>424080766</v>
      </c>
      <c r="B1577" t="s">
        <v>1196</v>
      </c>
      <c r="E1577" t="str">
        <f>IF(OR(E1576="&lt;/routeDistribution&gt;",E1576=""),"",IFERROR(_xlfn.CONCAT(VLOOKUP(DJ63,Route_Column!#REF!,2,FALSE),CHAR(34)," probability=",CHAR(34),1/DJ$4,CHAR(34),CHAR(47),CHAR(62)),"&lt;/routeDistribution&gt;"))</f>
        <v/>
      </c>
    </row>
    <row r="1578" spans="1:5" x14ac:dyDescent="0.25">
      <c r="A1578">
        <v>424080766</v>
      </c>
      <c r="B1578" t="s">
        <v>1197</v>
      </c>
      <c r="E1578" t="s">
        <v>2686</v>
      </c>
    </row>
    <row r="1579" spans="1:5" x14ac:dyDescent="0.25">
      <c r="A1579">
        <v>424080766</v>
      </c>
      <c r="B1579" t="s">
        <v>1198</v>
      </c>
    </row>
    <row r="1580" spans="1:5" x14ac:dyDescent="0.25">
      <c r="A1580">
        <v>424080774</v>
      </c>
      <c r="B1580" t="s">
        <v>1138</v>
      </c>
    </row>
    <row r="1581" spans="1:5" x14ac:dyDescent="0.25">
      <c r="A1581">
        <v>424080774</v>
      </c>
      <c r="B1581" t="s">
        <v>1154</v>
      </c>
      <c r="E1581" t="str">
        <f>_xlfn.CONCAT($E$1,DI$2,$F$1)</f>
        <v>&lt;routeDistribution id="I-76-SOUTH-to-UNI-WB-2015-RouteProbe"&gt;</v>
      </c>
    </row>
    <row r="1582" spans="1:5" x14ac:dyDescent="0.25">
      <c r="A1582">
        <v>424080774</v>
      </c>
      <c r="B1582" t="s">
        <v>1155</v>
      </c>
      <c r="E1582" t="str">
        <f>IF(OR(E1581="&lt;/routeDistribution&gt;",E1581=""),"",IFERROR(_xlfn.CONCAT(VLOOKUP(DI5,Route_Column!#REF!,2,FALSE),CHAR(34)," probability=",CHAR(34),1/DI$4,CHAR(34),CHAR(47),CHAR(62)),"&lt;/routeDistribution&gt;"))</f>
        <v>&lt;/routeDistribution&gt;</v>
      </c>
    </row>
    <row r="1583" spans="1:5" x14ac:dyDescent="0.25">
      <c r="A1583">
        <v>424080774</v>
      </c>
      <c r="B1583" t="s">
        <v>1156</v>
      </c>
      <c r="E1583" t="str">
        <f>IF(OR(E1582="&lt;/routeDistribution&gt;",E1582=""),"",IFERROR(_xlfn.CONCAT(VLOOKUP(DI6,Route_Column!#REF!,2,FALSE),CHAR(34)," probability=",CHAR(34),1/DI$4,CHAR(34),CHAR(47),CHAR(62)),"&lt;/routeDistribution&gt;"))</f>
        <v/>
      </c>
    </row>
    <row r="1584" spans="1:5" x14ac:dyDescent="0.25">
      <c r="A1584">
        <v>424081470</v>
      </c>
      <c r="B1584" t="s">
        <v>1113</v>
      </c>
      <c r="E1584" t="str">
        <f>IF(OR(E1583="&lt;/routeDistribution&gt;",E1583=""),"",IFERROR(_xlfn.CONCAT(VLOOKUP(DI7,Route_Column!#REF!,2,FALSE),CHAR(34)," probability=",CHAR(34),1/DI$4,CHAR(34),CHAR(47),CHAR(62)),"&lt;/routeDistribution&gt;"))</f>
        <v/>
      </c>
    </row>
    <row r="1585" spans="1:5" x14ac:dyDescent="0.25">
      <c r="A1585">
        <v>424081470</v>
      </c>
      <c r="B1585" t="s">
        <v>1114</v>
      </c>
      <c r="E1585" t="str">
        <f>IF(OR(E1584="&lt;/routeDistribution&gt;",E1584=""),"",IFERROR(_xlfn.CONCAT(VLOOKUP(DI8,Route_Column!#REF!,2,FALSE),CHAR(34)," probability=",CHAR(34),1/DI$4,CHAR(34),CHAR(47),CHAR(62)),"&lt;/routeDistribution&gt;"))</f>
        <v/>
      </c>
    </row>
    <row r="1586" spans="1:5" x14ac:dyDescent="0.25">
      <c r="A1586">
        <v>424081470</v>
      </c>
      <c r="B1586" t="s">
        <v>1133</v>
      </c>
      <c r="E1586" t="str">
        <f>IF(OR(E1585="&lt;/routeDistribution&gt;",E1585=""),"",IFERROR(_xlfn.CONCAT(VLOOKUP(DI9,Route_Column!#REF!,2,FALSE),CHAR(34)," probability=",CHAR(34),1/DI$4,CHAR(34),CHAR(47),CHAR(62)),"&lt;/routeDistribution&gt;"))</f>
        <v/>
      </c>
    </row>
    <row r="1587" spans="1:5" x14ac:dyDescent="0.25">
      <c r="A1587">
        <v>424081470</v>
      </c>
      <c r="B1587" t="s">
        <v>1160</v>
      </c>
      <c r="E1587" t="str">
        <f>IF(OR(E1586="&lt;/routeDistribution&gt;",E1586=""),"",IFERROR(_xlfn.CONCAT(VLOOKUP(DI10,Route_Column!#REF!,2,FALSE),CHAR(34)," probability=",CHAR(34),1/DI$4,CHAR(34),CHAR(47),CHAR(62)),"&lt;/routeDistribution&gt;"))</f>
        <v/>
      </c>
    </row>
    <row r="1588" spans="1:5" x14ac:dyDescent="0.25">
      <c r="A1588">
        <v>424081470</v>
      </c>
      <c r="B1588" t="s">
        <v>1161</v>
      </c>
      <c r="E1588" t="str">
        <f>IF(OR(E1587="&lt;/routeDistribution&gt;",E1587=""),"",IFERROR(_xlfn.CONCAT(VLOOKUP(DI11,Route_Column!#REF!,2,FALSE),CHAR(34)," probability=",CHAR(34),1/DI$4,CHAR(34),CHAR(47),CHAR(62)),"&lt;/routeDistribution&gt;"))</f>
        <v/>
      </c>
    </row>
    <row r="1589" spans="1:5" x14ac:dyDescent="0.25">
      <c r="A1589">
        <v>424081470</v>
      </c>
      <c r="B1589" t="s">
        <v>1162</v>
      </c>
      <c r="E1589" t="str">
        <f>IF(OR(E1588="&lt;/routeDistribution&gt;",E1588=""),"",IFERROR(_xlfn.CONCAT(VLOOKUP(DI12,Route_Column!#REF!,2,FALSE),CHAR(34)," probability=",CHAR(34),1/DI$4,CHAR(34),CHAR(47),CHAR(62)),"&lt;/routeDistribution&gt;"))</f>
        <v/>
      </c>
    </row>
    <row r="1590" spans="1:5" x14ac:dyDescent="0.25">
      <c r="A1590">
        <v>424081470</v>
      </c>
      <c r="B1590" t="s">
        <v>1163</v>
      </c>
      <c r="E1590" t="str">
        <f>IF(OR(E1589="&lt;/routeDistribution&gt;",E1589=""),"",IFERROR(_xlfn.CONCAT(VLOOKUP(DI13,Route_Column!#REF!,2,FALSE),CHAR(34)," probability=",CHAR(34),1/DI$4,CHAR(34),CHAR(47),CHAR(62)),"&lt;/routeDistribution&gt;"))</f>
        <v/>
      </c>
    </row>
    <row r="1591" spans="1:5" x14ac:dyDescent="0.25">
      <c r="A1591">
        <v>424081470</v>
      </c>
      <c r="B1591" t="s">
        <v>1164</v>
      </c>
      <c r="E1591" t="str">
        <f>IF(OR(E1590="&lt;/routeDistribution&gt;",E1590=""),"",IFERROR(_xlfn.CONCAT(VLOOKUP(DI14,Route_Column!#REF!,2,FALSE),CHAR(34)," probability=",CHAR(34),1/DI$4,CHAR(34),CHAR(47),CHAR(62)),"&lt;/routeDistribution&gt;"))</f>
        <v/>
      </c>
    </row>
    <row r="1592" spans="1:5" x14ac:dyDescent="0.25">
      <c r="A1592">
        <v>424081470</v>
      </c>
      <c r="B1592" t="s">
        <v>1165</v>
      </c>
      <c r="E1592" t="str">
        <f>IF(OR(E1591="&lt;/routeDistribution&gt;",E1591=""),"",IFERROR(_xlfn.CONCAT(VLOOKUP(DI15,Route_Column!#REF!,2,FALSE),CHAR(34)," probability=",CHAR(34),1/DI$4,CHAR(34),CHAR(47),CHAR(62)),"&lt;/routeDistribution&gt;"))</f>
        <v/>
      </c>
    </row>
    <row r="1593" spans="1:5" x14ac:dyDescent="0.25">
      <c r="A1593">
        <v>424081472</v>
      </c>
      <c r="B1593" t="s">
        <v>1113</v>
      </c>
      <c r="E1593" t="str">
        <f>IF(OR(E1592="&lt;/routeDistribution&gt;",E1592=""),"",IFERROR(_xlfn.CONCAT(VLOOKUP(DI16,Route_Column!#REF!,2,FALSE),CHAR(34)," probability=",CHAR(34),1/DI$4,CHAR(34),CHAR(47),CHAR(62)),"&lt;/routeDistribution&gt;"))</f>
        <v/>
      </c>
    </row>
    <row r="1594" spans="1:5" x14ac:dyDescent="0.25">
      <c r="A1594">
        <v>424081472</v>
      </c>
      <c r="B1594" t="s">
        <v>1114</v>
      </c>
      <c r="E1594" t="str">
        <f>IF(OR(E1593="&lt;/routeDistribution&gt;",E1593=""),"",IFERROR(_xlfn.CONCAT(VLOOKUP(DI17,Route_Column!#REF!,2,FALSE),CHAR(34)," probability=",CHAR(34),1/DI$4,CHAR(34),CHAR(47),CHAR(62)),"&lt;/routeDistribution&gt;"))</f>
        <v/>
      </c>
    </row>
    <row r="1595" spans="1:5" x14ac:dyDescent="0.25">
      <c r="A1595">
        <v>424081472</v>
      </c>
      <c r="B1595" t="s">
        <v>1133</v>
      </c>
      <c r="E1595" t="str">
        <f>IF(OR(E1594="&lt;/routeDistribution&gt;",E1594=""),"",IFERROR(_xlfn.CONCAT(VLOOKUP(DI18,Route_Column!#REF!,2,FALSE),CHAR(34)," probability=",CHAR(34),1/DI$4,CHAR(34),CHAR(47),CHAR(62)),"&lt;/routeDistribution&gt;"))</f>
        <v/>
      </c>
    </row>
    <row r="1596" spans="1:5" x14ac:dyDescent="0.25">
      <c r="A1596">
        <v>424081472</v>
      </c>
      <c r="B1596" t="s">
        <v>1160</v>
      </c>
      <c r="E1596" t="str">
        <f>IF(OR(E1595="&lt;/routeDistribution&gt;",E1595=""),"",IFERROR(_xlfn.CONCAT(VLOOKUP(DI19,Route_Column!#REF!,2,FALSE),CHAR(34)," probability=",CHAR(34),1/DI$4,CHAR(34),CHAR(47),CHAR(62)),"&lt;/routeDistribution&gt;"))</f>
        <v/>
      </c>
    </row>
    <row r="1597" spans="1:5" x14ac:dyDescent="0.25">
      <c r="A1597">
        <v>424081472</v>
      </c>
      <c r="B1597" t="s">
        <v>1161</v>
      </c>
      <c r="E1597" t="str">
        <f>IF(OR(E1596="&lt;/routeDistribution&gt;",E1596=""),"",IFERROR(_xlfn.CONCAT(VLOOKUP(DI20,Route_Column!#REF!,2,FALSE),CHAR(34)," probability=",CHAR(34),1/DI$4,CHAR(34),CHAR(47),CHAR(62)),"&lt;/routeDistribution&gt;"))</f>
        <v/>
      </c>
    </row>
    <row r="1598" spans="1:5" x14ac:dyDescent="0.25">
      <c r="A1598">
        <v>424081472</v>
      </c>
      <c r="B1598" t="s">
        <v>1162</v>
      </c>
      <c r="E1598" t="str">
        <f>IF(OR(E1597="&lt;/routeDistribution&gt;",E1597=""),"",IFERROR(_xlfn.CONCAT(VLOOKUP(DI21,Route_Column!#REF!,2,FALSE),CHAR(34)," probability=",CHAR(34),1/DI$4,CHAR(34),CHAR(47),CHAR(62)),"&lt;/routeDistribution&gt;"))</f>
        <v/>
      </c>
    </row>
    <row r="1599" spans="1:5" x14ac:dyDescent="0.25">
      <c r="A1599">
        <v>424081472</v>
      </c>
      <c r="B1599" t="s">
        <v>1163</v>
      </c>
      <c r="E1599" t="str">
        <f>IF(OR(E1598="&lt;/routeDistribution&gt;",E1598=""),"",IFERROR(_xlfn.CONCAT(VLOOKUP(DI22,Route_Column!#REF!,2,FALSE),CHAR(34)," probability=",CHAR(34),1/DI$4,CHAR(34),CHAR(47),CHAR(62)),"&lt;/routeDistribution&gt;"))</f>
        <v/>
      </c>
    </row>
    <row r="1600" spans="1:5" x14ac:dyDescent="0.25">
      <c r="A1600">
        <v>424081472</v>
      </c>
      <c r="B1600" t="s">
        <v>1164</v>
      </c>
      <c r="E1600" t="str">
        <f>IF(OR(E1599="&lt;/routeDistribution&gt;",E1599=""),"",IFERROR(_xlfn.CONCAT(VLOOKUP(DI23,Route_Column!#REF!,2,FALSE),CHAR(34)," probability=",CHAR(34),1/DI$4,CHAR(34),CHAR(47),CHAR(62)),"&lt;/routeDistribution&gt;"))</f>
        <v/>
      </c>
    </row>
    <row r="1601" spans="1:5" x14ac:dyDescent="0.25">
      <c r="A1601">
        <v>424081472</v>
      </c>
      <c r="B1601" t="s">
        <v>1165</v>
      </c>
      <c r="E1601" t="str">
        <f>IF(OR(E1600="&lt;/routeDistribution&gt;",E1600=""),"",IFERROR(_xlfn.CONCAT(VLOOKUP(DI24,Route_Column!#REF!,2,FALSE),CHAR(34)," probability=",CHAR(34),1/DI$4,CHAR(34),CHAR(47),CHAR(62)),"&lt;/routeDistribution&gt;"))</f>
        <v/>
      </c>
    </row>
    <row r="1602" spans="1:5" x14ac:dyDescent="0.25">
      <c r="A1602">
        <v>424081473</v>
      </c>
      <c r="B1602" t="s">
        <v>1113</v>
      </c>
      <c r="E1602" t="str">
        <f>IF(OR(E1601="&lt;/routeDistribution&gt;",E1601=""),"",IFERROR(_xlfn.CONCAT(VLOOKUP(DI25,Route_Column!#REF!,2,FALSE),CHAR(34)," probability=",CHAR(34),1/DI$4,CHAR(34),CHAR(47),CHAR(62)),"&lt;/routeDistribution&gt;"))</f>
        <v/>
      </c>
    </row>
    <row r="1603" spans="1:5" x14ac:dyDescent="0.25">
      <c r="A1603">
        <v>424081473</v>
      </c>
      <c r="B1603" t="s">
        <v>1114</v>
      </c>
      <c r="E1603" t="str">
        <f>IF(OR(E1602="&lt;/routeDistribution&gt;",E1602=""),"",IFERROR(_xlfn.CONCAT(VLOOKUP(DI26,Route_Column!#REF!,2,FALSE),CHAR(34)," probability=",CHAR(34),1/DI$4,CHAR(34),CHAR(47),CHAR(62)),"&lt;/routeDistribution&gt;"))</f>
        <v/>
      </c>
    </row>
    <row r="1604" spans="1:5" x14ac:dyDescent="0.25">
      <c r="A1604">
        <v>424081473</v>
      </c>
      <c r="B1604" t="s">
        <v>1133</v>
      </c>
      <c r="E1604" t="str">
        <f>IF(OR(E1603="&lt;/routeDistribution&gt;",E1603=""),"",IFERROR(_xlfn.CONCAT(VLOOKUP(DI27,Route_Column!#REF!,2,FALSE),CHAR(34)," probability=",CHAR(34),1/DI$4,CHAR(34),CHAR(47),CHAR(62)),"&lt;/routeDistribution&gt;"))</f>
        <v/>
      </c>
    </row>
    <row r="1605" spans="1:5" x14ac:dyDescent="0.25">
      <c r="A1605">
        <v>424081473</v>
      </c>
      <c r="B1605" t="s">
        <v>1160</v>
      </c>
      <c r="E1605" t="str">
        <f>IF(OR(E1604="&lt;/routeDistribution&gt;",E1604=""),"",IFERROR(_xlfn.CONCAT(VLOOKUP(DI28,Route_Column!#REF!,2,FALSE),CHAR(34)," probability=",CHAR(34),1/DI$4,CHAR(34),CHAR(47),CHAR(62)),"&lt;/routeDistribution&gt;"))</f>
        <v/>
      </c>
    </row>
    <row r="1606" spans="1:5" x14ac:dyDescent="0.25">
      <c r="A1606">
        <v>424081473</v>
      </c>
      <c r="B1606" t="s">
        <v>1161</v>
      </c>
      <c r="E1606" t="str">
        <f>IF(OR(E1605="&lt;/routeDistribution&gt;",E1605=""),"",IFERROR(_xlfn.CONCAT(VLOOKUP(DI29,Route_Column!#REF!,2,FALSE),CHAR(34)," probability=",CHAR(34),1/DI$4,CHAR(34),CHAR(47),CHAR(62)),"&lt;/routeDistribution&gt;"))</f>
        <v/>
      </c>
    </row>
    <row r="1607" spans="1:5" x14ac:dyDescent="0.25">
      <c r="A1607">
        <v>424081473</v>
      </c>
      <c r="B1607" t="s">
        <v>1162</v>
      </c>
      <c r="E1607" t="str">
        <f>IF(OR(E1606="&lt;/routeDistribution&gt;",E1606=""),"",IFERROR(_xlfn.CONCAT(VLOOKUP(DI30,Route_Column!#REF!,2,FALSE),CHAR(34)," probability=",CHAR(34),1/DI$4,CHAR(34),CHAR(47),CHAR(62)),"&lt;/routeDistribution&gt;"))</f>
        <v/>
      </c>
    </row>
    <row r="1608" spans="1:5" x14ac:dyDescent="0.25">
      <c r="A1608">
        <v>424081473</v>
      </c>
      <c r="B1608" t="s">
        <v>1163</v>
      </c>
      <c r="E1608" t="str">
        <f>IF(OR(E1607="&lt;/routeDistribution&gt;",E1607=""),"",IFERROR(_xlfn.CONCAT(VLOOKUP(DI31,Route_Column!#REF!,2,FALSE),CHAR(34)," probability=",CHAR(34),1/DI$4,CHAR(34),CHAR(47),CHAR(62)),"&lt;/routeDistribution&gt;"))</f>
        <v/>
      </c>
    </row>
    <row r="1609" spans="1:5" x14ac:dyDescent="0.25">
      <c r="A1609">
        <v>424081473</v>
      </c>
      <c r="B1609" t="s">
        <v>1164</v>
      </c>
      <c r="E1609" t="str">
        <f>IF(OR(E1608="&lt;/routeDistribution&gt;",E1608=""),"",IFERROR(_xlfn.CONCAT(VLOOKUP(DI32,Route_Column!#REF!,2,FALSE),CHAR(34)," probability=",CHAR(34),1/DI$4,CHAR(34),CHAR(47),CHAR(62)),"&lt;/routeDistribution&gt;"))</f>
        <v/>
      </c>
    </row>
    <row r="1610" spans="1:5" x14ac:dyDescent="0.25">
      <c r="A1610">
        <v>424081473</v>
      </c>
      <c r="B1610" t="s">
        <v>1165</v>
      </c>
      <c r="E1610" t="str">
        <f>IF(OR(E1609="&lt;/routeDistribution&gt;",E1609=""),"",IFERROR(_xlfn.CONCAT(VLOOKUP(DI33,Route_Column!#REF!,2,FALSE),CHAR(34)," probability=",CHAR(34),1/DI$4,CHAR(34),CHAR(47),CHAR(62)),"&lt;/routeDistribution&gt;"))</f>
        <v/>
      </c>
    </row>
    <row r="1611" spans="1:5" x14ac:dyDescent="0.25">
      <c r="A1611">
        <v>424081476</v>
      </c>
      <c r="B1611" t="s">
        <v>1154</v>
      </c>
      <c r="E1611" t="str">
        <f>IF(OR(E1610="&lt;/routeDistribution&gt;",E1610=""),"",IFERROR(_xlfn.CONCAT(VLOOKUP(DI34,Route_Column!#REF!,2,FALSE),CHAR(34)," probability=",CHAR(34),1/DI$4,CHAR(34),CHAR(47),CHAR(62)),"&lt;/routeDistribution&gt;"))</f>
        <v/>
      </c>
    </row>
    <row r="1612" spans="1:5" x14ac:dyDescent="0.25">
      <c r="A1612">
        <v>424081476</v>
      </c>
      <c r="B1612" t="s">
        <v>1155</v>
      </c>
      <c r="E1612" t="str">
        <f>IF(OR(E1611="&lt;/routeDistribution&gt;",E1611=""),"",IFERROR(_xlfn.CONCAT(VLOOKUP(DI35,Route_Column!#REF!,2,FALSE),CHAR(34)," probability=",CHAR(34),1/DI$4,CHAR(34),CHAR(47),CHAR(62)),"&lt;/routeDistribution&gt;"))</f>
        <v/>
      </c>
    </row>
    <row r="1613" spans="1:5" x14ac:dyDescent="0.25">
      <c r="A1613">
        <v>424081476</v>
      </c>
      <c r="B1613" t="s">
        <v>1156</v>
      </c>
      <c r="E1613" t="str">
        <f>IF(OR(E1612="&lt;/routeDistribution&gt;",E1612=""),"",IFERROR(_xlfn.CONCAT(VLOOKUP(DI36,Route_Column!#REF!,2,FALSE),CHAR(34)," probability=",CHAR(34),1/DI$4,CHAR(34),CHAR(47),CHAR(62)),"&lt;/routeDistribution&gt;"))</f>
        <v/>
      </c>
    </row>
    <row r="1614" spans="1:5" x14ac:dyDescent="0.25">
      <c r="A1614">
        <v>424081476</v>
      </c>
      <c r="B1614" t="s">
        <v>1157</v>
      </c>
      <c r="E1614" t="str">
        <f>IF(OR(E1613="&lt;/routeDistribution&gt;",E1613=""),"",IFERROR(_xlfn.CONCAT(VLOOKUP(DI37,Route_Column!#REF!,2,FALSE),CHAR(34)," probability=",CHAR(34),1/DI$4,CHAR(34),CHAR(47),CHAR(62)),"&lt;/routeDistribution&gt;"))</f>
        <v/>
      </c>
    </row>
    <row r="1615" spans="1:5" x14ac:dyDescent="0.25">
      <c r="A1615">
        <v>424081476</v>
      </c>
      <c r="B1615" t="s">
        <v>1158</v>
      </c>
      <c r="E1615" t="str">
        <f>IF(OR(E1614="&lt;/routeDistribution&gt;",E1614=""),"",IFERROR(_xlfn.CONCAT(VLOOKUP(DI38,Route_Column!#REF!,2,FALSE),CHAR(34)," probability=",CHAR(34),1/DI$4,CHAR(34),CHAR(47),CHAR(62)),"&lt;/routeDistribution&gt;"))</f>
        <v/>
      </c>
    </row>
    <row r="1616" spans="1:5" x14ac:dyDescent="0.25">
      <c r="A1616">
        <v>424081476</v>
      </c>
      <c r="B1616" t="s">
        <v>1159</v>
      </c>
      <c r="E1616" t="str">
        <f>IF(OR(E1615="&lt;/routeDistribution&gt;",E1615=""),"",IFERROR(_xlfn.CONCAT(VLOOKUP(DI39,Route_Column!#REF!,2,FALSE),CHAR(34)," probability=",CHAR(34),1/DI$4,CHAR(34),CHAR(47),CHAR(62)),"&lt;/routeDistribution&gt;"))</f>
        <v/>
      </c>
    </row>
    <row r="1617" spans="1:5" x14ac:dyDescent="0.25">
      <c r="A1617">
        <v>424081476</v>
      </c>
      <c r="B1617" t="s">
        <v>1160</v>
      </c>
      <c r="E1617" t="str">
        <f>IF(OR(E1616="&lt;/routeDistribution&gt;",E1616=""),"",IFERROR(_xlfn.CONCAT(VLOOKUP(DI40,Route_Column!#REF!,2,FALSE),CHAR(34)," probability=",CHAR(34),1/DI$4,CHAR(34),CHAR(47),CHAR(62)),"&lt;/routeDistribution&gt;"))</f>
        <v/>
      </c>
    </row>
    <row r="1618" spans="1:5" x14ac:dyDescent="0.25">
      <c r="A1618">
        <v>424081476</v>
      </c>
      <c r="B1618" t="s">
        <v>1161</v>
      </c>
      <c r="E1618" t="str">
        <f>IF(OR(E1617="&lt;/routeDistribution&gt;",E1617=""),"",IFERROR(_xlfn.CONCAT(VLOOKUP(DI41,Route_Column!#REF!,2,FALSE),CHAR(34)," probability=",CHAR(34),1/DI$4,CHAR(34),CHAR(47),CHAR(62)),"&lt;/routeDistribution&gt;"))</f>
        <v/>
      </c>
    </row>
    <row r="1619" spans="1:5" x14ac:dyDescent="0.25">
      <c r="A1619">
        <v>424081476</v>
      </c>
      <c r="B1619" t="s">
        <v>1162</v>
      </c>
      <c r="E1619" t="str">
        <f>IF(OR(E1618="&lt;/routeDistribution&gt;",E1618=""),"",IFERROR(_xlfn.CONCAT(VLOOKUP(DI42,Route_Column!#REF!,2,FALSE),CHAR(34)," probability=",CHAR(34),1/DI$4,CHAR(34),CHAR(47),CHAR(62)),"&lt;/routeDistribution&gt;"))</f>
        <v/>
      </c>
    </row>
    <row r="1620" spans="1:5" x14ac:dyDescent="0.25">
      <c r="A1620">
        <v>424081476</v>
      </c>
      <c r="B1620" t="s">
        <v>1163</v>
      </c>
      <c r="E1620" t="str">
        <f>IF(OR(E1619="&lt;/routeDistribution&gt;",E1619=""),"",IFERROR(_xlfn.CONCAT(VLOOKUP(DI43,Route_Column!#REF!,2,FALSE),CHAR(34)," probability=",CHAR(34),1/DI$4,CHAR(34),CHAR(47),CHAR(62)),"&lt;/routeDistribution&gt;"))</f>
        <v/>
      </c>
    </row>
    <row r="1621" spans="1:5" x14ac:dyDescent="0.25">
      <c r="A1621">
        <v>424081476</v>
      </c>
      <c r="B1621" t="s">
        <v>1164</v>
      </c>
      <c r="E1621" t="str">
        <f>IF(OR(E1620="&lt;/routeDistribution&gt;",E1620=""),"",IFERROR(_xlfn.CONCAT(VLOOKUP(DI44,Route_Column!#REF!,2,FALSE),CHAR(34)," probability=",CHAR(34),1/DI$4,CHAR(34),CHAR(47),CHAR(62)),"&lt;/routeDistribution&gt;"))</f>
        <v/>
      </c>
    </row>
    <row r="1622" spans="1:5" x14ac:dyDescent="0.25">
      <c r="A1622">
        <v>424081476</v>
      </c>
      <c r="B1622" t="s">
        <v>1165</v>
      </c>
      <c r="E1622" t="str">
        <f>IF(OR(E1621="&lt;/routeDistribution&gt;",E1621=""),"",IFERROR(_xlfn.CONCAT(VLOOKUP(DI45,Route_Column!#REF!,2,FALSE),CHAR(34)," probability=",CHAR(34),1/DI$4,CHAR(34),CHAR(47),CHAR(62)),"&lt;/routeDistribution&gt;"))</f>
        <v/>
      </c>
    </row>
    <row r="1623" spans="1:5" x14ac:dyDescent="0.25">
      <c r="A1623">
        <v>424764852</v>
      </c>
      <c r="B1623" t="s">
        <v>1218</v>
      </c>
      <c r="E1623" t="str">
        <f>IF(OR(E1622="&lt;/routeDistribution&gt;",E1622=""),"",IFERROR(_xlfn.CONCAT(VLOOKUP(DI46,Route_Column!#REF!,2,FALSE),CHAR(34)," probability=",CHAR(34),1/DI$4,CHAR(34),CHAR(47),CHAR(62)),"&lt;/routeDistribution&gt;"))</f>
        <v/>
      </c>
    </row>
    <row r="1624" spans="1:5" x14ac:dyDescent="0.25">
      <c r="A1624">
        <v>424764852</v>
      </c>
      <c r="B1624" t="s">
        <v>1219</v>
      </c>
      <c r="E1624" t="str">
        <f>IF(OR(E1623="&lt;/routeDistribution&gt;",E1623=""),"",IFERROR(_xlfn.CONCAT(VLOOKUP(DI47,Route_Column!#REF!,2,FALSE),CHAR(34)," probability=",CHAR(34),1/DI$4,CHAR(34),CHAR(47),CHAR(62)),"&lt;/routeDistribution&gt;"))</f>
        <v/>
      </c>
    </row>
    <row r="1625" spans="1:5" x14ac:dyDescent="0.25">
      <c r="A1625" s="11">
        <v>424764853</v>
      </c>
      <c r="B1625" t="s">
        <v>1090</v>
      </c>
      <c r="E1625" t="str">
        <f>IF(OR(E1624="&lt;/routeDistribution&gt;",E1624=""),"",IFERROR(_xlfn.CONCAT(VLOOKUP(DI48,Route_Column!#REF!,2,FALSE),CHAR(34)," probability=",CHAR(34),1/DI$4,CHAR(34),CHAR(47),CHAR(62)),"&lt;/routeDistribution&gt;"))</f>
        <v/>
      </c>
    </row>
    <row r="1626" spans="1:5" x14ac:dyDescent="0.25">
      <c r="A1626">
        <v>424764853</v>
      </c>
      <c r="B1626" t="s">
        <v>1097</v>
      </c>
      <c r="E1626" t="str">
        <f>IF(OR(E1625="&lt;/routeDistribution&gt;",E1625=""),"",IFERROR(_xlfn.CONCAT(VLOOKUP(DI49,Route_Column!#REF!,2,FALSE),CHAR(34)," probability=",CHAR(34),1/DI$4,CHAR(34),CHAR(47),CHAR(62)),"&lt;/routeDistribution&gt;"))</f>
        <v/>
      </c>
    </row>
    <row r="1627" spans="1:5" x14ac:dyDescent="0.25">
      <c r="A1627">
        <v>424764853</v>
      </c>
      <c r="B1627" t="s">
        <v>1111</v>
      </c>
      <c r="E1627" t="str">
        <f>IF(OR(E1626="&lt;/routeDistribution&gt;",E1626=""),"",IFERROR(_xlfn.CONCAT(VLOOKUP(DI50,Route_Column!#REF!,2,FALSE),CHAR(34)," probability=",CHAR(34),1/DI$4,CHAR(34),CHAR(47),CHAR(62)),"&lt;/routeDistribution&gt;"))</f>
        <v/>
      </c>
    </row>
    <row r="1628" spans="1:5" x14ac:dyDescent="0.25">
      <c r="A1628">
        <v>424764853</v>
      </c>
      <c r="B1628" t="s">
        <v>1132</v>
      </c>
      <c r="E1628" t="str">
        <f>IF(OR(E1627="&lt;/routeDistribution&gt;",E1627=""),"",IFERROR(_xlfn.CONCAT(VLOOKUP(DI51,Route_Column!#REF!,2,FALSE),CHAR(34)," probability=",CHAR(34),1/DI$4,CHAR(34),CHAR(47),CHAR(62)),"&lt;/routeDistribution&gt;"))</f>
        <v/>
      </c>
    </row>
    <row r="1629" spans="1:5" x14ac:dyDescent="0.25">
      <c r="A1629">
        <v>424764853</v>
      </c>
      <c r="B1629" t="s">
        <v>1137</v>
      </c>
      <c r="E1629" t="str">
        <f>IF(OR(E1628="&lt;/routeDistribution&gt;",E1628=""),"",IFERROR(_xlfn.CONCAT(VLOOKUP(DI52,Route_Column!#REF!,2,FALSE),CHAR(34)," probability=",CHAR(34),1/DI$4,CHAR(34),CHAR(47),CHAR(62)),"&lt;/routeDistribution&gt;"))</f>
        <v/>
      </c>
    </row>
    <row r="1630" spans="1:5" x14ac:dyDescent="0.25">
      <c r="A1630">
        <v>424764853</v>
      </c>
      <c r="B1630" t="s">
        <v>1149</v>
      </c>
      <c r="E1630" t="str">
        <f>IF(OR(E1629="&lt;/routeDistribution&gt;",E1629=""),"",IFERROR(_xlfn.CONCAT(VLOOKUP(DI53,Route_Column!#REF!,2,FALSE),CHAR(34)," probability=",CHAR(34),1/DI$4,CHAR(34),CHAR(47),CHAR(62)),"&lt;/routeDistribution&gt;"))</f>
        <v/>
      </c>
    </row>
    <row r="1631" spans="1:5" x14ac:dyDescent="0.25">
      <c r="A1631">
        <v>424764853</v>
      </c>
      <c r="B1631" t="s">
        <v>1171</v>
      </c>
      <c r="E1631" t="str">
        <f>IF(OR(E1630="&lt;/routeDistribution&gt;",E1630=""),"",IFERROR(_xlfn.CONCAT(VLOOKUP(DI54,Route_Column!#REF!,2,FALSE),CHAR(34)," probability=",CHAR(34),1/DI$4,CHAR(34),CHAR(47),CHAR(62)),"&lt;/routeDistribution&gt;"))</f>
        <v/>
      </c>
    </row>
    <row r="1632" spans="1:5" x14ac:dyDescent="0.25">
      <c r="A1632">
        <v>424764853</v>
      </c>
      <c r="B1632" t="s">
        <v>1177</v>
      </c>
      <c r="E1632" t="str">
        <f>IF(OR(E1631="&lt;/routeDistribution&gt;",E1631=""),"",IFERROR(_xlfn.CONCAT(VLOOKUP(DI55,Route_Column!#REF!,2,FALSE),CHAR(34)," probability=",CHAR(34),1/DI$4,CHAR(34),CHAR(47),CHAR(62)),"&lt;/routeDistribution&gt;"))</f>
        <v/>
      </c>
    </row>
    <row r="1633" spans="1:5" x14ac:dyDescent="0.25">
      <c r="A1633">
        <v>424764853</v>
      </c>
      <c r="B1633" t="s">
        <v>1182</v>
      </c>
      <c r="E1633" t="str">
        <f>IF(OR(E1632="&lt;/routeDistribution&gt;",E1632=""),"",IFERROR(_xlfn.CONCAT(VLOOKUP(DI56,Route_Column!#REF!,2,FALSE),CHAR(34)," probability=",CHAR(34),1/DI$4,CHAR(34),CHAR(47),CHAR(62)),"&lt;/routeDistribution&gt;"))</f>
        <v/>
      </c>
    </row>
    <row r="1634" spans="1:5" x14ac:dyDescent="0.25">
      <c r="A1634">
        <v>424764853</v>
      </c>
      <c r="B1634" t="s">
        <v>1184</v>
      </c>
      <c r="E1634" t="str">
        <f>IF(OR(E1633="&lt;/routeDistribution&gt;",E1633=""),"",IFERROR(_xlfn.CONCAT(VLOOKUP(DI57,Route_Column!#REF!,2,FALSE),CHAR(34)," probability=",CHAR(34),1/DI$4,CHAR(34),CHAR(47),CHAR(62)),"&lt;/routeDistribution&gt;"))</f>
        <v/>
      </c>
    </row>
    <row r="1635" spans="1:5" x14ac:dyDescent="0.25">
      <c r="A1635">
        <v>424764853</v>
      </c>
      <c r="B1635" t="s">
        <v>1191</v>
      </c>
      <c r="E1635" t="str">
        <f>IF(OR(E1634="&lt;/routeDistribution&gt;",E1634=""),"",IFERROR(_xlfn.CONCAT(VLOOKUP(DI58,Route_Column!#REF!,2,FALSE),CHAR(34)," probability=",CHAR(34),1/DI$4,CHAR(34),CHAR(47),CHAR(62)),"&lt;/routeDistribution&gt;"))</f>
        <v/>
      </c>
    </row>
    <row r="1636" spans="1:5" x14ac:dyDescent="0.25">
      <c r="A1636">
        <v>424764853</v>
      </c>
      <c r="B1636" t="s">
        <v>1203</v>
      </c>
      <c r="E1636" t="str">
        <f>IF(OR(E1635="&lt;/routeDistribution&gt;",E1635=""),"",IFERROR(_xlfn.CONCAT(VLOOKUP(DI59,Route_Column!#REF!,2,FALSE),CHAR(34)," probability=",CHAR(34),1/DI$4,CHAR(34),CHAR(47),CHAR(62)),"&lt;/routeDistribution&gt;"))</f>
        <v/>
      </c>
    </row>
    <row r="1637" spans="1:5" x14ac:dyDescent="0.25">
      <c r="A1637">
        <v>424764853</v>
      </c>
      <c r="B1637" t="s">
        <v>1204</v>
      </c>
      <c r="E1637" t="str">
        <f>IF(OR(E1636="&lt;/routeDistribution&gt;",E1636=""),"",IFERROR(_xlfn.CONCAT(VLOOKUP(DI60,Route_Column!#REF!,2,FALSE),CHAR(34)," probability=",CHAR(34),1/DI$4,CHAR(34),CHAR(47),CHAR(62)),"&lt;/routeDistribution&gt;"))</f>
        <v/>
      </c>
    </row>
    <row r="1638" spans="1:5" x14ac:dyDescent="0.25">
      <c r="A1638">
        <v>424764853</v>
      </c>
      <c r="B1638" t="s">
        <v>1204</v>
      </c>
      <c r="E1638" t="str">
        <f>IF(OR(E1637="&lt;/routeDistribution&gt;",E1637=""),"",IFERROR(_xlfn.CONCAT(VLOOKUP(DI61,Route_Column!#REF!,2,FALSE),CHAR(34)," probability=",CHAR(34),1/DI$4,CHAR(34),CHAR(47),CHAR(62)),"&lt;/routeDistribution&gt;"))</f>
        <v/>
      </c>
    </row>
    <row r="1639" spans="1:5" x14ac:dyDescent="0.25">
      <c r="A1639">
        <v>424764853</v>
      </c>
      <c r="B1639" t="s">
        <v>1213</v>
      </c>
      <c r="E1639" t="str">
        <f>IF(OR(E1638="&lt;/routeDistribution&gt;",E1638=""),"",IFERROR(_xlfn.CONCAT(VLOOKUP(DI62,Route_Column!#REF!,2,FALSE),CHAR(34)," probability=",CHAR(34),1/DI$4,CHAR(34),CHAR(47),CHAR(62)),"&lt;/routeDistribution&gt;"))</f>
        <v/>
      </c>
    </row>
    <row r="1640" spans="1:5" x14ac:dyDescent="0.25">
      <c r="A1640">
        <v>424764853</v>
      </c>
      <c r="B1640" t="s">
        <v>1215</v>
      </c>
      <c r="E1640" t="str">
        <f>IF(OR(E1639="&lt;/routeDistribution&gt;",E1639=""),"",IFERROR(_xlfn.CONCAT(VLOOKUP(DI63,Route_Column!#REF!,2,FALSE),CHAR(34)," probability=",CHAR(34),1/DI$4,CHAR(34),CHAR(47),CHAR(62)),"&lt;/routeDistribution&gt;"))</f>
        <v/>
      </c>
    </row>
    <row r="1641" spans="1:5" x14ac:dyDescent="0.25">
      <c r="A1641">
        <v>424764853</v>
      </c>
      <c r="B1641" t="s">
        <v>1216</v>
      </c>
      <c r="E1641" t="s">
        <v>2686</v>
      </c>
    </row>
    <row r="1642" spans="1:5" x14ac:dyDescent="0.25">
      <c r="A1642">
        <v>424764853</v>
      </c>
      <c r="B1642" t="s">
        <v>1217</v>
      </c>
    </row>
    <row r="1643" spans="1:5" x14ac:dyDescent="0.25">
      <c r="A1643">
        <v>424764853</v>
      </c>
      <c r="B1643" t="s">
        <v>1218</v>
      </c>
    </row>
    <row r="1644" spans="1:5" x14ac:dyDescent="0.25">
      <c r="A1644">
        <v>424764853</v>
      </c>
      <c r="B1644" t="s">
        <v>1218</v>
      </c>
      <c r="E1644" t="str">
        <f>_xlfn.CONCAT($E$1,DH$2,$F$1)</f>
        <v>&lt;routeDistribution id="SGst-Bridge-EB-RouteProbe"&gt;</v>
      </c>
    </row>
    <row r="1645" spans="1:5" x14ac:dyDescent="0.25">
      <c r="A1645">
        <v>424764853</v>
      </c>
      <c r="B1645" t="s">
        <v>1218</v>
      </c>
      <c r="E1645" t="str">
        <f>IF(OR(E1644="&lt;/routeDistribution&gt;",E1644=""),"",IFERROR(_xlfn.CONCAT(VLOOKUP(DH5,Route_Column!#REF!,2,FALSE),CHAR(34)," probability=",CHAR(34),1/DH$4,CHAR(34),CHAR(47),CHAR(62)),"&lt;/routeDistribution&gt;"))</f>
        <v>&lt;/routeDistribution&gt;</v>
      </c>
    </row>
    <row r="1646" spans="1:5" x14ac:dyDescent="0.25">
      <c r="A1646">
        <v>424764853</v>
      </c>
      <c r="B1646" t="s">
        <v>1219</v>
      </c>
      <c r="E1646" t="str">
        <f>IF(OR(E1645="&lt;/routeDistribution&gt;",E1645=""),"",IFERROR(_xlfn.CONCAT(VLOOKUP(DH6,Route_Column!#REF!,2,FALSE),CHAR(34)," probability=",CHAR(34),1/DH$4,CHAR(34),CHAR(47),CHAR(62)),"&lt;/routeDistribution&gt;"))</f>
        <v/>
      </c>
    </row>
    <row r="1647" spans="1:5" x14ac:dyDescent="0.25">
      <c r="A1647">
        <v>424764853</v>
      </c>
      <c r="B1647" t="s">
        <v>1219</v>
      </c>
      <c r="E1647" t="str">
        <f>IF(OR(E1646="&lt;/routeDistribution&gt;",E1646=""),"",IFERROR(_xlfn.CONCAT(VLOOKUP(DH7,Route_Column!#REF!,2,FALSE),CHAR(34)," probability=",CHAR(34),1/DH$4,CHAR(34),CHAR(47),CHAR(62)),"&lt;/routeDistribution&gt;"))</f>
        <v/>
      </c>
    </row>
    <row r="1648" spans="1:5" x14ac:dyDescent="0.25">
      <c r="A1648">
        <v>424764853</v>
      </c>
      <c r="B1648" t="s">
        <v>1220</v>
      </c>
      <c r="E1648" t="str">
        <f>IF(OR(E1647="&lt;/routeDistribution&gt;",E1647=""),"",IFERROR(_xlfn.CONCAT(VLOOKUP(DH8,Route_Column!#REF!,2,FALSE),CHAR(34)," probability=",CHAR(34),1/DH$4,CHAR(34),CHAR(47),CHAR(62)),"&lt;/routeDistribution&gt;"))</f>
        <v/>
      </c>
    </row>
    <row r="1649" spans="1:5" x14ac:dyDescent="0.25">
      <c r="A1649">
        <v>424764853</v>
      </c>
      <c r="B1649" t="s">
        <v>1220</v>
      </c>
      <c r="E1649" t="str">
        <f>IF(OR(E1648="&lt;/routeDistribution&gt;",E1648=""),"",IFERROR(_xlfn.CONCAT(VLOOKUP(DH9,Route_Column!#REF!,2,FALSE),CHAR(34)," probability=",CHAR(34),1/DH$4,CHAR(34),CHAR(47),CHAR(62)),"&lt;/routeDistribution&gt;"))</f>
        <v/>
      </c>
    </row>
    <row r="1650" spans="1:5" x14ac:dyDescent="0.25">
      <c r="A1650">
        <v>424764853</v>
      </c>
      <c r="B1650" t="s">
        <v>1225</v>
      </c>
      <c r="E1650" t="str">
        <f>IF(OR(E1649="&lt;/routeDistribution&gt;",E1649=""),"",IFERROR(_xlfn.CONCAT(VLOOKUP(DH10,Route_Column!#REF!,2,FALSE),CHAR(34)," probability=",CHAR(34),1/DH$4,CHAR(34),CHAR(47),CHAR(62)),"&lt;/routeDistribution&gt;"))</f>
        <v/>
      </c>
    </row>
    <row r="1651" spans="1:5" x14ac:dyDescent="0.25">
      <c r="A1651">
        <v>424764853</v>
      </c>
      <c r="B1651" t="s">
        <v>1228</v>
      </c>
      <c r="E1651" t="str">
        <f>IF(OR(E1650="&lt;/routeDistribution&gt;",E1650=""),"",IFERROR(_xlfn.CONCAT(VLOOKUP(DH11,Route_Column!#REF!,2,FALSE),CHAR(34)," probability=",CHAR(34),1/DH$4,CHAR(34),CHAR(47),CHAR(62)),"&lt;/routeDistribution&gt;"))</f>
        <v/>
      </c>
    </row>
    <row r="1652" spans="1:5" x14ac:dyDescent="0.25">
      <c r="A1652">
        <v>424764853</v>
      </c>
      <c r="B1652" t="s">
        <v>1229</v>
      </c>
      <c r="E1652" t="str">
        <f>IF(OR(E1651="&lt;/routeDistribution&gt;",E1651=""),"",IFERROR(_xlfn.CONCAT(VLOOKUP(DH12,Route_Column!#REF!,2,FALSE),CHAR(34)," probability=",CHAR(34),1/DH$4,CHAR(34),CHAR(47),CHAR(62)),"&lt;/routeDistribution&gt;"))</f>
        <v/>
      </c>
    </row>
    <row r="1653" spans="1:5" x14ac:dyDescent="0.25">
      <c r="A1653">
        <v>424764853</v>
      </c>
      <c r="B1653" t="s">
        <v>1230</v>
      </c>
      <c r="E1653" t="str">
        <f>IF(OR(E1652="&lt;/routeDistribution&gt;",E1652=""),"",IFERROR(_xlfn.CONCAT(VLOOKUP(DH13,Route_Column!#REF!,2,FALSE),CHAR(34)," probability=",CHAR(34),1/DH$4,CHAR(34),CHAR(47),CHAR(62)),"&lt;/routeDistribution&gt;"))</f>
        <v/>
      </c>
    </row>
    <row r="1654" spans="1:5" x14ac:dyDescent="0.25">
      <c r="A1654">
        <v>424764853</v>
      </c>
      <c r="B1654" t="s">
        <v>1230</v>
      </c>
      <c r="E1654" t="str">
        <f>IF(OR(E1653="&lt;/routeDistribution&gt;",E1653=""),"",IFERROR(_xlfn.CONCAT(VLOOKUP(DH14,Route_Column!#REF!,2,FALSE),CHAR(34)," probability=",CHAR(34),1/DH$4,CHAR(34),CHAR(47),CHAR(62)),"&lt;/routeDistribution&gt;"))</f>
        <v/>
      </c>
    </row>
    <row r="1655" spans="1:5" x14ac:dyDescent="0.25">
      <c r="A1655">
        <v>424764853</v>
      </c>
      <c r="B1655" t="s">
        <v>1231</v>
      </c>
      <c r="E1655" t="str">
        <f>IF(OR(E1654="&lt;/routeDistribution&gt;",E1654=""),"",IFERROR(_xlfn.CONCAT(VLOOKUP(DH15,Route_Column!#REF!,2,FALSE),CHAR(34)," probability=",CHAR(34),1/DH$4,CHAR(34),CHAR(47),CHAR(62)),"&lt;/routeDistribution&gt;"))</f>
        <v/>
      </c>
    </row>
    <row r="1656" spans="1:5" x14ac:dyDescent="0.25">
      <c r="A1656">
        <v>424764853</v>
      </c>
      <c r="B1656" t="s">
        <v>1253</v>
      </c>
      <c r="E1656" t="str">
        <f>IF(OR(E1655="&lt;/routeDistribution&gt;",E1655=""),"",IFERROR(_xlfn.CONCAT(VLOOKUP(DH16,Route_Column!#REF!,2,FALSE),CHAR(34)," probability=",CHAR(34),1/DH$4,CHAR(34),CHAR(47),CHAR(62)),"&lt;/routeDistribution&gt;"))</f>
        <v/>
      </c>
    </row>
    <row r="1657" spans="1:5" x14ac:dyDescent="0.25">
      <c r="A1657">
        <v>424764853</v>
      </c>
      <c r="B1657" t="s">
        <v>1253</v>
      </c>
      <c r="E1657" t="str">
        <f>IF(OR(E1656="&lt;/routeDistribution&gt;",E1656=""),"",IFERROR(_xlfn.CONCAT(VLOOKUP(DH17,Route_Column!#REF!,2,FALSE),CHAR(34)," probability=",CHAR(34),1/DH$4,CHAR(34),CHAR(47),CHAR(62)),"&lt;/routeDistribution&gt;"))</f>
        <v/>
      </c>
    </row>
    <row r="1658" spans="1:5" x14ac:dyDescent="0.25">
      <c r="A1658">
        <v>424765883</v>
      </c>
      <c r="B1658" t="s">
        <v>1139</v>
      </c>
      <c r="E1658" t="str">
        <f>IF(OR(E1657="&lt;/routeDistribution&gt;",E1657=""),"",IFERROR(_xlfn.CONCAT(VLOOKUP(DH18,Route_Column!#REF!,2,FALSE),CHAR(34)," probability=",CHAR(34),1/DH$4,CHAR(34),CHAR(47),CHAR(62)),"&lt;/routeDistribution&gt;"))</f>
        <v/>
      </c>
    </row>
    <row r="1659" spans="1:5" x14ac:dyDescent="0.25">
      <c r="A1659">
        <v>424765883</v>
      </c>
      <c r="B1659" t="s">
        <v>1140</v>
      </c>
      <c r="E1659" t="str">
        <f>IF(OR(E1658="&lt;/routeDistribution&gt;",E1658=""),"",IFERROR(_xlfn.CONCAT(VLOOKUP(DH19,Route_Column!#REF!,2,FALSE),CHAR(34)," probability=",CHAR(34),1/DH$4,CHAR(34),CHAR(47),CHAR(62)),"&lt;/routeDistribution&gt;"))</f>
        <v/>
      </c>
    </row>
    <row r="1660" spans="1:5" x14ac:dyDescent="0.25">
      <c r="A1660">
        <v>424765883</v>
      </c>
      <c r="B1660" t="s">
        <v>1141</v>
      </c>
      <c r="E1660" t="str">
        <f>IF(OR(E1659="&lt;/routeDistribution&gt;",E1659=""),"",IFERROR(_xlfn.CONCAT(VLOOKUP(DH20,Route_Column!#REF!,2,FALSE),CHAR(34)," probability=",CHAR(34),1/DH$4,CHAR(34),CHAR(47),CHAR(62)),"&lt;/routeDistribution&gt;"))</f>
        <v/>
      </c>
    </row>
    <row r="1661" spans="1:5" x14ac:dyDescent="0.25">
      <c r="A1661">
        <v>424765883</v>
      </c>
      <c r="B1661" t="s">
        <v>1149</v>
      </c>
      <c r="E1661" t="str">
        <f>IF(OR(E1660="&lt;/routeDistribution&gt;",E1660=""),"",IFERROR(_xlfn.CONCAT(VLOOKUP(DH21,Route_Column!#REF!,2,FALSE),CHAR(34)," probability=",CHAR(34),1/DH$4,CHAR(34),CHAR(47),CHAR(62)),"&lt;/routeDistribution&gt;"))</f>
        <v/>
      </c>
    </row>
    <row r="1662" spans="1:5" x14ac:dyDescent="0.25">
      <c r="A1662">
        <v>424765883</v>
      </c>
      <c r="B1662" t="s">
        <v>1150</v>
      </c>
      <c r="E1662" t="str">
        <f>IF(OR(E1661="&lt;/routeDistribution&gt;",E1661=""),"",IFERROR(_xlfn.CONCAT(VLOOKUP(DH22,Route_Column!#REF!,2,FALSE),CHAR(34)," probability=",CHAR(34),1/DH$4,CHAR(34),CHAR(47),CHAR(62)),"&lt;/routeDistribution&gt;"))</f>
        <v/>
      </c>
    </row>
    <row r="1663" spans="1:5" x14ac:dyDescent="0.25">
      <c r="A1663">
        <v>424765883</v>
      </c>
      <c r="B1663" t="s">
        <v>1155</v>
      </c>
      <c r="E1663" t="str">
        <f>IF(OR(E1662="&lt;/routeDistribution&gt;",E1662=""),"",IFERROR(_xlfn.CONCAT(VLOOKUP(DH23,Route_Column!#REF!,2,FALSE),CHAR(34)," probability=",CHAR(34),1/DH$4,CHAR(34),CHAR(47),CHAR(62)),"&lt;/routeDistribution&gt;"))</f>
        <v/>
      </c>
    </row>
    <row r="1664" spans="1:5" x14ac:dyDescent="0.25">
      <c r="A1664">
        <v>424765883</v>
      </c>
      <c r="B1664" t="s">
        <v>1157</v>
      </c>
      <c r="E1664" t="str">
        <f>IF(OR(E1663="&lt;/routeDistribution&gt;",E1663=""),"",IFERROR(_xlfn.CONCAT(VLOOKUP(DH24,Route_Column!#REF!,2,FALSE),CHAR(34)," probability=",CHAR(34),1/DH$4,CHAR(34),CHAR(47),CHAR(62)),"&lt;/routeDistribution&gt;"))</f>
        <v/>
      </c>
    </row>
    <row r="1665" spans="1:5" x14ac:dyDescent="0.25">
      <c r="A1665">
        <v>424765883</v>
      </c>
      <c r="B1665" t="s">
        <v>1158</v>
      </c>
      <c r="E1665" t="str">
        <f>IF(OR(E1664="&lt;/routeDistribution&gt;",E1664=""),"",IFERROR(_xlfn.CONCAT(VLOOKUP(DH25,Route_Column!#REF!,2,FALSE),CHAR(34)," probability=",CHAR(34),1/DH$4,CHAR(34),CHAR(47),CHAR(62)),"&lt;/routeDistribution&gt;"))</f>
        <v/>
      </c>
    </row>
    <row r="1666" spans="1:5" x14ac:dyDescent="0.25">
      <c r="A1666">
        <v>424765883</v>
      </c>
      <c r="B1666" t="s">
        <v>1175</v>
      </c>
      <c r="E1666" t="str">
        <f>IF(OR(E1665="&lt;/routeDistribution&gt;",E1665=""),"",IFERROR(_xlfn.CONCAT(VLOOKUP(DH26,Route_Column!#REF!,2,FALSE),CHAR(34)," probability=",CHAR(34),1/DH$4,CHAR(34),CHAR(47),CHAR(62)),"&lt;/routeDistribution&gt;"))</f>
        <v/>
      </c>
    </row>
    <row r="1667" spans="1:5" x14ac:dyDescent="0.25">
      <c r="A1667">
        <v>424765883</v>
      </c>
      <c r="B1667" t="s">
        <v>1176</v>
      </c>
      <c r="E1667" t="str">
        <f>IF(OR(E1666="&lt;/routeDistribution&gt;",E1666=""),"",IFERROR(_xlfn.CONCAT(VLOOKUP(DH27,Route_Column!#REF!,2,FALSE),CHAR(34)," probability=",CHAR(34),1/DH$4,CHAR(34),CHAR(47),CHAR(62)),"&lt;/routeDistribution&gt;"))</f>
        <v/>
      </c>
    </row>
    <row r="1668" spans="1:5" x14ac:dyDescent="0.25">
      <c r="A1668">
        <v>424765883</v>
      </c>
      <c r="B1668" t="s">
        <v>1177</v>
      </c>
      <c r="E1668" t="str">
        <f>IF(OR(E1667="&lt;/routeDistribution&gt;",E1667=""),"",IFERROR(_xlfn.CONCAT(VLOOKUP(DH28,Route_Column!#REF!,2,FALSE),CHAR(34)," probability=",CHAR(34),1/DH$4,CHAR(34),CHAR(47),CHAR(62)),"&lt;/routeDistribution&gt;"))</f>
        <v/>
      </c>
    </row>
    <row r="1669" spans="1:5" x14ac:dyDescent="0.25">
      <c r="A1669">
        <v>424765883</v>
      </c>
      <c r="B1669" t="s">
        <v>1184</v>
      </c>
      <c r="E1669" t="str">
        <f>IF(OR(E1668="&lt;/routeDistribution&gt;",E1668=""),"",IFERROR(_xlfn.CONCAT(VLOOKUP(DH29,Route_Column!#REF!,2,FALSE),CHAR(34)," probability=",CHAR(34),1/DH$4,CHAR(34),CHAR(47),CHAR(62)),"&lt;/routeDistribution&gt;"))</f>
        <v/>
      </c>
    </row>
    <row r="1670" spans="1:5" x14ac:dyDescent="0.25">
      <c r="A1670">
        <v>424765883</v>
      </c>
      <c r="B1670" t="s">
        <v>1204</v>
      </c>
      <c r="E1670" t="str">
        <f>IF(OR(E1669="&lt;/routeDistribution&gt;",E1669=""),"",IFERROR(_xlfn.CONCAT(VLOOKUP(DH30,Route_Column!#REF!,2,FALSE),CHAR(34)," probability=",CHAR(34),1/DH$4,CHAR(34),CHAR(47),CHAR(62)),"&lt;/routeDistribution&gt;"))</f>
        <v/>
      </c>
    </row>
    <row r="1671" spans="1:5" x14ac:dyDescent="0.25">
      <c r="A1671">
        <v>424765883</v>
      </c>
      <c r="B1671" t="s">
        <v>1218</v>
      </c>
      <c r="E1671" t="str">
        <f>IF(OR(E1670="&lt;/routeDistribution&gt;",E1670=""),"",IFERROR(_xlfn.CONCAT(VLOOKUP(DH31,Route_Column!#REF!,2,FALSE),CHAR(34)," probability=",CHAR(34),1/DH$4,CHAR(34),CHAR(47),CHAR(62)),"&lt;/routeDistribution&gt;"))</f>
        <v/>
      </c>
    </row>
    <row r="1672" spans="1:5" x14ac:dyDescent="0.25">
      <c r="A1672">
        <v>424765883</v>
      </c>
      <c r="B1672" t="s">
        <v>1219</v>
      </c>
      <c r="E1672" t="str">
        <f>IF(OR(E1671="&lt;/routeDistribution&gt;",E1671=""),"",IFERROR(_xlfn.CONCAT(VLOOKUP(DH32,Route_Column!#REF!,2,FALSE),CHAR(34)," probability=",CHAR(34),1/DH$4,CHAR(34),CHAR(47),CHAR(62)),"&lt;/routeDistribution&gt;"))</f>
        <v/>
      </c>
    </row>
    <row r="1673" spans="1:5" x14ac:dyDescent="0.25">
      <c r="A1673">
        <v>424765883</v>
      </c>
      <c r="B1673" t="s">
        <v>1220</v>
      </c>
      <c r="E1673" t="str">
        <f>IF(OR(E1672="&lt;/routeDistribution&gt;",E1672=""),"",IFERROR(_xlfn.CONCAT(VLOOKUP(DH33,Route_Column!#REF!,2,FALSE),CHAR(34)," probability=",CHAR(34),1/DH$4,CHAR(34),CHAR(47),CHAR(62)),"&lt;/routeDistribution&gt;"))</f>
        <v/>
      </c>
    </row>
    <row r="1674" spans="1:5" x14ac:dyDescent="0.25">
      <c r="A1674">
        <v>424765883</v>
      </c>
      <c r="B1674" t="s">
        <v>1226</v>
      </c>
      <c r="E1674" t="str">
        <f>IF(OR(E1673="&lt;/routeDistribution&gt;",E1673=""),"",IFERROR(_xlfn.CONCAT(VLOOKUP(DH34,Route_Column!#REF!,2,FALSE),CHAR(34)," probability=",CHAR(34),1/DH$4,CHAR(34),CHAR(47),CHAR(62)),"&lt;/routeDistribution&gt;"))</f>
        <v/>
      </c>
    </row>
    <row r="1675" spans="1:5" x14ac:dyDescent="0.25">
      <c r="A1675">
        <v>424765883</v>
      </c>
      <c r="B1675" t="s">
        <v>1227</v>
      </c>
      <c r="E1675" t="str">
        <f>IF(OR(E1674="&lt;/routeDistribution&gt;",E1674=""),"",IFERROR(_xlfn.CONCAT(VLOOKUP(DH35,Route_Column!#REF!,2,FALSE),CHAR(34)," probability=",CHAR(34),1/DH$4,CHAR(34),CHAR(47),CHAR(62)),"&lt;/routeDistribution&gt;"))</f>
        <v/>
      </c>
    </row>
    <row r="1676" spans="1:5" x14ac:dyDescent="0.25">
      <c r="A1676">
        <v>424765883</v>
      </c>
      <c r="B1676" t="s">
        <v>1228</v>
      </c>
      <c r="E1676" t="str">
        <f>IF(OR(E1675="&lt;/routeDistribution&gt;",E1675=""),"",IFERROR(_xlfn.CONCAT(VLOOKUP(DH36,Route_Column!#REF!,2,FALSE),CHAR(34)," probability=",CHAR(34),1/DH$4,CHAR(34),CHAR(47),CHAR(62)),"&lt;/routeDistribution&gt;"))</f>
        <v/>
      </c>
    </row>
    <row r="1677" spans="1:5" x14ac:dyDescent="0.25">
      <c r="A1677">
        <v>424765883</v>
      </c>
      <c r="B1677" t="s">
        <v>1230</v>
      </c>
      <c r="E1677" t="str">
        <f>IF(OR(E1676="&lt;/routeDistribution&gt;",E1676=""),"",IFERROR(_xlfn.CONCAT(VLOOKUP(DH37,Route_Column!#REF!,2,FALSE),CHAR(34)," probability=",CHAR(34),1/DH$4,CHAR(34),CHAR(47),CHAR(62)),"&lt;/routeDistribution&gt;"))</f>
        <v/>
      </c>
    </row>
    <row r="1678" spans="1:5" x14ac:dyDescent="0.25">
      <c r="A1678">
        <v>424765883</v>
      </c>
      <c r="B1678" t="s">
        <v>1231</v>
      </c>
      <c r="E1678" t="str">
        <f>IF(OR(E1677="&lt;/routeDistribution&gt;",E1677=""),"",IFERROR(_xlfn.CONCAT(VLOOKUP(DH38,Route_Column!#REF!,2,FALSE),CHAR(34)," probability=",CHAR(34),1/DH$4,CHAR(34),CHAR(47),CHAR(62)),"&lt;/routeDistribution&gt;"))</f>
        <v/>
      </c>
    </row>
    <row r="1679" spans="1:5" x14ac:dyDescent="0.25">
      <c r="A1679">
        <v>424765883</v>
      </c>
      <c r="B1679" t="s">
        <v>1233</v>
      </c>
      <c r="E1679" t="str">
        <f>IF(OR(E1678="&lt;/routeDistribution&gt;",E1678=""),"",IFERROR(_xlfn.CONCAT(VLOOKUP(DH39,Route_Column!#REF!,2,FALSE),CHAR(34)," probability=",CHAR(34),1/DH$4,CHAR(34),CHAR(47),CHAR(62)),"&lt;/routeDistribution&gt;"))</f>
        <v/>
      </c>
    </row>
    <row r="1680" spans="1:5" x14ac:dyDescent="0.25">
      <c r="A1680">
        <v>424765883</v>
      </c>
      <c r="B1680" t="s">
        <v>1253</v>
      </c>
      <c r="E1680" t="str">
        <f>IF(OR(E1679="&lt;/routeDistribution&gt;",E1679=""),"",IFERROR(_xlfn.CONCAT(VLOOKUP(DH40,Route_Column!#REF!,2,FALSE),CHAR(34)," probability=",CHAR(34),1/DH$4,CHAR(34),CHAR(47),CHAR(62)),"&lt;/routeDistribution&gt;"))</f>
        <v/>
      </c>
    </row>
    <row r="1681" spans="1:5" x14ac:dyDescent="0.25">
      <c r="A1681">
        <v>424765883</v>
      </c>
      <c r="B1681" t="s">
        <v>1254</v>
      </c>
      <c r="E1681" t="str">
        <f>IF(OR(E1680="&lt;/routeDistribution&gt;",E1680=""),"",IFERROR(_xlfn.CONCAT(VLOOKUP(DH41,Route_Column!#REF!,2,FALSE),CHAR(34)," probability=",CHAR(34),1/DH$4,CHAR(34),CHAR(47),CHAR(62)),"&lt;/routeDistribution&gt;"))</f>
        <v/>
      </c>
    </row>
    <row r="1682" spans="1:5" x14ac:dyDescent="0.25">
      <c r="A1682">
        <v>424765883</v>
      </c>
      <c r="B1682" t="s">
        <v>1255</v>
      </c>
      <c r="E1682" t="str">
        <f>IF(OR(E1681="&lt;/routeDistribution&gt;",E1681=""),"",IFERROR(_xlfn.CONCAT(VLOOKUP(DH42,Route_Column!#REF!,2,FALSE),CHAR(34)," probability=",CHAR(34),1/DH$4,CHAR(34),CHAR(47),CHAR(62)),"&lt;/routeDistribution&gt;"))</f>
        <v/>
      </c>
    </row>
    <row r="1683" spans="1:5" x14ac:dyDescent="0.25">
      <c r="A1683">
        <v>424767578</v>
      </c>
      <c r="B1683" t="s">
        <v>1139</v>
      </c>
      <c r="E1683" t="str">
        <f>IF(OR(E1682="&lt;/routeDistribution&gt;",E1682=""),"",IFERROR(_xlfn.CONCAT(VLOOKUP(DH43,Route_Column!#REF!,2,FALSE),CHAR(34)," probability=",CHAR(34),1/DH$4,CHAR(34),CHAR(47),CHAR(62)),"&lt;/routeDistribution&gt;"))</f>
        <v/>
      </c>
    </row>
    <row r="1684" spans="1:5" x14ac:dyDescent="0.25">
      <c r="A1684">
        <v>424767578</v>
      </c>
      <c r="B1684" t="s">
        <v>1140</v>
      </c>
      <c r="E1684" t="str">
        <f>IF(OR(E1683="&lt;/routeDistribution&gt;",E1683=""),"",IFERROR(_xlfn.CONCAT(VLOOKUP(DH44,Route_Column!#REF!,2,FALSE),CHAR(34)," probability=",CHAR(34),1/DH$4,CHAR(34),CHAR(47),CHAR(62)),"&lt;/routeDistribution&gt;"))</f>
        <v/>
      </c>
    </row>
    <row r="1685" spans="1:5" x14ac:dyDescent="0.25">
      <c r="A1685">
        <v>424767578</v>
      </c>
      <c r="B1685" t="s">
        <v>1142</v>
      </c>
      <c r="E1685" t="str">
        <f>IF(OR(E1684="&lt;/routeDistribution&gt;",E1684=""),"",IFERROR(_xlfn.CONCAT(VLOOKUP(DH45,Route_Column!#REF!,2,FALSE),CHAR(34)," probability=",CHAR(34),1/DH$4,CHAR(34),CHAR(47),CHAR(62)),"&lt;/routeDistribution&gt;"))</f>
        <v/>
      </c>
    </row>
    <row r="1686" spans="1:5" x14ac:dyDescent="0.25">
      <c r="A1686">
        <v>424767578</v>
      </c>
      <c r="B1686" t="s">
        <v>1148</v>
      </c>
      <c r="E1686" t="str">
        <f>IF(OR(E1685="&lt;/routeDistribution&gt;",E1685=""),"",IFERROR(_xlfn.CONCAT(VLOOKUP(DH46,Route_Column!#REF!,2,FALSE),CHAR(34)," probability=",CHAR(34),1/DH$4,CHAR(34),CHAR(47),CHAR(62)),"&lt;/routeDistribution&gt;"))</f>
        <v/>
      </c>
    </row>
    <row r="1687" spans="1:5" x14ac:dyDescent="0.25">
      <c r="A1687">
        <v>424767578</v>
      </c>
      <c r="B1687" t="s">
        <v>1150</v>
      </c>
      <c r="E1687" t="str">
        <f>IF(OR(E1686="&lt;/routeDistribution&gt;",E1686=""),"",IFERROR(_xlfn.CONCAT(VLOOKUP(DH47,Route_Column!#REF!,2,FALSE),CHAR(34)," probability=",CHAR(34),1/DH$4,CHAR(34),CHAR(47),CHAR(62)),"&lt;/routeDistribution&gt;"))</f>
        <v/>
      </c>
    </row>
    <row r="1688" spans="1:5" x14ac:dyDescent="0.25">
      <c r="A1688">
        <v>424767578</v>
      </c>
      <c r="B1688" t="s">
        <v>1157</v>
      </c>
      <c r="E1688" t="str">
        <f>IF(OR(E1687="&lt;/routeDistribution&gt;",E1687=""),"",IFERROR(_xlfn.CONCAT(VLOOKUP(DH48,Route_Column!#REF!,2,FALSE),CHAR(34)," probability=",CHAR(34),1/DH$4,CHAR(34),CHAR(47),CHAR(62)),"&lt;/routeDistribution&gt;"))</f>
        <v/>
      </c>
    </row>
    <row r="1689" spans="1:5" x14ac:dyDescent="0.25">
      <c r="A1689">
        <v>424767578</v>
      </c>
      <c r="B1689" t="s">
        <v>1178</v>
      </c>
      <c r="E1689" t="str">
        <f>IF(OR(E1688="&lt;/routeDistribution&gt;",E1688=""),"",IFERROR(_xlfn.CONCAT(VLOOKUP(DH49,Route_Column!#REF!,2,FALSE),CHAR(34)," probability=",CHAR(34),1/DH$4,CHAR(34),CHAR(47),CHAR(62)),"&lt;/routeDistribution&gt;"))</f>
        <v/>
      </c>
    </row>
    <row r="1690" spans="1:5" x14ac:dyDescent="0.25">
      <c r="A1690">
        <v>424767578</v>
      </c>
      <c r="B1690" t="s">
        <v>1201</v>
      </c>
      <c r="E1690" t="str">
        <f>IF(OR(E1689="&lt;/routeDistribution&gt;",E1689=""),"",IFERROR(_xlfn.CONCAT(VLOOKUP(DH50,Route_Column!#REF!,2,FALSE),CHAR(34)," probability=",CHAR(34),1/DH$4,CHAR(34),CHAR(47),CHAR(62)),"&lt;/routeDistribution&gt;"))</f>
        <v/>
      </c>
    </row>
    <row r="1691" spans="1:5" x14ac:dyDescent="0.25">
      <c r="A1691">
        <v>424767578</v>
      </c>
      <c r="B1691" t="s">
        <v>1202</v>
      </c>
      <c r="E1691" t="str">
        <f>IF(OR(E1690="&lt;/routeDistribution&gt;",E1690=""),"",IFERROR(_xlfn.CONCAT(VLOOKUP(DH51,Route_Column!#REF!,2,FALSE),CHAR(34)," probability=",CHAR(34),1/DH$4,CHAR(34),CHAR(47),CHAR(62)),"&lt;/routeDistribution&gt;"))</f>
        <v/>
      </c>
    </row>
    <row r="1692" spans="1:5" x14ac:dyDescent="0.25">
      <c r="A1692">
        <v>424767578</v>
      </c>
      <c r="B1692" t="s">
        <v>1206</v>
      </c>
      <c r="E1692" t="str">
        <f>IF(OR(E1691="&lt;/routeDistribution&gt;",E1691=""),"",IFERROR(_xlfn.CONCAT(VLOOKUP(DH52,Route_Column!#REF!,2,FALSE),CHAR(34)," probability=",CHAR(34),1/DH$4,CHAR(34),CHAR(47),CHAR(62)),"&lt;/routeDistribution&gt;"))</f>
        <v/>
      </c>
    </row>
    <row r="1693" spans="1:5" x14ac:dyDescent="0.25">
      <c r="A1693">
        <v>424767578</v>
      </c>
      <c r="B1693" t="s">
        <v>1207</v>
      </c>
      <c r="E1693" t="str">
        <f>IF(OR(E1692="&lt;/routeDistribution&gt;",E1692=""),"",IFERROR(_xlfn.CONCAT(VLOOKUP(DH53,Route_Column!#REF!,2,FALSE),CHAR(34)," probability=",CHAR(34),1/DH$4,CHAR(34),CHAR(47),CHAR(62)),"&lt;/routeDistribution&gt;"))</f>
        <v/>
      </c>
    </row>
    <row r="1694" spans="1:5" x14ac:dyDescent="0.25">
      <c r="A1694">
        <v>424767578</v>
      </c>
      <c r="B1694" t="s">
        <v>1226</v>
      </c>
      <c r="E1694" t="str">
        <f>IF(OR(E1693="&lt;/routeDistribution&gt;",E1693=""),"",IFERROR(_xlfn.CONCAT(VLOOKUP(DH54,Route_Column!#REF!,2,FALSE),CHAR(34)," probability=",CHAR(34),1/DH$4,CHAR(34),CHAR(47),CHAR(62)),"&lt;/routeDistribution&gt;"))</f>
        <v/>
      </c>
    </row>
    <row r="1695" spans="1:5" x14ac:dyDescent="0.25">
      <c r="A1695">
        <v>424767578</v>
      </c>
      <c r="B1695" t="s">
        <v>1233</v>
      </c>
      <c r="E1695" t="str">
        <f>IF(OR(E1694="&lt;/routeDistribution&gt;",E1694=""),"",IFERROR(_xlfn.CONCAT(VLOOKUP(DH55,Route_Column!#REF!,2,FALSE),CHAR(34)," probability=",CHAR(34),1/DH$4,CHAR(34),CHAR(47),CHAR(62)),"&lt;/routeDistribution&gt;"))</f>
        <v/>
      </c>
    </row>
    <row r="1696" spans="1:5" x14ac:dyDescent="0.25">
      <c r="A1696">
        <v>424767578</v>
      </c>
      <c r="B1696" t="s">
        <v>1254</v>
      </c>
      <c r="E1696" t="str">
        <f>IF(OR(E1695="&lt;/routeDistribution&gt;",E1695=""),"",IFERROR(_xlfn.CONCAT(VLOOKUP(DH56,Route_Column!#REF!,2,FALSE),CHAR(34)," probability=",CHAR(34),1/DH$4,CHAR(34),CHAR(47),CHAR(62)),"&lt;/routeDistribution&gt;"))</f>
        <v/>
      </c>
    </row>
    <row r="1697" spans="1:5" x14ac:dyDescent="0.25">
      <c r="A1697">
        <v>424769002</v>
      </c>
      <c r="B1697" t="s">
        <v>1140</v>
      </c>
      <c r="E1697" t="str">
        <f>IF(OR(E1696="&lt;/routeDistribution&gt;",E1696=""),"",IFERROR(_xlfn.CONCAT(VLOOKUP(DH57,Route_Column!#REF!,2,FALSE),CHAR(34)," probability=",CHAR(34),1/DH$4,CHAR(34),CHAR(47),CHAR(62)),"&lt;/routeDistribution&gt;"))</f>
        <v/>
      </c>
    </row>
    <row r="1698" spans="1:5" x14ac:dyDescent="0.25">
      <c r="A1698">
        <v>424769002</v>
      </c>
      <c r="B1698" t="s">
        <v>1141</v>
      </c>
      <c r="E1698" t="str">
        <f>IF(OR(E1697="&lt;/routeDistribution&gt;",E1697=""),"",IFERROR(_xlfn.CONCAT(VLOOKUP(DH58,Route_Column!#REF!,2,FALSE),CHAR(34)," probability=",CHAR(34),1/DH$4,CHAR(34),CHAR(47),CHAR(62)),"&lt;/routeDistribution&gt;"))</f>
        <v/>
      </c>
    </row>
    <row r="1699" spans="1:5" x14ac:dyDescent="0.25">
      <c r="A1699">
        <v>424769002</v>
      </c>
      <c r="B1699" t="s">
        <v>1142</v>
      </c>
      <c r="E1699" t="str">
        <f>IF(OR(E1698="&lt;/routeDistribution&gt;",E1698=""),"",IFERROR(_xlfn.CONCAT(VLOOKUP(DH59,Route_Column!#REF!,2,FALSE),CHAR(34)," probability=",CHAR(34),1/DH$4,CHAR(34),CHAR(47),CHAR(62)),"&lt;/routeDistribution&gt;"))</f>
        <v/>
      </c>
    </row>
    <row r="1700" spans="1:5" x14ac:dyDescent="0.25">
      <c r="A1700">
        <v>424769002</v>
      </c>
      <c r="B1700" t="s">
        <v>1142</v>
      </c>
      <c r="E1700" t="str">
        <f>IF(OR(E1699="&lt;/routeDistribution&gt;",E1699=""),"",IFERROR(_xlfn.CONCAT(VLOOKUP(DH60,Route_Column!#REF!,2,FALSE),CHAR(34)," probability=",CHAR(34),1/DH$4,CHAR(34),CHAR(47),CHAR(62)),"&lt;/routeDistribution&gt;"))</f>
        <v/>
      </c>
    </row>
    <row r="1701" spans="1:5" x14ac:dyDescent="0.25">
      <c r="A1701">
        <v>424769002</v>
      </c>
      <c r="B1701" t="s">
        <v>1148</v>
      </c>
      <c r="E1701" t="str">
        <f>IF(OR(E1700="&lt;/routeDistribution&gt;",E1700=""),"",IFERROR(_xlfn.CONCAT(VLOOKUP(DH61,Route_Column!#REF!,2,FALSE),CHAR(34)," probability=",CHAR(34),1/DH$4,CHAR(34),CHAR(47),CHAR(62)),"&lt;/routeDistribution&gt;"))</f>
        <v/>
      </c>
    </row>
    <row r="1702" spans="1:5" x14ac:dyDescent="0.25">
      <c r="A1702">
        <v>424769002</v>
      </c>
      <c r="B1702" t="s">
        <v>1150</v>
      </c>
      <c r="E1702" t="str">
        <f>IF(OR(E1701="&lt;/routeDistribution&gt;",E1701=""),"",IFERROR(_xlfn.CONCAT(VLOOKUP(DH62,Route_Column!#REF!,2,FALSE),CHAR(34)," probability=",CHAR(34),1/DH$4,CHAR(34),CHAR(47),CHAR(62)),"&lt;/routeDistribution&gt;"))</f>
        <v/>
      </c>
    </row>
    <row r="1703" spans="1:5" x14ac:dyDescent="0.25">
      <c r="A1703">
        <v>424769002</v>
      </c>
      <c r="B1703" t="s">
        <v>1151</v>
      </c>
      <c r="E1703" t="str">
        <f>IF(OR(E1702="&lt;/routeDistribution&gt;",E1702=""),"",IFERROR(_xlfn.CONCAT(VLOOKUP(DH63,Route_Column!#REF!,2,FALSE),CHAR(34)," probability=",CHAR(34),1/DH$4,CHAR(34),CHAR(47),CHAR(62)),"&lt;/routeDistribution&gt;"))</f>
        <v/>
      </c>
    </row>
    <row r="1704" spans="1:5" x14ac:dyDescent="0.25">
      <c r="A1704">
        <v>424769002</v>
      </c>
      <c r="B1704" t="s">
        <v>1178</v>
      </c>
      <c r="E1704" t="s">
        <v>2686</v>
      </c>
    </row>
    <row r="1705" spans="1:5" x14ac:dyDescent="0.25">
      <c r="A1705">
        <v>424769002</v>
      </c>
      <c r="B1705" t="s">
        <v>1179</v>
      </c>
    </row>
    <row r="1706" spans="1:5" x14ac:dyDescent="0.25">
      <c r="A1706">
        <v>424769002</v>
      </c>
      <c r="B1706" t="s">
        <v>1201</v>
      </c>
    </row>
    <row r="1707" spans="1:5" x14ac:dyDescent="0.25">
      <c r="A1707">
        <v>424769002</v>
      </c>
      <c r="B1707" t="s">
        <v>1202</v>
      </c>
      <c r="E1707" t="str">
        <f>_xlfn.CONCAT($E$1,DG$2,$F$1)</f>
        <v>&lt;routeDistribution id="34thSt_SGSt_to_Poweltonave-SB08-RouteProbe"&gt;</v>
      </c>
    </row>
    <row r="1708" spans="1:5" x14ac:dyDescent="0.25">
      <c r="A1708">
        <v>424769002</v>
      </c>
      <c r="B1708" t="s">
        <v>1205</v>
      </c>
      <c r="E1708" t="str">
        <f>IF(OR(E1707="&lt;/routeDistribution&gt;",E1707=""),"",IFERROR(_xlfn.CONCAT(VLOOKUP(DG5,Route_Column!#REF!,2,FALSE),CHAR(34)," probability=",CHAR(34),1/DG$4,CHAR(34),CHAR(47),CHAR(62)),"&lt;/routeDistribution&gt;"))</f>
        <v>&lt;/routeDistribution&gt;</v>
      </c>
    </row>
    <row r="1709" spans="1:5" x14ac:dyDescent="0.25">
      <c r="A1709">
        <v>424769002</v>
      </c>
      <c r="B1709" t="s">
        <v>1206</v>
      </c>
      <c r="E1709" t="str">
        <f>IF(OR(E1708="&lt;/routeDistribution&gt;",E1708=""),"",IFERROR(_xlfn.CONCAT(VLOOKUP(DG6,Route_Column!#REF!,2,FALSE),CHAR(34)," probability=",CHAR(34),1/DG$4,CHAR(34),CHAR(47),CHAR(62)),"&lt;/routeDistribution&gt;"))</f>
        <v/>
      </c>
    </row>
    <row r="1710" spans="1:5" x14ac:dyDescent="0.25">
      <c r="A1710">
        <v>424769002</v>
      </c>
      <c r="B1710" t="s">
        <v>1206</v>
      </c>
      <c r="E1710" t="str">
        <f>IF(OR(E1709="&lt;/routeDistribution&gt;",E1709=""),"",IFERROR(_xlfn.CONCAT(VLOOKUP(DG7,Route_Column!#REF!,2,FALSE),CHAR(34)," probability=",CHAR(34),1/DG$4,CHAR(34),CHAR(47),CHAR(62)),"&lt;/routeDistribution&gt;"))</f>
        <v/>
      </c>
    </row>
    <row r="1711" spans="1:5" x14ac:dyDescent="0.25">
      <c r="A1711">
        <v>424769002</v>
      </c>
      <c r="B1711" t="s">
        <v>1207</v>
      </c>
      <c r="E1711" t="str">
        <f>IF(OR(E1710="&lt;/routeDistribution&gt;",E1710=""),"",IFERROR(_xlfn.CONCAT(VLOOKUP(DG8,Route_Column!#REF!,2,FALSE),CHAR(34)," probability=",CHAR(34),1/DG$4,CHAR(34),CHAR(47),CHAR(62)),"&lt;/routeDistribution&gt;"))</f>
        <v/>
      </c>
    </row>
    <row r="1712" spans="1:5" x14ac:dyDescent="0.25">
      <c r="A1712">
        <v>424769002</v>
      </c>
      <c r="B1712" t="s">
        <v>1207</v>
      </c>
      <c r="E1712" t="str">
        <f>IF(OR(E1711="&lt;/routeDistribution&gt;",E1711=""),"",IFERROR(_xlfn.CONCAT(VLOOKUP(DG9,Route_Column!#REF!,2,FALSE),CHAR(34)," probability=",CHAR(34),1/DG$4,CHAR(34),CHAR(47),CHAR(62)),"&lt;/routeDistribution&gt;"))</f>
        <v/>
      </c>
    </row>
    <row r="1713" spans="1:5" x14ac:dyDescent="0.25">
      <c r="A1713">
        <v>424769002</v>
      </c>
      <c r="B1713" t="s">
        <v>1208</v>
      </c>
      <c r="E1713" t="str">
        <f>IF(OR(E1712="&lt;/routeDistribution&gt;",E1712=""),"",IFERROR(_xlfn.CONCAT(VLOOKUP(DG10,Route_Column!#REF!,2,FALSE),CHAR(34)," probability=",CHAR(34),1/DG$4,CHAR(34),CHAR(47),CHAR(62)),"&lt;/routeDistribution&gt;"))</f>
        <v/>
      </c>
    </row>
    <row r="1714" spans="1:5" x14ac:dyDescent="0.25">
      <c r="A1714">
        <v>424769002</v>
      </c>
      <c r="B1714" t="s">
        <v>1215</v>
      </c>
      <c r="E1714" t="str">
        <f>IF(OR(E1713="&lt;/routeDistribution&gt;",E1713=""),"",IFERROR(_xlfn.CONCAT(VLOOKUP(DG11,Route_Column!#REF!,2,FALSE),CHAR(34)," probability=",CHAR(34),1/DG$4,CHAR(34),CHAR(47),CHAR(62)),"&lt;/routeDistribution&gt;"))</f>
        <v/>
      </c>
    </row>
    <row r="1715" spans="1:5" x14ac:dyDescent="0.25">
      <c r="A1715">
        <v>424769002</v>
      </c>
      <c r="B1715" t="s">
        <v>1232</v>
      </c>
      <c r="E1715" t="str">
        <f>IF(OR(E1714="&lt;/routeDistribution&gt;",E1714=""),"",IFERROR(_xlfn.CONCAT(VLOOKUP(DG12,Route_Column!#REF!,2,FALSE),CHAR(34)," probability=",CHAR(34),1/DG$4,CHAR(34),CHAR(47),CHAR(62)),"&lt;/routeDistribution&gt;"))</f>
        <v/>
      </c>
    </row>
    <row r="1716" spans="1:5" x14ac:dyDescent="0.25">
      <c r="A1716">
        <v>424769002</v>
      </c>
      <c r="B1716" t="s">
        <v>1233</v>
      </c>
      <c r="E1716" t="str">
        <f>IF(OR(E1715="&lt;/routeDistribution&gt;",E1715=""),"",IFERROR(_xlfn.CONCAT(VLOOKUP(DG13,Route_Column!#REF!,2,FALSE),CHAR(34)," probability=",CHAR(34),1/DG$4,CHAR(34),CHAR(47),CHAR(62)),"&lt;/routeDistribution&gt;"))</f>
        <v/>
      </c>
    </row>
    <row r="1717" spans="1:5" x14ac:dyDescent="0.25">
      <c r="A1717">
        <v>424769002</v>
      </c>
      <c r="B1717" t="s">
        <v>1234</v>
      </c>
      <c r="E1717" t="str">
        <f>IF(OR(E1716="&lt;/routeDistribution&gt;",E1716=""),"",IFERROR(_xlfn.CONCAT(VLOOKUP(DG14,Route_Column!#REF!,2,FALSE),CHAR(34)," probability=",CHAR(34),1/DG$4,CHAR(34),CHAR(47),CHAR(62)),"&lt;/routeDistribution&gt;"))</f>
        <v/>
      </c>
    </row>
    <row r="1718" spans="1:5" x14ac:dyDescent="0.25">
      <c r="A1718">
        <v>424769002</v>
      </c>
      <c r="B1718" t="s">
        <v>1235</v>
      </c>
      <c r="E1718" t="str">
        <f>IF(OR(E1717="&lt;/routeDistribution&gt;",E1717=""),"",IFERROR(_xlfn.CONCAT(VLOOKUP(DG15,Route_Column!#REF!,2,FALSE),CHAR(34)," probability=",CHAR(34),1/DG$4,CHAR(34),CHAR(47),CHAR(62)),"&lt;/routeDistribution&gt;"))</f>
        <v/>
      </c>
    </row>
    <row r="1719" spans="1:5" x14ac:dyDescent="0.25">
      <c r="A1719">
        <v>424769002</v>
      </c>
      <c r="B1719" t="s">
        <v>1236</v>
      </c>
      <c r="E1719" t="str">
        <f>IF(OR(E1718="&lt;/routeDistribution&gt;",E1718=""),"",IFERROR(_xlfn.CONCAT(VLOOKUP(DG16,Route_Column!#REF!,2,FALSE),CHAR(34)," probability=",CHAR(34),1/DG$4,CHAR(34),CHAR(47),CHAR(62)),"&lt;/routeDistribution&gt;"))</f>
        <v/>
      </c>
    </row>
    <row r="1720" spans="1:5" x14ac:dyDescent="0.25">
      <c r="A1720">
        <v>424769002</v>
      </c>
      <c r="B1720" t="s">
        <v>1237</v>
      </c>
      <c r="E1720" t="str">
        <f>IF(OR(E1719="&lt;/routeDistribution&gt;",E1719=""),"",IFERROR(_xlfn.CONCAT(VLOOKUP(DG17,Route_Column!#REF!,2,FALSE),CHAR(34)," probability=",CHAR(34),1/DG$4,CHAR(34),CHAR(47),CHAR(62)),"&lt;/routeDistribution&gt;"))</f>
        <v/>
      </c>
    </row>
    <row r="1721" spans="1:5" x14ac:dyDescent="0.25">
      <c r="A1721">
        <v>424769002</v>
      </c>
      <c r="B1721" t="s">
        <v>1238</v>
      </c>
      <c r="E1721" t="str">
        <f>IF(OR(E1720="&lt;/routeDistribution&gt;",E1720=""),"",IFERROR(_xlfn.CONCAT(VLOOKUP(DG18,Route_Column!#REF!,2,FALSE),CHAR(34)," probability=",CHAR(34),1/DG$4,CHAR(34),CHAR(47),CHAR(62)),"&lt;/routeDistribution&gt;"))</f>
        <v/>
      </c>
    </row>
    <row r="1722" spans="1:5" x14ac:dyDescent="0.25">
      <c r="A1722">
        <v>424769002</v>
      </c>
      <c r="B1722" t="s">
        <v>1239</v>
      </c>
      <c r="E1722" t="str">
        <f>IF(OR(E1721="&lt;/routeDistribution&gt;",E1721=""),"",IFERROR(_xlfn.CONCAT(VLOOKUP(DG19,Route_Column!#REF!,2,FALSE),CHAR(34)," probability=",CHAR(34),1/DG$4,CHAR(34),CHAR(47),CHAR(62)),"&lt;/routeDistribution&gt;"))</f>
        <v/>
      </c>
    </row>
    <row r="1723" spans="1:5" x14ac:dyDescent="0.25">
      <c r="A1723">
        <v>424769002</v>
      </c>
      <c r="B1723" t="s">
        <v>1240</v>
      </c>
      <c r="E1723" t="str">
        <f>IF(OR(E1722="&lt;/routeDistribution&gt;",E1722=""),"",IFERROR(_xlfn.CONCAT(VLOOKUP(DG20,Route_Column!#REF!,2,FALSE),CHAR(34)," probability=",CHAR(34),1/DG$4,CHAR(34),CHAR(47),CHAR(62)),"&lt;/routeDistribution&gt;"))</f>
        <v/>
      </c>
    </row>
    <row r="1724" spans="1:5" x14ac:dyDescent="0.25">
      <c r="A1724">
        <v>424769002</v>
      </c>
      <c r="B1724" t="s">
        <v>1241</v>
      </c>
      <c r="E1724" t="str">
        <f>IF(OR(E1723="&lt;/routeDistribution&gt;",E1723=""),"",IFERROR(_xlfn.CONCAT(VLOOKUP(DG21,Route_Column!#REF!,2,FALSE),CHAR(34)," probability=",CHAR(34),1/DG$4,CHAR(34),CHAR(47),CHAR(62)),"&lt;/routeDistribution&gt;"))</f>
        <v/>
      </c>
    </row>
    <row r="1725" spans="1:5" x14ac:dyDescent="0.25">
      <c r="A1725">
        <v>424769002</v>
      </c>
      <c r="B1725" t="s">
        <v>1242</v>
      </c>
      <c r="E1725" t="str">
        <f>IF(OR(E1724="&lt;/routeDistribution&gt;",E1724=""),"",IFERROR(_xlfn.CONCAT(VLOOKUP(DG22,Route_Column!#REF!,2,FALSE),CHAR(34)," probability=",CHAR(34),1/DG$4,CHAR(34),CHAR(47),CHAR(62)),"&lt;/routeDistribution&gt;"))</f>
        <v/>
      </c>
    </row>
    <row r="1726" spans="1:5" x14ac:dyDescent="0.25">
      <c r="A1726">
        <v>424769002</v>
      </c>
      <c r="B1726" t="s">
        <v>1243</v>
      </c>
      <c r="E1726" t="str">
        <f>IF(OR(E1725="&lt;/routeDistribution&gt;",E1725=""),"",IFERROR(_xlfn.CONCAT(VLOOKUP(DG23,Route_Column!#REF!,2,FALSE),CHAR(34)," probability=",CHAR(34),1/DG$4,CHAR(34),CHAR(47),CHAR(62)),"&lt;/routeDistribution&gt;"))</f>
        <v/>
      </c>
    </row>
    <row r="1727" spans="1:5" x14ac:dyDescent="0.25">
      <c r="A1727">
        <v>424769002</v>
      </c>
      <c r="B1727" t="s">
        <v>1244</v>
      </c>
      <c r="E1727" t="str">
        <f>IF(OR(E1726="&lt;/routeDistribution&gt;",E1726=""),"",IFERROR(_xlfn.CONCAT(VLOOKUP(DG24,Route_Column!#REF!,2,FALSE),CHAR(34)," probability=",CHAR(34),1/DG$4,CHAR(34),CHAR(47),CHAR(62)),"&lt;/routeDistribution&gt;"))</f>
        <v/>
      </c>
    </row>
    <row r="1728" spans="1:5" x14ac:dyDescent="0.25">
      <c r="A1728">
        <v>424769002</v>
      </c>
      <c r="B1728" t="s">
        <v>1245</v>
      </c>
      <c r="E1728" t="str">
        <f>IF(OR(E1727="&lt;/routeDistribution&gt;",E1727=""),"",IFERROR(_xlfn.CONCAT(VLOOKUP(DG25,Route_Column!#REF!,2,FALSE),CHAR(34)," probability=",CHAR(34),1/DG$4,CHAR(34),CHAR(47),CHAR(62)),"&lt;/routeDistribution&gt;"))</f>
        <v/>
      </c>
    </row>
    <row r="1729" spans="1:5" x14ac:dyDescent="0.25">
      <c r="A1729">
        <v>424769002</v>
      </c>
      <c r="B1729" t="s">
        <v>1246</v>
      </c>
      <c r="E1729" t="str">
        <f>IF(OR(E1728="&lt;/routeDistribution&gt;",E1728=""),"",IFERROR(_xlfn.CONCAT(VLOOKUP(DG26,Route_Column!#REF!,2,FALSE),CHAR(34)," probability=",CHAR(34),1/DG$4,CHAR(34),CHAR(47),CHAR(62)),"&lt;/routeDistribution&gt;"))</f>
        <v/>
      </c>
    </row>
    <row r="1730" spans="1:5" x14ac:dyDescent="0.25">
      <c r="A1730">
        <v>424769002</v>
      </c>
      <c r="B1730" t="s">
        <v>1247</v>
      </c>
      <c r="E1730" t="str">
        <f>IF(OR(E1729="&lt;/routeDistribution&gt;",E1729=""),"",IFERROR(_xlfn.CONCAT(VLOOKUP(DG27,Route_Column!#REF!,2,FALSE),CHAR(34)," probability=",CHAR(34),1/DG$4,CHAR(34),CHAR(47),CHAR(62)),"&lt;/routeDistribution&gt;"))</f>
        <v/>
      </c>
    </row>
    <row r="1731" spans="1:5" x14ac:dyDescent="0.25">
      <c r="A1731">
        <v>424769002</v>
      </c>
      <c r="B1731" t="s">
        <v>1248</v>
      </c>
      <c r="E1731" t="str">
        <f>IF(OR(E1730="&lt;/routeDistribution&gt;",E1730=""),"",IFERROR(_xlfn.CONCAT(VLOOKUP(DG28,Route_Column!#REF!,2,FALSE),CHAR(34)," probability=",CHAR(34),1/DG$4,CHAR(34),CHAR(47),CHAR(62)),"&lt;/routeDistribution&gt;"))</f>
        <v/>
      </c>
    </row>
    <row r="1732" spans="1:5" x14ac:dyDescent="0.25">
      <c r="A1732">
        <v>424769002</v>
      </c>
      <c r="B1732" t="s">
        <v>1249</v>
      </c>
      <c r="E1732" t="str">
        <f>IF(OR(E1731="&lt;/routeDistribution&gt;",E1731=""),"",IFERROR(_xlfn.CONCAT(VLOOKUP(DG29,Route_Column!#REF!,2,FALSE),CHAR(34)," probability=",CHAR(34),1/DG$4,CHAR(34),CHAR(47),CHAR(62)),"&lt;/routeDistribution&gt;"))</f>
        <v/>
      </c>
    </row>
    <row r="1733" spans="1:5" x14ac:dyDescent="0.25">
      <c r="A1733">
        <v>424769002</v>
      </c>
      <c r="B1733" t="s">
        <v>1250</v>
      </c>
      <c r="E1733" t="str">
        <f>IF(OR(E1732="&lt;/routeDistribution&gt;",E1732=""),"",IFERROR(_xlfn.CONCAT(VLOOKUP(DG30,Route_Column!#REF!,2,FALSE),CHAR(34)," probability=",CHAR(34),1/DG$4,CHAR(34),CHAR(47),CHAR(62)),"&lt;/routeDistribution&gt;"))</f>
        <v/>
      </c>
    </row>
    <row r="1734" spans="1:5" x14ac:dyDescent="0.25">
      <c r="A1734">
        <v>424769004</v>
      </c>
      <c r="B1734" t="s">
        <v>1140</v>
      </c>
      <c r="E1734" t="str">
        <f>IF(OR(E1733="&lt;/routeDistribution&gt;",E1733=""),"",IFERROR(_xlfn.CONCAT(VLOOKUP(DG31,Route_Column!#REF!,2,FALSE),CHAR(34)," probability=",CHAR(34),1/DG$4,CHAR(34),CHAR(47),CHAR(62)),"&lt;/routeDistribution&gt;"))</f>
        <v/>
      </c>
    </row>
    <row r="1735" spans="1:5" x14ac:dyDescent="0.25">
      <c r="A1735">
        <v>424769004</v>
      </c>
      <c r="B1735" t="s">
        <v>1141</v>
      </c>
      <c r="E1735" t="str">
        <f>IF(OR(E1734="&lt;/routeDistribution&gt;",E1734=""),"",IFERROR(_xlfn.CONCAT(VLOOKUP(DG32,Route_Column!#REF!,2,FALSE),CHAR(34)," probability=",CHAR(34),1/DG$4,CHAR(34),CHAR(47),CHAR(62)),"&lt;/routeDistribution&gt;"))</f>
        <v/>
      </c>
    </row>
    <row r="1736" spans="1:5" x14ac:dyDescent="0.25">
      <c r="A1736">
        <v>424769004</v>
      </c>
      <c r="B1736" t="s">
        <v>1142</v>
      </c>
      <c r="E1736" t="str">
        <f>IF(OR(E1735="&lt;/routeDistribution&gt;",E1735=""),"",IFERROR(_xlfn.CONCAT(VLOOKUP(DG33,Route_Column!#REF!,2,FALSE),CHAR(34)," probability=",CHAR(34),1/DG$4,CHAR(34),CHAR(47),CHAR(62)),"&lt;/routeDistribution&gt;"))</f>
        <v/>
      </c>
    </row>
    <row r="1737" spans="1:5" x14ac:dyDescent="0.25">
      <c r="A1737">
        <v>424769004</v>
      </c>
      <c r="B1737" t="s">
        <v>1142</v>
      </c>
      <c r="E1737" t="str">
        <f>IF(OR(E1736="&lt;/routeDistribution&gt;",E1736=""),"",IFERROR(_xlfn.CONCAT(VLOOKUP(DG34,Route_Column!#REF!,2,FALSE),CHAR(34)," probability=",CHAR(34),1/DG$4,CHAR(34),CHAR(47),CHAR(62)),"&lt;/routeDistribution&gt;"))</f>
        <v/>
      </c>
    </row>
    <row r="1738" spans="1:5" x14ac:dyDescent="0.25">
      <c r="A1738">
        <v>424769004</v>
      </c>
      <c r="B1738" t="s">
        <v>1148</v>
      </c>
      <c r="E1738" t="str">
        <f>IF(OR(E1737="&lt;/routeDistribution&gt;",E1737=""),"",IFERROR(_xlfn.CONCAT(VLOOKUP(DG35,Route_Column!#REF!,2,FALSE),CHAR(34)," probability=",CHAR(34),1/DG$4,CHAR(34),CHAR(47),CHAR(62)),"&lt;/routeDistribution&gt;"))</f>
        <v/>
      </c>
    </row>
    <row r="1739" spans="1:5" x14ac:dyDescent="0.25">
      <c r="A1739">
        <v>424769004</v>
      </c>
      <c r="B1739" t="s">
        <v>1150</v>
      </c>
      <c r="E1739" t="str">
        <f>IF(OR(E1738="&lt;/routeDistribution&gt;",E1738=""),"",IFERROR(_xlfn.CONCAT(VLOOKUP(DG36,Route_Column!#REF!,2,FALSE),CHAR(34)," probability=",CHAR(34),1/DG$4,CHAR(34),CHAR(47),CHAR(62)),"&lt;/routeDistribution&gt;"))</f>
        <v/>
      </c>
    </row>
    <row r="1740" spans="1:5" x14ac:dyDescent="0.25">
      <c r="A1740">
        <v>424769004</v>
      </c>
      <c r="B1740" t="s">
        <v>1151</v>
      </c>
      <c r="E1740" t="str">
        <f>IF(OR(E1739="&lt;/routeDistribution&gt;",E1739=""),"",IFERROR(_xlfn.CONCAT(VLOOKUP(DG37,Route_Column!#REF!,2,FALSE),CHAR(34)," probability=",CHAR(34),1/DG$4,CHAR(34),CHAR(47),CHAR(62)),"&lt;/routeDistribution&gt;"))</f>
        <v/>
      </c>
    </row>
    <row r="1741" spans="1:5" x14ac:dyDescent="0.25">
      <c r="A1741">
        <v>424769004</v>
      </c>
      <c r="B1741" t="s">
        <v>1178</v>
      </c>
      <c r="E1741" t="str">
        <f>IF(OR(E1740="&lt;/routeDistribution&gt;",E1740=""),"",IFERROR(_xlfn.CONCAT(VLOOKUP(DG38,Route_Column!#REF!,2,FALSE),CHAR(34)," probability=",CHAR(34),1/DG$4,CHAR(34),CHAR(47),CHAR(62)),"&lt;/routeDistribution&gt;"))</f>
        <v/>
      </c>
    </row>
    <row r="1742" spans="1:5" x14ac:dyDescent="0.25">
      <c r="A1742">
        <v>424769004</v>
      </c>
      <c r="B1742" t="s">
        <v>1179</v>
      </c>
      <c r="E1742" t="str">
        <f>IF(OR(E1741="&lt;/routeDistribution&gt;",E1741=""),"",IFERROR(_xlfn.CONCAT(VLOOKUP(DG39,Route_Column!#REF!,2,FALSE),CHAR(34)," probability=",CHAR(34),1/DG$4,CHAR(34),CHAR(47),CHAR(62)),"&lt;/routeDistribution&gt;"))</f>
        <v/>
      </c>
    </row>
    <row r="1743" spans="1:5" x14ac:dyDescent="0.25">
      <c r="A1743">
        <v>424769004</v>
      </c>
      <c r="B1743" t="s">
        <v>1201</v>
      </c>
      <c r="E1743" t="str">
        <f>IF(OR(E1742="&lt;/routeDistribution&gt;",E1742=""),"",IFERROR(_xlfn.CONCAT(VLOOKUP(DG40,Route_Column!#REF!,2,FALSE),CHAR(34)," probability=",CHAR(34),1/DG$4,CHAR(34),CHAR(47),CHAR(62)),"&lt;/routeDistribution&gt;"))</f>
        <v/>
      </c>
    </row>
    <row r="1744" spans="1:5" x14ac:dyDescent="0.25">
      <c r="A1744">
        <v>424769004</v>
      </c>
      <c r="B1744" t="s">
        <v>1202</v>
      </c>
      <c r="E1744" t="str">
        <f>IF(OR(E1743="&lt;/routeDistribution&gt;",E1743=""),"",IFERROR(_xlfn.CONCAT(VLOOKUP(DG41,Route_Column!#REF!,2,FALSE),CHAR(34)," probability=",CHAR(34),1/DG$4,CHAR(34),CHAR(47),CHAR(62)),"&lt;/routeDistribution&gt;"))</f>
        <v/>
      </c>
    </row>
    <row r="1745" spans="1:5" x14ac:dyDescent="0.25">
      <c r="A1745">
        <v>424769004</v>
      </c>
      <c r="B1745" t="s">
        <v>1205</v>
      </c>
      <c r="E1745" t="str">
        <f>IF(OR(E1744="&lt;/routeDistribution&gt;",E1744=""),"",IFERROR(_xlfn.CONCAT(VLOOKUP(DG42,Route_Column!#REF!,2,FALSE),CHAR(34)," probability=",CHAR(34),1/DG$4,CHAR(34),CHAR(47),CHAR(62)),"&lt;/routeDistribution&gt;"))</f>
        <v/>
      </c>
    </row>
    <row r="1746" spans="1:5" x14ac:dyDescent="0.25">
      <c r="A1746">
        <v>424769004</v>
      </c>
      <c r="B1746" t="s">
        <v>1206</v>
      </c>
      <c r="E1746" t="str">
        <f>IF(OR(E1745="&lt;/routeDistribution&gt;",E1745=""),"",IFERROR(_xlfn.CONCAT(VLOOKUP(DG43,Route_Column!#REF!,2,FALSE),CHAR(34)," probability=",CHAR(34),1/DG$4,CHAR(34),CHAR(47),CHAR(62)),"&lt;/routeDistribution&gt;"))</f>
        <v/>
      </c>
    </row>
    <row r="1747" spans="1:5" x14ac:dyDescent="0.25">
      <c r="A1747">
        <v>424769004</v>
      </c>
      <c r="B1747" t="s">
        <v>1206</v>
      </c>
      <c r="E1747" t="str">
        <f>IF(OR(E1746="&lt;/routeDistribution&gt;",E1746=""),"",IFERROR(_xlfn.CONCAT(VLOOKUP(DG44,Route_Column!#REF!,2,FALSE),CHAR(34)," probability=",CHAR(34),1/DG$4,CHAR(34),CHAR(47),CHAR(62)),"&lt;/routeDistribution&gt;"))</f>
        <v/>
      </c>
    </row>
    <row r="1748" spans="1:5" x14ac:dyDescent="0.25">
      <c r="A1748">
        <v>424769004</v>
      </c>
      <c r="B1748" t="s">
        <v>1207</v>
      </c>
      <c r="E1748" t="str">
        <f>IF(OR(E1747="&lt;/routeDistribution&gt;",E1747=""),"",IFERROR(_xlfn.CONCAT(VLOOKUP(DG45,Route_Column!#REF!,2,FALSE),CHAR(34)," probability=",CHAR(34),1/DG$4,CHAR(34),CHAR(47),CHAR(62)),"&lt;/routeDistribution&gt;"))</f>
        <v/>
      </c>
    </row>
    <row r="1749" spans="1:5" x14ac:dyDescent="0.25">
      <c r="A1749">
        <v>424769004</v>
      </c>
      <c r="B1749" t="s">
        <v>1207</v>
      </c>
      <c r="E1749" t="str">
        <f>IF(OR(E1748="&lt;/routeDistribution&gt;",E1748=""),"",IFERROR(_xlfn.CONCAT(VLOOKUP(DG46,Route_Column!#REF!,2,FALSE),CHAR(34)," probability=",CHAR(34),1/DG$4,CHAR(34),CHAR(47),CHAR(62)),"&lt;/routeDistribution&gt;"))</f>
        <v/>
      </c>
    </row>
    <row r="1750" spans="1:5" x14ac:dyDescent="0.25">
      <c r="A1750">
        <v>424769004</v>
      </c>
      <c r="B1750" t="s">
        <v>1208</v>
      </c>
      <c r="E1750" t="str">
        <f>IF(OR(E1749="&lt;/routeDistribution&gt;",E1749=""),"",IFERROR(_xlfn.CONCAT(VLOOKUP(DG47,Route_Column!#REF!,2,FALSE),CHAR(34)," probability=",CHAR(34),1/DG$4,CHAR(34),CHAR(47),CHAR(62)),"&lt;/routeDistribution&gt;"))</f>
        <v/>
      </c>
    </row>
    <row r="1751" spans="1:5" x14ac:dyDescent="0.25">
      <c r="A1751">
        <v>424769004</v>
      </c>
      <c r="B1751" t="s">
        <v>1215</v>
      </c>
      <c r="E1751" t="str">
        <f>IF(OR(E1750="&lt;/routeDistribution&gt;",E1750=""),"",IFERROR(_xlfn.CONCAT(VLOOKUP(DG48,Route_Column!#REF!,2,FALSE),CHAR(34)," probability=",CHAR(34),1/DG$4,CHAR(34),CHAR(47),CHAR(62)),"&lt;/routeDistribution&gt;"))</f>
        <v/>
      </c>
    </row>
    <row r="1752" spans="1:5" x14ac:dyDescent="0.25">
      <c r="A1752">
        <v>424769004</v>
      </c>
      <c r="B1752" t="s">
        <v>1222</v>
      </c>
      <c r="E1752" t="str">
        <f>IF(OR(E1751="&lt;/routeDistribution&gt;",E1751=""),"",IFERROR(_xlfn.CONCAT(VLOOKUP(DG49,Route_Column!#REF!,2,FALSE),CHAR(34)," probability=",CHAR(34),1/DG$4,CHAR(34),CHAR(47),CHAR(62)),"&lt;/routeDistribution&gt;"))</f>
        <v/>
      </c>
    </row>
    <row r="1753" spans="1:5" x14ac:dyDescent="0.25">
      <c r="A1753">
        <v>424769004</v>
      </c>
      <c r="B1753" t="s">
        <v>1223</v>
      </c>
      <c r="E1753" t="str">
        <f>IF(OR(E1752="&lt;/routeDistribution&gt;",E1752=""),"",IFERROR(_xlfn.CONCAT(VLOOKUP(DG50,Route_Column!#REF!,2,FALSE),CHAR(34)," probability=",CHAR(34),1/DG$4,CHAR(34),CHAR(47),CHAR(62)),"&lt;/routeDistribution&gt;"))</f>
        <v/>
      </c>
    </row>
    <row r="1754" spans="1:5" x14ac:dyDescent="0.25">
      <c r="A1754">
        <v>424769004</v>
      </c>
      <c r="B1754" t="s">
        <v>1224</v>
      </c>
      <c r="E1754" t="str">
        <f>IF(OR(E1753="&lt;/routeDistribution&gt;",E1753=""),"",IFERROR(_xlfn.CONCAT(VLOOKUP(DG51,Route_Column!#REF!,2,FALSE),CHAR(34)," probability=",CHAR(34),1/DG$4,CHAR(34),CHAR(47),CHAR(62)),"&lt;/routeDistribution&gt;"))</f>
        <v/>
      </c>
    </row>
    <row r="1755" spans="1:5" x14ac:dyDescent="0.25">
      <c r="A1755">
        <v>424769004</v>
      </c>
      <c r="B1755" t="s">
        <v>1225</v>
      </c>
      <c r="E1755" t="str">
        <f>IF(OR(E1754="&lt;/routeDistribution&gt;",E1754=""),"",IFERROR(_xlfn.CONCAT(VLOOKUP(DG52,Route_Column!#REF!,2,FALSE),CHAR(34)," probability=",CHAR(34),1/DG$4,CHAR(34),CHAR(47),CHAR(62)),"&lt;/routeDistribution&gt;"))</f>
        <v/>
      </c>
    </row>
    <row r="1756" spans="1:5" x14ac:dyDescent="0.25">
      <c r="A1756">
        <v>424769004</v>
      </c>
      <c r="B1756" t="s">
        <v>1232</v>
      </c>
      <c r="E1756" t="str">
        <f>IF(OR(E1755="&lt;/routeDistribution&gt;",E1755=""),"",IFERROR(_xlfn.CONCAT(VLOOKUP(DG53,Route_Column!#REF!,2,FALSE),CHAR(34)," probability=",CHAR(34),1/DG$4,CHAR(34),CHAR(47),CHAR(62)),"&lt;/routeDistribution&gt;"))</f>
        <v/>
      </c>
    </row>
    <row r="1757" spans="1:5" x14ac:dyDescent="0.25">
      <c r="A1757">
        <v>424769004</v>
      </c>
      <c r="B1757" t="s">
        <v>1233</v>
      </c>
      <c r="E1757" t="str">
        <f>IF(OR(E1756="&lt;/routeDistribution&gt;",E1756=""),"",IFERROR(_xlfn.CONCAT(VLOOKUP(DG54,Route_Column!#REF!,2,FALSE),CHAR(34)," probability=",CHAR(34),1/DG$4,CHAR(34),CHAR(47),CHAR(62)),"&lt;/routeDistribution&gt;"))</f>
        <v/>
      </c>
    </row>
    <row r="1758" spans="1:5" x14ac:dyDescent="0.25">
      <c r="A1758">
        <v>424769004</v>
      </c>
      <c r="B1758" t="s">
        <v>1234</v>
      </c>
      <c r="E1758" t="str">
        <f>IF(OR(E1757="&lt;/routeDistribution&gt;",E1757=""),"",IFERROR(_xlfn.CONCAT(VLOOKUP(DG55,Route_Column!#REF!,2,FALSE),CHAR(34)," probability=",CHAR(34),1/DG$4,CHAR(34),CHAR(47),CHAR(62)),"&lt;/routeDistribution&gt;"))</f>
        <v/>
      </c>
    </row>
    <row r="1759" spans="1:5" x14ac:dyDescent="0.25">
      <c r="A1759">
        <v>424769004</v>
      </c>
      <c r="B1759" t="s">
        <v>1235</v>
      </c>
      <c r="E1759" t="str">
        <f>IF(OR(E1758="&lt;/routeDistribution&gt;",E1758=""),"",IFERROR(_xlfn.CONCAT(VLOOKUP(DG56,Route_Column!#REF!,2,FALSE),CHAR(34)," probability=",CHAR(34),1/DG$4,CHAR(34),CHAR(47),CHAR(62)),"&lt;/routeDistribution&gt;"))</f>
        <v/>
      </c>
    </row>
    <row r="1760" spans="1:5" x14ac:dyDescent="0.25">
      <c r="A1760">
        <v>424769004</v>
      </c>
      <c r="B1760" t="s">
        <v>1236</v>
      </c>
      <c r="E1760" t="str">
        <f>IF(OR(E1759="&lt;/routeDistribution&gt;",E1759=""),"",IFERROR(_xlfn.CONCAT(VLOOKUP(DG57,Route_Column!#REF!,2,FALSE),CHAR(34)," probability=",CHAR(34),1/DG$4,CHAR(34),CHAR(47),CHAR(62)),"&lt;/routeDistribution&gt;"))</f>
        <v/>
      </c>
    </row>
    <row r="1761" spans="1:5" x14ac:dyDescent="0.25">
      <c r="A1761">
        <v>424769004</v>
      </c>
      <c r="B1761" t="s">
        <v>1237</v>
      </c>
      <c r="E1761" t="str">
        <f>IF(OR(E1760="&lt;/routeDistribution&gt;",E1760=""),"",IFERROR(_xlfn.CONCAT(VLOOKUP(DG58,Route_Column!#REF!,2,FALSE),CHAR(34)," probability=",CHAR(34),1/DG$4,CHAR(34),CHAR(47),CHAR(62)),"&lt;/routeDistribution&gt;"))</f>
        <v/>
      </c>
    </row>
    <row r="1762" spans="1:5" x14ac:dyDescent="0.25">
      <c r="A1762">
        <v>424769004</v>
      </c>
      <c r="B1762" t="s">
        <v>1238</v>
      </c>
      <c r="E1762" t="str">
        <f>IF(OR(E1761="&lt;/routeDistribution&gt;",E1761=""),"",IFERROR(_xlfn.CONCAT(VLOOKUP(DG59,Route_Column!#REF!,2,FALSE),CHAR(34)," probability=",CHAR(34),1/DG$4,CHAR(34),CHAR(47),CHAR(62)),"&lt;/routeDistribution&gt;"))</f>
        <v/>
      </c>
    </row>
    <row r="1763" spans="1:5" x14ac:dyDescent="0.25">
      <c r="A1763">
        <v>424769004</v>
      </c>
      <c r="B1763" t="s">
        <v>1239</v>
      </c>
      <c r="E1763" t="str">
        <f>IF(OR(E1762="&lt;/routeDistribution&gt;",E1762=""),"",IFERROR(_xlfn.CONCAT(VLOOKUP(DG60,Route_Column!#REF!,2,FALSE),CHAR(34)," probability=",CHAR(34),1/DG$4,CHAR(34),CHAR(47),CHAR(62)),"&lt;/routeDistribution&gt;"))</f>
        <v/>
      </c>
    </row>
    <row r="1764" spans="1:5" x14ac:dyDescent="0.25">
      <c r="A1764">
        <v>424769004</v>
      </c>
      <c r="B1764" t="s">
        <v>1240</v>
      </c>
      <c r="E1764" t="str">
        <f>IF(OR(E1763="&lt;/routeDistribution&gt;",E1763=""),"",IFERROR(_xlfn.CONCAT(VLOOKUP(DG61,Route_Column!#REF!,2,FALSE),CHAR(34)," probability=",CHAR(34),1/DG$4,CHAR(34),CHAR(47),CHAR(62)),"&lt;/routeDistribution&gt;"))</f>
        <v/>
      </c>
    </row>
    <row r="1765" spans="1:5" x14ac:dyDescent="0.25">
      <c r="A1765">
        <v>424769004</v>
      </c>
      <c r="B1765" t="s">
        <v>1241</v>
      </c>
      <c r="E1765" t="str">
        <f>IF(OR(E1764="&lt;/routeDistribution&gt;",E1764=""),"",IFERROR(_xlfn.CONCAT(VLOOKUP(DG62,Route_Column!#REF!,2,FALSE),CHAR(34)," probability=",CHAR(34),1/DG$4,CHAR(34),CHAR(47),CHAR(62)),"&lt;/routeDistribution&gt;"))</f>
        <v/>
      </c>
    </row>
    <row r="1766" spans="1:5" x14ac:dyDescent="0.25">
      <c r="A1766">
        <v>424769004</v>
      </c>
      <c r="B1766" t="s">
        <v>1242</v>
      </c>
      <c r="E1766" t="str">
        <f>IF(OR(E1765="&lt;/routeDistribution&gt;",E1765=""),"",IFERROR(_xlfn.CONCAT(VLOOKUP(DG63,Route_Column!#REF!,2,FALSE),CHAR(34)," probability=",CHAR(34),1/DG$4,CHAR(34),CHAR(47),CHAR(62)),"&lt;/routeDistribution&gt;"))</f>
        <v/>
      </c>
    </row>
    <row r="1767" spans="1:5" x14ac:dyDescent="0.25">
      <c r="A1767">
        <v>424769004</v>
      </c>
      <c r="B1767" t="s">
        <v>1243</v>
      </c>
      <c r="E1767" t="s">
        <v>2686</v>
      </c>
    </row>
    <row r="1768" spans="1:5" x14ac:dyDescent="0.25">
      <c r="A1768">
        <v>424769004</v>
      </c>
      <c r="B1768" t="s">
        <v>1244</v>
      </c>
    </row>
    <row r="1769" spans="1:5" x14ac:dyDescent="0.25">
      <c r="A1769">
        <v>424769004</v>
      </c>
      <c r="B1769" t="s">
        <v>1245</v>
      </c>
    </row>
    <row r="1770" spans="1:5" x14ac:dyDescent="0.25">
      <c r="A1770">
        <v>424769004</v>
      </c>
      <c r="B1770" t="s">
        <v>1246</v>
      </c>
      <c r="E1770" t="str">
        <f>_xlfn.CONCAT($E$1,DF$2,$F$1)</f>
        <v>&lt;routeDistribution id="34thST_Ches_to_Wal-SB-08-RouteProbe"&gt;</v>
      </c>
    </row>
    <row r="1771" spans="1:5" x14ac:dyDescent="0.25">
      <c r="A1771">
        <v>424769004</v>
      </c>
      <c r="B1771" t="s">
        <v>1247</v>
      </c>
      <c r="E1771" t="str">
        <f>IF(OR(E1770="&lt;/routeDistribution&gt;",E1770=""),"",IFERROR(_xlfn.CONCAT(VLOOKUP(DF5,Route_Column!#REF!,2,FALSE),CHAR(34)," probability=",CHAR(34),1/DF$4,CHAR(34),CHAR(47),CHAR(62)),"&lt;/routeDistribution&gt;"))</f>
        <v>&lt;/routeDistribution&gt;</v>
      </c>
    </row>
    <row r="1772" spans="1:5" x14ac:dyDescent="0.25">
      <c r="A1772">
        <v>424769004</v>
      </c>
      <c r="B1772" t="s">
        <v>1248</v>
      </c>
      <c r="E1772" t="str">
        <f>IF(OR(E1771="&lt;/routeDistribution&gt;",E1771=""),"",IFERROR(_xlfn.CONCAT(VLOOKUP(DF6,Route_Column!#REF!,2,FALSE),CHAR(34)," probability=",CHAR(34),1/DF$4,CHAR(34),CHAR(47),CHAR(62)),"&lt;/routeDistribution&gt;"))</f>
        <v/>
      </c>
    </row>
    <row r="1773" spans="1:5" x14ac:dyDescent="0.25">
      <c r="A1773">
        <v>424769004</v>
      </c>
      <c r="B1773" t="s">
        <v>1249</v>
      </c>
      <c r="E1773" t="str">
        <f>IF(OR(E1772="&lt;/routeDistribution&gt;",E1772=""),"",IFERROR(_xlfn.CONCAT(VLOOKUP(DF7,Route_Column!#REF!,2,FALSE),CHAR(34)," probability=",CHAR(34),1/DF$4,CHAR(34),CHAR(47),CHAR(62)),"&lt;/routeDistribution&gt;"))</f>
        <v/>
      </c>
    </row>
    <row r="1774" spans="1:5" x14ac:dyDescent="0.25">
      <c r="A1774">
        <v>424769004</v>
      </c>
      <c r="B1774" t="s">
        <v>1250</v>
      </c>
      <c r="E1774" t="str">
        <f>IF(OR(E1773="&lt;/routeDistribution&gt;",E1773=""),"",IFERROR(_xlfn.CONCAT(VLOOKUP(DF8,Route_Column!#REF!,2,FALSE),CHAR(34)," probability=",CHAR(34),1/DF$4,CHAR(34),CHAR(47),CHAR(62)),"&lt;/routeDistribution&gt;"))</f>
        <v/>
      </c>
    </row>
    <row r="1775" spans="1:5" x14ac:dyDescent="0.25">
      <c r="A1775">
        <v>424769005</v>
      </c>
      <c r="B1775" t="s">
        <v>1140</v>
      </c>
      <c r="E1775" t="str">
        <f>IF(OR(E1774="&lt;/routeDistribution&gt;",E1774=""),"",IFERROR(_xlfn.CONCAT(VLOOKUP(DF9,Route_Column!#REF!,2,FALSE),CHAR(34)," probability=",CHAR(34),1/DF$4,CHAR(34),CHAR(47),CHAR(62)),"&lt;/routeDistribution&gt;"))</f>
        <v/>
      </c>
    </row>
    <row r="1776" spans="1:5" x14ac:dyDescent="0.25">
      <c r="A1776">
        <v>424769005</v>
      </c>
      <c r="B1776" t="s">
        <v>1141</v>
      </c>
      <c r="E1776" t="str">
        <f>IF(OR(E1775="&lt;/routeDistribution&gt;",E1775=""),"",IFERROR(_xlfn.CONCAT(VLOOKUP(DF10,Route_Column!#REF!,2,FALSE),CHAR(34)," probability=",CHAR(34),1/DF$4,CHAR(34),CHAR(47),CHAR(62)),"&lt;/routeDistribution&gt;"))</f>
        <v/>
      </c>
    </row>
    <row r="1777" spans="1:5" x14ac:dyDescent="0.25">
      <c r="A1777">
        <v>424769005</v>
      </c>
      <c r="B1777" t="s">
        <v>1142</v>
      </c>
      <c r="E1777" t="str">
        <f>IF(OR(E1776="&lt;/routeDistribution&gt;",E1776=""),"",IFERROR(_xlfn.CONCAT(VLOOKUP(DF11,Route_Column!#REF!,2,FALSE),CHAR(34)," probability=",CHAR(34),1/DF$4,CHAR(34),CHAR(47),CHAR(62)),"&lt;/routeDistribution&gt;"))</f>
        <v/>
      </c>
    </row>
    <row r="1778" spans="1:5" x14ac:dyDescent="0.25">
      <c r="A1778">
        <v>424769005</v>
      </c>
      <c r="B1778" t="s">
        <v>1142</v>
      </c>
      <c r="E1778" t="str">
        <f>IF(OR(E1777="&lt;/routeDistribution&gt;",E1777=""),"",IFERROR(_xlfn.CONCAT(VLOOKUP(DF12,Route_Column!#REF!,2,FALSE),CHAR(34)," probability=",CHAR(34),1/DF$4,CHAR(34),CHAR(47),CHAR(62)),"&lt;/routeDistribution&gt;"))</f>
        <v/>
      </c>
    </row>
    <row r="1779" spans="1:5" x14ac:dyDescent="0.25">
      <c r="A1779">
        <v>424769005</v>
      </c>
      <c r="B1779" t="s">
        <v>1148</v>
      </c>
      <c r="E1779" t="str">
        <f>IF(OR(E1778="&lt;/routeDistribution&gt;",E1778=""),"",IFERROR(_xlfn.CONCAT(VLOOKUP(DF13,Route_Column!#REF!,2,FALSE),CHAR(34)," probability=",CHAR(34),1/DF$4,CHAR(34),CHAR(47),CHAR(62)),"&lt;/routeDistribution&gt;"))</f>
        <v/>
      </c>
    </row>
    <row r="1780" spans="1:5" x14ac:dyDescent="0.25">
      <c r="A1780">
        <v>424769005</v>
      </c>
      <c r="B1780" t="s">
        <v>1150</v>
      </c>
      <c r="E1780" t="str">
        <f>IF(OR(E1779="&lt;/routeDistribution&gt;",E1779=""),"",IFERROR(_xlfn.CONCAT(VLOOKUP(DF14,Route_Column!#REF!,2,FALSE),CHAR(34)," probability=",CHAR(34),1/DF$4,CHAR(34),CHAR(47),CHAR(62)),"&lt;/routeDistribution&gt;"))</f>
        <v/>
      </c>
    </row>
    <row r="1781" spans="1:5" x14ac:dyDescent="0.25">
      <c r="A1781">
        <v>424769005</v>
      </c>
      <c r="B1781" t="s">
        <v>1151</v>
      </c>
      <c r="E1781" t="str">
        <f>IF(OR(E1780="&lt;/routeDistribution&gt;",E1780=""),"",IFERROR(_xlfn.CONCAT(VLOOKUP(DF15,Route_Column!#REF!,2,FALSE),CHAR(34)," probability=",CHAR(34),1/DF$4,CHAR(34),CHAR(47),CHAR(62)),"&lt;/routeDistribution&gt;"))</f>
        <v/>
      </c>
    </row>
    <row r="1782" spans="1:5" x14ac:dyDescent="0.25">
      <c r="A1782">
        <v>424769005</v>
      </c>
      <c r="B1782" t="s">
        <v>1178</v>
      </c>
      <c r="E1782" t="str">
        <f>IF(OR(E1781="&lt;/routeDistribution&gt;",E1781=""),"",IFERROR(_xlfn.CONCAT(VLOOKUP(DF16,Route_Column!#REF!,2,FALSE),CHAR(34)," probability=",CHAR(34),1/DF$4,CHAR(34),CHAR(47),CHAR(62)),"&lt;/routeDistribution&gt;"))</f>
        <v/>
      </c>
    </row>
    <row r="1783" spans="1:5" x14ac:dyDescent="0.25">
      <c r="A1783">
        <v>424769005</v>
      </c>
      <c r="B1783" t="s">
        <v>1179</v>
      </c>
      <c r="E1783" t="str">
        <f>IF(OR(E1782="&lt;/routeDistribution&gt;",E1782=""),"",IFERROR(_xlfn.CONCAT(VLOOKUP(DF17,Route_Column!#REF!,2,FALSE),CHAR(34)," probability=",CHAR(34),1/DF$4,CHAR(34),CHAR(47),CHAR(62)),"&lt;/routeDistribution&gt;"))</f>
        <v/>
      </c>
    </row>
    <row r="1784" spans="1:5" x14ac:dyDescent="0.25">
      <c r="A1784">
        <v>424769005</v>
      </c>
      <c r="B1784" t="s">
        <v>1201</v>
      </c>
      <c r="E1784" t="str">
        <f>IF(OR(E1783="&lt;/routeDistribution&gt;",E1783=""),"",IFERROR(_xlfn.CONCAT(VLOOKUP(DF18,Route_Column!#REF!,2,FALSE),CHAR(34)," probability=",CHAR(34),1/DF$4,CHAR(34),CHAR(47),CHAR(62)),"&lt;/routeDistribution&gt;"))</f>
        <v/>
      </c>
    </row>
    <row r="1785" spans="1:5" x14ac:dyDescent="0.25">
      <c r="A1785">
        <v>424769005</v>
      </c>
      <c r="B1785" t="s">
        <v>1202</v>
      </c>
      <c r="E1785" t="str">
        <f>IF(OR(E1784="&lt;/routeDistribution&gt;",E1784=""),"",IFERROR(_xlfn.CONCAT(VLOOKUP(DF19,Route_Column!#REF!,2,FALSE),CHAR(34)," probability=",CHAR(34),1/DF$4,CHAR(34),CHAR(47),CHAR(62)),"&lt;/routeDistribution&gt;"))</f>
        <v/>
      </c>
    </row>
    <row r="1786" spans="1:5" x14ac:dyDescent="0.25">
      <c r="A1786">
        <v>424769005</v>
      </c>
      <c r="B1786" t="s">
        <v>1205</v>
      </c>
      <c r="E1786" t="str">
        <f>IF(OR(E1785="&lt;/routeDistribution&gt;",E1785=""),"",IFERROR(_xlfn.CONCAT(VLOOKUP(DF20,Route_Column!#REF!,2,FALSE),CHAR(34)," probability=",CHAR(34),1/DF$4,CHAR(34),CHAR(47),CHAR(62)),"&lt;/routeDistribution&gt;"))</f>
        <v/>
      </c>
    </row>
    <row r="1787" spans="1:5" x14ac:dyDescent="0.25">
      <c r="A1787">
        <v>424769005</v>
      </c>
      <c r="B1787" t="s">
        <v>1206</v>
      </c>
      <c r="E1787" t="str">
        <f>IF(OR(E1786="&lt;/routeDistribution&gt;",E1786=""),"",IFERROR(_xlfn.CONCAT(VLOOKUP(DF21,Route_Column!#REF!,2,FALSE),CHAR(34)," probability=",CHAR(34),1/DF$4,CHAR(34),CHAR(47),CHAR(62)),"&lt;/routeDistribution&gt;"))</f>
        <v/>
      </c>
    </row>
    <row r="1788" spans="1:5" x14ac:dyDescent="0.25">
      <c r="A1788">
        <v>424769005</v>
      </c>
      <c r="B1788" t="s">
        <v>1206</v>
      </c>
      <c r="E1788" t="str">
        <f>IF(OR(E1787="&lt;/routeDistribution&gt;",E1787=""),"",IFERROR(_xlfn.CONCAT(VLOOKUP(DF22,Route_Column!#REF!,2,FALSE),CHAR(34)," probability=",CHAR(34),1/DF$4,CHAR(34),CHAR(47),CHAR(62)),"&lt;/routeDistribution&gt;"))</f>
        <v/>
      </c>
    </row>
    <row r="1789" spans="1:5" x14ac:dyDescent="0.25">
      <c r="A1789">
        <v>424769005</v>
      </c>
      <c r="B1789" t="s">
        <v>1207</v>
      </c>
      <c r="E1789" t="str">
        <f>IF(OR(E1788="&lt;/routeDistribution&gt;",E1788=""),"",IFERROR(_xlfn.CONCAT(VLOOKUP(DF23,Route_Column!#REF!,2,FALSE),CHAR(34)," probability=",CHAR(34),1/DF$4,CHAR(34),CHAR(47),CHAR(62)),"&lt;/routeDistribution&gt;"))</f>
        <v/>
      </c>
    </row>
    <row r="1790" spans="1:5" x14ac:dyDescent="0.25">
      <c r="A1790">
        <v>424769005</v>
      </c>
      <c r="B1790" t="s">
        <v>1207</v>
      </c>
      <c r="E1790" t="str">
        <f>IF(OR(E1789="&lt;/routeDistribution&gt;",E1789=""),"",IFERROR(_xlfn.CONCAT(VLOOKUP(DF24,Route_Column!#REF!,2,FALSE),CHAR(34)," probability=",CHAR(34),1/DF$4,CHAR(34),CHAR(47),CHAR(62)),"&lt;/routeDistribution&gt;"))</f>
        <v/>
      </c>
    </row>
    <row r="1791" spans="1:5" x14ac:dyDescent="0.25">
      <c r="A1791">
        <v>424769005</v>
      </c>
      <c r="B1791" t="s">
        <v>1208</v>
      </c>
      <c r="E1791" t="str">
        <f>IF(OR(E1790="&lt;/routeDistribution&gt;",E1790=""),"",IFERROR(_xlfn.CONCAT(VLOOKUP(DF25,Route_Column!#REF!,2,FALSE),CHAR(34)," probability=",CHAR(34),1/DF$4,CHAR(34),CHAR(47),CHAR(62)),"&lt;/routeDistribution&gt;"))</f>
        <v/>
      </c>
    </row>
    <row r="1792" spans="1:5" x14ac:dyDescent="0.25">
      <c r="A1792">
        <v>424769005</v>
      </c>
      <c r="B1792" t="s">
        <v>1215</v>
      </c>
      <c r="E1792" t="str">
        <f>IF(OR(E1791="&lt;/routeDistribution&gt;",E1791=""),"",IFERROR(_xlfn.CONCAT(VLOOKUP(DF26,Route_Column!#REF!,2,FALSE),CHAR(34)," probability=",CHAR(34),1/DF$4,CHAR(34),CHAR(47),CHAR(62)),"&lt;/routeDistribution&gt;"))</f>
        <v/>
      </c>
    </row>
    <row r="1793" spans="1:5" x14ac:dyDescent="0.25">
      <c r="A1793">
        <v>424769005</v>
      </c>
      <c r="B1793" t="s">
        <v>1222</v>
      </c>
      <c r="E1793" t="str">
        <f>IF(OR(E1792="&lt;/routeDistribution&gt;",E1792=""),"",IFERROR(_xlfn.CONCAT(VLOOKUP(DF27,Route_Column!#REF!,2,FALSE),CHAR(34)," probability=",CHAR(34),1/DF$4,CHAR(34),CHAR(47),CHAR(62)),"&lt;/routeDistribution&gt;"))</f>
        <v/>
      </c>
    </row>
    <row r="1794" spans="1:5" x14ac:dyDescent="0.25">
      <c r="A1794">
        <v>424769005</v>
      </c>
      <c r="B1794" t="s">
        <v>1223</v>
      </c>
      <c r="E1794" t="str">
        <f>IF(OR(E1793="&lt;/routeDistribution&gt;",E1793=""),"",IFERROR(_xlfn.CONCAT(VLOOKUP(DF28,Route_Column!#REF!,2,FALSE),CHAR(34)," probability=",CHAR(34),1/DF$4,CHAR(34),CHAR(47),CHAR(62)),"&lt;/routeDistribution&gt;"))</f>
        <v/>
      </c>
    </row>
    <row r="1795" spans="1:5" x14ac:dyDescent="0.25">
      <c r="A1795">
        <v>424769005</v>
      </c>
      <c r="B1795" t="s">
        <v>1224</v>
      </c>
      <c r="E1795" t="str">
        <f>IF(OR(E1794="&lt;/routeDistribution&gt;",E1794=""),"",IFERROR(_xlfn.CONCAT(VLOOKUP(DF29,Route_Column!#REF!,2,FALSE),CHAR(34)," probability=",CHAR(34),1/DF$4,CHAR(34),CHAR(47),CHAR(62)),"&lt;/routeDistribution&gt;"))</f>
        <v/>
      </c>
    </row>
    <row r="1796" spans="1:5" x14ac:dyDescent="0.25">
      <c r="A1796">
        <v>424769005</v>
      </c>
      <c r="B1796" t="s">
        <v>1225</v>
      </c>
      <c r="E1796" t="str">
        <f>IF(OR(E1795="&lt;/routeDistribution&gt;",E1795=""),"",IFERROR(_xlfn.CONCAT(VLOOKUP(DF30,Route_Column!#REF!,2,FALSE),CHAR(34)," probability=",CHAR(34),1/DF$4,CHAR(34),CHAR(47),CHAR(62)),"&lt;/routeDistribution&gt;"))</f>
        <v/>
      </c>
    </row>
    <row r="1797" spans="1:5" x14ac:dyDescent="0.25">
      <c r="A1797">
        <v>424769005</v>
      </c>
      <c r="B1797" t="s">
        <v>1232</v>
      </c>
      <c r="E1797" t="str">
        <f>IF(OR(E1796="&lt;/routeDistribution&gt;",E1796=""),"",IFERROR(_xlfn.CONCAT(VLOOKUP(DF31,Route_Column!#REF!,2,FALSE),CHAR(34)," probability=",CHAR(34),1/DF$4,CHAR(34),CHAR(47),CHAR(62)),"&lt;/routeDistribution&gt;"))</f>
        <v/>
      </c>
    </row>
    <row r="1798" spans="1:5" x14ac:dyDescent="0.25">
      <c r="A1798">
        <v>424769005</v>
      </c>
      <c r="B1798" t="s">
        <v>1233</v>
      </c>
      <c r="E1798" t="str">
        <f>IF(OR(E1797="&lt;/routeDistribution&gt;",E1797=""),"",IFERROR(_xlfn.CONCAT(VLOOKUP(DF32,Route_Column!#REF!,2,FALSE),CHAR(34)," probability=",CHAR(34),1/DF$4,CHAR(34),CHAR(47),CHAR(62)),"&lt;/routeDistribution&gt;"))</f>
        <v/>
      </c>
    </row>
    <row r="1799" spans="1:5" x14ac:dyDescent="0.25">
      <c r="A1799">
        <v>424769005</v>
      </c>
      <c r="B1799" t="s">
        <v>1234</v>
      </c>
      <c r="E1799" t="str">
        <f>IF(OR(E1798="&lt;/routeDistribution&gt;",E1798=""),"",IFERROR(_xlfn.CONCAT(VLOOKUP(DF33,Route_Column!#REF!,2,FALSE),CHAR(34)," probability=",CHAR(34),1/DF$4,CHAR(34),CHAR(47),CHAR(62)),"&lt;/routeDistribution&gt;"))</f>
        <v/>
      </c>
    </row>
    <row r="1800" spans="1:5" x14ac:dyDescent="0.25">
      <c r="A1800">
        <v>424769005</v>
      </c>
      <c r="B1800" t="s">
        <v>1235</v>
      </c>
      <c r="E1800" t="str">
        <f>IF(OR(E1799="&lt;/routeDistribution&gt;",E1799=""),"",IFERROR(_xlfn.CONCAT(VLOOKUP(DF34,Route_Column!#REF!,2,FALSE),CHAR(34)," probability=",CHAR(34),1/DF$4,CHAR(34),CHAR(47),CHAR(62)),"&lt;/routeDistribution&gt;"))</f>
        <v/>
      </c>
    </row>
    <row r="1801" spans="1:5" x14ac:dyDescent="0.25">
      <c r="A1801">
        <v>424769005</v>
      </c>
      <c r="B1801" t="s">
        <v>1236</v>
      </c>
      <c r="E1801" t="str">
        <f>IF(OR(E1800="&lt;/routeDistribution&gt;",E1800=""),"",IFERROR(_xlfn.CONCAT(VLOOKUP(DF35,Route_Column!#REF!,2,FALSE),CHAR(34)," probability=",CHAR(34),1/DF$4,CHAR(34),CHAR(47),CHAR(62)),"&lt;/routeDistribution&gt;"))</f>
        <v/>
      </c>
    </row>
    <row r="1802" spans="1:5" x14ac:dyDescent="0.25">
      <c r="A1802">
        <v>424769005</v>
      </c>
      <c r="B1802" t="s">
        <v>1237</v>
      </c>
      <c r="E1802" t="str">
        <f>IF(OR(E1801="&lt;/routeDistribution&gt;",E1801=""),"",IFERROR(_xlfn.CONCAT(VLOOKUP(DF36,Route_Column!#REF!,2,FALSE),CHAR(34)," probability=",CHAR(34),1/DF$4,CHAR(34),CHAR(47),CHAR(62)),"&lt;/routeDistribution&gt;"))</f>
        <v/>
      </c>
    </row>
    <row r="1803" spans="1:5" x14ac:dyDescent="0.25">
      <c r="A1803">
        <v>424769005</v>
      </c>
      <c r="B1803" t="s">
        <v>1238</v>
      </c>
      <c r="E1803" t="str">
        <f>IF(OR(E1802="&lt;/routeDistribution&gt;",E1802=""),"",IFERROR(_xlfn.CONCAT(VLOOKUP(DF37,Route_Column!#REF!,2,FALSE),CHAR(34)," probability=",CHAR(34),1/DF$4,CHAR(34),CHAR(47),CHAR(62)),"&lt;/routeDistribution&gt;"))</f>
        <v/>
      </c>
    </row>
    <row r="1804" spans="1:5" x14ac:dyDescent="0.25">
      <c r="A1804">
        <v>424769005</v>
      </c>
      <c r="B1804" t="s">
        <v>1239</v>
      </c>
      <c r="E1804" t="str">
        <f>IF(OR(E1803="&lt;/routeDistribution&gt;",E1803=""),"",IFERROR(_xlfn.CONCAT(VLOOKUP(DF38,Route_Column!#REF!,2,FALSE),CHAR(34)," probability=",CHAR(34),1/DF$4,CHAR(34),CHAR(47),CHAR(62)),"&lt;/routeDistribution&gt;"))</f>
        <v/>
      </c>
    </row>
    <row r="1805" spans="1:5" x14ac:dyDescent="0.25">
      <c r="A1805">
        <v>424769005</v>
      </c>
      <c r="B1805" t="s">
        <v>1240</v>
      </c>
      <c r="E1805" t="str">
        <f>IF(OR(E1804="&lt;/routeDistribution&gt;",E1804=""),"",IFERROR(_xlfn.CONCAT(VLOOKUP(DF39,Route_Column!#REF!,2,FALSE),CHAR(34)," probability=",CHAR(34),1/DF$4,CHAR(34),CHAR(47),CHAR(62)),"&lt;/routeDistribution&gt;"))</f>
        <v/>
      </c>
    </row>
    <row r="1806" spans="1:5" x14ac:dyDescent="0.25">
      <c r="A1806">
        <v>424769005</v>
      </c>
      <c r="B1806" t="s">
        <v>1241</v>
      </c>
      <c r="E1806" t="str">
        <f>IF(OR(E1805="&lt;/routeDistribution&gt;",E1805=""),"",IFERROR(_xlfn.CONCAT(VLOOKUP(DF40,Route_Column!#REF!,2,FALSE),CHAR(34)," probability=",CHAR(34),1/DF$4,CHAR(34),CHAR(47),CHAR(62)),"&lt;/routeDistribution&gt;"))</f>
        <v/>
      </c>
    </row>
    <row r="1807" spans="1:5" x14ac:dyDescent="0.25">
      <c r="A1807">
        <v>424769005</v>
      </c>
      <c r="B1807" t="s">
        <v>1242</v>
      </c>
      <c r="E1807" t="str">
        <f>IF(OR(E1806="&lt;/routeDistribution&gt;",E1806=""),"",IFERROR(_xlfn.CONCAT(VLOOKUP(DF41,Route_Column!#REF!,2,FALSE),CHAR(34)," probability=",CHAR(34),1/DF$4,CHAR(34),CHAR(47),CHAR(62)),"&lt;/routeDistribution&gt;"))</f>
        <v/>
      </c>
    </row>
    <row r="1808" spans="1:5" x14ac:dyDescent="0.25">
      <c r="A1808">
        <v>424769005</v>
      </c>
      <c r="B1808" t="s">
        <v>1243</v>
      </c>
      <c r="E1808" t="str">
        <f>IF(OR(E1807="&lt;/routeDistribution&gt;",E1807=""),"",IFERROR(_xlfn.CONCAT(VLOOKUP(DF42,Route_Column!#REF!,2,FALSE),CHAR(34)," probability=",CHAR(34),1/DF$4,CHAR(34),CHAR(47),CHAR(62)),"&lt;/routeDistribution&gt;"))</f>
        <v/>
      </c>
    </row>
    <row r="1809" spans="1:5" x14ac:dyDescent="0.25">
      <c r="A1809">
        <v>424769005</v>
      </c>
      <c r="B1809" t="s">
        <v>1244</v>
      </c>
      <c r="E1809" t="str">
        <f>IF(OR(E1808="&lt;/routeDistribution&gt;",E1808=""),"",IFERROR(_xlfn.CONCAT(VLOOKUP(DF43,Route_Column!#REF!,2,FALSE),CHAR(34)," probability=",CHAR(34),1/DF$4,CHAR(34),CHAR(47),CHAR(62)),"&lt;/routeDistribution&gt;"))</f>
        <v/>
      </c>
    </row>
    <row r="1810" spans="1:5" x14ac:dyDescent="0.25">
      <c r="A1810">
        <v>424769005</v>
      </c>
      <c r="B1810" t="s">
        <v>1245</v>
      </c>
      <c r="E1810" t="str">
        <f>IF(OR(E1809="&lt;/routeDistribution&gt;",E1809=""),"",IFERROR(_xlfn.CONCAT(VLOOKUP(DF44,Route_Column!#REF!,2,FALSE),CHAR(34)," probability=",CHAR(34),1/DF$4,CHAR(34),CHAR(47),CHAR(62)),"&lt;/routeDistribution&gt;"))</f>
        <v/>
      </c>
    </row>
    <row r="1811" spans="1:5" x14ac:dyDescent="0.25">
      <c r="A1811">
        <v>424769005</v>
      </c>
      <c r="B1811" t="s">
        <v>1246</v>
      </c>
      <c r="E1811" t="str">
        <f>IF(OR(E1810="&lt;/routeDistribution&gt;",E1810=""),"",IFERROR(_xlfn.CONCAT(VLOOKUP(DF45,Route_Column!#REF!,2,FALSE),CHAR(34)," probability=",CHAR(34),1/DF$4,CHAR(34),CHAR(47),CHAR(62)),"&lt;/routeDistribution&gt;"))</f>
        <v/>
      </c>
    </row>
    <row r="1812" spans="1:5" x14ac:dyDescent="0.25">
      <c r="A1812">
        <v>424769005</v>
      </c>
      <c r="B1812" t="s">
        <v>1247</v>
      </c>
      <c r="E1812" t="str">
        <f>IF(OR(E1811="&lt;/routeDistribution&gt;",E1811=""),"",IFERROR(_xlfn.CONCAT(VLOOKUP(DF46,Route_Column!#REF!,2,FALSE),CHAR(34)," probability=",CHAR(34),1/DF$4,CHAR(34),CHAR(47),CHAR(62)),"&lt;/routeDistribution&gt;"))</f>
        <v/>
      </c>
    </row>
    <row r="1813" spans="1:5" x14ac:dyDescent="0.25">
      <c r="A1813">
        <v>424769005</v>
      </c>
      <c r="B1813" t="s">
        <v>1248</v>
      </c>
      <c r="E1813" t="str">
        <f>IF(OR(E1812="&lt;/routeDistribution&gt;",E1812=""),"",IFERROR(_xlfn.CONCAT(VLOOKUP(DF47,Route_Column!#REF!,2,FALSE),CHAR(34)," probability=",CHAR(34),1/DF$4,CHAR(34),CHAR(47),CHAR(62)),"&lt;/routeDistribution&gt;"))</f>
        <v/>
      </c>
    </row>
    <row r="1814" spans="1:5" x14ac:dyDescent="0.25">
      <c r="A1814">
        <v>424769005</v>
      </c>
      <c r="B1814" t="s">
        <v>1249</v>
      </c>
      <c r="E1814" t="str">
        <f>IF(OR(E1813="&lt;/routeDistribution&gt;",E1813=""),"",IFERROR(_xlfn.CONCAT(VLOOKUP(DF48,Route_Column!#REF!,2,FALSE),CHAR(34)," probability=",CHAR(34),1/DF$4,CHAR(34),CHAR(47),CHAR(62)),"&lt;/routeDistribution&gt;"))</f>
        <v/>
      </c>
    </row>
    <row r="1815" spans="1:5" x14ac:dyDescent="0.25">
      <c r="A1815">
        <v>424769005</v>
      </c>
      <c r="B1815" t="s">
        <v>1250</v>
      </c>
      <c r="E1815" t="str">
        <f>IF(OR(E1814="&lt;/routeDistribution&gt;",E1814=""),"",IFERROR(_xlfn.CONCAT(VLOOKUP(DF49,Route_Column!#REF!,2,FALSE),CHAR(34)," probability=",CHAR(34),1/DF$4,CHAR(34),CHAR(47),CHAR(62)),"&lt;/routeDistribution&gt;"))</f>
        <v/>
      </c>
    </row>
    <row r="1816" spans="1:5" x14ac:dyDescent="0.25">
      <c r="A1816">
        <v>424769006</v>
      </c>
      <c r="B1816" t="s">
        <v>1140</v>
      </c>
      <c r="E1816" t="str">
        <f>IF(OR(E1815="&lt;/routeDistribution&gt;",E1815=""),"",IFERROR(_xlfn.CONCAT(VLOOKUP(DF50,Route_Column!#REF!,2,FALSE),CHAR(34)," probability=",CHAR(34),1/DF$4,CHAR(34),CHAR(47),CHAR(62)),"&lt;/routeDistribution&gt;"))</f>
        <v/>
      </c>
    </row>
    <row r="1817" spans="1:5" x14ac:dyDescent="0.25">
      <c r="A1817">
        <v>424769006</v>
      </c>
      <c r="B1817" t="s">
        <v>1141</v>
      </c>
      <c r="E1817" t="str">
        <f>IF(OR(E1816="&lt;/routeDistribution&gt;",E1816=""),"",IFERROR(_xlfn.CONCAT(VLOOKUP(DF51,Route_Column!#REF!,2,FALSE),CHAR(34)," probability=",CHAR(34),1/DF$4,CHAR(34),CHAR(47),CHAR(62)),"&lt;/routeDistribution&gt;"))</f>
        <v/>
      </c>
    </row>
    <row r="1818" spans="1:5" x14ac:dyDescent="0.25">
      <c r="A1818">
        <v>424769006</v>
      </c>
      <c r="B1818" t="s">
        <v>1142</v>
      </c>
      <c r="E1818" t="str">
        <f>IF(OR(E1817="&lt;/routeDistribution&gt;",E1817=""),"",IFERROR(_xlfn.CONCAT(VLOOKUP(DF52,Route_Column!#REF!,2,FALSE),CHAR(34)," probability=",CHAR(34),1/DF$4,CHAR(34),CHAR(47),CHAR(62)),"&lt;/routeDistribution&gt;"))</f>
        <v/>
      </c>
    </row>
    <row r="1819" spans="1:5" x14ac:dyDescent="0.25">
      <c r="A1819">
        <v>424769006</v>
      </c>
      <c r="B1819" t="s">
        <v>1142</v>
      </c>
      <c r="E1819" t="str">
        <f>IF(OR(E1818="&lt;/routeDistribution&gt;",E1818=""),"",IFERROR(_xlfn.CONCAT(VLOOKUP(DF53,Route_Column!#REF!,2,FALSE),CHAR(34)," probability=",CHAR(34),1/DF$4,CHAR(34),CHAR(47),CHAR(62)),"&lt;/routeDistribution&gt;"))</f>
        <v/>
      </c>
    </row>
    <row r="1820" spans="1:5" x14ac:dyDescent="0.25">
      <c r="A1820">
        <v>424769006</v>
      </c>
      <c r="B1820" t="s">
        <v>1148</v>
      </c>
      <c r="E1820" t="str">
        <f>IF(OR(E1819="&lt;/routeDistribution&gt;",E1819=""),"",IFERROR(_xlfn.CONCAT(VLOOKUP(DF54,Route_Column!#REF!,2,FALSE),CHAR(34)," probability=",CHAR(34),1/DF$4,CHAR(34),CHAR(47),CHAR(62)),"&lt;/routeDistribution&gt;"))</f>
        <v/>
      </c>
    </row>
    <row r="1821" spans="1:5" x14ac:dyDescent="0.25">
      <c r="A1821">
        <v>424769006</v>
      </c>
      <c r="B1821" t="s">
        <v>1150</v>
      </c>
      <c r="E1821" t="str">
        <f>IF(OR(E1820="&lt;/routeDistribution&gt;",E1820=""),"",IFERROR(_xlfn.CONCAT(VLOOKUP(DF55,Route_Column!#REF!,2,FALSE),CHAR(34)," probability=",CHAR(34),1/DF$4,CHAR(34),CHAR(47),CHAR(62)),"&lt;/routeDistribution&gt;"))</f>
        <v/>
      </c>
    </row>
    <row r="1822" spans="1:5" x14ac:dyDescent="0.25">
      <c r="A1822">
        <v>424769006</v>
      </c>
      <c r="B1822" t="s">
        <v>1151</v>
      </c>
      <c r="E1822" t="str">
        <f>IF(OR(E1821="&lt;/routeDistribution&gt;",E1821=""),"",IFERROR(_xlfn.CONCAT(VLOOKUP(DF56,Route_Column!#REF!,2,FALSE),CHAR(34)," probability=",CHAR(34),1/DF$4,CHAR(34),CHAR(47),CHAR(62)),"&lt;/routeDistribution&gt;"))</f>
        <v/>
      </c>
    </row>
    <row r="1823" spans="1:5" x14ac:dyDescent="0.25">
      <c r="A1823">
        <v>424769006</v>
      </c>
      <c r="B1823" t="s">
        <v>1178</v>
      </c>
      <c r="E1823" t="str">
        <f>IF(OR(E1822="&lt;/routeDistribution&gt;",E1822=""),"",IFERROR(_xlfn.CONCAT(VLOOKUP(DF57,Route_Column!#REF!,2,FALSE),CHAR(34)," probability=",CHAR(34),1/DF$4,CHAR(34),CHAR(47),CHAR(62)),"&lt;/routeDistribution&gt;"))</f>
        <v/>
      </c>
    </row>
    <row r="1824" spans="1:5" x14ac:dyDescent="0.25">
      <c r="A1824">
        <v>424769006</v>
      </c>
      <c r="B1824" t="s">
        <v>1179</v>
      </c>
      <c r="E1824" t="str">
        <f>IF(OR(E1823="&lt;/routeDistribution&gt;",E1823=""),"",IFERROR(_xlfn.CONCAT(VLOOKUP(DF58,Route_Column!#REF!,2,FALSE),CHAR(34)," probability=",CHAR(34),1/DF$4,CHAR(34),CHAR(47),CHAR(62)),"&lt;/routeDistribution&gt;"))</f>
        <v/>
      </c>
    </row>
    <row r="1825" spans="1:5" x14ac:dyDescent="0.25">
      <c r="A1825">
        <v>424769006</v>
      </c>
      <c r="B1825" t="s">
        <v>1201</v>
      </c>
      <c r="E1825" t="str">
        <f>IF(OR(E1824="&lt;/routeDistribution&gt;",E1824=""),"",IFERROR(_xlfn.CONCAT(VLOOKUP(DF59,Route_Column!#REF!,2,FALSE),CHAR(34)," probability=",CHAR(34),1/DF$4,CHAR(34),CHAR(47),CHAR(62)),"&lt;/routeDistribution&gt;"))</f>
        <v/>
      </c>
    </row>
    <row r="1826" spans="1:5" x14ac:dyDescent="0.25">
      <c r="A1826">
        <v>424769006</v>
      </c>
      <c r="B1826" t="s">
        <v>1202</v>
      </c>
      <c r="E1826" t="str">
        <f>IF(OR(E1825="&lt;/routeDistribution&gt;",E1825=""),"",IFERROR(_xlfn.CONCAT(VLOOKUP(DF60,Route_Column!#REF!,2,FALSE),CHAR(34)," probability=",CHAR(34),1/DF$4,CHAR(34),CHAR(47),CHAR(62)),"&lt;/routeDistribution&gt;"))</f>
        <v/>
      </c>
    </row>
    <row r="1827" spans="1:5" x14ac:dyDescent="0.25">
      <c r="A1827">
        <v>424769006</v>
      </c>
      <c r="B1827" t="s">
        <v>1205</v>
      </c>
      <c r="E1827" t="str">
        <f>IF(OR(E1826="&lt;/routeDistribution&gt;",E1826=""),"",IFERROR(_xlfn.CONCAT(VLOOKUP(DF61,Route_Column!#REF!,2,FALSE),CHAR(34)," probability=",CHAR(34),1/DF$4,CHAR(34),CHAR(47),CHAR(62)),"&lt;/routeDistribution&gt;"))</f>
        <v/>
      </c>
    </row>
    <row r="1828" spans="1:5" x14ac:dyDescent="0.25">
      <c r="A1828">
        <v>424769006</v>
      </c>
      <c r="B1828" t="s">
        <v>1206</v>
      </c>
      <c r="E1828" t="str">
        <f>IF(OR(E1827="&lt;/routeDistribution&gt;",E1827=""),"",IFERROR(_xlfn.CONCAT(VLOOKUP(DF62,Route_Column!#REF!,2,FALSE),CHAR(34)," probability=",CHAR(34),1/DF$4,CHAR(34),CHAR(47),CHAR(62)),"&lt;/routeDistribution&gt;"))</f>
        <v/>
      </c>
    </row>
    <row r="1829" spans="1:5" x14ac:dyDescent="0.25">
      <c r="A1829">
        <v>424769006</v>
      </c>
      <c r="B1829" t="s">
        <v>1206</v>
      </c>
      <c r="E1829" t="str">
        <f>IF(OR(E1828="&lt;/routeDistribution&gt;",E1828=""),"",IFERROR(_xlfn.CONCAT(VLOOKUP(DF63,Route_Column!#REF!,2,FALSE),CHAR(34)," probability=",CHAR(34),1/DF$4,CHAR(34),CHAR(47),CHAR(62)),"&lt;/routeDistribution&gt;"))</f>
        <v/>
      </c>
    </row>
    <row r="1830" spans="1:5" x14ac:dyDescent="0.25">
      <c r="A1830">
        <v>424769006</v>
      </c>
      <c r="B1830" t="s">
        <v>1207</v>
      </c>
      <c r="E1830" t="s">
        <v>2686</v>
      </c>
    </row>
    <row r="1831" spans="1:5" x14ac:dyDescent="0.25">
      <c r="A1831">
        <v>424769006</v>
      </c>
      <c r="B1831" t="s">
        <v>1207</v>
      </c>
    </row>
    <row r="1832" spans="1:5" x14ac:dyDescent="0.25">
      <c r="A1832">
        <v>424769006</v>
      </c>
      <c r="B1832" t="s">
        <v>1208</v>
      </c>
    </row>
    <row r="1833" spans="1:5" x14ac:dyDescent="0.25">
      <c r="A1833">
        <v>424769006</v>
      </c>
      <c r="B1833" t="s">
        <v>1215</v>
      </c>
      <c r="E1833" t="str">
        <f>_xlfn.CONCAT($E$1,DE$2,$F$1)</f>
        <v>&lt;routeDistribution id="38th-Walnut-to-Chestnut-NB-1998-RouteProbe"&gt;</v>
      </c>
    </row>
    <row r="1834" spans="1:5" x14ac:dyDescent="0.25">
      <c r="A1834">
        <v>424769006</v>
      </c>
      <c r="B1834" t="s">
        <v>1222</v>
      </c>
      <c r="E1834" t="str">
        <f>IF(OR(E1833="&lt;/routeDistribution&gt;",E1833=""),"",IFERROR(_xlfn.CONCAT(VLOOKUP(DE5,Route_Column!#REF!,2,FALSE),CHAR(34)," probability=",CHAR(34),1/DE$4,CHAR(34),CHAR(47),CHAR(62)),"&lt;/routeDistribution&gt;"))</f>
        <v>&lt;/routeDistribution&gt;</v>
      </c>
    </row>
    <row r="1835" spans="1:5" x14ac:dyDescent="0.25">
      <c r="A1835">
        <v>424769006</v>
      </c>
      <c r="B1835" t="s">
        <v>1223</v>
      </c>
      <c r="E1835" t="str">
        <f>IF(OR(E1834="&lt;/routeDistribution&gt;",E1834=""),"",IFERROR(_xlfn.CONCAT(VLOOKUP(DE6,Route_Column!#REF!,2,FALSE),CHAR(34)," probability=",CHAR(34),1/DE$4,CHAR(34),CHAR(47),CHAR(62)),"&lt;/routeDistribution&gt;"))</f>
        <v/>
      </c>
    </row>
    <row r="1836" spans="1:5" x14ac:dyDescent="0.25">
      <c r="A1836">
        <v>424769006</v>
      </c>
      <c r="B1836" t="s">
        <v>1224</v>
      </c>
      <c r="E1836" t="str">
        <f>IF(OR(E1835="&lt;/routeDistribution&gt;",E1835=""),"",IFERROR(_xlfn.CONCAT(VLOOKUP(DE7,Route_Column!#REF!,2,FALSE),CHAR(34)," probability=",CHAR(34),1/DE$4,CHAR(34),CHAR(47),CHAR(62)),"&lt;/routeDistribution&gt;"))</f>
        <v/>
      </c>
    </row>
    <row r="1837" spans="1:5" x14ac:dyDescent="0.25">
      <c r="A1837">
        <v>424769006</v>
      </c>
      <c r="B1837" t="s">
        <v>1225</v>
      </c>
      <c r="E1837" t="str">
        <f>IF(OR(E1836="&lt;/routeDistribution&gt;",E1836=""),"",IFERROR(_xlfn.CONCAT(VLOOKUP(DE8,Route_Column!#REF!,2,FALSE),CHAR(34)," probability=",CHAR(34),1/DE$4,CHAR(34),CHAR(47),CHAR(62)),"&lt;/routeDistribution&gt;"))</f>
        <v/>
      </c>
    </row>
    <row r="1838" spans="1:5" x14ac:dyDescent="0.25">
      <c r="A1838">
        <v>424769006</v>
      </c>
      <c r="B1838" t="s">
        <v>1232</v>
      </c>
      <c r="E1838" t="str">
        <f>IF(OR(E1837="&lt;/routeDistribution&gt;",E1837=""),"",IFERROR(_xlfn.CONCAT(VLOOKUP(DE9,Route_Column!#REF!,2,FALSE),CHAR(34)," probability=",CHAR(34),1/DE$4,CHAR(34),CHAR(47),CHAR(62)),"&lt;/routeDistribution&gt;"))</f>
        <v/>
      </c>
    </row>
    <row r="1839" spans="1:5" x14ac:dyDescent="0.25">
      <c r="A1839">
        <v>424769006</v>
      </c>
      <c r="B1839" t="s">
        <v>1233</v>
      </c>
      <c r="E1839" t="str">
        <f>IF(OR(E1838="&lt;/routeDistribution&gt;",E1838=""),"",IFERROR(_xlfn.CONCAT(VLOOKUP(DE10,Route_Column!#REF!,2,FALSE),CHAR(34)," probability=",CHAR(34),1/DE$4,CHAR(34),CHAR(47),CHAR(62)),"&lt;/routeDistribution&gt;"))</f>
        <v/>
      </c>
    </row>
    <row r="1840" spans="1:5" x14ac:dyDescent="0.25">
      <c r="A1840">
        <v>424769006</v>
      </c>
      <c r="B1840" t="s">
        <v>1234</v>
      </c>
      <c r="E1840" t="str">
        <f>IF(OR(E1839="&lt;/routeDistribution&gt;",E1839=""),"",IFERROR(_xlfn.CONCAT(VLOOKUP(DE11,Route_Column!#REF!,2,FALSE),CHAR(34)," probability=",CHAR(34),1/DE$4,CHAR(34),CHAR(47),CHAR(62)),"&lt;/routeDistribution&gt;"))</f>
        <v/>
      </c>
    </row>
    <row r="1841" spans="1:5" x14ac:dyDescent="0.25">
      <c r="A1841">
        <v>424769006</v>
      </c>
      <c r="B1841" t="s">
        <v>1235</v>
      </c>
      <c r="E1841" t="str">
        <f>IF(OR(E1840="&lt;/routeDistribution&gt;",E1840=""),"",IFERROR(_xlfn.CONCAT(VLOOKUP(DE12,Route_Column!#REF!,2,FALSE),CHAR(34)," probability=",CHAR(34),1/DE$4,CHAR(34),CHAR(47),CHAR(62)),"&lt;/routeDistribution&gt;"))</f>
        <v/>
      </c>
    </row>
    <row r="1842" spans="1:5" x14ac:dyDescent="0.25">
      <c r="A1842">
        <v>424769006</v>
      </c>
      <c r="B1842" t="s">
        <v>1236</v>
      </c>
      <c r="E1842" t="str">
        <f>IF(OR(E1841="&lt;/routeDistribution&gt;",E1841=""),"",IFERROR(_xlfn.CONCAT(VLOOKUP(DE13,Route_Column!#REF!,2,FALSE),CHAR(34)," probability=",CHAR(34),1/DE$4,CHAR(34),CHAR(47),CHAR(62)),"&lt;/routeDistribution&gt;"))</f>
        <v/>
      </c>
    </row>
    <row r="1843" spans="1:5" x14ac:dyDescent="0.25">
      <c r="A1843">
        <v>424769006</v>
      </c>
      <c r="B1843" t="s">
        <v>1237</v>
      </c>
      <c r="E1843" t="str">
        <f>IF(OR(E1842="&lt;/routeDistribution&gt;",E1842=""),"",IFERROR(_xlfn.CONCAT(VLOOKUP(DE14,Route_Column!#REF!,2,FALSE),CHAR(34)," probability=",CHAR(34),1/DE$4,CHAR(34),CHAR(47),CHAR(62)),"&lt;/routeDistribution&gt;"))</f>
        <v/>
      </c>
    </row>
    <row r="1844" spans="1:5" x14ac:dyDescent="0.25">
      <c r="A1844">
        <v>424769006</v>
      </c>
      <c r="B1844" t="s">
        <v>1238</v>
      </c>
      <c r="E1844" t="str">
        <f>IF(OR(E1843="&lt;/routeDistribution&gt;",E1843=""),"",IFERROR(_xlfn.CONCAT(VLOOKUP(DE15,Route_Column!#REF!,2,FALSE),CHAR(34)," probability=",CHAR(34),1/DE$4,CHAR(34),CHAR(47),CHAR(62)),"&lt;/routeDistribution&gt;"))</f>
        <v/>
      </c>
    </row>
    <row r="1845" spans="1:5" x14ac:dyDescent="0.25">
      <c r="A1845">
        <v>424769006</v>
      </c>
      <c r="B1845" t="s">
        <v>1239</v>
      </c>
      <c r="E1845" t="str">
        <f>IF(OR(E1844="&lt;/routeDistribution&gt;",E1844=""),"",IFERROR(_xlfn.CONCAT(VLOOKUP(DE16,Route_Column!#REF!,2,FALSE),CHAR(34)," probability=",CHAR(34),1/DE$4,CHAR(34),CHAR(47),CHAR(62)),"&lt;/routeDistribution&gt;"))</f>
        <v/>
      </c>
    </row>
    <row r="1846" spans="1:5" x14ac:dyDescent="0.25">
      <c r="A1846">
        <v>424769006</v>
      </c>
      <c r="B1846" t="s">
        <v>1240</v>
      </c>
      <c r="E1846" t="str">
        <f>IF(OR(E1845="&lt;/routeDistribution&gt;",E1845=""),"",IFERROR(_xlfn.CONCAT(VLOOKUP(DE17,Route_Column!#REF!,2,FALSE),CHAR(34)," probability=",CHAR(34),1/DE$4,CHAR(34),CHAR(47),CHAR(62)),"&lt;/routeDistribution&gt;"))</f>
        <v/>
      </c>
    </row>
    <row r="1847" spans="1:5" x14ac:dyDescent="0.25">
      <c r="A1847">
        <v>424769006</v>
      </c>
      <c r="B1847" t="s">
        <v>1241</v>
      </c>
      <c r="E1847" t="str">
        <f>IF(OR(E1846="&lt;/routeDistribution&gt;",E1846=""),"",IFERROR(_xlfn.CONCAT(VLOOKUP(DE18,Route_Column!#REF!,2,FALSE),CHAR(34)," probability=",CHAR(34),1/DE$4,CHAR(34),CHAR(47),CHAR(62)),"&lt;/routeDistribution&gt;"))</f>
        <v/>
      </c>
    </row>
    <row r="1848" spans="1:5" x14ac:dyDescent="0.25">
      <c r="A1848">
        <v>424769006</v>
      </c>
      <c r="B1848" t="s">
        <v>1242</v>
      </c>
      <c r="E1848" t="str">
        <f>IF(OR(E1847="&lt;/routeDistribution&gt;",E1847=""),"",IFERROR(_xlfn.CONCAT(VLOOKUP(DE19,Route_Column!#REF!,2,FALSE),CHAR(34)," probability=",CHAR(34),1/DE$4,CHAR(34),CHAR(47),CHAR(62)),"&lt;/routeDistribution&gt;"))</f>
        <v/>
      </c>
    </row>
    <row r="1849" spans="1:5" x14ac:dyDescent="0.25">
      <c r="A1849">
        <v>424769006</v>
      </c>
      <c r="B1849" t="s">
        <v>1243</v>
      </c>
      <c r="E1849" t="str">
        <f>IF(OR(E1848="&lt;/routeDistribution&gt;",E1848=""),"",IFERROR(_xlfn.CONCAT(VLOOKUP(DE20,Route_Column!#REF!,2,FALSE),CHAR(34)," probability=",CHAR(34),1/DE$4,CHAR(34),CHAR(47),CHAR(62)),"&lt;/routeDistribution&gt;"))</f>
        <v/>
      </c>
    </row>
    <row r="1850" spans="1:5" x14ac:dyDescent="0.25">
      <c r="A1850">
        <v>424769006</v>
      </c>
      <c r="B1850" t="s">
        <v>1244</v>
      </c>
      <c r="E1850" t="str">
        <f>IF(OR(E1849="&lt;/routeDistribution&gt;",E1849=""),"",IFERROR(_xlfn.CONCAT(VLOOKUP(DE21,Route_Column!#REF!,2,FALSE),CHAR(34)," probability=",CHAR(34),1/DE$4,CHAR(34),CHAR(47),CHAR(62)),"&lt;/routeDistribution&gt;"))</f>
        <v/>
      </c>
    </row>
    <row r="1851" spans="1:5" x14ac:dyDescent="0.25">
      <c r="A1851">
        <v>424769006</v>
      </c>
      <c r="B1851" t="s">
        <v>1245</v>
      </c>
      <c r="E1851" t="str">
        <f>IF(OR(E1850="&lt;/routeDistribution&gt;",E1850=""),"",IFERROR(_xlfn.CONCAT(VLOOKUP(DE22,Route_Column!#REF!,2,FALSE),CHAR(34)," probability=",CHAR(34),1/DE$4,CHAR(34),CHAR(47),CHAR(62)),"&lt;/routeDistribution&gt;"))</f>
        <v/>
      </c>
    </row>
    <row r="1852" spans="1:5" x14ac:dyDescent="0.25">
      <c r="A1852">
        <v>424769006</v>
      </c>
      <c r="B1852" t="s">
        <v>1246</v>
      </c>
      <c r="E1852" t="str">
        <f>IF(OR(E1851="&lt;/routeDistribution&gt;",E1851=""),"",IFERROR(_xlfn.CONCAT(VLOOKUP(DE23,Route_Column!#REF!,2,FALSE),CHAR(34)," probability=",CHAR(34),1/DE$4,CHAR(34),CHAR(47),CHAR(62)),"&lt;/routeDistribution&gt;"))</f>
        <v/>
      </c>
    </row>
    <row r="1853" spans="1:5" x14ac:dyDescent="0.25">
      <c r="A1853">
        <v>424769006</v>
      </c>
      <c r="B1853" t="s">
        <v>1247</v>
      </c>
      <c r="E1853" t="str">
        <f>IF(OR(E1852="&lt;/routeDistribution&gt;",E1852=""),"",IFERROR(_xlfn.CONCAT(VLOOKUP(DE24,Route_Column!#REF!,2,FALSE),CHAR(34)," probability=",CHAR(34),1/DE$4,CHAR(34),CHAR(47),CHAR(62)),"&lt;/routeDistribution&gt;"))</f>
        <v/>
      </c>
    </row>
    <row r="1854" spans="1:5" x14ac:dyDescent="0.25">
      <c r="A1854">
        <v>424769006</v>
      </c>
      <c r="B1854" t="s">
        <v>1248</v>
      </c>
      <c r="E1854" t="str">
        <f>IF(OR(E1853="&lt;/routeDistribution&gt;",E1853=""),"",IFERROR(_xlfn.CONCAT(VLOOKUP(DE25,Route_Column!#REF!,2,FALSE),CHAR(34)," probability=",CHAR(34),1/DE$4,CHAR(34),CHAR(47),CHAR(62)),"&lt;/routeDistribution&gt;"))</f>
        <v/>
      </c>
    </row>
    <row r="1855" spans="1:5" x14ac:dyDescent="0.25">
      <c r="A1855">
        <v>424769006</v>
      </c>
      <c r="B1855" t="s">
        <v>1249</v>
      </c>
      <c r="E1855" t="str">
        <f>IF(OR(E1854="&lt;/routeDistribution&gt;",E1854=""),"",IFERROR(_xlfn.CONCAT(VLOOKUP(DE26,Route_Column!#REF!,2,FALSE),CHAR(34)," probability=",CHAR(34),1/DE$4,CHAR(34),CHAR(47),CHAR(62)),"&lt;/routeDistribution&gt;"))</f>
        <v/>
      </c>
    </row>
    <row r="1856" spans="1:5" x14ac:dyDescent="0.25">
      <c r="A1856">
        <v>424769006</v>
      </c>
      <c r="B1856" t="s">
        <v>1250</v>
      </c>
      <c r="E1856" t="str">
        <f>IF(OR(E1855="&lt;/routeDistribution&gt;",E1855=""),"",IFERROR(_xlfn.CONCAT(VLOOKUP(DE27,Route_Column!#REF!,2,FALSE),CHAR(34)," probability=",CHAR(34),1/DE$4,CHAR(34),CHAR(47),CHAR(62)),"&lt;/routeDistribution&gt;"))</f>
        <v/>
      </c>
    </row>
    <row r="1857" spans="1:5" x14ac:dyDescent="0.25">
      <c r="A1857">
        <v>424769007</v>
      </c>
      <c r="B1857" t="s">
        <v>1213</v>
      </c>
      <c r="E1857" t="str">
        <f>IF(OR(E1856="&lt;/routeDistribution&gt;",E1856=""),"",IFERROR(_xlfn.CONCAT(VLOOKUP(DE28,Route_Column!#REF!,2,FALSE),CHAR(34)," probability=",CHAR(34),1/DE$4,CHAR(34),CHAR(47),CHAR(62)),"&lt;/routeDistribution&gt;"))</f>
        <v/>
      </c>
    </row>
    <row r="1858" spans="1:5" x14ac:dyDescent="0.25">
      <c r="A1858">
        <v>424769007</v>
      </c>
      <c r="B1858" t="s">
        <v>1214</v>
      </c>
      <c r="E1858" t="str">
        <f>IF(OR(E1857="&lt;/routeDistribution&gt;",E1857=""),"",IFERROR(_xlfn.CONCAT(VLOOKUP(DE29,Route_Column!#REF!,2,FALSE),CHAR(34)," probability=",CHAR(34),1/DE$4,CHAR(34),CHAR(47),CHAR(62)),"&lt;/routeDistribution&gt;"))</f>
        <v/>
      </c>
    </row>
    <row r="1859" spans="1:5" x14ac:dyDescent="0.25">
      <c r="A1859">
        <v>424769007</v>
      </c>
      <c r="B1859" t="s">
        <v>1215</v>
      </c>
      <c r="E1859" t="str">
        <f>IF(OR(E1858="&lt;/routeDistribution&gt;",E1858=""),"",IFERROR(_xlfn.CONCAT(VLOOKUP(DE30,Route_Column!#REF!,2,FALSE),CHAR(34)," probability=",CHAR(34),1/DE$4,CHAR(34),CHAR(47),CHAR(62)),"&lt;/routeDistribution&gt;"))</f>
        <v/>
      </c>
    </row>
    <row r="1860" spans="1:5" x14ac:dyDescent="0.25">
      <c r="A1860">
        <v>424769007</v>
      </c>
      <c r="B1860" t="s">
        <v>1216</v>
      </c>
      <c r="E1860" t="str">
        <f>IF(OR(E1859="&lt;/routeDistribution&gt;",E1859=""),"",IFERROR(_xlfn.CONCAT(VLOOKUP(DE31,Route_Column!#REF!,2,FALSE),CHAR(34)," probability=",CHAR(34),1/DE$4,CHAR(34),CHAR(47),CHAR(62)),"&lt;/routeDistribution&gt;"))</f>
        <v/>
      </c>
    </row>
    <row r="1861" spans="1:5" x14ac:dyDescent="0.25">
      <c r="A1861">
        <v>424769007</v>
      </c>
      <c r="B1861" t="s">
        <v>1217</v>
      </c>
      <c r="E1861" t="str">
        <f>IF(OR(E1860="&lt;/routeDistribution&gt;",E1860=""),"",IFERROR(_xlfn.CONCAT(VLOOKUP(DE32,Route_Column!#REF!,2,FALSE),CHAR(34)," probability=",CHAR(34),1/DE$4,CHAR(34),CHAR(47),CHAR(62)),"&lt;/routeDistribution&gt;"))</f>
        <v/>
      </c>
    </row>
    <row r="1862" spans="1:5" x14ac:dyDescent="0.25">
      <c r="A1862">
        <v>424769007</v>
      </c>
      <c r="B1862" t="s">
        <v>1218</v>
      </c>
      <c r="E1862" t="str">
        <f>IF(OR(E1861="&lt;/routeDistribution&gt;",E1861=""),"",IFERROR(_xlfn.CONCAT(VLOOKUP(DE33,Route_Column!#REF!,2,FALSE),CHAR(34)," probability=",CHAR(34),1/DE$4,CHAR(34),CHAR(47),CHAR(62)),"&lt;/routeDistribution&gt;"))</f>
        <v/>
      </c>
    </row>
    <row r="1863" spans="1:5" x14ac:dyDescent="0.25">
      <c r="A1863">
        <v>424769007</v>
      </c>
      <c r="B1863" t="s">
        <v>1219</v>
      </c>
      <c r="E1863" t="str">
        <f>IF(OR(E1862="&lt;/routeDistribution&gt;",E1862=""),"",IFERROR(_xlfn.CONCAT(VLOOKUP(DE34,Route_Column!#REF!,2,FALSE),CHAR(34)," probability=",CHAR(34),1/DE$4,CHAR(34),CHAR(47),CHAR(62)),"&lt;/routeDistribution&gt;"))</f>
        <v/>
      </c>
    </row>
    <row r="1864" spans="1:5" x14ac:dyDescent="0.25">
      <c r="A1864">
        <v>424769007</v>
      </c>
      <c r="B1864" t="s">
        <v>1220</v>
      </c>
      <c r="E1864" t="str">
        <f>IF(OR(E1863="&lt;/routeDistribution&gt;",E1863=""),"",IFERROR(_xlfn.CONCAT(VLOOKUP(DE35,Route_Column!#REF!,2,FALSE),CHAR(34)," probability=",CHAR(34),1/DE$4,CHAR(34),CHAR(47),CHAR(62)),"&lt;/routeDistribution&gt;"))</f>
        <v/>
      </c>
    </row>
    <row r="1865" spans="1:5" x14ac:dyDescent="0.25">
      <c r="A1865">
        <v>424769007</v>
      </c>
      <c r="B1865" t="s">
        <v>1221</v>
      </c>
      <c r="E1865" t="str">
        <f>IF(OR(E1864="&lt;/routeDistribution&gt;",E1864=""),"",IFERROR(_xlfn.CONCAT(VLOOKUP(DE36,Route_Column!#REF!,2,FALSE),CHAR(34)," probability=",CHAR(34),1/DE$4,CHAR(34),CHAR(47),CHAR(62)),"&lt;/routeDistribution&gt;"))</f>
        <v/>
      </c>
    </row>
    <row r="1866" spans="1:5" x14ac:dyDescent="0.25">
      <c r="A1866">
        <v>424769007</v>
      </c>
      <c r="B1866" t="s">
        <v>1222</v>
      </c>
      <c r="E1866" t="str">
        <f>IF(OR(E1865="&lt;/routeDistribution&gt;",E1865=""),"",IFERROR(_xlfn.CONCAT(VLOOKUP(DE37,Route_Column!#REF!,2,FALSE),CHAR(34)," probability=",CHAR(34),1/DE$4,CHAR(34),CHAR(47),CHAR(62)),"&lt;/routeDistribution&gt;"))</f>
        <v/>
      </c>
    </row>
    <row r="1867" spans="1:5" x14ac:dyDescent="0.25">
      <c r="A1867">
        <v>424769007</v>
      </c>
      <c r="B1867" t="s">
        <v>1223</v>
      </c>
      <c r="E1867" t="str">
        <f>IF(OR(E1866="&lt;/routeDistribution&gt;",E1866=""),"",IFERROR(_xlfn.CONCAT(VLOOKUP(DE38,Route_Column!#REF!,2,FALSE),CHAR(34)," probability=",CHAR(34),1/DE$4,CHAR(34),CHAR(47),CHAR(62)),"&lt;/routeDistribution&gt;"))</f>
        <v/>
      </c>
    </row>
    <row r="1868" spans="1:5" x14ac:dyDescent="0.25">
      <c r="A1868">
        <v>424769007</v>
      </c>
      <c r="B1868" t="s">
        <v>1224</v>
      </c>
      <c r="E1868" t="str">
        <f>IF(OR(E1867="&lt;/routeDistribution&gt;",E1867=""),"",IFERROR(_xlfn.CONCAT(VLOOKUP(DE39,Route_Column!#REF!,2,FALSE),CHAR(34)," probability=",CHAR(34),1/DE$4,CHAR(34),CHAR(47),CHAR(62)),"&lt;/routeDistribution&gt;"))</f>
        <v/>
      </c>
    </row>
    <row r="1869" spans="1:5" x14ac:dyDescent="0.25">
      <c r="A1869">
        <v>424769007</v>
      </c>
      <c r="B1869" t="s">
        <v>1225</v>
      </c>
      <c r="E1869" t="str">
        <f>IF(OR(E1868="&lt;/routeDistribution&gt;",E1868=""),"",IFERROR(_xlfn.CONCAT(VLOOKUP(DE40,Route_Column!#REF!,2,FALSE),CHAR(34)," probability=",CHAR(34),1/DE$4,CHAR(34),CHAR(47),CHAR(62)),"&lt;/routeDistribution&gt;"))</f>
        <v/>
      </c>
    </row>
    <row r="1870" spans="1:5" x14ac:dyDescent="0.25">
      <c r="A1870">
        <v>424769177</v>
      </c>
      <c r="B1870" t="s">
        <v>1166</v>
      </c>
      <c r="E1870" t="str">
        <f>IF(OR(E1869="&lt;/routeDistribution&gt;",E1869=""),"",IFERROR(_xlfn.CONCAT(VLOOKUP(DE41,Route_Column!#REF!,2,FALSE),CHAR(34)," probability=",CHAR(34),1/DE$4,CHAR(34),CHAR(47),CHAR(62)),"&lt;/routeDistribution&gt;"))</f>
        <v/>
      </c>
    </row>
    <row r="1871" spans="1:5" x14ac:dyDescent="0.25">
      <c r="A1871">
        <v>424769177</v>
      </c>
      <c r="B1871" t="s">
        <v>1167</v>
      </c>
      <c r="E1871" t="str">
        <f>IF(OR(E1870="&lt;/routeDistribution&gt;",E1870=""),"",IFERROR(_xlfn.CONCAT(VLOOKUP(DE42,Route_Column!#REF!,2,FALSE),CHAR(34)," probability=",CHAR(34),1/DE$4,CHAR(34),CHAR(47),CHAR(62)),"&lt;/routeDistribution&gt;"))</f>
        <v/>
      </c>
    </row>
    <row r="1872" spans="1:5" x14ac:dyDescent="0.25">
      <c r="A1872">
        <v>424769177</v>
      </c>
      <c r="B1872" t="s">
        <v>1168</v>
      </c>
      <c r="E1872" t="str">
        <f>IF(OR(E1871="&lt;/routeDistribution&gt;",E1871=""),"",IFERROR(_xlfn.CONCAT(VLOOKUP(DE43,Route_Column!#REF!,2,FALSE),CHAR(34)," probability=",CHAR(34),1/DE$4,CHAR(34),CHAR(47),CHAR(62)),"&lt;/routeDistribution&gt;"))</f>
        <v/>
      </c>
    </row>
    <row r="1873" spans="1:5" x14ac:dyDescent="0.25">
      <c r="A1873">
        <v>424769177</v>
      </c>
      <c r="B1873" t="s">
        <v>1169</v>
      </c>
      <c r="E1873" t="str">
        <f>IF(OR(E1872="&lt;/routeDistribution&gt;",E1872=""),"",IFERROR(_xlfn.CONCAT(VLOOKUP(DE44,Route_Column!#REF!,2,FALSE),CHAR(34)," probability=",CHAR(34),1/DE$4,CHAR(34),CHAR(47),CHAR(62)),"&lt;/routeDistribution&gt;"))</f>
        <v/>
      </c>
    </row>
    <row r="1874" spans="1:5" x14ac:dyDescent="0.25">
      <c r="A1874">
        <v>424769177</v>
      </c>
      <c r="B1874" t="s">
        <v>1170</v>
      </c>
      <c r="E1874" t="str">
        <f>IF(OR(E1873="&lt;/routeDistribution&gt;",E1873=""),"",IFERROR(_xlfn.CONCAT(VLOOKUP(DE45,Route_Column!#REF!,2,FALSE),CHAR(34)," probability=",CHAR(34),1/DE$4,CHAR(34),CHAR(47),CHAR(62)),"&lt;/routeDistribution&gt;"))</f>
        <v/>
      </c>
    </row>
    <row r="1875" spans="1:5" x14ac:dyDescent="0.25">
      <c r="A1875">
        <v>424769177</v>
      </c>
      <c r="B1875" t="s">
        <v>1186</v>
      </c>
      <c r="E1875" t="str">
        <f>IF(OR(E1874="&lt;/routeDistribution&gt;",E1874=""),"",IFERROR(_xlfn.CONCAT(VLOOKUP(DE46,Route_Column!#REF!,2,FALSE),CHAR(34)," probability=",CHAR(34),1/DE$4,CHAR(34),CHAR(47),CHAR(62)),"&lt;/routeDistribution&gt;"))</f>
        <v/>
      </c>
    </row>
    <row r="1876" spans="1:5" x14ac:dyDescent="0.25">
      <c r="A1876">
        <v>424769177</v>
      </c>
      <c r="B1876" t="s">
        <v>1187</v>
      </c>
      <c r="E1876" t="str">
        <f>IF(OR(E1875="&lt;/routeDistribution&gt;",E1875=""),"",IFERROR(_xlfn.CONCAT(VLOOKUP(DE47,Route_Column!#REF!,2,FALSE),CHAR(34)," probability=",CHAR(34),1/DE$4,CHAR(34),CHAR(47),CHAR(62)),"&lt;/routeDistribution&gt;"))</f>
        <v/>
      </c>
    </row>
    <row r="1877" spans="1:5" x14ac:dyDescent="0.25">
      <c r="A1877">
        <v>424769177</v>
      </c>
      <c r="B1877" t="s">
        <v>1188</v>
      </c>
      <c r="E1877" t="str">
        <f>IF(OR(E1876="&lt;/routeDistribution&gt;",E1876=""),"",IFERROR(_xlfn.CONCAT(VLOOKUP(DE48,Route_Column!#REF!,2,FALSE),CHAR(34)," probability=",CHAR(34),1/DE$4,CHAR(34),CHAR(47),CHAR(62)),"&lt;/routeDistribution&gt;"))</f>
        <v/>
      </c>
    </row>
    <row r="1878" spans="1:5" x14ac:dyDescent="0.25">
      <c r="A1878">
        <v>424769177</v>
      </c>
      <c r="B1878" t="s">
        <v>1189</v>
      </c>
      <c r="E1878" t="str">
        <f>IF(OR(E1877="&lt;/routeDistribution&gt;",E1877=""),"",IFERROR(_xlfn.CONCAT(VLOOKUP(DE49,Route_Column!#REF!,2,FALSE),CHAR(34)," probability=",CHAR(34),1/DE$4,CHAR(34),CHAR(47),CHAR(62)),"&lt;/routeDistribution&gt;"))</f>
        <v/>
      </c>
    </row>
    <row r="1879" spans="1:5" x14ac:dyDescent="0.25">
      <c r="A1879">
        <v>424769177</v>
      </c>
      <c r="B1879" t="s">
        <v>1191</v>
      </c>
      <c r="E1879" t="str">
        <f>IF(OR(E1878="&lt;/routeDistribution&gt;",E1878=""),"",IFERROR(_xlfn.CONCAT(VLOOKUP(DE50,Route_Column!#REF!,2,FALSE),CHAR(34)," probability=",CHAR(34),1/DE$4,CHAR(34),CHAR(47),CHAR(62)),"&lt;/routeDistribution&gt;"))</f>
        <v/>
      </c>
    </row>
    <row r="1880" spans="1:5" x14ac:dyDescent="0.25">
      <c r="A1880">
        <v>424769177</v>
      </c>
      <c r="B1880" t="s">
        <v>1194</v>
      </c>
      <c r="E1880" t="str">
        <f>IF(OR(E1879="&lt;/routeDistribution&gt;",E1879=""),"",IFERROR(_xlfn.CONCAT(VLOOKUP(DE51,Route_Column!#REF!,2,FALSE),CHAR(34)," probability=",CHAR(34),1/DE$4,CHAR(34),CHAR(47),CHAR(62)),"&lt;/routeDistribution&gt;"))</f>
        <v/>
      </c>
    </row>
    <row r="1881" spans="1:5" x14ac:dyDescent="0.25">
      <c r="A1881">
        <v>424769177</v>
      </c>
      <c r="B1881" t="s">
        <v>1195</v>
      </c>
      <c r="E1881" t="str">
        <f>IF(OR(E1880="&lt;/routeDistribution&gt;",E1880=""),"",IFERROR(_xlfn.CONCAT(VLOOKUP(DE52,Route_Column!#REF!,2,FALSE),CHAR(34)," probability=",CHAR(34),1/DE$4,CHAR(34),CHAR(47),CHAR(62)),"&lt;/routeDistribution&gt;"))</f>
        <v/>
      </c>
    </row>
    <row r="1882" spans="1:5" x14ac:dyDescent="0.25">
      <c r="A1882">
        <v>424769177</v>
      </c>
      <c r="B1882" t="s">
        <v>1196</v>
      </c>
      <c r="E1882" t="str">
        <f>IF(OR(E1881="&lt;/routeDistribution&gt;",E1881=""),"",IFERROR(_xlfn.CONCAT(VLOOKUP(DE53,Route_Column!#REF!,2,FALSE),CHAR(34)," probability=",CHAR(34),1/DE$4,CHAR(34),CHAR(47),CHAR(62)),"&lt;/routeDistribution&gt;"))</f>
        <v/>
      </c>
    </row>
    <row r="1883" spans="1:5" x14ac:dyDescent="0.25">
      <c r="A1883">
        <v>424769177</v>
      </c>
      <c r="B1883" t="s">
        <v>1197</v>
      </c>
      <c r="E1883" t="str">
        <f>IF(OR(E1882="&lt;/routeDistribution&gt;",E1882=""),"",IFERROR(_xlfn.CONCAT(VLOOKUP(DE54,Route_Column!#REF!,2,FALSE),CHAR(34)," probability=",CHAR(34),1/DE$4,CHAR(34),CHAR(47),CHAR(62)),"&lt;/routeDistribution&gt;"))</f>
        <v/>
      </c>
    </row>
    <row r="1884" spans="1:5" x14ac:dyDescent="0.25">
      <c r="A1884">
        <v>424769177</v>
      </c>
      <c r="B1884" t="s">
        <v>1198</v>
      </c>
      <c r="E1884" t="str">
        <f>IF(OR(E1883="&lt;/routeDistribution&gt;",E1883=""),"",IFERROR(_xlfn.CONCAT(VLOOKUP(DE55,Route_Column!#REF!,2,FALSE),CHAR(34)," probability=",CHAR(34),1/DE$4,CHAR(34),CHAR(47),CHAR(62)),"&lt;/routeDistribution&gt;"))</f>
        <v/>
      </c>
    </row>
    <row r="1885" spans="1:5" x14ac:dyDescent="0.25">
      <c r="A1885">
        <v>424769182</v>
      </c>
      <c r="B1885" t="s">
        <v>1092</v>
      </c>
      <c r="E1885" t="str">
        <f>IF(OR(E1884="&lt;/routeDistribution&gt;",E1884=""),"",IFERROR(_xlfn.CONCAT(VLOOKUP(DE56,Route_Column!#REF!,2,FALSE),CHAR(34)," probability=",CHAR(34),1/DE$4,CHAR(34),CHAR(47),CHAR(62)),"&lt;/routeDistribution&gt;"))</f>
        <v/>
      </c>
    </row>
    <row r="1886" spans="1:5" x14ac:dyDescent="0.25">
      <c r="A1886">
        <v>424769182</v>
      </c>
      <c r="B1886" t="s">
        <v>1093</v>
      </c>
      <c r="E1886" t="str">
        <f>IF(OR(E1885="&lt;/routeDistribution&gt;",E1885=""),"",IFERROR(_xlfn.CONCAT(VLOOKUP(DE57,Route_Column!#REF!,2,FALSE),CHAR(34)," probability=",CHAR(34),1/DE$4,CHAR(34),CHAR(47),CHAR(62)),"&lt;/routeDistribution&gt;"))</f>
        <v/>
      </c>
    </row>
    <row r="1887" spans="1:5" x14ac:dyDescent="0.25">
      <c r="A1887">
        <v>424769182</v>
      </c>
      <c r="B1887" t="s">
        <v>1094</v>
      </c>
      <c r="E1887" t="str">
        <f>IF(OR(E1886="&lt;/routeDistribution&gt;",E1886=""),"",IFERROR(_xlfn.CONCAT(VLOOKUP(DE58,Route_Column!#REF!,2,FALSE),CHAR(34)," probability=",CHAR(34),1/DE$4,CHAR(34),CHAR(47),CHAR(62)),"&lt;/routeDistribution&gt;"))</f>
        <v/>
      </c>
    </row>
    <row r="1888" spans="1:5" x14ac:dyDescent="0.25">
      <c r="A1888">
        <v>424769182</v>
      </c>
      <c r="B1888" t="s">
        <v>1095</v>
      </c>
      <c r="E1888" t="str">
        <f>IF(OR(E1887="&lt;/routeDistribution&gt;",E1887=""),"",IFERROR(_xlfn.CONCAT(VLOOKUP(DE59,Route_Column!#REF!,2,FALSE),CHAR(34)," probability=",CHAR(34),1/DE$4,CHAR(34),CHAR(47),CHAR(62)),"&lt;/routeDistribution&gt;"))</f>
        <v/>
      </c>
    </row>
    <row r="1889" spans="1:5" x14ac:dyDescent="0.25">
      <c r="A1889">
        <v>424769182</v>
      </c>
      <c r="B1889" t="s">
        <v>1096</v>
      </c>
      <c r="E1889" t="str">
        <f>IF(OR(E1888="&lt;/routeDistribution&gt;",E1888=""),"",IFERROR(_xlfn.CONCAT(VLOOKUP(DE60,Route_Column!#REF!,2,FALSE),CHAR(34)," probability=",CHAR(34),1/DE$4,CHAR(34),CHAR(47),CHAR(62)),"&lt;/routeDistribution&gt;"))</f>
        <v/>
      </c>
    </row>
    <row r="1890" spans="1:5" x14ac:dyDescent="0.25">
      <c r="A1890">
        <v>424769182</v>
      </c>
      <c r="B1890" t="s">
        <v>1097</v>
      </c>
      <c r="E1890" t="str">
        <f>IF(OR(E1889="&lt;/routeDistribution&gt;",E1889=""),"",IFERROR(_xlfn.CONCAT(VLOOKUP(DE61,Route_Column!#REF!,2,FALSE),CHAR(34)," probability=",CHAR(34),1/DE$4,CHAR(34),CHAR(47),CHAR(62)),"&lt;/routeDistribution&gt;"))</f>
        <v/>
      </c>
    </row>
    <row r="1891" spans="1:5" x14ac:dyDescent="0.25">
      <c r="A1891">
        <v>424769182</v>
      </c>
      <c r="B1891" t="s">
        <v>1098</v>
      </c>
      <c r="E1891" t="str">
        <f>IF(OR(E1890="&lt;/routeDistribution&gt;",E1890=""),"",IFERROR(_xlfn.CONCAT(VLOOKUP(DE62,Route_Column!#REF!,2,FALSE),CHAR(34)," probability=",CHAR(34),1/DE$4,CHAR(34),CHAR(47),CHAR(62)),"&lt;/routeDistribution&gt;"))</f>
        <v/>
      </c>
    </row>
    <row r="1892" spans="1:5" x14ac:dyDescent="0.25">
      <c r="A1892">
        <v>424769182</v>
      </c>
      <c r="B1892" t="s">
        <v>1099</v>
      </c>
      <c r="E1892" t="str">
        <f>IF(OR(E1891="&lt;/routeDistribution&gt;",E1891=""),"",IFERROR(_xlfn.CONCAT(VLOOKUP(DE63,Route_Column!#REF!,2,FALSE),CHAR(34)," probability=",CHAR(34),1/DE$4,CHAR(34),CHAR(47),CHAR(62)),"&lt;/routeDistribution&gt;"))</f>
        <v/>
      </c>
    </row>
    <row r="1893" spans="1:5" x14ac:dyDescent="0.25">
      <c r="A1893">
        <v>424769182</v>
      </c>
      <c r="B1893" t="s">
        <v>1100</v>
      </c>
      <c r="E1893" t="s">
        <v>2686</v>
      </c>
    </row>
    <row r="1894" spans="1:5" x14ac:dyDescent="0.25">
      <c r="A1894">
        <v>424769182</v>
      </c>
      <c r="B1894" t="s">
        <v>1101</v>
      </c>
    </row>
    <row r="1895" spans="1:5" x14ac:dyDescent="0.25">
      <c r="A1895">
        <v>424769182</v>
      </c>
      <c r="B1895" t="s">
        <v>1102</v>
      </c>
    </row>
    <row r="1896" spans="1:5" x14ac:dyDescent="0.25">
      <c r="A1896">
        <v>424769182</v>
      </c>
      <c r="B1896" t="s">
        <v>1103</v>
      </c>
      <c r="E1896" t="str">
        <f>_xlfn.CONCAT($E$1,DD$2,$F$1)</f>
        <v>&lt;routeDistribution id="BFPW_to_676_NB-1997-RouteProbe"&gt;</v>
      </c>
    </row>
    <row r="1897" spans="1:5" x14ac:dyDescent="0.25">
      <c r="A1897">
        <v>424769182</v>
      </c>
      <c r="B1897" t="s">
        <v>1104</v>
      </c>
      <c r="E1897" t="str">
        <f>IF(OR(E1896="&lt;/routeDistribution&gt;",E1896=""),"",IFERROR(_xlfn.CONCAT(VLOOKUP(DD5,Route_Column!#REF!,2,FALSE),CHAR(34)," probability=",CHAR(34),1/DD$4,CHAR(34),CHAR(47),CHAR(62)),"&lt;/routeDistribution&gt;"))</f>
        <v>&lt;/routeDistribution&gt;</v>
      </c>
    </row>
    <row r="1898" spans="1:5" x14ac:dyDescent="0.25">
      <c r="A1898">
        <v>424769182</v>
      </c>
      <c r="B1898" t="s">
        <v>1105</v>
      </c>
      <c r="E1898" t="str">
        <f>IF(OR(E1897="&lt;/routeDistribution&gt;",E1897=""),"",IFERROR(_xlfn.CONCAT(VLOOKUP(DD6,Route_Column!#REF!,2,FALSE),CHAR(34)," probability=",CHAR(34),1/DD$4,CHAR(34),CHAR(47),CHAR(62)),"&lt;/routeDistribution&gt;"))</f>
        <v/>
      </c>
    </row>
    <row r="1899" spans="1:5" x14ac:dyDescent="0.25">
      <c r="A1899">
        <v>424769182</v>
      </c>
      <c r="B1899" t="s">
        <v>1106</v>
      </c>
      <c r="E1899" t="str">
        <f>IF(OR(E1898="&lt;/routeDistribution&gt;",E1898=""),"",IFERROR(_xlfn.CONCAT(VLOOKUP(DD7,Route_Column!#REF!,2,FALSE),CHAR(34)," probability=",CHAR(34),1/DD$4,CHAR(34),CHAR(47),CHAR(62)),"&lt;/routeDistribution&gt;"))</f>
        <v/>
      </c>
    </row>
    <row r="1900" spans="1:5" x14ac:dyDescent="0.25">
      <c r="A1900">
        <v>424769182</v>
      </c>
      <c r="B1900" t="s">
        <v>1107</v>
      </c>
      <c r="E1900" t="str">
        <f>IF(OR(E1899="&lt;/routeDistribution&gt;",E1899=""),"",IFERROR(_xlfn.CONCAT(VLOOKUP(DD8,Route_Column!#REF!,2,FALSE),CHAR(34)," probability=",CHAR(34),1/DD$4,CHAR(34),CHAR(47),CHAR(62)),"&lt;/routeDistribution&gt;"))</f>
        <v/>
      </c>
    </row>
    <row r="1901" spans="1:5" x14ac:dyDescent="0.25">
      <c r="A1901">
        <v>424769182</v>
      </c>
      <c r="B1901" t="s">
        <v>1166</v>
      </c>
      <c r="E1901" t="str">
        <f>IF(OR(E1900="&lt;/routeDistribution&gt;",E1900=""),"",IFERROR(_xlfn.CONCAT(VLOOKUP(DD9,Route_Column!#REF!,2,FALSE),CHAR(34)," probability=",CHAR(34),1/DD$4,CHAR(34),CHAR(47),CHAR(62)),"&lt;/routeDistribution&gt;"))</f>
        <v/>
      </c>
    </row>
    <row r="1902" spans="1:5" x14ac:dyDescent="0.25">
      <c r="A1902">
        <v>424769182</v>
      </c>
      <c r="B1902" t="s">
        <v>1167</v>
      </c>
      <c r="E1902" t="str">
        <f>IF(OR(E1901="&lt;/routeDistribution&gt;",E1901=""),"",IFERROR(_xlfn.CONCAT(VLOOKUP(DD10,Route_Column!#REF!,2,FALSE),CHAR(34)," probability=",CHAR(34),1/DD$4,CHAR(34),CHAR(47),CHAR(62)),"&lt;/routeDistribution&gt;"))</f>
        <v/>
      </c>
    </row>
    <row r="1903" spans="1:5" x14ac:dyDescent="0.25">
      <c r="A1903">
        <v>424769182</v>
      </c>
      <c r="B1903" t="s">
        <v>1168</v>
      </c>
      <c r="E1903" t="str">
        <f>IF(OR(E1902="&lt;/routeDistribution&gt;",E1902=""),"",IFERROR(_xlfn.CONCAT(VLOOKUP(DD11,Route_Column!#REF!,2,FALSE),CHAR(34)," probability=",CHAR(34),1/DD$4,CHAR(34),CHAR(47),CHAR(62)),"&lt;/routeDistribution&gt;"))</f>
        <v/>
      </c>
    </row>
    <row r="1904" spans="1:5" x14ac:dyDescent="0.25">
      <c r="A1904">
        <v>424769182</v>
      </c>
      <c r="B1904" t="s">
        <v>1186</v>
      </c>
      <c r="E1904" t="str">
        <f>IF(OR(E1903="&lt;/routeDistribution&gt;",E1903=""),"",IFERROR(_xlfn.CONCAT(VLOOKUP(DD12,Route_Column!#REF!,2,FALSE),CHAR(34)," probability=",CHAR(34),1/DD$4,CHAR(34),CHAR(47),CHAR(62)),"&lt;/routeDistribution&gt;"))</f>
        <v/>
      </c>
    </row>
    <row r="1905" spans="1:5" x14ac:dyDescent="0.25">
      <c r="A1905">
        <v>424769182</v>
      </c>
      <c r="B1905" t="s">
        <v>1189</v>
      </c>
      <c r="E1905" t="str">
        <f>IF(OR(E1904="&lt;/routeDistribution&gt;",E1904=""),"",IFERROR(_xlfn.CONCAT(VLOOKUP(DD13,Route_Column!#REF!,2,FALSE),CHAR(34)," probability=",CHAR(34),1/DD$4,CHAR(34),CHAR(47),CHAR(62)),"&lt;/routeDistribution&gt;"))</f>
        <v/>
      </c>
    </row>
    <row r="1906" spans="1:5" x14ac:dyDescent="0.25">
      <c r="A1906">
        <v>424769182</v>
      </c>
      <c r="B1906" t="s">
        <v>1191</v>
      </c>
      <c r="E1906" t="str">
        <f>IF(OR(E1905="&lt;/routeDistribution&gt;",E1905=""),"",IFERROR(_xlfn.CONCAT(VLOOKUP(DD14,Route_Column!#REF!,2,FALSE),CHAR(34)," probability=",CHAR(34),1/DD$4,CHAR(34),CHAR(47),CHAR(62)),"&lt;/routeDistribution&gt;"))</f>
        <v/>
      </c>
    </row>
    <row r="1907" spans="1:5" x14ac:dyDescent="0.25">
      <c r="A1907">
        <v>424799820</v>
      </c>
      <c r="B1907" t="s">
        <v>1113</v>
      </c>
      <c r="E1907" t="str">
        <f>IF(OR(E1906="&lt;/routeDistribution&gt;",E1906=""),"",IFERROR(_xlfn.CONCAT(VLOOKUP(DD15,Route_Column!#REF!,2,FALSE),CHAR(34)," probability=",CHAR(34),1/DD$4,CHAR(34),CHAR(47),CHAR(62)),"&lt;/routeDistribution&gt;"))</f>
        <v/>
      </c>
    </row>
    <row r="1908" spans="1:5" x14ac:dyDescent="0.25">
      <c r="A1908">
        <v>424799820</v>
      </c>
      <c r="B1908" t="s">
        <v>1114</v>
      </c>
      <c r="E1908" t="str">
        <f>IF(OR(E1907="&lt;/routeDistribution&gt;",E1907=""),"",IFERROR(_xlfn.CONCAT(VLOOKUP(DD16,Route_Column!#REF!,2,FALSE),CHAR(34)," probability=",CHAR(34),1/DD$4,CHAR(34),CHAR(47),CHAR(62)),"&lt;/routeDistribution&gt;"))</f>
        <v/>
      </c>
    </row>
    <row r="1909" spans="1:5" x14ac:dyDescent="0.25">
      <c r="A1909">
        <v>424799820</v>
      </c>
      <c r="B1909" t="s">
        <v>1115</v>
      </c>
      <c r="E1909" t="str">
        <f>IF(OR(E1908="&lt;/routeDistribution&gt;",E1908=""),"",IFERROR(_xlfn.CONCAT(VLOOKUP(DD17,Route_Column!#REF!,2,FALSE),CHAR(34)," probability=",CHAR(34),1/DD$4,CHAR(34),CHAR(47),CHAR(62)),"&lt;/routeDistribution&gt;"))</f>
        <v/>
      </c>
    </row>
    <row r="1910" spans="1:5" x14ac:dyDescent="0.25">
      <c r="A1910">
        <v>424799820</v>
      </c>
      <c r="B1910" t="s">
        <v>1133</v>
      </c>
      <c r="E1910" t="str">
        <f>IF(OR(E1909="&lt;/routeDistribution&gt;",E1909=""),"",IFERROR(_xlfn.CONCAT(VLOOKUP(DD18,Route_Column!#REF!,2,FALSE),CHAR(34)," probability=",CHAR(34),1/DD$4,CHAR(34),CHAR(47),CHAR(62)),"&lt;/routeDistribution&gt;"))</f>
        <v/>
      </c>
    </row>
    <row r="1911" spans="1:5" x14ac:dyDescent="0.25">
      <c r="A1911">
        <v>424799820</v>
      </c>
      <c r="B1911" t="s">
        <v>1166</v>
      </c>
      <c r="E1911" t="str">
        <f>IF(OR(E1910="&lt;/routeDistribution&gt;",E1910=""),"",IFERROR(_xlfn.CONCAT(VLOOKUP(DD19,Route_Column!#REF!,2,FALSE),CHAR(34)," probability=",CHAR(34),1/DD$4,CHAR(34),CHAR(47),CHAR(62)),"&lt;/routeDistribution&gt;"))</f>
        <v/>
      </c>
    </row>
    <row r="1912" spans="1:5" x14ac:dyDescent="0.25">
      <c r="A1912">
        <v>424799820</v>
      </c>
      <c r="B1912" t="s">
        <v>1167</v>
      </c>
      <c r="E1912" t="str">
        <f>IF(OR(E1911="&lt;/routeDistribution&gt;",E1911=""),"",IFERROR(_xlfn.CONCAT(VLOOKUP(DD20,Route_Column!#REF!,2,FALSE),CHAR(34)," probability=",CHAR(34),1/DD$4,CHAR(34),CHAR(47),CHAR(62)),"&lt;/routeDistribution&gt;"))</f>
        <v/>
      </c>
    </row>
    <row r="1913" spans="1:5" x14ac:dyDescent="0.25">
      <c r="A1913">
        <v>424799820</v>
      </c>
      <c r="B1913" t="s">
        <v>1168</v>
      </c>
      <c r="E1913" t="str">
        <f>IF(OR(E1912="&lt;/routeDistribution&gt;",E1912=""),"",IFERROR(_xlfn.CONCAT(VLOOKUP(DD21,Route_Column!#REF!,2,FALSE),CHAR(34)," probability=",CHAR(34),1/DD$4,CHAR(34),CHAR(47),CHAR(62)),"&lt;/routeDistribution&gt;"))</f>
        <v/>
      </c>
    </row>
    <row r="1914" spans="1:5" x14ac:dyDescent="0.25">
      <c r="A1914">
        <v>424799820</v>
      </c>
      <c r="B1914" t="s">
        <v>1186</v>
      </c>
      <c r="E1914" t="str">
        <f>IF(OR(E1913="&lt;/routeDistribution&gt;",E1913=""),"",IFERROR(_xlfn.CONCAT(VLOOKUP(DD22,Route_Column!#REF!,2,FALSE),CHAR(34)," probability=",CHAR(34),1/DD$4,CHAR(34),CHAR(47),CHAR(62)),"&lt;/routeDistribution&gt;"))</f>
        <v/>
      </c>
    </row>
    <row r="1915" spans="1:5" x14ac:dyDescent="0.25">
      <c r="A1915">
        <v>424799820</v>
      </c>
      <c r="B1915" t="s">
        <v>1187</v>
      </c>
      <c r="E1915" t="str">
        <f>IF(OR(E1914="&lt;/routeDistribution&gt;",E1914=""),"",IFERROR(_xlfn.CONCAT(VLOOKUP(DD23,Route_Column!#REF!,2,FALSE),CHAR(34)," probability=",CHAR(34),1/DD$4,CHAR(34),CHAR(47),CHAR(62)),"&lt;/routeDistribution&gt;"))</f>
        <v/>
      </c>
    </row>
    <row r="1916" spans="1:5" x14ac:dyDescent="0.25">
      <c r="A1916">
        <v>424799820</v>
      </c>
      <c r="B1916" t="s">
        <v>1188</v>
      </c>
      <c r="E1916" t="str">
        <f>IF(OR(E1915="&lt;/routeDistribution&gt;",E1915=""),"",IFERROR(_xlfn.CONCAT(VLOOKUP(DD24,Route_Column!#REF!,2,FALSE),CHAR(34)," probability=",CHAR(34),1/DD$4,CHAR(34),CHAR(47),CHAR(62)),"&lt;/routeDistribution&gt;"))</f>
        <v/>
      </c>
    </row>
    <row r="1917" spans="1:5" x14ac:dyDescent="0.25">
      <c r="A1917">
        <v>424799820</v>
      </c>
      <c r="B1917" t="s">
        <v>1189</v>
      </c>
      <c r="E1917" t="str">
        <f>IF(OR(E1916="&lt;/routeDistribution&gt;",E1916=""),"",IFERROR(_xlfn.CONCAT(VLOOKUP(DD25,Route_Column!#REF!,2,FALSE),CHAR(34)," probability=",CHAR(34),1/DD$4,CHAR(34),CHAR(47),CHAR(62)),"&lt;/routeDistribution&gt;"))</f>
        <v/>
      </c>
    </row>
    <row r="1918" spans="1:5" x14ac:dyDescent="0.25">
      <c r="A1918">
        <v>424799820</v>
      </c>
      <c r="B1918" t="s">
        <v>1195</v>
      </c>
      <c r="E1918" t="str">
        <f>IF(OR(E1917="&lt;/routeDistribution&gt;",E1917=""),"",IFERROR(_xlfn.CONCAT(VLOOKUP(DD26,Route_Column!#REF!,2,FALSE),CHAR(34)," probability=",CHAR(34),1/DD$4,CHAR(34),CHAR(47),CHAR(62)),"&lt;/routeDistribution&gt;"))</f>
        <v/>
      </c>
    </row>
    <row r="1919" spans="1:5" x14ac:dyDescent="0.25">
      <c r="A1919">
        <v>424799820</v>
      </c>
      <c r="B1919" t="s">
        <v>1196</v>
      </c>
      <c r="E1919" t="str">
        <f>IF(OR(E1918="&lt;/routeDistribution&gt;",E1918=""),"",IFERROR(_xlfn.CONCAT(VLOOKUP(DD27,Route_Column!#REF!,2,FALSE),CHAR(34)," probability=",CHAR(34),1/DD$4,CHAR(34),CHAR(47),CHAR(62)),"&lt;/routeDistribution&gt;"))</f>
        <v/>
      </c>
    </row>
    <row r="1920" spans="1:5" x14ac:dyDescent="0.25">
      <c r="A1920">
        <v>424799825</v>
      </c>
      <c r="B1920" t="s">
        <v>1114</v>
      </c>
      <c r="E1920" t="str">
        <f>IF(OR(E1919="&lt;/routeDistribution&gt;",E1919=""),"",IFERROR(_xlfn.CONCAT(VLOOKUP(DD28,Route_Column!#REF!,2,FALSE),CHAR(34)," probability=",CHAR(34),1/DD$4,CHAR(34),CHAR(47),CHAR(62)),"&lt;/routeDistribution&gt;"))</f>
        <v/>
      </c>
    </row>
    <row r="1921" spans="1:5" x14ac:dyDescent="0.25">
      <c r="A1921">
        <v>424799825</v>
      </c>
      <c r="B1921" t="s">
        <v>1115</v>
      </c>
      <c r="E1921" t="str">
        <f>IF(OR(E1920="&lt;/routeDistribution&gt;",E1920=""),"",IFERROR(_xlfn.CONCAT(VLOOKUP(DD29,Route_Column!#REF!,2,FALSE),CHAR(34)," probability=",CHAR(34),1/DD$4,CHAR(34),CHAR(47),CHAR(62)),"&lt;/routeDistribution&gt;"))</f>
        <v/>
      </c>
    </row>
    <row r="1922" spans="1:5" x14ac:dyDescent="0.25">
      <c r="A1922">
        <v>424799825</v>
      </c>
      <c r="B1922" t="s">
        <v>1166</v>
      </c>
      <c r="E1922" t="str">
        <f>IF(OR(E1921="&lt;/routeDistribution&gt;",E1921=""),"",IFERROR(_xlfn.CONCAT(VLOOKUP(DD30,Route_Column!#REF!,2,FALSE),CHAR(34)," probability=",CHAR(34),1/DD$4,CHAR(34),CHAR(47),CHAR(62)),"&lt;/routeDistribution&gt;"))</f>
        <v/>
      </c>
    </row>
    <row r="1923" spans="1:5" x14ac:dyDescent="0.25">
      <c r="A1923">
        <v>424799825</v>
      </c>
      <c r="B1923" t="s">
        <v>1167</v>
      </c>
      <c r="E1923" t="str">
        <f>IF(OR(E1922="&lt;/routeDistribution&gt;",E1922=""),"",IFERROR(_xlfn.CONCAT(VLOOKUP(DD31,Route_Column!#REF!,2,FALSE),CHAR(34)," probability=",CHAR(34),1/DD$4,CHAR(34),CHAR(47),CHAR(62)),"&lt;/routeDistribution&gt;"))</f>
        <v/>
      </c>
    </row>
    <row r="1924" spans="1:5" x14ac:dyDescent="0.25">
      <c r="A1924">
        <v>424799825</v>
      </c>
      <c r="B1924" t="s">
        <v>1168</v>
      </c>
      <c r="E1924" t="str">
        <f>IF(OR(E1923="&lt;/routeDistribution&gt;",E1923=""),"",IFERROR(_xlfn.CONCAT(VLOOKUP(DD32,Route_Column!#REF!,2,FALSE),CHAR(34)," probability=",CHAR(34),1/DD$4,CHAR(34),CHAR(47),CHAR(62)),"&lt;/routeDistribution&gt;"))</f>
        <v/>
      </c>
    </row>
    <row r="1925" spans="1:5" x14ac:dyDescent="0.25">
      <c r="A1925">
        <v>424799825</v>
      </c>
      <c r="B1925" t="s">
        <v>1186</v>
      </c>
      <c r="E1925" t="str">
        <f>IF(OR(E1924="&lt;/routeDistribution&gt;",E1924=""),"",IFERROR(_xlfn.CONCAT(VLOOKUP(DD33,Route_Column!#REF!,2,FALSE),CHAR(34)," probability=",CHAR(34),1/DD$4,CHAR(34),CHAR(47),CHAR(62)),"&lt;/routeDistribution&gt;"))</f>
        <v/>
      </c>
    </row>
    <row r="1926" spans="1:5" x14ac:dyDescent="0.25">
      <c r="A1926">
        <v>424799825</v>
      </c>
      <c r="B1926" t="s">
        <v>1187</v>
      </c>
      <c r="E1926" t="str">
        <f>IF(OR(E1925="&lt;/routeDistribution&gt;",E1925=""),"",IFERROR(_xlfn.CONCAT(VLOOKUP(DD34,Route_Column!#REF!,2,FALSE),CHAR(34)," probability=",CHAR(34),1/DD$4,CHAR(34),CHAR(47),CHAR(62)),"&lt;/routeDistribution&gt;"))</f>
        <v/>
      </c>
    </row>
    <row r="1927" spans="1:5" x14ac:dyDescent="0.25">
      <c r="A1927">
        <v>424799825</v>
      </c>
      <c r="B1927" t="s">
        <v>1188</v>
      </c>
      <c r="E1927" t="str">
        <f>IF(OR(E1926="&lt;/routeDistribution&gt;",E1926=""),"",IFERROR(_xlfn.CONCAT(VLOOKUP(DD35,Route_Column!#REF!,2,FALSE),CHAR(34)," probability=",CHAR(34),1/DD$4,CHAR(34),CHAR(47),CHAR(62)),"&lt;/routeDistribution&gt;"))</f>
        <v/>
      </c>
    </row>
    <row r="1928" spans="1:5" x14ac:dyDescent="0.25">
      <c r="A1928">
        <v>424799825</v>
      </c>
      <c r="B1928" t="s">
        <v>1189</v>
      </c>
      <c r="E1928" t="str">
        <f>IF(OR(E1927="&lt;/routeDistribution&gt;",E1927=""),"",IFERROR(_xlfn.CONCAT(VLOOKUP(DD36,Route_Column!#REF!,2,FALSE),CHAR(34)," probability=",CHAR(34),1/DD$4,CHAR(34),CHAR(47),CHAR(62)),"&lt;/routeDistribution&gt;"))</f>
        <v/>
      </c>
    </row>
    <row r="1929" spans="1:5" x14ac:dyDescent="0.25">
      <c r="A1929">
        <v>424799825</v>
      </c>
      <c r="B1929" t="s">
        <v>1195</v>
      </c>
      <c r="E1929" t="str">
        <f>IF(OR(E1928="&lt;/routeDistribution&gt;",E1928=""),"",IFERROR(_xlfn.CONCAT(VLOOKUP(DD37,Route_Column!#REF!,2,FALSE),CHAR(34)," probability=",CHAR(34),1/DD$4,CHAR(34),CHAR(47),CHAR(62)),"&lt;/routeDistribution&gt;"))</f>
        <v/>
      </c>
    </row>
    <row r="1930" spans="1:5" x14ac:dyDescent="0.25">
      <c r="A1930">
        <v>424799825</v>
      </c>
      <c r="B1930" t="s">
        <v>1196</v>
      </c>
      <c r="E1930" t="str">
        <f>IF(OR(E1929="&lt;/routeDistribution&gt;",E1929=""),"",IFERROR(_xlfn.CONCAT(VLOOKUP(DD38,Route_Column!#REF!,2,FALSE),CHAR(34)," probability=",CHAR(34),1/DD$4,CHAR(34),CHAR(47),CHAR(62)),"&lt;/routeDistribution&gt;"))</f>
        <v/>
      </c>
    </row>
    <row r="1931" spans="1:5" x14ac:dyDescent="0.25">
      <c r="A1931">
        <v>424799826</v>
      </c>
      <c r="B1931" t="s">
        <v>1114</v>
      </c>
      <c r="E1931" t="str">
        <f>IF(OR(E1930="&lt;/routeDistribution&gt;",E1930=""),"",IFERROR(_xlfn.CONCAT(VLOOKUP(DD39,Route_Column!#REF!,2,FALSE),CHAR(34)," probability=",CHAR(34),1/DD$4,CHAR(34),CHAR(47),CHAR(62)),"&lt;/routeDistribution&gt;"))</f>
        <v/>
      </c>
    </row>
    <row r="1932" spans="1:5" x14ac:dyDescent="0.25">
      <c r="A1932">
        <v>424799826</v>
      </c>
      <c r="B1932" t="s">
        <v>1115</v>
      </c>
      <c r="E1932" t="str">
        <f>IF(OR(E1931="&lt;/routeDistribution&gt;",E1931=""),"",IFERROR(_xlfn.CONCAT(VLOOKUP(DD40,Route_Column!#REF!,2,FALSE),CHAR(34)," probability=",CHAR(34),1/DD$4,CHAR(34),CHAR(47),CHAR(62)),"&lt;/routeDistribution&gt;"))</f>
        <v/>
      </c>
    </row>
    <row r="1933" spans="1:5" x14ac:dyDescent="0.25">
      <c r="A1933">
        <v>424799826</v>
      </c>
      <c r="B1933" t="s">
        <v>1166</v>
      </c>
      <c r="E1933" t="str">
        <f>IF(OR(E1932="&lt;/routeDistribution&gt;",E1932=""),"",IFERROR(_xlfn.CONCAT(VLOOKUP(DD41,Route_Column!#REF!,2,FALSE),CHAR(34)," probability=",CHAR(34),1/DD$4,CHAR(34),CHAR(47),CHAR(62)),"&lt;/routeDistribution&gt;"))</f>
        <v/>
      </c>
    </row>
    <row r="1934" spans="1:5" x14ac:dyDescent="0.25">
      <c r="A1934">
        <v>424799826</v>
      </c>
      <c r="B1934" t="s">
        <v>1167</v>
      </c>
      <c r="E1934" t="str">
        <f>IF(OR(E1933="&lt;/routeDistribution&gt;",E1933=""),"",IFERROR(_xlfn.CONCAT(VLOOKUP(DD42,Route_Column!#REF!,2,FALSE),CHAR(34)," probability=",CHAR(34),1/DD$4,CHAR(34),CHAR(47),CHAR(62)),"&lt;/routeDistribution&gt;"))</f>
        <v/>
      </c>
    </row>
    <row r="1935" spans="1:5" x14ac:dyDescent="0.25">
      <c r="A1935">
        <v>424799826</v>
      </c>
      <c r="B1935" t="s">
        <v>1168</v>
      </c>
      <c r="E1935" t="str">
        <f>IF(OR(E1934="&lt;/routeDistribution&gt;",E1934=""),"",IFERROR(_xlfn.CONCAT(VLOOKUP(DD43,Route_Column!#REF!,2,FALSE),CHAR(34)," probability=",CHAR(34),1/DD$4,CHAR(34),CHAR(47),CHAR(62)),"&lt;/routeDistribution&gt;"))</f>
        <v/>
      </c>
    </row>
    <row r="1936" spans="1:5" x14ac:dyDescent="0.25">
      <c r="A1936">
        <v>424799826</v>
      </c>
      <c r="B1936" t="s">
        <v>1186</v>
      </c>
      <c r="E1936" t="str">
        <f>IF(OR(E1935="&lt;/routeDistribution&gt;",E1935=""),"",IFERROR(_xlfn.CONCAT(VLOOKUP(DD44,Route_Column!#REF!,2,FALSE),CHAR(34)," probability=",CHAR(34),1/DD$4,CHAR(34),CHAR(47),CHAR(62)),"&lt;/routeDistribution&gt;"))</f>
        <v/>
      </c>
    </row>
    <row r="1937" spans="1:5" x14ac:dyDescent="0.25">
      <c r="A1937">
        <v>424799826</v>
      </c>
      <c r="B1937" t="s">
        <v>1187</v>
      </c>
      <c r="E1937" t="str">
        <f>IF(OR(E1936="&lt;/routeDistribution&gt;",E1936=""),"",IFERROR(_xlfn.CONCAT(VLOOKUP(DD45,Route_Column!#REF!,2,FALSE),CHAR(34)," probability=",CHAR(34),1/DD$4,CHAR(34),CHAR(47),CHAR(62)),"&lt;/routeDistribution&gt;"))</f>
        <v/>
      </c>
    </row>
    <row r="1938" spans="1:5" x14ac:dyDescent="0.25">
      <c r="A1938">
        <v>424799826</v>
      </c>
      <c r="B1938" t="s">
        <v>1188</v>
      </c>
      <c r="E1938" t="str">
        <f>IF(OR(E1937="&lt;/routeDistribution&gt;",E1937=""),"",IFERROR(_xlfn.CONCAT(VLOOKUP(DD46,Route_Column!#REF!,2,FALSE),CHAR(34)," probability=",CHAR(34),1/DD$4,CHAR(34),CHAR(47),CHAR(62)),"&lt;/routeDistribution&gt;"))</f>
        <v/>
      </c>
    </row>
    <row r="1939" spans="1:5" x14ac:dyDescent="0.25">
      <c r="A1939">
        <v>424799826</v>
      </c>
      <c r="B1939" t="s">
        <v>1189</v>
      </c>
      <c r="E1939" t="str">
        <f>IF(OR(E1938="&lt;/routeDistribution&gt;",E1938=""),"",IFERROR(_xlfn.CONCAT(VLOOKUP(DD47,Route_Column!#REF!,2,FALSE),CHAR(34)," probability=",CHAR(34),1/DD$4,CHAR(34),CHAR(47),CHAR(62)),"&lt;/routeDistribution&gt;"))</f>
        <v/>
      </c>
    </row>
    <row r="1940" spans="1:5" x14ac:dyDescent="0.25">
      <c r="A1940">
        <v>424799826</v>
      </c>
      <c r="B1940" t="s">
        <v>1195</v>
      </c>
      <c r="E1940" t="str">
        <f>IF(OR(E1939="&lt;/routeDistribution&gt;",E1939=""),"",IFERROR(_xlfn.CONCAT(VLOOKUP(DD48,Route_Column!#REF!,2,FALSE),CHAR(34)," probability=",CHAR(34),1/DD$4,CHAR(34),CHAR(47),CHAR(62)),"&lt;/routeDistribution&gt;"))</f>
        <v/>
      </c>
    </row>
    <row r="1941" spans="1:5" x14ac:dyDescent="0.25">
      <c r="A1941">
        <v>424799826</v>
      </c>
      <c r="B1941" t="s">
        <v>1196</v>
      </c>
      <c r="E1941" t="str">
        <f>IF(OR(E1940="&lt;/routeDistribution&gt;",E1940=""),"",IFERROR(_xlfn.CONCAT(VLOOKUP(DD49,Route_Column!#REF!,2,FALSE),CHAR(34)," probability=",CHAR(34),1/DD$4,CHAR(34),CHAR(47),CHAR(62)),"&lt;/routeDistribution&gt;"))</f>
        <v/>
      </c>
    </row>
    <row r="1942" spans="1:5" x14ac:dyDescent="0.25">
      <c r="A1942">
        <v>424799828</v>
      </c>
      <c r="B1942" t="s">
        <v>1114</v>
      </c>
      <c r="E1942" t="str">
        <f>IF(OR(E1941="&lt;/routeDistribution&gt;",E1941=""),"",IFERROR(_xlfn.CONCAT(VLOOKUP(DD50,Route_Column!#REF!,2,FALSE),CHAR(34)," probability=",CHAR(34),1/DD$4,CHAR(34),CHAR(47),CHAR(62)),"&lt;/routeDistribution&gt;"))</f>
        <v/>
      </c>
    </row>
    <row r="1943" spans="1:5" x14ac:dyDescent="0.25">
      <c r="A1943">
        <v>424799828</v>
      </c>
      <c r="B1943" t="s">
        <v>1115</v>
      </c>
      <c r="E1943" t="str">
        <f>IF(OR(E1942="&lt;/routeDistribution&gt;",E1942=""),"",IFERROR(_xlfn.CONCAT(VLOOKUP(DD51,Route_Column!#REF!,2,FALSE),CHAR(34)," probability=",CHAR(34),1/DD$4,CHAR(34),CHAR(47),CHAR(62)),"&lt;/routeDistribution&gt;"))</f>
        <v/>
      </c>
    </row>
    <row r="1944" spans="1:5" x14ac:dyDescent="0.25">
      <c r="A1944">
        <v>424799828</v>
      </c>
      <c r="B1944" t="s">
        <v>1166</v>
      </c>
      <c r="E1944" t="str">
        <f>IF(OR(E1943="&lt;/routeDistribution&gt;",E1943=""),"",IFERROR(_xlfn.CONCAT(VLOOKUP(DD52,Route_Column!#REF!,2,FALSE),CHAR(34)," probability=",CHAR(34),1/DD$4,CHAR(34),CHAR(47),CHAR(62)),"&lt;/routeDistribution&gt;"))</f>
        <v/>
      </c>
    </row>
    <row r="1945" spans="1:5" x14ac:dyDescent="0.25">
      <c r="A1945">
        <v>424799828</v>
      </c>
      <c r="B1945" t="s">
        <v>1167</v>
      </c>
      <c r="E1945" t="str">
        <f>IF(OR(E1944="&lt;/routeDistribution&gt;",E1944=""),"",IFERROR(_xlfn.CONCAT(VLOOKUP(DD53,Route_Column!#REF!,2,FALSE),CHAR(34)," probability=",CHAR(34),1/DD$4,CHAR(34),CHAR(47),CHAR(62)),"&lt;/routeDistribution&gt;"))</f>
        <v/>
      </c>
    </row>
    <row r="1946" spans="1:5" x14ac:dyDescent="0.25">
      <c r="A1946">
        <v>424799828</v>
      </c>
      <c r="B1946" t="s">
        <v>1168</v>
      </c>
      <c r="E1946" t="str">
        <f>IF(OR(E1945="&lt;/routeDistribution&gt;",E1945=""),"",IFERROR(_xlfn.CONCAT(VLOOKUP(DD54,Route_Column!#REF!,2,FALSE),CHAR(34)," probability=",CHAR(34),1/DD$4,CHAR(34),CHAR(47),CHAR(62)),"&lt;/routeDistribution&gt;"))</f>
        <v/>
      </c>
    </row>
    <row r="1947" spans="1:5" x14ac:dyDescent="0.25">
      <c r="A1947">
        <v>424799828</v>
      </c>
      <c r="B1947" t="s">
        <v>1186</v>
      </c>
      <c r="E1947" t="str">
        <f>IF(OR(E1946="&lt;/routeDistribution&gt;",E1946=""),"",IFERROR(_xlfn.CONCAT(VLOOKUP(DD55,Route_Column!#REF!,2,FALSE),CHAR(34)," probability=",CHAR(34),1/DD$4,CHAR(34),CHAR(47),CHAR(62)),"&lt;/routeDistribution&gt;"))</f>
        <v/>
      </c>
    </row>
    <row r="1948" spans="1:5" x14ac:dyDescent="0.25">
      <c r="A1948">
        <v>424799828</v>
      </c>
      <c r="B1948" t="s">
        <v>1187</v>
      </c>
      <c r="E1948" t="str">
        <f>IF(OR(E1947="&lt;/routeDistribution&gt;",E1947=""),"",IFERROR(_xlfn.CONCAT(VLOOKUP(DD56,Route_Column!#REF!,2,FALSE),CHAR(34)," probability=",CHAR(34),1/DD$4,CHAR(34),CHAR(47),CHAR(62)),"&lt;/routeDistribution&gt;"))</f>
        <v/>
      </c>
    </row>
    <row r="1949" spans="1:5" x14ac:dyDescent="0.25">
      <c r="A1949">
        <v>424799828</v>
      </c>
      <c r="B1949" t="s">
        <v>1188</v>
      </c>
      <c r="E1949" t="str">
        <f>IF(OR(E1948="&lt;/routeDistribution&gt;",E1948=""),"",IFERROR(_xlfn.CONCAT(VLOOKUP(DD57,Route_Column!#REF!,2,FALSE),CHAR(34)," probability=",CHAR(34),1/DD$4,CHAR(34),CHAR(47),CHAR(62)),"&lt;/routeDistribution&gt;"))</f>
        <v/>
      </c>
    </row>
    <row r="1950" spans="1:5" x14ac:dyDescent="0.25">
      <c r="A1950">
        <v>424799828</v>
      </c>
      <c r="B1950" t="s">
        <v>1189</v>
      </c>
      <c r="E1950" t="str">
        <f>IF(OR(E1949="&lt;/routeDistribution&gt;",E1949=""),"",IFERROR(_xlfn.CONCAT(VLOOKUP(DD58,Route_Column!#REF!,2,FALSE),CHAR(34)," probability=",CHAR(34),1/DD$4,CHAR(34),CHAR(47),CHAR(62)),"&lt;/routeDistribution&gt;"))</f>
        <v/>
      </c>
    </row>
    <row r="1951" spans="1:5" x14ac:dyDescent="0.25">
      <c r="A1951">
        <v>424799828</v>
      </c>
      <c r="B1951" t="s">
        <v>1195</v>
      </c>
      <c r="E1951" t="str">
        <f>IF(OR(E1950="&lt;/routeDistribution&gt;",E1950=""),"",IFERROR(_xlfn.CONCAT(VLOOKUP(DD59,Route_Column!#REF!,2,FALSE),CHAR(34)," probability=",CHAR(34),1/DD$4,CHAR(34),CHAR(47),CHAR(62)),"&lt;/routeDistribution&gt;"))</f>
        <v/>
      </c>
    </row>
    <row r="1952" spans="1:5" x14ac:dyDescent="0.25">
      <c r="A1952">
        <v>424799828</v>
      </c>
      <c r="B1952" t="s">
        <v>1196</v>
      </c>
      <c r="E1952" t="str">
        <f>IF(OR(E1951="&lt;/routeDistribution&gt;",E1951=""),"",IFERROR(_xlfn.CONCAT(VLOOKUP(DD60,Route_Column!#REF!,2,FALSE),CHAR(34)," probability=",CHAR(34),1/DD$4,CHAR(34),CHAR(47),CHAR(62)),"&lt;/routeDistribution&gt;"))</f>
        <v/>
      </c>
    </row>
    <row r="1953" spans="1:5" x14ac:dyDescent="0.25">
      <c r="A1953">
        <v>424801340</v>
      </c>
      <c r="B1953" t="s">
        <v>1112</v>
      </c>
      <c r="E1953" t="str">
        <f>IF(OR(E1952="&lt;/routeDistribution&gt;",E1952=""),"",IFERROR(_xlfn.CONCAT(VLOOKUP(DD61,Route_Column!#REF!,2,FALSE),CHAR(34)," probability=",CHAR(34),1/DD$4,CHAR(34),CHAR(47),CHAR(62)),"&lt;/routeDistribution&gt;"))</f>
        <v/>
      </c>
    </row>
    <row r="1954" spans="1:5" x14ac:dyDescent="0.25">
      <c r="A1954">
        <v>424801340</v>
      </c>
      <c r="B1954" t="s">
        <v>1113</v>
      </c>
      <c r="E1954" t="str">
        <f>IF(OR(E1953="&lt;/routeDistribution&gt;",E1953=""),"",IFERROR(_xlfn.CONCAT(VLOOKUP(DD62,Route_Column!#REF!,2,FALSE),CHAR(34)," probability=",CHAR(34),1/DD$4,CHAR(34),CHAR(47),CHAR(62)),"&lt;/routeDistribution&gt;"))</f>
        <v/>
      </c>
    </row>
    <row r="1955" spans="1:5" x14ac:dyDescent="0.25">
      <c r="A1955">
        <v>424801340</v>
      </c>
      <c r="B1955" t="s">
        <v>1114</v>
      </c>
      <c r="E1955" t="str">
        <f>IF(OR(E1954="&lt;/routeDistribution&gt;",E1954=""),"",IFERROR(_xlfn.CONCAT(VLOOKUP(DD63,Route_Column!#REF!,2,FALSE),CHAR(34)," probability=",CHAR(34),1/DD$4,CHAR(34),CHAR(47),CHAR(62)),"&lt;/routeDistribution&gt;"))</f>
        <v/>
      </c>
    </row>
    <row r="1956" spans="1:5" x14ac:dyDescent="0.25">
      <c r="A1956">
        <v>424801340</v>
      </c>
      <c r="B1956" t="s">
        <v>1114</v>
      </c>
      <c r="E1956" t="s">
        <v>2686</v>
      </c>
    </row>
    <row r="1957" spans="1:5" x14ac:dyDescent="0.25">
      <c r="A1957">
        <v>424801340</v>
      </c>
      <c r="B1957" t="s">
        <v>1115</v>
      </c>
    </row>
    <row r="1958" spans="1:5" x14ac:dyDescent="0.25">
      <c r="A1958">
        <v>424801340</v>
      </c>
      <c r="B1958" t="s">
        <v>1166</v>
      </c>
    </row>
    <row r="1959" spans="1:5" x14ac:dyDescent="0.25">
      <c r="A1959">
        <v>424801340</v>
      </c>
      <c r="B1959" t="s">
        <v>1167</v>
      </c>
      <c r="E1959" t="str">
        <f>_xlfn.CONCAT($E$1,DC$2,$F$1)</f>
        <v>&lt;routeDistribution id="3400-3300-Market-EB-probe"&gt;</v>
      </c>
    </row>
    <row r="1960" spans="1:5" x14ac:dyDescent="0.25">
      <c r="A1960">
        <v>424801340</v>
      </c>
      <c r="B1960" t="s">
        <v>1168</v>
      </c>
      <c r="E1960" t="str">
        <f>IF(OR(E1959="&lt;/routeDistribution&gt;",E1959=""),"",IFERROR(_xlfn.CONCAT(VLOOKUP(DC5,Route_Column!#REF!,2,FALSE),CHAR(34)," probability=",CHAR(34),1/DC$4,CHAR(34),CHAR(47),CHAR(62)),"&lt;/routeDistribution&gt;"))</f>
        <v>&lt;/routeDistribution&gt;</v>
      </c>
    </row>
    <row r="1961" spans="1:5" x14ac:dyDescent="0.25">
      <c r="A1961">
        <v>424801340</v>
      </c>
      <c r="B1961" t="s">
        <v>1186</v>
      </c>
      <c r="E1961" t="str">
        <f>IF(OR(E1960="&lt;/routeDistribution&gt;",E1960=""),"",IFERROR(_xlfn.CONCAT(VLOOKUP(DC6,Route_Column!#REF!,2,FALSE),CHAR(34)," probability=",CHAR(34),1/DC$4,CHAR(34),CHAR(47),CHAR(62)),"&lt;/routeDistribution&gt;"))</f>
        <v/>
      </c>
    </row>
    <row r="1962" spans="1:5" x14ac:dyDescent="0.25">
      <c r="A1962">
        <v>424801340</v>
      </c>
      <c r="B1962" t="s">
        <v>1187</v>
      </c>
      <c r="E1962" t="str">
        <f>IF(OR(E1961="&lt;/routeDistribution&gt;",E1961=""),"",IFERROR(_xlfn.CONCAT(VLOOKUP(DC7,Route_Column!#REF!,2,FALSE),CHAR(34)," probability=",CHAR(34),1/DC$4,CHAR(34),CHAR(47),CHAR(62)),"&lt;/routeDistribution&gt;"))</f>
        <v/>
      </c>
    </row>
    <row r="1963" spans="1:5" x14ac:dyDescent="0.25">
      <c r="A1963">
        <v>424801340</v>
      </c>
      <c r="B1963" t="s">
        <v>1188</v>
      </c>
      <c r="E1963" t="str">
        <f>IF(OR(E1962="&lt;/routeDistribution&gt;",E1962=""),"",IFERROR(_xlfn.CONCAT(VLOOKUP(DC8,Route_Column!#REF!,2,FALSE),CHAR(34)," probability=",CHAR(34),1/DC$4,CHAR(34),CHAR(47),CHAR(62)),"&lt;/routeDistribution&gt;"))</f>
        <v/>
      </c>
    </row>
    <row r="1964" spans="1:5" x14ac:dyDescent="0.25">
      <c r="A1964">
        <v>424801340</v>
      </c>
      <c r="B1964" t="s">
        <v>1189</v>
      </c>
      <c r="E1964" t="str">
        <f>IF(OR(E1963="&lt;/routeDistribution&gt;",E1963=""),"",IFERROR(_xlfn.CONCAT(VLOOKUP(DC9,Route_Column!#REF!,2,FALSE),CHAR(34)," probability=",CHAR(34),1/DC$4,CHAR(34),CHAR(47),CHAR(62)),"&lt;/routeDistribution&gt;"))</f>
        <v/>
      </c>
    </row>
    <row r="1965" spans="1:5" x14ac:dyDescent="0.25">
      <c r="A1965">
        <v>424801340</v>
      </c>
      <c r="B1965" t="s">
        <v>1195</v>
      </c>
      <c r="E1965" t="str">
        <f>IF(OR(E1964="&lt;/routeDistribution&gt;",E1964=""),"",IFERROR(_xlfn.CONCAT(VLOOKUP(DC10,Route_Column!#REF!,2,FALSE),CHAR(34)," probability=",CHAR(34),1/DC$4,CHAR(34),CHAR(47),CHAR(62)),"&lt;/routeDistribution&gt;"))</f>
        <v/>
      </c>
    </row>
    <row r="1966" spans="1:5" x14ac:dyDescent="0.25">
      <c r="A1966">
        <v>424801340</v>
      </c>
      <c r="B1966" t="s">
        <v>1196</v>
      </c>
      <c r="E1966" t="str">
        <f>IF(OR(E1965="&lt;/routeDistribution&gt;",E1965=""),"",IFERROR(_xlfn.CONCAT(VLOOKUP(DC11,Route_Column!#REF!,2,FALSE),CHAR(34)," probability=",CHAR(34),1/DC$4,CHAR(34),CHAR(47),CHAR(62)),"&lt;/routeDistribution&gt;"))</f>
        <v/>
      </c>
    </row>
    <row r="1967" spans="1:5" x14ac:dyDescent="0.25">
      <c r="A1967">
        <v>424801341</v>
      </c>
      <c r="B1967" t="s">
        <v>1113</v>
      </c>
      <c r="E1967" t="str">
        <f>IF(OR(E1966="&lt;/routeDistribution&gt;",E1966=""),"",IFERROR(_xlfn.CONCAT(VLOOKUP(DC12,Route_Column!#REF!,2,FALSE),CHAR(34)," probability=",CHAR(34),1/DC$4,CHAR(34),CHAR(47),CHAR(62)),"&lt;/routeDistribution&gt;"))</f>
        <v/>
      </c>
    </row>
    <row r="1968" spans="1:5" x14ac:dyDescent="0.25">
      <c r="A1968">
        <v>424801341</v>
      </c>
      <c r="B1968" t="s">
        <v>1114</v>
      </c>
      <c r="E1968" t="str">
        <f>IF(OR(E1967="&lt;/routeDistribution&gt;",E1967=""),"",IFERROR(_xlfn.CONCAT(VLOOKUP(DC13,Route_Column!#REF!,2,FALSE),CHAR(34)," probability=",CHAR(34),1/DC$4,CHAR(34),CHAR(47),CHAR(62)),"&lt;/routeDistribution&gt;"))</f>
        <v/>
      </c>
    </row>
    <row r="1969" spans="1:5" x14ac:dyDescent="0.25">
      <c r="A1969">
        <v>424801341</v>
      </c>
      <c r="B1969" t="s">
        <v>1115</v>
      </c>
      <c r="E1969" t="str">
        <f>IF(OR(E1968="&lt;/routeDistribution&gt;",E1968=""),"",IFERROR(_xlfn.CONCAT(VLOOKUP(DC14,Route_Column!#REF!,2,FALSE),CHAR(34)," probability=",CHAR(34),1/DC$4,CHAR(34),CHAR(47),CHAR(62)),"&lt;/routeDistribution&gt;"))</f>
        <v/>
      </c>
    </row>
    <row r="1970" spans="1:5" x14ac:dyDescent="0.25">
      <c r="A1970">
        <v>424801341</v>
      </c>
      <c r="B1970" t="s">
        <v>1133</v>
      </c>
      <c r="E1970" t="str">
        <f>IF(OR(E1969="&lt;/routeDistribution&gt;",E1969=""),"",IFERROR(_xlfn.CONCAT(VLOOKUP(DC15,Route_Column!#REF!,2,FALSE),CHAR(34)," probability=",CHAR(34),1/DC$4,CHAR(34),CHAR(47),CHAR(62)),"&lt;/routeDistribution&gt;"))</f>
        <v/>
      </c>
    </row>
    <row r="1971" spans="1:5" x14ac:dyDescent="0.25">
      <c r="A1971">
        <v>424801341</v>
      </c>
      <c r="B1971" t="s">
        <v>1166</v>
      </c>
      <c r="E1971" t="str">
        <f>IF(OR(E1970="&lt;/routeDistribution&gt;",E1970=""),"",IFERROR(_xlfn.CONCAT(VLOOKUP(DC16,Route_Column!#REF!,2,FALSE),CHAR(34)," probability=",CHAR(34),1/DC$4,CHAR(34),CHAR(47),CHAR(62)),"&lt;/routeDistribution&gt;"))</f>
        <v/>
      </c>
    </row>
    <row r="1972" spans="1:5" x14ac:dyDescent="0.25">
      <c r="A1972">
        <v>424801341</v>
      </c>
      <c r="B1972" t="s">
        <v>1167</v>
      </c>
      <c r="E1972" t="str">
        <f>IF(OR(E1971="&lt;/routeDistribution&gt;",E1971=""),"",IFERROR(_xlfn.CONCAT(VLOOKUP(DC17,Route_Column!#REF!,2,FALSE),CHAR(34)," probability=",CHAR(34),1/DC$4,CHAR(34),CHAR(47),CHAR(62)),"&lt;/routeDistribution&gt;"))</f>
        <v/>
      </c>
    </row>
    <row r="1973" spans="1:5" x14ac:dyDescent="0.25">
      <c r="A1973">
        <v>424801341</v>
      </c>
      <c r="B1973" t="s">
        <v>1168</v>
      </c>
      <c r="E1973" t="str">
        <f>IF(OR(E1972="&lt;/routeDistribution&gt;",E1972=""),"",IFERROR(_xlfn.CONCAT(VLOOKUP(DC18,Route_Column!#REF!,2,FALSE),CHAR(34)," probability=",CHAR(34),1/DC$4,CHAR(34),CHAR(47),CHAR(62)),"&lt;/routeDistribution&gt;"))</f>
        <v/>
      </c>
    </row>
    <row r="1974" spans="1:5" x14ac:dyDescent="0.25">
      <c r="A1974">
        <v>424801341</v>
      </c>
      <c r="B1974" t="s">
        <v>1186</v>
      </c>
      <c r="E1974" t="str">
        <f>IF(OR(E1973="&lt;/routeDistribution&gt;",E1973=""),"",IFERROR(_xlfn.CONCAT(VLOOKUP(DC19,Route_Column!#REF!,2,FALSE),CHAR(34)," probability=",CHAR(34),1/DC$4,CHAR(34),CHAR(47),CHAR(62)),"&lt;/routeDistribution&gt;"))</f>
        <v/>
      </c>
    </row>
    <row r="1975" spans="1:5" x14ac:dyDescent="0.25">
      <c r="A1975">
        <v>424801341</v>
      </c>
      <c r="B1975" t="s">
        <v>1187</v>
      </c>
      <c r="E1975" t="str">
        <f>IF(OR(E1974="&lt;/routeDistribution&gt;",E1974=""),"",IFERROR(_xlfn.CONCAT(VLOOKUP(DC20,Route_Column!#REF!,2,FALSE),CHAR(34)," probability=",CHAR(34),1/DC$4,CHAR(34),CHAR(47),CHAR(62)),"&lt;/routeDistribution&gt;"))</f>
        <v/>
      </c>
    </row>
    <row r="1976" spans="1:5" x14ac:dyDescent="0.25">
      <c r="A1976">
        <v>424801341</v>
      </c>
      <c r="B1976" t="s">
        <v>1188</v>
      </c>
      <c r="E1976" t="str">
        <f>IF(OR(E1975="&lt;/routeDistribution&gt;",E1975=""),"",IFERROR(_xlfn.CONCAT(VLOOKUP(DC21,Route_Column!#REF!,2,FALSE),CHAR(34)," probability=",CHAR(34),1/DC$4,CHAR(34),CHAR(47),CHAR(62)),"&lt;/routeDistribution&gt;"))</f>
        <v/>
      </c>
    </row>
    <row r="1977" spans="1:5" x14ac:dyDescent="0.25">
      <c r="A1977">
        <v>424801341</v>
      </c>
      <c r="B1977" t="s">
        <v>1189</v>
      </c>
      <c r="E1977" t="str">
        <f>IF(OR(E1976="&lt;/routeDistribution&gt;",E1976=""),"",IFERROR(_xlfn.CONCAT(VLOOKUP(DC22,Route_Column!#REF!,2,FALSE),CHAR(34)," probability=",CHAR(34),1/DC$4,CHAR(34),CHAR(47),CHAR(62)),"&lt;/routeDistribution&gt;"))</f>
        <v/>
      </c>
    </row>
    <row r="1978" spans="1:5" x14ac:dyDescent="0.25">
      <c r="A1978">
        <v>424801341</v>
      </c>
      <c r="B1978" t="s">
        <v>1195</v>
      </c>
      <c r="E1978" t="str">
        <f>IF(OR(E1977="&lt;/routeDistribution&gt;",E1977=""),"",IFERROR(_xlfn.CONCAT(VLOOKUP(DC23,Route_Column!#REF!,2,FALSE),CHAR(34)," probability=",CHAR(34),1/DC$4,CHAR(34),CHAR(47),CHAR(62)),"&lt;/routeDistribution&gt;"))</f>
        <v/>
      </c>
    </row>
    <row r="1979" spans="1:5" x14ac:dyDescent="0.25">
      <c r="A1979">
        <v>424801341</v>
      </c>
      <c r="B1979" t="s">
        <v>1196</v>
      </c>
      <c r="E1979" t="str">
        <f>IF(OR(E1978="&lt;/routeDistribution&gt;",E1978=""),"",IFERROR(_xlfn.CONCAT(VLOOKUP(DC24,Route_Column!#REF!,2,FALSE),CHAR(34)," probability=",CHAR(34),1/DC$4,CHAR(34),CHAR(47),CHAR(62)),"&lt;/routeDistribution&gt;"))</f>
        <v/>
      </c>
    </row>
    <row r="1980" spans="1:5" x14ac:dyDescent="0.25">
      <c r="A1980">
        <v>424801342</v>
      </c>
      <c r="B1980" t="s">
        <v>1112</v>
      </c>
      <c r="E1980" t="str">
        <f>IF(OR(E1979="&lt;/routeDistribution&gt;",E1979=""),"",IFERROR(_xlfn.CONCAT(VLOOKUP(DC25,Route_Column!#REF!,2,FALSE),CHAR(34)," probability=",CHAR(34),1/DC$4,CHAR(34),CHAR(47),CHAR(62)),"&lt;/routeDistribution&gt;"))</f>
        <v/>
      </c>
    </row>
    <row r="1981" spans="1:5" x14ac:dyDescent="0.25">
      <c r="A1981">
        <v>424801342</v>
      </c>
      <c r="B1981" t="s">
        <v>1113</v>
      </c>
      <c r="E1981" t="str">
        <f>IF(OR(E1980="&lt;/routeDistribution&gt;",E1980=""),"",IFERROR(_xlfn.CONCAT(VLOOKUP(DC26,Route_Column!#REF!,2,FALSE),CHAR(34)," probability=",CHAR(34),1/DC$4,CHAR(34),CHAR(47),CHAR(62)),"&lt;/routeDistribution&gt;"))</f>
        <v/>
      </c>
    </row>
    <row r="1982" spans="1:5" x14ac:dyDescent="0.25">
      <c r="A1982">
        <v>424801342</v>
      </c>
      <c r="B1982" t="s">
        <v>1114</v>
      </c>
      <c r="E1982" t="str">
        <f>IF(OR(E1981="&lt;/routeDistribution&gt;",E1981=""),"",IFERROR(_xlfn.CONCAT(VLOOKUP(DC27,Route_Column!#REF!,2,FALSE),CHAR(34)," probability=",CHAR(34),1/DC$4,CHAR(34),CHAR(47),CHAR(62)),"&lt;/routeDistribution&gt;"))</f>
        <v/>
      </c>
    </row>
    <row r="1983" spans="1:5" x14ac:dyDescent="0.25">
      <c r="A1983">
        <v>424801342</v>
      </c>
      <c r="B1983" t="s">
        <v>1114</v>
      </c>
      <c r="E1983" t="str">
        <f>IF(OR(E1982="&lt;/routeDistribution&gt;",E1982=""),"",IFERROR(_xlfn.CONCAT(VLOOKUP(DC28,Route_Column!#REF!,2,FALSE),CHAR(34)," probability=",CHAR(34),1/DC$4,CHAR(34),CHAR(47),CHAR(62)),"&lt;/routeDistribution&gt;"))</f>
        <v/>
      </c>
    </row>
    <row r="1984" spans="1:5" x14ac:dyDescent="0.25">
      <c r="A1984">
        <v>424801342</v>
      </c>
      <c r="B1984" t="s">
        <v>1115</v>
      </c>
      <c r="E1984" t="str">
        <f>IF(OR(E1983="&lt;/routeDistribution&gt;",E1983=""),"",IFERROR(_xlfn.CONCAT(VLOOKUP(DC29,Route_Column!#REF!,2,FALSE),CHAR(34)," probability=",CHAR(34),1/DC$4,CHAR(34),CHAR(47),CHAR(62)),"&lt;/routeDistribution&gt;"))</f>
        <v/>
      </c>
    </row>
    <row r="1985" spans="1:5" x14ac:dyDescent="0.25">
      <c r="A1985">
        <v>424801342</v>
      </c>
      <c r="B1985" t="s">
        <v>1166</v>
      </c>
      <c r="E1985" t="str">
        <f>IF(OR(E1984="&lt;/routeDistribution&gt;",E1984=""),"",IFERROR(_xlfn.CONCAT(VLOOKUP(DC30,Route_Column!#REF!,2,FALSE),CHAR(34)," probability=",CHAR(34),1/DC$4,CHAR(34),CHAR(47),CHAR(62)),"&lt;/routeDistribution&gt;"))</f>
        <v/>
      </c>
    </row>
    <row r="1986" spans="1:5" x14ac:dyDescent="0.25">
      <c r="A1986">
        <v>424801342</v>
      </c>
      <c r="B1986" t="s">
        <v>1167</v>
      </c>
      <c r="E1986" t="str">
        <f>IF(OR(E1985="&lt;/routeDistribution&gt;",E1985=""),"",IFERROR(_xlfn.CONCAT(VLOOKUP(DC31,Route_Column!#REF!,2,FALSE),CHAR(34)," probability=",CHAR(34),1/DC$4,CHAR(34),CHAR(47),CHAR(62)),"&lt;/routeDistribution&gt;"))</f>
        <v/>
      </c>
    </row>
    <row r="1987" spans="1:5" x14ac:dyDescent="0.25">
      <c r="A1987">
        <v>424801342</v>
      </c>
      <c r="B1987" t="s">
        <v>1168</v>
      </c>
      <c r="E1987" t="str">
        <f>IF(OR(E1986="&lt;/routeDistribution&gt;",E1986=""),"",IFERROR(_xlfn.CONCAT(VLOOKUP(DC32,Route_Column!#REF!,2,FALSE),CHAR(34)," probability=",CHAR(34),1/DC$4,CHAR(34),CHAR(47),CHAR(62)),"&lt;/routeDistribution&gt;"))</f>
        <v/>
      </c>
    </row>
    <row r="1988" spans="1:5" x14ac:dyDescent="0.25">
      <c r="A1988">
        <v>424801342</v>
      </c>
      <c r="B1988" t="s">
        <v>1186</v>
      </c>
      <c r="E1988" t="str">
        <f>IF(OR(E1987="&lt;/routeDistribution&gt;",E1987=""),"",IFERROR(_xlfn.CONCAT(VLOOKUP(DC33,Route_Column!#REF!,2,FALSE),CHAR(34)," probability=",CHAR(34),1/DC$4,CHAR(34),CHAR(47),CHAR(62)),"&lt;/routeDistribution&gt;"))</f>
        <v/>
      </c>
    </row>
    <row r="1989" spans="1:5" x14ac:dyDescent="0.25">
      <c r="A1989">
        <v>424801342</v>
      </c>
      <c r="B1989" t="s">
        <v>1187</v>
      </c>
      <c r="E1989" t="str">
        <f>IF(OR(E1988="&lt;/routeDistribution&gt;",E1988=""),"",IFERROR(_xlfn.CONCAT(VLOOKUP(DC34,Route_Column!#REF!,2,FALSE),CHAR(34)," probability=",CHAR(34),1/DC$4,CHAR(34),CHAR(47),CHAR(62)),"&lt;/routeDistribution&gt;"))</f>
        <v/>
      </c>
    </row>
    <row r="1990" spans="1:5" x14ac:dyDescent="0.25">
      <c r="A1990">
        <v>424801342</v>
      </c>
      <c r="B1990" t="s">
        <v>1188</v>
      </c>
      <c r="E1990" t="str">
        <f>IF(OR(E1989="&lt;/routeDistribution&gt;",E1989=""),"",IFERROR(_xlfn.CONCAT(VLOOKUP(DC35,Route_Column!#REF!,2,FALSE),CHAR(34)," probability=",CHAR(34),1/DC$4,CHAR(34),CHAR(47),CHAR(62)),"&lt;/routeDistribution&gt;"))</f>
        <v/>
      </c>
    </row>
    <row r="1991" spans="1:5" x14ac:dyDescent="0.25">
      <c r="A1991">
        <v>424801342</v>
      </c>
      <c r="B1991" t="s">
        <v>1189</v>
      </c>
      <c r="E1991" t="str">
        <f>IF(OR(E1990="&lt;/routeDistribution&gt;",E1990=""),"",IFERROR(_xlfn.CONCAT(VLOOKUP(DC36,Route_Column!#REF!,2,FALSE),CHAR(34)," probability=",CHAR(34),1/DC$4,CHAR(34),CHAR(47),CHAR(62)),"&lt;/routeDistribution&gt;"))</f>
        <v/>
      </c>
    </row>
    <row r="1992" spans="1:5" x14ac:dyDescent="0.25">
      <c r="A1992">
        <v>424801342</v>
      </c>
      <c r="B1992" t="s">
        <v>1195</v>
      </c>
      <c r="E1992" t="str">
        <f>IF(OR(E1991="&lt;/routeDistribution&gt;",E1991=""),"",IFERROR(_xlfn.CONCAT(VLOOKUP(DC37,Route_Column!#REF!,2,FALSE),CHAR(34)," probability=",CHAR(34),1/DC$4,CHAR(34),CHAR(47),CHAR(62)),"&lt;/routeDistribution&gt;"))</f>
        <v/>
      </c>
    </row>
    <row r="1993" spans="1:5" x14ac:dyDescent="0.25">
      <c r="A1993">
        <v>424801342</v>
      </c>
      <c r="B1993" t="s">
        <v>1196</v>
      </c>
      <c r="E1993" t="str">
        <f>IF(OR(E1992="&lt;/routeDistribution&gt;",E1992=""),"",IFERROR(_xlfn.CONCAT(VLOOKUP(DC38,Route_Column!#REF!,2,FALSE),CHAR(34)," probability=",CHAR(34),1/DC$4,CHAR(34),CHAR(47),CHAR(62)),"&lt;/routeDistribution&gt;"))</f>
        <v/>
      </c>
    </row>
    <row r="1994" spans="1:5" x14ac:dyDescent="0.25">
      <c r="A1994">
        <v>424987520</v>
      </c>
      <c r="B1994" t="s">
        <v>1113</v>
      </c>
      <c r="E1994" t="str">
        <f>IF(OR(E1993="&lt;/routeDistribution&gt;",E1993=""),"",IFERROR(_xlfn.CONCAT(VLOOKUP(DC39,Route_Column!#REF!,2,FALSE),CHAR(34)," probability=",CHAR(34),1/DC$4,CHAR(34),CHAR(47),CHAR(62)),"&lt;/routeDistribution&gt;"))</f>
        <v/>
      </c>
    </row>
    <row r="1995" spans="1:5" x14ac:dyDescent="0.25">
      <c r="A1995">
        <v>424987520</v>
      </c>
      <c r="B1995" t="s">
        <v>1114</v>
      </c>
      <c r="E1995" t="str">
        <f>IF(OR(E1994="&lt;/routeDistribution&gt;",E1994=""),"",IFERROR(_xlfn.CONCAT(VLOOKUP(DC40,Route_Column!#REF!,2,FALSE),CHAR(34)," probability=",CHAR(34),1/DC$4,CHAR(34),CHAR(47),CHAR(62)),"&lt;/routeDistribution&gt;"))</f>
        <v/>
      </c>
    </row>
    <row r="1996" spans="1:5" x14ac:dyDescent="0.25">
      <c r="A1996">
        <v>424987520</v>
      </c>
      <c r="B1996" t="s">
        <v>1133</v>
      </c>
      <c r="E1996" t="str">
        <f>IF(OR(E1995="&lt;/routeDistribution&gt;",E1995=""),"",IFERROR(_xlfn.CONCAT(VLOOKUP(DC41,Route_Column!#REF!,2,FALSE),CHAR(34)," probability=",CHAR(34),1/DC$4,CHAR(34),CHAR(47),CHAR(62)),"&lt;/routeDistribution&gt;"))</f>
        <v/>
      </c>
    </row>
    <row r="1997" spans="1:5" x14ac:dyDescent="0.25">
      <c r="A1997">
        <v>450827382</v>
      </c>
      <c r="B1997" t="s">
        <v>1189</v>
      </c>
      <c r="E1997" t="str">
        <f>IF(OR(E1996="&lt;/routeDistribution&gt;",E1996=""),"",IFERROR(_xlfn.CONCAT(VLOOKUP(DC42,Route_Column!#REF!,2,FALSE),CHAR(34)," probability=",CHAR(34),1/DC$4,CHAR(34),CHAR(47),CHAR(62)),"&lt;/routeDistribution&gt;"))</f>
        <v/>
      </c>
    </row>
    <row r="1998" spans="1:5" x14ac:dyDescent="0.25">
      <c r="A1998">
        <v>450844975</v>
      </c>
      <c r="B1998" t="s">
        <v>1112</v>
      </c>
      <c r="E1998" t="str">
        <f>IF(OR(E1997="&lt;/routeDistribution&gt;",E1997=""),"",IFERROR(_xlfn.CONCAT(VLOOKUP(DC43,Route_Column!#REF!,2,FALSE),CHAR(34)," probability=",CHAR(34),1/DC$4,CHAR(34),CHAR(47),CHAR(62)),"&lt;/routeDistribution&gt;"))</f>
        <v/>
      </c>
    </row>
    <row r="1999" spans="1:5" x14ac:dyDescent="0.25">
      <c r="A1999">
        <v>450844975</v>
      </c>
      <c r="B1999" t="s">
        <v>1130</v>
      </c>
      <c r="E1999" t="str">
        <f>IF(OR(E1998="&lt;/routeDistribution&gt;",E1998=""),"",IFERROR(_xlfn.CONCAT(VLOOKUP(DC44,Route_Column!#REF!,2,FALSE),CHAR(34)," probability=",CHAR(34),1/DC$4,CHAR(34),CHAR(47),CHAR(62)),"&lt;/routeDistribution&gt;"))</f>
        <v/>
      </c>
    </row>
    <row r="2000" spans="1:5" x14ac:dyDescent="0.25">
      <c r="A2000">
        <v>450844975</v>
      </c>
      <c r="B2000" t="s">
        <v>1131</v>
      </c>
      <c r="E2000" t="str">
        <f>IF(OR(E1999="&lt;/routeDistribution&gt;",E1999=""),"",IFERROR(_xlfn.CONCAT(VLOOKUP(DC45,Route_Column!#REF!,2,FALSE),CHAR(34)," probability=",CHAR(34),1/DC$4,CHAR(34),CHAR(47),CHAR(62)),"&lt;/routeDistribution&gt;"))</f>
        <v/>
      </c>
    </row>
    <row r="2001" spans="1:5" x14ac:dyDescent="0.25">
      <c r="A2001">
        <v>450844975</v>
      </c>
      <c r="B2001" t="s">
        <v>1132</v>
      </c>
      <c r="E2001" t="str">
        <f>IF(OR(E2000="&lt;/routeDistribution&gt;",E2000=""),"",IFERROR(_xlfn.CONCAT(VLOOKUP(DC46,Route_Column!#REF!,2,FALSE),CHAR(34)," probability=",CHAR(34),1/DC$4,CHAR(34),CHAR(47),CHAR(62)),"&lt;/routeDistribution&gt;"))</f>
        <v/>
      </c>
    </row>
    <row r="2002" spans="1:5" x14ac:dyDescent="0.25">
      <c r="A2002">
        <v>450844975</v>
      </c>
      <c r="B2002" t="s">
        <v>1133</v>
      </c>
      <c r="E2002" t="str">
        <f>IF(OR(E2001="&lt;/routeDistribution&gt;",E2001=""),"",IFERROR(_xlfn.CONCAT(VLOOKUP(DC47,Route_Column!#REF!,2,FALSE),CHAR(34)," probability=",CHAR(34),1/DC$4,CHAR(34),CHAR(47),CHAR(62)),"&lt;/routeDistribution&gt;"))</f>
        <v/>
      </c>
    </row>
    <row r="2003" spans="1:5" x14ac:dyDescent="0.25">
      <c r="A2003">
        <v>450844975</v>
      </c>
      <c r="B2003" t="s">
        <v>1157</v>
      </c>
      <c r="E2003" t="str">
        <f>IF(OR(E2002="&lt;/routeDistribution&gt;",E2002=""),"",IFERROR(_xlfn.CONCAT(VLOOKUP(DC48,Route_Column!#REF!,2,FALSE),CHAR(34)," probability=",CHAR(34),1/DC$4,CHAR(34),CHAR(47),CHAR(62)),"&lt;/routeDistribution&gt;"))</f>
        <v/>
      </c>
    </row>
    <row r="2004" spans="1:5" x14ac:dyDescent="0.25">
      <c r="A2004">
        <v>450844975</v>
      </c>
      <c r="B2004" t="s">
        <v>1158</v>
      </c>
      <c r="E2004" t="str">
        <f>IF(OR(E2003="&lt;/routeDistribution&gt;",E2003=""),"",IFERROR(_xlfn.CONCAT(VLOOKUP(DC49,Route_Column!#REF!,2,FALSE),CHAR(34)," probability=",CHAR(34),1/DC$4,CHAR(34),CHAR(47),CHAR(62)),"&lt;/routeDistribution&gt;"))</f>
        <v/>
      </c>
    </row>
    <row r="2005" spans="1:5" x14ac:dyDescent="0.25">
      <c r="A2005">
        <v>450844975</v>
      </c>
      <c r="B2005" t="s">
        <v>1159</v>
      </c>
      <c r="E2005" t="str">
        <f>IF(OR(E2004="&lt;/routeDistribution&gt;",E2004=""),"",IFERROR(_xlfn.CONCAT(VLOOKUP(DC50,Route_Column!#REF!,2,FALSE),CHAR(34)," probability=",CHAR(34),1/DC$4,CHAR(34),CHAR(47),CHAR(62)),"&lt;/routeDistribution&gt;"))</f>
        <v/>
      </c>
    </row>
    <row r="2006" spans="1:5" x14ac:dyDescent="0.25">
      <c r="A2006">
        <v>484842173</v>
      </c>
      <c r="B2006" t="s">
        <v>1187</v>
      </c>
      <c r="E2006" t="str">
        <f>IF(OR(E2005="&lt;/routeDistribution&gt;",E2005=""),"",IFERROR(_xlfn.CONCAT(VLOOKUP(DC51,Route_Column!#REF!,2,FALSE),CHAR(34)," probability=",CHAR(34),1/DC$4,CHAR(34),CHAR(47),CHAR(62)),"&lt;/routeDistribution&gt;"))</f>
        <v/>
      </c>
    </row>
    <row r="2007" spans="1:5" x14ac:dyDescent="0.25">
      <c r="A2007">
        <v>484842173</v>
      </c>
      <c r="B2007" t="s">
        <v>1188</v>
      </c>
      <c r="E2007" t="str">
        <f>IF(OR(E2006="&lt;/routeDistribution&gt;",E2006=""),"",IFERROR(_xlfn.CONCAT(VLOOKUP(DC52,Route_Column!#REF!,2,FALSE),CHAR(34)," probability=",CHAR(34),1/DC$4,CHAR(34),CHAR(47),CHAR(62)),"&lt;/routeDistribution&gt;"))</f>
        <v/>
      </c>
    </row>
    <row r="2008" spans="1:5" x14ac:dyDescent="0.25">
      <c r="A2008">
        <v>484842173</v>
      </c>
      <c r="B2008" t="s">
        <v>1195</v>
      </c>
      <c r="E2008" t="str">
        <f>IF(OR(E2007="&lt;/routeDistribution&gt;",E2007=""),"",IFERROR(_xlfn.CONCAT(VLOOKUP(DC53,Route_Column!#REF!,2,FALSE),CHAR(34)," probability=",CHAR(34),1/DC$4,CHAR(34),CHAR(47),CHAR(62)),"&lt;/routeDistribution&gt;"))</f>
        <v/>
      </c>
    </row>
    <row r="2009" spans="1:5" x14ac:dyDescent="0.25">
      <c r="A2009">
        <v>484842173</v>
      </c>
      <c r="B2009" t="s">
        <v>1196</v>
      </c>
      <c r="E2009" t="str">
        <f>IF(OR(E2008="&lt;/routeDistribution&gt;",E2008=""),"",IFERROR(_xlfn.CONCAT(VLOOKUP(DC54,Route_Column!#REF!,2,FALSE),CHAR(34)," probability=",CHAR(34),1/DC$4,CHAR(34),CHAR(47),CHAR(62)),"&lt;/routeDistribution&gt;"))</f>
        <v/>
      </c>
    </row>
    <row r="2010" spans="1:5" x14ac:dyDescent="0.25">
      <c r="A2010">
        <v>484953505</v>
      </c>
      <c r="B2010" t="s">
        <v>1132</v>
      </c>
      <c r="E2010" t="str">
        <f>IF(OR(E2009="&lt;/routeDistribution&gt;",E2009=""),"",IFERROR(_xlfn.CONCAT(VLOOKUP(DC55,Route_Column!#REF!,2,FALSE),CHAR(34)," probability=",CHAR(34),1/DC$4,CHAR(34),CHAR(47),CHAR(62)),"&lt;/routeDistribution&gt;"))</f>
        <v/>
      </c>
    </row>
    <row r="2011" spans="1:5" x14ac:dyDescent="0.25">
      <c r="A2011">
        <v>484953505</v>
      </c>
      <c r="B2011" t="s">
        <v>1137</v>
      </c>
      <c r="E2011" t="str">
        <f>IF(OR(E2010="&lt;/routeDistribution&gt;",E2010=""),"",IFERROR(_xlfn.CONCAT(VLOOKUP(DC56,Route_Column!#REF!,2,FALSE),CHAR(34)," probability=",CHAR(34),1/DC$4,CHAR(34),CHAR(47),CHAR(62)),"&lt;/routeDistribution&gt;"))</f>
        <v/>
      </c>
    </row>
    <row r="2012" spans="1:5" x14ac:dyDescent="0.25">
      <c r="A2012">
        <v>484953505</v>
      </c>
      <c r="B2012" t="s">
        <v>1171</v>
      </c>
      <c r="E2012" t="str">
        <f>IF(OR(E2011="&lt;/routeDistribution&gt;",E2011=""),"",IFERROR(_xlfn.CONCAT(VLOOKUP(DC57,Route_Column!#REF!,2,FALSE),CHAR(34)," probability=",CHAR(34),1/DC$4,CHAR(34),CHAR(47),CHAR(62)),"&lt;/routeDistribution&gt;"))</f>
        <v/>
      </c>
    </row>
    <row r="2013" spans="1:5" x14ac:dyDescent="0.25">
      <c r="A2013">
        <v>484953505</v>
      </c>
      <c r="B2013" t="s">
        <v>1182</v>
      </c>
      <c r="E2013" t="str">
        <f>IF(OR(E2012="&lt;/routeDistribution&gt;",E2012=""),"",IFERROR(_xlfn.CONCAT(VLOOKUP(DC58,Route_Column!#REF!,2,FALSE),CHAR(34)," probability=",CHAR(34),1/DC$4,CHAR(34),CHAR(47),CHAR(62)),"&lt;/routeDistribution&gt;"))</f>
        <v/>
      </c>
    </row>
    <row r="2014" spans="1:5" x14ac:dyDescent="0.25">
      <c r="A2014">
        <v>484953505</v>
      </c>
      <c r="B2014" t="s">
        <v>1183</v>
      </c>
      <c r="E2014" t="str">
        <f>IF(OR(E2013="&lt;/routeDistribution&gt;",E2013=""),"",IFERROR(_xlfn.CONCAT(VLOOKUP(DC59,Route_Column!#REF!,2,FALSE),CHAR(34)," probability=",CHAR(34),1/DC$4,CHAR(34),CHAR(47),CHAR(62)),"&lt;/routeDistribution&gt;"))</f>
        <v/>
      </c>
    </row>
    <row r="2015" spans="1:5" x14ac:dyDescent="0.25">
      <c r="A2015">
        <v>484953505</v>
      </c>
      <c r="B2015" t="s">
        <v>1184</v>
      </c>
      <c r="E2015" t="str">
        <f>IF(OR(E2014="&lt;/routeDistribution&gt;",E2014=""),"",IFERROR(_xlfn.CONCAT(VLOOKUP(DC60,Route_Column!#REF!,2,FALSE),CHAR(34)," probability=",CHAR(34),1/DC$4,CHAR(34),CHAR(47),CHAR(62)),"&lt;/routeDistribution&gt;"))</f>
        <v/>
      </c>
    </row>
    <row r="2016" spans="1:5" x14ac:dyDescent="0.25">
      <c r="A2016">
        <v>484953505</v>
      </c>
      <c r="B2016" t="s">
        <v>1185</v>
      </c>
      <c r="E2016" t="str">
        <f>IF(OR(E2015="&lt;/routeDistribution&gt;",E2015=""),"",IFERROR(_xlfn.CONCAT(VLOOKUP(DC61,Route_Column!#REF!,2,FALSE),CHAR(34)," probability=",CHAR(34),1/DC$4,CHAR(34),CHAR(47),CHAR(62)),"&lt;/routeDistribution&gt;"))</f>
        <v/>
      </c>
    </row>
    <row r="2017" spans="1:5" x14ac:dyDescent="0.25">
      <c r="A2017">
        <v>484953505</v>
      </c>
      <c r="B2017" t="s">
        <v>1197</v>
      </c>
      <c r="E2017" t="str">
        <f>IF(OR(E2016="&lt;/routeDistribution&gt;",E2016=""),"",IFERROR(_xlfn.CONCAT(VLOOKUP(DC62,Route_Column!#REF!,2,FALSE),CHAR(34)," probability=",CHAR(34),1/DC$4,CHAR(34),CHAR(47),CHAR(62)),"&lt;/routeDistribution&gt;"))</f>
        <v/>
      </c>
    </row>
    <row r="2018" spans="1:5" x14ac:dyDescent="0.25">
      <c r="A2018">
        <v>484953505</v>
      </c>
      <c r="B2018" t="s">
        <v>1225</v>
      </c>
      <c r="E2018" t="str">
        <f>IF(OR(E2017="&lt;/routeDistribution&gt;",E2017=""),"",IFERROR(_xlfn.CONCAT(VLOOKUP(DC63,Route_Column!#REF!,2,FALSE),CHAR(34)," probability=",CHAR(34),1/DC$4,CHAR(34),CHAR(47),CHAR(62)),"&lt;/routeDistribution&gt;"))</f>
        <v/>
      </c>
    </row>
    <row r="2019" spans="1:5" x14ac:dyDescent="0.25">
      <c r="A2019">
        <v>485017368</v>
      </c>
      <c r="B2019" t="s">
        <v>1235</v>
      </c>
      <c r="E2019" t="s">
        <v>2686</v>
      </c>
    </row>
    <row r="2020" spans="1:5" x14ac:dyDescent="0.25">
      <c r="A2020">
        <v>485017368</v>
      </c>
      <c r="B2020" t="s">
        <v>1236</v>
      </c>
    </row>
    <row r="2021" spans="1:5" x14ac:dyDescent="0.25">
      <c r="A2021">
        <v>485017368</v>
      </c>
      <c r="B2021" t="s">
        <v>1237</v>
      </c>
    </row>
    <row r="2022" spans="1:5" x14ac:dyDescent="0.25">
      <c r="A2022">
        <v>485017368</v>
      </c>
      <c r="B2022" t="s">
        <v>1238</v>
      </c>
      <c r="E2022" t="str">
        <f>_xlfn.CONCAT($E$1,DB$2,$F$1)</f>
        <v>&lt;routeDistribution id="3400-3300-Market-WB-probe"&gt;</v>
      </c>
    </row>
    <row r="2023" spans="1:5" x14ac:dyDescent="0.25">
      <c r="A2023">
        <v>485017368</v>
      </c>
      <c r="B2023" t="s">
        <v>1239</v>
      </c>
      <c r="E2023" t="str">
        <f>IF(OR(E2022="&lt;/routeDistribution&gt;",E2022=""),"",IFERROR(_xlfn.CONCAT(VLOOKUP(DB5,Route_Column!#REF!,2,FALSE),CHAR(34)," probability=",CHAR(34),1/DB$4,CHAR(34),CHAR(47),CHAR(62)),"&lt;/routeDistribution&gt;"))</f>
        <v>&lt;/routeDistribution&gt;</v>
      </c>
    </row>
    <row r="2024" spans="1:5" x14ac:dyDescent="0.25">
      <c r="A2024">
        <v>485017368</v>
      </c>
      <c r="B2024" t="s">
        <v>1240</v>
      </c>
      <c r="E2024" t="str">
        <f>IF(OR(E2023="&lt;/routeDistribution&gt;",E2023=""),"",IFERROR(_xlfn.CONCAT(VLOOKUP(DB6,Route_Column!#REF!,2,FALSE),CHAR(34)," probability=",CHAR(34),1/DB$4,CHAR(34),CHAR(47),CHAR(62)),"&lt;/routeDistribution&gt;"))</f>
        <v/>
      </c>
    </row>
    <row r="2025" spans="1:5" x14ac:dyDescent="0.25">
      <c r="A2025">
        <v>485017368</v>
      </c>
      <c r="B2025" t="s">
        <v>1241</v>
      </c>
      <c r="E2025" t="str">
        <f>IF(OR(E2024="&lt;/routeDistribution&gt;",E2024=""),"",IFERROR(_xlfn.CONCAT(VLOOKUP(DB7,Route_Column!#REF!,2,FALSE),CHAR(34)," probability=",CHAR(34),1/DB$4,CHAR(34),CHAR(47),CHAR(62)),"&lt;/routeDistribution&gt;"))</f>
        <v/>
      </c>
    </row>
    <row r="2026" spans="1:5" x14ac:dyDescent="0.25">
      <c r="A2026">
        <v>485017368</v>
      </c>
      <c r="B2026" t="s">
        <v>1242</v>
      </c>
      <c r="E2026" t="str">
        <f>IF(OR(E2025="&lt;/routeDistribution&gt;",E2025=""),"",IFERROR(_xlfn.CONCAT(VLOOKUP(DB8,Route_Column!#REF!,2,FALSE),CHAR(34)," probability=",CHAR(34),1/DB$4,CHAR(34),CHAR(47),CHAR(62)),"&lt;/routeDistribution&gt;"))</f>
        <v/>
      </c>
    </row>
    <row r="2027" spans="1:5" x14ac:dyDescent="0.25">
      <c r="A2027">
        <v>485017368</v>
      </c>
      <c r="B2027" t="s">
        <v>1243</v>
      </c>
      <c r="E2027" t="str">
        <f>IF(OR(E2026="&lt;/routeDistribution&gt;",E2026=""),"",IFERROR(_xlfn.CONCAT(VLOOKUP(DB9,Route_Column!#REF!,2,FALSE),CHAR(34)," probability=",CHAR(34),1/DB$4,CHAR(34),CHAR(47),CHAR(62)),"&lt;/routeDistribution&gt;"))</f>
        <v/>
      </c>
    </row>
    <row r="2028" spans="1:5" x14ac:dyDescent="0.25">
      <c r="A2028">
        <v>485017368</v>
      </c>
      <c r="B2028" t="s">
        <v>1244</v>
      </c>
      <c r="E2028" t="str">
        <f>IF(OR(E2027="&lt;/routeDistribution&gt;",E2027=""),"",IFERROR(_xlfn.CONCAT(VLOOKUP(DB10,Route_Column!#REF!,2,FALSE),CHAR(34)," probability=",CHAR(34),1/DB$4,CHAR(34),CHAR(47),CHAR(62)),"&lt;/routeDistribution&gt;"))</f>
        <v/>
      </c>
    </row>
    <row r="2029" spans="1:5" x14ac:dyDescent="0.25">
      <c r="A2029">
        <v>485017368</v>
      </c>
      <c r="B2029" t="s">
        <v>1245</v>
      </c>
      <c r="E2029" t="str">
        <f>IF(OR(E2028="&lt;/routeDistribution&gt;",E2028=""),"",IFERROR(_xlfn.CONCAT(VLOOKUP(DB11,Route_Column!#REF!,2,FALSE),CHAR(34)," probability=",CHAR(34),1/DB$4,CHAR(34),CHAR(47),CHAR(62)),"&lt;/routeDistribution&gt;"))</f>
        <v/>
      </c>
    </row>
    <row r="2030" spans="1:5" x14ac:dyDescent="0.25">
      <c r="A2030">
        <v>485017368</v>
      </c>
      <c r="B2030" t="s">
        <v>1246</v>
      </c>
      <c r="E2030" t="str">
        <f>IF(OR(E2029="&lt;/routeDistribution&gt;",E2029=""),"",IFERROR(_xlfn.CONCAT(VLOOKUP(DB12,Route_Column!#REF!,2,FALSE),CHAR(34)," probability=",CHAR(34),1/DB$4,CHAR(34),CHAR(47),CHAR(62)),"&lt;/routeDistribution&gt;"))</f>
        <v/>
      </c>
    </row>
    <row r="2031" spans="1:5" x14ac:dyDescent="0.25">
      <c r="A2031">
        <v>485017368</v>
      </c>
      <c r="B2031" t="s">
        <v>1247</v>
      </c>
      <c r="E2031" t="str">
        <f>IF(OR(E2030="&lt;/routeDistribution&gt;",E2030=""),"",IFERROR(_xlfn.CONCAT(VLOOKUP(DB13,Route_Column!#REF!,2,FALSE),CHAR(34)," probability=",CHAR(34),1/DB$4,CHAR(34),CHAR(47),CHAR(62)),"&lt;/routeDistribution&gt;"))</f>
        <v/>
      </c>
    </row>
    <row r="2032" spans="1:5" x14ac:dyDescent="0.25">
      <c r="A2032">
        <v>485017368</v>
      </c>
      <c r="B2032" t="s">
        <v>1248</v>
      </c>
      <c r="E2032" t="str">
        <f>IF(OR(E2031="&lt;/routeDistribution&gt;",E2031=""),"",IFERROR(_xlfn.CONCAT(VLOOKUP(DB14,Route_Column!#REF!,2,FALSE),CHAR(34)," probability=",CHAR(34),1/DB$4,CHAR(34),CHAR(47),CHAR(62)),"&lt;/routeDistribution&gt;"))</f>
        <v/>
      </c>
    </row>
    <row r="2033" spans="1:5" x14ac:dyDescent="0.25">
      <c r="A2033">
        <v>485017368</v>
      </c>
      <c r="B2033" t="s">
        <v>1249</v>
      </c>
      <c r="E2033" t="str">
        <f>IF(OR(E2032="&lt;/routeDistribution&gt;",E2032=""),"",IFERROR(_xlfn.CONCAT(VLOOKUP(DB15,Route_Column!#REF!,2,FALSE),CHAR(34)," probability=",CHAR(34),1/DB$4,CHAR(34),CHAR(47),CHAR(62)),"&lt;/routeDistribution&gt;"))</f>
        <v/>
      </c>
    </row>
    <row r="2034" spans="1:5" x14ac:dyDescent="0.25">
      <c r="A2034" s="11">
        <v>485017376</v>
      </c>
      <c r="B2034" t="s">
        <v>1090</v>
      </c>
      <c r="E2034" t="str">
        <f>IF(OR(E2033="&lt;/routeDistribution&gt;",E2033=""),"",IFERROR(_xlfn.CONCAT(VLOOKUP(DB16,Route_Column!#REF!,2,FALSE),CHAR(34)," probability=",CHAR(34),1/DB$4,CHAR(34),CHAR(47),CHAR(62)),"&lt;/routeDistribution&gt;"))</f>
        <v/>
      </c>
    </row>
    <row r="2035" spans="1:5" x14ac:dyDescent="0.25">
      <c r="A2035">
        <v>485017376</v>
      </c>
      <c r="B2035" t="s">
        <v>1097</v>
      </c>
      <c r="E2035" t="str">
        <f>IF(OR(E2034="&lt;/routeDistribution&gt;",E2034=""),"",IFERROR(_xlfn.CONCAT(VLOOKUP(DB17,Route_Column!#REF!,2,FALSE),CHAR(34)," probability=",CHAR(34),1/DB$4,CHAR(34),CHAR(47),CHAR(62)),"&lt;/routeDistribution&gt;"))</f>
        <v/>
      </c>
    </row>
    <row r="2036" spans="1:5" x14ac:dyDescent="0.25">
      <c r="A2036">
        <v>485017376</v>
      </c>
      <c r="B2036" t="s">
        <v>1098</v>
      </c>
      <c r="E2036" t="str">
        <f>IF(OR(E2035="&lt;/routeDistribution&gt;",E2035=""),"",IFERROR(_xlfn.CONCAT(VLOOKUP(DB18,Route_Column!#REF!,2,FALSE),CHAR(34)," probability=",CHAR(34),1/DB$4,CHAR(34),CHAR(47),CHAR(62)),"&lt;/routeDistribution&gt;"))</f>
        <v/>
      </c>
    </row>
    <row r="2037" spans="1:5" x14ac:dyDescent="0.25">
      <c r="A2037">
        <v>485017376</v>
      </c>
      <c r="B2037" t="s">
        <v>1111</v>
      </c>
      <c r="E2037" t="str">
        <f>IF(OR(E2036="&lt;/routeDistribution&gt;",E2036=""),"",IFERROR(_xlfn.CONCAT(VLOOKUP(DB19,Route_Column!#REF!,2,FALSE),CHAR(34)," probability=",CHAR(34),1/DB$4,CHAR(34),CHAR(47),CHAR(62)),"&lt;/routeDistribution&gt;"))</f>
        <v/>
      </c>
    </row>
    <row r="2038" spans="1:5" x14ac:dyDescent="0.25">
      <c r="A2038">
        <v>485017376</v>
      </c>
      <c r="B2038" t="s">
        <v>1171</v>
      </c>
      <c r="E2038" t="str">
        <f>IF(OR(E2037="&lt;/routeDistribution&gt;",E2037=""),"",IFERROR(_xlfn.CONCAT(VLOOKUP(DB20,Route_Column!#REF!,2,FALSE),CHAR(34)," probability=",CHAR(34),1/DB$4,CHAR(34),CHAR(47),CHAR(62)),"&lt;/routeDistribution&gt;"))</f>
        <v/>
      </c>
    </row>
    <row r="2039" spans="1:5" x14ac:dyDescent="0.25">
      <c r="A2039">
        <v>485017376</v>
      </c>
      <c r="B2039" t="s">
        <v>1182</v>
      </c>
      <c r="E2039" t="str">
        <f>IF(OR(E2038="&lt;/routeDistribution&gt;",E2038=""),"",IFERROR(_xlfn.CONCAT(VLOOKUP(DB21,Route_Column!#REF!,2,FALSE),CHAR(34)," probability=",CHAR(34),1/DB$4,CHAR(34),CHAR(47),CHAR(62)),"&lt;/routeDistribution&gt;"))</f>
        <v/>
      </c>
    </row>
    <row r="2040" spans="1:5" x14ac:dyDescent="0.25">
      <c r="A2040">
        <v>485017376</v>
      </c>
      <c r="B2040" t="s">
        <v>1191</v>
      </c>
      <c r="E2040" t="str">
        <f>IF(OR(E2039="&lt;/routeDistribution&gt;",E2039=""),"",IFERROR(_xlfn.CONCAT(VLOOKUP(DB22,Route_Column!#REF!,2,FALSE),CHAR(34)," probability=",CHAR(34),1/DB$4,CHAR(34),CHAR(47),CHAR(62)),"&lt;/routeDistribution&gt;"))</f>
        <v/>
      </c>
    </row>
    <row r="2041" spans="1:5" x14ac:dyDescent="0.25">
      <c r="A2041">
        <v>485017379</v>
      </c>
      <c r="B2041" t="s">
        <v>1096</v>
      </c>
      <c r="E2041" t="str">
        <f>IF(OR(E2040="&lt;/routeDistribution&gt;",E2040=""),"",IFERROR(_xlfn.CONCAT(VLOOKUP(DB23,Route_Column!#REF!,2,FALSE),CHAR(34)," probability=",CHAR(34),1/DB$4,CHAR(34),CHAR(47),CHAR(62)),"&lt;/routeDistribution&gt;"))</f>
        <v/>
      </c>
    </row>
    <row r="2042" spans="1:5" x14ac:dyDescent="0.25">
      <c r="A2042">
        <v>485017379</v>
      </c>
      <c r="B2042" t="s">
        <v>1161</v>
      </c>
      <c r="E2042" t="str">
        <f>IF(OR(E2041="&lt;/routeDistribution&gt;",E2041=""),"",IFERROR(_xlfn.CONCAT(VLOOKUP(DB24,Route_Column!#REF!,2,FALSE),CHAR(34)," probability=",CHAR(34),1/DB$4,CHAR(34),CHAR(47),CHAR(62)),"&lt;/routeDistribution&gt;"))</f>
        <v/>
      </c>
    </row>
    <row r="2043" spans="1:5" x14ac:dyDescent="0.25">
      <c r="A2043">
        <v>485017379</v>
      </c>
      <c r="B2043" t="s">
        <v>1162</v>
      </c>
      <c r="E2043" t="str">
        <f>IF(OR(E2042="&lt;/routeDistribution&gt;",E2042=""),"",IFERROR(_xlfn.CONCAT(VLOOKUP(DB25,Route_Column!#REF!,2,FALSE),CHAR(34)," probability=",CHAR(34),1/DB$4,CHAR(34),CHAR(47),CHAR(62)),"&lt;/routeDistribution&gt;"))</f>
        <v/>
      </c>
    </row>
    <row r="2044" spans="1:5" x14ac:dyDescent="0.25">
      <c r="A2044">
        <v>485017379</v>
      </c>
      <c r="B2044" t="s">
        <v>1163</v>
      </c>
      <c r="E2044" t="str">
        <f>IF(OR(E2043="&lt;/routeDistribution&gt;",E2043=""),"",IFERROR(_xlfn.CONCAT(VLOOKUP(DB26,Route_Column!#REF!,2,FALSE),CHAR(34)," probability=",CHAR(34),1/DB$4,CHAR(34),CHAR(47),CHAR(62)),"&lt;/routeDistribution&gt;"))</f>
        <v/>
      </c>
    </row>
    <row r="2045" spans="1:5" x14ac:dyDescent="0.25">
      <c r="A2045" t="s">
        <v>2056</v>
      </c>
      <c r="B2045" t="s">
        <v>1138</v>
      </c>
      <c r="E2045" t="str">
        <f>IF(OR(E2044="&lt;/routeDistribution&gt;",E2044=""),"",IFERROR(_xlfn.CONCAT(VLOOKUP(DB27,Route_Column!#REF!,2,FALSE),CHAR(34)," probability=",CHAR(34),1/DB$4,CHAR(34),CHAR(47),CHAR(62)),"&lt;/routeDistribution&gt;"))</f>
        <v/>
      </c>
    </row>
    <row r="2046" spans="1:5" x14ac:dyDescent="0.25">
      <c r="A2046" t="s">
        <v>2056</v>
      </c>
      <c r="B2046" t="s">
        <v>1154</v>
      </c>
      <c r="E2046" t="str">
        <f>IF(OR(E2045="&lt;/routeDistribution&gt;",E2045=""),"",IFERROR(_xlfn.CONCAT(VLOOKUP(DB28,Route_Column!#REF!,2,FALSE),CHAR(34)," probability=",CHAR(34),1/DB$4,CHAR(34),CHAR(47),CHAR(62)),"&lt;/routeDistribution&gt;"))</f>
        <v/>
      </c>
    </row>
    <row r="2047" spans="1:5" x14ac:dyDescent="0.25">
      <c r="A2047" t="s">
        <v>2056</v>
      </c>
      <c r="B2047" t="s">
        <v>1173</v>
      </c>
      <c r="E2047" t="str">
        <f>IF(OR(E2046="&lt;/routeDistribution&gt;",E2046=""),"",IFERROR(_xlfn.CONCAT(VLOOKUP(DB29,Route_Column!#REF!,2,FALSE),CHAR(34)," probability=",CHAR(34),1/DB$4,CHAR(34),CHAR(47),CHAR(62)),"&lt;/routeDistribution&gt;"))</f>
        <v/>
      </c>
    </row>
    <row r="2048" spans="1:5" x14ac:dyDescent="0.25">
      <c r="A2048" t="s">
        <v>2056</v>
      </c>
      <c r="B2048" t="s">
        <v>1174</v>
      </c>
      <c r="E2048" t="str">
        <f>IF(OR(E2047="&lt;/routeDistribution&gt;",E2047=""),"",IFERROR(_xlfn.CONCAT(VLOOKUP(DB30,Route_Column!#REF!,2,FALSE),CHAR(34)," probability=",CHAR(34),1/DB$4,CHAR(34),CHAR(47),CHAR(62)),"&lt;/routeDistribution&gt;"))</f>
        <v/>
      </c>
    </row>
    <row r="2049" spans="1:5" x14ac:dyDescent="0.25">
      <c r="A2049" t="s">
        <v>2056</v>
      </c>
      <c r="B2049" t="s">
        <v>1175</v>
      </c>
      <c r="E2049" t="str">
        <f>IF(OR(E2048="&lt;/routeDistribution&gt;",E2048=""),"",IFERROR(_xlfn.CONCAT(VLOOKUP(DB31,Route_Column!#REF!,2,FALSE),CHAR(34)," probability=",CHAR(34),1/DB$4,CHAR(34),CHAR(47),CHAR(62)),"&lt;/routeDistribution&gt;"))</f>
        <v/>
      </c>
    </row>
    <row r="2050" spans="1:5" x14ac:dyDescent="0.25">
      <c r="A2050" t="s">
        <v>2056</v>
      </c>
      <c r="B2050" t="s">
        <v>1176</v>
      </c>
      <c r="E2050" t="str">
        <f>IF(OR(E2049="&lt;/routeDistribution&gt;",E2049=""),"",IFERROR(_xlfn.CONCAT(VLOOKUP(DB32,Route_Column!#REF!,2,FALSE),CHAR(34)," probability=",CHAR(34),1/DB$4,CHAR(34),CHAR(47),CHAR(62)),"&lt;/routeDistribution&gt;"))</f>
        <v/>
      </c>
    </row>
    <row r="2051" spans="1:5" x14ac:dyDescent="0.25">
      <c r="A2051" t="s">
        <v>2056</v>
      </c>
      <c r="B2051" t="s">
        <v>1177</v>
      </c>
      <c r="E2051" t="str">
        <f>IF(OR(E2050="&lt;/routeDistribution&gt;",E2050=""),"",IFERROR(_xlfn.CONCAT(VLOOKUP(DB33,Route_Column!#REF!,2,FALSE),CHAR(34)," probability=",CHAR(34),1/DB$4,CHAR(34),CHAR(47),CHAR(62)),"&lt;/routeDistribution&gt;"))</f>
        <v/>
      </c>
    </row>
    <row r="2052" spans="1:5" x14ac:dyDescent="0.25">
      <c r="A2052" t="s">
        <v>2056</v>
      </c>
      <c r="B2052" t="s">
        <v>1178</v>
      </c>
      <c r="E2052" t="str">
        <f>IF(OR(E2051="&lt;/routeDistribution&gt;",E2051=""),"",IFERROR(_xlfn.CONCAT(VLOOKUP(DB34,Route_Column!#REF!,2,FALSE),CHAR(34)," probability=",CHAR(34),1/DB$4,CHAR(34),CHAR(47),CHAR(62)),"&lt;/routeDistribution&gt;"))</f>
        <v/>
      </c>
    </row>
    <row r="2053" spans="1:5" x14ac:dyDescent="0.25">
      <c r="A2053" t="s">
        <v>2056</v>
      </c>
      <c r="B2053" t="s">
        <v>1179</v>
      </c>
      <c r="E2053" t="str">
        <f>IF(OR(E2052="&lt;/routeDistribution&gt;",E2052=""),"",IFERROR(_xlfn.CONCAT(VLOOKUP(DB35,Route_Column!#REF!,2,FALSE),CHAR(34)," probability=",CHAR(34),1/DB$4,CHAR(34),CHAR(47),CHAR(62)),"&lt;/routeDistribution&gt;"))</f>
        <v/>
      </c>
    </row>
    <row r="2054" spans="1:5" x14ac:dyDescent="0.25">
      <c r="A2054" t="s">
        <v>2056</v>
      </c>
      <c r="B2054" t="s">
        <v>1180</v>
      </c>
      <c r="E2054" t="str">
        <f>IF(OR(E2053="&lt;/routeDistribution&gt;",E2053=""),"",IFERROR(_xlfn.CONCAT(VLOOKUP(DB36,Route_Column!#REF!,2,FALSE),CHAR(34)," probability=",CHAR(34),1/DB$4,CHAR(34),CHAR(47),CHAR(62)),"&lt;/routeDistribution&gt;"))</f>
        <v/>
      </c>
    </row>
    <row r="2055" spans="1:5" x14ac:dyDescent="0.25">
      <c r="A2055" t="s">
        <v>2056</v>
      </c>
      <c r="B2055" t="s">
        <v>1181</v>
      </c>
      <c r="E2055" t="str">
        <f>IF(OR(E2054="&lt;/routeDistribution&gt;",E2054=""),"",IFERROR(_xlfn.CONCAT(VLOOKUP(DB37,Route_Column!#REF!,2,FALSE),CHAR(34)," probability=",CHAR(34),1/DB$4,CHAR(34),CHAR(47),CHAR(62)),"&lt;/routeDistribution&gt;"))</f>
        <v/>
      </c>
    </row>
    <row r="2056" spans="1:5" x14ac:dyDescent="0.25">
      <c r="A2056" t="s">
        <v>2056</v>
      </c>
      <c r="B2056" t="s">
        <v>1182</v>
      </c>
      <c r="E2056" t="str">
        <f>IF(OR(E2055="&lt;/routeDistribution&gt;",E2055=""),"",IFERROR(_xlfn.CONCAT(VLOOKUP(DB38,Route_Column!#REF!,2,FALSE),CHAR(34)," probability=",CHAR(34),1/DB$4,CHAR(34),CHAR(47),CHAR(62)),"&lt;/routeDistribution&gt;"))</f>
        <v/>
      </c>
    </row>
    <row r="2057" spans="1:5" x14ac:dyDescent="0.25">
      <c r="A2057" t="s">
        <v>2056</v>
      </c>
      <c r="B2057" t="s">
        <v>1183</v>
      </c>
      <c r="E2057" t="str">
        <f>IF(OR(E2056="&lt;/routeDistribution&gt;",E2056=""),"",IFERROR(_xlfn.CONCAT(VLOOKUP(DB39,Route_Column!#REF!,2,FALSE),CHAR(34)," probability=",CHAR(34),1/DB$4,CHAR(34),CHAR(47),CHAR(62)),"&lt;/routeDistribution&gt;"))</f>
        <v/>
      </c>
    </row>
    <row r="2058" spans="1:5" x14ac:dyDescent="0.25">
      <c r="A2058" t="s">
        <v>2056</v>
      </c>
      <c r="B2058" t="s">
        <v>1184</v>
      </c>
      <c r="E2058" t="str">
        <f>IF(OR(E2057="&lt;/routeDistribution&gt;",E2057=""),"",IFERROR(_xlfn.CONCAT(VLOOKUP(DB40,Route_Column!#REF!,2,FALSE),CHAR(34)," probability=",CHAR(34),1/DB$4,CHAR(34),CHAR(47),CHAR(62)),"&lt;/routeDistribution&gt;"))</f>
        <v/>
      </c>
    </row>
    <row r="2059" spans="1:5" x14ac:dyDescent="0.25">
      <c r="A2059" t="s">
        <v>2056</v>
      </c>
      <c r="B2059" t="s">
        <v>1185</v>
      </c>
      <c r="E2059" t="str">
        <f>IF(OR(E2058="&lt;/routeDistribution&gt;",E2058=""),"",IFERROR(_xlfn.CONCAT(VLOOKUP(DB41,Route_Column!#REF!,2,FALSE),CHAR(34)," probability=",CHAR(34),1/DB$4,CHAR(34),CHAR(47),CHAR(62)),"&lt;/routeDistribution&gt;"))</f>
        <v/>
      </c>
    </row>
    <row r="2060" spans="1:5" x14ac:dyDescent="0.25">
      <c r="A2060" t="s">
        <v>2056</v>
      </c>
      <c r="B2060" t="s">
        <v>1186</v>
      </c>
      <c r="E2060" t="str">
        <f>IF(OR(E2059="&lt;/routeDistribution&gt;",E2059=""),"",IFERROR(_xlfn.CONCAT(VLOOKUP(DB42,Route_Column!#REF!,2,FALSE),CHAR(34)," probability=",CHAR(34),1/DB$4,CHAR(34),CHAR(47),CHAR(62)),"&lt;/routeDistribution&gt;"))</f>
        <v/>
      </c>
    </row>
    <row r="2061" spans="1:5" x14ac:dyDescent="0.25">
      <c r="A2061" t="s">
        <v>2056</v>
      </c>
      <c r="B2061" t="s">
        <v>1187</v>
      </c>
      <c r="E2061" t="str">
        <f>IF(OR(E2060="&lt;/routeDistribution&gt;",E2060=""),"",IFERROR(_xlfn.CONCAT(VLOOKUP(DB43,Route_Column!#REF!,2,FALSE),CHAR(34)," probability=",CHAR(34),1/DB$4,CHAR(34),CHAR(47),CHAR(62)),"&lt;/routeDistribution&gt;"))</f>
        <v/>
      </c>
    </row>
    <row r="2062" spans="1:5" x14ac:dyDescent="0.25">
      <c r="A2062" t="s">
        <v>2056</v>
      </c>
      <c r="B2062" t="s">
        <v>1188</v>
      </c>
      <c r="E2062" t="str">
        <f>IF(OR(E2061="&lt;/routeDistribution&gt;",E2061=""),"",IFERROR(_xlfn.CONCAT(VLOOKUP(DB44,Route_Column!#REF!,2,FALSE),CHAR(34)," probability=",CHAR(34),1/DB$4,CHAR(34),CHAR(47),CHAR(62)),"&lt;/routeDistribution&gt;"))</f>
        <v/>
      </c>
    </row>
    <row r="2063" spans="1:5" x14ac:dyDescent="0.25">
      <c r="A2063" t="s">
        <v>2056</v>
      </c>
      <c r="B2063" t="s">
        <v>1189</v>
      </c>
      <c r="E2063" t="str">
        <f>IF(OR(E2062="&lt;/routeDistribution&gt;",E2062=""),"",IFERROR(_xlfn.CONCAT(VLOOKUP(DB45,Route_Column!#REF!,2,FALSE),CHAR(34)," probability=",CHAR(34),1/DB$4,CHAR(34),CHAR(47),CHAR(62)),"&lt;/routeDistribution&gt;"))</f>
        <v/>
      </c>
    </row>
    <row r="2064" spans="1:5" x14ac:dyDescent="0.25">
      <c r="A2064" t="s">
        <v>2056</v>
      </c>
      <c r="B2064" t="s">
        <v>1191</v>
      </c>
      <c r="E2064" t="str">
        <f>IF(OR(E2063="&lt;/routeDistribution&gt;",E2063=""),"",IFERROR(_xlfn.CONCAT(VLOOKUP(DB46,Route_Column!#REF!,2,FALSE),CHAR(34)," probability=",CHAR(34),1/DB$4,CHAR(34),CHAR(47),CHAR(62)),"&lt;/routeDistribution&gt;"))</f>
        <v/>
      </c>
    </row>
    <row r="2065" spans="1:5" x14ac:dyDescent="0.25">
      <c r="A2065" t="s">
        <v>2056</v>
      </c>
      <c r="B2065" t="s">
        <v>1191</v>
      </c>
      <c r="E2065" t="str">
        <f>IF(OR(E2064="&lt;/routeDistribution&gt;",E2064=""),"",IFERROR(_xlfn.CONCAT(VLOOKUP(DB47,Route_Column!#REF!,2,FALSE),CHAR(34)," probability=",CHAR(34),1/DB$4,CHAR(34),CHAR(47),CHAR(62)),"&lt;/routeDistribution&gt;"))</f>
        <v/>
      </c>
    </row>
    <row r="2066" spans="1:5" x14ac:dyDescent="0.25">
      <c r="A2066" t="s">
        <v>2056</v>
      </c>
      <c r="B2066" t="s">
        <v>1192</v>
      </c>
      <c r="E2066" t="str">
        <f>IF(OR(E2065="&lt;/routeDistribution&gt;",E2065=""),"",IFERROR(_xlfn.CONCAT(VLOOKUP(DB48,Route_Column!#REF!,2,FALSE),CHAR(34)," probability=",CHAR(34),1/DB$4,CHAR(34),CHAR(47),CHAR(62)),"&lt;/routeDistribution&gt;"))</f>
        <v/>
      </c>
    </row>
    <row r="2067" spans="1:5" x14ac:dyDescent="0.25">
      <c r="A2067" t="s">
        <v>2056</v>
      </c>
      <c r="B2067" t="s">
        <v>1193</v>
      </c>
      <c r="E2067" t="str">
        <f>IF(OR(E2066="&lt;/routeDistribution&gt;",E2066=""),"",IFERROR(_xlfn.CONCAT(VLOOKUP(DB49,Route_Column!#REF!,2,FALSE),CHAR(34)," probability=",CHAR(34),1/DB$4,CHAR(34),CHAR(47),CHAR(62)),"&lt;/routeDistribution&gt;"))</f>
        <v/>
      </c>
    </row>
    <row r="2068" spans="1:5" x14ac:dyDescent="0.25">
      <c r="A2068" t="s">
        <v>2056</v>
      </c>
      <c r="B2068" t="s">
        <v>1194</v>
      </c>
      <c r="E2068" t="str">
        <f>IF(OR(E2067="&lt;/routeDistribution&gt;",E2067=""),"",IFERROR(_xlfn.CONCAT(VLOOKUP(DB50,Route_Column!#REF!,2,FALSE),CHAR(34)," probability=",CHAR(34),1/DB$4,CHAR(34),CHAR(47),CHAR(62)),"&lt;/routeDistribution&gt;"))</f>
        <v/>
      </c>
    </row>
    <row r="2069" spans="1:5" x14ac:dyDescent="0.25">
      <c r="A2069" t="s">
        <v>2056</v>
      </c>
      <c r="B2069" t="s">
        <v>1195</v>
      </c>
      <c r="E2069" t="str">
        <f>IF(OR(E2068="&lt;/routeDistribution&gt;",E2068=""),"",IFERROR(_xlfn.CONCAT(VLOOKUP(DB51,Route_Column!#REF!,2,FALSE),CHAR(34)," probability=",CHAR(34),1/DB$4,CHAR(34),CHAR(47),CHAR(62)),"&lt;/routeDistribution&gt;"))</f>
        <v/>
      </c>
    </row>
    <row r="2070" spans="1:5" x14ac:dyDescent="0.25">
      <c r="A2070" t="s">
        <v>2056</v>
      </c>
      <c r="B2070" t="s">
        <v>1196</v>
      </c>
      <c r="E2070" t="str">
        <f>IF(OR(E2069="&lt;/routeDistribution&gt;",E2069=""),"",IFERROR(_xlfn.CONCAT(VLOOKUP(DB52,Route_Column!#REF!,2,FALSE),CHAR(34)," probability=",CHAR(34),1/DB$4,CHAR(34),CHAR(47),CHAR(62)),"&lt;/routeDistribution&gt;"))</f>
        <v/>
      </c>
    </row>
    <row r="2071" spans="1:5" x14ac:dyDescent="0.25">
      <c r="A2071" t="s">
        <v>2056</v>
      </c>
      <c r="B2071" t="s">
        <v>1197</v>
      </c>
      <c r="E2071" t="str">
        <f>IF(OR(E2070="&lt;/routeDistribution&gt;",E2070=""),"",IFERROR(_xlfn.CONCAT(VLOOKUP(DB53,Route_Column!#REF!,2,FALSE),CHAR(34)," probability=",CHAR(34),1/DB$4,CHAR(34),CHAR(47),CHAR(62)),"&lt;/routeDistribution&gt;"))</f>
        <v/>
      </c>
    </row>
    <row r="2072" spans="1:5" x14ac:dyDescent="0.25">
      <c r="A2072" t="s">
        <v>2056</v>
      </c>
      <c r="B2072" t="s">
        <v>1198</v>
      </c>
      <c r="E2072" t="str">
        <f>IF(OR(E2071="&lt;/routeDistribution&gt;",E2071=""),"",IFERROR(_xlfn.CONCAT(VLOOKUP(DB54,Route_Column!#REF!,2,FALSE),CHAR(34)," probability=",CHAR(34),1/DB$4,CHAR(34),CHAR(47),CHAR(62)),"&lt;/routeDistribution&gt;"))</f>
        <v/>
      </c>
    </row>
    <row r="2073" spans="1:5" x14ac:dyDescent="0.25">
      <c r="A2073" t="s">
        <v>1828</v>
      </c>
      <c r="B2073" t="s">
        <v>1108</v>
      </c>
      <c r="E2073" t="str">
        <f>IF(OR(E2072="&lt;/routeDistribution&gt;",E2072=""),"",IFERROR(_xlfn.CONCAT(VLOOKUP(DB55,Route_Column!#REF!,2,FALSE),CHAR(34)," probability=",CHAR(34),1/DB$4,CHAR(34),CHAR(47),CHAR(62)),"&lt;/routeDistribution&gt;"))</f>
        <v/>
      </c>
    </row>
    <row r="2074" spans="1:5" x14ac:dyDescent="0.25">
      <c r="A2074" t="s">
        <v>1828</v>
      </c>
      <c r="B2074" t="s">
        <v>1160</v>
      </c>
      <c r="E2074" t="str">
        <f>IF(OR(E2073="&lt;/routeDistribution&gt;",E2073=""),"",IFERROR(_xlfn.CONCAT(VLOOKUP(DB56,Route_Column!#REF!,2,FALSE),CHAR(34)," probability=",CHAR(34),1/DB$4,CHAR(34),CHAR(47),CHAR(62)),"&lt;/routeDistribution&gt;"))</f>
        <v/>
      </c>
    </row>
    <row r="2075" spans="1:5" x14ac:dyDescent="0.25">
      <c r="A2075" t="s">
        <v>1828</v>
      </c>
      <c r="B2075" t="s">
        <v>1174</v>
      </c>
      <c r="E2075" t="str">
        <f>IF(OR(E2074="&lt;/routeDistribution&gt;",E2074=""),"",IFERROR(_xlfn.CONCAT(VLOOKUP(DB57,Route_Column!#REF!,2,FALSE),CHAR(34)," probability=",CHAR(34),1/DB$4,CHAR(34),CHAR(47),CHAR(62)),"&lt;/routeDistribution&gt;"))</f>
        <v/>
      </c>
    </row>
    <row r="2076" spans="1:5" x14ac:dyDescent="0.25">
      <c r="A2076" t="s">
        <v>1828</v>
      </c>
      <c r="B2076" t="s">
        <v>1175</v>
      </c>
      <c r="E2076" t="str">
        <f>IF(OR(E2075="&lt;/routeDistribution&gt;",E2075=""),"",IFERROR(_xlfn.CONCAT(VLOOKUP(DB58,Route_Column!#REF!,2,FALSE),CHAR(34)," probability=",CHAR(34),1/DB$4,CHAR(34),CHAR(47),CHAR(62)),"&lt;/routeDistribution&gt;"))</f>
        <v/>
      </c>
    </row>
    <row r="2077" spans="1:5" x14ac:dyDescent="0.25">
      <c r="A2077" t="s">
        <v>1828</v>
      </c>
      <c r="B2077" t="s">
        <v>1199</v>
      </c>
      <c r="E2077" t="str">
        <f>IF(OR(E2076="&lt;/routeDistribution&gt;",E2076=""),"",IFERROR(_xlfn.CONCAT(VLOOKUP(DB59,Route_Column!#REF!,2,FALSE),CHAR(34)," probability=",CHAR(34),1/DB$4,CHAR(34),CHAR(47),CHAR(62)),"&lt;/routeDistribution&gt;"))</f>
        <v/>
      </c>
    </row>
    <row r="2078" spans="1:5" x14ac:dyDescent="0.25">
      <c r="A2078" t="s">
        <v>1828</v>
      </c>
      <c r="B2078" t="s">
        <v>1212</v>
      </c>
      <c r="E2078" t="str">
        <f>IF(OR(E2077="&lt;/routeDistribution&gt;",E2077=""),"",IFERROR(_xlfn.CONCAT(VLOOKUP(DB60,Route_Column!#REF!,2,FALSE),CHAR(34)," probability=",CHAR(34),1/DB$4,CHAR(34),CHAR(47),CHAR(62)),"&lt;/routeDistribution&gt;"))</f>
        <v/>
      </c>
    </row>
    <row r="2079" spans="1:5" x14ac:dyDescent="0.25">
      <c r="A2079" t="s">
        <v>1828</v>
      </c>
      <c r="B2079" t="s">
        <v>1214</v>
      </c>
      <c r="E2079" t="str">
        <f>IF(OR(E2078="&lt;/routeDistribution&gt;",E2078=""),"",IFERROR(_xlfn.CONCAT(VLOOKUP(DB61,Route_Column!#REF!,2,FALSE),CHAR(34)," probability=",CHAR(34),1/DB$4,CHAR(34),CHAR(47),CHAR(62)),"&lt;/routeDistribution&gt;"))</f>
        <v/>
      </c>
    </row>
    <row r="2080" spans="1:5" x14ac:dyDescent="0.25">
      <c r="A2080" t="s">
        <v>1828</v>
      </c>
      <c r="B2080" t="s">
        <v>1226</v>
      </c>
      <c r="E2080" t="str">
        <f>IF(OR(E2079="&lt;/routeDistribution&gt;",E2079=""),"",IFERROR(_xlfn.CONCAT(VLOOKUP(DB62,Route_Column!#REF!,2,FALSE),CHAR(34)," probability=",CHAR(34),1/DB$4,CHAR(34),CHAR(47),CHAR(62)),"&lt;/routeDistribution&gt;"))</f>
        <v/>
      </c>
    </row>
    <row r="2081" spans="1:5" x14ac:dyDescent="0.25">
      <c r="A2081" t="s">
        <v>1828</v>
      </c>
      <c r="B2081" t="s">
        <v>1227</v>
      </c>
      <c r="E2081" t="str">
        <f>IF(OR(E2080="&lt;/routeDistribution&gt;",E2080=""),"",IFERROR(_xlfn.CONCAT(VLOOKUP(DB63,Route_Column!#REF!,2,FALSE),CHAR(34)," probability=",CHAR(34),1/DB$4,CHAR(34),CHAR(47),CHAR(62)),"&lt;/routeDistribution&gt;"))</f>
        <v/>
      </c>
    </row>
    <row r="2082" spans="1:5" x14ac:dyDescent="0.25">
      <c r="A2082" t="s">
        <v>1828</v>
      </c>
      <c r="B2082" t="s">
        <v>1228</v>
      </c>
      <c r="E2082" t="s">
        <v>2686</v>
      </c>
    </row>
    <row r="2083" spans="1:5" x14ac:dyDescent="0.25">
      <c r="A2083" t="s">
        <v>1828</v>
      </c>
      <c r="B2083" t="s">
        <v>1229</v>
      </c>
    </row>
    <row r="2084" spans="1:5" x14ac:dyDescent="0.25">
      <c r="A2084" t="s">
        <v>1828</v>
      </c>
      <c r="B2084" t="s">
        <v>1230</v>
      </c>
    </row>
    <row r="2085" spans="1:5" x14ac:dyDescent="0.25">
      <c r="A2085" t="s">
        <v>1828</v>
      </c>
      <c r="B2085" t="s">
        <v>1231</v>
      </c>
      <c r="E2085" t="str">
        <f>_xlfn.CONCAT($E$1,DA$2,$F$1)</f>
        <v>&lt;routeDistribution id="76_to_676-RouteProbe"&gt;</v>
      </c>
    </row>
    <row r="2086" spans="1:5" x14ac:dyDescent="0.25">
      <c r="A2086" t="s">
        <v>1828</v>
      </c>
      <c r="B2086" t="s">
        <v>1232</v>
      </c>
      <c r="E2086" t="str">
        <f>IF(OR(E2085="&lt;/routeDistribution&gt;",E2085=""),"",IFERROR(_xlfn.CONCAT(VLOOKUP(DA5,Route_Column!#REF!,2,FALSE),CHAR(34)," probability=",CHAR(34),1/DA$4,CHAR(34),CHAR(47),CHAR(62)),"&lt;/routeDistribution&gt;"))</f>
        <v>&lt;/routeDistribution&gt;</v>
      </c>
    </row>
    <row r="2087" spans="1:5" x14ac:dyDescent="0.25">
      <c r="A2087" t="s">
        <v>1828</v>
      </c>
      <c r="B2087" t="s">
        <v>1233</v>
      </c>
      <c r="E2087" t="str">
        <f>IF(OR(E2086="&lt;/routeDistribution&gt;",E2086=""),"",IFERROR(_xlfn.CONCAT(VLOOKUP(DA6,Route_Column!#REF!,2,FALSE),CHAR(34)," probability=",CHAR(34),1/DA$4,CHAR(34),CHAR(47),CHAR(62)),"&lt;/routeDistribution&gt;"))</f>
        <v/>
      </c>
    </row>
    <row r="2088" spans="1:5" x14ac:dyDescent="0.25">
      <c r="A2088" t="s">
        <v>1828</v>
      </c>
      <c r="B2088" t="s">
        <v>1233</v>
      </c>
      <c r="E2088" t="str">
        <f>IF(OR(E2087="&lt;/routeDistribution&gt;",E2087=""),"",IFERROR(_xlfn.CONCAT(VLOOKUP(DA7,Route_Column!#REF!,2,FALSE),CHAR(34)," probability=",CHAR(34),1/DA$4,CHAR(34),CHAR(47),CHAR(62)),"&lt;/routeDistribution&gt;"))</f>
        <v/>
      </c>
    </row>
    <row r="2089" spans="1:5" x14ac:dyDescent="0.25">
      <c r="A2089" t="s">
        <v>1828</v>
      </c>
      <c r="B2089" t="s">
        <v>1234</v>
      </c>
      <c r="E2089" t="str">
        <f>IF(OR(E2088="&lt;/routeDistribution&gt;",E2088=""),"",IFERROR(_xlfn.CONCAT(VLOOKUP(DA8,Route_Column!#REF!,2,FALSE),CHAR(34)," probability=",CHAR(34),1/DA$4,CHAR(34),CHAR(47),CHAR(62)),"&lt;/routeDistribution&gt;"))</f>
        <v/>
      </c>
    </row>
    <row r="2090" spans="1:5" x14ac:dyDescent="0.25">
      <c r="A2090" t="s">
        <v>1828</v>
      </c>
      <c r="B2090" t="s">
        <v>1235</v>
      </c>
      <c r="E2090" t="str">
        <f>IF(OR(E2089="&lt;/routeDistribution&gt;",E2089=""),"",IFERROR(_xlfn.CONCAT(VLOOKUP(DA9,Route_Column!#REF!,2,FALSE),CHAR(34)," probability=",CHAR(34),1/DA$4,CHAR(34),CHAR(47),CHAR(62)),"&lt;/routeDistribution&gt;"))</f>
        <v/>
      </c>
    </row>
    <row r="2091" spans="1:5" x14ac:dyDescent="0.25">
      <c r="A2091" t="s">
        <v>1828</v>
      </c>
      <c r="B2091" t="s">
        <v>1236</v>
      </c>
      <c r="E2091" t="str">
        <f>IF(OR(E2090="&lt;/routeDistribution&gt;",E2090=""),"",IFERROR(_xlfn.CONCAT(VLOOKUP(DA10,Route_Column!#REF!,2,FALSE),CHAR(34)," probability=",CHAR(34),1/DA$4,CHAR(34),CHAR(47),CHAR(62)),"&lt;/routeDistribution&gt;"))</f>
        <v/>
      </c>
    </row>
    <row r="2092" spans="1:5" x14ac:dyDescent="0.25">
      <c r="A2092" t="s">
        <v>1828</v>
      </c>
      <c r="B2092" t="s">
        <v>1237</v>
      </c>
      <c r="E2092" t="str">
        <f>IF(OR(E2091="&lt;/routeDistribution&gt;",E2091=""),"",IFERROR(_xlfn.CONCAT(VLOOKUP(DA11,Route_Column!#REF!,2,FALSE),CHAR(34)," probability=",CHAR(34),1/DA$4,CHAR(34),CHAR(47),CHAR(62)),"&lt;/routeDistribution&gt;"))</f>
        <v/>
      </c>
    </row>
    <row r="2093" spans="1:5" x14ac:dyDescent="0.25">
      <c r="A2093" t="s">
        <v>1828</v>
      </c>
      <c r="B2093" t="s">
        <v>1238</v>
      </c>
      <c r="E2093" t="str">
        <f>IF(OR(E2092="&lt;/routeDistribution&gt;",E2092=""),"",IFERROR(_xlfn.CONCAT(VLOOKUP(DA12,Route_Column!#REF!,2,FALSE),CHAR(34)," probability=",CHAR(34),1/DA$4,CHAR(34),CHAR(47),CHAR(62)),"&lt;/routeDistribution&gt;"))</f>
        <v/>
      </c>
    </row>
    <row r="2094" spans="1:5" x14ac:dyDescent="0.25">
      <c r="A2094" t="s">
        <v>1828</v>
      </c>
      <c r="B2094" t="s">
        <v>1239</v>
      </c>
      <c r="E2094" t="str">
        <f>IF(OR(E2093="&lt;/routeDistribution&gt;",E2093=""),"",IFERROR(_xlfn.CONCAT(VLOOKUP(DA13,Route_Column!#REF!,2,FALSE),CHAR(34)," probability=",CHAR(34),1/DA$4,CHAR(34),CHAR(47),CHAR(62)),"&lt;/routeDistribution&gt;"))</f>
        <v/>
      </c>
    </row>
    <row r="2095" spans="1:5" x14ac:dyDescent="0.25">
      <c r="A2095" t="s">
        <v>1828</v>
      </c>
      <c r="B2095" t="s">
        <v>1240</v>
      </c>
      <c r="E2095" t="str">
        <f>IF(OR(E2094="&lt;/routeDistribution&gt;",E2094=""),"",IFERROR(_xlfn.CONCAT(VLOOKUP(DA14,Route_Column!#REF!,2,FALSE),CHAR(34)," probability=",CHAR(34),1/DA$4,CHAR(34),CHAR(47),CHAR(62)),"&lt;/routeDistribution&gt;"))</f>
        <v/>
      </c>
    </row>
    <row r="2096" spans="1:5" x14ac:dyDescent="0.25">
      <c r="A2096" t="s">
        <v>1828</v>
      </c>
      <c r="B2096" t="s">
        <v>1241</v>
      </c>
      <c r="E2096" t="str">
        <f>IF(OR(E2095="&lt;/routeDistribution&gt;",E2095=""),"",IFERROR(_xlfn.CONCAT(VLOOKUP(DA15,Route_Column!#REF!,2,FALSE),CHAR(34)," probability=",CHAR(34),1/DA$4,CHAR(34),CHAR(47),CHAR(62)),"&lt;/routeDistribution&gt;"))</f>
        <v/>
      </c>
    </row>
    <row r="2097" spans="1:5" x14ac:dyDescent="0.25">
      <c r="A2097" t="s">
        <v>1828</v>
      </c>
      <c r="B2097" t="s">
        <v>1242</v>
      </c>
      <c r="E2097" t="str">
        <f>IF(OR(E2096="&lt;/routeDistribution&gt;",E2096=""),"",IFERROR(_xlfn.CONCAT(VLOOKUP(DA16,Route_Column!#REF!,2,FALSE),CHAR(34)," probability=",CHAR(34),1/DA$4,CHAR(34),CHAR(47),CHAR(62)),"&lt;/routeDistribution&gt;"))</f>
        <v/>
      </c>
    </row>
    <row r="2098" spans="1:5" x14ac:dyDescent="0.25">
      <c r="A2098" t="s">
        <v>1828</v>
      </c>
      <c r="B2098" t="s">
        <v>1243</v>
      </c>
      <c r="E2098" t="str">
        <f>IF(OR(E2097="&lt;/routeDistribution&gt;",E2097=""),"",IFERROR(_xlfn.CONCAT(VLOOKUP(DA17,Route_Column!#REF!,2,FALSE),CHAR(34)," probability=",CHAR(34),1/DA$4,CHAR(34),CHAR(47),CHAR(62)),"&lt;/routeDistribution&gt;"))</f>
        <v/>
      </c>
    </row>
    <row r="2099" spans="1:5" x14ac:dyDescent="0.25">
      <c r="A2099" t="s">
        <v>1828</v>
      </c>
      <c r="B2099" t="s">
        <v>1244</v>
      </c>
      <c r="E2099" t="str">
        <f>IF(OR(E2098="&lt;/routeDistribution&gt;",E2098=""),"",IFERROR(_xlfn.CONCAT(VLOOKUP(DA18,Route_Column!#REF!,2,FALSE),CHAR(34)," probability=",CHAR(34),1/DA$4,CHAR(34),CHAR(47),CHAR(62)),"&lt;/routeDistribution&gt;"))</f>
        <v/>
      </c>
    </row>
    <row r="2100" spans="1:5" x14ac:dyDescent="0.25">
      <c r="A2100" t="s">
        <v>1828</v>
      </c>
      <c r="B2100" t="s">
        <v>1245</v>
      </c>
      <c r="E2100" t="str">
        <f>IF(OR(E2099="&lt;/routeDistribution&gt;",E2099=""),"",IFERROR(_xlfn.CONCAT(VLOOKUP(DA19,Route_Column!#REF!,2,FALSE),CHAR(34)," probability=",CHAR(34),1/DA$4,CHAR(34),CHAR(47),CHAR(62)),"&lt;/routeDistribution&gt;"))</f>
        <v/>
      </c>
    </row>
    <row r="2101" spans="1:5" x14ac:dyDescent="0.25">
      <c r="A2101" t="s">
        <v>1828</v>
      </c>
      <c r="B2101" t="s">
        <v>1246</v>
      </c>
      <c r="E2101" t="str">
        <f>IF(OR(E2100="&lt;/routeDistribution&gt;",E2100=""),"",IFERROR(_xlfn.CONCAT(VLOOKUP(DA20,Route_Column!#REF!,2,FALSE),CHAR(34)," probability=",CHAR(34),1/DA$4,CHAR(34),CHAR(47),CHAR(62)),"&lt;/routeDistribution&gt;"))</f>
        <v/>
      </c>
    </row>
    <row r="2102" spans="1:5" x14ac:dyDescent="0.25">
      <c r="A2102" t="s">
        <v>1828</v>
      </c>
      <c r="B2102" t="s">
        <v>1247</v>
      </c>
      <c r="E2102" t="str">
        <f>IF(OR(E2101="&lt;/routeDistribution&gt;",E2101=""),"",IFERROR(_xlfn.CONCAT(VLOOKUP(DA21,Route_Column!#REF!,2,FALSE),CHAR(34)," probability=",CHAR(34),1/DA$4,CHAR(34),CHAR(47),CHAR(62)),"&lt;/routeDistribution&gt;"))</f>
        <v/>
      </c>
    </row>
    <row r="2103" spans="1:5" x14ac:dyDescent="0.25">
      <c r="A2103" t="s">
        <v>1828</v>
      </c>
      <c r="B2103" t="s">
        <v>1248</v>
      </c>
      <c r="E2103" t="str">
        <f>IF(OR(E2102="&lt;/routeDistribution&gt;",E2102=""),"",IFERROR(_xlfn.CONCAT(VLOOKUP(DA22,Route_Column!#REF!,2,FALSE),CHAR(34)," probability=",CHAR(34),1/DA$4,CHAR(34),CHAR(47),CHAR(62)),"&lt;/routeDistribution&gt;"))</f>
        <v/>
      </c>
    </row>
    <row r="2104" spans="1:5" x14ac:dyDescent="0.25">
      <c r="A2104" t="s">
        <v>1828</v>
      </c>
      <c r="B2104" t="s">
        <v>1249</v>
      </c>
      <c r="E2104" t="str">
        <f>IF(OR(E2103="&lt;/routeDistribution&gt;",E2103=""),"",IFERROR(_xlfn.CONCAT(VLOOKUP(DA23,Route_Column!#REF!,2,FALSE),CHAR(34)," probability=",CHAR(34),1/DA$4,CHAR(34),CHAR(47),CHAR(62)),"&lt;/routeDistribution&gt;"))</f>
        <v/>
      </c>
    </row>
    <row r="2105" spans="1:5" x14ac:dyDescent="0.25">
      <c r="A2105" t="s">
        <v>1828</v>
      </c>
      <c r="B2105" t="s">
        <v>1250</v>
      </c>
      <c r="E2105" t="str">
        <f>IF(OR(E2104="&lt;/routeDistribution&gt;",E2104=""),"",IFERROR(_xlfn.CONCAT(VLOOKUP(DA24,Route_Column!#REF!,2,FALSE),CHAR(34)," probability=",CHAR(34),1/DA$4,CHAR(34),CHAR(47),CHAR(62)),"&lt;/routeDistribution&gt;"))</f>
        <v/>
      </c>
    </row>
    <row r="2106" spans="1:5" x14ac:dyDescent="0.25">
      <c r="A2106" t="s">
        <v>1828</v>
      </c>
      <c r="B2106" t="s">
        <v>1251</v>
      </c>
      <c r="E2106" t="str">
        <f>IF(OR(E2105="&lt;/routeDistribution&gt;",E2105=""),"",IFERROR(_xlfn.CONCAT(VLOOKUP(DA25,Route_Column!#REF!,2,FALSE),CHAR(34)," probability=",CHAR(34),1/DA$4,CHAR(34),CHAR(47),CHAR(62)),"&lt;/routeDistribution&gt;"))</f>
        <v/>
      </c>
    </row>
    <row r="2107" spans="1:5" x14ac:dyDescent="0.25">
      <c r="A2107" t="s">
        <v>1828</v>
      </c>
      <c r="B2107" t="s">
        <v>1252</v>
      </c>
      <c r="E2107" t="str">
        <f>IF(OR(E2106="&lt;/routeDistribution&gt;",E2106=""),"",IFERROR(_xlfn.CONCAT(VLOOKUP(DA26,Route_Column!#REF!,2,FALSE),CHAR(34)," probability=",CHAR(34),1/DA$4,CHAR(34),CHAR(47),CHAR(62)),"&lt;/routeDistribution&gt;"))</f>
        <v/>
      </c>
    </row>
    <row r="2108" spans="1:5" x14ac:dyDescent="0.25">
      <c r="A2108" t="s">
        <v>2054</v>
      </c>
      <c r="B2108" t="s">
        <v>1138</v>
      </c>
      <c r="E2108" t="str">
        <f>IF(OR(E2107="&lt;/routeDistribution&gt;",E2107=""),"",IFERROR(_xlfn.CONCAT(VLOOKUP(DA27,Route_Column!#REF!,2,FALSE),CHAR(34)," probability=",CHAR(34),1/DA$4,CHAR(34),CHAR(47),CHAR(62)),"&lt;/routeDistribution&gt;"))</f>
        <v/>
      </c>
    </row>
    <row r="2109" spans="1:5" x14ac:dyDescent="0.25">
      <c r="A2109" t="s">
        <v>2054</v>
      </c>
      <c r="B2109" t="s">
        <v>1154</v>
      </c>
      <c r="E2109" t="str">
        <f>IF(OR(E2108="&lt;/routeDistribution&gt;",E2108=""),"",IFERROR(_xlfn.CONCAT(VLOOKUP(DA28,Route_Column!#REF!,2,FALSE),CHAR(34)," probability=",CHAR(34),1/DA$4,CHAR(34),CHAR(47),CHAR(62)),"&lt;/routeDistribution&gt;"))</f>
        <v/>
      </c>
    </row>
    <row r="2110" spans="1:5" x14ac:dyDescent="0.25">
      <c r="A2110" t="s">
        <v>2054</v>
      </c>
      <c r="B2110" t="s">
        <v>1173</v>
      </c>
      <c r="E2110" t="str">
        <f>IF(OR(E2109="&lt;/routeDistribution&gt;",E2109=""),"",IFERROR(_xlfn.CONCAT(VLOOKUP(DA29,Route_Column!#REF!,2,FALSE),CHAR(34)," probability=",CHAR(34),1/DA$4,CHAR(34),CHAR(47),CHAR(62)),"&lt;/routeDistribution&gt;"))</f>
        <v/>
      </c>
    </row>
    <row r="2111" spans="1:5" x14ac:dyDescent="0.25">
      <c r="A2111" t="s">
        <v>2054</v>
      </c>
      <c r="B2111" t="s">
        <v>1174</v>
      </c>
      <c r="E2111" t="str">
        <f>IF(OR(E2110="&lt;/routeDistribution&gt;",E2110=""),"",IFERROR(_xlfn.CONCAT(VLOOKUP(DA30,Route_Column!#REF!,2,FALSE),CHAR(34)," probability=",CHAR(34),1/DA$4,CHAR(34),CHAR(47),CHAR(62)),"&lt;/routeDistribution&gt;"))</f>
        <v/>
      </c>
    </row>
    <row r="2112" spans="1:5" x14ac:dyDescent="0.25">
      <c r="A2112" t="s">
        <v>2054</v>
      </c>
      <c r="B2112" t="s">
        <v>1175</v>
      </c>
      <c r="E2112" t="str">
        <f>IF(OR(E2111="&lt;/routeDistribution&gt;",E2111=""),"",IFERROR(_xlfn.CONCAT(VLOOKUP(DA31,Route_Column!#REF!,2,FALSE),CHAR(34)," probability=",CHAR(34),1/DA$4,CHAR(34),CHAR(47),CHAR(62)),"&lt;/routeDistribution&gt;"))</f>
        <v/>
      </c>
    </row>
    <row r="2113" spans="1:5" x14ac:dyDescent="0.25">
      <c r="A2113" t="s">
        <v>2054</v>
      </c>
      <c r="B2113" t="s">
        <v>1176</v>
      </c>
      <c r="E2113" t="str">
        <f>IF(OR(E2112="&lt;/routeDistribution&gt;",E2112=""),"",IFERROR(_xlfn.CONCAT(VLOOKUP(DA32,Route_Column!#REF!,2,FALSE),CHAR(34)," probability=",CHAR(34),1/DA$4,CHAR(34),CHAR(47),CHAR(62)),"&lt;/routeDistribution&gt;"))</f>
        <v/>
      </c>
    </row>
    <row r="2114" spans="1:5" x14ac:dyDescent="0.25">
      <c r="A2114" t="s">
        <v>2054</v>
      </c>
      <c r="B2114" t="s">
        <v>1177</v>
      </c>
      <c r="E2114" t="str">
        <f>IF(OR(E2113="&lt;/routeDistribution&gt;",E2113=""),"",IFERROR(_xlfn.CONCAT(VLOOKUP(DA33,Route_Column!#REF!,2,FALSE),CHAR(34)," probability=",CHAR(34),1/DA$4,CHAR(34),CHAR(47),CHAR(62)),"&lt;/routeDistribution&gt;"))</f>
        <v/>
      </c>
    </row>
    <row r="2115" spans="1:5" x14ac:dyDescent="0.25">
      <c r="A2115" t="s">
        <v>2054</v>
      </c>
      <c r="B2115" t="s">
        <v>1178</v>
      </c>
      <c r="E2115" t="str">
        <f>IF(OR(E2114="&lt;/routeDistribution&gt;",E2114=""),"",IFERROR(_xlfn.CONCAT(VLOOKUP(DA34,Route_Column!#REF!,2,FALSE),CHAR(34)," probability=",CHAR(34),1/DA$4,CHAR(34),CHAR(47),CHAR(62)),"&lt;/routeDistribution&gt;"))</f>
        <v/>
      </c>
    </row>
    <row r="2116" spans="1:5" x14ac:dyDescent="0.25">
      <c r="A2116" t="s">
        <v>2054</v>
      </c>
      <c r="B2116" t="s">
        <v>1179</v>
      </c>
      <c r="E2116" t="str">
        <f>IF(OR(E2115="&lt;/routeDistribution&gt;",E2115=""),"",IFERROR(_xlfn.CONCAT(VLOOKUP(DA35,Route_Column!#REF!,2,FALSE),CHAR(34)," probability=",CHAR(34),1/DA$4,CHAR(34),CHAR(47),CHAR(62)),"&lt;/routeDistribution&gt;"))</f>
        <v/>
      </c>
    </row>
    <row r="2117" spans="1:5" x14ac:dyDescent="0.25">
      <c r="A2117" t="s">
        <v>2054</v>
      </c>
      <c r="B2117" t="s">
        <v>1180</v>
      </c>
      <c r="E2117" t="str">
        <f>IF(OR(E2116="&lt;/routeDistribution&gt;",E2116=""),"",IFERROR(_xlfn.CONCAT(VLOOKUP(DA36,Route_Column!#REF!,2,FALSE),CHAR(34)," probability=",CHAR(34),1/DA$4,CHAR(34),CHAR(47),CHAR(62)),"&lt;/routeDistribution&gt;"))</f>
        <v/>
      </c>
    </row>
    <row r="2118" spans="1:5" x14ac:dyDescent="0.25">
      <c r="A2118" t="s">
        <v>2054</v>
      </c>
      <c r="B2118" t="s">
        <v>1181</v>
      </c>
      <c r="E2118" t="str">
        <f>IF(OR(E2117="&lt;/routeDistribution&gt;",E2117=""),"",IFERROR(_xlfn.CONCAT(VLOOKUP(DA37,Route_Column!#REF!,2,FALSE),CHAR(34)," probability=",CHAR(34),1/DA$4,CHAR(34),CHAR(47),CHAR(62)),"&lt;/routeDistribution&gt;"))</f>
        <v/>
      </c>
    </row>
    <row r="2119" spans="1:5" x14ac:dyDescent="0.25">
      <c r="A2119" t="s">
        <v>2054</v>
      </c>
      <c r="B2119" t="s">
        <v>1182</v>
      </c>
      <c r="E2119" t="str">
        <f>IF(OR(E2118="&lt;/routeDistribution&gt;",E2118=""),"",IFERROR(_xlfn.CONCAT(VLOOKUP(DA38,Route_Column!#REF!,2,FALSE),CHAR(34)," probability=",CHAR(34),1/DA$4,CHAR(34),CHAR(47),CHAR(62)),"&lt;/routeDistribution&gt;"))</f>
        <v/>
      </c>
    </row>
    <row r="2120" spans="1:5" x14ac:dyDescent="0.25">
      <c r="A2120" t="s">
        <v>2054</v>
      </c>
      <c r="B2120" t="s">
        <v>1183</v>
      </c>
      <c r="E2120" t="str">
        <f>IF(OR(E2119="&lt;/routeDistribution&gt;",E2119=""),"",IFERROR(_xlfn.CONCAT(VLOOKUP(DA39,Route_Column!#REF!,2,FALSE),CHAR(34)," probability=",CHAR(34),1/DA$4,CHAR(34),CHAR(47),CHAR(62)),"&lt;/routeDistribution&gt;"))</f>
        <v/>
      </c>
    </row>
    <row r="2121" spans="1:5" x14ac:dyDescent="0.25">
      <c r="A2121" t="s">
        <v>2054</v>
      </c>
      <c r="B2121" t="s">
        <v>1184</v>
      </c>
      <c r="E2121" t="str">
        <f>IF(OR(E2120="&lt;/routeDistribution&gt;",E2120=""),"",IFERROR(_xlfn.CONCAT(VLOOKUP(DA40,Route_Column!#REF!,2,FALSE),CHAR(34)," probability=",CHAR(34),1/DA$4,CHAR(34),CHAR(47),CHAR(62)),"&lt;/routeDistribution&gt;"))</f>
        <v/>
      </c>
    </row>
    <row r="2122" spans="1:5" x14ac:dyDescent="0.25">
      <c r="A2122" t="s">
        <v>2054</v>
      </c>
      <c r="B2122" t="s">
        <v>1185</v>
      </c>
      <c r="E2122" t="str">
        <f>IF(OR(E2121="&lt;/routeDistribution&gt;",E2121=""),"",IFERROR(_xlfn.CONCAT(VLOOKUP(DA41,Route_Column!#REF!,2,FALSE),CHAR(34)," probability=",CHAR(34),1/DA$4,CHAR(34),CHAR(47),CHAR(62)),"&lt;/routeDistribution&gt;"))</f>
        <v/>
      </c>
    </row>
    <row r="2123" spans="1:5" x14ac:dyDescent="0.25">
      <c r="A2123" t="s">
        <v>2054</v>
      </c>
      <c r="B2123" t="s">
        <v>1186</v>
      </c>
      <c r="E2123" t="str">
        <f>IF(OR(E2122="&lt;/routeDistribution&gt;",E2122=""),"",IFERROR(_xlfn.CONCAT(VLOOKUP(DA42,Route_Column!#REF!,2,FALSE),CHAR(34)," probability=",CHAR(34),1/DA$4,CHAR(34),CHAR(47),CHAR(62)),"&lt;/routeDistribution&gt;"))</f>
        <v/>
      </c>
    </row>
    <row r="2124" spans="1:5" x14ac:dyDescent="0.25">
      <c r="A2124" t="s">
        <v>2054</v>
      </c>
      <c r="B2124" t="s">
        <v>1187</v>
      </c>
      <c r="E2124" t="str">
        <f>IF(OR(E2123="&lt;/routeDistribution&gt;",E2123=""),"",IFERROR(_xlfn.CONCAT(VLOOKUP(DA43,Route_Column!#REF!,2,FALSE),CHAR(34)," probability=",CHAR(34),1/DA$4,CHAR(34),CHAR(47),CHAR(62)),"&lt;/routeDistribution&gt;"))</f>
        <v/>
      </c>
    </row>
    <row r="2125" spans="1:5" x14ac:dyDescent="0.25">
      <c r="A2125" t="s">
        <v>2054</v>
      </c>
      <c r="B2125" t="s">
        <v>1188</v>
      </c>
      <c r="E2125" t="str">
        <f>IF(OR(E2124="&lt;/routeDistribution&gt;",E2124=""),"",IFERROR(_xlfn.CONCAT(VLOOKUP(DA44,Route_Column!#REF!,2,FALSE),CHAR(34)," probability=",CHAR(34),1/DA$4,CHAR(34),CHAR(47),CHAR(62)),"&lt;/routeDistribution&gt;"))</f>
        <v/>
      </c>
    </row>
    <row r="2126" spans="1:5" x14ac:dyDescent="0.25">
      <c r="A2126" t="s">
        <v>2054</v>
      </c>
      <c r="B2126" t="s">
        <v>1189</v>
      </c>
      <c r="E2126" t="str">
        <f>IF(OR(E2125="&lt;/routeDistribution&gt;",E2125=""),"",IFERROR(_xlfn.CONCAT(VLOOKUP(DA45,Route_Column!#REF!,2,FALSE),CHAR(34)," probability=",CHAR(34),1/DA$4,CHAR(34),CHAR(47),CHAR(62)),"&lt;/routeDistribution&gt;"))</f>
        <v/>
      </c>
    </row>
    <row r="2127" spans="1:5" x14ac:dyDescent="0.25">
      <c r="A2127" t="s">
        <v>2054</v>
      </c>
      <c r="B2127" t="s">
        <v>1191</v>
      </c>
      <c r="E2127" t="str">
        <f>IF(OR(E2126="&lt;/routeDistribution&gt;",E2126=""),"",IFERROR(_xlfn.CONCAT(VLOOKUP(DA46,Route_Column!#REF!,2,FALSE),CHAR(34)," probability=",CHAR(34),1/DA$4,CHAR(34),CHAR(47),CHAR(62)),"&lt;/routeDistribution&gt;"))</f>
        <v/>
      </c>
    </row>
    <row r="2128" spans="1:5" x14ac:dyDescent="0.25">
      <c r="A2128" t="s">
        <v>2054</v>
      </c>
      <c r="B2128" t="s">
        <v>1192</v>
      </c>
      <c r="E2128" t="str">
        <f>IF(OR(E2127="&lt;/routeDistribution&gt;",E2127=""),"",IFERROR(_xlfn.CONCAT(VLOOKUP(DA47,Route_Column!#REF!,2,FALSE),CHAR(34)," probability=",CHAR(34),1/DA$4,CHAR(34),CHAR(47),CHAR(62)),"&lt;/routeDistribution&gt;"))</f>
        <v/>
      </c>
    </row>
    <row r="2129" spans="1:5" x14ac:dyDescent="0.25">
      <c r="A2129" t="s">
        <v>2054</v>
      </c>
      <c r="B2129" t="s">
        <v>1193</v>
      </c>
      <c r="E2129" t="str">
        <f>IF(OR(E2128="&lt;/routeDistribution&gt;",E2128=""),"",IFERROR(_xlfn.CONCAT(VLOOKUP(DA48,Route_Column!#REF!,2,FALSE),CHAR(34)," probability=",CHAR(34),1/DA$4,CHAR(34),CHAR(47),CHAR(62)),"&lt;/routeDistribution&gt;"))</f>
        <v/>
      </c>
    </row>
    <row r="2130" spans="1:5" x14ac:dyDescent="0.25">
      <c r="A2130" t="s">
        <v>2054</v>
      </c>
      <c r="B2130" t="s">
        <v>1194</v>
      </c>
      <c r="E2130" t="str">
        <f>IF(OR(E2129="&lt;/routeDistribution&gt;",E2129=""),"",IFERROR(_xlfn.CONCAT(VLOOKUP(DA49,Route_Column!#REF!,2,FALSE),CHAR(34)," probability=",CHAR(34),1/DA$4,CHAR(34),CHAR(47),CHAR(62)),"&lt;/routeDistribution&gt;"))</f>
        <v/>
      </c>
    </row>
    <row r="2131" spans="1:5" x14ac:dyDescent="0.25">
      <c r="A2131" t="s">
        <v>2054</v>
      </c>
      <c r="B2131" t="s">
        <v>1195</v>
      </c>
      <c r="E2131" t="str">
        <f>IF(OR(E2130="&lt;/routeDistribution&gt;",E2130=""),"",IFERROR(_xlfn.CONCAT(VLOOKUP(DA50,Route_Column!#REF!,2,FALSE),CHAR(34)," probability=",CHAR(34),1/DA$4,CHAR(34),CHAR(47),CHAR(62)),"&lt;/routeDistribution&gt;"))</f>
        <v/>
      </c>
    </row>
    <row r="2132" spans="1:5" x14ac:dyDescent="0.25">
      <c r="A2132" t="s">
        <v>2054</v>
      </c>
      <c r="B2132" t="s">
        <v>1196</v>
      </c>
      <c r="E2132" t="str">
        <f>IF(OR(E2131="&lt;/routeDistribution&gt;",E2131=""),"",IFERROR(_xlfn.CONCAT(VLOOKUP(DA51,Route_Column!#REF!,2,FALSE),CHAR(34)," probability=",CHAR(34),1/DA$4,CHAR(34),CHAR(47),CHAR(62)),"&lt;/routeDistribution&gt;"))</f>
        <v/>
      </c>
    </row>
    <row r="2133" spans="1:5" x14ac:dyDescent="0.25">
      <c r="A2133" t="s">
        <v>2054</v>
      </c>
      <c r="B2133" t="s">
        <v>1197</v>
      </c>
      <c r="E2133" t="str">
        <f>IF(OR(E2132="&lt;/routeDistribution&gt;",E2132=""),"",IFERROR(_xlfn.CONCAT(VLOOKUP(DA52,Route_Column!#REF!,2,FALSE),CHAR(34)," probability=",CHAR(34),1/DA$4,CHAR(34),CHAR(47),CHAR(62)),"&lt;/routeDistribution&gt;"))</f>
        <v/>
      </c>
    </row>
    <row r="2134" spans="1:5" x14ac:dyDescent="0.25">
      <c r="A2134" t="s">
        <v>2054</v>
      </c>
      <c r="B2134" t="s">
        <v>1198</v>
      </c>
      <c r="E2134" t="str">
        <f>IF(OR(E2133="&lt;/routeDistribution&gt;",E2133=""),"",IFERROR(_xlfn.CONCAT(VLOOKUP(DA53,Route_Column!#REF!,2,FALSE),CHAR(34)," probability=",CHAR(34),1/DA$4,CHAR(34),CHAR(47),CHAR(62)),"&lt;/routeDistribution&gt;"))</f>
        <v/>
      </c>
    </row>
    <row r="2135" spans="1:5" x14ac:dyDescent="0.25">
      <c r="A2135" s="13" t="s">
        <v>1528</v>
      </c>
      <c r="B2135" t="s">
        <v>1091</v>
      </c>
      <c r="E2135" t="str">
        <f>IF(OR(E2134="&lt;/routeDistribution&gt;",E2134=""),"",IFERROR(_xlfn.CONCAT(VLOOKUP(DA54,Route_Column!#REF!,2,FALSE),CHAR(34)," probability=",CHAR(34),1/DA$4,CHAR(34),CHAR(47),CHAR(62)),"&lt;/routeDistribution&gt;"))</f>
        <v/>
      </c>
    </row>
    <row r="2136" spans="1:5" x14ac:dyDescent="0.25">
      <c r="A2136" t="s">
        <v>1528</v>
      </c>
      <c r="B2136" t="s">
        <v>1092</v>
      </c>
      <c r="E2136" t="str">
        <f>IF(OR(E2135="&lt;/routeDistribution&gt;",E2135=""),"",IFERROR(_xlfn.CONCAT(VLOOKUP(DA55,Route_Column!#REF!,2,FALSE),CHAR(34)," probability=",CHAR(34),1/DA$4,CHAR(34),CHAR(47),CHAR(62)),"&lt;/routeDistribution&gt;"))</f>
        <v/>
      </c>
    </row>
    <row r="2137" spans="1:5" x14ac:dyDescent="0.25">
      <c r="A2137" t="s">
        <v>1528</v>
      </c>
      <c r="B2137" t="s">
        <v>1093</v>
      </c>
      <c r="E2137" t="str">
        <f>IF(OR(E2136="&lt;/routeDistribution&gt;",E2136=""),"",IFERROR(_xlfn.CONCAT(VLOOKUP(DA56,Route_Column!#REF!,2,FALSE),CHAR(34)," probability=",CHAR(34),1/DA$4,CHAR(34),CHAR(47),CHAR(62)),"&lt;/routeDistribution&gt;"))</f>
        <v/>
      </c>
    </row>
    <row r="2138" spans="1:5" x14ac:dyDescent="0.25">
      <c r="A2138" t="s">
        <v>1528</v>
      </c>
      <c r="B2138" t="s">
        <v>1094</v>
      </c>
      <c r="E2138" t="str">
        <f>IF(OR(E2137="&lt;/routeDistribution&gt;",E2137=""),"",IFERROR(_xlfn.CONCAT(VLOOKUP(DA57,Route_Column!#REF!,2,FALSE),CHAR(34)," probability=",CHAR(34),1/DA$4,CHAR(34),CHAR(47),CHAR(62)),"&lt;/routeDistribution&gt;"))</f>
        <v/>
      </c>
    </row>
    <row r="2139" spans="1:5" x14ac:dyDescent="0.25">
      <c r="A2139" t="s">
        <v>1528</v>
      </c>
      <c r="B2139" t="s">
        <v>1108</v>
      </c>
      <c r="E2139" t="str">
        <f>IF(OR(E2138="&lt;/routeDistribution&gt;",E2138=""),"",IFERROR(_xlfn.CONCAT(VLOOKUP(DA58,Route_Column!#REF!,2,FALSE),CHAR(34)," probability=",CHAR(34),1/DA$4,CHAR(34),CHAR(47),CHAR(62)),"&lt;/routeDistribution&gt;"))</f>
        <v/>
      </c>
    </row>
    <row r="2140" spans="1:5" x14ac:dyDescent="0.25">
      <c r="A2140" t="s">
        <v>1528</v>
      </c>
      <c r="B2140" t="s">
        <v>1140</v>
      </c>
      <c r="E2140" t="str">
        <f>IF(OR(E2139="&lt;/routeDistribution&gt;",E2139=""),"",IFERROR(_xlfn.CONCAT(VLOOKUP(DA59,Route_Column!#REF!,2,FALSE),CHAR(34)," probability=",CHAR(34),1/DA$4,CHAR(34),CHAR(47),CHAR(62)),"&lt;/routeDistribution&gt;"))</f>
        <v/>
      </c>
    </row>
    <row r="2141" spans="1:5" x14ac:dyDescent="0.25">
      <c r="A2141" t="s">
        <v>1528</v>
      </c>
      <c r="B2141" t="s">
        <v>1141</v>
      </c>
      <c r="E2141" t="str">
        <f>IF(OR(E2140="&lt;/routeDistribution&gt;",E2140=""),"",IFERROR(_xlfn.CONCAT(VLOOKUP(DA60,Route_Column!#REF!,2,FALSE),CHAR(34)," probability=",CHAR(34),1/DA$4,CHAR(34),CHAR(47),CHAR(62)),"&lt;/routeDistribution&gt;"))</f>
        <v/>
      </c>
    </row>
    <row r="2142" spans="1:5" x14ac:dyDescent="0.25">
      <c r="A2142" t="s">
        <v>1528</v>
      </c>
      <c r="B2142" t="s">
        <v>1142</v>
      </c>
      <c r="E2142" t="str">
        <f>IF(OR(E2141="&lt;/routeDistribution&gt;",E2141=""),"",IFERROR(_xlfn.CONCAT(VLOOKUP(DA61,Route_Column!#REF!,2,FALSE),CHAR(34)," probability=",CHAR(34),1/DA$4,CHAR(34),CHAR(47),CHAR(62)),"&lt;/routeDistribution&gt;"))</f>
        <v/>
      </c>
    </row>
    <row r="2143" spans="1:5" x14ac:dyDescent="0.25">
      <c r="A2143" t="s">
        <v>1528</v>
      </c>
      <c r="B2143" t="s">
        <v>1150</v>
      </c>
      <c r="E2143" t="str">
        <f>IF(OR(E2142="&lt;/routeDistribution&gt;",E2142=""),"",IFERROR(_xlfn.CONCAT(VLOOKUP(DA62,Route_Column!#REF!,2,FALSE),CHAR(34)," probability=",CHAR(34),1/DA$4,CHAR(34),CHAR(47),CHAR(62)),"&lt;/routeDistribution&gt;"))</f>
        <v/>
      </c>
    </row>
    <row r="2144" spans="1:5" x14ac:dyDescent="0.25">
      <c r="A2144" t="s">
        <v>1528</v>
      </c>
      <c r="B2144" t="s">
        <v>1151</v>
      </c>
      <c r="E2144" t="str">
        <f>IF(OR(E2143="&lt;/routeDistribution&gt;",E2143=""),"",IFERROR(_xlfn.CONCAT(VLOOKUP(DA63,Route_Column!#REF!,2,FALSE),CHAR(34)," probability=",CHAR(34),1/DA$4,CHAR(34),CHAR(47),CHAR(62)),"&lt;/routeDistribution&gt;"))</f>
        <v/>
      </c>
    </row>
    <row r="2145" spans="1:5" x14ac:dyDescent="0.25">
      <c r="A2145" t="s">
        <v>1528</v>
      </c>
      <c r="B2145" t="s">
        <v>1160</v>
      </c>
      <c r="E2145" t="s">
        <v>2686</v>
      </c>
    </row>
    <row r="2146" spans="1:5" x14ac:dyDescent="0.25">
      <c r="A2146" t="s">
        <v>1528</v>
      </c>
      <c r="B2146" t="s">
        <v>1173</v>
      </c>
    </row>
    <row r="2147" spans="1:5" x14ac:dyDescent="0.25">
      <c r="A2147" t="s">
        <v>1528</v>
      </c>
      <c r="B2147" t="s">
        <v>1174</v>
      </c>
    </row>
    <row r="2148" spans="1:5" x14ac:dyDescent="0.25">
      <c r="A2148" t="s">
        <v>1528</v>
      </c>
      <c r="B2148" t="s">
        <v>1175</v>
      </c>
      <c r="E2148" t="str">
        <f>_xlfn.CONCAT($E$1,CZ$2,$F$1)</f>
        <v>&lt;routeDistribution id="676to76_EB-2012-RouteProbe"&gt;</v>
      </c>
    </row>
    <row r="2149" spans="1:5" x14ac:dyDescent="0.25">
      <c r="A2149" t="s">
        <v>1528</v>
      </c>
      <c r="B2149" t="s">
        <v>1176</v>
      </c>
      <c r="E2149" t="str">
        <f>IF(OR(E2148="&lt;/routeDistribution&gt;",E2148=""),"",IFERROR(_xlfn.CONCAT(VLOOKUP(CZ5,Route_Column!#REF!,2,FALSE),CHAR(34)," probability=",CHAR(34),1/CZ$4,CHAR(34),CHAR(47),CHAR(62)),"&lt;/routeDistribution&gt;"))</f>
        <v>&lt;/routeDistribution&gt;</v>
      </c>
    </row>
    <row r="2150" spans="1:5" x14ac:dyDescent="0.25">
      <c r="A2150" t="s">
        <v>1528</v>
      </c>
      <c r="B2150" t="s">
        <v>1177</v>
      </c>
      <c r="E2150" t="str">
        <f>IF(OR(E2149="&lt;/routeDistribution&gt;",E2149=""),"",IFERROR(_xlfn.CONCAT(VLOOKUP(CZ6,Route_Column!#REF!,2,FALSE),CHAR(34)," probability=",CHAR(34),1/CZ$4,CHAR(34),CHAR(47),CHAR(62)),"&lt;/routeDistribution&gt;"))</f>
        <v/>
      </c>
    </row>
    <row r="2151" spans="1:5" x14ac:dyDescent="0.25">
      <c r="A2151" t="s">
        <v>1528</v>
      </c>
      <c r="B2151" t="s">
        <v>1178</v>
      </c>
      <c r="E2151" t="str">
        <f>IF(OR(E2150="&lt;/routeDistribution&gt;",E2150=""),"",IFERROR(_xlfn.CONCAT(VLOOKUP(CZ7,Route_Column!#REF!,2,FALSE),CHAR(34)," probability=",CHAR(34),1/CZ$4,CHAR(34),CHAR(47),CHAR(62)),"&lt;/routeDistribution&gt;"))</f>
        <v/>
      </c>
    </row>
    <row r="2152" spans="1:5" x14ac:dyDescent="0.25">
      <c r="A2152" t="s">
        <v>1528</v>
      </c>
      <c r="B2152" t="s">
        <v>1179</v>
      </c>
      <c r="E2152" t="str">
        <f>IF(OR(E2151="&lt;/routeDistribution&gt;",E2151=""),"",IFERROR(_xlfn.CONCAT(VLOOKUP(CZ8,Route_Column!#REF!,2,FALSE),CHAR(34)," probability=",CHAR(34),1/CZ$4,CHAR(34),CHAR(47),CHAR(62)),"&lt;/routeDistribution&gt;"))</f>
        <v/>
      </c>
    </row>
    <row r="2153" spans="1:5" x14ac:dyDescent="0.25">
      <c r="A2153" t="s">
        <v>1528</v>
      </c>
      <c r="B2153" t="s">
        <v>1179</v>
      </c>
      <c r="E2153" t="str">
        <f>IF(OR(E2152="&lt;/routeDistribution&gt;",E2152=""),"",IFERROR(_xlfn.CONCAT(VLOOKUP(CZ9,Route_Column!#REF!,2,FALSE),CHAR(34)," probability=",CHAR(34),1/CZ$4,CHAR(34),CHAR(47),CHAR(62)),"&lt;/routeDistribution&gt;"))</f>
        <v/>
      </c>
    </row>
    <row r="2154" spans="1:5" x14ac:dyDescent="0.25">
      <c r="A2154" t="s">
        <v>1528</v>
      </c>
      <c r="B2154" t="s">
        <v>1183</v>
      </c>
      <c r="E2154" t="str">
        <f>IF(OR(E2153="&lt;/routeDistribution&gt;",E2153=""),"",IFERROR(_xlfn.CONCAT(VLOOKUP(CZ10,Route_Column!#REF!,2,FALSE),CHAR(34)," probability=",CHAR(34),1/CZ$4,CHAR(34),CHAR(47),CHAR(62)),"&lt;/routeDistribution&gt;"))</f>
        <v/>
      </c>
    </row>
    <row r="2155" spans="1:5" x14ac:dyDescent="0.25">
      <c r="A2155" t="s">
        <v>1528</v>
      </c>
      <c r="B2155" t="s">
        <v>1184</v>
      </c>
      <c r="E2155" t="str">
        <f>IF(OR(E2154="&lt;/routeDistribution&gt;",E2154=""),"",IFERROR(_xlfn.CONCAT(VLOOKUP(CZ11,Route_Column!#REF!,2,FALSE),CHAR(34)," probability=",CHAR(34),1/CZ$4,CHAR(34),CHAR(47),CHAR(62)),"&lt;/routeDistribution&gt;"))</f>
        <v/>
      </c>
    </row>
    <row r="2156" spans="1:5" x14ac:dyDescent="0.25">
      <c r="A2156" t="s">
        <v>1528</v>
      </c>
      <c r="B2156" t="s">
        <v>1194</v>
      </c>
      <c r="E2156" t="str">
        <f>IF(OR(E2155="&lt;/routeDistribution&gt;",E2155=""),"",IFERROR(_xlfn.CONCAT(VLOOKUP(CZ12,Route_Column!#REF!,2,FALSE),CHAR(34)," probability=",CHAR(34),1/CZ$4,CHAR(34),CHAR(47),CHAR(62)),"&lt;/routeDistribution&gt;"))</f>
        <v/>
      </c>
    </row>
    <row r="2157" spans="1:5" x14ac:dyDescent="0.25">
      <c r="A2157" t="s">
        <v>1528</v>
      </c>
      <c r="B2157" t="s">
        <v>1198</v>
      </c>
      <c r="E2157" t="str">
        <f>IF(OR(E2156="&lt;/routeDistribution&gt;",E2156=""),"",IFERROR(_xlfn.CONCAT(VLOOKUP(CZ13,Route_Column!#REF!,2,FALSE),CHAR(34)," probability=",CHAR(34),1/CZ$4,CHAR(34),CHAR(47),CHAR(62)),"&lt;/routeDistribution&gt;"))</f>
        <v/>
      </c>
    </row>
    <row r="2158" spans="1:5" x14ac:dyDescent="0.25">
      <c r="A2158" t="s">
        <v>1528</v>
      </c>
      <c r="B2158" t="s">
        <v>1205</v>
      </c>
      <c r="E2158" t="str">
        <f>IF(OR(E2157="&lt;/routeDistribution&gt;",E2157=""),"",IFERROR(_xlfn.CONCAT(VLOOKUP(CZ14,Route_Column!#REF!,2,FALSE),CHAR(34)," probability=",CHAR(34),1/CZ$4,CHAR(34),CHAR(47),CHAR(62)),"&lt;/routeDistribution&gt;"))</f>
        <v/>
      </c>
    </row>
    <row r="2159" spans="1:5" x14ac:dyDescent="0.25">
      <c r="A2159" t="s">
        <v>1528</v>
      </c>
      <c r="B2159" t="s">
        <v>1206</v>
      </c>
      <c r="E2159" t="str">
        <f>IF(OR(E2158="&lt;/routeDistribution&gt;",E2158=""),"",IFERROR(_xlfn.CONCAT(VLOOKUP(CZ15,Route_Column!#REF!,2,FALSE),CHAR(34)," probability=",CHAR(34),1/CZ$4,CHAR(34),CHAR(47),CHAR(62)),"&lt;/routeDistribution&gt;"))</f>
        <v/>
      </c>
    </row>
    <row r="2160" spans="1:5" x14ac:dyDescent="0.25">
      <c r="A2160" t="s">
        <v>1528</v>
      </c>
      <c r="B2160" t="s">
        <v>1207</v>
      </c>
      <c r="E2160" t="str">
        <f>IF(OR(E2159="&lt;/routeDistribution&gt;",E2159=""),"",IFERROR(_xlfn.CONCAT(VLOOKUP(CZ16,Route_Column!#REF!,2,FALSE),CHAR(34)," probability=",CHAR(34),1/CZ$4,CHAR(34),CHAR(47),CHAR(62)),"&lt;/routeDistribution&gt;"))</f>
        <v/>
      </c>
    </row>
    <row r="2161" spans="1:5" x14ac:dyDescent="0.25">
      <c r="A2161" t="s">
        <v>1528</v>
      </c>
      <c r="B2161" t="s">
        <v>1208</v>
      </c>
      <c r="E2161" t="str">
        <f>IF(OR(E2160="&lt;/routeDistribution&gt;",E2160=""),"",IFERROR(_xlfn.CONCAT(VLOOKUP(CZ17,Route_Column!#REF!,2,FALSE),CHAR(34)," probability=",CHAR(34),1/CZ$4,CHAR(34),CHAR(47),CHAR(62)),"&lt;/routeDistribution&gt;"))</f>
        <v/>
      </c>
    </row>
    <row r="2162" spans="1:5" x14ac:dyDescent="0.25">
      <c r="A2162" t="s">
        <v>1528</v>
      </c>
      <c r="B2162" t="s">
        <v>1224</v>
      </c>
      <c r="E2162" t="str">
        <f>IF(OR(E2161="&lt;/routeDistribution&gt;",E2161=""),"",IFERROR(_xlfn.CONCAT(VLOOKUP(CZ18,Route_Column!#REF!,2,FALSE),CHAR(34)," probability=",CHAR(34),1/CZ$4,CHAR(34),CHAR(47),CHAR(62)),"&lt;/routeDistribution&gt;"))</f>
        <v/>
      </c>
    </row>
    <row r="2163" spans="1:5" x14ac:dyDescent="0.25">
      <c r="A2163" t="s">
        <v>1528</v>
      </c>
      <c r="B2163" t="s">
        <v>1225</v>
      </c>
      <c r="E2163" t="str">
        <f>IF(OR(E2162="&lt;/routeDistribution&gt;",E2162=""),"",IFERROR(_xlfn.CONCAT(VLOOKUP(CZ19,Route_Column!#REF!,2,FALSE),CHAR(34)," probability=",CHAR(34),1/CZ$4,CHAR(34),CHAR(47),CHAR(62)),"&lt;/routeDistribution&gt;"))</f>
        <v/>
      </c>
    </row>
    <row r="2164" spans="1:5" x14ac:dyDescent="0.25">
      <c r="A2164" t="s">
        <v>1528</v>
      </c>
      <c r="B2164" t="s">
        <v>1232</v>
      </c>
      <c r="E2164" t="str">
        <f>IF(OR(E2163="&lt;/routeDistribution&gt;",E2163=""),"",IFERROR(_xlfn.CONCAT(VLOOKUP(CZ20,Route_Column!#REF!,2,FALSE),CHAR(34)," probability=",CHAR(34),1/CZ$4,CHAR(34),CHAR(47),CHAR(62)),"&lt;/routeDistribution&gt;"))</f>
        <v/>
      </c>
    </row>
    <row r="2165" spans="1:5" x14ac:dyDescent="0.25">
      <c r="A2165" t="s">
        <v>1528</v>
      </c>
      <c r="B2165" t="s">
        <v>1233</v>
      </c>
      <c r="E2165" t="str">
        <f>IF(OR(E2164="&lt;/routeDistribution&gt;",E2164=""),"",IFERROR(_xlfn.CONCAT(VLOOKUP(CZ21,Route_Column!#REF!,2,FALSE),CHAR(34)," probability=",CHAR(34),1/CZ$4,CHAR(34),CHAR(47),CHAR(62)),"&lt;/routeDistribution&gt;"))</f>
        <v/>
      </c>
    </row>
    <row r="2166" spans="1:5" x14ac:dyDescent="0.25">
      <c r="A2166" t="s">
        <v>1528</v>
      </c>
      <c r="B2166" t="s">
        <v>1234</v>
      </c>
      <c r="E2166" t="str">
        <f>IF(OR(E2165="&lt;/routeDistribution&gt;",E2165=""),"",IFERROR(_xlfn.CONCAT(VLOOKUP(CZ22,Route_Column!#REF!,2,FALSE),CHAR(34)," probability=",CHAR(34),1/CZ$4,CHAR(34),CHAR(47),CHAR(62)),"&lt;/routeDistribution&gt;"))</f>
        <v/>
      </c>
    </row>
    <row r="2167" spans="1:5" x14ac:dyDescent="0.25">
      <c r="A2167" t="s">
        <v>1565</v>
      </c>
      <c r="B2167" t="s">
        <v>1094</v>
      </c>
      <c r="E2167" t="str">
        <f>IF(OR(E2166="&lt;/routeDistribution&gt;",E2166=""),"",IFERROR(_xlfn.CONCAT(VLOOKUP(CZ23,Route_Column!#REF!,2,FALSE),CHAR(34)," probability=",CHAR(34),1/CZ$4,CHAR(34),CHAR(47),CHAR(62)),"&lt;/routeDistribution&gt;"))</f>
        <v/>
      </c>
    </row>
    <row r="2168" spans="1:5" x14ac:dyDescent="0.25">
      <c r="A2168" t="s">
        <v>1565</v>
      </c>
      <c r="B2168" t="s">
        <v>1151</v>
      </c>
      <c r="E2168" t="str">
        <f>IF(OR(E2167="&lt;/routeDistribution&gt;",E2167=""),"",IFERROR(_xlfn.CONCAT(VLOOKUP(CZ24,Route_Column!#REF!,2,FALSE),CHAR(34)," probability=",CHAR(34),1/CZ$4,CHAR(34),CHAR(47),CHAR(62)),"&lt;/routeDistribution&gt;"))</f>
        <v/>
      </c>
    </row>
    <row r="2169" spans="1:5" x14ac:dyDescent="0.25">
      <c r="A2169" t="s">
        <v>1565</v>
      </c>
      <c r="B2169" t="s">
        <v>1159</v>
      </c>
      <c r="E2169" t="str">
        <f>IF(OR(E2168="&lt;/routeDistribution&gt;",E2168=""),"",IFERROR(_xlfn.CONCAT(VLOOKUP(CZ25,Route_Column!#REF!,2,FALSE),CHAR(34)," probability=",CHAR(34),1/CZ$4,CHAR(34),CHAR(47),CHAR(62)),"&lt;/routeDistribution&gt;"))</f>
        <v/>
      </c>
    </row>
    <row r="2170" spans="1:5" x14ac:dyDescent="0.25">
      <c r="A2170" t="s">
        <v>1565</v>
      </c>
      <c r="B2170" t="s">
        <v>1179</v>
      </c>
      <c r="E2170" t="str">
        <f>IF(OR(E2169="&lt;/routeDistribution&gt;",E2169=""),"",IFERROR(_xlfn.CONCAT(VLOOKUP(CZ26,Route_Column!#REF!,2,FALSE),CHAR(34)," probability=",CHAR(34),1/CZ$4,CHAR(34),CHAR(47),CHAR(62)),"&lt;/routeDistribution&gt;"))</f>
        <v/>
      </c>
    </row>
    <row r="2171" spans="1:5" x14ac:dyDescent="0.25">
      <c r="A2171" t="s">
        <v>1565</v>
      </c>
      <c r="B2171" t="s">
        <v>1190</v>
      </c>
      <c r="E2171" t="str">
        <f>IF(OR(E2170="&lt;/routeDistribution&gt;",E2170=""),"",IFERROR(_xlfn.CONCAT(VLOOKUP(CZ27,Route_Column!#REF!,2,FALSE),CHAR(34)," probability=",CHAR(34),1/CZ$4,CHAR(34),CHAR(47),CHAR(62)),"&lt;/routeDistribution&gt;"))</f>
        <v/>
      </c>
    </row>
    <row r="2172" spans="1:5" x14ac:dyDescent="0.25">
      <c r="A2172" t="s">
        <v>1565</v>
      </c>
      <c r="B2172" t="s">
        <v>1208</v>
      </c>
      <c r="E2172" t="str">
        <f>IF(OR(E2171="&lt;/routeDistribution&gt;",E2171=""),"",IFERROR(_xlfn.CONCAT(VLOOKUP(CZ28,Route_Column!#REF!,2,FALSE),CHAR(34)," probability=",CHAR(34),1/CZ$4,CHAR(34),CHAR(47),CHAR(62)),"&lt;/routeDistribution&gt;"))</f>
        <v/>
      </c>
    </row>
    <row r="2173" spans="1:5" x14ac:dyDescent="0.25">
      <c r="A2173" t="s">
        <v>1565</v>
      </c>
      <c r="B2173" t="s">
        <v>1209</v>
      </c>
      <c r="E2173" t="str">
        <f>IF(OR(E2172="&lt;/routeDistribution&gt;",E2172=""),"",IFERROR(_xlfn.CONCAT(VLOOKUP(CZ29,Route_Column!#REF!,2,FALSE),CHAR(34)," probability=",CHAR(34),1/CZ$4,CHAR(34),CHAR(47),CHAR(62)),"&lt;/routeDistribution&gt;"))</f>
        <v/>
      </c>
    </row>
    <row r="2174" spans="1:5" x14ac:dyDescent="0.25">
      <c r="A2174" t="s">
        <v>1565</v>
      </c>
      <c r="B2174" t="s">
        <v>1210</v>
      </c>
      <c r="E2174" t="str">
        <f>IF(OR(E2173="&lt;/routeDistribution&gt;",E2173=""),"",IFERROR(_xlfn.CONCAT(VLOOKUP(CZ30,Route_Column!#REF!,2,FALSE),CHAR(34)," probability=",CHAR(34),1/CZ$4,CHAR(34),CHAR(47),CHAR(62)),"&lt;/routeDistribution&gt;"))</f>
        <v/>
      </c>
    </row>
    <row r="2175" spans="1:5" x14ac:dyDescent="0.25">
      <c r="A2175" t="s">
        <v>1565</v>
      </c>
      <c r="B2175" t="s">
        <v>1211</v>
      </c>
      <c r="E2175" t="str">
        <f>IF(OR(E2174="&lt;/routeDistribution&gt;",E2174=""),"",IFERROR(_xlfn.CONCAT(VLOOKUP(CZ31,Route_Column!#REF!,2,FALSE),CHAR(34)," probability=",CHAR(34),1/CZ$4,CHAR(34),CHAR(47),CHAR(62)),"&lt;/routeDistribution&gt;"))</f>
        <v/>
      </c>
    </row>
    <row r="2176" spans="1:5" x14ac:dyDescent="0.25">
      <c r="A2176" t="s">
        <v>1565</v>
      </c>
      <c r="B2176" t="s">
        <v>1212</v>
      </c>
      <c r="E2176" t="str">
        <f>IF(OR(E2175="&lt;/routeDistribution&gt;",E2175=""),"",IFERROR(_xlfn.CONCAT(VLOOKUP(CZ32,Route_Column!#REF!,2,FALSE),CHAR(34)," probability=",CHAR(34),1/CZ$4,CHAR(34),CHAR(47),CHAR(62)),"&lt;/routeDistribution&gt;"))</f>
        <v/>
      </c>
    </row>
    <row r="2177" spans="1:5" x14ac:dyDescent="0.25">
      <c r="A2177" t="s">
        <v>1565</v>
      </c>
      <c r="B2177" t="s">
        <v>1234</v>
      </c>
      <c r="E2177" t="str">
        <f>IF(OR(E2176="&lt;/routeDistribution&gt;",E2176=""),"",IFERROR(_xlfn.CONCAT(VLOOKUP(CZ33,Route_Column!#REF!,2,FALSE),CHAR(34)," probability=",CHAR(34),1/CZ$4,CHAR(34),CHAR(47),CHAR(62)),"&lt;/routeDistribution&gt;"))</f>
        <v/>
      </c>
    </row>
    <row r="2178" spans="1:5" x14ac:dyDescent="0.25">
      <c r="A2178" t="s">
        <v>2154</v>
      </c>
      <c r="B2178" t="s">
        <v>1149</v>
      </c>
      <c r="E2178" t="str">
        <f>IF(OR(E2177="&lt;/routeDistribution&gt;",E2177=""),"",IFERROR(_xlfn.CONCAT(VLOOKUP(CZ34,Route_Column!#REF!,2,FALSE),CHAR(34)," probability=",CHAR(34),1/CZ$4,CHAR(34),CHAR(47),CHAR(62)),"&lt;/routeDistribution&gt;"))</f>
        <v/>
      </c>
    </row>
    <row r="2179" spans="1:5" x14ac:dyDescent="0.25">
      <c r="A2179" t="s">
        <v>2154</v>
      </c>
      <c r="B2179" t="s">
        <v>1203</v>
      </c>
      <c r="E2179" t="str">
        <f>IF(OR(E2178="&lt;/routeDistribution&gt;",E2178=""),"",IFERROR(_xlfn.CONCAT(VLOOKUP(CZ35,Route_Column!#REF!,2,FALSE),CHAR(34)," probability=",CHAR(34),1/CZ$4,CHAR(34),CHAR(47),CHAR(62)),"&lt;/routeDistribution&gt;"))</f>
        <v/>
      </c>
    </row>
    <row r="2180" spans="1:5" x14ac:dyDescent="0.25">
      <c r="A2180" t="s">
        <v>2154</v>
      </c>
      <c r="B2180" t="s">
        <v>1204</v>
      </c>
      <c r="E2180" t="str">
        <f>IF(OR(E2179="&lt;/routeDistribution&gt;",E2179=""),"",IFERROR(_xlfn.CONCAT(VLOOKUP(CZ36,Route_Column!#REF!,2,FALSE),CHAR(34)," probability=",CHAR(34),1/CZ$4,CHAR(34),CHAR(47),CHAR(62)),"&lt;/routeDistribution&gt;"))</f>
        <v/>
      </c>
    </row>
    <row r="2181" spans="1:5" x14ac:dyDescent="0.25">
      <c r="A2181" t="s">
        <v>2154</v>
      </c>
      <c r="B2181" t="s">
        <v>1216</v>
      </c>
      <c r="E2181" t="str">
        <f>IF(OR(E2180="&lt;/routeDistribution&gt;",E2180=""),"",IFERROR(_xlfn.CONCAT(VLOOKUP(CZ37,Route_Column!#REF!,2,FALSE),CHAR(34)," probability=",CHAR(34),1/CZ$4,CHAR(34),CHAR(47),CHAR(62)),"&lt;/routeDistribution&gt;"))</f>
        <v/>
      </c>
    </row>
    <row r="2182" spans="1:5" x14ac:dyDescent="0.25">
      <c r="A2182" t="s">
        <v>2154</v>
      </c>
      <c r="B2182" t="s">
        <v>1218</v>
      </c>
      <c r="E2182" t="str">
        <f>IF(OR(E2181="&lt;/routeDistribution&gt;",E2181=""),"",IFERROR(_xlfn.CONCAT(VLOOKUP(CZ38,Route_Column!#REF!,2,FALSE),CHAR(34)," probability=",CHAR(34),1/CZ$4,CHAR(34),CHAR(47),CHAR(62)),"&lt;/routeDistribution&gt;"))</f>
        <v/>
      </c>
    </row>
    <row r="2183" spans="1:5" x14ac:dyDescent="0.25">
      <c r="A2183" t="s">
        <v>2154</v>
      </c>
      <c r="B2183" t="s">
        <v>1219</v>
      </c>
      <c r="E2183" t="str">
        <f>IF(OR(E2182="&lt;/routeDistribution&gt;",E2182=""),"",IFERROR(_xlfn.CONCAT(VLOOKUP(CZ39,Route_Column!#REF!,2,FALSE),CHAR(34)," probability=",CHAR(34),1/CZ$4,CHAR(34),CHAR(47),CHAR(62)),"&lt;/routeDistribution&gt;"))</f>
        <v/>
      </c>
    </row>
    <row r="2184" spans="1:5" x14ac:dyDescent="0.25">
      <c r="A2184" t="s">
        <v>2154</v>
      </c>
      <c r="B2184" t="s">
        <v>1230</v>
      </c>
      <c r="E2184" t="str">
        <f>IF(OR(E2183="&lt;/routeDistribution&gt;",E2183=""),"",IFERROR(_xlfn.CONCAT(VLOOKUP(CZ40,Route_Column!#REF!,2,FALSE),CHAR(34)," probability=",CHAR(34),1/CZ$4,CHAR(34),CHAR(47),CHAR(62)),"&lt;/routeDistribution&gt;"))</f>
        <v/>
      </c>
    </row>
    <row r="2185" spans="1:5" x14ac:dyDescent="0.25">
      <c r="A2185" t="s">
        <v>2154</v>
      </c>
      <c r="B2185" t="s">
        <v>1231</v>
      </c>
      <c r="E2185" t="str">
        <f>IF(OR(E2184="&lt;/routeDistribution&gt;",E2184=""),"",IFERROR(_xlfn.CONCAT(VLOOKUP(CZ41,Route_Column!#REF!,2,FALSE),CHAR(34)," probability=",CHAR(34),1/CZ$4,CHAR(34),CHAR(47),CHAR(62)),"&lt;/routeDistribution&gt;"))</f>
        <v/>
      </c>
    </row>
    <row r="2186" spans="1:5" x14ac:dyDescent="0.25">
      <c r="A2186" t="s">
        <v>2154</v>
      </c>
      <c r="B2186" t="s">
        <v>1253</v>
      </c>
      <c r="E2186" t="str">
        <f>IF(OR(E2185="&lt;/routeDistribution&gt;",E2185=""),"",IFERROR(_xlfn.CONCAT(VLOOKUP(CZ42,Route_Column!#REF!,2,FALSE),CHAR(34)," probability=",CHAR(34),1/CZ$4,CHAR(34),CHAR(47),CHAR(62)),"&lt;/routeDistribution&gt;"))</f>
        <v/>
      </c>
    </row>
    <row r="2187" spans="1:5" x14ac:dyDescent="0.25">
      <c r="A2187" t="s">
        <v>1991</v>
      </c>
      <c r="B2187" t="s">
        <v>1130</v>
      </c>
      <c r="E2187" t="str">
        <f>IF(OR(E2186="&lt;/routeDistribution&gt;",E2186=""),"",IFERROR(_xlfn.CONCAT(VLOOKUP(CZ43,Route_Column!#REF!,2,FALSE),CHAR(34)," probability=",CHAR(34),1/CZ$4,CHAR(34),CHAR(47),CHAR(62)),"&lt;/routeDistribution&gt;"))</f>
        <v/>
      </c>
    </row>
    <row r="2188" spans="1:5" x14ac:dyDescent="0.25">
      <c r="A2188" t="s">
        <v>1991</v>
      </c>
      <c r="B2188" t="s">
        <v>1131</v>
      </c>
      <c r="E2188" t="str">
        <f>IF(OR(E2187="&lt;/routeDistribution&gt;",E2187=""),"",IFERROR(_xlfn.CONCAT(VLOOKUP(CZ44,Route_Column!#REF!,2,FALSE),CHAR(34)," probability=",CHAR(34),1/CZ$4,CHAR(34),CHAR(47),CHAR(62)),"&lt;/routeDistribution&gt;"))</f>
        <v/>
      </c>
    </row>
    <row r="2189" spans="1:5" x14ac:dyDescent="0.25">
      <c r="A2189" t="s">
        <v>1991</v>
      </c>
      <c r="B2189" t="s">
        <v>1132</v>
      </c>
      <c r="E2189" t="str">
        <f>IF(OR(E2188="&lt;/routeDistribution&gt;",E2188=""),"",IFERROR(_xlfn.CONCAT(VLOOKUP(CZ45,Route_Column!#REF!,2,FALSE),CHAR(34)," probability=",CHAR(34),1/CZ$4,CHAR(34),CHAR(47),CHAR(62)),"&lt;/routeDistribution&gt;"))</f>
        <v/>
      </c>
    </row>
    <row r="2190" spans="1:5" x14ac:dyDescent="0.25">
      <c r="A2190" t="s">
        <v>1991</v>
      </c>
      <c r="B2190" t="s">
        <v>1133</v>
      </c>
      <c r="E2190" t="str">
        <f>IF(OR(E2189="&lt;/routeDistribution&gt;",E2189=""),"",IFERROR(_xlfn.CONCAT(VLOOKUP(CZ46,Route_Column!#REF!,2,FALSE),CHAR(34)," probability=",CHAR(34),1/CZ$4,CHAR(34),CHAR(47),CHAR(62)),"&lt;/routeDistribution&gt;"))</f>
        <v/>
      </c>
    </row>
    <row r="2191" spans="1:5" x14ac:dyDescent="0.25">
      <c r="A2191" t="s">
        <v>1991</v>
      </c>
      <c r="B2191" t="s">
        <v>1157</v>
      </c>
      <c r="E2191" t="str">
        <f>IF(OR(E2190="&lt;/routeDistribution&gt;",E2190=""),"",IFERROR(_xlfn.CONCAT(VLOOKUP(CZ47,Route_Column!#REF!,2,FALSE),CHAR(34)," probability=",CHAR(34),1/CZ$4,CHAR(34),CHAR(47),CHAR(62)),"&lt;/routeDistribution&gt;"))</f>
        <v/>
      </c>
    </row>
    <row r="2192" spans="1:5" x14ac:dyDescent="0.25">
      <c r="A2192" t="s">
        <v>1991</v>
      </c>
      <c r="B2192" t="s">
        <v>1158</v>
      </c>
      <c r="E2192" t="str">
        <f>IF(OR(E2191="&lt;/routeDistribution&gt;",E2191=""),"",IFERROR(_xlfn.CONCAT(VLOOKUP(CZ48,Route_Column!#REF!,2,FALSE),CHAR(34)," probability=",CHAR(34),1/CZ$4,CHAR(34),CHAR(47),CHAR(62)),"&lt;/routeDistribution&gt;"))</f>
        <v/>
      </c>
    </row>
    <row r="2193" spans="1:5" x14ac:dyDescent="0.25">
      <c r="A2193" t="s">
        <v>1991</v>
      </c>
      <c r="B2193" t="s">
        <v>1159</v>
      </c>
      <c r="E2193" t="str">
        <f>IF(OR(E2192="&lt;/routeDistribution&gt;",E2192=""),"",IFERROR(_xlfn.CONCAT(VLOOKUP(CZ49,Route_Column!#REF!,2,FALSE),CHAR(34)," probability=",CHAR(34),1/CZ$4,CHAR(34),CHAR(47),CHAR(62)),"&lt;/routeDistribution&gt;"))</f>
        <v/>
      </c>
    </row>
    <row r="2194" spans="1:5" x14ac:dyDescent="0.25">
      <c r="A2194" t="s">
        <v>1607</v>
      </c>
      <c r="B2194" t="s">
        <v>1096</v>
      </c>
      <c r="E2194" t="str">
        <f>IF(OR(E2193="&lt;/routeDistribution&gt;",E2193=""),"",IFERROR(_xlfn.CONCAT(VLOOKUP(CZ50,Route_Column!#REF!,2,FALSE),CHAR(34)," probability=",CHAR(34),1/CZ$4,CHAR(34),CHAR(47),CHAR(62)),"&lt;/routeDistribution&gt;"))</f>
        <v/>
      </c>
    </row>
    <row r="2195" spans="1:5" x14ac:dyDescent="0.25">
      <c r="A2195" t="s">
        <v>1607</v>
      </c>
      <c r="B2195" t="s">
        <v>1100</v>
      </c>
      <c r="E2195" t="str">
        <f>IF(OR(E2194="&lt;/routeDistribution&gt;",E2194=""),"",IFERROR(_xlfn.CONCAT(VLOOKUP(CZ51,Route_Column!#REF!,2,FALSE),CHAR(34)," probability=",CHAR(34),1/CZ$4,CHAR(34),CHAR(47),CHAR(62)),"&lt;/routeDistribution&gt;"))</f>
        <v/>
      </c>
    </row>
    <row r="2196" spans="1:5" x14ac:dyDescent="0.25">
      <c r="A2196" t="s">
        <v>1607</v>
      </c>
      <c r="B2196" t="s">
        <v>1101</v>
      </c>
      <c r="E2196" t="str">
        <f>IF(OR(E2195="&lt;/routeDistribution&gt;",E2195=""),"",IFERROR(_xlfn.CONCAT(VLOOKUP(CZ52,Route_Column!#REF!,2,FALSE),CHAR(34)," probability=",CHAR(34),1/CZ$4,CHAR(34),CHAR(47),CHAR(62)),"&lt;/routeDistribution&gt;"))</f>
        <v/>
      </c>
    </row>
    <row r="2197" spans="1:5" x14ac:dyDescent="0.25">
      <c r="A2197" t="s">
        <v>1607</v>
      </c>
      <c r="B2197" t="s">
        <v>1102</v>
      </c>
      <c r="E2197" t="str">
        <f>IF(OR(E2196="&lt;/routeDistribution&gt;",E2196=""),"",IFERROR(_xlfn.CONCAT(VLOOKUP(CZ53,Route_Column!#REF!,2,FALSE),CHAR(34)," probability=",CHAR(34),1/CZ$4,CHAR(34),CHAR(47),CHAR(62)),"&lt;/routeDistribution&gt;"))</f>
        <v/>
      </c>
    </row>
    <row r="2198" spans="1:5" x14ac:dyDescent="0.25">
      <c r="A2198" t="s">
        <v>1607</v>
      </c>
      <c r="B2198" t="s">
        <v>1103</v>
      </c>
      <c r="E2198" t="str">
        <f>IF(OR(E2197="&lt;/routeDistribution&gt;",E2197=""),"",IFERROR(_xlfn.CONCAT(VLOOKUP(CZ54,Route_Column!#REF!,2,FALSE),CHAR(34)," probability=",CHAR(34),1/CZ$4,CHAR(34),CHAR(47),CHAR(62)),"&lt;/routeDistribution&gt;"))</f>
        <v/>
      </c>
    </row>
    <row r="2199" spans="1:5" x14ac:dyDescent="0.25">
      <c r="A2199" t="s">
        <v>1607</v>
      </c>
      <c r="B2199" t="s">
        <v>1104</v>
      </c>
      <c r="E2199" t="str">
        <f>IF(OR(E2198="&lt;/routeDistribution&gt;",E2198=""),"",IFERROR(_xlfn.CONCAT(VLOOKUP(CZ55,Route_Column!#REF!,2,FALSE),CHAR(34)," probability=",CHAR(34),1/CZ$4,CHAR(34),CHAR(47),CHAR(62)),"&lt;/routeDistribution&gt;"))</f>
        <v/>
      </c>
    </row>
    <row r="2200" spans="1:5" x14ac:dyDescent="0.25">
      <c r="A2200" t="s">
        <v>1607</v>
      </c>
      <c r="B2200" t="s">
        <v>1105</v>
      </c>
      <c r="E2200" t="str">
        <f>IF(OR(E2199="&lt;/routeDistribution&gt;",E2199=""),"",IFERROR(_xlfn.CONCAT(VLOOKUP(CZ56,Route_Column!#REF!,2,FALSE),CHAR(34)," probability=",CHAR(34),1/CZ$4,CHAR(34),CHAR(47),CHAR(62)),"&lt;/routeDistribution&gt;"))</f>
        <v/>
      </c>
    </row>
    <row r="2201" spans="1:5" x14ac:dyDescent="0.25">
      <c r="A2201" t="s">
        <v>1607</v>
      </c>
      <c r="B2201" t="s">
        <v>1106</v>
      </c>
      <c r="E2201" t="str">
        <f>IF(OR(E2200="&lt;/routeDistribution&gt;",E2200=""),"",IFERROR(_xlfn.CONCAT(VLOOKUP(CZ57,Route_Column!#REF!,2,FALSE),CHAR(34)," probability=",CHAR(34),1/CZ$4,CHAR(34),CHAR(47),CHAR(62)),"&lt;/routeDistribution&gt;"))</f>
        <v/>
      </c>
    </row>
    <row r="2202" spans="1:5" x14ac:dyDescent="0.25">
      <c r="A2202" t="s">
        <v>1607</v>
      </c>
      <c r="B2202" t="s">
        <v>1107</v>
      </c>
      <c r="E2202" t="str">
        <f>IF(OR(E2201="&lt;/routeDistribution&gt;",E2201=""),"",IFERROR(_xlfn.CONCAT(VLOOKUP(CZ58,Route_Column!#REF!,2,FALSE),CHAR(34)," probability=",CHAR(34),1/CZ$4,CHAR(34),CHAR(47),CHAR(62)),"&lt;/routeDistribution&gt;"))</f>
        <v/>
      </c>
    </row>
    <row r="2203" spans="1:5" x14ac:dyDescent="0.25">
      <c r="A2203" t="s">
        <v>1607</v>
      </c>
      <c r="B2203" t="s">
        <v>1142</v>
      </c>
      <c r="E2203" t="str">
        <f>IF(OR(E2202="&lt;/routeDistribution&gt;",E2202=""),"",IFERROR(_xlfn.CONCAT(VLOOKUP(CZ59,Route_Column!#REF!,2,FALSE),CHAR(34)," probability=",CHAR(34),1/CZ$4,CHAR(34),CHAR(47),CHAR(62)),"&lt;/routeDistribution&gt;"))</f>
        <v/>
      </c>
    </row>
    <row r="2204" spans="1:5" x14ac:dyDescent="0.25">
      <c r="A2204" t="s">
        <v>1607</v>
      </c>
      <c r="B2204" t="s">
        <v>1148</v>
      </c>
      <c r="E2204" t="str">
        <f>IF(OR(E2203="&lt;/routeDistribution&gt;",E2203=""),"",IFERROR(_xlfn.CONCAT(VLOOKUP(CZ60,Route_Column!#REF!,2,FALSE),CHAR(34)," probability=",CHAR(34),1/CZ$4,CHAR(34),CHAR(47),CHAR(62)),"&lt;/routeDistribution&gt;"))</f>
        <v/>
      </c>
    </row>
    <row r="2205" spans="1:5" x14ac:dyDescent="0.25">
      <c r="A2205" t="s">
        <v>1607</v>
      </c>
      <c r="B2205" t="s">
        <v>1161</v>
      </c>
      <c r="E2205" t="str">
        <f>IF(OR(E2204="&lt;/routeDistribution&gt;",E2204=""),"",IFERROR(_xlfn.CONCAT(VLOOKUP(CZ61,Route_Column!#REF!,2,FALSE),CHAR(34)," probability=",CHAR(34),1/CZ$4,CHAR(34),CHAR(47),CHAR(62)),"&lt;/routeDistribution&gt;"))</f>
        <v/>
      </c>
    </row>
    <row r="2206" spans="1:5" x14ac:dyDescent="0.25">
      <c r="A2206" t="s">
        <v>1607</v>
      </c>
      <c r="B2206" t="s">
        <v>1162</v>
      </c>
      <c r="E2206" t="str">
        <f>IF(OR(E2205="&lt;/routeDistribution&gt;",E2205=""),"",IFERROR(_xlfn.CONCAT(VLOOKUP(CZ62,Route_Column!#REF!,2,FALSE),CHAR(34)," probability=",CHAR(34),1/CZ$4,CHAR(34),CHAR(47),CHAR(62)),"&lt;/routeDistribution&gt;"))</f>
        <v/>
      </c>
    </row>
    <row r="2207" spans="1:5" x14ac:dyDescent="0.25">
      <c r="A2207" t="s">
        <v>1607</v>
      </c>
      <c r="B2207" t="s">
        <v>1163</v>
      </c>
      <c r="E2207" t="str">
        <f>IF(OR(E2206="&lt;/routeDistribution&gt;",E2206=""),"",IFERROR(_xlfn.CONCAT(VLOOKUP(CZ63,Route_Column!#REF!,2,FALSE),CHAR(34)," probability=",CHAR(34),1/CZ$4,CHAR(34),CHAR(47),CHAR(62)),"&lt;/routeDistribution&gt;"))</f>
        <v/>
      </c>
    </row>
    <row r="2208" spans="1:5" x14ac:dyDescent="0.25">
      <c r="A2208" t="s">
        <v>1607</v>
      </c>
      <c r="B2208" t="s">
        <v>1164</v>
      </c>
      <c r="E2208" t="s">
        <v>2686</v>
      </c>
    </row>
    <row r="2209" spans="1:5" x14ac:dyDescent="0.25">
      <c r="A2209" t="s">
        <v>1607</v>
      </c>
      <c r="B2209" t="s">
        <v>1168</v>
      </c>
    </row>
    <row r="2210" spans="1:5" x14ac:dyDescent="0.25">
      <c r="A2210" t="s">
        <v>1607</v>
      </c>
      <c r="B2210" t="s">
        <v>1169</v>
      </c>
    </row>
    <row r="2211" spans="1:5" x14ac:dyDescent="0.25">
      <c r="A2211" t="s">
        <v>1607</v>
      </c>
      <c r="B2211" t="s">
        <v>1170</v>
      </c>
      <c r="E2211" t="str">
        <f>_xlfn.CONCAT($E$1,CY$2,$F$1)</f>
        <v>&lt;routeDistribution id="30thStST_to_76-676_ramp-RouteProbe"&gt;</v>
      </c>
    </row>
    <row r="2212" spans="1:5" x14ac:dyDescent="0.25">
      <c r="A2212" t="s">
        <v>1607</v>
      </c>
      <c r="B2212" t="s">
        <v>1178</v>
      </c>
      <c r="E2212" t="str">
        <f>IF(OR(E2211="&lt;/routeDistribution&gt;",E2211=""),"",IFERROR(_xlfn.CONCAT(VLOOKUP(CY5,Route_Column!#REF!,2,FALSE),CHAR(34)," probability=",CHAR(34),1/CY$4,CHAR(34),CHAR(47),CHAR(62)),"&lt;/routeDistribution&gt;"))</f>
        <v>&lt;/routeDistribution&gt;</v>
      </c>
    </row>
    <row r="2213" spans="1:5" x14ac:dyDescent="0.25">
      <c r="A2213" t="s">
        <v>1607</v>
      </c>
      <c r="B2213" t="s">
        <v>1196</v>
      </c>
      <c r="E2213" t="str">
        <f>IF(OR(E2212="&lt;/routeDistribution&gt;",E2212=""),"",IFERROR(_xlfn.CONCAT(VLOOKUP(CY6,Route_Column!#REF!,2,FALSE),CHAR(34)," probability=",CHAR(34),1/CY$4,CHAR(34),CHAR(47),CHAR(62)),"&lt;/routeDistribution&gt;"))</f>
        <v/>
      </c>
    </row>
    <row r="2214" spans="1:5" x14ac:dyDescent="0.25">
      <c r="A2214" t="s">
        <v>1607</v>
      </c>
      <c r="B2214" t="s">
        <v>1202</v>
      </c>
      <c r="E2214" t="str">
        <f>IF(OR(E2213="&lt;/routeDistribution&gt;",E2213=""),"",IFERROR(_xlfn.CONCAT(VLOOKUP(CY7,Route_Column!#REF!,2,FALSE),CHAR(34)," probability=",CHAR(34),1/CY$4,CHAR(34),CHAR(47),CHAR(62)),"&lt;/routeDistribution&gt;"))</f>
        <v/>
      </c>
    </row>
    <row r="2215" spans="1:5" x14ac:dyDescent="0.25">
      <c r="A2215" t="s">
        <v>1608</v>
      </c>
      <c r="B2215" t="s">
        <v>1096</v>
      </c>
      <c r="E2215" t="str">
        <f>IF(OR(E2214="&lt;/routeDistribution&gt;",E2214=""),"",IFERROR(_xlfn.CONCAT(VLOOKUP(CY8,Route_Column!#REF!,2,FALSE),CHAR(34)," probability=",CHAR(34),1/CY$4,CHAR(34),CHAR(47),CHAR(62)),"&lt;/routeDistribution&gt;"))</f>
        <v/>
      </c>
    </row>
    <row r="2216" spans="1:5" x14ac:dyDescent="0.25">
      <c r="A2216" t="s">
        <v>1608</v>
      </c>
      <c r="B2216" t="s">
        <v>1100</v>
      </c>
      <c r="E2216" t="str">
        <f>IF(OR(E2215="&lt;/routeDistribution&gt;",E2215=""),"",IFERROR(_xlfn.CONCAT(VLOOKUP(CY9,Route_Column!#REF!,2,FALSE),CHAR(34)," probability=",CHAR(34),1/CY$4,CHAR(34),CHAR(47),CHAR(62)),"&lt;/routeDistribution&gt;"))</f>
        <v/>
      </c>
    </row>
    <row r="2217" spans="1:5" x14ac:dyDescent="0.25">
      <c r="A2217" t="s">
        <v>1608</v>
      </c>
      <c r="B2217" t="s">
        <v>1101</v>
      </c>
      <c r="E2217" t="str">
        <f>IF(OR(E2216="&lt;/routeDistribution&gt;",E2216=""),"",IFERROR(_xlfn.CONCAT(VLOOKUP(CY10,Route_Column!#REF!,2,FALSE),CHAR(34)," probability=",CHAR(34),1/CY$4,CHAR(34),CHAR(47),CHAR(62)),"&lt;/routeDistribution&gt;"))</f>
        <v/>
      </c>
    </row>
    <row r="2218" spans="1:5" x14ac:dyDescent="0.25">
      <c r="A2218" t="s">
        <v>1608</v>
      </c>
      <c r="B2218" t="s">
        <v>1102</v>
      </c>
      <c r="E2218" t="str">
        <f>IF(OR(E2217="&lt;/routeDistribution&gt;",E2217=""),"",IFERROR(_xlfn.CONCAT(VLOOKUP(CY11,Route_Column!#REF!,2,FALSE),CHAR(34)," probability=",CHAR(34),1/CY$4,CHAR(34),CHAR(47),CHAR(62)),"&lt;/routeDistribution&gt;"))</f>
        <v/>
      </c>
    </row>
    <row r="2219" spans="1:5" x14ac:dyDescent="0.25">
      <c r="A2219" t="s">
        <v>1608</v>
      </c>
      <c r="B2219" t="s">
        <v>1103</v>
      </c>
      <c r="E2219" t="str">
        <f>IF(OR(E2218="&lt;/routeDistribution&gt;",E2218=""),"",IFERROR(_xlfn.CONCAT(VLOOKUP(CY12,Route_Column!#REF!,2,FALSE),CHAR(34)," probability=",CHAR(34),1/CY$4,CHAR(34),CHAR(47),CHAR(62)),"&lt;/routeDistribution&gt;"))</f>
        <v/>
      </c>
    </row>
    <row r="2220" spans="1:5" x14ac:dyDescent="0.25">
      <c r="A2220" t="s">
        <v>1608</v>
      </c>
      <c r="B2220" t="s">
        <v>1104</v>
      </c>
      <c r="E2220" t="str">
        <f>IF(OR(E2219="&lt;/routeDistribution&gt;",E2219=""),"",IFERROR(_xlfn.CONCAT(VLOOKUP(CY13,Route_Column!#REF!,2,FALSE),CHAR(34)," probability=",CHAR(34),1/CY$4,CHAR(34),CHAR(47),CHAR(62)),"&lt;/routeDistribution&gt;"))</f>
        <v/>
      </c>
    </row>
    <row r="2221" spans="1:5" x14ac:dyDescent="0.25">
      <c r="A2221" t="s">
        <v>1608</v>
      </c>
      <c r="B2221" t="s">
        <v>1105</v>
      </c>
      <c r="E2221" t="str">
        <f>IF(OR(E2220="&lt;/routeDistribution&gt;",E2220=""),"",IFERROR(_xlfn.CONCAT(VLOOKUP(CY14,Route_Column!#REF!,2,FALSE),CHAR(34)," probability=",CHAR(34),1/CY$4,CHAR(34),CHAR(47),CHAR(62)),"&lt;/routeDistribution&gt;"))</f>
        <v/>
      </c>
    </row>
    <row r="2222" spans="1:5" x14ac:dyDescent="0.25">
      <c r="A2222" t="s">
        <v>1608</v>
      </c>
      <c r="B2222" t="s">
        <v>1106</v>
      </c>
      <c r="E2222" t="str">
        <f>IF(OR(E2221="&lt;/routeDistribution&gt;",E2221=""),"",IFERROR(_xlfn.CONCAT(VLOOKUP(CY15,Route_Column!#REF!,2,FALSE),CHAR(34)," probability=",CHAR(34),1/CY$4,CHAR(34),CHAR(47),CHAR(62)),"&lt;/routeDistribution&gt;"))</f>
        <v/>
      </c>
    </row>
    <row r="2223" spans="1:5" x14ac:dyDescent="0.25">
      <c r="A2223" t="s">
        <v>1608</v>
      </c>
      <c r="B2223" t="s">
        <v>1107</v>
      </c>
      <c r="E2223" t="str">
        <f>IF(OR(E2222="&lt;/routeDistribution&gt;",E2222=""),"",IFERROR(_xlfn.CONCAT(VLOOKUP(CY16,Route_Column!#REF!,2,FALSE),CHAR(34)," probability=",CHAR(34),1/CY$4,CHAR(34),CHAR(47),CHAR(62)),"&lt;/routeDistribution&gt;"))</f>
        <v/>
      </c>
    </row>
    <row r="2224" spans="1:5" x14ac:dyDescent="0.25">
      <c r="A2224" t="s">
        <v>1608</v>
      </c>
      <c r="B2224" t="s">
        <v>1142</v>
      </c>
      <c r="E2224" t="str">
        <f>IF(OR(E2223="&lt;/routeDistribution&gt;",E2223=""),"",IFERROR(_xlfn.CONCAT(VLOOKUP(CY17,Route_Column!#REF!,2,FALSE),CHAR(34)," probability=",CHAR(34),1/CY$4,CHAR(34),CHAR(47),CHAR(62)),"&lt;/routeDistribution&gt;"))</f>
        <v/>
      </c>
    </row>
    <row r="2225" spans="1:5" x14ac:dyDescent="0.25">
      <c r="A2225" t="s">
        <v>1608</v>
      </c>
      <c r="B2225" t="s">
        <v>1148</v>
      </c>
      <c r="E2225" t="str">
        <f>IF(OR(E2224="&lt;/routeDistribution&gt;",E2224=""),"",IFERROR(_xlfn.CONCAT(VLOOKUP(CY18,Route_Column!#REF!,2,FALSE),CHAR(34)," probability=",CHAR(34),1/CY$4,CHAR(34),CHAR(47),CHAR(62)),"&lt;/routeDistribution&gt;"))</f>
        <v/>
      </c>
    </row>
    <row r="2226" spans="1:5" x14ac:dyDescent="0.25">
      <c r="A2226" t="s">
        <v>1608</v>
      </c>
      <c r="B2226" t="s">
        <v>1161</v>
      </c>
      <c r="E2226" t="str">
        <f>IF(OR(E2225="&lt;/routeDistribution&gt;",E2225=""),"",IFERROR(_xlfn.CONCAT(VLOOKUP(CY19,Route_Column!#REF!,2,FALSE),CHAR(34)," probability=",CHAR(34),1/CY$4,CHAR(34),CHAR(47),CHAR(62)),"&lt;/routeDistribution&gt;"))</f>
        <v/>
      </c>
    </row>
    <row r="2227" spans="1:5" x14ac:dyDescent="0.25">
      <c r="A2227" t="s">
        <v>1608</v>
      </c>
      <c r="B2227" t="s">
        <v>1162</v>
      </c>
      <c r="E2227" t="str">
        <f>IF(OR(E2226="&lt;/routeDistribution&gt;",E2226=""),"",IFERROR(_xlfn.CONCAT(VLOOKUP(CY20,Route_Column!#REF!,2,FALSE),CHAR(34)," probability=",CHAR(34),1/CY$4,CHAR(34),CHAR(47),CHAR(62)),"&lt;/routeDistribution&gt;"))</f>
        <v/>
      </c>
    </row>
    <row r="2228" spans="1:5" x14ac:dyDescent="0.25">
      <c r="A2228" t="s">
        <v>1608</v>
      </c>
      <c r="B2228" t="s">
        <v>1163</v>
      </c>
      <c r="E2228" t="str">
        <f>IF(OR(E2227="&lt;/routeDistribution&gt;",E2227=""),"",IFERROR(_xlfn.CONCAT(VLOOKUP(CY21,Route_Column!#REF!,2,FALSE),CHAR(34)," probability=",CHAR(34),1/CY$4,CHAR(34),CHAR(47),CHAR(62)),"&lt;/routeDistribution&gt;"))</f>
        <v/>
      </c>
    </row>
    <row r="2229" spans="1:5" x14ac:dyDescent="0.25">
      <c r="A2229" t="s">
        <v>1608</v>
      </c>
      <c r="B2229" t="s">
        <v>1164</v>
      </c>
      <c r="E2229" t="str">
        <f>IF(OR(E2228="&lt;/routeDistribution&gt;",E2228=""),"",IFERROR(_xlfn.CONCAT(VLOOKUP(CY22,Route_Column!#REF!,2,FALSE),CHAR(34)," probability=",CHAR(34),1/CY$4,CHAR(34),CHAR(47),CHAR(62)),"&lt;/routeDistribution&gt;"))</f>
        <v/>
      </c>
    </row>
    <row r="2230" spans="1:5" x14ac:dyDescent="0.25">
      <c r="A2230" t="s">
        <v>1608</v>
      </c>
      <c r="B2230" t="s">
        <v>1168</v>
      </c>
      <c r="E2230" t="str">
        <f>IF(OR(E2229="&lt;/routeDistribution&gt;",E2229=""),"",IFERROR(_xlfn.CONCAT(VLOOKUP(CY23,Route_Column!#REF!,2,FALSE),CHAR(34)," probability=",CHAR(34),1/CY$4,CHAR(34),CHAR(47),CHAR(62)),"&lt;/routeDistribution&gt;"))</f>
        <v/>
      </c>
    </row>
    <row r="2231" spans="1:5" x14ac:dyDescent="0.25">
      <c r="A2231" t="s">
        <v>1608</v>
      </c>
      <c r="B2231" t="s">
        <v>1169</v>
      </c>
      <c r="E2231" t="str">
        <f>IF(OR(E2230="&lt;/routeDistribution&gt;",E2230=""),"",IFERROR(_xlfn.CONCAT(VLOOKUP(CY24,Route_Column!#REF!,2,FALSE),CHAR(34)," probability=",CHAR(34),1/CY$4,CHAR(34),CHAR(47),CHAR(62)),"&lt;/routeDistribution&gt;"))</f>
        <v/>
      </c>
    </row>
    <row r="2232" spans="1:5" x14ac:dyDescent="0.25">
      <c r="A2232" t="s">
        <v>1608</v>
      </c>
      <c r="B2232" t="s">
        <v>1170</v>
      </c>
      <c r="E2232" t="str">
        <f>IF(OR(E2231="&lt;/routeDistribution&gt;",E2231=""),"",IFERROR(_xlfn.CONCAT(VLOOKUP(CY25,Route_Column!#REF!,2,FALSE),CHAR(34)," probability=",CHAR(34),1/CY$4,CHAR(34),CHAR(47),CHAR(62)),"&lt;/routeDistribution&gt;"))</f>
        <v/>
      </c>
    </row>
    <row r="2233" spans="1:5" x14ac:dyDescent="0.25">
      <c r="A2233" t="s">
        <v>1608</v>
      </c>
      <c r="B2233" t="s">
        <v>1178</v>
      </c>
      <c r="E2233" t="str">
        <f>IF(OR(E2232="&lt;/routeDistribution&gt;",E2232=""),"",IFERROR(_xlfn.CONCAT(VLOOKUP(CY26,Route_Column!#REF!,2,FALSE),CHAR(34)," probability=",CHAR(34),1/CY$4,CHAR(34),CHAR(47),CHAR(62)),"&lt;/routeDistribution&gt;"))</f>
        <v/>
      </c>
    </row>
    <row r="2234" spans="1:5" x14ac:dyDescent="0.25">
      <c r="A2234" t="s">
        <v>1608</v>
      </c>
      <c r="B2234" t="s">
        <v>1196</v>
      </c>
      <c r="E2234" t="str">
        <f>IF(OR(E2233="&lt;/routeDistribution&gt;",E2233=""),"",IFERROR(_xlfn.CONCAT(VLOOKUP(CY27,Route_Column!#REF!,2,FALSE),CHAR(34)," probability=",CHAR(34),1/CY$4,CHAR(34),CHAR(47),CHAR(62)),"&lt;/routeDistribution&gt;"))</f>
        <v/>
      </c>
    </row>
    <row r="2235" spans="1:5" x14ac:dyDescent="0.25">
      <c r="A2235" t="s">
        <v>1608</v>
      </c>
      <c r="B2235" t="s">
        <v>1202</v>
      </c>
      <c r="E2235" t="str">
        <f>IF(OR(E2234="&lt;/routeDistribution&gt;",E2234=""),"",IFERROR(_xlfn.CONCAT(VLOOKUP(CY28,Route_Column!#REF!,2,FALSE),CHAR(34)," probability=",CHAR(34),1/CY$4,CHAR(34),CHAR(47),CHAR(62)),"&lt;/routeDistribution&gt;"))</f>
        <v/>
      </c>
    </row>
    <row r="2236" spans="1:5" x14ac:dyDescent="0.25">
      <c r="A2236" t="s">
        <v>1608</v>
      </c>
      <c r="B2236" t="s">
        <v>1235</v>
      </c>
      <c r="E2236" t="str">
        <f>IF(OR(E2235="&lt;/routeDistribution&gt;",E2235=""),"",IFERROR(_xlfn.CONCAT(VLOOKUP(CY29,Route_Column!#REF!,2,FALSE),CHAR(34)," probability=",CHAR(34),1/CY$4,CHAR(34),CHAR(47),CHAR(62)),"&lt;/routeDistribution&gt;"))</f>
        <v/>
      </c>
    </row>
    <row r="2237" spans="1:5" x14ac:dyDescent="0.25">
      <c r="A2237" t="s">
        <v>1608</v>
      </c>
      <c r="B2237" t="s">
        <v>1236</v>
      </c>
      <c r="E2237" t="str">
        <f>IF(OR(E2236="&lt;/routeDistribution&gt;",E2236=""),"",IFERROR(_xlfn.CONCAT(VLOOKUP(CY30,Route_Column!#REF!,2,FALSE),CHAR(34)," probability=",CHAR(34),1/CY$4,CHAR(34),CHAR(47),CHAR(62)),"&lt;/routeDistribution&gt;"))</f>
        <v/>
      </c>
    </row>
    <row r="2238" spans="1:5" x14ac:dyDescent="0.25">
      <c r="A2238" t="s">
        <v>1608</v>
      </c>
      <c r="B2238" t="s">
        <v>1237</v>
      </c>
      <c r="E2238" t="str">
        <f>IF(OR(E2237="&lt;/routeDistribution&gt;",E2237=""),"",IFERROR(_xlfn.CONCAT(VLOOKUP(CY31,Route_Column!#REF!,2,FALSE),CHAR(34)," probability=",CHAR(34),1/CY$4,CHAR(34),CHAR(47),CHAR(62)),"&lt;/routeDistribution&gt;"))</f>
        <v/>
      </c>
    </row>
    <row r="2239" spans="1:5" x14ac:dyDescent="0.25">
      <c r="A2239" t="s">
        <v>1608</v>
      </c>
      <c r="B2239" t="s">
        <v>1238</v>
      </c>
      <c r="E2239" t="str">
        <f>IF(OR(E2238="&lt;/routeDistribution&gt;",E2238=""),"",IFERROR(_xlfn.CONCAT(VLOOKUP(CY32,Route_Column!#REF!,2,FALSE),CHAR(34)," probability=",CHAR(34),1/CY$4,CHAR(34),CHAR(47),CHAR(62)),"&lt;/routeDistribution&gt;"))</f>
        <v/>
      </c>
    </row>
    <row r="2240" spans="1:5" x14ac:dyDescent="0.25">
      <c r="A2240" t="s">
        <v>1608</v>
      </c>
      <c r="B2240" t="s">
        <v>1239</v>
      </c>
      <c r="E2240" t="str">
        <f>IF(OR(E2239="&lt;/routeDistribution&gt;",E2239=""),"",IFERROR(_xlfn.CONCAT(VLOOKUP(CY33,Route_Column!#REF!,2,FALSE),CHAR(34)," probability=",CHAR(34),1/CY$4,CHAR(34),CHAR(47),CHAR(62)),"&lt;/routeDistribution&gt;"))</f>
        <v/>
      </c>
    </row>
    <row r="2241" spans="1:5" x14ac:dyDescent="0.25">
      <c r="A2241" t="s">
        <v>1608</v>
      </c>
      <c r="B2241" t="s">
        <v>1240</v>
      </c>
      <c r="E2241" t="str">
        <f>IF(OR(E2240="&lt;/routeDistribution&gt;",E2240=""),"",IFERROR(_xlfn.CONCAT(VLOOKUP(CY34,Route_Column!#REF!,2,FALSE),CHAR(34)," probability=",CHAR(34),1/CY$4,CHAR(34),CHAR(47),CHAR(62)),"&lt;/routeDistribution&gt;"))</f>
        <v/>
      </c>
    </row>
    <row r="2242" spans="1:5" x14ac:dyDescent="0.25">
      <c r="A2242" t="s">
        <v>1761</v>
      </c>
      <c r="B2242" t="s">
        <v>1102</v>
      </c>
      <c r="E2242" t="str">
        <f>IF(OR(E2241="&lt;/routeDistribution&gt;",E2241=""),"",IFERROR(_xlfn.CONCAT(VLOOKUP(CY35,Route_Column!#REF!,2,FALSE),CHAR(34)," probability=",CHAR(34),1/CY$4,CHAR(34),CHAR(47),CHAR(62)),"&lt;/routeDistribution&gt;"))</f>
        <v/>
      </c>
    </row>
    <row r="2243" spans="1:5" x14ac:dyDescent="0.25">
      <c r="A2243" t="s">
        <v>1761</v>
      </c>
      <c r="B2243" t="s">
        <v>1110</v>
      </c>
      <c r="E2243" t="str">
        <f>IF(OR(E2242="&lt;/routeDistribution&gt;",E2242=""),"",IFERROR(_xlfn.CONCAT(VLOOKUP(CY36,Route_Column!#REF!,2,FALSE),CHAR(34)," probability=",CHAR(34),1/CY$4,CHAR(34),CHAR(47),CHAR(62)),"&lt;/routeDistribution&gt;"))</f>
        <v/>
      </c>
    </row>
    <row r="2244" spans="1:5" x14ac:dyDescent="0.25">
      <c r="A2244" t="s">
        <v>1761</v>
      </c>
      <c r="B2244" t="s">
        <v>1112</v>
      </c>
      <c r="E2244" t="str">
        <f>IF(OR(E2243="&lt;/routeDistribution&gt;",E2243=""),"",IFERROR(_xlfn.CONCAT(VLOOKUP(CY37,Route_Column!#REF!,2,FALSE),CHAR(34)," probability=",CHAR(34),1/CY$4,CHAR(34),CHAR(47),CHAR(62)),"&lt;/routeDistribution&gt;"))</f>
        <v/>
      </c>
    </row>
    <row r="2245" spans="1:5" x14ac:dyDescent="0.25">
      <c r="A2245" t="s">
        <v>1761</v>
      </c>
      <c r="B2245" t="s">
        <v>1130</v>
      </c>
      <c r="E2245" t="str">
        <f>IF(OR(E2244="&lt;/routeDistribution&gt;",E2244=""),"",IFERROR(_xlfn.CONCAT(VLOOKUP(CY38,Route_Column!#REF!,2,FALSE),CHAR(34)," probability=",CHAR(34),1/CY$4,CHAR(34),CHAR(47),CHAR(62)),"&lt;/routeDistribution&gt;"))</f>
        <v/>
      </c>
    </row>
    <row r="2246" spans="1:5" x14ac:dyDescent="0.25">
      <c r="A2246" t="s">
        <v>1761</v>
      </c>
      <c r="B2246" t="s">
        <v>1131</v>
      </c>
      <c r="E2246" t="str">
        <f>IF(OR(E2245="&lt;/routeDistribution&gt;",E2245=""),"",IFERROR(_xlfn.CONCAT(VLOOKUP(CY39,Route_Column!#REF!,2,FALSE),CHAR(34)," probability=",CHAR(34),1/CY$4,CHAR(34),CHAR(47),CHAR(62)),"&lt;/routeDistribution&gt;"))</f>
        <v/>
      </c>
    </row>
    <row r="2247" spans="1:5" x14ac:dyDescent="0.25">
      <c r="A2247" t="s">
        <v>1761</v>
      </c>
      <c r="B2247" t="s">
        <v>1134</v>
      </c>
      <c r="E2247" t="str">
        <f>IF(OR(E2246="&lt;/routeDistribution&gt;",E2246=""),"",IFERROR(_xlfn.CONCAT(VLOOKUP(CY40,Route_Column!#REF!,2,FALSE),CHAR(34)," probability=",CHAR(34),1/CY$4,CHAR(34),CHAR(47),CHAR(62)),"&lt;/routeDistribution&gt;"))</f>
        <v/>
      </c>
    </row>
    <row r="2248" spans="1:5" x14ac:dyDescent="0.25">
      <c r="A2248" t="s">
        <v>1761</v>
      </c>
      <c r="B2248" t="s">
        <v>1138</v>
      </c>
      <c r="E2248" t="str">
        <f>IF(OR(E2247="&lt;/routeDistribution&gt;",E2247=""),"",IFERROR(_xlfn.CONCAT(VLOOKUP(CY41,Route_Column!#REF!,2,FALSE),CHAR(34)," probability=",CHAR(34),1/CY$4,CHAR(34),CHAR(47),CHAR(62)),"&lt;/routeDistribution&gt;"))</f>
        <v/>
      </c>
    </row>
    <row r="2249" spans="1:5" x14ac:dyDescent="0.25">
      <c r="A2249" t="s">
        <v>1761</v>
      </c>
      <c r="B2249" t="s">
        <v>1145</v>
      </c>
      <c r="E2249" t="str">
        <f>IF(OR(E2248="&lt;/routeDistribution&gt;",E2248=""),"",IFERROR(_xlfn.CONCAT(VLOOKUP(CY42,Route_Column!#REF!,2,FALSE),CHAR(34)," probability=",CHAR(34),1/CY$4,CHAR(34),CHAR(47),CHAR(62)),"&lt;/routeDistribution&gt;"))</f>
        <v/>
      </c>
    </row>
    <row r="2250" spans="1:5" x14ac:dyDescent="0.25">
      <c r="A2250" t="s">
        <v>1761</v>
      </c>
      <c r="B2250" t="s">
        <v>1154</v>
      </c>
      <c r="E2250" t="str">
        <f>IF(OR(E2249="&lt;/routeDistribution&gt;",E2249=""),"",IFERROR(_xlfn.CONCAT(VLOOKUP(CY43,Route_Column!#REF!,2,FALSE),CHAR(34)," probability=",CHAR(34),1/CY$4,CHAR(34),CHAR(47),CHAR(62)),"&lt;/routeDistribution&gt;"))</f>
        <v/>
      </c>
    </row>
    <row r="2251" spans="1:5" x14ac:dyDescent="0.25">
      <c r="A2251" t="s">
        <v>1761</v>
      </c>
      <c r="B2251" t="s">
        <v>1180</v>
      </c>
      <c r="E2251" t="str">
        <f>IF(OR(E2250="&lt;/routeDistribution&gt;",E2250=""),"",IFERROR(_xlfn.CONCAT(VLOOKUP(CY44,Route_Column!#REF!,2,FALSE),CHAR(34)," probability=",CHAR(34),1/CY$4,CHAR(34),CHAR(47),CHAR(62)),"&lt;/routeDistribution&gt;"))</f>
        <v/>
      </c>
    </row>
    <row r="2252" spans="1:5" x14ac:dyDescent="0.25">
      <c r="A2252" t="s">
        <v>1761</v>
      </c>
      <c r="B2252" t="s">
        <v>1181</v>
      </c>
      <c r="E2252" t="str">
        <f>IF(OR(E2251="&lt;/routeDistribution&gt;",E2251=""),"",IFERROR(_xlfn.CONCAT(VLOOKUP(CY45,Route_Column!#REF!,2,FALSE),CHAR(34)," probability=",CHAR(34),1/CY$4,CHAR(34),CHAR(47),CHAR(62)),"&lt;/routeDistribution&gt;"))</f>
        <v/>
      </c>
    </row>
    <row r="2253" spans="1:5" x14ac:dyDescent="0.25">
      <c r="A2253" t="s">
        <v>1761</v>
      </c>
      <c r="B2253" t="s">
        <v>1201</v>
      </c>
      <c r="E2253" t="str">
        <f>IF(OR(E2252="&lt;/routeDistribution&gt;",E2252=""),"",IFERROR(_xlfn.CONCAT(VLOOKUP(CY46,Route_Column!#REF!,2,FALSE),CHAR(34)," probability=",CHAR(34),1/CY$4,CHAR(34),CHAR(47),CHAR(62)),"&lt;/routeDistribution&gt;"))</f>
        <v/>
      </c>
    </row>
    <row r="2254" spans="1:5" x14ac:dyDescent="0.25">
      <c r="A2254" t="s">
        <v>1761</v>
      </c>
      <c r="B2254" t="s">
        <v>1206</v>
      </c>
      <c r="E2254" t="str">
        <f>IF(OR(E2253="&lt;/routeDistribution&gt;",E2253=""),"",IFERROR(_xlfn.CONCAT(VLOOKUP(CY47,Route_Column!#REF!,2,FALSE),CHAR(34)," probability=",CHAR(34),1/CY$4,CHAR(34),CHAR(47),CHAR(62)),"&lt;/routeDistribution&gt;"))</f>
        <v/>
      </c>
    </row>
    <row r="2255" spans="1:5" x14ac:dyDescent="0.25">
      <c r="A2255" t="s">
        <v>1760</v>
      </c>
      <c r="B2255" t="s">
        <v>1102</v>
      </c>
      <c r="E2255" t="str">
        <f>IF(OR(E2254="&lt;/routeDistribution&gt;",E2254=""),"",IFERROR(_xlfn.CONCAT(VLOOKUP(CY48,Route_Column!#REF!,2,FALSE),CHAR(34)," probability=",CHAR(34),1/CY$4,CHAR(34),CHAR(47),CHAR(62)),"&lt;/routeDistribution&gt;"))</f>
        <v/>
      </c>
    </row>
    <row r="2256" spans="1:5" x14ac:dyDescent="0.25">
      <c r="A2256" t="s">
        <v>1760</v>
      </c>
      <c r="B2256" t="s">
        <v>1110</v>
      </c>
      <c r="E2256" t="str">
        <f>IF(OR(E2255="&lt;/routeDistribution&gt;",E2255=""),"",IFERROR(_xlfn.CONCAT(VLOOKUP(CY49,Route_Column!#REF!,2,FALSE),CHAR(34)," probability=",CHAR(34),1/CY$4,CHAR(34),CHAR(47),CHAR(62)),"&lt;/routeDistribution&gt;"))</f>
        <v/>
      </c>
    </row>
    <row r="2257" spans="1:5" x14ac:dyDescent="0.25">
      <c r="A2257" t="s">
        <v>1760</v>
      </c>
      <c r="B2257" t="s">
        <v>1112</v>
      </c>
      <c r="E2257" t="str">
        <f>IF(OR(E2256="&lt;/routeDistribution&gt;",E2256=""),"",IFERROR(_xlfn.CONCAT(VLOOKUP(CY50,Route_Column!#REF!,2,FALSE),CHAR(34)," probability=",CHAR(34),1/CY$4,CHAR(34),CHAR(47),CHAR(62)),"&lt;/routeDistribution&gt;"))</f>
        <v/>
      </c>
    </row>
    <row r="2258" spans="1:5" x14ac:dyDescent="0.25">
      <c r="A2258" t="s">
        <v>1760</v>
      </c>
      <c r="B2258" t="s">
        <v>1130</v>
      </c>
      <c r="E2258" t="str">
        <f>IF(OR(E2257="&lt;/routeDistribution&gt;",E2257=""),"",IFERROR(_xlfn.CONCAT(VLOOKUP(CY51,Route_Column!#REF!,2,FALSE),CHAR(34)," probability=",CHAR(34),1/CY$4,CHAR(34),CHAR(47),CHAR(62)),"&lt;/routeDistribution&gt;"))</f>
        <v/>
      </c>
    </row>
    <row r="2259" spans="1:5" x14ac:dyDescent="0.25">
      <c r="A2259" t="s">
        <v>1760</v>
      </c>
      <c r="B2259" t="s">
        <v>1131</v>
      </c>
      <c r="E2259" t="str">
        <f>IF(OR(E2258="&lt;/routeDistribution&gt;",E2258=""),"",IFERROR(_xlfn.CONCAT(VLOOKUP(CY52,Route_Column!#REF!,2,FALSE),CHAR(34)," probability=",CHAR(34),1/CY$4,CHAR(34),CHAR(47),CHAR(62)),"&lt;/routeDistribution&gt;"))</f>
        <v/>
      </c>
    </row>
    <row r="2260" spans="1:5" x14ac:dyDescent="0.25">
      <c r="A2260" t="s">
        <v>1760</v>
      </c>
      <c r="B2260" t="s">
        <v>1134</v>
      </c>
      <c r="E2260" t="str">
        <f>IF(OR(E2259="&lt;/routeDistribution&gt;",E2259=""),"",IFERROR(_xlfn.CONCAT(VLOOKUP(CY53,Route_Column!#REF!,2,FALSE),CHAR(34)," probability=",CHAR(34),1/CY$4,CHAR(34),CHAR(47),CHAR(62)),"&lt;/routeDistribution&gt;"))</f>
        <v/>
      </c>
    </row>
    <row r="2261" spans="1:5" x14ac:dyDescent="0.25">
      <c r="A2261" t="s">
        <v>1760</v>
      </c>
      <c r="B2261" t="s">
        <v>1138</v>
      </c>
      <c r="E2261" t="str">
        <f>IF(OR(E2260="&lt;/routeDistribution&gt;",E2260=""),"",IFERROR(_xlfn.CONCAT(VLOOKUP(CY54,Route_Column!#REF!,2,FALSE),CHAR(34)," probability=",CHAR(34),1/CY$4,CHAR(34),CHAR(47),CHAR(62)),"&lt;/routeDistribution&gt;"))</f>
        <v/>
      </c>
    </row>
    <row r="2262" spans="1:5" x14ac:dyDescent="0.25">
      <c r="A2262" t="s">
        <v>1760</v>
      </c>
      <c r="B2262" t="s">
        <v>1145</v>
      </c>
      <c r="E2262" t="str">
        <f>IF(OR(E2261="&lt;/routeDistribution&gt;",E2261=""),"",IFERROR(_xlfn.CONCAT(VLOOKUP(CY55,Route_Column!#REF!,2,FALSE),CHAR(34)," probability=",CHAR(34),1/CY$4,CHAR(34),CHAR(47),CHAR(62)),"&lt;/routeDistribution&gt;"))</f>
        <v/>
      </c>
    </row>
    <row r="2263" spans="1:5" x14ac:dyDescent="0.25">
      <c r="A2263" t="s">
        <v>1760</v>
      </c>
      <c r="B2263" t="s">
        <v>1154</v>
      </c>
      <c r="E2263" t="str">
        <f>IF(OR(E2262="&lt;/routeDistribution&gt;",E2262=""),"",IFERROR(_xlfn.CONCAT(VLOOKUP(CY56,Route_Column!#REF!,2,FALSE),CHAR(34)," probability=",CHAR(34),1/CY$4,CHAR(34),CHAR(47),CHAR(62)),"&lt;/routeDistribution&gt;"))</f>
        <v/>
      </c>
    </row>
    <row r="2264" spans="1:5" x14ac:dyDescent="0.25">
      <c r="A2264" t="s">
        <v>1760</v>
      </c>
      <c r="B2264" t="s">
        <v>1180</v>
      </c>
      <c r="E2264" t="str">
        <f>IF(OR(E2263="&lt;/routeDistribution&gt;",E2263=""),"",IFERROR(_xlfn.CONCAT(VLOOKUP(CY57,Route_Column!#REF!,2,FALSE),CHAR(34)," probability=",CHAR(34),1/CY$4,CHAR(34),CHAR(47),CHAR(62)),"&lt;/routeDistribution&gt;"))</f>
        <v/>
      </c>
    </row>
    <row r="2265" spans="1:5" x14ac:dyDescent="0.25">
      <c r="A2265" t="s">
        <v>1760</v>
      </c>
      <c r="B2265" t="s">
        <v>1181</v>
      </c>
      <c r="E2265" t="str">
        <f>IF(OR(E2264="&lt;/routeDistribution&gt;",E2264=""),"",IFERROR(_xlfn.CONCAT(VLOOKUP(CY58,Route_Column!#REF!,2,FALSE),CHAR(34)," probability=",CHAR(34),1/CY$4,CHAR(34),CHAR(47),CHAR(62)),"&lt;/routeDistribution&gt;"))</f>
        <v/>
      </c>
    </row>
    <row r="2266" spans="1:5" x14ac:dyDescent="0.25">
      <c r="A2266" t="s">
        <v>1760</v>
      </c>
      <c r="B2266" t="s">
        <v>1201</v>
      </c>
      <c r="E2266" t="str">
        <f>IF(OR(E2265="&lt;/routeDistribution&gt;",E2265=""),"",IFERROR(_xlfn.CONCAT(VLOOKUP(CY59,Route_Column!#REF!,2,FALSE),CHAR(34)," probability=",CHAR(34),1/CY$4,CHAR(34),CHAR(47),CHAR(62)),"&lt;/routeDistribution&gt;"))</f>
        <v/>
      </c>
    </row>
    <row r="2267" spans="1:5" x14ac:dyDescent="0.25">
      <c r="A2267" t="s">
        <v>1760</v>
      </c>
      <c r="B2267" t="s">
        <v>1206</v>
      </c>
      <c r="E2267" t="str">
        <f>IF(OR(E2266="&lt;/routeDistribution&gt;",E2266=""),"",IFERROR(_xlfn.CONCAT(VLOOKUP(CY60,Route_Column!#REF!,2,FALSE),CHAR(34)," probability=",CHAR(34),1/CY$4,CHAR(34),CHAR(47),CHAR(62)),"&lt;/routeDistribution&gt;"))</f>
        <v/>
      </c>
    </row>
    <row r="2268" spans="1:5" x14ac:dyDescent="0.25">
      <c r="A2268" t="s">
        <v>2122</v>
      </c>
      <c r="B2268" t="s">
        <v>1140</v>
      </c>
      <c r="E2268" t="str">
        <f>IF(OR(E2267="&lt;/routeDistribution&gt;",E2267=""),"",IFERROR(_xlfn.CONCAT(VLOOKUP(CY61,Route_Column!#REF!,2,FALSE),CHAR(34)," probability=",CHAR(34),1/CY$4,CHAR(34),CHAR(47),CHAR(62)),"&lt;/routeDistribution&gt;"))</f>
        <v/>
      </c>
    </row>
    <row r="2269" spans="1:5" x14ac:dyDescent="0.25">
      <c r="A2269" t="s">
        <v>2122</v>
      </c>
      <c r="B2269" t="s">
        <v>1141</v>
      </c>
      <c r="E2269" t="str">
        <f>IF(OR(E2268="&lt;/routeDistribution&gt;",E2268=""),"",IFERROR(_xlfn.CONCAT(VLOOKUP(CY62,Route_Column!#REF!,2,FALSE),CHAR(34)," probability=",CHAR(34),1/CY$4,CHAR(34),CHAR(47),CHAR(62)),"&lt;/routeDistribution&gt;"))</f>
        <v/>
      </c>
    </row>
    <row r="2270" spans="1:5" x14ac:dyDescent="0.25">
      <c r="A2270" t="s">
        <v>2122</v>
      </c>
      <c r="B2270" t="s">
        <v>1142</v>
      </c>
      <c r="E2270" t="str">
        <f>IF(OR(E2269="&lt;/routeDistribution&gt;",E2269=""),"",IFERROR(_xlfn.CONCAT(VLOOKUP(CY63,Route_Column!#REF!,2,FALSE),CHAR(34)," probability=",CHAR(34),1/CY$4,CHAR(34),CHAR(47),CHAR(62)),"&lt;/routeDistribution&gt;"))</f>
        <v/>
      </c>
    </row>
    <row r="2271" spans="1:5" x14ac:dyDescent="0.25">
      <c r="A2271" t="s">
        <v>2122</v>
      </c>
      <c r="B2271" t="s">
        <v>1150</v>
      </c>
      <c r="E2271" t="s">
        <v>2686</v>
      </c>
    </row>
    <row r="2272" spans="1:5" x14ac:dyDescent="0.25">
      <c r="A2272" t="s">
        <v>2122</v>
      </c>
      <c r="B2272" t="s">
        <v>1151</v>
      </c>
    </row>
    <row r="2273" spans="1:5" x14ac:dyDescent="0.25">
      <c r="A2273" t="s">
        <v>2122</v>
      </c>
      <c r="B2273" t="s">
        <v>1179</v>
      </c>
    </row>
    <row r="2274" spans="1:5" x14ac:dyDescent="0.25">
      <c r="A2274" t="s">
        <v>2122</v>
      </c>
      <c r="B2274" t="s">
        <v>1183</v>
      </c>
      <c r="E2274" t="str">
        <f>_xlfn.CONCAT($E$1,CX$2,$F$1)</f>
        <v>&lt;routeDistribution id="39st-Wal_to_Market-SB-1999-RouteProbe"&gt;</v>
      </c>
    </row>
    <row r="2275" spans="1:5" x14ac:dyDescent="0.25">
      <c r="A2275" t="s">
        <v>2122</v>
      </c>
      <c r="B2275" t="s">
        <v>1184</v>
      </c>
      <c r="E2275" t="str">
        <f>IF(OR(E2274="&lt;/routeDistribution&gt;",E2274=""),"",IFERROR(_xlfn.CONCAT(VLOOKUP(CX5,Route_Column!#REF!,2,FALSE),CHAR(34)," probability=",CHAR(34),1/CX$4,CHAR(34),CHAR(47),CHAR(62)),"&lt;/routeDistribution&gt;"))</f>
        <v>&lt;/routeDistribution&gt;</v>
      </c>
    </row>
    <row r="2276" spans="1:5" x14ac:dyDescent="0.25">
      <c r="A2276" t="s">
        <v>2122</v>
      </c>
      <c r="B2276" t="s">
        <v>1205</v>
      </c>
      <c r="E2276" t="str">
        <f>IF(OR(E2275="&lt;/routeDistribution&gt;",E2275=""),"",IFERROR(_xlfn.CONCAT(VLOOKUP(CX6,Route_Column!#REF!,2,FALSE),CHAR(34)," probability=",CHAR(34),1/CX$4,CHAR(34),CHAR(47),CHAR(62)),"&lt;/routeDistribution&gt;"))</f>
        <v/>
      </c>
    </row>
    <row r="2277" spans="1:5" x14ac:dyDescent="0.25">
      <c r="A2277" t="s">
        <v>2122</v>
      </c>
      <c r="B2277" t="s">
        <v>1206</v>
      </c>
      <c r="E2277" t="str">
        <f>IF(OR(E2276="&lt;/routeDistribution&gt;",E2276=""),"",IFERROR(_xlfn.CONCAT(VLOOKUP(CX7,Route_Column!#REF!,2,FALSE),CHAR(34)," probability=",CHAR(34),1/CX$4,CHAR(34),CHAR(47),CHAR(62)),"&lt;/routeDistribution&gt;"))</f>
        <v/>
      </c>
    </row>
    <row r="2278" spans="1:5" x14ac:dyDescent="0.25">
      <c r="A2278" t="s">
        <v>2122</v>
      </c>
      <c r="B2278" t="s">
        <v>1207</v>
      </c>
      <c r="E2278" t="str">
        <f>IF(OR(E2277="&lt;/routeDistribution&gt;",E2277=""),"",IFERROR(_xlfn.CONCAT(VLOOKUP(CX8,Route_Column!#REF!,2,FALSE),CHAR(34)," probability=",CHAR(34),1/CX$4,CHAR(34),CHAR(47),CHAR(62)),"&lt;/routeDistribution&gt;"))</f>
        <v/>
      </c>
    </row>
    <row r="2279" spans="1:5" x14ac:dyDescent="0.25">
      <c r="A2279" t="s">
        <v>2122</v>
      </c>
      <c r="B2279" t="s">
        <v>1208</v>
      </c>
      <c r="E2279" t="str">
        <f>IF(OR(E2278="&lt;/routeDistribution&gt;",E2278=""),"",IFERROR(_xlfn.CONCAT(VLOOKUP(CX9,Route_Column!#REF!,2,FALSE),CHAR(34)," probability=",CHAR(34),1/CX$4,CHAR(34),CHAR(47),CHAR(62)),"&lt;/routeDistribution&gt;"))</f>
        <v/>
      </c>
    </row>
    <row r="2280" spans="1:5" x14ac:dyDescent="0.25">
      <c r="A2280" t="s">
        <v>2122</v>
      </c>
      <c r="B2280" t="s">
        <v>1224</v>
      </c>
      <c r="E2280" t="str">
        <f>IF(OR(E2279="&lt;/routeDistribution&gt;",E2279=""),"",IFERROR(_xlfn.CONCAT(VLOOKUP(CX10,Route_Column!#REF!,2,FALSE),CHAR(34)," probability=",CHAR(34),1/CX$4,CHAR(34),CHAR(47),CHAR(62)),"&lt;/routeDistribution&gt;"))</f>
        <v/>
      </c>
    </row>
    <row r="2281" spans="1:5" x14ac:dyDescent="0.25">
      <c r="A2281" t="s">
        <v>2122</v>
      </c>
      <c r="B2281" t="s">
        <v>1225</v>
      </c>
      <c r="E2281" t="str">
        <f>IF(OR(E2280="&lt;/routeDistribution&gt;",E2280=""),"",IFERROR(_xlfn.CONCAT(VLOOKUP(CX11,Route_Column!#REF!,2,FALSE),CHAR(34)," probability=",CHAR(34),1/CX$4,CHAR(34),CHAR(47),CHAR(62)),"&lt;/routeDistribution&gt;"))</f>
        <v/>
      </c>
    </row>
    <row r="2282" spans="1:5" x14ac:dyDescent="0.25">
      <c r="A2282" t="s">
        <v>2122</v>
      </c>
      <c r="B2282" t="s">
        <v>1232</v>
      </c>
      <c r="E2282" t="str">
        <f>IF(OR(E2281="&lt;/routeDistribution&gt;",E2281=""),"",IFERROR(_xlfn.CONCAT(VLOOKUP(CX12,Route_Column!#REF!,2,FALSE),CHAR(34)," probability=",CHAR(34),1/CX$4,CHAR(34),CHAR(47),CHAR(62)),"&lt;/routeDistribution&gt;"))</f>
        <v/>
      </c>
    </row>
    <row r="2283" spans="1:5" x14ac:dyDescent="0.25">
      <c r="A2283" t="s">
        <v>2122</v>
      </c>
      <c r="B2283" t="s">
        <v>1233</v>
      </c>
      <c r="E2283" t="str">
        <f>IF(OR(E2282="&lt;/routeDistribution&gt;",E2282=""),"",IFERROR(_xlfn.CONCAT(VLOOKUP(CX13,Route_Column!#REF!,2,FALSE),CHAR(34)," probability=",CHAR(34),1/CX$4,CHAR(34),CHAR(47),CHAR(62)),"&lt;/routeDistribution&gt;"))</f>
        <v/>
      </c>
    </row>
    <row r="2284" spans="1:5" x14ac:dyDescent="0.25">
      <c r="A2284" t="s">
        <v>2122</v>
      </c>
      <c r="B2284" t="s">
        <v>1234</v>
      </c>
      <c r="E2284" t="str">
        <f>IF(OR(E2283="&lt;/routeDistribution&gt;",E2283=""),"",IFERROR(_xlfn.CONCAT(VLOOKUP(CX14,Route_Column!#REF!,2,FALSE),CHAR(34)," probability=",CHAR(34),1/CX$4,CHAR(34),CHAR(47),CHAR(62)),"&lt;/routeDistribution&gt;"))</f>
        <v/>
      </c>
    </row>
    <row r="2285" spans="1:5" x14ac:dyDescent="0.25">
      <c r="A2285" t="s">
        <v>1759</v>
      </c>
      <c r="B2285" t="s">
        <v>1102</v>
      </c>
      <c r="E2285" t="str">
        <f>IF(OR(E2284="&lt;/routeDistribution&gt;",E2284=""),"",IFERROR(_xlfn.CONCAT(VLOOKUP(CX15,Route_Column!#REF!,2,FALSE),CHAR(34)," probability=",CHAR(34),1/CX$4,CHAR(34),CHAR(47),CHAR(62)),"&lt;/routeDistribution&gt;"))</f>
        <v/>
      </c>
    </row>
    <row r="2286" spans="1:5" x14ac:dyDescent="0.25">
      <c r="A2286" t="s">
        <v>1759</v>
      </c>
      <c r="B2286" t="s">
        <v>1110</v>
      </c>
      <c r="E2286" t="str">
        <f>IF(OR(E2285="&lt;/routeDistribution&gt;",E2285=""),"",IFERROR(_xlfn.CONCAT(VLOOKUP(CX16,Route_Column!#REF!,2,FALSE),CHAR(34)," probability=",CHAR(34),1/CX$4,CHAR(34),CHAR(47),CHAR(62)),"&lt;/routeDistribution&gt;"))</f>
        <v/>
      </c>
    </row>
    <row r="2287" spans="1:5" x14ac:dyDescent="0.25">
      <c r="A2287" t="s">
        <v>1759</v>
      </c>
      <c r="B2287" t="s">
        <v>1112</v>
      </c>
      <c r="E2287" t="str">
        <f>IF(OR(E2286="&lt;/routeDistribution&gt;",E2286=""),"",IFERROR(_xlfn.CONCAT(VLOOKUP(CX17,Route_Column!#REF!,2,FALSE),CHAR(34)," probability=",CHAR(34),1/CX$4,CHAR(34),CHAR(47),CHAR(62)),"&lt;/routeDistribution&gt;"))</f>
        <v/>
      </c>
    </row>
    <row r="2288" spans="1:5" x14ac:dyDescent="0.25">
      <c r="A2288" t="s">
        <v>1759</v>
      </c>
      <c r="B2288" t="s">
        <v>1130</v>
      </c>
      <c r="E2288" t="str">
        <f>IF(OR(E2287="&lt;/routeDistribution&gt;",E2287=""),"",IFERROR(_xlfn.CONCAT(VLOOKUP(CX18,Route_Column!#REF!,2,FALSE),CHAR(34)," probability=",CHAR(34),1/CX$4,CHAR(34),CHAR(47),CHAR(62)),"&lt;/routeDistribution&gt;"))</f>
        <v/>
      </c>
    </row>
    <row r="2289" spans="1:5" x14ac:dyDescent="0.25">
      <c r="A2289" t="s">
        <v>1759</v>
      </c>
      <c r="B2289" t="s">
        <v>1131</v>
      </c>
      <c r="E2289" t="str">
        <f>IF(OR(E2288="&lt;/routeDistribution&gt;",E2288=""),"",IFERROR(_xlfn.CONCAT(VLOOKUP(CX19,Route_Column!#REF!,2,FALSE),CHAR(34)," probability=",CHAR(34),1/CX$4,CHAR(34),CHAR(47),CHAR(62)),"&lt;/routeDistribution&gt;"))</f>
        <v/>
      </c>
    </row>
    <row r="2290" spans="1:5" x14ac:dyDescent="0.25">
      <c r="A2290" t="s">
        <v>1759</v>
      </c>
      <c r="B2290" t="s">
        <v>1134</v>
      </c>
      <c r="E2290" t="str">
        <f>IF(OR(E2289="&lt;/routeDistribution&gt;",E2289=""),"",IFERROR(_xlfn.CONCAT(VLOOKUP(CX20,Route_Column!#REF!,2,FALSE),CHAR(34)," probability=",CHAR(34),1/CX$4,CHAR(34),CHAR(47),CHAR(62)),"&lt;/routeDistribution&gt;"))</f>
        <v/>
      </c>
    </row>
    <row r="2291" spans="1:5" x14ac:dyDescent="0.25">
      <c r="A2291" t="s">
        <v>1759</v>
      </c>
      <c r="B2291" t="s">
        <v>1138</v>
      </c>
      <c r="E2291" t="str">
        <f>IF(OR(E2290="&lt;/routeDistribution&gt;",E2290=""),"",IFERROR(_xlfn.CONCAT(VLOOKUP(CX21,Route_Column!#REF!,2,FALSE),CHAR(34)," probability=",CHAR(34),1/CX$4,CHAR(34),CHAR(47),CHAR(62)),"&lt;/routeDistribution&gt;"))</f>
        <v/>
      </c>
    </row>
    <row r="2292" spans="1:5" x14ac:dyDescent="0.25">
      <c r="A2292" t="s">
        <v>1759</v>
      </c>
      <c r="B2292" t="s">
        <v>1145</v>
      </c>
      <c r="E2292" t="str">
        <f>IF(OR(E2291="&lt;/routeDistribution&gt;",E2291=""),"",IFERROR(_xlfn.CONCAT(VLOOKUP(CX22,Route_Column!#REF!,2,FALSE),CHAR(34)," probability=",CHAR(34),1/CX$4,CHAR(34),CHAR(47),CHAR(62)),"&lt;/routeDistribution&gt;"))</f>
        <v/>
      </c>
    </row>
    <row r="2293" spans="1:5" x14ac:dyDescent="0.25">
      <c r="A2293" t="s">
        <v>1759</v>
      </c>
      <c r="B2293" t="s">
        <v>1154</v>
      </c>
      <c r="E2293" t="str">
        <f>IF(OR(E2292="&lt;/routeDistribution&gt;",E2292=""),"",IFERROR(_xlfn.CONCAT(VLOOKUP(CX23,Route_Column!#REF!,2,FALSE),CHAR(34)," probability=",CHAR(34),1/CX$4,CHAR(34),CHAR(47),CHAR(62)),"&lt;/routeDistribution&gt;"))</f>
        <v/>
      </c>
    </row>
    <row r="2294" spans="1:5" x14ac:dyDescent="0.25">
      <c r="A2294" t="s">
        <v>1759</v>
      </c>
      <c r="B2294" t="s">
        <v>1180</v>
      </c>
      <c r="E2294" t="str">
        <f>IF(OR(E2293="&lt;/routeDistribution&gt;",E2293=""),"",IFERROR(_xlfn.CONCAT(VLOOKUP(CX24,Route_Column!#REF!,2,FALSE),CHAR(34)," probability=",CHAR(34),1/CX$4,CHAR(34),CHAR(47),CHAR(62)),"&lt;/routeDistribution&gt;"))</f>
        <v/>
      </c>
    </row>
    <row r="2295" spans="1:5" x14ac:dyDescent="0.25">
      <c r="A2295" t="s">
        <v>1759</v>
      </c>
      <c r="B2295" t="s">
        <v>1181</v>
      </c>
      <c r="E2295" t="str">
        <f>IF(OR(E2294="&lt;/routeDistribution&gt;",E2294=""),"",IFERROR(_xlfn.CONCAT(VLOOKUP(CX25,Route_Column!#REF!,2,FALSE),CHAR(34)," probability=",CHAR(34),1/CX$4,CHAR(34),CHAR(47),CHAR(62)),"&lt;/routeDistribution&gt;"))</f>
        <v/>
      </c>
    </row>
    <row r="2296" spans="1:5" x14ac:dyDescent="0.25">
      <c r="A2296" t="s">
        <v>1759</v>
      </c>
      <c r="B2296" t="s">
        <v>1201</v>
      </c>
      <c r="E2296" t="str">
        <f>IF(OR(E2295="&lt;/routeDistribution&gt;",E2295=""),"",IFERROR(_xlfn.CONCAT(VLOOKUP(CX26,Route_Column!#REF!,2,FALSE),CHAR(34)," probability=",CHAR(34),1/CX$4,CHAR(34),CHAR(47),CHAR(62)),"&lt;/routeDistribution&gt;"))</f>
        <v/>
      </c>
    </row>
    <row r="2297" spans="1:5" x14ac:dyDescent="0.25">
      <c r="A2297" t="s">
        <v>1759</v>
      </c>
      <c r="B2297" t="s">
        <v>1206</v>
      </c>
      <c r="E2297" t="str">
        <f>IF(OR(E2296="&lt;/routeDistribution&gt;",E2296=""),"",IFERROR(_xlfn.CONCAT(VLOOKUP(CX27,Route_Column!#REF!,2,FALSE),CHAR(34)," probability=",CHAR(34),1/CX$4,CHAR(34),CHAR(47),CHAR(62)),"&lt;/routeDistribution&gt;"))</f>
        <v/>
      </c>
    </row>
    <row r="2298" spans="1:5" x14ac:dyDescent="0.25">
      <c r="A2298" t="s">
        <v>1552</v>
      </c>
      <c r="B2298" t="s">
        <v>1092</v>
      </c>
      <c r="E2298" t="str">
        <f>IF(OR(E2297="&lt;/routeDistribution&gt;",E2297=""),"",IFERROR(_xlfn.CONCAT(VLOOKUP(CX28,Route_Column!#REF!,2,FALSE),CHAR(34)," probability=",CHAR(34),1/CX$4,CHAR(34),CHAR(47),CHAR(62)),"&lt;/routeDistribution&gt;"))</f>
        <v/>
      </c>
    </row>
    <row r="2299" spans="1:5" x14ac:dyDescent="0.25">
      <c r="A2299" t="s">
        <v>1552</v>
      </c>
      <c r="B2299" t="s">
        <v>1093</v>
      </c>
      <c r="E2299" t="str">
        <f>IF(OR(E2298="&lt;/routeDistribution&gt;",E2298=""),"",IFERROR(_xlfn.CONCAT(VLOOKUP(CX29,Route_Column!#REF!,2,FALSE),CHAR(34)," probability=",CHAR(34),1/CX$4,CHAR(34),CHAR(47),CHAR(62)),"&lt;/routeDistribution&gt;"))</f>
        <v/>
      </c>
    </row>
    <row r="2300" spans="1:5" x14ac:dyDescent="0.25">
      <c r="A2300" t="s">
        <v>1552</v>
      </c>
      <c r="B2300" t="s">
        <v>1094</v>
      </c>
      <c r="E2300" t="str">
        <f>IF(OR(E2299="&lt;/routeDistribution&gt;",E2299=""),"",IFERROR(_xlfn.CONCAT(VLOOKUP(CX30,Route_Column!#REF!,2,FALSE),CHAR(34)," probability=",CHAR(34),1/CX$4,CHAR(34),CHAR(47),CHAR(62)),"&lt;/routeDistribution&gt;"))</f>
        <v/>
      </c>
    </row>
    <row r="2301" spans="1:5" x14ac:dyDescent="0.25">
      <c r="A2301" t="s">
        <v>1552</v>
      </c>
      <c r="B2301" t="s">
        <v>1095</v>
      </c>
      <c r="E2301" t="str">
        <f>IF(OR(E2300="&lt;/routeDistribution&gt;",E2300=""),"",IFERROR(_xlfn.CONCAT(VLOOKUP(CX31,Route_Column!#REF!,2,FALSE),CHAR(34)," probability=",CHAR(34),1/CX$4,CHAR(34),CHAR(47),CHAR(62)),"&lt;/routeDistribution&gt;"))</f>
        <v/>
      </c>
    </row>
    <row r="2302" spans="1:5" x14ac:dyDescent="0.25">
      <c r="A2302" t="s">
        <v>1552</v>
      </c>
      <c r="B2302" t="s">
        <v>1096</v>
      </c>
      <c r="E2302" t="str">
        <f>IF(OR(E2301="&lt;/routeDistribution&gt;",E2301=""),"",IFERROR(_xlfn.CONCAT(VLOOKUP(CX32,Route_Column!#REF!,2,FALSE),CHAR(34)," probability=",CHAR(34),1/CX$4,CHAR(34),CHAR(47),CHAR(62)),"&lt;/routeDistribution&gt;"))</f>
        <v/>
      </c>
    </row>
    <row r="2303" spans="1:5" x14ac:dyDescent="0.25">
      <c r="A2303" t="s">
        <v>1552</v>
      </c>
      <c r="B2303" t="s">
        <v>1097</v>
      </c>
      <c r="E2303" t="str">
        <f>IF(OR(E2302="&lt;/routeDistribution&gt;",E2302=""),"",IFERROR(_xlfn.CONCAT(VLOOKUP(CX33,Route_Column!#REF!,2,FALSE),CHAR(34)," probability=",CHAR(34),1/CX$4,CHAR(34),CHAR(47),CHAR(62)),"&lt;/routeDistribution&gt;"))</f>
        <v/>
      </c>
    </row>
    <row r="2304" spans="1:5" x14ac:dyDescent="0.25">
      <c r="A2304" t="s">
        <v>1552</v>
      </c>
      <c r="B2304" t="s">
        <v>1098</v>
      </c>
      <c r="E2304" t="str">
        <f>IF(OR(E2303="&lt;/routeDistribution&gt;",E2303=""),"",IFERROR(_xlfn.CONCAT(VLOOKUP(CX34,Route_Column!#REF!,2,FALSE),CHAR(34)," probability=",CHAR(34),1/CX$4,CHAR(34),CHAR(47),CHAR(62)),"&lt;/routeDistribution&gt;"))</f>
        <v/>
      </c>
    </row>
    <row r="2305" spans="1:5" x14ac:dyDescent="0.25">
      <c r="A2305" t="s">
        <v>1552</v>
      </c>
      <c r="B2305" t="s">
        <v>1099</v>
      </c>
      <c r="E2305" t="str">
        <f>IF(OR(E2304="&lt;/routeDistribution&gt;",E2304=""),"",IFERROR(_xlfn.CONCAT(VLOOKUP(CX35,Route_Column!#REF!,2,FALSE),CHAR(34)," probability=",CHAR(34),1/CX$4,CHAR(34),CHAR(47),CHAR(62)),"&lt;/routeDistribution&gt;"))</f>
        <v/>
      </c>
    </row>
    <row r="2306" spans="1:5" x14ac:dyDescent="0.25">
      <c r="A2306" t="s">
        <v>1552</v>
      </c>
      <c r="B2306" t="s">
        <v>1100</v>
      </c>
      <c r="E2306" t="str">
        <f>IF(OR(E2305="&lt;/routeDistribution&gt;",E2305=""),"",IFERROR(_xlfn.CONCAT(VLOOKUP(CX36,Route_Column!#REF!,2,FALSE),CHAR(34)," probability=",CHAR(34),1/CX$4,CHAR(34),CHAR(47),CHAR(62)),"&lt;/routeDistribution&gt;"))</f>
        <v/>
      </c>
    </row>
    <row r="2307" spans="1:5" x14ac:dyDescent="0.25">
      <c r="A2307" t="s">
        <v>1552</v>
      </c>
      <c r="B2307" t="s">
        <v>1101</v>
      </c>
      <c r="E2307" t="str">
        <f>IF(OR(E2306="&lt;/routeDistribution&gt;",E2306=""),"",IFERROR(_xlfn.CONCAT(VLOOKUP(CX37,Route_Column!#REF!,2,FALSE),CHAR(34)," probability=",CHAR(34),1/CX$4,CHAR(34),CHAR(47),CHAR(62)),"&lt;/routeDistribution&gt;"))</f>
        <v/>
      </c>
    </row>
    <row r="2308" spans="1:5" x14ac:dyDescent="0.25">
      <c r="A2308" t="s">
        <v>1552</v>
      </c>
      <c r="B2308" t="s">
        <v>1102</v>
      </c>
      <c r="E2308" t="str">
        <f>IF(OR(E2307="&lt;/routeDistribution&gt;",E2307=""),"",IFERROR(_xlfn.CONCAT(VLOOKUP(CX38,Route_Column!#REF!,2,FALSE),CHAR(34)," probability=",CHAR(34),1/CX$4,CHAR(34),CHAR(47),CHAR(62)),"&lt;/routeDistribution&gt;"))</f>
        <v/>
      </c>
    </row>
    <row r="2309" spans="1:5" x14ac:dyDescent="0.25">
      <c r="A2309" t="s">
        <v>1552</v>
      </c>
      <c r="B2309" t="s">
        <v>1103</v>
      </c>
      <c r="E2309" t="str">
        <f>IF(OR(E2308="&lt;/routeDistribution&gt;",E2308=""),"",IFERROR(_xlfn.CONCAT(VLOOKUP(CX39,Route_Column!#REF!,2,FALSE),CHAR(34)," probability=",CHAR(34),1/CX$4,CHAR(34),CHAR(47),CHAR(62)),"&lt;/routeDistribution&gt;"))</f>
        <v/>
      </c>
    </row>
    <row r="2310" spans="1:5" x14ac:dyDescent="0.25">
      <c r="A2310" t="s">
        <v>1552</v>
      </c>
      <c r="B2310" t="s">
        <v>1104</v>
      </c>
      <c r="E2310" t="str">
        <f>IF(OR(E2309="&lt;/routeDistribution&gt;",E2309=""),"",IFERROR(_xlfn.CONCAT(VLOOKUP(CX40,Route_Column!#REF!,2,FALSE),CHAR(34)," probability=",CHAR(34),1/CX$4,CHAR(34),CHAR(47),CHAR(62)),"&lt;/routeDistribution&gt;"))</f>
        <v/>
      </c>
    </row>
    <row r="2311" spans="1:5" x14ac:dyDescent="0.25">
      <c r="A2311" t="s">
        <v>1552</v>
      </c>
      <c r="B2311" t="s">
        <v>1105</v>
      </c>
      <c r="E2311" t="str">
        <f>IF(OR(E2310="&lt;/routeDistribution&gt;",E2310=""),"",IFERROR(_xlfn.CONCAT(VLOOKUP(CX41,Route_Column!#REF!,2,FALSE),CHAR(34)," probability=",CHAR(34),1/CX$4,CHAR(34),CHAR(47),CHAR(62)),"&lt;/routeDistribution&gt;"))</f>
        <v/>
      </c>
    </row>
    <row r="2312" spans="1:5" x14ac:dyDescent="0.25">
      <c r="A2312" t="s">
        <v>1552</v>
      </c>
      <c r="B2312" t="s">
        <v>1106</v>
      </c>
      <c r="E2312" t="str">
        <f>IF(OR(E2311="&lt;/routeDistribution&gt;",E2311=""),"",IFERROR(_xlfn.CONCAT(VLOOKUP(CX42,Route_Column!#REF!,2,FALSE),CHAR(34)," probability=",CHAR(34),1/CX$4,CHAR(34),CHAR(47),CHAR(62)),"&lt;/routeDistribution&gt;"))</f>
        <v/>
      </c>
    </row>
    <row r="2313" spans="1:5" x14ac:dyDescent="0.25">
      <c r="A2313" t="s">
        <v>1552</v>
      </c>
      <c r="B2313" t="s">
        <v>1107</v>
      </c>
      <c r="E2313" t="str">
        <f>IF(OR(E2312="&lt;/routeDistribution&gt;",E2312=""),"",IFERROR(_xlfn.CONCAT(VLOOKUP(CX43,Route_Column!#REF!,2,FALSE),CHAR(34)," probability=",CHAR(34),1/CX$4,CHAR(34),CHAR(47),CHAR(62)),"&lt;/routeDistribution&gt;"))</f>
        <v/>
      </c>
    </row>
    <row r="2314" spans="1:5" x14ac:dyDescent="0.25">
      <c r="A2314" t="s">
        <v>1552</v>
      </c>
      <c r="B2314" t="s">
        <v>1160</v>
      </c>
      <c r="E2314" t="str">
        <f>IF(OR(E2313="&lt;/routeDistribution&gt;",E2313=""),"",IFERROR(_xlfn.CONCAT(VLOOKUP(CX44,Route_Column!#REF!,2,FALSE),CHAR(34)," probability=",CHAR(34),1/CX$4,CHAR(34),CHAR(47),CHAR(62)),"&lt;/routeDistribution&gt;"))</f>
        <v/>
      </c>
    </row>
    <row r="2315" spans="1:5" x14ac:dyDescent="0.25">
      <c r="A2315" t="s">
        <v>1552</v>
      </c>
      <c r="B2315" t="s">
        <v>1161</v>
      </c>
      <c r="E2315" t="str">
        <f>IF(OR(E2314="&lt;/routeDistribution&gt;",E2314=""),"",IFERROR(_xlfn.CONCAT(VLOOKUP(CX45,Route_Column!#REF!,2,FALSE),CHAR(34)," probability=",CHAR(34),1/CX$4,CHAR(34),CHAR(47),CHAR(62)),"&lt;/routeDistribution&gt;"))</f>
        <v/>
      </c>
    </row>
    <row r="2316" spans="1:5" x14ac:dyDescent="0.25">
      <c r="A2316" t="s">
        <v>1552</v>
      </c>
      <c r="B2316" t="s">
        <v>1162</v>
      </c>
      <c r="E2316" t="str">
        <f>IF(OR(E2315="&lt;/routeDistribution&gt;",E2315=""),"",IFERROR(_xlfn.CONCAT(VLOOKUP(CX46,Route_Column!#REF!,2,FALSE),CHAR(34)," probability=",CHAR(34),1/CX$4,CHAR(34),CHAR(47),CHAR(62)),"&lt;/routeDistribution&gt;"))</f>
        <v/>
      </c>
    </row>
    <row r="2317" spans="1:5" x14ac:dyDescent="0.25">
      <c r="A2317" t="s">
        <v>1552</v>
      </c>
      <c r="B2317" t="s">
        <v>1163</v>
      </c>
      <c r="E2317" t="str">
        <f>IF(OR(E2316="&lt;/routeDistribution&gt;",E2316=""),"",IFERROR(_xlfn.CONCAT(VLOOKUP(CX47,Route_Column!#REF!,2,FALSE),CHAR(34)," probability=",CHAR(34),1/CX$4,CHAR(34),CHAR(47),CHAR(62)),"&lt;/routeDistribution&gt;"))</f>
        <v/>
      </c>
    </row>
    <row r="2318" spans="1:5" x14ac:dyDescent="0.25">
      <c r="A2318" t="s">
        <v>1552</v>
      </c>
      <c r="B2318" t="s">
        <v>1164</v>
      </c>
      <c r="E2318" t="str">
        <f>IF(OR(E2317="&lt;/routeDistribution&gt;",E2317=""),"",IFERROR(_xlfn.CONCAT(VLOOKUP(CX48,Route_Column!#REF!,2,FALSE),CHAR(34)," probability=",CHAR(34),1/CX$4,CHAR(34),CHAR(47),CHAR(62)),"&lt;/routeDistribution&gt;"))</f>
        <v/>
      </c>
    </row>
    <row r="2319" spans="1:5" x14ac:dyDescent="0.25">
      <c r="A2319" t="s">
        <v>1552</v>
      </c>
      <c r="B2319" t="s">
        <v>1166</v>
      </c>
      <c r="E2319" t="str">
        <f>IF(OR(E2318="&lt;/routeDistribution&gt;",E2318=""),"",IFERROR(_xlfn.CONCAT(VLOOKUP(CX49,Route_Column!#REF!,2,FALSE),CHAR(34)," probability=",CHAR(34),1/CX$4,CHAR(34),CHAR(47),CHAR(62)),"&lt;/routeDistribution&gt;"))</f>
        <v/>
      </c>
    </row>
    <row r="2320" spans="1:5" x14ac:dyDescent="0.25">
      <c r="A2320" t="s">
        <v>1552</v>
      </c>
      <c r="B2320" t="s">
        <v>1167</v>
      </c>
      <c r="E2320" t="str">
        <f>IF(OR(E2319="&lt;/routeDistribution&gt;",E2319=""),"",IFERROR(_xlfn.CONCAT(VLOOKUP(CX50,Route_Column!#REF!,2,FALSE),CHAR(34)," probability=",CHAR(34),1/CX$4,CHAR(34),CHAR(47),CHAR(62)),"&lt;/routeDistribution&gt;"))</f>
        <v/>
      </c>
    </row>
    <row r="2321" spans="1:5" x14ac:dyDescent="0.25">
      <c r="A2321" t="s">
        <v>1552</v>
      </c>
      <c r="B2321" t="s">
        <v>1168</v>
      </c>
      <c r="E2321" t="str">
        <f>IF(OR(E2320="&lt;/routeDistribution&gt;",E2320=""),"",IFERROR(_xlfn.CONCAT(VLOOKUP(CX51,Route_Column!#REF!,2,FALSE),CHAR(34)," probability=",CHAR(34),1/CX$4,CHAR(34),CHAR(47),CHAR(62)),"&lt;/routeDistribution&gt;"))</f>
        <v/>
      </c>
    </row>
    <row r="2322" spans="1:5" x14ac:dyDescent="0.25">
      <c r="A2322" t="s">
        <v>1552</v>
      </c>
      <c r="B2322" t="s">
        <v>1186</v>
      </c>
      <c r="E2322" t="str">
        <f>IF(OR(E2321="&lt;/routeDistribution&gt;",E2321=""),"",IFERROR(_xlfn.CONCAT(VLOOKUP(CX52,Route_Column!#REF!,2,FALSE),CHAR(34)," probability=",CHAR(34),1/CX$4,CHAR(34),CHAR(47),CHAR(62)),"&lt;/routeDistribution&gt;"))</f>
        <v/>
      </c>
    </row>
    <row r="2323" spans="1:5" x14ac:dyDescent="0.25">
      <c r="A2323" t="s">
        <v>1552</v>
      </c>
      <c r="B2323" t="s">
        <v>1189</v>
      </c>
      <c r="E2323" t="str">
        <f>IF(OR(E2322="&lt;/routeDistribution&gt;",E2322=""),"",IFERROR(_xlfn.CONCAT(VLOOKUP(CX53,Route_Column!#REF!,2,FALSE),CHAR(34)," probability=",CHAR(34),1/CX$4,CHAR(34),CHAR(47),CHAR(62)),"&lt;/routeDistribution&gt;"))</f>
        <v/>
      </c>
    </row>
    <row r="2324" spans="1:5" x14ac:dyDescent="0.25">
      <c r="A2324" t="s">
        <v>1552</v>
      </c>
      <c r="B2324" t="s">
        <v>1191</v>
      </c>
      <c r="E2324" t="str">
        <f>IF(OR(E2323="&lt;/routeDistribution&gt;",E2323=""),"",IFERROR(_xlfn.CONCAT(VLOOKUP(CX54,Route_Column!#REF!,2,FALSE),CHAR(34)," probability=",CHAR(34),1/CX$4,CHAR(34),CHAR(47),CHAR(62)),"&lt;/routeDistribution&gt;"))</f>
        <v/>
      </c>
    </row>
    <row r="2325" spans="1:5" x14ac:dyDescent="0.25">
      <c r="A2325" t="s">
        <v>1553</v>
      </c>
      <c r="B2325" t="s">
        <v>1092</v>
      </c>
      <c r="E2325" t="str">
        <f>IF(OR(E2324="&lt;/routeDistribution&gt;",E2324=""),"",IFERROR(_xlfn.CONCAT(VLOOKUP(CX55,Route_Column!#REF!,2,FALSE),CHAR(34)," probability=",CHAR(34),1/CX$4,CHAR(34),CHAR(47),CHAR(62)),"&lt;/routeDistribution&gt;"))</f>
        <v/>
      </c>
    </row>
    <row r="2326" spans="1:5" x14ac:dyDescent="0.25">
      <c r="A2326" t="s">
        <v>1553</v>
      </c>
      <c r="B2326" t="s">
        <v>1093</v>
      </c>
      <c r="E2326" t="str">
        <f>IF(OR(E2325="&lt;/routeDistribution&gt;",E2325=""),"",IFERROR(_xlfn.CONCAT(VLOOKUP(CX56,Route_Column!#REF!,2,FALSE),CHAR(34)," probability=",CHAR(34),1/CX$4,CHAR(34),CHAR(47),CHAR(62)),"&lt;/routeDistribution&gt;"))</f>
        <v/>
      </c>
    </row>
    <row r="2327" spans="1:5" x14ac:dyDescent="0.25">
      <c r="A2327" t="s">
        <v>1553</v>
      </c>
      <c r="B2327" t="s">
        <v>1094</v>
      </c>
      <c r="E2327" t="str">
        <f>IF(OR(E2326="&lt;/routeDistribution&gt;",E2326=""),"",IFERROR(_xlfn.CONCAT(VLOOKUP(CX57,Route_Column!#REF!,2,FALSE),CHAR(34)," probability=",CHAR(34),1/CX$4,CHAR(34),CHAR(47),CHAR(62)),"&lt;/routeDistribution&gt;"))</f>
        <v/>
      </c>
    </row>
    <row r="2328" spans="1:5" x14ac:dyDescent="0.25">
      <c r="A2328" t="s">
        <v>1553</v>
      </c>
      <c r="B2328" t="s">
        <v>1095</v>
      </c>
      <c r="E2328" t="str">
        <f>IF(OR(E2327="&lt;/routeDistribution&gt;",E2327=""),"",IFERROR(_xlfn.CONCAT(VLOOKUP(CX58,Route_Column!#REF!,2,FALSE),CHAR(34)," probability=",CHAR(34),1/CX$4,CHAR(34),CHAR(47),CHAR(62)),"&lt;/routeDistribution&gt;"))</f>
        <v/>
      </c>
    </row>
    <row r="2329" spans="1:5" x14ac:dyDescent="0.25">
      <c r="A2329" t="s">
        <v>1553</v>
      </c>
      <c r="B2329" t="s">
        <v>1096</v>
      </c>
      <c r="E2329" t="str">
        <f>IF(OR(E2328="&lt;/routeDistribution&gt;",E2328=""),"",IFERROR(_xlfn.CONCAT(VLOOKUP(CX59,Route_Column!#REF!,2,FALSE),CHAR(34)," probability=",CHAR(34),1/CX$4,CHAR(34),CHAR(47),CHAR(62)),"&lt;/routeDistribution&gt;"))</f>
        <v/>
      </c>
    </row>
    <row r="2330" spans="1:5" x14ac:dyDescent="0.25">
      <c r="A2330" t="s">
        <v>1553</v>
      </c>
      <c r="B2330" t="s">
        <v>1097</v>
      </c>
      <c r="E2330" t="str">
        <f>IF(OR(E2329="&lt;/routeDistribution&gt;",E2329=""),"",IFERROR(_xlfn.CONCAT(VLOOKUP(CX60,Route_Column!#REF!,2,FALSE),CHAR(34)," probability=",CHAR(34),1/CX$4,CHAR(34),CHAR(47),CHAR(62)),"&lt;/routeDistribution&gt;"))</f>
        <v/>
      </c>
    </row>
    <row r="2331" spans="1:5" x14ac:dyDescent="0.25">
      <c r="A2331" t="s">
        <v>1553</v>
      </c>
      <c r="B2331" t="s">
        <v>1098</v>
      </c>
      <c r="E2331" t="str">
        <f>IF(OR(E2330="&lt;/routeDistribution&gt;",E2330=""),"",IFERROR(_xlfn.CONCAT(VLOOKUP(CX61,Route_Column!#REF!,2,FALSE),CHAR(34)," probability=",CHAR(34),1/CX$4,CHAR(34),CHAR(47),CHAR(62)),"&lt;/routeDistribution&gt;"))</f>
        <v/>
      </c>
    </row>
    <row r="2332" spans="1:5" x14ac:dyDescent="0.25">
      <c r="A2332" t="s">
        <v>1553</v>
      </c>
      <c r="B2332" t="s">
        <v>1099</v>
      </c>
      <c r="E2332" t="str">
        <f>IF(OR(E2331="&lt;/routeDistribution&gt;",E2331=""),"",IFERROR(_xlfn.CONCAT(VLOOKUP(CX62,Route_Column!#REF!,2,FALSE),CHAR(34)," probability=",CHAR(34),1/CX$4,CHAR(34),CHAR(47),CHAR(62)),"&lt;/routeDistribution&gt;"))</f>
        <v/>
      </c>
    </row>
    <row r="2333" spans="1:5" x14ac:dyDescent="0.25">
      <c r="A2333" t="s">
        <v>1553</v>
      </c>
      <c r="B2333" t="s">
        <v>1100</v>
      </c>
      <c r="E2333" t="str">
        <f>IF(OR(E2332="&lt;/routeDistribution&gt;",E2332=""),"",IFERROR(_xlfn.CONCAT(VLOOKUP(CX63,Route_Column!#REF!,2,FALSE),CHAR(34)," probability=",CHAR(34),1/CX$4,CHAR(34),CHAR(47),CHAR(62)),"&lt;/routeDistribution&gt;"))</f>
        <v/>
      </c>
    </row>
    <row r="2334" spans="1:5" x14ac:dyDescent="0.25">
      <c r="A2334" t="s">
        <v>1553</v>
      </c>
      <c r="B2334" t="s">
        <v>1101</v>
      </c>
      <c r="E2334" t="s">
        <v>2686</v>
      </c>
    </row>
    <row r="2335" spans="1:5" x14ac:dyDescent="0.25">
      <c r="A2335" t="s">
        <v>1553</v>
      </c>
      <c r="B2335" t="s">
        <v>1102</v>
      </c>
    </row>
    <row r="2336" spans="1:5" x14ac:dyDescent="0.25">
      <c r="A2336" t="s">
        <v>1553</v>
      </c>
      <c r="B2336" t="s">
        <v>1103</v>
      </c>
    </row>
    <row r="2337" spans="1:5" x14ac:dyDescent="0.25">
      <c r="A2337" t="s">
        <v>1553</v>
      </c>
      <c r="B2337" t="s">
        <v>1104</v>
      </c>
      <c r="E2337" t="str">
        <f>_xlfn.CONCAT($E$1,CW$2,$F$1)</f>
        <v>&lt;routeDistribution id="BARINGst-38-34-BOTH-dir-2000-RouteProbe"&gt;</v>
      </c>
    </row>
    <row r="2338" spans="1:5" x14ac:dyDescent="0.25">
      <c r="A2338" t="s">
        <v>1553</v>
      </c>
      <c r="B2338" t="s">
        <v>1105</v>
      </c>
      <c r="E2338" t="str">
        <f>IF(OR(E2337="&lt;/routeDistribution&gt;",E2337=""),"",IFERROR(_xlfn.CONCAT(VLOOKUP(CW5,Route_Column!#REF!,2,FALSE),CHAR(34)," probability=",CHAR(34),1/CW$4,CHAR(34),CHAR(47),CHAR(62)),"&lt;/routeDistribution&gt;"))</f>
        <v>&lt;/routeDistribution&gt;</v>
      </c>
    </row>
    <row r="2339" spans="1:5" x14ac:dyDescent="0.25">
      <c r="A2339" t="s">
        <v>1553</v>
      </c>
      <c r="B2339" t="s">
        <v>1106</v>
      </c>
      <c r="E2339" t="str">
        <f>IF(OR(E2338="&lt;/routeDistribution&gt;",E2338=""),"",IFERROR(_xlfn.CONCAT(VLOOKUP(CW6,Route_Column!#REF!,2,FALSE),CHAR(34)," probability=",CHAR(34),1/CW$4,CHAR(34),CHAR(47),CHAR(62)),"&lt;/routeDistribution&gt;"))</f>
        <v/>
      </c>
    </row>
    <row r="2340" spans="1:5" x14ac:dyDescent="0.25">
      <c r="A2340" t="s">
        <v>1553</v>
      </c>
      <c r="B2340" t="s">
        <v>1107</v>
      </c>
      <c r="E2340" t="str">
        <f>IF(OR(E2339="&lt;/routeDistribution&gt;",E2339=""),"",IFERROR(_xlfn.CONCAT(VLOOKUP(CW7,Route_Column!#REF!,2,FALSE),CHAR(34)," probability=",CHAR(34),1/CW$4,CHAR(34),CHAR(47),CHAR(62)),"&lt;/routeDistribution&gt;"))</f>
        <v/>
      </c>
    </row>
    <row r="2341" spans="1:5" x14ac:dyDescent="0.25">
      <c r="A2341" t="s">
        <v>1553</v>
      </c>
      <c r="B2341" t="s">
        <v>1160</v>
      </c>
      <c r="E2341" t="str">
        <f>IF(OR(E2340="&lt;/routeDistribution&gt;",E2340=""),"",IFERROR(_xlfn.CONCAT(VLOOKUP(CW8,Route_Column!#REF!,2,FALSE),CHAR(34)," probability=",CHAR(34),1/CW$4,CHAR(34),CHAR(47),CHAR(62)),"&lt;/routeDistribution&gt;"))</f>
        <v/>
      </c>
    </row>
    <row r="2342" spans="1:5" x14ac:dyDescent="0.25">
      <c r="A2342" t="s">
        <v>1553</v>
      </c>
      <c r="B2342" t="s">
        <v>1161</v>
      </c>
      <c r="E2342" t="str">
        <f>IF(OR(E2341="&lt;/routeDistribution&gt;",E2341=""),"",IFERROR(_xlfn.CONCAT(VLOOKUP(CW9,Route_Column!#REF!,2,FALSE),CHAR(34)," probability=",CHAR(34),1/CW$4,CHAR(34),CHAR(47),CHAR(62)),"&lt;/routeDistribution&gt;"))</f>
        <v/>
      </c>
    </row>
    <row r="2343" spans="1:5" x14ac:dyDescent="0.25">
      <c r="A2343" t="s">
        <v>1553</v>
      </c>
      <c r="B2343" t="s">
        <v>1162</v>
      </c>
      <c r="E2343" t="str">
        <f>IF(OR(E2342="&lt;/routeDistribution&gt;",E2342=""),"",IFERROR(_xlfn.CONCAT(VLOOKUP(CW10,Route_Column!#REF!,2,FALSE),CHAR(34)," probability=",CHAR(34),1/CW$4,CHAR(34),CHAR(47),CHAR(62)),"&lt;/routeDistribution&gt;"))</f>
        <v/>
      </c>
    </row>
    <row r="2344" spans="1:5" x14ac:dyDescent="0.25">
      <c r="A2344" t="s">
        <v>1553</v>
      </c>
      <c r="B2344" t="s">
        <v>1163</v>
      </c>
      <c r="E2344" t="str">
        <f>IF(OR(E2343="&lt;/routeDistribution&gt;",E2343=""),"",IFERROR(_xlfn.CONCAT(VLOOKUP(CW11,Route_Column!#REF!,2,FALSE),CHAR(34)," probability=",CHAR(34),1/CW$4,CHAR(34),CHAR(47),CHAR(62)),"&lt;/routeDistribution&gt;"))</f>
        <v/>
      </c>
    </row>
    <row r="2345" spans="1:5" x14ac:dyDescent="0.25">
      <c r="A2345" t="s">
        <v>1553</v>
      </c>
      <c r="B2345" t="s">
        <v>1164</v>
      </c>
      <c r="E2345" t="str">
        <f>IF(OR(E2344="&lt;/routeDistribution&gt;",E2344=""),"",IFERROR(_xlfn.CONCAT(VLOOKUP(CW12,Route_Column!#REF!,2,FALSE),CHAR(34)," probability=",CHAR(34),1/CW$4,CHAR(34),CHAR(47),CHAR(62)),"&lt;/routeDistribution&gt;"))</f>
        <v/>
      </c>
    </row>
    <row r="2346" spans="1:5" x14ac:dyDescent="0.25">
      <c r="A2346" t="s">
        <v>1553</v>
      </c>
      <c r="B2346" t="s">
        <v>1166</v>
      </c>
      <c r="E2346" t="str">
        <f>IF(OR(E2345="&lt;/routeDistribution&gt;",E2345=""),"",IFERROR(_xlfn.CONCAT(VLOOKUP(CW13,Route_Column!#REF!,2,FALSE),CHAR(34)," probability=",CHAR(34),1/CW$4,CHAR(34),CHAR(47),CHAR(62)),"&lt;/routeDistribution&gt;"))</f>
        <v/>
      </c>
    </row>
    <row r="2347" spans="1:5" x14ac:dyDescent="0.25">
      <c r="A2347" t="s">
        <v>1553</v>
      </c>
      <c r="B2347" t="s">
        <v>1167</v>
      </c>
      <c r="E2347" t="str">
        <f>IF(OR(E2346="&lt;/routeDistribution&gt;",E2346=""),"",IFERROR(_xlfn.CONCAT(VLOOKUP(CW14,Route_Column!#REF!,2,FALSE),CHAR(34)," probability=",CHAR(34),1/CW$4,CHAR(34),CHAR(47),CHAR(62)),"&lt;/routeDistribution&gt;"))</f>
        <v/>
      </c>
    </row>
    <row r="2348" spans="1:5" x14ac:dyDescent="0.25">
      <c r="A2348" t="s">
        <v>1553</v>
      </c>
      <c r="B2348" t="s">
        <v>1168</v>
      </c>
      <c r="E2348" t="str">
        <f>IF(OR(E2347="&lt;/routeDistribution&gt;",E2347=""),"",IFERROR(_xlfn.CONCAT(VLOOKUP(CW15,Route_Column!#REF!,2,FALSE),CHAR(34)," probability=",CHAR(34),1/CW$4,CHAR(34),CHAR(47),CHAR(62)),"&lt;/routeDistribution&gt;"))</f>
        <v/>
      </c>
    </row>
    <row r="2349" spans="1:5" x14ac:dyDescent="0.25">
      <c r="A2349" t="s">
        <v>1553</v>
      </c>
      <c r="B2349" t="s">
        <v>1186</v>
      </c>
      <c r="E2349" t="str">
        <f>IF(OR(E2348="&lt;/routeDistribution&gt;",E2348=""),"",IFERROR(_xlfn.CONCAT(VLOOKUP(CW16,Route_Column!#REF!,2,FALSE),CHAR(34)," probability=",CHAR(34),1/CW$4,CHAR(34),CHAR(47),CHAR(62)),"&lt;/routeDistribution&gt;"))</f>
        <v/>
      </c>
    </row>
    <row r="2350" spans="1:5" x14ac:dyDescent="0.25">
      <c r="A2350" t="s">
        <v>1553</v>
      </c>
      <c r="B2350" t="s">
        <v>1189</v>
      </c>
      <c r="E2350" t="str">
        <f>IF(OR(E2349="&lt;/routeDistribution&gt;",E2349=""),"",IFERROR(_xlfn.CONCAT(VLOOKUP(CW17,Route_Column!#REF!,2,FALSE),CHAR(34)," probability=",CHAR(34),1/CW$4,CHAR(34),CHAR(47),CHAR(62)),"&lt;/routeDistribution&gt;"))</f>
        <v/>
      </c>
    </row>
    <row r="2351" spans="1:5" x14ac:dyDescent="0.25">
      <c r="A2351" t="s">
        <v>1553</v>
      </c>
      <c r="B2351" t="s">
        <v>1191</v>
      </c>
      <c r="E2351" t="str">
        <f>IF(OR(E2350="&lt;/routeDistribution&gt;",E2350=""),"",IFERROR(_xlfn.CONCAT(VLOOKUP(CW18,Route_Column!#REF!,2,FALSE),CHAR(34)," probability=",CHAR(34),1/CW$4,CHAR(34),CHAR(47),CHAR(62)),"&lt;/routeDistribution&gt;"))</f>
        <v/>
      </c>
    </row>
    <row r="2352" spans="1:5" x14ac:dyDescent="0.25">
      <c r="A2352" t="s">
        <v>1554</v>
      </c>
      <c r="B2352" t="s">
        <v>1092</v>
      </c>
      <c r="E2352" t="str">
        <f>IF(OR(E2351="&lt;/routeDistribution&gt;",E2351=""),"",IFERROR(_xlfn.CONCAT(VLOOKUP(CW19,Route_Column!#REF!,2,FALSE),CHAR(34)," probability=",CHAR(34),1/CW$4,CHAR(34),CHAR(47),CHAR(62)),"&lt;/routeDistribution&gt;"))</f>
        <v/>
      </c>
    </row>
    <row r="2353" spans="1:5" x14ac:dyDescent="0.25">
      <c r="A2353" t="s">
        <v>1554</v>
      </c>
      <c r="B2353" t="s">
        <v>1093</v>
      </c>
      <c r="E2353" t="str">
        <f>IF(OR(E2352="&lt;/routeDistribution&gt;",E2352=""),"",IFERROR(_xlfn.CONCAT(VLOOKUP(CW20,Route_Column!#REF!,2,FALSE),CHAR(34)," probability=",CHAR(34),1/CW$4,CHAR(34),CHAR(47),CHAR(62)),"&lt;/routeDistribution&gt;"))</f>
        <v/>
      </c>
    </row>
    <row r="2354" spans="1:5" x14ac:dyDescent="0.25">
      <c r="A2354" t="s">
        <v>1554</v>
      </c>
      <c r="B2354" t="s">
        <v>1094</v>
      </c>
      <c r="E2354" t="str">
        <f>IF(OR(E2353="&lt;/routeDistribution&gt;",E2353=""),"",IFERROR(_xlfn.CONCAT(VLOOKUP(CW21,Route_Column!#REF!,2,FALSE),CHAR(34)," probability=",CHAR(34),1/CW$4,CHAR(34),CHAR(47),CHAR(62)),"&lt;/routeDistribution&gt;"))</f>
        <v/>
      </c>
    </row>
    <row r="2355" spans="1:5" x14ac:dyDescent="0.25">
      <c r="A2355" t="s">
        <v>1554</v>
      </c>
      <c r="B2355" t="s">
        <v>1095</v>
      </c>
      <c r="E2355" t="str">
        <f>IF(OR(E2354="&lt;/routeDistribution&gt;",E2354=""),"",IFERROR(_xlfn.CONCAT(VLOOKUP(CW22,Route_Column!#REF!,2,FALSE),CHAR(34)," probability=",CHAR(34),1/CW$4,CHAR(34),CHAR(47),CHAR(62)),"&lt;/routeDistribution&gt;"))</f>
        <v/>
      </c>
    </row>
    <row r="2356" spans="1:5" x14ac:dyDescent="0.25">
      <c r="A2356" t="s">
        <v>1554</v>
      </c>
      <c r="B2356" t="s">
        <v>1096</v>
      </c>
      <c r="E2356" t="str">
        <f>IF(OR(E2355="&lt;/routeDistribution&gt;",E2355=""),"",IFERROR(_xlfn.CONCAT(VLOOKUP(CW23,Route_Column!#REF!,2,FALSE),CHAR(34)," probability=",CHAR(34),1/CW$4,CHAR(34),CHAR(47),CHAR(62)),"&lt;/routeDistribution&gt;"))</f>
        <v/>
      </c>
    </row>
    <row r="2357" spans="1:5" x14ac:dyDescent="0.25">
      <c r="A2357" t="s">
        <v>1554</v>
      </c>
      <c r="B2357" t="s">
        <v>1097</v>
      </c>
      <c r="E2357" t="str">
        <f>IF(OR(E2356="&lt;/routeDistribution&gt;",E2356=""),"",IFERROR(_xlfn.CONCAT(VLOOKUP(CW24,Route_Column!#REF!,2,FALSE),CHAR(34)," probability=",CHAR(34),1/CW$4,CHAR(34),CHAR(47),CHAR(62)),"&lt;/routeDistribution&gt;"))</f>
        <v/>
      </c>
    </row>
    <row r="2358" spans="1:5" x14ac:dyDescent="0.25">
      <c r="A2358" t="s">
        <v>1554</v>
      </c>
      <c r="B2358" t="s">
        <v>1098</v>
      </c>
      <c r="E2358" t="str">
        <f>IF(OR(E2357="&lt;/routeDistribution&gt;",E2357=""),"",IFERROR(_xlfn.CONCAT(VLOOKUP(CW25,Route_Column!#REF!,2,FALSE),CHAR(34)," probability=",CHAR(34),1/CW$4,CHAR(34),CHAR(47),CHAR(62)),"&lt;/routeDistribution&gt;"))</f>
        <v/>
      </c>
    </row>
    <row r="2359" spans="1:5" x14ac:dyDescent="0.25">
      <c r="A2359" t="s">
        <v>1554</v>
      </c>
      <c r="B2359" t="s">
        <v>1099</v>
      </c>
      <c r="E2359" t="str">
        <f>IF(OR(E2358="&lt;/routeDistribution&gt;",E2358=""),"",IFERROR(_xlfn.CONCAT(VLOOKUP(CW26,Route_Column!#REF!,2,FALSE),CHAR(34)," probability=",CHAR(34),1/CW$4,CHAR(34),CHAR(47),CHAR(62)),"&lt;/routeDistribution&gt;"))</f>
        <v/>
      </c>
    </row>
    <row r="2360" spans="1:5" x14ac:dyDescent="0.25">
      <c r="A2360" t="s">
        <v>1554</v>
      </c>
      <c r="B2360" t="s">
        <v>1100</v>
      </c>
      <c r="E2360" t="str">
        <f>IF(OR(E2359="&lt;/routeDistribution&gt;",E2359=""),"",IFERROR(_xlfn.CONCAT(VLOOKUP(CW27,Route_Column!#REF!,2,FALSE),CHAR(34)," probability=",CHAR(34),1/CW$4,CHAR(34),CHAR(47),CHAR(62)),"&lt;/routeDistribution&gt;"))</f>
        <v/>
      </c>
    </row>
    <row r="2361" spans="1:5" x14ac:dyDescent="0.25">
      <c r="A2361" t="s">
        <v>1554</v>
      </c>
      <c r="B2361" t="s">
        <v>1101</v>
      </c>
      <c r="E2361" t="str">
        <f>IF(OR(E2360="&lt;/routeDistribution&gt;",E2360=""),"",IFERROR(_xlfn.CONCAT(VLOOKUP(CW28,Route_Column!#REF!,2,FALSE),CHAR(34)," probability=",CHAR(34),1/CW$4,CHAR(34),CHAR(47),CHAR(62)),"&lt;/routeDistribution&gt;"))</f>
        <v/>
      </c>
    </row>
    <row r="2362" spans="1:5" x14ac:dyDescent="0.25">
      <c r="A2362" t="s">
        <v>1554</v>
      </c>
      <c r="B2362" t="s">
        <v>1102</v>
      </c>
      <c r="E2362" t="str">
        <f>IF(OR(E2361="&lt;/routeDistribution&gt;",E2361=""),"",IFERROR(_xlfn.CONCAT(VLOOKUP(CW29,Route_Column!#REF!,2,FALSE),CHAR(34)," probability=",CHAR(34),1/CW$4,CHAR(34),CHAR(47),CHAR(62)),"&lt;/routeDistribution&gt;"))</f>
        <v/>
      </c>
    </row>
    <row r="2363" spans="1:5" x14ac:dyDescent="0.25">
      <c r="A2363" t="s">
        <v>1554</v>
      </c>
      <c r="B2363" t="s">
        <v>1103</v>
      </c>
      <c r="E2363" t="str">
        <f>IF(OR(E2362="&lt;/routeDistribution&gt;",E2362=""),"",IFERROR(_xlfn.CONCAT(VLOOKUP(CW30,Route_Column!#REF!,2,FALSE),CHAR(34)," probability=",CHAR(34),1/CW$4,CHAR(34),CHAR(47),CHAR(62)),"&lt;/routeDistribution&gt;"))</f>
        <v/>
      </c>
    </row>
    <row r="2364" spans="1:5" x14ac:dyDescent="0.25">
      <c r="A2364" t="s">
        <v>1554</v>
      </c>
      <c r="B2364" t="s">
        <v>1104</v>
      </c>
      <c r="E2364" t="str">
        <f>IF(OR(E2363="&lt;/routeDistribution&gt;",E2363=""),"",IFERROR(_xlfn.CONCAT(VLOOKUP(CW31,Route_Column!#REF!,2,FALSE),CHAR(34)," probability=",CHAR(34),1/CW$4,CHAR(34),CHAR(47),CHAR(62)),"&lt;/routeDistribution&gt;"))</f>
        <v/>
      </c>
    </row>
    <row r="2365" spans="1:5" x14ac:dyDescent="0.25">
      <c r="A2365" t="s">
        <v>1554</v>
      </c>
      <c r="B2365" t="s">
        <v>1105</v>
      </c>
      <c r="E2365" t="str">
        <f>IF(OR(E2364="&lt;/routeDistribution&gt;",E2364=""),"",IFERROR(_xlfn.CONCAT(VLOOKUP(CW32,Route_Column!#REF!,2,FALSE),CHAR(34)," probability=",CHAR(34),1/CW$4,CHAR(34),CHAR(47),CHAR(62)),"&lt;/routeDistribution&gt;"))</f>
        <v/>
      </c>
    </row>
    <row r="2366" spans="1:5" x14ac:dyDescent="0.25">
      <c r="A2366" t="s">
        <v>1554</v>
      </c>
      <c r="B2366" t="s">
        <v>1106</v>
      </c>
      <c r="E2366" t="str">
        <f>IF(OR(E2365="&lt;/routeDistribution&gt;",E2365=""),"",IFERROR(_xlfn.CONCAT(VLOOKUP(CW33,Route_Column!#REF!,2,FALSE),CHAR(34)," probability=",CHAR(34),1/CW$4,CHAR(34),CHAR(47),CHAR(62)),"&lt;/routeDistribution&gt;"))</f>
        <v/>
      </c>
    </row>
    <row r="2367" spans="1:5" x14ac:dyDescent="0.25">
      <c r="A2367" t="s">
        <v>1554</v>
      </c>
      <c r="B2367" t="s">
        <v>1107</v>
      </c>
      <c r="E2367" t="str">
        <f>IF(OR(E2366="&lt;/routeDistribution&gt;",E2366=""),"",IFERROR(_xlfn.CONCAT(VLOOKUP(CW34,Route_Column!#REF!,2,FALSE),CHAR(34)," probability=",CHAR(34),1/CW$4,CHAR(34),CHAR(47),CHAR(62)),"&lt;/routeDistribution&gt;"))</f>
        <v/>
      </c>
    </row>
    <row r="2368" spans="1:5" x14ac:dyDescent="0.25">
      <c r="A2368" t="s">
        <v>1554</v>
      </c>
      <c r="B2368" t="s">
        <v>1160</v>
      </c>
      <c r="E2368" t="str">
        <f>IF(OR(E2367="&lt;/routeDistribution&gt;",E2367=""),"",IFERROR(_xlfn.CONCAT(VLOOKUP(CW35,Route_Column!#REF!,2,FALSE),CHAR(34)," probability=",CHAR(34),1/CW$4,CHAR(34),CHAR(47),CHAR(62)),"&lt;/routeDistribution&gt;"))</f>
        <v/>
      </c>
    </row>
    <row r="2369" spans="1:5" x14ac:dyDescent="0.25">
      <c r="A2369" t="s">
        <v>1554</v>
      </c>
      <c r="B2369" t="s">
        <v>1161</v>
      </c>
      <c r="E2369" t="str">
        <f>IF(OR(E2368="&lt;/routeDistribution&gt;",E2368=""),"",IFERROR(_xlfn.CONCAT(VLOOKUP(CW36,Route_Column!#REF!,2,FALSE),CHAR(34)," probability=",CHAR(34),1/CW$4,CHAR(34),CHAR(47),CHAR(62)),"&lt;/routeDistribution&gt;"))</f>
        <v/>
      </c>
    </row>
    <row r="2370" spans="1:5" x14ac:dyDescent="0.25">
      <c r="A2370" t="s">
        <v>1554</v>
      </c>
      <c r="B2370" t="s">
        <v>1162</v>
      </c>
      <c r="E2370" t="str">
        <f>IF(OR(E2369="&lt;/routeDistribution&gt;",E2369=""),"",IFERROR(_xlfn.CONCAT(VLOOKUP(CW37,Route_Column!#REF!,2,FALSE),CHAR(34)," probability=",CHAR(34),1/CW$4,CHAR(34),CHAR(47),CHAR(62)),"&lt;/routeDistribution&gt;"))</f>
        <v/>
      </c>
    </row>
    <row r="2371" spans="1:5" x14ac:dyDescent="0.25">
      <c r="A2371" t="s">
        <v>1554</v>
      </c>
      <c r="B2371" t="s">
        <v>1163</v>
      </c>
      <c r="E2371" t="str">
        <f>IF(OR(E2370="&lt;/routeDistribution&gt;",E2370=""),"",IFERROR(_xlfn.CONCAT(VLOOKUP(CW38,Route_Column!#REF!,2,FALSE),CHAR(34)," probability=",CHAR(34),1/CW$4,CHAR(34),CHAR(47),CHAR(62)),"&lt;/routeDistribution&gt;"))</f>
        <v/>
      </c>
    </row>
    <row r="2372" spans="1:5" x14ac:dyDescent="0.25">
      <c r="A2372" t="s">
        <v>1554</v>
      </c>
      <c r="B2372" t="s">
        <v>1164</v>
      </c>
      <c r="E2372" t="str">
        <f>IF(OR(E2371="&lt;/routeDistribution&gt;",E2371=""),"",IFERROR(_xlfn.CONCAT(VLOOKUP(CW39,Route_Column!#REF!,2,FALSE),CHAR(34)," probability=",CHAR(34),1/CW$4,CHAR(34),CHAR(47),CHAR(62)),"&lt;/routeDistribution&gt;"))</f>
        <v/>
      </c>
    </row>
    <row r="2373" spans="1:5" x14ac:dyDescent="0.25">
      <c r="A2373" t="s">
        <v>1554</v>
      </c>
      <c r="B2373" t="s">
        <v>1166</v>
      </c>
      <c r="E2373" t="str">
        <f>IF(OR(E2372="&lt;/routeDistribution&gt;",E2372=""),"",IFERROR(_xlfn.CONCAT(VLOOKUP(CW40,Route_Column!#REF!,2,FALSE),CHAR(34)," probability=",CHAR(34),1/CW$4,CHAR(34),CHAR(47),CHAR(62)),"&lt;/routeDistribution&gt;"))</f>
        <v/>
      </c>
    </row>
    <row r="2374" spans="1:5" x14ac:dyDescent="0.25">
      <c r="A2374" t="s">
        <v>1554</v>
      </c>
      <c r="B2374" t="s">
        <v>1167</v>
      </c>
      <c r="E2374" t="str">
        <f>IF(OR(E2373="&lt;/routeDistribution&gt;",E2373=""),"",IFERROR(_xlfn.CONCAT(VLOOKUP(CW41,Route_Column!#REF!,2,FALSE),CHAR(34)," probability=",CHAR(34),1/CW$4,CHAR(34),CHAR(47),CHAR(62)),"&lt;/routeDistribution&gt;"))</f>
        <v/>
      </c>
    </row>
    <row r="2375" spans="1:5" x14ac:dyDescent="0.25">
      <c r="A2375" t="s">
        <v>1554</v>
      </c>
      <c r="B2375" t="s">
        <v>1168</v>
      </c>
      <c r="E2375" t="str">
        <f>IF(OR(E2374="&lt;/routeDistribution&gt;",E2374=""),"",IFERROR(_xlfn.CONCAT(VLOOKUP(CW42,Route_Column!#REF!,2,FALSE),CHAR(34)," probability=",CHAR(34),1/CW$4,CHAR(34),CHAR(47),CHAR(62)),"&lt;/routeDistribution&gt;"))</f>
        <v/>
      </c>
    </row>
    <row r="2376" spans="1:5" x14ac:dyDescent="0.25">
      <c r="A2376" t="s">
        <v>1554</v>
      </c>
      <c r="B2376" t="s">
        <v>1186</v>
      </c>
      <c r="E2376" t="str">
        <f>IF(OR(E2375="&lt;/routeDistribution&gt;",E2375=""),"",IFERROR(_xlfn.CONCAT(VLOOKUP(CW43,Route_Column!#REF!,2,FALSE),CHAR(34)," probability=",CHAR(34),1/CW$4,CHAR(34),CHAR(47),CHAR(62)),"&lt;/routeDistribution&gt;"))</f>
        <v/>
      </c>
    </row>
    <row r="2377" spans="1:5" x14ac:dyDescent="0.25">
      <c r="A2377" t="s">
        <v>1554</v>
      </c>
      <c r="B2377" t="s">
        <v>1189</v>
      </c>
      <c r="E2377" t="str">
        <f>IF(OR(E2376="&lt;/routeDistribution&gt;",E2376=""),"",IFERROR(_xlfn.CONCAT(VLOOKUP(CW44,Route_Column!#REF!,2,FALSE),CHAR(34)," probability=",CHAR(34),1/CW$4,CHAR(34),CHAR(47),CHAR(62)),"&lt;/routeDistribution&gt;"))</f>
        <v/>
      </c>
    </row>
    <row r="2378" spans="1:5" x14ac:dyDescent="0.25">
      <c r="A2378" t="s">
        <v>1554</v>
      </c>
      <c r="B2378" t="s">
        <v>1191</v>
      </c>
      <c r="E2378" t="str">
        <f>IF(OR(E2377="&lt;/routeDistribution&gt;",E2377=""),"",IFERROR(_xlfn.CONCAT(VLOOKUP(CW45,Route_Column!#REF!,2,FALSE),CHAR(34)," probability=",CHAR(34),1/CW$4,CHAR(34),CHAR(47),CHAR(62)),"&lt;/routeDistribution&gt;"))</f>
        <v/>
      </c>
    </row>
    <row r="2379" spans="1:5" x14ac:dyDescent="0.25">
      <c r="A2379" s="11" t="s">
        <v>1514</v>
      </c>
      <c r="B2379" t="s">
        <v>1091</v>
      </c>
      <c r="E2379" t="str">
        <f>IF(OR(E2378="&lt;/routeDistribution&gt;",E2378=""),"",IFERROR(_xlfn.CONCAT(VLOOKUP(CW46,Route_Column!#REF!,2,FALSE),CHAR(34)," probability=",CHAR(34),1/CW$4,CHAR(34),CHAR(47),CHAR(62)),"&lt;/routeDistribution&gt;"))</f>
        <v/>
      </c>
    </row>
    <row r="2380" spans="1:5" x14ac:dyDescent="0.25">
      <c r="A2380" t="s">
        <v>1514</v>
      </c>
      <c r="B2380" t="s">
        <v>1092</v>
      </c>
      <c r="E2380" t="str">
        <f>IF(OR(E2379="&lt;/routeDistribution&gt;",E2379=""),"",IFERROR(_xlfn.CONCAT(VLOOKUP(CW47,Route_Column!#REF!,2,FALSE),CHAR(34)," probability=",CHAR(34),1/CW$4,CHAR(34),CHAR(47),CHAR(62)),"&lt;/routeDistribution&gt;"))</f>
        <v/>
      </c>
    </row>
    <row r="2381" spans="1:5" x14ac:dyDescent="0.25">
      <c r="A2381" t="s">
        <v>1514</v>
      </c>
      <c r="B2381" t="s">
        <v>1093</v>
      </c>
      <c r="E2381" t="str">
        <f>IF(OR(E2380="&lt;/routeDistribution&gt;",E2380=""),"",IFERROR(_xlfn.CONCAT(VLOOKUP(CW48,Route_Column!#REF!,2,FALSE),CHAR(34)," probability=",CHAR(34),1/CW$4,CHAR(34),CHAR(47),CHAR(62)),"&lt;/routeDistribution&gt;"))</f>
        <v/>
      </c>
    </row>
    <row r="2382" spans="1:5" x14ac:dyDescent="0.25">
      <c r="A2382" t="s">
        <v>1514</v>
      </c>
      <c r="B2382" t="s">
        <v>1094</v>
      </c>
      <c r="E2382" t="str">
        <f>IF(OR(E2381="&lt;/routeDistribution&gt;",E2381=""),"",IFERROR(_xlfn.CONCAT(VLOOKUP(CW49,Route_Column!#REF!,2,FALSE),CHAR(34)," probability=",CHAR(34),1/CW$4,CHAR(34),CHAR(47),CHAR(62)),"&lt;/routeDistribution&gt;"))</f>
        <v/>
      </c>
    </row>
    <row r="2383" spans="1:5" x14ac:dyDescent="0.25">
      <c r="A2383" t="s">
        <v>1514</v>
      </c>
      <c r="B2383" t="s">
        <v>1095</v>
      </c>
      <c r="E2383" t="str">
        <f>IF(OR(E2382="&lt;/routeDistribution&gt;",E2382=""),"",IFERROR(_xlfn.CONCAT(VLOOKUP(CW50,Route_Column!#REF!,2,FALSE),CHAR(34)," probability=",CHAR(34),1/CW$4,CHAR(34),CHAR(47),CHAR(62)),"&lt;/routeDistribution&gt;"))</f>
        <v/>
      </c>
    </row>
    <row r="2384" spans="1:5" x14ac:dyDescent="0.25">
      <c r="A2384" t="s">
        <v>1514</v>
      </c>
      <c r="B2384" t="s">
        <v>1102</v>
      </c>
      <c r="E2384" t="str">
        <f>IF(OR(E2383="&lt;/routeDistribution&gt;",E2383=""),"",IFERROR(_xlfn.CONCAT(VLOOKUP(CW51,Route_Column!#REF!,2,FALSE),CHAR(34)," probability=",CHAR(34),1/CW$4,CHAR(34),CHAR(47),CHAR(62)),"&lt;/routeDistribution&gt;"))</f>
        <v/>
      </c>
    </row>
    <row r="2385" spans="1:5" x14ac:dyDescent="0.25">
      <c r="A2385" t="s">
        <v>1514</v>
      </c>
      <c r="B2385" t="s">
        <v>1110</v>
      </c>
      <c r="E2385" t="str">
        <f>IF(OR(E2384="&lt;/routeDistribution&gt;",E2384=""),"",IFERROR(_xlfn.CONCAT(VLOOKUP(CW52,Route_Column!#REF!,2,FALSE),CHAR(34)," probability=",CHAR(34),1/CW$4,CHAR(34),CHAR(47),CHAR(62)),"&lt;/routeDistribution&gt;"))</f>
        <v/>
      </c>
    </row>
    <row r="2386" spans="1:5" x14ac:dyDescent="0.25">
      <c r="A2386" t="s">
        <v>1514</v>
      </c>
      <c r="B2386" t="s">
        <v>1112</v>
      </c>
      <c r="E2386" t="str">
        <f>IF(OR(E2385="&lt;/routeDistribution&gt;",E2385=""),"",IFERROR(_xlfn.CONCAT(VLOOKUP(CW53,Route_Column!#REF!,2,FALSE),CHAR(34)," probability=",CHAR(34),1/CW$4,CHAR(34),CHAR(47),CHAR(62)),"&lt;/routeDistribution&gt;"))</f>
        <v/>
      </c>
    </row>
    <row r="2387" spans="1:5" x14ac:dyDescent="0.25">
      <c r="A2387" t="s">
        <v>1514</v>
      </c>
      <c r="B2387" t="s">
        <v>1130</v>
      </c>
      <c r="E2387" t="str">
        <f>IF(OR(E2386="&lt;/routeDistribution&gt;",E2386=""),"",IFERROR(_xlfn.CONCAT(VLOOKUP(CW54,Route_Column!#REF!,2,FALSE),CHAR(34)," probability=",CHAR(34),1/CW$4,CHAR(34),CHAR(47),CHAR(62)),"&lt;/routeDistribution&gt;"))</f>
        <v/>
      </c>
    </row>
    <row r="2388" spans="1:5" x14ac:dyDescent="0.25">
      <c r="A2388" t="s">
        <v>1514</v>
      </c>
      <c r="B2388" t="s">
        <v>1131</v>
      </c>
      <c r="E2388" t="str">
        <f>IF(OR(E2387="&lt;/routeDistribution&gt;",E2387=""),"",IFERROR(_xlfn.CONCAT(VLOOKUP(CW55,Route_Column!#REF!,2,FALSE),CHAR(34)," probability=",CHAR(34),1/CW$4,CHAR(34),CHAR(47),CHAR(62)),"&lt;/routeDistribution&gt;"))</f>
        <v/>
      </c>
    </row>
    <row r="2389" spans="1:5" x14ac:dyDescent="0.25">
      <c r="A2389" t="s">
        <v>1514</v>
      </c>
      <c r="B2389" t="s">
        <v>1134</v>
      </c>
      <c r="E2389" t="str">
        <f>IF(OR(E2388="&lt;/routeDistribution&gt;",E2388=""),"",IFERROR(_xlfn.CONCAT(VLOOKUP(CW56,Route_Column!#REF!,2,FALSE),CHAR(34)," probability=",CHAR(34),1/CW$4,CHAR(34),CHAR(47),CHAR(62)),"&lt;/routeDistribution&gt;"))</f>
        <v/>
      </c>
    </row>
    <row r="2390" spans="1:5" x14ac:dyDescent="0.25">
      <c r="A2390" t="s">
        <v>1514</v>
      </c>
      <c r="B2390" t="s">
        <v>1138</v>
      </c>
      <c r="E2390" t="str">
        <f>IF(OR(E2389="&lt;/routeDistribution&gt;",E2389=""),"",IFERROR(_xlfn.CONCAT(VLOOKUP(CW57,Route_Column!#REF!,2,FALSE),CHAR(34)," probability=",CHAR(34),1/CW$4,CHAR(34),CHAR(47),CHAR(62)),"&lt;/routeDistribution&gt;"))</f>
        <v/>
      </c>
    </row>
    <row r="2391" spans="1:5" x14ac:dyDescent="0.25">
      <c r="A2391" t="s">
        <v>1514</v>
      </c>
      <c r="B2391" t="s">
        <v>1145</v>
      </c>
      <c r="E2391" t="str">
        <f>IF(OR(E2390="&lt;/routeDistribution&gt;",E2390=""),"",IFERROR(_xlfn.CONCAT(VLOOKUP(CW58,Route_Column!#REF!,2,FALSE),CHAR(34)," probability=",CHAR(34),1/CW$4,CHAR(34),CHAR(47),CHAR(62)),"&lt;/routeDistribution&gt;"))</f>
        <v/>
      </c>
    </row>
    <row r="2392" spans="1:5" x14ac:dyDescent="0.25">
      <c r="A2392" t="s">
        <v>1514</v>
      </c>
      <c r="B2392" t="s">
        <v>1154</v>
      </c>
      <c r="E2392" t="str">
        <f>IF(OR(E2391="&lt;/routeDistribution&gt;",E2391=""),"",IFERROR(_xlfn.CONCAT(VLOOKUP(CW59,Route_Column!#REF!,2,FALSE),CHAR(34)," probability=",CHAR(34),1/CW$4,CHAR(34),CHAR(47),CHAR(62)),"&lt;/routeDistribution&gt;"))</f>
        <v/>
      </c>
    </row>
    <row r="2393" spans="1:5" x14ac:dyDescent="0.25">
      <c r="A2393" t="s">
        <v>1514</v>
      </c>
      <c r="B2393" t="s">
        <v>1160</v>
      </c>
      <c r="E2393" t="str">
        <f>IF(OR(E2392="&lt;/routeDistribution&gt;",E2392=""),"",IFERROR(_xlfn.CONCAT(VLOOKUP(CW60,Route_Column!#REF!,2,FALSE),CHAR(34)," probability=",CHAR(34),1/CW$4,CHAR(34),CHAR(47),CHAR(62)),"&lt;/routeDistribution&gt;"))</f>
        <v/>
      </c>
    </row>
    <row r="2394" spans="1:5" x14ac:dyDescent="0.25">
      <c r="A2394" t="s">
        <v>1514</v>
      </c>
      <c r="B2394" t="s">
        <v>1180</v>
      </c>
      <c r="E2394" t="str">
        <f>IF(OR(E2393="&lt;/routeDistribution&gt;",E2393=""),"",IFERROR(_xlfn.CONCAT(VLOOKUP(CW61,Route_Column!#REF!,2,FALSE),CHAR(34)," probability=",CHAR(34),1/CW$4,CHAR(34),CHAR(47),CHAR(62)),"&lt;/routeDistribution&gt;"))</f>
        <v/>
      </c>
    </row>
    <row r="2395" spans="1:5" x14ac:dyDescent="0.25">
      <c r="A2395" t="s">
        <v>1514</v>
      </c>
      <c r="B2395" t="s">
        <v>1181</v>
      </c>
      <c r="E2395" t="str">
        <f>IF(OR(E2394="&lt;/routeDistribution&gt;",E2394=""),"",IFERROR(_xlfn.CONCAT(VLOOKUP(CW62,Route_Column!#REF!,2,FALSE),CHAR(34)," probability=",CHAR(34),1/CW$4,CHAR(34),CHAR(47),CHAR(62)),"&lt;/routeDistribution&gt;"))</f>
        <v/>
      </c>
    </row>
    <row r="2396" spans="1:5" x14ac:dyDescent="0.25">
      <c r="A2396" t="s">
        <v>1514</v>
      </c>
      <c r="B2396" t="s">
        <v>1194</v>
      </c>
      <c r="E2396" t="str">
        <f>IF(OR(E2395="&lt;/routeDistribution&gt;",E2395=""),"",IFERROR(_xlfn.CONCAT(VLOOKUP(CW63,Route_Column!#REF!,2,FALSE),CHAR(34)," probability=",CHAR(34),1/CW$4,CHAR(34),CHAR(47),CHAR(62)),"&lt;/routeDistribution&gt;"))</f>
        <v/>
      </c>
    </row>
    <row r="2397" spans="1:5" x14ac:dyDescent="0.25">
      <c r="A2397" t="s">
        <v>1514</v>
      </c>
      <c r="B2397" t="s">
        <v>1201</v>
      </c>
      <c r="E2397" t="s">
        <v>2686</v>
      </c>
    </row>
    <row r="2398" spans="1:5" x14ac:dyDescent="0.25">
      <c r="A2398" t="s">
        <v>1514</v>
      </c>
      <c r="B2398" t="s">
        <v>1206</v>
      </c>
    </row>
    <row r="2399" spans="1:5" x14ac:dyDescent="0.25">
      <c r="A2399" t="s">
        <v>2060</v>
      </c>
      <c r="B2399" t="s">
        <v>1138</v>
      </c>
    </row>
    <row r="2400" spans="1:5" x14ac:dyDescent="0.25">
      <c r="A2400" t="s">
        <v>2060</v>
      </c>
      <c r="B2400" t="s">
        <v>1154</v>
      </c>
      <c r="E2400" t="str">
        <f>_xlfn.CONCAT($E$1,CV$2,$F$1)</f>
        <v>&lt;routeDistribution id="I-676-on_ramp-30STsta-1995-RouteProbe"&gt;</v>
      </c>
    </row>
    <row r="2401" spans="1:5" x14ac:dyDescent="0.25">
      <c r="A2401" t="s">
        <v>2060</v>
      </c>
      <c r="B2401" t="s">
        <v>1180</v>
      </c>
      <c r="E2401" t="str">
        <f>IF(OR(E2400="&lt;/routeDistribution&gt;",E2400=""),"",IFERROR(_xlfn.CONCAT(VLOOKUP(CV5,Route_Column!#REF!,2,FALSE),CHAR(34)," probability=",CHAR(34),1/CV$4,CHAR(34),CHAR(47),CHAR(62)),"&lt;/routeDistribution&gt;"))</f>
        <v>&lt;/routeDistribution&gt;</v>
      </c>
    </row>
    <row r="2402" spans="1:5" x14ac:dyDescent="0.25">
      <c r="A2402" t="s">
        <v>2060</v>
      </c>
      <c r="B2402" t="s">
        <v>1181</v>
      </c>
      <c r="E2402" t="str">
        <f>IF(OR(E2401="&lt;/routeDistribution&gt;",E2401=""),"",IFERROR(_xlfn.CONCAT(VLOOKUP(CV6,Route_Column!#REF!,2,FALSE),CHAR(34)," probability=",CHAR(34),1/CV$4,CHAR(34),CHAR(47),CHAR(62)),"&lt;/routeDistribution&gt;"))</f>
        <v/>
      </c>
    </row>
    <row r="2403" spans="1:5" x14ac:dyDescent="0.25">
      <c r="A2403" t="s">
        <v>2060</v>
      </c>
      <c r="B2403" t="s">
        <v>1182</v>
      </c>
      <c r="E2403" t="str">
        <f>IF(OR(E2402="&lt;/routeDistribution&gt;",E2402=""),"",IFERROR(_xlfn.CONCAT(VLOOKUP(CV7,Route_Column!#REF!,2,FALSE),CHAR(34)," probability=",CHAR(34),1/CV$4,CHAR(34),CHAR(47),CHAR(62)),"&lt;/routeDistribution&gt;"))</f>
        <v/>
      </c>
    </row>
    <row r="2404" spans="1:5" x14ac:dyDescent="0.25">
      <c r="A2404" t="s">
        <v>2060</v>
      </c>
      <c r="B2404" t="s">
        <v>1183</v>
      </c>
      <c r="E2404" t="str">
        <f>IF(OR(E2403="&lt;/routeDistribution&gt;",E2403=""),"",IFERROR(_xlfn.CONCAT(VLOOKUP(CV8,Route_Column!#REF!,2,FALSE),CHAR(34)," probability=",CHAR(34),1/CV$4,CHAR(34),CHAR(47),CHAR(62)),"&lt;/routeDistribution&gt;"))</f>
        <v/>
      </c>
    </row>
    <row r="2405" spans="1:5" x14ac:dyDescent="0.25">
      <c r="A2405" t="s">
        <v>2060</v>
      </c>
      <c r="B2405" t="s">
        <v>1184</v>
      </c>
      <c r="E2405" t="str">
        <f>IF(OR(E2404="&lt;/routeDistribution&gt;",E2404=""),"",IFERROR(_xlfn.CONCAT(VLOOKUP(CV9,Route_Column!#REF!,2,FALSE),CHAR(34)," probability=",CHAR(34),1/CV$4,CHAR(34),CHAR(47),CHAR(62)),"&lt;/routeDistribution&gt;"))</f>
        <v/>
      </c>
    </row>
    <row r="2406" spans="1:5" x14ac:dyDescent="0.25">
      <c r="A2406" t="s">
        <v>2060</v>
      </c>
      <c r="B2406" t="s">
        <v>1185</v>
      </c>
      <c r="E2406" t="str">
        <f>IF(OR(E2405="&lt;/routeDistribution&gt;",E2405=""),"",IFERROR(_xlfn.CONCAT(VLOOKUP(CV10,Route_Column!#REF!,2,FALSE),CHAR(34)," probability=",CHAR(34),1/CV$4,CHAR(34),CHAR(47),CHAR(62)),"&lt;/routeDistribution&gt;"))</f>
        <v/>
      </c>
    </row>
    <row r="2407" spans="1:5" x14ac:dyDescent="0.25">
      <c r="A2407" t="s">
        <v>1925</v>
      </c>
      <c r="B2407" t="s">
        <v>1113</v>
      </c>
      <c r="E2407" t="str">
        <f>IF(OR(E2406="&lt;/routeDistribution&gt;",E2406=""),"",IFERROR(_xlfn.CONCAT(VLOOKUP(CV11,Route_Column!#REF!,2,FALSE),CHAR(34)," probability=",CHAR(34),1/CV$4,CHAR(34),CHAR(47),CHAR(62)),"&lt;/routeDistribution&gt;"))</f>
        <v/>
      </c>
    </row>
    <row r="2408" spans="1:5" x14ac:dyDescent="0.25">
      <c r="A2408" t="s">
        <v>1925</v>
      </c>
      <c r="B2408" t="s">
        <v>1114</v>
      </c>
      <c r="E2408" t="str">
        <f>IF(OR(E2407="&lt;/routeDistribution&gt;",E2407=""),"",IFERROR(_xlfn.CONCAT(VLOOKUP(CV12,Route_Column!#REF!,2,FALSE),CHAR(34)," probability=",CHAR(34),1/CV$4,CHAR(34),CHAR(47),CHAR(62)),"&lt;/routeDistribution&gt;"))</f>
        <v/>
      </c>
    </row>
    <row r="2409" spans="1:5" x14ac:dyDescent="0.25">
      <c r="A2409" t="s">
        <v>1925</v>
      </c>
      <c r="B2409" t="s">
        <v>1133</v>
      </c>
      <c r="E2409" t="str">
        <f>IF(OR(E2408="&lt;/routeDistribution&gt;",E2408=""),"",IFERROR(_xlfn.CONCAT(VLOOKUP(CV13,Route_Column!#REF!,2,FALSE),CHAR(34)," probability=",CHAR(34),1/CV$4,CHAR(34),CHAR(47),CHAR(62)),"&lt;/routeDistribution&gt;"))</f>
        <v/>
      </c>
    </row>
    <row r="2410" spans="1:5" x14ac:dyDescent="0.25">
      <c r="A2410" t="s">
        <v>1887</v>
      </c>
      <c r="B2410" t="s">
        <v>1112</v>
      </c>
      <c r="E2410" t="str">
        <f>IF(OR(E2409="&lt;/routeDistribution&gt;",E2409=""),"",IFERROR(_xlfn.CONCAT(VLOOKUP(CV14,Route_Column!#REF!,2,FALSE),CHAR(34)," probability=",CHAR(34),1/CV$4,CHAR(34),CHAR(47),CHAR(62)),"&lt;/routeDistribution&gt;"))</f>
        <v/>
      </c>
    </row>
    <row r="2411" spans="1:5" x14ac:dyDescent="0.25">
      <c r="A2411" t="s">
        <v>1887</v>
      </c>
      <c r="B2411" t="s">
        <v>1113</v>
      </c>
      <c r="E2411" t="str">
        <f>IF(OR(E2410="&lt;/routeDistribution&gt;",E2410=""),"",IFERROR(_xlfn.CONCAT(VLOOKUP(CV15,Route_Column!#REF!,2,FALSE),CHAR(34)," probability=",CHAR(34),1/CV$4,CHAR(34),CHAR(47),CHAR(62)),"&lt;/routeDistribution&gt;"))</f>
        <v/>
      </c>
    </row>
    <row r="2412" spans="1:5" x14ac:dyDescent="0.25">
      <c r="A2412" t="s">
        <v>1887</v>
      </c>
      <c r="B2412" t="s">
        <v>1114</v>
      </c>
      <c r="E2412" t="str">
        <f>IF(OR(E2411="&lt;/routeDistribution&gt;",E2411=""),"",IFERROR(_xlfn.CONCAT(VLOOKUP(CV16,Route_Column!#REF!,2,FALSE),CHAR(34)," probability=",CHAR(34),1/CV$4,CHAR(34),CHAR(47),CHAR(62)),"&lt;/routeDistribution&gt;"))</f>
        <v/>
      </c>
    </row>
    <row r="2413" spans="1:5" x14ac:dyDescent="0.25">
      <c r="A2413" t="s">
        <v>1926</v>
      </c>
      <c r="B2413" t="s">
        <v>1113</v>
      </c>
      <c r="E2413" t="str">
        <f>IF(OR(E2412="&lt;/routeDistribution&gt;",E2412=""),"",IFERROR(_xlfn.CONCAT(VLOOKUP(CV17,Route_Column!#REF!,2,FALSE),CHAR(34)," probability=",CHAR(34),1/CV$4,CHAR(34),CHAR(47),CHAR(62)),"&lt;/routeDistribution&gt;"))</f>
        <v/>
      </c>
    </row>
    <row r="2414" spans="1:5" x14ac:dyDescent="0.25">
      <c r="A2414" t="s">
        <v>1926</v>
      </c>
      <c r="B2414" t="s">
        <v>1114</v>
      </c>
      <c r="E2414" t="str">
        <f>IF(OR(E2413="&lt;/routeDistribution&gt;",E2413=""),"",IFERROR(_xlfn.CONCAT(VLOOKUP(CV18,Route_Column!#REF!,2,FALSE),CHAR(34)," probability=",CHAR(34),1/CV$4,CHAR(34),CHAR(47),CHAR(62)),"&lt;/routeDistribution&gt;"))</f>
        <v/>
      </c>
    </row>
    <row r="2415" spans="1:5" x14ac:dyDescent="0.25">
      <c r="A2415" t="s">
        <v>1926</v>
      </c>
      <c r="B2415" t="s">
        <v>1133</v>
      </c>
      <c r="E2415" t="str">
        <f>IF(OR(E2414="&lt;/routeDistribution&gt;",E2414=""),"",IFERROR(_xlfn.CONCAT(VLOOKUP(CV19,Route_Column!#REF!,2,FALSE),CHAR(34)," probability=",CHAR(34),1/CV$4,CHAR(34),CHAR(47),CHAR(62)),"&lt;/routeDistribution&gt;"))</f>
        <v/>
      </c>
    </row>
    <row r="2416" spans="1:5" x14ac:dyDescent="0.25">
      <c r="A2416" t="s">
        <v>1886</v>
      </c>
      <c r="B2416" t="s">
        <v>1112</v>
      </c>
      <c r="E2416" t="str">
        <f>IF(OR(E2415="&lt;/routeDistribution&gt;",E2415=""),"",IFERROR(_xlfn.CONCAT(VLOOKUP(CV20,Route_Column!#REF!,2,FALSE),CHAR(34)," probability=",CHAR(34),1/CV$4,CHAR(34),CHAR(47),CHAR(62)),"&lt;/routeDistribution&gt;"))</f>
        <v/>
      </c>
    </row>
    <row r="2417" spans="1:5" x14ac:dyDescent="0.25">
      <c r="A2417" t="s">
        <v>1886</v>
      </c>
      <c r="B2417" t="s">
        <v>1113</v>
      </c>
      <c r="E2417" t="str">
        <f>IF(OR(E2416="&lt;/routeDistribution&gt;",E2416=""),"",IFERROR(_xlfn.CONCAT(VLOOKUP(CV21,Route_Column!#REF!,2,FALSE),CHAR(34)," probability=",CHAR(34),1/CV$4,CHAR(34),CHAR(47),CHAR(62)),"&lt;/routeDistribution&gt;"))</f>
        <v/>
      </c>
    </row>
    <row r="2418" spans="1:5" x14ac:dyDescent="0.25">
      <c r="A2418" t="s">
        <v>1886</v>
      </c>
      <c r="B2418" t="s">
        <v>1114</v>
      </c>
      <c r="E2418" t="str">
        <f>IF(OR(E2417="&lt;/routeDistribution&gt;",E2417=""),"",IFERROR(_xlfn.CONCAT(VLOOKUP(CV22,Route_Column!#REF!,2,FALSE),CHAR(34)," probability=",CHAR(34),1/CV$4,CHAR(34),CHAR(47),CHAR(62)),"&lt;/routeDistribution&gt;"))</f>
        <v/>
      </c>
    </row>
    <row r="2419" spans="1:5" x14ac:dyDescent="0.25">
      <c r="A2419" t="s">
        <v>1890</v>
      </c>
      <c r="B2419" t="s">
        <v>1112</v>
      </c>
      <c r="E2419" t="str">
        <f>IF(OR(E2418="&lt;/routeDistribution&gt;",E2418=""),"",IFERROR(_xlfn.CONCAT(VLOOKUP(CV23,Route_Column!#REF!,2,FALSE),CHAR(34)," probability=",CHAR(34),1/CV$4,CHAR(34),CHAR(47),CHAR(62)),"&lt;/routeDistribution&gt;"))</f>
        <v/>
      </c>
    </row>
    <row r="2420" spans="1:5" x14ac:dyDescent="0.25">
      <c r="A2420" t="s">
        <v>1890</v>
      </c>
      <c r="B2420" t="s">
        <v>1113</v>
      </c>
      <c r="E2420" t="str">
        <f>IF(OR(E2419="&lt;/routeDistribution&gt;",E2419=""),"",IFERROR(_xlfn.CONCAT(VLOOKUP(CV24,Route_Column!#REF!,2,FALSE),CHAR(34)," probability=",CHAR(34),1/CV$4,CHAR(34),CHAR(47),CHAR(62)),"&lt;/routeDistribution&gt;"))</f>
        <v/>
      </c>
    </row>
    <row r="2421" spans="1:5" x14ac:dyDescent="0.25">
      <c r="A2421" t="s">
        <v>1890</v>
      </c>
      <c r="B2421" t="s">
        <v>1114</v>
      </c>
      <c r="E2421" t="str">
        <f>IF(OR(E2420="&lt;/routeDistribution&gt;",E2420=""),"",IFERROR(_xlfn.CONCAT(VLOOKUP(CV25,Route_Column!#REF!,2,FALSE),CHAR(34)," probability=",CHAR(34),1/CV$4,CHAR(34),CHAR(47),CHAR(62)),"&lt;/routeDistribution&gt;"))</f>
        <v/>
      </c>
    </row>
    <row r="2422" spans="1:5" x14ac:dyDescent="0.25">
      <c r="A2422" t="s">
        <v>1891</v>
      </c>
      <c r="B2422" t="s">
        <v>1112</v>
      </c>
      <c r="E2422" t="str">
        <f>IF(OR(E2421="&lt;/routeDistribution&gt;",E2421=""),"",IFERROR(_xlfn.CONCAT(VLOOKUP(CV26,Route_Column!#REF!,2,FALSE),CHAR(34)," probability=",CHAR(34),1/CV$4,CHAR(34),CHAR(47),CHAR(62)),"&lt;/routeDistribution&gt;"))</f>
        <v/>
      </c>
    </row>
    <row r="2423" spans="1:5" x14ac:dyDescent="0.25">
      <c r="A2423" t="s">
        <v>1892</v>
      </c>
      <c r="B2423" t="s">
        <v>1112</v>
      </c>
      <c r="E2423" t="str">
        <f>IF(OR(E2422="&lt;/routeDistribution&gt;",E2422=""),"",IFERROR(_xlfn.CONCAT(VLOOKUP(CV27,Route_Column!#REF!,2,FALSE),CHAR(34)," probability=",CHAR(34),1/CV$4,CHAR(34),CHAR(47),CHAR(62)),"&lt;/routeDistribution&gt;"))</f>
        <v/>
      </c>
    </row>
    <row r="2424" spans="1:5" x14ac:dyDescent="0.25">
      <c r="A2424" s="11" t="s">
        <v>1470</v>
      </c>
      <c r="B2424" t="s">
        <v>1091</v>
      </c>
      <c r="E2424" t="str">
        <f>IF(OR(E2423="&lt;/routeDistribution&gt;",E2423=""),"",IFERROR(_xlfn.CONCAT(VLOOKUP(CV28,Route_Column!#REF!,2,FALSE),CHAR(34)," probability=",CHAR(34),1/CV$4,CHAR(34),CHAR(47),CHAR(62)),"&lt;/routeDistribution&gt;"))</f>
        <v/>
      </c>
    </row>
    <row r="2425" spans="1:5" x14ac:dyDescent="0.25">
      <c r="A2425" t="s">
        <v>1470</v>
      </c>
      <c r="B2425" t="s">
        <v>1092</v>
      </c>
      <c r="E2425" t="str">
        <f>IF(OR(E2424="&lt;/routeDistribution&gt;",E2424=""),"",IFERROR(_xlfn.CONCAT(VLOOKUP(CV29,Route_Column!#REF!,2,FALSE),CHAR(34)," probability=",CHAR(34),1/CV$4,CHAR(34),CHAR(47),CHAR(62)),"&lt;/routeDistribution&gt;"))</f>
        <v/>
      </c>
    </row>
    <row r="2426" spans="1:5" x14ac:dyDescent="0.25">
      <c r="A2426" t="s">
        <v>1470</v>
      </c>
      <c r="B2426" t="s">
        <v>1093</v>
      </c>
      <c r="E2426" t="str">
        <f>IF(OR(E2425="&lt;/routeDistribution&gt;",E2425=""),"",IFERROR(_xlfn.CONCAT(VLOOKUP(CV30,Route_Column!#REF!,2,FALSE),CHAR(34)," probability=",CHAR(34),1/CV$4,CHAR(34),CHAR(47),CHAR(62)),"&lt;/routeDistribution&gt;"))</f>
        <v/>
      </c>
    </row>
    <row r="2427" spans="1:5" x14ac:dyDescent="0.25">
      <c r="A2427" t="s">
        <v>1470</v>
      </c>
      <c r="B2427" t="s">
        <v>1094</v>
      </c>
      <c r="E2427" t="str">
        <f>IF(OR(E2426="&lt;/routeDistribution&gt;",E2426=""),"",IFERROR(_xlfn.CONCAT(VLOOKUP(CV31,Route_Column!#REF!,2,FALSE),CHAR(34)," probability=",CHAR(34),1/CV$4,CHAR(34),CHAR(47),CHAR(62)),"&lt;/routeDistribution&gt;"))</f>
        <v/>
      </c>
    </row>
    <row r="2428" spans="1:5" x14ac:dyDescent="0.25">
      <c r="A2428" t="s">
        <v>1470</v>
      </c>
      <c r="B2428" t="s">
        <v>1095</v>
      </c>
      <c r="E2428" t="str">
        <f>IF(OR(E2427="&lt;/routeDistribution&gt;",E2427=""),"",IFERROR(_xlfn.CONCAT(VLOOKUP(CV32,Route_Column!#REF!,2,FALSE),CHAR(34)," probability=",CHAR(34),1/CV$4,CHAR(34),CHAR(47),CHAR(62)),"&lt;/routeDistribution&gt;"))</f>
        <v/>
      </c>
    </row>
    <row r="2429" spans="1:5" x14ac:dyDescent="0.25">
      <c r="A2429" t="s">
        <v>1470</v>
      </c>
      <c r="B2429" t="s">
        <v>1096</v>
      </c>
      <c r="E2429" t="str">
        <f>IF(OR(E2428="&lt;/routeDistribution&gt;",E2428=""),"",IFERROR(_xlfn.CONCAT(VLOOKUP(CV33,Route_Column!#REF!,2,FALSE),CHAR(34)," probability=",CHAR(34),1/CV$4,CHAR(34),CHAR(47),CHAR(62)),"&lt;/routeDistribution&gt;"))</f>
        <v/>
      </c>
    </row>
    <row r="2430" spans="1:5" x14ac:dyDescent="0.25">
      <c r="A2430" t="s">
        <v>1470</v>
      </c>
      <c r="B2430" t="s">
        <v>1097</v>
      </c>
      <c r="E2430" t="str">
        <f>IF(OR(E2429="&lt;/routeDistribution&gt;",E2429=""),"",IFERROR(_xlfn.CONCAT(VLOOKUP(CV34,Route_Column!#REF!,2,FALSE),CHAR(34)," probability=",CHAR(34),1/CV$4,CHAR(34),CHAR(47),CHAR(62)),"&lt;/routeDistribution&gt;"))</f>
        <v/>
      </c>
    </row>
    <row r="2431" spans="1:5" x14ac:dyDescent="0.25">
      <c r="A2431" t="s">
        <v>1470</v>
      </c>
      <c r="B2431" t="s">
        <v>1098</v>
      </c>
      <c r="E2431" t="str">
        <f>IF(OR(E2430="&lt;/routeDistribution&gt;",E2430=""),"",IFERROR(_xlfn.CONCAT(VLOOKUP(CV35,Route_Column!#REF!,2,FALSE),CHAR(34)," probability=",CHAR(34),1/CV$4,CHAR(34),CHAR(47),CHAR(62)),"&lt;/routeDistribution&gt;"))</f>
        <v/>
      </c>
    </row>
    <row r="2432" spans="1:5" x14ac:dyDescent="0.25">
      <c r="A2432" t="s">
        <v>1470</v>
      </c>
      <c r="B2432" t="s">
        <v>1099</v>
      </c>
      <c r="E2432" t="str">
        <f>IF(OR(E2431="&lt;/routeDistribution&gt;",E2431=""),"",IFERROR(_xlfn.CONCAT(VLOOKUP(CV36,Route_Column!#REF!,2,FALSE),CHAR(34)," probability=",CHAR(34),1/CV$4,CHAR(34),CHAR(47),CHAR(62)),"&lt;/routeDistribution&gt;"))</f>
        <v/>
      </c>
    </row>
    <row r="2433" spans="1:5" x14ac:dyDescent="0.25">
      <c r="A2433" t="s">
        <v>1470</v>
      </c>
      <c r="B2433" t="s">
        <v>1100</v>
      </c>
      <c r="E2433" t="str">
        <f>IF(OR(E2432="&lt;/routeDistribution&gt;",E2432=""),"",IFERROR(_xlfn.CONCAT(VLOOKUP(CV37,Route_Column!#REF!,2,FALSE),CHAR(34)," probability=",CHAR(34),1/CV$4,CHAR(34),CHAR(47),CHAR(62)),"&lt;/routeDistribution&gt;"))</f>
        <v/>
      </c>
    </row>
    <row r="2434" spans="1:5" x14ac:dyDescent="0.25">
      <c r="A2434" t="s">
        <v>1470</v>
      </c>
      <c r="B2434" t="s">
        <v>1101</v>
      </c>
      <c r="E2434" t="str">
        <f>IF(OR(E2433="&lt;/routeDistribution&gt;",E2433=""),"",IFERROR(_xlfn.CONCAT(VLOOKUP(CV38,Route_Column!#REF!,2,FALSE),CHAR(34)," probability=",CHAR(34),1/CV$4,CHAR(34),CHAR(47),CHAR(62)),"&lt;/routeDistribution&gt;"))</f>
        <v/>
      </c>
    </row>
    <row r="2435" spans="1:5" x14ac:dyDescent="0.25">
      <c r="A2435" t="s">
        <v>1470</v>
      </c>
      <c r="B2435" t="s">
        <v>1102</v>
      </c>
      <c r="E2435" t="str">
        <f>IF(OR(E2434="&lt;/routeDistribution&gt;",E2434=""),"",IFERROR(_xlfn.CONCAT(VLOOKUP(CV39,Route_Column!#REF!,2,FALSE),CHAR(34)," probability=",CHAR(34),1/CV$4,CHAR(34),CHAR(47),CHAR(62)),"&lt;/routeDistribution&gt;"))</f>
        <v/>
      </c>
    </row>
    <row r="2436" spans="1:5" x14ac:dyDescent="0.25">
      <c r="A2436" t="s">
        <v>1470</v>
      </c>
      <c r="B2436" t="s">
        <v>1103</v>
      </c>
      <c r="E2436" t="str">
        <f>IF(OR(E2435="&lt;/routeDistribution&gt;",E2435=""),"",IFERROR(_xlfn.CONCAT(VLOOKUP(CV40,Route_Column!#REF!,2,FALSE),CHAR(34)," probability=",CHAR(34),1/CV$4,CHAR(34),CHAR(47),CHAR(62)),"&lt;/routeDistribution&gt;"))</f>
        <v/>
      </c>
    </row>
    <row r="2437" spans="1:5" x14ac:dyDescent="0.25">
      <c r="A2437" t="s">
        <v>1470</v>
      </c>
      <c r="B2437" t="s">
        <v>1104</v>
      </c>
      <c r="E2437" t="str">
        <f>IF(OR(E2436="&lt;/routeDistribution&gt;",E2436=""),"",IFERROR(_xlfn.CONCAT(VLOOKUP(CV41,Route_Column!#REF!,2,FALSE),CHAR(34)," probability=",CHAR(34),1/CV$4,CHAR(34),CHAR(47),CHAR(62)),"&lt;/routeDistribution&gt;"))</f>
        <v/>
      </c>
    </row>
    <row r="2438" spans="1:5" x14ac:dyDescent="0.25">
      <c r="A2438" t="s">
        <v>1470</v>
      </c>
      <c r="B2438" t="s">
        <v>1105</v>
      </c>
      <c r="E2438" t="str">
        <f>IF(OR(E2437="&lt;/routeDistribution&gt;",E2437=""),"",IFERROR(_xlfn.CONCAT(VLOOKUP(CV42,Route_Column!#REF!,2,FALSE),CHAR(34)," probability=",CHAR(34),1/CV$4,CHAR(34),CHAR(47),CHAR(62)),"&lt;/routeDistribution&gt;"))</f>
        <v/>
      </c>
    </row>
    <row r="2439" spans="1:5" x14ac:dyDescent="0.25">
      <c r="A2439" t="s">
        <v>1470</v>
      </c>
      <c r="B2439" t="s">
        <v>1106</v>
      </c>
      <c r="E2439" t="str">
        <f>IF(OR(E2438="&lt;/routeDistribution&gt;",E2438=""),"",IFERROR(_xlfn.CONCAT(VLOOKUP(CV43,Route_Column!#REF!,2,FALSE),CHAR(34)," probability=",CHAR(34),1/CV$4,CHAR(34),CHAR(47),CHAR(62)),"&lt;/routeDistribution&gt;"))</f>
        <v/>
      </c>
    </row>
    <row r="2440" spans="1:5" x14ac:dyDescent="0.25">
      <c r="A2440" t="s">
        <v>1470</v>
      </c>
      <c r="B2440" t="s">
        <v>1107</v>
      </c>
      <c r="E2440" t="str">
        <f>IF(OR(E2439="&lt;/routeDistribution&gt;",E2439=""),"",IFERROR(_xlfn.CONCAT(VLOOKUP(CV44,Route_Column!#REF!,2,FALSE),CHAR(34)," probability=",CHAR(34),1/CV$4,CHAR(34),CHAR(47),CHAR(62)),"&lt;/routeDistribution&gt;"))</f>
        <v/>
      </c>
    </row>
    <row r="2441" spans="1:5" x14ac:dyDescent="0.25">
      <c r="A2441" t="s">
        <v>1598</v>
      </c>
      <c r="B2441" t="s">
        <v>1096</v>
      </c>
      <c r="E2441" t="str">
        <f>IF(OR(E2440="&lt;/routeDistribution&gt;",E2440=""),"",IFERROR(_xlfn.CONCAT(VLOOKUP(CV45,Route_Column!#REF!,2,FALSE),CHAR(34)," probability=",CHAR(34),1/CV$4,CHAR(34),CHAR(47),CHAR(62)),"&lt;/routeDistribution&gt;"))</f>
        <v/>
      </c>
    </row>
    <row r="2442" spans="1:5" x14ac:dyDescent="0.25">
      <c r="A2442" t="s">
        <v>1598</v>
      </c>
      <c r="B2442" t="s">
        <v>1099</v>
      </c>
      <c r="E2442" t="str">
        <f>IF(OR(E2441="&lt;/routeDistribution&gt;",E2441=""),"",IFERROR(_xlfn.CONCAT(VLOOKUP(CV46,Route_Column!#REF!,2,FALSE),CHAR(34)," probability=",CHAR(34),1/CV$4,CHAR(34),CHAR(47),CHAR(62)),"&lt;/routeDistribution&gt;"))</f>
        <v/>
      </c>
    </row>
    <row r="2443" spans="1:5" x14ac:dyDescent="0.25">
      <c r="A2443" t="s">
        <v>1598</v>
      </c>
      <c r="B2443" t="s">
        <v>1100</v>
      </c>
      <c r="E2443" t="str">
        <f>IF(OR(E2442="&lt;/routeDistribution&gt;",E2442=""),"",IFERROR(_xlfn.CONCAT(VLOOKUP(CV47,Route_Column!#REF!,2,FALSE),CHAR(34)," probability=",CHAR(34),1/CV$4,CHAR(34),CHAR(47),CHAR(62)),"&lt;/routeDistribution&gt;"))</f>
        <v/>
      </c>
    </row>
    <row r="2444" spans="1:5" x14ac:dyDescent="0.25">
      <c r="A2444" t="s">
        <v>1598</v>
      </c>
      <c r="B2444" t="s">
        <v>1101</v>
      </c>
      <c r="E2444" t="str">
        <f>IF(OR(E2443="&lt;/routeDistribution&gt;",E2443=""),"",IFERROR(_xlfn.CONCAT(VLOOKUP(CV48,Route_Column!#REF!,2,FALSE),CHAR(34)," probability=",CHAR(34),1/CV$4,CHAR(34),CHAR(47),CHAR(62)),"&lt;/routeDistribution&gt;"))</f>
        <v/>
      </c>
    </row>
    <row r="2445" spans="1:5" x14ac:dyDescent="0.25">
      <c r="A2445" t="s">
        <v>1598</v>
      </c>
      <c r="B2445" t="s">
        <v>1102</v>
      </c>
      <c r="E2445" t="str">
        <f>IF(OR(E2444="&lt;/routeDistribution&gt;",E2444=""),"",IFERROR(_xlfn.CONCAT(VLOOKUP(CV49,Route_Column!#REF!,2,FALSE),CHAR(34)," probability=",CHAR(34),1/CV$4,CHAR(34),CHAR(47),CHAR(62)),"&lt;/routeDistribution&gt;"))</f>
        <v/>
      </c>
    </row>
    <row r="2446" spans="1:5" x14ac:dyDescent="0.25">
      <c r="A2446" t="s">
        <v>1598</v>
      </c>
      <c r="B2446" t="s">
        <v>1103</v>
      </c>
      <c r="E2446" t="str">
        <f>IF(OR(E2445="&lt;/routeDistribution&gt;",E2445=""),"",IFERROR(_xlfn.CONCAT(VLOOKUP(CV50,Route_Column!#REF!,2,FALSE),CHAR(34)," probability=",CHAR(34),1/CV$4,CHAR(34),CHAR(47),CHAR(62)),"&lt;/routeDistribution&gt;"))</f>
        <v/>
      </c>
    </row>
    <row r="2447" spans="1:5" x14ac:dyDescent="0.25">
      <c r="A2447" t="s">
        <v>1598</v>
      </c>
      <c r="B2447" t="s">
        <v>1104</v>
      </c>
      <c r="E2447" t="str">
        <f>IF(OR(E2446="&lt;/routeDistribution&gt;",E2446=""),"",IFERROR(_xlfn.CONCAT(VLOOKUP(CV51,Route_Column!#REF!,2,FALSE),CHAR(34)," probability=",CHAR(34),1/CV$4,CHAR(34),CHAR(47),CHAR(62)),"&lt;/routeDistribution&gt;"))</f>
        <v/>
      </c>
    </row>
    <row r="2448" spans="1:5" x14ac:dyDescent="0.25">
      <c r="A2448" t="s">
        <v>1598</v>
      </c>
      <c r="B2448" t="s">
        <v>1105</v>
      </c>
      <c r="E2448" t="str">
        <f>IF(OR(E2447="&lt;/routeDistribution&gt;",E2447=""),"",IFERROR(_xlfn.CONCAT(VLOOKUP(CV52,Route_Column!#REF!,2,FALSE),CHAR(34)," probability=",CHAR(34),1/CV$4,CHAR(34),CHAR(47),CHAR(62)),"&lt;/routeDistribution&gt;"))</f>
        <v/>
      </c>
    </row>
    <row r="2449" spans="1:5" x14ac:dyDescent="0.25">
      <c r="A2449" t="s">
        <v>1598</v>
      </c>
      <c r="B2449" t="s">
        <v>1106</v>
      </c>
      <c r="E2449" t="str">
        <f>IF(OR(E2448="&lt;/routeDistribution&gt;",E2448=""),"",IFERROR(_xlfn.CONCAT(VLOOKUP(CV53,Route_Column!#REF!,2,FALSE),CHAR(34)," probability=",CHAR(34),1/CV$4,CHAR(34),CHAR(47),CHAR(62)),"&lt;/routeDistribution&gt;"))</f>
        <v/>
      </c>
    </row>
    <row r="2450" spans="1:5" x14ac:dyDescent="0.25">
      <c r="A2450" t="s">
        <v>1598</v>
      </c>
      <c r="B2450" t="s">
        <v>1161</v>
      </c>
      <c r="E2450" t="str">
        <f>IF(OR(E2449="&lt;/routeDistribution&gt;",E2449=""),"",IFERROR(_xlfn.CONCAT(VLOOKUP(CV54,Route_Column!#REF!,2,FALSE),CHAR(34)," probability=",CHAR(34),1/CV$4,CHAR(34),CHAR(47),CHAR(62)),"&lt;/routeDistribution&gt;"))</f>
        <v/>
      </c>
    </row>
    <row r="2451" spans="1:5" x14ac:dyDescent="0.25">
      <c r="A2451" t="s">
        <v>1598</v>
      </c>
      <c r="B2451" t="s">
        <v>1162</v>
      </c>
      <c r="E2451" t="str">
        <f>IF(OR(E2450="&lt;/routeDistribution&gt;",E2450=""),"",IFERROR(_xlfn.CONCAT(VLOOKUP(CV55,Route_Column!#REF!,2,FALSE),CHAR(34)," probability=",CHAR(34),1/CV$4,CHAR(34),CHAR(47),CHAR(62)),"&lt;/routeDistribution&gt;"))</f>
        <v/>
      </c>
    </row>
    <row r="2452" spans="1:5" x14ac:dyDescent="0.25">
      <c r="A2452" t="s">
        <v>1598</v>
      </c>
      <c r="B2452" t="s">
        <v>1163</v>
      </c>
      <c r="E2452" t="str">
        <f>IF(OR(E2451="&lt;/routeDistribution&gt;",E2451=""),"",IFERROR(_xlfn.CONCAT(VLOOKUP(CV56,Route_Column!#REF!,2,FALSE),CHAR(34)," probability=",CHAR(34),1/CV$4,CHAR(34),CHAR(47),CHAR(62)),"&lt;/routeDistribution&gt;"))</f>
        <v/>
      </c>
    </row>
    <row r="2453" spans="1:5" x14ac:dyDescent="0.25">
      <c r="A2453" t="s">
        <v>1598</v>
      </c>
      <c r="B2453" t="s">
        <v>1164</v>
      </c>
      <c r="E2453" t="str">
        <f>IF(OR(E2452="&lt;/routeDistribution&gt;",E2452=""),"",IFERROR(_xlfn.CONCAT(VLOOKUP(CV57,Route_Column!#REF!,2,FALSE),CHAR(34)," probability=",CHAR(34),1/CV$4,CHAR(34),CHAR(47),CHAR(62)),"&lt;/routeDistribution&gt;"))</f>
        <v/>
      </c>
    </row>
    <row r="2454" spans="1:5" x14ac:dyDescent="0.25">
      <c r="A2454" t="s">
        <v>1598</v>
      </c>
      <c r="B2454" t="s">
        <v>1168</v>
      </c>
      <c r="E2454" t="str">
        <f>IF(OR(E2453="&lt;/routeDistribution&gt;",E2453=""),"",IFERROR(_xlfn.CONCAT(VLOOKUP(CV58,Route_Column!#REF!,2,FALSE),CHAR(34)," probability=",CHAR(34),1/CV$4,CHAR(34),CHAR(47),CHAR(62)),"&lt;/routeDistribution&gt;"))</f>
        <v/>
      </c>
    </row>
    <row r="2455" spans="1:5" x14ac:dyDescent="0.25">
      <c r="A2455" t="s">
        <v>1598</v>
      </c>
      <c r="B2455" t="s">
        <v>1170</v>
      </c>
      <c r="E2455" t="str">
        <f>IF(OR(E2454="&lt;/routeDistribution&gt;",E2454=""),"",IFERROR(_xlfn.CONCAT(VLOOKUP(CV59,Route_Column!#REF!,2,FALSE),CHAR(34)," probability=",CHAR(34),1/CV$4,CHAR(34),CHAR(47),CHAR(62)),"&lt;/routeDistribution&gt;"))</f>
        <v/>
      </c>
    </row>
    <row r="2456" spans="1:5" x14ac:dyDescent="0.25">
      <c r="A2456" t="s">
        <v>1598</v>
      </c>
      <c r="B2456" t="s">
        <v>1196</v>
      </c>
      <c r="E2456" t="str">
        <f>IF(OR(E2455="&lt;/routeDistribution&gt;",E2455=""),"",IFERROR(_xlfn.CONCAT(VLOOKUP(CV60,Route_Column!#REF!,2,FALSE),CHAR(34)," probability=",CHAR(34),1/CV$4,CHAR(34),CHAR(47),CHAR(62)),"&lt;/routeDistribution&gt;"))</f>
        <v/>
      </c>
    </row>
    <row r="2457" spans="1:5" x14ac:dyDescent="0.25">
      <c r="A2457" s="11" t="s">
        <v>1471</v>
      </c>
      <c r="B2457" t="s">
        <v>1091</v>
      </c>
      <c r="E2457" t="str">
        <f>IF(OR(E2456="&lt;/routeDistribution&gt;",E2456=""),"",IFERROR(_xlfn.CONCAT(VLOOKUP(CV61,Route_Column!#REF!,2,FALSE),CHAR(34)," probability=",CHAR(34),1/CV$4,CHAR(34),CHAR(47),CHAR(62)),"&lt;/routeDistribution&gt;"))</f>
        <v/>
      </c>
    </row>
    <row r="2458" spans="1:5" x14ac:dyDescent="0.25">
      <c r="A2458" t="s">
        <v>1471</v>
      </c>
      <c r="B2458" t="s">
        <v>1092</v>
      </c>
      <c r="E2458" t="str">
        <f>IF(OR(E2457="&lt;/routeDistribution&gt;",E2457=""),"",IFERROR(_xlfn.CONCAT(VLOOKUP(CV62,Route_Column!#REF!,2,FALSE),CHAR(34)," probability=",CHAR(34),1/CV$4,CHAR(34),CHAR(47),CHAR(62)),"&lt;/routeDistribution&gt;"))</f>
        <v/>
      </c>
    </row>
    <row r="2459" spans="1:5" x14ac:dyDescent="0.25">
      <c r="A2459" t="s">
        <v>1471</v>
      </c>
      <c r="B2459" t="s">
        <v>1093</v>
      </c>
      <c r="E2459" t="str">
        <f>IF(OR(E2458="&lt;/routeDistribution&gt;",E2458=""),"",IFERROR(_xlfn.CONCAT(VLOOKUP(CV63,Route_Column!#REF!,2,FALSE),CHAR(34)," probability=",CHAR(34),1/CV$4,CHAR(34),CHAR(47),CHAR(62)),"&lt;/routeDistribution&gt;"))</f>
        <v/>
      </c>
    </row>
    <row r="2460" spans="1:5" x14ac:dyDescent="0.25">
      <c r="A2460" t="s">
        <v>1471</v>
      </c>
      <c r="B2460" t="s">
        <v>1094</v>
      </c>
      <c r="E2460" t="s">
        <v>2686</v>
      </c>
    </row>
    <row r="2461" spans="1:5" x14ac:dyDescent="0.25">
      <c r="A2461" t="s">
        <v>1471</v>
      </c>
      <c r="B2461" t="s">
        <v>1095</v>
      </c>
    </row>
    <row r="2462" spans="1:5" x14ac:dyDescent="0.25">
      <c r="A2462" t="s">
        <v>1471</v>
      </c>
      <c r="B2462" t="s">
        <v>1096</v>
      </c>
    </row>
    <row r="2463" spans="1:5" x14ac:dyDescent="0.25">
      <c r="A2463" t="s">
        <v>1471</v>
      </c>
      <c r="B2463" t="s">
        <v>1097</v>
      </c>
      <c r="E2463" t="str">
        <f>_xlfn.CONCAT($E$1,CU$2,$F$1)</f>
        <v>&lt;routeDistribution id="40th-Ches-to-Wal-1995-RouteProbe"&gt;</v>
      </c>
    </row>
    <row r="2464" spans="1:5" x14ac:dyDescent="0.25">
      <c r="A2464" t="s">
        <v>1471</v>
      </c>
      <c r="B2464" t="s">
        <v>1098</v>
      </c>
      <c r="E2464" t="str">
        <f>IF(OR(E2463="&lt;/routeDistribution&gt;",E2463=""),"",IFERROR(_xlfn.CONCAT(VLOOKUP(CU5,Route_Column!#REF!,2,FALSE),CHAR(34)," probability=",CHAR(34),1/CU$4,CHAR(34),CHAR(47),CHAR(62)),"&lt;/routeDistribution&gt;"))</f>
        <v>&lt;/routeDistribution&gt;</v>
      </c>
    </row>
    <row r="2465" spans="1:5" x14ac:dyDescent="0.25">
      <c r="A2465" t="s">
        <v>1471</v>
      </c>
      <c r="B2465" t="s">
        <v>1099</v>
      </c>
      <c r="E2465" t="str">
        <f>IF(OR(E2464="&lt;/routeDistribution&gt;",E2464=""),"",IFERROR(_xlfn.CONCAT(VLOOKUP(CU6,Route_Column!#REF!,2,FALSE),CHAR(34)," probability=",CHAR(34),1/CU$4,CHAR(34),CHAR(47),CHAR(62)),"&lt;/routeDistribution&gt;"))</f>
        <v/>
      </c>
    </row>
    <row r="2466" spans="1:5" x14ac:dyDescent="0.25">
      <c r="A2466" t="s">
        <v>1471</v>
      </c>
      <c r="B2466" t="s">
        <v>1100</v>
      </c>
      <c r="E2466" t="str">
        <f>IF(OR(E2465="&lt;/routeDistribution&gt;",E2465=""),"",IFERROR(_xlfn.CONCAT(VLOOKUP(CU7,Route_Column!#REF!,2,FALSE),CHAR(34)," probability=",CHAR(34),1/CU$4,CHAR(34),CHAR(47),CHAR(62)),"&lt;/routeDistribution&gt;"))</f>
        <v/>
      </c>
    </row>
    <row r="2467" spans="1:5" x14ac:dyDescent="0.25">
      <c r="A2467" t="s">
        <v>1471</v>
      </c>
      <c r="B2467" t="s">
        <v>1101</v>
      </c>
      <c r="E2467" t="str">
        <f>IF(OR(E2466="&lt;/routeDistribution&gt;",E2466=""),"",IFERROR(_xlfn.CONCAT(VLOOKUP(CU8,Route_Column!#REF!,2,FALSE),CHAR(34)," probability=",CHAR(34),1/CU$4,CHAR(34),CHAR(47),CHAR(62)),"&lt;/routeDistribution&gt;"))</f>
        <v/>
      </c>
    </row>
    <row r="2468" spans="1:5" x14ac:dyDescent="0.25">
      <c r="A2468" t="s">
        <v>1471</v>
      </c>
      <c r="B2468" t="s">
        <v>1102</v>
      </c>
      <c r="E2468" t="str">
        <f>IF(OR(E2467="&lt;/routeDistribution&gt;",E2467=""),"",IFERROR(_xlfn.CONCAT(VLOOKUP(CU9,Route_Column!#REF!,2,FALSE),CHAR(34)," probability=",CHAR(34),1/CU$4,CHAR(34),CHAR(47),CHAR(62)),"&lt;/routeDistribution&gt;"))</f>
        <v/>
      </c>
    </row>
    <row r="2469" spans="1:5" x14ac:dyDescent="0.25">
      <c r="A2469" t="s">
        <v>1471</v>
      </c>
      <c r="B2469" t="s">
        <v>1103</v>
      </c>
      <c r="E2469" t="str">
        <f>IF(OR(E2468="&lt;/routeDistribution&gt;",E2468=""),"",IFERROR(_xlfn.CONCAT(VLOOKUP(CU10,Route_Column!#REF!,2,FALSE),CHAR(34)," probability=",CHAR(34),1/CU$4,CHAR(34),CHAR(47),CHAR(62)),"&lt;/routeDistribution&gt;"))</f>
        <v/>
      </c>
    </row>
    <row r="2470" spans="1:5" x14ac:dyDescent="0.25">
      <c r="A2470" t="s">
        <v>1471</v>
      </c>
      <c r="B2470" t="s">
        <v>1104</v>
      </c>
      <c r="E2470" t="str">
        <f>IF(OR(E2469="&lt;/routeDistribution&gt;",E2469=""),"",IFERROR(_xlfn.CONCAT(VLOOKUP(CU11,Route_Column!#REF!,2,FALSE),CHAR(34)," probability=",CHAR(34),1/CU$4,CHAR(34),CHAR(47),CHAR(62)),"&lt;/routeDistribution&gt;"))</f>
        <v/>
      </c>
    </row>
    <row r="2471" spans="1:5" x14ac:dyDescent="0.25">
      <c r="A2471" t="s">
        <v>1471</v>
      </c>
      <c r="B2471" t="s">
        <v>1105</v>
      </c>
      <c r="E2471" t="str">
        <f>IF(OR(E2470="&lt;/routeDistribution&gt;",E2470=""),"",IFERROR(_xlfn.CONCAT(VLOOKUP(CU12,Route_Column!#REF!,2,FALSE),CHAR(34)," probability=",CHAR(34),1/CU$4,CHAR(34),CHAR(47),CHAR(62)),"&lt;/routeDistribution&gt;"))</f>
        <v/>
      </c>
    </row>
    <row r="2472" spans="1:5" x14ac:dyDescent="0.25">
      <c r="A2472" t="s">
        <v>1471</v>
      </c>
      <c r="B2472" t="s">
        <v>1106</v>
      </c>
      <c r="E2472" t="str">
        <f>IF(OR(E2471="&lt;/routeDistribution&gt;",E2471=""),"",IFERROR(_xlfn.CONCAT(VLOOKUP(CU13,Route_Column!#REF!,2,FALSE),CHAR(34)," probability=",CHAR(34),1/CU$4,CHAR(34),CHAR(47),CHAR(62)),"&lt;/routeDistribution&gt;"))</f>
        <v/>
      </c>
    </row>
    <row r="2473" spans="1:5" x14ac:dyDescent="0.25">
      <c r="A2473" t="s">
        <v>1471</v>
      </c>
      <c r="B2473" t="s">
        <v>1107</v>
      </c>
      <c r="E2473" t="str">
        <f>IF(OR(E2472="&lt;/routeDistribution&gt;",E2472=""),"",IFERROR(_xlfn.CONCAT(VLOOKUP(CU14,Route_Column!#REF!,2,FALSE),CHAR(34)," probability=",CHAR(34),1/CU$4,CHAR(34),CHAR(47),CHAR(62)),"&lt;/routeDistribution&gt;"))</f>
        <v/>
      </c>
    </row>
    <row r="2474" spans="1:5" x14ac:dyDescent="0.25">
      <c r="A2474" t="s">
        <v>1859</v>
      </c>
      <c r="B2474" t="s">
        <v>1112</v>
      </c>
      <c r="E2474" t="str">
        <f>IF(OR(E2473="&lt;/routeDistribution&gt;",E2473=""),"",IFERROR(_xlfn.CONCAT(VLOOKUP(CU15,Route_Column!#REF!,2,FALSE),CHAR(34)," probability=",CHAR(34),1/CU$4,CHAR(34),CHAR(47),CHAR(62)),"&lt;/routeDistribution&gt;"))</f>
        <v/>
      </c>
    </row>
    <row r="2475" spans="1:5" x14ac:dyDescent="0.25">
      <c r="A2475" t="s">
        <v>1859</v>
      </c>
      <c r="B2475" t="s">
        <v>1113</v>
      </c>
      <c r="E2475" t="str">
        <f>IF(OR(E2474="&lt;/routeDistribution&gt;",E2474=""),"",IFERROR(_xlfn.CONCAT(VLOOKUP(CU16,Route_Column!#REF!,2,FALSE),CHAR(34)," probability=",CHAR(34),1/CU$4,CHAR(34),CHAR(47),CHAR(62)),"&lt;/routeDistribution&gt;"))</f>
        <v/>
      </c>
    </row>
    <row r="2476" spans="1:5" x14ac:dyDescent="0.25">
      <c r="A2476" t="s">
        <v>1859</v>
      </c>
      <c r="B2476" t="s">
        <v>1114</v>
      </c>
      <c r="E2476" t="str">
        <f>IF(OR(E2475="&lt;/routeDistribution&gt;",E2475=""),"",IFERROR(_xlfn.CONCAT(VLOOKUP(CU17,Route_Column!#REF!,2,FALSE),CHAR(34)," probability=",CHAR(34),1/CU$4,CHAR(34),CHAR(47),CHAR(62)),"&lt;/routeDistribution&gt;"))</f>
        <v/>
      </c>
    </row>
    <row r="2477" spans="1:5" x14ac:dyDescent="0.25">
      <c r="A2477" t="s">
        <v>1859</v>
      </c>
      <c r="B2477" t="s">
        <v>1115</v>
      </c>
      <c r="E2477" t="str">
        <f>IF(OR(E2476="&lt;/routeDistribution&gt;",E2476=""),"",IFERROR(_xlfn.CONCAT(VLOOKUP(CU18,Route_Column!#REF!,2,FALSE),CHAR(34)," probability=",CHAR(34),1/CU$4,CHAR(34),CHAR(47),CHAR(62)),"&lt;/routeDistribution&gt;"))</f>
        <v/>
      </c>
    </row>
    <row r="2478" spans="1:5" x14ac:dyDescent="0.25">
      <c r="A2478" t="s">
        <v>1859</v>
      </c>
      <c r="B2478" t="s">
        <v>1166</v>
      </c>
      <c r="E2478" t="str">
        <f>IF(OR(E2477="&lt;/routeDistribution&gt;",E2477=""),"",IFERROR(_xlfn.CONCAT(VLOOKUP(CU19,Route_Column!#REF!,2,FALSE),CHAR(34)," probability=",CHAR(34),1/CU$4,CHAR(34),CHAR(47),CHAR(62)),"&lt;/routeDistribution&gt;"))</f>
        <v/>
      </c>
    </row>
    <row r="2479" spans="1:5" x14ac:dyDescent="0.25">
      <c r="A2479" t="s">
        <v>1859</v>
      </c>
      <c r="B2479" t="s">
        <v>1167</v>
      </c>
      <c r="E2479" t="str">
        <f>IF(OR(E2478="&lt;/routeDistribution&gt;",E2478=""),"",IFERROR(_xlfn.CONCAT(VLOOKUP(CU20,Route_Column!#REF!,2,FALSE),CHAR(34)," probability=",CHAR(34),1/CU$4,CHAR(34),CHAR(47),CHAR(62)),"&lt;/routeDistribution&gt;"))</f>
        <v/>
      </c>
    </row>
    <row r="2480" spans="1:5" x14ac:dyDescent="0.25">
      <c r="A2480" t="s">
        <v>1859</v>
      </c>
      <c r="B2480" t="s">
        <v>1168</v>
      </c>
      <c r="E2480" t="str">
        <f>IF(OR(E2479="&lt;/routeDistribution&gt;",E2479=""),"",IFERROR(_xlfn.CONCAT(VLOOKUP(CU21,Route_Column!#REF!,2,FALSE),CHAR(34)," probability=",CHAR(34),1/CU$4,CHAR(34),CHAR(47),CHAR(62)),"&lt;/routeDistribution&gt;"))</f>
        <v/>
      </c>
    </row>
    <row r="2481" spans="1:5" x14ac:dyDescent="0.25">
      <c r="A2481" t="s">
        <v>1859</v>
      </c>
      <c r="B2481" t="s">
        <v>1186</v>
      </c>
      <c r="E2481" t="str">
        <f>IF(OR(E2480="&lt;/routeDistribution&gt;",E2480=""),"",IFERROR(_xlfn.CONCAT(VLOOKUP(CU22,Route_Column!#REF!,2,FALSE),CHAR(34)," probability=",CHAR(34),1/CU$4,CHAR(34),CHAR(47),CHAR(62)),"&lt;/routeDistribution&gt;"))</f>
        <v/>
      </c>
    </row>
    <row r="2482" spans="1:5" x14ac:dyDescent="0.25">
      <c r="A2482" t="s">
        <v>1859</v>
      </c>
      <c r="B2482" t="s">
        <v>1189</v>
      </c>
      <c r="E2482" t="str">
        <f>IF(OR(E2481="&lt;/routeDistribution&gt;",E2481=""),"",IFERROR(_xlfn.CONCAT(VLOOKUP(CU23,Route_Column!#REF!,2,FALSE),CHAR(34)," probability=",CHAR(34),1/CU$4,CHAR(34),CHAR(47),CHAR(62)),"&lt;/routeDistribution&gt;"))</f>
        <v/>
      </c>
    </row>
    <row r="2483" spans="1:5" x14ac:dyDescent="0.25">
      <c r="A2483" t="s">
        <v>2251</v>
      </c>
      <c r="B2483" t="s">
        <v>1187</v>
      </c>
      <c r="E2483" t="str">
        <f>IF(OR(E2482="&lt;/routeDistribution&gt;",E2482=""),"",IFERROR(_xlfn.CONCAT(VLOOKUP(CU24,Route_Column!#REF!,2,FALSE),CHAR(34)," probability=",CHAR(34),1/CU$4,CHAR(34),CHAR(47),CHAR(62)),"&lt;/routeDistribution&gt;"))</f>
        <v/>
      </c>
    </row>
    <row r="2484" spans="1:5" x14ac:dyDescent="0.25">
      <c r="A2484" t="s">
        <v>2251</v>
      </c>
      <c r="B2484" t="s">
        <v>1188</v>
      </c>
      <c r="E2484" t="str">
        <f>IF(OR(E2483="&lt;/routeDistribution&gt;",E2483=""),"",IFERROR(_xlfn.CONCAT(VLOOKUP(CU25,Route_Column!#REF!,2,FALSE),CHAR(34)," probability=",CHAR(34),1/CU$4,CHAR(34),CHAR(47),CHAR(62)),"&lt;/routeDistribution&gt;"))</f>
        <v/>
      </c>
    </row>
    <row r="2485" spans="1:5" x14ac:dyDescent="0.25">
      <c r="A2485" t="s">
        <v>2251</v>
      </c>
      <c r="B2485" t="s">
        <v>1188</v>
      </c>
      <c r="E2485" t="str">
        <f>IF(OR(E2484="&lt;/routeDistribution&gt;",E2484=""),"",IFERROR(_xlfn.CONCAT(VLOOKUP(CU26,Route_Column!#REF!,2,FALSE),CHAR(34)," probability=",CHAR(34),1/CU$4,CHAR(34),CHAR(47),CHAR(62)),"&lt;/routeDistribution&gt;"))</f>
        <v/>
      </c>
    </row>
    <row r="2486" spans="1:5" x14ac:dyDescent="0.25">
      <c r="A2486" t="s">
        <v>2251</v>
      </c>
      <c r="B2486" t="s">
        <v>1189</v>
      </c>
      <c r="E2486" t="str">
        <f>IF(OR(E2485="&lt;/routeDistribution&gt;",E2485=""),"",IFERROR(_xlfn.CONCAT(VLOOKUP(CU27,Route_Column!#REF!,2,FALSE),CHAR(34)," probability=",CHAR(34),1/CU$4,CHAR(34),CHAR(47),CHAR(62)),"&lt;/routeDistribution&gt;"))</f>
        <v/>
      </c>
    </row>
    <row r="2487" spans="1:5" x14ac:dyDescent="0.25">
      <c r="A2487" t="s">
        <v>2251</v>
      </c>
      <c r="B2487" t="s">
        <v>1189</v>
      </c>
      <c r="E2487" t="str">
        <f>IF(OR(E2486="&lt;/routeDistribution&gt;",E2486=""),"",IFERROR(_xlfn.CONCAT(VLOOKUP(CU28,Route_Column!#REF!,2,FALSE),CHAR(34)," probability=",CHAR(34),1/CU$4,CHAR(34),CHAR(47),CHAR(62)),"&lt;/routeDistribution&gt;"))</f>
        <v/>
      </c>
    </row>
    <row r="2488" spans="1:5" x14ac:dyDescent="0.25">
      <c r="A2488" t="s">
        <v>2251</v>
      </c>
      <c r="B2488" t="s">
        <v>1189</v>
      </c>
      <c r="E2488" t="str">
        <f>IF(OR(E2487="&lt;/routeDistribution&gt;",E2487=""),"",IFERROR(_xlfn.CONCAT(VLOOKUP(CU29,Route_Column!#REF!,2,FALSE),CHAR(34)," probability=",CHAR(34),1/CU$4,CHAR(34),CHAR(47),CHAR(62)),"&lt;/routeDistribution&gt;"))</f>
        <v/>
      </c>
    </row>
    <row r="2489" spans="1:5" x14ac:dyDescent="0.25">
      <c r="A2489" t="s">
        <v>1860</v>
      </c>
      <c r="B2489" t="s">
        <v>1112</v>
      </c>
      <c r="E2489" t="str">
        <f>IF(OR(E2488="&lt;/routeDistribution&gt;",E2488=""),"",IFERROR(_xlfn.CONCAT(VLOOKUP(CU30,Route_Column!#REF!,2,FALSE),CHAR(34)," probability=",CHAR(34),1/CU$4,CHAR(34),CHAR(47),CHAR(62)),"&lt;/routeDistribution&gt;"))</f>
        <v/>
      </c>
    </row>
    <row r="2490" spans="1:5" x14ac:dyDescent="0.25">
      <c r="A2490" t="s">
        <v>1860</v>
      </c>
      <c r="B2490" t="s">
        <v>1113</v>
      </c>
      <c r="E2490" t="str">
        <f>IF(OR(E2489="&lt;/routeDistribution&gt;",E2489=""),"",IFERROR(_xlfn.CONCAT(VLOOKUP(CU31,Route_Column!#REF!,2,FALSE),CHAR(34)," probability=",CHAR(34),1/CU$4,CHAR(34),CHAR(47),CHAR(62)),"&lt;/routeDistribution&gt;"))</f>
        <v/>
      </c>
    </row>
    <row r="2491" spans="1:5" x14ac:dyDescent="0.25">
      <c r="A2491" t="s">
        <v>1860</v>
      </c>
      <c r="B2491" t="s">
        <v>1114</v>
      </c>
      <c r="E2491" t="str">
        <f>IF(OR(E2490="&lt;/routeDistribution&gt;",E2490=""),"",IFERROR(_xlfn.CONCAT(VLOOKUP(CU32,Route_Column!#REF!,2,FALSE),CHAR(34)," probability=",CHAR(34),1/CU$4,CHAR(34),CHAR(47),CHAR(62)),"&lt;/routeDistribution&gt;"))</f>
        <v/>
      </c>
    </row>
    <row r="2492" spans="1:5" x14ac:dyDescent="0.25">
      <c r="A2492" t="s">
        <v>1860</v>
      </c>
      <c r="B2492" t="s">
        <v>1115</v>
      </c>
      <c r="E2492" t="str">
        <f>IF(OR(E2491="&lt;/routeDistribution&gt;",E2491=""),"",IFERROR(_xlfn.CONCAT(VLOOKUP(CU33,Route_Column!#REF!,2,FALSE),CHAR(34)," probability=",CHAR(34),1/CU$4,CHAR(34),CHAR(47),CHAR(62)),"&lt;/routeDistribution&gt;"))</f>
        <v/>
      </c>
    </row>
    <row r="2493" spans="1:5" x14ac:dyDescent="0.25">
      <c r="A2493" t="s">
        <v>1860</v>
      </c>
      <c r="B2493" t="s">
        <v>1166</v>
      </c>
      <c r="E2493" t="str">
        <f>IF(OR(E2492="&lt;/routeDistribution&gt;",E2492=""),"",IFERROR(_xlfn.CONCAT(VLOOKUP(CU34,Route_Column!#REF!,2,FALSE),CHAR(34)," probability=",CHAR(34),1/CU$4,CHAR(34),CHAR(47),CHAR(62)),"&lt;/routeDistribution&gt;"))</f>
        <v/>
      </c>
    </row>
    <row r="2494" spans="1:5" x14ac:dyDescent="0.25">
      <c r="A2494" t="s">
        <v>1860</v>
      </c>
      <c r="B2494" t="s">
        <v>1167</v>
      </c>
      <c r="E2494" t="str">
        <f>IF(OR(E2493="&lt;/routeDistribution&gt;",E2493=""),"",IFERROR(_xlfn.CONCAT(VLOOKUP(CU35,Route_Column!#REF!,2,FALSE),CHAR(34)," probability=",CHAR(34),1/CU$4,CHAR(34),CHAR(47),CHAR(62)),"&lt;/routeDistribution&gt;"))</f>
        <v/>
      </c>
    </row>
    <row r="2495" spans="1:5" x14ac:dyDescent="0.25">
      <c r="A2495" t="s">
        <v>1860</v>
      </c>
      <c r="B2495" t="s">
        <v>1168</v>
      </c>
      <c r="E2495" t="str">
        <f>IF(OR(E2494="&lt;/routeDistribution&gt;",E2494=""),"",IFERROR(_xlfn.CONCAT(VLOOKUP(CU36,Route_Column!#REF!,2,FALSE),CHAR(34)," probability=",CHAR(34),1/CU$4,CHAR(34),CHAR(47),CHAR(62)),"&lt;/routeDistribution&gt;"))</f>
        <v/>
      </c>
    </row>
    <row r="2496" spans="1:5" x14ac:dyDescent="0.25">
      <c r="A2496" t="s">
        <v>1860</v>
      </c>
      <c r="B2496" t="s">
        <v>1186</v>
      </c>
      <c r="E2496" t="str">
        <f>IF(OR(E2495="&lt;/routeDistribution&gt;",E2495=""),"",IFERROR(_xlfn.CONCAT(VLOOKUP(CU37,Route_Column!#REF!,2,FALSE),CHAR(34)," probability=",CHAR(34),1/CU$4,CHAR(34),CHAR(47),CHAR(62)),"&lt;/routeDistribution&gt;"))</f>
        <v/>
      </c>
    </row>
    <row r="2497" spans="1:5" x14ac:dyDescent="0.25">
      <c r="A2497" t="s">
        <v>1860</v>
      </c>
      <c r="B2497" t="s">
        <v>1189</v>
      </c>
      <c r="E2497" t="str">
        <f>IF(OR(E2496="&lt;/routeDistribution&gt;",E2496=""),"",IFERROR(_xlfn.CONCAT(VLOOKUP(CU38,Route_Column!#REF!,2,FALSE),CHAR(34)," probability=",CHAR(34),1/CU$4,CHAR(34),CHAR(47),CHAR(62)),"&lt;/routeDistribution&gt;"))</f>
        <v/>
      </c>
    </row>
    <row r="2498" spans="1:5" x14ac:dyDescent="0.25">
      <c r="A2498" t="s">
        <v>2250</v>
      </c>
      <c r="B2498" t="s">
        <v>1187</v>
      </c>
      <c r="E2498" t="str">
        <f>IF(OR(E2497="&lt;/routeDistribution&gt;",E2497=""),"",IFERROR(_xlfn.CONCAT(VLOOKUP(CU39,Route_Column!#REF!,2,FALSE),CHAR(34)," probability=",CHAR(34),1/CU$4,CHAR(34),CHAR(47),CHAR(62)),"&lt;/routeDistribution&gt;"))</f>
        <v/>
      </c>
    </row>
    <row r="2499" spans="1:5" x14ac:dyDescent="0.25">
      <c r="A2499" t="s">
        <v>2250</v>
      </c>
      <c r="B2499" t="s">
        <v>1188</v>
      </c>
      <c r="E2499" t="str">
        <f>IF(OR(E2498="&lt;/routeDistribution&gt;",E2498=""),"",IFERROR(_xlfn.CONCAT(VLOOKUP(CU40,Route_Column!#REF!,2,FALSE),CHAR(34)," probability=",CHAR(34),1/CU$4,CHAR(34),CHAR(47),CHAR(62)),"&lt;/routeDistribution&gt;"))</f>
        <v/>
      </c>
    </row>
    <row r="2500" spans="1:5" x14ac:dyDescent="0.25">
      <c r="A2500" t="s">
        <v>2250</v>
      </c>
      <c r="B2500" t="s">
        <v>1188</v>
      </c>
      <c r="E2500" t="str">
        <f>IF(OR(E2499="&lt;/routeDistribution&gt;",E2499=""),"",IFERROR(_xlfn.CONCAT(VLOOKUP(CU41,Route_Column!#REF!,2,FALSE),CHAR(34)," probability=",CHAR(34),1/CU$4,CHAR(34),CHAR(47),CHAR(62)),"&lt;/routeDistribution&gt;"))</f>
        <v/>
      </c>
    </row>
    <row r="2501" spans="1:5" x14ac:dyDescent="0.25">
      <c r="A2501" t="s">
        <v>2250</v>
      </c>
      <c r="B2501" t="s">
        <v>1189</v>
      </c>
      <c r="E2501" t="str">
        <f>IF(OR(E2500="&lt;/routeDistribution&gt;",E2500=""),"",IFERROR(_xlfn.CONCAT(VLOOKUP(CU42,Route_Column!#REF!,2,FALSE),CHAR(34)," probability=",CHAR(34),1/CU$4,CHAR(34),CHAR(47),CHAR(62)),"&lt;/routeDistribution&gt;"))</f>
        <v/>
      </c>
    </row>
    <row r="2502" spans="1:5" x14ac:dyDescent="0.25">
      <c r="A2502" t="s">
        <v>2250</v>
      </c>
      <c r="B2502" t="s">
        <v>1189</v>
      </c>
      <c r="E2502" t="str">
        <f>IF(OR(E2501="&lt;/routeDistribution&gt;",E2501=""),"",IFERROR(_xlfn.CONCAT(VLOOKUP(CU43,Route_Column!#REF!,2,FALSE),CHAR(34)," probability=",CHAR(34),1/CU$4,CHAR(34),CHAR(47),CHAR(62)),"&lt;/routeDistribution&gt;"))</f>
        <v/>
      </c>
    </row>
    <row r="2503" spans="1:5" x14ac:dyDescent="0.25">
      <c r="A2503" t="s">
        <v>2250</v>
      </c>
      <c r="B2503" t="s">
        <v>1189</v>
      </c>
      <c r="E2503" t="str">
        <f>IF(OR(E2502="&lt;/routeDistribution&gt;",E2502=""),"",IFERROR(_xlfn.CONCAT(VLOOKUP(CU44,Route_Column!#REF!,2,FALSE),CHAR(34)," probability=",CHAR(34),1/CU$4,CHAR(34),CHAR(47),CHAR(62)),"&lt;/routeDistribution&gt;"))</f>
        <v/>
      </c>
    </row>
    <row r="2504" spans="1:5" x14ac:dyDescent="0.25">
      <c r="A2504" t="s">
        <v>1861</v>
      </c>
      <c r="B2504" t="s">
        <v>1112</v>
      </c>
      <c r="E2504" t="str">
        <f>IF(OR(E2503="&lt;/routeDistribution&gt;",E2503=""),"",IFERROR(_xlfn.CONCAT(VLOOKUP(CU45,Route_Column!#REF!,2,FALSE),CHAR(34)," probability=",CHAR(34),1/CU$4,CHAR(34),CHAR(47),CHAR(62)),"&lt;/routeDistribution&gt;"))</f>
        <v/>
      </c>
    </row>
    <row r="2505" spans="1:5" x14ac:dyDescent="0.25">
      <c r="A2505" t="s">
        <v>1861</v>
      </c>
      <c r="B2505" t="s">
        <v>1113</v>
      </c>
      <c r="E2505" t="str">
        <f>IF(OR(E2504="&lt;/routeDistribution&gt;",E2504=""),"",IFERROR(_xlfn.CONCAT(VLOOKUP(CU46,Route_Column!#REF!,2,FALSE),CHAR(34)," probability=",CHAR(34),1/CU$4,CHAR(34),CHAR(47),CHAR(62)),"&lt;/routeDistribution&gt;"))</f>
        <v/>
      </c>
    </row>
    <row r="2506" spans="1:5" x14ac:dyDescent="0.25">
      <c r="A2506" t="s">
        <v>1861</v>
      </c>
      <c r="B2506" t="s">
        <v>1114</v>
      </c>
      <c r="E2506" t="str">
        <f>IF(OR(E2505="&lt;/routeDistribution&gt;",E2505=""),"",IFERROR(_xlfn.CONCAT(VLOOKUP(CU47,Route_Column!#REF!,2,FALSE),CHAR(34)," probability=",CHAR(34),1/CU$4,CHAR(34),CHAR(47),CHAR(62)),"&lt;/routeDistribution&gt;"))</f>
        <v/>
      </c>
    </row>
    <row r="2507" spans="1:5" x14ac:dyDescent="0.25">
      <c r="A2507" t="s">
        <v>1861</v>
      </c>
      <c r="B2507" t="s">
        <v>1115</v>
      </c>
      <c r="E2507" t="str">
        <f>IF(OR(E2506="&lt;/routeDistribution&gt;",E2506=""),"",IFERROR(_xlfn.CONCAT(VLOOKUP(CU48,Route_Column!#REF!,2,FALSE),CHAR(34)," probability=",CHAR(34),1/CU$4,CHAR(34),CHAR(47),CHAR(62)),"&lt;/routeDistribution&gt;"))</f>
        <v/>
      </c>
    </row>
    <row r="2508" spans="1:5" x14ac:dyDescent="0.25">
      <c r="A2508" t="s">
        <v>1861</v>
      </c>
      <c r="B2508" t="s">
        <v>1166</v>
      </c>
      <c r="E2508" t="str">
        <f>IF(OR(E2507="&lt;/routeDistribution&gt;",E2507=""),"",IFERROR(_xlfn.CONCAT(VLOOKUP(CU49,Route_Column!#REF!,2,FALSE),CHAR(34)," probability=",CHAR(34),1/CU$4,CHAR(34),CHAR(47),CHAR(62)),"&lt;/routeDistribution&gt;"))</f>
        <v/>
      </c>
    </row>
    <row r="2509" spans="1:5" x14ac:dyDescent="0.25">
      <c r="A2509" t="s">
        <v>1861</v>
      </c>
      <c r="B2509" t="s">
        <v>1167</v>
      </c>
      <c r="E2509" t="str">
        <f>IF(OR(E2508="&lt;/routeDistribution&gt;",E2508=""),"",IFERROR(_xlfn.CONCAT(VLOOKUP(CU50,Route_Column!#REF!,2,FALSE),CHAR(34)," probability=",CHAR(34),1/CU$4,CHAR(34),CHAR(47),CHAR(62)),"&lt;/routeDistribution&gt;"))</f>
        <v/>
      </c>
    </row>
    <row r="2510" spans="1:5" x14ac:dyDescent="0.25">
      <c r="A2510" t="s">
        <v>1861</v>
      </c>
      <c r="B2510" t="s">
        <v>1168</v>
      </c>
      <c r="E2510" t="str">
        <f>IF(OR(E2509="&lt;/routeDistribution&gt;",E2509=""),"",IFERROR(_xlfn.CONCAT(VLOOKUP(CU51,Route_Column!#REF!,2,FALSE),CHAR(34)," probability=",CHAR(34),1/CU$4,CHAR(34),CHAR(47),CHAR(62)),"&lt;/routeDistribution&gt;"))</f>
        <v/>
      </c>
    </row>
    <row r="2511" spans="1:5" x14ac:dyDescent="0.25">
      <c r="A2511" t="s">
        <v>1861</v>
      </c>
      <c r="B2511" t="s">
        <v>1186</v>
      </c>
      <c r="E2511" t="str">
        <f>IF(OR(E2510="&lt;/routeDistribution&gt;",E2510=""),"",IFERROR(_xlfn.CONCAT(VLOOKUP(CU52,Route_Column!#REF!,2,FALSE),CHAR(34)," probability=",CHAR(34),1/CU$4,CHAR(34),CHAR(47),CHAR(62)),"&lt;/routeDistribution&gt;"))</f>
        <v/>
      </c>
    </row>
    <row r="2512" spans="1:5" x14ac:dyDescent="0.25">
      <c r="A2512" t="s">
        <v>1861</v>
      </c>
      <c r="B2512" t="s">
        <v>1189</v>
      </c>
      <c r="E2512" t="str">
        <f>IF(OR(E2511="&lt;/routeDistribution&gt;",E2511=""),"",IFERROR(_xlfn.CONCAT(VLOOKUP(CU53,Route_Column!#REF!,2,FALSE),CHAR(34)," probability=",CHAR(34),1/CU$4,CHAR(34),CHAR(47),CHAR(62)),"&lt;/routeDistribution&gt;"))</f>
        <v/>
      </c>
    </row>
    <row r="2513" spans="1:5" x14ac:dyDescent="0.25">
      <c r="A2513" t="s">
        <v>2249</v>
      </c>
      <c r="B2513" t="s">
        <v>1187</v>
      </c>
      <c r="E2513" t="str">
        <f>IF(OR(E2512="&lt;/routeDistribution&gt;",E2512=""),"",IFERROR(_xlfn.CONCAT(VLOOKUP(CU54,Route_Column!#REF!,2,FALSE),CHAR(34)," probability=",CHAR(34),1/CU$4,CHAR(34),CHAR(47),CHAR(62)),"&lt;/routeDistribution&gt;"))</f>
        <v/>
      </c>
    </row>
    <row r="2514" spans="1:5" x14ac:dyDescent="0.25">
      <c r="A2514" t="s">
        <v>2249</v>
      </c>
      <c r="B2514" t="s">
        <v>1188</v>
      </c>
      <c r="E2514" t="str">
        <f>IF(OR(E2513="&lt;/routeDistribution&gt;",E2513=""),"",IFERROR(_xlfn.CONCAT(VLOOKUP(CU55,Route_Column!#REF!,2,FALSE),CHAR(34)," probability=",CHAR(34),1/CU$4,CHAR(34),CHAR(47),CHAR(62)),"&lt;/routeDistribution&gt;"))</f>
        <v/>
      </c>
    </row>
    <row r="2515" spans="1:5" x14ac:dyDescent="0.25">
      <c r="A2515" t="s">
        <v>2249</v>
      </c>
      <c r="B2515" t="s">
        <v>1188</v>
      </c>
      <c r="E2515" t="str">
        <f>IF(OR(E2514="&lt;/routeDistribution&gt;",E2514=""),"",IFERROR(_xlfn.CONCAT(VLOOKUP(CU56,Route_Column!#REF!,2,FALSE),CHAR(34)," probability=",CHAR(34),1/CU$4,CHAR(34),CHAR(47),CHAR(62)),"&lt;/routeDistribution&gt;"))</f>
        <v/>
      </c>
    </row>
    <row r="2516" spans="1:5" x14ac:dyDescent="0.25">
      <c r="A2516" t="s">
        <v>2249</v>
      </c>
      <c r="B2516" t="s">
        <v>1189</v>
      </c>
      <c r="E2516" t="str">
        <f>IF(OR(E2515="&lt;/routeDistribution&gt;",E2515=""),"",IFERROR(_xlfn.CONCAT(VLOOKUP(CU57,Route_Column!#REF!,2,FALSE),CHAR(34)," probability=",CHAR(34),1/CU$4,CHAR(34),CHAR(47),CHAR(62)),"&lt;/routeDistribution&gt;"))</f>
        <v/>
      </c>
    </row>
    <row r="2517" spans="1:5" x14ac:dyDescent="0.25">
      <c r="A2517" t="s">
        <v>2249</v>
      </c>
      <c r="B2517" t="s">
        <v>1189</v>
      </c>
      <c r="E2517" t="str">
        <f>IF(OR(E2516="&lt;/routeDistribution&gt;",E2516=""),"",IFERROR(_xlfn.CONCAT(VLOOKUP(CU58,Route_Column!#REF!,2,FALSE),CHAR(34)," probability=",CHAR(34),1/CU$4,CHAR(34),CHAR(47),CHAR(62)),"&lt;/routeDistribution&gt;"))</f>
        <v/>
      </c>
    </row>
    <row r="2518" spans="1:5" x14ac:dyDescent="0.25">
      <c r="A2518" t="s">
        <v>2249</v>
      </c>
      <c r="B2518" t="s">
        <v>1189</v>
      </c>
      <c r="E2518" t="str">
        <f>IF(OR(E2517="&lt;/routeDistribution&gt;",E2517=""),"",IFERROR(_xlfn.CONCAT(VLOOKUP(CU59,Route_Column!#REF!,2,FALSE),CHAR(34)," probability=",CHAR(34),1/CU$4,CHAR(34),CHAR(47),CHAR(62)),"&lt;/routeDistribution&gt;"))</f>
        <v/>
      </c>
    </row>
    <row r="2519" spans="1:5" x14ac:dyDescent="0.25">
      <c r="A2519" t="s">
        <v>2248</v>
      </c>
      <c r="B2519" t="s">
        <v>1187</v>
      </c>
      <c r="E2519" t="str">
        <f>IF(OR(E2518="&lt;/routeDistribution&gt;",E2518=""),"",IFERROR(_xlfn.CONCAT(VLOOKUP(CU60,Route_Column!#REF!,2,FALSE),CHAR(34)," probability=",CHAR(34),1/CU$4,CHAR(34),CHAR(47),CHAR(62)),"&lt;/routeDistribution&gt;"))</f>
        <v/>
      </c>
    </row>
    <row r="2520" spans="1:5" x14ac:dyDescent="0.25">
      <c r="A2520" t="s">
        <v>2248</v>
      </c>
      <c r="B2520" t="s">
        <v>1188</v>
      </c>
      <c r="E2520" t="str">
        <f>IF(OR(E2519="&lt;/routeDistribution&gt;",E2519=""),"",IFERROR(_xlfn.CONCAT(VLOOKUP(CU61,Route_Column!#REF!,2,FALSE),CHAR(34)," probability=",CHAR(34),1/CU$4,CHAR(34),CHAR(47),CHAR(62)),"&lt;/routeDistribution&gt;"))</f>
        <v/>
      </c>
    </row>
    <row r="2521" spans="1:5" x14ac:dyDescent="0.25">
      <c r="A2521" t="s">
        <v>2248</v>
      </c>
      <c r="B2521" t="s">
        <v>1189</v>
      </c>
      <c r="E2521" t="str">
        <f>IF(OR(E2520="&lt;/routeDistribution&gt;",E2520=""),"",IFERROR(_xlfn.CONCAT(VLOOKUP(CU62,Route_Column!#REF!,2,FALSE),CHAR(34)," probability=",CHAR(34),1/CU$4,CHAR(34),CHAR(47),CHAR(62)),"&lt;/routeDistribution&gt;"))</f>
        <v/>
      </c>
    </row>
    <row r="2522" spans="1:5" x14ac:dyDescent="0.25">
      <c r="A2522" t="s">
        <v>1745</v>
      </c>
      <c r="B2522" t="s">
        <v>1102</v>
      </c>
      <c r="E2522" t="str">
        <f>IF(OR(E2521="&lt;/routeDistribution&gt;",E2521=""),"",IFERROR(_xlfn.CONCAT(VLOOKUP(CU63,Route_Column!#REF!,2,FALSE),CHAR(34)," probability=",CHAR(34),1/CU$4,CHAR(34),CHAR(47),CHAR(62)),"&lt;/routeDistribution&gt;"))</f>
        <v/>
      </c>
    </row>
    <row r="2523" spans="1:5" x14ac:dyDescent="0.25">
      <c r="A2523" t="s">
        <v>1745</v>
      </c>
      <c r="B2523" t="s">
        <v>1110</v>
      </c>
      <c r="E2523" t="s">
        <v>2686</v>
      </c>
    </row>
    <row r="2524" spans="1:5" x14ac:dyDescent="0.25">
      <c r="A2524" t="s">
        <v>1745</v>
      </c>
      <c r="B2524" t="s">
        <v>1112</v>
      </c>
    </row>
    <row r="2525" spans="1:5" x14ac:dyDescent="0.25">
      <c r="A2525" t="s">
        <v>1745</v>
      </c>
      <c r="B2525" t="s">
        <v>1130</v>
      </c>
    </row>
    <row r="2526" spans="1:5" x14ac:dyDescent="0.25">
      <c r="A2526" t="s">
        <v>1745</v>
      </c>
      <c r="B2526" t="s">
        <v>1131</v>
      </c>
      <c r="E2526" t="str">
        <f>_xlfn.CONCAT($E$1,CT$2,$F$1)</f>
        <v>&lt;routeDistribution id="31st-Powelton-to-SPGRst-NB-1996-RouteProbe"&gt;</v>
      </c>
    </row>
    <row r="2527" spans="1:5" x14ac:dyDescent="0.25">
      <c r="A2527" t="s">
        <v>1745</v>
      </c>
      <c r="B2527" t="s">
        <v>1132</v>
      </c>
      <c r="E2527" t="str">
        <f>IF(OR(E2526="&lt;/routeDistribution&gt;",E2526=""),"",IFERROR(_xlfn.CONCAT(VLOOKUP(CT5,Route_Column!#REF!,2,FALSE),CHAR(34)," probability=",CHAR(34),1/CT$4,CHAR(34),CHAR(47),CHAR(62)),"&lt;/routeDistribution&gt;"))</f>
        <v>&lt;/routeDistribution&gt;</v>
      </c>
    </row>
    <row r="2528" spans="1:5" x14ac:dyDescent="0.25">
      <c r="A2528" t="s">
        <v>1745</v>
      </c>
      <c r="B2528" t="s">
        <v>1132</v>
      </c>
      <c r="E2528" t="str">
        <f>IF(OR(E2527="&lt;/routeDistribution&gt;",E2527=""),"",IFERROR(_xlfn.CONCAT(VLOOKUP(CT6,Route_Column!#REF!,2,FALSE),CHAR(34)," probability=",CHAR(34),1/CT$4,CHAR(34),CHAR(47),CHAR(62)),"&lt;/routeDistribution&gt;"))</f>
        <v/>
      </c>
    </row>
    <row r="2529" spans="1:5" x14ac:dyDescent="0.25">
      <c r="A2529" t="s">
        <v>1745</v>
      </c>
      <c r="B2529" t="s">
        <v>1134</v>
      </c>
      <c r="E2529" t="str">
        <f>IF(OR(E2528="&lt;/routeDistribution&gt;",E2528=""),"",IFERROR(_xlfn.CONCAT(VLOOKUP(CT7,Route_Column!#REF!,2,FALSE),CHAR(34)," probability=",CHAR(34),1/CT$4,CHAR(34),CHAR(47),CHAR(62)),"&lt;/routeDistribution&gt;"))</f>
        <v/>
      </c>
    </row>
    <row r="2530" spans="1:5" x14ac:dyDescent="0.25">
      <c r="A2530" t="s">
        <v>1745</v>
      </c>
      <c r="B2530" t="s">
        <v>1137</v>
      </c>
      <c r="E2530" t="str">
        <f>IF(OR(E2529="&lt;/routeDistribution&gt;",E2529=""),"",IFERROR(_xlfn.CONCAT(VLOOKUP(CT8,Route_Column!#REF!,2,FALSE),CHAR(34)," probability=",CHAR(34),1/CT$4,CHAR(34),CHAR(47),CHAR(62)),"&lt;/routeDistribution&gt;"))</f>
        <v/>
      </c>
    </row>
    <row r="2531" spans="1:5" x14ac:dyDescent="0.25">
      <c r="A2531" t="s">
        <v>1745</v>
      </c>
      <c r="B2531" t="s">
        <v>1137</v>
      </c>
      <c r="E2531" t="str">
        <f>IF(OR(E2530="&lt;/routeDistribution&gt;",E2530=""),"",IFERROR(_xlfn.CONCAT(VLOOKUP(CT9,Route_Column!#REF!,2,FALSE),CHAR(34)," probability=",CHAR(34),1/CT$4,CHAR(34),CHAR(47),CHAR(62)),"&lt;/routeDistribution&gt;"))</f>
        <v/>
      </c>
    </row>
    <row r="2532" spans="1:5" x14ac:dyDescent="0.25">
      <c r="A2532" t="s">
        <v>1745</v>
      </c>
      <c r="B2532" t="s">
        <v>1138</v>
      </c>
      <c r="E2532" t="str">
        <f>IF(OR(E2531="&lt;/routeDistribution&gt;",E2531=""),"",IFERROR(_xlfn.CONCAT(VLOOKUP(CT10,Route_Column!#REF!,2,FALSE),CHAR(34)," probability=",CHAR(34),1/CT$4,CHAR(34),CHAR(47),CHAR(62)),"&lt;/routeDistribution&gt;"))</f>
        <v/>
      </c>
    </row>
    <row r="2533" spans="1:5" x14ac:dyDescent="0.25">
      <c r="A2533" t="s">
        <v>1745</v>
      </c>
      <c r="B2533" t="s">
        <v>1145</v>
      </c>
      <c r="E2533" t="str">
        <f>IF(OR(E2532="&lt;/routeDistribution&gt;",E2532=""),"",IFERROR(_xlfn.CONCAT(VLOOKUP(CT11,Route_Column!#REF!,2,FALSE),CHAR(34)," probability=",CHAR(34),1/CT$4,CHAR(34),CHAR(47),CHAR(62)),"&lt;/routeDistribution&gt;"))</f>
        <v/>
      </c>
    </row>
    <row r="2534" spans="1:5" x14ac:dyDescent="0.25">
      <c r="A2534" t="s">
        <v>1745</v>
      </c>
      <c r="B2534" t="s">
        <v>1154</v>
      </c>
      <c r="E2534" t="str">
        <f>IF(OR(E2533="&lt;/routeDistribution&gt;",E2533=""),"",IFERROR(_xlfn.CONCAT(VLOOKUP(CT12,Route_Column!#REF!,2,FALSE),CHAR(34)," probability=",CHAR(34),1/CT$4,CHAR(34),CHAR(47),CHAR(62)),"&lt;/routeDistribution&gt;"))</f>
        <v/>
      </c>
    </row>
    <row r="2535" spans="1:5" x14ac:dyDescent="0.25">
      <c r="A2535" t="s">
        <v>1745</v>
      </c>
      <c r="B2535" t="s">
        <v>1166</v>
      </c>
      <c r="E2535" t="str">
        <f>IF(OR(E2534="&lt;/routeDistribution&gt;",E2534=""),"",IFERROR(_xlfn.CONCAT(VLOOKUP(CT13,Route_Column!#REF!,2,FALSE),CHAR(34)," probability=",CHAR(34),1/CT$4,CHAR(34),CHAR(47),CHAR(62)),"&lt;/routeDistribution&gt;"))</f>
        <v/>
      </c>
    </row>
    <row r="2536" spans="1:5" x14ac:dyDescent="0.25">
      <c r="A2536" t="s">
        <v>1745</v>
      </c>
      <c r="B2536" t="s">
        <v>1167</v>
      </c>
      <c r="E2536" t="str">
        <f>IF(OR(E2535="&lt;/routeDistribution&gt;",E2535=""),"",IFERROR(_xlfn.CONCAT(VLOOKUP(CT14,Route_Column!#REF!,2,FALSE),CHAR(34)," probability=",CHAR(34),1/CT$4,CHAR(34),CHAR(47),CHAR(62)),"&lt;/routeDistribution&gt;"))</f>
        <v/>
      </c>
    </row>
    <row r="2537" spans="1:5" x14ac:dyDescent="0.25">
      <c r="A2537" t="s">
        <v>1745</v>
      </c>
      <c r="B2537" t="s">
        <v>1168</v>
      </c>
      <c r="E2537" t="str">
        <f>IF(OR(E2536="&lt;/routeDistribution&gt;",E2536=""),"",IFERROR(_xlfn.CONCAT(VLOOKUP(CT15,Route_Column!#REF!,2,FALSE),CHAR(34)," probability=",CHAR(34),1/CT$4,CHAR(34),CHAR(47),CHAR(62)),"&lt;/routeDistribution&gt;"))</f>
        <v/>
      </c>
    </row>
    <row r="2538" spans="1:5" x14ac:dyDescent="0.25">
      <c r="A2538" t="s">
        <v>1745</v>
      </c>
      <c r="B2538" t="s">
        <v>1169</v>
      </c>
      <c r="E2538" t="str">
        <f>IF(OR(E2537="&lt;/routeDistribution&gt;",E2537=""),"",IFERROR(_xlfn.CONCAT(VLOOKUP(CT16,Route_Column!#REF!,2,FALSE),CHAR(34)," probability=",CHAR(34),1/CT$4,CHAR(34),CHAR(47),CHAR(62)),"&lt;/routeDistribution&gt;"))</f>
        <v/>
      </c>
    </row>
    <row r="2539" spans="1:5" x14ac:dyDescent="0.25">
      <c r="A2539" t="s">
        <v>1745</v>
      </c>
      <c r="B2539" t="s">
        <v>1170</v>
      </c>
      <c r="E2539" t="str">
        <f>IF(OR(E2538="&lt;/routeDistribution&gt;",E2538=""),"",IFERROR(_xlfn.CONCAT(VLOOKUP(CT17,Route_Column!#REF!,2,FALSE),CHAR(34)," probability=",CHAR(34),1/CT$4,CHAR(34),CHAR(47),CHAR(62)),"&lt;/routeDistribution&gt;"))</f>
        <v/>
      </c>
    </row>
    <row r="2540" spans="1:5" x14ac:dyDescent="0.25">
      <c r="A2540" t="s">
        <v>1745</v>
      </c>
      <c r="B2540" t="s">
        <v>1171</v>
      </c>
      <c r="E2540" t="str">
        <f>IF(OR(E2539="&lt;/routeDistribution&gt;",E2539=""),"",IFERROR(_xlfn.CONCAT(VLOOKUP(CT18,Route_Column!#REF!,2,FALSE),CHAR(34)," probability=",CHAR(34),1/CT$4,CHAR(34),CHAR(47),CHAR(62)),"&lt;/routeDistribution&gt;"))</f>
        <v/>
      </c>
    </row>
    <row r="2541" spans="1:5" x14ac:dyDescent="0.25">
      <c r="A2541" t="s">
        <v>1745</v>
      </c>
      <c r="B2541" t="s">
        <v>1171</v>
      </c>
      <c r="E2541" t="str">
        <f>IF(OR(E2540="&lt;/routeDistribution&gt;",E2540=""),"",IFERROR(_xlfn.CONCAT(VLOOKUP(CT19,Route_Column!#REF!,2,FALSE),CHAR(34)," probability=",CHAR(34),1/CT$4,CHAR(34),CHAR(47),CHAR(62)),"&lt;/routeDistribution&gt;"))</f>
        <v/>
      </c>
    </row>
    <row r="2542" spans="1:5" x14ac:dyDescent="0.25">
      <c r="A2542" t="s">
        <v>1745</v>
      </c>
      <c r="B2542" t="s">
        <v>1180</v>
      </c>
      <c r="E2542" t="str">
        <f>IF(OR(E2541="&lt;/routeDistribution&gt;",E2541=""),"",IFERROR(_xlfn.CONCAT(VLOOKUP(CT20,Route_Column!#REF!,2,FALSE),CHAR(34)," probability=",CHAR(34),1/CT$4,CHAR(34),CHAR(47),CHAR(62)),"&lt;/routeDistribution&gt;"))</f>
        <v/>
      </c>
    </row>
    <row r="2543" spans="1:5" x14ac:dyDescent="0.25">
      <c r="A2543" t="s">
        <v>1745</v>
      </c>
      <c r="B2543" t="s">
        <v>1181</v>
      </c>
      <c r="E2543" t="str">
        <f>IF(OR(E2542="&lt;/routeDistribution&gt;",E2542=""),"",IFERROR(_xlfn.CONCAT(VLOOKUP(CT21,Route_Column!#REF!,2,FALSE),CHAR(34)," probability=",CHAR(34),1/CT$4,CHAR(34),CHAR(47),CHAR(62)),"&lt;/routeDistribution&gt;"))</f>
        <v/>
      </c>
    </row>
    <row r="2544" spans="1:5" x14ac:dyDescent="0.25">
      <c r="A2544" t="s">
        <v>1745</v>
      </c>
      <c r="B2544" t="s">
        <v>1182</v>
      </c>
      <c r="E2544" t="str">
        <f>IF(OR(E2543="&lt;/routeDistribution&gt;",E2543=""),"",IFERROR(_xlfn.CONCAT(VLOOKUP(CT22,Route_Column!#REF!,2,FALSE),CHAR(34)," probability=",CHAR(34),1/CT$4,CHAR(34),CHAR(47),CHAR(62)),"&lt;/routeDistribution&gt;"))</f>
        <v/>
      </c>
    </row>
    <row r="2545" spans="1:5" x14ac:dyDescent="0.25">
      <c r="A2545" t="s">
        <v>1745</v>
      </c>
      <c r="B2545" t="s">
        <v>1183</v>
      </c>
      <c r="E2545" t="str">
        <f>IF(OR(E2544="&lt;/routeDistribution&gt;",E2544=""),"",IFERROR(_xlfn.CONCAT(VLOOKUP(CT23,Route_Column!#REF!,2,FALSE),CHAR(34)," probability=",CHAR(34),1/CT$4,CHAR(34),CHAR(47),CHAR(62)),"&lt;/routeDistribution&gt;"))</f>
        <v/>
      </c>
    </row>
    <row r="2546" spans="1:5" x14ac:dyDescent="0.25">
      <c r="A2546" t="s">
        <v>1745</v>
      </c>
      <c r="B2546" t="s">
        <v>1184</v>
      </c>
      <c r="E2546" t="str">
        <f>IF(OR(E2545="&lt;/routeDistribution&gt;",E2545=""),"",IFERROR(_xlfn.CONCAT(VLOOKUP(CT24,Route_Column!#REF!,2,FALSE),CHAR(34)," probability=",CHAR(34),1/CT$4,CHAR(34),CHAR(47),CHAR(62)),"&lt;/routeDistribution&gt;"))</f>
        <v/>
      </c>
    </row>
    <row r="2547" spans="1:5" x14ac:dyDescent="0.25">
      <c r="A2547" t="s">
        <v>1745</v>
      </c>
      <c r="B2547" t="s">
        <v>1185</v>
      </c>
      <c r="E2547" t="str">
        <f>IF(OR(E2546="&lt;/routeDistribution&gt;",E2546=""),"",IFERROR(_xlfn.CONCAT(VLOOKUP(CT25,Route_Column!#REF!,2,FALSE),CHAR(34)," probability=",CHAR(34),1/CT$4,CHAR(34),CHAR(47),CHAR(62)),"&lt;/routeDistribution&gt;"))</f>
        <v/>
      </c>
    </row>
    <row r="2548" spans="1:5" x14ac:dyDescent="0.25">
      <c r="A2548" t="s">
        <v>1745</v>
      </c>
      <c r="B2548" t="s">
        <v>1197</v>
      </c>
      <c r="E2548" t="str">
        <f>IF(OR(E2547="&lt;/routeDistribution&gt;",E2547=""),"",IFERROR(_xlfn.CONCAT(VLOOKUP(CT26,Route_Column!#REF!,2,FALSE),CHAR(34)," probability=",CHAR(34),1/CT$4,CHAR(34),CHAR(47),CHAR(62)),"&lt;/routeDistribution&gt;"))</f>
        <v/>
      </c>
    </row>
    <row r="2549" spans="1:5" x14ac:dyDescent="0.25">
      <c r="A2549" t="s">
        <v>1745</v>
      </c>
      <c r="B2549" t="s">
        <v>1198</v>
      </c>
      <c r="E2549" t="str">
        <f>IF(OR(E2548="&lt;/routeDistribution&gt;",E2548=""),"",IFERROR(_xlfn.CONCAT(VLOOKUP(CT27,Route_Column!#REF!,2,FALSE),CHAR(34)," probability=",CHAR(34),1/CT$4,CHAR(34),CHAR(47),CHAR(62)),"&lt;/routeDistribution&gt;"))</f>
        <v/>
      </c>
    </row>
    <row r="2550" spans="1:5" x14ac:dyDescent="0.25">
      <c r="A2550" t="s">
        <v>1745</v>
      </c>
      <c r="B2550" t="s">
        <v>1201</v>
      </c>
      <c r="E2550" t="str">
        <f>IF(OR(E2549="&lt;/routeDistribution&gt;",E2549=""),"",IFERROR(_xlfn.CONCAT(VLOOKUP(CT28,Route_Column!#REF!,2,FALSE),CHAR(34)," probability=",CHAR(34),1/CT$4,CHAR(34),CHAR(47),CHAR(62)),"&lt;/routeDistribution&gt;"))</f>
        <v/>
      </c>
    </row>
    <row r="2551" spans="1:5" x14ac:dyDescent="0.25">
      <c r="A2551" t="s">
        <v>1745</v>
      </c>
      <c r="B2551" t="s">
        <v>1206</v>
      </c>
      <c r="E2551" t="str">
        <f>IF(OR(E2550="&lt;/routeDistribution&gt;",E2550=""),"",IFERROR(_xlfn.CONCAT(VLOOKUP(CT29,Route_Column!#REF!,2,FALSE),CHAR(34)," probability=",CHAR(34),1/CT$4,CHAR(34),CHAR(47),CHAR(62)),"&lt;/routeDistribution&gt;"))</f>
        <v/>
      </c>
    </row>
    <row r="2552" spans="1:5" x14ac:dyDescent="0.25">
      <c r="A2552" t="s">
        <v>1745</v>
      </c>
      <c r="B2552" t="s">
        <v>1225</v>
      </c>
      <c r="E2552" t="str">
        <f>IF(OR(E2551="&lt;/routeDistribution&gt;",E2551=""),"",IFERROR(_xlfn.CONCAT(VLOOKUP(CT30,Route_Column!#REF!,2,FALSE),CHAR(34)," probability=",CHAR(34),1/CT$4,CHAR(34),CHAR(47),CHAR(62)),"&lt;/routeDistribution&gt;"))</f>
        <v/>
      </c>
    </row>
    <row r="2553" spans="1:5" x14ac:dyDescent="0.25">
      <c r="A2553" t="s">
        <v>1745</v>
      </c>
      <c r="B2553" t="s">
        <v>1225</v>
      </c>
      <c r="E2553" t="str">
        <f>IF(OR(E2552="&lt;/routeDistribution&gt;",E2552=""),"",IFERROR(_xlfn.CONCAT(VLOOKUP(CT31,Route_Column!#REF!,2,FALSE),CHAR(34)," probability=",CHAR(34),1/CT$4,CHAR(34),CHAR(47),CHAR(62)),"&lt;/routeDistribution&gt;"))</f>
        <v/>
      </c>
    </row>
    <row r="2554" spans="1:5" x14ac:dyDescent="0.25">
      <c r="A2554" t="s">
        <v>2199</v>
      </c>
      <c r="B2554" t="s">
        <v>1160</v>
      </c>
      <c r="E2554" t="str">
        <f>IF(OR(E2553="&lt;/routeDistribution&gt;",E2553=""),"",IFERROR(_xlfn.CONCAT(VLOOKUP(CT32,Route_Column!#REF!,2,FALSE),CHAR(34)," probability=",CHAR(34),1/CT$4,CHAR(34),CHAR(47),CHAR(62)),"&lt;/routeDistribution&gt;"))</f>
        <v/>
      </c>
    </row>
    <row r="2555" spans="1:5" x14ac:dyDescent="0.25">
      <c r="A2555" t="s">
        <v>2199</v>
      </c>
      <c r="B2555" t="s">
        <v>1161</v>
      </c>
      <c r="E2555" t="str">
        <f>IF(OR(E2554="&lt;/routeDistribution&gt;",E2554=""),"",IFERROR(_xlfn.CONCAT(VLOOKUP(CT33,Route_Column!#REF!,2,FALSE),CHAR(34)," probability=",CHAR(34),1/CT$4,CHAR(34),CHAR(47),CHAR(62)),"&lt;/routeDistribution&gt;"))</f>
        <v/>
      </c>
    </row>
    <row r="2556" spans="1:5" x14ac:dyDescent="0.25">
      <c r="A2556" t="s">
        <v>2199</v>
      </c>
      <c r="B2556" t="s">
        <v>1162</v>
      </c>
      <c r="E2556" t="str">
        <f>IF(OR(E2555="&lt;/routeDistribution&gt;",E2555=""),"",IFERROR(_xlfn.CONCAT(VLOOKUP(CT34,Route_Column!#REF!,2,FALSE),CHAR(34)," probability=",CHAR(34),1/CT$4,CHAR(34),CHAR(47),CHAR(62)),"&lt;/routeDistribution&gt;"))</f>
        <v/>
      </c>
    </row>
    <row r="2557" spans="1:5" x14ac:dyDescent="0.25">
      <c r="A2557" t="s">
        <v>2199</v>
      </c>
      <c r="B2557" t="s">
        <v>1163</v>
      </c>
      <c r="E2557" t="str">
        <f>IF(OR(E2556="&lt;/routeDistribution&gt;",E2556=""),"",IFERROR(_xlfn.CONCAT(VLOOKUP(CT35,Route_Column!#REF!,2,FALSE),CHAR(34)," probability=",CHAR(34),1/CT$4,CHAR(34),CHAR(47),CHAR(62)),"&lt;/routeDistribution&gt;"))</f>
        <v/>
      </c>
    </row>
    <row r="2558" spans="1:5" x14ac:dyDescent="0.25">
      <c r="A2558" t="s">
        <v>2199</v>
      </c>
      <c r="B2558" t="s">
        <v>1164</v>
      </c>
      <c r="E2558" t="str">
        <f>IF(OR(E2557="&lt;/routeDistribution&gt;",E2557=""),"",IFERROR(_xlfn.CONCAT(VLOOKUP(CT36,Route_Column!#REF!,2,FALSE),CHAR(34)," probability=",CHAR(34),1/CT$4,CHAR(34),CHAR(47),CHAR(62)),"&lt;/routeDistribution&gt;"))</f>
        <v/>
      </c>
    </row>
    <row r="2559" spans="1:5" x14ac:dyDescent="0.25">
      <c r="A2559" t="s">
        <v>2199</v>
      </c>
      <c r="B2559" t="s">
        <v>1165</v>
      </c>
      <c r="E2559" t="str">
        <f>IF(OR(E2558="&lt;/routeDistribution&gt;",E2558=""),"",IFERROR(_xlfn.CONCAT(VLOOKUP(CT37,Route_Column!#REF!,2,FALSE),CHAR(34)," probability=",CHAR(34),1/CT$4,CHAR(34),CHAR(47),CHAR(62)),"&lt;/routeDistribution&gt;"))</f>
        <v/>
      </c>
    </row>
    <row r="2560" spans="1:5" x14ac:dyDescent="0.25">
      <c r="A2560" t="s">
        <v>1956</v>
      </c>
      <c r="B2560" t="s">
        <v>1113</v>
      </c>
      <c r="E2560" t="str">
        <f>IF(OR(E2559="&lt;/routeDistribution&gt;",E2559=""),"",IFERROR(_xlfn.CONCAT(VLOOKUP(CT38,Route_Column!#REF!,2,FALSE),CHAR(34)," probability=",CHAR(34),1/CT$4,CHAR(34),CHAR(47),CHAR(62)),"&lt;/routeDistribution&gt;"))</f>
        <v/>
      </c>
    </row>
    <row r="2561" spans="1:5" x14ac:dyDescent="0.25">
      <c r="A2561" t="s">
        <v>1956</v>
      </c>
      <c r="B2561" t="s">
        <v>1114</v>
      </c>
      <c r="E2561" t="str">
        <f>IF(OR(E2560="&lt;/routeDistribution&gt;",E2560=""),"",IFERROR(_xlfn.CONCAT(VLOOKUP(CT39,Route_Column!#REF!,2,FALSE),CHAR(34)," probability=",CHAR(34),1/CT$4,CHAR(34),CHAR(47),CHAR(62)),"&lt;/routeDistribution&gt;"))</f>
        <v/>
      </c>
    </row>
    <row r="2562" spans="1:5" x14ac:dyDescent="0.25">
      <c r="A2562" t="s">
        <v>1956</v>
      </c>
      <c r="B2562" t="s">
        <v>1115</v>
      </c>
      <c r="E2562" t="str">
        <f>IF(OR(E2561="&lt;/routeDistribution&gt;",E2561=""),"",IFERROR(_xlfn.CONCAT(VLOOKUP(CT40,Route_Column!#REF!,2,FALSE),CHAR(34)," probability=",CHAR(34),1/CT$4,CHAR(34),CHAR(47),CHAR(62)),"&lt;/routeDistribution&gt;"))</f>
        <v/>
      </c>
    </row>
    <row r="2563" spans="1:5" x14ac:dyDescent="0.25">
      <c r="A2563" t="s">
        <v>1956</v>
      </c>
      <c r="B2563" t="s">
        <v>1133</v>
      </c>
      <c r="E2563" t="str">
        <f>IF(OR(E2562="&lt;/routeDistribution&gt;",E2562=""),"",IFERROR(_xlfn.CONCAT(VLOOKUP(CT41,Route_Column!#REF!,2,FALSE),CHAR(34)," probability=",CHAR(34),1/CT$4,CHAR(34),CHAR(47),CHAR(62)),"&lt;/routeDistribution&gt;"))</f>
        <v/>
      </c>
    </row>
    <row r="2564" spans="1:5" x14ac:dyDescent="0.25">
      <c r="A2564" t="s">
        <v>1956</v>
      </c>
      <c r="B2564" t="s">
        <v>1166</v>
      </c>
      <c r="E2564" t="str">
        <f>IF(OR(E2563="&lt;/routeDistribution&gt;",E2563=""),"",IFERROR(_xlfn.CONCAT(VLOOKUP(CT42,Route_Column!#REF!,2,FALSE),CHAR(34)," probability=",CHAR(34),1/CT$4,CHAR(34),CHAR(47),CHAR(62)),"&lt;/routeDistribution&gt;"))</f>
        <v/>
      </c>
    </row>
    <row r="2565" spans="1:5" x14ac:dyDescent="0.25">
      <c r="A2565" t="s">
        <v>1956</v>
      </c>
      <c r="B2565" t="s">
        <v>1167</v>
      </c>
      <c r="E2565" t="str">
        <f>IF(OR(E2564="&lt;/routeDistribution&gt;",E2564=""),"",IFERROR(_xlfn.CONCAT(VLOOKUP(CT43,Route_Column!#REF!,2,FALSE),CHAR(34)," probability=",CHAR(34),1/CT$4,CHAR(34),CHAR(47),CHAR(62)),"&lt;/routeDistribution&gt;"))</f>
        <v/>
      </c>
    </row>
    <row r="2566" spans="1:5" x14ac:dyDescent="0.25">
      <c r="A2566" t="s">
        <v>1956</v>
      </c>
      <c r="B2566" t="s">
        <v>1168</v>
      </c>
      <c r="E2566" t="str">
        <f>IF(OR(E2565="&lt;/routeDistribution&gt;",E2565=""),"",IFERROR(_xlfn.CONCAT(VLOOKUP(CT44,Route_Column!#REF!,2,FALSE),CHAR(34)," probability=",CHAR(34),1/CT$4,CHAR(34),CHAR(47),CHAR(62)),"&lt;/routeDistribution&gt;"))</f>
        <v/>
      </c>
    </row>
    <row r="2567" spans="1:5" x14ac:dyDescent="0.25">
      <c r="A2567" t="s">
        <v>1956</v>
      </c>
      <c r="B2567" t="s">
        <v>1186</v>
      </c>
      <c r="E2567" t="str">
        <f>IF(OR(E2566="&lt;/routeDistribution&gt;",E2566=""),"",IFERROR(_xlfn.CONCAT(VLOOKUP(CT45,Route_Column!#REF!,2,FALSE),CHAR(34)," probability=",CHAR(34),1/CT$4,CHAR(34),CHAR(47),CHAR(62)),"&lt;/routeDistribution&gt;"))</f>
        <v/>
      </c>
    </row>
    <row r="2568" spans="1:5" x14ac:dyDescent="0.25">
      <c r="A2568" t="s">
        <v>1956</v>
      </c>
      <c r="B2568" t="s">
        <v>1187</v>
      </c>
      <c r="E2568" t="str">
        <f>IF(OR(E2567="&lt;/routeDistribution&gt;",E2567=""),"",IFERROR(_xlfn.CONCAT(VLOOKUP(CT46,Route_Column!#REF!,2,FALSE),CHAR(34)," probability=",CHAR(34),1/CT$4,CHAR(34),CHAR(47),CHAR(62)),"&lt;/routeDistribution&gt;"))</f>
        <v/>
      </c>
    </row>
    <row r="2569" spans="1:5" x14ac:dyDescent="0.25">
      <c r="A2569" t="s">
        <v>1956</v>
      </c>
      <c r="B2569" t="s">
        <v>1188</v>
      </c>
      <c r="E2569" t="str">
        <f>IF(OR(E2568="&lt;/routeDistribution&gt;",E2568=""),"",IFERROR(_xlfn.CONCAT(VLOOKUP(CT47,Route_Column!#REF!,2,FALSE),CHAR(34)," probability=",CHAR(34),1/CT$4,CHAR(34),CHAR(47),CHAR(62)),"&lt;/routeDistribution&gt;"))</f>
        <v/>
      </c>
    </row>
    <row r="2570" spans="1:5" x14ac:dyDescent="0.25">
      <c r="A2570" t="s">
        <v>1956</v>
      </c>
      <c r="B2570" t="s">
        <v>1189</v>
      </c>
      <c r="E2570" t="str">
        <f>IF(OR(E2569="&lt;/routeDistribution&gt;",E2569=""),"",IFERROR(_xlfn.CONCAT(VLOOKUP(CT48,Route_Column!#REF!,2,FALSE),CHAR(34)," probability=",CHAR(34),1/CT$4,CHAR(34),CHAR(47),CHAR(62)),"&lt;/routeDistribution&gt;"))</f>
        <v/>
      </c>
    </row>
    <row r="2571" spans="1:5" x14ac:dyDescent="0.25">
      <c r="A2571" t="s">
        <v>1956</v>
      </c>
      <c r="B2571" t="s">
        <v>1195</v>
      </c>
      <c r="E2571" t="str">
        <f>IF(OR(E2570="&lt;/routeDistribution&gt;",E2570=""),"",IFERROR(_xlfn.CONCAT(VLOOKUP(CT49,Route_Column!#REF!,2,FALSE),CHAR(34)," probability=",CHAR(34),1/CT$4,CHAR(34),CHAR(47),CHAR(62)),"&lt;/routeDistribution&gt;"))</f>
        <v/>
      </c>
    </row>
    <row r="2572" spans="1:5" x14ac:dyDescent="0.25">
      <c r="A2572" t="s">
        <v>1956</v>
      </c>
      <c r="B2572" t="s">
        <v>1196</v>
      </c>
      <c r="E2572" t="str">
        <f>IF(OR(E2571="&lt;/routeDistribution&gt;",E2571=""),"",IFERROR(_xlfn.CONCAT(VLOOKUP(CT50,Route_Column!#REF!,2,FALSE),CHAR(34)," probability=",CHAR(34),1/CT$4,CHAR(34),CHAR(47),CHAR(62)),"&lt;/routeDistribution&gt;"))</f>
        <v/>
      </c>
    </row>
    <row r="2573" spans="1:5" x14ac:dyDescent="0.25">
      <c r="A2573" t="s">
        <v>1750</v>
      </c>
      <c r="B2573" t="s">
        <v>1102</v>
      </c>
      <c r="E2573" t="str">
        <f>IF(OR(E2572="&lt;/routeDistribution&gt;",E2572=""),"",IFERROR(_xlfn.CONCAT(VLOOKUP(CT51,Route_Column!#REF!,2,FALSE),CHAR(34)," probability=",CHAR(34),1/CT$4,CHAR(34),CHAR(47),CHAR(62)),"&lt;/routeDistribution&gt;"))</f>
        <v/>
      </c>
    </row>
    <row r="2574" spans="1:5" x14ac:dyDescent="0.25">
      <c r="A2574" t="s">
        <v>1750</v>
      </c>
      <c r="B2574" t="s">
        <v>1110</v>
      </c>
      <c r="E2574" t="str">
        <f>IF(OR(E2573="&lt;/routeDistribution&gt;",E2573=""),"",IFERROR(_xlfn.CONCAT(VLOOKUP(CT52,Route_Column!#REF!,2,FALSE),CHAR(34)," probability=",CHAR(34),1/CT$4,CHAR(34),CHAR(47),CHAR(62)),"&lt;/routeDistribution&gt;"))</f>
        <v/>
      </c>
    </row>
    <row r="2575" spans="1:5" x14ac:dyDescent="0.25">
      <c r="A2575" t="s">
        <v>1750</v>
      </c>
      <c r="B2575" t="s">
        <v>1112</v>
      </c>
      <c r="E2575" t="str">
        <f>IF(OR(E2574="&lt;/routeDistribution&gt;",E2574=""),"",IFERROR(_xlfn.CONCAT(VLOOKUP(CT53,Route_Column!#REF!,2,FALSE),CHAR(34)," probability=",CHAR(34),1/CT$4,CHAR(34),CHAR(47),CHAR(62)),"&lt;/routeDistribution&gt;"))</f>
        <v/>
      </c>
    </row>
    <row r="2576" spans="1:5" x14ac:dyDescent="0.25">
      <c r="A2576" t="s">
        <v>1750</v>
      </c>
      <c r="B2576" t="s">
        <v>1130</v>
      </c>
      <c r="E2576" t="str">
        <f>IF(OR(E2575="&lt;/routeDistribution&gt;",E2575=""),"",IFERROR(_xlfn.CONCAT(VLOOKUP(CT54,Route_Column!#REF!,2,FALSE),CHAR(34)," probability=",CHAR(34),1/CT$4,CHAR(34),CHAR(47),CHAR(62)),"&lt;/routeDistribution&gt;"))</f>
        <v/>
      </c>
    </row>
    <row r="2577" spans="1:5" x14ac:dyDescent="0.25">
      <c r="A2577" t="s">
        <v>1750</v>
      </c>
      <c r="B2577" t="s">
        <v>1131</v>
      </c>
      <c r="E2577" t="str">
        <f>IF(OR(E2576="&lt;/routeDistribution&gt;",E2576=""),"",IFERROR(_xlfn.CONCAT(VLOOKUP(CT55,Route_Column!#REF!,2,FALSE),CHAR(34)," probability=",CHAR(34),1/CT$4,CHAR(34),CHAR(47),CHAR(62)),"&lt;/routeDistribution&gt;"))</f>
        <v/>
      </c>
    </row>
    <row r="2578" spans="1:5" x14ac:dyDescent="0.25">
      <c r="A2578" t="s">
        <v>1750</v>
      </c>
      <c r="B2578" t="s">
        <v>1132</v>
      </c>
      <c r="E2578" t="str">
        <f>IF(OR(E2577="&lt;/routeDistribution&gt;",E2577=""),"",IFERROR(_xlfn.CONCAT(VLOOKUP(CT56,Route_Column!#REF!,2,FALSE),CHAR(34)," probability=",CHAR(34),1/CT$4,CHAR(34),CHAR(47),CHAR(62)),"&lt;/routeDistribution&gt;"))</f>
        <v/>
      </c>
    </row>
    <row r="2579" spans="1:5" x14ac:dyDescent="0.25">
      <c r="A2579" t="s">
        <v>1750</v>
      </c>
      <c r="B2579" t="s">
        <v>1134</v>
      </c>
      <c r="E2579" t="str">
        <f>IF(OR(E2578="&lt;/routeDistribution&gt;",E2578=""),"",IFERROR(_xlfn.CONCAT(VLOOKUP(CT57,Route_Column!#REF!,2,FALSE),CHAR(34)," probability=",CHAR(34),1/CT$4,CHAR(34),CHAR(47),CHAR(62)),"&lt;/routeDistribution&gt;"))</f>
        <v/>
      </c>
    </row>
    <row r="2580" spans="1:5" x14ac:dyDescent="0.25">
      <c r="A2580" t="s">
        <v>1750</v>
      </c>
      <c r="B2580" t="s">
        <v>1137</v>
      </c>
      <c r="E2580" t="str">
        <f>IF(OR(E2579="&lt;/routeDistribution&gt;",E2579=""),"",IFERROR(_xlfn.CONCAT(VLOOKUP(CT58,Route_Column!#REF!,2,FALSE),CHAR(34)," probability=",CHAR(34),1/CT$4,CHAR(34),CHAR(47),CHAR(62)),"&lt;/routeDistribution&gt;"))</f>
        <v/>
      </c>
    </row>
    <row r="2581" spans="1:5" x14ac:dyDescent="0.25">
      <c r="A2581" t="s">
        <v>1750</v>
      </c>
      <c r="B2581" t="s">
        <v>1138</v>
      </c>
      <c r="E2581" t="str">
        <f>IF(OR(E2580="&lt;/routeDistribution&gt;",E2580=""),"",IFERROR(_xlfn.CONCAT(VLOOKUP(CT59,Route_Column!#REF!,2,FALSE),CHAR(34)," probability=",CHAR(34),1/CT$4,CHAR(34),CHAR(47),CHAR(62)),"&lt;/routeDistribution&gt;"))</f>
        <v/>
      </c>
    </row>
    <row r="2582" spans="1:5" x14ac:dyDescent="0.25">
      <c r="A2582" t="s">
        <v>1750</v>
      </c>
      <c r="B2582" t="s">
        <v>1145</v>
      </c>
      <c r="E2582" t="str">
        <f>IF(OR(E2581="&lt;/routeDistribution&gt;",E2581=""),"",IFERROR(_xlfn.CONCAT(VLOOKUP(CT60,Route_Column!#REF!,2,FALSE),CHAR(34)," probability=",CHAR(34),1/CT$4,CHAR(34),CHAR(47),CHAR(62)),"&lt;/routeDistribution&gt;"))</f>
        <v/>
      </c>
    </row>
    <row r="2583" spans="1:5" x14ac:dyDescent="0.25">
      <c r="A2583" t="s">
        <v>1750</v>
      </c>
      <c r="B2583" t="s">
        <v>1154</v>
      </c>
      <c r="E2583" t="str">
        <f>IF(OR(E2582="&lt;/routeDistribution&gt;",E2582=""),"",IFERROR(_xlfn.CONCAT(VLOOKUP(CT61,Route_Column!#REF!,2,FALSE),CHAR(34)," probability=",CHAR(34),1/CT$4,CHAR(34),CHAR(47),CHAR(62)),"&lt;/routeDistribution&gt;"))</f>
        <v/>
      </c>
    </row>
    <row r="2584" spans="1:5" x14ac:dyDescent="0.25">
      <c r="A2584" t="s">
        <v>1750</v>
      </c>
      <c r="B2584" t="s">
        <v>1171</v>
      </c>
      <c r="E2584" t="str">
        <f>IF(OR(E2583="&lt;/routeDistribution&gt;",E2583=""),"",IFERROR(_xlfn.CONCAT(VLOOKUP(CT62,Route_Column!#REF!,2,FALSE),CHAR(34)," probability=",CHAR(34),1/CT$4,CHAR(34),CHAR(47),CHAR(62)),"&lt;/routeDistribution&gt;"))</f>
        <v/>
      </c>
    </row>
    <row r="2585" spans="1:5" x14ac:dyDescent="0.25">
      <c r="A2585" t="s">
        <v>1750</v>
      </c>
      <c r="B2585" t="s">
        <v>1180</v>
      </c>
      <c r="E2585" t="str">
        <f>IF(OR(E2584="&lt;/routeDistribution&gt;",E2584=""),"",IFERROR(_xlfn.CONCAT(VLOOKUP(CT63,Route_Column!#REF!,2,FALSE),CHAR(34)," probability=",CHAR(34),1/CT$4,CHAR(34),CHAR(47),CHAR(62)),"&lt;/routeDistribution&gt;"))</f>
        <v/>
      </c>
    </row>
    <row r="2586" spans="1:5" x14ac:dyDescent="0.25">
      <c r="A2586" t="s">
        <v>1750</v>
      </c>
      <c r="B2586" t="s">
        <v>1181</v>
      </c>
      <c r="E2586" t="s">
        <v>2686</v>
      </c>
    </row>
    <row r="2587" spans="1:5" x14ac:dyDescent="0.25">
      <c r="A2587" t="s">
        <v>1750</v>
      </c>
      <c r="B2587" t="s">
        <v>1182</v>
      </c>
    </row>
    <row r="2588" spans="1:5" x14ac:dyDescent="0.25">
      <c r="A2588" t="s">
        <v>1750</v>
      </c>
      <c r="B2588" t="s">
        <v>1183</v>
      </c>
    </row>
    <row r="2589" spans="1:5" x14ac:dyDescent="0.25">
      <c r="A2589" t="s">
        <v>1750</v>
      </c>
      <c r="B2589" t="s">
        <v>1184</v>
      </c>
      <c r="E2589" t="str">
        <f>_xlfn.CONCAT($E$1,CS$2,$F$1)</f>
        <v>&lt;routeDistribution id="Southst-33rd-Convention-BOTH-1996-RouteProbe"&gt;</v>
      </c>
    </row>
    <row r="2590" spans="1:5" x14ac:dyDescent="0.25">
      <c r="A2590" t="s">
        <v>1750</v>
      </c>
      <c r="B2590" t="s">
        <v>1185</v>
      </c>
      <c r="E2590" t="str">
        <f>IF(OR(E2589="&lt;/routeDistribution&gt;",E2589=""),"",IFERROR(_xlfn.CONCAT(VLOOKUP(CS5,Route_Column!#REF!,2,FALSE),CHAR(34)," probability=",CHAR(34),1/CS$4,CHAR(34),CHAR(47),CHAR(62)),"&lt;/routeDistribution&gt;"))</f>
        <v>&lt;/routeDistribution&gt;</v>
      </c>
    </row>
    <row r="2591" spans="1:5" x14ac:dyDescent="0.25">
      <c r="A2591" t="s">
        <v>1750</v>
      </c>
      <c r="B2591" t="s">
        <v>1197</v>
      </c>
      <c r="E2591" t="str">
        <f>IF(OR(E2590="&lt;/routeDistribution&gt;",E2590=""),"",IFERROR(_xlfn.CONCAT(VLOOKUP(CS6,Route_Column!#REF!,2,FALSE),CHAR(34)," probability=",CHAR(34),1/CS$4,CHAR(34),CHAR(47),CHAR(62)),"&lt;/routeDistribution&gt;"))</f>
        <v/>
      </c>
    </row>
    <row r="2592" spans="1:5" x14ac:dyDescent="0.25">
      <c r="A2592" t="s">
        <v>1750</v>
      </c>
      <c r="B2592" t="s">
        <v>1201</v>
      </c>
      <c r="E2592" t="str">
        <f>IF(OR(E2591="&lt;/routeDistribution&gt;",E2591=""),"",IFERROR(_xlfn.CONCAT(VLOOKUP(CS7,Route_Column!#REF!,2,FALSE),CHAR(34)," probability=",CHAR(34),1/CS$4,CHAR(34),CHAR(47),CHAR(62)),"&lt;/routeDistribution&gt;"))</f>
        <v/>
      </c>
    </row>
    <row r="2593" spans="1:5" x14ac:dyDescent="0.25">
      <c r="A2593" t="s">
        <v>1750</v>
      </c>
      <c r="B2593" t="s">
        <v>1206</v>
      </c>
      <c r="E2593" t="str">
        <f>IF(OR(E2592="&lt;/routeDistribution&gt;",E2592=""),"",IFERROR(_xlfn.CONCAT(VLOOKUP(CS8,Route_Column!#REF!,2,FALSE),CHAR(34)," probability=",CHAR(34),1/CS$4,CHAR(34),CHAR(47),CHAR(62)),"&lt;/routeDistribution&gt;"))</f>
        <v/>
      </c>
    </row>
    <row r="2594" spans="1:5" x14ac:dyDescent="0.25">
      <c r="A2594" t="s">
        <v>1750</v>
      </c>
      <c r="B2594" t="s">
        <v>1225</v>
      </c>
      <c r="E2594" t="str">
        <f>IF(OR(E2593="&lt;/routeDistribution&gt;",E2593=""),"",IFERROR(_xlfn.CONCAT(VLOOKUP(CS9,Route_Column!#REF!,2,FALSE),CHAR(34)," probability=",CHAR(34),1/CS$4,CHAR(34),CHAR(47),CHAR(62)),"&lt;/routeDistribution&gt;"))</f>
        <v/>
      </c>
    </row>
    <row r="2595" spans="1:5" x14ac:dyDescent="0.25">
      <c r="A2595" t="s">
        <v>2041</v>
      </c>
      <c r="B2595" t="s">
        <v>1134</v>
      </c>
      <c r="E2595" t="str">
        <f>IF(OR(E2594="&lt;/routeDistribution&gt;",E2594=""),"",IFERROR(_xlfn.CONCAT(VLOOKUP(CS10,Route_Column!#REF!,2,FALSE),CHAR(34)," probability=",CHAR(34),1/CS$4,CHAR(34),CHAR(47),CHAR(62)),"&lt;/routeDistribution&gt;"))</f>
        <v/>
      </c>
    </row>
    <row r="2596" spans="1:5" x14ac:dyDescent="0.25">
      <c r="A2596" t="s">
        <v>1990</v>
      </c>
      <c r="B2596" t="s">
        <v>1129</v>
      </c>
      <c r="E2596" t="str">
        <f>IF(OR(E2595="&lt;/routeDistribution&gt;",E2595=""),"",IFERROR(_xlfn.CONCAT(VLOOKUP(CS11,Route_Column!#REF!,2,FALSE),CHAR(34)," probability=",CHAR(34),1/CS$4,CHAR(34),CHAR(47),CHAR(62)),"&lt;/routeDistribution&gt;"))</f>
        <v/>
      </c>
    </row>
    <row r="2597" spans="1:5" x14ac:dyDescent="0.25">
      <c r="A2597" t="s">
        <v>1990</v>
      </c>
      <c r="B2597" t="s">
        <v>1143</v>
      </c>
      <c r="E2597" t="str">
        <f>IF(OR(E2596="&lt;/routeDistribution&gt;",E2596=""),"",IFERROR(_xlfn.CONCAT(VLOOKUP(CS12,Route_Column!#REF!,2,FALSE),CHAR(34)," probability=",CHAR(34),1/CS$4,CHAR(34),CHAR(47),CHAR(62)),"&lt;/routeDistribution&gt;"))</f>
        <v/>
      </c>
    </row>
    <row r="2598" spans="1:5" x14ac:dyDescent="0.25">
      <c r="A2598" t="s">
        <v>1990</v>
      </c>
      <c r="B2598" t="s">
        <v>1144</v>
      </c>
      <c r="E2598" t="str">
        <f>IF(OR(E2597="&lt;/routeDistribution&gt;",E2597=""),"",IFERROR(_xlfn.CONCAT(VLOOKUP(CS13,Route_Column!#REF!,2,FALSE),CHAR(34)," probability=",CHAR(34),1/CS$4,CHAR(34),CHAR(47),CHAR(62)),"&lt;/routeDistribution&gt;"))</f>
        <v/>
      </c>
    </row>
    <row r="2599" spans="1:5" x14ac:dyDescent="0.25">
      <c r="A2599" t="s">
        <v>1990</v>
      </c>
      <c r="B2599" t="s">
        <v>1145</v>
      </c>
      <c r="E2599" t="str">
        <f>IF(OR(E2598="&lt;/routeDistribution&gt;",E2598=""),"",IFERROR(_xlfn.CONCAT(VLOOKUP(CS14,Route_Column!#REF!,2,FALSE),CHAR(34)," probability=",CHAR(34),1/CS$4,CHAR(34),CHAR(47),CHAR(62)),"&lt;/routeDistribution&gt;"))</f>
        <v/>
      </c>
    </row>
    <row r="2600" spans="1:5" x14ac:dyDescent="0.25">
      <c r="A2600" t="s">
        <v>2042</v>
      </c>
      <c r="B2600" t="s">
        <v>1134</v>
      </c>
      <c r="E2600" t="str">
        <f>IF(OR(E2599="&lt;/routeDistribution&gt;",E2599=""),"",IFERROR(_xlfn.CONCAT(VLOOKUP(CS15,Route_Column!#REF!,2,FALSE),CHAR(34)," probability=",CHAR(34),1/CS$4,CHAR(34),CHAR(47),CHAR(62)),"&lt;/routeDistribution&gt;"))</f>
        <v/>
      </c>
    </row>
    <row r="2601" spans="1:5" x14ac:dyDescent="0.25">
      <c r="A2601" t="s">
        <v>1989</v>
      </c>
      <c r="B2601" t="s">
        <v>1129</v>
      </c>
      <c r="E2601" t="str">
        <f>IF(OR(E2600="&lt;/routeDistribution&gt;",E2600=""),"",IFERROR(_xlfn.CONCAT(VLOOKUP(CS16,Route_Column!#REF!,2,FALSE),CHAR(34)," probability=",CHAR(34),1/CS$4,CHAR(34),CHAR(47),CHAR(62)),"&lt;/routeDistribution&gt;"))</f>
        <v/>
      </c>
    </row>
    <row r="2602" spans="1:5" x14ac:dyDescent="0.25">
      <c r="A2602" t="s">
        <v>1989</v>
      </c>
      <c r="B2602" t="s">
        <v>1143</v>
      </c>
      <c r="E2602" t="str">
        <f>IF(OR(E2601="&lt;/routeDistribution&gt;",E2601=""),"",IFERROR(_xlfn.CONCAT(VLOOKUP(CS17,Route_Column!#REF!,2,FALSE),CHAR(34)," probability=",CHAR(34),1/CS$4,CHAR(34),CHAR(47),CHAR(62)),"&lt;/routeDistribution&gt;"))</f>
        <v/>
      </c>
    </row>
    <row r="2603" spans="1:5" x14ac:dyDescent="0.25">
      <c r="A2603" t="s">
        <v>1989</v>
      </c>
      <c r="B2603" t="s">
        <v>1144</v>
      </c>
      <c r="E2603" t="str">
        <f>IF(OR(E2602="&lt;/routeDistribution&gt;",E2602=""),"",IFERROR(_xlfn.CONCAT(VLOOKUP(CS18,Route_Column!#REF!,2,FALSE),CHAR(34)," probability=",CHAR(34),1/CS$4,CHAR(34),CHAR(47),CHAR(62)),"&lt;/routeDistribution&gt;"))</f>
        <v/>
      </c>
    </row>
    <row r="2604" spans="1:5" x14ac:dyDescent="0.25">
      <c r="A2604" t="s">
        <v>1989</v>
      </c>
      <c r="B2604" t="s">
        <v>1145</v>
      </c>
      <c r="E2604" t="str">
        <f>IF(OR(E2603="&lt;/routeDistribution&gt;",E2603=""),"",IFERROR(_xlfn.CONCAT(VLOOKUP(CS19,Route_Column!#REF!,2,FALSE),CHAR(34)," probability=",CHAR(34),1/CS$4,CHAR(34),CHAR(47),CHAR(62)),"&lt;/routeDistribution&gt;"))</f>
        <v/>
      </c>
    </row>
    <row r="2605" spans="1:5" x14ac:dyDescent="0.25">
      <c r="A2605" t="s">
        <v>2045</v>
      </c>
      <c r="B2605" t="s">
        <v>1134</v>
      </c>
      <c r="E2605" t="str">
        <f>IF(OR(E2604="&lt;/routeDistribution&gt;",E2604=""),"",IFERROR(_xlfn.CONCAT(VLOOKUP(CS20,Route_Column!#REF!,2,FALSE),CHAR(34)," probability=",CHAR(34),1/CS$4,CHAR(34),CHAR(47),CHAR(62)),"&lt;/routeDistribution&gt;"))</f>
        <v/>
      </c>
    </row>
    <row r="2606" spans="1:5" x14ac:dyDescent="0.25">
      <c r="A2606" t="s">
        <v>2045</v>
      </c>
      <c r="B2606" t="s">
        <v>1136</v>
      </c>
      <c r="E2606" t="str">
        <f>IF(OR(E2605="&lt;/routeDistribution&gt;",E2605=""),"",IFERROR(_xlfn.CONCAT(VLOOKUP(CS21,Route_Column!#REF!,2,FALSE),CHAR(34)," probability=",CHAR(34),1/CS$4,CHAR(34),CHAR(47),CHAR(62)),"&lt;/routeDistribution&gt;"))</f>
        <v/>
      </c>
    </row>
    <row r="2607" spans="1:5" x14ac:dyDescent="0.25">
      <c r="A2607" t="s">
        <v>2045</v>
      </c>
      <c r="B2607" t="s">
        <v>1137</v>
      </c>
      <c r="E2607" t="str">
        <f>IF(OR(E2606="&lt;/routeDistribution&gt;",E2606=""),"",IFERROR(_xlfn.CONCAT(VLOOKUP(CS22,Route_Column!#REF!,2,FALSE),CHAR(34)," probability=",CHAR(34),1/CS$4,CHAR(34),CHAR(47),CHAR(62)),"&lt;/routeDistribution&gt;"))</f>
        <v/>
      </c>
    </row>
    <row r="2608" spans="1:5" x14ac:dyDescent="0.25">
      <c r="A2608" t="s">
        <v>2045</v>
      </c>
      <c r="B2608" t="s">
        <v>1143</v>
      </c>
      <c r="E2608" t="str">
        <f>IF(OR(E2607="&lt;/routeDistribution&gt;",E2607=""),"",IFERROR(_xlfn.CONCAT(VLOOKUP(CS23,Route_Column!#REF!,2,FALSE),CHAR(34)," probability=",CHAR(34),1/CS$4,CHAR(34),CHAR(47),CHAR(62)),"&lt;/routeDistribution&gt;"))</f>
        <v/>
      </c>
    </row>
    <row r="2609" spans="1:5" x14ac:dyDescent="0.25">
      <c r="A2609" t="s">
        <v>2045</v>
      </c>
      <c r="B2609" t="s">
        <v>1144</v>
      </c>
      <c r="E2609" t="str">
        <f>IF(OR(E2608="&lt;/routeDistribution&gt;",E2608=""),"",IFERROR(_xlfn.CONCAT(VLOOKUP(CS24,Route_Column!#REF!,2,FALSE),CHAR(34)," probability=",CHAR(34),1/CS$4,CHAR(34),CHAR(47),CHAR(62)),"&lt;/routeDistribution&gt;"))</f>
        <v/>
      </c>
    </row>
    <row r="2610" spans="1:5" x14ac:dyDescent="0.25">
      <c r="A2610" t="s">
        <v>2045</v>
      </c>
      <c r="B2610" t="s">
        <v>1145</v>
      </c>
      <c r="E2610" t="str">
        <f>IF(OR(E2609="&lt;/routeDistribution&gt;",E2609=""),"",IFERROR(_xlfn.CONCAT(VLOOKUP(CS25,Route_Column!#REF!,2,FALSE),CHAR(34)," probability=",CHAR(34),1/CS$4,CHAR(34),CHAR(47),CHAR(62)),"&lt;/routeDistribution&gt;"))</f>
        <v/>
      </c>
    </row>
    <row r="2611" spans="1:5" x14ac:dyDescent="0.25">
      <c r="A2611" t="s">
        <v>2045</v>
      </c>
      <c r="B2611" t="s">
        <v>1147</v>
      </c>
      <c r="E2611" t="str">
        <f>IF(OR(E2610="&lt;/routeDistribution&gt;",E2610=""),"",IFERROR(_xlfn.CONCAT(VLOOKUP(CS26,Route_Column!#REF!,2,FALSE),CHAR(34)," probability=",CHAR(34),1/CS$4,CHAR(34),CHAR(47),CHAR(62)),"&lt;/routeDistribution&gt;"))</f>
        <v/>
      </c>
    </row>
    <row r="2612" spans="1:5" x14ac:dyDescent="0.25">
      <c r="A2612" t="s">
        <v>2045</v>
      </c>
      <c r="B2612" t="s">
        <v>1152</v>
      </c>
      <c r="E2612" t="str">
        <f>IF(OR(E2611="&lt;/routeDistribution&gt;",E2611=""),"",IFERROR(_xlfn.CONCAT(VLOOKUP(CS27,Route_Column!#REF!,2,FALSE),CHAR(34)," probability=",CHAR(34),1/CS$4,CHAR(34),CHAR(47),CHAR(62)),"&lt;/routeDistribution&gt;"))</f>
        <v/>
      </c>
    </row>
    <row r="2613" spans="1:5" x14ac:dyDescent="0.25">
      <c r="A2613" t="s">
        <v>2045</v>
      </c>
      <c r="B2613" t="s">
        <v>1153</v>
      </c>
      <c r="E2613" t="str">
        <f>IF(OR(E2612="&lt;/routeDistribution&gt;",E2612=""),"",IFERROR(_xlfn.CONCAT(VLOOKUP(CS28,Route_Column!#REF!,2,FALSE),CHAR(34)," probability=",CHAR(34),1/CS$4,CHAR(34),CHAR(47),CHAR(62)),"&lt;/routeDistribution&gt;"))</f>
        <v/>
      </c>
    </row>
    <row r="2614" spans="1:5" x14ac:dyDescent="0.25">
      <c r="A2614" t="s">
        <v>2046</v>
      </c>
      <c r="B2614" t="s">
        <v>1134</v>
      </c>
      <c r="E2614" t="str">
        <f>IF(OR(E2613="&lt;/routeDistribution&gt;",E2613=""),"",IFERROR(_xlfn.CONCAT(VLOOKUP(CS29,Route_Column!#REF!,2,FALSE),CHAR(34)," probability=",CHAR(34),1/CS$4,CHAR(34),CHAR(47),CHAR(62)),"&lt;/routeDistribution&gt;"))</f>
        <v/>
      </c>
    </row>
    <row r="2615" spans="1:5" x14ac:dyDescent="0.25">
      <c r="A2615" t="s">
        <v>2046</v>
      </c>
      <c r="B2615" t="s">
        <v>1136</v>
      </c>
      <c r="E2615" t="str">
        <f>IF(OR(E2614="&lt;/routeDistribution&gt;",E2614=""),"",IFERROR(_xlfn.CONCAT(VLOOKUP(CS30,Route_Column!#REF!,2,FALSE),CHAR(34)," probability=",CHAR(34),1/CS$4,CHAR(34),CHAR(47),CHAR(62)),"&lt;/routeDistribution&gt;"))</f>
        <v/>
      </c>
    </row>
    <row r="2616" spans="1:5" x14ac:dyDescent="0.25">
      <c r="A2616" t="s">
        <v>2046</v>
      </c>
      <c r="B2616" t="s">
        <v>1137</v>
      </c>
      <c r="E2616" t="str">
        <f>IF(OR(E2615="&lt;/routeDistribution&gt;",E2615=""),"",IFERROR(_xlfn.CONCAT(VLOOKUP(CS31,Route_Column!#REF!,2,FALSE),CHAR(34)," probability=",CHAR(34),1/CS$4,CHAR(34),CHAR(47),CHAR(62)),"&lt;/routeDistribution&gt;"))</f>
        <v/>
      </c>
    </row>
    <row r="2617" spans="1:5" x14ac:dyDescent="0.25">
      <c r="A2617" t="s">
        <v>2046</v>
      </c>
      <c r="B2617" t="s">
        <v>1143</v>
      </c>
      <c r="E2617" t="str">
        <f>IF(OR(E2616="&lt;/routeDistribution&gt;",E2616=""),"",IFERROR(_xlfn.CONCAT(VLOOKUP(CS32,Route_Column!#REF!,2,FALSE),CHAR(34)," probability=",CHAR(34),1/CS$4,CHAR(34),CHAR(47),CHAR(62)),"&lt;/routeDistribution&gt;"))</f>
        <v/>
      </c>
    </row>
    <row r="2618" spans="1:5" x14ac:dyDescent="0.25">
      <c r="A2618" t="s">
        <v>2046</v>
      </c>
      <c r="B2618" t="s">
        <v>1144</v>
      </c>
      <c r="E2618" t="str">
        <f>IF(OR(E2617="&lt;/routeDistribution&gt;",E2617=""),"",IFERROR(_xlfn.CONCAT(VLOOKUP(CS33,Route_Column!#REF!,2,FALSE),CHAR(34)," probability=",CHAR(34),1/CS$4,CHAR(34),CHAR(47),CHAR(62)),"&lt;/routeDistribution&gt;"))</f>
        <v/>
      </c>
    </row>
    <row r="2619" spans="1:5" x14ac:dyDescent="0.25">
      <c r="A2619" t="s">
        <v>2046</v>
      </c>
      <c r="B2619" t="s">
        <v>1145</v>
      </c>
      <c r="E2619" t="str">
        <f>IF(OR(E2618="&lt;/routeDistribution&gt;",E2618=""),"",IFERROR(_xlfn.CONCAT(VLOOKUP(CS34,Route_Column!#REF!,2,FALSE),CHAR(34)," probability=",CHAR(34),1/CS$4,CHAR(34),CHAR(47),CHAR(62)),"&lt;/routeDistribution&gt;"))</f>
        <v/>
      </c>
    </row>
    <row r="2620" spans="1:5" x14ac:dyDescent="0.25">
      <c r="A2620" t="s">
        <v>2046</v>
      </c>
      <c r="B2620" t="s">
        <v>1147</v>
      </c>
      <c r="E2620" t="str">
        <f>IF(OR(E2619="&lt;/routeDistribution&gt;",E2619=""),"",IFERROR(_xlfn.CONCAT(VLOOKUP(CS35,Route_Column!#REF!,2,FALSE),CHAR(34)," probability=",CHAR(34),1/CS$4,CHAR(34),CHAR(47),CHAR(62)),"&lt;/routeDistribution&gt;"))</f>
        <v/>
      </c>
    </row>
    <row r="2621" spans="1:5" x14ac:dyDescent="0.25">
      <c r="A2621" t="s">
        <v>2046</v>
      </c>
      <c r="B2621" t="s">
        <v>1152</v>
      </c>
      <c r="E2621" t="str">
        <f>IF(OR(E2620="&lt;/routeDistribution&gt;",E2620=""),"",IFERROR(_xlfn.CONCAT(VLOOKUP(CS36,Route_Column!#REF!,2,FALSE),CHAR(34)," probability=",CHAR(34),1/CS$4,CHAR(34),CHAR(47),CHAR(62)),"&lt;/routeDistribution&gt;"))</f>
        <v/>
      </c>
    </row>
    <row r="2622" spans="1:5" x14ac:dyDescent="0.25">
      <c r="A2622" t="s">
        <v>2047</v>
      </c>
      <c r="B2622" t="s">
        <v>1134</v>
      </c>
      <c r="E2622" t="str">
        <f>IF(OR(E2621="&lt;/routeDistribution&gt;",E2621=""),"",IFERROR(_xlfn.CONCAT(VLOOKUP(CS37,Route_Column!#REF!,2,FALSE),CHAR(34)," probability=",CHAR(34),1/CS$4,CHAR(34),CHAR(47),CHAR(62)),"&lt;/routeDistribution&gt;"))</f>
        <v/>
      </c>
    </row>
    <row r="2623" spans="1:5" x14ac:dyDescent="0.25">
      <c r="A2623" t="s">
        <v>2047</v>
      </c>
      <c r="B2623" t="s">
        <v>1136</v>
      </c>
      <c r="E2623" t="str">
        <f>IF(OR(E2622="&lt;/routeDistribution&gt;",E2622=""),"",IFERROR(_xlfn.CONCAT(VLOOKUP(CS38,Route_Column!#REF!,2,FALSE),CHAR(34)," probability=",CHAR(34),1/CS$4,CHAR(34),CHAR(47),CHAR(62)),"&lt;/routeDistribution&gt;"))</f>
        <v/>
      </c>
    </row>
    <row r="2624" spans="1:5" x14ac:dyDescent="0.25">
      <c r="A2624" t="s">
        <v>2047</v>
      </c>
      <c r="B2624" t="s">
        <v>1137</v>
      </c>
      <c r="E2624" t="str">
        <f>IF(OR(E2623="&lt;/routeDistribution&gt;",E2623=""),"",IFERROR(_xlfn.CONCAT(VLOOKUP(CS39,Route_Column!#REF!,2,FALSE),CHAR(34)," probability=",CHAR(34),1/CS$4,CHAR(34),CHAR(47),CHAR(62)),"&lt;/routeDistribution&gt;"))</f>
        <v/>
      </c>
    </row>
    <row r="2625" spans="1:5" x14ac:dyDescent="0.25">
      <c r="A2625" t="s">
        <v>2047</v>
      </c>
      <c r="B2625" t="s">
        <v>1143</v>
      </c>
      <c r="E2625" t="str">
        <f>IF(OR(E2624="&lt;/routeDistribution&gt;",E2624=""),"",IFERROR(_xlfn.CONCAT(VLOOKUP(CS40,Route_Column!#REF!,2,FALSE),CHAR(34)," probability=",CHAR(34),1/CS$4,CHAR(34),CHAR(47),CHAR(62)),"&lt;/routeDistribution&gt;"))</f>
        <v/>
      </c>
    </row>
    <row r="2626" spans="1:5" x14ac:dyDescent="0.25">
      <c r="A2626" t="s">
        <v>2047</v>
      </c>
      <c r="B2626" t="s">
        <v>1144</v>
      </c>
      <c r="E2626" t="str">
        <f>IF(OR(E2625="&lt;/routeDistribution&gt;",E2625=""),"",IFERROR(_xlfn.CONCAT(VLOOKUP(CS41,Route_Column!#REF!,2,FALSE),CHAR(34)," probability=",CHAR(34),1/CS$4,CHAR(34),CHAR(47),CHAR(62)),"&lt;/routeDistribution&gt;"))</f>
        <v/>
      </c>
    </row>
    <row r="2627" spans="1:5" x14ac:dyDescent="0.25">
      <c r="A2627" t="s">
        <v>2047</v>
      </c>
      <c r="B2627" t="s">
        <v>1145</v>
      </c>
      <c r="E2627" t="str">
        <f>IF(OR(E2626="&lt;/routeDistribution&gt;",E2626=""),"",IFERROR(_xlfn.CONCAT(VLOOKUP(CS42,Route_Column!#REF!,2,FALSE),CHAR(34)," probability=",CHAR(34),1/CS$4,CHAR(34),CHAR(47),CHAR(62)),"&lt;/routeDistribution&gt;"))</f>
        <v/>
      </c>
    </row>
    <row r="2628" spans="1:5" x14ac:dyDescent="0.25">
      <c r="A2628" t="s">
        <v>2047</v>
      </c>
      <c r="B2628" t="s">
        <v>1147</v>
      </c>
      <c r="E2628" t="str">
        <f>IF(OR(E2627="&lt;/routeDistribution&gt;",E2627=""),"",IFERROR(_xlfn.CONCAT(VLOOKUP(CS43,Route_Column!#REF!,2,FALSE),CHAR(34)," probability=",CHAR(34),1/CS$4,CHAR(34),CHAR(47),CHAR(62)),"&lt;/routeDistribution&gt;"))</f>
        <v/>
      </c>
    </row>
    <row r="2629" spans="1:5" x14ac:dyDescent="0.25">
      <c r="A2629" t="s">
        <v>2047</v>
      </c>
      <c r="B2629" t="s">
        <v>1152</v>
      </c>
      <c r="E2629" t="str">
        <f>IF(OR(E2628="&lt;/routeDistribution&gt;",E2628=""),"",IFERROR(_xlfn.CONCAT(VLOOKUP(CS44,Route_Column!#REF!,2,FALSE),CHAR(34)," probability=",CHAR(34),1/CS$4,CHAR(34),CHAR(47),CHAR(62)),"&lt;/routeDistribution&gt;"))</f>
        <v/>
      </c>
    </row>
    <row r="2630" spans="1:5" x14ac:dyDescent="0.25">
      <c r="A2630" t="s">
        <v>2050</v>
      </c>
      <c r="B2630" t="s">
        <v>1136</v>
      </c>
      <c r="E2630" t="str">
        <f>IF(OR(E2629="&lt;/routeDistribution&gt;",E2629=""),"",IFERROR(_xlfn.CONCAT(VLOOKUP(CS45,Route_Column!#REF!,2,FALSE),CHAR(34)," probability=",CHAR(34),1/CS$4,CHAR(34),CHAR(47),CHAR(62)),"&lt;/routeDistribution&gt;"))</f>
        <v/>
      </c>
    </row>
    <row r="2631" spans="1:5" x14ac:dyDescent="0.25">
      <c r="A2631" t="s">
        <v>2050</v>
      </c>
      <c r="B2631" t="s">
        <v>1143</v>
      </c>
      <c r="E2631" t="str">
        <f>IF(OR(E2630="&lt;/routeDistribution&gt;",E2630=""),"",IFERROR(_xlfn.CONCAT(VLOOKUP(CS46,Route_Column!#REF!,2,FALSE),CHAR(34)," probability=",CHAR(34),1/CS$4,CHAR(34),CHAR(47),CHAR(62)),"&lt;/routeDistribution&gt;"))</f>
        <v/>
      </c>
    </row>
    <row r="2632" spans="1:5" x14ac:dyDescent="0.25">
      <c r="A2632" t="s">
        <v>2050</v>
      </c>
      <c r="B2632" t="s">
        <v>1144</v>
      </c>
      <c r="E2632" t="str">
        <f>IF(OR(E2631="&lt;/routeDistribution&gt;",E2631=""),"",IFERROR(_xlfn.CONCAT(VLOOKUP(CS47,Route_Column!#REF!,2,FALSE),CHAR(34)," probability=",CHAR(34),1/CS$4,CHAR(34),CHAR(47),CHAR(62)),"&lt;/routeDistribution&gt;"))</f>
        <v/>
      </c>
    </row>
    <row r="2633" spans="1:5" x14ac:dyDescent="0.25">
      <c r="A2633" t="s">
        <v>2050</v>
      </c>
      <c r="B2633" t="s">
        <v>1147</v>
      </c>
      <c r="E2633" t="str">
        <f>IF(OR(E2632="&lt;/routeDistribution&gt;",E2632=""),"",IFERROR(_xlfn.CONCAT(VLOOKUP(CS48,Route_Column!#REF!,2,FALSE),CHAR(34)," probability=",CHAR(34),1/CS$4,CHAR(34),CHAR(47),CHAR(62)),"&lt;/routeDistribution&gt;"))</f>
        <v/>
      </c>
    </row>
    <row r="2634" spans="1:5" x14ac:dyDescent="0.25">
      <c r="A2634" t="s">
        <v>2050</v>
      </c>
      <c r="B2634" t="s">
        <v>1152</v>
      </c>
      <c r="E2634" t="str">
        <f>IF(OR(E2633="&lt;/routeDistribution&gt;",E2633=""),"",IFERROR(_xlfn.CONCAT(VLOOKUP(CS49,Route_Column!#REF!,2,FALSE),CHAR(34)," probability=",CHAR(34),1/CS$4,CHAR(34),CHAR(47),CHAR(62)),"&lt;/routeDistribution&gt;"))</f>
        <v/>
      </c>
    </row>
    <row r="2635" spans="1:5" x14ac:dyDescent="0.25">
      <c r="A2635" t="s">
        <v>2050</v>
      </c>
      <c r="B2635" t="s">
        <v>1153</v>
      </c>
      <c r="E2635" t="str">
        <f>IF(OR(E2634="&lt;/routeDistribution&gt;",E2634=""),"",IFERROR(_xlfn.CONCAT(VLOOKUP(CS50,Route_Column!#REF!,2,FALSE),CHAR(34)," probability=",CHAR(34),1/CS$4,CHAR(34),CHAR(47),CHAR(62)),"&lt;/routeDistribution&gt;"))</f>
        <v/>
      </c>
    </row>
    <row r="2636" spans="1:5" x14ac:dyDescent="0.25">
      <c r="A2636" t="s">
        <v>2020</v>
      </c>
      <c r="B2636" t="s">
        <v>1133</v>
      </c>
      <c r="E2636" t="str">
        <f>IF(OR(E2635="&lt;/routeDistribution&gt;",E2635=""),"",IFERROR(_xlfn.CONCAT(VLOOKUP(CS51,Route_Column!#REF!,2,FALSE),CHAR(34)," probability=",CHAR(34),1/CS$4,CHAR(34),CHAR(47),CHAR(62)),"&lt;/routeDistribution&gt;"))</f>
        <v/>
      </c>
    </row>
    <row r="2637" spans="1:5" x14ac:dyDescent="0.25">
      <c r="A2637" t="s">
        <v>2021</v>
      </c>
      <c r="B2637" t="s">
        <v>1133</v>
      </c>
      <c r="E2637" t="str">
        <f>IF(OR(E2636="&lt;/routeDistribution&gt;",E2636=""),"",IFERROR(_xlfn.CONCAT(VLOOKUP(CS52,Route_Column!#REF!,2,FALSE),CHAR(34)," probability=",CHAR(34),1/CS$4,CHAR(34),CHAR(47),CHAR(62)),"&lt;/routeDistribution&gt;"))</f>
        <v/>
      </c>
    </row>
    <row r="2638" spans="1:5" x14ac:dyDescent="0.25">
      <c r="A2638" s="11" t="s">
        <v>1507</v>
      </c>
      <c r="B2638" t="s">
        <v>1091</v>
      </c>
      <c r="E2638" t="str">
        <f>IF(OR(E2637="&lt;/routeDistribution&gt;",E2637=""),"",IFERROR(_xlfn.CONCAT(VLOOKUP(CS53,Route_Column!#REF!,2,FALSE),CHAR(34)," probability=",CHAR(34),1/CS$4,CHAR(34),CHAR(47),CHAR(62)),"&lt;/routeDistribution&gt;"))</f>
        <v/>
      </c>
    </row>
    <row r="2639" spans="1:5" x14ac:dyDescent="0.25">
      <c r="A2639" t="s">
        <v>1507</v>
      </c>
      <c r="B2639" t="s">
        <v>1092</v>
      </c>
      <c r="E2639" t="str">
        <f>IF(OR(E2638="&lt;/routeDistribution&gt;",E2638=""),"",IFERROR(_xlfn.CONCAT(VLOOKUP(CS54,Route_Column!#REF!,2,FALSE),CHAR(34)," probability=",CHAR(34),1/CS$4,CHAR(34),CHAR(47),CHAR(62)),"&lt;/routeDistribution&gt;"))</f>
        <v/>
      </c>
    </row>
    <row r="2640" spans="1:5" x14ac:dyDescent="0.25">
      <c r="A2640" t="s">
        <v>1507</v>
      </c>
      <c r="B2640" t="s">
        <v>1093</v>
      </c>
      <c r="E2640" t="str">
        <f>IF(OR(E2639="&lt;/routeDistribution&gt;",E2639=""),"",IFERROR(_xlfn.CONCAT(VLOOKUP(CS55,Route_Column!#REF!,2,FALSE),CHAR(34)," probability=",CHAR(34),1/CS$4,CHAR(34),CHAR(47),CHAR(62)),"&lt;/routeDistribution&gt;"))</f>
        <v/>
      </c>
    </row>
    <row r="2641" spans="1:5" x14ac:dyDescent="0.25">
      <c r="A2641" t="s">
        <v>1507</v>
      </c>
      <c r="B2641" t="s">
        <v>1094</v>
      </c>
      <c r="E2641" t="str">
        <f>IF(OR(E2640="&lt;/routeDistribution&gt;",E2640=""),"",IFERROR(_xlfn.CONCAT(VLOOKUP(CS56,Route_Column!#REF!,2,FALSE),CHAR(34)," probability=",CHAR(34),1/CS$4,CHAR(34),CHAR(47),CHAR(62)),"&lt;/routeDistribution&gt;"))</f>
        <v/>
      </c>
    </row>
    <row r="2642" spans="1:5" x14ac:dyDescent="0.25">
      <c r="A2642" t="s">
        <v>1507</v>
      </c>
      <c r="B2642" t="s">
        <v>1095</v>
      </c>
      <c r="E2642" t="str">
        <f>IF(OR(E2641="&lt;/routeDistribution&gt;",E2641=""),"",IFERROR(_xlfn.CONCAT(VLOOKUP(CS57,Route_Column!#REF!,2,FALSE),CHAR(34)," probability=",CHAR(34),1/CS$4,CHAR(34),CHAR(47),CHAR(62)),"&lt;/routeDistribution&gt;"))</f>
        <v/>
      </c>
    </row>
    <row r="2643" spans="1:5" x14ac:dyDescent="0.25">
      <c r="A2643" t="s">
        <v>1507</v>
      </c>
      <c r="B2643" t="s">
        <v>1102</v>
      </c>
      <c r="E2643" t="str">
        <f>IF(OR(E2642="&lt;/routeDistribution&gt;",E2642=""),"",IFERROR(_xlfn.CONCAT(VLOOKUP(CS58,Route_Column!#REF!,2,FALSE),CHAR(34)," probability=",CHAR(34),1/CS$4,CHAR(34),CHAR(47),CHAR(62)),"&lt;/routeDistribution&gt;"))</f>
        <v/>
      </c>
    </row>
    <row r="2644" spans="1:5" x14ac:dyDescent="0.25">
      <c r="A2644" t="s">
        <v>1507</v>
      </c>
      <c r="B2644" t="s">
        <v>1110</v>
      </c>
      <c r="E2644" t="str">
        <f>IF(OR(E2643="&lt;/routeDistribution&gt;",E2643=""),"",IFERROR(_xlfn.CONCAT(VLOOKUP(CS59,Route_Column!#REF!,2,FALSE),CHAR(34)," probability=",CHAR(34),1/CS$4,CHAR(34),CHAR(47),CHAR(62)),"&lt;/routeDistribution&gt;"))</f>
        <v/>
      </c>
    </row>
    <row r="2645" spans="1:5" x14ac:dyDescent="0.25">
      <c r="A2645" t="s">
        <v>1507</v>
      </c>
      <c r="B2645" t="s">
        <v>1160</v>
      </c>
      <c r="E2645" t="str">
        <f>IF(OR(E2644="&lt;/routeDistribution&gt;",E2644=""),"",IFERROR(_xlfn.CONCAT(VLOOKUP(CS60,Route_Column!#REF!,2,FALSE),CHAR(34)," probability=",CHAR(34),1/CS$4,CHAR(34),CHAR(47),CHAR(62)),"&lt;/routeDistribution&gt;"))</f>
        <v/>
      </c>
    </row>
    <row r="2646" spans="1:5" x14ac:dyDescent="0.25">
      <c r="A2646" t="s">
        <v>1507</v>
      </c>
      <c r="B2646" t="s">
        <v>1194</v>
      </c>
      <c r="E2646" t="str">
        <f>IF(OR(E2645="&lt;/routeDistribution&gt;",E2645=""),"",IFERROR(_xlfn.CONCAT(VLOOKUP(CS61,Route_Column!#REF!,2,FALSE),CHAR(34)," probability=",CHAR(34),1/CS$4,CHAR(34),CHAR(47),CHAR(62)),"&lt;/routeDistribution&gt;"))</f>
        <v/>
      </c>
    </row>
    <row r="2647" spans="1:5" x14ac:dyDescent="0.25">
      <c r="A2647" t="s">
        <v>1507</v>
      </c>
      <c r="B2647" t="s">
        <v>1195</v>
      </c>
      <c r="E2647" t="str">
        <f>IF(OR(E2646="&lt;/routeDistribution&gt;",E2646=""),"",IFERROR(_xlfn.CONCAT(VLOOKUP(CS62,Route_Column!#REF!,2,FALSE),CHAR(34)," probability=",CHAR(34),1/CS$4,CHAR(34),CHAR(47),CHAR(62)),"&lt;/routeDistribution&gt;"))</f>
        <v/>
      </c>
    </row>
    <row r="2648" spans="1:5" x14ac:dyDescent="0.25">
      <c r="A2648" t="s">
        <v>1507</v>
      </c>
      <c r="B2648" t="s">
        <v>1196</v>
      </c>
      <c r="E2648" t="str">
        <f>IF(OR(E2647="&lt;/routeDistribution&gt;",E2647=""),"",IFERROR(_xlfn.CONCAT(VLOOKUP(CS63,Route_Column!#REF!,2,FALSE),CHAR(34)," probability=",CHAR(34),1/CS$4,CHAR(34),CHAR(47),CHAR(62)),"&lt;/routeDistribution&gt;"))</f>
        <v/>
      </c>
    </row>
    <row r="2649" spans="1:5" x14ac:dyDescent="0.25">
      <c r="A2649" t="s">
        <v>1507</v>
      </c>
      <c r="B2649" t="s">
        <v>1197</v>
      </c>
      <c r="E2649" t="s">
        <v>2686</v>
      </c>
    </row>
    <row r="2650" spans="1:5" x14ac:dyDescent="0.25">
      <c r="A2650" t="s">
        <v>1507</v>
      </c>
      <c r="B2650" t="s">
        <v>1198</v>
      </c>
    </row>
    <row r="2651" spans="1:5" x14ac:dyDescent="0.25">
      <c r="A2651" t="s">
        <v>1507</v>
      </c>
      <c r="B2651" t="s">
        <v>1201</v>
      </c>
    </row>
    <row r="2652" spans="1:5" x14ac:dyDescent="0.25">
      <c r="A2652" t="s">
        <v>1507</v>
      </c>
      <c r="B2652" t="s">
        <v>1206</v>
      </c>
      <c r="E2652" t="str">
        <f>_xlfn.CONCAT($E$1,CR$2,$F$1)</f>
        <v>&lt;routeDistribution id="Grays-Kater-2-South-SB-1995-RouteProbe"&gt;</v>
      </c>
    </row>
    <row r="2653" spans="1:5" x14ac:dyDescent="0.25">
      <c r="A2653" s="11" t="s">
        <v>1508</v>
      </c>
      <c r="B2653" t="s">
        <v>1091</v>
      </c>
      <c r="E2653" t="str">
        <f>IF(OR(E2652="&lt;/routeDistribution&gt;",E2652=""),"",IFERROR(_xlfn.CONCAT(VLOOKUP(CR5,Route_Column!#REF!,2,FALSE),CHAR(34)," probability=",CHAR(34),1/CR$4,CHAR(34),CHAR(47),CHAR(62)),"&lt;/routeDistribution&gt;"))</f>
        <v>&lt;/routeDistribution&gt;</v>
      </c>
    </row>
    <row r="2654" spans="1:5" x14ac:dyDescent="0.25">
      <c r="A2654" t="s">
        <v>1508</v>
      </c>
      <c r="B2654" t="s">
        <v>1092</v>
      </c>
      <c r="E2654" t="str">
        <f>IF(OR(E2653="&lt;/routeDistribution&gt;",E2653=""),"",IFERROR(_xlfn.CONCAT(VLOOKUP(CR6,Route_Column!#REF!,2,FALSE),CHAR(34)," probability=",CHAR(34),1/CR$4,CHAR(34),CHAR(47),CHAR(62)),"&lt;/routeDistribution&gt;"))</f>
        <v/>
      </c>
    </row>
    <row r="2655" spans="1:5" x14ac:dyDescent="0.25">
      <c r="A2655" t="s">
        <v>1508</v>
      </c>
      <c r="B2655" t="s">
        <v>1093</v>
      </c>
      <c r="E2655" t="str">
        <f>IF(OR(E2654="&lt;/routeDistribution&gt;",E2654=""),"",IFERROR(_xlfn.CONCAT(VLOOKUP(CR7,Route_Column!#REF!,2,FALSE),CHAR(34)," probability=",CHAR(34),1/CR$4,CHAR(34),CHAR(47),CHAR(62)),"&lt;/routeDistribution&gt;"))</f>
        <v/>
      </c>
    </row>
    <row r="2656" spans="1:5" x14ac:dyDescent="0.25">
      <c r="A2656" t="s">
        <v>1508</v>
      </c>
      <c r="B2656" t="s">
        <v>1094</v>
      </c>
      <c r="E2656" t="str">
        <f>IF(OR(E2655="&lt;/routeDistribution&gt;",E2655=""),"",IFERROR(_xlfn.CONCAT(VLOOKUP(CR8,Route_Column!#REF!,2,FALSE),CHAR(34)," probability=",CHAR(34),1/CR$4,CHAR(34),CHAR(47),CHAR(62)),"&lt;/routeDistribution&gt;"))</f>
        <v/>
      </c>
    </row>
    <row r="2657" spans="1:5" x14ac:dyDescent="0.25">
      <c r="A2657" t="s">
        <v>1508</v>
      </c>
      <c r="B2657" t="s">
        <v>1095</v>
      </c>
      <c r="E2657" t="str">
        <f>IF(OR(E2656="&lt;/routeDistribution&gt;",E2656=""),"",IFERROR(_xlfn.CONCAT(VLOOKUP(CR9,Route_Column!#REF!,2,FALSE),CHAR(34)," probability=",CHAR(34),1/CR$4,CHAR(34),CHAR(47),CHAR(62)),"&lt;/routeDistribution&gt;"))</f>
        <v/>
      </c>
    </row>
    <row r="2658" spans="1:5" x14ac:dyDescent="0.25">
      <c r="A2658" t="s">
        <v>1508</v>
      </c>
      <c r="B2658" t="s">
        <v>1102</v>
      </c>
      <c r="E2658" t="str">
        <f>IF(OR(E2657="&lt;/routeDistribution&gt;",E2657=""),"",IFERROR(_xlfn.CONCAT(VLOOKUP(CR10,Route_Column!#REF!,2,FALSE),CHAR(34)," probability=",CHAR(34),1/CR$4,CHAR(34),CHAR(47),CHAR(62)),"&lt;/routeDistribution&gt;"))</f>
        <v/>
      </c>
    </row>
    <row r="2659" spans="1:5" x14ac:dyDescent="0.25">
      <c r="A2659" t="s">
        <v>1508</v>
      </c>
      <c r="B2659" t="s">
        <v>1110</v>
      </c>
      <c r="E2659" t="str">
        <f>IF(OR(E2658="&lt;/routeDistribution&gt;",E2658=""),"",IFERROR(_xlfn.CONCAT(VLOOKUP(CR11,Route_Column!#REF!,2,FALSE),CHAR(34)," probability=",CHAR(34),1/CR$4,CHAR(34),CHAR(47),CHAR(62)),"&lt;/routeDistribution&gt;"))</f>
        <v/>
      </c>
    </row>
    <row r="2660" spans="1:5" x14ac:dyDescent="0.25">
      <c r="A2660" t="s">
        <v>1508</v>
      </c>
      <c r="B2660" t="s">
        <v>1160</v>
      </c>
      <c r="E2660" t="str">
        <f>IF(OR(E2659="&lt;/routeDistribution&gt;",E2659=""),"",IFERROR(_xlfn.CONCAT(VLOOKUP(CR12,Route_Column!#REF!,2,FALSE),CHAR(34)," probability=",CHAR(34),1/CR$4,CHAR(34),CHAR(47),CHAR(62)),"&lt;/routeDistribution&gt;"))</f>
        <v/>
      </c>
    </row>
    <row r="2661" spans="1:5" x14ac:dyDescent="0.25">
      <c r="A2661" t="s">
        <v>1508</v>
      </c>
      <c r="B2661" t="s">
        <v>1194</v>
      </c>
      <c r="E2661" t="str">
        <f>IF(OR(E2660="&lt;/routeDistribution&gt;",E2660=""),"",IFERROR(_xlfn.CONCAT(VLOOKUP(CR13,Route_Column!#REF!,2,FALSE),CHAR(34)," probability=",CHAR(34),1/CR$4,CHAR(34),CHAR(47),CHAR(62)),"&lt;/routeDistribution&gt;"))</f>
        <v/>
      </c>
    </row>
    <row r="2662" spans="1:5" x14ac:dyDescent="0.25">
      <c r="A2662" t="s">
        <v>1508</v>
      </c>
      <c r="B2662" t="s">
        <v>1195</v>
      </c>
      <c r="E2662" t="str">
        <f>IF(OR(E2661="&lt;/routeDistribution&gt;",E2661=""),"",IFERROR(_xlfn.CONCAT(VLOOKUP(CR14,Route_Column!#REF!,2,FALSE),CHAR(34)," probability=",CHAR(34),1/CR$4,CHAR(34),CHAR(47),CHAR(62)),"&lt;/routeDistribution&gt;"))</f>
        <v/>
      </c>
    </row>
    <row r="2663" spans="1:5" x14ac:dyDescent="0.25">
      <c r="A2663" t="s">
        <v>1508</v>
      </c>
      <c r="B2663" t="s">
        <v>1196</v>
      </c>
      <c r="E2663" t="str">
        <f>IF(OR(E2662="&lt;/routeDistribution&gt;",E2662=""),"",IFERROR(_xlfn.CONCAT(VLOOKUP(CR15,Route_Column!#REF!,2,FALSE),CHAR(34)," probability=",CHAR(34),1/CR$4,CHAR(34),CHAR(47),CHAR(62)),"&lt;/routeDistribution&gt;"))</f>
        <v/>
      </c>
    </row>
    <row r="2664" spans="1:5" x14ac:dyDescent="0.25">
      <c r="A2664" t="s">
        <v>1508</v>
      </c>
      <c r="B2664" t="s">
        <v>1197</v>
      </c>
      <c r="E2664" t="str">
        <f>IF(OR(E2663="&lt;/routeDistribution&gt;",E2663=""),"",IFERROR(_xlfn.CONCAT(VLOOKUP(CR16,Route_Column!#REF!,2,FALSE),CHAR(34)," probability=",CHAR(34),1/CR$4,CHAR(34),CHAR(47),CHAR(62)),"&lt;/routeDistribution&gt;"))</f>
        <v/>
      </c>
    </row>
    <row r="2665" spans="1:5" x14ac:dyDescent="0.25">
      <c r="A2665" t="s">
        <v>1508</v>
      </c>
      <c r="B2665" t="s">
        <v>1198</v>
      </c>
      <c r="E2665" t="str">
        <f>IF(OR(E2664="&lt;/routeDistribution&gt;",E2664=""),"",IFERROR(_xlfn.CONCAT(VLOOKUP(CR17,Route_Column!#REF!,2,FALSE),CHAR(34)," probability=",CHAR(34),1/CR$4,CHAR(34),CHAR(47),CHAR(62)),"&lt;/routeDistribution&gt;"))</f>
        <v/>
      </c>
    </row>
    <row r="2666" spans="1:5" x14ac:dyDescent="0.25">
      <c r="A2666" t="s">
        <v>1508</v>
      </c>
      <c r="B2666" t="s">
        <v>1201</v>
      </c>
      <c r="E2666" t="str">
        <f>IF(OR(E2665="&lt;/routeDistribution&gt;",E2665=""),"",IFERROR(_xlfn.CONCAT(VLOOKUP(CR18,Route_Column!#REF!,2,FALSE),CHAR(34)," probability=",CHAR(34),1/CR$4,CHAR(34),CHAR(47),CHAR(62)),"&lt;/routeDistribution&gt;"))</f>
        <v/>
      </c>
    </row>
    <row r="2667" spans="1:5" x14ac:dyDescent="0.25">
      <c r="A2667" t="s">
        <v>1508</v>
      </c>
      <c r="B2667" t="s">
        <v>1206</v>
      </c>
      <c r="E2667" t="str">
        <f>IF(OR(E2666="&lt;/routeDistribution&gt;",E2666=""),"",IFERROR(_xlfn.CONCAT(VLOOKUP(CR19,Route_Column!#REF!,2,FALSE),CHAR(34)," probability=",CHAR(34),1/CR$4,CHAR(34),CHAR(47),CHAR(62)),"&lt;/routeDistribution&gt;"))</f>
        <v/>
      </c>
    </row>
    <row r="2668" spans="1:5" x14ac:dyDescent="0.25">
      <c r="A2668" s="11" t="s">
        <v>1509</v>
      </c>
      <c r="B2668" t="s">
        <v>1091</v>
      </c>
      <c r="E2668" t="str">
        <f>IF(OR(E2667="&lt;/routeDistribution&gt;",E2667=""),"",IFERROR(_xlfn.CONCAT(VLOOKUP(CR20,Route_Column!#REF!,2,FALSE),CHAR(34)," probability=",CHAR(34),1/CR$4,CHAR(34),CHAR(47),CHAR(62)),"&lt;/routeDistribution&gt;"))</f>
        <v/>
      </c>
    </row>
    <row r="2669" spans="1:5" x14ac:dyDescent="0.25">
      <c r="A2669" t="s">
        <v>1509</v>
      </c>
      <c r="B2669" t="s">
        <v>1092</v>
      </c>
      <c r="E2669" t="str">
        <f>IF(OR(E2668="&lt;/routeDistribution&gt;",E2668=""),"",IFERROR(_xlfn.CONCAT(VLOOKUP(CR21,Route_Column!#REF!,2,FALSE),CHAR(34)," probability=",CHAR(34),1/CR$4,CHAR(34),CHAR(47),CHAR(62)),"&lt;/routeDistribution&gt;"))</f>
        <v/>
      </c>
    </row>
    <row r="2670" spans="1:5" x14ac:dyDescent="0.25">
      <c r="A2670" t="s">
        <v>1509</v>
      </c>
      <c r="B2670" t="s">
        <v>1093</v>
      </c>
      <c r="E2670" t="str">
        <f>IF(OR(E2669="&lt;/routeDistribution&gt;",E2669=""),"",IFERROR(_xlfn.CONCAT(VLOOKUP(CR22,Route_Column!#REF!,2,FALSE),CHAR(34)," probability=",CHAR(34),1/CR$4,CHAR(34),CHAR(47),CHAR(62)),"&lt;/routeDistribution&gt;"))</f>
        <v/>
      </c>
    </row>
    <row r="2671" spans="1:5" x14ac:dyDescent="0.25">
      <c r="A2671" t="s">
        <v>1509</v>
      </c>
      <c r="B2671" t="s">
        <v>1094</v>
      </c>
      <c r="E2671" t="str">
        <f>IF(OR(E2670="&lt;/routeDistribution&gt;",E2670=""),"",IFERROR(_xlfn.CONCAT(VLOOKUP(CR23,Route_Column!#REF!,2,FALSE),CHAR(34)," probability=",CHAR(34),1/CR$4,CHAR(34),CHAR(47),CHAR(62)),"&lt;/routeDistribution&gt;"))</f>
        <v/>
      </c>
    </row>
    <row r="2672" spans="1:5" x14ac:dyDescent="0.25">
      <c r="A2672" t="s">
        <v>1509</v>
      </c>
      <c r="B2672" t="s">
        <v>1095</v>
      </c>
      <c r="E2672" t="str">
        <f>IF(OR(E2671="&lt;/routeDistribution&gt;",E2671=""),"",IFERROR(_xlfn.CONCAT(VLOOKUP(CR24,Route_Column!#REF!,2,FALSE),CHAR(34)," probability=",CHAR(34),1/CR$4,CHAR(34),CHAR(47),CHAR(62)),"&lt;/routeDistribution&gt;"))</f>
        <v/>
      </c>
    </row>
    <row r="2673" spans="1:5" x14ac:dyDescent="0.25">
      <c r="A2673" t="s">
        <v>1509</v>
      </c>
      <c r="B2673" t="s">
        <v>1160</v>
      </c>
      <c r="E2673" t="str">
        <f>IF(OR(E2672="&lt;/routeDistribution&gt;",E2672=""),"",IFERROR(_xlfn.CONCAT(VLOOKUP(CR25,Route_Column!#REF!,2,FALSE),CHAR(34)," probability=",CHAR(34),1/CR$4,CHAR(34),CHAR(47),CHAR(62)),"&lt;/routeDistribution&gt;"))</f>
        <v/>
      </c>
    </row>
    <row r="2674" spans="1:5" x14ac:dyDescent="0.25">
      <c r="A2674" t="s">
        <v>1509</v>
      </c>
      <c r="B2674" t="s">
        <v>1194</v>
      </c>
      <c r="E2674" t="str">
        <f>IF(OR(E2673="&lt;/routeDistribution&gt;",E2673=""),"",IFERROR(_xlfn.CONCAT(VLOOKUP(CR26,Route_Column!#REF!,2,FALSE),CHAR(34)," probability=",CHAR(34),1/CR$4,CHAR(34),CHAR(47),CHAR(62)),"&lt;/routeDistribution&gt;"))</f>
        <v/>
      </c>
    </row>
    <row r="2675" spans="1:5" x14ac:dyDescent="0.25">
      <c r="A2675" t="s">
        <v>1509</v>
      </c>
      <c r="B2675" t="s">
        <v>1195</v>
      </c>
      <c r="E2675" t="str">
        <f>IF(OR(E2674="&lt;/routeDistribution&gt;",E2674=""),"",IFERROR(_xlfn.CONCAT(VLOOKUP(CR27,Route_Column!#REF!,2,FALSE),CHAR(34)," probability=",CHAR(34),1/CR$4,CHAR(34),CHAR(47),CHAR(62)),"&lt;/routeDistribution&gt;"))</f>
        <v/>
      </c>
    </row>
    <row r="2676" spans="1:5" x14ac:dyDescent="0.25">
      <c r="A2676" t="s">
        <v>1509</v>
      </c>
      <c r="B2676" t="s">
        <v>1196</v>
      </c>
      <c r="E2676" t="str">
        <f>IF(OR(E2675="&lt;/routeDistribution&gt;",E2675=""),"",IFERROR(_xlfn.CONCAT(VLOOKUP(CR28,Route_Column!#REF!,2,FALSE),CHAR(34)," probability=",CHAR(34),1/CR$4,CHAR(34),CHAR(47),CHAR(62)),"&lt;/routeDistribution&gt;"))</f>
        <v/>
      </c>
    </row>
    <row r="2677" spans="1:5" x14ac:dyDescent="0.25">
      <c r="A2677" s="11" t="s">
        <v>1510</v>
      </c>
      <c r="B2677" t="s">
        <v>1091</v>
      </c>
      <c r="E2677" t="str">
        <f>IF(OR(E2676="&lt;/routeDistribution&gt;",E2676=""),"",IFERROR(_xlfn.CONCAT(VLOOKUP(CR29,Route_Column!#REF!,2,FALSE),CHAR(34)," probability=",CHAR(34),1/CR$4,CHAR(34),CHAR(47),CHAR(62)),"&lt;/routeDistribution&gt;"))</f>
        <v/>
      </c>
    </row>
    <row r="2678" spans="1:5" x14ac:dyDescent="0.25">
      <c r="A2678" t="s">
        <v>1510</v>
      </c>
      <c r="B2678" t="s">
        <v>1092</v>
      </c>
      <c r="E2678" t="str">
        <f>IF(OR(E2677="&lt;/routeDistribution&gt;",E2677=""),"",IFERROR(_xlfn.CONCAT(VLOOKUP(CR30,Route_Column!#REF!,2,FALSE),CHAR(34)," probability=",CHAR(34),1/CR$4,CHAR(34),CHAR(47),CHAR(62)),"&lt;/routeDistribution&gt;"))</f>
        <v/>
      </c>
    </row>
    <row r="2679" spans="1:5" x14ac:dyDescent="0.25">
      <c r="A2679" t="s">
        <v>1510</v>
      </c>
      <c r="B2679" t="s">
        <v>1093</v>
      </c>
      <c r="E2679" t="str">
        <f>IF(OR(E2678="&lt;/routeDistribution&gt;",E2678=""),"",IFERROR(_xlfn.CONCAT(VLOOKUP(CR31,Route_Column!#REF!,2,FALSE),CHAR(34)," probability=",CHAR(34),1/CR$4,CHAR(34),CHAR(47),CHAR(62)),"&lt;/routeDistribution&gt;"))</f>
        <v/>
      </c>
    </row>
    <row r="2680" spans="1:5" x14ac:dyDescent="0.25">
      <c r="A2680" t="s">
        <v>1510</v>
      </c>
      <c r="B2680" t="s">
        <v>1094</v>
      </c>
      <c r="E2680" t="str">
        <f>IF(OR(E2679="&lt;/routeDistribution&gt;",E2679=""),"",IFERROR(_xlfn.CONCAT(VLOOKUP(CR32,Route_Column!#REF!,2,FALSE),CHAR(34)," probability=",CHAR(34),1/CR$4,CHAR(34),CHAR(47),CHAR(62)),"&lt;/routeDistribution&gt;"))</f>
        <v/>
      </c>
    </row>
    <row r="2681" spans="1:5" x14ac:dyDescent="0.25">
      <c r="A2681" t="s">
        <v>1510</v>
      </c>
      <c r="B2681" t="s">
        <v>1095</v>
      </c>
      <c r="E2681" t="str">
        <f>IF(OR(E2680="&lt;/routeDistribution&gt;",E2680=""),"",IFERROR(_xlfn.CONCAT(VLOOKUP(CR33,Route_Column!#REF!,2,FALSE),CHAR(34)," probability=",CHAR(34),1/CR$4,CHAR(34),CHAR(47),CHAR(62)),"&lt;/routeDistribution&gt;"))</f>
        <v/>
      </c>
    </row>
    <row r="2682" spans="1:5" x14ac:dyDescent="0.25">
      <c r="A2682" t="s">
        <v>1510</v>
      </c>
      <c r="B2682" t="s">
        <v>1160</v>
      </c>
      <c r="E2682" t="str">
        <f>IF(OR(E2681="&lt;/routeDistribution&gt;",E2681=""),"",IFERROR(_xlfn.CONCAT(VLOOKUP(CR34,Route_Column!#REF!,2,FALSE),CHAR(34)," probability=",CHAR(34),1/CR$4,CHAR(34),CHAR(47),CHAR(62)),"&lt;/routeDistribution&gt;"))</f>
        <v/>
      </c>
    </row>
    <row r="2683" spans="1:5" x14ac:dyDescent="0.25">
      <c r="A2683" t="s">
        <v>1510</v>
      </c>
      <c r="B2683" t="s">
        <v>1194</v>
      </c>
      <c r="E2683" t="str">
        <f>IF(OR(E2682="&lt;/routeDistribution&gt;",E2682=""),"",IFERROR(_xlfn.CONCAT(VLOOKUP(CR35,Route_Column!#REF!,2,FALSE),CHAR(34)," probability=",CHAR(34),1/CR$4,CHAR(34),CHAR(47),CHAR(62)),"&lt;/routeDistribution&gt;"))</f>
        <v/>
      </c>
    </row>
    <row r="2684" spans="1:5" x14ac:dyDescent="0.25">
      <c r="A2684" t="s">
        <v>2277</v>
      </c>
      <c r="B2684" t="s">
        <v>1195</v>
      </c>
      <c r="E2684" t="str">
        <f>IF(OR(E2683="&lt;/routeDistribution&gt;",E2683=""),"",IFERROR(_xlfn.CONCAT(VLOOKUP(CR36,Route_Column!#REF!,2,FALSE),CHAR(34)," probability=",CHAR(34),1/CR$4,CHAR(34),CHAR(47),CHAR(62)),"&lt;/routeDistribution&gt;"))</f>
        <v/>
      </c>
    </row>
    <row r="2685" spans="1:5" x14ac:dyDescent="0.25">
      <c r="A2685" t="s">
        <v>2277</v>
      </c>
      <c r="B2685" t="s">
        <v>1196</v>
      </c>
      <c r="E2685" t="str">
        <f>IF(OR(E2684="&lt;/routeDistribution&gt;",E2684=""),"",IFERROR(_xlfn.CONCAT(VLOOKUP(CR37,Route_Column!#REF!,2,FALSE),CHAR(34)," probability=",CHAR(34),1/CR$4,CHAR(34),CHAR(47),CHAR(62)),"&lt;/routeDistribution&gt;"))</f>
        <v/>
      </c>
    </row>
    <row r="2686" spans="1:5" x14ac:dyDescent="0.25">
      <c r="A2686" t="s">
        <v>1878</v>
      </c>
      <c r="B2686" t="s">
        <v>1112</v>
      </c>
      <c r="E2686" t="str">
        <f>IF(OR(E2685="&lt;/routeDistribution&gt;",E2685=""),"",IFERROR(_xlfn.CONCAT(VLOOKUP(CR38,Route_Column!#REF!,2,FALSE),CHAR(34)," probability=",CHAR(34),1/CR$4,CHAR(34),CHAR(47),CHAR(62)),"&lt;/routeDistribution&gt;"))</f>
        <v/>
      </c>
    </row>
    <row r="2687" spans="1:5" x14ac:dyDescent="0.25">
      <c r="A2687" t="s">
        <v>1878</v>
      </c>
      <c r="B2687" t="s">
        <v>1113</v>
      </c>
      <c r="E2687" t="str">
        <f>IF(OR(E2686="&lt;/routeDistribution&gt;",E2686=""),"",IFERROR(_xlfn.CONCAT(VLOOKUP(CR39,Route_Column!#REF!,2,FALSE),CHAR(34)," probability=",CHAR(34),1/CR$4,CHAR(34),CHAR(47),CHAR(62)),"&lt;/routeDistribution&gt;"))</f>
        <v/>
      </c>
    </row>
    <row r="2688" spans="1:5" x14ac:dyDescent="0.25">
      <c r="A2688" t="s">
        <v>1878</v>
      </c>
      <c r="B2688" t="s">
        <v>1114</v>
      </c>
      <c r="E2688" t="str">
        <f>IF(OR(E2687="&lt;/routeDistribution&gt;",E2687=""),"",IFERROR(_xlfn.CONCAT(VLOOKUP(CR40,Route_Column!#REF!,2,FALSE),CHAR(34)," probability=",CHAR(34),1/CR$4,CHAR(34),CHAR(47),CHAR(62)),"&lt;/routeDistribution&gt;"))</f>
        <v/>
      </c>
    </row>
    <row r="2689" spans="1:5" x14ac:dyDescent="0.25">
      <c r="A2689" t="s">
        <v>1878</v>
      </c>
      <c r="B2689" t="s">
        <v>1114</v>
      </c>
      <c r="E2689" t="str">
        <f>IF(OR(E2688="&lt;/routeDistribution&gt;",E2688=""),"",IFERROR(_xlfn.CONCAT(VLOOKUP(CR41,Route_Column!#REF!,2,FALSE),CHAR(34)," probability=",CHAR(34),1/CR$4,CHAR(34),CHAR(47),CHAR(62)),"&lt;/routeDistribution&gt;"))</f>
        <v/>
      </c>
    </row>
    <row r="2690" spans="1:5" x14ac:dyDescent="0.25">
      <c r="A2690" t="s">
        <v>1878</v>
      </c>
      <c r="B2690" t="s">
        <v>1115</v>
      </c>
      <c r="E2690" t="str">
        <f>IF(OR(E2689="&lt;/routeDistribution&gt;",E2689=""),"",IFERROR(_xlfn.CONCAT(VLOOKUP(CR42,Route_Column!#REF!,2,FALSE),CHAR(34)," probability=",CHAR(34),1/CR$4,CHAR(34),CHAR(47),CHAR(62)),"&lt;/routeDistribution&gt;"))</f>
        <v/>
      </c>
    </row>
    <row r="2691" spans="1:5" x14ac:dyDescent="0.25">
      <c r="A2691" t="s">
        <v>1878</v>
      </c>
      <c r="B2691" t="s">
        <v>1166</v>
      </c>
      <c r="E2691" t="str">
        <f>IF(OR(E2690="&lt;/routeDistribution&gt;",E2690=""),"",IFERROR(_xlfn.CONCAT(VLOOKUP(CR43,Route_Column!#REF!,2,FALSE),CHAR(34)," probability=",CHAR(34),1/CR$4,CHAR(34),CHAR(47),CHAR(62)),"&lt;/routeDistribution&gt;"))</f>
        <v/>
      </c>
    </row>
    <row r="2692" spans="1:5" x14ac:dyDescent="0.25">
      <c r="A2692" t="s">
        <v>1878</v>
      </c>
      <c r="B2692" t="s">
        <v>1167</v>
      </c>
      <c r="E2692" t="str">
        <f>IF(OR(E2691="&lt;/routeDistribution&gt;",E2691=""),"",IFERROR(_xlfn.CONCAT(VLOOKUP(CR44,Route_Column!#REF!,2,FALSE),CHAR(34)," probability=",CHAR(34),1/CR$4,CHAR(34),CHAR(47),CHAR(62)),"&lt;/routeDistribution&gt;"))</f>
        <v/>
      </c>
    </row>
    <row r="2693" spans="1:5" x14ac:dyDescent="0.25">
      <c r="A2693" t="s">
        <v>1878</v>
      </c>
      <c r="B2693" t="s">
        <v>1168</v>
      </c>
      <c r="E2693" t="str">
        <f>IF(OR(E2692="&lt;/routeDistribution&gt;",E2692=""),"",IFERROR(_xlfn.CONCAT(VLOOKUP(CR45,Route_Column!#REF!,2,FALSE),CHAR(34)," probability=",CHAR(34),1/CR$4,CHAR(34),CHAR(47),CHAR(62)),"&lt;/routeDistribution&gt;"))</f>
        <v/>
      </c>
    </row>
    <row r="2694" spans="1:5" x14ac:dyDescent="0.25">
      <c r="A2694" t="s">
        <v>1878</v>
      </c>
      <c r="B2694" t="s">
        <v>1186</v>
      </c>
      <c r="E2694" t="str">
        <f>IF(OR(E2693="&lt;/routeDistribution&gt;",E2693=""),"",IFERROR(_xlfn.CONCAT(VLOOKUP(CR46,Route_Column!#REF!,2,FALSE),CHAR(34)," probability=",CHAR(34),1/CR$4,CHAR(34),CHAR(47),CHAR(62)),"&lt;/routeDistribution&gt;"))</f>
        <v/>
      </c>
    </row>
    <row r="2695" spans="1:5" x14ac:dyDescent="0.25">
      <c r="A2695" t="s">
        <v>1878</v>
      </c>
      <c r="B2695" t="s">
        <v>1187</v>
      </c>
      <c r="E2695" t="str">
        <f>IF(OR(E2694="&lt;/routeDistribution&gt;",E2694=""),"",IFERROR(_xlfn.CONCAT(VLOOKUP(CR47,Route_Column!#REF!,2,FALSE),CHAR(34)," probability=",CHAR(34),1/CR$4,CHAR(34),CHAR(47),CHAR(62)),"&lt;/routeDistribution&gt;"))</f>
        <v/>
      </c>
    </row>
    <row r="2696" spans="1:5" x14ac:dyDescent="0.25">
      <c r="A2696" t="s">
        <v>1878</v>
      </c>
      <c r="B2696" t="s">
        <v>1188</v>
      </c>
      <c r="E2696" t="str">
        <f>IF(OR(E2695="&lt;/routeDistribution&gt;",E2695=""),"",IFERROR(_xlfn.CONCAT(VLOOKUP(CR48,Route_Column!#REF!,2,FALSE),CHAR(34)," probability=",CHAR(34),1/CR$4,CHAR(34),CHAR(47),CHAR(62)),"&lt;/routeDistribution&gt;"))</f>
        <v/>
      </c>
    </row>
    <row r="2697" spans="1:5" x14ac:dyDescent="0.25">
      <c r="A2697" t="s">
        <v>1878</v>
      </c>
      <c r="B2697" t="s">
        <v>1189</v>
      </c>
      <c r="E2697" t="str">
        <f>IF(OR(E2696="&lt;/routeDistribution&gt;",E2696=""),"",IFERROR(_xlfn.CONCAT(VLOOKUP(CR49,Route_Column!#REF!,2,FALSE),CHAR(34)," probability=",CHAR(34),1/CR$4,CHAR(34),CHAR(47),CHAR(62)),"&lt;/routeDistribution&gt;"))</f>
        <v/>
      </c>
    </row>
    <row r="2698" spans="1:5" x14ac:dyDescent="0.25">
      <c r="A2698" t="s">
        <v>1878</v>
      </c>
      <c r="B2698" t="s">
        <v>1195</v>
      </c>
      <c r="E2698" t="str">
        <f>IF(OR(E2697="&lt;/routeDistribution&gt;",E2697=""),"",IFERROR(_xlfn.CONCAT(VLOOKUP(CR50,Route_Column!#REF!,2,FALSE),CHAR(34)," probability=",CHAR(34),1/CR$4,CHAR(34),CHAR(47),CHAR(62)),"&lt;/routeDistribution&gt;"))</f>
        <v/>
      </c>
    </row>
    <row r="2699" spans="1:5" x14ac:dyDescent="0.25">
      <c r="A2699" t="s">
        <v>1878</v>
      </c>
      <c r="B2699" t="s">
        <v>1196</v>
      </c>
      <c r="E2699" t="str">
        <f>IF(OR(E2698="&lt;/routeDistribution&gt;",E2698=""),"",IFERROR(_xlfn.CONCAT(VLOOKUP(CR51,Route_Column!#REF!,2,FALSE),CHAR(34)," probability=",CHAR(34),1/CR$4,CHAR(34),CHAR(47),CHAR(62)),"&lt;/routeDistribution&gt;"))</f>
        <v/>
      </c>
    </row>
    <row r="2700" spans="1:5" x14ac:dyDescent="0.25">
      <c r="A2700" t="s">
        <v>1877</v>
      </c>
      <c r="B2700" t="s">
        <v>1112</v>
      </c>
      <c r="E2700" t="str">
        <f>IF(OR(E2699="&lt;/routeDistribution&gt;",E2699=""),"",IFERROR(_xlfn.CONCAT(VLOOKUP(CR52,Route_Column!#REF!,2,FALSE),CHAR(34)," probability=",CHAR(34),1/CR$4,CHAR(34),CHAR(47),CHAR(62)),"&lt;/routeDistribution&gt;"))</f>
        <v/>
      </c>
    </row>
    <row r="2701" spans="1:5" x14ac:dyDescent="0.25">
      <c r="A2701" t="s">
        <v>1877</v>
      </c>
      <c r="B2701" t="s">
        <v>1113</v>
      </c>
      <c r="E2701" t="str">
        <f>IF(OR(E2700="&lt;/routeDistribution&gt;",E2700=""),"",IFERROR(_xlfn.CONCAT(VLOOKUP(CR53,Route_Column!#REF!,2,FALSE),CHAR(34)," probability=",CHAR(34),1/CR$4,CHAR(34),CHAR(47),CHAR(62)),"&lt;/routeDistribution&gt;"))</f>
        <v/>
      </c>
    </row>
    <row r="2702" spans="1:5" x14ac:dyDescent="0.25">
      <c r="A2702" t="s">
        <v>1877</v>
      </c>
      <c r="B2702" t="s">
        <v>1114</v>
      </c>
      <c r="E2702" t="str">
        <f>IF(OR(E2701="&lt;/routeDistribution&gt;",E2701=""),"",IFERROR(_xlfn.CONCAT(VLOOKUP(CR54,Route_Column!#REF!,2,FALSE),CHAR(34)," probability=",CHAR(34),1/CR$4,CHAR(34),CHAR(47),CHAR(62)),"&lt;/routeDistribution&gt;"))</f>
        <v/>
      </c>
    </row>
    <row r="2703" spans="1:5" x14ac:dyDescent="0.25">
      <c r="A2703" t="s">
        <v>1877</v>
      </c>
      <c r="B2703" t="s">
        <v>1114</v>
      </c>
      <c r="E2703" t="str">
        <f>IF(OR(E2702="&lt;/routeDistribution&gt;",E2702=""),"",IFERROR(_xlfn.CONCAT(VLOOKUP(CR55,Route_Column!#REF!,2,FALSE),CHAR(34)," probability=",CHAR(34),1/CR$4,CHAR(34),CHAR(47),CHAR(62)),"&lt;/routeDistribution&gt;"))</f>
        <v/>
      </c>
    </row>
    <row r="2704" spans="1:5" x14ac:dyDescent="0.25">
      <c r="A2704" t="s">
        <v>1877</v>
      </c>
      <c r="B2704" t="s">
        <v>1115</v>
      </c>
      <c r="E2704" t="str">
        <f>IF(OR(E2703="&lt;/routeDistribution&gt;",E2703=""),"",IFERROR(_xlfn.CONCAT(VLOOKUP(CR56,Route_Column!#REF!,2,FALSE),CHAR(34)," probability=",CHAR(34),1/CR$4,CHAR(34),CHAR(47),CHAR(62)),"&lt;/routeDistribution&gt;"))</f>
        <v/>
      </c>
    </row>
    <row r="2705" spans="1:5" x14ac:dyDescent="0.25">
      <c r="A2705" t="s">
        <v>1877</v>
      </c>
      <c r="B2705" t="s">
        <v>1166</v>
      </c>
      <c r="E2705" t="str">
        <f>IF(OR(E2704="&lt;/routeDistribution&gt;",E2704=""),"",IFERROR(_xlfn.CONCAT(VLOOKUP(CR57,Route_Column!#REF!,2,FALSE),CHAR(34)," probability=",CHAR(34),1/CR$4,CHAR(34),CHAR(47),CHAR(62)),"&lt;/routeDistribution&gt;"))</f>
        <v/>
      </c>
    </row>
    <row r="2706" spans="1:5" x14ac:dyDescent="0.25">
      <c r="A2706" t="s">
        <v>1877</v>
      </c>
      <c r="B2706" t="s">
        <v>1167</v>
      </c>
      <c r="E2706" t="str">
        <f>IF(OR(E2705="&lt;/routeDistribution&gt;",E2705=""),"",IFERROR(_xlfn.CONCAT(VLOOKUP(CR58,Route_Column!#REF!,2,FALSE),CHAR(34)," probability=",CHAR(34),1/CR$4,CHAR(34),CHAR(47),CHAR(62)),"&lt;/routeDistribution&gt;"))</f>
        <v/>
      </c>
    </row>
    <row r="2707" spans="1:5" x14ac:dyDescent="0.25">
      <c r="A2707" t="s">
        <v>1877</v>
      </c>
      <c r="B2707" t="s">
        <v>1168</v>
      </c>
      <c r="E2707" t="str">
        <f>IF(OR(E2706="&lt;/routeDistribution&gt;",E2706=""),"",IFERROR(_xlfn.CONCAT(VLOOKUP(CR59,Route_Column!#REF!,2,FALSE),CHAR(34)," probability=",CHAR(34),1/CR$4,CHAR(34),CHAR(47),CHAR(62)),"&lt;/routeDistribution&gt;"))</f>
        <v/>
      </c>
    </row>
    <row r="2708" spans="1:5" x14ac:dyDescent="0.25">
      <c r="A2708" t="s">
        <v>1877</v>
      </c>
      <c r="B2708" t="s">
        <v>1186</v>
      </c>
      <c r="E2708" t="str">
        <f>IF(OR(E2707="&lt;/routeDistribution&gt;",E2707=""),"",IFERROR(_xlfn.CONCAT(VLOOKUP(CR60,Route_Column!#REF!,2,FALSE),CHAR(34)," probability=",CHAR(34),1/CR$4,CHAR(34),CHAR(47),CHAR(62)),"&lt;/routeDistribution&gt;"))</f>
        <v/>
      </c>
    </row>
    <row r="2709" spans="1:5" x14ac:dyDescent="0.25">
      <c r="A2709" t="s">
        <v>1877</v>
      </c>
      <c r="B2709" t="s">
        <v>1187</v>
      </c>
      <c r="E2709" t="str">
        <f>IF(OR(E2708="&lt;/routeDistribution&gt;",E2708=""),"",IFERROR(_xlfn.CONCAT(VLOOKUP(CR61,Route_Column!#REF!,2,FALSE),CHAR(34)," probability=",CHAR(34),1/CR$4,CHAR(34),CHAR(47),CHAR(62)),"&lt;/routeDistribution&gt;"))</f>
        <v/>
      </c>
    </row>
    <row r="2710" spans="1:5" x14ac:dyDescent="0.25">
      <c r="A2710" t="s">
        <v>1877</v>
      </c>
      <c r="B2710" t="s">
        <v>1188</v>
      </c>
      <c r="E2710" t="str">
        <f>IF(OR(E2709="&lt;/routeDistribution&gt;",E2709=""),"",IFERROR(_xlfn.CONCAT(VLOOKUP(CR62,Route_Column!#REF!,2,FALSE),CHAR(34)," probability=",CHAR(34),1/CR$4,CHAR(34),CHAR(47),CHAR(62)),"&lt;/routeDistribution&gt;"))</f>
        <v/>
      </c>
    </row>
    <row r="2711" spans="1:5" x14ac:dyDescent="0.25">
      <c r="A2711" t="s">
        <v>1877</v>
      </c>
      <c r="B2711" t="s">
        <v>1189</v>
      </c>
      <c r="E2711" t="str">
        <f>IF(OR(E2710="&lt;/routeDistribution&gt;",E2710=""),"",IFERROR(_xlfn.CONCAT(VLOOKUP(CR63,Route_Column!#REF!,2,FALSE),CHAR(34)," probability=",CHAR(34),1/CR$4,CHAR(34),CHAR(47),CHAR(62)),"&lt;/routeDistribution&gt;"))</f>
        <v/>
      </c>
    </row>
    <row r="2712" spans="1:5" x14ac:dyDescent="0.25">
      <c r="A2712" t="s">
        <v>1877</v>
      </c>
      <c r="B2712" t="s">
        <v>1195</v>
      </c>
      <c r="E2712" t="s">
        <v>2686</v>
      </c>
    </row>
    <row r="2713" spans="1:5" x14ac:dyDescent="0.25">
      <c r="A2713" t="s">
        <v>1877</v>
      </c>
      <c r="B2713" t="s">
        <v>1196</v>
      </c>
    </row>
    <row r="2714" spans="1:5" x14ac:dyDescent="0.25">
      <c r="A2714" t="s">
        <v>1879</v>
      </c>
      <c r="B2714" t="s">
        <v>1112</v>
      </c>
    </row>
    <row r="2715" spans="1:5" x14ac:dyDescent="0.25">
      <c r="A2715" t="s">
        <v>1879</v>
      </c>
      <c r="B2715" t="s">
        <v>1113</v>
      </c>
      <c r="E2715" t="str">
        <f>_xlfn.CONCAT($E$1,CQ$2,$F$1)</f>
        <v>&lt;routeDistribution id="CHRISTIAN-23rd-22nd-BOTH-2001-RouteProbe"&gt;</v>
      </c>
    </row>
    <row r="2716" spans="1:5" x14ac:dyDescent="0.25">
      <c r="A2716" t="s">
        <v>1879</v>
      </c>
      <c r="B2716" t="s">
        <v>1114</v>
      </c>
      <c r="E2716" t="str">
        <f>IF(OR(E2715="&lt;/routeDistribution&gt;",E2715=""),"",IFERROR(_xlfn.CONCAT(VLOOKUP(CQ5,Route_Column!#REF!,2,FALSE),CHAR(34)," probability=",CHAR(34),1/CQ$4,CHAR(34),CHAR(47),CHAR(62)),"&lt;/routeDistribution&gt;"))</f>
        <v>&lt;/routeDistribution&gt;</v>
      </c>
    </row>
    <row r="2717" spans="1:5" x14ac:dyDescent="0.25">
      <c r="A2717" t="s">
        <v>1879</v>
      </c>
      <c r="B2717" t="s">
        <v>1114</v>
      </c>
      <c r="E2717" t="str">
        <f>IF(OR(E2716="&lt;/routeDistribution&gt;",E2716=""),"",IFERROR(_xlfn.CONCAT(VLOOKUP(CQ6,Route_Column!#REF!,2,FALSE),CHAR(34)," probability=",CHAR(34),1/CQ$4,CHAR(34),CHAR(47),CHAR(62)),"&lt;/routeDistribution&gt;"))</f>
        <v/>
      </c>
    </row>
    <row r="2718" spans="1:5" x14ac:dyDescent="0.25">
      <c r="A2718" t="s">
        <v>1879</v>
      </c>
      <c r="B2718" t="s">
        <v>1115</v>
      </c>
      <c r="E2718" t="str">
        <f>IF(OR(E2717="&lt;/routeDistribution&gt;",E2717=""),"",IFERROR(_xlfn.CONCAT(VLOOKUP(CQ7,Route_Column!#REF!,2,FALSE),CHAR(34)," probability=",CHAR(34),1/CQ$4,CHAR(34),CHAR(47),CHAR(62)),"&lt;/routeDistribution&gt;"))</f>
        <v/>
      </c>
    </row>
    <row r="2719" spans="1:5" x14ac:dyDescent="0.25">
      <c r="A2719" t="s">
        <v>1879</v>
      </c>
      <c r="B2719" t="s">
        <v>1166</v>
      </c>
      <c r="E2719" t="str">
        <f>IF(OR(E2718="&lt;/routeDistribution&gt;",E2718=""),"",IFERROR(_xlfn.CONCAT(VLOOKUP(CQ8,Route_Column!#REF!,2,FALSE),CHAR(34)," probability=",CHAR(34),1/CQ$4,CHAR(34),CHAR(47),CHAR(62)),"&lt;/routeDistribution&gt;"))</f>
        <v/>
      </c>
    </row>
    <row r="2720" spans="1:5" x14ac:dyDescent="0.25">
      <c r="A2720" t="s">
        <v>1879</v>
      </c>
      <c r="B2720" t="s">
        <v>1167</v>
      </c>
      <c r="E2720" t="str">
        <f>IF(OR(E2719="&lt;/routeDistribution&gt;",E2719=""),"",IFERROR(_xlfn.CONCAT(VLOOKUP(CQ9,Route_Column!#REF!,2,FALSE),CHAR(34)," probability=",CHAR(34),1/CQ$4,CHAR(34),CHAR(47),CHAR(62)),"&lt;/routeDistribution&gt;"))</f>
        <v/>
      </c>
    </row>
    <row r="2721" spans="1:5" x14ac:dyDescent="0.25">
      <c r="A2721" t="s">
        <v>1879</v>
      </c>
      <c r="B2721" t="s">
        <v>1168</v>
      </c>
      <c r="E2721" t="str">
        <f>IF(OR(E2720="&lt;/routeDistribution&gt;",E2720=""),"",IFERROR(_xlfn.CONCAT(VLOOKUP(CQ10,Route_Column!#REF!,2,FALSE),CHAR(34)," probability=",CHAR(34),1/CQ$4,CHAR(34),CHAR(47),CHAR(62)),"&lt;/routeDistribution&gt;"))</f>
        <v/>
      </c>
    </row>
    <row r="2722" spans="1:5" x14ac:dyDescent="0.25">
      <c r="A2722" t="s">
        <v>1879</v>
      </c>
      <c r="B2722" t="s">
        <v>1186</v>
      </c>
      <c r="E2722" t="str">
        <f>IF(OR(E2721="&lt;/routeDistribution&gt;",E2721=""),"",IFERROR(_xlfn.CONCAT(VLOOKUP(CQ11,Route_Column!#REF!,2,FALSE),CHAR(34)," probability=",CHAR(34),1/CQ$4,CHAR(34),CHAR(47),CHAR(62)),"&lt;/routeDistribution&gt;"))</f>
        <v/>
      </c>
    </row>
    <row r="2723" spans="1:5" x14ac:dyDescent="0.25">
      <c r="A2723" t="s">
        <v>1879</v>
      </c>
      <c r="B2723" t="s">
        <v>1187</v>
      </c>
      <c r="E2723" t="str">
        <f>IF(OR(E2722="&lt;/routeDistribution&gt;",E2722=""),"",IFERROR(_xlfn.CONCAT(VLOOKUP(CQ12,Route_Column!#REF!,2,FALSE),CHAR(34)," probability=",CHAR(34),1/CQ$4,CHAR(34),CHAR(47),CHAR(62)),"&lt;/routeDistribution&gt;"))</f>
        <v/>
      </c>
    </row>
    <row r="2724" spans="1:5" x14ac:dyDescent="0.25">
      <c r="A2724" t="s">
        <v>1879</v>
      </c>
      <c r="B2724" t="s">
        <v>1188</v>
      </c>
      <c r="E2724" t="str">
        <f>IF(OR(E2723="&lt;/routeDistribution&gt;",E2723=""),"",IFERROR(_xlfn.CONCAT(VLOOKUP(CQ13,Route_Column!#REF!,2,FALSE),CHAR(34)," probability=",CHAR(34),1/CQ$4,CHAR(34),CHAR(47),CHAR(62)),"&lt;/routeDistribution&gt;"))</f>
        <v/>
      </c>
    </row>
    <row r="2725" spans="1:5" x14ac:dyDescent="0.25">
      <c r="A2725" t="s">
        <v>1879</v>
      </c>
      <c r="B2725" t="s">
        <v>1189</v>
      </c>
      <c r="E2725" t="str">
        <f>IF(OR(E2724="&lt;/routeDistribution&gt;",E2724=""),"",IFERROR(_xlfn.CONCAT(VLOOKUP(CQ14,Route_Column!#REF!,2,FALSE),CHAR(34)," probability=",CHAR(34),1/CQ$4,CHAR(34),CHAR(47),CHAR(62)),"&lt;/routeDistribution&gt;"))</f>
        <v/>
      </c>
    </row>
    <row r="2726" spans="1:5" x14ac:dyDescent="0.25">
      <c r="A2726" t="s">
        <v>1879</v>
      </c>
      <c r="B2726" t="s">
        <v>1195</v>
      </c>
      <c r="E2726" t="str">
        <f>IF(OR(E2725="&lt;/routeDistribution&gt;",E2725=""),"",IFERROR(_xlfn.CONCAT(VLOOKUP(CQ15,Route_Column!#REF!,2,FALSE),CHAR(34)," probability=",CHAR(34),1/CQ$4,CHAR(34),CHAR(47),CHAR(62)),"&lt;/routeDistribution&gt;"))</f>
        <v/>
      </c>
    </row>
    <row r="2727" spans="1:5" x14ac:dyDescent="0.25">
      <c r="A2727" t="s">
        <v>1879</v>
      </c>
      <c r="B2727" t="s">
        <v>1196</v>
      </c>
      <c r="E2727" t="str">
        <f>IF(OR(E2726="&lt;/routeDistribution&gt;",E2726=""),"",IFERROR(_xlfn.CONCAT(VLOOKUP(CQ16,Route_Column!#REF!,2,FALSE),CHAR(34)," probability=",CHAR(34),1/CQ$4,CHAR(34),CHAR(47),CHAR(62)),"&lt;/routeDistribution&gt;"))</f>
        <v/>
      </c>
    </row>
    <row r="2728" spans="1:5" x14ac:dyDescent="0.25">
      <c r="A2728" t="s">
        <v>1999</v>
      </c>
      <c r="B2728" t="s">
        <v>1132</v>
      </c>
      <c r="E2728" t="str">
        <f>IF(OR(E2727="&lt;/routeDistribution&gt;",E2727=""),"",IFERROR(_xlfn.CONCAT(VLOOKUP(CQ17,Route_Column!#REF!,2,FALSE),CHAR(34)," probability=",CHAR(34),1/CQ$4,CHAR(34),CHAR(47),CHAR(62)),"&lt;/routeDistribution&gt;"))</f>
        <v/>
      </c>
    </row>
    <row r="2729" spans="1:5" x14ac:dyDescent="0.25">
      <c r="A2729" t="s">
        <v>1999</v>
      </c>
      <c r="B2729" t="s">
        <v>1137</v>
      </c>
      <c r="E2729" t="str">
        <f>IF(OR(E2728="&lt;/routeDistribution&gt;",E2728=""),"",IFERROR(_xlfn.CONCAT(VLOOKUP(CQ18,Route_Column!#REF!,2,FALSE),CHAR(34)," probability=",CHAR(34),1/CQ$4,CHAR(34),CHAR(47),CHAR(62)),"&lt;/routeDistribution&gt;"))</f>
        <v/>
      </c>
    </row>
    <row r="2730" spans="1:5" x14ac:dyDescent="0.25">
      <c r="A2730" t="s">
        <v>1999</v>
      </c>
      <c r="B2730" t="s">
        <v>1171</v>
      </c>
      <c r="E2730" t="str">
        <f>IF(OR(E2729="&lt;/routeDistribution&gt;",E2729=""),"",IFERROR(_xlfn.CONCAT(VLOOKUP(CQ19,Route_Column!#REF!,2,FALSE),CHAR(34)," probability=",CHAR(34),1/CQ$4,CHAR(34),CHAR(47),CHAR(62)),"&lt;/routeDistribution&gt;"))</f>
        <v/>
      </c>
    </row>
    <row r="2731" spans="1:5" x14ac:dyDescent="0.25">
      <c r="A2731" t="s">
        <v>1999</v>
      </c>
      <c r="B2731" t="s">
        <v>1182</v>
      </c>
      <c r="E2731" t="str">
        <f>IF(OR(E2730="&lt;/routeDistribution&gt;",E2730=""),"",IFERROR(_xlfn.CONCAT(VLOOKUP(CQ20,Route_Column!#REF!,2,FALSE),CHAR(34)," probability=",CHAR(34),1/CQ$4,CHAR(34),CHAR(47),CHAR(62)),"&lt;/routeDistribution&gt;"))</f>
        <v/>
      </c>
    </row>
    <row r="2732" spans="1:5" x14ac:dyDescent="0.25">
      <c r="A2732" t="s">
        <v>1999</v>
      </c>
      <c r="B2732" t="s">
        <v>1183</v>
      </c>
      <c r="E2732" t="str">
        <f>IF(OR(E2731="&lt;/routeDistribution&gt;",E2731=""),"",IFERROR(_xlfn.CONCAT(VLOOKUP(CQ21,Route_Column!#REF!,2,FALSE),CHAR(34)," probability=",CHAR(34),1/CQ$4,CHAR(34),CHAR(47),CHAR(62)),"&lt;/routeDistribution&gt;"))</f>
        <v/>
      </c>
    </row>
    <row r="2733" spans="1:5" x14ac:dyDescent="0.25">
      <c r="A2733" t="s">
        <v>1999</v>
      </c>
      <c r="B2733" t="s">
        <v>1184</v>
      </c>
      <c r="E2733" t="str">
        <f>IF(OR(E2732="&lt;/routeDistribution&gt;",E2732=""),"",IFERROR(_xlfn.CONCAT(VLOOKUP(CQ22,Route_Column!#REF!,2,FALSE),CHAR(34)," probability=",CHAR(34),1/CQ$4,CHAR(34),CHAR(47),CHAR(62)),"&lt;/routeDistribution&gt;"))</f>
        <v/>
      </c>
    </row>
    <row r="2734" spans="1:5" x14ac:dyDescent="0.25">
      <c r="A2734" t="s">
        <v>1999</v>
      </c>
      <c r="B2734" t="s">
        <v>1185</v>
      </c>
      <c r="E2734" t="str">
        <f>IF(OR(E2733="&lt;/routeDistribution&gt;",E2733=""),"",IFERROR(_xlfn.CONCAT(VLOOKUP(CQ23,Route_Column!#REF!,2,FALSE),CHAR(34)," probability=",CHAR(34),1/CQ$4,CHAR(34),CHAR(47),CHAR(62)),"&lt;/routeDistribution&gt;"))</f>
        <v/>
      </c>
    </row>
    <row r="2735" spans="1:5" x14ac:dyDescent="0.25">
      <c r="A2735" t="s">
        <v>1999</v>
      </c>
      <c r="B2735" t="s">
        <v>1197</v>
      </c>
      <c r="E2735" t="str">
        <f>IF(OR(E2734="&lt;/routeDistribution&gt;",E2734=""),"",IFERROR(_xlfn.CONCAT(VLOOKUP(CQ24,Route_Column!#REF!,2,FALSE),CHAR(34)," probability=",CHAR(34),1/CQ$4,CHAR(34),CHAR(47),CHAR(62)),"&lt;/routeDistribution&gt;"))</f>
        <v/>
      </c>
    </row>
    <row r="2736" spans="1:5" x14ac:dyDescent="0.25">
      <c r="A2736" t="s">
        <v>1999</v>
      </c>
      <c r="B2736" t="s">
        <v>1225</v>
      </c>
      <c r="E2736" t="str">
        <f>IF(OR(E2735="&lt;/routeDistribution&gt;",E2735=""),"",IFERROR(_xlfn.CONCAT(VLOOKUP(CQ25,Route_Column!#REF!,2,FALSE),CHAR(34)," probability=",CHAR(34),1/CQ$4,CHAR(34),CHAR(47),CHAR(62)),"&lt;/routeDistribution&gt;"))</f>
        <v/>
      </c>
    </row>
    <row r="2737" spans="1:5" x14ac:dyDescent="0.25">
      <c r="A2737" s="11" t="s">
        <v>1450</v>
      </c>
      <c r="B2737" t="s">
        <v>1090</v>
      </c>
      <c r="E2737" t="str">
        <f>IF(OR(E2736="&lt;/routeDistribution&gt;",E2736=""),"",IFERROR(_xlfn.CONCAT(VLOOKUP(CQ26,Route_Column!#REF!,2,FALSE),CHAR(34)," probability=",CHAR(34),1/CQ$4,CHAR(34),CHAR(47),CHAR(62)),"&lt;/routeDistribution&gt;"))</f>
        <v/>
      </c>
    </row>
    <row r="2738" spans="1:5" x14ac:dyDescent="0.25">
      <c r="A2738" t="s">
        <v>1450</v>
      </c>
      <c r="B2738" t="s">
        <v>1097</v>
      </c>
      <c r="E2738" t="str">
        <f>IF(OR(E2737="&lt;/routeDistribution&gt;",E2737=""),"",IFERROR(_xlfn.CONCAT(VLOOKUP(CQ27,Route_Column!#REF!,2,FALSE),CHAR(34)," probability=",CHAR(34),1/CQ$4,CHAR(34),CHAR(47),CHAR(62)),"&lt;/routeDistribution&gt;"))</f>
        <v/>
      </c>
    </row>
    <row r="2739" spans="1:5" x14ac:dyDescent="0.25">
      <c r="A2739" t="s">
        <v>1450</v>
      </c>
      <c r="B2739" t="s">
        <v>1111</v>
      </c>
      <c r="E2739" t="str">
        <f>IF(OR(E2738="&lt;/routeDistribution&gt;",E2738=""),"",IFERROR(_xlfn.CONCAT(VLOOKUP(CQ28,Route_Column!#REF!,2,FALSE),CHAR(34)," probability=",CHAR(34),1/CQ$4,CHAR(34),CHAR(47),CHAR(62)),"&lt;/routeDistribution&gt;"))</f>
        <v/>
      </c>
    </row>
    <row r="2740" spans="1:5" x14ac:dyDescent="0.25">
      <c r="A2740" t="s">
        <v>1450</v>
      </c>
      <c r="B2740" t="s">
        <v>1132</v>
      </c>
      <c r="E2740" t="str">
        <f>IF(OR(E2739="&lt;/routeDistribution&gt;",E2739=""),"",IFERROR(_xlfn.CONCAT(VLOOKUP(CQ29,Route_Column!#REF!,2,FALSE),CHAR(34)," probability=",CHAR(34),1/CQ$4,CHAR(34),CHAR(47),CHAR(62)),"&lt;/routeDistribution&gt;"))</f>
        <v/>
      </c>
    </row>
    <row r="2741" spans="1:5" x14ac:dyDescent="0.25">
      <c r="A2741" t="s">
        <v>1450</v>
      </c>
      <c r="B2741" t="s">
        <v>1137</v>
      </c>
      <c r="E2741" t="str">
        <f>IF(OR(E2740="&lt;/routeDistribution&gt;",E2740=""),"",IFERROR(_xlfn.CONCAT(VLOOKUP(CQ30,Route_Column!#REF!,2,FALSE),CHAR(34)," probability=",CHAR(34),1/CQ$4,CHAR(34),CHAR(47),CHAR(62)),"&lt;/routeDistribution&gt;"))</f>
        <v/>
      </c>
    </row>
    <row r="2742" spans="1:5" x14ac:dyDescent="0.25">
      <c r="A2742" t="s">
        <v>1450</v>
      </c>
      <c r="B2742" t="s">
        <v>1171</v>
      </c>
      <c r="E2742" t="str">
        <f>IF(OR(E2741="&lt;/routeDistribution&gt;",E2741=""),"",IFERROR(_xlfn.CONCAT(VLOOKUP(CQ31,Route_Column!#REF!,2,FALSE),CHAR(34)," probability=",CHAR(34),1/CQ$4,CHAR(34),CHAR(47),CHAR(62)),"&lt;/routeDistribution&gt;"))</f>
        <v/>
      </c>
    </row>
    <row r="2743" spans="1:5" x14ac:dyDescent="0.25">
      <c r="A2743" t="s">
        <v>1450</v>
      </c>
      <c r="B2743" t="s">
        <v>1177</v>
      </c>
      <c r="E2743" t="str">
        <f>IF(OR(E2742="&lt;/routeDistribution&gt;",E2742=""),"",IFERROR(_xlfn.CONCAT(VLOOKUP(CQ32,Route_Column!#REF!,2,FALSE),CHAR(34)," probability=",CHAR(34),1/CQ$4,CHAR(34),CHAR(47),CHAR(62)),"&lt;/routeDistribution&gt;"))</f>
        <v/>
      </c>
    </row>
    <row r="2744" spans="1:5" x14ac:dyDescent="0.25">
      <c r="A2744" t="s">
        <v>1450</v>
      </c>
      <c r="B2744" t="s">
        <v>1182</v>
      </c>
      <c r="E2744" t="str">
        <f>IF(OR(E2743="&lt;/routeDistribution&gt;",E2743=""),"",IFERROR(_xlfn.CONCAT(VLOOKUP(CQ33,Route_Column!#REF!,2,FALSE),CHAR(34)," probability=",CHAR(34),1/CQ$4,CHAR(34),CHAR(47),CHAR(62)),"&lt;/routeDistribution&gt;"))</f>
        <v/>
      </c>
    </row>
    <row r="2745" spans="1:5" x14ac:dyDescent="0.25">
      <c r="A2745" t="s">
        <v>1450</v>
      </c>
      <c r="B2745" t="s">
        <v>1184</v>
      </c>
      <c r="E2745" t="str">
        <f>IF(OR(E2744="&lt;/routeDistribution&gt;",E2744=""),"",IFERROR(_xlfn.CONCAT(VLOOKUP(CQ34,Route_Column!#REF!,2,FALSE),CHAR(34)," probability=",CHAR(34),1/CQ$4,CHAR(34),CHAR(47),CHAR(62)),"&lt;/routeDistribution&gt;"))</f>
        <v/>
      </c>
    </row>
    <row r="2746" spans="1:5" x14ac:dyDescent="0.25">
      <c r="A2746" t="s">
        <v>1450</v>
      </c>
      <c r="B2746" t="s">
        <v>1191</v>
      </c>
      <c r="E2746" t="str">
        <f>IF(OR(E2745="&lt;/routeDistribution&gt;",E2745=""),"",IFERROR(_xlfn.CONCAT(VLOOKUP(CQ35,Route_Column!#REF!,2,FALSE),CHAR(34)," probability=",CHAR(34),1/CQ$4,CHAR(34),CHAR(47),CHAR(62)),"&lt;/routeDistribution&gt;"))</f>
        <v/>
      </c>
    </row>
    <row r="2747" spans="1:5" x14ac:dyDescent="0.25">
      <c r="A2747" t="s">
        <v>1450</v>
      </c>
      <c r="B2747" t="s">
        <v>1203</v>
      </c>
      <c r="E2747" t="str">
        <f>IF(OR(E2746="&lt;/routeDistribution&gt;",E2746=""),"",IFERROR(_xlfn.CONCAT(VLOOKUP(CQ36,Route_Column!#REF!,2,FALSE),CHAR(34)," probability=",CHAR(34),1/CQ$4,CHAR(34),CHAR(47),CHAR(62)),"&lt;/routeDistribution&gt;"))</f>
        <v/>
      </c>
    </row>
    <row r="2748" spans="1:5" x14ac:dyDescent="0.25">
      <c r="A2748" t="s">
        <v>1450</v>
      </c>
      <c r="B2748" t="s">
        <v>1204</v>
      </c>
      <c r="E2748" t="str">
        <f>IF(OR(E2747="&lt;/routeDistribution&gt;",E2747=""),"",IFERROR(_xlfn.CONCAT(VLOOKUP(CQ37,Route_Column!#REF!,2,FALSE),CHAR(34)," probability=",CHAR(34),1/CQ$4,CHAR(34),CHAR(47),CHAR(62)),"&lt;/routeDistribution&gt;"))</f>
        <v/>
      </c>
    </row>
    <row r="2749" spans="1:5" x14ac:dyDescent="0.25">
      <c r="A2749" t="s">
        <v>1450</v>
      </c>
      <c r="B2749" t="s">
        <v>1213</v>
      </c>
      <c r="E2749" t="str">
        <f>IF(OR(E2748="&lt;/routeDistribution&gt;",E2748=""),"",IFERROR(_xlfn.CONCAT(VLOOKUP(CQ38,Route_Column!#REF!,2,FALSE),CHAR(34)," probability=",CHAR(34),1/CQ$4,CHAR(34),CHAR(47),CHAR(62)),"&lt;/routeDistribution&gt;"))</f>
        <v/>
      </c>
    </row>
    <row r="2750" spans="1:5" x14ac:dyDescent="0.25">
      <c r="A2750" t="s">
        <v>1450</v>
      </c>
      <c r="B2750" t="s">
        <v>1215</v>
      </c>
      <c r="E2750" t="str">
        <f>IF(OR(E2749="&lt;/routeDistribution&gt;",E2749=""),"",IFERROR(_xlfn.CONCAT(VLOOKUP(CQ39,Route_Column!#REF!,2,FALSE),CHAR(34)," probability=",CHAR(34),1/CQ$4,CHAR(34),CHAR(47),CHAR(62)),"&lt;/routeDistribution&gt;"))</f>
        <v/>
      </c>
    </row>
    <row r="2751" spans="1:5" x14ac:dyDescent="0.25">
      <c r="A2751" t="s">
        <v>1450</v>
      </c>
      <c r="B2751" t="s">
        <v>1216</v>
      </c>
      <c r="E2751" t="str">
        <f>IF(OR(E2750="&lt;/routeDistribution&gt;",E2750=""),"",IFERROR(_xlfn.CONCAT(VLOOKUP(CQ40,Route_Column!#REF!,2,FALSE),CHAR(34)," probability=",CHAR(34),1/CQ$4,CHAR(34),CHAR(47),CHAR(62)),"&lt;/routeDistribution&gt;"))</f>
        <v/>
      </c>
    </row>
    <row r="2752" spans="1:5" x14ac:dyDescent="0.25">
      <c r="A2752" t="s">
        <v>1450</v>
      </c>
      <c r="B2752" t="s">
        <v>1217</v>
      </c>
      <c r="E2752" t="str">
        <f>IF(OR(E2751="&lt;/routeDistribution&gt;",E2751=""),"",IFERROR(_xlfn.CONCAT(VLOOKUP(CQ41,Route_Column!#REF!,2,FALSE),CHAR(34)," probability=",CHAR(34),1/CQ$4,CHAR(34),CHAR(47),CHAR(62)),"&lt;/routeDistribution&gt;"))</f>
        <v/>
      </c>
    </row>
    <row r="2753" spans="1:5" x14ac:dyDescent="0.25">
      <c r="A2753" t="s">
        <v>1450</v>
      </c>
      <c r="B2753" t="s">
        <v>1218</v>
      </c>
      <c r="E2753" t="str">
        <f>IF(OR(E2752="&lt;/routeDistribution&gt;",E2752=""),"",IFERROR(_xlfn.CONCAT(VLOOKUP(CQ42,Route_Column!#REF!,2,FALSE),CHAR(34)," probability=",CHAR(34),1/CQ$4,CHAR(34),CHAR(47),CHAR(62)),"&lt;/routeDistribution&gt;"))</f>
        <v/>
      </c>
    </row>
    <row r="2754" spans="1:5" x14ac:dyDescent="0.25">
      <c r="A2754" t="s">
        <v>1450</v>
      </c>
      <c r="B2754" t="s">
        <v>1220</v>
      </c>
      <c r="E2754" t="str">
        <f>IF(OR(E2753="&lt;/routeDistribution&gt;",E2753=""),"",IFERROR(_xlfn.CONCAT(VLOOKUP(CQ43,Route_Column!#REF!,2,FALSE),CHAR(34)," probability=",CHAR(34),1/CQ$4,CHAR(34),CHAR(47),CHAR(62)),"&lt;/routeDistribution&gt;"))</f>
        <v/>
      </c>
    </row>
    <row r="2755" spans="1:5" x14ac:dyDescent="0.25">
      <c r="A2755" t="s">
        <v>1450</v>
      </c>
      <c r="B2755" t="s">
        <v>1225</v>
      </c>
      <c r="E2755" t="str">
        <f>IF(OR(E2754="&lt;/routeDistribution&gt;",E2754=""),"",IFERROR(_xlfn.CONCAT(VLOOKUP(CQ44,Route_Column!#REF!,2,FALSE),CHAR(34)," probability=",CHAR(34),1/CQ$4,CHAR(34),CHAR(47),CHAR(62)),"&lt;/routeDistribution&gt;"))</f>
        <v/>
      </c>
    </row>
    <row r="2756" spans="1:5" x14ac:dyDescent="0.25">
      <c r="A2756" t="s">
        <v>1450</v>
      </c>
      <c r="B2756" t="s">
        <v>1228</v>
      </c>
      <c r="E2756" t="str">
        <f>IF(OR(E2755="&lt;/routeDistribution&gt;",E2755=""),"",IFERROR(_xlfn.CONCAT(VLOOKUP(CQ45,Route_Column!#REF!,2,FALSE),CHAR(34)," probability=",CHAR(34),1/CQ$4,CHAR(34),CHAR(47),CHAR(62)),"&lt;/routeDistribution&gt;"))</f>
        <v/>
      </c>
    </row>
    <row r="2757" spans="1:5" x14ac:dyDescent="0.25">
      <c r="A2757" t="s">
        <v>1450</v>
      </c>
      <c r="B2757" t="s">
        <v>1229</v>
      </c>
      <c r="E2757" t="str">
        <f>IF(OR(E2756="&lt;/routeDistribution&gt;",E2756=""),"",IFERROR(_xlfn.CONCAT(VLOOKUP(CQ46,Route_Column!#REF!,2,FALSE),CHAR(34)," probability=",CHAR(34),1/CQ$4,CHAR(34),CHAR(47),CHAR(62)),"&lt;/routeDistribution&gt;"))</f>
        <v/>
      </c>
    </row>
    <row r="2758" spans="1:5" x14ac:dyDescent="0.25">
      <c r="A2758" t="s">
        <v>1450</v>
      </c>
      <c r="B2758" t="s">
        <v>1230</v>
      </c>
      <c r="E2758" t="str">
        <f>IF(OR(E2757="&lt;/routeDistribution&gt;",E2757=""),"",IFERROR(_xlfn.CONCAT(VLOOKUP(CQ47,Route_Column!#REF!,2,FALSE),CHAR(34)," probability=",CHAR(34),1/CQ$4,CHAR(34),CHAR(47),CHAR(62)),"&lt;/routeDistribution&gt;"))</f>
        <v/>
      </c>
    </row>
    <row r="2759" spans="1:5" x14ac:dyDescent="0.25">
      <c r="A2759" t="s">
        <v>1450</v>
      </c>
      <c r="B2759" t="s">
        <v>1253</v>
      </c>
      <c r="E2759" t="str">
        <f>IF(OR(E2758="&lt;/routeDistribution&gt;",E2758=""),"",IFERROR(_xlfn.CONCAT(VLOOKUP(CQ48,Route_Column!#REF!,2,FALSE),CHAR(34)," probability=",CHAR(34),1/CQ$4,CHAR(34),CHAR(47),CHAR(62)),"&lt;/routeDistribution&gt;"))</f>
        <v/>
      </c>
    </row>
    <row r="2760" spans="1:5" x14ac:dyDescent="0.25">
      <c r="A2760" t="s">
        <v>2246</v>
      </c>
      <c r="B2760" t="s">
        <v>1177</v>
      </c>
      <c r="E2760" t="str">
        <f>IF(OR(E2759="&lt;/routeDistribution&gt;",E2759=""),"",IFERROR(_xlfn.CONCAT(VLOOKUP(CQ49,Route_Column!#REF!,2,FALSE),CHAR(34)," probability=",CHAR(34),1/CQ$4,CHAR(34),CHAR(47),CHAR(62)),"&lt;/routeDistribution&gt;"))</f>
        <v/>
      </c>
    </row>
    <row r="2761" spans="1:5" x14ac:dyDescent="0.25">
      <c r="A2761" t="s">
        <v>2246</v>
      </c>
      <c r="B2761" t="s">
        <v>1203</v>
      </c>
      <c r="E2761" t="str">
        <f>IF(OR(E2760="&lt;/routeDistribution&gt;",E2760=""),"",IFERROR(_xlfn.CONCAT(VLOOKUP(CQ50,Route_Column!#REF!,2,FALSE),CHAR(34)," probability=",CHAR(34),1/CQ$4,CHAR(34),CHAR(47),CHAR(62)),"&lt;/routeDistribution&gt;"))</f>
        <v/>
      </c>
    </row>
    <row r="2762" spans="1:5" x14ac:dyDescent="0.25">
      <c r="A2762" t="s">
        <v>2246</v>
      </c>
      <c r="B2762" t="s">
        <v>1216</v>
      </c>
      <c r="E2762" t="str">
        <f>IF(OR(E2761="&lt;/routeDistribution&gt;",E2761=""),"",IFERROR(_xlfn.CONCAT(VLOOKUP(CQ51,Route_Column!#REF!,2,FALSE),CHAR(34)," probability=",CHAR(34),1/CQ$4,CHAR(34),CHAR(47),CHAR(62)),"&lt;/routeDistribution&gt;"))</f>
        <v/>
      </c>
    </row>
    <row r="2763" spans="1:5" x14ac:dyDescent="0.25">
      <c r="A2763" t="s">
        <v>2246</v>
      </c>
      <c r="B2763" t="s">
        <v>1217</v>
      </c>
      <c r="E2763" t="str">
        <f>IF(OR(E2762="&lt;/routeDistribution&gt;",E2762=""),"",IFERROR(_xlfn.CONCAT(VLOOKUP(CQ52,Route_Column!#REF!,2,FALSE),CHAR(34)," probability=",CHAR(34),1/CQ$4,CHAR(34),CHAR(47),CHAR(62)),"&lt;/routeDistribution&gt;"))</f>
        <v/>
      </c>
    </row>
    <row r="2764" spans="1:5" x14ac:dyDescent="0.25">
      <c r="A2764" t="s">
        <v>2246</v>
      </c>
      <c r="B2764" t="s">
        <v>1220</v>
      </c>
      <c r="E2764" t="str">
        <f>IF(OR(E2763="&lt;/routeDistribution&gt;",E2763=""),"",IFERROR(_xlfn.CONCAT(VLOOKUP(CQ53,Route_Column!#REF!,2,FALSE),CHAR(34)," probability=",CHAR(34),1/CQ$4,CHAR(34),CHAR(47),CHAR(62)),"&lt;/routeDistribution&gt;"))</f>
        <v/>
      </c>
    </row>
    <row r="2765" spans="1:5" x14ac:dyDescent="0.25">
      <c r="A2765" t="s">
        <v>2246</v>
      </c>
      <c r="B2765" t="s">
        <v>1229</v>
      </c>
      <c r="E2765" t="str">
        <f>IF(OR(E2764="&lt;/routeDistribution&gt;",E2764=""),"",IFERROR(_xlfn.CONCAT(VLOOKUP(CQ54,Route_Column!#REF!,2,FALSE),CHAR(34)," probability=",CHAR(34),1/CQ$4,CHAR(34),CHAR(47),CHAR(62)),"&lt;/routeDistribution&gt;"))</f>
        <v/>
      </c>
    </row>
    <row r="2766" spans="1:5" x14ac:dyDescent="0.25">
      <c r="A2766" s="11" t="s">
        <v>1451</v>
      </c>
      <c r="B2766" t="s">
        <v>1090</v>
      </c>
      <c r="E2766" t="str">
        <f>IF(OR(E2765="&lt;/routeDistribution&gt;",E2765=""),"",IFERROR(_xlfn.CONCAT(VLOOKUP(CQ55,Route_Column!#REF!,2,FALSE),CHAR(34)," probability=",CHAR(34),1/CQ$4,CHAR(34),CHAR(47),CHAR(62)),"&lt;/routeDistribution&gt;"))</f>
        <v/>
      </c>
    </row>
    <row r="2767" spans="1:5" x14ac:dyDescent="0.25">
      <c r="A2767" t="s">
        <v>1451</v>
      </c>
      <c r="B2767" t="s">
        <v>1097</v>
      </c>
      <c r="E2767" t="str">
        <f>IF(OR(E2766="&lt;/routeDistribution&gt;",E2766=""),"",IFERROR(_xlfn.CONCAT(VLOOKUP(CQ56,Route_Column!#REF!,2,FALSE),CHAR(34)," probability=",CHAR(34),1/CQ$4,CHAR(34),CHAR(47),CHAR(62)),"&lt;/routeDistribution&gt;"))</f>
        <v/>
      </c>
    </row>
    <row r="2768" spans="1:5" x14ac:dyDescent="0.25">
      <c r="A2768" t="s">
        <v>1451</v>
      </c>
      <c r="B2768" t="s">
        <v>1111</v>
      </c>
      <c r="E2768" t="str">
        <f>IF(OR(E2767="&lt;/routeDistribution&gt;",E2767=""),"",IFERROR(_xlfn.CONCAT(VLOOKUP(CQ57,Route_Column!#REF!,2,FALSE),CHAR(34)," probability=",CHAR(34),1/CQ$4,CHAR(34),CHAR(47),CHAR(62)),"&lt;/routeDistribution&gt;"))</f>
        <v/>
      </c>
    </row>
    <row r="2769" spans="1:5" x14ac:dyDescent="0.25">
      <c r="A2769" t="s">
        <v>1451</v>
      </c>
      <c r="B2769" t="s">
        <v>1132</v>
      </c>
      <c r="E2769" t="str">
        <f>IF(OR(E2768="&lt;/routeDistribution&gt;",E2768=""),"",IFERROR(_xlfn.CONCAT(VLOOKUP(CQ58,Route_Column!#REF!,2,FALSE),CHAR(34)," probability=",CHAR(34),1/CQ$4,CHAR(34),CHAR(47),CHAR(62)),"&lt;/routeDistribution&gt;"))</f>
        <v/>
      </c>
    </row>
    <row r="2770" spans="1:5" x14ac:dyDescent="0.25">
      <c r="A2770" t="s">
        <v>1451</v>
      </c>
      <c r="B2770" t="s">
        <v>1137</v>
      </c>
      <c r="E2770" t="str">
        <f>IF(OR(E2769="&lt;/routeDistribution&gt;",E2769=""),"",IFERROR(_xlfn.CONCAT(VLOOKUP(CQ59,Route_Column!#REF!,2,FALSE),CHAR(34)," probability=",CHAR(34),1/CQ$4,CHAR(34),CHAR(47),CHAR(62)),"&lt;/routeDistribution&gt;"))</f>
        <v/>
      </c>
    </row>
    <row r="2771" spans="1:5" x14ac:dyDescent="0.25">
      <c r="A2771" t="s">
        <v>1451</v>
      </c>
      <c r="B2771" t="s">
        <v>1171</v>
      </c>
      <c r="E2771" t="str">
        <f>IF(OR(E2770="&lt;/routeDistribution&gt;",E2770=""),"",IFERROR(_xlfn.CONCAT(VLOOKUP(CQ60,Route_Column!#REF!,2,FALSE),CHAR(34)," probability=",CHAR(34),1/CQ$4,CHAR(34),CHAR(47),CHAR(62)),"&lt;/routeDistribution&gt;"))</f>
        <v/>
      </c>
    </row>
    <row r="2772" spans="1:5" x14ac:dyDescent="0.25">
      <c r="A2772" t="s">
        <v>1451</v>
      </c>
      <c r="B2772" t="s">
        <v>1177</v>
      </c>
      <c r="E2772" t="str">
        <f>IF(OR(E2771="&lt;/routeDistribution&gt;",E2771=""),"",IFERROR(_xlfn.CONCAT(VLOOKUP(CQ61,Route_Column!#REF!,2,FALSE),CHAR(34)," probability=",CHAR(34),1/CQ$4,CHAR(34),CHAR(47),CHAR(62)),"&lt;/routeDistribution&gt;"))</f>
        <v/>
      </c>
    </row>
    <row r="2773" spans="1:5" x14ac:dyDescent="0.25">
      <c r="A2773" t="s">
        <v>1451</v>
      </c>
      <c r="B2773" t="s">
        <v>1182</v>
      </c>
      <c r="E2773" t="str">
        <f>IF(OR(E2772="&lt;/routeDistribution&gt;",E2772=""),"",IFERROR(_xlfn.CONCAT(VLOOKUP(CQ62,Route_Column!#REF!,2,FALSE),CHAR(34)," probability=",CHAR(34),1/CQ$4,CHAR(34),CHAR(47),CHAR(62)),"&lt;/routeDistribution&gt;"))</f>
        <v/>
      </c>
    </row>
    <row r="2774" spans="1:5" x14ac:dyDescent="0.25">
      <c r="A2774" t="s">
        <v>1451</v>
      </c>
      <c r="B2774" t="s">
        <v>1184</v>
      </c>
      <c r="E2774" t="str">
        <f>IF(OR(E2773="&lt;/routeDistribution&gt;",E2773=""),"",IFERROR(_xlfn.CONCAT(VLOOKUP(CQ63,Route_Column!#REF!,2,FALSE),CHAR(34)," probability=",CHAR(34),1/CQ$4,CHAR(34),CHAR(47),CHAR(62)),"&lt;/routeDistribution&gt;"))</f>
        <v/>
      </c>
    </row>
    <row r="2775" spans="1:5" x14ac:dyDescent="0.25">
      <c r="A2775" t="s">
        <v>1451</v>
      </c>
      <c r="B2775" t="s">
        <v>1191</v>
      </c>
      <c r="E2775" t="s">
        <v>2686</v>
      </c>
    </row>
    <row r="2776" spans="1:5" x14ac:dyDescent="0.25">
      <c r="A2776" t="s">
        <v>1451</v>
      </c>
      <c r="B2776" t="s">
        <v>1203</v>
      </c>
    </row>
    <row r="2777" spans="1:5" x14ac:dyDescent="0.25">
      <c r="A2777" t="s">
        <v>1451</v>
      </c>
      <c r="B2777" t="s">
        <v>1204</v>
      </c>
    </row>
    <row r="2778" spans="1:5" x14ac:dyDescent="0.25">
      <c r="A2778" t="s">
        <v>1451</v>
      </c>
      <c r="B2778" t="s">
        <v>1213</v>
      </c>
      <c r="E2778" t="str">
        <f>_xlfn.CONCAT($E$1,CP$2,$F$1)</f>
        <v>&lt;routeDistribution id="Lancaster-SHEDWICK-35th-WB-2003-RouteProbe"&gt;</v>
      </c>
    </row>
    <row r="2779" spans="1:5" x14ac:dyDescent="0.25">
      <c r="A2779" t="s">
        <v>1451</v>
      </c>
      <c r="B2779" t="s">
        <v>1215</v>
      </c>
      <c r="E2779" t="str">
        <f>IF(OR(E2778="&lt;/routeDistribution&gt;",E2778=""),"",IFERROR(_xlfn.CONCAT(VLOOKUP(CP5,Route_Column!#REF!,2,FALSE),CHAR(34)," probability=",CHAR(34),1/CP$4,CHAR(34),CHAR(47),CHAR(62)),"&lt;/routeDistribution&gt;"))</f>
        <v>&lt;/routeDistribution&gt;</v>
      </c>
    </row>
    <row r="2780" spans="1:5" x14ac:dyDescent="0.25">
      <c r="A2780" t="s">
        <v>1451</v>
      </c>
      <c r="B2780" t="s">
        <v>1216</v>
      </c>
      <c r="E2780" t="str">
        <f>IF(OR(E2779="&lt;/routeDistribution&gt;",E2779=""),"",IFERROR(_xlfn.CONCAT(VLOOKUP(CP6,Route_Column!#REF!,2,FALSE),CHAR(34)," probability=",CHAR(34),1/CP$4,CHAR(34),CHAR(47),CHAR(62)),"&lt;/routeDistribution&gt;"))</f>
        <v/>
      </c>
    </row>
    <row r="2781" spans="1:5" x14ac:dyDescent="0.25">
      <c r="A2781" t="s">
        <v>1451</v>
      </c>
      <c r="B2781" t="s">
        <v>1217</v>
      </c>
      <c r="E2781" t="str">
        <f>IF(OR(E2780="&lt;/routeDistribution&gt;",E2780=""),"",IFERROR(_xlfn.CONCAT(VLOOKUP(CP7,Route_Column!#REF!,2,FALSE),CHAR(34)," probability=",CHAR(34),1/CP$4,CHAR(34),CHAR(47),CHAR(62)),"&lt;/routeDistribution&gt;"))</f>
        <v/>
      </c>
    </row>
    <row r="2782" spans="1:5" x14ac:dyDescent="0.25">
      <c r="A2782" t="s">
        <v>1451</v>
      </c>
      <c r="B2782" t="s">
        <v>1218</v>
      </c>
      <c r="E2782" t="str">
        <f>IF(OR(E2781="&lt;/routeDistribution&gt;",E2781=""),"",IFERROR(_xlfn.CONCAT(VLOOKUP(CP8,Route_Column!#REF!,2,FALSE),CHAR(34)," probability=",CHAR(34),1/CP$4,CHAR(34),CHAR(47),CHAR(62)),"&lt;/routeDistribution&gt;"))</f>
        <v/>
      </c>
    </row>
    <row r="2783" spans="1:5" x14ac:dyDescent="0.25">
      <c r="A2783" t="s">
        <v>1451</v>
      </c>
      <c r="B2783" t="s">
        <v>1220</v>
      </c>
      <c r="E2783" t="str">
        <f>IF(OR(E2782="&lt;/routeDistribution&gt;",E2782=""),"",IFERROR(_xlfn.CONCAT(VLOOKUP(CP9,Route_Column!#REF!,2,FALSE),CHAR(34)," probability=",CHAR(34),1/CP$4,CHAR(34),CHAR(47),CHAR(62)),"&lt;/routeDistribution&gt;"))</f>
        <v/>
      </c>
    </row>
    <row r="2784" spans="1:5" x14ac:dyDescent="0.25">
      <c r="A2784" t="s">
        <v>1451</v>
      </c>
      <c r="B2784" t="s">
        <v>1225</v>
      </c>
      <c r="E2784" t="str">
        <f>IF(OR(E2783="&lt;/routeDistribution&gt;",E2783=""),"",IFERROR(_xlfn.CONCAT(VLOOKUP(CP10,Route_Column!#REF!,2,FALSE),CHAR(34)," probability=",CHAR(34),1/CP$4,CHAR(34),CHAR(47),CHAR(62)),"&lt;/routeDistribution&gt;"))</f>
        <v/>
      </c>
    </row>
    <row r="2785" spans="1:5" x14ac:dyDescent="0.25">
      <c r="A2785" t="s">
        <v>1451</v>
      </c>
      <c r="B2785" t="s">
        <v>1228</v>
      </c>
      <c r="E2785" t="str">
        <f>IF(OR(E2784="&lt;/routeDistribution&gt;",E2784=""),"",IFERROR(_xlfn.CONCAT(VLOOKUP(CP11,Route_Column!#REF!,2,FALSE),CHAR(34)," probability=",CHAR(34),1/CP$4,CHAR(34),CHAR(47),CHAR(62)),"&lt;/routeDistribution&gt;"))</f>
        <v/>
      </c>
    </row>
    <row r="2786" spans="1:5" x14ac:dyDescent="0.25">
      <c r="A2786" t="s">
        <v>1451</v>
      </c>
      <c r="B2786" t="s">
        <v>1229</v>
      </c>
      <c r="E2786" t="str">
        <f>IF(OR(E2785="&lt;/routeDistribution&gt;",E2785=""),"",IFERROR(_xlfn.CONCAT(VLOOKUP(CP12,Route_Column!#REF!,2,FALSE),CHAR(34)," probability=",CHAR(34),1/CP$4,CHAR(34),CHAR(47),CHAR(62)),"&lt;/routeDistribution&gt;"))</f>
        <v/>
      </c>
    </row>
    <row r="2787" spans="1:5" x14ac:dyDescent="0.25">
      <c r="A2787" t="s">
        <v>1451</v>
      </c>
      <c r="B2787" t="s">
        <v>1230</v>
      </c>
      <c r="E2787" t="str">
        <f>IF(OR(E2786="&lt;/routeDistribution&gt;",E2786=""),"",IFERROR(_xlfn.CONCAT(VLOOKUP(CP13,Route_Column!#REF!,2,FALSE),CHAR(34)," probability=",CHAR(34),1/CP$4,CHAR(34),CHAR(47),CHAR(62)),"&lt;/routeDistribution&gt;"))</f>
        <v/>
      </c>
    </row>
    <row r="2788" spans="1:5" x14ac:dyDescent="0.25">
      <c r="A2788" t="s">
        <v>1451</v>
      </c>
      <c r="B2788" t="s">
        <v>1253</v>
      </c>
      <c r="E2788" t="str">
        <f>IF(OR(E2787="&lt;/routeDistribution&gt;",E2787=""),"",IFERROR(_xlfn.CONCAT(VLOOKUP(CP14,Route_Column!#REF!,2,FALSE),CHAR(34)," probability=",CHAR(34),1/CP$4,CHAR(34),CHAR(47),CHAR(62)),"&lt;/routeDistribution&gt;"))</f>
        <v/>
      </c>
    </row>
    <row r="2789" spans="1:5" x14ac:dyDescent="0.25">
      <c r="A2789" t="s">
        <v>2086</v>
      </c>
      <c r="B2789" t="s">
        <v>1139</v>
      </c>
      <c r="E2789" t="str">
        <f>IF(OR(E2788="&lt;/routeDistribution&gt;",E2788=""),"",IFERROR(_xlfn.CONCAT(VLOOKUP(CP15,Route_Column!#REF!,2,FALSE),CHAR(34)," probability=",CHAR(34),1/CP$4,CHAR(34),CHAR(47),CHAR(62)),"&lt;/routeDistribution&gt;"))</f>
        <v/>
      </c>
    </row>
    <row r="2790" spans="1:5" x14ac:dyDescent="0.25">
      <c r="A2790" t="s">
        <v>2086</v>
      </c>
      <c r="B2790" t="s">
        <v>1140</v>
      </c>
      <c r="E2790" t="str">
        <f>IF(OR(E2789="&lt;/routeDistribution&gt;",E2789=""),"",IFERROR(_xlfn.CONCAT(VLOOKUP(CP16,Route_Column!#REF!,2,FALSE),CHAR(34)," probability=",CHAR(34),1/CP$4,CHAR(34),CHAR(47),CHAR(62)),"&lt;/routeDistribution&gt;"))</f>
        <v/>
      </c>
    </row>
    <row r="2791" spans="1:5" x14ac:dyDescent="0.25">
      <c r="A2791" t="s">
        <v>2086</v>
      </c>
      <c r="B2791" t="s">
        <v>1150</v>
      </c>
      <c r="E2791" t="str">
        <f>IF(OR(E2790="&lt;/routeDistribution&gt;",E2790=""),"",IFERROR(_xlfn.CONCAT(VLOOKUP(CP17,Route_Column!#REF!,2,FALSE),CHAR(34)," probability=",CHAR(34),1/CP$4,CHAR(34),CHAR(47),CHAR(62)),"&lt;/routeDistribution&gt;"))</f>
        <v/>
      </c>
    </row>
    <row r="2792" spans="1:5" x14ac:dyDescent="0.25">
      <c r="A2792" t="s">
        <v>2086</v>
      </c>
      <c r="B2792" t="s">
        <v>1157</v>
      </c>
      <c r="E2792" t="str">
        <f>IF(OR(E2791="&lt;/routeDistribution&gt;",E2791=""),"",IFERROR(_xlfn.CONCAT(VLOOKUP(CP18,Route_Column!#REF!,2,FALSE),CHAR(34)," probability=",CHAR(34),1/CP$4,CHAR(34),CHAR(47),CHAR(62)),"&lt;/routeDistribution&gt;"))</f>
        <v/>
      </c>
    </row>
    <row r="2793" spans="1:5" x14ac:dyDescent="0.25">
      <c r="A2793" t="s">
        <v>2086</v>
      </c>
      <c r="B2793" t="s">
        <v>1214</v>
      </c>
      <c r="E2793" t="str">
        <f>IF(OR(E2792="&lt;/routeDistribution&gt;",E2792=""),"",IFERROR(_xlfn.CONCAT(VLOOKUP(CP19,Route_Column!#REF!,2,FALSE),CHAR(34)," probability=",CHAR(34),1/CP$4,CHAR(34),CHAR(47),CHAR(62)),"&lt;/routeDistribution&gt;"))</f>
        <v/>
      </c>
    </row>
    <row r="2794" spans="1:5" x14ac:dyDescent="0.25">
      <c r="A2794" t="s">
        <v>2086</v>
      </c>
      <c r="B2794" t="s">
        <v>1215</v>
      </c>
      <c r="E2794" t="str">
        <f>IF(OR(E2793="&lt;/routeDistribution&gt;",E2793=""),"",IFERROR(_xlfn.CONCAT(VLOOKUP(CP20,Route_Column!#REF!,2,FALSE),CHAR(34)," probability=",CHAR(34),1/CP$4,CHAR(34),CHAR(47),CHAR(62)),"&lt;/routeDistribution&gt;"))</f>
        <v/>
      </c>
    </row>
    <row r="2795" spans="1:5" x14ac:dyDescent="0.25">
      <c r="A2795" t="s">
        <v>2086</v>
      </c>
      <c r="B2795" t="s">
        <v>1226</v>
      </c>
      <c r="E2795" t="str">
        <f>IF(OR(E2794="&lt;/routeDistribution&gt;",E2794=""),"",IFERROR(_xlfn.CONCAT(VLOOKUP(CP21,Route_Column!#REF!,2,FALSE),CHAR(34)," probability=",CHAR(34),1/CP$4,CHAR(34),CHAR(47),CHAR(62)),"&lt;/routeDistribution&gt;"))</f>
        <v/>
      </c>
    </row>
    <row r="2796" spans="1:5" x14ac:dyDescent="0.25">
      <c r="A2796" t="s">
        <v>2086</v>
      </c>
      <c r="B2796" t="s">
        <v>1233</v>
      </c>
      <c r="E2796" t="str">
        <f>IF(OR(E2795="&lt;/routeDistribution&gt;",E2795=""),"",IFERROR(_xlfn.CONCAT(VLOOKUP(CP22,Route_Column!#REF!,2,FALSE),CHAR(34)," probability=",CHAR(34),1/CP$4,CHAR(34),CHAR(47),CHAR(62)),"&lt;/routeDistribution&gt;"))</f>
        <v/>
      </c>
    </row>
    <row r="2797" spans="1:5" x14ac:dyDescent="0.25">
      <c r="A2797" t="s">
        <v>2086</v>
      </c>
      <c r="B2797" t="s">
        <v>1254</v>
      </c>
      <c r="E2797" t="str">
        <f>IF(OR(E2796="&lt;/routeDistribution&gt;",E2796=""),"",IFERROR(_xlfn.CONCAT(VLOOKUP(CP23,Route_Column!#REF!,2,FALSE),CHAR(34)," probability=",CHAR(34),1/CP$4,CHAR(34),CHAR(47),CHAR(62)),"&lt;/routeDistribution&gt;"))</f>
        <v/>
      </c>
    </row>
    <row r="2798" spans="1:5" x14ac:dyDescent="0.25">
      <c r="A2798" t="s">
        <v>2135</v>
      </c>
      <c r="B2798" t="s">
        <v>1142</v>
      </c>
      <c r="E2798" t="str">
        <f>IF(OR(E2797="&lt;/routeDistribution&gt;",E2797=""),"",IFERROR(_xlfn.CONCAT(VLOOKUP(CP24,Route_Column!#REF!,2,FALSE),CHAR(34)," probability=",CHAR(34),1/CP$4,CHAR(34),CHAR(47),CHAR(62)),"&lt;/routeDistribution&gt;"))</f>
        <v/>
      </c>
    </row>
    <row r="2799" spans="1:5" x14ac:dyDescent="0.25">
      <c r="A2799" t="s">
        <v>2135</v>
      </c>
      <c r="B2799" t="s">
        <v>1148</v>
      </c>
      <c r="E2799" t="str">
        <f>IF(OR(E2798="&lt;/routeDistribution&gt;",E2798=""),"",IFERROR(_xlfn.CONCAT(VLOOKUP(CP25,Route_Column!#REF!,2,FALSE),CHAR(34)," probability=",CHAR(34),1/CP$4,CHAR(34),CHAR(47),CHAR(62)),"&lt;/routeDistribution&gt;"))</f>
        <v/>
      </c>
    </row>
    <row r="2800" spans="1:5" x14ac:dyDescent="0.25">
      <c r="A2800" t="s">
        <v>2135</v>
      </c>
      <c r="B2800" t="s">
        <v>1201</v>
      </c>
      <c r="E2800" t="str">
        <f>IF(OR(E2799="&lt;/routeDistribution&gt;",E2799=""),"",IFERROR(_xlfn.CONCAT(VLOOKUP(CP26,Route_Column!#REF!,2,FALSE),CHAR(34)," probability=",CHAR(34),1/CP$4,CHAR(34),CHAR(47),CHAR(62)),"&lt;/routeDistribution&gt;"))</f>
        <v/>
      </c>
    </row>
    <row r="2801" spans="1:5" x14ac:dyDescent="0.25">
      <c r="A2801" t="s">
        <v>2135</v>
      </c>
      <c r="B2801" t="s">
        <v>1202</v>
      </c>
      <c r="E2801" t="str">
        <f>IF(OR(E2800="&lt;/routeDistribution&gt;",E2800=""),"",IFERROR(_xlfn.CONCAT(VLOOKUP(CP27,Route_Column!#REF!,2,FALSE),CHAR(34)," probability=",CHAR(34),1/CP$4,CHAR(34),CHAR(47),CHAR(62)),"&lt;/routeDistribution&gt;"))</f>
        <v/>
      </c>
    </row>
    <row r="2802" spans="1:5" x14ac:dyDescent="0.25">
      <c r="A2802" t="s">
        <v>2135</v>
      </c>
      <c r="B2802" t="s">
        <v>1206</v>
      </c>
      <c r="E2802" t="str">
        <f>IF(OR(E2801="&lt;/routeDistribution&gt;",E2801=""),"",IFERROR(_xlfn.CONCAT(VLOOKUP(CP28,Route_Column!#REF!,2,FALSE),CHAR(34)," probability=",CHAR(34),1/CP$4,CHAR(34),CHAR(47),CHAR(62)),"&lt;/routeDistribution&gt;"))</f>
        <v/>
      </c>
    </row>
    <row r="2803" spans="1:5" x14ac:dyDescent="0.25">
      <c r="A2803" t="s">
        <v>2135</v>
      </c>
      <c r="B2803" t="s">
        <v>1207</v>
      </c>
      <c r="E2803" t="str">
        <f>IF(OR(E2802="&lt;/routeDistribution&gt;",E2802=""),"",IFERROR(_xlfn.CONCAT(VLOOKUP(CP29,Route_Column!#REF!,2,FALSE),CHAR(34)," probability=",CHAR(34),1/CP$4,CHAR(34),CHAR(47),CHAR(62)),"&lt;/routeDistribution&gt;"))</f>
        <v/>
      </c>
    </row>
    <row r="2804" spans="1:5" x14ac:dyDescent="0.25">
      <c r="A2804" t="s">
        <v>2317</v>
      </c>
      <c r="B2804" t="s">
        <v>1218</v>
      </c>
      <c r="E2804" t="str">
        <f>IF(OR(E2803="&lt;/routeDistribution&gt;",E2803=""),"",IFERROR(_xlfn.CONCAT(VLOOKUP(CP30,Route_Column!#REF!,2,FALSE),CHAR(34)," probability=",CHAR(34),1/CP$4,CHAR(34),CHAR(47),CHAR(62)),"&lt;/routeDistribution&gt;"))</f>
        <v/>
      </c>
    </row>
    <row r="2805" spans="1:5" x14ac:dyDescent="0.25">
      <c r="A2805" t="s">
        <v>2317</v>
      </c>
      <c r="B2805" t="s">
        <v>1219</v>
      </c>
      <c r="E2805" t="str">
        <f>IF(OR(E2804="&lt;/routeDistribution&gt;",E2804=""),"",IFERROR(_xlfn.CONCAT(VLOOKUP(CP31,Route_Column!#REF!,2,FALSE),CHAR(34)," probability=",CHAR(34),1/CP$4,CHAR(34),CHAR(47),CHAR(62)),"&lt;/routeDistribution&gt;"))</f>
        <v/>
      </c>
    </row>
    <row r="2806" spans="1:5" x14ac:dyDescent="0.25">
      <c r="A2806" t="s">
        <v>2318</v>
      </c>
      <c r="B2806" t="s">
        <v>1218</v>
      </c>
      <c r="E2806" t="str">
        <f>IF(OR(E2805="&lt;/routeDistribution&gt;",E2805=""),"",IFERROR(_xlfn.CONCAT(VLOOKUP(CP32,Route_Column!#REF!,2,FALSE),CHAR(34)," probability=",CHAR(34),1/CP$4,CHAR(34),CHAR(47),CHAR(62)),"&lt;/routeDistribution&gt;"))</f>
        <v/>
      </c>
    </row>
    <row r="2807" spans="1:5" x14ac:dyDescent="0.25">
      <c r="A2807" t="s">
        <v>2318</v>
      </c>
      <c r="B2807" t="s">
        <v>1219</v>
      </c>
      <c r="E2807" t="str">
        <f>IF(OR(E2806="&lt;/routeDistribution&gt;",E2806=""),"",IFERROR(_xlfn.CONCAT(VLOOKUP(CP33,Route_Column!#REF!,2,FALSE),CHAR(34)," probability=",CHAR(34),1/CP$4,CHAR(34),CHAR(47),CHAR(62)),"&lt;/routeDistribution&gt;"))</f>
        <v/>
      </c>
    </row>
    <row r="2808" spans="1:5" x14ac:dyDescent="0.25">
      <c r="A2808" t="s">
        <v>1789</v>
      </c>
      <c r="B2808" t="s">
        <v>1107</v>
      </c>
      <c r="E2808" t="str">
        <f>IF(OR(E2807="&lt;/routeDistribution&gt;",E2807=""),"",IFERROR(_xlfn.CONCAT(VLOOKUP(CP34,Route_Column!#REF!,2,FALSE),CHAR(34)," probability=",CHAR(34),1/CP$4,CHAR(34),CHAR(47),CHAR(62)),"&lt;/routeDistribution&gt;"))</f>
        <v/>
      </c>
    </row>
    <row r="2809" spans="1:5" x14ac:dyDescent="0.25">
      <c r="A2809" t="s">
        <v>1789</v>
      </c>
      <c r="B2809" t="s">
        <v>1107</v>
      </c>
      <c r="E2809" t="str">
        <f>IF(OR(E2808="&lt;/routeDistribution&gt;",E2808=""),"",IFERROR(_xlfn.CONCAT(VLOOKUP(CP35,Route_Column!#REF!,2,FALSE),CHAR(34)," probability=",CHAR(34),1/CP$4,CHAR(34),CHAR(47),CHAR(62)),"&lt;/routeDistribution&gt;"))</f>
        <v/>
      </c>
    </row>
    <row r="2810" spans="1:5" x14ac:dyDescent="0.25">
      <c r="A2810" t="s">
        <v>1789</v>
      </c>
      <c r="B2810" t="s">
        <v>1142</v>
      </c>
      <c r="E2810" t="str">
        <f>IF(OR(E2809="&lt;/routeDistribution&gt;",E2809=""),"",IFERROR(_xlfn.CONCAT(VLOOKUP(CP36,Route_Column!#REF!,2,FALSE),CHAR(34)," probability=",CHAR(34),1/CP$4,CHAR(34),CHAR(47),CHAR(62)),"&lt;/routeDistribution&gt;"))</f>
        <v/>
      </c>
    </row>
    <row r="2811" spans="1:5" x14ac:dyDescent="0.25">
      <c r="A2811" t="s">
        <v>1789</v>
      </c>
      <c r="B2811" t="s">
        <v>1148</v>
      </c>
      <c r="E2811" t="str">
        <f>IF(OR(E2810="&lt;/routeDistribution&gt;",E2810=""),"",IFERROR(_xlfn.CONCAT(VLOOKUP(CP37,Route_Column!#REF!,2,FALSE),CHAR(34)," probability=",CHAR(34),1/CP$4,CHAR(34),CHAR(47),CHAR(62)),"&lt;/routeDistribution&gt;"))</f>
        <v/>
      </c>
    </row>
    <row r="2812" spans="1:5" x14ac:dyDescent="0.25">
      <c r="A2812" t="s">
        <v>1789</v>
      </c>
      <c r="B2812" t="s">
        <v>1168</v>
      </c>
      <c r="E2812" t="str">
        <f>IF(OR(E2811="&lt;/routeDistribution&gt;",E2811=""),"",IFERROR(_xlfn.CONCAT(VLOOKUP(CP38,Route_Column!#REF!,2,FALSE),CHAR(34)," probability=",CHAR(34),1/CP$4,CHAR(34),CHAR(47),CHAR(62)),"&lt;/routeDistribution&gt;"))</f>
        <v/>
      </c>
    </row>
    <row r="2813" spans="1:5" x14ac:dyDescent="0.25">
      <c r="A2813" t="s">
        <v>1789</v>
      </c>
      <c r="B2813" t="s">
        <v>1169</v>
      </c>
      <c r="E2813" t="str">
        <f>IF(OR(E2812="&lt;/routeDistribution&gt;",E2812=""),"",IFERROR(_xlfn.CONCAT(VLOOKUP(CP39,Route_Column!#REF!,2,FALSE),CHAR(34)," probability=",CHAR(34),1/CP$4,CHAR(34),CHAR(47),CHAR(62)),"&lt;/routeDistribution&gt;"))</f>
        <v/>
      </c>
    </row>
    <row r="2814" spans="1:5" x14ac:dyDescent="0.25">
      <c r="A2814" t="s">
        <v>1789</v>
      </c>
      <c r="B2814" t="s">
        <v>1170</v>
      </c>
      <c r="E2814" t="str">
        <f>IF(OR(E2813="&lt;/routeDistribution&gt;",E2813=""),"",IFERROR(_xlfn.CONCAT(VLOOKUP(CP40,Route_Column!#REF!,2,FALSE),CHAR(34)," probability=",CHAR(34),1/CP$4,CHAR(34),CHAR(47),CHAR(62)),"&lt;/routeDistribution&gt;"))</f>
        <v/>
      </c>
    </row>
    <row r="2815" spans="1:5" x14ac:dyDescent="0.25">
      <c r="A2815" t="s">
        <v>1789</v>
      </c>
      <c r="B2815" t="s">
        <v>1178</v>
      </c>
      <c r="E2815" t="str">
        <f>IF(OR(E2814="&lt;/routeDistribution&gt;",E2814=""),"",IFERROR(_xlfn.CONCAT(VLOOKUP(CP41,Route_Column!#REF!,2,FALSE),CHAR(34)," probability=",CHAR(34),1/CP$4,CHAR(34),CHAR(47),CHAR(62)),"&lt;/routeDistribution&gt;"))</f>
        <v/>
      </c>
    </row>
    <row r="2816" spans="1:5" x14ac:dyDescent="0.25">
      <c r="A2816" t="s">
        <v>1789</v>
      </c>
      <c r="B2816" t="s">
        <v>1202</v>
      </c>
      <c r="E2816" t="str">
        <f>IF(OR(E2815="&lt;/routeDistribution&gt;",E2815=""),"",IFERROR(_xlfn.CONCAT(VLOOKUP(CP42,Route_Column!#REF!,2,FALSE),CHAR(34)," probability=",CHAR(34),1/CP$4,CHAR(34),CHAR(47),CHAR(62)),"&lt;/routeDistribution&gt;"))</f>
        <v/>
      </c>
    </row>
    <row r="2817" spans="1:5" x14ac:dyDescent="0.25">
      <c r="A2817" t="s">
        <v>2008</v>
      </c>
      <c r="B2817" t="s">
        <v>1133</v>
      </c>
      <c r="E2817" t="str">
        <f>IF(OR(E2816="&lt;/routeDistribution&gt;",E2816=""),"",IFERROR(_xlfn.CONCAT(VLOOKUP(CP43,Route_Column!#REF!,2,FALSE),CHAR(34)," probability=",CHAR(34),1/CP$4,CHAR(34),CHAR(47),CHAR(62)),"&lt;/routeDistribution&gt;"))</f>
        <v/>
      </c>
    </row>
    <row r="2818" spans="1:5" x14ac:dyDescent="0.25">
      <c r="A2818" t="s">
        <v>2009</v>
      </c>
      <c r="B2818" t="s">
        <v>1133</v>
      </c>
      <c r="E2818" t="str">
        <f>IF(OR(E2817="&lt;/routeDistribution&gt;",E2817=""),"",IFERROR(_xlfn.CONCAT(VLOOKUP(CP44,Route_Column!#REF!,2,FALSE),CHAR(34)," probability=",CHAR(34),1/CP$4,CHAR(34),CHAR(47),CHAR(62)),"&lt;/routeDistribution&gt;"))</f>
        <v/>
      </c>
    </row>
    <row r="2819" spans="1:5" x14ac:dyDescent="0.25">
      <c r="A2819" t="s">
        <v>2006</v>
      </c>
      <c r="B2819" t="s">
        <v>1133</v>
      </c>
      <c r="E2819" t="str">
        <f>IF(OR(E2818="&lt;/routeDistribution&gt;",E2818=""),"",IFERROR(_xlfn.CONCAT(VLOOKUP(CP45,Route_Column!#REF!,2,FALSE),CHAR(34)," probability=",CHAR(34),1/CP$4,CHAR(34),CHAR(47),CHAR(62)),"&lt;/routeDistribution&gt;"))</f>
        <v/>
      </c>
    </row>
    <row r="2820" spans="1:5" x14ac:dyDescent="0.25">
      <c r="A2820" t="s">
        <v>2007</v>
      </c>
      <c r="B2820" t="s">
        <v>1133</v>
      </c>
      <c r="E2820" t="str">
        <f>IF(OR(E2819="&lt;/routeDistribution&gt;",E2819=""),"",IFERROR(_xlfn.CONCAT(VLOOKUP(CP46,Route_Column!#REF!,2,FALSE),CHAR(34)," probability=",CHAR(34),1/CP$4,CHAR(34),CHAR(47),CHAR(62)),"&lt;/routeDistribution&gt;"))</f>
        <v/>
      </c>
    </row>
    <row r="2821" spans="1:5" x14ac:dyDescent="0.25">
      <c r="A2821" t="s">
        <v>1774</v>
      </c>
      <c r="B2821" t="s">
        <v>1102</v>
      </c>
      <c r="E2821" t="str">
        <f>IF(OR(E2820="&lt;/routeDistribution&gt;",E2820=""),"",IFERROR(_xlfn.CONCAT(VLOOKUP(CP47,Route_Column!#REF!,2,FALSE),CHAR(34)," probability=",CHAR(34),1/CP$4,CHAR(34),CHAR(47),CHAR(62)),"&lt;/routeDistribution&gt;"))</f>
        <v/>
      </c>
    </row>
    <row r="2822" spans="1:5" x14ac:dyDescent="0.25">
      <c r="A2822" t="s">
        <v>1774</v>
      </c>
      <c r="B2822" t="s">
        <v>1110</v>
      </c>
      <c r="E2822" t="str">
        <f>IF(OR(E2821="&lt;/routeDistribution&gt;",E2821=""),"",IFERROR(_xlfn.CONCAT(VLOOKUP(CP48,Route_Column!#REF!,2,FALSE),CHAR(34)," probability=",CHAR(34),1/CP$4,CHAR(34),CHAR(47),CHAR(62)),"&lt;/routeDistribution&gt;"))</f>
        <v/>
      </c>
    </row>
    <row r="2823" spans="1:5" x14ac:dyDescent="0.25">
      <c r="A2823" t="s">
        <v>1774</v>
      </c>
      <c r="B2823" t="s">
        <v>1112</v>
      </c>
      <c r="E2823" t="str">
        <f>IF(OR(E2822="&lt;/routeDistribution&gt;",E2822=""),"",IFERROR(_xlfn.CONCAT(VLOOKUP(CP49,Route_Column!#REF!,2,FALSE),CHAR(34)," probability=",CHAR(34),1/CP$4,CHAR(34),CHAR(47),CHAR(62)),"&lt;/routeDistribution&gt;"))</f>
        <v/>
      </c>
    </row>
    <row r="2824" spans="1:5" x14ac:dyDescent="0.25">
      <c r="A2824" t="s">
        <v>1774</v>
      </c>
      <c r="B2824" t="s">
        <v>1130</v>
      </c>
      <c r="E2824" t="str">
        <f>IF(OR(E2823="&lt;/routeDistribution&gt;",E2823=""),"",IFERROR(_xlfn.CONCAT(VLOOKUP(CP50,Route_Column!#REF!,2,FALSE),CHAR(34)," probability=",CHAR(34),1/CP$4,CHAR(34),CHAR(47),CHAR(62)),"&lt;/routeDistribution&gt;"))</f>
        <v/>
      </c>
    </row>
    <row r="2825" spans="1:5" x14ac:dyDescent="0.25">
      <c r="A2825" t="s">
        <v>1774</v>
      </c>
      <c r="B2825" t="s">
        <v>1131</v>
      </c>
      <c r="E2825" t="str">
        <f>IF(OR(E2824="&lt;/routeDistribution&gt;",E2824=""),"",IFERROR(_xlfn.CONCAT(VLOOKUP(CP51,Route_Column!#REF!,2,FALSE),CHAR(34)," probability=",CHAR(34),1/CP$4,CHAR(34),CHAR(47),CHAR(62)),"&lt;/routeDistribution&gt;"))</f>
        <v/>
      </c>
    </row>
    <row r="2826" spans="1:5" x14ac:dyDescent="0.25">
      <c r="A2826" t="s">
        <v>1774</v>
      </c>
      <c r="B2826" t="s">
        <v>1134</v>
      </c>
      <c r="E2826" t="str">
        <f>IF(OR(E2825="&lt;/routeDistribution&gt;",E2825=""),"",IFERROR(_xlfn.CONCAT(VLOOKUP(CP52,Route_Column!#REF!,2,FALSE),CHAR(34)," probability=",CHAR(34),1/CP$4,CHAR(34),CHAR(47),CHAR(62)),"&lt;/routeDistribution&gt;"))</f>
        <v/>
      </c>
    </row>
    <row r="2827" spans="1:5" x14ac:dyDescent="0.25">
      <c r="A2827" t="s">
        <v>1774</v>
      </c>
      <c r="B2827" t="s">
        <v>1138</v>
      </c>
      <c r="E2827" t="str">
        <f>IF(OR(E2826="&lt;/routeDistribution&gt;",E2826=""),"",IFERROR(_xlfn.CONCAT(VLOOKUP(CP53,Route_Column!#REF!,2,FALSE),CHAR(34)," probability=",CHAR(34),1/CP$4,CHAR(34),CHAR(47),CHAR(62)),"&lt;/routeDistribution&gt;"))</f>
        <v/>
      </c>
    </row>
    <row r="2828" spans="1:5" x14ac:dyDescent="0.25">
      <c r="A2828" t="s">
        <v>1774</v>
      </c>
      <c r="B2828" t="s">
        <v>1145</v>
      </c>
      <c r="E2828" t="str">
        <f>IF(OR(E2827="&lt;/routeDistribution&gt;",E2827=""),"",IFERROR(_xlfn.CONCAT(VLOOKUP(CP54,Route_Column!#REF!,2,FALSE),CHAR(34)," probability=",CHAR(34),1/CP$4,CHAR(34),CHAR(47),CHAR(62)),"&lt;/routeDistribution&gt;"))</f>
        <v/>
      </c>
    </row>
    <row r="2829" spans="1:5" x14ac:dyDescent="0.25">
      <c r="A2829" t="s">
        <v>1774</v>
      </c>
      <c r="B2829" t="s">
        <v>1154</v>
      </c>
      <c r="E2829" t="str">
        <f>IF(OR(E2828="&lt;/routeDistribution&gt;",E2828=""),"",IFERROR(_xlfn.CONCAT(VLOOKUP(CP55,Route_Column!#REF!,2,FALSE),CHAR(34)," probability=",CHAR(34),1/CP$4,CHAR(34),CHAR(47),CHAR(62)),"&lt;/routeDistribution&gt;"))</f>
        <v/>
      </c>
    </row>
    <row r="2830" spans="1:5" x14ac:dyDescent="0.25">
      <c r="A2830" t="s">
        <v>1774</v>
      </c>
      <c r="B2830" t="s">
        <v>1180</v>
      </c>
      <c r="E2830" t="str">
        <f>IF(OR(E2829="&lt;/routeDistribution&gt;",E2829=""),"",IFERROR(_xlfn.CONCAT(VLOOKUP(CP56,Route_Column!#REF!,2,FALSE),CHAR(34)," probability=",CHAR(34),1/CP$4,CHAR(34),CHAR(47),CHAR(62)),"&lt;/routeDistribution&gt;"))</f>
        <v/>
      </c>
    </row>
    <row r="2831" spans="1:5" x14ac:dyDescent="0.25">
      <c r="A2831" t="s">
        <v>1774</v>
      </c>
      <c r="B2831" t="s">
        <v>1181</v>
      </c>
      <c r="E2831" t="str">
        <f>IF(OR(E2830="&lt;/routeDistribution&gt;",E2830=""),"",IFERROR(_xlfn.CONCAT(VLOOKUP(CP57,Route_Column!#REF!,2,FALSE),CHAR(34)," probability=",CHAR(34),1/CP$4,CHAR(34),CHAR(47),CHAR(62)),"&lt;/routeDistribution&gt;"))</f>
        <v/>
      </c>
    </row>
    <row r="2832" spans="1:5" x14ac:dyDescent="0.25">
      <c r="A2832" t="s">
        <v>1774</v>
      </c>
      <c r="B2832" t="s">
        <v>1201</v>
      </c>
      <c r="E2832" t="str">
        <f>IF(OR(E2831="&lt;/routeDistribution&gt;",E2831=""),"",IFERROR(_xlfn.CONCAT(VLOOKUP(CP58,Route_Column!#REF!,2,FALSE),CHAR(34)," probability=",CHAR(34),1/CP$4,CHAR(34),CHAR(47),CHAR(62)),"&lt;/routeDistribution&gt;"))</f>
        <v/>
      </c>
    </row>
    <row r="2833" spans="1:5" x14ac:dyDescent="0.25">
      <c r="A2833" t="s">
        <v>1774</v>
      </c>
      <c r="B2833" t="s">
        <v>1206</v>
      </c>
      <c r="E2833" t="str">
        <f>IF(OR(E2832="&lt;/routeDistribution&gt;",E2832=""),"",IFERROR(_xlfn.CONCAT(VLOOKUP(CP59,Route_Column!#REF!,2,FALSE),CHAR(34)," probability=",CHAR(34),1/CP$4,CHAR(34),CHAR(47),CHAR(62)),"&lt;/routeDistribution&gt;"))</f>
        <v/>
      </c>
    </row>
    <row r="2834" spans="1:5" x14ac:dyDescent="0.25">
      <c r="A2834" t="s">
        <v>2087</v>
      </c>
      <c r="B2834" t="s">
        <v>1139</v>
      </c>
      <c r="E2834" t="str">
        <f>IF(OR(E2833="&lt;/routeDistribution&gt;",E2833=""),"",IFERROR(_xlfn.CONCAT(VLOOKUP(CP60,Route_Column!#REF!,2,FALSE),CHAR(34)," probability=",CHAR(34),1/CP$4,CHAR(34),CHAR(47),CHAR(62)),"&lt;/routeDistribution&gt;"))</f>
        <v/>
      </c>
    </row>
    <row r="2835" spans="1:5" x14ac:dyDescent="0.25">
      <c r="A2835" t="s">
        <v>2087</v>
      </c>
      <c r="B2835" t="s">
        <v>1140</v>
      </c>
      <c r="E2835" t="str">
        <f>IF(OR(E2834="&lt;/routeDistribution&gt;",E2834=""),"",IFERROR(_xlfn.CONCAT(VLOOKUP(CP61,Route_Column!#REF!,2,FALSE),CHAR(34)," probability=",CHAR(34),1/CP$4,CHAR(34),CHAR(47),CHAR(62)),"&lt;/routeDistribution&gt;"))</f>
        <v/>
      </c>
    </row>
    <row r="2836" spans="1:5" x14ac:dyDescent="0.25">
      <c r="A2836" t="s">
        <v>2087</v>
      </c>
      <c r="B2836" t="s">
        <v>1150</v>
      </c>
      <c r="E2836" t="str">
        <f>IF(OR(E2835="&lt;/routeDistribution&gt;",E2835=""),"",IFERROR(_xlfn.CONCAT(VLOOKUP(CP62,Route_Column!#REF!,2,FALSE),CHAR(34)," probability=",CHAR(34),1/CP$4,CHAR(34),CHAR(47),CHAR(62)),"&lt;/routeDistribution&gt;"))</f>
        <v/>
      </c>
    </row>
    <row r="2837" spans="1:5" x14ac:dyDescent="0.25">
      <c r="A2837" t="s">
        <v>2087</v>
      </c>
      <c r="B2837" t="s">
        <v>1157</v>
      </c>
      <c r="E2837" t="str">
        <f>IF(OR(E2836="&lt;/routeDistribution&gt;",E2836=""),"",IFERROR(_xlfn.CONCAT(VLOOKUP(CP63,Route_Column!#REF!,2,FALSE),CHAR(34)," probability=",CHAR(34),1/CP$4,CHAR(34),CHAR(47),CHAR(62)),"&lt;/routeDistribution&gt;"))</f>
        <v/>
      </c>
    </row>
    <row r="2838" spans="1:5" x14ac:dyDescent="0.25">
      <c r="A2838" t="s">
        <v>2087</v>
      </c>
      <c r="B2838" t="s">
        <v>1214</v>
      </c>
      <c r="E2838" t="s">
        <v>2686</v>
      </c>
    </row>
    <row r="2839" spans="1:5" x14ac:dyDescent="0.25">
      <c r="A2839" t="s">
        <v>2087</v>
      </c>
      <c r="B2839" t="s">
        <v>1215</v>
      </c>
    </row>
    <row r="2840" spans="1:5" x14ac:dyDescent="0.25">
      <c r="A2840" t="s">
        <v>2087</v>
      </c>
      <c r="B2840" t="s">
        <v>1226</v>
      </c>
    </row>
    <row r="2841" spans="1:5" x14ac:dyDescent="0.25">
      <c r="A2841" t="s">
        <v>2087</v>
      </c>
      <c r="B2841" t="s">
        <v>1233</v>
      </c>
      <c r="E2841" t="str">
        <f>_xlfn.CONCAT($E$1,CO$2,$F$1)</f>
        <v>&lt;routeDistribution id="SCHUYKILLave-Market-JKF-SB-2004-RouteProbe"&gt;</v>
      </c>
    </row>
    <row r="2842" spans="1:5" x14ac:dyDescent="0.25">
      <c r="A2842" t="s">
        <v>2087</v>
      </c>
      <c r="B2842" t="s">
        <v>1254</v>
      </c>
      <c r="E2842" t="str">
        <f>IF(OR(E2841="&lt;/routeDistribution&gt;",E2841=""),"",IFERROR(_xlfn.CONCAT(VLOOKUP(CO5,Route_Column!#REF!,2,FALSE),CHAR(34)," probability=",CHAR(34),1/CO$4,CHAR(34),CHAR(47),CHAR(62)),"&lt;/routeDistribution&gt;"))</f>
        <v>&lt;/routeDistribution&gt;</v>
      </c>
    </row>
    <row r="2843" spans="1:5" x14ac:dyDescent="0.25">
      <c r="A2843" t="s">
        <v>2309</v>
      </c>
      <c r="B2843" t="s">
        <v>1211</v>
      </c>
      <c r="E2843" t="str">
        <f>IF(OR(E2842="&lt;/routeDistribution&gt;",E2842=""),"",IFERROR(_xlfn.CONCAT(VLOOKUP(CO6,Route_Column!#REF!,2,FALSE),CHAR(34)," probability=",CHAR(34),1/CO$4,CHAR(34),CHAR(47),CHAR(62)),"&lt;/routeDistribution&gt;"))</f>
        <v/>
      </c>
    </row>
    <row r="2844" spans="1:5" x14ac:dyDescent="0.25">
      <c r="A2844" t="s">
        <v>2309</v>
      </c>
      <c r="B2844" t="s">
        <v>1246</v>
      </c>
      <c r="E2844" t="str">
        <f>IF(OR(E2843="&lt;/routeDistribution&gt;",E2843=""),"",IFERROR(_xlfn.CONCAT(VLOOKUP(CO7,Route_Column!#REF!,2,FALSE),CHAR(34)," probability=",CHAR(34),1/CO$4,CHAR(34),CHAR(47),CHAR(62)),"&lt;/routeDistribution&gt;"))</f>
        <v/>
      </c>
    </row>
    <row r="2845" spans="1:5" x14ac:dyDescent="0.25">
      <c r="A2845" t="s">
        <v>2309</v>
      </c>
      <c r="B2845" t="s">
        <v>1247</v>
      </c>
      <c r="E2845" t="str">
        <f>IF(OR(E2844="&lt;/routeDistribution&gt;",E2844=""),"",IFERROR(_xlfn.CONCAT(VLOOKUP(CO8,Route_Column!#REF!,2,FALSE),CHAR(34)," probability=",CHAR(34),1/CO$4,CHAR(34),CHAR(47),CHAR(62)),"&lt;/routeDistribution&gt;"))</f>
        <v/>
      </c>
    </row>
    <row r="2846" spans="1:5" x14ac:dyDescent="0.25">
      <c r="A2846" t="s">
        <v>2309</v>
      </c>
      <c r="B2846" t="s">
        <v>1248</v>
      </c>
      <c r="E2846" t="str">
        <f>IF(OR(E2845="&lt;/routeDistribution&gt;",E2845=""),"",IFERROR(_xlfn.CONCAT(VLOOKUP(CO9,Route_Column!#REF!,2,FALSE),CHAR(34)," probability=",CHAR(34),1/CO$4,CHAR(34),CHAR(47),CHAR(62)),"&lt;/routeDistribution&gt;"))</f>
        <v/>
      </c>
    </row>
    <row r="2847" spans="1:5" x14ac:dyDescent="0.25">
      <c r="A2847" t="s">
        <v>2309</v>
      </c>
      <c r="B2847" t="s">
        <v>1249</v>
      </c>
      <c r="E2847" t="str">
        <f>IF(OR(E2846="&lt;/routeDistribution&gt;",E2846=""),"",IFERROR(_xlfn.CONCAT(VLOOKUP(CO10,Route_Column!#REF!,2,FALSE),CHAR(34)," probability=",CHAR(34),1/CO$4,CHAR(34),CHAR(47),CHAR(62)),"&lt;/routeDistribution&gt;"))</f>
        <v/>
      </c>
    </row>
    <row r="2848" spans="1:5" x14ac:dyDescent="0.25">
      <c r="A2848" t="s">
        <v>2144</v>
      </c>
      <c r="B2848" t="s">
        <v>1142</v>
      </c>
      <c r="E2848" t="str">
        <f>IF(OR(E2847="&lt;/routeDistribution&gt;",E2847=""),"",IFERROR(_xlfn.CONCAT(VLOOKUP(CO11,Route_Column!#REF!,2,FALSE),CHAR(34)," probability=",CHAR(34),1/CO$4,CHAR(34),CHAR(47),CHAR(62)),"&lt;/routeDistribution&gt;"))</f>
        <v/>
      </c>
    </row>
    <row r="2849" spans="1:5" x14ac:dyDescent="0.25">
      <c r="A2849" t="s">
        <v>2144</v>
      </c>
      <c r="B2849" t="s">
        <v>1148</v>
      </c>
      <c r="E2849" t="str">
        <f>IF(OR(E2848="&lt;/routeDistribution&gt;",E2848=""),"",IFERROR(_xlfn.CONCAT(VLOOKUP(CO12,Route_Column!#REF!,2,FALSE),CHAR(34)," probability=",CHAR(34),1/CO$4,CHAR(34),CHAR(47),CHAR(62)),"&lt;/routeDistribution&gt;"))</f>
        <v/>
      </c>
    </row>
    <row r="2850" spans="1:5" x14ac:dyDescent="0.25">
      <c r="A2850" t="s">
        <v>2144</v>
      </c>
      <c r="B2850" t="s">
        <v>1178</v>
      </c>
      <c r="E2850" t="str">
        <f>IF(OR(E2849="&lt;/routeDistribution&gt;",E2849=""),"",IFERROR(_xlfn.CONCAT(VLOOKUP(CO13,Route_Column!#REF!,2,FALSE),CHAR(34)," probability=",CHAR(34),1/CO$4,CHAR(34),CHAR(47),CHAR(62)),"&lt;/routeDistribution&gt;"))</f>
        <v/>
      </c>
    </row>
    <row r="2851" spans="1:5" x14ac:dyDescent="0.25">
      <c r="A2851" t="s">
        <v>2144</v>
      </c>
      <c r="B2851" t="s">
        <v>1201</v>
      </c>
      <c r="E2851" t="str">
        <f>IF(OR(E2850="&lt;/routeDistribution&gt;",E2850=""),"",IFERROR(_xlfn.CONCAT(VLOOKUP(CO14,Route_Column!#REF!,2,FALSE),CHAR(34)," probability=",CHAR(34),1/CO$4,CHAR(34),CHAR(47),CHAR(62)),"&lt;/routeDistribution&gt;"))</f>
        <v/>
      </c>
    </row>
    <row r="2852" spans="1:5" x14ac:dyDescent="0.25">
      <c r="A2852" t="s">
        <v>2144</v>
      </c>
      <c r="B2852" t="s">
        <v>1202</v>
      </c>
      <c r="E2852" t="str">
        <f>IF(OR(E2851="&lt;/routeDistribution&gt;",E2851=""),"",IFERROR(_xlfn.CONCAT(VLOOKUP(CO15,Route_Column!#REF!,2,FALSE),CHAR(34)," probability=",CHAR(34),1/CO$4,CHAR(34),CHAR(47),CHAR(62)),"&lt;/routeDistribution&gt;"))</f>
        <v/>
      </c>
    </row>
    <row r="2853" spans="1:5" x14ac:dyDescent="0.25">
      <c r="A2853" t="s">
        <v>2144</v>
      </c>
      <c r="B2853" t="s">
        <v>1206</v>
      </c>
      <c r="E2853" t="str">
        <f>IF(OR(E2852="&lt;/routeDistribution&gt;",E2852=""),"",IFERROR(_xlfn.CONCAT(VLOOKUP(CO16,Route_Column!#REF!,2,FALSE),CHAR(34)," probability=",CHAR(34),1/CO$4,CHAR(34),CHAR(47),CHAR(62)),"&lt;/routeDistribution&gt;"))</f>
        <v/>
      </c>
    </row>
    <row r="2854" spans="1:5" x14ac:dyDescent="0.25">
      <c r="A2854" t="s">
        <v>2144</v>
      </c>
      <c r="B2854" t="s">
        <v>1207</v>
      </c>
      <c r="E2854" t="str">
        <f>IF(OR(E2853="&lt;/routeDistribution&gt;",E2853=""),"",IFERROR(_xlfn.CONCAT(VLOOKUP(CO17,Route_Column!#REF!,2,FALSE),CHAR(34)," probability=",CHAR(34),1/CO$4,CHAR(34),CHAR(47),CHAR(62)),"&lt;/routeDistribution&gt;"))</f>
        <v/>
      </c>
    </row>
    <row r="2855" spans="1:5" x14ac:dyDescent="0.25">
      <c r="A2855" t="s">
        <v>2144</v>
      </c>
      <c r="B2855" t="s">
        <v>1246</v>
      </c>
      <c r="E2855" t="str">
        <f>IF(OR(E2854="&lt;/routeDistribution&gt;",E2854=""),"",IFERROR(_xlfn.CONCAT(VLOOKUP(CO18,Route_Column!#REF!,2,FALSE),CHAR(34)," probability=",CHAR(34),1/CO$4,CHAR(34),CHAR(47),CHAR(62)),"&lt;/routeDistribution&gt;"))</f>
        <v/>
      </c>
    </row>
    <row r="2856" spans="1:5" x14ac:dyDescent="0.25">
      <c r="A2856" t="s">
        <v>2144</v>
      </c>
      <c r="B2856" t="s">
        <v>1247</v>
      </c>
      <c r="E2856" t="str">
        <f>IF(OR(E2855="&lt;/routeDistribution&gt;",E2855=""),"",IFERROR(_xlfn.CONCAT(VLOOKUP(CO19,Route_Column!#REF!,2,FALSE),CHAR(34)," probability=",CHAR(34),1/CO$4,CHAR(34),CHAR(47),CHAR(62)),"&lt;/routeDistribution&gt;"))</f>
        <v/>
      </c>
    </row>
    <row r="2857" spans="1:5" x14ac:dyDescent="0.25">
      <c r="A2857" t="s">
        <v>2144</v>
      </c>
      <c r="B2857" t="s">
        <v>1248</v>
      </c>
      <c r="E2857" t="str">
        <f>IF(OR(E2856="&lt;/routeDistribution&gt;",E2856=""),"",IFERROR(_xlfn.CONCAT(VLOOKUP(CO20,Route_Column!#REF!,2,FALSE),CHAR(34)," probability=",CHAR(34),1/CO$4,CHAR(34),CHAR(47),CHAR(62)),"&lt;/routeDistribution&gt;"))</f>
        <v/>
      </c>
    </row>
    <row r="2858" spans="1:5" x14ac:dyDescent="0.25">
      <c r="A2858" t="s">
        <v>2144</v>
      </c>
      <c r="B2858" t="s">
        <v>1249</v>
      </c>
      <c r="E2858" t="str">
        <f>IF(OR(E2857="&lt;/routeDistribution&gt;",E2857=""),"",IFERROR(_xlfn.CONCAT(VLOOKUP(CO21,Route_Column!#REF!,2,FALSE),CHAR(34)," probability=",CHAR(34),1/CO$4,CHAR(34),CHAR(47),CHAR(62)),"&lt;/routeDistribution&gt;"))</f>
        <v/>
      </c>
    </row>
    <row r="2859" spans="1:5" x14ac:dyDescent="0.25">
      <c r="A2859" t="s">
        <v>2145</v>
      </c>
      <c r="B2859" t="s">
        <v>1142</v>
      </c>
      <c r="E2859" t="str">
        <f>IF(OR(E2858="&lt;/routeDistribution&gt;",E2858=""),"",IFERROR(_xlfn.CONCAT(VLOOKUP(CO22,Route_Column!#REF!,2,FALSE),CHAR(34)," probability=",CHAR(34),1/CO$4,CHAR(34),CHAR(47),CHAR(62)),"&lt;/routeDistribution&gt;"))</f>
        <v/>
      </c>
    </row>
    <row r="2860" spans="1:5" x14ac:dyDescent="0.25">
      <c r="A2860" t="s">
        <v>2145</v>
      </c>
      <c r="B2860" t="s">
        <v>1148</v>
      </c>
      <c r="E2860" t="str">
        <f>IF(OR(E2859="&lt;/routeDistribution&gt;",E2859=""),"",IFERROR(_xlfn.CONCAT(VLOOKUP(CO23,Route_Column!#REF!,2,FALSE),CHAR(34)," probability=",CHAR(34),1/CO$4,CHAR(34),CHAR(47),CHAR(62)),"&lt;/routeDistribution&gt;"))</f>
        <v/>
      </c>
    </row>
    <row r="2861" spans="1:5" x14ac:dyDescent="0.25">
      <c r="A2861" t="s">
        <v>2145</v>
      </c>
      <c r="B2861" t="s">
        <v>1178</v>
      </c>
      <c r="E2861" t="str">
        <f>IF(OR(E2860="&lt;/routeDistribution&gt;",E2860=""),"",IFERROR(_xlfn.CONCAT(VLOOKUP(CO24,Route_Column!#REF!,2,FALSE),CHAR(34)," probability=",CHAR(34),1/CO$4,CHAR(34),CHAR(47),CHAR(62)),"&lt;/routeDistribution&gt;"))</f>
        <v/>
      </c>
    </row>
    <row r="2862" spans="1:5" x14ac:dyDescent="0.25">
      <c r="A2862" t="s">
        <v>2145</v>
      </c>
      <c r="B2862" t="s">
        <v>1201</v>
      </c>
      <c r="E2862" t="str">
        <f>IF(OR(E2861="&lt;/routeDistribution&gt;",E2861=""),"",IFERROR(_xlfn.CONCAT(VLOOKUP(CO25,Route_Column!#REF!,2,FALSE),CHAR(34)," probability=",CHAR(34),1/CO$4,CHAR(34),CHAR(47),CHAR(62)),"&lt;/routeDistribution&gt;"))</f>
        <v/>
      </c>
    </row>
    <row r="2863" spans="1:5" x14ac:dyDescent="0.25">
      <c r="A2863" t="s">
        <v>2145</v>
      </c>
      <c r="B2863" t="s">
        <v>1202</v>
      </c>
      <c r="E2863" t="str">
        <f>IF(OR(E2862="&lt;/routeDistribution&gt;",E2862=""),"",IFERROR(_xlfn.CONCAT(VLOOKUP(CO26,Route_Column!#REF!,2,FALSE),CHAR(34)," probability=",CHAR(34),1/CO$4,CHAR(34),CHAR(47),CHAR(62)),"&lt;/routeDistribution&gt;"))</f>
        <v/>
      </c>
    </row>
    <row r="2864" spans="1:5" x14ac:dyDescent="0.25">
      <c r="A2864" t="s">
        <v>2145</v>
      </c>
      <c r="B2864" t="s">
        <v>1206</v>
      </c>
      <c r="E2864" t="str">
        <f>IF(OR(E2863="&lt;/routeDistribution&gt;",E2863=""),"",IFERROR(_xlfn.CONCAT(VLOOKUP(CO27,Route_Column!#REF!,2,FALSE),CHAR(34)," probability=",CHAR(34),1/CO$4,CHAR(34),CHAR(47),CHAR(62)),"&lt;/routeDistribution&gt;"))</f>
        <v/>
      </c>
    </row>
    <row r="2865" spans="1:5" x14ac:dyDescent="0.25">
      <c r="A2865" t="s">
        <v>2145</v>
      </c>
      <c r="B2865" t="s">
        <v>1207</v>
      </c>
      <c r="E2865" t="str">
        <f>IF(OR(E2864="&lt;/routeDistribution&gt;",E2864=""),"",IFERROR(_xlfn.CONCAT(VLOOKUP(CO28,Route_Column!#REF!,2,FALSE),CHAR(34)," probability=",CHAR(34),1/CO$4,CHAR(34),CHAR(47),CHAR(62)),"&lt;/routeDistribution&gt;"))</f>
        <v/>
      </c>
    </row>
    <row r="2866" spans="1:5" x14ac:dyDescent="0.25">
      <c r="A2866" t="s">
        <v>2145</v>
      </c>
      <c r="B2866" t="s">
        <v>1246</v>
      </c>
      <c r="E2866" t="str">
        <f>IF(OR(E2865="&lt;/routeDistribution&gt;",E2865=""),"",IFERROR(_xlfn.CONCAT(VLOOKUP(CO29,Route_Column!#REF!,2,FALSE),CHAR(34)," probability=",CHAR(34),1/CO$4,CHAR(34),CHAR(47),CHAR(62)),"&lt;/routeDistribution&gt;"))</f>
        <v/>
      </c>
    </row>
    <row r="2867" spans="1:5" x14ac:dyDescent="0.25">
      <c r="A2867" t="s">
        <v>2145</v>
      </c>
      <c r="B2867" t="s">
        <v>1247</v>
      </c>
      <c r="E2867" t="str">
        <f>IF(OR(E2866="&lt;/routeDistribution&gt;",E2866=""),"",IFERROR(_xlfn.CONCAT(VLOOKUP(CO30,Route_Column!#REF!,2,FALSE),CHAR(34)," probability=",CHAR(34),1/CO$4,CHAR(34),CHAR(47),CHAR(62)),"&lt;/routeDistribution&gt;"))</f>
        <v/>
      </c>
    </row>
    <row r="2868" spans="1:5" x14ac:dyDescent="0.25">
      <c r="A2868" t="s">
        <v>2145</v>
      </c>
      <c r="B2868" t="s">
        <v>1248</v>
      </c>
      <c r="E2868" t="str">
        <f>IF(OR(E2867="&lt;/routeDistribution&gt;",E2867=""),"",IFERROR(_xlfn.CONCAT(VLOOKUP(CO31,Route_Column!#REF!,2,FALSE),CHAR(34)," probability=",CHAR(34),1/CO$4,CHAR(34),CHAR(47),CHAR(62)),"&lt;/routeDistribution&gt;"))</f>
        <v/>
      </c>
    </row>
    <row r="2869" spans="1:5" x14ac:dyDescent="0.25">
      <c r="A2869" t="s">
        <v>2145</v>
      </c>
      <c r="B2869" t="s">
        <v>1249</v>
      </c>
      <c r="E2869" t="str">
        <f>IF(OR(E2868="&lt;/routeDistribution&gt;",E2868=""),"",IFERROR(_xlfn.CONCAT(VLOOKUP(CO32,Route_Column!#REF!,2,FALSE),CHAR(34)," probability=",CHAR(34),1/CO$4,CHAR(34),CHAR(47),CHAR(62)),"&lt;/routeDistribution&gt;"))</f>
        <v/>
      </c>
    </row>
    <row r="2870" spans="1:5" x14ac:dyDescent="0.25">
      <c r="A2870" t="s">
        <v>1781</v>
      </c>
      <c r="B2870" t="s">
        <v>1104</v>
      </c>
      <c r="E2870" t="str">
        <f>IF(OR(E2869="&lt;/routeDistribution&gt;",E2869=""),"",IFERROR(_xlfn.CONCAT(VLOOKUP(CO33,Route_Column!#REF!,2,FALSE),CHAR(34)," probability=",CHAR(34),1/CO$4,CHAR(34),CHAR(47),CHAR(62)),"&lt;/routeDistribution&gt;"))</f>
        <v/>
      </c>
    </row>
    <row r="2871" spans="1:5" x14ac:dyDescent="0.25">
      <c r="A2871" t="s">
        <v>1781</v>
      </c>
      <c r="B2871" t="s">
        <v>1105</v>
      </c>
      <c r="E2871" t="str">
        <f>IF(OR(E2870="&lt;/routeDistribution&gt;",E2870=""),"",IFERROR(_xlfn.CONCAT(VLOOKUP(CO34,Route_Column!#REF!,2,FALSE),CHAR(34)," probability=",CHAR(34),1/CO$4,CHAR(34),CHAR(47),CHAR(62)),"&lt;/routeDistribution&gt;"))</f>
        <v/>
      </c>
    </row>
    <row r="2872" spans="1:5" x14ac:dyDescent="0.25">
      <c r="A2872" t="s">
        <v>1781</v>
      </c>
      <c r="B2872" t="s">
        <v>1116</v>
      </c>
      <c r="E2872" t="str">
        <f>IF(OR(E2871="&lt;/routeDistribution&gt;",E2871=""),"",IFERROR(_xlfn.CONCAT(VLOOKUP(CO35,Route_Column!#REF!,2,FALSE),CHAR(34)," probability=",CHAR(34),1/CO$4,CHAR(34),CHAR(47),CHAR(62)),"&lt;/routeDistribution&gt;"))</f>
        <v/>
      </c>
    </row>
    <row r="2873" spans="1:5" x14ac:dyDescent="0.25">
      <c r="A2873" t="s">
        <v>1781</v>
      </c>
      <c r="B2873" t="s">
        <v>1117</v>
      </c>
      <c r="E2873" t="str">
        <f>IF(OR(E2872="&lt;/routeDistribution&gt;",E2872=""),"",IFERROR(_xlfn.CONCAT(VLOOKUP(CO36,Route_Column!#REF!,2,FALSE),CHAR(34)," probability=",CHAR(34),1/CO$4,CHAR(34),CHAR(47),CHAR(62)),"&lt;/routeDistribution&gt;"))</f>
        <v/>
      </c>
    </row>
    <row r="2874" spans="1:5" x14ac:dyDescent="0.25">
      <c r="A2874" t="s">
        <v>1781</v>
      </c>
      <c r="B2874" t="s">
        <v>1118</v>
      </c>
      <c r="E2874" t="str">
        <f>IF(OR(E2873="&lt;/routeDistribution&gt;",E2873=""),"",IFERROR(_xlfn.CONCAT(VLOOKUP(CO37,Route_Column!#REF!,2,FALSE),CHAR(34)," probability=",CHAR(34),1/CO$4,CHAR(34),CHAR(47),CHAR(62)),"&lt;/routeDistribution&gt;"))</f>
        <v/>
      </c>
    </row>
    <row r="2875" spans="1:5" x14ac:dyDescent="0.25">
      <c r="A2875" t="s">
        <v>1781</v>
      </c>
      <c r="B2875" t="s">
        <v>1223</v>
      </c>
      <c r="E2875" t="str">
        <f>IF(OR(E2874="&lt;/routeDistribution&gt;",E2874=""),"",IFERROR(_xlfn.CONCAT(VLOOKUP(CO38,Route_Column!#REF!,2,FALSE),CHAR(34)," probability=",CHAR(34),1/CO$4,CHAR(34),CHAR(47),CHAR(62)),"&lt;/routeDistribution&gt;"))</f>
        <v/>
      </c>
    </row>
    <row r="2876" spans="1:5" x14ac:dyDescent="0.25">
      <c r="A2876" t="s">
        <v>1781</v>
      </c>
      <c r="B2876" t="s">
        <v>1239</v>
      </c>
      <c r="E2876" t="str">
        <f>IF(OR(E2875="&lt;/routeDistribution&gt;",E2875=""),"",IFERROR(_xlfn.CONCAT(VLOOKUP(CO39,Route_Column!#REF!,2,FALSE),CHAR(34)," probability=",CHAR(34),1/CO$4,CHAR(34),CHAR(47),CHAR(62)),"&lt;/routeDistribution&gt;"))</f>
        <v/>
      </c>
    </row>
    <row r="2877" spans="1:5" x14ac:dyDescent="0.25">
      <c r="A2877" t="s">
        <v>1781</v>
      </c>
      <c r="B2877" t="s">
        <v>1240</v>
      </c>
      <c r="E2877" t="str">
        <f>IF(OR(E2876="&lt;/routeDistribution&gt;",E2876=""),"",IFERROR(_xlfn.CONCAT(VLOOKUP(CO40,Route_Column!#REF!,2,FALSE),CHAR(34)," probability=",CHAR(34),1/CO$4,CHAR(34),CHAR(47),CHAR(62)),"&lt;/routeDistribution&gt;"))</f>
        <v/>
      </c>
    </row>
    <row r="2878" spans="1:5" x14ac:dyDescent="0.25">
      <c r="A2878" t="s">
        <v>1619</v>
      </c>
      <c r="B2878" t="s">
        <v>1096</v>
      </c>
      <c r="E2878" t="str">
        <f>IF(OR(E2877="&lt;/routeDistribution&gt;",E2877=""),"",IFERROR(_xlfn.CONCAT(VLOOKUP(CO41,Route_Column!#REF!,2,FALSE),CHAR(34)," probability=",CHAR(34),1/CO$4,CHAR(34),CHAR(47),CHAR(62)),"&lt;/routeDistribution&gt;"))</f>
        <v/>
      </c>
    </row>
    <row r="2879" spans="1:5" x14ac:dyDescent="0.25">
      <c r="A2879" t="s">
        <v>1619</v>
      </c>
      <c r="B2879" t="s">
        <v>1163</v>
      </c>
      <c r="E2879" t="str">
        <f>IF(OR(E2878="&lt;/routeDistribution&gt;",E2878=""),"",IFERROR(_xlfn.CONCAT(VLOOKUP(CO42,Route_Column!#REF!,2,FALSE),CHAR(34)," probability=",CHAR(34),1/CO$4,CHAR(34),CHAR(47),CHAR(62)),"&lt;/routeDistribution&gt;"))</f>
        <v/>
      </c>
    </row>
    <row r="2880" spans="1:5" x14ac:dyDescent="0.25">
      <c r="A2880" t="s">
        <v>1619</v>
      </c>
      <c r="B2880" t="s">
        <v>1168</v>
      </c>
      <c r="E2880" t="str">
        <f>IF(OR(E2879="&lt;/routeDistribution&gt;",E2879=""),"",IFERROR(_xlfn.CONCAT(VLOOKUP(CO43,Route_Column!#REF!,2,FALSE),CHAR(34)," probability=",CHAR(34),1/CO$4,CHAR(34),CHAR(47),CHAR(62)),"&lt;/routeDistribution&gt;"))</f>
        <v/>
      </c>
    </row>
    <row r="2881" spans="1:5" x14ac:dyDescent="0.25">
      <c r="A2881" t="s">
        <v>1619</v>
      </c>
      <c r="B2881" t="s">
        <v>1170</v>
      </c>
      <c r="E2881" t="str">
        <f>IF(OR(E2880="&lt;/routeDistribution&gt;",E2880=""),"",IFERROR(_xlfn.CONCAT(VLOOKUP(CO44,Route_Column!#REF!,2,FALSE),CHAR(34)," probability=",CHAR(34),1/CO$4,CHAR(34),CHAR(47),CHAR(62)),"&lt;/routeDistribution&gt;"))</f>
        <v/>
      </c>
    </row>
    <row r="2882" spans="1:5" x14ac:dyDescent="0.25">
      <c r="A2882" t="s">
        <v>1619</v>
      </c>
      <c r="B2882" t="s">
        <v>1196</v>
      </c>
      <c r="E2882" t="str">
        <f>IF(OR(E2881="&lt;/routeDistribution&gt;",E2881=""),"",IFERROR(_xlfn.CONCAT(VLOOKUP(CO45,Route_Column!#REF!,2,FALSE),CHAR(34)," probability=",CHAR(34),1/CO$4,CHAR(34),CHAR(47),CHAR(62)),"&lt;/routeDistribution&gt;"))</f>
        <v/>
      </c>
    </row>
    <row r="2883" spans="1:5" x14ac:dyDescent="0.25">
      <c r="A2883" t="s">
        <v>1619</v>
      </c>
      <c r="B2883" t="s">
        <v>1241</v>
      </c>
      <c r="E2883" t="str">
        <f>IF(OR(E2882="&lt;/routeDistribution&gt;",E2882=""),"",IFERROR(_xlfn.CONCAT(VLOOKUP(CO46,Route_Column!#REF!,2,FALSE),CHAR(34)," probability=",CHAR(34),1/CO$4,CHAR(34),CHAR(47),CHAR(62)),"&lt;/routeDistribution&gt;"))</f>
        <v/>
      </c>
    </row>
    <row r="2884" spans="1:5" x14ac:dyDescent="0.25">
      <c r="A2884" t="s">
        <v>2182</v>
      </c>
      <c r="B2884" t="s">
        <v>1154</v>
      </c>
      <c r="E2884" t="str">
        <f>IF(OR(E2883="&lt;/routeDistribution&gt;",E2883=""),"",IFERROR(_xlfn.CONCAT(VLOOKUP(CO47,Route_Column!#REF!,2,FALSE),CHAR(34)," probability=",CHAR(34),1/CO$4,CHAR(34),CHAR(47),CHAR(62)),"&lt;/routeDistribution&gt;"))</f>
        <v/>
      </c>
    </row>
    <row r="2885" spans="1:5" x14ac:dyDescent="0.25">
      <c r="A2885" t="s">
        <v>2182</v>
      </c>
      <c r="B2885" t="s">
        <v>1155</v>
      </c>
      <c r="E2885" t="str">
        <f>IF(OR(E2884="&lt;/routeDistribution&gt;",E2884=""),"",IFERROR(_xlfn.CONCAT(VLOOKUP(CO48,Route_Column!#REF!,2,FALSE),CHAR(34)," probability=",CHAR(34),1/CO$4,CHAR(34),CHAR(47),CHAR(62)),"&lt;/routeDistribution&gt;"))</f>
        <v/>
      </c>
    </row>
    <row r="2886" spans="1:5" x14ac:dyDescent="0.25">
      <c r="A2886" t="s">
        <v>2182</v>
      </c>
      <c r="B2886" t="s">
        <v>1156</v>
      </c>
      <c r="E2886" t="str">
        <f>IF(OR(E2885="&lt;/routeDistribution&gt;",E2885=""),"",IFERROR(_xlfn.CONCAT(VLOOKUP(CO49,Route_Column!#REF!,2,FALSE),CHAR(34)," probability=",CHAR(34),1/CO$4,CHAR(34),CHAR(47),CHAR(62)),"&lt;/routeDistribution&gt;"))</f>
        <v/>
      </c>
    </row>
    <row r="2887" spans="1:5" x14ac:dyDescent="0.25">
      <c r="A2887" t="s">
        <v>2183</v>
      </c>
      <c r="B2887" t="s">
        <v>1154</v>
      </c>
      <c r="E2887" t="str">
        <f>IF(OR(E2886="&lt;/routeDistribution&gt;",E2886=""),"",IFERROR(_xlfn.CONCAT(VLOOKUP(CO50,Route_Column!#REF!,2,FALSE),CHAR(34)," probability=",CHAR(34),1/CO$4,CHAR(34),CHAR(47),CHAR(62)),"&lt;/routeDistribution&gt;"))</f>
        <v/>
      </c>
    </row>
    <row r="2888" spans="1:5" x14ac:dyDescent="0.25">
      <c r="A2888" t="s">
        <v>2183</v>
      </c>
      <c r="B2888" t="s">
        <v>1155</v>
      </c>
      <c r="E2888" t="str">
        <f>IF(OR(E2887="&lt;/routeDistribution&gt;",E2887=""),"",IFERROR(_xlfn.CONCAT(VLOOKUP(CO51,Route_Column!#REF!,2,FALSE),CHAR(34)," probability=",CHAR(34),1/CO$4,CHAR(34),CHAR(47),CHAR(62)),"&lt;/routeDistribution&gt;"))</f>
        <v/>
      </c>
    </row>
    <row r="2889" spans="1:5" x14ac:dyDescent="0.25">
      <c r="A2889" t="s">
        <v>2183</v>
      </c>
      <c r="B2889" t="s">
        <v>1156</v>
      </c>
      <c r="E2889" t="str">
        <f>IF(OR(E2888="&lt;/routeDistribution&gt;",E2888=""),"",IFERROR(_xlfn.CONCAT(VLOOKUP(CO52,Route_Column!#REF!,2,FALSE),CHAR(34)," probability=",CHAR(34),1/CO$4,CHAR(34),CHAR(47),CHAR(62)),"&lt;/routeDistribution&gt;"))</f>
        <v/>
      </c>
    </row>
    <row r="2890" spans="1:5" x14ac:dyDescent="0.25">
      <c r="A2890" t="s">
        <v>2102</v>
      </c>
      <c r="B2890" t="s">
        <v>1140</v>
      </c>
      <c r="E2890" t="str">
        <f>IF(OR(E2889="&lt;/routeDistribution&gt;",E2889=""),"",IFERROR(_xlfn.CONCAT(VLOOKUP(CO53,Route_Column!#REF!,2,FALSE),CHAR(34)," probability=",CHAR(34),1/CO$4,CHAR(34),CHAR(47),CHAR(62)),"&lt;/routeDistribution&gt;"))</f>
        <v/>
      </c>
    </row>
    <row r="2891" spans="1:5" x14ac:dyDescent="0.25">
      <c r="A2891" t="s">
        <v>2102</v>
      </c>
      <c r="B2891" t="s">
        <v>1141</v>
      </c>
      <c r="E2891" t="str">
        <f>IF(OR(E2890="&lt;/routeDistribution&gt;",E2890=""),"",IFERROR(_xlfn.CONCAT(VLOOKUP(CO54,Route_Column!#REF!,2,FALSE),CHAR(34)," probability=",CHAR(34),1/CO$4,CHAR(34),CHAR(47),CHAR(62)),"&lt;/routeDistribution&gt;"))</f>
        <v/>
      </c>
    </row>
    <row r="2892" spans="1:5" x14ac:dyDescent="0.25">
      <c r="A2892" t="s">
        <v>2102</v>
      </c>
      <c r="B2892" t="s">
        <v>1142</v>
      </c>
      <c r="E2892" t="str">
        <f>IF(OR(E2891="&lt;/routeDistribution&gt;",E2891=""),"",IFERROR(_xlfn.CONCAT(VLOOKUP(CO55,Route_Column!#REF!,2,FALSE),CHAR(34)," probability=",CHAR(34),1/CO$4,CHAR(34),CHAR(47),CHAR(62)),"&lt;/routeDistribution&gt;"))</f>
        <v/>
      </c>
    </row>
    <row r="2893" spans="1:5" x14ac:dyDescent="0.25">
      <c r="A2893" t="s">
        <v>2102</v>
      </c>
      <c r="B2893" t="s">
        <v>1150</v>
      </c>
      <c r="E2893" t="str">
        <f>IF(OR(E2892="&lt;/routeDistribution&gt;",E2892=""),"",IFERROR(_xlfn.CONCAT(VLOOKUP(CO56,Route_Column!#REF!,2,FALSE),CHAR(34)," probability=",CHAR(34),1/CO$4,CHAR(34),CHAR(47),CHAR(62)),"&lt;/routeDistribution&gt;"))</f>
        <v/>
      </c>
    </row>
    <row r="2894" spans="1:5" x14ac:dyDescent="0.25">
      <c r="A2894" t="s">
        <v>2102</v>
      </c>
      <c r="B2894" t="s">
        <v>1151</v>
      </c>
      <c r="E2894" t="str">
        <f>IF(OR(E2893="&lt;/routeDistribution&gt;",E2893=""),"",IFERROR(_xlfn.CONCAT(VLOOKUP(CO57,Route_Column!#REF!,2,FALSE),CHAR(34)," probability=",CHAR(34),1/CO$4,CHAR(34),CHAR(47),CHAR(62)),"&lt;/routeDistribution&gt;"))</f>
        <v/>
      </c>
    </row>
    <row r="2895" spans="1:5" x14ac:dyDescent="0.25">
      <c r="A2895" t="s">
        <v>2102</v>
      </c>
      <c r="B2895" t="s">
        <v>1179</v>
      </c>
      <c r="E2895" t="str">
        <f>IF(OR(E2894="&lt;/routeDistribution&gt;",E2894=""),"",IFERROR(_xlfn.CONCAT(VLOOKUP(CO58,Route_Column!#REF!,2,FALSE),CHAR(34)," probability=",CHAR(34),1/CO$4,CHAR(34),CHAR(47),CHAR(62)),"&lt;/routeDistribution&gt;"))</f>
        <v/>
      </c>
    </row>
    <row r="2896" spans="1:5" x14ac:dyDescent="0.25">
      <c r="A2896" t="s">
        <v>2102</v>
      </c>
      <c r="B2896" t="s">
        <v>1205</v>
      </c>
      <c r="E2896" t="str">
        <f>IF(OR(E2895="&lt;/routeDistribution&gt;",E2895=""),"",IFERROR(_xlfn.CONCAT(VLOOKUP(CO59,Route_Column!#REF!,2,FALSE),CHAR(34)," probability=",CHAR(34),1/CO$4,CHAR(34),CHAR(47),CHAR(62)),"&lt;/routeDistribution&gt;"))</f>
        <v/>
      </c>
    </row>
    <row r="2897" spans="1:5" x14ac:dyDescent="0.25">
      <c r="A2897" t="s">
        <v>2102</v>
      </c>
      <c r="B2897" t="s">
        <v>1206</v>
      </c>
      <c r="E2897" t="str">
        <f>IF(OR(E2896="&lt;/routeDistribution&gt;",E2896=""),"",IFERROR(_xlfn.CONCAT(VLOOKUP(CO60,Route_Column!#REF!,2,FALSE),CHAR(34)," probability=",CHAR(34),1/CO$4,CHAR(34),CHAR(47),CHAR(62)),"&lt;/routeDistribution&gt;"))</f>
        <v/>
      </c>
    </row>
    <row r="2898" spans="1:5" x14ac:dyDescent="0.25">
      <c r="A2898" t="s">
        <v>2102</v>
      </c>
      <c r="B2898" t="s">
        <v>1207</v>
      </c>
      <c r="E2898" t="str">
        <f>IF(OR(E2897="&lt;/routeDistribution&gt;",E2897=""),"",IFERROR(_xlfn.CONCAT(VLOOKUP(CO61,Route_Column!#REF!,2,FALSE),CHAR(34)," probability=",CHAR(34),1/CO$4,CHAR(34),CHAR(47),CHAR(62)),"&lt;/routeDistribution&gt;"))</f>
        <v/>
      </c>
    </row>
    <row r="2899" spans="1:5" x14ac:dyDescent="0.25">
      <c r="A2899" t="s">
        <v>2102</v>
      </c>
      <c r="B2899" t="s">
        <v>1208</v>
      </c>
      <c r="E2899" t="str">
        <f>IF(OR(E2898="&lt;/routeDistribution&gt;",E2898=""),"",IFERROR(_xlfn.CONCAT(VLOOKUP(CO62,Route_Column!#REF!,2,FALSE),CHAR(34)," probability=",CHAR(34),1/CO$4,CHAR(34),CHAR(47),CHAR(62)),"&lt;/routeDistribution&gt;"))</f>
        <v/>
      </c>
    </row>
    <row r="2900" spans="1:5" x14ac:dyDescent="0.25">
      <c r="A2900" t="s">
        <v>2102</v>
      </c>
      <c r="B2900" t="s">
        <v>1232</v>
      </c>
      <c r="E2900" t="str">
        <f>IF(OR(E2899="&lt;/routeDistribution&gt;",E2899=""),"",IFERROR(_xlfn.CONCAT(VLOOKUP(CO63,Route_Column!#REF!,2,FALSE),CHAR(34)," probability=",CHAR(34),1/CO$4,CHAR(34),CHAR(47),CHAR(62)),"&lt;/routeDistribution&gt;"))</f>
        <v/>
      </c>
    </row>
    <row r="2901" spans="1:5" x14ac:dyDescent="0.25">
      <c r="A2901" t="s">
        <v>2102</v>
      </c>
      <c r="B2901" t="s">
        <v>1233</v>
      </c>
      <c r="E2901" t="s">
        <v>2686</v>
      </c>
    </row>
    <row r="2902" spans="1:5" x14ac:dyDescent="0.25">
      <c r="A2902" t="s">
        <v>2102</v>
      </c>
      <c r="B2902" t="s">
        <v>1234</v>
      </c>
    </row>
    <row r="2903" spans="1:5" x14ac:dyDescent="0.25">
      <c r="A2903" t="s">
        <v>2102</v>
      </c>
      <c r="B2903" t="s">
        <v>1235</v>
      </c>
    </row>
    <row r="2904" spans="1:5" x14ac:dyDescent="0.25">
      <c r="A2904" t="s">
        <v>2102</v>
      </c>
      <c r="B2904" t="s">
        <v>1236</v>
      </c>
      <c r="E2904" t="str">
        <f>_xlfn.CONCAT($E$1,CN$2,$F$1)</f>
        <v>&lt;routeDistribution id="36th-Ludlow-2-Market-NB-2005-RouteProbe"&gt;</v>
      </c>
    </row>
    <row r="2905" spans="1:5" x14ac:dyDescent="0.25">
      <c r="A2905" t="s">
        <v>2102</v>
      </c>
      <c r="B2905" t="s">
        <v>1237</v>
      </c>
      <c r="E2905" t="str">
        <f>IF(OR(E2904="&lt;/routeDistribution&gt;",E2904=""),"",IFERROR(_xlfn.CONCAT(VLOOKUP(CN5,Route_Column!#REF!,2,FALSE),CHAR(34)," probability=",CHAR(34),1/CN$4,CHAR(34),CHAR(47),CHAR(62)),"&lt;/routeDistribution&gt;"))</f>
        <v>&lt;/routeDistribution&gt;</v>
      </c>
    </row>
    <row r="2906" spans="1:5" x14ac:dyDescent="0.25">
      <c r="A2906" t="s">
        <v>2102</v>
      </c>
      <c r="B2906" t="s">
        <v>1238</v>
      </c>
      <c r="E2906" t="str">
        <f>IF(OR(E2905="&lt;/routeDistribution&gt;",E2905=""),"",IFERROR(_xlfn.CONCAT(VLOOKUP(CN6,Route_Column!#REF!,2,FALSE),CHAR(34)," probability=",CHAR(34),1/CN$4,CHAR(34),CHAR(47),CHAR(62)),"&lt;/routeDistribution&gt;"))</f>
        <v/>
      </c>
    </row>
    <row r="2907" spans="1:5" x14ac:dyDescent="0.25">
      <c r="A2907" t="s">
        <v>2102</v>
      </c>
      <c r="B2907" t="s">
        <v>1239</v>
      </c>
      <c r="E2907" t="str">
        <f>IF(OR(E2906="&lt;/routeDistribution&gt;",E2906=""),"",IFERROR(_xlfn.CONCAT(VLOOKUP(CN7,Route_Column!#REF!,2,FALSE),CHAR(34)," probability=",CHAR(34),1/CN$4,CHAR(34),CHAR(47),CHAR(62)),"&lt;/routeDistribution&gt;"))</f>
        <v/>
      </c>
    </row>
    <row r="2908" spans="1:5" x14ac:dyDescent="0.25">
      <c r="A2908" t="s">
        <v>2102</v>
      </c>
      <c r="B2908" t="s">
        <v>1240</v>
      </c>
      <c r="E2908" t="str">
        <f>IF(OR(E2907="&lt;/routeDistribution&gt;",E2907=""),"",IFERROR(_xlfn.CONCAT(VLOOKUP(CN8,Route_Column!#REF!,2,FALSE),CHAR(34)," probability=",CHAR(34),1/CN$4,CHAR(34),CHAR(47),CHAR(62)),"&lt;/routeDistribution&gt;"))</f>
        <v/>
      </c>
    </row>
    <row r="2909" spans="1:5" x14ac:dyDescent="0.25">
      <c r="A2909" t="s">
        <v>2102</v>
      </c>
      <c r="B2909" t="s">
        <v>1241</v>
      </c>
      <c r="E2909" t="str">
        <f>IF(OR(E2908="&lt;/routeDistribution&gt;",E2908=""),"",IFERROR(_xlfn.CONCAT(VLOOKUP(CN9,Route_Column!#REF!,2,FALSE),CHAR(34)," probability=",CHAR(34),1/CN$4,CHAR(34),CHAR(47),CHAR(62)),"&lt;/routeDistribution&gt;"))</f>
        <v/>
      </c>
    </row>
    <row r="2910" spans="1:5" x14ac:dyDescent="0.25">
      <c r="A2910" t="s">
        <v>2102</v>
      </c>
      <c r="B2910" t="s">
        <v>1242</v>
      </c>
      <c r="E2910" t="str">
        <f>IF(OR(E2909="&lt;/routeDistribution&gt;",E2909=""),"",IFERROR(_xlfn.CONCAT(VLOOKUP(CN10,Route_Column!#REF!,2,FALSE),CHAR(34)," probability=",CHAR(34),1/CN$4,CHAR(34),CHAR(47),CHAR(62)),"&lt;/routeDistribution&gt;"))</f>
        <v/>
      </c>
    </row>
    <row r="2911" spans="1:5" x14ac:dyDescent="0.25">
      <c r="A2911" t="s">
        <v>2102</v>
      </c>
      <c r="B2911" t="s">
        <v>1243</v>
      </c>
      <c r="E2911" t="str">
        <f>IF(OR(E2910="&lt;/routeDistribution&gt;",E2910=""),"",IFERROR(_xlfn.CONCAT(VLOOKUP(CN11,Route_Column!#REF!,2,FALSE),CHAR(34)," probability=",CHAR(34),1/CN$4,CHAR(34),CHAR(47),CHAR(62)),"&lt;/routeDistribution&gt;"))</f>
        <v/>
      </c>
    </row>
    <row r="2912" spans="1:5" x14ac:dyDescent="0.25">
      <c r="A2912" t="s">
        <v>2102</v>
      </c>
      <c r="B2912" t="s">
        <v>1244</v>
      </c>
      <c r="E2912" t="str">
        <f>IF(OR(E2911="&lt;/routeDistribution&gt;",E2911=""),"",IFERROR(_xlfn.CONCAT(VLOOKUP(CN12,Route_Column!#REF!,2,FALSE),CHAR(34)," probability=",CHAR(34),1/CN$4,CHAR(34),CHAR(47),CHAR(62)),"&lt;/routeDistribution&gt;"))</f>
        <v/>
      </c>
    </row>
    <row r="2913" spans="1:5" x14ac:dyDescent="0.25">
      <c r="A2913" t="s">
        <v>2102</v>
      </c>
      <c r="B2913" t="s">
        <v>1245</v>
      </c>
      <c r="E2913" t="str">
        <f>IF(OR(E2912="&lt;/routeDistribution&gt;",E2912=""),"",IFERROR(_xlfn.CONCAT(VLOOKUP(CN13,Route_Column!#REF!,2,FALSE),CHAR(34)," probability=",CHAR(34),1/CN$4,CHAR(34),CHAR(47),CHAR(62)),"&lt;/routeDistribution&gt;"))</f>
        <v/>
      </c>
    </row>
    <row r="2914" spans="1:5" x14ac:dyDescent="0.25">
      <c r="A2914" t="s">
        <v>2102</v>
      </c>
      <c r="B2914" t="s">
        <v>1246</v>
      </c>
      <c r="E2914" t="str">
        <f>IF(OR(E2913="&lt;/routeDistribution&gt;",E2913=""),"",IFERROR(_xlfn.CONCAT(VLOOKUP(CN14,Route_Column!#REF!,2,FALSE),CHAR(34)," probability=",CHAR(34),1/CN$4,CHAR(34),CHAR(47),CHAR(62)),"&lt;/routeDistribution&gt;"))</f>
        <v/>
      </c>
    </row>
    <row r="2915" spans="1:5" x14ac:dyDescent="0.25">
      <c r="A2915" t="s">
        <v>2102</v>
      </c>
      <c r="B2915" t="s">
        <v>1247</v>
      </c>
      <c r="E2915" t="str">
        <f>IF(OR(E2914="&lt;/routeDistribution&gt;",E2914=""),"",IFERROR(_xlfn.CONCAT(VLOOKUP(CN15,Route_Column!#REF!,2,FALSE),CHAR(34)," probability=",CHAR(34),1/CN$4,CHAR(34),CHAR(47),CHAR(62)),"&lt;/routeDistribution&gt;"))</f>
        <v/>
      </c>
    </row>
    <row r="2916" spans="1:5" x14ac:dyDescent="0.25">
      <c r="A2916" t="s">
        <v>2102</v>
      </c>
      <c r="B2916" t="s">
        <v>1248</v>
      </c>
      <c r="E2916" t="str">
        <f>IF(OR(E2915="&lt;/routeDistribution&gt;",E2915=""),"",IFERROR(_xlfn.CONCAT(VLOOKUP(CN16,Route_Column!#REF!,2,FALSE),CHAR(34)," probability=",CHAR(34),1/CN$4,CHAR(34),CHAR(47),CHAR(62)),"&lt;/routeDistribution&gt;"))</f>
        <v/>
      </c>
    </row>
    <row r="2917" spans="1:5" x14ac:dyDescent="0.25">
      <c r="A2917" t="s">
        <v>2102</v>
      </c>
      <c r="B2917" t="s">
        <v>1249</v>
      </c>
      <c r="E2917" t="str">
        <f>IF(OR(E2916="&lt;/routeDistribution&gt;",E2916=""),"",IFERROR(_xlfn.CONCAT(VLOOKUP(CN17,Route_Column!#REF!,2,FALSE),CHAR(34)," probability=",CHAR(34),1/CN$4,CHAR(34),CHAR(47),CHAR(62)),"&lt;/routeDistribution&gt;"))</f>
        <v/>
      </c>
    </row>
    <row r="2918" spans="1:5" x14ac:dyDescent="0.25">
      <c r="A2918" t="s">
        <v>2102</v>
      </c>
      <c r="B2918" t="s">
        <v>1250</v>
      </c>
      <c r="E2918" t="str">
        <f>IF(OR(E2917="&lt;/routeDistribution&gt;",E2917=""),"",IFERROR(_xlfn.CONCAT(VLOOKUP(CN18,Route_Column!#REF!,2,FALSE),CHAR(34)," probability=",CHAR(34),1/CN$4,CHAR(34),CHAR(47),CHAR(62)),"&lt;/routeDistribution&gt;"))</f>
        <v/>
      </c>
    </row>
    <row r="2919" spans="1:5" x14ac:dyDescent="0.25">
      <c r="A2919" t="s">
        <v>1649</v>
      </c>
      <c r="B2919" t="s">
        <v>1098</v>
      </c>
      <c r="E2919" t="str">
        <f>IF(OR(E2918="&lt;/routeDistribution&gt;",E2918=""),"",IFERROR(_xlfn.CONCAT(VLOOKUP(CN19,Route_Column!#REF!,2,FALSE),CHAR(34)," probability=",CHAR(34),1/CN$4,CHAR(34),CHAR(47),CHAR(62)),"&lt;/routeDistribution&gt;"))</f>
        <v/>
      </c>
    </row>
    <row r="2920" spans="1:5" x14ac:dyDescent="0.25">
      <c r="A2920" t="s">
        <v>1649</v>
      </c>
      <c r="B2920" t="s">
        <v>1185</v>
      </c>
      <c r="E2920" t="str">
        <f>IF(OR(E2919="&lt;/routeDistribution&gt;",E2919=""),"",IFERROR(_xlfn.CONCAT(VLOOKUP(CN20,Route_Column!#REF!,2,FALSE),CHAR(34)," probability=",CHAR(34),1/CN$4,CHAR(34),CHAR(47),CHAR(62)),"&lt;/routeDistribution&gt;"))</f>
        <v/>
      </c>
    </row>
    <row r="2921" spans="1:5" x14ac:dyDescent="0.25">
      <c r="A2921" t="s">
        <v>1649</v>
      </c>
      <c r="B2921" t="s">
        <v>1197</v>
      </c>
      <c r="E2921" t="str">
        <f>IF(OR(E2920="&lt;/routeDistribution&gt;",E2920=""),"",IFERROR(_xlfn.CONCAT(VLOOKUP(CN21,Route_Column!#REF!,2,FALSE),CHAR(34)," probability=",CHAR(34),1/CN$4,CHAR(34),CHAR(47),CHAR(62)),"&lt;/routeDistribution&gt;"))</f>
        <v/>
      </c>
    </row>
    <row r="2922" spans="1:5" x14ac:dyDescent="0.25">
      <c r="A2922" t="s">
        <v>1649</v>
      </c>
      <c r="B2922" t="s">
        <v>1209</v>
      </c>
      <c r="E2922" t="str">
        <f>IF(OR(E2921="&lt;/routeDistribution&gt;",E2921=""),"",IFERROR(_xlfn.CONCAT(VLOOKUP(CN22,Route_Column!#REF!,2,FALSE),CHAR(34)," probability=",CHAR(34),1/CN$4,CHAR(34),CHAR(47),CHAR(62)),"&lt;/routeDistribution&gt;"))</f>
        <v/>
      </c>
    </row>
    <row r="2923" spans="1:5" x14ac:dyDescent="0.25">
      <c r="A2923" t="s">
        <v>1649</v>
      </c>
      <c r="B2923" t="s">
        <v>1210</v>
      </c>
      <c r="E2923" t="str">
        <f>IF(OR(E2922="&lt;/routeDistribution&gt;",E2922=""),"",IFERROR(_xlfn.CONCAT(VLOOKUP(CN23,Route_Column!#REF!,2,FALSE),CHAR(34)," probability=",CHAR(34),1/CN$4,CHAR(34),CHAR(47),CHAR(62)),"&lt;/routeDistribution&gt;"))</f>
        <v/>
      </c>
    </row>
    <row r="2924" spans="1:5" x14ac:dyDescent="0.25">
      <c r="A2924" t="s">
        <v>1649</v>
      </c>
      <c r="B2924" t="s">
        <v>1211</v>
      </c>
      <c r="E2924" t="str">
        <f>IF(OR(E2923="&lt;/routeDistribution&gt;",E2923=""),"",IFERROR(_xlfn.CONCAT(VLOOKUP(CN24,Route_Column!#REF!,2,FALSE),CHAR(34)," probability=",CHAR(34),1/CN$4,CHAR(34),CHAR(47),CHAR(62)),"&lt;/routeDistribution&gt;"))</f>
        <v/>
      </c>
    </row>
    <row r="2925" spans="1:5" x14ac:dyDescent="0.25">
      <c r="A2925" t="s">
        <v>1649</v>
      </c>
      <c r="B2925" t="s">
        <v>1244</v>
      </c>
      <c r="E2925" t="str">
        <f>IF(OR(E2924="&lt;/routeDistribution&gt;",E2924=""),"",IFERROR(_xlfn.CONCAT(VLOOKUP(CN25,Route_Column!#REF!,2,FALSE),CHAR(34)," probability=",CHAR(34),1/CN$4,CHAR(34),CHAR(47),CHAR(62)),"&lt;/routeDistribution&gt;"))</f>
        <v/>
      </c>
    </row>
    <row r="2926" spans="1:5" x14ac:dyDescent="0.25">
      <c r="A2926" t="s">
        <v>1649</v>
      </c>
      <c r="B2926" t="s">
        <v>1246</v>
      </c>
      <c r="E2926" t="str">
        <f>IF(OR(E2925="&lt;/routeDistribution&gt;",E2925=""),"",IFERROR(_xlfn.CONCAT(VLOOKUP(CN26,Route_Column!#REF!,2,FALSE),CHAR(34)," probability=",CHAR(34),1/CN$4,CHAR(34),CHAR(47),CHAR(62)),"&lt;/routeDistribution&gt;"))</f>
        <v/>
      </c>
    </row>
    <row r="2927" spans="1:5" x14ac:dyDescent="0.25">
      <c r="A2927" t="s">
        <v>1649</v>
      </c>
      <c r="B2927" t="s">
        <v>1247</v>
      </c>
      <c r="E2927" t="str">
        <f>IF(OR(E2926="&lt;/routeDistribution&gt;",E2926=""),"",IFERROR(_xlfn.CONCAT(VLOOKUP(CN27,Route_Column!#REF!,2,FALSE),CHAR(34)," probability=",CHAR(34),1/CN$4,CHAR(34),CHAR(47),CHAR(62)),"&lt;/routeDistribution&gt;"))</f>
        <v/>
      </c>
    </row>
    <row r="2928" spans="1:5" x14ac:dyDescent="0.25">
      <c r="A2928" t="s">
        <v>1649</v>
      </c>
      <c r="B2928" t="s">
        <v>1248</v>
      </c>
      <c r="E2928" t="str">
        <f>IF(OR(E2927="&lt;/routeDistribution&gt;",E2927=""),"",IFERROR(_xlfn.CONCAT(VLOOKUP(CN28,Route_Column!#REF!,2,FALSE),CHAR(34)," probability=",CHAR(34),1/CN$4,CHAR(34),CHAR(47),CHAR(62)),"&lt;/routeDistribution&gt;"))</f>
        <v/>
      </c>
    </row>
    <row r="2929" spans="1:5" x14ac:dyDescent="0.25">
      <c r="A2929" t="s">
        <v>1649</v>
      </c>
      <c r="B2929" t="s">
        <v>1249</v>
      </c>
      <c r="E2929" t="str">
        <f>IF(OR(E2928="&lt;/routeDistribution&gt;",E2928=""),"",IFERROR(_xlfn.CONCAT(VLOOKUP(CN29,Route_Column!#REF!,2,FALSE),CHAR(34)," probability=",CHAR(34),1/CN$4,CHAR(34),CHAR(47),CHAR(62)),"&lt;/routeDistribution&gt;"))</f>
        <v/>
      </c>
    </row>
    <row r="2930" spans="1:5" x14ac:dyDescent="0.25">
      <c r="A2930" t="s">
        <v>1650</v>
      </c>
      <c r="B2930" t="s">
        <v>1098</v>
      </c>
      <c r="E2930" t="str">
        <f>IF(OR(E2929="&lt;/routeDistribution&gt;",E2929=""),"",IFERROR(_xlfn.CONCAT(VLOOKUP(CN30,Route_Column!#REF!,2,FALSE),CHAR(34)," probability=",CHAR(34),1/CN$4,CHAR(34),CHAR(47),CHAR(62)),"&lt;/routeDistribution&gt;"))</f>
        <v/>
      </c>
    </row>
    <row r="2931" spans="1:5" x14ac:dyDescent="0.25">
      <c r="A2931" t="s">
        <v>1650</v>
      </c>
      <c r="B2931" t="s">
        <v>1185</v>
      </c>
      <c r="E2931" t="str">
        <f>IF(OR(E2930="&lt;/routeDistribution&gt;",E2930=""),"",IFERROR(_xlfn.CONCAT(VLOOKUP(CN31,Route_Column!#REF!,2,FALSE),CHAR(34)," probability=",CHAR(34),1/CN$4,CHAR(34),CHAR(47),CHAR(62)),"&lt;/routeDistribution&gt;"))</f>
        <v/>
      </c>
    </row>
    <row r="2932" spans="1:5" x14ac:dyDescent="0.25">
      <c r="A2932" t="s">
        <v>1650</v>
      </c>
      <c r="B2932" t="s">
        <v>1197</v>
      </c>
      <c r="E2932" t="str">
        <f>IF(OR(E2931="&lt;/routeDistribution&gt;",E2931=""),"",IFERROR(_xlfn.CONCAT(VLOOKUP(CN32,Route_Column!#REF!,2,FALSE),CHAR(34)," probability=",CHAR(34),1/CN$4,CHAR(34),CHAR(47),CHAR(62)),"&lt;/routeDistribution&gt;"))</f>
        <v/>
      </c>
    </row>
    <row r="2933" spans="1:5" x14ac:dyDescent="0.25">
      <c r="A2933" t="s">
        <v>1650</v>
      </c>
      <c r="B2933" t="s">
        <v>1209</v>
      </c>
      <c r="E2933" t="str">
        <f>IF(OR(E2932="&lt;/routeDistribution&gt;",E2932=""),"",IFERROR(_xlfn.CONCAT(VLOOKUP(CN33,Route_Column!#REF!,2,FALSE),CHAR(34)," probability=",CHAR(34),1/CN$4,CHAR(34),CHAR(47),CHAR(62)),"&lt;/routeDistribution&gt;"))</f>
        <v/>
      </c>
    </row>
    <row r="2934" spans="1:5" x14ac:dyDescent="0.25">
      <c r="A2934" t="s">
        <v>1650</v>
      </c>
      <c r="B2934" t="s">
        <v>1210</v>
      </c>
      <c r="E2934" t="str">
        <f>IF(OR(E2933="&lt;/routeDistribution&gt;",E2933=""),"",IFERROR(_xlfn.CONCAT(VLOOKUP(CN34,Route_Column!#REF!,2,FALSE),CHAR(34)," probability=",CHAR(34),1/CN$4,CHAR(34),CHAR(47),CHAR(62)),"&lt;/routeDistribution&gt;"))</f>
        <v/>
      </c>
    </row>
    <row r="2935" spans="1:5" x14ac:dyDescent="0.25">
      <c r="A2935" t="s">
        <v>1650</v>
      </c>
      <c r="B2935" t="s">
        <v>1244</v>
      </c>
      <c r="E2935" t="str">
        <f>IF(OR(E2934="&lt;/routeDistribution&gt;",E2934=""),"",IFERROR(_xlfn.CONCAT(VLOOKUP(CN35,Route_Column!#REF!,2,FALSE),CHAR(34)," probability=",CHAR(34),1/CN$4,CHAR(34),CHAR(47),CHAR(62)),"&lt;/routeDistribution&gt;"))</f>
        <v/>
      </c>
    </row>
    <row r="2936" spans="1:5" x14ac:dyDescent="0.25">
      <c r="A2936" t="s">
        <v>1650</v>
      </c>
      <c r="B2936" t="s">
        <v>1246</v>
      </c>
      <c r="E2936" t="str">
        <f>IF(OR(E2935="&lt;/routeDistribution&gt;",E2935=""),"",IFERROR(_xlfn.CONCAT(VLOOKUP(CN36,Route_Column!#REF!,2,FALSE),CHAR(34)," probability=",CHAR(34),1/CN$4,CHAR(34),CHAR(47),CHAR(62)),"&lt;/routeDistribution&gt;"))</f>
        <v/>
      </c>
    </row>
    <row r="2937" spans="1:5" x14ac:dyDescent="0.25">
      <c r="A2937" t="s">
        <v>1650</v>
      </c>
      <c r="B2937" t="s">
        <v>1247</v>
      </c>
      <c r="E2937" t="str">
        <f>IF(OR(E2936="&lt;/routeDistribution&gt;",E2936=""),"",IFERROR(_xlfn.CONCAT(VLOOKUP(CN37,Route_Column!#REF!,2,FALSE),CHAR(34)," probability=",CHAR(34),1/CN$4,CHAR(34),CHAR(47),CHAR(62)),"&lt;/routeDistribution&gt;"))</f>
        <v/>
      </c>
    </row>
    <row r="2938" spans="1:5" x14ac:dyDescent="0.25">
      <c r="A2938" t="s">
        <v>1704</v>
      </c>
      <c r="B2938" t="s">
        <v>1100</v>
      </c>
      <c r="E2938" t="str">
        <f>IF(OR(E2937="&lt;/routeDistribution&gt;",E2937=""),"",IFERROR(_xlfn.CONCAT(VLOOKUP(CN38,Route_Column!#REF!,2,FALSE),CHAR(34)," probability=",CHAR(34),1/CN$4,CHAR(34),CHAR(47),CHAR(62)),"&lt;/routeDistribution&gt;"))</f>
        <v/>
      </c>
    </row>
    <row r="2939" spans="1:5" x14ac:dyDescent="0.25">
      <c r="A2939" t="s">
        <v>1704</v>
      </c>
      <c r="B2939" t="s">
        <v>1101</v>
      </c>
      <c r="E2939" t="str">
        <f>IF(OR(E2938="&lt;/routeDistribution&gt;",E2938=""),"",IFERROR(_xlfn.CONCAT(VLOOKUP(CN39,Route_Column!#REF!,2,FALSE),CHAR(34)," probability=",CHAR(34),1/CN$4,CHAR(34),CHAR(47),CHAR(62)),"&lt;/routeDistribution&gt;"))</f>
        <v/>
      </c>
    </row>
    <row r="2940" spans="1:5" x14ac:dyDescent="0.25">
      <c r="A2940" t="s">
        <v>1704</v>
      </c>
      <c r="B2940" t="s">
        <v>1164</v>
      </c>
      <c r="E2940" t="str">
        <f>IF(OR(E2939="&lt;/routeDistribution&gt;",E2939=""),"",IFERROR(_xlfn.CONCAT(VLOOKUP(CN40,Route_Column!#REF!,2,FALSE),CHAR(34)," probability=",CHAR(34),1/CN$4,CHAR(34),CHAR(47),CHAR(62)),"&lt;/routeDistribution&gt;"))</f>
        <v/>
      </c>
    </row>
    <row r="2941" spans="1:5" x14ac:dyDescent="0.25">
      <c r="A2941" t="s">
        <v>1704</v>
      </c>
      <c r="B2941" t="s">
        <v>1209</v>
      </c>
      <c r="E2941" t="str">
        <f>IF(OR(E2940="&lt;/routeDistribution&gt;",E2940=""),"",IFERROR(_xlfn.CONCAT(VLOOKUP(CN41,Route_Column!#REF!,2,FALSE),CHAR(34)," probability=",CHAR(34),1/CN$4,CHAR(34),CHAR(47),CHAR(62)),"&lt;/routeDistribution&gt;"))</f>
        <v/>
      </c>
    </row>
    <row r="2942" spans="1:5" x14ac:dyDescent="0.25">
      <c r="A2942" t="s">
        <v>1704</v>
      </c>
      <c r="B2942" t="s">
        <v>1210</v>
      </c>
      <c r="E2942" t="str">
        <f>IF(OR(E2941="&lt;/routeDistribution&gt;",E2941=""),"",IFERROR(_xlfn.CONCAT(VLOOKUP(CN42,Route_Column!#REF!,2,FALSE),CHAR(34)," probability=",CHAR(34),1/CN$4,CHAR(34),CHAR(47),CHAR(62)),"&lt;/routeDistribution&gt;"))</f>
        <v/>
      </c>
    </row>
    <row r="2943" spans="1:5" x14ac:dyDescent="0.25">
      <c r="A2943" t="s">
        <v>1704</v>
      </c>
      <c r="B2943" t="s">
        <v>1223</v>
      </c>
      <c r="E2943" t="str">
        <f>IF(OR(E2942="&lt;/routeDistribution&gt;",E2942=""),"",IFERROR(_xlfn.CONCAT(VLOOKUP(CN43,Route_Column!#REF!,2,FALSE),CHAR(34)," probability=",CHAR(34),1/CN$4,CHAR(34),CHAR(47),CHAR(62)),"&lt;/routeDistribution&gt;"))</f>
        <v/>
      </c>
    </row>
    <row r="2944" spans="1:5" x14ac:dyDescent="0.25">
      <c r="A2944" t="s">
        <v>1704</v>
      </c>
      <c r="B2944" t="s">
        <v>1235</v>
      </c>
      <c r="E2944" t="str">
        <f>IF(OR(E2943="&lt;/routeDistribution&gt;",E2943=""),"",IFERROR(_xlfn.CONCAT(VLOOKUP(CN44,Route_Column!#REF!,2,FALSE),CHAR(34)," probability=",CHAR(34),1/CN$4,CHAR(34),CHAR(47),CHAR(62)),"&lt;/routeDistribution&gt;"))</f>
        <v/>
      </c>
    </row>
    <row r="2945" spans="1:5" x14ac:dyDescent="0.25">
      <c r="A2945" t="s">
        <v>1704</v>
      </c>
      <c r="B2945" t="s">
        <v>1236</v>
      </c>
      <c r="E2945" t="str">
        <f>IF(OR(E2944="&lt;/routeDistribution&gt;",E2944=""),"",IFERROR(_xlfn.CONCAT(VLOOKUP(CN45,Route_Column!#REF!,2,FALSE),CHAR(34)," probability=",CHAR(34),1/CN$4,CHAR(34),CHAR(47),CHAR(62)),"&lt;/routeDistribution&gt;"))</f>
        <v/>
      </c>
    </row>
    <row r="2946" spans="1:5" x14ac:dyDescent="0.25">
      <c r="A2946" t="s">
        <v>1705</v>
      </c>
      <c r="B2946" t="s">
        <v>1100</v>
      </c>
      <c r="E2946" t="str">
        <f>IF(OR(E2945="&lt;/routeDistribution&gt;",E2945=""),"",IFERROR(_xlfn.CONCAT(VLOOKUP(CN46,Route_Column!#REF!,2,FALSE),CHAR(34)," probability=",CHAR(34),1/CN$4,CHAR(34),CHAR(47),CHAR(62)),"&lt;/routeDistribution&gt;"))</f>
        <v/>
      </c>
    </row>
    <row r="2947" spans="1:5" x14ac:dyDescent="0.25">
      <c r="A2947" t="s">
        <v>1705</v>
      </c>
      <c r="B2947" t="s">
        <v>1101</v>
      </c>
      <c r="E2947" t="str">
        <f>IF(OR(E2946="&lt;/routeDistribution&gt;",E2946=""),"",IFERROR(_xlfn.CONCAT(VLOOKUP(CN47,Route_Column!#REF!,2,FALSE),CHAR(34)," probability=",CHAR(34),1/CN$4,CHAR(34),CHAR(47),CHAR(62)),"&lt;/routeDistribution&gt;"))</f>
        <v/>
      </c>
    </row>
    <row r="2948" spans="1:5" x14ac:dyDescent="0.25">
      <c r="A2948" t="s">
        <v>1705</v>
      </c>
      <c r="B2948" t="s">
        <v>1164</v>
      </c>
      <c r="E2948" t="str">
        <f>IF(OR(E2947="&lt;/routeDistribution&gt;",E2947=""),"",IFERROR(_xlfn.CONCAT(VLOOKUP(CN48,Route_Column!#REF!,2,FALSE),CHAR(34)," probability=",CHAR(34),1/CN$4,CHAR(34),CHAR(47),CHAR(62)),"&lt;/routeDistribution&gt;"))</f>
        <v/>
      </c>
    </row>
    <row r="2949" spans="1:5" x14ac:dyDescent="0.25">
      <c r="A2949" t="s">
        <v>1705</v>
      </c>
      <c r="B2949" t="s">
        <v>1209</v>
      </c>
      <c r="E2949" t="str">
        <f>IF(OR(E2948="&lt;/routeDistribution&gt;",E2948=""),"",IFERROR(_xlfn.CONCAT(VLOOKUP(CN49,Route_Column!#REF!,2,FALSE),CHAR(34)," probability=",CHAR(34),1/CN$4,CHAR(34),CHAR(47),CHAR(62)),"&lt;/routeDistribution&gt;"))</f>
        <v/>
      </c>
    </row>
    <row r="2950" spans="1:5" x14ac:dyDescent="0.25">
      <c r="A2950" t="s">
        <v>1705</v>
      </c>
      <c r="B2950" t="s">
        <v>1210</v>
      </c>
      <c r="E2950" t="str">
        <f>IF(OR(E2949="&lt;/routeDistribution&gt;",E2949=""),"",IFERROR(_xlfn.CONCAT(VLOOKUP(CN50,Route_Column!#REF!,2,FALSE),CHAR(34)," probability=",CHAR(34),1/CN$4,CHAR(34),CHAR(47),CHAR(62)),"&lt;/routeDistribution&gt;"))</f>
        <v/>
      </c>
    </row>
    <row r="2951" spans="1:5" x14ac:dyDescent="0.25">
      <c r="A2951" t="s">
        <v>1705</v>
      </c>
      <c r="B2951" t="s">
        <v>1223</v>
      </c>
      <c r="E2951" t="str">
        <f>IF(OR(E2950="&lt;/routeDistribution&gt;",E2950=""),"",IFERROR(_xlfn.CONCAT(VLOOKUP(CN51,Route_Column!#REF!,2,FALSE),CHAR(34)," probability=",CHAR(34),1/CN$4,CHAR(34),CHAR(47),CHAR(62)),"&lt;/routeDistribution&gt;"))</f>
        <v/>
      </c>
    </row>
    <row r="2952" spans="1:5" x14ac:dyDescent="0.25">
      <c r="A2952" t="s">
        <v>1705</v>
      </c>
      <c r="B2952" t="s">
        <v>1235</v>
      </c>
      <c r="E2952" t="str">
        <f>IF(OR(E2951="&lt;/routeDistribution&gt;",E2951=""),"",IFERROR(_xlfn.CONCAT(VLOOKUP(CN52,Route_Column!#REF!,2,FALSE),CHAR(34)," probability=",CHAR(34),1/CN$4,CHAR(34),CHAR(47),CHAR(62)),"&lt;/routeDistribution&gt;"))</f>
        <v/>
      </c>
    </row>
    <row r="2953" spans="1:5" x14ac:dyDescent="0.25">
      <c r="A2953" t="s">
        <v>1705</v>
      </c>
      <c r="B2953" t="s">
        <v>1236</v>
      </c>
      <c r="E2953" t="str">
        <f>IF(OR(E2952="&lt;/routeDistribution&gt;",E2952=""),"",IFERROR(_xlfn.CONCAT(VLOOKUP(CN53,Route_Column!#REF!,2,FALSE),CHAR(34)," probability=",CHAR(34),1/CN$4,CHAR(34),CHAR(47),CHAR(62)),"&lt;/routeDistribution&gt;"))</f>
        <v/>
      </c>
    </row>
    <row r="2954" spans="1:5" x14ac:dyDescent="0.25">
      <c r="A2954" t="s">
        <v>1657</v>
      </c>
      <c r="B2954" t="s">
        <v>1098</v>
      </c>
      <c r="E2954" t="str">
        <f>IF(OR(E2953="&lt;/routeDistribution&gt;",E2953=""),"",IFERROR(_xlfn.CONCAT(VLOOKUP(CN54,Route_Column!#REF!,2,FALSE),CHAR(34)," probability=",CHAR(34),1/CN$4,CHAR(34),CHAR(47),CHAR(62)),"&lt;/routeDistribution&gt;"))</f>
        <v/>
      </c>
    </row>
    <row r="2955" spans="1:5" x14ac:dyDescent="0.25">
      <c r="A2955" t="s">
        <v>1657</v>
      </c>
      <c r="B2955" t="s">
        <v>1100</v>
      </c>
      <c r="E2955" t="str">
        <f>IF(OR(E2954="&lt;/routeDistribution&gt;",E2954=""),"",IFERROR(_xlfn.CONCAT(VLOOKUP(CN55,Route_Column!#REF!,2,FALSE),CHAR(34)," probability=",CHAR(34),1/CN$4,CHAR(34),CHAR(47),CHAR(62)),"&lt;/routeDistribution&gt;"))</f>
        <v/>
      </c>
    </row>
    <row r="2956" spans="1:5" x14ac:dyDescent="0.25">
      <c r="A2956" t="s">
        <v>1657</v>
      </c>
      <c r="B2956" t="s">
        <v>1101</v>
      </c>
      <c r="E2956" t="str">
        <f>IF(OR(E2955="&lt;/routeDistribution&gt;",E2955=""),"",IFERROR(_xlfn.CONCAT(VLOOKUP(CN56,Route_Column!#REF!,2,FALSE),CHAR(34)," probability=",CHAR(34),1/CN$4,CHAR(34),CHAR(47),CHAR(62)),"&lt;/routeDistribution&gt;"))</f>
        <v/>
      </c>
    </row>
    <row r="2957" spans="1:5" x14ac:dyDescent="0.25">
      <c r="A2957" t="s">
        <v>1657</v>
      </c>
      <c r="B2957" t="s">
        <v>1164</v>
      </c>
      <c r="E2957" t="str">
        <f>IF(OR(E2956="&lt;/routeDistribution&gt;",E2956=""),"",IFERROR(_xlfn.CONCAT(VLOOKUP(CN57,Route_Column!#REF!,2,FALSE),CHAR(34)," probability=",CHAR(34),1/CN$4,CHAR(34),CHAR(47),CHAR(62)),"&lt;/routeDistribution&gt;"))</f>
        <v/>
      </c>
    </row>
    <row r="2958" spans="1:5" x14ac:dyDescent="0.25">
      <c r="A2958" t="s">
        <v>1657</v>
      </c>
      <c r="B2958" t="s">
        <v>1185</v>
      </c>
      <c r="E2958" t="str">
        <f>IF(OR(E2957="&lt;/routeDistribution&gt;",E2957=""),"",IFERROR(_xlfn.CONCAT(VLOOKUP(CN58,Route_Column!#REF!,2,FALSE),CHAR(34)," probability=",CHAR(34),1/CN$4,CHAR(34),CHAR(47),CHAR(62)),"&lt;/routeDistribution&gt;"))</f>
        <v/>
      </c>
    </row>
    <row r="2959" spans="1:5" x14ac:dyDescent="0.25">
      <c r="A2959" t="s">
        <v>1657</v>
      </c>
      <c r="B2959" t="s">
        <v>1197</v>
      </c>
      <c r="E2959" t="str">
        <f>IF(OR(E2958="&lt;/routeDistribution&gt;",E2958=""),"",IFERROR(_xlfn.CONCAT(VLOOKUP(CN59,Route_Column!#REF!,2,FALSE),CHAR(34)," probability=",CHAR(34),1/CN$4,CHAR(34),CHAR(47),CHAR(62)),"&lt;/routeDistribution&gt;"))</f>
        <v/>
      </c>
    </row>
    <row r="2960" spans="1:5" x14ac:dyDescent="0.25">
      <c r="A2960" t="s">
        <v>1657</v>
      </c>
      <c r="B2960" t="s">
        <v>1223</v>
      </c>
      <c r="E2960" t="str">
        <f>IF(OR(E2959="&lt;/routeDistribution&gt;",E2959=""),"",IFERROR(_xlfn.CONCAT(VLOOKUP(CN60,Route_Column!#REF!,2,FALSE),CHAR(34)," probability=",CHAR(34),1/CN$4,CHAR(34),CHAR(47),CHAR(62)),"&lt;/routeDistribution&gt;"))</f>
        <v/>
      </c>
    </row>
    <row r="2961" spans="1:5" x14ac:dyDescent="0.25">
      <c r="A2961" t="s">
        <v>1657</v>
      </c>
      <c r="B2961" t="s">
        <v>1235</v>
      </c>
      <c r="E2961" t="str">
        <f>IF(OR(E2960="&lt;/routeDistribution&gt;",E2960=""),"",IFERROR(_xlfn.CONCAT(VLOOKUP(CN61,Route_Column!#REF!,2,FALSE),CHAR(34)," probability=",CHAR(34),1/CN$4,CHAR(34),CHAR(47),CHAR(62)),"&lt;/routeDistribution&gt;"))</f>
        <v/>
      </c>
    </row>
    <row r="2962" spans="1:5" x14ac:dyDescent="0.25">
      <c r="A2962" t="s">
        <v>1657</v>
      </c>
      <c r="B2962" t="s">
        <v>1236</v>
      </c>
      <c r="E2962" t="str">
        <f>IF(OR(E2961="&lt;/routeDistribution&gt;",E2961=""),"",IFERROR(_xlfn.CONCAT(VLOOKUP(CN62,Route_Column!#REF!,2,FALSE),CHAR(34)," probability=",CHAR(34),1/CN$4,CHAR(34),CHAR(47),CHAR(62)),"&lt;/routeDistribution&gt;"))</f>
        <v/>
      </c>
    </row>
    <row r="2963" spans="1:5" x14ac:dyDescent="0.25">
      <c r="A2963" t="s">
        <v>1657</v>
      </c>
      <c r="B2963" t="s">
        <v>1244</v>
      </c>
      <c r="E2963" t="str">
        <f>IF(OR(E2962="&lt;/routeDistribution&gt;",E2962=""),"",IFERROR(_xlfn.CONCAT(VLOOKUP(CN63,Route_Column!#REF!,2,FALSE),CHAR(34)," probability=",CHAR(34),1/CN$4,CHAR(34),CHAR(47),CHAR(62)),"&lt;/routeDistribution&gt;"))</f>
        <v/>
      </c>
    </row>
    <row r="2964" spans="1:5" x14ac:dyDescent="0.25">
      <c r="A2964" t="s">
        <v>1658</v>
      </c>
      <c r="B2964" t="s">
        <v>1098</v>
      </c>
      <c r="E2964" t="s">
        <v>2686</v>
      </c>
    </row>
    <row r="2965" spans="1:5" x14ac:dyDescent="0.25">
      <c r="A2965" t="s">
        <v>1658</v>
      </c>
      <c r="B2965" t="s">
        <v>1100</v>
      </c>
    </row>
    <row r="2966" spans="1:5" x14ac:dyDescent="0.25">
      <c r="A2966" t="s">
        <v>1658</v>
      </c>
      <c r="B2966" t="s">
        <v>1101</v>
      </c>
    </row>
    <row r="2967" spans="1:5" x14ac:dyDescent="0.25">
      <c r="A2967" t="s">
        <v>1658</v>
      </c>
      <c r="B2967" t="s">
        <v>1104</v>
      </c>
      <c r="E2967" t="str">
        <f>_xlfn.CONCAT($E$1,CM$2,$F$1)</f>
        <v>&lt;routeDistribution id="I-76-off-Ramp-from-EB-Southst-Bridge-2008-RouteProbe"&gt;</v>
      </c>
    </row>
    <row r="2968" spans="1:5" x14ac:dyDescent="0.25">
      <c r="A2968" t="s">
        <v>1658</v>
      </c>
      <c r="B2968" t="s">
        <v>1105</v>
      </c>
      <c r="E2968" t="str">
        <f>IF(OR(E2967="&lt;/routeDistribution&gt;",E2967=""),"",IFERROR(_xlfn.CONCAT(VLOOKUP(CM5,Route_Column!#REF!,2,FALSE),CHAR(34)," probability=",CHAR(34),1/CM$4,CHAR(34),CHAR(47),CHAR(62)),"&lt;/routeDistribution&gt;"))</f>
        <v>&lt;/routeDistribution&gt;</v>
      </c>
    </row>
    <row r="2969" spans="1:5" x14ac:dyDescent="0.25">
      <c r="A2969" t="s">
        <v>1658</v>
      </c>
      <c r="B2969" t="s">
        <v>1116</v>
      </c>
      <c r="E2969" t="str">
        <f>IF(OR(E2968="&lt;/routeDistribution&gt;",E2968=""),"",IFERROR(_xlfn.CONCAT(VLOOKUP(CM6,Route_Column!#REF!,2,FALSE),CHAR(34)," probability=",CHAR(34),1/CM$4,CHAR(34),CHAR(47),CHAR(62)),"&lt;/routeDistribution&gt;"))</f>
        <v/>
      </c>
    </row>
    <row r="2970" spans="1:5" x14ac:dyDescent="0.25">
      <c r="A2970" t="s">
        <v>1658</v>
      </c>
      <c r="B2970" t="s">
        <v>1116</v>
      </c>
      <c r="E2970" t="str">
        <f>IF(OR(E2969="&lt;/routeDistribution&gt;",E2969=""),"",IFERROR(_xlfn.CONCAT(VLOOKUP(CM7,Route_Column!#REF!,2,FALSE),CHAR(34)," probability=",CHAR(34),1/CM$4,CHAR(34),CHAR(47),CHAR(62)),"&lt;/routeDistribution&gt;"))</f>
        <v/>
      </c>
    </row>
    <row r="2971" spans="1:5" x14ac:dyDescent="0.25">
      <c r="A2971" t="s">
        <v>1658</v>
      </c>
      <c r="B2971" t="s">
        <v>1117</v>
      </c>
      <c r="E2971" t="str">
        <f>IF(OR(E2970="&lt;/routeDistribution&gt;",E2970=""),"",IFERROR(_xlfn.CONCAT(VLOOKUP(CM8,Route_Column!#REF!,2,FALSE),CHAR(34)," probability=",CHAR(34),1/CM$4,CHAR(34),CHAR(47),CHAR(62)),"&lt;/routeDistribution&gt;"))</f>
        <v/>
      </c>
    </row>
    <row r="2972" spans="1:5" x14ac:dyDescent="0.25">
      <c r="A2972" t="s">
        <v>1658</v>
      </c>
      <c r="B2972" t="s">
        <v>1117</v>
      </c>
      <c r="E2972" t="str">
        <f>IF(OR(E2971="&lt;/routeDistribution&gt;",E2971=""),"",IFERROR(_xlfn.CONCAT(VLOOKUP(CM9,Route_Column!#REF!,2,FALSE),CHAR(34)," probability=",CHAR(34),1/CM$4,CHAR(34),CHAR(47),CHAR(62)),"&lt;/routeDistribution&gt;"))</f>
        <v/>
      </c>
    </row>
    <row r="2973" spans="1:5" x14ac:dyDescent="0.25">
      <c r="A2973" t="s">
        <v>1658</v>
      </c>
      <c r="B2973" t="s">
        <v>1118</v>
      </c>
      <c r="E2973" t="str">
        <f>IF(OR(E2972="&lt;/routeDistribution&gt;",E2972=""),"",IFERROR(_xlfn.CONCAT(VLOOKUP(CM10,Route_Column!#REF!,2,FALSE),CHAR(34)," probability=",CHAR(34),1/CM$4,CHAR(34),CHAR(47),CHAR(62)),"&lt;/routeDistribution&gt;"))</f>
        <v/>
      </c>
    </row>
    <row r="2974" spans="1:5" x14ac:dyDescent="0.25">
      <c r="A2974" t="s">
        <v>1658</v>
      </c>
      <c r="B2974" t="s">
        <v>1164</v>
      </c>
      <c r="E2974" t="str">
        <f>IF(OR(E2973="&lt;/routeDistribution&gt;",E2973=""),"",IFERROR(_xlfn.CONCAT(VLOOKUP(CM11,Route_Column!#REF!,2,FALSE),CHAR(34)," probability=",CHAR(34),1/CM$4,CHAR(34),CHAR(47),CHAR(62)),"&lt;/routeDistribution&gt;"))</f>
        <v/>
      </c>
    </row>
    <row r="2975" spans="1:5" x14ac:dyDescent="0.25">
      <c r="A2975" t="s">
        <v>1658</v>
      </c>
      <c r="B2975" t="s">
        <v>1185</v>
      </c>
      <c r="E2975" t="str">
        <f>IF(OR(E2974="&lt;/routeDistribution&gt;",E2974=""),"",IFERROR(_xlfn.CONCAT(VLOOKUP(CM12,Route_Column!#REF!,2,FALSE),CHAR(34)," probability=",CHAR(34),1/CM$4,CHAR(34),CHAR(47),CHAR(62)),"&lt;/routeDistribution&gt;"))</f>
        <v/>
      </c>
    </row>
    <row r="2976" spans="1:5" x14ac:dyDescent="0.25">
      <c r="A2976" t="s">
        <v>1658</v>
      </c>
      <c r="B2976" t="s">
        <v>1197</v>
      </c>
      <c r="E2976" t="str">
        <f>IF(OR(E2975="&lt;/routeDistribution&gt;",E2975=""),"",IFERROR(_xlfn.CONCAT(VLOOKUP(CM13,Route_Column!#REF!,2,FALSE),CHAR(34)," probability=",CHAR(34),1/CM$4,CHAR(34),CHAR(47),CHAR(62)),"&lt;/routeDistribution&gt;"))</f>
        <v/>
      </c>
    </row>
    <row r="2977" spans="1:5" x14ac:dyDescent="0.25">
      <c r="A2977" t="s">
        <v>1658</v>
      </c>
      <c r="B2977" t="s">
        <v>1235</v>
      </c>
      <c r="E2977" t="str">
        <f>IF(OR(E2976="&lt;/routeDistribution&gt;",E2976=""),"",IFERROR(_xlfn.CONCAT(VLOOKUP(CM14,Route_Column!#REF!,2,FALSE),CHAR(34)," probability=",CHAR(34),1/CM$4,CHAR(34),CHAR(47),CHAR(62)),"&lt;/routeDistribution&gt;"))</f>
        <v/>
      </c>
    </row>
    <row r="2978" spans="1:5" x14ac:dyDescent="0.25">
      <c r="A2978" t="s">
        <v>1658</v>
      </c>
      <c r="B2978" t="s">
        <v>1235</v>
      </c>
      <c r="E2978" t="str">
        <f>IF(OR(E2977="&lt;/routeDistribution&gt;",E2977=""),"",IFERROR(_xlfn.CONCAT(VLOOKUP(CM15,Route_Column!#REF!,2,FALSE),CHAR(34)," probability=",CHAR(34),1/CM$4,CHAR(34),CHAR(47),CHAR(62)),"&lt;/routeDistribution&gt;"))</f>
        <v/>
      </c>
    </row>
    <row r="2979" spans="1:5" x14ac:dyDescent="0.25">
      <c r="A2979" t="s">
        <v>1658</v>
      </c>
      <c r="B2979" t="s">
        <v>1236</v>
      </c>
      <c r="E2979" t="str">
        <f>IF(OR(E2978="&lt;/routeDistribution&gt;",E2978=""),"",IFERROR(_xlfn.CONCAT(VLOOKUP(CM16,Route_Column!#REF!,2,FALSE),CHAR(34)," probability=",CHAR(34),1/CM$4,CHAR(34),CHAR(47),CHAR(62)),"&lt;/routeDistribution&gt;"))</f>
        <v/>
      </c>
    </row>
    <row r="2980" spans="1:5" x14ac:dyDescent="0.25">
      <c r="A2980" t="s">
        <v>1658</v>
      </c>
      <c r="B2980" t="s">
        <v>1239</v>
      </c>
      <c r="E2980" t="str">
        <f>IF(OR(E2979="&lt;/routeDistribution&gt;",E2979=""),"",IFERROR(_xlfn.CONCAT(VLOOKUP(CM17,Route_Column!#REF!,2,FALSE),CHAR(34)," probability=",CHAR(34),1/CM$4,CHAR(34),CHAR(47),CHAR(62)),"&lt;/routeDistribution&gt;"))</f>
        <v/>
      </c>
    </row>
    <row r="2981" spans="1:5" x14ac:dyDescent="0.25">
      <c r="A2981" t="s">
        <v>1658</v>
      </c>
      <c r="B2981" t="s">
        <v>1240</v>
      </c>
      <c r="E2981" t="str">
        <f>IF(OR(E2980="&lt;/routeDistribution&gt;",E2980=""),"",IFERROR(_xlfn.CONCAT(VLOOKUP(CM18,Route_Column!#REF!,2,FALSE),CHAR(34)," probability=",CHAR(34),1/CM$4,CHAR(34),CHAR(47),CHAR(62)),"&lt;/routeDistribution&gt;"))</f>
        <v/>
      </c>
    </row>
    <row r="2982" spans="1:5" x14ac:dyDescent="0.25">
      <c r="A2982" t="s">
        <v>1658</v>
      </c>
      <c r="B2982" t="s">
        <v>1244</v>
      </c>
      <c r="E2982" t="str">
        <f>IF(OR(E2981="&lt;/routeDistribution&gt;",E2981=""),"",IFERROR(_xlfn.CONCAT(VLOOKUP(CM19,Route_Column!#REF!,2,FALSE),CHAR(34)," probability=",CHAR(34),1/CM$4,CHAR(34),CHAR(47),CHAR(62)),"&lt;/routeDistribution&gt;"))</f>
        <v/>
      </c>
    </row>
    <row r="2983" spans="1:5" x14ac:dyDescent="0.25">
      <c r="A2983" t="s">
        <v>1706</v>
      </c>
      <c r="B2983" t="s">
        <v>1100</v>
      </c>
      <c r="E2983" t="str">
        <f>IF(OR(E2982="&lt;/routeDistribution&gt;",E2982=""),"",IFERROR(_xlfn.CONCAT(VLOOKUP(CM20,Route_Column!#REF!,2,FALSE),CHAR(34)," probability=",CHAR(34),1/CM$4,CHAR(34),CHAR(47),CHAR(62)),"&lt;/routeDistribution&gt;"))</f>
        <v/>
      </c>
    </row>
    <row r="2984" spans="1:5" x14ac:dyDescent="0.25">
      <c r="A2984" t="s">
        <v>1706</v>
      </c>
      <c r="B2984" t="s">
        <v>1101</v>
      </c>
      <c r="E2984" t="str">
        <f>IF(OR(E2983="&lt;/routeDistribution&gt;",E2983=""),"",IFERROR(_xlfn.CONCAT(VLOOKUP(CM21,Route_Column!#REF!,2,FALSE),CHAR(34)," probability=",CHAR(34),1/CM$4,CHAR(34),CHAR(47),CHAR(62)),"&lt;/routeDistribution&gt;"))</f>
        <v/>
      </c>
    </row>
    <row r="2985" spans="1:5" x14ac:dyDescent="0.25">
      <c r="A2985" t="s">
        <v>1706</v>
      </c>
      <c r="B2985" t="s">
        <v>1104</v>
      </c>
      <c r="E2985" t="str">
        <f>IF(OR(E2984="&lt;/routeDistribution&gt;",E2984=""),"",IFERROR(_xlfn.CONCAT(VLOOKUP(CM22,Route_Column!#REF!,2,FALSE),CHAR(34)," probability=",CHAR(34),1/CM$4,CHAR(34),CHAR(47),CHAR(62)),"&lt;/routeDistribution&gt;"))</f>
        <v/>
      </c>
    </row>
    <row r="2986" spans="1:5" x14ac:dyDescent="0.25">
      <c r="A2986" t="s">
        <v>1706</v>
      </c>
      <c r="B2986" t="s">
        <v>1105</v>
      </c>
      <c r="E2986" t="str">
        <f>IF(OR(E2985="&lt;/routeDistribution&gt;",E2985=""),"",IFERROR(_xlfn.CONCAT(VLOOKUP(CM23,Route_Column!#REF!,2,FALSE),CHAR(34)," probability=",CHAR(34),1/CM$4,CHAR(34),CHAR(47),CHAR(62)),"&lt;/routeDistribution&gt;"))</f>
        <v/>
      </c>
    </row>
    <row r="2987" spans="1:5" x14ac:dyDescent="0.25">
      <c r="A2987" t="s">
        <v>1706</v>
      </c>
      <c r="B2987" t="s">
        <v>1116</v>
      </c>
      <c r="E2987" t="str">
        <f>IF(OR(E2986="&lt;/routeDistribution&gt;",E2986=""),"",IFERROR(_xlfn.CONCAT(VLOOKUP(CM24,Route_Column!#REF!,2,FALSE),CHAR(34)," probability=",CHAR(34),1/CM$4,CHAR(34),CHAR(47),CHAR(62)),"&lt;/routeDistribution&gt;"))</f>
        <v/>
      </c>
    </row>
    <row r="2988" spans="1:5" x14ac:dyDescent="0.25">
      <c r="A2988" t="s">
        <v>1706</v>
      </c>
      <c r="B2988" t="s">
        <v>1117</v>
      </c>
      <c r="E2988" t="str">
        <f>IF(OR(E2987="&lt;/routeDistribution&gt;",E2987=""),"",IFERROR(_xlfn.CONCAT(VLOOKUP(CM25,Route_Column!#REF!,2,FALSE),CHAR(34)," probability=",CHAR(34),1/CM$4,CHAR(34),CHAR(47),CHAR(62)),"&lt;/routeDistribution&gt;"))</f>
        <v/>
      </c>
    </row>
    <row r="2989" spans="1:5" x14ac:dyDescent="0.25">
      <c r="A2989" t="s">
        <v>1706</v>
      </c>
      <c r="B2989" t="s">
        <v>1118</v>
      </c>
      <c r="E2989" t="str">
        <f>IF(OR(E2988="&lt;/routeDistribution&gt;",E2988=""),"",IFERROR(_xlfn.CONCAT(VLOOKUP(CM26,Route_Column!#REF!,2,FALSE),CHAR(34)," probability=",CHAR(34),1/CM$4,CHAR(34),CHAR(47),CHAR(62)),"&lt;/routeDistribution&gt;"))</f>
        <v/>
      </c>
    </row>
    <row r="2990" spans="1:5" x14ac:dyDescent="0.25">
      <c r="A2990" t="s">
        <v>1706</v>
      </c>
      <c r="B2990" t="s">
        <v>1164</v>
      </c>
      <c r="E2990" t="str">
        <f>IF(OR(E2989="&lt;/routeDistribution&gt;",E2989=""),"",IFERROR(_xlfn.CONCAT(VLOOKUP(CM27,Route_Column!#REF!,2,FALSE),CHAR(34)," probability=",CHAR(34),1/CM$4,CHAR(34),CHAR(47),CHAR(62)),"&lt;/routeDistribution&gt;"))</f>
        <v/>
      </c>
    </row>
    <row r="2991" spans="1:5" x14ac:dyDescent="0.25">
      <c r="A2991" t="s">
        <v>1706</v>
      </c>
      <c r="B2991" t="s">
        <v>1223</v>
      </c>
      <c r="E2991" t="str">
        <f>IF(OR(E2990="&lt;/routeDistribution&gt;",E2990=""),"",IFERROR(_xlfn.CONCAT(VLOOKUP(CM28,Route_Column!#REF!,2,FALSE),CHAR(34)," probability=",CHAR(34),1/CM$4,CHAR(34),CHAR(47),CHAR(62)),"&lt;/routeDistribution&gt;"))</f>
        <v/>
      </c>
    </row>
    <row r="2992" spans="1:5" x14ac:dyDescent="0.25">
      <c r="A2992" t="s">
        <v>1706</v>
      </c>
      <c r="B2992" t="s">
        <v>1235</v>
      </c>
      <c r="E2992" t="str">
        <f>IF(OR(E2991="&lt;/routeDistribution&gt;",E2991=""),"",IFERROR(_xlfn.CONCAT(VLOOKUP(CM29,Route_Column!#REF!,2,FALSE),CHAR(34)," probability=",CHAR(34),1/CM$4,CHAR(34),CHAR(47),CHAR(62)),"&lt;/routeDistribution&gt;"))</f>
        <v/>
      </c>
    </row>
    <row r="2993" spans="1:5" x14ac:dyDescent="0.25">
      <c r="A2993" t="s">
        <v>1706</v>
      </c>
      <c r="B2993" t="s">
        <v>1236</v>
      </c>
      <c r="E2993" t="str">
        <f>IF(OR(E2992="&lt;/routeDistribution&gt;",E2992=""),"",IFERROR(_xlfn.CONCAT(VLOOKUP(CM30,Route_Column!#REF!,2,FALSE),CHAR(34)," probability=",CHAR(34),1/CM$4,CHAR(34),CHAR(47),CHAR(62)),"&lt;/routeDistribution&gt;"))</f>
        <v/>
      </c>
    </row>
    <row r="2994" spans="1:5" x14ac:dyDescent="0.25">
      <c r="A2994" t="s">
        <v>1706</v>
      </c>
      <c r="B2994" t="s">
        <v>1239</v>
      </c>
      <c r="E2994" t="str">
        <f>IF(OR(E2993="&lt;/routeDistribution&gt;",E2993=""),"",IFERROR(_xlfn.CONCAT(VLOOKUP(CM31,Route_Column!#REF!,2,FALSE),CHAR(34)," probability=",CHAR(34),1/CM$4,CHAR(34),CHAR(47),CHAR(62)),"&lt;/routeDistribution&gt;"))</f>
        <v/>
      </c>
    </row>
    <row r="2995" spans="1:5" x14ac:dyDescent="0.25">
      <c r="A2995" t="s">
        <v>1706</v>
      </c>
      <c r="B2995" t="s">
        <v>1240</v>
      </c>
      <c r="E2995" t="str">
        <f>IF(OR(E2994="&lt;/routeDistribution&gt;",E2994=""),"",IFERROR(_xlfn.CONCAT(VLOOKUP(CM32,Route_Column!#REF!,2,FALSE),CHAR(34)," probability=",CHAR(34),1/CM$4,CHAR(34),CHAR(47),CHAR(62)),"&lt;/routeDistribution&gt;"))</f>
        <v/>
      </c>
    </row>
    <row r="2996" spans="1:5" x14ac:dyDescent="0.25">
      <c r="A2996" t="s">
        <v>1726</v>
      </c>
      <c r="B2996" t="s">
        <v>1102</v>
      </c>
      <c r="E2996" t="str">
        <f>IF(OR(E2995="&lt;/routeDistribution&gt;",E2995=""),"",IFERROR(_xlfn.CONCAT(VLOOKUP(CM33,Route_Column!#REF!,2,FALSE),CHAR(34)," probability=",CHAR(34),1/CM$4,CHAR(34),CHAR(47),CHAR(62)),"&lt;/routeDistribution&gt;"))</f>
        <v/>
      </c>
    </row>
    <row r="2997" spans="1:5" x14ac:dyDescent="0.25">
      <c r="A2997" t="s">
        <v>1726</v>
      </c>
      <c r="B2997" t="s">
        <v>1103</v>
      </c>
      <c r="E2997" t="str">
        <f>IF(OR(E2996="&lt;/routeDistribution&gt;",E2996=""),"",IFERROR(_xlfn.CONCAT(VLOOKUP(CM34,Route_Column!#REF!,2,FALSE),CHAR(34)," probability=",CHAR(34),1/CM$4,CHAR(34),CHAR(47),CHAR(62)),"&lt;/routeDistribution&gt;"))</f>
        <v/>
      </c>
    </row>
    <row r="2998" spans="1:5" x14ac:dyDescent="0.25">
      <c r="A2998" t="s">
        <v>1726</v>
      </c>
      <c r="B2998" t="s">
        <v>1209</v>
      </c>
      <c r="E2998" t="str">
        <f>IF(OR(E2997="&lt;/routeDistribution&gt;",E2997=""),"",IFERROR(_xlfn.CONCAT(VLOOKUP(CM35,Route_Column!#REF!,2,FALSE),CHAR(34)," probability=",CHAR(34),1/CM$4,CHAR(34),CHAR(47),CHAR(62)),"&lt;/routeDistribution&gt;"))</f>
        <v/>
      </c>
    </row>
    <row r="2999" spans="1:5" x14ac:dyDescent="0.25">
      <c r="A2999" t="s">
        <v>1726</v>
      </c>
      <c r="B2999" t="s">
        <v>1210</v>
      </c>
      <c r="E2999" t="str">
        <f>IF(OR(E2998="&lt;/routeDistribution&gt;",E2998=""),"",IFERROR(_xlfn.CONCAT(VLOOKUP(CM36,Route_Column!#REF!,2,FALSE),CHAR(34)," probability=",CHAR(34),1/CM$4,CHAR(34),CHAR(47),CHAR(62)),"&lt;/routeDistribution&gt;"))</f>
        <v/>
      </c>
    </row>
    <row r="3000" spans="1:5" x14ac:dyDescent="0.25">
      <c r="A3000" t="s">
        <v>1726</v>
      </c>
      <c r="B3000" t="s">
        <v>1211</v>
      </c>
      <c r="E3000" t="str">
        <f>IF(OR(E2999="&lt;/routeDistribution&gt;",E2999=""),"",IFERROR(_xlfn.CONCAT(VLOOKUP(CM37,Route_Column!#REF!,2,FALSE),CHAR(34)," probability=",CHAR(34),1/CM$4,CHAR(34),CHAR(47),CHAR(62)),"&lt;/routeDistribution&gt;"))</f>
        <v/>
      </c>
    </row>
    <row r="3001" spans="1:5" x14ac:dyDescent="0.25">
      <c r="A3001" t="s">
        <v>1726</v>
      </c>
      <c r="B3001" t="s">
        <v>1237</v>
      </c>
      <c r="E3001" t="str">
        <f>IF(OR(E3000="&lt;/routeDistribution&gt;",E3000=""),"",IFERROR(_xlfn.CONCAT(VLOOKUP(CM38,Route_Column!#REF!,2,FALSE),CHAR(34)," probability=",CHAR(34),1/CM$4,CHAR(34),CHAR(47),CHAR(62)),"&lt;/routeDistribution&gt;"))</f>
        <v/>
      </c>
    </row>
    <row r="3002" spans="1:5" x14ac:dyDescent="0.25">
      <c r="A3002" t="s">
        <v>1726</v>
      </c>
      <c r="B3002" t="s">
        <v>1246</v>
      </c>
      <c r="E3002" t="str">
        <f>IF(OR(E3001="&lt;/routeDistribution&gt;",E3001=""),"",IFERROR(_xlfn.CONCAT(VLOOKUP(CM39,Route_Column!#REF!,2,FALSE),CHAR(34)," probability=",CHAR(34),1/CM$4,CHAR(34),CHAR(47),CHAR(62)),"&lt;/routeDistribution&gt;"))</f>
        <v/>
      </c>
    </row>
    <row r="3003" spans="1:5" x14ac:dyDescent="0.25">
      <c r="A3003" t="s">
        <v>1726</v>
      </c>
      <c r="B3003" t="s">
        <v>1248</v>
      </c>
      <c r="E3003" t="str">
        <f>IF(OR(E3002="&lt;/routeDistribution&gt;",E3002=""),"",IFERROR(_xlfn.CONCAT(VLOOKUP(CM40,Route_Column!#REF!,2,FALSE),CHAR(34)," probability=",CHAR(34),1/CM$4,CHAR(34),CHAR(47),CHAR(62)),"&lt;/routeDistribution&gt;"))</f>
        <v/>
      </c>
    </row>
    <row r="3004" spans="1:5" x14ac:dyDescent="0.25">
      <c r="A3004" t="s">
        <v>1800</v>
      </c>
      <c r="B3004" t="s">
        <v>1107</v>
      </c>
      <c r="E3004" t="str">
        <f>IF(OR(E3003="&lt;/routeDistribution&gt;",E3003=""),"",IFERROR(_xlfn.CONCAT(VLOOKUP(CM41,Route_Column!#REF!,2,FALSE),CHAR(34)," probability=",CHAR(34),1/CM$4,CHAR(34),CHAR(47),CHAR(62)),"&lt;/routeDistribution&gt;"))</f>
        <v/>
      </c>
    </row>
    <row r="3005" spans="1:5" x14ac:dyDescent="0.25">
      <c r="A3005" t="s">
        <v>1800</v>
      </c>
      <c r="B3005" t="s">
        <v>1116</v>
      </c>
      <c r="E3005" t="str">
        <f>IF(OR(E3004="&lt;/routeDistribution&gt;",E3004=""),"",IFERROR(_xlfn.CONCAT(VLOOKUP(CM42,Route_Column!#REF!,2,FALSE),CHAR(34)," probability=",CHAR(34),1/CM$4,CHAR(34),CHAR(47),CHAR(62)),"&lt;/routeDistribution&gt;"))</f>
        <v/>
      </c>
    </row>
    <row r="3006" spans="1:5" x14ac:dyDescent="0.25">
      <c r="A3006" t="s">
        <v>1800</v>
      </c>
      <c r="B3006" t="s">
        <v>1117</v>
      </c>
      <c r="E3006" t="str">
        <f>IF(OR(E3005="&lt;/routeDistribution&gt;",E3005=""),"",IFERROR(_xlfn.CONCAT(VLOOKUP(CM43,Route_Column!#REF!,2,FALSE),CHAR(34)," probability=",CHAR(34),1/CM$4,CHAR(34),CHAR(47),CHAR(62)),"&lt;/routeDistribution&gt;"))</f>
        <v/>
      </c>
    </row>
    <row r="3007" spans="1:5" x14ac:dyDescent="0.25">
      <c r="A3007" t="s">
        <v>1800</v>
      </c>
      <c r="B3007" t="s">
        <v>1119</v>
      </c>
      <c r="E3007" t="str">
        <f>IF(OR(E3006="&lt;/routeDistribution&gt;",E3006=""),"",IFERROR(_xlfn.CONCAT(VLOOKUP(CM44,Route_Column!#REF!,2,FALSE),CHAR(34)," probability=",CHAR(34),1/CM$4,CHAR(34),CHAR(47),CHAR(62)),"&lt;/routeDistribution&gt;"))</f>
        <v/>
      </c>
    </row>
    <row r="3008" spans="1:5" x14ac:dyDescent="0.25">
      <c r="A3008" t="s">
        <v>1800</v>
      </c>
      <c r="B3008" t="s">
        <v>1121</v>
      </c>
      <c r="E3008" t="str">
        <f>IF(OR(E3007="&lt;/routeDistribution&gt;",E3007=""),"",IFERROR(_xlfn.CONCAT(VLOOKUP(CM45,Route_Column!#REF!,2,FALSE),CHAR(34)," probability=",CHAR(34),1/CM$4,CHAR(34),CHAR(47),CHAR(62)),"&lt;/routeDistribution&gt;"))</f>
        <v/>
      </c>
    </row>
    <row r="3009" spans="1:5" x14ac:dyDescent="0.25">
      <c r="A3009" t="s">
        <v>1800</v>
      </c>
      <c r="B3009" t="s">
        <v>1142</v>
      </c>
      <c r="E3009" t="str">
        <f>IF(OR(E3008="&lt;/routeDistribution&gt;",E3008=""),"",IFERROR(_xlfn.CONCAT(VLOOKUP(CM46,Route_Column!#REF!,2,FALSE),CHAR(34)," probability=",CHAR(34),1/CM$4,CHAR(34),CHAR(47),CHAR(62)),"&lt;/routeDistribution&gt;"))</f>
        <v/>
      </c>
    </row>
    <row r="3010" spans="1:5" x14ac:dyDescent="0.25">
      <c r="A3010" t="s">
        <v>1800</v>
      </c>
      <c r="B3010" t="s">
        <v>1148</v>
      </c>
      <c r="E3010" t="str">
        <f>IF(OR(E3009="&lt;/routeDistribution&gt;",E3009=""),"",IFERROR(_xlfn.CONCAT(VLOOKUP(CM47,Route_Column!#REF!,2,FALSE),CHAR(34)," probability=",CHAR(34),1/CM$4,CHAR(34),CHAR(47),CHAR(62)),"&lt;/routeDistribution&gt;"))</f>
        <v/>
      </c>
    </row>
    <row r="3011" spans="1:5" x14ac:dyDescent="0.25">
      <c r="A3011" t="s">
        <v>1800</v>
      </c>
      <c r="B3011" t="s">
        <v>1169</v>
      </c>
      <c r="E3011" t="str">
        <f>IF(OR(E3010="&lt;/routeDistribution&gt;",E3010=""),"",IFERROR(_xlfn.CONCAT(VLOOKUP(CM48,Route_Column!#REF!,2,FALSE),CHAR(34)," probability=",CHAR(34),1/CM$4,CHAR(34),CHAR(47),CHAR(62)),"&lt;/routeDistribution&gt;"))</f>
        <v/>
      </c>
    </row>
    <row r="3012" spans="1:5" x14ac:dyDescent="0.25">
      <c r="A3012" t="s">
        <v>1800</v>
      </c>
      <c r="B3012" t="s">
        <v>1178</v>
      </c>
      <c r="E3012" t="str">
        <f>IF(OR(E3011="&lt;/routeDistribution&gt;",E3011=""),"",IFERROR(_xlfn.CONCAT(VLOOKUP(CM49,Route_Column!#REF!,2,FALSE),CHAR(34)," probability=",CHAR(34),1/CM$4,CHAR(34),CHAR(47),CHAR(62)),"&lt;/routeDistribution&gt;"))</f>
        <v/>
      </c>
    </row>
    <row r="3013" spans="1:5" x14ac:dyDescent="0.25">
      <c r="A3013" t="s">
        <v>1800</v>
      </c>
      <c r="B3013" t="s">
        <v>1202</v>
      </c>
      <c r="E3013" t="str">
        <f>IF(OR(E3012="&lt;/routeDistribution&gt;",E3012=""),"",IFERROR(_xlfn.CONCAT(VLOOKUP(CM50,Route_Column!#REF!,2,FALSE),CHAR(34)," probability=",CHAR(34),1/CM$4,CHAR(34),CHAR(47),CHAR(62)),"&lt;/routeDistribution&gt;"))</f>
        <v/>
      </c>
    </row>
    <row r="3014" spans="1:5" x14ac:dyDescent="0.25">
      <c r="A3014" t="s">
        <v>1800</v>
      </c>
      <c r="B3014" t="s">
        <v>1209</v>
      </c>
      <c r="E3014" t="str">
        <f>IF(OR(E3013="&lt;/routeDistribution&gt;",E3013=""),"",IFERROR(_xlfn.CONCAT(VLOOKUP(CM51,Route_Column!#REF!,2,FALSE),CHAR(34)," probability=",CHAR(34),1/CM$4,CHAR(34),CHAR(47),CHAR(62)),"&lt;/routeDistribution&gt;"))</f>
        <v/>
      </c>
    </row>
    <row r="3015" spans="1:5" x14ac:dyDescent="0.25">
      <c r="A3015" t="s">
        <v>1800</v>
      </c>
      <c r="B3015" t="s">
        <v>1235</v>
      </c>
      <c r="E3015" t="str">
        <f>IF(OR(E3014="&lt;/routeDistribution&gt;",E3014=""),"",IFERROR(_xlfn.CONCAT(VLOOKUP(CM52,Route_Column!#REF!,2,FALSE),CHAR(34)," probability=",CHAR(34),1/CM$4,CHAR(34),CHAR(47),CHAR(62)),"&lt;/routeDistribution&gt;"))</f>
        <v/>
      </c>
    </row>
    <row r="3016" spans="1:5" x14ac:dyDescent="0.25">
      <c r="A3016" t="s">
        <v>1800</v>
      </c>
      <c r="B3016" t="s">
        <v>1236</v>
      </c>
      <c r="E3016" t="str">
        <f>IF(OR(E3015="&lt;/routeDistribution&gt;",E3015=""),"",IFERROR(_xlfn.CONCAT(VLOOKUP(CM53,Route_Column!#REF!,2,FALSE),CHAR(34)," probability=",CHAR(34),1/CM$4,CHAR(34),CHAR(47),CHAR(62)),"&lt;/routeDistribution&gt;"))</f>
        <v/>
      </c>
    </row>
    <row r="3017" spans="1:5" x14ac:dyDescent="0.25">
      <c r="A3017" t="s">
        <v>1800</v>
      </c>
      <c r="B3017" t="s">
        <v>1243</v>
      </c>
      <c r="E3017" t="str">
        <f>IF(OR(E3016="&lt;/routeDistribution&gt;",E3016=""),"",IFERROR(_xlfn.CONCAT(VLOOKUP(CM54,Route_Column!#REF!,2,FALSE),CHAR(34)," probability=",CHAR(34),1/CM$4,CHAR(34),CHAR(47),CHAR(62)),"&lt;/routeDistribution&gt;"))</f>
        <v/>
      </c>
    </row>
    <row r="3018" spans="1:5" x14ac:dyDescent="0.25">
      <c r="A3018" t="s">
        <v>1800</v>
      </c>
      <c r="B3018" t="s">
        <v>1249</v>
      </c>
      <c r="E3018" t="str">
        <f>IF(OR(E3017="&lt;/routeDistribution&gt;",E3017=""),"",IFERROR(_xlfn.CONCAT(VLOOKUP(CM55,Route_Column!#REF!,2,FALSE),CHAR(34)," probability=",CHAR(34),1/CM$4,CHAR(34),CHAR(47),CHAR(62)),"&lt;/routeDistribution&gt;"))</f>
        <v/>
      </c>
    </row>
    <row r="3019" spans="1:5" x14ac:dyDescent="0.25">
      <c r="A3019" t="s">
        <v>1801</v>
      </c>
      <c r="B3019" t="s">
        <v>1107</v>
      </c>
      <c r="E3019" t="str">
        <f>IF(OR(E3018="&lt;/routeDistribution&gt;",E3018=""),"",IFERROR(_xlfn.CONCAT(VLOOKUP(CM56,Route_Column!#REF!,2,FALSE),CHAR(34)," probability=",CHAR(34),1/CM$4,CHAR(34),CHAR(47),CHAR(62)),"&lt;/routeDistribution&gt;"))</f>
        <v/>
      </c>
    </row>
    <row r="3020" spans="1:5" x14ac:dyDescent="0.25">
      <c r="A3020" t="s">
        <v>1801</v>
      </c>
      <c r="B3020" t="s">
        <v>1142</v>
      </c>
      <c r="E3020" t="str">
        <f>IF(OR(E3019="&lt;/routeDistribution&gt;",E3019=""),"",IFERROR(_xlfn.CONCAT(VLOOKUP(CM57,Route_Column!#REF!,2,FALSE),CHAR(34)," probability=",CHAR(34),1/CM$4,CHAR(34),CHAR(47),CHAR(62)),"&lt;/routeDistribution&gt;"))</f>
        <v/>
      </c>
    </row>
    <row r="3021" spans="1:5" x14ac:dyDescent="0.25">
      <c r="A3021" t="s">
        <v>1801</v>
      </c>
      <c r="B3021" t="s">
        <v>1148</v>
      </c>
      <c r="E3021" t="str">
        <f>IF(OR(E3020="&lt;/routeDistribution&gt;",E3020=""),"",IFERROR(_xlfn.CONCAT(VLOOKUP(CM58,Route_Column!#REF!,2,FALSE),CHAR(34)," probability=",CHAR(34),1/CM$4,CHAR(34),CHAR(47),CHAR(62)),"&lt;/routeDistribution&gt;"))</f>
        <v/>
      </c>
    </row>
    <row r="3022" spans="1:5" x14ac:dyDescent="0.25">
      <c r="A3022" t="s">
        <v>1801</v>
      </c>
      <c r="B3022" t="s">
        <v>1169</v>
      </c>
      <c r="E3022" t="str">
        <f>IF(OR(E3021="&lt;/routeDistribution&gt;",E3021=""),"",IFERROR(_xlfn.CONCAT(VLOOKUP(CM59,Route_Column!#REF!,2,FALSE),CHAR(34)," probability=",CHAR(34),1/CM$4,CHAR(34),CHAR(47),CHAR(62)),"&lt;/routeDistribution&gt;"))</f>
        <v/>
      </c>
    </row>
    <row r="3023" spans="1:5" x14ac:dyDescent="0.25">
      <c r="A3023" t="s">
        <v>1801</v>
      </c>
      <c r="B3023" t="s">
        <v>1178</v>
      </c>
      <c r="E3023" t="str">
        <f>IF(OR(E3022="&lt;/routeDistribution&gt;",E3022=""),"",IFERROR(_xlfn.CONCAT(VLOOKUP(CM60,Route_Column!#REF!,2,FALSE),CHAR(34)," probability=",CHAR(34),1/CM$4,CHAR(34),CHAR(47),CHAR(62)),"&lt;/routeDistribution&gt;"))</f>
        <v/>
      </c>
    </row>
    <row r="3024" spans="1:5" x14ac:dyDescent="0.25">
      <c r="A3024" t="s">
        <v>1801</v>
      </c>
      <c r="B3024" t="s">
        <v>1202</v>
      </c>
      <c r="E3024" t="str">
        <f>IF(OR(E3023="&lt;/routeDistribution&gt;",E3023=""),"",IFERROR(_xlfn.CONCAT(VLOOKUP(CM61,Route_Column!#REF!,2,FALSE),CHAR(34)," probability=",CHAR(34),1/CM$4,CHAR(34),CHAR(47),CHAR(62)),"&lt;/routeDistribution&gt;"))</f>
        <v/>
      </c>
    </row>
    <row r="3025" spans="1:5" x14ac:dyDescent="0.25">
      <c r="A3025" t="s">
        <v>1801</v>
      </c>
      <c r="B3025" t="s">
        <v>1243</v>
      </c>
      <c r="E3025" t="str">
        <f>IF(OR(E3024="&lt;/routeDistribution&gt;",E3024=""),"",IFERROR(_xlfn.CONCAT(VLOOKUP(CM62,Route_Column!#REF!,2,FALSE),CHAR(34)," probability=",CHAR(34),1/CM$4,CHAR(34),CHAR(47),CHAR(62)),"&lt;/routeDistribution&gt;"))</f>
        <v/>
      </c>
    </row>
    <row r="3026" spans="1:5" x14ac:dyDescent="0.25">
      <c r="A3026" t="s">
        <v>2061</v>
      </c>
      <c r="B3026" t="s">
        <v>1138</v>
      </c>
      <c r="E3026" t="str">
        <f>IF(OR(E3025="&lt;/routeDistribution&gt;",E3025=""),"",IFERROR(_xlfn.CONCAT(VLOOKUP(CM63,Route_Column!#REF!,2,FALSE),CHAR(34)," probability=",CHAR(34),1/CM$4,CHAR(34),CHAR(47),CHAR(62)),"&lt;/routeDistribution&gt;"))</f>
        <v/>
      </c>
    </row>
    <row r="3027" spans="1:5" x14ac:dyDescent="0.25">
      <c r="A3027" t="s">
        <v>2061</v>
      </c>
      <c r="B3027" t="s">
        <v>1140</v>
      </c>
      <c r="E3027" t="s">
        <v>2686</v>
      </c>
    </row>
    <row r="3028" spans="1:5" x14ac:dyDescent="0.25">
      <c r="A3028" t="s">
        <v>2061</v>
      </c>
      <c r="B3028" t="s">
        <v>1141</v>
      </c>
    </row>
    <row r="3029" spans="1:5" x14ac:dyDescent="0.25">
      <c r="A3029" t="s">
        <v>2061</v>
      </c>
      <c r="B3029" t="s">
        <v>1142</v>
      </c>
    </row>
    <row r="3030" spans="1:5" x14ac:dyDescent="0.25">
      <c r="A3030" t="s">
        <v>2061</v>
      </c>
      <c r="B3030" t="s">
        <v>1150</v>
      </c>
      <c r="E3030" t="str">
        <f>_xlfn.CONCAT($E$1,CL$2,$F$1)</f>
        <v>&lt;routeDistribution id="I-76-on-ramp-South-to-WB-2008-RouteProbe"&gt;</v>
      </c>
    </row>
    <row r="3031" spans="1:5" x14ac:dyDescent="0.25">
      <c r="A3031" t="s">
        <v>2061</v>
      </c>
      <c r="B3031" t="s">
        <v>1151</v>
      </c>
      <c r="E3031" t="str">
        <f>IF(OR(E3030="&lt;/routeDistribution&gt;",E3030=""),"",IFERROR(_xlfn.CONCAT(VLOOKUP(CL5,Route_Column!#REF!,2,FALSE),CHAR(34)," probability=",CHAR(34),1/CL$4,CHAR(34),CHAR(47),CHAR(62)),"&lt;/routeDistribution&gt;"))</f>
        <v>&lt;/routeDistribution&gt;</v>
      </c>
    </row>
    <row r="3032" spans="1:5" x14ac:dyDescent="0.25">
      <c r="A3032" t="s">
        <v>2061</v>
      </c>
      <c r="B3032" t="s">
        <v>1154</v>
      </c>
      <c r="E3032" t="str">
        <f>IF(OR(E3031="&lt;/routeDistribution&gt;",E3031=""),"",IFERROR(_xlfn.CONCAT(VLOOKUP(CL6,Route_Column!#REF!,2,FALSE),CHAR(34)," probability=",CHAR(34),1/CL$4,CHAR(34),CHAR(47),CHAR(62)),"&lt;/routeDistribution&gt;"))</f>
        <v/>
      </c>
    </row>
    <row r="3033" spans="1:5" x14ac:dyDescent="0.25">
      <c r="A3033" t="s">
        <v>2061</v>
      </c>
      <c r="B3033" t="s">
        <v>1179</v>
      </c>
      <c r="E3033" t="str">
        <f>IF(OR(E3032="&lt;/routeDistribution&gt;",E3032=""),"",IFERROR(_xlfn.CONCAT(VLOOKUP(CL7,Route_Column!#REF!,2,FALSE),CHAR(34)," probability=",CHAR(34),1/CL$4,CHAR(34),CHAR(47),CHAR(62)),"&lt;/routeDistribution&gt;"))</f>
        <v/>
      </c>
    </row>
    <row r="3034" spans="1:5" x14ac:dyDescent="0.25">
      <c r="A3034" t="s">
        <v>2061</v>
      </c>
      <c r="B3034" t="s">
        <v>1180</v>
      </c>
      <c r="E3034" t="str">
        <f>IF(OR(E3033="&lt;/routeDistribution&gt;",E3033=""),"",IFERROR(_xlfn.CONCAT(VLOOKUP(CL8,Route_Column!#REF!,2,FALSE),CHAR(34)," probability=",CHAR(34),1/CL$4,CHAR(34),CHAR(47),CHAR(62)),"&lt;/routeDistribution&gt;"))</f>
        <v/>
      </c>
    </row>
    <row r="3035" spans="1:5" x14ac:dyDescent="0.25">
      <c r="A3035" t="s">
        <v>2061</v>
      </c>
      <c r="B3035" t="s">
        <v>1181</v>
      </c>
      <c r="E3035" t="str">
        <f>IF(OR(E3034="&lt;/routeDistribution&gt;",E3034=""),"",IFERROR(_xlfn.CONCAT(VLOOKUP(CL9,Route_Column!#REF!,2,FALSE),CHAR(34)," probability=",CHAR(34),1/CL$4,CHAR(34),CHAR(47),CHAR(62)),"&lt;/routeDistribution&gt;"))</f>
        <v/>
      </c>
    </row>
    <row r="3036" spans="1:5" x14ac:dyDescent="0.25">
      <c r="A3036" t="s">
        <v>2061</v>
      </c>
      <c r="B3036" t="s">
        <v>1182</v>
      </c>
      <c r="E3036" t="str">
        <f>IF(OR(E3035="&lt;/routeDistribution&gt;",E3035=""),"",IFERROR(_xlfn.CONCAT(VLOOKUP(CL10,Route_Column!#REF!,2,FALSE),CHAR(34)," probability=",CHAR(34),1/CL$4,CHAR(34),CHAR(47),CHAR(62)),"&lt;/routeDistribution&gt;"))</f>
        <v/>
      </c>
    </row>
    <row r="3037" spans="1:5" x14ac:dyDescent="0.25">
      <c r="A3037" t="s">
        <v>2061</v>
      </c>
      <c r="B3037" t="s">
        <v>1183</v>
      </c>
      <c r="E3037" t="str">
        <f>IF(OR(E3036="&lt;/routeDistribution&gt;",E3036=""),"",IFERROR(_xlfn.CONCAT(VLOOKUP(CL11,Route_Column!#REF!,2,FALSE),CHAR(34)," probability=",CHAR(34),1/CL$4,CHAR(34),CHAR(47),CHAR(62)),"&lt;/routeDistribution&gt;"))</f>
        <v/>
      </c>
    </row>
    <row r="3038" spans="1:5" x14ac:dyDescent="0.25">
      <c r="A3038" t="s">
        <v>2061</v>
      </c>
      <c r="B3038" t="s">
        <v>1183</v>
      </c>
      <c r="E3038" t="str">
        <f>IF(OR(E3037="&lt;/routeDistribution&gt;",E3037=""),"",IFERROR(_xlfn.CONCAT(VLOOKUP(CL12,Route_Column!#REF!,2,FALSE),CHAR(34)," probability=",CHAR(34),1/CL$4,CHAR(34),CHAR(47),CHAR(62)),"&lt;/routeDistribution&gt;"))</f>
        <v/>
      </c>
    </row>
    <row r="3039" spans="1:5" x14ac:dyDescent="0.25">
      <c r="A3039" t="s">
        <v>2061</v>
      </c>
      <c r="B3039" t="s">
        <v>1184</v>
      </c>
      <c r="E3039" t="str">
        <f>IF(OR(E3038="&lt;/routeDistribution&gt;",E3038=""),"",IFERROR(_xlfn.CONCAT(VLOOKUP(CL13,Route_Column!#REF!,2,FALSE),CHAR(34)," probability=",CHAR(34),1/CL$4,CHAR(34),CHAR(47),CHAR(62)),"&lt;/routeDistribution&gt;"))</f>
        <v/>
      </c>
    </row>
    <row r="3040" spans="1:5" x14ac:dyDescent="0.25">
      <c r="A3040" t="s">
        <v>2061</v>
      </c>
      <c r="B3040" t="s">
        <v>1184</v>
      </c>
      <c r="E3040" t="str">
        <f>IF(OR(E3039="&lt;/routeDistribution&gt;",E3039=""),"",IFERROR(_xlfn.CONCAT(VLOOKUP(CL14,Route_Column!#REF!,2,FALSE),CHAR(34)," probability=",CHAR(34),1/CL$4,CHAR(34),CHAR(47),CHAR(62)),"&lt;/routeDistribution&gt;"))</f>
        <v/>
      </c>
    </row>
    <row r="3041" spans="1:5" x14ac:dyDescent="0.25">
      <c r="A3041" t="s">
        <v>2061</v>
      </c>
      <c r="B3041" t="s">
        <v>1185</v>
      </c>
      <c r="E3041" t="str">
        <f>IF(OR(E3040="&lt;/routeDistribution&gt;",E3040=""),"",IFERROR(_xlfn.CONCAT(VLOOKUP(CL15,Route_Column!#REF!,2,FALSE),CHAR(34)," probability=",CHAR(34),1/CL$4,CHAR(34),CHAR(47),CHAR(62)),"&lt;/routeDistribution&gt;"))</f>
        <v/>
      </c>
    </row>
    <row r="3042" spans="1:5" x14ac:dyDescent="0.25">
      <c r="A3042" t="s">
        <v>2061</v>
      </c>
      <c r="B3042" t="s">
        <v>1205</v>
      </c>
      <c r="E3042" t="str">
        <f>IF(OR(E3041="&lt;/routeDistribution&gt;",E3041=""),"",IFERROR(_xlfn.CONCAT(VLOOKUP(CL16,Route_Column!#REF!,2,FALSE),CHAR(34)," probability=",CHAR(34),1/CL$4,CHAR(34),CHAR(47),CHAR(62)),"&lt;/routeDistribution&gt;"))</f>
        <v/>
      </c>
    </row>
    <row r="3043" spans="1:5" x14ac:dyDescent="0.25">
      <c r="A3043" t="s">
        <v>2061</v>
      </c>
      <c r="B3043" t="s">
        <v>1206</v>
      </c>
      <c r="E3043" t="str">
        <f>IF(OR(E3042="&lt;/routeDistribution&gt;",E3042=""),"",IFERROR(_xlfn.CONCAT(VLOOKUP(CL17,Route_Column!#REF!,2,FALSE),CHAR(34)," probability=",CHAR(34),1/CL$4,CHAR(34),CHAR(47),CHAR(62)),"&lt;/routeDistribution&gt;"))</f>
        <v/>
      </c>
    </row>
    <row r="3044" spans="1:5" x14ac:dyDescent="0.25">
      <c r="A3044" t="s">
        <v>2061</v>
      </c>
      <c r="B3044" t="s">
        <v>1207</v>
      </c>
      <c r="E3044" t="str">
        <f>IF(OR(E3043="&lt;/routeDistribution&gt;",E3043=""),"",IFERROR(_xlfn.CONCAT(VLOOKUP(CL18,Route_Column!#REF!,2,FALSE),CHAR(34)," probability=",CHAR(34),1/CL$4,CHAR(34),CHAR(47),CHAR(62)),"&lt;/routeDistribution&gt;"))</f>
        <v/>
      </c>
    </row>
    <row r="3045" spans="1:5" x14ac:dyDescent="0.25">
      <c r="A3045" t="s">
        <v>2061</v>
      </c>
      <c r="B3045" t="s">
        <v>1208</v>
      </c>
      <c r="E3045" t="str">
        <f>IF(OR(E3044="&lt;/routeDistribution&gt;",E3044=""),"",IFERROR(_xlfn.CONCAT(VLOOKUP(CL19,Route_Column!#REF!,2,FALSE),CHAR(34)," probability=",CHAR(34),1/CL$4,CHAR(34),CHAR(47),CHAR(62)),"&lt;/routeDistribution&gt;"))</f>
        <v/>
      </c>
    </row>
    <row r="3046" spans="1:5" x14ac:dyDescent="0.25">
      <c r="A3046" t="s">
        <v>2061</v>
      </c>
      <c r="B3046" t="s">
        <v>1224</v>
      </c>
      <c r="E3046" t="str">
        <f>IF(OR(E3045="&lt;/routeDistribution&gt;",E3045=""),"",IFERROR(_xlfn.CONCAT(VLOOKUP(CL20,Route_Column!#REF!,2,FALSE),CHAR(34)," probability=",CHAR(34),1/CL$4,CHAR(34),CHAR(47),CHAR(62)),"&lt;/routeDistribution&gt;"))</f>
        <v/>
      </c>
    </row>
    <row r="3047" spans="1:5" x14ac:dyDescent="0.25">
      <c r="A3047" t="s">
        <v>2061</v>
      </c>
      <c r="B3047" t="s">
        <v>1225</v>
      </c>
      <c r="E3047" t="str">
        <f>IF(OR(E3046="&lt;/routeDistribution&gt;",E3046=""),"",IFERROR(_xlfn.CONCAT(VLOOKUP(CL21,Route_Column!#REF!,2,FALSE),CHAR(34)," probability=",CHAR(34),1/CL$4,CHAR(34),CHAR(47),CHAR(62)),"&lt;/routeDistribution&gt;"))</f>
        <v/>
      </c>
    </row>
    <row r="3048" spans="1:5" x14ac:dyDescent="0.25">
      <c r="A3048" t="s">
        <v>2061</v>
      </c>
      <c r="B3048" t="s">
        <v>1232</v>
      </c>
      <c r="E3048" t="str">
        <f>IF(OR(E3047="&lt;/routeDistribution&gt;",E3047=""),"",IFERROR(_xlfn.CONCAT(VLOOKUP(CL22,Route_Column!#REF!,2,FALSE),CHAR(34)," probability=",CHAR(34),1/CL$4,CHAR(34),CHAR(47),CHAR(62)),"&lt;/routeDistribution&gt;"))</f>
        <v/>
      </c>
    </row>
    <row r="3049" spans="1:5" x14ac:dyDescent="0.25">
      <c r="A3049" t="s">
        <v>2061</v>
      </c>
      <c r="B3049" t="s">
        <v>1233</v>
      </c>
      <c r="E3049" t="str">
        <f>IF(OR(E3048="&lt;/routeDistribution&gt;",E3048=""),"",IFERROR(_xlfn.CONCAT(VLOOKUP(CL23,Route_Column!#REF!,2,FALSE),CHAR(34)," probability=",CHAR(34),1/CL$4,CHAR(34),CHAR(47),CHAR(62)),"&lt;/routeDistribution&gt;"))</f>
        <v/>
      </c>
    </row>
    <row r="3050" spans="1:5" x14ac:dyDescent="0.25">
      <c r="A3050" t="s">
        <v>2061</v>
      </c>
      <c r="B3050" t="s">
        <v>1234</v>
      </c>
      <c r="E3050" t="str">
        <f>IF(OR(E3049="&lt;/routeDistribution&gt;",E3049=""),"",IFERROR(_xlfn.CONCAT(VLOOKUP(CL24,Route_Column!#REF!,2,FALSE),CHAR(34)," probability=",CHAR(34),1/CL$4,CHAR(34),CHAR(47),CHAR(62)),"&lt;/routeDistribution&gt;"))</f>
        <v/>
      </c>
    </row>
    <row r="3051" spans="1:5" x14ac:dyDescent="0.25">
      <c r="A3051" t="s">
        <v>2123</v>
      </c>
      <c r="B3051" t="s">
        <v>1140</v>
      </c>
      <c r="E3051" t="str">
        <f>IF(OR(E3050="&lt;/routeDistribution&gt;",E3050=""),"",IFERROR(_xlfn.CONCAT(VLOOKUP(CL25,Route_Column!#REF!,2,FALSE),CHAR(34)," probability=",CHAR(34),1/CL$4,CHAR(34),CHAR(47),CHAR(62)),"&lt;/routeDistribution&gt;"))</f>
        <v/>
      </c>
    </row>
    <row r="3052" spans="1:5" x14ac:dyDescent="0.25">
      <c r="A3052" t="s">
        <v>2123</v>
      </c>
      <c r="B3052" t="s">
        <v>1141</v>
      </c>
      <c r="E3052" t="str">
        <f>IF(OR(E3051="&lt;/routeDistribution&gt;",E3051=""),"",IFERROR(_xlfn.CONCAT(VLOOKUP(CL26,Route_Column!#REF!,2,FALSE),CHAR(34)," probability=",CHAR(34),1/CL$4,CHAR(34),CHAR(47),CHAR(62)),"&lt;/routeDistribution&gt;"))</f>
        <v/>
      </c>
    </row>
    <row r="3053" spans="1:5" x14ac:dyDescent="0.25">
      <c r="A3053" t="s">
        <v>2123</v>
      </c>
      <c r="B3053" t="s">
        <v>1142</v>
      </c>
      <c r="E3053" t="str">
        <f>IF(OR(E3052="&lt;/routeDistribution&gt;",E3052=""),"",IFERROR(_xlfn.CONCAT(VLOOKUP(CL27,Route_Column!#REF!,2,FALSE),CHAR(34)," probability=",CHAR(34),1/CL$4,CHAR(34),CHAR(47),CHAR(62)),"&lt;/routeDistribution&gt;"))</f>
        <v/>
      </c>
    </row>
    <row r="3054" spans="1:5" x14ac:dyDescent="0.25">
      <c r="A3054" t="s">
        <v>2123</v>
      </c>
      <c r="B3054" t="s">
        <v>1150</v>
      </c>
      <c r="E3054" t="str">
        <f>IF(OR(E3053="&lt;/routeDistribution&gt;",E3053=""),"",IFERROR(_xlfn.CONCAT(VLOOKUP(CL28,Route_Column!#REF!,2,FALSE),CHAR(34)," probability=",CHAR(34),1/CL$4,CHAR(34),CHAR(47),CHAR(62)),"&lt;/routeDistribution&gt;"))</f>
        <v/>
      </c>
    </row>
    <row r="3055" spans="1:5" x14ac:dyDescent="0.25">
      <c r="A3055" t="s">
        <v>2123</v>
      </c>
      <c r="B3055" t="s">
        <v>1151</v>
      </c>
      <c r="E3055" t="str">
        <f>IF(OR(E3054="&lt;/routeDistribution&gt;",E3054=""),"",IFERROR(_xlfn.CONCAT(VLOOKUP(CL29,Route_Column!#REF!,2,FALSE),CHAR(34)," probability=",CHAR(34),1/CL$4,CHAR(34),CHAR(47),CHAR(62)),"&lt;/routeDistribution&gt;"))</f>
        <v/>
      </c>
    </row>
    <row r="3056" spans="1:5" x14ac:dyDescent="0.25">
      <c r="A3056" t="s">
        <v>2123</v>
      </c>
      <c r="B3056" t="s">
        <v>1179</v>
      </c>
      <c r="E3056" t="str">
        <f>IF(OR(E3055="&lt;/routeDistribution&gt;",E3055=""),"",IFERROR(_xlfn.CONCAT(VLOOKUP(CL30,Route_Column!#REF!,2,FALSE),CHAR(34)," probability=",CHAR(34),1/CL$4,CHAR(34),CHAR(47),CHAR(62)),"&lt;/routeDistribution&gt;"))</f>
        <v/>
      </c>
    </row>
    <row r="3057" spans="1:5" x14ac:dyDescent="0.25">
      <c r="A3057" t="s">
        <v>2123</v>
      </c>
      <c r="B3057" t="s">
        <v>1183</v>
      </c>
      <c r="E3057" t="str">
        <f>IF(OR(E3056="&lt;/routeDistribution&gt;",E3056=""),"",IFERROR(_xlfn.CONCAT(VLOOKUP(CL31,Route_Column!#REF!,2,FALSE),CHAR(34)," probability=",CHAR(34),1/CL$4,CHAR(34),CHAR(47),CHAR(62)),"&lt;/routeDistribution&gt;"))</f>
        <v/>
      </c>
    </row>
    <row r="3058" spans="1:5" x14ac:dyDescent="0.25">
      <c r="A3058" t="s">
        <v>2123</v>
      </c>
      <c r="B3058" t="s">
        <v>1184</v>
      </c>
      <c r="E3058" t="str">
        <f>IF(OR(E3057="&lt;/routeDistribution&gt;",E3057=""),"",IFERROR(_xlfn.CONCAT(VLOOKUP(CL32,Route_Column!#REF!,2,FALSE),CHAR(34)," probability=",CHAR(34),1/CL$4,CHAR(34),CHAR(47),CHAR(62)),"&lt;/routeDistribution&gt;"))</f>
        <v/>
      </c>
    </row>
    <row r="3059" spans="1:5" x14ac:dyDescent="0.25">
      <c r="A3059" t="s">
        <v>2123</v>
      </c>
      <c r="B3059" t="s">
        <v>1205</v>
      </c>
      <c r="E3059" t="str">
        <f>IF(OR(E3058="&lt;/routeDistribution&gt;",E3058=""),"",IFERROR(_xlfn.CONCAT(VLOOKUP(CL33,Route_Column!#REF!,2,FALSE),CHAR(34)," probability=",CHAR(34),1/CL$4,CHAR(34),CHAR(47),CHAR(62)),"&lt;/routeDistribution&gt;"))</f>
        <v/>
      </c>
    </row>
    <row r="3060" spans="1:5" x14ac:dyDescent="0.25">
      <c r="A3060" t="s">
        <v>2123</v>
      </c>
      <c r="B3060" t="s">
        <v>1206</v>
      </c>
      <c r="E3060" t="str">
        <f>IF(OR(E3059="&lt;/routeDistribution&gt;",E3059=""),"",IFERROR(_xlfn.CONCAT(VLOOKUP(CL34,Route_Column!#REF!,2,FALSE),CHAR(34)," probability=",CHAR(34),1/CL$4,CHAR(34),CHAR(47),CHAR(62)),"&lt;/routeDistribution&gt;"))</f>
        <v/>
      </c>
    </row>
    <row r="3061" spans="1:5" x14ac:dyDescent="0.25">
      <c r="A3061" t="s">
        <v>2123</v>
      </c>
      <c r="B3061" t="s">
        <v>1207</v>
      </c>
      <c r="E3061" t="str">
        <f>IF(OR(E3060="&lt;/routeDistribution&gt;",E3060=""),"",IFERROR(_xlfn.CONCAT(VLOOKUP(CL35,Route_Column!#REF!,2,FALSE),CHAR(34)," probability=",CHAR(34),1/CL$4,CHAR(34),CHAR(47),CHAR(62)),"&lt;/routeDistribution&gt;"))</f>
        <v/>
      </c>
    </row>
    <row r="3062" spans="1:5" x14ac:dyDescent="0.25">
      <c r="A3062" t="s">
        <v>2123</v>
      </c>
      <c r="B3062" t="s">
        <v>1208</v>
      </c>
      <c r="E3062" t="str">
        <f>IF(OR(E3061="&lt;/routeDistribution&gt;",E3061=""),"",IFERROR(_xlfn.CONCAT(VLOOKUP(CL36,Route_Column!#REF!,2,FALSE),CHAR(34)," probability=",CHAR(34),1/CL$4,CHAR(34),CHAR(47),CHAR(62)),"&lt;/routeDistribution&gt;"))</f>
        <v/>
      </c>
    </row>
    <row r="3063" spans="1:5" x14ac:dyDescent="0.25">
      <c r="A3063" t="s">
        <v>2123</v>
      </c>
      <c r="B3063" t="s">
        <v>1224</v>
      </c>
      <c r="E3063" t="str">
        <f>IF(OR(E3062="&lt;/routeDistribution&gt;",E3062=""),"",IFERROR(_xlfn.CONCAT(VLOOKUP(CL37,Route_Column!#REF!,2,FALSE),CHAR(34)," probability=",CHAR(34),1/CL$4,CHAR(34),CHAR(47),CHAR(62)),"&lt;/routeDistribution&gt;"))</f>
        <v/>
      </c>
    </row>
    <row r="3064" spans="1:5" x14ac:dyDescent="0.25">
      <c r="A3064" t="s">
        <v>2123</v>
      </c>
      <c r="B3064" t="s">
        <v>1225</v>
      </c>
      <c r="E3064" t="str">
        <f>IF(OR(E3063="&lt;/routeDistribution&gt;",E3063=""),"",IFERROR(_xlfn.CONCAT(VLOOKUP(CL38,Route_Column!#REF!,2,FALSE),CHAR(34)," probability=",CHAR(34),1/CL$4,CHAR(34),CHAR(47),CHAR(62)),"&lt;/routeDistribution&gt;"))</f>
        <v/>
      </c>
    </row>
    <row r="3065" spans="1:5" x14ac:dyDescent="0.25">
      <c r="A3065" t="s">
        <v>2123</v>
      </c>
      <c r="B3065" t="s">
        <v>1232</v>
      </c>
      <c r="E3065" t="str">
        <f>IF(OR(E3064="&lt;/routeDistribution&gt;",E3064=""),"",IFERROR(_xlfn.CONCAT(VLOOKUP(CL39,Route_Column!#REF!,2,FALSE),CHAR(34)," probability=",CHAR(34),1/CL$4,CHAR(34),CHAR(47),CHAR(62)),"&lt;/routeDistribution&gt;"))</f>
        <v/>
      </c>
    </row>
    <row r="3066" spans="1:5" x14ac:dyDescent="0.25">
      <c r="A3066" t="s">
        <v>2123</v>
      </c>
      <c r="B3066" t="s">
        <v>1233</v>
      </c>
      <c r="E3066" t="str">
        <f>IF(OR(E3065="&lt;/routeDistribution&gt;",E3065=""),"",IFERROR(_xlfn.CONCAT(VLOOKUP(CL40,Route_Column!#REF!,2,FALSE),CHAR(34)," probability=",CHAR(34),1/CL$4,CHAR(34),CHAR(47),CHAR(62)),"&lt;/routeDistribution&gt;"))</f>
        <v/>
      </c>
    </row>
    <row r="3067" spans="1:5" x14ac:dyDescent="0.25">
      <c r="A3067" t="s">
        <v>2123</v>
      </c>
      <c r="B3067" t="s">
        <v>1234</v>
      </c>
      <c r="E3067" t="str">
        <f>IF(OR(E3066="&lt;/routeDistribution&gt;",E3066=""),"",IFERROR(_xlfn.CONCAT(VLOOKUP(CL41,Route_Column!#REF!,2,FALSE),CHAR(34)," probability=",CHAR(34),1/CL$4,CHAR(34),CHAR(47),CHAR(62)),"&lt;/routeDistribution&gt;"))</f>
        <v/>
      </c>
    </row>
    <row r="3068" spans="1:5" x14ac:dyDescent="0.25">
      <c r="A3068" t="s">
        <v>2130</v>
      </c>
      <c r="B3068" t="s">
        <v>1140</v>
      </c>
      <c r="E3068" t="str">
        <f>IF(OR(E3067="&lt;/routeDistribution&gt;",E3067=""),"",IFERROR(_xlfn.CONCAT(VLOOKUP(CL42,Route_Column!#REF!,2,FALSE),CHAR(34)," probability=",CHAR(34),1/CL$4,CHAR(34),CHAR(47),CHAR(62)),"&lt;/routeDistribution&gt;"))</f>
        <v/>
      </c>
    </row>
    <row r="3069" spans="1:5" x14ac:dyDescent="0.25">
      <c r="A3069" t="s">
        <v>2130</v>
      </c>
      <c r="B3069" t="s">
        <v>1141</v>
      </c>
      <c r="E3069" t="str">
        <f>IF(OR(E3068="&lt;/routeDistribution&gt;",E3068=""),"",IFERROR(_xlfn.CONCAT(VLOOKUP(CL43,Route_Column!#REF!,2,FALSE),CHAR(34)," probability=",CHAR(34),1/CL$4,CHAR(34),CHAR(47),CHAR(62)),"&lt;/routeDistribution&gt;"))</f>
        <v/>
      </c>
    </row>
    <row r="3070" spans="1:5" x14ac:dyDescent="0.25">
      <c r="A3070" t="s">
        <v>2130</v>
      </c>
      <c r="B3070" t="s">
        <v>1142</v>
      </c>
      <c r="E3070" t="str">
        <f>IF(OR(E3069="&lt;/routeDistribution&gt;",E3069=""),"",IFERROR(_xlfn.CONCAT(VLOOKUP(CL44,Route_Column!#REF!,2,FALSE),CHAR(34)," probability=",CHAR(34),1/CL$4,CHAR(34),CHAR(47),CHAR(62)),"&lt;/routeDistribution&gt;"))</f>
        <v/>
      </c>
    </row>
    <row r="3071" spans="1:5" x14ac:dyDescent="0.25">
      <c r="A3071" t="s">
        <v>2130</v>
      </c>
      <c r="B3071" t="s">
        <v>1150</v>
      </c>
      <c r="E3071" t="str">
        <f>IF(OR(E3070="&lt;/routeDistribution&gt;",E3070=""),"",IFERROR(_xlfn.CONCAT(VLOOKUP(CL45,Route_Column!#REF!,2,FALSE),CHAR(34)," probability=",CHAR(34),1/CL$4,CHAR(34),CHAR(47),CHAR(62)),"&lt;/routeDistribution&gt;"))</f>
        <v/>
      </c>
    </row>
    <row r="3072" spans="1:5" x14ac:dyDescent="0.25">
      <c r="A3072" t="s">
        <v>2130</v>
      </c>
      <c r="B3072" t="s">
        <v>1151</v>
      </c>
      <c r="E3072" t="str">
        <f>IF(OR(E3071="&lt;/routeDistribution&gt;",E3071=""),"",IFERROR(_xlfn.CONCAT(VLOOKUP(CL46,Route_Column!#REF!,2,FALSE),CHAR(34)," probability=",CHAR(34),1/CL$4,CHAR(34),CHAR(47),CHAR(62)),"&lt;/routeDistribution&gt;"))</f>
        <v/>
      </c>
    </row>
    <row r="3073" spans="1:5" x14ac:dyDescent="0.25">
      <c r="A3073" t="s">
        <v>2130</v>
      </c>
      <c r="B3073" t="s">
        <v>1179</v>
      </c>
      <c r="E3073" t="str">
        <f>IF(OR(E3072="&lt;/routeDistribution&gt;",E3072=""),"",IFERROR(_xlfn.CONCAT(VLOOKUP(CL47,Route_Column!#REF!,2,FALSE),CHAR(34)," probability=",CHAR(34),1/CL$4,CHAR(34),CHAR(47),CHAR(62)),"&lt;/routeDistribution&gt;"))</f>
        <v/>
      </c>
    </row>
    <row r="3074" spans="1:5" x14ac:dyDescent="0.25">
      <c r="A3074" t="s">
        <v>2130</v>
      </c>
      <c r="B3074" t="s">
        <v>1183</v>
      </c>
      <c r="E3074" t="str">
        <f>IF(OR(E3073="&lt;/routeDistribution&gt;",E3073=""),"",IFERROR(_xlfn.CONCAT(VLOOKUP(CL48,Route_Column!#REF!,2,FALSE),CHAR(34)," probability=",CHAR(34),1/CL$4,CHAR(34),CHAR(47),CHAR(62)),"&lt;/routeDistribution&gt;"))</f>
        <v/>
      </c>
    </row>
    <row r="3075" spans="1:5" x14ac:dyDescent="0.25">
      <c r="A3075" t="s">
        <v>2130</v>
      </c>
      <c r="B3075" t="s">
        <v>1184</v>
      </c>
      <c r="E3075" t="str">
        <f>IF(OR(E3074="&lt;/routeDistribution&gt;",E3074=""),"",IFERROR(_xlfn.CONCAT(VLOOKUP(CL49,Route_Column!#REF!,2,FALSE),CHAR(34)," probability=",CHAR(34),1/CL$4,CHAR(34),CHAR(47),CHAR(62)),"&lt;/routeDistribution&gt;"))</f>
        <v/>
      </c>
    </row>
    <row r="3076" spans="1:5" x14ac:dyDescent="0.25">
      <c r="A3076" t="s">
        <v>2130</v>
      </c>
      <c r="B3076" t="s">
        <v>1205</v>
      </c>
      <c r="E3076" t="str">
        <f>IF(OR(E3075="&lt;/routeDistribution&gt;",E3075=""),"",IFERROR(_xlfn.CONCAT(VLOOKUP(CL50,Route_Column!#REF!,2,FALSE),CHAR(34)," probability=",CHAR(34),1/CL$4,CHAR(34),CHAR(47),CHAR(62)),"&lt;/routeDistribution&gt;"))</f>
        <v/>
      </c>
    </row>
    <row r="3077" spans="1:5" x14ac:dyDescent="0.25">
      <c r="A3077" t="s">
        <v>2130</v>
      </c>
      <c r="B3077" t="s">
        <v>1206</v>
      </c>
      <c r="E3077" t="str">
        <f>IF(OR(E3076="&lt;/routeDistribution&gt;",E3076=""),"",IFERROR(_xlfn.CONCAT(VLOOKUP(CL51,Route_Column!#REF!,2,FALSE),CHAR(34)," probability=",CHAR(34),1/CL$4,CHAR(34),CHAR(47),CHAR(62)),"&lt;/routeDistribution&gt;"))</f>
        <v/>
      </c>
    </row>
    <row r="3078" spans="1:5" x14ac:dyDescent="0.25">
      <c r="A3078" t="s">
        <v>2130</v>
      </c>
      <c r="B3078" t="s">
        <v>1207</v>
      </c>
      <c r="E3078" t="str">
        <f>IF(OR(E3077="&lt;/routeDistribution&gt;",E3077=""),"",IFERROR(_xlfn.CONCAT(VLOOKUP(CL52,Route_Column!#REF!,2,FALSE),CHAR(34)," probability=",CHAR(34),1/CL$4,CHAR(34),CHAR(47),CHAR(62)),"&lt;/routeDistribution&gt;"))</f>
        <v/>
      </c>
    </row>
    <row r="3079" spans="1:5" x14ac:dyDescent="0.25">
      <c r="A3079" t="s">
        <v>2130</v>
      </c>
      <c r="B3079" t="s">
        <v>1208</v>
      </c>
      <c r="E3079" t="str">
        <f>IF(OR(E3078="&lt;/routeDistribution&gt;",E3078=""),"",IFERROR(_xlfn.CONCAT(VLOOKUP(CL53,Route_Column!#REF!,2,FALSE),CHAR(34)," probability=",CHAR(34),1/CL$4,CHAR(34),CHAR(47),CHAR(62)),"&lt;/routeDistribution&gt;"))</f>
        <v/>
      </c>
    </row>
    <row r="3080" spans="1:5" x14ac:dyDescent="0.25">
      <c r="A3080" t="s">
        <v>2130</v>
      </c>
      <c r="B3080" t="s">
        <v>1224</v>
      </c>
      <c r="E3080" t="str">
        <f>IF(OR(E3079="&lt;/routeDistribution&gt;",E3079=""),"",IFERROR(_xlfn.CONCAT(VLOOKUP(CL54,Route_Column!#REF!,2,FALSE),CHAR(34)," probability=",CHAR(34),1/CL$4,CHAR(34),CHAR(47),CHAR(62)),"&lt;/routeDistribution&gt;"))</f>
        <v/>
      </c>
    </row>
    <row r="3081" spans="1:5" x14ac:dyDescent="0.25">
      <c r="A3081" t="s">
        <v>2130</v>
      </c>
      <c r="B3081" t="s">
        <v>1225</v>
      </c>
      <c r="E3081" t="str">
        <f>IF(OR(E3080="&lt;/routeDistribution&gt;",E3080=""),"",IFERROR(_xlfn.CONCAT(VLOOKUP(CL55,Route_Column!#REF!,2,FALSE),CHAR(34)," probability=",CHAR(34),1/CL$4,CHAR(34),CHAR(47),CHAR(62)),"&lt;/routeDistribution&gt;"))</f>
        <v/>
      </c>
    </row>
    <row r="3082" spans="1:5" x14ac:dyDescent="0.25">
      <c r="A3082" t="s">
        <v>2130</v>
      </c>
      <c r="B3082" t="s">
        <v>1232</v>
      </c>
      <c r="E3082" t="str">
        <f>IF(OR(E3081="&lt;/routeDistribution&gt;",E3081=""),"",IFERROR(_xlfn.CONCAT(VLOOKUP(CL56,Route_Column!#REF!,2,FALSE),CHAR(34)," probability=",CHAR(34),1/CL$4,CHAR(34),CHAR(47),CHAR(62)),"&lt;/routeDistribution&gt;"))</f>
        <v/>
      </c>
    </row>
    <row r="3083" spans="1:5" x14ac:dyDescent="0.25">
      <c r="A3083" t="s">
        <v>2130</v>
      </c>
      <c r="B3083" t="s">
        <v>1233</v>
      </c>
      <c r="E3083" t="str">
        <f>IF(OR(E3082="&lt;/routeDistribution&gt;",E3082=""),"",IFERROR(_xlfn.CONCAT(VLOOKUP(CL57,Route_Column!#REF!,2,FALSE),CHAR(34)," probability=",CHAR(34),1/CL$4,CHAR(34),CHAR(47),CHAR(62)),"&lt;/routeDistribution&gt;"))</f>
        <v/>
      </c>
    </row>
    <row r="3084" spans="1:5" x14ac:dyDescent="0.25">
      <c r="A3084" t="s">
        <v>2130</v>
      </c>
      <c r="B3084" t="s">
        <v>1234</v>
      </c>
      <c r="E3084" t="str">
        <f>IF(OR(E3083="&lt;/routeDistribution&gt;",E3083=""),"",IFERROR(_xlfn.CONCAT(VLOOKUP(CL58,Route_Column!#REF!,2,FALSE),CHAR(34)," probability=",CHAR(34),1/CL$4,CHAR(34),CHAR(47),CHAR(62)),"&lt;/routeDistribution&gt;"))</f>
        <v/>
      </c>
    </row>
    <row r="3085" spans="1:5" x14ac:dyDescent="0.25">
      <c r="A3085" t="s">
        <v>2129</v>
      </c>
      <c r="B3085" t="s">
        <v>1140</v>
      </c>
      <c r="E3085" t="str">
        <f>IF(OR(E3084="&lt;/routeDistribution&gt;",E3084=""),"",IFERROR(_xlfn.CONCAT(VLOOKUP(CL59,Route_Column!#REF!,2,FALSE),CHAR(34)," probability=",CHAR(34),1/CL$4,CHAR(34),CHAR(47),CHAR(62)),"&lt;/routeDistribution&gt;"))</f>
        <v/>
      </c>
    </row>
    <row r="3086" spans="1:5" x14ac:dyDescent="0.25">
      <c r="A3086" t="s">
        <v>2129</v>
      </c>
      <c r="B3086" t="s">
        <v>1141</v>
      </c>
      <c r="E3086" t="str">
        <f>IF(OR(E3085="&lt;/routeDistribution&gt;",E3085=""),"",IFERROR(_xlfn.CONCAT(VLOOKUP(CL60,Route_Column!#REF!,2,FALSE),CHAR(34)," probability=",CHAR(34),1/CL$4,CHAR(34),CHAR(47),CHAR(62)),"&lt;/routeDistribution&gt;"))</f>
        <v/>
      </c>
    </row>
    <row r="3087" spans="1:5" x14ac:dyDescent="0.25">
      <c r="A3087" t="s">
        <v>2129</v>
      </c>
      <c r="B3087" t="s">
        <v>1142</v>
      </c>
      <c r="E3087" t="str">
        <f>IF(OR(E3086="&lt;/routeDistribution&gt;",E3086=""),"",IFERROR(_xlfn.CONCAT(VLOOKUP(CL61,Route_Column!#REF!,2,FALSE),CHAR(34)," probability=",CHAR(34),1/CL$4,CHAR(34),CHAR(47),CHAR(62)),"&lt;/routeDistribution&gt;"))</f>
        <v/>
      </c>
    </row>
    <row r="3088" spans="1:5" x14ac:dyDescent="0.25">
      <c r="A3088" t="s">
        <v>2129</v>
      </c>
      <c r="B3088" t="s">
        <v>1150</v>
      </c>
      <c r="E3088" t="str">
        <f>IF(OR(E3087="&lt;/routeDistribution&gt;",E3087=""),"",IFERROR(_xlfn.CONCAT(VLOOKUP(CL62,Route_Column!#REF!,2,FALSE),CHAR(34)," probability=",CHAR(34),1/CL$4,CHAR(34),CHAR(47),CHAR(62)),"&lt;/routeDistribution&gt;"))</f>
        <v/>
      </c>
    </row>
    <row r="3089" spans="1:5" x14ac:dyDescent="0.25">
      <c r="A3089" t="s">
        <v>2129</v>
      </c>
      <c r="B3089" t="s">
        <v>1151</v>
      </c>
      <c r="E3089" t="str">
        <f>IF(OR(E3088="&lt;/routeDistribution&gt;",E3088=""),"",IFERROR(_xlfn.CONCAT(VLOOKUP(CL63,Route_Column!#REF!,2,FALSE),CHAR(34)," probability=",CHAR(34),1/CL$4,CHAR(34),CHAR(47),CHAR(62)),"&lt;/routeDistribution&gt;"))</f>
        <v/>
      </c>
    </row>
    <row r="3090" spans="1:5" x14ac:dyDescent="0.25">
      <c r="A3090" t="s">
        <v>2129</v>
      </c>
      <c r="B3090" t="s">
        <v>1179</v>
      </c>
      <c r="E3090" t="s">
        <v>2686</v>
      </c>
    </row>
    <row r="3091" spans="1:5" x14ac:dyDescent="0.25">
      <c r="A3091" t="s">
        <v>2129</v>
      </c>
      <c r="B3091" t="s">
        <v>1183</v>
      </c>
    </row>
    <row r="3092" spans="1:5" x14ac:dyDescent="0.25">
      <c r="A3092" t="s">
        <v>2129</v>
      </c>
      <c r="B3092" t="s">
        <v>1184</v>
      </c>
    </row>
    <row r="3093" spans="1:5" x14ac:dyDescent="0.25">
      <c r="A3093" t="s">
        <v>2129</v>
      </c>
      <c r="B3093" t="s">
        <v>1205</v>
      </c>
      <c r="E3093" t="str">
        <f>_xlfn.CONCAT($E$1,CK$2,$F$1)</f>
        <v>&lt;routeDistribution id="SOUTHst-Convention-I-76-WB-2008-RouteProbe"&gt;</v>
      </c>
    </row>
    <row r="3094" spans="1:5" x14ac:dyDescent="0.25">
      <c r="A3094" t="s">
        <v>2129</v>
      </c>
      <c r="B3094" t="s">
        <v>1206</v>
      </c>
      <c r="E3094" t="str">
        <f>IF(OR(E3093="&lt;/routeDistribution&gt;",E3093=""),"",IFERROR(_xlfn.CONCAT(VLOOKUP(CK5,Route_Column!#REF!,2,FALSE),CHAR(34)," probability=",CHAR(34),1/CK$4,CHAR(34),CHAR(47),CHAR(62)),"&lt;/routeDistribution&gt;"))</f>
        <v>&lt;/routeDistribution&gt;</v>
      </c>
    </row>
    <row r="3095" spans="1:5" x14ac:dyDescent="0.25">
      <c r="A3095" t="s">
        <v>2129</v>
      </c>
      <c r="B3095" t="s">
        <v>1207</v>
      </c>
      <c r="E3095" t="str">
        <f>IF(OR(E3094="&lt;/routeDistribution&gt;",E3094=""),"",IFERROR(_xlfn.CONCAT(VLOOKUP(CK6,Route_Column!#REF!,2,FALSE),CHAR(34)," probability=",CHAR(34),1/CK$4,CHAR(34),CHAR(47),CHAR(62)),"&lt;/routeDistribution&gt;"))</f>
        <v/>
      </c>
    </row>
    <row r="3096" spans="1:5" x14ac:dyDescent="0.25">
      <c r="A3096" t="s">
        <v>2129</v>
      </c>
      <c r="B3096" t="s">
        <v>1208</v>
      </c>
      <c r="E3096" t="str">
        <f>IF(OR(E3095="&lt;/routeDistribution&gt;",E3095=""),"",IFERROR(_xlfn.CONCAT(VLOOKUP(CK7,Route_Column!#REF!,2,FALSE),CHAR(34)," probability=",CHAR(34),1/CK$4,CHAR(34),CHAR(47),CHAR(62)),"&lt;/routeDistribution&gt;"))</f>
        <v/>
      </c>
    </row>
    <row r="3097" spans="1:5" x14ac:dyDescent="0.25">
      <c r="A3097" t="s">
        <v>2129</v>
      </c>
      <c r="B3097" t="s">
        <v>1224</v>
      </c>
      <c r="E3097" t="str">
        <f>IF(OR(E3096="&lt;/routeDistribution&gt;",E3096=""),"",IFERROR(_xlfn.CONCAT(VLOOKUP(CK8,Route_Column!#REF!,2,FALSE),CHAR(34)," probability=",CHAR(34),1/CK$4,CHAR(34),CHAR(47),CHAR(62)),"&lt;/routeDistribution&gt;"))</f>
        <v/>
      </c>
    </row>
    <row r="3098" spans="1:5" x14ac:dyDescent="0.25">
      <c r="A3098" t="s">
        <v>2129</v>
      </c>
      <c r="B3098" t="s">
        <v>1225</v>
      </c>
      <c r="E3098" t="str">
        <f>IF(OR(E3097="&lt;/routeDistribution&gt;",E3097=""),"",IFERROR(_xlfn.CONCAT(VLOOKUP(CK9,Route_Column!#REF!,2,FALSE),CHAR(34)," probability=",CHAR(34),1/CK$4,CHAR(34),CHAR(47),CHAR(62)),"&lt;/routeDistribution&gt;"))</f>
        <v/>
      </c>
    </row>
    <row r="3099" spans="1:5" x14ac:dyDescent="0.25">
      <c r="A3099" t="s">
        <v>2129</v>
      </c>
      <c r="B3099" t="s">
        <v>1232</v>
      </c>
      <c r="E3099" t="str">
        <f>IF(OR(E3098="&lt;/routeDistribution&gt;",E3098=""),"",IFERROR(_xlfn.CONCAT(VLOOKUP(CK10,Route_Column!#REF!,2,FALSE),CHAR(34)," probability=",CHAR(34),1/CK$4,CHAR(34),CHAR(47),CHAR(62)),"&lt;/routeDistribution&gt;"))</f>
        <v/>
      </c>
    </row>
    <row r="3100" spans="1:5" x14ac:dyDescent="0.25">
      <c r="A3100" t="s">
        <v>2129</v>
      </c>
      <c r="B3100" t="s">
        <v>1233</v>
      </c>
      <c r="E3100" t="str">
        <f>IF(OR(E3099="&lt;/routeDistribution&gt;",E3099=""),"",IFERROR(_xlfn.CONCAT(VLOOKUP(CK11,Route_Column!#REF!,2,FALSE),CHAR(34)," probability=",CHAR(34),1/CK$4,CHAR(34),CHAR(47),CHAR(62)),"&lt;/routeDistribution&gt;"))</f>
        <v/>
      </c>
    </row>
    <row r="3101" spans="1:5" x14ac:dyDescent="0.25">
      <c r="A3101" t="s">
        <v>2129</v>
      </c>
      <c r="B3101" t="s">
        <v>1234</v>
      </c>
      <c r="E3101" t="str">
        <f>IF(OR(E3100="&lt;/routeDistribution&gt;",E3100=""),"",IFERROR(_xlfn.CONCAT(VLOOKUP(CK12,Route_Column!#REF!,2,FALSE),CHAR(34)," probability=",CHAR(34),1/CK$4,CHAR(34),CHAR(47),CHAR(62)),"&lt;/routeDistribution&gt;"))</f>
        <v/>
      </c>
    </row>
    <row r="3102" spans="1:5" x14ac:dyDescent="0.25">
      <c r="A3102" t="s">
        <v>1753</v>
      </c>
      <c r="B3102" t="s">
        <v>1102</v>
      </c>
      <c r="E3102" t="str">
        <f>IF(OR(E3101="&lt;/routeDistribution&gt;",E3101=""),"",IFERROR(_xlfn.CONCAT(VLOOKUP(CK13,Route_Column!#REF!,2,FALSE),CHAR(34)," probability=",CHAR(34),1/CK$4,CHAR(34),CHAR(47),CHAR(62)),"&lt;/routeDistribution&gt;"))</f>
        <v/>
      </c>
    </row>
    <row r="3103" spans="1:5" x14ac:dyDescent="0.25">
      <c r="A3103" t="s">
        <v>1753</v>
      </c>
      <c r="B3103" t="s">
        <v>1110</v>
      </c>
      <c r="E3103" t="str">
        <f>IF(OR(E3102="&lt;/routeDistribution&gt;",E3102=""),"",IFERROR(_xlfn.CONCAT(VLOOKUP(CK14,Route_Column!#REF!,2,FALSE),CHAR(34)," probability=",CHAR(34),1/CK$4,CHAR(34),CHAR(47),CHAR(62)),"&lt;/routeDistribution&gt;"))</f>
        <v/>
      </c>
    </row>
    <row r="3104" spans="1:5" x14ac:dyDescent="0.25">
      <c r="A3104" t="s">
        <v>1753</v>
      </c>
      <c r="B3104" t="s">
        <v>1112</v>
      </c>
      <c r="E3104" t="str">
        <f>IF(OR(E3103="&lt;/routeDistribution&gt;",E3103=""),"",IFERROR(_xlfn.CONCAT(VLOOKUP(CK15,Route_Column!#REF!,2,FALSE),CHAR(34)," probability=",CHAR(34),1/CK$4,CHAR(34),CHAR(47),CHAR(62)),"&lt;/routeDistribution&gt;"))</f>
        <v/>
      </c>
    </row>
    <row r="3105" spans="1:5" x14ac:dyDescent="0.25">
      <c r="A3105" t="s">
        <v>1753</v>
      </c>
      <c r="B3105" t="s">
        <v>1130</v>
      </c>
      <c r="E3105" t="str">
        <f>IF(OR(E3104="&lt;/routeDistribution&gt;",E3104=""),"",IFERROR(_xlfn.CONCAT(VLOOKUP(CK16,Route_Column!#REF!,2,FALSE),CHAR(34)," probability=",CHAR(34),1/CK$4,CHAR(34),CHAR(47),CHAR(62)),"&lt;/routeDistribution&gt;"))</f>
        <v/>
      </c>
    </row>
    <row r="3106" spans="1:5" x14ac:dyDescent="0.25">
      <c r="A3106" t="s">
        <v>1753</v>
      </c>
      <c r="B3106" t="s">
        <v>1131</v>
      </c>
      <c r="E3106" t="str">
        <f>IF(OR(E3105="&lt;/routeDistribution&gt;",E3105=""),"",IFERROR(_xlfn.CONCAT(VLOOKUP(CK17,Route_Column!#REF!,2,FALSE),CHAR(34)," probability=",CHAR(34),1/CK$4,CHAR(34),CHAR(47),CHAR(62)),"&lt;/routeDistribution&gt;"))</f>
        <v/>
      </c>
    </row>
    <row r="3107" spans="1:5" x14ac:dyDescent="0.25">
      <c r="A3107" t="s">
        <v>1753</v>
      </c>
      <c r="B3107" t="s">
        <v>1132</v>
      </c>
      <c r="E3107" t="str">
        <f>IF(OR(E3106="&lt;/routeDistribution&gt;",E3106=""),"",IFERROR(_xlfn.CONCAT(VLOOKUP(CK18,Route_Column!#REF!,2,FALSE),CHAR(34)," probability=",CHAR(34),1/CK$4,CHAR(34),CHAR(47),CHAR(62)),"&lt;/routeDistribution&gt;"))</f>
        <v/>
      </c>
    </row>
    <row r="3108" spans="1:5" x14ac:dyDescent="0.25">
      <c r="A3108" t="s">
        <v>1753</v>
      </c>
      <c r="B3108" t="s">
        <v>1134</v>
      </c>
      <c r="E3108" t="str">
        <f>IF(OR(E3107="&lt;/routeDistribution&gt;",E3107=""),"",IFERROR(_xlfn.CONCAT(VLOOKUP(CK19,Route_Column!#REF!,2,FALSE),CHAR(34)," probability=",CHAR(34),1/CK$4,CHAR(34),CHAR(47),CHAR(62)),"&lt;/routeDistribution&gt;"))</f>
        <v/>
      </c>
    </row>
    <row r="3109" spans="1:5" x14ac:dyDescent="0.25">
      <c r="A3109" t="s">
        <v>1753</v>
      </c>
      <c r="B3109" t="s">
        <v>1137</v>
      </c>
      <c r="E3109" t="str">
        <f>IF(OR(E3108="&lt;/routeDistribution&gt;",E3108=""),"",IFERROR(_xlfn.CONCAT(VLOOKUP(CK20,Route_Column!#REF!,2,FALSE),CHAR(34)," probability=",CHAR(34),1/CK$4,CHAR(34),CHAR(47),CHAR(62)),"&lt;/routeDistribution&gt;"))</f>
        <v/>
      </c>
    </row>
    <row r="3110" spans="1:5" x14ac:dyDescent="0.25">
      <c r="A3110" t="s">
        <v>1753</v>
      </c>
      <c r="B3110" t="s">
        <v>1138</v>
      </c>
      <c r="E3110" t="str">
        <f>IF(OR(E3109="&lt;/routeDistribution&gt;",E3109=""),"",IFERROR(_xlfn.CONCAT(VLOOKUP(CK21,Route_Column!#REF!,2,FALSE),CHAR(34)," probability=",CHAR(34),1/CK$4,CHAR(34),CHAR(47),CHAR(62)),"&lt;/routeDistribution&gt;"))</f>
        <v/>
      </c>
    </row>
    <row r="3111" spans="1:5" x14ac:dyDescent="0.25">
      <c r="A3111" t="s">
        <v>1753</v>
      </c>
      <c r="B3111" t="s">
        <v>1145</v>
      </c>
      <c r="E3111" t="str">
        <f>IF(OR(E3110="&lt;/routeDistribution&gt;",E3110=""),"",IFERROR(_xlfn.CONCAT(VLOOKUP(CK22,Route_Column!#REF!,2,FALSE),CHAR(34)," probability=",CHAR(34),1/CK$4,CHAR(34),CHAR(47),CHAR(62)),"&lt;/routeDistribution&gt;"))</f>
        <v/>
      </c>
    </row>
    <row r="3112" spans="1:5" x14ac:dyDescent="0.25">
      <c r="A3112" t="s">
        <v>1753</v>
      </c>
      <c r="B3112" t="s">
        <v>1154</v>
      </c>
      <c r="E3112" t="str">
        <f>IF(OR(E3111="&lt;/routeDistribution&gt;",E3111=""),"",IFERROR(_xlfn.CONCAT(VLOOKUP(CK23,Route_Column!#REF!,2,FALSE),CHAR(34)," probability=",CHAR(34),1/CK$4,CHAR(34),CHAR(47),CHAR(62)),"&lt;/routeDistribution&gt;"))</f>
        <v/>
      </c>
    </row>
    <row r="3113" spans="1:5" x14ac:dyDescent="0.25">
      <c r="A3113" t="s">
        <v>1753</v>
      </c>
      <c r="B3113" t="s">
        <v>1171</v>
      </c>
      <c r="E3113" t="str">
        <f>IF(OR(E3112="&lt;/routeDistribution&gt;",E3112=""),"",IFERROR(_xlfn.CONCAT(VLOOKUP(CK24,Route_Column!#REF!,2,FALSE),CHAR(34)," probability=",CHAR(34),1/CK$4,CHAR(34),CHAR(47),CHAR(62)),"&lt;/routeDistribution&gt;"))</f>
        <v/>
      </c>
    </row>
    <row r="3114" spans="1:5" x14ac:dyDescent="0.25">
      <c r="A3114" t="s">
        <v>1753</v>
      </c>
      <c r="B3114" t="s">
        <v>1180</v>
      </c>
      <c r="E3114" t="str">
        <f>IF(OR(E3113="&lt;/routeDistribution&gt;",E3113=""),"",IFERROR(_xlfn.CONCAT(VLOOKUP(CK25,Route_Column!#REF!,2,FALSE),CHAR(34)," probability=",CHAR(34),1/CK$4,CHAR(34),CHAR(47),CHAR(62)),"&lt;/routeDistribution&gt;"))</f>
        <v/>
      </c>
    </row>
    <row r="3115" spans="1:5" x14ac:dyDescent="0.25">
      <c r="A3115" t="s">
        <v>1753</v>
      </c>
      <c r="B3115" t="s">
        <v>1181</v>
      </c>
      <c r="E3115" t="str">
        <f>IF(OR(E3114="&lt;/routeDistribution&gt;",E3114=""),"",IFERROR(_xlfn.CONCAT(VLOOKUP(CK26,Route_Column!#REF!,2,FALSE),CHAR(34)," probability=",CHAR(34),1/CK$4,CHAR(34),CHAR(47),CHAR(62)),"&lt;/routeDistribution&gt;"))</f>
        <v/>
      </c>
    </row>
    <row r="3116" spans="1:5" x14ac:dyDescent="0.25">
      <c r="A3116" t="s">
        <v>1753</v>
      </c>
      <c r="B3116" t="s">
        <v>1182</v>
      </c>
      <c r="E3116" t="str">
        <f>IF(OR(E3115="&lt;/routeDistribution&gt;",E3115=""),"",IFERROR(_xlfn.CONCAT(VLOOKUP(CK27,Route_Column!#REF!,2,FALSE),CHAR(34)," probability=",CHAR(34),1/CK$4,CHAR(34),CHAR(47),CHAR(62)),"&lt;/routeDistribution&gt;"))</f>
        <v/>
      </c>
    </row>
    <row r="3117" spans="1:5" x14ac:dyDescent="0.25">
      <c r="A3117" t="s">
        <v>1753</v>
      </c>
      <c r="B3117" t="s">
        <v>1183</v>
      </c>
      <c r="E3117" t="str">
        <f>IF(OR(E3116="&lt;/routeDistribution&gt;",E3116=""),"",IFERROR(_xlfn.CONCAT(VLOOKUP(CK28,Route_Column!#REF!,2,FALSE),CHAR(34)," probability=",CHAR(34),1/CK$4,CHAR(34),CHAR(47),CHAR(62)),"&lt;/routeDistribution&gt;"))</f>
        <v/>
      </c>
    </row>
    <row r="3118" spans="1:5" x14ac:dyDescent="0.25">
      <c r="A3118" t="s">
        <v>1753</v>
      </c>
      <c r="B3118" t="s">
        <v>1184</v>
      </c>
      <c r="E3118" t="str">
        <f>IF(OR(E3117="&lt;/routeDistribution&gt;",E3117=""),"",IFERROR(_xlfn.CONCAT(VLOOKUP(CK29,Route_Column!#REF!,2,FALSE),CHAR(34)," probability=",CHAR(34),1/CK$4,CHAR(34),CHAR(47),CHAR(62)),"&lt;/routeDistribution&gt;"))</f>
        <v/>
      </c>
    </row>
    <row r="3119" spans="1:5" x14ac:dyDescent="0.25">
      <c r="A3119" t="s">
        <v>1753</v>
      </c>
      <c r="B3119" t="s">
        <v>1185</v>
      </c>
      <c r="E3119" t="str">
        <f>IF(OR(E3118="&lt;/routeDistribution&gt;",E3118=""),"",IFERROR(_xlfn.CONCAT(VLOOKUP(CK30,Route_Column!#REF!,2,FALSE),CHAR(34)," probability=",CHAR(34),1/CK$4,CHAR(34),CHAR(47),CHAR(62)),"&lt;/routeDistribution&gt;"))</f>
        <v/>
      </c>
    </row>
    <row r="3120" spans="1:5" x14ac:dyDescent="0.25">
      <c r="A3120" t="s">
        <v>1753</v>
      </c>
      <c r="B3120" t="s">
        <v>1197</v>
      </c>
      <c r="E3120" t="str">
        <f>IF(OR(E3119="&lt;/routeDistribution&gt;",E3119=""),"",IFERROR(_xlfn.CONCAT(VLOOKUP(CK31,Route_Column!#REF!,2,FALSE),CHAR(34)," probability=",CHAR(34),1/CK$4,CHAR(34),CHAR(47),CHAR(62)),"&lt;/routeDistribution&gt;"))</f>
        <v/>
      </c>
    </row>
    <row r="3121" spans="1:5" x14ac:dyDescent="0.25">
      <c r="A3121" t="s">
        <v>1753</v>
      </c>
      <c r="B3121" t="s">
        <v>1201</v>
      </c>
      <c r="E3121" t="str">
        <f>IF(OR(E3120="&lt;/routeDistribution&gt;",E3120=""),"",IFERROR(_xlfn.CONCAT(VLOOKUP(CK32,Route_Column!#REF!,2,FALSE),CHAR(34)," probability=",CHAR(34),1/CK$4,CHAR(34),CHAR(47),CHAR(62)),"&lt;/routeDistribution&gt;"))</f>
        <v/>
      </c>
    </row>
    <row r="3122" spans="1:5" x14ac:dyDescent="0.25">
      <c r="A3122" t="s">
        <v>1753</v>
      </c>
      <c r="B3122" t="s">
        <v>1206</v>
      </c>
      <c r="E3122" t="str">
        <f>IF(OR(E3121="&lt;/routeDistribution&gt;",E3121=""),"",IFERROR(_xlfn.CONCAT(VLOOKUP(CK33,Route_Column!#REF!,2,FALSE),CHAR(34)," probability=",CHAR(34),1/CK$4,CHAR(34),CHAR(47),CHAR(62)),"&lt;/routeDistribution&gt;"))</f>
        <v/>
      </c>
    </row>
    <row r="3123" spans="1:5" x14ac:dyDescent="0.25">
      <c r="A3123" t="s">
        <v>1753</v>
      </c>
      <c r="B3123" t="s">
        <v>1225</v>
      </c>
      <c r="E3123" t="str">
        <f>IF(OR(E3122="&lt;/routeDistribution&gt;",E3122=""),"",IFERROR(_xlfn.CONCAT(VLOOKUP(CK34,Route_Column!#REF!,2,FALSE),CHAR(34)," probability=",CHAR(34),1/CK$4,CHAR(34),CHAR(47),CHAR(62)),"&lt;/routeDistribution&gt;"))</f>
        <v/>
      </c>
    </row>
    <row r="3124" spans="1:5" x14ac:dyDescent="0.25">
      <c r="A3124" t="s">
        <v>2128</v>
      </c>
      <c r="B3124" t="s">
        <v>1140</v>
      </c>
      <c r="E3124" t="str">
        <f>IF(OR(E3123="&lt;/routeDistribution&gt;",E3123=""),"",IFERROR(_xlfn.CONCAT(VLOOKUP(CK35,Route_Column!#REF!,2,FALSE),CHAR(34)," probability=",CHAR(34),1/CK$4,CHAR(34),CHAR(47),CHAR(62)),"&lt;/routeDistribution&gt;"))</f>
        <v/>
      </c>
    </row>
    <row r="3125" spans="1:5" x14ac:dyDescent="0.25">
      <c r="A3125" t="s">
        <v>2128</v>
      </c>
      <c r="B3125" t="s">
        <v>1141</v>
      </c>
      <c r="E3125" t="str">
        <f>IF(OR(E3124="&lt;/routeDistribution&gt;",E3124=""),"",IFERROR(_xlfn.CONCAT(VLOOKUP(CK36,Route_Column!#REF!,2,FALSE),CHAR(34)," probability=",CHAR(34),1/CK$4,CHAR(34),CHAR(47),CHAR(62)),"&lt;/routeDistribution&gt;"))</f>
        <v/>
      </c>
    </row>
    <row r="3126" spans="1:5" x14ac:dyDescent="0.25">
      <c r="A3126" t="s">
        <v>2128</v>
      </c>
      <c r="B3126" t="s">
        <v>1142</v>
      </c>
      <c r="E3126" t="str">
        <f>IF(OR(E3125="&lt;/routeDistribution&gt;",E3125=""),"",IFERROR(_xlfn.CONCAT(VLOOKUP(CK37,Route_Column!#REF!,2,FALSE),CHAR(34)," probability=",CHAR(34),1/CK$4,CHAR(34),CHAR(47),CHAR(62)),"&lt;/routeDistribution&gt;"))</f>
        <v/>
      </c>
    </row>
    <row r="3127" spans="1:5" x14ac:dyDescent="0.25">
      <c r="A3127" t="s">
        <v>2128</v>
      </c>
      <c r="B3127" t="s">
        <v>1150</v>
      </c>
      <c r="E3127" t="str">
        <f>IF(OR(E3126="&lt;/routeDistribution&gt;",E3126=""),"",IFERROR(_xlfn.CONCAT(VLOOKUP(CK38,Route_Column!#REF!,2,FALSE),CHAR(34)," probability=",CHAR(34),1/CK$4,CHAR(34),CHAR(47),CHAR(62)),"&lt;/routeDistribution&gt;"))</f>
        <v/>
      </c>
    </row>
    <row r="3128" spans="1:5" x14ac:dyDescent="0.25">
      <c r="A3128" t="s">
        <v>2128</v>
      </c>
      <c r="B3128" t="s">
        <v>1151</v>
      </c>
      <c r="E3128" t="str">
        <f>IF(OR(E3127="&lt;/routeDistribution&gt;",E3127=""),"",IFERROR(_xlfn.CONCAT(VLOOKUP(CK39,Route_Column!#REF!,2,FALSE),CHAR(34)," probability=",CHAR(34),1/CK$4,CHAR(34),CHAR(47),CHAR(62)),"&lt;/routeDistribution&gt;"))</f>
        <v/>
      </c>
    </row>
    <row r="3129" spans="1:5" x14ac:dyDescent="0.25">
      <c r="A3129" t="s">
        <v>2128</v>
      </c>
      <c r="B3129" t="s">
        <v>1179</v>
      </c>
      <c r="E3129" t="str">
        <f>IF(OR(E3128="&lt;/routeDistribution&gt;",E3128=""),"",IFERROR(_xlfn.CONCAT(VLOOKUP(CK40,Route_Column!#REF!,2,FALSE),CHAR(34)," probability=",CHAR(34),1/CK$4,CHAR(34),CHAR(47),CHAR(62)),"&lt;/routeDistribution&gt;"))</f>
        <v/>
      </c>
    </row>
    <row r="3130" spans="1:5" x14ac:dyDescent="0.25">
      <c r="A3130" t="s">
        <v>2128</v>
      </c>
      <c r="B3130" t="s">
        <v>1183</v>
      </c>
      <c r="E3130" t="str">
        <f>IF(OR(E3129="&lt;/routeDistribution&gt;",E3129=""),"",IFERROR(_xlfn.CONCAT(VLOOKUP(CK41,Route_Column!#REF!,2,FALSE),CHAR(34)," probability=",CHAR(34),1/CK$4,CHAR(34),CHAR(47),CHAR(62)),"&lt;/routeDistribution&gt;"))</f>
        <v/>
      </c>
    </row>
    <row r="3131" spans="1:5" x14ac:dyDescent="0.25">
      <c r="A3131" t="s">
        <v>2128</v>
      </c>
      <c r="B3131" t="s">
        <v>1184</v>
      </c>
      <c r="E3131" t="str">
        <f>IF(OR(E3130="&lt;/routeDistribution&gt;",E3130=""),"",IFERROR(_xlfn.CONCAT(VLOOKUP(CK42,Route_Column!#REF!,2,FALSE),CHAR(34)," probability=",CHAR(34),1/CK$4,CHAR(34),CHAR(47),CHAR(62)),"&lt;/routeDistribution&gt;"))</f>
        <v/>
      </c>
    </row>
    <row r="3132" spans="1:5" x14ac:dyDescent="0.25">
      <c r="A3132" t="s">
        <v>2128</v>
      </c>
      <c r="B3132" t="s">
        <v>1205</v>
      </c>
      <c r="E3132" t="str">
        <f>IF(OR(E3131="&lt;/routeDistribution&gt;",E3131=""),"",IFERROR(_xlfn.CONCAT(VLOOKUP(CK43,Route_Column!#REF!,2,FALSE),CHAR(34)," probability=",CHAR(34),1/CK$4,CHAR(34),CHAR(47),CHAR(62)),"&lt;/routeDistribution&gt;"))</f>
        <v/>
      </c>
    </row>
    <row r="3133" spans="1:5" x14ac:dyDescent="0.25">
      <c r="A3133" t="s">
        <v>2128</v>
      </c>
      <c r="B3133" t="s">
        <v>1206</v>
      </c>
      <c r="E3133" t="str">
        <f>IF(OR(E3132="&lt;/routeDistribution&gt;",E3132=""),"",IFERROR(_xlfn.CONCAT(VLOOKUP(CK44,Route_Column!#REF!,2,FALSE),CHAR(34)," probability=",CHAR(34),1/CK$4,CHAR(34),CHAR(47),CHAR(62)),"&lt;/routeDistribution&gt;"))</f>
        <v/>
      </c>
    </row>
    <row r="3134" spans="1:5" x14ac:dyDescent="0.25">
      <c r="A3134" t="s">
        <v>2128</v>
      </c>
      <c r="B3134" t="s">
        <v>1207</v>
      </c>
      <c r="E3134" t="str">
        <f>IF(OR(E3133="&lt;/routeDistribution&gt;",E3133=""),"",IFERROR(_xlfn.CONCAT(VLOOKUP(CK45,Route_Column!#REF!,2,FALSE),CHAR(34)," probability=",CHAR(34),1/CK$4,CHAR(34),CHAR(47),CHAR(62)),"&lt;/routeDistribution&gt;"))</f>
        <v/>
      </c>
    </row>
    <row r="3135" spans="1:5" x14ac:dyDescent="0.25">
      <c r="A3135" t="s">
        <v>2128</v>
      </c>
      <c r="B3135" t="s">
        <v>1208</v>
      </c>
      <c r="E3135" t="str">
        <f>IF(OR(E3134="&lt;/routeDistribution&gt;",E3134=""),"",IFERROR(_xlfn.CONCAT(VLOOKUP(CK46,Route_Column!#REF!,2,FALSE),CHAR(34)," probability=",CHAR(34),1/CK$4,CHAR(34),CHAR(47),CHAR(62)),"&lt;/routeDistribution&gt;"))</f>
        <v/>
      </c>
    </row>
    <row r="3136" spans="1:5" x14ac:dyDescent="0.25">
      <c r="A3136" t="s">
        <v>2128</v>
      </c>
      <c r="B3136" t="s">
        <v>1224</v>
      </c>
      <c r="E3136" t="str">
        <f>IF(OR(E3135="&lt;/routeDistribution&gt;",E3135=""),"",IFERROR(_xlfn.CONCAT(VLOOKUP(CK47,Route_Column!#REF!,2,FALSE),CHAR(34)," probability=",CHAR(34),1/CK$4,CHAR(34),CHAR(47),CHAR(62)),"&lt;/routeDistribution&gt;"))</f>
        <v/>
      </c>
    </row>
    <row r="3137" spans="1:5" x14ac:dyDescent="0.25">
      <c r="A3137" t="s">
        <v>2128</v>
      </c>
      <c r="B3137" t="s">
        <v>1225</v>
      </c>
      <c r="E3137" t="str">
        <f>IF(OR(E3136="&lt;/routeDistribution&gt;",E3136=""),"",IFERROR(_xlfn.CONCAT(VLOOKUP(CK48,Route_Column!#REF!,2,FALSE),CHAR(34)," probability=",CHAR(34),1/CK$4,CHAR(34),CHAR(47),CHAR(62)),"&lt;/routeDistribution&gt;"))</f>
        <v/>
      </c>
    </row>
    <row r="3138" spans="1:5" x14ac:dyDescent="0.25">
      <c r="A3138" t="s">
        <v>2128</v>
      </c>
      <c r="B3138" t="s">
        <v>1232</v>
      </c>
      <c r="E3138" t="str">
        <f>IF(OR(E3137="&lt;/routeDistribution&gt;",E3137=""),"",IFERROR(_xlfn.CONCAT(VLOOKUP(CK49,Route_Column!#REF!,2,FALSE),CHAR(34)," probability=",CHAR(34),1/CK$4,CHAR(34),CHAR(47),CHAR(62)),"&lt;/routeDistribution&gt;"))</f>
        <v/>
      </c>
    </row>
    <row r="3139" spans="1:5" x14ac:dyDescent="0.25">
      <c r="A3139" t="s">
        <v>2128</v>
      </c>
      <c r="B3139" t="s">
        <v>1233</v>
      </c>
      <c r="E3139" t="str">
        <f>IF(OR(E3138="&lt;/routeDistribution&gt;",E3138=""),"",IFERROR(_xlfn.CONCAT(VLOOKUP(CK50,Route_Column!#REF!,2,FALSE),CHAR(34)," probability=",CHAR(34),1/CK$4,CHAR(34),CHAR(47),CHAR(62)),"&lt;/routeDistribution&gt;"))</f>
        <v/>
      </c>
    </row>
    <row r="3140" spans="1:5" x14ac:dyDescent="0.25">
      <c r="A3140" t="s">
        <v>2128</v>
      </c>
      <c r="B3140" t="s">
        <v>1234</v>
      </c>
      <c r="E3140" t="str">
        <f>IF(OR(E3139="&lt;/routeDistribution&gt;",E3139=""),"",IFERROR(_xlfn.CONCAT(VLOOKUP(CK51,Route_Column!#REF!,2,FALSE),CHAR(34)," probability=",CHAR(34),1/CK$4,CHAR(34),CHAR(47),CHAR(62)),"&lt;/routeDistribution&gt;"))</f>
        <v/>
      </c>
    </row>
    <row r="3141" spans="1:5" x14ac:dyDescent="0.25">
      <c r="A3141" t="s">
        <v>1754</v>
      </c>
      <c r="B3141" t="s">
        <v>1102</v>
      </c>
      <c r="E3141" t="str">
        <f>IF(OR(E3140="&lt;/routeDistribution&gt;",E3140=""),"",IFERROR(_xlfn.CONCAT(VLOOKUP(CK52,Route_Column!#REF!,2,FALSE),CHAR(34)," probability=",CHAR(34),1/CK$4,CHAR(34),CHAR(47),CHAR(62)),"&lt;/routeDistribution&gt;"))</f>
        <v/>
      </c>
    </row>
    <row r="3142" spans="1:5" x14ac:dyDescent="0.25">
      <c r="A3142" t="s">
        <v>1754</v>
      </c>
      <c r="B3142" t="s">
        <v>1110</v>
      </c>
      <c r="E3142" t="str">
        <f>IF(OR(E3141="&lt;/routeDistribution&gt;",E3141=""),"",IFERROR(_xlfn.CONCAT(VLOOKUP(CK53,Route_Column!#REF!,2,FALSE),CHAR(34)," probability=",CHAR(34),1/CK$4,CHAR(34),CHAR(47),CHAR(62)),"&lt;/routeDistribution&gt;"))</f>
        <v/>
      </c>
    </row>
    <row r="3143" spans="1:5" x14ac:dyDescent="0.25">
      <c r="A3143" t="s">
        <v>1754</v>
      </c>
      <c r="B3143" t="s">
        <v>1112</v>
      </c>
      <c r="E3143" t="str">
        <f>IF(OR(E3142="&lt;/routeDistribution&gt;",E3142=""),"",IFERROR(_xlfn.CONCAT(VLOOKUP(CK54,Route_Column!#REF!,2,FALSE),CHAR(34)," probability=",CHAR(34),1/CK$4,CHAR(34),CHAR(47),CHAR(62)),"&lt;/routeDistribution&gt;"))</f>
        <v/>
      </c>
    </row>
    <row r="3144" spans="1:5" x14ac:dyDescent="0.25">
      <c r="A3144" t="s">
        <v>1754</v>
      </c>
      <c r="B3144" t="s">
        <v>1130</v>
      </c>
      <c r="E3144" t="str">
        <f>IF(OR(E3143="&lt;/routeDistribution&gt;",E3143=""),"",IFERROR(_xlfn.CONCAT(VLOOKUP(CK55,Route_Column!#REF!,2,FALSE),CHAR(34)," probability=",CHAR(34),1/CK$4,CHAR(34),CHAR(47),CHAR(62)),"&lt;/routeDistribution&gt;"))</f>
        <v/>
      </c>
    </row>
    <row r="3145" spans="1:5" x14ac:dyDescent="0.25">
      <c r="A3145" t="s">
        <v>1754</v>
      </c>
      <c r="B3145" t="s">
        <v>1131</v>
      </c>
      <c r="E3145" t="str">
        <f>IF(OR(E3144="&lt;/routeDistribution&gt;",E3144=""),"",IFERROR(_xlfn.CONCAT(VLOOKUP(CK56,Route_Column!#REF!,2,FALSE),CHAR(34)," probability=",CHAR(34),1/CK$4,CHAR(34),CHAR(47),CHAR(62)),"&lt;/routeDistribution&gt;"))</f>
        <v/>
      </c>
    </row>
    <row r="3146" spans="1:5" x14ac:dyDescent="0.25">
      <c r="A3146" t="s">
        <v>1754</v>
      </c>
      <c r="B3146" t="s">
        <v>1132</v>
      </c>
      <c r="E3146" t="str">
        <f>IF(OR(E3145="&lt;/routeDistribution&gt;",E3145=""),"",IFERROR(_xlfn.CONCAT(VLOOKUP(CK57,Route_Column!#REF!,2,FALSE),CHAR(34)," probability=",CHAR(34),1/CK$4,CHAR(34),CHAR(47),CHAR(62)),"&lt;/routeDistribution&gt;"))</f>
        <v/>
      </c>
    </row>
    <row r="3147" spans="1:5" x14ac:dyDescent="0.25">
      <c r="A3147" t="s">
        <v>1754</v>
      </c>
      <c r="B3147" t="s">
        <v>1134</v>
      </c>
      <c r="E3147" t="str">
        <f>IF(OR(E3146="&lt;/routeDistribution&gt;",E3146=""),"",IFERROR(_xlfn.CONCAT(VLOOKUP(CK58,Route_Column!#REF!,2,FALSE),CHAR(34)," probability=",CHAR(34),1/CK$4,CHAR(34),CHAR(47),CHAR(62)),"&lt;/routeDistribution&gt;"))</f>
        <v/>
      </c>
    </row>
    <row r="3148" spans="1:5" x14ac:dyDescent="0.25">
      <c r="A3148" t="s">
        <v>1754</v>
      </c>
      <c r="B3148" t="s">
        <v>1137</v>
      </c>
      <c r="E3148" t="str">
        <f>IF(OR(E3147="&lt;/routeDistribution&gt;",E3147=""),"",IFERROR(_xlfn.CONCAT(VLOOKUP(CK59,Route_Column!#REF!,2,FALSE),CHAR(34)," probability=",CHAR(34),1/CK$4,CHAR(34),CHAR(47),CHAR(62)),"&lt;/routeDistribution&gt;"))</f>
        <v/>
      </c>
    </row>
    <row r="3149" spans="1:5" x14ac:dyDescent="0.25">
      <c r="A3149" t="s">
        <v>1754</v>
      </c>
      <c r="B3149" t="s">
        <v>1138</v>
      </c>
      <c r="E3149" t="str">
        <f>IF(OR(E3148="&lt;/routeDistribution&gt;",E3148=""),"",IFERROR(_xlfn.CONCAT(VLOOKUP(CK60,Route_Column!#REF!,2,FALSE),CHAR(34)," probability=",CHAR(34),1/CK$4,CHAR(34),CHAR(47),CHAR(62)),"&lt;/routeDistribution&gt;"))</f>
        <v/>
      </c>
    </row>
    <row r="3150" spans="1:5" x14ac:dyDescent="0.25">
      <c r="A3150" t="s">
        <v>1754</v>
      </c>
      <c r="B3150" t="s">
        <v>1145</v>
      </c>
      <c r="E3150" t="str">
        <f>IF(OR(E3149="&lt;/routeDistribution&gt;",E3149=""),"",IFERROR(_xlfn.CONCAT(VLOOKUP(CK61,Route_Column!#REF!,2,FALSE),CHAR(34)," probability=",CHAR(34),1/CK$4,CHAR(34),CHAR(47),CHAR(62)),"&lt;/routeDistribution&gt;"))</f>
        <v/>
      </c>
    </row>
    <row r="3151" spans="1:5" x14ac:dyDescent="0.25">
      <c r="A3151" t="s">
        <v>1754</v>
      </c>
      <c r="B3151" t="s">
        <v>1154</v>
      </c>
      <c r="E3151" t="str">
        <f>IF(OR(E3150="&lt;/routeDistribution&gt;",E3150=""),"",IFERROR(_xlfn.CONCAT(VLOOKUP(CK62,Route_Column!#REF!,2,FALSE),CHAR(34)," probability=",CHAR(34),1/CK$4,CHAR(34),CHAR(47),CHAR(62)),"&lt;/routeDistribution&gt;"))</f>
        <v/>
      </c>
    </row>
    <row r="3152" spans="1:5" x14ac:dyDescent="0.25">
      <c r="A3152" t="s">
        <v>1754</v>
      </c>
      <c r="B3152" t="s">
        <v>1171</v>
      </c>
      <c r="E3152" t="str">
        <f>IF(OR(E3151="&lt;/routeDistribution&gt;",E3151=""),"",IFERROR(_xlfn.CONCAT(VLOOKUP(CK63,Route_Column!#REF!,2,FALSE),CHAR(34)," probability=",CHAR(34),1/CK$4,CHAR(34),CHAR(47),CHAR(62)),"&lt;/routeDistribution&gt;"))</f>
        <v/>
      </c>
    </row>
    <row r="3153" spans="1:5" x14ac:dyDescent="0.25">
      <c r="A3153" t="s">
        <v>1754</v>
      </c>
      <c r="B3153" t="s">
        <v>1180</v>
      </c>
      <c r="E3153" t="s">
        <v>2686</v>
      </c>
    </row>
    <row r="3154" spans="1:5" x14ac:dyDescent="0.25">
      <c r="A3154" t="s">
        <v>1754</v>
      </c>
      <c r="B3154" t="s">
        <v>1181</v>
      </c>
    </row>
    <row r="3155" spans="1:5" x14ac:dyDescent="0.25">
      <c r="A3155" t="s">
        <v>1754</v>
      </c>
      <c r="B3155" t="s">
        <v>1182</v>
      </c>
    </row>
    <row r="3156" spans="1:5" x14ac:dyDescent="0.25">
      <c r="A3156" t="s">
        <v>1754</v>
      </c>
      <c r="B3156" t="s">
        <v>1183</v>
      </c>
      <c r="E3156" t="str">
        <f>_xlfn.CONCAT($E$1,CJ$2,$F$1)</f>
        <v>&lt;routeDistribution id="WALNUTst-44th-38th-WB-2009-RouteProbe"&gt;</v>
      </c>
    </row>
    <row r="3157" spans="1:5" x14ac:dyDescent="0.25">
      <c r="A3157" t="s">
        <v>1754</v>
      </c>
      <c r="B3157" t="s">
        <v>1184</v>
      </c>
      <c r="E3157" t="str">
        <f>IF(OR(E3156="&lt;/routeDistribution&gt;",E3156=""),"",IFERROR(_xlfn.CONCAT(VLOOKUP(CJ5,Route_Column!#REF!,2,FALSE),CHAR(34)," probability=",CHAR(34),1/CJ$4,CHAR(34),CHAR(47),CHAR(62)),"&lt;/routeDistribution&gt;"))</f>
        <v>&lt;/routeDistribution&gt;</v>
      </c>
    </row>
    <row r="3158" spans="1:5" x14ac:dyDescent="0.25">
      <c r="A3158" t="s">
        <v>1754</v>
      </c>
      <c r="B3158" t="s">
        <v>1185</v>
      </c>
      <c r="E3158" t="str">
        <f>IF(OR(E3157="&lt;/routeDistribution&gt;",E3157=""),"",IFERROR(_xlfn.CONCAT(VLOOKUP(CJ6,Route_Column!#REF!,2,FALSE),CHAR(34)," probability=",CHAR(34),1/CJ$4,CHAR(34),CHAR(47),CHAR(62)),"&lt;/routeDistribution&gt;"))</f>
        <v/>
      </c>
    </row>
    <row r="3159" spans="1:5" x14ac:dyDescent="0.25">
      <c r="A3159" t="s">
        <v>1754</v>
      </c>
      <c r="B3159" t="s">
        <v>1197</v>
      </c>
      <c r="E3159" t="str">
        <f>IF(OR(E3158="&lt;/routeDistribution&gt;",E3158=""),"",IFERROR(_xlfn.CONCAT(VLOOKUP(CJ7,Route_Column!#REF!,2,FALSE),CHAR(34)," probability=",CHAR(34),1/CJ$4,CHAR(34),CHAR(47),CHAR(62)),"&lt;/routeDistribution&gt;"))</f>
        <v/>
      </c>
    </row>
    <row r="3160" spans="1:5" x14ac:dyDescent="0.25">
      <c r="A3160" t="s">
        <v>1754</v>
      </c>
      <c r="B3160" t="s">
        <v>1201</v>
      </c>
      <c r="E3160" t="str">
        <f>IF(OR(E3159="&lt;/routeDistribution&gt;",E3159=""),"",IFERROR(_xlfn.CONCAT(VLOOKUP(CJ8,Route_Column!#REF!,2,FALSE),CHAR(34)," probability=",CHAR(34),1/CJ$4,CHAR(34),CHAR(47),CHAR(62)),"&lt;/routeDistribution&gt;"))</f>
        <v/>
      </c>
    </row>
    <row r="3161" spans="1:5" x14ac:dyDescent="0.25">
      <c r="A3161" t="s">
        <v>1754</v>
      </c>
      <c r="B3161" t="s">
        <v>1206</v>
      </c>
      <c r="E3161" t="str">
        <f>IF(OR(E3160="&lt;/routeDistribution&gt;",E3160=""),"",IFERROR(_xlfn.CONCAT(VLOOKUP(CJ9,Route_Column!#REF!,2,FALSE),CHAR(34)," probability=",CHAR(34),1/CJ$4,CHAR(34),CHAR(47),CHAR(62)),"&lt;/routeDistribution&gt;"))</f>
        <v/>
      </c>
    </row>
    <row r="3162" spans="1:5" x14ac:dyDescent="0.25">
      <c r="A3162" t="s">
        <v>1754</v>
      </c>
      <c r="B3162" t="s">
        <v>1225</v>
      </c>
      <c r="E3162" t="str">
        <f>IF(OR(E3161="&lt;/routeDistribution&gt;",E3161=""),"",IFERROR(_xlfn.CONCAT(VLOOKUP(CJ10,Route_Column!#REF!,2,FALSE),CHAR(34)," probability=",CHAR(34),1/CJ$4,CHAR(34),CHAR(47),CHAR(62)),"&lt;/routeDistribution&gt;"))</f>
        <v/>
      </c>
    </row>
    <row r="3163" spans="1:5" x14ac:dyDescent="0.25">
      <c r="A3163" t="s">
        <v>2127</v>
      </c>
      <c r="B3163" t="s">
        <v>1140</v>
      </c>
      <c r="E3163" t="str">
        <f>IF(OR(E3162="&lt;/routeDistribution&gt;",E3162=""),"",IFERROR(_xlfn.CONCAT(VLOOKUP(CJ11,Route_Column!#REF!,2,FALSE),CHAR(34)," probability=",CHAR(34),1/CJ$4,CHAR(34),CHAR(47),CHAR(62)),"&lt;/routeDistribution&gt;"))</f>
        <v/>
      </c>
    </row>
    <row r="3164" spans="1:5" x14ac:dyDescent="0.25">
      <c r="A3164" t="s">
        <v>2127</v>
      </c>
      <c r="B3164" t="s">
        <v>1141</v>
      </c>
      <c r="E3164" t="str">
        <f>IF(OR(E3163="&lt;/routeDistribution&gt;",E3163=""),"",IFERROR(_xlfn.CONCAT(VLOOKUP(CJ12,Route_Column!#REF!,2,FALSE),CHAR(34)," probability=",CHAR(34),1/CJ$4,CHAR(34),CHAR(47),CHAR(62)),"&lt;/routeDistribution&gt;"))</f>
        <v/>
      </c>
    </row>
    <row r="3165" spans="1:5" x14ac:dyDescent="0.25">
      <c r="A3165" t="s">
        <v>2127</v>
      </c>
      <c r="B3165" t="s">
        <v>1142</v>
      </c>
      <c r="E3165" t="str">
        <f>IF(OR(E3164="&lt;/routeDistribution&gt;",E3164=""),"",IFERROR(_xlfn.CONCAT(VLOOKUP(CJ13,Route_Column!#REF!,2,FALSE),CHAR(34)," probability=",CHAR(34),1/CJ$4,CHAR(34),CHAR(47),CHAR(62)),"&lt;/routeDistribution&gt;"))</f>
        <v/>
      </c>
    </row>
    <row r="3166" spans="1:5" x14ac:dyDescent="0.25">
      <c r="A3166" t="s">
        <v>2127</v>
      </c>
      <c r="B3166" t="s">
        <v>1150</v>
      </c>
      <c r="E3166" t="str">
        <f>IF(OR(E3165="&lt;/routeDistribution&gt;",E3165=""),"",IFERROR(_xlfn.CONCAT(VLOOKUP(CJ14,Route_Column!#REF!,2,FALSE),CHAR(34)," probability=",CHAR(34),1/CJ$4,CHAR(34),CHAR(47),CHAR(62)),"&lt;/routeDistribution&gt;"))</f>
        <v/>
      </c>
    </row>
    <row r="3167" spans="1:5" x14ac:dyDescent="0.25">
      <c r="A3167" t="s">
        <v>2127</v>
      </c>
      <c r="B3167" t="s">
        <v>1151</v>
      </c>
      <c r="E3167" t="str">
        <f>IF(OR(E3166="&lt;/routeDistribution&gt;",E3166=""),"",IFERROR(_xlfn.CONCAT(VLOOKUP(CJ15,Route_Column!#REF!,2,FALSE),CHAR(34)," probability=",CHAR(34),1/CJ$4,CHAR(34),CHAR(47),CHAR(62)),"&lt;/routeDistribution&gt;"))</f>
        <v/>
      </c>
    </row>
    <row r="3168" spans="1:5" x14ac:dyDescent="0.25">
      <c r="A3168" t="s">
        <v>2127</v>
      </c>
      <c r="B3168" t="s">
        <v>1179</v>
      </c>
      <c r="E3168" t="str">
        <f>IF(OR(E3167="&lt;/routeDistribution&gt;",E3167=""),"",IFERROR(_xlfn.CONCAT(VLOOKUP(CJ16,Route_Column!#REF!,2,FALSE),CHAR(34)," probability=",CHAR(34),1/CJ$4,CHAR(34),CHAR(47),CHAR(62)),"&lt;/routeDistribution&gt;"))</f>
        <v/>
      </c>
    </row>
    <row r="3169" spans="1:5" x14ac:dyDescent="0.25">
      <c r="A3169" t="s">
        <v>2127</v>
      </c>
      <c r="B3169" t="s">
        <v>1183</v>
      </c>
      <c r="E3169" t="str">
        <f>IF(OR(E3168="&lt;/routeDistribution&gt;",E3168=""),"",IFERROR(_xlfn.CONCAT(VLOOKUP(CJ17,Route_Column!#REF!,2,FALSE),CHAR(34)," probability=",CHAR(34),1/CJ$4,CHAR(34),CHAR(47),CHAR(62)),"&lt;/routeDistribution&gt;"))</f>
        <v/>
      </c>
    </row>
    <row r="3170" spans="1:5" x14ac:dyDescent="0.25">
      <c r="A3170" t="s">
        <v>2127</v>
      </c>
      <c r="B3170" t="s">
        <v>1184</v>
      </c>
      <c r="E3170" t="str">
        <f>IF(OR(E3169="&lt;/routeDistribution&gt;",E3169=""),"",IFERROR(_xlfn.CONCAT(VLOOKUP(CJ18,Route_Column!#REF!,2,FALSE),CHAR(34)," probability=",CHAR(34),1/CJ$4,CHAR(34),CHAR(47),CHAR(62)),"&lt;/routeDistribution&gt;"))</f>
        <v/>
      </c>
    </row>
    <row r="3171" spans="1:5" x14ac:dyDescent="0.25">
      <c r="A3171" t="s">
        <v>2127</v>
      </c>
      <c r="B3171" t="s">
        <v>1205</v>
      </c>
      <c r="E3171" t="str">
        <f>IF(OR(E3170="&lt;/routeDistribution&gt;",E3170=""),"",IFERROR(_xlfn.CONCAT(VLOOKUP(CJ19,Route_Column!#REF!,2,FALSE),CHAR(34)," probability=",CHAR(34),1/CJ$4,CHAR(34),CHAR(47),CHAR(62)),"&lt;/routeDistribution&gt;"))</f>
        <v/>
      </c>
    </row>
    <row r="3172" spans="1:5" x14ac:dyDescent="0.25">
      <c r="A3172" t="s">
        <v>2127</v>
      </c>
      <c r="B3172" t="s">
        <v>1206</v>
      </c>
      <c r="E3172" t="str">
        <f>IF(OR(E3171="&lt;/routeDistribution&gt;",E3171=""),"",IFERROR(_xlfn.CONCAT(VLOOKUP(CJ20,Route_Column!#REF!,2,FALSE),CHAR(34)," probability=",CHAR(34),1/CJ$4,CHAR(34),CHAR(47),CHAR(62)),"&lt;/routeDistribution&gt;"))</f>
        <v/>
      </c>
    </row>
    <row r="3173" spans="1:5" x14ac:dyDescent="0.25">
      <c r="A3173" t="s">
        <v>2127</v>
      </c>
      <c r="B3173" t="s">
        <v>1207</v>
      </c>
      <c r="E3173" t="str">
        <f>IF(OR(E3172="&lt;/routeDistribution&gt;",E3172=""),"",IFERROR(_xlfn.CONCAT(VLOOKUP(CJ21,Route_Column!#REF!,2,FALSE),CHAR(34)," probability=",CHAR(34),1/CJ$4,CHAR(34),CHAR(47),CHAR(62)),"&lt;/routeDistribution&gt;"))</f>
        <v/>
      </c>
    </row>
    <row r="3174" spans="1:5" x14ac:dyDescent="0.25">
      <c r="A3174" t="s">
        <v>2127</v>
      </c>
      <c r="B3174" t="s">
        <v>1208</v>
      </c>
      <c r="E3174" t="str">
        <f>IF(OR(E3173="&lt;/routeDistribution&gt;",E3173=""),"",IFERROR(_xlfn.CONCAT(VLOOKUP(CJ22,Route_Column!#REF!,2,FALSE),CHAR(34)," probability=",CHAR(34),1/CJ$4,CHAR(34),CHAR(47),CHAR(62)),"&lt;/routeDistribution&gt;"))</f>
        <v/>
      </c>
    </row>
    <row r="3175" spans="1:5" x14ac:dyDescent="0.25">
      <c r="A3175" t="s">
        <v>2127</v>
      </c>
      <c r="B3175" t="s">
        <v>1224</v>
      </c>
      <c r="E3175" t="str">
        <f>IF(OR(E3174="&lt;/routeDistribution&gt;",E3174=""),"",IFERROR(_xlfn.CONCAT(VLOOKUP(CJ23,Route_Column!#REF!,2,FALSE),CHAR(34)," probability=",CHAR(34),1/CJ$4,CHAR(34),CHAR(47),CHAR(62)),"&lt;/routeDistribution&gt;"))</f>
        <v/>
      </c>
    </row>
    <row r="3176" spans="1:5" x14ac:dyDescent="0.25">
      <c r="A3176" t="s">
        <v>2127</v>
      </c>
      <c r="B3176" t="s">
        <v>1225</v>
      </c>
      <c r="E3176" t="str">
        <f>IF(OR(E3175="&lt;/routeDistribution&gt;",E3175=""),"",IFERROR(_xlfn.CONCAT(VLOOKUP(CJ24,Route_Column!#REF!,2,FALSE),CHAR(34)," probability=",CHAR(34),1/CJ$4,CHAR(34),CHAR(47),CHAR(62)),"&lt;/routeDistribution&gt;"))</f>
        <v/>
      </c>
    </row>
    <row r="3177" spans="1:5" x14ac:dyDescent="0.25">
      <c r="A3177" t="s">
        <v>2127</v>
      </c>
      <c r="B3177" t="s">
        <v>1232</v>
      </c>
      <c r="E3177" t="str">
        <f>IF(OR(E3176="&lt;/routeDistribution&gt;",E3176=""),"",IFERROR(_xlfn.CONCAT(VLOOKUP(CJ25,Route_Column!#REF!,2,FALSE),CHAR(34)," probability=",CHAR(34),1/CJ$4,CHAR(34),CHAR(47),CHAR(62)),"&lt;/routeDistribution&gt;"))</f>
        <v/>
      </c>
    </row>
    <row r="3178" spans="1:5" x14ac:dyDescent="0.25">
      <c r="A3178" t="s">
        <v>2127</v>
      </c>
      <c r="B3178" t="s">
        <v>1233</v>
      </c>
      <c r="E3178" t="str">
        <f>IF(OR(E3177="&lt;/routeDistribution&gt;",E3177=""),"",IFERROR(_xlfn.CONCAT(VLOOKUP(CJ26,Route_Column!#REF!,2,FALSE),CHAR(34)," probability=",CHAR(34),1/CJ$4,CHAR(34),CHAR(47),CHAR(62)),"&lt;/routeDistribution&gt;"))</f>
        <v/>
      </c>
    </row>
    <row r="3179" spans="1:5" x14ac:dyDescent="0.25">
      <c r="A3179" t="s">
        <v>2127</v>
      </c>
      <c r="B3179" t="s">
        <v>1234</v>
      </c>
      <c r="E3179" t="str">
        <f>IF(OR(E3178="&lt;/routeDistribution&gt;",E3178=""),"",IFERROR(_xlfn.CONCAT(VLOOKUP(CJ27,Route_Column!#REF!,2,FALSE),CHAR(34)," probability=",CHAR(34),1/CJ$4,CHAR(34),CHAR(47),CHAR(62)),"&lt;/routeDistribution&gt;"))</f>
        <v/>
      </c>
    </row>
    <row r="3180" spans="1:5" x14ac:dyDescent="0.25">
      <c r="A3180" t="s">
        <v>1755</v>
      </c>
      <c r="B3180" t="s">
        <v>1102</v>
      </c>
      <c r="E3180" t="str">
        <f>IF(OR(E3179="&lt;/routeDistribution&gt;",E3179=""),"",IFERROR(_xlfn.CONCAT(VLOOKUP(CJ28,Route_Column!#REF!,2,FALSE),CHAR(34)," probability=",CHAR(34),1/CJ$4,CHAR(34),CHAR(47),CHAR(62)),"&lt;/routeDistribution&gt;"))</f>
        <v/>
      </c>
    </row>
    <row r="3181" spans="1:5" x14ac:dyDescent="0.25">
      <c r="A3181" t="s">
        <v>1755</v>
      </c>
      <c r="B3181" t="s">
        <v>1110</v>
      </c>
      <c r="E3181" t="str">
        <f>IF(OR(E3180="&lt;/routeDistribution&gt;",E3180=""),"",IFERROR(_xlfn.CONCAT(VLOOKUP(CJ29,Route_Column!#REF!,2,FALSE),CHAR(34)," probability=",CHAR(34),1/CJ$4,CHAR(34),CHAR(47),CHAR(62)),"&lt;/routeDistribution&gt;"))</f>
        <v/>
      </c>
    </row>
    <row r="3182" spans="1:5" x14ac:dyDescent="0.25">
      <c r="A3182" t="s">
        <v>1755</v>
      </c>
      <c r="B3182" t="s">
        <v>1112</v>
      </c>
      <c r="E3182" t="str">
        <f>IF(OR(E3181="&lt;/routeDistribution&gt;",E3181=""),"",IFERROR(_xlfn.CONCAT(VLOOKUP(CJ30,Route_Column!#REF!,2,FALSE),CHAR(34)," probability=",CHAR(34),1/CJ$4,CHAR(34),CHAR(47),CHAR(62)),"&lt;/routeDistribution&gt;"))</f>
        <v/>
      </c>
    </row>
    <row r="3183" spans="1:5" x14ac:dyDescent="0.25">
      <c r="A3183" t="s">
        <v>1755</v>
      </c>
      <c r="B3183" t="s">
        <v>1130</v>
      </c>
      <c r="E3183" t="str">
        <f>IF(OR(E3182="&lt;/routeDistribution&gt;",E3182=""),"",IFERROR(_xlfn.CONCAT(VLOOKUP(CJ31,Route_Column!#REF!,2,FALSE),CHAR(34)," probability=",CHAR(34),1/CJ$4,CHAR(34),CHAR(47),CHAR(62)),"&lt;/routeDistribution&gt;"))</f>
        <v/>
      </c>
    </row>
    <row r="3184" spans="1:5" x14ac:dyDescent="0.25">
      <c r="A3184" t="s">
        <v>1755</v>
      </c>
      <c r="B3184" t="s">
        <v>1131</v>
      </c>
      <c r="E3184" t="str">
        <f>IF(OR(E3183="&lt;/routeDistribution&gt;",E3183=""),"",IFERROR(_xlfn.CONCAT(VLOOKUP(CJ32,Route_Column!#REF!,2,FALSE),CHAR(34)," probability=",CHAR(34),1/CJ$4,CHAR(34),CHAR(47),CHAR(62)),"&lt;/routeDistribution&gt;"))</f>
        <v/>
      </c>
    </row>
    <row r="3185" spans="1:5" x14ac:dyDescent="0.25">
      <c r="A3185" t="s">
        <v>1755</v>
      </c>
      <c r="B3185" t="s">
        <v>1132</v>
      </c>
      <c r="E3185" t="str">
        <f>IF(OR(E3184="&lt;/routeDistribution&gt;",E3184=""),"",IFERROR(_xlfn.CONCAT(VLOOKUP(CJ33,Route_Column!#REF!,2,FALSE),CHAR(34)," probability=",CHAR(34),1/CJ$4,CHAR(34),CHAR(47),CHAR(62)),"&lt;/routeDistribution&gt;"))</f>
        <v/>
      </c>
    </row>
    <row r="3186" spans="1:5" x14ac:dyDescent="0.25">
      <c r="A3186" t="s">
        <v>1755</v>
      </c>
      <c r="B3186" t="s">
        <v>1134</v>
      </c>
      <c r="E3186" t="str">
        <f>IF(OR(E3185="&lt;/routeDistribution&gt;",E3185=""),"",IFERROR(_xlfn.CONCAT(VLOOKUP(CJ34,Route_Column!#REF!,2,FALSE),CHAR(34)," probability=",CHAR(34),1/CJ$4,CHAR(34),CHAR(47),CHAR(62)),"&lt;/routeDistribution&gt;"))</f>
        <v/>
      </c>
    </row>
    <row r="3187" spans="1:5" x14ac:dyDescent="0.25">
      <c r="A3187" t="s">
        <v>1755</v>
      </c>
      <c r="B3187" t="s">
        <v>1137</v>
      </c>
      <c r="E3187" t="str">
        <f>IF(OR(E3186="&lt;/routeDistribution&gt;",E3186=""),"",IFERROR(_xlfn.CONCAT(VLOOKUP(CJ35,Route_Column!#REF!,2,FALSE),CHAR(34)," probability=",CHAR(34),1/CJ$4,CHAR(34),CHAR(47),CHAR(62)),"&lt;/routeDistribution&gt;"))</f>
        <v/>
      </c>
    </row>
    <row r="3188" spans="1:5" x14ac:dyDescent="0.25">
      <c r="A3188" t="s">
        <v>1755</v>
      </c>
      <c r="B3188" t="s">
        <v>1138</v>
      </c>
      <c r="E3188" t="str">
        <f>IF(OR(E3187="&lt;/routeDistribution&gt;",E3187=""),"",IFERROR(_xlfn.CONCAT(VLOOKUP(CJ36,Route_Column!#REF!,2,FALSE),CHAR(34)," probability=",CHAR(34),1/CJ$4,CHAR(34),CHAR(47),CHAR(62)),"&lt;/routeDistribution&gt;"))</f>
        <v/>
      </c>
    </row>
    <row r="3189" spans="1:5" x14ac:dyDescent="0.25">
      <c r="A3189" t="s">
        <v>1755</v>
      </c>
      <c r="B3189" t="s">
        <v>1145</v>
      </c>
      <c r="E3189" t="str">
        <f>IF(OR(E3188="&lt;/routeDistribution&gt;",E3188=""),"",IFERROR(_xlfn.CONCAT(VLOOKUP(CJ37,Route_Column!#REF!,2,FALSE),CHAR(34)," probability=",CHAR(34),1/CJ$4,CHAR(34),CHAR(47),CHAR(62)),"&lt;/routeDistribution&gt;"))</f>
        <v/>
      </c>
    </row>
    <row r="3190" spans="1:5" x14ac:dyDescent="0.25">
      <c r="A3190" t="s">
        <v>1755</v>
      </c>
      <c r="B3190" t="s">
        <v>1154</v>
      </c>
      <c r="E3190" t="str">
        <f>IF(OR(E3189="&lt;/routeDistribution&gt;",E3189=""),"",IFERROR(_xlfn.CONCAT(VLOOKUP(CJ38,Route_Column!#REF!,2,FALSE),CHAR(34)," probability=",CHAR(34),1/CJ$4,CHAR(34),CHAR(47),CHAR(62)),"&lt;/routeDistribution&gt;"))</f>
        <v/>
      </c>
    </row>
    <row r="3191" spans="1:5" x14ac:dyDescent="0.25">
      <c r="A3191" t="s">
        <v>1755</v>
      </c>
      <c r="B3191" t="s">
        <v>1171</v>
      </c>
      <c r="E3191" t="str">
        <f>IF(OR(E3190="&lt;/routeDistribution&gt;",E3190=""),"",IFERROR(_xlfn.CONCAT(VLOOKUP(CJ39,Route_Column!#REF!,2,FALSE),CHAR(34)," probability=",CHAR(34),1/CJ$4,CHAR(34),CHAR(47),CHAR(62)),"&lt;/routeDistribution&gt;"))</f>
        <v/>
      </c>
    </row>
    <row r="3192" spans="1:5" x14ac:dyDescent="0.25">
      <c r="A3192" t="s">
        <v>1755</v>
      </c>
      <c r="B3192" t="s">
        <v>1180</v>
      </c>
      <c r="E3192" t="str">
        <f>IF(OR(E3191="&lt;/routeDistribution&gt;",E3191=""),"",IFERROR(_xlfn.CONCAT(VLOOKUP(CJ40,Route_Column!#REF!,2,FALSE),CHAR(34)," probability=",CHAR(34),1/CJ$4,CHAR(34),CHAR(47),CHAR(62)),"&lt;/routeDistribution&gt;"))</f>
        <v/>
      </c>
    </row>
    <row r="3193" spans="1:5" x14ac:dyDescent="0.25">
      <c r="A3193" t="s">
        <v>1755</v>
      </c>
      <c r="B3193" t="s">
        <v>1181</v>
      </c>
      <c r="E3193" t="str">
        <f>IF(OR(E3192="&lt;/routeDistribution&gt;",E3192=""),"",IFERROR(_xlfn.CONCAT(VLOOKUP(CJ41,Route_Column!#REF!,2,FALSE),CHAR(34)," probability=",CHAR(34),1/CJ$4,CHAR(34),CHAR(47),CHAR(62)),"&lt;/routeDistribution&gt;"))</f>
        <v/>
      </c>
    </row>
    <row r="3194" spans="1:5" x14ac:dyDescent="0.25">
      <c r="A3194" t="s">
        <v>1755</v>
      </c>
      <c r="B3194" t="s">
        <v>1182</v>
      </c>
      <c r="E3194" t="str">
        <f>IF(OR(E3193="&lt;/routeDistribution&gt;",E3193=""),"",IFERROR(_xlfn.CONCAT(VLOOKUP(CJ42,Route_Column!#REF!,2,FALSE),CHAR(34)," probability=",CHAR(34),1/CJ$4,CHAR(34),CHAR(47),CHAR(62)),"&lt;/routeDistribution&gt;"))</f>
        <v/>
      </c>
    </row>
    <row r="3195" spans="1:5" x14ac:dyDescent="0.25">
      <c r="A3195" t="s">
        <v>1755</v>
      </c>
      <c r="B3195" t="s">
        <v>1183</v>
      </c>
      <c r="E3195" t="str">
        <f>IF(OR(E3194="&lt;/routeDistribution&gt;",E3194=""),"",IFERROR(_xlfn.CONCAT(VLOOKUP(CJ43,Route_Column!#REF!,2,FALSE),CHAR(34)," probability=",CHAR(34),1/CJ$4,CHAR(34),CHAR(47),CHAR(62)),"&lt;/routeDistribution&gt;"))</f>
        <v/>
      </c>
    </row>
    <row r="3196" spans="1:5" x14ac:dyDescent="0.25">
      <c r="A3196" t="s">
        <v>1755</v>
      </c>
      <c r="B3196" t="s">
        <v>1184</v>
      </c>
      <c r="E3196" t="str">
        <f>IF(OR(E3195="&lt;/routeDistribution&gt;",E3195=""),"",IFERROR(_xlfn.CONCAT(VLOOKUP(CJ44,Route_Column!#REF!,2,FALSE),CHAR(34)," probability=",CHAR(34),1/CJ$4,CHAR(34),CHAR(47),CHAR(62)),"&lt;/routeDistribution&gt;"))</f>
        <v/>
      </c>
    </row>
    <row r="3197" spans="1:5" x14ac:dyDescent="0.25">
      <c r="A3197" t="s">
        <v>1755</v>
      </c>
      <c r="B3197" t="s">
        <v>1185</v>
      </c>
      <c r="E3197" t="str">
        <f>IF(OR(E3196="&lt;/routeDistribution&gt;",E3196=""),"",IFERROR(_xlfn.CONCAT(VLOOKUP(CJ45,Route_Column!#REF!,2,FALSE),CHAR(34)," probability=",CHAR(34),1/CJ$4,CHAR(34),CHAR(47),CHAR(62)),"&lt;/routeDistribution&gt;"))</f>
        <v/>
      </c>
    </row>
    <row r="3198" spans="1:5" x14ac:dyDescent="0.25">
      <c r="A3198" t="s">
        <v>1755</v>
      </c>
      <c r="B3198" t="s">
        <v>1197</v>
      </c>
      <c r="E3198" t="str">
        <f>IF(OR(E3197="&lt;/routeDistribution&gt;",E3197=""),"",IFERROR(_xlfn.CONCAT(VLOOKUP(CJ46,Route_Column!#REF!,2,FALSE),CHAR(34)," probability=",CHAR(34),1/CJ$4,CHAR(34),CHAR(47),CHAR(62)),"&lt;/routeDistribution&gt;"))</f>
        <v/>
      </c>
    </row>
    <row r="3199" spans="1:5" x14ac:dyDescent="0.25">
      <c r="A3199" t="s">
        <v>1755</v>
      </c>
      <c r="B3199" t="s">
        <v>1201</v>
      </c>
      <c r="E3199" t="str">
        <f>IF(OR(E3198="&lt;/routeDistribution&gt;",E3198=""),"",IFERROR(_xlfn.CONCAT(VLOOKUP(CJ47,Route_Column!#REF!,2,FALSE),CHAR(34)," probability=",CHAR(34),1/CJ$4,CHAR(34),CHAR(47),CHAR(62)),"&lt;/routeDistribution&gt;"))</f>
        <v/>
      </c>
    </row>
    <row r="3200" spans="1:5" x14ac:dyDescent="0.25">
      <c r="A3200" t="s">
        <v>1755</v>
      </c>
      <c r="B3200" t="s">
        <v>1206</v>
      </c>
      <c r="E3200" t="str">
        <f>IF(OR(E3199="&lt;/routeDistribution&gt;",E3199=""),"",IFERROR(_xlfn.CONCAT(VLOOKUP(CJ48,Route_Column!#REF!,2,FALSE),CHAR(34)," probability=",CHAR(34),1/CJ$4,CHAR(34),CHAR(47),CHAR(62)),"&lt;/routeDistribution&gt;"))</f>
        <v/>
      </c>
    </row>
    <row r="3201" spans="1:5" x14ac:dyDescent="0.25">
      <c r="A3201" t="s">
        <v>1755</v>
      </c>
      <c r="B3201" t="s">
        <v>1225</v>
      </c>
      <c r="E3201" t="str">
        <f>IF(OR(E3200="&lt;/routeDistribution&gt;",E3200=""),"",IFERROR(_xlfn.CONCAT(VLOOKUP(CJ49,Route_Column!#REF!,2,FALSE),CHAR(34)," probability=",CHAR(34),1/CJ$4,CHAR(34),CHAR(47),CHAR(62)),"&lt;/routeDistribution&gt;"))</f>
        <v/>
      </c>
    </row>
    <row r="3202" spans="1:5" x14ac:dyDescent="0.25">
      <c r="A3202" t="s">
        <v>2126</v>
      </c>
      <c r="B3202" t="s">
        <v>1140</v>
      </c>
      <c r="E3202" t="str">
        <f>IF(OR(E3201="&lt;/routeDistribution&gt;",E3201=""),"",IFERROR(_xlfn.CONCAT(VLOOKUP(CJ50,Route_Column!#REF!,2,FALSE),CHAR(34)," probability=",CHAR(34),1/CJ$4,CHAR(34),CHAR(47),CHAR(62)),"&lt;/routeDistribution&gt;"))</f>
        <v/>
      </c>
    </row>
    <row r="3203" spans="1:5" x14ac:dyDescent="0.25">
      <c r="A3203" t="s">
        <v>2126</v>
      </c>
      <c r="B3203" t="s">
        <v>1141</v>
      </c>
      <c r="E3203" t="str">
        <f>IF(OR(E3202="&lt;/routeDistribution&gt;",E3202=""),"",IFERROR(_xlfn.CONCAT(VLOOKUP(CJ51,Route_Column!#REF!,2,FALSE),CHAR(34)," probability=",CHAR(34),1/CJ$4,CHAR(34),CHAR(47),CHAR(62)),"&lt;/routeDistribution&gt;"))</f>
        <v/>
      </c>
    </row>
    <row r="3204" spans="1:5" x14ac:dyDescent="0.25">
      <c r="A3204" t="s">
        <v>2126</v>
      </c>
      <c r="B3204" t="s">
        <v>1142</v>
      </c>
      <c r="E3204" t="str">
        <f>IF(OR(E3203="&lt;/routeDistribution&gt;",E3203=""),"",IFERROR(_xlfn.CONCAT(VLOOKUP(CJ52,Route_Column!#REF!,2,FALSE),CHAR(34)," probability=",CHAR(34),1/CJ$4,CHAR(34),CHAR(47),CHAR(62)),"&lt;/routeDistribution&gt;"))</f>
        <v/>
      </c>
    </row>
    <row r="3205" spans="1:5" x14ac:dyDescent="0.25">
      <c r="A3205" t="s">
        <v>2126</v>
      </c>
      <c r="B3205" t="s">
        <v>1150</v>
      </c>
      <c r="E3205" t="str">
        <f>IF(OR(E3204="&lt;/routeDistribution&gt;",E3204=""),"",IFERROR(_xlfn.CONCAT(VLOOKUP(CJ53,Route_Column!#REF!,2,FALSE),CHAR(34)," probability=",CHAR(34),1/CJ$4,CHAR(34),CHAR(47),CHAR(62)),"&lt;/routeDistribution&gt;"))</f>
        <v/>
      </c>
    </row>
    <row r="3206" spans="1:5" x14ac:dyDescent="0.25">
      <c r="A3206" t="s">
        <v>2126</v>
      </c>
      <c r="B3206" t="s">
        <v>1151</v>
      </c>
      <c r="E3206" t="str">
        <f>IF(OR(E3205="&lt;/routeDistribution&gt;",E3205=""),"",IFERROR(_xlfn.CONCAT(VLOOKUP(CJ54,Route_Column!#REF!,2,FALSE),CHAR(34)," probability=",CHAR(34),1/CJ$4,CHAR(34),CHAR(47),CHAR(62)),"&lt;/routeDistribution&gt;"))</f>
        <v/>
      </c>
    </row>
    <row r="3207" spans="1:5" x14ac:dyDescent="0.25">
      <c r="A3207" t="s">
        <v>2126</v>
      </c>
      <c r="B3207" t="s">
        <v>1179</v>
      </c>
      <c r="E3207" t="str">
        <f>IF(OR(E3206="&lt;/routeDistribution&gt;",E3206=""),"",IFERROR(_xlfn.CONCAT(VLOOKUP(CJ55,Route_Column!#REF!,2,FALSE),CHAR(34)," probability=",CHAR(34),1/CJ$4,CHAR(34),CHAR(47),CHAR(62)),"&lt;/routeDistribution&gt;"))</f>
        <v/>
      </c>
    </row>
    <row r="3208" spans="1:5" x14ac:dyDescent="0.25">
      <c r="A3208" t="s">
        <v>2126</v>
      </c>
      <c r="B3208" t="s">
        <v>1183</v>
      </c>
      <c r="E3208" t="str">
        <f>IF(OR(E3207="&lt;/routeDistribution&gt;",E3207=""),"",IFERROR(_xlfn.CONCAT(VLOOKUP(CJ56,Route_Column!#REF!,2,FALSE),CHAR(34)," probability=",CHAR(34),1/CJ$4,CHAR(34),CHAR(47),CHAR(62)),"&lt;/routeDistribution&gt;"))</f>
        <v/>
      </c>
    </row>
    <row r="3209" spans="1:5" x14ac:dyDescent="0.25">
      <c r="A3209" t="s">
        <v>2126</v>
      </c>
      <c r="B3209" t="s">
        <v>1184</v>
      </c>
      <c r="E3209" t="str">
        <f>IF(OR(E3208="&lt;/routeDistribution&gt;",E3208=""),"",IFERROR(_xlfn.CONCAT(VLOOKUP(CJ57,Route_Column!#REF!,2,FALSE),CHAR(34)," probability=",CHAR(34),1/CJ$4,CHAR(34),CHAR(47),CHAR(62)),"&lt;/routeDistribution&gt;"))</f>
        <v/>
      </c>
    </row>
    <row r="3210" spans="1:5" x14ac:dyDescent="0.25">
      <c r="A3210" t="s">
        <v>2126</v>
      </c>
      <c r="B3210" t="s">
        <v>1205</v>
      </c>
      <c r="E3210" t="str">
        <f>IF(OR(E3209="&lt;/routeDistribution&gt;",E3209=""),"",IFERROR(_xlfn.CONCAT(VLOOKUP(CJ58,Route_Column!#REF!,2,FALSE),CHAR(34)," probability=",CHAR(34),1/CJ$4,CHAR(34),CHAR(47),CHAR(62)),"&lt;/routeDistribution&gt;"))</f>
        <v/>
      </c>
    </row>
    <row r="3211" spans="1:5" x14ac:dyDescent="0.25">
      <c r="A3211" t="s">
        <v>2126</v>
      </c>
      <c r="B3211" t="s">
        <v>1206</v>
      </c>
      <c r="E3211" t="str">
        <f>IF(OR(E3210="&lt;/routeDistribution&gt;",E3210=""),"",IFERROR(_xlfn.CONCAT(VLOOKUP(CJ59,Route_Column!#REF!,2,FALSE),CHAR(34)," probability=",CHAR(34),1/CJ$4,CHAR(34),CHAR(47),CHAR(62)),"&lt;/routeDistribution&gt;"))</f>
        <v/>
      </c>
    </row>
    <row r="3212" spans="1:5" x14ac:dyDescent="0.25">
      <c r="A3212" t="s">
        <v>2126</v>
      </c>
      <c r="B3212" t="s">
        <v>1207</v>
      </c>
      <c r="E3212" t="str">
        <f>IF(OR(E3211="&lt;/routeDistribution&gt;",E3211=""),"",IFERROR(_xlfn.CONCAT(VLOOKUP(CJ60,Route_Column!#REF!,2,FALSE),CHAR(34)," probability=",CHAR(34),1/CJ$4,CHAR(34),CHAR(47),CHAR(62)),"&lt;/routeDistribution&gt;"))</f>
        <v/>
      </c>
    </row>
    <row r="3213" spans="1:5" x14ac:dyDescent="0.25">
      <c r="A3213" t="s">
        <v>2126</v>
      </c>
      <c r="B3213" t="s">
        <v>1208</v>
      </c>
      <c r="E3213" t="str">
        <f>IF(OR(E3212="&lt;/routeDistribution&gt;",E3212=""),"",IFERROR(_xlfn.CONCAT(VLOOKUP(CJ61,Route_Column!#REF!,2,FALSE),CHAR(34)," probability=",CHAR(34),1/CJ$4,CHAR(34),CHAR(47),CHAR(62)),"&lt;/routeDistribution&gt;"))</f>
        <v/>
      </c>
    </row>
    <row r="3214" spans="1:5" x14ac:dyDescent="0.25">
      <c r="A3214" t="s">
        <v>2126</v>
      </c>
      <c r="B3214" t="s">
        <v>1224</v>
      </c>
      <c r="E3214" t="str">
        <f>IF(OR(E3213="&lt;/routeDistribution&gt;",E3213=""),"",IFERROR(_xlfn.CONCAT(VLOOKUP(CJ62,Route_Column!#REF!,2,FALSE),CHAR(34)," probability=",CHAR(34),1/CJ$4,CHAR(34),CHAR(47),CHAR(62)),"&lt;/routeDistribution&gt;"))</f>
        <v/>
      </c>
    </row>
    <row r="3215" spans="1:5" x14ac:dyDescent="0.25">
      <c r="A3215" t="s">
        <v>2126</v>
      </c>
      <c r="B3215" t="s">
        <v>1225</v>
      </c>
      <c r="E3215" t="str">
        <f>IF(OR(E3214="&lt;/routeDistribution&gt;",E3214=""),"",IFERROR(_xlfn.CONCAT(VLOOKUP(CJ63,Route_Column!#REF!,2,FALSE),CHAR(34)," probability=",CHAR(34),1/CJ$4,CHAR(34),CHAR(47),CHAR(62)),"&lt;/routeDistribution&gt;"))</f>
        <v/>
      </c>
    </row>
    <row r="3216" spans="1:5" x14ac:dyDescent="0.25">
      <c r="A3216" t="s">
        <v>2126</v>
      </c>
      <c r="B3216" t="s">
        <v>1232</v>
      </c>
      <c r="E3216" t="s">
        <v>2686</v>
      </c>
    </row>
    <row r="3217" spans="1:5" x14ac:dyDescent="0.25">
      <c r="A3217" t="s">
        <v>2126</v>
      </c>
      <c r="B3217" t="s">
        <v>1233</v>
      </c>
    </row>
    <row r="3218" spans="1:5" x14ac:dyDescent="0.25">
      <c r="A3218" t="s">
        <v>2126</v>
      </c>
      <c r="B3218" t="s">
        <v>1234</v>
      </c>
    </row>
    <row r="3219" spans="1:5" x14ac:dyDescent="0.25">
      <c r="A3219" t="s">
        <v>1756</v>
      </c>
      <c r="B3219" t="s">
        <v>1102</v>
      </c>
      <c r="E3219" t="str">
        <f>_xlfn.CONCAT($E$1,CI$2,$F$1)</f>
        <v>&lt;routeDistribution id="UniAVE-76ramp-CIVICblvd-2009-RouteProbe"&gt;</v>
      </c>
    </row>
    <row r="3220" spans="1:5" x14ac:dyDescent="0.25">
      <c r="A3220" t="s">
        <v>1756</v>
      </c>
      <c r="B3220" t="s">
        <v>1110</v>
      </c>
      <c r="E3220" t="str">
        <f>IF(OR(E3219="&lt;/routeDistribution&gt;",E3219=""),"",IFERROR(_xlfn.CONCAT(VLOOKUP(CI5,Route_Column!#REF!,2,FALSE),CHAR(34)," probability=",CHAR(34),1/CI$4,CHAR(34),CHAR(47),CHAR(62)),"&lt;/routeDistribution&gt;"))</f>
        <v>&lt;/routeDistribution&gt;</v>
      </c>
    </row>
    <row r="3221" spans="1:5" x14ac:dyDescent="0.25">
      <c r="A3221" t="s">
        <v>1756</v>
      </c>
      <c r="B3221" t="s">
        <v>1112</v>
      </c>
      <c r="E3221" t="str">
        <f>IF(OR(E3220="&lt;/routeDistribution&gt;",E3220=""),"",IFERROR(_xlfn.CONCAT(VLOOKUP(CI6,Route_Column!#REF!,2,FALSE),CHAR(34)," probability=",CHAR(34),1/CI$4,CHAR(34),CHAR(47),CHAR(62)),"&lt;/routeDistribution&gt;"))</f>
        <v/>
      </c>
    </row>
    <row r="3222" spans="1:5" x14ac:dyDescent="0.25">
      <c r="A3222" t="s">
        <v>1756</v>
      </c>
      <c r="B3222" t="s">
        <v>1130</v>
      </c>
      <c r="E3222" t="str">
        <f>IF(OR(E3221="&lt;/routeDistribution&gt;",E3221=""),"",IFERROR(_xlfn.CONCAT(VLOOKUP(CI7,Route_Column!#REF!,2,FALSE),CHAR(34)," probability=",CHAR(34),1/CI$4,CHAR(34),CHAR(47),CHAR(62)),"&lt;/routeDistribution&gt;"))</f>
        <v/>
      </c>
    </row>
    <row r="3223" spans="1:5" x14ac:dyDescent="0.25">
      <c r="A3223" t="s">
        <v>1756</v>
      </c>
      <c r="B3223" t="s">
        <v>1131</v>
      </c>
      <c r="E3223" t="str">
        <f>IF(OR(E3222="&lt;/routeDistribution&gt;",E3222=""),"",IFERROR(_xlfn.CONCAT(VLOOKUP(CI8,Route_Column!#REF!,2,FALSE),CHAR(34)," probability=",CHAR(34),1/CI$4,CHAR(34),CHAR(47),CHAR(62)),"&lt;/routeDistribution&gt;"))</f>
        <v/>
      </c>
    </row>
    <row r="3224" spans="1:5" x14ac:dyDescent="0.25">
      <c r="A3224" t="s">
        <v>1756</v>
      </c>
      <c r="B3224" t="s">
        <v>1132</v>
      </c>
      <c r="E3224" t="str">
        <f>IF(OR(E3223="&lt;/routeDistribution&gt;",E3223=""),"",IFERROR(_xlfn.CONCAT(VLOOKUP(CI9,Route_Column!#REF!,2,FALSE),CHAR(34)," probability=",CHAR(34),1/CI$4,CHAR(34),CHAR(47),CHAR(62)),"&lt;/routeDistribution&gt;"))</f>
        <v/>
      </c>
    </row>
    <row r="3225" spans="1:5" x14ac:dyDescent="0.25">
      <c r="A3225" t="s">
        <v>1756</v>
      </c>
      <c r="B3225" t="s">
        <v>1134</v>
      </c>
      <c r="E3225" t="str">
        <f>IF(OR(E3224="&lt;/routeDistribution&gt;",E3224=""),"",IFERROR(_xlfn.CONCAT(VLOOKUP(CI10,Route_Column!#REF!,2,FALSE),CHAR(34)," probability=",CHAR(34),1/CI$4,CHAR(34),CHAR(47),CHAR(62)),"&lt;/routeDistribution&gt;"))</f>
        <v/>
      </c>
    </row>
    <row r="3226" spans="1:5" x14ac:dyDescent="0.25">
      <c r="A3226" t="s">
        <v>1756</v>
      </c>
      <c r="B3226" t="s">
        <v>1137</v>
      </c>
      <c r="E3226" t="str">
        <f>IF(OR(E3225="&lt;/routeDistribution&gt;",E3225=""),"",IFERROR(_xlfn.CONCAT(VLOOKUP(CI11,Route_Column!#REF!,2,FALSE),CHAR(34)," probability=",CHAR(34),1/CI$4,CHAR(34),CHAR(47),CHAR(62)),"&lt;/routeDistribution&gt;"))</f>
        <v/>
      </c>
    </row>
    <row r="3227" spans="1:5" x14ac:dyDescent="0.25">
      <c r="A3227" t="s">
        <v>1756</v>
      </c>
      <c r="B3227" t="s">
        <v>1138</v>
      </c>
      <c r="E3227" t="str">
        <f>IF(OR(E3226="&lt;/routeDistribution&gt;",E3226=""),"",IFERROR(_xlfn.CONCAT(VLOOKUP(CI12,Route_Column!#REF!,2,FALSE),CHAR(34)," probability=",CHAR(34),1/CI$4,CHAR(34),CHAR(47),CHAR(62)),"&lt;/routeDistribution&gt;"))</f>
        <v/>
      </c>
    </row>
    <row r="3228" spans="1:5" x14ac:dyDescent="0.25">
      <c r="A3228" t="s">
        <v>1756</v>
      </c>
      <c r="B3228" t="s">
        <v>1145</v>
      </c>
      <c r="E3228" t="str">
        <f>IF(OR(E3227="&lt;/routeDistribution&gt;",E3227=""),"",IFERROR(_xlfn.CONCAT(VLOOKUP(CI13,Route_Column!#REF!,2,FALSE),CHAR(34)," probability=",CHAR(34),1/CI$4,CHAR(34),CHAR(47),CHAR(62)),"&lt;/routeDistribution&gt;"))</f>
        <v/>
      </c>
    </row>
    <row r="3229" spans="1:5" x14ac:dyDescent="0.25">
      <c r="A3229" t="s">
        <v>1756</v>
      </c>
      <c r="B3229" t="s">
        <v>1154</v>
      </c>
      <c r="E3229" t="str">
        <f>IF(OR(E3228="&lt;/routeDistribution&gt;",E3228=""),"",IFERROR(_xlfn.CONCAT(VLOOKUP(CI14,Route_Column!#REF!,2,FALSE),CHAR(34)," probability=",CHAR(34),1/CI$4,CHAR(34),CHAR(47),CHAR(62)),"&lt;/routeDistribution&gt;"))</f>
        <v/>
      </c>
    </row>
    <row r="3230" spans="1:5" x14ac:dyDescent="0.25">
      <c r="A3230" t="s">
        <v>1756</v>
      </c>
      <c r="B3230" t="s">
        <v>1171</v>
      </c>
      <c r="E3230" t="str">
        <f>IF(OR(E3229="&lt;/routeDistribution&gt;",E3229=""),"",IFERROR(_xlfn.CONCAT(VLOOKUP(CI15,Route_Column!#REF!,2,FALSE),CHAR(34)," probability=",CHAR(34),1/CI$4,CHAR(34),CHAR(47),CHAR(62)),"&lt;/routeDistribution&gt;"))</f>
        <v/>
      </c>
    </row>
    <row r="3231" spans="1:5" x14ac:dyDescent="0.25">
      <c r="A3231" t="s">
        <v>1756</v>
      </c>
      <c r="B3231" t="s">
        <v>1180</v>
      </c>
      <c r="E3231" t="str">
        <f>IF(OR(E3230="&lt;/routeDistribution&gt;",E3230=""),"",IFERROR(_xlfn.CONCAT(VLOOKUP(CI16,Route_Column!#REF!,2,FALSE),CHAR(34)," probability=",CHAR(34),1/CI$4,CHAR(34),CHAR(47),CHAR(62)),"&lt;/routeDistribution&gt;"))</f>
        <v/>
      </c>
    </row>
    <row r="3232" spans="1:5" x14ac:dyDescent="0.25">
      <c r="A3232" t="s">
        <v>1756</v>
      </c>
      <c r="B3232" t="s">
        <v>1181</v>
      </c>
      <c r="E3232" t="str">
        <f>IF(OR(E3231="&lt;/routeDistribution&gt;",E3231=""),"",IFERROR(_xlfn.CONCAT(VLOOKUP(CI17,Route_Column!#REF!,2,FALSE),CHAR(34)," probability=",CHAR(34),1/CI$4,CHAR(34),CHAR(47),CHAR(62)),"&lt;/routeDistribution&gt;"))</f>
        <v/>
      </c>
    </row>
    <row r="3233" spans="1:5" x14ac:dyDescent="0.25">
      <c r="A3233" t="s">
        <v>1756</v>
      </c>
      <c r="B3233" t="s">
        <v>1182</v>
      </c>
      <c r="E3233" t="str">
        <f>IF(OR(E3232="&lt;/routeDistribution&gt;",E3232=""),"",IFERROR(_xlfn.CONCAT(VLOOKUP(CI18,Route_Column!#REF!,2,FALSE),CHAR(34)," probability=",CHAR(34),1/CI$4,CHAR(34),CHAR(47),CHAR(62)),"&lt;/routeDistribution&gt;"))</f>
        <v/>
      </c>
    </row>
    <row r="3234" spans="1:5" x14ac:dyDescent="0.25">
      <c r="A3234" t="s">
        <v>1756</v>
      </c>
      <c r="B3234" t="s">
        <v>1183</v>
      </c>
      <c r="E3234" t="str">
        <f>IF(OR(E3233="&lt;/routeDistribution&gt;",E3233=""),"",IFERROR(_xlfn.CONCAT(VLOOKUP(CI19,Route_Column!#REF!,2,FALSE),CHAR(34)," probability=",CHAR(34),1/CI$4,CHAR(34),CHAR(47),CHAR(62)),"&lt;/routeDistribution&gt;"))</f>
        <v/>
      </c>
    </row>
    <row r="3235" spans="1:5" x14ac:dyDescent="0.25">
      <c r="A3235" t="s">
        <v>1756</v>
      </c>
      <c r="B3235" t="s">
        <v>1184</v>
      </c>
      <c r="E3235" t="str">
        <f>IF(OR(E3234="&lt;/routeDistribution&gt;",E3234=""),"",IFERROR(_xlfn.CONCAT(VLOOKUP(CI20,Route_Column!#REF!,2,FALSE),CHAR(34)," probability=",CHAR(34),1/CI$4,CHAR(34),CHAR(47),CHAR(62)),"&lt;/routeDistribution&gt;"))</f>
        <v/>
      </c>
    </row>
    <row r="3236" spans="1:5" x14ac:dyDescent="0.25">
      <c r="A3236" t="s">
        <v>1756</v>
      </c>
      <c r="B3236" t="s">
        <v>1185</v>
      </c>
      <c r="E3236" t="str">
        <f>IF(OR(E3235="&lt;/routeDistribution&gt;",E3235=""),"",IFERROR(_xlfn.CONCAT(VLOOKUP(CI21,Route_Column!#REF!,2,FALSE),CHAR(34)," probability=",CHAR(34),1/CI$4,CHAR(34),CHAR(47),CHAR(62)),"&lt;/routeDistribution&gt;"))</f>
        <v/>
      </c>
    </row>
    <row r="3237" spans="1:5" x14ac:dyDescent="0.25">
      <c r="A3237" t="s">
        <v>1756</v>
      </c>
      <c r="B3237" t="s">
        <v>1197</v>
      </c>
      <c r="E3237" t="str">
        <f>IF(OR(E3236="&lt;/routeDistribution&gt;",E3236=""),"",IFERROR(_xlfn.CONCAT(VLOOKUP(CI22,Route_Column!#REF!,2,FALSE),CHAR(34)," probability=",CHAR(34),1/CI$4,CHAR(34),CHAR(47),CHAR(62)),"&lt;/routeDistribution&gt;"))</f>
        <v/>
      </c>
    </row>
    <row r="3238" spans="1:5" x14ac:dyDescent="0.25">
      <c r="A3238" t="s">
        <v>1756</v>
      </c>
      <c r="B3238" t="s">
        <v>1201</v>
      </c>
      <c r="E3238" t="str">
        <f>IF(OR(E3237="&lt;/routeDistribution&gt;",E3237=""),"",IFERROR(_xlfn.CONCAT(VLOOKUP(CI23,Route_Column!#REF!,2,FALSE),CHAR(34)," probability=",CHAR(34),1/CI$4,CHAR(34),CHAR(47),CHAR(62)),"&lt;/routeDistribution&gt;"))</f>
        <v/>
      </c>
    </row>
    <row r="3239" spans="1:5" x14ac:dyDescent="0.25">
      <c r="A3239" t="s">
        <v>1756</v>
      </c>
      <c r="B3239" t="s">
        <v>1206</v>
      </c>
      <c r="E3239" t="str">
        <f>IF(OR(E3238="&lt;/routeDistribution&gt;",E3238=""),"",IFERROR(_xlfn.CONCAT(VLOOKUP(CI24,Route_Column!#REF!,2,FALSE),CHAR(34)," probability=",CHAR(34),1/CI$4,CHAR(34),CHAR(47),CHAR(62)),"&lt;/routeDistribution&gt;"))</f>
        <v/>
      </c>
    </row>
    <row r="3240" spans="1:5" x14ac:dyDescent="0.25">
      <c r="A3240" t="s">
        <v>1756</v>
      </c>
      <c r="B3240" t="s">
        <v>1225</v>
      </c>
      <c r="E3240" t="str">
        <f>IF(OR(E3239="&lt;/routeDistribution&gt;",E3239=""),"",IFERROR(_xlfn.CONCAT(VLOOKUP(CI25,Route_Column!#REF!,2,FALSE),CHAR(34)," probability=",CHAR(34),1/CI$4,CHAR(34),CHAR(47),CHAR(62)),"&lt;/routeDistribution&gt;"))</f>
        <v/>
      </c>
    </row>
    <row r="3241" spans="1:5" x14ac:dyDescent="0.25">
      <c r="A3241" t="s">
        <v>2125</v>
      </c>
      <c r="B3241" t="s">
        <v>1140</v>
      </c>
      <c r="E3241" t="str">
        <f>IF(OR(E3240="&lt;/routeDistribution&gt;",E3240=""),"",IFERROR(_xlfn.CONCAT(VLOOKUP(CI26,Route_Column!#REF!,2,FALSE),CHAR(34)," probability=",CHAR(34),1/CI$4,CHAR(34),CHAR(47),CHAR(62)),"&lt;/routeDistribution&gt;"))</f>
        <v/>
      </c>
    </row>
    <row r="3242" spans="1:5" x14ac:dyDescent="0.25">
      <c r="A3242" t="s">
        <v>2125</v>
      </c>
      <c r="B3242" t="s">
        <v>1141</v>
      </c>
      <c r="E3242" t="str">
        <f>IF(OR(E3241="&lt;/routeDistribution&gt;",E3241=""),"",IFERROR(_xlfn.CONCAT(VLOOKUP(CI27,Route_Column!#REF!,2,FALSE),CHAR(34)," probability=",CHAR(34),1/CI$4,CHAR(34),CHAR(47),CHAR(62)),"&lt;/routeDistribution&gt;"))</f>
        <v/>
      </c>
    </row>
    <row r="3243" spans="1:5" x14ac:dyDescent="0.25">
      <c r="A3243" t="s">
        <v>2125</v>
      </c>
      <c r="B3243" t="s">
        <v>1142</v>
      </c>
      <c r="E3243" t="str">
        <f>IF(OR(E3242="&lt;/routeDistribution&gt;",E3242=""),"",IFERROR(_xlfn.CONCAT(VLOOKUP(CI28,Route_Column!#REF!,2,FALSE),CHAR(34)," probability=",CHAR(34),1/CI$4,CHAR(34),CHAR(47),CHAR(62)),"&lt;/routeDistribution&gt;"))</f>
        <v/>
      </c>
    </row>
    <row r="3244" spans="1:5" x14ac:dyDescent="0.25">
      <c r="A3244" t="s">
        <v>2125</v>
      </c>
      <c r="B3244" t="s">
        <v>1150</v>
      </c>
      <c r="E3244" t="str">
        <f>IF(OR(E3243="&lt;/routeDistribution&gt;",E3243=""),"",IFERROR(_xlfn.CONCAT(VLOOKUP(CI29,Route_Column!#REF!,2,FALSE),CHAR(34)," probability=",CHAR(34),1/CI$4,CHAR(34),CHAR(47),CHAR(62)),"&lt;/routeDistribution&gt;"))</f>
        <v/>
      </c>
    </row>
    <row r="3245" spans="1:5" x14ac:dyDescent="0.25">
      <c r="A3245" t="s">
        <v>2125</v>
      </c>
      <c r="B3245" t="s">
        <v>1151</v>
      </c>
      <c r="E3245" t="str">
        <f>IF(OR(E3244="&lt;/routeDistribution&gt;",E3244=""),"",IFERROR(_xlfn.CONCAT(VLOOKUP(CI30,Route_Column!#REF!,2,FALSE),CHAR(34)," probability=",CHAR(34),1/CI$4,CHAR(34),CHAR(47),CHAR(62)),"&lt;/routeDistribution&gt;"))</f>
        <v/>
      </c>
    </row>
    <row r="3246" spans="1:5" x14ac:dyDescent="0.25">
      <c r="A3246" t="s">
        <v>2125</v>
      </c>
      <c r="B3246" t="s">
        <v>1179</v>
      </c>
      <c r="E3246" t="str">
        <f>IF(OR(E3245="&lt;/routeDistribution&gt;",E3245=""),"",IFERROR(_xlfn.CONCAT(VLOOKUP(CI31,Route_Column!#REF!,2,FALSE),CHAR(34)," probability=",CHAR(34),1/CI$4,CHAR(34),CHAR(47),CHAR(62)),"&lt;/routeDistribution&gt;"))</f>
        <v/>
      </c>
    </row>
    <row r="3247" spans="1:5" x14ac:dyDescent="0.25">
      <c r="A3247" t="s">
        <v>2125</v>
      </c>
      <c r="B3247" t="s">
        <v>1183</v>
      </c>
      <c r="E3247" t="str">
        <f>IF(OR(E3246="&lt;/routeDistribution&gt;",E3246=""),"",IFERROR(_xlfn.CONCAT(VLOOKUP(CI32,Route_Column!#REF!,2,FALSE),CHAR(34)," probability=",CHAR(34),1/CI$4,CHAR(34),CHAR(47),CHAR(62)),"&lt;/routeDistribution&gt;"))</f>
        <v/>
      </c>
    </row>
    <row r="3248" spans="1:5" x14ac:dyDescent="0.25">
      <c r="A3248" t="s">
        <v>2125</v>
      </c>
      <c r="B3248" t="s">
        <v>1184</v>
      </c>
      <c r="E3248" t="str">
        <f>IF(OR(E3247="&lt;/routeDistribution&gt;",E3247=""),"",IFERROR(_xlfn.CONCAT(VLOOKUP(CI33,Route_Column!#REF!,2,FALSE),CHAR(34)," probability=",CHAR(34),1/CI$4,CHAR(34),CHAR(47),CHAR(62)),"&lt;/routeDistribution&gt;"))</f>
        <v/>
      </c>
    </row>
    <row r="3249" spans="1:5" x14ac:dyDescent="0.25">
      <c r="A3249" t="s">
        <v>2125</v>
      </c>
      <c r="B3249" t="s">
        <v>1205</v>
      </c>
      <c r="E3249" t="str">
        <f>IF(OR(E3248="&lt;/routeDistribution&gt;",E3248=""),"",IFERROR(_xlfn.CONCAT(VLOOKUP(CI34,Route_Column!#REF!,2,FALSE),CHAR(34)," probability=",CHAR(34),1/CI$4,CHAR(34),CHAR(47),CHAR(62)),"&lt;/routeDistribution&gt;"))</f>
        <v/>
      </c>
    </row>
    <row r="3250" spans="1:5" x14ac:dyDescent="0.25">
      <c r="A3250" t="s">
        <v>2125</v>
      </c>
      <c r="B3250" t="s">
        <v>1206</v>
      </c>
      <c r="E3250" t="str">
        <f>IF(OR(E3249="&lt;/routeDistribution&gt;",E3249=""),"",IFERROR(_xlfn.CONCAT(VLOOKUP(CI35,Route_Column!#REF!,2,FALSE),CHAR(34)," probability=",CHAR(34),1/CI$4,CHAR(34),CHAR(47),CHAR(62)),"&lt;/routeDistribution&gt;"))</f>
        <v/>
      </c>
    </row>
    <row r="3251" spans="1:5" x14ac:dyDescent="0.25">
      <c r="A3251" t="s">
        <v>2125</v>
      </c>
      <c r="B3251" t="s">
        <v>1207</v>
      </c>
      <c r="E3251" t="str">
        <f>IF(OR(E3250="&lt;/routeDistribution&gt;",E3250=""),"",IFERROR(_xlfn.CONCAT(VLOOKUP(CI36,Route_Column!#REF!,2,FALSE),CHAR(34)," probability=",CHAR(34),1/CI$4,CHAR(34),CHAR(47),CHAR(62)),"&lt;/routeDistribution&gt;"))</f>
        <v/>
      </c>
    </row>
    <row r="3252" spans="1:5" x14ac:dyDescent="0.25">
      <c r="A3252" t="s">
        <v>2125</v>
      </c>
      <c r="B3252" t="s">
        <v>1208</v>
      </c>
      <c r="E3252" t="str">
        <f>IF(OR(E3251="&lt;/routeDistribution&gt;",E3251=""),"",IFERROR(_xlfn.CONCAT(VLOOKUP(CI37,Route_Column!#REF!,2,FALSE),CHAR(34)," probability=",CHAR(34),1/CI$4,CHAR(34),CHAR(47),CHAR(62)),"&lt;/routeDistribution&gt;"))</f>
        <v/>
      </c>
    </row>
    <row r="3253" spans="1:5" x14ac:dyDescent="0.25">
      <c r="A3253" t="s">
        <v>2125</v>
      </c>
      <c r="B3253" t="s">
        <v>1224</v>
      </c>
      <c r="E3253" t="str">
        <f>IF(OR(E3252="&lt;/routeDistribution&gt;",E3252=""),"",IFERROR(_xlfn.CONCAT(VLOOKUP(CI38,Route_Column!#REF!,2,FALSE),CHAR(34)," probability=",CHAR(34),1/CI$4,CHAR(34),CHAR(47),CHAR(62)),"&lt;/routeDistribution&gt;"))</f>
        <v/>
      </c>
    </row>
    <row r="3254" spans="1:5" x14ac:dyDescent="0.25">
      <c r="A3254" t="s">
        <v>2125</v>
      </c>
      <c r="B3254" t="s">
        <v>1225</v>
      </c>
      <c r="E3254" t="str">
        <f>IF(OR(E3253="&lt;/routeDistribution&gt;",E3253=""),"",IFERROR(_xlfn.CONCAT(VLOOKUP(CI39,Route_Column!#REF!,2,FALSE),CHAR(34)," probability=",CHAR(34),1/CI$4,CHAR(34),CHAR(47),CHAR(62)),"&lt;/routeDistribution&gt;"))</f>
        <v/>
      </c>
    </row>
    <row r="3255" spans="1:5" x14ac:dyDescent="0.25">
      <c r="A3255" t="s">
        <v>2125</v>
      </c>
      <c r="B3255" t="s">
        <v>1232</v>
      </c>
      <c r="E3255" t="str">
        <f>IF(OR(E3254="&lt;/routeDistribution&gt;",E3254=""),"",IFERROR(_xlfn.CONCAT(VLOOKUP(CI40,Route_Column!#REF!,2,FALSE),CHAR(34)," probability=",CHAR(34),1/CI$4,CHAR(34),CHAR(47),CHAR(62)),"&lt;/routeDistribution&gt;"))</f>
        <v/>
      </c>
    </row>
    <row r="3256" spans="1:5" x14ac:dyDescent="0.25">
      <c r="A3256" t="s">
        <v>2125</v>
      </c>
      <c r="B3256" t="s">
        <v>1233</v>
      </c>
      <c r="E3256" t="str">
        <f>IF(OR(E3255="&lt;/routeDistribution&gt;",E3255=""),"",IFERROR(_xlfn.CONCAT(VLOOKUP(CI41,Route_Column!#REF!,2,FALSE),CHAR(34)," probability=",CHAR(34),1/CI$4,CHAR(34),CHAR(47),CHAR(62)),"&lt;/routeDistribution&gt;"))</f>
        <v/>
      </c>
    </row>
    <row r="3257" spans="1:5" x14ac:dyDescent="0.25">
      <c r="A3257" t="s">
        <v>2125</v>
      </c>
      <c r="B3257" t="s">
        <v>1234</v>
      </c>
      <c r="E3257" t="str">
        <f>IF(OR(E3256="&lt;/routeDistribution&gt;",E3256=""),"",IFERROR(_xlfn.CONCAT(VLOOKUP(CI42,Route_Column!#REF!,2,FALSE),CHAR(34)," probability=",CHAR(34),1/CI$4,CHAR(34),CHAR(47),CHAR(62)),"&lt;/routeDistribution&gt;"))</f>
        <v/>
      </c>
    </row>
    <row r="3258" spans="1:5" x14ac:dyDescent="0.25">
      <c r="A3258" t="s">
        <v>1757</v>
      </c>
      <c r="B3258" t="s">
        <v>1102</v>
      </c>
      <c r="E3258" t="str">
        <f>IF(OR(E3257="&lt;/routeDistribution&gt;",E3257=""),"",IFERROR(_xlfn.CONCAT(VLOOKUP(CI43,Route_Column!#REF!,2,FALSE),CHAR(34)," probability=",CHAR(34),1/CI$4,CHAR(34),CHAR(47),CHAR(62)),"&lt;/routeDistribution&gt;"))</f>
        <v/>
      </c>
    </row>
    <row r="3259" spans="1:5" x14ac:dyDescent="0.25">
      <c r="A3259" t="s">
        <v>1757</v>
      </c>
      <c r="B3259" t="s">
        <v>1110</v>
      </c>
      <c r="E3259" t="str">
        <f>IF(OR(E3258="&lt;/routeDistribution&gt;",E3258=""),"",IFERROR(_xlfn.CONCAT(VLOOKUP(CI44,Route_Column!#REF!,2,FALSE),CHAR(34)," probability=",CHAR(34),1/CI$4,CHAR(34),CHAR(47),CHAR(62)),"&lt;/routeDistribution&gt;"))</f>
        <v/>
      </c>
    </row>
    <row r="3260" spans="1:5" x14ac:dyDescent="0.25">
      <c r="A3260" t="s">
        <v>1757</v>
      </c>
      <c r="B3260" t="s">
        <v>1112</v>
      </c>
      <c r="E3260" t="str">
        <f>IF(OR(E3259="&lt;/routeDistribution&gt;",E3259=""),"",IFERROR(_xlfn.CONCAT(VLOOKUP(CI45,Route_Column!#REF!,2,FALSE),CHAR(34)," probability=",CHAR(34),1/CI$4,CHAR(34),CHAR(47),CHAR(62)),"&lt;/routeDistribution&gt;"))</f>
        <v/>
      </c>
    </row>
    <row r="3261" spans="1:5" x14ac:dyDescent="0.25">
      <c r="A3261" t="s">
        <v>1757</v>
      </c>
      <c r="B3261" t="s">
        <v>1130</v>
      </c>
      <c r="E3261" t="str">
        <f>IF(OR(E3260="&lt;/routeDistribution&gt;",E3260=""),"",IFERROR(_xlfn.CONCAT(VLOOKUP(CI46,Route_Column!#REF!,2,FALSE),CHAR(34)," probability=",CHAR(34),1/CI$4,CHAR(34),CHAR(47),CHAR(62)),"&lt;/routeDistribution&gt;"))</f>
        <v/>
      </c>
    </row>
    <row r="3262" spans="1:5" x14ac:dyDescent="0.25">
      <c r="A3262" t="s">
        <v>1757</v>
      </c>
      <c r="B3262" t="s">
        <v>1131</v>
      </c>
      <c r="E3262" t="str">
        <f>IF(OR(E3261="&lt;/routeDistribution&gt;",E3261=""),"",IFERROR(_xlfn.CONCAT(VLOOKUP(CI47,Route_Column!#REF!,2,FALSE),CHAR(34)," probability=",CHAR(34),1/CI$4,CHAR(34),CHAR(47),CHAR(62)),"&lt;/routeDistribution&gt;"))</f>
        <v/>
      </c>
    </row>
    <row r="3263" spans="1:5" x14ac:dyDescent="0.25">
      <c r="A3263" t="s">
        <v>1757</v>
      </c>
      <c r="B3263" t="s">
        <v>1132</v>
      </c>
      <c r="E3263" t="str">
        <f>IF(OR(E3262="&lt;/routeDistribution&gt;",E3262=""),"",IFERROR(_xlfn.CONCAT(VLOOKUP(CI48,Route_Column!#REF!,2,FALSE),CHAR(34)," probability=",CHAR(34),1/CI$4,CHAR(34),CHAR(47),CHAR(62)),"&lt;/routeDistribution&gt;"))</f>
        <v/>
      </c>
    </row>
    <row r="3264" spans="1:5" x14ac:dyDescent="0.25">
      <c r="A3264" t="s">
        <v>1757</v>
      </c>
      <c r="B3264" t="s">
        <v>1134</v>
      </c>
      <c r="E3264" t="str">
        <f>IF(OR(E3263="&lt;/routeDistribution&gt;",E3263=""),"",IFERROR(_xlfn.CONCAT(VLOOKUP(CI49,Route_Column!#REF!,2,FALSE),CHAR(34)," probability=",CHAR(34),1/CI$4,CHAR(34),CHAR(47),CHAR(62)),"&lt;/routeDistribution&gt;"))</f>
        <v/>
      </c>
    </row>
    <row r="3265" spans="1:5" x14ac:dyDescent="0.25">
      <c r="A3265" t="s">
        <v>1757</v>
      </c>
      <c r="B3265" t="s">
        <v>1137</v>
      </c>
      <c r="E3265" t="str">
        <f>IF(OR(E3264="&lt;/routeDistribution&gt;",E3264=""),"",IFERROR(_xlfn.CONCAT(VLOOKUP(CI50,Route_Column!#REF!,2,FALSE),CHAR(34)," probability=",CHAR(34),1/CI$4,CHAR(34),CHAR(47),CHAR(62)),"&lt;/routeDistribution&gt;"))</f>
        <v/>
      </c>
    </row>
    <row r="3266" spans="1:5" x14ac:dyDescent="0.25">
      <c r="A3266" t="s">
        <v>1757</v>
      </c>
      <c r="B3266" t="s">
        <v>1138</v>
      </c>
      <c r="E3266" t="str">
        <f>IF(OR(E3265="&lt;/routeDistribution&gt;",E3265=""),"",IFERROR(_xlfn.CONCAT(VLOOKUP(CI51,Route_Column!#REF!,2,FALSE),CHAR(34)," probability=",CHAR(34),1/CI$4,CHAR(34),CHAR(47),CHAR(62)),"&lt;/routeDistribution&gt;"))</f>
        <v/>
      </c>
    </row>
    <row r="3267" spans="1:5" x14ac:dyDescent="0.25">
      <c r="A3267" t="s">
        <v>1757</v>
      </c>
      <c r="B3267" t="s">
        <v>1145</v>
      </c>
      <c r="E3267" t="str">
        <f>IF(OR(E3266="&lt;/routeDistribution&gt;",E3266=""),"",IFERROR(_xlfn.CONCAT(VLOOKUP(CI52,Route_Column!#REF!,2,FALSE),CHAR(34)," probability=",CHAR(34),1/CI$4,CHAR(34),CHAR(47),CHAR(62)),"&lt;/routeDistribution&gt;"))</f>
        <v/>
      </c>
    </row>
    <row r="3268" spans="1:5" x14ac:dyDescent="0.25">
      <c r="A3268" t="s">
        <v>1757</v>
      </c>
      <c r="B3268" t="s">
        <v>1154</v>
      </c>
      <c r="E3268" t="str">
        <f>IF(OR(E3267="&lt;/routeDistribution&gt;",E3267=""),"",IFERROR(_xlfn.CONCAT(VLOOKUP(CI53,Route_Column!#REF!,2,FALSE),CHAR(34)," probability=",CHAR(34),1/CI$4,CHAR(34),CHAR(47),CHAR(62)),"&lt;/routeDistribution&gt;"))</f>
        <v/>
      </c>
    </row>
    <row r="3269" spans="1:5" x14ac:dyDescent="0.25">
      <c r="A3269" t="s">
        <v>1757</v>
      </c>
      <c r="B3269" t="s">
        <v>1171</v>
      </c>
      <c r="E3269" t="str">
        <f>IF(OR(E3268="&lt;/routeDistribution&gt;",E3268=""),"",IFERROR(_xlfn.CONCAT(VLOOKUP(CI54,Route_Column!#REF!,2,FALSE),CHAR(34)," probability=",CHAR(34),1/CI$4,CHAR(34),CHAR(47),CHAR(62)),"&lt;/routeDistribution&gt;"))</f>
        <v/>
      </c>
    </row>
    <row r="3270" spans="1:5" x14ac:dyDescent="0.25">
      <c r="A3270" t="s">
        <v>1757</v>
      </c>
      <c r="B3270" t="s">
        <v>1180</v>
      </c>
      <c r="E3270" t="str">
        <f>IF(OR(E3269="&lt;/routeDistribution&gt;",E3269=""),"",IFERROR(_xlfn.CONCAT(VLOOKUP(CI55,Route_Column!#REF!,2,FALSE),CHAR(34)," probability=",CHAR(34),1/CI$4,CHAR(34),CHAR(47),CHAR(62)),"&lt;/routeDistribution&gt;"))</f>
        <v/>
      </c>
    </row>
    <row r="3271" spans="1:5" x14ac:dyDescent="0.25">
      <c r="A3271" t="s">
        <v>1757</v>
      </c>
      <c r="B3271" t="s">
        <v>1181</v>
      </c>
      <c r="E3271" t="str">
        <f>IF(OR(E3270="&lt;/routeDistribution&gt;",E3270=""),"",IFERROR(_xlfn.CONCAT(VLOOKUP(CI56,Route_Column!#REF!,2,FALSE),CHAR(34)," probability=",CHAR(34),1/CI$4,CHAR(34),CHAR(47),CHAR(62)),"&lt;/routeDistribution&gt;"))</f>
        <v/>
      </c>
    </row>
    <row r="3272" spans="1:5" x14ac:dyDescent="0.25">
      <c r="A3272" t="s">
        <v>1757</v>
      </c>
      <c r="B3272" t="s">
        <v>1182</v>
      </c>
      <c r="E3272" t="str">
        <f>IF(OR(E3271="&lt;/routeDistribution&gt;",E3271=""),"",IFERROR(_xlfn.CONCAT(VLOOKUP(CI57,Route_Column!#REF!,2,FALSE),CHAR(34)," probability=",CHAR(34),1/CI$4,CHAR(34),CHAR(47),CHAR(62)),"&lt;/routeDistribution&gt;"))</f>
        <v/>
      </c>
    </row>
    <row r="3273" spans="1:5" x14ac:dyDescent="0.25">
      <c r="A3273" t="s">
        <v>1757</v>
      </c>
      <c r="B3273" t="s">
        <v>1183</v>
      </c>
      <c r="E3273" t="str">
        <f>IF(OR(E3272="&lt;/routeDistribution&gt;",E3272=""),"",IFERROR(_xlfn.CONCAT(VLOOKUP(CI58,Route_Column!#REF!,2,FALSE),CHAR(34)," probability=",CHAR(34),1/CI$4,CHAR(34),CHAR(47),CHAR(62)),"&lt;/routeDistribution&gt;"))</f>
        <v/>
      </c>
    </row>
    <row r="3274" spans="1:5" x14ac:dyDescent="0.25">
      <c r="A3274" t="s">
        <v>1757</v>
      </c>
      <c r="B3274" t="s">
        <v>1184</v>
      </c>
      <c r="E3274" t="str">
        <f>IF(OR(E3273="&lt;/routeDistribution&gt;",E3273=""),"",IFERROR(_xlfn.CONCAT(VLOOKUP(CI59,Route_Column!#REF!,2,FALSE),CHAR(34)," probability=",CHAR(34),1/CI$4,CHAR(34),CHAR(47),CHAR(62)),"&lt;/routeDistribution&gt;"))</f>
        <v/>
      </c>
    </row>
    <row r="3275" spans="1:5" x14ac:dyDescent="0.25">
      <c r="A3275" t="s">
        <v>1757</v>
      </c>
      <c r="B3275" t="s">
        <v>1185</v>
      </c>
      <c r="E3275" t="str">
        <f>IF(OR(E3274="&lt;/routeDistribution&gt;",E3274=""),"",IFERROR(_xlfn.CONCAT(VLOOKUP(CI60,Route_Column!#REF!,2,FALSE),CHAR(34)," probability=",CHAR(34),1/CI$4,CHAR(34),CHAR(47),CHAR(62)),"&lt;/routeDistribution&gt;"))</f>
        <v/>
      </c>
    </row>
    <row r="3276" spans="1:5" x14ac:dyDescent="0.25">
      <c r="A3276" t="s">
        <v>1757</v>
      </c>
      <c r="B3276" t="s">
        <v>1197</v>
      </c>
      <c r="E3276" t="str">
        <f>IF(OR(E3275="&lt;/routeDistribution&gt;",E3275=""),"",IFERROR(_xlfn.CONCAT(VLOOKUP(CI61,Route_Column!#REF!,2,FALSE),CHAR(34)," probability=",CHAR(34),1/CI$4,CHAR(34),CHAR(47),CHAR(62)),"&lt;/routeDistribution&gt;"))</f>
        <v/>
      </c>
    </row>
    <row r="3277" spans="1:5" x14ac:dyDescent="0.25">
      <c r="A3277" t="s">
        <v>1757</v>
      </c>
      <c r="B3277" t="s">
        <v>1201</v>
      </c>
      <c r="E3277" t="str">
        <f>IF(OR(E3276="&lt;/routeDistribution&gt;",E3276=""),"",IFERROR(_xlfn.CONCAT(VLOOKUP(CI62,Route_Column!#REF!,2,FALSE),CHAR(34)," probability=",CHAR(34),1/CI$4,CHAR(34),CHAR(47),CHAR(62)),"&lt;/routeDistribution&gt;"))</f>
        <v/>
      </c>
    </row>
    <row r="3278" spans="1:5" x14ac:dyDescent="0.25">
      <c r="A3278" t="s">
        <v>1757</v>
      </c>
      <c r="B3278" t="s">
        <v>1206</v>
      </c>
      <c r="E3278" t="str">
        <f>IF(OR(E3277="&lt;/routeDistribution&gt;",E3277=""),"",IFERROR(_xlfn.CONCAT(VLOOKUP(CI63,Route_Column!#REF!,2,FALSE),CHAR(34)," probability=",CHAR(34),1/CI$4,CHAR(34),CHAR(47),CHAR(62)),"&lt;/routeDistribution&gt;"))</f>
        <v/>
      </c>
    </row>
    <row r="3279" spans="1:5" x14ac:dyDescent="0.25">
      <c r="A3279" t="s">
        <v>1757</v>
      </c>
      <c r="B3279" t="s">
        <v>1225</v>
      </c>
      <c r="E3279" t="s">
        <v>2686</v>
      </c>
    </row>
    <row r="3280" spans="1:5" x14ac:dyDescent="0.25">
      <c r="A3280" t="s">
        <v>2124</v>
      </c>
      <c r="B3280" t="s">
        <v>1140</v>
      </c>
    </row>
    <row r="3281" spans="1:5" x14ac:dyDescent="0.25">
      <c r="A3281" t="s">
        <v>2124</v>
      </c>
      <c r="B3281" t="s">
        <v>1141</v>
      </c>
    </row>
    <row r="3282" spans="1:5" x14ac:dyDescent="0.25">
      <c r="A3282" t="s">
        <v>2124</v>
      </c>
      <c r="B3282" t="s">
        <v>1142</v>
      </c>
      <c r="E3282" t="str">
        <f>_xlfn.CONCAT($E$1,CH$2,$F$1)</f>
        <v>&lt;routeDistribution id="Archst-front-of-Cira-Center-09-RouteProbe"&gt;</v>
      </c>
    </row>
    <row r="3283" spans="1:5" x14ac:dyDescent="0.25">
      <c r="A3283" t="s">
        <v>2124</v>
      </c>
      <c r="B3283" t="s">
        <v>1150</v>
      </c>
      <c r="E3283" t="str">
        <f>IF(OR(E3282="&lt;/routeDistribution&gt;",E3282=""),"",IFERROR(_xlfn.CONCAT(VLOOKUP(CH5,Route_Column!#REF!,2,FALSE),CHAR(34)," probability=",CHAR(34),1/CH$4,CHAR(34),CHAR(47),CHAR(62)),"&lt;/routeDistribution&gt;"))</f>
        <v>&lt;/routeDistribution&gt;</v>
      </c>
    </row>
    <row r="3284" spans="1:5" x14ac:dyDescent="0.25">
      <c r="A3284" t="s">
        <v>2124</v>
      </c>
      <c r="B3284" t="s">
        <v>1151</v>
      </c>
      <c r="E3284" t="str">
        <f>IF(OR(E3283="&lt;/routeDistribution&gt;",E3283=""),"",IFERROR(_xlfn.CONCAT(VLOOKUP(CH6,Route_Column!#REF!,2,FALSE),CHAR(34)," probability=",CHAR(34),1/CH$4,CHAR(34),CHAR(47),CHAR(62)),"&lt;/routeDistribution&gt;"))</f>
        <v/>
      </c>
    </row>
    <row r="3285" spans="1:5" x14ac:dyDescent="0.25">
      <c r="A3285" t="s">
        <v>2124</v>
      </c>
      <c r="B3285" t="s">
        <v>1179</v>
      </c>
      <c r="E3285" t="str">
        <f>IF(OR(E3284="&lt;/routeDistribution&gt;",E3284=""),"",IFERROR(_xlfn.CONCAT(VLOOKUP(CH7,Route_Column!#REF!,2,FALSE),CHAR(34)," probability=",CHAR(34),1/CH$4,CHAR(34),CHAR(47),CHAR(62)),"&lt;/routeDistribution&gt;"))</f>
        <v/>
      </c>
    </row>
    <row r="3286" spans="1:5" x14ac:dyDescent="0.25">
      <c r="A3286" t="s">
        <v>2124</v>
      </c>
      <c r="B3286" t="s">
        <v>1183</v>
      </c>
      <c r="E3286" t="str">
        <f>IF(OR(E3285="&lt;/routeDistribution&gt;",E3285=""),"",IFERROR(_xlfn.CONCAT(VLOOKUP(CH8,Route_Column!#REF!,2,FALSE),CHAR(34)," probability=",CHAR(34),1/CH$4,CHAR(34),CHAR(47),CHAR(62)),"&lt;/routeDistribution&gt;"))</f>
        <v/>
      </c>
    </row>
    <row r="3287" spans="1:5" x14ac:dyDescent="0.25">
      <c r="A3287" t="s">
        <v>2124</v>
      </c>
      <c r="B3287" t="s">
        <v>1184</v>
      </c>
      <c r="E3287" t="str">
        <f>IF(OR(E3286="&lt;/routeDistribution&gt;",E3286=""),"",IFERROR(_xlfn.CONCAT(VLOOKUP(CH9,Route_Column!#REF!,2,FALSE),CHAR(34)," probability=",CHAR(34),1/CH$4,CHAR(34),CHAR(47),CHAR(62)),"&lt;/routeDistribution&gt;"))</f>
        <v/>
      </c>
    </row>
    <row r="3288" spans="1:5" x14ac:dyDescent="0.25">
      <c r="A3288" t="s">
        <v>2124</v>
      </c>
      <c r="B3288" t="s">
        <v>1205</v>
      </c>
      <c r="E3288" t="str">
        <f>IF(OR(E3287="&lt;/routeDistribution&gt;",E3287=""),"",IFERROR(_xlfn.CONCAT(VLOOKUP(CH10,Route_Column!#REF!,2,FALSE),CHAR(34)," probability=",CHAR(34),1/CH$4,CHAR(34),CHAR(47),CHAR(62)),"&lt;/routeDistribution&gt;"))</f>
        <v/>
      </c>
    </row>
    <row r="3289" spans="1:5" x14ac:dyDescent="0.25">
      <c r="A3289" t="s">
        <v>2124</v>
      </c>
      <c r="B3289" t="s">
        <v>1206</v>
      </c>
      <c r="E3289" t="str">
        <f>IF(OR(E3288="&lt;/routeDistribution&gt;",E3288=""),"",IFERROR(_xlfn.CONCAT(VLOOKUP(CH11,Route_Column!#REF!,2,FALSE),CHAR(34)," probability=",CHAR(34),1/CH$4,CHAR(34),CHAR(47),CHAR(62)),"&lt;/routeDistribution&gt;"))</f>
        <v/>
      </c>
    </row>
    <row r="3290" spans="1:5" x14ac:dyDescent="0.25">
      <c r="A3290" t="s">
        <v>2124</v>
      </c>
      <c r="B3290" t="s">
        <v>1207</v>
      </c>
      <c r="E3290" t="str">
        <f>IF(OR(E3289="&lt;/routeDistribution&gt;",E3289=""),"",IFERROR(_xlfn.CONCAT(VLOOKUP(CH12,Route_Column!#REF!,2,FALSE),CHAR(34)," probability=",CHAR(34),1/CH$4,CHAR(34),CHAR(47),CHAR(62)),"&lt;/routeDistribution&gt;"))</f>
        <v/>
      </c>
    </row>
    <row r="3291" spans="1:5" x14ac:dyDescent="0.25">
      <c r="A3291" t="s">
        <v>2124</v>
      </c>
      <c r="B3291" t="s">
        <v>1208</v>
      </c>
      <c r="E3291" t="str">
        <f>IF(OR(E3290="&lt;/routeDistribution&gt;",E3290=""),"",IFERROR(_xlfn.CONCAT(VLOOKUP(CH13,Route_Column!#REF!,2,FALSE),CHAR(34)," probability=",CHAR(34),1/CH$4,CHAR(34),CHAR(47),CHAR(62)),"&lt;/routeDistribution&gt;"))</f>
        <v/>
      </c>
    </row>
    <row r="3292" spans="1:5" x14ac:dyDescent="0.25">
      <c r="A3292" t="s">
        <v>2124</v>
      </c>
      <c r="B3292" t="s">
        <v>1224</v>
      </c>
      <c r="E3292" t="str">
        <f>IF(OR(E3291="&lt;/routeDistribution&gt;",E3291=""),"",IFERROR(_xlfn.CONCAT(VLOOKUP(CH14,Route_Column!#REF!,2,FALSE),CHAR(34)," probability=",CHAR(34),1/CH$4,CHAR(34),CHAR(47),CHAR(62)),"&lt;/routeDistribution&gt;"))</f>
        <v/>
      </c>
    </row>
    <row r="3293" spans="1:5" x14ac:dyDescent="0.25">
      <c r="A3293" t="s">
        <v>2124</v>
      </c>
      <c r="B3293" t="s">
        <v>1225</v>
      </c>
      <c r="E3293" t="str">
        <f>IF(OR(E3292="&lt;/routeDistribution&gt;",E3292=""),"",IFERROR(_xlfn.CONCAT(VLOOKUP(CH15,Route_Column!#REF!,2,FALSE),CHAR(34)," probability=",CHAR(34),1/CH$4,CHAR(34),CHAR(47),CHAR(62)),"&lt;/routeDistribution&gt;"))</f>
        <v/>
      </c>
    </row>
    <row r="3294" spans="1:5" x14ac:dyDescent="0.25">
      <c r="A3294" t="s">
        <v>2124</v>
      </c>
      <c r="B3294" t="s">
        <v>1232</v>
      </c>
      <c r="E3294" t="str">
        <f>IF(OR(E3293="&lt;/routeDistribution&gt;",E3293=""),"",IFERROR(_xlfn.CONCAT(VLOOKUP(CH16,Route_Column!#REF!,2,FALSE),CHAR(34)," probability=",CHAR(34),1/CH$4,CHAR(34),CHAR(47),CHAR(62)),"&lt;/routeDistribution&gt;"))</f>
        <v/>
      </c>
    </row>
    <row r="3295" spans="1:5" x14ac:dyDescent="0.25">
      <c r="A3295" t="s">
        <v>2124</v>
      </c>
      <c r="B3295" t="s">
        <v>1233</v>
      </c>
      <c r="E3295" t="str">
        <f>IF(OR(E3294="&lt;/routeDistribution&gt;",E3294=""),"",IFERROR(_xlfn.CONCAT(VLOOKUP(CH17,Route_Column!#REF!,2,FALSE),CHAR(34)," probability=",CHAR(34),1/CH$4,CHAR(34),CHAR(47),CHAR(62)),"&lt;/routeDistribution&gt;"))</f>
        <v/>
      </c>
    </row>
    <row r="3296" spans="1:5" x14ac:dyDescent="0.25">
      <c r="A3296" t="s">
        <v>2124</v>
      </c>
      <c r="B3296" t="s">
        <v>1234</v>
      </c>
      <c r="E3296" t="str">
        <f>IF(OR(E3295="&lt;/routeDistribution&gt;",E3295=""),"",IFERROR(_xlfn.CONCAT(VLOOKUP(CH18,Route_Column!#REF!,2,FALSE),CHAR(34)," probability=",CHAR(34),1/CH$4,CHAR(34),CHAR(47),CHAR(62)),"&lt;/routeDistribution&gt;"))</f>
        <v/>
      </c>
    </row>
    <row r="3297" spans="1:5" x14ac:dyDescent="0.25">
      <c r="A3297" t="s">
        <v>1758</v>
      </c>
      <c r="B3297" t="s">
        <v>1102</v>
      </c>
      <c r="E3297" t="str">
        <f>IF(OR(E3296="&lt;/routeDistribution&gt;",E3296=""),"",IFERROR(_xlfn.CONCAT(VLOOKUP(CH19,Route_Column!#REF!,2,FALSE),CHAR(34)," probability=",CHAR(34),1/CH$4,CHAR(34),CHAR(47),CHAR(62)),"&lt;/routeDistribution&gt;"))</f>
        <v/>
      </c>
    </row>
    <row r="3298" spans="1:5" x14ac:dyDescent="0.25">
      <c r="A3298" t="s">
        <v>1758</v>
      </c>
      <c r="B3298" t="s">
        <v>1110</v>
      </c>
      <c r="E3298" t="str">
        <f>IF(OR(E3297="&lt;/routeDistribution&gt;",E3297=""),"",IFERROR(_xlfn.CONCAT(VLOOKUP(CH20,Route_Column!#REF!,2,FALSE),CHAR(34)," probability=",CHAR(34),1/CH$4,CHAR(34),CHAR(47),CHAR(62)),"&lt;/routeDistribution&gt;"))</f>
        <v/>
      </c>
    </row>
    <row r="3299" spans="1:5" x14ac:dyDescent="0.25">
      <c r="A3299" t="s">
        <v>1758</v>
      </c>
      <c r="B3299" t="s">
        <v>1112</v>
      </c>
      <c r="E3299" t="str">
        <f>IF(OR(E3298="&lt;/routeDistribution&gt;",E3298=""),"",IFERROR(_xlfn.CONCAT(VLOOKUP(CH21,Route_Column!#REF!,2,FALSE),CHAR(34)," probability=",CHAR(34),1/CH$4,CHAR(34),CHAR(47),CHAR(62)),"&lt;/routeDistribution&gt;"))</f>
        <v/>
      </c>
    </row>
    <row r="3300" spans="1:5" x14ac:dyDescent="0.25">
      <c r="A3300" t="s">
        <v>1758</v>
      </c>
      <c r="B3300" t="s">
        <v>1130</v>
      </c>
      <c r="E3300" t="str">
        <f>IF(OR(E3299="&lt;/routeDistribution&gt;",E3299=""),"",IFERROR(_xlfn.CONCAT(VLOOKUP(CH22,Route_Column!#REF!,2,FALSE),CHAR(34)," probability=",CHAR(34),1/CH$4,CHAR(34),CHAR(47),CHAR(62)),"&lt;/routeDistribution&gt;"))</f>
        <v/>
      </c>
    </row>
    <row r="3301" spans="1:5" x14ac:dyDescent="0.25">
      <c r="A3301" t="s">
        <v>1758</v>
      </c>
      <c r="B3301" t="s">
        <v>1131</v>
      </c>
      <c r="E3301" t="str">
        <f>IF(OR(E3300="&lt;/routeDistribution&gt;",E3300=""),"",IFERROR(_xlfn.CONCAT(VLOOKUP(CH23,Route_Column!#REF!,2,FALSE),CHAR(34)," probability=",CHAR(34),1/CH$4,CHAR(34),CHAR(47),CHAR(62)),"&lt;/routeDistribution&gt;"))</f>
        <v/>
      </c>
    </row>
    <row r="3302" spans="1:5" x14ac:dyDescent="0.25">
      <c r="A3302" t="s">
        <v>1758</v>
      </c>
      <c r="B3302" t="s">
        <v>1132</v>
      </c>
      <c r="E3302" t="str">
        <f>IF(OR(E3301="&lt;/routeDistribution&gt;",E3301=""),"",IFERROR(_xlfn.CONCAT(VLOOKUP(CH24,Route_Column!#REF!,2,FALSE),CHAR(34)," probability=",CHAR(34),1/CH$4,CHAR(34),CHAR(47),CHAR(62)),"&lt;/routeDistribution&gt;"))</f>
        <v/>
      </c>
    </row>
    <row r="3303" spans="1:5" x14ac:dyDescent="0.25">
      <c r="A3303" t="s">
        <v>1758</v>
      </c>
      <c r="B3303" t="s">
        <v>1134</v>
      </c>
      <c r="E3303" t="str">
        <f>IF(OR(E3302="&lt;/routeDistribution&gt;",E3302=""),"",IFERROR(_xlfn.CONCAT(VLOOKUP(CH25,Route_Column!#REF!,2,FALSE),CHAR(34)," probability=",CHAR(34),1/CH$4,CHAR(34),CHAR(47),CHAR(62)),"&lt;/routeDistribution&gt;"))</f>
        <v/>
      </c>
    </row>
    <row r="3304" spans="1:5" x14ac:dyDescent="0.25">
      <c r="A3304" t="s">
        <v>1758</v>
      </c>
      <c r="B3304" t="s">
        <v>1137</v>
      </c>
      <c r="E3304" t="str">
        <f>IF(OR(E3303="&lt;/routeDistribution&gt;",E3303=""),"",IFERROR(_xlfn.CONCAT(VLOOKUP(CH26,Route_Column!#REF!,2,FALSE),CHAR(34)," probability=",CHAR(34),1/CH$4,CHAR(34),CHAR(47),CHAR(62)),"&lt;/routeDistribution&gt;"))</f>
        <v/>
      </c>
    </row>
    <row r="3305" spans="1:5" x14ac:dyDescent="0.25">
      <c r="A3305" t="s">
        <v>1758</v>
      </c>
      <c r="B3305" t="s">
        <v>1138</v>
      </c>
      <c r="E3305" t="str">
        <f>IF(OR(E3304="&lt;/routeDistribution&gt;",E3304=""),"",IFERROR(_xlfn.CONCAT(VLOOKUP(CH27,Route_Column!#REF!,2,FALSE),CHAR(34)," probability=",CHAR(34),1/CH$4,CHAR(34),CHAR(47),CHAR(62)),"&lt;/routeDistribution&gt;"))</f>
        <v/>
      </c>
    </row>
    <row r="3306" spans="1:5" x14ac:dyDescent="0.25">
      <c r="A3306" t="s">
        <v>1758</v>
      </c>
      <c r="B3306" t="s">
        <v>1145</v>
      </c>
      <c r="E3306" t="str">
        <f>IF(OR(E3305="&lt;/routeDistribution&gt;",E3305=""),"",IFERROR(_xlfn.CONCAT(VLOOKUP(CH28,Route_Column!#REF!,2,FALSE),CHAR(34)," probability=",CHAR(34),1/CH$4,CHAR(34),CHAR(47),CHAR(62)),"&lt;/routeDistribution&gt;"))</f>
        <v/>
      </c>
    </row>
    <row r="3307" spans="1:5" x14ac:dyDescent="0.25">
      <c r="A3307" t="s">
        <v>1758</v>
      </c>
      <c r="B3307" t="s">
        <v>1154</v>
      </c>
      <c r="E3307" t="str">
        <f>IF(OR(E3306="&lt;/routeDistribution&gt;",E3306=""),"",IFERROR(_xlfn.CONCAT(VLOOKUP(CH29,Route_Column!#REF!,2,FALSE),CHAR(34)," probability=",CHAR(34),1/CH$4,CHAR(34),CHAR(47),CHAR(62)),"&lt;/routeDistribution&gt;"))</f>
        <v/>
      </c>
    </row>
    <row r="3308" spans="1:5" x14ac:dyDescent="0.25">
      <c r="A3308" t="s">
        <v>1758</v>
      </c>
      <c r="B3308" t="s">
        <v>1171</v>
      </c>
      <c r="E3308" t="str">
        <f>IF(OR(E3307="&lt;/routeDistribution&gt;",E3307=""),"",IFERROR(_xlfn.CONCAT(VLOOKUP(CH30,Route_Column!#REF!,2,FALSE),CHAR(34)," probability=",CHAR(34),1/CH$4,CHAR(34),CHAR(47),CHAR(62)),"&lt;/routeDistribution&gt;"))</f>
        <v/>
      </c>
    </row>
    <row r="3309" spans="1:5" x14ac:dyDescent="0.25">
      <c r="A3309" t="s">
        <v>1758</v>
      </c>
      <c r="B3309" t="s">
        <v>1180</v>
      </c>
      <c r="E3309" t="str">
        <f>IF(OR(E3308="&lt;/routeDistribution&gt;",E3308=""),"",IFERROR(_xlfn.CONCAT(VLOOKUP(CH31,Route_Column!#REF!,2,FALSE),CHAR(34)," probability=",CHAR(34),1/CH$4,CHAR(34),CHAR(47),CHAR(62)),"&lt;/routeDistribution&gt;"))</f>
        <v/>
      </c>
    </row>
    <row r="3310" spans="1:5" x14ac:dyDescent="0.25">
      <c r="A3310" t="s">
        <v>1758</v>
      </c>
      <c r="B3310" t="s">
        <v>1181</v>
      </c>
      <c r="E3310" t="str">
        <f>IF(OR(E3309="&lt;/routeDistribution&gt;",E3309=""),"",IFERROR(_xlfn.CONCAT(VLOOKUP(CH32,Route_Column!#REF!,2,FALSE),CHAR(34)," probability=",CHAR(34),1/CH$4,CHAR(34),CHAR(47),CHAR(62)),"&lt;/routeDistribution&gt;"))</f>
        <v/>
      </c>
    </row>
    <row r="3311" spans="1:5" x14ac:dyDescent="0.25">
      <c r="A3311" t="s">
        <v>1758</v>
      </c>
      <c r="B3311" t="s">
        <v>1182</v>
      </c>
      <c r="E3311" t="str">
        <f>IF(OR(E3310="&lt;/routeDistribution&gt;",E3310=""),"",IFERROR(_xlfn.CONCAT(VLOOKUP(CH33,Route_Column!#REF!,2,FALSE),CHAR(34)," probability=",CHAR(34),1/CH$4,CHAR(34),CHAR(47),CHAR(62)),"&lt;/routeDistribution&gt;"))</f>
        <v/>
      </c>
    </row>
    <row r="3312" spans="1:5" x14ac:dyDescent="0.25">
      <c r="A3312" t="s">
        <v>1758</v>
      </c>
      <c r="B3312" t="s">
        <v>1183</v>
      </c>
      <c r="E3312" t="str">
        <f>IF(OR(E3311="&lt;/routeDistribution&gt;",E3311=""),"",IFERROR(_xlfn.CONCAT(VLOOKUP(CH34,Route_Column!#REF!,2,FALSE),CHAR(34)," probability=",CHAR(34),1/CH$4,CHAR(34),CHAR(47),CHAR(62)),"&lt;/routeDistribution&gt;"))</f>
        <v/>
      </c>
    </row>
    <row r="3313" spans="1:5" x14ac:dyDescent="0.25">
      <c r="A3313" t="s">
        <v>1758</v>
      </c>
      <c r="B3313" t="s">
        <v>1184</v>
      </c>
      <c r="E3313" t="str">
        <f>IF(OR(E3312="&lt;/routeDistribution&gt;",E3312=""),"",IFERROR(_xlfn.CONCAT(VLOOKUP(CH35,Route_Column!#REF!,2,FALSE),CHAR(34)," probability=",CHAR(34),1/CH$4,CHAR(34),CHAR(47),CHAR(62)),"&lt;/routeDistribution&gt;"))</f>
        <v/>
      </c>
    </row>
    <row r="3314" spans="1:5" x14ac:dyDescent="0.25">
      <c r="A3314" t="s">
        <v>1758</v>
      </c>
      <c r="B3314" t="s">
        <v>1185</v>
      </c>
      <c r="E3314" t="str">
        <f>IF(OR(E3313="&lt;/routeDistribution&gt;",E3313=""),"",IFERROR(_xlfn.CONCAT(VLOOKUP(CH36,Route_Column!#REF!,2,FALSE),CHAR(34)," probability=",CHAR(34),1/CH$4,CHAR(34),CHAR(47),CHAR(62)),"&lt;/routeDistribution&gt;"))</f>
        <v/>
      </c>
    </row>
    <row r="3315" spans="1:5" x14ac:dyDescent="0.25">
      <c r="A3315" t="s">
        <v>1758</v>
      </c>
      <c r="B3315" t="s">
        <v>1197</v>
      </c>
      <c r="E3315" t="str">
        <f>IF(OR(E3314="&lt;/routeDistribution&gt;",E3314=""),"",IFERROR(_xlfn.CONCAT(VLOOKUP(CH37,Route_Column!#REF!,2,FALSE),CHAR(34)," probability=",CHAR(34),1/CH$4,CHAR(34),CHAR(47),CHAR(62)),"&lt;/routeDistribution&gt;"))</f>
        <v/>
      </c>
    </row>
    <row r="3316" spans="1:5" x14ac:dyDescent="0.25">
      <c r="A3316" t="s">
        <v>1758</v>
      </c>
      <c r="B3316" t="s">
        <v>1201</v>
      </c>
      <c r="E3316" t="str">
        <f>IF(OR(E3315="&lt;/routeDistribution&gt;",E3315=""),"",IFERROR(_xlfn.CONCAT(VLOOKUP(CH38,Route_Column!#REF!,2,FALSE),CHAR(34)," probability=",CHAR(34),1/CH$4,CHAR(34),CHAR(47),CHAR(62)),"&lt;/routeDistribution&gt;"))</f>
        <v/>
      </c>
    </row>
    <row r="3317" spans="1:5" x14ac:dyDescent="0.25">
      <c r="A3317" t="s">
        <v>1758</v>
      </c>
      <c r="B3317" t="s">
        <v>1206</v>
      </c>
      <c r="E3317" t="str">
        <f>IF(OR(E3316="&lt;/routeDistribution&gt;",E3316=""),"",IFERROR(_xlfn.CONCAT(VLOOKUP(CH39,Route_Column!#REF!,2,FALSE),CHAR(34)," probability=",CHAR(34),1/CH$4,CHAR(34),CHAR(47),CHAR(62)),"&lt;/routeDistribution&gt;"))</f>
        <v/>
      </c>
    </row>
    <row r="3318" spans="1:5" x14ac:dyDescent="0.25">
      <c r="A3318" t="s">
        <v>1758</v>
      </c>
      <c r="B3318" t="s">
        <v>1225</v>
      </c>
      <c r="E3318" t="str">
        <f>IF(OR(E3317="&lt;/routeDistribution&gt;",E3317=""),"",IFERROR(_xlfn.CONCAT(VLOOKUP(CH40,Route_Column!#REF!,2,FALSE),CHAR(34)," probability=",CHAR(34),1/CH$4,CHAR(34),CHAR(47),CHAR(62)),"&lt;/routeDistribution&gt;"))</f>
        <v/>
      </c>
    </row>
    <row r="3319" spans="1:5" x14ac:dyDescent="0.25">
      <c r="A3319" t="s">
        <v>1633</v>
      </c>
      <c r="B3319" t="s">
        <v>1098</v>
      </c>
      <c r="E3319" t="str">
        <f>IF(OR(E3318="&lt;/routeDistribution&gt;",E3318=""),"",IFERROR(_xlfn.CONCAT(VLOOKUP(CH41,Route_Column!#REF!,2,FALSE),CHAR(34)," probability=",CHAR(34),1/CH$4,CHAR(34),CHAR(47),CHAR(62)),"&lt;/routeDistribution&gt;"))</f>
        <v/>
      </c>
    </row>
    <row r="3320" spans="1:5" x14ac:dyDescent="0.25">
      <c r="A3320" t="s">
        <v>1633</v>
      </c>
      <c r="B3320" t="s">
        <v>1140</v>
      </c>
      <c r="E3320" t="str">
        <f>IF(OR(E3319="&lt;/routeDistribution&gt;",E3319=""),"",IFERROR(_xlfn.CONCAT(VLOOKUP(CH42,Route_Column!#REF!,2,FALSE),CHAR(34)," probability=",CHAR(34),1/CH$4,CHAR(34),CHAR(47),CHAR(62)),"&lt;/routeDistribution&gt;"))</f>
        <v/>
      </c>
    </row>
    <row r="3321" spans="1:5" x14ac:dyDescent="0.25">
      <c r="A3321" t="s">
        <v>1633</v>
      </c>
      <c r="B3321" t="s">
        <v>1141</v>
      </c>
      <c r="E3321" t="str">
        <f>IF(OR(E3320="&lt;/routeDistribution&gt;",E3320=""),"",IFERROR(_xlfn.CONCAT(VLOOKUP(CH43,Route_Column!#REF!,2,FALSE),CHAR(34)," probability=",CHAR(34),1/CH$4,CHAR(34),CHAR(47),CHAR(62)),"&lt;/routeDistribution&gt;"))</f>
        <v/>
      </c>
    </row>
    <row r="3322" spans="1:5" x14ac:dyDescent="0.25">
      <c r="A3322" t="s">
        <v>1633</v>
      </c>
      <c r="B3322" t="s">
        <v>1142</v>
      </c>
      <c r="E3322" t="str">
        <f>IF(OR(E3321="&lt;/routeDistribution&gt;",E3321=""),"",IFERROR(_xlfn.CONCAT(VLOOKUP(CH44,Route_Column!#REF!,2,FALSE),CHAR(34)," probability=",CHAR(34),1/CH$4,CHAR(34),CHAR(47),CHAR(62)),"&lt;/routeDistribution&gt;"))</f>
        <v/>
      </c>
    </row>
    <row r="3323" spans="1:5" x14ac:dyDescent="0.25">
      <c r="A3323" t="s">
        <v>1633</v>
      </c>
      <c r="B3323" t="s">
        <v>1150</v>
      </c>
      <c r="E3323" t="str">
        <f>IF(OR(E3322="&lt;/routeDistribution&gt;",E3322=""),"",IFERROR(_xlfn.CONCAT(VLOOKUP(CH45,Route_Column!#REF!,2,FALSE),CHAR(34)," probability=",CHAR(34),1/CH$4,CHAR(34),CHAR(47),CHAR(62)),"&lt;/routeDistribution&gt;"))</f>
        <v/>
      </c>
    </row>
    <row r="3324" spans="1:5" x14ac:dyDescent="0.25">
      <c r="A3324" t="s">
        <v>1633</v>
      </c>
      <c r="B3324" t="s">
        <v>1151</v>
      </c>
      <c r="E3324" t="str">
        <f>IF(OR(E3323="&lt;/routeDistribution&gt;",E3323=""),"",IFERROR(_xlfn.CONCAT(VLOOKUP(CH46,Route_Column!#REF!,2,FALSE),CHAR(34)," probability=",CHAR(34),1/CH$4,CHAR(34),CHAR(47),CHAR(62)),"&lt;/routeDistribution&gt;"))</f>
        <v/>
      </c>
    </row>
    <row r="3325" spans="1:5" x14ac:dyDescent="0.25">
      <c r="A3325" t="s">
        <v>1633</v>
      </c>
      <c r="B3325" t="s">
        <v>1179</v>
      </c>
      <c r="E3325" t="str">
        <f>IF(OR(E3324="&lt;/routeDistribution&gt;",E3324=""),"",IFERROR(_xlfn.CONCAT(VLOOKUP(CH47,Route_Column!#REF!,2,FALSE),CHAR(34)," probability=",CHAR(34),1/CH$4,CHAR(34),CHAR(47),CHAR(62)),"&lt;/routeDistribution&gt;"))</f>
        <v/>
      </c>
    </row>
    <row r="3326" spans="1:5" x14ac:dyDescent="0.25">
      <c r="A3326" t="s">
        <v>1633</v>
      </c>
      <c r="B3326" t="s">
        <v>1183</v>
      </c>
      <c r="E3326" t="str">
        <f>IF(OR(E3325="&lt;/routeDistribution&gt;",E3325=""),"",IFERROR(_xlfn.CONCAT(VLOOKUP(CH48,Route_Column!#REF!,2,FALSE),CHAR(34)," probability=",CHAR(34),1/CH$4,CHAR(34),CHAR(47),CHAR(62)),"&lt;/routeDistribution&gt;"))</f>
        <v/>
      </c>
    </row>
    <row r="3327" spans="1:5" x14ac:dyDescent="0.25">
      <c r="A3327" t="s">
        <v>1633</v>
      </c>
      <c r="B3327" t="s">
        <v>1184</v>
      </c>
      <c r="E3327" t="str">
        <f>IF(OR(E3326="&lt;/routeDistribution&gt;",E3326=""),"",IFERROR(_xlfn.CONCAT(VLOOKUP(CH49,Route_Column!#REF!,2,FALSE),CHAR(34)," probability=",CHAR(34),1/CH$4,CHAR(34),CHAR(47),CHAR(62)),"&lt;/routeDistribution&gt;"))</f>
        <v/>
      </c>
    </row>
    <row r="3328" spans="1:5" x14ac:dyDescent="0.25">
      <c r="A3328" t="s">
        <v>1633</v>
      </c>
      <c r="B3328" t="s">
        <v>1185</v>
      </c>
      <c r="E3328" t="str">
        <f>IF(OR(E3327="&lt;/routeDistribution&gt;",E3327=""),"",IFERROR(_xlfn.CONCAT(VLOOKUP(CH50,Route_Column!#REF!,2,FALSE),CHAR(34)," probability=",CHAR(34),1/CH$4,CHAR(34),CHAR(47),CHAR(62)),"&lt;/routeDistribution&gt;"))</f>
        <v/>
      </c>
    </row>
    <row r="3329" spans="1:5" x14ac:dyDescent="0.25">
      <c r="A3329" t="s">
        <v>1633</v>
      </c>
      <c r="B3329" t="s">
        <v>1197</v>
      </c>
      <c r="E3329" t="str">
        <f>IF(OR(E3328="&lt;/routeDistribution&gt;",E3328=""),"",IFERROR(_xlfn.CONCAT(VLOOKUP(CH51,Route_Column!#REF!,2,FALSE),CHAR(34)," probability=",CHAR(34),1/CH$4,CHAR(34),CHAR(47),CHAR(62)),"&lt;/routeDistribution&gt;"))</f>
        <v/>
      </c>
    </row>
    <row r="3330" spans="1:5" x14ac:dyDescent="0.25">
      <c r="A3330" t="s">
        <v>1633</v>
      </c>
      <c r="B3330" t="s">
        <v>1205</v>
      </c>
      <c r="E3330" t="str">
        <f>IF(OR(E3329="&lt;/routeDistribution&gt;",E3329=""),"",IFERROR(_xlfn.CONCAT(VLOOKUP(CH52,Route_Column!#REF!,2,FALSE),CHAR(34)," probability=",CHAR(34),1/CH$4,CHAR(34),CHAR(47),CHAR(62)),"&lt;/routeDistribution&gt;"))</f>
        <v/>
      </c>
    </row>
    <row r="3331" spans="1:5" x14ac:dyDescent="0.25">
      <c r="A3331" t="s">
        <v>1633</v>
      </c>
      <c r="B3331" t="s">
        <v>1206</v>
      </c>
      <c r="E3331" t="str">
        <f>IF(OR(E3330="&lt;/routeDistribution&gt;",E3330=""),"",IFERROR(_xlfn.CONCAT(VLOOKUP(CH53,Route_Column!#REF!,2,FALSE),CHAR(34)," probability=",CHAR(34),1/CH$4,CHAR(34),CHAR(47),CHAR(62)),"&lt;/routeDistribution&gt;"))</f>
        <v/>
      </c>
    </row>
    <row r="3332" spans="1:5" x14ac:dyDescent="0.25">
      <c r="A3332" t="s">
        <v>1633</v>
      </c>
      <c r="B3332" t="s">
        <v>1207</v>
      </c>
      <c r="E3332" t="str">
        <f>IF(OR(E3331="&lt;/routeDistribution&gt;",E3331=""),"",IFERROR(_xlfn.CONCAT(VLOOKUP(CH54,Route_Column!#REF!,2,FALSE),CHAR(34)," probability=",CHAR(34),1/CH$4,CHAR(34),CHAR(47),CHAR(62)),"&lt;/routeDistribution&gt;"))</f>
        <v/>
      </c>
    </row>
    <row r="3333" spans="1:5" x14ac:dyDescent="0.25">
      <c r="A3333" t="s">
        <v>1633</v>
      </c>
      <c r="B3333" t="s">
        <v>1208</v>
      </c>
      <c r="E3333" t="str">
        <f>IF(OR(E3332="&lt;/routeDistribution&gt;",E3332=""),"",IFERROR(_xlfn.CONCAT(VLOOKUP(CH55,Route_Column!#REF!,2,FALSE),CHAR(34)," probability=",CHAR(34),1/CH$4,CHAR(34),CHAR(47),CHAR(62)),"&lt;/routeDistribution&gt;"))</f>
        <v/>
      </c>
    </row>
    <row r="3334" spans="1:5" x14ac:dyDescent="0.25">
      <c r="A3334" t="s">
        <v>1633</v>
      </c>
      <c r="B3334" t="s">
        <v>1224</v>
      </c>
      <c r="E3334" t="str">
        <f>IF(OR(E3333="&lt;/routeDistribution&gt;",E3333=""),"",IFERROR(_xlfn.CONCAT(VLOOKUP(CH56,Route_Column!#REF!,2,FALSE),CHAR(34)," probability=",CHAR(34),1/CH$4,CHAR(34),CHAR(47),CHAR(62)),"&lt;/routeDistribution&gt;"))</f>
        <v/>
      </c>
    </row>
    <row r="3335" spans="1:5" x14ac:dyDescent="0.25">
      <c r="A3335" t="s">
        <v>1633</v>
      </c>
      <c r="B3335" t="s">
        <v>1225</v>
      </c>
      <c r="E3335" t="str">
        <f>IF(OR(E3334="&lt;/routeDistribution&gt;",E3334=""),"",IFERROR(_xlfn.CONCAT(VLOOKUP(CH57,Route_Column!#REF!,2,FALSE),CHAR(34)," probability=",CHAR(34),1/CH$4,CHAR(34),CHAR(47),CHAR(62)),"&lt;/routeDistribution&gt;"))</f>
        <v/>
      </c>
    </row>
    <row r="3336" spans="1:5" x14ac:dyDescent="0.25">
      <c r="A3336" t="s">
        <v>1633</v>
      </c>
      <c r="B3336" t="s">
        <v>1232</v>
      </c>
      <c r="E3336" t="str">
        <f>IF(OR(E3335="&lt;/routeDistribution&gt;",E3335=""),"",IFERROR(_xlfn.CONCAT(VLOOKUP(CH58,Route_Column!#REF!,2,FALSE),CHAR(34)," probability=",CHAR(34),1/CH$4,CHAR(34),CHAR(47),CHAR(62)),"&lt;/routeDistribution&gt;"))</f>
        <v/>
      </c>
    </row>
    <row r="3337" spans="1:5" x14ac:dyDescent="0.25">
      <c r="A3337" t="s">
        <v>1633</v>
      </c>
      <c r="B3337" t="s">
        <v>1233</v>
      </c>
      <c r="E3337" t="str">
        <f>IF(OR(E3336="&lt;/routeDistribution&gt;",E3336=""),"",IFERROR(_xlfn.CONCAT(VLOOKUP(CH59,Route_Column!#REF!,2,FALSE),CHAR(34)," probability=",CHAR(34),1/CH$4,CHAR(34),CHAR(47),CHAR(62)),"&lt;/routeDistribution&gt;"))</f>
        <v/>
      </c>
    </row>
    <row r="3338" spans="1:5" x14ac:dyDescent="0.25">
      <c r="A3338" t="s">
        <v>1633</v>
      </c>
      <c r="B3338" t="s">
        <v>1234</v>
      </c>
      <c r="E3338" t="str">
        <f>IF(OR(E3337="&lt;/routeDistribution&gt;",E3337=""),"",IFERROR(_xlfn.CONCAT(VLOOKUP(CH60,Route_Column!#REF!,2,FALSE),CHAR(34)," probability=",CHAR(34),1/CH$4,CHAR(34),CHAR(47),CHAR(62)),"&lt;/routeDistribution&gt;"))</f>
        <v/>
      </c>
    </row>
    <row r="3339" spans="1:5" x14ac:dyDescent="0.25">
      <c r="A3339" t="s">
        <v>1634</v>
      </c>
      <c r="B3339" t="s">
        <v>1098</v>
      </c>
      <c r="E3339" t="str">
        <f>IF(OR(E3338="&lt;/routeDistribution&gt;",E3338=""),"",IFERROR(_xlfn.CONCAT(VLOOKUP(CH61,Route_Column!#REF!,2,FALSE),CHAR(34)," probability=",CHAR(34),1/CH$4,CHAR(34),CHAR(47),CHAR(62)),"&lt;/routeDistribution&gt;"))</f>
        <v/>
      </c>
    </row>
    <row r="3340" spans="1:5" x14ac:dyDescent="0.25">
      <c r="A3340" t="s">
        <v>1634</v>
      </c>
      <c r="B3340" t="s">
        <v>1140</v>
      </c>
      <c r="E3340" t="str">
        <f>IF(OR(E3339="&lt;/routeDistribution&gt;",E3339=""),"",IFERROR(_xlfn.CONCAT(VLOOKUP(CH62,Route_Column!#REF!,2,FALSE),CHAR(34)," probability=",CHAR(34),1/CH$4,CHAR(34),CHAR(47),CHAR(62)),"&lt;/routeDistribution&gt;"))</f>
        <v/>
      </c>
    </row>
    <row r="3341" spans="1:5" x14ac:dyDescent="0.25">
      <c r="A3341" t="s">
        <v>1634</v>
      </c>
      <c r="B3341" t="s">
        <v>1141</v>
      </c>
      <c r="E3341" t="str">
        <f>IF(OR(E3340="&lt;/routeDistribution&gt;",E3340=""),"",IFERROR(_xlfn.CONCAT(VLOOKUP(CH63,Route_Column!#REF!,2,FALSE),CHAR(34)," probability=",CHAR(34),1/CH$4,CHAR(34),CHAR(47),CHAR(62)),"&lt;/routeDistribution&gt;"))</f>
        <v/>
      </c>
    </row>
    <row r="3342" spans="1:5" x14ac:dyDescent="0.25">
      <c r="A3342" t="s">
        <v>1634</v>
      </c>
      <c r="B3342" t="s">
        <v>1142</v>
      </c>
      <c r="E3342" t="s">
        <v>2686</v>
      </c>
    </row>
    <row r="3343" spans="1:5" x14ac:dyDescent="0.25">
      <c r="A3343" t="s">
        <v>1634</v>
      </c>
      <c r="B3343" t="s">
        <v>1150</v>
      </c>
    </row>
    <row r="3344" spans="1:5" x14ac:dyDescent="0.25">
      <c r="A3344" t="s">
        <v>1634</v>
      </c>
      <c r="B3344" t="s">
        <v>1151</v>
      </c>
    </row>
    <row r="3345" spans="1:5" x14ac:dyDescent="0.25">
      <c r="A3345" t="s">
        <v>1634</v>
      </c>
      <c r="B3345" t="s">
        <v>1179</v>
      </c>
      <c r="E3345" t="str">
        <f>_xlfn.CONCAT($E$1,CG$2,$F$1)</f>
        <v>&lt;routeDistribution id="MarketST-40th-to-39th-WB-2009-RouteProbe"&gt;</v>
      </c>
    </row>
    <row r="3346" spans="1:5" x14ac:dyDescent="0.25">
      <c r="A3346" t="s">
        <v>1634</v>
      </c>
      <c r="B3346" t="s">
        <v>1183</v>
      </c>
      <c r="E3346" t="str">
        <f>IF(OR(E3345="&lt;/routeDistribution&gt;",E3345=""),"",IFERROR(_xlfn.CONCAT(VLOOKUP(CG5,Route_Column!#REF!,2,FALSE),CHAR(34)," probability=",CHAR(34),1/CG$4,CHAR(34),CHAR(47),CHAR(62)),"&lt;/routeDistribution&gt;"))</f>
        <v>&lt;/routeDistribution&gt;</v>
      </c>
    </row>
    <row r="3347" spans="1:5" x14ac:dyDescent="0.25">
      <c r="A3347" t="s">
        <v>1634</v>
      </c>
      <c r="B3347" t="s">
        <v>1184</v>
      </c>
      <c r="E3347" t="str">
        <f>IF(OR(E3346="&lt;/routeDistribution&gt;",E3346=""),"",IFERROR(_xlfn.CONCAT(VLOOKUP(CG6,Route_Column!#REF!,2,FALSE),CHAR(34)," probability=",CHAR(34),1/CG$4,CHAR(34),CHAR(47),CHAR(62)),"&lt;/routeDistribution&gt;"))</f>
        <v/>
      </c>
    </row>
    <row r="3348" spans="1:5" x14ac:dyDescent="0.25">
      <c r="A3348" t="s">
        <v>1634</v>
      </c>
      <c r="B3348" t="s">
        <v>1185</v>
      </c>
      <c r="E3348" t="str">
        <f>IF(OR(E3347="&lt;/routeDistribution&gt;",E3347=""),"",IFERROR(_xlfn.CONCAT(VLOOKUP(CG7,Route_Column!#REF!,2,FALSE),CHAR(34)," probability=",CHAR(34),1/CG$4,CHAR(34),CHAR(47),CHAR(62)),"&lt;/routeDistribution&gt;"))</f>
        <v/>
      </c>
    </row>
    <row r="3349" spans="1:5" x14ac:dyDescent="0.25">
      <c r="A3349" t="s">
        <v>1634</v>
      </c>
      <c r="B3349" t="s">
        <v>1197</v>
      </c>
      <c r="E3349" t="str">
        <f>IF(OR(E3348="&lt;/routeDistribution&gt;",E3348=""),"",IFERROR(_xlfn.CONCAT(VLOOKUP(CG8,Route_Column!#REF!,2,FALSE),CHAR(34)," probability=",CHAR(34),1/CG$4,CHAR(34),CHAR(47),CHAR(62)),"&lt;/routeDistribution&gt;"))</f>
        <v/>
      </c>
    </row>
    <row r="3350" spans="1:5" x14ac:dyDescent="0.25">
      <c r="A3350" t="s">
        <v>1634</v>
      </c>
      <c r="B3350" t="s">
        <v>1205</v>
      </c>
      <c r="E3350" t="str">
        <f>IF(OR(E3349="&lt;/routeDistribution&gt;",E3349=""),"",IFERROR(_xlfn.CONCAT(VLOOKUP(CG9,Route_Column!#REF!,2,FALSE),CHAR(34)," probability=",CHAR(34),1/CG$4,CHAR(34),CHAR(47),CHAR(62)),"&lt;/routeDistribution&gt;"))</f>
        <v/>
      </c>
    </row>
    <row r="3351" spans="1:5" x14ac:dyDescent="0.25">
      <c r="A3351" t="s">
        <v>1634</v>
      </c>
      <c r="B3351" t="s">
        <v>1206</v>
      </c>
      <c r="E3351" t="str">
        <f>IF(OR(E3350="&lt;/routeDistribution&gt;",E3350=""),"",IFERROR(_xlfn.CONCAT(VLOOKUP(CG10,Route_Column!#REF!,2,FALSE),CHAR(34)," probability=",CHAR(34),1/CG$4,CHAR(34),CHAR(47),CHAR(62)),"&lt;/routeDistribution&gt;"))</f>
        <v/>
      </c>
    </row>
    <row r="3352" spans="1:5" x14ac:dyDescent="0.25">
      <c r="A3352" t="s">
        <v>1634</v>
      </c>
      <c r="B3352" t="s">
        <v>1207</v>
      </c>
      <c r="E3352" t="str">
        <f>IF(OR(E3351="&lt;/routeDistribution&gt;",E3351=""),"",IFERROR(_xlfn.CONCAT(VLOOKUP(CG11,Route_Column!#REF!,2,FALSE),CHAR(34)," probability=",CHAR(34),1/CG$4,CHAR(34),CHAR(47),CHAR(62)),"&lt;/routeDistribution&gt;"))</f>
        <v/>
      </c>
    </row>
    <row r="3353" spans="1:5" x14ac:dyDescent="0.25">
      <c r="A3353" t="s">
        <v>1634</v>
      </c>
      <c r="B3353" t="s">
        <v>1208</v>
      </c>
      <c r="E3353" t="str">
        <f>IF(OR(E3352="&lt;/routeDistribution&gt;",E3352=""),"",IFERROR(_xlfn.CONCAT(VLOOKUP(CG12,Route_Column!#REF!,2,FALSE),CHAR(34)," probability=",CHAR(34),1/CG$4,CHAR(34),CHAR(47),CHAR(62)),"&lt;/routeDistribution&gt;"))</f>
        <v/>
      </c>
    </row>
    <row r="3354" spans="1:5" x14ac:dyDescent="0.25">
      <c r="A3354" t="s">
        <v>1634</v>
      </c>
      <c r="B3354" t="s">
        <v>1224</v>
      </c>
      <c r="E3354" t="str">
        <f>IF(OR(E3353="&lt;/routeDistribution&gt;",E3353=""),"",IFERROR(_xlfn.CONCAT(VLOOKUP(CG13,Route_Column!#REF!,2,FALSE),CHAR(34)," probability=",CHAR(34),1/CG$4,CHAR(34),CHAR(47),CHAR(62)),"&lt;/routeDistribution&gt;"))</f>
        <v/>
      </c>
    </row>
    <row r="3355" spans="1:5" x14ac:dyDescent="0.25">
      <c r="A3355" t="s">
        <v>1634</v>
      </c>
      <c r="B3355" t="s">
        <v>1225</v>
      </c>
      <c r="E3355" t="str">
        <f>IF(OR(E3354="&lt;/routeDistribution&gt;",E3354=""),"",IFERROR(_xlfn.CONCAT(VLOOKUP(CG14,Route_Column!#REF!,2,FALSE),CHAR(34)," probability=",CHAR(34),1/CG$4,CHAR(34),CHAR(47),CHAR(62)),"&lt;/routeDistribution&gt;"))</f>
        <v/>
      </c>
    </row>
    <row r="3356" spans="1:5" x14ac:dyDescent="0.25">
      <c r="A3356" t="s">
        <v>1634</v>
      </c>
      <c r="B3356" t="s">
        <v>1232</v>
      </c>
      <c r="E3356" t="str">
        <f>IF(OR(E3355="&lt;/routeDistribution&gt;",E3355=""),"",IFERROR(_xlfn.CONCAT(VLOOKUP(CG15,Route_Column!#REF!,2,FALSE),CHAR(34)," probability=",CHAR(34),1/CG$4,CHAR(34),CHAR(47),CHAR(62)),"&lt;/routeDistribution&gt;"))</f>
        <v/>
      </c>
    </row>
    <row r="3357" spans="1:5" x14ac:dyDescent="0.25">
      <c r="A3357" t="s">
        <v>1634</v>
      </c>
      <c r="B3357" t="s">
        <v>1233</v>
      </c>
      <c r="E3357" t="str">
        <f>IF(OR(E3356="&lt;/routeDistribution&gt;",E3356=""),"",IFERROR(_xlfn.CONCAT(VLOOKUP(CG16,Route_Column!#REF!,2,FALSE),CHAR(34)," probability=",CHAR(34),1/CG$4,CHAR(34),CHAR(47),CHAR(62)),"&lt;/routeDistribution&gt;"))</f>
        <v/>
      </c>
    </row>
    <row r="3358" spans="1:5" x14ac:dyDescent="0.25">
      <c r="A3358" t="s">
        <v>1634</v>
      </c>
      <c r="B3358" t="s">
        <v>1234</v>
      </c>
      <c r="E3358" t="str">
        <f>IF(OR(E3357="&lt;/routeDistribution&gt;",E3357=""),"",IFERROR(_xlfn.CONCAT(VLOOKUP(CG17,Route_Column!#REF!,2,FALSE),CHAR(34)," probability=",CHAR(34),1/CG$4,CHAR(34),CHAR(47),CHAR(62)),"&lt;/routeDistribution&gt;"))</f>
        <v/>
      </c>
    </row>
    <row r="3359" spans="1:5" x14ac:dyDescent="0.25">
      <c r="A3359" t="s">
        <v>2120</v>
      </c>
      <c r="B3359" t="s">
        <v>1140</v>
      </c>
      <c r="E3359" t="str">
        <f>IF(OR(E3358="&lt;/routeDistribution&gt;",E3358=""),"",IFERROR(_xlfn.CONCAT(VLOOKUP(CG18,Route_Column!#REF!,2,FALSE),CHAR(34)," probability=",CHAR(34),1/CG$4,CHAR(34),CHAR(47),CHAR(62)),"&lt;/routeDistribution&gt;"))</f>
        <v/>
      </c>
    </row>
    <row r="3360" spans="1:5" x14ac:dyDescent="0.25">
      <c r="A3360" t="s">
        <v>2120</v>
      </c>
      <c r="B3360" t="s">
        <v>1141</v>
      </c>
      <c r="E3360" t="str">
        <f>IF(OR(E3359="&lt;/routeDistribution&gt;",E3359=""),"",IFERROR(_xlfn.CONCAT(VLOOKUP(CG19,Route_Column!#REF!,2,FALSE),CHAR(34)," probability=",CHAR(34),1/CG$4,CHAR(34),CHAR(47),CHAR(62)),"&lt;/routeDistribution&gt;"))</f>
        <v/>
      </c>
    </row>
    <row r="3361" spans="1:5" x14ac:dyDescent="0.25">
      <c r="A3361" t="s">
        <v>2120</v>
      </c>
      <c r="B3361" t="s">
        <v>1142</v>
      </c>
      <c r="E3361" t="str">
        <f>IF(OR(E3360="&lt;/routeDistribution&gt;",E3360=""),"",IFERROR(_xlfn.CONCAT(VLOOKUP(CG20,Route_Column!#REF!,2,FALSE),CHAR(34)," probability=",CHAR(34),1/CG$4,CHAR(34),CHAR(47),CHAR(62)),"&lt;/routeDistribution&gt;"))</f>
        <v/>
      </c>
    </row>
    <row r="3362" spans="1:5" x14ac:dyDescent="0.25">
      <c r="A3362" t="s">
        <v>2120</v>
      </c>
      <c r="B3362" t="s">
        <v>1150</v>
      </c>
      <c r="E3362" t="str">
        <f>IF(OR(E3361="&lt;/routeDistribution&gt;",E3361=""),"",IFERROR(_xlfn.CONCAT(VLOOKUP(CG21,Route_Column!#REF!,2,FALSE),CHAR(34)," probability=",CHAR(34),1/CG$4,CHAR(34),CHAR(47),CHAR(62)),"&lt;/routeDistribution&gt;"))</f>
        <v/>
      </c>
    </row>
    <row r="3363" spans="1:5" x14ac:dyDescent="0.25">
      <c r="A3363" t="s">
        <v>2120</v>
      </c>
      <c r="B3363" t="s">
        <v>1151</v>
      </c>
      <c r="E3363" t="str">
        <f>IF(OR(E3362="&lt;/routeDistribution&gt;",E3362=""),"",IFERROR(_xlfn.CONCAT(VLOOKUP(CG22,Route_Column!#REF!,2,FALSE),CHAR(34)," probability=",CHAR(34),1/CG$4,CHAR(34),CHAR(47),CHAR(62)),"&lt;/routeDistribution&gt;"))</f>
        <v/>
      </c>
    </row>
    <row r="3364" spans="1:5" x14ac:dyDescent="0.25">
      <c r="A3364" t="s">
        <v>2120</v>
      </c>
      <c r="B3364" t="s">
        <v>1179</v>
      </c>
      <c r="E3364" t="str">
        <f>IF(OR(E3363="&lt;/routeDistribution&gt;",E3363=""),"",IFERROR(_xlfn.CONCAT(VLOOKUP(CG23,Route_Column!#REF!,2,FALSE),CHAR(34)," probability=",CHAR(34),1/CG$4,CHAR(34),CHAR(47),CHAR(62)),"&lt;/routeDistribution&gt;"))</f>
        <v/>
      </c>
    </row>
    <row r="3365" spans="1:5" x14ac:dyDescent="0.25">
      <c r="A3365" t="s">
        <v>2120</v>
      </c>
      <c r="B3365" t="s">
        <v>1183</v>
      </c>
      <c r="E3365" t="str">
        <f>IF(OR(E3364="&lt;/routeDistribution&gt;",E3364=""),"",IFERROR(_xlfn.CONCAT(VLOOKUP(CG24,Route_Column!#REF!,2,FALSE),CHAR(34)," probability=",CHAR(34),1/CG$4,CHAR(34),CHAR(47),CHAR(62)),"&lt;/routeDistribution&gt;"))</f>
        <v/>
      </c>
    </row>
    <row r="3366" spans="1:5" x14ac:dyDescent="0.25">
      <c r="A3366" t="s">
        <v>2120</v>
      </c>
      <c r="B3366" t="s">
        <v>1184</v>
      </c>
      <c r="E3366" t="str">
        <f>IF(OR(E3365="&lt;/routeDistribution&gt;",E3365=""),"",IFERROR(_xlfn.CONCAT(VLOOKUP(CG25,Route_Column!#REF!,2,FALSE),CHAR(34)," probability=",CHAR(34),1/CG$4,CHAR(34),CHAR(47),CHAR(62)),"&lt;/routeDistribution&gt;"))</f>
        <v/>
      </c>
    </row>
    <row r="3367" spans="1:5" x14ac:dyDescent="0.25">
      <c r="A3367" t="s">
        <v>2120</v>
      </c>
      <c r="B3367" t="s">
        <v>1205</v>
      </c>
      <c r="E3367" t="str">
        <f>IF(OR(E3366="&lt;/routeDistribution&gt;",E3366=""),"",IFERROR(_xlfn.CONCAT(VLOOKUP(CG26,Route_Column!#REF!,2,FALSE),CHAR(34)," probability=",CHAR(34),1/CG$4,CHAR(34),CHAR(47),CHAR(62)),"&lt;/routeDistribution&gt;"))</f>
        <v/>
      </c>
    </row>
    <row r="3368" spans="1:5" x14ac:dyDescent="0.25">
      <c r="A3368" t="s">
        <v>2120</v>
      </c>
      <c r="B3368" t="s">
        <v>1206</v>
      </c>
      <c r="E3368" t="str">
        <f>IF(OR(E3367="&lt;/routeDistribution&gt;",E3367=""),"",IFERROR(_xlfn.CONCAT(VLOOKUP(CG27,Route_Column!#REF!,2,FALSE),CHAR(34)," probability=",CHAR(34),1/CG$4,CHAR(34),CHAR(47),CHAR(62)),"&lt;/routeDistribution&gt;"))</f>
        <v/>
      </c>
    </row>
    <row r="3369" spans="1:5" x14ac:dyDescent="0.25">
      <c r="A3369" t="s">
        <v>2120</v>
      </c>
      <c r="B3369" t="s">
        <v>1207</v>
      </c>
      <c r="E3369" t="str">
        <f>IF(OR(E3368="&lt;/routeDistribution&gt;",E3368=""),"",IFERROR(_xlfn.CONCAT(VLOOKUP(CG28,Route_Column!#REF!,2,FALSE),CHAR(34)," probability=",CHAR(34),1/CG$4,CHAR(34),CHAR(47),CHAR(62)),"&lt;/routeDistribution&gt;"))</f>
        <v/>
      </c>
    </row>
    <row r="3370" spans="1:5" x14ac:dyDescent="0.25">
      <c r="A3370" t="s">
        <v>2120</v>
      </c>
      <c r="B3370" t="s">
        <v>1208</v>
      </c>
      <c r="E3370" t="str">
        <f>IF(OR(E3369="&lt;/routeDistribution&gt;",E3369=""),"",IFERROR(_xlfn.CONCAT(VLOOKUP(CG29,Route_Column!#REF!,2,FALSE),CHAR(34)," probability=",CHAR(34),1/CG$4,CHAR(34),CHAR(47),CHAR(62)),"&lt;/routeDistribution&gt;"))</f>
        <v/>
      </c>
    </row>
    <row r="3371" spans="1:5" x14ac:dyDescent="0.25">
      <c r="A3371" t="s">
        <v>2120</v>
      </c>
      <c r="B3371" t="s">
        <v>1224</v>
      </c>
      <c r="E3371" t="str">
        <f>IF(OR(E3370="&lt;/routeDistribution&gt;",E3370=""),"",IFERROR(_xlfn.CONCAT(VLOOKUP(CG30,Route_Column!#REF!,2,FALSE),CHAR(34)," probability=",CHAR(34),1/CG$4,CHAR(34),CHAR(47),CHAR(62)),"&lt;/routeDistribution&gt;"))</f>
        <v/>
      </c>
    </row>
    <row r="3372" spans="1:5" x14ac:dyDescent="0.25">
      <c r="A3372" t="s">
        <v>2120</v>
      </c>
      <c r="B3372" t="s">
        <v>1225</v>
      </c>
      <c r="E3372" t="str">
        <f>IF(OR(E3371="&lt;/routeDistribution&gt;",E3371=""),"",IFERROR(_xlfn.CONCAT(VLOOKUP(CG31,Route_Column!#REF!,2,FALSE),CHAR(34)," probability=",CHAR(34),1/CG$4,CHAR(34),CHAR(47),CHAR(62)),"&lt;/routeDistribution&gt;"))</f>
        <v/>
      </c>
    </row>
    <row r="3373" spans="1:5" x14ac:dyDescent="0.25">
      <c r="A3373" t="s">
        <v>2120</v>
      </c>
      <c r="B3373" t="s">
        <v>1232</v>
      </c>
      <c r="E3373" t="str">
        <f>IF(OR(E3372="&lt;/routeDistribution&gt;",E3372=""),"",IFERROR(_xlfn.CONCAT(VLOOKUP(CG32,Route_Column!#REF!,2,FALSE),CHAR(34)," probability=",CHAR(34),1/CG$4,CHAR(34),CHAR(47),CHAR(62)),"&lt;/routeDistribution&gt;"))</f>
        <v/>
      </c>
    </row>
    <row r="3374" spans="1:5" x14ac:dyDescent="0.25">
      <c r="A3374" t="s">
        <v>2120</v>
      </c>
      <c r="B3374" t="s">
        <v>1233</v>
      </c>
      <c r="E3374" t="str">
        <f>IF(OR(E3373="&lt;/routeDistribution&gt;",E3373=""),"",IFERROR(_xlfn.CONCAT(VLOOKUP(CG33,Route_Column!#REF!,2,FALSE),CHAR(34)," probability=",CHAR(34),1/CG$4,CHAR(34),CHAR(47),CHAR(62)),"&lt;/routeDistribution&gt;"))</f>
        <v/>
      </c>
    </row>
    <row r="3375" spans="1:5" x14ac:dyDescent="0.25">
      <c r="A3375" t="s">
        <v>2120</v>
      </c>
      <c r="B3375" t="s">
        <v>1234</v>
      </c>
      <c r="E3375" t="str">
        <f>IF(OR(E3374="&lt;/routeDistribution&gt;",E3374=""),"",IFERROR(_xlfn.CONCAT(VLOOKUP(CG34,Route_Column!#REF!,2,FALSE),CHAR(34)," probability=",CHAR(34),1/CG$4,CHAR(34),CHAR(47),CHAR(62)),"&lt;/routeDistribution&gt;"))</f>
        <v/>
      </c>
    </row>
    <row r="3376" spans="1:5" x14ac:dyDescent="0.25">
      <c r="A3376" t="s">
        <v>2121</v>
      </c>
      <c r="B3376" t="s">
        <v>1140</v>
      </c>
      <c r="E3376" t="str">
        <f>IF(OR(E3375="&lt;/routeDistribution&gt;",E3375=""),"",IFERROR(_xlfn.CONCAT(VLOOKUP(CG35,Route_Column!#REF!,2,FALSE),CHAR(34)," probability=",CHAR(34),1/CG$4,CHAR(34),CHAR(47),CHAR(62)),"&lt;/routeDistribution&gt;"))</f>
        <v/>
      </c>
    </row>
    <row r="3377" spans="1:5" x14ac:dyDescent="0.25">
      <c r="A3377" t="s">
        <v>2121</v>
      </c>
      <c r="B3377" t="s">
        <v>1141</v>
      </c>
      <c r="E3377" t="str">
        <f>IF(OR(E3376="&lt;/routeDistribution&gt;",E3376=""),"",IFERROR(_xlfn.CONCAT(VLOOKUP(CG36,Route_Column!#REF!,2,FALSE),CHAR(34)," probability=",CHAR(34),1/CG$4,CHAR(34),CHAR(47),CHAR(62)),"&lt;/routeDistribution&gt;"))</f>
        <v/>
      </c>
    </row>
    <row r="3378" spans="1:5" x14ac:dyDescent="0.25">
      <c r="A3378" t="s">
        <v>2121</v>
      </c>
      <c r="B3378" t="s">
        <v>1142</v>
      </c>
      <c r="E3378" t="str">
        <f>IF(OR(E3377="&lt;/routeDistribution&gt;",E3377=""),"",IFERROR(_xlfn.CONCAT(VLOOKUP(CG37,Route_Column!#REF!,2,FALSE),CHAR(34)," probability=",CHAR(34),1/CG$4,CHAR(34),CHAR(47),CHAR(62)),"&lt;/routeDistribution&gt;"))</f>
        <v/>
      </c>
    </row>
    <row r="3379" spans="1:5" x14ac:dyDescent="0.25">
      <c r="A3379" t="s">
        <v>2121</v>
      </c>
      <c r="B3379" t="s">
        <v>1150</v>
      </c>
      <c r="E3379" t="str">
        <f>IF(OR(E3378="&lt;/routeDistribution&gt;",E3378=""),"",IFERROR(_xlfn.CONCAT(VLOOKUP(CG38,Route_Column!#REF!,2,FALSE),CHAR(34)," probability=",CHAR(34),1/CG$4,CHAR(34),CHAR(47),CHAR(62)),"&lt;/routeDistribution&gt;"))</f>
        <v/>
      </c>
    </row>
    <row r="3380" spans="1:5" x14ac:dyDescent="0.25">
      <c r="A3380" t="s">
        <v>2121</v>
      </c>
      <c r="B3380" t="s">
        <v>1151</v>
      </c>
      <c r="E3380" t="str">
        <f>IF(OR(E3379="&lt;/routeDistribution&gt;",E3379=""),"",IFERROR(_xlfn.CONCAT(VLOOKUP(CG39,Route_Column!#REF!,2,FALSE),CHAR(34)," probability=",CHAR(34),1/CG$4,CHAR(34),CHAR(47),CHAR(62)),"&lt;/routeDistribution&gt;"))</f>
        <v/>
      </c>
    </row>
    <row r="3381" spans="1:5" x14ac:dyDescent="0.25">
      <c r="A3381" t="s">
        <v>2121</v>
      </c>
      <c r="B3381" t="s">
        <v>1179</v>
      </c>
      <c r="E3381" t="str">
        <f>IF(OR(E3380="&lt;/routeDistribution&gt;",E3380=""),"",IFERROR(_xlfn.CONCAT(VLOOKUP(CG40,Route_Column!#REF!,2,FALSE),CHAR(34)," probability=",CHAR(34),1/CG$4,CHAR(34),CHAR(47),CHAR(62)),"&lt;/routeDistribution&gt;"))</f>
        <v/>
      </c>
    </row>
    <row r="3382" spans="1:5" x14ac:dyDescent="0.25">
      <c r="A3382" t="s">
        <v>2121</v>
      </c>
      <c r="B3382" t="s">
        <v>1183</v>
      </c>
      <c r="E3382" t="str">
        <f>IF(OR(E3381="&lt;/routeDistribution&gt;",E3381=""),"",IFERROR(_xlfn.CONCAT(VLOOKUP(CG41,Route_Column!#REF!,2,FALSE),CHAR(34)," probability=",CHAR(34),1/CG$4,CHAR(34),CHAR(47),CHAR(62)),"&lt;/routeDistribution&gt;"))</f>
        <v/>
      </c>
    </row>
    <row r="3383" spans="1:5" x14ac:dyDescent="0.25">
      <c r="A3383" t="s">
        <v>2121</v>
      </c>
      <c r="B3383" t="s">
        <v>1184</v>
      </c>
      <c r="E3383" t="str">
        <f>IF(OR(E3382="&lt;/routeDistribution&gt;",E3382=""),"",IFERROR(_xlfn.CONCAT(VLOOKUP(CG42,Route_Column!#REF!,2,FALSE),CHAR(34)," probability=",CHAR(34),1/CG$4,CHAR(34),CHAR(47),CHAR(62)),"&lt;/routeDistribution&gt;"))</f>
        <v/>
      </c>
    </row>
    <row r="3384" spans="1:5" x14ac:dyDescent="0.25">
      <c r="A3384" t="s">
        <v>2121</v>
      </c>
      <c r="B3384" t="s">
        <v>1205</v>
      </c>
      <c r="E3384" t="str">
        <f>IF(OR(E3383="&lt;/routeDistribution&gt;",E3383=""),"",IFERROR(_xlfn.CONCAT(VLOOKUP(CG43,Route_Column!#REF!,2,FALSE),CHAR(34)," probability=",CHAR(34),1/CG$4,CHAR(34),CHAR(47),CHAR(62)),"&lt;/routeDistribution&gt;"))</f>
        <v/>
      </c>
    </row>
    <row r="3385" spans="1:5" x14ac:dyDescent="0.25">
      <c r="A3385" t="s">
        <v>2121</v>
      </c>
      <c r="B3385" t="s">
        <v>1206</v>
      </c>
      <c r="E3385" t="str">
        <f>IF(OR(E3384="&lt;/routeDistribution&gt;",E3384=""),"",IFERROR(_xlfn.CONCAT(VLOOKUP(CG44,Route_Column!#REF!,2,FALSE),CHAR(34)," probability=",CHAR(34),1/CG$4,CHAR(34),CHAR(47),CHAR(62)),"&lt;/routeDistribution&gt;"))</f>
        <v/>
      </c>
    </row>
    <row r="3386" spans="1:5" x14ac:dyDescent="0.25">
      <c r="A3386" t="s">
        <v>2121</v>
      </c>
      <c r="B3386" t="s">
        <v>1207</v>
      </c>
      <c r="E3386" t="str">
        <f>IF(OR(E3385="&lt;/routeDistribution&gt;",E3385=""),"",IFERROR(_xlfn.CONCAT(VLOOKUP(CG45,Route_Column!#REF!,2,FALSE),CHAR(34)," probability=",CHAR(34),1/CG$4,CHAR(34),CHAR(47),CHAR(62)),"&lt;/routeDistribution&gt;"))</f>
        <v/>
      </c>
    </row>
    <row r="3387" spans="1:5" x14ac:dyDescent="0.25">
      <c r="A3387" t="s">
        <v>2121</v>
      </c>
      <c r="B3387" t="s">
        <v>1208</v>
      </c>
      <c r="E3387" t="str">
        <f>IF(OR(E3386="&lt;/routeDistribution&gt;",E3386=""),"",IFERROR(_xlfn.CONCAT(VLOOKUP(CG46,Route_Column!#REF!,2,FALSE),CHAR(34)," probability=",CHAR(34),1/CG$4,CHAR(34),CHAR(47),CHAR(62)),"&lt;/routeDistribution&gt;"))</f>
        <v/>
      </c>
    </row>
    <row r="3388" spans="1:5" x14ac:dyDescent="0.25">
      <c r="A3388" t="s">
        <v>2121</v>
      </c>
      <c r="B3388" t="s">
        <v>1224</v>
      </c>
      <c r="E3388" t="str">
        <f>IF(OR(E3387="&lt;/routeDistribution&gt;",E3387=""),"",IFERROR(_xlfn.CONCAT(VLOOKUP(CG47,Route_Column!#REF!,2,FALSE),CHAR(34)," probability=",CHAR(34),1/CG$4,CHAR(34),CHAR(47),CHAR(62)),"&lt;/routeDistribution&gt;"))</f>
        <v/>
      </c>
    </row>
    <row r="3389" spans="1:5" x14ac:dyDescent="0.25">
      <c r="A3389" t="s">
        <v>2121</v>
      </c>
      <c r="B3389" t="s">
        <v>1225</v>
      </c>
      <c r="E3389" t="str">
        <f>IF(OR(E3388="&lt;/routeDistribution&gt;",E3388=""),"",IFERROR(_xlfn.CONCAT(VLOOKUP(CG48,Route_Column!#REF!,2,FALSE),CHAR(34)," probability=",CHAR(34),1/CG$4,CHAR(34),CHAR(47),CHAR(62)),"&lt;/routeDistribution&gt;"))</f>
        <v/>
      </c>
    </row>
    <row r="3390" spans="1:5" x14ac:dyDescent="0.25">
      <c r="A3390" t="s">
        <v>2121</v>
      </c>
      <c r="B3390" t="s">
        <v>1232</v>
      </c>
      <c r="E3390" t="str">
        <f>IF(OR(E3389="&lt;/routeDistribution&gt;",E3389=""),"",IFERROR(_xlfn.CONCAT(VLOOKUP(CG49,Route_Column!#REF!,2,FALSE),CHAR(34)," probability=",CHAR(34),1/CG$4,CHAR(34),CHAR(47),CHAR(62)),"&lt;/routeDistribution&gt;"))</f>
        <v/>
      </c>
    </row>
    <row r="3391" spans="1:5" x14ac:dyDescent="0.25">
      <c r="A3391" t="s">
        <v>2121</v>
      </c>
      <c r="B3391" t="s">
        <v>1233</v>
      </c>
      <c r="E3391" t="str">
        <f>IF(OR(E3390="&lt;/routeDistribution&gt;",E3390=""),"",IFERROR(_xlfn.CONCAT(VLOOKUP(CG50,Route_Column!#REF!,2,FALSE),CHAR(34)," probability=",CHAR(34),1/CG$4,CHAR(34),CHAR(47),CHAR(62)),"&lt;/routeDistribution&gt;"))</f>
        <v/>
      </c>
    </row>
    <row r="3392" spans="1:5" x14ac:dyDescent="0.25">
      <c r="A3392" t="s">
        <v>2121</v>
      </c>
      <c r="B3392" t="s">
        <v>1234</v>
      </c>
      <c r="E3392" t="str">
        <f>IF(OR(E3391="&lt;/routeDistribution&gt;",E3391=""),"",IFERROR(_xlfn.CONCAT(VLOOKUP(CG51,Route_Column!#REF!,2,FALSE),CHAR(34)," probability=",CHAR(34),1/CG$4,CHAR(34),CHAR(47),CHAR(62)),"&lt;/routeDistribution&gt;"))</f>
        <v/>
      </c>
    </row>
    <row r="3393" spans="1:5" x14ac:dyDescent="0.25">
      <c r="A3393" s="11" t="s">
        <v>1511</v>
      </c>
      <c r="B3393" t="s">
        <v>1091</v>
      </c>
      <c r="E3393" t="str">
        <f>IF(OR(E3392="&lt;/routeDistribution&gt;",E3392=""),"",IFERROR(_xlfn.CONCAT(VLOOKUP(CG52,Route_Column!#REF!,2,FALSE),CHAR(34)," probability=",CHAR(34),1/CG$4,CHAR(34),CHAR(47),CHAR(62)),"&lt;/routeDistribution&gt;"))</f>
        <v/>
      </c>
    </row>
    <row r="3394" spans="1:5" x14ac:dyDescent="0.25">
      <c r="A3394" t="s">
        <v>1511</v>
      </c>
      <c r="B3394" t="s">
        <v>1092</v>
      </c>
      <c r="E3394" t="str">
        <f>IF(OR(E3393="&lt;/routeDistribution&gt;",E3393=""),"",IFERROR(_xlfn.CONCAT(VLOOKUP(CG53,Route_Column!#REF!,2,FALSE),CHAR(34)," probability=",CHAR(34),1/CG$4,CHAR(34),CHAR(47),CHAR(62)),"&lt;/routeDistribution&gt;"))</f>
        <v/>
      </c>
    </row>
    <row r="3395" spans="1:5" x14ac:dyDescent="0.25">
      <c r="A3395" t="s">
        <v>1511</v>
      </c>
      <c r="B3395" t="s">
        <v>1093</v>
      </c>
      <c r="E3395" t="str">
        <f>IF(OR(E3394="&lt;/routeDistribution&gt;",E3394=""),"",IFERROR(_xlfn.CONCAT(VLOOKUP(CG54,Route_Column!#REF!,2,FALSE),CHAR(34)," probability=",CHAR(34),1/CG$4,CHAR(34),CHAR(47),CHAR(62)),"&lt;/routeDistribution&gt;"))</f>
        <v/>
      </c>
    </row>
    <row r="3396" spans="1:5" x14ac:dyDescent="0.25">
      <c r="A3396" t="s">
        <v>1511</v>
      </c>
      <c r="B3396" t="s">
        <v>1094</v>
      </c>
      <c r="E3396" t="str">
        <f>IF(OR(E3395="&lt;/routeDistribution&gt;",E3395=""),"",IFERROR(_xlfn.CONCAT(VLOOKUP(CG55,Route_Column!#REF!,2,FALSE),CHAR(34)," probability=",CHAR(34),1/CG$4,CHAR(34),CHAR(47),CHAR(62)),"&lt;/routeDistribution&gt;"))</f>
        <v/>
      </c>
    </row>
    <row r="3397" spans="1:5" x14ac:dyDescent="0.25">
      <c r="A3397" t="s">
        <v>1511</v>
      </c>
      <c r="B3397" t="s">
        <v>1095</v>
      </c>
      <c r="E3397" t="str">
        <f>IF(OR(E3396="&lt;/routeDistribution&gt;",E3396=""),"",IFERROR(_xlfn.CONCAT(VLOOKUP(CG56,Route_Column!#REF!,2,FALSE),CHAR(34)," probability=",CHAR(34),1/CG$4,CHAR(34),CHAR(47),CHAR(62)),"&lt;/routeDistribution&gt;"))</f>
        <v/>
      </c>
    </row>
    <row r="3398" spans="1:5" x14ac:dyDescent="0.25">
      <c r="A3398" t="s">
        <v>1511</v>
      </c>
      <c r="B3398" t="s">
        <v>1160</v>
      </c>
      <c r="E3398" t="str">
        <f>IF(OR(E3397="&lt;/routeDistribution&gt;",E3397=""),"",IFERROR(_xlfn.CONCAT(VLOOKUP(CG57,Route_Column!#REF!,2,FALSE),CHAR(34)," probability=",CHAR(34),1/CG$4,CHAR(34),CHAR(47),CHAR(62)),"&lt;/routeDistribution&gt;"))</f>
        <v/>
      </c>
    </row>
    <row r="3399" spans="1:5" x14ac:dyDescent="0.25">
      <c r="A3399" t="s">
        <v>1511</v>
      </c>
      <c r="B3399" t="s">
        <v>1194</v>
      </c>
      <c r="E3399" t="str">
        <f>IF(OR(E3398="&lt;/routeDistribution&gt;",E3398=""),"",IFERROR(_xlfn.CONCAT(VLOOKUP(CG58,Route_Column!#REF!,2,FALSE),CHAR(34)," probability=",CHAR(34),1/CG$4,CHAR(34),CHAR(47),CHAR(62)),"&lt;/routeDistribution&gt;"))</f>
        <v/>
      </c>
    </row>
    <row r="3400" spans="1:5" x14ac:dyDescent="0.25">
      <c r="A3400" t="s">
        <v>1732</v>
      </c>
      <c r="B3400" t="s">
        <v>1102</v>
      </c>
      <c r="E3400" t="str">
        <f>IF(OR(E3399="&lt;/routeDistribution&gt;",E3399=""),"",IFERROR(_xlfn.CONCAT(VLOOKUP(CG59,Route_Column!#REF!,2,FALSE),CHAR(34)," probability=",CHAR(34),1/CG$4,CHAR(34),CHAR(47),CHAR(62)),"&lt;/routeDistribution&gt;"))</f>
        <v/>
      </c>
    </row>
    <row r="3401" spans="1:5" x14ac:dyDescent="0.25">
      <c r="A3401" t="s">
        <v>1732</v>
      </c>
      <c r="B3401" t="s">
        <v>1109</v>
      </c>
      <c r="E3401" t="str">
        <f>IF(OR(E3400="&lt;/routeDistribution&gt;",E3400=""),"",IFERROR(_xlfn.CONCAT(VLOOKUP(CG60,Route_Column!#REF!,2,FALSE),CHAR(34)," probability=",CHAR(34),1/CG$4,CHAR(34),CHAR(47),CHAR(62)),"&lt;/routeDistribution&gt;"))</f>
        <v/>
      </c>
    </row>
    <row r="3402" spans="1:5" x14ac:dyDescent="0.25">
      <c r="A3402" t="s">
        <v>1732</v>
      </c>
      <c r="B3402" t="s">
        <v>1110</v>
      </c>
      <c r="E3402" t="str">
        <f>IF(OR(E3401="&lt;/routeDistribution&gt;",E3401=""),"",IFERROR(_xlfn.CONCAT(VLOOKUP(CG61,Route_Column!#REF!,2,FALSE),CHAR(34)," probability=",CHAR(34),1/CG$4,CHAR(34),CHAR(47),CHAR(62)),"&lt;/routeDistribution&gt;"))</f>
        <v/>
      </c>
    </row>
    <row r="3403" spans="1:5" x14ac:dyDescent="0.25">
      <c r="A3403" t="s">
        <v>1732</v>
      </c>
      <c r="B3403" t="s">
        <v>1122</v>
      </c>
      <c r="E3403" t="str">
        <f>IF(OR(E3402="&lt;/routeDistribution&gt;",E3402=""),"",IFERROR(_xlfn.CONCAT(VLOOKUP(CG62,Route_Column!#REF!,2,FALSE),CHAR(34)," probability=",CHAR(34),1/CG$4,CHAR(34),CHAR(47),CHAR(62)),"&lt;/routeDistribution&gt;"))</f>
        <v/>
      </c>
    </row>
    <row r="3404" spans="1:5" x14ac:dyDescent="0.25">
      <c r="A3404" t="s">
        <v>2315</v>
      </c>
      <c r="B3404" t="s">
        <v>1215</v>
      </c>
      <c r="E3404" t="str">
        <f>IF(OR(E3403="&lt;/routeDistribution&gt;",E3403=""),"",IFERROR(_xlfn.CONCAT(VLOOKUP(CG63,Route_Column!#REF!,2,FALSE),CHAR(34)," probability=",CHAR(34),1/CG$4,CHAR(34),CHAR(47),CHAR(62)),"&lt;/routeDistribution&gt;"))</f>
        <v/>
      </c>
    </row>
    <row r="3405" spans="1:5" x14ac:dyDescent="0.25">
      <c r="A3405" t="s">
        <v>1638</v>
      </c>
      <c r="B3405" t="s">
        <v>1098</v>
      </c>
      <c r="E3405" t="s">
        <v>2686</v>
      </c>
    </row>
    <row r="3406" spans="1:5" x14ac:dyDescent="0.25">
      <c r="A3406" t="s">
        <v>1638</v>
      </c>
      <c r="B3406" t="s">
        <v>1185</v>
      </c>
    </row>
    <row r="3407" spans="1:5" x14ac:dyDescent="0.25">
      <c r="A3407" t="s">
        <v>1638</v>
      </c>
      <c r="B3407" t="s">
        <v>1197</v>
      </c>
    </row>
    <row r="3408" spans="1:5" x14ac:dyDescent="0.25">
      <c r="A3408" t="s">
        <v>2316</v>
      </c>
      <c r="B3408" t="s">
        <v>1215</v>
      </c>
      <c r="E3408" t="str">
        <f>_xlfn.CONCAT($E$1,CF$2,$F$1)</f>
        <v>&lt;routeDistribution id="Chestnut-40th-39th-EB-2009-RouteProbe"&gt;</v>
      </c>
    </row>
    <row r="3409" spans="1:5" x14ac:dyDescent="0.25">
      <c r="A3409" t="s">
        <v>1637</v>
      </c>
      <c r="B3409" t="s">
        <v>1098</v>
      </c>
      <c r="E3409" t="str">
        <f>IF(OR(E3408="&lt;/routeDistribution&gt;",E3408=""),"",IFERROR(_xlfn.CONCAT(VLOOKUP(CF5,Route_Column!#REF!,2,FALSE),CHAR(34)," probability=",CHAR(34),1/CF$4,CHAR(34),CHAR(47),CHAR(62)),"&lt;/routeDistribution&gt;"))</f>
        <v>&lt;/routeDistribution&gt;</v>
      </c>
    </row>
    <row r="3410" spans="1:5" x14ac:dyDescent="0.25">
      <c r="A3410" t="s">
        <v>1637</v>
      </c>
      <c r="B3410" t="s">
        <v>1185</v>
      </c>
      <c r="E3410" t="str">
        <f>IF(OR(E3409="&lt;/routeDistribution&gt;",E3409=""),"",IFERROR(_xlfn.CONCAT(VLOOKUP(CF6,Route_Column!#REF!,2,FALSE),CHAR(34)," probability=",CHAR(34),1/CF$4,CHAR(34),CHAR(47),CHAR(62)),"&lt;/routeDistribution&gt;"))</f>
        <v/>
      </c>
    </row>
    <row r="3411" spans="1:5" x14ac:dyDescent="0.25">
      <c r="A3411" t="s">
        <v>1637</v>
      </c>
      <c r="B3411" t="s">
        <v>1197</v>
      </c>
      <c r="E3411" t="str">
        <f>IF(OR(E3410="&lt;/routeDistribution&gt;",E3410=""),"",IFERROR(_xlfn.CONCAT(VLOOKUP(CF7,Route_Column!#REF!,2,FALSE),CHAR(34)," probability=",CHAR(34),1/CF$4,CHAR(34),CHAR(47),CHAR(62)),"&lt;/routeDistribution&gt;"))</f>
        <v/>
      </c>
    </row>
    <row r="3412" spans="1:5" x14ac:dyDescent="0.25">
      <c r="A3412" t="s">
        <v>1731</v>
      </c>
      <c r="B3412" t="s">
        <v>1102</v>
      </c>
      <c r="E3412" t="str">
        <f>IF(OR(E3411="&lt;/routeDistribution&gt;",E3411=""),"",IFERROR(_xlfn.CONCAT(VLOOKUP(CF8,Route_Column!#REF!,2,FALSE),CHAR(34)," probability=",CHAR(34),1/CF$4,CHAR(34),CHAR(47),CHAR(62)),"&lt;/routeDistribution&gt;"))</f>
        <v/>
      </c>
    </row>
    <row r="3413" spans="1:5" x14ac:dyDescent="0.25">
      <c r="A3413" t="s">
        <v>1731</v>
      </c>
      <c r="B3413" t="s">
        <v>1109</v>
      </c>
      <c r="E3413" t="str">
        <f>IF(OR(E3412="&lt;/routeDistribution&gt;",E3412=""),"",IFERROR(_xlfn.CONCAT(VLOOKUP(CF9,Route_Column!#REF!,2,FALSE),CHAR(34)," probability=",CHAR(34),1/CF$4,CHAR(34),CHAR(47),CHAR(62)),"&lt;/routeDistribution&gt;"))</f>
        <v/>
      </c>
    </row>
    <row r="3414" spans="1:5" x14ac:dyDescent="0.25">
      <c r="A3414" t="s">
        <v>1731</v>
      </c>
      <c r="B3414" t="s">
        <v>1110</v>
      </c>
      <c r="E3414" t="str">
        <f>IF(OR(E3413="&lt;/routeDistribution&gt;",E3413=""),"",IFERROR(_xlfn.CONCAT(VLOOKUP(CF10,Route_Column!#REF!,2,FALSE),CHAR(34)," probability=",CHAR(34),1/CF$4,CHAR(34),CHAR(47),CHAR(62)),"&lt;/routeDistribution&gt;"))</f>
        <v/>
      </c>
    </row>
    <row r="3415" spans="1:5" x14ac:dyDescent="0.25">
      <c r="A3415" t="s">
        <v>1731</v>
      </c>
      <c r="B3415" t="s">
        <v>1122</v>
      </c>
      <c r="E3415" t="str">
        <f>IF(OR(E3414="&lt;/routeDistribution&gt;",E3414=""),"",IFERROR(_xlfn.CONCAT(VLOOKUP(CF11,Route_Column!#REF!,2,FALSE),CHAR(34)," probability=",CHAR(34),1/CF$4,CHAR(34),CHAR(47),CHAR(62)),"&lt;/routeDistribution&gt;"))</f>
        <v/>
      </c>
    </row>
    <row r="3416" spans="1:5" x14ac:dyDescent="0.25">
      <c r="A3416" s="11" t="s">
        <v>1438</v>
      </c>
      <c r="B3416" t="s">
        <v>1090</v>
      </c>
      <c r="E3416" t="str">
        <f>IF(OR(E3415="&lt;/routeDistribution&gt;",E3415=""),"",IFERROR(_xlfn.CONCAT(VLOOKUP(CF12,Route_Column!#REF!,2,FALSE),CHAR(34)," probability=",CHAR(34),1/CF$4,CHAR(34),CHAR(47),CHAR(62)),"&lt;/routeDistribution&gt;"))</f>
        <v/>
      </c>
    </row>
    <row r="3417" spans="1:5" x14ac:dyDescent="0.25">
      <c r="A3417" t="s">
        <v>1730</v>
      </c>
      <c r="B3417" t="s">
        <v>1102</v>
      </c>
      <c r="E3417" t="str">
        <f>IF(OR(E3416="&lt;/routeDistribution&gt;",E3416=""),"",IFERROR(_xlfn.CONCAT(VLOOKUP(CF13,Route_Column!#REF!,2,FALSE),CHAR(34)," probability=",CHAR(34),1/CF$4,CHAR(34),CHAR(47),CHAR(62)),"&lt;/routeDistribution&gt;"))</f>
        <v/>
      </c>
    </row>
    <row r="3418" spans="1:5" x14ac:dyDescent="0.25">
      <c r="A3418" t="s">
        <v>1730</v>
      </c>
      <c r="B3418" t="s">
        <v>1109</v>
      </c>
      <c r="E3418" t="str">
        <f>IF(OR(E3417="&lt;/routeDistribution&gt;",E3417=""),"",IFERROR(_xlfn.CONCAT(VLOOKUP(CF14,Route_Column!#REF!,2,FALSE),CHAR(34)," probability=",CHAR(34),1/CF$4,CHAR(34),CHAR(47),CHAR(62)),"&lt;/routeDistribution&gt;"))</f>
        <v/>
      </c>
    </row>
    <row r="3419" spans="1:5" x14ac:dyDescent="0.25">
      <c r="A3419" t="s">
        <v>1730</v>
      </c>
      <c r="B3419" t="s">
        <v>1110</v>
      </c>
      <c r="E3419" t="str">
        <f>IF(OR(E3418="&lt;/routeDistribution&gt;",E3418=""),"",IFERROR(_xlfn.CONCAT(VLOOKUP(CF15,Route_Column!#REF!,2,FALSE),CHAR(34)," probability=",CHAR(34),1/CF$4,CHAR(34),CHAR(47),CHAR(62)),"&lt;/routeDistribution&gt;"))</f>
        <v/>
      </c>
    </row>
    <row r="3420" spans="1:5" x14ac:dyDescent="0.25">
      <c r="A3420" t="s">
        <v>1730</v>
      </c>
      <c r="B3420" t="s">
        <v>1122</v>
      </c>
      <c r="E3420" t="str">
        <f>IF(OR(E3419="&lt;/routeDistribution&gt;",E3419=""),"",IFERROR(_xlfn.CONCAT(VLOOKUP(CF16,Route_Column!#REF!,2,FALSE),CHAR(34)," probability=",CHAR(34),1/CF$4,CHAR(34),CHAR(47),CHAR(62)),"&lt;/routeDistribution&gt;"))</f>
        <v/>
      </c>
    </row>
    <row r="3421" spans="1:5" x14ac:dyDescent="0.25">
      <c r="A3421" t="s">
        <v>1844</v>
      </c>
      <c r="B3421" t="s">
        <v>1111</v>
      </c>
      <c r="E3421" t="str">
        <f>IF(OR(E3420="&lt;/routeDistribution&gt;",E3420=""),"",IFERROR(_xlfn.CONCAT(VLOOKUP(CF17,Route_Column!#REF!,2,FALSE),CHAR(34)," probability=",CHAR(34),1/CF$4,CHAR(34),CHAR(47),CHAR(62)),"&lt;/routeDistribution&gt;"))</f>
        <v/>
      </c>
    </row>
    <row r="3422" spans="1:5" x14ac:dyDescent="0.25">
      <c r="A3422" t="s">
        <v>1729</v>
      </c>
      <c r="B3422" t="s">
        <v>1102</v>
      </c>
      <c r="E3422" t="str">
        <f>IF(OR(E3421="&lt;/routeDistribution&gt;",E3421=""),"",IFERROR(_xlfn.CONCAT(VLOOKUP(CF18,Route_Column!#REF!,2,FALSE),CHAR(34)," probability=",CHAR(34),1/CF$4,CHAR(34),CHAR(47),CHAR(62)),"&lt;/routeDistribution&gt;"))</f>
        <v/>
      </c>
    </row>
    <row r="3423" spans="1:5" x14ac:dyDescent="0.25">
      <c r="A3423" t="s">
        <v>1729</v>
      </c>
      <c r="B3423" t="s">
        <v>1109</v>
      </c>
      <c r="E3423" t="str">
        <f>IF(OR(E3422="&lt;/routeDistribution&gt;",E3422=""),"",IFERROR(_xlfn.CONCAT(VLOOKUP(CF19,Route_Column!#REF!,2,FALSE),CHAR(34)," probability=",CHAR(34),1/CF$4,CHAR(34),CHAR(47),CHAR(62)),"&lt;/routeDistribution&gt;"))</f>
        <v/>
      </c>
    </row>
    <row r="3424" spans="1:5" x14ac:dyDescent="0.25">
      <c r="A3424" t="s">
        <v>1729</v>
      </c>
      <c r="B3424" t="s">
        <v>1110</v>
      </c>
      <c r="E3424" t="str">
        <f>IF(OR(E3423="&lt;/routeDistribution&gt;",E3423=""),"",IFERROR(_xlfn.CONCAT(VLOOKUP(CF20,Route_Column!#REF!,2,FALSE),CHAR(34)," probability=",CHAR(34),1/CF$4,CHAR(34),CHAR(47),CHAR(62)),"&lt;/routeDistribution&gt;"))</f>
        <v/>
      </c>
    </row>
    <row r="3425" spans="1:5" x14ac:dyDescent="0.25">
      <c r="A3425" t="s">
        <v>1729</v>
      </c>
      <c r="B3425" t="s">
        <v>1122</v>
      </c>
      <c r="E3425" t="str">
        <f>IF(OR(E3424="&lt;/routeDistribution&gt;",E3424=""),"",IFERROR(_xlfn.CONCAT(VLOOKUP(CF21,Route_Column!#REF!,2,FALSE),CHAR(34)," probability=",CHAR(34),1/CF$4,CHAR(34),CHAR(47),CHAR(62)),"&lt;/routeDistribution&gt;"))</f>
        <v/>
      </c>
    </row>
    <row r="3426" spans="1:5" x14ac:dyDescent="0.25">
      <c r="A3426" s="11" t="s">
        <v>1442</v>
      </c>
      <c r="B3426" t="s">
        <v>1090</v>
      </c>
      <c r="E3426" t="str">
        <f>IF(OR(E3425="&lt;/routeDistribution&gt;",E3425=""),"",IFERROR(_xlfn.CONCAT(VLOOKUP(CF22,Route_Column!#REF!,2,FALSE),CHAR(34)," probability=",CHAR(34),1/CF$4,CHAR(34),CHAR(47),CHAR(62)),"&lt;/routeDistribution&gt;"))</f>
        <v/>
      </c>
    </row>
    <row r="3427" spans="1:5" x14ac:dyDescent="0.25">
      <c r="A3427" t="s">
        <v>1442</v>
      </c>
      <c r="B3427" t="s">
        <v>1097</v>
      </c>
      <c r="E3427" t="str">
        <f>IF(OR(E3426="&lt;/routeDistribution&gt;",E3426=""),"",IFERROR(_xlfn.CONCAT(VLOOKUP(CF23,Route_Column!#REF!,2,FALSE),CHAR(34)," probability=",CHAR(34),1/CF$4,CHAR(34),CHAR(47),CHAR(62)),"&lt;/routeDistribution&gt;"))</f>
        <v/>
      </c>
    </row>
    <row r="3428" spans="1:5" x14ac:dyDescent="0.25">
      <c r="A3428" t="s">
        <v>1442</v>
      </c>
      <c r="B3428" t="s">
        <v>1098</v>
      </c>
      <c r="E3428" t="str">
        <f>IF(OR(E3427="&lt;/routeDistribution&gt;",E3427=""),"",IFERROR(_xlfn.CONCAT(VLOOKUP(CF24,Route_Column!#REF!,2,FALSE),CHAR(34)," probability=",CHAR(34),1/CF$4,CHAR(34),CHAR(47),CHAR(62)),"&lt;/routeDistribution&gt;"))</f>
        <v/>
      </c>
    </row>
    <row r="3429" spans="1:5" x14ac:dyDescent="0.25">
      <c r="A3429" t="s">
        <v>1442</v>
      </c>
      <c r="B3429" t="s">
        <v>1111</v>
      </c>
      <c r="E3429" t="str">
        <f>IF(OR(E3428="&lt;/routeDistribution&gt;",E3428=""),"",IFERROR(_xlfn.CONCAT(VLOOKUP(CF25,Route_Column!#REF!,2,FALSE),CHAR(34)," probability=",CHAR(34),1/CF$4,CHAR(34),CHAR(47),CHAR(62)),"&lt;/routeDistribution&gt;"))</f>
        <v/>
      </c>
    </row>
    <row r="3430" spans="1:5" x14ac:dyDescent="0.25">
      <c r="A3430" t="s">
        <v>1442</v>
      </c>
      <c r="B3430" t="s">
        <v>1171</v>
      </c>
      <c r="E3430" t="str">
        <f>IF(OR(E3429="&lt;/routeDistribution&gt;",E3429=""),"",IFERROR(_xlfn.CONCAT(VLOOKUP(CF26,Route_Column!#REF!,2,FALSE),CHAR(34)," probability=",CHAR(34),1/CF$4,CHAR(34),CHAR(47),CHAR(62)),"&lt;/routeDistribution&gt;"))</f>
        <v/>
      </c>
    </row>
    <row r="3431" spans="1:5" x14ac:dyDescent="0.25">
      <c r="A3431" t="s">
        <v>1442</v>
      </c>
      <c r="B3431" t="s">
        <v>1182</v>
      </c>
      <c r="E3431" t="str">
        <f>IF(OR(E3430="&lt;/routeDistribution&gt;",E3430=""),"",IFERROR(_xlfn.CONCAT(VLOOKUP(CF27,Route_Column!#REF!,2,FALSE),CHAR(34)," probability=",CHAR(34),1/CF$4,CHAR(34),CHAR(47),CHAR(62)),"&lt;/routeDistribution&gt;"))</f>
        <v/>
      </c>
    </row>
    <row r="3432" spans="1:5" x14ac:dyDescent="0.25">
      <c r="A3432" t="s">
        <v>1442</v>
      </c>
      <c r="B3432" t="s">
        <v>1191</v>
      </c>
      <c r="E3432" t="str">
        <f>IF(OR(E3431="&lt;/routeDistribution&gt;",E3431=""),"",IFERROR(_xlfn.CONCAT(VLOOKUP(CF28,Route_Column!#REF!,2,FALSE),CHAR(34)," probability=",CHAR(34),1/CF$4,CHAR(34),CHAR(47),CHAR(62)),"&lt;/routeDistribution&gt;"))</f>
        <v/>
      </c>
    </row>
    <row r="3433" spans="1:5" x14ac:dyDescent="0.25">
      <c r="A3433" t="s">
        <v>1641</v>
      </c>
      <c r="B3433" t="s">
        <v>1098</v>
      </c>
      <c r="E3433" t="str">
        <f>IF(OR(E3432="&lt;/routeDistribution&gt;",E3432=""),"",IFERROR(_xlfn.CONCAT(VLOOKUP(CF29,Route_Column!#REF!,2,FALSE),CHAR(34)," probability=",CHAR(34),1/CF$4,CHAR(34),CHAR(47),CHAR(62)),"&lt;/routeDistribution&gt;"))</f>
        <v/>
      </c>
    </row>
    <row r="3434" spans="1:5" x14ac:dyDescent="0.25">
      <c r="A3434" t="s">
        <v>1641</v>
      </c>
      <c r="B3434" t="s">
        <v>1102</v>
      </c>
      <c r="E3434" t="str">
        <f>IF(OR(E3433="&lt;/routeDistribution&gt;",E3433=""),"",IFERROR(_xlfn.CONCAT(VLOOKUP(CF30,Route_Column!#REF!,2,FALSE),CHAR(34)," probability=",CHAR(34),1/CF$4,CHAR(34),CHAR(47),CHAR(62)),"&lt;/routeDistribution&gt;"))</f>
        <v/>
      </c>
    </row>
    <row r="3435" spans="1:5" x14ac:dyDescent="0.25">
      <c r="A3435" t="s">
        <v>1641</v>
      </c>
      <c r="B3435" t="s">
        <v>1109</v>
      </c>
      <c r="E3435" t="str">
        <f>IF(OR(E3434="&lt;/routeDistribution&gt;",E3434=""),"",IFERROR(_xlfn.CONCAT(VLOOKUP(CF31,Route_Column!#REF!,2,FALSE),CHAR(34)," probability=",CHAR(34),1/CF$4,CHAR(34),CHAR(47),CHAR(62)),"&lt;/routeDistribution&gt;"))</f>
        <v/>
      </c>
    </row>
    <row r="3436" spans="1:5" x14ac:dyDescent="0.25">
      <c r="A3436" t="s">
        <v>1641</v>
      </c>
      <c r="B3436" t="s">
        <v>1110</v>
      </c>
      <c r="E3436" t="str">
        <f>IF(OR(E3435="&lt;/routeDistribution&gt;",E3435=""),"",IFERROR(_xlfn.CONCAT(VLOOKUP(CF32,Route_Column!#REF!,2,FALSE),CHAR(34)," probability=",CHAR(34),1/CF$4,CHAR(34),CHAR(47),CHAR(62)),"&lt;/routeDistribution&gt;"))</f>
        <v/>
      </c>
    </row>
    <row r="3437" spans="1:5" x14ac:dyDescent="0.25">
      <c r="A3437" t="s">
        <v>1641</v>
      </c>
      <c r="B3437" t="s">
        <v>1122</v>
      </c>
      <c r="E3437" t="str">
        <f>IF(OR(E3436="&lt;/routeDistribution&gt;",E3436=""),"",IFERROR(_xlfn.CONCAT(VLOOKUP(CF33,Route_Column!#REF!,2,FALSE),CHAR(34)," probability=",CHAR(34),1/CF$4,CHAR(34),CHAR(47),CHAR(62)),"&lt;/routeDistribution&gt;"))</f>
        <v/>
      </c>
    </row>
    <row r="3438" spans="1:5" x14ac:dyDescent="0.25">
      <c r="A3438" t="s">
        <v>1641</v>
      </c>
      <c r="B3438" t="s">
        <v>1185</v>
      </c>
      <c r="E3438" t="str">
        <f>IF(OR(E3437="&lt;/routeDistribution&gt;",E3437=""),"",IFERROR(_xlfn.CONCAT(VLOOKUP(CF34,Route_Column!#REF!,2,FALSE),CHAR(34)," probability=",CHAR(34),1/CF$4,CHAR(34),CHAR(47),CHAR(62)),"&lt;/routeDistribution&gt;"))</f>
        <v/>
      </c>
    </row>
    <row r="3439" spans="1:5" x14ac:dyDescent="0.25">
      <c r="A3439" t="s">
        <v>1641</v>
      </c>
      <c r="B3439" t="s">
        <v>1197</v>
      </c>
      <c r="E3439" t="str">
        <f>IF(OR(E3438="&lt;/routeDistribution&gt;",E3438=""),"",IFERROR(_xlfn.CONCAT(VLOOKUP(CF35,Route_Column!#REF!,2,FALSE),CHAR(34)," probability=",CHAR(34),1/CF$4,CHAR(34),CHAR(47),CHAR(62)),"&lt;/routeDistribution&gt;"))</f>
        <v/>
      </c>
    </row>
    <row r="3440" spans="1:5" x14ac:dyDescent="0.25">
      <c r="A3440" t="s">
        <v>1641</v>
      </c>
      <c r="B3440" t="s">
        <v>1209</v>
      </c>
      <c r="E3440" t="str">
        <f>IF(OR(E3439="&lt;/routeDistribution&gt;",E3439=""),"",IFERROR(_xlfn.CONCAT(VLOOKUP(CF36,Route_Column!#REF!,2,FALSE),CHAR(34)," probability=",CHAR(34),1/CF$4,CHAR(34),CHAR(47),CHAR(62)),"&lt;/routeDistribution&gt;"))</f>
        <v/>
      </c>
    </row>
    <row r="3441" spans="1:5" x14ac:dyDescent="0.25">
      <c r="A3441" t="s">
        <v>1641</v>
      </c>
      <c r="B3441" t="s">
        <v>1210</v>
      </c>
      <c r="E3441" t="str">
        <f>IF(OR(E3440="&lt;/routeDistribution&gt;",E3440=""),"",IFERROR(_xlfn.CONCAT(VLOOKUP(CF37,Route_Column!#REF!,2,FALSE),CHAR(34)," probability=",CHAR(34),1/CF$4,CHAR(34),CHAR(47),CHAR(62)),"&lt;/routeDistribution&gt;"))</f>
        <v/>
      </c>
    </row>
    <row r="3442" spans="1:5" x14ac:dyDescent="0.25">
      <c r="A3442" s="11" t="s">
        <v>1443</v>
      </c>
      <c r="B3442" t="s">
        <v>1090</v>
      </c>
      <c r="E3442" t="str">
        <f>IF(OR(E3441="&lt;/routeDistribution&gt;",E3441=""),"",IFERROR(_xlfn.CONCAT(VLOOKUP(CF38,Route_Column!#REF!,2,FALSE),CHAR(34)," probability=",CHAR(34),1/CF$4,CHAR(34),CHAR(47),CHAR(62)),"&lt;/routeDistribution&gt;"))</f>
        <v/>
      </c>
    </row>
    <row r="3443" spans="1:5" x14ac:dyDescent="0.25">
      <c r="A3443" t="s">
        <v>1443</v>
      </c>
      <c r="B3443" t="s">
        <v>1097</v>
      </c>
      <c r="E3443" t="str">
        <f>IF(OR(E3442="&lt;/routeDistribution&gt;",E3442=""),"",IFERROR(_xlfn.CONCAT(VLOOKUP(CF39,Route_Column!#REF!,2,FALSE),CHAR(34)," probability=",CHAR(34),1/CF$4,CHAR(34),CHAR(47),CHAR(62)),"&lt;/routeDistribution&gt;"))</f>
        <v/>
      </c>
    </row>
    <row r="3444" spans="1:5" x14ac:dyDescent="0.25">
      <c r="A3444" t="s">
        <v>1443</v>
      </c>
      <c r="B3444" t="s">
        <v>1098</v>
      </c>
      <c r="E3444" t="str">
        <f>IF(OR(E3443="&lt;/routeDistribution&gt;",E3443=""),"",IFERROR(_xlfn.CONCAT(VLOOKUP(CF40,Route_Column!#REF!,2,FALSE),CHAR(34)," probability=",CHAR(34),1/CF$4,CHAR(34),CHAR(47),CHAR(62)),"&lt;/routeDistribution&gt;"))</f>
        <v/>
      </c>
    </row>
    <row r="3445" spans="1:5" x14ac:dyDescent="0.25">
      <c r="A3445" t="s">
        <v>1443</v>
      </c>
      <c r="B3445" t="s">
        <v>1111</v>
      </c>
      <c r="E3445" t="str">
        <f>IF(OR(E3444="&lt;/routeDistribution&gt;",E3444=""),"",IFERROR(_xlfn.CONCAT(VLOOKUP(CF41,Route_Column!#REF!,2,FALSE),CHAR(34)," probability=",CHAR(34),1/CF$4,CHAR(34),CHAR(47),CHAR(62)),"&lt;/routeDistribution&gt;"))</f>
        <v/>
      </c>
    </row>
    <row r="3446" spans="1:5" x14ac:dyDescent="0.25">
      <c r="A3446" t="s">
        <v>1443</v>
      </c>
      <c r="B3446" t="s">
        <v>1171</v>
      </c>
      <c r="E3446" t="str">
        <f>IF(OR(E3445="&lt;/routeDistribution&gt;",E3445=""),"",IFERROR(_xlfn.CONCAT(VLOOKUP(CF42,Route_Column!#REF!,2,FALSE),CHAR(34)," probability=",CHAR(34),1/CF$4,CHAR(34),CHAR(47),CHAR(62)),"&lt;/routeDistribution&gt;"))</f>
        <v/>
      </c>
    </row>
    <row r="3447" spans="1:5" x14ac:dyDescent="0.25">
      <c r="A3447" t="s">
        <v>1443</v>
      </c>
      <c r="B3447" t="s">
        <v>1182</v>
      </c>
      <c r="E3447" t="str">
        <f>IF(OR(E3446="&lt;/routeDistribution&gt;",E3446=""),"",IFERROR(_xlfn.CONCAT(VLOOKUP(CF43,Route_Column!#REF!,2,FALSE),CHAR(34)," probability=",CHAR(34),1/CF$4,CHAR(34),CHAR(47),CHAR(62)),"&lt;/routeDistribution&gt;"))</f>
        <v/>
      </c>
    </row>
    <row r="3448" spans="1:5" x14ac:dyDescent="0.25">
      <c r="A3448" t="s">
        <v>1443</v>
      </c>
      <c r="B3448" t="s">
        <v>1191</v>
      </c>
      <c r="E3448" t="str">
        <f>IF(OR(E3447="&lt;/routeDistribution&gt;",E3447=""),"",IFERROR(_xlfn.CONCAT(VLOOKUP(CF44,Route_Column!#REF!,2,FALSE),CHAR(34)," probability=",CHAR(34),1/CF$4,CHAR(34),CHAR(47),CHAR(62)),"&lt;/routeDistribution&gt;"))</f>
        <v/>
      </c>
    </row>
    <row r="3449" spans="1:5" x14ac:dyDescent="0.25">
      <c r="A3449" t="s">
        <v>1443</v>
      </c>
      <c r="B3449" t="s">
        <v>1215</v>
      </c>
      <c r="E3449" t="str">
        <f>IF(OR(E3448="&lt;/routeDistribution&gt;",E3448=""),"",IFERROR(_xlfn.CONCAT(VLOOKUP(CF45,Route_Column!#REF!,2,FALSE),CHAR(34)," probability=",CHAR(34),1/CF$4,CHAR(34),CHAR(47),CHAR(62)),"&lt;/routeDistribution&gt;"))</f>
        <v/>
      </c>
    </row>
    <row r="3450" spans="1:5" x14ac:dyDescent="0.25">
      <c r="A3450" t="s">
        <v>1640</v>
      </c>
      <c r="B3450" t="s">
        <v>1098</v>
      </c>
      <c r="E3450" t="str">
        <f>IF(OR(E3449="&lt;/routeDistribution&gt;",E3449=""),"",IFERROR(_xlfn.CONCAT(VLOOKUP(CF46,Route_Column!#REF!,2,FALSE),CHAR(34)," probability=",CHAR(34),1/CF$4,CHAR(34),CHAR(47),CHAR(62)),"&lt;/routeDistribution&gt;"))</f>
        <v/>
      </c>
    </row>
    <row r="3451" spans="1:5" x14ac:dyDescent="0.25">
      <c r="A3451" t="s">
        <v>1640</v>
      </c>
      <c r="B3451" t="s">
        <v>1185</v>
      </c>
      <c r="E3451" t="str">
        <f>IF(OR(E3450="&lt;/routeDistribution&gt;",E3450=""),"",IFERROR(_xlfn.CONCAT(VLOOKUP(CF47,Route_Column!#REF!,2,FALSE),CHAR(34)," probability=",CHAR(34),1/CF$4,CHAR(34),CHAR(47),CHAR(62)),"&lt;/routeDistribution&gt;"))</f>
        <v/>
      </c>
    </row>
    <row r="3452" spans="1:5" x14ac:dyDescent="0.25">
      <c r="A3452" t="s">
        <v>1640</v>
      </c>
      <c r="B3452" t="s">
        <v>1197</v>
      </c>
      <c r="E3452" t="str">
        <f>IF(OR(E3451="&lt;/routeDistribution&gt;",E3451=""),"",IFERROR(_xlfn.CONCAT(VLOOKUP(CF48,Route_Column!#REF!,2,FALSE),CHAR(34)," probability=",CHAR(34),1/CF$4,CHAR(34),CHAR(47),CHAR(62)),"&lt;/routeDistribution&gt;"))</f>
        <v/>
      </c>
    </row>
    <row r="3453" spans="1:5" x14ac:dyDescent="0.25">
      <c r="A3453" t="s">
        <v>2314</v>
      </c>
      <c r="B3453" t="s">
        <v>1215</v>
      </c>
      <c r="E3453" t="str">
        <f>IF(OR(E3452="&lt;/routeDistribution&gt;",E3452=""),"",IFERROR(_xlfn.CONCAT(VLOOKUP(CF49,Route_Column!#REF!,2,FALSE),CHAR(34)," probability=",CHAR(34),1/CF$4,CHAR(34),CHAR(47),CHAR(62)),"&lt;/routeDistribution&gt;"))</f>
        <v/>
      </c>
    </row>
    <row r="3454" spans="1:5" x14ac:dyDescent="0.25">
      <c r="A3454" t="s">
        <v>1639</v>
      </c>
      <c r="B3454" t="s">
        <v>1098</v>
      </c>
      <c r="E3454" t="str">
        <f>IF(OR(E3453="&lt;/routeDistribution&gt;",E3453=""),"",IFERROR(_xlfn.CONCAT(VLOOKUP(CF50,Route_Column!#REF!,2,FALSE),CHAR(34)," probability=",CHAR(34),1/CF$4,CHAR(34),CHAR(47),CHAR(62)),"&lt;/routeDistribution&gt;"))</f>
        <v/>
      </c>
    </row>
    <row r="3455" spans="1:5" x14ac:dyDescent="0.25">
      <c r="A3455" t="s">
        <v>1639</v>
      </c>
      <c r="B3455" t="s">
        <v>1185</v>
      </c>
      <c r="E3455" t="str">
        <f>IF(OR(E3454="&lt;/routeDistribution&gt;",E3454=""),"",IFERROR(_xlfn.CONCAT(VLOOKUP(CF51,Route_Column!#REF!,2,FALSE),CHAR(34)," probability=",CHAR(34),1/CF$4,CHAR(34),CHAR(47),CHAR(62)),"&lt;/routeDistribution&gt;"))</f>
        <v/>
      </c>
    </row>
    <row r="3456" spans="1:5" x14ac:dyDescent="0.25">
      <c r="A3456" t="s">
        <v>1639</v>
      </c>
      <c r="B3456" t="s">
        <v>1197</v>
      </c>
      <c r="E3456" t="str">
        <f>IF(OR(E3455="&lt;/routeDistribution&gt;",E3455=""),"",IFERROR(_xlfn.CONCAT(VLOOKUP(CF52,Route_Column!#REF!,2,FALSE),CHAR(34)," probability=",CHAR(34),1/CF$4,CHAR(34),CHAR(47),CHAR(62)),"&lt;/routeDistribution&gt;"))</f>
        <v/>
      </c>
    </row>
    <row r="3457" spans="1:5" x14ac:dyDescent="0.25">
      <c r="A3457" t="s">
        <v>1689</v>
      </c>
      <c r="B3457" t="s">
        <v>1099</v>
      </c>
      <c r="E3457" t="str">
        <f>IF(OR(E3456="&lt;/routeDistribution&gt;",E3456=""),"",IFERROR(_xlfn.CONCAT(VLOOKUP(CF53,Route_Column!#REF!,2,FALSE),CHAR(34)," probability=",CHAR(34),1/CF$4,CHAR(34),CHAR(47),CHAR(62)),"&lt;/routeDistribution&gt;"))</f>
        <v/>
      </c>
    </row>
    <row r="3458" spans="1:5" x14ac:dyDescent="0.25">
      <c r="A3458" t="s">
        <v>1689</v>
      </c>
      <c r="B3458" t="s">
        <v>1109</v>
      </c>
      <c r="E3458" t="str">
        <f>IF(OR(E3457="&lt;/routeDistribution&gt;",E3457=""),"",IFERROR(_xlfn.CONCAT(VLOOKUP(CF54,Route_Column!#REF!,2,FALSE),CHAR(34)," probability=",CHAR(34),1/CF$4,CHAR(34),CHAR(47),CHAR(62)),"&lt;/routeDistribution&gt;"))</f>
        <v/>
      </c>
    </row>
    <row r="3459" spans="1:5" x14ac:dyDescent="0.25">
      <c r="A3459" t="s">
        <v>1689</v>
      </c>
      <c r="B3459" t="s">
        <v>1122</v>
      </c>
      <c r="E3459" t="str">
        <f>IF(OR(E3458="&lt;/routeDistribution&gt;",E3458=""),"",IFERROR(_xlfn.CONCAT(VLOOKUP(CF55,Route_Column!#REF!,2,FALSE),CHAR(34)," probability=",CHAR(34),1/CF$4,CHAR(34),CHAR(47),CHAR(62)),"&lt;/routeDistribution&gt;"))</f>
        <v/>
      </c>
    </row>
    <row r="3460" spans="1:5" x14ac:dyDescent="0.25">
      <c r="A3460" t="s">
        <v>1689</v>
      </c>
      <c r="B3460" t="s">
        <v>1167</v>
      </c>
      <c r="E3460" t="str">
        <f>IF(OR(E3459="&lt;/routeDistribution&gt;",E3459=""),"",IFERROR(_xlfn.CONCAT(VLOOKUP(CF56,Route_Column!#REF!,2,FALSE),CHAR(34)," probability=",CHAR(34),1/CF$4,CHAR(34),CHAR(47),CHAR(62)),"&lt;/routeDistribution&gt;"))</f>
        <v/>
      </c>
    </row>
    <row r="3461" spans="1:5" x14ac:dyDescent="0.25">
      <c r="A3461" t="s">
        <v>1689</v>
      </c>
      <c r="B3461" t="s">
        <v>1207</v>
      </c>
      <c r="E3461" t="str">
        <f>IF(OR(E3460="&lt;/routeDistribution&gt;",E3460=""),"",IFERROR(_xlfn.CONCAT(VLOOKUP(CF57,Route_Column!#REF!,2,FALSE),CHAR(34)," probability=",CHAR(34),1/CF$4,CHAR(34),CHAR(47),CHAR(62)),"&lt;/routeDistribution&gt;"))</f>
        <v/>
      </c>
    </row>
    <row r="3462" spans="1:5" x14ac:dyDescent="0.25">
      <c r="A3462" t="s">
        <v>1690</v>
      </c>
      <c r="B3462" t="s">
        <v>1099</v>
      </c>
      <c r="E3462" t="str">
        <f>IF(OR(E3461="&lt;/routeDistribution&gt;",E3461=""),"",IFERROR(_xlfn.CONCAT(VLOOKUP(CF58,Route_Column!#REF!,2,FALSE),CHAR(34)," probability=",CHAR(34),1/CF$4,CHAR(34),CHAR(47),CHAR(62)),"&lt;/routeDistribution&gt;"))</f>
        <v/>
      </c>
    </row>
    <row r="3463" spans="1:5" x14ac:dyDescent="0.25">
      <c r="A3463" t="s">
        <v>1690</v>
      </c>
      <c r="B3463" t="s">
        <v>1109</v>
      </c>
      <c r="E3463" t="str">
        <f>IF(OR(E3462="&lt;/routeDistribution&gt;",E3462=""),"",IFERROR(_xlfn.CONCAT(VLOOKUP(CF59,Route_Column!#REF!,2,FALSE),CHAR(34)," probability=",CHAR(34),1/CF$4,CHAR(34),CHAR(47),CHAR(62)),"&lt;/routeDistribution&gt;"))</f>
        <v/>
      </c>
    </row>
    <row r="3464" spans="1:5" x14ac:dyDescent="0.25">
      <c r="A3464" t="s">
        <v>1690</v>
      </c>
      <c r="B3464" t="s">
        <v>1122</v>
      </c>
      <c r="E3464" t="str">
        <f>IF(OR(E3463="&lt;/routeDistribution&gt;",E3463=""),"",IFERROR(_xlfn.CONCAT(VLOOKUP(CF60,Route_Column!#REF!,2,FALSE),CHAR(34)," probability=",CHAR(34),1/CF$4,CHAR(34),CHAR(47),CHAR(62)),"&lt;/routeDistribution&gt;"))</f>
        <v/>
      </c>
    </row>
    <row r="3465" spans="1:5" x14ac:dyDescent="0.25">
      <c r="A3465" t="s">
        <v>1690</v>
      </c>
      <c r="B3465" t="s">
        <v>1167</v>
      </c>
      <c r="E3465" t="str">
        <f>IF(OR(E3464="&lt;/routeDistribution&gt;",E3464=""),"",IFERROR(_xlfn.CONCAT(VLOOKUP(CF61,Route_Column!#REF!,2,FALSE),CHAR(34)," probability=",CHAR(34),1/CF$4,CHAR(34),CHAR(47),CHAR(62)),"&lt;/routeDistribution&gt;"))</f>
        <v/>
      </c>
    </row>
    <row r="3466" spans="1:5" x14ac:dyDescent="0.25">
      <c r="A3466" t="s">
        <v>1690</v>
      </c>
      <c r="B3466" t="s">
        <v>1207</v>
      </c>
      <c r="E3466" t="str">
        <f>IF(OR(E3465="&lt;/routeDistribution&gt;",E3465=""),"",IFERROR(_xlfn.CONCAT(VLOOKUP(CF62,Route_Column!#REF!,2,FALSE),CHAR(34)," probability=",CHAR(34),1/CF$4,CHAR(34),CHAR(47),CHAR(62)),"&lt;/routeDistribution&gt;"))</f>
        <v/>
      </c>
    </row>
    <row r="3467" spans="1:5" x14ac:dyDescent="0.25">
      <c r="A3467" t="s">
        <v>2094</v>
      </c>
      <c r="B3467" t="s">
        <v>1139</v>
      </c>
      <c r="E3467" t="str">
        <f>IF(OR(E3466="&lt;/routeDistribution&gt;",E3466=""),"",IFERROR(_xlfn.CONCAT(VLOOKUP(CF63,Route_Column!#REF!,2,FALSE),CHAR(34)," probability=",CHAR(34),1/CF$4,CHAR(34),CHAR(47),CHAR(62)),"&lt;/routeDistribution&gt;"))</f>
        <v/>
      </c>
    </row>
    <row r="3468" spans="1:5" x14ac:dyDescent="0.25">
      <c r="A3468" t="s">
        <v>2094</v>
      </c>
      <c r="B3468" t="s">
        <v>1140</v>
      </c>
      <c r="E3468" t="s">
        <v>2686</v>
      </c>
    </row>
    <row r="3469" spans="1:5" x14ac:dyDescent="0.25">
      <c r="A3469" t="s">
        <v>2094</v>
      </c>
      <c r="B3469" t="s">
        <v>1150</v>
      </c>
    </row>
    <row r="3470" spans="1:5" x14ac:dyDescent="0.25">
      <c r="A3470" t="s">
        <v>2094</v>
      </c>
      <c r="B3470" t="s">
        <v>1157</v>
      </c>
    </row>
    <row r="3471" spans="1:5" x14ac:dyDescent="0.25">
      <c r="A3471" t="s">
        <v>2094</v>
      </c>
      <c r="B3471" t="s">
        <v>1214</v>
      </c>
      <c r="E3471" t="str">
        <f>_xlfn.CONCAT($E$1,CE$2,$F$1)</f>
        <v>&lt;routeDistribution id="38th-Spruce-to-Walnut-SB-2009-RouteProbe"&gt;</v>
      </c>
    </row>
    <row r="3472" spans="1:5" x14ac:dyDescent="0.25">
      <c r="A3472" t="s">
        <v>2094</v>
      </c>
      <c r="B3472" t="s">
        <v>1215</v>
      </c>
      <c r="E3472" t="str">
        <f>IF(OR(E3471="&lt;/routeDistribution&gt;",E3471=""),"",IFERROR(_xlfn.CONCAT(VLOOKUP(CE5,Route_Column!#REF!,2,FALSE),CHAR(34)," probability=",CHAR(34),1/CE$4,CHAR(34),CHAR(47),CHAR(62)),"&lt;/routeDistribution&gt;"))</f>
        <v>&lt;/routeDistribution&gt;</v>
      </c>
    </row>
    <row r="3473" spans="1:5" x14ac:dyDescent="0.25">
      <c r="A3473" t="s">
        <v>2094</v>
      </c>
      <c r="B3473" t="s">
        <v>1226</v>
      </c>
      <c r="E3473" t="str">
        <f>IF(OR(E3472="&lt;/routeDistribution&gt;",E3472=""),"",IFERROR(_xlfn.CONCAT(VLOOKUP(CE6,Route_Column!#REF!,2,FALSE),CHAR(34)," probability=",CHAR(34),1/CE$4,CHAR(34),CHAR(47),CHAR(62)),"&lt;/routeDistribution&gt;"))</f>
        <v/>
      </c>
    </row>
    <row r="3474" spans="1:5" x14ac:dyDescent="0.25">
      <c r="A3474" t="s">
        <v>2094</v>
      </c>
      <c r="B3474" t="s">
        <v>1233</v>
      </c>
      <c r="E3474" t="str">
        <f>IF(OR(E3473="&lt;/routeDistribution&gt;",E3473=""),"",IFERROR(_xlfn.CONCAT(VLOOKUP(CE7,Route_Column!#REF!,2,FALSE),CHAR(34)," probability=",CHAR(34),1/CE$4,CHAR(34),CHAR(47),CHAR(62)),"&lt;/routeDistribution&gt;"))</f>
        <v/>
      </c>
    </row>
    <row r="3475" spans="1:5" x14ac:dyDescent="0.25">
      <c r="A3475" t="s">
        <v>2094</v>
      </c>
      <c r="B3475" t="s">
        <v>1254</v>
      </c>
      <c r="E3475" t="str">
        <f>IF(OR(E3474="&lt;/routeDistribution&gt;",E3474=""),"",IFERROR(_xlfn.CONCAT(VLOOKUP(CE8,Route_Column!#REF!,2,FALSE),CHAR(34)," probability=",CHAR(34),1/CE$4,CHAR(34),CHAR(47),CHAR(62)),"&lt;/routeDistribution&gt;"))</f>
        <v/>
      </c>
    </row>
    <row r="3476" spans="1:5" x14ac:dyDescent="0.25">
      <c r="A3476" t="s">
        <v>2095</v>
      </c>
      <c r="B3476" t="s">
        <v>1139</v>
      </c>
      <c r="E3476" t="str">
        <f>IF(OR(E3475="&lt;/routeDistribution&gt;",E3475=""),"",IFERROR(_xlfn.CONCAT(VLOOKUP(CE9,Route_Column!#REF!,2,FALSE),CHAR(34)," probability=",CHAR(34),1/CE$4,CHAR(34),CHAR(47),CHAR(62)),"&lt;/routeDistribution&gt;"))</f>
        <v/>
      </c>
    </row>
    <row r="3477" spans="1:5" x14ac:dyDescent="0.25">
      <c r="A3477" t="s">
        <v>2095</v>
      </c>
      <c r="B3477" t="s">
        <v>1140</v>
      </c>
      <c r="E3477" t="str">
        <f>IF(OR(E3476="&lt;/routeDistribution&gt;",E3476=""),"",IFERROR(_xlfn.CONCAT(VLOOKUP(CE10,Route_Column!#REF!,2,FALSE),CHAR(34)," probability=",CHAR(34),1/CE$4,CHAR(34),CHAR(47),CHAR(62)),"&lt;/routeDistribution&gt;"))</f>
        <v/>
      </c>
    </row>
    <row r="3478" spans="1:5" x14ac:dyDescent="0.25">
      <c r="A3478" t="s">
        <v>2095</v>
      </c>
      <c r="B3478" t="s">
        <v>1150</v>
      </c>
      <c r="E3478" t="str">
        <f>IF(OR(E3477="&lt;/routeDistribution&gt;",E3477=""),"",IFERROR(_xlfn.CONCAT(VLOOKUP(CE11,Route_Column!#REF!,2,FALSE),CHAR(34)," probability=",CHAR(34),1/CE$4,CHAR(34),CHAR(47),CHAR(62)),"&lt;/routeDistribution&gt;"))</f>
        <v/>
      </c>
    </row>
    <row r="3479" spans="1:5" x14ac:dyDescent="0.25">
      <c r="A3479" t="s">
        <v>2095</v>
      </c>
      <c r="B3479" t="s">
        <v>1157</v>
      </c>
      <c r="E3479" t="str">
        <f>IF(OR(E3478="&lt;/routeDistribution&gt;",E3478=""),"",IFERROR(_xlfn.CONCAT(VLOOKUP(CE12,Route_Column!#REF!,2,FALSE),CHAR(34)," probability=",CHAR(34),1/CE$4,CHAR(34),CHAR(47),CHAR(62)),"&lt;/routeDistribution&gt;"))</f>
        <v/>
      </c>
    </row>
    <row r="3480" spans="1:5" x14ac:dyDescent="0.25">
      <c r="A3480" t="s">
        <v>2095</v>
      </c>
      <c r="B3480" t="s">
        <v>1214</v>
      </c>
      <c r="E3480" t="str">
        <f>IF(OR(E3479="&lt;/routeDistribution&gt;",E3479=""),"",IFERROR(_xlfn.CONCAT(VLOOKUP(CE13,Route_Column!#REF!,2,FALSE),CHAR(34)," probability=",CHAR(34),1/CE$4,CHAR(34),CHAR(47),CHAR(62)),"&lt;/routeDistribution&gt;"))</f>
        <v/>
      </c>
    </row>
    <row r="3481" spans="1:5" x14ac:dyDescent="0.25">
      <c r="A3481" t="s">
        <v>2095</v>
      </c>
      <c r="B3481" t="s">
        <v>1215</v>
      </c>
      <c r="E3481" t="str">
        <f>IF(OR(E3480="&lt;/routeDistribution&gt;",E3480=""),"",IFERROR(_xlfn.CONCAT(VLOOKUP(CE14,Route_Column!#REF!,2,FALSE),CHAR(34)," probability=",CHAR(34),1/CE$4,CHAR(34),CHAR(47),CHAR(62)),"&lt;/routeDistribution&gt;"))</f>
        <v/>
      </c>
    </row>
    <row r="3482" spans="1:5" x14ac:dyDescent="0.25">
      <c r="A3482" t="s">
        <v>2095</v>
      </c>
      <c r="B3482" t="s">
        <v>1226</v>
      </c>
      <c r="E3482" t="str">
        <f>IF(OR(E3481="&lt;/routeDistribution&gt;",E3481=""),"",IFERROR(_xlfn.CONCAT(VLOOKUP(CE15,Route_Column!#REF!,2,FALSE),CHAR(34)," probability=",CHAR(34),1/CE$4,CHAR(34),CHAR(47),CHAR(62)),"&lt;/routeDistribution&gt;"))</f>
        <v/>
      </c>
    </row>
    <row r="3483" spans="1:5" x14ac:dyDescent="0.25">
      <c r="A3483" t="s">
        <v>2095</v>
      </c>
      <c r="B3483" t="s">
        <v>1233</v>
      </c>
      <c r="E3483" t="str">
        <f>IF(OR(E3482="&lt;/routeDistribution&gt;",E3482=""),"",IFERROR(_xlfn.CONCAT(VLOOKUP(CE16,Route_Column!#REF!,2,FALSE),CHAR(34)," probability=",CHAR(34),1/CE$4,CHAR(34),CHAR(47),CHAR(62)),"&lt;/routeDistribution&gt;"))</f>
        <v/>
      </c>
    </row>
    <row r="3484" spans="1:5" x14ac:dyDescent="0.25">
      <c r="A3484" t="s">
        <v>2095</v>
      </c>
      <c r="B3484" t="s">
        <v>1254</v>
      </c>
      <c r="E3484" t="str">
        <f>IF(OR(E3483="&lt;/routeDistribution&gt;",E3483=""),"",IFERROR(_xlfn.CONCAT(VLOOKUP(CE17,Route_Column!#REF!,2,FALSE),CHAR(34)," probability=",CHAR(34),1/CE$4,CHAR(34),CHAR(47),CHAR(62)),"&lt;/routeDistribution&gt;"))</f>
        <v/>
      </c>
    </row>
    <row r="3485" spans="1:5" x14ac:dyDescent="0.25">
      <c r="A3485" t="s">
        <v>1683</v>
      </c>
      <c r="B3485" t="s">
        <v>1099</v>
      </c>
      <c r="E3485" t="str">
        <f>IF(OR(E3484="&lt;/routeDistribution&gt;",E3484=""),"",IFERROR(_xlfn.CONCAT(VLOOKUP(CE18,Route_Column!#REF!,2,FALSE),CHAR(34)," probability=",CHAR(34),1/CE$4,CHAR(34),CHAR(47),CHAR(62)),"&lt;/routeDistribution&gt;"))</f>
        <v/>
      </c>
    </row>
    <row r="3486" spans="1:5" x14ac:dyDescent="0.25">
      <c r="A3486" t="s">
        <v>1683</v>
      </c>
      <c r="B3486" t="s">
        <v>1100</v>
      </c>
      <c r="E3486" t="str">
        <f>IF(OR(E3485="&lt;/routeDistribution&gt;",E3485=""),"",IFERROR(_xlfn.CONCAT(VLOOKUP(CE19,Route_Column!#REF!,2,FALSE),CHAR(34)," probability=",CHAR(34),1/CE$4,CHAR(34),CHAR(47),CHAR(62)),"&lt;/routeDistribution&gt;"))</f>
        <v/>
      </c>
    </row>
    <row r="3487" spans="1:5" x14ac:dyDescent="0.25">
      <c r="A3487" t="s">
        <v>1683</v>
      </c>
      <c r="B3487" t="s">
        <v>1101</v>
      </c>
      <c r="E3487" t="str">
        <f>IF(OR(E3486="&lt;/routeDistribution&gt;",E3486=""),"",IFERROR(_xlfn.CONCAT(VLOOKUP(CE20,Route_Column!#REF!,2,FALSE),CHAR(34)," probability=",CHAR(34),1/CE$4,CHAR(34),CHAR(47),CHAR(62)),"&lt;/routeDistribution&gt;"))</f>
        <v/>
      </c>
    </row>
    <row r="3488" spans="1:5" x14ac:dyDescent="0.25">
      <c r="A3488" t="s">
        <v>1683</v>
      </c>
      <c r="B3488" t="s">
        <v>1102</v>
      </c>
      <c r="E3488" t="str">
        <f>IF(OR(E3487="&lt;/routeDistribution&gt;",E3487=""),"",IFERROR(_xlfn.CONCAT(VLOOKUP(CE21,Route_Column!#REF!,2,FALSE),CHAR(34)," probability=",CHAR(34),1/CE$4,CHAR(34),CHAR(47),CHAR(62)),"&lt;/routeDistribution&gt;"))</f>
        <v/>
      </c>
    </row>
    <row r="3489" spans="1:5" x14ac:dyDescent="0.25">
      <c r="A3489" t="s">
        <v>1683</v>
      </c>
      <c r="B3489" t="s">
        <v>1103</v>
      </c>
      <c r="E3489" t="str">
        <f>IF(OR(E3488="&lt;/routeDistribution&gt;",E3488=""),"",IFERROR(_xlfn.CONCAT(VLOOKUP(CE22,Route_Column!#REF!,2,FALSE),CHAR(34)," probability=",CHAR(34),1/CE$4,CHAR(34),CHAR(47),CHAR(62)),"&lt;/routeDistribution&gt;"))</f>
        <v/>
      </c>
    </row>
    <row r="3490" spans="1:5" x14ac:dyDescent="0.25">
      <c r="A3490" t="s">
        <v>1683</v>
      </c>
      <c r="B3490" t="s">
        <v>1104</v>
      </c>
      <c r="E3490" t="str">
        <f>IF(OR(E3489="&lt;/routeDistribution&gt;",E3489=""),"",IFERROR(_xlfn.CONCAT(VLOOKUP(CE23,Route_Column!#REF!,2,FALSE),CHAR(34)," probability=",CHAR(34),1/CE$4,CHAR(34),CHAR(47),CHAR(62)),"&lt;/routeDistribution&gt;"))</f>
        <v/>
      </c>
    </row>
    <row r="3491" spans="1:5" x14ac:dyDescent="0.25">
      <c r="A3491" t="s">
        <v>1683</v>
      </c>
      <c r="B3491" t="s">
        <v>1105</v>
      </c>
      <c r="E3491" t="str">
        <f>IF(OR(E3490="&lt;/routeDistribution&gt;",E3490=""),"",IFERROR(_xlfn.CONCAT(VLOOKUP(CE24,Route_Column!#REF!,2,FALSE),CHAR(34)," probability=",CHAR(34),1/CE$4,CHAR(34),CHAR(47),CHAR(62)),"&lt;/routeDistribution&gt;"))</f>
        <v/>
      </c>
    </row>
    <row r="3492" spans="1:5" x14ac:dyDescent="0.25">
      <c r="A3492" t="s">
        <v>1683</v>
      </c>
      <c r="B3492" t="s">
        <v>1164</v>
      </c>
      <c r="E3492" t="str">
        <f>IF(OR(E3491="&lt;/routeDistribution&gt;",E3491=""),"",IFERROR(_xlfn.CONCAT(VLOOKUP(CE25,Route_Column!#REF!,2,FALSE),CHAR(34)," probability=",CHAR(34),1/CE$4,CHAR(34),CHAR(47),CHAR(62)),"&lt;/routeDistribution&gt;"))</f>
        <v/>
      </c>
    </row>
    <row r="3493" spans="1:5" x14ac:dyDescent="0.25">
      <c r="A3493" t="s">
        <v>1682</v>
      </c>
      <c r="B3493" t="s">
        <v>1099</v>
      </c>
      <c r="E3493" t="str">
        <f>IF(OR(E3492="&lt;/routeDistribution&gt;",E3492=""),"",IFERROR(_xlfn.CONCAT(VLOOKUP(CE26,Route_Column!#REF!,2,FALSE),CHAR(34)," probability=",CHAR(34),1/CE$4,CHAR(34),CHAR(47),CHAR(62)),"&lt;/routeDistribution&gt;"))</f>
        <v/>
      </c>
    </row>
    <row r="3494" spans="1:5" x14ac:dyDescent="0.25">
      <c r="A3494" t="s">
        <v>1682</v>
      </c>
      <c r="B3494" t="s">
        <v>1100</v>
      </c>
      <c r="E3494" t="str">
        <f>IF(OR(E3493="&lt;/routeDistribution&gt;",E3493=""),"",IFERROR(_xlfn.CONCAT(VLOOKUP(CE27,Route_Column!#REF!,2,FALSE),CHAR(34)," probability=",CHAR(34),1/CE$4,CHAR(34),CHAR(47),CHAR(62)),"&lt;/routeDistribution&gt;"))</f>
        <v/>
      </c>
    </row>
    <row r="3495" spans="1:5" x14ac:dyDescent="0.25">
      <c r="A3495" t="s">
        <v>1682</v>
      </c>
      <c r="B3495" t="s">
        <v>1101</v>
      </c>
      <c r="E3495" t="str">
        <f>IF(OR(E3494="&lt;/routeDistribution&gt;",E3494=""),"",IFERROR(_xlfn.CONCAT(VLOOKUP(CE28,Route_Column!#REF!,2,FALSE),CHAR(34)," probability=",CHAR(34),1/CE$4,CHAR(34),CHAR(47),CHAR(62)),"&lt;/routeDistribution&gt;"))</f>
        <v/>
      </c>
    </row>
    <row r="3496" spans="1:5" x14ac:dyDescent="0.25">
      <c r="A3496" t="s">
        <v>1682</v>
      </c>
      <c r="B3496" t="s">
        <v>1102</v>
      </c>
      <c r="E3496" t="str">
        <f>IF(OR(E3495="&lt;/routeDistribution&gt;",E3495=""),"",IFERROR(_xlfn.CONCAT(VLOOKUP(CE29,Route_Column!#REF!,2,FALSE),CHAR(34)," probability=",CHAR(34),1/CE$4,CHAR(34),CHAR(47),CHAR(62)),"&lt;/routeDistribution&gt;"))</f>
        <v/>
      </c>
    </row>
    <row r="3497" spans="1:5" x14ac:dyDescent="0.25">
      <c r="A3497" t="s">
        <v>1682</v>
      </c>
      <c r="B3497" t="s">
        <v>1103</v>
      </c>
      <c r="E3497" t="str">
        <f>IF(OR(E3496="&lt;/routeDistribution&gt;",E3496=""),"",IFERROR(_xlfn.CONCAT(VLOOKUP(CE30,Route_Column!#REF!,2,FALSE),CHAR(34)," probability=",CHAR(34),1/CE$4,CHAR(34),CHAR(47),CHAR(62)),"&lt;/routeDistribution&gt;"))</f>
        <v/>
      </c>
    </row>
    <row r="3498" spans="1:5" x14ac:dyDescent="0.25">
      <c r="A3498" t="s">
        <v>1682</v>
      </c>
      <c r="B3498" t="s">
        <v>1104</v>
      </c>
      <c r="E3498" t="str">
        <f>IF(OR(E3497="&lt;/routeDistribution&gt;",E3497=""),"",IFERROR(_xlfn.CONCAT(VLOOKUP(CE31,Route_Column!#REF!,2,FALSE),CHAR(34)," probability=",CHAR(34),1/CE$4,CHAR(34),CHAR(47),CHAR(62)),"&lt;/routeDistribution&gt;"))</f>
        <v/>
      </c>
    </row>
    <row r="3499" spans="1:5" x14ac:dyDescent="0.25">
      <c r="A3499" t="s">
        <v>1682</v>
      </c>
      <c r="B3499" t="s">
        <v>1105</v>
      </c>
      <c r="E3499" t="str">
        <f>IF(OR(E3498="&lt;/routeDistribution&gt;",E3498=""),"",IFERROR(_xlfn.CONCAT(VLOOKUP(CE32,Route_Column!#REF!,2,FALSE),CHAR(34)," probability=",CHAR(34),1/CE$4,CHAR(34),CHAR(47),CHAR(62)),"&lt;/routeDistribution&gt;"))</f>
        <v/>
      </c>
    </row>
    <row r="3500" spans="1:5" x14ac:dyDescent="0.25">
      <c r="A3500" t="s">
        <v>1682</v>
      </c>
      <c r="B3500" t="s">
        <v>1164</v>
      </c>
      <c r="E3500" t="str">
        <f>IF(OR(E3499="&lt;/routeDistribution&gt;",E3499=""),"",IFERROR(_xlfn.CONCAT(VLOOKUP(CE33,Route_Column!#REF!,2,FALSE),CHAR(34)," probability=",CHAR(34),1/CE$4,CHAR(34),CHAR(47),CHAR(62)),"&lt;/routeDistribution&gt;"))</f>
        <v/>
      </c>
    </row>
    <row r="3501" spans="1:5" x14ac:dyDescent="0.25">
      <c r="A3501" t="s">
        <v>1681</v>
      </c>
      <c r="B3501" t="s">
        <v>1099</v>
      </c>
      <c r="E3501" t="str">
        <f>IF(OR(E3500="&lt;/routeDistribution&gt;",E3500=""),"",IFERROR(_xlfn.CONCAT(VLOOKUP(CE34,Route_Column!#REF!,2,FALSE),CHAR(34)," probability=",CHAR(34),1/CE$4,CHAR(34),CHAR(47),CHAR(62)),"&lt;/routeDistribution&gt;"))</f>
        <v/>
      </c>
    </row>
    <row r="3502" spans="1:5" x14ac:dyDescent="0.25">
      <c r="A3502" t="s">
        <v>1681</v>
      </c>
      <c r="B3502" t="s">
        <v>1100</v>
      </c>
      <c r="E3502" t="str">
        <f>IF(OR(E3501="&lt;/routeDistribution&gt;",E3501=""),"",IFERROR(_xlfn.CONCAT(VLOOKUP(CE35,Route_Column!#REF!,2,FALSE),CHAR(34)," probability=",CHAR(34),1/CE$4,CHAR(34),CHAR(47),CHAR(62)),"&lt;/routeDistribution&gt;"))</f>
        <v/>
      </c>
    </row>
    <row r="3503" spans="1:5" x14ac:dyDescent="0.25">
      <c r="A3503" t="s">
        <v>1681</v>
      </c>
      <c r="B3503" t="s">
        <v>1101</v>
      </c>
      <c r="E3503" t="str">
        <f>IF(OR(E3502="&lt;/routeDistribution&gt;",E3502=""),"",IFERROR(_xlfn.CONCAT(VLOOKUP(CE36,Route_Column!#REF!,2,FALSE),CHAR(34)," probability=",CHAR(34),1/CE$4,CHAR(34),CHAR(47),CHAR(62)),"&lt;/routeDistribution&gt;"))</f>
        <v/>
      </c>
    </row>
    <row r="3504" spans="1:5" x14ac:dyDescent="0.25">
      <c r="A3504" t="s">
        <v>1681</v>
      </c>
      <c r="B3504" t="s">
        <v>1102</v>
      </c>
      <c r="E3504" t="str">
        <f>IF(OR(E3503="&lt;/routeDistribution&gt;",E3503=""),"",IFERROR(_xlfn.CONCAT(VLOOKUP(CE37,Route_Column!#REF!,2,FALSE),CHAR(34)," probability=",CHAR(34),1/CE$4,CHAR(34),CHAR(47),CHAR(62)),"&lt;/routeDistribution&gt;"))</f>
        <v/>
      </c>
    </row>
    <row r="3505" spans="1:5" x14ac:dyDescent="0.25">
      <c r="A3505" t="s">
        <v>1681</v>
      </c>
      <c r="B3505" t="s">
        <v>1103</v>
      </c>
      <c r="E3505" t="str">
        <f>IF(OR(E3504="&lt;/routeDistribution&gt;",E3504=""),"",IFERROR(_xlfn.CONCAT(VLOOKUP(CE38,Route_Column!#REF!,2,FALSE),CHAR(34)," probability=",CHAR(34),1/CE$4,CHAR(34),CHAR(47),CHAR(62)),"&lt;/routeDistribution&gt;"))</f>
        <v/>
      </c>
    </row>
    <row r="3506" spans="1:5" x14ac:dyDescent="0.25">
      <c r="A3506" t="s">
        <v>1681</v>
      </c>
      <c r="B3506" t="s">
        <v>1104</v>
      </c>
      <c r="E3506" t="str">
        <f>IF(OR(E3505="&lt;/routeDistribution&gt;",E3505=""),"",IFERROR(_xlfn.CONCAT(VLOOKUP(CE39,Route_Column!#REF!,2,FALSE),CHAR(34)," probability=",CHAR(34),1/CE$4,CHAR(34),CHAR(47),CHAR(62)),"&lt;/routeDistribution&gt;"))</f>
        <v/>
      </c>
    </row>
    <row r="3507" spans="1:5" x14ac:dyDescent="0.25">
      <c r="A3507" t="s">
        <v>1681</v>
      </c>
      <c r="B3507" t="s">
        <v>1105</v>
      </c>
      <c r="E3507" t="str">
        <f>IF(OR(E3506="&lt;/routeDistribution&gt;",E3506=""),"",IFERROR(_xlfn.CONCAT(VLOOKUP(CE40,Route_Column!#REF!,2,FALSE),CHAR(34)," probability=",CHAR(34),1/CE$4,CHAR(34),CHAR(47),CHAR(62)),"&lt;/routeDistribution&gt;"))</f>
        <v/>
      </c>
    </row>
    <row r="3508" spans="1:5" x14ac:dyDescent="0.25">
      <c r="A3508" t="s">
        <v>1681</v>
      </c>
      <c r="B3508" t="s">
        <v>1164</v>
      </c>
      <c r="E3508" t="str">
        <f>IF(OR(E3507="&lt;/routeDistribution&gt;",E3507=""),"",IFERROR(_xlfn.CONCAT(VLOOKUP(CE41,Route_Column!#REF!,2,FALSE),CHAR(34)," probability=",CHAR(34),1/CE$4,CHAR(34),CHAR(47),CHAR(62)),"&lt;/routeDistribution&gt;"))</f>
        <v/>
      </c>
    </row>
    <row r="3509" spans="1:5" x14ac:dyDescent="0.25">
      <c r="A3509" t="s">
        <v>2355</v>
      </c>
      <c r="B3509" t="s">
        <v>1242</v>
      </c>
      <c r="E3509" t="str">
        <f>IF(OR(E3508="&lt;/routeDistribution&gt;",E3508=""),"",IFERROR(_xlfn.CONCAT(VLOOKUP(CE42,Route_Column!#REF!,2,FALSE),CHAR(34)," probability=",CHAR(34),1/CE$4,CHAR(34),CHAR(47),CHAR(62)),"&lt;/routeDistribution&gt;"))</f>
        <v/>
      </c>
    </row>
    <row r="3510" spans="1:5" x14ac:dyDescent="0.25">
      <c r="A3510" t="s">
        <v>2355</v>
      </c>
      <c r="B3510" t="s">
        <v>1245</v>
      </c>
      <c r="E3510" t="str">
        <f>IF(OR(E3509="&lt;/routeDistribution&gt;",E3509=""),"",IFERROR(_xlfn.CONCAT(VLOOKUP(CE43,Route_Column!#REF!,2,FALSE),CHAR(34)," probability=",CHAR(34),1/CE$4,CHAR(34),CHAR(47),CHAR(62)),"&lt;/routeDistribution&gt;"))</f>
        <v/>
      </c>
    </row>
    <row r="3511" spans="1:5" x14ac:dyDescent="0.25">
      <c r="A3511" t="s">
        <v>2355</v>
      </c>
      <c r="B3511" t="s">
        <v>1246</v>
      </c>
      <c r="E3511" t="str">
        <f>IF(OR(E3510="&lt;/routeDistribution&gt;",E3510=""),"",IFERROR(_xlfn.CONCAT(VLOOKUP(CE44,Route_Column!#REF!,2,FALSE),CHAR(34)," probability=",CHAR(34),1/CE$4,CHAR(34),CHAR(47),CHAR(62)),"&lt;/routeDistribution&gt;"))</f>
        <v/>
      </c>
    </row>
    <row r="3512" spans="1:5" x14ac:dyDescent="0.25">
      <c r="A3512" t="s">
        <v>2355</v>
      </c>
      <c r="B3512" t="s">
        <v>1247</v>
      </c>
      <c r="E3512" t="str">
        <f>IF(OR(E3511="&lt;/routeDistribution&gt;",E3511=""),"",IFERROR(_xlfn.CONCAT(VLOOKUP(CE45,Route_Column!#REF!,2,FALSE),CHAR(34)," probability=",CHAR(34),1/CE$4,CHAR(34),CHAR(47),CHAR(62)),"&lt;/routeDistribution&gt;"))</f>
        <v/>
      </c>
    </row>
    <row r="3513" spans="1:5" x14ac:dyDescent="0.25">
      <c r="A3513" t="s">
        <v>2355</v>
      </c>
      <c r="B3513" t="s">
        <v>1248</v>
      </c>
      <c r="E3513" t="str">
        <f>IF(OR(E3512="&lt;/routeDistribution&gt;",E3512=""),"",IFERROR(_xlfn.CONCAT(VLOOKUP(CE46,Route_Column!#REF!,2,FALSE),CHAR(34)," probability=",CHAR(34),1/CE$4,CHAR(34),CHAR(47),CHAR(62)),"&lt;/routeDistribution&gt;"))</f>
        <v/>
      </c>
    </row>
    <row r="3514" spans="1:5" x14ac:dyDescent="0.25">
      <c r="A3514" t="s">
        <v>2355</v>
      </c>
      <c r="B3514" t="s">
        <v>1249</v>
      </c>
      <c r="E3514" t="str">
        <f>IF(OR(E3513="&lt;/routeDistribution&gt;",E3513=""),"",IFERROR(_xlfn.CONCAT(VLOOKUP(CE47,Route_Column!#REF!,2,FALSE),CHAR(34)," probability=",CHAR(34),1/CE$4,CHAR(34),CHAR(47),CHAR(62)),"&lt;/routeDistribution&gt;"))</f>
        <v/>
      </c>
    </row>
    <row r="3515" spans="1:5" x14ac:dyDescent="0.25">
      <c r="A3515" t="s">
        <v>2327</v>
      </c>
      <c r="B3515" t="s">
        <v>1223</v>
      </c>
      <c r="E3515" t="str">
        <f>IF(OR(E3514="&lt;/routeDistribution&gt;",E3514=""),"",IFERROR(_xlfn.CONCAT(VLOOKUP(CE48,Route_Column!#REF!,2,FALSE),CHAR(34)," probability=",CHAR(34),1/CE$4,CHAR(34),CHAR(47),CHAR(62)),"&lt;/routeDistribution&gt;"))</f>
        <v/>
      </c>
    </row>
    <row r="3516" spans="1:5" x14ac:dyDescent="0.25">
      <c r="A3516" t="s">
        <v>2327</v>
      </c>
      <c r="B3516" t="s">
        <v>1242</v>
      </c>
      <c r="E3516" t="str">
        <f>IF(OR(E3515="&lt;/routeDistribution&gt;",E3515=""),"",IFERROR(_xlfn.CONCAT(VLOOKUP(CE49,Route_Column!#REF!,2,FALSE),CHAR(34)," probability=",CHAR(34),1/CE$4,CHAR(34),CHAR(47),CHAR(62)),"&lt;/routeDistribution&gt;"))</f>
        <v/>
      </c>
    </row>
    <row r="3517" spans="1:5" x14ac:dyDescent="0.25">
      <c r="A3517" t="s">
        <v>2327</v>
      </c>
      <c r="B3517" t="s">
        <v>1245</v>
      </c>
      <c r="E3517" t="str">
        <f>IF(OR(E3516="&lt;/routeDistribution&gt;",E3516=""),"",IFERROR(_xlfn.CONCAT(VLOOKUP(CE50,Route_Column!#REF!,2,FALSE),CHAR(34)," probability=",CHAR(34),1/CE$4,CHAR(34),CHAR(47),CHAR(62)),"&lt;/routeDistribution&gt;"))</f>
        <v/>
      </c>
    </row>
    <row r="3518" spans="1:5" x14ac:dyDescent="0.25">
      <c r="A3518" t="s">
        <v>2327</v>
      </c>
      <c r="B3518" t="s">
        <v>1250</v>
      </c>
      <c r="E3518" t="str">
        <f>IF(OR(E3517="&lt;/routeDistribution&gt;",E3517=""),"",IFERROR(_xlfn.CONCAT(VLOOKUP(CE51,Route_Column!#REF!,2,FALSE),CHAR(34)," probability=",CHAR(34),1/CE$4,CHAR(34),CHAR(47),CHAR(62)),"&lt;/routeDistribution&gt;"))</f>
        <v/>
      </c>
    </row>
    <row r="3519" spans="1:5" x14ac:dyDescent="0.25">
      <c r="A3519" t="s">
        <v>1698</v>
      </c>
      <c r="B3519" t="s">
        <v>1100</v>
      </c>
      <c r="E3519" t="str">
        <f>IF(OR(E3518="&lt;/routeDistribution&gt;",E3518=""),"",IFERROR(_xlfn.CONCAT(VLOOKUP(CE52,Route_Column!#REF!,2,FALSE),CHAR(34)," probability=",CHAR(34),1/CE$4,CHAR(34),CHAR(47),CHAR(62)),"&lt;/routeDistribution&gt;"))</f>
        <v/>
      </c>
    </row>
    <row r="3520" spans="1:5" x14ac:dyDescent="0.25">
      <c r="A3520" t="s">
        <v>1698</v>
      </c>
      <c r="B3520" t="s">
        <v>1101</v>
      </c>
      <c r="E3520" t="str">
        <f>IF(OR(E3519="&lt;/routeDistribution&gt;",E3519=""),"",IFERROR(_xlfn.CONCAT(VLOOKUP(CE53,Route_Column!#REF!,2,FALSE),CHAR(34)," probability=",CHAR(34),1/CE$4,CHAR(34),CHAR(47),CHAR(62)),"&lt;/routeDistribution&gt;"))</f>
        <v/>
      </c>
    </row>
    <row r="3521" spans="1:5" x14ac:dyDescent="0.25">
      <c r="A3521" t="s">
        <v>1698</v>
      </c>
      <c r="B3521" t="s">
        <v>1164</v>
      </c>
      <c r="E3521" t="str">
        <f>IF(OR(E3520="&lt;/routeDistribution&gt;",E3520=""),"",IFERROR(_xlfn.CONCAT(VLOOKUP(CE54,Route_Column!#REF!,2,FALSE),CHAR(34)," probability=",CHAR(34),1/CE$4,CHAR(34),CHAR(47),CHAR(62)),"&lt;/routeDistribution&gt;"))</f>
        <v/>
      </c>
    </row>
    <row r="3522" spans="1:5" x14ac:dyDescent="0.25">
      <c r="A3522" t="s">
        <v>1698</v>
      </c>
      <c r="B3522" t="s">
        <v>1235</v>
      </c>
      <c r="E3522" t="str">
        <f>IF(OR(E3521="&lt;/routeDistribution&gt;",E3521=""),"",IFERROR(_xlfn.CONCAT(VLOOKUP(CE55,Route_Column!#REF!,2,FALSE),CHAR(34)," probability=",CHAR(34),1/CE$4,CHAR(34),CHAR(47),CHAR(62)),"&lt;/routeDistribution&gt;"))</f>
        <v/>
      </c>
    </row>
    <row r="3523" spans="1:5" x14ac:dyDescent="0.25">
      <c r="A3523" t="s">
        <v>1698</v>
      </c>
      <c r="B3523" t="s">
        <v>1236</v>
      </c>
      <c r="E3523" t="str">
        <f>IF(OR(E3522="&lt;/routeDistribution&gt;",E3522=""),"",IFERROR(_xlfn.CONCAT(VLOOKUP(CE56,Route_Column!#REF!,2,FALSE),CHAR(34)," probability=",CHAR(34),1/CE$4,CHAR(34),CHAR(47),CHAR(62)),"&lt;/routeDistribution&gt;"))</f>
        <v/>
      </c>
    </row>
    <row r="3524" spans="1:5" x14ac:dyDescent="0.25">
      <c r="A3524" t="s">
        <v>1699</v>
      </c>
      <c r="B3524" t="s">
        <v>1100</v>
      </c>
      <c r="E3524" t="str">
        <f>IF(OR(E3523="&lt;/routeDistribution&gt;",E3523=""),"",IFERROR(_xlfn.CONCAT(VLOOKUP(CE57,Route_Column!#REF!,2,FALSE),CHAR(34)," probability=",CHAR(34),1/CE$4,CHAR(34),CHAR(47),CHAR(62)),"&lt;/routeDistribution&gt;"))</f>
        <v/>
      </c>
    </row>
    <row r="3525" spans="1:5" x14ac:dyDescent="0.25">
      <c r="A3525" t="s">
        <v>1699</v>
      </c>
      <c r="B3525" t="s">
        <v>1101</v>
      </c>
      <c r="E3525" t="str">
        <f>IF(OR(E3524="&lt;/routeDistribution&gt;",E3524=""),"",IFERROR(_xlfn.CONCAT(VLOOKUP(CE58,Route_Column!#REF!,2,FALSE),CHAR(34)," probability=",CHAR(34),1/CE$4,CHAR(34),CHAR(47),CHAR(62)),"&lt;/routeDistribution&gt;"))</f>
        <v/>
      </c>
    </row>
    <row r="3526" spans="1:5" x14ac:dyDescent="0.25">
      <c r="A3526" t="s">
        <v>1699</v>
      </c>
      <c r="B3526" t="s">
        <v>1164</v>
      </c>
      <c r="E3526" t="str">
        <f>IF(OR(E3525="&lt;/routeDistribution&gt;",E3525=""),"",IFERROR(_xlfn.CONCAT(VLOOKUP(CE59,Route_Column!#REF!,2,FALSE),CHAR(34)," probability=",CHAR(34),1/CE$4,CHAR(34),CHAR(47),CHAR(62)),"&lt;/routeDistribution&gt;"))</f>
        <v/>
      </c>
    </row>
    <row r="3527" spans="1:5" x14ac:dyDescent="0.25">
      <c r="A3527" t="s">
        <v>1699</v>
      </c>
      <c r="B3527" t="s">
        <v>1235</v>
      </c>
      <c r="E3527" t="str">
        <f>IF(OR(E3526="&lt;/routeDistribution&gt;",E3526=""),"",IFERROR(_xlfn.CONCAT(VLOOKUP(CE60,Route_Column!#REF!,2,FALSE),CHAR(34)," probability=",CHAR(34),1/CE$4,CHAR(34),CHAR(47),CHAR(62)),"&lt;/routeDistribution&gt;"))</f>
        <v/>
      </c>
    </row>
    <row r="3528" spans="1:5" x14ac:dyDescent="0.25">
      <c r="A3528" t="s">
        <v>1699</v>
      </c>
      <c r="B3528" t="s">
        <v>1236</v>
      </c>
      <c r="E3528" t="str">
        <f>IF(OR(E3527="&lt;/routeDistribution&gt;",E3527=""),"",IFERROR(_xlfn.CONCAT(VLOOKUP(CE61,Route_Column!#REF!,2,FALSE),CHAR(34)," probability=",CHAR(34),1/CE$4,CHAR(34),CHAR(47),CHAR(62)),"&lt;/routeDistribution&gt;"))</f>
        <v/>
      </c>
    </row>
    <row r="3529" spans="1:5" x14ac:dyDescent="0.25">
      <c r="A3529" t="s">
        <v>2354</v>
      </c>
      <c r="B3529" t="s">
        <v>1242</v>
      </c>
      <c r="E3529" t="str">
        <f>IF(OR(E3528="&lt;/routeDistribution&gt;",E3528=""),"",IFERROR(_xlfn.CONCAT(VLOOKUP(CE62,Route_Column!#REF!,2,FALSE),CHAR(34)," probability=",CHAR(34),1/CE$4,CHAR(34),CHAR(47),CHAR(62)),"&lt;/routeDistribution&gt;"))</f>
        <v/>
      </c>
    </row>
    <row r="3530" spans="1:5" x14ac:dyDescent="0.25">
      <c r="A3530" t="s">
        <v>2354</v>
      </c>
      <c r="B3530" t="s">
        <v>1245</v>
      </c>
      <c r="E3530" t="str">
        <f>IF(OR(E3529="&lt;/routeDistribution&gt;",E3529=""),"",IFERROR(_xlfn.CONCAT(VLOOKUP(CE63,Route_Column!#REF!,2,FALSE),CHAR(34)," probability=",CHAR(34),1/CE$4,CHAR(34),CHAR(47),CHAR(62)),"&lt;/routeDistribution&gt;"))</f>
        <v/>
      </c>
    </row>
    <row r="3531" spans="1:5" x14ac:dyDescent="0.25">
      <c r="A3531" t="s">
        <v>2354</v>
      </c>
      <c r="B3531" t="s">
        <v>1246</v>
      </c>
      <c r="E3531" t="s">
        <v>2686</v>
      </c>
    </row>
    <row r="3532" spans="1:5" x14ac:dyDescent="0.25">
      <c r="A3532" t="s">
        <v>2354</v>
      </c>
      <c r="B3532" t="s">
        <v>1247</v>
      </c>
    </row>
    <row r="3533" spans="1:5" x14ac:dyDescent="0.25">
      <c r="A3533" t="s">
        <v>2354</v>
      </c>
      <c r="B3533" t="s">
        <v>1248</v>
      </c>
    </row>
    <row r="3534" spans="1:5" x14ac:dyDescent="0.25">
      <c r="A3534" t="s">
        <v>2354</v>
      </c>
      <c r="B3534" t="s">
        <v>1249</v>
      </c>
      <c r="E3534" t="str">
        <f>_xlfn.CONCAT($E$1,CD$2,$F$1)</f>
        <v>&lt;routeDistribution id="UniAVE-CivicBLVD-to-BaltAVE-NB-09-RouteProbe"&gt;</v>
      </c>
    </row>
    <row r="3535" spans="1:5" x14ac:dyDescent="0.25">
      <c r="A3535" s="11" t="s">
        <v>1488</v>
      </c>
      <c r="B3535" t="s">
        <v>1091</v>
      </c>
      <c r="E3535" t="str">
        <f>IF(OR(E3534="&lt;/routeDistribution&gt;",E3534=""),"",IFERROR(_xlfn.CONCAT(VLOOKUP(CD5,Route_Column!#REF!,2,FALSE),CHAR(34)," probability=",CHAR(34),1/CD$4,CHAR(34),CHAR(47),CHAR(62)),"&lt;/routeDistribution&gt;"))</f>
        <v>&lt;/routeDistribution&gt;</v>
      </c>
    </row>
    <row r="3536" spans="1:5" x14ac:dyDescent="0.25">
      <c r="A3536" t="s">
        <v>1488</v>
      </c>
      <c r="B3536" t="s">
        <v>1092</v>
      </c>
      <c r="E3536" t="str">
        <f>IF(OR(E3535="&lt;/routeDistribution&gt;",E3535=""),"",IFERROR(_xlfn.CONCAT(VLOOKUP(CD6,Route_Column!#REF!,2,FALSE),CHAR(34)," probability=",CHAR(34),1/CD$4,CHAR(34),CHAR(47),CHAR(62)),"&lt;/routeDistribution&gt;"))</f>
        <v/>
      </c>
    </row>
    <row r="3537" spans="1:5" x14ac:dyDescent="0.25">
      <c r="A3537" t="s">
        <v>1488</v>
      </c>
      <c r="B3537" t="s">
        <v>1093</v>
      </c>
      <c r="E3537" t="str">
        <f>IF(OR(E3536="&lt;/routeDistribution&gt;",E3536=""),"",IFERROR(_xlfn.CONCAT(VLOOKUP(CD7,Route_Column!#REF!,2,FALSE),CHAR(34)," probability=",CHAR(34),1/CD$4,CHAR(34),CHAR(47),CHAR(62)),"&lt;/routeDistribution&gt;"))</f>
        <v/>
      </c>
    </row>
    <row r="3538" spans="1:5" x14ac:dyDescent="0.25">
      <c r="A3538" t="s">
        <v>1488</v>
      </c>
      <c r="B3538" t="s">
        <v>1094</v>
      </c>
      <c r="E3538" t="str">
        <f>IF(OR(E3537="&lt;/routeDistribution&gt;",E3537=""),"",IFERROR(_xlfn.CONCAT(VLOOKUP(CD8,Route_Column!#REF!,2,FALSE),CHAR(34)," probability=",CHAR(34),1/CD$4,CHAR(34),CHAR(47),CHAR(62)),"&lt;/routeDistribution&gt;"))</f>
        <v/>
      </c>
    </row>
    <row r="3539" spans="1:5" x14ac:dyDescent="0.25">
      <c r="A3539" t="s">
        <v>1488</v>
      </c>
      <c r="B3539" t="s">
        <v>1095</v>
      </c>
      <c r="E3539" t="str">
        <f>IF(OR(E3538="&lt;/routeDistribution&gt;",E3538=""),"",IFERROR(_xlfn.CONCAT(VLOOKUP(CD9,Route_Column!#REF!,2,FALSE),CHAR(34)," probability=",CHAR(34),1/CD$4,CHAR(34),CHAR(47),CHAR(62)),"&lt;/routeDistribution&gt;"))</f>
        <v/>
      </c>
    </row>
    <row r="3540" spans="1:5" x14ac:dyDescent="0.25">
      <c r="A3540" t="s">
        <v>1488</v>
      </c>
      <c r="B3540" t="s">
        <v>1096</v>
      </c>
      <c r="E3540" t="str">
        <f>IF(OR(E3539="&lt;/routeDistribution&gt;",E3539=""),"",IFERROR(_xlfn.CONCAT(VLOOKUP(CD10,Route_Column!#REF!,2,FALSE),CHAR(34)," probability=",CHAR(34),1/CD$4,CHAR(34),CHAR(47),CHAR(62)),"&lt;/routeDistribution&gt;"))</f>
        <v/>
      </c>
    </row>
    <row r="3541" spans="1:5" x14ac:dyDescent="0.25">
      <c r="A3541" t="s">
        <v>1488</v>
      </c>
      <c r="B3541" t="s">
        <v>1097</v>
      </c>
      <c r="E3541" t="str">
        <f>IF(OR(E3540="&lt;/routeDistribution&gt;",E3540=""),"",IFERROR(_xlfn.CONCAT(VLOOKUP(CD11,Route_Column!#REF!,2,FALSE),CHAR(34)," probability=",CHAR(34),1/CD$4,CHAR(34),CHAR(47),CHAR(62)),"&lt;/routeDistribution&gt;"))</f>
        <v/>
      </c>
    </row>
    <row r="3542" spans="1:5" x14ac:dyDescent="0.25">
      <c r="A3542" t="s">
        <v>1488</v>
      </c>
      <c r="B3542" t="s">
        <v>1098</v>
      </c>
      <c r="E3542" t="str">
        <f>IF(OR(E3541="&lt;/routeDistribution&gt;",E3541=""),"",IFERROR(_xlfn.CONCAT(VLOOKUP(CD12,Route_Column!#REF!,2,FALSE),CHAR(34)," probability=",CHAR(34),1/CD$4,CHAR(34),CHAR(47),CHAR(62)),"&lt;/routeDistribution&gt;"))</f>
        <v/>
      </c>
    </row>
    <row r="3543" spans="1:5" x14ac:dyDescent="0.25">
      <c r="A3543" t="s">
        <v>1488</v>
      </c>
      <c r="B3543" t="s">
        <v>1099</v>
      </c>
      <c r="E3543" t="str">
        <f>IF(OR(E3542="&lt;/routeDistribution&gt;",E3542=""),"",IFERROR(_xlfn.CONCAT(VLOOKUP(CD13,Route_Column!#REF!,2,FALSE),CHAR(34)," probability=",CHAR(34),1/CD$4,CHAR(34),CHAR(47),CHAR(62)),"&lt;/routeDistribution&gt;"))</f>
        <v/>
      </c>
    </row>
    <row r="3544" spans="1:5" x14ac:dyDescent="0.25">
      <c r="A3544" t="s">
        <v>1488</v>
      </c>
      <c r="B3544" t="s">
        <v>1100</v>
      </c>
      <c r="E3544" t="str">
        <f>IF(OR(E3543="&lt;/routeDistribution&gt;",E3543=""),"",IFERROR(_xlfn.CONCAT(VLOOKUP(CD14,Route_Column!#REF!,2,FALSE),CHAR(34)," probability=",CHAR(34),1/CD$4,CHAR(34),CHAR(47),CHAR(62)),"&lt;/routeDistribution&gt;"))</f>
        <v/>
      </c>
    </row>
    <row r="3545" spans="1:5" x14ac:dyDescent="0.25">
      <c r="A3545" t="s">
        <v>1488</v>
      </c>
      <c r="B3545" t="s">
        <v>1101</v>
      </c>
      <c r="E3545" t="str">
        <f>IF(OR(E3544="&lt;/routeDistribution&gt;",E3544=""),"",IFERROR(_xlfn.CONCAT(VLOOKUP(CD15,Route_Column!#REF!,2,FALSE),CHAR(34)," probability=",CHAR(34),1/CD$4,CHAR(34),CHAR(47),CHAR(62)),"&lt;/routeDistribution&gt;"))</f>
        <v/>
      </c>
    </row>
    <row r="3546" spans="1:5" x14ac:dyDescent="0.25">
      <c r="A3546" t="s">
        <v>1488</v>
      </c>
      <c r="B3546" t="s">
        <v>1102</v>
      </c>
      <c r="E3546" t="str">
        <f>IF(OR(E3545="&lt;/routeDistribution&gt;",E3545=""),"",IFERROR(_xlfn.CONCAT(VLOOKUP(CD16,Route_Column!#REF!,2,FALSE),CHAR(34)," probability=",CHAR(34),1/CD$4,CHAR(34),CHAR(47),CHAR(62)),"&lt;/routeDistribution&gt;"))</f>
        <v/>
      </c>
    </row>
    <row r="3547" spans="1:5" x14ac:dyDescent="0.25">
      <c r="A3547" t="s">
        <v>1488</v>
      </c>
      <c r="B3547" t="s">
        <v>1103</v>
      </c>
      <c r="E3547" t="str">
        <f>IF(OR(E3546="&lt;/routeDistribution&gt;",E3546=""),"",IFERROR(_xlfn.CONCAT(VLOOKUP(CD17,Route_Column!#REF!,2,FALSE),CHAR(34)," probability=",CHAR(34),1/CD$4,CHAR(34),CHAR(47),CHAR(62)),"&lt;/routeDistribution&gt;"))</f>
        <v/>
      </c>
    </row>
    <row r="3548" spans="1:5" x14ac:dyDescent="0.25">
      <c r="A3548" t="s">
        <v>1488</v>
      </c>
      <c r="B3548" t="s">
        <v>1104</v>
      </c>
      <c r="E3548" t="str">
        <f>IF(OR(E3547="&lt;/routeDistribution&gt;",E3547=""),"",IFERROR(_xlfn.CONCAT(VLOOKUP(CD18,Route_Column!#REF!,2,FALSE),CHAR(34)," probability=",CHAR(34),1/CD$4,CHAR(34),CHAR(47),CHAR(62)),"&lt;/routeDistribution&gt;"))</f>
        <v/>
      </c>
    </row>
    <row r="3549" spans="1:5" x14ac:dyDescent="0.25">
      <c r="A3549" t="s">
        <v>1488</v>
      </c>
      <c r="B3549" t="s">
        <v>1105</v>
      </c>
      <c r="E3549" t="str">
        <f>IF(OR(E3548="&lt;/routeDistribution&gt;",E3548=""),"",IFERROR(_xlfn.CONCAT(VLOOKUP(CD19,Route_Column!#REF!,2,FALSE),CHAR(34)," probability=",CHAR(34),1/CD$4,CHAR(34),CHAR(47),CHAR(62)),"&lt;/routeDistribution&gt;"))</f>
        <v/>
      </c>
    </row>
    <row r="3550" spans="1:5" x14ac:dyDescent="0.25">
      <c r="A3550" t="s">
        <v>1488</v>
      </c>
      <c r="B3550" t="s">
        <v>1106</v>
      </c>
      <c r="E3550" t="str">
        <f>IF(OR(E3549="&lt;/routeDistribution&gt;",E3549=""),"",IFERROR(_xlfn.CONCAT(VLOOKUP(CD20,Route_Column!#REF!,2,FALSE),CHAR(34)," probability=",CHAR(34),1/CD$4,CHAR(34),CHAR(47),CHAR(62)),"&lt;/routeDistribution&gt;"))</f>
        <v/>
      </c>
    </row>
    <row r="3551" spans="1:5" x14ac:dyDescent="0.25">
      <c r="A3551" t="s">
        <v>1488</v>
      </c>
      <c r="B3551" t="s">
        <v>1107</v>
      </c>
      <c r="E3551" t="str">
        <f>IF(OR(E3550="&lt;/routeDistribution&gt;",E3550=""),"",IFERROR(_xlfn.CONCAT(VLOOKUP(CD21,Route_Column!#REF!,2,FALSE),CHAR(34)," probability=",CHAR(34),1/CD$4,CHAR(34),CHAR(47),CHAR(62)),"&lt;/routeDistribution&gt;"))</f>
        <v/>
      </c>
    </row>
    <row r="3552" spans="1:5" x14ac:dyDescent="0.25">
      <c r="A3552" s="11" t="s">
        <v>1489</v>
      </c>
      <c r="B3552" t="s">
        <v>1091</v>
      </c>
      <c r="E3552" t="str">
        <f>IF(OR(E3551="&lt;/routeDistribution&gt;",E3551=""),"",IFERROR(_xlfn.CONCAT(VLOOKUP(CD22,Route_Column!#REF!,2,FALSE),CHAR(34)," probability=",CHAR(34),1/CD$4,CHAR(34),CHAR(47),CHAR(62)),"&lt;/routeDistribution&gt;"))</f>
        <v/>
      </c>
    </row>
    <row r="3553" spans="1:5" x14ac:dyDescent="0.25">
      <c r="A3553" t="s">
        <v>1489</v>
      </c>
      <c r="B3553" t="s">
        <v>1092</v>
      </c>
      <c r="E3553" t="str">
        <f>IF(OR(E3552="&lt;/routeDistribution&gt;",E3552=""),"",IFERROR(_xlfn.CONCAT(VLOOKUP(CD23,Route_Column!#REF!,2,FALSE),CHAR(34)," probability=",CHAR(34),1/CD$4,CHAR(34),CHAR(47),CHAR(62)),"&lt;/routeDistribution&gt;"))</f>
        <v/>
      </c>
    </row>
    <row r="3554" spans="1:5" x14ac:dyDescent="0.25">
      <c r="A3554" t="s">
        <v>1489</v>
      </c>
      <c r="B3554" t="s">
        <v>1093</v>
      </c>
      <c r="E3554" t="str">
        <f>IF(OR(E3553="&lt;/routeDistribution&gt;",E3553=""),"",IFERROR(_xlfn.CONCAT(VLOOKUP(CD24,Route_Column!#REF!,2,FALSE),CHAR(34)," probability=",CHAR(34),1/CD$4,CHAR(34),CHAR(47),CHAR(62)),"&lt;/routeDistribution&gt;"))</f>
        <v/>
      </c>
    </row>
    <row r="3555" spans="1:5" x14ac:dyDescent="0.25">
      <c r="A3555" t="s">
        <v>1489</v>
      </c>
      <c r="B3555" t="s">
        <v>1094</v>
      </c>
      <c r="E3555" t="str">
        <f>IF(OR(E3554="&lt;/routeDistribution&gt;",E3554=""),"",IFERROR(_xlfn.CONCAT(VLOOKUP(CD25,Route_Column!#REF!,2,FALSE),CHAR(34)," probability=",CHAR(34),1/CD$4,CHAR(34),CHAR(47),CHAR(62)),"&lt;/routeDistribution&gt;"))</f>
        <v/>
      </c>
    </row>
    <row r="3556" spans="1:5" x14ac:dyDescent="0.25">
      <c r="A3556" t="s">
        <v>1489</v>
      </c>
      <c r="B3556" t="s">
        <v>1095</v>
      </c>
      <c r="E3556" t="str">
        <f>IF(OR(E3555="&lt;/routeDistribution&gt;",E3555=""),"",IFERROR(_xlfn.CONCAT(VLOOKUP(CD26,Route_Column!#REF!,2,FALSE),CHAR(34)," probability=",CHAR(34),1/CD$4,CHAR(34),CHAR(47),CHAR(62)),"&lt;/routeDistribution&gt;"))</f>
        <v/>
      </c>
    </row>
    <row r="3557" spans="1:5" x14ac:dyDescent="0.25">
      <c r="A3557" t="s">
        <v>1489</v>
      </c>
      <c r="B3557" t="s">
        <v>1096</v>
      </c>
      <c r="E3557" t="str">
        <f>IF(OR(E3556="&lt;/routeDistribution&gt;",E3556=""),"",IFERROR(_xlfn.CONCAT(VLOOKUP(CD27,Route_Column!#REF!,2,FALSE),CHAR(34)," probability=",CHAR(34),1/CD$4,CHAR(34),CHAR(47),CHAR(62)),"&lt;/routeDistribution&gt;"))</f>
        <v/>
      </c>
    </row>
    <row r="3558" spans="1:5" x14ac:dyDescent="0.25">
      <c r="A3558" t="s">
        <v>1489</v>
      </c>
      <c r="B3558" t="s">
        <v>1097</v>
      </c>
      <c r="E3558" t="str">
        <f>IF(OR(E3557="&lt;/routeDistribution&gt;",E3557=""),"",IFERROR(_xlfn.CONCAT(VLOOKUP(CD28,Route_Column!#REF!,2,FALSE),CHAR(34)," probability=",CHAR(34),1/CD$4,CHAR(34),CHAR(47),CHAR(62)),"&lt;/routeDistribution&gt;"))</f>
        <v/>
      </c>
    </row>
    <row r="3559" spans="1:5" x14ac:dyDescent="0.25">
      <c r="A3559" t="s">
        <v>1489</v>
      </c>
      <c r="B3559" t="s">
        <v>1098</v>
      </c>
      <c r="E3559" t="str">
        <f>IF(OR(E3558="&lt;/routeDistribution&gt;",E3558=""),"",IFERROR(_xlfn.CONCAT(VLOOKUP(CD29,Route_Column!#REF!,2,FALSE),CHAR(34)," probability=",CHAR(34),1/CD$4,CHAR(34),CHAR(47),CHAR(62)),"&lt;/routeDistribution&gt;"))</f>
        <v/>
      </c>
    </row>
    <row r="3560" spans="1:5" x14ac:dyDescent="0.25">
      <c r="A3560" t="s">
        <v>1489</v>
      </c>
      <c r="B3560" t="s">
        <v>1099</v>
      </c>
      <c r="E3560" t="str">
        <f>IF(OR(E3559="&lt;/routeDistribution&gt;",E3559=""),"",IFERROR(_xlfn.CONCAT(VLOOKUP(CD30,Route_Column!#REF!,2,FALSE),CHAR(34)," probability=",CHAR(34),1/CD$4,CHAR(34),CHAR(47),CHAR(62)),"&lt;/routeDistribution&gt;"))</f>
        <v/>
      </c>
    </row>
    <row r="3561" spans="1:5" x14ac:dyDescent="0.25">
      <c r="A3561" t="s">
        <v>1489</v>
      </c>
      <c r="B3561" t="s">
        <v>1100</v>
      </c>
      <c r="E3561" t="str">
        <f>IF(OR(E3560="&lt;/routeDistribution&gt;",E3560=""),"",IFERROR(_xlfn.CONCAT(VLOOKUP(CD31,Route_Column!#REF!,2,FALSE),CHAR(34)," probability=",CHAR(34),1/CD$4,CHAR(34),CHAR(47),CHAR(62)),"&lt;/routeDistribution&gt;"))</f>
        <v/>
      </c>
    </row>
    <row r="3562" spans="1:5" x14ac:dyDescent="0.25">
      <c r="A3562" t="s">
        <v>1489</v>
      </c>
      <c r="B3562" t="s">
        <v>1101</v>
      </c>
      <c r="E3562" t="str">
        <f>IF(OR(E3561="&lt;/routeDistribution&gt;",E3561=""),"",IFERROR(_xlfn.CONCAT(VLOOKUP(CD32,Route_Column!#REF!,2,FALSE),CHAR(34)," probability=",CHAR(34),1/CD$4,CHAR(34),CHAR(47),CHAR(62)),"&lt;/routeDistribution&gt;"))</f>
        <v/>
      </c>
    </row>
    <row r="3563" spans="1:5" x14ac:dyDescent="0.25">
      <c r="A3563" t="s">
        <v>1489</v>
      </c>
      <c r="B3563" t="s">
        <v>1102</v>
      </c>
      <c r="E3563" t="str">
        <f>IF(OR(E3562="&lt;/routeDistribution&gt;",E3562=""),"",IFERROR(_xlfn.CONCAT(VLOOKUP(CD33,Route_Column!#REF!,2,FALSE),CHAR(34)," probability=",CHAR(34),1/CD$4,CHAR(34),CHAR(47),CHAR(62)),"&lt;/routeDistribution&gt;"))</f>
        <v/>
      </c>
    </row>
    <row r="3564" spans="1:5" x14ac:dyDescent="0.25">
      <c r="A3564" t="s">
        <v>1489</v>
      </c>
      <c r="B3564" t="s">
        <v>1103</v>
      </c>
      <c r="E3564" t="str">
        <f>IF(OR(E3563="&lt;/routeDistribution&gt;",E3563=""),"",IFERROR(_xlfn.CONCAT(VLOOKUP(CD34,Route_Column!#REF!,2,FALSE),CHAR(34)," probability=",CHAR(34),1/CD$4,CHAR(34),CHAR(47),CHAR(62)),"&lt;/routeDistribution&gt;"))</f>
        <v/>
      </c>
    </row>
    <row r="3565" spans="1:5" x14ac:dyDescent="0.25">
      <c r="A3565" t="s">
        <v>1489</v>
      </c>
      <c r="B3565" t="s">
        <v>1104</v>
      </c>
      <c r="E3565" t="str">
        <f>IF(OR(E3564="&lt;/routeDistribution&gt;",E3564=""),"",IFERROR(_xlfn.CONCAT(VLOOKUP(CD35,Route_Column!#REF!,2,FALSE),CHAR(34)," probability=",CHAR(34),1/CD$4,CHAR(34),CHAR(47),CHAR(62)),"&lt;/routeDistribution&gt;"))</f>
        <v/>
      </c>
    </row>
    <row r="3566" spans="1:5" x14ac:dyDescent="0.25">
      <c r="A3566" t="s">
        <v>1489</v>
      </c>
      <c r="B3566" t="s">
        <v>1105</v>
      </c>
      <c r="E3566" t="str">
        <f>IF(OR(E3565="&lt;/routeDistribution&gt;",E3565=""),"",IFERROR(_xlfn.CONCAT(VLOOKUP(CD36,Route_Column!#REF!,2,FALSE),CHAR(34)," probability=",CHAR(34),1/CD$4,CHAR(34),CHAR(47),CHAR(62)),"&lt;/routeDistribution&gt;"))</f>
        <v/>
      </c>
    </row>
    <row r="3567" spans="1:5" x14ac:dyDescent="0.25">
      <c r="A3567" t="s">
        <v>1489</v>
      </c>
      <c r="B3567" t="s">
        <v>1106</v>
      </c>
      <c r="E3567" t="str">
        <f>IF(OR(E3566="&lt;/routeDistribution&gt;",E3566=""),"",IFERROR(_xlfn.CONCAT(VLOOKUP(CD37,Route_Column!#REF!,2,FALSE),CHAR(34)," probability=",CHAR(34),1/CD$4,CHAR(34),CHAR(47),CHAR(62)),"&lt;/routeDistribution&gt;"))</f>
        <v/>
      </c>
    </row>
    <row r="3568" spans="1:5" x14ac:dyDescent="0.25">
      <c r="A3568" t="s">
        <v>1489</v>
      </c>
      <c r="B3568" t="s">
        <v>1107</v>
      </c>
      <c r="E3568" t="str">
        <f>IF(OR(E3567="&lt;/routeDistribution&gt;",E3567=""),"",IFERROR(_xlfn.CONCAT(VLOOKUP(CD38,Route_Column!#REF!,2,FALSE),CHAR(34)," probability=",CHAR(34),1/CD$4,CHAR(34),CHAR(47),CHAR(62)),"&lt;/routeDistribution&gt;"))</f>
        <v/>
      </c>
    </row>
    <row r="3569" spans="1:5" x14ac:dyDescent="0.25">
      <c r="A3569" t="s">
        <v>1697</v>
      </c>
      <c r="B3569" t="s">
        <v>1100</v>
      </c>
      <c r="E3569" t="str">
        <f>IF(OR(E3568="&lt;/routeDistribution&gt;",E3568=""),"",IFERROR(_xlfn.CONCAT(VLOOKUP(CD39,Route_Column!#REF!,2,FALSE),CHAR(34)," probability=",CHAR(34),1/CD$4,CHAR(34),CHAR(47),CHAR(62)),"&lt;/routeDistribution&gt;"))</f>
        <v/>
      </c>
    </row>
    <row r="3570" spans="1:5" x14ac:dyDescent="0.25">
      <c r="A3570" t="s">
        <v>1697</v>
      </c>
      <c r="B3570" t="s">
        <v>1101</v>
      </c>
      <c r="E3570" t="str">
        <f>IF(OR(E3569="&lt;/routeDistribution&gt;",E3569=""),"",IFERROR(_xlfn.CONCAT(VLOOKUP(CD40,Route_Column!#REF!,2,FALSE),CHAR(34)," probability=",CHAR(34),1/CD$4,CHAR(34),CHAR(47),CHAR(62)),"&lt;/routeDistribution&gt;"))</f>
        <v/>
      </c>
    </row>
    <row r="3571" spans="1:5" x14ac:dyDescent="0.25">
      <c r="A3571" t="s">
        <v>1697</v>
      </c>
      <c r="B3571" t="s">
        <v>1164</v>
      </c>
      <c r="E3571" t="str">
        <f>IF(OR(E3570="&lt;/routeDistribution&gt;",E3570=""),"",IFERROR(_xlfn.CONCAT(VLOOKUP(CD41,Route_Column!#REF!,2,FALSE),CHAR(34)," probability=",CHAR(34),1/CD$4,CHAR(34),CHAR(47),CHAR(62)),"&lt;/routeDistribution&gt;"))</f>
        <v/>
      </c>
    </row>
    <row r="3572" spans="1:5" x14ac:dyDescent="0.25">
      <c r="A3572" t="s">
        <v>1697</v>
      </c>
      <c r="B3572" t="s">
        <v>1235</v>
      </c>
      <c r="E3572" t="str">
        <f>IF(OR(E3571="&lt;/routeDistribution&gt;",E3571=""),"",IFERROR(_xlfn.CONCAT(VLOOKUP(CD42,Route_Column!#REF!,2,FALSE),CHAR(34)," probability=",CHAR(34),1/CD$4,CHAR(34),CHAR(47),CHAR(62)),"&lt;/routeDistribution&gt;"))</f>
        <v/>
      </c>
    </row>
    <row r="3573" spans="1:5" x14ac:dyDescent="0.25">
      <c r="A3573" t="s">
        <v>1697</v>
      </c>
      <c r="B3573" t="s">
        <v>1236</v>
      </c>
      <c r="E3573" t="str">
        <f>IF(OR(E3572="&lt;/routeDistribution&gt;",E3572=""),"",IFERROR(_xlfn.CONCAT(VLOOKUP(CD43,Route_Column!#REF!,2,FALSE),CHAR(34)," probability=",CHAR(34),1/CD$4,CHAR(34),CHAR(47),CHAR(62)),"&lt;/routeDistribution&gt;"))</f>
        <v/>
      </c>
    </row>
    <row r="3574" spans="1:5" x14ac:dyDescent="0.25">
      <c r="A3574" s="13" t="s">
        <v>1537</v>
      </c>
      <c r="B3574" t="s">
        <v>1091</v>
      </c>
      <c r="E3574" t="str">
        <f>IF(OR(E3573="&lt;/routeDistribution&gt;",E3573=""),"",IFERROR(_xlfn.CONCAT(VLOOKUP(CD44,Route_Column!#REF!,2,FALSE),CHAR(34)," probability=",CHAR(34),1/CD$4,CHAR(34),CHAR(47),CHAR(62)),"&lt;/routeDistribution&gt;"))</f>
        <v/>
      </c>
    </row>
    <row r="3575" spans="1:5" x14ac:dyDescent="0.25">
      <c r="A3575" t="s">
        <v>1537</v>
      </c>
      <c r="B3575" t="s">
        <v>1093</v>
      </c>
      <c r="E3575" t="str">
        <f>IF(OR(E3574="&lt;/routeDistribution&gt;",E3574=""),"",IFERROR(_xlfn.CONCAT(VLOOKUP(CD45,Route_Column!#REF!,2,FALSE),CHAR(34)," probability=",CHAR(34),1/CD$4,CHAR(34),CHAR(47),CHAR(62)),"&lt;/routeDistribution&gt;"))</f>
        <v/>
      </c>
    </row>
    <row r="3576" spans="1:5" x14ac:dyDescent="0.25">
      <c r="A3576" t="s">
        <v>1537</v>
      </c>
      <c r="B3576" t="s">
        <v>1108</v>
      </c>
      <c r="E3576" t="str">
        <f>IF(OR(E3575="&lt;/routeDistribution&gt;",E3575=""),"",IFERROR(_xlfn.CONCAT(VLOOKUP(CD46,Route_Column!#REF!,2,FALSE),CHAR(34)," probability=",CHAR(34),1/CD$4,CHAR(34),CHAR(47),CHAR(62)),"&lt;/routeDistribution&gt;"))</f>
        <v/>
      </c>
    </row>
    <row r="3577" spans="1:5" x14ac:dyDescent="0.25">
      <c r="A3577" t="s">
        <v>1537</v>
      </c>
      <c r="B3577" t="s">
        <v>1140</v>
      </c>
      <c r="E3577" t="str">
        <f>IF(OR(E3576="&lt;/routeDistribution&gt;",E3576=""),"",IFERROR(_xlfn.CONCAT(VLOOKUP(CD47,Route_Column!#REF!,2,FALSE),CHAR(34)," probability=",CHAR(34),1/CD$4,CHAR(34),CHAR(47),CHAR(62)),"&lt;/routeDistribution&gt;"))</f>
        <v/>
      </c>
    </row>
    <row r="3578" spans="1:5" x14ac:dyDescent="0.25">
      <c r="A3578" t="s">
        <v>1537</v>
      </c>
      <c r="B3578" t="s">
        <v>1141</v>
      </c>
      <c r="E3578" t="str">
        <f>IF(OR(E3577="&lt;/routeDistribution&gt;",E3577=""),"",IFERROR(_xlfn.CONCAT(VLOOKUP(CD48,Route_Column!#REF!,2,FALSE),CHAR(34)," probability=",CHAR(34),1/CD$4,CHAR(34),CHAR(47),CHAR(62)),"&lt;/routeDistribution&gt;"))</f>
        <v/>
      </c>
    </row>
    <row r="3579" spans="1:5" x14ac:dyDescent="0.25">
      <c r="A3579" t="s">
        <v>1537</v>
      </c>
      <c r="B3579" t="s">
        <v>1142</v>
      </c>
      <c r="E3579" t="str">
        <f>IF(OR(E3578="&lt;/routeDistribution&gt;",E3578=""),"",IFERROR(_xlfn.CONCAT(VLOOKUP(CD49,Route_Column!#REF!,2,FALSE),CHAR(34)," probability=",CHAR(34),1/CD$4,CHAR(34),CHAR(47),CHAR(62)),"&lt;/routeDistribution&gt;"))</f>
        <v/>
      </c>
    </row>
    <row r="3580" spans="1:5" x14ac:dyDescent="0.25">
      <c r="A3580" t="s">
        <v>1537</v>
      </c>
      <c r="B3580" t="s">
        <v>1150</v>
      </c>
      <c r="E3580" t="str">
        <f>IF(OR(E3579="&lt;/routeDistribution&gt;",E3579=""),"",IFERROR(_xlfn.CONCAT(VLOOKUP(CD50,Route_Column!#REF!,2,FALSE),CHAR(34)," probability=",CHAR(34),1/CD$4,CHAR(34),CHAR(47),CHAR(62)),"&lt;/routeDistribution&gt;"))</f>
        <v/>
      </c>
    </row>
    <row r="3581" spans="1:5" x14ac:dyDescent="0.25">
      <c r="A3581" t="s">
        <v>1537</v>
      </c>
      <c r="B3581" t="s">
        <v>1155</v>
      </c>
      <c r="E3581" t="str">
        <f>IF(OR(E3580="&lt;/routeDistribution&gt;",E3580=""),"",IFERROR(_xlfn.CONCAT(VLOOKUP(CD51,Route_Column!#REF!,2,FALSE),CHAR(34)," probability=",CHAR(34),1/CD$4,CHAR(34),CHAR(47),CHAR(62)),"&lt;/routeDistribution&gt;"))</f>
        <v/>
      </c>
    </row>
    <row r="3582" spans="1:5" x14ac:dyDescent="0.25">
      <c r="A3582" t="s">
        <v>1537</v>
      </c>
      <c r="B3582" t="s">
        <v>1156</v>
      </c>
      <c r="E3582" t="str">
        <f>IF(OR(E3581="&lt;/routeDistribution&gt;",E3581=""),"",IFERROR(_xlfn.CONCAT(VLOOKUP(CD52,Route_Column!#REF!,2,FALSE),CHAR(34)," probability=",CHAR(34),1/CD$4,CHAR(34),CHAR(47),CHAR(62)),"&lt;/routeDistribution&gt;"))</f>
        <v/>
      </c>
    </row>
    <row r="3583" spans="1:5" x14ac:dyDescent="0.25">
      <c r="A3583" t="s">
        <v>1537</v>
      </c>
      <c r="B3583" t="s">
        <v>1157</v>
      </c>
      <c r="E3583" t="str">
        <f>IF(OR(E3582="&lt;/routeDistribution&gt;",E3582=""),"",IFERROR(_xlfn.CONCAT(VLOOKUP(CD53,Route_Column!#REF!,2,FALSE),CHAR(34)," probability=",CHAR(34),1/CD$4,CHAR(34),CHAR(47),CHAR(62)),"&lt;/routeDistribution&gt;"))</f>
        <v/>
      </c>
    </row>
    <row r="3584" spans="1:5" x14ac:dyDescent="0.25">
      <c r="A3584" t="s">
        <v>1537</v>
      </c>
      <c r="B3584" t="s">
        <v>1158</v>
      </c>
      <c r="E3584" t="str">
        <f>IF(OR(E3583="&lt;/routeDistribution&gt;",E3583=""),"",IFERROR(_xlfn.CONCAT(VLOOKUP(CD54,Route_Column!#REF!,2,FALSE),CHAR(34)," probability=",CHAR(34),1/CD$4,CHAR(34),CHAR(47),CHAR(62)),"&lt;/routeDistribution&gt;"))</f>
        <v/>
      </c>
    </row>
    <row r="3585" spans="1:5" x14ac:dyDescent="0.25">
      <c r="A3585" t="s">
        <v>1537</v>
      </c>
      <c r="B3585" t="s">
        <v>1160</v>
      </c>
      <c r="E3585" t="str">
        <f>IF(OR(E3584="&lt;/routeDistribution&gt;",E3584=""),"",IFERROR(_xlfn.CONCAT(VLOOKUP(CD55,Route_Column!#REF!,2,FALSE),CHAR(34)," probability=",CHAR(34),1/CD$4,CHAR(34),CHAR(47),CHAR(62)),"&lt;/routeDistribution&gt;"))</f>
        <v/>
      </c>
    </row>
    <row r="3586" spans="1:5" x14ac:dyDescent="0.25">
      <c r="A3586" t="s">
        <v>1537</v>
      </c>
      <c r="B3586" t="s">
        <v>1174</v>
      </c>
      <c r="E3586" t="str">
        <f>IF(OR(E3585="&lt;/routeDistribution&gt;",E3585=""),"",IFERROR(_xlfn.CONCAT(VLOOKUP(CD56,Route_Column!#REF!,2,FALSE),CHAR(34)," probability=",CHAR(34),1/CD$4,CHAR(34),CHAR(47),CHAR(62)),"&lt;/routeDistribution&gt;"))</f>
        <v/>
      </c>
    </row>
    <row r="3587" spans="1:5" x14ac:dyDescent="0.25">
      <c r="A3587" t="s">
        <v>1537</v>
      </c>
      <c r="B3587" t="s">
        <v>1175</v>
      </c>
      <c r="E3587" t="str">
        <f>IF(OR(E3586="&lt;/routeDistribution&gt;",E3586=""),"",IFERROR(_xlfn.CONCAT(VLOOKUP(CD57,Route_Column!#REF!,2,FALSE),CHAR(34)," probability=",CHAR(34),1/CD$4,CHAR(34),CHAR(47),CHAR(62)),"&lt;/routeDistribution&gt;"))</f>
        <v/>
      </c>
    </row>
    <row r="3588" spans="1:5" x14ac:dyDescent="0.25">
      <c r="A3588" t="s">
        <v>1537</v>
      </c>
      <c r="B3588" t="s">
        <v>1176</v>
      </c>
      <c r="E3588" t="str">
        <f>IF(OR(E3587="&lt;/routeDistribution&gt;",E3587=""),"",IFERROR(_xlfn.CONCAT(VLOOKUP(CD58,Route_Column!#REF!,2,FALSE),CHAR(34)," probability=",CHAR(34),1/CD$4,CHAR(34),CHAR(47),CHAR(62)),"&lt;/routeDistribution&gt;"))</f>
        <v/>
      </c>
    </row>
    <row r="3589" spans="1:5" x14ac:dyDescent="0.25">
      <c r="A3589" t="s">
        <v>1537</v>
      </c>
      <c r="B3589" t="s">
        <v>1177</v>
      </c>
      <c r="E3589" t="str">
        <f>IF(OR(E3588="&lt;/routeDistribution&gt;",E3588=""),"",IFERROR(_xlfn.CONCAT(VLOOKUP(CD59,Route_Column!#REF!,2,FALSE),CHAR(34)," probability=",CHAR(34),1/CD$4,CHAR(34),CHAR(47),CHAR(62)),"&lt;/routeDistribution&gt;"))</f>
        <v/>
      </c>
    </row>
    <row r="3590" spans="1:5" x14ac:dyDescent="0.25">
      <c r="A3590" t="s">
        <v>1537</v>
      </c>
      <c r="B3590" t="s">
        <v>1178</v>
      </c>
      <c r="E3590" t="str">
        <f>IF(OR(E3589="&lt;/routeDistribution&gt;",E3589=""),"",IFERROR(_xlfn.CONCAT(VLOOKUP(CD60,Route_Column!#REF!,2,FALSE),CHAR(34)," probability=",CHAR(34),1/CD$4,CHAR(34),CHAR(47),CHAR(62)),"&lt;/routeDistribution&gt;"))</f>
        <v/>
      </c>
    </row>
    <row r="3591" spans="1:5" x14ac:dyDescent="0.25">
      <c r="A3591" t="s">
        <v>1537</v>
      </c>
      <c r="B3591" t="s">
        <v>1179</v>
      </c>
      <c r="E3591" t="str">
        <f>IF(OR(E3590="&lt;/routeDistribution&gt;",E3590=""),"",IFERROR(_xlfn.CONCAT(VLOOKUP(CD61,Route_Column!#REF!,2,FALSE),CHAR(34)," probability=",CHAR(34),1/CD$4,CHAR(34),CHAR(47),CHAR(62)),"&lt;/routeDistribution&gt;"))</f>
        <v/>
      </c>
    </row>
    <row r="3592" spans="1:5" x14ac:dyDescent="0.25">
      <c r="A3592" t="s">
        <v>1537</v>
      </c>
      <c r="B3592" t="s">
        <v>1184</v>
      </c>
      <c r="E3592" t="str">
        <f>IF(OR(E3591="&lt;/routeDistribution&gt;",E3591=""),"",IFERROR(_xlfn.CONCAT(VLOOKUP(CD62,Route_Column!#REF!,2,FALSE),CHAR(34)," probability=",CHAR(34),1/CD$4,CHAR(34),CHAR(47),CHAR(62)),"&lt;/routeDistribution&gt;"))</f>
        <v/>
      </c>
    </row>
    <row r="3593" spans="1:5" x14ac:dyDescent="0.25">
      <c r="A3593" t="s">
        <v>1537</v>
      </c>
      <c r="B3593" t="s">
        <v>1199</v>
      </c>
      <c r="E3593" t="str">
        <f>IF(OR(E3592="&lt;/routeDistribution&gt;",E3592=""),"",IFERROR(_xlfn.CONCAT(VLOOKUP(CD63,Route_Column!#REF!,2,FALSE),CHAR(34)," probability=",CHAR(34),1/CD$4,CHAR(34),CHAR(47),CHAR(62)),"&lt;/routeDistribution&gt;"))</f>
        <v/>
      </c>
    </row>
    <row r="3594" spans="1:5" x14ac:dyDescent="0.25">
      <c r="A3594" t="s">
        <v>1537</v>
      </c>
      <c r="B3594" t="s">
        <v>1200</v>
      </c>
      <c r="E3594" t="s">
        <v>2686</v>
      </c>
    </row>
    <row r="3595" spans="1:5" x14ac:dyDescent="0.25">
      <c r="A3595" t="s">
        <v>1537</v>
      </c>
      <c r="B3595" t="s">
        <v>1201</v>
      </c>
    </row>
    <row r="3596" spans="1:5" x14ac:dyDescent="0.25">
      <c r="A3596" t="s">
        <v>1537</v>
      </c>
      <c r="B3596" t="s">
        <v>1202</v>
      </c>
    </row>
    <row r="3597" spans="1:5" x14ac:dyDescent="0.25">
      <c r="A3597" t="s">
        <v>1537</v>
      </c>
      <c r="B3597" t="s">
        <v>1203</v>
      </c>
      <c r="E3597" t="str">
        <f>_xlfn.CONCAT($E$1,CC$2,$F$1)</f>
        <v>&lt;routeDistribution id="GRAYS-Chirstina-to-Bainbr-WB-09-RouteProbe"&gt;</v>
      </c>
    </row>
    <row r="3598" spans="1:5" x14ac:dyDescent="0.25">
      <c r="A3598" t="s">
        <v>1537</v>
      </c>
      <c r="B3598" t="s">
        <v>1204</v>
      </c>
      <c r="E3598" t="str">
        <f>IF(OR(E3597="&lt;/routeDistribution&gt;",E3597=""),"",IFERROR(_xlfn.CONCAT(VLOOKUP(CC5,Route_Column!#REF!,2,FALSE),CHAR(34)," probability=",CHAR(34),1/CC$4,CHAR(34),CHAR(47),CHAR(62)),"&lt;/routeDistribution&gt;"))</f>
        <v>&lt;/routeDistribution&gt;</v>
      </c>
    </row>
    <row r="3599" spans="1:5" x14ac:dyDescent="0.25">
      <c r="A3599" t="s">
        <v>1537</v>
      </c>
      <c r="B3599" t="s">
        <v>1205</v>
      </c>
      <c r="E3599" t="str">
        <f>IF(OR(E3598="&lt;/routeDistribution&gt;",E3598=""),"",IFERROR(_xlfn.CONCAT(VLOOKUP(CC6,Route_Column!#REF!,2,FALSE),CHAR(34)," probability=",CHAR(34),1/CC$4,CHAR(34),CHAR(47),CHAR(62)),"&lt;/routeDistribution&gt;"))</f>
        <v/>
      </c>
    </row>
    <row r="3600" spans="1:5" x14ac:dyDescent="0.25">
      <c r="A3600" t="s">
        <v>1537</v>
      </c>
      <c r="B3600" t="s">
        <v>1206</v>
      </c>
      <c r="E3600" t="str">
        <f>IF(OR(E3599="&lt;/routeDistribution&gt;",E3599=""),"",IFERROR(_xlfn.CONCAT(VLOOKUP(CC7,Route_Column!#REF!,2,FALSE),CHAR(34)," probability=",CHAR(34),1/CC$4,CHAR(34),CHAR(47),CHAR(62)),"&lt;/routeDistribution&gt;"))</f>
        <v/>
      </c>
    </row>
    <row r="3601" spans="1:5" x14ac:dyDescent="0.25">
      <c r="A3601" t="s">
        <v>1537</v>
      </c>
      <c r="B3601" t="s">
        <v>1206</v>
      </c>
      <c r="E3601" t="str">
        <f>IF(OR(E3600="&lt;/routeDistribution&gt;",E3600=""),"",IFERROR(_xlfn.CONCAT(VLOOKUP(CC8,Route_Column!#REF!,2,FALSE),CHAR(34)," probability=",CHAR(34),1/CC$4,CHAR(34),CHAR(47),CHAR(62)),"&lt;/routeDistribution&gt;"))</f>
        <v/>
      </c>
    </row>
    <row r="3602" spans="1:5" x14ac:dyDescent="0.25">
      <c r="A3602" t="s">
        <v>1537</v>
      </c>
      <c r="B3602" t="s">
        <v>1207</v>
      </c>
      <c r="E3602" t="str">
        <f>IF(OR(E3601="&lt;/routeDistribution&gt;",E3601=""),"",IFERROR(_xlfn.CONCAT(VLOOKUP(CC9,Route_Column!#REF!,2,FALSE),CHAR(34)," probability=",CHAR(34),1/CC$4,CHAR(34),CHAR(47),CHAR(62)),"&lt;/routeDistribution&gt;"))</f>
        <v/>
      </c>
    </row>
    <row r="3603" spans="1:5" x14ac:dyDescent="0.25">
      <c r="A3603" t="s">
        <v>1537</v>
      </c>
      <c r="B3603" t="s">
        <v>1207</v>
      </c>
      <c r="E3603" t="str">
        <f>IF(OR(E3602="&lt;/routeDistribution&gt;",E3602=""),"",IFERROR(_xlfn.CONCAT(VLOOKUP(CC10,Route_Column!#REF!,2,FALSE),CHAR(34)," probability=",CHAR(34),1/CC$4,CHAR(34),CHAR(47),CHAR(62)),"&lt;/routeDistribution&gt;"))</f>
        <v/>
      </c>
    </row>
    <row r="3604" spans="1:5" x14ac:dyDescent="0.25">
      <c r="A3604" t="s">
        <v>1537</v>
      </c>
      <c r="B3604" t="s">
        <v>1208</v>
      </c>
      <c r="E3604" t="str">
        <f>IF(OR(E3603="&lt;/routeDistribution&gt;",E3603=""),"",IFERROR(_xlfn.CONCAT(VLOOKUP(CC11,Route_Column!#REF!,2,FALSE),CHAR(34)," probability=",CHAR(34),1/CC$4,CHAR(34),CHAR(47),CHAR(62)),"&lt;/routeDistribution&gt;"))</f>
        <v/>
      </c>
    </row>
    <row r="3605" spans="1:5" x14ac:dyDescent="0.25">
      <c r="A3605" t="s">
        <v>1537</v>
      </c>
      <c r="B3605" t="s">
        <v>1226</v>
      </c>
      <c r="E3605" t="str">
        <f>IF(OR(E3604="&lt;/routeDistribution&gt;",E3604=""),"",IFERROR(_xlfn.CONCAT(VLOOKUP(CC12,Route_Column!#REF!,2,FALSE),CHAR(34)," probability=",CHAR(34),1/CC$4,CHAR(34),CHAR(47),CHAR(62)),"&lt;/routeDistribution&gt;"))</f>
        <v/>
      </c>
    </row>
    <row r="3606" spans="1:5" x14ac:dyDescent="0.25">
      <c r="A3606" t="s">
        <v>1537</v>
      </c>
      <c r="B3606" t="s">
        <v>1227</v>
      </c>
      <c r="E3606" t="str">
        <f>IF(OR(E3605="&lt;/routeDistribution&gt;",E3605=""),"",IFERROR(_xlfn.CONCAT(VLOOKUP(CC13,Route_Column!#REF!,2,FALSE),CHAR(34)," probability=",CHAR(34),1/CC$4,CHAR(34),CHAR(47),CHAR(62)),"&lt;/routeDistribution&gt;"))</f>
        <v/>
      </c>
    </row>
    <row r="3607" spans="1:5" x14ac:dyDescent="0.25">
      <c r="A3607" t="s">
        <v>1537</v>
      </c>
      <c r="B3607" t="s">
        <v>1228</v>
      </c>
      <c r="E3607" t="str">
        <f>IF(OR(E3606="&lt;/routeDistribution&gt;",E3606=""),"",IFERROR(_xlfn.CONCAT(VLOOKUP(CC14,Route_Column!#REF!,2,FALSE),CHAR(34)," probability=",CHAR(34),1/CC$4,CHAR(34),CHAR(47),CHAR(62)),"&lt;/routeDistribution&gt;"))</f>
        <v/>
      </c>
    </row>
    <row r="3608" spans="1:5" x14ac:dyDescent="0.25">
      <c r="A3608" t="s">
        <v>1537</v>
      </c>
      <c r="B3608" t="s">
        <v>1229</v>
      </c>
      <c r="E3608" t="str">
        <f>IF(OR(E3607="&lt;/routeDistribution&gt;",E3607=""),"",IFERROR(_xlfn.CONCAT(VLOOKUP(CC15,Route_Column!#REF!,2,FALSE),CHAR(34)," probability=",CHAR(34),1/CC$4,CHAR(34),CHAR(47),CHAR(62)),"&lt;/routeDistribution&gt;"))</f>
        <v/>
      </c>
    </row>
    <row r="3609" spans="1:5" x14ac:dyDescent="0.25">
      <c r="A3609" t="s">
        <v>1537</v>
      </c>
      <c r="B3609" t="s">
        <v>1230</v>
      </c>
      <c r="E3609" t="str">
        <f>IF(OR(E3608="&lt;/routeDistribution&gt;",E3608=""),"",IFERROR(_xlfn.CONCAT(VLOOKUP(CC16,Route_Column!#REF!,2,FALSE),CHAR(34)," probability=",CHAR(34),1/CC$4,CHAR(34),CHAR(47),CHAR(62)),"&lt;/routeDistribution&gt;"))</f>
        <v/>
      </c>
    </row>
    <row r="3610" spans="1:5" x14ac:dyDescent="0.25">
      <c r="A3610" t="s">
        <v>1537</v>
      </c>
      <c r="B3610" t="s">
        <v>1231</v>
      </c>
      <c r="E3610" t="str">
        <f>IF(OR(E3609="&lt;/routeDistribution&gt;",E3609=""),"",IFERROR(_xlfn.CONCAT(VLOOKUP(CC17,Route_Column!#REF!,2,FALSE),CHAR(34)," probability=",CHAR(34),1/CC$4,CHAR(34),CHAR(47),CHAR(62)),"&lt;/routeDistribution&gt;"))</f>
        <v/>
      </c>
    </row>
    <row r="3611" spans="1:5" x14ac:dyDescent="0.25">
      <c r="A3611" t="s">
        <v>1537</v>
      </c>
      <c r="B3611" t="s">
        <v>1232</v>
      </c>
      <c r="E3611" t="str">
        <f>IF(OR(E3610="&lt;/routeDistribution&gt;",E3610=""),"",IFERROR(_xlfn.CONCAT(VLOOKUP(CC18,Route_Column!#REF!,2,FALSE),CHAR(34)," probability=",CHAR(34),1/CC$4,CHAR(34),CHAR(47),CHAR(62)),"&lt;/routeDistribution&gt;"))</f>
        <v/>
      </c>
    </row>
    <row r="3612" spans="1:5" x14ac:dyDescent="0.25">
      <c r="A3612" t="s">
        <v>1537</v>
      </c>
      <c r="B3612" t="s">
        <v>1233</v>
      </c>
      <c r="E3612" t="str">
        <f>IF(OR(E3611="&lt;/routeDistribution&gt;",E3611=""),"",IFERROR(_xlfn.CONCAT(VLOOKUP(CC19,Route_Column!#REF!,2,FALSE),CHAR(34)," probability=",CHAR(34),1/CC$4,CHAR(34),CHAR(47),CHAR(62)),"&lt;/routeDistribution&gt;"))</f>
        <v/>
      </c>
    </row>
    <row r="3613" spans="1:5" x14ac:dyDescent="0.25">
      <c r="A3613" t="s">
        <v>1537</v>
      </c>
      <c r="B3613" t="s">
        <v>1233</v>
      </c>
      <c r="E3613" t="str">
        <f>IF(OR(E3612="&lt;/routeDistribution&gt;",E3612=""),"",IFERROR(_xlfn.CONCAT(VLOOKUP(CC20,Route_Column!#REF!,2,FALSE),CHAR(34)," probability=",CHAR(34),1/CC$4,CHAR(34),CHAR(47),CHAR(62)),"&lt;/routeDistribution&gt;"))</f>
        <v/>
      </c>
    </row>
    <row r="3614" spans="1:5" x14ac:dyDescent="0.25">
      <c r="A3614" t="s">
        <v>1537</v>
      </c>
      <c r="B3614" t="s">
        <v>1234</v>
      </c>
      <c r="E3614" t="str">
        <f>IF(OR(E3613="&lt;/routeDistribution&gt;",E3613=""),"",IFERROR(_xlfn.CONCAT(VLOOKUP(CC21,Route_Column!#REF!,2,FALSE),CHAR(34)," probability=",CHAR(34),1/CC$4,CHAR(34),CHAR(47),CHAR(62)),"&lt;/routeDistribution&gt;"))</f>
        <v/>
      </c>
    </row>
    <row r="3615" spans="1:5" x14ac:dyDescent="0.25">
      <c r="A3615" t="s">
        <v>1537</v>
      </c>
      <c r="B3615" t="s">
        <v>1235</v>
      </c>
      <c r="E3615" t="str">
        <f>IF(OR(E3614="&lt;/routeDistribution&gt;",E3614=""),"",IFERROR(_xlfn.CONCAT(VLOOKUP(CC22,Route_Column!#REF!,2,FALSE),CHAR(34)," probability=",CHAR(34),1/CC$4,CHAR(34),CHAR(47),CHAR(62)),"&lt;/routeDistribution&gt;"))</f>
        <v/>
      </c>
    </row>
    <row r="3616" spans="1:5" x14ac:dyDescent="0.25">
      <c r="A3616" t="s">
        <v>1537</v>
      </c>
      <c r="B3616" t="s">
        <v>1236</v>
      </c>
      <c r="E3616" t="str">
        <f>IF(OR(E3615="&lt;/routeDistribution&gt;",E3615=""),"",IFERROR(_xlfn.CONCAT(VLOOKUP(CC23,Route_Column!#REF!,2,FALSE),CHAR(34)," probability=",CHAR(34),1/CC$4,CHAR(34),CHAR(47),CHAR(62)),"&lt;/routeDistribution&gt;"))</f>
        <v/>
      </c>
    </row>
    <row r="3617" spans="1:5" x14ac:dyDescent="0.25">
      <c r="A3617" t="s">
        <v>1537</v>
      </c>
      <c r="B3617" t="s">
        <v>1237</v>
      </c>
      <c r="E3617" t="str">
        <f>IF(OR(E3616="&lt;/routeDistribution&gt;",E3616=""),"",IFERROR(_xlfn.CONCAT(VLOOKUP(CC24,Route_Column!#REF!,2,FALSE),CHAR(34)," probability=",CHAR(34),1/CC$4,CHAR(34),CHAR(47),CHAR(62)),"&lt;/routeDistribution&gt;"))</f>
        <v/>
      </c>
    </row>
    <row r="3618" spans="1:5" x14ac:dyDescent="0.25">
      <c r="A3618" t="s">
        <v>1537</v>
      </c>
      <c r="B3618" t="s">
        <v>1238</v>
      </c>
      <c r="E3618" t="str">
        <f>IF(OR(E3617="&lt;/routeDistribution&gt;",E3617=""),"",IFERROR(_xlfn.CONCAT(VLOOKUP(CC25,Route_Column!#REF!,2,FALSE),CHAR(34)," probability=",CHAR(34),1/CC$4,CHAR(34),CHAR(47),CHAR(62)),"&lt;/routeDistribution&gt;"))</f>
        <v/>
      </c>
    </row>
    <row r="3619" spans="1:5" x14ac:dyDescent="0.25">
      <c r="A3619" t="s">
        <v>1537</v>
      </c>
      <c r="B3619" t="s">
        <v>1239</v>
      </c>
      <c r="E3619" t="str">
        <f>IF(OR(E3618="&lt;/routeDistribution&gt;",E3618=""),"",IFERROR(_xlfn.CONCAT(VLOOKUP(CC26,Route_Column!#REF!,2,FALSE),CHAR(34)," probability=",CHAR(34),1/CC$4,CHAR(34),CHAR(47),CHAR(62)),"&lt;/routeDistribution&gt;"))</f>
        <v/>
      </c>
    </row>
    <row r="3620" spans="1:5" x14ac:dyDescent="0.25">
      <c r="A3620" t="s">
        <v>1537</v>
      </c>
      <c r="B3620" t="s">
        <v>1240</v>
      </c>
      <c r="E3620" t="str">
        <f>IF(OR(E3619="&lt;/routeDistribution&gt;",E3619=""),"",IFERROR(_xlfn.CONCAT(VLOOKUP(CC27,Route_Column!#REF!,2,FALSE),CHAR(34)," probability=",CHAR(34),1/CC$4,CHAR(34),CHAR(47),CHAR(62)),"&lt;/routeDistribution&gt;"))</f>
        <v/>
      </c>
    </row>
    <row r="3621" spans="1:5" x14ac:dyDescent="0.25">
      <c r="A3621" t="s">
        <v>1537</v>
      </c>
      <c r="B3621" t="s">
        <v>1241</v>
      </c>
      <c r="E3621" t="str">
        <f>IF(OR(E3620="&lt;/routeDistribution&gt;",E3620=""),"",IFERROR(_xlfn.CONCAT(VLOOKUP(CC28,Route_Column!#REF!,2,FALSE),CHAR(34)," probability=",CHAR(34),1/CC$4,CHAR(34),CHAR(47),CHAR(62)),"&lt;/routeDistribution&gt;"))</f>
        <v/>
      </c>
    </row>
    <row r="3622" spans="1:5" x14ac:dyDescent="0.25">
      <c r="A3622" t="s">
        <v>1537</v>
      </c>
      <c r="B3622" t="s">
        <v>1242</v>
      </c>
      <c r="E3622" t="str">
        <f>IF(OR(E3621="&lt;/routeDistribution&gt;",E3621=""),"",IFERROR(_xlfn.CONCAT(VLOOKUP(CC29,Route_Column!#REF!,2,FALSE),CHAR(34)," probability=",CHAR(34),1/CC$4,CHAR(34),CHAR(47),CHAR(62)),"&lt;/routeDistribution&gt;"))</f>
        <v/>
      </c>
    </row>
    <row r="3623" spans="1:5" x14ac:dyDescent="0.25">
      <c r="A3623" t="s">
        <v>1537</v>
      </c>
      <c r="B3623" t="s">
        <v>1243</v>
      </c>
      <c r="E3623" t="str">
        <f>IF(OR(E3622="&lt;/routeDistribution&gt;",E3622=""),"",IFERROR(_xlfn.CONCAT(VLOOKUP(CC30,Route_Column!#REF!,2,FALSE),CHAR(34)," probability=",CHAR(34),1/CC$4,CHAR(34),CHAR(47),CHAR(62)),"&lt;/routeDistribution&gt;"))</f>
        <v/>
      </c>
    </row>
    <row r="3624" spans="1:5" x14ac:dyDescent="0.25">
      <c r="A3624" t="s">
        <v>1537</v>
      </c>
      <c r="B3624" t="s">
        <v>1244</v>
      </c>
      <c r="E3624" t="str">
        <f>IF(OR(E3623="&lt;/routeDistribution&gt;",E3623=""),"",IFERROR(_xlfn.CONCAT(VLOOKUP(CC31,Route_Column!#REF!,2,FALSE),CHAR(34)," probability=",CHAR(34),1/CC$4,CHAR(34),CHAR(47),CHAR(62)),"&lt;/routeDistribution&gt;"))</f>
        <v/>
      </c>
    </row>
    <row r="3625" spans="1:5" x14ac:dyDescent="0.25">
      <c r="A3625" t="s">
        <v>1537</v>
      </c>
      <c r="B3625" t="s">
        <v>1245</v>
      </c>
      <c r="E3625" t="str">
        <f>IF(OR(E3624="&lt;/routeDistribution&gt;",E3624=""),"",IFERROR(_xlfn.CONCAT(VLOOKUP(CC32,Route_Column!#REF!,2,FALSE),CHAR(34)," probability=",CHAR(34),1/CC$4,CHAR(34),CHAR(47),CHAR(62)),"&lt;/routeDistribution&gt;"))</f>
        <v/>
      </c>
    </row>
    <row r="3626" spans="1:5" x14ac:dyDescent="0.25">
      <c r="A3626" t="s">
        <v>1537</v>
      </c>
      <c r="B3626" t="s">
        <v>1246</v>
      </c>
      <c r="E3626" t="str">
        <f>IF(OR(E3625="&lt;/routeDistribution&gt;",E3625=""),"",IFERROR(_xlfn.CONCAT(VLOOKUP(CC33,Route_Column!#REF!,2,FALSE),CHAR(34)," probability=",CHAR(34),1/CC$4,CHAR(34),CHAR(47),CHAR(62)),"&lt;/routeDistribution&gt;"))</f>
        <v/>
      </c>
    </row>
    <row r="3627" spans="1:5" x14ac:dyDescent="0.25">
      <c r="A3627" t="s">
        <v>1537</v>
      </c>
      <c r="B3627" t="s">
        <v>1247</v>
      </c>
      <c r="E3627" t="str">
        <f>IF(OR(E3626="&lt;/routeDistribution&gt;",E3626=""),"",IFERROR(_xlfn.CONCAT(VLOOKUP(CC34,Route_Column!#REF!,2,FALSE),CHAR(34)," probability=",CHAR(34),1/CC$4,CHAR(34),CHAR(47),CHAR(62)),"&lt;/routeDistribution&gt;"))</f>
        <v/>
      </c>
    </row>
    <row r="3628" spans="1:5" x14ac:dyDescent="0.25">
      <c r="A3628" t="s">
        <v>1537</v>
      </c>
      <c r="B3628" t="s">
        <v>1248</v>
      </c>
      <c r="E3628" t="str">
        <f>IF(OR(E3627="&lt;/routeDistribution&gt;",E3627=""),"",IFERROR(_xlfn.CONCAT(VLOOKUP(CC35,Route_Column!#REF!,2,FALSE),CHAR(34)," probability=",CHAR(34),1/CC$4,CHAR(34),CHAR(47),CHAR(62)),"&lt;/routeDistribution&gt;"))</f>
        <v/>
      </c>
    </row>
    <row r="3629" spans="1:5" x14ac:dyDescent="0.25">
      <c r="A3629" t="s">
        <v>1537</v>
      </c>
      <c r="B3629" t="s">
        <v>1249</v>
      </c>
      <c r="E3629" t="str">
        <f>IF(OR(E3628="&lt;/routeDistribution&gt;",E3628=""),"",IFERROR(_xlfn.CONCAT(VLOOKUP(CC36,Route_Column!#REF!,2,FALSE),CHAR(34)," probability=",CHAR(34),1/CC$4,CHAR(34),CHAR(47),CHAR(62)),"&lt;/routeDistribution&gt;"))</f>
        <v/>
      </c>
    </row>
    <row r="3630" spans="1:5" x14ac:dyDescent="0.25">
      <c r="A3630" t="s">
        <v>1537</v>
      </c>
      <c r="B3630" t="s">
        <v>1250</v>
      </c>
      <c r="E3630" t="str">
        <f>IF(OR(E3629="&lt;/routeDistribution&gt;",E3629=""),"",IFERROR(_xlfn.CONCAT(VLOOKUP(CC37,Route_Column!#REF!,2,FALSE),CHAR(34)," probability=",CHAR(34),1/CC$4,CHAR(34),CHAR(47),CHAR(62)),"&lt;/routeDistribution&gt;"))</f>
        <v/>
      </c>
    </row>
    <row r="3631" spans="1:5" x14ac:dyDescent="0.25">
      <c r="A3631" t="s">
        <v>1537</v>
      </c>
      <c r="B3631" t="s">
        <v>1251</v>
      </c>
      <c r="E3631" t="str">
        <f>IF(OR(E3630="&lt;/routeDistribution&gt;",E3630=""),"",IFERROR(_xlfn.CONCAT(VLOOKUP(CC38,Route_Column!#REF!,2,FALSE),CHAR(34)," probability=",CHAR(34),1/CC$4,CHAR(34),CHAR(47),CHAR(62)),"&lt;/routeDistribution&gt;"))</f>
        <v/>
      </c>
    </row>
    <row r="3632" spans="1:5" x14ac:dyDescent="0.25">
      <c r="A3632" s="13" t="s">
        <v>1538</v>
      </c>
      <c r="B3632" t="s">
        <v>1091</v>
      </c>
      <c r="E3632" t="str">
        <f>IF(OR(E3631="&lt;/routeDistribution&gt;",E3631=""),"",IFERROR(_xlfn.CONCAT(VLOOKUP(CC39,Route_Column!#REF!,2,FALSE),CHAR(34)," probability=",CHAR(34),1/CC$4,CHAR(34),CHAR(47),CHAR(62)),"&lt;/routeDistribution&gt;"))</f>
        <v/>
      </c>
    </row>
    <row r="3633" spans="1:5" x14ac:dyDescent="0.25">
      <c r="A3633" t="s">
        <v>1538</v>
      </c>
      <c r="B3633" t="s">
        <v>1093</v>
      </c>
      <c r="E3633" t="str">
        <f>IF(OR(E3632="&lt;/routeDistribution&gt;",E3632=""),"",IFERROR(_xlfn.CONCAT(VLOOKUP(CC40,Route_Column!#REF!,2,FALSE),CHAR(34)," probability=",CHAR(34),1/CC$4,CHAR(34),CHAR(47),CHAR(62)),"&lt;/routeDistribution&gt;"))</f>
        <v/>
      </c>
    </row>
    <row r="3634" spans="1:5" x14ac:dyDescent="0.25">
      <c r="A3634" t="s">
        <v>1538</v>
      </c>
      <c r="B3634" t="s">
        <v>1156</v>
      </c>
      <c r="E3634" t="str">
        <f>IF(OR(E3633="&lt;/routeDistribution&gt;",E3633=""),"",IFERROR(_xlfn.CONCAT(VLOOKUP(CC41,Route_Column!#REF!,2,FALSE),CHAR(34)," probability=",CHAR(34),1/CC$4,CHAR(34),CHAR(47),CHAR(62)),"&lt;/routeDistribution&gt;"))</f>
        <v/>
      </c>
    </row>
    <row r="3635" spans="1:5" x14ac:dyDescent="0.25">
      <c r="A3635" t="s">
        <v>1538</v>
      </c>
      <c r="B3635" t="s">
        <v>1251</v>
      </c>
      <c r="E3635" t="str">
        <f>IF(OR(E3634="&lt;/routeDistribution&gt;",E3634=""),"",IFERROR(_xlfn.CONCAT(VLOOKUP(CC42,Route_Column!#REF!,2,FALSE),CHAR(34)," probability=",CHAR(34),1/CC$4,CHAR(34),CHAR(47),CHAR(62)),"&lt;/routeDistribution&gt;"))</f>
        <v/>
      </c>
    </row>
    <row r="3636" spans="1:5" x14ac:dyDescent="0.25">
      <c r="A3636" t="s">
        <v>1912</v>
      </c>
      <c r="B3636" t="s">
        <v>1112</v>
      </c>
      <c r="E3636" t="str">
        <f>IF(OR(E3635="&lt;/routeDistribution&gt;",E3635=""),"",IFERROR(_xlfn.CONCAT(VLOOKUP(CC43,Route_Column!#REF!,2,FALSE),CHAR(34)," probability=",CHAR(34),1/CC$4,CHAR(34),CHAR(47),CHAR(62)),"&lt;/routeDistribution&gt;"))</f>
        <v/>
      </c>
    </row>
    <row r="3637" spans="1:5" x14ac:dyDescent="0.25">
      <c r="A3637" t="s">
        <v>1912</v>
      </c>
      <c r="B3637" t="s">
        <v>1157</v>
      </c>
      <c r="E3637" t="str">
        <f>IF(OR(E3636="&lt;/routeDistribution&gt;",E3636=""),"",IFERROR(_xlfn.CONCAT(VLOOKUP(CC44,Route_Column!#REF!,2,FALSE),CHAR(34)," probability=",CHAR(34),1/CC$4,CHAR(34),CHAR(47),CHAR(62)),"&lt;/routeDistribution&gt;"))</f>
        <v/>
      </c>
    </row>
    <row r="3638" spans="1:5" x14ac:dyDescent="0.25">
      <c r="A3638" t="s">
        <v>1912</v>
      </c>
      <c r="B3638" t="s">
        <v>1158</v>
      </c>
      <c r="E3638" t="str">
        <f>IF(OR(E3637="&lt;/routeDistribution&gt;",E3637=""),"",IFERROR(_xlfn.CONCAT(VLOOKUP(CC45,Route_Column!#REF!,2,FALSE),CHAR(34)," probability=",CHAR(34),1/CC$4,CHAR(34),CHAR(47),CHAR(62)),"&lt;/routeDistribution&gt;"))</f>
        <v/>
      </c>
    </row>
    <row r="3639" spans="1:5" x14ac:dyDescent="0.25">
      <c r="A3639" t="s">
        <v>1912</v>
      </c>
      <c r="B3639" t="s">
        <v>1159</v>
      </c>
      <c r="E3639" t="str">
        <f>IF(OR(E3638="&lt;/routeDistribution&gt;",E3638=""),"",IFERROR(_xlfn.CONCAT(VLOOKUP(CC46,Route_Column!#REF!,2,FALSE),CHAR(34)," probability=",CHAR(34),1/CC$4,CHAR(34),CHAR(47),CHAR(62)),"&lt;/routeDistribution&gt;"))</f>
        <v/>
      </c>
    </row>
    <row r="3640" spans="1:5" x14ac:dyDescent="0.25">
      <c r="A3640" t="s">
        <v>2285</v>
      </c>
      <c r="B3640" t="s">
        <v>1195</v>
      </c>
      <c r="E3640" t="str">
        <f>IF(OR(E3639="&lt;/routeDistribution&gt;",E3639=""),"",IFERROR(_xlfn.CONCAT(VLOOKUP(CC47,Route_Column!#REF!,2,FALSE),CHAR(34)," probability=",CHAR(34),1/CC$4,CHAR(34),CHAR(47),CHAR(62)),"&lt;/routeDistribution&gt;"))</f>
        <v/>
      </c>
    </row>
    <row r="3641" spans="1:5" x14ac:dyDescent="0.25">
      <c r="A3641" t="s">
        <v>2285</v>
      </c>
      <c r="B3641" t="s">
        <v>1196</v>
      </c>
      <c r="E3641" t="str">
        <f>IF(OR(E3640="&lt;/routeDistribution&gt;",E3640=""),"",IFERROR(_xlfn.CONCAT(VLOOKUP(CC48,Route_Column!#REF!,2,FALSE),CHAR(34)," probability=",CHAR(34),1/CC$4,CHAR(34),CHAR(47),CHAR(62)),"&lt;/routeDistribution&gt;"))</f>
        <v/>
      </c>
    </row>
    <row r="3642" spans="1:5" x14ac:dyDescent="0.25">
      <c r="A3642" t="s">
        <v>2275</v>
      </c>
      <c r="B3642" t="s">
        <v>1195</v>
      </c>
      <c r="E3642" t="str">
        <f>IF(OR(E3641="&lt;/routeDistribution&gt;",E3641=""),"",IFERROR(_xlfn.CONCAT(VLOOKUP(CC49,Route_Column!#REF!,2,FALSE),CHAR(34)," probability=",CHAR(34),1/CC$4,CHAR(34),CHAR(47),CHAR(62)),"&lt;/routeDistribution&gt;"))</f>
        <v/>
      </c>
    </row>
    <row r="3643" spans="1:5" x14ac:dyDescent="0.25">
      <c r="A3643" t="s">
        <v>2275</v>
      </c>
      <c r="B3643" t="s">
        <v>1196</v>
      </c>
      <c r="E3643" t="str">
        <f>IF(OR(E3642="&lt;/routeDistribution&gt;",E3642=""),"",IFERROR(_xlfn.CONCAT(VLOOKUP(CC50,Route_Column!#REF!,2,FALSE),CHAR(34)," probability=",CHAR(34),1/CC$4,CHAR(34),CHAR(47),CHAR(62)),"&lt;/routeDistribution&gt;"))</f>
        <v/>
      </c>
    </row>
    <row r="3644" spans="1:5" x14ac:dyDescent="0.25">
      <c r="A3644" s="11" t="s">
        <v>1512</v>
      </c>
      <c r="B3644" t="s">
        <v>1091</v>
      </c>
      <c r="E3644" t="str">
        <f>IF(OR(E3643="&lt;/routeDistribution&gt;",E3643=""),"",IFERROR(_xlfn.CONCAT(VLOOKUP(CC51,Route_Column!#REF!,2,FALSE),CHAR(34)," probability=",CHAR(34),1/CC$4,CHAR(34),CHAR(47),CHAR(62)),"&lt;/routeDistribution&gt;"))</f>
        <v/>
      </c>
    </row>
    <row r="3645" spans="1:5" x14ac:dyDescent="0.25">
      <c r="A3645" t="s">
        <v>1512</v>
      </c>
      <c r="B3645" t="s">
        <v>1092</v>
      </c>
      <c r="E3645" t="str">
        <f>IF(OR(E3644="&lt;/routeDistribution&gt;",E3644=""),"",IFERROR(_xlfn.CONCAT(VLOOKUP(CC52,Route_Column!#REF!,2,FALSE),CHAR(34)," probability=",CHAR(34),1/CC$4,CHAR(34),CHAR(47),CHAR(62)),"&lt;/routeDistribution&gt;"))</f>
        <v/>
      </c>
    </row>
    <row r="3646" spans="1:5" x14ac:dyDescent="0.25">
      <c r="A3646" t="s">
        <v>1512</v>
      </c>
      <c r="B3646" t="s">
        <v>1093</v>
      </c>
      <c r="E3646" t="str">
        <f>IF(OR(E3645="&lt;/routeDistribution&gt;",E3645=""),"",IFERROR(_xlfn.CONCAT(VLOOKUP(CC53,Route_Column!#REF!,2,FALSE),CHAR(34)," probability=",CHAR(34),1/CC$4,CHAR(34),CHAR(47),CHAR(62)),"&lt;/routeDistribution&gt;"))</f>
        <v/>
      </c>
    </row>
    <row r="3647" spans="1:5" x14ac:dyDescent="0.25">
      <c r="A3647" t="s">
        <v>1512</v>
      </c>
      <c r="B3647" t="s">
        <v>1094</v>
      </c>
      <c r="E3647" t="str">
        <f>IF(OR(E3646="&lt;/routeDistribution&gt;",E3646=""),"",IFERROR(_xlfn.CONCAT(VLOOKUP(CC54,Route_Column!#REF!,2,FALSE),CHAR(34)," probability=",CHAR(34),1/CC$4,CHAR(34),CHAR(47),CHAR(62)),"&lt;/routeDistribution&gt;"))</f>
        <v/>
      </c>
    </row>
    <row r="3648" spans="1:5" x14ac:dyDescent="0.25">
      <c r="A3648" t="s">
        <v>1512</v>
      </c>
      <c r="B3648" t="s">
        <v>1095</v>
      </c>
      <c r="E3648" t="str">
        <f>IF(OR(E3647="&lt;/routeDistribution&gt;",E3647=""),"",IFERROR(_xlfn.CONCAT(VLOOKUP(CC55,Route_Column!#REF!,2,FALSE),CHAR(34)," probability=",CHAR(34),1/CC$4,CHAR(34),CHAR(47),CHAR(62)),"&lt;/routeDistribution&gt;"))</f>
        <v/>
      </c>
    </row>
    <row r="3649" spans="1:5" x14ac:dyDescent="0.25">
      <c r="A3649" t="s">
        <v>1512</v>
      </c>
      <c r="B3649" t="s">
        <v>1160</v>
      </c>
      <c r="E3649" t="str">
        <f>IF(OR(E3648="&lt;/routeDistribution&gt;",E3648=""),"",IFERROR(_xlfn.CONCAT(VLOOKUP(CC56,Route_Column!#REF!,2,FALSE),CHAR(34)," probability=",CHAR(34),1/CC$4,CHAR(34),CHAR(47),CHAR(62)),"&lt;/routeDistribution&gt;"))</f>
        <v/>
      </c>
    </row>
    <row r="3650" spans="1:5" x14ac:dyDescent="0.25">
      <c r="A3650" t="s">
        <v>1512</v>
      </c>
      <c r="B3650" t="s">
        <v>1194</v>
      </c>
      <c r="E3650" t="str">
        <f>IF(OR(E3649="&lt;/routeDistribution&gt;",E3649=""),"",IFERROR(_xlfn.CONCAT(VLOOKUP(CC57,Route_Column!#REF!,2,FALSE),CHAR(34)," probability=",CHAR(34),1/CC$4,CHAR(34),CHAR(47),CHAR(62)),"&lt;/routeDistribution&gt;"))</f>
        <v/>
      </c>
    </row>
    <row r="3651" spans="1:5" x14ac:dyDescent="0.25">
      <c r="A3651" t="s">
        <v>2245</v>
      </c>
      <c r="B3651" t="s">
        <v>1177</v>
      </c>
      <c r="E3651" t="str">
        <f>IF(OR(E3650="&lt;/routeDistribution&gt;",E3650=""),"",IFERROR(_xlfn.CONCAT(VLOOKUP(CC58,Route_Column!#REF!,2,FALSE),CHAR(34)," probability=",CHAR(34),1/CC$4,CHAR(34),CHAR(47),CHAR(62)),"&lt;/routeDistribution&gt;"))</f>
        <v/>
      </c>
    </row>
    <row r="3652" spans="1:5" x14ac:dyDescent="0.25">
      <c r="A3652" t="s">
        <v>2245</v>
      </c>
      <c r="B3652" t="s">
        <v>1217</v>
      </c>
      <c r="E3652" t="str">
        <f>IF(OR(E3651="&lt;/routeDistribution&gt;",E3651=""),"",IFERROR(_xlfn.CONCAT(VLOOKUP(CC59,Route_Column!#REF!,2,FALSE),CHAR(34)," probability=",CHAR(34),1/CC$4,CHAR(34),CHAR(47),CHAR(62)),"&lt;/routeDistribution&gt;"))</f>
        <v/>
      </c>
    </row>
    <row r="3653" spans="1:5" x14ac:dyDescent="0.25">
      <c r="A3653" t="s">
        <v>2245</v>
      </c>
      <c r="B3653" t="s">
        <v>1218</v>
      </c>
      <c r="E3653" t="str">
        <f>IF(OR(E3652="&lt;/routeDistribution&gt;",E3652=""),"",IFERROR(_xlfn.CONCAT(VLOOKUP(CC60,Route_Column!#REF!,2,FALSE),CHAR(34)," probability=",CHAR(34),1/CC$4,CHAR(34),CHAR(47),CHAR(62)),"&lt;/routeDistribution&gt;"))</f>
        <v/>
      </c>
    </row>
    <row r="3654" spans="1:5" x14ac:dyDescent="0.25">
      <c r="A3654" t="s">
        <v>2245</v>
      </c>
      <c r="B3654" t="s">
        <v>1219</v>
      </c>
      <c r="E3654" t="str">
        <f>IF(OR(E3653="&lt;/routeDistribution&gt;",E3653=""),"",IFERROR(_xlfn.CONCAT(VLOOKUP(CC61,Route_Column!#REF!,2,FALSE),CHAR(34)," probability=",CHAR(34),1/CC$4,CHAR(34),CHAR(47),CHAR(62)),"&lt;/routeDistribution&gt;"))</f>
        <v/>
      </c>
    </row>
    <row r="3655" spans="1:5" x14ac:dyDescent="0.25">
      <c r="A3655" t="s">
        <v>2245</v>
      </c>
      <c r="B3655" t="s">
        <v>1220</v>
      </c>
      <c r="E3655" t="str">
        <f>IF(OR(E3654="&lt;/routeDistribution&gt;",E3654=""),"",IFERROR(_xlfn.CONCAT(VLOOKUP(CC62,Route_Column!#REF!,2,FALSE),CHAR(34)," probability=",CHAR(34),1/CC$4,CHAR(34),CHAR(47),CHAR(62)),"&lt;/routeDistribution&gt;"))</f>
        <v/>
      </c>
    </row>
    <row r="3656" spans="1:5" x14ac:dyDescent="0.25">
      <c r="A3656" t="s">
        <v>2245</v>
      </c>
      <c r="B3656" t="s">
        <v>1220</v>
      </c>
      <c r="E3656" t="str">
        <f>IF(OR(E3655="&lt;/routeDistribution&gt;",E3655=""),"",IFERROR(_xlfn.CONCAT(VLOOKUP(CC63,Route_Column!#REF!,2,FALSE),CHAR(34)," probability=",CHAR(34),1/CC$4,CHAR(34),CHAR(47),CHAR(62)),"&lt;/routeDistribution&gt;"))</f>
        <v/>
      </c>
    </row>
    <row r="3657" spans="1:5" x14ac:dyDescent="0.25">
      <c r="A3657" t="s">
        <v>2245</v>
      </c>
      <c r="B3657" t="s">
        <v>1229</v>
      </c>
      <c r="E3657" t="s">
        <v>2686</v>
      </c>
    </row>
    <row r="3658" spans="1:5" x14ac:dyDescent="0.25">
      <c r="A3658" t="s">
        <v>1616</v>
      </c>
      <c r="B3658" t="s">
        <v>1096</v>
      </c>
    </row>
    <row r="3659" spans="1:5" x14ac:dyDescent="0.25">
      <c r="A3659" t="s">
        <v>1616</v>
      </c>
      <c r="B3659" t="s">
        <v>1163</v>
      </c>
    </row>
    <row r="3660" spans="1:5" x14ac:dyDescent="0.25">
      <c r="A3660" t="s">
        <v>1616</v>
      </c>
      <c r="B3660" t="s">
        <v>1168</v>
      </c>
      <c r="E3660" t="str">
        <f>_xlfn.CONCAT($E$1,CB$2,$F$1)</f>
        <v>&lt;routeDistribution id="23rd-Wal-to-Chesnut-SB-2009-RouteProbe"&gt;</v>
      </c>
    </row>
    <row r="3661" spans="1:5" x14ac:dyDescent="0.25">
      <c r="A3661" t="s">
        <v>1616</v>
      </c>
      <c r="B3661" t="s">
        <v>1170</v>
      </c>
      <c r="E3661" t="str">
        <f>IF(OR(E3660="&lt;/routeDistribution&gt;",E3660=""),"",IFERROR(_xlfn.CONCAT(VLOOKUP(CB5,Route_Column!#REF!,2,FALSE),CHAR(34)," probability=",CHAR(34),1/CB$4,CHAR(34),CHAR(47),CHAR(62)),"&lt;/routeDistribution&gt;"))</f>
        <v>&lt;/routeDistribution&gt;</v>
      </c>
    </row>
    <row r="3662" spans="1:5" x14ac:dyDescent="0.25">
      <c r="A3662" t="s">
        <v>1616</v>
      </c>
      <c r="B3662" t="s">
        <v>1196</v>
      </c>
      <c r="E3662" t="str">
        <f>IF(OR(E3661="&lt;/routeDistribution&gt;",E3661=""),"",IFERROR(_xlfn.CONCAT(VLOOKUP(CB6,Route_Column!#REF!,2,FALSE),CHAR(34)," probability=",CHAR(34),1/CB$4,CHAR(34),CHAR(47),CHAR(62)),"&lt;/routeDistribution&gt;"))</f>
        <v/>
      </c>
    </row>
    <row r="3663" spans="1:5" x14ac:dyDescent="0.25">
      <c r="A3663" t="s">
        <v>1616</v>
      </c>
      <c r="B3663" t="s">
        <v>1241</v>
      </c>
      <c r="E3663" t="str">
        <f>IF(OR(E3662="&lt;/routeDistribution&gt;",E3662=""),"",IFERROR(_xlfn.CONCAT(VLOOKUP(CB7,Route_Column!#REF!,2,FALSE),CHAR(34)," probability=",CHAR(34),1/CB$4,CHAR(34),CHAR(47),CHAR(62)),"&lt;/routeDistribution&gt;"))</f>
        <v/>
      </c>
    </row>
    <row r="3664" spans="1:5" x14ac:dyDescent="0.25">
      <c r="A3664" t="s">
        <v>1617</v>
      </c>
      <c r="B3664" t="s">
        <v>1096</v>
      </c>
      <c r="E3664" t="str">
        <f>IF(OR(E3663="&lt;/routeDistribution&gt;",E3663=""),"",IFERROR(_xlfn.CONCAT(VLOOKUP(CB8,Route_Column!#REF!,2,FALSE),CHAR(34)," probability=",CHAR(34),1/CB$4,CHAR(34),CHAR(47),CHAR(62)),"&lt;/routeDistribution&gt;"))</f>
        <v/>
      </c>
    </row>
    <row r="3665" spans="1:5" x14ac:dyDescent="0.25">
      <c r="A3665" t="s">
        <v>1617</v>
      </c>
      <c r="B3665" t="s">
        <v>1163</v>
      </c>
      <c r="E3665" t="str">
        <f>IF(OR(E3664="&lt;/routeDistribution&gt;",E3664=""),"",IFERROR(_xlfn.CONCAT(VLOOKUP(CB9,Route_Column!#REF!,2,FALSE),CHAR(34)," probability=",CHAR(34),1/CB$4,CHAR(34),CHAR(47),CHAR(62)),"&lt;/routeDistribution&gt;"))</f>
        <v/>
      </c>
    </row>
    <row r="3666" spans="1:5" x14ac:dyDescent="0.25">
      <c r="A3666" t="s">
        <v>1617</v>
      </c>
      <c r="B3666" t="s">
        <v>1168</v>
      </c>
      <c r="E3666" t="str">
        <f>IF(OR(E3665="&lt;/routeDistribution&gt;",E3665=""),"",IFERROR(_xlfn.CONCAT(VLOOKUP(CB10,Route_Column!#REF!,2,FALSE),CHAR(34)," probability=",CHAR(34),1/CB$4,CHAR(34),CHAR(47),CHAR(62)),"&lt;/routeDistribution&gt;"))</f>
        <v/>
      </c>
    </row>
    <row r="3667" spans="1:5" x14ac:dyDescent="0.25">
      <c r="A3667" t="s">
        <v>1617</v>
      </c>
      <c r="B3667" t="s">
        <v>1170</v>
      </c>
      <c r="E3667" t="str">
        <f>IF(OR(E3666="&lt;/routeDistribution&gt;",E3666=""),"",IFERROR(_xlfn.CONCAT(VLOOKUP(CB11,Route_Column!#REF!,2,FALSE),CHAR(34)," probability=",CHAR(34),1/CB$4,CHAR(34),CHAR(47),CHAR(62)),"&lt;/routeDistribution&gt;"))</f>
        <v/>
      </c>
    </row>
    <row r="3668" spans="1:5" x14ac:dyDescent="0.25">
      <c r="A3668" t="s">
        <v>1617</v>
      </c>
      <c r="B3668" t="s">
        <v>1196</v>
      </c>
      <c r="E3668" t="str">
        <f>IF(OR(E3667="&lt;/routeDistribution&gt;",E3667=""),"",IFERROR(_xlfn.CONCAT(VLOOKUP(CB12,Route_Column!#REF!,2,FALSE),CHAR(34)," probability=",CHAR(34),1/CB$4,CHAR(34),CHAR(47),CHAR(62)),"&lt;/routeDistribution&gt;"))</f>
        <v/>
      </c>
    </row>
    <row r="3669" spans="1:5" x14ac:dyDescent="0.25">
      <c r="A3669" t="s">
        <v>1617</v>
      </c>
      <c r="B3669" t="s">
        <v>1241</v>
      </c>
      <c r="E3669" t="str">
        <f>IF(OR(E3668="&lt;/routeDistribution&gt;",E3668=""),"",IFERROR(_xlfn.CONCAT(VLOOKUP(CB13,Route_Column!#REF!,2,FALSE),CHAR(34)," probability=",CHAR(34),1/CB$4,CHAR(34),CHAR(47),CHAR(62)),"&lt;/routeDistribution&gt;"))</f>
        <v/>
      </c>
    </row>
    <row r="3670" spans="1:5" x14ac:dyDescent="0.25">
      <c r="A3670" t="s">
        <v>1618</v>
      </c>
      <c r="B3670" t="s">
        <v>1096</v>
      </c>
      <c r="E3670" t="str">
        <f>IF(OR(E3669="&lt;/routeDistribution&gt;",E3669=""),"",IFERROR(_xlfn.CONCAT(VLOOKUP(CB14,Route_Column!#REF!,2,FALSE),CHAR(34)," probability=",CHAR(34),1/CB$4,CHAR(34),CHAR(47),CHAR(62)),"&lt;/routeDistribution&gt;"))</f>
        <v/>
      </c>
    </row>
    <row r="3671" spans="1:5" x14ac:dyDescent="0.25">
      <c r="A3671" t="s">
        <v>1618</v>
      </c>
      <c r="B3671" t="s">
        <v>1163</v>
      </c>
      <c r="E3671" t="str">
        <f>IF(OR(E3670="&lt;/routeDistribution&gt;",E3670=""),"",IFERROR(_xlfn.CONCAT(VLOOKUP(CB15,Route_Column!#REF!,2,FALSE),CHAR(34)," probability=",CHAR(34),1/CB$4,CHAR(34),CHAR(47),CHAR(62)),"&lt;/routeDistribution&gt;"))</f>
        <v/>
      </c>
    </row>
    <row r="3672" spans="1:5" x14ac:dyDescent="0.25">
      <c r="A3672" t="s">
        <v>1618</v>
      </c>
      <c r="B3672" t="s">
        <v>1168</v>
      </c>
      <c r="E3672" t="str">
        <f>IF(OR(E3671="&lt;/routeDistribution&gt;",E3671=""),"",IFERROR(_xlfn.CONCAT(VLOOKUP(CB16,Route_Column!#REF!,2,FALSE),CHAR(34)," probability=",CHAR(34),1/CB$4,CHAR(34),CHAR(47),CHAR(62)),"&lt;/routeDistribution&gt;"))</f>
        <v/>
      </c>
    </row>
    <row r="3673" spans="1:5" x14ac:dyDescent="0.25">
      <c r="A3673" t="s">
        <v>1618</v>
      </c>
      <c r="B3673" t="s">
        <v>1170</v>
      </c>
      <c r="E3673" t="str">
        <f>IF(OR(E3672="&lt;/routeDistribution&gt;",E3672=""),"",IFERROR(_xlfn.CONCAT(VLOOKUP(CB17,Route_Column!#REF!,2,FALSE),CHAR(34)," probability=",CHAR(34),1/CB$4,CHAR(34),CHAR(47),CHAR(62)),"&lt;/routeDistribution&gt;"))</f>
        <v/>
      </c>
    </row>
    <row r="3674" spans="1:5" x14ac:dyDescent="0.25">
      <c r="A3674" t="s">
        <v>1618</v>
      </c>
      <c r="B3674" t="s">
        <v>1196</v>
      </c>
      <c r="E3674" t="str">
        <f>IF(OR(E3673="&lt;/routeDistribution&gt;",E3673=""),"",IFERROR(_xlfn.CONCAT(VLOOKUP(CB18,Route_Column!#REF!,2,FALSE),CHAR(34)," probability=",CHAR(34),1/CB$4,CHAR(34),CHAR(47),CHAR(62)),"&lt;/routeDistribution&gt;"))</f>
        <v/>
      </c>
    </row>
    <row r="3675" spans="1:5" x14ac:dyDescent="0.25">
      <c r="A3675" t="s">
        <v>1618</v>
      </c>
      <c r="B3675" t="s">
        <v>1241</v>
      </c>
      <c r="E3675" t="str">
        <f>IF(OR(E3674="&lt;/routeDistribution&gt;",E3674=""),"",IFERROR(_xlfn.CONCAT(VLOOKUP(CB19,Route_Column!#REF!,2,FALSE),CHAR(34)," probability=",CHAR(34),1/CB$4,CHAR(34),CHAR(47),CHAR(62)),"&lt;/routeDistribution&gt;"))</f>
        <v/>
      </c>
    </row>
    <row r="3676" spans="1:5" x14ac:dyDescent="0.25">
      <c r="A3676" t="s">
        <v>1782</v>
      </c>
      <c r="B3676" t="s">
        <v>1104</v>
      </c>
      <c r="E3676" t="str">
        <f>IF(OR(E3675="&lt;/routeDistribution&gt;",E3675=""),"",IFERROR(_xlfn.CONCAT(VLOOKUP(CB20,Route_Column!#REF!,2,FALSE),CHAR(34)," probability=",CHAR(34),1/CB$4,CHAR(34),CHAR(47),CHAR(62)),"&lt;/routeDistribution&gt;"))</f>
        <v/>
      </c>
    </row>
    <row r="3677" spans="1:5" x14ac:dyDescent="0.25">
      <c r="A3677" t="s">
        <v>1782</v>
      </c>
      <c r="B3677" t="s">
        <v>1105</v>
      </c>
      <c r="E3677" t="str">
        <f>IF(OR(E3676="&lt;/routeDistribution&gt;",E3676=""),"",IFERROR(_xlfn.CONCAT(VLOOKUP(CB21,Route_Column!#REF!,2,FALSE),CHAR(34)," probability=",CHAR(34),1/CB$4,CHAR(34),CHAR(47),CHAR(62)),"&lt;/routeDistribution&gt;"))</f>
        <v/>
      </c>
    </row>
    <row r="3678" spans="1:5" x14ac:dyDescent="0.25">
      <c r="A3678" t="s">
        <v>1782</v>
      </c>
      <c r="B3678" t="s">
        <v>1116</v>
      </c>
      <c r="E3678" t="str">
        <f>IF(OR(E3677="&lt;/routeDistribution&gt;",E3677=""),"",IFERROR(_xlfn.CONCAT(VLOOKUP(CB22,Route_Column!#REF!,2,FALSE),CHAR(34)," probability=",CHAR(34),1/CB$4,CHAR(34),CHAR(47),CHAR(62)),"&lt;/routeDistribution&gt;"))</f>
        <v/>
      </c>
    </row>
    <row r="3679" spans="1:5" x14ac:dyDescent="0.25">
      <c r="A3679" t="s">
        <v>1782</v>
      </c>
      <c r="B3679" t="s">
        <v>1117</v>
      </c>
      <c r="E3679" t="str">
        <f>IF(OR(E3678="&lt;/routeDistribution&gt;",E3678=""),"",IFERROR(_xlfn.CONCAT(VLOOKUP(CB23,Route_Column!#REF!,2,FALSE),CHAR(34)," probability=",CHAR(34),1/CB$4,CHAR(34),CHAR(47),CHAR(62)),"&lt;/routeDistribution&gt;"))</f>
        <v/>
      </c>
    </row>
    <row r="3680" spans="1:5" x14ac:dyDescent="0.25">
      <c r="A3680" t="s">
        <v>1782</v>
      </c>
      <c r="B3680" t="s">
        <v>1118</v>
      </c>
      <c r="E3680" t="str">
        <f>IF(OR(E3679="&lt;/routeDistribution&gt;",E3679=""),"",IFERROR(_xlfn.CONCAT(VLOOKUP(CB24,Route_Column!#REF!,2,FALSE),CHAR(34)," probability=",CHAR(34),1/CB$4,CHAR(34),CHAR(47),CHAR(62)),"&lt;/routeDistribution&gt;"))</f>
        <v/>
      </c>
    </row>
    <row r="3681" spans="1:5" x14ac:dyDescent="0.25">
      <c r="A3681" t="s">
        <v>1782</v>
      </c>
      <c r="B3681" t="s">
        <v>1223</v>
      </c>
      <c r="E3681" t="str">
        <f>IF(OR(E3680="&lt;/routeDistribution&gt;",E3680=""),"",IFERROR(_xlfn.CONCAT(VLOOKUP(CB25,Route_Column!#REF!,2,FALSE),CHAR(34)," probability=",CHAR(34),1/CB$4,CHAR(34),CHAR(47),CHAR(62)),"&lt;/routeDistribution&gt;"))</f>
        <v/>
      </c>
    </row>
    <row r="3682" spans="1:5" x14ac:dyDescent="0.25">
      <c r="A3682" t="s">
        <v>1782</v>
      </c>
      <c r="B3682" t="s">
        <v>1239</v>
      </c>
      <c r="E3682" t="str">
        <f>IF(OR(E3681="&lt;/routeDistribution&gt;",E3681=""),"",IFERROR(_xlfn.CONCAT(VLOOKUP(CB26,Route_Column!#REF!,2,FALSE),CHAR(34)," probability=",CHAR(34),1/CB$4,CHAR(34),CHAR(47),CHAR(62)),"&lt;/routeDistribution&gt;"))</f>
        <v/>
      </c>
    </row>
    <row r="3683" spans="1:5" x14ac:dyDescent="0.25">
      <c r="A3683" t="s">
        <v>1782</v>
      </c>
      <c r="B3683" t="s">
        <v>1240</v>
      </c>
      <c r="E3683" t="str">
        <f>IF(OR(E3682="&lt;/routeDistribution&gt;",E3682=""),"",IFERROR(_xlfn.CONCAT(VLOOKUP(CB27,Route_Column!#REF!,2,FALSE),CHAR(34)," probability=",CHAR(34),1/CB$4,CHAR(34),CHAR(47),CHAR(62)),"&lt;/routeDistribution&gt;"))</f>
        <v/>
      </c>
    </row>
    <row r="3684" spans="1:5" x14ac:dyDescent="0.25">
      <c r="A3684" t="s">
        <v>1967</v>
      </c>
      <c r="B3684" t="s">
        <v>1114</v>
      </c>
      <c r="E3684" t="str">
        <f>IF(OR(E3683="&lt;/routeDistribution&gt;",E3683=""),"",IFERROR(_xlfn.CONCAT(VLOOKUP(CB28,Route_Column!#REF!,2,FALSE),CHAR(34)," probability=",CHAR(34),1/CB$4,CHAR(34),CHAR(47),CHAR(62)),"&lt;/routeDistribution&gt;"))</f>
        <v/>
      </c>
    </row>
    <row r="3685" spans="1:5" x14ac:dyDescent="0.25">
      <c r="A3685" t="s">
        <v>1967</v>
      </c>
      <c r="B3685" t="s">
        <v>1195</v>
      </c>
      <c r="E3685" t="str">
        <f>IF(OR(E3684="&lt;/routeDistribution&gt;",E3684=""),"",IFERROR(_xlfn.CONCAT(VLOOKUP(CB29,Route_Column!#REF!,2,FALSE),CHAR(34)," probability=",CHAR(34),1/CB$4,CHAR(34),CHAR(47),CHAR(62)),"&lt;/routeDistribution&gt;"))</f>
        <v/>
      </c>
    </row>
    <row r="3686" spans="1:5" x14ac:dyDescent="0.25">
      <c r="A3686" t="s">
        <v>1967</v>
      </c>
      <c r="B3686" t="s">
        <v>1196</v>
      </c>
      <c r="E3686" t="str">
        <f>IF(OR(E3685="&lt;/routeDistribution&gt;",E3685=""),"",IFERROR(_xlfn.CONCAT(VLOOKUP(CB30,Route_Column!#REF!,2,FALSE),CHAR(34)," probability=",CHAR(34),1/CB$4,CHAR(34),CHAR(47),CHAR(62)),"&lt;/routeDistribution&gt;"))</f>
        <v/>
      </c>
    </row>
    <row r="3687" spans="1:5" x14ac:dyDescent="0.25">
      <c r="A3687" t="s">
        <v>2163</v>
      </c>
      <c r="B3687" t="s">
        <v>1154</v>
      </c>
      <c r="E3687" t="str">
        <f>IF(OR(E3686="&lt;/routeDistribution&gt;",E3686=""),"",IFERROR(_xlfn.CONCAT(VLOOKUP(CB31,Route_Column!#REF!,2,FALSE),CHAR(34)," probability=",CHAR(34),1/CB$4,CHAR(34),CHAR(47),CHAR(62)),"&lt;/routeDistribution&gt;"))</f>
        <v/>
      </c>
    </row>
    <row r="3688" spans="1:5" x14ac:dyDescent="0.25">
      <c r="A3688" t="s">
        <v>2163</v>
      </c>
      <c r="B3688" t="s">
        <v>1155</v>
      </c>
      <c r="E3688" t="str">
        <f>IF(OR(E3687="&lt;/routeDistribution&gt;",E3687=""),"",IFERROR(_xlfn.CONCAT(VLOOKUP(CB32,Route_Column!#REF!,2,FALSE),CHAR(34)," probability=",CHAR(34),1/CB$4,CHAR(34),CHAR(47),CHAR(62)),"&lt;/routeDistribution&gt;"))</f>
        <v/>
      </c>
    </row>
    <row r="3689" spans="1:5" x14ac:dyDescent="0.25">
      <c r="A3689" t="s">
        <v>2163</v>
      </c>
      <c r="B3689" t="s">
        <v>1156</v>
      </c>
      <c r="E3689" t="str">
        <f>IF(OR(E3688="&lt;/routeDistribution&gt;",E3688=""),"",IFERROR(_xlfn.CONCAT(VLOOKUP(CB33,Route_Column!#REF!,2,FALSE),CHAR(34)," probability=",CHAR(34),1/CB$4,CHAR(34),CHAR(47),CHAR(62)),"&lt;/routeDistribution&gt;"))</f>
        <v/>
      </c>
    </row>
    <row r="3690" spans="1:5" x14ac:dyDescent="0.25">
      <c r="A3690" t="s">
        <v>2163</v>
      </c>
      <c r="B3690" t="s">
        <v>1157</v>
      </c>
      <c r="E3690" t="str">
        <f>IF(OR(E3689="&lt;/routeDistribution&gt;",E3689=""),"",IFERROR(_xlfn.CONCAT(VLOOKUP(CB34,Route_Column!#REF!,2,FALSE),CHAR(34)," probability=",CHAR(34),1/CB$4,CHAR(34),CHAR(47),CHAR(62)),"&lt;/routeDistribution&gt;"))</f>
        <v/>
      </c>
    </row>
    <row r="3691" spans="1:5" x14ac:dyDescent="0.25">
      <c r="A3691" t="s">
        <v>2163</v>
      </c>
      <c r="B3691" t="s">
        <v>1158</v>
      </c>
      <c r="E3691" t="str">
        <f>IF(OR(E3690="&lt;/routeDistribution&gt;",E3690=""),"",IFERROR(_xlfn.CONCAT(VLOOKUP(CB35,Route_Column!#REF!,2,FALSE),CHAR(34)," probability=",CHAR(34),1/CB$4,CHAR(34),CHAR(47),CHAR(62)),"&lt;/routeDistribution&gt;"))</f>
        <v/>
      </c>
    </row>
    <row r="3692" spans="1:5" x14ac:dyDescent="0.25">
      <c r="A3692" t="s">
        <v>2163</v>
      </c>
      <c r="B3692" t="s">
        <v>1159</v>
      </c>
      <c r="E3692" t="str">
        <f>IF(OR(E3691="&lt;/routeDistribution&gt;",E3691=""),"",IFERROR(_xlfn.CONCAT(VLOOKUP(CB36,Route_Column!#REF!,2,FALSE),CHAR(34)," probability=",CHAR(34),1/CB$4,CHAR(34),CHAR(47),CHAR(62)),"&lt;/routeDistribution&gt;"))</f>
        <v/>
      </c>
    </row>
    <row r="3693" spans="1:5" x14ac:dyDescent="0.25">
      <c r="A3693" t="s">
        <v>2164</v>
      </c>
      <c r="B3693" t="s">
        <v>1154</v>
      </c>
      <c r="E3693" t="str">
        <f>IF(OR(E3692="&lt;/routeDistribution&gt;",E3692=""),"",IFERROR(_xlfn.CONCAT(VLOOKUP(CB37,Route_Column!#REF!,2,FALSE),CHAR(34)," probability=",CHAR(34),1/CB$4,CHAR(34),CHAR(47),CHAR(62)),"&lt;/routeDistribution&gt;"))</f>
        <v/>
      </c>
    </row>
    <row r="3694" spans="1:5" x14ac:dyDescent="0.25">
      <c r="A3694" t="s">
        <v>2164</v>
      </c>
      <c r="B3694" t="s">
        <v>1155</v>
      </c>
      <c r="E3694" t="str">
        <f>IF(OR(E3693="&lt;/routeDistribution&gt;",E3693=""),"",IFERROR(_xlfn.CONCAT(VLOOKUP(CB38,Route_Column!#REF!,2,FALSE),CHAR(34)," probability=",CHAR(34),1/CB$4,CHAR(34),CHAR(47),CHAR(62)),"&lt;/routeDistribution&gt;"))</f>
        <v/>
      </c>
    </row>
    <row r="3695" spans="1:5" x14ac:dyDescent="0.25">
      <c r="A3695" t="s">
        <v>2164</v>
      </c>
      <c r="B3695" t="s">
        <v>1156</v>
      </c>
      <c r="E3695" t="str">
        <f>IF(OR(E3694="&lt;/routeDistribution&gt;",E3694=""),"",IFERROR(_xlfn.CONCAT(VLOOKUP(CB39,Route_Column!#REF!,2,FALSE),CHAR(34)," probability=",CHAR(34),1/CB$4,CHAR(34),CHAR(47),CHAR(62)),"&lt;/routeDistribution&gt;"))</f>
        <v/>
      </c>
    </row>
    <row r="3696" spans="1:5" x14ac:dyDescent="0.25">
      <c r="A3696" t="s">
        <v>2328</v>
      </c>
      <c r="B3696" t="s">
        <v>1223</v>
      </c>
      <c r="E3696" t="str">
        <f>IF(OR(E3695="&lt;/routeDistribution&gt;",E3695=""),"",IFERROR(_xlfn.CONCAT(VLOOKUP(CB40,Route_Column!#REF!,2,FALSE),CHAR(34)," probability=",CHAR(34),1/CB$4,CHAR(34),CHAR(47),CHAR(62)),"&lt;/routeDistribution&gt;"))</f>
        <v/>
      </c>
    </row>
    <row r="3697" spans="1:5" x14ac:dyDescent="0.25">
      <c r="A3697" t="s">
        <v>2328</v>
      </c>
      <c r="B3697" t="s">
        <v>1242</v>
      </c>
      <c r="E3697" t="str">
        <f>IF(OR(E3696="&lt;/routeDistribution&gt;",E3696=""),"",IFERROR(_xlfn.CONCAT(VLOOKUP(CB41,Route_Column!#REF!,2,FALSE),CHAR(34)," probability=",CHAR(34),1/CB$4,CHAR(34),CHAR(47),CHAR(62)),"&lt;/routeDistribution&gt;"))</f>
        <v/>
      </c>
    </row>
    <row r="3698" spans="1:5" x14ac:dyDescent="0.25">
      <c r="A3698" t="s">
        <v>2328</v>
      </c>
      <c r="B3698" t="s">
        <v>1245</v>
      </c>
      <c r="E3698" t="str">
        <f>IF(OR(E3697="&lt;/routeDistribution&gt;",E3697=""),"",IFERROR(_xlfn.CONCAT(VLOOKUP(CB42,Route_Column!#REF!,2,FALSE),CHAR(34)," probability=",CHAR(34),1/CB$4,CHAR(34),CHAR(47),CHAR(62)),"&lt;/routeDistribution&gt;"))</f>
        <v/>
      </c>
    </row>
    <row r="3699" spans="1:5" x14ac:dyDescent="0.25">
      <c r="A3699" t="s">
        <v>2328</v>
      </c>
      <c r="B3699" t="s">
        <v>1250</v>
      </c>
      <c r="E3699" t="str">
        <f>IF(OR(E3698="&lt;/routeDistribution&gt;",E3698=""),"",IFERROR(_xlfn.CONCAT(VLOOKUP(CB43,Route_Column!#REF!,2,FALSE),CHAR(34)," probability=",CHAR(34),1/CB$4,CHAR(34),CHAR(47),CHAR(62)),"&lt;/routeDistribution&gt;"))</f>
        <v/>
      </c>
    </row>
    <row r="3700" spans="1:5" x14ac:dyDescent="0.25">
      <c r="A3700" t="s">
        <v>2329</v>
      </c>
      <c r="B3700" t="s">
        <v>1223</v>
      </c>
      <c r="E3700" t="str">
        <f>IF(OR(E3699="&lt;/routeDistribution&gt;",E3699=""),"",IFERROR(_xlfn.CONCAT(VLOOKUP(CB44,Route_Column!#REF!,2,FALSE),CHAR(34)," probability=",CHAR(34),1/CB$4,CHAR(34),CHAR(47),CHAR(62)),"&lt;/routeDistribution&gt;"))</f>
        <v/>
      </c>
    </row>
    <row r="3701" spans="1:5" x14ac:dyDescent="0.25">
      <c r="A3701" t="s">
        <v>2329</v>
      </c>
      <c r="B3701" t="s">
        <v>1242</v>
      </c>
      <c r="E3701" t="str">
        <f>IF(OR(E3700="&lt;/routeDistribution&gt;",E3700=""),"",IFERROR(_xlfn.CONCAT(VLOOKUP(CB45,Route_Column!#REF!,2,FALSE),CHAR(34)," probability=",CHAR(34),1/CB$4,CHAR(34),CHAR(47),CHAR(62)),"&lt;/routeDistribution&gt;"))</f>
        <v/>
      </c>
    </row>
    <row r="3702" spans="1:5" x14ac:dyDescent="0.25">
      <c r="A3702" t="s">
        <v>2329</v>
      </c>
      <c r="B3702" t="s">
        <v>1245</v>
      </c>
      <c r="E3702" t="str">
        <f>IF(OR(E3701="&lt;/routeDistribution&gt;",E3701=""),"",IFERROR(_xlfn.CONCAT(VLOOKUP(CB46,Route_Column!#REF!,2,FALSE),CHAR(34)," probability=",CHAR(34),1/CB$4,CHAR(34),CHAR(47),CHAR(62)),"&lt;/routeDistribution&gt;"))</f>
        <v/>
      </c>
    </row>
    <row r="3703" spans="1:5" x14ac:dyDescent="0.25">
      <c r="A3703" t="s">
        <v>2329</v>
      </c>
      <c r="B3703" t="s">
        <v>1250</v>
      </c>
      <c r="E3703" t="str">
        <f>IF(OR(E3702="&lt;/routeDistribution&gt;",E3702=""),"",IFERROR(_xlfn.CONCAT(VLOOKUP(CB47,Route_Column!#REF!,2,FALSE),CHAR(34)," probability=",CHAR(34),1/CB$4,CHAR(34),CHAR(47),CHAR(62)),"&lt;/routeDistribution&gt;"))</f>
        <v/>
      </c>
    </row>
    <row r="3704" spans="1:5" x14ac:dyDescent="0.25">
      <c r="A3704" t="s">
        <v>2304</v>
      </c>
      <c r="B3704" t="s">
        <v>1211</v>
      </c>
      <c r="E3704" t="str">
        <f>IF(OR(E3703="&lt;/routeDistribution&gt;",E3703=""),"",IFERROR(_xlfn.CONCAT(VLOOKUP(CB48,Route_Column!#REF!,2,FALSE),CHAR(34)," probability=",CHAR(34),1/CB$4,CHAR(34),CHAR(47),CHAR(62)),"&lt;/routeDistribution&gt;"))</f>
        <v/>
      </c>
    </row>
    <row r="3705" spans="1:5" x14ac:dyDescent="0.25">
      <c r="A3705" t="s">
        <v>2179</v>
      </c>
      <c r="B3705" t="s">
        <v>1154</v>
      </c>
      <c r="E3705" t="str">
        <f>IF(OR(E3704="&lt;/routeDistribution&gt;",E3704=""),"",IFERROR(_xlfn.CONCAT(VLOOKUP(CB49,Route_Column!#REF!,2,FALSE),CHAR(34)," probability=",CHAR(34),1/CB$4,CHAR(34),CHAR(47),CHAR(62)),"&lt;/routeDistribution&gt;"))</f>
        <v/>
      </c>
    </row>
    <row r="3706" spans="1:5" x14ac:dyDescent="0.25">
      <c r="A3706" t="s">
        <v>2179</v>
      </c>
      <c r="B3706" t="s">
        <v>1155</v>
      </c>
      <c r="E3706" t="str">
        <f>IF(OR(E3705="&lt;/routeDistribution&gt;",E3705=""),"",IFERROR(_xlfn.CONCAT(VLOOKUP(CB50,Route_Column!#REF!,2,FALSE),CHAR(34)," probability=",CHAR(34),1/CB$4,CHAR(34),CHAR(47),CHAR(62)),"&lt;/routeDistribution&gt;"))</f>
        <v/>
      </c>
    </row>
    <row r="3707" spans="1:5" x14ac:dyDescent="0.25">
      <c r="A3707" t="s">
        <v>2179</v>
      </c>
      <c r="B3707" t="s">
        <v>1156</v>
      </c>
      <c r="E3707" t="str">
        <f>IF(OR(E3706="&lt;/routeDistribution&gt;",E3706=""),"",IFERROR(_xlfn.CONCAT(VLOOKUP(CB51,Route_Column!#REF!,2,FALSE),CHAR(34)," probability=",CHAR(34),1/CB$4,CHAR(34),CHAR(47),CHAR(62)),"&lt;/routeDistribution&gt;"))</f>
        <v/>
      </c>
    </row>
    <row r="3708" spans="1:5" x14ac:dyDescent="0.25">
      <c r="A3708" t="s">
        <v>1899</v>
      </c>
      <c r="B3708" t="s">
        <v>1112</v>
      </c>
      <c r="E3708" t="str">
        <f>IF(OR(E3707="&lt;/routeDistribution&gt;",E3707=""),"",IFERROR(_xlfn.CONCAT(VLOOKUP(CB52,Route_Column!#REF!,2,FALSE),CHAR(34)," probability=",CHAR(34),1/CB$4,CHAR(34),CHAR(47),CHAR(62)),"&lt;/routeDistribution&gt;"))</f>
        <v/>
      </c>
    </row>
    <row r="3709" spans="1:5" x14ac:dyDescent="0.25">
      <c r="A3709" t="s">
        <v>1899</v>
      </c>
      <c r="B3709" t="s">
        <v>1157</v>
      </c>
      <c r="E3709" t="str">
        <f>IF(OR(E3708="&lt;/routeDistribution&gt;",E3708=""),"",IFERROR(_xlfn.CONCAT(VLOOKUP(CB53,Route_Column!#REF!,2,FALSE),CHAR(34)," probability=",CHAR(34),1/CB$4,CHAR(34),CHAR(47),CHAR(62)),"&lt;/routeDistribution&gt;"))</f>
        <v/>
      </c>
    </row>
    <row r="3710" spans="1:5" x14ac:dyDescent="0.25">
      <c r="A3710" t="s">
        <v>1899</v>
      </c>
      <c r="B3710" t="s">
        <v>1158</v>
      </c>
      <c r="E3710" t="str">
        <f>IF(OR(E3709="&lt;/routeDistribution&gt;",E3709=""),"",IFERROR(_xlfn.CONCAT(VLOOKUP(CB54,Route_Column!#REF!,2,FALSE),CHAR(34)," probability=",CHAR(34),1/CB$4,CHAR(34),CHAR(47),CHAR(62)),"&lt;/routeDistribution&gt;"))</f>
        <v/>
      </c>
    </row>
    <row r="3711" spans="1:5" x14ac:dyDescent="0.25">
      <c r="A3711" t="s">
        <v>1899</v>
      </c>
      <c r="B3711" t="s">
        <v>1159</v>
      </c>
      <c r="E3711" t="str">
        <f>IF(OR(E3710="&lt;/routeDistribution&gt;",E3710=""),"",IFERROR(_xlfn.CONCAT(VLOOKUP(CB55,Route_Column!#REF!,2,FALSE),CHAR(34)," probability=",CHAR(34),1/CB$4,CHAR(34),CHAR(47),CHAR(62)),"&lt;/routeDistribution&gt;"))</f>
        <v/>
      </c>
    </row>
    <row r="3712" spans="1:5" x14ac:dyDescent="0.25">
      <c r="A3712" t="s">
        <v>1900</v>
      </c>
      <c r="B3712" t="s">
        <v>1112</v>
      </c>
      <c r="E3712" t="str">
        <f>IF(OR(E3711="&lt;/routeDistribution&gt;",E3711=""),"",IFERROR(_xlfn.CONCAT(VLOOKUP(CB56,Route_Column!#REF!,2,FALSE),CHAR(34)," probability=",CHAR(34),1/CB$4,CHAR(34),CHAR(47),CHAR(62)),"&lt;/routeDistribution&gt;"))</f>
        <v/>
      </c>
    </row>
    <row r="3713" spans="1:5" x14ac:dyDescent="0.25">
      <c r="A3713" t="s">
        <v>1900</v>
      </c>
      <c r="B3713" t="s">
        <v>1157</v>
      </c>
      <c r="E3713" t="str">
        <f>IF(OR(E3712="&lt;/routeDistribution&gt;",E3712=""),"",IFERROR(_xlfn.CONCAT(VLOOKUP(CB57,Route_Column!#REF!,2,FALSE),CHAR(34)," probability=",CHAR(34),1/CB$4,CHAR(34),CHAR(47),CHAR(62)),"&lt;/routeDistribution&gt;"))</f>
        <v/>
      </c>
    </row>
    <row r="3714" spans="1:5" x14ac:dyDescent="0.25">
      <c r="A3714" t="s">
        <v>1900</v>
      </c>
      <c r="B3714" t="s">
        <v>1158</v>
      </c>
      <c r="E3714" t="str">
        <f>IF(OR(E3713="&lt;/routeDistribution&gt;",E3713=""),"",IFERROR(_xlfn.CONCAT(VLOOKUP(CB58,Route_Column!#REF!,2,FALSE),CHAR(34)," probability=",CHAR(34),1/CB$4,CHAR(34),CHAR(47),CHAR(62)),"&lt;/routeDistribution&gt;"))</f>
        <v/>
      </c>
    </row>
    <row r="3715" spans="1:5" x14ac:dyDescent="0.25">
      <c r="A3715" t="s">
        <v>1900</v>
      </c>
      <c r="B3715" t="s">
        <v>1159</v>
      </c>
      <c r="E3715" t="str">
        <f>IF(OR(E3714="&lt;/routeDistribution&gt;",E3714=""),"",IFERROR(_xlfn.CONCAT(VLOOKUP(CB59,Route_Column!#REF!,2,FALSE),CHAR(34)," probability=",CHAR(34),1/CB$4,CHAR(34),CHAR(47),CHAR(62)),"&lt;/routeDistribution&gt;"))</f>
        <v/>
      </c>
    </row>
    <row r="3716" spans="1:5" x14ac:dyDescent="0.25">
      <c r="A3716" t="s">
        <v>1901</v>
      </c>
      <c r="B3716" t="s">
        <v>1112</v>
      </c>
      <c r="E3716" t="str">
        <f>IF(OR(E3715="&lt;/routeDistribution&gt;",E3715=""),"",IFERROR(_xlfn.CONCAT(VLOOKUP(CB60,Route_Column!#REF!,2,FALSE),CHAR(34)," probability=",CHAR(34),1/CB$4,CHAR(34),CHAR(47),CHAR(62)),"&lt;/routeDistribution&gt;"))</f>
        <v/>
      </c>
    </row>
    <row r="3717" spans="1:5" x14ac:dyDescent="0.25">
      <c r="A3717" t="s">
        <v>1901</v>
      </c>
      <c r="B3717" t="s">
        <v>1157</v>
      </c>
      <c r="E3717" t="str">
        <f>IF(OR(E3716="&lt;/routeDistribution&gt;",E3716=""),"",IFERROR(_xlfn.CONCAT(VLOOKUP(CB61,Route_Column!#REF!,2,FALSE),CHAR(34)," probability=",CHAR(34),1/CB$4,CHAR(34),CHAR(47),CHAR(62)),"&lt;/routeDistribution&gt;"))</f>
        <v/>
      </c>
    </row>
    <row r="3718" spans="1:5" x14ac:dyDescent="0.25">
      <c r="A3718" t="s">
        <v>1901</v>
      </c>
      <c r="B3718" t="s">
        <v>1158</v>
      </c>
      <c r="E3718" t="str">
        <f>IF(OR(E3717="&lt;/routeDistribution&gt;",E3717=""),"",IFERROR(_xlfn.CONCAT(VLOOKUP(CB62,Route_Column!#REF!,2,FALSE),CHAR(34)," probability=",CHAR(34),1/CB$4,CHAR(34),CHAR(47),CHAR(62)),"&lt;/routeDistribution&gt;"))</f>
        <v/>
      </c>
    </row>
    <row r="3719" spans="1:5" x14ac:dyDescent="0.25">
      <c r="A3719" t="s">
        <v>1901</v>
      </c>
      <c r="B3719" t="s">
        <v>1159</v>
      </c>
      <c r="E3719" t="str">
        <f>IF(OR(E3718="&lt;/routeDistribution&gt;",E3718=""),"",IFERROR(_xlfn.CONCAT(VLOOKUP(CB63,Route_Column!#REF!,2,FALSE),CHAR(34)," probability=",CHAR(34),1/CB$4,CHAR(34),CHAR(47),CHAR(62)),"&lt;/routeDistribution&gt;"))</f>
        <v/>
      </c>
    </row>
    <row r="3720" spans="1:5" x14ac:dyDescent="0.25">
      <c r="A3720" t="s">
        <v>1902</v>
      </c>
      <c r="B3720" t="s">
        <v>1112</v>
      </c>
      <c r="E3720" t="s">
        <v>2686</v>
      </c>
    </row>
    <row r="3721" spans="1:5" x14ac:dyDescent="0.25">
      <c r="A3721" t="s">
        <v>1902</v>
      </c>
      <c r="B3721" t="s">
        <v>1157</v>
      </c>
    </row>
    <row r="3722" spans="1:5" x14ac:dyDescent="0.25">
      <c r="A3722" t="s">
        <v>1902</v>
      </c>
      <c r="B3722" t="s">
        <v>1158</v>
      </c>
    </row>
    <row r="3723" spans="1:5" x14ac:dyDescent="0.25">
      <c r="A3723" t="s">
        <v>1902</v>
      </c>
      <c r="B3723" t="s">
        <v>1159</v>
      </c>
      <c r="E3723" t="str">
        <f>_xlfn.CONCAT($E$1,CA$2,$F$1)</f>
        <v>&lt;routeDistribution id="I-676-EB-Exit-Ramp-to-23rd-09-RouteProbe"&gt;</v>
      </c>
    </row>
    <row r="3724" spans="1:5" x14ac:dyDescent="0.25">
      <c r="A3724" t="s">
        <v>1715</v>
      </c>
      <c r="B3724" t="s">
        <v>1100</v>
      </c>
      <c r="E3724" t="str">
        <f>IF(OR(E3723="&lt;/routeDistribution&gt;",E3723=""),"",IFERROR(_xlfn.CONCAT(VLOOKUP(CA5,Route_Column!#REF!,2,FALSE),CHAR(34)," probability=",CHAR(34),1/CA$4,CHAR(34),CHAR(47),CHAR(62)),"&lt;/routeDistribution&gt;"))</f>
        <v>&lt;/routeDistribution&gt;</v>
      </c>
    </row>
    <row r="3725" spans="1:5" x14ac:dyDescent="0.25">
      <c r="A3725" t="s">
        <v>1715</v>
      </c>
      <c r="B3725" t="s">
        <v>1104</v>
      </c>
      <c r="E3725" t="str">
        <f>IF(OR(E3724="&lt;/routeDistribution&gt;",E3724=""),"",IFERROR(_xlfn.CONCAT(VLOOKUP(CA6,Route_Column!#REF!,2,FALSE),CHAR(34)," probability=",CHAR(34),1/CA$4,CHAR(34),CHAR(47),CHAR(62)),"&lt;/routeDistribution&gt;"))</f>
        <v/>
      </c>
    </row>
    <row r="3726" spans="1:5" x14ac:dyDescent="0.25">
      <c r="A3726" t="s">
        <v>1715</v>
      </c>
      <c r="B3726" t="s">
        <v>1105</v>
      </c>
      <c r="E3726" t="str">
        <f>IF(OR(E3725="&lt;/routeDistribution&gt;",E3725=""),"",IFERROR(_xlfn.CONCAT(VLOOKUP(CA7,Route_Column!#REF!,2,FALSE),CHAR(34)," probability=",CHAR(34),1/CA$4,CHAR(34),CHAR(47),CHAR(62)),"&lt;/routeDistribution&gt;"))</f>
        <v/>
      </c>
    </row>
    <row r="3727" spans="1:5" x14ac:dyDescent="0.25">
      <c r="A3727" t="s">
        <v>1715</v>
      </c>
      <c r="B3727" t="s">
        <v>1106</v>
      </c>
      <c r="E3727" t="str">
        <f>IF(OR(E3726="&lt;/routeDistribution&gt;",E3726=""),"",IFERROR(_xlfn.CONCAT(VLOOKUP(CA8,Route_Column!#REF!,2,FALSE),CHAR(34)," probability=",CHAR(34),1/CA$4,CHAR(34),CHAR(47),CHAR(62)),"&lt;/routeDistribution&gt;"))</f>
        <v/>
      </c>
    </row>
    <row r="3728" spans="1:5" x14ac:dyDescent="0.25">
      <c r="A3728" t="s">
        <v>1715</v>
      </c>
      <c r="B3728" t="s">
        <v>1161</v>
      </c>
      <c r="E3728" t="str">
        <f>IF(OR(E3727="&lt;/routeDistribution&gt;",E3727=""),"",IFERROR(_xlfn.CONCAT(VLOOKUP(CA9,Route_Column!#REF!,2,FALSE),CHAR(34)," probability=",CHAR(34),1/CA$4,CHAR(34),CHAR(47),CHAR(62)),"&lt;/routeDistribution&gt;"))</f>
        <v/>
      </c>
    </row>
    <row r="3729" spans="1:5" x14ac:dyDescent="0.25">
      <c r="A3729" t="s">
        <v>1715</v>
      </c>
      <c r="B3729" t="s">
        <v>1162</v>
      </c>
      <c r="E3729" t="str">
        <f>IF(OR(E3728="&lt;/routeDistribution&gt;",E3728=""),"",IFERROR(_xlfn.CONCAT(VLOOKUP(CA10,Route_Column!#REF!,2,FALSE),CHAR(34)," probability=",CHAR(34),1/CA$4,CHAR(34),CHAR(47),CHAR(62)),"&lt;/routeDistribution&gt;"))</f>
        <v/>
      </c>
    </row>
    <row r="3730" spans="1:5" x14ac:dyDescent="0.25">
      <c r="A3730" t="s">
        <v>1715</v>
      </c>
      <c r="B3730" t="s">
        <v>1164</v>
      </c>
      <c r="E3730" t="str">
        <f>IF(OR(E3729="&lt;/routeDistribution&gt;",E3729=""),"",IFERROR(_xlfn.CONCAT(VLOOKUP(CA11,Route_Column!#REF!,2,FALSE),CHAR(34)," probability=",CHAR(34),1/CA$4,CHAR(34),CHAR(47),CHAR(62)),"&lt;/routeDistribution&gt;"))</f>
        <v/>
      </c>
    </row>
    <row r="3731" spans="1:5" x14ac:dyDescent="0.25">
      <c r="A3731" t="s">
        <v>1715</v>
      </c>
      <c r="B3731" t="s">
        <v>1238</v>
      </c>
      <c r="E3731" t="str">
        <f>IF(OR(E3730="&lt;/routeDistribution&gt;",E3730=""),"",IFERROR(_xlfn.CONCAT(VLOOKUP(CA12,Route_Column!#REF!,2,FALSE),CHAR(34)," probability=",CHAR(34),1/CA$4,CHAR(34),CHAR(47),CHAR(62)),"&lt;/routeDistribution&gt;"))</f>
        <v/>
      </c>
    </row>
    <row r="3732" spans="1:5" x14ac:dyDescent="0.25">
      <c r="A3732" t="s">
        <v>1715</v>
      </c>
      <c r="B3732" t="s">
        <v>1239</v>
      </c>
      <c r="E3732" t="str">
        <f>IF(OR(E3731="&lt;/routeDistribution&gt;",E3731=""),"",IFERROR(_xlfn.CONCAT(VLOOKUP(CA13,Route_Column!#REF!,2,FALSE),CHAR(34)," probability=",CHAR(34),1/CA$4,CHAR(34),CHAR(47),CHAR(62)),"&lt;/routeDistribution&gt;"))</f>
        <v/>
      </c>
    </row>
    <row r="3733" spans="1:5" x14ac:dyDescent="0.25">
      <c r="A3733" t="s">
        <v>1715</v>
      </c>
      <c r="B3733" t="s">
        <v>1242</v>
      </c>
      <c r="E3733" t="str">
        <f>IF(OR(E3732="&lt;/routeDistribution&gt;",E3732=""),"",IFERROR(_xlfn.CONCAT(VLOOKUP(CA14,Route_Column!#REF!,2,FALSE),CHAR(34)," probability=",CHAR(34),1/CA$4,CHAR(34),CHAR(47),CHAR(62)),"&lt;/routeDistribution&gt;"))</f>
        <v/>
      </c>
    </row>
    <row r="3734" spans="1:5" x14ac:dyDescent="0.25">
      <c r="A3734" t="s">
        <v>1715</v>
      </c>
      <c r="B3734" t="s">
        <v>1243</v>
      </c>
      <c r="E3734" t="str">
        <f>IF(OR(E3733="&lt;/routeDistribution&gt;",E3733=""),"",IFERROR(_xlfn.CONCAT(VLOOKUP(CA15,Route_Column!#REF!,2,FALSE),CHAR(34)," probability=",CHAR(34),1/CA$4,CHAR(34),CHAR(47),CHAR(62)),"&lt;/routeDistribution&gt;"))</f>
        <v/>
      </c>
    </row>
    <row r="3735" spans="1:5" x14ac:dyDescent="0.25">
      <c r="A3735" t="s">
        <v>1715</v>
      </c>
      <c r="B3735" t="s">
        <v>1245</v>
      </c>
      <c r="E3735" t="str">
        <f>IF(OR(E3734="&lt;/routeDistribution&gt;",E3734=""),"",IFERROR(_xlfn.CONCAT(VLOOKUP(CA16,Route_Column!#REF!,2,FALSE),CHAR(34)," probability=",CHAR(34),1/CA$4,CHAR(34),CHAR(47),CHAR(62)),"&lt;/routeDistribution&gt;"))</f>
        <v/>
      </c>
    </row>
    <row r="3736" spans="1:5" x14ac:dyDescent="0.25">
      <c r="A3736" t="s">
        <v>1715</v>
      </c>
      <c r="B3736" t="s">
        <v>1247</v>
      </c>
      <c r="E3736" t="str">
        <f>IF(OR(E3735="&lt;/routeDistribution&gt;",E3735=""),"",IFERROR(_xlfn.CONCAT(VLOOKUP(CA17,Route_Column!#REF!,2,FALSE),CHAR(34)," probability=",CHAR(34),1/CA$4,CHAR(34),CHAR(47),CHAR(62)),"&lt;/routeDistribution&gt;"))</f>
        <v/>
      </c>
    </row>
    <row r="3737" spans="1:5" x14ac:dyDescent="0.25">
      <c r="A3737" t="s">
        <v>1715</v>
      </c>
      <c r="B3737" t="s">
        <v>1250</v>
      </c>
      <c r="E3737" t="str">
        <f>IF(OR(E3736="&lt;/routeDistribution&gt;",E3736=""),"",IFERROR(_xlfn.CONCAT(VLOOKUP(CA18,Route_Column!#REF!,2,FALSE),CHAR(34)," probability=",CHAR(34),1/CA$4,CHAR(34),CHAR(47),CHAR(62)),"&lt;/routeDistribution&gt;"))</f>
        <v/>
      </c>
    </row>
    <row r="3738" spans="1:5" x14ac:dyDescent="0.25">
      <c r="A3738" t="s">
        <v>1716</v>
      </c>
      <c r="B3738" t="s">
        <v>1100</v>
      </c>
      <c r="E3738" t="str">
        <f>IF(OR(E3737="&lt;/routeDistribution&gt;",E3737=""),"",IFERROR(_xlfn.CONCAT(VLOOKUP(CA19,Route_Column!#REF!,2,FALSE),CHAR(34)," probability=",CHAR(34),1/CA$4,CHAR(34),CHAR(47),CHAR(62)),"&lt;/routeDistribution&gt;"))</f>
        <v/>
      </c>
    </row>
    <row r="3739" spans="1:5" x14ac:dyDescent="0.25">
      <c r="A3739" t="s">
        <v>1716</v>
      </c>
      <c r="B3739" t="s">
        <v>1101</v>
      </c>
      <c r="E3739" t="str">
        <f>IF(OR(E3738="&lt;/routeDistribution&gt;",E3738=""),"",IFERROR(_xlfn.CONCAT(VLOOKUP(CA20,Route_Column!#REF!,2,FALSE),CHAR(34)," probability=",CHAR(34),1/CA$4,CHAR(34),CHAR(47),CHAR(62)),"&lt;/routeDistribution&gt;"))</f>
        <v/>
      </c>
    </row>
    <row r="3740" spans="1:5" x14ac:dyDescent="0.25">
      <c r="A3740" t="s">
        <v>1716</v>
      </c>
      <c r="B3740" t="s">
        <v>1102</v>
      </c>
      <c r="E3740" t="str">
        <f>IF(OR(E3739="&lt;/routeDistribution&gt;",E3739=""),"",IFERROR(_xlfn.CONCAT(VLOOKUP(CA21,Route_Column!#REF!,2,FALSE),CHAR(34)," probability=",CHAR(34),1/CA$4,CHAR(34),CHAR(47),CHAR(62)),"&lt;/routeDistribution&gt;"))</f>
        <v/>
      </c>
    </row>
    <row r="3741" spans="1:5" x14ac:dyDescent="0.25">
      <c r="A3741" t="s">
        <v>1716</v>
      </c>
      <c r="B3741" t="s">
        <v>1103</v>
      </c>
      <c r="E3741" t="str">
        <f>IF(OR(E3740="&lt;/routeDistribution&gt;",E3740=""),"",IFERROR(_xlfn.CONCAT(VLOOKUP(CA22,Route_Column!#REF!,2,FALSE),CHAR(34)," probability=",CHAR(34),1/CA$4,CHAR(34),CHAR(47),CHAR(62)),"&lt;/routeDistribution&gt;"))</f>
        <v/>
      </c>
    </row>
    <row r="3742" spans="1:5" x14ac:dyDescent="0.25">
      <c r="A3742" t="s">
        <v>1716</v>
      </c>
      <c r="B3742" t="s">
        <v>1104</v>
      </c>
      <c r="E3742" t="str">
        <f>IF(OR(E3741="&lt;/routeDistribution&gt;",E3741=""),"",IFERROR(_xlfn.CONCAT(VLOOKUP(CA23,Route_Column!#REF!,2,FALSE),CHAR(34)," probability=",CHAR(34),1/CA$4,CHAR(34),CHAR(47),CHAR(62)),"&lt;/routeDistribution&gt;"))</f>
        <v/>
      </c>
    </row>
    <row r="3743" spans="1:5" x14ac:dyDescent="0.25">
      <c r="A3743" t="s">
        <v>1716</v>
      </c>
      <c r="B3743" t="s">
        <v>1105</v>
      </c>
      <c r="E3743" t="str">
        <f>IF(OR(E3742="&lt;/routeDistribution&gt;",E3742=""),"",IFERROR(_xlfn.CONCAT(VLOOKUP(CA24,Route_Column!#REF!,2,FALSE),CHAR(34)," probability=",CHAR(34),1/CA$4,CHAR(34),CHAR(47),CHAR(62)),"&lt;/routeDistribution&gt;"))</f>
        <v/>
      </c>
    </row>
    <row r="3744" spans="1:5" x14ac:dyDescent="0.25">
      <c r="A3744" t="s">
        <v>1716</v>
      </c>
      <c r="B3744" t="s">
        <v>1106</v>
      </c>
      <c r="E3744" t="str">
        <f>IF(OR(E3743="&lt;/routeDistribution&gt;",E3743=""),"",IFERROR(_xlfn.CONCAT(VLOOKUP(CA25,Route_Column!#REF!,2,FALSE),CHAR(34)," probability=",CHAR(34),1/CA$4,CHAR(34),CHAR(47),CHAR(62)),"&lt;/routeDistribution&gt;"))</f>
        <v/>
      </c>
    </row>
    <row r="3745" spans="1:5" x14ac:dyDescent="0.25">
      <c r="A3745" t="s">
        <v>1716</v>
      </c>
      <c r="B3745" t="s">
        <v>1118</v>
      </c>
      <c r="E3745" t="str">
        <f>IF(OR(E3744="&lt;/routeDistribution&gt;",E3744=""),"",IFERROR(_xlfn.CONCAT(VLOOKUP(CA26,Route_Column!#REF!,2,FALSE),CHAR(34)," probability=",CHAR(34),1/CA$4,CHAR(34),CHAR(47),CHAR(62)),"&lt;/routeDistribution&gt;"))</f>
        <v/>
      </c>
    </row>
    <row r="3746" spans="1:5" x14ac:dyDescent="0.25">
      <c r="A3746" t="s">
        <v>1716</v>
      </c>
      <c r="B3746" t="s">
        <v>1120</v>
      </c>
      <c r="E3746" t="str">
        <f>IF(OR(E3745="&lt;/routeDistribution&gt;",E3745=""),"",IFERROR(_xlfn.CONCAT(VLOOKUP(CA27,Route_Column!#REF!,2,FALSE),CHAR(34)," probability=",CHAR(34),1/CA$4,CHAR(34),CHAR(47),CHAR(62)),"&lt;/routeDistribution&gt;"))</f>
        <v/>
      </c>
    </row>
    <row r="3747" spans="1:5" x14ac:dyDescent="0.25">
      <c r="A3747" t="s">
        <v>1716</v>
      </c>
      <c r="B3747" t="s">
        <v>1161</v>
      </c>
      <c r="E3747" t="str">
        <f>IF(OR(E3746="&lt;/routeDistribution&gt;",E3746=""),"",IFERROR(_xlfn.CONCAT(VLOOKUP(CA28,Route_Column!#REF!,2,FALSE),CHAR(34)," probability=",CHAR(34),1/CA$4,CHAR(34),CHAR(47),CHAR(62)),"&lt;/routeDistribution&gt;"))</f>
        <v/>
      </c>
    </row>
    <row r="3748" spans="1:5" x14ac:dyDescent="0.25">
      <c r="A3748" t="s">
        <v>1716</v>
      </c>
      <c r="B3748" t="s">
        <v>1162</v>
      </c>
      <c r="E3748" t="str">
        <f>IF(OR(E3747="&lt;/routeDistribution&gt;",E3747=""),"",IFERROR(_xlfn.CONCAT(VLOOKUP(CA29,Route_Column!#REF!,2,FALSE),CHAR(34)," probability=",CHAR(34),1/CA$4,CHAR(34),CHAR(47),CHAR(62)),"&lt;/routeDistribution&gt;"))</f>
        <v/>
      </c>
    </row>
    <row r="3749" spans="1:5" x14ac:dyDescent="0.25">
      <c r="A3749" t="s">
        <v>1716</v>
      </c>
      <c r="B3749" t="s">
        <v>1164</v>
      </c>
      <c r="E3749" t="str">
        <f>IF(OR(E3748="&lt;/routeDistribution&gt;",E3748=""),"",IFERROR(_xlfn.CONCAT(VLOOKUP(CA30,Route_Column!#REF!,2,FALSE),CHAR(34)," probability=",CHAR(34),1/CA$4,CHAR(34),CHAR(47),CHAR(62)),"&lt;/routeDistribution&gt;"))</f>
        <v/>
      </c>
    </row>
    <row r="3750" spans="1:5" x14ac:dyDescent="0.25">
      <c r="A3750" t="s">
        <v>1716</v>
      </c>
      <c r="B3750" t="s">
        <v>1210</v>
      </c>
      <c r="E3750" t="str">
        <f>IF(OR(E3749="&lt;/routeDistribution&gt;",E3749=""),"",IFERROR(_xlfn.CONCAT(VLOOKUP(CA31,Route_Column!#REF!,2,FALSE),CHAR(34)," probability=",CHAR(34),1/CA$4,CHAR(34),CHAR(47),CHAR(62)),"&lt;/routeDistribution&gt;"))</f>
        <v/>
      </c>
    </row>
    <row r="3751" spans="1:5" x14ac:dyDescent="0.25">
      <c r="A3751" t="s">
        <v>1716</v>
      </c>
      <c r="B3751" t="s">
        <v>1211</v>
      </c>
      <c r="E3751" t="str">
        <f>IF(OR(E3750="&lt;/routeDistribution&gt;",E3750=""),"",IFERROR(_xlfn.CONCAT(VLOOKUP(CA32,Route_Column!#REF!,2,FALSE),CHAR(34)," probability=",CHAR(34),1/CA$4,CHAR(34),CHAR(47),CHAR(62)),"&lt;/routeDistribution&gt;"))</f>
        <v/>
      </c>
    </row>
    <row r="3752" spans="1:5" x14ac:dyDescent="0.25">
      <c r="A3752" t="s">
        <v>1716</v>
      </c>
      <c r="B3752" t="s">
        <v>1237</v>
      </c>
      <c r="E3752" t="str">
        <f>IF(OR(E3751="&lt;/routeDistribution&gt;",E3751=""),"",IFERROR(_xlfn.CONCAT(VLOOKUP(CA33,Route_Column!#REF!,2,FALSE),CHAR(34)," probability=",CHAR(34),1/CA$4,CHAR(34),CHAR(47),CHAR(62)),"&lt;/routeDistribution&gt;"))</f>
        <v/>
      </c>
    </row>
    <row r="3753" spans="1:5" x14ac:dyDescent="0.25">
      <c r="A3753" t="s">
        <v>1716</v>
      </c>
      <c r="B3753" t="s">
        <v>1238</v>
      </c>
      <c r="E3753" t="str">
        <f>IF(OR(E3752="&lt;/routeDistribution&gt;",E3752=""),"",IFERROR(_xlfn.CONCAT(VLOOKUP(CA34,Route_Column!#REF!,2,FALSE),CHAR(34)," probability=",CHAR(34),1/CA$4,CHAR(34),CHAR(47),CHAR(62)),"&lt;/routeDistribution&gt;"))</f>
        <v/>
      </c>
    </row>
    <row r="3754" spans="1:5" x14ac:dyDescent="0.25">
      <c r="A3754" t="s">
        <v>1716</v>
      </c>
      <c r="B3754" t="s">
        <v>1239</v>
      </c>
      <c r="E3754" t="str">
        <f>IF(OR(E3753="&lt;/routeDistribution&gt;",E3753=""),"",IFERROR(_xlfn.CONCAT(VLOOKUP(CA35,Route_Column!#REF!,2,FALSE),CHAR(34)," probability=",CHAR(34),1/CA$4,CHAR(34),CHAR(47),CHAR(62)),"&lt;/routeDistribution&gt;"))</f>
        <v/>
      </c>
    </row>
    <row r="3755" spans="1:5" x14ac:dyDescent="0.25">
      <c r="A3755" t="s">
        <v>1716</v>
      </c>
      <c r="B3755" t="s">
        <v>1240</v>
      </c>
      <c r="E3755" t="str">
        <f>IF(OR(E3754="&lt;/routeDistribution&gt;",E3754=""),"",IFERROR(_xlfn.CONCAT(VLOOKUP(CA36,Route_Column!#REF!,2,FALSE),CHAR(34)," probability=",CHAR(34),1/CA$4,CHAR(34),CHAR(47),CHAR(62)),"&lt;/routeDistribution&gt;"))</f>
        <v/>
      </c>
    </row>
    <row r="3756" spans="1:5" x14ac:dyDescent="0.25">
      <c r="A3756" t="s">
        <v>1716</v>
      </c>
      <c r="B3756" t="s">
        <v>1242</v>
      </c>
      <c r="E3756" t="str">
        <f>IF(OR(E3755="&lt;/routeDistribution&gt;",E3755=""),"",IFERROR(_xlfn.CONCAT(VLOOKUP(CA37,Route_Column!#REF!,2,FALSE),CHAR(34)," probability=",CHAR(34),1/CA$4,CHAR(34),CHAR(47),CHAR(62)),"&lt;/routeDistribution&gt;"))</f>
        <v/>
      </c>
    </row>
    <row r="3757" spans="1:5" x14ac:dyDescent="0.25">
      <c r="A3757" t="s">
        <v>1716</v>
      </c>
      <c r="B3757" t="s">
        <v>1245</v>
      </c>
      <c r="E3757" t="str">
        <f>IF(OR(E3756="&lt;/routeDistribution&gt;",E3756=""),"",IFERROR(_xlfn.CONCAT(VLOOKUP(CA38,Route_Column!#REF!,2,FALSE),CHAR(34)," probability=",CHAR(34),1/CA$4,CHAR(34),CHAR(47),CHAR(62)),"&lt;/routeDistribution&gt;"))</f>
        <v/>
      </c>
    </row>
    <row r="3758" spans="1:5" x14ac:dyDescent="0.25">
      <c r="A3758" t="s">
        <v>1716</v>
      </c>
      <c r="B3758" t="s">
        <v>1246</v>
      </c>
      <c r="E3758" t="str">
        <f>IF(OR(E3757="&lt;/routeDistribution&gt;",E3757=""),"",IFERROR(_xlfn.CONCAT(VLOOKUP(CA39,Route_Column!#REF!,2,FALSE),CHAR(34)," probability=",CHAR(34),1/CA$4,CHAR(34),CHAR(47),CHAR(62)),"&lt;/routeDistribution&gt;"))</f>
        <v/>
      </c>
    </row>
    <row r="3759" spans="1:5" x14ac:dyDescent="0.25">
      <c r="A3759" t="s">
        <v>1716</v>
      </c>
      <c r="B3759" t="s">
        <v>1247</v>
      </c>
      <c r="E3759" t="str">
        <f>IF(OR(E3758="&lt;/routeDistribution&gt;",E3758=""),"",IFERROR(_xlfn.CONCAT(VLOOKUP(CA40,Route_Column!#REF!,2,FALSE),CHAR(34)," probability=",CHAR(34),1/CA$4,CHAR(34),CHAR(47),CHAR(62)),"&lt;/routeDistribution&gt;"))</f>
        <v/>
      </c>
    </row>
    <row r="3760" spans="1:5" x14ac:dyDescent="0.25">
      <c r="A3760" t="s">
        <v>1716</v>
      </c>
      <c r="B3760" t="s">
        <v>1248</v>
      </c>
      <c r="E3760" t="str">
        <f>IF(OR(E3759="&lt;/routeDistribution&gt;",E3759=""),"",IFERROR(_xlfn.CONCAT(VLOOKUP(CA41,Route_Column!#REF!,2,FALSE),CHAR(34)," probability=",CHAR(34),1/CA$4,CHAR(34),CHAR(47),CHAR(62)),"&lt;/routeDistribution&gt;"))</f>
        <v/>
      </c>
    </row>
    <row r="3761" spans="1:5" x14ac:dyDescent="0.25">
      <c r="A3761" t="s">
        <v>1716</v>
      </c>
      <c r="B3761" t="s">
        <v>1250</v>
      </c>
      <c r="E3761" t="str">
        <f>IF(OR(E3760="&lt;/routeDistribution&gt;",E3760=""),"",IFERROR(_xlfn.CONCAT(VLOOKUP(CA42,Route_Column!#REF!,2,FALSE),CHAR(34)," probability=",CHAR(34),1/CA$4,CHAR(34),CHAR(47),CHAR(62)),"&lt;/routeDistribution&gt;"))</f>
        <v/>
      </c>
    </row>
    <row r="3762" spans="1:5" x14ac:dyDescent="0.25">
      <c r="A3762" t="s">
        <v>1625</v>
      </c>
      <c r="B3762" t="s">
        <v>1096</v>
      </c>
      <c r="E3762" t="str">
        <f>IF(OR(E3761="&lt;/routeDistribution&gt;",E3761=""),"",IFERROR(_xlfn.CONCAT(VLOOKUP(CA43,Route_Column!#REF!,2,FALSE),CHAR(34)," probability=",CHAR(34),1/CA$4,CHAR(34),CHAR(47),CHAR(62)),"&lt;/routeDistribution&gt;"))</f>
        <v/>
      </c>
    </row>
    <row r="3763" spans="1:5" x14ac:dyDescent="0.25">
      <c r="A3763" t="s">
        <v>1625</v>
      </c>
      <c r="B3763" t="s">
        <v>1098</v>
      </c>
      <c r="E3763" t="str">
        <f>IF(OR(E3762="&lt;/routeDistribution&gt;",E3762=""),"",IFERROR(_xlfn.CONCAT(VLOOKUP(CA44,Route_Column!#REF!,2,FALSE),CHAR(34)," probability=",CHAR(34),1/CA$4,CHAR(34),CHAR(47),CHAR(62)),"&lt;/routeDistribution&gt;"))</f>
        <v/>
      </c>
    </row>
    <row r="3764" spans="1:5" x14ac:dyDescent="0.25">
      <c r="A3764" t="s">
        <v>1625</v>
      </c>
      <c r="B3764" t="s">
        <v>1100</v>
      </c>
      <c r="E3764" t="str">
        <f>IF(OR(E3763="&lt;/routeDistribution&gt;",E3763=""),"",IFERROR(_xlfn.CONCAT(VLOOKUP(CA45,Route_Column!#REF!,2,FALSE),CHAR(34)," probability=",CHAR(34),1/CA$4,CHAR(34),CHAR(47),CHAR(62)),"&lt;/routeDistribution&gt;"))</f>
        <v/>
      </c>
    </row>
    <row r="3765" spans="1:5" x14ac:dyDescent="0.25">
      <c r="A3765" t="s">
        <v>1625</v>
      </c>
      <c r="B3765" t="s">
        <v>1101</v>
      </c>
      <c r="E3765" t="str">
        <f>IF(OR(E3764="&lt;/routeDistribution&gt;",E3764=""),"",IFERROR(_xlfn.CONCAT(VLOOKUP(CA46,Route_Column!#REF!,2,FALSE),CHAR(34)," probability=",CHAR(34),1/CA$4,CHAR(34),CHAR(47),CHAR(62)),"&lt;/routeDistribution&gt;"))</f>
        <v/>
      </c>
    </row>
    <row r="3766" spans="1:5" x14ac:dyDescent="0.25">
      <c r="A3766" t="s">
        <v>1625</v>
      </c>
      <c r="B3766" t="s">
        <v>1102</v>
      </c>
      <c r="E3766" t="str">
        <f>IF(OR(E3765="&lt;/routeDistribution&gt;",E3765=""),"",IFERROR(_xlfn.CONCAT(VLOOKUP(CA47,Route_Column!#REF!,2,FALSE),CHAR(34)," probability=",CHAR(34),1/CA$4,CHAR(34),CHAR(47),CHAR(62)),"&lt;/routeDistribution&gt;"))</f>
        <v/>
      </c>
    </row>
    <row r="3767" spans="1:5" x14ac:dyDescent="0.25">
      <c r="A3767" t="s">
        <v>1625</v>
      </c>
      <c r="B3767" t="s">
        <v>1103</v>
      </c>
      <c r="E3767" t="str">
        <f>IF(OR(E3766="&lt;/routeDistribution&gt;",E3766=""),"",IFERROR(_xlfn.CONCAT(VLOOKUP(CA48,Route_Column!#REF!,2,FALSE),CHAR(34)," probability=",CHAR(34),1/CA$4,CHAR(34),CHAR(47),CHAR(62)),"&lt;/routeDistribution&gt;"))</f>
        <v/>
      </c>
    </row>
    <row r="3768" spans="1:5" x14ac:dyDescent="0.25">
      <c r="A3768" t="s">
        <v>1625</v>
      </c>
      <c r="B3768" t="s">
        <v>1104</v>
      </c>
      <c r="E3768" t="str">
        <f>IF(OR(E3767="&lt;/routeDistribution&gt;",E3767=""),"",IFERROR(_xlfn.CONCAT(VLOOKUP(CA49,Route_Column!#REF!,2,FALSE),CHAR(34)," probability=",CHAR(34),1/CA$4,CHAR(34),CHAR(47),CHAR(62)),"&lt;/routeDistribution&gt;"))</f>
        <v/>
      </c>
    </row>
    <row r="3769" spans="1:5" x14ac:dyDescent="0.25">
      <c r="A3769" t="s">
        <v>1625</v>
      </c>
      <c r="B3769" t="s">
        <v>1105</v>
      </c>
      <c r="E3769" t="str">
        <f>IF(OR(E3768="&lt;/routeDistribution&gt;",E3768=""),"",IFERROR(_xlfn.CONCAT(VLOOKUP(CA50,Route_Column!#REF!,2,FALSE),CHAR(34)," probability=",CHAR(34),1/CA$4,CHAR(34),CHAR(47),CHAR(62)),"&lt;/routeDistribution&gt;"))</f>
        <v/>
      </c>
    </row>
    <row r="3770" spans="1:5" x14ac:dyDescent="0.25">
      <c r="A3770" t="s">
        <v>1625</v>
      </c>
      <c r="B3770" t="s">
        <v>1106</v>
      </c>
      <c r="E3770" t="str">
        <f>IF(OR(E3769="&lt;/routeDistribution&gt;",E3769=""),"",IFERROR(_xlfn.CONCAT(VLOOKUP(CA51,Route_Column!#REF!,2,FALSE),CHAR(34)," probability=",CHAR(34),1/CA$4,CHAR(34),CHAR(47),CHAR(62)),"&lt;/routeDistribution&gt;"))</f>
        <v/>
      </c>
    </row>
    <row r="3771" spans="1:5" x14ac:dyDescent="0.25">
      <c r="A3771" t="s">
        <v>1625</v>
      </c>
      <c r="B3771" t="s">
        <v>1116</v>
      </c>
      <c r="E3771" t="str">
        <f>IF(OR(E3770="&lt;/routeDistribution&gt;",E3770=""),"",IFERROR(_xlfn.CONCAT(VLOOKUP(CA52,Route_Column!#REF!,2,FALSE),CHAR(34)," probability=",CHAR(34),1/CA$4,CHAR(34),CHAR(47),CHAR(62)),"&lt;/routeDistribution&gt;"))</f>
        <v/>
      </c>
    </row>
    <row r="3772" spans="1:5" x14ac:dyDescent="0.25">
      <c r="A3772" t="s">
        <v>1625</v>
      </c>
      <c r="B3772" t="s">
        <v>1117</v>
      </c>
      <c r="E3772" t="str">
        <f>IF(OR(E3771="&lt;/routeDistribution&gt;",E3771=""),"",IFERROR(_xlfn.CONCAT(VLOOKUP(CA53,Route_Column!#REF!,2,FALSE),CHAR(34)," probability=",CHAR(34),1/CA$4,CHAR(34),CHAR(47),CHAR(62)),"&lt;/routeDistribution&gt;"))</f>
        <v/>
      </c>
    </row>
    <row r="3773" spans="1:5" x14ac:dyDescent="0.25">
      <c r="A3773" t="s">
        <v>1625</v>
      </c>
      <c r="B3773" t="s">
        <v>1118</v>
      </c>
      <c r="E3773" t="str">
        <f>IF(OR(E3772="&lt;/routeDistribution&gt;",E3772=""),"",IFERROR(_xlfn.CONCAT(VLOOKUP(CA54,Route_Column!#REF!,2,FALSE),CHAR(34)," probability=",CHAR(34),1/CA$4,CHAR(34),CHAR(47),CHAR(62)),"&lt;/routeDistribution&gt;"))</f>
        <v/>
      </c>
    </row>
    <row r="3774" spans="1:5" x14ac:dyDescent="0.25">
      <c r="A3774" t="s">
        <v>1625</v>
      </c>
      <c r="B3774" t="s">
        <v>1119</v>
      </c>
      <c r="E3774" t="str">
        <f>IF(OR(E3773="&lt;/routeDistribution&gt;",E3773=""),"",IFERROR(_xlfn.CONCAT(VLOOKUP(CA55,Route_Column!#REF!,2,FALSE),CHAR(34)," probability=",CHAR(34),1/CA$4,CHAR(34),CHAR(47),CHAR(62)),"&lt;/routeDistribution&gt;"))</f>
        <v/>
      </c>
    </row>
    <row r="3775" spans="1:5" x14ac:dyDescent="0.25">
      <c r="A3775" t="s">
        <v>1625</v>
      </c>
      <c r="B3775" t="s">
        <v>1120</v>
      </c>
      <c r="E3775" t="str">
        <f>IF(OR(E3774="&lt;/routeDistribution&gt;",E3774=""),"",IFERROR(_xlfn.CONCAT(VLOOKUP(CA56,Route_Column!#REF!,2,FALSE),CHAR(34)," probability=",CHAR(34),1/CA$4,CHAR(34),CHAR(47),CHAR(62)),"&lt;/routeDistribution&gt;"))</f>
        <v/>
      </c>
    </row>
    <row r="3776" spans="1:5" x14ac:dyDescent="0.25">
      <c r="A3776" t="s">
        <v>1625</v>
      </c>
      <c r="B3776" t="s">
        <v>1121</v>
      </c>
      <c r="E3776" t="str">
        <f>IF(OR(E3775="&lt;/routeDistribution&gt;",E3775=""),"",IFERROR(_xlfn.CONCAT(VLOOKUP(CA57,Route_Column!#REF!,2,FALSE),CHAR(34)," probability=",CHAR(34),1/CA$4,CHAR(34),CHAR(47),CHAR(62)),"&lt;/routeDistribution&gt;"))</f>
        <v/>
      </c>
    </row>
    <row r="3777" spans="1:5" x14ac:dyDescent="0.25">
      <c r="A3777" t="s">
        <v>1625</v>
      </c>
      <c r="B3777" t="s">
        <v>1161</v>
      </c>
      <c r="E3777" t="str">
        <f>IF(OR(E3776="&lt;/routeDistribution&gt;",E3776=""),"",IFERROR(_xlfn.CONCAT(VLOOKUP(CA58,Route_Column!#REF!,2,FALSE),CHAR(34)," probability=",CHAR(34),1/CA$4,CHAR(34),CHAR(47),CHAR(62)),"&lt;/routeDistribution&gt;"))</f>
        <v/>
      </c>
    </row>
    <row r="3778" spans="1:5" x14ac:dyDescent="0.25">
      <c r="A3778" t="s">
        <v>1625</v>
      </c>
      <c r="B3778" t="s">
        <v>1162</v>
      </c>
      <c r="E3778" t="str">
        <f>IF(OR(E3777="&lt;/routeDistribution&gt;",E3777=""),"",IFERROR(_xlfn.CONCAT(VLOOKUP(CA59,Route_Column!#REF!,2,FALSE),CHAR(34)," probability=",CHAR(34),1/CA$4,CHAR(34),CHAR(47),CHAR(62)),"&lt;/routeDistribution&gt;"))</f>
        <v/>
      </c>
    </row>
    <row r="3779" spans="1:5" x14ac:dyDescent="0.25">
      <c r="A3779" t="s">
        <v>1625</v>
      </c>
      <c r="B3779" t="s">
        <v>1163</v>
      </c>
      <c r="E3779" t="str">
        <f>IF(OR(E3778="&lt;/routeDistribution&gt;",E3778=""),"",IFERROR(_xlfn.CONCAT(VLOOKUP(CA60,Route_Column!#REF!,2,FALSE),CHAR(34)," probability=",CHAR(34),1/CA$4,CHAR(34),CHAR(47),CHAR(62)),"&lt;/routeDistribution&gt;"))</f>
        <v/>
      </c>
    </row>
    <row r="3780" spans="1:5" x14ac:dyDescent="0.25">
      <c r="A3780" t="s">
        <v>1625</v>
      </c>
      <c r="B3780" t="s">
        <v>1164</v>
      </c>
      <c r="E3780" t="str">
        <f>IF(OR(E3779="&lt;/routeDistribution&gt;",E3779=""),"",IFERROR(_xlfn.CONCAT(VLOOKUP(CA61,Route_Column!#REF!,2,FALSE),CHAR(34)," probability=",CHAR(34),1/CA$4,CHAR(34),CHAR(47),CHAR(62)),"&lt;/routeDistribution&gt;"))</f>
        <v/>
      </c>
    </row>
    <row r="3781" spans="1:5" x14ac:dyDescent="0.25">
      <c r="A3781" t="s">
        <v>1625</v>
      </c>
      <c r="B3781" t="s">
        <v>1168</v>
      </c>
      <c r="E3781" t="str">
        <f>IF(OR(E3780="&lt;/routeDistribution&gt;",E3780=""),"",IFERROR(_xlfn.CONCAT(VLOOKUP(CA62,Route_Column!#REF!,2,FALSE),CHAR(34)," probability=",CHAR(34),1/CA$4,CHAR(34),CHAR(47),CHAR(62)),"&lt;/routeDistribution&gt;"))</f>
        <v/>
      </c>
    </row>
    <row r="3782" spans="1:5" x14ac:dyDescent="0.25">
      <c r="A3782" t="s">
        <v>1625</v>
      </c>
      <c r="B3782" t="s">
        <v>1170</v>
      </c>
      <c r="E3782" t="str">
        <f>IF(OR(E3781="&lt;/routeDistribution&gt;",E3781=""),"",IFERROR(_xlfn.CONCAT(VLOOKUP(CA63,Route_Column!#REF!,2,FALSE),CHAR(34)," probability=",CHAR(34),1/CA$4,CHAR(34),CHAR(47),CHAR(62)),"&lt;/routeDistribution&gt;"))</f>
        <v/>
      </c>
    </row>
    <row r="3783" spans="1:5" x14ac:dyDescent="0.25">
      <c r="A3783" t="s">
        <v>1625</v>
      </c>
      <c r="B3783" t="s">
        <v>1185</v>
      </c>
      <c r="E3783" t="s">
        <v>2686</v>
      </c>
    </row>
    <row r="3784" spans="1:5" x14ac:dyDescent="0.25">
      <c r="A3784" t="s">
        <v>1625</v>
      </c>
      <c r="B3784" t="s">
        <v>1196</v>
      </c>
    </row>
    <row r="3785" spans="1:5" x14ac:dyDescent="0.25">
      <c r="A3785" t="s">
        <v>1625</v>
      </c>
      <c r="B3785" t="s">
        <v>1197</v>
      </c>
    </row>
    <row r="3786" spans="1:5" x14ac:dyDescent="0.25">
      <c r="A3786" t="s">
        <v>1625</v>
      </c>
      <c r="B3786" t="s">
        <v>1209</v>
      </c>
      <c r="E3786" t="str">
        <f>_xlfn.CONCAT($E$1,BZ$2,$F$1)</f>
        <v>&lt;routeDistribution id="33rd-Wal-to-Chest-NB-2009-RouteProbe"&gt;</v>
      </c>
    </row>
    <row r="3787" spans="1:5" x14ac:dyDescent="0.25">
      <c r="A3787" t="s">
        <v>1625</v>
      </c>
      <c r="B3787" t="s">
        <v>1210</v>
      </c>
      <c r="E3787" t="str">
        <f>IF(OR(E3786="&lt;/routeDistribution&gt;",E3786=""),"",IFERROR(_xlfn.CONCAT(VLOOKUP(BZ5,Route_Column!#REF!,2,FALSE),CHAR(34)," probability=",CHAR(34),1/BZ$4,CHAR(34),CHAR(47),CHAR(62)),"&lt;/routeDistribution&gt;"))</f>
        <v>&lt;/routeDistribution&gt;</v>
      </c>
    </row>
    <row r="3788" spans="1:5" x14ac:dyDescent="0.25">
      <c r="A3788" t="s">
        <v>1625</v>
      </c>
      <c r="B3788" t="s">
        <v>1211</v>
      </c>
      <c r="E3788" t="str">
        <f>IF(OR(E3787="&lt;/routeDistribution&gt;",E3787=""),"",IFERROR(_xlfn.CONCAT(VLOOKUP(BZ6,Route_Column!#REF!,2,FALSE),CHAR(34)," probability=",CHAR(34),1/BZ$4,CHAR(34),CHAR(47),CHAR(62)),"&lt;/routeDistribution&gt;"))</f>
        <v/>
      </c>
    </row>
    <row r="3789" spans="1:5" x14ac:dyDescent="0.25">
      <c r="A3789" t="s">
        <v>1625</v>
      </c>
      <c r="B3789" t="s">
        <v>1235</v>
      </c>
      <c r="E3789" t="str">
        <f>IF(OR(E3788="&lt;/routeDistribution&gt;",E3788=""),"",IFERROR(_xlfn.CONCAT(VLOOKUP(BZ7,Route_Column!#REF!,2,FALSE),CHAR(34)," probability=",CHAR(34),1/BZ$4,CHAR(34),CHAR(47),CHAR(62)),"&lt;/routeDistribution&gt;"))</f>
        <v/>
      </c>
    </row>
    <row r="3790" spans="1:5" x14ac:dyDescent="0.25">
      <c r="A3790" t="s">
        <v>1625</v>
      </c>
      <c r="B3790" t="s">
        <v>1236</v>
      </c>
      <c r="E3790" t="str">
        <f>IF(OR(E3789="&lt;/routeDistribution&gt;",E3789=""),"",IFERROR(_xlfn.CONCAT(VLOOKUP(BZ8,Route_Column!#REF!,2,FALSE),CHAR(34)," probability=",CHAR(34),1/BZ$4,CHAR(34),CHAR(47),CHAR(62)),"&lt;/routeDistribution&gt;"))</f>
        <v/>
      </c>
    </row>
    <row r="3791" spans="1:5" x14ac:dyDescent="0.25">
      <c r="A3791" t="s">
        <v>1625</v>
      </c>
      <c r="B3791" t="s">
        <v>1237</v>
      </c>
      <c r="E3791" t="str">
        <f>IF(OR(E3790="&lt;/routeDistribution&gt;",E3790=""),"",IFERROR(_xlfn.CONCAT(VLOOKUP(BZ9,Route_Column!#REF!,2,FALSE),CHAR(34)," probability=",CHAR(34),1/BZ$4,CHAR(34),CHAR(47),CHAR(62)),"&lt;/routeDistribution&gt;"))</f>
        <v/>
      </c>
    </row>
    <row r="3792" spans="1:5" x14ac:dyDescent="0.25">
      <c r="A3792" t="s">
        <v>1625</v>
      </c>
      <c r="B3792" t="s">
        <v>1238</v>
      </c>
      <c r="E3792" t="str">
        <f>IF(OR(E3791="&lt;/routeDistribution&gt;",E3791=""),"",IFERROR(_xlfn.CONCAT(VLOOKUP(BZ10,Route_Column!#REF!,2,FALSE),CHAR(34)," probability=",CHAR(34),1/BZ$4,CHAR(34),CHAR(47),CHAR(62)),"&lt;/routeDistribution&gt;"))</f>
        <v/>
      </c>
    </row>
    <row r="3793" spans="1:5" x14ac:dyDescent="0.25">
      <c r="A3793" t="s">
        <v>1625</v>
      </c>
      <c r="B3793" t="s">
        <v>1239</v>
      </c>
      <c r="E3793" t="str">
        <f>IF(OR(E3792="&lt;/routeDistribution&gt;",E3792=""),"",IFERROR(_xlfn.CONCAT(VLOOKUP(BZ11,Route_Column!#REF!,2,FALSE),CHAR(34)," probability=",CHAR(34),1/BZ$4,CHAR(34),CHAR(47),CHAR(62)),"&lt;/routeDistribution&gt;"))</f>
        <v/>
      </c>
    </row>
    <row r="3794" spans="1:5" x14ac:dyDescent="0.25">
      <c r="A3794" t="s">
        <v>1625</v>
      </c>
      <c r="B3794" t="s">
        <v>1240</v>
      </c>
      <c r="E3794" t="str">
        <f>IF(OR(E3793="&lt;/routeDistribution&gt;",E3793=""),"",IFERROR(_xlfn.CONCAT(VLOOKUP(BZ12,Route_Column!#REF!,2,FALSE),CHAR(34)," probability=",CHAR(34),1/BZ$4,CHAR(34),CHAR(47),CHAR(62)),"&lt;/routeDistribution&gt;"))</f>
        <v/>
      </c>
    </row>
    <row r="3795" spans="1:5" x14ac:dyDescent="0.25">
      <c r="A3795" t="s">
        <v>1625</v>
      </c>
      <c r="B3795" t="s">
        <v>1241</v>
      </c>
      <c r="E3795" t="str">
        <f>IF(OR(E3794="&lt;/routeDistribution&gt;",E3794=""),"",IFERROR(_xlfn.CONCAT(VLOOKUP(BZ13,Route_Column!#REF!,2,FALSE),CHAR(34)," probability=",CHAR(34),1/BZ$4,CHAR(34),CHAR(47),CHAR(62)),"&lt;/routeDistribution&gt;"))</f>
        <v/>
      </c>
    </row>
    <row r="3796" spans="1:5" x14ac:dyDescent="0.25">
      <c r="A3796" t="s">
        <v>1625</v>
      </c>
      <c r="B3796" t="s">
        <v>1242</v>
      </c>
      <c r="E3796" t="str">
        <f>IF(OR(E3795="&lt;/routeDistribution&gt;",E3795=""),"",IFERROR(_xlfn.CONCAT(VLOOKUP(BZ14,Route_Column!#REF!,2,FALSE),CHAR(34)," probability=",CHAR(34),1/BZ$4,CHAR(34),CHAR(47),CHAR(62)),"&lt;/routeDistribution&gt;"))</f>
        <v/>
      </c>
    </row>
    <row r="3797" spans="1:5" x14ac:dyDescent="0.25">
      <c r="A3797" t="s">
        <v>1625</v>
      </c>
      <c r="B3797" t="s">
        <v>1244</v>
      </c>
      <c r="E3797" t="str">
        <f>IF(OR(E3796="&lt;/routeDistribution&gt;",E3796=""),"",IFERROR(_xlfn.CONCAT(VLOOKUP(BZ15,Route_Column!#REF!,2,FALSE),CHAR(34)," probability=",CHAR(34),1/BZ$4,CHAR(34),CHAR(47),CHAR(62)),"&lt;/routeDistribution&gt;"))</f>
        <v/>
      </c>
    </row>
    <row r="3798" spans="1:5" x14ac:dyDescent="0.25">
      <c r="A3798" t="s">
        <v>1625</v>
      </c>
      <c r="B3798" t="s">
        <v>1245</v>
      </c>
      <c r="E3798" t="str">
        <f>IF(OR(E3797="&lt;/routeDistribution&gt;",E3797=""),"",IFERROR(_xlfn.CONCAT(VLOOKUP(BZ16,Route_Column!#REF!,2,FALSE),CHAR(34)," probability=",CHAR(34),1/BZ$4,CHAR(34),CHAR(47),CHAR(62)),"&lt;/routeDistribution&gt;"))</f>
        <v/>
      </c>
    </row>
    <row r="3799" spans="1:5" x14ac:dyDescent="0.25">
      <c r="A3799" t="s">
        <v>1625</v>
      </c>
      <c r="B3799" t="s">
        <v>1246</v>
      </c>
      <c r="E3799" t="str">
        <f>IF(OR(E3798="&lt;/routeDistribution&gt;",E3798=""),"",IFERROR(_xlfn.CONCAT(VLOOKUP(BZ17,Route_Column!#REF!,2,FALSE),CHAR(34)," probability=",CHAR(34),1/BZ$4,CHAR(34),CHAR(47),CHAR(62)),"&lt;/routeDistribution&gt;"))</f>
        <v/>
      </c>
    </row>
    <row r="3800" spans="1:5" x14ac:dyDescent="0.25">
      <c r="A3800" t="s">
        <v>1625</v>
      </c>
      <c r="B3800" t="s">
        <v>1247</v>
      </c>
      <c r="E3800" t="str">
        <f>IF(OR(E3799="&lt;/routeDistribution&gt;",E3799=""),"",IFERROR(_xlfn.CONCAT(VLOOKUP(BZ18,Route_Column!#REF!,2,FALSE),CHAR(34)," probability=",CHAR(34),1/BZ$4,CHAR(34),CHAR(47),CHAR(62)),"&lt;/routeDistribution&gt;"))</f>
        <v/>
      </c>
    </row>
    <row r="3801" spans="1:5" x14ac:dyDescent="0.25">
      <c r="A3801" t="s">
        <v>1625</v>
      </c>
      <c r="B3801" t="s">
        <v>1248</v>
      </c>
      <c r="E3801" t="str">
        <f>IF(OR(E3800="&lt;/routeDistribution&gt;",E3800=""),"",IFERROR(_xlfn.CONCAT(VLOOKUP(BZ19,Route_Column!#REF!,2,FALSE),CHAR(34)," probability=",CHAR(34),1/BZ$4,CHAR(34),CHAR(47),CHAR(62)),"&lt;/routeDistribution&gt;"))</f>
        <v/>
      </c>
    </row>
    <row r="3802" spans="1:5" x14ac:dyDescent="0.25">
      <c r="A3802" t="s">
        <v>1625</v>
      </c>
      <c r="B3802" t="s">
        <v>1249</v>
      </c>
      <c r="E3802" t="str">
        <f>IF(OR(E3801="&lt;/routeDistribution&gt;",E3801=""),"",IFERROR(_xlfn.CONCAT(VLOOKUP(BZ20,Route_Column!#REF!,2,FALSE),CHAR(34)," probability=",CHAR(34),1/BZ$4,CHAR(34),CHAR(47),CHAR(62)),"&lt;/routeDistribution&gt;"))</f>
        <v/>
      </c>
    </row>
    <row r="3803" spans="1:5" x14ac:dyDescent="0.25">
      <c r="A3803" t="s">
        <v>1625</v>
      </c>
      <c r="B3803" t="s">
        <v>1250</v>
      </c>
      <c r="E3803" t="str">
        <f>IF(OR(E3802="&lt;/routeDistribution&gt;",E3802=""),"",IFERROR(_xlfn.CONCAT(VLOOKUP(BZ21,Route_Column!#REF!,2,FALSE),CHAR(34)," probability=",CHAR(34),1/BZ$4,CHAR(34),CHAR(47),CHAR(62)),"&lt;/routeDistribution&gt;"))</f>
        <v/>
      </c>
    </row>
    <row r="3804" spans="1:5" x14ac:dyDescent="0.25">
      <c r="A3804" t="s">
        <v>1776</v>
      </c>
      <c r="B3804" t="s">
        <v>1104</v>
      </c>
      <c r="E3804" t="str">
        <f>IF(OR(E3803="&lt;/routeDistribution&gt;",E3803=""),"",IFERROR(_xlfn.CONCAT(VLOOKUP(BZ22,Route_Column!#REF!,2,FALSE),CHAR(34)," probability=",CHAR(34),1/BZ$4,CHAR(34),CHAR(47),CHAR(62)),"&lt;/routeDistribution&gt;"))</f>
        <v/>
      </c>
    </row>
    <row r="3805" spans="1:5" x14ac:dyDescent="0.25">
      <c r="A3805" t="s">
        <v>1776</v>
      </c>
      <c r="B3805" t="s">
        <v>1105</v>
      </c>
      <c r="E3805" t="str">
        <f>IF(OR(E3804="&lt;/routeDistribution&gt;",E3804=""),"",IFERROR(_xlfn.CONCAT(VLOOKUP(BZ23,Route_Column!#REF!,2,FALSE),CHAR(34)," probability=",CHAR(34),1/BZ$4,CHAR(34),CHAR(47),CHAR(62)),"&lt;/routeDistribution&gt;"))</f>
        <v/>
      </c>
    </row>
    <row r="3806" spans="1:5" x14ac:dyDescent="0.25">
      <c r="A3806" t="s">
        <v>1776</v>
      </c>
      <c r="B3806" t="s">
        <v>1116</v>
      </c>
      <c r="E3806" t="str">
        <f>IF(OR(E3805="&lt;/routeDistribution&gt;",E3805=""),"",IFERROR(_xlfn.CONCAT(VLOOKUP(BZ24,Route_Column!#REF!,2,FALSE),CHAR(34)," probability=",CHAR(34),1/BZ$4,CHAR(34),CHAR(47),CHAR(62)),"&lt;/routeDistribution&gt;"))</f>
        <v/>
      </c>
    </row>
    <row r="3807" spans="1:5" x14ac:dyDescent="0.25">
      <c r="A3807" t="s">
        <v>1776</v>
      </c>
      <c r="B3807" t="s">
        <v>1117</v>
      </c>
      <c r="E3807" t="str">
        <f>IF(OR(E3806="&lt;/routeDistribution&gt;",E3806=""),"",IFERROR(_xlfn.CONCAT(VLOOKUP(BZ25,Route_Column!#REF!,2,FALSE),CHAR(34)," probability=",CHAR(34),1/BZ$4,CHAR(34),CHAR(47),CHAR(62)),"&lt;/routeDistribution&gt;"))</f>
        <v/>
      </c>
    </row>
    <row r="3808" spans="1:5" x14ac:dyDescent="0.25">
      <c r="A3808" t="s">
        <v>1776</v>
      </c>
      <c r="B3808" t="s">
        <v>1118</v>
      </c>
      <c r="E3808" t="str">
        <f>IF(OR(E3807="&lt;/routeDistribution&gt;",E3807=""),"",IFERROR(_xlfn.CONCAT(VLOOKUP(BZ26,Route_Column!#REF!,2,FALSE),CHAR(34)," probability=",CHAR(34),1/BZ$4,CHAR(34),CHAR(47),CHAR(62)),"&lt;/routeDistribution&gt;"))</f>
        <v/>
      </c>
    </row>
    <row r="3809" spans="1:5" x14ac:dyDescent="0.25">
      <c r="A3809" t="s">
        <v>1776</v>
      </c>
      <c r="B3809" t="s">
        <v>1239</v>
      </c>
      <c r="E3809" t="str">
        <f>IF(OR(E3808="&lt;/routeDistribution&gt;",E3808=""),"",IFERROR(_xlfn.CONCAT(VLOOKUP(BZ27,Route_Column!#REF!,2,FALSE),CHAR(34)," probability=",CHAR(34),1/BZ$4,CHAR(34),CHAR(47),CHAR(62)),"&lt;/routeDistribution&gt;"))</f>
        <v/>
      </c>
    </row>
    <row r="3810" spans="1:5" x14ac:dyDescent="0.25">
      <c r="A3810" t="s">
        <v>1776</v>
      </c>
      <c r="B3810" t="s">
        <v>1240</v>
      </c>
      <c r="E3810" t="str">
        <f>IF(OR(E3809="&lt;/routeDistribution&gt;",E3809=""),"",IFERROR(_xlfn.CONCAT(VLOOKUP(BZ28,Route_Column!#REF!,2,FALSE),CHAR(34)," probability=",CHAR(34),1/BZ$4,CHAR(34),CHAR(47),CHAR(62)),"&lt;/routeDistribution&gt;"))</f>
        <v/>
      </c>
    </row>
    <row r="3811" spans="1:5" x14ac:dyDescent="0.25">
      <c r="A3811" t="s">
        <v>2252</v>
      </c>
      <c r="B3811" t="s">
        <v>1187</v>
      </c>
      <c r="E3811" t="str">
        <f>IF(OR(E3810="&lt;/routeDistribution&gt;",E3810=""),"",IFERROR(_xlfn.CONCAT(VLOOKUP(BZ29,Route_Column!#REF!,2,FALSE),CHAR(34)," probability=",CHAR(34),1/BZ$4,CHAR(34),CHAR(47),CHAR(62)),"&lt;/routeDistribution&gt;"))</f>
        <v/>
      </c>
    </row>
    <row r="3812" spans="1:5" x14ac:dyDescent="0.25">
      <c r="A3812" t="s">
        <v>2252</v>
      </c>
      <c r="B3812" t="s">
        <v>1188</v>
      </c>
      <c r="E3812" t="str">
        <f>IF(OR(E3811="&lt;/routeDistribution&gt;",E3811=""),"",IFERROR(_xlfn.CONCAT(VLOOKUP(BZ30,Route_Column!#REF!,2,FALSE),CHAR(34)," probability=",CHAR(34),1/BZ$4,CHAR(34),CHAR(47),CHAR(62)),"&lt;/routeDistribution&gt;"))</f>
        <v/>
      </c>
    </row>
    <row r="3813" spans="1:5" x14ac:dyDescent="0.25">
      <c r="A3813" t="s">
        <v>2252</v>
      </c>
      <c r="B3813" t="s">
        <v>1188</v>
      </c>
      <c r="E3813" t="str">
        <f>IF(OR(E3812="&lt;/routeDistribution&gt;",E3812=""),"",IFERROR(_xlfn.CONCAT(VLOOKUP(BZ31,Route_Column!#REF!,2,FALSE),CHAR(34)," probability=",CHAR(34),1/BZ$4,CHAR(34),CHAR(47),CHAR(62)),"&lt;/routeDistribution&gt;"))</f>
        <v/>
      </c>
    </row>
    <row r="3814" spans="1:5" x14ac:dyDescent="0.25">
      <c r="A3814" t="s">
        <v>2252</v>
      </c>
      <c r="B3814" t="s">
        <v>1189</v>
      </c>
      <c r="E3814" t="str">
        <f>IF(OR(E3813="&lt;/routeDistribution&gt;",E3813=""),"",IFERROR(_xlfn.CONCAT(VLOOKUP(BZ32,Route_Column!#REF!,2,FALSE),CHAR(34)," probability=",CHAR(34),1/BZ$4,CHAR(34),CHAR(47),CHAR(62)),"&lt;/routeDistribution&gt;"))</f>
        <v/>
      </c>
    </row>
    <row r="3815" spans="1:5" x14ac:dyDescent="0.25">
      <c r="A3815" t="s">
        <v>2252</v>
      </c>
      <c r="B3815" t="s">
        <v>1189</v>
      </c>
      <c r="E3815" t="str">
        <f>IF(OR(E3814="&lt;/routeDistribution&gt;",E3814=""),"",IFERROR(_xlfn.CONCAT(VLOOKUP(BZ33,Route_Column!#REF!,2,FALSE),CHAR(34)," probability=",CHAR(34),1/BZ$4,CHAR(34),CHAR(47),CHAR(62)),"&lt;/routeDistribution&gt;"))</f>
        <v/>
      </c>
    </row>
    <row r="3816" spans="1:5" x14ac:dyDescent="0.25">
      <c r="A3816" t="s">
        <v>1858</v>
      </c>
      <c r="B3816" t="s">
        <v>1112</v>
      </c>
      <c r="E3816" t="str">
        <f>IF(OR(E3815="&lt;/routeDistribution&gt;",E3815=""),"",IFERROR(_xlfn.CONCAT(VLOOKUP(BZ34,Route_Column!#REF!,2,FALSE),CHAR(34)," probability=",CHAR(34),1/BZ$4,CHAR(34),CHAR(47),CHAR(62)),"&lt;/routeDistribution&gt;"))</f>
        <v/>
      </c>
    </row>
    <row r="3817" spans="1:5" x14ac:dyDescent="0.25">
      <c r="A3817" t="s">
        <v>1858</v>
      </c>
      <c r="B3817" t="s">
        <v>1113</v>
      </c>
      <c r="E3817" t="str">
        <f>IF(OR(E3816="&lt;/routeDistribution&gt;",E3816=""),"",IFERROR(_xlfn.CONCAT(VLOOKUP(BZ35,Route_Column!#REF!,2,FALSE),CHAR(34)," probability=",CHAR(34),1/BZ$4,CHAR(34),CHAR(47),CHAR(62)),"&lt;/routeDistribution&gt;"))</f>
        <v/>
      </c>
    </row>
    <row r="3818" spans="1:5" x14ac:dyDescent="0.25">
      <c r="A3818" t="s">
        <v>1858</v>
      </c>
      <c r="B3818" t="s">
        <v>1114</v>
      </c>
      <c r="E3818" t="str">
        <f>IF(OR(E3817="&lt;/routeDistribution&gt;",E3817=""),"",IFERROR(_xlfn.CONCAT(VLOOKUP(BZ36,Route_Column!#REF!,2,FALSE),CHAR(34)," probability=",CHAR(34),1/BZ$4,CHAR(34),CHAR(47),CHAR(62)),"&lt;/routeDistribution&gt;"))</f>
        <v/>
      </c>
    </row>
    <row r="3819" spans="1:5" x14ac:dyDescent="0.25">
      <c r="A3819" t="s">
        <v>1858</v>
      </c>
      <c r="B3819" t="s">
        <v>1115</v>
      </c>
      <c r="E3819" t="str">
        <f>IF(OR(E3818="&lt;/routeDistribution&gt;",E3818=""),"",IFERROR(_xlfn.CONCAT(VLOOKUP(BZ37,Route_Column!#REF!,2,FALSE),CHAR(34)," probability=",CHAR(34),1/BZ$4,CHAR(34),CHAR(47),CHAR(62)),"&lt;/routeDistribution&gt;"))</f>
        <v/>
      </c>
    </row>
    <row r="3820" spans="1:5" x14ac:dyDescent="0.25">
      <c r="A3820" t="s">
        <v>1851</v>
      </c>
      <c r="B3820" t="s">
        <v>1112</v>
      </c>
      <c r="E3820" t="str">
        <f>IF(OR(E3819="&lt;/routeDistribution&gt;",E3819=""),"",IFERROR(_xlfn.CONCAT(VLOOKUP(BZ38,Route_Column!#REF!,2,FALSE),CHAR(34)," probability=",CHAR(34),1/BZ$4,CHAR(34),CHAR(47),CHAR(62)),"&lt;/routeDistribution&gt;"))</f>
        <v/>
      </c>
    </row>
    <row r="3821" spans="1:5" x14ac:dyDescent="0.25">
      <c r="A3821" t="s">
        <v>1851</v>
      </c>
      <c r="B3821" t="s">
        <v>1113</v>
      </c>
      <c r="E3821" t="str">
        <f>IF(OR(E3820="&lt;/routeDistribution&gt;",E3820=""),"",IFERROR(_xlfn.CONCAT(VLOOKUP(BZ39,Route_Column!#REF!,2,FALSE),CHAR(34)," probability=",CHAR(34),1/BZ$4,CHAR(34),CHAR(47),CHAR(62)),"&lt;/routeDistribution&gt;"))</f>
        <v/>
      </c>
    </row>
    <row r="3822" spans="1:5" x14ac:dyDescent="0.25">
      <c r="A3822" t="s">
        <v>1851</v>
      </c>
      <c r="B3822" t="s">
        <v>1114</v>
      </c>
      <c r="E3822" t="str">
        <f>IF(OR(E3821="&lt;/routeDistribution&gt;",E3821=""),"",IFERROR(_xlfn.CONCAT(VLOOKUP(BZ40,Route_Column!#REF!,2,FALSE),CHAR(34)," probability=",CHAR(34),1/BZ$4,CHAR(34),CHAR(47),CHAR(62)),"&lt;/routeDistribution&gt;"))</f>
        <v/>
      </c>
    </row>
    <row r="3823" spans="1:5" x14ac:dyDescent="0.25">
      <c r="A3823" t="s">
        <v>1851</v>
      </c>
      <c r="B3823" t="s">
        <v>1115</v>
      </c>
      <c r="E3823" t="str">
        <f>IF(OR(E3822="&lt;/routeDistribution&gt;",E3822=""),"",IFERROR(_xlfn.CONCAT(VLOOKUP(BZ41,Route_Column!#REF!,2,FALSE),CHAR(34)," probability=",CHAR(34),1/BZ$4,CHAR(34),CHAR(47),CHAR(62)),"&lt;/routeDistribution&gt;"))</f>
        <v/>
      </c>
    </row>
    <row r="3824" spans="1:5" x14ac:dyDescent="0.25">
      <c r="A3824" t="s">
        <v>1852</v>
      </c>
      <c r="B3824" t="s">
        <v>1112</v>
      </c>
      <c r="E3824" t="str">
        <f>IF(OR(E3823="&lt;/routeDistribution&gt;",E3823=""),"",IFERROR(_xlfn.CONCAT(VLOOKUP(BZ42,Route_Column!#REF!,2,FALSE),CHAR(34)," probability=",CHAR(34),1/BZ$4,CHAR(34),CHAR(47),CHAR(62)),"&lt;/routeDistribution&gt;"))</f>
        <v/>
      </c>
    </row>
    <row r="3825" spans="1:5" x14ac:dyDescent="0.25">
      <c r="A3825" t="s">
        <v>1852</v>
      </c>
      <c r="B3825" t="s">
        <v>1113</v>
      </c>
      <c r="E3825" t="str">
        <f>IF(OR(E3824="&lt;/routeDistribution&gt;",E3824=""),"",IFERROR(_xlfn.CONCAT(VLOOKUP(BZ43,Route_Column!#REF!,2,FALSE),CHAR(34)," probability=",CHAR(34),1/BZ$4,CHAR(34),CHAR(47),CHAR(62)),"&lt;/routeDistribution&gt;"))</f>
        <v/>
      </c>
    </row>
    <row r="3826" spans="1:5" x14ac:dyDescent="0.25">
      <c r="A3826" t="s">
        <v>1852</v>
      </c>
      <c r="B3826" t="s">
        <v>1114</v>
      </c>
      <c r="E3826" t="str">
        <f>IF(OR(E3825="&lt;/routeDistribution&gt;",E3825=""),"",IFERROR(_xlfn.CONCAT(VLOOKUP(BZ44,Route_Column!#REF!,2,FALSE),CHAR(34)," probability=",CHAR(34),1/BZ$4,CHAR(34),CHAR(47),CHAR(62)),"&lt;/routeDistribution&gt;"))</f>
        <v/>
      </c>
    </row>
    <row r="3827" spans="1:5" x14ac:dyDescent="0.25">
      <c r="A3827" t="s">
        <v>1852</v>
      </c>
      <c r="B3827" t="s">
        <v>1115</v>
      </c>
      <c r="E3827" t="str">
        <f>IF(OR(E3826="&lt;/routeDistribution&gt;",E3826=""),"",IFERROR(_xlfn.CONCAT(VLOOKUP(BZ45,Route_Column!#REF!,2,FALSE),CHAR(34)," probability=",CHAR(34),1/BZ$4,CHAR(34),CHAR(47),CHAR(62)),"&lt;/routeDistribution&gt;"))</f>
        <v/>
      </c>
    </row>
    <row r="3828" spans="1:5" x14ac:dyDescent="0.25">
      <c r="A3828" t="s">
        <v>1853</v>
      </c>
      <c r="B3828" t="s">
        <v>1112</v>
      </c>
      <c r="E3828" t="str">
        <f>IF(OR(E3827="&lt;/routeDistribution&gt;",E3827=""),"",IFERROR(_xlfn.CONCAT(VLOOKUP(BZ46,Route_Column!#REF!,2,FALSE),CHAR(34)," probability=",CHAR(34),1/BZ$4,CHAR(34),CHAR(47),CHAR(62)),"&lt;/routeDistribution&gt;"))</f>
        <v/>
      </c>
    </row>
    <row r="3829" spans="1:5" x14ac:dyDescent="0.25">
      <c r="A3829" t="s">
        <v>1853</v>
      </c>
      <c r="B3829" t="s">
        <v>1113</v>
      </c>
      <c r="E3829" t="str">
        <f>IF(OR(E3828="&lt;/routeDistribution&gt;",E3828=""),"",IFERROR(_xlfn.CONCAT(VLOOKUP(BZ47,Route_Column!#REF!,2,FALSE),CHAR(34)," probability=",CHAR(34),1/BZ$4,CHAR(34),CHAR(47),CHAR(62)),"&lt;/routeDistribution&gt;"))</f>
        <v/>
      </c>
    </row>
    <row r="3830" spans="1:5" x14ac:dyDescent="0.25">
      <c r="A3830" t="s">
        <v>1853</v>
      </c>
      <c r="B3830" t="s">
        <v>1114</v>
      </c>
      <c r="E3830" t="str">
        <f>IF(OR(E3829="&lt;/routeDistribution&gt;",E3829=""),"",IFERROR(_xlfn.CONCAT(VLOOKUP(BZ48,Route_Column!#REF!,2,FALSE),CHAR(34)," probability=",CHAR(34),1/BZ$4,CHAR(34),CHAR(47),CHAR(62)),"&lt;/routeDistribution&gt;"))</f>
        <v/>
      </c>
    </row>
    <row r="3831" spans="1:5" x14ac:dyDescent="0.25">
      <c r="A3831" t="s">
        <v>1853</v>
      </c>
      <c r="B3831" t="s">
        <v>1115</v>
      </c>
      <c r="E3831" t="str">
        <f>IF(OR(E3830="&lt;/routeDistribution&gt;",E3830=""),"",IFERROR(_xlfn.CONCAT(VLOOKUP(BZ49,Route_Column!#REF!,2,FALSE),CHAR(34)," probability=",CHAR(34),1/BZ$4,CHAR(34),CHAR(47),CHAR(62)),"&lt;/routeDistribution&gt;"))</f>
        <v/>
      </c>
    </row>
    <row r="3832" spans="1:5" x14ac:dyDescent="0.25">
      <c r="A3832" t="s">
        <v>1610</v>
      </c>
      <c r="B3832" t="s">
        <v>1096</v>
      </c>
      <c r="E3832" t="str">
        <f>IF(OR(E3831="&lt;/routeDistribution&gt;",E3831=""),"",IFERROR(_xlfn.CONCAT(VLOOKUP(BZ50,Route_Column!#REF!,2,FALSE),CHAR(34)," probability=",CHAR(34),1/BZ$4,CHAR(34),CHAR(47),CHAR(62)),"&lt;/routeDistribution&gt;"))</f>
        <v/>
      </c>
    </row>
    <row r="3833" spans="1:5" x14ac:dyDescent="0.25">
      <c r="A3833" t="s">
        <v>1610</v>
      </c>
      <c r="B3833" t="s">
        <v>1100</v>
      </c>
      <c r="E3833" t="str">
        <f>IF(OR(E3832="&lt;/routeDistribution&gt;",E3832=""),"",IFERROR(_xlfn.CONCAT(VLOOKUP(BZ51,Route_Column!#REF!,2,FALSE),CHAR(34)," probability=",CHAR(34),1/BZ$4,CHAR(34),CHAR(47),CHAR(62)),"&lt;/routeDistribution&gt;"))</f>
        <v/>
      </c>
    </row>
    <row r="3834" spans="1:5" x14ac:dyDescent="0.25">
      <c r="A3834" t="s">
        <v>1610</v>
      </c>
      <c r="B3834" t="s">
        <v>1101</v>
      </c>
      <c r="E3834" t="str">
        <f>IF(OR(E3833="&lt;/routeDistribution&gt;",E3833=""),"",IFERROR(_xlfn.CONCAT(VLOOKUP(BZ52,Route_Column!#REF!,2,FALSE),CHAR(34)," probability=",CHAR(34),1/BZ$4,CHAR(34),CHAR(47),CHAR(62)),"&lt;/routeDistribution&gt;"))</f>
        <v/>
      </c>
    </row>
    <row r="3835" spans="1:5" x14ac:dyDescent="0.25">
      <c r="A3835" t="s">
        <v>1610</v>
      </c>
      <c r="B3835" t="s">
        <v>1102</v>
      </c>
      <c r="E3835" t="str">
        <f>IF(OR(E3834="&lt;/routeDistribution&gt;",E3834=""),"",IFERROR(_xlfn.CONCAT(VLOOKUP(BZ53,Route_Column!#REF!,2,FALSE),CHAR(34)," probability=",CHAR(34),1/BZ$4,CHAR(34),CHAR(47),CHAR(62)),"&lt;/routeDistribution&gt;"))</f>
        <v/>
      </c>
    </row>
    <row r="3836" spans="1:5" x14ac:dyDescent="0.25">
      <c r="A3836" t="s">
        <v>1610</v>
      </c>
      <c r="B3836" t="s">
        <v>1103</v>
      </c>
      <c r="E3836" t="str">
        <f>IF(OR(E3835="&lt;/routeDistribution&gt;",E3835=""),"",IFERROR(_xlfn.CONCAT(VLOOKUP(BZ54,Route_Column!#REF!,2,FALSE),CHAR(34)," probability=",CHAR(34),1/BZ$4,CHAR(34),CHAR(47),CHAR(62)),"&lt;/routeDistribution&gt;"))</f>
        <v/>
      </c>
    </row>
    <row r="3837" spans="1:5" x14ac:dyDescent="0.25">
      <c r="A3837" t="s">
        <v>1610</v>
      </c>
      <c r="B3837" t="s">
        <v>1104</v>
      </c>
      <c r="E3837" t="str">
        <f>IF(OR(E3836="&lt;/routeDistribution&gt;",E3836=""),"",IFERROR(_xlfn.CONCAT(VLOOKUP(BZ55,Route_Column!#REF!,2,FALSE),CHAR(34)," probability=",CHAR(34),1/BZ$4,CHAR(34),CHAR(47),CHAR(62)),"&lt;/routeDistribution&gt;"))</f>
        <v/>
      </c>
    </row>
    <row r="3838" spans="1:5" x14ac:dyDescent="0.25">
      <c r="A3838" t="s">
        <v>1610</v>
      </c>
      <c r="B3838" t="s">
        <v>1105</v>
      </c>
      <c r="E3838" t="str">
        <f>IF(OR(E3837="&lt;/routeDistribution&gt;",E3837=""),"",IFERROR(_xlfn.CONCAT(VLOOKUP(BZ56,Route_Column!#REF!,2,FALSE),CHAR(34)," probability=",CHAR(34),1/BZ$4,CHAR(34),CHAR(47),CHAR(62)),"&lt;/routeDistribution&gt;"))</f>
        <v/>
      </c>
    </row>
    <row r="3839" spans="1:5" x14ac:dyDescent="0.25">
      <c r="A3839" t="s">
        <v>1610</v>
      </c>
      <c r="B3839" t="s">
        <v>1106</v>
      </c>
      <c r="E3839" t="str">
        <f>IF(OR(E3838="&lt;/routeDistribution&gt;",E3838=""),"",IFERROR(_xlfn.CONCAT(VLOOKUP(BZ57,Route_Column!#REF!,2,FALSE),CHAR(34)," probability=",CHAR(34),1/BZ$4,CHAR(34),CHAR(47),CHAR(62)),"&lt;/routeDistribution&gt;"))</f>
        <v/>
      </c>
    </row>
    <row r="3840" spans="1:5" x14ac:dyDescent="0.25">
      <c r="A3840" t="s">
        <v>1610</v>
      </c>
      <c r="B3840" t="s">
        <v>1107</v>
      </c>
      <c r="E3840" t="str">
        <f>IF(OR(E3839="&lt;/routeDistribution&gt;",E3839=""),"",IFERROR(_xlfn.CONCAT(VLOOKUP(BZ58,Route_Column!#REF!,2,FALSE),CHAR(34)," probability=",CHAR(34),1/BZ$4,CHAR(34),CHAR(47),CHAR(62)),"&lt;/routeDistribution&gt;"))</f>
        <v/>
      </c>
    </row>
    <row r="3841" spans="1:5" x14ac:dyDescent="0.25">
      <c r="A3841" t="s">
        <v>1610</v>
      </c>
      <c r="B3841" t="s">
        <v>1142</v>
      </c>
      <c r="E3841" t="str">
        <f>IF(OR(E3840="&lt;/routeDistribution&gt;",E3840=""),"",IFERROR(_xlfn.CONCAT(VLOOKUP(BZ59,Route_Column!#REF!,2,FALSE),CHAR(34)," probability=",CHAR(34),1/BZ$4,CHAR(34),CHAR(47),CHAR(62)),"&lt;/routeDistribution&gt;"))</f>
        <v/>
      </c>
    </row>
    <row r="3842" spans="1:5" x14ac:dyDescent="0.25">
      <c r="A3842" t="s">
        <v>1610</v>
      </c>
      <c r="B3842" t="s">
        <v>1148</v>
      </c>
      <c r="E3842" t="str">
        <f>IF(OR(E3841="&lt;/routeDistribution&gt;",E3841=""),"",IFERROR(_xlfn.CONCAT(VLOOKUP(BZ60,Route_Column!#REF!,2,FALSE),CHAR(34)," probability=",CHAR(34),1/BZ$4,CHAR(34),CHAR(47),CHAR(62)),"&lt;/routeDistribution&gt;"))</f>
        <v/>
      </c>
    </row>
    <row r="3843" spans="1:5" x14ac:dyDescent="0.25">
      <c r="A3843" t="s">
        <v>1610</v>
      </c>
      <c r="B3843" t="s">
        <v>1161</v>
      </c>
      <c r="E3843" t="str">
        <f>IF(OR(E3842="&lt;/routeDistribution&gt;",E3842=""),"",IFERROR(_xlfn.CONCAT(VLOOKUP(BZ61,Route_Column!#REF!,2,FALSE),CHAR(34)," probability=",CHAR(34),1/BZ$4,CHAR(34),CHAR(47),CHAR(62)),"&lt;/routeDistribution&gt;"))</f>
        <v/>
      </c>
    </row>
    <row r="3844" spans="1:5" x14ac:dyDescent="0.25">
      <c r="A3844" t="s">
        <v>1610</v>
      </c>
      <c r="B3844" t="s">
        <v>1162</v>
      </c>
      <c r="E3844" t="str">
        <f>IF(OR(E3843="&lt;/routeDistribution&gt;",E3843=""),"",IFERROR(_xlfn.CONCAT(VLOOKUP(BZ62,Route_Column!#REF!,2,FALSE),CHAR(34)," probability=",CHAR(34),1/BZ$4,CHAR(34),CHAR(47),CHAR(62)),"&lt;/routeDistribution&gt;"))</f>
        <v/>
      </c>
    </row>
    <row r="3845" spans="1:5" x14ac:dyDescent="0.25">
      <c r="A3845" t="s">
        <v>1610</v>
      </c>
      <c r="B3845" t="s">
        <v>1163</v>
      </c>
      <c r="E3845" t="str">
        <f>IF(OR(E3844="&lt;/routeDistribution&gt;",E3844=""),"",IFERROR(_xlfn.CONCAT(VLOOKUP(BZ63,Route_Column!#REF!,2,FALSE),CHAR(34)," probability=",CHAR(34),1/BZ$4,CHAR(34),CHAR(47),CHAR(62)),"&lt;/routeDistribution&gt;"))</f>
        <v/>
      </c>
    </row>
    <row r="3846" spans="1:5" x14ac:dyDescent="0.25">
      <c r="A3846" t="s">
        <v>1610</v>
      </c>
      <c r="B3846" t="s">
        <v>1164</v>
      </c>
      <c r="E3846" t="s">
        <v>2686</v>
      </c>
    </row>
    <row r="3847" spans="1:5" x14ac:dyDescent="0.25">
      <c r="A3847" t="s">
        <v>1610</v>
      </c>
      <c r="B3847" t="s">
        <v>1168</v>
      </c>
    </row>
    <row r="3848" spans="1:5" x14ac:dyDescent="0.25">
      <c r="A3848" t="s">
        <v>1610</v>
      </c>
      <c r="B3848" t="s">
        <v>1169</v>
      </c>
    </row>
    <row r="3849" spans="1:5" x14ac:dyDescent="0.25">
      <c r="A3849" t="s">
        <v>1610</v>
      </c>
      <c r="B3849" t="s">
        <v>1170</v>
      </c>
      <c r="E3849" t="str">
        <f>_xlfn.CONCAT($E$1,BY$2,$F$1)</f>
        <v>&lt;routeDistribution id="Walnut-31st-to-30th-WB-2009-RouteProbe"&gt;</v>
      </c>
    </row>
    <row r="3850" spans="1:5" x14ac:dyDescent="0.25">
      <c r="A3850" t="s">
        <v>1610</v>
      </c>
      <c r="B3850" t="s">
        <v>1178</v>
      </c>
      <c r="E3850" t="str">
        <f>IF(OR(E3849="&lt;/routeDistribution&gt;",E3849=""),"",IFERROR(_xlfn.CONCAT(VLOOKUP(BY5,Route_Column!#REF!,2,FALSE),CHAR(34)," probability=",CHAR(34),1/BY$4,CHAR(34),CHAR(47),CHAR(62)),"&lt;/routeDistribution&gt;"))</f>
        <v>&lt;/routeDistribution&gt;</v>
      </c>
    </row>
    <row r="3851" spans="1:5" x14ac:dyDescent="0.25">
      <c r="A3851" t="s">
        <v>1610</v>
      </c>
      <c r="B3851" t="s">
        <v>1196</v>
      </c>
      <c r="E3851" t="str">
        <f>IF(OR(E3850="&lt;/routeDistribution&gt;",E3850=""),"",IFERROR(_xlfn.CONCAT(VLOOKUP(BY6,Route_Column!#REF!,2,FALSE),CHAR(34)," probability=",CHAR(34),1/BY$4,CHAR(34),CHAR(47),CHAR(62)),"&lt;/routeDistribution&gt;"))</f>
        <v/>
      </c>
    </row>
    <row r="3852" spans="1:5" x14ac:dyDescent="0.25">
      <c r="A3852" t="s">
        <v>1610</v>
      </c>
      <c r="B3852" t="s">
        <v>1202</v>
      </c>
      <c r="E3852" t="str">
        <f>IF(OR(E3851="&lt;/routeDistribution&gt;",E3851=""),"",IFERROR(_xlfn.CONCAT(VLOOKUP(BY7,Route_Column!#REF!,2,FALSE),CHAR(34)," probability=",CHAR(34),1/BY$4,CHAR(34),CHAR(47),CHAR(62)),"&lt;/routeDistribution&gt;"))</f>
        <v/>
      </c>
    </row>
    <row r="3853" spans="1:5" x14ac:dyDescent="0.25">
      <c r="A3853" t="s">
        <v>1610</v>
      </c>
      <c r="B3853" t="s">
        <v>1235</v>
      </c>
      <c r="E3853" t="str">
        <f>IF(OR(E3852="&lt;/routeDistribution&gt;",E3852=""),"",IFERROR(_xlfn.CONCAT(VLOOKUP(BY8,Route_Column!#REF!,2,FALSE),CHAR(34)," probability=",CHAR(34),1/BY$4,CHAR(34),CHAR(47),CHAR(62)),"&lt;/routeDistribution&gt;"))</f>
        <v/>
      </c>
    </row>
    <row r="3854" spans="1:5" x14ac:dyDescent="0.25">
      <c r="A3854" t="s">
        <v>1610</v>
      </c>
      <c r="B3854" t="s">
        <v>1236</v>
      </c>
      <c r="E3854" t="str">
        <f>IF(OR(E3853="&lt;/routeDistribution&gt;",E3853=""),"",IFERROR(_xlfn.CONCAT(VLOOKUP(BY9,Route_Column!#REF!,2,FALSE),CHAR(34)," probability=",CHAR(34),1/BY$4,CHAR(34),CHAR(47),CHAR(62)),"&lt;/routeDistribution&gt;"))</f>
        <v/>
      </c>
    </row>
    <row r="3855" spans="1:5" x14ac:dyDescent="0.25">
      <c r="A3855" t="s">
        <v>1610</v>
      </c>
      <c r="B3855" t="s">
        <v>1237</v>
      </c>
      <c r="E3855" t="str">
        <f>IF(OR(E3854="&lt;/routeDistribution&gt;",E3854=""),"",IFERROR(_xlfn.CONCAT(VLOOKUP(BY10,Route_Column!#REF!,2,FALSE),CHAR(34)," probability=",CHAR(34),1/BY$4,CHAR(34),CHAR(47),CHAR(62)),"&lt;/routeDistribution&gt;"))</f>
        <v/>
      </c>
    </row>
    <row r="3856" spans="1:5" x14ac:dyDescent="0.25">
      <c r="A3856" t="s">
        <v>1610</v>
      </c>
      <c r="B3856" t="s">
        <v>1238</v>
      </c>
      <c r="E3856" t="str">
        <f>IF(OR(E3855="&lt;/routeDistribution&gt;",E3855=""),"",IFERROR(_xlfn.CONCAT(VLOOKUP(BY11,Route_Column!#REF!,2,FALSE),CHAR(34)," probability=",CHAR(34),1/BY$4,CHAR(34),CHAR(47),CHAR(62)),"&lt;/routeDistribution&gt;"))</f>
        <v/>
      </c>
    </row>
    <row r="3857" spans="1:5" x14ac:dyDescent="0.25">
      <c r="A3857" t="s">
        <v>1610</v>
      </c>
      <c r="B3857" t="s">
        <v>1239</v>
      </c>
      <c r="E3857" t="str">
        <f>IF(OR(E3856="&lt;/routeDistribution&gt;",E3856=""),"",IFERROR(_xlfn.CONCAT(VLOOKUP(BY12,Route_Column!#REF!,2,FALSE),CHAR(34)," probability=",CHAR(34),1/BY$4,CHAR(34),CHAR(47),CHAR(62)),"&lt;/routeDistribution&gt;"))</f>
        <v/>
      </c>
    </row>
    <row r="3858" spans="1:5" x14ac:dyDescent="0.25">
      <c r="A3858" t="s">
        <v>1610</v>
      </c>
      <c r="B3858" t="s">
        <v>1240</v>
      </c>
      <c r="E3858" t="str">
        <f>IF(OR(E3857="&lt;/routeDistribution&gt;",E3857=""),"",IFERROR(_xlfn.CONCAT(VLOOKUP(BY13,Route_Column!#REF!,2,FALSE),CHAR(34)," probability=",CHAR(34),1/BY$4,CHAR(34),CHAR(47),CHAR(62)),"&lt;/routeDistribution&gt;"))</f>
        <v/>
      </c>
    </row>
    <row r="3859" spans="1:5" x14ac:dyDescent="0.25">
      <c r="A3859" s="11" t="s">
        <v>1493</v>
      </c>
      <c r="B3859" t="s">
        <v>1091</v>
      </c>
      <c r="E3859" t="str">
        <f>IF(OR(E3858="&lt;/routeDistribution&gt;",E3858=""),"",IFERROR(_xlfn.CONCAT(VLOOKUP(BY14,Route_Column!#REF!,2,FALSE),CHAR(34)," probability=",CHAR(34),1/BY$4,CHAR(34),CHAR(47),CHAR(62)),"&lt;/routeDistribution&gt;"))</f>
        <v/>
      </c>
    </row>
    <row r="3860" spans="1:5" x14ac:dyDescent="0.25">
      <c r="A3860" t="s">
        <v>1493</v>
      </c>
      <c r="B3860" t="s">
        <v>1092</v>
      </c>
      <c r="E3860" t="str">
        <f>IF(OR(E3859="&lt;/routeDistribution&gt;",E3859=""),"",IFERROR(_xlfn.CONCAT(VLOOKUP(BY15,Route_Column!#REF!,2,FALSE),CHAR(34)," probability=",CHAR(34),1/BY$4,CHAR(34),CHAR(47),CHAR(62)),"&lt;/routeDistribution&gt;"))</f>
        <v/>
      </c>
    </row>
    <row r="3861" spans="1:5" x14ac:dyDescent="0.25">
      <c r="A3861" t="s">
        <v>1493</v>
      </c>
      <c r="B3861" t="s">
        <v>1093</v>
      </c>
      <c r="E3861" t="str">
        <f>IF(OR(E3860="&lt;/routeDistribution&gt;",E3860=""),"",IFERROR(_xlfn.CONCAT(VLOOKUP(BY16,Route_Column!#REF!,2,FALSE),CHAR(34)," probability=",CHAR(34),1/BY$4,CHAR(34),CHAR(47),CHAR(62)),"&lt;/routeDistribution&gt;"))</f>
        <v/>
      </c>
    </row>
    <row r="3862" spans="1:5" x14ac:dyDescent="0.25">
      <c r="A3862" t="s">
        <v>1493</v>
      </c>
      <c r="B3862" t="s">
        <v>1094</v>
      </c>
      <c r="E3862" t="str">
        <f>IF(OR(E3861="&lt;/routeDistribution&gt;",E3861=""),"",IFERROR(_xlfn.CONCAT(VLOOKUP(BY17,Route_Column!#REF!,2,FALSE),CHAR(34)," probability=",CHAR(34),1/BY$4,CHAR(34),CHAR(47),CHAR(62)),"&lt;/routeDistribution&gt;"))</f>
        <v/>
      </c>
    </row>
    <row r="3863" spans="1:5" x14ac:dyDescent="0.25">
      <c r="A3863" t="s">
        <v>1493</v>
      </c>
      <c r="B3863" t="s">
        <v>1095</v>
      </c>
      <c r="E3863" t="str">
        <f>IF(OR(E3862="&lt;/routeDistribution&gt;",E3862=""),"",IFERROR(_xlfn.CONCAT(VLOOKUP(BY18,Route_Column!#REF!,2,FALSE),CHAR(34)," probability=",CHAR(34),1/BY$4,CHAR(34),CHAR(47),CHAR(62)),"&lt;/routeDistribution&gt;"))</f>
        <v/>
      </c>
    </row>
    <row r="3864" spans="1:5" x14ac:dyDescent="0.25">
      <c r="A3864" t="s">
        <v>1493</v>
      </c>
      <c r="B3864" t="s">
        <v>1096</v>
      </c>
      <c r="E3864" t="str">
        <f>IF(OR(E3863="&lt;/routeDistribution&gt;",E3863=""),"",IFERROR(_xlfn.CONCAT(VLOOKUP(BY19,Route_Column!#REF!,2,FALSE),CHAR(34)," probability=",CHAR(34),1/BY$4,CHAR(34),CHAR(47),CHAR(62)),"&lt;/routeDistribution&gt;"))</f>
        <v/>
      </c>
    </row>
    <row r="3865" spans="1:5" x14ac:dyDescent="0.25">
      <c r="A3865" t="s">
        <v>1493</v>
      </c>
      <c r="B3865" t="s">
        <v>1097</v>
      </c>
      <c r="E3865" t="str">
        <f>IF(OR(E3864="&lt;/routeDistribution&gt;",E3864=""),"",IFERROR(_xlfn.CONCAT(VLOOKUP(BY20,Route_Column!#REF!,2,FALSE),CHAR(34)," probability=",CHAR(34),1/BY$4,CHAR(34),CHAR(47),CHAR(62)),"&lt;/routeDistribution&gt;"))</f>
        <v/>
      </c>
    </row>
    <row r="3866" spans="1:5" x14ac:dyDescent="0.25">
      <c r="A3866" t="s">
        <v>1493</v>
      </c>
      <c r="B3866" t="s">
        <v>1098</v>
      </c>
      <c r="E3866" t="str">
        <f>IF(OR(E3865="&lt;/routeDistribution&gt;",E3865=""),"",IFERROR(_xlfn.CONCAT(VLOOKUP(BY21,Route_Column!#REF!,2,FALSE),CHAR(34)," probability=",CHAR(34),1/BY$4,CHAR(34),CHAR(47),CHAR(62)),"&lt;/routeDistribution&gt;"))</f>
        <v/>
      </c>
    </row>
    <row r="3867" spans="1:5" x14ac:dyDescent="0.25">
      <c r="A3867" t="s">
        <v>1493</v>
      </c>
      <c r="B3867" t="s">
        <v>1099</v>
      </c>
      <c r="E3867" t="str">
        <f>IF(OR(E3866="&lt;/routeDistribution&gt;",E3866=""),"",IFERROR(_xlfn.CONCAT(VLOOKUP(BY22,Route_Column!#REF!,2,FALSE),CHAR(34)," probability=",CHAR(34),1/BY$4,CHAR(34),CHAR(47),CHAR(62)),"&lt;/routeDistribution&gt;"))</f>
        <v/>
      </c>
    </row>
    <row r="3868" spans="1:5" x14ac:dyDescent="0.25">
      <c r="A3868" t="s">
        <v>1493</v>
      </c>
      <c r="B3868" t="s">
        <v>1100</v>
      </c>
      <c r="E3868" t="str">
        <f>IF(OR(E3867="&lt;/routeDistribution&gt;",E3867=""),"",IFERROR(_xlfn.CONCAT(VLOOKUP(BY23,Route_Column!#REF!,2,FALSE),CHAR(34)," probability=",CHAR(34),1/BY$4,CHAR(34),CHAR(47),CHAR(62)),"&lt;/routeDistribution&gt;"))</f>
        <v/>
      </c>
    </row>
    <row r="3869" spans="1:5" x14ac:dyDescent="0.25">
      <c r="A3869" t="s">
        <v>1493</v>
      </c>
      <c r="B3869" t="s">
        <v>1101</v>
      </c>
      <c r="E3869" t="str">
        <f>IF(OR(E3868="&lt;/routeDistribution&gt;",E3868=""),"",IFERROR(_xlfn.CONCAT(VLOOKUP(BY24,Route_Column!#REF!,2,FALSE),CHAR(34)," probability=",CHAR(34),1/BY$4,CHAR(34),CHAR(47),CHAR(62)),"&lt;/routeDistribution&gt;"))</f>
        <v/>
      </c>
    </row>
    <row r="3870" spans="1:5" x14ac:dyDescent="0.25">
      <c r="A3870" t="s">
        <v>1493</v>
      </c>
      <c r="B3870" t="s">
        <v>1102</v>
      </c>
      <c r="E3870" t="str">
        <f>IF(OR(E3869="&lt;/routeDistribution&gt;",E3869=""),"",IFERROR(_xlfn.CONCAT(VLOOKUP(BY25,Route_Column!#REF!,2,FALSE),CHAR(34)," probability=",CHAR(34),1/BY$4,CHAR(34),CHAR(47),CHAR(62)),"&lt;/routeDistribution&gt;"))</f>
        <v/>
      </c>
    </row>
    <row r="3871" spans="1:5" x14ac:dyDescent="0.25">
      <c r="A3871" t="s">
        <v>1493</v>
      </c>
      <c r="B3871" t="s">
        <v>1103</v>
      </c>
      <c r="E3871" t="str">
        <f>IF(OR(E3870="&lt;/routeDistribution&gt;",E3870=""),"",IFERROR(_xlfn.CONCAT(VLOOKUP(BY26,Route_Column!#REF!,2,FALSE),CHAR(34)," probability=",CHAR(34),1/BY$4,CHAR(34),CHAR(47),CHAR(62)),"&lt;/routeDistribution&gt;"))</f>
        <v/>
      </c>
    </row>
    <row r="3872" spans="1:5" x14ac:dyDescent="0.25">
      <c r="A3872" t="s">
        <v>1493</v>
      </c>
      <c r="B3872" t="s">
        <v>1104</v>
      </c>
      <c r="E3872" t="str">
        <f>IF(OR(E3871="&lt;/routeDistribution&gt;",E3871=""),"",IFERROR(_xlfn.CONCAT(VLOOKUP(BY27,Route_Column!#REF!,2,FALSE),CHAR(34)," probability=",CHAR(34),1/BY$4,CHAR(34),CHAR(47),CHAR(62)),"&lt;/routeDistribution&gt;"))</f>
        <v/>
      </c>
    </row>
    <row r="3873" spans="1:5" x14ac:dyDescent="0.25">
      <c r="A3873" t="s">
        <v>1493</v>
      </c>
      <c r="B3873" t="s">
        <v>1105</v>
      </c>
      <c r="E3873" t="str">
        <f>IF(OR(E3872="&lt;/routeDistribution&gt;",E3872=""),"",IFERROR(_xlfn.CONCAT(VLOOKUP(BY28,Route_Column!#REF!,2,FALSE),CHAR(34)," probability=",CHAR(34),1/BY$4,CHAR(34),CHAR(47),CHAR(62)),"&lt;/routeDistribution&gt;"))</f>
        <v/>
      </c>
    </row>
    <row r="3874" spans="1:5" x14ac:dyDescent="0.25">
      <c r="A3874" t="s">
        <v>1493</v>
      </c>
      <c r="B3874" t="s">
        <v>1106</v>
      </c>
      <c r="E3874" t="str">
        <f>IF(OR(E3873="&lt;/routeDistribution&gt;",E3873=""),"",IFERROR(_xlfn.CONCAT(VLOOKUP(BY29,Route_Column!#REF!,2,FALSE),CHAR(34)," probability=",CHAR(34),1/BY$4,CHAR(34),CHAR(47),CHAR(62)),"&lt;/routeDistribution&gt;"))</f>
        <v/>
      </c>
    </row>
    <row r="3875" spans="1:5" x14ac:dyDescent="0.25">
      <c r="A3875" t="s">
        <v>1493</v>
      </c>
      <c r="B3875" t="s">
        <v>1107</v>
      </c>
      <c r="E3875" t="str">
        <f>IF(OR(E3874="&lt;/routeDistribution&gt;",E3874=""),"",IFERROR(_xlfn.CONCAT(VLOOKUP(BY30,Route_Column!#REF!,2,FALSE),CHAR(34)," probability=",CHAR(34),1/BY$4,CHAR(34),CHAR(47),CHAR(62)),"&lt;/routeDistribution&gt;"))</f>
        <v/>
      </c>
    </row>
    <row r="3876" spans="1:5" x14ac:dyDescent="0.25">
      <c r="A3876" t="s">
        <v>1719</v>
      </c>
      <c r="B3876" t="s">
        <v>1101</v>
      </c>
      <c r="E3876" t="str">
        <f>IF(OR(E3875="&lt;/routeDistribution&gt;",E3875=""),"",IFERROR(_xlfn.CONCAT(VLOOKUP(BY31,Route_Column!#REF!,2,FALSE),CHAR(34)," probability=",CHAR(34),1/BY$4,CHAR(34),CHAR(47),CHAR(62)),"&lt;/routeDistribution&gt;"))</f>
        <v/>
      </c>
    </row>
    <row r="3877" spans="1:5" x14ac:dyDescent="0.25">
      <c r="A3877" t="s">
        <v>1719</v>
      </c>
      <c r="B3877" t="s">
        <v>1107</v>
      </c>
      <c r="E3877" t="str">
        <f>IF(OR(E3876="&lt;/routeDistribution&gt;",E3876=""),"",IFERROR(_xlfn.CONCAT(VLOOKUP(BY32,Route_Column!#REF!,2,FALSE),CHAR(34)," probability=",CHAR(34),1/BY$4,CHAR(34),CHAR(47),CHAR(62)),"&lt;/routeDistribution&gt;"))</f>
        <v/>
      </c>
    </row>
    <row r="3878" spans="1:5" x14ac:dyDescent="0.25">
      <c r="A3878" t="s">
        <v>1719</v>
      </c>
      <c r="B3878" t="s">
        <v>1118</v>
      </c>
      <c r="E3878" t="str">
        <f>IF(OR(E3877="&lt;/routeDistribution&gt;",E3877=""),"",IFERROR(_xlfn.CONCAT(VLOOKUP(BY33,Route_Column!#REF!,2,FALSE),CHAR(34)," probability=",CHAR(34),1/BY$4,CHAR(34),CHAR(47),CHAR(62)),"&lt;/routeDistribution&gt;"))</f>
        <v/>
      </c>
    </row>
    <row r="3879" spans="1:5" x14ac:dyDescent="0.25">
      <c r="A3879" t="s">
        <v>1719</v>
      </c>
      <c r="B3879" t="s">
        <v>1119</v>
      </c>
      <c r="E3879" t="str">
        <f>IF(OR(E3878="&lt;/routeDistribution&gt;",E3878=""),"",IFERROR(_xlfn.CONCAT(VLOOKUP(BY34,Route_Column!#REF!,2,FALSE),CHAR(34)," probability=",CHAR(34),1/BY$4,CHAR(34),CHAR(47),CHAR(62)),"&lt;/routeDistribution&gt;"))</f>
        <v/>
      </c>
    </row>
    <row r="3880" spans="1:5" x14ac:dyDescent="0.25">
      <c r="A3880" t="s">
        <v>1719</v>
      </c>
      <c r="B3880" t="s">
        <v>1120</v>
      </c>
      <c r="E3880" t="str">
        <f>IF(OR(E3879="&lt;/routeDistribution&gt;",E3879=""),"",IFERROR(_xlfn.CONCAT(VLOOKUP(BY35,Route_Column!#REF!,2,FALSE),CHAR(34)," probability=",CHAR(34),1/BY$4,CHAR(34),CHAR(47),CHAR(62)),"&lt;/routeDistribution&gt;"))</f>
        <v/>
      </c>
    </row>
    <row r="3881" spans="1:5" x14ac:dyDescent="0.25">
      <c r="A3881" t="s">
        <v>1719</v>
      </c>
      <c r="B3881" t="s">
        <v>1142</v>
      </c>
      <c r="E3881" t="str">
        <f>IF(OR(E3880="&lt;/routeDistribution&gt;",E3880=""),"",IFERROR(_xlfn.CONCAT(VLOOKUP(BY36,Route_Column!#REF!,2,FALSE),CHAR(34)," probability=",CHAR(34),1/BY$4,CHAR(34),CHAR(47),CHAR(62)),"&lt;/routeDistribution&gt;"))</f>
        <v/>
      </c>
    </row>
    <row r="3882" spans="1:5" x14ac:dyDescent="0.25">
      <c r="A3882" t="s">
        <v>1719</v>
      </c>
      <c r="B3882" t="s">
        <v>1148</v>
      </c>
      <c r="E3882" t="str">
        <f>IF(OR(E3881="&lt;/routeDistribution&gt;",E3881=""),"",IFERROR(_xlfn.CONCAT(VLOOKUP(BY37,Route_Column!#REF!,2,FALSE),CHAR(34)," probability=",CHAR(34),1/BY$4,CHAR(34),CHAR(47),CHAR(62)),"&lt;/routeDistribution&gt;"))</f>
        <v/>
      </c>
    </row>
    <row r="3883" spans="1:5" x14ac:dyDescent="0.25">
      <c r="A3883" t="s">
        <v>1719</v>
      </c>
      <c r="B3883" t="s">
        <v>1169</v>
      </c>
      <c r="E3883" t="str">
        <f>IF(OR(E3882="&lt;/routeDistribution&gt;",E3882=""),"",IFERROR(_xlfn.CONCAT(VLOOKUP(BY38,Route_Column!#REF!,2,FALSE),CHAR(34)," probability=",CHAR(34),1/BY$4,CHAR(34),CHAR(47),CHAR(62)),"&lt;/routeDistribution&gt;"))</f>
        <v/>
      </c>
    </row>
    <row r="3884" spans="1:5" x14ac:dyDescent="0.25">
      <c r="A3884" t="s">
        <v>1719</v>
      </c>
      <c r="B3884" t="s">
        <v>1178</v>
      </c>
      <c r="E3884" t="str">
        <f>IF(OR(E3883="&lt;/routeDistribution&gt;",E3883=""),"",IFERROR(_xlfn.CONCAT(VLOOKUP(BY39,Route_Column!#REF!,2,FALSE),CHAR(34)," probability=",CHAR(34),1/BY$4,CHAR(34),CHAR(47),CHAR(62)),"&lt;/routeDistribution&gt;"))</f>
        <v/>
      </c>
    </row>
    <row r="3885" spans="1:5" x14ac:dyDescent="0.25">
      <c r="A3885" t="s">
        <v>1719</v>
      </c>
      <c r="B3885" t="s">
        <v>1202</v>
      </c>
      <c r="E3885" t="str">
        <f>IF(OR(E3884="&lt;/routeDistribution&gt;",E3884=""),"",IFERROR(_xlfn.CONCAT(VLOOKUP(BY40,Route_Column!#REF!,2,FALSE),CHAR(34)," probability=",CHAR(34),1/BY$4,CHAR(34),CHAR(47),CHAR(62)),"&lt;/routeDistribution&gt;"))</f>
        <v/>
      </c>
    </row>
    <row r="3886" spans="1:5" x14ac:dyDescent="0.25">
      <c r="A3886" t="s">
        <v>1719</v>
      </c>
      <c r="B3886" t="s">
        <v>1236</v>
      </c>
      <c r="E3886" t="str">
        <f>IF(OR(E3885="&lt;/routeDistribution&gt;",E3885=""),"",IFERROR(_xlfn.CONCAT(VLOOKUP(BY41,Route_Column!#REF!,2,FALSE),CHAR(34)," probability=",CHAR(34),1/BY$4,CHAR(34),CHAR(47),CHAR(62)),"&lt;/routeDistribution&gt;"))</f>
        <v/>
      </c>
    </row>
    <row r="3887" spans="1:5" x14ac:dyDescent="0.25">
      <c r="A3887" t="s">
        <v>1719</v>
      </c>
      <c r="B3887" t="s">
        <v>1240</v>
      </c>
      <c r="E3887" t="str">
        <f>IF(OR(E3886="&lt;/routeDistribution&gt;",E3886=""),"",IFERROR(_xlfn.CONCAT(VLOOKUP(BY42,Route_Column!#REF!,2,FALSE),CHAR(34)," probability=",CHAR(34),1/BY$4,CHAR(34),CHAR(47),CHAR(62)),"&lt;/routeDistribution&gt;"))</f>
        <v/>
      </c>
    </row>
    <row r="3888" spans="1:5" x14ac:dyDescent="0.25">
      <c r="A3888" t="s">
        <v>1719</v>
      </c>
      <c r="B3888" t="s">
        <v>1249</v>
      </c>
      <c r="E3888" t="str">
        <f>IF(OR(E3887="&lt;/routeDistribution&gt;",E3887=""),"",IFERROR(_xlfn.CONCAT(VLOOKUP(BY43,Route_Column!#REF!,2,FALSE),CHAR(34)," probability=",CHAR(34),1/BY$4,CHAR(34),CHAR(47),CHAR(62)),"&lt;/routeDistribution&gt;"))</f>
        <v/>
      </c>
    </row>
    <row r="3889" spans="1:5" x14ac:dyDescent="0.25">
      <c r="A3889" t="s">
        <v>1777</v>
      </c>
      <c r="B3889" t="s">
        <v>1104</v>
      </c>
      <c r="E3889" t="str">
        <f>IF(OR(E3888="&lt;/routeDistribution&gt;",E3888=""),"",IFERROR(_xlfn.CONCAT(VLOOKUP(BY44,Route_Column!#REF!,2,FALSE),CHAR(34)," probability=",CHAR(34),1/BY$4,CHAR(34),CHAR(47),CHAR(62)),"&lt;/routeDistribution&gt;"))</f>
        <v/>
      </c>
    </row>
    <row r="3890" spans="1:5" x14ac:dyDescent="0.25">
      <c r="A3890" t="s">
        <v>1777</v>
      </c>
      <c r="B3890" t="s">
        <v>1105</v>
      </c>
      <c r="E3890" t="str">
        <f>IF(OR(E3889="&lt;/routeDistribution&gt;",E3889=""),"",IFERROR(_xlfn.CONCAT(VLOOKUP(BY45,Route_Column!#REF!,2,FALSE),CHAR(34)," probability=",CHAR(34),1/BY$4,CHAR(34),CHAR(47),CHAR(62)),"&lt;/routeDistribution&gt;"))</f>
        <v/>
      </c>
    </row>
    <row r="3891" spans="1:5" x14ac:dyDescent="0.25">
      <c r="A3891" t="s">
        <v>1777</v>
      </c>
      <c r="B3891" t="s">
        <v>1116</v>
      </c>
      <c r="E3891" t="str">
        <f>IF(OR(E3890="&lt;/routeDistribution&gt;",E3890=""),"",IFERROR(_xlfn.CONCAT(VLOOKUP(BY46,Route_Column!#REF!,2,FALSE),CHAR(34)," probability=",CHAR(34),1/BY$4,CHAR(34),CHAR(47),CHAR(62)),"&lt;/routeDistribution&gt;"))</f>
        <v/>
      </c>
    </row>
    <row r="3892" spans="1:5" x14ac:dyDescent="0.25">
      <c r="A3892" t="s">
        <v>1777</v>
      </c>
      <c r="B3892" t="s">
        <v>1117</v>
      </c>
      <c r="E3892" t="str">
        <f>IF(OR(E3891="&lt;/routeDistribution&gt;",E3891=""),"",IFERROR(_xlfn.CONCAT(VLOOKUP(BY47,Route_Column!#REF!,2,FALSE),CHAR(34)," probability=",CHAR(34),1/BY$4,CHAR(34),CHAR(47),CHAR(62)),"&lt;/routeDistribution&gt;"))</f>
        <v/>
      </c>
    </row>
    <row r="3893" spans="1:5" x14ac:dyDescent="0.25">
      <c r="A3893" t="s">
        <v>1777</v>
      </c>
      <c r="B3893" t="s">
        <v>1118</v>
      </c>
      <c r="E3893" t="str">
        <f>IF(OR(E3892="&lt;/routeDistribution&gt;",E3892=""),"",IFERROR(_xlfn.CONCAT(VLOOKUP(BY48,Route_Column!#REF!,2,FALSE),CHAR(34)," probability=",CHAR(34),1/BY$4,CHAR(34),CHAR(47),CHAR(62)),"&lt;/routeDistribution&gt;"))</f>
        <v/>
      </c>
    </row>
    <row r="3894" spans="1:5" x14ac:dyDescent="0.25">
      <c r="A3894" t="s">
        <v>1777</v>
      </c>
      <c r="B3894" t="s">
        <v>1239</v>
      </c>
      <c r="E3894" t="str">
        <f>IF(OR(E3893="&lt;/routeDistribution&gt;",E3893=""),"",IFERROR(_xlfn.CONCAT(VLOOKUP(BY49,Route_Column!#REF!,2,FALSE),CHAR(34)," probability=",CHAR(34),1/BY$4,CHAR(34),CHAR(47),CHAR(62)),"&lt;/routeDistribution&gt;"))</f>
        <v/>
      </c>
    </row>
    <row r="3895" spans="1:5" x14ac:dyDescent="0.25">
      <c r="A3895" t="s">
        <v>1777</v>
      </c>
      <c r="B3895" t="s">
        <v>1240</v>
      </c>
      <c r="E3895" t="str">
        <f>IF(OR(E3894="&lt;/routeDistribution&gt;",E3894=""),"",IFERROR(_xlfn.CONCAT(VLOOKUP(BY50,Route_Column!#REF!,2,FALSE),CHAR(34)," probability=",CHAR(34),1/BY$4,CHAR(34),CHAR(47),CHAR(62)),"&lt;/routeDistribution&gt;"))</f>
        <v/>
      </c>
    </row>
    <row r="3896" spans="1:5" x14ac:dyDescent="0.25">
      <c r="A3896" t="s">
        <v>1720</v>
      </c>
      <c r="B3896" t="s">
        <v>1101</v>
      </c>
      <c r="E3896" t="str">
        <f>IF(OR(E3895="&lt;/routeDistribution&gt;",E3895=""),"",IFERROR(_xlfn.CONCAT(VLOOKUP(BY51,Route_Column!#REF!,2,FALSE),CHAR(34)," probability=",CHAR(34),1/BY$4,CHAR(34),CHAR(47),CHAR(62)),"&lt;/routeDistribution&gt;"))</f>
        <v/>
      </c>
    </row>
    <row r="3897" spans="1:5" x14ac:dyDescent="0.25">
      <c r="A3897" t="s">
        <v>1720</v>
      </c>
      <c r="B3897" t="s">
        <v>1107</v>
      </c>
      <c r="E3897" t="str">
        <f>IF(OR(E3896="&lt;/routeDistribution&gt;",E3896=""),"",IFERROR(_xlfn.CONCAT(VLOOKUP(BY52,Route_Column!#REF!,2,FALSE),CHAR(34)," probability=",CHAR(34),1/BY$4,CHAR(34),CHAR(47),CHAR(62)),"&lt;/routeDistribution&gt;"))</f>
        <v/>
      </c>
    </row>
    <row r="3898" spans="1:5" x14ac:dyDescent="0.25">
      <c r="A3898" t="s">
        <v>1720</v>
      </c>
      <c r="B3898" t="s">
        <v>1118</v>
      </c>
      <c r="E3898" t="str">
        <f>IF(OR(E3897="&lt;/routeDistribution&gt;",E3897=""),"",IFERROR(_xlfn.CONCAT(VLOOKUP(BY53,Route_Column!#REF!,2,FALSE),CHAR(34)," probability=",CHAR(34),1/BY$4,CHAR(34),CHAR(47),CHAR(62)),"&lt;/routeDistribution&gt;"))</f>
        <v/>
      </c>
    </row>
    <row r="3899" spans="1:5" x14ac:dyDescent="0.25">
      <c r="A3899" t="s">
        <v>1720</v>
      </c>
      <c r="B3899" t="s">
        <v>1119</v>
      </c>
      <c r="E3899" t="str">
        <f>IF(OR(E3898="&lt;/routeDistribution&gt;",E3898=""),"",IFERROR(_xlfn.CONCAT(VLOOKUP(BY54,Route_Column!#REF!,2,FALSE),CHAR(34)," probability=",CHAR(34),1/BY$4,CHAR(34),CHAR(47),CHAR(62)),"&lt;/routeDistribution&gt;"))</f>
        <v/>
      </c>
    </row>
    <row r="3900" spans="1:5" x14ac:dyDescent="0.25">
      <c r="A3900" t="s">
        <v>1720</v>
      </c>
      <c r="B3900" t="s">
        <v>1120</v>
      </c>
      <c r="E3900" t="str">
        <f>IF(OR(E3899="&lt;/routeDistribution&gt;",E3899=""),"",IFERROR(_xlfn.CONCAT(VLOOKUP(BY55,Route_Column!#REF!,2,FALSE),CHAR(34)," probability=",CHAR(34),1/BY$4,CHAR(34),CHAR(47),CHAR(62)),"&lt;/routeDistribution&gt;"))</f>
        <v/>
      </c>
    </row>
    <row r="3901" spans="1:5" x14ac:dyDescent="0.25">
      <c r="A3901" t="s">
        <v>1720</v>
      </c>
      <c r="B3901" t="s">
        <v>1142</v>
      </c>
      <c r="E3901" t="str">
        <f>IF(OR(E3900="&lt;/routeDistribution&gt;",E3900=""),"",IFERROR(_xlfn.CONCAT(VLOOKUP(BY56,Route_Column!#REF!,2,FALSE),CHAR(34)," probability=",CHAR(34),1/BY$4,CHAR(34),CHAR(47),CHAR(62)),"&lt;/routeDistribution&gt;"))</f>
        <v/>
      </c>
    </row>
    <row r="3902" spans="1:5" x14ac:dyDescent="0.25">
      <c r="A3902" t="s">
        <v>1720</v>
      </c>
      <c r="B3902" t="s">
        <v>1148</v>
      </c>
      <c r="E3902" t="str">
        <f>IF(OR(E3901="&lt;/routeDistribution&gt;",E3901=""),"",IFERROR(_xlfn.CONCAT(VLOOKUP(BY57,Route_Column!#REF!,2,FALSE),CHAR(34)," probability=",CHAR(34),1/BY$4,CHAR(34),CHAR(47),CHAR(62)),"&lt;/routeDistribution&gt;"))</f>
        <v/>
      </c>
    </row>
    <row r="3903" spans="1:5" x14ac:dyDescent="0.25">
      <c r="A3903" t="s">
        <v>1720</v>
      </c>
      <c r="B3903" t="s">
        <v>1169</v>
      </c>
      <c r="E3903" t="str">
        <f>IF(OR(E3902="&lt;/routeDistribution&gt;",E3902=""),"",IFERROR(_xlfn.CONCAT(VLOOKUP(BY58,Route_Column!#REF!,2,FALSE),CHAR(34)," probability=",CHAR(34),1/BY$4,CHAR(34),CHAR(47),CHAR(62)),"&lt;/routeDistribution&gt;"))</f>
        <v/>
      </c>
    </row>
    <row r="3904" spans="1:5" x14ac:dyDescent="0.25">
      <c r="A3904" t="s">
        <v>1720</v>
      </c>
      <c r="B3904" t="s">
        <v>1178</v>
      </c>
      <c r="E3904" t="str">
        <f>IF(OR(E3903="&lt;/routeDistribution&gt;",E3903=""),"",IFERROR(_xlfn.CONCAT(VLOOKUP(BY59,Route_Column!#REF!,2,FALSE),CHAR(34)," probability=",CHAR(34),1/BY$4,CHAR(34),CHAR(47),CHAR(62)),"&lt;/routeDistribution&gt;"))</f>
        <v/>
      </c>
    </row>
    <row r="3905" spans="1:5" x14ac:dyDescent="0.25">
      <c r="A3905" t="s">
        <v>1720</v>
      </c>
      <c r="B3905" t="s">
        <v>1202</v>
      </c>
      <c r="E3905" t="str">
        <f>IF(OR(E3904="&lt;/routeDistribution&gt;",E3904=""),"",IFERROR(_xlfn.CONCAT(VLOOKUP(BY60,Route_Column!#REF!,2,FALSE),CHAR(34)," probability=",CHAR(34),1/BY$4,CHAR(34),CHAR(47),CHAR(62)),"&lt;/routeDistribution&gt;"))</f>
        <v/>
      </c>
    </row>
    <row r="3906" spans="1:5" x14ac:dyDescent="0.25">
      <c r="A3906" t="s">
        <v>1720</v>
      </c>
      <c r="B3906" t="s">
        <v>1236</v>
      </c>
      <c r="E3906" t="str">
        <f>IF(OR(E3905="&lt;/routeDistribution&gt;",E3905=""),"",IFERROR(_xlfn.CONCAT(VLOOKUP(BY61,Route_Column!#REF!,2,FALSE),CHAR(34)," probability=",CHAR(34),1/BY$4,CHAR(34),CHAR(47),CHAR(62)),"&lt;/routeDistribution&gt;"))</f>
        <v/>
      </c>
    </row>
    <row r="3907" spans="1:5" x14ac:dyDescent="0.25">
      <c r="A3907" t="s">
        <v>1720</v>
      </c>
      <c r="B3907" t="s">
        <v>1240</v>
      </c>
      <c r="E3907" t="str">
        <f>IF(OR(E3906="&lt;/routeDistribution&gt;",E3906=""),"",IFERROR(_xlfn.CONCAT(VLOOKUP(BY62,Route_Column!#REF!,2,FALSE),CHAR(34)," probability=",CHAR(34),1/BY$4,CHAR(34),CHAR(47),CHAR(62)),"&lt;/routeDistribution&gt;"))</f>
        <v/>
      </c>
    </row>
    <row r="3908" spans="1:5" x14ac:dyDescent="0.25">
      <c r="A3908" t="s">
        <v>1720</v>
      </c>
      <c r="B3908" t="s">
        <v>1249</v>
      </c>
      <c r="E3908" t="str">
        <f>IF(OR(E3907="&lt;/routeDistribution&gt;",E3907=""),"",IFERROR(_xlfn.CONCAT(VLOOKUP(BY63,Route_Column!#REF!,2,FALSE),CHAR(34)," probability=",CHAR(34),1/BY$4,CHAR(34),CHAR(47),CHAR(62)),"&lt;/routeDistribution&gt;"))</f>
        <v/>
      </c>
    </row>
    <row r="3909" spans="1:5" x14ac:dyDescent="0.25">
      <c r="A3909" t="s">
        <v>1721</v>
      </c>
      <c r="B3909" t="s">
        <v>1101</v>
      </c>
      <c r="E3909" t="s">
        <v>2686</v>
      </c>
    </row>
    <row r="3910" spans="1:5" x14ac:dyDescent="0.25">
      <c r="A3910" t="s">
        <v>1721</v>
      </c>
      <c r="B3910" t="s">
        <v>1107</v>
      </c>
    </row>
    <row r="3911" spans="1:5" x14ac:dyDescent="0.25">
      <c r="A3911" t="s">
        <v>1721</v>
      </c>
      <c r="B3911" t="s">
        <v>1116</v>
      </c>
    </row>
    <row r="3912" spans="1:5" x14ac:dyDescent="0.25">
      <c r="A3912" t="s">
        <v>1721</v>
      </c>
      <c r="B3912" t="s">
        <v>1117</v>
      </c>
      <c r="E3912" t="str">
        <f>_xlfn.CONCAT($E$1,BX$2,$F$1)</f>
        <v>&lt;routeDistribution id="Chestnut-34th-to-33rd-EB-2009-RouteProbe"&gt;</v>
      </c>
    </row>
    <row r="3913" spans="1:5" x14ac:dyDescent="0.25">
      <c r="A3913" t="s">
        <v>1721</v>
      </c>
      <c r="B3913" t="s">
        <v>1118</v>
      </c>
      <c r="E3913" t="str">
        <f>IF(OR(E3912="&lt;/routeDistribution&gt;",E3912=""),"",IFERROR(_xlfn.CONCAT(VLOOKUP(BX5,Route_Column!#REF!,2,FALSE),CHAR(34)," probability=",CHAR(34),1/BX$4,CHAR(34),CHAR(47),CHAR(62)),"&lt;/routeDistribution&gt;"))</f>
        <v>&lt;/routeDistribution&gt;</v>
      </c>
    </row>
    <row r="3914" spans="1:5" x14ac:dyDescent="0.25">
      <c r="A3914" t="s">
        <v>1721</v>
      </c>
      <c r="B3914" t="s">
        <v>1119</v>
      </c>
      <c r="E3914" t="str">
        <f>IF(OR(E3913="&lt;/routeDistribution&gt;",E3913=""),"",IFERROR(_xlfn.CONCAT(VLOOKUP(BX6,Route_Column!#REF!,2,FALSE),CHAR(34)," probability=",CHAR(34),1/BX$4,CHAR(34),CHAR(47),CHAR(62)),"&lt;/routeDistribution&gt;"))</f>
        <v/>
      </c>
    </row>
    <row r="3915" spans="1:5" x14ac:dyDescent="0.25">
      <c r="A3915" t="s">
        <v>1721</v>
      </c>
      <c r="B3915" t="s">
        <v>1120</v>
      </c>
      <c r="E3915" t="str">
        <f>IF(OR(E3914="&lt;/routeDistribution&gt;",E3914=""),"",IFERROR(_xlfn.CONCAT(VLOOKUP(BX7,Route_Column!#REF!,2,FALSE),CHAR(34)," probability=",CHAR(34),1/BX$4,CHAR(34),CHAR(47),CHAR(62)),"&lt;/routeDistribution&gt;"))</f>
        <v/>
      </c>
    </row>
    <row r="3916" spans="1:5" x14ac:dyDescent="0.25">
      <c r="A3916" t="s">
        <v>1721</v>
      </c>
      <c r="B3916" t="s">
        <v>1121</v>
      </c>
      <c r="E3916" t="str">
        <f>IF(OR(E3915="&lt;/routeDistribution&gt;",E3915=""),"",IFERROR(_xlfn.CONCAT(VLOOKUP(BX8,Route_Column!#REF!,2,FALSE),CHAR(34)," probability=",CHAR(34),1/BX$4,CHAR(34),CHAR(47),CHAR(62)),"&lt;/routeDistribution&gt;"))</f>
        <v/>
      </c>
    </row>
    <row r="3917" spans="1:5" x14ac:dyDescent="0.25">
      <c r="A3917" t="s">
        <v>1721</v>
      </c>
      <c r="B3917" t="s">
        <v>1142</v>
      </c>
      <c r="E3917" t="str">
        <f>IF(OR(E3916="&lt;/routeDistribution&gt;",E3916=""),"",IFERROR(_xlfn.CONCAT(VLOOKUP(BX9,Route_Column!#REF!,2,FALSE),CHAR(34)," probability=",CHAR(34),1/BX$4,CHAR(34),CHAR(47),CHAR(62)),"&lt;/routeDistribution&gt;"))</f>
        <v/>
      </c>
    </row>
    <row r="3918" spans="1:5" x14ac:dyDescent="0.25">
      <c r="A3918" t="s">
        <v>1721</v>
      </c>
      <c r="B3918" t="s">
        <v>1148</v>
      </c>
      <c r="E3918" t="str">
        <f>IF(OR(E3917="&lt;/routeDistribution&gt;",E3917=""),"",IFERROR(_xlfn.CONCAT(VLOOKUP(BX10,Route_Column!#REF!,2,FALSE),CHAR(34)," probability=",CHAR(34),1/BX$4,CHAR(34),CHAR(47),CHAR(62)),"&lt;/routeDistribution&gt;"))</f>
        <v/>
      </c>
    </row>
    <row r="3919" spans="1:5" x14ac:dyDescent="0.25">
      <c r="A3919" t="s">
        <v>1721</v>
      </c>
      <c r="B3919" t="s">
        <v>1169</v>
      </c>
      <c r="E3919" t="str">
        <f>IF(OR(E3918="&lt;/routeDistribution&gt;",E3918=""),"",IFERROR(_xlfn.CONCAT(VLOOKUP(BX11,Route_Column!#REF!,2,FALSE),CHAR(34)," probability=",CHAR(34),1/BX$4,CHAR(34),CHAR(47),CHAR(62)),"&lt;/routeDistribution&gt;"))</f>
        <v/>
      </c>
    </row>
    <row r="3920" spans="1:5" x14ac:dyDescent="0.25">
      <c r="A3920" t="s">
        <v>1721</v>
      </c>
      <c r="B3920" t="s">
        <v>1178</v>
      </c>
      <c r="E3920" t="str">
        <f>IF(OR(E3919="&lt;/routeDistribution&gt;",E3919=""),"",IFERROR(_xlfn.CONCAT(VLOOKUP(BX12,Route_Column!#REF!,2,FALSE),CHAR(34)," probability=",CHAR(34),1/BX$4,CHAR(34),CHAR(47),CHAR(62)),"&lt;/routeDistribution&gt;"))</f>
        <v/>
      </c>
    </row>
    <row r="3921" spans="1:5" x14ac:dyDescent="0.25">
      <c r="A3921" t="s">
        <v>1721</v>
      </c>
      <c r="B3921" t="s">
        <v>1202</v>
      </c>
      <c r="E3921" t="str">
        <f>IF(OR(E3920="&lt;/routeDistribution&gt;",E3920=""),"",IFERROR(_xlfn.CONCAT(VLOOKUP(BX13,Route_Column!#REF!,2,FALSE),CHAR(34)," probability=",CHAR(34),1/BX$4,CHAR(34),CHAR(47),CHAR(62)),"&lt;/routeDistribution&gt;"))</f>
        <v/>
      </c>
    </row>
    <row r="3922" spans="1:5" x14ac:dyDescent="0.25">
      <c r="A3922" t="s">
        <v>1721</v>
      </c>
      <c r="B3922" t="s">
        <v>1235</v>
      </c>
      <c r="E3922" t="str">
        <f>IF(OR(E3921="&lt;/routeDistribution&gt;",E3921=""),"",IFERROR(_xlfn.CONCAT(VLOOKUP(BX14,Route_Column!#REF!,2,FALSE),CHAR(34)," probability=",CHAR(34),1/BX$4,CHAR(34),CHAR(47),CHAR(62)),"&lt;/routeDistribution&gt;"))</f>
        <v/>
      </c>
    </row>
    <row r="3923" spans="1:5" x14ac:dyDescent="0.25">
      <c r="A3923" t="s">
        <v>1721</v>
      </c>
      <c r="B3923" t="s">
        <v>1236</v>
      </c>
      <c r="E3923" t="str">
        <f>IF(OR(E3922="&lt;/routeDistribution&gt;",E3922=""),"",IFERROR(_xlfn.CONCAT(VLOOKUP(BX15,Route_Column!#REF!,2,FALSE),CHAR(34)," probability=",CHAR(34),1/BX$4,CHAR(34),CHAR(47),CHAR(62)),"&lt;/routeDistribution&gt;"))</f>
        <v/>
      </c>
    </row>
    <row r="3924" spans="1:5" x14ac:dyDescent="0.25">
      <c r="A3924" t="s">
        <v>1721</v>
      </c>
      <c r="B3924" t="s">
        <v>1240</v>
      </c>
      <c r="E3924" t="str">
        <f>IF(OR(E3923="&lt;/routeDistribution&gt;",E3923=""),"",IFERROR(_xlfn.CONCAT(VLOOKUP(BX16,Route_Column!#REF!,2,FALSE),CHAR(34)," probability=",CHAR(34),1/BX$4,CHAR(34),CHAR(47),CHAR(62)),"&lt;/routeDistribution&gt;"))</f>
        <v/>
      </c>
    </row>
    <row r="3925" spans="1:5" x14ac:dyDescent="0.25">
      <c r="A3925" t="s">
        <v>1721</v>
      </c>
      <c r="B3925" t="s">
        <v>1249</v>
      </c>
      <c r="E3925" t="str">
        <f>IF(OR(E3924="&lt;/routeDistribution&gt;",E3924=""),"",IFERROR(_xlfn.CONCAT(VLOOKUP(BX17,Route_Column!#REF!,2,FALSE),CHAR(34)," probability=",CHAR(34),1/BX$4,CHAR(34),CHAR(47),CHAR(62)),"&lt;/routeDistribution&gt;"))</f>
        <v/>
      </c>
    </row>
    <row r="3926" spans="1:5" x14ac:dyDescent="0.25">
      <c r="A3926" t="s">
        <v>1722</v>
      </c>
      <c r="B3926" t="s">
        <v>1101</v>
      </c>
      <c r="E3926" t="str">
        <f>IF(OR(E3925="&lt;/routeDistribution&gt;",E3925=""),"",IFERROR(_xlfn.CONCAT(VLOOKUP(BX18,Route_Column!#REF!,2,FALSE),CHAR(34)," probability=",CHAR(34),1/BX$4,CHAR(34),CHAR(47),CHAR(62)),"&lt;/routeDistribution&gt;"))</f>
        <v/>
      </c>
    </row>
    <row r="3927" spans="1:5" x14ac:dyDescent="0.25">
      <c r="A3927" t="s">
        <v>1722</v>
      </c>
      <c r="B3927" t="s">
        <v>1102</v>
      </c>
      <c r="E3927" t="str">
        <f>IF(OR(E3926="&lt;/routeDistribution&gt;",E3926=""),"",IFERROR(_xlfn.CONCAT(VLOOKUP(BX19,Route_Column!#REF!,2,FALSE),CHAR(34)," probability=",CHAR(34),1/BX$4,CHAR(34),CHAR(47),CHAR(62)),"&lt;/routeDistribution&gt;"))</f>
        <v/>
      </c>
    </row>
    <row r="3928" spans="1:5" x14ac:dyDescent="0.25">
      <c r="A3928" t="s">
        <v>1722</v>
      </c>
      <c r="B3928" t="s">
        <v>1103</v>
      </c>
      <c r="E3928" t="str">
        <f>IF(OR(E3927="&lt;/routeDistribution&gt;",E3927=""),"",IFERROR(_xlfn.CONCAT(VLOOKUP(BX20,Route_Column!#REF!,2,FALSE),CHAR(34)," probability=",CHAR(34),1/BX$4,CHAR(34),CHAR(47),CHAR(62)),"&lt;/routeDistribution&gt;"))</f>
        <v/>
      </c>
    </row>
    <row r="3929" spans="1:5" x14ac:dyDescent="0.25">
      <c r="A3929" t="s">
        <v>1722</v>
      </c>
      <c r="B3929" t="s">
        <v>1118</v>
      </c>
      <c r="E3929" t="str">
        <f>IF(OR(E3928="&lt;/routeDistribution&gt;",E3928=""),"",IFERROR(_xlfn.CONCAT(VLOOKUP(BX21,Route_Column!#REF!,2,FALSE),CHAR(34)," probability=",CHAR(34),1/BX$4,CHAR(34),CHAR(47),CHAR(62)),"&lt;/routeDistribution&gt;"))</f>
        <v/>
      </c>
    </row>
    <row r="3930" spans="1:5" x14ac:dyDescent="0.25">
      <c r="A3930" t="s">
        <v>1722</v>
      </c>
      <c r="B3930" t="s">
        <v>1120</v>
      </c>
      <c r="E3930" t="str">
        <f>IF(OR(E3929="&lt;/routeDistribution&gt;",E3929=""),"",IFERROR(_xlfn.CONCAT(VLOOKUP(BX22,Route_Column!#REF!,2,FALSE),CHAR(34)," probability=",CHAR(34),1/BX$4,CHAR(34),CHAR(47),CHAR(62)),"&lt;/routeDistribution&gt;"))</f>
        <v/>
      </c>
    </row>
    <row r="3931" spans="1:5" x14ac:dyDescent="0.25">
      <c r="A3931" t="s">
        <v>1722</v>
      </c>
      <c r="B3931" t="s">
        <v>1210</v>
      </c>
      <c r="E3931" t="str">
        <f>IF(OR(E3930="&lt;/routeDistribution&gt;",E3930=""),"",IFERROR(_xlfn.CONCAT(VLOOKUP(BX23,Route_Column!#REF!,2,FALSE),CHAR(34)," probability=",CHAR(34),1/BX$4,CHAR(34),CHAR(47),CHAR(62)),"&lt;/routeDistribution&gt;"))</f>
        <v/>
      </c>
    </row>
    <row r="3932" spans="1:5" x14ac:dyDescent="0.25">
      <c r="A3932" t="s">
        <v>1722</v>
      </c>
      <c r="B3932" t="s">
        <v>1211</v>
      </c>
      <c r="E3932" t="str">
        <f>IF(OR(E3931="&lt;/routeDistribution&gt;",E3931=""),"",IFERROR(_xlfn.CONCAT(VLOOKUP(BX24,Route_Column!#REF!,2,FALSE),CHAR(34)," probability=",CHAR(34),1/BX$4,CHAR(34),CHAR(47),CHAR(62)),"&lt;/routeDistribution&gt;"))</f>
        <v/>
      </c>
    </row>
    <row r="3933" spans="1:5" x14ac:dyDescent="0.25">
      <c r="A3933" t="s">
        <v>1722</v>
      </c>
      <c r="B3933" t="s">
        <v>1237</v>
      </c>
      <c r="E3933" t="str">
        <f>IF(OR(E3932="&lt;/routeDistribution&gt;",E3932=""),"",IFERROR(_xlfn.CONCAT(VLOOKUP(BX25,Route_Column!#REF!,2,FALSE),CHAR(34)," probability=",CHAR(34),1/BX$4,CHAR(34),CHAR(47),CHAR(62)),"&lt;/routeDistribution&gt;"))</f>
        <v/>
      </c>
    </row>
    <row r="3934" spans="1:5" x14ac:dyDescent="0.25">
      <c r="A3934" t="s">
        <v>1722</v>
      </c>
      <c r="B3934" t="s">
        <v>1240</v>
      </c>
      <c r="E3934" t="str">
        <f>IF(OR(E3933="&lt;/routeDistribution&gt;",E3933=""),"",IFERROR(_xlfn.CONCAT(VLOOKUP(BX26,Route_Column!#REF!,2,FALSE),CHAR(34)," probability=",CHAR(34),1/BX$4,CHAR(34),CHAR(47),CHAR(62)),"&lt;/routeDistribution&gt;"))</f>
        <v/>
      </c>
    </row>
    <row r="3935" spans="1:5" x14ac:dyDescent="0.25">
      <c r="A3935" t="s">
        <v>1722</v>
      </c>
      <c r="B3935" t="s">
        <v>1246</v>
      </c>
      <c r="E3935" t="str">
        <f>IF(OR(E3934="&lt;/routeDistribution&gt;",E3934=""),"",IFERROR(_xlfn.CONCAT(VLOOKUP(BX27,Route_Column!#REF!,2,FALSE),CHAR(34)," probability=",CHAR(34),1/BX$4,CHAR(34),CHAR(47),CHAR(62)),"&lt;/routeDistribution&gt;"))</f>
        <v/>
      </c>
    </row>
    <row r="3936" spans="1:5" x14ac:dyDescent="0.25">
      <c r="A3936" t="s">
        <v>1722</v>
      </c>
      <c r="B3936" t="s">
        <v>1248</v>
      </c>
      <c r="E3936" t="str">
        <f>IF(OR(E3935="&lt;/routeDistribution&gt;",E3935=""),"",IFERROR(_xlfn.CONCAT(VLOOKUP(BX28,Route_Column!#REF!,2,FALSE),CHAR(34)," probability=",CHAR(34),1/BX$4,CHAR(34),CHAR(47),CHAR(62)),"&lt;/routeDistribution&gt;"))</f>
        <v/>
      </c>
    </row>
    <row r="3937" spans="1:5" x14ac:dyDescent="0.25">
      <c r="A3937" t="s">
        <v>2359</v>
      </c>
      <c r="B3937" t="s">
        <v>1243</v>
      </c>
      <c r="E3937" t="str">
        <f>IF(OR(E3936="&lt;/routeDistribution&gt;",E3936=""),"",IFERROR(_xlfn.CONCAT(VLOOKUP(BX29,Route_Column!#REF!,2,FALSE),CHAR(34)," probability=",CHAR(34),1/BX$4,CHAR(34),CHAR(47),CHAR(62)),"&lt;/routeDistribution&gt;"))</f>
        <v/>
      </c>
    </row>
    <row r="3938" spans="1:5" x14ac:dyDescent="0.25">
      <c r="A3938" t="s">
        <v>1611</v>
      </c>
      <c r="B3938" t="s">
        <v>1096</v>
      </c>
      <c r="E3938" t="str">
        <f>IF(OR(E3937="&lt;/routeDistribution&gt;",E3937=""),"",IFERROR(_xlfn.CONCAT(VLOOKUP(BX30,Route_Column!#REF!,2,FALSE),CHAR(34)," probability=",CHAR(34),1/BX$4,CHAR(34),CHAR(47),CHAR(62)),"&lt;/routeDistribution&gt;"))</f>
        <v/>
      </c>
    </row>
    <row r="3939" spans="1:5" x14ac:dyDescent="0.25">
      <c r="A3939" t="s">
        <v>1611</v>
      </c>
      <c r="B3939" t="s">
        <v>1100</v>
      </c>
      <c r="E3939" t="str">
        <f>IF(OR(E3938="&lt;/routeDistribution&gt;",E3938=""),"",IFERROR(_xlfn.CONCAT(VLOOKUP(BX31,Route_Column!#REF!,2,FALSE),CHAR(34)," probability=",CHAR(34),1/BX$4,CHAR(34),CHAR(47),CHAR(62)),"&lt;/routeDistribution&gt;"))</f>
        <v/>
      </c>
    </row>
    <row r="3940" spans="1:5" x14ac:dyDescent="0.25">
      <c r="A3940" t="s">
        <v>1611</v>
      </c>
      <c r="B3940" t="s">
        <v>1101</v>
      </c>
      <c r="E3940" t="str">
        <f>IF(OR(E3939="&lt;/routeDistribution&gt;",E3939=""),"",IFERROR(_xlfn.CONCAT(VLOOKUP(BX32,Route_Column!#REF!,2,FALSE),CHAR(34)," probability=",CHAR(34),1/BX$4,CHAR(34),CHAR(47),CHAR(62)),"&lt;/routeDistribution&gt;"))</f>
        <v/>
      </c>
    </row>
    <row r="3941" spans="1:5" x14ac:dyDescent="0.25">
      <c r="A3941" t="s">
        <v>1611</v>
      </c>
      <c r="B3941" t="s">
        <v>1102</v>
      </c>
      <c r="E3941" t="str">
        <f>IF(OR(E3940="&lt;/routeDistribution&gt;",E3940=""),"",IFERROR(_xlfn.CONCAT(VLOOKUP(BX33,Route_Column!#REF!,2,FALSE),CHAR(34)," probability=",CHAR(34),1/BX$4,CHAR(34),CHAR(47),CHAR(62)),"&lt;/routeDistribution&gt;"))</f>
        <v/>
      </c>
    </row>
    <row r="3942" spans="1:5" x14ac:dyDescent="0.25">
      <c r="A3942" t="s">
        <v>1611</v>
      </c>
      <c r="B3942" t="s">
        <v>1103</v>
      </c>
      <c r="E3942" t="str">
        <f>IF(OR(E3941="&lt;/routeDistribution&gt;",E3941=""),"",IFERROR(_xlfn.CONCAT(VLOOKUP(BX34,Route_Column!#REF!,2,FALSE),CHAR(34)," probability=",CHAR(34),1/BX$4,CHAR(34),CHAR(47),CHAR(62)),"&lt;/routeDistribution&gt;"))</f>
        <v/>
      </c>
    </row>
    <row r="3943" spans="1:5" x14ac:dyDescent="0.25">
      <c r="A3943" t="s">
        <v>1611</v>
      </c>
      <c r="B3943" t="s">
        <v>1104</v>
      </c>
      <c r="E3943" t="str">
        <f>IF(OR(E3942="&lt;/routeDistribution&gt;",E3942=""),"",IFERROR(_xlfn.CONCAT(VLOOKUP(BX35,Route_Column!#REF!,2,FALSE),CHAR(34)," probability=",CHAR(34),1/BX$4,CHAR(34),CHAR(47),CHAR(62)),"&lt;/routeDistribution&gt;"))</f>
        <v/>
      </c>
    </row>
    <row r="3944" spans="1:5" x14ac:dyDescent="0.25">
      <c r="A3944" t="s">
        <v>1611</v>
      </c>
      <c r="B3944" t="s">
        <v>1105</v>
      </c>
      <c r="E3944" t="str">
        <f>IF(OR(E3943="&lt;/routeDistribution&gt;",E3943=""),"",IFERROR(_xlfn.CONCAT(VLOOKUP(BX36,Route_Column!#REF!,2,FALSE),CHAR(34)," probability=",CHAR(34),1/BX$4,CHAR(34),CHAR(47),CHAR(62)),"&lt;/routeDistribution&gt;"))</f>
        <v/>
      </c>
    </row>
    <row r="3945" spans="1:5" x14ac:dyDescent="0.25">
      <c r="A3945" t="s">
        <v>1611</v>
      </c>
      <c r="B3945" t="s">
        <v>1106</v>
      </c>
      <c r="E3945" t="str">
        <f>IF(OR(E3944="&lt;/routeDistribution&gt;",E3944=""),"",IFERROR(_xlfn.CONCAT(VLOOKUP(BX37,Route_Column!#REF!,2,FALSE),CHAR(34)," probability=",CHAR(34),1/BX$4,CHAR(34),CHAR(47),CHAR(62)),"&lt;/routeDistribution&gt;"))</f>
        <v/>
      </c>
    </row>
    <row r="3946" spans="1:5" x14ac:dyDescent="0.25">
      <c r="A3946" t="s">
        <v>1611</v>
      </c>
      <c r="B3946" t="s">
        <v>1107</v>
      </c>
      <c r="E3946" t="str">
        <f>IF(OR(E3945="&lt;/routeDistribution&gt;",E3945=""),"",IFERROR(_xlfn.CONCAT(VLOOKUP(BX38,Route_Column!#REF!,2,FALSE),CHAR(34)," probability=",CHAR(34),1/BX$4,CHAR(34),CHAR(47),CHAR(62)),"&lt;/routeDistribution&gt;"))</f>
        <v/>
      </c>
    </row>
    <row r="3947" spans="1:5" x14ac:dyDescent="0.25">
      <c r="A3947" t="s">
        <v>1611</v>
      </c>
      <c r="B3947" t="s">
        <v>1142</v>
      </c>
      <c r="E3947" t="str">
        <f>IF(OR(E3946="&lt;/routeDistribution&gt;",E3946=""),"",IFERROR(_xlfn.CONCAT(VLOOKUP(BX39,Route_Column!#REF!,2,FALSE),CHAR(34)," probability=",CHAR(34),1/BX$4,CHAR(34),CHAR(47),CHAR(62)),"&lt;/routeDistribution&gt;"))</f>
        <v/>
      </c>
    </row>
    <row r="3948" spans="1:5" x14ac:dyDescent="0.25">
      <c r="A3948" t="s">
        <v>1611</v>
      </c>
      <c r="B3948" t="s">
        <v>1148</v>
      </c>
      <c r="E3948" t="str">
        <f>IF(OR(E3947="&lt;/routeDistribution&gt;",E3947=""),"",IFERROR(_xlfn.CONCAT(VLOOKUP(BX40,Route_Column!#REF!,2,FALSE),CHAR(34)," probability=",CHAR(34),1/BX$4,CHAR(34),CHAR(47),CHAR(62)),"&lt;/routeDistribution&gt;"))</f>
        <v/>
      </c>
    </row>
    <row r="3949" spans="1:5" x14ac:dyDescent="0.25">
      <c r="A3949" t="s">
        <v>1611</v>
      </c>
      <c r="B3949" t="s">
        <v>1161</v>
      </c>
      <c r="E3949" t="str">
        <f>IF(OR(E3948="&lt;/routeDistribution&gt;",E3948=""),"",IFERROR(_xlfn.CONCAT(VLOOKUP(BX41,Route_Column!#REF!,2,FALSE),CHAR(34)," probability=",CHAR(34),1/BX$4,CHAR(34),CHAR(47),CHAR(62)),"&lt;/routeDistribution&gt;"))</f>
        <v/>
      </c>
    </row>
    <row r="3950" spans="1:5" x14ac:dyDescent="0.25">
      <c r="A3950" t="s">
        <v>1611</v>
      </c>
      <c r="B3950" t="s">
        <v>1162</v>
      </c>
      <c r="E3950" t="str">
        <f>IF(OR(E3949="&lt;/routeDistribution&gt;",E3949=""),"",IFERROR(_xlfn.CONCAT(VLOOKUP(BX42,Route_Column!#REF!,2,FALSE),CHAR(34)," probability=",CHAR(34),1/BX$4,CHAR(34),CHAR(47),CHAR(62)),"&lt;/routeDistribution&gt;"))</f>
        <v/>
      </c>
    </row>
    <row r="3951" spans="1:5" x14ac:dyDescent="0.25">
      <c r="A3951" t="s">
        <v>1611</v>
      </c>
      <c r="B3951" t="s">
        <v>1163</v>
      </c>
      <c r="E3951" t="str">
        <f>IF(OR(E3950="&lt;/routeDistribution&gt;",E3950=""),"",IFERROR(_xlfn.CONCAT(VLOOKUP(BX43,Route_Column!#REF!,2,FALSE),CHAR(34)," probability=",CHAR(34),1/BX$4,CHAR(34),CHAR(47),CHAR(62)),"&lt;/routeDistribution&gt;"))</f>
        <v/>
      </c>
    </row>
    <row r="3952" spans="1:5" x14ac:dyDescent="0.25">
      <c r="A3952" t="s">
        <v>1611</v>
      </c>
      <c r="B3952" t="s">
        <v>1164</v>
      </c>
      <c r="E3952" t="str">
        <f>IF(OR(E3951="&lt;/routeDistribution&gt;",E3951=""),"",IFERROR(_xlfn.CONCAT(VLOOKUP(BX44,Route_Column!#REF!,2,FALSE),CHAR(34)," probability=",CHAR(34),1/BX$4,CHAR(34),CHAR(47),CHAR(62)),"&lt;/routeDistribution&gt;"))</f>
        <v/>
      </c>
    </row>
    <row r="3953" spans="1:5" x14ac:dyDescent="0.25">
      <c r="A3953" t="s">
        <v>1611</v>
      </c>
      <c r="B3953" t="s">
        <v>1168</v>
      </c>
      <c r="E3953" t="str">
        <f>IF(OR(E3952="&lt;/routeDistribution&gt;",E3952=""),"",IFERROR(_xlfn.CONCAT(VLOOKUP(BX45,Route_Column!#REF!,2,FALSE),CHAR(34)," probability=",CHAR(34),1/BX$4,CHAR(34),CHAR(47),CHAR(62)),"&lt;/routeDistribution&gt;"))</f>
        <v/>
      </c>
    </row>
    <row r="3954" spans="1:5" x14ac:dyDescent="0.25">
      <c r="A3954" t="s">
        <v>1611</v>
      </c>
      <c r="B3954" t="s">
        <v>1169</v>
      </c>
      <c r="E3954" t="str">
        <f>IF(OR(E3953="&lt;/routeDistribution&gt;",E3953=""),"",IFERROR(_xlfn.CONCAT(VLOOKUP(BX46,Route_Column!#REF!,2,FALSE),CHAR(34)," probability=",CHAR(34),1/BX$4,CHAR(34),CHAR(47),CHAR(62)),"&lt;/routeDistribution&gt;"))</f>
        <v/>
      </c>
    </row>
    <row r="3955" spans="1:5" x14ac:dyDescent="0.25">
      <c r="A3955" t="s">
        <v>1611</v>
      </c>
      <c r="B3955" t="s">
        <v>1170</v>
      </c>
      <c r="E3955" t="str">
        <f>IF(OR(E3954="&lt;/routeDistribution&gt;",E3954=""),"",IFERROR(_xlfn.CONCAT(VLOOKUP(BX47,Route_Column!#REF!,2,FALSE),CHAR(34)," probability=",CHAR(34),1/BX$4,CHAR(34),CHAR(47),CHAR(62)),"&lt;/routeDistribution&gt;"))</f>
        <v/>
      </c>
    </row>
    <row r="3956" spans="1:5" x14ac:dyDescent="0.25">
      <c r="A3956" t="s">
        <v>1611</v>
      </c>
      <c r="B3956" t="s">
        <v>1178</v>
      </c>
      <c r="E3956" t="str">
        <f>IF(OR(E3955="&lt;/routeDistribution&gt;",E3955=""),"",IFERROR(_xlfn.CONCAT(VLOOKUP(BX48,Route_Column!#REF!,2,FALSE),CHAR(34)," probability=",CHAR(34),1/BX$4,CHAR(34),CHAR(47),CHAR(62)),"&lt;/routeDistribution&gt;"))</f>
        <v/>
      </c>
    </row>
    <row r="3957" spans="1:5" x14ac:dyDescent="0.25">
      <c r="A3957" t="s">
        <v>1611</v>
      </c>
      <c r="B3957" t="s">
        <v>1196</v>
      </c>
      <c r="E3957" t="str">
        <f>IF(OR(E3956="&lt;/routeDistribution&gt;",E3956=""),"",IFERROR(_xlfn.CONCAT(VLOOKUP(BX49,Route_Column!#REF!,2,FALSE),CHAR(34)," probability=",CHAR(34),1/BX$4,CHAR(34),CHAR(47),CHAR(62)),"&lt;/routeDistribution&gt;"))</f>
        <v/>
      </c>
    </row>
    <row r="3958" spans="1:5" x14ac:dyDescent="0.25">
      <c r="A3958" t="s">
        <v>1611</v>
      </c>
      <c r="B3958" t="s">
        <v>1202</v>
      </c>
      <c r="E3958" t="str">
        <f>IF(OR(E3957="&lt;/routeDistribution&gt;",E3957=""),"",IFERROR(_xlfn.CONCAT(VLOOKUP(BX50,Route_Column!#REF!,2,FALSE),CHAR(34)," probability=",CHAR(34),1/BX$4,CHAR(34),CHAR(47),CHAR(62)),"&lt;/routeDistribution&gt;"))</f>
        <v/>
      </c>
    </row>
    <row r="3959" spans="1:5" x14ac:dyDescent="0.25">
      <c r="A3959" t="s">
        <v>1611</v>
      </c>
      <c r="B3959" t="s">
        <v>1235</v>
      </c>
      <c r="E3959" t="str">
        <f>IF(OR(E3958="&lt;/routeDistribution&gt;",E3958=""),"",IFERROR(_xlfn.CONCAT(VLOOKUP(BX51,Route_Column!#REF!,2,FALSE),CHAR(34)," probability=",CHAR(34),1/BX$4,CHAR(34),CHAR(47),CHAR(62)),"&lt;/routeDistribution&gt;"))</f>
        <v/>
      </c>
    </row>
    <row r="3960" spans="1:5" x14ac:dyDescent="0.25">
      <c r="A3960" t="s">
        <v>1611</v>
      </c>
      <c r="B3960" t="s">
        <v>1236</v>
      </c>
      <c r="E3960" t="str">
        <f>IF(OR(E3959="&lt;/routeDistribution&gt;",E3959=""),"",IFERROR(_xlfn.CONCAT(VLOOKUP(BX52,Route_Column!#REF!,2,FALSE),CHAR(34)," probability=",CHAR(34),1/BX$4,CHAR(34),CHAR(47),CHAR(62)),"&lt;/routeDistribution&gt;"))</f>
        <v/>
      </c>
    </row>
    <row r="3961" spans="1:5" x14ac:dyDescent="0.25">
      <c r="A3961" t="s">
        <v>1611</v>
      </c>
      <c r="B3961" t="s">
        <v>1237</v>
      </c>
      <c r="E3961" t="str">
        <f>IF(OR(E3960="&lt;/routeDistribution&gt;",E3960=""),"",IFERROR(_xlfn.CONCAT(VLOOKUP(BX53,Route_Column!#REF!,2,FALSE),CHAR(34)," probability=",CHAR(34),1/BX$4,CHAR(34),CHAR(47),CHAR(62)),"&lt;/routeDistribution&gt;"))</f>
        <v/>
      </c>
    </row>
    <row r="3962" spans="1:5" x14ac:dyDescent="0.25">
      <c r="A3962" t="s">
        <v>1611</v>
      </c>
      <c r="B3962" t="s">
        <v>1238</v>
      </c>
      <c r="E3962" t="str">
        <f>IF(OR(E3961="&lt;/routeDistribution&gt;",E3961=""),"",IFERROR(_xlfn.CONCAT(VLOOKUP(BX54,Route_Column!#REF!,2,FALSE),CHAR(34)," probability=",CHAR(34),1/BX$4,CHAR(34),CHAR(47),CHAR(62)),"&lt;/routeDistribution&gt;"))</f>
        <v/>
      </c>
    </row>
    <row r="3963" spans="1:5" x14ac:dyDescent="0.25">
      <c r="A3963" t="s">
        <v>1611</v>
      </c>
      <c r="B3963" t="s">
        <v>1239</v>
      </c>
      <c r="E3963" t="str">
        <f>IF(OR(E3962="&lt;/routeDistribution&gt;",E3962=""),"",IFERROR(_xlfn.CONCAT(VLOOKUP(BX55,Route_Column!#REF!,2,FALSE),CHAR(34)," probability=",CHAR(34),1/BX$4,CHAR(34),CHAR(47),CHAR(62)),"&lt;/routeDistribution&gt;"))</f>
        <v/>
      </c>
    </row>
    <row r="3964" spans="1:5" x14ac:dyDescent="0.25">
      <c r="A3964" t="s">
        <v>1611</v>
      </c>
      <c r="B3964" t="s">
        <v>1240</v>
      </c>
      <c r="E3964" t="str">
        <f>IF(OR(E3963="&lt;/routeDistribution&gt;",E3963=""),"",IFERROR(_xlfn.CONCAT(VLOOKUP(BX56,Route_Column!#REF!,2,FALSE),CHAR(34)," probability=",CHAR(34),1/BX$4,CHAR(34),CHAR(47),CHAR(62)),"&lt;/routeDistribution&gt;"))</f>
        <v/>
      </c>
    </row>
    <row r="3965" spans="1:5" x14ac:dyDescent="0.25">
      <c r="A3965" s="11" t="s">
        <v>1492</v>
      </c>
      <c r="B3965" t="s">
        <v>1091</v>
      </c>
      <c r="E3965" t="str">
        <f>IF(OR(E3964="&lt;/routeDistribution&gt;",E3964=""),"",IFERROR(_xlfn.CONCAT(VLOOKUP(BX57,Route_Column!#REF!,2,FALSE),CHAR(34)," probability=",CHAR(34),1/BX$4,CHAR(34),CHAR(47),CHAR(62)),"&lt;/routeDistribution&gt;"))</f>
        <v/>
      </c>
    </row>
    <row r="3966" spans="1:5" x14ac:dyDescent="0.25">
      <c r="A3966" t="s">
        <v>1492</v>
      </c>
      <c r="B3966" t="s">
        <v>1092</v>
      </c>
      <c r="E3966" t="str">
        <f>IF(OR(E3965="&lt;/routeDistribution&gt;",E3965=""),"",IFERROR(_xlfn.CONCAT(VLOOKUP(BX58,Route_Column!#REF!,2,FALSE),CHAR(34)," probability=",CHAR(34),1/BX$4,CHAR(34),CHAR(47),CHAR(62)),"&lt;/routeDistribution&gt;"))</f>
        <v/>
      </c>
    </row>
    <row r="3967" spans="1:5" x14ac:dyDescent="0.25">
      <c r="A3967" t="s">
        <v>1492</v>
      </c>
      <c r="B3967" t="s">
        <v>1093</v>
      </c>
      <c r="E3967" t="str">
        <f>IF(OR(E3966="&lt;/routeDistribution&gt;",E3966=""),"",IFERROR(_xlfn.CONCAT(VLOOKUP(BX59,Route_Column!#REF!,2,FALSE),CHAR(34)," probability=",CHAR(34),1/BX$4,CHAR(34),CHAR(47),CHAR(62)),"&lt;/routeDistribution&gt;"))</f>
        <v/>
      </c>
    </row>
    <row r="3968" spans="1:5" x14ac:dyDescent="0.25">
      <c r="A3968" t="s">
        <v>1492</v>
      </c>
      <c r="B3968" t="s">
        <v>1094</v>
      </c>
      <c r="E3968" t="str">
        <f>IF(OR(E3967="&lt;/routeDistribution&gt;",E3967=""),"",IFERROR(_xlfn.CONCAT(VLOOKUP(BX60,Route_Column!#REF!,2,FALSE),CHAR(34)," probability=",CHAR(34),1/BX$4,CHAR(34),CHAR(47),CHAR(62)),"&lt;/routeDistribution&gt;"))</f>
        <v/>
      </c>
    </row>
    <row r="3969" spans="1:5" x14ac:dyDescent="0.25">
      <c r="A3969" t="s">
        <v>1492</v>
      </c>
      <c r="B3969" t="s">
        <v>1095</v>
      </c>
      <c r="E3969" t="str">
        <f>IF(OR(E3968="&lt;/routeDistribution&gt;",E3968=""),"",IFERROR(_xlfn.CONCAT(VLOOKUP(BX61,Route_Column!#REF!,2,FALSE),CHAR(34)," probability=",CHAR(34),1/BX$4,CHAR(34),CHAR(47),CHAR(62)),"&lt;/routeDistribution&gt;"))</f>
        <v/>
      </c>
    </row>
    <row r="3970" spans="1:5" x14ac:dyDescent="0.25">
      <c r="A3970" t="s">
        <v>1492</v>
      </c>
      <c r="B3970" t="s">
        <v>1096</v>
      </c>
      <c r="E3970" t="str">
        <f>IF(OR(E3969="&lt;/routeDistribution&gt;",E3969=""),"",IFERROR(_xlfn.CONCAT(VLOOKUP(BX62,Route_Column!#REF!,2,FALSE),CHAR(34)," probability=",CHAR(34),1/BX$4,CHAR(34),CHAR(47),CHAR(62)),"&lt;/routeDistribution&gt;"))</f>
        <v/>
      </c>
    </row>
    <row r="3971" spans="1:5" x14ac:dyDescent="0.25">
      <c r="A3971" t="s">
        <v>1492</v>
      </c>
      <c r="B3971" t="s">
        <v>1097</v>
      </c>
      <c r="E3971" t="str">
        <f>IF(OR(E3970="&lt;/routeDistribution&gt;",E3970=""),"",IFERROR(_xlfn.CONCAT(VLOOKUP(BX63,Route_Column!#REF!,2,FALSE),CHAR(34)," probability=",CHAR(34),1/BX$4,CHAR(34),CHAR(47),CHAR(62)),"&lt;/routeDistribution&gt;"))</f>
        <v/>
      </c>
    </row>
    <row r="3972" spans="1:5" x14ac:dyDescent="0.25">
      <c r="A3972" t="s">
        <v>1492</v>
      </c>
      <c r="B3972" t="s">
        <v>1098</v>
      </c>
      <c r="E3972" t="s">
        <v>2686</v>
      </c>
    </row>
    <row r="3973" spans="1:5" x14ac:dyDescent="0.25">
      <c r="A3973" t="s">
        <v>1492</v>
      </c>
      <c r="B3973" t="s">
        <v>1099</v>
      </c>
    </row>
    <row r="3974" spans="1:5" x14ac:dyDescent="0.25">
      <c r="A3974" t="s">
        <v>1492</v>
      </c>
      <c r="B3974" t="s">
        <v>1100</v>
      </c>
    </row>
    <row r="3975" spans="1:5" x14ac:dyDescent="0.25">
      <c r="A3975" t="s">
        <v>1492</v>
      </c>
      <c r="B3975" t="s">
        <v>1101</v>
      </c>
      <c r="E3975" t="str">
        <f>_xlfn.CONCAT($E$1,BW$2,$F$1)</f>
        <v>&lt;routeDistribution id="76-to-676-EB-2010-RouteProbe"&gt;</v>
      </c>
    </row>
    <row r="3976" spans="1:5" x14ac:dyDescent="0.25">
      <c r="A3976" t="s">
        <v>1492</v>
      </c>
      <c r="B3976" t="s">
        <v>1102</v>
      </c>
      <c r="E3976" t="str">
        <f>IF(OR(E3975="&lt;/routeDistribution&gt;",E3975=""),"",IFERROR(_xlfn.CONCAT(VLOOKUP(BW5,Route_Column!#REF!,2,FALSE),CHAR(34)," probability=",CHAR(34),1/BW$4,CHAR(34),CHAR(47),CHAR(62)),"&lt;/routeDistribution&gt;"))</f>
        <v>&lt;/routeDistribution&gt;</v>
      </c>
    </row>
    <row r="3977" spans="1:5" x14ac:dyDescent="0.25">
      <c r="A3977" t="s">
        <v>1492</v>
      </c>
      <c r="B3977" t="s">
        <v>1103</v>
      </c>
      <c r="E3977" t="str">
        <f>IF(OR(E3976="&lt;/routeDistribution&gt;",E3976=""),"",IFERROR(_xlfn.CONCAT(VLOOKUP(BW6,Route_Column!#REF!,2,FALSE),CHAR(34)," probability=",CHAR(34),1/BW$4,CHAR(34),CHAR(47),CHAR(62)),"&lt;/routeDistribution&gt;"))</f>
        <v/>
      </c>
    </row>
    <row r="3978" spans="1:5" x14ac:dyDescent="0.25">
      <c r="A3978" t="s">
        <v>1492</v>
      </c>
      <c r="B3978" t="s">
        <v>1104</v>
      </c>
      <c r="E3978" t="str">
        <f>IF(OR(E3977="&lt;/routeDistribution&gt;",E3977=""),"",IFERROR(_xlfn.CONCAT(VLOOKUP(BW7,Route_Column!#REF!,2,FALSE),CHAR(34)," probability=",CHAR(34),1/BW$4,CHAR(34),CHAR(47),CHAR(62)),"&lt;/routeDistribution&gt;"))</f>
        <v/>
      </c>
    </row>
    <row r="3979" spans="1:5" x14ac:dyDescent="0.25">
      <c r="A3979" t="s">
        <v>1492</v>
      </c>
      <c r="B3979" t="s">
        <v>1105</v>
      </c>
      <c r="E3979" t="str">
        <f>IF(OR(E3978="&lt;/routeDistribution&gt;",E3978=""),"",IFERROR(_xlfn.CONCAT(VLOOKUP(BW8,Route_Column!#REF!,2,FALSE),CHAR(34)," probability=",CHAR(34),1/BW$4,CHAR(34),CHAR(47),CHAR(62)),"&lt;/routeDistribution&gt;"))</f>
        <v/>
      </c>
    </row>
    <row r="3980" spans="1:5" x14ac:dyDescent="0.25">
      <c r="A3980" t="s">
        <v>1492</v>
      </c>
      <c r="B3980" t="s">
        <v>1106</v>
      </c>
      <c r="E3980" t="str">
        <f>IF(OR(E3979="&lt;/routeDistribution&gt;",E3979=""),"",IFERROR(_xlfn.CONCAT(VLOOKUP(BW9,Route_Column!#REF!,2,FALSE),CHAR(34)," probability=",CHAR(34),1/BW$4,CHAR(34),CHAR(47),CHAR(62)),"&lt;/routeDistribution&gt;"))</f>
        <v/>
      </c>
    </row>
    <row r="3981" spans="1:5" x14ac:dyDescent="0.25">
      <c r="A3981" t="s">
        <v>1492</v>
      </c>
      <c r="B3981" t="s">
        <v>1107</v>
      </c>
      <c r="E3981" t="str">
        <f>IF(OR(E3980="&lt;/routeDistribution&gt;",E3980=""),"",IFERROR(_xlfn.CONCAT(VLOOKUP(BW10,Route_Column!#REF!,2,FALSE),CHAR(34)," probability=",CHAR(34),1/BW$4,CHAR(34),CHAR(47),CHAR(62)),"&lt;/routeDistribution&gt;"))</f>
        <v/>
      </c>
    </row>
    <row r="3982" spans="1:5" x14ac:dyDescent="0.25">
      <c r="A3982" t="s">
        <v>1695</v>
      </c>
      <c r="B3982" t="s">
        <v>1100</v>
      </c>
      <c r="E3982" t="str">
        <f>IF(OR(E3981="&lt;/routeDistribution&gt;",E3981=""),"",IFERROR(_xlfn.CONCAT(VLOOKUP(BW11,Route_Column!#REF!,2,FALSE),CHAR(34)," probability=",CHAR(34),1/BW$4,CHAR(34),CHAR(47),CHAR(62)),"&lt;/routeDistribution&gt;"))</f>
        <v/>
      </c>
    </row>
    <row r="3983" spans="1:5" x14ac:dyDescent="0.25">
      <c r="A3983" t="s">
        <v>1695</v>
      </c>
      <c r="B3983" t="s">
        <v>1101</v>
      </c>
      <c r="E3983" t="str">
        <f>IF(OR(E3982="&lt;/routeDistribution&gt;",E3982=""),"",IFERROR(_xlfn.CONCAT(VLOOKUP(BW12,Route_Column!#REF!,2,FALSE),CHAR(34)," probability=",CHAR(34),1/BW$4,CHAR(34),CHAR(47),CHAR(62)),"&lt;/routeDistribution&gt;"))</f>
        <v/>
      </c>
    </row>
    <row r="3984" spans="1:5" x14ac:dyDescent="0.25">
      <c r="A3984" t="s">
        <v>1695</v>
      </c>
      <c r="B3984" t="s">
        <v>1102</v>
      </c>
      <c r="E3984" t="str">
        <f>IF(OR(E3983="&lt;/routeDistribution&gt;",E3983=""),"",IFERROR(_xlfn.CONCAT(VLOOKUP(BW13,Route_Column!#REF!,2,FALSE),CHAR(34)," probability=",CHAR(34),1/BW$4,CHAR(34),CHAR(47),CHAR(62)),"&lt;/routeDistribution&gt;"))</f>
        <v/>
      </c>
    </row>
    <row r="3985" spans="1:5" x14ac:dyDescent="0.25">
      <c r="A3985" t="s">
        <v>1695</v>
      </c>
      <c r="B3985" t="s">
        <v>1103</v>
      </c>
      <c r="E3985" t="str">
        <f>IF(OR(E3984="&lt;/routeDistribution&gt;",E3984=""),"",IFERROR(_xlfn.CONCAT(VLOOKUP(BW14,Route_Column!#REF!,2,FALSE),CHAR(34)," probability=",CHAR(34),1/BW$4,CHAR(34),CHAR(47),CHAR(62)),"&lt;/routeDistribution&gt;"))</f>
        <v/>
      </c>
    </row>
    <row r="3986" spans="1:5" x14ac:dyDescent="0.25">
      <c r="A3986" t="s">
        <v>1695</v>
      </c>
      <c r="B3986" t="s">
        <v>1104</v>
      </c>
      <c r="E3986" t="str">
        <f>IF(OR(E3985="&lt;/routeDistribution&gt;",E3985=""),"",IFERROR(_xlfn.CONCAT(VLOOKUP(BW15,Route_Column!#REF!,2,FALSE),CHAR(34)," probability=",CHAR(34),1/BW$4,CHAR(34),CHAR(47),CHAR(62)),"&lt;/routeDistribution&gt;"))</f>
        <v/>
      </c>
    </row>
    <row r="3987" spans="1:5" x14ac:dyDescent="0.25">
      <c r="A3987" t="s">
        <v>1695</v>
      </c>
      <c r="B3987" t="s">
        <v>1105</v>
      </c>
      <c r="E3987" t="str">
        <f>IF(OR(E3986="&lt;/routeDistribution&gt;",E3986=""),"",IFERROR(_xlfn.CONCAT(VLOOKUP(BW16,Route_Column!#REF!,2,FALSE),CHAR(34)," probability=",CHAR(34),1/BW$4,CHAR(34),CHAR(47),CHAR(62)),"&lt;/routeDistribution&gt;"))</f>
        <v/>
      </c>
    </row>
    <row r="3988" spans="1:5" x14ac:dyDescent="0.25">
      <c r="A3988" t="s">
        <v>1695</v>
      </c>
      <c r="B3988" t="s">
        <v>1106</v>
      </c>
      <c r="E3988" t="str">
        <f>IF(OR(E3987="&lt;/routeDistribution&gt;",E3987=""),"",IFERROR(_xlfn.CONCAT(VLOOKUP(BW17,Route_Column!#REF!,2,FALSE),CHAR(34)," probability=",CHAR(34),1/BW$4,CHAR(34),CHAR(47),CHAR(62)),"&lt;/routeDistribution&gt;"))</f>
        <v/>
      </c>
    </row>
    <row r="3989" spans="1:5" x14ac:dyDescent="0.25">
      <c r="A3989" t="s">
        <v>1695</v>
      </c>
      <c r="B3989" t="s">
        <v>1107</v>
      </c>
      <c r="E3989" t="str">
        <f>IF(OR(E3988="&lt;/routeDistribution&gt;",E3988=""),"",IFERROR(_xlfn.CONCAT(VLOOKUP(BW18,Route_Column!#REF!,2,FALSE),CHAR(34)," probability=",CHAR(34),1/BW$4,CHAR(34),CHAR(47),CHAR(62)),"&lt;/routeDistribution&gt;"))</f>
        <v/>
      </c>
    </row>
    <row r="3990" spans="1:5" x14ac:dyDescent="0.25">
      <c r="A3990" t="s">
        <v>1695</v>
      </c>
      <c r="B3990" t="s">
        <v>1142</v>
      </c>
      <c r="E3990" t="str">
        <f>IF(OR(E3989="&lt;/routeDistribution&gt;",E3989=""),"",IFERROR(_xlfn.CONCAT(VLOOKUP(BW19,Route_Column!#REF!,2,FALSE),CHAR(34)," probability=",CHAR(34),1/BW$4,CHAR(34),CHAR(47),CHAR(62)),"&lt;/routeDistribution&gt;"))</f>
        <v/>
      </c>
    </row>
    <row r="3991" spans="1:5" x14ac:dyDescent="0.25">
      <c r="A3991" t="s">
        <v>1695</v>
      </c>
      <c r="B3991" t="s">
        <v>1148</v>
      </c>
      <c r="E3991" t="str">
        <f>IF(OR(E3990="&lt;/routeDistribution&gt;",E3990=""),"",IFERROR(_xlfn.CONCAT(VLOOKUP(BW20,Route_Column!#REF!,2,FALSE),CHAR(34)," probability=",CHAR(34),1/BW$4,CHAR(34),CHAR(47),CHAR(62)),"&lt;/routeDistribution&gt;"))</f>
        <v/>
      </c>
    </row>
    <row r="3992" spans="1:5" x14ac:dyDescent="0.25">
      <c r="A3992" t="s">
        <v>1695</v>
      </c>
      <c r="B3992" t="s">
        <v>1161</v>
      </c>
      <c r="E3992" t="str">
        <f>IF(OR(E3991="&lt;/routeDistribution&gt;",E3991=""),"",IFERROR(_xlfn.CONCAT(VLOOKUP(BW21,Route_Column!#REF!,2,FALSE),CHAR(34)," probability=",CHAR(34),1/BW$4,CHAR(34),CHAR(47),CHAR(62)),"&lt;/routeDistribution&gt;"))</f>
        <v/>
      </c>
    </row>
    <row r="3993" spans="1:5" x14ac:dyDescent="0.25">
      <c r="A3993" t="s">
        <v>1695</v>
      </c>
      <c r="B3993" t="s">
        <v>1162</v>
      </c>
      <c r="E3993" t="str">
        <f>IF(OR(E3992="&lt;/routeDistribution&gt;",E3992=""),"",IFERROR(_xlfn.CONCAT(VLOOKUP(BW22,Route_Column!#REF!,2,FALSE),CHAR(34)," probability=",CHAR(34),1/BW$4,CHAR(34),CHAR(47),CHAR(62)),"&lt;/routeDistribution&gt;"))</f>
        <v/>
      </c>
    </row>
    <row r="3994" spans="1:5" x14ac:dyDescent="0.25">
      <c r="A3994" t="s">
        <v>1695</v>
      </c>
      <c r="B3994" t="s">
        <v>1164</v>
      </c>
      <c r="E3994" t="str">
        <f>IF(OR(E3993="&lt;/routeDistribution&gt;",E3993=""),"",IFERROR(_xlfn.CONCAT(VLOOKUP(BW23,Route_Column!#REF!,2,FALSE),CHAR(34)," probability=",CHAR(34),1/BW$4,CHAR(34),CHAR(47),CHAR(62)),"&lt;/routeDistribution&gt;"))</f>
        <v/>
      </c>
    </row>
    <row r="3995" spans="1:5" x14ac:dyDescent="0.25">
      <c r="A3995" t="s">
        <v>1695</v>
      </c>
      <c r="B3995" t="s">
        <v>1169</v>
      </c>
      <c r="E3995" t="str">
        <f>IF(OR(E3994="&lt;/routeDistribution&gt;",E3994=""),"",IFERROR(_xlfn.CONCAT(VLOOKUP(BW24,Route_Column!#REF!,2,FALSE),CHAR(34)," probability=",CHAR(34),1/BW$4,CHAR(34),CHAR(47),CHAR(62)),"&lt;/routeDistribution&gt;"))</f>
        <v/>
      </c>
    </row>
    <row r="3996" spans="1:5" x14ac:dyDescent="0.25">
      <c r="A3996" t="s">
        <v>1695</v>
      </c>
      <c r="B3996" t="s">
        <v>1178</v>
      </c>
      <c r="E3996" t="str">
        <f>IF(OR(E3995="&lt;/routeDistribution&gt;",E3995=""),"",IFERROR(_xlfn.CONCAT(VLOOKUP(BW25,Route_Column!#REF!,2,FALSE),CHAR(34)," probability=",CHAR(34),1/BW$4,CHAR(34),CHAR(47),CHAR(62)),"&lt;/routeDistribution&gt;"))</f>
        <v/>
      </c>
    </row>
    <row r="3997" spans="1:5" x14ac:dyDescent="0.25">
      <c r="A3997" t="s">
        <v>1695</v>
      </c>
      <c r="B3997" t="s">
        <v>1202</v>
      </c>
      <c r="E3997" t="str">
        <f>IF(OR(E3996="&lt;/routeDistribution&gt;",E3996=""),"",IFERROR(_xlfn.CONCAT(VLOOKUP(BW26,Route_Column!#REF!,2,FALSE),CHAR(34)," probability=",CHAR(34),1/BW$4,CHAR(34),CHAR(47),CHAR(62)),"&lt;/routeDistribution&gt;"))</f>
        <v/>
      </c>
    </row>
    <row r="3998" spans="1:5" x14ac:dyDescent="0.25">
      <c r="A3998" t="s">
        <v>1695</v>
      </c>
      <c r="B3998" t="s">
        <v>1235</v>
      </c>
      <c r="E3998" t="str">
        <f>IF(OR(E3997="&lt;/routeDistribution&gt;",E3997=""),"",IFERROR(_xlfn.CONCAT(VLOOKUP(BW27,Route_Column!#REF!,2,FALSE),CHAR(34)," probability=",CHAR(34),1/BW$4,CHAR(34),CHAR(47),CHAR(62)),"&lt;/routeDistribution&gt;"))</f>
        <v/>
      </c>
    </row>
    <row r="3999" spans="1:5" x14ac:dyDescent="0.25">
      <c r="A3999" t="s">
        <v>1695</v>
      </c>
      <c r="B3999" t="s">
        <v>1236</v>
      </c>
      <c r="E3999" t="str">
        <f>IF(OR(E3998="&lt;/routeDistribution&gt;",E3998=""),"",IFERROR(_xlfn.CONCAT(VLOOKUP(BW28,Route_Column!#REF!,2,FALSE),CHAR(34)," probability=",CHAR(34),1/BW$4,CHAR(34),CHAR(47),CHAR(62)),"&lt;/routeDistribution&gt;"))</f>
        <v/>
      </c>
    </row>
    <row r="4000" spans="1:5" x14ac:dyDescent="0.25">
      <c r="A4000" t="s">
        <v>1695</v>
      </c>
      <c r="B4000" t="s">
        <v>1237</v>
      </c>
      <c r="E4000" t="str">
        <f>IF(OR(E3999="&lt;/routeDistribution&gt;",E3999=""),"",IFERROR(_xlfn.CONCAT(VLOOKUP(BW29,Route_Column!#REF!,2,FALSE),CHAR(34)," probability=",CHAR(34),1/BW$4,CHAR(34),CHAR(47),CHAR(62)),"&lt;/routeDistribution&gt;"))</f>
        <v/>
      </c>
    </row>
    <row r="4001" spans="1:5" x14ac:dyDescent="0.25">
      <c r="A4001" t="s">
        <v>1695</v>
      </c>
      <c r="B4001" t="s">
        <v>1238</v>
      </c>
      <c r="E4001" t="str">
        <f>IF(OR(E4000="&lt;/routeDistribution&gt;",E4000=""),"",IFERROR(_xlfn.CONCAT(VLOOKUP(BW30,Route_Column!#REF!,2,FALSE),CHAR(34)," probability=",CHAR(34),1/BW$4,CHAR(34),CHAR(47),CHAR(62)),"&lt;/routeDistribution&gt;"))</f>
        <v/>
      </c>
    </row>
    <row r="4002" spans="1:5" x14ac:dyDescent="0.25">
      <c r="A4002" t="s">
        <v>1695</v>
      </c>
      <c r="B4002" t="s">
        <v>1239</v>
      </c>
      <c r="E4002" t="str">
        <f>IF(OR(E4001="&lt;/routeDistribution&gt;",E4001=""),"",IFERROR(_xlfn.CONCAT(VLOOKUP(BW31,Route_Column!#REF!,2,FALSE),CHAR(34)," probability=",CHAR(34),1/BW$4,CHAR(34),CHAR(47),CHAR(62)),"&lt;/routeDistribution&gt;"))</f>
        <v/>
      </c>
    </row>
    <row r="4003" spans="1:5" x14ac:dyDescent="0.25">
      <c r="A4003" t="s">
        <v>1695</v>
      </c>
      <c r="B4003" t="s">
        <v>1240</v>
      </c>
      <c r="E4003" t="str">
        <f>IF(OR(E4002="&lt;/routeDistribution&gt;",E4002=""),"",IFERROR(_xlfn.CONCAT(VLOOKUP(BW32,Route_Column!#REF!,2,FALSE),CHAR(34)," probability=",CHAR(34),1/BW$4,CHAR(34),CHAR(47),CHAR(62)),"&lt;/routeDistribution&gt;"))</f>
        <v/>
      </c>
    </row>
    <row r="4004" spans="1:5" x14ac:dyDescent="0.25">
      <c r="A4004" s="11" t="s">
        <v>1491</v>
      </c>
      <c r="B4004" t="s">
        <v>1091</v>
      </c>
      <c r="E4004" t="str">
        <f>IF(OR(E4003="&lt;/routeDistribution&gt;",E4003=""),"",IFERROR(_xlfn.CONCAT(VLOOKUP(BW33,Route_Column!#REF!,2,FALSE),CHAR(34)," probability=",CHAR(34),1/BW$4,CHAR(34),CHAR(47),CHAR(62)),"&lt;/routeDistribution&gt;"))</f>
        <v/>
      </c>
    </row>
    <row r="4005" spans="1:5" x14ac:dyDescent="0.25">
      <c r="A4005" t="s">
        <v>1491</v>
      </c>
      <c r="B4005" t="s">
        <v>1092</v>
      </c>
      <c r="E4005" t="str">
        <f>IF(OR(E4004="&lt;/routeDistribution&gt;",E4004=""),"",IFERROR(_xlfn.CONCAT(VLOOKUP(BW34,Route_Column!#REF!,2,FALSE),CHAR(34)," probability=",CHAR(34),1/BW$4,CHAR(34),CHAR(47),CHAR(62)),"&lt;/routeDistribution&gt;"))</f>
        <v/>
      </c>
    </row>
    <row r="4006" spans="1:5" x14ac:dyDescent="0.25">
      <c r="A4006" t="s">
        <v>1491</v>
      </c>
      <c r="B4006" t="s">
        <v>1093</v>
      </c>
      <c r="E4006" t="str">
        <f>IF(OR(E4005="&lt;/routeDistribution&gt;",E4005=""),"",IFERROR(_xlfn.CONCAT(VLOOKUP(BW35,Route_Column!#REF!,2,FALSE),CHAR(34)," probability=",CHAR(34),1/BW$4,CHAR(34),CHAR(47),CHAR(62)),"&lt;/routeDistribution&gt;"))</f>
        <v/>
      </c>
    </row>
    <row r="4007" spans="1:5" x14ac:dyDescent="0.25">
      <c r="A4007" t="s">
        <v>1491</v>
      </c>
      <c r="B4007" t="s">
        <v>1094</v>
      </c>
      <c r="E4007" t="str">
        <f>IF(OR(E4006="&lt;/routeDistribution&gt;",E4006=""),"",IFERROR(_xlfn.CONCAT(VLOOKUP(BW36,Route_Column!#REF!,2,FALSE),CHAR(34)," probability=",CHAR(34),1/BW$4,CHAR(34),CHAR(47),CHAR(62)),"&lt;/routeDistribution&gt;"))</f>
        <v/>
      </c>
    </row>
    <row r="4008" spans="1:5" x14ac:dyDescent="0.25">
      <c r="A4008" t="s">
        <v>1491</v>
      </c>
      <c r="B4008" t="s">
        <v>1095</v>
      </c>
      <c r="E4008" t="str">
        <f>IF(OR(E4007="&lt;/routeDistribution&gt;",E4007=""),"",IFERROR(_xlfn.CONCAT(VLOOKUP(BW37,Route_Column!#REF!,2,FALSE),CHAR(34)," probability=",CHAR(34),1/BW$4,CHAR(34),CHAR(47),CHAR(62)),"&lt;/routeDistribution&gt;"))</f>
        <v/>
      </c>
    </row>
    <row r="4009" spans="1:5" x14ac:dyDescent="0.25">
      <c r="A4009" t="s">
        <v>1491</v>
      </c>
      <c r="B4009" t="s">
        <v>1096</v>
      </c>
      <c r="E4009" t="str">
        <f>IF(OR(E4008="&lt;/routeDistribution&gt;",E4008=""),"",IFERROR(_xlfn.CONCAT(VLOOKUP(BW38,Route_Column!#REF!,2,FALSE),CHAR(34)," probability=",CHAR(34),1/BW$4,CHAR(34),CHAR(47),CHAR(62)),"&lt;/routeDistribution&gt;"))</f>
        <v/>
      </c>
    </row>
    <row r="4010" spans="1:5" x14ac:dyDescent="0.25">
      <c r="A4010" t="s">
        <v>1491</v>
      </c>
      <c r="B4010" t="s">
        <v>1097</v>
      </c>
      <c r="E4010" t="str">
        <f>IF(OR(E4009="&lt;/routeDistribution&gt;",E4009=""),"",IFERROR(_xlfn.CONCAT(VLOOKUP(BW39,Route_Column!#REF!,2,FALSE),CHAR(34)," probability=",CHAR(34),1/BW$4,CHAR(34),CHAR(47),CHAR(62)),"&lt;/routeDistribution&gt;"))</f>
        <v/>
      </c>
    </row>
    <row r="4011" spans="1:5" x14ac:dyDescent="0.25">
      <c r="A4011" t="s">
        <v>1491</v>
      </c>
      <c r="B4011" t="s">
        <v>1098</v>
      </c>
      <c r="E4011" t="str">
        <f>IF(OR(E4010="&lt;/routeDistribution&gt;",E4010=""),"",IFERROR(_xlfn.CONCAT(VLOOKUP(BW40,Route_Column!#REF!,2,FALSE),CHAR(34)," probability=",CHAR(34),1/BW$4,CHAR(34),CHAR(47),CHAR(62)),"&lt;/routeDistribution&gt;"))</f>
        <v/>
      </c>
    </row>
    <row r="4012" spans="1:5" x14ac:dyDescent="0.25">
      <c r="A4012" t="s">
        <v>1491</v>
      </c>
      <c r="B4012" t="s">
        <v>1099</v>
      </c>
      <c r="E4012" t="str">
        <f>IF(OR(E4011="&lt;/routeDistribution&gt;",E4011=""),"",IFERROR(_xlfn.CONCAT(VLOOKUP(BW41,Route_Column!#REF!,2,FALSE),CHAR(34)," probability=",CHAR(34),1/BW$4,CHAR(34),CHAR(47),CHAR(62)),"&lt;/routeDistribution&gt;"))</f>
        <v/>
      </c>
    </row>
    <row r="4013" spans="1:5" x14ac:dyDescent="0.25">
      <c r="A4013" t="s">
        <v>1491</v>
      </c>
      <c r="B4013" t="s">
        <v>1100</v>
      </c>
      <c r="E4013" t="str">
        <f>IF(OR(E4012="&lt;/routeDistribution&gt;",E4012=""),"",IFERROR(_xlfn.CONCAT(VLOOKUP(BW42,Route_Column!#REF!,2,FALSE),CHAR(34)," probability=",CHAR(34),1/BW$4,CHAR(34),CHAR(47),CHAR(62)),"&lt;/routeDistribution&gt;"))</f>
        <v/>
      </c>
    </row>
    <row r="4014" spans="1:5" x14ac:dyDescent="0.25">
      <c r="A4014" t="s">
        <v>1491</v>
      </c>
      <c r="B4014" t="s">
        <v>1101</v>
      </c>
      <c r="E4014" t="str">
        <f>IF(OR(E4013="&lt;/routeDistribution&gt;",E4013=""),"",IFERROR(_xlfn.CONCAT(VLOOKUP(BW43,Route_Column!#REF!,2,FALSE),CHAR(34)," probability=",CHAR(34),1/BW$4,CHAR(34),CHAR(47),CHAR(62)),"&lt;/routeDistribution&gt;"))</f>
        <v/>
      </c>
    </row>
    <row r="4015" spans="1:5" x14ac:dyDescent="0.25">
      <c r="A4015" t="s">
        <v>1491</v>
      </c>
      <c r="B4015" t="s">
        <v>1102</v>
      </c>
      <c r="E4015" t="str">
        <f>IF(OR(E4014="&lt;/routeDistribution&gt;",E4014=""),"",IFERROR(_xlfn.CONCAT(VLOOKUP(BW44,Route_Column!#REF!,2,FALSE),CHAR(34)," probability=",CHAR(34),1/BW$4,CHAR(34),CHAR(47),CHAR(62)),"&lt;/routeDistribution&gt;"))</f>
        <v/>
      </c>
    </row>
    <row r="4016" spans="1:5" x14ac:dyDescent="0.25">
      <c r="A4016" t="s">
        <v>1491</v>
      </c>
      <c r="B4016" t="s">
        <v>1103</v>
      </c>
      <c r="E4016" t="str">
        <f>IF(OR(E4015="&lt;/routeDistribution&gt;",E4015=""),"",IFERROR(_xlfn.CONCAT(VLOOKUP(BW45,Route_Column!#REF!,2,FALSE),CHAR(34)," probability=",CHAR(34),1/BW$4,CHAR(34),CHAR(47),CHAR(62)),"&lt;/routeDistribution&gt;"))</f>
        <v/>
      </c>
    </row>
    <row r="4017" spans="1:5" x14ac:dyDescent="0.25">
      <c r="A4017" t="s">
        <v>1491</v>
      </c>
      <c r="B4017" t="s">
        <v>1104</v>
      </c>
      <c r="E4017" t="str">
        <f>IF(OR(E4016="&lt;/routeDistribution&gt;",E4016=""),"",IFERROR(_xlfn.CONCAT(VLOOKUP(BW46,Route_Column!#REF!,2,FALSE),CHAR(34)," probability=",CHAR(34),1/BW$4,CHAR(34),CHAR(47),CHAR(62)),"&lt;/routeDistribution&gt;"))</f>
        <v/>
      </c>
    </row>
    <row r="4018" spans="1:5" x14ac:dyDescent="0.25">
      <c r="A4018" t="s">
        <v>1491</v>
      </c>
      <c r="B4018" t="s">
        <v>1105</v>
      </c>
      <c r="E4018" t="str">
        <f>IF(OR(E4017="&lt;/routeDistribution&gt;",E4017=""),"",IFERROR(_xlfn.CONCAT(VLOOKUP(BW47,Route_Column!#REF!,2,FALSE),CHAR(34)," probability=",CHAR(34),1/BW$4,CHAR(34),CHAR(47),CHAR(62)),"&lt;/routeDistribution&gt;"))</f>
        <v/>
      </c>
    </row>
    <row r="4019" spans="1:5" x14ac:dyDescent="0.25">
      <c r="A4019" t="s">
        <v>1491</v>
      </c>
      <c r="B4019" t="s">
        <v>1106</v>
      </c>
      <c r="E4019" t="str">
        <f>IF(OR(E4018="&lt;/routeDistribution&gt;",E4018=""),"",IFERROR(_xlfn.CONCAT(VLOOKUP(BW48,Route_Column!#REF!,2,FALSE),CHAR(34)," probability=",CHAR(34),1/BW$4,CHAR(34),CHAR(47),CHAR(62)),"&lt;/routeDistribution&gt;"))</f>
        <v/>
      </c>
    </row>
    <row r="4020" spans="1:5" x14ac:dyDescent="0.25">
      <c r="A4020" t="s">
        <v>1491</v>
      </c>
      <c r="B4020" t="s">
        <v>1107</v>
      </c>
      <c r="E4020" t="str">
        <f>IF(OR(E4019="&lt;/routeDistribution&gt;",E4019=""),"",IFERROR(_xlfn.CONCAT(VLOOKUP(BW49,Route_Column!#REF!,2,FALSE),CHAR(34)," probability=",CHAR(34),1/BW$4,CHAR(34),CHAR(47),CHAR(62)),"&lt;/routeDistribution&gt;"))</f>
        <v/>
      </c>
    </row>
    <row r="4021" spans="1:5" x14ac:dyDescent="0.25">
      <c r="A4021" t="s">
        <v>1491</v>
      </c>
      <c r="B4021" t="s">
        <v>1235</v>
      </c>
      <c r="E4021" t="str">
        <f>IF(OR(E4020="&lt;/routeDistribution&gt;",E4020=""),"",IFERROR(_xlfn.CONCAT(VLOOKUP(BW50,Route_Column!#REF!,2,FALSE),CHAR(34)," probability=",CHAR(34),1/BW$4,CHAR(34),CHAR(47),CHAR(62)),"&lt;/routeDistribution&gt;"))</f>
        <v/>
      </c>
    </row>
    <row r="4022" spans="1:5" x14ac:dyDescent="0.25">
      <c r="A4022" t="s">
        <v>1491</v>
      </c>
      <c r="B4022" t="s">
        <v>1236</v>
      </c>
      <c r="E4022" t="str">
        <f>IF(OR(E4021="&lt;/routeDistribution&gt;",E4021=""),"",IFERROR(_xlfn.CONCAT(VLOOKUP(BW51,Route_Column!#REF!,2,FALSE),CHAR(34)," probability=",CHAR(34),1/BW$4,CHAR(34),CHAR(47),CHAR(62)),"&lt;/routeDistribution&gt;"))</f>
        <v/>
      </c>
    </row>
    <row r="4023" spans="1:5" x14ac:dyDescent="0.25">
      <c r="A4023" t="s">
        <v>1491</v>
      </c>
      <c r="B4023" t="s">
        <v>1237</v>
      </c>
      <c r="E4023" t="str">
        <f>IF(OR(E4022="&lt;/routeDistribution&gt;",E4022=""),"",IFERROR(_xlfn.CONCAT(VLOOKUP(BW52,Route_Column!#REF!,2,FALSE),CHAR(34)," probability=",CHAR(34),1/BW$4,CHAR(34),CHAR(47),CHAR(62)),"&lt;/routeDistribution&gt;"))</f>
        <v/>
      </c>
    </row>
    <row r="4024" spans="1:5" x14ac:dyDescent="0.25">
      <c r="A4024" t="s">
        <v>1491</v>
      </c>
      <c r="B4024" t="s">
        <v>1238</v>
      </c>
      <c r="E4024" t="str">
        <f>IF(OR(E4023="&lt;/routeDistribution&gt;",E4023=""),"",IFERROR(_xlfn.CONCAT(VLOOKUP(BW53,Route_Column!#REF!,2,FALSE),CHAR(34)," probability=",CHAR(34),1/BW$4,CHAR(34),CHAR(47),CHAR(62)),"&lt;/routeDistribution&gt;"))</f>
        <v/>
      </c>
    </row>
    <row r="4025" spans="1:5" x14ac:dyDescent="0.25">
      <c r="A4025" t="s">
        <v>1491</v>
      </c>
      <c r="B4025" t="s">
        <v>1239</v>
      </c>
      <c r="E4025" t="str">
        <f>IF(OR(E4024="&lt;/routeDistribution&gt;",E4024=""),"",IFERROR(_xlfn.CONCAT(VLOOKUP(BW54,Route_Column!#REF!,2,FALSE),CHAR(34)," probability=",CHAR(34),1/BW$4,CHAR(34),CHAR(47),CHAR(62)),"&lt;/routeDistribution&gt;"))</f>
        <v/>
      </c>
    </row>
    <row r="4026" spans="1:5" x14ac:dyDescent="0.25">
      <c r="A4026" t="s">
        <v>1491</v>
      </c>
      <c r="B4026" t="s">
        <v>1240</v>
      </c>
      <c r="E4026" t="str">
        <f>IF(OR(E4025="&lt;/routeDistribution&gt;",E4025=""),"",IFERROR(_xlfn.CONCAT(VLOOKUP(BW55,Route_Column!#REF!,2,FALSE),CHAR(34)," probability=",CHAR(34),1/BW$4,CHAR(34),CHAR(47),CHAR(62)),"&lt;/routeDistribution&gt;"))</f>
        <v/>
      </c>
    </row>
    <row r="4027" spans="1:5" x14ac:dyDescent="0.25">
      <c r="A4027" t="s">
        <v>1491</v>
      </c>
      <c r="B4027" t="s">
        <v>1241</v>
      </c>
      <c r="E4027" t="str">
        <f>IF(OR(E4026="&lt;/routeDistribution&gt;",E4026=""),"",IFERROR(_xlfn.CONCAT(VLOOKUP(BW56,Route_Column!#REF!,2,FALSE),CHAR(34)," probability=",CHAR(34),1/BW$4,CHAR(34),CHAR(47),CHAR(62)),"&lt;/routeDistribution&gt;"))</f>
        <v/>
      </c>
    </row>
    <row r="4028" spans="1:5" x14ac:dyDescent="0.25">
      <c r="A4028" t="s">
        <v>1696</v>
      </c>
      <c r="B4028" t="s">
        <v>1100</v>
      </c>
      <c r="E4028" t="str">
        <f>IF(OR(E4027="&lt;/routeDistribution&gt;",E4027=""),"",IFERROR(_xlfn.CONCAT(VLOOKUP(BW57,Route_Column!#REF!,2,FALSE),CHAR(34)," probability=",CHAR(34),1/BW$4,CHAR(34),CHAR(47),CHAR(62)),"&lt;/routeDistribution&gt;"))</f>
        <v/>
      </c>
    </row>
    <row r="4029" spans="1:5" x14ac:dyDescent="0.25">
      <c r="A4029" t="s">
        <v>1696</v>
      </c>
      <c r="B4029" t="s">
        <v>1101</v>
      </c>
      <c r="E4029" t="str">
        <f>IF(OR(E4028="&lt;/routeDistribution&gt;",E4028=""),"",IFERROR(_xlfn.CONCAT(VLOOKUP(BW58,Route_Column!#REF!,2,FALSE),CHAR(34)," probability=",CHAR(34),1/BW$4,CHAR(34),CHAR(47),CHAR(62)),"&lt;/routeDistribution&gt;"))</f>
        <v/>
      </c>
    </row>
    <row r="4030" spans="1:5" x14ac:dyDescent="0.25">
      <c r="A4030" t="s">
        <v>1696</v>
      </c>
      <c r="B4030" t="s">
        <v>1102</v>
      </c>
      <c r="E4030" t="str">
        <f>IF(OR(E4029="&lt;/routeDistribution&gt;",E4029=""),"",IFERROR(_xlfn.CONCAT(VLOOKUP(BW59,Route_Column!#REF!,2,FALSE),CHAR(34)," probability=",CHAR(34),1/BW$4,CHAR(34),CHAR(47),CHAR(62)),"&lt;/routeDistribution&gt;"))</f>
        <v/>
      </c>
    </row>
    <row r="4031" spans="1:5" x14ac:dyDescent="0.25">
      <c r="A4031" t="s">
        <v>1696</v>
      </c>
      <c r="B4031" t="s">
        <v>1103</v>
      </c>
      <c r="E4031" t="str">
        <f>IF(OR(E4030="&lt;/routeDistribution&gt;",E4030=""),"",IFERROR(_xlfn.CONCAT(VLOOKUP(BW60,Route_Column!#REF!,2,FALSE),CHAR(34)," probability=",CHAR(34),1/BW$4,CHAR(34),CHAR(47),CHAR(62)),"&lt;/routeDistribution&gt;"))</f>
        <v/>
      </c>
    </row>
    <row r="4032" spans="1:5" x14ac:dyDescent="0.25">
      <c r="A4032" t="s">
        <v>1696</v>
      </c>
      <c r="B4032" t="s">
        <v>1104</v>
      </c>
      <c r="E4032" t="str">
        <f>IF(OR(E4031="&lt;/routeDistribution&gt;",E4031=""),"",IFERROR(_xlfn.CONCAT(VLOOKUP(BW61,Route_Column!#REF!,2,FALSE),CHAR(34)," probability=",CHAR(34),1/BW$4,CHAR(34),CHAR(47),CHAR(62)),"&lt;/routeDistribution&gt;"))</f>
        <v/>
      </c>
    </row>
    <row r="4033" spans="1:5" x14ac:dyDescent="0.25">
      <c r="A4033" t="s">
        <v>1696</v>
      </c>
      <c r="B4033" t="s">
        <v>1105</v>
      </c>
      <c r="E4033" t="str">
        <f>IF(OR(E4032="&lt;/routeDistribution&gt;",E4032=""),"",IFERROR(_xlfn.CONCAT(VLOOKUP(BW62,Route_Column!#REF!,2,FALSE),CHAR(34)," probability=",CHAR(34),1/BW$4,CHAR(34),CHAR(47),CHAR(62)),"&lt;/routeDistribution&gt;"))</f>
        <v/>
      </c>
    </row>
    <row r="4034" spans="1:5" x14ac:dyDescent="0.25">
      <c r="A4034" t="s">
        <v>1696</v>
      </c>
      <c r="B4034" t="s">
        <v>1106</v>
      </c>
      <c r="E4034" t="str">
        <f>IF(OR(E4033="&lt;/routeDistribution&gt;",E4033=""),"",IFERROR(_xlfn.CONCAT(VLOOKUP(BW63,Route_Column!#REF!,2,FALSE),CHAR(34)," probability=",CHAR(34),1/BW$4,CHAR(34),CHAR(47),CHAR(62)),"&lt;/routeDistribution&gt;"))</f>
        <v/>
      </c>
    </row>
    <row r="4035" spans="1:5" x14ac:dyDescent="0.25">
      <c r="A4035" t="s">
        <v>1696</v>
      </c>
      <c r="B4035" t="s">
        <v>1107</v>
      </c>
      <c r="E4035" t="s">
        <v>2686</v>
      </c>
    </row>
    <row r="4036" spans="1:5" x14ac:dyDescent="0.25">
      <c r="A4036" t="s">
        <v>1696</v>
      </c>
      <c r="B4036" t="s">
        <v>1142</v>
      </c>
    </row>
    <row r="4037" spans="1:5" x14ac:dyDescent="0.25">
      <c r="A4037" t="s">
        <v>1696</v>
      </c>
      <c r="B4037" t="s">
        <v>1148</v>
      </c>
    </row>
    <row r="4038" spans="1:5" x14ac:dyDescent="0.25">
      <c r="A4038" t="s">
        <v>1696</v>
      </c>
      <c r="B4038" t="s">
        <v>1161</v>
      </c>
      <c r="E4038" t="str">
        <f>_xlfn.CONCAT($E$1,BV$2,$F$1)</f>
        <v>&lt;routeDistribution id="76-on-ramp-30th-676-WB-2010-RouteProbe"&gt;</v>
      </c>
    </row>
    <row r="4039" spans="1:5" x14ac:dyDescent="0.25">
      <c r="A4039" t="s">
        <v>1696</v>
      </c>
      <c r="B4039" t="s">
        <v>1162</v>
      </c>
      <c r="E4039" t="str">
        <f>IF(OR(E4038="&lt;/routeDistribution&gt;",E4038=""),"",IFERROR(_xlfn.CONCAT(VLOOKUP(BV5,Route_Column!#REF!,2,FALSE),CHAR(34)," probability=",CHAR(34),1/BV$4,CHAR(34),CHAR(47),CHAR(62)),"&lt;/routeDistribution&gt;"))</f>
        <v>&lt;/routeDistribution&gt;</v>
      </c>
    </row>
    <row r="4040" spans="1:5" x14ac:dyDescent="0.25">
      <c r="A4040" t="s">
        <v>1696</v>
      </c>
      <c r="B4040" t="s">
        <v>1164</v>
      </c>
      <c r="E4040" t="str">
        <f>IF(OR(E4039="&lt;/routeDistribution&gt;",E4039=""),"",IFERROR(_xlfn.CONCAT(VLOOKUP(BV6,Route_Column!#REF!,2,FALSE),CHAR(34)," probability=",CHAR(34),1/BV$4,CHAR(34),CHAR(47),CHAR(62)),"&lt;/routeDistribution&gt;"))</f>
        <v/>
      </c>
    </row>
    <row r="4041" spans="1:5" x14ac:dyDescent="0.25">
      <c r="A4041" t="s">
        <v>1696</v>
      </c>
      <c r="B4041" t="s">
        <v>1169</v>
      </c>
      <c r="E4041" t="str">
        <f>IF(OR(E4040="&lt;/routeDistribution&gt;",E4040=""),"",IFERROR(_xlfn.CONCAT(VLOOKUP(BV7,Route_Column!#REF!,2,FALSE),CHAR(34)," probability=",CHAR(34),1/BV$4,CHAR(34),CHAR(47),CHAR(62)),"&lt;/routeDistribution&gt;"))</f>
        <v/>
      </c>
    </row>
    <row r="4042" spans="1:5" x14ac:dyDescent="0.25">
      <c r="A4042" t="s">
        <v>1696</v>
      </c>
      <c r="B4042" t="s">
        <v>1178</v>
      </c>
      <c r="E4042" t="str">
        <f>IF(OR(E4041="&lt;/routeDistribution&gt;",E4041=""),"",IFERROR(_xlfn.CONCAT(VLOOKUP(BV8,Route_Column!#REF!,2,FALSE),CHAR(34)," probability=",CHAR(34),1/BV$4,CHAR(34),CHAR(47),CHAR(62)),"&lt;/routeDistribution&gt;"))</f>
        <v/>
      </c>
    </row>
    <row r="4043" spans="1:5" x14ac:dyDescent="0.25">
      <c r="A4043" t="s">
        <v>1696</v>
      </c>
      <c r="B4043" t="s">
        <v>1202</v>
      </c>
      <c r="E4043" t="str">
        <f>IF(OR(E4042="&lt;/routeDistribution&gt;",E4042=""),"",IFERROR(_xlfn.CONCAT(VLOOKUP(BV9,Route_Column!#REF!,2,FALSE),CHAR(34)," probability=",CHAR(34),1/BV$4,CHAR(34),CHAR(47),CHAR(62)),"&lt;/routeDistribution&gt;"))</f>
        <v/>
      </c>
    </row>
    <row r="4044" spans="1:5" x14ac:dyDescent="0.25">
      <c r="A4044" t="s">
        <v>1696</v>
      </c>
      <c r="B4044" t="s">
        <v>1235</v>
      </c>
      <c r="E4044" t="str">
        <f>IF(OR(E4043="&lt;/routeDistribution&gt;",E4043=""),"",IFERROR(_xlfn.CONCAT(VLOOKUP(BV10,Route_Column!#REF!,2,FALSE),CHAR(34)," probability=",CHAR(34),1/BV$4,CHAR(34),CHAR(47),CHAR(62)),"&lt;/routeDistribution&gt;"))</f>
        <v/>
      </c>
    </row>
    <row r="4045" spans="1:5" x14ac:dyDescent="0.25">
      <c r="A4045" t="s">
        <v>1696</v>
      </c>
      <c r="B4045" t="s">
        <v>1236</v>
      </c>
      <c r="E4045" t="str">
        <f>IF(OR(E4044="&lt;/routeDistribution&gt;",E4044=""),"",IFERROR(_xlfn.CONCAT(VLOOKUP(BV11,Route_Column!#REF!,2,FALSE),CHAR(34)," probability=",CHAR(34),1/BV$4,CHAR(34),CHAR(47),CHAR(62)),"&lt;/routeDistribution&gt;"))</f>
        <v/>
      </c>
    </row>
    <row r="4046" spans="1:5" x14ac:dyDescent="0.25">
      <c r="A4046" t="s">
        <v>1696</v>
      </c>
      <c r="B4046" t="s">
        <v>1237</v>
      </c>
      <c r="E4046" t="str">
        <f>IF(OR(E4045="&lt;/routeDistribution&gt;",E4045=""),"",IFERROR(_xlfn.CONCAT(VLOOKUP(BV12,Route_Column!#REF!,2,FALSE),CHAR(34)," probability=",CHAR(34),1/BV$4,CHAR(34),CHAR(47),CHAR(62)),"&lt;/routeDistribution&gt;"))</f>
        <v/>
      </c>
    </row>
    <row r="4047" spans="1:5" x14ac:dyDescent="0.25">
      <c r="A4047" t="s">
        <v>1696</v>
      </c>
      <c r="B4047" t="s">
        <v>1238</v>
      </c>
      <c r="E4047" t="str">
        <f>IF(OR(E4046="&lt;/routeDistribution&gt;",E4046=""),"",IFERROR(_xlfn.CONCAT(VLOOKUP(BV13,Route_Column!#REF!,2,FALSE),CHAR(34)," probability=",CHAR(34),1/BV$4,CHAR(34),CHAR(47),CHAR(62)),"&lt;/routeDistribution&gt;"))</f>
        <v/>
      </c>
    </row>
    <row r="4048" spans="1:5" x14ac:dyDescent="0.25">
      <c r="A4048" t="s">
        <v>1696</v>
      </c>
      <c r="B4048" t="s">
        <v>1239</v>
      </c>
      <c r="E4048" t="str">
        <f>IF(OR(E4047="&lt;/routeDistribution&gt;",E4047=""),"",IFERROR(_xlfn.CONCAT(VLOOKUP(BV14,Route_Column!#REF!,2,FALSE),CHAR(34)," probability=",CHAR(34),1/BV$4,CHAR(34),CHAR(47),CHAR(62)),"&lt;/routeDistribution&gt;"))</f>
        <v/>
      </c>
    </row>
    <row r="4049" spans="1:5" x14ac:dyDescent="0.25">
      <c r="A4049" t="s">
        <v>1696</v>
      </c>
      <c r="B4049" t="s">
        <v>1240</v>
      </c>
      <c r="E4049" t="str">
        <f>IF(OR(E4048="&lt;/routeDistribution&gt;",E4048=""),"",IFERROR(_xlfn.CONCAT(VLOOKUP(BV15,Route_Column!#REF!,2,FALSE),CHAR(34)," probability=",CHAR(34),1/BV$4,CHAR(34),CHAR(47),CHAR(62)),"&lt;/routeDistribution&gt;"))</f>
        <v/>
      </c>
    </row>
    <row r="4050" spans="1:5" x14ac:dyDescent="0.25">
      <c r="A4050" s="11" t="s">
        <v>1490</v>
      </c>
      <c r="B4050" t="s">
        <v>1091</v>
      </c>
      <c r="E4050" t="str">
        <f>IF(OR(E4049="&lt;/routeDistribution&gt;",E4049=""),"",IFERROR(_xlfn.CONCAT(VLOOKUP(BV16,Route_Column!#REF!,2,FALSE),CHAR(34)," probability=",CHAR(34),1/BV$4,CHAR(34),CHAR(47),CHAR(62)),"&lt;/routeDistribution&gt;"))</f>
        <v/>
      </c>
    </row>
    <row r="4051" spans="1:5" x14ac:dyDescent="0.25">
      <c r="A4051" t="s">
        <v>1490</v>
      </c>
      <c r="B4051" t="s">
        <v>1092</v>
      </c>
      <c r="E4051" t="str">
        <f>IF(OR(E4050="&lt;/routeDistribution&gt;",E4050=""),"",IFERROR(_xlfn.CONCAT(VLOOKUP(BV17,Route_Column!#REF!,2,FALSE),CHAR(34)," probability=",CHAR(34),1/BV$4,CHAR(34),CHAR(47),CHAR(62)),"&lt;/routeDistribution&gt;"))</f>
        <v/>
      </c>
    </row>
    <row r="4052" spans="1:5" x14ac:dyDescent="0.25">
      <c r="A4052" t="s">
        <v>1490</v>
      </c>
      <c r="B4052" t="s">
        <v>1093</v>
      </c>
      <c r="E4052" t="str">
        <f>IF(OR(E4051="&lt;/routeDistribution&gt;",E4051=""),"",IFERROR(_xlfn.CONCAT(VLOOKUP(BV18,Route_Column!#REF!,2,FALSE),CHAR(34)," probability=",CHAR(34),1/BV$4,CHAR(34),CHAR(47),CHAR(62)),"&lt;/routeDistribution&gt;"))</f>
        <v/>
      </c>
    </row>
    <row r="4053" spans="1:5" x14ac:dyDescent="0.25">
      <c r="A4053" t="s">
        <v>1490</v>
      </c>
      <c r="B4053" t="s">
        <v>1094</v>
      </c>
      <c r="E4053" t="str">
        <f>IF(OR(E4052="&lt;/routeDistribution&gt;",E4052=""),"",IFERROR(_xlfn.CONCAT(VLOOKUP(BV19,Route_Column!#REF!,2,FALSE),CHAR(34)," probability=",CHAR(34),1/BV$4,CHAR(34),CHAR(47),CHAR(62)),"&lt;/routeDistribution&gt;"))</f>
        <v/>
      </c>
    </row>
    <row r="4054" spans="1:5" x14ac:dyDescent="0.25">
      <c r="A4054" t="s">
        <v>1490</v>
      </c>
      <c r="B4054" t="s">
        <v>1095</v>
      </c>
      <c r="E4054" t="str">
        <f>IF(OR(E4053="&lt;/routeDistribution&gt;",E4053=""),"",IFERROR(_xlfn.CONCAT(VLOOKUP(BV20,Route_Column!#REF!,2,FALSE),CHAR(34)," probability=",CHAR(34),1/BV$4,CHAR(34),CHAR(47),CHAR(62)),"&lt;/routeDistribution&gt;"))</f>
        <v/>
      </c>
    </row>
    <row r="4055" spans="1:5" x14ac:dyDescent="0.25">
      <c r="A4055" t="s">
        <v>1490</v>
      </c>
      <c r="B4055" t="s">
        <v>1096</v>
      </c>
      <c r="E4055" t="str">
        <f>IF(OR(E4054="&lt;/routeDistribution&gt;",E4054=""),"",IFERROR(_xlfn.CONCAT(VLOOKUP(BV21,Route_Column!#REF!,2,FALSE),CHAR(34)," probability=",CHAR(34),1/BV$4,CHAR(34),CHAR(47),CHAR(62)),"&lt;/routeDistribution&gt;"))</f>
        <v/>
      </c>
    </row>
    <row r="4056" spans="1:5" x14ac:dyDescent="0.25">
      <c r="A4056" t="s">
        <v>1490</v>
      </c>
      <c r="B4056" t="s">
        <v>1097</v>
      </c>
      <c r="E4056" t="str">
        <f>IF(OR(E4055="&lt;/routeDistribution&gt;",E4055=""),"",IFERROR(_xlfn.CONCAT(VLOOKUP(BV22,Route_Column!#REF!,2,FALSE),CHAR(34)," probability=",CHAR(34),1/BV$4,CHAR(34),CHAR(47),CHAR(62)),"&lt;/routeDistribution&gt;"))</f>
        <v/>
      </c>
    </row>
    <row r="4057" spans="1:5" x14ac:dyDescent="0.25">
      <c r="A4057" t="s">
        <v>1490</v>
      </c>
      <c r="B4057" t="s">
        <v>1098</v>
      </c>
      <c r="E4057" t="str">
        <f>IF(OR(E4056="&lt;/routeDistribution&gt;",E4056=""),"",IFERROR(_xlfn.CONCAT(VLOOKUP(BV23,Route_Column!#REF!,2,FALSE),CHAR(34)," probability=",CHAR(34),1/BV$4,CHAR(34),CHAR(47),CHAR(62)),"&lt;/routeDistribution&gt;"))</f>
        <v/>
      </c>
    </row>
    <row r="4058" spans="1:5" x14ac:dyDescent="0.25">
      <c r="A4058" t="s">
        <v>1490</v>
      </c>
      <c r="B4058" t="s">
        <v>1099</v>
      </c>
      <c r="E4058" t="str">
        <f>IF(OR(E4057="&lt;/routeDistribution&gt;",E4057=""),"",IFERROR(_xlfn.CONCAT(VLOOKUP(BV24,Route_Column!#REF!,2,FALSE),CHAR(34)," probability=",CHAR(34),1/BV$4,CHAR(34),CHAR(47),CHAR(62)),"&lt;/routeDistribution&gt;"))</f>
        <v/>
      </c>
    </row>
    <row r="4059" spans="1:5" x14ac:dyDescent="0.25">
      <c r="A4059" t="s">
        <v>1490</v>
      </c>
      <c r="B4059" t="s">
        <v>1100</v>
      </c>
      <c r="E4059" t="str">
        <f>IF(OR(E4058="&lt;/routeDistribution&gt;",E4058=""),"",IFERROR(_xlfn.CONCAT(VLOOKUP(BV25,Route_Column!#REF!,2,FALSE),CHAR(34)," probability=",CHAR(34),1/BV$4,CHAR(34),CHAR(47),CHAR(62)),"&lt;/routeDistribution&gt;"))</f>
        <v/>
      </c>
    </row>
    <row r="4060" spans="1:5" x14ac:dyDescent="0.25">
      <c r="A4060" t="s">
        <v>1490</v>
      </c>
      <c r="B4060" t="s">
        <v>1101</v>
      </c>
      <c r="E4060" t="str">
        <f>IF(OR(E4059="&lt;/routeDistribution&gt;",E4059=""),"",IFERROR(_xlfn.CONCAT(VLOOKUP(BV26,Route_Column!#REF!,2,FALSE),CHAR(34)," probability=",CHAR(34),1/BV$4,CHAR(34),CHAR(47),CHAR(62)),"&lt;/routeDistribution&gt;"))</f>
        <v/>
      </c>
    </row>
    <row r="4061" spans="1:5" x14ac:dyDescent="0.25">
      <c r="A4061" t="s">
        <v>1490</v>
      </c>
      <c r="B4061" t="s">
        <v>1102</v>
      </c>
      <c r="E4061" t="str">
        <f>IF(OR(E4060="&lt;/routeDistribution&gt;",E4060=""),"",IFERROR(_xlfn.CONCAT(VLOOKUP(BV27,Route_Column!#REF!,2,FALSE),CHAR(34)," probability=",CHAR(34),1/BV$4,CHAR(34),CHAR(47),CHAR(62)),"&lt;/routeDistribution&gt;"))</f>
        <v/>
      </c>
    </row>
    <row r="4062" spans="1:5" x14ac:dyDescent="0.25">
      <c r="A4062" t="s">
        <v>1490</v>
      </c>
      <c r="B4062" t="s">
        <v>1103</v>
      </c>
      <c r="E4062" t="str">
        <f>IF(OR(E4061="&lt;/routeDistribution&gt;",E4061=""),"",IFERROR(_xlfn.CONCAT(VLOOKUP(BV28,Route_Column!#REF!,2,FALSE),CHAR(34)," probability=",CHAR(34),1/BV$4,CHAR(34),CHAR(47),CHAR(62)),"&lt;/routeDistribution&gt;"))</f>
        <v/>
      </c>
    </row>
    <row r="4063" spans="1:5" x14ac:dyDescent="0.25">
      <c r="A4063" t="s">
        <v>1490</v>
      </c>
      <c r="B4063" t="s">
        <v>1104</v>
      </c>
      <c r="E4063" t="str">
        <f>IF(OR(E4062="&lt;/routeDistribution&gt;",E4062=""),"",IFERROR(_xlfn.CONCAT(VLOOKUP(BV29,Route_Column!#REF!,2,FALSE),CHAR(34)," probability=",CHAR(34),1/BV$4,CHAR(34),CHAR(47),CHAR(62)),"&lt;/routeDistribution&gt;"))</f>
        <v/>
      </c>
    </row>
    <row r="4064" spans="1:5" x14ac:dyDescent="0.25">
      <c r="A4064" t="s">
        <v>1490</v>
      </c>
      <c r="B4064" t="s">
        <v>1105</v>
      </c>
      <c r="E4064" t="str">
        <f>IF(OR(E4063="&lt;/routeDistribution&gt;",E4063=""),"",IFERROR(_xlfn.CONCAT(VLOOKUP(BV30,Route_Column!#REF!,2,FALSE),CHAR(34)," probability=",CHAR(34),1/BV$4,CHAR(34),CHAR(47),CHAR(62)),"&lt;/routeDistribution&gt;"))</f>
        <v/>
      </c>
    </row>
    <row r="4065" spans="1:5" x14ac:dyDescent="0.25">
      <c r="A4065" t="s">
        <v>1490</v>
      </c>
      <c r="B4065" t="s">
        <v>1106</v>
      </c>
      <c r="E4065" t="str">
        <f>IF(OR(E4064="&lt;/routeDistribution&gt;",E4064=""),"",IFERROR(_xlfn.CONCAT(VLOOKUP(BV31,Route_Column!#REF!,2,FALSE),CHAR(34)," probability=",CHAR(34),1/BV$4,CHAR(34),CHAR(47),CHAR(62)),"&lt;/routeDistribution&gt;"))</f>
        <v/>
      </c>
    </row>
    <row r="4066" spans="1:5" x14ac:dyDescent="0.25">
      <c r="A4066" t="s">
        <v>1490</v>
      </c>
      <c r="B4066" t="s">
        <v>1107</v>
      </c>
      <c r="E4066" t="str">
        <f>IF(OR(E4065="&lt;/routeDistribution&gt;",E4065=""),"",IFERROR(_xlfn.CONCAT(VLOOKUP(BV32,Route_Column!#REF!,2,FALSE),CHAR(34)," probability=",CHAR(34),1/BV$4,CHAR(34),CHAR(47),CHAR(62)),"&lt;/routeDistribution&gt;"))</f>
        <v/>
      </c>
    </row>
    <row r="4067" spans="1:5" x14ac:dyDescent="0.25">
      <c r="A4067" t="s">
        <v>1490</v>
      </c>
      <c r="B4067" t="s">
        <v>1142</v>
      </c>
      <c r="E4067" t="str">
        <f>IF(OR(E4066="&lt;/routeDistribution&gt;",E4066=""),"",IFERROR(_xlfn.CONCAT(VLOOKUP(BV33,Route_Column!#REF!,2,FALSE),CHAR(34)," probability=",CHAR(34),1/BV$4,CHAR(34),CHAR(47),CHAR(62)),"&lt;/routeDistribution&gt;"))</f>
        <v/>
      </c>
    </row>
    <row r="4068" spans="1:5" x14ac:dyDescent="0.25">
      <c r="A4068" t="s">
        <v>1490</v>
      </c>
      <c r="B4068" t="s">
        <v>1148</v>
      </c>
      <c r="E4068" t="str">
        <f>IF(OR(E4067="&lt;/routeDistribution&gt;",E4067=""),"",IFERROR(_xlfn.CONCAT(VLOOKUP(BV34,Route_Column!#REF!,2,FALSE),CHAR(34)," probability=",CHAR(34),1/BV$4,CHAR(34),CHAR(47),CHAR(62)),"&lt;/routeDistribution&gt;"))</f>
        <v/>
      </c>
    </row>
    <row r="4069" spans="1:5" x14ac:dyDescent="0.25">
      <c r="A4069" t="s">
        <v>1490</v>
      </c>
      <c r="B4069" t="s">
        <v>1178</v>
      </c>
      <c r="E4069" t="str">
        <f>IF(OR(E4068="&lt;/routeDistribution&gt;",E4068=""),"",IFERROR(_xlfn.CONCAT(VLOOKUP(BV35,Route_Column!#REF!,2,FALSE),CHAR(34)," probability=",CHAR(34),1/BV$4,CHAR(34),CHAR(47),CHAR(62)),"&lt;/routeDistribution&gt;"))</f>
        <v/>
      </c>
    </row>
    <row r="4070" spans="1:5" x14ac:dyDescent="0.25">
      <c r="A4070" t="s">
        <v>1490</v>
      </c>
      <c r="B4070" t="s">
        <v>1201</v>
      </c>
      <c r="E4070" t="str">
        <f>IF(OR(E4069="&lt;/routeDistribution&gt;",E4069=""),"",IFERROR(_xlfn.CONCAT(VLOOKUP(BV36,Route_Column!#REF!,2,FALSE),CHAR(34)," probability=",CHAR(34),1/BV$4,CHAR(34),CHAR(47),CHAR(62)),"&lt;/routeDistribution&gt;"))</f>
        <v/>
      </c>
    </row>
    <row r="4071" spans="1:5" x14ac:dyDescent="0.25">
      <c r="A4071" t="s">
        <v>1490</v>
      </c>
      <c r="B4071" t="s">
        <v>1202</v>
      </c>
      <c r="E4071" t="str">
        <f>IF(OR(E4070="&lt;/routeDistribution&gt;",E4070=""),"",IFERROR(_xlfn.CONCAT(VLOOKUP(BV37,Route_Column!#REF!,2,FALSE),CHAR(34)," probability=",CHAR(34),1/BV$4,CHAR(34),CHAR(47),CHAR(62)),"&lt;/routeDistribution&gt;"))</f>
        <v/>
      </c>
    </row>
    <row r="4072" spans="1:5" x14ac:dyDescent="0.25">
      <c r="A4072" t="s">
        <v>1490</v>
      </c>
      <c r="B4072" t="s">
        <v>1206</v>
      </c>
      <c r="E4072" t="str">
        <f>IF(OR(E4071="&lt;/routeDistribution&gt;",E4071=""),"",IFERROR(_xlfn.CONCAT(VLOOKUP(BV38,Route_Column!#REF!,2,FALSE),CHAR(34)," probability=",CHAR(34),1/BV$4,CHAR(34),CHAR(47),CHAR(62)),"&lt;/routeDistribution&gt;"))</f>
        <v/>
      </c>
    </row>
    <row r="4073" spans="1:5" x14ac:dyDescent="0.25">
      <c r="A4073" t="s">
        <v>1490</v>
      </c>
      <c r="B4073" t="s">
        <v>1207</v>
      </c>
      <c r="E4073" t="str">
        <f>IF(OR(E4072="&lt;/routeDistribution&gt;",E4072=""),"",IFERROR(_xlfn.CONCAT(VLOOKUP(BV39,Route_Column!#REF!,2,FALSE),CHAR(34)," probability=",CHAR(34),1/BV$4,CHAR(34),CHAR(47),CHAR(62)),"&lt;/routeDistribution&gt;"))</f>
        <v/>
      </c>
    </row>
    <row r="4074" spans="1:5" x14ac:dyDescent="0.25">
      <c r="A4074" t="s">
        <v>1723</v>
      </c>
      <c r="B4074" t="s">
        <v>1102</v>
      </c>
      <c r="E4074" t="str">
        <f>IF(OR(E4073="&lt;/routeDistribution&gt;",E4073=""),"",IFERROR(_xlfn.CONCAT(VLOOKUP(BV40,Route_Column!#REF!,2,FALSE),CHAR(34)," probability=",CHAR(34),1/BV$4,CHAR(34),CHAR(47),CHAR(62)),"&lt;/routeDistribution&gt;"))</f>
        <v/>
      </c>
    </row>
    <row r="4075" spans="1:5" x14ac:dyDescent="0.25">
      <c r="A4075" t="s">
        <v>1723</v>
      </c>
      <c r="B4075" t="s">
        <v>1103</v>
      </c>
      <c r="E4075" t="str">
        <f>IF(OR(E4074="&lt;/routeDistribution&gt;",E4074=""),"",IFERROR(_xlfn.CONCAT(VLOOKUP(BV41,Route_Column!#REF!,2,FALSE),CHAR(34)," probability=",CHAR(34),1/BV$4,CHAR(34),CHAR(47),CHAR(62)),"&lt;/routeDistribution&gt;"))</f>
        <v/>
      </c>
    </row>
    <row r="4076" spans="1:5" x14ac:dyDescent="0.25">
      <c r="A4076" t="s">
        <v>1723</v>
      </c>
      <c r="B4076" t="s">
        <v>1104</v>
      </c>
      <c r="E4076" t="str">
        <f>IF(OR(E4075="&lt;/routeDistribution&gt;",E4075=""),"",IFERROR(_xlfn.CONCAT(VLOOKUP(BV42,Route_Column!#REF!,2,FALSE),CHAR(34)," probability=",CHAR(34),1/BV$4,CHAR(34),CHAR(47),CHAR(62)),"&lt;/routeDistribution&gt;"))</f>
        <v/>
      </c>
    </row>
    <row r="4077" spans="1:5" x14ac:dyDescent="0.25">
      <c r="A4077" t="s">
        <v>1723</v>
      </c>
      <c r="B4077" t="s">
        <v>1105</v>
      </c>
      <c r="E4077" t="str">
        <f>IF(OR(E4076="&lt;/routeDistribution&gt;",E4076=""),"",IFERROR(_xlfn.CONCAT(VLOOKUP(BV43,Route_Column!#REF!,2,FALSE),CHAR(34)," probability=",CHAR(34),1/BV$4,CHAR(34),CHAR(47),CHAR(62)),"&lt;/routeDistribution&gt;"))</f>
        <v/>
      </c>
    </row>
    <row r="4078" spans="1:5" x14ac:dyDescent="0.25">
      <c r="A4078" t="s">
        <v>1723</v>
      </c>
      <c r="B4078" t="s">
        <v>1106</v>
      </c>
      <c r="E4078" t="str">
        <f>IF(OR(E4077="&lt;/routeDistribution&gt;",E4077=""),"",IFERROR(_xlfn.CONCAT(VLOOKUP(BV44,Route_Column!#REF!,2,FALSE),CHAR(34)," probability=",CHAR(34),1/BV$4,CHAR(34),CHAR(47),CHAR(62)),"&lt;/routeDistribution&gt;"))</f>
        <v/>
      </c>
    </row>
    <row r="4079" spans="1:5" x14ac:dyDescent="0.25">
      <c r="A4079" t="s">
        <v>1723</v>
      </c>
      <c r="B4079" t="s">
        <v>1107</v>
      </c>
      <c r="E4079" t="str">
        <f>IF(OR(E4078="&lt;/routeDistribution&gt;",E4078=""),"",IFERROR(_xlfn.CONCAT(VLOOKUP(BV45,Route_Column!#REF!,2,FALSE),CHAR(34)," probability=",CHAR(34),1/BV$4,CHAR(34),CHAR(47),CHAR(62)),"&lt;/routeDistribution&gt;"))</f>
        <v/>
      </c>
    </row>
    <row r="4080" spans="1:5" x14ac:dyDescent="0.25">
      <c r="A4080" t="s">
        <v>1723</v>
      </c>
      <c r="B4080" t="s">
        <v>1142</v>
      </c>
      <c r="E4080" t="str">
        <f>IF(OR(E4079="&lt;/routeDistribution&gt;",E4079=""),"",IFERROR(_xlfn.CONCAT(VLOOKUP(BV46,Route_Column!#REF!,2,FALSE),CHAR(34)," probability=",CHAR(34),1/BV$4,CHAR(34),CHAR(47),CHAR(62)),"&lt;/routeDistribution&gt;"))</f>
        <v/>
      </c>
    </row>
    <row r="4081" spans="1:5" x14ac:dyDescent="0.25">
      <c r="A4081" t="s">
        <v>1723</v>
      </c>
      <c r="B4081" t="s">
        <v>1148</v>
      </c>
      <c r="E4081" t="str">
        <f>IF(OR(E4080="&lt;/routeDistribution&gt;",E4080=""),"",IFERROR(_xlfn.CONCAT(VLOOKUP(BV47,Route_Column!#REF!,2,FALSE),CHAR(34)," probability=",CHAR(34),1/BV$4,CHAR(34),CHAR(47),CHAR(62)),"&lt;/routeDistribution&gt;"))</f>
        <v/>
      </c>
    </row>
    <row r="4082" spans="1:5" x14ac:dyDescent="0.25">
      <c r="A4082" t="s">
        <v>1723</v>
      </c>
      <c r="B4082" t="s">
        <v>1161</v>
      </c>
      <c r="E4082" t="str">
        <f>IF(OR(E4081="&lt;/routeDistribution&gt;",E4081=""),"",IFERROR(_xlfn.CONCAT(VLOOKUP(BV48,Route_Column!#REF!,2,FALSE),CHAR(34)," probability=",CHAR(34),1/BV$4,CHAR(34),CHAR(47),CHAR(62)),"&lt;/routeDistribution&gt;"))</f>
        <v/>
      </c>
    </row>
    <row r="4083" spans="1:5" x14ac:dyDescent="0.25">
      <c r="A4083" t="s">
        <v>1723</v>
      </c>
      <c r="B4083" t="s">
        <v>1162</v>
      </c>
      <c r="E4083" t="str">
        <f>IF(OR(E4082="&lt;/routeDistribution&gt;",E4082=""),"",IFERROR(_xlfn.CONCAT(VLOOKUP(BV49,Route_Column!#REF!,2,FALSE),CHAR(34)," probability=",CHAR(34),1/BV$4,CHAR(34),CHAR(47),CHAR(62)),"&lt;/routeDistribution&gt;"))</f>
        <v/>
      </c>
    </row>
    <row r="4084" spans="1:5" x14ac:dyDescent="0.25">
      <c r="A4084" t="s">
        <v>1723</v>
      </c>
      <c r="B4084" t="s">
        <v>1169</v>
      </c>
      <c r="E4084" t="str">
        <f>IF(OR(E4083="&lt;/routeDistribution&gt;",E4083=""),"",IFERROR(_xlfn.CONCAT(VLOOKUP(BV50,Route_Column!#REF!,2,FALSE),CHAR(34)," probability=",CHAR(34),1/BV$4,CHAR(34),CHAR(47),CHAR(62)),"&lt;/routeDistribution&gt;"))</f>
        <v/>
      </c>
    </row>
    <row r="4085" spans="1:5" x14ac:dyDescent="0.25">
      <c r="A4085" t="s">
        <v>1723</v>
      </c>
      <c r="B4085" t="s">
        <v>1178</v>
      </c>
      <c r="E4085" t="str">
        <f>IF(OR(E4084="&lt;/routeDistribution&gt;",E4084=""),"",IFERROR(_xlfn.CONCAT(VLOOKUP(BV51,Route_Column!#REF!,2,FALSE),CHAR(34)," probability=",CHAR(34),1/BV$4,CHAR(34),CHAR(47),CHAR(62)),"&lt;/routeDistribution&gt;"))</f>
        <v/>
      </c>
    </row>
    <row r="4086" spans="1:5" x14ac:dyDescent="0.25">
      <c r="A4086" t="s">
        <v>1723</v>
      </c>
      <c r="B4086" t="s">
        <v>1202</v>
      </c>
      <c r="E4086" t="str">
        <f>IF(OR(E4085="&lt;/routeDistribution&gt;",E4085=""),"",IFERROR(_xlfn.CONCAT(VLOOKUP(BV52,Route_Column!#REF!,2,FALSE),CHAR(34)," probability=",CHAR(34),1/BV$4,CHAR(34),CHAR(47),CHAR(62)),"&lt;/routeDistribution&gt;"))</f>
        <v/>
      </c>
    </row>
    <row r="4087" spans="1:5" x14ac:dyDescent="0.25">
      <c r="A4087" t="s">
        <v>1723</v>
      </c>
      <c r="B4087" t="s">
        <v>1237</v>
      </c>
      <c r="E4087" t="str">
        <f>IF(OR(E4086="&lt;/routeDistribution&gt;",E4086=""),"",IFERROR(_xlfn.CONCAT(VLOOKUP(BV53,Route_Column!#REF!,2,FALSE),CHAR(34)," probability=",CHAR(34),1/BV$4,CHAR(34),CHAR(47),CHAR(62)),"&lt;/routeDistribution&gt;"))</f>
        <v/>
      </c>
    </row>
    <row r="4088" spans="1:5" x14ac:dyDescent="0.25">
      <c r="A4088" t="s">
        <v>1723</v>
      </c>
      <c r="B4088" t="s">
        <v>1238</v>
      </c>
      <c r="E4088" t="str">
        <f>IF(OR(E4087="&lt;/routeDistribution&gt;",E4087=""),"",IFERROR(_xlfn.CONCAT(VLOOKUP(BV54,Route_Column!#REF!,2,FALSE),CHAR(34)," probability=",CHAR(34),1/BV$4,CHAR(34),CHAR(47),CHAR(62)),"&lt;/routeDistribution&gt;"))</f>
        <v/>
      </c>
    </row>
    <row r="4089" spans="1:5" x14ac:dyDescent="0.25">
      <c r="A4089" t="s">
        <v>1723</v>
      </c>
      <c r="B4089" t="s">
        <v>1239</v>
      </c>
      <c r="E4089" t="str">
        <f>IF(OR(E4088="&lt;/routeDistribution&gt;",E4088=""),"",IFERROR(_xlfn.CONCAT(VLOOKUP(BV55,Route_Column!#REF!,2,FALSE),CHAR(34)," probability=",CHAR(34),1/BV$4,CHAR(34),CHAR(47),CHAR(62)),"&lt;/routeDistribution&gt;"))</f>
        <v/>
      </c>
    </row>
    <row r="4090" spans="1:5" x14ac:dyDescent="0.25">
      <c r="A4090" t="s">
        <v>1723</v>
      </c>
      <c r="B4090" t="s">
        <v>1240</v>
      </c>
      <c r="E4090" t="str">
        <f>IF(OR(E4089="&lt;/routeDistribution&gt;",E4089=""),"",IFERROR(_xlfn.CONCAT(VLOOKUP(BV56,Route_Column!#REF!,2,FALSE),CHAR(34)," probability=",CHAR(34),1/BV$4,CHAR(34),CHAR(47),CHAR(62)),"&lt;/routeDistribution&gt;"))</f>
        <v/>
      </c>
    </row>
    <row r="4091" spans="1:5" x14ac:dyDescent="0.25">
      <c r="A4091" t="s">
        <v>2147</v>
      </c>
      <c r="B4091" t="s">
        <v>1142</v>
      </c>
      <c r="E4091" t="str">
        <f>IF(OR(E4090="&lt;/routeDistribution&gt;",E4090=""),"",IFERROR(_xlfn.CONCAT(VLOOKUP(BV57,Route_Column!#REF!,2,FALSE),CHAR(34)," probability=",CHAR(34),1/BV$4,CHAR(34),CHAR(47),CHAR(62)),"&lt;/routeDistribution&gt;"))</f>
        <v/>
      </c>
    </row>
    <row r="4092" spans="1:5" x14ac:dyDescent="0.25">
      <c r="A4092" t="s">
        <v>2147</v>
      </c>
      <c r="B4092" t="s">
        <v>1148</v>
      </c>
      <c r="E4092" t="str">
        <f>IF(OR(E4091="&lt;/routeDistribution&gt;",E4091=""),"",IFERROR(_xlfn.CONCAT(VLOOKUP(BV58,Route_Column!#REF!,2,FALSE),CHAR(34)," probability=",CHAR(34),1/BV$4,CHAR(34),CHAR(47),CHAR(62)),"&lt;/routeDistribution&gt;"))</f>
        <v/>
      </c>
    </row>
    <row r="4093" spans="1:5" x14ac:dyDescent="0.25">
      <c r="A4093" t="s">
        <v>2147</v>
      </c>
      <c r="B4093" t="s">
        <v>1178</v>
      </c>
      <c r="E4093" t="str">
        <f>IF(OR(E4092="&lt;/routeDistribution&gt;",E4092=""),"",IFERROR(_xlfn.CONCAT(VLOOKUP(BV59,Route_Column!#REF!,2,FALSE),CHAR(34)," probability=",CHAR(34),1/BV$4,CHAR(34),CHAR(47),CHAR(62)),"&lt;/routeDistribution&gt;"))</f>
        <v/>
      </c>
    </row>
    <row r="4094" spans="1:5" x14ac:dyDescent="0.25">
      <c r="A4094" t="s">
        <v>2147</v>
      </c>
      <c r="B4094" t="s">
        <v>1201</v>
      </c>
      <c r="E4094" t="str">
        <f>IF(OR(E4093="&lt;/routeDistribution&gt;",E4093=""),"",IFERROR(_xlfn.CONCAT(VLOOKUP(BV60,Route_Column!#REF!,2,FALSE),CHAR(34)," probability=",CHAR(34),1/BV$4,CHAR(34),CHAR(47),CHAR(62)),"&lt;/routeDistribution&gt;"))</f>
        <v/>
      </c>
    </row>
    <row r="4095" spans="1:5" x14ac:dyDescent="0.25">
      <c r="A4095" t="s">
        <v>2147</v>
      </c>
      <c r="B4095" t="s">
        <v>1202</v>
      </c>
      <c r="E4095" t="str">
        <f>IF(OR(E4094="&lt;/routeDistribution&gt;",E4094=""),"",IFERROR(_xlfn.CONCAT(VLOOKUP(BV61,Route_Column!#REF!,2,FALSE),CHAR(34)," probability=",CHAR(34),1/BV$4,CHAR(34),CHAR(47),CHAR(62)),"&lt;/routeDistribution&gt;"))</f>
        <v/>
      </c>
    </row>
    <row r="4096" spans="1:5" x14ac:dyDescent="0.25">
      <c r="A4096" t="s">
        <v>2147</v>
      </c>
      <c r="B4096" t="s">
        <v>1206</v>
      </c>
      <c r="E4096" t="str">
        <f>IF(OR(E4095="&lt;/routeDistribution&gt;",E4095=""),"",IFERROR(_xlfn.CONCAT(VLOOKUP(BV62,Route_Column!#REF!,2,FALSE),CHAR(34)," probability=",CHAR(34),1/BV$4,CHAR(34),CHAR(47),CHAR(62)),"&lt;/routeDistribution&gt;"))</f>
        <v/>
      </c>
    </row>
    <row r="4097" spans="1:5" x14ac:dyDescent="0.25">
      <c r="A4097" t="s">
        <v>2147</v>
      </c>
      <c r="B4097" t="s">
        <v>1207</v>
      </c>
      <c r="E4097" t="str">
        <f>IF(OR(E4096="&lt;/routeDistribution&gt;",E4096=""),"",IFERROR(_xlfn.CONCAT(VLOOKUP(BV63,Route_Column!#REF!,2,FALSE),CHAR(34)," probability=",CHAR(34),1/BV$4,CHAR(34),CHAR(47),CHAR(62)),"&lt;/routeDistribution&gt;"))</f>
        <v/>
      </c>
    </row>
    <row r="4098" spans="1:5" x14ac:dyDescent="0.25">
      <c r="A4098" t="s">
        <v>1724</v>
      </c>
      <c r="B4098" t="s">
        <v>1102</v>
      </c>
      <c r="E4098" t="s">
        <v>2686</v>
      </c>
    </row>
    <row r="4099" spans="1:5" x14ac:dyDescent="0.25">
      <c r="A4099" t="s">
        <v>1724</v>
      </c>
      <c r="B4099" t="s">
        <v>1103</v>
      </c>
    </row>
    <row r="4100" spans="1:5" x14ac:dyDescent="0.25">
      <c r="A4100" t="s">
        <v>1724</v>
      </c>
      <c r="B4100" t="s">
        <v>1104</v>
      </c>
    </row>
    <row r="4101" spans="1:5" x14ac:dyDescent="0.25">
      <c r="A4101" t="s">
        <v>1724</v>
      </c>
      <c r="B4101" t="s">
        <v>1105</v>
      </c>
      <c r="E4101" t="str">
        <f>_xlfn.CONCAT($E$1,BU$2,$F$1)</f>
        <v>&lt;routeDistribution id="676-on-ramp-to-76-WB-2010-RouteProbe"&gt;</v>
      </c>
    </row>
    <row r="4102" spans="1:5" x14ac:dyDescent="0.25">
      <c r="A4102" t="s">
        <v>1724</v>
      </c>
      <c r="B4102" t="s">
        <v>1106</v>
      </c>
      <c r="E4102" t="str">
        <f>IF(OR(E4101="&lt;/routeDistribution&gt;",E4101=""),"",IFERROR(_xlfn.CONCAT(VLOOKUP(BU5,Route_Column!#REF!,2,FALSE),CHAR(34)," probability=",CHAR(34),1/BU$4,CHAR(34),CHAR(47),CHAR(62)),"&lt;/routeDistribution&gt;"))</f>
        <v>&lt;/routeDistribution&gt;</v>
      </c>
    </row>
    <row r="4103" spans="1:5" x14ac:dyDescent="0.25">
      <c r="A4103" t="s">
        <v>1724</v>
      </c>
      <c r="B4103" t="s">
        <v>1107</v>
      </c>
      <c r="E4103" t="str">
        <f>IF(OR(E4102="&lt;/routeDistribution&gt;",E4102=""),"",IFERROR(_xlfn.CONCAT(VLOOKUP(BU6,Route_Column!#REF!,2,FALSE),CHAR(34)," probability=",CHAR(34),1/BU$4,CHAR(34),CHAR(47),CHAR(62)),"&lt;/routeDistribution&gt;"))</f>
        <v/>
      </c>
    </row>
    <row r="4104" spans="1:5" x14ac:dyDescent="0.25">
      <c r="A4104" t="s">
        <v>1724</v>
      </c>
      <c r="B4104" t="s">
        <v>1142</v>
      </c>
      <c r="E4104" t="str">
        <f>IF(OR(E4103="&lt;/routeDistribution&gt;",E4103=""),"",IFERROR(_xlfn.CONCAT(VLOOKUP(BU7,Route_Column!#REF!,2,FALSE),CHAR(34)," probability=",CHAR(34),1/BU$4,CHAR(34),CHAR(47),CHAR(62)),"&lt;/routeDistribution&gt;"))</f>
        <v/>
      </c>
    </row>
    <row r="4105" spans="1:5" x14ac:dyDescent="0.25">
      <c r="A4105" t="s">
        <v>1724</v>
      </c>
      <c r="B4105" t="s">
        <v>1148</v>
      </c>
      <c r="E4105" t="str">
        <f>IF(OR(E4104="&lt;/routeDistribution&gt;",E4104=""),"",IFERROR(_xlfn.CONCAT(VLOOKUP(BU8,Route_Column!#REF!,2,FALSE),CHAR(34)," probability=",CHAR(34),1/BU$4,CHAR(34),CHAR(47),CHAR(62)),"&lt;/routeDistribution&gt;"))</f>
        <v/>
      </c>
    </row>
    <row r="4106" spans="1:5" x14ac:dyDescent="0.25">
      <c r="A4106" t="s">
        <v>1724</v>
      </c>
      <c r="B4106" t="s">
        <v>1161</v>
      </c>
      <c r="E4106" t="str">
        <f>IF(OR(E4105="&lt;/routeDistribution&gt;",E4105=""),"",IFERROR(_xlfn.CONCAT(VLOOKUP(BU9,Route_Column!#REF!,2,FALSE),CHAR(34)," probability=",CHAR(34),1/BU$4,CHAR(34),CHAR(47),CHAR(62)),"&lt;/routeDistribution&gt;"))</f>
        <v/>
      </c>
    </row>
    <row r="4107" spans="1:5" x14ac:dyDescent="0.25">
      <c r="A4107" t="s">
        <v>1724</v>
      </c>
      <c r="B4107" t="s">
        <v>1162</v>
      </c>
      <c r="E4107" t="str">
        <f>IF(OR(E4106="&lt;/routeDistribution&gt;",E4106=""),"",IFERROR(_xlfn.CONCAT(VLOOKUP(BU10,Route_Column!#REF!,2,FALSE),CHAR(34)," probability=",CHAR(34),1/BU$4,CHAR(34),CHAR(47),CHAR(62)),"&lt;/routeDistribution&gt;"))</f>
        <v/>
      </c>
    </row>
    <row r="4108" spans="1:5" x14ac:dyDescent="0.25">
      <c r="A4108" t="s">
        <v>1724</v>
      </c>
      <c r="B4108" t="s">
        <v>1169</v>
      </c>
      <c r="E4108" t="str">
        <f>IF(OR(E4107="&lt;/routeDistribution&gt;",E4107=""),"",IFERROR(_xlfn.CONCAT(VLOOKUP(BU11,Route_Column!#REF!,2,FALSE),CHAR(34)," probability=",CHAR(34),1/BU$4,CHAR(34),CHAR(47),CHAR(62)),"&lt;/routeDistribution&gt;"))</f>
        <v/>
      </c>
    </row>
    <row r="4109" spans="1:5" x14ac:dyDescent="0.25">
      <c r="A4109" t="s">
        <v>1724</v>
      </c>
      <c r="B4109" t="s">
        <v>1178</v>
      </c>
      <c r="E4109" t="str">
        <f>IF(OR(E4108="&lt;/routeDistribution&gt;",E4108=""),"",IFERROR(_xlfn.CONCAT(VLOOKUP(BU12,Route_Column!#REF!,2,FALSE),CHAR(34)," probability=",CHAR(34),1/BU$4,CHAR(34),CHAR(47),CHAR(62)),"&lt;/routeDistribution&gt;"))</f>
        <v/>
      </c>
    </row>
    <row r="4110" spans="1:5" x14ac:dyDescent="0.25">
      <c r="A4110" t="s">
        <v>1724</v>
      </c>
      <c r="B4110" t="s">
        <v>1202</v>
      </c>
      <c r="E4110" t="str">
        <f>IF(OR(E4109="&lt;/routeDistribution&gt;",E4109=""),"",IFERROR(_xlfn.CONCAT(VLOOKUP(BU13,Route_Column!#REF!,2,FALSE),CHAR(34)," probability=",CHAR(34),1/BU$4,CHAR(34),CHAR(47),CHAR(62)),"&lt;/routeDistribution&gt;"))</f>
        <v/>
      </c>
    </row>
    <row r="4111" spans="1:5" x14ac:dyDescent="0.25">
      <c r="A4111" t="s">
        <v>1724</v>
      </c>
      <c r="B4111" t="s">
        <v>1237</v>
      </c>
      <c r="E4111" t="str">
        <f>IF(OR(E4110="&lt;/routeDistribution&gt;",E4110=""),"",IFERROR(_xlfn.CONCAT(VLOOKUP(BU14,Route_Column!#REF!,2,FALSE),CHAR(34)," probability=",CHAR(34),1/BU$4,CHAR(34),CHAR(47),CHAR(62)),"&lt;/routeDistribution&gt;"))</f>
        <v/>
      </c>
    </row>
    <row r="4112" spans="1:5" x14ac:dyDescent="0.25">
      <c r="A4112" t="s">
        <v>1724</v>
      </c>
      <c r="B4112" t="s">
        <v>1238</v>
      </c>
      <c r="E4112" t="str">
        <f>IF(OR(E4111="&lt;/routeDistribution&gt;",E4111=""),"",IFERROR(_xlfn.CONCAT(VLOOKUP(BU15,Route_Column!#REF!,2,FALSE),CHAR(34)," probability=",CHAR(34),1/BU$4,CHAR(34),CHAR(47),CHAR(62)),"&lt;/routeDistribution&gt;"))</f>
        <v/>
      </c>
    </row>
    <row r="4113" spans="1:5" x14ac:dyDescent="0.25">
      <c r="A4113" t="s">
        <v>1724</v>
      </c>
      <c r="B4113" t="s">
        <v>1239</v>
      </c>
      <c r="E4113" t="str">
        <f>IF(OR(E4112="&lt;/routeDistribution&gt;",E4112=""),"",IFERROR(_xlfn.CONCAT(VLOOKUP(BU16,Route_Column!#REF!,2,FALSE),CHAR(34)," probability=",CHAR(34),1/BU$4,CHAR(34),CHAR(47),CHAR(62)),"&lt;/routeDistribution&gt;"))</f>
        <v/>
      </c>
    </row>
    <row r="4114" spans="1:5" x14ac:dyDescent="0.25">
      <c r="A4114" t="s">
        <v>1724</v>
      </c>
      <c r="B4114" t="s">
        <v>1240</v>
      </c>
      <c r="E4114" t="str">
        <f>IF(OR(E4113="&lt;/routeDistribution&gt;",E4113=""),"",IFERROR(_xlfn.CONCAT(VLOOKUP(BU17,Route_Column!#REF!,2,FALSE),CHAR(34)," probability=",CHAR(34),1/BU$4,CHAR(34),CHAR(47),CHAR(62)),"&lt;/routeDistribution&gt;"))</f>
        <v/>
      </c>
    </row>
    <row r="4115" spans="1:5" x14ac:dyDescent="0.25">
      <c r="A4115" t="s">
        <v>2146</v>
      </c>
      <c r="B4115" t="s">
        <v>1142</v>
      </c>
      <c r="E4115" t="str">
        <f>IF(OR(E4114="&lt;/routeDistribution&gt;",E4114=""),"",IFERROR(_xlfn.CONCAT(VLOOKUP(BU18,Route_Column!#REF!,2,FALSE),CHAR(34)," probability=",CHAR(34),1/BU$4,CHAR(34),CHAR(47),CHAR(62)),"&lt;/routeDistribution&gt;"))</f>
        <v/>
      </c>
    </row>
    <row r="4116" spans="1:5" x14ac:dyDescent="0.25">
      <c r="A4116" t="s">
        <v>2146</v>
      </c>
      <c r="B4116" t="s">
        <v>1148</v>
      </c>
      <c r="E4116" t="str">
        <f>IF(OR(E4115="&lt;/routeDistribution&gt;",E4115=""),"",IFERROR(_xlfn.CONCAT(VLOOKUP(BU19,Route_Column!#REF!,2,FALSE),CHAR(34)," probability=",CHAR(34),1/BU$4,CHAR(34),CHAR(47),CHAR(62)),"&lt;/routeDistribution&gt;"))</f>
        <v/>
      </c>
    </row>
    <row r="4117" spans="1:5" x14ac:dyDescent="0.25">
      <c r="A4117" t="s">
        <v>2146</v>
      </c>
      <c r="B4117" t="s">
        <v>1178</v>
      </c>
      <c r="E4117" t="str">
        <f>IF(OR(E4116="&lt;/routeDistribution&gt;",E4116=""),"",IFERROR(_xlfn.CONCAT(VLOOKUP(BU20,Route_Column!#REF!,2,FALSE),CHAR(34)," probability=",CHAR(34),1/BU$4,CHAR(34),CHAR(47),CHAR(62)),"&lt;/routeDistribution&gt;"))</f>
        <v/>
      </c>
    </row>
    <row r="4118" spans="1:5" x14ac:dyDescent="0.25">
      <c r="A4118" t="s">
        <v>2146</v>
      </c>
      <c r="B4118" t="s">
        <v>1201</v>
      </c>
      <c r="E4118" t="str">
        <f>IF(OR(E4117="&lt;/routeDistribution&gt;",E4117=""),"",IFERROR(_xlfn.CONCAT(VLOOKUP(BU21,Route_Column!#REF!,2,FALSE),CHAR(34)," probability=",CHAR(34),1/BU$4,CHAR(34),CHAR(47),CHAR(62)),"&lt;/routeDistribution&gt;"))</f>
        <v/>
      </c>
    </row>
    <row r="4119" spans="1:5" x14ac:dyDescent="0.25">
      <c r="A4119" t="s">
        <v>2146</v>
      </c>
      <c r="B4119" t="s">
        <v>1202</v>
      </c>
      <c r="E4119" t="str">
        <f>IF(OR(E4118="&lt;/routeDistribution&gt;",E4118=""),"",IFERROR(_xlfn.CONCAT(VLOOKUP(BU22,Route_Column!#REF!,2,FALSE),CHAR(34)," probability=",CHAR(34),1/BU$4,CHAR(34),CHAR(47),CHAR(62)),"&lt;/routeDistribution&gt;"))</f>
        <v/>
      </c>
    </row>
    <row r="4120" spans="1:5" x14ac:dyDescent="0.25">
      <c r="A4120" t="s">
        <v>2146</v>
      </c>
      <c r="B4120" t="s">
        <v>1206</v>
      </c>
      <c r="E4120" t="str">
        <f>IF(OR(E4119="&lt;/routeDistribution&gt;",E4119=""),"",IFERROR(_xlfn.CONCAT(VLOOKUP(BU23,Route_Column!#REF!,2,FALSE),CHAR(34)," probability=",CHAR(34),1/BU$4,CHAR(34),CHAR(47),CHAR(62)),"&lt;/routeDistribution&gt;"))</f>
        <v/>
      </c>
    </row>
    <row r="4121" spans="1:5" x14ac:dyDescent="0.25">
      <c r="A4121" t="s">
        <v>2146</v>
      </c>
      <c r="B4121" t="s">
        <v>1207</v>
      </c>
      <c r="E4121" t="str">
        <f>IF(OR(E4120="&lt;/routeDistribution&gt;",E4120=""),"",IFERROR(_xlfn.CONCAT(VLOOKUP(BU24,Route_Column!#REF!,2,FALSE),CHAR(34)," probability=",CHAR(34),1/BU$4,CHAR(34),CHAR(47),CHAR(62)),"&lt;/routeDistribution&gt;"))</f>
        <v/>
      </c>
    </row>
    <row r="4122" spans="1:5" x14ac:dyDescent="0.25">
      <c r="A4122" t="s">
        <v>1725</v>
      </c>
      <c r="B4122" t="s">
        <v>1102</v>
      </c>
      <c r="E4122" t="str">
        <f>IF(OR(E4121="&lt;/routeDistribution&gt;",E4121=""),"",IFERROR(_xlfn.CONCAT(VLOOKUP(BU25,Route_Column!#REF!,2,FALSE),CHAR(34)," probability=",CHAR(34),1/BU$4,CHAR(34),CHAR(47),CHAR(62)),"&lt;/routeDistribution&gt;"))</f>
        <v/>
      </c>
    </row>
    <row r="4123" spans="1:5" x14ac:dyDescent="0.25">
      <c r="A4123" t="s">
        <v>1725</v>
      </c>
      <c r="B4123" t="s">
        <v>1103</v>
      </c>
      <c r="E4123" t="str">
        <f>IF(OR(E4122="&lt;/routeDistribution&gt;",E4122=""),"",IFERROR(_xlfn.CONCAT(VLOOKUP(BU26,Route_Column!#REF!,2,FALSE),CHAR(34)," probability=",CHAR(34),1/BU$4,CHAR(34),CHAR(47),CHAR(62)),"&lt;/routeDistribution&gt;"))</f>
        <v/>
      </c>
    </row>
    <row r="4124" spans="1:5" x14ac:dyDescent="0.25">
      <c r="A4124" t="s">
        <v>1725</v>
      </c>
      <c r="B4124" t="s">
        <v>1104</v>
      </c>
      <c r="E4124" t="str">
        <f>IF(OR(E4123="&lt;/routeDistribution&gt;",E4123=""),"",IFERROR(_xlfn.CONCAT(VLOOKUP(BU27,Route_Column!#REF!,2,FALSE),CHAR(34)," probability=",CHAR(34),1/BU$4,CHAR(34),CHAR(47),CHAR(62)),"&lt;/routeDistribution&gt;"))</f>
        <v/>
      </c>
    </row>
    <row r="4125" spans="1:5" x14ac:dyDescent="0.25">
      <c r="A4125" t="s">
        <v>1725</v>
      </c>
      <c r="B4125" t="s">
        <v>1105</v>
      </c>
      <c r="E4125" t="str">
        <f>IF(OR(E4124="&lt;/routeDistribution&gt;",E4124=""),"",IFERROR(_xlfn.CONCAT(VLOOKUP(BU28,Route_Column!#REF!,2,FALSE),CHAR(34)," probability=",CHAR(34),1/BU$4,CHAR(34),CHAR(47),CHAR(62)),"&lt;/routeDistribution&gt;"))</f>
        <v/>
      </c>
    </row>
    <row r="4126" spans="1:5" x14ac:dyDescent="0.25">
      <c r="A4126" t="s">
        <v>1725</v>
      </c>
      <c r="B4126" t="s">
        <v>1106</v>
      </c>
      <c r="E4126" t="str">
        <f>IF(OR(E4125="&lt;/routeDistribution&gt;",E4125=""),"",IFERROR(_xlfn.CONCAT(VLOOKUP(BU29,Route_Column!#REF!,2,FALSE),CHAR(34)," probability=",CHAR(34),1/BU$4,CHAR(34),CHAR(47),CHAR(62)),"&lt;/routeDistribution&gt;"))</f>
        <v/>
      </c>
    </row>
    <row r="4127" spans="1:5" x14ac:dyDescent="0.25">
      <c r="A4127" t="s">
        <v>1725</v>
      </c>
      <c r="B4127" t="s">
        <v>1107</v>
      </c>
      <c r="E4127" t="str">
        <f>IF(OR(E4126="&lt;/routeDistribution&gt;",E4126=""),"",IFERROR(_xlfn.CONCAT(VLOOKUP(BU30,Route_Column!#REF!,2,FALSE),CHAR(34)," probability=",CHAR(34),1/BU$4,CHAR(34),CHAR(47),CHAR(62)),"&lt;/routeDistribution&gt;"))</f>
        <v/>
      </c>
    </row>
    <row r="4128" spans="1:5" x14ac:dyDescent="0.25">
      <c r="A4128" t="s">
        <v>1725</v>
      </c>
      <c r="B4128" t="s">
        <v>1142</v>
      </c>
      <c r="E4128" t="str">
        <f>IF(OR(E4127="&lt;/routeDistribution&gt;",E4127=""),"",IFERROR(_xlfn.CONCAT(VLOOKUP(BU31,Route_Column!#REF!,2,FALSE),CHAR(34)," probability=",CHAR(34),1/BU$4,CHAR(34),CHAR(47),CHAR(62)),"&lt;/routeDistribution&gt;"))</f>
        <v/>
      </c>
    </row>
    <row r="4129" spans="1:5" x14ac:dyDescent="0.25">
      <c r="A4129" t="s">
        <v>1725</v>
      </c>
      <c r="B4129" t="s">
        <v>1148</v>
      </c>
      <c r="E4129" t="str">
        <f>IF(OR(E4128="&lt;/routeDistribution&gt;",E4128=""),"",IFERROR(_xlfn.CONCAT(VLOOKUP(BU32,Route_Column!#REF!,2,FALSE),CHAR(34)," probability=",CHAR(34),1/BU$4,CHAR(34),CHAR(47),CHAR(62)),"&lt;/routeDistribution&gt;"))</f>
        <v/>
      </c>
    </row>
    <row r="4130" spans="1:5" x14ac:dyDescent="0.25">
      <c r="A4130" t="s">
        <v>1725</v>
      </c>
      <c r="B4130" t="s">
        <v>1161</v>
      </c>
      <c r="E4130" t="str">
        <f>IF(OR(E4129="&lt;/routeDistribution&gt;",E4129=""),"",IFERROR(_xlfn.CONCAT(VLOOKUP(BU33,Route_Column!#REF!,2,FALSE),CHAR(34)," probability=",CHAR(34),1/BU$4,CHAR(34),CHAR(47),CHAR(62)),"&lt;/routeDistribution&gt;"))</f>
        <v/>
      </c>
    </row>
    <row r="4131" spans="1:5" x14ac:dyDescent="0.25">
      <c r="A4131" t="s">
        <v>1725</v>
      </c>
      <c r="B4131" t="s">
        <v>1162</v>
      </c>
      <c r="E4131" t="str">
        <f>IF(OR(E4130="&lt;/routeDistribution&gt;",E4130=""),"",IFERROR(_xlfn.CONCAT(VLOOKUP(BU34,Route_Column!#REF!,2,FALSE),CHAR(34)," probability=",CHAR(34),1/BU$4,CHAR(34),CHAR(47),CHAR(62)),"&lt;/routeDistribution&gt;"))</f>
        <v/>
      </c>
    </row>
    <row r="4132" spans="1:5" x14ac:dyDescent="0.25">
      <c r="A4132" t="s">
        <v>1725</v>
      </c>
      <c r="B4132" t="s">
        <v>1169</v>
      </c>
      <c r="E4132" t="str">
        <f>IF(OR(E4131="&lt;/routeDistribution&gt;",E4131=""),"",IFERROR(_xlfn.CONCAT(VLOOKUP(BU35,Route_Column!#REF!,2,FALSE),CHAR(34)," probability=",CHAR(34),1/BU$4,CHAR(34),CHAR(47),CHAR(62)),"&lt;/routeDistribution&gt;"))</f>
        <v/>
      </c>
    </row>
    <row r="4133" spans="1:5" x14ac:dyDescent="0.25">
      <c r="A4133" t="s">
        <v>1725</v>
      </c>
      <c r="B4133" t="s">
        <v>1178</v>
      </c>
      <c r="E4133" t="str">
        <f>IF(OR(E4132="&lt;/routeDistribution&gt;",E4132=""),"",IFERROR(_xlfn.CONCAT(VLOOKUP(BU36,Route_Column!#REF!,2,FALSE),CHAR(34)," probability=",CHAR(34),1/BU$4,CHAR(34),CHAR(47),CHAR(62)),"&lt;/routeDistribution&gt;"))</f>
        <v/>
      </c>
    </row>
    <row r="4134" spans="1:5" x14ac:dyDescent="0.25">
      <c r="A4134" t="s">
        <v>1725</v>
      </c>
      <c r="B4134" t="s">
        <v>1202</v>
      </c>
      <c r="E4134" t="str">
        <f>IF(OR(E4133="&lt;/routeDistribution&gt;",E4133=""),"",IFERROR(_xlfn.CONCAT(VLOOKUP(BU37,Route_Column!#REF!,2,FALSE),CHAR(34)," probability=",CHAR(34),1/BU$4,CHAR(34),CHAR(47),CHAR(62)),"&lt;/routeDistribution&gt;"))</f>
        <v/>
      </c>
    </row>
    <row r="4135" spans="1:5" x14ac:dyDescent="0.25">
      <c r="A4135" t="s">
        <v>1725</v>
      </c>
      <c r="B4135" t="s">
        <v>1237</v>
      </c>
      <c r="E4135" t="str">
        <f>IF(OR(E4134="&lt;/routeDistribution&gt;",E4134=""),"",IFERROR(_xlfn.CONCAT(VLOOKUP(BU38,Route_Column!#REF!,2,FALSE),CHAR(34)," probability=",CHAR(34),1/BU$4,CHAR(34),CHAR(47),CHAR(62)),"&lt;/routeDistribution&gt;"))</f>
        <v/>
      </c>
    </row>
    <row r="4136" spans="1:5" x14ac:dyDescent="0.25">
      <c r="A4136" t="s">
        <v>1725</v>
      </c>
      <c r="B4136" t="s">
        <v>1238</v>
      </c>
      <c r="E4136" t="str">
        <f>IF(OR(E4135="&lt;/routeDistribution&gt;",E4135=""),"",IFERROR(_xlfn.CONCAT(VLOOKUP(BU39,Route_Column!#REF!,2,FALSE),CHAR(34)," probability=",CHAR(34),1/BU$4,CHAR(34),CHAR(47),CHAR(62)),"&lt;/routeDistribution&gt;"))</f>
        <v/>
      </c>
    </row>
    <row r="4137" spans="1:5" x14ac:dyDescent="0.25">
      <c r="A4137" t="s">
        <v>1725</v>
      </c>
      <c r="B4137" t="s">
        <v>1239</v>
      </c>
      <c r="E4137" t="str">
        <f>IF(OR(E4136="&lt;/routeDistribution&gt;",E4136=""),"",IFERROR(_xlfn.CONCAT(VLOOKUP(BU40,Route_Column!#REF!,2,FALSE),CHAR(34)," probability=",CHAR(34),1/BU$4,CHAR(34),CHAR(47),CHAR(62)),"&lt;/routeDistribution&gt;"))</f>
        <v/>
      </c>
    </row>
    <row r="4138" spans="1:5" x14ac:dyDescent="0.25">
      <c r="A4138" t="s">
        <v>1725</v>
      </c>
      <c r="B4138" t="s">
        <v>1240</v>
      </c>
      <c r="E4138" t="str">
        <f>IF(OR(E4137="&lt;/routeDistribution&gt;",E4137=""),"",IFERROR(_xlfn.CONCAT(VLOOKUP(BU41,Route_Column!#REF!,2,FALSE),CHAR(34)," probability=",CHAR(34),1/BU$4,CHAR(34),CHAR(47),CHAR(62)),"&lt;/routeDistribution&gt;"))</f>
        <v/>
      </c>
    </row>
    <row r="4139" spans="1:5" x14ac:dyDescent="0.25">
      <c r="A4139" t="s">
        <v>1725</v>
      </c>
      <c r="B4139" t="s">
        <v>1246</v>
      </c>
      <c r="E4139" t="str">
        <f>IF(OR(E4138="&lt;/routeDistribution&gt;",E4138=""),"",IFERROR(_xlfn.CONCAT(VLOOKUP(BU42,Route_Column!#REF!,2,FALSE),CHAR(34)," probability=",CHAR(34),1/BU$4,CHAR(34),CHAR(47),CHAR(62)),"&lt;/routeDistribution&gt;"))</f>
        <v/>
      </c>
    </row>
    <row r="4140" spans="1:5" x14ac:dyDescent="0.25">
      <c r="A4140" t="s">
        <v>1725</v>
      </c>
      <c r="B4140" t="s">
        <v>1247</v>
      </c>
      <c r="E4140" t="str">
        <f>IF(OR(E4139="&lt;/routeDistribution&gt;",E4139=""),"",IFERROR(_xlfn.CONCAT(VLOOKUP(BU43,Route_Column!#REF!,2,FALSE),CHAR(34)," probability=",CHAR(34),1/BU$4,CHAR(34),CHAR(47),CHAR(62)),"&lt;/routeDistribution&gt;"))</f>
        <v/>
      </c>
    </row>
    <row r="4141" spans="1:5" x14ac:dyDescent="0.25">
      <c r="A4141" t="s">
        <v>1725</v>
      </c>
      <c r="B4141" t="s">
        <v>1248</v>
      </c>
      <c r="E4141" t="str">
        <f>IF(OR(E4140="&lt;/routeDistribution&gt;",E4140=""),"",IFERROR(_xlfn.CONCAT(VLOOKUP(BU44,Route_Column!#REF!,2,FALSE),CHAR(34)," probability=",CHAR(34),1/BU$4,CHAR(34),CHAR(47),CHAR(62)),"&lt;/routeDistribution&gt;"))</f>
        <v/>
      </c>
    </row>
    <row r="4142" spans="1:5" x14ac:dyDescent="0.25">
      <c r="A4142" t="s">
        <v>1725</v>
      </c>
      <c r="B4142" t="s">
        <v>1249</v>
      </c>
      <c r="E4142" t="str">
        <f>IF(OR(E4141="&lt;/routeDistribution&gt;",E4141=""),"",IFERROR(_xlfn.CONCAT(VLOOKUP(BU45,Route_Column!#REF!,2,FALSE),CHAR(34)," probability=",CHAR(34),1/BU$4,CHAR(34),CHAR(47),CHAR(62)),"&lt;/routeDistribution&gt;"))</f>
        <v/>
      </c>
    </row>
    <row r="4143" spans="1:5" x14ac:dyDescent="0.25">
      <c r="A4143" t="s">
        <v>1780</v>
      </c>
      <c r="B4143" t="s">
        <v>1104</v>
      </c>
      <c r="E4143" t="str">
        <f>IF(OR(E4142="&lt;/routeDistribution&gt;",E4142=""),"",IFERROR(_xlfn.CONCAT(VLOOKUP(BU46,Route_Column!#REF!,2,FALSE),CHAR(34)," probability=",CHAR(34),1/BU$4,CHAR(34),CHAR(47),CHAR(62)),"&lt;/routeDistribution&gt;"))</f>
        <v/>
      </c>
    </row>
    <row r="4144" spans="1:5" x14ac:dyDescent="0.25">
      <c r="A4144" t="s">
        <v>1780</v>
      </c>
      <c r="B4144" t="s">
        <v>1105</v>
      </c>
      <c r="E4144" t="str">
        <f>IF(OR(E4143="&lt;/routeDistribution&gt;",E4143=""),"",IFERROR(_xlfn.CONCAT(VLOOKUP(BU47,Route_Column!#REF!,2,FALSE),CHAR(34)," probability=",CHAR(34),1/BU$4,CHAR(34),CHAR(47),CHAR(62)),"&lt;/routeDistribution&gt;"))</f>
        <v/>
      </c>
    </row>
    <row r="4145" spans="1:5" x14ac:dyDescent="0.25">
      <c r="A4145" t="s">
        <v>1780</v>
      </c>
      <c r="B4145" t="s">
        <v>1116</v>
      </c>
      <c r="E4145" t="str">
        <f>IF(OR(E4144="&lt;/routeDistribution&gt;",E4144=""),"",IFERROR(_xlfn.CONCAT(VLOOKUP(BU48,Route_Column!#REF!,2,FALSE),CHAR(34)," probability=",CHAR(34),1/BU$4,CHAR(34),CHAR(47),CHAR(62)),"&lt;/routeDistribution&gt;"))</f>
        <v/>
      </c>
    </row>
    <row r="4146" spans="1:5" x14ac:dyDescent="0.25">
      <c r="A4146" t="s">
        <v>1780</v>
      </c>
      <c r="B4146" t="s">
        <v>1117</v>
      </c>
      <c r="E4146" t="str">
        <f>IF(OR(E4145="&lt;/routeDistribution&gt;",E4145=""),"",IFERROR(_xlfn.CONCAT(VLOOKUP(BU49,Route_Column!#REF!,2,FALSE),CHAR(34)," probability=",CHAR(34),1/BU$4,CHAR(34),CHAR(47),CHAR(62)),"&lt;/routeDistribution&gt;"))</f>
        <v/>
      </c>
    </row>
    <row r="4147" spans="1:5" x14ac:dyDescent="0.25">
      <c r="A4147" t="s">
        <v>1780</v>
      </c>
      <c r="B4147" t="s">
        <v>1118</v>
      </c>
      <c r="E4147" t="str">
        <f>IF(OR(E4146="&lt;/routeDistribution&gt;",E4146=""),"",IFERROR(_xlfn.CONCAT(VLOOKUP(BU50,Route_Column!#REF!,2,FALSE),CHAR(34)," probability=",CHAR(34),1/BU$4,CHAR(34),CHAR(47),CHAR(62)),"&lt;/routeDistribution&gt;"))</f>
        <v/>
      </c>
    </row>
    <row r="4148" spans="1:5" x14ac:dyDescent="0.25">
      <c r="A4148" t="s">
        <v>1780</v>
      </c>
      <c r="B4148" t="s">
        <v>1223</v>
      </c>
      <c r="E4148" t="str">
        <f>IF(OR(E4147="&lt;/routeDistribution&gt;",E4147=""),"",IFERROR(_xlfn.CONCAT(VLOOKUP(BU51,Route_Column!#REF!,2,FALSE),CHAR(34)," probability=",CHAR(34),1/BU$4,CHAR(34),CHAR(47),CHAR(62)),"&lt;/routeDistribution&gt;"))</f>
        <v/>
      </c>
    </row>
    <row r="4149" spans="1:5" x14ac:dyDescent="0.25">
      <c r="A4149" t="s">
        <v>1780</v>
      </c>
      <c r="B4149" t="s">
        <v>1239</v>
      </c>
      <c r="E4149" t="str">
        <f>IF(OR(E4148="&lt;/routeDistribution&gt;",E4148=""),"",IFERROR(_xlfn.CONCAT(VLOOKUP(BU52,Route_Column!#REF!,2,FALSE),CHAR(34)," probability=",CHAR(34),1/BU$4,CHAR(34),CHAR(47),CHAR(62)),"&lt;/routeDistribution&gt;"))</f>
        <v/>
      </c>
    </row>
    <row r="4150" spans="1:5" x14ac:dyDescent="0.25">
      <c r="A4150" t="s">
        <v>1780</v>
      </c>
      <c r="B4150" t="s">
        <v>1240</v>
      </c>
      <c r="E4150" t="str">
        <f>IF(OR(E4149="&lt;/routeDistribution&gt;",E4149=""),"",IFERROR(_xlfn.CONCAT(VLOOKUP(BU53,Route_Column!#REF!,2,FALSE),CHAR(34)," probability=",CHAR(34),1/BU$4,CHAR(34),CHAR(47),CHAR(62)),"&lt;/routeDistribution&gt;"))</f>
        <v/>
      </c>
    </row>
    <row r="4151" spans="1:5" x14ac:dyDescent="0.25">
      <c r="A4151" t="s">
        <v>1717</v>
      </c>
      <c r="B4151" t="s">
        <v>1101</v>
      </c>
      <c r="E4151" t="str">
        <f>IF(OR(E4150="&lt;/routeDistribution&gt;",E4150=""),"",IFERROR(_xlfn.CONCAT(VLOOKUP(BU54,Route_Column!#REF!,2,FALSE),CHAR(34)," probability=",CHAR(34),1/BU$4,CHAR(34),CHAR(47),CHAR(62)),"&lt;/routeDistribution&gt;"))</f>
        <v/>
      </c>
    </row>
    <row r="4152" spans="1:5" x14ac:dyDescent="0.25">
      <c r="A4152" t="s">
        <v>1717</v>
      </c>
      <c r="B4152" t="s">
        <v>1104</v>
      </c>
      <c r="E4152" t="str">
        <f>IF(OR(E4151="&lt;/routeDistribution&gt;",E4151=""),"",IFERROR(_xlfn.CONCAT(VLOOKUP(BU55,Route_Column!#REF!,2,FALSE),CHAR(34)," probability=",CHAR(34),1/BU$4,CHAR(34),CHAR(47),CHAR(62)),"&lt;/routeDistribution&gt;"))</f>
        <v/>
      </c>
    </row>
    <row r="4153" spans="1:5" x14ac:dyDescent="0.25">
      <c r="A4153" t="s">
        <v>1717</v>
      </c>
      <c r="B4153" t="s">
        <v>1105</v>
      </c>
      <c r="E4153" t="str">
        <f>IF(OR(E4152="&lt;/routeDistribution&gt;",E4152=""),"",IFERROR(_xlfn.CONCAT(VLOOKUP(BU56,Route_Column!#REF!,2,FALSE),CHAR(34)," probability=",CHAR(34),1/BU$4,CHAR(34),CHAR(47),CHAR(62)),"&lt;/routeDistribution&gt;"))</f>
        <v/>
      </c>
    </row>
    <row r="4154" spans="1:5" x14ac:dyDescent="0.25">
      <c r="A4154" t="s">
        <v>1717</v>
      </c>
      <c r="B4154" t="s">
        <v>1107</v>
      </c>
      <c r="E4154" t="str">
        <f>IF(OR(E4153="&lt;/routeDistribution&gt;",E4153=""),"",IFERROR(_xlfn.CONCAT(VLOOKUP(BU57,Route_Column!#REF!,2,FALSE),CHAR(34)," probability=",CHAR(34),1/BU$4,CHAR(34),CHAR(47),CHAR(62)),"&lt;/routeDistribution&gt;"))</f>
        <v/>
      </c>
    </row>
    <row r="4155" spans="1:5" x14ac:dyDescent="0.25">
      <c r="A4155" t="s">
        <v>1717</v>
      </c>
      <c r="B4155" t="s">
        <v>1116</v>
      </c>
      <c r="E4155" t="str">
        <f>IF(OR(E4154="&lt;/routeDistribution&gt;",E4154=""),"",IFERROR(_xlfn.CONCAT(VLOOKUP(BU58,Route_Column!#REF!,2,FALSE),CHAR(34)," probability=",CHAR(34),1/BU$4,CHAR(34),CHAR(47),CHAR(62)),"&lt;/routeDistribution&gt;"))</f>
        <v/>
      </c>
    </row>
    <row r="4156" spans="1:5" x14ac:dyDescent="0.25">
      <c r="A4156" t="s">
        <v>1717</v>
      </c>
      <c r="B4156" t="s">
        <v>1116</v>
      </c>
      <c r="E4156" t="str">
        <f>IF(OR(E4155="&lt;/routeDistribution&gt;",E4155=""),"",IFERROR(_xlfn.CONCAT(VLOOKUP(BU59,Route_Column!#REF!,2,FALSE),CHAR(34)," probability=",CHAR(34),1/BU$4,CHAR(34),CHAR(47),CHAR(62)),"&lt;/routeDistribution&gt;"))</f>
        <v/>
      </c>
    </row>
    <row r="4157" spans="1:5" x14ac:dyDescent="0.25">
      <c r="A4157" t="s">
        <v>1717</v>
      </c>
      <c r="B4157" t="s">
        <v>1117</v>
      </c>
      <c r="E4157" t="str">
        <f>IF(OR(E4156="&lt;/routeDistribution&gt;",E4156=""),"",IFERROR(_xlfn.CONCAT(VLOOKUP(BU60,Route_Column!#REF!,2,FALSE),CHAR(34)," probability=",CHAR(34),1/BU$4,CHAR(34),CHAR(47),CHAR(62)),"&lt;/routeDistribution&gt;"))</f>
        <v/>
      </c>
    </row>
    <row r="4158" spans="1:5" x14ac:dyDescent="0.25">
      <c r="A4158" t="s">
        <v>1717</v>
      </c>
      <c r="B4158" t="s">
        <v>1117</v>
      </c>
      <c r="E4158" t="str">
        <f>IF(OR(E4157="&lt;/routeDistribution&gt;",E4157=""),"",IFERROR(_xlfn.CONCAT(VLOOKUP(BU61,Route_Column!#REF!,2,FALSE),CHAR(34)," probability=",CHAR(34),1/BU$4,CHAR(34),CHAR(47),CHAR(62)),"&lt;/routeDistribution&gt;"))</f>
        <v/>
      </c>
    </row>
    <row r="4159" spans="1:5" x14ac:dyDescent="0.25">
      <c r="A4159" t="s">
        <v>1717</v>
      </c>
      <c r="B4159" t="s">
        <v>1118</v>
      </c>
      <c r="E4159" t="str">
        <f>IF(OR(E4158="&lt;/routeDistribution&gt;",E4158=""),"",IFERROR(_xlfn.CONCAT(VLOOKUP(BU62,Route_Column!#REF!,2,FALSE),CHAR(34)," probability=",CHAR(34),1/BU$4,CHAR(34),CHAR(47),CHAR(62)),"&lt;/routeDistribution&gt;"))</f>
        <v/>
      </c>
    </row>
    <row r="4160" spans="1:5" x14ac:dyDescent="0.25">
      <c r="A4160" t="s">
        <v>1717</v>
      </c>
      <c r="B4160" t="s">
        <v>1118</v>
      </c>
      <c r="E4160" t="str">
        <f>IF(OR(E4159="&lt;/routeDistribution&gt;",E4159=""),"",IFERROR(_xlfn.CONCAT(VLOOKUP(BU63,Route_Column!#REF!,2,FALSE),CHAR(34)," probability=",CHAR(34),1/BU$4,CHAR(34),CHAR(47),CHAR(62)),"&lt;/routeDistribution&gt;"))</f>
        <v/>
      </c>
    </row>
    <row r="4161" spans="1:5" x14ac:dyDescent="0.25">
      <c r="A4161" t="s">
        <v>1717</v>
      </c>
      <c r="B4161" t="s">
        <v>1119</v>
      </c>
      <c r="E4161" t="s">
        <v>2686</v>
      </c>
    </row>
    <row r="4162" spans="1:5" x14ac:dyDescent="0.25">
      <c r="A4162" t="s">
        <v>1717</v>
      </c>
      <c r="B4162" t="s">
        <v>1120</v>
      </c>
    </row>
    <row r="4163" spans="1:5" x14ac:dyDescent="0.25">
      <c r="A4163" t="s">
        <v>1717</v>
      </c>
      <c r="B4163" t="s">
        <v>1142</v>
      </c>
    </row>
    <row r="4164" spans="1:5" x14ac:dyDescent="0.25">
      <c r="A4164" t="s">
        <v>1717</v>
      </c>
      <c r="B4164" t="s">
        <v>1148</v>
      </c>
      <c r="E4164" t="str">
        <f>_xlfn.CONCAT($E$1,BT$2,$F$1)</f>
        <v>&lt;routeDistribution id="22ndst-676-overpass-EB-2010-RouteProbe"&gt;</v>
      </c>
    </row>
    <row r="4165" spans="1:5" x14ac:dyDescent="0.25">
      <c r="A4165" t="s">
        <v>1717</v>
      </c>
      <c r="B4165" t="s">
        <v>1169</v>
      </c>
      <c r="E4165" t="str">
        <f>IF(OR(E4164="&lt;/routeDistribution&gt;",E4164=""),"",IFERROR(_xlfn.CONCAT(VLOOKUP(BT5,Route_Column!#REF!,2,FALSE),CHAR(34)," probability=",CHAR(34),1/BT$4,CHAR(34),CHAR(47),CHAR(62)),"&lt;/routeDistribution&gt;"))</f>
        <v>&lt;/routeDistribution&gt;</v>
      </c>
    </row>
    <row r="4166" spans="1:5" x14ac:dyDescent="0.25">
      <c r="A4166" t="s">
        <v>1717</v>
      </c>
      <c r="B4166" t="s">
        <v>1178</v>
      </c>
      <c r="E4166" t="str">
        <f>IF(OR(E4165="&lt;/routeDistribution&gt;",E4165=""),"",IFERROR(_xlfn.CONCAT(VLOOKUP(BT6,Route_Column!#REF!,2,FALSE),CHAR(34)," probability=",CHAR(34),1/BT$4,CHAR(34),CHAR(47),CHAR(62)),"&lt;/routeDistribution&gt;"))</f>
        <v/>
      </c>
    </row>
    <row r="4167" spans="1:5" x14ac:dyDescent="0.25">
      <c r="A4167" t="s">
        <v>1717</v>
      </c>
      <c r="B4167" t="s">
        <v>1202</v>
      </c>
      <c r="E4167" t="str">
        <f>IF(OR(E4166="&lt;/routeDistribution&gt;",E4166=""),"",IFERROR(_xlfn.CONCAT(VLOOKUP(BT7,Route_Column!#REF!,2,FALSE),CHAR(34)," probability=",CHAR(34),1/BT$4,CHAR(34),CHAR(47),CHAR(62)),"&lt;/routeDistribution&gt;"))</f>
        <v/>
      </c>
    </row>
    <row r="4168" spans="1:5" x14ac:dyDescent="0.25">
      <c r="A4168" t="s">
        <v>1717</v>
      </c>
      <c r="B4168" t="s">
        <v>1235</v>
      </c>
      <c r="E4168" t="str">
        <f>IF(OR(E4167="&lt;/routeDistribution&gt;",E4167=""),"",IFERROR(_xlfn.CONCAT(VLOOKUP(BT8,Route_Column!#REF!,2,FALSE),CHAR(34)," probability=",CHAR(34),1/BT$4,CHAR(34),CHAR(47),CHAR(62)),"&lt;/routeDistribution&gt;"))</f>
        <v/>
      </c>
    </row>
    <row r="4169" spans="1:5" x14ac:dyDescent="0.25">
      <c r="A4169" t="s">
        <v>1717</v>
      </c>
      <c r="B4169" t="s">
        <v>1236</v>
      </c>
      <c r="E4169" t="str">
        <f>IF(OR(E4168="&lt;/routeDistribution&gt;",E4168=""),"",IFERROR(_xlfn.CONCAT(VLOOKUP(BT9,Route_Column!#REF!,2,FALSE),CHAR(34)," probability=",CHAR(34),1/BT$4,CHAR(34),CHAR(47),CHAR(62)),"&lt;/routeDistribution&gt;"))</f>
        <v/>
      </c>
    </row>
    <row r="4170" spans="1:5" x14ac:dyDescent="0.25">
      <c r="A4170" t="s">
        <v>1717</v>
      </c>
      <c r="B4170" t="s">
        <v>1239</v>
      </c>
      <c r="E4170" t="str">
        <f>IF(OR(E4169="&lt;/routeDistribution&gt;",E4169=""),"",IFERROR(_xlfn.CONCAT(VLOOKUP(BT10,Route_Column!#REF!,2,FALSE),CHAR(34)," probability=",CHAR(34),1/BT$4,CHAR(34),CHAR(47),CHAR(62)),"&lt;/routeDistribution&gt;"))</f>
        <v/>
      </c>
    </row>
    <row r="4171" spans="1:5" x14ac:dyDescent="0.25">
      <c r="A4171" t="s">
        <v>1717</v>
      </c>
      <c r="B4171" t="s">
        <v>1240</v>
      </c>
      <c r="E4171" t="str">
        <f>IF(OR(E4170="&lt;/routeDistribution&gt;",E4170=""),"",IFERROR(_xlfn.CONCAT(VLOOKUP(BT11,Route_Column!#REF!,2,FALSE),CHAR(34)," probability=",CHAR(34),1/BT$4,CHAR(34),CHAR(47),CHAR(62)),"&lt;/routeDistribution&gt;"))</f>
        <v/>
      </c>
    </row>
    <row r="4172" spans="1:5" x14ac:dyDescent="0.25">
      <c r="A4172" t="s">
        <v>1717</v>
      </c>
      <c r="B4172" t="s">
        <v>1240</v>
      </c>
      <c r="E4172" t="str">
        <f>IF(OR(E4171="&lt;/routeDistribution&gt;",E4171=""),"",IFERROR(_xlfn.CONCAT(VLOOKUP(BT12,Route_Column!#REF!,2,FALSE),CHAR(34)," probability=",CHAR(34),1/BT$4,CHAR(34),CHAR(47),CHAR(62)),"&lt;/routeDistribution&gt;"))</f>
        <v/>
      </c>
    </row>
    <row r="4173" spans="1:5" x14ac:dyDescent="0.25">
      <c r="A4173" t="s">
        <v>1717</v>
      </c>
      <c r="B4173" t="s">
        <v>1249</v>
      </c>
      <c r="E4173" t="str">
        <f>IF(OR(E4172="&lt;/routeDistribution&gt;",E4172=""),"",IFERROR(_xlfn.CONCAT(VLOOKUP(BT13,Route_Column!#REF!,2,FALSE),CHAR(34)," probability=",CHAR(34),1/BT$4,CHAR(34),CHAR(47),CHAR(62)),"&lt;/routeDistribution&gt;"))</f>
        <v/>
      </c>
    </row>
    <row r="4174" spans="1:5" x14ac:dyDescent="0.25">
      <c r="A4174" t="s">
        <v>1779</v>
      </c>
      <c r="B4174" t="s">
        <v>1104</v>
      </c>
      <c r="E4174" t="str">
        <f>IF(OR(E4173="&lt;/routeDistribution&gt;",E4173=""),"",IFERROR(_xlfn.CONCAT(VLOOKUP(BT14,Route_Column!#REF!,2,FALSE),CHAR(34)," probability=",CHAR(34),1/BT$4,CHAR(34),CHAR(47),CHAR(62)),"&lt;/routeDistribution&gt;"))</f>
        <v/>
      </c>
    </row>
    <row r="4175" spans="1:5" x14ac:dyDescent="0.25">
      <c r="A4175" t="s">
        <v>1779</v>
      </c>
      <c r="B4175" t="s">
        <v>1105</v>
      </c>
      <c r="E4175" t="str">
        <f>IF(OR(E4174="&lt;/routeDistribution&gt;",E4174=""),"",IFERROR(_xlfn.CONCAT(VLOOKUP(BT15,Route_Column!#REF!,2,FALSE),CHAR(34)," probability=",CHAR(34),1/BT$4,CHAR(34),CHAR(47),CHAR(62)),"&lt;/routeDistribution&gt;"))</f>
        <v/>
      </c>
    </row>
    <row r="4176" spans="1:5" x14ac:dyDescent="0.25">
      <c r="A4176" t="s">
        <v>1779</v>
      </c>
      <c r="B4176" t="s">
        <v>1116</v>
      </c>
      <c r="E4176" t="str">
        <f>IF(OR(E4175="&lt;/routeDistribution&gt;",E4175=""),"",IFERROR(_xlfn.CONCAT(VLOOKUP(BT16,Route_Column!#REF!,2,FALSE),CHAR(34)," probability=",CHAR(34),1/BT$4,CHAR(34),CHAR(47),CHAR(62)),"&lt;/routeDistribution&gt;"))</f>
        <v/>
      </c>
    </row>
    <row r="4177" spans="1:5" x14ac:dyDescent="0.25">
      <c r="A4177" t="s">
        <v>1779</v>
      </c>
      <c r="B4177" t="s">
        <v>1117</v>
      </c>
      <c r="E4177" t="str">
        <f>IF(OR(E4176="&lt;/routeDistribution&gt;",E4176=""),"",IFERROR(_xlfn.CONCAT(VLOOKUP(BT17,Route_Column!#REF!,2,FALSE),CHAR(34)," probability=",CHAR(34),1/BT$4,CHAR(34),CHAR(47),CHAR(62)),"&lt;/routeDistribution&gt;"))</f>
        <v/>
      </c>
    </row>
    <row r="4178" spans="1:5" x14ac:dyDescent="0.25">
      <c r="A4178" t="s">
        <v>1779</v>
      </c>
      <c r="B4178" t="s">
        <v>1118</v>
      </c>
      <c r="E4178" t="str">
        <f>IF(OR(E4177="&lt;/routeDistribution&gt;",E4177=""),"",IFERROR(_xlfn.CONCAT(VLOOKUP(BT18,Route_Column!#REF!,2,FALSE),CHAR(34)," probability=",CHAR(34),1/BT$4,CHAR(34),CHAR(47),CHAR(62)),"&lt;/routeDistribution&gt;"))</f>
        <v/>
      </c>
    </row>
    <row r="4179" spans="1:5" x14ac:dyDescent="0.25">
      <c r="A4179" t="s">
        <v>1779</v>
      </c>
      <c r="B4179" t="s">
        <v>1223</v>
      </c>
      <c r="E4179" t="str">
        <f>IF(OR(E4178="&lt;/routeDistribution&gt;",E4178=""),"",IFERROR(_xlfn.CONCAT(VLOOKUP(BT19,Route_Column!#REF!,2,FALSE),CHAR(34)," probability=",CHAR(34),1/BT$4,CHAR(34),CHAR(47),CHAR(62)),"&lt;/routeDistribution&gt;"))</f>
        <v/>
      </c>
    </row>
    <row r="4180" spans="1:5" x14ac:dyDescent="0.25">
      <c r="A4180" t="s">
        <v>1779</v>
      </c>
      <c r="B4180" t="s">
        <v>1239</v>
      </c>
      <c r="E4180" t="str">
        <f>IF(OR(E4179="&lt;/routeDistribution&gt;",E4179=""),"",IFERROR(_xlfn.CONCAT(VLOOKUP(BT20,Route_Column!#REF!,2,FALSE),CHAR(34)," probability=",CHAR(34),1/BT$4,CHAR(34),CHAR(47),CHAR(62)),"&lt;/routeDistribution&gt;"))</f>
        <v/>
      </c>
    </row>
    <row r="4181" spans="1:5" x14ac:dyDescent="0.25">
      <c r="A4181" t="s">
        <v>1779</v>
      </c>
      <c r="B4181" t="s">
        <v>1240</v>
      </c>
      <c r="E4181" t="str">
        <f>IF(OR(E4180="&lt;/routeDistribution&gt;",E4180=""),"",IFERROR(_xlfn.CONCAT(VLOOKUP(BT21,Route_Column!#REF!,2,FALSE),CHAR(34)," probability=",CHAR(34),1/BT$4,CHAR(34),CHAR(47),CHAR(62)),"&lt;/routeDistribution&gt;"))</f>
        <v/>
      </c>
    </row>
    <row r="4182" spans="1:5" x14ac:dyDescent="0.25">
      <c r="A4182" t="s">
        <v>1718</v>
      </c>
      <c r="B4182" t="s">
        <v>1101</v>
      </c>
      <c r="E4182" t="str">
        <f>IF(OR(E4181="&lt;/routeDistribution&gt;",E4181=""),"",IFERROR(_xlfn.CONCAT(VLOOKUP(BT22,Route_Column!#REF!,2,FALSE),CHAR(34)," probability=",CHAR(34),1/BT$4,CHAR(34),CHAR(47),CHAR(62)),"&lt;/routeDistribution&gt;"))</f>
        <v/>
      </c>
    </row>
    <row r="4183" spans="1:5" x14ac:dyDescent="0.25">
      <c r="A4183" t="s">
        <v>1718</v>
      </c>
      <c r="B4183" t="s">
        <v>1104</v>
      </c>
      <c r="E4183" t="str">
        <f>IF(OR(E4182="&lt;/routeDistribution&gt;",E4182=""),"",IFERROR(_xlfn.CONCAT(VLOOKUP(BT23,Route_Column!#REF!,2,FALSE),CHAR(34)," probability=",CHAR(34),1/BT$4,CHAR(34),CHAR(47),CHAR(62)),"&lt;/routeDistribution&gt;"))</f>
        <v/>
      </c>
    </row>
    <row r="4184" spans="1:5" x14ac:dyDescent="0.25">
      <c r="A4184" t="s">
        <v>1718</v>
      </c>
      <c r="B4184" t="s">
        <v>1105</v>
      </c>
      <c r="E4184" t="str">
        <f>IF(OR(E4183="&lt;/routeDistribution&gt;",E4183=""),"",IFERROR(_xlfn.CONCAT(VLOOKUP(BT24,Route_Column!#REF!,2,FALSE),CHAR(34)," probability=",CHAR(34),1/BT$4,CHAR(34),CHAR(47),CHAR(62)),"&lt;/routeDistribution&gt;"))</f>
        <v/>
      </c>
    </row>
    <row r="4185" spans="1:5" x14ac:dyDescent="0.25">
      <c r="A4185" t="s">
        <v>1718</v>
      </c>
      <c r="B4185" t="s">
        <v>1107</v>
      </c>
      <c r="E4185" t="str">
        <f>IF(OR(E4184="&lt;/routeDistribution&gt;",E4184=""),"",IFERROR(_xlfn.CONCAT(VLOOKUP(BT25,Route_Column!#REF!,2,FALSE),CHAR(34)," probability=",CHAR(34),1/BT$4,CHAR(34),CHAR(47),CHAR(62)),"&lt;/routeDistribution&gt;"))</f>
        <v/>
      </c>
    </row>
    <row r="4186" spans="1:5" x14ac:dyDescent="0.25">
      <c r="A4186" t="s">
        <v>1718</v>
      </c>
      <c r="B4186" t="s">
        <v>1116</v>
      </c>
      <c r="E4186" t="str">
        <f>IF(OR(E4185="&lt;/routeDistribution&gt;",E4185=""),"",IFERROR(_xlfn.CONCAT(VLOOKUP(BT26,Route_Column!#REF!,2,FALSE),CHAR(34)," probability=",CHAR(34),1/BT$4,CHAR(34),CHAR(47),CHAR(62)),"&lt;/routeDistribution&gt;"))</f>
        <v/>
      </c>
    </row>
    <row r="4187" spans="1:5" x14ac:dyDescent="0.25">
      <c r="A4187" t="s">
        <v>1718</v>
      </c>
      <c r="B4187" t="s">
        <v>1116</v>
      </c>
      <c r="E4187" t="str">
        <f>IF(OR(E4186="&lt;/routeDistribution&gt;",E4186=""),"",IFERROR(_xlfn.CONCAT(VLOOKUP(BT27,Route_Column!#REF!,2,FALSE),CHAR(34)," probability=",CHAR(34),1/BT$4,CHAR(34),CHAR(47),CHAR(62)),"&lt;/routeDistribution&gt;"))</f>
        <v/>
      </c>
    </row>
    <row r="4188" spans="1:5" x14ac:dyDescent="0.25">
      <c r="A4188" t="s">
        <v>1718</v>
      </c>
      <c r="B4188" t="s">
        <v>1117</v>
      </c>
      <c r="E4188" t="str">
        <f>IF(OR(E4187="&lt;/routeDistribution&gt;",E4187=""),"",IFERROR(_xlfn.CONCAT(VLOOKUP(BT28,Route_Column!#REF!,2,FALSE),CHAR(34)," probability=",CHAR(34),1/BT$4,CHAR(34),CHAR(47),CHAR(62)),"&lt;/routeDistribution&gt;"))</f>
        <v/>
      </c>
    </row>
    <row r="4189" spans="1:5" x14ac:dyDescent="0.25">
      <c r="A4189" t="s">
        <v>1718</v>
      </c>
      <c r="B4189" t="s">
        <v>1117</v>
      </c>
      <c r="E4189" t="str">
        <f>IF(OR(E4188="&lt;/routeDistribution&gt;",E4188=""),"",IFERROR(_xlfn.CONCAT(VLOOKUP(BT29,Route_Column!#REF!,2,FALSE),CHAR(34)," probability=",CHAR(34),1/BT$4,CHAR(34),CHAR(47),CHAR(62)),"&lt;/routeDistribution&gt;"))</f>
        <v/>
      </c>
    </row>
    <row r="4190" spans="1:5" x14ac:dyDescent="0.25">
      <c r="A4190" t="s">
        <v>1718</v>
      </c>
      <c r="B4190" t="s">
        <v>1118</v>
      </c>
      <c r="E4190" t="str">
        <f>IF(OR(E4189="&lt;/routeDistribution&gt;",E4189=""),"",IFERROR(_xlfn.CONCAT(VLOOKUP(BT30,Route_Column!#REF!,2,FALSE),CHAR(34)," probability=",CHAR(34),1/BT$4,CHAR(34),CHAR(47),CHAR(62)),"&lt;/routeDistribution&gt;"))</f>
        <v/>
      </c>
    </row>
    <row r="4191" spans="1:5" x14ac:dyDescent="0.25">
      <c r="A4191" t="s">
        <v>1718</v>
      </c>
      <c r="B4191" t="s">
        <v>1118</v>
      </c>
      <c r="E4191" t="str">
        <f>IF(OR(E4190="&lt;/routeDistribution&gt;",E4190=""),"",IFERROR(_xlfn.CONCAT(VLOOKUP(BT31,Route_Column!#REF!,2,FALSE),CHAR(34)," probability=",CHAR(34),1/BT$4,CHAR(34),CHAR(47),CHAR(62)),"&lt;/routeDistribution&gt;"))</f>
        <v/>
      </c>
    </row>
    <row r="4192" spans="1:5" x14ac:dyDescent="0.25">
      <c r="A4192" t="s">
        <v>1718</v>
      </c>
      <c r="B4192" t="s">
        <v>1119</v>
      </c>
      <c r="E4192" t="str">
        <f>IF(OR(E4191="&lt;/routeDistribution&gt;",E4191=""),"",IFERROR(_xlfn.CONCAT(VLOOKUP(BT32,Route_Column!#REF!,2,FALSE),CHAR(34)," probability=",CHAR(34),1/BT$4,CHAR(34),CHAR(47),CHAR(62)),"&lt;/routeDistribution&gt;"))</f>
        <v/>
      </c>
    </row>
    <row r="4193" spans="1:5" x14ac:dyDescent="0.25">
      <c r="A4193" t="s">
        <v>1718</v>
      </c>
      <c r="B4193" t="s">
        <v>1120</v>
      </c>
      <c r="E4193" t="str">
        <f>IF(OR(E4192="&lt;/routeDistribution&gt;",E4192=""),"",IFERROR(_xlfn.CONCAT(VLOOKUP(BT33,Route_Column!#REF!,2,FALSE),CHAR(34)," probability=",CHAR(34),1/BT$4,CHAR(34),CHAR(47),CHAR(62)),"&lt;/routeDistribution&gt;"))</f>
        <v/>
      </c>
    </row>
    <row r="4194" spans="1:5" x14ac:dyDescent="0.25">
      <c r="A4194" t="s">
        <v>1718</v>
      </c>
      <c r="B4194" t="s">
        <v>1142</v>
      </c>
      <c r="E4194" t="str">
        <f>IF(OR(E4193="&lt;/routeDistribution&gt;",E4193=""),"",IFERROR(_xlfn.CONCAT(VLOOKUP(BT34,Route_Column!#REF!,2,FALSE),CHAR(34)," probability=",CHAR(34),1/BT$4,CHAR(34),CHAR(47),CHAR(62)),"&lt;/routeDistribution&gt;"))</f>
        <v/>
      </c>
    </row>
    <row r="4195" spans="1:5" x14ac:dyDescent="0.25">
      <c r="A4195" t="s">
        <v>1718</v>
      </c>
      <c r="B4195" t="s">
        <v>1148</v>
      </c>
      <c r="E4195" t="str">
        <f>IF(OR(E4194="&lt;/routeDistribution&gt;",E4194=""),"",IFERROR(_xlfn.CONCAT(VLOOKUP(BT35,Route_Column!#REF!,2,FALSE),CHAR(34)," probability=",CHAR(34),1/BT$4,CHAR(34),CHAR(47),CHAR(62)),"&lt;/routeDistribution&gt;"))</f>
        <v/>
      </c>
    </row>
    <row r="4196" spans="1:5" x14ac:dyDescent="0.25">
      <c r="A4196" t="s">
        <v>1718</v>
      </c>
      <c r="B4196" t="s">
        <v>1169</v>
      </c>
      <c r="E4196" t="str">
        <f>IF(OR(E4195="&lt;/routeDistribution&gt;",E4195=""),"",IFERROR(_xlfn.CONCAT(VLOOKUP(BT36,Route_Column!#REF!,2,FALSE),CHAR(34)," probability=",CHAR(34),1/BT$4,CHAR(34),CHAR(47),CHAR(62)),"&lt;/routeDistribution&gt;"))</f>
        <v/>
      </c>
    </row>
    <row r="4197" spans="1:5" x14ac:dyDescent="0.25">
      <c r="A4197" t="s">
        <v>1718</v>
      </c>
      <c r="B4197" t="s">
        <v>1178</v>
      </c>
      <c r="E4197" t="str">
        <f>IF(OR(E4196="&lt;/routeDistribution&gt;",E4196=""),"",IFERROR(_xlfn.CONCAT(VLOOKUP(BT37,Route_Column!#REF!,2,FALSE),CHAR(34)," probability=",CHAR(34),1/BT$4,CHAR(34),CHAR(47),CHAR(62)),"&lt;/routeDistribution&gt;"))</f>
        <v/>
      </c>
    </row>
    <row r="4198" spans="1:5" x14ac:dyDescent="0.25">
      <c r="A4198" t="s">
        <v>1718</v>
      </c>
      <c r="B4198" t="s">
        <v>1202</v>
      </c>
      <c r="E4198" t="str">
        <f>IF(OR(E4197="&lt;/routeDistribution&gt;",E4197=""),"",IFERROR(_xlfn.CONCAT(VLOOKUP(BT38,Route_Column!#REF!,2,FALSE),CHAR(34)," probability=",CHAR(34),1/BT$4,CHAR(34),CHAR(47),CHAR(62)),"&lt;/routeDistribution&gt;"))</f>
        <v/>
      </c>
    </row>
    <row r="4199" spans="1:5" x14ac:dyDescent="0.25">
      <c r="A4199" t="s">
        <v>1718</v>
      </c>
      <c r="B4199" t="s">
        <v>1235</v>
      </c>
      <c r="E4199" t="str">
        <f>IF(OR(E4198="&lt;/routeDistribution&gt;",E4198=""),"",IFERROR(_xlfn.CONCAT(VLOOKUP(BT39,Route_Column!#REF!,2,FALSE),CHAR(34)," probability=",CHAR(34),1/BT$4,CHAR(34),CHAR(47),CHAR(62)),"&lt;/routeDistribution&gt;"))</f>
        <v/>
      </c>
    </row>
    <row r="4200" spans="1:5" x14ac:dyDescent="0.25">
      <c r="A4200" t="s">
        <v>1718</v>
      </c>
      <c r="B4200" t="s">
        <v>1236</v>
      </c>
      <c r="E4200" t="str">
        <f>IF(OR(E4199="&lt;/routeDistribution&gt;",E4199=""),"",IFERROR(_xlfn.CONCAT(VLOOKUP(BT40,Route_Column!#REF!,2,FALSE),CHAR(34)," probability=",CHAR(34),1/BT$4,CHAR(34),CHAR(47),CHAR(62)),"&lt;/routeDistribution&gt;"))</f>
        <v/>
      </c>
    </row>
    <row r="4201" spans="1:5" x14ac:dyDescent="0.25">
      <c r="A4201" t="s">
        <v>1718</v>
      </c>
      <c r="B4201" t="s">
        <v>1239</v>
      </c>
      <c r="E4201" t="str">
        <f>IF(OR(E4200="&lt;/routeDistribution&gt;",E4200=""),"",IFERROR(_xlfn.CONCAT(VLOOKUP(BT41,Route_Column!#REF!,2,FALSE),CHAR(34)," probability=",CHAR(34),1/BT$4,CHAR(34),CHAR(47),CHAR(62)),"&lt;/routeDistribution&gt;"))</f>
        <v/>
      </c>
    </row>
    <row r="4202" spans="1:5" x14ac:dyDescent="0.25">
      <c r="A4202" t="s">
        <v>1718</v>
      </c>
      <c r="B4202" t="s">
        <v>1240</v>
      </c>
      <c r="E4202" t="str">
        <f>IF(OR(E4201="&lt;/routeDistribution&gt;",E4201=""),"",IFERROR(_xlfn.CONCAT(VLOOKUP(BT42,Route_Column!#REF!,2,FALSE),CHAR(34)," probability=",CHAR(34),1/BT$4,CHAR(34),CHAR(47),CHAR(62)),"&lt;/routeDistribution&gt;"))</f>
        <v/>
      </c>
    </row>
    <row r="4203" spans="1:5" x14ac:dyDescent="0.25">
      <c r="A4203" t="s">
        <v>1718</v>
      </c>
      <c r="B4203" t="s">
        <v>1240</v>
      </c>
      <c r="E4203" t="str">
        <f>IF(OR(E4202="&lt;/routeDistribution&gt;",E4202=""),"",IFERROR(_xlfn.CONCAT(VLOOKUP(BT43,Route_Column!#REF!,2,FALSE),CHAR(34)," probability=",CHAR(34),1/BT$4,CHAR(34),CHAR(47),CHAR(62)),"&lt;/routeDistribution&gt;"))</f>
        <v/>
      </c>
    </row>
    <row r="4204" spans="1:5" x14ac:dyDescent="0.25">
      <c r="A4204" t="s">
        <v>1718</v>
      </c>
      <c r="B4204" t="s">
        <v>1249</v>
      </c>
      <c r="E4204" t="str">
        <f>IF(OR(E4203="&lt;/routeDistribution&gt;",E4203=""),"",IFERROR(_xlfn.CONCAT(VLOOKUP(BT44,Route_Column!#REF!,2,FALSE),CHAR(34)," probability=",CHAR(34),1/BT$4,CHAR(34),CHAR(47),CHAR(62)),"&lt;/routeDistribution&gt;"))</f>
        <v/>
      </c>
    </row>
    <row r="4205" spans="1:5" x14ac:dyDescent="0.25">
      <c r="A4205" t="s">
        <v>1778</v>
      </c>
      <c r="B4205" t="s">
        <v>1104</v>
      </c>
      <c r="E4205" t="str">
        <f>IF(OR(E4204="&lt;/routeDistribution&gt;",E4204=""),"",IFERROR(_xlfn.CONCAT(VLOOKUP(BT45,Route_Column!#REF!,2,FALSE),CHAR(34)," probability=",CHAR(34),1/BT$4,CHAR(34),CHAR(47),CHAR(62)),"&lt;/routeDistribution&gt;"))</f>
        <v/>
      </c>
    </row>
    <row r="4206" spans="1:5" x14ac:dyDescent="0.25">
      <c r="A4206" t="s">
        <v>1778</v>
      </c>
      <c r="B4206" t="s">
        <v>1105</v>
      </c>
      <c r="E4206" t="str">
        <f>IF(OR(E4205="&lt;/routeDistribution&gt;",E4205=""),"",IFERROR(_xlfn.CONCAT(VLOOKUP(BT46,Route_Column!#REF!,2,FALSE),CHAR(34)," probability=",CHAR(34),1/BT$4,CHAR(34),CHAR(47),CHAR(62)),"&lt;/routeDistribution&gt;"))</f>
        <v/>
      </c>
    </row>
    <row r="4207" spans="1:5" x14ac:dyDescent="0.25">
      <c r="A4207" t="s">
        <v>1778</v>
      </c>
      <c r="B4207" t="s">
        <v>1116</v>
      </c>
      <c r="E4207" t="str">
        <f>IF(OR(E4206="&lt;/routeDistribution&gt;",E4206=""),"",IFERROR(_xlfn.CONCAT(VLOOKUP(BT47,Route_Column!#REF!,2,FALSE),CHAR(34)," probability=",CHAR(34),1/BT$4,CHAR(34),CHAR(47),CHAR(62)),"&lt;/routeDistribution&gt;"))</f>
        <v/>
      </c>
    </row>
    <row r="4208" spans="1:5" x14ac:dyDescent="0.25">
      <c r="A4208" t="s">
        <v>1778</v>
      </c>
      <c r="B4208" t="s">
        <v>1117</v>
      </c>
      <c r="E4208" t="str">
        <f>IF(OR(E4207="&lt;/routeDistribution&gt;",E4207=""),"",IFERROR(_xlfn.CONCAT(VLOOKUP(BT48,Route_Column!#REF!,2,FALSE),CHAR(34)," probability=",CHAR(34),1/BT$4,CHAR(34),CHAR(47),CHAR(62)),"&lt;/routeDistribution&gt;"))</f>
        <v/>
      </c>
    </row>
    <row r="4209" spans="1:5" x14ac:dyDescent="0.25">
      <c r="A4209" t="s">
        <v>1778</v>
      </c>
      <c r="B4209" t="s">
        <v>1118</v>
      </c>
      <c r="E4209" t="str">
        <f>IF(OR(E4208="&lt;/routeDistribution&gt;",E4208=""),"",IFERROR(_xlfn.CONCAT(VLOOKUP(BT49,Route_Column!#REF!,2,FALSE),CHAR(34)," probability=",CHAR(34),1/BT$4,CHAR(34),CHAR(47),CHAR(62)),"&lt;/routeDistribution&gt;"))</f>
        <v/>
      </c>
    </row>
    <row r="4210" spans="1:5" x14ac:dyDescent="0.25">
      <c r="A4210" t="s">
        <v>1778</v>
      </c>
      <c r="B4210" t="s">
        <v>1223</v>
      </c>
      <c r="E4210" t="str">
        <f>IF(OR(E4209="&lt;/routeDistribution&gt;",E4209=""),"",IFERROR(_xlfn.CONCAT(VLOOKUP(BT50,Route_Column!#REF!,2,FALSE),CHAR(34)," probability=",CHAR(34),1/BT$4,CHAR(34),CHAR(47),CHAR(62)),"&lt;/routeDistribution&gt;"))</f>
        <v/>
      </c>
    </row>
    <row r="4211" spans="1:5" x14ac:dyDescent="0.25">
      <c r="A4211" t="s">
        <v>1778</v>
      </c>
      <c r="B4211" t="s">
        <v>1239</v>
      </c>
      <c r="E4211" t="str">
        <f>IF(OR(E4210="&lt;/routeDistribution&gt;",E4210=""),"",IFERROR(_xlfn.CONCAT(VLOOKUP(BT51,Route_Column!#REF!,2,FALSE),CHAR(34)," probability=",CHAR(34),1/BT$4,CHAR(34),CHAR(47),CHAR(62)),"&lt;/routeDistribution&gt;"))</f>
        <v/>
      </c>
    </row>
    <row r="4212" spans="1:5" x14ac:dyDescent="0.25">
      <c r="A4212" t="s">
        <v>1778</v>
      </c>
      <c r="B4212" t="s">
        <v>1240</v>
      </c>
      <c r="E4212" t="str">
        <f>IF(OR(E4211="&lt;/routeDistribution&gt;",E4211=""),"",IFERROR(_xlfn.CONCAT(VLOOKUP(BT52,Route_Column!#REF!,2,FALSE),CHAR(34)," probability=",CHAR(34),1/BT$4,CHAR(34),CHAR(47),CHAR(62)),"&lt;/routeDistribution&gt;"))</f>
        <v/>
      </c>
    </row>
    <row r="4213" spans="1:5" x14ac:dyDescent="0.25">
      <c r="A4213" t="s">
        <v>1597</v>
      </c>
      <c r="B4213" t="s">
        <v>1096</v>
      </c>
      <c r="E4213" t="str">
        <f>IF(OR(E4212="&lt;/routeDistribution&gt;",E4212=""),"",IFERROR(_xlfn.CONCAT(VLOOKUP(BT53,Route_Column!#REF!,2,FALSE),CHAR(34)," probability=",CHAR(34),1/BT$4,CHAR(34),CHAR(47),CHAR(62)),"&lt;/routeDistribution&gt;"))</f>
        <v/>
      </c>
    </row>
    <row r="4214" spans="1:5" x14ac:dyDescent="0.25">
      <c r="A4214" t="s">
        <v>1597</v>
      </c>
      <c r="B4214" t="s">
        <v>1099</v>
      </c>
      <c r="E4214" t="str">
        <f>IF(OR(E4213="&lt;/routeDistribution&gt;",E4213=""),"",IFERROR(_xlfn.CONCAT(VLOOKUP(BT54,Route_Column!#REF!,2,FALSE),CHAR(34)," probability=",CHAR(34),1/BT$4,CHAR(34),CHAR(47),CHAR(62)),"&lt;/routeDistribution&gt;"))</f>
        <v/>
      </c>
    </row>
    <row r="4215" spans="1:5" x14ac:dyDescent="0.25">
      <c r="A4215" t="s">
        <v>1597</v>
      </c>
      <c r="B4215" t="s">
        <v>1100</v>
      </c>
      <c r="E4215" t="str">
        <f>IF(OR(E4214="&lt;/routeDistribution&gt;",E4214=""),"",IFERROR(_xlfn.CONCAT(VLOOKUP(BT55,Route_Column!#REF!,2,FALSE),CHAR(34)," probability=",CHAR(34),1/BT$4,CHAR(34),CHAR(47),CHAR(62)),"&lt;/routeDistribution&gt;"))</f>
        <v/>
      </c>
    </row>
    <row r="4216" spans="1:5" x14ac:dyDescent="0.25">
      <c r="A4216" t="s">
        <v>1597</v>
      </c>
      <c r="B4216" t="s">
        <v>1101</v>
      </c>
      <c r="E4216" t="str">
        <f>IF(OR(E4215="&lt;/routeDistribution&gt;",E4215=""),"",IFERROR(_xlfn.CONCAT(VLOOKUP(BT56,Route_Column!#REF!,2,FALSE),CHAR(34)," probability=",CHAR(34),1/BT$4,CHAR(34),CHAR(47),CHAR(62)),"&lt;/routeDistribution&gt;"))</f>
        <v/>
      </c>
    </row>
    <row r="4217" spans="1:5" x14ac:dyDescent="0.25">
      <c r="A4217" t="s">
        <v>1597</v>
      </c>
      <c r="B4217" t="s">
        <v>1102</v>
      </c>
      <c r="E4217" t="str">
        <f>IF(OR(E4216="&lt;/routeDistribution&gt;",E4216=""),"",IFERROR(_xlfn.CONCAT(VLOOKUP(BT57,Route_Column!#REF!,2,FALSE),CHAR(34)," probability=",CHAR(34),1/BT$4,CHAR(34),CHAR(47),CHAR(62)),"&lt;/routeDistribution&gt;"))</f>
        <v/>
      </c>
    </row>
    <row r="4218" spans="1:5" x14ac:dyDescent="0.25">
      <c r="A4218" t="s">
        <v>1597</v>
      </c>
      <c r="B4218" t="s">
        <v>1103</v>
      </c>
      <c r="E4218" t="str">
        <f>IF(OR(E4217="&lt;/routeDistribution&gt;",E4217=""),"",IFERROR(_xlfn.CONCAT(VLOOKUP(BT58,Route_Column!#REF!,2,FALSE),CHAR(34)," probability=",CHAR(34),1/BT$4,CHAR(34),CHAR(47),CHAR(62)),"&lt;/routeDistribution&gt;"))</f>
        <v/>
      </c>
    </row>
    <row r="4219" spans="1:5" x14ac:dyDescent="0.25">
      <c r="A4219" t="s">
        <v>1597</v>
      </c>
      <c r="B4219" t="s">
        <v>1104</v>
      </c>
      <c r="E4219" t="str">
        <f>IF(OR(E4218="&lt;/routeDistribution&gt;",E4218=""),"",IFERROR(_xlfn.CONCAT(VLOOKUP(BT59,Route_Column!#REF!,2,FALSE),CHAR(34)," probability=",CHAR(34),1/BT$4,CHAR(34),CHAR(47),CHAR(62)),"&lt;/routeDistribution&gt;"))</f>
        <v/>
      </c>
    </row>
    <row r="4220" spans="1:5" x14ac:dyDescent="0.25">
      <c r="A4220" t="s">
        <v>1597</v>
      </c>
      <c r="B4220" t="s">
        <v>1105</v>
      </c>
      <c r="E4220" t="str">
        <f>IF(OR(E4219="&lt;/routeDistribution&gt;",E4219=""),"",IFERROR(_xlfn.CONCAT(VLOOKUP(BT60,Route_Column!#REF!,2,FALSE),CHAR(34)," probability=",CHAR(34),1/BT$4,CHAR(34),CHAR(47),CHAR(62)),"&lt;/routeDistribution&gt;"))</f>
        <v/>
      </c>
    </row>
    <row r="4221" spans="1:5" x14ac:dyDescent="0.25">
      <c r="A4221" t="s">
        <v>1597</v>
      </c>
      <c r="B4221" t="s">
        <v>1106</v>
      </c>
      <c r="E4221" t="str">
        <f>IF(OR(E4220="&lt;/routeDistribution&gt;",E4220=""),"",IFERROR(_xlfn.CONCAT(VLOOKUP(BT61,Route_Column!#REF!,2,FALSE),CHAR(34)," probability=",CHAR(34),1/BT$4,CHAR(34),CHAR(47),CHAR(62)),"&lt;/routeDistribution&gt;"))</f>
        <v/>
      </c>
    </row>
    <row r="4222" spans="1:5" x14ac:dyDescent="0.25">
      <c r="A4222" t="s">
        <v>1597</v>
      </c>
      <c r="B4222" t="s">
        <v>1161</v>
      </c>
      <c r="E4222" t="str">
        <f>IF(OR(E4221="&lt;/routeDistribution&gt;",E4221=""),"",IFERROR(_xlfn.CONCAT(VLOOKUP(BT62,Route_Column!#REF!,2,FALSE),CHAR(34)," probability=",CHAR(34),1/BT$4,CHAR(34),CHAR(47),CHAR(62)),"&lt;/routeDistribution&gt;"))</f>
        <v/>
      </c>
    </row>
    <row r="4223" spans="1:5" x14ac:dyDescent="0.25">
      <c r="A4223" t="s">
        <v>1597</v>
      </c>
      <c r="B4223" t="s">
        <v>1162</v>
      </c>
      <c r="E4223" t="str">
        <f>IF(OR(E4222="&lt;/routeDistribution&gt;",E4222=""),"",IFERROR(_xlfn.CONCAT(VLOOKUP(BT63,Route_Column!#REF!,2,FALSE),CHAR(34)," probability=",CHAR(34),1/BT$4,CHAR(34),CHAR(47),CHAR(62)),"&lt;/routeDistribution&gt;"))</f>
        <v/>
      </c>
    </row>
    <row r="4224" spans="1:5" x14ac:dyDescent="0.25">
      <c r="A4224" t="s">
        <v>1597</v>
      </c>
      <c r="B4224" t="s">
        <v>1163</v>
      </c>
      <c r="E4224" t="s">
        <v>2686</v>
      </c>
    </row>
    <row r="4225" spans="1:5" x14ac:dyDescent="0.25">
      <c r="A4225" t="s">
        <v>1597</v>
      </c>
      <c r="B4225" t="s">
        <v>1164</v>
      </c>
    </row>
    <row r="4226" spans="1:5" x14ac:dyDescent="0.25">
      <c r="A4226" t="s">
        <v>1597</v>
      </c>
      <c r="B4226" t="s">
        <v>1168</v>
      </c>
    </row>
    <row r="4227" spans="1:5" x14ac:dyDescent="0.25">
      <c r="A4227" t="s">
        <v>1597</v>
      </c>
      <c r="B4227" t="s">
        <v>1170</v>
      </c>
      <c r="E4227" t="str">
        <f>_xlfn.CONCAT($E$1,BS$2,$F$1)</f>
        <v>&lt;routeDistribution id="Ludlowst-32nd-to-30th-BOTH-2009-RouteProbe"&gt;</v>
      </c>
    </row>
    <row r="4228" spans="1:5" x14ac:dyDescent="0.25">
      <c r="A4228" t="s">
        <v>1597</v>
      </c>
      <c r="B4228" t="s">
        <v>1196</v>
      </c>
      <c r="E4228" t="str">
        <f>IF(OR(E4227="&lt;/routeDistribution&gt;",E4227=""),"",IFERROR(_xlfn.CONCAT(VLOOKUP(BS5,Route_Column!#REF!,2,FALSE),CHAR(34)," probability=",CHAR(34),1/BS$4,CHAR(34),CHAR(47),CHAR(62)),"&lt;/routeDistribution&gt;"))</f>
        <v>&lt;/routeDistribution&gt;</v>
      </c>
    </row>
    <row r="4229" spans="1:5" x14ac:dyDescent="0.25">
      <c r="A4229" t="s">
        <v>1768</v>
      </c>
      <c r="B4229" t="s">
        <v>1102</v>
      </c>
      <c r="E4229" t="str">
        <f>IF(OR(E4228="&lt;/routeDistribution&gt;",E4228=""),"",IFERROR(_xlfn.CONCAT(VLOOKUP(BS6,Route_Column!#REF!,2,FALSE),CHAR(34)," probability=",CHAR(34),1/BS$4,CHAR(34),CHAR(47),CHAR(62)),"&lt;/routeDistribution&gt;"))</f>
        <v/>
      </c>
    </row>
    <row r="4230" spans="1:5" x14ac:dyDescent="0.25">
      <c r="A4230" t="s">
        <v>1768</v>
      </c>
      <c r="B4230" t="s">
        <v>1110</v>
      </c>
      <c r="E4230" t="str">
        <f>IF(OR(E4229="&lt;/routeDistribution&gt;",E4229=""),"",IFERROR(_xlfn.CONCAT(VLOOKUP(BS7,Route_Column!#REF!,2,FALSE),CHAR(34)," probability=",CHAR(34),1/BS$4,CHAR(34),CHAR(47),CHAR(62)),"&lt;/routeDistribution&gt;"))</f>
        <v/>
      </c>
    </row>
    <row r="4231" spans="1:5" x14ac:dyDescent="0.25">
      <c r="A4231" t="s">
        <v>1768</v>
      </c>
      <c r="B4231" t="s">
        <v>1112</v>
      </c>
      <c r="E4231" t="str">
        <f>IF(OR(E4230="&lt;/routeDistribution&gt;",E4230=""),"",IFERROR(_xlfn.CONCAT(VLOOKUP(BS8,Route_Column!#REF!,2,FALSE),CHAR(34)," probability=",CHAR(34),1/BS$4,CHAR(34),CHAR(47),CHAR(62)),"&lt;/routeDistribution&gt;"))</f>
        <v/>
      </c>
    </row>
    <row r="4232" spans="1:5" x14ac:dyDescent="0.25">
      <c r="A4232" t="s">
        <v>1768</v>
      </c>
      <c r="B4232" t="s">
        <v>1130</v>
      </c>
      <c r="E4232" t="str">
        <f>IF(OR(E4231="&lt;/routeDistribution&gt;",E4231=""),"",IFERROR(_xlfn.CONCAT(VLOOKUP(BS9,Route_Column!#REF!,2,FALSE),CHAR(34)," probability=",CHAR(34),1/BS$4,CHAR(34),CHAR(47),CHAR(62)),"&lt;/routeDistribution&gt;"))</f>
        <v/>
      </c>
    </row>
    <row r="4233" spans="1:5" x14ac:dyDescent="0.25">
      <c r="A4233" t="s">
        <v>1768</v>
      </c>
      <c r="B4233" t="s">
        <v>1131</v>
      </c>
      <c r="E4233" t="str">
        <f>IF(OR(E4232="&lt;/routeDistribution&gt;",E4232=""),"",IFERROR(_xlfn.CONCAT(VLOOKUP(BS10,Route_Column!#REF!,2,FALSE),CHAR(34)," probability=",CHAR(34),1/BS$4,CHAR(34),CHAR(47),CHAR(62)),"&lt;/routeDistribution&gt;"))</f>
        <v/>
      </c>
    </row>
    <row r="4234" spans="1:5" x14ac:dyDescent="0.25">
      <c r="A4234" t="s">
        <v>1768</v>
      </c>
      <c r="B4234" t="s">
        <v>1134</v>
      </c>
      <c r="E4234" t="str">
        <f>IF(OR(E4233="&lt;/routeDistribution&gt;",E4233=""),"",IFERROR(_xlfn.CONCAT(VLOOKUP(BS11,Route_Column!#REF!,2,FALSE),CHAR(34)," probability=",CHAR(34),1/BS$4,CHAR(34),CHAR(47),CHAR(62)),"&lt;/routeDistribution&gt;"))</f>
        <v/>
      </c>
    </row>
    <row r="4235" spans="1:5" x14ac:dyDescent="0.25">
      <c r="A4235" t="s">
        <v>1768</v>
      </c>
      <c r="B4235" t="s">
        <v>1138</v>
      </c>
      <c r="E4235" t="str">
        <f>IF(OR(E4234="&lt;/routeDistribution&gt;",E4234=""),"",IFERROR(_xlfn.CONCAT(VLOOKUP(BS12,Route_Column!#REF!,2,FALSE),CHAR(34)," probability=",CHAR(34),1/BS$4,CHAR(34),CHAR(47),CHAR(62)),"&lt;/routeDistribution&gt;"))</f>
        <v/>
      </c>
    </row>
    <row r="4236" spans="1:5" x14ac:dyDescent="0.25">
      <c r="A4236" t="s">
        <v>1768</v>
      </c>
      <c r="B4236" t="s">
        <v>1145</v>
      </c>
      <c r="E4236" t="str">
        <f>IF(OR(E4235="&lt;/routeDistribution&gt;",E4235=""),"",IFERROR(_xlfn.CONCAT(VLOOKUP(BS13,Route_Column!#REF!,2,FALSE),CHAR(34)," probability=",CHAR(34),1/BS$4,CHAR(34),CHAR(47),CHAR(62)),"&lt;/routeDistribution&gt;"))</f>
        <v/>
      </c>
    </row>
    <row r="4237" spans="1:5" x14ac:dyDescent="0.25">
      <c r="A4237" t="s">
        <v>1768</v>
      </c>
      <c r="B4237" t="s">
        <v>1154</v>
      </c>
      <c r="E4237" t="str">
        <f>IF(OR(E4236="&lt;/routeDistribution&gt;",E4236=""),"",IFERROR(_xlfn.CONCAT(VLOOKUP(BS14,Route_Column!#REF!,2,FALSE),CHAR(34)," probability=",CHAR(34),1/BS$4,CHAR(34),CHAR(47),CHAR(62)),"&lt;/routeDistribution&gt;"))</f>
        <v/>
      </c>
    </row>
    <row r="4238" spans="1:5" x14ac:dyDescent="0.25">
      <c r="A4238" t="s">
        <v>1768</v>
      </c>
      <c r="B4238" t="s">
        <v>1180</v>
      </c>
      <c r="E4238" t="str">
        <f>IF(OR(E4237="&lt;/routeDistribution&gt;",E4237=""),"",IFERROR(_xlfn.CONCAT(VLOOKUP(BS15,Route_Column!#REF!,2,FALSE),CHAR(34)," probability=",CHAR(34),1/BS$4,CHAR(34),CHAR(47),CHAR(62)),"&lt;/routeDistribution&gt;"))</f>
        <v/>
      </c>
    </row>
    <row r="4239" spans="1:5" x14ac:dyDescent="0.25">
      <c r="A4239" t="s">
        <v>1768</v>
      </c>
      <c r="B4239" t="s">
        <v>1181</v>
      </c>
      <c r="E4239" t="str">
        <f>IF(OR(E4238="&lt;/routeDistribution&gt;",E4238=""),"",IFERROR(_xlfn.CONCAT(VLOOKUP(BS16,Route_Column!#REF!,2,FALSE),CHAR(34)," probability=",CHAR(34),1/BS$4,CHAR(34),CHAR(47),CHAR(62)),"&lt;/routeDistribution&gt;"))</f>
        <v/>
      </c>
    </row>
    <row r="4240" spans="1:5" x14ac:dyDescent="0.25">
      <c r="A4240" t="s">
        <v>1768</v>
      </c>
      <c r="B4240" t="s">
        <v>1201</v>
      </c>
      <c r="E4240" t="str">
        <f>IF(OR(E4239="&lt;/routeDistribution&gt;",E4239=""),"",IFERROR(_xlfn.CONCAT(VLOOKUP(BS17,Route_Column!#REF!,2,FALSE),CHAR(34)," probability=",CHAR(34),1/BS$4,CHAR(34),CHAR(47),CHAR(62)),"&lt;/routeDistribution&gt;"))</f>
        <v/>
      </c>
    </row>
    <row r="4241" spans="1:5" x14ac:dyDescent="0.25">
      <c r="A4241" t="s">
        <v>1768</v>
      </c>
      <c r="B4241" t="s">
        <v>1206</v>
      </c>
      <c r="E4241" t="str">
        <f>IF(OR(E4240="&lt;/routeDistribution&gt;",E4240=""),"",IFERROR(_xlfn.CONCAT(VLOOKUP(BS18,Route_Column!#REF!,2,FALSE),CHAR(34)," probability=",CHAR(34),1/BS$4,CHAR(34),CHAR(47),CHAR(62)),"&lt;/routeDistribution&gt;"))</f>
        <v/>
      </c>
    </row>
    <row r="4242" spans="1:5" x14ac:dyDescent="0.25">
      <c r="A4242" t="s">
        <v>1590</v>
      </c>
      <c r="B4242" t="s">
        <v>1096</v>
      </c>
      <c r="E4242" t="str">
        <f>IF(OR(E4241="&lt;/routeDistribution&gt;",E4241=""),"",IFERROR(_xlfn.CONCAT(VLOOKUP(BS19,Route_Column!#REF!,2,FALSE),CHAR(34)," probability=",CHAR(34),1/BS$4,CHAR(34),CHAR(47),CHAR(62)),"&lt;/routeDistribution&gt;"))</f>
        <v/>
      </c>
    </row>
    <row r="4243" spans="1:5" x14ac:dyDescent="0.25">
      <c r="A4243" t="s">
        <v>1590</v>
      </c>
      <c r="B4243" t="s">
        <v>1161</v>
      </c>
      <c r="E4243" t="str">
        <f>IF(OR(E4242="&lt;/routeDistribution&gt;",E4242=""),"",IFERROR(_xlfn.CONCAT(VLOOKUP(BS20,Route_Column!#REF!,2,FALSE),CHAR(34)," probability=",CHAR(34),1/BS$4,CHAR(34),CHAR(47),CHAR(62)),"&lt;/routeDistribution&gt;"))</f>
        <v/>
      </c>
    </row>
    <row r="4244" spans="1:5" x14ac:dyDescent="0.25">
      <c r="A4244" t="s">
        <v>1590</v>
      </c>
      <c r="B4244" t="s">
        <v>1162</v>
      </c>
      <c r="E4244" t="str">
        <f>IF(OR(E4243="&lt;/routeDistribution&gt;",E4243=""),"",IFERROR(_xlfn.CONCAT(VLOOKUP(BS21,Route_Column!#REF!,2,FALSE),CHAR(34)," probability=",CHAR(34),1/BS$4,CHAR(34),CHAR(47),CHAR(62)),"&lt;/routeDistribution&gt;"))</f>
        <v/>
      </c>
    </row>
    <row r="4245" spans="1:5" x14ac:dyDescent="0.25">
      <c r="A4245" t="s">
        <v>1590</v>
      </c>
      <c r="B4245" t="s">
        <v>1163</v>
      </c>
      <c r="E4245" t="str">
        <f>IF(OR(E4244="&lt;/routeDistribution&gt;",E4244=""),"",IFERROR(_xlfn.CONCAT(VLOOKUP(BS22,Route_Column!#REF!,2,FALSE),CHAR(34)," probability=",CHAR(34),1/BS$4,CHAR(34),CHAR(47),CHAR(62)),"&lt;/routeDistribution&gt;"))</f>
        <v/>
      </c>
    </row>
    <row r="4246" spans="1:5" x14ac:dyDescent="0.25">
      <c r="A4246" t="s">
        <v>1767</v>
      </c>
      <c r="B4246" t="s">
        <v>1102</v>
      </c>
      <c r="E4246" t="str">
        <f>IF(OR(E4245="&lt;/routeDistribution&gt;",E4245=""),"",IFERROR(_xlfn.CONCAT(VLOOKUP(BS23,Route_Column!#REF!,2,FALSE),CHAR(34)," probability=",CHAR(34),1/BS$4,CHAR(34),CHAR(47),CHAR(62)),"&lt;/routeDistribution&gt;"))</f>
        <v/>
      </c>
    </row>
    <row r="4247" spans="1:5" x14ac:dyDescent="0.25">
      <c r="A4247" t="s">
        <v>1767</v>
      </c>
      <c r="B4247" t="s">
        <v>1110</v>
      </c>
      <c r="E4247" t="str">
        <f>IF(OR(E4246="&lt;/routeDistribution&gt;",E4246=""),"",IFERROR(_xlfn.CONCAT(VLOOKUP(BS24,Route_Column!#REF!,2,FALSE),CHAR(34)," probability=",CHAR(34),1/BS$4,CHAR(34),CHAR(47),CHAR(62)),"&lt;/routeDistribution&gt;"))</f>
        <v/>
      </c>
    </row>
    <row r="4248" spans="1:5" x14ac:dyDescent="0.25">
      <c r="A4248" t="s">
        <v>1767</v>
      </c>
      <c r="B4248" t="s">
        <v>1112</v>
      </c>
      <c r="E4248" t="str">
        <f>IF(OR(E4247="&lt;/routeDistribution&gt;",E4247=""),"",IFERROR(_xlfn.CONCAT(VLOOKUP(BS25,Route_Column!#REF!,2,FALSE),CHAR(34)," probability=",CHAR(34),1/BS$4,CHAR(34),CHAR(47),CHAR(62)),"&lt;/routeDistribution&gt;"))</f>
        <v/>
      </c>
    </row>
    <row r="4249" spans="1:5" x14ac:dyDescent="0.25">
      <c r="A4249" t="s">
        <v>1767</v>
      </c>
      <c r="B4249" t="s">
        <v>1130</v>
      </c>
      <c r="E4249" t="str">
        <f>IF(OR(E4248="&lt;/routeDistribution&gt;",E4248=""),"",IFERROR(_xlfn.CONCAT(VLOOKUP(BS26,Route_Column!#REF!,2,FALSE),CHAR(34)," probability=",CHAR(34),1/BS$4,CHAR(34),CHAR(47),CHAR(62)),"&lt;/routeDistribution&gt;"))</f>
        <v/>
      </c>
    </row>
    <row r="4250" spans="1:5" x14ac:dyDescent="0.25">
      <c r="A4250" t="s">
        <v>1767</v>
      </c>
      <c r="B4250" t="s">
        <v>1131</v>
      </c>
      <c r="E4250" t="str">
        <f>IF(OR(E4249="&lt;/routeDistribution&gt;",E4249=""),"",IFERROR(_xlfn.CONCAT(VLOOKUP(BS27,Route_Column!#REF!,2,FALSE),CHAR(34)," probability=",CHAR(34),1/BS$4,CHAR(34),CHAR(47),CHAR(62)),"&lt;/routeDistribution&gt;"))</f>
        <v/>
      </c>
    </row>
    <row r="4251" spans="1:5" x14ac:dyDescent="0.25">
      <c r="A4251" t="s">
        <v>1767</v>
      </c>
      <c r="B4251" t="s">
        <v>1134</v>
      </c>
      <c r="E4251" t="str">
        <f>IF(OR(E4250="&lt;/routeDistribution&gt;",E4250=""),"",IFERROR(_xlfn.CONCAT(VLOOKUP(BS28,Route_Column!#REF!,2,FALSE),CHAR(34)," probability=",CHAR(34),1/BS$4,CHAR(34),CHAR(47),CHAR(62)),"&lt;/routeDistribution&gt;"))</f>
        <v/>
      </c>
    </row>
    <row r="4252" spans="1:5" x14ac:dyDescent="0.25">
      <c r="A4252" t="s">
        <v>1767</v>
      </c>
      <c r="B4252" t="s">
        <v>1138</v>
      </c>
      <c r="E4252" t="str">
        <f>IF(OR(E4251="&lt;/routeDistribution&gt;",E4251=""),"",IFERROR(_xlfn.CONCAT(VLOOKUP(BS29,Route_Column!#REF!,2,FALSE),CHAR(34)," probability=",CHAR(34),1/BS$4,CHAR(34),CHAR(47),CHAR(62)),"&lt;/routeDistribution&gt;"))</f>
        <v/>
      </c>
    </row>
    <row r="4253" spans="1:5" x14ac:dyDescent="0.25">
      <c r="A4253" t="s">
        <v>1767</v>
      </c>
      <c r="B4253" t="s">
        <v>1145</v>
      </c>
      <c r="E4253" t="str">
        <f>IF(OR(E4252="&lt;/routeDistribution&gt;",E4252=""),"",IFERROR(_xlfn.CONCAT(VLOOKUP(BS30,Route_Column!#REF!,2,FALSE),CHAR(34)," probability=",CHAR(34),1/BS$4,CHAR(34),CHAR(47),CHAR(62)),"&lt;/routeDistribution&gt;"))</f>
        <v/>
      </c>
    </row>
    <row r="4254" spans="1:5" x14ac:dyDescent="0.25">
      <c r="A4254" t="s">
        <v>1767</v>
      </c>
      <c r="B4254" t="s">
        <v>1154</v>
      </c>
      <c r="E4254" t="str">
        <f>IF(OR(E4253="&lt;/routeDistribution&gt;",E4253=""),"",IFERROR(_xlfn.CONCAT(VLOOKUP(BS31,Route_Column!#REF!,2,FALSE),CHAR(34)," probability=",CHAR(34),1/BS$4,CHAR(34),CHAR(47),CHAR(62)),"&lt;/routeDistribution&gt;"))</f>
        <v/>
      </c>
    </row>
    <row r="4255" spans="1:5" x14ac:dyDescent="0.25">
      <c r="A4255" t="s">
        <v>1767</v>
      </c>
      <c r="B4255" t="s">
        <v>1180</v>
      </c>
      <c r="E4255" t="str">
        <f>IF(OR(E4254="&lt;/routeDistribution&gt;",E4254=""),"",IFERROR(_xlfn.CONCAT(VLOOKUP(BS32,Route_Column!#REF!,2,FALSE),CHAR(34)," probability=",CHAR(34),1/BS$4,CHAR(34),CHAR(47),CHAR(62)),"&lt;/routeDistribution&gt;"))</f>
        <v/>
      </c>
    </row>
    <row r="4256" spans="1:5" x14ac:dyDescent="0.25">
      <c r="A4256" t="s">
        <v>1767</v>
      </c>
      <c r="B4256" t="s">
        <v>1181</v>
      </c>
      <c r="E4256" t="str">
        <f>IF(OR(E4255="&lt;/routeDistribution&gt;",E4255=""),"",IFERROR(_xlfn.CONCAT(VLOOKUP(BS33,Route_Column!#REF!,2,FALSE),CHAR(34)," probability=",CHAR(34),1/BS$4,CHAR(34),CHAR(47),CHAR(62)),"&lt;/routeDistribution&gt;"))</f>
        <v/>
      </c>
    </row>
    <row r="4257" spans="1:5" x14ac:dyDescent="0.25">
      <c r="A4257" t="s">
        <v>1767</v>
      </c>
      <c r="B4257" t="s">
        <v>1201</v>
      </c>
      <c r="E4257" t="str">
        <f>IF(OR(E4256="&lt;/routeDistribution&gt;",E4256=""),"",IFERROR(_xlfn.CONCAT(VLOOKUP(BS34,Route_Column!#REF!,2,FALSE),CHAR(34)," probability=",CHAR(34),1/BS$4,CHAR(34),CHAR(47),CHAR(62)),"&lt;/routeDistribution&gt;"))</f>
        <v/>
      </c>
    </row>
    <row r="4258" spans="1:5" x14ac:dyDescent="0.25">
      <c r="A4258" t="s">
        <v>1767</v>
      </c>
      <c r="B4258" t="s">
        <v>1206</v>
      </c>
      <c r="E4258" t="str">
        <f>IF(OR(E4257="&lt;/routeDistribution&gt;",E4257=""),"",IFERROR(_xlfn.CONCAT(VLOOKUP(BS35,Route_Column!#REF!,2,FALSE),CHAR(34)," probability=",CHAR(34),1/BS$4,CHAR(34),CHAR(47),CHAR(62)),"&lt;/routeDistribution&gt;"))</f>
        <v/>
      </c>
    </row>
    <row r="4259" spans="1:5" x14ac:dyDescent="0.25">
      <c r="A4259" t="s">
        <v>1591</v>
      </c>
      <c r="B4259" t="s">
        <v>1096</v>
      </c>
      <c r="E4259" t="str">
        <f>IF(OR(E4258="&lt;/routeDistribution&gt;",E4258=""),"",IFERROR(_xlfn.CONCAT(VLOOKUP(BS36,Route_Column!#REF!,2,FALSE),CHAR(34)," probability=",CHAR(34),1/BS$4,CHAR(34),CHAR(47),CHAR(62)),"&lt;/routeDistribution&gt;"))</f>
        <v/>
      </c>
    </row>
    <row r="4260" spans="1:5" x14ac:dyDescent="0.25">
      <c r="A4260" t="s">
        <v>1591</v>
      </c>
      <c r="B4260" t="s">
        <v>1161</v>
      </c>
      <c r="E4260" t="str">
        <f>IF(OR(E4259="&lt;/routeDistribution&gt;",E4259=""),"",IFERROR(_xlfn.CONCAT(VLOOKUP(BS37,Route_Column!#REF!,2,FALSE),CHAR(34)," probability=",CHAR(34),1/BS$4,CHAR(34),CHAR(47),CHAR(62)),"&lt;/routeDistribution&gt;"))</f>
        <v/>
      </c>
    </row>
    <row r="4261" spans="1:5" x14ac:dyDescent="0.25">
      <c r="A4261" t="s">
        <v>1591</v>
      </c>
      <c r="B4261" t="s">
        <v>1162</v>
      </c>
      <c r="E4261" t="str">
        <f>IF(OR(E4260="&lt;/routeDistribution&gt;",E4260=""),"",IFERROR(_xlfn.CONCAT(VLOOKUP(BS38,Route_Column!#REF!,2,FALSE),CHAR(34)," probability=",CHAR(34),1/BS$4,CHAR(34),CHAR(47),CHAR(62)),"&lt;/routeDistribution&gt;"))</f>
        <v/>
      </c>
    </row>
    <row r="4262" spans="1:5" x14ac:dyDescent="0.25">
      <c r="A4262" t="s">
        <v>1591</v>
      </c>
      <c r="B4262" t="s">
        <v>1163</v>
      </c>
      <c r="E4262" t="str">
        <f>IF(OR(E4261="&lt;/routeDistribution&gt;",E4261=""),"",IFERROR(_xlfn.CONCAT(VLOOKUP(BS39,Route_Column!#REF!,2,FALSE),CHAR(34)," probability=",CHAR(34),1/BS$4,CHAR(34),CHAR(47),CHAR(62)),"&lt;/routeDistribution&gt;"))</f>
        <v/>
      </c>
    </row>
    <row r="4263" spans="1:5" x14ac:dyDescent="0.25">
      <c r="A4263" t="s">
        <v>1766</v>
      </c>
      <c r="B4263" t="s">
        <v>1102</v>
      </c>
      <c r="E4263" t="str">
        <f>IF(OR(E4262="&lt;/routeDistribution&gt;",E4262=""),"",IFERROR(_xlfn.CONCAT(VLOOKUP(BS40,Route_Column!#REF!,2,FALSE),CHAR(34)," probability=",CHAR(34),1/BS$4,CHAR(34),CHAR(47),CHAR(62)),"&lt;/routeDistribution&gt;"))</f>
        <v/>
      </c>
    </row>
    <row r="4264" spans="1:5" x14ac:dyDescent="0.25">
      <c r="A4264" t="s">
        <v>1766</v>
      </c>
      <c r="B4264" t="s">
        <v>1110</v>
      </c>
      <c r="E4264" t="str">
        <f>IF(OR(E4263="&lt;/routeDistribution&gt;",E4263=""),"",IFERROR(_xlfn.CONCAT(VLOOKUP(BS41,Route_Column!#REF!,2,FALSE),CHAR(34)," probability=",CHAR(34),1/BS$4,CHAR(34),CHAR(47),CHAR(62)),"&lt;/routeDistribution&gt;"))</f>
        <v/>
      </c>
    </row>
    <row r="4265" spans="1:5" x14ac:dyDescent="0.25">
      <c r="A4265" t="s">
        <v>1766</v>
      </c>
      <c r="B4265" t="s">
        <v>1112</v>
      </c>
      <c r="E4265" t="str">
        <f>IF(OR(E4264="&lt;/routeDistribution&gt;",E4264=""),"",IFERROR(_xlfn.CONCAT(VLOOKUP(BS42,Route_Column!#REF!,2,FALSE),CHAR(34)," probability=",CHAR(34),1/BS$4,CHAR(34),CHAR(47),CHAR(62)),"&lt;/routeDistribution&gt;"))</f>
        <v/>
      </c>
    </row>
    <row r="4266" spans="1:5" x14ac:dyDescent="0.25">
      <c r="A4266" t="s">
        <v>1766</v>
      </c>
      <c r="B4266" t="s">
        <v>1130</v>
      </c>
      <c r="E4266" t="str">
        <f>IF(OR(E4265="&lt;/routeDistribution&gt;",E4265=""),"",IFERROR(_xlfn.CONCAT(VLOOKUP(BS43,Route_Column!#REF!,2,FALSE),CHAR(34)," probability=",CHAR(34),1/BS$4,CHAR(34),CHAR(47),CHAR(62)),"&lt;/routeDistribution&gt;"))</f>
        <v/>
      </c>
    </row>
    <row r="4267" spans="1:5" x14ac:dyDescent="0.25">
      <c r="A4267" t="s">
        <v>1766</v>
      </c>
      <c r="B4267" t="s">
        <v>1131</v>
      </c>
      <c r="E4267" t="str">
        <f>IF(OR(E4266="&lt;/routeDistribution&gt;",E4266=""),"",IFERROR(_xlfn.CONCAT(VLOOKUP(BS44,Route_Column!#REF!,2,FALSE),CHAR(34)," probability=",CHAR(34),1/BS$4,CHAR(34),CHAR(47),CHAR(62)),"&lt;/routeDistribution&gt;"))</f>
        <v/>
      </c>
    </row>
    <row r="4268" spans="1:5" x14ac:dyDescent="0.25">
      <c r="A4268" t="s">
        <v>1766</v>
      </c>
      <c r="B4268" t="s">
        <v>1134</v>
      </c>
      <c r="E4268" t="str">
        <f>IF(OR(E4267="&lt;/routeDistribution&gt;",E4267=""),"",IFERROR(_xlfn.CONCAT(VLOOKUP(BS45,Route_Column!#REF!,2,FALSE),CHAR(34)," probability=",CHAR(34),1/BS$4,CHAR(34),CHAR(47),CHAR(62)),"&lt;/routeDistribution&gt;"))</f>
        <v/>
      </c>
    </row>
    <row r="4269" spans="1:5" x14ac:dyDescent="0.25">
      <c r="A4269" t="s">
        <v>1766</v>
      </c>
      <c r="B4269" t="s">
        <v>1138</v>
      </c>
      <c r="E4269" t="str">
        <f>IF(OR(E4268="&lt;/routeDistribution&gt;",E4268=""),"",IFERROR(_xlfn.CONCAT(VLOOKUP(BS46,Route_Column!#REF!,2,FALSE),CHAR(34)," probability=",CHAR(34),1/BS$4,CHAR(34),CHAR(47),CHAR(62)),"&lt;/routeDistribution&gt;"))</f>
        <v/>
      </c>
    </row>
    <row r="4270" spans="1:5" x14ac:dyDescent="0.25">
      <c r="A4270" t="s">
        <v>1766</v>
      </c>
      <c r="B4270" t="s">
        <v>1145</v>
      </c>
      <c r="E4270" t="str">
        <f>IF(OR(E4269="&lt;/routeDistribution&gt;",E4269=""),"",IFERROR(_xlfn.CONCAT(VLOOKUP(BS47,Route_Column!#REF!,2,FALSE),CHAR(34)," probability=",CHAR(34),1/BS$4,CHAR(34),CHAR(47),CHAR(62)),"&lt;/routeDistribution&gt;"))</f>
        <v/>
      </c>
    </row>
    <row r="4271" spans="1:5" x14ac:dyDescent="0.25">
      <c r="A4271" t="s">
        <v>1766</v>
      </c>
      <c r="B4271" t="s">
        <v>1154</v>
      </c>
      <c r="E4271" t="str">
        <f>IF(OR(E4270="&lt;/routeDistribution&gt;",E4270=""),"",IFERROR(_xlfn.CONCAT(VLOOKUP(BS48,Route_Column!#REF!,2,FALSE),CHAR(34)," probability=",CHAR(34),1/BS$4,CHAR(34),CHAR(47),CHAR(62)),"&lt;/routeDistribution&gt;"))</f>
        <v/>
      </c>
    </row>
    <row r="4272" spans="1:5" x14ac:dyDescent="0.25">
      <c r="A4272" t="s">
        <v>1766</v>
      </c>
      <c r="B4272" t="s">
        <v>1180</v>
      </c>
      <c r="E4272" t="str">
        <f>IF(OR(E4271="&lt;/routeDistribution&gt;",E4271=""),"",IFERROR(_xlfn.CONCAT(VLOOKUP(BS49,Route_Column!#REF!,2,FALSE),CHAR(34)," probability=",CHAR(34),1/BS$4,CHAR(34),CHAR(47),CHAR(62)),"&lt;/routeDistribution&gt;"))</f>
        <v/>
      </c>
    </row>
    <row r="4273" spans="1:5" x14ac:dyDescent="0.25">
      <c r="A4273" t="s">
        <v>1766</v>
      </c>
      <c r="B4273" t="s">
        <v>1181</v>
      </c>
      <c r="E4273" t="str">
        <f>IF(OR(E4272="&lt;/routeDistribution&gt;",E4272=""),"",IFERROR(_xlfn.CONCAT(VLOOKUP(BS50,Route_Column!#REF!,2,FALSE),CHAR(34)," probability=",CHAR(34),1/BS$4,CHAR(34),CHAR(47),CHAR(62)),"&lt;/routeDistribution&gt;"))</f>
        <v/>
      </c>
    </row>
    <row r="4274" spans="1:5" x14ac:dyDescent="0.25">
      <c r="A4274" t="s">
        <v>1766</v>
      </c>
      <c r="B4274" t="s">
        <v>1201</v>
      </c>
      <c r="E4274" t="str">
        <f>IF(OR(E4273="&lt;/routeDistribution&gt;",E4273=""),"",IFERROR(_xlfn.CONCAT(VLOOKUP(BS51,Route_Column!#REF!,2,FALSE),CHAR(34)," probability=",CHAR(34),1/BS$4,CHAR(34),CHAR(47),CHAR(62)),"&lt;/routeDistribution&gt;"))</f>
        <v/>
      </c>
    </row>
    <row r="4275" spans="1:5" x14ac:dyDescent="0.25">
      <c r="A4275" t="s">
        <v>1766</v>
      </c>
      <c r="B4275" t="s">
        <v>1206</v>
      </c>
      <c r="E4275" t="str">
        <f>IF(OR(E4274="&lt;/routeDistribution&gt;",E4274=""),"",IFERROR(_xlfn.CONCAT(VLOOKUP(BS52,Route_Column!#REF!,2,FALSE),CHAR(34)," probability=",CHAR(34),1/BS$4,CHAR(34),CHAR(47),CHAR(62)),"&lt;/routeDistribution&gt;"))</f>
        <v/>
      </c>
    </row>
    <row r="4276" spans="1:5" x14ac:dyDescent="0.25">
      <c r="A4276" t="s">
        <v>2236</v>
      </c>
      <c r="B4276" t="s">
        <v>1177</v>
      </c>
      <c r="E4276" t="str">
        <f>IF(OR(E4275="&lt;/routeDistribution&gt;",E4275=""),"",IFERROR(_xlfn.CONCAT(VLOOKUP(BS53,Route_Column!#REF!,2,FALSE),CHAR(34)," probability=",CHAR(34),1/BS$4,CHAR(34),CHAR(47),CHAR(62)),"&lt;/routeDistribution&gt;"))</f>
        <v/>
      </c>
    </row>
    <row r="4277" spans="1:5" x14ac:dyDescent="0.25">
      <c r="A4277" t="s">
        <v>2236</v>
      </c>
      <c r="B4277" t="s">
        <v>1220</v>
      </c>
      <c r="E4277" t="str">
        <f>IF(OR(E4276="&lt;/routeDistribution&gt;",E4276=""),"",IFERROR(_xlfn.CONCAT(VLOOKUP(BS54,Route_Column!#REF!,2,FALSE),CHAR(34)," probability=",CHAR(34),1/BS$4,CHAR(34),CHAR(47),CHAR(62)),"&lt;/routeDistribution&gt;"))</f>
        <v/>
      </c>
    </row>
    <row r="4278" spans="1:5" x14ac:dyDescent="0.25">
      <c r="A4278" t="s">
        <v>2236</v>
      </c>
      <c r="B4278" t="s">
        <v>1229</v>
      </c>
      <c r="E4278" t="str">
        <f>IF(OR(E4277="&lt;/routeDistribution&gt;",E4277=""),"",IFERROR(_xlfn.CONCAT(VLOOKUP(BS55,Route_Column!#REF!,2,FALSE),CHAR(34)," probability=",CHAR(34),1/BS$4,CHAR(34),CHAR(47),CHAR(62)),"&lt;/routeDistribution&gt;"))</f>
        <v/>
      </c>
    </row>
    <row r="4279" spans="1:5" x14ac:dyDescent="0.25">
      <c r="A4279" t="s">
        <v>2237</v>
      </c>
      <c r="B4279" t="s">
        <v>1177</v>
      </c>
      <c r="E4279" t="str">
        <f>IF(OR(E4278="&lt;/routeDistribution&gt;",E4278=""),"",IFERROR(_xlfn.CONCAT(VLOOKUP(BS56,Route_Column!#REF!,2,FALSE),CHAR(34)," probability=",CHAR(34),1/BS$4,CHAR(34),CHAR(47),CHAR(62)),"&lt;/routeDistribution&gt;"))</f>
        <v/>
      </c>
    </row>
    <row r="4280" spans="1:5" x14ac:dyDescent="0.25">
      <c r="A4280" t="s">
        <v>2237</v>
      </c>
      <c r="B4280" t="s">
        <v>1220</v>
      </c>
      <c r="E4280" t="str">
        <f>IF(OR(E4279="&lt;/routeDistribution&gt;",E4279=""),"",IFERROR(_xlfn.CONCAT(VLOOKUP(BS57,Route_Column!#REF!,2,FALSE),CHAR(34)," probability=",CHAR(34),1/BS$4,CHAR(34),CHAR(47),CHAR(62)),"&lt;/routeDistribution&gt;"))</f>
        <v/>
      </c>
    </row>
    <row r="4281" spans="1:5" x14ac:dyDescent="0.25">
      <c r="A4281" t="s">
        <v>2237</v>
      </c>
      <c r="B4281" t="s">
        <v>1229</v>
      </c>
      <c r="E4281" t="str">
        <f>IF(OR(E4280="&lt;/routeDistribution&gt;",E4280=""),"",IFERROR(_xlfn.CONCAT(VLOOKUP(BS58,Route_Column!#REF!,2,FALSE),CHAR(34)," probability=",CHAR(34),1/BS$4,CHAR(34),CHAR(47),CHAR(62)),"&lt;/routeDistribution&gt;"))</f>
        <v/>
      </c>
    </row>
    <row r="4282" spans="1:5" x14ac:dyDescent="0.25">
      <c r="A4282" t="s">
        <v>2106</v>
      </c>
      <c r="B4282" t="s">
        <v>1140</v>
      </c>
      <c r="E4282" t="str">
        <f>IF(OR(E4281="&lt;/routeDistribution&gt;",E4281=""),"",IFERROR(_xlfn.CONCAT(VLOOKUP(BS59,Route_Column!#REF!,2,FALSE),CHAR(34)," probability=",CHAR(34),1/BS$4,CHAR(34),CHAR(47),CHAR(62)),"&lt;/routeDistribution&gt;"))</f>
        <v/>
      </c>
    </row>
    <row r="4283" spans="1:5" x14ac:dyDescent="0.25">
      <c r="A4283" t="s">
        <v>2106</v>
      </c>
      <c r="B4283" t="s">
        <v>1141</v>
      </c>
      <c r="E4283" t="str">
        <f>IF(OR(E4282="&lt;/routeDistribution&gt;",E4282=""),"",IFERROR(_xlfn.CONCAT(VLOOKUP(BS60,Route_Column!#REF!,2,FALSE),CHAR(34)," probability=",CHAR(34),1/BS$4,CHAR(34),CHAR(47),CHAR(62)),"&lt;/routeDistribution&gt;"))</f>
        <v/>
      </c>
    </row>
    <row r="4284" spans="1:5" x14ac:dyDescent="0.25">
      <c r="A4284" t="s">
        <v>2106</v>
      </c>
      <c r="B4284" t="s">
        <v>1142</v>
      </c>
      <c r="E4284" t="str">
        <f>IF(OR(E4283="&lt;/routeDistribution&gt;",E4283=""),"",IFERROR(_xlfn.CONCAT(VLOOKUP(BS61,Route_Column!#REF!,2,FALSE),CHAR(34)," probability=",CHAR(34),1/BS$4,CHAR(34),CHAR(47),CHAR(62)),"&lt;/routeDistribution&gt;"))</f>
        <v/>
      </c>
    </row>
    <row r="4285" spans="1:5" x14ac:dyDescent="0.25">
      <c r="A4285" t="s">
        <v>2106</v>
      </c>
      <c r="B4285" t="s">
        <v>1150</v>
      </c>
      <c r="E4285" t="str">
        <f>IF(OR(E4284="&lt;/routeDistribution&gt;",E4284=""),"",IFERROR(_xlfn.CONCAT(VLOOKUP(BS62,Route_Column!#REF!,2,FALSE),CHAR(34)," probability=",CHAR(34),1/BS$4,CHAR(34),CHAR(47),CHAR(62)),"&lt;/routeDistribution&gt;"))</f>
        <v/>
      </c>
    </row>
    <row r="4286" spans="1:5" x14ac:dyDescent="0.25">
      <c r="A4286" t="s">
        <v>2106</v>
      </c>
      <c r="B4286" t="s">
        <v>1151</v>
      </c>
      <c r="E4286" t="str">
        <f>IF(OR(E4285="&lt;/routeDistribution&gt;",E4285=""),"",IFERROR(_xlfn.CONCAT(VLOOKUP(BS63,Route_Column!#REF!,2,FALSE),CHAR(34)," probability=",CHAR(34),1/BS$4,CHAR(34),CHAR(47),CHAR(62)),"&lt;/routeDistribution&gt;"))</f>
        <v/>
      </c>
    </row>
    <row r="4287" spans="1:5" x14ac:dyDescent="0.25">
      <c r="A4287" t="s">
        <v>2106</v>
      </c>
      <c r="B4287" t="s">
        <v>1179</v>
      </c>
      <c r="E4287" t="s">
        <v>2686</v>
      </c>
    </row>
    <row r="4288" spans="1:5" x14ac:dyDescent="0.25">
      <c r="A4288" t="s">
        <v>2106</v>
      </c>
      <c r="B4288" t="s">
        <v>1205</v>
      </c>
    </row>
    <row r="4289" spans="1:5" x14ac:dyDescent="0.25">
      <c r="A4289" t="s">
        <v>2106</v>
      </c>
      <c r="B4289" t="s">
        <v>1206</v>
      </c>
    </row>
    <row r="4290" spans="1:5" x14ac:dyDescent="0.25">
      <c r="A4290" t="s">
        <v>2106</v>
      </c>
      <c r="B4290" t="s">
        <v>1207</v>
      </c>
      <c r="E4290" t="str">
        <f>_xlfn.CONCAT($E$1,BR$2,$F$1)</f>
        <v>&lt;routeDistribution id="CROSKEY-arch-to-Cherry-NB-2009-RouteProbe"&gt;</v>
      </c>
    </row>
    <row r="4291" spans="1:5" x14ac:dyDescent="0.25">
      <c r="A4291" t="s">
        <v>2106</v>
      </c>
      <c r="B4291" t="s">
        <v>1208</v>
      </c>
      <c r="E4291" t="str">
        <f>IF(OR(E4290="&lt;/routeDistribution&gt;",E4290=""),"",IFERROR(_xlfn.CONCAT(VLOOKUP(BR5,Route_Column!#REF!,2,FALSE),CHAR(34)," probability=",CHAR(34),1/BR$4,CHAR(34),CHAR(47),CHAR(62)),"&lt;/routeDistribution&gt;"))</f>
        <v>&lt;/routeDistribution&gt;</v>
      </c>
    </row>
    <row r="4292" spans="1:5" x14ac:dyDescent="0.25">
      <c r="A4292" t="s">
        <v>2106</v>
      </c>
      <c r="B4292" t="s">
        <v>1232</v>
      </c>
      <c r="E4292" t="str">
        <f>IF(OR(E4291="&lt;/routeDistribution&gt;",E4291=""),"",IFERROR(_xlfn.CONCAT(VLOOKUP(BR6,Route_Column!#REF!,2,FALSE),CHAR(34)," probability=",CHAR(34),1/BR$4,CHAR(34),CHAR(47),CHAR(62)),"&lt;/routeDistribution&gt;"))</f>
        <v/>
      </c>
    </row>
    <row r="4293" spans="1:5" x14ac:dyDescent="0.25">
      <c r="A4293" t="s">
        <v>2106</v>
      </c>
      <c r="B4293" t="s">
        <v>1233</v>
      </c>
      <c r="E4293" t="str">
        <f>IF(OR(E4292="&lt;/routeDistribution&gt;",E4292=""),"",IFERROR(_xlfn.CONCAT(VLOOKUP(BR7,Route_Column!#REF!,2,FALSE),CHAR(34)," probability=",CHAR(34),1/BR$4,CHAR(34),CHAR(47),CHAR(62)),"&lt;/routeDistribution&gt;"))</f>
        <v/>
      </c>
    </row>
    <row r="4294" spans="1:5" x14ac:dyDescent="0.25">
      <c r="A4294" t="s">
        <v>2106</v>
      </c>
      <c r="B4294" t="s">
        <v>1234</v>
      </c>
      <c r="E4294" t="str">
        <f>IF(OR(E4293="&lt;/routeDistribution&gt;",E4293=""),"",IFERROR(_xlfn.CONCAT(VLOOKUP(BR8,Route_Column!#REF!,2,FALSE),CHAR(34)," probability=",CHAR(34),1/BR$4,CHAR(34),CHAR(47),CHAR(62)),"&lt;/routeDistribution&gt;"))</f>
        <v/>
      </c>
    </row>
    <row r="4295" spans="1:5" x14ac:dyDescent="0.25">
      <c r="A4295" t="s">
        <v>2106</v>
      </c>
      <c r="B4295" t="s">
        <v>1235</v>
      </c>
      <c r="E4295" t="str">
        <f>IF(OR(E4294="&lt;/routeDistribution&gt;",E4294=""),"",IFERROR(_xlfn.CONCAT(VLOOKUP(BR9,Route_Column!#REF!,2,FALSE),CHAR(34)," probability=",CHAR(34),1/BR$4,CHAR(34),CHAR(47),CHAR(62)),"&lt;/routeDistribution&gt;"))</f>
        <v/>
      </c>
    </row>
    <row r="4296" spans="1:5" x14ac:dyDescent="0.25">
      <c r="A4296" t="s">
        <v>2106</v>
      </c>
      <c r="B4296" t="s">
        <v>1236</v>
      </c>
      <c r="E4296" t="str">
        <f>IF(OR(E4295="&lt;/routeDistribution&gt;",E4295=""),"",IFERROR(_xlfn.CONCAT(VLOOKUP(BR10,Route_Column!#REF!,2,FALSE),CHAR(34)," probability=",CHAR(34),1/BR$4,CHAR(34),CHAR(47),CHAR(62)),"&lt;/routeDistribution&gt;"))</f>
        <v/>
      </c>
    </row>
    <row r="4297" spans="1:5" x14ac:dyDescent="0.25">
      <c r="A4297" t="s">
        <v>2106</v>
      </c>
      <c r="B4297" t="s">
        <v>1237</v>
      </c>
      <c r="E4297" t="str">
        <f>IF(OR(E4296="&lt;/routeDistribution&gt;",E4296=""),"",IFERROR(_xlfn.CONCAT(VLOOKUP(BR11,Route_Column!#REF!,2,FALSE),CHAR(34)," probability=",CHAR(34),1/BR$4,CHAR(34),CHAR(47),CHAR(62)),"&lt;/routeDistribution&gt;"))</f>
        <v/>
      </c>
    </row>
    <row r="4298" spans="1:5" x14ac:dyDescent="0.25">
      <c r="A4298" t="s">
        <v>2106</v>
      </c>
      <c r="B4298" t="s">
        <v>1238</v>
      </c>
      <c r="E4298" t="str">
        <f>IF(OR(E4297="&lt;/routeDistribution&gt;",E4297=""),"",IFERROR(_xlfn.CONCAT(VLOOKUP(BR12,Route_Column!#REF!,2,FALSE),CHAR(34)," probability=",CHAR(34),1/BR$4,CHAR(34),CHAR(47),CHAR(62)),"&lt;/routeDistribution&gt;"))</f>
        <v/>
      </c>
    </row>
    <row r="4299" spans="1:5" x14ac:dyDescent="0.25">
      <c r="A4299" t="s">
        <v>2106</v>
      </c>
      <c r="B4299" t="s">
        <v>1239</v>
      </c>
      <c r="E4299" t="str">
        <f>IF(OR(E4298="&lt;/routeDistribution&gt;",E4298=""),"",IFERROR(_xlfn.CONCAT(VLOOKUP(BR13,Route_Column!#REF!,2,FALSE),CHAR(34)," probability=",CHAR(34),1/BR$4,CHAR(34),CHAR(47),CHAR(62)),"&lt;/routeDistribution&gt;"))</f>
        <v/>
      </c>
    </row>
    <row r="4300" spans="1:5" x14ac:dyDescent="0.25">
      <c r="A4300" t="s">
        <v>2106</v>
      </c>
      <c r="B4300" t="s">
        <v>1240</v>
      </c>
      <c r="E4300" t="str">
        <f>IF(OR(E4299="&lt;/routeDistribution&gt;",E4299=""),"",IFERROR(_xlfn.CONCAT(VLOOKUP(BR14,Route_Column!#REF!,2,FALSE),CHAR(34)," probability=",CHAR(34),1/BR$4,CHAR(34),CHAR(47),CHAR(62)),"&lt;/routeDistribution&gt;"))</f>
        <v/>
      </c>
    </row>
    <row r="4301" spans="1:5" x14ac:dyDescent="0.25">
      <c r="A4301" t="s">
        <v>2106</v>
      </c>
      <c r="B4301" t="s">
        <v>1241</v>
      </c>
      <c r="E4301" t="str">
        <f>IF(OR(E4300="&lt;/routeDistribution&gt;",E4300=""),"",IFERROR(_xlfn.CONCAT(VLOOKUP(BR15,Route_Column!#REF!,2,FALSE),CHAR(34)," probability=",CHAR(34),1/BR$4,CHAR(34),CHAR(47),CHAR(62)),"&lt;/routeDistribution&gt;"))</f>
        <v/>
      </c>
    </row>
    <row r="4302" spans="1:5" x14ac:dyDescent="0.25">
      <c r="A4302" t="s">
        <v>2106</v>
      </c>
      <c r="B4302" t="s">
        <v>1242</v>
      </c>
      <c r="E4302" t="str">
        <f>IF(OR(E4301="&lt;/routeDistribution&gt;",E4301=""),"",IFERROR(_xlfn.CONCAT(VLOOKUP(BR16,Route_Column!#REF!,2,FALSE),CHAR(34)," probability=",CHAR(34),1/BR$4,CHAR(34),CHAR(47),CHAR(62)),"&lt;/routeDistribution&gt;"))</f>
        <v/>
      </c>
    </row>
    <row r="4303" spans="1:5" x14ac:dyDescent="0.25">
      <c r="A4303" t="s">
        <v>2106</v>
      </c>
      <c r="B4303" t="s">
        <v>1243</v>
      </c>
      <c r="E4303" t="str">
        <f>IF(OR(E4302="&lt;/routeDistribution&gt;",E4302=""),"",IFERROR(_xlfn.CONCAT(VLOOKUP(BR17,Route_Column!#REF!,2,FALSE),CHAR(34)," probability=",CHAR(34),1/BR$4,CHAR(34),CHAR(47),CHAR(62)),"&lt;/routeDistribution&gt;"))</f>
        <v/>
      </c>
    </row>
    <row r="4304" spans="1:5" x14ac:dyDescent="0.25">
      <c r="A4304" t="s">
        <v>2106</v>
      </c>
      <c r="B4304" t="s">
        <v>1244</v>
      </c>
      <c r="E4304" t="str">
        <f>IF(OR(E4303="&lt;/routeDistribution&gt;",E4303=""),"",IFERROR(_xlfn.CONCAT(VLOOKUP(BR18,Route_Column!#REF!,2,FALSE),CHAR(34)," probability=",CHAR(34),1/BR$4,CHAR(34),CHAR(47),CHAR(62)),"&lt;/routeDistribution&gt;"))</f>
        <v/>
      </c>
    </row>
    <row r="4305" spans="1:5" x14ac:dyDescent="0.25">
      <c r="A4305" t="s">
        <v>2106</v>
      </c>
      <c r="B4305" t="s">
        <v>1245</v>
      </c>
      <c r="E4305" t="str">
        <f>IF(OR(E4304="&lt;/routeDistribution&gt;",E4304=""),"",IFERROR(_xlfn.CONCAT(VLOOKUP(BR19,Route_Column!#REF!,2,FALSE),CHAR(34)," probability=",CHAR(34),1/BR$4,CHAR(34),CHAR(47),CHAR(62)),"&lt;/routeDistribution&gt;"))</f>
        <v/>
      </c>
    </row>
    <row r="4306" spans="1:5" x14ac:dyDescent="0.25">
      <c r="A4306" t="s">
        <v>2106</v>
      </c>
      <c r="B4306" t="s">
        <v>1246</v>
      </c>
      <c r="E4306" t="str">
        <f>IF(OR(E4305="&lt;/routeDistribution&gt;",E4305=""),"",IFERROR(_xlfn.CONCAT(VLOOKUP(BR20,Route_Column!#REF!,2,FALSE),CHAR(34)," probability=",CHAR(34),1/BR$4,CHAR(34),CHAR(47),CHAR(62)),"&lt;/routeDistribution&gt;"))</f>
        <v/>
      </c>
    </row>
    <row r="4307" spans="1:5" x14ac:dyDescent="0.25">
      <c r="A4307" t="s">
        <v>2106</v>
      </c>
      <c r="B4307" t="s">
        <v>1247</v>
      </c>
      <c r="E4307" t="str">
        <f>IF(OR(E4306="&lt;/routeDistribution&gt;",E4306=""),"",IFERROR(_xlfn.CONCAT(VLOOKUP(BR21,Route_Column!#REF!,2,FALSE),CHAR(34)," probability=",CHAR(34),1/BR$4,CHAR(34),CHAR(47),CHAR(62)),"&lt;/routeDistribution&gt;"))</f>
        <v/>
      </c>
    </row>
    <row r="4308" spans="1:5" x14ac:dyDescent="0.25">
      <c r="A4308" t="s">
        <v>2106</v>
      </c>
      <c r="B4308" t="s">
        <v>1248</v>
      </c>
      <c r="E4308" t="str">
        <f>IF(OR(E4307="&lt;/routeDistribution&gt;",E4307=""),"",IFERROR(_xlfn.CONCAT(VLOOKUP(BR22,Route_Column!#REF!,2,FALSE),CHAR(34)," probability=",CHAR(34),1/BR$4,CHAR(34),CHAR(47),CHAR(62)),"&lt;/routeDistribution&gt;"))</f>
        <v/>
      </c>
    </row>
    <row r="4309" spans="1:5" x14ac:dyDescent="0.25">
      <c r="A4309" t="s">
        <v>2106</v>
      </c>
      <c r="B4309" t="s">
        <v>1249</v>
      </c>
      <c r="E4309" t="str">
        <f>IF(OR(E4308="&lt;/routeDistribution&gt;",E4308=""),"",IFERROR(_xlfn.CONCAT(VLOOKUP(BR23,Route_Column!#REF!,2,FALSE),CHAR(34)," probability=",CHAR(34),1/BR$4,CHAR(34),CHAR(47),CHAR(62)),"&lt;/routeDistribution&gt;"))</f>
        <v/>
      </c>
    </row>
    <row r="4310" spans="1:5" x14ac:dyDescent="0.25">
      <c r="A4310" t="s">
        <v>2106</v>
      </c>
      <c r="B4310" t="s">
        <v>1250</v>
      </c>
      <c r="E4310" t="str">
        <f>IF(OR(E4309="&lt;/routeDistribution&gt;",E4309=""),"",IFERROR(_xlfn.CONCAT(VLOOKUP(BR24,Route_Column!#REF!,2,FALSE),CHAR(34)," probability=",CHAR(34),1/BR$4,CHAR(34),CHAR(47),CHAR(62)),"&lt;/routeDistribution&gt;"))</f>
        <v/>
      </c>
    </row>
    <row r="4311" spans="1:5" x14ac:dyDescent="0.25">
      <c r="A4311" t="s">
        <v>2107</v>
      </c>
      <c r="B4311" t="s">
        <v>1140</v>
      </c>
      <c r="E4311" t="str">
        <f>IF(OR(E4310="&lt;/routeDistribution&gt;",E4310=""),"",IFERROR(_xlfn.CONCAT(VLOOKUP(BR25,Route_Column!#REF!,2,FALSE),CHAR(34)," probability=",CHAR(34),1/BR$4,CHAR(34),CHAR(47),CHAR(62)),"&lt;/routeDistribution&gt;"))</f>
        <v/>
      </c>
    </row>
    <row r="4312" spans="1:5" x14ac:dyDescent="0.25">
      <c r="A4312" t="s">
        <v>2107</v>
      </c>
      <c r="B4312" t="s">
        <v>1141</v>
      </c>
      <c r="E4312" t="str">
        <f>IF(OR(E4311="&lt;/routeDistribution&gt;",E4311=""),"",IFERROR(_xlfn.CONCAT(VLOOKUP(BR26,Route_Column!#REF!,2,FALSE),CHAR(34)," probability=",CHAR(34),1/BR$4,CHAR(34),CHAR(47),CHAR(62)),"&lt;/routeDistribution&gt;"))</f>
        <v/>
      </c>
    </row>
    <row r="4313" spans="1:5" x14ac:dyDescent="0.25">
      <c r="A4313" t="s">
        <v>2107</v>
      </c>
      <c r="B4313" t="s">
        <v>1142</v>
      </c>
      <c r="E4313" t="str">
        <f>IF(OR(E4312="&lt;/routeDistribution&gt;",E4312=""),"",IFERROR(_xlfn.CONCAT(VLOOKUP(BR27,Route_Column!#REF!,2,FALSE),CHAR(34)," probability=",CHAR(34),1/BR$4,CHAR(34),CHAR(47),CHAR(62)),"&lt;/routeDistribution&gt;"))</f>
        <v/>
      </c>
    </row>
    <row r="4314" spans="1:5" x14ac:dyDescent="0.25">
      <c r="A4314" t="s">
        <v>2107</v>
      </c>
      <c r="B4314" t="s">
        <v>1150</v>
      </c>
      <c r="E4314" t="str">
        <f>IF(OR(E4313="&lt;/routeDistribution&gt;",E4313=""),"",IFERROR(_xlfn.CONCAT(VLOOKUP(BR28,Route_Column!#REF!,2,FALSE),CHAR(34)," probability=",CHAR(34),1/BR$4,CHAR(34),CHAR(47),CHAR(62)),"&lt;/routeDistribution&gt;"))</f>
        <v/>
      </c>
    </row>
    <row r="4315" spans="1:5" x14ac:dyDescent="0.25">
      <c r="A4315" t="s">
        <v>2107</v>
      </c>
      <c r="B4315" t="s">
        <v>1151</v>
      </c>
      <c r="E4315" t="str">
        <f>IF(OR(E4314="&lt;/routeDistribution&gt;",E4314=""),"",IFERROR(_xlfn.CONCAT(VLOOKUP(BR29,Route_Column!#REF!,2,FALSE),CHAR(34)," probability=",CHAR(34),1/BR$4,CHAR(34),CHAR(47),CHAR(62)),"&lt;/routeDistribution&gt;"))</f>
        <v/>
      </c>
    </row>
    <row r="4316" spans="1:5" x14ac:dyDescent="0.25">
      <c r="A4316" t="s">
        <v>2107</v>
      </c>
      <c r="B4316" t="s">
        <v>1179</v>
      </c>
      <c r="E4316" t="str">
        <f>IF(OR(E4315="&lt;/routeDistribution&gt;",E4315=""),"",IFERROR(_xlfn.CONCAT(VLOOKUP(BR30,Route_Column!#REF!,2,FALSE),CHAR(34)," probability=",CHAR(34),1/BR$4,CHAR(34),CHAR(47),CHAR(62)),"&lt;/routeDistribution&gt;"))</f>
        <v/>
      </c>
    </row>
    <row r="4317" spans="1:5" x14ac:dyDescent="0.25">
      <c r="A4317" t="s">
        <v>2107</v>
      </c>
      <c r="B4317" t="s">
        <v>1205</v>
      </c>
      <c r="E4317" t="str">
        <f>IF(OR(E4316="&lt;/routeDistribution&gt;",E4316=""),"",IFERROR(_xlfn.CONCAT(VLOOKUP(BR31,Route_Column!#REF!,2,FALSE),CHAR(34)," probability=",CHAR(34),1/BR$4,CHAR(34),CHAR(47),CHAR(62)),"&lt;/routeDistribution&gt;"))</f>
        <v/>
      </c>
    </row>
    <row r="4318" spans="1:5" x14ac:dyDescent="0.25">
      <c r="A4318" t="s">
        <v>2107</v>
      </c>
      <c r="B4318" t="s">
        <v>1206</v>
      </c>
      <c r="E4318" t="str">
        <f>IF(OR(E4317="&lt;/routeDistribution&gt;",E4317=""),"",IFERROR(_xlfn.CONCAT(VLOOKUP(BR32,Route_Column!#REF!,2,FALSE),CHAR(34)," probability=",CHAR(34),1/BR$4,CHAR(34),CHAR(47),CHAR(62)),"&lt;/routeDistribution&gt;"))</f>
        <v/>
      </c>
    </row>
    <row r="4319" spans="1:5" x14ac:dyDescent="0.25">
      <c r="A4319" t="s">
        <v>2107</v>
      </c>
      <c r="B4319" t="s">
        <v>1207</v>
      </c>
      <c r="E4319" t="str">
        <f>IF(OR(E4318="&lt;/routeDistribution&gt;",E4318=""),"",IFERROR(_xlfn.CONCAT(VLOOKUP(BR33,Route_Column!#REF!,2,FALSE),CHAR(34)," probability=",CHAR(34),1/BR$4,CHAR(34),CHAR(47),CHAR(62)),"&lt;/routeDistribution&gt;"))</f>
        <v/>
      </c>
    </row>
    <row r="4320" spans="1:5" x14ac:dyDescent="0.25">
      <c r="A4320" t="s">
        <v>2107</v>
      </c>
      <c r="B4320" t="s">
        <v>1208</v>
      </c>
      <c r="E4320" t="str">
        <f>IF(OR(E4319="&lt;/routeDistribution&gt;",E4319=""),"",IFERROR(_xlfn.CONCAT(VLOOKUP(BR34,Route_Column!#REF!,2,FALSE),CHAR(34)," probability=",CHAR(34),1/BR$4,CHAR(34),CHAR(47),CHAR(62)),"&lt;/routeDistribution&gt;"))</f>
        <v/>
      </c>
    </row>
    <row r="4321" spans="1:5" x14ac:dyDescent="0.25">
      <c r="A4321" t="s">
        <v>2107</v>
      </c>
      <c r="B4321" t="s">
        <v>1232</v>
      </c>
      <c r="E4321" t="str">
        <f>IF(OR(E4320="&lt;/routeDistribution&gt;",E4320=""),"",IFERROR(_xlfn.CONCAT(VLOOKUP(BR35,Route_Column!#REF!,2,FALSE),CHAR(34)," probability=",CHAR(34),1/BR$4,CHAR(34),CHAR(47),CHAR(62)),"&lt;/routeDistribution&gt;"))</f>
        <v/>
      </c>
    </row>
    <row r="4322" spans="1:5" x14ac:dyDescent="0.25">
      <c r="A4322" t="s">
        <v>2107</v>
      </c>
      <c r="B4322" t="s">
        <v>1233</v>
      </c>
      <c r="E4322" t="str">
        <f>IF(OR(E4321="&lt;/routeDistribution&gt;",E4321=""),"",IFERROR(_xlfn.CONCAT(VLOOKUP(BR36,Route_Column!#REF!,2,FALSE),CHAR(34)," probability=",CHAR(34),1/BR$4,CHAR(34),CHAR(47),CHAR(62)),"&lt;/routeDistribution&gt;"))</f>
        <v/>
      </c>
    </row>
    <row r="4323" spans="1:5" x14ac:dyDescent="0.25">
      <c r="A4323" t="s">
        <v>2107</v>
      </c>
      <c r="B4323" t="s">
        <v>1234</v>
      </c>
      <c r="E4323" t="str">
        <f>IF(OR(E4322="&lt;/routeDistribution&gt;",E4322=""),"",IFERROR(_xlfn.CONCAT(VLOOKUP(BR37,Route_Column!#REF!,2,FALSE),CHAR(34)," probability=",CHAR(34),1/BR$4,CHAR(34),CHAR(47),CHAR(62)),"&lt;/routeDistribution&gt;"))</f>
        <v/>
      </c>
    </row>
    <row r="4324" spans="1:5" x14ac:dyDescent="0.25">
      <c r="A4324" t="s">
        <v>2107</v>
      </c>
      <c r="B4324" t="s">
        <v>1235</v>
      </c>
      <c r="E4324" t="str">
        <f>IF(OR(E4323="&lt;/routeDistribution&gt;",E4323=""),"",IFERROR(_xlfn.CONCAT(VLOOKUP(BR38,Route_Column!#REF!,2,FALSE),CHAR(34)," probability=",CHAR(34),1/BR$4,CHAR(34),CHAR(47),CHAR(62)),"&lt;/routeDistribution&gt;"))</f>
        <v/>
      </c>
    </row>
    <row r="4325" spans="1:5" x14ac:dyDescent="0.25">
      <c r="A4325" t="s">
        <v>2107</v>
      </c>
      <c r="B4325" t="s">
        <v>1236</v>
      </c>
      <c r="E4325" t="str">
        <f>IF(OR(E4324="&lt;/routeDistribution&gt;",E4324=""),"",IFERROR(_xlfn.CONCAT(VLOOKUP(BR39,Route_Column!#REF!,2,FALSE),CHAR(34)," probability=",CHAR(34),1/BR$4,CHAR(34),CHAR(47),CHAR(62)),"&lt;/routeDistribution&gt;"))</f>
        <v/>
      </c>
    </row>
    <row r="4326" spans="1:5" x14ac:dyDescent="0.25">
      <c r="A4326" t="s">
        <v>2107</v>
      </c>
      <c r="B4326" t="s">
        <v>1237</v>
      </c>
      <c r="E4326" t="str">
        <f>IF(OR(E4325="&lt;/routeDistribution&gt;",E4325=""),"",IFERROR(_xlfn.CONCAT(VLOOKUP(BR40,Route_Column!#REF!,2,FALSE),CHAR(34)," probability=",CHAR(34),1/BR$4,CHAR(34),CHAR(47),CHAR(62)),"&lt;/routeDistribution&gt;"))</f>
        <v/>
      </c>
    </row>
    <row r="4327" spans="1:5" x14ac:dyDescent="0.25">
      <c r="A4327" t="s">
        <v>2107</v>
      </c>
      <c r="B4327" t="s">
        <v>1238</v>
      </c>
      <c r="E4327" t="str">
        <f>IF(OR(E4326="&lt;/routeDistribution&gt;",E4326=""),"",IFERROR(_xlfn.CONCAT(VLOOKUP(BR41,Route_Column!#REF!,2,FALSE),CHAR(34)," probability=",CHAR(34),1/BR$4,CHAR(34),CHAR(47),CHAR(62)),"&lt;/routeDistribution&gt;"))</f>
        <v/>
      </c>
    </row>
    <row r="4328" spans="1:5" x14ac:dyDescent="0.25">
      <c r="A4328" t="s">
        <v>2107</v>
      </c>
      <c r="B4328" t="s">
        <v>1239</v>
      </c>
      <c r="E4328" t="str">
        <f>IF(OR(E4327="&lt;/routeDistribution&gt;",E4327=""),"",IFERROR(_xlfn.CONCAT(VLOOKUP(BR42,Route_Column!#REF!,2,FALSE),CHAR(34)," probability=",CHAR(34),1/BR$4,CHAR(34),CHAR(47),CHAR(62)),"&lt;/routeDistribution&gt;"))</f>
        <v/>
      </c>
    </row>
    <row r="4329" spans="1:5" x14ac:dyDescent="0.25">
      <c r="A4329" t="s">
        <v>2107</v>
      </c>
      <c r="B4329" t="s">
        <v>1240</v>
      </c>
      <c r="E4329" t="str">
        <f>IF(OR(E4328="&lt;/routeDistribution&gt;",E4328=""),"",IFERROR(_xlfn.CONCAT(VLOOKUP(BR43,Route_Column!#REF!,2,FALSE),CHAR(34)," probability=",CHAR(34),1/BR$4,CHAR(34),CHAR(47),CHAR(62)),"&lt;/routeDistribution&gt;"))</f>
        <v/>
      </c>
    </row>
    <row r="4330" spans="1:5" x14ac:dyDescent="0.25">
      <c r="A4330" t="s">
        <v>2107</v>
      </c>
      <c r="B4330" t="s">
        <v>1241</v>
      </c>
      <c r="E4330" t="str">
        <f>IF(OR(E4329="&lt;/routeDistribution&gt;",E4329=""),"",IFERROR(_xlfn.CONCAT(VLOOKUP(BR44,Route_Column!#REF!,2,FALSE),CHAR(34)," probability=",CHAR(34),1/BR$4,CHAR(34),CHAR(47),CHAR(62)),"&lt;/routeDistribution&gt;"))</f>
        <v/>
      </c>
    </row>
    <row r="4331" spans="1:5" x14ac:dyDescent="0.25">
      <c r="A4331" t="s">
        <v>2107</v>
      </c>
      <c r="B4331" t="s">
        <v>1242</v>
      </c>
      <c r="E4331" t="str">
        <f>IF(OR(E4330="&lt;/routeDistribution&gt;",E4330=""),"",IFERROR(_xlfn.CONCAT(VLOOKUP(BR45,Route_Column!#REF!,2,FALSE),CHAR(34)," probability=",CHAR(34),1/BR$4,CHAR(34),CHAR(47),CHAR(62)),"&lt;/routeDistribution&gt;"))</f>
        <v/>
      </c>
    </row>
    <row r="4332" spans="1:5" x14ac:dyDescent="0.25">
      <c r="A4332" t="s">
        <v>2107</v>
      </c>
      <c r="B4332" t="s">
        <v>1243</v>
      </c>
      <c r="E4332" t="str">
        <f>IF(OR(E4331="&lt;/routeDistribution&gt;",E4331=""),"",IFERROR(_xlfn.CONCAT(VLOOKUP(BR46,Route_Column!#REF!,2,FALSE),CHAR(34)," probability=",CHAR(34),1/BR$4,CHAR(34),CHAR(47),CHAR(62)),"&lt;/routeDistribution&gt;"))</f>
        <v/>
      </c>
    </row>
    <row r="4333" spans="1:5" x14ac:dyDescent="0.25">
      <c r="A4333" t="s">
        <v>2107</v>
      </c>
      <c r="B4333" t="s">
        <v>1244</v>
      </c>
      <c r="E4333" t="str">
        <f>IF(OR(E4332="&lt;/routeDistribution&gt;",E4332=""),"",IFERROR(_xlfn.CONCAT(VLOOKUP(BR47,Route_Column!#REF!,2,FALSE),CHAR(34)," probability=",CHAR(34),1/BR$4,CHAR(34),CHAR(47),CHAR(62)),"&lt;/routeDistribution&gt;"))</f>
        <v/>
      </c>
    </row>
    <row r="4334" spans="1:5" x14ac:dyDescent="0.25">
      <c r="A4334" t="s">
        <v>2107</v>
      </c>
      <c r="B4334" t="s">
        <v>1245</v>
      </c>
      <c r="E4334" t="str">
        <f>IF(OR(E4333="&lt;/routeDistribution&gt;",E4333=""),"",IFERROR(_xlfn.CONCAT(VLOOKUP(BR48,Route_Column!#REF!,2,FALSE),CHAR(34)," probability=",CHAR(34),1/BR$4,CHAR(34),CHAR(47),CHAR(62)),"&lt;/routeDistribution&gt;"))</f>
        <v/>
      </c>
    </row>
    <row r="4335" spans="1:5" x14ac:dyDescent="0.25">
      <c r="A4335" t="s">
        <v>2107</v>
      </c>
      <c r="B4335" t="s">
        <v>1246</v>
      </c>
      <c r="E4335" t="str">
        <f>IF(OR(E4334="&lt;/routeDistribution&gt;",E4334=""),"",IFERROR(_xlfn.CONCAT(VLOOKUP(BR49,Route_Column!#REF!,2,FALSE),CHAR(34)," probability=",CHAR(34),1/BR$4,CHAR(34),CHAR(47),CHAR(62)),"&lt;/routeDistribution&gt;"))</f>
        <v/>
      </c>
    </row>
    <row r="4336" spans="1:5" x14ac:dyDescent="0.25">
      <c r="A4336" t="s">
        <v>2107</v>
      </c>
      <c r="B4336" t="s">
        <v>1247</v>
      </c>
      <c r="E4336" t="str">
        <f>IF(OR(E4335="&lt;/routeDistribution&gt;",E4335=""),"",IFERROR(_xlfn.CONCAT(VLOOKUP(BR50,Route_Column!#REF!,2,FALSE),CHAR(34)," probability=",CHAR(34),1/BR$4,CHAR(34),CHAR(47),CHAR(62)),"&lt;/routeDistribution&gt;"))</f>
        <v/>
      </c>
    </row>
    <row r="4337" spans="1:5" x14ac:dyDescent="0.25">
      <c r="A4337" t="s">
        <v>2107</v>
      </c>
      <c r="B4337" t="s">
        <v>1248</v>
      </c>
      <c r="E4337" t="str">
        <f>IF(OR(E4336="&lt;/routeDistribution&gt;",E4336=""),"",IFERROR(_xlfn.CONCAT(VLOOKUP(BR51,Route_Column!#REF!,2,FALSE),CHAR(34)," probability=",CHAR(34),1/BR$4,CHAR(34),CHAR(47),CHAR(62)),"&lt;/routeDistribution&gt;"))</f>
        <v/>
      </c>
    </row>
    <row r="4338" spans="1:5" x14ac:dyDescent="0.25">
      <c r="A4338" t="s">
        <v>2107</v>
      </c>
      <c r="B4338" t="s">
        <v>1249</v>
      </c>
      <c r="E4338" t="str">
        <f>IF(OR(E4337="&lt;/routeDistribution&gt;",E4337=""),"",IFERROR(_xlfn.CONCAT(VLOOKUP(BR52,Route_Column!#REF!,2,FALSE),CHAR(34)," probability=",CHAR(34),1/BR$4,CHAR(34),CHAR(47),CHAR(62)),"&lt;/routeDistribution&gt;"))</f>
        <v/>
      </c>
    </row>
    <row r="4339" spans="1:5" x14ac:dyDescent="0.25">
      <c r="A4339" t="s">
        <v>2107</v>
      </c>
      <c r="B4339" t="s">
        <v>1250</v>
      </c>
      <c r="E4339" t="str">
        <f>IF(OR(E4338="&lt;/routeDistribution&gt;",E4338=""),"",IFERROR(_xlfn.CONCAT(VLOOKUP(BR53,Route_Column!#REF!,2,FALSE),CHAR(34)," probability=",CHAR(34),1/BR$4,CHAR(34),CHAR(47),CHAR(62)),"&lt;/routeDistribution&gt;"))</f>
        <v/>
      </c>
    </row>
    <row r="4340" spans="1:5" x14ac:dyDescent="0.25">
      <c r="A4340" t="s">
        <v>2343</v>
      </c>
      <c r="B4340" t="s">
        <v>1235</v>
      </c>
      <c r="E4340" t="str">
        <f>IF(OR(E4339="&lt;/routeDistribution&gt;",E4339=""),"",IFERROR(_xlfn.CONCAT(VLOOKUP(BR54,Route_Column!#REF!,2,FALSE),CHAR(34)," probability=",CHAR(34),1/BR$4,CHAR(34),CHAR(47),CHAR(62)),"&lt;/routeDistribution&gt;"))</f>
        <v/>
      </c>
    </row>
    <row r="4341" spans="1:5" x14ac:dyDescent="0.25">
      <c r="A4341" t="s">
        <v>2343</v>
      </c>
      <c r="B4341" t="s">
        <v>1236</v>
      </c>
      <c r="E4341" t="str">
        <f>IF(OR(E4340="&lt;/routeDistribution&gt;",E4340=""),"",IFERROR(_xlfn.CONCAT(VLOOKUP(BR55,Route_Column!#REF!,2,FALSE),CHAR(34)," probability=",CHAR(34),1/BR$4,CHAR(34),CHAR(47),CHAR(62)),"&lt;/routeDistribution&gt;"))</f>
        <v/>
      </c>
    </row>
    <row r="4342" spans="1:5" x14ac:dyDescent="0.25">
      <c r="A4342" t="s">
        <v>2343</v>
      </c>
      <c r="B4342" t="s">
        <v>1237</v>
      </c>
      <c r="E4342" t="str">
        <f>IF(OR(E4341="&lt;/routeDistribution&gt;",E4341=""),"",IFERROR(_xlfn.CONCAT(VLOOKUP(BR56,Route_Column!#REF!,2,FALSE),CHAR(34)," probability=",CHAR(34),1/BR$4,CHAR(34),CHAR(47),CHAR(62)),"&lt;/routeDistribution&gt;"))</f>
        <v/>
      </c>
    </row>
    <row r="4343" spans="1:5" x14ac:dyDescent="0.25">
      <c r="A4343" t="s">
        <v>2343</v>
      </c>
      <c r="B4343" t="s">
        <v>1238</v>
      </c>
      <c r="E4343" t="str">
        <f>IF(OR(E4342="&lt;/routeDistribution&gt;",E4342=""),"",IFERROR(_xlfn.CONCAT(VLOOKUP(BR57,Route_Column!#REF!,2,FALSE),CHAR(34)," probability=",CHAR(34),1/BR$4,CHAR(34),CHAR(47),CHAR(62)),"&lt;/routeDistribution&gt;"))</f>
        <v/>
      </c>
    </row>
    <row r="4344" spans="1:5" x14ac:dyDescent="0.25">
      <c r="A4344" t="s">
        <v>2343</v>
      </c>
      <c r="B4344" t="s">
        <v>1239</v>
      </c>
      <c r="E4344" t="str">
        <f>IF(OR(E4343="&lt;/routeDistribution&gt;",E4343=""),"",IFERROR(_xlfn.CONCAT(VLOOKUP(BR58,Route_Column!#REF!,2,FALSE),CHAR(34)," probability=",CHAR(34),1/BR$4,CHAR(34),CHAR(47),CHAR(62)),"&lt;/routeDistribution&gt;"))</f>
        <v/>
      </c>
    </row>
    <row r="4345" spans="1:5" x14ac:dyDescent="0.25">
      <c r="A4345" t="s">
        <v>2343</v>
      </c>
      <c r="B4345" t="s">
        <v>1240</v>
      </c>
      <c r="E4345" t="str">
        <f>IF(OR(E4344="&lt;/routeDistribution&gt;",E4344=""),"",IFERROR(_xlfn.CONCAT(VLOOKUP(BR59,Route_Column!#REF!,2,FALSE),CHAR(34)," probability=",CHAR(34),1/BR$4,CHAR(34),CHAR(47),CHAR(62)),"&lt;/routeDistribution&gt;"))</f>
        <v/>
      </c>
    </row>
    <row r="4346" spans="1:5" x14ac:dyDescent="0.25">
      <c r="A4346" t="s">
        <v>2343</v>
      </c>
      <c r="B4346" t="s">
        <v>1241</v>
      </c>
      <c r="E4346" t="str">
        <f>IF(OR(E4345="&lt;/routeDistribution&gt;",E4345=""),"",IFERROR(_xlfn.CONCAT(VLOOKUP(BR60,Route_Column!#REF!,2,FALSE),CHAR(34)," probability=",CHAR(34),1/BR$4,CHAR(34),CHAR(47),CHAR(62)),"&lt;/routeDistribution&gt;"))</f>
        <v/>
      </c>
    </row>
    <row r="4347" spans="1:5" x14ac:dyDescent="0.25">
      <c r="A4347" t="s">
        <v>2343</v>
      </c>
      <c r="B4347" t="s">
        <v>1242</v>
      </c>
      <c r="E4347" t="str">
        <f>IF(OR(E4346="&lt;/routeDistribution&gt;",E4346=""),"",IFERROR(_xlfn.CONCAT(VLOOKUP(BR61,Route_Column!#REF!,2,FALSE),CHAR(34)," probability=",CHAR(34),1/BR$4,CHAR(34),CHAR(47),CHAR(62)),"&lt;/routeDistribution&gt;"))</f>
        <v/>
      </c>
    </row>
    <row r="4348" spans="1:5" x14ac:dyDescent="0.25">
      <c r="A4348" t="s">
        <v>2343</v>
      </c>
      <c r="B4348" t="s">
        <v>1243</v>
      </c>
      <c r="E4348" t="str">
        <f>IF(OR(E4347="&lt;/routeDistribution&gt;",E4347=""),"",IFERROR(_xlfn.CONCAT(VLOOKUP(BR62,Route_Column!#REF!,2,FALSE),CHAR(34)," probability=",CHAR(34),1/BR$4,CHAR(34),CHAR(47),CHAR(62)),"&lt;/routeDistribution&gt;"))</f>
        <v/>
      </c>
    </row>
    <row r="4349" spans="1:5" x14ac:dyDescent="0.25">
      <c r="A4349" t="s">
        <v>2343</v>
      </c>
      <c r="B4349" t="s">
        <v>1244</v>
      </c>
      <c r="E4349" t="str">
        <f>IF(OR(E4348="&lt;/routeDistribution&gt;",E4348=""),"",IFERROR(_xlfn.CONCAT(VLOOKUP(BR63,Route_Column!#REF!,2,FALSE),CHAR(34)," probability=",CHAR(34),1/BR$4,CHAR(34),CHAR(47),CHAR(62)),"&lt;/routeDistribution&gt;"))</f>
        <v/>
      </c>
    </row>
    <row r="4350" spans="1:5" x14ac:dyDescent="0.25">
      <c r="A4350" t="s">
        <v>2343</v>
      </c>
      <c r="B4350" t="s">
        <v>1245</v>
      </c>
      <c r="E4350" t="s">
        <v>2686</v>
      </c>
    </row>
    <row r="4351" spans="1:5" x14ac:dyDescent="0.25">
      <c r="A4351" t="s">
        <v>2343</v>
      </c>
      <c r="B4351" t="s">
        <v>1246</v>
      </c>
    </row>
    <row r="4352" spans="1:5" x14ac:dyDescent="0.25">
      <c r="A4352" t="s">
        <v>2343</v>
      </c>
      <c r="B4352" t="s">
        <v>1247</v>
      </c>
    </row>
    <row r="4353" spans="1:5" x14ac:dyDescent="0.25">
      <c r="A4353" t="s">
        <v>2343</v>
      </c>
      <c r="B4353" t="s">
        <v>1248</v>
      </c>
      <c r="E4353" t="str">
        <f>_xlfn.CONCAT($E$1,BQ$2,$F$1)</f>
        <v>&lt;routeDistribution id="Walnut-34th-to-36th-WB-2011-RouteProbe"&gt;</v>
      </c>
    </row>
    <row r="4354" spans="1:5" x14ac:dyDescent="0.25">
      <c r="A4354" t="s">
        <v>2343</v>
      </c>
      <c r="B4354" t="s">
        <v>1249</v>
      </c>
      <c r="E4354" t="str">
        <f>IF(OR(E4353="&lt;/routeDistribution&gt;",E4353=""),"",IFERROR(_xlfn.CONCAT(VLOOKUP(BQ5,Route_Column!#REF!,2,FALSE),CHAR(34)," probability=",CHAR(34),1/BQ$4,CHAR(34),CHAR(47),CHAR(62)),"&lt;/routeDistribution&gt;"))</f>
        <v>&lt;/routeDistribution&gt;</v>
      </c>
    </row>
    <row r="4355" spans="1:5" x14ac:dyDescent="0.25">
      <c r="A4355" t="s">
        <v>2305</v>
      </c>
      <c r="B4355" t="s">
        <v>1211</v>
      </c>
      <c r="E4355" t="str">
        <f>IF(OR(E4354="&lt;/routeDistribution&gt;",E4354=""),"",IFERROR(_xlfn.CONCAT(VLOOKUP(BQ6,Route_Column!#REF!,2,FALSE),CHAR(34)," probability=",CHAR(34),1/BQ$4,CHAR(34),CHAR(47),CHAR(62)),"&lt;/routeDistribution&gt;"))</f>
        <v/>
      </c>
    </row>
    <row r="4356" spans="1:5" x14ac:dyDescent="0.25">
      <c r="A4356" t="s">
        <v>2305</v>
      </c>
      <c r="B4356" t="s">
        <v>1235</v>
      </c>
      <c r="E4356" t="str">
        <f>IF(OR(E4355="&lt;/routeDistribution&gt;",E4355=""),"",IFERROR(_xlfn.CONCAT(VLOOKUP(BQ7,Route_Column!#REF!,2,FALSE),CHAR(34)," probability=",CHAR(34),1/BQ$4,CHAR(34),CHAR(47),CHAR(62)),"&lt;/routeDistribution&gt;"))</f>
        <v/>
      </c>
    </row>
    <row r="4357" spans="1:5" x14ac:dyDescent="0.25">
      <c r="A4357" t="s">
        <v>2305</v>
      </c>
      <c r="B4357" t="s">
        <v>1236</v>
      </c>
      <c r="E4357" t="str">
        <f>IF(OR(E4356="&lt;/routeDistribution&gt;",E4356=""),"",IFERROR(_xlfn.CONCAT(VLOOKUP(BQ8,Route_Column!#REF!,2,FALSE),CHAR(34)," probability=",CHAR(34),1/BQ$4,CHAR(34),CHAR(47),CHAR(62)),"&lt;/routeDistribution&gt;"))</f>
        <v/>
      </c>
    </row>
    <row r="4358" spans="1:5" x14ac:dyDescent="0.25">
      <c r="A4358" t="s">
        <v>2305</v>
      </c>
      <c r="B4358" t="s">
        <v>1237</v>
      </c>
      <c r="E4358" t="str">
        <f>IF(OR(E4357="&lt;/routeDistribution&gt;",E4357=""),"",IFERROR(_xlfn.CONCAT(VLOOKUP(BQ9,Route_Column!#REF!,2,FALSE),CHAR(34)," probability=",CHAR(34),1/BQ$4,CHAR(34),CHAR(47),CHAR(62)),"&lt;/routeDistribution&gt;"))</f>
        <v/>
      </c>
    </row>
    <row r="4359" spans="1:5" x14ac:dyDescent="0.25">
      <c r="A4359" t="s">
        <v>2305</v>
      </c>
      <c r="B4359" t="s">
        <v>1238</v>
      </c>
      <c r="E4359" t="str">
        <f>IF(OR(E4358="&lt;/routeDistribution&gt;",E4358=""),"",IFERROR(_xlfn.CONCAT(VLOOKUP(BQ10,Route_Column!#REF!,2,FALSE),CHAR(34)," probability=",CHAR(34),1/BQ$4,CHAR(34),CHAR(47),CHAR(62)),"&lt;/routeDistribution&gt;"))</f>
        <v/>
      </c>
    </row>
    <row r="4360" spans="1:5" x14ac:dyDescent="0.25">
      <c r="A4360" t="s">
        <v>2305</v>
      </c>
      <c r="B4360" t="s">
        <v>1239</v>
      </c>
      <c r="E4360" t="str">
        <f>IF(OR(E4359="&lt;/routeDistribution&gt;",E4359=""),"",IFERROR(_xlfn.CONCAT(VLOOKUP(BQ11,Route_Column!#REF!,2,FALSE),CHAR(34)," probability=",CHAR(34),1/BQ$4,CHAR(34),CHAR(47),CHAR(62)),"&lt;/routeDistribution&gt;"))</f>
        <v/>
      </c>
    </row>
    <row r="4361" spans="1:5" x14ac:dyDescent="0.25">
      <c r="A4361" t="s">
        <v>2305</v>
      </c>
      <c r="B4361" t="s">
        <v>1240</v>
      </c>
      <c r="E4361" t="str">
        <f>IF(OR(E4360="&lt;/routeDistribution&gt;",E4360=""),"",IFERROR(_xlfn.CONCAT(VLOOKUP(BQ12,Route_Column!#REF!,2,FALSE),CHAR(34)," probability=",CHAR(34),1/BQ$4,CHAR(34),CHAR(47),CHAR(62)),"&lt;/routeDistribution&gt;"))</f>
        <v/>
      </c>
    </row>
    <row r="4362" spans="1:5" x14ac:dyDescent="0.25">
      <c r="A4362" t="s">
        <v>2305</v>
      </c>
      <c r="B4362" t="s">
        <v>1241</v>
      </c>
      <c r="E4362" t="str">
        <f>IF(OR(E4361="&lt;/routeDistribution&gt;",E4361=""),"",IFERROR(_xlfn.CONCAT(VLOOKUP(BQ13,Route_Column!#REF!,2,FALSE),CHAR(34)," probability=",CHAR(34),1/BQ$4,CHAR(34),CHAR(47),CHAR(62)),"&lt;/routeDistribution&gt;"))</f>
        <v/>
      </c>
    </row>
    <row r="4363" spans="1:5" x14ac:dyDescent="0.25">
      <c r="A4363" t="s">
        <v>2305</v>
      </c>
      <c r="B4363" t="s">
        <v>1242</v>
      </c>
      <c r="E4363" t="str">
        <f>IF(OR(E4362="&lt;/routeDistribution&gt;",E4362=""),"",IFERROR(_xlfn.CONCAT(VLOOKUP(BQ14,Route_Column!#REF!,2,FALSE),CHAR(34)," probability=",CHAR(34),1/BQ$4,CHAR(34),CHAR(47),CHAR(62)),"&lt;/routeDistribution&gt;"))</f>
        <v/>
      </c>
    </row>
    <row r="4364" spans="1:5" x14ac:dyDescent="0.25">
      <c r="A4364" t="s">
        <v>2305</v>
      </c>
      <c r="B4364" t="s">
        <v>1243</v>
      </c>
      <c r="E4364" t="str">
        <f>IF(OR(E4363="&lt;/routeDistribution&gt;",E4363=""),"",IFERROR(_xlfn.CONCAT(VLOOKUP(BQ15,Route_Column!#REF!,2,FALSE),CHAR(34)," probability=",CHAR(34),1/BQ$4,CHAR(34),CHAR(47),CHAR(62)),"&lt;/routeDistribution&gt;"))</f>
        <v/>
      </c>
    </row>
    <row r="4365" spans="1:5" x14ac:dyDescent="0.25">
      <c r="A4365" t="s">
        <v>2305</v>
      </c>
      <c r="B4365" t="s">
        <v>1244</v>
      </c>
      <c r="E4365" t="str">
        <f>IF(OR(E4364="&lt;/routeDistribution&gt;",E4364=""),"",IFERROR(_xlfn.CONCAT(VLOOKUP(BQ16,Route_Column!#REF!,2,FALSE),CHAR(34)," probability=",CHAR(34),1/BQ$4,CHAR(34),CHAR(47),CHAR(62)),"&lt;/routeDistribution&gt;"))</f>
        <v/>
      </c>
    </row>
    <row r="4366" spans="1:5" x14ac:dyDescent="0.25">
      <c r="A4366" t="s">
        <v>2305</v>
      </c>
      <c r="B4366" t="s">
        <v>1245</v>
      </c>
      <c r="E4366" t="str">
        <f>IF(OR(E4365="&lt;/routeDistribution&gt;",E4365=""),"",IFERROR(_xlfn.CONCAT(VLOOKUP(BQ17,Route_Column!#REF!,2,FALSE),CHAR(34)," probability=",CHAR(34),1/BQ$4,CHAR(34),CHAR(47),CHAR(62)),"&lt;/routeDistribution&gt;"))</f>
        <v/>
      </c>
    </row>
    <row r="4367" spans="1:5" x14ac:dyDescent="0.25">
      <c r="A4367" t="s">
        <v>2305</v>
      </c>
      <c r="B4367" t="s">
        <v>1246</v>
      </c>
      <c r="E4367" t="str">
        <f>IF(OR(E4366="&lt;/routeDistribution&gt;",E4366=""),"",IFERROR(_xlfn.CONCAT(VLOOKUP(BQ18,Route_Column!#REF!,2,FALSE),CHAR(34)," probability=",CHAR(34),1/BQ$4,CHAR(34),CHAR(47),CHAR(62)),"&lt;/routeDistribution&gt;"))</f>
        <v/>
      </c>
    </row>
    <row r="4368" spans="1:5" x14ac:dyDescent="0.25">
      <c r="A4368" t="s">
        <v>2305</v>
      </c>
      <c r="B4368" t="s">
        <v>1247</v>
      </c>
      <c r="E4368" t="str">
        <f>IF(OR(E4367="&lt;/routeDistribution&gt;",E4367=""),"",IFERROR(_xlfn.CONCAT(VLOOKUP(BQ19,Route_Column!#REF!,2,FALSE),CHAR(34)," probability=",CHAR(34),1/BQ$4,CHAR(34),CHAR(47),CHAR(62)),"&lt;/routeDistribution&gt;"))</f>
        <v/>
      </c>
    </row>
    <row r="4369" spans="1:5" x14ac:dyDescent="0.25">
      <c r="A4369" t="s">
        <v>2305</v>
      </c>
      <c r="B4369" t="s">
        <v>1248</v>
      </c>
      <c r="E4369" t="str">
        <f>IF(OR(E4368="&lt;/routeDistribution&gt;",E4368=""),"",IFERROR(_xlfn.CONCAT(VLOOKUP(BQ20,Route_Column!#REF!,2,FALSE),CHAR(34)," probability=",CHAR(34),1/BQ$4,CHAR(34),CHAR(47),CHAR(62)),"&lt;/routeDistribution&gt;"))</f>
        <v/>
      </c>
    </row>
    <row r="4370" spans="1:5" x14ac:dyDescent="0.25">
      <c r="A4370" t="s">
        <v>2305</v>
      </c>
      <c r="B4370" t="s">
        <v>1249</v>
      </c>
      <c r="E4370" t="str">
        <f>IF(OR(E4369="&lt;/routeDistribution&gt;",E4369=""),"",IFERROR(_xlfn.CONCAT(VLOOKUP(BQ21,Route_Column!#REF!,2,FALSE),CHAR(34)," probability=",CHAR(34),1/BQ$4,CHAR(34),CHAR(47),CHAR(62)),"&lt;/routeDistribution&gt;"))</f>
        <v/>
      </c>
    </row>
    <row r="4371" spans="1:5" x14ac:dyDescent="0.25">
      <c r="A4371" t="s">
        <v>1546</v>
      </c>
      <c r="B4371" t="s">
        <v>1092</v>
      </c>
      <c r="E4371" t="str">
        <f>IF(OR(E4370="&lt;/routeDistribution&gt;",E4370=""),"",IFERROR(_xlfn.CONCAT(VLOOKUP(BQ22,Route_Column!#REF!,2,FALSE),CHAR(34)," probability=",CHAR(34),1/BQ$4,CHAR(34),CHAR(47),CHAR(62)),"&lt;/routeDistribution&gt;"))</f>
        <v/>
      </c>
    </row>
    <row r="4372" spans="1:5" x14ac:dyDescent="0.25">
      <c r="A4372" t="s">
        <v>1546</v>
      </c>
      <c r="B4372" t="s">
        <v>1093</v>
      </c>
      <c r="E4372" t="str">
        <f>IF(OR(E4371="&lt;/routeDistribution&gt;",E4371=""),"",IFERROR(_xlfn.CONCAT(VLOOKUP(BQ23,Route_Column!#REF!,2,FALSE),CHAR(34)," probability=",CHAR(34),1/BQ$4,CHAR(34),CHAR(47),CHAR(62)),"&lt;/routeDistribution&gt;"))</f>
        <v/>
      </c>
    </row>
    <row r="4373" spans="1:5" x14ac:dyDescent="0.25">
      <c r="A4373" t="s">
        <v>1546</v>
      </c>
      <c r="B4373" t="s">
        <v>1094</v>
      </c>
      <c r="E4373" t="str">
        <f>IF(OR(E4372="&lt;/routeDistribution&gt;",E4372=""),"",IFERROR(_xlfn.CONCAT(VLOOKUP(BQ24,Route_Column!#REF!,2,FALSE),CHAR(34)," probability=",CHAR(34),1/BQ$4,CHAR(34),CHAR(47),CHAR(62)),"&lt;/routeDistribution&gt;"))</f>
        <v/>
      </c>
    </row>
    <row r="4374" spans="1:5" x14ac:dyDescent="0.25">
      <c r="A4374" t="s">
        <v>1546</v>
      </c>
      <c r="B4374" t="s">
        <v>1095</v>
      </c>
      <c r="E4374" t="str">
        <f>IF(OR(E4373="&lt;/routeDistribution&gt;",E4373=""),"",IFERROR(_xlfn.CONCAT(VLOOKUP(BQ25,Route_Column!#REF!,2,FALSE),CHAR(34)," probability=",CHAR(34),1/BQ$4,CHAR(34),CHAR(47),CHAR(62)),"&lt;/routeDistribution&gt;"))</f>
        <v/>
      </c>
    </row>
    <row r="4375" spans="1:5" x14ac:dyDescent="0.25">
      <c r="A4375" t="s">
        <v>1546</v>
      </c>
      <c r="B4375" t="s">
        <v>1096</v>
      </c>
      <c r="E4375" t="str">
        <f>IF(OR(E4374="&lt;/routeDistribution&gt;",E4374=""),"",IFERROR(_xlfn.CONCAT(VLOOKUP(BQ26,Route_Column!#REF!,2,FALSE),CHAR(34)," probability=",CHAR(34),1/BQ$4,CHAR(34),CHAR(47),CHAR(62)),"&lt;/routeDistribution&gt;"))</f>
        <v/>
      </c>
    </row>
    <row r="4376" spans="1:5" x14ac:dyDescent="0.25">
      <c r="A4376" t="s">
        <v>1546</v>
      </c>
      <c r="B4376" t="s">
        <v>1097</v>
      </c>
      <c r="E4376" t="str">
        <f>IF(OR(E4375="&lt;/routeDistribution&gt;",E4375=""),"",IFERROR(_xlfn.CONCAT(VLOOKUP(BQ27,Route_Column!#REF!,2,FALSE),CHAR(34)," probability=",CHAR(34),1/BQ$4,CHAR(34),CHAR(47),CHAR(62)),"&lt;/routeDistribution&gt;"))</f>
        <v/>
      </c>
    </row>
    <row r="4377" spans="1:5" x14ac:dyDescent="0.25">
      <c r="A4377" t="s">
        <v>1546</v>
      </c>
      <c r="B4377" t="s">
        <v>1098</v>
      </c>
      <c r="E4377" t="str">
        <f>IF(OR(E4376="&lt;/routeDistribution&gt;",E4376=""),"",IFERROR(_xlfn.CONCAT(VLOOKUP(BQ28,Route_Column!#REF!,2,FALSE),CHAR(34)," probability=",CHAR(34),1/BQ$4,CHAR(34),CHAR(47),CHAR(62)),"&lt;/routeDistribution&gt;"))</f>
        <v/>
      </c>
    </row>
    <row r="4378" spans="1:5" x14ac:dyDescent="0.25">
      <c r="A4378" t="s">
        <v>1546</v>
      </c>
      <c r="B4378" t="s">
        <v>1099</v>
      </c>
      <c r="E4378" t="str">
        <f>IF(OR(E4377="&lt;/routeDistribution&gt;",E4377=""),"",IFERROR(_xlfn.CONCAT(VLOOKUP(BQ29,Route_Column!#REF!,2,FALSE),CHAR(34)," probability=",CHAR(34),1/BQ$4,CHAR(34),CHAR(47),CHAR(62)),"&lt;/routeDistribution&gt;"))</f>
        <v/>
      </c>
    </row>
    <row r="4379" spans="1:5" x14ac:dyDescent="0.25">
      <c r="A4379" t="s">
        <v>1546</v>
      </c>
      <c r="B4379" t="s">
        <v>1100</v>
      </c>
      <c r="E4379" t="str">
        <f>IF(OR(E4378="&lt;/routeDistribution&gt;",E4378=""),"",IFERROR(_xlfn.CONCAT(VLOOKUP(BQ30,Route_Column!#REF!,2,FALSE),CHAR(34)," probability=",CHAR(34),1/BQ$4,CHAR(34),CHAR(47),CHAR(62)),"&lt;/routeDistribution&gt;"))</f>
        <v/>
      </c>
    </row>
    <row r="4380" spans="1:5" x14ac:dyDescent="0.25">
      <c r="A4380" t="s">
        <v>1546</v>
      </c>
      <c r="B4380" t="s">
        <v>1101</v>
      </c>
      <c r="E4380" t="str">
        <f>IF(OR(E4379="&lt;/routeDistribution&gt;",E4379=""),"",IFERROR(_xlfn.CONCAT(VLOOKUP(BQ31,Route_Column!#REF!,2,FALSE),CHAR(34)," probability=",CHAR(34),1/BQ$4,CHAR(34),CHAR(47),CHAR(62)),"&lt;/routeDistribution&gt;"))</f>
        <v/>
      </c>
    </row>
    <row r="4381" spans="1:5" x14ac:dyDescent="0.25">
      <c r="A4381" t="s">
        <v>1546</v>
      </c>
      <c r="B4381" t="s">
        <v>1102</v>
      </c>
      <c r="E4381" t="str">
        <f>IF(OR(E4380="&lt;/routeDistribution&gt;",E4380=""),"",IFERROR(_xlfn.CONCAT(VLOOKUP(BQ32,Route_Column!#REF!,2,FALSE),CHAR(34)," probability=",CHAR(34),1/BQ$4,CHAR(34),CHAR(47),CHAR(62)),"&lt;/routeDistribution&gt;"))</f>
        <v/>
      </c>
    </row>
    <row r="4382" spans="1:5" x14ac:dyDescent="0.25">
      <c r="A4382" t="s">
        <v>1546</v>
      </c>
      <c r="B4382" t="s">
        <v>1103</v>
      </c>
      <c r="E4382" t="str">
        <f>IF(OR(E4381="&lt;/routeDistribution&gt;",E4381=""),"",IFERROR(_xlfn.CONCAT(VLOOKUP(BQ33,Route_Column!#REF!,2,FALSE),CHAR(34)," probability=",CHAR(34),1/BQ$4,CHAR(34),CHAR(47),CHAR(62)),"&lt;/routeDistribution&gt;"))</f>
        <v/>
      </c>
    </row>
    <row r="4383" spans="1:5" x14ac:dyDescent="0.25">
      <c r="A4383" t="s">
        <v>1546</v>
      </c>
      <c r="B4383" t="s">
        <v>1104</v>
      </c>
      <c r="E4383" t="str">
        <f>IF(OR(E4382="&lt;/routeDistribution&gt;",E4382=""),"",IFERROR(_xlfn.CONCAT(VLOOKUP(BQ34,Route_Column!#REF!,2,FALSE),CHAR(34)," probability=",CHAR(34),1/BQ$4,CHAR(34),CHAR(47),CHAR(62)),"&lt;/routeDistribution&gt;"))</f>
        <v/>
      </c>
    </row>
    <row r="4384" spans="1:5" x14ac:dyDescent="0.25">
      <c r="A4384" t="s">
        <v>1546</v>
      </c>
      <c r="B4384" t="s">
        <v>1105</v>
      </c>
      <c r="E4384" t="str">
        <f>IF(OR(E4383="&lt;/routeDistribution&gt;",E4383=""),"",IFERROR(_xlfn.CONCAT(VLOOKUP(BQ35,Route_Column!#REF!,2,FALSE),CHAR(34)," probability=",CHAR(34),1/BQ$4,CHAR(34),CHAR(47),CHAR(62)),"&lt;/routeDistribution&gt;"))</f>
        <v/>
      </c>
    </row>
    <row r="4385" spans="1:5" x14ac:dyDescent="0.25">
      <c r="A4385" t="s">
        <v>1546</v>
      </c>
      <c r="B4385" t="s">
        <v>1106</v>
      </c>
      <c r="E4385" t="str">
        <f>IF(OR(E4384="&lt;/routeDistribution&gt;",E4384=""),"",IFERROR(_xlfn.CONCAT(VLOOKUP(BQ36,Route_Column!#REF!,2,FALSE),CHAR(34)," probability=",CHAR(34),1/BQ$4,CHAR(34),CHAR(47),CHAR(62)),"&lt;/routeDistribution&gt;"))</f>
        <v/>
      </c>
    </row>
    <row r="4386" spans="1:5" x14ac:dyDescent="0.25">
      <c r="A4386" t="s">
        <v>1546</v>
      </c>
      <c r="B4386" t="s">
        <v>1107</v>
      </c>
      <c r="E4386" t="str">
        <f>IF(OR(E4385="&lt;/routeDistribution&gt;",E4385=""),"",IFERROR(_xlfn.CONCAT(VLOOKUP(BQ37,Route_Column!#REF!,2,FALSE),CHAR(34)," probability=",CHAR(34),1/BQ$4,CHAR(34),CHAR(47),CHAR(62)),"&lt;/routeDistribution&gt;"))</f>
        <v/>
      </c>
    </row>
    <row r="4387" spans="1:5" x14ac:dyDescent="0.25">
      <c r="A4387" t="s">
        <v>1546</v>
      </c>
      <c r="B4387" t="s">
        <v>1187</v>
      </c>
      <c r="E4387" t="str">
        <f>IF(OR(E4386="&lt;/routeDistribution&gt;",E4386=""),"",IFERROR(_xlfn.CONCAT(VLOOKUP(BQ38,Route_Column!#REF!,2,FALSE),CHAR(34)," probability=",CHAR(34),1/BQ$4,CHAR(34),CHAR(47),CHAR(62)),"&lt;/routeDistribution&gt;"))</f>
        <v/>
      </c>
    </row>
    <row r="4388" spans="1:5" x14ac:dyDescent="0.25">
      <c r="A4388" t="s">
        <v>1546</v>
      </c>
      <c r="B4388" t="s">
        <v>1188</v>
      </c>
      <c r="E4388" t="str">
        <f>IF(OR(E4387="&lt;/routeDistribution&gt;",E4387=""),"",IFERROR(_xlfn.CONCAT(VLOOKUP(BQ39,Route_Column!#REF!,2,FALSE),CHAR(34)," probability=",CHAR(34),1/BQ$4,CHAR(34),CHAR(47),CHAR(62)),"&lt;/routeDistribution&gt;"))</f>
        <v/>
      </c>
    </row>
    <row r="4389" spans="1:5" x14ac:dyDescent="0.25">
      <c r="A4389" t="s">
        <v>1546</v>
      </c>
      <c r="B4389" t="s">
        <v>1188</v>
      </c>
      <c r="E4389" t="str">
        <f>IF(OR(E4388="&lt;/routeDistribution&gt;",E4388=""),"",IFERROR(_xlfn.CONCAT(VLOOKUP(BQ40,Route_Column!#REF!,2,FALSE),CHAR(34)," probability=",CHAR(34),1/BQ$4,CHAR(34),CHAR(47),CHAR(62)),"&lt;/routeDistribution&gt;"))</f>
        <v/>
      </c>
    </row>
    <row r="4390" spans="1:5" x14ac:dyDescent="0.25">
      <c r="A4390" t="s">
        <v>1546</v>
      </c>
      <c r="B4390" t="s">
        <v>1189</v>
      </c>
      <c r="E4390" t="str">
        <f>IF(OR(E4389="&lt;/routeDistribution&gt;",E4389=""),"",IFERROR(_xlfn.CONCAT(VLOOKUP(BQ41,Route_Column!#REF!,2,FALSE),CHAR(34)," probability=",CHAR(34),1/BQ$4,CHAR(34),CHAR(47),CHAR(62)),"&lt;/routeDistribution&gt;"))</f>
        <v/>
      </c>
    </row>
    <row r="4391" spans="1:5" x14ac:dyDescent="0.25">
      <c r="A4391" t="s">
        <v>1546</v>
      </c>
      <c r="B4391" t="s">
        <v>1189</v>
      </c>
      <c r="E4391" t="str">
        <f>IF(OR(E4390="&lt;/routeDistribution&gt;",E4390=""),"",IFERROR(_xlfn.CONCAT(VLOOKUP(BQ42,Route_Column!#REF!,2,FALSE),CHAR(34)," probability=",CHAR(34),1/BQ$4,CHAR(34),CHAR(47),CHAR(62)),"&lt;/routeDistribution&gt;"))</f>
        <v/>
      </c>
    </row>
    <row r="4392" spans="1:5" x14ac:dyDescent="0.25">
      <c r="A4392" t="s">
        <v>1546</v>
      </c>
      <c r="B4392" t="s">
        <v>1191</v>
      </c>
      <c r="E4392" t="str">
        <f>IF(OR(E4391="&lt;/routeDistribution&gt;",E4391=""),"",IFERROR(_xlfn.CONCAT(VLOOKUP(BQ43,Route_Column!#REF!,2,FALSE),CHAR(34)," probability=",CHAR(34),1/BQ$4,CHAR(34),CHAR(47),CHAR(62)),"&lt;/routeDistribution&gt;"))</f>
        <v/>
      </c>
    </row>
    <row r="4393" spans="1:5" x14ac:dyDescent="0.25">
      <c r="A4393" t="s">
        <v>2256</v>
      </c>
      <c r="B4393" t="s">
        <v>1187</v>
      </c>
      <c r="E4393" t="str">
        <f>IF(OR(E4392="&lt;/routeDistribution&gt;",E4392=""),"",IFERROR(_xlfn.CONCAT(VLOOKUP(BQ44,Route_Column!#REF!,2,FALSE),CHAR(34)," probability=",CHAR(34),1/BQ$4,CHAR(34),CHAR(47),CHAR(62)),"&lt;/routeDistribution&gt;"))</f>
        <v/>
      </c>
    </row>
    <row r="4394" spans="1:5" x14ac:dyDescent="0.25">
      <c r="A4394" t="s">
        <v>2256</v>
      </c>
      <c r="B4394" t="s">
        <v>1188</v>
      </c>
      <c r="E4394" t="str">
        <f>IF(OR(E4393="&lt;/routeDistribution&gt;",E4393=""),"",IFERROR(_xlfn.CONCAT(VLOOKUP(BQ45,Route_Column!#REF!,2,FALSE),CHAR(34)," probability=",CHAR(34),1/BQ$4,CHAR(34),CHAR(47),CHAR(62)),"&lt;/routeDistribution&gt;"))</f>
        <v/>
      </c>
    </row>
    <row r="4395" spans="1:5" x14ac:dyDescent="0.25">
      <c r="A4395" t="s">
        <v>2256</v>
      </c>
      <c r="B4395" t="s">
        <v>1188</v>
      </c>
      <c r="E4395" t="str">
        <f>IF(OR(E4394="&lt;/routeDistribution&gt;",E4394=""),"",IFERROR(_xlfn.CONCAT(VLOOKUP(BQ46,Route_Column!#REF!,2,FALSE),CHAR(34)," probability=",CHAR(34),1/BQ$4,CHAR(34),CHAR(47),CHAR(62)),"&lt;/routeDistribution&gt;"))</f>
        <v/>
      </c>
    </row>
    <row r="4396" spans="1:5" x14ac:dyDescent="0.25">
      <c r="A4396" t="s">
        <v>2256</v>
      </c>
      <c r="B4396" t="s">
        <v>1189</v>
      </c>
      <c r="E4396" t="str">
        <f>IF(OR(E4395="&lt;/routeDistribution&gt;",E4395=""),"",IFERROR(_xlfn.CONCAT(VLOOKUP(BQ47,Route_Column!#REF!,2,FALSE),CHAR(34)," probability=",CHAR(34),1/BQ$4,CHAR(34),CHAR(47),CHAR(62)),"&lt;/routeDistribution&gt;"))</f>
        <v/>
      </c>
    </row>
    <row r="4397" spans="1:5" x14ac:dyDescent="0.25">
      <c r="A4397" t="s">
        <v>2256</v>
      </c>
      <c r="B4397" t="s">
        <v>1189</v>
      </c>
      <c r="E4397" t="str">
        <f>IF(OR(E4396="&lt;/routeDistribution&gt;",E4396=""),"",IFERROR(_xlfn.CONCAT(VLOOKUP(BQ48,Route_Column!#REF!,2,FALSE),CHAR(34)," probability=",CHAR(34),1/BQ$4,CHAR(34),CHAR(47),CHAR(62)),"&lt;/routeDistribution&gt;"))</f>
        <v/>
      </c>
    </row>
    <row r="4398" spans="1:5" x14ac:dyDescent="0.25">
      <c r="A4398" t="s">
        <v>2257</v>
      </c>
      <c r="B4398" t="s">
        <v>1187</v>
      </c>
      <c r="E4398" t="str">
        <f>IF(OR(E4397="&lt;/routeDistribution&gt;",E4397=""),"",IFERROR(_xlfn.CONCAT(VLOOKUP(BQ49,Route_Column!#REF!,2,FALSE),CHAR(34)," probability=",CHAR(34),1/BQ$4,CHAR(34),CHAR(47),CHAR(62)),"&lt;/routeDistribution&gt;"))</f>
        <v/>
      </c>
    </row>
    <row r="4399" spans="1:5" x14ac:dyDescent="0.25">
      <c r="A4399" t="s">
        <v>2257</v>
      </c>
      <c r="B4399" t="s">
        <v>1188</v>
      </c>
      <c r="E4399" t="str">
        <f>IF(OR(E4398="&lt;/routeDistribution&gt;",E4398=""),"",IFERROR(_xlfn.CONCAT(VLOOKUP(BQ50,Route_Column!#REF!,2,FALSE),CHAR(34)," probability=",CHAR(34),1/BQ$4,CHAR(34),CHAR(47),CHAR(62)),"&lt;/routeDistribution&gt;"))</f>
        <v/>
      </c>
    </row>
    <row r="4400" spans="1:5" x14ac:dyDescent="0.25">
      <c r="A4400" t="s">
        <v>2258</v>
      </c>
      <c r="B4400" t="s">
        <v>1187</v>
      </c>
      <c r="E4400" t="str">
        <f>IF(OR(E4399="&lt;/routeDistribution&gt;",E4399=""),"",IFERROR(_xlfn.CONCAT(VLOOKUP(BQ51,Route_Column!#REF!,2,FALSE),CHAR(34)," probability=",CHAR(34),1/BQ$4,CHAR(34),CHAR(47),CHAR(62)),"&lt;/routeDistribution&gt;"))</f>
        <v/>
      </c>
    </row>
    <row r="4401" spans="1:5" x14ac:dyDescent="0.25">
      <c r="A4401" t="s">
        <v>2258</v>
      </c>
      <c r="B4401" t="s">
        <v>1188</v>
      </c>
      <c r="E4401" t="str">
        <f>IF(OR(E4400="&lt;/routeDistribution&gt;",E4400=""),"",IFERROR(_xlfn.CONCAT(VLOOKUP(BQ52,Route_Column!#REF!,2,FALSE),CHAR(34)," probability=",CHAR(34),1/BQ$4,CHAR(34),CHAR(47),CHAR(62)),"&lt;/routeDistribution&gt;"))</f>
        <v/>
      </c>
    </row>
    <row r="4402" spans="1:5" x14ac:dyDescent="0.25">
      <c r="A4402" t="s">
        <v>2286</v>
      </c>
      <c r="B4402" t="s">
        <v>1196</v>
      </c>
      <c r="E4402" t="str">
        <f>IF(OR(E4401="&lt;/routeDistribution&gt;",E4401=""),"",IFERROR(_xlfn.CONCAT(VLOOKUP(BQ53,Route_Column!#REF!,2,FALSE),CHAR(34)," probability=",CHAR(34),1/BQ$4,CHAR(34),CHAR(47),CHAR(62)),"&lt;/routeDistribution&gt;"))</f>
        <v/>
      </c>
    </row>
    <row r="4403" spans="1:5" x14ac:dyDescent="0.25">
      <c r="A4403" t="s">
        <v>2138</v>
      </c>
      <c r="B4403" t="s">
        <v>1142</v>
      </c>
      <c r="E4403" t="str">
        <f>IF(OR(E4402="&lt;/routeDistribution&gt;",E4402=""),"",IFERROR(_xlfn.CONCAT(VLOOKUP(BQ54,Route_Column!#REF!,2,FALSE),CHAR(34)," probability=",CHAR(34),1/BQ$4,CHAR(34),CHAR(47),CHAR(62)),"&lt;/routeDistribution&gt;"))</f>
        <v/>
      </c>
    </row>
    <row r="4404" spans="1:5" x14ac:dyDescent="0.25">
      <c r="A4404" t="s">
        <v>2138</v>
      </c>
      <c r="B4404" t="s">
        <v>1148</v>
      </c>
      <c r="E4404" t="str">
        <f>IF(OR(E4403="&lt;/routeDistribution&gt;",E4403=""),"",IFERROR(_xlfn.CONCAT(VLOOKUP(BQ55,Route_Column!#REF!,2,FALSE),CHAR(34)," probability=",CHAR(34),1/BQ$4,CHAR(34),CHAR(47),CHAR(62)),"&lt;/routeDistribution&gt;"))</f>
        <v/>
      </c>
    </row>
    <row r="4405" spans="1:5" x14ac:dyDescent="0.25">
      <c r="A4405" t="s">
        <v>2138</v>
      </c>
      <c r="B4405" t="s">
        <v>1178</v>
      </c>
      <c r="E4405" t="str">
        <f>IF(OR(E4404="&lt;/routeDistribution&gt;",E4404=""),"",IFERROR(_xlfn.CONCAT(VLOOKUP(BQ56,Route_Column!#REF!,2,FALSE),CHAR(34)," probability=",CHAR(34),1/BQ$4,CHAR(34),CHAR(47),CHAR(62)),"&lt;/routeDistribution&gt;"))</f>
        <v/>
      </c>
    </row>
    <row r="4406" spans="1:5" x14ac:dyDescent="0.25">
      <c r="A4406" t="s">
        <v>2138</v>
      </c>
      <c r="B4406" t="s">
        <v>1201</v>
      </c>
      <c r="E4406" t="str">
        <f>IF(OR(E4405="&lt;/routeDistribution&gt;",E4405=""),"",IFERROR(_xlfn.CONCAT(VLOOKUP(BQ57,Route_Column!#REF!,2,FALSE),CHAR(34)," probability=",CHAR(34),1/BQ$4,CHAR(34),CHAR(47),CHAR(62)),"&lt;/routeDistribution&gt;"))</f>
        <v/>
      </c>
    </row>
    <row r="4407" spans="1:5" x14ac:dyDescent="0.25">
      <c r="A4407" t="s">
        <v>2138</v>
      </c>
      <c r="B4407" t="s">
        <v>1202</v>
      </c>
      <c r="E4407" t="str">
        <f>IF(OR(E4406="&lt;/routeDistribution&gt;",E4406=""),"",IFERROR(_xlfn.CONCAT(VLOOKUP(BQ58,Route_Column!#REF!,2,FALSE),CHAR(34)," probability=",CHAR(34),1/BQ$4,CHAR(34),CHAR(47),CHAR(62)),"&lt;/routeDistribution&gt;"))</f>
        <v/>
      </c>
    </row>
    <row r="4408" spans="1:5" x14ac:dyDescent="0.25">
      <c r="A4408" t="s">
        <v>2138</v>
      </c>
      <c r="B4408" t="s">
        <v>1206</v>
      </c>
      <c r="E4408" t="str">
        <f>IF(OR(E4407="&lt;/routeDistribution&gt;",E4407=""),"",IFERROR(_xlfn.CONCAT(VLOOKUP(BQ59,Route_Column!#REF!,2,FALSE),CHAR(34)," probability=",CHAR(34),1/BQ$4,CHAR(34),CHAR(47),CHAR(62)),"&lt;/routeDistribution&gt;"))</f>
        <v/>
      </c>
    </row>
    <row r="4409" spans="1:5" x14ac:dyDescent="0.25">
      <c r="A4409" t="s">
        <v>2138</v>
      </c>
      <c r="B4409" t="s">
        <v>1207</v>
      </c>
      <c r="E4409" t="str">
        <f>IF(OR(E4408="&lt;/routeDistribution&gt;",E4408=""),"",IFERROR(_xlfn.CONCAT(VLOOKUP(BQ60,Route_Column!#REF!,2,FALSE),CHAR(34)," probability=",CHAR(34),1/BQ$4,CHAR(34),CHAR(47),CHAR(62)),"&lt;/routeDistribution&gt;"))</f>
        <v/>
      </c>
    </row>
    <row r="4410" spans="1:5" x14ac:dyDescent="0.25">
      <c r="A4410" t="s">
        <v>2138</v>
      </c>
      <c r="B4410" t="s">
        <v>1215</v>
      </c>
      <c r="E4410" t="str">
        <f>IF(OR(E4409="&lt;/routeDistribution&gt;",E4409=""),"",IFERROR(_xlfn.CONCAT(VLOOKUP(BQ61,Route_Column!#REF!,2,FALSE),CHAR(34)," probability=",CHAR(34),1/BQ$4,CHAR(34),CHAR(47),CHAR(62)),"&lt;/routeDistribution&gt;"))</f>
        <v/>
      </c>
    </row>
    <row r="4411" spans="1:5" x14ac:dyDescent="0.25">
      <c r="A4411" t="s">
        <v>2138</v>
      </c>
      <c r="B4411" t="s">
        <v>1250</v>
      </c>
      <c r="E4411" t="str">
        <f>IF(OR(E4410="&lt;/routeDistribution&gt;",E4410=""),"",IFERROR(_xlfn.CONCAT(VLOOKUP(BQ62,Route_Column!#REF!,2,FALSE),CHAR(34)," probability=",CHAR(34),1/BQ$4,CHAR(34),CHAR(47),CHAR(62)),"&lt;/routeDistribution&gt;"))</f>
        <v/>
      </c>
    </row>
    <row r="4412" spans="1:5" x14ac:dyDescent="0.25">
      <c r="A4412" t="s">
        <v>2148</v>
      </c>
      <c r="B4412" t="s">
        <v>1142</v>
      </c>
      <c r="E4412" t="str">
        <f>IF(OR(E4411="&lt;/routeDistribution&gt;",E4411=""),"",IFERROR(_xlfn.CONCAT(VLOOKUP(BQ63,Route_Column!#REF!,2,FALSE),CHAR(34)," probability=",CHAR(34),1/BQ$4,CHAR(34),CHAR(47),CHAR(62)),"&lt;/routeDistribution&gt;"))</f>
        <v/>
      </c>
    </row>
    <row r="4413" spans="1:5" x14ac:dyDescent="0.25">
      <c r="A4413" t="s">
        <v>2148</v>
      </c>
      <c r="B4413" t="s">
        <v>1148</v>
      </c>
      <c r="E4413" t="s">
        <v>2686</v>
      </c>
    </row>
    <row r="4414" spans="1:5" x14ac:dyDescent="0.25">
      <c r="A4414" t="s">
        <v>2148</v>
      </c>
      <c r="B4414" t="s">
        <v>1178</v>
      </c>
    </row>
    <row r="4415" spans="1:5" x14ac:dyDescent="0.25">
      <c r="A4415" t="s">
        <v>2148</v>
      </c>
      <c r="B4415" t="s">
        <v>1201</v>
      </c>
    </row>
    <row r="4416" spans="1:5" x14ac:dyDescent="0.25">
      <c r="A4416" t="s">
        <v>2148</v>
      </c>
      <c r="B4416" t="s">
        <v>1202</v>
      </c>
      <c r="E4416" t="str">
        <f>_xlfn.CONCAT($E$1,BP$2,$F$1)</f>
        <v>&lt;routeDistribution id="POWELTON-40th-to-39th-BTH-2011-RouteProbe"&gt;</v>
      </c>
    </row>
    <row r="4417" spans="1:5" x14ac:dyDescent="0.25">
      <c r="A4417" t="s">
        <v>2148</v>
      </c>
      <c r="B4417" t="s">
        <v>1206</v>
      </c>
      <c r="E4417" t="str">
        <f>IF(OR(E4416="&lt;/routeDistribution&gt;",E4416=""),"",IFERROR(_xlfn.CONCAT(VLOOKUP(BP5,Route_Column!#REF!,2,FALSE),CHAR(34)," probability=",CHAR(34),1/BP$4,CHAR(34),CHAR(47),CHAR(62)),"&lt;/routeDistribution&gt;"))</f>
        <v>&lt;/routeDistribution&gt;</v>
      </c>
    </row>
    <row r="4418" spans="1:5" x14ac:dyDescent="0.25">
      <c r="A4418" t="s">
        <v>2148</v>
      </c>
      <c r="B4418" t="s">
        <v>1207</v>
      </c>
      <c r="E4418" t="str">
        <f>IF(OR(E4417="&lt;/routeDistribution&gt;",E4417=""),"",IFERROR(_xlfn.CONCAT(VLOOKUP(BP6,Route_Column!#REF!,2,FALSE),CHAR(34)," probability=",CHAR(34),1/BP$4,CHAR(34),CHAR(47),CHAR(62)),"&lt;/routeDistribution&gt;"))</f>
        <v/>
      </c>
    </row>
    <row r="4419" spans="1:5" x14ac:dyDescent="0.25">
      <c r="A4419" t="s">
        <v>2139</v>
      </c>
      <c r="B4419" t="s">
        <v>1142</v>
      </c>
      <c r="E4419" t="str">
        <f>IF(OR(E4418="&lt;/routeDistribution&gt;",E4418=""),"",IFERROR(_xlfn.CONCAT(VLOOKUP(BP7,Route_Column!#REF!,2,FALSE),CHAR(34)," probability=",CHAR(34),1/BP$4,CHAR(34),CHAR(47),CHAR(62)),"&lt;/routeDistribution&gt;"))</f>
        <v/>
      </c>
    </row>
    <row r="4420" spans="1:5" x14ac:dyDescent="0.25">
      <c r="A4420" t="s">
        <v>2139</v>
      </c>
      <c r="B4420" t="s">
        <v>1148</v>
      </c>
      <c r="E4420" t="str">
        <f>IF(OR(E4419="&lt;/routeDistribution&gt;",E4419=""),"",IFERROR(_xlfn.CONCAT(VLOOKUP(BP8,Route_Column!#REF!,2,FALSE),CHAR(34)," probability=",CHAR(34),1/BP$4,CHAR(34),CHAR(47),CHAR(62)),"&lt;/routeDistribution&gt;"))</f>
        <v/>
      </c>
    </row>
    <row r="4421" spans="1:5" x14ac:dyDescent="0.25">
      <c r="A4421" t="s">
        <v>2139</v>
      </c>
      <c r="B4421" t="s">
        <v>1178</v>
      </c>
      <c r="E4421" t="str">
        <f>IF(OR(E4420="&lt;/routeDistribution&gt;",E4420=""),"",IFERROR(_xlfn.CONCAT(VLOOKUP(BP9,Route_Column!#REF!,2,FALSE),CHAR(34)," probability=",CHAR(34),1/BP$4,CHAR(34),CHAR(47),CHAR(62)),"&lt;/routeDistribution&gt;"))</f>
        <v/>
      </c>
    </row>
    <row r="4422" spans="1:5" x14ac:dyDescent="0.25">
      <c r="A4422" t="s">
        <v>2139</v>
      </c>
      <c r="B4422" t="s">
        <v>1201</v>
      </c>
      <c r="E4422" t="str">
        <f>IF(OR(E4421="&lt;/routeDistribution&gt;",E4421=""),"",IFERROR(_xlfn.CONCAT(VLOOKUP(BP10,Route_Column!#REF!,2,FALSE),CHAR(34)," probability=",CHAR(34),1/BP$4,CHAR(34),CHAR(47),CHAR(62)),"&lt;/routeDistribution&gt;"))</f>
        <v/>
      </c>
    </row>
    <row r="4423" spans="1:5" x14ac:dyDescent="0.25">
      <c r="A4423" t="s">
        <v>2139</v>
      </c>
      <c r="B4423" t="s">
        <v>1202</v>
      </c>
      <c r="E4423" t="str">
        <f>IF(OR(E4422="&lt;/routeDistribution&gt;",E4422=""),"",IFERROR(_xlfn.CONCAT(VLOOKUP(BP11,Route_Column!#REF!,2,FALSE),CHAR(34)," probability=",CHAR(34),1/BP$4,CHAR(34),CHAR(47),CHAR(62)),"&lt;/routeDistribution&gt;"))</f>
        <v/>
      </c>
    </row>
    <row r="4424" spans="1:5" x14ac:dyDescent="0.25">
      <c r="A4424" t="s">
        <v>2139</v>
      </c>
      <c r="B4424" t="s">
        <v>1206</v>
      </c>
      <c r="E4424" t="str">
        <f>IF(OR(E4423="&lt;/routeDistribution&gt;",E4423=""),"",IFERROR(_xlfn.CONCAT(VLOOKUP(BP12,Route_Column!#REF!,2,FALSE),CHAR(34)," probability=",CHAR(34),1/BP$4,CHAR(34),CHAR(47),CHAR(62)),"&lt;/routeDistribution&gt;"))</f>
        <v/>
      </c>
    </row>
    <row r="4425" spans="1:5" x14ac:dyDescent="0.25">
      <c r="A4425" t="s">
        <v>2139</v>
      </c>
      <c r="B4425" t="s">
        <v>1207</v>
      </c>
      <c r="E4425" t="str">
        <f>IF(OR(E4424="&lt;/routeDistribution&gt;",E4424=""),"",IFERROR(_xlfn.CONCAT(VLOOKUP(BP13,Route_Column!#REF!,2,FALSE),CHAR(34)," probability=",CHAR(34),1/BP$4,CHAR(34),CHAR(47),CHAR(62)),"&lt;/routeDistribution&gt;"))</f>
        <v/>
      </c>
    </row>
    <row r="4426" spans="1:5" x14ac:dyDescent="0.25">
      <c r="A4426" t="s">
        <v>2139</v>
      </c>
      <c r="B4426" t="s">
        <v>1223</v>
      </c>
      <c r="E4426" t="str">
        <f>IF(OR(E4425="&lt;/routeDistribution&gt;",E4425=""),"",IFERROR(_xlfn.CONCAT(VLOOKUP(BP14,Route_Column!#REF!,2,FALSE),CHAR(34)," probability=",CHAR(34),1/BP$4,CHAR(34),CHAR(47),CHAR(62)),"&lt;/routeDistribution&gt;"))</f>
        <v/>
      </c>
    </row>
    <row r="4427" spans="1:5" x14ac:dyDescent="0.25">
      <c r="A4427" t="s">
        <v>2139</v>
      </c>
      <c r="B4427" t="s">
        <v>1250</v>
      </c>
      <c r="E4427" t="str">
        <f>IF(OR(E4426="&lt;/routeDistribution&gt;",E4426=""),"",IFERROR(_xlfn.CONCAT(VLOOKUP(BP15,Route_Column!#REF!,2,FALSE),CHAR(34)," probability=",CHAR(34),1/BP$4,CHAR(34),CHAR(47),CHAR(62)),"&lt;/routeDistribution&gt;"))</f>
        <v/>
      </c>
    </row>
    <row r="4428" spans="1:5" x14ac:dyDescent="0.25">
      <c r="A4428" t="s">
        <v>2140</v>
      </c>
      <c r="B4428" t="s">
        <v>1142</v>
      </c>
      <c r="E4428" t="str">
        <f>IF(OR(E4427="&lt;/routeDistribution&gt;",E4427=""),"",IFERROR(_xlfn.CONCAT(VLOOKUP(BP16,Route_Column!#REF!,2,FALSE),CHAR(34)," probability=",CHAR(34),1/BP$4,CHAR(34),CHAR(47),CHAR(62)),"&lt;/routeDistribution&gt;"))</f>
        <v/>
      </c>
    </row>
    <row r="4429" spans="1:5" x14ac:dyDescent="0.25">
      <c r="A4429" t="s">
        <v>2140</v>
      </c>
      <c r="B4429" t="s">
        <v>1148</v>
      </c>
      <c r="E4429" t="str">
        <f>IF(OR(E4428="&lt;/routeDistribution&gt;",E4428=""),"",IFERROR(_xlfn.CONCAT(VLOOKUP(BP17,Route_Column!#REF!,2,FALSE),CHAR(34)," probability=",CHAR(34),1/BP$4,CHAR(34),CHAR(47),CHAR(62)),"&lt;/routeDistribution&gt;"))</f>
        <v/>
      </c>
    </row>
    <row r="4430" spans="1:5" x14ac:dyDescent="0.25">
      <c r="A4430" t="s">
        <v>2140</v>
      </c>
      <c r="B4430" t="s">
        <v>1178</v>
      </c>
      <c r="E4430" t="str">
        <f>IF(OR(E4429="&lt;/routeDistribution&gt;",E4429=""),"",IFERROR(_xlfn.CONCAT(VLOOKUP(BP18,Route_Column!#REF!,2,FALSE),CHAR(34)," probability=",CHAR(34),1/BP$4,CHAR(34),CHAR(47),CHAR(62)),"&lt;/routeDistribution&gt;"))</f>
        <v/>
      </c>
    </row>
    <row r="4431" spans="1:5" x14ac:dyDescent="0.25">
      <c r="A4431" t="s">
        <v>2140</v>
      </c>
      <c r="B4431" t="s">
        <v>1201</v>
      </c>
      <c r="E4431" t="str">
        <f>IF(OR(E4430="&lt;/routeDistribution&gt;",E4430=""),"",IFERROR(_xlfn.CONCAT(VLOOKUP(BP19,Route_Column!#REF!,2,FALSE),CHAR(34)," probability=",CHAR(34),1/BP$4,CHAR(34),CHAR(47),CHAR(62)),"&lt;/routeDistribution&gt;"))</f>
        <v/>
      </c>
    </row>
    <row r="4432" spans="1:5" x14ac:dyDescent="0.25">
      <c r="A4432" t="s">
        <v>2140</v>
      </c>
      <c r="B4432" t="s">
        <v>1202</v>
      </c>
      <c r="E4432" t="str">
        <f>IF(OR(E4431="&lt;/routeDistribution&gt;",E4431=""),"",IFERROR(_xlfn.CONCAT(VLOOKUP(BP20,Route_Column!#REF!,2,FALSE),CHAR(34)," probability=",CHAR(34),1/BP$4,CHAR(34),CHAR(47),CHAR(62)),"&lt;/routeDistribution&gt;"))</f>
        <v/>
      </c>
    </row>
    <row r="4433" spans="1:5" x14ac:dyDescent="0.25">
      <c r="A4433" t="s">
        <v>2140</v>
      </c>
      <c r="B4433" t="s">
        <v>1206</v>
      </c>
      <c r="E4433" t="str">
        <f>IF(OR(E4432="&lt;/routeDistribution&gt;",E4432=""),"",IFERROR(_xlfn.CONCAT(VLOOKUP(BP21,Route_Column!#REF!,2,FALSE),CHAR(34)," probability=",CHAR(34),1/BP$4,CHAR(34),CHAR(47),CHAR(62)),"&lt;/routeDistribution&gt;"))</f>
        <v/>
      </c>
    </row>
    <row r="4434" spans="1:5" x14ac:dyDescent="0.25">
      <c r="A4434" t="s">
        <v>2140</v>
      </c>
      <c r="B4434" t="s">
        <v>1207</v>
      </c>
      <c r="E4434" t="str">
        <f>IF(OR(E4433="&lt;/routeDistribution&gt;",E4433=""),"",IFERROR(_xlfn.CONCAT(VLOOKUP(BP22,Route_Column!#REF!,2,FALSE),CHAR(34)," probability=",CHAR(34),1/BP$4,CHAR(34),CHAR(47),CHAR(62)),"&lt;/routeDistribution&gt;"))</f>
        <v/>
      </c>
    </row>
    <row r="4435" spans="1:5" x14ac:dyDescent="0.25">
      <c r="A4435" t="s">
        <v>2140</v>
      </c>
      <c r="B4435" t="s">
        <v>1235</v>
      </c>
      <c r="E4435" t="str">
        <f>IF(OR(E4434="&lt;/routeDistribution&gt;",E4434=""),"",IFERROR(_xlfn.CONCAT(VLOOKUP(BP23,Route_Column!#REF!,2,FALSE),CHAR(34)," probability=",CHAR(34),1/BP$4,CHAR(34),CHAR(47),CHAR(62)),"&lt;/routeDistribution&gt;"))</f>
        <v/>
      </c>
    </row>
    <row r="4436" spans="1:5" x14ac:dyDescent="0.25">
      <c r="A4436" t="s">
        <v>2140</v>
      </c>
      <c r="B4436" t="s">
        <v>1236</v>
      </c>
      <c r="E4436" t="str">
        <f>IF(OR(E4435="&lt;/routeDistribution&gt;",E4435=""),"",IFERROR(_xlfn.CONCAT(VLOOKUP(BP24,Route_Column!#REF!,2,FALSE),CHAR(34)," probability=",CHAR(34),1/BP$4,CHAR(34),CHAR(47),CHAR(62)),"&lt;/routeDistribution&gt;"))</f>
        <v/>
      </c>
    </row>
    <row r="4437" spans="1:5" x14ac:dyDescent="0.25">
      <c r="A4437" t="s">
        <v>2140</v>
      </c>
      <c r="B4437" t="s">
        <v>1237</v>
      </c>
      <c r="E4437" t="str">
        <f>IF(OR(E4436="&lt;/routeDistribution&gt;",E4436=""),"",IFERROR(_xlfn.CONCAT(VLOOKUP(BP25,Route_Column!#REF!,2,FALSE),CHAR(34)," probability=",CHAR(34),1/BP$4,CHAR(34),CHAR(47),CHAR(62)),"&lt;/routeDistribution&gt;"))</f>
        <v/>
      </c>
    </row>
    <row r="4438" spans="1:5" x14ac:dyDescent="0.25">
      <c r="A4438" t="s">
        <v>2140</v>
      </c>
      <c r="B4438" t="s">
        <v>1238</v>
      </c>
      <c r="E4438" t="str">
        <f>IF(OR(E4437="&lt;/routeDistribution&gt;",E4437=""),"",IFERROR(_xlfn.CONCAT(VLOOKUP(BP26,Route_Column!#REF!,2,FALSE),CHAR(34)," probability=",CHAR(34),1/BP$4,CHAR(34),CHAR(47),CHAR(62)),"&lt;/routeDistribution&gt;"))</f>
        <v/>
      </c>
    </row>
    <row r="4439" spans="1:5" x14ac:dyDescent="0.25">
      <c r="A4439" t="s">
        <v>2140</v>
      </c>
      <c r="B4439" t="s">
        <v>1239</v>
      </c>
      <c r="E4439" t="str">
        <f>IF(OR(E4438="&lt;/routeDistribution&gt;",E4438=""),"",IFERROR(_xlfn.CONCAT(VLOOKUP(BP27,Route_Column!#REF!,2,FALSE),CHAR(34)," probability=",CHAR(34),1/BP$4,CHAR(34),CHAR(47),CHAR(62)),"&lt;/routeDistribution&gt;"))</f>
        <v/>
      </c>
    </row>
    <row r="4440" spans="1:5" x14ac:dyDescent="0.25">
      <c r="A4440" t="s">
        <v>2140</v>
      </c>
      <c r="B4440" t="s">
        <v>1240</v>
      </c>
      <c r="E4440" t="str">
        <f>IF(OR(E4439="&lt;/routeDistribution&gt;",E4439=""),"",IFERROR(_xlfn.CONCAT(VLOOKUP(BP28,Route_Column!#REF!,2,FALSE),CHAR(34)," probability=",CHAR(34),1/BP$4,CHAR(34),CHAR(47),CHAR(62)),"&lt;/routeDistribution&gt;"))</f>
        <v/>
      </c>
    </row>
    <row r="4441" spans="1:5" x14ac:dyDescent="0.25">
      <c r="A4441" t="s">
        <v>2140</v>
      </c>
      <c r="B4441" t="s">
        <v>1241</v>
      </c>
      <c r="E4441" t="str">
        <f>IF(OR(E4440="&lt;/routeDistribution&gt;",E4440=""),"",IFERROR(_xlfn.CONCAT(VLOOKUP(BP29,Route_Column!#REF!,2,FALSE),CHAR(34)," probability=",CHAR(34),1/BP$4,CHAR(34),CHAR(47),CHAR(62)),"&lt;/routeDistribution&gt;"))</f>
        <v/>
      </c>
    </row>
    <row r="4442" spans="1:5" x14ac:dyDescent="0.25">
      <c r="A4442" t="s">
        <v>2140</v>
      </c>
      <c r="B4442" t="s">
        <v>1242</v>
      </c>
      <c r="E4442" t="str">
        <f>IF(OR(E4441="&lt;/routeDistribution&gt;",E4441=""),"",IFERROR(_xlfn.CONCAT(VLOOKUP(BP30,Route_Column!#REF!,2,FALSE),CHAR(34)," probability=",CHAR(34),1/BP$4,CHAR(34),CHAR(47),CHAR(62)),"&lt;/routeDistribution&gt;"))</f>
        <v/>
      </c>
    </row>
    <row r="4443" spans="1:5" x14ac:dyDescent="0.25">
      <c r="A4443" t="s">
        <v>2140</v>
      </c>
      <c r="B4443" t="s">
        <v>1243</v>
      </c>
      <c r="E4443" t="str">
        <f>IF(OR(E4442="&lt;/routeDistribution&gt;",E4442=""),"",IFERROR(_xlfn.CONCAT(VLOOKUP(BP31,Route_Column!#REF!,2,FALSE),CHAR(34)," probability=",CHAR(34),1/BP$4,CHAR(34),CHAR(47),CHAR(62)),"&lt;/routeDistribution&gt;"))</f>
        <v/>
      </c>
    </row>
    <row r="4444" spans="1:5" x14ac:dyDescent="0.25">
      <c r="A4444" t="s">
        <v>2141</v>
      </c>
      <c r="B4444" t="s">
        <v>1142</v>
      </c>
      <c r="E4444" t="str">
        <f>IF(OR(E4443="&lt;/routeDistribution&gt;",E4443=""),"",IFERROR(_xlfn.CONCAT(VLOOKUP(BP32,Route_Column!#REF!,2,FALSE),CHAR(34)," probability=",CHAR(34),1/BP$4,CHAR(34),CHAR(47),CHAR(62)),"&lt;/routeDistribution&gt;"))</f>
        <v/>
      </c>
    </row>
    <row r="4445" spans="1:5" x14ac:dyDescent="0.25">
      <c r="A4445" t="s">
        <v>2141</v>
      </c>
      <c r="B4445" t="s">
        <v>1148</v>
      </c>
      <c r="E4445" t="str">
        <f>IF(OR(E4444="&lt;/routeDistribution&gt;",E4444=""),"",IFERROR(_xlfn.CONCAT(VLOOKUP(BP33,Route_Column!#REF!,2,FALSE),CHAR(34)," probability=",CHAR(34),1/BP$4,CHAR(34),CHAR(47),CHAR(62)),"&lt;/routeDistribution&gt;"))</f>
        <v/>
      </c>
    </row>
    <row r="4446" spans="1:5" x14ac:dyDescent="0.25">
      <c r="A4446" t="s">
        <v>2141</v>
      </c>
      <c r="B4446" t="s">
        <v>1178</v>
      </c>
      <c r="E4446" t="str">
        <f>IF(OR(E4445="&lt;/routeDistribution&gt;",E4445=""),"",IFERROR(_xlfn.CONCAT(VLOOKUP(BP34,Route_Column!#REF!,2,FALSE),CHAR(34)," probability=",CHAR(34),1/BP$4,CHAR(34),CHAR(47),CHAR(62)),"&lt;/routeDistribution&gt;"))</f>
        <v/>
      </c>
    </row>
    <row r="4447" spans="1:5" x14ac:dyDescent="0.25">
      <c r="A4447" t="s">
        <v>2141</v>
      </c>
      <c r="B4447" t="s">
        <v>1201</v>
      </c>
      <c r="E4447" t="str">
        <f>IF(OR(E4446="&lt;/routeDistribution&gt;",E4446=""),"",IFERROR(_xlfn.CONCAT(VLOOKUP(BP35,Route_Column!#REF!,2,FALSE),CHAR(34)," probability=",CHAR(34),1/BP$4,CHAR(34),CHAR(47),CHAR(62)),"&lt;/routeDistribution&gt;"))</f>
        <v/>
      </c>
    </row>
    <row r="4448" spans="1:5" x14ac:dyDescent="0.25">
      <c r="A4448" t="s">
        <v>2141</v>
      </c>
      <c r="B4448" t="s">
        <v>1202</v>
      </c>
      <c r="E4448" t="str">
        <f>IF(OR(E4447="&lt;/routeDistribution&gt;",E4447=""),"",IFERROR(_xlfn.CONCAT(VLOOKUP(BP36,Route_Column!#REF!,2,FALSE),CHAR(34)," probability=",CHAR(34),1/BP$4,CHAR(34),CHAR(47),CHAR(62)),"&lt;/routeDistribution&gt;"))</f>
        <v/>
      </c>
    </row>
    <row r="4449" spans="1:5" x14ac:dyDescent="0.25">
      <c r="A4449" t="s">
        <v>2141</v>
      </c>
      <c r="B4449" t="s">
        <v>1206</v>
      </c>
      <c r="E4449" t="str">
        <f>IF(OR(E4448="&lt;/routeDistribution&gt;",E4448=""),"",IFERROR(_xlfn.CONCAT(VLOOKUP(BP37,Route_Column!#REF!,2,FALSE),CHAR(34)," probability=",CHAR(34),1/BP$4,CHAR(34),CHAR(47),CHAR(62)),"&lt;/routeDistribution&gt;"))</f>
        <v/>
      </c>
    </row>
    <row r="4450" spans="1:5" x14ac:dyDescent="0.25">
      <c r="A4450" t="s">
        <v>2141</v>
      </c>
      <c r="B4450" t="s">
        <v>1207</v>
      </c>
      <c r="E4450" t="str">
        <f>IF(OR(E4449="&lt;/routeDistribution&gt;",E4449=""),"",IFERROR(_xlfn.CONCAT(VLOOKUP(BP38,Route_Column!#REF!,2,FALSE),CHAR(34)," probability=",CHAR(34),1/BP$4,CHAR(34),CHAR(47),CHAR(62)),"&lt;/routeDistribution&gt;"))</f>
        <v/>
      </c>
    </row>
    <row r="4451" spans="1:5" x14ac:dyDescent="0.25">
      <c r="A4451" t="s">
        <v>2141</v>
      </c>
      <c r="B4451" t="s">
        <v>1235</v>
      </c>
      <c r="E4451" t="str">
        <f>IF(OR(E4450="&lt;/routeDistribution&gt;",E4450=""),"",IFERROR(_xlfn.CONCAT(VLOOKUP(BP39,Route_Column!#REF!,2,FALSE),CHAR(34)," probability=",CHAR(34),1/BP$4,CHAR(34),CHAR(47),CHAR(62)),"&lt;/routeDistribution&gt;"))</f>
        <v/>
      </c>
    </row>
    <row r="4452" spans="1:5" x14ac:dyDescent="0.25">
      <c r="A4452" t="s">
        <v>2141</v>
      </c>
      <c r="B4452" t="s">
        <v>1236</v>
      </c>
      <c r="E4452" t="str">
        <f>IF(OR(E4451="&lt;/routeDistribution&gt;",E4451=""),"",IFERROR(_xlfn.CONCAT(VLOOKUP(BP40,Route_Column!#REF!,2,FALSE),CHAR(34)," probability=",CHAR(34),1/BP$4,CHAR(34),CHAR(47),CHAR(62)),"&lt;/routeDistribution&gt;"))</f>
        <v/>
      </c>
    </row>
    <row r="4453" spans="1:5" x14ac:dyDescent="0.25">
      <c r="A4453" t="s">
        <v>2141</v>
      </c>
      <c r="B4453" t="s">
        <v>1237</v>
      </c>
      <c r="E4453" t="str">
        <f>IF(OR(E4452="&lt;/routeDistribution&gt;",E4452=""),"",IFERROR(_xlfn.CONCAT(VLOOKUP(BP41,Route_Column!#REF!,2,FALSE),CHAR(34)," probability=",CHAR(34),1/BP$4,CHAR(34),CHAR(47),CHAR(62)),"&lt;/routeDistribution&gt;"))</f>
        <v/>
      </c>
    </row>
    <row r="4454" spans="1:5" x14ac:dyDescent="0.25">
      <c r="A4454" t="s">
        <v>2141</v>
      </c>
      <c r="B4454" t="s">
        <v>1238</v>
      </c>
      <c r="E4454" t="str">
        <f>IF(OR(E4453="&lt;/routeDistribution&gt;",E4453=""),"",IFERROR(_xlfn.CONCAT(VLOOKUP(BP42,Route_Column!#REF!,2,FALSE),CHAR(34)," probability=",CHAR(34),1/BP$4,CHAR(34),CHAR(47),CHAR(62)),"&lt;/routeDistribution&gt;"))</f>
        <v/>
      </c>
    </row>
    <row r="4455" spans="1:5" x14ac:dyDescent="0.25">
      <c r="A4455" t="s">
        <v>2141</v>
      </c>
      <c r="B4455" t="s">
        <v>1239</v>
      </c>
      <c r="E4455" t="str">
        <f>IF(OR(E4454="&lt;/routeDistribution&gt;",E4454=""),"",IFERROR(_xlfn.CONCAT(VLOOKUP(BP43,Route_Column!#REF!,2,FALSE),CHAR(34)," probability=",CHAR(34),1/BP$4,CHAR(34),CHAR(47),CHAR(62)),"&lt;/routeDistribution&gt;"))</f>
        <v/>
      </c>
    </row>
    <row r="4456" spans="1:5" x14ac:dyDescent="0.25">
      <c r="A4456" t="s">
        <v>2141</v>
      </c>
      <c r="B4456" t="s">
        <v>1240</v>
      </c>
      <c r="E4456" t="str">
        <f>IF(OR(E4455="&lt;/routeDistribution&gt;",E4455=""),"",IFERROR(_xlfn.CONCAT(VLOOKUP(BP44,Route_Column!#REF!,2,FALSE),CHAR(34)," probability=",CHAR(34),1/BP$4,CHAR(34),CHAR(47),CHAR(62)),"&lt;/routeDistribution&gt;"))</f>
        <v/>
      </c>
    </row>
    <row r="4457" spans="1:5" x14ac:dyDescent="0.25">
      <c r="A4457" t="s">
        <v>2141</v>
      </c>
      <c r="B4457" t="s">
        <v>1241</v>
      </c>
      <c r="E4457" t="str">
        <f>IF(OR(E4456="&lt;/routeDistribution&gt;",E4456=""),"",IFERROR(_xlfn.CONCAT(VLOOKUP(BP45,Route_Column!#REF!,2,FALSE),CHAR(34)," probability=",CHAR(34),1/BP$4,CHAR(34),CHAR(47),CHAR(62)),"&lt;/routeDistribution&gt;"))</f>
        <v/>
      </c>
    </row>
    <row r="4458" spans="1:5" x14ac:dyDescent="0.25">
      <c r="A4458" t="s">
        <v>2141</v>
      </c>
      <c r="B4458" t="s">
        <v>1242</v>
      </c>
      <c r="E4458" t="str">
        <f>IF(OR(E4457="&lt;/routeDistribution&gt;",E4457=""),"",IFERROR(_xlfn.CONCAT(VLOOKUP(BP46,Route_Column!#REF!,2,FALSE),CHAR(34)," probability=",CHAR(34),1/BP$4,CHAR(34),CHAR(47),CHAR(62)),"&lt;/routeDistribution&gt;"))</f>
        <v/>
      </c>
    </row>
    <row r="4459" spans="1:5" x14ac:dyDescent="0.25">
      <c r="A4459" t="s">
        <v>2141</v>
      </c>
      <c r="B4459" t="s">
        <v>1243</v>
      </c>
      <c r="E4459" t="str">
        <f>IF(OR(E4458="&lt;/routeDistribution&gt;",E4458=""),"",IFERROR(_xlfn.CONCAT(VLOOKUP(BP47,Route_Column!#REF!,2,FALSE),CHAR(34)," probability=",CHAR(34),1/BP$4,CHAR(34),CHAR(47),CHAR(62)),"&lt;/routeDistribution&gt;"))</f>
        <v/>
      </c>
    </row>
    <row r="4460" spans="1:5" x14ac:dyDescent="0.25">
      <c r="A4460" s="11" t="s">
        <v>1476</v>
      </c>
      <c r="B4460" t="s">
        <v>1091</v>
      </c>
      <c r="E4460" t="str">
        <f>IF(OR(E4459="&lt;/routeDistribution&gt;",E4459=""),"",IFERROR(_xlfn.CONCAT(VLOOKUP(BP48,Route_Column!#REF!,2,FALSE),CHAR(34)," probability=",CHAR(34),1/BP$4,CHAR(34),CHAR(47),CHAR(62)),"&lt;/routeDistribution&gt;"))</f>
        <v/>
      </c>
    </row>
    <row r="4461" spans="1:5" x14ac:dyDescent="0.25">
      <c r="A4461" t="s">
        <v>1476</v>
      </c>
      <c r="B4461" t="s">
        <v>1092</v>
      </c>
      <c r="E4461" t="str">
        <f>IF(OR(E4460="&lt;/routeDistribution&gt;",E4460=""),"",IFERROR(_xlfn.CONCAT(VLOOKUP(BP49,Route_Column!#REF!,2,FALSE),CHAR(34)," probability=",CHAR(34),1/BP$4,CHAR(34),CHAR(47),CHAR(62)),"&lt;/routeDistribution&gt;"))</f>
        <v/>
      </c>
    </row>
    <row r="4462" spans="1:5" x14ac:dyDescent="0.25">
      <c r="A4462" t="s">
        <v>1476</v>
      </c>
      <c r="B4462" t="s">
        <v>1093</v>
      </c>
      <c r="E4462" t="str">
        <f>IF(OR(E4461="&lt;/routeDistribution&gt;",E4461=""),"",IFERROR(_xlfn.CONCAT(VLOOKUP(BP50,Route_Column!#REF!,2,FALSE),CHAR(34)," probability=",CHAR(34),1/BP$4,CHAR(34),CHAR(47),CHAR(62)),"&lt;/routeDistribution&gt;"))</f>
        <v/>
      </c>
    </row>
    <row r="4463" spans="1:5" x14ac:dyDescent="0.25">
      <c r="A4463" t="s">
        <v>1476</v>
      </c>
      <c r="B4463" t="s">
        <v>1094</v>
      </c>
      <c r="E4463" t="str">
        <f>IF(OR(E4462="&lt;/routeDistribution&gt;",E4462=""),"",IFERROR(_xlfn.CONCAT(VLOOKUP(BP51,Route_Column!#REF!,2,FALSE),CHAR(34)," probability=",CHAR(34),1/BP$4,CHAR(34),CHAR(47),CHAR(62)),"&lt;/routeDistribution&gt;"))</f>
        <v/>
      </c>
    </row>
    <row r="4464" spans="1:5" x14ac:dyDescent="0.25">
      <c r="A4464" t="s">
        <v>1476</v>
      </c>
      <c r="B4464" t="s">
        <v>1095</v>
      </c>
      <c r="E4464" t="str">
        <f>IF(OR(E4463="&lt;/routeDistribution&gt;",E4463=""),"",IFERROR(_xlfn.CONCAT(VLOOKUP(BP52,Route_Column!#REF!,2,FALSE),CHAR(34)," probability=",CHAR(34),1/BP$4,CHAR(34),CHAR(47),CHAR(62)),"&lt;/routeDistribution&gt;"))</f>
        <v/>
      </c>
    </row>
    <row r="4465" spans="1:5" x14ac:dyDescent="0.25">
      <c r="A4465" t="s">
        <v>1476</v>
      </c>
      <c r="B4465" t="s">
        <v>1096</v>
      </c>
      <c r="E4465" t="str">
        <f>IF(OR(E4464="&lt;/routeDistribution&gt;",E4464=""),"",IFERROR(_xlfn.CONCAT(VLOOKUP(BP53,Route_Column!#REF!,2,FALSE),CHAR(34)," probability=",CHAR(34),1/BP$4,CHAR(34),CHAR(47),CHAR(62)),"&lt;/routeDistribution&gt;"))</f>
        <v/>
      </c>
    </row>
    <row r="4466" spans="1:5" x14ac:dyDescent="0.25">
      <c r="A4466" t="s">
        <v>1476</v>
      </c>
      <c r="B4466" t="s">
        <v>1097</v>
      </c>
      <c r="E4466" t="str">
        <f>IF(OR(E4465="&lt;/routeDistribution&gt;",E4465=""),"",IFERROR(_xlfn.CONCAT(VLOOKUP(BP54,Route_Column!#REF!,2,FALSE),CHAR(34)," probability=",CHAR(34),1/BP$4,CHAR(34),CHAR(47),CHAR(62)),"&lt;/routeDistribution&gt;"))</f>
        <v/>
      </c>
    </row>
    <row r="4467" spans="1:5" x14ac:dyDescent="0.25">
      <c r="A4467" t="s">
        <v>1476</v>
      </c>
      <c r="B4467" t="s">
        <v>1098</v>
      </c>
      <c r="E4467" t="str">
        <f>IF(OR(E4466="&lt;/routeDistribution&gt;",E4466=""),"",IFERROR(_xlfn.CONCAT(VLOOKUP(BP55,Route_Column!#REF!,2,FALSE),CHAR(34)," probability=",CHAR(34),1/BP$4,CHAR(34),CHAR(47),CHAR(62)),"&lt;/routeDistribution&gt;"))</f>
        <v/>
      </c>
    </row>
    <row r="4468" spans="1:5" x14ac:dyDescent="0.25">
      <c r="A4468" t="s">
        <v>1476</v>
      </c>
      <c r="B4468" t="s">
        <v>1099</v>
      </c>
      <c r="E4468" t="str">
        <f>IF(OR(E4467="&lt;/routeDistribution&gt;",E4467=""),"",IFERROR(_xlfn.CONCAT(VLOOKUP(BP56,Route_Column!#REF!,2,FALSE),CHAR(34)," probability=",CHAR(34),1/BP$4,CHAR(34),CHAR(47),CHAR(62)),"&lt;/routeDistribution&gt;"))</f>
        <v/>
      </c>
    </row>
    <row r="4469" spans="1:5" x14ac:dyDescent="0.25">
      <c r="A4469" t="s">
        <v>1476</v>
      </c>
      <c r="B4469" t="s">
        <v>1100</v>
      </c>
      <c r="E4469" t="str">
        <f>IF(OR(E4468="&lt;/routeDistribution&gt;",E4468=""),"",IFERROR(_xlfn.CONCAT(VLOOKUP(BP57,Route_Column!#REF!,2,FALSE),CHAR(34)," probability=",CHAR(34),1/BP$4,CHAR(34),CHAR(47),CHAR(62)),"&lt;/routeDistribution&gt;"))</f>
        <v/>
      </c>
    </row>
    <row r="4470" spans="1:5" x14ac:dyDescent="0.25">
      <c r="A4470" t="s">
        <v>1476</v>
      </c>
      <c r="B4470" t="s">
        <v>1101</v>
      </c>
      <c r="E4470" t="str">
        <f>IF(OR(E4469="&lt;/routeDistribution&gt;",E4469=""),"",IFERROR(_xlfn.CONCAT(VLOOKUP(BP58,Route_Column!#REF!,2,FALSE),CHAR(34)," probability=",CHAR(34),1/BP$4,CHAR(34),CHAR(47),CHAR(62)),"&lt;/routeDistribution&gt;"))</f>
        <v/>
      </c>
    </row>
    <row r="4471" spans="1:5" x14ac:dyDescent="0.25">
      <c r="A4471" t="s">
        <v>1476</v>
      </c>
      <c r="B4471" t="s">
        <v>1102</v>
      </c>
      <c r="E4471" t="str">
        <f>IF(OR(E4470="&lt;/routeDistribution&gt;",E4470=""),"",IFERROR(_xlfn.CONCAT(VLOOKUP(BP59,Route_Column!#REF!,2,FALSE),CHAR(34)," probability=",CHAR(34),1/BP$4,CHAR(34),CHAR(47),CHAR(62)),"&lt;/routeDistribution&gt;"))</f>
        <v/>
      </c>
    </row>
    <row r="4472" spans="1:5" x14ac:dyDescent="0.25">
      <c r="A4472" t="s">
        <v>1476</v>
      </c>
      <c r="B4472" t="s">
        <v>1103</v>
      </c>
      <c r="E4472" t="str">
        <f>IF(OR(E4471="&lt;/routeDistribution&gt;",E4471=""),"",IFERROR(_xlfn.CONCAT(VLOOKUP(BP60,Route_Column!#REF!,2,FALSE),CHAR(34)," probability=",CHAR(34),1/BP$4,CHAR(34),CHAR(47),CHAR(62)),"&lt;/routeDistribution&gt;"))</f>
        <v/>
      </c>
    </row>
    <row r="4473" spans="1:5" x14ac:dyDescent="0.25">
      <c r="A4473" t="s">
        <v>1476</v>
      </c>
      <c r="B4473" t="s">
        <v>1104</v>
      </c>
      <c r="E4473" t="str">
        <f>IF(OR(E4472="&lt;/routeDistribution&gt;",E4472=""),"",IFERROR(_xlfn.CONCAT(VLOOKUP(BP61,Route_Column!#REF!,2,FALSE),CHAR(34)," probability=",CHAR(34),1/BP$4,CHAR(34),CHAR(47),CHAR(62)),"&lt;/routeDistribution&gt;"))</f>
        <v/>
      </c>
    </row>
    <row r="4474" spans="1:5" x14ac:dyDescent="0.25">
      <c r="A4474" t="s">
        <v>1476</v>
      </c>
      <c r="B4474" t="s">
        <v>1105</v>
      </c>
      <c r="E4474" t="str">
        <f>IF(OR(E4473="&lt;/routeDistribution&gt;",E4473=""),"",IFERROR(_xlfn.CONCAT(VLOOKUP(BP62,Route_Column!#REF!,2,FALSE),CHAR(34)," probability=",CHAR(34),1/BP$4,CHAR(34),CHAR(47),CHAR(62)),"&lt;/routeDistribution&gt;"))</f>
        <v/>
      </c>
    </row>
    <row r="4475" spans="1:5" x14ac:dyDescent="0.25">
      <c r="A4475" t="s">
        <v>1476</v>
      </c>
      <c r="B4475" t="s">
        <v>1106</v>
      </c>
      <c r="E4475" t="str">
        <f>IF(OR(E4474="&lt;/routeDistribution&gt;",E4474=""),"",IFERROR(_xlfn.CONCAT(VLOOKUP(BP63,Route_Column!#REF!,2,FALSE),CHAR(34)," probability=",CHAR(34),1/BP$4,CHAR(34),CHAR(47),CHAR(62)),"&lt;/routeDistribution&gt;"))</f>
        <v/>
      </c>
    </row>
    <row r="4476" spans="1:5" x14ac:dyDescent="0.25">
      <c r="A4476" t="s">
        <v>1476</v>
      </c>
      <c r="B4476" t="s">
        <v>1107</v>
      </c>
      <c r="E4476" t="s">
        <v>2686</v>
      </c>
    </row>
    <row r="4477" spans="1:5" x14ac:dyDescent="0.25">
      <c r="A4477" t="s">
        <v>1476</v>
      </c>
      <c r="B4477" t="s">
        <v>1235</v>
      </c>
    </row>
    <row r="4478" spans="1:5" x14ac:dyDescent="0.25">
      <c r="A4478" t="s">
        <v>1476</v>
      </c>
      <c r="B4478" t="s">
        <v>1236</v>
      </c>
    </row>
    <row r="4479" spans="1:5" x14ac:dyDescent="0.25">
      <c r="A4479" t="s">
        <v>1476</v>
      </c>
      <c r="B4479" t="s">
        <v>1237</v>
      </c>
      <c r="E4479" t="str">
        <f>_xlfn.CONCAT($E$1,BO$2,$F$1)</f>
        <v>&lt;routeDistribution id="33rd-powelton-to-SPGRst-NB-2011-RouteProbe"&gt;</v>
      </c>
    </row>
    <row r="4480" spans="1:5" x14ac:dyDescent="0.25">
      <c r="A4480" t="s">
        <v>1476</v>
      </c>
      <c r="B4480" t="s">
        <v>1238</v>
      </c>
      <c r="E4480" t="str">
        <f>IF(OR(E4479="&lt;/routeDistribution&gt;",E4479=""),"",IFERROR(_xlfn.CONCAT(VLOOKUP(BO5,Route_Column!#REF!,2,FALSE),CHAR(34)," probability=",CHAR(34),1/BO$4,CHAR(34),CHAR(47),CHAR(62)),"&lt;/routeDistribution&gt;"))</f>
        <v>&lt;/routeDistribution&gt;</v>
      </c>
    </row>
    <row r="4481" spans="1:5" x14ac:dyDescent="0.25">
      <c r="A4481" t="s">
        <v>1476</v>
      </c>
      <c r="B4481" t="s">
        <v>1239</v>
      </c>
      <c r="E4481" t="str">
        <f>IF(OR(E4480="&lt;/routeDistribution&gt;",E4480=""),"",IFERROR(_xlfn.CONCAT(VLOOKUP(BO6,Route_Column!#REF!,2,FALSE),CHAR(34)," probability=",CHAR(34),1/BO$4,CHAR(34),CHAR(47),CHAR(62)),"&lt;/routeDistribution&gt;"))</f>
        <v/>
      </c>
    </row>
    <row r="4482" spans="1:5" x14ac:dyDescent="0.25">
      <c r="A4482" t="s">
        <v>1476</v>
      </c>
      <c r="B4482" t="s">
        <v>1240</v>
      </c>
      <c r="E4482" t="str">
        <f>IF(OR(E4481="&lt;/routeDistribution&gt;",E4481=""),"",IFERROR(_xlfn.CONCAT(VLOOKUP(BO7,Route_Column!#REF!,2,FALSE),CHAR(34)," probability=",CHAR(34),1/BO$4,CHAR(34),CHAR(47),CHAR(62)),"&lt;/routeDistribution&gt;"))</f>
        <v/>
      </c>
    </row>
    <row r="4483" spans="1:5" x14ac:dyDescent="0.25">
      <c r="A4483" t="s">
        <v>1476</v>
      </c>
      <c r="B4483" t="s">
        <v>1241</v>
      </c>
      <c r="E4483" t="str">
        <f>IF(OR(E4482="&lt;/routeDistribution&gt;",E4482=""),"",IFERROR(_xlfn.CONCAT(VLOOKUP(BO8,Route_Column!#REF!,2,FALSE),CHAR(34)," probability=",CHAR(34),1/BO$4,CHAR(34),CHAR(47),CHAR(62)),"&lt;/routeDistribution&gt;"))</f>
        <v/>
      </c>
    </row>
    <row r="4484" spans="1:5" x14ac:dyDescent="0.25">
      <c r="A4484" t="s">
        <v>1614</v>
      </c>
      <c r="B4484" t="s">
        <v>1096</v>
      </c>
      <c r="E4484" t="str">
        <f>IF(OR(E4483="&lt;/routeDistribution&gt;",E4483=""),"",IFERROR(_xlfn.CONCAT(VLOOKUP(BO9,Route_Column!#REF!,2,FALSE),CHAR(34)," probability=",CHAR(34),1/BO$4,CHAR(34),CHAR(47),CHAR(62)),"&lt;/routeDistribution&gt;"))</f>
        <v/>
      </c>
    </row>
    <row r="4485" spans="1:5" x14ac:dyDescent="0.25">
      <c r="A4485" t="s">
        <v>1614</v>
      </c>
      <c r="B4485" t="s">
        <v>1163</v>
      </c>
      <c r="E4485" t="str">
        <f>IF(OR(E4484="&lt;/routeDistribution&gt;",E4484=""),"",IFERROR(_xlfn.CONCAT(VLOOKUP(BO10,Route_Column!#REF!,2,FALSE),CHAR(34)," probability=",CHAR(34),1/BO$4,CHAR(34),CHAR(47),CHAR(62)),"&lt;/routeDistribution&gt;"))</f>
        <v/>
      </c>
    </row>
    <row r="4486" spans="1:5" x14ac:dyDescent="0.25">
      <c r="A4486" t="s">
        <v>1614</v>
      </c>
      <c r="B4486" t="s">
        <v>1168</v>
      </c>
      <c r="E4486" t="str">
        <f>IF(OR(E4485="&lt;/routeDistribution&gt;",E4485=""),"",IFERROR(_xlfn.CONCAT(VLOOKUP(BO11,Route_Column!#REF!,2,FALSE),CHAR(34)," probability=",CHAR(34),1/BO$4,CHAR(34),CHAR(47),CHAR(62)),"&lt;/routeDistribution&gt;"))</f>
        <v/>
      </c>
    </row>
    <row r="4487" spans="1:5" x14ac:dyDescent="0.25">
      <c r="A4487" t="s">
        <v>1614</v>
      </c>
      <c r="B4487" t="s">
        <v>1170</v>
      </c>
      <c r="E4487" t="str">
        <f>IF(OR(E4486="&lt;/routeDistribution&gt;",E4486=""),"",IFERROR(_xlfn.CONCAT(VLOOKUP(BO12,Route_Column!#REF!,2,FALSE),CHAR(34)," probability=",CHAR(34),1/BO$4,CHAR(34),CHAR(47),CHAR(62)),"&lt;/routeDistribution&gt;"))</f>
        <v/>
      </c>
    </row>
    <row r="4488" spans="1:5" x14ac:dyDescent="0.25">
      <c r="A4488" t="s">
        <v>1614</v>
      </c>
      <c r="B4488" t="s">
        <v>1196</v>
      </c>
      <c r="E4488" t="str">
        <f>IF(OR(E4487="&lt;/routeDistribution&gt;",E4487=""),"",IFERROR(_xlfn.CONCAT(VLOOKUP(BO13,Route_Column!#REF!,2,FALSE),CHAR(34)," probability=",CHAR(34),1/BO$4,CHAR(34),CHAR(47),CHAR(62)),"&lt;/routeDistribution&gt;"))</f>
        <v/>
      </c>
    </row>
    <row r="4489" spans="1:5" x14ac:dyDescent="0.25">
      <c r="A4489" t="s">
        <v>1614</v>
      </c>
      <c r="B4489" t="s">
        <v>1235</v>
      </c>
      <c r="E4489" t="str">
        <f>IF(OR(E4488="&lt;/routeDistribution&gt;",E4488=""),"",IFERROR(_xlfn.CONCAT(VLOOKUP(BO14,Route_Column!#REF!,2,FALSE),CHAR(34)," probability=",CHAR(34),1/BO$4,CHAR(34),CHAR(47),CHAR(62)),"&lt;/routeDistribution&gt;"))</f>
        <v/>
      </c>
    </row>
    <row r="4490" spans="1:5" x14ac:dyDescent="0.25">
      <c r="A4490" t="s">
        <v>1614</v>
      </c>
      <c r="B4490" t="s">
        <v>1236</v>
      </c>
      <c r="E4490" t="str">
        <f>IF(OR(E4489="&lt;/routeDistribution&gt;",E4489=""),"",IFERROR(_xlfn.CONCAT(VLOOKUP(BO15,Route_Column!#REF!,2,FALSE),CHAR(34)," probability=",CHAR(34),1/BO$4,CHAR(34),CHAR(47),CHAR(62)),"&lt;/routeDistribution&gt;"))</f>
        <v/>
      </c>
    </row>
    <row r="4491" spans="1:5" x14ac:dyDescent="0.25">
      <c r="A4491" t="s">
        <v>1614</v>
      </c>
      <c r="B4491" t="s">
        <v>1237</v>
      </c>
      <c r="E4491" t="str">
        <f>IF(OR(E4490="&lt;/routeDistribution&gt;",E4490=""),"",IFERROR(_xlfn.CONCAT(VLOOKUP(BO16,Route_Column!#REF!,2,FALSE),CHAR(34)," probability=",CHAR(34),1/BO$4,CHAR(34),CHAR(47),CHAR(62)),"&lt;/routeDistribution&gt;"))</f>
        <v/>
      </c>
    </row>
    <row r="4492" spans="1:5" x14ac:dyDescent="0.25">
      <c r="A4492" t="s">
        <v>1614</v>
      </c>
      <c r="B4492" t="s">
        <v>1238</v>
      </c>
      <c r="E4492" t="str">
        <f>IF(OR(E4491="&lt;/routeDistribution&gt;",E4491=""),"",IFERROR(_xlfn.CONCAT(VLOOKUP(BO17,Route_Column!#REF!,2,FALSE),CHAR(34)," probability=",CHAR(34),1/BO$4,CHAR(34),CHAR(47),CHAR(62)),"&lt;/routeDistribution&gt;"))</f>
        <v/>
      </c>
    </row>
    <row r="4493" spans="1:5" x14ac:dyDescent="0.25">
      <c r="A4493" t="s">
        <v>1614</v>
      </c>
      <c r="B4493" t="s">
        <v>1239</v>
      </c>
      <c r="E4493" t="str">
        <f>IF(OR(E4492="&lt;/routeDistribution&gt;",E4492=""),"",IFERROR(_xlfn.CONCAT(VLOOKUP(BO18,Route_Column!#REF!,2,FALSE),CHAR(34)," probability=",CHAR(34),1/BO$4,CHAR(34),CHAR(47),CHAR(62)),"&lt;/routeDistribution&gt;"))</f>
        <v/>
      </c>
    </row>
    <row r="4494" spans="1:5" x14ac:dyDescent="0.25">
      <c r="A4494" t="s">
        <v>1614</v>
      </c>
      <c r="B4494" t="s">
        <v>1240</v>
      </c>
      <c r="E4494" t="str">
        <f>IF(OR(E4493="&lt;/routeDistribution&gt;",E4493=""),"",IFERROR(_xlfn.CONCAT(VLOOKUP(BO19,Route_Column!#REF!,2,FALSE),CHAR(34)," probability=",CHAR(34),1/BO$4,CHAR(34),CHAR(47),CHAR(62)),"&lt;/routeDistribution&gt;"))</f>
        <v/>
      </c>
    </row>
    <row r="4495" spans="1:5" x14ac:dyDescent="0.25">
      <c r="A4495" t="s">
        <v>1614</v>
      </c>
      <c r="B4495" t="s">
        <v>1241</v>
      </c>
      <c r="E4495" t="str">
        <f>IF(OR(E4494="&lt;/routeDistribution&gt;",E4494=""),"",IFERROR(_xlfn.CONCAT(VLOOKUP(BO20,Route_Column!#REF!,2,FALSE),CHAR(34)," probability=",CHAR(34),1/BO$4,CHAR(34),CHAR(47),CHAR(62)),"&lt;/routeDistribution&gt;"))</f>
        <v/>
      </c>
    </row>
    <row r="4496" spans="1:5" x14ac:dyDescent="0.25">
      <c r="A4496" t="s">
        <v>1614</v>
      </c>
      <c r="B4496" t="s">
        <v>1241</v>
      </c>
      <c r="E4496" t="str">
        <f>IF(OR(E4495="&lt;/routeDistribution&gt;",E4495=""),"",IFERROR(_xlfn.CONCAT(VLOOKUP(BO21,Route_Column!#REF!,2,FALSE),CHAR(34)," probability=",CHAR(34),1/BO$4,CHAR(34),CHAR(47),CHAR(62)),"&lt;/routeDistribution&gt;"))</f>
        <v/>
      </c>
    </row>
    <row r="4497" spans="1:5" x14ac:dyDescent="0.25">
      <c r="A4497" t="s">
        <v>1615</v>
      </c>
      <c r="B4497" t="s">
        <v>1096</v>
      </c>
      <c r="E4497" t="str">
        <f>IF(OR(E4496="&lt;/routeDistribution&gt;",E4496=""),"",IFERROR(_xlfn.CONCAT(VLOOKUP(BO22,Route_Column!#REF!,2,FALSE),CHAR(34)," probability=",CHAR(34),1/BO$4,CHAR(34),CHAR(47),CHAR(62)),"&lt;/routeDistribution&gt;"))</f>
        <v/>
      </c>
    </row>
    <row r="4498" spans="1:5" x14ac:dyDescent="0.25">
      <c r="A4498" t="s">
        <v>1615</v>
      </c>
      <c r="B4498" t="s">
        <v>1142</v>
      </c>
      <c r="E4498" t="str">
        <f>IF(OR(E4497="&lt;/routeDistribution&gt;",E4497=""),"",IFERROR(_xlfn.CONCAT(VLOOKUP(BO23,Route_Column!#REF!,2,FALSE),CHAR(34)," probability=",CHAR(34),1/BO$4,CHAR(34),CHAR(47),CHAR(62)),"&lt;/routeDistribution&gt;"))</f>
        <v/>
      </c>
    </row>
    <row r="4499" spans="1:5" x14ac:dyDescent="0.25">
      <c r="A4499" t="s">
        <v>1615</v>
      </c>
      <c r="B4499" t="s">
        <v>1148</v>
      </c>
      <c r="E4499" t="str">
        <f>IF(OR(E4498="&lt;/routeDistribution&gt;",E4498=""),"",IFERROR(_xlfn.CONCAT(VLOOKUP(BO24,Route_Column!#REF!,2,FALSE),CHAR(34)," probability=",CHAR(34),1/BO$4,CHAR(34),CHAR(47),CHAR(62)),"&lt;/routeDistribution&gt;"))</f>
        <v/>
      </c>
    </row>
    <row r="4500" spans="1:5" x14ac:dyDescent="0.25">
      <c r="A4500" t="s">
        <v>1615</v>
      </c>
      <c r="B4500" t="s">
        <v>1163</v>
      </c>
      <c r="E4500" t="str">
        <f>IF(OR(E4499="&lt;/routeDistribution&gt;",E4499=""),"",IFERROR(_xlfn.CONCAT(VLOOKUP(BO25,Route_Column!#REF!,2,FALSE),CHAR(34)," probability=",CHAR(34),1/BO$4,CHAR(34),CHAR(47),CHAR(62)),"&lt;/routeDistribution&gt;"))</f>
        <v/>
      </c>
    </row>
    <row r="4501" spans="1:5" x14ac:dyDescent="0.25">
      <c r="A4501" t="s">
        <v>1615</v>
      </c>
      <c r="B4501" t="s">
        <v>1168</v>
      </c>
      <c r="E4501" t="str">
        <f>IF(OR(E4500="&lt;/routeDistribution&gt;",E4500=""),"",IFERROR(_xlfn.CONCAT(VLOOKUP(BO26,Route_Column!#REF!,2,FALSE),CHAR(34)," probability=",CHAR(34),1/BO$4,CHAR(34),CHAR(47),CHAR(62)),"&lt;/routeDistribution&gt;"))</f>
        <v/>
      </c>
    </row>
    <row r="4502" spans="1:5" x14ac:dyDescent="0.25">
      <c r="A4502" t="s">
        <v>1615</v>
      </c>
      <c r="B4502" t="s">
        <v>1170</v>
      </c>
      <c r="E4502" t="str">
        <f>IF(OR(E4501="&lt;/routeDistribution&gt;",E4501=""),"",IFERROR(_xlfn.CONCAT(VLOOKUP(BO27,Route_Column!#REF!,2,FALSE),CHAR(34)," probability=",CHAR(34),1/BO$4,CHAR(34),CHAR(47),CHAR(62)),"&lt;/routeDistribution&gt;"))</f>
        <v/>
      </c>
    </row>
    <row r="4503" spans="1:5" x14ac:dyDescent="0.25">
      <c r="A4503" t="s">
        <v>1615</v>
      </c>
      <c r="B4503" t="s">
        <v>1178</v>
      </c>
      <c r="E4503" t="str">
        <f>IF(OR(E4502="&lt;/routeDistribution&gt;",E4502=""),"",IFERROR(_xlfn.CONCAT(VLOOKUP(BO28,Route_Column!#REF!,2,FALSE),CHAR(34)," probability=",CHAR(34),1/BO$4,CHAR(34),CHAR(47),CHAR(62)),"&lt;/routeDistribution&gt;"))</f>
        <v/>
      </c>
    </row>
    <row r="4504" spans="1:5" x14ac:dyDescent="0.25">
      <c r="A4504" t="s">
        <v>1615</v>
      </c>
      <c r="B4504" t="s">
        <v>1196</v>
      </c>
      <c r="E4504" t="str">
        <f>IF(OR(E4503="&lt;/routeDistribution&gt;",E4503=""),"",IFERROR(_xlfn.CONCAT(VLOOKUP(BO29,Route_Column!#REF!,2,FALSE),CHAR(34)," probability=",CHAR(34),1/BO$4,CHAR(34),CHAR(47),CHAR(62)),"&lt;/routeDistribution&gt;"))</f>
        <v/>
      </c>
    </row>
    <row r="4505" spans="1:5" x14ac:dyDescent="0.25">
      <c r="A4505" t="s">
        <v>1615</v>
      </c>
      <c r="B4505" t="s">
        <v>1201</v>
      </c>
      <c r="E4505" t="str">
        <f>IF(OR(E4504="&lt;/routeDistribution&gt;",E4504=""),"",IFERROR(_xlfn.CONCAT(VLOOKUP(BO30,Route_Column!#REF!,2,FALSE),CHAR(34)," probability=",CHAR(34),1/BO$4,CHAR(34),CHAR(47),CHAR(62)),"&lt;/routeDistribution&gt;"))</f>
        <v/>
      </c>
    </row>
    <row r="4506" spans="1:5" x14ac:dyDescent="0.25">
      <c r="A4506" t="s">
        <v>1615</v>
      </c>
      <c r="B4506" t="s">
        <v>1202</v>
      </c>
      <c r="E4506" t="str">
        <f>IF(OR(E4505="&lt;/routeDistribution&gt;",E4505=""),"",IFERROR(_xlfn.CONCAT(VLOOKUP(BO31,Route_Column!#REF!,2,FALSE),CHAR(34)," probability=",CHAR(34),1/BO$4,CHAR(34),CHAR(47),CHAR(62)),"&lt;/routeDistribution&gt;"))</f>
        <v/>
      </c>
    </row>
    <row r="4507" spans="1:5" x14ac:dyDescent="0.25">
      <c r="A4507" t="s">
        <v>1615</v>
      </c>
      <c r="B4507" t="s">
        <v>1206</v>
      </c>
      <c r="E4507" t="str">
        <f>IF(OR(E4506="&lt;/routeDistribution&gt;",E4506=""),"",IFERROR(_xlfn.CONCAT(VLOOKUP(BO32,Route_Column!#REF!,2,FALSE),CHAR(34)," probability=",CHAR(34),1/BO$4,CHAR(34),CHAR(47),CHAR(62)),"&lt;/routeDistribution&gt;"))</f>
        <v/>
      </c>
    </row>
    <row r="4508" spans="1:5" x14ac:dyDescent="0.25">
      <c r="A4508" t="s">
        <v>1615</v>
      </c>
      <c r="B4508" t="s">
        <v>1207</v>
      </c>
      <c r="E4508" t="str">
        <f>IF(OR(E4507="&lt;/routeDistribution&gt;",E4507=""),"",IFERROR(_xlfn.CONCAT(VLOOKUP(BO33,Route_Column!#REF!,2,FALSE),CHAR(34)," probability=",CHAR(34),1/BO$4,CHAR(34),CHAR(47),CHAR(62)),"&lt;/routeDistribution&gt;"))</f>
        <v/>
      </c>
    </row>
    <row r="4509" spans="1:5" x14ac:dyDescent="0.25">
      <c r="A4509" t="s">
        <v>1615</v>
      </c>
      <c r="B4509" t="s">
        <v>1241</v>
      </c>
      <c r="E4509" t="str">
        <f>IF(OR(E4508="&lt;/routeDistribution&gt;",E4508=""),"",IFERROR(_xlfn.CONCAT(VLOOKUP(BO34,Route_Column!#REF!,2,FALSE),CHAR(34)," probability=",CHAR(34),1/BO$4,CHAR(34),CHAR(47),CHAR(62)),"&lt;/routeDistribution&gt;"))</f>
        <v/>
      </c>
    </row>
    <row r="4510" spans="1:5" x14ac:dyDescent="0.25">
      <c r="A4510" t="s">
        <v>2297</v>
      </c>
      <c r="B4510" t="s">
        <v>1209</v>
      </c>
      <c r="E4510" t="str">
        <f>IF(OR(E4509="&lt;/routeDistribution&gt;",E4509=""),"",IFERROR(_xlfn.CONCAT(VLOOKUP(BO35,Route_Column!#REF!,2,FALSE),CHAR(34)," probability=",CHAR(34),1/BO$4,CHAR(34),CHAR(47),CHAR(62)),"&lt;/routeDistribution&gt;"))</f>
        <v/>
      </c>
    </row>
    <row r="4511" spans="1:5" x14ac:dyDescent="0.25">
      <c r="A4511" t="s">
        <v>2297</v>
      </c>
      <c r="B4511" t="s">
        <v>1210</v>
      </c>
      <c r="E4511" t="str">
        <f>IF(OR(E4510="&lt;/routeDistribution&gt;",E4510=""),"",IFERROR(_xlfn.CONCAT(VLOOKUP(BO36,Route_Column!#REF!,2,FALSE),CHAR(34)," probability=",CHAR(34),1/BO$4,CHAR(34),CHAR(47),CHAR(62)),"&lt;/routeDistribution&gt;"))</f>
        <v/>
      </c>
    </row>
    <row r="4512" spans="1:5" x14ac:dyDescent="0.25">
      <c r="A4512" t="s">
        <v>2297</v>
      </c>
      <c r="B4512" t="s">
        <v>1235</v>
      </c>
      <c r="E4512" t="str">
        <f>IF(OR(E4511="&lt;/routeDistribution&gt;",E4511=""),"",IFERROR(_xlfn.CONCAT(VLOOKUP(BO37,Route_Column!#REF!,2,FALSE),CHAR(34)," probability=",CHAR(34),1/BO$4,CHAR(34),CHAR(47),CHAR(62)),"&lt;/routeDistribution&gt;"))</f>
        <v/>
      </c>
    </row>
    <row r="4513" spans="1:5" x14ac:dyDescent="0.25">
      <c r="A4513" t="s">
        <v>2297</v>
      </c>
      <c r="B4513" t="s">
        <v>1236</v>
      </c>
      <c r="E4513" t="str">
        <f>IF(OR(E4512="&lt;/routeDistribution&gt;",E4512=""),"",IFERROR(_xlfn.CONCAT(VLOOKUP(BO38,Route_Column!#REF!,2,FALSE),CHAR(34)," probability=",CHAR(34),1/BO$4,CHAR(34),CHAR(47),CHAR(62)),"&lt;/routeDistribution&gt;"))</f>
        <v/>
      </c>
    </row>
    <row r="4514" spans="1:5" x14ac:dyDescent="0.25">
      <c r="A4514" t="s">
        <v>2297</v>
      </c>
      <c r="B4514" t="s">
        <v>1237</v>
      </c>
      <c r="E4514" t="str">
        <f>IF(OR(E4513="&lt;/routeDistribution&gt;",E4513=""),"",IFERROR(_xlfn.CONCAT(VLOOKUP(BO39,Route_Column!#REF!,2,FALSE),CHAR(34)," probability=",CHAR(34),1/BO$4,CHAR(34),CHAR(47),CHAR(62)),"&lt;/routeDistribution&gt;"))</f>
        <v/>
      </c>
    </row>
    <row r="4515" spans="1:5" x14ac:dyDescent="0.25">
      <c r="A4515" t="s">
        <v>2297</v>
      </c>
      <c r="B4515" t="s">
        <v>1238</v>
      </c>
      <c r="E4515" t="str">
        <f>IF(OR(E4514="&lt;/routeDistribution&gt;",E4514=""),"",IFERROR(_xlfn.CONCAT(VLOOKUP(BO40,Route_Column!#REF!,2,FALSE),CHAR(34)," probability=",CHAR(34),1/BO$4,CHAR(34),CHAR(47),CHAR(62)),"&lt;/routeDistribution&gt;"))</f>
        <v/>
      </c>
    </row>
    <row r="4516" spans="1:5" x14ac:dyDescent="0.25">
      <c r="A4516" t="s">
        <v>2297</v>
      </c>
      <c r="B4516" t="s">
        <v>1239</v>
      </c>
      <c r="E4516" t="str">
        <f>IF(OR(E4515="&lt;/routeDistribution&gt;",E4515=""),"",IFERROR(_xlfn.CONCAT(VLOOKUP(BO41,Route_Column!#REF!,2,FALSE),CHAR(34)," probability=",CHAR(34),1/BO$4,CHAR(34),CHAR(47),CHAR(62)),"&lt;/routeDistribution&gt;"))</f>
        <v/>
      </c>
    </row>
    <row r="4517" spans="1:5" x14ac:dyDescent="0.25">
      <c r="A4517" t="s">
        <v>2297</v>
      </c>
      <c r="B4517" t="s">
        <v>1240</v>
      </c>
      <c r="E4517" t="str">
        <f>IF(OR(E4516="&lt;/routeDistribution&gt;",E4516=""),"",IFERROR(_xlfn.CONCAT(VLOOKUP(BO42,Route_Column!#REF!,2,FALSE),CHAR(34)," probability=",CHAR(34),1/BO$4,CHAR(34),CHAR(47),CHAR(62)),"&lt;/routeDistribution&gt;"))</f>
        <v/>
      </c>
    </row>
    <row r="4518" spans="1:5" x14ac:dyDescent="0.25">
      <c r="A4518" t="s">
        <v>2297</v>
      </c>
      <c r="B4518" t="s">
        <v>1241</v>
      </c>
      <c r="E4518" t="str">
        <f>IF(OR(E4517="&lt;/routeDistribution&gt;",E4517=""),"",IFERROR(_xlfn.CONCAT(VLOOKUP(BO43,Route_Column!#REF!,2,FALSE),CHAR(34)," probability=",CHAR(34),1/BO$4,CHAR(34),CHAR(47),CHAR(62)),"&lt;/routeDistribution&gt;"))</f>
        <v/>
      </c>
    </row>
    <row r="4519" spans="1:5" x14ac:dyDescent="0.25">
      <c r="A4519" t="s">
        <v>2297</v>
      </c>
      <c r="B4519" t="s">
        <v>1242</v>
      </c>
      <c r="E4519" t="str">
        <f>IF(OR(E4518="&lt;/routeDistribution&gt;",E4518=""),"",IFERROR(_xlfn.CONCAT(VLOOKUP(BO44,Route_Column!#REF!,2,FALSE),CHAR(34)," probability=",CHAR(34),1/BO$4,CHAR(34),CHAR(47),CHAR(62)),"&lt;/routeDistribution&gt;"))</f>
        <v/>
      </c>
    </row>
    <row r="4520" spans="1:5" x14ac:dyDescent="0.25">
      <c r="A4520" t="s">
        <v>2297</v>
      </c>
      <c r="B4520" t="s">
        <v>1243</v>
      </c>
      <c r="E4520" t="str">
        <f>IF(OR(E4519="&lt;/routeDistribution&gt;",E4519=""),"",IFERROR(_xlfn.CONCAT(VLOOKUP(BO45,Route_Column!#REF!,2,FALSE),CHAR(34)," probability=",CHAR(34),1/BO$4,CHAR(34),CHAR(47),CHAR(62)),"&lt;/routeDistribution&gt;"))</f>
        <v/>
      </c>
    </row>
    <row r="4521" spans="1:5" x14ac:dyDescent="0.25">
      <c r="A4521" t="s">
        <v>2297</v>
      </c>
      <c r="B4521" t="s">
        <v>1244</v>
      </c>
      <c r="E4521" t="str">
        <f>IF(OR(E4520="&lt;/routeDistribution&gt;",E4520=""),"",IFERROR(_xlfn.CONCAT(VLOOKUP(BO46,Route_Column!#REF!,2,FALSE),CHAR(34)," probability=",CHAR(34),1/BO$4,CHAR(34),CHAR(47),CHAR(62)),"&lt;/routeDistribution&gt;"))</f>
        <v/>
      </c>
    </row>
    <row r="4522" spans="1:5" x14ac:dyDescent="0.25">
      <c r="A4522" t="s">
        <v>2297</v>
      </c>
      <c r="B4522" t="s">
        <v>1245</v>
      </c>
      <c r="E4522" t="str">
        <f>IF(OR(E4521="&lt;/routeDistribution&gt;",E4521=""),"",IFERROR(_xlfn.CONCAT(VLOOKUP(BO47,Route_Column!#REF!,2,FALSE),CHAR(34)," probability=",CHAR(34),1/BO$4,CHAR(34),CHAR(47),CHAR(62)),"&lt;/routeDistribution&gt;"))</f>
        <v/>
      </c>
    </row>
    <row r="4523" spans="1:5" x14ac:dyDescent="0.25">
      <c r="A4523" t="s">
        <v>2297</v>
      </c>
      <c r="B4523" t="s">
        <v>1246</v>
      </c>
      <c r="E4523" t="str">
        <f>IF(OR(E4522="&lt;/routeDistribution&gt;",E4522=""),"",IFERROR(_xlfn.CONCAT(VLOOKUP(BO48,Route_Column!#REF!,2,FALSE),CHAR(34)," probability=",CHAR(34),1/BO$4,CHAR(34),CHAR(47),CHAR(62)),"&lt;/routeDistribution&gt;"))</f>
        <v/>
      </c>
    </row>
    <row r="4524" spans="1:5" x14ac:dyDescent="0.25">
      <c r="A4524" t="s">
        <v>2297</v>
      </c>
      <c r="B4524" t="s">
        <v>1247</v>
      </c>
      <c r="E4524" t="str">
        <f>IF(OR(E4523="&lt;/routeDistribution&gt;",E4523=""),"",IFERROR(_xlfn.CONCAT(VLOOKUP(BO49,Route_Column!#REF!,2,FALSE),CHAR(34)," probability=",CHAR(34),1/BO$4,CHAR(34),CHAR(47),CHAR(62)),"&lt;/routeDistribution&gt;"))</f>
        <v/>
      </c>
    </row>
    <row r="4525" spans="1:5" x14ac:dyDescent="0.25">
      <c r="A4525" t="s">
        <v>2297</v>
      </c>
      <c r="B4525" t="s">
        <v>1248</v>
      </c>
      <c r="E4525" t="str">
        <f>IF(OR(E4524="&lt;/routeDistribution&gt;",E4524=""),"",IFERROR(_xlfn.CONCAT(VLOOKUP(BO50,Route_Column!#REF!,2,FALSE),CHAR(34)," probability=",CHAR(34),1/BO$4,CHAR(34),CHAR(47),CHAR(62)),"&lt;/routeDistribution&gt;"))</f>
        <v/>
      </c>
    </row>
    <row r="4526" spans="1:5" x14ac:dyDescent="0.25">
      <c r="A4526" t="s">
        <v>2297</v>
      </c>
      <c r="B4526" t="s">
        <v>1249</v>
      </c>
      <c r="E4526" t="str">
        <f>IF(OR(E4525="&lt;/routeDistribution&gt;",E4525=""),"",IFERROR(_xlfn.CONCAT(VLOOKUP(BO51,Route_Column!#REF!,2,FALSE),CHAR(34)," probability=",CHAR(34),1/BO$4,CHAR(34),CHAR(47),CHAR(62)),"&lt;/routeDistribution&gt;"))</f>
        <v/>
      </c>
    </row>
    <row r="4527" spans="1:5" x14ac:dyDescent="0.25">
      <c r="A4527" t="s">
        <v>2298</v>
      </c>
      <c r="B4527" t="s">
        <v>1209</v>
      </c>
      <c r="E4527" t="str">
        <f>IF(OR(E4526="&lt;/routeDistribution&gt;",E4526=""),"",IFERROR(_xlfn.CONCAT(VLOOKUP(BO52,Route_Column!#REF!,2,FALSE),CHAR(34)," probability=",CHAR(34),1/BO$4,CHAR(34),CHAR(47),CHAR(62)),"&lt;/routeDistribution&gt;"))</f>
        <v/>
      </c>
    </row>
    <row r="4528" spans="1:5" x14ac:dyDescent="0.25">
      <c r="A4528" t="s">
        <v>2298</v>
      </c>
      <c r="B4528" t="s">
        <v>1210</v>
      </c>
      <c r="E4528" t="str">
        <f>IF(OR(E4527="&lt;/routeDistribution&gt;",E4527=""),"",IFERROR(_xlfn.CONCAT(VLOOKUP(BO53,Route_Column!#REF!,2,FALSE),CHAR(34)," probability=",CHAR(34),1/BO$4,CHAR(34),CHAR(47),CHAR(62)),"&lt;/routeDistribution&gt;"))</f>
        <v/>
      </c>
    </row>
    <row r="4529" spans="1:5" x14ac:dyDescent="0.25">
      <c r="A4529" t="s">
        <v>2299</v>
      </c>
      <c r="B4529" t="s">
        <v>1209</v>
      </c>
      <c r="E4529" t="str">
        <f>IF(OR(E4528="&lt;/routeDistribution&gt;",E4528=""),"",IFERROR(_xlfn.CONCAT(VLOOKUP(BO54,Route_Column!#REF!,2,FALSE),CHAR(34)," probability=",CHAR(34),1/BO$4,CHAR(34),CHAR(47),CHAR(62)),"&lt;/routeDistribution&gt;"))</f>
        <v/>
      </c>
    </row>
    <row r="4530" spans="1:5" x14ac:dyDescent="0.25">
      <c r="A4530" t="s">
        <v>2299</v>
      </c>
      <c r="B4530" t="s">
        <v>1210</v>
      </c>
      <c r="E4530" t="str">
        <f>IF(OR(E4529="&lt;/routeDistribution&gt;",E4529=""),"",IFERROR(_xlfn.CONCAT(VLOOKUP(BO55,Route_Column!#REF!,2,FALSE),CHAR(34)," probability=",CHAR(34),1/BO$4,CHAR(34),CHAR(47),CHAR(62)),"&lt;/routeDistribution&gt;"))</f>
        <v/>
      </c>
    </row>
    <row r="4531" spans="1:5" x14ac:dyDescent="0.25">
      <c r="A4531" t="s">
        <v>2299</v>
      </c>
      <c r="B4531" t="s">
        <v>1223</v>
      </c>
      <c r="E4531" t="str">
        <f>IF(OR(E4530="&lt;/routeDistribution&gt;",E4530=""),"",IFERROR(_xlfn.CONCAT(VLOOKUP(BO56,Route_Column!#REF!,2,FALSE),CHAR(34)," probability=",CHAR(34),1/BO$4,CHAR(34),CHAR(47),CHAR(62)),"&lt;/routeDistribution&gt;"))</f>
        <v/>
      </c>
    </row>
    <row r="4532" spans="1:5" x14ac:dyDescent="0.25">
      <c r="A4532" t="s">
        <v>2300</v>
      </c>
      <c r="B4532" t="s">
        <v>1209</v>
      </c>
      <c r="E4532" t="str">
        <f>IF(OR(E4531="&lt;/routeDistribution&gt;",E4531=""),"",IFERROR(_xlfn.CONCAT(VLOOKUP(BO57,Route_Column!#REF!,2,FALSE),CHAR(34)," probability=",CHAR(34),1/BO$4,CHAR(34),CHAR(47),CHAR(62)),"&lt;/routeDistribution&gt;"))</f>
        <v/>
      </c>
    </row>
    <row r="4533" spans="1:5" x14ac:dyDescent="0.25">
      <c r="A4533" t="s">
        <v>2300</v>
      </c>
      <c r="B4533" t="s">
        <v>1210</v>
      </c>
      <c r="E4533" t="str">
        <f>IF(OR(E4532="&lt;/routeDistribution&gt;",E4532=""),"",IFERROR(_xlfn.CONCAT(VLOOKUP(BO58,Route_Column!#REF!,2,FALSE),CHAR(34)," probability=",CHAR(34),1/BO$4,CHAR(34),CHAR(47),CHAR(62)),"&lt;/routeDistribution&gt;"))</f>
        <v/>
      </c>
    </row>
    <row r="4534" spans="1:5" x14ac:dyDescent="0.25">
      <c r="A4534" t="s">
        <v>2300</v>
      </c>
      <c r="B4534" t="s">
        <v>1223</v>
      </c>
      <c r="E4534" t="str">
        <f>IF(OR(E4533="&lt;/routeDistribution&gt;",E4533=""),"",IFERROR(_xlfn.CONCAT(VLOOKUP(BO59,Route_Column!#REF!,2,FALSE),CHAR(34)," probability=",CHAR(34),1/BO$4,CHAR(34),CHAR(47),CHAR(62)),"&lt;/routeDistribution&gt;"))</f>
        <v/>
      </c>
    </row>
    <row r="4535" spans="1:5" x14ac:dyDescent="0.25">
      <c r="A4535" t="s">
        <v>2301</v>
      </c>
      <c r="B4535" t="s">
        <v>1209</v>
      </c>
      <c r="E4535" t="str">
        <f>IF(OR(E4534="&lt;/routeDistribution&gt;",E4534=""),"",IFERROR(_xlfn.CONCAT(VLOOKUP(BO60,Route_Column!#REF!,2,FALSE),CHAR(34)," probability=",CHAR(34),1/BO$4,CHAR(34),CHAR(47),CHAR(62)),"&lt;/routeDistribution&gt;"))</f>
        <v/>
      </c>
    </row>
    <row r="4536" spans="1:5" x14ac:dyDescent="0.25">
      <c r="A4536" t="s">
        <v>2301</v>
      </c>
      <c r="B4536" t="s">
        <v>1210</v>
      </c>
      <c r="E4536" t="str">
        <f>IF(OR(E4535="&lt;/routeDistribution&gt;",E4535=""),"",IFERROR(_xlfn.CONCAT(VLOOKUP(BO61,Route_Column!#REF!,2,FALSE),CHAR(34)," probability=",CHAR(34),1/BO$4,CHAR(34),CHAR(47),CHAR(62)),"&lt;/routeDistribution&gt;"))</f>
        <v/>
      </c>
    </row>
    <row r="4537" spans="1:5" x14ac:dyDescent="0.25">
      <c r="A4537" t="s">
        <v>2301</v>
      </c>
      <c r="B4537" t="s">
        <v>1223</v>
      </c>
      <c r="E4537" t="str">
        <f>IF(OR(E4536="&lt;/routeDistribution&gt;",E4536=""),"",IFERROR(_xlfn.CONCAT(VLOOKUP(BO62,Route_Column!#REF!,2,FALSE),CHAR(34)," probability=",CHAR(34),1/BO$4,CHAR(34),CHAR(47),CHAR(62)),"&lt;/routeDistribution&gt;"))</f>
        <v/>
      </c>
    </row>
    <row r="4538" spans="1:5" x14ac:dyDescent="0.25">
      <c r="A4538" t="s">
        <v>2302</v>
      </c>
      <c r="B4538" t="s">
        <v>1209</v>
      </c>
      <c r="E4538" t="str">
        <f>IF(OR(E4537="&lt;/routeDistribution&gt;",E4537=""),"",IFERROR(_xlfn.CONCAT(VLOOKUP(BO63,Route_Column!#REF!,2,FALSE),CHAR(34)," probability=",CHAR(34),1/BO$4,CHAR(34),CHAR(47),CHAR(62)),"&lt;/routeDistribution&gt;"))</f>
        <v/>
      </c>
    </row>
    <row r="4539" spans="1:5" x14ac:dyDescent="0.25">
      <c r="A4539" t="s">
        <v>2302</v>
      </c>
      <c r="B4539" t="s">
        <v>1210</v>
      </c>
      <c r="E4539" t="s">
        <v>2686</v>
      </c>
    </row>
    <row r="4540" spans="1:5" x14ac:dyDescent="0.25">
      <c r="A4540" t="s">
        <v>2302</v>
      </c>
      <c r="B4540" t="s">
        <v>1215</v>
      </c>
    </row>
    <row r="4541" spans="1:5" x14ac:dyDescent="0.25">
      <c r="A4541" t="s">
        <v>1728</v>
      </c>
      <c r="B4541" t="s">
        <v>1102</v>
      </c>
    </row>
    <row r="4542" spans="1:5" x14ac:dyDescent="0.25">
      <c r="A4542" t="s">
        <v>1728</v>
      </c>
      <c r="B4542" t="s">
        <v>1109</v>
      </c>
      <c r="E4542" t="str">
        <f>_xlfn.CONCAT($E$1,BN$2,$F$1)</f>
        <v>&lt;routeDistribution id="34th-Walnut-to-Spruce-SB-2011-RouteProbe"&gt;</v>
      </c>
    </row>
    <row r="4543" spans="1:5" x14ac:dyDescent="0.25">
      <c r="A4543" t="s">
        <v>1728</v>
      </c>
      <c r="B4543" t="s">
        <v>1110</v>
      </c>
      <c r="E4543" t="str">
        <f>IF(OR(E4542="&lt;/routeDistribution&gt;",E4542=""),"",IFERROR(_xlfn.CONCAT(VLOOKUP(BN5,Route_Column!#REF!,2,FALSE),CHAR(34)," probability=",CHAR(34),1/BN$4,CHAR(34),CHAR(47),CHAR(62)),"&lt;/routeDistribution&gt;"))</f>
        <v>&lt;/routeDistribution&gt;</v>
      </c>
    </row>
    <row r="4544" spans="1:5" x14ac:dyDescent="0.25">
      <c r="A4544" t="s">
        <v>1728</v>
      </c>
      <c r="B4544" t="s">
        <v>1122</v>
      </c>
      <c r="E4544" t="str">
        <f>IF(OR(E4543="&lt;/routeDistribution&gt;",E4543=""),"",IFERROR(_xlfn.CONCAT(VLOOKUP(BN6,Route_Column!#REF!,2,FALSE),CHAR(34)," probability=",CHAR(34),1/BN$4,CHAR(34),CHAR(47),CHAR(62)),"&lt;/routeDistribution&gt;"))</f>
        <v/>
      </c>
    </row>
    <row r="4545" spans="1:5" x14ac:dyDescent="0.25">
      <c r="A4545" t="s">
        <v>1728</v>
      </c>
      <c r="B4545" t="s">
        <v>1209</v>
      </c>
      <c r="E4545" t="str">
        <f>IF(OR(E4544="&lt;/routeDistribution&gt;",E4544=""),"",IFERROR(_xlfn.CONCAT(VLOOKUP(BN7,Route_Column!#REF!,2,FALSE),CHAR(34)," probability=",CHAR(34),1/BN$4,CHAR(34),CHAR(47),CHAR(62)),"&lt;/routeDistribution&gt;"))</f>
        <v/>
      </c>
    </row>
    <row r="4546" spans="1:5" x14ac:dyDescent="0.25">
      <c r="A4546" t="s">
        <v>1728</v>
      </c>
      <c r="B4546" t="s">
        <v>1210</v>
      </c>
      <c r="E4546" t="str">
        <f>IF(OR(E4545="&lt;/routeDistribution&gt;",E4545=""),"",IFERROR(_xlfn.CONCAT(VLOOKUP(BN8,Route_Column!#REF!,2,FALSE),CHAR(34)," probability=",CHAR(34),1/BN$4,CHAR(34),CHAR(47),CHAR(62)),"&lt;/routeDistribution&gt;"))</f>
        <v/>
      </c>
    </row>
    <row r="4547" spans="1:5" x14ac:dyDescent="0.25">
      <c r="A4547" t="s">
        <v>1728</v>
      </c>
      <c r="B4547" t="s">
        <v>1215</v>
      </c>
      <c r="E4547" t="str">
        <f>IF(OR(E4546="&lt;/routeDistribution&gt;",E4546=""),"",IFERROR(_xlfn.CONCAT(VLOOKUP(BN9,Route_Column!#REF!,2,FALSE),CHAR(34)," probability=",CHAR(34),1/BN$4,CHAR(34),CHAR(47),CHAR(62)),"&lt;/routeDistribution&gt;"))</f>
        <v/>
      </c>
    </row>
    <row r="4548" spans="1:5" x14ac:dyDescent="0.25">
      <c r="A4548" t="s">
        <v>2235</v>
      </c>
      <c r="B4548" t="s">
        <v>1171</v>
      </c>
      <c r="E4548" t="str">
        <f>IF(OR(E4547="&lt;/routeDistribution&gt;",E4547=""),"",IFERROR(_xlfn.CONCAT(VLOOKUP(BN10,Route_Column!#REF!,2,FALSE),CHAR(34)," probability=",CHAR(34),1/BN$4,CHAR(34),CHAR(47),CHAR(62)),"&lt;/routeDistribution&gt;"))</f>
        <v/>
      </c>
    </row>
    <row r="4549" spans="1:5" x14ac:dyDescent="0.25">
      <c r="A4549" t="s">
        <v>2235</v>
      </c>
      <c r="B4549" t="s">
        <v>1182</v>
      </c>
      <c r="E4549" t="str">
        <f>IF(OR(E4548="&lt;/routeDistribution&gt;",E4548=""),"",IFERROR(_xlfn.CONCAT(VLOOKUP(BN11,Route_Column!#REF!,2,FALSE),CHAR(34)," probability=",CHAR(34),1/BN$4,CHAR(34),CHAR(47),CHAR(62)),"&lt;/routeDistribution&gt;"))</f>
        <v/>
      </c>
    </row>
    <row r="4550" spans="1:5" x14ac:dyDescent="0.25">
      <c r="A4550" t="s">
        <v>1635</v>
      </c>
      <c r="B4550" t="s">
        <v>1098</v>
      </c>
      <c r="E4550" t="str">
        <f>IF(OR(E4549="&lt;/routeDistribution&gt;",E4549=""),"",IFERROR(_xlfn.CONCAT(VLOOKUP(BN12,Route_Column!#REF!,2,FALSE),CHAR(34)," probability=",CHAR(34),1/BN$4,CHAR(34),CHAR(47),CHAR(62)),"&lt;/routeDistribution&gt;"))</f>
        <v/>
      </c>
    </row>
    <row r="4551" spans="1:5" x14ac:dyDescent="0.25">
      <c r="A4551" t="s">
        <v>1635</v>
      </c>
      <c r="B4551" t="s">
        <v>1185</v>
      </c>
      <c r="E4551" t="str">
        <f>IF(OR(E4550="&lt;/routeDistribution&gt;",E4550=""),"",IFERROR(_xlfn.CONCAT(VLOOKUP(BN13,Route_Column!#REF!,2,FALSE),CHAR(34)," probability=",CHAR(34),1/BN$4,CHAR(34),CHAR(47),CHAR(62)),"&lt;/routeDistribution&gt;"))</f>
        <v/>
      </c>
    </row>
    <row r="4552" spans="1:5" x14ac:dyDescent="0.25">
      <c r="A4552" t="s">
        <v>1635</v>
      </c>
      <c r="B4552" t="s">
        <v>1197</v>
      </c>
      <c r="E4552" t="str">
        <f>IF(OR(E4551="&lt;/routeDistribution&gt;",E4551=""),"",IFERROR(_xlfn.CONCAT(VLOOKUP(BN14,Route_Column!#REF!,2,FALSE),CHAR(34)," probability=",CHAR(34),1/BN$4,CHAR(34),CHAR(47),CHAR(62)),"&lt;/routeDistribution&gt;"))</f>
        <v/>
      </c>
    </row>
    <row r="4553" spans="1:5" x14ac:dyDescent="0.25">
      <c r="A4553" t="s">
        <v>2234</v>
      </c>
      <c r="B4553" t="s">
        <v>1171</v>
      </c>
      <c r="E4553" t="str">
        <f>IF(OR(E4552="&lt;/routeDistribution&gt;",E4552=""),"",IFERROR(_xlfn.CONCAT(VLOOKUP(BN15,Route_Column!#REF!,2,FALSE),CHAR(34)," probability=",CHAR(34),1/BN$4,CHAR(34),CHAR(47),CHAR(62)),"&lt;/routeDistribution&gt;"))</f>
        <v/>
      </c>
    </row>
    <row r="4554" spans="1:5" x14ac:dyDescent="0.25">
      <c r="A4554" t="s">
        <v>2234</v>
      </c>
      <c r="B4554" t="s">
        <v>1182</v>
      </c>
      <c r="E4554" t="str">
        <f>IF(OR(E4553="&lt;/routeDistribution&gt;",E4553=""),"",IFERROR(_xlfn.CONCAT(VLOOKUP(BN16,Route_Column!#REF!,2,FALSE),CHAR(34)," probability=",CHAR(34),1/BN$4,CHAR(34),CHAR(47),CHAR(62)),"&lt;/routeDistribution&gt;"))</f>
        <v/>
      </c>
    </row>
    <row r="4555" spans="1:5" x14ac:dyDescent="0.25">
      <c r="A4555" t="s">
        <v>2044</v>
      </c>
      <c r="B4555" t="s">
        <v>1134</v>
      </c>
      <c r="E4555" t="str">
        <f>IF(OR(E4554="&lt;/routeDistribution&gt;",E4554=""),"",IFERROR(_xlfn.CONCAT(VLOOKUP(BN17,Route_Column!#REF!,2,FALSE),CHAR(34)," probability=",CHAR(34),1/BN$4,CHAR(34),CHAR(47),CHAR(62)),"&lt;/routeDistribution&gt;"))</f>
        <v/>
      </c>
    </row>
    <row r="4556" spans="1:5" x14ac:dyDescent="0.25">
      <c r="A4556" t="s">
        <v>2044</v>
      </c>
      <c r="B4556" t="s">
        <v>1146</v>
      </c>
      <c r="E4556" t="str">
        <f>IF(OR(E4555="&lt;/routeDistribution&gt;",E4555=""),"",IFERROR(_xlfn.CONCAT(VLOOKUP(BN18,Route_Column!#REF!,2,FALSE),CHAR(34)," probability=",CHAR(34),1/BN$4,CHAR(34),CHAR(47),CHAR(62)),"&lt;/routeDistribution&gt;"))</f>
        <v/>
      </c>
    </row>
    <row r="4557" spans="1:5" x14ac:dyDescent="0.25">
      <c r="A4557" t="s">
        <v>2044</v>
      </c>
      <c r="B4557" t="s">
        <v>1147</v>
      </c>
      <c r="E4557" t="str">
        <f>IF(OR(E4556="&lt;/routeDistribution&gt;",E4556=""),"",IFERROR(_xlfn.CONCAT(VLOOKUP(BN19,Route_Column!#REF!,2,FALSE),CHAR(34)," probability=",CHAR(34),1/BN$4,CHAR(34),CHAR(47),CHAR(62)),"&lt;/routeDistribution&gt;"))</f>
        <v/>
      </c>
    </row>
    <row r="4558" spans="1:5" x14ac:dyDescent="0.25">
      <c r="A4558" t="s">
        <v>2044</v>
      </c>
      <c r="B4558" t="s">
        <v>1152</v>
      </c>
      <c r="E4558" t="str">
        <f>IF(OR(E4557="&lt;/routeDistribution&gt;",E4557=""),"",IFERROR(_xlfn.CONCAT(VLOOKUP(BN20,Route_Column!#REF!,2,FALSE),CHAR(34)," probability=",CHAR(34),1/BN$4,CHAR(34),CHAR(47),CHAR(62)),"&lt;/routeDistribution&gt;"))</f>
        <v/>
      </c>
    </row>
    <row r="4559" spans="1:5" x14ac:dyDescent="0.25">
      <c r="A4559" t="s">
        <v>2044</v>
      </c>
      <c r="B4559" t="s">
        <v>1153</v>
      </c>
      <c r="E4559" t="str">
        <f>IF(OR(E4558="&lt;/routeDistribution&gt;",E4558=""),"",IFERROR(_xlfn.CONCAT(VLOOKUP(BN21,Route_Column!#REF!,2,FALSE),CHAR(34)," probability=",CHAR(34),1/BN$4,CHAR(34),CHAR(47),CHAR(62)),"&lt;/routeDistribution&gt;"))</f>
        <v/>
      </c>
    </row>
    <row r="4560" spans="1:5" x14ac:dyDescent="0.25">
      <c r="A4560" t="s">
        <v>1984</v>
      </c>
      <c r="B4560" t="s">
        <v>1128</v>
      </c>
      <c r="E4560" t="str">
        <f>IF(OR(E4559="&lt;/routeDistribution&gt;",E4559=""),"",IFERROR(_xlfn.CONCAT(VLOOKUP(BN22,Route_Column!#REF!,2,FALSE),CHAR(34)," probability=",CHAR(34),1/BN$4,CHAR(34),CHAR(47),CHAR(62)),"&lt;/routeDistribution&gt;"))</f>
        <v/>
      </c>
    </row>
    <row r="4561" spans="1:5" x14ac:dyDescent="0.25">
      <c r="A4561" t="s">
        <v>1984</v>
      </c>
      <c r="B4561" t="s">
        <v>1129</v>
      </c>
      <c r="E4561" t="str">
        <f>IF(OR(E4560="&lt;/routeDistribution&gt;",E4560=""),"",IFERROR(_xlfn.CONCAT(VLOOKUP(BN23,Route_Column!#REF!,2,FALSE),CHAR(34)," probability=",CHAR(34),1/BN$4,CHAR(34),CHAR(47),CHAR(62)),"&lt;/routeDistribution&gt;"))</f>
        <v/>
      </c>
    </row>
    <row r="4562" spans="1:5" x14ac:dyDescent="0.25">
      <c r="A4562" t="s">
        <v>1984</v>
      </c>
      <c r="B4562" t="s">
        <v>1134</v>
      </c>
      <c r="E4562" t="str">
        <f>IF(OR(E4561="&lt;/routeDistribution&gt;",E4561=""),"",IFERROR(_xlfn.CONCAT(VLOOKUP(BN24,Route_Column!#REF!,2,FALSE),CHAR(34)," probability=",CHAR(34),1/BN$4,CHAR(34),CHAR(47),CHAR(62)),"&lt;/routeDistribution&gt;"))</f>
        <v/>
      </c>
    </row>
    <row r="4563" spans="1:5" x14ac:dyDescent="0.25">
      <c r="A4563" t="s">
        <v>1984</v>
      </c>
      <c r="B4563" t="s">
        <v>1135</v>
      </c>
      <c r="E4563" t="str">
        <f>IF(OR(E4562="&lt;/routeDistribution&gt;",E4562=""),"",IFERROR(_xlfn.CONCAT(VLOOKUP(BN25,Route_Column!#REF!,2,FALSE),CHAR(34)," probability=",CHAR(34),1/BN$4,CHAR(34),CHAR(47),CHAR(62)),"&lt;/routeDistribution&gt;"))</f>
        <v/>
      </c>
    </row>
    <row r="4564" spans="1:5" x14ac:dyDescent="0.25">
      <c r="A4564" t="s">
        <v>1984</v>
      </c>
      <c r="B4564" t="s">
        <v>1136</v>
      </c>
      <c r="E4564" t="str">
        <f>IF(OR(E4563="&lt;/routeDistribution&gt;",E4563=""),"",IFERROR(_xlfn.CONCAT(VLOOKUP(BN26,Route_Column!#REF!,2,FALSE),CHAR(34)," probability=",CHAR(34),1/BN$4,CHAR(34),CHAR(47),CHAR(62)),"&lt;/routeDistribution&gt;"))</f>
        <v/>
      </c>
    </row>
    <row r="4565" spans="1:5" x14ac:dyDescent="0.25">
      <c r="A4565" t="s">
        <v>1984</v>
      </c>
      <c r="B4565" t="s">
        <v>1137</v>
      </c>
      <c r="E4565" t="str">
        <f>IF(OR(E4564="&lt;/routeDistribution&gt;",E4564=""),"",IFERROR(_xlfn.CONCAT(VLOOKUP(BN27,Route_Column!#REF!,2,FALSE),CHAR(34)," probability=",CHAR(34),1/BN$4,CHAR(34),CHAR(47),CHAR(62)),"&lt;/routeDistribution&gt;"))</f>
        <v/>
      </c>
    </row>
    <row r="4566" spans="1:5" x14ac:dyDescent="0.25">
      <c r="A4566" t="s">
        <v>1984</v>
      </c>
      <c r="B4566" t="s">
        <v>1138</v>
      </c>
      <c r="E4566" t="str">
        <f>IF(OR(E4565="&lt;/routeDistribution&gt;",E4565=""),"",IFERROR(_xlfn.CONCAT(VLOOKUP(BN28,Route_Column!#REF!,2,FALSE),CHAR(34)," probability=",CHAR(34),1/BN$4,CHAR(34),CHAR(47),CHAR(62)),"&lt;/routeDistribution&gt;"))</f>
        <v/>
      </c>
    </row>
    <row r="4567" spans="1:5" x14ac:dyDescent="0.25">
      <c r="A4567" t="s">
        <v>1984</v>
      </c>
      <c r="B4567" t="s">
        <v>1143</v>
      </c>
      <c r="E4567" t="str">
        <f>IF(OR(E4566="&lt;/routeDistribution&gt;",E4566=""),"",IFERROR(_xlfn.CONCAT(VLOOKUP(BN29,Route_Column!#REF!,2,FALSE),CHAR(34)," probability=",CHAR(34),1/BN$4,CHAR(34),CHAR(47),CHAR(62)),"&lt;/routeDistribution&gt;"))</f>
        <v/>
      </c>
    </row>
    <row r="4568" spans="1:5" x14ac:dyDescent="0.25">
      <c r="A4568" t="s">
        <v>1984</v>
      </c>
      <c r="B4568" t="s">
        <v>1144</v>
      </c>
      <c r="E4568" t="str">
        <f>IF(OR(E4567="&lt;/routeDistribution&gt;",E4567=""),"",IFERROR(_xlfn.CONCAT(VLOOKUP(BN30,Route_Column!#REF!,2,FALSE),CHAR(34)," probability=",CHAR(34),1/BN$4,CHAR(34),CHAR(47),CHAR(62)),"&lt;/routeDistribution&gt;"))</f>
        <v/>
      </c>
    </row>
    <row r="4569" spans="1:5" x14ac:dyDescent="0.25">
      <c r="A4569" t="s">
        <v>1984</v>
      </c>
      <c r="B4569" t="s">
        <v>1145</v>
      </c>
      <c r="E4569" t="str">
        <f>IF(OR(E4568="&lt;/routeDistribution&gt;",E4568=""),"",IFERROR(_xlfn.CONCAT(VLOOKUP(BN31,Route_Column!#REF!,2,FALSE),CHAR(34)," probability=",CHAR(34),1/BN$4,CHAR(34),CHAR(47),CHAR(62)),"&lt;/routeDistribution&gt;"))</f>
        <v/>
      </c>
    </row>
    <row r="4570" spans="1:5" x14ac:dyDescent="0.25">
      <c r="A4570" t="s">
        <v>1984</v>
      </c>
      <c r="B4570" t="s">
        <v>1146</v>
      </c>
      <c r="E4570" t="str">
        <f>IF(OR(E4569="&lt;/routeDistribution&gt;",E4569=""),"",IFERROR(_xlfn.CONCAT(VLOOKUP(BN32,Route_Column!#REF!,2,FALSE),CHAR(34)," probability=",CHAR(34),1/BN$4,CHAR(34),CHAR(47),CHAR(62)),"&lt;/routeDistribution&gt;"))</f>
        <v/>
      </c>
    </row>
    <row r="4571" spans="1:5" x14ac:dyDescent="0.25">
      <c r="A4571" t="s">
        <v>1984</v>
      </c>
      <c r="B4571" t="s">
        <v>1147</v>
      </c>
      <c r="E4571" t="str">
        <f>IF(OR(E4570="&lt;/routeDistribution&gt;",E4570=""),"",IFERROR(_xlfn.CONCAT(VLOOKUP(BN33,Route_Column!#REF!,2,FALSE),CHAR(34)," probability=",CHAR(34),1/BN$4,CHAR(34),CHAR(47),CHAR(62)),"&lt;/routeDistribution&gt;"))</f>
        <v/>
      </c>
    </row>
    <row r="4572" spans="1:5" x14ac:dyDescent="0.25">
      <c r="A4572" t="s">
        <v>1984</v>
      </c>
      <c r="B4572" t="s">
        <v>1152</v>
      </c>
      <c r="E4572" t="str">
        <f>IF(OR(E4571="&lt;/routeDistribution&gt;",E4571=""),"",IFERROR(_xlfn.CONCAT(VLOOKUP(BN34,Route_Column!#REF!,2,FALSE),CHAR(34)," probability=",CHAR(34),1/BN$4,CHAR(34),CHAR(47),CHAR(62)),"&lt;/routeDistribution&gt;"))</f>
        <v/>
      </c>
    </row>
    <row r="4573" spans="1:5" x14ac:dyDescent="0.25">
      <c r="A4573" t="s">
        <v>1984</v>
      </c>
      <c r="B4573" t="s">
        <v>1153</v>
      </c>
      <c r="E4573" t="str">
        <f>IF(OR(E4572="&lt;/routeDistribution&gt;",E4572=""),"",IFERROR(_xlfn.CONCAT(VLOOKUP(BN35,Route_Column!#REF!,2,FALSE),CHAR(34)," probability=",CHAR(34),1/BN$4,CHAR(34),CHAR(47),CHAR(62)),"&lt;/routeDistribution&gt;"))</f>
        <v/>
      </c>
    </row>
    <row r="4574" spans="1:5" x14ac:dyDescent="0.25">
      <c r="A4574" t="s">
        <v>1985</v>
      </c>
      <c r="B4574" t="s">
        <v>1128</v>
      </c>
      <c r="E4574" t="str">
        <f>IF(OR(E4573="&lt;/routeDistribution&gt;",E4573=""),"",IFERROR(_xlfn.CONCAT(VLOOKUP(BN36,Route_Column!#REF!,2,FALSE),CHAR(34)," probability=",CHAR(34),1/BN$4,CHAR(34),CHAR(47),CHAR(62)),"&lt;/routeDistribution&gt;"))</f>
        <v/>
      </c>
    </row>
    <row r="4575" spans="1:5" x14ac:dyDescent="0.25">
      <c r="A4575" t="s">
        <v>1985</v>
      </c>
      <c r="B4575" t="s">
        <v>1129</v>
      </c>
      <c r="E4575" t="str">
        <f>IF(OR(E4574="&lt;/routeDistribution&gt;",E4574=""),"",IFERROR(_xlfn.CONCAT(VLOOKUP(BN37,Route_Column!#REF!,2,FALSE),CHAR(34)," probability=",CHAR(34),1/BN$4,CHAR(34),CHAR(47),CHAR(62)),"&lt;/routeDistribution&gt;"))</f>
        <v/>
      </c>
    </row>
    <row r="4576" spans="1:5" x14ac:dyDescent="0.25">
      <c r="A4576" t="s">
        <v>1985</v>
      </c>
      <c r="B4576" t="s">
        <v>1134</v>
      </c>
      <c r="E4576" t="str">
        <f>IF(OR(E4575="&lt;/routeDistribution&gt;",E4575=""),"",IFERROR(_xlfn.CONCAT(VLOOKUP(BN38,Route_Column!#REF!,2,FALSE),CHAR(34)," probability=",CHAR(34),1/BN$4,CHAR(34),CHAR(47),CHAR(62)),"&lt;/routeDistribution&gt;"))</f>
        <v/>
      </c>
    </row>
    <row r="4577" spans="1:5" x14ac:dyDescent="0.25">
      <c r="A4577" t="s">
        <v>1985</v>
      </c>
      <c r="B4577" t="s">
        <v>1135</v>
      </c>
      <c r="E4577" t="str">
        <f>IF(OR(E4576="&lt;/routeDistribution&gt;",E4576=""),"",IFERROR(_xlfn.CONCAT(VLOOKUP(BN39,Route_Column!#REF!,2,FALSE),CHAR(34)," probability=",CHAR(34),1/BN$4,CHAR(34),CHAR(47),CHAR(62)),"&lt;/routeDistribution&gt;"))</f>
        <v/>
      </c>
    </row>
    <row r="4578" spans="1:5" x14ac:dyDescent="0.25">
      <c r="A4578" t="s">
        <v>1985</v>
      </c>
      <c r="B4578" t="s">
        <v>1136</v>
      </c>
      <c r="E4578" t="str">
        <f>IF(OR(E4577="&lt;/routeDistribution&gt;",E4577=""),"",IFERROR(_xlfn.CONCAT(VLOOKUP(BN40,Route_Column!#REF!,2,FALSE),CHAR(34)," probability=",CHAR(34),1/BN$4,CHAR(34),CHAR(47),CHAR(62)),"&lt;/routeDistribution&gt;"))</f>
        <v/>
      </c>
    </row>
    <row r="4579" spans="1:5" x14ac:dyDescent="0.25">
      <c r="A4579" t="s">
        <v>1985</v>
      </c>
      <c r="B4579" t="s">
        <v>1137</v>
      </c>
      <c r="E4579" t="str">
        <f>IF(OR(E4578="&lt;/routeDistribution&gt;",E4578=""),"",IFERROR(_xlfn.CONCAT(VLOOKUP(BN41,Route_Column!#REF!,2,FALSE),CHAR(34)," probability=",CHAR(34),1/BN$4,CHAR(34),CHAR(47),CHAR(62)),"&lt;/routeDistribution&gt;"))</f>
        <v/>
      </c>
    </row>
    <row r="4580" spans="1:5" x14ac:dyDescent="0.25">
      <c r="A4580" t="s">
        <v>1985</v>
      </c>
      <c r="B4580" t="s">
        <v>1138</v>
      </c>
      <c r="E4580" t="str">
        <f>IF(OR(E4579="&lt;/routeDistribution&gt;",E4579=""),"",IFERROR(_xlfn.CONCAT(VLOOKUP(BN42,Route_Column!#REF!,2,FALSE),CHAR(34)," probability=",CHAR(34),1/BN$4,CHAR(34),CHAR(47),CHAR(62)),"&lt;/routeDistribution&gt;"))</f>
        <v/>
      </c>
    </row>
    <row r="4581" spans="1:5" x14ac:dyDescent="0.25">
      <c r="A4581" t="s">
        <v>1985</v>
      </c>
      <c r="B4581" t="s">
        <v>1143</v>
      </c>
      <c r="E4581" t="str">
        <f>IF(OR(E4580="&lt;/routeDistribution&gt;",E4580=""),"",IFERROR(_xlfn.CONCAT(VLOOKUP(BN43,Route_Column!#REF!,2,FALSE),CHAR(34)," probability=",CHAR(34),1/BN$4,CHAR(34),CHAR(47),CHAR(62)),"&lt;/routeDistribution&gt;"))</f>
        <v/>
      </c>
    </row>
    <row r="4582" spans="1:5" x14ac:dyDescent="0.25">
      <c r="A4582" t="s">
        <v>1985</v>
      </c>
      <c r="B4582" t="s">
        <v>1144</v>
      </c>
      <c r="E4582" t="str">
        <f>IF(OR(E4581="&lt;/routeDistribution&gt;",E4581=""),"",IFERROR(_xlfn.CONCAT(VLOOKUP(BN44,Route_Column!#REF!,2,FALSE),CHAR(34)," probability=",CHAR(34),1/BN$4,CHAR(34),CHAR(47),CHAR(62)),"&lt;/routeDistribution&gt;"))</f>
        <v/>
      </c>
    </row>
    <row r="4583" spans="1:5" x14ac:dyDescent="0.25">
      <c r="A4583" t="s">
        <v>1985</v>
      </c>
      <c r="B4583" t="s">
        <v>1145</v>
      </c>
      <c r="E4583" t="str">
        <f>IF(OR(E4582="&lt;/routeDistribution&gt;",E4582=""),"",IFERROR(_xlfn.CONCAT(VLOOKUP(BN45,Route_Column!#REF!,2,FALSE),CHAR(34)," probability=",CHAR(34),1/BN$4,CHAR(34),CHAR(47),CHAR(62)),"&lt;/routeDistribution&gt;"))</f>
        <v/>
      </c>
    </row>
    <row r="4584" spans="1:5" x14ac:dyDescent="0.25">
      <c r="A4584" t="s">
        <v>1985</v>
      </c>
      <c r="B4584" t="s">
        <v>1146</v>
      </c>
      <c r="E4584" t="str">
        <f>IF(OR(E4583="&lt;/routeDistribution&gt;",E4583=""),"",IFERROR(_xlfn.CONCAT(VLOOKUP(BN46,Route_Column!#REF!,2,FALSE),CHAR(34)," probability=",CHAR(34),1/BN$4,CHAR(34),CHAR(47),CHAR(62)),"&lt;/routeDistribution&gt;"))</f>
        <v/>
      </c>
    </row>
    <row r="4585" spans="1:5" x14ac:dyDescent="0.25">
      <c r="A4585" t="s">
        <v>1985</v>
      </c>
      <c r="B4585" t="s">
        <v>1147</v>
      </c>
      <c r="E4585" t="str">
        <f>IF(OR(E4584="&lt;/routeDistribution&gt;",E4584=""),"",IFERROR(_xlfn.CONCAT(VLOOKUP(BN47,Route_Column!#REF!,2,FALSE),CHAR(34)," probability=",CHAR(34),1/BN$4,CHAR(34),CHAR(47),CHAR(62)),"&lt;/routeDistribution&gt;"))</f>
        <v/>
      </c>
    </row>
    <row r="4586" spans="1:5" x14ac:dyDescent="0.25">
      <c r="A4586" t="s">
        <v>1985</v>
      </c>
      <c r="B4586" t="s">
        <v>1152</v>
      </c>
      <c r="E4586" t="str">
        <f>IF(OR(E4585="&lt;/routeDistribution&gt;",E4585=""),"",IFERROR(_xlfn.CONCAT(VLOOKUP(BN48,Route_Column!#REF!,2,FALSE),CHAR(34)," probability=",CHAR(34),1/BN$4,CHAR(34),CHAR(47),CHAR(62)),"&lt;/routeDistribution&gt;"))</f>
        <v/>
      </c>
    </row>
    <row r="4587" spans="1:5" x14ac:dyDescent="0.25">
      <c r="A4587" t="s">
        <v>1985</v>
      </c>
      <c r="B4587" t="s">
        <v>1153</v>
      </c>
      <c r="E4587" t="str">
        <f>IF(OR(E4586="&lt;/routeDistribution&gt;",E4586=""),"",IFERROR(_xlfn.CONCAT(VLOOKUP(BN49,Route_Column!#REF!,2,FALSE),CHAR(34)," probability=",CHAR(34),1/BN$4,CHAR(34),CHAR(47),CHAR(62)),"&lt;/routeDistribution&gt;"))</f>
        <v/>
      </c>
    </row>
    <row r="4588" spans="1:5" x14ac:dyDescent="0.25">
      <c r="A4588" t="s">
        <v>1586</v>
      </c>
      <c r="B4588" t="s">
        <v>1096</v>
      </c>
      <c r="E4588" t="str">
        <f>IF(OR(E4587="&lt;/routeDistribution&gt;",E4587=""),"",IFERROR(_xlfn.CONCAT(VLOOKUP(BN50,Route_Column!#REF!,2,FALSE),CHAR(34)," probability=",CHAR(34),1/BN$4,CHAR(34),CHAR(47),CHAR(62)),"&lt;/routeDistribution&gt;"))</f>
        <v/>
      </c>
    </row>
    <row r="4589" spans="1:5" x14ac:dyDescent="0.25">
      <c r="A4589" t="s">
        <v>1586</v>
      </c>
      <c r="B4589" t="s">
        <v>1097</v>
      </c>
      <c r="E4589" t="str">
        <f>IF(OR(E4588="&lt;/routeDistribution&gt;",E4588=""),"",IFERROR(_xlfn.CONCAT(VLOOKUP(BN51,Route_Column!#REF!,2,FALSE),CHAR(34)," probability=",CHAR(34),1/BN$4,CHAR(34),CHAR(47),CHAR(62)),"&lt;/routeDistribution&gt;"))</f>
        <v/>
      </c>
    </row>
    <row r="4590" spans="1:5" x14ac:dyDescent="0.25">
      <c r="A4590" t="s">
        <v>1586</v>
      </c>
      <c r="B4590" t="s">
        <v>1098</v>
      </c>
      <c r="E4590" t="str">
        <f>IF(OR(E4589="&lt;/routeDistribution&gt;",E4589=""),"",IFERROR(_xlfn.CONCAT(VLOOKUP(BN52,Route_Column!#REF!,2,FALSE),CHAR(34)," probability=",CHAR(34),1/BN$4,CHAR(34),CHAR(47),CHAR(62)),"&lt;/routeDistribution&gt;"))</f>
        <v/>
      </c>
    </row>
    <row r="4591" spans="1:5" x14ac:dyDescent="0.25">
      <c r="A4591" t="s">
        <v>1586</v>
      </c>
      <c r="B4591" t="s">
        <v>1099</v>
      </c>
      <c r="E4591" t="str">
        <f>IF(OR(E4590="&lt;/routeDistribution&gt;",E4590=""),"",IFERROR(_xlfn.CONCAT(VLOOKUP(BN53,Route_Column!#REF!,2,FALSE),CHAR(34)," probability=",CHAR(34),1/BN$4,CHAR(34),CHAR(47),CHAR(62)),"&lt;/routeDistribution&gt;"))</f>
        <v/>
      </c>
    </row>
    <row r="4592" spans="1:5" x14ac:dyDescent="0.25">
      <c r="A4592" t="s">
        <v>1586</v>
      </c>
      <c r="B4592" t="s">
        <v>1100</v>
      </c>
      <c r="E4592" t="str">
        <f>IF(OR(E4591="&lt;/routeDistribution&gt;",E4591=""),"",IFERROR(_xlfn.CONCAT(VLOOKUP(BN54,Route_Column!#REF!,2,FALSE),CHAR(34)," probability=",CHAR(34),1/BN$4,CHAR(34),CHAR(47),CHAR(62)),"&lt;/routeDistribution&gt;"))</f>
        <v/>
      </c>
    </row>
    <row r="4593" spans="1:5" x14ac:dyDescent="0.25">
      <c r="A4593" t="s">
        <v>1586</v>
      </c>
      <c r="B4593" t="s">
        <v>1101</v>
      </c>
      <c r="E4593" t="str">
        <f>IF(OR(E4592="&lt;/routeDistribution&gt;",E4592=""),"",IFERROR(_xlfn.CONCAT(VLOOKUP(BN55,Route_Column!#REF!,2,FALSE),CHAR(34)," probability=",CHAR(34),1/BN$4,CHAR(34),CHAR(47),CHAR(62)),"&lt;/routeDistribution&gt;"))</f>
        <v/>
      </c>
    </row>
    <row r="4594" spans="1:5" x14ac:dyDescent="0.25">
      <c r="A4594" t="s">
        <v>1586</v>
      </c>
      <c r="B4594" t="s">
        <v>1102</v>
      </c>
      <c r="E4594" t="str">
        <f>IF(OR(E4593="&lt;/routeDistribution&gt;",E4593=""),"",IFERROR(_xlfn.CONCAT(VLOOKUP(BN56,Route_Column!#REF!,2,FALSE),CHAR(34)," probability=",CHAR(34),1/BN$4,CHAR(34),CHAR(47),CHAR(62)),"&lt;/routeDistribution&gt;"))</f>
        <v/>
      </c>
    </row>
    <row r="4595" spans="1:5" x14ac:dyDescent="0.25">
      <c r="A4595" t="s">
        <v>1586</v>
      </c>
      <c r="B4595" t="s">
        <v>1103</v>
      </c>
      <c r="E4595" t="str">
        <f>IF(OR(E4594="&lt;/routeDistribution&gt;",E4594=""),"",IFERROR(_xlfn.CONCAT(VLOOKUP(BN57,Route_Column!#REF!,2,FALSE),CHAR(34)," probability=",CHAR(34),1/BN$4,CHAR(34),CHAR(47),CHAR(62)),"&lt;/routeDistribution&gt;"))</f>
        <v/>
      </c>
    </row>
    <row r="4596" spans="1:5" x14ac:dyDescent="0.25">
      <c r="A4596" t="s">
        <v>1586</v>
      </c>
      <c r="B4596" t="s">
        <v>1104</v>
      </c>
      <c r="E4596" t="str">
        <f>IF(OR(E4595="&lt;/routeDistribution&gt;",E4595=""),"",IFERROR(_xlfn.CONCAT(VLOOKUP(BN58,Route_Column!#REF!,2,FALSE),CHAR(34)," probability=",CHAR(34),1/BN$4,CHAR(34),CHAR(47),CHAR(62)),"&lt;/routeDistribution&gt;"))</f>
        <v/>
      </c>
    </row>
    <row r="4597" spans="1:5" x14ac:dyDescent="0.25">
      <c r="A4597" t="s">
        <v>1586</v>
      </c>
      <c r="B4597" t="s">
        <v>1105</v>
      </c>
      <c r="E4597" t="str">
        <f>IF(OR(E4596="&lt;/routeDistribution&gt;",E4596=""),"",IFERROR(_xlfn.CONCAT(VLOOKUP(BN59,Route_Column!#REF!,2,FALSE),CHAR(34)," probability=",CHAR(34),1/BN$4,CHAR(34),CHAR(47),CHAR(62)),"&lt;/routeDistribution&gt;"))</f>
        <v/>
      </c>
    </row>
    <row r="4598" spans="1:5" x14ac:dyDescent="0.25">
      <c r="A4598" t="s">
        <v>1586</v>
      </c>
      <c r="B4598" t="s">
        <v>1106</v>
      </c>
      <c r="E4598" t="str">
        <f>IF(OR(E4597="&lt;/routeDistribution&gt;",E4597=""),"",IFERROR(_xlfn.CONCAT(VLOOKUP(BN60,Route_Column!#REF!,2,FALSE),CHAR(34)," probability=",CHAR(34),1/BN$4,CHAR(34),CHAR(47),CHAR(62)),"&lt;/routeDistribution&gt;"))</f>
        <v/>
      </c>
    </row>
    <row r="4599" spans="1:5" x14ac:dyDescent="0.25">
      <c r="A4599" t="s">
        <v>1586</v>
      </c>
      <c r="B4599" t="s">
        <v>1161</v>
      </c>
      <c r="E4599" t="str">
        <f>IF(OR(E4598="&lt;/routeDistribution&gt;",E4598=""),"",IFERROR(_xlfn.CONCAT(VLOOKUP(BN61,Route_Column!#REF!,2,FALSE),CHAR(34)," probability=",CHAR(34),1/BN$4,CHAR(34),CHAR(47),CHAR(62)),"&lt;/routeDistribution&gt;"))</f>
        <v/>
      </c>
    </row>
    <row r="4600" spans="1:5" x14ac:dyDescent="0.25">
      <c r="A4600" t="s">
        <v>1586</v>
      </c>
      <c r="B4600" t="s">
        <v>1162</v>
      </c>
      <c r="E4600" t="str">
        <f>IF(OR(E4599="&lt;/routeDistribution&gt;",E4599=""),"",IFERROR(_xlfn.CONCAT(VLOOKUP(BN62,Route_Column!#REF!,2,FALSE),CHAR(34)," probability=",CHAR(34),1/BN$4,CHAR(34),CHAR(47),CHAR(62)),"&lt;/routeDistribution&gt;"))</f>
        <v/>
      </c>
    </row>
    <row r="4601" spans="1:5" x14ac:dyDescent="0.25">
      <c r="A4601" t="s">
        <v>1586</v>
      </c>
      <c r="B4601" t="s">
        <v>1163</v>
      </c>
      <c r="E4601" t="str">
        <f>IF(OR(E4600="&lt;/routeDistribution&gt;",E4600=""),"",IFERROR(_xlfn.CONCAT(VLOOKUP(BN63,Route_Column!#REF!,2,FALSE),CHAR(34)," probability=",CHAR(34),1/BN$4,CHAR(34),CHAR(47),CHAR(62)),"&lt;/routeDistribution&gt;"))</f>
        <v/>
      </c>
    </row>
    <row r="4602" spans="1:5" x14ac:dyDescent="0.25">
      <c r="A4602" t="s">
        <v>1586</v>
      </c>
      <c r="B4602" t="s">
        <v>1164</v>
      </c>
      <c r="E4602" t="s">
        <v>2686</v>
      </c>
    </row>
    <row r="4603" spans="1:5" x14ac:dyDescent="0.25">
      <c r="A4603" t="s">
        <v>1586</v>
      </c>
      <c r="B4603" t="s">
        <v>1191</v>
      </c>
    </row>
    <row r="4604" spans="1:5" x14ac:dyDescent="0.25">
      <c r="A4604" t="s">
        <v>1587</v>
      </c>
      <c r="B4604" t="s">
        <v>1096</v>
      </c>
    </row>
    <row r="4605" spans="1:5" x14ac:dyDescent="0.25">
      <c r="A4605" t="s">
        <v>1587</v>
      </c>
      <c r="B4605" t="s">
        <v>1097</v>
      </c>
      <c r="E4605" t="str">
        <f>_xlfn.CONCAT($E$1,BM$2,$F$1)</f>
        <v>&lt;routeDistribution id="34th-Race-to-Cherry-SB-2011-RouteProbe"&gt;</v>
      </c>
    </row>
    <row r="4606" spans="1:5" x14ac:dyDescent="0.25">
      <c r="A4606" t="s">
        <v>1587</v>
      </c>
      <c r="B4606" t="s">
        <v>1098</v>
      </c>
      <c r="E4606" t="str">
        <f>IF(OR(E4605="&lt;/routeDistribution&gt;",E4605=""),"",IFERROR(_xlfn.CONCAT(VLOOKUP(BM5,Route_Column!#REF!,2,FALSE),CHAR(34)," probability=",CHAR(34),1/BM$4,CHAR(34),CHAR(47),CHAR(62)),"&lt;/routeDistribution&gt;"))</f>
        <v>&lt;/routeDistribution&gt;</v>
      </c>
    </row>
    <row r="4607" spans="1:5" x14ac:dyDescent="0.25">
      <c r="A4607" t="s">
        <v>1587</v>
      </c>
      <c r="B4607" t="s">
        <v>1099</v>
      </c>
      <c r="E4607" t="str">
        <f>IF(OR(E4606="&lt;/routeDistribution&gt;",E4606=""),"",IFERROR(_xlfn.CONCAT(VLOOKUP(BM6,Route_Column!#REF!,2,FALSE),CHAR(34)," probability=",CHAR(34),1/BM$4,CHAR(34),CHAR(47),CHAR(62)),"&lt;/routeDistribution&gt;"))</f>
        <v/>
      </c>
    </row>
    <row r="4608" spans="1:5" x14ac:dyDescent="0.25">
      <c r="A4608" t="s">
        <v>1587</v>
      </c>
      <c r="B4608" t="s">
        <v>1100</v>
      </c>
      <c r="E4608" t="str">
        <f>IF(OR(E4607="&lt;/routeDistribution&gt;",E4607=""),"",IFERROR(_xlfn.CONCAT(VLOOKUP(BM7,Route_Column!#REF!,2,FALSE),CHAR(34)," probability=",CHAR(34),1/BM$4,CHAR(34),CHAR(47),CHAR(62)),"&lt;/routeDistribution&gt;"))</f>
        <v/>
      </c>
    </row>
    <row r="4609" spans="1:5" x14ac:dyDescent="0.25">
      <c r="A4609" t="s">
        <v>1587</v>
      </c>
      <c r="B4609" t="s">
        <v>1101</v>
      </c>
      <c r="E4609" t="str">
        <f>IF(OR(E4608="&lt;/routeDistribution&gt;",E4608=""),"",IFERROR(_xlfn.CONCAT(VLOOKUP(BM8,Route_Column!#REF!,2,FALSE),CHAR(34)," probability=",CHAR(34),1/BM$4,CHAR(34),CHAR(47),CHAR(62)),"&lt;/routeDistribution&gt;"))</f>
        <v/>
      </c>
    </row>
    <row r="4610" spans="1:5" x14ac:dyDescent="0.25">
      <c r="A4610" t="s">
        <v>1587</v>
      </c>
      <c r="B4610" t="s">
        <v>1102</v>
      </c>
      <c r="E4610" t="str">
        <f>IF(OR(E4609="&lt;/routeDistribution&gt;",E4609=""),"",IFERROR(_xlfn.CONCAT(VLOOKUP(BM9,Route_Column!#REF!,2,FALSE),CHAR(34)," probability=",CHAR(34),1/BM$4,CHAR(34),CHAR(47),CHAR(62)),"&lt;/routeDistribution&gt;"))</f>
        <v/>
      </c>
    </row>
    <row r="4611" spans="1:5" x14ac:dyDescent="0.25">
      <c r="A4611" t="s">
        <v>1587</v>
      </c>
      <c r="B4611" t="s">
        <v>1103</v>
      </c>
      <c r="E4611" t="str">
        <f>IF(OR(E4610="&lt;/routeDistribution&gt;",E4610=""),"",IFERROR(_xlfn.CONCAT(VLOOKUP(BM10,Route_Column!#REF!,2,FALSE),CHAR(34)," probability=",CHAR(34),1/BM$4,CHAR(34),CHAR(47),CHAR(62)),"&lt;/routeDistribution&gt;"))</f>
        <v/>
      </c>
    </row>
    <row r="4612" spans="1:5" x14ac:dyDescent="0.25">
      <c r="A4612" t="s">
        <v>1587</v>
      </c>
      <c r="B4612" t="s">
        <v>1104</v>
      </c>
      <c r="E4612" t="str">
        <f>IF(OR(E4611="&lt;/routeDistribution&gt;",E4611=""),"",IFERROR(_xlfn.CONCAT(VLOOKUP(BM11,Route_Column!#REF!,2,FALSE),CHAR(34)," probability=",CHAR(34),1/BM$4,CHAR(34),CHAR(47),CHAR(62)),"&lt;/routeDistribution&gt;"))</f>
        <v/>
      </c>
    </row>
    <row r="4613" spans="1:5" x14ac:dyDescent="0.25">
      <c r="A4613" t="s">
        <v>1587</v>
      </c>
      <c r="B4613" t="s">
        <v>1105</v>
      </c>
      <c r="E4613" t="str">
        <f>IF(OR(E4612="&lt;/routeDistribution&gt;",E4612=""),"",IFERROR(_xlfn.CONCAT(VLOOKUP(BM12,Route_Column!#REF!,2,FALSE),CHAR(34)," probability=",CHAR(34),1/BM$4,CHAR(34),CHAR(47),CHAR(62)),"&lt;/routeDistribution&gt;"))</f>
        <v/>
      </c>
    </row>
    <row r="4614" spans="1:5" x14ac:dyDescent="0.25">
      <c r="A4614" t="s">
        <v>1587</v>
      </c>
      <c r="B4614" t="s">
        <v>1106</v>
      </c>
      <c r="E4614" t="str">
        <f>IF(OR(E4613="&lt;/routeDistribution&gt;",E4613=""),"",IFERROR(_xlfn.CONCAT(VLOOKUP(BM13,Route_Column!#REF!,2,FALSE),CHAR(34)," probability=",CHAR(34),1/BM$4,CHAR(34),CHAR(47),CHAR(62)),"&lt;/routeDistribution&gt;"))</f>
        <v/>
      </c>
    </row>
    <row r="4615" spans="1:5" x14ac:dyDescent="0.25">
      <c r="A4615" t="s">
        <v>1587</v>
      </c>
      <c r="B4615" t="s">
        <v>1161</v>
      </c>
      <c r="E4615" t="str">
        <f>IF(OR(E4614="&lt;/routeDistribution&gt;",E4614=""),"",IFERROR(_xlfn.CONCAT(VLOOKUP(BM14,Route_Column!#REF!,2,FALSE),CHAR(34)," probability=",CHAR(34),1/BM$4,CHAR(34),CHAR(47),CHAR(62)),"&lt;/routeDistribution&gt;"))</f>
        <v/>
      </c>
    </row>
    <row r="4616" spans="1:5" x14ac:dyDescent="0.25">
      <c r="A4616" t="s">
        <v>1587</v>
      </c>
      <c r="B4616" t="s">
        <v>1162</v>
      </c>
      <c r="E4616" t="str">
        <f>IF(OR(E4615="&lt;/routeDistribution&gt;",E4615=""),"",IFERROR(_xlfn.CONCAT(VLOOKUP(BM15,Route_Column!#REF!,2,FALSE),CHAR(34)," probability=",CHAR(34),1/BM$4,CHAR(34),CHAR(47),CHAR(62)),"&lt;/routeDistribution&gt;"))</f>
        <v/>
      </c>
    </row>
    <row r="4617" spans="1:5" x14ac:dyDescent="0.25">
      <c r="A4617" t="s">
        <v>1587</v>
      </c>
      <c r="B4617" t="s">
        <v>1163</v>
      </c>
      <c r="E4617" t="str">
        <f>IF(OR(E4616="&lt;/routeDistribution&gt;",E4616=""),"",IFERROR(_xlfn.CONCAT(VLOOKUP(BM16,Route_Column!#REF!,2,FALSE),CHAR(34)," probability=",CHAR(34),1/BM$4,CHAR(34),CHAR(47),CHAR(62)),"&lt;/routeDistribution&gt;"))</f>
        <v/>
      </c>
    </row>
    <row r="4618" spans="1:5" x14ac:dyDescent="0.25">
      <c r="A4618" t="s">
        <v>1587</v>
      </c>
      <c r="B4618" t="s">
        <v>1164</v>
      </c>
      <c r="E4618" t="str">
        <f>IF(OR(E4617="&lt;/routeDistribution&gt;",E4617=""),"",IFERROR(_xlfn.CONCAT(VLOOKUP(BM17,Route_Column!#REF!,2,FALSE),CHAR(34)," probability=",CHAR(34),1/BM$4,CHAR(34),CHAR(47),CHAR(62)),"&lt;/routeDistribution&gt;"))</f>
        <v/>
      </c>
    </row>
    <row r="4619" spans="1:5" x14ac:dyDescent="0.25">
      <c r="A4619" t="s">
        <v>1587</v>
      </c>
      <c r="B4619" t="s">
        <v>1191</v>
      </c>
      <c r="E4619" t="str">
        <f>IF(OR(E4618="&lt;/routeDistribution&gt;",E4618=""),"",IFERROR(_xlfn.CONCAT(VLOOKUP(BM18,Route_Column!#REF!,2,FALSE),CHAR(34)," probability=",CHAR(34),1/BM$4,CHAR(34),CHAR(47),CHAR(62)),"&lt;/routeDistribution&gt;"))</f>
        <v/>
      </c>
    </row>
    <row r="4620" spans="1:5" x14ac:dyDescent="0.25">
      <c r="A4620" t="s">
        <v>1588</v>
      </c>
      <c r="B4620" t="s">
        <v>1096</v>
      </c>
      <c r="E4620" t="str">
        <f>IF(OR(E4619="&lt;/routeDistribution&gt;",E4619=""),"",IFERROR(_xlfn.CONCAT(VLOOKUP(BM19,Route_Column!#REF!,2,FALSE),CHAR(34)," probability=",CHAR(34),1/BM$4,CHAR(34),CHAR(47),CHAR(62)),"&lt;/routeDistribution&gt;"))</f>
        <v/>
      </c>
    </row>
    <row r="4621" spans="1:5" x14ac:dyDescent="0.25">
      <c r="A4621" t="s">
        <v>1588</v>
      </c>
      <c r="B4621" t="s">
        <v>1097</v>
      </c>
      <c r="E4621" t="str">
        <f>IF(OR(E4620="&lt;/routeDistribution&gt;",E4620=""),"",IFERROR(_xlfn.CONCAT(VLOOKUP(BM20,Route_Column!#REF!,2,FALSE),CHAR(34)," probability=",CHAR(34),1/BM$4,CHAR(34),CHAR(47),CHAR(62)),"&lt;/routeDistribution&gt;"))</f>
        <v/>
      </c>
    </row>
    <row r="4622" spans="1:5" x14ac:dyDescent="0.25">
      <c r="A4622" t="s">
        <v>1588</v>
      </c>
      <c r="B4622" t="s">
        <v>1098</v>
      </c>
      <c r="E4622" t="str">
        <f>IF(OR(E4621="&lt;/routeDistribution&gt;",E4621=""),"",IFERROR(_xlfn.CONCAT(VLOOKUP(BM21,Route_Column!#REF!,2,FALSE),CHAR(34)," probability=",CHAR(34),1/BM$4,CHAR(34),CHAR(47),CHAR(62)),"&lt;/routeDistribution&gt;"))</f>
        <v/>
      </c>
    </row>
    <row r="4623" spans="1:5" x14ac:dyDescent="0.25">
      <c r="A4623" t="s">
        <v>1588</v>
      </c>
      <c r="B4623" t="s">
        <v>1099</v>
      </c>
      <c r="E4623" t="str">
        <f>IF(OR(E4622="&lt;/routeDistribution&gt;",E4622=""),"",IFERROR(_xlfn.CONCAT(VLOOKUP(BM22,Route_Column!#REF!,2,FALSE),CHAR(34)," probability=",CHAR(34),1/BM$4,CHAR(34),CHAR(47),CHAR(62)),"&lt;/routeDistribution&gt;"))</f>
        <v/>
      </c>
    </row>
    <row r="4624" spans="1:5" x14ac:dyDescent="0.25">
      <c r="A4624" t="s">
        <v>1588</v>
      </c>
      <c r="B4624" t="s">
        <v>1100</v>
      </c>
      <c r="E4624" t="str">
        <f>IF(OR(E4623="&lt;/routeDistribution&gt;",E4623=""),"",IFERROR(_xlfn.CONCAT(VLOOKUP(BM23,Route_Column!#REF!,2,FALSE),CHAR(34)," probability=",CHAR(34),1/BM$4,CHAR(34),CHAR(47),CHAR(62)),"&lt;/routeDistribution&gt;"))</f>
        <v/>
      </c>
    </row>
    <row r="4625" spans="1:5" x14ac:dyDescent="0.25">
      <c r="A4625" t="s">
        <v>1588</v>
      </c>
      <c r="B4625" t="s">
        <v>1101</v>
      </c>
      <c r="E4625" t="str">
        <f>IF(OR(E4624="&lt;/routeDistribution&gt;",E4624=""),"",IFERROR(_xlfn.CONCAT(VLOOKUP(BM24,Route_Column!#REF!,2,FALSE),CHAR(34)," probability=",CHAR(34),1/BM$4,CHAR(34),CHAR(47),CHAR(62)),"&lt;/routeDistribution&gt;"))</f>
        <v/>
      </c>
    </row>
    <row r="4626" spans="1:5" x14ac:dyDescent="0.25">
      <c r="A4626" t="s">
        <v>1588</v>
      </c>
      <c r="B4626" t="s">
        <v>1102</v>
      </c>
      <c r="E4626" t="str">
        <f>IF(OR(E4625="&lt;/routeDistribution&gt;",E4625=""),"",IFERROR(_xlfn.CONCAT(VLOOKUP(BM25,Route_Column!#REF!,2,FALSE),CHAR(34)," probability=",CHAR(34),1/BM$4,CHAR(34),CHAR(47),CHAR(62)),"&lt;/routeDistribution&gt;"))</f>
        <v/>
      </c>
    </row>
    <row r="4627" spans="1:5" x14ac:dyDescent="0.25">
      <c r="A4627" t="s">
        <v>1588</v>
      </c>
      <c r="B4627" t="s">
        <v>1103</v>
      </c>
      <c r="E4627" t="str">
        <f>IF(OR(E4626="&lt;/routeDistribution&gt;",E4626=""),"",IFERROR(_xlfn.CONCAT(VLOOKUP(BM26,Route_Column!#REF!,2,FALSE),CHAR(34)," probability=",CHAR(34),1/BM$4,CHAR(34),CHAR(47),CHAR(62)),"&lt;/routeDistribution&gt;"))</f>
        <v/>
      </c>
    </row>
    <row r="4628" spans="1:5" x14ac:dyDescent="0.25">
      <c r="A4628" t="s">
        <v>1588</v>
      </c>
      <c r="B4628" t="s">
        <v>1104</v>
      </c>
      <c r="E4628" t="str">
        <f>IF(OR(E4627="&lt;/routeDistribution&gt;",E4627=""),"",IFERROR(_xlfn.CONCAT(VLOOKUP(BM27,Route_Column!#REF!,2,FALSE),CHAR(34)," probability=",CHAR(34),1/BM$4,CHAR(34),CHAR(47),CHAR(62)),"&lt;/routeDistribution&gt;"))</f>
        <v/>
      </c>
    </row>
    <row r="4629" spans="1:5" x14ac:dyDescent="0.25">
      <c r="A4629" t="s">
        <v>1588</v>
      </c>
      <c r="B4629" t="s">
        <v>1105</v>
      </c>
      <c r="E4629" t="str">
        <f>IF(OR(E4628="&lt;/routeDistribution&gt;",E4628=""),"",IFERROR(_xlfn.CONCAT(VLOOKUP(BM28,Route_Column!#REF!,2,FALSE),CHAR(34)," probability=",CHAR(34),1/BM$4,CHAR(34),CHAR(47),CHAR(62)),"&lt;/routeDistribution&gt;"))</f>
        <v/>
      </c>
    </row>
    <row r="4630" spans="1:5" x14ac:dyDescent="0.25">
      <c r="A4630" t="s">
        <v>1588</v>
      </c>
      <c r="B4630" t="s">
        <v>1106</v>
      </c>
      <c r="E4630" t="str">
        <f>IF(OR(E4629="&lt;/routeDistribution&gt;",E4629=""),"",IFERROR(_xlfn.CONCAT(VLOOKUP(BM29,Route_Column!#REF!,2,FALSE),CHAR(34)," probability=",CHAR(34),1/BM$4,CHAR(34),CHAR(47),CHAR(62)),"&lt;/routeDistribution&gt;"))</f>
        <v/>
      </c>
    </row>
    <row r="4631" spans="1:5" x14ac:dyDescent="0.25">
      <c r="A4631" t="s">
        <v>1588</v>
      </c>
      <c r="B4631" t="s">
        <v>1161</v>
      </c>
      <c r="E4631" t="str">
        <f>IF(OR(E4630="&lt;/routeDistribution&gt;",E4630=""),"",IFERROR(_xlfn.CONCAT(VLOOKUP(BM30,Route_Column!#REF!,2,FALSE),CHAR(34)," probability=",CHAR(34),1/BM$4,CHAR(34),CHAR(47),CHAR(62)),"&lt;/routeDistribution&gt;"))</f>
        <v/>
      </c>
    </row>
    <row r="4632" spans="1:5" x14ac:dyDescent="0.25">
      <c r="A4632" t="s">
        <v>1588</v>
      </c>
      <c r="B4632" t="s">
        <v>1162</v>
      </c>
      <c r="E4632" t="str">
        <f>IF(OR(E4631="&lt;/routeDistribution&gt;",E4631=""),"",IFERROR(_xlfn.CONCAT(VLOOKUP(BM31,Route_Column!#REF!,2,FALSE),CHAR(34)," probability=",CHAR(34),1/BM$4,CHAR(34),CHAR(47),CHAR(62)),"&lt;/routeDistribution&gt;"))</f>
        <v/>
      </c>
    </row>
    <row r="4633" spans="1:5" x14ac:dyDescent="0.25">
      <c r="A4633" t="s">
        <v>1588</v>
      </c>
      <c r="B4633" t="s">
        <v>1163</v>
      </c>
      <c r="E4633" t="str">
        <f>IF(OR(E4632="&lt;/routeDistribution&gt;",E4632=""),"",IFERROR(_xlfn.CONCAT(VLOOKUP(BM32,Route_Column!#REF!,2,FALSE),CHAR(34)," probability=",CHAR(34),1/BM$4,CHAR(34),CHAR(47),CHAR(62)),"&lt;/routeDistribution&gt;"))</f>
        <v/>
      </c>
    </row>
    <row r="4634" spans="1:5" x14ac:dyDescent="0.25">
      <c r="A4634" t="s">
        <v>1588</v>
      </c>
      <c r="B4634" t="s">
        <v>1164</v>
      </c>
      <c r="E4634" t="str">
        <f>IF(OR(E4633="&lt;/routeDistribution&gt;",E4633=""),"",IFERROR(_xlfn.CONCAT(VLOOKUP(BM33,Route_Column!#REF!,2,FALSE),CHAR(34)," probability=",CHAR(34),1/BM$4,CHAR(34),CHAR(47),CHAR(62)),"&lt;/routeDistribution&gt;"))</f>
        <v/>
      </c>
    </row>
    <row r="4635" spans="1:5" x14ac:dyDescent="0.25">
      <c r="A4635" t="s">
        <v>1588</v>
      </c>
      <c r="B4635" t="s">
        <v>1191</v>
      </c>
      <c r="E4635" t="str">
        <f>IF(OR(E4634="&lt;/routeDistribution&gt;",E4634=""),"",IFERROR(_xlfn.CONCAT(VLOOKUP(BM34,Route_Column!#REF!,2,FALSE),CHAR(34)," probability=",CHAR(34),1/BM$4,CHAR(34),CHAR(47),CHAR(62)),"&lt;/routeDistribution&gt;"))</f>
        <v/>
      </c>
    </row>
    <row r="4636" spans="1:5" x14ac:dyDescent="0.25">
      <c r="A4636" t="s">
        <v>1589</v>
      </c>
      <c r="B4636" t="s">
        <v>1096</v>
      </c>
      <c r="E4636" t="str">
        <f>IF(OR(E4635="&lt;/routeDistribution&gt;",E4635=""),"",IFERROR(_xlfn.CONCAT(VLOOKUP(BM35,Route_Column!#REF!,2,FALSE),CHAR(34)," probability=",CHAR(34),1/BM$4,CHAR(34),CHAR(47),CHAR(62)),"&lt;/routeDistribution&gt;"))</f>
        <v/>
      </c>
    </row>
    <row r="4637" spans="1:5" x14ac:dyDescent="0.25">
      <c r="A4637" t="s">
        <v>1589</v>
      </c>
      <c r="B4637" t="s">
        <v>1097</v>
      </c>
      <c r="E4637" t="str">
        <f>IF(OR(E4636="&lt;/routeDistribution&gt;",E4636=""),"",IFERROR(_xlfn.CONCAT(VLOOKUP(BM36,Route_Column!#REF!,2,FALSE),CHAR(34)," probability=",CHAR(34),1/BM$4,CHAR(34),CHAR(47),CHAR(62)),"&lt;/routeDistribution&gt;"))</f>
        <v/>
      </c>
    </row>
    <row r="4638" spans="1:5" x14ac:dyDescent="0.25">
      <c r="A4638" t="s">
        <v>1589</v>
      </c>
      <c r="B4638" t="s">
        <v>1098</v>
      </c>
      <c r="E4638" t="str">
        <f>IF(OR(E4637="&lt;/routeDistribution&gt;",E4637=""),"",IFERROR(_xlfn.CONCAT(VLOOKUP(BM37,Route_Column!#REF!,2,FALSE),CHAR(34)," probability=",CHAR(34),1/BM$4,CHAR(34),CHAR(47),CHAR(62)),"&lt;/routeDistribution&gt;"))</f>
        <v/>
      </c>
    </row>
    <row r="4639" spans="1:5" x14ac:dyDescent="0.25">
      <c r="A4639" t="s">
        <v>1589</v>
      </c>
      <c r="B4639" t="s">
        <v>1161</v>
      </c>
      <c r="E4639" t="str">
        <f>IF(OR(E4638="&lt;/routeDistribution&gt;",E4638=""),"",IFERROR(_xlfn.CONCAT(VLOOKUP(BM38,Route_Column!#REF!,2,FALSE),CHAR(34)," probability=",CHAR(34),1/BM$4,CHAR(34),CHAR(47),CHAR(62)),"&lt;/routeDistribution&gt;"))</f>
        <v/>
      </c>
    </row>
    <row r="4640" spans="1:5" x14ac:dyDescent="0.25">
      <c r="A4640" t="s">
        <v>1589</v>
      </c>
      <c r="B4640" t="s">
        <v>1162</v>
      </c>
      <c r="E4640" t="str">
        <f>IF(OR(E4639="&lt;/routeDistribution&gt;",E4639=""),"",IFERROR(_xlfn.CONCAT(VLOOKUP(BM39,Route_Column!#REF!,2,FALSE),CHAR(34)," probability=",CHAR(34),1/BM$4,CHAR(34),CHAR(47),CHAR(62)),"&lt;/routeDistribution&gt;"))</f>
        <v/>
      </c>
    </row>
    <row r="4641" spans="1:5" x14ac:dyDescent="0.25">
      <c r="A4641" t="s">
        <v>1589</v>
      </c>
      <c r="B4641" t="s">
        <v>1163</v>
      </c>
      <c r="E4641" t="str">
        <f>IF(OR(E4640="&lt;/routeDistribution&gt;",E4640=""),"",IFERROR(_xlfn.CONCAT(VLOOKUP(BM40,Route_Column!#REF!,2,FALSE),CHAR(34)," probability=",CHAR(34),1/BM$4,CHAR(34),CHAR(47),CHAR(62)),"&lt;/routeDistribution&gt;"))</f>
        <v/>
      </c>
    </row>
    <row r="4642" spans="1:5" x14ac:dyDescent="0.25">
      <c r="A4642" t="s">
        <v>1589</v>
      </c>
      <c r="B4642" t="s">
        <v>1191</v>
      </c>
      <c r="E4642" t="str">
        <f>IF(OR(E4641="&lt;/routeDistribution&gt;",E4641=""),"",IFERROR(_xlfn.CONCAT(VLOOKUP(BM41,Route_Column!#REF!,2,FALSE),CHAR(34)," probability=",CHAR(34),1/BM$4,CHAR(34),CHAR(47),CHAR(62)),"&lt;/routeDistribution&gt;"))</f>
        <v/>
      </c>
    </row>
    <row r="4643" spans="1:5" x14ac:dyDescent="0.25">
      <c r="A4643" t="s">
        <v>1629</v>
      </c>
      <c r="B4643" t="s">
        <v>1097</v>
      </c>
      <c r="E4643" t="str">
        <f>IF(OR(E4642="&lt;/routeDistribution&gt;",E4642=""),"",IFERROR(_xlfn.CONCAT(VLOOKUP(BM42,Route_Column!#REF!,2,FALSE),CHAR(34)," probability=",CHAR(34),1/BM$4,CHAR(34),CHAR(47),CHAR(62)),"&lt;/routeDistribution&gt;"))</f>
        <v/>
      </c>
    </row>
    <row r="4644" spans="1:5" x14ac:dyDescent="0.25">
      <c r="A4644" t="s">
        <v>1629</v>
      </c>
      <c r="B4644" t="s">
        <v>1098</v>
      </c>
      <c r="E4644" t="str">
        <f>IF(OR(E4643="&lt;/routeDistribution&gt;",E4643=""),"",IFERROR(_xlfn.CONCAT(VLOOKUP(BM43,Route_Column!#REF!,2,FALSE),CHAR(34)," probability=",CHAR(34),1/BM$4,CHAR(34),CHAR(47),CHAR(62)),"&lt;/routeDistribution&gt;"))</f>
        <v/>
      </c>
    </row>
    <row r="4645" spans="1:5" x14ac:dyDescent="0.25">
      <c r="A4645" t="s">
        <v>1629</v>
      </c>
      <c r="B4645" t="s">
        <v>1191</v>
      </c>
      <c r="E4645" t="str">
        <f>IF(OR(E4644="&lt;/routeDistribution&gt;",E4644=""),"",IFERROR(_xlfn.CONCAT(VLOOKUP(BM44,Route_Column!#REF!,2,FALSE),CHAR(34)," probability=",CHAR(34),1/BM$4,CHAR(34),CHAR(47),CHAR(62)),"&lt;/routeDistribution&gt;"))</f>
        <v/>
      </c>
    </row>
    <row r="4646" spans="1:5" x14ac:dyDescent="0.25">
      <c r="A4646" t="s">
        <v>1583</v>
      </c>
      <c r="B4646" t="s">
        <v>1096</v>
      </c>
      <c r="E4646" t="str">
        <f>IF(OR(E4645="&lt;/routeDistribution&gt;",E4645=""),"",IFERROR(_xlfn.CONCAT(VLOOKUP(BM45,Route_Column!#REF!,2,FALSE),CHAR(34)," probability=",CHAR(34),1/BM$4,CHAR(34),CHAR(47),CHAR(62)),"&lt;/routeDistribution&gt;"))</f>
        <v/>
      </c>
    </row>
    <row r="4647" spans="1:5" x14ac:dyDescent="0.25">
      <c r="A4647" t="s">
        <v>1583</v>
      </c>
      <c r="B4647" t="s">
        <v>1097</v>
      </c>
      <c r="E4647" t="str">
        <f>IF(OR(E4646="&lt;/routeDistribution&gt;",E4646=""),"",IFERROR(_xlfn.CONCAT(VLOOKUP(BM46,Route_Column!#REF!,2,FALSE),CHAR(34)," probability=",CHAR(34),1/BM$4,CHAR(34),CHAR(47),CHAR(62)),"&lt;/routeDistribution&gt;"))</f>
        <v/>
      </c>
    </row>
    <row r="4648" spans="1:5" x14ac:dyDescent="0.25">
      <c r="A4648" t="s">
        <v>1583</v>
      </c>
      <c r="B4648" t="s">
        <v>1098</v>
      </c>
      <c r="E4648" t="str">
        <f>IF(OR(E4647="&lt;/routeDistribution&gt;",E4647=""),"",IFERROR(_xlfn.CONCAT(VLOOKUP(BM47,Route_Column!#REF!,2,FALSE),CHAR(34)," probability=",CHAR(34),1/BM$4,CHAR(34),CHAR(47),CHAR(62)),"&lt;/routeDistribution&gt;"))</f>
        <v/>
      </c>
    </row>
    <row r="4649" spans="1:5" x14ac:dyDescent="0.25">
      <c r="A4649" t="s">
        <v>1583</v>
      </c>
      <c r="B4649" t="s">
        <v>1099</v>
      </c>
      <c r="E4649" t="str">
        <f>IF(OR(E4648="&lt;/routeDistribution&gt;",E4648=""),"",IFERROR(_xlfn.CONCAT(VLOOKUP(BM48,Route_Column!#REF!,2,FALSE),CHAR(34)," probability=",CHAR(34),1/BM$4,CHAR(34),CHAR(47),CHAR(62)),"&lt;/routeDistribution&gt;"))</f>
        <v/>
      </c>
    </row>
    <row r="4650" spans="1:5" x14ac:dyDescent="0.25">
      <c r="A4650" t="s">
        <v>1583</v>
      </c>
      <c r="B4650" t="s">
        <v>1100</v>
      </c>
      <c r="E4650" t="str">
        <f>IF(OR(E4649="&lt;/routeDistribution&gt;",E4649=""),"",IFERROR(_xlfn.CONCAT(VLOOKUP(BM49,Route_Column!#REF!,2,FALSE),CHAR(34)," probability=",CHAR(34),1/BM$4,CHAR(34),CHAR(47),CHAR(62)),"&lt;/routeDistribution&gt;"))</f>
        <v/>
      </c>
    </row>
    <row r="4651" spans="1:5" x14ac:dyDescent="0.25">
      <c r="A4651" t="s">
        <v>1583</v>
      </c>
      <c r="B4651" t="s">
        <v>1101</v>
      </c>
      <c r="E4651" t="str">
        <f>IF(OR(E4650="&lt;/routeDistribution&gt;",E4650=""),"",IFERROR(_xlfn.CONCAT(VLOOKUP(BM50,Route_Column!#REF!,2,FALSE),CHAR(34)," probability=",CHAR(34),1/BM$4,CHAR(34),CHAR(47),CHAR(62)),"&lt;/routeDistribution&gt;"))</f>
        <v/>
      </c>
    </row>
    <row r="4652" spans="1:5" x14ac:dyDescent="0.25">
      <c r="A4652" t="s">
        <v>1583</v>
      </c>
      <c r="B4652" t="s">
        <v>1102</v>
      </c>
      <c r="E4652" t="str">
        <f>IF(OR(E4651="&lt;/routeDistribution&gt;",E4651=""),"",IFERROR(_xlfn.CONCAT(VLOOKUP(BM51,Route_Column!#REF!,2,FALSE),CHAR(34)," probability=",CHAR(34),1/BM$4,CHAR(34),CHAR(47),CHAR(62)),"&lt;/routeDistribution&gt;"))</f>
        <v/>
      </c>
    </row>
    <row r="4653" spans="1:5" x14ac:dyDescent="0.25">
      <c r="A4653" t="s">
        <v>1583</v>
      </c>
      <c r="B4653" t="s">
        <v>1103</v>
      </c>
      <c r="E4653" t="str">
        <f>IF(OR(E4652="&lt;/routeDistribution&gt;",E4652=""),"",IFERROR(_xlfn.CONCAT(VLOOKUP(BM52,Route_Column!#REF!,2,FALSE),CHAR(34)," probability=",CHAR(34),1/BM$4,CHAR(34),CHAR(47),CHAR(62)),"&lt;/routeDistribution&gt;"))</f>
        <v/>
      </c>
    </row>
    <row r="4654" spans="1:5" x14ac:dyDescent="0.25">
      <c r="A4654" t="s">
        <v>1583</v>
      </c>
      <c r="B4654" t="s">
        <v>1104</v>
      </c>
      <c r="E4654" t="str">
        <f>IF(OR(E4653="&lt;/routeDistribution&gt;",E4653=""),"",IFERROR(_xlfn.CONCAT(VLOOKUP(BM53,Route_Column!#REF!,2,FALSE),CHAR(34)," probability=",CHAR(34),1/BM$4,CHAR(34),CHAR(47),CHAR(62)),"&lt;/routeDistribution&gt;"))</f>
        <v/>
      </c>
    </row>
    <row r="4655" spans="1:5" x14ac:dyDescent="0.25">
      <c r="A4655" t="s">
        <v>1583</v>
      </c>
      <c r="B4655" t="s">
        <v>1105</v>
      </c>
      <c r="E4655" t="str">
        <f>IF(OR(E4654="&lt;/routeDistribution&gt;",E4654=""),"",IFERROR(_xlfn.CONCAT(VLOOKUP(BM54,Route_Column!#REF!,2,FALSE),CHAR(34)," probability=",CHAR(34),1/BM$4,CHAR(34),CHAR(47),CHAR(62)),"&lt;/routeDistribution&gt;"))</f>
        <v/>
      </c>
    </row>
    <row r="4656" spans="1:5" x14ac:dyDescent="0.25">
      <c r="A4656" t="s">
        <v>1583</v>
      </c>
      <c r="B4656" t="s">
        <v>1106</v>
      </c>
      <c r="E4656" t="str">
        <f>IF(OR(E4655="&lt;/routeDistribution&gt;",E4655=""),"",IFERROR(_xlfn.CONCAT(VLOOKUP(BM55,Route_Column!#REF!,2,FALSE),CHAR(34)," probability=",CHAR(34),1/BM$4,CHAR(34),CHAR(47),CHAR(62)),"&lt;/routeDistribution&gt;"))</f>
        <v/>
      </c>
    </row>
    <row r="4657" spans="1:5" x14ac:dyDescent="0.25">
      <c r="A4657" t="s">
        <v>1583</v>
      </c>
      <c r="B4657" t="s">
        <v>1107</v>
      </c>
      <c r="E4657" t="str">
        <f>IF(OR(E4656="&lt;/routeDistribution&gt;",E4656=""),"",IFERROR(_xlfn.CONCAT(VLOOKUP(BM56,Route_Column!#REF!,2,FALSE),CHAR(34)," probability=",CHAR(34),1/BM$4,CHAR(34),CHAR(47),CHAR(62)),"&lt;/routeDistribution&gt;"))</f>
        <v/>
      </c>
    </row>
    <row r="4658" spans="1:5" x14ac:dyDescent="0.25">
      <c r="A4658" t="s">
        <v>1583</v>
      </c>
      <c r="B4658" t="s">
        <v>1161</v>
      </c>
      <c r="E4658" t="str">
        <f>IF(OR(E4657="&lt;/routeDistribution&gt;",E4657=""),"",IFERROR(_xlfn.CONCAT(VLOOKUP(BM57,Route_Column!#REF!,2,FALSE),CHAR(34)," probability=",CHAR(34),1/BM$4,CHAR(34),CHAR(47),CHAR(62)),"&lt;/routeDistribution&gt;"))</f>
        <v/>
      </c>
    </row>
    <row r="4659" spans="1:5" x14ac:dyDescent="0.25">
      <c r="A4659" t="s">
        <v>1583</v>
      </c>
      <c r="B4659" t="s">
        <v>1162</v>
      </c>
      <c r="E4659" t="str">
        <f>IF(OR(E4658="&lt;/routeDistribution&gt;",E4658=""),"",IFERROR(_xlfn.CONCAT(VLOOKUP(BM58,Route_Column!#REF!,2,FALSE),CHAR(34)," probability=",CHAR(34),1/BM$4,CHAR(34),CHAR(47),CHAR(62)),"&lt;/routeDistribution&gt;"))</f>
        <v/>
      </c>
    </row>
    <row r="4660" spans="1:5" x14ac:dyDescent="0.25">
      <c r="A4660" t="s">
        <v>1583</v>
      </c>
      <c r="B4660" t="s">
        <v>1163</v>
      </c>
      <c r="E4660" t="str">
        <f>IF(OR(E4659="&lt;/routeDistribution&gt;",E4659=""),"",IFERROR(_xlfn.CONCAT(VLOOKUP(BM59,Route_Column!#REF!,2,FALSE),CHAR(34)," probability=",CHAR(34),1/BM$4,CHAR(34),CHAR(47),CHAR(62)),"&lt;/routeDistribution&gt;"))</f>
        <v/>
      </c>
    </row>
    <row r="4661" spans="1:5" x14ac:dyDescent="0.25">
      <c r="A4661" t="s">
        <v>1583</v>
      </c>
      <c r="B4661" t="s">
        <v>1164</v>
      </c>
      <c r="E4661" t="str">
        <f>IF(OR(E4660="&lt;/routeDistribution&gt;",E4660=""),"",IFERROR(_xlfn.CONCAT(VLOOKUP(BM60,Route_Column!#REF!,2,FALSE),CHAR(34)," probability=",CHAR(34),1/BM$4,CHAR(34),CHAR(47),CHAR(62)),"&lt;/routeDistribution&gt;"))</f>
        <v/>
      </c>
    </row>
    <row r="4662" spans="1:5" x14ac:dyDescent="0.25">
      <c r="A4662" t="s">
        <v>1583</v>
      </c>
      <c r="B4662" t="s">
        <v>1166</v>
      </c>
      <c r="E4662" t="str">
        <f>IF(OR(E4661="&lt;/routeDistribution&gt;",E4661=""),"",IFERROR(_xlfn.CONCAT(VLOOKUP(BM61,Route_Column!#REF!,2,FALSE),CHAR(34)," probability=",CHAR(34),1/BM$4,CHAR(34),CHAR(47),CHAR(62)),"&lt;/routeDistribution&gt;"))</f>
        <v/>
      </c>
    </row>
    <row r="4663" spans="1:5" x14ac:dyDescent="0.25">
      <c r="A4663" t="s">
        <v>1583</v>
      </c>
      <c r="B4663" t="s">
        <v>1167</v>
      </c>
      <c r="E4663" t="str">
        <f>IF(OR(E4662="&lt;/routeDistribution&gt;",E4662=""),"",IFERROR(_xlfn.CONCAT(VLOOKUP(BM62,Route_Column!#REF!,2,FALSE),CHAR(34)," probability=",CHAR(34),1/BM$4,CHAR(34),CHAR(47),CHAR(62)),"&lt;/routeDistribution&gt;"))</f>
        <v/>
      </c>
    </row>
    <row r="4664" spans="1:5" x14ac:dyDescent="0.25">
      <c r="A4664" t="s">
        <v>1583</v>
      </c>
      <c r="B4664" t="s">
        <v>1168</v>
      </c>
      <c r="E4664" t="str">
        <f>IF(OR(E4663="&lt;/routeDistribution&gt;",E4663=""),"",IFERROR(_xlfn.CONCAT(VLOOKUP(BM63,Route_Column!#REF!,2,FALSE),CHAR(34)," probability=",CHAR(34),1/BM$4,CHAR(34),CHAR(47),CHAR(62)),"&lt;/routeDistribution&gt;"))</f>
        <v/>
      </c>
    </row>
    <row r="4665" spans="1:5" x14ac:dyDescent="0.25">
      <c r="A4665" t="s">
        <v>1583</v>
      </c>
      <c r="B4665" t="s">
        <v>1169</v>
      </c>
      <c r="E4665" t="s">
        <v>2686</v>
      </c>
    </row>
    <row r="4666" spans="1:5" x14ac:dyDescent="0.25">
      <c r="A4666" t="s">
        <v>1583</v>
      </c>
      <c r="B4666" t="s">
        <v>1170</v>
      </c>
    </row>
    <row r="4667" spans="1:5" x14ac:dyDescent="0.25">
      <c r="A4667" t="s">
        <v>1583</v>
      </c>
      <c r="B4667" t="s">
        <v>1186</v>
      </c>
    </row>
    <row r="4668" spans="1:5" x14ac:dyDescent="0.25">
      <c r="A4668" t="s">
        <v>1583</v>
      </c>
      <c r="B4668" t="s">
        <v>1187</v>
      </c>
      <c r="E4668" t="str">
        <f>_xlfn.CONCAT($E$1,BL$2,$F$1)</f>
        <v>&lt;routeDistribution id="SPRUCE-21st-to-22nd-WB-2011-RouteProbe"&gt;</v>
      </c>
    </row>
    <row r="4669" spans="1:5" x14ac:dyDescent="0.25">
      <c r="A4669" t="s">
        <v>1583</v>
      </c>
      <c r="B4669" t="s">
        <v>1188</v>
      </c>
      <c r="E4669" t="str">
        <f>IF(OR(E4668="&lt;/routeDistribution&gt;",E4668=""),"",IFERROR(_xlfn.CONCAT(VLOOKUP(BL5,Route_Column!#REF!,2,FALSE),CHAR(34)," probability=",CHAR(34),1/BL$4,CHAR(34),CHAR(47),CHAR(62)),"&lt;/routeDistribution&gt;"))</f>
        <v>&lt;/routeDistribution&gt;</v>
      </c>
    </row>
    <row r="4670" spans="1:5" x14ac:dyDescent="0.25">
      <c r="A4670" t="s">
        <v>1583</v>
      </c>
      <c r="B4670" t="s">
        <v>1189</v>
      </c>
      <c r="E4670" t="str">
        <f>IF(OR(E4669="&lt;/routeDistribution&gt;",E4669=""),"",IFERROR(_xlfn.CONCAT(VLOOKUP(BL6,Route_Column!#REF!,2,FALSE),CHAR(34)," probability=",CHAR(34),1/BL$4,CHAR(34),CHAR(47),CHAR(62)),"&lt;/routeDistribution&gt;"))</f>
        <v/>
      </c>
    </row>
    <row r="4671" spans="1:5" x14ac:dyDescent="0.25">
      <c r="A4671" t="s">
        <v>1583</v>
      </c>
      <c r="B4671" t="s">
        <v>1191</v>
      </c>
      <c r="E4671" t="str">
        <f>IF(OR(E4670="&lt;/routeDistribution&gt;",E4670=""),"",IFERROR(_xlfn.CONCAT(VLOOKUP(BL7,Route_Column!#REF!,2,FALSE),CHAR(34)," probability=",CHAR(34),1/BL$4,CHAR(34),CHAR(47),CHAR(62)),"&lt;/routeDistribution&gt;"))</f>
        <v/>
      </c>
    </row>
    <row r="4672" spans="1:5" x14ac:dyDescent="0.25">
      <c r="A4672" t="s">
        <v>1773</v>
      </c>
      <c r="B4672" t="s">
        <v>1102</v>
      </c>
      <c r="E4672" t="str">
        <f>IF(OR(E4671="&lt;/routeDistribution&gt;",E4671=""),"",IFERROR(_xlfn.CONCAT(VLOOKUP(BL8,Route_Column!#REF!,2,FALSE),CHAR(34)," probability=",CHAR(34),1/BL$4,CHAR(34),CHAR(47),CHAR(62)),"&lt;/routeDistribution&gt;"))</f>
        <v/>
      </c>
    </row>
    <row r="4673" spans="1:5" x14ac:dyDescent="0.25">
      <c r="A4673" t="s">
        <v>1773</v>
      </c>
      <c r="B4673" t="s">
        <v>1110</v>
      </c>
      <c r="E4673" t="str">
        <f>IF(OR(E4672="&lt;/routeDistribution&gt;",E4672=""),"",IFERROR(_xlfn.CONCAT(VLOOKUP(BL9,Route_Column!#REF!,2,FALSE),CHAR(34)," probability=",CHAR(34),1/BL$4,CHAR(34),CHAR(47),CHAR(62)),"&lt;/routeDistribution&gt;"))</f>
        <v/>
      </c>
    </row>
    <row r="4674" spans="1:5" x14ac:dyDescent="0.25">
      <c r="A4674" t="s">
        <v>1773</v>
      </c>
      <c r="B4674" t="s">
        <v>1112</v>
      </c>
      <c r="E4674" t="str">
        <f>IF(OR(E4673="&lt;/routeDistribution&gt;",E4673=""),"",IFERROR(_xlfn.CONCAT(VLOOKUP(BL10,Route_Column!#REF!,2,FALSE),CHAR(34)," probability=",CHAR(34),1/BL$4,CHAR(34),CHAR(47),CHAR(62)),"&lt;/routeDistribution&gt;"))</f>
        <v/>
      </c>
    </row>
    <row r="4675" spans="1:5" x14ac:dyDescent="0.25">
      <c r="A4675" t="s">
        <v>1773</v>
      </c>
      <c r="B4675" t="s">
        <v>1130</v>
      </c>
      <c r="E4675" t="str">
        <f>IF(OR(E4674="&lt;/routeDistribution&gt;",E4674=""),"",IFERROR(_xlfn.CONCAT(VLOOKUP(BL11,Route_Column!#REF!,2,FALSE),CHAR(34)," probability=",CHAR(34),1/BL$4,CHAR(34),CHAR(47),CHAR(62)),"&lt;/routeDistribution&gt;"))</f>
        <v/>
      </c>
    </row>
    <row r="4676" spans="1:5" x14ac:dyDescent="0.25">
      <c r="A4676" t="s">
        <v>1773</v>
      </c>
      <c r="B4676" t="s">
        <v>1131</v>
      </c>
      <c r="E4676" t="str">
        <f>IF(OR(E4675="&lt;/routeDistribution&gt;",E4675=""),"",IFERROR(_xlfn.CONCAT(VLOOKUP(BL12,Route_Column!#REF!,2,FALSE),CHAR(34)," probability=",CHAR(34),1/BL$4,CHAR(34),CHAR(47),CHAR(62)),"&lt;/routeDistribution&gt;"))</f>
        <v/>
      </c>
    </row>
    <row r="4677" spans="1:5" x14ac:dyDescent="0.25">
      <c r="A4677" t="s">
        <v>1773</v>
      </c>
      <c r="B4677" t="s">
        <v>1134</v>
      </c>
      <c r="E4677" t="str">
        <f>IF(OR(E4676="&lt;/routeDistribution&gt;",E4676=""),"",IFERROR(_xlfn.CONCAT(VLOOKUP(BL13,Route_Column!#REF!,2,FALSE),CHAR(34)," probability=",CHAR(34),1/BL$4,CHAR(34),CHAR(47),CHAR(62)),"&lt;/routeDistribution&gt;"))</f>
        <v/>
      </c>
    </row>
    <row r="4678" spans="1:5" x14ac:dyDescent="0.25">
      <c r="A4678" t="s">
        <v>1773</v>
      </c>
      <c r="B4678" t="s">
        <v>1138</v>
      </c>
      <c r="E4678" t="str">
        <f>IF(OR(E4677="&lt;/routeDistribution&gt;",E4677=""),"",IFERROR(_xlfn.CONCAT(VLOOKUP(BL14,Route_Column!#REF!,2,FALSE),CHAR(34)," probability=",CHAR(34),1/BL$4,CHAR(34),CHAR(47),CHAR(62)),"&lt;/routeDistribution&gt;"))</f>
        <v/>
      </c>
    </row>
    <row r="4679" spans="1:5" x14ac:dyDescent="0.25">
      <c r="A4679" t="s">
        <v>1773</v>
      </c>
      <c r="B4679" t="s">
        <v>1145</v>
      </c>
      <c r="E4679" t="str">
        <f>IF(OR(E4678="&lt;/routeDistribution&gt;",E4678=""),"",IFERROR(_xlfn.CONCAT(VLOOKUP(BL15,Route_Column!#REF!,2,FALSE),CHAR(34)," probability=",CHAR(34),1/BL$4,CHAR(34),CHAR(47),CHAR(62)),"&lt;/routeDistribution&gt;"))</f>
        <v/>
      </c>
    </row>
    <row r="4680" spans="1:5" x14ac:dyDescent="0.25">
      <c r="A4680" t="s">
        <v>1773</v>
      </c>
      <c r="B4680" t="s">
        <v>1154</v>
      </c>
      <c r="E4680" t="str">
        <f>IF(OR(E4679="&lt;/routeDistribution&gt;",E4679=""),"",IFERROR(_xlfn.CONCAT(VLOOKUP(BL16,Route_Column!#REF!,2,FALSE),CHAR(34)," probability=",CHAR(34),1/BL$4,CHAR(34),CHAR(47),CHAR(62)),"&lt;/routeDistribution&gt;"))</f>
        <v/>
      </c>
    </row>
    <row r="4681" spans="1:5" x14ac:dyDescent="0.25">
      <c r="A4681" t="s">
        <v>1773</v>
      </c>
      <c r="B4681" t="s">
        <v>1180</v>
      </c>
      <c r="E4681" t="str">
        <f>IF(OR(E4680="&lt;/routeDistribution&gt;",E4680=""),"",IFERROR(_xlfn.CONCAT(VLOOKUP(BL17,Route_Column!#REF!,2,FALSE),CHAR(34)," probability=",CHAR(34),1/BL$4,CHAR(34),CHAR(47),CHAR(62)),"&lt;/routeDistribution&gt;"))</f>
        <v/>
      </c>
    </row>
    <row r="4682" spans="1:5" x14ac:dyDescent="0.25">
      <c r="A4682" t="s">
        <v>1773</v>
      </c>
      <c r="B4682" t="s">
        <v>1181</v>
      </c>
      <c r="E4682" t="str">
        <f>IF(OR(E4681="&lt;/routeDistribution&gt;",E4681=""),"",IFERROR(_xlfn.CONCAT(VLOOKUP(BL18,Route_Column!#REF!,2,FALSE),CHAR(34)," probability=",CHAR(34),1/BL$4,CHAR(34),CHAR(47),CHAR(62)),"&lt;/routeDistribution&gt;"))</f>
        <v/>
      </c>
    </row>
    <row r="4683" spans="1:5" x14ac:dyDescent="0.25">
      <c r="A4683" t="s">
        <v>1773</v>
      </c>
      <c r="B4683" t="s">
        <v>1201</v>
      </c>
      <c r="E4683" t="str">
        <f>IF(OR(E4682="&lt;/routeDistribution&gt;",E4682=""),"",IFERROR(_xlfn.CONCAT(VLOOKUP(BL19,Route_Column!#REF!,2,FALSE),CHAR(34)," probability=",CHAR(34),1/BL$4,CHAR(34),CHAR(47),CHAR(62)),"&lt;/routeDistribution&gt;"))</f>
        <v/>
      </c>
    </row>
    <row r="4684" spans="1:5" x14ac:dyDescent="0.25">
      <c r="A4684" t="s">
        <v>1773</v>
      </c>
      <c r="B4684" t="s">
        <v>1206</v>
      </c>
      <c r="E4684" t="str">
        <f>IF(OR(E4683="&lt;/routeDistribution&gt;",E4683=""),"",IFERROR(_xlfn.CONCAT(VLOOKUP(BL20,Route_Column!#REF!,2,FALSE),CHAR(34)," probability=",CHAR(34),1/BL$4,CHAR(34),CHAR(47),CHAR(62)),"&lt;/routeDistribution&gt;"))</f>
        <v/>
      </c>
    </row>
    <row r="4685" spans="1:5" x14ac:dyDescent="0.25">
      <c r="A4685" t="s">
        <v>1584</v>
      </c>
      <c r="B4685" t="s">
        <v>1096</v>
      </c>
      <c r="E4685" t="str">
        <f>IF(OR(E4684="&lt;/routeDistribution&gt;",E4684=""),"",IFERROR(_xlfn.CONCAT(VLOOKUP(BL21,Route_Column!#REF!,2,FALSE),CHAR(34)," probability=",CHAR(34),1/BL$4,CHAR(34),CHAR(47),CHAR(62)),"&lt;/routeDistribution&gt;"))</f>
        <v/>
      </c>
    </row>
    <row r="4686" spans="1:5" x14ac:dyDescent="0.25">
      <c r="A4686" t="s">
        <v>1584</v>
      </c>
      <c r="B4686" t="s">
        <v>1097</v>
      </c>
      <c r="E4686" t="str">
        <f>IF(OR(E4685="&lt;/routeDistribution&gt;",E4685=""),"",IFERROR(_xlfn.CONCAT(VLOOKUP(BL22,Route_Column!#REF!,2,FALSE),CHAR(34)," probability=",CHAR(34),1/BL$4,CHAR(34),CHAR(47),CHAR(62)),"&lt;/routeDistribution&gt;"))</f>
        <v/>
      </c>
    </row>
    <row r="4687" spans="1:5" x14ac:dyDescent="0.25">
      <c r="A4687" t="s">
        <v>1584</v>
      </c>
      <c r="B4687" t="s">
        <v>1098</v>
      </c>
      <c r="E4687" t="str">
        <f>IF(OR(E4686="&lt;/routeDistribution&gt;",E4686=""),"",IFERROR(_xlfn.CONCAT(VLOOKUP(BL23,Route_Column!#REF!,2,FALSE),CHAR(34)," probability=",CHAR(34),1/BL$4,CHAR(34),CHAR(47),CHAR(62)),"&lt;/routeDistribution&gt;"))</f>
        <v/>
      </c>
    </row>
    <row r="4688" spans="1:5" x14ac:dyDescent="0.25">
      <c r="A4688" t="s">
        <v>1584</v>
      </c>
      <c r="B4688" t="s">
        <v>1099</v>
      </c>
      <c r="E4688" t="str">
        <f>IF(OR(E4687="&lt;/routeDistribution&gt;",E4687=""),"",IFERROR(_xlfn.CONCAT(VLOOKUP(BL24,Route_Column!#REF!,2,FALSE),CHAR(34)," probability=",CHAR(34),1/BL$4,CHAR(34),CHAR(47),CHAR(62)),"&lt;/routeDistribution&gt;"))</f>
        <v/>
      </c>
    </row>
    <row r="4689" spans="1:5" x14ac:dyDescent="0.25">
      <c r="A4689" t="s">
        <v>1584</v>
      </c>
      <c r="B4689" t="s">
        <v>1100</v>
      </c>
      <c r="E4689" t="str">
        <f>IF(OR(E4688="&lt;/routeDistribution&gt;",E4688=""),"",IFERROR(_xlfn.CONCAT(VLOOKUP(BL25,Route_Column!#REF!,2,FALSE),CHAR(34)," probability=",CHAR(34),1/BL$4,CHAR(34),CHAR(47),CHAR(62)),"&lt;/routeDistribution&gt;"))</f>
        <v/>
      </c>
    </row>
    <row r="4690" spans="1:5" x14ac:dyDescent="0.25">
      <c r="A4690" t="s">
        <v>1584</v>
      </c>
      <c r="B4690" t="s">
        <v>1101</v>
      </c>
      <c r="E4690" t="str">
        <f>IF(OR(E4689="&lt;/routeDistribution&gt;",E4689=""),"",IFERROR(_xlfn.CONCAT(VLOOKUP(BL26,Route_Column!#REF!,2,FALSE),CHAR(34)," probability=",CHAR(34),1/BL$4,CHAR(34),CHAR(47),CHAR(62)),"&lt;/routeDistribution&gt;"))</f>
        <v/>
      </c>
    </row>
    <row r="4691" spans="1:5" x14ac:dyDescent="0.25">
      <c r="A4691" t="s">
        <v>1584</v>
      </c>
      <c r="B4691" t="s">
        <v>1102</v>
      </c>
      <c r="E4691" t="str">
        <f>IF(OR(E4690="&lt;/routeDistribution&gt;",E4690=""),"",IFERROR(_xlfn.CONCAT(VLOOKUP(BL27,Route_Column!#REF!,2,FALSE),CHAR(34)," probability=",CHAR(34),1/BL$4,CHAR(34),CHAR(47),CHAR(62)),"&lt;/routeDistribution&gt;"))</f>
        <v/>
      </c>
    </row>
    <row r="4692" spans="1:5" x14ac:dyDescent="0.25">
      <c r="A4692" t="s">
        <v>1584</v>
      </c>
      <c r="B4692" t="s">
        <v>1103</v>
      </c>
      <c r="E4692" t="str">
        <f>IF(OR(E4691="&lt;/routeDistribution&gt;",E4691=""),"",IFERROR(_xlfn.CONCAT(VLOOKUP(BL28,Route_Column!#REF!,2,FALSE),CHAR(34)," probability=",CHAR(34),1/BL$4,CHAR(34),CHAR(47),CHAR(62)),"&lt;/routeDistribution&gt;"))</f>
        <v/>
      </c>
    </row>
    <row r="4693" spans="1:5" x14ac:dyDescent="0.25">
      <c r="A4693" t="s">
        <v>1584</v>
      </c>
      <c r="B4693" t="s">
        <v>1104</v>
      </c>
      <c r="E4693" t="str">
        <f>IF(OR(E4692="&lt;/routeDistribution&gt;",E4692=""),"",IFERROR(_xlfn.CONCAT(VLOOKUP(BL29,Route_Column!#REF!,2,FALSE),CHAR(34)," probability=",CHAR(34),1/BL$4,CHAR(34),CHAR(47),CHAR(62)),"&lt;/routeDistribution&gt;"))</f>
        <v/>
      </c>
    </row>
    <row r="4694" spans="1:5" x14ac:dyDescent="0.25">
      <c r="A4694" t="s">
        <v>1584</v>
      </c>
      <c r="B4694" t="s">
        <v>1105</v>
      </c>
      <c r="E4694" t="str">
        <f>IF(OR(E4693="&lt;/routeDistribution&gt;",E4693=""),"",IFERROR(_xlfn.CONCAT(VLOOKUP(BL30,Route_Column!#REF!,2,FALSE),CHAR(34)," probability=",CHAR(34),1/BL$4,CHAR(34),CHAR(47),CHAR(62)),"&lt;/routeDistribution&gt;"))</f>
        <v/>
      </c>
    </row>
    <row r="4695" spans="1:5" x14ac:dyDescent="0.25">
      <c r="A4695" t="s">
        <v>1584</v>
      </c>
      <c r="B4695" t="s">
        <v>1106</v>
      </c>
      <c r="E4695" t="str">
        <f>IF(OR(E4694="&lt;/routeDistribution&gt;",E4694=""),"",IFERROR(_xlfn.CONCAT(VLOOKUP(BL31,Route_Column!#REF!,2,FALSE),CHAR(34)," probability=",CHAR(34),1/BL$4,CHAR(34),CHAR(47),CHAR(62)),"&lt;/routeDistribution&gt;"))</f>
        <v/>
      </c>
    </row>
    <row r="4696" spans="1:5" x14ac:dyDescent="0.25">
      <c r="A4696" t="s">
        <v>1584</v>
      </c>
      <c r="B4696" t="s">
        <v>1161</v>
      </c>
      <c r="E4696" t="str">
        <f>IF(OR(E4695="&lt;/routeDistribution&gt;",E4695=""),"",IFERROR(_xlfn.CONCAT(VLOOKUP(BL32,Route_Column!#REF!,2,FALSE),CHAR(34)," probability=",CHAR(34),1/BL$4,CHAR(34),CHAR(47),CHAR(62)),"&lt;/routeDistribution&gt;"))</f>
        <v/>
      </c>
    </row>
    <row r="4697" spans="1:5" x14ac:dyDescent="0.25">
      <c r="A4697" t="s">
        <v>1584</v>
      </c>
      <c r="B4697" t="s">
        <v>1162</v>
      </c>
      <c r="E4697" t="str">
        <f>IF(OR(E4696="&lt;/routeDistribution&gt;",E4696=""),"",IFERROR(_xlfn.CONCAT(VLOOKUP(BL33,Route_Column!#REF!,2,FALSE),CHAR(34)," probability=",CHAR(34),1/BL$4,CHAR(34),CHAR(47),CHAR(62)),"&lt;/routeDistribution&gt;"))</f>
        <v/>
      </c>
    </row>
    <row r="4698" spans="1:5" x14ac:dyDescent="0.25">
      <c r="A4698" t="s">
        <v>1584</v>
      </c>
      <c r="B4698" t="s">
        <v>1163</v>
      </c>
      <c r="E4698" t="str">
        <f>IF(OR(E4697="&lt;/routeDistribution&gt;",E4697=""),"",IFERROR(_xlfn.CONCAT(VLOOKUP(BL34,Route_Column!#REF!,2,FALSE),CHAR(34)," probability=",CHAR(34),1/BL$4,CHAR(34),CHAR(47),CHAR(62)),"&lt;/routeDistribution&gt;"))</f>
        <v/>
      </c>
    </row>
    <row r="4699" spans="1:5" x14ac:dyDescent="0.25">
      <c r="A4699" t="s">
        <v>1584</v>
      </c>
      <c r="B4699" t="s">
        <v>1164</v>
      </c>
      <c r="E4699" t="str">
        <f>IF(OR(E4698="&lt;/routeDistribution&gt;",E4698=""),"",IFERROR(_xlfn.CONCAT(VLOOKUP(BL35,Route_Column!#REF!,2,FALSE),CHAR(34)," probability=",CHAR(34),1/BL$4,CHAR(34),CHAR(47),CHAR(62)),"&lt;/routeDistribution&gt;"))</f>
        <v/>
      </c>
    </row>
    <row r="4700" spans="1:5" x14ac:dyDescent="0.25">
      <c r="A4700" t="s">
        <v>1584</v>
      </c>
      <c r="B4700" t="s">
        <v>1191</v>
      </c>
      <c r="E4700" t="str">
        <f>IF(OR(E4699="&lt;/routeDistribution&gt;",E4699=""),"",IFERROR(_xlfn.CONCAT(VLOOKUP(BL36,Route_Column!#REF!,2,FALSE),CHAR(34)," probability=",CHAR(34),1/BL$4,CHAR(34),CHAR(47),CHAR(62)),"&lt;/routeDistribution&gt;"))</f>
        <v/>
      </c>
    </row>
    <row r="4701" spans="1:5" x14ac:dyDescent="0.25">
      <c r="A4701" t="s">
        <v>1772</v>
      </c>
      <c r="B4701" t="s">
        <v>1102</v>
      </c>
      <c r="E4701" t="str">
        <f>IF(OR(E4700="&lt;/routeDistribution&gt;",E4700=""),"",IFERROR(_xlfn.CONCAT(VLOOKUP(BL37,Route_Column!#REF!,2,FALSE),CHAR(34)," probability=",CHAR(34),1/BL$4,CHAR(34),CHAR(47),CHAR(62)),"&lt;/routeDistribution&gt;"))</f>
        <v/>
      </c>
    </row>
    <row r="4702" spans="1:5" x14ac:dyDescent="0.25">
      <c r="A4702" t="s">
        <v>1772</v>
      </c>
      <c r="B4702" t="s">
        <v>1110</v>
      </c>
      <c r="E4702" t="str">
        <f>IF(OR(E4701="&lt;/routeDistribution&gt;",E4701=""),"",IFERROR(_xlfn.CONCAT(VLOOKUP(BL38,Route_Column!#REF!,2,FALSE),CHAR(34)," probability=",CHAR(34),1/BL$4,CHAR(34),CHAR(47),CHAR(62)),"&lt;/routeDistribution&gt;"))</f>
        <v/>
      </c>
    </row>
    <row r="4703" spans="1:5" x14ac:dyDescent="0.25">
      <c r="A4703" t="s">
        <v>1772</v>
      </c>
      <c r="B4703" t="s">
        <v>1112</v>
      </c>
      <c r="E4703" t="str">
        <f>IF(OR(E4702="&lt;/routeDistribution&gt;",E4702=""),"",IFERROR(_xlfn.CONCAT(VLOOKUP(BL39,Route_Column!#REF!,2,FALSE),CHAR(34)," probability=",CHAR(34),1/BL$4,CHAR(34),CHAR(47),CHAR(62)),"&lt;/routeDistribution&gt;"))</f>
        <v/>
      </c>
    </row>
    <row r="4704" spans="1:5" x14ac:dyDescent="0.25">
      <c r="A4704" t="s">
        <v>1772</v>
      </c>
      <c r="B4704" t="s">
        <v>1130</v>
      </c>
      <c r="E4704" t="str">
        <f>IF(OR(E4703="&lt;/routeDistribution&gt;",E4703=""),"",IFERROR(_xlfn.CONCAT(VLOOKUP(BL40,Route_Column!#REF!,2,FALSE),CHAR(34)," probability=",CHAR(34),1/BL$4,CHAR(34),CHAR(47),CHAR(62)),"&lt;/routeDistribution&gt;"))</f>
        <v/>
      </c>
    </row>
    <row r="4705" spans="1:5" x14ac:dyDescent="0.25">
      <c r="A4705" t="s">
        <v>1772</v>
      </c>
      <c r="B4705" t="s">
        <v>1131</v>
      </c>
      <c r="E4705" t="str">
        <f>IF(OR(E4704="&lt;/routeDistribution&gt;",E4704=""),"",IFERROR(_xlfn.CONCAT(VLOOKUP(BL41,Route_Column!#REF!,2,FALSE),CHAR(34)," probability=",CHAR(34),1/BL$4,CHAR(34),CHAR(47),CHAR(62)),"&lt;/routeDistribution&gt;"))</f>
        <v/>
      </c>
    </row>
    <row r="4706" spans="1:5" x14ac:dyDescent="0.25">
      <c r="A4706" t="s">
        <v>1772</v>
      </c>
      <c r="B4706" t="s">
        <v>1134</v>
      </c>
      <c r="E4706" t="str">
        <f>IF(OR(E4705="&lt;/routeDistribution&gt;",E4705=""),"",IFERROR(_xlfn.CONCAT(VLOOKUP(BL42,Route_Column!#REF!,2,FALSE),CHAR(34)," probability=",CHAR(34),1/BL$4,CHAR(34),CHAR(47),CHAR(62)),"&lt;/routeDistribution&gt;"))</f>
        <v/>
      </c>
    </row>
    <row r="4707" spans="1:5" x14ac:dyDescent="0.25">
      <c r="A4707" t="s">
        <v>1772</v>
      </c>
      <c r="B4707" t="s">
        <v>1138</v>
      </c>
      <c r="E4707" t="str">
        <f>IF(OR(E4706="&lt;/routeDistribution&gt;",E4706=""),"",IFERROR(_xlfn.CONCAT(VLOOKUP(BL43,Route_Column!#REF!,2,FALSE),CHAR(34)," probability=",CHAR(34),1/BL$4,CHAR(34),CHAR(47),CHAR(62)),"&lt;/routeDistribution&gt;"))</f>
        <v/>
      </c>
    </row>
    <row r="4708" spans="1:5" x14ac:dyDescent="0.25">
      <c r="A4708" t="s">
        <v>1772</v>
      </c>
      <c r="B4708" t="s">
        <v>1145</v>
      </c>
      <c r="E4708" t="str">
        <f>IF(OR(E4707="&lt;/routeDistribution&gt;",E4707=""),"",IFERROR(_xlfn.CONCAT(VLOOKUP(BL44,Route_Column!#REF!,2,FALSE),CHAR(34)," probability=",CHAR(34),1/BL$4,CHAR(34),CHAR(47),CHAR(62)),"&lt;/routeDistribution&gt;"))</f>
        <v/>
      </c>
    </row>
    <row r="4709" spans="1:5" x14ac:dyDescent="0.25">
      <c r="A4709" t="s">
        <v>1772</v>
      </c>
      <c r="B4709" t="s">
        <v>1154</v>
      </c>
      <c r="E4709" t="str">
        <f>IF(OR(E4708="&lt;/routeDistribution&gt;",E4708=""),"",IFERROR(_xlfn.CONCAT(VLOOKUP(BL45,Route_Column!#REF!,2,FALSE),CHAR(34)," probability=",CHAR(34),1/BL$4,CHAR(34),CHAR(47),CHAR(62)),"&lt;/routeDistribution&gt;"))</f>
        <v/>
      </c>
    </row>
    <row r="4710" spans="1:5" x14ac:dyDescent="0.25">
      <c r="A4710" t="s">
        <v>1772</v>
      </c>
      <c r="B4710" t="s">
        <v>1180</v>
      </c>
      <c r="E4710" t="str">
        <f>IF(OR(E4709="&lt;/routeDistribution&gt;",E4709=""),"",IFERROR(_xlfn.CONCAT(VLOOKUP(BL46,Route_Column!#REF!,2,FALSE),CHAR(34)," probability=",CHAR(34),1/BL$4,CHAR(34),CHAR(47),CHAR(62)),"&lt;/routeDistribution&gt;"))</f>
        <v/>
      </c>
    </row>
    <row r="4711" spans="1:5" x14ac:dyDescent="0.25">
      <c r="A4711" t="s">
        <v>1772</v>
      </c>
      <c r="B4711" t="s">
        <v>1181</v>
      </c>
      <c r="E4711" t="str">
        <f>IF(OR(E4710="&lt;/routeDistribution&gt;",E4710=""),"",IFERROR(_xlfn.CONCAT(VLOOKUP(BL47,Route_Column!#REF!,2,FALSE),CHAR(34)," probability=",CHAR(34),1/BL$4,CHAR(34),CHAR(47),CHAR(62)),"&lt;/routeDistribution&gt;"))</f>
        <v/>
      </c>
    </row>
    <row r="4712" spans="1:5" x14ac:dyDescent="0.25">
      <c r="A4712" t="s">
        <v>1772</v>
      </c>
      <c r="B4712" t="s">
        <v>1201</v>
      </c>
      <c r="E4712" t="str">
        <f>IF(OR(E4711="&lt;/routeDistribution&gt;",E4711=""),"",IFERROR(_xlfn.CONCAT(VLOOKUP(BL48,Route_Column!#REF!,2,FALSE),CHAR(34)," probability=",CHAR(34),1/BL$4,CHAR(34),CHAR(47),CHAR(62)),"&lt;/routeDistribution&gt;"))</f>
        <v/>
      </c>
    </row>
    <row r="4713" spans="1:5" x14ac:dyDescent="0.25">
      <c r="A4713" t="s">
        <v>1772</v>
      </c>
      <c r="B4713" t="s">
        <v>1206</v>
      </c>
      <c r="E4713" t="str">
        <f>IF(OR(E4712="&lt;/routeDistribution&gt;",E4712=""),"",IFERROR(_xlfn.CONCAT(VLOOKUP(BL49,Route_Column!#REF!,2,FALSE),CHAR(34)," probability=",CHAR(34),1/BL$4,CHAR(34),CHAR(47),CHAR(62)),"&lt;/routeDistribution&gt;"))</f>
        <v/>
      </c>
    </row>
    <row r="4714" spans="1:5" x14ac:dyDescent="0.25">
      <c r="A4714" t="s">
        <v>1585</v>
      </c>
      <c r="B4714" t="s">
        <v>1096</v>
      </c>
      <c r="E4714" t="str">
        <f>IF(OR(E4713="&lt;/routeDistribution&gt;",E4713=""),"",IFERROR(_xlfn.CONCAT(VLOOKUP(BL50,Route_Column!#REF!,2,FALSE),CHAR(34)," probability=",CHAR(34),1/BL$4,CHAR(34),CHAR(47),CHAR(62)),"&lt;/routeDistribution&gt;"))</f>
        <v/>
      </c>
    </row>
    <row r="4715" spans="1:5" x14ac:dyDescent="0.25">
      <c r="A4715" t="s">
        <v>1585</v>
      </c>
      <c r="B4715" t="s">
        <v>1097</v>
      </c>
      <c r="E4715" t="str">
        <f>IF(OR(E4714="&lt;/routeDistribution&gt;",E4714=""),"",IFERROR(_xlfn.CONCAT(VLOOKUP(BL51,Route_Column!#REF!,2,FALSE),CHAR(34)," probability=",CHAR(34),1/BL$4,CHAR(34),CHAR(47),CHAR(62)),"&lt;/routeDistribution&gt;"))</f>
        <v/>
      </c>
    </row>
    <row r="4716" spans="1:5" x14ac:dyDescent="0.25">
      <c r="A4716" t="s">
        <v>1585</v>
      </c>
      <c r="B4716" t="s">
        <v>1098</v>
      </c>
      <c r="E4716" t="str">
        <f>IF(OR(E4715="&lt;/routeDistribution&gt;",E4715=""),"",IFERROR(_xlfn.CONCAT(VLOOKUP(BL52,Route_Column!#REF!,2,FALSE),CHAR(34)," probability=",CHAR(34),1/BL$4,CHAR(34),CHAR(47),CHAR(62)),"&lt;/routeDistribution&gt;"))</f>
        <v/>
      </c>
    </row>
    <row r="4717" spans="1:5" x14ac:dyDescent="0.25">
      <c r="A4717" t="s">
        <v>1585</v>
      </c>
      <c r="B4717" t="s">
        <v>1099</v>
      </c>
      <c r="E4717" t="str">
        <f>IF(OR(E4716="&lt;/routeDistribution&gt;",E4716=""),"",IFERROR(_xlfn.CONCAT(VLOOKUP(BL53,Route_Column!#REF!,2,FALSE),CHAR(34)," probability=",CHAR(34),1/BL$4,CHAR(34),CHAR(47),CHAR(62)),"&lt;/routeDistribution&gt;"))</f>
        <v/>
      </c>
    </row>
    <row r="4718" spans="1:5" x14ac:dyDescent="0.25">
      <c r="A4718" t="s">
        <v>1585</v>
      </c>
      <c r="B4718" t="s">
        <v>1100</v>
      </c>
      <c r="E4718" t="str">
        <f>IF(OR(E4717="&lt;/routeDistribution&gt;",E4717=""),"",IFERROR(_xlfn.CONCAT(VLOOKUP(BL54,Route_Column!#REF!,2,FALSE),CHAR(34)," probability=",CHAR(34),1/BL$4,CHAR(34),CHAR(47),CHAR(62)),"&lt;/routeDistribution&gt;"))</f>
        <v/>
      </c>
    </row>
    <row r="4719" spans="1:5" x14ac:dyDescent="0.25">
      <c r="A4719" t="s">
        <v>1585</v>
      </c>
      <c r="B4719" t="s">
        <v>1101</v>
      </c>
      <c r="E4719" t="str">
        <f>IF(OR(E4718="&lt;/routeDistribution&gt;",E4718=""),"",IFERROR(_xlfn.CONCAT(VLOOKUP(BL55,Route_Column!#REF!,2,FALSE),CHAR(34)," probability=",CHAR(34),1/BL$4,CHAR(34),CHAR(47),CHAR(62)),"&lt;/routeDistribution&gt;"))</f>
        <v/>
      </c>
    </row>
    <row r="4720" spans="1:5" x14ac:dyDescent="0.25">
      <c r="A4720" t="s">
        <v>1585</v>
      </c>
      <c r="B4720" t="s">
        <v>1102</v>
      </c>
      <c r="E4720" t="str">
        <f>IF(OR(E4719="&lt;/routeDistribution&gt;",E4719=""),"",IFERROR(_xlfn.CONCAT(VLOOKUP(BL56,Route_Column!#REF!,2,FALSE),CHAR(34)," probability=",CHAR(34),1/BL$4,CHAR(34),CHAR(47),CHAR(62)),"&lt;/routeDistribution&gt;"))</f>
        <v/>
      </c>
    </row>
    <row r="4721" spans="1:5" x14ac:dyDescent="0.25">
      <c r="A4721" t="s">
        <v>1585</v>
      </c>
      <c r="B4721" t="s">
        <v>1103</v>
      </c>
      <c r="E4721" t="str">
        <f>IF(OR(E4720="&lt;/routeDistribution&gt;",E4720=""),"",IFERROR(_xlfn.CONCAT(VLOOKUP(BL57,Route_Column!#REF!,2,FALSE),CHAR(34)," probability=",CHAR(34),1/BL$4,CHAR(34),CHAR(47),CHAR(62)),"&lt;/routeDistribution&gt;"))</f>
        <v/>
      </c>
    </row>
    <row r="4722" spans="1:5" x14ac:dyDescent="0.25">
      <c r="A4722" t="s">
        <v>1585</v>
      </c>
      <c r="B4722" t="s">
        <v>1104</v>
      </c>
      <c r="E4722" t="str">
        <f>IF(OR(E4721="&lt;/routeDistribution&gt;",E4721=""),"",IFERROR(_xlfn.CONCAT(VLOOKUP(BL58,Route_Column!#REF!,2,FALSE),CHAR(34)," probability=",CHAR(34),1/BL$4,CHAR(34),CHAR(47),CHAR(62)),"&lt;/routeDistribution&gt;"))</f>
        <v/>
      </c>
    </row>
    <row r="4723" spans="1:5" x14ac:dyDescent="0.25">
      <c r="A4723" t="s">
        <v>1585</v>
      </c>
      <c r="B4723" t="s">
        <v>1105</v>
      </c>
      <c r="E4723" t="str">
        <f>IF(OR(E4722="&lt;/routeDistribution&gt;",E4722=""),"",IFERROR(_xlfn.CONCAT(VLOOKUP(BL59,Route_Column!#REF!,2,FALSE),CHAR(34)," probability=",CHAR(34),1/BL$4,CHAR(34),CHAR(47),CHAR(62)),"&lt;/routeDistribution&gt;"))</f>
        <v/>
      </c>
    </row>
    <row r="4724" spans="1:5" x14ac:dyDescent="0.25">
      <c r="A4724" t="s">
        <v>1585</v>
      </c>
      <c r="B4724" t="s">
        <v>1106</v>
      </c>
      <c r="E4724" t="str">
        <f>IF(OR(E4723="&lt;/routeDistribution&gt;",E4723=""),"",IFERROR(_xlfn.CONCAT(VLOOKUP(BL60,Route_Column!#REF!,2,FALSE),CHAR(34)," probability=",CHAR(34),1/BL$4,CHAR(34),CHAR(47),CHAR(62)),"&lt;/routeDistribution&gt;"))</f>
        <v/>
      </c>
    </row>
    <row r="4725" spans="1:5" x14ac:dyDescent="0.25">
      <c r="A4725" t="s">
        <v>1585</v>
      </c>
      <c r="B4725" t="s">
        <v>1107</v>
      </c>
      <c r="E4725" t="str">
        <f>IF(OR(E4724="&lt;/routeDistribution&gt;",E4724=""),"",IFERROR(_xlfn.CONCAT(VLOOKUP(BL61,Route_Column!#REF!,2,FALSE),CHAR(34)," probability=",CHAR(34),1/BL$4,CHAR(34),CHAR(47),CHAR(62)),"&lt;/routeDistribution&gt;"))</f>
        <v/>
      </c>
    </row>
    <row r="4726" spans="1:5" x14ac:dyDescent="0.25">
      <c r="A4726" t="s">
        <v>1585</v>
      </c>
      <c r="B4726" t="s">
        <v>1107</v>
      </c>
      <c r="E4726" t="str">
        <f>IF(OR(E4725="&lt;/routeDistribution&gt;",E4725=""),"",IFERROR(_xlfn.CONCAT(VLOOKUP(BL62,Route_Column!#REF!,2,FALSE),CHAR(34)," probability=",CHAR(34),1/BL$4,CHAR(34),CHAR(47),CHAR(62)),"&lt;/routeDistribution&gt;"))</f>
        <v/>
      </c>
    </row>
    <row r="4727" spans="1:5" x14ac:dyDescent="0.25">
      <c r="A4727" t="s">
        <v>1585</v>
      </c>
      <c r="B4727" t="s">
        <v>1142</v>
      </c>
      <c r="E4727" t="str">
        <f>IF(OR(E4726="&lt;/routeDistribution&gt;",E4726=""),"",IFERROR(_xlfn.CONCAT(VLOOKUP(BL63,Route_Column!#REF!,2,FALSE),CHAR(34)," probability=",CHAR(34),1/BL$4,CHAR(34),CHAR(47),CHAR(62)),"&lt;/routeDistribution&gt;"))</f>
        <v/>
      </c>
    </row>
    <row r="4728" spans="1:5" x14ac:dyDescent="0.25">
      <c r="A4728" t="s">
        <v>1585</v>
      </c>
      <c r="B4728" t="s">
        <v>1148</v>
      </c>
      <c r="E4728" t="s">
        <v>2686</v>
      </c>
    </row>
    <row r="4729" spans="1:5" x14ac:dyDescent="0.25">
      <c r="A4729" t="s">
        <v>1585</v>
      </c>
      <c r="B4729" t="s">
        <v>1161</v>
      </c>
    </row>
    <row r="4730" spans="1:5" x14ac:dyDescent="0.25">
      <c r="A4730" t="s">
        <v>1585</v>
      </c>
      <c r="B4730" t="s">
        <v>1162</v>
      </c>
    </row>
    <row r="4731" spans="1:5" x14ac:dyDescent="0.25">
      <c r="A4731" t="s">
        <v>1585</v>
      </c>
      <c r="B4731" t="s">
        <v>1163</v>
      </c>
      <c r="E4731" t="str">
        <f>_xlfn.CONCAT($E$1,BK$2,$F$1)</f>
        <v>&lt;routeDistribution id="LOMBARD-21st-to-22nd-WB-2011-RouteProbe"&gt;</v>
      </c>
    </row>
    <row r="4732" spans="1:5" x14ac:dyDescent="0.25">
      <c r="A4732" t="s">
        <v>1585</v>
      </c>
      <c r="B4732" t="s">
        <v>1164</v>
      </c>
      <c r="E4732" t="str">
        <f>IF(OR(E4731="&lt;/routeDistribution&gt;",E4731=""),"",IFERROR(_xlfn.CONCAT(VLOOKUP(BK5,Route_Column!#REF!,2,FALSE),CHAR(34)," probability=",CHAR(34),1/BK$4,CHAR(34),CHAR(47),CHAR(62)),"&lt;/routeDistribution&gt;"))</f>
        <v>&lt;/routeDistribution&gt;</v>
      </c>
    </row>
    <row r="4733" spans="1:5" x14ac:dyDescent="0.25">
      <c r="A4733" t="s">
        <v>1585</v>
      </c>
      <c r="B4733" t="s">
        <v>1168</v>
      </c>
      <c r="E4733" t="str">
        <f>IF(OR(E4732="&lt;/routeDistribution&gt;",E4732=""),"",IFERROR(_xlfn.CONCAT(VLOOKUP(BK6,Route_Column!#REF!,2,FALSE),CHAR(34)," probability=",CHAR(34),1/BK$4,CHAR(34),CHAR(47),CHAR(62)),"&lt;/routeDistribution&gt;"))</f>
        <v/>
      </c>
    </row>
    <row r="4734" spans="1:5" x14ac:dyDescent="0.25">
      <c r="A4734" t="s">
        <v>1585</v>
      </c>
      <c r="B4734" t="s">
        <v>1169</v>
      </c>
      <c r="E4734" t="str">
        <f>IF(OR(E4733="&lt;/routeDistribution&gt;",E4733=""),"",IFERROR(_xlfn.CONCAT(VLOOKUP(BK7,Route_Column!#REF!,2,FALSE),CHAR(34)," probability=",CHAR(34),1/BK$4,CHAR(34),CHAR(47),CHAR(62)),"&lt;/routeDistribution&gt;"))</f>
        <v/>
      </c>
    </row>
    <row r="4735" spans="1:5" x14ac:dyDescent="0.25">
      <c r="A4735" t="s">
        <v>1585</v>
      </c>
      <c r="B4735" t="s">
        <v>1170</v>
      </c>
      <c r="E4735" t="str">
        <f>IF(OR(E4734="&lt;/routeDistribution&gt;",E4734=""),"",IFERROR(_xlfn.CONCAT(VLOOKUP(BK8,Route_Column!#REF!,2,FALSE),CHAR(34)," probability=",CHAR(34),1/BK$4,CHAR(34),CHAR(47),CHAR(62)),"&lt;/routeDistribution&gt;"))</f>
        <v/>
      </c>
    </row>
    <row r="4736" spans="1:5" x14ac:dyDescent="0.25">
      <c r="A4736" t="s">
        <v>1585</v>
      </c>
      <c r="B4736" t="s">
        <v>1178</v>
      </c>
      <c r="E4736" t="str">
        <f>IF(OR(E4735="&lt;/routeDistribution&gt;",E4735=""),"",IFERROR(_xlfn.CONCAT(VLOOKUP(BK9,Route_Column!#REF!,2,FALSE),CHAR(34)," probability=",CHAR(34),1/BK$4,CHAR(34),CHAR(47),CHAR(62)),"&lt;/routeDistribution&gt;"))</f>
        <v/>
      </c>
    </row>
    <row r="4737" spans="1:5" x14ac:dyDescent="0.25">
      <c r="A4737" t="s">
        <v>1585</v>
      </c>
      <c r="B4737" t="s">
        <v>1191</v>
      </c>
      <c r="E4737" t="str">
        <f>IF(OR(E4736="&lt;/routeDistribution&gt;",E4736=""),"",IFERROR(_xlfn.CONCAT(VLOOKUP(BK10,Route_Column!#REF!,2,FALSE),CHAR(34)," probability=",CHAR(34),1/BK$4,CHAR(34),CHAR(47),CHAR(62)),"&lt;/routeDistribution&gt;"))</f>
        <v/>
      </c>
    </row>
    <row r="4738" spans="1:5" x14ac:dyDescent="0.25">
      <c r="A4738" t="s">
        <v>1585</v>
      </c>
      <c r="B4738" t="s">
        <v>1202</v>
      </c>
      <c r="E4738" t="str">
        <f>IF(OR(E4737="&lt;/routeDistribution&gt;",E4737=""),"",IFERROR(_xlfn.CONCAT(VLOOKUP(BK11,Route_Column!#REF!,2,FALSE),CHAR(34)," probability=",CHAR(34),1/BK$4,CHAR(34),CHAR(47),CHAR(62)),"&lt;/routeDistribution&gt;"))</f>
        <v/>
      </c>
    </row>
    <row r="4739" spans="1:5" x14ac:dyDescent="0.25">
      <c r="A4739" t="s">
        <v>1771</v>
      </c>
      <c r="B4739" t="s">
        <v>1102</v>
      </c>
      <c r="E4739" t="str">
        <f>IF(OR(E4738="&lt;/routeDistribution&gt;",E4738=""),"",IFERROR(_xlfn.CONCAT(VLOOKUP(BK12,Route_Column!#REF!,2,FALSE),CHAR(34)," probability=",CHAR(34),1/BK$4,CHAR(34),CHAR(47),CHAR(62)),"&lt;/routeDistribution&gt;"))</f>
        <v/>
      </c>
    </row>
    <row r="4740" spans="1:5" x14ac:dyDescent="0.25">
      <c r="A4740" t="s">
        <v>1771</v>
      </c>
      <c r="B4740" t="s">
        <v>1110</v>
      </c>
      <c r="E4740" t="str">
        <f>IF(OR(E4739="&lt;/routeDistribution&gt;",E4739=""),"",IFERROR(_xlfn.CONCAT(VLOOKUP(BK13,Route_Column!#REF!,2,FALSE),CHAR(34)," probability=",CHAR(34),1/BK$4,CHAR(34),CHAR(47),CHAR(62)),"&lt;/routeDistribution&gt;"))</f>
        <v/>
      </c>
    </row>
    <row r="4741" spans="1:5" x14ac:dyDescent="0.25">
      <c r="A4741" t="s">
        <v>1771</v>
      </c>
      <c r="B4741" t="s">
        <v>1112</v>
      </c>
      <c r="E4741" t="str">
        <f>IF(OR(E4740="&lt;/routeDistribution&gt;",E4740=""),"",IFERROR(_xlfn.CONCAT(VLOOKUP(BK14,Route_Column!#REF!,2,FALSE),CHAR(34)," probability=",CHAR(34),1/BK$4,CHAR(34),CHAR(47),CHAR(62)),"&lt;/routeDistribution&gt;"))</f>
        <v/>
      </c>
    </row>
    <row r="4742" spans="1:5" x14ac:dyDescent="0.25">
      <c r="A4742" t="s">
        <v>1771</v>
      </c>
      <c r="B4742" t="s">
        <v>1130</v>
      </c>
      <c r="E4742" t="str">
        <f>IF(OR(E4741="&lt;/routeDistribution&gt;",E4741=""),"",IFERROR(_xlfn.CONCAT(VLOOKUP(BK15,Route_Column!#REF!,2,FALSE),CHAR(34)," probability=",CHAR(34),1/BK$4,CHAR(34),CHAR(47),CHAR(62)),"&lt;/routeDistribution&gt;"))</f>
        <v/>
      </c>
    </row>
    <row r="4743" spans="1:5" x14ac:dyDescent="0.25">
      <c r="A4743" t="s">
        <v>1771</v>
      </c>
      <c r="B4743" t="s">
        <v>1131</v>
      </c>
      <c r="E4743" t="str">
        <f>IF(OR(E4742="&lt;/routeDistribution&gt;",E4742=""),"",IFERROR(_xlfn.CONCAT(VLOOKUP(BK16,Route_Column!#REF!,2,FALSE),CHAR(34)," probability=",CHAR(34),1/BK$4,CHAR(34),CHAR(47),CHAR(62)),"&lt;/routeDistribution&gt;"))</f>
        <v/>
      </c>
    </row>
    <row r="4744" spans="1:5" x14ac:dyDescent="0.25">
      <c r="A4744" t="s">
        <v>1771</v>
      </c>
      <c r="B4744" t="s">
        <v>1134</v>
      </c>
      <c r="E4744" t="str">
        <f>IF(OR(E4743="&lt;/routeDistribution&gt;",E4743=""),"",IFERROR(_xlfn.CONCAT(VLOOKUP(BK17,Route_Column!#REF!,2,FALSE),CHAR(34)," probability=",CHAR(34),1/BK$4,CHAR(34),CHAR(47),CHAR(62)),"&lt;/routeDistribution&gt;"))</f>
        <v/>
      </c>
    </row>
    <row r="4745" spans="1:5" x14ac:dyDescent="0.25">
      <c r="A4745" t="s">
        <v>1771</v>
      </c>
      <c r="B4745" t="s">
        <v>1138</v>
      </c>
      <c r="E4745" t="str">
        <f>IF(OR(E4744="&lt;/routeDistribution&gt;",E4744=""),"",IFERROR(_xlfn.CONCAT(VLOOKUP(BK18,Route_Column!#REF!,2,FALSE),CHAR(34)," probability=",CHAR(34),1/BK$4,CHAR(34),CHAR(47),CHAR(62)),"&lt;/routeDistribution&gt;"))</f>
        <v/>
      </c>
    </row>
    <row r="4746" spans="1:5" x14ac:dyDescent="0.25">
      <c r="A4746" t="s">
        <v>1771</v>
      </c>
      <c r="B4746" t="s">
        <v>1145</v>
      </c>
      <c r="E4746" t="str">
        <f>IF(OR(E4745="&lt;/routeDistribution&gt;",E4745=""),"",IFERROR(_xlfn.CONCAT(VLOOKUP(BK19,Route_Column!#REF!,2,FALSE),CHAR(34)," probability=",CHAR(34),1/BK$4,CHAR(34),CHAR(47),CHAR(62)),"&lt;/routeDistribution&gt;"))</f>
        <v/>
      </c>
    </row>
    <row r="4747" spans="1:5" x14ac:dyDescent="0.25">
      <c r="A4747" t="s">
        <v>1771</v>
      </c>
      <c r="B4747" t="s">
        <v>1154</v>
      </c>
      <c r="E4747" t="str">
        <f>IF(OR(E4746="&lt;/routeDistribution&gt;",E4746=""),"",IFERROR(_xlfn.CONCAT(VLOOKUP(BK20,Route_Column!#REF!,2,FALSE),CHAR(34)," probability=",CHAR(34),1/BK$4,CHAR(34),CHAR(47),CHAR(62)),"&lt;/routeDistribution&gt;"))</f>
        <v/>
      </c>
    </row>
    <row r="4748" spans="1:5" x14ac:dyDescent="0.25">
      <c r="A4748" t="s">
        <v>1771</v>
      </c>
      <c r="B4748" t="s">
        <v>1180</v>
      </c>
      <c r="E4748" t="str">
        <f>IF(OR(E4747="&lt;/routeDistribution&gt;",E4747=""),"",IFERROR(_xlfn.CONCAT(VLOOKUP(BK21,Route_Column!#REF!,2,FALSE),CHAR(34)," probability=",CHAR(34),1/BK$4,CHAR(34),CHAR(47),CHAR(62)),"&lt;/routeDistribution&gt;"))</f>
        <v/>
      </c>
    </row>
    <row r="4749" spans="1:5" x14ac:dyDescent="0.25">
      <c r="A4749" t="s">
        <v>1771</v>
      </c>
      <c r="B4749" t="s">
        <v>1181</v>
      </c>
      <c r="E4749" t="str">
        <f>IF(OR(E4748="&lt;/routeDistribution&gt;",E4748=""),"",IFERROR(_xlfn.CONCAT(VLOOKUP(BK22,Route_Column!#REF!,2,FALSE),CHAR(34)," probability=",CHAR(34),1/BK$4,CHAR(34),CHAR(47),CHAR(62)),"&lt;/routeDistribution&gt;"))</f>
        <v/>
      </c>
    </row>
    <row r="4750" spans="1:5" x14ac:dyDescent="0.25">
      <c r="A4750" t="s">
        <v>1771</v>
      </c>
      <c r="B4750" t="s">
        <v>1201</v>
      </c>
      <c r="E4750" t="str">
        <f>IF(OR(E4749="&lt;/routeDistribution&gt;",E4749=""),"",IFERROR(_xlfn.CONCAT(VLOOKUP(BK23,Route_Column!#REF!,2,FALSE),CHAR(34)," probability=",CHAR(34),1/BK$4,CHAR(34),CHAR(47),CHAR(62)),"&lt;/routeDistribution&gt;"))</f>
        <v/>
      </c>
    </row>
    <row r="4751" spans="1:5" x14ac:dyDescent="0.25">
      <c r="A4751" t="s">
        <v>1771</v>
      </c>
      <c r="B4751" t="s">
        <v>1206</v>
      </c>
      <c r="E4751" t="str">
        <f>IF(OR(E4750="&lt;/routeDistribution&gt;",E4750=""),"",IFERROR(_xlfn.CONCAT(VLOOKUP(BK24,Route_Column!#REF!,2,FALSE),CHAR(34)," probability=",CHAR(34),1/BK$4,CHAR(34),CHAR(47),CHAR(62)),"&lt;/routeDistribution&gt;"))</f>
        <v/>
      </c>
    </row>
    <row r="4752" spans="1:5" x14ac:dyDescent="0.25">
      <c r="A4752" s="11" t="s">
        <v>1521</v>
      </c>
      <c r="B4752" t="s">
        <v>1091</v>
      </c>
      <c r="E4752" t="str">
        <f>IF(OR(E4751="&lt;/routeDistribution&gt;",E4751=""),"",IFERROR(_xlfn.CONCAT(VLOOKUP(BK25,Route_Column!#REF!,2,FALSE),CHAR(34)," probability=",CHAR(34),1/BK$4,CHAR(34),CHAR(47),CHAR(62)),"&lt;/routeDistribution&gt;"))</f>
        <v/>
      </c>
    </row>
    <row r="4753" spans="1:5" x14ac:dyDescent="0.25">
      <c r="A4753" t="s">
        <v>1521</v>
      </c>
      <c r="B4753" t="s">
        <v>1092</v>
      </c>
      <c r="E4753" t="str">
        <f>IF(OR(E4752="&lt;/routeDistribution&gt;",E4752=""),"",IFERROR(_xlfn.CONCAT(VLOOKUP(BK26,Route_Column!#REF!,2,FALSE),CHAR(34)," probability=",CHAR(34),1/BK$4,CHAR(34),CHAR(47),CHAR(62)),"&lt;/routeDistribution&gt;"))</f>
        <v/>
      </c>
    </row>
    <row r="4754" spans="1:5" x14ac:dyDescent="0.25">
      <c r="A4754" t="s">
        <v>1521</v>
      </c>
      <c r="B4754" t="s">
        <v>1093</v>
      </c>
      <c r="E4754" t="str">
        <f>IF(OR(E4753="&lt;/routeDistribution&gt;",E4753=""),"",IFERROR(_xlfn.CONCAT(VLOOKUP(BK27,Route_Column!#REF!,2,FALSE),CHAR(34)," probability=",CHAR(34),1/BK$4,CHAR(34),CHAR(47),CHAR(62)),"&lt;/routeDistribution&gt;"))</f>
        <v/>
      </c>
    </row>
    <row r="4755" spans="1:5" x14ac:dyDescent="0.25">
      <c r="A4755" t="s">
        <v>1521</v>
      </c>
      <c r="B4755" t="s">
        <v>1094</v>
      </c>
      <c r="E4755" t="str">
        <f>IF(OR(E4754="&lt;/routeDistribution&gt;",E4754=""),"",IFERROR(_xlfn.CONCAT(VLOOKUP(BK28,Route_Column!#REF!,2,FALSE),CHAR(34)," probability=",CHAR(34),1/BK$4,CHAR(34),CHAR(47),CHAR(62)),"&lt;/routeDistribution&gt;"))</f>
        <v/>
      </c>
    </row>
    <row r="4756" spans="1:5" x14ac:dyDescent="0.25">
      <c r="A4756" t="s">
        <v>1521</v>
      </c>
      <c r="B4756" t="s">
        <v>1160</v>
      </c>
      <c r="E4756" t="str">
        <f>IF(OR(E4755="&lt;/routeDistribution&gt;",E4755=""),"",IFERROR(_xlfn.CONCAT(VLOOKUP(BK29,Route_Column!#REF!,2,FALSE),CHAR(34)," probability=",CHAR(34),1/BK$4,CHAR(34),CHAR(47),CHAR(62)),"&lt;/routeDistribution&gt;"))</f>
        <v/>
      </c>
    </row>
    <row r="4757" spans="1:5" x14ac:dyDescent="0.25">
      <c r="A4757" t="s">
        <v>1521</v>
      </c>
      <c r="B4757" t="s">
        <v>1166</v>
      </c>
      <c r="E4757" t="str">
        <f>IF(OR(E4756="&lt;/routeDistribution&gt;",E4756=""),"",IFERROR(_xlfn.CONCAT(VLOOKUP(BK30,Route_Column!#REF!,2,FALSE),CHAR(34)," probability=",CHAR(34),1/BK$4,CHAR(34),CHAR(47),CHAR(62)),"&lt;/routeDistribution&gt;"))</f>
        <v/>
      </c>
    </row>
    <row r="4758" spans="1:5" x14ac:dyDescent="0.25">
      <c r="A4758" t="s">
        <v>1521</v>
      </c>
      <c r="B4758" t="s">
        <v>1167</v>
      </c>
      <c r="E4758" t="str">
        <f>IF(OR(E4757="&lt;/routeDistribution&gt;",E4757=""),"",IFERROR(_xlfn.CONCAT(VLOOKUP(BK31,Route_Column!#REF!,2,FALSE),CHAR(34)," probability=",CHAR(34),1/BK$4,CHAR(34),CHAR(47),CHAR(62)),"&lt;/routeDistribution&gt;"))</f>
        <v/>
      </c>
    </row>
    <row r="4759" spans="1:5" x14ac:dyDescent="0.25">
      <c r="A4759" t="s">
        <v>1521</v>
      </c>
      <c r="B4759" t="s">
        <v>1168</v>
      </c>
      <c r="E4759" t="str">
        <f>IF(OR(E4758="&lt;/routeDistribution&gt;",E4758=""),"",IFERROR(_xlfn.CONCAT(VLOOKUP(BK32,Route_Column!#REF!,2,FALSE),CHAR(34)," probability=",CHAR(34),1/BK$4,CHAR(34),CHAR(47),CHAR(62)),"&lt;/routeDistribution&gt;"))</f>
        <v/>
      </c>
    </row>
    <row r="4760" spans="1:5" x14ac:dyDescent="0.25">
      <c r="A4760" t="s">
        <v>1521</v>
      </c>
      <c r="B4760" t="s">
        <v>1169</v>
      </c>
      <c r="E4760" t="str">
        <f>IF(OR(E4759="&lt;/routeDistribution&gt;",E4759=""),"",IFERROR(_xlfn.CONCAT(VLOOKUP(BK33,Route_Column!#REF!,2,FALSE),CHAR(34)," probability=",CHAR(34),1/BK$4,CHAR(34),CHAR(47),CHAR(62)),"&lt;/routeDistribution&gt;"))</f>
        <v/>
      </c>
    </row>
    <row r="4761" spans="1:5" x14ac:dyDescent="0.25">
      <c r="A4761" t="s">
        <v>1521</v>
      </c>
      <c r="B4761" t="s">
        <v>1170</v>
      </c>
      <c r="E4761" t="str">
        <f>IF(OR(E4760="&lt;/routeDistribution&gt;",E4760=""),"",IFERROR(_xlfn.CONCAT(VLOOKUP(BK34,Route_Column!#REF!,2,FALSE),CHAR(34)," probability=",CHAR(34),1/BK$4,CHAR(34),CHAR(47),CHAR(62)),"&lt;/routeDistribution&gt;"))</f>
        <v/>
      </c>
    </row>
    <row r="4762" spans="1:5" x14ac:dyDescent="0.25">
      <c r="A4762" t="s">
        <v>1521</v>
      </c>
      <c r="B4762" t="s">
        <v>1194</v>
      </c>
      <c r="E4762" t="str">
        <f>IF(OR(E4761="&lt;/routeDistribution&gt;",E4761=""),"",IFERROR(_xlfn.CONCAT(VLOOKUP(BK35,Route_Column!#REF!,2,FALSE),CHAR(34)," probability=",CHAR(34),1/BK$4,CHAR(34),CHAR(47),CHAR(62)),"&lt;/routeDistribution&gt;"))</f>
        <v/>
      </c>
    </row>
    <row r="4763" spans="1:5" x14ac:dyDescent="0.25">
      <c r="A4763" t="s">
        <v>1521</v>
      </c>
      <c r="B4763" t="s">
        <v>1198</v>
      </c>
      <c r="E4763" t="str">
        <f>IF(OR(E4762="&lt;/routeDistribution&gt;",E4762=""),"",IFERROR(_xlfn.CONCAT(VLOOKUP(BK36,Route_Column!#REF!,2,FALSE),CHAR(34)," probability=",CHAR(34),1/BK$4,CHAR(34),CHAR(47),CHAR(62)),"&lt;/routeDistribution&gt;"))</f>
        <v/>
      </c>
    </row>
    <row r="4764" spans="1:5" x14ac:dyDescent="0.25">
      <c r="A4764" t="s">
        <v>2057</v>
      </c>
      <c r="B4764" t="s">
        <v>1138</v>
      </c>
      <c r="E4764" t="str">
        <f>IF(OR(E4763="&lt;/routeDistribution&gt;",E4763=""),"",IFERROR(_xlfn.CONCAT(VLOOKUP(BK37,Route_Column!#REF!,2,FALSE),CHAR(34)," probability=",CHAR(34),1/BK$4,CHAR(34),CHAR(47),CHAR(62)),"&lt;/routeDistribution&gt;"))</f>
        <v/>
      </c>
    </row>
    <row r="4765" spans="1:5" x14ac:dyDescent="0.25">
      <c r="A4765" t="s">
        <v>2057</v>
      </c>
      <c r="B4765" t="s">
        <v>1154</v>
      </c>
      <c r="E4765" t="str">
        <f>IF(OR(E4764="&lt;/routeDistribution&gt;",E4764=""),"",IFERROR(_xlfn.CONCAT(VLOOKUP(BK38,Route_Column!#REF!,2,FALSE),CHAR(34)," probability=",CHAR(34),1/BK$4,CHAR(34),CHAR(47),CHAR(62)),"&lt;/routeDistribution&gt;"))</f>
        <v/>
      </c>
    </row>
    <row r="4766" spans="1:5" x14ac:dyDescent="0.25">
      <c r="A4766" t="s">
        <v>2057</v>
      </c>
      <c r="B4766" t="s">
        <v>1173</v>
      </c>
      <c r="E4766" t="str">
        <f>IF(OR(E4765="&lt;/routeDistribution&gt;",E4765=""),"",IFERROR(_xlfn.CONCAT(VLOOKUP(BK39,Route_Column!#REF!,2,FALSE),CHAR(34)," probability=",CHAR(34),1/BK$4,CHAR(34),CHAR(47),CHAR(62)),"&lt;/routeDistribution&gt;"))</f>
        <v/>
      </c>
    </row>
    <row r="4767" spans="1:5" x14ac:dyDescent="0.25">
      <c r="A4767" t="s">
        <v>2057</v>
      </c>
      <c r="B4767" t="s">
        <v>1174</v>
      </c>
      <c r="E4767" t="str">
        <f>IF(OR(E4766="&lt;/routeDistribution&gt;",E4766=""),"",IFERROR(_xlfn.CONCAT(VLOOKUP(BK40,Route_Column!#REF!,2,FALSE),CHAR(34)," probability=",CHAR(34),1/BK$4,CHAR(34),CHAR(47),CHAR(62)),"&lt;/routeDistribution&gt;"))</f>
        <v/>
      </c>
    </row>
    <row r="4768" spans="1:5" x14ac:dyDescent="0.25">
      <c r="A4768" t="s">
        <v>2057</v>
      </c>
      <c r="B4768" t="s">
        <v>1175</v>
      </c>
      <c r="E4768" t="str">
        <f>IF(OR(E4767="&lt;/routeDistribution&gt;",E4767=""),"",IFERROR(_xlfn.CONCAT(VLOOKUP(BK41,Route_Column!#REF!,2,FALSE),CHAR(34)," probability=",CHAR(34),1/BK$4,CHAR(34),CHAR(47),CHAR(62)),"&lt;/routeDistribution&gt;"))</f>
        <v/>
      </c>
    </row>
    <row r="4769" spans="1:5" x14ac:dyDescent="0.25">
      <c r="A4769" t="s">
        <v>2057</v>
      </c>
      <c r="B4769" t="s">
        <v>1176</v>
      </c>
      <c r="E4769" t="str">
        <f>IF(OR(E4768="&lt;/routeDistribution&gt;",E4768=""),"",IFERROR(_xlfn.CONCAT(VLOOKUP(BK42,Route_Column!#REF!,2,FALSE),CHAR(34)," probability=",CHAR(34),1/BK$4,CHAR(34),CHAR(47),CHAR(62)),"&lt;/routeDistribution&gt;"))</f>
        <v/>
      </c>
    </row>
    <row r="4770" spans="1:5" x14ac:dyDescent="0.25">
      <c r="A4770" t="s">
        <v>2057</v>
      </c>
      <c r="B4770" t="s">
        <v>1177</v>
      </c>
      <c r="E4770" t="str">
        <f>IF(OR(E4769="&lt;/routeDistribution&gt;",E4769=""),"",IFERROR(_xlfn.CONCAT(VLOOKUP(BK43,Route_Column!#REF!,2,FALSE),CHAR(34)," probability=",CHAR(34),1/BK$4,CHAR(34),CHAR(47),CHAR(62)),"&lt;/routeDistribution&gt;"))</f>
        <v/>
      </c>
    </row>
    <row r="4771" spans="1:5" x14ac:dyDescent="0.25">
      <c r="A4771" t="s">
        <v>2057</v>
      </c>
      <c r="B4771" t="s">
        <v>1178</v>
      </c>
      <c r="E4771" t="str">
        <f>IF(OR(E4770="&lt;/routeDistribution&gt;",E4770=""),"",IFERROR(_xlfn.CONCAT(VLOOKUP(BK44,Route_Column!#REF!,2,FALSE),CHAR(34)," probability=",CHAR(34),1/BK$4,CHAR(34),CHAR(47),CHAR(62)),"&lt;/routeDistribution&gt;"))</f>
        <v/>
      </c>
    </row>
    <row r="4772" spans="1:5" x14ac:dyDescent="0.25">
      <c r="A4772" t="s">
        <v>2057</v>
      </c>
      <c r="B4772" t="s">
        <v>1179</v>
      </c>
      <c r="E4772" t="str">
        <f>IF(OR(E4771="&lt;/routeDistribution&gt;",E4771=""),"",IFERROR(_xlfn.CONCAT(VLOOKUP(BK45,Route_Column!#REF!,2,FALSE),CHAR(34)," probability=",CHAR(34),1/BK$4,CHAR(34),CHAR(47),CHAR(62)),"&lt;/routeDistribution&gt;"))</f>
        <v/>
      </c>
    </row>
    <row r="4773" spans="1:5" x14ac:dyDescent="0.25">
      <c r="A4773" t="s">
        <v>2057</v>
      </c>
      <c r="B4773" t="s">
        <v>1180</v>
      </c>
      <c r="E4773" t="str">
        <f>IF(OR(E4772="&lt;/routeDistribution&gt;",E4772=""),"",IFERROR(_xlfn.CONCAT(VLOOKUP(BK46,Route_Column!#REF!,2,FALSE),CHAR(34)," probability=",CHAR(34),1/BK$4,CHAR(34),CHAR(47),CHAR(62)),"&lt;/routeDistribution&gt;"))</f>
        <v/>
      </c>
    </row>
    <row r="4774" spans="1:5" x14ac:dyDescent="0.25">
      <c r="A4774" t="s">
        <v>2057</v>
      </c>
      <c r="B4774" t="s">
        <v>1181</v>
      </c>
      <c r="E4774" t="str">
        <f>IF(OR(E4773="&lt;/routeDistribution&gt;",E4773=""),"",IFERROR(_xlfn.CONCAT(VLOOKUP(BK47,Route_Column!#REF!,2,FALSE),CHAR(34)," probability=",CHAR(34),1/BK$4,CHAR(34),CHAR(47),CHAR(62)),"&lt;/routeDistribution&gt;"))</f>
        <v/>
      </c>
    </row>
    <row r="4775" spans="1:5" x14ac:dyDescent="0.25">
      <c r="A4775" t="s">
        <v>2057</v>
      </c>
      <c r="B4775" t="s">
        <v>1182</v>
      </c>
      <c r="E4775" t="str">
        <f>IF(OR(E4774="&lt;/routeDistribution&gt;",E4774=""),"",IFERROR(_xlfn.CONCAT(VLOOKUP(BK48,Route_Column!#REF!,2,FALSE),CHAR(34)," probability=",CHAR(34),1/BK$4,CHAR(34),CHAR(47),CHAR(62)),"&lt;/routeDistribution&gt;"))</f>
        <v/>
      </c>
    </row>
    <row r="4776" spans="1:5" x14ac:dyDescent="0.25">
      <c r="A4776" t="s">
        <v>2057</v>
      </c>
      <c r="B4776" t="s">
        <v>1183</v>
      </c>
      <c r="E4776" t="str">
        <f>IF(OR(E4775="&lt;/routeDistribution&gt;",E4775=""),"",IFERROR(_xlfn.CONCAT(VLOOKUP(BK49,Route_Column!#REF!,2,FALSE),CHAR(34)," probability=",CHAR(34),1/BK$4,CHAR(34),CHAR(47),CHAR(62)),"&lt;/routeDistribution&gt;"))</f>
        <v/>
      </c>
    </row>
    <row r="4777" spans="1:5" x14ac:dyDescent="0.25">
      <c r="A4777" t="s">
        <v>2057</v>
      </c>
      <c r="B4777" t="s">
        <v>1184</v>
      </c>
      <c r="E4777" t="str">
        <f>IF(OR(E4776="&lt;/routeDistribution&gt;",E4776=""),"",IFERROR(_xlfn.CONCAT(VLOOKUP(BK50,Route_Column!#REF!,2,FALSE),CHAR(34)," probability=",CHAR(34),1/BK$4,CHAR(34),CHAR(47),CHAR(62)),"&lt;/routeDistribution&gt;"))</f>
        <v/>
      </c>
    </row>
    <row r="4778" spans="1:5" x14ac:dyDescent="0.25">
      <c r="A4778" t="s">
        <v>2057</v>
      </c>
      <c r="B4778" t="s">
        <v>1185</v>
      </c>
      <c r="E4778" t="str">
        <f>IF(OR(E4777="&lt;/routeDistribution&gt;",E4777=""),"",IFERROR(_xlfn.CONCAT(VLOOKUP(BK51,Route_Column!#REF!,2,FALSE),CHAR(34)," probability=",CHAR(34),1/BK$4,CHAR(34),CHAR(47),CHAR(62)),"&lt;/routeDistribution&gt;"))</f>
        <v/>
      </c>
    </row>
    <row r="4779" spans="1:5" x14ac:dyDescent="0.25">
      <c r="A4779" t="s">
        <v>2057</v>
      </c>
      <c r="B4779" t="s">
        <v>1186</v>
      </c>
      <c r="E4779" t="str">
        <f>IF(OR(E4778="&lt;/routeDistribution&gt;",E4778=""),"",IFERROR(_xlfn.CONCAT(VLOOKUP(BK52,Route_Column!#REF!,2,FALSE),CHAR(34)," probability=",CHAR(34),1/BK$4,CHAR(34),CHAR(47),CHAR(62)),"&lt;/routeDistribution&gt;"))</f>
        <v/>
      </c>
    </row>
    <row r="4780" spans="1:5" x14ac:dyDescent="0.25">
      <c r="A4780" t="s">
        <v>2057</v>
      </c>
      <c r="B4780" t="s">
        <v>1187</v>
      </c>
      <c r="E4780" t="str">
        <f>IF(OR(E4779="&lt;/routeDistribution&gt;",E4779=""),"",IFERROR(_xlfn.CONCAT(VLOOKUP(BK53,Route_Column!#REF!,2,FALSE),CHAR(34)," probability=",CHAR(34),1/BK$4,CHAR(34),CHAR(47),CHAR(62)),"&lt;/routeDistribution&gt;"))</f>
        <v/>
      </c>
    </row>
    <row r="4781" spans="1:5" x14ac:dyDescent="0.25">
      <c r="A4781" t="s">
        <v>2057</v>
      </c>
      <c r="B4781" t="s">
        <v>1188</v>
      </c>
      <c r="E4781" t="str">
        <f>IF(OR(E4780="&lt;/routeDistribution&gt;",E4780=""),"",IFERROR(_xlfn.CONCAT(VLOOKUP(BK54,Route_Column!#REF!,2,FALSE),CHAR(34)," probability=",CHAR(34),1/BK$4,CHAR(34),CHAR(47),CHAR(62)),"&lt;/routeDistribution&gt;"))</f>
        <v/>
      </c>
    </row>
    <row r="4782" spans="1:5" x14ac:dyDescent="0.25">
      <c r="A4782" t="s">
        <v>2057</v>
      </c>
      <c r="B4782" t="s">
        <v>1189</v>
      </c>
      <c r="E4782" t="str">
        <f>IF(OR(E4781="&lt;/routeDistribution&gt;",E4781=""),"",IFERROR(_xlfn.CONCAT(VLOOKUP(BK55,Route_Column!#REF!,2,FALSE),CHAR(34)," probability=",CHAR(34),1/BK$4,CHAR(34),CHAR(47),CHAR(62)),"&lt;/routeDistribution&gt;"))</f>
        <v/>
      </c>
    </row>
    <row r="4783" spans="1:5" x14ac:dyDescent="0.25">
      <c r="A4783" s="11" t="s">
        <v>1526</v>
      </c>
      <c r="B4783" t="s">
        <v>1091</v>
      </c>
      <c r="E4783" t="str">
        <f>IF(OR(E4782="&lt;/routeDistribution&gt;",E4782=""),"",IFERROR(_xlfn.CONCAT(VLOOKUP(BK56,Route_Column!#REF!,2,FALSE),CHAR(34)," probability=",CHAR(34),1/BK$4,CHAR(34),CHAR(47),CHAR(62)),"&lt;/routeDistribution&gt;"))</f>
        <v/>
      </c>
    </row>
    <row r="4784" spans="1:5" x14ac:dyDescent="0.25">
      <c r="A4784" t="s">
        <v>1526</v>
      </c>
      <c r="B4784" t="s">
        <v>1092</v>
      </c>
      <c r="E4784" t="str">
        <f>IF(OR(E4783="&lt;/routeDistribution&gt;",E4783=""),"",IFERROR(_xlfn.CONCAT(VLOOKUP(BK57,Route_Column!#REF!,2,FALSE),CHAR(34)," probability=",CHAR(34),1/BK$4,CHAR(34),CHAR(47),CHAR(62)),"&lt;/routeDistribution&gt;"))</f>
        <v/>
      </c>
    </row>
    <row r="4785" spans="1:5" x14ac:dyDescent="0.25">
      <c r="A4785" t="s">
        <v>1526</v>
      </c>
      <c r="B4785" t="s">
        <v>1093</v>
      </c>
      <c r="E4785" t="str">
        <f>IF(OR(E4784="&lt;/routeDistribution&gt;",E4784=""),"",IFERROR(_xlfn.CONCAT(VLOOKUP(BK58,Route_Column!#REF!,2,FALSE),CHAR(34)," probability=",CHAR(34),1/BK$4,CHAR(34),CHAR(47),CHAR(62)),"&lt;/routeDistribution&gt;"))</f>
        <v/>
      </c>
    </row>
    <row r="4786" spans="1:5" x14ac:dyDescent="0.25">
      <c r="A4786" t="s">
        <v>1526</v>
      </c>
      <c r="B4786" t="s">
        <v>1094</v>
      </c>
      <c r="E4786" t="str">
        <f>IF(OR(E4785="&lt;/routeDistribution&gt;",E4785=""),"",IFERROR(_xlfn.CONCAT(VLOOKUP(BK59,Route_Column!#REF!,2,FALSE),CHAR(34)," probability=",CHAR(34),1/BK$4,CHAR(34),CHAR(47),CHAR(62)),"&lt;/routeDistribution&gt;"))</f>
        <v/>
      </c>
    </row>
    <row r="4787" spans="1:5" x14ac:dyDescent="0.25">
      <c r="A4787" t="s">
        <v>1526</v>
      </c>
      <c r="B4787" t="s">
        <v>1138</v>
      </c>
      <c r="E4787" t="str">
        <f>IF(OR(E4786="&lt;/routeDistribution&gt;",E4786=""),"",IFERROR(_xlfn.CONCAT(VLOOKUP(BK60,Route_Column!#REF!,2,FALSE),CHAR(34)," probability=",CHAR(34),1/BK$4,CHAR(34),CHAR(47),CHAR(62)),"&lt;/routeDistribution&gt;"))</f>
        <v/>
      </c>
    </row>
    <row r="4788" spans="1:5" x14ac:dyDescent="0.25">
      <c r="A4788" t="s">
        <v>1526</v>
      </c>
      <c r="B4788" t="s">
        <v>1154</v>
      </c>
      <c r="E4788" t="str">
        <f>IF(OR(E4787="&lt;/routeDistribution&gt;",E4787=""),"",IFERROR(_xlfn.CONCAT(VLOOKUP(BK61,Route_Column!#REF!,2,FALSE),CHAR(34)," probability=",CHAR(34),1/BK$4,CHAR(34),CHAR(47),CHAR(62)),"&lt;/routeDistribution&gt;"))</f>
        <v/>
      </c>
    </row>
    <row r="4789" spans="1:5" x14ac:dyDescent="0.25">
      <c r="A4789" t="s">
        <v>1526</v>
      </c>
      <c r="B4789" t="s">
        <v>1160</v>
      </c>
      <c r="E4789" t="str">
        <f>IF(OR(E4788="&lt;/routeDistribution&gt;",E4788=""),"",IFERROR(_xlfn.CONCAT(VLOOKUP(BK62,Route_Column!#REF!,2,FALSE),CHAR(34)," probability=",CHAR(34),1/BK$4,CHAR(34),CHAR(47),CHAR(62)),"&lt;/routeDistribution&gt;"))</f>
        <v/>
      </c>
    </row>
    <row r="4790" spans="1:5" x14ac:dyDescent="0.25">
      <c r="A4790" t="s">
        <v>1526</v>
      </c>
      <c r="B4790" t="s">
        <v>1166</v>
      </c>
      <c r="E4790" t="str">
        <f>IF(OR(E4789="&lt;/routeDistribution&gt;",E4789=""),"",IFERROR(_xlfn.CONCAT(VLOOKUP(BK63,Route_Column!#REF!,2,FALSE),CHAR(34)," probability=",CHAR(34),1/BK$4,CHAR(34),CHAR(47),CHAR(62)),"&lt;/routeDistribution&gt;"))</f>
        <v/>
      </c>
    </row>
    <row r="4791" spans="1:5" x14ac:dyDescent="0.25">
      <c r="A4791" t="s">
        <v>1526</v>
      </c>
      <c r="B4791" t="s">
        <v>1167</v>
      </c>
      <c r="E4791" t="s">
        <v>2686</v>
      </c>
    </row>
    <row r="4792" spans="1:5" x14ac:dyDescent="0.25">
      <c r="A4792" t="s">
        <v>1526</v>
      </c>
      <c r="B4792" t="s">
        <v>1168</v>
      </c>
    </row>
    <row r="4793" spans="1:5" x14ac:dyDescent="0.25">
      <c r="A4793" t="s">
        <v>1526</v>
      </c>
      <c r="B4793" t="s">
        <v>1169</v>
      </c>
    </row>
    <row r="4794" spans="1:5" x14ac:dyDescent="0.25">
      <c r="A4794" t="s">
        <v>1526</v>
      </c>
      <c r="B4794" t="s">
        <v>1170</v>
      </c>
      <c r="E4794" t="str">
        <f>_xlfn.CONCAT($E$1,BJ$2,$F$1)</f>
        <v>&lt;routeDistribution id="33rd-LanAVE-to-Powelton-NB-2012-RouteProbe"&gt;</v>
      </c>
    </row>
    <row r="4795" spans="1:5" x14ac:dyDescent="0.25">
      <c r="A4795" t="s">
        <v>1526</v>
      </c>
      <c r="B4795" t="s">
        <v>1173</v>
      </c>
      <c r="E4795" t="str">
        <f>IF(OR(E4794="&lt;/routeDistribution&gt;",E4794=""),"",IFERROR(_xlfn.CONCAT(VLOOKUP(BJ5,Route_Column!#REF!,2,FALSE),CHAR(34)," probability=",CHAR(34),1/BJ$4,CHAR(34),CHAR(47),CHAR(62)),"&lt;/routeDistribution&gt;"))</f>
        <v>&lt;/routeDistribution&gt;</v>
      </c>
    </row>
    <row r="4796" spans="1:5" x14ac:dyDescent="0.25">
      <c r="A4796" t="s">
        <v>1526</v>
      </c>
      <c r="B4796" t="s">
        <v>1174</v>
      </c>
      <c r="E4796" t="str">
        <f>IF(OR(E4795="&lt;/routeDistribution&gt;",E4795=""),"",IFERROR(_xlfn.CONCAT(VLOOKUP(BJ6,Route_Column!#REF!,2,FALSE),CHAR(34)," probability=",CHAR(34),1/BJ$4,CHAR(34),CHAR(47),CHAR(62)),"&lt;/routeDistribution&gt;"))</f>
        <v/>
      </c>
    </row>
    <row r="4797" spans="1:5" x14ac:dyDescent="0.25">
      <c r="A4797" t="s">
        <v>1526</v>
      </c>
      <c r="B4797" t="s">
        <v>1175</v>
      </c>
      <c r="E4797" t="str">
        <f>IF(OR(E4796="&lt;/routeDistribution&gt;",E4796=""),"",IFERROR(_xlfn.CONCAT(VLOOKUP(BJ7,Route_Column!#REF!,2,FALSE),CHAR(34)," probability=",CHAR(34),1/BJ$4,CHAR(34),CHAR(47),CHAR(62)),"&lt;/routeDistribution&gt;"))</f>
        <v/>
      </c>
    </row>
    <row r="4798" spans="1:5" x14ac:dyDescent="0.25">
      <c r="A4798" t="s">
        <v>1526</v>
      </c>
      <c r="B4798" t="s">
        <v>1176</v>
      </c>
      <c r="E4798" t="str">
        <f>IF(OR(E4797="&lt;/routeDistribution&gt;",E4797=""),"",IFERROR(_xlfn.CONCAT(VLOOKUP(BJ8,Route_Column!#REF!,2,FALSE),CHAR(34)," probability=",CHAR(34),1/BJ$4,CHAR(34),CHAR(47),CHAR(62)),"&lt;/routeDistribution&gt;"))</f>
        <v/>
      </c>
    </row>
    <row r="4799" spans="1:5" x14ac:dyDescent="0.25">
      <c r="A4799" t="s">
        <v>1526</v>
      </c>
      <c r="B4799" t="s">
        <v>1177</v>
      </c>
      <c r="E4799" t="str">
        <f>IF(OR(E4798="&lt;/routeDistribution&gt;",E4798=""),"",IFERROR(_xlfn.CONCAT(VLOOKUP(BJ9,Route_Column!#REF!,2,FALSE),CHAR(34)," probability=",CHAR(34),1/BJ$4,CHAR(34),CHAR(47),CHAR(62)),"&lt;/routeDistribution&gt;"))</f>
        <v/>
      </c>
    </row>
    <row r="4800" spans="1:5" x14ac:dyDescent="0.25">
      <c r="A4800" t="s">
        <v>1526</v>
      </c>
      <c r="B4800" t="s">
        <v>1178</v>
      </c>
      <c r="E4800" t="str">
        <f>IF(OR(E4799="&lt;/routeDistribution&gt;",E4799=""),"",IFERROR(_xlfn.CONCAT(VLOOKUP(BJ10,Route_Column!#REF!,2,FALSE),CHAR(34)," probability=",CHAR(34),1/BJ$4,CHAR(34),CHAR(47),CHAR(62)),"&lt;/routeDistribution&gt;"))</f>
        <v/>
      </c>
    </row>
    <row r="4801" spans="1:5" x14ac:dyDescent="0.25">
      <c r="A4801" t="s">
        <v>1526</v>
      </c>
      <c r="B4801" t="s">
        <v>1179</v>
      </c>
      <c r="E4801" t="str">
        <f>IF(OR(E4800="&lt;/routeDistribution&gt;",E4800=""),"",IFERROR(_xlfn.CONCAT(VLOOKUP(BJ11,Route_Column!#REF!,2,FALSE),CHAR(34)," probability=",CHAR(34),1/BJ$4,CHAR(34),CHAR(47),CHAR(62)),"&lt;/routeDistribution&gt;"))</f>
        <v/>
      </c>
    </row>
    <row r="4802" spans="1:5" x14ac:dyDescent="0.25">
      <c r="A4802" t="s">
        <v>1526</v>
      </c>
      <c r="B4802" t="s">
        <v>1180</v>
      </c>
      <c r="E4802" t="str">
        <f>IF(OR(E4801="&lt;/routeDistribution&gt;",E4801=""),"",IFERROR(_xlfn.CONCAT(VLOOKUP(BJ12,Route_Column!#REF!,2,FALSE),CHAR(34)," probability=",CHAR(34),1/BJ$4,CHAR(34),CHAR(47),CHAR(62)),"&lt;/routeDistribution&gt;"))</f>
        <v/>
      </c>
    </row>
    <row r="4803" spans="1:5" x14ac:dyDescent="0.25">
      <c r="A4803" t="s">
        <v>1526</v>
      </c>
      <c r="B4803" t="s">
        <v>1181</v>
      </c>
      <c r="E4803" t="str">
        <f>IF(OR(E4802="&lt;/routeDistribution&gt;",E4802=""),"",IFERROR(_xlfn.CONCAT(VLOOKUP(BJ13,Route_Column!#REF!,2,FALSE),CHAR(34)," probability=",CHAR(34),1/BJ$4,CHAR(34),CHAR(47),CHAR(62)),"&lt;/routeDistribution&gt;"))</f>
        <v/>
      </c>
    </row>
    <row r="4804" spans="1:5" x14ac:dyDescent="0.25">
      <c r="A4804" t="s">
        <v>1526</v>
      </c>
      <c r="B4804" t="s">
        <v>1182</v>
      </c>
      <c r="E4804" t="str">
        <f>IF(OR(E4803="&lt;/routeDistribution&gt;",E4803=""),"",IFERROR(_xlfn.CONCAT(VLOOKUP(BJ14,Route_Column!#REF!,2,FALSE),CHAR(34)," probability=",CHAR(34),1/BJ$4,CHAR(34),CHAR(47),CHAR(62)),"&lt;/routeDistribution&gt;"))</f>
        <v/>
      </c>
    </row>
    <row r="4805" spans="1:5" x14ac:dyDescent="0.25">
      <c r="A4805" t="s">
        <v>1526</v>
      </c>
      <c r="B4805" t="s">
        <v>1183</v>
      </c>
      <c r="E4805" t="str">
        <f>IF(OR(E4804="&lt;/routeDistribution&gt;",E4804=""),"",IFERROR(_xlfn.CONCAT(VLOOKUP(BJ15,Route_Column!#REF!,2,FALSE),CHAR(34)," probability=",CHAR(34),1/BJ$4,CHAR(34),CHAR(47),CHAR(62)),"&lt;/routeDistribution&gt;"))</f>
        <v/>
      </c>
    </row>
    <row r="4806" spans="1:5" x14ac:dyDescent="0.25">
      <c r="A4806" t="s">
        <v>1526</v>
      </c>
      <c r="B4806" t="s">
        <v>1184</v>
      </c>
      <c r="E4806" t="str">
        <f>IF(OR(E4805="&lt;/routeDistribution&gt;",E4805=""),"",IFERROR(_xlfn.CONCAT(VLOOKUP(BJ16,Route_Column!#REF!,2,FALSE),CHAR(34)," probability=",CHAR(34),1/BJ$4,CHAR(34),CHAR(47),CHAR(62)),"&lt;/routeDistribution&gt;"))</f>
        <v/>
      </c>
    </row>
    <row r="4807" spans="1:5" x14ac:dyDescent="0.25">
      <c r="A4807" t="s">
        <v>1526</v>
      </c>
      <c r="B4807" t="s">
        <v>1185</v>
      </c>
      <c r="E4807" t="str">
        <f>IF(OR(E4806="&lt;/routeDistribution&gt;",E4806=""),"",IFERROR(_xlfn.CONCAT(VLOOKUP(BJ17,Route_Column!#REF!,2,FALSE),CHAR(34)," probability=",CHAR(34),1/BJ$4,CHAR(34),CHAR(47),CHAR(62)),"&lt;/routeDistribution&gt;"))</f>
        <v/>
      </c>
    </row>
    <row r="4808" spans="1:5" x14ac:dyDescent="0.25">
      <c r="A4808" t="s">
        <v>1526</v>
      </c>
      <c r="B4808" t="s">
        <v>1186</v>
      </c>
      <c r="E4808" t="str">
        <f>IF(OR(E4807="&lt;/routeDistribution&gt;",E4807=""),"",IFERROR(_xlfn.CONCAT(VLOOKUP(BJ18,Route_Column!#REF!,2,FALSE),CHAR(34)," probability=",CHAR(34),1/BJ$4,CHAR(34),CHAR(47),CHAR(62)),"&lt;/routeDistribution&gt;"))</f>
        <v/>
      </c>
    </row>
    <row r="4809" spans="1:5" x14ac:dyDescent="0.25">
      <c r="A4809" t="s">
        <v>1526</v>
      </c>
      <c r="B4809" t="s">
        <v>1187</v>
      </c>
      <c r="E4809" t="str">
        <f>IF(OR(E4808="&lt;/routeDistribution&gt;",E4808=""),"",IFERROR(_xlfn.CONCAT(VLOOKUP(BJ19,Route_Column!#REF!,2,FALSE),CHAR(34)," probability=",CHAR(34),1/BJ$4,CHAR(34),CHAR(47),CHAR(62)),"&lt;/routeDistribution&gt;"))</f>
        <v/>
      </c>
    </row>
    <row r="4810" spans="1:5" x14ac:dyDescent="0.25">
      <c r="A4810" t="s">
        <v>1526</v>
      </c>
      <c r="B4810" t="s">
        <v>1188</v>
      </c>
      <c r="E4810" t="str">
        <f>IF(OR(E4809="&lt;/routeDistribution&gt;",E4809=""),"",IFERROR(_xlfn.CONCAT(VLOOKUP(BJ20,Route_Column!#REF!,2,FALSE),CHAR(34)," probability=",CHAR(34),1/BJ$4,CHAR(34),CHAR(47),CHAR(62)),"&lt;/routeDistribution&gt;"))</f>
        <v/>
      </c>
    </row>
    <row r="4811" spans="1:5" x14ac:dyDescent="0.25">
      <c r="A4811" t="s">
        <v>1526</v>
      </c>
      <c r="B4811" t="s">
        <v>1189</v>
      </c>
      <c r="E4811" t="str">
        <f>IF(OR(E4810="&lt;/routeDistribution&gt;",E4810=""),"",IFERROR(_xlfn.CONCAT(VLOOKUP(BJ21,Route_Column!#REF!,2,FALSE),CHAR(34)," probability=",CHAR(34),1/BJ$4,CHAR(34),CHAR(47),CHAR(62)),"&lt;/routeDistribution&gt;"))</f>
        <v/>
      </c>
    </row>
    <row r="4812" spans="1:5" x14ac:dyDescent="0.25">
      <c r="A4812" t="s">
        <v>1526</v>
      </c>
      <c r="B4812" t="s">
        <v>1194</v>
      </c>
      <c r="E4812" t="str">
        <f>IF(OR(E4811="&lt;/routeDistribution&gt;",E4811=""),"",IFERROR(_xlfn.CONCAT(VLOOKUP(BJ22,Route_Column!#REF!,2,FALSE),CHAR(34)," probability=",CHAR(34),1/BJ$4,CHAR(34),CHAR(47),CHAR(62)),"&lt;/routeDistribution&gt;"))</f>
        <v/>
      </c>
    </row>
    <row r="4813" spans="1:5" x14ac:dyDescent="0.25">
      <c r="A4813" t="s">
        <v>1526</v>
      </c>
      <c r="B4813" t="s">
        <v>1198</v>
      </c>
      <c r="E4813" t="str">
        <f>IF(OR(E4812="&lt;/routeDistribution&gt;",E4812=""),"",IFERROR(_xlfn.CONCAT(VLOOKUP(BJ23,Route_Column!#REF!,2,FALSE),CHAR(34)," probability=",CHAR(34),1/BJ$4,CHAR(34),CHAR(47),CHAR(62)),"&lt;/routeDistribution&gt;"))</f>
        <v/>
      </c>
    </row>
    <row r="4814" spans="1:5" x14ac:dyDescent="0.25">
      <c r="A4814" t="s">
        <v>1740</v>
      </c>
      <c r="B4814" t="s">
        <v>1102</v>
      </c>
      <c r="E4814" t="str">
        <f>IF(OR(E4813="&lt;/routeDistribution&gt;",E4813=""),"",IFERROR(_xlfn.CONCAT(VLOOKUP(BJ24,Route_Column!#REF!,2,FALSE),CHAR(34)," probability=",CHAR(34),1/BJ$4,CHAR(34),CHAR(47),CHAR(62)),"&lt;/routeDistribution&gt;"))</f>
        <v/>
      </c>
    </row>
    <row r="4815" spans="1:5" x14ac:dyDescent="0.25">
      <c r="A4815" t="s">
        <v>1740</v>
      </c>
      <c r="B4815" t="s">
        <v>1110</v>
      </c>
      <c r="E4815" t="str">
        <f>IF(OR(E4814="&lt;/routeDistribution&gt;",E4814=""),"",IFERROR(_xlfn.CONCAT(VLOOKUP(BJ25,Route_Column!#REF!,2,FALSE),CHAR(34)," probability=",CHAR(34),1/BJ$4,CHAR(34),CHAR(47),CHAR(62)),"&lt;/routeDistribution&gt;"))</f>
        <v/>
      </c>
    </row>
    <row r="4816" spans="1:5" x14ac:dyDescent="0.25">
      <c r="A4816" t="s">
        <v>1740</v>
      </c>
      <c r="B4816" t="s">
        <v>1132</v>
      </c>
      <c r="E4816" t="str">
        <f>IF(OR(E4815="&lt;/routeDistribution&gt;",E4815=""),"",IFERROR(_xlfn.CONCAT(VLOOKUP(BJ26,Route_Column!#REF!,2,FALSE),CHAR(34)," probability=",CHAR(34),1/BJ$4,CHAR(34),CHAR(47),CHAR(62)),"&lt;/routeDistribution&gt;"))</f>
        <v/>
      </c>
    </row>
    <row r="4817" spans="1:5" x14ac:dyDescent="0.25">
      <c r="A4817" t="s">
        <v>1740</v>
      </c>
      <c r="B4817" t="s">
        <v>1137</v>
      </c>
      <c r="E4817" t="str">
        <f>IF(OR(E4816="&lt;/routeDistribution&gt;",E4816=""),"",IFERROR(_xlfn.CONCAT(VLOOKUP(BJ27,Route_Column!#REF!,2,FALSE),CHAR(34)," probability=",CHAR(34),1/BJ$4,CHAR(34),CHAR(47),CHAR(62)),"&lt;/routeDistribution&gt;"))</f>
        <v/>
      </c>
    </row>
    <row r="4818" spans="1:5" x14ac:dyDescent="0.25">
      <c r="A4818" t="s">
        <v>1740</v>
      </c>
      <c r="B4818" t="s">
        <v>1166</v>
      </c>
      <c r="E4818" t="str">
        <f>IF(OR(E4817="&lt;/routeDistribution&gt;",E4817=""),"",IFERROR(_xlfn.CONCAT(VLOOKUP(BJ28,Route_Column!#REF!,2,FALSE),CHAR(34)," probability=",CHAR(34),1/BJ$4,CHAR(34),CHAR(47),CHAR(62)),"&lt;/routeDistribution&gt;"))</f>
        <v/>
      </c>
    </row>
    <row r="4819" spans="1:5" x14ac:dyDescent="0.25">
      <c r="A4819" t="s">
        <v>1740</v>
      </c>
      <c r="B4819" t="s">
        <v>1167</v>
      </c>
      <c r="E4819" t="str">
        <f>IF(OR(E4818="&lt;/routeDistribution&gt;",E4818=""),"",IFERROR(_xlfn.CONCAT(VLOOKUP(BJ29,Route_Column!#REF!,2,FALSE),CHAR(34)," probability=",CHAR(34),1/BJ$4,CHAR(34),CHAR(47),CHAR(62)),"&lt;/routeDistribution&gt;"))</f>
        <v/>
      </c>
    </row>
    <row r="4820" spans="1:5" x14ac:dyDescent="0.25">
      <c r="A4820" t="s">
        <v>1740</v>
      </c>
      <c r="B4820" t="s">
        <v>1168</v>
      </c>
      <c r="E4820" t="str">
        <f>IF(OR(E4819="&lt;/routeDistribution&gt;",E4819=""),"",IFERROR(_xlfn.CONCAT(VLOOKUP(BJ30,Route_Column!#REF!,2,FALSE),CHAR(34)," probability=",CHAR(34),1/BJ$4,CHAR(34),CHAR(47),CHAR(62)),"&lt;/routeDistribution&gt;"))</f>
        <v/>
      </c>
    </row>
    <row r="4821" spans="1:5" x14ac:dyDescent="0.25">
      <c r="A4821" t="s">
        <v>1740</v>
      </c>
      <c r="B4821" t="s">
        <v>1169</v>
      </c>
      <c r="E4821" t="str">
        <f>IF(OR(E4820="&lt;/routeDistribution&gt;",E4820=""),"",IFERROR(_xlfn.CONCAT(VLOOKUP(BJ31,Route_Column!#REF!,2,FALSE),CHAR(34)," probability=",CHAR(34),1/BJ$4,CHAR(34),CHAR(47),CHAR(62)),"&lt;/routeDistribution&gt;"))</f>
        <v/>
      </c>
    </row>
    <row r="4822" spans="1:5" x14ac:dyDescent="0.25">
      <c r="A4822" t="s">
        <v>1740</v>
      </c>
      <c r="B4822" t="s">
        <v>1170</v>
      </c>
      <c r="E4822" t="str">
        <f>IF(OR(E4821="&lt;/routeDistribution&gt;",E4821=""),"",IFERROR(_xlfn.CONCAT(VLOOKUP(BJ32,Route_Column!#REF!,2,FALSE),CHAR(34)," probability=",CHAR(34),1/BJ$4,CHAR(34),CHAR(47),CHAR(62)),"&lt;/routeDistribution&gt;"))</f>
        <v/>
      </c>
    </row>
    <row r="4823" spans="1:5" x14ac:dyDescent="0.25">
      <c r="A4823" t="s">
        <v>1740</v>
      </c>
      <c r="B4823" t="s">
        <v>1171</v>
      </c>
      <c r="E4823" t="str">
        <f>IF(OR(E4822="&lt;/routeDistribution&gt;",E4822=""),"",IFERROR(_xlfn.CONCAT(VLOOKUP(BJ33,Route_Column!#REF!,2,FALSE),CHAR(34)," probability=",CHAR(34),1/BJ$4,CHAR(34),CHAR(47),CHAR(62)),"&lt;/routeDistribution&gt;"))</f>
        <v/>
      </c>
    </row>
    <row r="4824" spans="1:5" x14ac:dyDescent="0.25">
      <c r="A4824" t="s">
        <v>1740</v>
      </c>
      <c r="B4824" t="s">
        <v>1171</v>
      </c>
      <c r="E4824" t="str">
        <f>IF(OR(E4823="&lt;/routeDistribution&gt;",E4823=""),"",IFERROR(_xlfn.CONCAT(VLOOKUP(BJ34,Route_Column!#REF!,2,FALSE),CHAR(34)," probability=",CHAR(34),1/BJ$4,CHAR(34),CHAR(47),CHAR(62)),"&lt;/routeDistribution&gt;"))</f>
        <v/>
      </c>
    </row>
    <row r="4825" spans="1:5" x14ac:dyDescent="0.25">
      <c r="A4825" t="s">
        <v>1740</v>
      </c>
      <c r="B4825" t="s">
        <v>1197</v>
      </c>
      <c r="E4825" t="str">
        <f>IF(OR(E4824="&lt;/routeDistribution&gt;",E4824=""),"",IFERROR(_xlfn.CONCAT(VLOOKUP(BJ35,Route_Column!#REF!,2,FALSE),CHAR(34)," probability=",CHAR(34),1/BJ$4,CHAR(34),CHAR(47),CHAR(62)),"&lt;/routeDistribution&gt;"))</f>
        <v/>
      </c>
    </row>
    <row r="4826" spans="1:5" x14ac:dyDescent="0.25">
      <c r="A4826" t="s">
        <v>1740</v>
      </c>
      <c r="B4826" t="s">
        <v>1198</v>
      </c>
      <c r="E4826" t="str">
        <f>IF(OR(E4825="&lt;/routeDistribution&gt;",E4825=""),"",IFERROR(_xlfn.CONCAT(VLOOKUP(BJ36,Route_Column!#REF!,2,FALSE),CHAR(34)," probability=",CHAR(34),1/BJ$4,CHAR(34),CHAR(47),CHAR(62)),"&lt;/routeDistribution&gt;"))</f>
        <v/>
      </c>
    </row>
    <row r="4827" spans="1:5" x14ac:dyDescent="0.25">
      <c r="A4827" t="s">
        <v>1740</v>
      </c>
      <c r="B4827" t="s">
        <v>1201</v>
      </c>
      <c r="E4827" t="str">
        <f>IF(OR(E4826="&lt;/routeDistribution&gt;",E4826=""),"",IFERROR(_xlfn.CONCAT(VLOOKUP(BJ37,Route_Column!#REF!,2,FALSE),CHAR(34)," probability=",CHAR(34),1/BJ$4,CHAR(34),CHAR(47),CHAR(62)),"&lt;/routeDistribution&gt;"))</f>
        <v/>
      </c>
    </row>
    <row r="4828" spans="1:5" x14ac:dyDescent="0.25">
      <c r="A4828" t="s">
        <v>1740</v>
      </c>
      <c r="B4828" t="s">
        <v>1206</v>
      </c>
      <c r="E4828" t="str">
        <f>IF(OR(E4827="&lt;/routeDistribution&gt;",E4827=""),"",IFERROR(_xlfn.CONCAT(VLOOKUP(BJ38,Route_Column!#REF!,2,FALSE),CHAR(34)," probability=",CHAR(34),1/BJ$4,CHAR(34),CHAR(47),CHAR(62)),"&lt;/routeDistribution&gt;"))</f>
        <v/>
      </c>
    </row>
    <row r="4829" spans="1:5" x14ac:dyDescent="0.25">
      <c r="A4829" t="s">
        <v>1740</v>
      </c>
      <c r="B4829" t="s">
        <v>1225</v>
      </c>
      <c r="E4829" t="str">
        <f>IF(OR(E4828="&lt;/routeDistribution&gt;",E4828=""),"",IFERROR(_xlfn.CONCAT(VLOOKUP(BJ39,Route_Column!#REF!,2,FALSE),CHAR(34)," probability=",CHAR(34),1/BJ$4,CHAR(34),CHAR(47),CHAR(62)),"&lt;/routeDistribution&gt;"))</f>
        <v/>
      </c>
    </row>
    <row r="4830" spans="1:5" x14ac:dyDescent="0.25">
      <c r="A4830" t="s">
        <v>1740</v>
      </c>
      <c r="B4830" t="s">
        <v>1225</v>
      </c>
      <c r="E4830" t="str">
        <f>IF(OR(E4829="&lt;/routeDistribution&gt;",E4829=""),"",IFERROR(_xlfn.CONCAT(VLOOKUP(BJ40,Route_Column!#REF!,2,FALSE),CHAR(34)," probability=",CHAR(34),1/BJ$4,CHAR(34),CHAR(47),CHAR(62)),"&lt;/routeDistribution&gt;"))</f>
        <v/>
      </c>
    </row>
    <row r="4831" spans="1:5" x14ac:dyDescent="0.25">
      <c r="A4831" t="s">
        <v>1791</v>
      </c>
      <c r="B4831" t="s">
        <v>1107</v>
      </c>
      <c r="E4831" t="str">
        <f>IF(OR(E4830="&lt;/routeDistribution&gt;",E4830=""),"",IFERROR(_xlfn.CONCAT(VLOOKUP(BJ41,Route_Column!#REF!,2,FALSE),CHAR(34)," probability=",CHAR(34),1/BJ$4,CHAR(34),CHAR(47),CHAR(62)),"&lt;/routeDistribution&gt;"))</f>
        <v/>
      </c>
    </row>
    <row r="4832" spans="1:5" x14ac:dyDescent="0.25">
      <c r="A4832" t="s">
        <v>1791</v>
      </c>
      <c r="B4832" t="s">
        <v>1112</v>
      </c>
      <c r="E4832" t="str">
        <f>IF(OR(E4831="&lt;/routeDistribution&gt;",E4831=""),"",IFERROR(_xlfn.CONCAT(VLOOKUP(BJ42,Route_Column!#REF!,2,FALSE),CHAR(34)," probability=",CHAR(34),1/BJ$4,CHAR(34),CHAR(47),CHAR(62)),"&lt;/routeDistribution&gt;"))</f>
        <v/>
      </c>
    </row>
    <row r="4833" spans="1:5" x14ac:dyDescent="0.25">
      <c r="A4833" t="s">
        <v>1791</v>
      </c>
      <c r="B4833" t="s">
        <v>1113</v>
      </c>
      <c r="E4833" t="str">
        <f>IF(OR(E4832="&lt;/routeDistribution&gt;",E4832=""),"",IFERROR(_xlfn.CONCAT(VLOOKUP(BJ43,Route_Column!#REF!,2,FALSE),CHAR(34)," probability=",CHAR(34),1/BJ$4,CHAR(34),CHAR(47),CHAR(62)),"&lt;/routeDistribution&gt;"))</f>
        <v/>
      </c>
    </row>
    <row r="4834" spans="1:5" x14ac:dyDescent="0.25">
      <c r="A4834" t="s">
        <v>1791</v>
      </c>
      <c r="B4834" t="s">
        <v>1114</v>
      </c>
      <c r="E4834" t="str">
        <f>IF(OR(E4833="&lt;/routeDistribution&gt;",E4833=""),"",IFERROR(_xlfn.CONCAT(VLOOKUP(BJ44,Route_Column!#REF!,2,FALSE),CHAR(34)," probability=",CHAR(34),1/BJ$4,CHAR(34),CHAR(47),CHAR(62)),"&lt;/routeDistribution&gt;"))</f>
        <v/>
      </c>
    </row>
    <row r="4835" spans="1:5" x14ac:dyDescent="0.25">
      <c r="A4835" t="s">
        <v>1791</v>
      </c>
      <c r="B4835" t="s">
        <v>1115</v>
      </c>
      <c r="E4835" t="str">
        <f>IF(OR(E4834="&lt;/routeDistribution&gt;",E4834=""),"",IFERROR(_xlfn.CONCAT(VLOOKUP(BJ45,Route_Column!#REF!,2,FALSE),CHAR(34)," probability=",CHAR(34),1/BJ$4,CHAR(34),CHAR(47),CHAR(62)),"&lt;/routeDistribution&gt;"))</f>
        <v/>
      </c>
    </row>
    <row r="4836" spans="1:5" x14ac:dyDescent="0.25">
      <c r="A4836" t="s">
        <v>1791</v>
      </c>
      <c r="B4836" t="s">
        <v>1142</v>
      </c>
      <c r="E4836" t="str">
        <f>IF(OR(E4835="&lt;/routeDistribution&gt;",E4835=""),"",IFERROR(_xlfn.CONCAT(VLOOKUP(BJ46,Route_Column!#REF!,2,FALSE),CHAR(34)," probability=",CHAR(34),1/BJ$4,CHAR(34),CHAR(47),CHAR(62)),"&lt;/routeDistribution&gt;"))</f>
        <v/>
      </c>
    </row>
    <row r="4837" spans="1:5" x14ac:dyDescent="0.25">
      <c r="A4837" t="s">
        <v>1791</v>
      </c>
      <c r="B4837" t="s">
        <v>1148</v>
      </c>
      <c r="E4837" t="str">
        <f>IF(OR(E4836="&lt;/routeDistribution&gt;",E4836=""),"",IFERROR(_xlfn.CONCAT(VLOOKUP(BJ47,Route_Column!#REF!,2,FALSE),CHAR(34)," probability=",CHAR(34),1/BJ$4,CHAR(34),CHAR(47),CHAR(62)),"&lt;/routeDistribution&gt;"))</f>
        <v/>
      </c>
    </row>
    <row r="4838" spans="1:5" x14ac:dyDescent="0.25">
      <c r="A4838" t="s">
        <v>1791</v>
      </c>
      <c r="B4838" t="s">
        <v>1168</v>
      </c>
      <c r="E4838" t="str">
        <f>IF(OR(E4837="&lt;/routeDistribution&gt;",E4837=""),"",IFERROR(_xlfn.CONCAT(VLOOKUP(BJ48,Route_Column!#REF!,2,FALSE),CHAR(34)," probability=",CHAR(34),1/BJ$4,CHAR(34),CHAR(47),CHAR(62)),"&lt;/routeDistribution&gt;"))</f>
        <v/>
      </c>
    </row>
    <row r="4839" spans="1:5" x14ac:dyDescent="0.25">
      <c r="A4839" t="s">
        <v>1791</v>
      </c>
      <c r="B4839" t="s">
        <v>1178</v>
      </c>
      <c r="E4839" t="str">
        <f>IF(OR(E4838="&lt;/routeDistribution&gt;",E4838=""),"",IFERROR(_xlfn.CONCAT(VLOOKUP(BJ49,Route_Column!#REF!,2,FALSE),CHAR(34)," probability=",CHAR(34),1/BJ$4,CHAR(34),CHAR(47),CHAR(62)),"&lt;/routeDistribution&gt;"))</f>
        <v/>
      </c>
    </row>
    <row r="4840" spans="1:5" x14ac:dyDescent="0.25">
      <c r="A4840" t="s">
        <v>1791</v>
      </c>
      <c r="B4840" t="s">
        <v>1202</v>
      </c>
      <c r="E4840" t="str">
        <f>IF(OR(E4839="&lt;/routeDistribution&gt;",E4839=""),"",IFERROR(_xlfn.CONCAT(VLOOKUP(BJ50,Route_Column!#REF!,2,FALSE),CHAR(34)," probability=",CHAR(34),1/BJ$4,CHAR(34),CHAR(47),CHAR(62)),"&lt;/routeDistribution&gt;"))</f>
        <v/>
      </c>
    </row>
    <row r="4841" spans="1:5" x14ac:dyDescent="0.25">
      <c r="A4841" t="s">
        <v>1792</v>
      </c>
      <c r="B4841" t="s">
        <v>1107</v>
      </c>
      <c r="E4841" t="str">
        <f>IF(OR(E4840="&lt;/routeDistribution&gt;",E4840=""),"",IFERROR(_xlfn.CONCAT(VLOOKUP(BJ51,Route_Column!#REF!,2,FALSE),CHAR(34)," probability=",CHAR(34),1/BJ$4,CHAR(34),CHAR(47),CHAR(62)),"&lt;/routeDistribution&gt;"))</f>
        <v/>
      </c>
    </row>
    <row r="4842" spans="1:5" x14ac:dyDescent="0.25">
      <c r="A4842" t="s">
        <v>1792</v>
      </c>
      <c r="B4842" t="s">
        <v>1112</v>
      </c>
      <c r="E4842" t="str">
        <f>IF(OR(E4841="&lt;/routeDistribution&gt;",E4841=""),"",IFERROR(_xlfn.CONCAT(VLOOKUP(BJ52,Route_Column!#REF!,2,FALSE),CHAR(34)," probability=",CHAR(34),1/BJ$4,CHAR(34),CHAR(47),CHAR(62)),"&lt;/routeDistribution&gt;"))</f>
        <v/>
      </c>
    </row>
    <row r="4843" spans="1:5" x14ac:dyDescent="0.25">
      <c r="A4843" t="s">
        <v>1792</v>
      </c>
      <c r="B4843" t="s">
        <v>1113</v>
      </c>
      <c r="E4843" t="str">
        <f>IF(OR(E4842="&lt;/routeDistribution&gt;",E4842=""),"",IFERROR(_xlfn.CONCAT(VLOOKUP(BJ53,Route_Column!#REF!,2,FALSE),CHAR(34)," probability=",CHAR(34),1/BJ$4,CHAR(34),CHAR(47),CHAR(62)),"&lt;/routeDistribution&gt;"))</f>
        <v/>
      </c>
    </row>
    <row r="4844" spans="1:5" x14ac:dyDescent="0.25">
      <c r="A4844" t="s">
        <v>1792</v>
      </c>
      <c r="B4844" t="s">
        <v>1114</v>
      </c>
      <c r="E4844" t="str">
        <f>IF(OR(E4843="&lt;/routeDistribution&gt;",E4843=""),"",IFERROR(_xlfn.CONCAT(VLOOKUP(BJ54,Route_Column!#REF!,2,FALSE),CHAR(34)," probability=",CHAR(34),1/BJ$4,CHAR(34),CHAR(47),CHAR(62)),"&lt;/routeDistribution&gt;"))</f>
        <v/>
      </c>
    </row>
    <row r="4845" spans="1:5" x14ac:dyDescent="0.25">
      <c r="A4845" t="s">
        <v>1792</v>
      </c>
      <c r="B4845" t="s">
        <v>1115</v>
      </c>
      <c r="E4845" t="str">
        <f>IF(OR(E4844="&lt;/routeDistribution&gt;",E4844=""),"",IFERROR(_xlfn.CONCAT(VLOOKUP(BJ55,Route_Column!#REF!,2,FALSE),CHAR(34)," probability=",CHAR(34),1/BJ$4,CHAR(34),CHAR(47),CHAR(62)),"&lt;/routeDistribution&gt;"))</f>
        <v/>
      </c>
    </row>
    <row r="4846" spans="1:5" x14ac:dyDescent="0.25">
      <c r="A4846" t="s">
        <v>1792</v>
      </c>
      <c r="B4846" t="s">
        <v>1142</v>
      </c>
      <c r="E4846" t="str">
        <f>IF(OR(E4845="&lt;/routeDistribution&gt;",E4845=""),"",IFERROR(_xlfn.CONCAT(VLOOKUP(BJ56,Route_Column!#REF!,2,FALSE),CHAR(34)," probability=",CHAR(34),1/BJ$4,CHAR(34),CHAR(47),CHAR(62)),"&lt;/routeDistribution&gt;"))</f>
        <v/>
      </c>
    </row>
    <row r="4847" spans="1:5" x14ac:dyDescent="0.25">
      <c r="A4847" t="s">
        <v>1792</v>
      </c>
      <c r="B4847" t="s">
        <v>1148</v>
      </c>
      <c r="E4847" t="str">
        <f>IF(OR(E4846="&lt;/routeDistribution&gt;",E4846=""),"",IFERROR(_xlfn.CONCAT(VLOOKUP(BJ57,Route_Column!#REF!,2,FALSE),CHAR(34)," probability=",CHAR(34),1/BJ$4,CHAR(34),CHAR(47),CHAR(62)),"&lt;/routeDistribution&gt;"))</f>
        <v/>
      </c>
    </row>
    <row r="4848" spans="1:5" x14ac:dyDescent="0.25">
      <c r="A4848" t="s">
        <v>1792</v>
      </c>
      <c r="B4848" t="s">
        <v>1168</v>
      </c>
      <c r="E4848" t="str">
        <f>IF(OR(E4847="&lt;/routeDistribution&gt;",E4847=""),"",IFERROR(_xlfn.CONCAT(VLOOKUP(BJ58,Route_Column!#REF!,2,FALSE),CHAR(34)," probability=",CHAR(34),1/BJ$4,CHAR(34),CHAR(47),CHAR(62)),"&lt;/routeDistribution&gt;"))</f>
        <v/>
      </c>
    </row>
    <row r="4849" spans="1:5" x14ac:dyDescent="0.25">
      <c r="A4849" t="s">
        <v>1792</v>
      </c>
      <c r="B4849" t="s">
        <v>1178</v>
      </c>
      <c r="E4849" t="str">
        <f>IF(OR(E4848="&lt;/routeDistribution&gt;",E4848=""),"",IFERROR(_xlfn.CONCAT(VLOOKUP(BJ59,Route_Column!#REF!,2,FALSE),CHAR(34)," probability=",CHAR(34),1/BJ$4,CHAR(34),CHAR(47),CHAR(62)),"&lt;/routeDistribution&gt;"))</f>
        <v/>
      </c>
    </row>
    <row r="4850" spans="1:5" x14ac:dyDescent="0.25">
      <c r="A4850" t="s">
        <v>1792</v>
      </c>
      <c r="B4850" t="s">
        <v>1202</v>
      </c>
      <c r="E4850" t="str">
        <f>IF(OR(E4849="&lt;/routeDistribution&gt;",E4849=""),"",IFERROR(_xlfn.CONCAT(VLOOKUP(BJ60,Route_Column!#REF!,2,FALSE),CHAR(34)," probability=",CHAR(34),1/BJ$4,CHAR(34),CHAR(47),CHAR(62)),"&lt;/routeDistribution&gt;"))</f>
        <v/>
      </c>
    </row>
    <row r="4851" spans="1:5" x14ac:dyDescent="0.25">
      <c r="A4851" t="s">
        <v>1895</v>
      </c>
      <c r="B4851" t="s">
        <v>1112</v>
      </c>
      <c r="E4851" t="str">
        <f>IF(OR(E4850="&lt;/routeDistribution&gt;",E4850=""),"",IFERROR(_xlfn.CONCAT(VLOOKUP(BJ61,Route_Column!#REF!,2,FALSE),CHAR(34)," probability=",CHAR(34),1/BJ$4,CHAR(34),CHAR(47),CHAR(62)),"&lt;/routeDistribution&gt;"))</f>
        <v/>
      </c>
    </row>
    <row r="4852" spans="1:5" x14ac:dyDescent="0.25">
      <c r="A4852" t="s">
        <v>1896</v>
      </c>
      <c r="B4852" t="s">
        <v>1112</v>
      </c>
      <c r="E4852" t="str">
        <f>IF(OR(E4851="&lt;/routeDistribution&gt;",E4851=""),"",IFERROR(_xlfn.CONCAT(VLOOKUP(BJ62,Route_Column!#REF!,2,FALSE),CHAR(34)," probability=",CHAR(34),1/BJ$4,CHAR(34),CHAR(47),CHAR(62)),"&lt;/routeDistribution&gt;"))</f>
        <v/>
      </c>
    </row>
    <row r="4853" spans="1:5" x14ac:dyDescent="0.25">
      <c r="A4853" t="s">
        <v>1896</v>
      </c>
      <c r="B4853" t="s">
        <v>1157</v>
      </c>
      <c r="E4853" t="str">
        <f>IF(OR(E4852="&lt;/routeDistribution&gt;",E4852=""),"",IFERROR(_xlfn.CONCAT(VLOOKUP(BJ63,Route_Column!#REF!,2,FALSE),CHAR(34)," probability=",CHAR(34),1/BJ$4,CHAR(34),CHAR(47),CHAR(62)),"&lt;/routeDistribution&gt;"))</f>
        <v/>
      </c>
    </row>
    <row r="4854" spans="1:5" x14ac:dyDescent="0.25">
      <c r="A4854" t="s">
        <v>1896</v>
      </c>
      <c r="B4854" t="s">
        <v>1158</v>
      </c>
      <c r="E4854" t="s">
        <v>2686</v>
      </c>
    </row>
    <row r="4855" spans="1:5" x14ac:dyDescent="0.25">
      <c r="A4855" t="s">
        <v>1896</v>
      </c>
      <c r="B4855" t="s">
        <v>1159</v>
      </c>
    </row>
    <row r="4856" spans="1:5" x14ac:dyDescent="0.25">
      <c r="A4856" t="s">
        <v>1897</v>
      </c>
      <c r="B4856" t="s">
        <v>1112</v>
      </c>
    </row>
    <row r="4857" spans="1:5" x14ac:dyDescent="0.25">
      <c r="A4857" t="s">
        <v>1897</v>
      </c>
      <c r="B4857" t="s">
        <v>1157</v>
      </c>
      <c r="E4857" t="str">
        <f>_xlfn.CONCAT($E$1,BI$2,$F$1)</f>
        <v>&lt;routeDistribution id="38th-Powelton-to-LanAVE-NB-2012-RouteProbe"&gt;</v>
      </c>
    </row>
    <row r="4858" spans="1:5" x14ac:dyDescent="0.25">
      <c r="A4858" t="s">
        <v>1897</v>
      </c>
      <c r="B4858" t="s">
        <v>1158</v>
      </c>
      <c r="E4858" t="str">
        <f>IF(OR(E4857="&lt;/routeDistribution&gt;",E4857=""),"",IFERROR(_xlfn.CONCAT(VLOOKUP(BI5,Route_Column!#REF!,2,FALSE),CHAR(34)," probability=",CHAR(34),1/BI$4,CHAR(34),CHAR(47),CHAR(62)),"&lt;/routeDistribution&gt;"))</f>
        <v>&lt;/routeDistribution&gt;</v>
      </c>
    </row>
    <row r="4859" spans="1:5" x14ac:dyDescent="0.25">
      <c r="A4859" t="s">
        <v>1897</v>
      </c>
      <c r="B4859" t="s">
        <v>1159</v>
      </c>
      <c r="E4859" t="str">
        <f>IF(OR(E4858="&lt;/routeDistribution&gt;",E4858=""),"",IFERROR(_xlfn.CONCAT(VLOOKUP(BI6,Route_Column!#REF!,2,FALSE),CHAR(34)," probability=",CHAR(34),1/BI$4,CHAR(34),CHAR(47),CHAR(62)),"&lt;/routeDistribution&gt;"))</f>
        <v/>
      </c>
    </row>
    <row r="4860" spans="1:5" x14ac:dyDescent="0.25">
      <c r="A4860" t="s">
        <v>1898</v>
      </c>
      <c r="B4860" t="s">
        <v>1112</v>
      </c>
      <c r="E4860" t="str">
        <f>IF(OR(E4859="&lt;/routeDistribution&gt;",E4859=""),"",IFERROR(_xlfn.CONCAT(VLOOKUP(BI7,Route_Column!#REF!,2,FALSE),CHAR(34)," probability=",CHAR(34),1/BI$4,CHAR(34),CHAR(47),CHAR(62)),"&lt;/routeDistribution&gt;"))</f>
        <v/>
      </c>
    </row>
    <row r="4861" spans="1:5" x14ac:dyDescent="0.25">
      <c r="A4861" t="s">
        <v>1898</v>
      </c>
      <c r="B4861" t="s">
        <v>1157</v>
      </c>
      <c r="E4861" t="str">
        <f>IF(OR(E4860="&lt;/routeDistribution&gt;",E4860=""),"",IFERROR(_xlfn.CONCAT(VLOOKUP(BI8,Route_Column!#REF!,2,FALSE),CHAR(34)," probability=",CHAR(34),1/BI$4,CHAR(34),CHAR(47),CHAR(62)),"&lt;/routeDistribution&gt;"))</f>
        <v/>
      </c>
    </row>
    <row r="4862" spans="1:5" x14ac:dyDescent="0.25">
      <c r="A4862" t="s">
        <v>1898</v>
      </c>
      <c r="B4862" t="s">
        <v>1158</v>
      </c>
      <c r="E4862" t="str">
        <f>IF(OR(E4861="&lt;/routeDistribution&gt;",E4861=""),"",IFERROR(_xlfn.CONCAT(VLOOKUP(BI9,Route_Column!#REF!,2,FALSE),CHAR(34)," probability=",CHAR(34),1/BI$4,CHAR(34),CHAR(47),CHAR(62)),"&lt;/routeDistribution&gt;"))</f>
        <v/>
      </c>
    </row>
    <row r="4863" spans="1:5" x14ac:dyDescent="0.25">
      <c r="A4863" t="s">
        <v>1898</v>
      </c>
      <c r="B4863" t="s">
        <v>1159</v>
      </c>
      <c r="E4863" t="str">
        <f>IF(OR(E4862="&lt;/routeDistribution&gt;",E4862=""),"",IFERROR(_xlfn.CONCAT(VLOOKUP(BI10,Route_Column!#REF!,2,FALSE),CHAR(34)," probability=",CHAR(34),1/BI$4,CHAR(34),CHAR(47),CHAR(62)),"&lt;/routeDistribution&gt;"))</f>
        <v/>
      </c>
    </row>
    <row r="4864" spans="1:5" x14ac:dyDescent="0.25">
      <c r="A4864" t="s">
        <v>2180</v>
      </c>
      <c r="B4864" t="s">
        <v>1154</v>
      </c>
      <c r="E4864" t="str">
        <f>IF(OR(E4863="&lt;/routeDistribution&gt;",E4863=""),"",IFERROR(_xlfn.CONCAT(VLOOKUP(BI11,Route_Column!#REF!,2,FALSE),CHAR(34)," probability=",CHAR(34),1/BI$4,CHAR(34),CHAR(47),CHAR(62)),"&lt;/routeDistribution&gt;"))</f>
        <v/>
      </c>
    </row>
    <row r="4865" spans="1:5" x14ac:dyDescent="0.25">
      <c r="A4865" t="s">
        <v>2180</v>
      </c>
      <c r="B4865" t="s">
        <v>1155</v>
      </c>
      <c r="E4865" t="str">
        <f>IF(OR(E4864="&lt;/routeDistribution&gt;",E4864=""),"",IFERROR(_xlfn.CONCAT(VLOOKUP(BI12,Route_Column!#REF!,2,FALSE),CHAR(34)," probability=",CHAR(34),1/BI$4,CHAR(34),CHAR(47),CHAR(62)),"&lt;/routeDistribution&gt;"))</f>
        <v/>
      </c>
    </row>
    <row r="4866" spans="1:5" x14ac:dyDescent="0.25">
      <c r="A4866" t="s">
        <v>2180</v>
      </c>
      <c r="B4866" t="s">
        <v>1156</v>
      </c>
      <c r="E4866" t="str">
        <f>IF(OR(E4865="&lt;/routeDistribution&gt;",E4865=""),"",IFERROR(_xlfn.CONCAT(VLOOKUP(BI13,Route_Column!#REF!,2,FALSE),CHAR(34)," probability=",CHAR(34),1/BI$4,CHAR(34),CHAR(47),CHAR(62)),"&lt;/routeDistribution&gt;"))</f>
        <v/>
      </c>
    </row>
    <row r="4867" spans="1:5" x14ac:dyDescent="0.25">
      <c r="A4867" t="s">
        <v>2181</v>
      </c>
      <c r="B4867" t="s">
        <v>1154</v>
      </c>
      <c r="E4867" t="str">
        <f>IF(OR(E4866="&lt;/routeDistribution&gt;",E4866=""),"",IFERROR(_xlfn.CONCAT(VLOOKUP(BI14,Route_Column!#REF!,2,FALSE),CHAR(34)," probability=",CHAR(34),1/BI$4,CHAR(34),CHAR(47),CHAR(62)),"&lt;/routeDistribution&gt;"))</f>
        <v/>
      </c>
    </row>
    <row r="4868" spans="1:5" x14ac:dyDescent="0.25">
      <c r="A4868" t="s">
        <v>2181</v>
      </c>
      <c r="B4868" t="s">
        <v>1155</v>
      </c>
      <c r="E4868" t="str">
        <f>IF(OR(E4867="&lt;/routeDistribution&gt;",E4867=""),"",IFERROR(_xlfn.CONCAT(VLOOKUP(BI15,Route_Column!#REF!,2,FALSE),CHAR(34)," probability=",CHAR(34),1/BI$4,CHAR(34),CHAR(47),CHAR(62)),"&lt;/routeDistribution&gt;"))</f>
        <v/>
      </c>
    </row>
    <row r="4869" spans="1:5" x14ac:dyDescent="0.25">
      <c r="A4869" t="s">
        <v>2181</v>
      </c>
      <c r="B4869" t="s">
        <v>1156</v>
      </c>
      <c r="E4869" t="str">
        <f>IF(OR(E4868="&lt;/routeDistribution&gt;",E4868=""),"",IFERROR(_xlfn.CONCAT(VLOOKUP(BI16,Route_Column!#REF!,2,FALSE),CHAR(34)," probability=",CHAR(34),1/BI$4,CHAR(34),CHAR(47),CHAR(62)),"&lt;/routeDistribution&gt;"))</f>
        <v/>
      </c>
    </row>
    <row r="4870" spans="1:5" x14ac:dyDescent="0.25">
      <c r="A4870" t="s">
        <v>1794</v>
      </c>
      <c r="B4870" t="s">
        <v>1107</v>
      </c>
      <c r="E4870" t="str">
        <f>IF(OR(E4869="&lt;/routeDistribution&gt;",E4869=""),"",IFERROR(_xlfn.CONCAT(VLOOKUP(BI17,Route_Column!#REF!,2,FALSE),CHAR(34)," probability=",CHAR(34),1/BI$4,CHAR(34),CHAR(47),CHAR(62)),"&lt;/routeDistribution&gt;"))</f>
        <v/>
      </c>
    </row>
    <row r="4871" spans="1:5" x14ac:dyDescent="0.25">
      <c r="A4871" t="s">
        <v>1794</v>
      </c>
      <c r="B4871" t="s">
        <v>1142</v>
      </c>
      <c r="E4871" t="str">
        <f>IF(OR(E4870="&lt;/routeDistribution&gt;",E4870=""),"",IFERROR(_xlfn.CONCAT(VLOOKUP(BI18,Route_Column!#REF!,2,FALSE),CHAR(34)," probability=",CHAR(34),1/BI$4,CHAR(34),CHAR(47),CHAR(62)),"&lt;/routeDistribution&gt;"))</f>
        <v/>
      </c>
    </row>
    <row r="4872" spans="1:5" x14ac:dyDescent="0.25">
      <c r="A4872" t="s">
        <v>1794</v>
      </c>
      <c r="B4872" t="s">
        <v>1148</v>
      </c>
      <c r="E4872" t="str">
        <f>IF(OR(E4871="&lt;/routeDistribution&gt;",E4871=""),"",IFERROR(_xlfn.CONCAT(VLOOKUP(BI19,Route_Column!#REF!,2,FALSE),CHAR(34)," probability=",CHAR(34),1/BI$4,CHAR(34),CHAR(47),CHAR(62)),"&lt;/routeDistribution&gt;"))</f>
        <v/>
      </c>
    </row>
    <row r="4873" spans="1:5" x14ac:dyDescent="0.25">
      <c r="A4873" t="s">
        <v>1794</v>
      </c>
      <c r="B4873" t="s">
        <v>1167</v>
      </c>
      <c r="E4873" t="str">
        <f>IF(OR(E4872="&lt;/routeDistribution&gt;",E4872=""),"",IFERROR(_xlfn.CONCAT(VLOOKUP(BI20,Route_Column!#REF!,2,FALSE),CHAR(34)," probability=",CHAR(34),1/BI$4,CHAR(34),CHAR(47),CHAR(62)),"&lt;/routeDistribution&gt;"))</f>
        <v/>
      </c>
    </row>
    <row r="4874" spans="1:5" x14ac:dyDescent="0.25">
      <c r="A4874" t="s">
        <v>1794</v>
      </c>
      <c r="B4874" t="s">
        <v>1169</v>
      </c>
      <c r="E4874" t="str">
        <f>IF(OR(E4873="&lt;/routeDistribution&gt;",E4873=""),"",IFERROR(_xlfn.CONCAT(VLOOKUP(BI21,Route_Column!#REF!,2,FALSE),CHAR(34)," probability=",CHAR(34),1/BI$4,CHAR(34),CHAR(47),CHAR(62)),"&lt;/routeDistribution&gt;"))</f>
        <v/>
      </c>
    </row>
    <row r="4875" spans="1:5" x14ac:dyDescent="0.25">
      <c r="A4875" t="s">
        <v>1794</v>
      </c>
      <c r="B4875" t="s">
        <v>1178</v>
      </c>
      <c r="E4875" t="str">
        <f>IF(OR(E4874="&lt;/routeDistribution&gt;",E4874=""),"",IFERROR(_xlfn.CONCAT(VLOOKUP(BI22,Route_Column!#REF!,2,FALSE),CHAR(34)," probability=",CHAR(34),1/BI$4,CHAR(34),CHAR(47),CHAR(62)),"&lt;/routeDistribution&gt;"))</f>
        <v/>
      </c>
    </row>
    <row r="4876" spans="1:5" x14ac:dyDescent="0.25">
      <c r="A4876" t="s">
        <v>1794</v>
      </c>
      <c r="B4876" t="s">
        <v>1202</v>
      </c>
      <c r="E4876" t="str">
        <f>IF(OR(E4875="&lt;/routeDistribution&gt;",E4875=""),"",IFERROR(_xlfn.CONCAT(VLOOKUP(BI23,Route_Column!#REF!,2,FALSE),CHAR(34)," probability=",CHAR(34),1/BI$4,CHAR(34),CHAR(47),CHAR(62)),"&lt;/routeDistribution&gt;"))</f>
        <v/>
      </c>
    </row>
    <row r="4877" spans="1:5" x14ac:dyDescent="0.25">
      <c r="A4877" t="s">
        <v>1794</v>
      </c>
      <c r="B4877" t="s">
        <v>1207</v>
      </c>
      <c r="E4877" t="str">
        <f>IF(OR(E4876="&lt;/routeDistribution&gt;",E4876=""),"",IFERROR(_xlfn.CONCAT(VLOOKUP(BI24,Route_Column!#REF!,2,FALSE),CHAR(34)," probability=",CHAR(34),1/BI$4,CHAR(34),CHAR(47),CHAR(62)),"&lt;/routeDistribution&gt;"))</f>
        <v/>
      </c>
    </row>
    <row r="4878" spans="1:5" x14ac:dyDescent="0.25">
      <c r="A4878" t="s">
        <v>1795</v>
      </c>
      <c r="B4878" t="s">
        <v>1107</v>
      </c>
      <c r="E4878" t="str">
        <f>IF(OR(E4877="&lt;/routeDistribution&gt;",E4877=""),"",IFERROR(_xlfn.CONCAT(VLOOKUP(BI25,Route_Column!#REF!,2,FALSE),CHAR(34)," probability=",CHAR(34),1/BI$4,CHAR(34),CHAR(47),CHAR(62)),"&lt;/routeDistribution&gt;"))</f>
        <v/>
      </c>
    </row>
    <row r="4879" spans="1:5" x14ac:dyDescent="0.25">
      <c r="A4879" t="s">
        <v>1795</v>
      </c>
      <c r="B4879" t="s">
        <v>1142</v>
      </c>
      <c r="E4879" t="str">
        <f>IF(OR(E4878="&lt;/routeDistribution&gt;",E4878=""),"",IFERROR(_xlfn.CONCAT(VLOOKUP(BI26,Route_Column!#REF!,2,FALSE),CHAR(34)," probability=",CHAR(34),1/BI$4,CHAR(34),CHAR(47),CHAR(62)),"&lt;/routeDistribution&gt;"))</f>
        <v/>
      </c>
    </row>
    <row r="4880" spans="1:5" x14ac:dyDescent="0.25">
      <c r="A4880" t="s">
        <v>1795</v>
      </c>
      <c r="B4880" t="s">
        <v>1148</v>
      </c>
      <c r="E4880" t="str">
        <f>IF(OR(E4879="&lt;/routeDistribution&gt;",E4879=""),"",IFERROR(_xlfn.CONCAT(VLOOKUP(BI27,Route_Column!#REF!,2,FALSE),CHAR(34)," probability=",CHAR(34),1/BI$4,CHAR(34),CHAR(47),CHAR(62)),"&lt;/routeDistribution&gt;"))</f>
        <v/>
      </c>
    </row>
    <row r="4881" spans="1:5" x14ac:dyDescent="0.25">
      <c r="A4881" t="s">
        <v>1795</v>
      </c>
      <c r="B4881" t="s">
        <v>1167</v>
      </c>
      <c r="E4881" t="str">
        <f>IF(OR(E4880="&lt;/routeDistribution&gt;",E4880=""),"",IFERROR(_xlfn.CONCAT(VLOOKUP(BI28,Route_Column!#REF!,2,FALSE),CHAR(34)," probability=",CHAR(34),1/BI$4,CHAR(34),CHAR(47),CHAR(62)),"&lt;/routeDistribution&gt;"))</f>
        <v/>
      </c>
    </row>
    <row r="4882" spans="1:5" x14ac:dyDescent="0.25">
      <c r="A4882" t="s">
        <v>1795</v>
      </c>
      <c r="B4882" t="s">
        <v>1169</v>
      </c>
      <c r="E4882" t="str">
        <f>IF(OR(E4881="&lt;/routeDistribution&gt;",E4881=""),"",IFERROR(_xlfn.CONCAT(VLOOKUP(BI29,Route_Column!#REF!,2,FALSE),CHAR(34)," probability=",CHAR(34),1/BI$4,CHAR(34),CHAR(47),CHAR(62)),"&lt;/routeDistribution&gt;"))</f>
        <v/>
      </c>
    </row>
    <row r="4883" spans="1:5" x14ac:dyDescent="0.25">
      <c r="A4883" t="s">
        <v>1795</v>
      </c>
      <c r="B4883" t="s">
        <v>1178</v>
      </c>
      <c r="E4883" t="str">
        <f>IF(OR(E4882="&lt;/routeDistribution&gt;",E4882=""),"",IFERROR(_xlfn.CONCAT(VLOOKUP(BI30,Route_Column!#REF!,2,FALSE),CHAR(34)," probability=",CHAR(34),1/BI$4,CHAR(34),CHAR(47),CHAR(62)),"&lt;/routeDistribution&gt;"))</f>
        <v/>
      </c>
    </row>
    <row r="4884" spans="1:5" x14ac:dyDescent="0.25">
      <c r="A4884" t="s">
        <v>1795</v>
      </c>
      <c r="B4884" t="s">
        <v>1202</v>
      </c>
      <c r="E4884" t="str">
        <f>IF(OR(E4883="&lt;/routeDistribution&gt;",E4883=""),"",IFERROR(_xlfn.CONCAT(VLOOKUP(BI31,Route_Column!#REF!,2,FALSE),CHAR(34)," probability=",CHAR(34),1/BI$4,CHAR(34),CHAR(47),CHAR(62)),"&lt;/routeDistribution&gt;"))</f>
        <v/>
      </c>
    </row>
    <row r="4885" spans="1:5" x14ac:dyDescent="0.25">
      <c r="A4885" t="s">
        <v>1795</v>
      </c>
      <c r="B4885" t="s">
        <v>1207</v>
      </c>
      <c r="E4885" t="str">
        <f>IF(OR(E4884="&lt;/routeDistribution&gt;",E4884=""),"",IFERROR(_xlfn.CONCAT(VLOOKUP(BI32,Route_Column!#REF!,2,FALSE),CHAR(34)," probability=",CHAR(34),1/BI$4,CHAR(34),CHAR(47),CHAR(62)),"&lt;/routeDistribution&gt;"))</f>
        <v/>
      </c>
    </row>
    <row r="4886" spans="1:5" x14ac:dyDescent="0.25">
      <c r="A4886" s="11" t="s">
        <v>1497</v>
      </c>
      <c r="B4886" t="s">
        <v>1091</v>
      </c>
      <c r="E4886" t="str">
        <f>IF(OR(E4885="&lt;/routeDistribution&gt;",E4885=""),"",IFERROR(_xlfn.CONCAT(VLOOKUP(BI33,Route_Column!#REF!,2,FALSE),CHAR(34)," probability=",CHAR(34),1/BI$4,CHAR(34),CHAR(47),CHAR(62)),"&lt;/routeDistribution&gt;"))</f>
        <v/>
      </c>
    </row>
    <row r="4887" spans="1:5" x14ac:dyDescent="0.25">
      <c r="A4887" t="s">
        <v>1497</v>
      </c>
      <c r="B4887" t="s">
        <v>1092</v>
      </c>
      <c r="E4887" t="str">
        <f>IF(OR(E4886="&lt;/routeDistribution&gt;",E4886=""),"",IFERROR(_xlfn.CONCAT(VLOOKUP(BI34,Route_Column!#REF!,2,FALSE),CHAR(34)," probability=",CHAR(34),1/BI$4,CHAR(34),CHAR(47),CHAR(62)),"&lt;/routeDistribution&gt;"))</f>
        <v/>
      </c>
    </row>
    <row r="4888" spans="1:5" x14ac:dyDescent="0.25">
      <c r="A4888" t="s">
        <v>1497</v>
      </c>
      <c r="B4888" t="s">
        <v>1093</v>
      </c>
      <c r="E4888" t="str">
        <f>IF(OR(E4887="&lt;/routeDistribution&gt;",E4887=""),"",IFERROR(_xlfn.CONCAT(VLOOKUP(BI35,Route_Column!#REF!,2,FALSE),CHAR(34)," probability=",CHAR(34),1/BI$4,CHAR(34),CHAR(47),CHAR(62)),"&lt;/routeDistribution&gt;"))</f>
        <v/>
      </c>
    </row>
    <row r="4889" spans="1:5" x14ac:dyDescent="0.25">
      <c r="A4889" t="s">
        <v>1497</v>
      </c>
      <c r="B4889" t="s">
        <v>1094</v>
      </c>
      <c r="E4889" t="str">
        <f>IF(OR(E4888="&lt;/routeDistribution&gt;",E4888=""),"",IFERROR(_xlfn.CONCAT(VLOOKUP(BI36,Route_Column!#REF!,2,FALSE),CHAR(34)," probability=",CHAR(34),1/BI$4,CHAR(34),CHAR(47),CHAR(62)),"&lt;/routeDistribution&gt;"))</f>
        <v/>
      </c>
    </row>
    <row r="4890" spans="1:5" x14ac:dyDescent="0.25">
      <c r="A4890" t="s">
        <v>1497</v>
      </c>
      <c r="B4890" t="s">
        <v>1095</v>
      </c>
      <c r="E4890" t="str">
        <f>IF(OR(E4889="&lt;/routeDistribution&gt;",E4889=""),"",IFERROR(_xlfn.CONCAT(VLOOKUP(BI37,Route_Column!#REF!,2,FALSE),CHAR(34)," probability=",CHAR(34),1/BI$4,CHAR(34),CHAR(47),CHAR(62)),"&lt;/routeDistribution&gt;"))</f>
        <v/>
      </c>
    </row>
    <row r="4891" spans="1:5" x14ac:dyDescent="0.25">
      <c r="A4891" t="s">
        <v>1497</v>
      </c>
      <c r="B4891" t="s">
        <v>1096</v>
      </c>
      <c r="E4891" t="str">
        <f>IF(OR(E4890="&lt;/routeDistribution&gt;",E4890=""),"",IFERROR(_xlfn.CONCAT(VLOOKUP(BI38,Route_Column!#REF!,2,FALSE),CHAR(34)," probability=",CHAR(34),1/BI$4,CHAR(34),CHAR(47),CHAR(62)),"&lt;/routeDistribution&gt;"))</f>
        <v/>
      </c>
    </row>
    <row r="4892" spans="1:5" x14ac:dyDescent="0.25">
      <c r="A4892" t="s">
        <v>1497</v>
      </c>
      <c r="B4892" t="s">
        <v>1097</v>
      </c>
      <c r="E4892" t="str">
        <f>IF(OR(E4891="&lt;/routeDistribution&gt;",E4891=""),"",IFERROR(_xlfn.CONCAT(VLOOKUP(BI39,Route_Column!#REF!,2,FALSE),CHAR(34)," probability=",CHAR(34),1/BI$4,CHAR(34),CHAR(47),CHAR(62)),"&lt;/routeDistribution&gt;"))</f>
        <v/>
      </c>
    </row>
    <row r="4893" spans="1:5" x14ac:dyDescent="0.25">
      <c r="A4893" t="s">
        <v>1497</v>
      </c>
      <c r="B4893" t="s">
        <v>1098</v>
      </c>
      <c r="E4893" t="str">
        <f>IF(OR(E4892="&lt;/routeDistribution&gt;",E4892=""),"",IFERROR(_xlfn.CONCAT(VLOOKUP(BI40,Route_Column!#REF!,2,FALSE),CHAR(34)," probability=",CHAR(34),1/BI$4,CHAR(34),CHAR(47),CHAR(62)),"&lt;/routeDistribution&gt;"))</f>
        <v/>
      </c>
    </row>
    <row r="4894" spans="1:5" x14ac:dyDescent="0.25">
      <c r="A4894" t="s">
        <v>1497</v>
      </c>
      <c r="B4894" t="s">
        <v>1099</v>
      </c>
      <c r="E4894" t="str">
        <f>IF(OR(E4893="&lt;/routeDistribution&gt;",E4893=""),"",IFERROR(_xlfn.CONCAT(VLOOKUP(BI41,Route_Column!#REF!,2,FALSE),CHAR(34)," probability=",CHAR(34),1/BI$4,CHAR(34),CHAR(47),CHAR(62)),"&lt;/routeDistribution&gt;"))</f>
        <v/>
      </c>
    </row>
    <row r="4895" spans="1:5" x14ac:dyDescent="0.25">
      <c r="A4895" t="s">
        <v>1497</v>
      </c>
      <c r="B4895" t="s">
        <v>1100</v>
      </c>
      <c r="E4895" t="str">
        <f>IF(OR(E4894="&lt;/routeDistribution&gt;",E4894=""),"",IFERROR(_xlfn.CONCAT(VLOOKUP(BI42,Route_Column!#REF!,2,FALSE),CHAR(34)," probability=",CHAR(34),1/BI$4,CHAR(34),CHAR(47),CHAR(62)),"&lt;/routeDistribution&gt;"))</f>
        <v/>
      </c>
    </row>
    <row r="4896" spans="1:5" x14ac:dyDescent="0.25">
      <c r="A4896" t="s">
        <v>1497</v>
      </c>
      <c r="B4896" t="s">
        <v>1101</v>
      </c>
      <c r="E4896" t="str">
        <f>IF(OR(E4895="&lt;/routeDistribution&gt;",E4895=""),"",IFERROR(_xlfn.CONCAT(VLOOKUP(BI43,Route_Column!#REF!,2,FALSE),CHAR(34)," probability=",CHAR(34),1/BI$4,CHAR(34),CHAR(47),CHAR(62)),"&lt;/routeDistribution&gt;"))</f>
        <v/>
      </c>
    </row>
    <row r="4897" spans="1:5" x14ac:dyDescent="0.25">
      <c r="A4897" t="s">
        <v>1497</v>
      </c>
      <c r="B4897" t="s">
        <v>1102</v>
      </c>
      <c r="E4897" t="str">
        <f>IF(OR(E4896="&lt;/routeDistribution&gt;",E4896=""),"",IFERROR(_xlfn.CONCAT(VLOOKUP(BI44,Route_Column!#REF!,2,FALSE),CHAR(34)," probability=",CHAR(34),1/BI$4,CHAR(34),CHAR(47),CHAR(62)),"&lt;/routeDistribution&gt;"))</f>
        <v/>
      </c>
    </row>
    <row r="4898" spans="1:5" x14ac:dyDescent="0.25">
      <c r="A4898" t="s">
        <v>1497</v>
      </c>
      <c r="B4898" t="s">
        <v>1103</v>
      </c>
      <c r="E4898" t="str">
        <f>IF(OR(E4897="&lt;/routeDistribution&gt;",E4897=""),"",IFERROR(_xlfn.CONCAT(VLOOKUP(BI45,Route_Column!#REF!,2,FALSE),CHAR(34)," probability=",CHAR(34),1/BI$4,CHAR(34),CHAR(47),CHAR(62)),"&lt;/routeDistribution&gt;"))</f>
        <v/>
      </c>
    </row>
    <row r="4899" spans="1:5" x14ac:dyDescent="0.25">
      <c r="A4899" t="s">
        <v>1497</v>
      </c>
      <c r="B4899" t="s">
        <v>1104</v>
      </c>
      <c r="E4899" t="str">
        <f>IF(OR(E4898="&lt;/routeDistribution&gt;",E4898=""),"",IFERROR(_xlfn.CONCAT(VLOOKUP(BI46,Route_Column!#REF!,2,FALSE),CHAR(34)," probability=",CHAR(34),1/BI$4,CHAR(34),CHAR(47),CHAR(62)),"&lt;/routeDistribution&gt;"))</f>
        <v/>
      </c>
    </row>
    <row r="4900" spans="1:5" x14ac:dyDescent="0.25">
      <c r="A4900" t="s">
        <v>1497</v>
      </c>
      <c r="B4900" t="s">
        <v>1105</v>
      </c>
      <c r="E4900" t="str">
        <f>IF(OR(E4899="&lt;/routeDistribution&gt;",E4899=""),"",IFERROR(_xlfn.CONCAT(VLOOKUP(BI47,Route_Column!#REF!,2,FALSE),CHAR(34)," probability=",CHAR(34),1/BI$4,CHAR(34),CHAR(47),CHAR(62)),"&lt;/routeDistribution&gt;"))</f>
        <v/>
      </c>
    </row>
    <row r="4901" spans="1:5" x14ac:dyDescent="0.25">
      <c r="A4901" t="s">
        <v>1497</v>
      </c>
      <c r="B4901" t="s">
        <v>1106</v>
      </c>
      <c r="E4901" t="str">
        <f>IF(OR(E4900="&lt;/routeDistribution&gt;",E4900=""),"",IFERROR(_xlfn.CONCAT(VLOOKUP(BI48,Route_Column!#REF!,2,FALSE),CHAR(34)," probability=",CHAR(34),1/BI$4,CHAR(34),CHAR(47),CHAR(62)),"&lt;/routeDistribution&gt;"))</f>
        <v/>
      </c>
    </row>
    <row r="4902" spans="1:5" x14ac:dyDescent="0.25">
      <c r="A4902" t="s">
        <v>1497</v>
      </c>
      <c r="B4902" t="s">
        <v>1107</v>
      </c>
      <c r="E4902" t="str">
        <f>IF(OR(E4901="&lt;/routeDistribution&gt;",E4901=""),"",IFERROR(_xlfn.CONCAT(VLOOKUP(BI49,Route_Column!#REF!,2,FALSE),CHAR(34)," probability=",CHAR(34),1/BI$4,CHAR(34),CHAR(47),CHAR(62)),"&lt;/routeDistribution&gt;"))</f>
        <v/>
      </c>
    </row>
    <row r="4903" spans="1:5" x14ac:dyDescent="0.25">
      <c r="A4903" t="s">
        <v>1733</v>
      </c>
      <c r="B4903" t="s">
        <v>1102</v>
      </c>
      <c r="E4903" t="str">
        <f>IF(OR(E4902="&lt;/routeDistribution&gt;",E4902=""),"",IFERROR(_xlfn.CONCAT(VLOOKUP(BI50,Route_Column!#REF!,2,FALSE),CHAR(34)," probability=",CHAR(34),1/BI$4,CHAR(34),CHAR(47),CHAR(62)),"&lt;/routeDistribution&gt;"))</f>
        <v/>
      </c>
    </row>
    <row r="4904" spans="1:5" x14ac:dyDescent="0.25">
      <c r="A4904" t="s">
        <v>1733</v>
      </c>
      <c r="B4904" t="s">
        <v>1109</v>
      </c>
      <c r="E4904" t="str">
        <f>IF(OR(E4903="&lt;/routeDistribution&gt;",E4903=""),"",IFERROR(_xlfn.CONCAT(VLOOKUP(BI51,Route_Column!#REF!,2,FALSE),CHAR(34)," probability=",CHAR(34),1/BI$4,CHAR(34),CHAR(47),CHAR(62)),"&lt;/routeDistribution&gt;"))</f>
        <v/>
      </c>
    </row>
    <row r="4905" spans="1:5" x14ac:dyDescent="0.25">
      <c r="A4905" t="s">
        <v>1733</v>
      </c>
      <c r="B4905" t="s">
        <v>1110</v>
      </c>
      <c r="E4905" t="str">
        <f>IF(OR(E4904="&lt;/routeDistribution&gt;",E4904=""),"",IFERROR(_xlfn.CONCAT(VLOOKUP(BI52,Route_Column!#REF!,2,FALSE),CHAR(34)," probability=",CHAR(34),1/BI$4,CHAR(34),CHAR(47),CHAR(62)),"&lt;/routeDistribution&gt;"))</f>
        <v/>
      </c>
    </row>
    <row r="4906" spans="1:5" x14ac:dyDescent="0.25">
      <c r="A4906" t="s">
        <v>1733</v>
      </c>
      <c r="B4906" t="s">
        <v>1122</v>
      </c>
      <c r="E4906" t="str">
        <f>IF(OR(E4905="&lt;/routeDistribution&gt;",E4905=""),"",IFERROR(_xlfn.CONCAT(VLOOKUP(BI53,Route_Column!#REF!,2,FALSE),CHAR(34)," probability=",CHAR(34),1/BI$4,CHAR(34),CHAR(47),CHAR(62)),"&lt;/routeDistribution&gt;"))</f>
        <v/>
      </c>
    </row>
    <row r="4907" spans="1:5" x14ac:dyDescent="0.25">
      <c r="A4907" t="s">
        <v>2353</v>
      </c>
      <c r="B4907" t="s">
        <v>1235</v>
      </c>
      <c r="E4907" t="str">
        <f>IF(OR(E4906="&lt;/routeDistribution&gt;",E4906=""),"",IFERROR(_xlfn.CONCAT(VLOOKUP(BI54,Route_Column!#REF!,2,FALSE),CHAR(34)," probability=",CHAR(34),1/BI$4,CHAR(34),CHAR(47),CHAR(62)),"&lt;/routeDistribution&gt;"))</f>
        <v/>
      </c>
    </row>
    <row r="4908" spans="1:5" x14ac:dyDescent="0.25">
      <c r="A4908" t="s">
        <v>2353</v>
      </c>
      <c r="B4908" t="s">
        <v>1236</v>
      </c>
      <c r="E4908" t="str">
        <f>IF(OR(E4907="&lt;/routeDistribution&gt;",E4907=""),"",IFERROR(_xlfn.CONCAT(VLOOKUP(BI55,Route_Column!#REF!,2,FALSE),CHAR(34)," probability=",CHAR(34),1/BI$4,CHAR(34),CHAR(47),CHAR(62)),"&lt;/routeDistribution&gt;"))</f>
        <v/>
      </c>
    </row>
    <row r="4909" spans="1:5" x14ac:dyDescent="0.25">
      <c r="A4909" t="s">
        <v>2353</v>
      </c>
      <c r="B4909" t="s">
        <v>1237</v>
      </c>
      <c r="E4909" t="str">
        <f>IF(OR(E4908="&lt;/routeDistribution&gt;",E4908=""),"",IFERROR(_xlfn.CONCAT(VLOOKUP(BI56,Route_Column!#REF!,2,FALSE),CHAR(34)," probability=",CHAR(34),1/BI$4,CHAR(34),CHAR(47),CHAR(62)),"&lt;/routeDistribution&gt;"))</f>
        <v/>
      </c>
    </row>
    <row r="4910" spans="1:5" x14ac:dyDescent="0.25">
      <c r="A4910" t="s">
        <v>2353</v>
      </c>
      <c r="B4910" t="s">
        <v>1238</v>
      </c>
      <c r="E4910" t="str">
        <f>IF(OR(E4909="&lt;/routeDistribution&gt;",E4909=""),"",IFERROR(_xlfn.CONCAT(VLOOKUP(BI57,Route_Column!#REF!,2,FALSE),CHAR(34)," probability=",CHAR(34),1/BI$4,CHAR(34),CHAR(47),CHAR(62)),"&lt;/routeDistribution&gt;"))</f>
        <v/>
      </c>
    </row>
    <row r="4911" spans="1:5" x14ac:dyDescent="0.25">
      <c r="A4911" t="s">
        <v>2353</v>
      </c>
      <c r="B4911" t="s">
        <v>1239</v>
      </c>
      <c r="E4911" t="str">
        <f>IF(OR(E4910="&lt;/routeDistribution&gt;",E4910=""),"",IFERROR(_xlfn.CONCAT(VLOOKUP(BI58,Route_Column!#REF!,2,FALSE),CHAR(34)," probability=",CHAR(34),1/BI$4,CHAR(34),CHAR(47),CHAR(62)),"&lt;/routeDistribution&gt;"))</f>
        <v/>
      </c>
    </row>
    <row r="4912" spans="1:5" x14ac:dyDescent="0.25">
      <c r="A4912" t="s">
        <v>2353</v>
      </c>
      <c r="B4912" t="s">
        <v>1240</v>
      </c>
      <c r="E4912" t="str">
        <f>IF(OR(E4911="&lt;/routeDistribution&gt;",E4911=""),"",IFERROR(_xlfn.CONCAT(VLOOKUP(BI59,Route_Column!#REF!,2,FALSE),CHAR(34)," probability=",CHAR(34),1/BI$4,CHAR(34),CHAR(47),CHAR(62)),"&lt;/routeDistribution&gt;"))</f>
        <v/>
      </c>
    </row>
    <row r="4913" spans="1:5" x14ac:dyDescent="0.25">
      <c r="A4913" t="s">
        <v>1577</v>
      </c>
      <c r="B4913" t="s">
        <v>1096</v>
      </c>
      <c r="E4913" t="str">
        <f>IF(OR(E4912="&lt;/routeDistribution&gt;",E4912=""),"",IFERROR(_xlfn.CONCAT(VLOOKUP(BI60,Route_Column!#REF!,2,FALSE),CHAR(34)," probability=",CHAR(34),1/BI$4,CHAR(34),CHAR(47),CHAR(62)),"&lt;/routeDistribution&gt;"))</f>
        <v/>
      </c>
    </row>
    <row r="4914" spans="1:5" x14ac:dyDescent="0.25">
      <c r="A4914" t="s">
        <v>1577</v>
      </c>
      <c r="B4914" t="s">
        <v>1097</v>
      </c>
      <c r="E4914" t="str">
        <f>IF(OR(E4913="&lt;/routeDistribution&gt;",E4913=""),"",IFERROR(_xlfn.CONCAT(VLOOKUP(BI61,Route_Column!#REF!,2,FALSE),CHAR(34)," probability=",CHAR(34),1/BI$4,CHAR(34),CHAR(47),CHAR(62)),"&lt;/routeDistribution&gt;"))</f>
        <v/>
      </c>
    </row>
    <row r="4915" spans="1:5" x14ac:dyDescent="0.25">
      <c r="A4915" t="s">
        <v>1577</v>
      </c>
      <c r="B4915" t="s">
        <v>1098</v>
      </c>
      <c r="E4915" t="str">
        <f>IF(OR(E4914="&lt;/routeDistribution&gt;",E4914=""),"",IFERROR(_xlfn.CONCAT(VLOOKUP(BI62,Route_Column!#REF!,2,FALSE),CHAR(34)," probability=",CHAR(34),1/BI$4,CHAR(34),CHAR(47),CHAR(62)),"&lt;/routeDistribution&gt;"))</f>
        <v/>
      </c>
    </row>
    <row r="4916" spans="1:5" x14ac:dyDescent="0.25">
      <c r="A4916" t="s">
        <v>1577</v>
      </c>
      <c r="B4916" t="s">
        <v>1099</v>
      </c>
      <c r="E4916" t="str">
        <f>IF(OR(E4915="&lt;/routeDistribution&gt;",E4915=""),"",IFERROR(_xlfn.CONCAT(VLOOKUP(BI63,Route_Column!#REF!,2,FALSE),CHAR(34)," probability=",CHAR(34),1/BI$4,CHAR(34),CHAR(47),CHAR(62)),"&lt;/routeDistribution&gt;"))</f>
        <v/>
      </c>
    </row>
    <row r="4917" spans="1:5" x14ac:dyDescent="0.25">
      <c r="A4917" t="s">
        <v>1577</v>
      </c>
      <c r="B4917" t="s">
        <v>1100</v>
      </c>
      <c r="E4917" t="s">
        <v>2686</v>
      </c>
    </row>
    <row r="4918" spans="1:5" x14ac:dyDescent="0.25">
      <c r="A4918" t="s">
        <v>1577</v>
      </c>
      <c r="B4918" t="s">
        <v>1101</v>
      </c>
    </row>
    <row r="4919" spans="1:5" x14ac:dyDescent="0.25">
      <c r="A4919" t="s">
        <v>1577</v>
      </c>
      <c r="B4919" t="s">
        <v>1102</v>
      </c>
    </row>
    <row r="4920" spans="1:5" x14ac:dyDescent="0.25">
      <c r="A4920" t="s">
        <v>1577</v>
      </c>
      <c r="B4920" t="s">
        <v>1103</v>
      </c>
      <c r="E4920" t="str">
        <f>_xlfn.CONCAT($E$1,BH$2,$F$1)</f>
        <v>&lt;routeDistribution id="38th-Powelton-to-LanAVE-SB-2012-RouteProbe"&gt;</v>
      </c>
    </row>
    <row r="4921" spans="1:5" x14ac:dyDescent="0.25">
      <c r="A4921" t="s">
        <v>1577</v>
      </c>
      <c r="B4921" t="s">
        <v>1104</v>
      </c>
      <c r="E4921" t="str">
        <f>IF(OR(E4920="&lt;/routeDistribution&gt;",E4920=""),"",IFERROR(_xlfn.CONCAT(VLOOKUP(BH5,Route_Column!#REF!,2,FALSE),CHAR(34)," probability=",CHAR(34),1/BH$4,CHAR(34),CHAR(47),CHAR(62)),"&lt;/routeDistribution&gt;"))</f>
        <v>&lt;/routeDistribution&gt;</v>
      </c>
    </row>
    <row r="4922" spans="1:5" x14ac:dyDescent="0.25">
      <c r="A4922" t="s">
        <v>1577</v>
      </c>
      <c r="B4922" t="s">
        <v>1105</v>
      </c>
      <c r="E4922" t="str">
        <f>IF(OR(E4921="&lt;/routeDistribution&gt;",E4921=""),"",IFERROR(_xlfn.CONCAT(VLOOKUP(BH6,Route_Column!#REF!,2,FALSE),CHAR(34)," probability=",CHAR(34),1/BH$4,CHAR(34),CHAR(47),CHAR(62)),"&lt;/routeDistribution&gt;"))</f>
        <v/>
      </c>
    </row>
    <row r="4923" spans="1:5" x14ac:dyDescent="0.25">
      <c r="A4923" t="s">
        <v>1577</v>
      </c>
      <c r="B4923" t="s">
        <v>1106</v>
      </c>
      <c r="E4923" t="str">
        <f>IF(OR(E4922="&lt;/routeDistribution&gt;",E4922=""),"",IFERROR(_xlfn.CONCAT(VLOOKUP(BH7,Route_Column!#REF!,2,FALSE),CHAR(34)," probability=",CHAR(34),1/BH$4,CHAR(34),CHAR(47),CHAR(62)),"&lt;/routeDistribution&gt;"))</f>
        <v/>
      </c>
    </row>
    <row r="4924" spans="1:5" x14ac:dyDescent="0.25">
      <c r="A4924" t="s">
        <v>1577</v>
      </c>
      <c r="B4924" t="s">
        <v>1107</v>
      </c>
      <c r="E4924" t="str">
        <f>IF(OR(E4923="&lt;/routeDistribution&gt;",E4923=""),"",IFERROR(_xlfn.CONCAT(VLOOKUP(BH8,Route_Column!#REF!,2,FALSE),CHAR(34)," probability=",CHAR(34),1/BH$4,CHAR(34),CHAR(47),CHAR(62)),"&lt;/routeDistribution&gt;"))</f>
        <v/>
      </c>
    </row>
    <row r="4925" spans="1:5" x14ac:dyDescent="0.25">
      <c r="A4925" t="s">
        <v>1577</v>
      </c>
      <c r="B4925" t="s">
        <v>1161</v>
      </c>
      <c r="E4925" t="str">
        <f>IF(OR(E4924="&lt;/routeDistribution&gt;",E4924=""),"",IFERROR(_xlfn.CONCAT(VLOOKUP(BH9,Route_Column!#REF!,2,FALSE),CHAR(34)," probability=",CHAR(34),1/BH$4,CHAR(34),CHAR(47),CHAR(62)),"&lt;/routeDistribution&gt;"))</f>
        <v/>
      </c>
    </row>
    <row r="4926" spans="1:5" x14ac:dyDescent="0.25">
      <c r="A4926" t="s">
        <v>1577</v>
      </c>
      <c r="B4926" t="s">
        <v>1162</v>
      </c>
      <c r="E4926" t="str">
        <f>IF(OR(E4925="&lt;/routeDistribution&gt;",E4925=""),"",IFERROR(_xlfn.CONCAT(VLOOKUP(BH10,Route_Column!#REF!,2,FALSE),CHAR(34)," probability=",CHAR(34),1/BH$4,CHAR(34),CHAR(47),CHAR(62)),"&lt;/routeDistribution&gt;"))</f>
        <v/>
      </c>
    </row>
    <row r="4927" spans="1:5" x14ac:dyDescent="0.25">
      <c r="A4927" t="s">
        <v>1577</v>
      </c>
      <c r="B4927" t="s">
        <v>1163</v>
      </c>
      <c r="E4927" t="str">
        <f>IF(OR(E4926="&lt;/routeDistribution&gt;",E4926=""),"",IFERROR(_xlfn.CONCAT(VLOOKUP(BH11,Route_Column!#REF!,2,FALSE),CHAR(34)," probability=",CHAR(34),1/BH$4,CHAR(34),CHAR(47),CHAR(62)),"&lt;/routeDistribution&gt;"))</f>
        <v/>
      </c>
    </row>
    <row r="4928" spans="1:5" x14ac:dyDescent="0.25">
      <c r="A4928" t="s">
        <v>1577</v>
      </c>
      <c r="B4928" t="s">
        <v>1164</v>
      </c>
      <c r="E4928" t="str">
        <f>IF(OR(E4927="&lt;/routeDistribution&gt;",E4927=""),"",IFERROR(_xlfn.CONCAT(VLOOKUP(BH12,Route_Column!#REF!,2,FALSE),CHAR(34)," probability=",CHAR(34),1/BH$4,CHAR(34),CHAR(47),CHAR(62)),"&lt;/routeDistribution&gt;"))</f>
        <v/>
      </c>
    </row>
    <row r="4929" spans="1:5" x14ac:dyDescent="0.25">
      <c r="A4929" t="s">
        <v>1577</v>
      </c>
      <c r="B4929" t="s">
        <v>1191</v>
      </c>
      <c r="E4929" t="str">
        <f>IF(OR(E4928="&lt;/routeDistribution&gt;",E4928=""),"",IFERROR(_xlfn.CONCAT(VLOOKUP(BH13,Route_Column!#REF!,2,FALSE),CHAR(34)," probability=",CHAR(34),1/BH$4,CHAR(34),CHAR(47),CHAR(62)),"&lt;/routeDistribution&gt;"))</f>
        <v/>
      </c>
    </row>
    <row r="4930" spans="1:5" x14ac:dyDescent="0.25">
      <c r="A4930" t="s">
        <v>1578</v>
      </c>
      <c r="B4930" t="s">
        <v>1096</v>
      </c>
      <c r="E4930" t="str">
        <f>IF(OR(E4929="&lt;/routeDistribution&gt;",E4929=""),"",IFERROR(_xlfn.CONCAT(VLOOKUP(BH14,Route_Column!#REF!,2,FALSE),CHAR(34)," probability=",CHAR(34),1/BH$4,CHAR(34),CHAR(47),CHAR(62)),"&lt;/routeDistribution&gt;"))</f>
        <v/>
      </c>
    </row>
    <row r="4931" spans="1:5" x14ac:dyDescent="0.25">
      <c r="A4931" t="s">
        <v>1578</v>
      </c>
      <c r="B4931" t="s">
        <v>1097</v>
      </c>
      <c r="E4931" t="str">
        <f>IF(OR(E4930="&lt;/routeDistribution&gt;",E4930=""),"",IFERROR(_xlfn.CONCAT(VLOOKUP(BH15,Route_Column!#REF!,2,FALSE),CHAR(34)," probability=",CHAR(34),1/BH$4,CHAR(34),CHAR(47),CHAR(62)),"&lt;/routeDistribution&gt;"))</f>
        <v/>
      </c>
    </row>
    <row r="4932" spans="1:5" x14ac:dyDescent="0.25">
      <c r="A4932" t="s">
        <v>1578</v>
      </c>
      <c r="B4932" t="s">
        <v>1098</v>
      </c>
      <c r="E4932" t="str">
        <f>IF(OR(E4931="&lt;/routeDistribution&gt;",E4931=""),"",IFERROR(_xlfn.CONCAT(VLOOKUP(BH16,Route_Column!#REF!,2,FALSE),CHAR(34)," probability=",CHAR(34),1/BH$4,CHAR(34),CHAR(47),CHAR(62)),"&lt;/routeDistribution&gt;"))</f>
        <v/>
      </c>
    </row>
    <row r="4933" spans="1:5" x14ac:dyDescent="0.25">
      <c r="A4933" t="s">
        <v>1578</v>
      </c>
      <c r="B4933" t="s">
        <v>1099</v>
      </c>
      <c r="E4933" t="str">
        <f>IF(OR(E4932="&lt;/routeDistribution&gt;",E4932=""),"",IFERROR(_xlfn.CONCAT(VLOOKUP(BH17,Route_Column!#REF!,2,FALSE),CHAR(34)," probability=",CHAR(34),1/BH$4,CHAR(34),CHAR(47),CHAR(62)),"&lt;/routeDistribution&gt;"))</f>
        <v/>
      </c>
    </row>
    <row r="4934" spans="1:5" x14ac:dyDescent="0.25">
      <c r="A4934" t="s">
        <v>1578</v>
      </c>
      <c r="B4934" t="s">
        <v>1100</v>
      </c>
      <c r="E4934" t="str">
        <f>IF(OR(E4933="&lt;/routeDistribution&gt;",E4933=""),"",IFERROR(_xlfn.CONCAT(VLOOKUP(BH18,Route_Column!#REF!,2,FALSE),CHAR(34)," probability=",CHAR(34),1/BH$4,CHAR(34),CHAR(47),CHAR(62)),"&lt;/routeDistribution&gt;"))</f>
        <v/>
      </c>
    </row>
    <row r="4935" spans="1:5" x14ac:dyDescent="0.25">
      <c r="A4935" t="s">
        <v>1578</v>
      </c>
      <c r="B4935" t="s">
        <v>1101</v>
      </c>
      <c r="E4935" t="str">
        <f>IF(OR(E4934="&lt;/routeDistribution&gt;",E4934=""),"",IFERROR(_xlfn.CONCAT(VLOOKUP(BH19,Route_Column!#REF!,2,FALSE),CHAR(34)," probability=",CHAR(34),1/BH$4,CHAR(34),CHAR(47),CHAR(62)),"&lt;/routeDistribution&gt;"))</f>
        <v/>
      </c>
    </row>
    <row r="4936" spans="1:5" x14ac:dyDescent="0.25">
      <c r="A4936" t="s">
        <v>1578</v>
      </c>
      <c r="B4936" t="s">
        <v>1102</v>
      </c>
      <c r="E4936" t="str">
        <f>IF(OR(E4935="&lt;/routeDistribution&gt;",E4935=""),"",IFERROR(_xlfn.CONCAT(VLOOKUP(BH20,Route_Column!#REF!,2,FALSE),CHAR(34)," probability=",CHAR(34),1/BH$4,CHAR(34),CHAR(47),CHAR(62)),"&lt;/routeDistribution&gt;"))</f>
        <v/>
      </c>
    </row>
    <row r="4937" spans="1:5" x14ac:dyDescent="0.25">
      <c r="A4937" t="s">
        <v>1578</v>
      </c>
      <c r="B4937" t="s">
        <v>1103</v>
      </c>
      <c r="E4937" t="str">
        <f>IF(OR(E4936="&lt;/routeDistribution&gt;",E4936=""),"",IFERROR(_xlfn.CONCAT(VLOOKUP(BH21,Route_Column!#REF!,2,FALSE),CHAR(34)," probability=",CHAR(34),1/BH$4,CHAR(34),CHAR(47),CHAR(62)),"&lt;/routeDistribution&gt;"))</f>
        <v/>
      </c>
    </row>
    <row r="4938" spans="1:5" x14ac:dyDescent="0.25">
      <c r="A4938" t="s">
        <v>1578</v>
      </c>
      <c r="B4938" t="s">
        <v>1104</v>
      </c>
      <c r="E4938" t="str">
        <f>IF(OR(E4937="&lt;/routeDistribution&gt;",E4937=""),"",IFERROR(_xlfn.CONCAT(VLOOKUP(BH22,Route_Column!#REF!,2,FALSE),CHAR(34)," probability=",CHAR(34),1/BH$4,CHAR(34),CHAR(47),CHAR(62)),"&lt;/routeDistribution&gt;"))</f>
        <v/>
      </c>
    </row>
    <row r="4939" spans="1:5" x14ac:dyDescent="0.25">
      <c r="A4939" t="s">
        <v>1578</v>
      </c>
      <c r="B4939" t="s">
        <v>1105</v>
      </c>
      <c r="E4939" t="str">
        <f>IF(OR(E4938="&lt;/routeDistribution&gt;",E4938=""),"",IFERROR(_xlfn.CONCAT(VLOOKUP(BH23,Route_Column!#REF!,2,FALSE),CHAR(34)," probability=",CHAR(34),1/BH$4,CHAR(34),CHAR(47),CHAR(62)),"&lt;/routeDistribution&gt;"))</f>
        <v/>
      </c>
    </row>
    <row r="4940" spans="1:5" x14ac:dyDescent="0.25">
      <c r="A4940" t="s">
        <v>1578</v>
      </c>
      <c r="B4940" t="s">
        <v>1106</v>
      </c>
      <c r="E4940" t="str">
        <f>IF(OR(E4939="&lt;/routeDistribution&gt;",E4939=""),"",IFERROR(_xlfn.CONCAT(VLOOKUP(BH24,Route_Column!#REF!,2,FALSE),CHAR(34)," probability=",CHAR(34),1/BH$4,CHAR(34),CHAR(47),CHAR(62)),"&lt;/routeDistribution&gt;"))</f>
        <v/>
      </c>
    </row>
    <row r="4941" spans="1:5" x14ac:dyDescent="0.25">
      <c r="A4941" t="s">
        <v>1578</v>
      </c>
      <c r="B4941" t="s">
        <v>1107</v>
      </c>
      <c r="E4941" t="str">
        <f>IF(OR(E4940="&lt;/routeDistribution&gt;",E4940=""),"",IFERROR(_xlfn.CONCAT(VLOOKUP(BH25,Route_Column!#REF!,2,FALSE),CHAR(34)," probability=",CHAR(34),1/BH$4,CHAR(34),CHAR(47),CHAR(62)),"&lt;/routeDistribution&gt;"))</f>
        <v/>
      </c>
    </row>
    <row r="4942" spans="1:5" x14ac:dyDescent="0.25">
      <c r="A4942" t="s">
        <v>1578</v>
      </c>
      <c r="B4942" t="s">
        <v>1161</v>
      </c>
      <c r="E4942" t="str">
        <f>IF(OR(E4941="&lt;/routeDistribution&gt;",E4941=""),"",IFERROR(_xlfn.CONCAT(VLOOKUP(BH26,Route_Column!#REF!,2,FALSE),CHAR(34)," probability=",CHAR(34),1/BH$4,CHAR(34),CHAR(47),CHAR(62)),"&lt;/routeDistribution&gt;"))</f>
        <v/>
      </c>
    </row>
    <row r="4943" spans="1:5" x14ac:dyDescent="0.25">
      <c r="A4943" t="s">
        <v>1578</v>
      </c>
      <c r="B4943" t="s">
        <v>1162</v>
      </c>
      <c r="E4943" t="str">
        <f>IF(OR(E4942="&lt;/routeDistribution&gt;",E4942=""),"",IFERROR(_xlfn.CONCAT(VLOOKUP(BH27,Route_Column!#REF!,2,FALSE),CHAR(34)," probability=",CHAR(34),1/BH$4,CHAR(34),CHAR(47),CHAR(62)),"&lt;/routeDistribution&gt;"))</f>
        <v/>
      </c>
    </row>
    <row r="4944" spans="1:5" x14ac:dyDescent="0.25">
      <c r="A4944" t="s">
        <v>1578</v>
      </c>
      <c r="B4944" t="s">
        <v>1163</v>
      </c>
      <c r="E4944" t="str">
        <f>IF(OR(E4943="&lt;/routeDistribution&gt;",E4943=""),"",IFERROR(_xlfn.CONCAT(VLOOKUP(BH28,Route_Column!#REF!,2,FALSE),CHAR(34)," probability=",CHAR(34),1/BH$4,CHAR(34),CHAR(47),CHAR(62)),"&lt;/routeDistribution&gt;"))</f>
        <v/>
      </c>
    </row>
    <row r="4945" spans="1:5" x14ac:dyDescent="0.25">
      <c r="A4945" t="s">
        <v>1578</v>
      </c>
      <c r="B4945" t="s">
        <v>1164</v>
      </c>
      <c r="E4945" t="str">
        <f>IF(OR(E4944="&lt;/routeDistribution&gt;",E4944=""),"",IFERROR(_xlfn.CONCAT(VLOOKUP(BH29,Route_Column!#REF!,2,FALSE),CHAR(34)," probability=",CHAR(34),1/BH$4,CHAR(34),CHAR(47),CHAR(62)),"&lt;/routeDistribution&gt;"))</f>
        <v/>
      </c>
    </row>
    <row r="4946" spans="1:5" x14ac:dyDescent="0.25">
      <c r="A4946" t="s">
        <v>1578</v>
      </c>
      <c r="B4946" t="s">
        <v>1191</v>
      </c>
      <c r="E4946" t="str">
        <f>IF(OR(E4945="&lt;/routeDistribution&gt;",E4945=""),"",IFERROR(_xlfn.CONCAT(VLOOKUP(BH30,Route_Column!#REF!,2,FALSE),CHAR(34)," probability=",CHAR(34),1/BH$4,CHAR(34),CHAR(47),CHAR(62)),"&lt;/routeDistribution&gt;"))</f>
        <v/>
      </c>
    </row>
    <row r="4947" spans="1:5" x14ac:dyDescent="0.25">
      <c r="A4947" t="s">
        <v>2339</v>
      </c>
      <c r="B4947" t="s">
        <v>1235</v>
      </c>
      <c r="E4947" t="str">
        <f>IF(OR(E4946="&lt;/routeDistribution&gt;",E4946=""),"",IFERROR(_xlfn.CONCAT(VLOOKUP(BH31,Route_Column!#REF!,2,FALSE),CHAR(34)," probability=",CHAR(34),1/BH$4,CHAR(34),CHAR(47),CHAR(62)),"&lt;/routeDistribution&gt;"))</f>
        <v/>
      </c>
    </row>
    <row r="4948" spans="1:5" x14ac:dyDescent="0.25">
      <c r="A4948" t="s">
        <v>2339</v>
      </c>
      <c r="B4948" t="s">
        <v>1236</v>
      </c>
      <c r="E4948" t="str">
        <f>IF(OR(E4947="&lt;/routeDistribution&gt;",E4947=""),"",IFERROR(_xlfn.CONCAT(VLOOKUP(BH32,Route_Column!#REF!,2,FALSE),CHAR(34)," probability=",CHAR(34),1/BH$4,CHAR(34),CHAR(47),CHAR(62)),"&lt;/routeDistribution&gt;"))</f>
        <v/>
      </c>
    </row>
    <row r="4949" spans="1:5" x14ac:dyDescent="0.25">
      <c r="A4949" t="s">
        <v>2339</v>
      </c>
      <c r="B4949" t="s">
        <v>1237</v>
      </c>
      <c r="E4949" t="str">
        <f>IF(OR(E4948="&lt;/routeDistribution&gt;",E4948=""),"",IFERROR(_xlfn.CONCAT(VLOOKUP(BH33,Route_Column!#REF!,2,FALSE),CHAR(34)," probability=",CHAR(34),1/BH$4,CHAR(34),CHAR(47),CHAR(62)),"&lt;/routeDistribution&gt;"))</f>
        <v/>
      </c>
    </row>
    <row r="4950" spans="1:5" x14ac:dyDescent="0.25">
      <c r="A4950" t="s">
        <v>2339</v>
      </c>
      <c r="B4950" t="s">
        <v>1238</v>
      </c>
      <c r="E4950" t="str">
        <f>IF(OR(E4949="&lt;/routeDistribution&gt;",E4949=""),"",IFERROR(_xlfn.CONCAT(VLOOKUP(BH34,Route_Column!#REF!,2,FALSE),CHAR(34)," probability=",CHAR(34),1/BH$4,CHAR(34),CHAR(47),CHAR(62)),"&lt;/routeDistribution&gt;"))</f>
        <v/>
      </c>
    </row>
    <row r="4951" spans="1:5" x14ac:dyDescent="0.25">
      <c r="A4951" t="s">
        <v>2339</v>
      </c>
      <c r="B4951" t="s">
        <v>1239</v>
      </c>
      <c r="E4951" t="str">
        <f>IF(OR(E4950="&lt;/routeDistribution&gt;",E4950=""),"",IFERROR(_xlfn.CONCAT(VLOOKUP(BH35,Route_Column!#REF!,2,FALSE),CHAR(34)," probability=",CHAR(34),1/BH$4,CHAR(34),CHAR(47),CHAR(62)),"&lt;/routeDistribution&gt;"))</f>
        <v/>
      </c>
    </row>
    <row r="4952" spans="1:5" x14ac:dyDescent="0.25">
      <c r="A4952" t="s">
        <v>2339</v>
      </c>
      <c r="B4952" t="s">
        <v>1240</v>
      </c>
      <c r="E4952" t="str">
        <f>IF(OR(E4951="&lt;/routeDistribution&gt;",E4951=""),"",IFERROR(_xlfn.CONCAT(VLOOKUP(BH36,Route_Column!#REF!,2,FALSE),CHAR(34)," probability=",CHAR(34),1/BH$4,CHAR(34),CHAR(47),CHAR(62)),"&lt;/routeDistribution&gt;"))</f>
        <v/>
      </c>
    </row>
    <row r="4953" spans="1:5" x14ac:dyDescent="0.25">
      <c r="A4953" t="s">
        <v>2339</v>
      </c>
      <c r="B4953" t="s">
        <v>1241</v>
      </c>
      <c r="E4953" t="str">
        <f>IF(OR(E4952="&lt;/routeDistribution&gt;",E4952=""),"",IFERROR(_xlfn.CONCAT(VLOOKUP(BH37,Route_Column!#REF!,2,FALSE),CHAR(34)," probability=",CHAR(34),1/BH$4,CHAR(34),CHAR(47),CHAR(62)),"&lt;/routeDistribution&gt;"))</f>
        <v/>
      </c>
    </row>
    <row r="4954" spans="1:5" x14ac:dyDescent="0.25">
      <c r="A4954" t="s">
        <v>2339</v>
      </c>
      <c r="B4954" t="s">
        <v>1242</v>
      </c>
      <c r="E4954" t="str">
        <f>IF(OR(E4953="&lt;/routeDistribution&gt;",E4953=""),"",IFERROR(_xlfn.CONCAT(VLOOKUP(BH38,Route_Column!#REF!,2,FALSE),CHAR(34)," probability=",CHAR(34),1/BH$4,CHAR(34),CHAR(47),CHAR(62)),"&lt;/routeDistribution&gt;"))</f>
        <v/>
      </c>
    </row>
    <row r="4955" spans="1:5" x14ac:dyDescent="0.25">
      <c r="A4955" t="s">
        <v>2339</v>
      </c>
      <c r="B4955" t="s">
        <v>1243</v>
      </c>
      <c r="E4955" t="str">
        <f>IF(OR(E4954="&lt;/routeDistribution&gt;",E4954=""),"",IFERROR(_xlfn.CONCAT(VLOOKUP(BH39,Route_Column!#REF!,2,FALSE),CHAR(34)," probability=",CHAR(34),1/BH$4,CHAR(34),CHAR(47),CHAR(62)),"&lt;/routeDistribution&gt;"))</f>
        <v/>
      </c>
    </row>
    <row r="4956" spans="1:5" x14ac:dyDescent="0.25">
      <c r="A4956" t="s">
        <v>2339</v>
      </c>
      <c r="B4956" t="s">
        <v>1244</v>
      </c>
      <c r="E4956" t="str">
        <f>IF(OR(E4955="&lt;/routeDistribution&gt;",E4955=""),"",IFERROR(_xlfn.CONCAT(VLOOKUP(BH40,Route_Column!#REF!,2,FALSE),CHAR(34)," probability=",CHAR(34),1/BH$4,CHAR(34),CHAR(47),CHAR(62)),"&lt;/routeDistribution&gt;"))</f>
        <v/>
      </c>
    </row>
    <row r="4957" spans="1:5" x14ac:dyDescent="0.25">
      <c r="A4957" t="s">
        <v>2339</v>
      </c>
      <c r="B4957" t="s">
        <v>1245</v>
      </c>
      <c r="E4957" t="str">
        <f>IF(OR(E4956="&lt;/routeDistribution&gt;",E4956=""),"",IFERROR(_xlfn.CONCAT(VLOOKUP(BH41,Route_Column!#REF!,2,FALSE),CHAR(34)," probability=",CHAR(34),1/BH$4,CHAR(34),CHAR(47),CHAR(62)),"&lt;/routeDistribution&gt;"))</f>
        <v/>
      </c>
    </row>
    <row r="4958" spans="1:5" x14ac:dyDescent="0.25">
      <c r="A4958" t="s">
        <v>2339</v>
      </c>
      <c r="B4958" t="s">
        <v>1246</v>
      </c>
      <c r="E4958" t="str">
        <f>IF(OR(E4957="&lt;/routeDistribution&gt;",E4957=""),"",IFERROR(_xlfn.CONCAT(VLOOKUP(BH42,Route_Column!#REF!,2,FALSE),CHAR(34)," probability=",CHAR(34),1/BH$4,CHAR(34),CHAR(47),CHAR(62)),"&lt;/routeDistribution&gt;"))</f>
        <v/>
      </c>
    </row>
    <row r="4959" spans="1:5" x14ac:dyDescent="0.25">
      <c r="A4959" t="s">
        <v>2339</v>
      </c>
      <c r="B4959" t="s">
        <v>1247</v>
      </c>
      <c r="E4959" t="str">
        <f>IF(OR(E4958="&lt;/routeDistribution&gt;",E4958=""),"",IFERROR(_xlfn.CONCAT(VLOOKUP(BH43,Route_Column!#REF!,2,FALSE),CHAR(34)," probability=",CHAR(34),1/BH$4,CHAR(34),CHAR(47),CHAR(62)),"&lt;/routeDistribution&gt;"))</f>
        <v/>
      </c>
    </row>
    <row r="4960" spans="1:5" x14ac:dyDescent="0.25">
      <c r="A4960" t="s">
        <v>2339</v>
      </c>
      <c r="B4960" t="s">
        <v>1248</v>
      </c>
      <c r="E4960" t="str">
        <f>IF(OR(E4959="&lt;/routeDistribution&gt;",E4959=""),"",IFERROR(_xlfn.CONCAT(VLOOKUP(BH44,Route_Column!#REF!,2,FALSE),CHAR(34)," probability=",CHAR(34),1/BH$4,CHAR(34),CHAR(47),CHAR(62)),"&lt;/routeDistribution&gt;"))</f>
        <v/>
      </c>
    </row>
    <row r="4961" spans="1:5" x14ac:dyDescent="0.25">
      <c r="A4961" t="s">
        <v>2339</v>
      </c>
      <c r="B4961" t="s">
        <v>1249</v>
      </c>
      <c r="E4961" t="str">
        <f>IF(OR(E4960="&lt;/routeDistribution&gt;",E4960=""),"",IFERROR(_xlfn.CONCAT(VLOOKUP(BH45,Route_Column!#REF!,2,FALSE),CHAR(34)," probability=",CHAR(34),1/BH$4,CHAR(34),CHAR(47),CHAR(62)),"&lt;/routeDistribution&gt;"))</f>
        <v/>
      </c>
    </row>
    <row r="4962" spans="1:5" x14ac:dyDescent="0.25">
      <c r="A4962" t="s">
        <v>2339</v>
      </c>
      <c r="B4962" t="s">
        <v>1250</v>
      </c>
      <c r="E4962" t="str">
        <f>IF(OR(E4961="&lt;/routeDistribution&gt;",E4961=""),"",IFERROR(_xlfn.CONCAT(VLOOKUP(BH46,Route_Column!#REF!,2,FALSE),CHAR(34)," probability=",CHAR(34),1/BH$4,CHAR(34),CHAR(47),CHAR(62)),"&lt;/routeDistribution&gt;"))</f>
        <v/>
      </c>
    </row>
    <row r="4963" spans="1:5" x14ac:dyDescent="0.25">
      <c r="A4963" t="s">
        <v>2340</v>
      </c>
      <c r="B4963" t="s">
        <v>1235</v>
      </c>
      <c r="E4963" t="str">
        <f>IF(OR(E4962="&lt;/routeDistribution&gt;",E4962=""),"",IFERROR(_xlfn.CONCAT(VLOOKUP(BH47,Route_Column!#REF!,2,FALSE),CHAR(34)," probability=",CHAR(34),1/BH$4,CHAR(34),CHAR(47),CHAR(62)),"&lt;/routeDistribution&gt;"))</f>
        <v/>
      </c>
    </row>
    <row r="4964" spans="1:5" x14ac:dyDescent="0.25">
      <c r="A4964" t="s">
        <v>2340</v>
      </c>
      <c r="B4964" t="s">
        <v>1236</v>
      </c>
      <c r="E4964" t="str">
        <f>IF(OR(E4963="&lt;/routeDistribution&gt;",E4963=""),"",IFERROR(_xlfn.CONCAT(VLOOKUP(BH48,Route_Column!#REF!,2,FALSE),CHAR(34)," probability=",CHAR(34),1/BH$4,CHAR(34),CHAR(47),CHAR(62)),"&lt;/routeDistribution&gt;"))</f>
        <v/>
      </c>
    </row>
    <row r="4965" spans="1:5" x14ac:dyDescent="0.25">
      <c r="A4965" t="s">
        <v>2340</v>
      </c>
      <c r="B4965" t="s">
        <v>1237</v>
      </c>
      <c r="E4965" t="str">
        <f>IF(OR(E4964="&lt;/routeDistribution&gt;",E4964=""),"",IFERROR(_xlfn.CONCAT(VLOOKUP(BH49,Route_Column!#REF!,2,FALSE),CHAR(34)," probability=",CHAR(34),1/BH$4,CHAR(34),CHAR(47),CHAR(62)),"&lt;/routeDistribution&gt;"))</f>
        <v/>
      </c>
    </row>
    <row r="4966" spans="1:5" x14ac:dyDescent="0.25">
      <c r="A4966" t="s">
        <v>2340</v>
      </c>
      <c r="B4966" t="s">
        <v>1238</v>
      </c>
      <c r="E4966" t="str">
        <f>IF(OR(E4965="&lt;/routeDistribution&gt;",E4965=""),"",IFERROR(_xlfn.CONCAT(VLOOKUP(BH50,Route_Column!#REF!,2,FALSE),CHAR(34)," probability=",CHAR(34),1/BH$4,CHAR(34),CHAR(47),CHAR(62)),"&lt;/routeDistribution&gt;"))</f>
        <v/>
      </c>
    </row>
    <row r="4967" spans="1:5" x14ac:dyDescent="0.25">
      <c r="A4967" t="s">
        <v>2340</v>
      </c>
      <c r="B4967" t="s">
        <v>1239</v>
      </c>
      <c r="E4967" t="str">
        <f>IF(OR(E4966="&lt;/routeDistribution&gt;",E4966=""),"",IFERROR(_xlfn.CONCAT(VLOOKUP(BH51,Route_Column!#REF!,2,FALSE),CHAR(34)," probability=",CHAR(34),1/BH$4,CHAR(34),CHAR(47),CHAR(62)),"&lt;/routeDistribution&gt;"))</f>
        <v/>
      </c>
    </row>
    <row r="4968" spans="1:5" x14ac:dyDescent="0.25">
      <c r="A4968" t="s">
        <v>2340</v>
      </c>
      <c r="B4968" t="s">
        <v>1240</v>
      </c>
      <c r="E4968" t="str">
        <f>IF(OR(E4967="&lt;/routeDistribution&gt;",E4967=""),"",IFERROR(_xlfn.CONCAT(VLOOKUP(BH52,Route_Column!#REF!,2,FALSE),CHAR(34)," probability=",CHAR(34),1/BH$4,CHAR(34),CHAR(47),CHAR(62)),"&lt;/routeDistribution&gt;"))</f>
        <v/>
      </c>
    </row>
    <row r="4969" spans="1:5" x14ac:dyDescent="0.25">
      <c r="A4969" t="s">
        <v>2340</v>
      </c>
      <c r="B4969" t="s">
        <v>1241</v>
      </c>
      <c r="E4969" t="str">
        <f>IF(OR(E4968="&lt;/routeDistribution&gt;",E4968=""),"",IFERROR(_xlfn.CONCAT(VLOOKUP(BH53,Route_Column!#REF!,2,FALSE),CHAR(34)," probability=",CHAR(34),1/BH$4,CHAR(34),CHAR(47),CHAR(62)),"&lt;/routeDistribution&gt;"))</f>
        <v/>
      </c>
    </row>
    <row r="4970" spans="1:5" x14ac:dyDescent="0.25">
      <c r="A4970" t="s">
        <v>2340</v>
      </c>
      <c r="B4970" t="s">
        <v>1242</v>
      </c>
      <c r="E4970" t="str">
        <f>IF(OR(E4969="&lt;/routeDistribution&gt;",E4969=""),"",IFERROR(_xlfn.CONCAT(VLOOKUP(BH54,Route_Column!#REF!,2,FALSE),CHAR(34)," probability=",CHAR(34),1/BH$4,CHAR(34),CHAR(47),CHAR(62)),"&lt;/routeDistribution&gt;"))</f>
        <v/>
      </c>
    </row>
    <row r="4971" spans="1:5" x14ac:dyDescent="0.25">
      <c r="A4971" t="s">
        <v>2340</v>
      </c>
      <c r="B4971" t="s">
        <v>1243</v>
      </c>
      <c r="E4971" t="str">
        <f>IF(OR(E4970="&lt;/routeDistribution&gt;",E4970=""),"",IFERROR(_xlfn.CONCAT(VLOOKUP(BH55,Route_Column!#REF!,2,FALSE),CHAR(34)," probability=",CHAR(34),1/BH$4,CHAR(34),CHAR(47),CHAR(62)),"&lt;/routeDistribution&gt;"))</f>
        <v/>
      </c>
    </row>
    <row r="4972" spans="1:5" x14ac:dyDescent="0.25">
      <c r="A4972" t="s">
        <v>2340</v>
      </c>
      <c r="B4972" t="s">
        <v>1244</v>
      </c>
      <c r="E4972" t="str">
        <f>IF(OR(E4971="&lt;/routeDistribution&gt;",E4971=""),"",IFERROR(_xlfn.CONCAT(VLOOKUP(BH56,Route_Column!#REF!,2,FALSE),CHAR(34)," probability=",CHAR(34),1/BH$4,CHAR(34),CHAR(47),CHAR(62)),"&lt;/routeDistribution&gt;"))</f>
        <v/>
      </c>
    </row>
    <row r="4973" spans="1:5" x14ac:dyDescent="0.25">
      <c r="A4973" t="s">
        <v>2340</v>
      </c>
      <c r="B4973" t="s">
        <v>1245</v>
      </c>
      <c r="E4973" t="str">
        <f>IF(OR(E4972="&lt;/routeDistribution&gt;",E4972=""),"",IFERROR(_xlfn.CONCAT(VLOOKUP(BH57,Route_Column!#REF!,2,FALSE),CHAR(34)," probability=",CHAR(34),1/BH$4,CHAR(34),CHAR(47),CHAR(62)),"&lt;/routeDistribution&gt;"))</f>
        <v/>
      </c>
    </row>
    <row r="4974" spans="1:5" x14ac:dyDescent="0.25">
      <c r="A4974" t="s">
        <v>2340</v>
      </c>
      <c r="B4974" t="s">
        <v>1246</v>
      </c>
      <c r="E4974" t="str">
        <f>IF(OR(E4973="&lt;/routeDistribution&gt;",E4973=""),"",IFERROR(_xlfn.CONCAT(VLOOKUP(BH58,Route_Column!#REF!,2,FALSE),CHAR(34)," probability=",CHAR(34),1/BH$4,CHAR(34),CHAR(47),CHAR(62)),"&lt;/routeDistribution&gt;"))</f>
        <v/>
      </c>
    </row>
    <row r="4975" spans="1:5" x14ac:dyDescent="0.25">
      <c r="A4975" t="s">
        <v>2340</v>
      </c>
      <c r="B4975" t="s">
        <v>1247</v>
      </c>
      <c r="E4975" t="str">
        <f>IF(OR(E4974="&lt;/routeDistribution&gt;",E4974=""),"",IFERROR(_xlfn.CONCAT(VLOOKUP(BH59,Route_Column!#REF!,2,FALSE),CHAR(34)," probability=",CHAR(34),1/BH$4,CHAR(34),CHAR(47),CHAR(62)),"&lt;/routeDistribution&gt;"))</f>
        <v/>
      </c>
    </row>
    <row r="4976" spans="1:5" x14ac:dyDescent="0.25">
      <c r="A4976" t="s">
        <v>2340</v>
      </c>
      <c r="B4976" t="s">
        <v>1248</v>
      </c>
      <c r="E4976" t="str">
        <f>IF(OR(E4975="&lt;/routeDistribution&gt;",E4975=""),"",IFERROR(_xlfn.CONCAT(VLOOKUP(BH60,Route_Column!#REF!,2,FALSE),CHAR(34)," probability=",CHAR(34),1/BH$4,CHAR(34),CHAR(47),CHAR(62)),"&lt;/routeDistribution&gt;"))</f>
        <v/>
      </c>
    </row>
    <row r="4977" spans="1:5" x14ac:dyDescent="0.25">
      <c r="A4977" t="s">
        <v>2340</v>
      </c>
      <c r="B4977" t="s">
        <v>1249</v>
      </c>
      <c r="E4977" t="str">
        <f>IF(OR(E4976="&lt;/routeDistribution&gt;",E4976=""),"",IFERROR(_xlfn.CONCAT(VLOOKUP(BH61,Route_Column!#REF!,2,FALSE),CHAR(34)," probability=",CHAR(34),1/BH$4,CHAR(34),CHAR(47),CHAR(62)),"&lt;/routeDistribution&gt;"))</f>
        <v/>
      </c>
    </row>
    <row r="4978" spans="1:5" x14ac:dyDescent="0.25">
      <c r="A4978" t="s">
        <v>2341</v>
      </c>
      <c r="B4978" t="s">
        <v>1235</v>
      </c>
      <c r="E4978" t="str">
        <f>IF(OR(E4977="&lt;/routeDistribution&gt;",E4977=""),"",IFERROR(_xlfn.CONCAT(VLOOKUP(BH62,Route_Column!#REF!,2,FALSE),CHAR(34)," probability=",CHAR(34),1/BH$4,CHAR(34),CHAR(47),CHAR(62)),"&lt;/routeDistribution&gt;"))</f>
        <v/>
      </c>
    </row>
    <row r="4979" spans="1:5" x14ac:dyDescent="0.25">
      <c r="A4979" t="s">
        <v>2341</v>
      </c>
      <c r="B4979" t="s">
        <v>1236</v>
      </c>
      <c r="E4979" t="str">
        <f>IF(OR(E4978="&lt;/routeDistribution&gt;",E4978=""),"",IFERROR(_xlfn.CONCAT(VLOOKUP(BH63,Route_Column!#REF!,2,FALSE),CHAR(34)," probability=",CHAR(34),1/BH$4,CHAR(34),CHAR(47),CHAR(62)),"&lt;/routeDistribution&gt;"))</f>
        <v/>
      </c>
    </row>
    <row r="4980" spans="1:5" x14ac:dyDescent="0.25">
      <c r="A4980" t="s">
        <v>2341</v>
      </c>
      <c r="B4980" t="s">
        <v>1237</v>
      </c>
      <c r="E4980" t="s">
        <v>2686</v>
      </c>
    </row>
    <row r="4981" spans="1:5" x14ac:dyDescent="0.25">
      <c r="A4981" t="s">
        <v>2341</v>
      </c>
      <c r="B4981" t="s">
        <v>1238</v>
      </c>
    </row>
    <row r="4982" spans="1:5" x14ac:dyDescent="0.25">
      <c r="A4982" t="s">
        <v>2341</v>
      </c>
      <c r="B4982" t="s">
        <v>1239</v>
      </c>
    </row>
    <row r="4983" spans="1:5" x14ac:dyDescent="0.25">
      <c r="A4983" t="s">
        <v>2341</v>
      </c>
      <c r="B4983" t="s">
        <v>1240</v>
      </c>
      <c r="E4983" t="str">
        <f>_xlfn.CONCAT($E$1,BG$2,$F$1)</f>
        <v>&lt;routeDistribution id="LanAVE-34th-to-38th-BTH-2012-RouteProbe"&gt;</v>
      </c>
    </row>
    <row r="4984" spans="1:5" x14ac:dyDescent="0.25">
      <c r="A4984" t="s">
        <v>2341</v>
      </c>
      <c r="B4984" t="s">
        <v>1241</v>
      </c>
      <c r="E4984" t="str">
        <f>IF(OR(E4983="&lt;/routeDistribution&gt;",E4983=""),"",IFERROR(_xlfn.CONCAT(VLOOKUP(BG5,Route_Column!#REF!,2,FALSE),CHAR(34)," probability=",CHAR(34),1/BG$4,CHAR(34),CHAR(47),CHAR(62)),"&lt;/routeDistribution&gt;"))</f>
        <v>&lt;/routeDistribution&gt;</v>
      </c>
    </row>
    <row r="4985" spans="1:5" x14ac:dyDescent="0.25">
      <c r="A4985" t="s">
        <v>2341</v>
      </c>
      <c r="B4985" t="s">
        <v>1242</v>
      </c>
      <c r="E4985" t="str">
        <f>IF(OR(E4984="&lt;/routeDistribution&gt;",E4984=""),"",IFERROR(_xlfn.CONCAT(VLOOKUP(BG6,Route_Column!#REF!,2,FALSE),CHAR(34)," probability=",CHAR(34),1/BG$4,CHAR(34),CHAR(47),CHAR(62)),"&lt;/routeDistribution&gt;"))</f>
        <v/>
      </c>
    </row>
    <row r="4986" spans="1:5" x14ac:dyDescent="0.25">
      <c r="A4986" t="s">
        <v>2341</v>
      </c>
      <c r="B4986" t="s">
        <v>1243</v>
      </c>
      <c r="E4986" t="str">
        <f>IF(OR(E4985="&lt;/routeDistribution&gt;",E4985=""),"",IFERROR(_xlfn.CONCAT(VLOOKUP(BG7,Route_Column!#REF!,2,FALSE),CHAR(34)," probability=",CHAR(34),1/BG$4,CHAR(34),CHAR(47),CHAR(62)),"&lt;/routeDistribution&gt;"))</f>
        <v/>
      </c>
    </row>
    <row r="4987" spans="1:5" x14ac:dyDescent="0.25">
      <c r="A4987" t="s">
        <v>2341</v>
      </c>
      <c r="B4987" t="s">
        <v>1244</v>
      </c>
      <c r="E4987" t="str">
        <f>IF(OR(E4986="&lt;/routeDistribution&gt;",E4986=""),"",IFERROR(_xlfn.CONCAT(VLOOKUP(BG8,Route_Column!#REF!,2,FALSE),CHAR(34)," probability=",CHAR(34),1/BG$4,CHAR(34),CHAR(47),CHAR(62)),"&lt;/routeDistribution&gt;"))</f>
        <v/>
      </c>
    </row>
    <row r="4988" spans="1:5" x14ac:dyDescent="0.25">
      <c r="A4988" t="s">
        <v>2341</v>
      </c>
      <c r="B4988" t="s">
        <v>1245</v>
      </c>
      <c r="E4988" t="str">
        <f>IF(OR(E4987="&lt;/routeDistribution&gt;",E4987=""),"",IFERROR(_xlfn.CONCAT(VLOOKUP(BG9,Route_Column!#REF!,2,FALSE),CHAR(34)," probability=",CHAR(34),1/BG$4,CHAR(34),CHAR(47),CHAR(62)),"&lt;/routeDistribution&gt;"))</f>
        <v/>
      </c>
    </row>
    <row r="4989" spans="1:5" x14ac:dyDescent="0.25">
      <c r="A4989" t="s">
        <v>2341</v>
      </c>
      <c r="B4989" t="s">
        <v>1246</v>
      </c>
      <c r="E4989" t="str">
        <f>IF(OR(E4988="&lt;/routeDistribution&gt;",E4988=""),"",IFERROR(_xlfn.CONCAT(VLOOKUP(BG10,Route_Column!#REF!,2,FALSE),CHAR(34)," probability=",CHAR(34),1/BG$4,CHAR(34),CHAR(47),CHAR(62)),"&lt;/routeDistribution&gt;"))</f>
        <v/>
      </c>
    </row>
    <row r="4990" spans="1:5" x14ac:dyDescent="0.25">
      <c r="A4990" t="s">
        <v>2341</v>
      </c>
      <c r="B4990" t="s">
        <v>1247</v>
      </c>
      <c r="E4990" t="str">
        <f>IF(OR(E4989="&lt;/routeDistribution&gt;",E4989=""),"",IFERROR(_xlfn.CONCAT(VLOOKUP(BG11,Route_Column!#REF!,2,FALSE),CHAR(34)," probability=",CHAR(34),1/BG$4,CHAR(34),CHAR(47),CHAR(62)),"&lt;/routeDistribution&gt;"))</f>
        <v/>
      </c>
    </row>
    <row r="4991" spans="1:5" x14ac:dyDescent="0.25">
      <c r="A4991" t="s">
        <v>2341</v>
      </c>
      <c r="B4991" t="s">
        <v>1248</v>
      </c>
      <c r="E4991" t="str">
        <f>IF(OR(E4990="&lt;/routeDistribution&gt;",E4990=""),"",IFERROR(_xlfn.CONCAT(VLOOKUP(BG12,Route_Column!#REF!,2,FALSE),CHAR(34)," probability=",CHAR(34),1/BG$4,CHAR(34),CHAR(47),CHAR(62)),"&lt;/routeDistribution&gt;"))</f>
        <v/>
      </c>
    </row>
    <row r="4992" spans="1:5" x14ac:dyDescent="0.25">
      <c r="A4992" t="s">
        <v>2341</v>
      </c>
      <c r="B4992" t="s">
        <v>1249</v>
      </c>
      <c r="E4992" t="str">
        <f>IF(OR(E4991="&lt;/routeDistribution&gt;",E4991=""),"",IFERROR(_xlfn.CONCAT(VLOOKUP(BG13,Route_Column!#REF!,2,FALSE),CHAR(34)," probability=",CHAR(34),1/BG$4,CHAR(34),CHAR(47),CHAR(62)),"&lt;/routeDistribution&gt;"))</f>
        <v/>
      </c>
    </row>
    <row r="4993" spans="1:5" x14ac:dyDescent="0.25">
      <c r="A4993" t="s">
        <v>1738</v>
      </c>
      <c r="B4993" t="s">
        <v>1102</v>
      </c>
      <c r="E4993" t="str">
        <f>IF(OR(E4992="&lt;/routeDistribution&gt;",E4992=""),"",IFERROR(_xlfn.CONCAT(VLOOKUP(BG14,Route_Column!#REF!,2,FALSE),CHAR(34)," probability=",CHAR(34),1/BG$4,CHAR(34),CHAR(47),CHAR(62)),"&lt;/routeDistribution&gt;"))</f>
        <v/>
      </c>
    </row>
    <row r="4994" spans="1:5" x14ac:dyDescent="0.25">
      <c r="A4994" t="s">
        <v>1738</v>
      </c>
      <c r="B4994" t="s">
        <v>1110</v>
      </c>
      <c r="E4994" t="str">
        <f>IF(OR(E4993="&lt;/routeDistribution&gt;",E4993=""),"",IFERROR(_xlfn.CONCAT(VLOOKUP(BG15,Route_Column!#REF!,2,FALSE),CHAR(34)," probability=",CHAR(34),1/BG$4,CHAR(34),CHAR(47),CHAR(62)),"&lt;/routeDistribution&gt;"))</f>
        <v/>
      </c>
    </row>
    <row r="4995" spans="1:5" x14ac:dyDescent="0.25">
      <c r="A4995" t="s">
        <v>1738</v>
      </c>
      <c r="B4995" t="s">
        <v>1196</v>
      </c>
      <c r="E4995" t="str">
        <f>IF(OR(E4994="&lt;/routeDistribution&gt;",E4994=""),"",IFERROR(_xlfn.CONCAT(VLOOKUP(BG16,Route_Column!#REF!,2,FALSE),CHAR(34)," probability=",CHAR(34),1/BG$4,CHAR(34),CHAR(47),CHAR(62)),"&lt;/routeDistribution&gt;"))</f>
        <v/>
      </c>
    </row>
    <row r="4996" spans="1:5" x14ac:dyDescent="0.25">
      <c r="A4996" t="s">
        <v>1738</v>
      </c>
      <c r="B4996" t="s">
        <v>1201</v>
      </c>
      <c r="E4996" t="str">
        <f>IF(OR(E4995="&lt;/routeDistribution&gt;",E4995=""),"",IFERROR(_xlfn.CONCAT(VLOOKUP(BG17,Route_Column!#REF!,2,FALSE),CHAR(34)," probability=",CHAR(34),1/BG$4,CHAR(34),CHAR(47),CHAR(62)),"&lt;/routeDistribution&gt;"))</f>
        <v/>
      </c>
    </row>
    <row r="4997" spans="1:5" x14ac:dyDescent="0.25">
      <c r="A4997" t="s">
        <v>1738</v>
      </c>
      <c r="B4997" t="s">
        <v>1206</v>
      </c>
      <c r="E4997" t="str">
        <f>IF(OR(E4996="&lt;/routeDistribution&gt;",E4996=""),"",IFERROR(_xlfn.CONCAT(VLOOKUP(BG18,Route_Column!#REF!,2,FALSE),CHAR(34)," probability=",CHAR(34),1/BG$4,CHAR(34),CHAR(47),CHAR(62)),"&lt;/routeDistribution&gt;"))</f>
        <v/>
      </c>
    </row>
    <row r="4998" spans="1:5" x14ac:dyDescent="0.25">
      <c r="A4998" t="s">
        <v>1739</v>
      </c>
      <c r="B4998" t="s">
        <v>1102</v>
      </c>
      <c r="E4998" t="str">
        <f>IF(OR(E4997="&lt;/routeDistribution&gt;",E4997=""),"",IFERROR(_xlfn.CONCAT(VLOOKUP(BG19,Route_Column!#REF!,2,FALSE),CHAR(34)," probability=",CHAR(34),1/BG$4,CHAR(34),CHAR(47),CHAR(62)),"&lt;/routeDistribution&gt;"))</f>
        <v/>
      </c>
    </row>
    <row r="4999" spans="1:5" x14ac:dyDescent="0.25">
      <c r="A4999" t="s">
        <v>1739</v>
      </c>
      <c r="B4999" t="s">
        <v>1110</v>
      </c>
      <c r="E4999" t="str">
        <f>IF(OR(E4998="&lt;/routeDistribution&gt;",E4998=""),"",IFERROR(_xlfn.CONCAT(VLOOKUP(BG20,Route_Column!#REF!,2,FALSE),CHAR(34)," probability=",CHAR(34),1/BG$4,CHAR(34),CHAR(47),CHAR(62)),"&lt;/routeDistribution&gt;"))</f>
        <v/>
      </c>
    </row>
    <row r="5000" spans="1:5" x14ac:dyDescent="0.25">
      <c r="A5000" t="s">
        <v>1739</v>
      </c>
      <c r="B5000" t="s">
        <v>1196</v>
      </c>
      <c r="E5000" t="str">
        <f>IF(OR(E4999="&lt;/routeDistribution&gt;",E4999=""),"",IFERROR(_xlfn.CONCAT(VLOOKUP(BG21,Route_Column!#REF!,2,FALSE),CHAR(34)," probability=",CHAR(34),1/BG$4,CHAR(34),CHAR(47),CHAR(62)),"&lt;/routeDistribution&gt;"))</f>
        <v/>
      </c>
    </row>
    <row r="5001" spans="1:5" x14ac:dyDescent="0.25">
      <c r="A5001" t="s">
        <v>1739</v>
      </c>
      <c r="B5001" t="s">
        <v>1201</v>
      </c>
      <c r="E5001" t="str">
        <f>IF(OR(E5000="&lt;/routeDistribution&gt;",E5000=""),"",IFERROR(_xlfn.CONCAT(VLOOKUP(BG22,Route_Column!#REF!,2,FALSE),CHAR(34)," probability=",CHAR(34),1/BG$4,CHAR(34),CHAR(47),CHAR(62)),"&lt;/routeDistribution&gt;"))</f>
        <v/>
      </c>
    </row>
    <row r="5002" spans="1:5" x14ac:dyDescent="0.25">
      <c r="A5002" t="s">
        <v>1739</v>
      </c>
      <c r="B5002" t="s">
        <v>1206</v>
      </c>
      <c r="E5002" t="str">
        <f>IF(OR(E5001="&lt;/routeDistribution&gt;",E5001=""),"",IFERROR(_xlfn.CONCAT(VLOOKUP(BG23,Route_Column!#REF!,2,FALSE),CHAR(34)," probability=",CHAR(34),1/BG$4,CHAR(34),CHAR(47),CHAR(62)),"&lt;/routeDistribution&gt;"))</f>
        <v/>
      </c>
    </row>
    <row r="5003" spans="1:5" x14ac:dyDescent="0.25">
      <c r="A5003" t="s">
        <v>1913</v>
      </c>
      <c r="B5003" t="s">
        <v>1112</v>
      </c>
      <c r="E5003" t="str">
        <f>IF(OR(E5002="&lt;/routeDistribution&gt;",E5002=""),"",IFERROR(_xlfn.CONCAT(VLOOKUP(BG24,Route_Column!#REF!,2,FALSE),CHAR(34)," probability=",CHAR(34),1/BG$4,CHAR(34),CHAR(47),CHAR(62)),"&lt;/routeDistribution&gt;"))</f>
        <v/>
      </c>
    </row>
    <row r="5004" spans="1:5" x14ac:dyDescent="0.25">
      <c r="A5004" t="s">
        <v>1913</v>
      </c>
      <c r="B5004" t="s">
        <v>1133</v>
      </c>
      <c r="E5004" t="str">
        <f>IF(OR(E5003="&lt;/routeDistribution&gt;",E5003=""),"",IFERROR(_xlfn.CONCAT(VLOOKUP(BG25,Route_Column!#REF!,2,FALSE),CHAR(34)," probability=",CHAR(34),1/BG$4,CHAR(34),CHAR(47),CHAR(62)),"&lt;/routeDistribution&gt;"))</f>
        <v/>
      </c>
    </row>
    <row r="5005" spans="1:5" x14ac:dyDescent="0.25">
      <c r="A5005" t="s">
        <v>1913</v>
      </c>
      <c r="B5005" t="s">
        <v>1157</v>
      </c>
      <c r="E5005" t="str">
        <f>IF(OR(E5004="&lt;/routeDistribution&gt;",E5004=""),"",IFERROR(_xlfn.CONCAT(VLOOKUP(BG26,Route_Column!#REF!,2,FALSE),CHAR(34)," probability=",CHAR(34),1/BG$4,CHAR(34),CHAR(47),CHAR(62)),"&lt;/routeDistribution&gt;"))</f>
        <v/>
      </c>
    </row>
    <row r="5006" spans="1:5" x14ac:dyDescent="0.25">
      <c r="A5006" t="s">
        <v>1913</v>
      </c>
      <c r="B5006" t="s">
        <v>1158</v>
      </c>
      <c r="E5006" t="str">
        <f>IF(OR(E5005="&lt;/routeDistribution&gt;",E5005=""),"",IFERROR(_xlfn.CONCAT(VLOOKUP(BG27,Route_Column!#REF!,2,FALSE),CHAR(34)," probability=",CHAR(34),1/BG$4,CHAR(34),CHAR(47),CHAR(62)),"&lt;/routeDistribution&gt;"))</f>
        <v/>
      </c>
    </row>
    <row r="5007" spans="1:5" x14ac:dyDescent="0.25">
      <c r="A5007" t="s">
        <v>1913</v>
      </c>
      <c r="B5007" t="s">
        <v>1159</v>
      </c>
      <c r="E5007" t="str">
        <f>IF(OR(E5006="&lt;/routeDistribution&gt;",E5006=""),"",IFERROR(_xlfn.CONCAT(VLOOKUP(BG28,Route_Column!#REF!,2,FALSE),CHAR(34)," probability=",CHAR(34),1/BG$4,CHAR(34),CHAR(47),CHAR(62)),"&lt;/routeDistribution&gt;"))</f>
        <v/>
      </c>
    </row>
    <row r="5008" spans="1:5" x14ac:dyDescent="0.25">
      <c r="A5008" t="s">
        <v>1914</v>
      </c>
      <c r="B5008" t="s">
        <v>1112</v>
      </c>
      <c r="E5008" t="str">
        <f>IF(OR(E5007="&lt;/routeDistribution&gt;",E5007=""),"",IFERROR(_xlfn.CONCAT(VLOOKUP(BG29,Route_Column!#REF!,2,FALSE),CHAR(34)," probability=",CHAR(34),1/BG$4,CHAR(34),CHAR(47),CHAR(62)),"&lt;/routeDistribution&gt;"))</f>
        <v/>
      </c>
    </row>
    <row r="5009" spans="1:5" x14ac:dyDescent="0.25">
      <c r="A5009" t="s">
        <v>1914</v>
      </c>
      <c r="B5009" t="s">
        <v>1133</v>
      </c>
      <c r="E5009" t="str">
        <f>IF(OR(E5008="&lt;/routeDistribution&gt;",E5008=""),"",IFERROR(_xlfn.CONCAT(VLOOKUP(BG30,Route_Column!#REF!,2,FALSE),CHAR(34)," probability=",CHAR(34),1/BG$4,CHAR(34),CHAR(47),CHAR(62)),"&lt;/routeDistribution&gt;"))</f>
        <v/>
      </c>
    </row>
    <row r="5010" spans="1:5" x14ac:dyDescent="0.25">
      <c r="A5010" t="s">
        <v>1914</v>
      </c>
      <c r="B5010" t="s">
        <v>1157</v>
      </c>
      <c r="E5010" t="str">
        <f>IF(OR(E5009="&lt;/routeDistribution&gt;",E5009=""),"",IFERROR(_xlfn.CONCAT(VLOOKUP(BG31,Route_Column!#REF!,2,FALSE),CHAR(34)," probability=",CHAR(34),1/BG$4,CHAR(34),CHAR(47),CHAR(62)),"&lt;/routeDistribution&gt;"))</f>
        <v/>
      </c>
    </row>
    <row r="5011" spans="1:5" x14ac:dyDescent="0.25">
      <c r="A5011" t="s">
        <v>1914</v>
      </c>
      <c r="B5011" t="s">
        <v>1158</v>
      </c>
      <c r="E5011" t="str">
        <f>IF(OR(E5010="&lt;/routeDistribution&gt;",E5010=""),"",IFERROR(_xlfn.CONCAT(VLOOKUP(BG32,Route_Column!#REF!,2,FALSE),CHAR(34)," probability=",CHAR(34),1/BG$4,CHAR(34),CHAR(47),CHAR(62)),"&lt;/routeDistribution&gt;"))</f>
        <v/>
      </c>
    </row>
    <row r="5012" spans="1:5" x14ac:dyDescent="0.25">
      <c r="A5012" t="s">
        <v>1914</v>
      </c>
      <c r="B5012" t="s">
        <v>1159</v>
      </c>
      <c r="E5012" t="str">
        <f>IF(OR(E5011="&lt;/routeDistribution&gt;",E5011=""),"",IFERROR(_xlfn.CONCAT(VLOOKUP(BG33,Route_Column!#REF!,2,FALSE),CHAR(34)," probability=",CHAR(34),1/BG$4,CHAR(34),CHAR(47),CHAR(62)),"&lt;/routeDistribution&gt;"))</f>
        <v/>
      </c>
    </row>
    <row r="5013" spans="1:5" x14ac:dyDescent="0.25">
      <c r="A5013" t="s">
        <v>1915</v>
      </c>
      <c r="B5013" t="s">
        <v>1112</v>
      </c>
      <c r="E5013" t="str">
        <f>IF(OR(E5012="&lt;/routeDistribution&gt;",E5012=""),"",IFERROR(_xlfn.CONCAT(VLOOKUP(BG34,Route_Column!#REF!,2,FALSE),CHAR(34)," probability=",CHAR(34),1/BG$4,CHAR(34),CHAR(47),CHAR(62)),"&lt;/routeDistribution&gt;"))</f>
        <v/>
      </c>
    </row>
    <row r="5014" spans="1:5" x14ac:dyDescent="0.25">
      <c r="A5014" t="s">
        <v>1915</v>
      </c>
      <c r="B5014" t="s">
        <v>1133</v>
      </c>
      <c r="E5014" t="str">
        <f>IF(OR(E5013="&lt;/routeDistribution&gt;",E5013=""),"",IFERROR(_xlfn.CONCAT(VLOOKUP(BG35,Route_Column!#REF!,2,FALSE),CHAR(34)," probability=",CHAR(34),1/BG$4,CHAR(34),CHAR(47),CHAR(62)),"&lt;/routeDistribution&gt;"))</f>
        <v/>
      </c>
    </row>
    <row r="5015" spans="1:5" x14ac:dyDescent="0.25">
      <c r="A5015" t="s">
        <v>1915</v>
      </c>
      <c r="B5015" t="s">
        <v>1157</v>
      </c>
      <c r="E5015" t="str">
        <f>IF(OR(E5014="&lt;/routeDistribution&gt;",E5014=""),"",IFERROR(_xlfn.CONCAT(VLOOKUP(BG36,Route_Column!#REF!,2,FALSE),CHAR(34)," probability=",CHAR(34),1/BG$4,CHAR(34),CHAR(47),CHAR(62)),"&lt;/routeDistribution&gt;"))</f>
        <v/>
      </c>
    </row>
    <row r="5016" spans="1:5" x14ac:dyDescent="0.25">
      <c r="A5016" t="s">
        <v>1915</v>
      </c>
      <c r="B5016" t="s">
        <v>1158</v>
      </c>
      <c r="E5016" t="str">
        <f>IF(OR(E5015="&lt;/routeDistribution&gt;",E5015=""),"",IFERROR(_xlfn.CONCAT(VLOOKUP(BG37,Route_Column!#REF!,2,FALSE),CHAR(34)," probability=",CHAR(34),1/BG$4,CHAR(34),CHAR(47),CHAR(62)),"&lt;/routeDistribution&gt;"))</f>
        <v/>
      </c>
    </row>
    <row r="5017" spans="1:5" x14ac:dyDescent="0.25">
      <c r="A5017" t="s">
        <v>1915</v>
      </c>
      <c r="B5017" t="s">
        <v>1159</v>
      </c>
      <c r="E5017" t="str">
        <f>IF(OR(E5016="&lt;/routeDistribution&gt;",E5016=""),"",IFERROR(_xlfn.CONCAT(VLOOKUP(BG38,Route_Column!#REF!,2,FALSE),CHAR(34)," probability=",CHAR(34),1/BG$4,CHAR(34),CHAR(47),CHAR(62)),"&lt;/routeDistribution&gt;"))</f>
        <v/>
      </c>
    </row>
    <row r="5018" spans="1:5" x14ac:dyDescent="0.25">
      <c r="A5018" t="s">
        <v>2085</v>
      </c>
      <c r="B5018" t="s">
        <v>1139</v>
      </c>
      <c r="E5018" t="str">
        <f>IF(OR(E5017="&lt;/routeDistribution&gt;",E5017=""),"",IFERROR(_xlfn.CONCAT(VLOOKUP(BG39,Route_Column!#REF!,2,FALSE),CHAR(34)," probability=",CHAR(34),1/BG$4,CHAR(34),CHAR(47),CHAR(62)),"&lt;/routeDistribution&gt;"))</f>
        <v/>
      </c>
    </row>
    <row r="5019" spans="1:5" x14ac:dyDescent="0.25">
      <c r="A5019" t="s">
        <v>2085</v>
      </c>
      <c r="B5019" t="s">
        <v>1140</v>
      </c>
      <c r="E5019" t="str">
        <f>IF(OR(E5018="&lt;/routeDistribution&gt;",E5018=""),"",IFERROR(_xlfn.CONCAT(VLOOKUP(BG40,Route_Column!#REF!,2,FALSE),CHAR(34)," probability=",CHAR(34),1/BG$4,CHAR(34),CHAR(47),CHAR(62)),"&lt;/routeDistribution&gt;"))</f>
        <v/>
      </c>
    </row>
    <row r="5020" spans="1:5" x14ac:dyDescent="0.25">
      <c r="A5020" t="s">
        <v>2085</v>
      </c>
      <c r="B5020" t="s">
        <v>1150</v>
      </c>
      <c r="E5020" t="str">
        <f>IF(OR(E5019="&lt;/routeDistribution&gt;",E5019=""),"",IFERROR(_xlfn.CONCAT(VLOOKUP(BG41,Route_Column!#REF!,2,FALSE),CHAR(34)," probability=",CHAR(34),1/BG$4,CHAR(34),CHAR(47),CHAR(62)),"&lt;/routeDistribution&gt;"))</f>
        <v/>
      </c>
    </row>
    <row r="5021" spans="1:5" x14ac:dyDescent="0.25">
      <c r="A5021" t="s">
        <v>2085</v>
      </c>
      <c r="B5021" t="s">
        <v>1157</v>
      </c>
      <c r="E5021" t="str">
        <f>IF(OR(E5020="&lt;/routeDistribution&gt;",E5020=""),"",IFERROR(_xlfn.CONCAT(VLOOKUP(BG42,Route_Column!#REF!,2,FALSE),CHAR(34)," probability=",CHAR(34),1/BG$4,CHAR(34),CHAR(47),CHAR(62)),"&lt;/routeDistribution&gt;"))</f>
        <v/>
      </c>
    </row>
    <row r="5022" spans="1:5" x14ac:dyDescent="0.25">
      <c r="A5022" t="s">
        <v>2085</v>
      </c>
      <c r="B5022" t="s">
        <v>1214</v>
      </c>
      <c r="E5022" t="str">
        <f>IF(OR(E5021="&lt;/routeDistribution&gt;",E5021=""),"",IFERROR(_xlfn.CONCAT(VLOOKUP(BG43,Route_Column!#REF!,2,FALSE),CHAR(34)," probability=",CHAR(34),1/BG$4,CHAR(34),CHAR(47),CHAR(62)),"&lt;/routeDistribution&gt;"))</f>
        <v/>
      </c>
    </row>
    <row r="5023" spans="1:5" x14ac:dyDescent="0.25">
      <c r="A5023" t="s">
        <v>2085</v>
      </c>
      <c r="B5023" t="s">
        <v>1215</v>
      </c>
      <c r="E5023" t="str">
        <f>IF(OR(E5022="&lt;/routeDistribution&gt;",E5022=""),"",IFERROR(_xlfn.CONCAT(VLOOKUP(BG44,Route_Column!#REF!,2,FALSE),CHAR(34)," probability=",CHAR(34),1/BG$4,CHAR(34),CHAR(47),CHAR(62)),"&lt;/routeDistribution&gt;"))</f>
        <v/>
      </c>
    </row>
    <row r="5024" spans="1:5" x14ac:dyDescent="0.25">
      <c r="A5024" t="s">
        <v>2085</v>
      </c>
      <c r="B5024" t="s">
        <v>1226</v>
      </c>
      <c r="E5024" t="str">
        <f>IF(OR(E5023="&lt;/routeDistribution&gt;",E5023=""),"",IFERROR(_xlfn.CONCAT(VLOOKUP(BG45,Route_Column!#REF!,2,FALSE),CHAR(34)," probability=",CHAR(34),1/BG$4,CHAR(34),CHAR(47),CHAR(62)),"&lt;/routeDistribution&gt;"))</f>
        <v/>
      </c>
    </row>
    <row r="5025" spans="1:5" x14ac:dyDescent="0.25">
      <c r="A5025" t="s">
        <v>2085</v>
      </c>
      <c r="B5025" t="s">
        <v>1233</v>
      </c>
      <c r="E5025" t="str">
        <f>IF(OR(E5024="&lt;/routeDistribution&gt;",E5024=""),"",IFERROR(_xlfn.CONCAT(VLOOKUP(BG46,Route_Column!#REF!,2,FALSE),CHAR(34)," probability=",CHAR(34),1/BG$4,CHAR(34),CHAR(47),CHAR(62)),"&lt;/routeDistribution&gt;"))</f>
        <v/>
      </c>
    </row>
    <row r="5026" spans="1:5" x14ac:dyDescent="0.25">
      <c r="A5026" t="s">
        <v>2085</v>
      </c>
      <c r="B5026" t="s">
        <v>1254</v>
      </c>
      <c r="E5026" t="str">
        <f>IF(OR(E5025="&lt;/routeDistribution&gt;",E5025=""),"",IFERROR(_xlfn.CONCAT(VLOOKUP(BG47,Route_Column!#REF!,2,FALSE),CHAR(34)," probability=",CHAR(34),1/BG$4,CHAR(34),CHAR(47),CHAR(62)),"&lt;/routeDistribution&gt;"))</f>
        <v/>
      </c>
    </row>
    <row r="5027" spans="1:5" x14ac:dyDescent="0.25">
      <c r="A5027" t="s">
        <v>2133</v>
      </c>
      <c r="B5027" t="s">
        <v>1141</v>
      </c>
      <c r="E5027" t="str">
        <f>IF(OR(E5026="&lt;/routeDistribution&gt;",E5026=""),"",IFERROR(_xlfn.CONCAT(VLOOKUP(BG48,Route_Column!#REF!,2,FALSE),CHAR(34)," probability=",CHAR(34),1/BG$4,CHAR(34),CHAR(47),CHAR(62)),"&lt;/routeDistribution&gt;"))</f>
        <v/>
      </c>
    </row>
    <row r="5028" spans="1:5" x14ac:dyDescent="0.25">
      <c r="A5028" t="s">
        <v>2133</v>
      </c>
      <c r="B5028" t="s">
        <v>1155</v>
      </c>
      <c r="E5028" t="str">
        <f>IF(OR(E5027="&lt;/routeDistribution&gt;",E5027=""),"",IFERROR(_xlfn.CONCAT(VLOOKUP(BG49,Route_Column!#REF!,2,FALSE),CHAR(34)," probability=",CHAR(34),1/BG$4,CHAR(34),CHAR(47),CHAR(62)),"&lt;/routeDistribution&gt;"))</f>
        <v/>
      </c>
    </row>
    <row r="5029" spans="1:5" x14ac:dyDescent="0.25">
      <c r="A5029" t="s">
        <v>2133</v>
      </c>
      <c r="B5029" t="s">
        <v>1158</v>
      </c>
      <c r="E5029" t="str">
        <f>IF(OR(E5028="&lt;/routeDistribution&gt;",E5028=""),"",IFERROR(_xlfn.CONCAT(VLOOKUP(BG50,Route_Column!#REF!,2,FALSE),CHAR(34)," probability=",CHAR(34),1/BG$4,CHAR(34),CHAR(47),CHAR(62)),"&lt;/routeDistribution&gt;"))</f>
        <v/>
      </c>
    </row>
    <row r="5030" spans="1:5" x14ac:dyDescent="0.25">
      <c r="A5030" t="s">
        <v>2133</v>
      </c>
      <c r="B5030" t="s">
        <v>1175</v>
      </c>
      <c r="E5030" t="str">
        <f>IF(OR(E5029="&lt;/routeDistribution&gt;",E5029=""),"",IFERROR(_xlfn.CONCAT(VLOOKUP(BG51,Route_Column!#REF!,2,FALSE),CHAR(34)," probability=",CHAR(34),1/BG$4,CHAR(34),CHAR(47),CHAR(62)),"&lt;/routeDistribution&gt;"))</f>
        <v/>
      </c>
    </row>
    <row r="5031" spans="1:5" x14ac:dyDescent="0.25">
      <c r="A5031" t="s">
        <v>2133</v>
      </c>
      <c r="B5031" t="s">
        <v>1176</v>
      </c>
      <c r="E5031" t="str">
        <f>IF(OR(E5030="&lt;/routeDistribution&gt;",E5030=""),"",IFERROR(_xlfn.CONCAT(VLOOKUP(BG52,Route_Column!#REF!,2,FALSE),CHAR(34)," probability=",CHAR(34),1/BG$4,CHAR(34),CHAR(47),CHAR(62)),"&lt;/routeDistribution&gt;"))</f>
        <v/>
      </c>
    </row>
    <row r="5032" spans="1:5" x14ac:dyDescent="0.25">
      <c r="A5032" t="s">
        <v>2133</v>
      </c>
      <c r="B5032" t="s">
        <v>1227</v>
      </c>
      <c r="E5032" t="str">
        <f>IF(OR(E5031="&lt;/routeDistribution&gt;",E5031=""),"",IFERROR(_xlfn.CONCAT(VLOOKUP(BG53,Route_Column!#REF!,2,FALSE),CHAR(34)," probability=",CHAR(34),1/BG$4,CHAR(34),CHAR(47),CHAR(62)),"&lt;/routeDistribution&gt;"))</f>
        <v/>
      </c>
    </row>
    <row r="5033" spans="1:5" x14ac:dyDescent="0.25">
      <c r="A5033" t="s">
        <v>2133</v>
      </c>
      <c r="B5033" t="s">
        <v>1255</v>
      </c>
      <c r="E5033" t="str">
        <f>IF(OR(E5032="&lt;/routeDistribution&gt;",E5032=""),"",IFERROR(_xlfn.CONCAT(VLOOKUP(BG54,Route_Column!#REF!,2,FALSE),CHAR(34)," probability=",CHAR(34),1/BG$4,CHAR(34),CHAR(47),CHAR(62)),"&lt;/routeDistribution&gt;"))</f>
        <v/>
      </c>
    </row>
    <row r="5034" spans="1:5" x14ac:dyDescent="0.25">
      <c r="A5034" t="s">
        <v>2082</v>
      </c>
      <c r="B5034" t="s">
        <v>1139</v>
      </c>
      <c r="E5034" t="str">
        <f>IF(OR(E5033="&lt;/routeDistribution&gt;",E5033=""),"",IFERROR(_xlfn.CONCAT(VLOOKUP(BG55,Route_Column!#REF!,2,FALSE),CHAR(34)," probability=",CHAR(34),1/BG$4,CHAR(34),CHAR(47),CHAR(62)),"&lt;/routeDistribution&gt;"))</f>
        <v/>
      </c>
    </row>
    <row r="5035" spans="1:5" x14ac:dyDescent="0.25">
      <c r="A5035" t="s">
        <v>2082</v>
      </c>
      <c r="B5035" t="s">
        <v>1140</v>
      </c>
      <c r="E5035" t="str">
        <f>IF(OR(E5034="&lt;/routeDistribution&gt;",E5034=""),"",IFERROR(_xlfn.CONCAT(VLOOKUP(BG56,Route_Column!#REF!,2,FALSE),CHAR(34)," probability=",CHAR(34),1/BG$4,CHAR(34),CHAR(47),CHAR(62)),"&lt;/routeDistribution&gt;"))</f>
        <v/>
      </c>
    </row>
    <row r="5036" spans="1:5" x14ac:dyDescent="0.25">
      <c r="A5036" t="s">
        <v>2082</v>
      </c>
      <c r="B5036" t="s">
        <v>1150</v>
      </c>
      <c r="E5036" t="str">
        <f>IF(OR(E5035="&lt;/routeDistribution&gt;",E5035=""),"",IFERROR(_xlfn.CONCAT(VLOOKUP(BG57,Route_Column!#REF!,2,FALSE),CHAR(34)," probability=",CHAR(34),1/BG$4,CHAR(34),CHAR(47),CHAR(62)),"&lt;/routeDistribution&gt;"))</f>
        <v/>
      </c>
    </row>
    <row r="5037" spans="1:5" x14ac:dyDescent="0.25">
      <c r="A5037" t="s">
        <v>2082</v>
      </c>
      <c r="B5037" t="s">
        <v>1157</v>
      </c>
      <c r="E5037" t="str">
        <f>IF(OR(E5036="&lt;/routeDistribution&gt;",E5036=""),"",IFERROR(_xlfn.CONCAT(VLOOKUP(BG58,Route_Column!#REF!,2,FALSE),CHAR(34)," probability=",CHAR(34),1/BG$4,CHAR(34),CHAR(47),CHAR(62)),"&lt;/routeDistribution&gt;"))</f>
        <v/>
      </c>
    </row>
    <row r="5038" spans="1:5" x14ac:dyDescent="0.25">
      <c r="A5038" t="s">
        <v>2082</v>
      </c>
      <c r="B5038" t="s">
        <v>1226</v>
      </c>
      <c r="E5038" t="str">
        <f>IF(OR(E5037="&lt;/routeDistribution&gt;",E5037=""),"",IFERROR(_xlfn.CONCAT(VLOOKUP(BG59,Route_Column!#REF!,2,FALSE),CHAR(34)," probability=",CHAR(34),1/BG$4,CHAR(34),CHAR(47),CHAR(62)),"&lt;/routeDistribution&gt;"))</f>
        <v/>
      </c>
    </row>
    <row r="5039" spans="1:5" x14ac:dyDescent="0.25">
      <c r="A5039" t="s">
        <v>2082</v>
      </c>
      <c r="B5039" t="s">
        <v>1233</v>
      </c>
      <c r="E5039" t="str">
        <f>IF(OR(E5038="&lt;/routeDistribution&gt;",E5038=""),"",IFERROR(_xlfn.CONCAT(VLOOKUP(BG60,Route_Column!#REF!,2,FALSE),CHAR(34)," probability=",CHAR(34),1/BG$4,CHAR(34),CHAR(47),CHAR(62)),"&lt;/routeDistribution&gt;"))</f>
        <v/>
      </c>
    </row>
    <row r="5040" spans="1:5" x14ac:dyDescent="0.25">
      <c r="A5040" t="s">
        <v>2082</v>
      </c>
      <c r="B5040" t="s">
        <v>1254</v>
      </c>
      <c r="E5040" t="str">
        <f>IF(OR(E5039="&lt;/routeDistribution&gt;",E5039=""),"",IFERROR(_xlfn.CONCAT(VLOOKUP(BG61,Route_Column!#REF!,2,FALSE),CHAR(34)," probability=",CHAR(34),1/BG$4,CHAR(34),CHAR(47),CHAR(62)),"&lt;/routeDistribution&gt;"))</f>
        <v/>
      </c>
    </row>
    <row r="5041" spans="1:5" x14ac:dyDescent="0.25">
      <c r="A5041" t="s">
        <v>2012</v>
      </c>
      <c r="B5041" t="s">
        <v>1133</v>
      </c>
      <c r="E5041" t="str">
        <f>IF(OR(E5040="&lt;/routeDistribution&gt;",E5040=""),"",IFERROR(_xlfn.CONCAT(VLOOKUP(BG62,Route_Column!#REF!,2,FALSE),CHAR(34)," probability=",CHAR(34),1/BG$4,CHAR(34),CHAR(47),CHAR(62)),"&lt;/routeDistribution&gt;"))</f>
        <v/>
      </c>
    </row>
    <row r="5042" spans="1:5" x14ac:dyDescent="0.25">
      <c r="A5042" t="s">
        <v>2013</v>
      </c>
      <c r="B5042" t="s">
        <v>1133</v>
      </c>
      <c r="E5042" t="str">
        <f>IF(OR(E5041="&lt;/routeDistribution&gt;",E5041=""),"",IFERROR(_xlfn.CONCAT(VLOOKUP(BG63,Route_Column!#REF!,2,FALSE),CHAR(34)," probability=",CHAR(34),1/BG$4,CHAR(34),CHAR(47),CHAR(62)),"&lt;/routeDistribution&gt;"))</f>
        <v/>
      </c>
    </row>
    <row r="5043" spans="1:5" x14ac:dyDescent="0.25">
      <c r="A5043" t="s">
        <v>2014</v>
      </c>
      <c r="B5043" t="s">
        <v>1133</v>
      </c>
      <c r="E5043" t="s">
        <v>2686</v>
      </c>
    </row>
    <row r="5044" spans="1:5" x14ac:dyDescent="0.25">
      <c r="A5044" t="s">
        <v>2015</v>
      </c>
      <c r="B5044" t="s">
        <v>1133</v>
      </c>
    </row>
    <row r="5045" spans="1:5" x14ac:dyDescent="0.25">
      <c r="A5045" t="s">
        <v>2016</v>
      </c>
      <c r="B5045" t="s">
        <v>1133</v>
      </c>
    </row>
    <row r="5046" spans="1:5" x14ac:dyDescent="0.25">
      <c r="A5046" t="s">
        <v>2017</v>
      </c>
      <c r="B5046" t="s">
        <v>1133</v>
      </c>
      <c r="E5046" t="str">
        <f>_xlfn.CONCAT($E$1,BF$2,$F$1)</f>
        <v>&lt;routeDistribution id="Market-33rd-to-34th-WB-2012-RouteProbe"&gt;</v>
      </c>
    </row>
    <row r="5047" spans="1:5" x14ac:dyDescent="0.25">
      <c r="A5047" t="s">
        <v>2018</v>
      </c>
      <c r="B5047" t="s">
        <v>1133</v>
      </c>
      <c r="E5047" t="str">
        <f>IF(OR(E5046="&lt;/routeDistribution&gt;",E5046=""),"",IFERROR(_xlfn.CONCAT(VLOOKUP(BF5,Route_Column!#REF!,2,FALSE),CHAR(34)," probability=",CHAR(34),1/BF$4,CHAR(34),CHAR(47),CHAR(62)),"&lt;/routeDistribution&gt;"))</f>
        <v>&lt;/routeDistribution&gt;</v>
      </c>
    </row>
    <row r="5048" spans="1:5" x14ac:dyDescent="0.25">
      <c r="A5048" t="s">
        <v>1910</v>
      </c>
      <c r="B5048" t="s">
        <v>1112</v>
      </c>
      <c r="E5048" t="str">
        <f>IF(OR(E5047="&lt;/routeDistribution&gt;",E5047=""),"",IFERROR(_xlfn.CONCAT(VLOOKUP(BF6,Route_Column!#REF!,2,FALSE),CHAR(34)," probability=",CHAR(34),1/BF$4,CHAR(34),CHAR(47),CHAR(62)),"&lt;/routeDistribution&gt;"))</f>
        <v/>
      </c>
    </row>
    <row r="5049" spans="1:5" x14ac:dyDescent="0.25">
      <c r="A5049" t="s">
        <v>1910</v>
      </c>
      <c r="B5049" t="s">
        <v>1157</v>
      </c>
      <c r="E5049" t="str">
        <f>IF(OR(E5048="&lt;/routeDistribution&gt;",E5048=""),"",IFERROR(_xlfn.CONCAT(VLOOKUP(BF7,Route_Column!#REF!,2,FALSE),CHAR(34)," probability=",CHAR(34),1/BF$4,CHAR(34),CHAR(47),CHAR(62)),"&lt;/routeDistribution&gt;"))</f>
        <v/>
      </c>
    </row>
    <row r="5050" spans="1:5" x14ac:dyDescent="0.25">
      <c r="A5050" t="s">
        <v>1910</v>
      </c>
      <c r="B5050" t="s">
        <v>1158</v>
      </c>
      <c r="E5050" t="str">
        <f>IF(OR(E5049="&lt;/routeDistribution&gt;",E5049=""),"",IFERROR(_xlfn.CONCAT(VLOOKUP(BF8,Route_Column!#REF!,2,FALSE),CHAR(34)," probability=",CHAR(34),1/BF$4,CHAR(34),CHAR(47),CHAR(62)),"&lt;/routeDistribution&gt;"))</f>
        <v/>
      </c>
    </row>
    <row r="5051" spans="1:5" x14ac:dyDescent="0.25">
      <c r="A5051" t="s">
        <v>1910</v>
      </c>
      <c r="B5051" t="s">
        <v>1159</v>
      </c>
      <c r="E5051" t="str">
        <f>IF(OR(E5050="&lt;/routeDistribution&gt;",E5050=""),"",IFERROR(_xlfn.CONCAT(VLOOKUP(BF9,Route_Column!#REF!,2,FALSE),CHAR(34)," probability=",CHAR(34),1/BF$4,CHAR(34),CHAR(47),CHAR(62)),"&lt;/routeDistribution&gt;"))</f>
        <v/>
      </c>
    </row>
    <row r="5052" spans="1:5" x14ac:dyDescent="0.25">
      <c r="A5052" t="s">
        <v>1911</v>
      </c>
      <c r="B5052" t="s">
        <v>1112</v>
      </c>
      <c r="E5052" t="str">
        <f>IF(OR(E5051="&lt;/routeDistribution&gt;",E5051=""),"",IFERROR(_xlfn.CONCAT(VLOOKUP(BF10,Route_Column!#REF!,2,FALSE),CHAR(34)," probability=",CHAR(34),1/BF$4,CHAR(34),CHAR(47),CHAR(62)),"&lt;/routeDistribution&gt;"))</f>
        <v/>
      </c>
    </row>
    <row r="5053" spans="1:5" x14ac:dyDescent="0.25">
      <c r="A5053" t="s">
        <v>1911</v>
      </c>
      <c r="B5053" t="s">
        <v>1157</v>
      </c>
      <c r="E5053" t="str">
        <f>IF(OR(E5052="&lt;/routeDistribution&gt;",E5052=""),"",IFERROR(_xlfn.CONCAT(VLOOKUP(BF11,Route_Column!#REF!,2,FALSE),CHAR(34)," probability=",CHAR(34),1/BF$4,CHAR(34),CHAR(47),CHAR(62)),"&lt;/routeDistribution&gt;"))</f>
        <v/>
      </c>
    </row>
    <row r="5054" spans="1:5" x14ac:dyDescent="0.25">
      <c r="A5054" t="s">
        <v>1911</v>
      </c>
      <c r="B5054" t="s">
        <v>1158</v>
      </c>
      <c r="E5054" t="str">
        <f>IF(OR(E5053="&lt;/routeDistribution&gt;",E5053=""),"",IFERROR(_xlfn.CONCAT(VLOOKUP(BF12,Route_Column!#REF!,2,FALSE),CHAR(34)," probability=",CHAR(34),1/BF$4,CHAR(34),CHAR(47),CHAR(62)),"&lt;/routeDistribution&gt;"))</f>
        <v/>
      </c>
    </row>
    <row r="5055" spans="1:5" x14ac:dyDescent="0.25">
      <c r="A5055" t="s">
        <v>1911</v>
      </c>
      <c r="B5055" t="s">
        <v>1159</v>
      </c>
      <c r="E5055" t="str">
        <f>IF(OR(E5054="&lt;/routeDistribution&gt;",E5054=""),"",IFERROR(_xlfn.CONCAT(VLOOKUP(BF13,Route_Column!#REF!,2,FALSE),CHAR(34)," probability=",CHAR(34),1/BF$4,CHAR(34),CHAR(47),CHAR(62)),"&lt;/routeDistribution&gt;"))</f>
        <v/>
      </c>
    </row>
    <row r="5056" spans="1:5" x14ac:dyDescent="0.25">
      <c r="A5056" t="s">
        <v>2184</v>
      </c>
      <c r="B5056" t="s">
        <v>1154</v>
      </c>
      <c r="E5056" t="str">
        <f>IF(OR(E5055="&lt;/routeDistribution&gt;",E5055=""),"",IFERROR(_xlfn.CONCAT(VLOOKUP(BF14,Route_Column!#REF!,2,FALSE),CHAR(34)," probability=",CHAR(34),1/BF$4,CHAR(34),CHAR(47),CHAR(62)),"&lt;/routeDistribution&gt;"))</f>
        <v/>
      </c>
    </row>
    <row r="5057" spans="1:5" x14ac:dyDescent="0.25">
      <c r="A5057" t="s">
        <v>2184</v>
      </c>
      <c r="B5057" t="s">
        <v>1155</v>
      </c>
      <c r="E5057" t="str">
        <f>IF(OR(E5056="&lt;/routeDistribution&gt;",E5056=""),"",IFERROR(_xlfn.CONCAT(VLOOKUP(BF15,Route_Column!#REF!,2,FALSE),CHAR(34)," probability=",CHAR(34),1/BF$4,CHAR(34),CHAR(47),CHAR(62)),"&lt;/routeDistribution&gt;"))</f>
        <v/>
      </c>
    </row>
    <row r="5058" spans="1:5" x14ac:dyDescent="0.25">
      <c r="A5058" t="s">
        <v>2184</v>
      </c>
      <c r="B5058" t="s">
        <v>1156</v>
      </c>
      <c r="E5058" t="str">
        <f>IF(OR(E5057="&lt;/routeDistribution&gt;",E5057=""),"",IFERROR(_xlfn.CONCAT(VLOOKUP(BF16,Route_Column!#REF!,2,FALSE),CHAR(34)," probability=",CHAR(34),1/BF$4,CHAR(34),CHAR(47),CHAR(62)),"&lt;/routeDistribution&gt;"))</f>
        <v/>
      </c>
    </row>
    <row r="5059" spans="1:5" x14ac:dyDescent="0.25">
      <c r="A5059" t="s">
        <v>2185</v>
      </c>
      <c r="B5059" t="s">
        <v>1154</v>
      </c>
      <c r="E5059" t="str">
        <f>IF(OR(E5058="&lt;/routeDistribution&gt;",E5058=""),"",IFERROR(_xlfn.CONCAT(VLOOKUP(BF17,Route_Column!#REF!,2,FALSE),CHAR(34)," probability=",CHAR(34),1/BF$4,CHAR(34),CHAR(47),CHAR(62)),"&lt;/routeDistribution&gt;"))</f>
        <v/>
      </c>
    </row>
    <row r="5060" spans="1:5" x14ac:dyDescent="0.25">
      <c r="A5060" t="s">
        <v>2185</v>
      </c>
      <c r="B5060" t="s">
        <v>1155</v>
      </c>
      <c r="E5060" t="str">
        <f>IF(OR(E5059="&lt;/routeDistribution&gt;",E5059=""),"",IFERROR(_xlfn.CONCAT(VLOOKUP(BF18,Route_Column!#REF!,2,FALSE),CHAR(34)," probability=",CHAR(34),1/BF$4,CHAR(34),CHAR(47),CHAR(62)),"&lt;/routeDistribution&gt;"))</f>
        <v/>
      </c>
    </row>
    <row r="5061" spans="1:5" x14ac:dyDescent="0.25">
      <c r="A5061" t="s">
        <v>2185</v>
      </c>
      <c r="B5061" t="s">
        <v>1156</v>
      </c>
      <c r="E5061" t="str">
        <f>IF(OR(E5060="&lt;/routeDistribution&gt;",E5060=""),"",IFERROR(_xlfn.CONCAT(VLOOKUP(BF19,Route_Column!#REF!,2,FALSE),CHAR(34)," probability=",CHAR(34),1/BF$4,CHAR(34),CHAR(47),CHAR(62)),"&lt;/routeDistribution&gt;"))</f>
        <v/>
      </c>
    </row>
    <row r="5062" spans="1:5" x14ac:dyDescent="0.25">
      <c r="A5062" t="s">
        <v>2186</v>
      </c>
      <c r="B5062" t="s">
        <v>1154</v>
      </c>
      <c r="E5062" t="str">
        <f>IF(OR(E5061="&lt;/routeDistribution&gt;",E5061=""),"",IFERROR(_xlfn.CONCAT(VLOOKUP(BF20,Route_Column!#REF!,2,FALSE),CHAR(34)," probability=",CHAR(34),1/BF$4,CHAR(34),CHAR(47),CHAR(62)),"&lt;/routeDistribution&gt;"))</f>
        <v/>
      </c>
    </row>
    <row r="5063" spans="1:5" x14ac:dyDescent="0.25">
      <c r="A5063" t="s">
        <v>2186</v>
      </c>
      <c r="B5063" t="s">
        <v>1155</v>
      </c>
      <c r="E5063" t="str">
        <f>IF(OR(E5062="&lt;/routeDistribution&gt;",E5062=""),"",IFERROR(_xlfn.CONCAT(VLOOKUP(BF21,Route_Column!#REF!,2,FALSE),CHAR(34)," probability=",CHAR(34),1/BF$4,CHAR(34),CHAR(47),CHAR(62)),"&lt;/routeDistribution&gt;"))</f>
        <v/>
      </c>
    </row>
    <row r="5064" spans="1:5" x14ac:dyDescent="0.25">
      <c r="A5064" t="s">
        <v>2186</v>
      </c>
      <c r="B5064" t="s">
        <v>1156</v>
      </c>
      <c r="E5064" t="str">
        <f>IF(OR(E5063="&lt;/routeDistribution&gt;",E5063=""),"",IFERROR(_xlfn.CONCAT(VLOOKUP(BF22,Route_Column!#REF!,2,FALSE),CHAR(34)," probability=",CHAR(34),1/BF$4,CHAR(34),CHAR(47),CHAR(62)),"&lt;/routeDistribution&gt;"))</f>
        <v/>
      </c>
    </row>
    <row r="5065" spans="1:5" x14ac:dyDescent="0.25">
      <c r="A5065" t="s">
        <v>2187</v>
      </c>
      <c r="B5065" t="s">
        <v>1154</v>
      </c>
      <c r="E5065" t="str">
        <f>IF(OR(E5064="&lt;/routeDistribution&gt;",E5064=""),"",IFERROR(_xlfn.CONCAT(VLOOKUP(BF23,Route_Column!#REF!,2,FALSE),CHAR(34)," probability=",CHAR(34),1/BF$4,CHAR(34),CHAR(47),CHAR(62)),"&lt;/routeDistribution&gt;"))</f>
        <v/>
      </c>
    </row>
    <row r="5066" spans="1:5" x14ac:dyDescent="0.25">
      <c r="A5066" t="s">
        <v>2187</v>
      </c>
      <c r="B5066" t="s">
        <v>1155</v>
      </c>
      <c r="E5066" t="str">
        <f>IF(OR(E5065="&lt;/routeDistribution&gt;",E5065=""),"",IFERROR(_xlfn.CONCAT(VLOOKUP(BF24,Route_Column!#REF!,2,FALSE),CHAR(34)," probability=",CHAR(34),1/BF$4,CHAR(34),CHAR(47),CHAR(62)),"&lt;/routeDistribution&gt;"))</f>
        <v/>
      </c>
    </row>
    <row r="5067" spans="1:5" x14ac:dyDescent="0.25">
      <c r="A5067" t="s">
        <v>2187</v>
      </c>
      <c r="B5067" t="s">
        <v>1156</v>
      </c>
      <c r="E5067" t="str">
        <f>IF(OR(E5066="&lt;/routeDistribution&gt;",E5066=""),"",IFERROR(_xlfn.CONCAT(VLOOKUP(BF25,Route_Column!#REF!,2,FALSE),CHAR(34)," probability=",CHAR(34),1/BF$4,CHAR(34),CHAR(47),CHAR(62)),"&lt;/routeDistribution&gt;"))</f>
        <v/>
      </c>
    </row>
    <row r="5068" spans="1:5" x14ac:dyDescent="0.25">
      <c r="A5068" t="s">
        <v>1905</v>
      </c>
      <c r="B5068" t="s">
        <v>1112</v>
      </c>
      <c r="E5068" t="str">
        <f>IF(OR(E5067="&lt;/routeDistribution&gt;",E5067=""),"",IFERROR(_xlfn.CONCAT(VLOOKUP(BF26,Route_Column!#REF!,2,FALSE),CHAR(34)," probability=",CHAR(34),1/BF$4,CHAR(34),CHAR(47),CHAR(62)),"&lt;/routeDistribution&gt;"))</f>
        <v/>
      </c>
    </row>
    <row r="5069" spans="1:5" x14ac:dyDescent="0.25">
      <c r="A5069" t="s">
        <v>1905</v>
      </c>
      <c r="B5069" t="s">
        <v>1157</v>
      </c>
      <c r="E5069" t="str">
        <f>IF(OR(E5068="&lt;/routeDistribution&gt;",E5068=""),"",IFERROR(_xlfn.CONCAT(VLOOKUP(BF27,Route_Column!#REF!,2,FALSE),CHAR(34)," probability=",CHAR(34),1/BF$4,CHAR(34),CHAR(47),CHAR(62)),"&lt;/routeDistribution&gt;"))</f>
        <v/>
      </c>
    </row>
    <row r="5070" spans="1:5" x14ac:dyDescent="0.25">
      <c r="A5070" t="s">
        <v>1905</v>
      </c>
      <c r="B5070" t="s">
        <v>1158</v>
      </c>
      <c r="E5070" t="str">
        <f>IF(OR(E5069="&lt;/routeDistribution&gt;",E5069=""),"",IFERROR(_xlfn.CONCAT(VLOOKUP(BF28,Route_Column!#REF!,2,FALSE),CHAR(34)," probability=",CHAR(34),1/BF$4,CHAR(34),CHAR(47),CHAR(62)),"&lt;/routeDistribution&gt;"))</f>
        <v/>
      </c>
    </row>
    <row r="5071" spans="1:5" x14ac:dyDescent="0.25">
      <c r="A5071" t="s">
        <v>1905</v>
      </c>
      <c r="B5071" t="s">
        <v>1159</v>
      </c>
      <c r="E5071" t="str">
        <f>IF(OR(E5070="&lt;/routeDistribution&gt;",E5070=""),"",IFERROR(_xlfn.CONCAT(VLOOKUP(BF29,Route_Column!#REF!,2,FALSE),CHAR(34)," probability=",CHAR(34),1/BF$4,CHAR(34),CHAR(47),CHAR(62)),"&lt;/routeDistribution&gt;"))</f>
        <v/>
      </c>
    </row>
    <row r="5072" spans="1:5" x14ac:dyDescent="0.25">
      <c r="A5072" t="s">
        <v>1906</v>
      </c>
      <c r="B5072" t="s">
        <v>1112</v>
      </c>
      <c r="E5072" t="str">
        <f>IF(OR(E5071="&lt;/routeDistribution&gt;",E5071=""),"",IFERROR(_xlfn.CONCAT(VLOOKUP(BF30,Route_Column!#REF!,2,FALSE),CHAR(34)," probability=",CHAR(34),1/BF$4,CHAR(34),CHAR(47),CHAR(62)),"&lt;/routeDistribution&gt;"))</f>
        <v/>
      </c>
    </row>
    <row r="5073" spans="1:5" x14ac:dyDescent="0.25">
      <c r="A5073" t="s">
        <v>1906</v>
      </c>
      <c r="B5073" t="s">
        <v>1154</v>
      </c>
      <c r="E5073" t="str">
        <f>IF(OR(E5072="&lt;/routeDistribution&gt;",E5072=""),"",IFERROR(_xlfn.CONCAT(VLOOKUP(BF31,Route_Column!#REF!,2,FALSE),CHAR(34)," probability=",CHAR(34),1/BF$4,CHAR(34),CHAR(47),CHAR(62)),"&lt;/routeDistribution&gt;"))</f>
        <v/>
      </c>
    </row>
    <row r="5074" spans="1:5" x14ac:dyDescent="0.25">
      <c r="A5074" t="s">
        <v>1906</v>
      </c>
      <c r="B5074" t="s">
        <v>1155</v>
      </c>
      <c r="E5074" t="str">
        <f>IF(OR(E5073="&lt;/routeDistribution&gt;",E5073=""),"",IFERROR(_xlfn.CONCAT(VLOOKUP(BF32,Route_Column!#REF!,2,FALSE),CHAR(34)," probability=",CHAR(34),1/BF$4,CHAR(34),CHAR(47),CHAR(62)),"&lt;/routeDistribution&gt;"))</f>
        <v/>
      </c>
    </row>
    <row r="5075" spans="1:5" x14ac:dyDescent="0.25">
      <c r="A5075" t="s">
        <v>1906</v>
      </c>
      <c r="B5075" t="s">
        <v>1156</v>
      </c>
      <c r="E5075" t="str">
        <f>IF(OR(E5074="&lt;/routeDistribution&gt;",E5074=""),"",IFERROR(_xlfn.CONCAT(VLOOKUP(BF33,Route_Column!#REF!,2,FALSE),CHAR(34)," probability=",CHAR(34),1/BF$4,CHAR(34),CHAR(47),CHAR(62)),"&lt;/routeDistribution&gt;"))</f>
        <v/>
      </c>
    </row>
    <row r="5076" spans="1:5" x14ac:dyDescent="0.25">
      <c r="A5076" t="s">
        <v>1906</v>
      </c>
      <c r="B5076" t="s">
        <v>1157</v>
      </c>
      <c r="E5076" t="str">
        <f>IF(OR(E5075="&lt;/routeDistribution&gt;",E5075=""),"",IFERROR(_xlfn.CONCAT(VLOOKUP(BF34,Route_Column!#REF!,2,FALSE),CHAR(34)," probability=",CHAR(34),1/BF$4,CHAR(34),CHAR(47),CHAR(62)),"&lt;/routeDistribution&gt;"))</f>
        <v/>
      </c>
    </row>
    <row r="5077" spans="1:5" x14ac:dyDescent="0.25">
      <c r="A5077" t="s">
        <v>1906</v>
      </c>
      <c r="B5077" t="s">
        <v>1158</v>
      </c>
      <c r="E5077" t="str">
        <f>IF(OR(E5076="&lt;/routeDistribution&gt;",E5076=""),"",IFERROR(_xlfn.CONCAT(VLOOKUP(BF35,Route_Column!#REF!,2,FALSE),CHAR(34)," probability=",CHAR(34),1/BF$4,CHAR(34),CHAR(47),CHAR(62)),"&lt;/routeDistribution&gt;"))</f>
        <v/>
      </c>
    </row>
    <row r="5078" spans="1:5" x14ac:dyDescent="0.25">
      <c r="A5078" t="s">
        <v>1906</v>
      </c>
      <c r="B5078" t="s">
        <v>1159</v>
      </c>
      <c r="E5078" t="str">
        <f>IF(OR(E5077="&lt;/routeDistribution&gt;",E5077=""),"",IFERROR(_xlfn.CONCAT(VLOOKUP(BF36,Route_Column!#REF!,2,FALSE),CHAR(34)," probability=",CHAR(34),1/BF$4,CHAR(34),CHAR(47),CHAR(62)),"&lt;/routeDistribution&gt;"))</f>
        <v/>
      </c>
    </row>
    <row r="5079" spans="1:5" x14ac:dyDescent="0.25">
      <c r="A5079" t="s">
        <v>2168</v>
      </c>
      <c r="B5079" t="s">
        <v>1154</v>
      </c>
      <c r="E5079" t="str">
        <f>IF(OR(E5078="&lt;/routeDistribution&gt;",E5078=""),"",IFERROR(_xlfn.CONCAT(VLOOKUP(BF37,Route_Column!#REF!,2,FALSE),CHAR(34)," probability=",CHAR(34),1/BF$4,CHAR(34),CHAR(47),CHAR(62)),"&lt;/routeDistribution&gt;"))</f>
        <v/>
      </c>
    </row>
    <row r="5080" spans="1:5" x14ac:dyDescent="0.25">
      <c r="A5080" t="s">
        <v>2168</v>
      </c>
      <c r="B5080" t="s">
        <v>1155</v>
      </c>
      <c r="E5080" t="str">
        <f>IF(OR(E5079="&lt;/routeDistribution&gt;",E5079=""),"",IFERROR(_xlfn.CONCAT(VLOOKUP(BF38,Route_Column!#REF!,2,FALSE),CHAR(34)," probability=",CHAR(34),1/BF$4,CHAR(34),CHAR(47),CHAR(62)),"&lt;/routeDistribution&gt;"))</f>
        <v/>
      </c>
    </row>
    <row r="5081" spans="1:5" x14ac:dyDescent="0.25">
      <c r="A5081" t="s">
        <v>2168</v>
      </c>
      <c r="B5081" t="s">
        <v>1156</v>
      </c>
      <c r="E5081" t="str">
        <f>IF(OR(E5080="&lt;/routeDistribution&gt;",E5080=""),"",IFERROR(_xlfn.CONCAT(VLOOKUP(BF39,Route_Column!#REF!,2,FALSE),CHAR(34)," probability=",CHAR(34),1/BF$4,CHAR(34),CHAR(47),CHAR(62)),"&lt;/routeDistribution&gt;"))</f>
        <v/>
      </c>
    </row>
    <row r="5082" spans="1:5" x14ac:dyDescent="0.25">
      <c r="A5082" t="s">
        <v>2169</v>
      </c>
      <c r="B5082" t="s">
        <v>1154</v>
      </c>
      <c r="E5082" t="str">
        <f>IF(OR(E5081="&lt;/routeDistribution&gt;",E5081=""),"",IFERROR(_xlfn.CONCAT(VLOOKUP(BF40,Route_Column!#REF!,2,FALSE),CHAR(34)," probability=",CHAR(34),1/BF$4,CHAR(34),CHAR(47),CHAR(62)),"&lt;/routeDistribution&gt;"))</f>
        <v/>
      </c>
    </row>
    <row r="5083" spans="1:5" x14ac:dyDescent="0.25">
      <c r="A5083" t="s">
        <v>2169</v>
      </c>
      <c r="B5083" t="s">
        <v>1155</v>
      </c>
      <c r="E5083" t="str">
        <f>IF(OR(E5082="&lt;/routeDistribution&gt;",E5082=""),"",IFERROR(_xlfn.CONCAT(VLOOKUP(BF41,Route_Column!#REF!,2,FALSE),CHAR(34)," probability=",CHAR(34),1/BF$4,CHAR(34),CHAR(47),CHAR(62)),"&lt;/routeDistribution&gt;"))</f>
        <v/>
      </c>
    </row>
    <row r="5084" spans="1:5" x14ac:dyDescent="0.25">
      <c r="A5084" t="s">
        <v>2169</v>
      </c>
      <c r="B5084" t="s">
        <v>1156</v>
      </c>
      <c r="E5084" t="str">
        <f>IF(OR(E5083="&lt;/routeDistribution&gt;",E5083=""),"",IFERROR(_xlfn.CONCAT(VLOOKUP(BF42,Route_Column!#REF!,2,FALSE),CHAR(34)," probability=",CHAR(34),1/BF$4,CHAR(34),CHAR(47),CHAR(62)),"&lt;/routeDistribution&gt;"))</f>
        <v/>
      </c>
    </row>
    <row r="5085" spans="1:5" x14ac:dyDescent="0.25">
      <c r="A5085" t="s">
        <v>2170</v>
      </c>
      <c r="B5085" t="s">
        <v>1154</v>
      </c>
      <c r="E5085" t="str">
        <f>IF(OR(E5084="&lt;/routeDistribution&gt;",E5084=""),"",IFERROR(_xlfn.CONCAT(VLOOKUP(BF43,Route_Column!#REF!,2,FALSE),CHAR(34)," probability=",CHAR(34),1/BF$4,CHAR(34),CHAR(47),CHAR(62)),"&lt;/routeDistribution&gt;"))</f>
        <v/>
      </c>
    </row>
    <row r="5086" spans="1:5" x14ac:dyDescent="0.25">
      <c r="A5086" t="s">
        <v>2170</v>
      </c>
      <c r="B5086" t="s">
        <v>1155</v>
      </c>
      <c r="E5086" t="str">
        <f>IF(OR(E5085="&lt;/routeDistribution&gt;",E5085=""),"",IFERROR(_xlfn.CONCAT(VLOOKUP(BF44,Route_Column!#REF!,2,FALSE),CHAR(34)," probability=",CHAR(34),1/BF$4,CHAR(34),CHAR(47),CHAR(62)),"&lt;/routeDistribution&gt;"))</f>
        <v/>
      </c>
    </row>
    <row r="5087" spans="1:5" x14ac:dyDescent="0.25">
      <c r="A5087" t="s">
        <v>2170</v>
      </c>
      <c r="B5087" t="s">
        <v>1156</v>
      </c>
      <c r="E5087" t="str">
        <f>IF(OR(E5086="&lt;/routeDistribution&gt;",E5086=""),"",IFERROR(_xlfn.CONCAT(VLOOKUP(BF45,Route_Column!#REF!,2,FALSE),CHAR(34)," probability=",CHAR(34),1/BF$4,CHAR(34),CHAR(47),CHAR(62)),"&lt;/routeDistribution&gt;"))</f>
        <v/>
      </c>
    </row>
    <row r="5088" spans="1:5" x14ac:dyDescent="0.25">
      <c r="A5088" t="s">
        <v>2171</v>
      </c>
      <c r="B5088" t="s">
        <v>1154</v>
      </c>
      <c r="E5088" t="str">
        <f>IF(OR(E5087="&lt;/routeDistribution&gt;",E5087=""),"",IFERROR(_xlfn.CONCAT(VLOOKUP(BF46,Route_Column!#REF!,2,FALSE),CHAR(34)," probability=",CHAR(34),1/BF$4,CHAR(34),CHAR(47),CHAR(62)),"&lt;/routeDistribution&gt;"))</f>
        <v/>
      </c>
    </row>
    <row r="5089" spans="1:5" x14ac:dyDescent="0.25">
      <c r="A5089" t="s">
        <v>2171</v>
      </c>
      <c r="B5089" t="s">
        <v>1155</v>
      </c>
      <c r="E5089" t="str">
        <f>IF(OR(E5088="&lt;/routeDistribution&gt;",E5088=""),"",IFERROR(_xlfn.CONCAT(VLOOKUP(BF47,Route_Column!#REF!,2,FALSE),CHAR(34)," probability=",CHAR(34),1/BF$4,CHAR(34),CHAR(47),CHAR(62)),"&lt;/routeDistribution&gt;"))</f>
        <v/>
      </c>
    </row>
    <row r="5090" spans="1:5" x14ac:dyDescent="0.25">
      <c r="A5090" t="s">
        <v>2171</v>
      </c>
      <c r="B5090" t="s">
        <v>1156</v>
      </c>
      <c r="E5090" t="str">
        <f>IF(OR(E5089="&lt;/routeDistribution&gt;",E5089=""),"",IFERROR(_xlfn.CONCAT(VLOOKUP(BF48,Route_Column!#REF!,2,FALSE),CHAR(34)," probability=",CHAR(34),1/BF$4,CHAR(34),CHAR(47),CHAR(62)),"&lt;/routeDistribution&gt;"))</f>
        <v/>
      </c>
    </row>
    <row r="5091" spans="1:5" x14ac:dyDescent="0.25">
      <c r="A5091" t="s">
        <v>1903</v>
      </c>
      <c r="B5091" t="s">
        <v>1112</v>
      </c>
      <c r="E5091" t="str">
        <f>IF(OR(E5090="&lt;/routeDistribution&gt;",E5090=""),"",IFERROR(_xlfn.CONCAT(VLOOKUP(BF49,Route_Column!#REF!,2,FALSE),CHAR(34)," probability=",CHAR(34),1/BF$4,CHAR(34),CHAR(47),CHAR(62)),"&lt;/routeDistribution&gt;"))</f>
        <v/>
      </c>
    </row>
    <row r="5092" spans="1:5" x14ac:dyDescent="0.25">
      <c r="A5092" t="s">
        <v>1903</v>
      </c>
      <c r="B5092" t="s">
        <v>1157</v>
      </c>
      <c r="E5092" t="str">
        <f>IF(OR(E5091="&lt;/routeDistribution&gt;",E5091=""),"",IFERROR(_xlfn.CONCAT(VLOOKUP(BF50,Route_Column!#REF!,2,FALSE),CHAR(34)," probability=",CHAR(34),1/BF$4,CHAR(34),CHAR(47),CHAR(62)),"&lt;/routeDistribution&gt;"))</f>
        <v/>
      </c>
    </row>
    <row r="5093" spans="1:5" x14ac:dyDescent="0.25">
      <c r="A5093" t="s">
        <v>1903</v>
      </c>
      <c r="B5093" t="s">
        <v>1158</v>
      </c>
      <c r="E5093" t="str">
        <f>IF(OR(E5092="&lt;/routeDistribution&gt;",E5092=""),"",IFERROR(_xlfn.CONCAT(VLOOKUP(BF51,Route_Column!#REF!,2,FALSE),CHAR(34)," probability=",CHAR(34),1/BF$4,CHAR(34),CHAR(47),CHAR(62)),"&lt;/routeDistribution&gt;"))</f>
        <v/>
      </c>
    </row>
    <row r="5094" spans="1:5" x14ac:dyDescent="0.25">
      <c r="A5094" t="s">
        <v>1903</v>
      </c>
      <c r="B5094" t="s">
        <v>1159</v>
      </c>
      <c r="E5094" t="str">
        <f>IF(OR(E5093="&lt;/routeDistribution&gt;",E5093=""),"",IFERROR(_xlfn.CONCAT(VLOOKUP(BF52,Route_Column!#REF!,2,FALSE),CHAR(34)," probability=",CHAR(34),1/BF$4,CHAR(34),CHAR(47),CHAR(62)),"&lt;/routeDistribution&gt;"))</f>
        <v/>
      </c>
    </row>
    <row r="5095" spans="1:5" x14ac:dyDescent="0.25">
      <c r="A5095" t="s">
        <v>1904</v>
      </c>
      <c r="B5095" t="s">
        <v>1112</v>
      </c>
      <c r="E5095" t="str">
        <f>IF(OR(E5094="&lt;/routeDistribution&gt;",E5094=""),"",IFERROR(_xlfn.CONCAT(VLOOKUP(BF53,Route_Column!#REF!,2,FALSE),CHAR(34)," probability=",CHAR(34),1/BF$4,CHAR(34),CHAR(47),CHAR(62)),"&lt;/routeDistribution&gt;"))</f>
        <v/>
      </c>
    </row>
    <row r="5096" spans="1:5" x14ac:dyDescent="0.25">
      <c r="A5096" t="s">
        <v>1904</v>
      </c>
      <c r="B5096" t="s">
        <v>1157</v>
      </c>
      <c r="E5096" t="str">
        <f>IF(OR(E5095="&lt;/routeDistribution&gt;",E5095=""),"",IFERROR(_xlfn.CONCAT(VLOOKUP(BF54,Route_Column!#REF!,2,FALSE),CHAR(34)," probability=",CHAR(34),1/BF$4,CHAR(34),CHAR(47),CHAR(62)),"&lt;/routeDistribution&gt;"))</f>
        <v/>
      </c>
    </row>
    <row r="5097" spans="1:5" x14ac:dyDescent="0.25">
      <c r="A5097" t="s">
        <v>1904</v>
      </c>
      <c r="B5097" t="s">
        <v>1158</v>
      </c>
      <c r="E5097" t="str">
        <f>IF(OR(E5096="&lt;/routeDistribution&gt;",E5096=""),"",IFERROR(_xlfn.CONCAT(VLOOKUP(BF55,Route_Column!#REF!,2,FALSE),CHAR(34)," probability=",CHAR(34),1/BF$4,CHAR(34),CHAR(47),CHAR(62)),"&lt;/routeDistribution&gt;"))</f>
        <v/>
      </c>
    </row>
    <row r="5098" spans="1:5" x14ac:dyDescent="0.25">
      <c r="A5098" t="s">
        <v>1904</v>
      </c>
      <c r="B5098" t="s">
        <v>1159</v>
      </c>
      <c r="E5098" t="str">
        <f>IF(OR(E5097="&lt;/routeDistribution&gt;",E5097=""),"",IFERROR(_xlfn.CONCAT(VLOOKUP(BF56,Route_Column!#REF!,2,FALSE),CHAR(34)," probability=",CHAR(34),1/BF$4,CHAR(34),CHAR(47),CHAR(62)),"&lt;/routeDistribution&gt;"))</f>
        <v/>
      </c>
    </row>
    <row r="5099" spans="1:5" x14ac:dyDescent="0.25">
      <c r="A5099" t="s">
        <v>1907</v>
      </c>
      <c r="B5099" t="s">
        <v>1112</v>
      </c>
      <c r="E5099" t="str">
        <f>IF(OR(E5098="&lt;/routeDistribution&gt;",E5098=""),"",IFERROR(_xlfn.CONCAT(VLOOKUP(BF57,Route_Column!#REF!,2,FALSE),CHAR(34)," probability=",CHAR(34),1/BF$4,CHAR(34),CHAR(47),CHAR(62)),"&lt;/routeDistribution&gt;"))</f>
        <v/>
      </c>
    </row>
    <row r="5100" spans="1:5" x14ac:dyDescent="0.25">
      <c r="A5100" t="s">
        <v>1907</v>
      </c>
      <c r="B5100" t="s">
        <v>1133</v>
      </c>
      <c r="E5100" t="str">
        <f>IF(OR(E5099="&lt;/routeDistribution&gt;",E5099=""),"",IFERROR(_xlfn.CONCAT(VLOOKUP(BF58,Route_Column!#REF!,2,FALSE),CHAR(34)," probability=",CHAR(34),1/BF$4,CHAR(34),CHAR(47),CHAR(62)),"&lt;/routeDistribution&gt;"))</f>
        <v/>
      </c>
    </row>
    <row r="5101" spans="1:5" x14ac:dyDescent="0.25">
      <c r="A5101" t="s">
        <v>1907</v>
      </c>
      <c r="B5101" t="s">
        <v>1157</v>
      </c>
      <c r="E5101" t="str">
        <f>IF(OR(E5100="&lt;/routeDistribution&gt;",E5100=""),"",IFERROR(_xlfn.CONCAT(VLOOKUP(BF59,Route_Column!#REF!,2,FALSE),CHAR(34)," probability=",CHAR(34),1/BF$4,CHAR(34),CHAR(47),CHAR(62)),"&lt;/routeDistribution&gt;"))</f>
        <v/>
      </c>
    </row>
    <row r="5102" spans="1:5" x14ac:dyDescent="0.25">
      <c r="A5102" t="s">
        <v>1907</v>
      </c>
      <c r="B5102" t="s">
        <v>1158</v>
      </c>
      <c r="E5102" t="str">
        <f>IF(OR(E5101="&lt;/routeDistribution&gt;",E5101=""),"",IFERROR(_xlfn.CONCAT(VLOOKUP(BF60,Route_Column!#REF!,2,FALSE),CHAR(34)," probability=",CHAR(34),1/BF$4,CHAR(34),CHAR(47),CHAR(62)),"&lt;/routeDistribution&gt;"))</f>
        <v/>
      </c>
    </row>
    <row r="5103" spans="1:5" x14ac:dyDescent="0.25">
      <c r="A5103" t="s">
        <v>1907</v>
      </c>
      <c r="B5103" t="s">
        <v>1159</v>
      </c>
      <c r="E5103" t="str">
        <f>IF(OR(E5102="&lt;/routeDistribution&gt;",E5102=""),"",IFERROR(_xlfn.CONCAT(VLOOKUP(BF61,Route_Column!#REF!,2,FALSE),CHAR(34)," probability=",CHAR(34),1/BF$4,CHAR(34),CHAR(47),CHAR(62)),"&lt;/routeDistribution&gt;"))</f>
        <v/>
      </c>
    </row>
    <row r="5104" spans="1:5" x14ac:dyDescent="0.25">
      <c r="A5104" t="s">
        <v>1908</v>
      </c>
      <c r="B5104" t="s">
        <v>1112</v>
      </c>
      <c r="E5104" t="str">
        <f>IF(OR(E5103="&lt;/routeDistribution&gt;",E5103=""),"",IFERROR(_xlfn.CONCAT(VLOOKUP(BF62,Route_Column!#REF!,2,FALSE),CHAR(34)," probability=",CHAR(34),1/BF$4,CHAR(34),CHAR(47),CHAR(62)),"&lt;/routeDistribution&gt;"))</f>
        <v/>
      </c>
    </row>
    <row r="5105" spans="1:5" x14ac:dyDescent="0.25">
      <c r="A5105" t="s">
        <v>1908</v>
      </c>
      <c r="B5105" t="s">
        <v>1133</v>
      </c>
      <c r="E5105" t="str">
        <f>IF(OR(E5104="&lt;/routeDistribution&gt;",E5104=""),"",IFERROR(_xlfn.CONCAT(VLOOKUP(BF63,Route_Column!#REF!,2,FALSE),CHAR(34)," probability=",CHAR(34),1/BF$4,CHAR(34),CHAR(47),CHAR(62)),"&lt;/routeDistribution&gt;"))</f>
        <v/>
      </c>
    </row>
    <row r="5106" spans="1:5" x14ac:dyDescent="0.25">
      <c r="A5106" t="s">
        <v>1908</v>
      </c>
      <c r="B5106" t="s">
        <v>1157</v>
      </c>
      <c r="E5106" t="s">
        <v>2686</v>
      </c>
    </row>
    <row r="5107" spans="1:5" x14ac:dyDescent="0.25">
      <c r="A5107" t="s">
        <v>1908</v>
      </c>
      <c r="B5107" t="s">
        <v>1158</v>
      </c>
    </row>
    <row r="5108" spans="1:5" x14ac:dyDescent="0.25">
      <c r="A5108" t="s">
        <v>1908</v>
      </c>
      <c r="B5108" t="s">
        <v>1159</v>
      </c>
    </row>
    <row r="5109" spans="1:5" x14ac:dyDescent="0.25">
      <c r="A5109" t="s">
        <v>1909</v>
      </c>
      <c r="B5109" t="s">
        <v>1112</v>
      </c>
      <c r="E5109" t="str">
        <f>_xlfn.CONCAT($E$1,BE$2,$F$1)</f>
        <v>&lt;routeDistribution id="38th-Spruce-to-Walnut-NB-2012-RouteProbe"&gt;</v>
      </c>
    </row>
    <row r="5110" spans="1:5" x14ac:dyDescent="0.25">
      <c r="A5110" t="s">
        <v>1909</v>
      </c>
      <c r="B5110" t="s">
        <v>1157</v>
      </c>
      <c r="E5110" t="str">
        <f>IF(OR(E5109="&lt;/routeDistribution&gt;",E5109=""),"",IFERROR(_xlfn.CONCAT(VLOOKUP(BE5,Route_Column!#REF!,2,FALSE),CHAR(34)," probability=",CHAR(34),1/BE$4,CHAR(34),CHAR(47),CHAR(62)),"&lt;/routeDistribution&gt;"))</f>
        <v>&lt;/routeDistribution&gt;</v>
      </c>
    </row>
    <row r="5111" spans="1:5" x14ac:dyDescent="0.25">
      <c r="A5111" t="s">
        <v>1909</v>
      </c>
      <c r="B5111" t="s">
        <v>1158</v>
      </c>
      <c r="E5111" t="str">
        <f>IF(OR(E5110="&lt;/routeDistribution&gt;",E5110=""),"",IFERROR(_xlfn.CONCAT(VLOOKUP(BE6,Route_Column!#REF!,2,FALSE),CHAR(34)," probability=",CHAR(34),1/BE$4,CHAR(34),CHAR(47),CHAR(62)),"&lt;/routeDistribution&gt;"))</f>
        <v/>
      </c>
    </row>
    <row r="5112" spans="1:5" x14ac:dyDescent="0.25">
      <c r="A5112" t="s">
        <v>1909</v>
      </c>
      <c r="B5112" t="s">
        <v>1159</v>
      </c>
      <c r="E5112" t="str">
        <f>IF(OR(E5111="&lt;/routeDistribution&gt;",E5111=""),"",IFERROR(_xlfn.CONCAT(VLOOKUP(BE7,Route_Column!#REF!,2,FALSE),CHAR(34)," probability=",CHAR(34),1/BE$4,CHAR(34),CHAR(47),CHAR(62)),"&lt;/routeDistribution&gt;"))</f>
        <v/>
      </c>
    </row>
    <row r="5113" spans="1:5" x14ac:dyDescent="0.25">
      <c r="A5113" t="s">
        <v>2205</v>
      </c>
      <c r="B5113" t="s">
        <v>1160</v>
      </c>
      <c r="E5113" t="str">
        <f>IF(OR(E5112="&lt;/routeDistribution&gt;",E5112=""),"",IFERROR(_xlfn.CONCAT(VLOOKUP(BE8,Route_Column!#REF!,2,FALSE),CHAR(34)," probability=",CHAR(34),1/BE$4,CHAR(34),CHAR(47),CHAR(62)),"&lt;/routeDistribution&gt;"))</f>
        <v/>
      </c>
    </row>
    <row r="5114" spans="1:5" x14ac:dyDescent="0.25">
      <c r="A5114" t="s">
        <v>2205</v>
      </c>
      <c r="B5114" t="s">
        <v>1161</v>
      </c>
      <c r="E5114" t="str">
        <f>IF(OR(E5113="&lt;/routeDistribution&gt;",E5113=""),"",IFERROR(_xlfn.CONCAT(VLOOKUP(BE9,Route_Column!#REF!,2,FALSE),CHAR(34)," probability=",CHAR(34),1/BE$4,CHAR(34),CHAR(47),CHAR(62)),"&lt;/routeDistribution&gt;"))</f>
        <v/>
      </c>
    </row>
    <row r="5115" spans="1:5" x14ac:dyDescent="0.25">
      <c r="A5115" t="s">
        <v>2205</v>
      </c>
      <c r="B5115" t="s">
        <v>1162</v>
      </c>
      <c r="E5115" t="str">
        <f>IF(OR(E5114="&lt;/routeDistribution&gt;",E5114=""),"",IFERROR(_xlfn.CONCAT(VLOOKUP(BE10,Route_Column!#REF!,2,FALSE),CHAR(34)," probability=",CHAR(34),1/BE$4,CHAR(34),CHAR(47),CHAR(62)),"&lt;/routeDistribution&gt;"))</f>
        <v/>
      </c>
    </row>
    <row r="5116" spans="1:5" x14ac:dyDescent="0.25">
      <c r="A5116" t="s">
        <v>2205</v>
      </c>
      <c r="B5116" t="s">
        <v>1163</v>
      </c>
      <c r="E5116" t="str">
        <f>IF(OR(E5115="&lt;/routeDistribution&gt;",E5115=""),"",IFERROR(_xlfn.CONCAT(VLOOKUP(BE11,Route_Column!#REF!,2,FALSE),CHAR(34)," probability=",CHAR(34),1/BE$4,CHAR(34),CHAR(47),CHAR(62)),"&lt;/routeDistribution&gt;"))</f>
        <v/>
      </c>
    </row>
    <row r="5117" spans="1:5" x14ac:dyDescent="0.25">
      <c r="A5117" t="s">
        <v>2205</v>
      </c>
      <c r="B5117" t="s">
        <v>1164</v>
      </c>
      <c r="E5117" t="str">
        <f>IF(OR(E5116="&lt;/routeDistribution&gt;",E5116=""),"",IFERROR(_xlfn.CONCAT(VLOOKUP(BE12,Route_Column!#REF!,2,FALSE),CHAR(34)," probability=",CHAR(34),1/BE$4,CHAR(34),CHAR(47),CHAR(62)),"&lt;/routeDistribution&gt;"))</f>
        <v/>
      </c>
    </row>
    <row r="5118" spans="1:5" x14ac:dyDescent="0.25">
      <c r="A5118" t="s">
        <v>2205</v>
      </c>
      <c r="B5118" t="s">
        <v>1165</v>
      </c>
      <c r="E5118" t="str">
        <f>IF(OR(E5117="&lt;/routeDistribution&gt;",E5117=""),"",IFERROR(_xlfn.CONCAT(VLOOKUP(BE13,Route_Column!#REF!,2,FALSE),CHAR(34)," probability=",CHAR(34),1/BE$4,CHAR(34),CHAR(47),CHAR(62)),"&lt;/routeDistribution&gt;"))</f>
        <v/>
      </c>
    </row>
    <row r="5119" spans="1:5" x14ac:dyDescent="0.25">
      <c r="A5119" t="s">
        <v>2206</v>
      </c>
      <c r="B5119" t="s">
        <v>1160</v>
      </c>
      <c r="E5119" t="str">
        <f>IF(OR(E5118="&lt;/routeDistribution&gt;",E5118=""),"",IFERROR(_xlfn.CONCAT(VLOOKUP(BE14,Route_Column!#REF!,2,FALSE),CHAR(34)," probability=",CHAR(34),1/BE$4,CHAR(34),CHAR(47),CHAR(62)),"&lt;/routeDistribution&gt;"))</f>
        <v/>
      </c>
    </row>
    <row r="5120" spans="1:5" x14ac:dyDescent="0.25">
      <c r="A5120" t="s">
        <v>2206</v>
      </c>
      <c r="B5120" t="s">
        <v>1161</v>
      </c>
      <c r="E5120" t="str">
        <f>IF(OR(E5119="&lt;/routeDistribution&gt;",E5119=""),"",IFERROR(_xlfn.CONCAT(VLOOKUP(BE15,Route_Column!#REF!,2,FALSE),CHAR(34)," probability=",CHAR(34),1/BE$4,CHAR(34),CHAR(47),CHAR(62)),"&lt;/routeDistribution&gt;"))</f>
        <v/>
      </c>
    </row>
    <row r="5121" spans="1:5" x14ac:dyDescent="0.25">
      <c r="A5121" t="s">
        <v>2206</v>
      </c>
      <c r="B5121" t="s">
        <v>1162</v>
      </c>
      <c r="E5121" t="str">
        <f>IF(OR(E5120="&lt;/routeDistribution&gt;",E5120=""),"",IFERROR(_xlfn.CONCAT(VLOOKUP(BE16,Route_Column!#REF!,2,FALSE),CHAR(34)," probability=",CHAR(34),1/BE$4,CHAR(34),CHAR(47),CHAR(62)),"&lt;/routeDistribution&gt;"))</f>
        <v/>
      </c>
    </row>
    <row r="5122" spans="1:5" x14ac:dyDescent="0.25">
      <c r="A5122" t="s">
        <v>2206</v>
      </c>
      <c r="B5122" t="s">
        <v>1163</v>
      </c>
      <c r="E5122" t="str">
        <f>IF(OR(E5121="&lt;/routeDistribution&gt;",E5121=""),"",IFERROR(_xlfn.CONCAT(VLOOKUP(BE17,Route_Column!#REF!,2,FALSE),CHAR(34)," probability=",CHAR(34),1/BE$4,CHAR(34),CHAR(47),CHAR(62)),"&lt;/routeDistribution&gt;"))</f>
        <v/>
      </c>
    </row>
    <row r="5123" spans="1:5" x14ac:dyDescent="0.25">
      <c r="A5123" t="s">
        <v>2206</v>
      </c>
      <c r="B5123" t="s">
        <v>1164</v>
      </c>
      <c r="E5123" t="str">
        <f>IF(OR(E5122="&lt;/routeDistribution&gt;",E5122=""),"",IFERROR(_xlfn.CONCAT(VLOOKUP(BE18,Route_Column!#REF!,2,FALSE),CHAR(34)," probability=",CHAR(34),1/BE$4,CHAR(34),CHAR(47),CHAR(62)),"&lt;/routeDistribution&gt;"))</f>
        <v/>
      </c>
    </row>
    <row r="5124" spans="1:5" x14ac:dyDescent="0.25">
      <c r="A5124" t="s">
        <v>2206</v>
      </c>
      <c r="B5124" t="s">
        <v>1165</v>
      </c>
      <c r="E5124" t="str">
        <f>IF(OR(E5123="&lt;/routeDistribution&gt;",E5123=""),"",IFERROR(_xlfn.CONCAT(VLOOKUP(BE19,Route_Column!#REF!,2,FALSE),CHAR(34)," probability=",CHAR(34),1/BE$4,CHAR(34),CHAR(47),CHAR(62)),"&lt;/routeDistribution&gt;"))</f>
        <v/>
      </c>
    </row>
    <row r="5125" spans="1:5" x14ac:dyDescent="0.25">
      <c r="A5125" t="s">
        <v>2207</v>
      </c>
      <c r="B5125" t="s">
        <v>1160</v>
      </c>
      <c r="E5125" t="str">
        <f>IF(OR(E5124="&lt;/routeDistribution&gt;",E5124=""),"",IFERROR(_xlfn.CONCAT(VLOOKUP(BE20,Route_Column!#REF!,2,FALSE),CHAR(34)," probability=",CHAR(34),1/BE$4,CHAR(34),CHAR(47),CHAR(62)),"&lt;/routeDistribution&gt;"))</f>
        <v/>
      </c>
    </row>
    <row r="5126" spans="1:5" x14ac:dyDescent="0.25">
      <c r="A5126" t="s">
        <v>2207</v>
      </c>
      <c r="B5126" t="s">
        <v>1161</v>
      </c>
      <c r="E5126" t="str">
        <f>IF(OR(E5125="&lt;/routeDistribution&gt;",E5125=""),"",IFERROR(_xlfn.CONCAT(VLOOKUP(BE21,Route_Column!#REF!,2,FALSE),CHAR(34)," probability=",CHAR(34),1/BE$4,CHAR(34),CHAR(47),CHAR(62)),"&lt;/routeDistribution&gt;"))</f>
        <v/>
      </c>
    </row>
    <row r="5127" spans="1:5" x14ac:dyDescent="0.25">
      <c r="A5127" t="s">
        <v>2207</v>
      </c>
      <c r="B5127" t="s">
        <v>1162</v>
      </c>
      <c r="E5127" t="str">
        <f>IF(OR(E5126="&lt;/routeDistribution&gt;",E5126=""),"",IFERROR(_xlfn.CONCAT(VLOOKUP(BE22,Route_Column!#REF!,2,FALSE),CHAR(34)," probability=",CHAR(34),1/BE$4,CHAR(34),CHAR(47),CHAR(62)),"&lt;/routeDistribution&gt;"))</f>
        <v/>
      </c>
    </row>
    <row r="5128" spans="1:5" x14ac:dyDescent="0.25">
      <c r="A5128" t="s">
        <v>2207</v>
      </c>
      <c r="B5128" t="s">
        <v>1163</v>
      </c>
      <c r="E5128" t="str">
        <f>IF(OR(E5127="&lt;/routeDistribution&gt;",E5127=""),"",IFERROR(_xlfn.CONCAT(VLOOKUP(BE23,Route_Column!#REF!,2,FALSE),CHAR(34)," probability=",CHAR(34),1/BE$4,CHAR(34),CHAR(47),CHAR(62)),"&lt;/routeDistribution&gt;"))</f>
        <v/>
      </c>
    </row>
    <row r="5129" spans="1:5" x14ac:dyDescent="0.25">
      <c r="A5129" t="s">
        <v>2207</v>
      </c>
      <c r="B5129" t="s">
        <v>1164</v>
      </c>
      <c r="E5129" t="str">
        <f>IF(OR(E5128="&lt;/routeDistribution&gt;",E5128=""),"",IFERROR(_xlfn.CONCAT(VLOOKUP(BE24,Route_Column!#REF!,2,FALSE),CHAR(34)," probability=",CHAR(34),1/BE$4,CHAR(34),CHAR(47),CHAR(62)),"&lt;/routeDistribution&gt;"))</f>
        <v/>
      </c>
    </row>
    <row r="5130" spans="1:5" x14ac:dyDescent="0.25">
      <c r="A5130" t="s">
        <v>2207</v>
      </c>
      <c r="B5130" t="s">
        <v>1165</v>
      </c>
      <c r="E5130" t="str">
        <f>IF(OR(E5129="&lt;/routeDistribution&gt;",E5129=""),"",IFERROR(_xlfn.CONCAT(VLOOKUP(BE25,Route_Column!#REF!,2,FALSE),CHAR(34)," probability=",CHAR(34),1/BE$4,CHAR(34),CHAR(47),CHAR(62)),"&lt;/routeDistribution&gt;"))</f>
        <v/>
      </c>
    </row>
    <row r="5131" spans="1:5" x14ac:dyDescent="0.25">
      <c r="A5131" s="11" t="s">
        <v>1457</v>
      </c>
      <c r="B5131" t="s">
        <v>1090</v>
      </c>
      <c r="E5131" t="str">
        <f>IF(OR(E5130="&lt;/routeDistribution&gt;",E5130=""),"",IFERROR(_xlfn.CONCAT(VLOOKUP(BE26,Route_Column!#REF!,2,FALSE),CHAR(34)," probability=",CHAR(34),1/BE$4,CHAR(34),CHAR(47),CHAR(62)),"&lt;/routeDistribution&gt;"))</f>
        <v/>
      </c>
    </row>
    <row r="5132" spans="1:5" x14ac:dyDescent="0.25">
      <c r="A5132" s="13" t="s">
        <v>1457</v>
      </c>
      <c r="B5132" t="s">
        <v>1091</v>
      </c>
      <c r="E5132" t="str">
        <f>IF(OR(E5131="&lt;/routeDistribution&gt;",E5131=""),"",IFERROR(_xlfn.CONCAT(VLOOKUP(BE27,Route_Column!#REF!,2,FALSE),CHAR(34)," probability=",CHAR(34),1/BE$4,CHAR(34),CHAR(47),CHAR(62)),"&lt;/routeDistribution&gt;"))</f>
        <v/>
      </c>
    </row>
    <row r="5133" spans="1:5" x14ac:dyDescent="0.25">
      <c r="A5133" t="s">
        <v>1457</v>
      </c>
      <c r="B5133" t="s">
        <v>1093</v>
      </c>
      <c r="E5133" t="str">
        <f>IF(OR(E5132="&lt;/routeDistribution&gt;",E5132=""),"",IFERROR(_xlfn.CONCAT(VLOOKUP(BE28,Route_Column!#REF!,2,FALSE),CHAR(34)," probability=",CHAR(34),1/BE$4,CHAR(34),CHAR(47),CHAR(62)),"&lt;/routeDistribution&gt;"))</f>
        <v/>
      </c>
    </row>
    <row r="5134" spans="1:5" x14ac:dyDescent="0.25">
      <c r="A5134" t="s">
        <v>1457</v>
      </c>
      <c r="B5134" t="s">
        <v>1097</v>
      </c>
      <c r="E5134" t="str">
        <f>IF(OR(E5133="&lt;/routeDistribution&gt;",E5133=""),"",IFERROR(_xlfn.CONCAT(VLOOKUP(BE29,Route_Column!#REF!,2,FALSE),CHAR(34)," probability=",CHAR(34),1/BE$4,CHAR(34),CHAR(47),CHAR(62)),"&lt;/routeDistribution&gt;"))</f>
        <v/>
      </c>
    </row>
    <row r="5135" spans="1:5" x14ac:dyDescent="0.25">
      <c r="A5135" t="s">
        <v>1457</v>
      </c>
      <c r="B5135" t="s">
        <v>1111</v>
      </c>
      <c r="E5135" t="str">
        <f>IF(OR(E5134="&lt;/routeDistribution&gt;",E5134=""),"",IFERROR(_xlfn.CONCAT(VLOOKUP(BE30,Route_Column!#REF!,2,FALSE),CHAR(34)," probability=",CHAR(34),1/BE$4,CHAR(34),CHAR(47),CHAR(62)),"&lt;/routeDistribution&gt;"))</f>
        <v/>
      </c>
    </row>
    <row r="5136" spans="1:5" x14ac:dyDescent="0.25">
      <c r="A5136" t="s">
        <v>1457</v>
      </c>
      <c r="B5136" t="s">
        <v>1132</v>
      </c>
      <c r="E5136" t="str">
        <f>IF(OR(E5135="&lt;/routeDistribution&gt;",E5135=""),"",IFERROR(_xlfn.CONCAT(VLOOKUP(BE31,Route_Column!#REF!,2,FALSE),CHAR(34)," probability=",CHAR(34),1/BE$4,CHAR(34),CHAR(47),CHAR(62)),"&lt;/routeDistribution&gt;"))</f>
        <v/>
      </c>
    </row>
    <row r="5137" spans="1:5" x14ac:dyDescent="0.25">
      <c r="A5137" t="s">
        <v>1457</v>
      </c>
      <c r="B5137" t="s">
        <v>1137</v>
      </c>
      <c r="E5137" t="str">
        <f>IF(OR(E5136="&lt;/routeDistribution&gt;",E5136=""),"",IFERROR(_xlfn.CONCAT(VLOOKUP(BE32,Route_Column!#REF!,2,FALSE),CHAR(34)," probability=",CHAR(34),1/BE$4,CHAR(34),CHAR(47),CHAR(62)),"&lt;/routeDistribution&gt;"))</f>
        <v/>
      </c>
    </row>
    <row r="5138" spans="1:5" x14ac:dyDescent="0.25">
      <c r="A5138" t="s">
        <v>1457</v>
      </c>
      <c r="B5138" t="s">
        <v>1156</v>
      </c>
      <c r="E5138" t="str">
        <f>IF(OR(E5137="&lt;/routeDistribution&gt;",E5137=""),"",IFERROR(_xlfn.CONCAT(VLOOKUP(BE33,Route_Column!#REF!,2,FALSE),CHAR(34)," probability=",CHAR(34),1/BE$4,CHAR(34),CHAR(47),CHAR(62)),"&lt;/routeDistribution&gt;"))</f>
        <v/>
      </c>
    </row>
    <row r="5139" spans="1:5" x14ac:dyDescent="0.25">
      <c r="A5139" t="s">
        <v>1457</v>
      </c>
      <c r="B5139" t="s">
        <v>1171</v>
      </c>
      <c r="E5139" t="str">
        <f>IF(OR(E5138="&lt;/routeDistribution&gt;",E5138=""),"",IFERROR(_xlfn.CONCAT(VLOOKUP(BE34,Route_Column!#REF!,2,FALSE),CHAR(34)," probability=",CHAR(34),1/BE$4,CHAR(34),CHAR(47),CHAR(62)),"&lt;/routeDistribution&gt;"))</f>
        <v/>
      </c>
    </row>
    <row r="5140" spans="1:5" x14ac:dyDescent="0.25">
      <c r="A5140" t="s">
        <v>1457</v>
      </c>
      <c r="B5140" t="s">
        <v>1177</v>
      </c>
      <c r="E5140" t="str">
        <f>IF(OR(E5139="&lt;/routeDistribution&gt;",E5139=""),"",IFERROR(_xlfn.CONCAT(VLOOKUP(BE35,Route_Column!#REF!,2,FALSE),CHAR(34)," probability=",CHAR(34),1/BE$4,CHAR(34),CHAR(47),CHAR(62)),"&lt;/routeDistribution&gt;"))</f>
        <v/>
      </c>
    </row>
    <row r="5141" spans="1:5" x14ac:dyDescent="0.25">
      <c r="A5141" t="s">
        <v>1457</v>
      </c>
      <c r="B5141" t="s">
        <v>1182</v>
      </c>
      <c r="E5141" t="str">
        <f>IF(OR(E5140="&lt;/routeDistribution&gt;",E5140=""),"",IFERROR(_xlfn.CONCAT(VLOOKUP(BE36,Route_Column!#REF!,2,FALSE),CHAR(34)," probability=",CHAR(34),1/BE$4,CHAR(34),CHAR(47),CHAR(62)),"&lt;/routeDistribution&gt;"))</f>
        <v/>
      </c>
    </row>
    <row r="5142" spans="1:5" x14ac:dyDescent="0.25">
      <c r="A5142" t="s">
        <v>1457</v>
      </c>
      <c r="B5142" t="s">
        <v>1184</v>
      </c>
      <c r="E5142" t="str">
        <f>IF(OR(E5141="&lt;/routeDistribution&gt;",E5141=""),"",IFERROR(_xlfn.CONCAT(VLOOKUP(BE37,Route_Column!#REF!,2,FALSE),CHAR(34)," probability=",CHAR(34),1/BE$4,CHAR(34),CHAR(47),CHAR(62)),"&lt;/routeDistribution&gt;"))</f>
        <v/>
      </c>
    </row>
    <row r="5143" spans="1:5" x14ac:dyDescent="0.25">
      <c r="A5143" t="s">
        <v>1457</v>
      </c>
      <c r="B5143" t="s">
        <v>1191</v>
      </c>
      <c r="E5143" t="str">
        <f>IF(OR(E5142="&lt;/routeDistribution&gt;",E5142=""),"",IFERROR(_xlfn.CONCAT(VLOOKUP(BE38,Route_Column!#REF!,2,FALSE),CHAR(34)," probability=",CHAR(34),1/BE$4,CHAR(34),CHAR(47),CHAR(62)),"&lt;/routeDistribution&gt;"))</f>
        <v/>
      </c>
    </row>
    <row r="5144" spans="1:5" x14ac:dyDescent="0.25">
      <c r="A5144" t="s">
        <v>1457</v>
      </c>
      <c r="B5144" t="s">
        <v>1203</v>
      </c>
      <c r="E5144" t="str">
        <f>IF(OR(E5143="&lt;/routeDistribution&gt;",E5143=""),"",IFERROR(_xlfn.CONCAT(VLOOKUP(BE39,Route_Column!#REF!,2,FALSE),CHAR(34)," probability=",CHAR(34),1/BE$4,CHAR(34),CHAR(47),CHAR(62)),"&lt;/routeDistribution&gt;"))</f>
        <v/>
      </c>
    </row>
    <row r="5145" spans="1:5" x14ac:dyDescent="0.25">
      <c r="A5145" t="s">
        <v>1457</v>
      </c>
      <c r="B5145" t="s">
        <v>1204</v>
      </c>
      <c r="E5145" t="str">
        <f>IF(OR(E5144="&lt;/routeDistribution&gt;",E5144=""),"",IFERROR(_xlfn.CONCAT(VLOOKUP(BE40,Route_Column!#REF!,2,FALSE),CHAR(34)," probability=",CHAR(34),1/BE$4,CHAR(34),CHAR(47),CHAR(62)),"&lt;/routeDistribution&gt;"))</f>
        <v/>
      </c>
    </row>
    <row r="5146" spans="1:5" x14ac:dyDescent="0.25">
      <c r="A5146" t="s">
        <v>1457</v>
      </c>
      <c r="B5146" t="s">
        <v>1213</v>
      </c>
      <c r="E5146" t="str">
        <f>IF(OR(E5145="&lt;/routeDistribution&gt;",E5145=""),"",IFERROR(_xlfn.CONCAT(VLOOKUP(BE41,Route_Column!#REF!,2,FALSE),CHAR(34)," probability=",CHAR(34),1/BE$4,CHAR(34),CHAR(47),CHAR(62)),"&lt;/routeDistribution&gt;"))</f>
        <v/>
      </c>
    </row>
    <row r="5147" spans="1:5" x14ac:dyDescent="0.25">
      <c r="A5147" t="s">
        <v>1457</v>
      </c>
      <c r="B5147" t="s">
        <v>1215</v>
      </c>
      <c r="E5147" t="str">
        <f>IF(OR(E5146="&lt;/routeDistribution&gt;",E5146=""),"",IFERROR(_xlfn.CONCAT(VLOOKUP(BE42,Route_Column!#REF!,2,FALSE),CHAR(34)," probability=",CHAR(34),1/BE$4,CHAR(34),CHAR(47),CHAR(62)),"&lt;/routeDistribution&gt;"))</f>
        <v/>
      </c>
    </row>
    <row r="5148" spans="1:5" x14ac:dyDescent="0.25">
      <c r="A5148" t="s">
        <v>1457</v>
      </c>
      <c r="B5148" t="s">
        <v>1216</v>
      </c>
      <c r="E5148" t="str">
        <f>IF(OR(E5147="&lt;/routeDistribution&gt;",E5147=""),"",IFERROR(_xlfn.CONCAT(VLOOKUP(BE43,Route_Column!#REF!,2,FALSE),CHAR(34)," probability=",CHAR(34),1/BE$4,CHAR(34),CHAR(47),CHAR(62)),"&lt;/routeDistribution&gt;"))</f>
        <v/>
      </c>
    </row>
    <row r="5149" spans="1:5" x14ac:dyDescent="0.25">
      <c r="A5149" t="s">
        <v>1457</v>
      </c>
      <c r="B5149" t="s">
        <v>1217</v>
      </c>
      <c r="E5149" t="str">
        <f>IF(OR(E5148="&lt;/routeDistribution&gt;",E5148=""),"",IFERROR(_xlfn.CONCAT(VLOOKUP(BE44,Route_Column!#REF!,2,FALSE),CHAR(34)," probability=",CHAR(34),1/BE$4,CHAR(34),CHAR(47),CHAR(62)),"&lt;/routeDistribution&gt;"))</f>
        <v/>
      </c>
    </row>
    <row r="5150" spans="1:5" x14ac:dyDescent="0.25">
      <c r="A5150" t="s">
        <v>1457</v>
      </c>
      <c r="B5150" t="s">
        <v>1218</v>
      </c>
      <c r="E5150" t="str">
        <f>IF(OR(E5149="&lt;/routeDistribution&gt;",E5149=""),"",IFERROR(_xlfn.CONCAT(VLOOKUP(BE45,Route_Column!#REF!,2,FALSE),CHAR(34)," probability=",CHAR(34),1/BE$4,CHAR(34),CHAR(47),CHAR(62)),"&lt;/routeDistribution&gt;"))</f>
        <v/>
      </c>
    </row>
    <row r="5151" spans="1:5" x14ac:dyDescent="0.25">
      <c r="A5151" t="s">
        <v>1457</v>
      </c>
      <c r="B5151" t="s">
        <v>1220</v>
      </c>
      <c r="E5151" t="str">
        <f>IF(OR(E5150="&lt;/routeDistribution&gt;",E5150=""),"",IFERROR(_xlfn.CONCAT(VLOOKUP(BE46,Route_Column!#REF!,2,FALSE),CHAR(34)," probability=",CHAR(34),1/BE$4,CHAR(34),CHAR(47),CHAR(62)),"&lt;/routeDistribution&gt;"))</f>
        <v/>
      </c>
    </row>
    <row r="5152" spans="1:5" x14ac:dyDescent="0.25">
      <c r="A5152" t="s">
        <v>1457</v>
      </c>
      <c r="B5152" t="s">
        <v>1225</v>
      </c>
      <c r="E5152" t="str">
        <f>IF(OR(E5151="&lt;/routeDistribution&gt;",E5151=""),"",IFERROR(_xlfn.CONCAT(VLOOKUP(BE47,Route_Column!#REF!,2,FALSE),CHAR(34)," probability=",CHAR(34),1/BE$4,CHAR(34),CHAR(47),CHAR(62)),"&lt;/routeDistribution&gt;"))</f>
        <v/>
      </c>
    </row>
    <row r="5153" spans="1:5" x14ac:dyDescent="0.25">
      <c r="A5153" t="s">
        <v>1457</v>
      </c>
      <c r="B5153" t="s">
        <v>1228</v>
      </c>
      <c r="E5153" t="str">
        <f>IF(OR(E5152="&lt;/routeDistribution&gt;",E5152=""),"",IFERROR(_xlfn.CONCAT(VLOOKUP(BE48,Route_Column!#REF!,2,FALSE),CHAR(34)," probability=",CHAR(34),1/BE$4,CHAR(34),CHAR(47),CHAR(62)),"&lt;/routeDistribution&gt;"))</f>
        <v/>
      </c>
    </row>
    <row r="5154" spans="1:5" x14ac:dyDescent="0.25">
      <c r="A5154" t="s">
        <v>1457</v>
      </c>
      <c r="B5154" t="s">
        <v>1229</v>
      </c>
      <c r="E5154" t="str">
        <f>IF(OR(E5153="&lt;/routeDistribution&gt;",E5153=""),"",IFERROR(_xlfn.CONCAT(VLOOKUP(BE49,Route_Column!#REF!,2,FALSE),CHAR(34)," probability=",CHAR(34),1/BE$4,CHAR(34),CHAR(47),CHAR(62)),"&lt;/routeDistribution&gt;"))</f>
        <v/>
      </c>
    </row>
    <row r="5155" spans="1:5" x14ac:dyDescent="0.25">
      <c r="A5155" t="s">
        <v>1457</v>
      </c>
      <c r="B5155" t="s">
        <v>1230</v>
      </c>
      <c r="E5155" t="str">
        <f>IF(OR(E5154="&lt;/routeDistribution&gt;",E5154=""),"",IFERROR(_xlfn.CONCAT(VLOOKUP(BE50,Route_Column!#REF!,2,FALSE),CHAR(34)," probability=",CHAR(34),1/BE$4,CHAR(34),CHAR(47),CHAR(62)),"&lt;/routeDistribution&gt;"))</f>
        <v/>
      </c>
    </row>
    <row r="5156" spans="1:5" x14ac:dyDescent="0.25">
      <c r="A5156" t="s">
        <v>1457</v>
      </c>
      <c r="B5156" t="s">
        <v>1251</v>
      </c>
      <c r="E5156" t="str">
        <f>IF(OR(E5155="&lt;/routeDistribution&gt;",E5155=""),"",IFERROR(_xlfn.CONCAT(VLOOKUP(BE51,Route_Column!#REF!,2,FALSE),CHAR(34)," probability=",CHAR(34),1/BE$4,CHAR(34),CHAR(47),CHAR(62)),"&lt;/routeDistribution&gt;"))</f>
        <v/>
      </c>
    </row>
    <row r="5157" spans="1:5" x14ac:dyDescent="0.25">
      <c r="A5157" t="s">
        <v>1457</v>
      </c>
      <c r="B5157" t="s">
        <v>1253</v>
      </c>
      <c r="E5157" t="str">
        <f>IF(OR(E5156="&lt;/routeDistribution&gt;",E5156=""),"",IFERROR(_xlfn.CONCAT(VLOOKUP(BE52,Route_Column!#REF!,2,FALSE),CHAR(34)," probability=",CHAR(34),1/BE$4,CHAR(34),CHAR(47),CHAR(62)),"&lt;/routeDistribution&gt;"))</f>
        <v/>
      </c>
    </row>
    <row r="5158" spans="1:5" x14ac:dyDescent="0.25">
      <c r="A5158" s="11" t="s">
        <v>1456</v>
      </c>
      <c r="B5158" t="s">
        <v>1090</v>
      </c>
      <c r="E5158" t="str">
        <f>IF(OR(E5157="&lt;/routeDistribution&gt;",E5157=""),"",IFERROR(_xlfn.CONCAT(VLOOKUP(BE53,Route_Column!#REF!,2,FALSE),CHAR(34)," probability=",CHAR(34),1/BE$4,CHAR(34),CHAR(47),CHAR(62)),"&lt;/routeDistribution&gt;"))</f>
        <v/>
      </c>
    </row>
    <row r="5159" spans="1:5" x14ac:dyDescent="0.25">
      <c r="A5159" s="13" t="s">
        <v>1456</v>
      </c>
      <c r="B5159" t="s">
        <v>1091</v>
      </c>
      <c r="E5159" t="str">
        <f>IF(OR(E5158="&lt;/routeDistribution&gt;",E5158=""),"",IFERROR(_xlfn.CONCAT(VLOOKUP(BE54,Route_Column!#REF!,2,FALSE),CHAR(34)," probability=",CHAR(34),1/BE$4,CHAR(34),CHAR(47),CHAR(62)),"&lt;/routeDistribution&gt;"))</f>
        <v/>
      </c>
    </row>
    <row r="5160" spans="1:5" x14ac:dyDescent="0.25">
      <c r="A5160" t="s">
        <v>1456</v>
      </c>
      <c r="B5160" t="s">
        <v>1093</v>
      </c>
      <c r="E5160" t="str">
        <f>IF(OR(E5159="&lt;/routeDistribution&gt;",E5159=""),"",IFERROR(_xlfn.CONCAT(VLOOKUP(BE55,Route_Column!#REF!,2,FALSE),CHAR(34)," probability=",CHAR(34),1/BE$4,CHAR(34),CHAR(47),CHAR(62)),"&lt;/routeDistribution&gt;"))</f>
        <v/>
      </c>
    </row>
    <row r="5161" spans="1:5" x14ac:dyDescent="0.25">
      <c r="A5161" t="s">
        <v>1456</v>
      </c>
      <c r="B5161" t="s">
        <v>1097</v>
      </c>
      <c r="E5161" t="str">
        <f>IF(OR(E5160="&lt;/routeDistribution&gt;",E5160=""),"",IFERROR(_xlfn.CONCAT(VLOOKUP(BE56,Route_Column!#REF!,2,FALSE),CHAR(34)," probability=",CHAR(34),1/BE$4,CHAR(34),CHAR(47),CHAR(62)),"&lt;/routeDistribution&gt;"))</f>
        <v/>
      </c>
    </row>
    <row r="5162" spans="1:5" x14ac:dyDescent="0.25">
      <c r="A5162" t="s">
        <v>1456</v>
      </c>
      <c r="B5162" t="s">
        <v>1111</v>
      </c>
      <c r="E5162" t="str">
        <f>IF(OR(E5161="&lt;/routeDistribution&gt;",E5161=""),"",IFERROR(_xlfn.CONCAT(VLOOKUP(BE57,Route_Column!#REF!,2,FALSE),CHAR(34)," probability=",CHAR(34),1/BE$4,CHAR(34),CHAR(47),CHAR(62)),"&lt;/routeDistribution&gt;"))</f>
        <v/>
      </c>
    </row>
    <row r="5163" spans="1:5" x14ac:dyDescent="0.25">
      <c r="A5163" t="s">
        <v>1456</v>
      </c>
      <c r="B5163" t="s">
        <v>1132</v>
      </c>
      <c r="E5163" t="str">
        <f>IF(OR(E5162="&lt;/routeDistribution&gt;",E5162=""),"",IFERROR(_xlfn.CONCAT(VLOOKUP(BE58,Route_Column!#REF!,2,FALSE),CHAR(34)," probability=",CHAR(34),1/BE$4,CHAR(34),CHAR(47),CHAR(62)),"&lt;/routeDistribution&gt;"))</f>
        <v/>
      </c>
    </row>
    <row r="5164" spans="1:5" x14ac:dyDescent="0.25">
      <c r="A5164" t="s">
        <v>1456</v>
      </c>
      <c r="B5164" t="s">
        <v>1137</v>
      </c>
      <c r="E5164" t="str">
        <f>IF(OR(E5163="&lt;/routeDistribution&gt;",E5163=""),"",IFERROR(_xlfn.CONCAT(VLOOKUP(BE59,Route_Column!#REF!,2,FALSE),CHAR(34)," probability=",CHAR(34),1/BE$4,CHAR(34),CHAR(47),CHAR(62)),"&lt;/routeDistribution&gt;"))</f>
        <v/>
      </c>
    </row>
    <row r="5165" spans="1:5" x14ac:dyDescent="0.25">
      <c r="A5165" t="s">
        <v>1456</v>
      </c>
      <c r="B5165" t="s">
        <v>1156</v>
      </c>
      <c r="E5165" t="str">
        <f>IF(OR(E5164="&lt;/routeDistribution&gt;",E5164=""),"",IFERROR(_xlfn.CONCAT(VLOOKUP(BE60,Route_Column!#REF!,2,FALSE),CHAR(34)," probability=",CHAR(34),1/BE$4,CHAR(34),CHAR(47),CHAR(62)),"&lt;/routeDistribution&gt;"))</f>
        <v/>
      </c>
    </row>
    <row r="5166" spans="1:5" x14ac:dyDescent="0.25">
      <c r="A5166" t="s">
        <v>1456</v>
      </c>
      <c r="B5166" t="s">
        <v>1171</v>
      </c>
      <c r="E5166" t="str">
        <f>IF(OR(E5165="&lt;/routeDistribution&gt;",E5165=""),"",IFERROR(_xlfn.CONCAT(VLOOKUP(BE61,Route_Column!#REF!,2,FALSE),CHAR(34)," probability=",CHAR(34),1/BE$4,CHAR(34),CHAR(47),CHAR(62)),"&lt;/routeDistribution&gt;"))</f>
        <v/>
      </c>
    </row>
    <row r="5167" spans="1:5" x14ac:dyDescent="0.25">
      <c r="A5167" t="s">
        <v>1456</v>
      </c>
      <c r="B5167" t="s">
        <v>1177</v>
      </c>
      <c r="E5167" t="str">
        <f>IF(OR(E5166="&lt;/routeDistribution&gt;",E5166=""),"",IFERROR(_xlfn.CONCAT(VLOOKUP(BE62,Route_Column!#REF!,2,FALSE),CHAR(34)," probability=",CHAR(34),1/BE$4,CHAR(34),CHAR(47),CHAR(62)),"&lt;/routeDistribution&gt;"))</f>
        <v/>
      </c>
    </row>
    <row r="5168" spans="1:5" x14ac:dyDescent="0.25">
      <c r="A5168" t="s">
        <v>1456</v>
      </c>
      <c r="B5168" t="s">
        <v>1182</v>
      </c>
      <c r="E5168" t="str">
        <f>IF(OR(E5167="&lt;/routeDistribution&gt;",E5167=""),"",IFERROR(_xlfn.CONCAT(VLOOKUP(BE63,Route_Column!#REF!,2,FALSE),CHAR(34)," probability=",CHAR(34),1/BE$4,CHAR(34),CHAR(47),CHAR(62)),"&lt;/routeDistribution&gt;"))</f>
        <v/>
      </c>
    </row>
    <row r="5169" spans="1:5" x14ac:dyDescent="0.25">
      <c r="A5169" t="s">
        <v>1456</v>
      </c>
      <c r="B5169" t="s">
        <v>1184</v>
      </c>
      <c r="E5169" t="s">
        <v>2686</v>
      </c>
    </row>
    <row r="5170" spans="1:5" x14ac:dyDescent="0.25">
      <c r="A5170" t="s">
        <v>1456</v>
      </c>
      <c r="B5170" t="s">
        <v>1191</v>
      </c>
    </row>
    <row r="5171" spans="1:5" x14ac:dyDescent="0.25">
      <c r="A5171" t="s">
        <v>1456</v>
      </c>
      <c r="B5171" t="s">
        <v>1203</v>
      </c>
    </row>
    <row r="5172" spans="1:5" x14ac:dyDescent="0.25">
      <c r="A5172" t="s">
        <v>1456</v>
      </c>
      <c r="B5172" t="s">
        <v>1204</v>
      </c>
      <c r="E5172" t="str">
        <f>_xlfn.CONCAT($E$1,BD$2,$F$1)</f>
        <v>&lt;routeDistribution id="SOUTHst-24th-to-23rd-EB-2012-RouteProbe"&gt;</v>
      </c>
    </row>
    <row r="5173" spans="1:5" x14ac:dyDescent="0.25">
      <c r="A5173" t="s">
        <v>1456</v>
      </c>
      <c r="B5173" t="s">
        <v>1213</v>
      </c>
      <c r="E5173" t="str">
        <f>IF(OR(E5172="&lt;/routeDistribution&gt;",E5172=""),"",IFERROR(_xlfn.CONCAT(VLOOKUP(BD5,Route_Column!#REF!,2,FALSE),CHAR(34)," probability=",CHAR(34),1/BD$4,CHAR(34),CHAR(47),CHAR(62)),"&lt;/routeDistribution&gt;"))</f>
        <v>&lt;/routeDistribution&gt;</v>
      </c>
    </row>
    <row r="5174" spans="1:5" x14ac:dyDescent="0.25">
      <c r="A5174" t="s">
        <v>1456</v>
      </c>
      <c r="B5174" t="s">
        <v>1215</v>
      </c>
      <c r="E5174" t="str">
        <f>IF(OR(E5173="&lt;/routeDistribution&gt;",E5173=""),"",IFERROR(_xlfn.CONCAT(VLOOKUP(BD6,Route_Column!#REF!,2,FALSE),CHAR(34)," probability=",CHAR(34),1/BD$4,CHAR(34),CHAR(47),CHAR(62)),"&lt;/routeDistribution&gt;"))</f>
        <v/>
      </c>
    </row>
    <row r="5175" spans="1:5" x14ac:dyDescent="0.25">
      <c r="A5175" t="s">
        <v>1456</v>
      </c>
      <c r="B5175" t="s">
        <v>1216</v>
      </c>
      <c r="E5175" t="str">
        <f>IF(OR(E5174="&lt;/routeDistribution&gt;",E5174=""),"",IFERROR(_xlfn.CONCAT(VLOOKUP(BD7,Route_Column!#REF!,2,FALSE),CHAR(34)," probability=",CHAR(34),1/BD$4,CHAR(34),CHAR(47),CHAR(62)),"&lt;/routeDistribution&gt;"))</f>
        <v/>
      </c>
    </row>
    <row r="5176" spans="1:5" x14ac:dyDescent="0.25">
      <c r="A5176" t="s">
        <v>1456</v>
      </c>
      <c r="B5176" t="s">
        <v>1217</v>
      </c>
      <c r="E5176" t="str">
        <f>IF(OR(E5175="&lt;/routeDistribution&gt;",E5175=""),"",IFERROR(_xlfn.CONCAT(VLOOKUP(BD8,Route_Column!#REF!,2,FALSE),CHAR(34)," probability=",CHAR(34),1/BD$4,CHAR(34),CHAR(47),CHAR(62)),"&lt;/routeDistribution&gt;"))</f>
        <v/>
      </c>
    </row>
    <row r="5177" spans="1:5" x14ac:dyDescent="0.25">
      <c r="A5177" t="s">
        <v>1456</v>
      </c>
      <c r="B5177" t="s">
        <v>1218</v>
      </c>
      <c r="E5177" t="str">
        <f>IF(OR(E5176="&lt;/routeDistribution&gt;",E5176=""),"",IFERROR(_xlfn.CONCAT(VLOOKUP(BD9,Route_Column!#REF!,2,FALSE),CHAR(34)," probability=",CHAR(34),1/BD$4,CHAR(34),CHAR(47),CHAR(62)),"&lt;/routeDistribution&gt;"))</f>
        <v/>
      </c>
    </row>
    <row r="5178" spans="1:5" x14ac:dyDescent="0.25">
      <c r="A5178" t="s">
        <v>1456</v>
      </c>
      <c r="B5178" t="s">
        <v>1220</v>
      </c>
      <c r="E5178" t="str">
        <f>IF(OR(E5177="&lt;/routeDistribution&gt;",E5177=""),"",IFERROR(_xlfn.CONCAT(VLOOKUP(BD10,Route_Column!#REF!,2,FALSE),CHAR(34)," probability=",CHAR(34),1/BD$4,CHAR(34),CHAR(47),CHAR(62)),"&lt;/routeDistribution&gt;"))</f>
        <v/>
      </c>
    </row>
    <row r="5179" spans="1:5" x14ac:dyDescent="0.25">
      <c r="A5179" t="s">
        <v>1456</v>
      </c>
      <c r="B5179" t="s">
        <v>1225</v>
      </c>
      <c r="E5179" t="str">
        <f>IF(OR(E5178="&lt;/routeDistribution&gt;",E5178=""),"",IFERROR(_xlfn.CONCAT(VLOOKUP(BD11,Route_Column!#REF!,2,FALSE),CHAR(34)," probability=",CHAR(34),1/BD$4,CHAR(34),CHAR(47),CHAR(62)),"&lt;/routeDistribution&gt;"))</f>
        <v/>
      </c>
    </row>
    <row r="5180" spans="1:5" x14ac:dyDescent="0.25">
      <c r="A5180" t="s">
        <v>1456</v>
      </c>
      <c r="B5180" t="s">
        <v>1228</v>
      </c>
      <c r="E5180" t="str">
        <f>IF(OR(E5179="&lt;/routeDistribution&gt;",E5179=""),"",IFERROR(_xlfn.CONCAT(VLOOKUP(BD12,Route_Column!#REF!,2,FALSE),CHAR(34)," probability=",CHAR(34),1/BD$4,CHAR(34),CHAR(47),CHAR(62)),"&lt;/routeDistribution&gt;"))</f>
        <v/>
      </c>
    </row>
    <row r="5181" spans="1:5" x14ac:dyDescent="0.25">
      <c r="A5181" t="s">
        <v>1456</v>
      </c>
      <c r="B5181" t="s">
        <v>1229</v>
      </c>
      <c r="E5181" t="str">
        <f>IF(OR(E5180="&lt;/routeDistribution&gt;",E5180=""),"",IFERROR(_xlfn.CONCAT(VLOOKUP(BD13,Route_Column!#REF!,2,FALSE),CHAR(34)," probability=",CHAR(34),1/BD$4,CHAR(34),CHAR(47),CHAR(62)),"&lt;/routeDistribution&gt;"))</f>
        <v/>
      </c>
    </row>
    <row r="5182" spans="1:5" x14ac:dyDescent="0.25">
      <c r="A5182" t="s">
        <v>1456</v>
      </c>
      <c r="B5182" t="s">
        <v>1230</v>
      </c>
      <c r="E5182" t="str">
        <f>IF(OR(E5181="&lt;/routeDistribution&gt;",E5181=""),"",IFERROR(_xlfn.CONCAT(VLOOKUP(BD14,Route_Column!#REF!,2,FALSE),CHAR(34)," probability=",CHAR(34),1/BD$4,CHAR(34),CHAR(47),CHAR(62)),"&lt;/routeDistribution&gt;"))</f>
        <v/>
      </c>
    </row>
    <row r="5183" spans="1:5" x14ac:dyDescent="0.25">
      <c r="A5183" t="s">
        <v>1456</v>
      </c>
      <c r="B5183" t="s">
        <v>1251</v>
      </c>
      <c r="E5183" t="str">
        <f>IF(OR(E5182="&lt;/routeDistribution&gt;",E5182=""),"",IFERROR(_xlfn.CONCAT(VLOOKUP(BD15,Route_Column!#REF!,2,FALSE),CHAR(34)," probability=",CHAR(34),1/BD$4,CHAR(34),CHAR(47),CHAR(62)),"&lt;/routeDistribution&gt;"))</f>
        <v/>
      </c>
    </row>
    <row r="5184" spans="1:5" x14ac:dyDescent="0.25">
      <c r="A5184" t="s">
        <v>1456</v>
      </c>
      <c r="B5184" t="s">
        <v>1253</v>
      </c>
      <c r="E5184" t="str">
        <f>IF(OR(E5183="&lt;/routeDistribution&gt;",E5183=""),"",IFERROR(_xlfn.CONCAT(VLOOKUP(BD16,Route_Column!#REF!,2,FALSE),CHAR(34)," probability=",CHAR(34),1/BD$4,CHAR(34),CHAR(47),CHAR(62)),"&lt;/routeDistribution&gt;"))</f>
        <v/>
      </c>
    </row>
    <row r="5185" spans="1:5" x14ac:dyDescent="0.25">
      <c r="A5185" s="11" t="s">
        <v>1455</v>
      </c>
      <c r="B5185" t="s">
        <v>1090</v>
      </c>
      <c r="E5185" t="str">
        <f>IF(OR(E5184="&lt;/routeDistribution&gt;",E5184=""),"",IFERROR(_xlfn.CONCAT(VLOOKUP(BD17,Route_Column!#REF!,2,FALSE),CHAR(34)," probability=",CHAR(34),1/BD$4,CHAR(34),CHAR(47),CHAR(62)),"&lt;/routeDistribution&gt;"))</f>
        <v/>
      </c>
    </row>
    <row r="5186" spans="1:5" x14ac:dyDescent="0.25">
      <c r="A5186" s="13" t="s">
        <v>1455</v>
      </c>
      <c r="B5186" t="s">
        <v>1091</v>
      </c>
      <c r="E5186" t="str">
        <f>IF(OR(E5185="&lt;/routeDistribution&gt;",E5185=""),"",IFERROR(_xlfn.CONCAT(VLOOKUP(BD18,Route_Column!#REF!,2,FALSE),CHAR(34)," probability=",CHAR(34),1/BD$4,CHAR(34),CHAR(47),CHAR(62)),"&lt;/routeDistribution&gt;"))</f>
        <v/>
      </c>
    </row>
    <row r="5187" spans="1:5" x14ac:dyDescent="0.25">
      <c r="A5187" t="s">
        <v>1455</v>
      </c>
      <c r="B5187" t="s">
        <v>1093</v>
      </c>
      <c r="E5187" t="str">
        <f>IF(OR(E5186="&lt;/routeDistribution&gt;",E5186=""),"",IFERROR(_xlfn.CONCAT(VLOOKUP(BD19,Route_Column!#REF!,2,FALSE),CHAR(34)," probability=",CHAR(34),1/BD$4,CHAR(34),CHAR(47),CHAR(62)),"&lt;/routeDistribution&gt;"))</f>
        <v/>
      </c>
    </row>
    <row r="5188" spans="1:5" x14ac:dyDescent="0.25">
      <c r="A5188" t="s">
        <v>1455</v>
      </c>
      <c r="B5188" t="s">
        <v>1097</v>
      </c>
      <c r="E5188" t="str">
        <f>IF(OR(E5187="&lt;/routeDistribution&gt;",E5187=""),"",IFERROR(_xlfn.CONCAT(VLOOKUP(BD20,Route_Column!#REF!,2,FALSE),CHAR(34)," probability=",CHAR(34),1/BD$4,CHAR(34),CHAR(47),CHAR(62)),"&lt;/routeDistribution&gt;"))</f>
        <v/>
      </c>
    </row>
    <row r="5189" spans="1:5" x14ac:dyDescent="0.25">
      <c r="A5189" t="s">
        <v>1455</v>
      </c>
      <c r="B5189" t="s">
        <v>1111</v>
      </c>
      <c r="E5189" t="str">
        <f>IF(OR(E5188="&lt;/routeDistribution&gt;",E5188=""),"",IFERROR(_xlfn.CONCAT(VLOOKUP(BD21,Route_Column!#REF!,2,FALSE),CHAR(34)," probability=",CHAR(34),1/BD$4,CHAR(34),CHAR(47),CHAR(62)),"&lt;/routeDistribution&gt;"))</f>
        <v/>
      </c>
    </row>
    <row r="5190" spans="1:5" x14ac:dyDescent="0.25">
      <c r="A5190" t="s">
        <v>1455</v>
      </c>
      <c r="B5190" t="s">
        <v>1132</v>
      </c>
      <c r="E5190" t="str">
        <f>IF(OR(E5189="&lt;/routeDistribution&gt;",E5189=""),"",IFERROR(_xlfn.CONCAT(VLOOKUP(BD22,Route_Column!#REF!,2,FALSE),CHAR(34)," probability=",CHAR(34),1/BD$4,CHAR(34),CHAR(47),CHAR(62)),"&lt;/routeDistribution&gt;"))</f>
        <v/>
      </c>
    </row>
    <row r="5191" spans="1:5" x14ac:dyDescent="0.25">
      <c r="A5191" t="s">
        <v>1455</v>
      </c>
      <c r="B5191" t="s">
        <v>1137</v>
      </c>
      <c r="E5191" t="str">
        <f>IF(OR(E5190="&lt;/routeDistribution&gt;",E5190=""),"",IFERROR(_xlfn.CONCAT(VLOOKUP(BD23,Route_Column!#REF!,2,FALSE),CHAR(34)," probability=",CHAR(34),1/BD$4,CHAR(34),CHAR(47),CHAR(62)),"&lt;/routeDistribution&gt;"))</f>
        <v/>
      </c>
    </row>
    <row r="5192" spans="1:5" x14ac:dyDescent="0.25">
      <c r="A5192" t="s">
        <v>1455</v>
      </c>
      <c r="B5192" t="s">
        <v>1156</v>
      </c>
      <c r="E5192" t="str">
        <f>IF(OR(E5191="&lt;/routeDistribution&gt;",E5191=""),"",IFERROR(_xlfn.CONCAT(VLOOKUP(BD24,Route_Column!#REF!,2,FALSE),CHAR(34)," probability=",CHAR(34),1/BD$4,CHAR(34),CHAR(47),CHAR(62)),"&lt;/routeDistribution&gt;"))</f>
        <v/>
      </c>
    </row>
    <row r="5193" spans="1:5" x14ac:dyDescent="0.25">
      <c r="A5193" t="s">
        <v>1455</v>
      </c>
      <c r="B5193" t="s">
        <v>1171</v>
      </c>
      <c r="E5193" t="str">
        <f>IF(OR(E5192="&lt;/routeDistribution&gt;",E5192=""),"",IFERROR(_xlfn.CONCAT(VLOOKUP(BD25,Route_Column!#REF!,2,FALSE),CHAR(34)," probability=",CHAR(34),1/BD$4,CHAR(34),CHAR(47),CHAR(62)),"&lt;/routeDistribution&gt;"))</f>
        <v/>
      </c>
    </row>
    <row r="5194" spans="1:5" x14ac:dyDescent="0.25">
      <c r="A5194" t="s">
        <v>1455</v>
      </c>
      <c r="B5194" t="s">
        <v>1177</v>
      </c>
      <c r="E5194" t="str">
        <f>IF(OR(E5193="&lt;/routeDistribution&gt;",E5193=""),"",IFERROR(_xlfn.CONCAT(VLOOKUP(BD26,Route_Column!#REF!,2,FALSE),CHAR(34)," probability=",CHAR(34),1/BD$4,CHAR(34),CHAR(47),CHAR(62)),"&lt;/routeDistribution&gt;"))</f>
        <v/>
      </c>
    </row>
    <row r="5195" spans="1:5" x14ac:dyDescent="0.25">
      <c r="A5195" t="s">
        <v>1455</v>
      </c>
      <c r="B5195" t="s">
        <v>1182</v>
      </c>
      <c r="E5195" t="str">
        <f>IF(OR(E5194="&lt;/routeDistribution&gt;",E5194=""),"",IFERROR(_xlfn.CONCAT(VLOOKUP(BD27,Route_Column!#REF!,2,FALSE),CHAR(34)," probability=",CHAR(34),1/BD$4,CHAR(34),CHAR(47),CHAR(62)),"&lt;/routeDistribution&gt;"))</f>
        <v/>
      </c>
    </row>
    <row r="5196" spans="1:5" x14ac:dyDescent="0.25">
      <c r="A5196" t="s">
        <v>1455</v>
      </c>
      <c r="B5196" t="s">
        <v>1184</v>
      </c>
      <c r="E5196" t="str">
        <f>IF(OR(E5195="&lt;/routeDistribution&gt;",E5195=""),"",IFERROR(_xlfn.CONCAT(VLOOKUP(BD28,Route_Column!#REF!,2,FALSE),CHAR(34)," probability=",CHAR(34),1/BD$4,CHAR(34),CHAR(47),CHAR(62)),"&lt;/routeDistribution&gt;"))</f>
        <v/>
      </c>
    </row>
    <row r="5197" spans="1:5" x14ac:dyDescent="0.25">
      <c r="A5197" t="s">
        <v>1455</v>
      </c>
      <c r="B5197" t="s">
        <v>1191</v>
      </c>
      <c r="E5197" t="str">
        <f>IF(OR(E5196="&lt;/routeDistribution&gt;",E5196=""),"",IFERROR(_xlfn.CONCAT(VLOOKUP(BD29,Route_Column!#REF!,2,FALSE),CHAR(34)," probability=",CHAR(34),1/BD$4,CHAR(34),CHAR(47),CHAR(62)),"&lt;/routeDistribution&gt;"))</f>
        <v/>
      </c>
    </row>
    <row r="5198" spans="1:5" x14ac:dyDescent="0.25">
      <c r="A5198" t="s">
        <v>1455</v>
      </c>
      <c r="B5198" t="s">
        <v>1203</v>
      </c>
      <c r="E5198" t="str">
        <f>IF(OR(E5197="&lt;/routeDistribution&gt;",E5197=""),"",IFERROR(_xlfn.CONCAT(VLOOKUP(BD30,Route_Column!#REF!,2,FALSE),CHAR(34)," probability=",CHAR(34),1/BD$4,CHAR(34),CHAR(47),CHAR(62)),"&lt;/routeDistribution&gt;"))</f>
        <v/>
      </c>
    </row>
    <row r="5199" spans="1:5" x14ac:dyDescent="0.25">
      <c r="A5199" t="s">
        <v>1455</v>
      </c>
      <c r="B5199" t="s">
        <v>1204</v>
      </c>
      <c r="E5199" t="str">
        <f>IF(OR(E5198="&lt;/routeDistribution&gt;",E5198=""),"",IFERROR(_xlfn.CONCAT(VLOOKUP(BD31,Route_Column!#REF!,2,FALSE),CHAR(34)," probability=",CHAR(34),1/BD$4,CHAR(34),CHAR(47),CHAR(62)),"&lt;/routeDistribution&gt;"))</f>
        <v/>
      </c>
    </row>
    <row r="5200" spans="1:5" x14ac:dyDescent="0.25">
      <c r="A5200" t="s">
        <v>1455</v>
      </c>
      <c r="B5200" t="s">
        <v>1213</v>
      </c>
      <c r="E5200" t="str">
        <f>IF(OR(E5199="&lt;/routeDistribution&gt;",E5199=""),"",IFERROR(_xlfn.CONCAT(VLOOKUP(BD32,Route_Column!#REF!,2,FALSE),CHAR(34)," probability=",CHAR(34),1/BD$4,CHAR(34),CHAR(47),CHAR(62)),"&lt;/routeDistribution&gt;"))</f>
        <v/>
      </c>
    </row>
    <row r="5201" spans="1:5" x14ac:dyDescent="0.25">
      <c r="A5201" t="s">
        <v>1455</v>
      </c>
      <c r="B5201" t="s">
        <v>1215</v>
      </c>
      <c r="E5201" t="str">
        <f>IF(OR(E5200="&lt;/routeDistribution&gt;",E5200=""),"",IFERROR(_xlfn.CONCAT(VLOOKUP(BD33,Route_Column!#REF!,2,FALSE),CHAR(34)," probability=",CHAR(34),1/BD$4,CHAR(34),CHAR(47),CHAR(62)),"&lt;/routeDistribution&gt;"))</f>
        <v/>
      </c>
    </row>
    <row r="5202" spans="1:5" x14ac:dyDescent="0.25">
      <c r="A5202" t="s">
        <v>1455</v>
      </c>
      <c r="B5202" t="s">
        <v>1216</v>
      </c>
      <c r="E5202" t="str">
        <f>IF(OR(E5201="&lt;/routeDistribution&gt;",E5201=""),"",IFERROR(_xlfn.CONCAT(VLOOKUP(BD34,Route_Column!#REF!,2,FALSE),CHAR(34)," probability=",CHAR(34),1/BD$4,CHAR(34),CHAR(47),CHAR(62)),"&lt;/routeDistribution&gt;"))</f>
        <v/>
      </c>
    </row>
    <row r="5203" spans="1:5" x14ac:dyDescent="0.25">
      <c r="A5203" t="s">
        <v>1455</v>
      </c>
      <c r="B5203" t="s">
        <v>1217</v>
      </c>
      <c r="E5203" t="str">
        <f>IF(OR(E5202="&lt;/routeDistribution&gt;",E5202=""),"",IFERROR(_xlfn.CONCAT(VLOOKUP(BD35,Route_Column!#REF!,2,FALSE),CHAR(34)," probability=",CHAR(34),1/BD$4,CHAR(34),CHAR(47),CHAR(62)),"&lt;/routeDistribution&gt;"))</f>
        <v/>
      </c>
    </row>
    <row r="5204" spans="1:5" x14ac:dyDescent="0.25">
      <c r="A5204" t="s">
        <v>1455</v>
      </c>
      <c r="B5204" t="s">
        <v>1218</v>
      </c>
      <c r="E5204" t="str">
        <f>IF(OR(E5203="&lt;/routeDistribution&gt;",E5203=""),"",IFERROR(_xlfn.CONCAT(VLOOKUP(BD36,Route_Column!#REF!,2,FALSE),CHAR(34)," probability=",CHAR(34),1/BD$4,CHAR(34),CHAR(47),CHAR(62)),"&lt;/routeDistribution&gt;"))</f>
        <v/>
      </c>
    </row>
    <row r="5205" spans="1:5" x14ac:dyDescent="0.25">
      <c r="A5205" t="s">
        <v>1455</v>
      </c>
      <c r="B5205" t="s">
        <v>1220</v>
      </c>
      <c r="E5205" t="str">
        <f>IF(OR(E5204="&lt;/routeDistribution&gt;",E5204=""),"",IFERROR(_xlfn.CONCAT(VLOOKUP(BD37,Route_Column!#REF!,2,FALSE),CHAR(34)," probability=",CHAR(34),1/BD$4,CHAR(34),CHAR(47),CHAR(62)),"&lt;/routeDistribution&gt;"))</f>
        <v/>
      </c>
    </row>
    <row r="5206" spans="1:5" x14ac:dyDescent="0.25">
      <c r="A5206" t="s">
        <v>1455</v>
      </c>
      <c r="B5206" t="s">
        <v>1225</v>
      </c>
      <c r="E5206" t="str">
        <f>IF(OR(E5205="&lt;/routeDistribution&gt;",E5205=""),"",IFERROR(_xlfn.CONCAT(VLOOKUP(BD38,Route_Column!#REF!,2,FALSE),CHAR(34)," probability=",CHAR(34),1/BD$4,CHAR(34),CHAR(47),CHAR(62)),"&lt;/routeDistribution&gt;"))</f>
        <v/>
      </c>
    </row>
    <row r="5207" spans="1:5" x14ac:dyDescent="0.25">
      <c r="A5207" t="s">
        <v>1455</v>
      </c>
      <c r="B5207" t="s">
        <v>1228</v>
      </c>
      <c r="E5207" t="str">
        <f>IF(OR(E5206="&lt;/routeDistribution&gt;",E5206=""),"",IFERROR(_xlfn.CONCAT(VLOOKUP(BD39,Route_Column!#REF!,2,FALSE),CHAR(34)," probability=",CHAR(34),1/BD$4,CHAR(34),CHAR(47),CHAR(62)),"&lt;/routeDistribution&gt;"))</f>
        <v/>
      </c>
    </row>
    <row r="5208" spans="1:5" x14ac:dyDescent="0.25">
      <c r="A5208" t="s">
        <v>1455</v>
      </c>
      <c r="B5208" t="s">
        <v>1229</v>
      </c>
      <c r="E5208" t="str">
        <f>IF(OR(E5207="&lt;/routeDistribution&gt;",E5207=""),"",IFERROR(_xlfn.CONCAT(VLOOKUP(BD40,Route_Column!#REF!,2,FALSE),CHAR(34)," probability=",CHAR(34),1/BD$4,CHAR(34),CHAR(47),CHAR(62)),"&lt;/routeDistribution&gt;"))</f>
        <v/>
      </c>
    </row>
    <row r="5209" spans="1:5" x14ac:dyDescent="0.25">
      <c r="A5209" t="s">
        <v>1455</v>
      </c>
      <c r="B5209" t="s">
        <v>1230</v>
      </c>
      <c r="E5209" t="str">
        <f>IF(OR(E5208="&lt;/routeDistribution&gt;",E5208=""),"",IFERROR(_xlfn.CONCAT(VLOOKUP(BD41,Route_Column!#REF!,2,FALSE),CHAR(34)," probability=",CHAR(34),1/BD$4,CHAR(34),CHAR(47),CHAR(62)),"&lt;/routeDistribution&gt;"))</f>
        <v/>
      </c>
    </row>
    <row r="5210" spans="1:5" x14ac:dyDescent="0.25">
      <c r="A5210" t="s">
        <v>1455</v>
      </c>
      <c r="B5210" t="s">
        <v>1251</v>
      </c>
      <c r="E5210" t="str">
        <f>IF(OR(E5209="&lt;/routeDistribution&gt;",E5209=""),"",IFERROR(_xlfn.CONCAT(VLOOKUP(BD42,Route_Column!#REF!,2,FALSE),CHAR(34)," probability=",CHAR(34),1/BD$4,CHAR(34),CHAR(47),CHAR(62)),"&lt;/routeDistribution&gt;"))</f>
        <v/>
      </c>
    </row>
    <row r="5211" spans="1:5" x14ac:dyDescent="0.25">
      <c r="A5211" t="s">
        <v>1455</v>
      </c>
      <c r="B5211" t="s">
        <v>1253</v>
      </c>
      <c r="E5211" t="str">
        <f>IF(OR(E5210="&lt;/routeDistribution&gt;",E5210=""),"",IFERROR(_xlfn.CONCAT(VLOOKUP(BD43,Route_Column!#REF!,2,FALSE),CHAR(34)," probability=",CHAR(34),1/BD$4,CHAR(34),CHAR(47),CHAR(62)),"&lt;/routeDistribution&gt;"))</f>
        <v/>
      </c>
    </row>
    <row r="5212" spans="1:5" x14ac:dyDescent="0.25">
      <c r="A5212" s="11" t="s">
        <v>1452</v>
      </c>
      <c r="B5212" t="s">
        <v>1090</v>
      </c>
      <c r="E5212" t="str">
        <f>IF(OR(E5211="&lt;/routeDistribution&gt;",E5211=""),"",IFERROR(_xlfn.CONCAT(VLOOKUP(BD44,Route_Column!#REF!,2,FALSE),CHAR(34)," probability=",CHAR(34),1/BD$4,CHAR(34),CHAR(47),CHAR(62)),"&lt;/routeDistribution&gt;"))</f>
        <v/>
      </c>
    </row>
    <row r="5213" spans="1:5" x14ac:dyDescent="0.25">
      <c r="A5213" t="s">
        <v>1452</v>
      </c>
      <c r="B5213" t="s">
        <v>1097</v>
      </c>
      <c r="E5213" t="str">
        <f>IF(OR(E5212="&lt;/routeDistribution&gt;",E5212=""),"",IFERROR(_xlfn.CONCAT(VLOOKUP(BD45,Route_Column!#REF!,2,FALSE),CHAR(34)," probability=",CHAR(34),1/BD$4,CHAR(34),CHAR(47),CHAR(62)),"&lt;/routeDistribution&gt;"))</f>
        <v/>
      </c>
    </row>
    <row r="5214" spans="1:5" x14ac:dyDescent="0.25">
      <c r="A5214" t="s">
        <v>1452</v>
      </c>
      <c r="B5214" t="s">
        <v>1111</v>
      </c>
      <c r="E5214" t="str">
        <f>IF(OR(E5213="&lt;/routeDistribution&gt;",E5213=""),"",IFERROR(_xlfn.CONCAT(VLOOKUP(BD46,Route_Column!#REF!,2,FALSE),CHAR(34)," probability=",CHAR(34),1/BD$4,CHAR(34),CHAR(47),CHAR(62)),"&lt;/routeDistribution&gt;"))</f>
        <v/>
      </c>
    </row>
    <row r="5215" spans="1:5" x14ac:dyDescent="0.25">
      <c r="A5215" t="s">
        <v>1452</v>
      </c>
      <c r="B5215" t="s">
        <v>1132</v>
      </c>
      <c r="E5215" t="str">
        <f>IF(OR(E5214="&lt;/routeDistribution&gt;",E5214=""),"",IFERROR(_xlfn.CONCAT(VLOOKUP(BD47,Route_Column!#REF!,2,FALSE),CHAR(34)," probability=",CHAR(34),1/BD$4,CHAR(34),CHAR(47),CHAR(62)),"&lt;/routeDistribution&gt;"))</f>
        <v/>
      </c>
    </row>
    <row r="5216" spans="1:5" x14ac:dyDescent="0.25">
      <c r="A5216" t="s">
        <v>1452</v>
      </c>
      <c r="B5216" t="s">
        <v>1137</v>
      </c>
      <c r="E5216" t="str">
        <f>IF(OR(E5215="&lt;/routeDistribution&gt;",E5215=""),"",IFERROR(_xlfn.CONCAT(VLOOKUP(BD48,Route_Column!#REF!,2,FALSE),CHAR(34)," probability=",CHAR(34),1/BD$4,CHAR(34),CHAR(47),CHAR(62)),"&lt;/routeDistribution&gt;"))</f>
        <v/>
      </c>
    </row>
    <row r="5217" spans="1:5" x14ac:dyDescent="0.25">
      <c r="A5217" t="s">
        <v>1452</v>
      </c>
      <c r="B5217" t="s">
        <v>1171</v>
      </c>
      <c r="E5217" t="str">
        <f>IF(OR(E5216="&lt;/routeDistribution&gt;",E5216=""),"",IFERROR(_xlfn.CONCAT(VLOOKUP(BD49,Route_Column!#REF!,2,FALSE),CHAR(34)," probability=",CHAR(34),1/BD$4,CHAR(34),CHAR(47),CHAR(62)),"&lt;/routeDistribution&gt;"))</f>
        <v/>
      </c>
    </row>
    <row r="5218" spans="1:5" x14ac:dyDescent="0.25">
      <c r="A5218" t="s">
        <v>1452</v>
      </c>
      <c r="B5218" t="s">
        <v>1182</v>
      </c>
      <c r="E5218" t="str">
        <f>IF(OR(E5217="&lt;/routeDistribution&gt;",E5217=""),"",IFERROR(_xlfn.CONCAT(VLOOKUP(BD50,Route_Column!#REF!,2,FALSE),CHAR(34)," probability=",CHAR(34),1/BD$4,CHAR(34),CHAR(47),CHAR(62)),"&lt;/routeDistribution&gt;"))</f>
        <v/>
      </c>
    </row>
    <row r="5219" spans="1:5" x14ac:dyDescent="0.25">
      <c r="A5219" t="s">
        <v>1452</v>
      </c>
      <c r="B5219" t="s">
        <v>1184</v>
      </c>
      <c r="E5219" t="str">
        <f>IF(OR(E5218="&lt;/routeDistribution&gt;",E5218=""),"",IFERROR(_xlfn.CONCAT(VLOOKUP(BD51,Route_Column!#REF!,2,FALSE),CHAR(34)," probability=",CHAR(34),1/BD$4,CHAR(34),CHAR(47),CHAR(62)),"&lt;/routeDistribution&gt;"))</f>
        <v/>
      </c>
    </row>
    <row r="5220" spans="1:5" x14ac:dyDescent="0.25">
      <c r="A5220" t="s">
        <v>1452</v>
      </c>
      <c r="B5220" t="s">
        <v>1191</v>
      </c>
      <c r="E5220" t="str">
        <f>IF(OR(E5219="&lt;/routeDistribution&gt;",E5219=""),"",IFERROR(_xlfn.CONCAT(VLOOKUP(BD52,Route_Column!#REF!,2,FALSE),CHAR(34)," probability=",CHAR(34),1/BD$4,CHAR(34),CHAR(47),CHAR(62)),"&lt;/routeDistribution&gt;"))</f>
        <v/>
      </c>
    </row>
    <row r="5221" spans="1:5" x14ac:dyDescent="0.25">
      <c r="A5221" t="s">
        <v>1452</v>
      </c>
      <c r="B5221" t="s">
        <v>1204</v>
      </c>
      <c r="E5221" t="str">
        <f>IF(OR(E5220="&lt;/routeDistribution&gt;",E5220=""),"",IFERROR(_xlfn.CONCAT(VLOOKUP(BD53,Route_Column!#REF!,2,FALSE),CHAR(34)," probability=",CHAR(34),1/BD$4,CHAR(34),CHAR(47),CHAR(62)),"&lt;/routeDistribution&gt;"))</f>
        <v/>
      </c>
    </row>
    <row r="5222" spans="1:5" x14ac:dyDescent="0.25">
      <c r="A5222" t="s">
        <v>1452</v>
      </c>
      <c r="B5222" t="s">
        <v>1213</v>
      </c>
      <c r="E5222" t="str">
        <f>IF(OR(E5221="&lt;/routeDistribution&gt;",E5221=""),"",IFERROR(_xlfn.CONCAT(VLOOKUP(BD54,Route_Column!#REF!,2,FALSE),CHAR(34)," probability=",CHAR(34),1/BD$4,CHAR(34),CHAR(47),CHAR(62)),"&lt;/routeDistribution&gt;"))</f>
        <v/>
      </c>
    </row>
    <row r="5223" spans="1:5" x14ac:dyDescent="0.25">
      <c r="A5223" t="s">
        <v>1452</v>
      </c>
      <c r="B5223" t="s">
        <v>1215</v>
      </c>
      <c r="E5223" t="str">
        <f>IF(OR(E5222="&lt;/routeDistribution&gt;",E5222=""),"",IFERROR(_xlfn.CONCAT(VLOOKUP(BD55,Route_Column!#REF!,2,FALSE),CHAR(34)," probability=",CHAR(34),1/BD$4,CHAR(34),CHAR(47),CHAR(62)),"&lt;/routeDistribution&gt;"))</f>
        <v/>
      </c>
    </row>
    <row r="5224" spans="1:5" x14ac:dyDescent="0.25">
      <c r="A5224" t="s">
        <v>1452</v>
      </c>
      <c r="B5224" t="s">
        <v>1217</v>
      </c>
      <c r="E5224" t="str">
        <f>IF(OR(E5223="&lt;/routeDistribution&gt;",E5223=""),"",IFERROR(_xlfn.CONCAT(VLOOKUP(BD56,Route_Column!#REF!,2,FALSE),CHAR(34)," probability=",CHAR(34),1/BD$4,CHAR(34),CHAR(47),CHAR(62)),"&lt;/routeDistribution&gt;"))</f>
        <v/>
      </c>
    </row>
    <row r="5225" spans="1:5" x14ac:dyDescent="0.25">
      <c r="A5225" t="s">
        <v>1452</v>
      </c>
      <c r="B5225" t="s">
        <v>1218</v>
      </c>
      <c r="E5225" t="str">
        <f>IF(OR(E5224="&lt;/routeDistribution&gt;",E5224=""),"",IFERROR(_xlfn.CONCAT(VLOOKUP(BD57,Route_Column!#REF!,2,FALSE),CHAR(34)," probability=",CHAR(34),1/BD$4,CHAR(34),CHAR(47),CHAR(62)),"&lt;/routeDistribution&gt;"))</f>
        <v/>
      </c>
    </row>
    <row r="5226" spans="1:5" x14ac:dyDescent="0.25">
      <c r="A5226" t="s">
        <v>1452</v>
      </c>
      <c r="B5226" t="s">
        <v>1225</v>
      </c>
      <c r="E5226" t="str">
        <f>IF(OR(E5225="&lt;/routeDistribution&gt;",E5225=""),"",IFERROR(_xlfn.CONCAT(VLOOKUP(BD58,Route_Column!#REF!,2,FALSE),CHAR(34)," probability=",CHAR(34),1/BD$4,CHAR(34),CHAR(47),CHAR(62)),"&lt;/routeDistribution&gt;"))</f>
        <v/>
      </c>
    </row>
    <row r="5227" spans="1:5" x14ac:dyDescent="0.25">
      <c r="A5227" t="s">
        <v>1452</v>
      </c>
      <c r="B5227" t="s">
        <v>1228</v>
      </c>
      <c r="E5227" t="str">
        <f>IF(OR(E5226="&lt;/routeDistribution&gt;",E5226=""),"",IFERROR(_xlfn.CONCAT(VLOOKUP(BD59,Route_Column!#REF!,2,FALSE),CHAR(34)," probability=",CHAR(34),1/BD$4,CHAR(34),CHAR(47),CHAR(62)),"&lt;/routeDistribution&gt;"))</f>
        <v/>
      </c>
    </row>
    <row r="5228" spans="1:5" x14ac:dyDescent="0.25">
      <c r="A5228" t="s">
        <v>1452</v>
      </c>
      <c r="B5228" t="s">
        <v>1230</v>
      </c>
      <c r="E5228" t="str">
        <f>IF(OR(E5227="&lt;/routeDistribution&gt;",E5227=""),"",IFERROR(_xlfn.CONCAT(VLOOKUP(BD60,Route_Column!#REF!,2,FALSE),CHAR(34)," probability=",CHAR(34),1/BD$4,CHAR(34),CHAR(47),CHAR(62)),"&lt;/routeDistribution&gt;"))</f>
        <v/>
      </c>
    </row>
    <row r="5229" spans="1:5" x14ac:dyDescent="0.25">
      <c r="A5229" t="s">
        <v>1452</v>
      </c>
      <c r="B5229" t="s">
        <v>1253</v>
      </c>
      <c r="E5229" t="str">
        <f>IF(OR(E5228="&lt;/routeDistribution&gt;",E5228=""),"",IFERROR(_xlfn.CONCAT(VLOOKUP(BD61,Route_Column!#REF!,2,FALSE),CHAR(34)," probability=",CHAR(34),1/BD$4,CHAR(34),CHAR(47),CHAR(62)),"&lt;/routeDistribution&gt;"))</f>
        <v/>
      </c>
    </row>
    <row r="5230" spans="1:5" x14ac:dyDescent="0.25">
      <c r="A5230" s="11" t="s">
        <v>1454</v>
      </c>
      <c r="B5230" t="s">
        <v>1090</v>
      </c>
      <c r="E5230" t="str">
        <f>IF(OR(E5229="&lt;/routeDistribution&gt;",E5229=""),"",IFERROR(_xlfn.CONCAT(VLOOKUP(BD62,Route_Column!#REF!,2,FALSE),CHAR(34)," probability=",CHAR(34),1/BD$4,CHAR(34),CHAR(47),CHAR(62)),"&lt;/routeDistribution&gt;"))</f>
        <v/>
      </c>
    </row>
    <row r="5231" spans="1:5" x14ac:dyDescent="0.25">
      <c r="A5231" t="s">
        <v>1454</v>
      </c>
      <c r="B5231" t="s">
        <v>1097</v>
      </c>
      <c r="E5231" t="str">
        <f>IF(OR(E5230="&lt;/routeDistribution&gt;",E5230=""),"",IFERROR(_xlfn.CONCAT(VLOOKUP(BD63,Route_Column!#REF!,2,FALSE),CHAR(34)," probability=",CHAR(34),1/BD$4,CHAR(34),CHAR(47),CHAR(62)),"&lt;/routeDistribution&gt;"))</f>
        <v/>
      </c>
    </row>
    <row r="5232" spans="1:5" x14ac:dyDescent="0.25">
      <c r="A5232" t="s">
        <v>1454</v>
      </c>
      <c r="B5232" t="s">
        <v>1111</v>
      </c>
      <c r="E5232" t="s">
        <v>2686</v>
      </c>
    </row>
    <row r="5233" spans="1:5" x14ac:dyDescent="0.25">
      <c r="A5233" t="s">
        <v>1454</v>
      </c>
      <c r="B5233" t="s">
        <v>1132</v>
      </c>
    </row>
    <row r="5234" spans="1:5" x14ac:dyDescent="0.25">
      <c r="A5234" t="s">
        <v>1454</v>
      </c>
      <c r="B5234" t="s">
        <v>1137</v>
      </c>
    </row>
    <row r="5235" spans="1:5" x14ac:dyDescent="0.25">
      <c r="A5235" t="s">
        <v>1454</v>
      </c>
      <c r="B5235" t="s">
        <v>1171</v>
      </c>
      <c r="E5235" t="str">
        <f>_xlfn.CONCAT($E$1,BC$2,$F$1)</f>
        <v>&lt;routeDistribution id="LOMBARD-23rd-to-24th-WB-2012-RouteProbe"&gt;</v>
      </c>
    </row>
    <row r="5236" spans="1:5" x14ac:dyDescent="0.25">
      <c r="A5236" t="s">
        <v>1454</v>
      </c>
      <c r="B5236" t="s">
        <v>1177</v>
      </c>
      <c r="E5236" t="str">
        <f>IF(OR(E5235="&lt;/routeDistribution&gt;",E5235=""),"",IFERROR(_xlfn.CONCAT(VLOOKUP(BC5,Route_Column!#REF!,2,FALSE),CHAR(34)," probability=",CHAR(34),1/BC$4,CHAR(34),CHAR(47),CHAR(62)),"&lt;/routeDistribution&gt;"))</f>
        <v>&lt;/routeDistribution&gt;</v>
      </c>
    </row>
    <row r="5237" spans="1:5" x14ac:dyDescent="0.25">
      <c r="A5237" t="s">
        <v>1454</v>
      </c>
      <c r="B5237" t="s">
        <v>1182</v>
      </c>
      <c r="E5237" t="str">
        <f>IF(OR(E5236="&lt;/routeDistribution&gt;",E5236=""),"",IFERROR(_xlfn.CONCAT(VLOOKUP(BC6,Route_Column!#REF!,2,FALSE),CHAR(34)," probability=",CHAR(34),1/BC$4,CHAR(34),CHAR(47),CHAR(62)),"&lt;/routeDistribution&gt;"))</f>
        <v/>
      </c>
    </row>
    <row r="5238" spans="1:5" x14ac:dyDescent="0.25">
      <c r="A5238" t="s">
        <v>1454</v>
      </c>
      <c r="B5238" t="s">
        <v>1184</v>
      </c>
      <c r="E5238" t="str">
        <f>IF(OR(E5237="&lt;/routeDistribution&gt;",E5237=""),"",IFERROR(_xlfn.CONCAT(VLOOKUP(BC7,Route_Column!#REF!,2,FALSE),CHAR(34)," probability=",CHAR(34),1/BC$4,CHAR(34),CHAR(47),CHAR(62)),"&lt;/routeDistribution&gt;"))</f>
        <v/>
      </c>
    </row>
    <row r="5239" spans="1:5" x14ac:dyDescent="0.25">
      <c r="A5239" t="s">
        <v>1454</v>
      </c>
      <c r="B5239" t="s">
        <v>1191</v>
      </c>
      <c r="E5239" t="str">
        <f>IF(OR(E5238="&lt;/routeDistribution&gt;",E5238=""),"",IFERROR(_xlfn.CONCAT(VLOOKUP(BC8,Route_Column!#REF!,2,FALSE),CHAR(34)," probability=",CHAR(34),1/BC$4,CHAR(34),CHAR(47),CHAR(62)),"&lt;/routeDistribution&gt;"))</f>
        <v/>
      </c>
    </row>
    <row r="5240" spans="1:5" x14ac:dyDescent="0.25">
      <c r="A5240" t="s">
        <v>1454</v>
      </c>
      <c r="B5240" t="s">
        <v>1203</v>
      </c>
      <c r="E5240" t="str">
        <f>IF(OR(E5239="&lt;/routeDistribution&gt;",E5239=""),"",IFERROR(_xlfn.CONCAT(VLOOKUP(BC9,Route_Column!#REF!,2,FALSE),CHAR(34)," probability=",CHAR(34),1/BC$4,CHAR(34),CHAR(47),CHAR(62)),"&lt;/routeDistribution&gt;"))</f>
        <v/>
      </c>
    </row>
    <row r="5241" spans="1:5" x14ac:dyDescent="0.25">
      <c r="A5241" t="s">
        <v>1454</v>
      </c>
      <c r="B5241" t="s">
        <v>1204</v>
      </c>
      <c r="E5241" t="str">
        <f>IF(OR(E5240="&lt;/routeDistribution&gt;",E5240=""),"",IFERROR(_xlfn.CONCAT(VLOOKUP(BC10,Route_Column!#REF!,2,FALSE),CHAR(34)," probability=",CHAR(34),1/BC$4,CHAR(34),CHAR(47),CHAR(62)),"&lt;/routeDistribution&gt;"))</f>
        <v/>
      </c>
    </row>
    <row r="5242" spans="1:5" x14ac:dyDescent="0.25">
      <c r="A5242" t="s">
        <v>1454</v>
      </c>
      <c r="B5242" t="s">
        <v>1213</v>
      </c>
      <c r="E5242" t="str">
        <f>IF(OR(E5241="&lt;/routeDistribution&gt;",E5241=""),"",IFERROR(_xlfn.CONCAT(VLOOKUP(BC11,Route_Column!#REF!,2,FALSE),CHAR(34)," probability=",CHAR(34),1/BC$4,CHAR(34),CHAR(47),CHAR(62)),"&lt;/routeDistribution&gt;"))</f>
        <v/>
      </c>
    </row>
    <row r="5243" spans="1:5" x14ac:dyDescent="0.25">
      <c r="A5243" t="s">
        <v>1454</v>
      </c>
      <c r="B5243" t="s">
        <v>1215</v>
      </c>
      <c r="E5243" t="str">
        <f>IF(OR(E5242="&lt;/routeDistribution&gt;",E5242=""),"",IFERROR(_xlfn.CONCAT(VLOOKUP(BC12,Route_Column!#REF!,2,FALSE),CHAR(34)," probability=",CHAR(34),1/BC$4,CHAR(34),CHAR(47),CHAR(62)),"&lt;/routeDistribution&gt;"))</f>
        <v/>
      </c>
    </row>
    <row r="5244" spans="1:5" x14ac:dyDescent="0.25">
      <c r="A5244" t="s">
        <v>1454</v>
      </c>
      <c r="B5244" t="s">
        <v>1216</v>
      </c>
      <c r="E5244" t="str">
        <f>IF(OR(E5243="&lt;/routeDistribution&gt;",E5243=""),"",IFERROR(_xlfn.CONCAT(VLOOKUP(BC13,Route_Column!#REF!,2,FALSE),CHAR(34)," probability=",CHAR(34),1/BC$4,CHAR(34),CHAR(47),CHAR(62)),"&lt;/routeDistribution&gt;"))</f>
        <v/>
      </c>
    </row>
    <row r="5245" spans="1:5" x14ac:dyDescent="0.25">
      <c r="A5245" t="s">
        <v>1454</v>
      </c>
      <c r="B5245" t="s">
        <v>1217</v>
      </c>
      <c r="E5245" t="str">
        <f>IF(OR(E5244="&lt;/routeDistribution&gt;",E5244=""),"",IFERROR(_xlfn.CONCAT(VLOOKUP(BC14,Route_Column!#REF!,2,FALSE),CHAR(34)," probability=",CHAR(34),1/BC$4,CHAR(34),CHAR(47),CHAR(62)),"&lt;/routeDistribution&gt;"))</f>
        <v/>
      </c>
    </row>
    <row r="5246" spans="1:5" x14ac:dyDescent="0.25">
      <c r="A5246" t="s">
        <v>1454</v>
      </c>
      <c r="B5246" t="s">
        <v>1218</v>
      </c>
      <c r="E5246" t="str">
        <f>IF(OR(E5245="&lt;/routeDistribution&gt;",E5245=""),"",IFERROR(_xlfn.CONCAT(VLOOKUP(BC15,Route_Column!#REF!,2,FALSE),CHAR(34)," probability=",CHAR(34),1/BC$4,CHAR(34),CHAR(47),CHAR(62)),"&lt;/routeDistribution&gt;"))</f>
        <v/>
      </c>
    </row>
    <row r="5247" spans="1:5" x14ac:dyDescent="0.25">
      <c r="A5247" t="s">
        <v>1454</v>
      </c>
      <c r="B5247" t="s">
        <v>1220</v>
      </c>
      <c r="E5247" t="str">
        <f>IF(OR(E5246="&lt;/routeDistribution&gt;",E5246=""),"",IFERROR(_xlfn.CONCAT(VLOOKUP(BC16,Route_Column!#REF!,2,FALSE),CHAR(34)," probability=",CHAR(34),1/BC$4,CHAR(34),CHAR(47),CHAR(62)),"&lt;/routeDistribution&gt;"))</f>
        <v/>
      </c>
    </row>
    <row r="5248" spans="1:5" x14ac:dyDescent="0.25">
      <c r="A5248" t="s">
        <v>1454</v>
      </c>
      <c r="B5248" t="s">
        <v>1225</v>
      </c>
      <c r="E5248" t="str">
        <f>IF(OR(E5247="&lt;/routeDistribution&gt;",E5247=""),"",IFERROR(_xlfn.CONCAT(VLOOKUP(BC17,Route_Column!#REF!,2,FALSE),CHAR(34)," probability=",CHAR(34),1/BC$4,CHAR(34),CHAR(47),CHAR(62)),"&lt;/routeDistribution&gt;"))</f>
        <v/>
      </c>
    </row>
    <row r="5249" spans="1:5" x14ac:dyDescent="0.25">
      <c r="A5249" t="s">
        <v>1454</v>
      </c>
      <c r="B5249" t="s">
        <v>1228</v>
      </c>
      <c r="E5249" t="str">
        <f>IF(OR(E5248="&lt;/routeDistribution&gt;",E5248=""),"",IFERROR(_xlfn.CONCAT(VLOOKUP(BC18,Route_Column!#REF!,2,FALSE),CHAR(34)," probability=",CHAR(34),1/BC$4,CHAR(34),CHAR(47),CHAR(62)),"&lt;/routeDistribution&gt;"))</f>
        <v/>
      </c>
    </row>
    <row r="5250" spans="1:5" x14ac:dyDescent="0.25">
      <c r="A5250" t="s">
        <v>1454</v>
      </c>
      <c r="B5250" t="s">
        <v>1229</v>
      </c>
      <c r="E5250" t="str">
        <f>IF(OR(E5249="&lt;/routeDistribution&gt;",E5249=""),"",IFERROR(_xlfn.CONCAT(VLOOKUP(BC19,Route_Column!#REF!,2,FALSE),CHAR(34)," probability=",CHAR(34),1/BC$4,CHAR(34),CHAR(47),CHAR(62)),"&lt;/routeDistribution&gt;"))</f>
        <v/>
      </c>
    </row>
    <row r="5251" spans="1:5" x14ac:dyDescent="0.25">
      <c r="A5251" t="s">
        <v>1454</v>
      </c>
      <c r="B5251" t="s">
        <v>1230</v>
      </c>
      <c r="E5251" t="str">
        <f>IF(OR(E5250="&lt;/routeDistribution&gt;",E5250=""),"",IFERROR(_xlfn.CONCAT(VLOOKUP(BC20,Route_Column!#REF!,2,FALSE),CHAR(34)," probability=",CHAR(34),1/BC$4,CHAR(34),CHAR(47),CHAR(62)),"&lt;/routeDistribution&gt;"))</f>
        <v/>
      </c>
    </row>
    <row r="5252" spans="1:5" x14ac:dyDescent="0.25">
      <c r="A5252" t="s">
        <v>1454</v>
      </c>
      <c r="B5252" t="s">
        <v>1253</v>
      </c>
      <c r="E5252" t="str">
        <f>IF(OR(E5251="&lt;/routeDistribution&gt;",E5251=""),"",IFERROR(_xlfn.CONCAT(VLOOKUP(BC21,Route_Column!#REF!,2,FALSE),CHAR(34)," probability=",CHAR(34),1/BC$4,CHAR(34),CHAR(47),CHAR(62)),"&lt;/routeDistribution&gt;"))</f>
        <v/>
      </c>
    </row>
    <row r="5253" spans="1:5" x14ac:dyDescent="0.25">
      <c r="A5253" s="11" t="s">
        <v>1453</v>
      </c>
      <c r="B5253" t="s">
        <v>1090</v>
      </c>
      <c r="E5253" t="str">
        <f>IF(OR(E5252="&lt;/routeDistribution&gt;",E5252=""),"",IFERROR(_xlfn.CONCAT(VLOOKUP(BC22,Route_Column!#REF!,2,FALSE),CHAR(34)," probability=",CHAR(34),1/BC$4,CHAR(34),CHAR(47),CHAR(62)),"&lt;/routeDistribution&gt;"))</f>
        <v/>
      </c>
    </row>
    <row r="5254" spans="1:5" x14ac:dyDescent="0.25">
      <c r="A5254" t="s">
        <v>1453</v>
      </c>
      <c r="B5254" t="s">
        <v>1097</v>
      </c>
      <c r="E5254" t="str">
        <f>IF(OR(E5253="&lt;/routeDistribution&gt;",E5253=""),"",IFERROR(_xlfn.CONCAT(VLOOKUP(BC23,Route_Column!#REF!,2,FALSE),CHAR(34)," probability=",CHAR(34),1/BC$4,CHAR(34),CHAR(47),CHAR(62)),"&lt;/routeDistribution&gt;"))</f>
        <v/>
      </c>
    </row>
    <row r="5255" spans="1:5" x14ac:dyDescent="0.25">
      <c r="A5255" t="s">
        <v>1453</v>
      </c>
      <c r="B5255" t="s">
        <v>1111</v>
      </c>
      <c r="E5255" t="str">
        <f>IF(OR(E5254="&lt;/routeDistribution&gt;",E5254=""),"",IFERROR(_xlfn.CONCAT(VLOOKUP(BC24,Route_Column!#REF!,2,FALSE),CHAR(34)," probability=",CHAR(34),1/BC$4,CHAR(34),CHAR(47),CHAR(62)),"&lt;/routeDistribution&gt;"))</f>
        <v/>
      </c>
    </row>
    <row r="5256" spans="1:5" x14ac:dyDescent="0.25">
      <c r="A5256" t="s">
        <v>1453</v>
      </c>
      <c r="B5256" t="s">
        <v>1132</v>
      </c>
      <c r="E5256" t="str">
        <f>IF(OR(E5255="&lt;/routeDistribution&gt;",E5255=""),"",IFERROR(_xlfn.CONCAT(VLOOKUP(BC25,Route_Column!#REF!,2,FALSE),CHAR(34)," probability=",CHAR(34),1/BC$4,CHAR(34),CHAR(47),CHAR(62)),"&lt;/routeDistribution&gt;"))</f>
        <v/>
      </c>
    </row>
    <row r="5257" spans="1:5" x14ac:dyDescent="0.25">
      <c r="A5257" t="s">
        <v>1453</v>
      </c>
      <c r="B5257" t="s">
        <v>1137</v>
      </c>
      <c r="E5257" t="str">
        <f>IF(OR(E5256="&lt;/routeDistribution&gt;",E5256=""),"",IFERROR(_xlfn.CONCAT(VLOOKUP(BC26,Route_Column!#REF!,2,FALSE),CHAR(34)," probability=",CHAR(34),1/BC$4,CHAR(34),CHAR(47),CHAR(62)),"&lt;/routeDistribution&gt;"))</f>
        <v/>
      </c>
    </row>
    <row r="5258" spans="1:5" x14ac:dyDescent="0.25">
      <c r="A5258" t="s">
        <v>1453</v>
      </c>
      <c r="B5258" t="s">
        <v>1171</v>
      </c>
      <c r="E5258" t="str">
        <f>IF(OR(E5257="&lt;/routeDistribution&gt;",E5257=""),"",IFERROR(_xlfn.CONCAT(VLOOKUP(BC27,Route_Column!#REF!,2,FALSE),CHAR(34)," probability=",CHAR(34),1/BC$4,CHAR(34),CHAR(47),CHAR(62)),"&lt;/routeDistribution&gt;"))</f>
        <v/>
      </c>
    </row>
    <row r="5259" spans="1:5" x14ac:dyDescent="0.25">
      <c r="A5259" t="s">
        <v>1453</v>
      </c>
      <c r="B5259" t="s">
        <v>1177</v>
      </c>
      <c r="E5259" t="str">
        <f>IF(OR(E5258="&lt;/routeDistribution&gt;",E5258=""),"",IFERROR(_xlfn.CONCAT(VLOOKUP(BC28,Route_Column!#REF!,2,FALSE),CHAR(34)," probability=",CHAR(34),1/BC$4,CHAR(34),CHAR(47),CHAR(62)),"&lt;/routeDistribution&gt;"))</f>
        <v/>
      </c>
    </row>
    <row r="5260" spans="1:5" x14ac:dyDescent="0.25">
      <c r="A5260" t="s">
        <v>1453</v>
      </c>
      <c r="B5260" t="s">
        <v>1182</v>
      </c>
      <c r="E5260" t="str">
        <f>IF(OR(E5259="&lt;/routeDistribution&gt;",E5259=""),"",IFERROR(_xlfn.CONCAT(VLOOKUP(BC29,Route_Column!#REF!,2,FALSE),CHAR(34)," probability=",CHAR(34),1/BC$4,CHAR(34),CHAR(47),CHAR(62)),"&lt;/routeDistribution&gt;"))</f>
        <v/>
      </c>
    </row>
    <row r="5261" spans="1:5" x14ac:dyDescent="0.25">
      <c r="A5261" t="s">
        <v>1453</v>
      </c>
      <c r="B5261" t="s">
        <v>1184</v>
      </c>
      <c r="E5261" t="str">
        <f>IF(OR(E5260="&lt;/routeDistribution&gt;",E5260=""),"",IFERROR(_xlfn.CONCAT(VLOOKUP(BC30,Route_Column!#REF!,2,FALSE),CHAR(34)," probability=",CHAR(34),1/BC$4,CHAR(34),CHAR(47),CHAR(62)),"&lt;/routeDistribution&gt;"))</f>
        <v/>
      </c>
    </row>
    <row r="5262" spans="1:5" x14ac:dyDescent="0.25">
      <c r="A5262" t="s">
        <v>1453</v>
      </c>
      <c r="B5262" t="s">
        <v>1191</v>
      </c>
      <c r="E5262" t="str">
        <f>IF(OR(E5261="&lt;/routeDistribution&gt;",E5261=""),"",IFERROR(_xlfn.CONCAT(VLOOKUP(BC31,Route_Column!#REF!,2,FALSE),CHAR(34)," probability=",CHAR(34),1/BC$4,CHAR(34),CHAR(47),CHAR(62)),"&lt;/routeDistribution&gt;"))</f>
        <v/>
      </c>
    </row>
    <row r="5263" spans="1:5" x14ac:dyDescent="0.25">
      <c r="A5263" t="s">
        <v>1453</v>
      </c>
      <c r="B5263" t="s">
        <v>1203</v>
      </c>
      <c r="E5263" t="str">
        <f>IF(OR(E5262="&lt;/routeDistribution&gt;",E5262=""),"",IFERROR(_xlfn.CONCAT(VLOOKUP(BC32,Route_Column!#REF!,2,FALSE),CHAR(34)," probability=",CHAR(34),1/BC$4,CHAR(34),CHAR(47),CHAR(62)),"&lt;/routeDistribution&gt;"))</f>
        <v/>
      </c>
    </row>
    <row r="5264" spans="1:5" x14ac:dyDescent="0.25">
      <c r="A5264" t="s">
        <v>1453</v>
      </c>
      <c r="B5264" t="s">
        <v>1204</v>
      </c>
      <c r="E5264" t="str">
        <f>IF(OR(E5263="&lt;/routeDistribution&gt;",E5263=""),"",IFERROR(_xlfn.CONCAT(VLOOKUP(BC33,Route_Column!#REF!,2,FALSE),CHAR(34)," probability=",CHAR(34),1/BC$4,CHAR(34),CHAR(47),CHAR(62)),"&lt;/routeDistribution&gt;"))</f>
        <v/>
      </c>
    </row>
    <row r="5265" spans="1:5" x14ac:dyDescent="0.25">
      <c r="A5265" t="s">
        <v>1453</v>
      </c>
      <c r="B5265" t="s">
        <v>1213</v>
      </c>
      <c r="E5265" t="str">
        <f>IF(OR(E5264="&lt;/routeDistribution&gt;",E5264=""),"",IFERROR(_xlfn.CONCAT(VLOOKUP(BC34,Route_Column!#REF!,2,FALSE),CHAR(34)," probability=",CHAR(34),1/BC$4,CHAR(34),CHAR(47),CHAR(62)),"&lt;/routeDistribution&gt;"))</f>
        <v/>
      </c>
    </row>
    <row r="5266" spans="1:5" x14ac:dyDescent="0.25">
      <c r="A5266" t="s">
        <v>1453</v>
      </c>
      <c r="B5266" t="s">
        <v>1215</v>
      </c>
      <c r="E5266" t="str">
        <f>IF(OR(E5265="&lt;/routeDistribution&gt;",E5265=""),"",IFERROR(_xlfn.CONCAT(VLOOKUP(BC35,Route_Column!#REF!,2,FALSE),CHAR(34)," probability=",CHAR(34),1/BC$4,CHAR(34),CHAR(47),CHAR(62)),"&lt;/routeDistribution&gt;"))</f>
        <v/>
      </c>
    </row>
    <row r="5267" spans="1:5" x14ac:dyDescent="0.25">
      <c r="A5267" t="s">
        <v>1453</v>
      </c>
      <c r="B5267" t="s">
        <v>1216</v>
      </c>
      <c r="E5267" t="str">
        <f>IF(OR(E5266="&lt;/routeDistribution&gt;",E5266=""),"",IFERROR(_xlfn.CONCAT(VLOOKUP(BC36,Route_Column!#REF!,2,FALSE),CHAR(34)," probability=",CHAR(34),1/BC$4,CHAR(34),CHAR(47),CHAR(62)),"&lt;/routeDistribution&gt;"))</f>
        <v/>
      </c>
    </row>
    <row r="5268" spans="1:5" x14ac:dyDescent="0.25">
      <c r="A5268" t="s">
        <v>1453</v>
      </c>
      <c r="B5268" t="s">
        <v>1217</v>
      </c>
      <c r="E5268" t="str">
        <f>IF(OR(E5267="&lt;/routeDistribution&gt;",E5267=""),"",IFERROR(_xlfn.CONCAT(VLOOKUP(BC37,Route_Column!#REF!,2,FALSE),CHAR(34)," probability=",CHAR(34),1/BC$4,CHAR(34),CHAR(47),CHAR(62)),"&lt;/routeDistribution&gt;"))</f>
        <v/>
      </c>
    </row>
    <row r="5269" spans="1:5" x14ac:dyDescent="0.25">
      <c r="A5269" t="s">
        <v>1453</v>
      </c>
      <c r="B5269" t="s">
        <v>1218</v>
      </c>
      <c r="E5269" t="str">
        <f>IF(OR(E5268="&lt;/routeDistribution&gt;",E5268=""),"",IFERROR(_xlfn.CONCAT(VLOOKUP(BC38,Route_Column!#REF!,2,FALSE),CHAR(34)," probability=",CHAR(34),1/BC$4,CHAR(34),CHAR(47),CHAR(62)),"&lt;/routeDistribution&gt;"))</f>
        <v/>
      </c>
    </row>
    <row r="5270" spans="1:5" x14ac:dyDescent="0.25">
      <c r="A5270" t="s">
        <v>1453</v>
      </c>
      <c r="B5270" t="s">
        <v>1220</v>
      </c>
      <c r="E5270" t="str">
        <f>IF(OR(E5269="&lt;/routeDistribution&gt;",E5269=""),"",IFERROR(_xlfn.CONCAT(VLOOKUP(BC39,Route_Column!#REF!,2,FALSE),CHAR(34)," probability=",CHAR(34),1/BC$4,CHAR(34),CHAR(47),CHAR(62)),"&lt;/routeDistribution&gt;"))</f>
        <v/>
      </c>
    </row>
    <row r="5271" spans="1:5" x14ac:dyDescent="0.25">
      <c r="A5271" t="s">
        <v>1453</v>
      </c>
      <c r="B5271" t="s">
        <v>1225</v>
      </c>
      <c r="E5271" t="str">
        <f>IF(OR(E5270="&lt;/routeDistribution&gt;",E5270=""),"",IFERROR(_xlfn.CONCAT(VLOOKUP(BC40,Route_Column!#REF!,2,FALSE),CHAR(34)," probability=",CHAR(34),1/BC$4,CHAR(34),CHAR(47),CHAR(62)),"&lt;/routeDistribution&gt;"))</f>
        <v/>
      </c>
    </row>
    <row r="5272" spans="1:5" x14ac:dyDescent="0.25">
      <c r="A5272" t="s">
        <v>1453</v>
      </c>
      <c r="B5272" t="s">
        <v>1228</v>
      </c>
      <c r="E5272" t="str">
        <f>IF(OR(E5271="&lt;/routeDistribution&gt;",E5271=""),"",IFERROR(_xlfn.CONCAT(VLOOKUP(BC41,Route_Column!#REF!,2,FALSE),CHAR(34)," probability=",CHAR(34),1/BC$4,CHAR(34),CHAR(47),CHAR(62)),"&lt;/routeDistribution&gt;"))</f>
        <v/>
      </c>
    </row>
    <row r="5273" spans="1:5" x14ac:dyDescent="0.25">
      <c r="A5273" t="s">
        <v>1453</v>
      </c>
      <c r="B5273" t="s">
        <v>1229</v>
      </c>
      <c r="E5273" t="str">
        <f>IF(OR(E5272="&lt;/routeDistribution&gt;",E5272=""),"",IFERROR(_xlfn.CONCAT(VLOOKUP(BC42,Route_Column!#REF!,2,FALSE),CHAR(34)," probability=",CHAR(34),1/BC$4,CHAR(34),CHAR(47),CHAR(62)),"&lt;/routeDistribution&gt;"))</f>
        <v/>
      </c>
    </row>
    <row r="5274" spans="1:5" x14ac:dyDescent="0.25">
      <c r="A5274" t="s">
        <v>1453</v>
      </c>
      <c r="B5274" t="s">
        <v>1230</v>
      </c>
      <c r="E5274" t="str">
        <f>IF(OR(E5273="&lt;/routeDistribution&gt;",E5273=""),"",IFERROR(_xlfn.CONCAT(VLOOKUP(BC43,Route_Column!#REF!,2,FALSE),CHAR(34)," probability=",CHAR(34),1/BC$4,CHAR(34),CHAR(47),CHAR(62)),"&lt;/routeDistribution&gt;"))</f>
        <v/>
      </c>
    </row>
    <row r="5275" spans="1:5" x14ac:dyDescent="0.25">
      <c r="A5275" t="s">
        <v>1453</v>
      </c>
      <c r="B5275" t="s">
        <v>1253</v>
      </c>
      <c r="E5275" t="str">
        <f>IF(OR(E5274="&lt;/routeDistribution&gt;",E5274=""),"",IFERROR(_xlfn.CONCAT(VLOOKUP(BC44,Route_Column!#REF!,2,FALSE),CHAR(34)," probability=",CHAR(34),1/BC$4,CHAR(34),CHAR(47),CHAR(62)),"&lt;/routeDistribution&gt;"))</f>
        <v/>
      </c>
    </row>
    <row r="5276" spans="1:5" x14ac:dyDescent="0.25">
      <c r="A5276" t="s">
        <v>2039</v>
      </c>
      <c r="B5276" t="s">
        <v>1133</v>
      </c>
      <c r="E5276" t="str">
        <f>IF(OR(E5275="&lt;/routeDistribution&gt;",E5275=""),"",IFERROR(_xlfn.CONCAT(VLOOKUP(BC45,Route_Column!#REF!,2,FALSE),CHAR(34)," probability=",CHAR(34),1/BC$4,CHAR(34),CHAR(47),CHAR(62)),"&lt;/routeDistribution&gt;"))</f>
        <v/>
      </c>
    </row>
    <row r="5277" spans="1:5" x14ac:dyDescent="0.25">
      <c r="A5277" t="s">
        <v>2038</v>
      </c>
      <c r="B5277" t="s">
        <v>1133</v>
      </c>
      <c r="E5277" t="str">
        <f>IF(OR(E5276="&lt;/routeDistribution&gt;",E5276=""),"",IFERROR(_xlfn.CONCAT(VLOOKUP(BC46,Route_Column!#REF!,2,FALSE),CHAR(34)," probability=",CHAR(34),1/BC$4,CHAR(34),CHAR(47),CHAR(62)),"&lt;/routeDistribution&gt;"))</f>
        <v/>
      </c>
    </row>
    <row r="5278" spans="1:5" x14ac:dyDescent="0.25">
      <c r="A5278" t="s">
        <v>2037</v>
      </c>
      <c r="B5278" t="s">
        <v>1133</v>
      </c>
      <c r="E5278" t="str">
        <f>IF(OR(E5277="&lt;/routeDistribution&gt;",E5277=""),"",IFERROR(_xlfn.CONCAT(VLOOKUP(BC47,Route_Column!#REF!,2,FALSE),CHAR(34)," probability=",CHAR(34),1/BC$4,CHAR(34),CHAR(47),CHAR(62)),"&lt;/routeDistribution&gt;"))</f>
        <v/>
      </c>
    </row>
    <row r="5279" spans="1:5" x14ac:dyDescent="0.25">
      <c r="A5279" t="s">
        <v>2036</v>
      </c>
      <c r="B5279" t="s">
        <v>1133</v>
      </c>
      <c r="E5279" t="str">
        <f>IF(OR(E5278="&lt;/routeDistribution&gt;",E5278=""),"",IFERROR(_xlfn.CONCAT(VLOOKUP(BC48,Route_Column!#REF!,2,FALSE),CHAR(34)," probability=",CHAR(34),1/BC$4,CHAR(34),CHAR(47),CHAR(62)),"&lt;/routeDistribution&gt;"))</f>
        <v/>
      </c>
    </row>
    <row r="5280" spans="1:5" x14ac:dyDescent="0.25">
      <c r="A5280" t="s">
        <v>2010</v>
      </c>
      <c r="B5280" t="s">
        <v>1133</v>
      </c>
      <c r="E5280" t="str">
        <f>IF(OR(E5279="&lt;/routeDistribution&gt;",E5279=""),"",IFERROR(_xlfn.CONCAT(VLOOKUP(BC49,Route_Column!#REF!,2,FALSE),CHAR(34)," probability=",CHAR(34),1/BC$4,CHAR(34),CHAR(47),CHAR(62)),"&lt;/routeDistribution&gt;"))</f>
        <v/>
      </c>
    </row>
    <row r="5281" spans="1:5" x14ac:dyDescent="0.25">
      <c r="A5281" t="s">
        <v>2011</v>
      </c>
      <c r="B5281" t="s">
        <v>1133</v>
      </c>
      <c r="E5281" t="str">
        <f>IF(OR(E5280="&lt;/routeDistribution&gt;",E5280=""),"",IFERROR(_xlfn.CONCAT(VLOOKUP(BC50,Route_Column!#REF!,2,FALSE),CHAR(34)," probability=",CHAR(34),1/BC$4,CHAR(34),CHAR(47),CHAR(62)),"&lt;/routeDistribution&gt;"))</f>
        <v/>
      </c>
    </row>
    <row r="5282" spans="1:5" x14ac:dyDescent="0.25">
      <c r="A5282" t="s">
        <v>2189</v>
      </c>
      <c r="B5282" t="s">
        <v>1157</v>
      </c>
      <c r="E5282" t="str">
        <f>IF(OR(E5281="&lt;/routeDistribution&gt;",E5281=""),"",IFERROR(_xlfn.CONCAT(VLOOKUP(BC51,Route_Column!#REF!,2,FALSE),CHAR(34)," probability=",CHAR(34),1/BC$4,CHAR(34),CHAR(47),CHAR(62)),"&lt;/routeDistribution&gt;"))</f>
        <v/>
      </c>
    </row>
    <row r="5283" spans="1:5" x14ac:dyDescent="0.25">
      <c r="A5283" t="s">
        <v>2189</v>
      </c>
      <c r="B5283" t="s">
        <v>1158</v>
      </c>
      <c r="E5283" t="str">
        <f>IF(OR(E5282="&lt;/routeDistribution&gt;",E5282=""),"",IFERROR(_xlfn.CONCAT(VLOOKUP(BC52,Route_Column!#REF!,2,FALSE),CHAR(34)," probability=",CHAR(34),1/BC$4,CHAR(34),CHAR(47),CHAR(62)),"&lt;/routeDistribution&gt;"))</f>
        <v/>
      </c>
    </row>
    <row r="5284" spans="1:5" x14ac:dyDescent="0.25">
      <c r="A5284" t="s">
        <v>2189</v>
      </c>
      <c r="B5284" t="s">
        <v>1159</v>
      </c>
      <c r="E5284" t="str">
        <f>IF(OR(E5283="&lt;/routeDistribution&gt;",E5283=""),"",IFERROR(_xlfn.CONCAT(VLOOKUP(BC53,Route_Column!#REF!,2,FALSE),CHAR(34)," probability=",CHAR(34),1/BC$4,CHAR(34),CHAR(47),CHAR(62)),"&lt;/routeDistribution&gt;"))</f>
        <v/>
      </c>
    </row>
    <row r="5285" spans="1:5" x14ac:dyDescent="0.25">
      <c r="A5285" t="s">
        <v>2178</v>
      </c>
      <c r="B5285" t="s">
        <v>1154</v>
      </c>
      <c r="E5285" t="str">
        <f>IF(OR(E5284="&lt;/routeDistribution&gt;",E5284=""),"",IFERROR(_xlfn.CONCAT(VLOOKUP(BC54,Route_Column!#REF!,2,FALSE),CHAR(34)," probability=",CHAR(34),1/BC$4,CHAR(34),CHAR(47),CHAR(62)),"&lt;/routeDistribution&gt;"))</f>
        <v/>
      </c>
    </row>
    <row r="5286" spans="1:5" x14ac:dyDescent="0.25">
      <c r="A5286" t="s">
        <v>2178</v>
      </c>
      <c r="B5286" t="s">
        <v>1155</v>
      </c>
      <c r="E5286" t="str">
        <f>IF(OR(E5285="&lt;/routeDistribution&gt;",E5285=""),"",IFERROR(_xlfn.CONCAT(VLOOKUP(BC55,Route_Column!#REF!,2,FALSE),CHAR(34)," probability=",CHAR(34),1/BC$4,CHAR(34),CHAR(47),CHAR(62)),"&lt;/routeDistribution&gt;"))</f>
        <v/>
      </c>
    </row>
    <row r="5287" spans="1:5" x14ac:dyDescent="0.25">
      <c r="A5287" t="s">
        <v>2178</v>
      </c>
      <c r="B5287" t="s">
        <v>1156</v>
      </c>
      <c r="E5287" t="str">
        <f>IF(OR(E5286="&lt;/routeDistribution&gt;",E5286=""),"",IFERROR(_xlfn.CONCAT(VLOOKUP(BC56,Route_Column!#REF!,2,FALSE),CHAR(34)," probability=",CHAR(34),1/BC$4,CHAR(34),CHAR(47),CHAR(62)),"&lt;/routeDistribution&gt;"))</f>
        <v/>
      </c>
    </row>
    <row r="5288" spans="1:5" x14ac:dyDescent="0.25">
      <c r="A5288" t="s">
        <v>2190</v>
      </c>
      <c r="B5288" t="s">
        <v>1157</v>
      </c>
      <c r="E5288" t="str">
        <f>IF(OR(E5287="&lt;/routeDistribution&gt;",E5287=""),"",IFERROR(_xlfn.CONCAT(VLOOKUP(BC57,Route_Column!#REF!,2,FALSE),CHAR(34)," probability=",CHAR(34),1/BC$4,CHAR(34),CHAR(47),CHAR(62)),"&lt;/routeDistribution&gt;"))</f>
        <v/>
      </c>
    </row>
    <row r="5289" spans="1:5" x14ac:dyDescent="0.25">
      <c r="A5289" t="s">
        <v>2190</v>
      </c>
      <c r="B5289" t="s">
        <v>1158</v>
      </c>
      <c r="E5289" t="str">
        <f>IF(OR(E5288="&lt;/routeDistribution&gt;",E5288=""),"",IFERROR(_xlfn.CONCAT(VLOOKUP(BC58,Route_Column!#REF!,2,FALSE),CHAR(34)," probability=",CHAR(34),1/BC$4,CHAR(34),CHAR(47),CHAR(62)),"&lt;/routeDistribution&gt;"))</f>
        <v/>
      </c>
    </row>
    <row r="5290" spans="1:5" x14ac:dyDescent="0.25">
      <c r="A5290" t="s">
        <v>2190</v>
      </c>
      <c r="B5290" t="s">
        <v>1159</v>
      </c>
      <c r="E5290" t="str">
        <f>IF(OR(E5289="&lt;/routeDistribution&gt;",E5289=""),"",IFERROR(_xlfn.CONCAT(VLOOKUP(BC59,Route_Column!#REF!,2,FALSE),CHAR(34)," probability=",CHAR(34),1/BC$4,CHAR(34),CHAR(47),CHAR(62)),"&lt;/routeDistribution&gt;"))</f>
        <v/>
      </c>
    </row>
    <row r="5291" spans="1:5" x14ac:dyDescent="0.25">
      <c r="A5291" t="s">
        <v>2191</v>
      </c>
      <c r="B5291" t="s">
        <v>1157</v>
      </c>
      <c r="E5291" t="str">
        <f>IF(OR(E5290="&lt;/routeDistribution&gt;",E5290=""),"",IFERROR(_xlfn.CONCAT(VLOOKUP(BC60,Route_Column!#REF!,2,FALSE),CHAR(34)," probability=",CHAR(34),1/BC$4,CHAR(34),CHAR(47),CHAR(62)),"&lt;/routeDistribution&gt;"))</f>
        <v/>
      </c>
    </row>
    <row r="5292" spans="1:5" x14ac:dyDescent="0.25">
      <c r="A5292" t="s">
        <v>2191</v>
      </c>
      <c r="B5292" t="s">
        <v>1158</v>
      </c>
      <c r="E5292" t="str">
        <f>IF(OR(E5291="&lt;/routeDistribution&gt;",E5291=""),"",IFERROR(_xlfn.CONCAT(VLOOKUP(BC61,Route_Column!#REF!,2,FALSE),CHAR(34)," probability=",CHAR(34),1/BC$4,CHAR(34),CHAR(47),CHAR(62)),"&lt;/routeDistribution&gt;"))</f>
        <v/>
      </c>
    </row>
    <row r="5293" spans="1:5" x14ac:dyDescent="0.25">
      <c r="A5293" t="s">
        <v>2191</v>
      </c>
      <c r="B5293" t="s">
        <v>1159</v>
      </c>
      <c r="E5293" t="str">
        <f>IF(OR(E5292="&lt;/routeDistribution&gt;",E5292=""),"",IFERROR(_xlfn.CONCAT(VLOOKUP(BC62,Route_Column!#REF!,2,FALSE),CHAR(34)," probability=",CHAR(34),1/BC$4,CHAR(34),CHAR(47),CHAR(62)),"&lt;/routeDistribution&gt;"))</f>
        <v/>
      </c>
    </row>
    <row r="5294" spans="1:5" x14ac:dyDescent="0.25">
      <c r="A5294" t="s">
        <v>2019</v>
      </c>
      <c r="B5294" t="s">
        <v>1133</v>
      </c>
      <c r="E5294" t="str">
        <f>IF(OR(E5293="&lt;/routeDistribution&gt;",E5293=""),"",IFERROR(_xlfn.CONCAT(VLOOKUP(BC63,Route_Column!#REF!,2,FALSE),CHAR(34)," probability=",CHAR(34),1/BC$4,CHAR(34),CHAR(47),CHAR(62)),"&lt;/routeDistribution&gt;"))</f>
        <v/>
      </c>
    </row>
    <row r="5295" spans="1:5" x14ac:dyDescent="0.25">
      <c r="A5295" t="s">
        <v>1604</v>
      </c>
      <c r="B5295" t="s">
        <v>1096</v>
      </c>
      <c r="E5295" t="s">
        <v>2686</v>
      </c>
    </row>
    <row r="5296" spans="1:5" x14ac:dyDescent="0.25">
      <c r="A5296" t="s">
        <v>1604</v>
      </c>
      <c r="B5296" t="s">
        <v>1106</v>
      </c>
    </row>
    <row r="5297" spans="1:5" x14ac:dyDescent="0.25">
      <c r="A5297" t="s">
        <v>1604</v>
      </c>
      <c r="B5297" t="s">
        <v>1107</v>
      </c>
    </row>
    <row r="5298" spans="1:5" x14ac:dyDescent="0.25">
      <c r="A5298" t="s">
        <v>1604</v>
      </c>
      <c r="B5298" t="s">
        <v>1142</v>
      </c>
      <c r="E5298" t="str">
        <f>_xlfn.CONCAT($E$1,BB$2,$F$1)</f>
        <v>&lt;routeDistribution id="PINE-24th-to-23rd-EB-2012-RouteProbe"&gt;</v>
      </c>
    </row>
    <row r="5299" spans="1:5" x14ac:dyDescent="0.25">
      <c r="A5299" t="s">
        <v>1604</v>
      </c>
      <c r="B5299" t="s">
        <v>1148</v>
      </c>
      <c r="E5299" t="str">
        <f>IF(OR(E5298="&lt;/routeDistribution&gt;",E5298=""),"",IFERROR(_xlfn.CONCAT(VLOOKUP(BB5,Route_Column!#REF!,2,FALSE),CHAR(34)," probability=",CHAR(34),1/BB$4,CHAR(34),CHAR(47),CHAR(62)),"&lt;/routeDistribution&gt;"))</f>
        <v>&lt;/routeDistribution&gt;</v>
      </c>
    </row>
    <row r="5300" spans="1:5" x14ac:dyDescent="0.25">
      <c r="A5300" t="s">
        <v>1604</v>
      </c>
      <c r="B5300" t="s">
        <v>1161</v>
      </c>
      <c r="E5300" t="str">
        <f>IF(OR(E5299="&lt;/routeDistribution&gt;",E5299=""),"",IFERROR(_xlfn.CONCAT(VLOOKUP(BB6,Route_Column!#REF!,2,FALSE),CHAR(34)," probability=",CHAR(34),1/BB$4,CHAR(34),CHAR(47),CHAR(62)),"&lt;/routeDistribution&gt;"))</f>
        <v/>
      </c>
    </row>
    <row r="5301" spans="1:5" x14ac:dyDescent="0.25">
      <c r="A5301" t="s">
        <v>1604</v>
      </c>
      <c r="B5301" t="s">
        <v>1162</v>
      </c>
      <c r="E5301" t="str">
        <f>IF(OR(E5300="&lt;/routeDistribution&gt;",E5300=""),"",IFERROR(_xlfn.CONCAT(VLOOKUP(BB7,Route_Column!#REF!,2,FALSE),CHAR(34)," probability=",CHAR(34),1/BB$4,CHAR(34),CHAR(47),CHAR(62)),"&lt;/routeDistribution&gt;"))</f>
        <v/>
      </c>
    </row>
    <row r="5302" spans="1:5" x14ac:dyDescent="0.25">
      <c r="A5302" t="s">
        <v>1604</v>
      </c>
      <c r="B5302" t="s">
        <v>1163</v>
      </c>
      <c r="E5302" t="str">
        <f>IF(OR(E5301="&lt;/routeDistribution&gt;",E5301=""),"",IFERROR(_xlfn.CONCAT(VLOOKUP(BB8,Route_Column!#REF!,2,FALSE),CHAR(34)," probability=",CHAR(34),1/BB$4,CHAR(34),CHAR(47),CHAR(62)),"&lt;/routeDistribution&gt;"))</f>
        <v/>
      </c>
    </row>
    <row r="5303" spans="1:5" x14ac:dyDescent="0.25">
      <c r="A5303" t="s">
        <v>1604</v>
      </c>
      <c r="B5303" t="s">
        <v>1168</v>
      </c>
      <c r="E5303" t="str">
        <f>IF(OR(E5302="&lt;/routeDistribution&gt;",E5302=""),"",IFERROR(_xlfn.CONCAT(VLOOKUP(BB9,Route_Column!#REF!,2,FALSE),CHAR(34)," probability=",CHAR(34),1/BB$4,CHAR(34),CHAR(47),CHAR(62)),"&lt;/routeDistribution&gt;"))</f>
        <v/>
      </c>
    </row>
    <row r="5304" spans="1:5" x14ac:dyDescent="0.25">
      <c r="A5304" t="s">
        <v>1604</v>
      </c>
      <c r="B5304" t="s">
        <v>1169</v>
      </c>
      <c r="E5304" t="str">
        <f>IF(OR(E5303="&lt;/routeDistribution&gt;",E5303=""),"",IFERROR(_xlfn.CONCAT(VLOOKUP(BB10,Route_Column!#REF!,2,FALSE),CHAR(34)," probability=",CHAR(34),1/BB$4,CHAR(34),CHAR(47),CHAR(62)),"&lt;/routeDistribution&gt;"))</f>
        <v/>
      </c>
    </row>
    <row r="5305" spans="1:5" x14ac:dyDescent="0.25">
      <c r="A5305" t="s">
        <v>1604</v>
      </c>
      <c r="B5305" t="s">
        <v>1170</v>
      </c>
      <c r="E5305" t="str">
        <f>IF(OR(E5304="&lt;/routeDistribution&gt;",E5304=""),"",IFERROR(_xlfn.CONCAT(VLOOKUP(BB11,Route_Column!#REF!,2,FALSE),CHAR(34)," probability=",CHAR(34),1/BB$4,CHAR(34),CHAR(47),CHAR(62)),"&lt;/routeDistribution&gt;"))</f>
        <v/>
      </c>
    </row>
    <row r="5306" spans="1:5" x14ac:dyDescent="0.25">
      <c r="A5306" t="s">
        <v>1604</v>
      </c>
      <c r="B5306" t="s">
        <v>1178</v>
      </c>
      <c r="E5306" t="str">
        <f>IF(OR(E5305="&lt;/routeDistribution&gt;",E5305=""),"",IFERROR(_xlfn.CONCAT(VLOOKUP(BB12,Route_Column!#REF!,2,FALSE),CHAR(34)," probability=",CHAR(34),1/BB$4,CHAR(34),CHAR(47),CHAR(62)),"&lt;/routeDistribution&gt;"))</f>
        <v/>
      </c>
    </row>
    <row r="5307" spans="1:5" x14ac:dyDescent="0.25">
      <c r="A5307" t="s">
        <v>1604</v>
      </c>
      <c r="B5307" t="s">
        <v>1196</v>
      </c>
      <c r="E5307" t="str">
        <f>IF(OR(E5306="&lt;/routeDistribution&gt;",E5306=""),"",IFERROR(_xlfn.CONCAT(VLOOKUP(BB13,Route_Column!#REF!,2,FALSE),CHAR(34)," probability=",CHAR(34),1/BB$4,CHAR(34),CHAR(47),CHAR(62)),"&lt;/routeDistribution&gt;"))</f>
        <v/>
      </c>
    </row>
    <row r="5308" spans="1:5" x14ac:dyDescent="0.25">
      <c r="A5308" t="s">
        <v>1604</v>
      </c>
      <c r="B5308" t="s">
        <v>1202</v>
      </c>
      <c r="E5308" t="str">
        <f>IF(OR(E5307="&lt;/routeDistribution&gt;",E5307=""),"",IFERROR(_xlfn.CONCAT(VLOOKUP(BB14,Route_Column!#REF!,2,FALSE),CHAR(34)," probability=",CHAR(34),1/BB$4,CHAR(34),CHAR(47),CHAR(62)),"&lt;/routeDistribution&gt;"))</f>
        <v/>
      </c>
    </row>
    <row r="5309" spans="1:5" x14ac:dyDescent="0.25">
      <c r="A5309" t="s">
        <v>1686</v>
      </c>
      <c r="B5309" t="s">
        <v>1099</v>
      </c>
      <c r="E5309" t="str">
        <f>IF(OR(E5308="&lt;/routeDistribution&gt;",E5308=""),"",IFERROR(_xlfn.CONCAT(VLOOKUP(BB15,Route_Column!#REF!,2,FALSE),CHAR(34)," probability=",CHAR(34),1/BB$4,CHAR(34),CHAR(47),CHAR(62)),"&lt;/routeDistribution&gt;"))</f>
        <v/>
      </c>
    </row>
    <row r="5310" spans="1:5" x14ac:dyDescent="0.25">
      <c r="A5310" t="s">
        <v>1605</v>
      </c>
      <c r="B5310" t="s">
        <v>1096</v>
      </c>
      <c r="E5310" t="str">
        <f>IF(OR(E5309="&lt;/routeDistribution&gt;",E5309=""),"",IFERROR(_xlfn.CONCAT(VLOOKUP(BB16,Route_Column!#REF!,2,FALSE),CHAR(34)," probability=",CHAR(34),1/BB$4,CHAR(34),CHAR(47),CHAR(62)),"&lt;/routeDistribution&gt;"))</f>
        <v/>
      </c>
    </row>
    <row r="5311" spans="1:5" x14ac:dyDescent="0.25">
      <c r="A5311" t="s">
        <v>1605</v>
      </c>
      <c r="B5311" t="s">
        <v>1106</v>
      </c>
      <c r="E5311" t="str">
        <f>IF(OR(E5310="&lt;/routeDistribution&gt;",E5310=""),"",IFERROR(_xlfn.CONCAT(VLOOKUP(BB17,Route_Column!#REF!,2,FALSE),CHAR(34)," probability=",CHAR(34),1/BB$4,CHAR(34),CHAR(47),CHAR(62)),"&lt;/routeDistribution&gt;"))</f>
        <v/>
      </c>
    </row>
    <row r="5312" spans="1:5" x14ac:dyDescent="0.25">
      <c r="A5312" t="s">
        <v>1605</v>
      </c>
      <c r="B5312" t="s">
        <v>1107</v>
      </c>
      <c r="E5312" t="str">
        <f>IF(OR(E5311="&lt;/routeDistribution&gt;",E5311=""),"",IFERROR(_xlfn.CONCAT(VLOOKUP(BB18,Route_Column!#REF!,2,FALSE),CHAR(34)," probability=",CHAR(34),1/BB$4,CHAR(34),CHAR(47),CHAR(62)),"&lt;/routeDistribution&gt;"))</f>
        <v/>
      </c>
    </row>
    <row r="5313" spans="1:5" x14ac:dyDescent="0.25">
      <c r="A5313" t="s">
        <v>1605</v>
      </c>
      <c r="B5313" t="s">
        <v>1142</v>
      </c>
      <c r="E5313" t="str">
        <f>IF(OR(E5312="&lt;/routeDistribution&gt;",E5312=""),"",IFERROR(_xlfn.CONCAT(VLOOKUP(BB19,Route_Column!#REF!,2,FALSE),CHAR(34)," probability=",CHAR(34),1/BB$4,CHAR(34),CHAR(47),CHAR(62)),"&lt;/routeDistribution&gt;"))</f>
        <v/>
      </c>
    </row>
    <row r="5314" spans="1:5" x14ac:dyDescent="0.25">
      <c r="A5314" t="s">
        <v>1605</v>
      </c>
      <c r="B5314" t="s">
        <v>1148</v>
      </c>
      <c r="E5314" t="str">
        <f>IF(OR(E5313="&lt;/routeDistribution&gt;",E5313=""),"",IFERROR(_xlfn.CONCAT(VLOOKUP(BB20,Route_Column!#REF!,2,FALSE),CHAR(34)," probability=",CHAR(34),1/BB$4,CHAR(34),CHAR(47),CHAR(62)),"&lt;/routeDistribution&gt;"))</f>
        <v/>
      </c>
    </row>
    <row r="5315" spans="1:5" x14ac:dyDescent="0.25">
      <c r="A5315" t="s">
        <v>1605</v>
      </c>
      <c r="B5315" t="s">
        <v>1161</v>
      </c>
      <c r="E5315" t="str">
        <f>IF(OR(E5314="&lt;/routeDistribution&gt;",E5314=""),"",IFERROR(_xlfn.CONCAT(VLOOKUP(BB21,Route_Column!#REF!,2,FALSE),CHAR(34)," probability=",CHAR(34),1/BB$4,CHAR(34),CHAR(47),CHAR(62)),"&lt;/routeDistribution&gt;"))</f>
        <v/>
      </c>
    </row>
    <row r="5316" spans="1:5" x14ac:dyDescent="0.25">
      <c r="A5316" t="s">
        <v>1605</v>
      </c>
      <c r="B5316" t="s">
        <v>1162</v>
      </c>
      <c r="E5316" t="str">
        <f>IF(OR(E5315="&lt;/routeDistribution&gt;",E5315=""),"",IFERROR(_xlfn.CONCAT(VLOOKUP(BB22,Route_Column!#REF!,2,FALSE),CHAR(34)," probability=",CHAR(34),1/BB$4,CHAR(34),CHAR(47),CHAR(62)),"&lt;/routeDistribution&gt;"))</f>
        <v/>
      </c>
    </row>
    <row r="5317" spans="1:5" x14ac:dyDescent="0.25">
      <c r="A5317" t="s">
        <v>1605</v>
      </c>
      <c r="B5317" t="s">
        <v>1163</v>
      </c>
      <c r="E5317" t="str">
        <f>IF(OR(E5316="&lt;/routeDistribution&gt;",E5316=""),"",IFERROR(_xlfn.CONCAT(VLOOKUP(BB23,Route_Column!#REF!,2,FALSE),CHAR(34)," probability=",CHAR(34),1/BB$4,CHAR(34),CHAR(47),CHAR(62)),"&lt;/routeDistribution&gt;"))</f>
        <v/>
      </c>
    </row>
    <row r="5318" spans="1:5" x14ac:dyDescent="0.25">
      <c r="A5318" t="s">
        <v>1605</v>
      </c>
      <c r="B5318" t="s">
        <v>1168</v>
      </c>
      <c r="E5318" t="str">
        <f>IF(OR(E5317="&lt;/routeDistribution&gt;",E5317=""),"",IFERROR(_xlfn.CONCAT(VLOOKUP(BB24,Route_Column!#REF!,2,FALSE),CHAR(34)," probability=",CHAR(34),1/BB$4,CHAR(34),CHAR(47),CHAR(62)),"&lt;/routeDistribution&gt;"))</f>
        <v/>
      </c>
    </row>
    <row r="5319" spans="1:5" x14ac:dyDescent="0.25">
      <c r="A5319" t="s">
        <v>1605</v>
      </c>
      <c r="B5319" t="s">
        <v>1169</v>
      </c>
      <c r="E5319" t="str">
        <f>IF(OR(E5318="&lt;/routeDistribution&gt;",E5318=""),"",IFERROR(_xlfn.CONCAT(VLOOKUP(BB25,Route_Column!#REF!,2,FALSE),CHAR(34)," probability=",CHAR(34),1/BB$4,CHAR(34),CHAR(47),CHAR(62)),"&lt;/routeDistribution&gt;"))</f>
        <v/>
      </c>
    </row>
    <row r="5320" spans="1:5" x14ac:dyDescent="0.25">
      <c r="A5320" t="s">
        <v>1605</v>
      </c>
      <c r="B5320" t="s">
        <v>1170</v>
      </c>
      <c r="E5320" t="str">
        <f>IF(OR(E5319="&lt;/routeDistribution&gt;",E5319=""),"",IFERROR(_xlfn.CONCAT(VLOOKUP(BB26,Route_Column!#REF!,2,FALSE),CHAR(34)," probability=",CHAR(34),1/BB$4,CHAR(34),CHAR(47),CHAR(62)),"&lt;/routeDistribution&gt;"))</f>
        <v/>
      </c>
    </row>
    <row r="5321" spans="1:5" x14ac:dyDescent="0.25">
      <c r="A5321" t="s">
        <v>1605</v>
      </c>
      <c r="B5321" t="s">
        <v>1178</v>
      </c>
      <c r="E5321" t="str">
        <f>IF(OR(E5320="&lt;/routeDistribution&gt;",E5320=""),"",IFERROR(_xlfn.CONCAT(VLOOKUP(BB27,Route_Column!#REF!,2,FALSE),CHAR(34)," probability=",CHAR(34),1/BB$4,CHAR(34),CHAR(47),CHAR(62)),"&lt;/routeDistribution&gt;"))</f>
        <v/>
      </c>
    </row>
    <row r="5322" spans="1:5" x14ac:dyDescent="0.25">
      <c r="A5322" t="s">
        <v>1605</v>
      </c>
      <c r="B5322" t="s">
        <v>1196</v>
      </c>
      <c r="E5322" t="str">
        <f>IF(OR(E5321="&lt;/routeDistribution&gt;",E5321=""),"",IFERROR(_xlfn.CONCAT(VLOOKUP(BB28,Route_Column!#REF!,2,FALSE),CHAR(34)," probability=",CHAR(34),1/BB$4,CHAR(34),CHAR(47),CHAR(62)),"&lt;/routeDistribution&gt;"))</f>
        <v/>
      </c>
    </row>
    <row r="5323" spans="1:5" x14ac:dyDescent="0.25">
      <c r="A5323" t="s">
        <v>1605</v>
      </c>
      <c r="B5323" t="s">
        <v>1202</v>
      </c>
      <c r="E5323" t="str">
        <f>IF(OR(E5322="&lt;/routeDistribution&gt;",E5322=""),"",IFERROR(_xlfn.CONCAT(VLOOKUP(BB29,Route_Column!#REF!,2,FALSE),CHAR(34)," probability=",CHAR(34),1/BB$4,CHAR(34),CHAR(47),CHAR(62)),"&lt;/routeDistribution&gt;"))</f>
        <v/>
      </c>
    </row>
    <row r="5324" spans="1:5" x14ac:dyDescent="0.25">
      <c r="A5324" t="s">
        <v>1685</v>
      </c>
      <c r="B5324" t="s">
        <v>1099</v>
      </c>
      <c r="E5324" t="str">
        <f>IF(OR(E5323="&lt;/routeDistribution&gt;",E5323=""),"",IFERROR(_xlfn.CONCAT(VLOOKUP(BB30,Route_Column!#REF!,2,FALSE),CHAR(34)," probability=",CHAR(34),1/BB$4,CHAR(34),CHAR(47),CHAR(62)),"&lt;/routeDistribution&gt;"))</f>
        <v/>
      </c>
    </row>
    <row r="5325" spans="1:5" x14ac:dyDescent="0.25">
      <c r="A5325" t="s">
        <v>1606</v>
      </c>
      <c r="B5325" t="s">
        <v>1096</v>
      </c>
      <c r="E5325" t="str">
        <f>IF(OR(E5324="&lt;/routeDistribution&gt;",E5324=""),"",IFERROR(_xlfn.CONCAT(VLOOKUP(BB31,Route_Column!#REF!,2,FALSE),CHAR(34)," probability=",CHAR(34),1/BB$4,CHAR(34),CHAR(47),CHAR(62)),"&lt;/routeDistribution&gt;"))</f>
        <v/>
      </c>
    </row>
    <row r="5326" spans="1:5" x14ac:dyDescent="0.25">
      <c r="A5326" t="s">
        <v>1606</v>
      </c>
      <c r="B5326" t="s">
        <v>1106</v>
      </c>
      <c r="E5326" t="str">
        <f>IF(OR(E5325="&lt;/routeDistribution&gt;",E5325=""),"",IFERROR(_xlfn.CONCAT(VLOOKUP(BB32,Route_Column!#REF!,2,FALSE),CHAR(34)," probability=",CHAR(34),1/BB$4,CHAR(34),CHAR(47),CHAR(62)),"&lt;/routeDistribution&gt;"))</f>
        <v/>
      </c>
    </row>
    <row r="5327" spans="1:5" x14ac:dyDescent="0.25">
      <c r="A5327" t="s">
        <v>1606</v>
      </c>
      <c r="B5327" t="s">
        <v>1107</v>
      </c>
      <c r="E5327" t="str">
        <f>IF(OR(E5326="&lt;/routeDistribution&gt;",E5326=""),"",IFERROR(_xlfn.CONCAT(VLOOKUP(BB33,Route_Column!#REF!,2,FALSE),CHAR(34)," probability=",CHAR(34),1/BB$4,CHAR(34),CHAR(47),CHAR(62)),"&lt;/routeDistribution&gt;"))</f>
        <v/>
      </c>
    </row>
    <row r="5328" spans="1:5" x14ac:dyDescent="0.25">
      <c r="A5328" t="s">
        <v>1606</v>
      </c>
      <c r="B5328" t="s">
        <v>1142</v>
      </c>
      <c r="E5328" t="str">
        <f>IF(OR(E5327="&lt;/routeDistribution&gt;",E5327=""),"",IFERROR(_xlfn.CONCAT(VLOOKUP(BB34,Route_Column!#REF!,2,FALSE),CHAR(34)," probability=",CHAR(34),1/BB$4,CHAR(34),CHAR(47),CHAR(62)),"&lt;/routeDistribution&gt;"))</f>
        <v/>
      </c>
    </row>
    <row r="5329" spans="1:5" x14ac:dyDescent="0.25">
      <c r="A5329" t="s">
        <v>1606</v>
      </c>
      <c r="B5329" t="s">
        <v>1148</v>
      </c>
      <c r="E5329" t="str">
        <f>IF(OR(E5328="&lt;/routeDistribution&gt;",E5328=""),"",IFERROR(_xlfn.CONCAT(VLOOKUP(BB35,Route_Column!#REF!,2,FALSE),CHAR(34)," probability=",CHAR(34),1/BB$4,CHAR(34),CHAR(47),CHAR(62)),"&lt;/routeDistribution&gt;"))</f>
        <v/>
      </c>
    </row>
    <row r="5330" spans="1:5" x14ac:dyDescent="0.25">
      <c r="A5330" t="s">
        <v>1606</v>
      </c>
      <c r="B5330" t="s">
        <v>1161</v>
      </c>
      <c r="E5330" t="str">
        <f>IF(OR(E5329="&lt;/routeDistribution&gt;",E5329=""),"",IFERROR(_xlfn.CONCAT(VLOOKUP(BB36,Route_Column!#REF!,2,FALSE),CHAR(34)," probability=",CHAR(34),1/BB$4,CHAR(34),CHAR(47),CHAR(62)),"&lt;/routeDistribution&gt;"))</f>
        <v/>
      </c>
    </row>
    <row r="5331" spans="1:5" x14ac:dyDescent="0.25">
      <c r="A5331" t="s">
        <v>1606</v>
      </c>
      <c r="B5331" t="s">
        <v>1162</v>
      </c>
      <c r="E5331" t="str">
        <f>IF(OR(E5330="&lt;/routeDistribution&gt;",E5330=""),"",IFERROR(_xlfn.CONCAT(VLOOKUP(BB37,Route_Column!#REF!,2,FALSE),CHAR(34)," probability=",CHAR(34),1/BB$4,CHAR(34),CHAR(47),CHAR(62)),"&lt;/routeDistribution&gt;"))</f>
        <v/>
      </c>
    </row>
    <row r="5332" spans="1:5" x14ac:dyDescent="0.25">
      <c r="A5332" t="s">
        <v>1606</v>
      </c>
      <c r="B5332" t="s">
        <v>1163</v>
      </c>
      <c r="E5332" t="str">
        <f>IF(OR(E5331="&lt;/routeDistribution&gt;",E5331=""),"",IFERROR(_xlfn.CONCAT(VLOOKUP(BB38,Route_Column!#REF!,2,FALSE),CHAR(34)," probability=",CHAR(34),1/BB$4,CHAR(34),CHAR(47),CHAR(62)),"&lt;/routeDistribution&gt;"))</f>
        <v/>
      </c>
    </row>
    <row r="5333" spans="1:5" x14ac:dyDescent="0.25">
      <c r="A5333" t="s">
        <v>1606</v>
      </c>
      <c r="B5333" t="s">
        <v>1168</v>
      </c>
      <c r="E5333" t="str">
        <f>IF(OR(E5332="&lt;/routeDistribution&gt;",E5332=""),"",IFERROR(_xlfn.CONCAT(VLOOKUP(BB39,Route_Column!#REF!,2,FALSE),CHAR(34)," probability=",CHAR(34),1/BB$4,CHAR(34),CHAR(47),CHAR(62)),"&lt;/routeDistribution&gt;"))</f>
        <v/>
      </c>
    </row>
    <row r="5334" spans="1:5" x14ac:dyDescent="0.25">
      <c r="A5334" t="s">
        <v>1606</v>
      </c>
      <c r="B5334" t="s">
        <v>1169</v>
      </c>
      <c r="E5334" t="str">
        <f>IF(OR(E5333="&lt;/routeDistribution&gt;",E5333=""),"",IFERROR(_xlfn.CONCAT(VLOOKUP(BB40,Route_Column!#REF!,2,FALSE),CHAR(34)," probability=",CHAR(34),1/BB$4,CHAR(34),CHAR(47),CHAR(62)),"&lt;/routeDistribution&gt;"))</f>
        <v/>
      </c>
    </row>
    <row r="5335" spans="1:5" x14ac:dyDescent="0.25">
      <c r="A5335" t="s">
        <v>1606</v>
      </c>
      <c r="B5335" t="s">
        <v>1170</v>
      </c>
      <c r="E5335" t="str">
        <f>IF(OR(E5334="&lt;/routeDistribution&gt;",E5334=""),"",IFERROR(_xlfn.CONCAT(VLOOKUP(BB41,Route_Column!#REF!,2,FALSE),CHAR(34)," probability=",CHAR(34),1/BB$4,CHAR(34),CHAR(47),CHAR(62)),"&lt;/routeDistribution&gt;"))</f>
        <v/>
      </c>
    </row>
    <row r="5336" spans="1:5" x14ac:dyDescent="0.25">
      <c r="A5336" t="s">
        <v>1606</v>
      </c>
      <c r="B5336" t="s">
        <v>1178</v>
      </c>
      <c r="E5336" t="str">
        <f>IF(OR(E5335="&lt;/routeDistribution&gt;",E5335=""),"",IFERROR(_xlfn.CONCAT(VLOOKUP(BB42,Route_Column!#REF!,2,FALSE),CHAR(34)," probability=",CHAR(34),1/BB$4,CHAR(34),CHAR(47),CHAR(62)),"&lt;/routeDistribution&gt;"))</f>
        <v/>
      </c>
    </row>
    <row r="5337" spans="1:5" x14ac:dyDescent="0.25">
      <c r="A5337" t="s">
        <v>1606</v>
      </c>
      <c r="B5337" t="s">
        <v>1196</v>
      </c>
      <c r="E5337" t="str">
        <f>IF(OR(E5336="&lt;/routeDistribution&gt;",E5336=""),"",IFERROR(_xlfn.CONCAT(VLOOKUP(BB43,Route_Column!#REF!,2,FALSE),CHAR(34)," probability=",CHAR(34),1/BB$4,CHAR(34),CHAR(47),CHAR(62)),"&lt;/routeDistribution&gt;"))</f>
        <v/>
      </c>
    </row>
    <row r="5338" spans="1:5" x14ac:dyDescent="0.25">
      <c r="A5338" t="s">
        <v>1606</v>
      </c>
      <c r="B5338" t="s">
        <v>1202</v>
      </c>
      <c r="E5338" t="str">
        <f>IF(OR(E5337="&lt;/routeDistribution&gt;",E5337=""),"",IFERROR(_xlfn.CONCAT(VLOOKUP(BB44,Route_Column!#REF!,2,FALSE),CHAR(34)," probability=",CHAR(34),1/BB$4,CHAR(34),CHAR(47),CHAR(62)),"&lt;/routeDistribution&gt;"))</f>
        <v/>
      </c>
    </row>
    <row r="5339" spans="1:5" x14ac:dyDescent="0.25">
      <c r="A5339" t="s">
        <v>1684</v>
      </c>
      <c r="B5339" t="s">
        <v>1099</v>
      </c>
      <c r="E5339" t="str">
        <f>IF(OR(E5338="&lt;/routeDistribution&gt;",E5338=""),"",IFERROR(_xlfn.CONCAT(VLOOKUP(BB45,Route_Column!#REF!,2,FALSE),CHAR(34)," probability=",CHAR(34),1/BB$4,CHAR(34),CHAR(47),CHAR(62)),"&lt;/routeDistribution&gt;"))</f>
        <v/>
      </c>
    </row>
    <row r="5340" spans="1:5" x14ac:dyDescent="0.25">
      <c r="A5340" t="s">
        <v>1849</v>
      </c>
      <c r="B5340" t="s">
        <v>1112</v>
      </c>
      <c r="E5340" t="str">
        <f>IF(OR(E5339="&lt;/routeDistribution&gt;",E5339=""),"",IFERROR(_xlfn.CONCAT(VLOOKUP(BB46,Route_Column!#REF!,2,FALSE),CHAR(34)," probability=",CHAR(34),1/BB$4,CHAR(34),CHAR(47),CHAR(62)),"&lt;/routeDistribution&gt;"))</f>
        <v/>
      </c>
    </row>
    <row r="5341" spans="1:5" x14ac:dyDescent="0.25">
      <c r="A5341" t="s">
        <v>1849</v>
      </c>
      <c r="B5341" t="s">
        <v>1113</v>
      </c>
      <c r="E5341" t="str">
        <f>IF(OR(E5340="&lt;/routeDistribution&gt;",E5340=""),"",IFERROR(_xlfn.CONCAT(VLOOKUP(BB47,Route_Column!#REF!,2,FALSE),CHAR(34)," probability=",CHAR(34),1/BB$4,CHAR(34),CHAR(47),CHAR(62)),"&lt;/routeDistribution&gt;"))</f>
        <v/>
      </c>
    </row>
    <row r="5342" spans="1:5" x14ac:dyDescent="0.25">
      <c r="A5342" t="s">
        <v>1849</v>
      </c>
      <c r="B5342" t="s">
        <v>1114</v>
      </c>
      <c r="E5342" t="str">
        <f>IF(OR(E5341="&lt;/routeDistribution&gt;",E5341=""),"",IFERROR(_xlfn.CONCAT(VLOOKUP(BB48,Route_Column!#REF!,2,FALSE),CHAR(34)," probability=",CHAR(34),1/BB$4,CHAR(34),CHAR(47),CHAR(62)),"&lt;/routeDistribution&gt;"))</f>
        <v/>
      </c>
    </row>
    <row r="5343" spans="1:5" x14ac:dyDescent="0.25">
      <c r="A5343" t="s">
        <v>1849</v>
      </c>
      <c r="B5343" t="s">
        <v>1115</v>
      </c>
      <c r="E5343" t="str">
        <f>IF(OR(E5342="&lt;/routeDistribution&gt;",E5342=""),"",IFERROR(_xlfn.CONCAT(VLOOKUP(BB49,Route_Column!#REF!,2,FALSE),CHAR(34)," probability=",CHAR(34),1/BB$4,CHAR(34),CHAR(47),CHAR(62)),"&lt;/routeDistribution&gt;"))</f>
        <v/>
      </c>
    </row>
    <row r="5344" spans="1:5" x14ac:dyDescent="0.25">
      <c r="A5344" s="11" t="s">
        <v>1435</v>
      </c>
      <c r="B5344" t="s">
        <v>1090</v>
      </c>
      <c r="E5344" t="str">
        <f>IF(OR(E5343="&lt;/routeDistribution&gt;",E5343=""),"",IFERROR(_xlfn.CONCAT(VLOOKUP(BB50,Route_Column!#REF!,2,FALSE),CHAR(34)," probability=",CHAR(34),1/BB$4,CHAR(34),CHAR(47),CHAR(62)),"&lt;/routeDistribution&gt;"))</f>
        <v/>
      </c>
    </row>
    <row r="5345" spans="1:5" x14ac:dyDescent="0.25">
      <c r="A5345" s="11" t="s">
        <v>1435</v>
      </c>
      <c r="B5345" t="s">
        <v>1091</v>
      </c>
      <c r="E5345" t="str">
        <f>IF(OR(E5344="&lt;/routeDistribution&gt;",E5344=""),"",IFERROR(_xlfn.CONCAT(VLOOKUP(BB51,Route_Column!#REF!,2,FALSE),CHAR(34)," probability=",CHAR(34),1/BB$4,CHAR(34),CHAR(47),CHAR(62)),"&lt;/routeDistribution&gt;"))</f>
        <v/>
      </c>
    </row>
    <row r="5346" spans="1:5" x14ac:dyDescent="0.25">
      <c r="A5346" t="s">
        <v>1435</v>
      </c>
      <c r="B5346" t="s">
        <v>1092</v>
      </c>
      <c r="E5346" t="str">
        <f>IF(OR(E5345="&lt;/routeDistribution&gt;",E5345=""),"",IFERROR(_xlfn.CONCAT(VLOOKUP(BB52,Route_Column!#REF!,2,FALSE),CHAR(34)," probability=",CHAR(34),1/BB$4,CHAR(34),CHAR(47),CHAR(62)),"&lt;/routeDistribution&gt;"))</f>
        <v/>
      </c>
    </row>
    <row r="5347" spans="1:5" x14ac:dyDescent="0.25">
      <c r="A5347" t="s">
        <v>1435</v>
      </c>
      <c r="B5347" t="s">
        <v>1093</v>
      </c>
      <c r="E5347" t="str">
        <f>IF(OR(E5346="&lt;/routeDistribution&gt;",E5346=""),"",IFERROR(_xlfn.CONCAT(VLOOKUP(BB53,Route_Column!#REF!,2,FALSE),CHAR(34)," probability=",CHAR(34),1/BB$4,CHAR(34),CHAR(47),CHAR(62)),"&lt;/routeDistribution&gt;"))</f>
        <v/>
      </c>
    </row>
    <row r="5348" spans="1:5" x14ac:dyDescent="0.25">
      <c r="A5348" t="s">
        <v>1435</v>
      </c>
      <c r="B5348" t="s">
        <v>1094</v>
      </c>
      <c r="E5348" t="str">
        <f>IF(OR(E5347="&lt;/routeDistribution&gt;",E5347=""),"",IFERROR(_xlfn.CONCAT(VLOOKUP(BB54,Route_Column!#REF!,2,FALSE),CHAR(34)," probability=",CHAR(34),1/BB$4,CHAR(34),CHAR(47),CHAR(62)),"&lt;/routeDistribution&gt;"))</f>
        <v/>
      </c>
    </row>
    <row r="5349" spans="1:5" x14ac:dyDescent="0.25">
      <c r="A5349" t="s">
        <v>1435</v>
      </c>
      <c r="B5349" t="s">
        <v>1095</v>
      </c>
      <c r="E5349" t="str">
        <f>IF(OR(E5348="&lt;/routeDistribution&gt;",E5348=""),"",IFERROR(_xlfn.CONCAT(VLOOKUP(BB55,Route_Column!#REF!,2,FALSE),CHAR(34)," probability=",CHAR(34),1/BB$4,CHAR(34),CHAR(47),CHAR(62)),"&lt;/routeDistribution&gt;"))</f>
        <v/>
      </c>
    </row>
    <row r="5350" spans="1:5" x14ac:dyDescent="0.25">
      <c r="A5350" t="s">
        <v>1435</v>
      </c>
      <c r="B5350" t="s">
        <v>1096</v>
      </c>
      <c r="E5350" t="str">
        <f>IF(OR(E5349="&lt;/routeDistribution&gt;",E5349=""),"",IFERROR(_xlfn.CONCAT(VLOOKUP(BB56,Route_Column!#REF!,2,FALSE),CHAR(34)," probability=",CHAR(34),1/BB$4,CHAR(34),CHAR(47),CHAR(62)),"&lt;/routeDistribution&gt;"))</f>
        <v/>
      </c>
    </row>
    <row r="5351" spans="1:5" x14ac:dyDescent="0.25">
      <c r="A5351" t="s">
        <v>1435</v>
      </c>
      <c r="B5351" t="s">
        <v>1097</v>
      </c>
      <c r="E5351" t="str">
        <f>IF(OR(E5350="&lt;/routeDistribution&gt;",E5350=""),"",IFERROR(_xlfn.CONCAT(VLOOKUP(BB57,Route_Column!#REF!,2,FALSE),CHAR(34)," probability=",CHAR(34),1/BB$4,CHAR(34),CHAR(47),CHAR(62)),"&lt;/routeDistribution&gt;"))</f>
        <v/>
      </c>
    </row>
    <row r="5352" spans="1:5" x14ac:dyDescent="0.25">
      <c r="A5352" t="s">
        <v>1435</v>
      </c>
      <c r="B5352" t="s">
        <v>1098</v>
      </c>
      <c r="E5352" t="str">
        <f>IF(OR(E5351="&lt;/routeDistribution&gt;",E5351=""),"",IFERROR(_xlfn.CONCAT(VLOOKUP(BB58,Route_Column!#REF!,2,FALSE),CHAR(34)," probability=",CHAR(34),1/BB$4,CHAR(34),CHAR(47),CHAR(62)),"&lt;/routeDistribution&gt;"))</f>
        <v/>
      </c>
    </row>
    <row r="5353" spans="1:5" x14ac:dyDescent="0.25">
      <c r="A5353" t="s">
        <v>1435</v>
      </c>
      <c r="B5353" t="s">
        <v>1099</v>
      </c>
      <c r="E5353" t="str">
        <f>IF(OR(E5352="&lt;/routeDistribution&gt;",E5352=""),"",IFERROR(_xlfn.CONCAT(VLOOKUP(BB59,Route_Column!#REF!,2,FALSE),CHAR(34)," probability=",CHAR(34),1/BB$4,CHAR(34),CHAR(47),CHAR(62)),"&lt;/routeDistribution&gt;"))</f>
        <v/>
      </c>
    </row>
    <row r="5354" spans="1:5" x14ac:dyDescent="0.25">
      <c r="A5354" t="s">
        <v>1435</v>
      </c>
      <c r="B5354" t="s">
        <v>1100</v>
      </c>
      <c r="E5354" t="str">
        <f>IF(OR(E5353="&lt;/routeDistribution&gt;",E5353=""),"",IFERROR(_xlfn.CONCAT(VLOOKUP(BB60,Route_Column!#REF!,2,FALSE),CHAR(34)," probability=",CHAR(34),1/BB$4,CHAR(34),CHAR(47),CHAR(62)),"&lt;/routeDistribution&gt;"))</f>
        <v/>
      </c>
    </row>
    <row r="5355" spans="1:5" x14ac:dyDescent="0.25">
      <c r="A5355" t="s">
        <v>1435</v>
      </c>
      <c r="B5355" t="s">
        <v>1101</v>
      </c>
      <c r="E5355" t="str">
        <f>IF(OR(E5354="&lt;/routeDistribution&gt;",E5354=""),"",IFERROR(_xlfn.CONCAT(VLOOKUP(BB61,Route_Column!#REF!,2,FALSE),CHAR(34)," probability=",CHAR(34),1/BB$4,CHAR(34),CHAR(47),CHAR(62)),"&lt;/routeDistribution&gt;"))</f>
        <v/>
      </c>
    </row>
    <row r="5356" spans="1:5" x14ac:dyDescent="0.25">
      <c r="A5356" t="s">
        <v>1435</v>
      </c>
      <c r="B5356" t="s">
        <v>1102</v>
      </c>
      <c r="E5356" t="str">
        <f>IF(OR(E5355="&lt;/routeDistribution&gt;",E5355=""),"",IFERROR(_xlfn.CONCAT(VLOOKUP(BB62,Route_Column!#REF!,2,FALSE),CHAR(34)," probability=",CHAR(34),1/BB$4,CHAR(34),CHAR(47),CHAR(62)),"&lt;/routeDistribution&gt;"))</f>
        <v/>
      </c>
    </row>
    <row r="5357" spans="1:5" x14ac:dyDescent="0.25">
      <c r="A5357" t="s">
        <v>1435</v>
      </c>
      <c r="B5357" t="s">
        <v>1102</v>
      </c>
      <c r="E5357" t="str">
        <f>IF(OR(E5356="&lt;/routeDistribution&gt;",E5356=""),"",IFERROR(_xlfn.CONCAT(VLOOKUP(BB63,Route_Column!#REF!,2,FALSE),CHAR(34)," probability=",CHAR(34),1/BB$4,CHAR(34),CHAR(47),CHAR(62)),"&lt;/routeDistribution&gt;"))</f>
        <v/>
      </c>
    </row>
    <row r="5358" spans="1:5" x14ac:dyDescent="0.25">
      <c r="A5358" t="s">
        <v>1435</v>
      </c>
      <c r="B5358" t="s">
        <v>1103</v>
      </c>
      <c r="E5358" t="s">
        <v>2686</v>
      </c>
    </row>
    <row r="5359" spans="1:5" x14ac:dyDescent="0.25">
      <c r="A5359" t="s">
        <v>1435</v>
      </c>
      <c r="B5359" t="s">
        <v>1104</v>
      </c>
    </row>
    <row r="5360" spans="1:5" x14ac:dyDescent="0.25">
      <c r="A5360" t="s">
        <v>1435</v>
      </c>
      <c r="B5360" t="s">
        <v>1105</v>
      </c>
    </row>
    <row r="5361" spans="1:5" x14ac:dyDescent="0.25">
      <c r="A5361" t="s">
        <v>1435</v>
      </c>
      <c r="B5361" t="s">
        <v>1106</v>
      </c>
      <c r="E5361" t="str">
        <f>_xlfn.CONCAT($E$1,BA$2,$F$1)</f>
        <v>&lt;routeDistribution id="SPRUCE-23rd-to-24th-WB-2012-RouteProbe"&gt;</v>
      </c>
    </row>
    <row r="5362" spans="1:5" x14ac:dyDescent="0.25">
      <c r="A5362" t="s">
        <v>1435</v>
      </c>
      <c r="B5362" t="s">
        <v>1107</v>
      </c>
      <c r="E5362" t="str">
        <f>IF(OR(E5361="&lt;/routeDistribution&gt;",E5361=""),"",IFERROR(_xlfn.CONCAT(VLOOKUP(BA5,Route_Column!#REF!,2,FALSE),CHAR(34)," probability=",CHAR(34),1/BA$4,CHAR(34),CHAR(47),CHAR(62)),"&lt;/routeDistribution&gt;"))</f>
        <v>&lt;/routeDistribution&gt;</v>
      </c>
    </row>
    <row r="5363" spans="1:5" x14ac:dyDescent="0.25">
      <c r="A5363" t="s">
        <v>1435</v>
      </c>
      <c r="B5363" t="s">
        <v>1108</v>
      </c>
      <c r="E5363" t="str">
        <f>IF(OR(E5362="&lt;/routeDistribution&gt;",E5362=""),"",IFERROR(_xlfn.CONCAT(VLOOKUP(BA6,Route_Column!#REF!,2,FALSE),CHAR(34)," probability=",CHAR(34),1/BA$4,CHAR(34),CHAR(47),CHAR(62)),"&lt;/routeDistribution&gt;"))</f>
        <v/>
      </c>
    </row>
    <row r="5364" spans="1:5" x14ac:dyDescent="0.25">
      <c r="A5364" t="s">
        <v>1435</v>
      </c>
      <c r="B5364" t="s">
        <v>1109</v>
      </c>
      <c r="E5364" t="str">
        <f>IF(OR(E5363="&lt;/routeDistribution&gt;",E5363=""),"",IFERROR(_xlfn.CONCAT(VLOOKUP(BA7,Route_Column!#REF!,2,FALSE),CHAR(34)," probability=",CHAR(34),1/BA$4,CHAR(34),CHAR(47),CHAR(62)),"&lt;/routeDistribution&gt;"))</f>
        <v/>
      </c>
    </row>
    <row r="5365" spans="1:5" x14ac:dyDescent="0.25">
      <c r="A5365" t="s">
        <v>1435</v>
      </c>
      <c r="B5365" t="s">
        <v>1110</v>
      </c>
      <c r="E5365" t="str">
        <f>IF(OR(E5364="&lt;/routeDistribution&gt;",E5364=""),"",IFERROR(_xlfn.CONCAT(VLOOKUP(BA8,Route_Column!#REF!,2,FALSE),CHAR(34)," probability=",CHAR(34),1/BA$4,CHAR(34),CHAR(47),CHAR(62)),"&lt;/routeDistribution&gt;"))</f>
        <v/>
      </c>
    </row>
    <row r="5366" spans="1:5" x14ac:dyDescent="0.25">
      <c r="A5366" t="s">
        <v>1435</v>
      </c>
      <c r="B5366" t="s">
        <v>1111</v>
      </c>
      <c r="E5366" t="str">
        <f>IF(OR(E5365="&lt;/routeDistribution&gt;",E5365=""),"",IFERROR(_xlfn.CONCAT(VLOOKUP(BA9,Route_Column!#REF!,2,FALSE),CHAR(34)," probability=",CHAR(34),1/BA$4,CHAR(34),CHAR(47),CHAR(62)),"&lt;/routeDistribution&gt;"))</f>
        <v/>
      </c>
    </row>
    <row r="5367" spans="1:5" x14ac:dyDescent="0.25">
      <c r="A5367" t="s">
        <v>1435</v>
      </c>
      <c r="B5367" t="s">
        <v>1112</v>
      </c>
      <c r="E5367" t="str">
        <f>IF(OR(E5366="&lt;/routeDistribution&gt;",E5366=""),"",IFERROR(_xlfn.CONCAT(VLOOKUP(BA10,Route_Column!#REF!,2,FALSE),CHAR(34)," probability=",CHAR(34),1/BA$4,CHAR(34),CHAR(47),CHAR(62)),"&lt;/routeDistribution&gt;"))</f>
        <v/>
      </c>
    </row>
    <row r="5368" spans="1:5" x14ac:dyDescent="0.25">
      <c r="A5368" t="s">
        <v>1435</v>
      </c>
      <c r="B5368" t="s">
        <v>1113</v>
      </c>
      <c r="E5368" t="str">
        <f>IF(OR(E5367="&lt;/routeDistribution&gt;",E5367=""),"",IFERROR(_xlfn.CONCAT(VLOOKUP(BA11,Route_Column!#REF!,2,FALSE),CHAR(34)," probability=",CHAR(34),1/BA$4,CHAR(34),CHAR(47),CHAR(62)),"&lt;/routeDistribution&gt;"))</f>
        <v/>
      </c>
    </row>
    <row r="5369" spans="1:5" x14ac:dyDescent="0.25">
      <c r="A5369" t="s">
        <v>1435</v>
      </c>
      <c r="B5369" t="s">
        <v>1114</v>
      </c>
      <c r="E5369" t="str">
        <f>IF(OR(E5368="&lt;/routeDistribution&gt;",E5368=""),"",IFERROR(_xlfn.CONCAT(VLOOKUP(BA12,Route_Column!#REF!,2,FALSE),CHAR(34)," probability=",CHAR(34),1/BA$4,CHAR(34),CHAR(47),CHAR(62)),"&lt;/routeDistribution&gt;"))</f>
        <v/>
      </c>
    </row>
    <row r="5370" spans="1:5" x14ac:dyDescent="0.25">
      <c r="A5370" t="s">
        <v>1435</v>
      </c>
      <c r="B5370" t="s">
        <v>1115</v>
      </c>
      <c r="E5370" t="str">
        <f>IF(OR(E5369="&lt;/routeDistribution&gt;",E5369=""),"",IFERROR(_xlfn.CONCAT(VLOOKUP(BA13,Route_Column!#REF!,2,FALSE),CHAR(34)," probability=",CHAR(34),1/BA$4,CHAR(34),CHAR(47),CHAR(62)),"&lt;/routeDistribution&gt;"))</f>
        <v/>
      </c>
    </row>
    <row r="5371" spans="1:5" x14ac:dyDescent="0.25">
      <c r="A5371" t="s">
        <v>1435</v>
      </c>
      <c r="B5371" t="s">
        <v>1122</v>
      </c>
      <c r="E5371" t="str">
        <f>IF(OR(E5370="&lt;/routeDistribution&gt;",E5370=""),"",IFERROR(_xlfn.CONCAT(VLOOKUP(BA14,Route_Column!#REF!,2,FALSE),CHAR(34)," probability=",CHAR(34),1/BA$4,CHAR(34),CHAR(47),CHAR(62)),"&lt;/routeDistribution&gt;"))</f>
        <v/>
      </c>
    </row>
    <row r="5372" spans="1:5" x14ac:dyDescent="0.25">
      <c r="A5372" t="s">
        <v>1850</v>
      </c>
      <c r="B5372" t="s">
        <v>1112</v>
      </c>
      <c r="E5372" t="str">
        <f>IF(OR(E5371="&lt;/routeDistribution&gt;",E5371=""),"",IFERROR(_xlfn.CONCAT(VLOOKUP(BA15,Route_Column!#REF!,2,FALSE),CHAR(34)," probability=",CHAR(34),1/BA$4,CHAR(34),CHAR(47),CHAR(62)),"&lt;/routeDistribution&gt;"))</f>
        <v/>
      </c>
    </row>
    <row r="5373" spans="1:5" x14ac:dyDescent="0.25">
      <c r="A5373" t="s">
        <v>1850</v>
      </c>
      <c r="B5373" t="s">
        <v>1113</v>
      </c>
      <c r="E5373" t="str">
        <f>IF(OR(E5372="&lt;/routeDistribution&gt;",E5372=""),"",IFERROR(_xlfn.CONCAT(VLOOKUP(BA16,Route_Column!#REF!,2,FALSE),CHAR(34)," probability=",CHAR(34),1/BA$4,CHAR(34),CHAR(47),CHAR(62)),"&lt;/routeDistribution&gt;"))</f>
        <v/>
      </c>
    </row>
    <row r="5374" spans="1:5" x14ac:dyDescent="0.25">
      <c r="A5374" t="s">
        <v>1850</v>
      </c>
      <c r="B5374" t="s">
        <v>1114</v>
      </c>
      <c r="E5374" t="str">
        <f>IF(OR(E5373="&lt;/routeDistribution&gt;",E5373=""),"",IFERROR(_xlfn.CONCAT(VLOOKUP(BA17,Route_Column!#REF!,2,FALSE),CHAR(34)," probability=",CHAR(34),1/BA$4,CHAR(34),CHAR(47),CHAR(62)),"&lt;/routeDistribution&gt;"))</f>
        <v/>
      </c>
    </row>
    <row r="5375" spans="1:5" x14ac:dyDescent="0.25">
      <c r="A5375" t="s">
        <v>1850</v>
      </c>
      <c r="B5375" t="s">
        <v>1115</v>
      </c>
      <c r="E5375" t="str">
        <f>IF(OR(E5374="&lt;/routeDistribution&gt;",E5374=""),"",IFERROR(_xlfn.CONCAT(VLOOKUP(BA18,Route_Column!#REF!,2,FALSE),CHAR(34)," probability=",CHAR(34),1/BA$4,CHAR(34),CHAR(47),CHAR(62)),"&lt;/routeDistribution&gt;"))</f>
        <v/>
      </c>
    </row>
    <row r="5376" spans="1:5" x14ac:dyDescent="0.25">
      <c r="A5376" s="11" t="s">
        <v>1434</v>
      </c>
      <c r="B5376" t="s">
        <v>1090</v>
      </c>
      <c r="E5376" t="str">
        <f>IF(OR(E5375="&lt;/routeDistribution&gt;",E5375=""),"",IFERROR(_xlfn.CONCAT(VLOOKUP(BA19,Route_Column!#REF!,2,FALSE),CHAR(34)," probability=",CHAR(34),1/BA$4,CHAR(34),CHAR(47),CHAR(62)),"&lt;/routeDistribution&gt;"))</f>
        <v/>
      </c>
    </row>
    <row r="5377" spans="1:5" x14ac:dyDescent="0.25">
      <c r="A5377" s="11" t="s">
        <v>1434</v>
      </c>
      <c r="B5377" t="s">
        <v>1091</v>
      </c>
      <c r="E5377" t="str">
        <f>IF(OR(E5376="&lt;/routeDistribution&gt;",E5376=""),"",IFERROR(_xlfn.CONCAT(VLOOKUP(BA20,Route_Column!#REF!,2,FALSE),CHAR(34)," probability=",CHAR(34),1/BA$4,CHAR(34),CHAR(47),CHAR(62)),"&lt;/routeDistribution&gt;"))</f>
        <v/>
      </c>
    </row>
    <row r="5378" spans="1:5" x14ac:dyDescent="0.25">
      <c r="A5378" t="s">
        <v>1434</v>
      </c>
      <c r="B5378" t="s">
        <v>1092</v>
      </c>
      <c r="E5378" t="str">
        <f>IF(OR(E5377="&lt;/routeDistribution&gt;",E5377=""),"",IFERROR(_xlfn.CONCAT(VLOOKUP(BA21,Route_Column!#REF!,2,FALSE),CHAR(34)," probability=",CHAR(34),1/BA$4,CHAR(34),CHAR(47),CHAR(62)),"&lt;/routeDistribution&gt;"))</f>
        <v/>
      </c>
    </row>
    <row r="5379" spans="1:5" x14ac:dyDescent="0.25">
      <c r="A5379" t="s">
        <v>1434</v>
      </c>
      <c r="B5379" t="s">
        <v>1093</v>
      </c>
      <c r="E5379" t="str">
        <f>IF(OR(E5378="&lt;/routeDistribution&gt;",E5378=""),"",IFERROR(_xlfn.CONCAT(VLOOKUP(BA22,Route_Column!#REF!,2,FALSE),CHAR(34)," probability=",CHAR(34),1/BA$4,CHAR(34),CHAR(47),CHAR(62)),"&lt;/routeDistribution&gt;"))</f>
        <v/>
      </c>
    </row>
    <row r="5380" spans="1:5" x14ac:dyDescent="0.25">
      <c r="A5380" t="s">
        <v>1434</v>
      </c>
      <c r="B5380" t="s">
        <v>1094</v>
      </c>
      <c r="E5380" t="str">
        <f>IF(OR(E5379="&lt;/routeDistribution&gt;",E5379=""),"",IFERROR(_xlfn.CONCAT(VLOOKUP(BA23,Route_Column!#REF!,2,FALSE),CHAR(34)," probability=",CHAR(34),1/BA$4,CHAR(34),CHAR(47),CHAR(62)),"&lt;/routeDistribution&gt;"))</f>
        <v/>
      </c>
    </row>
    <row r="5381" spans="1:5" x14ac:dyDescent="0.25">
      <c r="A5381" t="s">
        <v>1434</v>
      </c>
      <c r="B5381" t="s">
        <v>1095</v>
      </c>
      <c r="E5381" t="str">
        <f>IF(OR(E5380="&lt;/routeDistribution&gt;",E5380=""),"",IFERROR(_xlfn.CONCAT(VLOOKUP(BA24,Route_Column!#REF!,2,FALSE),CHAR(34)," probability=",CHAR(34),1/BA$4,CHAR(34),CHAR(47),CHAR(62)),"&lt;/routeDistribution&gt;"))</f>
        <v/>
      </c>
    </row>
    <row r="5382" spans="1:5" x14ac:dyDescent="0.25">
      <c r="A5382" t="s">
        <v>1434</v>
      </c>
      <c r="B5382" t="s">
        <v>1096</v>
      </c>
      <c r="E5382" t="str">
        <f>IF(OR(E5381="&lt;/routeDistribution&gt;",E5381=""),"",IFERROR(_xlfn.CONCAT(VLOOKUP(BA25,Route_Column!#REF!,2,FALSE),CHAR(34)," probability=",CHAR(34),1/BA$4,CHAR(34),CHAR(47),CHAR(62)),"&lt;/routeDistribution&gt;"))</f>
        <v/>
      </c>
    </row>
    <row r="5383" spans="1:5" x14ac:dyDescent="0.25">
      <c r="A5383" t="s">
        <v>1434</v>
      </c>
      <c r="B5383" t="s">
        <v>1097</v>
      </c>
      <c r="E5383" t="str">
        <f>IF(OR(E5382="&lt;/routeDistribution&gt;",E5382=""),"",IFERROR(_xlfn.CONCAT(VLOOKUP(BA26,Route_Column!#REF!,2,FALSE),CHAR(34)," probability=",CHAR(34),1/BA$4,CHAR(34),CHAR(47),CHAR(62)),"&lt;/routeDistribution&gt;"))</f>
        <v/>
      </c>
    </row>
    <row r="5384" spans="1:5" x14ac:dyDescent="0.25">
      <c r="A5384" t="s">
        <v>1434</v>
      </c>
      <c r="B5384" t="s">
        <v>1098</v>
      </c>
      <c r="E5384" t="str">
        <f>IF(OR(E5383="&lt;/routeDistribution&gt;",E5383=""),"",IFERROR(_xlfn.CONCAT(VLOOKUP(BA27,Route_Column!#REF!,2,FALSE),CHAR(34)," probability=",CHAR(34),1/BA$4,CHAR(34),CHAR(47),CHAR(62)),"&lt;/routeDistribution&gt;"))</f>
        <v/>
      </c>
    </row>
    <row r="5385" spans="1:5" x14ac:dyDescent="0.25">
      <c r="A5385" t="s">
        <v>1434</v>
      </c>
      <c r="B5385" t="s">
        <v>1099</v>
      </c>
      <c r="E5385" t="str">
        <f>IF(OR(E5384="&lt;/routeDistribution&gt;",E5384=""),"",IFERROR(_xlfn.CONCAT(VLOOKUP(BA28,Route_Column!#REF!,2,FALSE),CHAR(34)," probability=",CHAR(34),1/BA$4,CHAR(34),CHAR(47),CHAR(62)),"&lt;/routeDistribution&gt;"))</f>
        <v/>
      </c>
    </row>
    <row r="5386" spans="1:5" x14ac:dyDescent="0.25">
      <c r="A5386" t="s">
        <v>1434</v>
      </c>
      <c r="B5386" t="s">
        <v>1100</v>
      </c>
      <c r="E5386" t="str">
        <f>IF(OR(E5385="&lt;/routeDistribution&gt;",E5385=""),"",IFERROR(_xlfn.CONCAT(VLOOKUP(BA29,Route_Column!#REF!,2,FALSE),CHAR(34)," probability=",CHAR(34),1/BA$4,CHAR(34),CHAR(47),CHAR(62)),"&lt;/routeDistribution&gt;"))</f>
        <v/>
      </c>
    </row>
    <row r="5387" spans="1:5" x14ac:dyDescent="0.25">
      <c r="A5387" t="s">
        <v>1434</v>
      </c>
      <c r="B5387" t="s">
        <v>1101</v>
      </c>
      <c r="E5387" t="str">
        <f>IF(OR(E5386="&lt;/routeDistribution&gt;",E5386=""),"",IFERROR(_xlfn.CONCAT(VLOOKUP(BA30,Route_Column!#REF!,2,FALSE),CHAR(34)," probability=",CHAR(34),1/BA$4,CHAR(34),CHAR(47),CHAR(62)),"&lt;/routeDistribution&gt;"))</f>
        <v/>
      </c>
    </row>
    <row r="5388" spans="1:5" x14ac:dyDescent="0.25">
      <c r="A5388" t="s">
        <v>1434</v>
      </c>
      <c r="B5388" t="s">
        <v>1102</v>
      </c>
      <c r="E5388" t="str">
        <f>IF(OR(E5387="&lt;/routeDistribution&gt;",E5387=""),"",IFERROR(_xlfn.CONCAT(VLOOKUP(BA31,Route_Column!#REF!,2,FALSE),CHAR(34)," probability=",CHAR(34),1/BA$4,CHAR(34),CHAR(47),CHAR(62)),"&lt;/routeDistribution&gt;"))</f>
        <v/>
      </c>
    </row>
    <row r="5389" spans="1:5" x14ac:dyDescent="0.25">
      <c r="A5389" t="s">
        <v>1434</v>
      </c>
      <c r="B5389" t="s">
        <v>1102</v>
      </c>
      <c r="E5389" t="str">
        <f>IF(OR(E5388="&lt;/routeDistribution&gt;",E5388=""),"",IFERROR(_xlfn.CONCAT(VLOOKUP(BA32,Route_Column!#REF!,2,FALSE),CHAR(34)," probability=",CHAR(34),1/BA$4,CHAR(34),CHAR(47),CHAR(62)),"&lt;/routeDistribution&gt;"))</f>
        <v/>
      </c>
    </row>
    <row r="5390" spans="1:5" x14ac:dyDescent="0.25">
      <c r="A5390" t="s">
        <v>1434</v>
      </c>
      <c r="B5390" t="s">
        <v>1103</v>
      </c>
      <c r="E5390" t="str">
        <f>IF(OR(E5389="&lt;/routeDistribution&gt;",E5389=""),"",IFERROR(_xlfn.CONCAT(VLOOKUP(BA33,Route_Column!#REF!,2,FALSE),CHAR(34)," probability=",CHAR(34),1/BA$4,CHAR(34),CHAR(47),CHAR(62)),"&lt;/routeDistribution&gt;"))</f>
        <v/>
      </c>
    </row>
    <row r="5391" spans="1:5" x14ac:dyDescent="0.25">
      <c r="A5391" t="s">
        <v>1434</v>
      </c>
      <c r="B5391" t="s">
        <v>1104</v>
      </c>
      <c r="E5391" t="str">
        <f>IF(OR(E5390="&lt;/routeDistribution&gt;",E5390=""),"",IFERROR(_xlfn.CONCAT(VLOOKUP(BA34,Route_Column!#REF!,2,FALSE),CHAR(34)," probability=",CHAR(34),1/BA$4,CHAR(34),CHAR(47),CHAR(62)),"&lt;/routeDistribution&gt;"))</f>
        <v/>
      </c>
    </row>
    <row r="5392" spans="1:5" x14ac:dyDescent="0.25">
      <c r="A5392" t="s">
        <v>1434</v>
      </c>
      <c r="B5392" t="s">
        <v>1105</v>
      </c>
      <c r="E5392" t="str">
        <f>IF(OR(E5391="&lt;/routeDistribution&gt;",E5391=""),"",IFERROR(_xlfn.CONCAT(VLOOKUP(BA35,Route_Column!#REF!,2,FALSE),CHAR(34)," probability=",CHAR(34),1/BA$4,CHAR(34),CHAR(47),CHAR(62)),"&lt;/routeDistribution&gt;"))</f>
        <v/>
      </c>
    </row>
    <row r="5393" spans="1:5" x14ac:dyDescent="0.25">
      <c r="A5393" t="s">
        <v>1434</v>
      </c>
      <c r="B5393" t="s">
        <v>1106</v>
      </c>
      <c r="E5393" t="str">
        <f>IF(OR(E5392="&lt;/routeDistribution&gt;",E5392=""),"",IFERROR(_xlfn.CONCAT(VLOOKUP(BA36,Route_Column!#REF!,2,FALSE),CHAR(34)," probability=",CHAR(34),1/BA$4,CHAR(34),CHAR(47),CHAR(62)),"&lt;/routeDistribution&gt;"))</f>
        <v/>
      </c>
    </row>
    <row r="5394" spans="1:5" x14ac:dyDescent="0.25">
      <c r="A5394" t="s">
        <v>1434</v>
      </c>
      <c r="B5394" t="s">
        <v>1107</v>
      </c>
      <c r="E5394" t="str">
        <f>IF(OR(E5393="&lt;/routeDistribution&gt;",E5393=""),"",IFERROR(_xlfn.CONCAT(VLOOKUP(BA37,Route_Column!#REF!,2,FALSE),CHAR(34)," probability=",CHAR(34),1/BA$4,CHAR(34),CHAR(47),CHAR(62)),"&lt;/routeDistribution&gt;"))</f>
        <v/>
      </c>
    </row>
    <row r="5395" spans="1:5" x14ac:dyDescent="0.25">
      <c r="A5395" t="s">
        <v>1434</v>
      </c>
      <c r="B5395" t="s">
        <v>1108</v>
      </c>
      <c r="E5395" t="str">
        <f>IF(OR(E5394="&lt;/routeDistribution&gt;",E5394=""),"",IFERROR(_xlfn.CONCAT(VLOOKUP(BA38,Route_Column!#REF!,2,FALSE),CHAR(34)," probability=",CHAR(34),1/BA$4,CHAR(34),CHAR(47),CHAR(62)),"&lt;/routeDistribution&gt;"))</f>
        <v/>
      </c>
    </row>
    <row r="5396" spans="1:5" x14ac:dyDescent="0.25">
      <c r="A5396" t="s">
        <v>1434</v>
      </c>
      <c r="B5396" t="s">
        <v>1109</v>
      </c>
      <c r="E5396" t="str">
        <f>IF(OR(E5395="&lt;/routeDistribution&gt;",E5395=""),"",IFERROR(_xlfn.CONCAT(VLOOKUP(BA39,Route_Column!#REF!,2,FALSE),CHAR(34)," probability=",CHAR(34),1/BA$4,CHAR(34),CHAR(47),CHAR(62)),"&lt;/routeDistribution&gt;"))</f>
        <v/>
      </c>
    </row>
    <row r="5397" spans="1:5" x14ac:dyDescent="0.25">
      <c r="A5397" t="s">
        <v>1434</v>
      </c>
      <c r="B5397" t="s">
        <v>1110</v>
      </c>
      <c r="E5397" t="str">
        <f>IF(OR(E5396="&lt;/routeDistribution&gt;",E5396=""),"",IFERROR(_xlfn.CONCAT(VLOOKUP(BA40,Route_Column!#REF!,2,FALSE),CHAR(34)," probability=",CHAR(34),1/BA$4,CHAR(34),CHAR(47),CHAR(62)),"&lt;/routeDistribution&gt;"))</f>
        <v/>
      </c>
    </row>
    <row r="5398" spans="1:5" x14ac:dyDescent="0.25">
      <c r="A5398" t="s">
        <v>1434</v>
      </c>
      <c r="B5398" t="s">
        <v>1111</v>
      </c>
      <c r="E5398" t="str">
        <f>IF(OR(E5397="&lt;/routeDistribution&gt;",E5397=""),"",IFERROR(_xlfn.CONCAT(VLOOKUP(BA41,Route_Column!#REF!,2,FALSE),CHAR(34)," probability=",CHAR(34),1/BA$4,CHAR(34),CHAR(47),CHAR(62)),"&lt;/routeDistribution&gt;"))</f>
        <v/>
      </c>
    </row>
    <row r="5399" spans="1:5" x14ac:dyDescent="0.25">
      <c r="A5399" t="s">
        <v>1434</v>
      </c>
      <c r="B5399" t="s">
        <v>1112</v>
      </c>
      <c r="E5399" t="str">
        <f>IF(OR(E5398="&lt;/routeDistribution&gt;",E5398=""),"",IFERROR(_xlfn.CONCAT(VLOOKUP(BA42,Route_Column!#REF!,2,FALSE),CHAR(34)," probability=",CHAR(34),1/BA$4,CHAR(34),CHAR(47),CHAR(62)),"&lt;/routeDistribution&gt;"))</f>
        <v/>
      </c>
    </row>
    <row r="5400" spans="1:5" x14ac:dyDescent="0.25">
      <c r="A5400" t="s">
        <v>1434</v>
      </c>
      <c r="B5400" t="s">
        <v>1113</v>
      </c>
      <c r="E5400" t="str">
        <f>IF(OR(E5399="&lt;/routeDistribution&gt;",E5399=""),"",IFERROR(_xlfn.CONCAT(VLOOKUP(BA43,Route_Column!#REF!,2,FALSE),CHAR(34)," probability=",CHAR(34),1/BA$4,CHAR(34),CHAR(47),CHAR(62)),"&lt;/routeDistribution&gt;"))</f>
        <v/>
      </c>
    </row>
    <row r="5401" spans="1:5" x14ac:dyDescent="0.25">
      <c r="A5401" t="s">
        <v>1434</v>
      </c>
      <c r="B5401" t="s">
        <v>1114</v>
      </c>
      <c r="E5401" t="str">
        <f>IF(OR(E5400="&lt;/routeDistribution&gt;",E5400=""),"",IFERROR(_xlfn.CONCAT(VLOOKUP(BA44,Route_Column!#REF!,2,FALSE),CHAR(34)," probability=",CHAR(34),1/BA$4,CHAR(34),CHAR(47),CHAR(62)),"&lt;/routeDistribution&gt;"))</f>
        <v/>
      </c>
    </row>
    <row r="5402" spans="1:5" x14ac:dyDescent="0.25">
      <c r="A5402" t="s">
        <v>1434</v>
      </c>
      <c r="B5402" t="s">
        <v>1115</v>
      </c>
      <c r="E5402" t="str">
        <f>IF(OR(E5401="&lt;/routeDistribution&gt;",E5401=""),"",IFERROR(_xlfn.CONCAT(VLOOKUP(BA45,Route_Column!#REF!,2,FALSE),CHAR(34)," probability=",CHAR(34),1/BA$4,CHAR(34),CHAR(47),CHAR(62)),"&lt;/routeDistribution&gt;"))</f>
        <v/>
      </c>
    </row>
    <row r="5403" spans="1:5" x14ac:dyDescent="0.25">
      <c r="A5403" t="s">
        <v>1434</v>
      </c>
      <c r="B5403" t="s">
        <v>1122</v>
      </c>
      <c r="E5403" t="str">
        <f>IF(OR(E5402="&lt;/routeDistribution&gt;",E5402=""),"",IFERROR(_xlfn.CONCAT(VLOOKUP(BA46,Route_Column!#REF!,2,FALSE),CHAR(34)," probability=",CHAR(34),1/BA$4,CHAR(34),CHAR(47),CHAR(62)),"&lt;/routeDistribution&gt;"))</f>
        <v/>
      </c>
    </row>
    <row r="5404" spans="1:5" x14ac:dyDescent="0.25">
      <c r="A5404" s="11" t="s">
        <v>1436</v>
      </c>
      <c r="B5404" t="s">
        <v>1090</v>
      </c>
      <c r="E5404" t="str">
        <f>IF(OR(E5403="&lt;/routeDistribution&gt;",E5403=""),"",IFERROR(_xlfn.CONCAT(VLOOKUP(BA47,Route_Column!#REF!,2,FALSE),CHAR(34)," probability=",CHAR(34),1/BA$4,CHAR(34),CHAR(47),CHAR(62)),"&lt;/routeDistribution&gt;"))</f>
        <v/>
      </c>
    </row>
    <row r="5405" spans="1:5" x14ac:dyDescent="0.25">
      <c r="A5405" s="11" t="s">
        <v>1436</v>
      </c>
      <c r="B5405" t="s">
        <v>1091</v>
      </c>
      <c r="E5405" t="str">
        <f>IF(OR(E5404="&lt;/routeDistribution&gt;",E5404=""),"",IFERROR(_xlfn.CONCAT(VLOOKUP(BA48,Route_Column!#REF!,2,FALSE),CHAR(34)," probability=",CHAR(34),1/BA$4,CHAR(34),CHAR(47),CHAR(62)),"&lt;/routeDistribution&gt;"))</f>
        <v/>
      </c>
    </row>
    <row r="5406" spans="1:5" x14ac:dyDescent="0.25">
      <c r="A5406" t="s">
        <v>1436</v>
      </c>
      <c r="B5406" t="s">
        <v>1092</v>
      </c>
      <c r="E5406" t="str">
        <f>IF(OR(E5405="&lt;/routeDistribution&gt;",E5405=""),"",IFERROR(_xlfn.CONCAT(VLOOKUP(BA49,Route_Column!#REF!,2,FALSE),CHAR(34)," probability=",CHAR(34),1/BA$4,CHAR(34),CHAR(47),CHAR(62)),"&lt;/routeDistribution&gt;"))</f>
        <v/>
      </c>
    </row>
    <row r="5407" spans="1:5" x14ac:dyDescent="0.25">
      <c r="A5407" t="s">
        <v>1436</v>
      </c>
      <c r="B5407" t="s">
        <v>1093</v>
      </c>
      <c r="E5407" t="str">
        <f>IF(OR(E5406="&lt;/routeDistribution&gt;",E5406=""),"",IFERROR(_xlfn.CONCAT(VLOOKUP(BA50,Route_Column!#REF!,2,FALSE),CHAR(34)," probability=",CHAR(34),1/BA$4,CHAR(34),CHAR(47),CHAR(62)),"&lt;/routeDistribution&gt;"))</f>
        <v/>
      </c>
    </row>
    <row r="5408" spans="1:5" x14ac:dyDescent="0.25">
      <c r="A5408" t="s">
        <v>1436</v>
      </c>
      <c r="B5408" t="s">
        <v>1094</v>
      </c>
      <c r="E5408" t="str">
        <f>IF(OR(E5407="&lt;/routeDistribution&gt;",E5407=""),"",IFERROR(_xlfn.CONCAT(VLOOKUP(BA51,Route_Column!#REF!,2,FALSE),CHAR(34)," probability=",CHAR(34),1/BA$4,CHAR(34),CHAR(47),CHAR(62)),"&lt;/routeDistribution&gt;"))</f>
        <v/>
      </c>
    </row>
    <row r="5409" spans="1:5" x14ac:dyDescent="0.25">
      <c r="A5409" t="s">
        <v>1436</v>
      </c>
      <c r="B5409" t="s">
        <v>1095</v>
      </c>
      <c r="E5409" t="str">
        <f>IF(OR(E5408="&lt;/routeDistribution&gt;",E5408=""),"",IFERROR(_xlfn.CONCAT(VLOOKUP(BA52,Route_Column!#REF!,2,FALSE),CHAR(34)," probability=",CHAR(34),1/BA$4,CHAR(34),CHAR(47),CHAR(62)),"&lt;/routeDistribution&gt;"))</f>
        <v/>
      </c>
    </row>
    <row r="5410" spans="1:5" x14ac:dyDescent="0.25">
      <c r="A5410" t="s">
        <v>1436</v>
      </c>
      <c r="B5410" t="s">
        <v>1096</v>
      </c>
      <c r="E5410" t="str">
        <f>IF(OR(E5409="&lt;/routeDistribution&gt;",E5409=""),"",IFERROR(_xlfn.CONCAT(VLOOKUP(BA53,Route_Column!#REF!,2,FALSE),CHAR(34)," probability=",CHAR(34),1/BA$4,CHAR(34),CHAR(47),CHAR(62)),"&lt;/routeDistribution&gt;"))</f>
        <v/>
      </c>
    </row>
    <row r="5411" spans="1:5" x14ac:dyDescent="0.25">
      <c r="A5411" t="s">
        <v>1436</v>
      </c>
      <c r="B5411" t="s">
        <v>1097</v>
      </c>
      <c r="E5411" t="str">
        <f>IF(OR(E5410="&lt;/routeDistribution&gt;",E5410=""),"",IFERROR(_xlfn.CONCAT(VLOOKUP(BA54,Route_Column!#REF!,2,FALSE),CHAR(34)," probability=",CHAR(34),1/BA$4,CHAR(34),CHAR(47),CHAR(62)),"&lt;/routeDistribution&gt;"))</f>
        <v/>
      </c>
    </row>
    <row r="5412" spans="1:5" x14ac:dyDescent="0.25">
      <c r="A5412" t="s">
        <v>1436</v>
      </c>
      <c r="B5412" t="s">
        <v>1098</v>
      </c>
      <c r="E5412" t="str">
        <f>IF(OR(E5411="&lt;/routeDistribution&gt;",E5411=""),"",IFERROR(_xlfn.CONCAT(VLOOKUP(BA55,Route_Column!#REF!,2,FALSE),CHAR(34)," probability=",CHAR(34),1/BA$4,CHAR(34),CHAR(47),CHAR(62)),"&lt;/routeDistribution&gt;"))</f>
        <v/>
      </c>
    </row>
    <row r="5413" spans="1:5" x14ac:dyDescent="0.25">
      <c r="A5413" t="s">
        <v>1436</v>
      </c>
      <c r="B5413" t="s">
        <v>1099</v>
      </c>
      <c r="E5413" t="str">
        <f>IF(OR(E5412="&lt;/routeDistribution&gt;",E5412=""),"",IFERROR(_xlfn.CONCAT(VLOOKUP(BA56,Route_Column!#REF!,2,FALSE),CHAR(34)," probability=",CHAR(34),1/BA$4,CHAR(34),CHAR(47),CHAR(62)),"&lt;/routeDistribution&gt;"))</f>
        <v/>
      </c>
    </row>
    <row r="5414" spans="1:5" x14ac:dyDescent="0.25">
      <c r="A5414" t="s">
        <v>1436</v>
      </c>
      <c r="B5414" t="s">
        <v>1100</v>
      </c>
      <c r="E5414" t="str">
        <f>IF(OR(E5413="&lt;/routeDistribution&gt;",E5413=""),"",IFERROR(_xlfn.CONCAT(VLOOKUP(BA57,Route_Column!#REF!,2,FALSE),CHAR(34)," probability=",CHAR(34),1/BA$4,CHAR(34),CHAR(47),CHAR(62)),"&lt;/routeDistribution&gt;"))</f>
        <v/>
      </c>
    </row>
    <row r="5415" spans="1:5" x14ac:dyDescent="0.25">
      <c r="A5415" t="s">
        <v>1436</v>
      </c>
      <c r="B5415" t="s">
        <v>1101</v>
      </c>
      <c r="E5415" t="str">
        <f>IF(OR(E5414="&lt;/routeDistribution&gt;",E5414=""),"",IFERROR(_xlfn.CONCAT(VLOOKUP(BA58,Route_Column!#REF!,2,FALSE),CHAR(34)," probability=",CHAR(34),1/BA$4,CHAR(34),CHAR(47),CHAR(62)),"&lt;/routeDistribution&gt;"))</f>
        <v/>
      </c>
    </row>
    <row r="5416" spans="1:5" x14ac:dyDescent="0.25">
      <c r="A5416" t="s">
        <v>1436</v>
      </c>
      <c r="B5416" t="s">
        <v>1102</v>
      </c>
      <c r="E5416" t="str">
        <f>IF(OR(E5415="&lt;/routeDistribution&gt;",E5415=""),"",IFERROR(_xlfn.CONCAT(VLOOKUP(BA59,Route_Column!#REF!,2,FALSE),CHAR(34)," probability=",CHAR(34),1/BA$4,CHAR(34),CHAR(47),CHAR(62)),"&lt;/routeDistribution&gt;"))</f>
        <v/>
      </c>
    </row>
    <row r="5417" spans="1:5" x14ac:dyDescent="0.25">
      <c r="A5417" t="s">
        <v>1436</v>
      </c>
      <c r="B5417" t="s">
        <v>1102</v>
      </c>
      <c r="E5417" t="str">
        <f>IF(OR(E5416="&lt;/routeDistribution&gt;",E5416=""),"",IFERROR(_xlfn.CONCAT(VLOOKUP(BA60,Route_Column!#REF!,2,FALSE),CHAR(34)," probability=",CHAR(34),1/BA$4,CHAR(34),CHAR(47),CHAR(62)),"&lt;/routeDistribution&gt;"))</f>
        <v/>
      </c>
    </row>
    <row r="5418" spans="1:5" x14ac:dyDescent="0.25">
      <c r="A5418" t="s">
        <v>1436</v>
      </c>
      <c r="B5418" t="s">
        <v>1103</v>
      </c>
      <c r="E5418" t="str">
        <f>IF(OR(E5417="&lt;/routeDistribution&gt;",E5417=""),"",IFERROR(_xlfn.CONCAT(VLOOKUP(BA61,Route_Column!#REF!,2,FALSE),CHAR(34)," probability=",CHAR(34),1/BA$4,CHAR(34),CHAR(47),CHAR(62)),"&lt;/routeDistribution&gt;"))</f>
        <v/>
      </c>
    </row>
    <row r="5419" spans="1:5" x14ac:dyDescent="0.25">
      <c r="A5419" t="s">
        <v>1436</v>
      </c>
      <c r="B5419" t="s">
        <v>1104</v>
      </c>
      <c r="E5419" t="str">
        <f>IF(OR(E5418="&lt;/routeDistribution&gt;",E5418=""),"",IFERROR(_xlfn.CONCAT(VLOOKUP(BA62,Route_Column!#REF!,2,FALSE),CHAR(34)," probability=",CHAR(34),1/BA$4,CHAR(34),CHAR(47),CHAR(62)),"&lt;/routeDistribution&gt;"))</f>
        <v/>
      </c>
    </row>
    <row r="5420" spans="1:5" x14ac:dyDescent="0.25">
      <c r="A5420" t="s">
        <v>1436</v>
      </c>
      <c r="B5420" t="s">
        <v>1105</v>
      </c>
      <c r="E5420" t="str">
        <f>IF(OR(E5419="&lt;/routeDistribution&gt;",E5419=""),"",IFERROR(_xlfn.CONCAT(VLOOKUP(BA63,Route_Column!#REF!,2,FALSE),CHAR(34)," probability=",CHAR(34),1/BA$4,CHAR(34),CHAR(47),CHAR(62)),"&lt;/routeDistribution&gt;"))</f>
        <v/>
      </c>
    </row>
    <row r="5421" spans="1:5" x14ac:dyDescent="0.25">
      <c r="A5421" t="s">
        <v>1436</v>
      </c>
      <c r="B5421" t="s">
        <v>1106</v>
      </c>
      <c r="E5421" t="s">
        <v>2686</v>
      </c>
    </row>
    <row r="5422" spans="1:5" x14ac:dyDescent="0.25">
      <c r="A5422" t="s">
        <v>1436</v>
      </c>
      <c r="B5422" t="s">
        <v>1107</v>
      </c>
    </row>
    <row r="5423" spans="1:5" x14ac:dyDescent="0.25">
      <c r="A5423" t="s">
        <v>1436</v>
      </c>
      <c r="B5423" t="s">
        <v>1108</v>
      </c>
    </row>
    <row r="5424" spans="1:5" x14ac:dyDescent="0.25">
      <c r="A5424" t="s">
        <v>1436</v>
      </c>
      <c r="B5424" t="s">
        <v>1109</v>
      </c>
      <c r="E5424" t="str">
        <f>_xlfn.CONCAT($E$1,AZ$2,$F$1)</f>
        <v>&lt;routeDistribution id="RACE-bonsal-to-23rd-WB-2012-RouteProbe"&gt;</v>
      </c>
    </row>
    <row r="5425" spans="1:5" x14ac:dyDescent="0.25">
      <c r="A5425" t="s">
        <v>1436</v>
      </c>
      <c r="B5425" t="s">
        <v>1110</v>
      </c>
      <c r="E5425" t="str">
        <f>IF(OR(E5424="&lt;/routeDistribution&gt;",E5424=""),"",IFERROR(_xlfn.CONCAT(VLOOKUP(AZ5,Route_Column!#REF!,2,FALSE),CHAR(34)," probability=",CHAR(34),1/AZ$4,CHAR(34),CHAR(47),CHAR(62)),"&lt;/routeDistribution&gt;"))</f>
        <v>&lt;/routeDistribution&gt;</v>
      </c>
    </row>
    <row r="5426" spans="1:5" x14ac:dyDescent="0.25">
      <c r="A5426" t="s">
        <v>1436</v>
      </c>
      <c r="B5426" t="s">
        <v>1111</v>
      </c>
      <c r="E5426" t="str">
        <f>IF(OR(E5425="&lt;/routeDistribution&gt;",E5425=""),"",IFERROR(_xlfn.CONCAT(VLOOKUP(AZ6,Route_Column!#REF!,2,FALSE),CHAR(34)," probability=",CHAR(34),1/AZ$4,CHAR(34),CHAR(47),CHAR(62)),"&lt;/routeDistribution&gt;"))</f>
        <v/>
      </c>
    </row>
    <row r="5427" spans="1:5" x14ac:dyDescent="0.25">
      <c r="A5427" t="s">
        <v>1436</v>
      </c>
      <c r="B5427" t="s">
        <v>1112</v>
      </c>
      <c r="E5427" t="str">
        <f>IF(OR(E5426="&lt;/routeDistribution&gt;",E5426=""),"",IFERROR(_xlfn.CONCAT(VLOOKUP(AZ7,Route_Column!#REF!,2,FALSE),CHAR(34)," probability=",CHAR(34),1/AZ$4,CHAR(34),CHAR(47),CHAR(62)),"&lt;/routeDistribution&gt;"))</f>
        <v/>
      </c>
    </row>
    <row r="5428" spans="1:5" x14ac:dyDescent="0.25">
      <c r="A5428" t="s">
        <v>1436</v>
      </c>
      <c r="B5428" t="s">
        <v>1113</v>
      </c>
      <c r="E5428" t="str">
        <f>IF(OR(E5427="&lt;/routeDistribution&gt;",E5427=""),"",IFERROR(_xlfn.CONCAT(VLOOKUP(AZ8,Route_Column!#REF!,2,FALSE),CHAR(34)," probability=",CHAR(34),1/AZ$4,CHAR(34),CHAR(47),CHAR(62)),"&lt;/routeDistribution&gt;"))</f>
        <v/>
      </c>
    </row>
    <row r="5429" spans="1:5" x14ac:dyDescent="0.25">
      <c r="A5429" t="s">
        <v>1436</v>
      </c>
      <c r="B5429" t="s">
        <v>1114</v>
      </c>
      <c r="E5429" t="str">
        <f>IF(OR(E5428="&lt;/routeDistribution&gt;",E5428=""),"",IFERROR(_xlfn.CONCAT(VLOOKUP(AZ9,Route_Column!#REF!,2,FALSE),CHAR(34)," probability=",CHAR(34),1/AZ$4,CHAR(34),CHAR(47),CHAR(62)),"&lt;/routeDistribution&gt;"))</f>
        <v/>
      </c>
    </row>
    <row r="5430" spans="1:5" x14ac:dyDescent="0.25">
      <c r="A5430" t="s">
        <v>1436</v>
      </c>
      <c r="B5430" t="s">
        <v>1115</v>
      </c>
      <c r="E5430" t="str">
        <f>IF(OR(E5429="&lt;/routeDistribution&gt;",E5429=""),"",IFERROR(_xlfn.CONCAT(VLOOKUP(AZ10,Route_Column!#REF!,2,FALSE),CHAR(34)," probability=",CHAR(34),1/AZ$4,CHAR(34),CHAR(47),CHAR(62)),"&lt;/routeDistribution&gt;"))</f>
        <v/>
      </c>
    </row>
    <row r="5431" spans="1:5" x14ac:dyDescent="0.25">
      <c r="A5431" t="s">
        <v>1436</v>
      </c>
      <c r="B5431" t="s">
        <v>1122</v>
      </c>
      <c r="E5431" t="str">
        <f>IF(OR(E5430="&lt;/routeDistribution&gt;",E5430=""),"",IFERROR(_xlfn.CONCAT(VLOOKUP(AZ11,Route_Column!#REF!,2,FALSE),CHAR(34)," probability=",CHAR(34),1/AZ$4,CHAR(34),CHAR(47),CHAR(62)),"&lt;/routeDistribution&gt;"))</f>
        <v/>
      </c>
    </row>
    <row r="5432" spans="1:5" x14ac:dyDescent="0.25">
      <c r="A5432" s="11" t="s">
        <v>1460</v>
      </c>
      <c r="B5432" t="s">
        <v>1091</v>
      </c>
      <c r="E5432" t="str">
        <f>IF(OR(E5431="&lt;/routeDistribution&gt;",E5431=""),"",IFERROR(_xlfn.CONCAT(VLOOKUP(AZ12,Route_Column!#REF!,2,FALSE),CHAR(34)," probability=",CHAR(34),1/AZ$4,CHAR(34),CHAR(47),CHAR(62)),"&lt;/routeDistribution&gt;"))</f>
        <v/>
      </c>
    </row>
    <row r="5433" spans="1:5" x14ac:dyDescent="0.25">
      <c r="A5433" t="s">
        <v>1460</v>
      </c>
      <c r="B5433" t="s">
        <v>1092</v>
      </c>
      <c r="E5433" t="str">
        <f>IF(OR(E5432="&lt;/routeDistribution&gt;",E5432=""),"",IFERROR(_xlfn.CONCAT(VLOOKUP(AZ13,Route_Column!#REF!,2,FALSE),CHAR(34)," probability=",CHAR(34),1/AZ$4,CHAR(34),CHAR(47),CHAR(62)),"&lt;/routeDistribution&gt;"))</f>
        <v/>
      </c>
    </row>
    <row r="5434" spans="1:5" x14ac:dyDescent="0.25">
      <c r="A5434" t="s">
        <v>1460</v>
      </c>
      <c r="B5434" t="s">
        <v>1093</v>
      </c>
      <c r="E5434" t="str">
        <f>IF(OR(E5433="&lt;/routeDistribution&gt;",E5433=""),"",IFERROR(_xlfn.CONCAT(VLOOKUP(AZ14,Route_Column!#REF!,2,FALSE),CHAR(34)," probability=",CHAR(34),1/AZ$4,CHAR(34),CHAR(47),CHAR(62)),"&lt;/routeDistribution&gt;"))</f>
        <v/>
      </c>
    </row>
    <row r="5435" spans="1:5" x14ac:dyDescent="0.25">
      <c r="A5435" t="s">
        <v>1460</v>
      </c>
      <c r="B5435" t="s">
        <v>1094</v>
      </c>
      <c r="E5435" t="str">
        <f>IF(OR(E5434="&lt;/routeDistribution&gt;",E5434=""),"",IFERROR(_xlfn.CONCAT(VLOOKUP(AZ15,Route_Column!#REF!,2,FALSE),CHAR(34)," probability=",CHAR(34),1/AZ$4,CHAR(34),CHAR(47),CHAR(62)),"&lt;/routeDistribution&gt;"))</f>
        <v/>
      </c>
    </row>
    <row r="5436" spans="1:5" x14ac:dyDescent="0.25">
      <c r="A5436" t="s">
        <v>1460</v>
      </c>
      <c r="B5436" t="s">
        <v>1095</v>
      </c>
      <c r="E5436" t="str">
        <f>IF(OR(E5435="&lt;/routeDistribution&gt;",E5435=""),"",IFERROR(_xlfn.CONCAT(VLOOKUP(AZ16,Route_Column!#REF!,2,FALSE),CHAR(34)," probability=",CHAR(34),1/AZ$4,CHAR(34),CHAR(47),CHAR(62)),"&lt;/routeDistribution&gt;"))</f>
        <v/>
      </c>
    </row>
    <row r="5437" spans="1:5" x14ac:dyDescent="0.25">
      <c r="A5437" t="s">
        <v>1460</v>
      </c>
      <c r="B5437" t="s">
        <v>1096</v>
      </c>
      <c r="E5437" t="str">
        <f>IF(OR(E5436="&lt;/routeDistribution&gt;",E5436=""),"",IFERROR(_xlfn.CONCAT(VLOOKUP(AZ17,Route_Column!#REF!,2,FALSE),CHAR(34)," probability=",CHAR(34),1/AZ$4,CHAR(34),CHAR(47),CHAR(62)),"&lt;/routeDistribution&gt;"))</f>
        <v/>
      </c>
    </row>
    <row r="5438" spans="1:5" x14ac:dyDescent="0.25">
      <c r="A5438" t="s">
        <v>1460</v>
      </c>
      <c r="B5438" t="s">
        <v>1097</v>
      </c>
      <c r="E5438" t="str">
        <f>IF(OR(E5437="&lt;/routeDistribution&gt;",E5437=""),"",IFERROR(_xlfn.CONCAT(VLOOKUP(AZ18,Route_Column!#REF!,2,FALSE),CHAR(34)," probability=",CHAR(34),1/AZ$4,CHAR(34),CHAR(47),CHAR(62)),"&lt;/routeDistribution&gt;"))</f>
        <v/>
      </c>
    </row>
    <row r="5439" spans="1:5" x14ac:dyDescent="0.25">
      <c r="A5439" t="s">
        <v>1460</v>
      </c>
      <c r="B5439" t="s">
        <v>1098</v>
      </c>
      <c r="E5439" t="str">
        <f>IF(OR(E5438="&lt;/routeDistribution&gt;",E5438=""),"",IFERROR(_xlfn.CONCAT(VLOOKUP(AZ19,Route_Column!#REF!,2,FALSE),CHAR(34)," probability=",CHAR(34),1/AZ$4,CHAR(34),CHAR(47),CHAR(62)),"&lt;/routeDistribution&gt;"))</f>
        <v/>
      </c>
    </row>
    <row r="5440" spans="1:5" x14ac:dyDescent="0.25">
      <c r="A5440" t="s">
        <v>1460</v>
      </c>
      <c r="B5440" t="s">
        <v>1099</v>
      </c>
      <c r="E5440" t="str">
        <f>IF(OR(E5439="&lt;/routeDistribution&gt;",E5439=""),"",IFERROR(_xlfn.CONCAT(VLOOKUP(AZ20,Route_Column!#REF!,2,FALSE),CHAR(34)," probability=",CHAR(34),1/AZ$4,CHAR(34),CHAR(47),CHAR(62)),"&lt;/routeDistribution&gt;"))</f>
        <v/>
      </c>
    </row>
    <row r="5441" spans="1:5" x14ac:dyDescent="0.25">
      <c r="A5441" t="s">
        <v>1460</v>
      </c>
      <c r="B5441" t="s">
        <v>1100</v>
      </c>
      <c r="E5441" t="str">
        <f>IF(OR(E5440="&lt;/routeDistribution&gt;",E5440=""),"",IFERROR(_xlfn.CONCAT(VLOOKUP(AZ21,Route_Column!#REF!,2,FALSE),CHAR(34)," probability=",CHAR(34),1/AZ$4,CHAR(34),CHAR(47),CHAR(62)),"&lt;/routeDistribution&gt;"))</f>
        <v/>
      </c>
    </row>
    <row r="5442" spans="1:5" x14ac:dyDescent="0.25">
      <c r="A5442" t="s">
        <v>1460</v>
      </c>
      <c r="B5442" t="s">
        <v>1101</v>
      </c>
      <c r="E5442" t="str">
        <f>IF(OR(E5441="&lt;/routeDistribution&gt;",E5441=""),"",IFERROR(_xlfn.CONCAT(VLOOKUP(AZ22,Route_Column!#REF!,2,FALSE),CHAR(34)," probability=",CHAR(34),1/AZ$4,CHAR(34),CHAR(47),CHAR(62)),"&lt;/routeDistribution&gt;"))</f>
        <v/>
      </c>
    </row>
    <row r="5443" spans="1:5" x14ac:dyDescent="0.25">
      <c r="A5443" t="s">
        <v>1460</v>
      </c>
      <c r="B5443" t="s">
        <v>1102</v>
      </c>
      <c r="E5443" t="str">
        <f>IF(OR(E5442="&lt;/routeDistribution&gt;",E5442=""),"",IFERROR(_xlfn.CONCAT(VLOOKUP(AZ23,Route_Column!#REF!,2,FALSE),CHAR(34)," probability=",CHAR(34),1/AZ$4,CHAR(34),CHAR(47),CHAR(62)),"&lt;/routeDistribution&gt;"))</f>
        <v/>
      </c>
    </row>
    <row r="5444" spans="1:5" x14ac:dyDescent="0.25">
      <c r="A5444" t="s">
        <v>1460</v>
      </c>
      <c r="B5444" t="s">
        <v>1102</v>
      </c>
      <c r="E5444" t="str">
        <f>IF(OR(E5443="&lt;/routeDistribution&gt;",E5443=""),"",IFERROR(_xlfn.CONCAT(VLOOKUP(AZ24,Route_Column!#REF!,2,FALSE),CHAR(34)," probability=",CHAR(34),1/AZ$4,CHAR(34),CHAR(47),CHAR(62)),"&lt;/routeDistribution&gt;"))</f>
        <v/>
      </c>
    </row>
    <row r="5445" spans="1:5" x14ac:dyDescent="0.25">
      <c r="A5445" t="s">
        <v>1460</v>
      </c>
      <c r="B5445" t="s">
        <v>1103</v>
      </c>
      <c r="E5445" t="str">
        <f>IF(OR(E5444="&lt;/routeDistribution&gt;",E5444=""),"",IFERROR(_xlfn.CONCAT(VLOOKUP(AZ25,Route_Column!#REF!,2,FALSE),CHAR(34)," probability=",CHAR(34),1/AZ$4,CHAR(34),CHAR(47),CHAR(62)),"&lt;/routeDistribution&gt;"))</f>
        <v/>
      </c>
    </row>
    <row r="5446" spans="1:5" x14ac:dyDescent="0.25">
      <c r="A5446" t="s">
        <v>1460</v>
      </c>
      <c r="B5446" t="s">
        <v>1104</v>
      </c>
      <c r="E5446" t="str">
        <f>IF(OR(E5445="&lt;/routeDistribution&gt;",E5445=""),"",IFERROR(_xlfn.CONCAT(VLOOKUP(AZ26,Route_Column!#REF!,2,FALSE),CHAR(34)," probability=",CHAR(34),1/AZ$4,CHAR(34),CHAR(47),CHAR(62)),"&lt;/routeDistribution&gt;"))</f>
        <v/>
      </c>
    </row>
    <row r="5447" spans="1:5" x14ac:dyDescent="0.25">
      <c r="A5447" t="s">
        <v>1460</v>
      </c>
      <c r="B5447" t="s">
        <v>1105</v>
      </c>
      <c r="E5447" t="str">
        <f>IF(OR(E5446="&lt;/routeDistribution&gt;",E5446=""),"",IFERROR(_xlfn.CONCAT(VLOOKUP(AZ27,Route_Column!#REF!,2,FALSE),CHAR(34)," probability=",CHAR(34),1/AZ$4,CHAR(34),CHAR(47),CHAR(62)),"&lt;/routeDistribution&gt;"))</f>
        <v/>
      </c>
    </row>
    <row r="5448" spans="1:5" x14ac:dyDescent="0.25">
      <c r="A5448" t="s">
        <v>1460</v>
      </c>
      <c r="B5448" t="s">
        <v>1106</v>
      </c>
      <c r="E5448" t="str">
        <f>IF(OR(E5447="&lt;/routeDistribution&gt;",E5447=""),"",IFERROR(_xlfn.CONCAT(VLOOKUP(AZ28,Route_Column!#REF!,2,FALSE),CHAR(34)," probability=",CHAR(34),1/AZ$4,CHAR(34),CHAR(47),CHAR(62)),"&lt;/routeDistribution&gt;"))</f>
        <v/>
      </c>
    </row>
    <row r="5449" spans="1:5" x14ac:dyDescent="0.25">
      <c r="A5449" t="s">
        <v>1460</v>
      </c>
      <c r="B5449" t="s">
        <v>1107</v>
      </c>
      <c r="E5449" t="str">
        <f>IF(OR(E5448="&lt;/routeDistribution&gt;",E5448=""),"",IFERROR(_xlfn.CONCAT(VLOOKUP(AZ29,Route_Column!#REF!,2,FALSE),CHAR(34)," probability=",CHAR(34),1/AZ$4,CHAR(34),CHAR(47),CHAR(62)),"&lt;/routeDistribution&gt;"))</f>
        <v/>
      </c>
    </row>
    <row r="5450" spans="1:5" x14ac:dyDescent="0.25">
      <c r="A5450" t="s">
        <v>1460</v>
      </c>
      <c r="B5450" t="s">
        <v>1108</v>
      </c>
      <c r="E5450" t="str">
        <f>IF(OR(E5449="&lt;/routeDistribution&gt;",E5449=""),"",IFERROR(_xlfn.CONCAT(VLOOKUP(AZ30,Route_Column!#REF!,2,FALSE),CHAR(34)," probability=",CHAR(34),1/AZ$4,CHAR(34),CHAR(47),CHAR(62)),"&lt;/routeDistribution&gt;"))</f>
        <v/>
      </c>
    </row>
    <row r="5451" spans="1:5" x14ac:dyDescent="0.25">
      <c r="A5451" t="s">
        <v>1460</v>
      </c>
      <c r="B5451" t="s">
        <v>1109</v>
      </c>
      <c r="E5451" t="str">
        <f>IF(OR(E5450="&lt;/routeDistribution&gt;",E5450=""),"",IFERROR(_xlfn.CONCAT(VLOOKUP(AZ31,Route_Column!#REF!,2,FALSE),CHAR(34)," probability=",CHAR(34),1/AZ$4,CHAR(34),CHAR(47),CHAR(62)),"&lt;/routeDistribution&gt;"))</f>
        <v/>
      </c>
    </row>
    <row r="5452" spans="1:5" x14ac:dyDescent="0.25">
      <c r="A5452" t="s">
        <v>1460</v>
      </c>
      <c r="B5452" t="s">
        <v>1110</v>
      </c>
      <c r="E5452" t="str">
        <f>IF(OR(E5451="&lt;/routeDistribution&gt;",E5451=""),"",IFERROR(_xlfn.CONCAT(VLOOKUP(AZ32,Route_Column!#REF!,2,FALSE),CHAR(34)," probability=",CHAR(34),1/AZ$4,CHAR(34),CHAR(47),CHAR(62)),"&lt;/routeDistribution&gt;"))</f>
        <v/>
      </c>
    </row>
    <row r="5453" spans="1:5" x14ac:dyDescent="0.25">
      <c r="A5453" t="s">
        <v>1460</v>
      </c>
      <c r="B5453" t="s">
        <v>1111</v>
      </c>
      <c r="E5453" t="str">
        <f>IF(OR(E5452="&lt;/routeDistribution&gt;",E5452=""),"",IFERROR(_xlfn.CONCAT(VLOOKUP(AZ33,Route_Column!#REF!,2,FALSE),CHAR(34)," probability=",CHAR(34),1/AZ$4,CHAR(34),CHAR(47),CHAR(62)),"&lt;/routeDistribution&gt;"))</f>
        <v/>
      </c>
    </row>
    <row r="5454" spans="1:5" x14ac:dyDescent="0.25">
      <c r="A5454" t="s">
        <v>1460</v>
      </c>
      <c r="B5454" t="s">
        <v>1112</v>
      </c>
      <c r="E5454" t="str">
        <f>IF(OR(E5453="&lt;/routeDistribution&gt;",E5453=""),"",IFERROR(_xlfn.CONCAT(VLOOKUP(AZ34,Route_Column!#REF!,2,FALSE),CHAR(34)," probability=",CHAR(34),1/AZ$4,CHAR(34),CHAR(47),CHAR(62)),"&lt;/routeDistribution&gt;"))</f>
        <v/>
      </c>
    </row>
    <row r="5455" spans="1:5" x14ac:dyDescent="0.25">
      <c r="A5455" t="s">
        <v>1460</v>
      </c>
      <c r="B5455" t="s">
        <v>1113</v>
      </c>
      <c r="E5455" t="str">
        <f>IF(OR(E5454="&lt;/routeDistribution&gt;",E5454=""),"",IFERROR(_xlfn.CONCAT(VLOOKUP(AZ35,Route_Column!#REF!,2,FALSE),CHAR(34)," probability=",CHAR(34),1/AZ$4,CHAR(34),CHAR(47),CHAR(62)),"&lt;/routeDistribution&gt;"))</f>
        <v/>
      </c>
    </row>
    <row r="5456" spans="1:5" x14ac:dyDescent="0.25">
      <c r="A5456" t="s">
        <v>1460</v>
      </c>
      <c r="B5456" t="s">
        <v>1114</v>
      </c>
      <c r="E5456" t="str">
        <f>IF(OR(E5455="&lt;/routeDistribution&gt;",E5455=""),"",IFERROR(_xlfn.CONCAT(VLOOKUP(AZ36,Route_Column!#REF!,2,FALSE),CHAR(34)," probability=",CHAR(34),1/AZ$4,CHAR(34),CHAR(47),CHAR(62)),"&lt;/routeDistribution&gt;"))</f>
        <v/>
      </c>
    </row>
    <row r="5457" spans="1:5" x14ac:dyDescent="0.25">
      <c r="A5457" t="s">
        <v>1460</v>
      </c>
      <c r="B5457" t="s">
        <v>1115</v>
      </c>
      <c r="E5457" t="str">
        <f>IF(OR(E5456="&lt;/routeDistribution&gt;",E5456=""),"",IFERROR(_xlfn.CONCAT(VLOOKUP(AZ37,Route_Column!#REF!,2,FALSE),CHAR(34)," probability=",CHAR(34),1/AZ$4,CHAR(34),CHAR(47),CHAR(62)),"&lt;/routeDistribution&gt;"))</f>
        <v/>
      </c>
    </row>
    <row r="5458" spans="1:5" x14ac:dyDescent="0.25">
      <c r="A5458" t="s">
        <v>1460</v>
      </c>
      <c r="B5458" t="s">
        <v>1122</v>
      </c>
      <c r="E5458" t="str">
        <f>IF(OR(E5457="&lt;/routeDistribution&gt;",E5457=""),"",IFERROR(_xlfn.CONCAT(VLOOKUP(AZ38,Route_Column!#REF!,2,FALSE),CHAR(34)," probability=",CHAR(34),1/AZ$4,CHAR(34),CHAR(47),CHAR(62)),"&lt;/routeDistribution&gt;"))</f>
        <v/>
      </c>
    </row>
    <row r="5459" spans="1:5" x14ac:dyDescent="0.25">
      <c r="A5459" s="11" t="s">
        <v>1461</v>
      </c>
      <c r="B5459" t="s">
        <v>1091</v>
      </c>
      <c r="E5459" t="str">
        <f>IF(OR(E5458="&lt;/routeDistribution&gt;",E5458=""),"",IFERROR(_xlfn.CONCAT(VLOOKUP(AZ39,Route_Column!#REF!,2,FALSE),CHAR(34)," probability=",CHAR(34),1/AZ$4,CHAR(34),CHAR(47),CHAR(62)),"&lt;/routeDistribution&gt;"))</f>
        <v/>
      </c>
    </row>
    <row r="5460" spans="1:5" x14ac:dyDescent="0.25">
      <c r="A5460" t="s">
        <v>1461</v>
      </c>
      <c r="B5460" t="s">
        <v>1092</v>
      </c>
      <c r="E5460" t="str">
        <f>IF(OR(E5459="&lt;/routeDistribution&gt;",E5459=""),"",IFERROR(_xlfn.CONCAT(VLOOKUP(AZ40,Route_Column!#REF!,2,FALSE),CHAR(34)," probability=",CHAR(34),1/AZ$4,CHAR(34),CHAR(47),CHAR(62)),"&lt;/routeDistribution&gt;"))</f>
        <v/>
      </c>
    </row>
    <row r="5461" spans="1:5" x14ac:dyDescent="0.25">
      <c r="A5461" t="s">
        <v>1461</v>
      </c>
      <c r="B5461" t="s">
        <v>1093</v>
      </c>
      <c r="E5461" t="str">
        <f>IF(OR(E5460="&lt;/routeDistribution&gt;",E5460=""),"",IFERROR(_xlfn.CONCAT(VLOOKUP(AZ41,Route_Column!#REF!,2,FALSE),CHAR(34)," probability=",CHAR(34),1/AZ$4,CHAR(34),CHAR(47),CHAR(62)),"&lt;/routeDistribution&gt;"))</f>
        <v/>
      </c>
    </row>
    <row r="5462" spans="1:5" x14ac:dyDescent="0.25">
      <c r="A5462" t="s">
        <v>1461</v>
      </c>
      <c r="B5462" t="s">
        <v>1094</v>
      </c>
      <c r="E5462" t="str">
        <f>IF(OR(E5461="&lt;/routeDistribution&gt;",E5461=""),"",IFERROR(_xlfn.CONCAT(VLOOKUP(AZ42,Route_Column!#REF!,2,FALSE),CHAR(34)," probability=",CHAR(34),1/AZ$4,CHAR(34),CHAR(47),CHAR(62)),"&lt;/routeDistribution&gt;"))</f>
        <v/>
      </c>
    </row>
    <row r="5463" spans="1:5" x14ac:dyDescent="0.25">
      <c r="A5463" t="s">
        <v>1461</v>
      </c>
      <c r="B5463" t="s">
        <v>1095</v>
      </c>
      <c r="E5463" t="str">
        <f>IF(OR(E5462="&lt;/routeDistribution&gt;",E5462=""),"",IFERROR(_xlfn.CONCAT(VLOOKUP(AZ43,Route_Column!#REF!,2,FALSE),CHAR(34)," probability=",CHAR(34),1/AZ$4,CHAR(34),CHAR(47),CHAR(62)),"&lt;/routeDistribution&gt;"))</f>
        <v/>
      </c>
    </row>
    <row r="5464" spans="1:5" x14ac:dyDescent="0.25">
      <c r="A5464" t="s">
        <v>1461</v>
      </c>
      <c r="B5464" t="s">
        <v>1096</v>
      </c>
      <c r="E5464" t="str">
        <f>IF(OR(E5463="&lt;/routeDistribution&gt;",E5463=""),"",IFERROR(_xlfn.CONCAT(VLOOKUP(AZ44,Route_Column!#REF!,2,FALSE),CHAR(34)," probability=",CHAR(34),1/AZ$4,CHAR(34),CHAR(47),CHAR(62)),"&lt;/routeDistribution&gt;"))</f>
        <v/>
      </c>
    </row>
    <row r="5465" spans="1:5" x14ac:dyDescent="0.25">
      <c r="A5465" t="s">
        <v>1461</v>
      </c>
      <c r="B5465" t="s">
        <v>1097</v>
      </c>
      <c r="E5465" t="str">
        <f>IF(OR(E5464="&lt;/routeDistribution&gt;",E5464=""),"",IFERROR(_xlfn.CONCAT(VLOOKUP(AZ45,Route_Column!#REF!,2,FALSE),CHAR(34)," probability=",CHAR(34),1/AZ$4,CHAR(34),CHAR(47),CHAR(62)),"&lt;/routeDistribution&gt;"))</f>
        <v/>
      </c>
    </row>
    <row r="5466" spans="1:5" x14ac:dyDescent="0.25">
      <c r="A5466" t="s">
        <v>1461</v>
      </c>
      <c r="B5466" t="s">
        <v>1098</v>
      </c>
      <c r="E5466" t="str">
        <f>IF(OR(E5465="&lt;/routeDistribution&gt;",E5465=""),"",IFERROR(_xlfn.CONCAT(VLOOKUP(AZ46,Route_Column!#REF!,2,FALSE),CHAR(34)," probability=",CHAR(34),1/AZ$4,CHAR(34),CHAR(47),CHAR(62)),"&lt;/routeDistribution&gt;"))</f>
        <v/>
      </c>
    </row>
    <row r="5467" spans="1:5" x14ac:dyDescent="0.25">
      <c r="A5467" t="s">
        <v>1461</v>
      </c>
      <c r="B5467" t="s">
        <v>1099</v>
      </c>
      <c r="E5467" t="str">
        <f>IF(OR(E5466="&lt;/routeDistribution&gt;",E5466=""),"",IFERROR(_xlfn.CONCAT(VLOOKUP(AZ47,Route_Column!#REF!,2,FALSE),CHAR(34)," probability=",CHAR(34),1/AZ$4,CHAR(34),CHAR(47),CHAR(62)),"&lt;/routeDistribution&gt;"))</f>
        <v/>
      </c>
    </row>
    <row r="5468" spans="1:5" x14ac:dyDescent="0.25">
      <c r="A5468" t="s">
        <v>1461</v>
      </c>
      <c r="B5468" t="s">
        <v>1100</v>
      </c>
      <c r="E5468" t="str">
        <f>IF(OR(E5467="&lt;/routeDistribution&gt;",E5467=""),"",IFERROR(_xlfn.CONCAT(VLOOKUP(AZ48,Route_Column!#REF!,2,FALSE),CHAR(34)," probability=",CHAR(34),1/AZ$4,CHAR(34),CHAR(47),CHAR(62)),"&lt;/routeDistribution&gt;"))</f>
        <v/>
      </c>
    </row>
    <row r="5469" spans="1:5" x14ac:dyDescent="0.25">
      <c r="A5469" t="s">
        <v>1461</v>
      </c>
      <c r="B5469" t="s">
        <v>1101</v>
      </c>
      <c r="E5469" t="str">
        <f>IF(OR(E5468="&lt;/routeDistribution&gt;",E5468=""),"",IFERROR(_xlfn.CONCAT(VLOOKUP(AZ49,Route_Column!#REF!,2,FALSE),CHAR(34)," probability=",CHAR(34),1/AZ$4,CHAR(34),CHAR(47),CHAR(62)),"&lt;/routeDistribution&gt;"))</f>
        <v/>
      </c>
    </row>
    <row r="5470" spans="1:5" x14ac:dyDescent="0.25">
      <c r="A5470" t="s">
        <v>1461</v>
      </c>
      <c r="B5470" t="s">
        <v>1102</v>
      </c>
      <c r="E5470" t="str">
        <f>IF(OR(E5469="&lt;/routeDistribution&gt;",E5469=""),"",IFERROR(_xlfn.CONCAT(VLOOKUP(AZ50,Route_Column!#REF!,2,FALSE),CHAR(34)," probability=",CHAR(34),1/AZ$4,CHAR(34),CHAR(47),CHAR(62)),"&lt;/routeDistribution&gt;"))</f>
        <v/>
      </c>
    </row>
    <row r="5471" spans="1:5" x14ac:dyDescent="0.25">
      <c r="A5471" t="s">
        <v>1461</v>
      </c>
      <c r="B5471" t="s">
        <v>1102</v>
      </c>
      <c r="E5471" t="str">
        <f>IF(OR(E5470="&lt;/routeDistribution&gt;",E5470=""),"",IFERROR(_xlfn.CONCAT(VLOOKUP(AZ51,Route_Column!#REF!,2,FALSE),CHAR(34)," probability=",CHAR(34),1/AZ$4,CHAR(34),CHAR(47),CHAR(62)),"&lt;/routeDistribution&gt;"))</f>
        <v/>
      </c>
    </row>
    <row r="5472" spans="1:5" x14ac:dyDescent="0.25">
      <c r="A5472" t="s">
        <v>1461</v>
      </c>
      <c r="B5472" t="s">
        <v>1103</v>
      </c>
      <c r="E5472" t="str">
        <f>IF(OR(E5471="&lt;/routeDistribution&gt;",E5471=""),"",IFERROR(_xlfn.CONCAT(VLOOKUP(AZ52,Route_Column!#REF!,2,FALSE),CHAR(34)," probability=",CHAR(34),1/AZ$4,CHAR(34),CHAR(47),CHAR(62)),"&lt;/routeDistribution&gt;"))</f>
        <v/>
      </c>
    </row>
    <row r="5473" spans="1:5" x14ac:dyDescent="0.25">
      <c r="A5473" t="s">
        <v>1461</v>
      </c>
      <c r="B5473" t="s">
        <v>1104</v>
      </c>
      <c r="E5473" t="str">
        <f>IF(OR(E5472="&lt;/routeDistribution&gt;",E5472=""),"",IFERROR(_xlfn.CONCAT(VLOOKUP(AZ53,Route_Column!#REF!,2,FALSE),CHAR(34)," probability=",CHAR(34),1/AZ$4,CHAR(34),CHAR(47),CHAR(62)),"&lt;/routeDistribution&gt;"))</f>
        <v/>
      </c>
    </row>
    <row r="5474" spans="1:5" x14ac:dyDescent="0.25">
      <c r="A5474" t="s">
        <v>1461</v>
      </c>
      <c r="B5474" t="s">
        <v>1105</v>
      </c>
      <c r="E5474" t="str">
        <f>IF(OR(E5473="&lt;/routeDistribution&gt;",E5473=""),"",IFERROR(_xlfn.CONCAT(VLOOKUP(AZ54,Route_Column!#REF!,2,FALSE),CHAR(34)," probability=",CHAR(34),1/AZ$4,CHAR(34),CHAR(47),CHAR(62)),"&lt;/routeDistribution&gt;"))</f>
        <v/>
      </c>
    </row>
    <row r="5475" spans="1:5" x14ac:dyDescent="0.25">
      <c r="A5475" t="s">
        <v>1461</v>
      </c>
      <c r="B5475" t="s">
        <v>1106</v>
      </c>
      <c r="E5475" t="str">
        <f>IF(OR(E5474="&lt;/routeDistribution&gt;",E5474=""),"",IFERROR(_xlfn.CONCAT(VLOOKUP(AZ55,Route_Column!#REF!,2,FALSE),CHAR(34)," probability=",CHAR(34),1/AZ$4,CHAR(34),CHAR(47),CHAR(62)),"&lt;/routeDistribution&gt;"))</f>
        <v/>
      </c>
    </row>
    <row r="5476" spans="1:5" x14ac:dyDescent="0.25">
      <c r="A5476" t="s">
        <v>1461</v>
      </c>
      <c r="B5476" t="s">
        <v>1107</v>
      </c>
      <c r="E5476" t="str">
        <f>IF(OR(E5475="&lt;/routeDistribution&gt;",E5475=""),"",IFERROR(_xlfn.CONCAT(VLOOKUP(AZ56,Route_Column!#REF!,2,FALSE),CHAR(34)," probability=",CHAR(34),1/AZ$4,CHAR(34),CHAR(47),CHAR(62)),"&lt;/routeDistribution&gt;"))</f>
        <v/>
      </c>
    </row>
    <row r="5477" spans="1:5" x14ac:dyDescent="0.25">
      <c r="A5477" t="s">
        <v>1461</v>
      </c>
      <c r="B5477" t="s">
        <v>1108</v>
      </c>
      <c r="E5477" t="str">
        <f>IF(OR(E5476="&lt;/routeDistribution&gt;",E5476=""),"",IFERROR(_xlfn.CONCAT(VLOOKUP(AZ57,Route_Column!#REF!,2,FALSE),CHAR(34)," probability=",CHAR(34),1/AZ$4,CHAR(34),CHAR(47),CHAR(62)),"&lt;/routeDistribution&gt;"))</f>
        <v/>
      </c>
    </row>
    <row r="5478" spans="1:5" x14ac:dyDescent="0.25">
      <c r="A5478" t="s">
        <v>1461</v>
      </c>
      <c r="B5478" t="s">
        <v>1109</v>
      </c>
      <c r="E5478" t="str">
        <f>IF(OR(E5477="&lt;/routeDistribution&gt;",E5477=""),"",IFERROR(_xlfn.CONCAT(VLOOKUP(AZ58,Route_Column!#REF!,2,FALSE),CHAR(34)," probability=",CHAR(34),1/AZ$4,CHAR(34),CHAR(47),CHAR(62)),"&lt;/routeDistribution&gt;"))</f>
        <v/>
      </c>
    </row>
    <row r="5479" spans="1:5" x14ac:dyDescent="0.25">
      <c r="A5479" t="s">
        <v>1461</v>
      </c>
      <c r="B5479" t="s">
        <v>1110</v>
      </c>
      <c r="E5479" t="str">
        <f>IF(OR(E5478="&lt;/routeDistribution&gt;",E5478=""),"",IFERROR(_xlfn.CONCAT(VLOOKUP(AZ59,Route_Column!#REF!,2,FALSE),CHAR(34)," probability=",CHAR(34),1/AZ$4,CHAR(34),CHAR(47),CHAR(62)),"&lt;/routeDistribution&gt;"))</f>
        <v/>
      </c>
    </row>
    <row r="5480" spans="1:5" x14ac:dyDescent="0.25">
      <c r="A5480" t="s">
        <v>1461</v>
      </c>
      <c r="B5480" t="s">
        <v>1122</v>
      </c>
      <c r="E5480" t="str">
        <f>IF(OR(E5479="&lt;/routeDistribution&gt;",E5479=""),"",IFERROR(_xlfn.CONCAT(VLOOKUP(AZ60,Route_Column!#REF!,2,FALSE),CHAR(34)," probability=",CHAR(34),1/AZ$4,CHAR(34),CHAR(47),CHAR(62)),"&lt;/routeDistribution&gt;"))</f>
        <v/>
      </c>
    </row>
    <row r="5481" spans="1:5" x14ac:dyDescent="0.25">
      <c r="A5481" s="11" t="s">
        <v>1462</v>
      </c>
      <c r="B5481" t="s">
        <v>1091</v>
      </c>
      <c r="E5481" t="str">
        <f>IF(OR(E5480="&lt;/routeDistribution&gt;",E5480=""),"",IFERROR(_xlfn.CONCAT(VLOOKUP(AZ61,Route_Column!#REF!,2,FALSE),CHAR(34)," probability=",CHAR(34),1/AZ$4,CHAR(34),CHAR(47),CHAR(62)),"&lt;/routeDistribution&gt;"))</f>
        <v/>
      </c>
    </row>
    <row r="5482" spans="1:5" x14ac:dyDescent="0.25">
      <c r="A5482" t="s">
        <v>1462</v>
      </c>
      <c r="B5482" t="s">
        <v>1092</v>
      </c>
      <c r="E5482" t="str">
        <f>IF(OR(E5481="&lt;/routeDistribution&gt;",E5481=""),"",IFERROR(_xlfn.CONCAT(VLOOKUP(AZ62,Route_Column!#REF!,2,FALSE),CHAR(34)," probability=",CHAR(34),1/AZ$4,CHAR(34),CHAR(47),CHAR(62)),"&lt;/routeDistribution&gt;"))</f>
        <v/>
      </c>
    </row>
    <row r="5483" spans="1:5" x14ac:dyDescent="0.25">
      <c r="A5483" t="s">
        <v>1462</v>
      </c>
      <c r="B5483" t="s">
        <v>1093</v>
      </c>
      <c r="E5483" t="str">
        <f>IF(OR(E5482="&lt;/routeDistribution&gt;",E5482=""),"",IFERROR(_xlfn.CONCAT(VLOOKUP(AZ63,Route_Column!#REF!,2,FALSE),CHAR(34)," probability=",CHAR(34),1/AZ$4,CHAR(34),CHAR(47),CHAR(62)),"&lt;/routeDistribution&gt;"))</f>
        <v/>
      </c>
    </row>
    <row r="5484" spans="1:5" x14ac:dyDescent="0.25">
      <c r="A5484" t="s">
        <v>1462</v>
      </c>
      <c r="B5484" t="s">
        <v>1094</v>
      </c>
      <c r="E5484" t="s">
        <v>2686</v>
      </c>
    </row>
    <row r="5485" spans="1:5" x14ac:dyDescent="0.25">
      <c r="A5485" t="s">
        <v>1462</v>
      </c>
      <c r="B5485" t="s">
        <v>1095</v>
      </c>
    </row>
    <row r="5486" spans="1:5" x14ac:dyDescent="0.25">
      <c r="A5486" t="s">
        <v>1462</v>
      </c>
      <c r="B5486" t="s">
        <v>1096</v>
      </c>
    </row>
    <row r="5487" spans="1:5" x14ac:dyDescent="0.25">
      <c r="A5487" t="s">
        <v>1462</v>
      </c>
      <c r="B5487" t="s">
        <v>1097</v>
      </c>
      <c r="E5487" t="str">
        <f>_xlfn.CONCAT($E$1,AY$2,$F$1)</f>
        <v>&lt;routeDistribution id="SPGRst-BFPW-to-PAave-EB-2012-RouteProbe"&gt;</v>
      </c>
    </row>
    <row r="5488" spans="1:5" x14ac:dyDescent="0.25">
      <c r="A5488" t="s">
        <v>1462</v>
      </c>
      <c r="B5488" t="s">
        <v>1098</v>
      </c>
      <c r="E5488" t="str">
        <f>IF(OR(E5487="&lt;/routeDistribution&gt;",E5487=""),"",IFERROR(_xlfn.CONCAT(VLOOKUP(AY5,Route_Column!#REF!,2,FALSE),CHAR(34)," probability=",CHAR(34),1/AY$4,CHAR(34),CHAR(47),CHAR(62)),"&lt;/routeDistribution&gt;"))</f>
        <v>&lt;/routeDistribution&gt;</v>
      </c>
    </row>
    <row r="5489" spans="1:5" x14ac:dyDescent="0.25">
      <c r="A5489" t="s">
        <v>1462</v>
      </c>
      <c r="B5489" t="s">
        <v>1099</v>
      </c>
      <c r="E5489" t="str">
        <f>IF(OR(E5488="&lt;/routeDistribution&gt;",E5488=""),"",IFERROR(_xlfn.CONCAT(VLOOKUP(AY6,Route_Column!#REF!,2,FALSE),CHAR(34)," probability=",CHAR(34),1/AY$4,CHAR(34),CHAR(47),CHAR(62)),"&lt;/routeDistribution&gt;"))</f>
        <v/>
      </c>
    </row>
    <row r="5490" spans="1:5" x14ac:dyDescent="0.25">
      <c r="A5490" t="s">
        <v>1462</v>
      </c>
      <c r="B5490" t="s">
        <v>1100</v>
      </c>
      <c r="E5490" t="str">
        <f>IF(OR(E5489="&lt;/routeDistribution&gt;",E5489=""),"",IFERROR(_xlfn.CONCAT(VLOOKUP(AY7,Route_Column!#REF!,2,FALSE),CHAR(34)," probability=",CHAR(34),1/AY$4,CHAR(34),CHAR(47),CHAR(62)),"&lt;/routeDistribution&gt;"))</f>
        <v/>
      </c>
    </row>
    <row r="5491" spans="1:5" x14ac:dyDescent="0.25">
      <c r="A5491" t="s">
        <v>1462</v>
      </c>
      <c r="B5491" t="s">
        <v>1101</v>
      </c>
      <c r="E5491" t="str">
        <f>IF(OR(E5490="&lt;/routeDistribution&gt;",E5490=""),"",IFERROR(_xlfn.CONCAT(VLOOKUP(AY8,Route_Column!#REF!,2,FALSE),CHAR(34)," probability=",CHAR(34),1/AY$4,CHAR(34),CHAR(47),CHAR(62)),"&lt;/routeDistribution&gt;"))</f>
        <v/>
      </c>
    </row>
    <row r="5492" spans="1:5" x14ac:dyDescent="0.25">
      <c r="A5492" t="s">
        <v>1462</v>
      </c>
      <c r="B5492" t="s">
        <v>1102</v>
      </c>
      <c r="E5492" t="str">
        <f>IF(OR(E5491="&lt;/routeDistribution&gt;",E5491=""),"",IFERROR(_xlfn.CONCAT(VLOOKUP(AY9,Route_Column!#REF!,2,FALSE),CHAR(34)," probability=",CHAR(34),1/AY$4,CHAR(34),CHAR(47),CHAR(62)),"&lt;/routeDistribution&gt;"))</f>
        <v/>
      </c>
    </row>
    <row r="5493" spans="1:5" x14ac:dyDescent="0.25">
      <c r="A5493" t="s">
        <v>1462</v>
      </c>
      <c r="B5493" t="s">
        <v>1103</v>
      </c>
      <c r="E5493" t="str">
        <f>IF(OR(E5492="&lt;/routeDistribution&gt;",E5492=""),"",IFERROR(_xlfn.CONCAT(VLOOKUP(AY10,Route_Column!#REF!,2,FALSE),CHAR(34)," probability=",CHAR(34),1/AY$4,CHAR(34),CHAR(47),CHAR(62)),"&lt;/routeDistribution&gt;"))</f>
        <v/>
      </c>
    </row>
    <row r="5494" spans="1:5" x14ac:dyDescent="0.25">
      <c r="A5494" t="s">
        <v>1462</v>
      </c>
      <c r="B5494" t="s">
        <v>1104</v>
      </c>
      <c r="E5494" t="str">
        <f>IF(OR(E5493="&lt;/routeDistribution&gt;",E5493=""),"",IFERROR(_xlfn.CONCAT(VLOOKUP(AY11,Route_Column!#REF!,2,FALSE),CHAR(34)," probability=",CHAR(34),1/AY$4,CHAR(34),CHAR(47),CHAR(62)),"&lt;/routeDistribution&gt;"))</f>
        <v/>
      </c>
    </row>
    <row r="5495" spans="1:5" x14ac:dyDescent="0.25">
      <c r="A5495" t="s">
        <v>1462</v>
      </c>
      <c r="B5495" t="s">
        <v>1105</v>
      </c>
      <c r="E5495" t="str">
        <f>IF(OR(E5494="&lt;/routeDistribution&gt;",E5494=""),"",IFERROR(_xlfn.CONCAT(VLOOKUP(AY12,Route_Column!#REF!,2,FALSE),CHAR(34)," probability=",CHAR(34),1/AY$4,CHAR(34),CHAR(47),CHAR(62)),"&lt;/routeDistribution&gt;"))</f>
        <v/>
      </c>
    </row>
    <row r="5496" spans="1:5" x14ac:dyDescent="0.25">
      <c r="A5496" t="s">
        <v>1462</v>
      </c>
      <c r="B5496" t="s">
        <v>1106</v>
      </c>
      <c r="E5496" t="str">
        <f>IF(OR(E5495="&lt;/routeDistribution&gt;",E5495=""),"",IFERROR(_xlfn.CONCAT(VLOOKUP(AY13,Route_Column!#REF!,2,FALSE),CHAR(34)," probability=",CHAR(34),1/AY$4,CHAR(34),CHAR(47),CHAR(62)),"&lt;/routeDistribution&gt;"))</f>
        <v/>
      </c>
    </row>
    <row r="5497" spans="1:5" x14ac:dyDescent="0.25">
      <c r="A5497" t="s">
        <v>1462</v>
      </c>
      <c r="B5497" t="s">
        <v>1107</v>
      </c>
      <c r="E5497" t="str">
        <f>IF(OR(E5496="&lt;/routeDistribution&gt;",E5496=""),"",IFERROR(_xlfn.CONCAT(VLOOKUP(AY14,Route_Column!#REF!,2,FALSE),CHAR(34)," probability=",CHAR(34),1/AY$4,CHAR(34),CHAR(47),CHAR(62)),"&lt;/routeDistribution&gt;"))</f>
        <v/>
      </c>
    </row>
    <row r="5498" spans="1:5" x14ac:dyDescent="0.25">
      <c r="A5498" t="s">
        <v>1462</v>
      </c>
      <c r="B5498" t="s">
        <v>1108</v>
      </c>
      <c r="E5498" t="str">
        <f>IF(OR(E5497="&lt;/routeDistribution&gt;",E5497=""),"",IFERROR(_xlfn.CONCAT(VLOOKUP(AY15,Route_Column!#REF!,2,FALSE),CHAR(34)," probability=",CHAR(34),1/AY$4,CHAR(34),CHAR(47),CHAR(62)),"&lt;/routeDistribution&gt;"))</f>
        <v/>
      </c>
    </row>
    <row r="5499" spans="1:5" x14ac:dyDescent="0.25">
      <c r="A5499" t="s">
        <v>1972</v>
      </c>
      <c r="B5499" t="s">
        <v>1127</v>
      </c>
      <c r="E5499" t="str">
        <f>IF(OR(E5498="&lt;/routeDistribution&gt;",E5498=""),"",IFERROR(_xlfn.CONCAT(VLOOKUP(AY16,Route_Column!#REF!,2,FALSE),CHAR(34)," probability=",CHAR(34),1/AY$4,CHAR(34),CHAR(47),CHAR(62)),"&lt;/routeDistribution&gt;"))</f>
        <v/>
      </c>
    </row>
    <row r="5500" spans="1:5" x14ac:dyDescent="0.25">
      <c r="A5500" t="s">
        <v>1972</v>
      </c>
      <c r="B5500" t="s">
        <v>1128</v>
      </c>
      <c r="E5500" t="str">
        <f>IF(OR(E5499="&lt;/routeDistribution&gt;",E5499=""),"",IFERROR(_xlfn.CONCAT(VLOOKUP(AY17,Route_Column!#REF!,2,FALSE),CHAR(34)," probability=",CHAR(34),1/AY$4,CHAR(34),CHAR(47),CHAR(62)),"&lt;/routeDistribution&gt;"))</f>
        <v/>
      </c>
    </row>
    <row r="5501" spans="1:5" x14ac:dyDescent="0.25">
      <c r="A5501" t="s">
        <v>1972</v>
      </c>
      <c r="B5501" t="s">
        <v>1129</v>
      </c>
      <c r="E5501" t="str">
        <f>IF(OR(E5500="&lt;/routeDistribution&gt;",E5500=""),"",IFERROR(_xlfn.CONCAT(VLOOKUP(AY18,Route_Column!#REF!,2,FALSE),CHAR(34)," probability=",CHAR(34),1/AY$4,CHAR(34),CHAR(47),CHAR(62)),"&lt;/routeDistribution&gt;"))</f>
        <v/>
      </c>
    </row>
    <row r="5502" spans="1:5" x14ac:dyDescent="0.25">
      <c r="A5502" t="s">
        <v>1972</v>
      </c>
      <c r="B5502" t="s">
        <v>1130</v>
      </c>
      <c r="E5502" t="str">
        <f>IF(OR(E5501="&lt;/routeDistribution&gt;",E5501=""),"",IFERROR(_xlfn.CONCAT(VLOOKUP(AY19,Route_Column!#REF!,2,FALSE),CHAR(34)," probability=",CHAR(34),1/AY$4,CHAR(34),CHAR(47),CHAR(62)),"&lt;/routeDistribution&gt;"))</f>
        <v/>
      </c>
    </row>
    <row r="5503" spans="1:5" x14ac:dyDescent="0.25">
      <c r="A5503" t="s">
        <v>1972</v>
      </c>
      <c r="B5503" t="s">
        <v>1131</v>
      </c>
      <c r="E5503" t="str">
        <f>IF(OR(E5502="&lt;/routeDistribution&gt;",E5502=""),"",IFERROR(_xlfn.CONCAT(VLOOKUP(AY20,Route_Column!#REF!,2,FALSE),CHAR(34)," probability=",CHAR(34),1/AY$4,CHAR(34),CHAR(47),CHAR(62)),"&lt;/routeDistribution&gt;"))</f>
        <v/>
      </c>
    </row>
    <row r="5504" spans="1:5" x14ac:dyDescent="0.25">
      <c r="A5504" t="s">
        <v>1972</v>
      </c>
      <c r="B5504" t="s">
        <v>1132</v>
      </c>
      <c r="E5504" t="str">
        <f>IF(OR(E5503="&lt;/routeDistribution&gt;",E5503=""),"",IFERROR(_xlfn.CONCAT(VLOOKUP(AY21,Route_Column!#REF!,2,FALSE),CHAR(34)," probability=",CHAR(34),1/AY$4,CHAR(34),CHAR(47),CHAR(62)),"&lt;/routeDistribution&gt;"))</f>
        <v/>
      </c>
    </row>
    <row r="5505" spans="1:5" x14ac:dyDescent="0.25">
      <c r="A5505" t="s">
        <v>1972</v>
      </c>
      <c r="B5505" t="s">
        <v>1133</v>
      </c>
      <c r="E5505" t="str">
        <f>IF(OR(E5504="&lt;/routeDistribution&gt;",E5504=""),"",IFERROR(_xlfn.CONCAT(VLOOKUP(AY22,Route_Column!#REF!,2,FALSE),CHAR(34)," probability=",CHAR(34),1/AY$4,CHAR(34),CHAR(47),CHAR(62)),"&lt;/routeDistribution&gt;"))</f>
        <v/>
      </c>
    </row>
    <row r="5506" spans="1:5" x14ac:dyDescent="0.25">
      <c r="A5506" t="s">
        <v>1973</v>
      </c>
      <c r="B5506" t="s">
        <v>1127</v>
      </c>
      <c r="E5506" t="str">
        <f>IF(OR(E5505="&lt;/routeDistribution&gt;",E5505=""),"",IFERROR(_xlfn.CONCAT(VLOOKUP(AY23,Route_Column!#REF!,2,FALSE),CHAR(34)," probability=",CHAR(34),1/AY$4,CHAR(34),CHAR(47),CHAR(62)),"&lt;/routeDistribution&gt;"))</f>
        <v/>
      </c>
    </row>
    <row r="5507" spans="1:5" x14ac:dyDescent="0.25">
      <c r="A5507" t="s">
        <v>1973</v>
      </c>
      <c r="B5507" t="s">
        <v>1128</v>
      </c>
      <c r="E5507" t="str">
        <f>IF(OR(E5506="&lt;/routeDistribution&gt;",E5506=""),"",IFERROR(_xlfn.CONCAT(VLOOKUP(AY24,Route_Column!#REF!,2,FALSE),CHAR(34)," probability=",CHAR(34),1/AY$4,CHAR(34),CHAR(47),CHAR(62)),"&lt;/routeDistribution&gt;"))</f>
        <v/>
      </c>
    </row>
    <row r="5508" spans="1:5" x14ac:dyDescent="0.25">
      <c r="A5508" t="s">
        <v>1973</v>
      </c>
      <c r="B5508" t="s">
        <v>1129</v>
      </c>
      <c r="E5508" t="str">
        <f>IF(OR(E5507="&lt;/routeDistribution&gt;",E5507=""),"",IFERROR(_xlfn.CONCAT(VLOOKUP(AY25,Route_Column!#REF!,2,FALSE),CHAR(34)," probability=",CHAR(34),1/AY$4,CHAR(34),CHAR(47),CHAR(62)),"&lt;/routeDistribution&gt;"))</f>
        <v/>
      </c>
    </row>
    <row r="5509" spans="1:5" x14ac:dyDescent="0.25">
      <c r="A5509" t="s">
        <v>1973</v>
      </c>
      <c r="B5509" t="s">
        <v>1130</v>
      </c>
      <c r="E5509" t="str">
        <f>IF(OR(E5508="&lt;/routeDistribution&gt;",E5508=""),"",IFERROR(_xlfn.CONCAT(VLOOKUP(AY26,Route_Column!#REF!,2,FALSE),CHAR(34)," probability=",CHAR(34),1/AY$4,CHAR(34),CHAR(47),CHAR(62)),"&lt;/routeDistribution&gt;"))</f>
        <v/>
      </c>
    </row>
    <row r="5510" spans="1:5" x14ac:dyDescent="0.25">
      <c r="A5510" t="s">
        <v>1973</v>
      </c>
      <c r="B5510" t="s">
        <v>1131</v>
      </c>
      <c r="E5510" t="str">
        <f>IF(OR(E5509="&lt;/routeDistribution&gt;",E5509=""),"",IFERROR(_xlfn.CONCAT(VLOOKUP(AY27,Route_Column!#REF!,2,FALSE),CHAR(34)," probability=",CHAR(34),1/AY$4,CHAR(34),CHAR(47),CHAR(62)),"&lt;/routeDistribution&gt;"))</f>
        <v/>
      </c>
    </row>
    <row r="5511" spans="1:5" x14ac:dyDescent="0.25">
      <c r="A5511" t="s">
        <v>1973</v>
      </c>
      <c r="B5511" t="s">
        <v>1132</v>
      </c>
      <c r="E5511" t="str">
        <f>IF(OR(E5510="&lt;/routeDistribution&gt;",E5510=""),"",IFERROR(_xlfn.CONCAT(VLOOKUP(AY28,Route_Column!#REF!,2,FALSE),CHAR(34)," probability=",CHAR(34),1/AY$4,CHAR(34),CHAR(47),CHAR(62)),"&lt;/routeDistribution&gt;"))</f>
        <v/>
      </c>
    </row>
    <row r="5512" spans="1:5" x14ac:dyDescent="0.25">
      <c r="A5512" t="s">
        <v>1973</v>
      </c>
      <c r="B5512" t="s">
        <v>1133</v>
      </c>
      <c r="E5512" t="str">
        <f>IF(OR(E5511="&lt;/routeDistribution&gt;",E5511=""),"",IFERROR(_xlfn.CONCAT(VLOOKUP(AY29,Route_Column!#REF!,2,FALSE),CHAR(34)," probability=",CHAR(34),1/AY$4,CHAR(34),CHAR(47),CHAR(62)),"&lt;/routeDistribution&gt;"))</f>
        <v/>
      </c>
    </row>
    <row r="5513" spans="1:5" x14ac:dyDescent="0.25">
      <c r="A5513" t="s">
        <v>1575</v>
      </c>
      <c r="B5513" t="s">
        <v>1095</v>
      </c>
      <c r="E5513" t="str">
        <f>IF(OR(E5512="&lt;/routeDistribution&gt;",E5512=""),"",IFERROR(_xlfn.CONCAT(VLOOKUP(AY30,Route_Column!#REF!,2,FALSE),CHAR(34)," probability=",CHAR(34),1/AY$4,CHAR(34),CHAR(47),CHAR(62)),"&lt;/routeDistribution&gt;"))</f>
        <v/>
      </c>
    </row>
    <row r="5514" spans="1:5" x14ac:dyDescent="0.25">
      <c r="A5514" t="s">
        <v>1575</v>
      </c>
      <c r="B5514" t="s">
        <v>1102</v>
      </c>
      <c r="E5514" t="str">
        <f>IF(OR(E5513="&lt;/routeDistribution&gt;",E5513=""),"",IFERROR(_xlfn.CONCAT(VLOOKUP(AY31,Route_Column!#REF!,2,FALSE),CHAR(34)," probability=",CHAR(34),1/AY$4,CHAR(34),CHAR(47),CHAR(62)),"&lt;/routeDistribution&gt;"))</f>
        <v/>
      </c>
    </row>
    <row r="5515" spans="1:5" x14ac:dyDescent="0.25">
      <c r="A5515" t="s">
        <v>1575</v>
      </c>
      <c r="B5515" t="s">
        <v>1110</v>
      </c>
      <c r="E5515" t="str">
        <f>IF(OR(E5514="&lt;/routeDistribution&gt;",E5514=""),"",IFERROR(_xlfn.CONCAT(VLOOKUP(AY32,Route_Column!#REF!,2,FALSE),CHAR(34)," probability=",CHAR(34),1/AY$4,CHAR(34),CHAR(47),CHAR(62)),"&lt;/routeDistribution&gt;"))</f>
        <v/>
      </c>
    </row>
    <row r="5516" spans="1:5" x14ac:dyDescent="0.25">
      <c r="A5516" t="s">
        <v>1575</v>
      </c>
      <c r="B5516" t="s">
        <v>1112</v>
      </c>
      <c r="E5516" t="str">
        <f>IF(OR(E5515="&lt;/routeDistribution&gt;",E5515=""),"",IFERROR(_xlfn.CONCAT(VLOOKUP(AY33,Route_Column!#REF!,2,FALSE),CHAR(34)," probability=",CHAR(34),1/AY$4,CHAR(34),CHAR(47),CHAR(62)),"&lt;/routeDistribution&gt;"))</f>
        <v/>
      </c>
    </row>
    <row r="5517" spans="1:5" x14ac:dyDescent="0.25">
      <c r="A5517" t="s">
        <v>1575</v>
      </c>
      <c r="B5517" t="s">
        <v>1130</v>
      </c>
      <c r="E5517" t="str">
        <f>IF(OR(E5516="&lt;/routeDistribution&gt;",E5516=""),"",IFERROR(_xlfn.CONCAT(VLOOKUP(AY34,Route_Column!#REF!,2,FALSE),CHAR(34)," probability=",CHAR(34),1/AY$4,CHAR(34),CHAR(47),CHAR(62)),"&lt;/routeDistribution&gt;"))</f>
        <v/>
      </c>
    </row>
    <row r="5518" spans="1:5" x14ac:dyDescent="0.25">
      <c r="A5518" t="s">
        <v>1575</v>
      </c>
      <c r="B5518" t="s">
        <v>1131</v>
      </c>
      <c r="E5518" t="str">
        <f>IF(OR(E5517="&lt;/routeDistribution&gt;",E5517=""),"",IFERROR(_xlfn.CONCAT(VLOOKUP(AY35,Route_Column!#REF!,2,FALSE),CHAR(34)," probability=",CHAR(34),1/AY$4,CHAR(34),CHAR(47),CHAR(62)),"&lt;/routeDistribution&gt;"))</f>
        <v/>
      </c>
    </row>
    <row r="5519" spans="1:5" x14ac:dyDescent="0.25">
      <c r="A5519" t="s">
        <v>1575</v>
      </c>
      <c r="B5519" t="s">
        <v>1134</v>
      </c>
      <c r="E5519" t="str">
        <f>IF(OR(E5518="&lt;/routeDistribution&gt;",E5518=""),"",IFERROR(_xlfn.CONCAT(VLOOKUP(AY36,Route_Column!#REF!,2,FALSE),CHAR(34)," probability=",CHAR(34),1/AY$4,CHAR(34),CHAR(47),CHAR(62)),"&lt;/routeDistribution&gt;"))</f>
        <v/>
      </c>
    </row>
    <row r="5520" spans="1:5" x14ac:dyDescent="0.25">
      <c r="A5520" t="s">
        <v>1575</v>
      </c>
      <c r="B5520" t="s">
        <v>1136</v>
      </c>
      <c r="E5520" t="str">
        <f>IF(OR(E5519="&lt;/routeDistribution&gt;",E5519=""),"",IFERROR(_xlfn.CONCAT(VLOOKUP(AY37,Route_Column!#REF!,2,FALSE),CHAR(34)," probability=",CHAR(34),1/AY$4,CHAR(34),CHAR(47),CHAR(62)),"&lt;/routeDistribution&gt;"))</f>
        <v/>
      </c>
    </row>
    <row r="5521" spans="1:5" x14ac:dyDescent="0.25">
      <c r="A5521" t="s">
        <v>1575</v>
      </c>
      <c r="B5521" t="s">
        <v>1138</v>
      </c>
      <c r="E5521" t="str">
        <f>IF(OR(E5520="&lt;/routeDistribution&gt;",E5520=""),"",IFERROR(_xlfn.CONCAT(VLOOKUP(AY38,Route_Column!#REF!,2,FALSE),CHAR(34)," probability=",CHAR(34),1/AY$4,CHAR(34),CHAR(47),CHAR(62)),"&lt;/routeDistribution&gt;"))</f>
        <v/>
      </c>
    </row>
    <row r="5522" spans="1:5" x14ac:dyDescent="0.25">
      <c r="A5522" t="s">
        <v>1575</v>
      </c>
      <c r="B5522" t="s">
        <v>1143</v>
      </c>
      <c r="E5522" t="str">
        <f>IF(OR(E5521="&lt;/routeDistribution&gt;",E5521=""),"",IFERROR(_xlfn.CONCAT(VLOOKUP(AY39,Route_Column!#REF!,2,FALSE),CHAR(34)," probability=",CHAR(34),1/AY$4,CHAR(34),CHAR(47),CHAR(62)),"&lt;/routeDistribution&gt;"))</f>
        <v/>
      </c>
    </row>
    <row r="5523" spans="1:5" x14ac:dyDescent="0.25">
      <c r="A5523" t="s">
        <v>1575</v>
      </c>
      <c r="B5523" t="s">
        <v>1144</v>
      </c>
      <c r="E5523" t="str">
        <f>IF(OR(E5522="&lt;/routeDistribution&gt;",E5522=""),"",IFERROR(_xlfn.CONCAT(VLOOKUP(AY40,Route_Column!#REF!,2,FALSE),CHAR(34)," probability=",CHAR(34),1/AY$4,CHAR(34),CHAR(47),CHAR(62)),"&lt;/routeDistribution&gt;"))</f>
        <v/>
      </c>
    </row>
    <row r="5524" spans="1:5" x14ac:dyDescent="0.25">
      <c r="A5524" t="s">
        <v>1575</v>
      </c>
      <c r="B5524" t="s">
        <v>1145</v>
      </c>
      <c r="E5524" t="str">
        <f>IF(OR(E5523="&lt;/routeDistribution&gt;",E5523=""),"",IFERROR(_xlfn.CONCAT(VLOOKUP(AY41,Route_Column!#REF!,2,FALSE),CHAR(34)," probability=",CHAR(34),1/AY$4,CHAR(34),CHAR(47),CHAR(62)),"&lt;/routeDistribution&gt;"))</f>
        <v/>
      </c>
    </row>
    <row r="5525" spans="1:5" x14ac:dyDescent="0.25">
      <c r="A5525" t="s">
        <v>1575</v>
      </c>
      <c r="B5525" t="s">
        <v>1147</v>
      </c>
      <c r="E5525" t="str">
        <f>IF(OR(E5524="&lt;/routeDistribution&gt;",E5524=""),"",IFERROR(_xlfn.CONCAT(VLOOKUP(AY42,Route_Column!#REF!,2,FALSE),CHAR(34)," probability=",CHAR(34),1/AY$4,CHAR(34),CHAR(47),CHAR(62)),"&lt;/routeDistribution&gt;"))</f>
        <v/>
      </c>
    </row>
    <row r="5526" spans="1:5" x14ac:dyDescent="0.25">
      <c r="A5526" t="s">
        <v>1575</v>
      </c>
      <c r="B5526" t="s">
        <v>1152</v>
      </c>
      <c r="E5526" t="str">
        <f>IF(OR(E5525="&lt;/routeDistribution&gt;",E5525=""),"",IFERROR(_xlfn.CONCAT(VLOOKUP(AY43,Route_Column!#REF!,2,FALSE),CHAR(34)," probability=",CHAR(34),1/AY$4,CHAR(34),CHAR(47),CHAR(62)),"&lt;/routeDistribution&gt;"))</f>
        <v/>
      </c>
    </row>
    <row r="5527" spans="1:5" x14ac:dyDescent="0.25">
      <c r="A5527" t="s">
        <v>1575</v>
      </c>
      <c r="B5527" t="s">
        <v>1153</v>
      </c>
      <c r="E5527" t="str">
        <f>IF(OR(E5526="&lt;/routeDistribution&gt;",E5526=""),"",IFERROR(_xlfn.CONCAT(VLOOKUP(AY44,Route_Column!#REF!,2,FALSE),CHAR(34)," probability=",CHAR(34),1/AY$4,CHAR(34),CHAR(47),CHAR(62)),"&lt;/routeDistribution&gt;"))</f>
        <v/>
      </c>
    </row>
    <row r="5528" spans="1:5" x14ac:dyDescent="0.25">
      <c r="A5528" t="s">
        <v>1575</v>
      </c>
      <c r="B5528" t="s">
        <v>1154</v>
      </c>
      <c r="E5528" t="str">
        <f>IF(OR(E5527="&lt;/routeDistribution&gt;",E5527=""),"",IFERROR(_xlfn.CONCAT(VLOOKUP(AY45,Route_Column!#REF!,2,FALSE),CHAR(34)," probability=",CHAR(34),1/AY$4,CHAR(34),CHAR(47),CHAR(62)),"&lt;/routeDistribution&gt;"))</f>
        <v/>
      </c>
    </row>
    <row r="5529" spans="1:5" x14ac:dyDescent="0.25">
      <c r="A5529" t="s">
        <v>1575</v>
      </c>
      <c r="B5529" t="s">
        <v>1172</v>
      </c>
      <c r="E5529" t="str">
        <f>IF(OR(E5528="&lt;/routeDistribution&gt;",E5528=""),"",IFERROR(_xlfn.CONCAT(VLOOKUP(AY46,Route_Column!#REF!,2,FALSE),CHAR(34)," probability=",CHAR(34),1/AY$4,CHAR(34),CHAR(47),CHAR(62)),"&lt;/routeDistribution&gt;"))</f>
        <v/>
      </c>
    </row>
    <row r="5530" spans="1:5" x14ac:dyDescent="0.25">
      <c r="A5530" t="s">
        <v>1575</v>
      </c>
      <c r="B5530" t="s">
        <v>1180</v>
      </c>
      <c r="E5530" t="str">
        <f>IF(OR(E5529="&lt;/routeDistribution&gt;",E5529=""),"",IFERROR(_xlfn.CONCAT(VLOOKUP(AY47,Route_Column!#REF!,2,FALSE),CHAR(34)," probability=",CHAR(34),1/AY$4,CHAR(34),CHAR(47),CHAR(62)),"&lt;/routeDistribution&gt;"))</f>
        <v/>
      </c>
    </row>
    <row r="5531" spans="1:5" x14ac:dyDescent="0.25">
      <c r="A5531" t="s">
        <v>1575</v>
      </c>
      <c r="B5531" t="s">
        <v>1181</v>
      </c>
      <c r="E5531" t="str">
        <f>IF(OR(E5530="&lt;/routeDistribution&gt;",E5530=""),"",IFERROR(_xlfn.CONCAT(VLOOKUP(AY48,Route_Column!#REF!,2,FALSE),CHAR(34)," probability=",CHAR(34),1/AY$4,CHAR(34),CHAR(47),CHAR(62)),"&lt;/routeDistribution&gt;"))</f>
        <v/>
      </c>
    </row>
    <row r="5532" spans="1:5" x14ac:dyDescent="0.25">
      <c r="A5532" t="s">
        <v>1575</v>
      </c>
      <c r="B5532" t="s">
        <v>1192</v>
      </c>
      <c r="E5532" t="str">
        <f>IF(OR(E5531="&lt;/routeDistribution&gt;",E5531=""),"",IFERROR(_xlfn.CONCAT(VLOOKUP(AY49,Route_Column!#REF!,2,FALSE),CHAR(34)," probability=",CHAR(34),1/AY$4,CHAR(34),CHAR(47),CHAR(62)),"&lt;/routeDistribution&gt;"))</f>
        <v/>
      </c>
    </row>
    <row r="5533" spans="1:5" x14ac:dyDescent="0.25">
      <c r="A5533" t="s">
        <v>1575</v>
      </c>
      <c r="B5533" t="s">
        <v>1193</v>
      </c>
      <c r="E5533" t="str">
        <f>IF(OR(E5532="&lt;/routeDistribution&gt;",E5532=""),"",IFERROR(_xlfn.CONCAT(VLOOKUP(AY50,Route_Column!#REF!,2,FALSE),CHAR(34)," probability=",CHAR(34),1/AY$4,CHAR(34),CHAR(47),CHAR(62)),"&lt;/routeDistribution&gt;"))</f>
        <v/>
      </c>
    </row>
    <row r="5534" spans="1:5" x14ac:dyDescent="0.25">
      <c r="A5534" t="s">
        <v>1575</v>
      </c>
      <c r="B5534" t="s">
        <v>1201</v>
      </c>
      <c r="E5534" t="str">
        <f>IF(OR(E5533="&lt;/routeDistribution&gt;",E5533=""),"",IFERROR(_xlfn.CONCAT(VLOOKUP(AY51,Route_Column!#REF!,2,FALSE),CHAR(34)," probability=",CHAR(34),1/AY$4,CHAR(34),CHAR(47),CHAR(62)),"&lt;/routeDistribution&gt;"))</f>
        <v/>
      </c>
    </row>
    <row r="5535" spans="1:5" x14ac:dyDescent="0.25">
      <c r="A5535" t="s">
        <v>1575</v>
      </c>
      <c r="B5535" t="s">
        <v>1206</v>
      </c>
      <c r="E5535" t="str">
        <f>IF(OR(E5534="&lt;/routeDistribution&gt;",E5534=""),"",IFERROR(_xlfn.CONCAT(VLOOKUP(AY52,Route_Column!#REF!,2,FALSE),CHAR(34)," probability=",CHAR(34),1/AY$4,CHAR(34),CHAR(47),CHAR(62)),"&lt;/routeDistribution&gt;"))</f>
        <v/>
      </c>
    </row>
    <row r="5536" spans="1:5" x14ac:dyDescent="0.25">
      <c r="A5536" t="s">
        <v>1576</v>
      </c>
      <c r="B5536" t="s">
        <v>1095</v>
      </c>
      <c r="E5536" t="str">
        <f>IF(OR(E5535="&lt;/routeDistribution&gt;",E5535=""),"",IFERROR(_xlfn.CONCAT(VLOOKUP(AY53,Route_Column!#REF!,2,FALSE),CHAR(34)," probability=",CHAR(34),1/AY$4,CHAR(34),CHAR(47),CHAR(62)),"&lt;/routeDistribution&gt;"))</f>
        <v/>
      </c>
    </row>
    <row r="5537" spans="1:5" x14ac:dyDescent="0.25">
      <c r="A5537" t="s">
        <v>1576</v>
      </c>
      <c r="B5537" t="s">
        <v>1102</v>
      </c>
      <c r="E5537" t="str">
        <f>IF(OR(E5536="&lt;/routeDistribution&gt;",E5536=""),"",IFERROR(_xlfn.CONCAT(VLOOKUP(AY54,Route_Column!#REF!,2,FALSE),CHAR(34)," probability=",CHAR(34),1/AY$4,CHAR(34),CHAR(47),CHAR(62)),"&lt;/routeDistribution&gt;"))</f>
        <v/>
      </c>
    </row>
    <row r="5538" spans="1:5" x14ac:dyDescent="0.25">
      <c r="A5538" t="s">
        <v>1576</v>
      </c>
      <c r="B5538" t="s">
        <v>1110</v>
      </c>
      <c r="E5538" t="str">
        <f>IF(OR(E5537="&lt;/routeDistribution&gt;",E5537=""),"",IFERROR(_xlfn.CONCAT(VLOOKUP(AY55,Route_Column!#REF!,2,FALSE),CHAR(34)," probability=",CHAR(34),1/AY$4,CHAR(34),CHAR(47),CHAR(62)),"&lt;/routeDistribution&gt;"))</f>
        <v/>
      </c>
    </row>
    <row r="5539" spans="1:5" x14ac:dyDescent="0.25">
      <c r="A5539" t="s">
        <v>1576</v>
      </c>
      <c r="B5539" t="s">
        <v>1112</v>
      </c>
      <c r="E5539" t="str">
        <f>IF(OR(E5538="&lt;/routeDistribution&gt;",E5538=""),"",IFERROR(_xlfn.CONCAT(VLOOKUP(AY56,Route_Column!#REF!,2,FALSE),CHAR(34)," probability=",CHAR(34),1/AY$4,CHAR(34),CHAR(47),CHAR(62)),"&lt;/routeDistribution&gt;"))</f>
        <v/>
      </c>
    </row>
    <row r="5540" spans="1:5" x14ac:dyDescent="0.25">
      <c r="A5540" t="s">
        <v>1576</v>
      </c>
      <c r="B5540" t="s">
        <v>1130</v>
      </c>
      <c r="E5540" t="str">
        <f>IF(OR(E5539="&lt;/routeDistribution&gt;",E5539=""),"",IFERROR(_xlfn.CONCAT(VLOOKUP(AY57,Route_Column!#REF!,2,FALSE),CHAR(34)," probability=",CHAR(34),1/AY$4,CHAR(34),CHAR(47),CHAR(62)),"&lt;/routeDistribution&gt;"))</f>
        <v/>
      </c>
    </row>
    <row r="5541" spans="1:5" x14ac:dyDescent="0.25">
      <c r="A5541" t="s">
        <v>1576</v>
      </c>
      <c r="B5541" t="s">
        <v>1131</v>
      </c>
      <c r="E5541" t="str">
        <f>IF(OR(E5540="&lt;/routeDistribution&gt;",E5540=""),"",IFERROR(_xlfn.CONCAT(VLOOKUP(AY58,Route_Column!#REF!,2,FALSE),CHAR(34)," probability=",CHAR(34),1/AY$4,CHAR(34),CHAR(47),CHAR(62)),"&lt;/routeDistribution&gt;"))</f>
        <v/>
      </c>
    </row>
    <row r="5542" spans="1:5" x14ac:dyDescent="0.25">
      <c r="A5542" t="s">
        <v>1576</v>
      </c>
      <c r="B5542" t="s">
        <v>1134</v>
      </c>
      <c r="E5542" t="str">
        <f>IF(OR(E5541="&lt;/routeDistribution&gt;",E5541=""),"",IFERROR(_xlfn.CONCAT(VLOOKUP(AY59,Route_Column!#REF!,2,FALSE),CHAR(34)," probability=",CHAR(34),1/AY$4,CHAR(34),CHAR(47),CHAR(62)),"&lt;/routeDistribution&gt;"))</f>
        <v/>
      </c>
    </row>
    <row r="5543" spans="1:5" x14ac:dyDescent="0.25">
      <c r="A5543" t="s">
        <v>1576</v>
      </c>
      <c r="B5543" t="s">
        <v>1136</v>
      </c>
      <c r="E5543" t="str">
        <f>IF(OR(E5542="&lt;/routeDistribution&gt;",E5542=""),"",IFERROR(_xlfn.CONCAT(VLOOKUP(AY60,Route_Column!#REF!,2,FALSE),CHAR(34)," probability=",CHAR(34),1/AY$4,CHAR(34),CHAR(47),CHAR(62)),"&lt;/routeDistribution&gt;"))</f>
        <v/>
      </c>
    </row>
    <row r="5544" spans="1:5" x14ac:dyDescent="0.25">
      <c r="A5544" t="s">
        <v>1576</v>
      </c>
      <c r="B5544" t="s">
        <v>1138</v>
      </c>
      <c r="E5544" t="str">
        <f>IF(OR(E5543="&lt;/routeDistribution&gt;",E5543=""),"",IFERROR(_xlfn.CONCAT(VLOOKUP(AY61,Route_Column!#REF!,2,FALSE),CHAR(34)," probability=",CHAR(34),1/AY$4,CHAR(34),CHAR(47),CHAR(62)),"&lt;/routeDistribution&gt;"))</f>
        <v/>
      </c>
    </row>
    <row r="5545" spans="1:5" x14ac:dyDescent="0.25">
      <c r="A5545" t="s">
        <v>1576</v>
      </c>
      <c r="B5545" t="s">
        <v>1143</v>
      </c>
      <c r="E5545" t="str">
        <f>IF(OR(E5544="&lt;/routeDistribution&gt;",E5544=""),"",IFERROR(_xlfn.CONCAT(VLOOKUP(AY62,Route_Column!#REF!,2,FALSE),CHAR(34)," probability=",CHAR(34),1/AY$4,CHAR(34),CHAR(47),CHAR(62)),"&lt;/routeDistribution&gt;"))</f>
        <v/>
      </c>
    </row>
    <row r="5546" spans="1:5" x14ac:dyDescent="0.25">
      <c r="A5546" t="s">
        <v>1576</v>
      </c>
      <c r="B5546" t="s">
        <v>1144</v>
      </c>
      <c r="E5546" t="str">
        <f>IF(OR(E5545="&lt;/routeDistribution&gt;",E5545=""),"",IFERROR(_xlfn.CONCAT(VLOOKUP(AY63,Route_Column!#REF!,2,FALSE),CHAR(34)," probability=",CHAR(34),1/AY$4,CHAR(34),CHAR(47),CHAR(62)),"&lt;/routeDistribution&gt;"))</f>
        <v/>
      </c>
    </row>
    <row r="5547" spans="1:5" x14ac:dyDescent="0.25">
      <c r="A5547" t="s">
        <v>1576</v>
      </c>
      <c r="B5547" t="s">
        <v>1145</v>
      </c>
      <c r="E5547" t="s">
        <v>2686</v>
      </c>
    </row>
    <row r="5548" spans="1:5" x14ac:dyDescent="0.25">
      <c r="A5548" t="s">
        <v>1576</v>
      </c>
      <c r="B5548" t="s">
        <v>1147</v>
      </c>
    </row>
    <row r="5549" spans="1:5" x14ac:dyDescent="0.25">
      <c r="A5549" t="s">
        <v>1576</v>
      </c>
      <c r="B5549" t="s">
        <v>1152</v>
      </c>
    </row>
    <row r="5550" spans="1:5" x14ac:dyDescent="0.25">
      <c r="A5550" t="s">
        <v>1576</v>
      </c>
      <c r="B5550" t="s">
        <v>1153</v>
      </c>
      <c r="E5550" t="str">
        <f>_xlfn.CONCAT($E$1,AX$2,$F$1)</f>
        <v>&lt;routeDistribution id="22nd-SPGRst-to-PAave-NB-2012-RouteProbe"&gt;</v>
      </c>
    </row>
    <row r="5551" spans="1:5" x14ac:dyDescent="0.25">
      <c r="A5551" t="s">
        <v>1576</v>
      </c>
      <c r="B5551" t="s">
        <v>1172</v>
      </c>
      <c r="E5551" t="str">
        <f>IF(OR(E5550="&lt;/routeDistribution&gt;",E5550=""),"",IFERROR(_xlfn.CONCAT(VLOOKUP(AX5,Route_Column!#REF!,2,FALSE),CHAR(34)," probability=",CHAR(34),1/AX$4,CHAR(34),CHAR(47),CHAR(62)),"&lt;/routeDistribution&gt;"))</f>
        <v>&lt;/routeDistribution&gt;</v>
      </c>
    </row>
    <row r="5552" spans="1:5" x14ac:dyDescent="0.25">
      <c r="A5552" t="s">
        <v>1576</v>
      </c>
      <c r="B5552" t="s">
        <v>1180</v>
      </c>
      <c r="E5552" t="str">
        <f>IF(OR(E5551="&lt;/routeDistribution&gt;",E5551=""),"",IFERROR(_xlfn.CONCAT(VLOOKUP(AX6,Route_Column!#REF!,2,FALSE),CHAR(34)," probability=",CHAR(34),1/AX$4,CHAR(34),CHAR(47),CHAR(62)),"&lt;/routeDistribution&gt;"))</f>
        <v/>
      </c>
    </row>
    <row r="5553" spans="1:5" x14ac:dyDescent="0.25">
      <c r="A5553" t="s">
        <v>1576</v>
      </c>
      <c r="B5553" t="s">
        <v>1192</v>
      </c>
      <c r="E5553" t="str">
        <f>IF(OR(E5552="&lt;/routeDistribution&gt;",E5552=""),"",IFERROR(_xlfn.CONCAT(VLOOKUP(AX7,Route_Column!#REF!,2,FALSE),CHAR(34)," probability=",CHAR(34),1/AX$4,CHAR(34),CHAR(47),CHAR(62)),"&lt;/routeDistribution&gt;"))</f>
        <v/>
      </c>
    </row>
    <row r="5554" spans="1:5" x14ac:dyDescent="0.25">
      <c r="A5554" t="s">
        <v>1576</v>
      </c>
      <c r="B5554" t="s">
        <v>1201</v>
      </c>
      <c r="E5554" t="str">
        <f>IF(OR(E5553="&lt;/routeDistribution&gt;",E5553=""),"",IFERROR(_xlfn.CONCAT(VLOOKUP(AX8,Route_Column!#REF!,2,FALSE),CHAR(34)," probability=",CHAR(34),1/AX$4,CHAR(34),CHAR(47),CHAR(62)),"&lt;/routeDistribution&gt;"))</f>
        <v/>
      </c>
    </row>
    <row r="5555" spans="1:5" x14ac:dyDescent="0.25">
      <c r="A5555" t="s">
        <v>1576</v>
      </c>
      <c r="B5555" t="s">
        <v>1206</v>
      </c>
      <c r="E5555" t="str">
        <f>IF(OR(E5554="&lt;/routeDistribution&gt;",E5554=""),"",IFERROR(_xlfn.CONCAT(VLOOKUP(AX9,Route_Column!#REF!,2,FALSE),CHAR(34)," probability=",CHAR(34),1/AX$4,CHAR(34),CHAR(47),CHAR(62)),"&lt;/routeDistribution&gt;"))</f>
        <v/>
      </c>
    </row>
    <row r="5556" spans="1:5" x14ac:dyDescent="0.25">
      <c r="A5556" t="s">
        <v>2051</v>
      </c>
      <c r="B5556" t="s">
        <v>1138</v>
      </c>
      <c r="E5556" t="str">
        <f>IF(OR(E5555="&lt;/routeDistribution&gt;",E5555=""),"",IFERROR(_xlfn.CONCAT(VLOOKUP(AX10,Route_Column!#REF!,2,FALSE),CHAR(34)," probability=",CHAR(34),1/AX$4,CHAR(34),CHAR(47),CHAR(62)),"&lt;/routeDistribution&gt;"))</f>
        <v/>
      </c>
    </row>
    <row r="5557" spans="1:5" x14ac:dyDescent="0.25">
      <c r="A5557" t="s">
        <v>2051</v>
      </c>
      <c r="B5557" t="s">
        <v>1154</v>
      </c>
      <c r="E5557" t="str">
        <f>IF(OR(E5556="&lt;/routeDistribution&gt;",E5556=""),"",IFERROR(_xlfn.CONCAT(VLOOKUP(AX11,Route_Column!#REF!,2,FALSE),CHAR(34)," probability=",CHAR(34),1/AX$4,CHAR(34),CHAR(47),CHAR(62)),"&lt;/routeDistribution&gt;"))</f>
        <v/>
      </c>
    </row>
    <row r="5558" spans="1:5" x14ac:dyDescent="0.25">
      <c r="A5558" t="s">
        <v>2051</v>
      </c>
      <c r="B5558" t="s">
        <v>1155</v>
      </c>
      <c r="E5558" t="str">
        <f>IF(OR(E5557="&lt;/routeDistribution&gt;",E5557=""),"",IFERROR(_xlfn.CONCAT(VLOOKUP(AX12,Route_Column!#REF!,2,FALSE),CHAR(34)," probability=",CHAR(34),1/AX$4,CHAR(34),CHAR(47),CHAR(62)),"&lt;/routeDistribution&gt;"))</f>
        <v/>
      </c>
    </row>
    <row r="5559" spans="1:5" x14ac:dyDescent="0.25">
      <c r="A5559" t="s">
        <v>2051</v>
      </c>
      <c r="B5559" t="s">
        <v>1156</v>
      </c>
      <c r="E5559" t="str">
        <f>IF(OR(E5558="&lt;/routeDistribution&gt;",E5558=""),"",IFERROR(_xlfn.CONCAT(VLOOKUP(AX13,Route_Column!#REF!,2,FALSE),CHAR(34)," probability=",CHAR(34),1/AX$4,CHAR(34),CHAR(47),CHAR(62)),"&lt;/routeDistribution&gt;"))</f>
        <v/>
      </c>
    </row>
    <row r="5560" spans="1:5" x14ac:dyDescent="0.25">
      <c r="A5560" t="s">
        <v>1992</v>
      </c>
      <c r="B5560" t="s">
        <v>1130</v>
      </c>
      <c r="E5560" t="str">
        <f>IF(OR(E5559="&lt;/routeDistribution&gt;",E5559=""),"",IFERROR(_xlfn.CONCAT(VLOOKUP(AX14,Route_Column!#REF!,2,FALSE),CHAR(34)," probability=",CHAR(34),1/AX$4,CHAR(34),CHAR(47),CHAR(62)),"&lt;/routeDistribution&gt;"))</f>
        <v/>
      </c>
    </row>
    <row r="5561" spans="1:5" x14ac:dyDescent="0.25">
      <c r="A5561" t="s">
        <v>1992</v>
      </c>
      <c r="B5561" t="s">
        <v>1131</v>
      </c>
      <c r="E5561" t="str">
        <f>IF(OR(E5560="&lt;/routeDistribution&gt;",E5560=""),"",IFERROR(_xlfn.CONCAT(VLOOKUP(AX15,Route_Column!#REF!,2,FALSE),CHAR(34)," probability=",CHAR(34),1/AX$4,CHAR(34),CHAR(47),CHAR(62)),"&lt;/routeDistribution&gt;"))</f>
        <v/>
      </c>
    </row>
    <row r="5562" spans="1:5" x14ac:dyDescent="0.25">
      <c r="A5562" t="s">
        <v>1992</v>
      </c>
      <c r="B5562" t="s">
        <v>1132</v>
      </c>
      <c r="E5562" t="str">
        <f>IF(OR(E5561="&lt;/routeDistribution&gt;",E5561=""),"",IFERROR(_xlfn.CONCAT(VLOOKUP(AX16,Route_Column!#REF!,2,FALSE),CHAR(34)," probability=",CHAR(34),1/AX$4,CHAR(34),CHAR(47),CHAR(62)),"&lt;/routeDistribution&gt;"))</f>
        <v/>
      </c>
    </row>
    <row r="5563" spans="1:5" x14ac:dyDescent="0.25">
      <c r="A5563" t="s">
        <v>1992</v>
      </c>
      <c r="B5563" t="s">
        <v>1133</v>
      </c>
      <c r="E5563" t="str">
        <f>IF(OR(E5562="&lt;/routeDistribution&gt;",E5562=""),"",IFERROR(_xlfn.CONCAT(VLOOKUP(AX17,Route_Column!#REF!,2,FALSE),CHAR(34)," probability=",CHAR(34),1/AX$4,CHAR(34),CHAR(47),CHAR(62)),"&lt;/routeDistribution&gt;"))</f>
        <v/>
      </c>
    </row>
    <row r="5564" spans="1:5" x14ac:dyDescent="0.25">
      <c r="A5564" t="s">
        <v>1992</v>
      </c>
      <c r="B5564" t="s">
        <v>1138</v>
      </c>
      <c r="E5564" t="str">
        <f>IF(OR(E5563="&lt;/routeDistribution&gt;",E5563=""),"",IFERROR(_xlfn.CONCAT(VLOOKUP(AX18,Route_Column!#REF!,2,FALSE),CHAR(34)," probability=",CHAR(34),1/AX$4,CHAR(34),CHAR(47),CHAR(62)),"&lt;/routeDistribution&gt;"))</f>
        <v/>
      </c>
    </row>
    <row r="5565" spans="1:5" x14ac:dyDescent="0.25">
      <c r="A5565" t="s">
        <v>1992</v>
      </c>
      <c r="B5565" t="s">
        <v>1154</v>
      </c>
      <c r="E5565" t="str">
        <f>IF(OR(E5564="&lt;/routeDistribution&gt;",E5564=""),"",IFERROR(_xlfn.CONCAT(VLOOKUP(AX19,Route_Column!#REF!,2,FALSE),CHAR(34)," probability=",CHAR(34),1/AX$4,CHAR(34),CHAR(47),CHAR(62)),"&lt;/routeDistribution&gt;"))</f>
        <v/>
      </c>
    </row>
    <row r="5566" spans="1:5" x14ac:dyDescent="0.25">
      <c r="A5566" t="s">
        <v>1992</v>
      </c>
      <c r="B5566" t="s">
        <v>1180</v>
      </c>
      <c r="E5566" t="str">
        <f>IF(OR(E5565="&lt;/routeDistribution&gt;",E5565=""),"",IFERROR(_xlfn.CONCAT(VLOOKUP(AX20,Route_Column!#REF!,2,FALSE),CHAR(34)," probability=",CHAR(34),1/AX$4,CHAR(34),CHAR(47),CHAR(62)),"&lt;/routeDistribution&gt;"))</f>
        <v/>
      </c>
    </row>
    <row r="5567" spans="1:5" x14ac:dyDescent="0.25">
      <c r="A5567" t="s">
        <v>1992</v>
      </c>
      <c r="B5567" t="s">
        <v>1181</v>
      </c>
      <c r="E5567" t="str">
        <f>IF(OR(E5566="&lt;/routeDistribution&gt;",E5566=""),"",IFERROR(_xlfn.CONCAT(VLOOKUP(AX21,Route_Column!#REF!,2,FALSE),CHAR(34)," probability=",CHAR(34),1/AX$4,CHAR(34),CHAR(47),CHAR(62)),"&lt;/routeDistribution&gt;"))</f>
        <v/>
      </c>
    </row>
    <row r="5568" spans="1:5" x14ac:dyDescent="0.25">
      <c r="A5568" t="s">
        <v>1992</v>
      </c>
      <c r="B5568" t="s">
        <v>1182</v>
      </c>
      <c r="E5568" t="str">
        <f>IF(OR(E5567="&lt;/routeDistribution&gt;",E5567=""),"",IFERROR(_xlfn.CONCAT(VLOOKUP(AX22,Route_Column!#REF!,2,FALSE),CHAR(34)," probability=",CHAR(34),1/AX$4,CHAR(34),CHAR(47),CHAR(62)),"&lt;/routeDistribution&gt;"))</f>
        <v/>
      </c>
    </row>
    <row r="5569" spans="1:5" x14ac:dyDescent="0.25">
      <c r="A5569" t="s">
        <v>1992</v>
      </c>
      <c r="B5569" t="s">
        <v>1183</v>
      </c>
      <c r="E5569" t="str">
        <f>IF(OR(E5568="&lt;/routeDistribution&gt;",E5568=""),"",IFERROR(_xlfn.CONCAT(VLOOKUP(AX23,Route_Column!#REF!,2,FALSE),CHAR(34)," probability=",CHAR(34),1/AX$4,CHAR(34),CHAR(47),CHAR(62)),"&lt;/routeDistribution&gt;"))</f>
        <v/>
      </c>
    </row>
    <row r="5570" spans="1:5" x14ac:dyDescent="0.25">
      <c r="A5570" t="s">
        <v>1992</v>
      </c>
      <c r="B5570" t="s">
        <v>1184</v>
      </c>
      <c r="E5570" t="str">
        <f>IF(OR(E5569="&lt;/routeDistribution&gt;",E5569=""),"",IFERROR(_xlfn.CONCAT(VLOOKUP(AX24,Route_Column!#REF!,2,FALSE),CHAR(34)," probability=",CHAR(34),1/AX$4,CHAR(34),CHAR(47),CHAR(62)),"&lt;/routeDistribution&gt;"))</f>
        <v/>
      </c>
    </row>
    <row r="5571" spans="1:5" x14ac:dyDescent="0.25">
      <c r="A5571" t="s">
        <v>1992</v>
      </c>
      <c r="B5571" t="s">
        <v>1185</v>
      </c>
      <c r="E5571" t="str">
        <f>IF(OR(E5570="&lt;/routeDistribution&gt;",E5570=""),"",IFERROR(_xlfn.CONCAT(VLOOKUP(AX25,Route_Column!#REF!,2,FALSE),CHAR(34)," probability=",CHAR(34),1/AX$4,CHAR(34),CHAR(47),CHAR(62)),"&lt;/routeDistribution&gt;"))</f>
        <v/>
      </c>
    </row>
    <row r="5572" spans="1:5" x14ac:dyDescent="0.25">
      <c r="A5572" t="s">
        <v>1993</v>
      </c>
      <c r="B5572" t="s">
        <v>1130</v>
      </c>
      <c r="E5572" t="str">
        <f>IF(OR(E5571="&lt;/routeDistribution&gt;",E5571=""),"",IFERROR(_xlfn.CONCAT(VLOOKUP(AX26,Route_Column!#REF!,2,FALSE),CHAR(34)," probability=",CHAR(34),1/AX$4,CHAR(34),CHAR(47),CHAR(62)),"&lt;/routeDistribution&gt;"))</f>
        <v/>
      </c>
    </row>
    <row r="5573" spans="1:5" x14ac:dyDescent="0.25">
      <c r="A5573" t="s">
        <v>1993</v>
      </c>
      <c r="B5573" t="s">
        <v>1131</v>
      </c>
      <c r="E5573" t="str">
        <f>IF(OR(E5572="&lt;/routeDistribution&gt;",E5572=""),"",IFERROR(_xlfn.CONCAT(VLOOKUP(AX27,Route_Column!#REF!,2,FALSE),CHAR(34)," probability=",CHAR(34),1/AX$4,CHAR(34),CHAR(47),CHAR(62)),"&lt;/routeDistribution&gt;"))</f>
        <v/>
      </c>
    </row>
    <row r="5574" spans="1:5" x14ac:dyDescent="0.25">
      <c r="A5574" t="s">
        <v>1993</v>
      </c>
      <c r="B5574" t="s">
        <v>1132</v>
      </c>
      <c r="E5574" t="str">
        <f>IF(OR(E5573="&lt;/routeDistribution&gt;",E5573=""),"",IFERROR(_xlfn.CONCAT(VLOOKUP(AX28,Route_Column!#REF!,2,FALSE),CHAR(34)," probability=",CHAR(34),1/AX$4,CHAR(34),CHAR(47),CHAR(62)),"&lt;/routeDistribution&gt;"))</f>
        <v/>
      </c>
    </row>
    <row r="5575" spans="1:5" x14ac:dyDescent="0.25">
      <c r="A5575" t="s">
        <v>1993</v>
      </c>
      <c r="B5575" t="s">
        <v>1133</v>
      </c>
      <c r="E5575" t="str">
        <f>IF(OR(E5574="&lt;/routeDistribution&gt;",E5574=""),"",IFERROR(_xlfn.CONCAT(VLOOKUP(AX29,Route_Column!#REF!,2,FALSE),CHAR(34)," probability=",CHAR(34),1/AX$4,CHAR(34),CHAR(47),CHAR(62)),"&lt;/routeDistribution&gt;"))</f>
        <v/>
      </c>
    </row>
    <row r="5576" spans="1:5" x14ac:dyDescent="0.25">
      <c r="A5576" t="s">
        <v>1993</v>
      </c>
      <c r="B5576" t="s">
        <v>1138</v>
      </c>
      <c r="E5576" t="str">
        <f>IF(OR(E5575="&lt;/routeDistribution&gt;",E5575=""),"",IFERROR(_xlfn.CONCAT(VLOOKUP(AX30,Route_Column!#REF!,2,FALSE),CHAR(34)," probability=",CHAR(34),1/AX$4,CHAR(34),CHAR(47),CHAR(62)),"&lt;/routeDistribution&gt;"))</f>
        <v/>
      </c>
    </row>
    <row r="5577" spans="1:5" x14ac:dyDescent="0.25">
      <c r="A5577" t="s">
        <v>1993</v>
      </c>
      <c r="B5577" t="s">
        <v>1154</v>
      </c>
      <c r="E5577" t="str">
        <f>IF(OR(E5576="&lt;/routeDistribution&gt;",E5576=""),"",IFERROR(_xlfn.CONCAT(VLOOKUP(AX31,Route_Column!#REF!,2,FALSE),CHAR(34)," probability=",CHAR(34),1/AX$4,CHAR(34),CHAR(47),CHAR(62)),"&lt;/routeDistribution&gt;"))</f>
        <v/>
      </c>
    </row>
    <row r="5578" spans="1:5" x14ac:dyDescent="0.25">
      <c r="A5578" t="s">
        <v>1993</v>
      </c>
      <c r="B5578" t="s">
        <v>1180</v>
      </c>
      <c r="E5578" t="str">
        <f>IF(OR(E5577="&lt;/routeDistribution&gt;",E5577=""),"",IFERROR(_xlfn.CONCAT(VLOOKUP(AX32,Route_Column!#REF!,2,FALSE),CHAR(34)," probability=",CHAR(34),1/AX$4,CHAR(34),CHAR(47),CHAR(62)),"&lt;/routeDistribution&gt;"))</f>
        <v/>
      </c>
    </row>
    <row r="5579" spans="1:5" x14ac:dyDescent="0.25">
      <c r="A5579" t="s">
        <v>1993</v>
      </c>
      <c r="B5579" t="s">
        <v>1181</v>
      </c>
      <c r="E5579" t="str">
        <f>IF(OR(E5578="&lt;/routeDistribution&gt;",E5578=""),"",IFERROR(_xlfn.CONCAT(VLOOKUP(AX33,Route_Column!#REF!,2,FALSE),CHAR(34)," probability=",CHAR(34),1/AX$4,CHAR(34),CHAR(47),CHAR(62)),"&lt;/routeDistribution&gt;"))</f>
        <v/>
      </c>
    </row>
    <row r="5580" spans="1:5" x14ac:dyDescent="0.25">
      <c r="A5580" t="s">
        <v>1993</v>
      </c>
      <c r="B5580" t="s">
        <v>1182</v>
      </c>
      <c r="E5580" t="str">
        <f>IF(OR(E5579="&lt;/routeDistribution&gt;",E5579=""),"",IFERROR(_xlfn.CONCAT(VLOOKUP(AX34,Route_Column!#REF!,2,FALSE),CHAR(34)," probability=",CHAR(34),1/AX$4,CHAR(34),CHAR(47),CHAR(62)),"&lt;/routeDistribution&gt;"))</f>
        <v/>
      </c>
    </row>
    <row r="5581" spans="1:5" x14ac:dyDescent="0.25">
      <c r="A5581" t="s">
        <v>1993</v>
      </c>
      <c r="B5581" t="s">
        <v>1183</v>
      </c>
      <c r="E5581" t="str">
        <f>IF(OR(E5580="&lt;/routeDistribution&gt;",E5580=""),"",IFERROR(_xlfn.CONCAT(VLOOKUP(AX35,Route_Column!#REF!,2,FALSE),CHAR(34)," probability=",CHAR(34),1/AX$4,CHAR(34),CHAR(47),CHAR(62)),"&lt;/routeDistribution&gt;"))</f>
        <v/>
      </c>
    </row>
    <row r="5582" spans="1:5" x14ac:dyDescent="0.25">
      <c r="A5582" t="s">
        <v>1993</v>
      </c>
      <c r="B5582" t="s">
        <v>1184</v>
      </c>
      <c r="E5582" t="str">
        <f>IF(OR(E5581="&lt;/routeDistribution&gt;",E5581=""),"",IFERROR(_xlfn.CONCAT(VLOOKUP(AX36,Route_Column!#REF!,2,FALSE),CHAR(34)," probability=",CHAR(34),1/AX$4,CHAR(34),CHAR(47),CHAR(62)),"&lt;/routeDistribution&gt;"))</f>
        <v/>
      </c>
    </row>
    <row r="5583" spans="1:5" x14ac:dyDescent="0.25">
      <c r="A5583" t="s">
        <v>1993</v>
      </c>
      <c r="B5583" t="s">
        <v>1185</v>
      </c>
      <c r="E5583" t="str">
        <f>IF(OR(E5582="&lt;/routeDistribution&gt;",E5582=""),"",IFERROR(_xlfn.CONCAT(VLOOKUP(AX37,Route_Column!#REF!,2,FALSE),CHAR(34)," probability=",CHAR(34),1/AX$4,CHAR(34),CHAR(47),CHAR(62)),"&lt;/routeDistribution&gt;"))</f>
        <v/>
      </c>
    </row>
    <row r="5584" spans="1:5" x14ac:dyDescent="0.25">
      <c r="A5584" t="s">
        <v>1994</v>
      </c>
      <c r="B5584" t="s">
        <v>1130</v>
      </c>
      <c r="E5584" t="str">
        <f>IF(OR(E5583="&lt;/routeDistribution&gt;",E5583=""),"",IFERROR(_xlfn.CONCAT(VLOOKUP(AX38,Route_Column!#REF!,2,FALSE),CHAR(34)," probability=",CHAR(34),1/AX$4,CHAR(34),CHAR(47),CHAR(62)),"&lt;/routeDistribution&gt;"))</f>
        <v/>
      </c>
    </row>
    <row r="5585" spans="1:5" x14ac:dyDescent="0.25">
      <c r="A5585" t="s">
        <v>1994</v>
      </c>
      <c r="B5585" t="s">
        <v>1131</v>
      </c>
      <c r="E5585" t="str">
        <f>IF(OR(E5584="&lt;/routeDistribution&gt;",E5584=""),"",IFERROR(_xlfn.CONCAT(VLOOKUP(AX39,Route_Column!#REF!,2,FALSE),CHAR(34)," probability=",CHAR(34),1/AX$4,CHAR(34),CHAR(47),CHAR(62)),"&lt;/routeDistribution&gt;"))</f>
        <v/>
      </c>
    </row>
    <row r="5586" spans="1:5" x14ac:dyDescent="0.25">
      <c r="A5586" t="s">
        <v>1994</v>
      </c>
      <c r="B5586" t="s">
        <v>1132</v>
      </c>
      <c r="E5586" t="str">
        <f>IF(OR(E5585="&lt;/routeDistribution&gt;",E5585=""),"",IFERROR(_xlfn.CONCAT(VLOOKUP(AX40,Route_Column!#REF!,2,FALSE),CHAR(34)," probability=",CHAR(34),1/AX$4,CHAR(34),CHAR(47),CHAR(62)),"&lt;/routeDistribution&gt;"))</f>
        <v/>
      </c>
    </row>
    <row r="5587" spans="1:5" x14ac:dyDescent="0.25">
      <c r="A5587" t="s">
        <v>1994</v>
      </c>
      <c r="B5587" t="s">
        <v>1134</v>
      </c>
      <c r="E5587" t="str">
        <f>IF(OR(E5586="&lt;/routeDistribution&gt;",E5586=""),"",IFERROR(_xlfn.CONCAT(VLOOKUP(AX41,Route_Column!#REF!,2,FALSE),CHAR(34)," probability=",CHAR(34),1/AX$4,CHAR(34),CHAR(47),CHAR(62)),"&lt;/routeDistribution&gt;"))</f>
        <v/>
      </c>
    </row>
    <row r="5588" spans="1:5" x14ac:dyDescent="0.25">
      <c r="A5588" t="s">
        <v>1994</v>
      </c>
      <c r="B5588" t="s">
        <v>1137</v>
      </c>
      <c r="E5588" t="str">
        <f>IF(OR(E5587="&lt;/routeDistribution&gt;",E5587=""),"",IFERROR(_xlfn.CONCAT(VLOOKUP(AX42,Route_Column!#REF!,2,FALSE),CHAR(34)," probability=",CHAR(34),1/AX$4,CHAR(34),CHAR(47),CHAR(62)),"&lt;/routeDistribution&gt;"))</f>
        <v/>
      </c>
    </row>
    <row r="5589" spans="1:5" x14ac:dyDescent="0.25">
      <c r="A5589" t="s">
        <v>1994</v>
      </c>
      <c r="B5589" t="s">
        <v>1138</v>
      </c>
      <c r="E5589" t="str">
        <f>IF(OR(E5588="&lt;/routeDistribution&gt;",E5588=""),"",IFERROR(_xlfn.CONCAT(VLOOKUP(AX43,Route_Column!#REF!,2,FALSE),CHAR(34)," probability=",CHAR(34),1/AX$4,CHAR(34),CHAR(47),CHAR(62)),"&lt;/routeDistribution&gt;"))</f>
        <v/>
      </c>
    </row>
    <row r="5590" spans="1:5" x14ac:dyDescent="0.25">
      <c r="A5590" t="s">
        <v>1994</v>
      </c>
      <c r="B5590" t="s">
        <v>1145</v>
      </c>
      <c r="E5590" t="str">
        <f>IF(OR(E5589="&lt;/routeDistribution&gt;",E5589=""),"",IFERROR(_xlfn.CONCAT(VLOOKUP(AX44,Route_Column!#REF!,2,FALSE),CHAR(34)," probability=",CHAR(34),1/AX$4,CHAR(34),CHAR(47),CHAR(62)),"&lt;/routeDistribution&gt;"))</f>
        <v/>
      </c>
    </row>
    <row r="5591" spans="1:5" x14ac:dyDescent="0.25">
      <c r="A5591" t="s">
        <v>1994</v>
      </c>
      <c r="B5591" t="s">
        <v>1154</v>
      </c>
      <c r="E5591" t="str">
        <f>IF(OR(E5590="&lt;/routeDistribution&gt;",E5590=""),"",IFERROR(_xlfn.CONCAT(VLOOKUP(AX45,Route_Column!#REF!,2,FALSE),CHAR(34)," probability=",CHAR(34),1/AX$4,CHAR(34),CHAR(47),CHAR(62)),"&lt;/routeDistribution&gt;"))</f>
        <v/>
      </c>
    </row>
    <row r="5592" spans="1:5" x14ac:dyDescent="0.25">
      <c r="A5592" t="s">
        <v>1994</v>
      </c>
      <c r="B5592" t="s">
        <v>1180</v>
      </c>
      <c r="E5592" t="str">
        <f>IF(OR(E5591="&lt;/routeDistribution&gt;",E5591=""),"",IFERROR(_xlfn.CONCAT(VLOOKUP(AX46,Route_Column!#REF!,2,FALSE),CHAR(34)," probability=",CHAR(34),1/AX$4,CHAR(34),CHAR(47),CHAR(62)),"&lt;/routeDistribution&gt;"))</f>
        <v/>
      </c>
    </row>
    <row r="5593" spans="1:5" x14ac:dyDescent="0.25">
      <c r="A5593" t="s">
        <v>1994</v>
      </c>
      <c r="B5593" t="s">
        <v>1181</v>
      </c>
      <c r="E5593" t="str">
        <f>IF(OR(E5592="&lt;/routeDistribution&gt;",E5592=""),"",IFERROR(_xlfn.CONCAT(VLOOKUP(AX47,Route_Column!#REF!,2,FALSE),CHAR(34)," probability=",CHAR(34),1/AX$4,CHAR(34),CHAR(47),CHAR(62)),"&lt;/routeDistribution&gt;"))</f>
        <v/>
      </c>
    </row>
    <row r="5594" spans="1:5" x14ac:dyDescent="0.25">
      <c r="A5594" t="s">
        <v>1994</v>
      </c>
      <c r="B5594" t="s">
        <v>1182</v>
      </c>
      <c r="E5594" t="str">
        <f>IF(OR(E5593="&lt;/routeDistribution&gt;",E5593=""),"",IFERROR(_xlfn.CONCAT(VLOOKUP(AX48,Route_Column!#REF!,2,FALSE),CHAR(34)," probability=",CHAR(34),1/AX$4,CHAR(34),CHAR(47),CHAR(62)),"&lt;/routeDistribution&gt;"))</f>
        <v/>
      </c>
    </row>
    <row r="5595" spans="1:5" x14ac:dyDescent="0.25">
      <c r="A5595" t="s">
        <v>1994</v>
      </c>
      <c r="B5595" t="s">
        <v>1183</v>
      </c>
      <c r="E5595" t="str">
        <f>IF(OR(E5594="&lt;/routeDistribution&gt;",E5594=""),"",IFERROR(_xlfn.CONCAT(VLOOKUP(AX49,Route_Column!#REF!,2,FALSE),CHAR(34)," probability=",CHAR(34),1/AX$4,CHAR(34),CHAR(47),CHAR(62)),"&lt;/routeDistribution&gt;"))</f>
        <v/>
      </c>
    </row>
    <row r="5596" spans="1:5" x14ac:dyDescent="0.25">
      <c r="A5596" t="s">
        <v>1994</v>
      </c>
      <c r="B5596" t="s">
        <v>1184</v>
      </c>
      <c r="E5596" t="str">
        <f>IF(OR(E5595="&lt;/routeDistribution&gt;",E5595=""),"",IFERROR(_xlfn.CONCAT(VLOOKUP(AX50,Route_Column!#REF!,2,FALSE),CHAR(34)," probability=",CHAR(34),1/AX$4,CHAR(34),CHAR(47),CHAR(62)),"&lt;/routeDistribution&gt;"))</f>
        <v/>
      </c>
    </row>
    <row r="5597" spans="1:5" x14ac:dyDescent="0.25">
      <c r="A5597" t="s">
        <v>1994</v>
      </c>
      <c r="B5597" t="s">
        <v>1185</v>
      </c>
      <c r="E5597" t="str">
        <f>IF(OR(E5596="&lt;/routeDistribution&gt;",E5596=""),"",IFERROR(_xlfn.CONCAT(VLOOKUP(AX51,Route_Column!#REF!,2,FALSE),CHAR(34)," probability=",CHAR(34),1/AX$4,CHAR(34),CHAR(47),CHAR(62)),"&lt;/routeDistribution&gt;"))</f>
        <v/>
      </c>
    </row>
    <row r="5598" spans="1:5" x14ac:dyDescent="0.25">
      <c r="A5598" t="s">
        <v>2022</v>
      </c>
      <c r="B5598" t="s">
        <v>1133</v>
      </c>
      <c r="E5598" t="str">
        <f>IF(OR(E5597="&lt;/routeDistribution&gt;",E5597=""),"",IFERROR(_xlfn.CONCAT(VLOOKUP(AX52,Route_Column!#REF!,2,FALSE),CHAR(34)," probability=",CHAR(34),1/AX$4,CHAR(34),CHAR(47),CHAR(62)),"&lt;/routeDistribution&gt;"))</f>
        <v/>
      </c>
    </row>
    <row r="5599" spans="1:5" x14ac:dyDescent="0.25">
      <c r="A5599" t="s">
        <v>2004</v>
      </c>
      <c r="B5599" t="s">
        <v>1133</v>
      </c>
      <c r="E5599" t="str">
        <f>IF(OR(E5598="&lt;/routeDistribution&gt;",E5598=""),"",IFERROR(_xlfn.CONCAT(VLOOKUP(AX53,Route_Column!#REF!,2,FALSE),CHAR(34)," probability=",CHAR(34),1/AX$4,CHAR(34),CHAR(47),CHAR(62)),"&lt;/routeDistribution&gt;"))</f>
        <v/>
      </c>
    </row>
    <row r="5600" spans="1:5" x14ac:dyDescent="0.25">
      <c r="A5600" t="s">
        <v>2005</v>
      </c>
      <c r="B5600" t="s">
        <v>1133</v>
      </c>
      <c r="E5600" t="str">
        <f>IF(OR(E5599="&lt;/routeDistribution&gt;",E5599=""),"",IFERROR(_xlfn.CONCAT(VLOOKUP(AX54,Route_Column!#REF!,2,FALSE),CHAR(34)," probability=",CHAR(34),1/AX$4,CHAR(34),CHAR(47),CHAR(62)),"&lt;/routeDistribution&gt;"))</f>
        <v/>
      </c>
    </row>
    <row r="5601" spans="1:5" x14ac:dyDescent="0.25">
      <c r="A5601" t="s">
        <v>1975</v>
      </c>
      <c r="B5601" t="s">
        <v>1127</v>
      </c>
      <c r="E5601" t="str">
        <f>IF(OR(E5600="&lt;/routeDistribution&gt;",E5600=""),"",IFERROR(_xlfn.CONCAT(VLOOKUP(AX55,Route_Column!#REF!,2,FALSE),CHAR(34)," probability=",CHAR(34),1/AX$4,CHAR(34),CHAR(47),CHAR(62)),"&lt;/routeDistribution&gt;"))</f>
        <v/>
      </c>
    </row>
    <row r="5602" spans="1:5" x14ac:dyDescent="0.25">
      <c r="A5602" t="s">
        <v>1975</v>
      </c>
      <c r="B5602" t="s">
        <v>1128</v>
      </c>
      <c r="E5602" t="str">
        <f>IF(OR(E5601="&lt;/routeDistribution&gt;",E5601=""),"",IFERROR(_xlfn.CONCAT(VLOOKUP(AX56,Route_Column!#REF!,2,FALSE),CHAR(34)," probability=",CHAR(34),1/AX$4,CHAR(34),CHAR(47),CHAR(62)),"&lt;/routeDistribution&gt;"))</f>
        <v/>
      </c>
    </row>
    <row r="5603" spans="1:5" x14ac:dyDescent="0.25">
      <c r="A5603" t="s">
        <v>1975</v>
      </c>
      <c r="B5603" t="s">
        <v>1129</v>
      </c>
      <c r="E5603" t="str">
        <f>IF(OR(E5602="&lt;/routeDistribution&gt;",E5602=""),"",IFERROR(_xlfn.CONCAT(VLOOKUP(AX57,Route_Column!#REF!,2,FALSE),CHAR(34)," probability=",CHAR(34),1/AX$4,CHAR(34),CHAR(47),CHAR(62)),"&lt;/routeDistribution&gt;"))</f>
        <v/>
      </c>
    </row>
    <row r="5604" spans="1:5" x14ac:dyDescent="0.25">
      <c r="A5604" t="s">
        <v>1975</v>
      </c>
      <c r="B5604" t="s">
        <v>1154</v>
      </c>
      <c r="E5604" t="str">
        <f>IF(OR(E5603="&lt;/routeDistribution&gt;",E5603=""),"",IFERROR(_xlfn.CONCAT(VLOOKUP(AX58,Route_Column!#REF!,2,FALSE),CHAR(34)," probability=",CHAR(34),1/AX$4,CHAR(34),CHAR(47),CHAR(62)),"&lt;/routeDistribution&gt;"))</f>
        <v/>
      </c>
    </row>
    <row r="5605" spans="1:5" x14ac:dyDescent="0.25">
      <c r="A5605" t="s">
        <v>1975</v>
      </c>
      <c r="B5605" t="s">
        <v>1155</v>
      </c>
      <c r="E5605" t="str">
        <f>IF(OR(E5604="&lt;/routeDistribution&gt;",E5604=""),"",IFERROR(_xlfn.CONCAT(VLOOKUP(AX59,Route_Column!#REF!,2,FALSE),CHAR(34)," probability=",CHAR(34),1/AX$4,CHAR(34),CHAR(47),CHAR(62)),"&lt;/routeDistribution&gt;"))</f>
        <v/>
      </c>
    </row>
    <row r="5606" spans="1:5" x14ac:dyDescent="0.25">
      <c r="A5606" t="s">
        <v>1975</v>
      </c>
      <c r="B5606" t="s">
        <v>1156</v>
      </c>
      <c r="E5606" t="str">
        <f>IF(OR(E5605="&lt;/routeDistribution&gt;",E5605=""),"",IFERROR(_xlfn.CONCAT(VLOOKUP(AX60,Route_Column!#REF!,2,FALSE),CHAR(34)," probability=",CHAR(34),1/AX$4,CHAR(34),CHAR(47),CHAR(62)),"&lt;/routeDistribution&gt;"))</f>
        <v/>
      </c>
    </row>
    <row r="5607" spans="1:5" x14ac:dyDescent="0.25">
      <c r="A5607" t="s">
        <v>1976</v>
      </c>
      <c r="B5607" t="s">
        <v>1127</v>
      </c>
      <c r="E5607" t="str">
        <f>IF(OR(E5606="&lt;/routeDistribution&gt;",E5606=""),"",IFERROR(_xlfn.CONCAT(VLOOKUP(AX61,Route_Column!#REF!,2,FALSE),CHAR(34)," probability=",CHAR(34),1/AX$4,CHAR(34),CHAR(47),CHAR(62)),"&lt;/routeDistribution&gt;"))</f>
        <v/>
      </c>
    </row>
    <row r="5608" spans="1:5" x14ac:dyDescent="0.25">
      <c r="A5608" t="s">
        <v>1976</v>
      </c>
      <c r="B5608" t="s">
        <v>1128</v>
      </c>
      <c r="E5608" t="str">
        <f>IF(OR(E5607="&lt;/routeDistribution&gt;",E5607=""),"",IFERROR(_xlfn.CONCAT(VLOOKUP(AX62,Route_Column!#REF!,2,FALSE),CHAR(34)," probability=",CHAR(34),1/AX$4,CHAR(34),CHAR(47),CHAR(62)),"&lt;/routeDistribution&gt;"))</f>
        <v/>
      </c>
    </row>
    <row r="5609" spans="1:5" x14ac:dyDescent="0.25">
      <c r="A5609" t="s">
        <v>1976</v>
      </c>
      <c r="B5609" t="s">
        <v>1129</v>
      </c>
      <c r="E5609" t="str">
        <f>IF(OR(E5608="&lt;/routeDistribution&gt;",E5608=""),"",IFERROR(_xlfn.CONCAT(VLOOKUP(AX63,Route_Column!#REF!,2,FALSE),CHAR(34)," probability=",CHAR(34),1/AX$4,CHAR(34),CHAR(47),CHAR(62)),"&lt;/routeDistribution&gt;"))</f>
        <v/>
      </c>
    </row>
    <row r="5610" spans="1:5" x14ac:dyDescent="0.25">
      <c r="A5610" t="s">
        <v>1976</v>
      </c>
      <c r="B5610" t="s">
        <v>1154</v>
      </c>
      <c r="E5610" t="s">
        <v>2686</v>
      </c>
    </row>
    <row r="5611" spans="1:5" x14ac:dyDescent="0.25">
      <c r="A5611" t="s">
        <v>1976</v>
      </c>
      <c r="B5611" t="s">
        <v>1154</v>
      </c>
    </row>
    <row r="5612" spans="1:5" x14ac:dyDescent="0.25">
      <c r="A5612" t="s">
        <v>1976</v>
      </c>
      <c r="B5612" t="s">
        <v>1155</v>
      </c>
    </row>
    <row r="5613" spans="1:5" x14ac:dyDescent="0.25">
      <c r="A5613" t="s">
        <v>1976</v>
      </c>
      <c r="B5613" t="s">
        <v>1156</v>
      </c>
      <c r="E5613" t="str">
        <f>_xlfn.CONCAT($E$1,AW$2,$F$1)</f>
        <v>&lt;routeDistribution id="21st-market-to-chesnut-SB-2012-RouteProbe"&gt;</v>
      </c>
    </row>
    <row r="5614" spans="1:5" x14ac:dyDescent="0.25">
      <c r="A5614" t="s">
        <v>1976</v>
      </c>
      <c r="B5614" t="s">
        <v>1181</v>
      </c>
      <c r="E5614" t="str">
        <f>IF(OR(E5613="&lt;/routeDistribution&gt;",E5613=""),"",IFERROR(_xlfn.CONCAT(VLOOKUP(AW5,Route_Column!#REF!,2,FALSE),CHAR(34)," probability=",CHAR(34),1/AW$4,CHAR(34),CHAR(47),CHAR(62)),"&lt;/routeDistribution&gt;"))</f>
        <v>&lt;/routeDistribution&gt;</v>
      </c>
    </row>
    <row r="5615" spans="1:5" x14ac:dyDescent="0.25">
      <c r="A5615" t="s">
        <v>1976</v>
      </c>
      <c r="B5615" t="s">
        <v>1193</v>
      </c>
      <c r="E5615" t="str">
        <f>IF(OR(E5614="&lt;/routeDistribution&gt;",E5614=""),"",IFERROR(_xlfn.CONCAT(VLOOKUP(AW6,Route_Column!#REF!,2,FALSE),CHAR(34)," probability=",CHAR(34),1/AW$4,CHAR(34),CHAR(47),CHAR(62)),"&lt;/routeDistribution&gt;"))</f>
        <v/>
      </c>
    </row>
    <row r="5616" spans="1:5" x14ac:dyDescent="0.25">
      <c r="A5616" t="s">
        <v>1977</v>
      </c>
      <c r="B5616" t="s">
        <v>1127</v>
      </c>
      <c r="E5616" t="str">
        <f>IF(OR(E5615="&lt;/routeDistribution&gt;",E5615=""),"",IFERROR(_xlfn.CONCAT(VLOOKUP(AW7,Route_Column!#REF!,2,FALSE),CHAR(34)," probability=",CHAR(34),1/AW$4,CHAR(34),CHAR(47),CHAR(62)),"&lt;/routeDistribution&gt;"))</f>
        <v/>
      </c>
    </row>
    <row r="5617" spans="1:5" x14ac:dyDescent="0.25">
      <c r="A5617" t="s">
        <v>1977</v>
      </c>
      <c r="B5617" t="s">
        <v>1128</v>
      </c>
      <c r="E5617" t="str">
        <f>IF(OR(E5616="&lt;/routeDistribution&gt;",E5616=""),"",IFERROR(_xlfn.CONCAT(VLOOKUP(AW8,Route_Column!#REF!,2,FALSE),CHAR(34)," probability=",CHAR(34),1/AW$4,CHAR(34),CHAR(47),CHAR(62)),"&lt;/routeDistribution&gt;"))</f>
        <v/>
      </c>
    </row>
    <row r="5618" spans="1:5" x14ac:dyDescent="0.25">
      <c r="A5618" t="s">
        <v>1977</v>
      </c>
      <c r="B5618" t="s">
        <v>1129</v>
      </c>
      <c r="E5618" t="str">
        <f>IF(OR(E5617="&lt;/routeDistribution&gt;",E5617=""),"",IFERROR(_xlfn.CONCAT(VLOOKUP(AW9,Route_Column!#REF!,2,FALSE),CHAR(34)," probability=",CHAR(34),1/AW$4,CHAR(34),CHAR(47),CHAR(62)),"&lt;/routeDistribution&gt;"))</f>
        <v/>
      </c>
    </row>
    <row r="5619" spans="1:5" x14ac:dyDescent="0.25">
      <c r="A5619" t="s">
        <v>1977</v>
      </c>
      <c r="B5619" t="s">
        <v>1154</v>
      </c>
      <c r="E5619" t="str">
        <f>IF(OR(E5618="&lt;/routeDistribution&gt;",E5618=""),"",IFERROR(_xlfn.CONCAT(VLOOKUP(AW10,Route_Column!#REF!,2,FALSE),CHAR(34)," probability=",CHAR(34),1/AW$4,CHAR(34),CHAR(47),CHAR(62)),"&lt;/routeDistribution&gt;"))</f>
        <v/>
      </c>
    </row>
    <row r="5620" spans="1:5" x14ac:dyDescent="0.25">
      <c r="A5620" t="s">
        <v>1977</v>
      </c>
      <c r="B5620" t="s">
        <v>1154</v>
      </c>
      <c r="E5620" t="str">
        <f>IF(OR(E5619="&lt;/routeDistribution&gt;",E5619=""),"",IFERROR(_xlfn.CONCAT(VLOOKUP(AW11,Route_Column!#REF!,2,FALSE),CHAR(34)," probability=",CHAR(34),1/AW$4,CHAR(34),CHAR(47),CHAR(62)),"&lt;/routeDistribution&gt;"))</f>
        <v/>
      </c>
    </row>
    <row r="5621" spans="1:5" x14ac:dyDescent="0.25">
      <c r="A5621" t="s">
        <v>1977</v>
      </c>
      <c r="B5621" t="s">
        <v>1155</v>
      </c>
      <c r="E5621" t="str">
        <f>IF(OR(E5620="&lt;/routeDistribution&gt;",E5620=""),"",IFERROR(_xlfn.CONCAT(VLOOKUP(AW12,Route_Column!#REF!,2,FALSE),CHAR(34)," probability=",CHAR(34),1/AW$4,CHAR(34),CHAR(47),CHAR(62)),"&lt;/routeDistribution&gt;"))</f>
        <v/>
      </c>
    </row>
    <row r="5622" spans="1:5" x14ac:dyDescent="0.25">
      <c r="A5622" t="s">
        <v>1977</v>
      </c>
      <c r="B5622" t="s">
        <v>1156</v>
      </c>
      <c r="E5622" t="str">
        <f>IF(OR(E5621="&lt;/routeDistribution&gt;",E5621=""),"",IFERROR(_xlfn.CONCAT(VLOOKUP(AW13,Route_Column!#REF!,2,FALSE),CHAR(34)," probability=",CHAR(34),1/AW$4,CHAR(34),CHAR(47),CHAR(62)),"&lt;/routeDistribution&gt;"))</f>
        <v/>
      </c>
    </row>
    <row r="5623" spans="1:5" x14ac:dyDescent="0.25">
      <c r="A5623" t="s">
        <v>1977</v>
      </c>
      <c r="B5623" t="s">
        <v>1181</v>
      </c>
      <c r="E5623" t="str">
        <f>IF(OR(E5622="&lt;/routeDistribution&gt;",E5622=""),"",IFERROR(_xlfn.CONCAT(VLOOKUP(AW14,Route_Column!#REF!,2,FALSE),CHAR(34)," probability=",CHAR(34),1/AW$4,CHAR(34),CHAR(47),CHAR(62)),"&lt;/routeDistribution&gt;"))</f>
        <v/>
      </c>
    </row>
    <row r="5624" spans="1:5" x14ac:dyDescent="0.25">
      <c r="A5624" t="s">
        <v>1977</v>
      </c>
      <c r="B5624" t="s">
        <v>1193</v>
      </c>
      <c r="E5624" t="str">
        <f>IF(OR(E5623="&lt;/routeDistribution&gt;",E5623=""),"",IFERROR(_xlfn.CONCAT(VLOOKUP(AW15,Route_Column!#REF!,2,FALSE),CHAR(34)," probability=",CHAR(34),1/AW$4,CHAR(34),CHAR(47),CHAR(62)),"&lt;/routeDistribution&gt;"))</f>
        <v/>
      </c>
    </row>
    <row r="5625" spans="1:5" x14ac:dyDescent="0.25">
      <c r="A5625" t="s">
        <v>1921</v>
      </c>
      <c r="B5625" t="s">
        <v>1112</v>
      </c>
      <c r="E5625" t="str">
        <f>IF(OR(E5624="&lt;/routeDistribution&gt;",E5624=""),"",IFERROR(_xlfn.CONCAT(VLOOKUP(AW16,Route_Column!#REF!,2,FALSE),CHAR(34)," probability=",CHAR(34),1/AW$4,CHAR(34),CHAR(47),CHAR(62)),"&lt;/routeDistribution&gt;"))</f>
        <v/>
      </c>
    </row>
    <row r="5626" spans="1:5" x14ac:dyDescent="0.25">
      <c r="A5626" t="s">
        <v>1921</v>
      </c>
      <c r="B5626" t="s">
        <v>1130</v>
      </c>
      <c r="E5626" t="str">
        <f>IF(OR(E5625="&lt;/routeDistribution&gt;",E5625=""),"",IFERROR(_xlfn.CONCAT(VLOOKUP(AW17,Route_Column!#REF!,2,FALSE),CHAR(34)," probability=",CHAR(34),1/AW$4,CHAR(34),CHAR(47),CHAR(62)),"&lt;/routeDistribution&gt;"))</f>
        <v/>
      </c>
    </row>
    <row r="5627" spans="1:5" x14ac:dyDescent="0.25">
      <c r="A5627" t="s">
        <v>1921</v>
      </c>
      <c r="B5627" t="s">
        <v>1130</v>
      </c>
      <c r="E5627" t="str">
        <f>IF(OR(E5626="&lt;/routeDistribution&gt;",E5626=""),"",IFERROR(_xlfn.CONCAT(VLOOKUP(AW18,Route_Column!#REF!,2,FALSE),CHAR(34)," probability=",CHAR(34),1/AW$4,CHAR(34),CHAR(47),CHAR(62)),"&lt;/routeDistribution&gt;"))</f>
        <v/>
      </c>
    </row>
    <row r="5628" spans="1:5" x14ac:dyDescent="0.25">
      <c r="A5628" t="s">
        <v>1921</v>
      </c>
      <c r="B5628" t="s">
        <v>1131</v>
      </c>
      <c r="E5628" t="str">
        <f>IF(OR(E5627="&lt;/routeDistribution&gt;",E5627=""),"",IFERROR(_xlfn.CONCAT(VLOOKUP(AW19,Route_Column!#REF!,2,FALSE),CHAR(34)," probability=",CHAR(34),1/AW$4,CHAR(34),CHAR(47),CHAR(62)),"&lt;/routeDistribution&gt;"))</f>
        <v/>
      </c>
    </row>
    <row r="5629" spans="1:5" x14ac:dyDescent="0.25">
      <c r="A5629" t="s">
        <v>1921</v>
      </c>
      <c r="B5629" t="s">
        <v>1131</v>
      </c>
      <c r="E5629" t="str">
        <f>IF(OR(E5628="&lt;/routeDistribution&gt;",E5628=""),"",IFERROR(_xlfn.CONCAT(VLOOKUP(AW20,Route_Column!#REF!,2,FALSE),CHAR(34)," probability=",CHAR(34),1/AW$4,CHAR(34),CHAR(47),CHAR(62)),"&lt;/routeDistribution&gt;"))</f>
        <v/>
      </c>
    </row>
    <row r="5630" spans="1:5" x14ac:dyDescent="0.25">
      <c r="A5630" t="s">
        <v>1921</v>
      </c>
      <c r="B5630" t="s">
        <v>1132</v>
      </c>
      <c r="E5630" t="str">
        <f>IF(OR(E5629="&lt;/routeDistribution&gt;",E5629=""),"",IFERROR(_xlfn.CONCAT(VLOOKUP(AW21,Route_Column!#REF!,2,FALSE),CHAR(34)," probability=",CHAR(34),1/AW$4,CHAR(34),CHAR(47),CHAR(62)),"&lt;/routeDistribution&gt;"))</f>
        <v/>
      </c>
    </row>
    <row r="5631" spans="1:5" x14ac:dyDescent="0.25">
      <c r="A5631" t="s">
        <v>1921</v>
      </c>
      <c r="B5631" t="s">
        <v>1132</v>
      </c>
      <c r="E5631" t="str">
        <f>IF(OR(E5630="&lt;/routeDistribution&gt;",E5630=""),"",IFERROR(_xlfn.CONCAT(VLOOKUP(AW22,Route_Column!#REF!,2,FALSE),CHAR(34)," probability=",CHAR(34),1/AW$4,CHAR(34),CHAR(47),CHAR(62)),"&lt;/routeDistribution&gt;"))</f>
        <v/>
      </c>
    </row>
    <row r="5632" spans="1:5" x14ac:dyDescent="0.25">
      <c r="A5632" t="s">
        <v>1921</v>
      </c>
      <c r="B5632" t="s">
        <v>1133</v>
      </c>
      <c r="E5632" t="str">
        <f>IF(OR(E5631="&lt;/routeDistribution&gt;",E5631=""),"",IFERROR(_xlfn.CONCAT(VLOOKUP(AW23,Route_Column!#REF!,2,FALSE),CHAR(34)," probability=",CHAR(34),1/AW$4,CHAR(34),CHAR(47),CHAR(62)),"&lt;/routeDistribution&gt;"))</f>
        <v/>
      </c>
    </row>
    <row r="5633" spans="1:5" x14ac:dyDescent="0.25">
      <c r="A5633" t="s">
        <v>1921</v>
      </c>
      <c r="B5633" t="s">
        <v>1134</v>
      </c>
      <c r="E5633" t="str">
        <f>IF(OR(E5632="&lt;/routeDistribution&gt;",E5632=""),"",IFERROR(_xlfn.CONCAT(VLOOKUP(AW24,Route_Column!#REF!,2,FALSE),CHAR(34)," probability=",CHAR(34),1/AW$4,CHAR(34),CHAR(47),CHAR(62)),"&lt;/routeDistribution&gt;"))</f>
        <v/>
      </c>
    </row>
    <row r="5634" spans="1:5" x14ac:dyDescent="0.25">
      <c r="A5634" t="s">
        <v>1921</v>
      </c>
      <c r="B5634" t="s">
        <v>1137</v>
      </c>
      <c r="E5634" t="str">
        <f>IF(OR(E5633="&lt;/routeDistribution&gt;",E5633=""),"",IFERROR(_xlfn.CONCAT(VLOOKUP(AW25,Route_Column!#REF!,2,FALSE),CHAR(34)," probability=",CHAR(34),1/AW$4,CHAR(34),CHAR(47),CHAR(62)),"&lt;/routeDistribution&gt;"))</f>
        <v/>
      </c>
    </row>
    <row r="5635" spans="1:5" x14ac:dyDescent="0.25">
      <c r="A5635" t="s">
        <v>1921</v>
      </c>
      <c r="B5635" t="s">
        <v>1138</v>
      </c>
      <c r="E5635" t="str">
        <f>IF(OR(E5634="&lt;/routeDistribution&gt;",E5634=""),"",IFERROR(_xlfn.CONCAT(VLOOKUP(AW26,Route_Column!#REF!,2,FALSE),CHAR(34)," probability=",CHAR(34),1/AW$4,CHAR(34),CHAR(47),CHAR(62)),"&lt;/routeDistribution&gt;"))</f>
        <v/>
      </c>
    </row>
    <row r="5636" spans="1:5" x14ac:dyDescent="0.25">
      <c r="A5636" t="s">
        <v>1921</v>
      </c>
      <c r="B5636" t="s">
        <v>1145</v>
      </c>
      <c r="E5636" t="str">
        <f>IF(OR(E5635="&lt;/routeDistribution&gt;",E5635=""),"",IFERROR(_xlfn.CONCAT(VLOOKUP(AW27,Route_Column!#REF!,2,FALSE),CHAR(34)," probability=",CHAR(34),1/AW$4,CHAR(34),CHAR(47),CHAR(62)),"&lt;/routeDistribution&gt;"))</f>
        <v/>
      </c>
    </row>
    <row r="5637" spans="1:5" x14ac:dyDescent="0.25">
      <c r="A5637" t="s">
        <v>1921</v>
      </c>
      <c r="B5637" t="s">
        <v>1154</v>
      </c>
      <c r="E5637" t="str">
        <f>IF(OR(E5636="&lt;/routeDistribution&gt;",E5636=""),"",IFERROR(_xlfn.CONCAT(VLOOKUP(AW28,Route_Column!#REF!,2,FALSE),CHAR(34)," probability=",CHAR(34),1/AW$4,CHAR(34),CHAR(47),CHAR(62)),"&lt;/routeDistribution&gt;"))</f>
        <v/>
      </c>
    </row>
    <row r="5638" spans="1:5" x14ac:dyDescent="0.25">
      <c r="A5638" t="s">
        <v>1921</v>
      </c>
      <c r="B5638" t="s">
        <v>1157</v>
      </c>
      <c r="E5638" t="str">
        <f>IF(OR(E5637="&lt;/routeDistribution&gt;",E5637=""),"",IFERROR(_xlfn.CONCAT(VLOOKUP(AW29,Route_Column!#REF!,2,FALSE),CHAR(34)," probability=",CHAR(34),1/AW$4,CHAR(34),CHAR(47),CHAR(62)),"&lt;/routeDistribution&gt;"))</f>
        <v/>
      </c>
    </row>
    <row r="5639" spans="1:5" x14ac:dyDescent="0.25">
      <c r="A5639" t="s">
        <v>1921</v>
      </c>
      <c r="B5639" t="s">
        <v>1158</v>
      </c>
      <c r="E5639" t="str">
        <f>IF(OR(E5638="&lt;/routeDistribution&gt;",E5638=""),"",IFERROR(_xlfn.CONCAT(VLOOKUP(AW30,Route_Column!#REF!,2,FALSE),CHAR(34)," probability=",CHAR(34),1/AW$4,CHAR(34),CHAR(47),CHAR(62)),"&lt;/routeDistribution&gt;"))</f>
        <v/>
      </c>
    </row>
    <row r="5640" spans="1:5" x14ac:dyDescent="0.25">
      <c r="A5640" t="s">
        <v>1921</v>
      </c>
      <c r="B5640" t="s">
        <v>1159</v>
      </c>
      <c r="E5640" t="str">
        <f>IF(OR(E5639="&lt;/routeDistribution&gt;",E5639=""),"",IFERROR(_xlfn.CONCAT(VLOOKUP(AW31,Route_Column!#REF!,2,FALSE),CHAR(34)," probability=",CHAR(34),1/AW$4,CHAR(34),CHAR(47),CHAR(62)),"&lt;/routeDistribution&gt;"))</f>
        <v/>
      </c>
    </row>
    <row r="5641" spans="1:5" x14ac:dyDescent="0.25">
      <c r="A5641" t="s">
        <v>1921</v>
      </c>
      <c r="B5641" t="s">
        <v>1180</v>
      </c>
      <c r="E5641" t="str">
        <f>IF(OR(E5640="&lt;/routeDistribution&gt;",E5640=""),"",IFERROR(_xlfn.CONCAT(VLOOKUP(AW32,Route_Column!#REF!,2,FALSE),CHAR(34)," probability=",CHAR(34),1/AW$4,CHAR(34),CHAR(47),CHAR(62)),"&lt;/routeDistribution&gt;"))</f>
        <v/>
      </c>
    </row>
    <row r="5642" spans="1:5" x14ac:dyDescent="0.25">
      <c r="A5642" t="s">
        <v>1921</v>
      </c>
      <c r="B5642" t="s">
        <v>1181</v>
      </c>
      <c r="E5642" t="str">
        <f>IF(OR(E5641="&lt;/routeDistribution&gt;",E5641=""),"",IFERROR(_xlfn.CONCAT(VLOOKUP(AW33,Route_Column!#REF!,2,FALSE),CHAR(34)," probability=",CHAR(34),1/AW$4,CHAR(34),CHAR(47),CHAR(62)),"&lt;/routeDistribution&gt;"))</f>
        <v/>
      </c>
    </row>
    <row r="5643" spans="1:5" x14ac:dyDescent="0.25">
      <c r="A5643" t="s">
        <v>1921</v>
      </c>
      <c r="B5643" t="s">
        <v>1182</v>
      </c>
      <c r="E5643" t="str">
        <f>IF(OR(E5642="&lt;/routeDistribution&gt;",E5642=""),"",IFERROR(_xlfn.CONCAT(VLOOKUP(AW34,Route_Column!#REF!,2,FALSE),CHAR(34)," probability=",CHAR(34),1/AW$4,CHAR(34),CHAR(47),CHAR(62)),"&lt;/routeDistribution&gt;"))</f>
        <v/>
      </c>
    </row>
    <row r="5644" spans="1:5" x14ac:dyDescent="0.25">
      <c r="A5644" t="s">
        <v>1921</v>
      </c>
      <c r="B5644" t="s">
        <v>1183</v>
      </c>
      <c r="E5644" t="str">
        <f>IF(OR(E5643="&lt;/routeDistribution&gt;",E5643=""),"",IFERROR(_xlfn.CONCAT(VLOOKUP(AW35,Route_Column!#REF!,2,FALSE),CHAR(34)," probability=",CHAR(34),1/AW$4,CHAR(34),CHAR(47),CHAR(62)),"&lt;/routeDistribution&gt;"))</f>
        <v/>
      </c>
    </row>
    <row r="5645" spans="1:5" x14ac:dyDescent="0.25">
      <c r="A5645" t="s">
        <v>1921</v>
      </c>
      <c r="B5645" t="s">
        <v>1184</v>
      </c>
      <c r="E5645" t="str">
        <f>IF(OR(E5644="&lt;/routeDistribution&gt;",E5644=""),"",IFERROR(_xlfn.CONCAT(VLOOKUP(AW36,Route_Column!#REF!,2,FALSE),CHAR(34)," probability=",CHAR(34),1/AW$4,CHAR(34),CHAR(47),CHAR(62)),"&lt;/routeDistribution&gt;"))</f>
        <v/>
      </c>
    </row>
    <row r="5646" spans="1:5" x14ac:dyDescent="0.25">
      <c r="A5646" t="s">
        <v>1921</v>
      </c>
      <c r="B5646" t="s">
        <v>1185</v>
      </c>
      <c r="E5646" t="str">
        <f>IF(OR(E5645="&lt;/routeDistribution&gt;",E5645=""),"",IFERROR(_xlfn.CONCAT(VLOOKUP(AW37,Route_Column!#REF!,2,FALSE),CHAR(34)," probability=",CHAR(34),1/AW$4,CHAR(34),CHAR(47),CHAR(62)),"&lt;/routeDistribution&gt;"))</f>
        <v/>
      </c>
    </row>
    <row r="5647" spans="1:5" x14ac:dyDescent="0.25">
      <c r="A5647" t="s">
        <v>2040</v>
      </c>
      <c r="B5647" t="s">
        <v>1134</v>
      </c>
      <c r="E5647" t="str">
        <f>IF(OR(E5646="&lt;/routeDistribution&gt;",E5646=""),"",IFERROR(_xlfn.CONCAT(VLOOKUP(AW38,Route_Column!#REF!,2,FALSE),CHAR(34)," probability=",CHAR(34),1/AW$4,CHAR(34),CHAR(47),CHAR(62)),"&lt;/routeDistribution&gt;"))</f>
        <v/>
      </c>
    </row>
    <row r="5648" spans="1:5" x14ac:dyDescent="0.25">
      <c r="A5648" t="s">
        <v>2040</v>
      </c>
      <c r="B5648" t="s">
        <v>1135</v>
      </c>
      <c r="E5648" t="str">
        <f>IF(OR(E5647="&lt;/routeDistribution&gt;",E5647=""),"",IFERROR(_xlfn.CONCAT(VLOOKUP(AW39,Route_Column!#REF!,2,FALSE),CHAR(34)," probability=",CHAR(34),1/AW$4,CHAR(34),CHAR(47),CHAR(62)),"&lt;/routeDistribution&gt;"))</f>
        <v/>
      </c>
    </row>
    <row r="5649" spans="1:5" x14ac:dyDescent="0.25">
      <c r="A5649" t="s">
        <v>2040</v>
      </c>
      <c r="B5649" t="s">
        <v>1136</v>
      </c>
      <c r="E5649" t="str">
        <f>IF(OR(E5648="&lt;/routeDistribution&gt;",E5648=""),"",IFERROR(_xlfn.CONCAT(VLOOKUP(AW40,Route_Column!#REF!,2,FALSE),CHAR(34)," probability=",CHAR(34),1/AW$4,CHAR(34),CHAR(47),CHAR(62)),"&lt;/routeDistribution&gt;"))</f>
        <v/>
      </c>
    </row>
    <row r="5650" spans="1:5" x14ac:dyDescent="0.25">
      <c r="A5650" t="s">
        <v>2040</v>
      </c>
      <c r="B5650" t="s">
        <v>1137</v>
      </c>
      <c r="E5650" t="str">
        <f>IF(OR(E5649="&lt;/routeDistribution&gt;",E5649=""),"",IFERROR(_xlfn.CONCAT(VLOOKUP(AW41,Route_Column!#REF!,2,FALSE),CHAR(34)," probability=",CHAR(34),1/AW$4,CHAR(34),CHAR(47),CHAR(62)),"&lt;/routeDistribution&gt;"))</f>
        <v/>
      </c>
    </row>
    <row r="5651" spans="1:5" x14ac:dyDescent="0.25">
      <c r="A5651" t="s">
        <v>2040</v>
      </c>
      <c r="B5651" t="s">
        <v>1138</v>
      </c>
      <c r="E5651" t="str">
        <f>IF(OR(E5650="&lt;/routeDistribution&gt;",E5650=""),"",IFERROR(_xlfn.CONCAT(VLOOKUP(AW42,Route_Column!#REF!,2,FALSE),CHAR(34)," probability=",CHAR(34),1/AW$4,CHAR(34),CHAR(47),CHAR(62)),"&lt;/routeDistribution&gt;"))</f>
        <v/>
      </c>
    </row>
    <row r="5652" spans="1:5" x14ac:dyDescent="0.25">
      <c r="A5652" t="s">
        <v>2040</v>
      </c>
      <c r="B5652" t="s">
        <v>1139</v>
      </c>
      <c r="E5652" t="str">
        <f>IF(OR(E5651="&lt;/routeDistribution&gt;",E5651=""),"",IFERROR(_xlfn.CONCAT(VLOOKUP(AW43,Route_Column!#REF!,2,FALSE),CHAR(34)," probability=",CHAR(34),1/AW$4,CHAR(34),CHAR(47),CHAR(62)),"&lt;/routeDistribution&gt;"))</f>
        <v/>
      </c>
    </row>
    <row r="5653" spans="1:5" x14ac:dyDescent="0.25">
      <c r="A5653" t="s">
        <v>2040</v>
      </c>
      <c r="B5653" t="s">
        <v>1140</v>
      </c>
      <c r="E5653" t="str">
        <f>IF(OR(E5652="&lt;/routeDistribution&gt;",E5652=""),"",IFERROR(_xlfn.CONCAT(VLOOKUP(AW44,Route_Column!#REF!,2,FALSE),CHAR(34)," probability=",CHAR(34),1/AW$4,CHAR(34),CHAR(47),CHAR(62)),"&lt;/routeDistribution&gt;"))</f>
        <v/>
      </c>
    </row>
    <row r="5654" spans="1:5" x14ac:dyDescent="0.25">
      <c r="A5654" t="s">
        <v>2040</v>
      </c>
      <c r="B5654" t="s">
        <v>1141</v>
      </c>
      <c r="E5654" t="str">
        <f>IF(OR(E5653="&lt;/routeDistribution&gt;",E5653=""),"",IFERROR(_xlfn.CONCAT(VLOOKUP(AW45,Route_Column!#REF!,2,FALSE),CHAR(34)," probability=",CHAR(34),1/AW$4,CHAR(34),CHAR(47),CHAR(62)),"&lt;/routeDistribution&gt;"))</f>
        <v/>
      </c>
    </row>
    <row r="5655" spans="1:5" x14ac:dyDescent="0.25">
      <c r="A5655" t="s">
        <v>2040</v>
      </c>
      <c r="B5655" t="s">
        <v>1142</v>
      </c>
      <c r="E5655" t="str">
        <f>IF(OR(E5654="&lt;/routeDistribution&gt;",E5654=""),"",IFERROR(_xlfn.CONCAT(VLOOKUP(AW46,Route_Column!#REF!,2,FALSE),CHAR(34)," probability=",CHAR(34),1/AW$4,CHAR(34),CHAR(47),CHAR(62)),"&lt;/routeDistribution&gt;"))</f>
        <v/>
      </c>
    </row>
    <row r="5656" spans="1:5" x14ac:dyDescent="0.25">
      <c r="A5656" t="s">
        <v>2040</v>
      </c>
      <c r="B5656" t="s">
        <v>1143</v>
      </c>
      <c r="E5656" t="str">
        <f>IF(OR(E5655="&lt;/routeDistribution&gt;",E5655=""),"",IFERROR(_xlfn.CONCAT(VLOOKUP(AW47,Route_Column!#REF!,2,FALSE),CHAR(34)," probability=",CHAR(34),1/AW$4,CHAR(34),CHAR(47),CHAR(62)),"&lt;/routeDistribution&gt;"))</f>
        <v/>
      </c>
    </row>
    <row r="5657" spans="1:5" x14ac:dyDescent="0.25">
      <c r="A5657" t="s">
        <v>2040</v>
      </c>
      <c r="B5657" t="s">
        <v>1144</v>
      </c>
      <c r="E5657" t="str">
        <f>IF(OR(E5656="&lt;/routeDistribution&gt;",E5656=""),"",IFERROR(_xlfn.CONCAT(VLOOKUP(AW48,Route_Column!#REF!,2,FALSE),CHAR(34)," probability=",CHAR(34),1/AW$4,CHAR(34),CHAR(47),CHAR(62)),"&lt;/routeDistribution&gt;"))</f>
        <v/>
      </c>
    </row>
    <row r="5658" spans="1:5" x14ac:dyDescent="0.25">
      <c r="A5658" t="s">
        <v>2040</v>
      </c>
      <c r="B5658" t="s">
        <v>1145</v>
      </c>
      <c r="E5658" t="str">
        <f>IF(OR(E5657="&lt;/routeDistribution&gt;",E5657=""),"",IFERROR(_xlfn.CONCAT(VLOOKUP(AW49,Route_Column!#REF!,2,FALSE),CHAR(34)," probability=",CHAR(34),1/AW$4,CHAR(34),CHAR(47),CHAR(62)),"&lt;/routeDistribution&gt;"))</f>
        <v/>
      </c>
    </row>
    <row r="5659" spans="1:5" x14ac:dyDescent="0.25">
      <c r="A5659" t="s">
        <v>2040</v>
      </c>
      <c r="B5659" t="s">
        <v>1146</v>
      </c>
      <c r="E5659" t="str">
        <f>IF(OR(E5658="&lt;/routeDistribution&gt;",E5658=""),"",IFERROR(_xlfn.CONCAT(VLOOKUP(AW50,Route_Column!#REF!,2,FALSE),CHAR(34)," probability=",CHAR(34),1/AW$4,CHAR(34),CHAR(47),CHAR(62)),"&lt;/routeDistribution&gt;"))</f>
        <v/>
      </c>
    </row>
    <row r="5660" spans="1:5" x14ac:dyDescent="0.25">
      <c r="A5660" t="s">
        <v>2040</v>
      </c>
      <c r="B5660" t="s">
        <v>1147</v>
      </c>
      <c r="E5660" t="str">
        <f>IF(OR(E5659="&lt;/routeDistribution&gt;",E5659=""),"",IFERROR(_xlfn.CONCAT(VLOOKUP(AW51,Route_Column!#REF!,2,FALSE),CHAR(34)," probability=",CHAR(34),1/AW$4,CHAR(34),CHAR(47),CHAR(62)),"&lt;/routeDistribution&gt;"))</f>
        <v/>
      </c>
    </row>
    <row r="5661" spans="1:5" x14ac:dyDescent="0.25">
      <c r="A5661" t="s">
        <v>2040</v>
      </c>
      <c r="B5661" t="s">
        <v>1148</v>
      </c>
      <c r="E5661" t="str">
        <f>IF(OR(E5660="&lt;/routeDistribution&gt;",E5660=""),"",IFERROR(_xlfn.CONCAT(VLOOKUP(AW52,Route_Column!#REF!,2,FALSE),CHAR(34)," probability=",CHAR(34),1/AW$4,CHAR(34),CHAR(47),CHAR(62)),"&lt;/routeDistribution&gt;"))</f>
        <v/>
      </c>
    </row>
    <row r="5662" spans="1:5" x14ac:dyDescent="0.25">
      <c r="A5662" t="s">
        <v>2040</v>
      </c>
      <c r="B5662" t="s">
        <v>1149</v>
      </c>
      <c r="E5662" t="str">
        <f>IF(OR(E5661="&lt;/routeDistribution&gt;",E5661=""),"",IFERROR(_xlfn.CONCAT(VLOOKUP(AW53,Route_Column!#REF!,2,FALSE),CHAR(34)," probability=",CHAR(34),1/AW$4,CHAR(34),CHAR(47),CHAR(62)),"&lt;/routeDistribution&gt;"))</f>
        <v/>
      </c>
    </row>
    <row r="5663" spans="1:5" x14ac:dyDescent="0.25">
      <c r="A5663" t="s">
        <v>2040</v>
      </c>
      <c r="B5663" t="s">
        <v>1150</v>
      </c>
      <c r="E5663" t="str">
        <f>IF(OR(E5662="&lt;/routeDistribution&gt;",E5662=""),"",IFERROR(_xlfn.CONCAT(VLOOKUP(AW54,Route_Column!#REF!,2,FALSE),CHAR(34)," probability=",CHAR(34),1/AW$4,CHAR(34),CHAR(47),CHAR(62)),"&lt;/routeDistribution&gt;"))</f>
        <v/>
      </c>
    </row>
    <row r="5664" spans="1:5" x14ac:dyDescent="0.25">
      <c r="A5664" t="s">
        <v>2040</v>
      </c>
      <c r="B5664" t="s">
        <v>1151</v>
      </c>
      <c r="E5664" t="str">
        <f>IF(OR(E5663="&lt;/routeDistribution&gt;",E5663=""),"",IFERROR(_xlfn.CONCAT(VLOOKUP(AW55,Route_Column!#REF!,2,FALSE),CHAR(34)," probability=",CHAR(34),1/AW$4,CHAR(34),CHAR(47),CHAR(62)),"&lt;/routeDistribution&gt;"))</f>
        <v/>
      </c>
    </row>
    <row r="5665" spans="1:5" x14ac:dyDescent="0.25">
      <c r="A5665" t="s">
        <v>2040</v>
      </c>
      <c r="B5665" t="s">
        <v>1152</v>
      </c>
      <c r="E5665" t="str">
        <f>IF(OR(E5664="&lt;/routeDistribution&gt;",E5664=""),"",IFERROR(_xlfn.CONCAT(VLOOKUP(AW56,Route_Column!#REF!,2,FALSE),CHAR(34)," probability=",CHAR(34),1/AW$4,CHAR(34),CHAR(47),CHAR(62)),"&lt;/routeDistribution&gt;"))</f>
        <v/>
      </c>
    </row>
    <row r="5666" spans="1:5" x14ac:dyDescent="0.25">
      <c r="A5666" t="s">
        <v>2040</v>
      </c>
      <c r="B5666" t="s">
        <v>1153</v>
      </c>
      <c r="E5666" t="str">
        <f>IF(OR(E5665="&lt;/routeDistribution&gt;",E5665=""),"",IFERROR(_xlfn.CONCAT(VLOOKUP(AW57,Route_Column!#REF!,2,FALSE),CHAR(34)," probability=",CHAR(34),1/AW$4,CHAR(34),CHAR(47),CHAR(62)),"&lt;/routeDistribution&gt;"))</f>
        <v/>
      </c>
    </row>
    <row r="5667" spans="1:5" x14ac:dyDescent="0.25">
      <c r="A5667" t="s">
        <v>1562</v>
      </c>
      <c r="B5667" t="s">
        <v>1092</v>
      </c>
      <c r="E5667" t="str">
        <f>IF(OR(E5666="&lt;/routeDistribution&gt;",E5666=""),"",IFERROR(_xlfn.CONCAT(VLOOKUP(AW58,Route_Column!#REF!,2,FALSE),CHAR(34)," probability=",CHAR(34),1/AW$4,CHAR(34),CHAR(47),CHAR(62)),"&lt;/routeDistribution&gt;"))</f>
        <v/>
      </c>
    </row>
    <row r="5668" spans="1:5" x14ac:dyDescent="0.25">
      <c r="A5668" t="s">
        <v>1562</v>
      </c>
      <c r="B5668" t="s">
        <v>1127</v>
      </c>
      <c r="E5668" t="str">
        <f>IF(OR(E5667="&lt;/routeDistribution&gt;",E5667=""),"",IFERROR(_xlfn.CONCAT(VLOOKUP(AW59,Route_Column!#REF!,2,FALSE),CHAR(34)," probability=",CHAR(34),1/AW$4,CHAR(34),CHAR(47),CHAR(62)),"&lt;/routeDistribution&gt;"))</f>
        <v/>
      </c>
    </row>
    <row r="5669" spans="1:5" x14ac:dyDescent="0.25">
      <c r="A5669" t="s">
        <v>1562</v>
      </c>
      <c r="B5669" t="s">
        <v>1128</v>
      </c>
      <c r="E5669" t="str">
        <f>IF(OR(E5668="&lt;/routeDistribution&gt;",E5668=""),"",IFERROR(_xlfn.CONCAT(VLOOKUP(AW60,Route_Column!#REF!,2,FALSE),CHAR(34)," probability=",CHAR(34),1/AW$4,CHAR(34),CHAR(47),CHAR(62)),"&lt;/routeDistribution&gt;"))</f>
        <v/>
      </c>
    </row>
    <row r="5670" spans="1:5" x14ac:dyDescent="0.25">
      <c r="A5670" t="s">
        <v>1562</v>
      </c>
      <c r="B5670" t="s">
        <v>1129</v>
      </c>
      <c r="E5670" t="str">
        <f>IF(OR(E5669="&lt;/routeDistribution&gt;",E5669=""),"",IFERROR(_xlfn.CONCAT(VLOOKUP(AW61,Route_Column!#REF!,2,FALSE),CHAR(34)," probability=",CHAR(34),1/AW$4,CHAR(34),CHAR(47),CHAR(62)),"&lt;/routeDistribution&gt;"))</f>
        <v/>
      </c>
    </row>
    <row r="5671" spans="1:5" x14ac:dyDescent="0.25">
      <c r="A5671" t="s">
        <v>1562</v>
      </c>
      <c r="B5671" t="s">
        <v>1135</v>
      </c>
      <c r="E5671" t="str">
        <f>IF(OR(E5670="&lt;/routeDistribution&gt;",E5670=""),"",IFERROR(_xlfn.CONCAT(VLOOKUP(AW62,Route_Column!#REF!,2,FALSE),CHAR(34)," probability=",CHAR(34),1/AW$4,CHAR(34),CHAR(47),CHAR(62)),"&lt;/routeDistribution&gt;"))</f>
        <v/>
      </c>
    </row>
    <row r="5672" spans="1:5" x14ac:dyDescent="0.25">
      <c r="A5672" t="s">
        <v>1562</v>
      </c>
      <c r="B5672" t="s">
        <v>1146</v>
      </c>
      <c r="E5672" t="str">
        <f>IF(OR(E5671="&lt;/routeDistribution&gt;",E5671=""),"",IFERROR(_xlfn.CONCAT(VLOOKUP(AW63,Route_Column!#REF!,2,FALSE),CHAR(34)," probability=",CHAR(34),1/AW$4,CHAR(34),CHAR(47),CHAR(62)),"&lt;/routeDistribution&gt;"))</f>
        <v/>
      </c>
    </row>
    <row r="5673" spans="1:5" x14ac:dyDescent="0.25">
      <c r="A5673" t="s">
        <v>1562</v>
      </c>
      <c r="B5673" t="s">
        <v>1154</v>
      </c>
      <c r="E5673" t="s">
        <v>2686</v>
      </c>
    </row>
    <row r="5674" spans="1:5" x14ac:dyDescent="0.25">
      <c r="A5674" t="s">
        <v>1562</v>
      </c>
      <c r="B5674" t="s">
        <v>1173</v>
      </c>
    </row>
    <row r="5675" spans="1:5" x14ac:dyDescent="0.25">
      <c r="A5675" t="s">
        <v>1562</v>
      </c>
      <c r="B5675" t="s">
        <v>1181</v>
      </c>
    </row>
    <row r="5676" spans="1:5" x14ac:dyDescent="0.25">
      <c r="A5676" t="s">
        <v>1562</v>
      </c>
      <c r="B5676" t="s">
        <v>1183</v>
      </c>
      <c r="E5676" t="str">
        <f>_xlfn.CONCAT($E$1,AV$2,$F$1)</f>
        <v>&lt;routeDistribution id="LOCUST-23rd-to-22nd-EB-2012-RouteProbe"&gt;</v>
      </c>
    </row>
    <row r="5677" spans="1:5" x14ac:dyDescent="0.25">
      <c r="A5677" t="s">
        <v>1562</v>
      </c>
      <c r="B5677" t="s">
        <v>1193</v>
      </c>
      <c r="E5677" t="str">
        <f>IF(OR(E5676="&lt;/routeDistribution&gt;",E5676=""),"",IFERROR(_xlfn.CONCAT(VLOOKUP(AV5,Route_Column!#REF!,2,FALSE),CHAR(34)," probability=",CHAR(34),1/AV$4,CHAR(34),CHAR(47),CHAR(62)),"&lt;/routeDistribution&gt;"))</f>
        <v>&lt;/routeDistribution&gt;</v>
      </c>
    </row>
    <row r="5678" spans="1:5" x14ac:dyDescent="0.25">
      <c r="A5678" t="s">
        <v>1562</v>
      </c>
      <c r="B5678" t="s">
        <v>1194</v>
      </c>
      <c r="E5678" t="str">
        <f>IF(OR(E5677="&lt;/routeDistribution&gt;",E5677=""),"",IFERROR(_xlfn.CONCAT(VLOOKUP(AV6,Route_Column!#REF!,2,FALSE),CHAR(34)," probability=",CHAR(34),1/AV$4,CHAR(34),CHAR(47),CHAR(62)),"&lt;/routeDistribution&gt;"))</f>
        <v/>
      </c>
    </row>
    <row r="5679" spans="1:5" x14ac:dyDescent="0.25">
      <c r="A5679" t="s">
        <v>1562</v>
      </c>
      <c r="B5679" t="s">
        <v>1198</v>
      </c>
      <c r="E5679" t="str">
        <f>IF(OR(E5678="&lt;/routeDistribution&gt;",E5678=""),"",IFERROR(_xlfn.CONCAT(VLOOKUP(AV7,Route_Column!#REF!,2,FALSE),CHAR(34)," probability=",CHAR(34),1/AV$4,CHAR(34),CHAR(47),CHAR(62)),"&lt;/routeDistribution&gt;"))</f>
        <v/>
      </c>
    </row>
    <row r="5680" spans="1:5" x14ac:dyDescent="0.25">
      <c r="A5680" t="s">
        <v>1562</v>
      </c>
      <c r="B5680" t="s">
        <v>1205</v>
      </c>
      <c r="E5680" t="str">
        <f>IF(OR(E5679="&lt;/routeDistribution&gt;",E5679=""),"",IFERROR(_xlfn.CONCAT(VLOOKUP(AV8,Route_Column!#REF!,2,FALSE),CHAR(34)," probability=",CHAR(34),1/AV$4,CHAR(34),CHAR(47),CHAR(62)),"&lt;/routeDistribution&gt;"))</f>
        <v/>
      </c>
    </row>
    <row r="5681" spans="1:5" x14ac:dyDescent="0.25">
      <c r="A5681" t="s">
        <v>1562</v>
      </c>
      <c r="B5681" t="s">
        <v>1224</v>
      </c>
      <c r="E5681" t="str">
        <f>IF(OR(E5680="&lt;/routeDistribution&gt;",E5680=""),"",IFERROR(_xlfn.CONCAT(VLOOKUP(AV9,Route_Column!#REF!,2,FALSE),CHAR(34)," probability=",CHAR(34),1/AV$4,CHAR(34),CHAR(47),CHAR(62)),"&lt;/routeDistribution&gt;"))</f>
        <v/>
      </c>
    </row>
    <row r="5682" spans="1:5" x14ac:dyDescent="0.25">
      <c r="A5682" t="s">
        <v>1562</v>
      </c>
      <c r="B5682" t="s">
        <v>1232</v>
      </c>
      <c r="E5682" t="str">
        <f>IF(OR(E5681="&lt;/routeDistribution&gt;",E5681=""),"",IFERROR(_xlfn.CONCAT(VLOOKUP(AV10,Route_Column!#REF!,2,FALSE),CHAR(34)," probability=",CHAR(34),1/AV$4,CHAR(34),CHAR(47),CHAR(62)),"&lt;/routeDistribution&gt;"))</f>
        <v/>
      </c>
    </row>
    <row r="5683" spans="1:5" x14ac:dyDescent="0.25">
      <c r="A5683" t="s">
        <v>2188</v>
      </c>
      <c r="B5683" t="s">
        <v>1154</v>
      </c>
      <c r="E5683" t="str">
        <f>IF(OR(E5682="&lt;/routeDistribution&gt;",E5682=""),"",IFERROR(_xlfn.CONCAT(VLOOKUP(AV11,Route_Column!#REF!,2,FALSE),CHAR(34)," probability=",CHAR(34),1/AV$4,CHAR(34),CHAR(47),CHAR(62)),"&lt;/routeDistribution&gt;"))</f>
        <v/>
      </c>
    </row>
    <row r="5684" spans="1:5" x14ac:dyDescent="0.25">
      <c r="A5684" t="s">
        <v>2188</v>
      </c>
      <c r="B5684" t="s">
        <v>1155</v>
      </c>
      <c r="E5684" t="str">
        <f>IF(OR(E5683="&lt;/routeDistribution&gt;",E5683=""),"",IFERROR(_xlfn.CONCAT(VLOOKUP(AV12,Route_Column!#REF!,2,FALSE),CHAR(34)," probability=",CHAR(34),1/AV$4,CHAR(34),CHAR(47),CHAR(62)),"&lt;/routeDistribution&gt;"))</f>
        <v/>
      </c>
    </row>
    <row r="5685" spans="1:5" x14ac:dyDescent="0.25">
      <c r="A5685" t="s">
        <v>2188</v>
      </c>
      <c r="B5685" t="s">
        <v>1156</v>
      </c>
      <c r="E5685" t="str">
        <f>IF(OR(E5684="&lt;/routeDistribution&gt;",E5684=""),"",IFERROR(_xlfn.CONCAT(VLOOKUP(AV13,Route_Column!#REF!,2,FALSE),CHAR(34)," probability=",CHAR(34),1/AV$4,CHAR(34),CHAR(47),CHAR(62)),"&lt;/routeDistribution&gt;"))</f>
        <v/>
      </c>
    </row>
    <row r="5686" spans="1:5" x14ac:dyDescent="0.25">
      <c r="A5686" t="s">
        <v>1561</v>
      </c>
      <c r="B5686" t="s">
        <v>1092</v>
      </c>
      <c r="E5686" t="str">
        <f>IF(OR(E5685="&lt;/routeDistribution&gt;",E5685=""),"",IFERROR(_xlfn.CONCAT(VLOOKUP(AV14,Route_Column!#REF!,2,FALSE),CHAR(34)," probability=",CHAR(34),1/AV$4,CHAR(34),CHAR(47),CHAR(62)),"&lt;/routeDistribution&gt;"))</f>
        <v/>
      </c>
    </row>
    <row r="5687" spans="1:5" x14ac:dyDescent="0.25">
      <c r="A5687" t="s">
        <v>1561</v>
      </c>
      <c r="B5687" t="s">
        <v>1128</v>
      </c>
      <c r="E5687" t="str">
        <f>IF(OR(E5686="&lt;/routeDistribution&gt;",E5686=""),"",IFERROR(_xlfn.CONCAT(VLOOKUP(AV15,Route_Column!#REF!,2,FALSE),CHAR(34)," probability=",CHAR(34),1/AV$4,CHAR(34),CHAR(47),CHAR(62)),"&lt;/routeDistribution&gt;"))</f>
        <v/>
      </c>
    </row>
    <row r="5688" spans="1:5" x14ac:dyDescent="0.25">
      <c r="A5688" t="s">
        <v>1561</v>
      </c>
      <c r="B5688" t="s">
        <v>1129</v>
      </c>
      <c r="E5688" t="str">
        <f>IF(OR(E5687="&lt;/routeDistribution&gt;",E5687=""),"",IFERROR(_xlfn.CONCAT(VLOOKUP(AV16,Route_Column!#REF!,2,FALSE),CHAR(34)," probability=",CHAR(34),1/AV$4,CHAR(34),CHAR(47),CHAR(62)),"&lt;/routeDistribution&gt;"))</f>
        <v/>
      </c>
    </row>
    <row r="5689" spans="1:5" x14ac:dyDescent="0.25">
      <c r="A5689" t="s">
        <v>1561</v>
      </c>
      <c r="B5689" t="s">
        <v>1135</v>
      </c>
      <c r="E5689" t="str">
        <f>IF(OR(E5688="&lt;/routeDistribution&gt;",E5688=""),"",IFERROR(_xlfn.CONCAT(VLOOKUP(AV17,Route_Column!#REF!,2,FALSE),CHAR(34)," probability=",CHAR(34),1/AV$4,CHAR(34),CHAR(47),CHAR(62)),"&lt;/routeDistribution&gt;"))</f>
        <v/>
      </c>
    </row>
    <row r="5690" spans="1:5" x14ac:dyDescent="0.25">
      <c r="A5690" t="s">
        <v>1561</v>
      </c>
      <c r="B5690" t="s">
        <v>1146</v>
      </c>
      <c r="E5690" t="str">
        <f>IF(OR(E5689="&lt;/routeDistribution&gt;",E5689=""),"",IFERROR(_xlfn.CONCAT(VLOOKUP(AV18,Route_Column!#REF!,2,FALSE),CHAR(34)," probability=",CHAR(34),1/AV$4,CHAR(34),CHAR(47),CHAR(62)),"&lt;/routeDistribution&gt;"))</f>
        <v/>
      </c>
    </row>
    <row r="5691" spans="1:5" x14ac:dyDescent="0.25">
      <c r="A5691" t="s">
        <v>1561</v>
      </c>
      <c r="B5691" t="s">
        <v>1173</v>
      </c>
      <c r="E5691" t="str">
        <f>IF(OR(E5690="&lt;/routeDistribution&gt;",E5690=""),"",IFERROR(_xlfn.CONCAT(VLOOKUP(AV19,Route_Column!#REF!,2,FALSE),CHAR(34)," probability=",CHAR(34),1/AV$4,CHAR(34),CHAR(47),CHAR(62)),"&lt;/routeDistribution&gt;"))</f>
        <v/>
      </c>
    </row>
    <row r="5692" spans="1:5" x14ac:dyDescent="0.25">
      <c r="A5692" t="s">
        <v>1561</v>
      </c>
      <c r="B5692" t="s">
        <v>1183</v>
      </c>
      <c r="E5692" t="str">
        <f>IF(OR(E5691="&lt;/routeDistribution&gt;",E5691=""),"",IFERROR(_xlfn.CONCAT(VLOOKUP(AV20,Route_Column!#REF!,2,FALSE),CHAR(34)," probability=",CHAR(34),1/AV$4,CHAR(34),CHAR(47),CHAR(62)),"&lt;/routeDistribution&gt;"))</f>
        <v/>
      </c>
    </row>
    <row r="5693" spans="1:5" x14ac:dyDescent="0.25">
      <c r="A5693" t="s">
        <v>1561</v>
      </c>
      <c r="B5693" t="s">
        <v>1194</v>
      </c>
      <c r="E5693" t="str">
        <f>IF(OR(E5692="&lt;/routeDistribution&gt;",E5692=""),"",IFERROR(_xlfn.CONCAT(VLOOKUP(AV21,Route_Column!#REF!,2,FALSE),CHAR(34)," probability=",CHAR(34),1/AV$4,CHAR(34),CHAR(47),CHAR(62)),"&lt;/routeDistribution&gt;"))</f>
        <v/>
      </c>
    </row>
    <row r="5694" spans="1:5" x14ac:dyDescent="0.25">
      <c r="A5694" t="s">
        <v>1561</v>
      </c>
      <c r="B5694" t="s">
        <v>1198</v>
      </c>
      <c r="E5694" t="str">
        <f>IF(OR(E5693="&lt;/routeDistribution&gt;",E5693=""),"",IFERROR(_xlfn.CONCAT(VLOOKUP(AV22,Route_Column!#REF!,2,FALSE),CHAR(34)," probability=",CHAR(34),1/AV$4,CHAR(34),CHAR(47),CHAR(62)),"&lt;/routeDistribution&gt;"))</f>
        <v/>
      </c>
    </row>
    <row r="5695" spans="1:5" x14ac:dyDescent="0.25">
      <c r="A5695" t="s">
        <v>1561</v>
      </c>
      <c r="B5695" t="s">
        <v>1205</v>
      </c>
      <c r="E5695" t="str">
        <f>IF(OR(E5694="&lt;/routeDistribution&gt;",E5694=""),"",IFERROR(_xlfn.CONCAT(VLOOKUP(AV23,Route_Column!#REF!,2,FALSE),CHAR(34)," probability=",CHAR(34),1/AV$4,CHAR(34),CHAR(47),CHAR(62)),"&lt;/routeDistribution&gt;"))</f>
        <v/>
      </c>
    </row>
    <row r="5696" spans="1:5" x14ac:dyDescent="0.25">
      <c r="A5696" t="s">
        <v>1561</v>
      </c>
      <c r="B5696" t="s">
        <v>1224</v>
      </c>
      <c r="E5696" t="str">
        <f>IF(OR(E5695="&lt;/routeDistribution&gt;",E5695=""),"",IFERROR(_xlfn.CONCAT(VLOOKUP(AV24,Route_Column!#REF!,2,FALSE),CHAR(34)," probability=",CHAR(34),1/AV$4,CHAR(34),CHAR(47),CHAR(62)),"&lt;/routeDistribution&gt;"))</f>
        <v/>
      </c>
    </row>
    <row r="5697" spans="1:5" x14ac:dyDescent="0.25">
      <c r="A5697" t="s">
        <v>1561</v>
      </c>
      <c r="B5697" t="s">
        <v>1232</v>
      </c>
      <c r="E5697" t="str">
        <f>IF(OR(E5696="&lt;/routeDistribution&gt;",E5696=""),"",IFERROR(_xlfn.CONCAT(VLOOKUP(AV25,Route_Column!#REF!,2,FALSE),CHAR(34)," probability=",CHAR(34),1/AV$4,CHAR(34),CHAR(47),CHAR(62)),"&lt;/routeDistribution&gt;"))</f>
        <v/>
      </c>
    </row>
    <row r="5698" spans="1:5" x14ac:dyDescent="0.25">
      <c r="A5698" t="s">
        <v>2103</v>
      </c>
      <c r="B5698" t="s">
        <v>1140</v>
      </c>
      <c r="E5698" t="str">
        <f>IF(OR(E5697="&lt;/routeDistribution&gt;",E5697=""),"",IFERROR(_xlfn.CONCAT(VLOOKUP(AV26,Route_Column!#REF!,2,FALSE),CHAR(34)," probability=",CHAR(34),1/AV$4,CHAR(34),CHAR(47),CHAR(62)),"&lt;/routeDistribution&gt;"))</f>
        <v/>
      </c>
    </row>
    <row r="5699" spans="1:5" x14ac:dyDescent="0.25">
      <c r="A5699" t="s">
        <v>2103</v>
      </c>
      <c r="B5699" t="s">
        <v>1141</v>
      </c>
      <c r="E5699" t="str">
        <f>IF(OR(E5698="&lt;/routeDistribution&gt;",E5698=""),"",IFERROR(_xlfn.CONCAT(VLOOKUP(AV27,Route_Column!#REF!,2,FALSE),CHAR(34)," probability=",CHAR(34),1/AV$4,CHAR(34),CHAR(47),CHAR(62)),"&lt;/routeDistribution&gt;"))</f>
        <v/>
      </c>
    </row>
    <row r="5700" spans="1:5" x14ac:dyDescent="0.25">
      <c r="A5700" t="s">
        <v>2103</v>
      </c>
      <c r="B5700" t="s">
        <v>1142</v>
      </c>
      <c r="E5700" t="str">
        <f>IF(OR(E5699="&lt;/routeDistribution&gt;",E5699=""),"",IFERROR(_xlfn.CONCAT(VLOOKUP(AV28,Route_Column!#REF!,2,FALSE),CHAR(34)," probability=",CHAR(34),1/AV$4,CHAR(34),CHAR(47),CHAR(62)),"&lt;/routeDistribution&gt;"))</f>
        <v/>
      </c>
    </row>
    <row r="5701" spans="1:5" x14ac:dyDescent="0.25">
      <c r="A5701" t="s">
        <v>2103</v>
      </c>
      <c r="B5701" t="s">
        <v>1150</v>
      </c>
      <c r="E5701" t="str">
        <f>IF(OR(E5700="&lt;/routeDistribution&gt;",E5700=""),"",IFERROR(_xlfn.CONCAT(VLOOKUP(AV29,Route_Column!#REF!,2,FALSE),CHAR(34)," probability=",CHAR(34),1/AV$4,CHAR(34),CHAR(47),CHAR(62)),"&lt;/routeDistribution&gt;"))</f>
        <v/>
      </c>
    </row>
    <row r="5702" spans="1:5" x14ac:dyDescent="0.25">
      <c r="A5702" t="s">
        <v>2103</v>
      </c>
      <c r="B5702" t="s">
        <v>1151</v>
      </c>
      <c r="E5702" t="str">
        <f>IF(OR(E5701="&lt;/routeDistribution&gt;",E5701=""),"",IFERROR(_xlfn.CONCAT(VLOOKUP(AV30,Route_Column!#REF!,2,FALSE),CHAR(34)," probability=",CHAR(34),1/AV$4,CHAR(34),CHAR(47),CHAR(62)),"&lt;/routeDistribution&gt;"))</f>
        <v/>
      </c>
    </row>
    <row r="5703" spans="1:5" x14ac:dyDescent="0.25">
      <c r="A5703" t="s">
        <v>2103</v>
      </c>
      <c r="B5703" t="s">
        <v>1179</v>
      </c>
      <c r="E5703" t="str">
        <f>IF(OR(E5702="&lt;/routeDistribution&gt;",E5702=""),"",IFERROR(_xlfn.CONCAT(VLOOKUP(AV31,Route_Column!#REF!,2,FALSE),CHAR(34)," probability=",CHAR(34),1/AV$4,CHAR(34),CHAR(47),CHAR(62)),"&lt;/routeDistribution&gt;"))</f>
        <v/>
      </c>
    </row>
    <row r="5704" spans="1:5" x14ac:dyDescent="0.25">
      <c r="A5704" t="s">
        <v>2103</v>
      </c>
      <c r="B5704" t="s">
        <v>1205</v>
      </c>
      <c r="E5704" t="str">
        <f>IF(OR(E5703="&lt;/routeDistribution&gt;",E5703=""),"",IFERROR(_xlfn.CONCAT(VLOOKUP(AV32,Route_Column!#REF!,2,FALSE),CHAR(34)," probability=",CHAR(34),1/AV$4,CHAR(34),CHAR(47),CHAR(62)),"&lt;/routeDistribution&gt;"))</f>
        <v/>
      </c>
    </row>
    <row r="5705" spans="1:5" x14ac:dyDescent="0.25">
      <c r="A5705" t="s">
        <v>2103</v>
      </c>
      <c r="B5705" t="s">
        <v>1206</v>
      </c>
      <c r="E5705" t="str">
        <f>IF(OR(E5704="&lt;/routeDistribution&gt;",E5704=""),"",IFERROR(_xlfn.CONCAT(VLOOKUP(AV33,Route_Column!#REF!,2,FALSE),CHAR(34)," probability=",CHAR(34),1/AV$4,CHAR(34),CHAR(47),CHAR(62)),"&lt;/routeDistribution&gt;"))</f>
        <v/>
      </c>
    </row>
    <row r="5706" spans="1:5" x14ac:dyDescent="0.25">
      <c r="A5706" t="s">
        <v>2103</v>
      </c>
      <c r="B5706" t="s">
        <v>1207</v>
      </c>
      <c r="E5706" t="str">
        <f>IF(OR(E5705="&lt;/routeDistribution&gt;",E5705=""),"",IFERROR(_xlfn.CONCAT(VLOOKUP(AV34,Route_Column!#REF!,2,FALSE),CHAR(34)," probability=",CHAR(34),1/AV$4,CHAR(34),CHAR(47),CHAR(62)),"&lt;/routeDistribution&gt;"))</f>
        <v/>
      </c>
    </row>
    <row r="5707" spans="1:5" x14ac:dyDescent="0.25">
      <c r="A5707" t="s">
        <v>2103</v>
      </c>
      <c r="B5707" t="s">
        <v>1208</v>
      </c>
      <c r="E5707" t="str">
        <f>IF(OR(E5706="&lt;/routeDistribution&gt;",E5706=""),"",IFERROR(_xlfn.CONCAT(VLOOKUP(AV35,Route_Column!#REF!,2,FALSE),CHAR(34)," probability=",CHAR(34),1/AV$4,CHAR(34),CHAR(47),CHAR(62)),"&lt;/routeDistribution&gt;"))</f>
        <v/>
      </c>
    </row>
    <row r="5708" spans="1:5" x14ac:dyDescent="0.25">
      <c r="A5708" t="s">
        <v>2103</v>
      </c>
      <c r="B5708" t="s">
        <v>1232</v>
      </c>
      <c r="E5708" t="str">
        <f>IF(OR(E5707="&lt;/routeDistribution&gt;",E5707=""),"",IFERROR(_xlfn.CONCAT(VLOOKUP(AV36,Route_Column!#REF!,2,FALSE),CHAR(34)," probability=",CHAR(34),1/AV$4,CHAR(34),CHAR(47),CHAR(62)),"&lt;/routeDistribution&gt;"))</f>
        <v/>
      </c>
    </row>
    <row r="5709" spans="1:5" x14ac:dyDescent="0.25">
      <c r="A5709" t="s">
        <v>2103</v>
      </c>
      <c r="B5709" t="s">
        <v>1233</v>
      </c>
      <c r="E5709" t="str">
        <f>IF(OR(E5708="&lt;/routeDistribution&gt;",E5708=""),"",IFERROR(_xlfn.CONCAT(VLOOKUP(AV37,Route_Column!#REF!,2,FALSE),CHAR(34)," probability=",CHAR(34),1/AV$4,CHAR(34),CHAR(47),CHAR(62)),"&lt;/routeDistribution&gt;"))</f>
        <v/>
      </c>
    </row>
    <row r="5710" spans="1:5" x14ac:dyDescent="0.25">
      <c r="A5710" t="s">
        <v>2103</v>
      </c>
      <c r="B5710" t="s">
        <v>1234</v>
      </c>
      <c r="E5710" t="str">
        <f>IF(OR(E5709="&lt;/routeDistribution&gt;",E5709=""),"",IFERROR(_xlfn.CONCAT(VLOOKUP(AV38,Route_Column!#REF!,2,FALSE),CHAR(34)," probability=",CHAR(34),1/AV$4,CHAR(34),CHAR(47),CHAR(62)),"&lt;/routeDistribution&gt;"))</f>
        <v/>
      </c>
    </row>
    <row r="5711" spans="1:5" x14ac:dyDescent="0.25">
      <c r="A5711" t="s">
        <v>2103</v>
      </c>
      <c r="B5711" t="s">
        <v>1235</v>
      </c>
      <c r="E5711" t="str">
        <f>IF(OR(E5710="&lt;/routeDistribution&gt;",E5710=""),"",IFERROR(_xlfn.CONCAT(VLOOKUP(AV39,Route_Column!#REF!,2,FALSE),CHAR(34)," probability=",CHAR(34),1/AV$4,CHAR(34),CHAR(47),CHAR(62)),"&lt;/routeDistribution&gt;"))</f>
        <v/>
      </c>
    </row>
    <row r="5712" spans="1:5" x14ac:dyDescent="0.25">
      <c r="A5712" t="s">
        <v>2103</v>
      </c>
      <c r="B5712" t="s">
        <v>1236</v>
      </c>
      <c r="E5712" t="str">
        <f>IF(OR(E5711="&lt;/routeDistribution&gt;",E5711=""),"",IFERROR(_xlfn.CONCAT(VLOOKUP(AV40,Route_Column!#REF!,2,FALSE),CHAR(34)," probability=",CHAR(34),1/AV$4,CHAR(34),CHAR(47),CHAR(62)),"&lt;/routeDistribution&gt;"))</f>
        <v/>
      </c>
    </row>
    <row r="5713" spans="1:5" x14ac:dyDescent="0.25">
      <c r="A5713" t="s">
        <v>2103</v>
      </c>
      <c r="B5713" t="s">
        <v>1237</v>
      </c>
      <c r="E5713" t="str">
        <f>IF(OR(E5712="&lt;/routeDistribution&gt;",E5712=""),"",IFERROR(_xlfn.CONCAT(VLOOKUP(AV41,Route_Column!#REF!,2,FALSE),CHAR(34)," probability=",CHAR(34),1/AV$4,CHAR(34),CHAR(47),CHAR(62)),"&lt;/routeDistribution&gt;"))</f>
        <v/>
      </c>
    </row>
    <row r="5714" spans="1:5" x14ac:dyDescent="0.25">
      <c r="A5714" t="s">
        <v>2103</v>
      </c>
      <c r="B5714" t="s">
        <v>1238</v>
      </c>
      <c r="E5714" t="str">
        <f>IF(OR(E5713="&lt;/routeDistribution&gt;",E5713=""),"",IFERROR(_xlfn.CONCAT(VLOOKUP(AV42,Route_Column!#REF!,2,FALSE),CHAR(34)," probability=",CHAR(34),1/AV$4,CHAR(34),CHAR(47),CHAR(62)),"&lt;/routeDistribution&gt;"))</f>
        <v/>
      </c>
    </row>
    <row r="5715" spans="1:5" x14ac:dyDescent="0.25">
      <c r="A5715" t="s">
        <v>2103</v>
      </c>
      <c r="B5715" t="s">
        <v>1239</v>
      </c>
      <c r="E5715" t="str">
        <f>IF(OR(E5714="&lt;/routeDistribution&gt;",E5714=""),"",IFERROR(_xlfn.CONCAT(VLOOKUP(AV43,Route_Column!#REF!,2,FALSE),CHAR(34)," probability=",CHAR(34),1/AV$4,CHAR(34),CHAR(47),CHAR(62)),"&lt;/routeDistribution&gt;"))</f>
        <v/>
      </c>
    </row>
    <row r="5716" spans="1:5" x14ac:dyDescent="0.25">
      <c r="A5716" t="s">
        <v>2103</v>
      </c>
      <c r="B5716" t="s">
        <v>1240</v>
      </c>
      <c r="E5716" t="str">
        <f>IF(OR(E5715="&lt;/routeDistribution&gt;",E5715=""),"",IFERROR(_xlfn.CONCAT(VLOOKUP(AV44,Route_Column!#REF!,2,FALSE),CHAR(34)," probability=",CHAR(34),1/AV$4,CHAR(34),CHAR(47),CHAR(62)),"&lt;/routeDistribution&gt;"))</f>
        <v/>
      </c>
    </row>
    <row r="5717" spans="1:5" x14ac:dyDescent="0.25">
      <c r="A5717" t="s">
        <v>2103</v>
      </c>
      <c r="B5717" t="s">
        <v>1241</v>
      </c>
      <c r="E5717" t="str">
        <f>IF(OR(E5716="&lt;/routeDistribution&gt;",E5716=""),"",IFERROR(_xlfn.CONCAT(VLOOKUP(AV45,Route_Column!#REF!,2,FALSE),CHAR(34)," probability=",CHAR(34),1/AV$4,CHAR(34),CHAR(47),CHAR(62)),"&lt;/routeDistribution&gt;"))</f>
        <v/>
      </c>
    </row>
    <row r="5718" spans="1:5" x14ac:dyDescent="0.25">
      <c r="A5718" t="s">
        <v>2103</v>
      </c>
      <c r="B5718" t="s">
        <v>1242</v>
      </c>
      <c r="E5718" t="str">
        <f>IF(OR(E5717="&lt;/routeDistribution&gt;",E5717=""),"",IFERROR(_xlfn.CONCAT(VLOOKUP(AV46,Route_Column!#REF!,2,FALSE),CHAR(34)," probability=",CHAR(34),1/AV$4,CHAR(34),CHAR(47),CHAR(62)),"&lt;/routeDistribution&gt;"))</f>
        <v/>
      </c>
    </row>
    <row r="5719" spans="1:5" x14ac:dyDescent="0.25">
      <c r="A5719" t="s">
        <v>2103</v>
      </c>
      <c r="B5719" t="s">
        <v>1243</v>
      </c>
      <c r="E5719" t="str">
        <f>IF(OR(E5718="&lt;/routeDistribution&gt;",E5718=""),"",IFERROR(_xlfn.CONCAT(VLOOKUP(AV47,Route_Column!#REF!,2,FALSE),CHAR(34)," probability=",CHAR(34),1/AV$4,CHAR(34),CHAR(47),CHAR(62)),"&lt;/routeDistribution&gt;"))</f>
        <v/>
      </c>
    </row>
    <row r="5720" spans="1:5" x14ac:dyDescent="0.25">
      <c r="A5720" t="s">
        <v>2103</v>
      </c>
      <c r="B5720" t="s">
        <v>1244</v>
      </c>
      <c r="E5720" t="str">
        <f>IF(OR(E5719="&lt;/routeDistribution&gt;",E5719=""),"",IFERROR(_xlfn.CONCAT(VLOOKUP(AV48,Route_Column!#REF!,2,FALSE),CHAR(34)," probability=",CHAR(34),1/AV$4,CHAR(34),CHAR(47),CHAR(62)),"&lt;/routeDistribution&gt;"))</f>
        <v/>
      </c>
    </row>
    <row r="5721" spans="1:5" x14ac:dyDescent="0.25">
      <c r="A5721" t="s">
        <v>2103</v>
      </c>
      <c r="B5721" t="s">
        <v>1245</v>
      </c>
      <c r="E5721" t="str">
        <f>IF(OR(E5720="&lt;/routeDistribution&gt;",E5720=""),"",IFERROR(_xlfn.CONCAT(VLOOKUP(AV49,Route_Column!#REF!,2,FALSE),CHAR(34)," probability=",CHAR(34),1/AV$4,CHAR(34),CHAR(47),CHAR(62)),"&lt;/routeDistribution&gt;"))</f>
        <v/>
      </c>
    </row>
    <row r="5722" spans="1:5" x14ac:dyDescent="0.25">
      <c r="A5722" t="s">
        <v>2103</v>
      </c>
      <c r="B5722" t="s">
        <v>1246</v>
      </c>
      <c r="E5722" t="str">
        <f>IF(OR(E5721="&lt;/routeDistribution&gt;",E5721=""),"",IFERROR(_xlfn.CONCAT(VLOOKUP(AV50,Route_Column!#REF!,2,FALSE),CHAR(34)," probability=",CHAR(34),1/AV$4,CHAR(34),CHAR(47),CHAR(62)),"&lt;/routeDistribution&gt;"))</f>
        <v/>
      </c>
    </row>
    <row r="5723" spans="1:5" x14ac:dyDescent="0.25">
      <c r="A5723" t="s">
        <v>2103</v>
      </c>
      <c r="B5723" t="s">
        <v>1247</v>
      </c>
      <c r="E5723" t="str">
        <f>IF(OR(E5722="&lt;/routeDistribution&gt;",E5722=""),"",IFERROR(_xlfn.CONCAT(VLOOKUP(AV51,Route_Column!#REF!,2,FALSE),CHAR(34)," probability=",CHAR(34),1/AV$4,CHAR(34),CHAR(47),CHAR(62)),"&lt;/routeDistribution&gt;"))</f>
        <v/>
      </c>
    </row>
    <row r="5724" spans="1:5" x14ac:dyDescent="0.25">
      <c r="A5724" t="s">
        <v>2103</v>
      </c>
      <c r="B5724" t="s">
        <v>1248</v>
      </c>
      <c r="E5724" t="str">
        <f>IF(OR(E5723="&lt;/routeDistribution&gt;",E5723=""),"",IFERROR(_xlfn.CONCAT(VLOOKUP(AV52,Route_Column!#REF!,2,FALSE),CHAR(34)," probability=",CHAR(34),1/AV$4,CHAR(34),CHAR(47),CHAR(62)),"&lt;/routeDistribution&gt;"))</f>
        <v/>
      </c>
    </row>
    <row r="5725" spans="1:5" x14ac:dyDescent="0.25">
      <c r="A5725" t="s">
        <v>2103</v>
      </c>
      <c r="B5725" t="s">
        <v>1249</v>
      </c>
      <c r="E5725" t="str">
        <f>IF(OR(E5724="&lt;/routeDistribution&gt;",E5724=""),"",IFERROR(_xlfn.CONCAT(VLOOKUP(AV53,Route_Column!#REF!,2,FALSE),CHAR(34)," probability=",CHAR(34),1/AV$4,CHAR(34),CHAR(47),CHAR(62)),"&lt;/routeDistribution&gt;"))</f>
        <v/>
      </c>
    </row>
    <row r="5726" spans="1:5" x14ac:dyDescent="0.25">
      <c r="A5726" t="s">
        <v>2103</v>
      </c>
      <c r="B5726" t="s">
        <v>1250</v>
      </c>
      <c r="E5726" t="str">
        <f>IF(OR(E5725="&lt;/routeDistribution&gt;",E5725=""),"",IFERROR(_xlfn.CONCAT(VLOOKUP(AV54,Route_Column!#REF!,2,FALSE),CHAR(34)," probability=",CHAR(34),1/AV$4,CHAR(34),CHAR(47),CHAR(62)),"&lt;/routeDistribution&gt;"))</f>
        <v/>
      </c>
    </row>
    <row r="5727" spans="1:5" x14ac:dyDescent="0.25">
      <c r="A5727" t="s">
        <v>2104</v>
      </c>
      <c r="B5727" t="s">
        <v>1140</v>
      </c>
      <c r="E5727" t="str">
        <f>IF(OR(E5726="&lt;/routeDistribution&gt;",E5726=""),"",IFERROR(_xlfn.CONCAT(VLOOKUP(AV55,Route_Column!#REF!,2,FALSE),CHAR(34)," probability=",CHAR(34),1/AV$4,CHAR(34),CHAR(47),CHAR(62)),"&lt;/routeDistribution&gt;"))</f>
        <v/>
      </c>
    </row>
    <row r="5728" spans="1:5" x14ac:dyDescent="0.25">
      <c r="A5728" t="s">
        <v>2104</v>
      </c>
      <c r="B5728" t="s">
        <v>1141</v>
      </c>
      <c r="E5728" t="str">
        <f>IF(OR(E5727="&lt;/routeDistribution&gt;",E5727=""),"",IFERROR(_xlfn.CONCAT(VLOOKUP(AV56,Route_Column!#REF!,2,FALSE),CHAR(34)," probability=",CHAR(34),1/AV$4,CHAR(34),CHAR(47),CHAR(62)),"&lt;/routeDistribution&gt;"))</f>
        <v/>
      </c>
    </row>
    <row r="5729" spans="1:5" x14ac:dyDescent="0.25">
      <c r="A5729" t="s">
        <v>2104</v>
      </c>
      <c r="B5729" t="s">
        <v>1142</v>
      </c>
      <c r="E5729" t="str">
        <f>IF(OR(E5728="&lt;/routeDistribution&gt;",E5728=""),"",IFERROR(_xlfn.CONCAT(VLOOKUP(AV57,Route_Column!#REF!,2,FALSE),CHAR(34)," probability=",CHAR(34),1/AV$4,CHAR(34),CHAR(47),CHAR(62)),"&lt;/routeDistribution&gt;"))</f>
        <v/>
      </c>
    </row>
    <row r="5730" spans="1:5" x14ac:dyDescent="0.25">
      <c r="A5730" t="s">
        <v>2104</v>
      </c>
      <c r="B5730" t="s">
        <v>1150</v>
      </c>
      <c r="E5730" t="str">
        <f>IF(OR(E5729="&lt;/routeDistribution&gt;",E5729=""),"",IFERROR(_xlfn.CONCAT(VLOOKUP(AV58,Route_Column!#REF!,2,FALSE),CHAR(34)," probability=",CHAR(34),1/AV$4,CHAR(34),CHAR(47),CHAR(62)),"&lt;/routeDistribution&gt;"))</f>
        <v/>
      </c>
    </row>
    <row r="5731" spans="1:5" x14ac:dyDescent="0.25">
      <c r="A5731" t="s">
        <v>2104</v>
      </c>
      <c r="B5731" t="s">
        <v>1151</v>
      </c>
      <c r="E5731" t="str">
        <f>IF(OR(E5730="&lt;/routeDistribution&gt;",E5730=""),"",IFERROR(_xlfn.CONCAT(VLOOKUP(AV59,Route_Column!#REF!,2,FALSE),CHAR(34)," probability=",CHAR(34),1/AV$4,CHAR(34),CHAR(47),CHAR(62)),"&lt;/routeDistribution&gt;"))</f>
        <v/>
      </c>
    </row>
    <row r="5732" spans="1:5" x14ac:dyDescent="0.25">
      <c r="A5732" t="s">
        <v>2104</v>
      </c>
      <c r="B5732" t="s">
        <v>1179</v>
      </c>
      <c r="E5732" t="str">
        <f>IF(OR(E5731="&lt;/routeDistribution&gt;",E5731=""),"",IFERROR(_xlfn.CONCAT(VLOOKUP(AV60,Route_Column!#REF!,2,FALSE),CHAR(34)," probability=",CHAR(34),1/AV$4,CHAR(34),CHAR(47),CHAR(62)),"&lt;/routeDistribution&gt;"))</f>
        <v/>
      </c>
    </row>
    <row r="5733" spans="1:5" x14ac:dyDescent="0.25">
      <c r="A5733" t="s">
        <v>2104</v>
      </c>
      <c r="B5733" t="s">
        <v>1205</v>
      </c>
      <c r="E5733" t="str">
        <f>IF(OR(E5732="&lt;/routeDistribution&gt;",E5732=""),"",IFERROR(_xlfn.CONCAT(VLOOKUP(AV61,Route_Column!#REF!,2,FALSE),CHAR(34)," probability=",CHAR(34),1/AV$4,CHAR(34),CHAR(47),CHAR(62)),"&lt;/routeDistribution&gt;"))</f>
        <v/>
      </c>
    </row>
    <row r="5734" spans="1:5" x14ac:dyDescent="0.25">
      <c r="A5734" t="s">
        <v>2104</v>
      </c>
      <c r="B5734" t="s">
        <v>1206</v>
      </c>
      <c r="E5734" t="str">
        <f>IF(OR(E5733="&lt;/routeDistribution&gt;",E5733=""),"",IFERROR(_xlfn.CONCAT(VLOOKUP(AV62,Route_Column!#REF!,2,FALSE),CHAR(34)," probability=",CHAR(34),1/AV$4,CHAR(34),CHAR(47),CHAR(62)),"&lt;/routeDistribution&gt;"))</f>
        <v/>
      </c>
    </row>
    <row r="5735" spans="1:5" x14ac:dyDescent="0.25">
      <c r="A5735" t="s">
        <v>2104</v>
      </c>
      <c r="B5735" t="s">
        <v>1207</v>
      </c>
      <c r="E5735" t="str">
        <f>IF(OR(E5734="&lt;/routeDistribution&gt;",E5734=""),"",IFERROR(_xlfn.CONCAT(VLOOKUP(AV63,Route_Column!#REF!,2,FALSE),CHAR(34)," probability=",CHAR(34),1/AV$4,CHAR(34),CHAR(47),CHAR(62)),"&lt;/routeDistribution&gt;"))</f>
        <v/>
      </c>
    </row>
    <row r="5736" spans="1:5" x14ac:dyDescent="0.25">
      <c r="A5736" t="s">
        <v>2104</v>
      </c>
      <c r="B5736" t="s">
        <v>1208</v>
      </c>
      <c r="E5736" t="s">
        <v>2686</v>
      </c>
    </row>
    <row r="5737" spans="1:5" x14ac:dyDescent="0.25">
      <c r="A5737" t="s">
        <v>2104</v>
      </c>
      <c r="B5737" t="s">
        <v>1232</v>
      </c>
    </row>
    <row r="5738" spans="1:5" x14ac:dyDescent="0.25">
      <c r="A5738" t="s">
        <v>2104</v>
      </c>
      <c r="B5738" t="s">
        <v>1233</v>
      </c>
    </row>
    <row r="5739" spans="1:5" x14ac:dyDescent="0.25">
      <c r="A5739" t="s">
        <v>2104</v>
      </c>
      <c r="B5739" t="s">
        <v>1234</v>
      </c>
      <c r="E5739" t="str">
        <f>_xlfn.CONCAT($E$1,AU$2,$F$1)</f>
        <v>&lt;routeDistribution id="34th-market-to-LanAVE-SB-2013-RouteProbe"&gt;</v>
      </c>
    </row>
    <row r="5740" spans="1:5" x14ac:dyDescent="0.25">
      <c r="A5740" t="s">
        <v>2104</v>
      </c>
      <c r="B5740" t="s">
        <v>1235</v>
      </c>
      <c r="E5740" t="str">
        <f>IF(OR(E5739="&lt;/routeDistribution&gt;",E5739=""),"",IFERROR(_xlfn.CONCAT(VLOOKUP(AU5,Route_Column!#REF!,2,FALSE),CHAR(34)," probability=",CHAR(34),1/AU$4,CHAR(34),CHAR(47),CHAR(62)),"&lt;/routeDistribution&gt;"))</f>
        <v>&lt;/routeDistribution&gt;</v>
      </c>
    </row>
    <row r="5741" spans="1:5" x14ac:dyDescent="0.25">
      <c r="A5741" t="s">
        <v>2104</v>
      </c>
      <c r="B5741" t="s">
        <v>1236</v>
      </c>
      <c r="E5741" t="str">
        <f>IF(OR(E5740="&lt;/routeDistribution&gt;",E5740=""),"",IFERROR(_xlfn.CONCAT(VLOOKUP(AU6,Route_Column!#REF!,2,FALSE),CHAR(34)," probability=",CHAR(34),1/AU$4,CHAR(34),CHAR(47),CHAR(62)),"&lt;/routeDistribution&gt;"))</f>
        <v/>
      </c>
    </row>
    <row r="5742" spans="1:5" x14ac:dyDescent="0.25">
      <c r="A5742" t="s">
        <v>2104</v>
      </c>
      <c r="B5742" t="s">
        <v>1237</v>
      </c>
      <c r="E5742" t="str">
        <f>IF(OR(E5741="&lt;/routeDistribution&gt;",E5741=""),"",IFERROR(_xlfn.CONCAT(VLOOKUP(AU7,Route_Column!#REF!,2,FALSE),CHAR(34)," probability=",CHAR(34),1/AU$4,CHAR(34),CHAR(47),CHAR(62)),"&lt;/routeDistribution&gt;"))</f>
        <v/>
      </c>
    </row>
    <row r="5743" spans="1:5" x14ac:dyDescent="0.25">
      <c r="A5743" t="s">
        <v>2104</v>
      </c>
      <c r="B5743" t="s">
        <v>1238</v>
      </c>
      <c r="E5743" t="str">
        <f>IF(OR(E5742="&lt;/routeDistribution&gt;",E5742=""),"",IFERROR(_xlfn.CONCAT(VLOOKUP(AU8,Route_Column!#REF!,2,FALSE),CHAR(34)," probability=",CHAR(34),1/AU$4,CHAR(34),CHAR(47),CHAR(62)),"&lt;/routeDistribution&gt;"))</f>
        <v/>
      </c>
    </row>
    <row r="5744" spans="1:5" x14ac:dyDescent="0.25">
      <c r="A5744" t="s">
        <v>2104</v>
      </c>
      <c r="B5744" t="s">
        <v>1239</v>
      </c>
      <c r="E5744" t="str">
        <f>IF(OR(E5743="&lt;/routeDistribution&gt;",E5743=""),"",IFERROR(_xlfn.CONCAT(VLOOKUP(AU9,Route_Column!#REF!,2,FALSE),CHAR(34)," probability=",CHAR(34),1/AU$4,CHAR(34),CHAR(47),CHAR(62)),"&lt;/routeDistribution&gt;"))</f>
        <v/>
      </c>
    </row>
    <row r="5745" spans="1:5" x14ac:dyDescent="0.25">
      <c r="A5745" t="s">
        <v>2104</v>
      </c>
      <c r="B5745" t="s">
        <v>1240</v>
      </c>
      <c r="E5745" t="str">
        <f>IF(OR(E5744="&lt;/routeDistribution&gt;",E5744=""),"",IFERROR(_xlfn.CONCAT(VLOOKUP(AU10,Route_Column!#REF!,2,FALSE),CHAR(34)," probability=",CHAR(34),1/AU$4,CHAR(34),CHAR(47),CHAR(62)),"&lt;/routeDistribution&gt;"))</f>
        <v/>
      </c>
    </row>
    <row r="5746" spans="1:5" x14ac:dyDescent="0.25">
      <c r="A5746" t="s">
        <v>2104</v>
      </c>
      <c r="B5746" t="s">
        <v>1241</v>
      </c>
      <c r="E5746" t="str">
        <f>IF(OR(E5745="&lt;/routeDistribution&gt;",E5745=""),"",IFERROR(_xlfn.CONCAT(VLOOKUP(AU11,Route_Column!#REF!,2,FALSE),CHAR(34)," probability=",CHAR(34),1/AU$4,CHAR(34),CHAR(47),CHAR(62)),"&lt;/routeDistribution&gt;"))</f>
        <v/>
      </c>
    </row>
    <row r="5747" spans="1:5" x14ac:dyDescent="0.25">
      <c r="A5747" t="s">
        <v>2104</v>
      </c>
      <c r="B5747" t="s">
        <v>1242</v>
      </c>
      <c r="E5747" t="str">
        <f>IF(OR(E5746="&lt;/routeDistribution&gt;",E5746=""),"",IFERROR(_xlfn.CONCAT(VLOOKUP(AU12,Route_Column!#REF!,2,FALSE),CHAR(34)," probability=",CHAR(34),1/AU$4,CHAR(34),CHAR(47),CHAR(62)),"&lt;/routeDistribution&gt;"))</f>
        <v/>
      </c>
    </row>
    <row r="5748" spans="1:5" x14ac:dyDescent="0.25">
      <c r="A5748" t="s">
        <v>2104</v>
      </c>
      <c r="B5748" t="s">
        <v>1243</v>
      </c>
      <c r="E5748" t="str">
        <f>IF(OR(E5747="&lt;/routeDistribution&gt;",E5747=""),"",IFERROR(_xlfn.CONCAT(VLOOKUP(AU13,Route_Column!#REF!,2,FALSE),CHAR(34)," probability=",CHAR(34),1/AU$4,CHAR(34),CHAR(47),CHAR(62)),"&lt;/routeDistribution&gt;"))</f>
        <v/>
      </c>
    </row>
    <row r="5749" spans="1:5" x14ac:dyDescent="0.25">
      <c r="A5749" t="s">
        <v>2104</v>
      </c>
      <c r="B5749" t="s">
        <v>1244</v>
      </c>
      <c r="E5749" t="str">
        <f>IF(OR(E5748="&lt;/routeDistribution&gt;",E5748=""),"",IFERROR(_xlfn.CONCAT(VLOOKUP(AU14,Route_Column!#REF!,2,FALSE),CHAR(34)," probability=",CHAR(34),1/AU$4,CHAR(34),CHAR(47),CHAR(62)),"&lt;/routeDistribution&gt;"))</f>
        <v/>
      </c>
    </row>
    <row r="5750" spans="1:5" x14ac:dyDescent="0.25">
      <c r="A5750" t="s">
        <v>2104</v>
      </c>
      <c r="B5750" t="s">
        <v>1245</v>
      </c>
      <c r="E5750" t="str">
        <f>IF(OR(E5749="&lt;/routeDistribution&gt;",E5749=""),"",IFERROR(_xlfn.CONCAT(VLOOKUP(AU15,Route_Column!#REF!,2,FALSE),CHAR(34)," probability=",CHAR(34),1/AU$4,CHAR(34),CHAR(47),CHAR(62)),"&lt;/routeDistribution&gt;"))</f>
        <v/>
      </c>
    </row>
    <row r="5751" spans="1:5" x14ac:dyDescent="0.25">
      <c r="A5751" t="s">
        <v>2104</v>
      </c>
      <c r="B5751" t="s">
        <v>1246</v>
      </c>
      <c r="E5751" t="str">
        <f>IF(OR(E5750="&lt;/routeDistribution&gt;",E5750=""),"",IFERROR(_xlfn.CONCAT(VLOOKUP(AU16,Route_Column!#REF!,2,FALSE),CHAR(34)," probability=",CHAR(34),1/AU$4,CHAR(34),CHAR(47),CHAR(62)),"&lt;/routeDistribution&gt;"))</f>
        <v/>
      </c>
    </row>
    <row r="5752" spans="1:5" x14ac:dyDescent="0.25">
      <c r="A5752" t="s">
        <v>2104</v>
      </c>
      <c r="B5752" t="s">
        <v>1247</v>
      </c>
      <c r="E5752" t="str">
        <f>IF(OR(E5751="&lt;/routeDistribution&gt;",E5751=""),"",IFERROR(_xlfn.CONCAT(VLOOKUP(AU17,Route_Column!#REF!,2,FALSE),CHAR(34)," probability=",CHAR(34),1/AU$4,CHAR(34),CHAR(47),CHAR(62)),"&lt;/routeDistribution&gt;"))</f>
        <v/>
      </c>
    </row>
    <row r="5753" spans="1:5" x14ac:dyDescent="0.25">
      <c r="A5753" t="s">
        <v>2104</v>
      </c>
      <c r="B5753" t="s">
        <v>1248</v>
      </c>
      <c r="E5753" t="str">
        <f>IF(OR(E5752="&lt;/routeDistribution&gt;",E5752=""),"",IFERROR(_xlfn.CONCAT(VLOOKUP(AU18,Route_Column!#REF!,2,FALSE),CHAR(34)," probability=",CHAR(34),1/AU$4,CHAR(34),CHAR(47),CHAR(62)),"&lt;/routeDistribution&gt;"))</f>
        <v/>
      </c>
    </row>
    <row r="5754" spans="1:5" x14ac:dyDescent="0.25">
      <c r="A5754" t="s">
        <v>2104</v>
      </c>
      <c r="B5754" t="s">
        <v>1249</v>
      </c>
      <c r="E5754" t="str">
        <f>IF(OR(E5753="&lt;/routeDistribution&gt;",E5753=""),"",IFERROR(_xlfn.CONCAT(VLOOKUP(AU19,Route_Column!#REF!,2,FALSE),CHAR(34)," probability=",CHAR(34),1/AU$4,CHAR(34),CHAR(47),CHAR(62)),"&lt;/routeDistribution&gt;"))</f>
        <v/>
      </c>
    </row>
    <row r="5755" spans="1:5" x14ac:dyDescent="0.25">
      <c r="A5755" t="s">
        <v>2104</v>
      </c>
      <c r="B5755" t="s">
        <v>1250</v>
      </c>
      <c r="E5755" t="str">
        <f>IF(OR(E5754="&lt;/routeDistribution&gt;",E5754=""),"",IFERROR(_xlfn.CONCAT(VLOOKUP(AU20,Route_Column!#REF!,2,FALSE),CHAR(34)," probability=",CHAR(34),1/AU$4,CHAR(34),CHAR(47),CHAR(62)),"&lt;/routeDistribution&gt;"))</f>
        <v/>
      </c>
    </row>
    <row r="5756" spans="1:5" x14ac:dyDescent="0.25">
      <c r="A5756" t="s">
        <v>2088</v>
      </c>
      <c r="B5756" t="s">
        <v>1139</v>
      </c>
      <c r="E5756" t="str">
        <f>IF(OR(E5755="&lt;/routeDistribution&gt;",E5755=""),"",IFERROR(_xlfn.CONCAT(VLOOKUP(AU21,Route_Column!#REF!,2,FALSE),CHAR(34)," probability=",CHAR(34),1/AU$4,CHAR(34),CHAR(47),CHAR(62)),"&lt;/routeDistribution&gt;"))</f>
        <v/>
      </c>
    </row>
    <row r="5757" spans="1:5" x14ac:dyDescent="0.25">
      <c r="A5757" t="s">
        <v>2088</v>
      </c>
      <c r="B5757" t="s">
        <v>1140</v>
      </c>
      <c r="E5757" t="str">
        <f>IF(OR(E5756="&lt;/routeDistribution&gt;",E5756=""),"",IFERROR(_xlfn.CONCAT(VLOOKUP(AU22,Route_Column!#REF!,2,FALSE),CHAR(34)," probability=",CHAR(34),1/AU$4,CHAR(34),CHAR(47),CHAR(62)),"&lt;/routeDistribution&gt;"))</f>
        <v/>
      </c>
    </row>
    <row r="5758" spans="1:5" x14ac:dyDescent="0.25">
      <c r="A5758" t="s">
        <v>2088</v>
      </c>
      <c r="B5758" t="s">
        <v>1150</v>
      </c>
      <c r="E5758" t="str">
        <f>IF(OR(E5757="&lt;/routeDistribution&gt;",E5757=""),"",IFERROR(_xlfn.CONCAT(VLOOKUP(AU23,Route_Column!#REF!,2,FALSE),CHAR(34)," probability=",CHAR(34),1/AU$4,CHAR(34),CHAR(47),CHAR(62)),"&lt;/routeDistribution&gt;"))</f>
        <v/>
      </c>
    </row>
    <row r="5759" spans="1:5" x14ac:dyDescent="0.25">
      <c r="A5759" t="s">
        <v>2088</v>
      </c>
      <c r="B5759" t="s">
        <v>1157</v>
      </c>
      <c r="E5759" t="str">
        <f>IF(OR(E5758="&lt;/routeDistribution&gt;",E5758=""),"",IFERROR(_xlfn.CONCAT(VLOOKUP(AU24,Route_Column!#REF!,2,FALSE),CHAR(34)," probability=",CHAR(34),1/AU$4,CHAR(34),CHAR(47),CHAR(62)),"&lt;/routeDistribution&gt;"))</f>
        <v/>
      </c>
    </row>
    <row r="5760" spans="1:5" x14ac:dyDescent="0.25">
      <c r="A5760" t="s">
        <v>2088</v>
      </c>
      <c r="B5760" t="s">
        <v>1214</v>
      </c>
      <c r="E5760" t="str">
        <f>IF(OR(E5759="&lt;/routeDistribution&gt;",E5759=""),"",IFERROR(_xlfn.CONCAT(VLOOKUP(AU25,Route_Column!#REF!,2,FALSE),CHAR(34)," probability=",CHAR(34),1/AU$4,CHAR(34),CHAR(47),CHAR(62)),"&lt;/routeDistribution&gt;"))</f>
        <v/>
      </c>
    </row>
    <row r="5761" spans="1:5" x14ac:dyDescent="0.25">
      <c r="A5761" t="s">
        <v>2088</v>
      </c>
      <c r="B5761" t="s">
        <v>1215</v>
      </c>
      <c r="E5761" t="str">
        <f>IF(OR(E5760="&lt;/routeDistribution&gt;",E5760=""),"",IFERROR(_xlfn.CONCAT(VLOOKUP(AU26,Route_Column!#REF!,2,FALSE),CHAR(34)," probability=",CHAR(34),1/AU$4,CHAR(34),CHAR(47),CHAR(62)),"&lt;/routeDistribution&gt;"))</f>
        <v/>
      </c>
    </row>
    <row r="5762" spans="1:5" x14ac:dyDescent="0.25">
      <c r="A5762" t="s">
        <v>2088</v>
      </c>
      <c r="B5762" t="s">
        <v>1226</v>
      </c>
      <c r="E5762" t="str">
        <f>IF(OR(E5761="&lt;/routeDistribution&gt;",E5761=""),"",IFERROR(_xlfn.CONCAT(VLOOKUP(AU27,Route_Column!#REF!,2,FALSE),CHAR(34)," probability=",CHAR(34),1/AU$4,CHAR(34),CHAR(47),CHAR(62)),"&lt;/routeDistribution&gt;"))</f>
        <v/>
      </c>
    </row>
    <row r="5763" spans="1:5" x14ac:dyDescent="0.25">
      <c r="A5763" t="s">
        <v>2088</v>
      </c>
      <c r="B5763" t="s">
        <v>1233</v>
      </c>
      <c r="E5763" t="str">
        <f>IF(OR(E5762="&lt;/routeDistribution&gt;",E5762=""),"",IFERROR(_xlfn.CONCAT(VLOOKUP(AU28,Route_Column!#REF!,2,FALSE),CHAR(34)," probability=",CHAR(34),1/AU$4,CHAR(34),CHAR(47),CHAR(62)),"&lt;/routeDistribution&gt;"))</f>
        <v/>
      </c>
    </row>
    <row r="5764" spans="1:5" x14ac:dyDescent="0.25">
      <c r="A5764" t="s">
        <v>2088</v>
      </c>
      <c r="B5764" t="s">
        <v>1254</v>
      </c>
      <c r="E5764" t="str">
        <f>IF(OR(E5763="&lt;/routeDistribution&gt;",E5763=""),"",IFERROR(_xlfn.CONCAT(VLOOKUP(AU29,Route_Column!#REF!,2,FALSE),CHAR(34)," probability=",CHAR(34),1/AU$4,CHAR(34),CHAR(47),CHAR(62)),"&lt;/routeDistribution&gt;"))</f>
        <v/>
      </c>
    </row>
    <row r="5765" spans="1:5" x14ac:dyDescent="0.25">
      <c r="A5765" t="s">
        <v>2089</v>
      </c>
      <c r="B5765" t="s">
        <v>1139</v>
      </c>
      <c r="E5765" t="str">
        <f>IF(OR(E5764="&lt;/routeDistribution&gt;",E5764=""),"",IFERROR(_xlfn.CONCAT(VLOOKUP(AU30,Route_Column!#REF!,2,FALSE),CHAR(34)," probability=",CHAR(34),1/AU$4,CHAR(34),CHAR(47),CHAR(62)),"&lt;/routeDistribution&gt;"))</f>
        <v/>
      </c>
    </row>
    <row r="5766" spans="1:5" x14ac:dyDescent="0.25">
      <c r="A5766" t="s">
        <v>2089</v>
      </c>
      <c r="B5766" t="s">
        <v>1140</v>
      </c>
      <c r="E5766" t="str">
        <f>IF(OR(E5765="&lt;/routeDistribution&gt;",E5765=""),"",IFERROR(_xlfn.CONCAT(VLOOKUP(AU31,Route_Column!#REF!,2,FALSE),CHAR(34)," probability=",CHAR(34),1/AU$4,CHAR(34),CHAR(47),CHAR(62)),"&lt;/routeDistribution&gt;"))</f>
        <v/>
      </c>
    </row>
    <row r="5767" spans="1:5" x14ac:dyDescent="0.25">
      <c r="A5767" t="s">
        <v>2089</v>
      </c>
      <c r="B5767" t="s">
        <v>1150</v>
      </c>
      <c r="E5767" t="str">
        <f>IF(OR(E5766="&lt;/routeDistribution&gt;",E5766=""),"",IFERROR(_xlfn.CONCAT(VLOOKUP(AU32,Route_Column!#REF!,2,FALSE),CHAR(34)," probability=",CHAR(34),1/AU$4,CHAR(34),CHAR(47),CHAR(62)),"&lt;/routeDistribution&gt;"))</f>
        <v/>
      </c>
    </row>
    <row r="5768" spans="1:5" x14ac:dyDescent="0.25">
      <c r="A5768" t="s">
        <v>2089</v>
      </c>
      <c r="B5768" t="s">
        <v>1157</v>
      </c>
      <c r="E5768" t="str">
        <f>IF(OR(E5767="&lt;/routeDistribution&gt;",E5767=""),"",IFERROR(_xlfn.CONCAT(VLOOKUP(AU33,Route_Column!#REF!,2,FALSE),CHAR(34)," probability=",CHAR(34),1/AU$4,CHAR(34),CHAR(47),CHAR(62)),"&lt;/routeDistribution&gt;"))</f>
        <v/>
      </c>
    </row>
    <row r="5769" spans="1:5" x14ac:dyDescent="0.25">
      <c r="A5769" t="s">
        <v>2089</v>
      </c>
      <c r="B5769" t="s">
        <v>1214</v>
      </c>
      <c r="E5769" t="str">
        <f>IF(OR(E5768="&lt;/routeDistribution&gt;",E5768=""),"",IFERROR(_xlfn.CONCAT(VLOOKUP(AU34,Route_Column!#REF!,2,FALSE),CHAR(34)," probability=",CHAR(34),1/AU$4,CHAR(34),CHAR(47),CHAR(62)),"&lt;/routeDistribution&gt;"))</f>
        <v/>
      </c>
    </row>
    <row r="5770" spans="1:5" x14ac:dyDescent="0.25">
      <c r="A5770" t="s">
        <v>2089</v>
      </c>
      <c r="B5770" t="s">
        <v>1215</v>
      </c>
      <c r="E5770" t="str">
        <f>IF(OR(E5769="&lt;/routeDistribution&gt;",E5769=""),"",IFERROR(_xlfn.CONCAT(VLOOKUP(AU35,Route_Column!#REF!,2,FALSE),CHAR(34)," probability=",CHAR(34),1/AU$4,CHAR(34),CHAR(47),CHAR(62)),"&lt;/routeDistribution&gt;"))</f>
        <v/>
      </c>
    </row>
    <row r="5771" spans="1:5" x14ac:dyDescent="0.25">
      <c r="A5771" t="s">
        <v>2089</v>
      </c>
      <c r="B5771" t="s">
        <v>1226</v>
      </c>
      <c r="E5771" t="str">
        <f>IF(OR(E5770="&lt;/routeDistribution&gt;",E5770=""),"",IFERROR(_xlfn.CONCAT(VLOOKUP(AU36,Route_Column!#REF!,2,FALSE),CHAR(34)," probability=",CHAR(34),1/AU$4,CHAR(34),CHAR(47),CHAR(62)),"&lt;/routeDistribution&gt;"))</f>
        <v/>
      </c>
    </row>
    <row r="5772" spans="1:5" x14ac:dyDescent="0.25">
      <c r="A5772" t="s">
        <v>2089</v>
      </c>
      <c r="B5772" t="s">
        <v>1233</v>
      </c>
      <c r="E5772" t="str">
        <f>IF(OR(E5771="&lt;/routeDistribution&gt;",E5771=""),"",IFERROR(_xlfn.CONCAT(VLOOKUP(AU37,Route_Column!#REF!,2,FALSE),CHAR(34)," probability=",CHAR(34),1/AU$4,CHAR(34),CHAR(47),CHAR(62)),"&lt;/routeDistribution&gt;"))</f>
        <v/>
      </c>
    </row>
    <row r="5773" spans="1:5" x14ac:dyDescent="0.25">
      <c r="A5773" t="s">
        <v>2089</v>
      </c>
      <c r="B5773" t="s">
        <v>1254</v>
      </c>
      <c r="E5773" t="str">
        <f>IF(OR(E5772="&lt;/routeDistribution&gt;",E5772=""),"",IFERROR(_xlfn.CONCAT(VLOOKUP(AU38,Route_Column!#REF!,2,FALSE),CHAR(34)," probability=",CHAR(34),1/AU$4,CHAR(34),CHAR(47),CHAR(62)),"&lt;/routeDistribution&gt;"))</f>
        <v/>
      </c>
    </row>
    <row r="5774" spans="1:5" x14ac:dyDescent="0.25">
      <c r="A5774" t="s">
        <v>2090</v>
      </c>
      <c r="B5774" t="s">
        <v>1139</v>
      </c>
      <c r="E5774" t="str">
        <f>IF(OR(E5773="&lt;/routeDistribution&gt;",E5773=""),"",IFERROR(_xlfn.CONCAT(VLOOKUP(AU39,Route_Column!#REF!,2,FALSE),CHAR(34)," probability=",CHAR(34),1/AU$4,CHAR(34),CHAR(47),CHAR(62)),"&lt;/routeDistribution&gt;"))</f>
        <v/>
      </c>
    </row>
    <row r="5775" spans="1:5" x14ac:dyDescent="0.25">
      <c r="A5775" t="s">
        <v>2090</v>
      </c>
      <c r="B5775" t="s">
        <v>1140</v>
      </c>
      <c r="E5775" t="str">
        <f>IF(OR(E5774="&lt;/routeDistribution&gt;",E5774=""),"",IFERROR(_xlfn.CONCAT(VLOOKUP(AU40,Route_Column!#REF!,2,FALSE),CHAR(34)," probability=",CHAR(34),1/AU$4,CHAR(34),CHAR(47),CHAR(62)),"&lt;/routeDistribution&gt;"))</f>
        <v/>
      </c>
    </row>
    <row r="5776" spans="1:5" x14ac:dyDescent="0.25">
      <c r="A5776" t="s">
        <v>2090</v>
      </c>
      <c r="B5776" t="s">
        <v>1150</v>
      </c>
      <c r="E5776" t="str">
        <f>IF(OR(E5775="&lt;/routeDistribution&gt;",E5775=""),"",IFERROR(_xlfn.CONCAT(VLOOKUP(AU41,Route_Column!#REF!,2,FALSE),CHAR(34)," probability=",CHAR(34),1/AU$4,CHAR(34),CHAR(47),CHAR(62)),"&lt;/routeDistribution&gt;"))</f>
        <v/>
      </c>
    </row>
    <row r="5777" spans="1:5" x14ac:dyDescent="0.25">
      <c r="A5777" t="s">
        <v>2090</v>
      </c>
      <c r="B5777" t="s">
        <v>1157</v>
      </c>
      <c r="E5777" t="str">
        <f>IF(OR(E5776="&lt;/routeDistribution&gt;",E5776=""),"",IFERROR(_xlfn.CONCAT(VLOOKUP(AU42,Route_Column!#REF!,2,FALSE),CHAR(34)," probability=",CHAR(34),1/AU$4,CHAR(34),CHAR(47),CHAR(62)),"&lt;/routeDistribution&gt;"))</f>
        <v/>
      </c>
    </row>
    <row r="5778" spans="1:5" x14ac:dyDescent="0.25">
      <c r="A5778" t="s">
        <v>2090</v>
      </c>
      <c r="B5778" t="s">
        <v>1178</v>
      </c>
      <c r="E5778" t="str">
        <f>IF(OR(E5777="&lt;/routeDistribution&gt;",E5777=""),"",IFERROR(_xlfn.CONCAT(VLOOKUP(AU43,Route_Column!#REF!,2,FALSE),CHAR(34)," probability=",CHAR(34),1/AU$4,CHAR(34),CHAR(47),CHAR(62)),"&lt;/routeDistribution&gt;"))</f>
        <v/>
      </c>
    </row>
    <row r="5779" spans="1:5" x14ac:dyDescent="0.25">
      <c r="A5779" t="s">
        <v>2090</v>
      </c>
      <c r="B5779" t="s">
        <v>1214</v>
      </c>
      <c r="E5779" t="str">
        <f>IF(OR(E5778="&lt;/routeDistribution&gt;",E5778=""),"",IFERROR(_xlfn.CONCAT(VLOOKUP(AU44,Route_Column!#REF!,2,FALSE),CHAR(34)," probability=",CHAR(34),1/AU$4,CHAR(34),CHAR(47),CHAR(62)),"&lt;/routeDistribution&gt;"))</f>
        <v/>
      </c>
    </row>
    <row r="5780" spans="1:5" x14ac:dyDescent="0.25">
      <c r="A5780" t="s">
        <v>2090</v>
      </c>
      <c r="B5780" t="s">
        <v>1215</v>
      </c>
      <c r="E5780" t="str">
        <f>IF(OR(E5779="&lt;/routeDistribution&gt;",E5779=""),"",IFERROR(_xlfn.CONCAT(VLOOKUP(AU45,Route_Column!#REF!,2,FALSE),CHAR(34)," probability=",CHAR(34),1/AU$4,CHAR(34),CHAR(47),CHAR(62)),"&lt;/routeDistribution&gt;"))</f>
        <v/>
      </c>
    </row>
    <row r="5781" spans="1:5" x14ac:dyDescent="0.25">
      <c r="A5781" t="s">
        <v>2090</v>
      </c>
      <c r="B5781" t="s">
        <v>1226</v>
      </c>
      <c r="E5781" t="str">
        <f>IF(OR(E5780="&lt;/routeDistribution&gt;",E5780=""),"",IFERROR(_xlfn.CONCAT(VLOOKUP(AU46,Route_Column!#REF!,2,FALSE),CHAR(34)," probability=",CHAR(34),1/AU$4,CHAR(34),CHAR(47),CHAR(62)),"&lt;/routeDistribution&gt;"))</f>
        <v/>
      </c>
    </row>
    <row r="5782" spans="1:5" x14ac:dyDescent="0.25">
      <c r="A5782" t="s">
        <v>2090</v>
      </c>
      <c r="B5782" t="s">
        <v>1233</v>
      </c>
      <c r="E5782" t="str">
        <f>IF(OR(E5781="&lt;/routeDistribution&gt;",E5781=""),"",IFERROR(_xlfn.CONCAT(VLOOKUP(AU47,Route_Column!#REF!,2,FALSE),CHAR(34)," probability=",CHAR(34),1/AU$4,CHAR(34),CHAR(47),CHAR(62)),"&lt;/routeDistribution&gt;"))</f>
        <v/>
      </c>
    </row>
    <row r="5783" spans="1:5" x14ac:dyDescent="0.25">
      <c r="A5783" t="s">
        <v>2090</v>
      </c>
      <c r="B5783" t="s">
        <v>1254</v>
      </c>
      <c r="E5783" t="str">
        <f>IF(OR(E5782="&lt;/routeDistribution&gt;",E5782=""),"",IFERROR(_xlfn.CONCAT(VLOOKUP(AU48,Route_Column!#REF!,2,FALSE),CHAR(34)," probability=",CHAR(34),1/AU$4,CHAR(34),CHAR(47),CHAR(62)),"&lt;/routeDistribution&gt;"))</f>
        <v/>
      </c>
    </row>
    <row r="5784" spans="1:5" x14ac:dyDescent="0.25">
      <c r="A5784" t="s">
        <v>2083</v>
      </c>
      <c r="B5784" t="s">
        <v>1139</v>
      </c>
      <c r="E5784" t="str">
        <f>IF(OR(E5783="&lt;/routeDistribution&gt;",E5783=""),"",IFERROR(_xlfn.CONCAT(VLOOKUP(AU49,Route_Column!#REF!,2,FALSE),CHAR(34)," probability=",CHAR(34),1/AU$4,CHAR(34),CHAR(47),CHAR(62)),"&lt;/routeDistribution&gt;"))</f>
        <v/>
      </c>
    </row>
    <row r="5785" spans="1:5" x14ac:dyDescent="0.25">
      <c r="A5785" t="s">
        <v>2083</v>
      </c>
      <c r="B5785" t="s">
        <v>1139</v>
      </c>
      <c r="E5785" t="str">
        <f>IF(OR(E5784="&lt;/routeDistribution&gt;",E5784=""),"",IFERROR(_xlfn.CONCAT(VLOOKUP(AU50,Route_Column!#REF!,2,FALSE),CHAR(34)," probability=",CHAR(34),1/AU$4,CHAR(34),CHAR(47),CHAR(62)),"&lt;/routeDistribution&gt;"))</f>
        <v/>
      </c>
    </row>
    <row r="5786" spans="1:5" x14ac:dyDescent="0.25">
      <c r="A5786" t="s">
        <v>2083</v>
      </c>
      <c r="B5786" t="s">
        <v>1140</v>
      </c>
      <c r="E5786" t="str">
        <f>IF(OR(E5785="&lt;/routeDistribution&gt;",E5785=""),"",IFERROR(_xlfn.CONCAT(VLOOKUP(AU51,Route_Column!#REF!,2,FALSE),CHAR(34)," probability=",CHAR(34),1/AU$4,CHAR(34),CHAR(47),CHAR(62)),"&lt;/routeDistribution&gt;"))</f>
        <v/>
      </c>
    </row>
    <row r="5787" spans="1:5" x14ac:dyDescent="0.25">
      <c r="A5787" t="s">
        <v>2083</v>
      </c>
      <c r="B5787" t="s">
        <v>1140</v>
      </c>
      <c r="E5787" t="str">
        <f>IF(OR(E5786="&lt;/routeDistribution&gt;",E5786=""),"",IFERROR(_xlfn.CONCAT(VLOOKUP(AU52,Route_Column!#REF!,2,FALSE),CHAR(34)," probability=",CHAR(34),1/AU$4,CHAR(34),CHAR(47),CHAR(62)),"&lt;/routeDistribution&gt;"))</f>
        <v/>
      </c>
    </row>
    <row r="5788" spans="1:5" x14ac:dyDescent="0.25">
      <c r="A5788" t="s">
        <v>2083</v>
      </c>
      <c r="B5788" t="s">
        <v>1150</v>
      </c>
      <c r="E5788" t="str">
        <f>IF(OR(E5787="&lt;/routeDistribution&gt;",E5787=""),"",IFERROR(_xlfn.CONCAT(VLOOKUP(AU53,Route_Column!#REF!,2,FALSE),CHAR(34)," probability=",CHAR(34),1/AU$4,CHAR(34),CHAR(47),CHAR(62)),"&lt;/routeDistribution&gt;"))</f>
        <v/>
      </c>
    </row>
    <row r="5789" spans="1:5" x14ac:dyDescent="0.25">
      <c r="A5789" t="s">
        <v>2083</v>
      </c>
      <c r="B5789" t="s">
        <v>1150</v>
      </c>
      <c r="E5789" t="str">
        <f>IF(OR(E5788="&lt;/routeDistribution&gt;",E5788=""),"",IFERROR(_xlfn.CONCAT(VLOOKUP(AU54,Route_Column!#REF!,2,FALSE),CHAR(34)," probability=",CHAR(34),1/AU$4,CHAR(34),CHAR(47),CHAR(62)),"&lt;/routeDistribution&gt;"))</f>
        <v/>
      </c>
    </row>
    <row r="5790" spans="1:5" x14ac:dyDescent="0.25">
      <c r="A5790" t="s">
        <v>2083</v>
      </c>
      <c r="B5790" t="s">
        <v>1157</v>
      </c>
      <c r="E5790" t="str">
        <f>IF(OR(E5789="&lt;/routeDistribution&gt;",E5789=""),"",IFERROR(_xlfn.CONCAT(VLOOKUP(AU55,Route_Column!#REF!,2,FALSE),CHAR(34)," probability=",CHAR(34),1/AU$4,CHAR(34),CHAR(47),CHAR(62)),"&lt;/routeDistribution&gt;"))</f>
        <v/>
      </c>
    </row>
    <row r="5791" spans="1:5" x14ac:dyDescent="0.25">
      <c r="A5791" t="s">
        <v>2083</v>
      </c>
      <c r="B5791" t="s">
        <v>1157</v>
      </c>
      <c r="E5791" t="str">
        <f>IF(OR(E5790="&lt;/routeDistribution&gt;",E5790=""),"",IFERROR(_xlfn.CONCAT(VLOOKUP(AU56,Route_Column!#REF!,2,FALSE),CHAR(34)," probability=",CHAR(34),1/AU$4,CHAR(34),CHAR(47),CHAR(62)),"&lt;/routeDistribution&gt;"))</f>
        <v/>
      </c>
    </row>
    <row r="5792" spans="1:5" x14ac:dyDescent="0.25">
      <c r="A5792" t="s">
        <v>2083</v>
      </c>
      <c r="B5792" t="s">
        <v>1178</v>
      </c>
      <c r="E5792" t="str">
        <f>IF(OR(E5791="&lt;/routeDistribution&gt;",E5791=""),"",IFERROR(_xlfn.CONCAT(VLOOKUP(AU57,Route_Column!#REF!,2,FALSE),CHAR(34)," probability=",CHAR(34),1/AU$4,CHAR(34),CHAR(47),CHAR(62)),"&lt;/routeDistribution&gt;"))</f>
        <v/>
      </c>
    </row>
    <row r="5793" spans="1:5" x14ac:dyDescent="0.25">
      <c r="A5793" t="s">
        <v>2083</v>
      </c>
      <c r="B5793" t="s">
        <v>1214</v>
      </c>
      <c r="E5793" t="str">
        <f>IF(OR(E5792="&lt;/routeDistribution&gt;",E5792=""),"",IFERROR(_xlfn.CONCAT(VLOOKUP(AU58,Route_Column!#REF!,2,FALSE),CHAR(34)," probability=",CHAR(34),1/AU$4,CHAR(34),CHAR(47),CHAR(62)),"&lt;/routeDistribution&gt;"))</f>
        <v/>
      </c>
    </row>
    <row r="5794" spans="1:5" x14ac:dyDescent="0.25">
      <c r="A5794" t="s">
        <v>2083</v>
      </c>
      <c r="B5794" t="s">
        <v>1215</v>
      </c>
      <c r="E5794" t="str">
        <f>IF(OR(E5793="&lt;/routeDistribution&gt;",E5793=""),"",IFERROR(_xlfn.CONCAT(VLOOKUP(AU59,Route_Column!#REF!,2,FALSE),CHAR(34)," probability=",CHAR(34),1/AU$4,CHAR(34),CHAR(47),CHAR(62)),"&lt;/routeDistribution&gt;"))</f>
        <v/>
      </c>
    </row>
    <row r="5795" spans="1:5" x14ac:dyDescent="0.25">
      <c r="A5795" t="s">
        <v>2083</v>
      </c>
      <c r="B5795" t="s">
        <v>1226</v>
      </c>
      <c r="E5795" t="str">
        <f>IF(OR(E5794="&lt;/routeDistribution&gt;",E5794=""),"",IFERROR(_xlfn.CONCAT(VLOOKUP(AU60,Route_Column!#REF!,2,FALSE),CHAR(34)," probability=",CHAR(34),1/AU$4,CHAR(34),CHAR(47),CHAR(62)),"&lt;/routeDistribution&gt;"))</f>
        <v/>
      </c>
    </row>
    <row r="5796" spans="1:5" x14ac:dyDescent="0.25">
      <c r="A5796" t="s">
        <v>2083</v>
      </c>
      <c r="B5796" t="s">
        <v>1226</v>
      </c>
      <c r="E5796" t="str">
        <f>IF(OR(E5795="&lt;/routeDistribution&gt;",E5795=""),"",IFERROR(_xlfn.CONCAT(VLOOKUP(AU61,Route_Column!#REF!,2,FALSE),CHAR(34)," probability=",CHAR(34),1/AU$4,CHAR(34),CHAR(47),CHAR(62)),"&lt;/routeDistribution&gt;"))</f>
        <v/>
      </c>
    </row>
    <row r="5797" spans="1:5" x14ac:dyDescent="0.25">
      <c r="A5797" t="s">
        <v>2083</v>
      </c>
      <c r="B5797" t="s">
        <v>1233</v>
      </c>
      <c r="E5797" t="str">
        <f>IF(OR(E5796="&lt;/routeDistribution&gt;",E5796=""),"",IFERROR(_xlfn.CONCAT(VLOOKUP(AU62,Route_Column!#REF!,2,FALSE),CHAR(34)," probability=",CHAR(34),1/AU$4,CHAR(34),CHAR(47),CHAR(62)),"&lt;/routeDistribution&gt;"))</f>
        <v/>
      </c>
    </row>
    <row r="5798" spans="1:5" x14ac:dyDescent="0.25">
      <c r="A5798" t="s">
        <v>2083</v>
      </c>
      <c r="B5798" t="s">
        <v>1233</v>
      </c>
      <c r="E5798" t="str">
        <f>IF(OR(E5797="&lt;/routeDistribution&gt;",E5797=""),"",IFERROR(_xlfn.CONCAT(VLOOKUP(AU63,Route_Column!#REF!,2,FALSE),CHAR(34)," probability=",CHAR(34),1/AU$4,CHAR(34),CHAR(47),CHAR(62)),"&lt;/routeDistribution&gt;"))</f>
        <v/>
      </c>
    </row>
    <row r="5799" spans="1:5" x14ac:dyDescent="0.25">
      <c r="A5799" t="s">
        <v>2083</v>
      </c>
      <c r="B5799" t="s">
        <v>1254</v>
      </c>
      <c r="E5799" t="s">
        <v>2686</v>
      </c>
    </row>
    <row r="5800" spans="1:5" x14ac:dyDescent="0.25">
      <c r="A5800" t="s">
        <v>2083</v>
      </c>
      <c r="B5800" t="s">
        <v>1254</v>
      </c>
    </row>
    <row r="5801" spans="1:5" x14ac:dyDescent="0.25">
      <c r="A5801" t="s">
        <v>1765</v>
      </c>
      <c r="B5801" t="s">
        <v>1102</v>
      </c>
    </row>
    <row r="5802" spans="1:5" x14ac:dyDescent="0.25">
      <c r="A5802" t="s">
        <v>1765</v>
      </c>
      <c r="B5802" t="s">
        <v>1110</v>
      </c>
      <c r="E5802" t="str">
        <f>_xlfn.CONCAT($E$1,AT$2,$F$1)</f>
        <v>&lt;routeDistribution id="WALNUT-20th-22nd-WB-2013-RouteProbe"&gt;</v>
      </c>
    </row>
    <row r="5803" spans="1:5" x14ac:dyDescent="0.25">
      <c r="A5803" t="s">
        <v>1765</v>
      </c>
      <c r="B5803" t="s">
        <v>1112</v>
      </c>
      <c r="E5803" t="str">
        <f>IF(OR(E5802="&lt;/routeDistribution&gt;",E5802=""),"",IFERROR(_xlfn.CONCAT(VLOOKUP(AT5,Route_Column!#REF!,2,FALSE),CHAR(34)," probability=",CHAR(34),1/AT$4,CHAR(34),CHAR(47),CHAR(62)),"&lt;/routeDistribution&gt;"))</f>
        <v>&lt;/routeDistribution&gt;</v>
      </c>
    </row>
    <row r="5804" spans="1:5" x14ac:dyDescent="0.25">
      <c r="A5804" t="s">
        <v>1765</v>
      </c>
      <c r="B5804" t="s">
        <v>1130</v>
      </c>
      <c r="E5804" t="str">
        <f>IF(OR(E5803="&lt;/routeDistribution&gt;",E5803=""),"",IFERROR(_xlfn.CONCAT(VLOOKUP(AT6,Route_Column!#REF!,2,FALSE),CHAR(34)," probability=",CHAR(34),1/AT$4,CHAR(34),CHAR(47),CHAR(62)),"&lt;/routeDistribution&gt;"))</f>
        <v/>
      </c>
    </row>
    <row r="5805" spans="1:5" x14ac:dyDescent="0.25">
      <c r="A5805" t="s">
        <v>1765</v>
      </c>
      <c r="B5805" t="s">
        <v>1131</v>
      </c>
      <c r="E5805" t="str">
        <f>IF(OR(E5804="&lt;/routeDistribution&gt;",E5804=""),"",IFERROR(_xlfn.CONCAT(VLOOKUP(AT7,Route_Column!#REF!,2,FALSE),CHAR(34)," probability=",CHAR(34),1/AT$4,CHAR(34),CHAR(47),CHAR(62)),"&lt;/routeDistribution&gt;"))</f>
        <v/>
      </c>
    </row>
    <row r="5806" spans="1:5" x14ac:dyDescent="0.25">
      <c r="A5806" t="s">
        <v>1765</v>
      </c>
      <c r="B5806" t="s">
        <v>1134</v>
      </c>
      <c r="E5806" t="str">
        <f>IF(OR(E5805="&lt;/routeDistribution&gt;",E5805=""),"",IFERROR(_xlfn.CONCAT(VLOOKUP(AT8,Route_Column!#REF!,2,FALSE),CHAR(34)," probability=",CHAR(34),1/AT$4,CHAR(34),CHAR(47),CHAR(62)),"&lt;/routeDistribution&gt;"))</f>
        <v/>
      </c>
    </row>
    <row r="5807" spans="1:5" x14ac:dyDescent="0.25">
      <c r="A5807" t="s">
        <v>1765</v>
      </c>
      <c r="B5807" t="s">
        <v>1138</v>
      </c>
      <c r="E5807" t="str">
        <f>IF(OR(E5806="&lt;/routeDistribution&gt;",E5806=""),"",IFERROR(_xlfn.CONCAT(VLOOKUP(AT9,Route_Column!#REF!,2,FALSE),CHAR(34)," probability=",CHAR(34),1/AT$4,CHAR(34),CHAR(47),CHAR(62)),"&lt;/routeDistribution&gt;"))</f>
        <v/>
      </c>
    </row>
    <row r="5808" spans="1:5" x14ac:dyDescent="0.25">
      <c r="A5808" t="s">
        <v>1765</v>
      </c>
      <c r="B5808" t="s">
        <v>1145</v>
      </c>
      <c r="E5808" t="str">
        <f>IF(OR(E5807="&lt;/routeDistribution&gt;",E5807=""),"",IFERROR(_xlfn.CONCAT(VLOOKUP(AT10,Route_Column!#REF!,2,FALSE),CHAR(34)," probability=",CHAR(34),1/AT$4,CHAR(34),CHAR(47),CHAR(62)),"&lt;/routeDistribution&gt;"))</f>
        <v/>
      </c>
    </row>
    <row r="5809" spans="1:5" x14ac:dyDescent="0.25">
      <c r="A5809" t="s">
        <v>1765</v>
      </c>
      <c r="B5809" t="s">
        <v>1154</v>
      </c>
      <c r="E5809" t="str">
        <f>IF(OR(E5808="&lt;/routeDistribution&gt;",E5808=""),"",IFERROR(_xlfn.CONCAT(VLOOKUP(AT11,Route_Column!#REF!,2,FALSE),CHAR(34)," probability=",CHAR(34),1/AT$4,CHAR(34),CHAR(47),CHAR(62)),"&lt;/routeDistribution&gt;"))</f>
        <v/>
      </c>
    </row>
    <row r="5810" spans="1:5" x14ac:dyDescent="0.25">
      <c r="A5810" t="s">
        <v>1765</v>
      </c>
      <c r="B5810" t="s">
        <v>1180</v>
      </c>
      <c r="E5810" t="str">
        <f>IF(OR(E5809="&lt;/routeDistribution&gt;",E5809=""),"",IFERROR(_xlfn.CONCAT(VLOOKUP(AT12,Route_Column!#REF!,2,FALSE),CHAR(34)," probability=",CHAR(34),1/AT$4,CHAR(34),CHAR(47),CHAR(62)),"&lt;/routeDistribution&gt;"))</f>
        <v/>
      </c>
    </row>
    <row r="5811" spans="1:5" x14ac:dyDescent="0.25">
      <c r="A5811" t="s">
        <v>1765</v>
      </c>
      <c r="B5811" t="s">
        <v>1181</v>
      </c>
      <c r="E5811" t="str">
        <f>IF(OR(E5810="&lt;/routeDistribution&gt;",E5810=""),"",IFERROR(_xlfn.CONCAT(VLOOKUP(AT13,Route_Column!#REF!,2,FALSE),CHAR(34)," probability=",CHAR(34),1/AT$4,CHAR(34),CHAR(47),CHAR(62)),"&lt;/routeDistribution&gt;"))</f>
        <v/>
      </c>
    </row>
    <row r="5812" spans="1:5" x14ac:dyDescent="0.25">
      <c r="A5812" t="s">
        <v>1765</v>
      </c>
      <c r="B5812" t="s">
        <v>1201</v>
      </c>
      <c r="E5812" t="str">
        <f>IF(OR(E5811="&lt;/routeDistribution&gt;",E5811=""),"",IFERROR(_xlfn.CONCAT(VLOOKUP(AT14,Route_Column!#REF!,2,FALSE),CHAR(34)," probability=",CHAR(34),1/AT$4,CHAR(34),CHAR(47),CHAR(62)),"&lt;/routeDistribution&gt;"))</f>
        <v/>
      </c>
    </row>
    <row r="5813" spans="1:5" x14ac:dyDescent="0.25">
      <c r="A5813" t="s">
        <v>1765</v>
      </c>
      <c r="B5813" t="s">
        <v>1206</v>
      </c>
      <c r="E5813" t="str">
        <f>IF(OR(E5812="&lt;/routeDistribution&gt;",E5812=""),"",IFERROR(_xlfn.CONCAT(VLOOKUP(AT15,Route_Column!#REF!,2,FALSE),CHAR(34)," probability=",CHAR(34),1/AT$4,CHAR(34),CHAR(47),CHAR(62)),"&lt;/routeDistribution&gt;"))</f>
        <v/>
      </c>
    </row>
    <row r="5814" spans="1:5" x14ac:dyDescent="0.25">
      <c r="A5814" t="s">
        <v>1592</v>
      </c>
      <c r="B5814" t="s">
        <v>1096</v>
      </c>
      <c r="E5814" t="str">
        <f>IF(OR(E5813="&lt;/routeDistribution&gt;",E5813=""),"",IFERROR(_xlfn.CONCAT(VLOOKUP(AT16,Route_Column!#REF!,2,FALSE),CHAR(34)," probability=",CHAR(34),1/AT$4,CHAR(34),CHAR(47),CHAR(62)),"&lt;/routeDistribution&gt;"))</f>
        <v/>
      </c>
    </row>
    <row r="5815" spans="1:5" x14ac:dyDescent="0.25">
      <c r="A5815" t="s">
        <v>1592</v>
      </c>
      <c r="B5815" t="s">
        <v>1161</v>
      </c>
      <c r="E5815" t="str">
        <f>IF(OR(E5814="&lt;/routeDistribution&gt;",E5814=""),"",IFERROR(_xlfn.CONCAT(VLOOKUP(AT17,Route_Column!#REF!,2,FALSE),CHAR(34)," probability=",CHAR(34),1/AT$4,CHAR(34),CHAR(47),CHAR(62)),"&lt;/routeDistribution&gt;"))</f>
        <v/>
      </c>
    </row>
    <row r="5816" spans="1:5" x14ac:dyDescent="0.25">
      <c r="A5816" t="s">
        <v>1592</v>
      </c>
      <c r="B5816" t="s">
        <v>1162</v>
      </c>
      <c r="E5816" t="str">
        <f>IF(OR(E5815="&lt;/routeDistribution&gt;",E5815=""),"",IFERROR(_xlfn.CONCAT(VLOOKUP(AT18,Route_Column!#REF!,2,FALSE),CHAR(34)," probability=",CHAR(34),1/AT$4,CHAR(34),CHAR(47),CHAR(62)),"&lt;/routeDistribution&gt;"))</f>
        <v/>
      </c>
    </row>
    <row r="5817" spans="1:5" x14ac:dyDescent="0.25">
      <c r="A5817" t="s">
        <v>1592</v>
      </c>
      <c r="B5817" t="s">
        <v>1163</v>
      </c>
      <c r="E5817" t="str">
        <f>IF(OR(E5816="&lt;/routeDistribution&gt;",E5816=""),"",IFERROR(_xlfn.CONCAT(VLOOKUP(AT19,Route_Column!#REF!,2,FALSE),CHAR(34)," probability=",CHAR(34),1/AT$4,CHAR(34),CHAR(47),CHAR(62)),"&lt;/routeDistribution&gt;"))</f>
        <v/>
      </c>
    </row>
    <row r="5818" spans="1:5" x14ac:dyDescent="0.25">
      <c r="A5818" t="s">
        <v>1969</v>
      </c>
      <c r="B5818" t="s">
        <v>1116</v>
      </c>
      <c r="E5818" t="str">
        <f>IF(OR(E5817="&lt;/routeDistribution&gt;",E5817=""),"",IFERROR(_xlfn.CONCAT(VLOOKUP(AT20,Route_Column!#REF!,2,FALSE),CHAR(34)," probability=",CHAR(34),1/AT$4,CHAR(34),CHAR(47),CHAR(62)),"&lt;/routeDistribution&gt;"))</f>
        <v/>
      </c>
    </row>
    <row r="5819" spans="1:5" x14ac:dyDescent="0.25">
      <c r="A5819" t="s">
        <v>1969</v>
      </c>
      <c r="B5819" t="s">
        <v>1117</v>
      </c>
      <c r="E5819" t="str">
        <f>IF(OR(E5818="&lt;/routeDistribution&gt;",E5818=""),"",IFERROR(_xlfn.CONCAT(VLOOKUP(AT21,Route_Column!#REF!,2,FALSE),CHAR(34)," probability=",CHAR(34),1/AT$4,CHAR(34),CHAR(47),CHAR(62)),"&lt;/routeDistribution&gt;"))</f>
        <v/>
      </c>
    </row>
    <row r="5820" spans="1:5" x14ac:dyDescent="0.25">
      <c r="A5820" t="s">
        <v>1969</v>
      </c>
      <c r="B5820" t="s">
        <v>1118</v>
      </c>
      <c r="E5820" t="str">
        <f>IF(OR(E5819="&lt;/routeDistribution&gt;",E5819=""),"",IFERROR(_xlfn.CONCAT(VLOOKUP(AT22,Route_Column!#REF!,2,FALSE),CHAR(34)," probability=",CHAR(34),1/AT$4,CHAR(34),CHAR(47),CHAR(62)),"&lt;/routeDistribution&gt;"))</f>
        <v/>
      </c>
    </row>
    <row r="5821" spans="1:5" x14ac:dyDescent="0.25">
      <c r="A5821" t="s">
        <v>1969</v>
      </c>
      <c r="B5821" t="s">
        <v>1119</v>
      </c>
      <c r="E5821" t="str">
        <f>IF(OR(E5820="&lt;/routeDistribution&gt;",E5820=""),"",IFERROR(_xlfn.CONCAT(VLOOKUP(AT23,Route_Column!#REF!,2,FALSE),CHAR(34)," probability=",CHAR(34),1/AT$4,CHAR(34),CHAR(47),CHAR(62)),"&lt;/routeDistribution&gt;"))</f>
        <v/>
      </c>
    </row>
    <row r="5822" spans="1:5" x14ac:dyDescent="0.25">
      <c r="A5822" t="s">
        <v>1969</v>
      </c>
      <c r="B5822" t="s">
        <v>1120</v>
      </c>
      <c r="E5822" t="str">
        <f>IF(OR(E5821="&lt;/routeDistribution&gt;",E5821=""),"",IFERROR(_xlfn.CONCAT(VLOOKUP(AT24,Route_Column!#REF!,2,FALSE),CHAR(34)," probability=",CHAR(34),1/AT$4,CHAR(34),CHAR(47),CHAR(62)),"&lt;/routeDistribution&gt;"))</f>
        <v/>
      </c>
    </row>
    <row r="5823" spans="1:5" x14ac:dyDescent="0.25">
      <c r="A5823" t="s">
        <v>1969</v>
      </c>
      <c r="B5823" t="s">
        <v>1121</v>
      </c>
      <c r="E5823" t="str">
        <f>IF(OR(E5822="&lt;/routeDistribution&gt;",E5822=""),"",IFERROR(_xlfn.CONCAT(VLOOKUP(AT25,Route_Column!#REF!,2,FALSE),CHAR(34)," probability=",CHAR(34),1/AT$4,CHAR(34),CHAR(47),CHAR(62)),"&lt;/routeDistribution&gt;"))</f>
        <v/>
      </c>
    </row>
    <row r="5824" spans="1:5" x14ac:dyDescent="0.25">
      <c r="A5824" t="s">
        <v>1969</v>
      </c>
      <c r="B5824" t="s">
        <v>1122</v>
      </c>
      <c r="E5824" t="str">
        <f>IF(OR(E5823="&lt;/routeDistribution&gt;",E5823=""),"",IFERROR(_xlfn.CONCAT(VLOOKUP(AT26,Route_Column!#REF!,2,FALSE),CHAR(34)," probability=",CHAR(34),1/AT$4,CHAR(34),CHAR(47),CHAR(62)),"&lt;/routeDistribution&gt;"))</f>
        <v/>
      </c>
    </row>
    <row r="5825" spans="1:5" x14ac:dyDescent="0.25">
      <c r="A5825" t="s">
        <v>1969</v>
      </c>
      <c r="B5825" t="s">
        <v>1123</v>
      </c>
      <c r="E5825" t="str">
        <f>IF(OR(E5824="&lt;/routeDistribution&gt;",E5824=""),"",IFERROR(_xlfn.CONCAT(VLOOKUP(AT27,Route_Column!#REF!,2,FALSE),CHAR(34)," probability=",CHAR(34),1/AT$4,CHAR(34),CHAR(47),CHAR(62)),"&lt;/routeDistribution&gt;"))</f>
        <v/>
      </c>
    </row>
    <row r="5826" spans="1:5" x14ac:dyDescent="0.25">
      <c r="A5826" t="s">
        <v>1969</v>
      </c>
      <c r="B5826" t="s">
        <v>1124</v>
      </c>
      <c r="E5826" t="str">
        <f>IF(OR(E5825="&lt;/routeDistribution&gt;",E5825=""),"",IFERROR(_xlfn.CONCAT(VLOOKUP(AT28,Route_Column!#REF!,2,FALSE),CHAR(34)," probability=",CHAR(34),1/AT$4,CHAR(34),CHAR(47),CHAR(62)),"&lt;/routeDistribution&gt;"))</f>
        <v/>
      </c>
    </row>
    <row r="5827" spans="1:5" x14ac:dyDescent="0.25">
      <c r="A5827" t="s">
        <v>1969</v>
      </c>
      <c r="B5827" t="s">
        <v>1126</v>
      </c>
      <c r="E5827" t="str">
        <f>IF(OR(E5826="&lt;/routeDistribution&gt;",E5826=""),"",IFERROR(_xlfn.CONCAT(VLOOKUP(AT29,Route_Column!#REF!,2,FALSE),CHAR(34)," probability=",CHAR(34),1/AT$4,CHAR(34),CHAR(47),CHAR(62)),"&lt;/routeDistribution&gt;"))</f>
        <v/>
      </c>
    </row>
    <row r="5828" spans="1:5" x14ac:dyDescent="0.25">
      <c r="A5828" t="s">
        <v>2131</v>
      </c>
      <c r="B5828" t="s">
        <v>1140</v>
      </c>
      <c r="E5828" t="str">
        <f>IF(OR(E5827="&lt;/routeDistribution&gt;",E5827=""),"",IFERROR(_xlfn.CONCAT(VLOOKUP(AT30,Route_Column!#REF!,2,FALSE),CHAR(34)," probability=",CHAR(34),1/AT$4,CHAR(34),CHAR(47),CHAR(62)),"&lt;/routeDistribution&gt;"))</f>
        <v/>
      </c>
    </row>
    <row r="5829" spans="1:5" x14ac:dyDescent="0.25">
      <c r="A5829" t="s">
        <v>2131</v>
      </c>
      <c r="B5829" t="s">
        <v>1141</v>
      </c>
      <c r="E5829" t="str">
        <f>IF(OR(E5828="&lt;/routeDistribution&gt;",E5828=""),"",IFERROR(_xlfn.CONCAT(VLOOKUP(AT31,Route_Column!#REF!,2,FALSE),CHAR(34)," probability=",CHAR(34),1/AT$4,CHAR(34),CHAR(47),CHAR(62)),"&lt;/routeDistribution&gt;"))</f>
        <v/>
      </c>
    </row>
    <row r="5830" spans="1:5" x14ac:dyDescent="0.25">
      <c r="A5830" t="s">
        <v>2131</v>
      </c>
      <c r="B5830" t="s">
        <v>1142</v>
      </c>
      <c r="E5830" t="str">
        <f>IF(OR(E5829="&lt;/routeDistribution&gt;",E5829=""),"",IFERROR(_xlfn.CONCAT(VLOOKUP(AT32,Route_Column!#REF!,2,FALSE),CHAR(34)," probability=",CHAR(34),1/AT$4,CHAR(34),CHAR(47),CHAR(62)),"&lt;/routeDistribution&gt;"))</f>
        <v/>
      </c>
    </row>
    <row r="5831" spans="1:5" x14ac:dyDescent="0.25">
      <c r="A5831" t="s">
        <v>2131</v>
      </c>
      <c r="B5831" t="s">
        <v>1150</v>
      </c>
      <c r="E5831" t="str">
        <f>IF(OR(E5830="&lt;/routeDistribution&gt;",E5830=""),"",IFERROR(_xlfn.CONCAT(VLOOKUP(AT33,Route_Column!#REF!,2,FALSE),CHAR(34)," probability=",CHAR(34),1/AT$4,CHAR(34),CHAR(47),CHAR(62)),"&lt;/routeDistribution&gt;"))</f>
        <v/>
      </c>
    </row>
    <row r="5832" spans="1:5" x14ac:dyDescent="0.25">
      <c r="A5832" t="s">
        <v>2131</v>
      </c>
      <c r="B5832" t="s">
        <v>1151</v>
      </c>
      <c r="E5832" t="str">
        <f>IF(OR(E5831="&lt;/routeDistribution&gt;",E5831=""),"",IFERROR(_xlfn.CONCAT(VLOOKUP(AT34,Route_Column!#REF!,2,FALSE),CHAR(34)," probability=",CHAR(34),1/AT$4,CHAR(34),CHAR(47),CHAR(62)),"&lt;/routeDistribution&gt;"))</f>
        <v/>
      </c>
    </row>
    <row r="5833" spans="1:5" x14ac:dyDescent="0.25">
      <c r="A5833" t="s">
        <v>2131</v>
      </c>
      <c r="B5833" t="s">
        <v>1179</v>
      </c>
      <c r="E5833" t="str">
        <f>IF(OR(E5832="&lt;/routeDistribution&gt;",E5832=""),"",IFERROR(_xlfn.CONCAT(VLOOKUP(AT35,Route_Column!#REF!,2,FALSE),CHAR(34)," probability=",CHAR(34),1/AT$4,CHAR(34),CHAR(47),CHAR(62)),"&lt;/routeDistribution&gt;"))</f>
        <v/>
      </c>
    </row>
    <row r="5834" spans="1:5" x14ac:dyDescent="0.25">
      <c r="A5834" t="s">
        <v>2131</v>
      </c>
      <c r="B5834" t="s">
        <v>1183</v>
      </c>
      <c r="E5834" t="str">
        <f>IF(OR(E5833="&lt;/routeDistribution&gt;",E5833=""),"",IFERROR(_xlfn.CONCAT(VLOOKUP(AT36,Route_Column!#REF!,2,FALSE),CHAR(34)," probability=",CHAR(34),1/AT$4,CHAR(34),CHAR(47),CHAR(62)),"&lt;/routeDistribution&gt;"))</f>
        <v/>
      </c>
    </row>
    <row r="5835" spans="1:5" x14ac:dyDescent="0.25">
      <c r="A5835" t="s">
        <v>2131</v>
      </c>
      <c r="B5835" t="s">
        <v>1184</v>
      </c>
      <c r="E5835" t="str">
        <f>IF(OR(E5834="&lt;/routeDistribution&gt;",E5834=""),"",IFERROR(_xlfn.CONCAT(VLOOKUP(AT37,Route_Column!#REF!,2,FALSE),CHAR(34)," probability=",CHAR(34),1/AT$4,CHAR(34),CHAR(47),CHAR(62)),"&lt;/routeDistribution&gt;"))</f>
        <v/>
      </c>
    </row>
    <row r="5836" spans="1:5" x14ac:dyDescent="0.25">
      <c r="A5836" t="s">
        <v>2131</v>
      </c>
      <c r="B5836" t="s">
        <v>1205</v>
      </c>
      <c r="E5836" t="str">
        <f>IF(OR(E5835="&lt;/routeDistribution&gt;",E5835=""),"",IFERROR(_xlfn.CONCAT(VLOOKUP(AT38,Route_Column!#REF!,2,FALSE),CHAR(34)," probability=",CHAR(34),1/AT$4,CHAR(34),CHAR(47),CHAR(62)),"&lt;/routeDistribution&gt;"))</f>
        <v/>
      </c>
    </row>
    <row r="5837" spans="1:5" x14ac:dyDescent="0.25">
      <c r="A5837" t="s">
        <v>2131</v>
      </c>
      <c r="B5837" t="s">
        <v>1206</v>
      </c>
      <c r="E5837" t="str">
        <f>IF(OR(E5836="&lt;/routeDistribution&gt;",E5836=""),"",IFERROR(_xlfn.CONCAT(VLOOKUP(AT39,Route_Column!#REF!,2,FALSE),CHAR(34)," probability=",CHAR(34),1/AT$4,CHAR(34),CHAR(47),CHAR(62)),"&lt;/routeDistribution&gt;"))</f>
        <v/>
      </c>
    </row>
    <row r="5838" spans="1:5" x14ac:dyDescent="0.25">
      <c r="A5838" t="s">
        <v>2131</v>
      </c>
      <c r="B5838" t="s">
        <v>1207</v>
      </c>
      <c r="E5838" t="str">
        <f>IF(OR(E5837="&lt;/routeDistribution&gt;",E5837=""),"",IFERROR(_xlfn.CONCAT(VLOOKUP(AT40,Route_Column!#REF!,2,FALSE),CHAR(34)," probability=",CHAR(34),1/AT$4,CHAR(34),CHAR(47),CHAR(62)),"&lt;/routeDistribution&gt;"))</f>
        <v/>
      </c>
    </row>
    <row r="5839" spans="1:5" x14ac:dyDescent="0.25">
      <c r="A5839" t="s">
        <v>2131</v>
      </c>
      <c r="B5839" t="s">
        <v>1208</v>
      </c>
      <c r="E5839" t="str">
        <f>IF(OR(E5838="&lt;/routeDistribution&gt;",E5838=""),"",IFERROR(_xlfn.CONCAT(VLOOKUP(AT41,Route_Column!#REF!,2,FALSE),CHAR(34)," probability=",CHAR(34),1/AT$4,CHAR(34),CHAR(47),CHAR(62)),"&lt;/routeDistribution&gt;"))</f>
        <v/>
      </c>
    </row>
    <row r="5840" spans="1:5" x14ac:dyDescent="0.25">
      <c r="A5840" t="s">
        <v>2131</v>
      </c>
      <c r="B5840" t="s">
        <v>1224</v>
      </c>
      <c r="E5840" t="str">
        <f>IF(OR(E5839="&lt;/routeDistribution&gt;",E5839=""),"",IFERROR(_xlfn.CONCAT(VLOOKUP(AT42,Route_Column!#REF!,2,FALSE),CHAR(34)," probability=",CHAR(34),1/AT$4,CHAR(34),CHAR(47),CHAR(62)),"&lt;/routeDistribution&gt;"))</f>
        <v/>
      </c>
    </row>
    <row r="5841" spans="1:5" x14ac:dyDescent="0.25">
      <c r="A5841" t="s">
        <v>2131</v>
      </c>
      <c r="B5841" t="s">
        <v>1225</v>
      </c>
      <c r="E5841" t="str">
        <f>IF(OR(E5840="&lt;/routeDistribution&gt;",E5840=""),"",IFERROR(_xlfn.CONCAT(VLOOKUP(AT43,Route_Column!#REF!,2,FALSE),CHAR(34)," probability=",CHAR(34),1/AT$4,CHAR(34),CHAR(47),CHAR(62)),"&lt;/routeDistribution&gt;"))</f>
        <v/>
      </c>
    </row>
    <row r="5842" spans="1:5" x14ac:dyDescent="0.25">
      <c r="A5842" t="s">
        <v>2131</v>
      </c>
      <c r="B5842" t="s">
        <v>1232</v>
      </c>
      <c r="E5842" t="str">
        <f>IF(OR(E5841="&lt;/routeDistribution&gt;",E5841=""),"",IFERROR(_xlfn.CONCAT(VLOOKUP(AT44,Route_Column!#REF!,2,FALSE),CHAR(34)," probability=",CHAR(34),1/AT$4,CHAR(34),CHAR(47),CHAR(62)),"&lt;/routeDistribution&gt;"))</f>
        <v/>
      </c>
    </row>
    <row r="5843" spans="1:5" x14ac:dyDescent="0.25">
      <c r="A5843" t="s">
        <v>2131</v>
      </c>
      <c r="B5843" t="s">
        <v>1233</v>
      </c>
      <c r="E5843" t="str">
        <f>IF(OR(E5842="&lt;/routeDistribution&gt;",E5842=""),"",IFERROR(_xlfn.CONCAT(VLOOKUP(AT45,Route_Column!#REF!,2,FALSE),CHAR(34)," probability=",CHAR(34),1/AT$4,CHAR(34),CHAR(47),CHAR(62)),"&lt;/routeDistribution&gt;"))</f>
        <v/>
      </c>
    </row>
    <row r="5844" spans="1:5" x14ac:dyDescent="0.25">
      <c r="A5844" t="s">
        <v>2131</v>
      </c>
      <c r="B5844" t="s">
        <v>1234</v>
      </c>
      <c r="E5844" t="str">
        <f>IF(OR(E5843="&lt;/routeDistribution&gt;",E5843=""),"",IFERROR(_xlfn.CONCAT(VLOOKUP(AT46,Route_Column!#REF!,2,FALSE),CHAR(34)," probability=",CHAR(34),1/AT$4,CHAR(34),CHAR(47),CHAR(62)),"&lt;/routeDistribution&gt;"))</f>
        <v/>
      </c>
    </row>
    <row r="5845" spans="1:5" x14ac:dyDescent="0.25">
      <c r="A5845" t="s">
        <v>2053</v>
      </c>
      <c r="B5845" t="s">
        <v>1138</v>
      </c>
      <c r="E5845" t="str">
        <f>IF(OR(E5844="&lt;/routeDistribution&gt;",E5844=""),"",IFERROR(_xlfn.CONCAT(VLOOKUP(AT47,Route_Column!#REF!,2,FALSE),CHAR(34)," probability=",CHAR(34),1/AT$4,CHAR(34),CHAR(47),CHAR(62)),"&lt;/routeDistribution&gt;"))</f>
        <v/>
      </c>
    </row>
    <row r="5846" spans="1:5" x14ac:dyDescent="0.25">
      <c r="A5846" t="s">
        <v>2053</v>
      </c>
      <c r="B5846" t="s">
        <v>1154</v>
      </c>
      <c r="E5846" t="str">
        <f>IF(OR(E5845="&lt;/routeDistribution&gt;",E5845=""),"",IFERROR(_xlfn.CONCAT(VLOOKUP(AT48,Route_Column!#REF!,2,FALSE),CHAR(34)," probability=",CHAR(34),1/AT$4,CHAR(34),CHAR(47),CHAR(62)),"&lt;/routeDistribution&gt;"))</f>
        <v/>
      </c>
    </row>
    <row r="5847" spans="1:5" x14ac:dyDescent="0.25">
      <c r="A5847" t="s">
        <v>2053</v>
      </c>
      <c r="B5847" t="s">
        <v>1155</v>
      </c>
      <c r="E5847" t="str">
        <f>IF(OR(E5846="&lt;/routeDistribution&gt;",E5846=""),"",IFERROR(_xlfn.CONCAT(VLOOKUP(AT49,Route_Column!#REF!,2,FALSE),CHAR(34)," probability=",CHAR(34),1/AT$4,CHAR(34),CHAR(47),CHAR(62)),"&lt;/routeDistribution&gt;"))</f>
        <v/>
      </c>
    </row>
    <row r="5848" spans="1:5" x14ac:dyDescent="0.25">
      <c r="A5848" t="s">
        <v>2053</v>
      </c>
      <c r="B5848" t="s">
        <v>1156</v>
      </c>
      <c r="E5848" t="str">
        <f>IF(OR(E5847="&lt;/routeDistribution&gt;",E5847=""),"",IFERROR(_xlfn.CONCAT(VLOOKUP(AT50,Route_Column!#REF!,2,FALSE),CHAR(34)," probability=",CHAR(34),1/AT$4,CHAR(34),CHAR(47),CHAR(62)),"&lt;/routeDistribution&gt;"))</f>
        <v/>
      </c>
    </row>
    <row r="5849" spans="1:5" x14ac:dyDescent="0.25">
      <c r="A5849" t="s">
        <v>1558</v>
      </c>
      <c r="B5849" t="s">
        <v>1092</v>
      </c>
      <c r="E5849" t="str">
        <f>IF(OR(E5848="&lt;/routeDistribution&gt;",E5848=""),"",IFERROR(_xlfn.CONCAT(VLOOKUP(AT51,Route_Column!#REF!,2,FALSE),CHAR(34)," probability=",CHAR(34),1/AT$4,CHAR(34),CHAR(47),CHAR(62)),"&lt;/routeDistribution&gt;"))</f>
        <v/>
      </c>
    </row>
    <row r="5850" spans="1:5" x14ac:dyDescent="0.25">
      <c r="A5850" t="s">
        <v>1558</v>
      </c>
      <c r="B5850" t="s">
        <v>1173</v>
      </c>
      <c r="E5850" t="str">
        <f>IF(OR(E5849="&lt;/routeDistribution&gt;",E5849=""),"",IFERROR(_xlfn.CONCAT(VLOOKUP(AT52,Route_Column!#REF!,2,FALSE),CHAR(34)," probability=",CHAR(34),1/AT$4,CHAR(34),CHAR(47),CHAR(62)),"&lt;/routeDistribution&gt;"))</f>
        <v/>
      </c>
    </row>
    <row r="5851" spans="1:5" x14ac:dyDescent="0.25">
      <c r="A5851" t="s">
        <v>1558</v>
      </c>
      <c r="B5851" t="s">
        <v>1183</v>
      </c>
      <c r="E5851" t="str">
        <f>IF(OR(E5850="&lt;/routeDistribution&gt;",E5850=""),"",IFERROR(_xlfn.CONCAT(VLOOKUP(AT53,Route_Column!#REF!,2,FALSE),CHAR(34)," probability=",CHAR(34),1/AT$4,CHAR(34),CHAR(47),CHAR(62)),"&lt;/routeDistribution&gt;"))</f>
        <v/>
      </c>
    </row>
    <row r="5852" spans="1:5" x14ac:dyDescent="0.25">
      <c r="A5852" t="s">
        <v>1558</v>
      </c>
      <c r="B5852" t="s">
        <v>1194</v>
      </c>
      <c r="E5852" t="str">
        <f>IF(OR(E5851="&lt;/routeDistribution&gt;",E5851=""),"",IFERROR(_xlfn.CONCAT(VLOOKUP(AT54,Route_Column!#REF!,2,FALSE),CHAR(34)," probability=",CHAR(34),1/AT$4,CHAR(34),CHAR(47),CHAR(62)),"&lt;/routeDistribution&gt;"))</f>
        <v/>
      </c>
    </row>
    <row r="5853" spans="1:5" x14ac:dyDescent="0.25">
      <c r="A5853" t="s">
        <v>1558</v>
      </c>
      <c r="B5853" t="s">
        <v>1198</v>
      </c>
      <c r="E5853" t="str">
        <f>IF(OR(E5852="&lt;/routeDistribution&gt;",E5852=""),"",IFERROR(_xlfn.CONCAT(VLOOKUP(AT55,Route_Column!#REF!,2,FALSE),CHAR(34)," probability=",CHAR(34),1/AT$4,CHAR(34),CHAR(47),CHAR(62)),"&lt;/routeDistribution&gt;"))</f>
        <v/>
      </c>
    </row>
    <row r="5854" spans="1:5" x14ac:dyDescent="0.25">
      <c r="A5854" t="s">
        <v>1558</v>
      </c>
      <c r="B5854" t="s">
        <v>1205</v>
      </c>
      <c r="E5854" t="str">
        <f>IF(OR(E5853="&lt;/routeDistribution&gt;",E5853=""),"",IFERROR(_xlfn.CONCAT(VLOOKUP(AT56,Route_Column!#REF!,2,FALSE),CHAR(34)," probability=",CHAR(34),1/AT$4,CHAR(34),CHAR(47),CHAR(62)),"&lt;/routeDistribution&gt;"))</f>
        <v/>
      </c>
    </row>
    <row r="5855" spans="1:5" x14ac:dyDescent="0.25">
      <c r="A5855" t="s">
        <v>1558</v>
      </c>
      <c r="B5855" t="s">
        <v>1224</v>
      </c>
      <c r="E5855" t="str">
        <f>IF(OR(E5854="&lt;/routeDistribution&gt;",E5854=""),"",IFERROR(_xlfn.CONCAT(VLOOKUP(AT57,Route_Column!#REF!,2,FALSE),CHAR(34)," probability=",CHAR(34),1/AT$4,CHAR(34),CHAR(47),CHAR(62)),"&lt;/routeDistribution&gt;"))</f>
        <v/>
      </c>
    </row>
    <row r="5856" spans="1:5" x14ac:dyDescent="0.25">
      <c r="A5856" t="s">
        <v>1558</v>
      </c>
      <c r="B5856" t="s">
        <v>1232</v>
      </c>
      <c r="E5856" t="str">
        <f>IF(OR(E5855="&lt;/routeDistribution&gt;",E5855=""),"",IFERROR(_xlfn.CONCAT(VLOOKUP(AT58,Route_Column!#REF!,2,FALSE),CHAR(34)," probability=",CHAR(34),1/AT$4,CHAR(34),CHAR(47),CHAR(62)),"&lt;/routeDistribution&gt;"))</f>
        <v/>
      </c>
    </row>
    <row r="5857" spans="1:5" x14ac:dyDescent="0.25">
      <c r="A5857" t="s">
        <v>1752</v>
      </c>
      <c r="B5857" t="s">
        <v>1102</v>
      </c>
      <c r="E5857" t="str">
        <f>IF(OR(E5856="&lt;/routeDistribution&gt;",E5856=""),"",IFERROR(_xlfn.CONCAT(VLOOKUP(AT59,Route_Column!#REF!,2,FALSE),CHAR(34)," probability=",CHAR(34),1/AT$4,CHAR(34),CHAR(47),CHAR(62)),"&lt;/routeDistribution&gt;"))</f>
        <v/>
      </c>
    </row>
    <row r="5858" spans="1:5" x14ac:dyDescent="0.25">
      <c r="A5858" t="s">
        <v>1752</v>
      </c>
      <c r="B5858" t="s">
        <v>1110</v>
      </c>
      <c r="E5858" t="str">
        <f>IF(OR(E5857="&lt;/routeDistribution&gt;",E5857=""),"",IFERROR(_xlfn.CONCAT(VLOOKUP(AT60,Route_Column!#REF!,2,FALSE),CHAR(34)," probability=",CHAR(34),1/AT$4,CHAR(34),CHAR(47),CHAR(62)),"&lt;/routeDistribution&gt;"))</f>
        <v/>
      </c>
    </row>
    <row r="5859" spans="1:5" x14ac:dyDescent="0.25">
      <c r="A5859" t="s">
        <v>1752</v>
      </c>
      <c r="B5859" t="s">
        <v>1112</v>
      </c>
      <c r="E5859" t="str">
        <f>IF(OR(E5858="&lt;/routeDistribution&gt;",E5858=""),"",IFERROR(_xlfn.CONCAT(VLOOKUP(AT61,Route_Column!#REF!,2,FALSE),CHAR(34)," probability=",CHAR(34),1/AT$4,CHAR(34),CHAR(47),CHAR(62)),"&lt;/routeDistribution&gt;"))</f>
        <v/>
      </c>
    </row>
    <row r="5860" spans="1:5" x14ac:dyDescent="0.25">
      <c r="A5860" t="s">
        <v>1752</v>
      </c>
      <c r="B5860" t="s">
        <v>1130</v>
      </c>
      <c r="E5860" t="str">
        <f>IF(OR(E5859="&lt;/routeDistribution&gt;",E5859=""),"",IFERROR(_xlfn.CONCAT(VLOOKUP(AT62,Route_Column!#REF!,2,FALSE),CHAR(34)," probability=",CHAR(34),1/AT$4,CHAR(34),CHAR(47),CHAR(62)),"&lt;/routeDistribution&gt;"))</f>
        <v/>
      </c>
    </row>
    <row r="5861" spans="1:5" x14ac:dyDescent="0.25">
      <c r="A5861" t="s">
        <v>1752</v>
      </c>
      <c r="B5861" t="s">
        <v>1131</v>
      </c>
      <c r="E5861" t="str">
        <f>IF(OR(E5860="&lt;/routeDistribution&gt;",E5860=""),"",IFERROR(_xlfn.CONCAT(VLOOKUP(AT63,Route_Column!#REF!,2,FALSE),CHAR(34)," probability=",CHAR(34),1/AT$4,CHAR(34),CHAR(47),CHAR(62)),"&lt;/routeDistribution&gt;"))</f>
        <v/>
      </c>
    </row>
    <row r="5862" spans="1:5" x14ac:dyDescent="0.25">
      <c r="A5862" t="s">
        <v>1752</v>
      </c>
      <c r="B5862" t="s">
        <v>1132</v>
      </c>
      <c r="E5862" t="s">
        <v>2686</v>
      </c>
    </row>
    <row r="5863" spans="1:5" x14ac:dyDescent="0.25">
      <c r="A5863" t="s">
        <v>1752</v>
      </c>
      <c r="B5863" t="s">
        <v>1134</v>
      </c>
    </row>
    <row r="5864" spans="1:5" x14ac:dyDescent="0.25">
      <c r="A5864" t="s">
        <v>1752</v>
      </c>
      <c r="B5864" t="s">
        <v>1137</v>
      </c>
    </row>
    <row r="5865" spans="1:5" x14ac:dyDescent="0.25">
      <c r="A5865" t="s">
        <v>1752</v>
      </c>
      <c r="B5865" t="s">
        <v>1138</v>
      </c>
      <c r="E5865" t="str">
        <f>_xlfn.CONCAT($E$1,AS$2,$F$1)</f>
        <v>&lt;routeDistribution id="WALNUT-76-to-33rd-WB-2013-RouteProbe"&gt;</v>
      </c>
    </row>
    <row r="5866" spans="1:5" x14ac:dyDescent="0.25">
      <c r="A5866" t="s">
        <v>1752</v>
      </c>
      <c r="B5866" t="s">
        <v>1145</v>
      </c>
      <c r="E5866" t="str">
        <f>IF(OR(E5865="&lt;/routeDistribution&gt;",E5865=""),"",IFERROR(_xlfn.CONCAT(VLOOKUP(AS5,Route_Column!#REF!,2,FALSE),CHAR(34)," probability=",CHAR(34),1/AS$4,CHAR(34),CHAR(47),CHAR(62)),"&lt;/routeDistribution&gt;"))</f>
        <v>&lt;/routeDistribution&gt;</v>
      </c>
    </row>
    <row r="5867" spans="1:5" x14ac:dyDescent="0.25">
      <c r="A5867" t="s">
        <v>1752</v>
      </c>
      <c r="B5867" t="s">
        <v>1154</v>
      </c>
      <c r="E5867" t="str">
        <f>IF(OR(E5866="&lt;/routeDistribution&gt;",E5866=""),"",IFERROR(_xlfn.CONCAT(VLOOKUP(AS6,Route_Column!#REF!,2,FALSE),CHAR(34)," probability=",CHAR(34),1/AS$4,CHAR(34),CHAR(47),CHAR(62)),"&lt;/routeDistribution&gt;"))</f>
        <v/>
      </c>
    </row>
    <row r="5868" spans="1:5" x14ac:dyDescent="0.25">
      <c r="A5868" t="s">
        <v>1752</v>
      </c>
      <c r="B5868" t="s">
        <v>1171</v>
      </c>
      <c r="E5868" t="str">
        <f>IF(OR(E5867="&lt;/routeDistribution&gt;",E5867=""),"",IFERROR(_xlfn.CONCAT(VLOOKUP(AS7,Route_Column!#REF!,2,FALSE),CHAR(34)," probability=",CHAR(34),1/AS$4,CHAR(34),CHAR(47),CHAR(62)),"&lt;/routeDistribution&gt;"))</f>
        <v/>
      </c>
    </row>
    <row r="5869" spans="1:5" x14ac:dyDescent="0.25">
      <c r="A5869" t="s">
        <v>1752</v>
      </c>
      <c r="B5869" t="s">
        <v>1180</v>
      </c>
      <c r="E5869" t="str">
        <f>IF(OR(E5868="&lt;/routeDistribution&gt;",E5868=""),"",IFERROR(_xlfn.CONCAT(VLOOKUP(AS8,Route_Column!#REF!,2,FALSE),CHAR(34)," probability=",CHAR(34),1/AS$4,CHAR(34),CHAR(47),CHAR(62)),"&lt;/routeDistribution&gt;"))</f>
        <v/>
      </c>
    </row>
    <row r="5870" spans="1:5" x14ac:dyDescent="0.25">
      <c r="A5870" t="s">
        <v>1752</v>
      </c>
      <c r="B5870" t="s">
        <v>1181</v>
      </c>
      <c r="E5870" t="str">
        <f>IF(OR(E5869="&lt;/routeDistribution&gt;",E5869=""),"",IFERROR(_xlfn.CONCAT(VLOOKUP(AS9,Route_Column!#REF!,2,FALSE),CHAR(34)," probability=",CHAR(34),1/AS$4,CHAR(34),CHAR(47),CHAR(62)),"&lt;/routeDistribution&gt;"))</f>
        <v/>
      </c>
    </row>
    <row r="5871" spans="1:5" x14ac:dyDescent="0.25">
      <c r="A5871" t="s">
        <v>1752</v>
      </c>
      <c r="B5871" t="s">
        <v>1182</v>
      </c>
      <c r="E5871" t="str">
        <f>IF(OR(E5870="&lt;/routeDistribution&gt;",E5870=""),"",IFERROR(_xlfn.CONCAT(VLOOKUP(AS10,Route_Column!#REF!,2,FALSE),CHAR(34)," probability=",CHAR(34),1/AS$4,CHAR(34),CHAR(47),CHAR(62)),"&lt;/routeDistribution&gt;"))</f>
        <v/>
      </c>
    </row>
    <row r="5872" spans="1:5" x14ac:dyDescent="0.25">
      <c r="A5872" t="s">
        <v>1752</v>
      </c>
      <c r="B5872" t="s">
        <v>1183</v>
      </c>
      <c r="E5872" t="str">
        <f>IF(OR(E5871="&lt;/routeDistribution&gt;",E5871=""),"",IFERROR(_xlfn.CONCAT(VLOOKUP(AS11,Route_Column!#REF!,2,FALSE),CHAR(34)," probability=",CHAR(34),1/AS$4,CHAR(34),CHAR(47),CHAR(62)),"&lt;/routeDistribution&gt;"))</f>
        <v/>
      </c>
    </row>
    <row r="5873" spans="1:5" x14ac:dyDescent="0.25">
      <c r="A5873" t="s">
        <v>1752</v>
      </c>
      <c r="B5873" t="s">
        <v>1184</v>
      </c>
      <c r="E5873" t="str">
        <f>IF(OR(E5872="&lt;/routeDistribution&gt;",E5872=""),"",IFERROR(_xlfn.CONCAT(VLOOKUP(AS12,Route_Column!#REF!,2,FALSE),CHAR(34)," probability=",CHAR(34),1/AS$4,CHAR(34),CHAR(47),CHAR(62)),"&lt;/routeDistribution&gt;"))</f>
        <v/>
      </c>
    </row>
    <row r="5874" spans="1:5" x14ac:dyDescent="0.25">
      <c r="A5874" t="s">
        <v>1752</v>
      </c>
      <c r="B5874" t="s">
        <v>1185</v>
      </c>
      <c r="E5874" t="str">
        <f>IF(OR(E5873="&lt;/routeDistribution&gt;",E5873=""),"",IFERROR(_xlfn.CONCAT(VLOOKUP(AS13,Route_Column!#REF!,2,FALSE),CHAR(34)," probability=",CHAR(34),1/AS$4,CHAR(34),CHAR(47),CHAR(62)),"&lt;/routeDistribution&gt;"))</f>
        <v/>
      </c>
    </row>
    <row r="5875" spans="1:5" x14ac:dyDescent="0.25">
      <c r="A5875" t="s">
        <v>1752</v>
      </c>
      <c r="B5875" t="s">
        <v>1197</v>
      </c>
      <c r="E5875" t="str">
        <f>IF(OR(E5874="&lt;/routeDistribution&gt;",E5874=""),"",IFERROR(_xlfn.CONCAT(VLOOKUP(AS14,Route_Column!#REF!,2,FALSE),CHAR(34)," probability=",CHAR(34),1/AS$4,CHAR(34),CHAR(47),CHAR(62)),"&lt;/routeDistribution&gt;"))</f>
        <v/>
      </c>
    </row>
    <row r="5876" spans="1:5" x14ac:dyDescent="0.25">
      <c r="A5876" t="s">
        <v>1752</v>
      </c>
      <c r="B5876" t="s">
        <v>1201</v>
      </c>
      <c r="E5876" t="str">
        <f>IF(OR(E5875="&lt;/routeDistribution&gt;",E5875=""),"",IFERROR(_xlfn.CONCAT(VLOOKUP(AS15,Route_Column!#REF!,2,FALSE),CHAR(34)," probability=",CHAR(34),1/AS$4,CHAR(34),CHAR(47),CHAR(62)),"&lt;/routeDistribution&gt;"))</f>
        <v/>
      </c>
    </row>
    <row r="5877" spans="1:5" x14ac:dyDescent="0.25">
      <c r="A5877" t="s">
        <v>1752</v>
      </c>
      <c r="B5877" t="s">
        <v>1206</v>
      </c>
      <c r="E5877" t="str">
        <f>IF(OR(E5876="&lt;/routeDistribution&gt;",E5876=""),"",IFERROR(_xlfn.CONCAT(VLOOKUP(AS16,Route_Column!#REF!,2,FALSE),CHAR(34)," probability=",CHAR(34),1/AS$4,CHAR(34),CHAR(47),CHAR(62)),"&lt;/routeDistribution&gt;"))</f>
        <v/>
      </c>
    </row>
    <row r="5878" spans="1:5" x14ac:dyDescent="0.25">
      <c r="A5878" t="s">
        <v>1752</v>
      </c>
      <c r="B5878" t="s">
        <v>1225</v>
      </c>
      <c r="E5878" t="str">
        <f>IF(OR(E5877="&lt;/routeDistribution&gt;",E5877=""),"",IFERROR(_xlfn.CONCAT(VLOOKUP(AS17,Route_Column!#REF!,2,FALSE),CHAR(34)," probability=",CHAR(34),1/AS$4,CHAR(34),CHAR(47),CHAR(62)),"&lt;/routeDistribution&gt;"))</f>
        <v/>
      </c>
    </row>
    <row r="5879" spans="1:5" x14ac:dyDescent="0.25">
      <c r="A5879" t="s">
        <v>2062</v>
      </c>
      <c r="B5879" t="s">
        <v>1138</v>
      </c>
      <c r="E5879" t="str">
        <f>IF(OR(E5878="&lt;/routeDistribution&gt;",E5878=""),"",IFERROR(_xlfn.CONCAT(VLOOKUP(AS18,Route_Column!#REF!,2,FALSE),CHAR(34)," probability=",CHAR(34),1/AS$4,CHAR(34),CHAR(47),CHAR(62)),"&lt;/routeDistribution&gt;"))</f>
        <v/>
      </c>
    </row>
    <row r="5880" spans="1:5" x14ac:dyDescent="0.25">
      <c r="A5880" t="s">
        <v>2062</v>
      </c>
      <c r="B5880" t="s">
        <v>1154</v>
      </c>
      <c r="E5880" t="str">
        <f>IF(OR(E5879="&lt;/routeDistribution&gt;",E5879=""),"",IFERROR(_xlfn.CONCAT(VLOOKUP(AS19,Route_Column!#REF!,2,FALSE),CHAR(34)," probability=",CHAR(34),1/AS$4,CHAR(34),CHAR(47),CHAR(62)),"&lt;/routeDistribution&gt;"))</f>
        <v/>
      </c>
    </row>
    <row r="5881" spans="1:5" x14ac:dyDescent="0.25">
      <c r="A5881" t="s">
        <v>2062</v>
      </c>
      <c r="B5881" t="s">
        <v>1180</v>
      </c>
      <c r="E5881" t="str">
        <f>IF(OR(E5880="&lt;/routeDistribution&gt;",E5880=""),"",IFERROR(_xlfn.CONCAT(VLOOKUP(AS20,Route_Column!#REF!,2,FALSE),CHAR(34)," probability=",CHAR(34),1/AS$4,CHAR(34),CHAR(47),CHAR(62)),"&lt;/routeDistribution&gt;"))</f>
        <v/>
      </c>
    </row>
    <row r="5882" spans="1:5" x14ac:dyDescent="0.25">
      <c r="A5882" t="s">
        <v>2062</v>
      </c>
      <c r="B5882" t="s">
        <v>1181</v>
      </c>
      <c r="E5882" t="str">
        <f>IF(OR(E5881="&lt;/routeDistribution&gt;",E5881=""),"",IFERROR(_xlfn.CONCAT(VLOOKUP(AS21,Route_Column!#REF!,2,FALSE),CHAR(34)," probability=",CHAR(34),1/AS$4,CHAR(34),CHAR(47),CHAR(62)),"&lt;/routeDistribution&gt;"))</f>
        <v/>
      </c>
    </row>
    <row r="5883" spans="1:5" x14ac:dyDescent="0.25">
      <c r="A5883" t="s">
        <v>2062</v>
      </c>
      <c r="B5883" t="s">
        <v>1182</v>
      </c>
      <c r="E5883" t="str">
        <f>IF(OR(E5882="&lt;/routeDistribution&gt;",E5882=""),"",IFERROR(_xlfn.CONCAT(VLOOKUP(AS22,Route_Column!#REF!,2,FALSE),CHAR(34)," probability=",CHAR(34),1/AS$4,CHAR(34),CHAR(47),CHAR(62)),"&lt;/routeDistribution&gt;"))</f>
        <v/>
      </c>
    </row>
    <row r="5884" spans="1:5" x14ac:dyDescent="0.25">
      <c r="A5884" t="s">
        <v>2062</v>
      </c>
      <c r="B5884" t="s">
        <v>1183</v>
      </c>
      <c r="E5884" t="str">
        <f>IF(OR(E5883="&lt;/routeDistribution&gt;",E5883=""),"",IFERROR(_xlfn.CONCAT(VLOOKUP(AS23,Route_Column!#REF!,2,FALSE),CHAR(34)," probability=",CHAR(34),1/AS$4,CHAR(34),CHAR(47),CHAR(62)),"&lt;/routeDistribution&gt;"))</f>
        <v/>
      </c>
    </row>
    <row r="5885" spans="1:5" x14ac:dyDescent="0.25">
      <c r="A5885" t="s">
        <v>2062</v>
      </c>
      <c r="B5885" t="s">
        <v>1184</v>
      </c>
      <c r="E5885" t="str">
        <f>IF(OR(E5884="&lt;/routeDistribution&gt;",E5884=""),"",IFERROR(_xlfn.CONCAT(VLOOKUP(AS24,Route_Column!#REF!,2,FALSE),CHAR(34)," probability=",CHAR(34),1/AS$4,CHAR(34),CHAR(47),CHAR(62)),"&lt;/routeDistribution&gt;"))</f>
        <v/>
      </c>
    </row>
    <row r="5886" spans="1:5" x14ac:dyDescent="0.25">
      <c r="A5886" t="s">
        <v>2062</v>
      </c>
      <c r="B5886" t="s">
        <v>1185</v>
      </c>
      <c r="E5886" t="str">
        <f>IF(OR(E5885="&lt;/routeDistribution&gt;",E5885=""),"",IFERROR(_xlfn.CONCAT(VLOOKUP(AS25,Route_Column!#REF!,2,FALSE),CHAR(34)," probability=",CHAR(34),1/AS$4,CHAR(34),CHAR(47),CHAR(62)),"&lt;/routeDistribution&gt;"))</f>
        <v/>
      </c>
    </row>
    <row r="5887" spans="1:5" x14ac:dyDescent="0.25">
      <c r="A5887" t="s">
        <v>2062</v>
      </c>
      <c r="B5887" t="s">
        <v>1192</v>
      </c>
      <c r="E5887" t="str">
        <f>IF(OR(E5886="&lt;/routeDistribution&gt;",E5886=""),"",IFERROR(_xlfn.CONCAT(VLOOKUP(AS26,Route_Column!#REF!,2,FALSE),CHAR(34)," probability=",CHAR(34),1/AS$4,CHAR(34),CHAR(47),CHAR(62)),"&lt;/routeDistribution&gt;"))</f>
        <v/>
      </c>
    </row>
    <row r="5888" spans="1:5" x14ac:dyDescent="0.25">
      <c r="A5888" t="s">
        <v>2062</v>
      </c>
      <c r="B5888" t="s">
        <v>1193</v>
      </c>
      <c r="E5888" t="str">
        <f>IF(OR(E5887="&lt;/routeDistribution&gt;",E5887=""),"",IFERROR(_xlfn.CONCAT(VLOOKUP(AS27,Route_Column!#REF!,2,FALSE),CHAR(34)," probability=",CHAR(34),1/AS$4,CHAR(34),CHAR(47),CHAR(62)),"&lt;/routeDistribution&gt;"))</f>
        <v/>
      </c>
    </row>
    <row r="5889" spans="1:5" x14ac:dyDescent="0.25">
      <c r="A5889" t="s">
        <v>2063</v>
      </c>
      <c r="B5889" t="s">
        <v>1138</v>
      </c>
      <c r="E5889" t="str">
        <f>IF(OR(E5888="&lt;/routeDistribution&gt;",E5888=""),"",IFERROR(_xlfn.CONCAT(VLOOKUP(AS28,Route_Column!#REF!,2,FALSE),CHAR(34)," probability=",CHAR(34),1/AS$4,CHAR(34),CHAR(47),CHAR(62)),"&lt;/routeDistribution&gt;"))</f>
        <v/>
      </c>
    </row>
    <row r="5890" spans="1:5" x14ac:dyDescent="0.25">
      <c r="A5890" t="s">
        <v>2063</v>
      </c>
      <c r="B5890" t="s">
        <v>1154</v>
      </c>
      <c r="E5890" t="str">
        <f>IF(OR(E5889="&lt;/routeDistribution&gt;",E5889=""),"",IFERROR(_xlfn.CONCAT(VLOOKUP(AS29,Route_Column!#REF!,2,FALSE),CHAR(34)," probability=",CHAR(34),1/AS$4,CHAR(34),CHAR(47),CHAR(62)),"&lt;/routeDistribution&gt;"))</f>
        <v/>
      </c>
    </row>
    <row r="5891" spans="1:5" x14ac:dyDescent="0.25">
      <c r="A5891" t="s">
        <v>2063</v>
      </c>
      <c r="B5891" t="s">
        <v>1180</v>
      </c>
      <c r="E5891" t="str">
        <f>IF(OR(E5890="&lt;/routeDistribution&gt;",E5890=""),"",IFERROR(_xlfn.CONCAT(VLOOKUP(AS30,Route_Column!#REF!,2,FALSE),CHAR(34)," probability=",CHAR(34),1/AS$4,CHAR(34),CHAR(47),CHAR(62)),"&lt;/routeDistribution&gt;"))</f>
        <v/>
      </c>
    </row>
    <row r="5892" spans="1:5" x14ac:dyDescent="0.25">
      <c r="A5892" t="s">
        <v>2063</v>
      </c>
      <c r="B5892" t="s">
        <v>1181</v>
      </c>
      <c r="E5892" t="str">
        <f>IF(OR(E5891="&lt;/routeDistribution&gt;",E5891=""),"",IFERROR(_xlfn.CONCAT(VLOOKUP(AS31,Route_Column!#REF!,2,FALSE),CHAR(34)," probability=",CHAR(34),1/AS$4,CHAR(34),CHAR(47),CHAR(62)),"&lt;/routeDistribution&gt;"))</f>
        <v/>
      </c>
    </row>
    <row r="5893" spans="1:5" x14ac:dyDescent="0.25">
      <c r="A5893" t="s">
        <v>2063</v>
      </c>
      <c r="B5893" t="s">
        <v>1182</v>
      </c>
      <c r="E5893" t="str">
        <f>IF(OR(E5892="&lt;/routeDistribution&gt;",E5892=""),"",IFERROR(_xlfn.CONCAT(VLOOKUP(AS32,Route_Column!#REF!,2,FALSE),CHAR(34)," probability=",CHAR(34),1/AS$4,CHAR(34),CHAR(47),CHAR(62)),"&lt;/routeDistribution&gt;"))</f>
        <v/>
      </c>
    </row>
    <row r="5894" spans="1:5" x14ac:dyDescent="0.25">
      <c r="A5894" t="s">
        <v>2063</v>
      </c>
      <c r="B5894" t="s">
        <v>1183</v>
      </c>
      <c r="E5894" t="str">
        <f>IF(OR(E5893="&lt;/routeDistribution&gt;",E5893=""),"",IFERROR(_xlfn.CONCAT(VLOOKUP(AS33,Route_Column!#REF!,2,FALSE),CHAR(34)," probability=",CHAR(34),1/AS$4,CHAR(34),CHAR(47),CHAR(62)),"&lt;/routeDistribution&gt;"))</f>
        <v/>
      </c>
    </row>
    <row r="5895" spans="1:5" x14ac:dyDescent="0.25">
      <c r="A5895" t="s">
        <v>2063</v>
      </c>
      <c r="B5895" t="s">
        <v>1184</v>
      </c>
      <c r="E5895" t="str">
        <f>IF(OR(E5894="&lt;/routeDistribution&gt;",E5894=""),"",IFERROR(_xlfn.CONCAT(VLOOKUP(AS34,Route_Column!#REF!,2,FALSE),CHAR(34)," probability=",CHAR(34),1/AS$4,CHAR(34),CHAR(47),CHAR(62)),"&lt;/routeDistribution&gt;"))</f>
        <v/>
      </c>
    </row>
    <row r="5896" spans="1:5" x14ac:dyDescent="0.25">
      <c r="A5896" t="s">
        <v>2063</v>
      </c>
      <c r="B5896" t="s">
        <v>1185</v>
      </c>
      <c r="E5896" t="str">
        <f>IF(OR(E5895="&lt;/routeDistribution&gt;",E5895=""),"",IFERROR(_xlfn.CONCAT(VLOOKUP(AS35,Route_Column!#REF!,2,FALSE),CHAR(34)," probability=",CHAR(34),1/AS$4,CHAR(34),CHAR(47),CHAR(62)),"&lt;/routeDistribution&gt;"))</f>
        <v/>
      </c>
    </row>
    <row r="5897" spans="1:5" x14ac:dyDescent="0.25">
      <c r="A5897" t="s">
        <v>2063</v>
      </c>
      <c r="B5897" t="s">
        <v>1192</v>
      </c>
      <c r="E5897" t="str">
        <f>IF(OR(E5896="&lt;/routeDistribution&gt;",E5896=""),"",IFERROR(_xlfn.CONCAT(VLOOKUP(AS36,Route_Column!#REF!,2,FALSE),CHAR(34)," probability=",CHAR(34),1/AS$4,CHAR(34),CHAR(47),CHAR(62)),"&lt;/routeDistribution&gt;"))</f>
        <v/>
      </c>
    </row>
    <row r="5898" spans="1:5" x14ac:dyDescent="0.25">
      <c r="A5898" t="s">
        <v>2063</v>
      </c>
      <c r="B5898" t="s">
        <v>1193</v>
      </c>
      <c r="E5898" t="str">
        <f>IF(OR(E5897="&lt;/routeDistribution&gt;",E5897=""),"",IFERROR(_xlfn.CONCAT(VLOOKUP(AS37,Route_Column!#REF!,2,FALSE),CHAR(34)," probability=",CHAR(34),1/AS$4,CHAR(34),CHAR(47),CHAR(62)),"&lt;/routeDistribution&gt;"))</f>
        <v/>
      </c>
    </row>
    <row r="5899" spans="1:5" x14ac:dyDescent="0.25">
      <c r="A5899" t="s">
        <v>1880</v>
      </c>
      <c r="B5899" t="s">
        <v>1112</v>
      </c>
      <c r="E5899" t="str">
        <f>IF(OR(E5898="&lt;/routeDistribution&gt;",E5898=""),"",IFERROR(_xlfn.CONCAT(VLOOKUP(AS38,Route_Column!#REF!,2,FALSE),CHAR(34)," probability=",CHAR(34),1/AS$4,CHAR(34),CHAR(47),CHAR(62)),"&lt;/routeDistribution&gt;"))</f>
        <v/>
      </c>
    </row>
    <row r="5900" spans="1:5" x14ac:dyDescent="0.25">
      <c r="A5900" t="s">
        <v>1880</v>
      </c>
      <c r="B5900" t="s">
        <v>1113</v>
      </c>
      <c r="E5900" t="str">
        <f>IF(OR(E5899="&lt;/routeDistribution&gt;",E5899=""),"",IFERROR(_xlfn.CONCAT(VLOOKUP(AS39,Route_Column!#REF!,2,FALSE),CHAR(34)," probability=",CHAR(34),1/AS$4,CHAR(34),CHAR(47),CHAR(62)),"&lt;/routeDistribution&gt;"))</f>
        <v/>
      </c>
    </row>
    <row r="5901" spans="1:5" x14ac:dyDescent="0.25">
      <c r="A5901" t="s">
        <v>1880</v>
      </c>
      <c r="B5901" t="s">
        <v>1114</v>
      </c>
      <c r="E5901" t="str">
        <f>IF(OR(E5900="&lt;/routeDistribution&gt;",E5900=""),"",IFERROR(_xlfn.CONCAT(VLOOKUP(AS40,Route_Column!#REF!,2,FALSE),CHAR(34)," probability=",CHAR(34),1/AS$4,CHAR(34),CHAR(47),CHAR(62)),"&lt;/routeDistribution&gt;"))</f>
        <v/>
      </c>
    </row>
    <row r="5902" spans="1:5" x14ac:dyDescent="0.25">
      <c r="A5902" t="s">
        <v>1880</v>
      </c>
      <c r="B5902" t="s">
        <v>1114</v>
      </c>
      <c r="E5902" t="str">
        <f>IF(OR(E5901="&lt;/routeDistribution&gt;",E5901=""),"",IFERROR(_xlfn.CONCAT(VLOOKUP(AS41,Route_Column!#REF!,2,FALSE),CHAR(34)," probability=",CHAR(34),1/AS$4,CHAR(34),CHAR(47),CHAR(62)),"&lt;/routeDistribution&gt;"))</f>
        <v/>
      </c>
    </row>
    <row r="5903" spans="1:5" x14ac:dyDescent="0.25">
      <c r="A5903" t="s">
        <v>1880</v>
      </c>
      <c r="B5903" t="s">
        <v>1115</v>
      </c>
      <c r="E5903" t="str">
        <f>IF(OR(E5902="&lt;/routeDistribution&gt;",E5902=""),"",IFERROR(_xlfn.CONCAT(VLOOKUP(AS42,Route_Column!#REF!,2,FALSE),CHAR(34)," probability=",CHAR(34),1/AS$4,CHAR(34),CHAR(47),CHAR(62)),"&lt;/routeDistribution&gt;"))</f>
        <v/>
      </c>
    </row>
    <row r="5904" spans="1:5" x14ac:dyDescent="0.25">
      <c r="A5904" t="s">
        <v>1880</v>
      </c>
      <c r="B5904" t="s">
        <v>1166</v>
      </c>
      <c r="E5904" t="str">
        <f>IF(OR(E5903="&lt;/routeDistribution&gt;",E5903=""),"",IFERROR(_xlfn.CONCAT(VLOOKUP(AS43,Route_Column!#REF!,2,FALSE),CHAR(34)," probability=",CHAR(34),1/AS$4,CHAR(34),CHAR(47),CHAR(62)),"&lt;/routeDistribution&gt;"))</f>
        <v/>
      </c>
    </row>
    <row r="5905" spans="1:5" x14ac:dyDescent="0.25">
      <c r="A5905" t="s">
        <v>1880</v>
      </c>
      <c r="B5905" t="s">
        <v>1167</v>
      </c>
      <c r="E5905" t="str">
        <f>IF(OR(E5904="&lt;/routeDistribution&gt;",E5904=""),"",IFERROR(_xlfn.CONCAT(VLOOKUP(AS44,Route_Column!#REF!,2,FALSE),CHAR(34)," probability=",CHAR(34),1/AS$4,CHAR(34),CHAR(47),CHAR(62)),"&lt;/routeDistribution&gt;"))</f>
        <v/>
      </c>
    </row>
    <row r="5906" spans="1:5" x14ac:dyDescent="0.25">
      <c r="A5906" t="s">
        <v>1880</v>
      </c>
      <c r="B5906" t="s">
        <v>1168</v>
      </c>
      <c r="E5906" t="str">
        <f>IF(OR(E5905="&lt;/routeDistribution&gt;",E5905=""),"",IFERROR(_xlfn.CONCAT(VLOOKUP(AS45,Route_Column!#REF!,2,FALSE),CHAR(34)," probability=",CHAR(34),1/AS$4,CHAR(34),CHAR(47),CHAR(62)),"&lt;/routeDistribution&gt;"))</f>
        <v/>
      </c>
    </row>
    <row r="5907" spans="1:5" x14ac:dyDescent="0.25">
      <c r="A5907" t="s">
        <v>1880</v>
      </c>
      <c r="B5907" t="s">
        <v>1186</v>
      </c>
      <c r="E5907" t="str">
        <f>IF(OR(E5906="&lt;/routeDistribution&gt;",E5906=""),"",IFERROR(_xlfn.CONCAT(VLOOKUP(AS46,Route_Column!#REF!,2,FALSE),CHAR(34)," probability=",CHAR(34),1/AS$4,CHAR(34),CHAR(47),CHAR(62)),"&lt;/routeDistribution&gt;"))</f>
        <v/>
      </c>
    </row>
    <row r="5908" spans="1:5" x14ac:dyDescent="0.25">
      <c r="A5908" t="s">
        <v>1880</v>
      </c>
      <c r="B5908" t="s">
        <v>1187</v>
      </c>
      <c r="E5908" t="str">
        <f>IF(OR(E5907="&lt;/routeDistribution&gt;",E5907=""),"",IFERROR(_xlfn.CONCAT(VLOOKUP(AS47,Route_Column!#REF!,2,FALSE),CHAR(34)," probability=",CHAR(34),1/AS$4,CHAR(34),CHAR(47),CHAR(62)),"&lt;/routeDistribution&gt;"))</f>
        <v/>
      </c>
    </row>
    <row r="5909" spans="1:5" x14ac:dyDescent="0.25">
      <c r="A5909" t="s">
        <v>1880</v>
      </c>
      <c r="B5909" t="s">
        <v>1188</v>
      </c>
      <c r="E5909" t="str">
        <f>IF(OR(E5908="&lt;/routeDistribution&gt;",E5908=""),"",IFERROR(_xlfn.CONCAT(VLOOKUP(AS48,Route_Column!#REF!,2,FALSE),CHAR(34)," probability=",CHAR(34),1/AS$4,CHAR(34),CHAR(47),CHAR(62)),"&lt;/routeDistribution&gt;"))</f>
        <v/>
      </c>
    </row>
    <row r="5910" spans="1:5" x14ac:dyDescent="0.25">
      <c r="A5910" t="s">
        <v>1880</v>
      </c>
      <c r="B5910" t="s">
        <v>1189</v>
      </c>
      <c r="E5910" t="str">
        <f>IF(OR(E5909="&lt;/routeDistribution&gt;",E5909=""),"",IFERROR(_xlfn.CONCAT(VLOOKUP(AS49,Route_Column!#REF!,2,FALSE),CHAR(34)," probability=",CHAR(34),1/AS$4,CHAR(34),CHAR(47),CHAR(62)),"&lt;/routeDistribution&gt;"))</f>
        <v/>
      </c>
    </row>
    <row r="5911" spans="1:5" x14ac:dyDescent="0.25">
      <c r="A5911" t="s">
        <v>1880</v>
      </c>
      <c r="B5911" t="s">
        <v>1195</v>
      </c>
      <c r="E5911" t="str">
        <f>IF(OR(E5910="&lt;/routeDistribution&gt;",E5910=""),"",IFERROR(_xlfn.CONCAT(VLOOKUP(AS50,Route_Column!#REF!,2,FALSE),CHAR(34)," probability=",CHAR(34),1/AS$4,CHAR(34),CHAR(47),CHAR(62)),"&lt;/routeDistribution&gt;"))</f>
        <v/>
      </c>
    </row>
    <row r="5912" spans="1:5" x14ac:dyDescent="0.25">
      <c r="A5912" t="s">
        <v>1880</v>
      </c>
      <c r="B5912" t="s">
        <v>1196</v>
      </c>
      <c r="E5912" t="str">
        <f>IF(OR(E5911="&lt;/routeDistribution&gt;",E5911=""),"",IFERROR(_xlfn.CONCAT(VLOOKUP(AS51,Route_Column!#REF!,2,FALSE),CHAR(34)," probability=",CHAR(34),1/AS$4,CHAR(34),CHAR(47),CHAR(62)),"&lt;/routeDistribution&gt;"))</f>
        <v/>
      </c>
    </row>
    <row r="5913" spans="1:5" x14ac:dyDescent="0.25">
      <c r="A5913" t="s">
        <v>1881</v>
      </c>
      <c r="B5913" t="s">
        <v>1112</v>
      </c>
      <c r="E5913" t="str">
        <f>IF(OR(E5912="&lt;/routeDistribution&gt;",E5912=""),"",IFERROR(_xlfn.CONCAT(VLOOKUP(AS52,Route_Column!#REF!,2,FALSE),CHAR(34)," probability=",CHAR(34),1/AS$4,CHAR(34),CHAR(47),CHAR(62)),"&lt;/routeDistribution&gt;"))</f>
        <v/>
      </c>
    </row>
    <row r="5914" spans="1:5" x14ac:dyDescent="0.25">
      <c r="A5914" t="s">
        <v>1881</v>
      </c>
      <c r="B5914" t="s">
        <v>1113</v>
      </c>
      <c r="E5914" t="str">
        <f>IF(OR(E5913="&lt;/routeDistribution&gt;",E5913=""),"",IFERROR(_xlfn.CONCAT(VLOOKUP(AS53,Route_Column!#REF!,2,FALSE),CHAR(34)," probability=",CHAR(34),1/AS$4,CHAR(34),CHAR(47),CHAR(62)),"&lt;/routeDistribution&gt;"))</f>
        <v/>
      </c>
    </row>
    <row r="5915" spans="1:5" x14ac:dyDescent="0.25">
      <c r="A5915" t="s">
        <v>1881</v>
      </c>
      <c r="B5915" t="s">
        <v>1114</v>
      </c>
      <c r="E5915" t="str">
        <f>IF(OR(E5914="&lt;/routeDistribution&gt;",E5914=""),"",IFERROR(_xlfn.CONCAT(VLOOKUP(AS54,Route_Column!#REF!,2,FALSE),CHAR(34)," probability=",CHAR(34),1/AS$4,CHAR(34),CHAR(47),CHAR(62)),"&lt;/routeDistribution&gt;"))</f>
        <v/>
      </c>
    </row>
    <row r="5916" spans="1:5" x14ac:dyDescent="0.25">
      <c r="A5916" t="s">
        <v>1881</v>
      </c>
      <c r="B5916" t="s">
        <v>1114</v>
      </c>
      <c r="E5916" t="str">
        <f>IF(OR(E5915="&lt;/routeDistribution&gt;",E5915=""),"",IFERROR(_xlfn.CONCAT(VLOOKUP(AS55,Route_Column!#REF!,2,FALSE),CHAR(34)," probability=",CHAR(34),1/AS$4,CHAR(34),CHAR(47),CHAR(62)),"&lt;/routeDistribution&gt;"))</f>
        <v/>
      </c>
    </row>
    <row r="5917" spans="1:5" x14ac:dyDescent="0.25">
      <c r="A5917" t="s">
        <v>1881</v>
      </c>
      <c r="B5917" t="s">
        <v>1115</v>
      </c>
      <c r="E5917" t="str">
        <f>IF(OR(E5916="&lt;/routeDistribution&gt;",E5916=""),"",IFERROR(_xlfn.CONCAT(VLOOKUP(AS56,Route_Column!#REF!,2,FALSE),CHAR(34)," probability=",CHAR(34),1/AS$4,CHAR(34),CHAR(47),CHAR(62)),"&lt;/routeDistribution&gt;"))</f>
        <v/>
      </c>
    </row>
    <row r="5918" spans="1:5" x14ac:dyDescent="0.25">
      <c r="A5918" t="s">
        <v>1881</v>
      </c>
      <c r="B5918" t="s">
        <v>1166</v>
      </c>
      <c r="E5918" t="str">
        <f>IF(OR(E5917="&lt;/routeDistribution&gt;",E5917=""),"",IFERROR(_xlfn.CONCAT(VLOOKUP(AS57,Route_Column!#REF!,2,FALSE),CHAR(34)," probability=",CHAR(34),1/AS$4,CHAR(34),CHAR(47),CHAR(62)),"&lt;/routeDistribution&gt;"))</f>
        <v/>
      </c>
    </row>
    <row r="5919" spans="1:5" x14ac:dyDescent="0.25">
      <c r="A5919" t="s">
        <v>1881</v>
      </c>
      <c r="B5919" t="s">
        <v>1167</v>
      </c>
      <c r="E5919" t="str">
        <f>IF(OR(E5918="&lt;/routeDistribution&gt;",E5918=""),"",IFERROR(_xlfn.CONCAT(VLOOKUP(AS58,Route_Column!#REF!,2,FALSE),CHAR(34)," probability=",CHAR(34),1/AS$4,CHAR(34),CHAR(47),CHAR(62)),"&lt;/routeDistribution&gt;"))</f>
        <v/>
      </c>
    </row>
    <row r="5920" spans="1:5" x14ac:dyDescent="0.25">
      <c r="A5920" t="s">
        <v>1881</v>
      </c>
      <c r="B5920" t="s">
        <v>1168</v>
      </c>
      <c r="E5920" t="str">
        <f>IF(OR(E5919="&lt;/routeDistribution&gt;",E5919=""),"",IFERROR(_xlfn.CONCAT(VLOOKUP(AS59,Route_Column!#REF!,2,FALSE),CHAR(34)," probability=",CHAR(34),1/AS$4,CHAR(34),CHAR(47),CHAR(62)),"&lt;/routeDistribution&gt;"))</f>
        <v/>
      </c>
    </row>
    <row r="5921" spans="1:5" x14ac:dyDescent="0.25">
      <c r="A5921" t="s">
        <v>1881</v>
      </c>
      <c r="B5921" t="s">
        <v>1186</v>
      </c>
      <c r="E5921" t="str">
        <f>IF(OR(E5920="&lt;/routeDistribution&gt;",E5920=""),"",IFERROR(_xlfn.CONCAT(VLOOKUP(AS60,Route_Column!#REF!,2,FALSE),CHAR(34)," probability=",CHAR(34),1/AS$4,CHAR(34),CHAR(47),CHAR(62)),"&lt;/routeDistribution&gt;"))</f>
        <v/>
      </c>
    </row>
    <row r="5922" spans="1:5" x14ac:dyDescent="0.25">
      <c r="A5922" t="s">
        <v>1881</v>
      </c>
      <c r="B5922" t="s">
        <v>1187</v>
      </c>
      <c r="E5922" t="str">
        <f>IF(OR(E5921="&lt;/routeDistribution&gt;",E5921=""),"",IFERROR(_xlfn.CONCAT(VLOOKUP(AS61,Route_Column!#REF!,2,FALSE),CHAR(34)," probability=",CHAR(34),1/AS$4,CHAR(34),CHAR(47),CHAR(62)),"&lt;/routeDistribution&gt;"))</f>
        <v/>
      </c>
    </row>
    <row r="5923" spans="1:5" x14ac:dyDescent="0.25">
      <c r="A5923" t="s">
        <v>1881</v>
      </c>
      <c r="B5923" t="s">
        <v>1188</v>
      </c>
      <c r="E5923" t="str">
        <f>IF(OR(E5922="&lt;/routeDistribution&gt;",E5922=""),"",IFERROR(_xlfn.CONCAT(VLOOKUP(AS62,Route_Column!#REF!,2,FALSE),CHAR(34)," probability=",CHAR(34),1/AS$4,CHAR(34),CHAR(47),CHAR(62)),"&lt;/routeDistribution&gt;"))</f>
        <v/>
      </c>
    </row>
    <row r="5924" spans="1:5" x14ac:dyDescent="0.25">
      <c r="A5924" t="s">
        <v>1881</v>
      </c>
      <c r="B5924" t="s">
        <v>1189</v>
      </c>
      <c r="E5924" t="str">
        <f>IF(OR(E5923="&lt;/routeDistribution&gt;",E5923=""),"",IFERROR(_xlfn.CONCAT(VLOOKUP(AS63,Route_Column!#REF!,2,FALSE),CHAR(34)," probability=",CHAR(34),1/AS$4,CHAR(34),CHAR(47),CHAR(62)),"&lt;/routeDistribution&gt;"))</f>
        <v/>
      </c>
    </row>
    <row r="5925" spans="1:5" x14ac:dyDescent="0.25">
      <c r="A5925" t="s">
        <v>1881</v>
      </c>
      <c r="B5925" t="s">
        <v>1195</v>
      </c>
      <c r="E5925" t="s">
        <v>2686</v>
      </c>
    </row>
    <row r="5926" spans="1:5" x14ac:dyDescent="0.25">
      <c r="A5926" t="s">
        <v>1881</v>
      </c>
      <c r="B5926" t="s">
        <v>1196</v>
      </c>
    </row>
    <row r="5927" spans="1:5" x14ac:dyDescent="0.25">
      <c r="A5927" t="s">
        <v>1963</v>
      </c>
      <c r="B5927" t="s">
        <v>1114</v>
      </c>
    </row>
    <row r="5928" spans="1:5" x14ac:dyDescent="0.25">
      <c r="A5928" t="s">
        <v>1963</v>
      </c>
      <c r="B5928" t="s">
        <v>1115</v>
      </c>
      <c r="E5928" t="str">
        <f>_xlfn.CONCAT($E$1,AR$2,$F$1)</f>
        <v>&lt;routeDistribution id="33rd-SouthST-to-Walnut-NB-2013-RouteProbe"&gt;</v>
      </c>
    </row>
    <row r="5929" spans="1:5" x14ac:dyDescent="0.25">
      <c r="A5929" t="s">
        <v>1963</v>
      </c>
      <c r="B5929" t="s">
        <v>1166</v>
      </c>
      <c r="E5929" t="str">
        <f>IF(OR(E5928="&lt;/routeDistribution&gt;",E5928=""),"",IFERROR(_xlfn.CONCAT(VLOOKUP(AR5,Route_Column!#REF!,2,FALSE),CHAR(34)," probability=",CHAR(34),1/AR$4,CHAR(34),CHAR(47),CHAR(62)),"&lt;/routeDistribution&gt;"))</f>
        <v>&lt;/routeDistribution&gt;</v>
      </c>
    </row>
    <row r="5930" spans="1:5" x14ac:dyDescent="0.25">
      <c r="A5930" t="s">
        <v>1963</v>
      </c>
      <c r="B5930" t="s">
        <v>1167</v>
      </c>
      <c r="E5930" t="str">
        <f>IF(OR(E5929="&lt;/routeDistribution&gt;",E5929=""),"",IFERROR(_xlfn.CONCAT(VLOOKUP(AR6,Route_Column!#REF!,2,FALSE),CHAR(34)," probability=",CHAR(34),1/AR$4,CHAR(34),CHAR(47),CHAR(62)),"&lt;/routeDistribution&gt;"))</f>
        <v/>
      </c>
    </row>
    <row r="5931" spans="1:5" x14ac:dyDescent="0.25">
      <c r="A5931" t="s">
        <v>1963</v>
      </c>
      <c r="B5931" t="s">
        <v>1168</v>
      </c>
      <c r="E5931" t="str">
        <f>IF(OR(E5930="&lt;/routeDistribution&gt;",E5930=""),"",IFERROR(_xlfn.CONCAT(VLOOKUP(AR7,Route_Column!#REF!,2,FALSE),CHAR(34)," probability=",CHAR(34),1/AR$4,CHAR(34),CHAR(47),CHAR(62)),"&lt;/routeDistribution&gt;"))</f>
        <v/>
      </c>
    </row>
    <row r="5932" spans="1:5" x14ac:dyDescent="0.25">
      <c r="A5932" t="s">
        <v>1963</v>
      </c>
      <c r="B5932" t="s">
        <v>1186</v>
      </c>
      <c r="E5932" t="str">
        <f>IF(OR(E5931="&lt;/routeDistribution&gt;",E5931=""),"",IFERROR(_xlfn.CONCAT(VLOOKUP(AR8,Route_Column!#REF!,2,FALSE),CHAR(34)," probability=",CHAR(34),1/AR$4,CHAR(34),CHAR(47),CHAR(62)),"&lt;/routeDistribution&gt;"))</f>
        <v/>
      </c>
    </row>
    <row r="5933" spans="1:5" x14ac:dyDescent="0.25">
      <c r="A5933" t="s">
        <v>1963</v>
      </c>
      <c r="B5933" t="s">
        <v>1187</v>
      </c>
      <c r="E5933" t="str">
        <f>IF(OR(E5932="&lt;/routeDistribution&gt;",E5932=""),"",IFERROR(_xlfn.CONCAT(VLOOKUP(AR9,Route_Column!#REF!,2,FALSE),CHAR(34)," probability=",CHAR(34),1/AR$4,CHAR(34),CHAR(47),CHAR(62)),"&lt;/routeDistribution&gt;"))</f>
        <v/>
      </c>
    </row>
    <row r="5934" spans="1:5" x14ac:dyDescent="0.25">
      <c r="A5934" t="s">
        <v>1963</v>
      </c>
      <c r="B5934" t="s">
        <v>1188</v>
      </c>
      <c r="E5934" t="str">
        <f>IF(OR(E5933="&lt;/routeDistribution&gt;",E5933=""),"",IFERROR(_xlfn.CONCAT(VLOOKUP(AR10,Route_Column!#REF!,2,FALSE),CHAR(34)," probability=",CHAR(34),1/AR$4,CHAR(34),CHAR(47),CHAR(62)),"&lt;/routeDistribution&gt;"))</f>
        <v/>
      </c>
    </row>
    <row r="5935" spans="1:5" x14ac:dyDescent="0.25">
      <c r="A5935" t="s">
        <v>1963</v>
      </c>
      <c r="B5935" t="s">
        <v>1189</v>
      </c>
      <c r="E5935" t="str">
        <f>IF(OR(E5934="&lt;/routeDistribution&gt;",E5934=""),"",IFERROR(_xlfn.CONCAT(VLOOKUP(AR11,Route_Column!#REF!,2,FALSE),CHAR(34)," probability=",CHAR(34),1/AR$4,CHAR(34),CHAR(47),CHAR(62)),"&lt;/routeDistribution&gt;"))</f>
        <v/>
      </c>
    </row>
    <row r="5936" spans="1:5" x14ac:dyDescent="0.25">
      <c r="A5936" t="s">
        <v>1963</v>
      </c>
      <c r="B5936" t="s">
        <v>1195</v>
      </c>
      <c r="E5936" t="str">
        <f>IF(OR(E5935="&lt;/routeDistribution&gt;",E5935=""),"",IFERROR(_xlfn.CONCAT(VLOOKUP(AR12,Route_Column!#REF!,2,FALSE),CHAR(34)," probability=",CHAR(34),1/AR$4,CHAR(34),CHAR(47),CHAR(62)),"&lt;/routeDistribution&gt;"))</f>
        <v/>
      </c>
    </row>
    <row r="5937" spans="1:5" x14ac:dyDescent="0.25">
      <c r="A5937" t="s">
        <v>1963</v>
      </c>
      <c r="B5937" t="s">
        <v>1196</v>
      </c>
      <c r="E5937" t="str">
        <f>IF(OR(E5936="&lt;/routeDistribution&gt;",E5936=""),"",IFERROR(_xlfn.CONCAT(VLOOKUP(AR13,Route_Column!#REF!,2,FALSE),CHAR(34)," probability=",CHAR(34),1/AR$4,CHAR(34),CHAR(47),CHAR(62)),"&lt;/routeDistribution&gt;"))</f>
        <v/>
      </c>
    </row>
    <row r="5938" spans="1:5" x14ac:dyDescent="0.25">
      <c r="A5938" t="s">
        <v>1936</v>
      </c>
      <c r="B5938" t="s">
        <v>1113</v>
      </c>
      <c r="E5938" t="str">
        <f>IF(OR(E5937="&lt;/routeDistribution&gt;",E5937=""),"",IFERROR(_xlfn.CONCAT(VLOOKUP(AR14,Route_Column!#REF!,2,FALSE),CHAR(34)," probability=",CHAR(34),1/AR$4,CHAR(34),CHAR(47),CHAR(62)),"&lt;/routeDistribution&gt;"))</f>
        <v/>
      </c>
    </row>
    <row r="5939" spans="1:5" x14ac:dyDescent="0.25">
      <c r="A5939" t="s">
        <v>1936</v>
      </c>
      <c r="B5939" t="s">
        <v>1114</v>
      </c>
      <c r="E5939" t="str">
        <f>IF(OR(E5938="&lt;/routeDistribution&gt;",E5938=""),"",IFERROR(_xlfn.CONCAT(VLOOKUP(AR15,Route_Column!#REF!,2,FALSE),CHAR(34)," probability=",CHAR(34),1/AR$4,CHAR(34),CHAR(47),CHAR(62)),"&lt;/routeDistribution&gt;"))</f>
        <v/>
      </c>
    </row>
    <row r="5940" spans="1:5" x14ac:dyDescent="0.25">
      <c r="A5940" t="s">
        <v>1936</v>
      </c>
      <c r="B5940" t="s">
        <v>1115</v>
      </c>
      <c r="E5940" t="str">
        <f>IF(OR(E5939="&lt;/routeDistribution&gt;",E5939=""),"",IFERROR(_xlfn.CONCAT(VLOOKUP(AR16,Route_Column!#REF!,2,FALSE),CHAR(34)," probability=",CHAR(34),1/AR$4,CHAR(34),CHAR(47),CHAR(62)),"&lt;/routeDistribution&gt;"))</f>
        <v/>
      </c>
    </row>
    <row r="5941" spans="1:5" x14ac:dyDescent="0.25">
      <c r="A5941" t="s">
        <v>1936</v>
      </c>
      <c r="B5941" t="s">
        <v>1133</v>
      </c>
      <c r="E5941" t="str">
        <f>IF(OR(E5940="&lt;/routeDistribution&gt;",E5940=""),"",IFERROR(_xlfn.CONCAT(VLOOKUP(AR17,Route_Column!#REF!,2,FALSE),CHAR(34)," probability=",CHAR(34),1/AR$4,CHAR(34),CHAR(47),CHAR(62)),"&lt;/routeDistribution&gt;"))</f>
        <v/>
      </c>
    </row>
    <row r="5942" spans="1:5" x14ac:dyDescent="0.25">
      <c r="A5942" t="s">
        <v>1936</v>
      </c>
      <c r="B5942" t="s">
        <v>1166</v>
      </c>
      <c r="E5942" t="str">
        <f>IF(OR(E5941="&lt;/routeDistribution&gt;",E5941=""),"",IFERROR(_xlfn.CONCAT(VLOOKUP(AR18,Route_Column!#REF!,2,FALSE),CHAR(34)," probability=",CHAR(34),1/AR$4,CHAR(34),CHAR(47),CHAR(62)),"&lt;/routeDistribution&gt;"))</f>
        <v/>
      </c>
    </row>
    <row r="5943" spans="1:5" x14ac:dyDescent="0.25">
      <c r="A5943" t="s">
        <v>1936</v>
      </c>
      <c r="B5943" t="s">
        <v>1167</v>
      </c>
      <c r="E5943" t="str">
        <f>IF(OR(E5942="&lt;/routeDistribution&gt;",E5942=""),"",IFERROR(_xlfn.CONCAT(VLOOKUP(AR19,Route_Column!#REF!,2,FALSE),CHAR(34)," probability=",CHAR(34),1/AR$4,CHAR(34),CHAR(47),CHAR(62)),"&lt;/routeDistribution&gt;"))</f>
        <v/>
      </c>
    </row>
    <row r="5944" spans="1:5" x14ac:dyDescent="0.25">
      <c r="A5944" t="s">
        <v>1936</v>
      </c>
      <c r="B5944" t="s">
        <v>1168</v>
      </c>
      <c r="E5944" t="str">
        <f>IF(OR(E5943="&lt;/routeDistribution&gt;",E5943=""),"",IFERROR(_xlfn.CONCAT(VLOOKUP(AR20,Route_Column!#REF!,2,FALSE),CHAR(34)," probability=",CHAR(34),1/AR$4,CHAR(34),CHAR(47),CHAR(62)),"&lt;/routeDistribution&gt;"))</f>
        <v/>
      </c>
    </row>
    <row r="5945" spans="1:5" x14ac:dyDescent="0.25">
      <c r="A5945" t="s">
        <v>1936</v>
      </c>
      <c r="B5945" t="s">
        <v>1186</v>
      </c>
      <c r="E5945" t="str">
        <f>IF(OR(E5944="&lt;/routeDistribution&gt;",E5944=""),"",IFERROR(_xlfn.CONCAT(VLOOKUP(AR21,Route_Column!#REF!,2,FALSE),CHAR(34)," probability=",CHAR(34),1/AR$4,CHAR(34),CHAR(47),CHAR(62)),"&lt;/routeDistribution&gt;"))</f>
        <v/>
      </c>
    </row>
    <row r="5946" spans="1:5" x14ac:dyDescent="0.25">
      <c r="A5946" t="s">
        <v>1936</v>
      </c>
      <c r="B5946" t="s">
        <v>1187</v>
      </c>
      <c r="E5946" t="str">
        <f>IF(OR(E5945="&lt;/routeDistribution&gt;",E5945=""),"",IFERROR(_xlfn.CONCAT(VLOOKUP(AR22,Route_Column!#REF!,2,FALSE),CHAR(34)," probability=",CHAR(34),1/AR$4,CHAR(34),CHAR(47),CHAR(62)),"&lt;/routeDistribution&gt;"))</f>
        <v/>
      </c>
    </row>
    <row r="5947" spans="1:5" x14ac:dyDescent="0.25">
      <c r="A5947" t="s">
        <v>1936</v>
      </c>
      <c r="B5947" t="s">
        <v>1188</v>
      </c>
      <c r="E5947" t="str">
        <f>IF(OR(E5946="&lt;/routeDistribution&gt;",E5946=""),"",IFERROR(_xlfn.CONCAT(VLOOKUP(AR23,Route_Column!#REF!,2,FALSE),CHAR(34)," probability=",CHAR(34),1/AR$4,CHAR(34),CHAR(47),CHAR(62)),"&lt;/routeDistribution&gt;"))</f>
        <v/>
      </c>
    </row>
    <row r="5948" spans="1:5" x14ac:dyDescent="0.25">
      <c r="A5948" t="s">
        <v>1936</v>
      </c>
      <c r="B5948" t="s">
        <v>1189</v>
      </c>
      <c r="E5948" t="str">
        <f>IF(OR(E5947="&lt;/routeDistribution&gt;",E5947=""),"",IFERROR(_xlfn.CONCAT(VLOOKUP(AR24,Route_Column!#REF!,2,FALSE),CHAR(34)," probability=",CHAR(34),1/AR$4,CHAR(34),CHAR(47),CHAR(62)),"&lt;/routeDistribution&gt;"))</f>
        <v/>
      </c>
    </row>
    <row r="5949" spans="1:5" x14ac:dyDescent="0.25">
      <c r="A5949" t="s">
        <v>1936</v>
      </c>
      <c r="B5949" t="s">
        <v>1195</v>
      </c>
      <c r="E5949" t="str">
        <f>IF(OR(E5948="&lt;/routeDistribution&gt;",E5948=""),"",IFERROR(_xlfn.CONCAT(VLOOKUP(AR25,Route_Column!#REF!,2,FALSE),CHAR(34)," probability=",CHAR(34),1/AR$4,CHAR(34),CHAR(47),CHAR(62)),"&lt;/routeDistribution&gt;"))</f>
        <v/>
      </c>
    </row>
    <row r="5950" spans="1:5" x14ac:dyDescent="0.25">
      <c r="A5950" t="s">
        <v>1936</v>
      </c>
      <c r="B5950" t="s">
        <v>1196</v>
      </c>
      <c r="E5950" t="str">
        <f>IF(OR(E5949="&lt;/routeDistribution&gt;",E5949=""),"",IFERROR(_xlfn.CONCAT(VLOOKUP(AR26,Route_Column!#REF!,2,FALSE),CHAR(34)," probability=",CHAR(34),1/AR$4,CHAR(34),CHAR(47),CHAR(62)),"&lt;/routeDistribution&gt;"))</f>
        <v/>
      </c>
    </row>
    <row r="5951" spans="1:5" x14ac:dyDescent="0.25">
      <c r="A5951" t="s">
        <v>1871</v>
      </c>
      <c r="B5951" t="s">
        <v>1112</v>
      </c>
      <c r="E5951" t="str">
        <f>IF(OR(E5950="&lt;/routeDistribution&gt;",E5950=""),"",IFERROR(_xlfn.CONCAT(VLOOKUP(AR27,Route_Column!#REF!,2,FALSE),CHAR(34)," probability=",CHAR(34),1/AR$4,CHAR(34),CHAR(47),CHAR(62)),"&lt;/routeDistribution&gt;"))</f>
        <v/>
      </c>
    </row>
    <row r="5952" spans="1:5" x14ac:dyDescent="0.25">
      <c r="A5952" t="s">
        <v>1871</v>
      </c>
      <c r="B5952" t="s">
        <v>1113</v>
      </c>
      <c r="E5952" t="str">
        <f>IF(OR(E5951="&lt;/routeDistribution&gt;",E5951=""),"",IFERROR(_xlfn.CONCAT(VLOOKUP(AR28,Route_Column!#REF!,2,FALSE),CHAR(34)," probability=",CHAR(34),1/AR$4,CHAR(34),CHAR(47),CHAR(62)),"&lt;/routeDistribution&gt;"))</f>
        <v/>
      </c>
    </row>
    <row r="5953" spans="1:5" x14ac:dyDescent="0.25">
      <c r="A5953" t="s">
        <v>1871</v>
      </c>
      <c r="B5953" t="s">
        <v>1114</v>
      </c>
      <c r="E5953" t="str">
        <f>IF(OR(E5952="&lt;/routeDistribution&gt;",E5952=""),"",IFERROR(_xlfn.CONCAT(VLOOKUP(AR29,Route_Column!#REF!,2,FALSE),CHAR(34)," probability=",CHAR(34),1/AR$4,CHAR(34),CHAR(47),CHAR(62)),"&lt;/routeDistribution&gt;"))</f>
        <v/>
      </c>
    </row>
    <row r="5954" spans="1:5" x14ac:dyDescent="0.25">
      <c r="A5954" t="s">
        <v>1871</v>
      </c>
      <c r="B5954" t="s">
        <v>1114</v>
      </c>
      <c r="E5954" t="str">
        <f>IF(OR(E5953="&lt;/routeDistribution&gt;",E5953=""),"",IFERROR(_xlfn.CONCAT(VLOOKUP(AR30,Route_Column!#REF!,2,FALSE),CHAR(34)," probability=",CHAR(34),1/AR$4,CHAR(34),CHAR(47),CHAR(62)),"&lt;/routeDistribution&gt;"))</f>
        <v/>
      </c>
    </row>
    <row r="5955" spans="1:5" x14ac:dyDescent="0.25">
      <c r="A5955" t="s">
        <v>1871</v>
      </c>
      <c r="B5955" t="s">
        <v>1115</v>
      </c>
      <c r="E5955" t="str">
        <f>IF(OR(E5954="&lt;/routeDistribution&gt;",E5954=""),"",IFERROR(_xlfn.CONCAT(VLOOKUP(AR31,Route_Column!#REF!,2,FALSE),CHAR(34)," probability=",CHAR(34),1/AR$4,CHAR(34),CHAR(47),CHAR(62)),"&lt;/routeDistribution&gt;"))</f>
        <v/>
      </c>
    </row>
    <row r="5956" spans="1:5" x14ac:dyDescent="0.25">
      <c r="A5956" t="s">
        <v>1871</v>
      </c>
      <c r="B5956" t="s">
        <v>1166</v>
      </c>
      <c r="E5956" t="str">
        <f>IF(OR(E5955="&lt;/routeDistribution&gt;",E5955=""),"",IFERROR(_xlfn.CONCAT(VLOOKUP(AR32,Route_Column!#REF!,2,FALSE),CHAR(34)," probability=",CHAR(34),1/AR$4,CHAR(34),CHAR(47),CHAR(62)),"&lt;/routeDistribution&gt;"))</f>
        <v/>
      </c>
    </row>
    <row r="5957" spans="1:5" x14ac:dyDescent="0.25">
      <c r="A5957" t="s">
        <v>1871</v>
      </c>
      <c r="B5957" t="s">
        <v>1167</v>
      </c>
      <c r="E5957" t="str">
        <f>IF(OR(E5956="&lt;/routeDistribution&gt;",E5956=""),"",IFERROR(_xlfn.CONCAT(VLOOKUP(AR33,Route_Column!#REF!,2,FALSE),CHAR(34)," probability=",CHAR(34),1/AR$4,CHAR(34),CHAR(47),CHAR(62)),"&lt;/routeDistribution&gt;"))</f>
        <v/>
      </c>
    </row>
    <row r="5958" spans="1:5" x14ac:dyDescent="0.25">
      <c r="A5958" t="s">
        <v>1871</v>
      </c>
      <c r="B5958" t="s">
        <v>1168</v>
      </c>
      <c r="E5958" t="str">
        <f>IF(OR(E5957="&lt;/routeDistribution&gt;",E5957=""),"",IFERROR(_xlfn.CONCAT(VLOOKUP(AR34,Route_Column!#REF!,2,FALSE),CHAR(34)," probability=",CHAR(34),1/AR$4,CHAR(34),CHAR(47),CHAR(62)),"&lt;/routeDistribution&gt;"))</f>
        <v/>
      </c>
    </row>
    <row r="5959" spans="1:5" x14ac:dyDescent="0.25">
      <c r="A5959" t="s">
        <v>1871</v>
      </c>
      <c r="B5959" t="s">
        <v>1186</v>
      </c>
      <c r="E5959" t="str">
        <f>IF(OR(E5958="&lt;/routeDistribution&gt;",E5958=""),"",IFERROR(_xlfn.CONCAT(VLOOKUP(AR35,Route_Column!#REF!,2,FALSE),CHAR(34)," probability=",CHAR(34),1/AR$4,CHAR(34),CHAR(47),CHAR(62)),"&lt;/routeDistribution&gt;"))</f>
        <v/>
      </c>
    </row>
    <row r="5960" spans="1:5" x14ac:dyDescent="0.25">
      <c r="A5960" t="s">
        <v>1871</v>
      </c>
      <c r="B5960" t="s">
        <v>1187</v>
      </c>
      <c r="E5960" t="str">
        <f>IF(OR(E5959="&lt;/routeDistribution&gt;",E5959=""),"",IFERROR(_xlfn.CONCAT(VLOOKUP(AR36,Route_Column!#REF!,2,FALSE),CHAR(34)," probability=",CHAR(34),1/AR$4,CHAR(34),CHAR(47),CHAR(62)),"&lt;/routeDistribution&gt;"))</f>
        <v/>
      </c>
    </row>
    <row r="5961" spans="1:5" x14ac:dyDescent="0.25">
      <c r="A5961" t="s">
        <v>1871</v>
      </c>
      <c r="B5961" t="s">
        <v>1188</v>
      </c>
      <c r="E5961" t="str">
        <f>IF(OR(E5960="&lt;/routeDistribution&gt;",E5960=""),"",IFERROR(_xlfn.CONCAT(VLOOKUP(AR37,Route_Column!#REF!,2,FALSE),CHAR(34)," probability=",CHAR(34),1/AR$4,CHAR(34),CHAR(47),CHAR(62)),"&lt;/routeDistribution&gt;"))</f>
        <v/>
      </c>
    </row>
    <row r="5962" spans="1:5" x14ac:dyDescent="0.25">
      <c r="A5962" t="s">
        <v>1871</v>
      </c>
      <c r="B5962" t="s">
        <v>1189</v>
      </c>
      <c r="E5962" t="str">
        <f>IF(OR(E5961="&lt;/routeDistribution&gt;",E5961=""),"",IFERROR(_xlfn.CONCAT(VLOOKUP(AR38,Route_Column!#REF!,2,FALSE),CHAR(34)," probability=",CHAR(34),1/AR$4,CHAR(34),CHAR(47),CHAR(62)),"&lt;/routeDistribution&gt;"))</f>
        <v/>
      </c>
    </row>
    <row r="5963" spans="1:5" x14ac:dyDescent="0.25">
      <c r="A5963" t="s">
        <v>1871</v>
      </c>
      <c r="B5963" t="s">
        <v>1195</v>
      </c>
      <c r="E5963" t="str">
        <f>IF(OR(E5962="&lt;/routeDistribution&gt;",E5962=""),"",IFERROR(_xlfn.CONCAT(VLOOKUP(AR39,Route_Column!#REF!,2,FALSE),CHAR(34)," probability=",CHAR(34),1/AR$4,CHAR(34),CHAR(47),CHAR(62)),"&lt;/routeDistribution&gt;"))</f>
        <v/>
      </c>
    </row>
    <row r="5964" spans="1:5" x14ac:dyDescent="0.25">
      <c r="A5964" t="s">
        <v>1871</v>
      </c>
      <c r="B5964" t="s">
        <v>1196</v>
      </c>
      <c r="E5964" t="str">
        <f>IF(OR(E5963="&lt;/routeDistribution&gt;",E5963=""),"",IFERROR(_xlfn.CONCAT(VLOOKUP(AR40,Route_Column!#REF!,2,FALSE),CHAR(34)," probability=",CHAR(34),1/AR$4,CHAR(34),CHAR(47),CHAR(62)),"&lt;/routeDistribution&gt;"))</f>
        <v/>
      </c>
    </row>
    <row r="5965" spans="1:5" x14ac:dyDescent="0.25">
      <c r="A5965" t="s">
        <v>2282</v>
      </c>
      <c r="B5965" t="s">
        <v>1195</v>
      </c>
      <c r="E5965" t="str">
        <f>IF(OR(E5964="&lt;/routeDistribution&gt;",E5964=""),"",IFERROR(_xlfn.CONCAT(VLOOKUP(AR41,Route_Column!#REF!,2,FALSE),CHAR(34)," probability=",CHAR(34),1/AR$4,CHAR(34),CHAR(47),CHAR(62)),"&lt;/routeDistribution&gt;"))</f>
        <v/>
      </c>
    </row>
    <row r="5966" spans="1:5" x14ac:dyDescent="0.25">
      <c r="A5966" t="s">
        <v>2282</v>
      </c>
      <c r="B5966" t="s">
        <v>1196</v>
      </c>
      <c r="E5966" t="str">
        <f>IF(OR(E5965="&lt;/routeDistribution&gt;",E5965=""),"",IFERROR(_xlfn.CONCAT(VLOOKUP(AR42,Route_Column!#REF!,2,FALSE),CHAR(34)," probability=",CHAR(34),1/AR$4,CHAR(34),CHAR(47),CHAR(62)),"&lt;/routeDistribution&gt;"))</f>
        <v/>
      </c>
    </row>
    <row r="5967" spans="1:5" x14ac:dyDescent="0.25">
      <c r="A5967" t="s">
        <v>2281</v>
      </c>
      <c r="B5967" t="s">
        <v>1195</v>
      </c>
      <c r="E5967" t="str">
        <f>IF(OR(E5966="&lt;/routeDistribution&gt;",E5966=""),"",IFERROR(_xlfn.CONCAT(VLOOKUP(AR43,Route_Column!#REF!,2,FALSE),CHAR(34)," probability=",CHAR(34),1/AR$4,CHAR(34),CHAR(47),CHAR(62)),"&lt;/routeDistribution&gt;"))</f>
        <v/>
      </c>
    </row>
    <row r="5968" spans="1:5" x14ac:dyDescent="0.25">
      <c r="A5968" t="s">
        <v>2281</v>
      </c>
      <c r="B5968" t="s">
        <v>1196</v>
      </c>
      <c r="E5968" t="str">
        <f>IF(OR(E5967="&lt;/routeDistribution&gt;",E5967=""),"",IFERROR(_xlfn.CONCAT(VLOOKUP(AR44,Route_Column!#REF!,2,FALSE),CHAR(34)," probability=",CHAR(34),1/AR$4,CHAR(34),CHAR(47),CHAR(62)),"&lt;/routeDistribution&gt;"))</f>
        <v/>
      </c>
    </row>
    <row r="5969" spans="1:5" x14ac:dyDescent="0.25">
      <c r="A5969" t="s">
        <v>1937</v>
      </c>
      <c r="B5969" t="s">
        <v>1113</v>
      </c>
      <c r="E5969" t="str">
        <f>IF(OR(E5968="&lt;/routeDistribution&gt;",E5968=""),"",IFERROR(_xlfn.CONCAT(VLOOKUP(AR45,Route_Column!#REF!,2,FALSE),CHAR(34)," probability=",CHAR(34),1/AR$4,CHAR(34),CHAR(47),CHAR(62)),"&lt;/routeDistribution&gt;"))</f>
        <v/>
      </c>
    </row>
    <row r="5970" spans="1:5" x14ac:dyDescent="0.25">
      <c r="A5970" t="s">
        <v>1937</v>
      </c>
      <c r="B5970" t="s">
        <v>1114</v>
      </c>
      <c r="E5970" t="str">
        <f>IF(OR(E5969="&lt;/routeDistribution&gt;",E5969=""),"",IFERROR(_xlfn.CONCAT(VLOOKUP(AR46,Route_Column!#REF!,2,FALSE),CHAR(34)," probability=",CHAR(34),1/AR$4,CHAR(34),CHAR(47),CHAR(62)),"&lt;/routeDistribution&gt;"))</f>
        <v/>
      </c>
    </row>
    <row r="5971" spans="1:5" x14ac:dyDescent="0.25">
      <c r="A5971" t="s">
        <v>1937</v>
      </c>
      <c r="B5971" t="s">
        <v>1115</v>
      </c>
      <c r="E5971" t="str">
        <f>IF(OR(E5970="&lt;/routeDistribution&gt;",E5970=""),"",IFERROR(_xlfn.CONCAT(VLOOKUP(AR47,Route_Column!#REF!,2,FALSE),CHAR(34)," probability=",CHAR(34),1/AR$4,CHAR(34),CHAR(47),CHAR(62)),"&lt;/routeDistribution&gt;"))</f>
        <v/>
      </c>
    </row>
    <row r="5972" spans="1:5" x14ac:dyDescent="0.25">
      <c r="A5972" t="s">
        <v>1937</v>
      </c>
      <c r="B5972" t="s">
        <v>1133</v>
      </c>
      <c r="E5972" t="str">
        <f>IF(OR(E5971="&lt;/routeDistribution&gt;",E5971=""),"",IFERROR(_xlfn.CONCAT(VLOOKUP(AR48,Route_Column!#REF!,2,FALSE),CHAR(34)," probability=",CHAR(34),1/AR$4,CHAR(34),CHAR(47),CHAR(62)),"&lt;/routeDistribution&gt;"))</f>
        <v/>
      </c>
    </row>
    <row r="5973" spans="1:5" x14ac:dyDescent="0.25">
      <c r="A5973" t="s">
        <v>1937</v>
      </c>
      <c r="B5973" t="s">
        <v>1166</v>
      </c>
      <c r="E5973" t="str">
        <f>IF(OR(E5972="&lt;/routeDistribution&gt;",E5972=""),"",IFERROR(_xlfn.CONCAT(VLOOKUP(AR49,Route_Column!#REF!,2,FALSE),CHAR(34)," probability=",CHAR(34),1/AR$4,CHAR(34),CHAR(47),CHAR(62)),"&lt;/routeDistribution&gt;"))</f>
        <v/>
      </c>
    </row>
    <row r="5974" spans="1:5" x14ac:dyDescent="0.25">
      <c r="A5974" t="s">
        <v>1937</v>
      </c>
      <c r="B5974" t="s">
        <v>1167</v>
      </c>
      <c r="E5974" t="str">
        <f>IF(OR(E5973="&lt;/routeDistribution&gt;",E5973=""),"",IFERROR(_xlfn.CONCAT(VLOOKUP(AR50,Route_Column!#REF!,2,FALSE),CHAR(34)," probability=",CHAR(34),1/AR$4,CHAR(34),CHAR(47),CHAR(62)),"&lt;/routeDistribution&gt;"))</f>
        <v/>
      </c>
    </row>
    <row r="5975" spans="1:5" x14ac:dyDescent="0.25">
      <c r="A5975" t="s">
        <v>1937</v>
      </c>
      <c r="B5975" t="s">
        <v>1168</v>
      </c>
      <c r="E5975" t="str">
        <f>IF(OR(E5974="&lt;/routeDistribution&gt;",E5974=""),"",IFERROR(_xlfn.CONCAT(VLOOKUP(AR51,Route_Column!#REF!,2,FALSE),CHAR(34)," probability=",CHAR(34),1/AR$4,CHAR(34),CHAR(47),CHAR(62)),"&lt;/routeDistribution&gt;"))</f>
        <v/>
      </c>
    </row>
    <row r="5976" spans="1:5" x14ac:dyDescent="0.25">
      <c r="A5976" t="s">
        <v>1937</v>
      </c>
      <c r="B5976" t="s">
        <v>1186</v>
      </c>
      <c r="E5976" t="str">
        <f>IF(OR(E5975="&lt;/routeDistribution&gt;",E5975=""),"",IFERROR(_xlfn.CONCAT(VLOOKUP(AR52,Route_Column!#REF!,2,FALSE),CHAR(34)," probability=",CHAR(34),1/AR$4,CHAR(34),CHAR(47),CHAR(62)),"&lt;/routeDistribution&gt;"))</f>
        <v/>
      </c>
    </row>
    <row r="5977" spans="1:5" x14ac:dyDescent="0.25">
      <c r="A5977" t="s">
        <v>1937</v>
      </c>
      <c r="B5977" t="s">
        <v>1187</v>
      </c>
      <c r="E5977" t="str">
        <f>IF(OR(E5976="&lt;/routeDistribution&gt;",E5976=""),"",IFERROR(_xlfn.CONCAT(VLOOKUP(AR53,Route_Column!#REF!,2,FALSE),CHAR(34)," probability=",CHAR(34),1/AR$4,CHAR(34),CHAR(47),CHAR(62)),"&lt;/routeDistribution&gt;"))</f>
        <v/>
      </c>
    </row>
    <row r="5978" spans="1:5" x14ac:dyDescent="0.25">
      <c r="A5978" t="s">
        <v>1937</v>
      </c>
      <c r="B5978" t="s">
        <v>1188</v>
      </c>
      <c r="E5978" t="str">
        <f>IF(OR(E5977="&lt;/routeDistribution&gt;",E5977=""),"",IFERROR(_xlfn.CONCAT(VLOOKUP(AR54,Route_Column!#REF!,2,FALSE),CHAR(34)," probability=",CHAR(34),1/AR$4,CHAR(34),CHAR(47),CHAR(62)),"&lt;/routeDistribution&gt;"))</f>
        <v/>
      </c>
    </row>
    <row r="5979" spans="1:5" x14ac:dyDescent="0.25">
      <c r="A5979" t="s">
        <v>1937</v>
      </c>
      <c r="B5979" t="s">
        <v>1189</v>
      </c>
      <c r="E5979" t="str">
        <f>IF(OR(E5978="&lt;/routeDistribution&gt;",E5978=""),"",IFERROR(_xlfn.CONCAT(VLOOKUP(AR55,Route_Column!#REF!,2,FALSE),CHAR(34)," probability=",CHAR(34),1/AR$4,CHAR(34),CHAR(47),CHAR(62)),"&lt;/routeDistribution&gt;"))</f>
        <v/>
      </c>
    </row>
    <row r="5980" spans="1:5" x14ac:dyDescent="0.25">
      <c r="A5980" t="s">
        <v>1937</v>
      </c>
      <c r="B5980" t="s">
        <v>1195</v>
      </c>
      <c r="E5980" t="str">
        <f>IF(OR(E5979="&lt;/routeDistribution&gt;",E5979=""),"",IFERROR(_xlfn.CONCAT(VLOOKUP(AR56,Route_Column!#REF!,2,FALSE),CHAR(34)," probability=",CHAR(34),1/AR$4,CHAR(34),CHAR(47),CHAR(62)),"&lt;/routeDistribution&gt;"))</f>
        <v/>
      </c>
    </row>
    <row r="5981" spans="1:5" x14ac:dyDescent="0.25">
      <c r="A5981" t="s">
        <v>1937</v>
      </c>
      <c r="B5981" t="s">
        <v>1196</v>
      </c>
      <c r="E5981" t="str">
        <f>IF(OR(E5980="&lt;/routeDistribution&gt;",E5980=""),"",IFERROR(_xlfn.CONCAT(VLOOKUP(AR57,Route_Column!#REF!,2,FALSE),CHAR(34)," probability=",CHAR(34),1/AR$4,CHAR(34),CHAR(47),CHAR(62)),"&lt;/routeDistribution&gt;"))</f>
        <v/>
      </c>
    </row>
    <row r="5982" spans="1:5" x14ac:dyDescent="0.25">
      <c r="A5982" t="s">
        <v>1870</v>
      </c>
      <c r="B5982" t="s">
        <v>1112</v>
      </c>
      <c r="E5982" t="str">
        <f>IF(OR(E5981="&lt;/routeDistribution&gt;",E5981=""),"",IFERROR(_xlfn.CONCAT(VLOOKUP(AR58,Route_Column!#REF!,2,FALSE),CHAR(34)," probability=",CHAR(34),1/AR$4,CHAR(34),CHAR(47),CHAR(62)),"&lt;/routeDistribution&gt;"))</f>
        <v/>
      </c>
    </row>
    <row r="5983" spans="1:5" x14ac:dyDescent="0.25">
      <c r="A5983" t="s">
        <v>1870</v>
      </c>
      <c r="B5983" t="s">
        <v>1113</v>
      </c>
      <c r="E5983" t="str">
        <f>IF(OR(E5982="&lt;/routeDistribution&gt;",E5982=""),"",IFERROR(_xlfn.CONCAT(VLOOKUP(AR59,Route_Column!#REF!,2,FALSE),CHAR(34)," probability=",CHAR(34),1/AR$4,CHAR(34),CHAR(47),CHAR(62)),"&lt;/routeDistribution&gt;"))</f>
        <v/>
      </c>
    </row>
    <row r="5984" spans="1:5" x14ac:dyDescent="0.25">
      <c r="A5984" t="s">
        <v>1870</v>
      </c>
      <c r="B5984" t="s">
        <v>1114</v>
      </c>
      <c r="E5984" t="str">
        <f>IF(OR(E5983="&lt;/routeDistribution&gt;",E5983=""),"",IFERROR(_xlfn.CONCAT(VLOOKUP(AR60,Route_Column!#REF!,2,FALSE),CHAR(34)," probability=",CHAR(34),1/AR$4,CHAR(34),CHAR(47),CHAR(62)),"&lt;/routeDistribution&gt;"))</f>
        <v/>
      </c>
    </row>
    <row r="5985" spans="1:5" x14ac:dyDescent="0.25">
      <c r="A5985" t="s">
        <v>1870</v>
      </c>
      <c r="B5985" t="s">
        <v>1114</v>
      </c>
      <c r="E5985" t="str">
        <f>IF(OR(E5984="&lt;/routeDistribution&gt;",E5984=""),"",IFERROR(_xlfn.CONCAT(VLOOKUP(AR61,Route_Column!#REF!,2,FALSE),CHAR(34)," probability=",CHAR(34),1/AR$4,CHAR(34),CHAR(47),CHAR(62)),"&lt;/routeDistribution&gt;"))</f>
        <v/>
      </c>
    </row>
    <row r="5986" spans="1:5" x14ac:dyDescent="0.25">
      <c r="A5986" t="s">
        <v>1870</v>
      </c>
      <c r="B5986" t="s">
        <v>1115</v>
      </c>
      <c r="E5986" t="str">
        <f>IF(OR(E5985="&lt;/routeDistribution&gt;",E5985=""),"",IFERROR(_xlfn.CONCAT(VLOOKUP(AR62,Route_Column!#REF!,2,FALSE),CHAR(34)," probability=",CHAR(34),1/AR$4,CHAR(34),CHAR(47),CHAR(62)),"&lt;/routeDistribution&gt;"))</f>
        <v/>
      </c>
    </row>
    <row r="5987" spans="1:5" x14ac:dyDescent="0.25">
      <c r="A5987" t="s">
        <v>1870</v>
      </c>
      <c r="B5987" t="s">
        <v>1166</v>
      </c>
      <c r="E5987" t="str">
        <f>IF(OR(E5986="&lt;/routeDistribution&gt;",E5986=""),"",IFERROR(_xlfn.CONCAT(VLOOKUP(AR63,Route_Column!#REF!,2,FALSE),CHAR(34)," probability=",CHAR(34),1/AR$4,CHAR(34),CHAR(47),CHAR(62)),"&lt;/routeDistribution&gt;"))</f>
        <v/>
      </c>
    </row>
    <row r="5988" spans="1:5" x14ac:dyDescent="0.25">
      <c r="A5988" t="s">
        <v>1870</v>
      </c>
      <c r="B5988" t="s">
        <v>1167</v>
      </c>
      <c r="E5988" t="s">
        <v>2686</v>
      </c>
    </row>
    <row r="5989" spans="1:5" x14ac:dyDescent="0.25">
      <c r="A5989" t="s">
        <v>1870</v>
      </c>
      <c r="B5989" t="s">
        <v>1168</v>
      </c>
    </row>
    <row r="5990" spans="1:5" x14ac:dyDescent="0.25">
      <c r="A5990" t="s">
        <v>1870</v>
      </c>
      <c r="B5990" t="s">
        <v>1186</v>
      </c>
    </row>
    <row r="5991" spans="1:5" x14ac:dyDescent="0.25">
      <c r="A5991" t="s">
        <v>1870</v>
      </c>
      <c r="B5991" t="s">
        <v>1189</v>
      </c>
      <c r="E5991" t="str">
        <f>_xlfn.CONCAT($E$1,AQ$2,$F$1)</f>
        <v>&lt;routeDistribution id="SCHKILLave-76-JKF"&gt;</v>
      </c>
    </row>
    <row r="5992" spans="1:5" x14ac:dyDescent="0.25">
      <c r="A5992" t="s">
        <v>2267</v>
      </c>
      <c r="B5992" t="s">
        <v>1187</v>
      </c>
      <c r="E5992" t="str">
        <f>IF(OR(E5991="&lt;/routeDistribution&gt;",E5991=""),"",IFERROR(_xlfn.CONCAT(VLOOKUP(AQ5,Route_Column!#REF!,2,FALSE),CHAR(34)," probability=",CHAR(34),1/AQ$4,CHAR(34),CHAR(47),CHAR(62)),"&lt;/routeDistribution&gt;"))</f>
        <v>&lt;/routeDistribution&gt;</v>
      </c>
    </row>
    <row r="5993" spans="1:5" x14ac:dyDescent="0.25">
      <c r="A5993" t="s">
        <v>2267</v>
      </c>
      <c r="B5993" t="s">
        <v>1188</v>
      </c>
      <c r="E5993" t="str">
        <f>IF(OR(E5992="&lt;/routeDistribution&gt;",E5992=""),"",IFERROR(_xlfn.CONCAT(VLOOKUP(AQ6,Route_Column!#REF!,2,FALSE),CHAR(34)," probability=",CHAR(34),1/AQ$4,CHAR(34),CHAR(47),CHAR(62)),"&lt;/routeDistribution&gt;"))</f>
        <v/>
      </c>
    </row>
    <row r="5994" spans="1:5" x14ac:dyDescent="0.25">
      <c r="A5994" t="s">
        <v>2267</v>
      </c>
      <c r="B5994" t="s">
        <v>1195</v>
      </c>
      <c r="E5994" t="str">
        <f>IF(OR(E5993="&lt;/routeDistribution&gt;",E5993=""),"",IFERROR(_xlfn.CONCAT(VLOOKUP(AQ7,Route_Column!#REF!,2,FALSE),CHAR(34)," probability=",CHAR(34),1/AQ$4,CHAR(34),CHAR(47),CHAR(62)),"&lt;/routeDistribution&gt;"))</f>
        <v/>
      </c>
    </row>
    <row r="5995" spans="1:5" x14ac:dyDescent="0.25">
      <c r="A5995" t="s">
        <v>2267</v>
      </c>
      <c r="B5995" t="s">
        <v>1196</v>
      </c>
      <c r="E5995" t="str">
        <f>IF(OR(E5994="&lt;/routeDistribution&gt;",E5994=""),"",IFERROR(_xlfn.CONCAT(VLOOKUP(AQ8,Route_Column!#REF!,2,FALSE),CHAR(34)," probability=",CHAR(34),1/AQ$4,CHAR(34),CHAR(47),CHAR(62)),"&lt;/routeDistribution&gt;"))</f>
        <v/>
      </c>
    </row>
    <row r="5996" spans="1:5" x14ac:dyDescent="0.25">
      <c r="A5996" t="s">
        <v>2153</v>
      </c>
      <c r="B5996" t="s">
        <v>1149</v>
      </c>
      <c r="E5996" t="str">
        <f>IF(OR(E5995="&lt;/routeDistribution&gt;",E5995=""),"",IFERROR(_xlfn.CONCAT(VLOOKUP(AQ9,Route_Column!#REF!,2,FALSE),CHAR(34)," probability=",CHAR(34),1/AQ$4,CHAR(34),CHAR(47),CHAR(62)),"&lt;/routeDistribution&gt;"))</f>
        <v/>
      </c>
    </row>
    <row r="5997" spans="1:5" x14ac:dyDescent="0.25">
      <c r="A5997" t="s">
        <v>2153</v>
      </c>
      <c r="B5997" t="s">
        <v>1203</v>
      </c>
      <c r="E5997" t="str">
        <f>IF(OR(E5996="&lt;/routeDistribution&gt;",E5996=""),"",IFERROR(_xlfn.CONCAT(VLOOKUP(AQ10,Route_Column!#REF!,2,FALSE),CHAR(34)," probability=",CHAR(34),1/AQ$4,CHAR(34),CHAR(47),CHAR(62)),"&lt;/routeDistribution&gt;"))</f>
        <v/>
      </c>
    </row>
    <row r="5998" spans="1:5" x14ac:dyDescent="0.25">
      <c r="A5998" t="s">
        <v>2153</v>
      </c>
      <c r="B5998" t="s">
        <v>1204</v>
      </c>
      <c r="E5998" t="str">
        <f>IF(OR(E5997="&lt;/routeDistribution&gt;",E5997=""),"",IFERROR(_xlfn.CONCAT(VLOOKUP(AQ11,Route_Column!#REF!,2,FALSE),CHAR(34)," probability=",CHAR(34),1/AQ$4,CHAR(34),CHAR(47),CHAR(62)),"&lt;/routeDistribution&gt;"))</f>
        <v/>
      </c>
    </row>
    <row r="5999" spans="1:5" x14ac:dyDescent="0.25">
      <c r="A5999" t="s">
        <v>2153</v>
      </c>
      <c r="B5999" t="s">
        <v>1218</v>
      </c>
      <c r="E5999" t="str">
        <f>IF(OR(E5998="&lt;/routeDistribution&gt;",E5998=""),"",IFERROR(_xlfn.CONCAT(VLOOKUP(AQ12,Route_Column!#REF!,2,FALSE),CHAR(34)," probability=",CHAR(34),1/AQ$4,CHAR(34),CHAR(47),CHAR(62)),"&lt;/routeDistribution&gt;"))</f>
        <v/>
      </c>
    </row>
    <row r="6000" spans="1:5" x14ac:dyDescent="0.25">
      <c r="A6000" t="s">
        <v>2153</v>
      </c>
      <c r="B6000" t="s">
        <v>1219</v>
      </c>
      <c r="E6000" t="str">
        <f>IF(OR(E5999="&lt;/routeDistribution&gt;",E5999=""),"",IFERROR(_xlfn.CONCAT(VLOOKUP(AQ13,Route_Column!#REF!,2,FALSE),CHAR(34)," probability=",CHAR(34),1/AQ$4,CHAR(34),CHAR(47),CHAR(62)),"&lt;/routeDistribution&gt;"))</f>
        <v/>
      </c>
    </row>
    <row r="6001" spans="1:5" x14ac:dyDescent="0.25">
      <c r="A6001" t="s">
        <v>2153</v>
      </c>
      <c r="B6001" t="s">
        <v>1230</v>
      </c>
      <c r="E6001" t="str">
        <f>IF(OR(E6000="&lt;/routeDistribution&gt;",E6000=""),"",IFERROR(_xlfn.CONCAT(VLOOKUP(AQ14,Route_Column!#REF!,2,FALSE),CHAR(34)," probability=",CHAR(34),1/AQ$4,CHAR(34),CHAR(47),CHAR(62)),"&lt;/routeDistribution&gt;"))</f>
        <v/>
      </c>
    </row>
    <row r="6002" spans="1:5" x14ac:dyDescent="0.25">
      <c r="A6002" t="s">
        <v>2153</v>
      </c>
      <c r="B6002" t="s">
        <v>1231</v>
      </c>
      <c r="E6002" t="str">
        <f>IF(OR(E6001="&lt;/routeDistribution&gt;",E6001=""),"",IFERROR(_xlfn.CONCAT(VLOOKUP(AQ15,Route_Column!#REF!,2,FALSE),CHAR(34)," probability=",CHAR(34),1/AQ$4,CHAR(34),CHAR(47),CHAR(62)),"&lt;/routeDistribution&gt;"))</f>
        <v/>
      </c>
    </row>
    <row r="6003" spans="1:5" x14ac:dyDescent="0.25">
      <c r="A6003" t="s">
        <v>2153</v>
      </c>
      <c r="B6003" t="s">
        <v>1253</v>
      </c>
      <c r="E6003" t="str">
        <f>IF(OR(E6002="&lt;/routeDistribution&gt;",E6002=""),"",IFERROR(_xlfn.CONCAT(VLOOKUP(AQ16,Route_Column!#REF!,2,FALSE),CHAR(34)," probability=",CHAR(34),1/AQ$4,CHAR(34),CHAR(47),CHAR(62)),"&lt;/routeDistribution&gt;"))</f>
        <v/>
      </c>
    </row>
    <row r="6004" spans="1:5" x14ac:dyDescent="0.25">
      <c r="A6004" t="s">
        <v>2078</v>
      </c>
      <c r="B6004" t="s">
        <v>1139</v>
      </c>
      <c r="E6004" t="str">
        <f>IF(OR(E6003="&lt;/routeDistribution&gt;",E6003=""),"",IFERROR(_xlfn.CONCAT(VLOOKUP(AQ17,Route_Column!#REF!,2,FALSE),CHAR(34)," probability=",CHAR(34),1/AQ$4,CHAR(34),CHAR(47),CHAR(62)),"&lt;/routeDistribution&gt;"))</f>
        <v/>
      </c>
    </row>
    <row r="6005" spans="1:5" x14ac:dyDescent="0.25">
      <c r="A6005" t="s">
        <v>2078</v>
      </c>
      <c r="B6005" t="s">
        <v>1140</v>
      </c>
      <c r="E6005" t="str">
        <f>IF(OR(E6004="&lt;/routeDistribution&gt;",E6004=""),"",IFERROR(_xlfn.CONCAT(VLOOKUP(AQ18,Route_Column!#REF!,2,FALSE),CHAR(34)," probability=",CHAR(34),1/AQ$4,CHAR(34),CHAR(47),CHAR(62)),"&lt;/routeDistribution&gt;"))</f>
        <v/>
      </c>
    </row>
    <row r="6006" spans="1:5" x14ac:dyDescent="0.25">
      <c r="A6006" t="s">
        <v>2078</v>
      </c>
      <c r="B6006" t="s">
        <v>1140</v>
      </c>
      <c r="E6006" t="str">
        <f>IF(OR(E6005="&lt;/routeDistribution&gt;",E6005=""),"",IFERROR(_xlfn.CONCAT(VLOOKUP(AQ19,Route_Column!#REF!,2,FALSE),CHAR(34)," probability=",CHAR(34),1/AQ$4,CHAR(34),CHAR(47),CHAR(62)),"&lt;/routeDistribution&gt;"))</f>
        <v/>
      </c>
    </row>
    <row r="6007" spans="1:5" x14ac:dyDescent="0.25">
      <c r="A6007" t="s">
        <v>2078</v>
      </c>
      <c r="B6007" t="s">
        <v>1141</v>
      </c>
      <c r="E6007" t="str">
        <f>IF(OR(E6006="&lt;/routeDistribution&gt;",E6006=""),"",IFERROR(_xlfn.CONCAT(VLOOKUP(AQ20,Route_Column!#REF!,2,FALSE),CHAR(34)," probability=",CHAR(34),1/AQ$4,CHAR(34),CHAR(47),CHAR(62)),"&lt;/routeDistribution&gt;"))</f>
        <v/>
      </c>
    </row>
    <row r="6008" spans="1:5" x14ac:dyDescent="0.25">
      <c r="A6008" t="s">
        <v>2078</v>
      </c>
      <c r="B6008" t="s">
        <v>1141</v>
      </c>
      <c r="E6008" t="str">
        <f>IF(OR(E6007="&lt;/routeDistribution&gt;",E6007=""),"",IFERROR(_xlfn.CONCAT(VLOOKUP(AQ21,Route_Column!#REF!,2,FALSE),CHAR(34)," probability=",CHAR(34),1/AQ$4,CHAR(34),CHAR(47),CHAR(62)),"&lt;/routeDistribution&gt;"))</f>
        <v/>
      </c>
    </row>
    <row r="6009" spans="1:5" x14ac:dyDescent="0.25">
      <c r="A6009" t="s">
        <v>2078</v>
      </c>
      <c r="B6009" t="s">
        <v>1142</v>
      </c>
      <c r="E6009" t="str">
        <f>IF(OR(E6008="&lt;/routeDistribution&gt;",E6008=""),"",IFERROR(_xlfn.CONCAT(VLOOKUP(AQ22,Route_Column!#REF!,2,FALSE),CHAR(34)," probability=",CHAR(34),1/AQ$4,CHAR(34),CHAR(47),CHAR(62)),"&lt;/routeDistribution&gt;"))</f>
        <v/>
      </c>
    </row>
    <row r="6010" spans="1:5" x14ac:dyDescent="0.25">
      <c r="A6010" t="s">
        <v>2078</v>
      </c>
      <c r="B6010" t="s">
        <v>1150</v>
      </c>
      <c r="E6010" t="str">
        <f>IF(OR(E6009="&lt;/routeDistribution&gt;",E6009=""),"",IFERROR(_xlfn.CONCAT(VLOOKUP(AQ23,Route_Column!#REF!,2,FALSE),CHAR(34)," probability=",CHAR(34),1/AQ$4,CHAR(34),CHAR(47),CHAR(62)),"&lt;/routeDistribution&gt;"))</f>
        <v/>
      </c>
    </row>
    <row r="6011" spans="1:5" x14ac:dyDescent="0.25">
      <c r="A6011" t="s">
        <v>2078</v>
      </c>
      <c r="B6011" t="s">
        <v>1150</v>
      </c>
      <c r="E6011" t="str">
        <f>IF(OR(E6010="&lt;/routeDistribution&gt;",E6010=""),"",IFERROR(_xlfn.CONCAT(VLOOKUP(AQ24,Route_Column!#REF!,2,FALSE),CHAR(34)," probability=",CHAR(34),1/AQ$4,CHAR(34),CHAR(47),CHAR(62)),"&lt;/routeDistribution&gt;"))</f>
        <v/>
      </c>
    </row>
    <row r="6012" spans="1:5" x14ac:dyDescent="0.25">
      <c r="A6012" t="s">
        <v>2078</v>
      </c>
      <c r="B6012" t="s">
        <v>1151</v>
      </c>
      <c r="E6012" t="str">
        <f>IF(OR(E6011="&lt;/routeDistribution&gt;",E6011=""),"",IFERROR(_xlfn.CONCAT(VLOOKUP(AQ25,Route_Column!#REF!,2,FALSE),CHAR(34)," probability=",CHAR(34),1/AQ$4,CHAR(34),CHAR(47),CHAR(62)),"&lt;/routeDistribution&gt;"))</f>
        <v/>
      </c>
    </row>
    <row r="6013" spans="1:5" x14ac:dyDescent="0.25">
      <c r="A6013" t="s">
        <v>2078</v>
      </c>
      <c r="B6013" t="s">
        <v>1155</v>
      </c>
      <c r="E6013" t="str">
        <f>IF(OR(E6012="&lt;/routeDistribution&gt;",E6012=""),"",IFERROR(_xlfn.CONCAT(VLOOKUP(AQ26,Route_Column!#REF!,2,FALSE),CHAR(34)," probability=",CHAR(34),1/AQ$4,CHAR(34),CHAR(47),CHAR(62)),"&lt;/routeDistribution&gt;"))</f>
        <v/>
      </c>
    </row>
    <row r="6014" spans="1:5" x14ac:dyDescent="0.25">
      <c r="A6014" t="s">
        <v>2078</v>
      </c>
      <c r="B6014" t="s">
        <v>1157</v>
      </c>
      <c r="E6014" t="str">
        <f>IF(OR(E6013="&lt;/routeDistribution&gt;",E6013=""),"",IFERROR(_xlfn.CONCAT(VLOOKUP(AQ27,Route_Column!#REF!,2,FALSE),CHAR(34)," probability=",CHAR(34),1/AQ$4,CHAR(34),CHAR(47),CHAR(62)),"&lt;/routeDistribution&gt;"))</f>
        <v/>
      </c>
    </row>
    <row r="6015" spans="1:5" x14ac:dyDescent="0.25">
      <c r="A6015" t="s">
        <v>2078</v>
      </c>
      <c r="B6015" t="s">
        <v>1158</v>
      </c>
      <c r="E6015" t="str">
        <f>IF(OR(E6014="&lt;/routeDistribution&gt;",E6014=""),"",IFERROR(_xlfn.CONCAT(VLOOKUP(AQ28,Route_Column!#REF!,2,FALSE),CHAR(34)," probability=",CHAR(34),1/AQ$4,CHAR(34),CHAR(47),CHAR(62)),"&lt;/routeDistribution&gt;"))</f>
        <v/>
      </c>
    </row>
    <row r="6016" spans="1:5" x14ac:dyDescent="0.25">
      <c r="A6016" t="s">
        <v>2078</v>
      </c>
      <c r="B6016" t="s">
        <v>1175</v>
      </c>
      <c r="E6016" t="str">
        <f>IF(OR(E6015="&lt;/routeDistribution&gt;",E6015=""),"",IFERROR(_xlfn.CONCAT(VLOOKUP(AQ29,Route_Column!#REF!,2,FALSE),CHAR(34)," probability=",CHAR(34),1/AQ$4,CHAR(34),CHAR(47),CHAR(62)),"&lt;/routeDistribution&gt;"))</f>
        <v/>
      </c>
    </row>
    <row r="6017" spans="1:5" x14ac:dyDescent="0.25">
      <c r="A6017" t="s">
        <v>2078</v>
      </c>
      <c r="B6017" t="s">
        <v>1176</v>
      </c>
      <c r="E6017" t="str">
        <f>IF(OR(E6016="&lt;/routeDistribution&gt;",E6016=""),"",IFERROR(_xlfn.CONCAT(VLOOKUP(AQ30,Route_Column!#REF!,2,FALSE),CHAR(34)," probability=",CHAR(34),1/AQ$4,CHAR(34),CHAR(47),CHAR(62)),"&lt;/routeDistribution&gt;"))</f>
        <v/>
      </c>
    </row>
    <row r="6018" spans="1:5" x14ac:dyDescent="0.25">
      <c r="A6018" t="s">
        <v>2078</v>
      </c>
      <c r="B6018" t="s">
        <v>1179</v>
      </c>
      <c r="E6018" t="str">
        <f>IF(OR(E6017="&lt;/routeDistribution&gt;",E6017=""),"",IFERROR(_xlfn.CONCAT(VLOOKUP(AQ31,Route_Column!#REF!,2,FALSE),CHAR(34)," probability=",CHAR(34),1/AQ$4,CHAR(34),CHAR(47),CHAR(62)),"&lt;/routeDistribution&gt;"))</f>
        <v/>
      </c>
    </row>
    <row r="6019" spans="1:5" x14ac:dyDescent="0.25">
      <c r="A6019" t="s">
        <v>2078</v>
      </c>
      <c r="B6019" t="s">
        <v>1205</v>
      </c>
      <c r="E6019" t="str">
        <f>IF(OR(E6018="&lt;/routeDistribution&gt;",E6018=""),"",IFERROR(_xlfn.CONCAT(VLOOKUP(AQ32,Route_Column!#REF!,2,FALSE),CHAR(34)," probability=",CHAR(34),1/AQ$4,CHAR(34),CHAR(47),CHAR(62)),"&lt;/routeDistribution&gt;"))</f>
        <v/>
      </c>
    </row>
    <row r="6020" spans="1:5" x14ac:dyDescent="0.25">
      <c r="A6020" t="s">
        <v>2078</v>
      </c>
      <c r="B6020" t="s">
        <v>1206</v>
      </c>
      <c r="E6020" t="str">
        <f>IF(OR(E6019="&lt;/routeDistribution&gt;",E6019=""),"",IFERROR(_xlfn.CONCAT(VLOOKUP(AQ33,Route_Column!#REF!,2,FALSE),CHAR(34)," probability=",CHAR(34),1/AQ$4,CHAR(34),CHAR(47),CHAR(62)),"&lt;/routeDistribution&gt;"))</f>
        <v/>
      </c>
    </row>
    <row r="6021" spans="1:5" x14ac:dyDescent="0.25">
      <c r="A6021" t="s">
        <v>2078</v>
      </c>
      <c r="B6021" t="s">
        <v>1207</v>
      </c>
      <c r="E6021" t="str">
        <f>IF(OR(E6020="&lt;/routeDistribution&gt;",E6020=""),"",IFERROR(_xlfn.CONCAT(VLOOKUP(AQ34,Route_Column!#REF!,2,FALSE),CHAR(34)," probability=",CHAR(34),1/AQ$4,CHAR(34),CHAR(47),CHAR(62)),"&lt;/routeDistribution&gt;"))</f>
        <v/>
      </c>
    </row>
    <row r="6022" spans="1:5" x14ac:dyDescent="0.25">
      <c r="A6022" t="s">
        <v>2078</v>
      </c>
      <c r="B6022" t="s">
        <v>1208</v>
      </c>
      <c r="E6022" t="str">
        <f>IF(OR(E6021="&lt;/routeDistribution&gt;",E6021=""),"",IFERROR(_xlfn.CONCAT(VLOOKUP(AQ35,Route_Column!#REF!,2,FALSE),CHAR(34)," probability=",CHAR(34),1/AQ$4,CHAR(34),CHAR(47),CHAR(62)),"&lt;/routeDistribution&gt;"))</f>
        <v/>
      </c>
    </row>
    <row r="6023" spans="1:5" x14ac:dyDescent="0.25">
      <c r="A6023" t="s">
        <v>2078</v>
      </c>
      <c r="B6023" t="s">
        <v>1226</v>
      </c>
      <c r="E6023" t="str">
        <f>IF(OR(E6022="&lt;/routeDistribution&gt;",E6022=""),"",IFERROR(_xlfn.CONCAT(VLOOKUP(AQ36,Route_Column!#REF!,2,FALSE),CHAR(34)," probability=",CHAR(34),1/AQ$4,CHAR(34),CHAR(47),CHAR(62)),"&lt;/routeDistribution&gt;"))</f>
        <v/>
      </c>
    </row>
    <row r="6024" spans="1:5" x14ac:dyDescent="0.25">
      <c r="A6024" t="s">
        <v>2078</v>
      </c>
      <c r="B6024" t="s">
        <v>1227</v>
      </c>
      <c r="E6024" t="str">
        <f>IF(OR(E6023="&lt;/routeDistribution&gt;",E6023=""),"",IFERROR(_xlfn.CONCAT(VLOOKUP(AQ37,Route_Column!#REF!,2,FALSE),CHAR(34)," probability=",CHAR(34),1/AQ$4,CHAR(34),CHAR(47),CHAR(62)),"&lt;/routeDistribution&gt;"))</f>
        <v/>
      </c>
    </row>
    <row r="6025" spans="1:5" x14ac:dyDescent="0.25">
      <c r="A6025" t="s">
        <v>2078</v>
      </c>
      <c r="B6025" t="s">
        <v>1232</v>
      </c>
      <c r="E6025" t="str">
        <f>IF(OR(E6024="&lt;/routeDistribution&gt;",E6024=""),"",IFERROR(_xlfn.CONCAT(VLOOKUP(AQ38,Route_Column!#REF!,2,FALSE),CHAR(34)," probability=",CHAR(34),1/AQ$4,CHAR(34),CHAR(47),CHAR(62)),"&lt;/routeDistribution&gt;"))</f>
        <v/>
      </c>
    </row>
    <row r="6026" spans="1:5" x14ac:dyDescent="0.25">
      <c r="A6026" t="s">
        <v>2078</v>
      </c>
      <c r="B6026" t="s">
        <v>1233</v>
      </c>
      <c r="E6026" t="str">
        <f>IF(OR(E6025="&lt;/routeDistribution&gt;",E6025=""),"",IFERROR(_xlfn.CONCAT(VLOOKUP(AQ39,Route_Column!#REF!,2,FALSE),CHAR(34)," probability=",CHAR(34),1/AQ$4,CHAR(34),CHAR(47),CHAR(62)),"&lt;/routeDistribution&gt;"))</f>
        <v/>
      </c>
    </row>
    <row r="6027" spans="1:5" x14ac:dyDescent="0.25">
      <c r="A6027" t="s">
        <v>2078</v>
      </c>
      <c r="B6027" t="s">
        <v>1233</v>
      </c>
      <c r="E6027" t="str">
        <f>IF(OR(E6026="&lt;/routeDistribution&gt;",E6026=""),"",IFERROR(_xlfn.CONCAT(VLOOKUP(AQ40,Route_Column!#REF!,2,FALSE),CHAR(34)," probability=",CHAR(34),1/AQ$4,CHAR(34),CHAR(47),CHAR(62)),"&lt;/routeDistribution&gt;"))</f>
        <v/>
      </c>
    </row>
    <row r="6028" spans="1:5" x14ac:dyDescent="0.25">
      <c r="A6028" t="s">
        <v>2078</v>
      </c>
      <c r="B6028" t="s">
        <v>1234</v>
      </c>
      <c r="E6028" t="str">
        <f>IF(OR(E6027="&lt;/routeDistribution&gt;",E6027=""),"",IFERROR(_xlfn.CONCAT(VLOOKUP(AQ41,Route_Column!#REF!,2,FALSE),CHAR(34)," probability=",CHAR(34),1/AQ$4,CHAR(34),CHAR(47),CHAR(62)),"&lt;/routeDistribution&gt;"))</f>
        <v/>
      </c>
    </row>
    <row r="6029" spans="1:5" x14ac:dyDescent="0.25">
      <c r="A6029" t="s">
        <v>2078</v>
      </c>
      <c r="B6029" t="s">
        <v>1235</v>
      </c>
      <c r="E6029" t="str">
        <f>IF(OR(E6028="&lt;/routeDistribution&gt;",E6028=""),"",IFERROR(_xlfn.CONCAT(VLOOKUP(AQ42,Route_Column!#REF!,2,FALSE),CHAR(34)," probability=",CHAR(34),1/AQ$4,CHAR(34),CHAR(47),CHAR(62)),"&lt;/routeDistribution&gt;"))</f>
        <v/>
      </c>
    </row>
    <row r="6030" spans="1:5" x14ac:dyDescent="0.25">
      <c r="A6030" t="s">
        <v>2078</v>
      </c>
      <c r="B6030" t="s">
        <v>1236</v>
      </c>
      <c r="E6030" t="str">
        <f>IF(OR(E6029="&lt;/routeDistribution&gt;",E6029=""),"",IFERROR(_xlfn.CONCAT(VLOOKUP(AQ43,Route_Column!#REF!,2,FALSE),CHAR(34)," probability=",CHAR(34),1/AQ$4,CHAR(34),CHAR(47),CHAR(62)),"&lt;/routeDistribution&gt;"))</f>
        <v/>
      </c>
    </row>
    <row r="6031" spans="1:5" x14ac:dyDescent="0.25">
      <c r="A6031" t="s">
        <v>2078</v>
      </c>
      <c r="B6031" t="s">
        <v>1237</v>
      </c>
      <c r="E6031" t="str">
        <f>IF(OR(E6030="&lt;/routeDistribution&gt;",E6030=""),"",IFERROR(_xlfn.CONCAT(VLOOKUP(AQ44,Route_Column!#REF!,2,FALSE),CHAR(34)," probability=",CHAR(34),1/AQ$4,CHAR(34),CHAR(47),CHAR(62)),"&lt;/routeDistribution&gt;"))</f>
        <v/>
      </c>
    </row>
    <row r="6032" spans="1:5" x14ac:dyDescent="0.25">
      <c r="A6032" t="s">
        <v>2078</v>
      </c>
      <c r="B6032" t="s">
        <v>1238</v>
      </c>
      <c r="E6032" t="str">
        <f>IF(OR(E6031="&lt;/routeDistribution&gt;",E6031=""),"",IFERROR(_xlfn.CONCAT(VLOOKUP(AQ45,Route_Column!#REF!,2,FALSE),CHAR(34)," probability=",CHAR(34),1/AQ$4,CHAR(34),CHAR(47),CHAR(62)),"&lt;/routeDistribution&gt;"))</f>
        <v/>
      </c>
    </row>
    <row r="6033" spans="1:5" x14ac:dyDescent="0.25">
      <c r="A6033" t="s">
        <v>2078</v>
      </c>
      <c r="B6033" t="s">
        <v>1239</v>
      </c>
      <c r="E6033" t="str">
        <f>IF(OR(E6032="&lt;/routeDistribution&gt;",E6032=""),"",IFERROR(_xlfn.CONCAT(VLOOKUP(AQ46,Route_Column!#REF!,2,FALSE),CHAR(34)," probability=",CHAR(34),1/AQ$4,CHAR(34),CHAR(47),CHAR(62)),"&lt;/routeDistribution&gt;"))</f>
        <v/>
      </c>
    </row>
    <row r="6034" spans="1:5" x14ac:dyDescent="0.25">
      <c r="A6034" t="s">
        <v>2078</v>
      </c>
      <c r="B6034" t="s">
        <v>1240</v>
      </c>
      <c r="E6034" t="str">
        <f>IF(OR(E6033="&lt;/routeDistribution&gt;",E6033=""),"",IFERROR(_xlfn.CONCAT(VLOOKUP(AQ47,Route_Column!#REF!,2,FALSE),CHAR(34)," probability=",CHAR(34),1/AQ$4,CHAR(34),CHAR(47),CHAR(62)),"&lt;/routeDistribution&gt;"))</f>
        <v/>
      </c>
    </row>
    <row r="6035" spans="1:5" x14ac:dyDescent="0.25">
      <c r="A6035" t="s">
        <v>2078</v>
      </c>
      <c r="B6035" t="s">
        <v>1241</v>
      </c>
      <c r="E6035" t="str">
        <f>IF(OR(E6034="&lt;/routeDistribution&gt;",E6034=""),"",IFERROR(_xlfn.CONCAT(VLOOKUP(AQ48,Route_Column!#REF!,2,FALSE),CHAR(34)," probability=",CHAR(34),1/AQ$4,CHAR(34),CHAR(47),CHAR(62)),"&lt;/routeDistribution&gt;"))</f>
        <v/>
      </c>
    </row>
    <row r="6036" spans="1:5" x14ac:dyDescent="0.25">
      <c r="A6036" t="s">
        <v>2078</v>
      </c>
      <c r="B6036" t="s">
        <v>1242</v>
      </c>
      <c r="E6036" t="str">
        <f>IF(OR(E6035="&lt;/routeDistribution&gt;",E6035=""),"",IFERROR(_xlfn.CONCAT(VLOOKUP(AQ49,Route_Column!#REF!,2,FALSE),CHAR(34)," probability=",CHAR(34),1/AQ$4,CHAR(34),CHAR(47),CHAR(62)),"&lt;/routeDistribution&gt;"))</f>
        <v/>
      </c>
    </row>
    <row r="6037" spans="1:5" x14ac:dyDescent="0.25">
      <c r="A6037" t="s">
        <v>2078</v>
      </c>
      <c r="B6037" t="s">
        <v>1243</v>
      </c>
      <c r="E6037" t="str">
        <f>IF(OR(E6036="&lt;/routeDistribution&gt;",E6036=""),"",IFERROR(_xlfn.CONCAT(VLOOKUP(AQ50,Route_Column!#REF!,2,FALSE),CHAR(34)," probability=",CHAR(34),1/AQ$4,CHAR(34),CHAR(47),CHAR(62)),"&lt;/routeDistribution&gt;"))</f>
        <v/>
      </c>
    </row>
    <row r="6038" spans="1:5" x14ac:dyDescent="0.25">
      <c r="A6038" t="s">
        <v>2078</v>
      </c>
      <c r="B6038" t="s">
        <v>1244</v>
      </c>
      <c r="E6038" t="str">
        <f>IF(OR(E6037="&lt;/routeDistribution&gt;",E6037=""),"",IFERROR(_xlfn.CONCAT(VLOOKUP(AQ51,Route_Column!#REF!,2,FALSE),CHAR(34)," probability=",CHAR(34),1/AQ$4,CHAR(34),CHAR(47),CHAR(62)),"&lt;/routeDistribution&gt;"))</f>
        <v/>
      </c>
    </row>
    <row r="6039" spans="1:5" x14ac:dyDescent="0.25">
      <c r="A6039" t="s">
        <v>2078</v>
      </c>
      <c r="B6039" t="s">
        <v>1245</v>
      </c>
      <c r="E6039" t="str">
        <f>IF(OR(E6038="&lt;/routeDistribution&gt;",E6038=""),"",IFERROR(_xlfn.CONCAT(VLOOKUP(AQ52,Route_Column!#REF!,2,FALSE),CHAR(34)," probability=",CHAR(34),1/AQ$4,CHAR(34),CHAR(47),CHAR(62)),"&lt;/routeDistribution&gt;"))</f>
        <v/>
      </c>
    </row>
    <row r="6040" spans="1:5" x14ac:dyDescent="0.25">
      <c r="A6040" t="s">
        <v>2078</v>
      </c>
      <c r="B6040" t="s">
        <v>1246</v>
      </c>
      <c r="E6040" t="str">
        <f>IF(OR(E6039="&lt;/routeDistribution&gt;",E6039=""),"",IFERROR(_xlfn.CONCAT(VLOOKUP(AQ53,Route_Column!#REF!,2,FALSE),CHAR(34)," probability=",CHAR(34),1/AQ$4,CHAR(34),CHAR(47),CHAR(62)),"&lt;/routeDistribution&gt;"))</f>
        <v/>
      </c>
    </row>
    <row r="6041" spans="1:5" x14ac:dyDescent="0.25">
      <c r="A6041" t="s">
        <v>2078</v>
      </c>
      <c r="B6041" t="s">
        <v>1247</v>
      </c>
      <c r="E6041" t="str">
        <f>IF(OR(E6040="&lt;/routeDistribution&gt;",E6040=""),"",IFERROR(_xlfn.CONCAT(VLOOKUP(AQ54,Route_Column!#REF!,2,FALSE),CHAR(34)," probability=",CHAR(34),1/AQ$4,CHAR(34),CHAR(47),CHAR(62)),"&lt;/routeDistribution&gt;"))</f>
        <v/>
      </c>
    </row>
    <row r="6042" spans="1:5" x14ac:dyDescent="0.25">
      <c r="A6042" t="s">
        <v>2078</v>
      </c>
      <c r="B6042" t="s">
        <v>1248</v>
      </c>
      <c r="E6042" t="str">
        <f>IF(OR(E6041="&lt;/routeDistribution&gt;",E6041=""),"",IFERROR(_xlfn.CONCAT(VLOOKUP(AQ55,Route_Column!#REF!,2,FALSE),CHAR(34)," probability=",CHAR(34),1/AQ$4,CHAR(34),CHAR(47),CHAR(62)),"&lt;/routeDistribution&gt;"))</f>
        <v/>
      </c>
    </row>
    <row r="6043" spans="1:5" x14ac:dyDescent="0.25">
      <c r="A6043" t="s">
        <v>2078</v>
      </c>
      <c r="B6043" t="s">
        <v>1249</v>
      </c>
      <c r="E6043" t="str">
        <f>IF(OR(E6042="&lt;/routeDistribution&gt;",E6042=""),"",IFERROR(_xlfn.CONCAT(VLOOKUP(AQ56,Route_Column!#REF!,2,FALSE),CHAR(34)," probability=",CHAR(34),1/AQ$4,CHAR(34),CHAR(47),CHAR(62)),"&lt;/routeDistribution&gt;"))</f>
        <v/>
      </c>
    </row>
    <row r="6044" spans="1:5" x14ac:dyDescent="0.25">
      <c r="A6044" t="s">
        <v>2078</v>
      </c>
      <c r="B6044" t="s">
        <v>1250</v>
      </c>
      <c r="E6044" t="str">
        <f>IF(OR(E6043="&lt;/routeDistribution&gt;",E6043=""),"",IFERROR(_xlfn.CONCAT(VLOOKUP(AQ57,Route_Column!#REF!,2,FALSE),CHAR(34)," probability=",CHAR(34),1/AQ$4,CHAR(34),CHAR(47),CHAR(62)),"&lt;/routeDistribution&gt;"))</f>
        <v/>
      </c>
    </row>
    <row r="6045" spans="1:5" x14ac:dyDescent="0.25">
      <c r="A6045" t="s">
        <v>2078</v>
      </c>
      <c r="B6045" t="s">
        <v>1254</v>
      </c>
      <c r="E6045" t="str">
        <f>IF(OR(E6044="&lt;/routeDistribution&gt;",E6044=""),"",IFERROR(_xlfn.CONCAT(VLOOKUP(AQ58,Route_Column!#REF!,2,FALSE),CHAR(34)," probability=",CHAR(34),1/AQ$4,CHAR(34),CHAR(47),CHAR(62)),"&lt;/routeDistribution&gt;"))</f>
        <v/>
      </c>
    </row>
    <row r="6046" spans="1:5" x14ac:dyDescent="0.25">
      <c r="A6046" t="s">
        <v>2078</v>
      </c>
      <c r="B6046" t="s">
        <v>1255</v>
      </c>
      <c r="E6046" t="str">
        <f>IF(OR(E6045="&lt;/routeDistribution&gt;",E6045=""),"",IFERROR(_xlfn.CONCAT(VLOOKUP(AQ59,Route_Column!#REF!,2,FALSE),CHAR(34)," probability=",CHAR(34),1/AQ$4,CHAR(34),CHAR(47),CHAR(62)),"&lt;/routeDistribution&gt;"))</f>
        <v/>
      </c>
    </row>
    <row r="6047" spans="1:5" x14ac:dyDescent="0.25">
      <c r="A6047" t="s">
        <v>1820</v>
      </c>
      <c r="B6047" t="s">
        <v>1108</v>
      </c>
      <c r="E6047" t="str">
        <f>IF(OR(E6046="&lt;/routeDistribution&gt;",E6046=""),"",IFERROR(_xlfn.CONCAT(VLOOKUP(AQ60,Route_Column!#REF!,2,FALSE),CHAR(34)," probability=",CHAR(34),1/AQ$4,CHAR(34),CHAR(47),CHAR(62)),"&lt;/routeDistribution&gt;"))</f>
        <v/>
      </c>
    </row>
    <row r="6048" spans="1:5" x14ac:dyDescent="0.25">
      <c r="A6048" t="s">
        <v>1820</v>
      </c>
      <c r="B6048" t="s">
        <v>1160</v>
      </c>
      <c r="E6048" t="str">
        <f>IF(OR(E6047="&lt;/routeDistribution&gt;",E6047=""),"",IFERROR(_xlfn.CONCAT(VLOOKUP(AQ61,Route_Column!#REF!,2,FALSE),CHAR(34)," probability=",CHAR(34),1/AQ$4,CHAR(34),CHAR(47),CHAR(62)),"&lt;/routeDistribution&gt;"))</f>
        <v/>
      </c>
    </row>
    <row r="6049" spans="1:5" x14ac:dyDescent="0.25">
      <c r="A6049" t="s">
        <v>1820</v>
      </c>
      <c r="B6049" t="s">
        <v>1174</v>
      </c>
      <c r="E6049" t="str">
        <f>IF(OR(E6048="&lt;/routeDistribution&gt;",E6048=""),"",IFERROR(_xlfn.CONCAT(VLOOKUP(AQ62,Route_Column!#REF!,2,FALSE),CHAR(34)," probability=",CHAR(34),1/AQ$4,CHAR(34),CHAR(47),CHAR(62)),"&lt;/routeDistribution&gt;"))</f>
        <v/>
      </c>
    </row>
    <row r="6050" spans="1:5" x14ac:dyDescent="0.25">
      <c r="A6050" t="s">
        <v>1820</v>
      </c>
      <c r="B6050" t="s">
        <v>1199</v>
      </c>
      <c r="E6050" t="str">
        <f>IF(OR(E6049="&lt;/routeDistribution&gt;",E6049=""),"",IFERROR(_xlfn.CONCAT(VLOOKUP(AQ63,Route_Column!#REF!,2,FALSE),CHAR(34)," probability=",CHAR(34),1/AQ$4,CHAR(34),CHAR(47),CHAR(62)),"&lt;/routeDistribution&gt;"))</f>
        <v/>
      </c>
    </row>
    <row r="6051" spans="1:5" x14ac:dyDescent="0.25">
      <c r="A6051" t="s">
        <v>1820</v>
      </c>
      <c r="B6051" t="s">
        <v>1200</v>
      </c>
      <c r="E6051" t="s">
        <v>2686</v>
      </c>
    </row>
    <row r="6052" spans="1:5" x14ac:dyDescent="0.25">
      <c r="A6052" t="s">
        <v>1819</v>
      </c>
      <c r="B6052" t="s">
        <v>1108</v>
      </c>
    </row>
    <row r="6053" spans="1:5" x14ac:dyDescent="0.25">
      <c r="A6053" t="s">
        <v>1819</v>
      </c>
      <c r="B6053" t="s">
        <v>1160</v>
      </c>
    </row>
    <row r="6054" spans="1:5" x14ac:dyDescent="0.25">
      <c r="A6054" t="s">
        <v>1819</v>
      </c>
      <c r="B6054" t="s">
        <v>1174</v>
      </c>
      <c r="E6054" t="str">
        <f>_xlfn.CONCAT($E$1,AP$2,$F$1)</f>
        <v>&lt;routeDistribution id="SPGRst-38th-33rd-EB-2013-RouteProbe"&gt;</v>
      </c>
    </row>
    <row r="6055" spans="1:5" x14ac:dyDescent="0.25">
      <c r="A6055" t="s">
        <v>1819</v>
      </c>
      <c r="B6055" t="s">
        <v>1199</v>
      </c>
      <c r="E6055" t="str">
        <f>IF(OR(E6054="&lt;/routeDistribution&gt;",E6054=""),"",IFERROR(_xlfn.CONCAT(VLOOKUP(AP5,Route_Column!#REF!,2,FALSE),CHAR(34)," probability=",CHAR(34),1/AP$4,CHAR(34),CHAR(47),CHAR(62)),"&lt;/routeDistribution&gt;"))</f>
        <v>&lt;/routeDistribution&gt;</v>
      </c>
    </row>
    <row r="6056" spans="1:5" x14ac:dyDescent="0.25">
      <c r="A6056" t="s">
        <v>1819</v>
      </c>
      <c r="B6056" t="s">
        <v>1200</v>
      </c>
      <c r="E6056" t="str">
        <f>IF(OR(E6055="&lt;/routeDistribution&gt;",E6055=""),"",IFERROR(_xlfn.CONCAT(VLOOKUP(AP6,Route_Column!#REF!,2,FALSE),CHAR(34)," probability=",CHAR(34),1/AP$4,CHAR(34),CHAR(47),CHAR(62)),"&lt;/routeDistribution&gt;"))</f>
        <v/>
      </c>
    </row>
    <row r="6057" spans="1:5" x14ac:dyDescent="0.25">
      <c r="A6057" t="s">
        <v>1841</v>
      </c>
      <c r="B6057" t="s">
        <v>1108</v>
      </c>
      <c r="E6057" t="str">
        <f>IF(OR(E6056="&lt;/routeDistribution&gt;",E6056=""),"",IFERROR(_xlfn.CONCAT(VLOOKUP(AP7,Route_Column!#REF!,2,FALSE),CHAR(34)," probability=",CHAR(34),1/AP$4,CHAR(34),CHAR(47),CHAR(62)),"&lt;/routeDistribution&gt;"))</f>
        <v/>
      </c>
    </row>
    <row r="6058" spans="1:5" x14ac:dyDescent="0.25">
      <c r="A6058" t="s">
        <v>1841</v>
      </c>
      <c r="B6058" t="s">
        <v>1160</v>
      </c>
      <c r="E6058" t="str">
        <f>IF(OR(E6057="&lt;/routeDistribution&gt;",E6057=""),"",IFERROR(_xlfn.CONCAT(VLOOKUP(AP8,Route_Column!#REF!,2,FALSE),CHAR(34)," probability=",CHAR(34),1/AP$4,CHAR(34),CHAR(47),CHAR(62)),"&lt;/routeDistribution&gt;"))</f>
        <v/>
      </c>
    </row>
    <row r="6059" spans="1:5" x14ac:dyDescent="0.25">
      <c r="A6059" t="s">
        <v>1841</v>
      </c>
      <c r="B6059" t="s">
        <v>1174</v>
      </c>
      <c r="E6059" t="str">
        <f>IF(OR(E6058="&lt;/routeDistribution&gt;",E6058=""),"",IFERROR(_xlfn.CONCAT(VLOOKUP(AP9,Route_Column!#REF!,2,FALSE),CHAR(34)," probability=",CHAR(34),1/AP$4,CHAR(34),CHAR(47),CHAR(62)),"&lt;/routeDistribution&gt;"))</f>
        <v/>
      </c>
    </row>
    <row r="6060" spans="1:5" x14ac:dyDescent="0.25">
      <c r="A6060" t="s">
        <v>1841</v>
      </c>
      <c r="B6060" t="s">
        <v>1175</v>
      </c>
      <c r="E6060" t="str">
        <f>IF(OR(E6059="&lt;/routeDistribution&gt;",E6059=""),"",IFERROR(_xlfn.CONCAT(VLOOKUP(AP10,Route_Column!#REF!,2,FALSE),CHAR(34)," probability=",CHAR(34),1/AP$4,CHAR(34),CHAR(47),CHAR(62)),"&lt;/routeDistribution&gt;"))</f>
        <v/>
      </c>
    </row>
    <row r="6061" spans="1:5" x14ac:dyDescent="0.25">
      <c r="A6061" t="s">
        <v>1841</v>
      </c>
      <c r="B6061" t="s">
        <v>1199</v>
      </c>
      <c r="E6061" t="str">
        <f>IF(OR(E6060="&lt;/routeDistribution&gt;",E6060=""),"",IFERROR(_xlfn.CONCAT(VLOOKUP(AP11,Route_Column!#REF!,2,FALSE),CHAR(34)," probability=",CHAR(34),1/AP$4,CHAR(34),CHAR(47),CHAR(62)),"&lt;/routeDistribution&gt;"))</f>
        <v/>
      </c>
    </row>
    <row r="6062" spans="1:5" x14ac:dyDescent="0.25">
      <c r="A6062" t="s">
        <v>1841</v>
      </c>
      <c r="B6062" t="s">
        <v>1212</v>
      </c>
      <c r="E6062" t="str">
        <f>IF(OR(E6061="&lt;/routeDistribution&gt;",E6061=""),"",IFERROR(_xlfn.CONCAT(VLOOKUP(AP12,Route_Column!#REF!,2,FALSE),CHAR(34)," probability=",CHAR(34),1/AP$4,CHAR(34),CHAR(47),CHAR(62)),"&lt;/routeDistribution&gt;"))</f>
        <v/>
      </c>
    </row>
    <row r="6063" spans="1:5" x14ac:dyDescent="0.25">
      <c r="A6063" t="s">
        <v>1841</v>
      </c>
      <c r="B6063" t="s">
        <v>1214</v>
      </c>
      <c r="E6063" t="str">
        <f>IF(OR(E6062="&lt;/routeDistribution&gt;",E6062=""),"",IFERROR(_xlfn.CONCAT(VLOOKUP(AP13,Route_Column!#REF!,2,FALSE),CHAR(34)," probability=",CHAR(34),1/AP$4,CHAR(34),CHAR(47),CHAR(62)),"&lt;/routeDistribution&gt;"))</f>
        <v/>
      </c>
    </row>
    <row r="6064" spans="1:5" x14ac:dyDescent="0.25">
      <c r="A6064" t="s">
        <v>1841</v>
      </c>
      <c r="B6064" t="s">
        <v>1233</v>
      </c>
      <c r="E6064" t="str">
        <f>IF(OR(E6063="&lt;/routeDistribution&gt;",E6063=""),"",IFERROR(_xlfn.CONCAT(VLOOKUP(AP14,Route_Column!#REF!,2,FALSE),CHAR(34)," probability=",CHAR(34),1/AP$4,CHAR(34),CHAR(47),CHAR(62)),"&lt;/routeDistribution&gt;"))</f>
        <v/>
      </c>
    </row>
    <row r="6065" spans="1:5" x14ac:dyDescent="0.25">
      <c r="A6065" t="s">
        <v>1841</v>
      </c>
      <c r="B6065" t="s">
        <v>1252</v>
      </c>
      <c r="E6065" t="str">
        <f>IF(OR(E6064="&lt;/routeDistribution&gt;",E6064=""),"",IFERROR(_xlfn.CONCAT(VLOOKUP(AP15,Route_Column!#REF!,2,FALSE),CHAR(34)," probability=",CHAR(34),1/AP$4,CHAR(34),CHAR(47),CHAR(62)),"&lt;/routeDistribution&gt;"))</f>
        <v/>
      </c>
    </row>
    <row r="6066" spans="1:5" x14ac:dyDescent="0.25">
      <c r="A6066" t="s">
        <v>1842</v>
      </c>
      <c r="B6066" t="s">
        <v>1108</v>
      </c>
      <c r="E6066" t="str">
        <f>IF(OR(E6065="&lt;/routeDistribution&gt;",E6065=""),"",IFERROR(_xlfn.CONCAT(VLOOKUP(AP16,Route_Column!#REF!,2,FALSE),CHAR(34)," probability=",CHAR(34),1/AP$4,CHAR(34),CHAR(47),CHAR(62)),"&lt;/routeDistribution&gt;"))</f>
        <v/>
      </c>
    </row>
    <row r="6067" spans="1:5" x14ac:dyDescent="0.25">
      <c r="A6067" t="s">
        <v>1842</v>
      </c>
      <c r="B6067" t="s">
        <v>1160</v>
      </c>
      <c r="E6067" t="str">
        <f>IF(OR(E6066="&lt;/routeDistribution&gt;",E6066=""),"",IFERROR(_xlfn.CONCAT(VLOOKUP(AP17,Route_Column!#REF!,2,FALSE),CHAR(34)," probability=",CHAR(34),1/AP$4,CHAR(34),CHAR(47),CHAR(62)),"&lt;/routeDistribution&gt;"))</f>
        <v/>
      </c>
    </row>
    <row r="6068" spans="1:5" x14ac:dyDescent="0.25">
      <c r="A6068" t="s">
        <v>1842</v>
      </c>
      <c r="B6068" t="s">
        <v>1174</v>
      </c>
      <c r="E6068" t="str">
        <f>IF(OR(E6067="&lt;/routeDistribution&gt;",E6067=""),"",IFERROR(_xlfn.CONCAT(VLOOKUP(AP18,Route_Column!#REF!,2,FALSE),CHAR(34)," probability=",CHAR(34),1/AP$4,CHAR(34),CHAR(47),CHAR(62)),"&lt;/routeDistribution&gt;"))</f>
        <v/>
      </c>
    </row>
    <row r="6069" spans="1:5" x14ac:dyDescent="0.25">
      <c r="A6069" t="s">
        <v>1842</v>
      </c>
      <c r="B6069" t="s">
        <v>1175</v>
      </c>
      <c r="E6069" t="str">
        <f>IF(OR(E6068="&lt;/routeDistribution&gt;",E6068=""),"",IFERROR(_xlfn.CONCAT(VLOOKUP(AP19,Route_Column!#REF!,2,FALSE),CHAR(34)," probability=",CHAR(34),1/AP$4,CHAR(34),CHAR(47),CHAR(62)),"&lt;/routeDistribution&gt;"))</f>
        <v/>
      </c>
    </row>
    <row r="6070" spans="1:5" x14ac:dyDescent="0.25">
      <c r="A6070" t="s">
        <v>1842</v>
      </c>
      <c r="B6070" t="s">
        <v>1199</v>
      </c>
      <c r="E6070" t="str">
        <f>IF(OR(E6069="&lt;/routeDistribution&gt;",E6069=""),"",IFERROR(_xlfn.CONCAT(VLOOKUP(AP20,Route_Column!#REF!,2,FALSE),CHAR(34)," probability=",CHAR(34),1/AP$4,CHAR(34),CHAR(47),CHAR(62)),"&lt;/routeDistribution&gt;"))</f>
        <v/>
      </c>
    </row>
    <row r="6071" spans="1:5" x14ac:dyDescent="0.25">
      <c r="A6071" t="s">
        <v>1842</v>
      </c>
      <c r="B6071" t="s">
        <v>1212</v>
      </c>
      <c r="E6071" t="str">
        <f>IF(OR(E6070="&lt;/routeDistribution&gt;",E6070=""),"",IFERROR(_xlfn.CONCAT(VLOOKUP(AP21,Route_Column!#REF!,2,FALSE),CHAR(34)," probability=",CHAR(34),1/AP$4,CHAR(34),CHAR(47),CHAR(62)),"&lt;/routeDistribution&gt;"))</f>
        <v/>
      </c>
    </row>
    <row r="6072" spans="1:5" x14ac:dyDescent="0.25">
      <c r="A6072" t="s">
        <v>1842</v>
      </c>
      <c r="B6072" t="s">
        <v>1214</v>
      </c>
      <c r="E6072" t="str">
        <f>IF(OR(E6071="&lt;/routeDistribution&gt;",E6071=""),"",IFERROR(_xlfn.CONCAT(VLOOKUP(AP22,Route_Column!#REF!,2,FALSE),CHAR(34)," probability=",CHAR(34),1/AP$4,CHAR(34),CHAR(47),CHAR(62)),"&lt;/routeDistribution&gt;"))</f>
        <v/>
      </c>
    </row>
    <row r="6073" spans="1:5" x14ac:dyDescent="0.25">
      <c r="A6073" t="s">
        <v>1842</v>
      </c>
      <c r="B6073" t="s">
        <v>1233</v>
      </c>
      <c r="E6073" t="str">
        <f>IF(OR(E6072="&lt;/routeDistribution&gt;",E6072=""),"",IFERROR(_xlfn.CONCAT(VLOOKUP(AP23,Route_Column!#REF!,2,FALSE),CHAR(34)," probability=",CHAR(34),1/AP$4,CHAR(34),CHAR(47),CHAR(62)),"&lt;/routeDistribution&gt;"))</f>
        <v/>
      </c>
    </row>
    <row r="6074" spans="1:5" x14ac:dyDescent="0.25">
      <c r="A6074" t="s">
        <v>1842</v>
      </c>
      <c r="B6074" t="s">
        <v>1252</v>
      </c>
      <c r="E6074" t="str">
        <f>IF(OR(E6073="&lt;/routeDistribution&gt;",E6073=""),"",IFERROR(_xlfn.CONCAT(VLOOKUP(AP24,Route_Column!#REF!,2,FALSE),CHAR(34)," probability=",CHAR(34),1/AP$4,CHAR(34),CHAR(47),CHAR(62)),"&lt;/routeDistribution&gt;"))</f>
        <v/>
      </c>
    </row>
    <row r="6075" spans="1:5" x14ac:dyDescent="0.25">
      <c r="A6075" t="s">
        <v>2194</v>
      </c>
      <c r="B6075" t="s">
        <v>1160</v>
      </c>
      <c r="E6075" t="str">
        <f>IF(OR(E6074="&lt;/routeDistribution&gt;",E6074=""),"",IFERROR(_xlfn.CONCAT(VLOOKUP(AP25,Route_Column!#REF!,2,FALSE),CHAR(34)," probability=",CHAR(34),1/AP$4,CHAR(34),CHAR(47),CHAR(62)),"&lt;/routeDistribution&gt;"))</f>
        <v/>
      </c>
    </row>
    <row r="6076" spans="1:5" x14ac:dyDescent="0.25">
      <c r="A6076" t="s">
        <v>2194</v>
      </c>
      <c r="B6076" t="s">
        <v>1161</v>
      </c>
      <c r="E6076" t="str">
        <f>IF(OR(E6075="&lt;/routeDistribution&gt;",E6075=""),"",IFERROR(_xlfn.CONCAT(VLOOKUP(AP26,Route_Column!#REF!,2,FALSE),CHAR(34)," probability=",CHAR(34),1/AP$4,CHAR(34),CHAR(47),CHAR(62)),"&lt;/routeDistribution&gt;"))</f>
        <v/>
      </c>
    </row>
    <row r="6077" spans="1:5" x14ac:dyDescent="0.25">
      <c r="A6077" t="s">
        <v>2194</v>
      </c>
      <c r="B6077" t="s">
        <v>1162</v>
      </c>
      <c r="E6077" t="str">
        <f>IF(OR(E6076="&lt;/routeDistribution&gt;",E6076=""),"",IFERROR(_xlfn.CONCAT(VLOOKUP(AP27,Route_Column!#REF!,2,FALSE),CHAR(34)," probability=",CHAR(34),1/AP$4,CHAR(34),CHAR(47),CHAR(62)),"&lt;/routeDistribution&gt;"))</f>
        <v/>
      </c>
    </row>
    <row r="6078" spans="1:5" x14ac:dyDescent="0.25">
      <c r="A6078" t="s">
        <v>2194</v>
      </c>
      <c r="B6078" t="s">
        <v>1163</v>
      </c>
      <c r="E6078" t="str">
        <f>IF(OR(E6077="&lt;/routeDistribution&gt;",E6077=""),"",IFERROR(_xlfn.CONCAT(VLOOKUP(AP28,Route_Column!#REF!,2,FALSE),CHAR(34)," probability=",CHAR(34),1/AP$4,CHAR(34),CHAR(47),CHAR(62)),"&lt;/routeDistribution&gt;"))</f>
        <v/>
      </c>
    </row>
    <row r="6079" spans="1:5" x14ac:dyDescent="0.25">
      <c r="A6079" t="s">
        <v>2194</v>
      </c>
      <c r="B6079" t="s">
        <v>1164</v>
      </c>
      <c r="E6079" t="str">
        <f>IF(OR(E6078="&lt;/routeDistribution&gt;",E6078=""),"",IFERROR(_xlfn.CONCAT(VLOOKUP(AP29,Route_Column!#REF!,2,FALSE),CHAR(34)," probability=",CHAR(34),1/AP$4,CHAR(34),CHAR(47),CHAR(62)),"&lt;/routeDistribution&gt;"))</f>
        <v/>
      </c>
    </row>
    <row r="6080" spans="1:5" x14ac:dyDescent="0.25">
      <c r="A6080" t="s">
        <v>2194</v>
      </c>
      <c r="B6080" t="s">
        <v>1165</v>
      </c>
      <c r="E6080" t="str">
        <f>IF(OR(E6079="&lt;/routeDistribution&gt;",E6079=""),"",IFERROR(_xlfn.CONCAT(VLOOKUP(AP30,Route_Column!#REF!,2,FALSE),CHAR(34)," probability=",CHAR(34),1/AP$4,CHAR(34),CHAR(47),CHAR(62)),"&lt;/routeDistribution&gt;"))</f>
        <v/>
      </c>
    </row>
    <row r="6081" spans="1:5" x14ac:dyDescent="0.25">
      <c r="A6081" t="s">
        <v>2195</v>
      </c>
      <c r="B6081" t="s">
        <v>1160</v>
      </c>
      <c r="E6081" t="str">
        <f>IF(OR(E6080="&lt;/routeDistribution&gt;",E6080=""),"",IFERROR(_xlfn.CONCAT(VLOOKUP(AP31,Route_Column!#REF!,2,FALSE),CHAR(34)," probability=",CHAR(34),1/AP$4,CHAR(34),CHAR(47),CHAR(62)),"&lt;/routeDistribution&gt;"))</f>
        <v/>
      </c>
    </row>
    <row r="6082" spans="1:5" x14ac:dyDescent="0.25">
      <c r="A6082" t="s">
        <v>2195</v>
      </c>
      <c r="B6082" t="s">
        <v>1161</v>
      </c>
      <c r="E6082" t="str">
        <f>IF(OR(E6081="&lt;/routeDistribution&gt;",E6081=""),"",IFERROR(_xlfn.CONCAT(VLOOKUP(AP32,Route_Column!#REF!,2,FALSE),CHAR(34)," probability=",CHAR(34),1/AP$4,CHAR(34),CHAR(47),CHAR(62)),"&lt;/routeDistribution&gt;"))</f>
        <v/>
      </c>
    </row>
    <row r="6083" spans="1:5" x14ac:dyDescent="0.25">
      <c r="A6083" t="s">
        <v>2195</v>
      </c>
      <c r="B6083" t="s">
        <v>1162</v>
      </c>
      <c r="E6083" t="str">
        <f>IF(OR(E6082="&lt;/routeDistribution&gt;",E6082=""),"",IFERROR(_xlfn.CONCAT(VLOOKUP(AP33,Route_Column!#REF!,2,FALSE),CHAR(34)," probability=",CHAR(34),1/AP$4,CHAR(34),CHAR(47),CHAR(62)),"&lt;/routeDistribution&gt;"))</f>
        <v/>
      </c>
    </row>
    <row r="6084" spans="1:5" x14ac:dyDescent="0.25">
      <c r="A6084" t="s">
        <v>2195</v>
      </c>
      <c r="B6084" t="s">
        <v>1163</v>
      </c>
      <c r="E6084" t="str">
        <f>IF(OR(E6083="&lt;/routeDistribution&gt;",E6083=""),"",IFERROR(_xlfn.CONCAT(VLOOKUP(AP34,Route_Column!#REF!,2,FALSE),CHAR(34)," probability=",CHAR(34),1/AP$4,CHAR(34),CHAR(47),CHAR(62)),"&lt;/routeDistribution&gt;"))</f>
        <v/>
      </c>
    </row>
    <row r="6085" spans="1:5" x14ac:dyDescent="0.25">
      <c r="A6085" t="s">
        <v>2195</v>
      </c>
      <c r="B6085" t="s">
        <v>1164</v>
      </c>
      <c r="E6085" t="str">
        <f>IF(OR(E6084="&lt;/routeDistribution&gt;",E6084=""),"",IFERROR(_xlfn.CONCAT(VLOOKUP(AP35,Route_Column!#REF!,2,FALSE),CHAR(34)," probability=",CHAR(34),1/AP$4,CHAR(34),CHAR(47),CHAR(62)),"&lt;/routeDistribution&gt;"))</f>
        <v/>
      </c>
    </row>
    <row r="6086" spans="1:5" x14ac:dyDescent="0.25">
      <c r="A6086" t="s">
        <v>2195</v>
      </c>
      <c r="B6086" t="s">
        <v>1165</v>
      </c>
      <c r="E6086" t="str">
        <f>IF(OR(E6085="&lt;/routeDistribution&gt;",E6085=""),"",IFERROR(_xlfn.CONCAT(VLOOKUP(AP36,Route_Column!#REF!,2,FALSE),CHAR(34)," probability=",CHAR(34),1/AP$4,CHAR(34),CHAR(47),CHAR(62)),"&lt;/routeDistribution&gt;"))</f>
        <v/>
      </c>
    </row>
    <row r="6087" spans="1:5" x14ac:dyDescent="0.25">
      <c r="A6087" t="s">
        <v>2196</v>
      </c>
      <c r="B6087" t="s">
        <v>1160</v>
      </c>
      <c r="E6087" t="str">
        <f>IF(OR(E6086="&lt;/routeDistribution&gt;",E6086=""),"",IFERROR(_xlfn.CONCAT(VLOOKUP(AP37,Route_Column!#REF!,2,FALSE),CHAR(34)," probability=",CHAR(34),1/AP$4,CHAR(34),CHAR(47),CHAR(62)),"&lt;/routeDistribution&gt;"))</f>
        <v/>
      </c>
    </row>
    <row r="6088" spans="1:5" x14ac:dyDescent="0.25">
      <c r="A6088" t="s">
        <v>2196</v>
      </c>
      <c r="B6088" t="s">
        <v>1161</v>
      </c>
      <c r="E6088" t="str">
        <f>IF(OR(E6087="&lt;/routeDistribution&gt;",E6087=""),"",IFERROR(_xlfn.CONCAT(VLOOKUP(AP38,Route_Column!#REF!,2,FALSE),CHAR(34)," probability=",CHAR(34),1/AP$4,CHAR(34),CHAR(47),CHAR(62)),"&lt;/routeDistribution&gt;"))</f>
        <v/>
      </c>
    </row>
    <row r="6089" spans="1:5" x14ac:dyDescent="0.25">
      <c r="A6089" t="s">
        <v>2196</v>
      </c>
      <c r="B6089" t="s">
        <v>1162</v>
      </c>
      <c r="E6089" t="str">
        <f>IF(OR(E6088="&lt;/routeDistribution&gt;",E6088=""),"",IFERROR(_xlfn.CONCAT(VLOOKUP(AP39,Route_Column!#REF!,2,FALSE),CHAR(34)," probability=",CHAR(34),1/AP$4,CHAR(34),CHAR(47),CHAR(62)),"&lt;/routeDistribution&gt;"))</f>
        <v/>
      </c>
    </row>
    <row r="6090" spans="1:5" x14ac:dyDescent="0.25">
      <c r="A6090" t="s">
        <v>2196</v>
      </c>
      <c r="B6090" t="s">
        <v>1163</v>
      </c>
      <c r="E6090" t="str">
        <f>IF(OR(E6089="&lt;/routeDistribution&gt;",E6089=""),"",IFERROR(_xlfn.CONCAT(VLOOKUP(AP40,Route_Column!#REF!,2,FALSE),CHAR(34)," probability=",CHAR(34),1/AP$4,CHAR(34),CHAR(47),CHAR(62)),"&lt;/routeDistribution&gt;"))</f>
        <v/>
      </c>
    </row>
    <row r="6091" spans="1:5" x14ac:dyDescent="0.25">
      <c r="A6091" t="s">
        <v>2196</v>
      </c>
      <c r="B6091" t="s">
        <v>1164</v>
      </c>
      <c r="E6091" t="str">
        <f>IF(OR(E6090="&lt;/routeDistribution&gt;",E6090=""),"",IFERROR(_xlfn.CONCAT(VLOOKUP(AP41,Route_Column!#REF!,2,FALSE),CHAR(34)," probability=",CHAR(34),1/AP$4,CHAR(34),CHAR(47),CHAR(62)),"&lt;/routeDistribution&gt;"))</f>
        <v/>
      </c>
    </row>
    <row r="6092" spans="1:5" x14ac:dyDescent="0.25">
      <c r="A6092" t="s">
        <v>2196</v>
      </c>
      <c r="B6092" t="s">
        <v>1165</v>
      </c>
      <c r="E6092" t="str">
        <f>IF(OR(E6091="&lt;/routeDistribution&gt;",E6091=""),"",IFERROR(_xlfn.CONCAT(VLOOKUP(AP42,Route_Column!#REF!,2,FALSE),CHAR(34)," probability=",CHAR(34),1/AP$4,CHAR(34),CHAR(47),CHAR(62)),"&lt;/routeDistribution&gt;"))</f>
        <v/>
      </c>
    </row>
    <row r="6093" spans="1:5" x14ac:dyDescent="0.25">
      <c r="A6093" t="s">
        <v>2197</v>
      </c>
      <c r="B6093" t="s">
        <v>1160</v>
      </c>
      <c r="E6093" t="str">
        <f>IF(OR(E6092="&lt;/routeDistribution&gt;",E6092=""),"",IFERROR(_xlfn.CONCAT(VLOOKUP(AP43,Route_Column!#REF!,2,FALSE),CHAR(34)," probability=",CHAR(34),1/AP$4,CHAR(34),CHAR(47),CHAR(62)),"&lt;/routeDistribution&gt;"))</f>
        <v/>
      </c>
    </row>
    <row r="6094" spans="1:5" x14ac:dyDescent="0.25">
      <c r="A6094" t="s">
        <v>2197</v>
      </c>
      <c r="B6094" t="s">
        <v>1161</v>
      </c>
      <c r="E6094" t="str">
        <f>IF(OR(E6093="&lt;/routeDistribution&gt;",E6093=""),"",IFERROR(_xlfn.CONCAT(VLOOKUP(AP44,Route_Column!#REF!,2,FALSE),CHAR(34)," probability=",CHAR(34),1/AP$4,CHAR(34),CHAR(47),CHAR(62)),"&lt;/routeDistribution&gt;"))</f>
        <v/>
      </c>
    </row>
    <row r="6095" spans="1:5" x14ac:dyDescent="0.25">
      <c r="A6095" t="s">
        <v>2197</v>
      </c>
      <c r="B6095" t="s">
        <v>1162</v>
      </c>
      <c r="E6095" t="str">
        <f>IF(OR(E6094="&lt;/routeDistribution&gt;",E6094=""),"",IFERROR(_xlfn.CONCAT(VLOOKUP(AP45,Route_Column!#REF!,2,FALSE),CHAR(34)," probability=",CHAR(34),1/AP$4,CHAR(34),CHAR(47),CHAR(62)),"&lt;/routeDistribution&gt;"))</f>
        <v/>
      </c>
    </row>
    <row r="6096" spans="1:5" x14ac:dyDescent="0.25">
      <c r="A6096" t="s">
        <v>2197</v>
      </c>
      <c r="B6096" t="s">
        <v>1163</v>
      </c>
      <c r="E6096" t="str">
        <f>IF(OR(E6095="&lt;/routeDistribution&gt;",E6095=""),"",IFERROR(_xlfn.CONCAT(VLOOKUP(AP46,Route_Column!#REF!,2,FALSE),CHAR(34)," probability=",CHAR(34),1/AP$4,CHAR(34),CHAR(47),CHAR(62)),"&lt;/routeDistribution&gt;"))</f>
        <v/>
      </c>
    </row>
    <row r="6097" spans="1:5" x14ac:dyDescent="0.25">
      <c r="A6097" t="s">
        <v>2197</v>
      </c>
      <c r="B6097" t="s">
        <v>1164</v>
      </c>
      <c r="E6097" t="str">
        <f>IF(OR(E6096="&lt;/routeDistribution&gt;",E6096=""),"",IFERROR(_xlfn.CONCAT(VLOOKUP(AP47,Route_Column!#REF!,2,FALSE),CHAR(34)," probability=",CHAR(34),1/AP$4,CHAR(34),CHAR(47),CHAR(62)),"&lt;/routeDistribution&gt;"))</f>
        <v/>
      </c>
    </row>
    <row r="6098" spans="1:5" x14ac:dyDescent="0.25">
      <c r="A6098" t="s">
        <v>2197</v>
      </c>
      <c r="B6098" t="s">
        <v>1165</v>
      </c>
      <c r="E6098" t="str">
        <f>IF(OR(E6097="&lt;/routeDistribution&gt;",E6097=""),"",IFERROR(_xlfn.CONCAT(VLOOKUP(AP48,Route_Column!#REF!,2,FALSE),CHAR(34)," probability=",CHAR(34),1/AP$4,CHAR(34),CHAR(47),CHAR(62)),"&lt;/routeDistribution&gt;"))</f>
        <v/>
      </c>
    </row>
    <row r="6099" spans="1:5" x14ac:dyDescent="0.25">
      <c r="A6099" t="s">
        <v>1923</v>
      </c>
      <c r="B6099" t="s">
        <v>1113</v>
      </c>
      <c r="E6099" t="str">
        <f>IF(OR(E6098="&lt;/routeDistribution&gt;",E6098=""),"",IFERROR(_xlfn.CONCAT(VLOOKUP(AP49,Route_Column!#REF!,2,FALSE),CHAR(34)," probability=",CHAR(34),1/AP$4,CHAR(34),CHAR(47),CHAR(62)),"&lt;/routeDistribution&gt;"))</f>
        <v/>
      </c>
    </row>
    <row r="6100" spans="1:5" x14ac:dyDescent="0.25">
      <c r="A6100" t="s">
        <v>1923</v>
      </c>
      <c r="B6100" t="s">
        <v>1114</v>
      </c>
      <c r="E6100" t="str">
        <f>IF(OR(E6099="&lt;/routeDistribution&gt;",E6099=""),"",IFERROR(_xlfn.CONCAT(VLOOKUP(AP50,Route_Column!#REF!,2,FALSE),CHAR(34)," probability=",CHAR(34),1/AP$4,CHAR(34),CHAR(47),CHAR(62)),"&lt;/routeDistribution&gt;"))</f>
        <v/>
      </c>
    </row>
    <row r="6101" spans="1:5" x14ac:dyDescent="0.25">
      <c r="A6101" t="s">
        <v>1923</v>
      </c>
      <c r="B6101" t="s">
        <v>1133</v>
      </c>
      <c r="E6101" t="str">
        <f>IF(OR(E6100="&lt;/routeDistribution&gt;",E6100=""),"",IFERROR(_xlfn.CONCAT(VLOOKUP(AP51,Route_Column!#REF!,2,FALSE),CHAR(34)," probability=",CHAR(34),1/AP$4,CHAR(34),CHAR(47),CHAR(62)),"&lt;/routeDistribution&gt;"))</f>
        <v/>
      </c>
    </row>
    <row r="6102" spans="1:5" x14ac:dyDescent="0.25">
      <c r="A6102" t="s">
        <v>1889</v>
      </c>
      <c r="B6102" t="s">
        <v>1112</v>
      </c>
      <c r="E6102" t="str">
        <f>IF(OR(E6101="&lt;/routeDistribution&gt;",E6101=""),"",IFERROR(_xlfn.CONCAT(VLOOKUP(AP52,Route_Column!#REF!,2,FALSE),CHAR(34)," probability=",CHAR(34),1/AP$4,CHAR(34),CHAR(47),CHAR(62)),"&lt;/routeDistribution&gt;"))</f>
        <v/>
      </c>
    </row>
    <row r="6103" spans="1:5" x14ac:dyDescent="0.25">
      <c r="A6103" t="s">
        <v>1889</v>
      </c>
      <c r="B6103" t="s">
        <v>1113</v>
      </c>
      <c r="E6103" t="str">
        <f>IF(OR(E6102="&lt;/routeDistribution&gt;",E6102=""),"",IFERROR(_xlfn.CONCAT(VLOOKUP(AP53,Route_Column!#REF!,2,FALSE),CHAR(34)," probability=",CHAR(34),1/AP$4,CHAR(34),CHAR(47),CHAR(62)),"&lt;/routeDistribution&gt;"))</f>
        <v/>
      </c>
    </row>
    <row r="6104" spans="1:5" x14ac:dyDescent="0.25">
      <c r="A6104" t="s">
        <v>1889</v>
      </c>
      <c r="B6104" t="s">
        <v>1114</v>
      </c>
      <c r="E6104" t="str">
        <f>IF(OR(E6103="&lt;/routeDistribution&gt;",E6103=""),"",IFERROR(_xlfn.CONCAT(VLOOKUP(AP54,Route_Column!#REF!,2,FALSE),CHAR(34)," probability=",CHAR(34),1/AP$4,CHAR(34),CHAR(47),CHAR(62)),"&lt;/routeDistribution&gt;"))</f>
        <v/>
      </c>
    </row>
    <row r="6105" spans="1:5" x14ac:dyDescent="0.25">
      <c r="A6105" t="s">
        <v>1889</v>
      </c>
      <c r="B6105" t="s">
        <v>1154</v>
      </c>
      <c r="E6105" t="str">
        <f>IF(OR(E6104="&lt;/routeDistribution&gt;",E6104=""),"",IFERROR(_xlfn.CONCAT(VLOOKUP(AP55,Route_Column!#REF!,2,FALSE),CHAR(34)," probability=",CHAR(34),1/AP$4,CHAR(34),CHAR(47),CHAR(62)),"&lt;/routeDistribution&gt;"))</f>
        <v/>
      </c>
    </row>
    <row r="6106" spans="1:5" x14ac:dyDescent="0.25">
      <c r="A6106" t="s">
        <v>1889</v>
      </c>
      <c r="B6106" t="s">
        <v>1155</v>
      </c>
      <c r="E6106" t="str">
        <f>IF(OR(E6105="&lt;/routeDistribution&gt;",E6105=""),"",IFERROR(_xlfn.CONCAT(VLOOKUP(AP56,Route_Column!#REF!,2,FALSE),CHAR(34)," probability=",CHAR(34),1/AP$4,CHAR(34),CHAR(47),CHAR(62)),"&lt;/routeDistribution&gt;"))</f>
        <v/>
      </c>
    </row>
    <row r="6107" spans="1:5" x14ac:dyDescent="0.25">
      <c r="A6107" t="s">
        <v>1889</v>
      </c>
      <c r="B6107" t="s">
        <v>1156</v>
      </c>
      <c r="E6107" t="str">
        <f>IF(OR(E6106="&lt;/routeDistribution&gt;",E6106=""),"",IFERROR(_xlfn.CONCAT(VLOOKUP(AP57,Route_Column!#REF!,2,FALSE),CHAR(34)," probability=",CHAR(34),1/AP$4,CHAR(34),CHAR(47),CHAR(62)),"&lt;/routeDistribution&gt;"))</f>
        <v/>
      </c>
    </row>
    <row r="6108" spans="1:5" x14ac:dyDescent="0.25">
      <c r="A6108" t="s">
        <v>1889</v>
      </c>
      <c r="B6108" t="s">
        <v>1157</v>
      </c>
      <c r="E6108" t="str">
        <f>IF(OR(E6107="&lt;/routeDistribution&gt;",E6107=""),"",IFERROR(_xlfn.CONCAT(VLOOKUP(AP58,Route_Column!#REF!,2,FALSE),CHAR(34)," probability=",CHAR(34),1/AP$4,CHAR(34),CHAR(47),CHAR(62)),"&lt;/routeDistribution&gt;"))</f>
        <v/>
      </c>
    </row>
    <row r="6109" spans="1:5" x14ac:dyDescent="0.25">
      <c r="A6109" t="s">
        <v>1889</v>
      </c>
      <c r="B6109" t="s">
        <v>1158</v>
      </c>
      <c r="E6109" t="str">
        <f>IF(OR(E6108="&lt;/routeDistribution&gt;",E6108=""),"",IFERROR(_xlfn.CONCAT(VLOOKUP(AP59,Route_Column!#REF!,2,FALSE),CHAR(34)," probability=",CHAR(34),1/AP$4,CHAR(34),CHAR(47),CHAR(62)),"&lt;/routeDistribution&gt;"))</f>
        <v/>
      </c>
    </row>
    <row r="6110" spans="1:5" x14ac:dyDescent="0.25">
      <c r="A6110" t="s">
        <v>1889</v>
      </c>
      <c r="B6110" t="s">
        <v>1159</v>
      </c>
      <c r="E6110" t="str">
        <f>IF(OR(E6109="&lt;/routeDistribution&gt;",E6109=""),"",IFERROR(_xlfn.CONCAT(VLOOKUP(AP60,Route_Column!#REF!,2,FALSE),CHAR(34)," probability=",CHAR(34),1/AP$4,CHAR(34),CHAR(47),CHAR(62)),"&lt;/routeDistribution&gt;"))</f>
        <v/>
      </c>
    </row>
    <row r="6111" spans="1:5" x14ac:dyDescent="0.25">
      <c r="A6111" t="s">
        <v>1924</v>
      </c>
      <c r="B6111" t="s">
        <v>1113</v>
      </c>
      <c r="E6111" t="str">
        <f>IF(OR(E6110="&lt;/routeDistribution&gt;",E6110=""),"",IFERROR(_xlfn.CONCAT(VLOOKUP(AP61,Route_Column!#REF!,2,FALSE),CHAR(34)," probability=",CHAR(34),1/AP$4,CHAR(34),CHAR(47),CHAR(62)),"&lt;/routeDistribution&gt;"))</f>
        <v/>
      </c>
    </row>
    <row r="6112" spans="1:5" x14ac:dyDescent="0.25">
      <c r="A6112" t="s">
        <v>1924</v>
      </c>
      <c r="B6112" t="s">
        <v>1114</v>
      </c>
      <c r="E6112" t="str">
        <f>IF(OR(E6111="&lt;/routeDistribution&gt;",E6111=""),"",IFERROR(_xlfn.CONCAT(VLOOKUP(AP62,Route_Column!#REF!,2,FALSE),CHAR(34)," probability=",CHAR(34),1/AP$4,CHAR(34),CHAR(47),CHAR(62)),"&lt;/routeDistribution&gt;"))</f>
        <v/>
      </c>
    </row>
    <row r="6113" spans="1:5" x14ac:dyDescent="0.25">
      <c r="A6113" t="s">
        <v>1924</v>
      </c>
      <c r="B6113" t="s">
        <v>1133</v>
      </c>
      <c r="E6113" t="str">
        <f>IF(OR(E6112="&lt;/routeDistribution&gt;",E6112=""),"",IFERROR(_xlfn.CONCAT(VLOOKUP(AP63,Route_Column!#REF!,2,FALSE),CHAR(34)," probability=",CHAR(34),1/AP$4,CHAR(34),CHAR(47),CHAR(62)),"&lt;/routeDistribution&gt;"))</f>
        <v/>
      </c>
    </row>
    <row r="6114" spans="1:5" x14ac:dyDescent="0.25">
      <c r="A6114" t="s">
        <v>1888</v>
      </c>
      <c r="B6114" t="s">
        <v>1112</v>
      </c>
      <c r="E6114" t="s">
        <v>2686</v>
      </c>
    </row>
    <row r="6115" spans="1:5" x14ac:dyDescent="0.25">
      <c r="A6115" t="s">
        <v>1888</v>
      </c>
      <c r="B6115" t="s">
        <v>1113</v>
      </c>
    </row>
    <row r="6116" spans="1:5" x14ac:dyDescent="0.25">
      <c r="A6116" t="s">
        <v>1888</v>
      </c>
      <c r="B6116" t="s">
        <v>1114</v>
      </c>
    </row>
    <row r="6117" spans="1:5" x14ac:dyDescent="0.25">
      <c r="A6117" t="s">
        <v>1888</v>
      </c>
      <c r="B6117" t="s">
        <v>1154</v>
      </c>
      <c r="E6117" t="str">
        <f>_xlfn.CONCAT($E$1,AO$2,$F$1)</f>
        <v>&lt;routeDistribution id="34th-Market-to-Chesnut-SB-2014-RouteProbe"&gt;</v>
      </c>
    </row>
    <row r="6118" spans="1:5" x14ac:dyDescent="0.25">
      <c r="A6118" t="s">
        <v>1888</v>
      </c>
      <c r="B6118" t="s">
        <v>1155</v>
      </c>
      <c r="E6118" t="str">
        <f>IF(OR(E6117="&lt;/routeDistribution&gt;",E6117=""),"",IFERROR(_xlfn.CONCAT(VLOOKUP(AO5,Route_Column!#REF!,2,FALSE),CHAR(34)," probability=",CHAR(34),1/AO$4,CHAR(34),CHAR(47),CHAR(62)),"&lt;/routeDistribution&gt;"))</f>
        <v>&lt;/routeDistribution&gt;</v>
      </c>
    </row>
    <row r="6119" spans="1:5" x14ac:dyDescent="0.25">
      <c r="A6119" t="s">
        <v>1888</v>
      </c>
      <c r="B6119" t="s">
        <v>1156</v>
      </c>
      <c r="E6119" t="str">
        <f>IF(OR(E6118="&lt;/routeDistribution&gt;",E6118=""),"",IFERROR(_xlfn.CONCAT(VLOOKUP(AO6,Route_Column!#REF!,2,FALSE),CHAR(34)," probability=",CHAR(34),1/AO$4,CHAR(34),CHAR(47),CHAR(62)),"&lt;/routeDistribution&gt;"))</f>
        <v/>
      </c>
    </row>
    <row r="6120" spans="1:5" x14ac:dyDescent="0.25">
      <c r="A6120" t="s">
        <v>1888</v>
      </c>
      <c r="B6120" t="s">
        <v>1157</v>
      </c>
      <c r="E6120" t="str">
        <f>IF(OR(E6119="&lt;/routeDistribution&gt;",E6119=""),"",IFERROR(_xlfn.CONCAT(VLOOKUP(AO7,Route_Column!#REF!,2,FALSE),CHAR(34)," probability=",CHAR(34),1/AO$4,CHAR(34),CHAR(47),CHAR(62)),"&lt;/routeDistribution&gt;"))</f>
        <v/>
      </c>
    </row>
    <row r="6121" spans="1:5" x14ac:dyDescent="0.25">
      <c r="A6121" t="s">
        <v>1888</v>
      </c>
      <c r="B6121" t="s">
        <v>1158</v>
      </c>
      <c r="E6121" t="str">
        <f>IF(OR(E6120="&lt;/routeDistribution&gt;",E6120=""),"",IFERROR(_xlfn.CONCAT(VLOOKUP(AO8,Route_Column!#REF!,2,FALSE),CHAR(34)," probability=",CHAR(34),1/AO$4,CHAR(34),CHAR(47),CHAR(62)),"&lt;/routeDistribution&gt;"))</f>
        <v/>
      </c>
    </row>
    <row r="6122" spans="1:5" x14ac:dyDescent="0.25">
      <c r="A6122" t="s">
        <v>1888</v>
      </c>
      <c r="B6122" t="s">
        <v>1159</v>
      </c>
      <c r="E6122" t="str">
        <f>IF(OR(E6121="&lt;/routeDistribution&gt;",E6121=""),"",IFERROR(_xlfn.CONCAT(VLOOKUP(AO9,Route_Column!#REF!,2,FALSE),CHAR(34)," probability=",CHAR(34),1/AO$4,CHAR(34),CHAR(47),CHAR(62)),"&lt;/routeDistribution&gt;"))</f>
        <v/>
      </c>
    </row>
    <row r="6123" spans="1:5" x14ac:dyDescent="0.25">
      <c r="A6123" t="s">
        <v>1835</v>
      </c>
      <c r="B6123" t="s">
        <v>1108</v>
      </c>
      <c r="E6123" t="str">
        <f>IF(OR(E6122="&lt;/routeDistribution&gt;",E6122=""),"",IFERROR(_xlfn.CONCAT(VLOOKUP(AO10,Route_Column!#REF!,2,FALSE),CHAR(34)," probability=",CHAR(34),1/AO$4,CHAR(34),CHAR(47),CHAR(62)),"&lt;/routeDistribution&gt;"))</f>
        <v/>
      </c>
    </row>
    <row r="6124" spans="1:5" x14ac:dyDescent="0.25">
      <c r="A6124" t="s">
        <v>1835</v>
      </c>
      <c r="B6124" t="s">
        <v>1160</v>
      </c>
      <c r="E6124" t="str">
        <f>IF(OR(E6123="&lt;/routeDistribution&gt;",E6123=""),"",IFERROR(_xlfn.CONCAT(VLOOKUP(AO11,Route_Column!#REF!,2,FALSE),CHAR(34)," probability=",CHAR(34),1/AO$4,CHAR(34),CHAR(47),CHAR(62)),"&lt;/routeDistribution&gt;"))</f>
        <v/>
      </c>
    </row>
    <row r="6125" spans="1:5" x14ac:dyDescent="0.25">
      <c r="A6125" t="s">
        <v>1835</v>
      </c>
      <c r="B6125" t="s">
        <v>1174</v>
      </c>
      <c r="E6125" t="str">
        <f>IF(OR(E6124="&lt;/routeDistribution&gt;",E6124=""),"",IFERROR(_xlfn.CONCAT(VLOOKUP(AO12,Route_Column!#REF!,2,FALSE),CHAR(34)," probability=",CHAR(34),1/AO$4,CHAR(34),CHAR(47),CHAR(62)),"&lt;/routeDistribution&gt;"))</f>
        <v/>
      </c>
    </row>
    <row r="6126" spans="1:5" x14ac:dyDescent="0.25">
      <c r="A6126" t="s">
        <v>1835</v>
      </c>
      <c r="B6126" t="s">
        <v>1175</v>
      </c>
      <c r="E6126" t="str">
        <f>IF(OR(E6125="&lt;/routeDistribution&gt;",E6125=""),"",IFERROR(_xlfn.CONCAT(VLOOKUP(AO13,Route_Column!#REF!,2,FALSE),CHAR(34)," probability=",CHAR(34),1/AO$4,CHAR(34),CHAR(47),CHAR(62)),"&lt;/routeDistribution&gt;"))</f>
        <v/>
      </c>
    </row>
    <row r="6127" spans="1:5" x14ac:dyDescent="0.25">
      <c r="A6127" t="s">
        <v>1835</v>
      </c>
      <c r="B6127" t="s">
        <v>1199</v>
      </c>
      <c r="E6127" t="str">
        <f>IF(OR(E6126="&lt;/routeDistribution&gt;",E6126=""),"",IFERROR(_xlfn.CONCAT(VLOOKUP(AO14,Route_Column!#REF!,2,FALSE),CHAR(34)," probability=",CHAR(34),1/AO$4,CHAR(34),CHAR(47),CHAR(62)),"&lt;/routeDistribution&gt;"))</f>
        <v/>
      </c>
    </row>
    <row r="6128" spans="1:5" x14ac:dyDescent="0.25">
      <c r="A6128" t="s">
        <v>1835</v>
      </c>
      <c r="B6128" t="s">
        <v>1212</v>
      </c>
      <c r="E6128" t="str">
        <f>IF(OR(E6127="&lt;/routeDistribution&gt;",E6127=""),"",IFERROR(_xlfn.CONCAT(VLOOKUP(AO15,Route_Column!#REF!,2,FALSE),CHAR(34)," probability=",CHAR(34),1/AO$4,CHAR(34),CHAR(47),CHAR(62)),"&lt;/routeDistribution&gt;"))</f>
        <v/>
      </c>
    </row>
    <row r="6129" spans="1:5" x14ac:dyDescent="0.25">
      <c r="A6129" t="s">
        <v>1835</v>
      </c>
      <c r="B6129" t="s">
        <v>1214</v>
      </c>
      <c r="E6129" t="str">
        <f>IF(OR(E6128="&lt;/routeDistribution&gt;",E6128=""),"",IFERROR(_xlfn.CONCAT(VLOOKUP(AO16,Route_Column!#REF!,2,FALSE),CHAR(34)," probability=",CHAR(34),1/AO$4,CHAR(34),CHAR(47),CHAR(62)),"&lt;/routeDistribution&gt;"))</f>
        <v/>
      </c>
    </row>
    <row r="6130" spans="1:5" x14ac:dyDescent="0.25">
      <c r="A6130" t="s">
        <v>1835</v>
      </c>
      <c r="B6130" t="s">
        <v>1233</v>
      </c>
      <c r="E6130" t="str">
        <f>IF(OR(E6129="&lt;/routeDistribution&gt;",E6129=""),"",IFERROR(_xlfn.CONCAT(VLOOKUP(AO17,Route_Column!#REF!,2,FALSE),CHAR(34)," probability=",CHAR(34),1/AO$4,CHAR(34),CHAR(47),CHAR(62)),"&lt;/routeDistribution&gt;"))</f>
        <v/>
      </c>
    </row>
    <row r="6131" spans="1:5" x14ac:dyDescent="0.25">
      <c r="A6131" t="s">
        <v>1835</v>
      </c>
      <c r="B6131" t="s">
        <v>1252</v>
      </c>
      <c r="E6131" t="str">
        <f>IF(OR(E6130="&lt;/routeDistribution&gt;",E6130=""),"",IFERROR(_xlfn.CONCAT(VLOOKUP(AO18,Route_Column!#REF!,2,FALSE),CHAR(34)," probability=",CHAR(34),1/AO$4,CHAR(34),CHAR(47),CHAR(62)),"&lt;/routeDistribution&gt;"))</f>
        <v/>
      </c>
    </row>
    <row r="6132" spans="1:5" x14ac:dyDescent="0.25">
      <c r="A6132" t="s">
        <v>1837</v>
      </c>
      <c r="B6132" t="s">
        <v>1108</v>
      </c>
      <c r="E6132" t="str">
        <f>IF(OR(E6131="&lt;/routeDistribution&gt;",E6131=""),"",IFERROR(_xlfn.CONCAT(VLOOKUP(AO19,Route_Column!#REF!,2,FALSE),CHAR(34)," probability=",CHAR(34),1/AO$4,CHAR(34),CHAR(47),CHAR(62)),"&lt;/routeDistribution&gt;"))</f>
        <v/>
      </c>
    </row>
    <row r="6133" spans="1:5" x14ac:dyDescent="0.25">
      <c r="A6133" t="s">
        <v>1837</v>
      </c>
      <c r="B6133" t="s">
        <v>1160</v>
      </c>
      <c r="E6133" t="str">
        <f>IF(OR(E6132="&lt;/routeDistribution&gt;",E6132=""),"",IFERROR(_xlfn.CONCAT(VLOOKUP(AO20,Route_Column!#REF!,2,FALSE),CHAR(34)," probability=",CHAR(34),1/AO$4,CHAR(34),CHAR(47),CHAR(62)),"&lt;/routeDistribution&gt;"))</f>
        <v/>
      </c>
    </row>
    <row r="6134" spans="1:5" x14ac:dyDescent="0.25">
      <c r="A6134" t="s">
        <v>1837</v>
      </c>
      <c r="B6134" t="s">
        <v>1174</v>
      </c>
      <c r="E6134" t="str">
        <f>IF(OR(E6133="&lt;/routeDistribution&gt;",E6133=""),"",IFERROR(_xlfn.CONCAT(VLOOKUP(AO21,Route_Column!#REF!,2,FALSE),CHAR(34)," probability=",CHAR(34),1/AO$4,CHAR(34),CHAR(47),CHAR(62)),"&lt;/routeDistribution&gt;"))</f>
        <v/>
      </c>
    </row>
    <row r="6135" spans="1:5" x14ac:dyDescent="0.25">
      <c r="A6135" t="s">
        <v>1837</v>
      </c>
      <c r="B6135" t="s">
        <v>1175</v>
      </c>
      <c r="E6135" t="str">
        <f>IF(OR(E6134="&lt;/routeDistribution&gt;",E6134=""),"",IFERROR(_xlfn.CONCAT(VLOOKUP(AO22,Route_Column!#REF!,2,FALSE),CHAR(34)," probability=",CHAR(34),1/AO$4,CHAR(34),CHAR(47),CHAR(62)),"&lt;/routeDistribution&gt;"))</f>
        <v/>
      </c>
    </row>
    <row r="6136" spans="1:5" x14ac:dyDescent="0.25">
      <c r="A6136" t="s">
        <v>1837</v>
      </c>
      <c r="B6136" t="s">
        <v>1199</v>
      </c>
      <c r="E6136" t="str">
        <f>IF(OR(E6135="&lt;/routeDistribution&gt;",E6135=""),"",IFERROR(_xlfn.CONCAT(VLOOKUP(AO23,Route_Column!#REF!,2,FALSE),CHAR(34)," probability=",CHAR(34),1/AO$4,CHAR(34),CHAR(47),CHAR(62)),"&lt;/routeDistribution&gt;"))</f>
        <v/>
      </c>
    </row>
    <row r="6137" spans="1:5" x14ac:dyDescent="0.25">
      <c r="A6137" t="s">
        <v>1837</v>
      </c>
      <c r="B6137" t="s">
        <v>1212</v>
      </c>
      <c r="E6137" t="str">
        <f>IF(OR(E6136="&lt;/routeDistribution&gt;",E6136=""),"",IFERROR(_xlfn.CONCAT(VLOOKUP(AO24,Route_Column!#REF!,2,FALSE),CHAR(34)," probability=",CHAR(34),1/AO$4,CHAR(34),CHAR(47),CHAR(62)),"&lt;/routeDistribution&gt;"))</f>
        <v/>
      </c>
    </row>
    <row r="6138" spans="1:5" x14ac:dyDescent="0.25">
      <c r="A6138" t="s">
        <v>1837</v>
      </c>
      <c r="B6138" t="s">
        <v>1214</v>
      </c>
      <c r="E6138" t="str">
        <f>IF(OR(E6137="&lt;/routeDistribution&gt;",E6137=""),"",IFERROR(_xlfn.CONCAT(VLOOKUP(AO25,Route_Column!#REF!,2,FALSE),CHAR(34)," probability=",CHAR(34),1/AO$4,CHAR(34),CHAR(47),CHAR(62)),"&lt;/routeDistribution&gt;"))</f>
        <v/>
      </c>
    </row>
    <row r="6139" spans="1:5" x14ac:dyDescent="0.25">
      <c r="A6139" t="s">
        <v>1837</v>
      </c>
      <c r="B6139" t="s">
        <v>1233</v>
      </c>
      <c r="E6139" t="str">
        <f>IF(OR(E6138="&lt;/routeDistribution&gt;",E6138=""),"",IFERROR(_xlfn.CONCAT(VLOOKUP(AO26,Route_Column!#REF!,2,FALSE),CHAR(34)," probability=",CHAR(34),1/AO$4,CHAR(34),CHAR(47),CHAR(62)),"&lt;/routeDistribution&gt;"))</f>
        <v/>
      </c>
    </row>
    <row r="6140" spans="1:5" x14ac:dyDescent="0.25">
      <c r="A6140" t="s">
        <v>1837</v>
      </c>
      <c r="B6140" t="s">
        <v>1252</v>
      </c>
      <c r="E6140" t="str">
        <f>IF(OR(E6139="&lt;/routeDistribution&gt;",E6139=""),"",IFERROR(_xlfn.CONCAT(VLOOKUP(AO27,Route_Column!#REF!,2,FALSE),CHAR(34)," probability=",CHAR(34),1/AO$4,CHAR(34),CHAR(47),CHAR(62)),"&lt;/routeDistribution&gt;"))</f>
        <v/>
      </c>
    </row>
    <row r="6141" spans="1:5" x14ac:dyDescent="0.25">
      <c r="A6141" t="s">
        <v>1836</v>
      </c>
      <c r="B6141" t="s">
        <v>1108</v>
      </c>
      <c r="E6141" t="str">
        <f>IF(OR(E6140="&lt;/routeDistribution&gt;",E6140=""),"",IFERROR(_xlfn.CONCAT(VLOOKUP(AO28,Route_Column!#REF!,2,FALSE),CHAR(34)," probability=",CHAR(34),1/AO$4,CHAR(34),CHAR(47),CHAR(62)),"&lt;/routeDistribution&gt;"))</f>
        <v/>
      </c>
    </row>
    <row r="6142" spans="1:5" x14ac:dyDescent="0.25">
      <c r="A6142" t="s">
        <v>1836</v>
      </c>
      <c r="B6142" t="s">
        <v>1160</v>
      </c>
      <c r="E6142" t="str">
        <f>IF(OR(E6141="&lt;/routeDistribution&gt;",E6141=""),"",IFERROR(_xlfn.CONCAT(VLOOKUP(AO29,Route_Column!#REF!,2,FALSE),CHAR(34)," probability=",CHAR(34),1/AO$4,CHAR(34),CHAR(47),CHAR(62)),"&lt;/routeDistribution&gt;"))</f>
        <v/>
      </c>
    </row>
    <row r="6143" spans="1:5" x14ac:dyDescent="0.25">
      <c r="A6143" t="s">
        <v>1836</v>
      </c>
      <c r="B6143" t="s">
        <v>1174</v>
      </c>
      <c r="E6143" t="str">
        <f>IF(OR(E6142="&lt;/routeDistribution&gt;",E6142=""),"",IFERROR(_xlfn.CONCAT(VLOOKUP(AO30,Route_Column!#REF!,2,FALSE),CHAR(34)," probability=",CHAR(34),1/AO$4,CHAR(34),CHAR(47),CHAR(62)),"&lt;/routeDistribution&gt;"))</f>
        <v/>
      </c>
    </row>
    <row r="6144" spans="1:5" x14ac:dyDescent="0.25">
      <c r="A6144" t="s">
        <v>1836</v>
      </c>
      <c r="B6144" t="s">
        <v>1175</v>
      </c>
      <c r="E6144" t="str">
        <f>IF(OR(E6143="&lt;/routeDistribution&gt;",E6143=""),"",IFERROR(_xlfn.CONCAT(VLOOKUP(AO31,Route_Column!#REF!,2,FALSE),CHAR(34)," probability=",CHAR(34),1/AO$4,CHAR(34),CHAR(47),CHAR(62)),"&lt;/routeDistribution&gt;"))</f>
        <v/>
      </c>
    </row>
    <row r="6145" spans="1:5" x14ac:dyDescent="0.25">
      <c r="A6145" t="s">
        <v>1836</v>
      </c>
      <c r="B6145" t="s">
        <v>1199</v>
      </c>
      <c r="E6145" t="str">
        <f>IF(OR(E6144="&lt;/routeDistribution&gt;",E6144=""),"",IFERROR(_xlfn.CONCAT(VLOOKUP(AO32,Route_Column!#REF!,2,FALSE),CHAR(34)," probability=",CHAR(34),1/AO$4,CHAR(34),CHAR(47),CHAR(62)),"&lt;/routeDistribution&gt;"))</f>
        <v/>
      </c>
    </row>
    <row r="6146" spans="1:5" x14ac:dyDescent="0.25">
      <c r="A6146" t="s">
        <v>1836</v>
      </c>
      <c r="B6146" t="s">
        <v>1212</v>
      </c>
      <c r="E6146" t="str">
        <f>IF(OR(E6145="&lt;/routeDistribution&gt;",E6145=""),"",IFERROR(_xlfn.CONCAT(VLOOKUP(AO33,Route_Column!#REF!,2,FALSE),CHAR(34)," probability=",CHAR(34),1/AO$4,CHAR(34),CHAR(47),CHAR(62)),"&lt;/routeDistribution&gt;"))</f>
        <v/>
      </c>
    </row>
    <row r="6147" spans="1:5" x14ac:dyDescent="0.25">
      <c r="A6147" t="s">
        <v>1836</v>
      </c>
      <c r="B6147" t="s">
        <v>1214</v>
      </c>
      <c r="E6147" t="str">
        <f>IF(OR(E6146="&lt;/routeDistribution&gt;",E6146=""),"",IFERROR(_xlfn.CONCAT(VLOOKUP(AO34,Route_Column!#REF!,2,FALSE),CHAR(34)," probability=",CHAR(34),1/AO$4,CHAR(34),CHAR(47),CHAR(62)),"&lt;/routeDistribution&gt;"))</f>
        <v/>
      </c>
    </row>
    <row r="6148" spans="1:5" x14ac:dyDescent="0.25">
      <c r="A6148" t="s">
        <v>1836</v>
      </c>
      <c r="B6148" t="s">
        <v>1233</v>
      </c>
      <c r="E6148" t="str">
        <f>IF(OR(E6147="&lt;/routeDistribution&gt;",E6147=""),"",IFERROR(_xlfn.CONCAT(VLOOKUP(AO35,Route_Column!#REF!,2,FALSE),CHAR(34)," probability=",CHAR(34),1/AO$4,CHAR(34),CHAR(47),CHAR(62)),"&lt;/routeDistribution&gt;"))</f>
        <v/>
      </c>
    </row>
    <row r="6149" spans="1:5" x14ac:dyDescent="0.25">
      <c r="A6149" t="s">
        <v>1836</v>
      </c>
      <c r="B6149" t="s">
        <v>1252</v>
      </c>
      <c r="E6149" t="str">
        <f>IF(OR(E6148="&lt;/routeDistribution&gt;",E6148=""),"",IFERROR(_xlfn.CONCAT(VLOOKUP(AO36,Route_Column!#REF!,2,FALSE),CHAR(34)," probability=",CHAR(34),1/AO$4,CHAR(34),CHAR(47),CHAR(62)),"&lt;/routeDistribution&gt;"))</f>
        <v/>
      </c>
    </row>
    <row r="6150" spans="1:5" x14ac:dyDescent="0.25">
      <c r="A6150" t="s">
        <v>1839</v>
      </c>
      <c r="B6150" t="s">
        <v>1108</v>
      </c>
      <c r="E6150" t="str">
        <f>IF(OR(E6149="&lt;/routeDistribution&gt;",E6149=""),"",IFERROR(_xlfn.CONCAT(VLOOKUP(AO37,Route_Column!#REF!,2,FALSE),CHAR(34)," probability=",CHAR(34),1/AO$4,CHAR(34),CHAR(47),CHAR(62)),"&lt;/routeDistribution&gt;"))</f>
        <v/>
      </c>
    </row>
    <row r="6151" spans="1:5" x14ac:dyDescent="0.25">
      <c r="A6151" t="s">
        <v>1839</v>
      </c>
      <c r="B6151" t="s">
        <v>1160</v>
      </c>
      <c r="E6151" t="str">
        <f>IF(OR(E6150="&lt;/routeDistribution&gt;",E6150=""),"",IFERROR(_xlfn.CONCAT(VLOOKUP(AO38,Route_Column!#REF!,2,FALSE),CHAR(34)," probability=",CHAR(34),1/AO$4,CHAR(34),CHAR(47),CHAR(62)),"&lt;/routeDistribution&gt;"))</f>
        <v/>
      </c>
    </row>
    <row r="6152" spans="1:5" x14ac:dyDescent="0.25">
      <c r="A6152" t="s">
        <v>1839</v>
      </c>
      <c r="B6152" t="s">
        <v>1174</v>
      </c>
      <c r="E6152" t="str">
        <f>IF(OR(E6151="&lt;/routeDistribution&gt;",E6151=""),"",IFERROR(_xlfn.CONCAT(VLOOKUP(AO39,Route_Column!#REF!,2,FALSE),CHAR(34)," probability=",CHAR(34),1/AO$4,CHAR(34),CHAR(47),CHAR(62)),"&lt;/routeDistribution&gt;"))</f>
        <v/>
      </c>
    </row>
    <row r="6153" spans="1:5" x14ac:dyDescent="0.25">
      <c r="A6153" t="s">
        <v>1839</v>
      </c>
      <c r="B6153" t="s">
        <v>1175</v>
      </c>
      <c r="E6153" t="str">
        <f>IF(OR(E6152="&lt;/routeDistribution&gt;",E6152=""),"",IFERROR(_xlfn.CONCAT(VLOOKUP(AO40,Route_Column!#REF!,2,FALSE),CHAR(34)," probability=",CHAR(34),1/AO$4,CHAR(34),CHAR(47),CHAR(62)),"&lt;/routeDistribution&gt;"))</f>
        <v/>
      </c>
    </row>
    <row r="6154" spans="1:5" x14ac:dyDescent="0.25">
      <c r="A6154" t="s">
        <v>1839</v>
      </c>
      <c r="B6154" t="s">
        <v>1199</v>
      </c>
      <c r="E6154" t="str">
        <f>IF(OR(E6153="&lt;/routeDistribution&gt;",E6153=""),"",IFERROR(_xlfn.CONCAT(VLOOKUP(AO41,Route_Column!#REF!,2,FALSE),CHAR(34)," probability=",CHAR(34),1/AO$4,CHAR(34),CHAR(47),CHAR(62)),"&lt;/routeDistribution&gt;"))</f>
        <v/>
      </c>
    </row>
    <row r="6155" spans="1:5" x14ac:dyDescent="0.25">
      <c r="A6155" t="s">
        <v>1839</v>
      </c>
      <c r="B6155" t="s">
        <v>1212</v>
      </c>
      <c r="E6155" t="str">
        <f>IF(OR(E6154="&lt;/routeDistribution&gt;",E6154=""),"",IFERROR(_xlfn.CONCAT(VLOOKUP(AO42,Route_Column!#REF!,2,FALSE),CHAR(34)," probability=",CHAR(34),1/AO$4,CHAR(34),CHAR(47),CHAR(62)),"&lt;/routeDistribution&gt;"))</f>
        <v/>
      </c>
    </row>
    <row r="6156" spans="1:5" x14ac:dyDescent="0.25">
      <c r="A6156" t="s">
        <v>1839</v>
      </c>
      <c r="B6156" t="s">
        <v>1214</v>
      </c>
      <c r="E6156" t="str">
        <f>IF(OR(E6155="&lt;/routeDistribution&gt;",E6155=""),"",IFERROR(_xlfn.CONCAT(VLOOKUP(AO43,Route_Column!#REF!,2,FALSE),CHAR(34)," probability=",CHAR(34),1/AO$4,CHAR(34),CHAR(47),CHAR(62)),"&lt;/routeDistribution&gt;"))</f>
        <v/>
      </c>
    </row>
    <row r="6157" spans="1:5" x14ac:dyDescent="0.25">
      <c r="A6157" t="s">
        <v>1839</v>
      </c>
      <c r="B6157" t="s">
        <v>1233</v>
      </c>
      <c r="E6157" t="str">
        <f>IF(OR(E6156="&lt;/routeDistribution&gt;",E6156=""),"",IFERROR(_xlfn.CONCAT(VLOOKUP(AO44,Route_Column!#REF!,2,FALSE),CHAR(34)," probability=",CHAR(34),1/AO$4,CHAR(34),CHAR(47),CHAR(62)),"&lt;/routeDistribution&gt;"))</f>
        <v/>
      </c>
    </row>
    <row r="6158" spans="1:5" x14ac:dyDescent="0.25">
      <c r="A6158" t="s">
        <v>1839</v>
      </c>
      <c r="B6158" t="s">
        <v>1252</v>
      </c>
      <c r="E6158" t="str">
        <f>IF(OR(E6157="&lt;/routeDistribution&gt;",E6157=""),"",IFERROR(_xlfn.CONCAT(VLOOKUP(AO45,Route_Column!#REF!,2,FALSE),CHAR(34)," probability=",CHAR(34),1/AO$4,CHAR(34),CHAR(47),CHAR(62)),"&lt;/routeDistribution&gt;"))</f>
        <v/>
      </c>
    </row>
    <row r="6159" spans="1:5" x14ac:dyDescent="0.25">
      <c r="A6159" t="s">
        <v>1840</v>
      </c>
      <c r="B6159" t="s">
        <v>1108</v>
      </c>
      <c r="E6159" t="str">
        <f>IF(OR(E6158="&lt;/routeDistribution&gt;",E6158=""),"",IFERROR(_xlfn.CONCAT(VLOOKUP(AO46,Route_Column!#REF!,2,FALSE),CHAR(34)," probability=",CHAR(34),1/AO$4,CHAR(34),CHAR(47),CHAR(62)),"&lt;/routeDistribution&gt;"))</f>
        <v/>
      </c>
    </row>
    <row r="6160" spans="1:5" x14ac:dyDescent="0.25">
      <c r="A6160" t="s">
        <v>1840</v>
      </c>
      <c r="B6160" t="s">
        <v>1160</v>
      </c>
      <c r="E6160" t="str">
        <f>IF(OR(E6159="&lt;/routeDistribution&gt;",E6159=""),"",IFERROR(_xlfn.CONCAT(VLOOKUP(AO47,Route_Column!#REF!,2,FALSE),CHAR(34)," probability=",CHAR(34),1/AO$4,CHAR(34),CHAR(47),CHAR(62)),"&lt;/routeDistribution&gt;"))</f>
        <v/>
      </c>
    </row>
    <row r="6161" spans="1:5" x14ac:dyDescent="0.25">
      <c r="A6161" t="s">
        <v>1840</v>
      </c>
      <c r="B6161" t="s">
        <v>1174</v>
      </c>
      <c r="E6161" t="str">
        <f>IF(OR(E6160="&lt;/routeDistribution&gt;",E6160=""),"",IFERROR(_xlfn.CONCAT(VLOOKUP(AO48,Route_Column!#REF!,2,FALSE),CHAR(34)," probability=",CHAR(34),1/AO$4,CHAR(34),CHAR(47),CHAR(62)),"&lt;/routeDistribution&gt;"))</f>
        <v/>
      </c>
    </row>
    <row r="6162" spans="1:5" x14ac:dyDescent="0.25">
      <c r="A6162" t="s">
        <v>1840</v>
      </c>
      <c r="B6162" t="s">
        <v>1175</v>
      </c>
      <c r="E6162" t="str">
        <f>IF(OR(E6161="&lt;/routeDistribution&gt;",E6161=""),"",IFERROR(_xlfn.CONCAT(VLOOKUP(AO49,Route_Column!#REF!,2,FALSE),CHAR(34)," probability=",CHAR(34),1/AO$4,CHAR(34),CHAR(47),CHAR(62)),"&lt;/routeDistribution&gt;"))</f>
        <v/>
      </c>
    </row>
    <row r="6163" spans="1:5" x14ac:dyDescent="0.25">
      <c r="A6163" t="s">
        <v>1840</v>
      </c>
      <c r="B6163" t="s">
        <v>1199</v>
      </c>
      <c r="E6163" t="str">
        <f>IF(OR(E6162="&lt;/routeDistribution&gt;",E6162=""),"",IFERROR(_xlfn.CONCAT(VLOOKUP(AO50,Route_Column!#REF!,2,FALSE),CHAR(34)," probability=",CHAR(34),1/AO$4,CHAR(34),CHAR(47),CHAR(62)),"&lt;/routeDistribution&gt;"))</f>
        <v/>
      </c>
    </row>
    <row r="6164" spans="1:5" x14ac:dyDescent="0.25">
      <c r="A6164" t="s">
        <v>1840</v>
      </c>
      <c r="B6164" t="s">
        <v>1212</v>
      </c>
      <c r="E6164" t="str">
        <f>IF(OR(E6163="&lt;/routeDistribution&gt;",E6163=""),"",IFERROR(_xlfn.CONCAT(VLOOKUP(AO51,Route_Column!#REF!,2,FALSE),CHAR(34)," probability=",CHAR(34),1/AO$4,CHAR(34),CHAR(47),CHAR(62)),"&lt;/routeDistribution&gt;"))</f>
        <v/>
      </c>
    </row>
    <row r="6165" spans="1:5" x14ac:dyDescent="0.25">
      <c r="A6165" t="s">
        <v>1840</v>
      </c>
      <c r="B6165" t="s">
        <v>1214</v>
      </c>
      <c r="E6165" t="str">
        <f>IF(OR(E6164="&lt;/routeDistribution&gt;",E6164=""),"",IFERROR(_xlfn.CONCAT(VLOOKUP(AO52,Route_Column!#REF!,2,FALSE),CHAR(34)," probability=",CHAR(34),1/AO$4,CHAR(34),CHAR(47),CHAR(62)),"&lt;/routeDistribution&gt;"))</f>
        <v/>
      </c>
    </row>
    <row r="6166" spans="1:5" x14ac:dyDescent="0.25">
      <c r="A6166" t="s">
        <v>1840</v>
      </c>
      <c r="B6166" t="s">
        <v>1233</v>
      </c>
      <c r="E6166" t="str">
        <f>IF(OR(E6165="&lt;/routeDistribution&gt;",E6165=""),"",IFERROR(_xlfn.CONCAT(VLOOKUP(AO53,Route_Column!#REF!,2,FALSE),CHAR(34)," probability=",CHAR(34),1/AO$4,CHAR(34),CHAR(47),CHAR(62)),"&lt;/routeDistribution&gt;"))</f>
        <v/>
      </c>
    </row>
    <row r="6167" spans="1:5" x14ac:dyDescent="0.25">
      <c r="A6167" t="s">
        <v>1840</v>
      </c>
      <c r="B6167" t="s">
        <v>1252</v>
      </c>
      <c r="E6167" t="str">
        <f>IF(OR(E6166="&lt;/routeDistribution&gt;",E6166=""),"",IFERROR(_xlfn.CONCAT(VLOOKUP(AO54,Route_Column!#REF!,2,FALSE),CHAR(34)," probability=",CHAR(34),1/AO$4,CHAR(34),CHAR(47),CHAR(62)),"&lt;/routeDistribution&gt;"))</f>
        <v/>
      </c>
    </row>
    <row r="6168" spans="1:5" x14ac:dyDescent="0.25">
      <c r="A6168" t="s">
        <v>1838</v>
      </c>
      <c r="B6168" t="s">
        <v>1108</v>
      </c>
      <c r="E6168" t="str">
        <f>IF(OR(E6167="&lt;/routeDistribution&gt;",E6167=""),"",IFERROR(_xlfn.CONCAT(VLOOKUP(AO55,Route_Column!#REF!,2,FALSE),CHAR(34)," probability=",CHAR(34),1/AO$4,CHAR(34),CHAR(47),CHAR(62)),"&lt;/routeDistribution&gt;"))</f>
        <v/>
      </c>
    </row>
    <row r="6169" spans="1:5" x14ac:dyDescent="0.25">
      <c r="A6169" t="s">
        <v>1838</v>
      </c>
      <c r="B6169" t="s">
        <v>1160</v>
      </c>
      <c r="E6169" t="str">
        <f>IF(OR(E6168="&lt;/routeDistribution&gt;",E6168=""),"",IFERROR(_xlfn.CONCAT(VLOOKUP(AO56,Route_Column!#REF!,2,FALSE),CHAR(34)," probability=",CHAR(34),1/AO$4,CHAR(34),CHAR(47),CHAR(62)),"&lt;/routeDistribution&gt;"))</f>
        <v/>
      </c>
    </row>
    <row r="6170" spans="1:5" x14ac:dyDescent="0.25">
      <c r="A6170" t="s">
        <v>1838</v>
      </c>
      <c r="B6170" t="s">
        <v>1174</v>
      </c>
      <c r="E6170" t="str">
        <f>IF(OR(E6169="&lt;/routeDistribution&gt;",E6169=""),"",IFERROR(_xlfn.CONCAT(VLOOKUP(AO57,Route_Column!#REF!,2,FALSE),CHAR(34)," probability=",CHAR(34),1/AO$4,CHAR(34),CHAR(47),CHAR(62)),"&lt;/routeDistribution&gt;"))</f>
        <v/>
      </c>
    </row>
    <row r="6171" spans="1:5" x14ac:dyDescent="0.25">
      <c r="A6171" t="s">
        <v>1838</v>
      </c>
      <c r="B6171" t="s">
        <v>1175</v>
      </c>
      <c r="E6171" t="str">
        <f>IF(OR(E6170="&lt;/routeDistribution&gt;",E6170=""),"",IFERROR(_xlfn.CONCAT(VLOOKUP(AO58,Route_Column!#REF!,2,FALSE),CHAR(34)," probability=",CHAR(34),1/AO$4,CHAR(34),CHAR(47),CHAR(62)),"&lt;/routeDistribution&gt;"))</f>
        <v/>
      </c>
    </row>
    <row r="6172" spans="1:5" x14ac:dyDescent="0.25">
      <c r="A6172" t="s">
        <v>1838</v>
      </c>
      <c r="B6172" t="s">
        <v>1199</v>
      </c>
      <c r="E6172" t="str">
        <f>IF(OR(E6171="&lt;/routeDistribution&gt;",E6171=""),"",IFERROR(_xlfn.CONCAT(VLOOKUP(AO59,Route_Column!#REF!,2,FALSE),CHAR(34)," probability=",CHAR(34),1/AO$4,CHAR(34),CHAR(47),CHAR(62)),"&lt;/routeDistribution&gt;"))</f>
        <v/>
      </c>
    </row>
    <row r="6173" spans="1:5" x14ac:dyDescent="0.25">
      <c r="A6173" t="s">
        <v>1838</v>
      </c>
      <c r="B6173" t="s">
        <v>1212</v>
      </c>
      <c r="E6173" t="str">
        <f>IF(OR(E6172="&lt;/routeDistribution&gt;",E6172=""),"",IFERROR(_xlfn.CONCAT(VLOOKUP(AO60,Route_Column!#REF!,2,FALSE),CHAR(34)," probability=",CHAR(34),1/AO$4,CHAR(34),CHAR(47),CHAR(62)),"&lt;/routeDistribution&gt;"))</f>
        <v/>
      </c>
    </row>
    <row r="6174" spans="1:5" x14ac:dyDescent="0.25">
      <c r="A6174" t="s">
        <v>1838</v>
      </c>
      <c r="B6174" t="s">
        <v>1214</v>
      </c>
      <c r="E6174" t="str">
        <f>IF(OR(E6173="&lt;/routeDistribution&gt;",E6173=""),"",IFERROR(_xlfn.CONCAT(VLOOKUP(AO61,Route_Column!#REF!,2,FALSE),CHAR(34)," probability=",CHAR(34),1/AO$4,CHAR(34),CHAR(47),CHAR(62)),"&lt;/routeDistribution&gt;"))</f>
        <v/>
      </c>
    </row>
    <row r="6175" spans="1:5" x14ac:dyDescent="0.25">
      <c r="A6175" t="s">
        <v>1838</v>
      </c>
      <c r="B6175" t="s">
        <v>1233</v>
      </c>
      <c r="E6175" t="str">
        <f>IF(OR(E6174="&lt;/routeDistribution&gt;",E6174=""),"",IFERROR(_xlfn.CONCAT(VLOOKUP(AO62,Route_Column!#REF!,2,FALSE),CHAR(34)," probability=",CHAR(34),1/AO$4,CHAR(34),CHAR(47),CHAR(62)),"&lt;/routeDistribution&gt;"))</f>
        <v/>
      </c>
    </row>
    <row r="6176" spans="1:5" x14ac:dyDescent="0.25">
      <c r="A6176" t="s">
        <v>1838</v>
      </c>
      <c r="B6176" t="s">
        <v>1252</v>
      </c>
      <c r="E6176" t="str">
        <f>IF(OR(E6175="&lt;/routeDistribution&gt;",E6175=""),"",IFERROR(_xlfn.CONCAT(VLOOKUP(AO63,Route_Column!#REF!,2,FALSE),CHAR(34)," probability=",CHAR(34),1/AO$4,CHAR(34),CHAR(47),CHAR(62)),"&lt;/routeDistribution&gt;"))</f>
        <v/>
      </c>
    </row>
    <row r="6177" spans="1:5" x14ac:dyDescent="0.25">
      <c r="A6177" s="13" t="s">
        <v>1536</v>
      </c>
      <c r="B6177" t="s">
        <v>1091</v>
      </c>
      <c r="E6177" t="s">
        <v>2686</v>
      </c>
    </row>
    <row r="6178" spans="1:5" x14ac:dyDescent="0.25">
      <c r="A6178" t="s">
        <v>1536</v>
      </c>
      <c r="B6178" t="s">
        <v>1093</v>
      </c>
    </row>
    <row r="6179" spans="1:5" x14ac:dyDescent="0.25">
      <c r="A6179" t="s">
        <v>1536</v>
      </c>
      <c r="B6179" t="s">
        <v>1108</v>
      </c>
    </row>
    <row r="6180" spans="1:5" x14ac:dyDescent="0.25">
      <c r="A6180" t="s">
        <v>1536</v>
      </c>
      <c r="B6180" t="s">
        <v>1140</v>
      </c>
      <c r="E6180" t="str">
        <f>_xlfn.CONCAT($E$1,AN$2,$F$1)</f>
        <v>&lt;routeDistribution id="MARKET-21st-to-22nd-WB-2014-RouteProbe"&gt;</v>
      </c>
    </row>
    <row r="6181" spans="1:5" x14ac:dyDescent="0.25">
      <c r="A6181" t="s">
        <v>1536</v>
      </c>
      <c r="B6181" t="s">
        <v>1141</v>
      </c>
      <c r="E6181" t="str">
        <f>IF(OR(E6180="&lt;/routeDistribution&gt;",E6180=""),"",IFERROR(_xlfn.CONCAT(VLOOKUP(AN5,Route_Column!#REF!,2,FALSE),CHAR(34)," probability=",CHAR(34),1/AN$4,CHAR(34),CHAR(47),CHAR(62)),"&lt;/routeDistribution&gt;"))</f>
        <v>&lt;/routeDistribution&gt;</v>
      </c>
    </row>
    <row r="6182" spans="1:5" x14ac:dyDescent="0.25">
      <c r="A6182" t="s">
        <v>1536</v>
      </c>
      <c r="B6182" t="s">
        <v>1142</v>
      </c>
      <c r="E6182" t="str">
        <f>IF(OR(E6181="&lt;/routeDistribution&gt;",E6181=""),"",IFERROR(_xlfn.CONCAT(VLOOKUP(AN6,Route_Column!#REF!,2,FALSE),CHAR(34)," probability=",CHAR(34),1/AN$4,CHAR(34),CHAR(47),CHAR(62)),"&lt;/routeDistribution&gt;"))</f>
        <v/>
      </c>
    </row>
    <row r="6183" spans="1:5" x14ac:dyDescent="0.25">
      <c r="A6183" t="s">
        <v>1536</v>
      </c>
      <c r="B6183" t="s">
        <v>1150</v>
      </c>
      <c r="E6183" t="str">
        <f>IF(OR(E6182="&lt;/routeDistribution&gt;",E6182=""),"",IFERROR(_xlfn.CONCAT(VLOOKUP(AN7,Route_Column!#REF!,2,FALSE),CHAR(34)," probability=",CHAR(34),1/AN$4,CHAR(34),CHAR(47),CHAR(62)),"&lt;/routeDistribution&gt;"))</f>
        <v/>
      </c>
    </row>
    <row r="6184" spans="1:5" x14ac:dyDescent="0.25">
      <c r="A6184" t="s">
        <v>1536</v>
      </c>
      <c r="B6184" t="s">
        <v>1155</v>
      </c>
      <c r="E6184" t="str">
        <f>IF(OR(E6183="&lt;/routeDistribution&gt;",E6183=""),"",IFERROR(_xlfn.CONCAT(VLOOKUP(AN8,Route_Column!#REF!,2,FALSE),CHAR(34)," probability=",CHAR(34),1/AN$4,CHAR(34),CHAR(47),CHAR(62)),"&lt;/routeDistribution&gt;"))</f>
        <v/>
      </c>
    </row>
    <row r="6185" spans="1:5" x14ac:dyDescent="0.25">
      <c r="A6185" t="s">
        <v>1536</v>
      </c>
      <c r="B6185" t="s">
        <v>1156</v>
      </c>
      <c r="E6185" t="str">
        <f>IF(OR(E6184="&lt;/routeDistribution&gt;",E6184=""),"",IFERROR(_xlfn.CONCAT(VLOOKUP(AN9,Route_Column!#REF!,2,FALSE),CHAR(34)," probability=",CHAR(34),1/AN$4,CHAR(34),CHAR(47),CHAR(62)),"&lt;/routeDistribution&gt;"))</f>
        <v/>
      </c>
    </row>
    <row r="6186" spans="1:5" x14ac:dyDescent="0.25">
      <c r="A6186" t="s">
        <v>1536</v>
      </c>
      <c r="B6186" t="s">
        <v>1157</v>
      </c>
      <c r="E6186" t="str">
        <f>IF(OR(E6185="&lt;/routeDistribution&gt;",E6185=""),"",IFERROR(_xlfn.CONCAT(VLOOKUP(AN10,Route_Column!#REF!,2,FALSE),CHAR(34)," probability=",CHAR(34),1/AN$4,CHAR(34),CHAR(47),CHAR(62)),"&lt;/routeDistribution&gt;"))</f>
        <v/>
      </c>
    </row>
    <row r="6187" spans="1:5" x14ac:dyDescent="0.25">
      <c r="A6187" t="s">
        <v>1536</v>
      </c>
      <c r="B6187" t="s">
        <v>1158</v>
      </c>
      <c r="E6187" t="str">
        <f>IF(OR(E6186="&lt;/routeDistribution&gt;",E6186=""),"",IFERROR(_xlfn.CONCAT(VLOOKUP(AN11,Route_Column!#REF!,2,FALSE),CHAR(34)," probability=",CHAR(34),1/AN$4,CHAR(34),CHAR(47),CHAR(62)),"&lt;/routeDistribution&gt;"))</f>
        <v/>
      </c>
    </row>
    <row r="6188" spans="1:5" x14ac:dyDescent="0.25">
      <c r="A6188" t="s">
        <v>1536</v>
      </c>
      <c r="B6188" t="s">
        <v>1160</v>
      </c>
      <c r="E6188" t="str">
        <f>IF(OR(E6187="&lt;/routeDistribution&gt;",E6187=""),"",IFERROR(_xlfn.CONCAT(VLOOKUP(AN12,Route_Column!#REF!,2,FALSE),CHAR(34)," probability=",CHAR(34),1/AN$4,CHAR(34),CHAR(47),CHAR(62)),"&lt;/routeDistribution&gt;"))</f>
        <v/>
      </c>
    </row>
    <row r="6189" spans="1:5" x14ac:dyDescent="0.25">
      <c r="A6189" t="s">
        <v>1536</v>
      </c>
      <c r="B6189" t="s">
        <v>1174</v>
      </c>
      <c r="E6189" t="str">
        <f>IF(OR(E6188="&lt;/routeDistribution&gt;",E6188=""),"",IFERROR(_xlfn.CONCAT(VLOOKUP(AN13,Route_Column!#REF!,2,FALSE),CHAR(34)," probability=",CHAR(34),1/AN$4,CHAR(34),CHAR(47),CHAR(62)),"&lt;/routeDistribution&gt;"))</f>
        <v/>
      </c>
    </row>
    <row r="6190" spans="1:5" x14ac:dyDescent="0.25">
      <c r="A6190" t="s">
        <v>1536</v>
      </c>
      <c r="B6190" t="s">
        <v>1175</v>
      </c>
      <c r="E6190" t="str">
        <f>IF(OR(E6189="&lt;/routeDistribution&gt;",E6189=""),"",IFERROR(_xlfn.CONCAT(VLOOKUP(AN14,Route_Column!#REF!,2,FALSE),CHAR(34)," probability=",CHAR(34),1/AN$4,CHAR(34),CHAR(47),CHAR(62)),"&lt;/routeDistribution&gt;"))</f>
        <v/>
      </c>
    </row>
    <row r="6191" spans="1:5" x14ac:dyDescent="0.25">
      <c r="A6191" t="s">
        <v>1536</v>
      </c>
      <c r="B6191" t="s">
        <v>1176</v>
      </c>
      <c r="E6191" t="str">
        <f>IF(OR(E6190="&lt;/routeDistribution&gt;",E6190=""),"",IFERROR(_xlfn.CONCAT(VLOOKUP(AN15,Route_Column!#REF!,2,FALSE),CHAR(34)," probability=",CHAR(34),1/AN$4,CHAR(34),CHAR(47),CHAR(62)),"&lt;/routeDistribution&gt;"))</f>
        <v/>
      </c>
    </row>
    <row r="6192" spans="1:5" x14ac:dyDescent="0.25">
      <c r="A6192" t="s">
        <v>1536</v>
      </c>
      <c r="B6192" t="s">
        <v>1177</v>
      </c>
      <c r="E6192" t="str">
        <f>IF(OR(E6191="&lt;/routeDistribution&gt;",E6191=""),"",IFERROR(_xlfn.CONCAT(VLOOKUP(AN16,Route_Column!#REF!,2,FALSE),CHAR(34)," probability=",CHAR(34),1/AN$4,CHAR(34),CHAR(47),CHAR(62)),"&lt;/routeDistribution&gt;"))</f>
        <v/>
      </c>
    </row>
    <row r="6193" spans="1:5" x14ac:dyDescent="0.25">
      <c r="A6193" t="s">
        <v>1536</v>
      </c>
      <c r="B6193" t="s">
        <v>1178</v>
      </c>
      <c r="E6193" t="str">
        <f>IF(OR(E6192="&lt;/routeDistribution&gt;",E6192=""),"",IFERROR(_xlfn.CONCAT(VLOOKUP(AN17,Route_Column!#REF!,2,FALSE),CHAR(34)," probability=",CHAR(34),1/AN$4,CHAR(34),CHAR(47),CHAR(62)),"&lt;/routeDistribution&gt;"))</f>
        <v/>
      </c>
    </row>
    <row r="6194" spans="1:5" x14ac:dyDescent="0.25">
      <c r="A6194" t="s">
        <v>1536</v>
      </c>
      <c r="B6194" t="s">
        <v>1179</v>
      </c>
      <c r="E6194" t="str">
        <f>IF(OR(E6193="&lt;/routeDistribution&gt;",E6193=""),"",IFERROR(_xlfn.CONCAT(VLOOKUP(AN18,Route_Column!#REF!,2,FALSE),CHAR(34)," probability=",CHAR(34),1/AN$4,CHAR(34),CHAR(47),CHAR(62)),"&lt;/routeDistribution&gt;"))</f>
        <v/>
      </c>
    </row>
    <row r="6195" spans="1:5" x14ac:dyDescent="0.25">
      <c r="A6195" t="s">
        <v>1536</v>
      </c>
      <c r="B6195" t="s">
        <v>1184</v>
      </c>
      <c r="E6195" t="str">
        <f>IF(OR(E6194="&lt;/routeDistribution&gt;",E6194=""),"",IFERROR(_xlfn.CONCAT(VLOOKUP(AN19,Route_Column!#REF!,2,FALSE),CHAR(34)," probability=",CHAR(34),1/AN$4,CHAR(34),CHAR(47),CHAR(62)),"&lt;/routeDistribution&gt;"))</f>
        <v/>
      </c>
    </row>
    <row r="6196" spans="1:5" x14ac:dyDescent="0.25">
      <c r="A6196" t="s">
        <v>1536</v>
      </c>
      <c r="B6196" t="s">
        <v>1199</v>
      </c>
      <c r="E6196" t="str">
        <f>IF(OR(E6195="&lt;/routeDistribution&gt;",E6195=""),"",IFERROR(_xlfn.CONCAT(VLOOKUP(AN20,Route_Column!#REF!,2,FALSE),CHAR(34)," probability=",CHAR(34),1/AN$4,CHAR(34),CHAR(47),CHAR(62)),"&lt;/routeDistribution&gt;"))</f>
        <v/>
      </c>
    </row>
    <row r="6197" spans="1:5" x14ac:dyDescent="0.25">
      <c r="A6197" t="s">
        <v>1536</v>
      </c>
      <c r="B6197" t="s">
        <v>1200</v>
      </c>
      <c r="E6197" t="str">
        <f>IF(OR(E6196="&lt;/routeDistribution&gt;",E6196=""),"",IFERROR(_xlfn.CONCAT(VLOOKUP(AN21,Route_Column!#REF!,2,FALSE),CHAR(34)," probability=",CHAR(34),1/AN$4,CHAR(34),CHAR(47),CHAR(62)),"&lt;/routeDistribution&gt;"))</f>
        <v/>
      </c>
    </row>
    <row r="6198" spans="1:5" x14ac:dyDescent="0.25">
      <c r="A6198" t="s">
        <v>1536</v>
      </c>
      <c r="B6198" t="s">
        <v>1201</v>
      </c>
      <c r="E6198" t="str">
        <f>IF(OR(E6197="&lt;/routeDistribution&gt;",E6197=""),"",IFERROR(_xlfn.CONCAT(VLOOKUP(AN22,Route_Column!#REF!,2,FALSE),CHAR(34)," probability=",CHAR(34),1/AN$4,CHAR(34),CHAR(47),CHAR(62)),"&lt;/routeDistribution&gt;"))</f>
        <v/>
      </c>
    </row>
    <row r="6199" spans="1:5" x14ac:dyDescent="0.25">
      <c r="A6199" t="s">
        <v>1536</v>
      </c>
      <c r="B6199" t="s">
        <v>1202</v>
      </c>
      <c r="E6199" t="str">
        <f>IF(OR(E6198="&lt;/routeDistribution&gt;",E6198=""),"",IFERROR(_xlfn.CONCAT(VLOOKUP(AN23,Route_Column!#REF!,2,FALSE),CHAR(34)," probability=",CHAR(34),1/AN$4,CHAR(34),CHAR(47),CHAR(62)),"&lt;/routeDistribution&gt;"))</f>
        <v/>
      </c>
    </row>
    <row r="6200" spans="1:5" x14ac:dyDescent="0.25">
      <c r="A6200" t="s">
        <v>1536</v>
      </c>
      <c r="B6200" t="s">
        <v>1203</v>
      </c>
      <c r="E6200" t="str">
        <f>IF(OR(E6199="&lt;/routeDistribution&gt;",E6199=""),"",IFERROR(_xlfn.CONCAT(VLOOKUP(AN24,Route_Column!#REF!,2,FALSE),CHAR(34)," probability=",CHAR(34),1/AN$4,CHAR(34),CHAR(47),CHAR(62)),"&lt;/routeDistribution&gt;"))</f>
        <v/>
      </c>
    </row>
    <row r="6201" spans="1:5" x14ac:dyDescent="0.25">
      <c r="A6201" t="s">
        <v>1536</v>
      </c>
      <c r="B6201" t="s">
        <v>1204</v>
      </c>
      <c r="E6201" t="str">
        <f>IF(OR(E6200="&lt;/routeDistribution&gt;",E6200=""),"",IFERROR(_xlfn.CONCAT(VLOOKUP(AN25,Route_Column!#REF!,2,FALSE),CHAR(34)," probability=",CHAR(34),1/AN$4,CHAR(34),CHAR(47),CHAR(62)),"&lt;/routeDistribution&gt;"))</f>
        <v/>
      </c>
    </row>
    <row r="6202" spans="1:5" x14ac:dyDescent="0.25">
      <c r="A6202" t="s">
        <v>1536</v>
      </c>
      <c r="B6202" t="s">
        <v>1205</v>
      </c>
      <c r="E6202" t="str">
        <f>IF(OR(E6201="&lt;/routeDistribution&gt;",E6201=""),"",IFERROR(_xlfn.CONCAT(VLOOKUP(AN26,Route_Column!#REF!,2,FALSE),CHAR(34)," probability=",CHAR(34),1/AN$4,CHAR(34),CHAR(47),CHAR(62)),"&lt;/routeDistribution&gt;"))</f>
        <v/>
      </c>
    </row>
    <row r="6203" spans="1:5" x14ac:dyDescent="0.25">
      <c r="A6203" t="s">
        <v>1536</v>
      </c>
      <c r="B6203" t="s">
        <v>1206</v>
      </c>
      <c r="E6203" t="str">
        <f>IF(OR(E6202="&lt;/routeDistribution&gt;",E6202=""),"",IFERROR(_xlfn.CONCAT(VLOOKUP(AN27,Route_Column!#REF!,2,FALSE),CHAR(34)," probability=",CHAR(34),1/AN$4,CHAR(34),CHAR(47),CHAR(62)),"&lt;/routeDistribution&gt;"))</f>
        <v/>
      </c>
    </row>
    <row r="6204" spans="1:5" x14ac:dyDescent="0.25">
      <c r="A6204" t="s">
        <v>1536</v>
      </c>
      <c r="B6204" t="s">
        <v>1206</v>
      </c>
      <c r="E6204" t="str">
        <f>IF(OR(E6203="&lt;/routeDistribution&gt;",E6203=""),"",IFERROR(_xlfn.CONCAT(VLOOKUP(AN28,Route_Column!#REF!,2,FALSE),CHAR(34)," probability=",CHAR(34),1/AN$4,CHAR(34),CHAR(47),CHAR(62)),"&lt;/routeDistribution&gt;"))</f>
        <v/>
      </c>
    </row>
    <row r="6205" spans="1:5" x14ac:dyDescent="0.25">
      <c r="A6205" t="s">
        <v>1536</v>
      </c>
      <c r="B6205" t="s">
        <v>1207</v>
      </c>
      <c r="E6205" t="str">
        <f>IF(OR(E6204="&lt;/routeDistribution&gt;",E6204=""),"",IFERROR(_xlfn.CONCAT(VLOOKUP(AN29,Route_Column!#REF!,2,FALSE),CHAR(34)," probability=",CHAR(34),1/AN$4,CHAR(34),CHAR(47),CHAR(62)),"&lt;/routeDistribution&gt;"))</f>
        <v/>
      </c>
    </row>
    <row r="6206" spans="1:5" x14ac:dyDescent="0.25">
      <c r="A6206" t="s">
        <v>1536</v>
      </c>
      <c r="B6206" t="s">
        <v>1207</v>
      </c>
      <c r="E6206" t="str">
        <f>IF(OR(E6205="&lt;/routeDistribution&gt;",E6205=""),"",IFERROR(_xlfn.CONCAT(VLOOKUP(AN30,Route_Column!#REF!,2,FALSE),CHAR(34)," probability=",CHAR(34),1/AN$4,CHAR(34),CHAR(47),CHAR(62)),"&lt;/routeDistribution&gt;"))</f>
        <v/>
      </c>
    </row>
    <row r="6207" spans="1:5" x14ac:dyDescent="0.25">
      <c r="A6207" t="s">
        <v>1536</v>
      </c>
      <c r="B6207" t="s">
        <v>1208</v>
      </c>
      <c r="E6207" t="str">
        <f>IF(OR(E6206="&lt;/routeDistribution&gt;",E6206=""),"",IFERROR(_xlfn.CONCAT(VLOOKUP(AN31,Route_Column!#REF!,2,FALSE),CHAR(34)," probability=",CHAR(34),1/AN$4,CHAR(34),CHAR(47),CHAR(62)),"&lt;/routeDistribution&gt;"))</f>
        <v/>
      </c>
    </row>
    <row r="6208" spans="1:5" x14ac:dyDescent="0.25">
      <c r="A6208" t="s">
        <v>1536</v>
      </c>
      <c r="B6208" t="s">
        <v>1233</v>
      </c>
      <c r="E6208" t="str">
        <f>IF(OR(E6207="&lt;/routeDistribution&gt;",E6207=""),"",IFERROR(_xlfn.CONCAT(VLOOKUP(AN32,Route_Column!#REF!,2,FALSE),CHAR(34)," probability=",CHAR(34),1/AN$4,CHAR(34),CHAR(47),CHAR(62)),"&lt;/routeDistribution&gt;"))</f>
        <v/>
      </c>
    </row>
    <row r="6209" spans="1:5" x14ac:dyDescent="0.25">
      <c r="A6209" s="13" t="s">
        <v>1535</v>
      </c>
      <c r="B6209" t="s">
        <v>1091</v>
      </c>
      <c r="E6209" t="str">
        <f>IF(OR(E6208="&lt;/routeDistribution&gt;",E6208=""),"",IFERROR(_xlfn.CONCAT(VLOOKUP(AN33,Route_Column!#REF!,2,FALSE),CHAR(34)," probability=",CHAR(34),1/AN$4,CHAR(34),CHAR(47),CHAR(62)),"&lt;/routeDistribution&gt;"))</f>
        <v/>
      </c>
    </row>
    <row r="6210" spans="1:5" x14ac:dyDescent="0.25">
      <c r="A6210" t="s">
        <v>1535</v>
      </c>
      <c r="B6210" t="s">
        <v>1093</v>
      </c>
      <c r="E6210" t="str">
        <f>IF(OR(E6209="&lt;/routeDistribution&gt;",E6209=""),"",IFERROR(_xlfn.CONCAT(VLOOKUP(AN34,Route_Column!#REF!,2,FALSE),CHAR(34)," probability=",CHAR(34),1/AN$4,CHAR(34),CHAR(47),CHAR(62)),"&lt;/routeDistribution&gt;"))</f>
        <v/>
      </c>
    </row>
    <row r="6211" spans="1:5" x14ac:dyDescent="0.25">
      <c r="A6211" t="s">
        <v>1535</v>
      </c>
      <c r="B6211" t="s">
        <v>1108</v>
      </c>
      <c r="E6211" t="str">
        <f>IF(OR(E6210="&lt;/routeDistribution&gt;",E6210=""),"",IFERROR(_xlfn.CONCAT(VLOOKUP(AN35,Route_Column!#REF!,2,FALSE),CHAR(34)," probability=",CHAR(34),1/AN$4,CHAR(34),CHAR(47),CHAR(62)),"&lt;/routeDistribution&gt;"))</f>
        <v/>
      </c>
    </row>
    <row r="6212" spans="1:5" x14ac:dyDescent="0.25">
      <c r="A6212" t="s">
        <v>1535</v>
      </c>
      <c r="B6212" t="s">
        <v>1140</v>
      </c>
      <c r="E6212" t="str">
        <f>IF(OR(E6211="&lt;/routeDistribution&gt;",E6211=""),"",IFERROR(_xlfn.CONCAT(VLOOKUP(AN36,Route_Column!#REF!,2,FALSE),CHAR(34)," probability=",CHAR(34),1/AN$4,CHAR(34),CHAR(47),CHAR(62)),"&lt;/routeDistribution&gt;"))</f>
        <v/>
      </c>
    </row>
    <row r="6213" spans="1:5" x14ac:dyDescent="0.25">
      <c r="A6213" t="s">
        <v>1535</v>
      </c>
      <c r="B6213" t="s">
        <v>1141</v>
      </c>
      <c r="E6213" t="str">
        <f>IF(OR(E6212="&lt;/routeDistribution&gt;",E6212=""),"",IFERROR(_xlfn.CONCAT(VLOOKUP(AN37,Route_Column!#REF!,2,FALSE),CHAR(34)," probability=",CHAR(34),1/AN$4,CHAR(34),CHAR(47),CHAR(62)),"&lt;/routeDistribution&gt;"))</f>
        <v/>
      </c>
    </row>
    <row r="6214" spans="1:5" x14ac:dyDescent="0.25">
      <c r="A6214" t="s">
        <v>1535</v>
      </c>
      <c r="B6214" t="s">
        <v>1142</v>
      </c>
      <c r="E6214" t="str">
        <f>IF(OR(E6213="&lt;/routeDistribution&gt;",E6213=""),"",IFERROR(_xlfn.CONCAT(VLOOKUP(AN38,Route_Column!#REF!,2,FALSE),CHAR(34)," probability=",CHAR(34),1/AN$4,CHAR(34),CHAR(47),CHAR(62)),"&lt;/routeDistribution&gt;"))</f>
        <v/>
      </c>
    </row>
    <row r="6215" spans="1:5" x14ac:dyDescent="0.25">
      <c r="A6215" t="s">
        <v>1535</v>
      </c>
      <c r="B6215" t="s">
        <v>1150</v>
      </c>
      <c r="E6215" t="str">
        <f>IF(OR(E6214="&lt;/routeDistribution&gt;",E6214=""),"",IFERROR(_xlfn.CONCAT(VLOOKUP(AN39,Route_Column!#REF!,2,FALSE),CHAR(34)," probability=",CHAR(34),1/AN$4,CHAR(34),CHAR(47),CHAR(62)),"&lt;/routeDistribution&gt;"))</f>
        <v/>
      </c>
    </row>
    <row r="6216" spans="1:5" x14ac:dyDescent="0.25">
      <c r="A6216" t="s">
        <v>1535</v>
      </c>
      <c r="B6216" t="s">
        <v>1155</v>
      </c>
      <c r="E6216" t="str">
        <f>IF(OR(E6215="&lt;/routeDistribution&gt;",E6215=""),"",IFERROR(_xlfn.CONCAT(VLOOKUP(AN40,Route_Column!#REF!,2,FALSE),CHAR(34)," probability=",CHAR(34),1/AN$4,CHAR(34),CHAR(47),CHAR(62)),"&lt;/routeDistribution&gt;"))</f>
        <v/>
      </c>
    </row>
    <row r="6217" spans="1:5" x14ac:dyDescent="0.25">
      <c r="A6217" t="s">
        <v>1535</v>
      </c>
      <c r="B6217" t="s">
        <v>1156</v>
      </c>
      <c r="E6217" t="str">
        <f>IF(OR(E6216="&lt;/routeDistribution&gt;",E6216=""),"",IFERROR(_xlfn.CONCAT(VLOOKUP(AN41,Route_Column!#REF!,2,FALSE),CHAR(34)," probability=",CHAR(34),1/AN$4,CHAR(34),CHAR(47),CHAR(62)),"&lt;/routeDistribution&gt;"))</f>
        <v/>
      </c>
    </row>
    <row r="6218" spans="1:5" x14ac:dyDescent="0.25">
      <c r="A6218" t="s">
        <v>1535</v>
      </c>
      <c r="B6218" t="s">
        <v>1157</v>
      </c>
      <c r="E6218" t="str">
        <f>IF(OR(E6217="&lt;/routeDistribution&gt;",E6217=""),"",IFERROR(_xlfn.CONCAT(VLOOKUP(AN42,Route_Column!#REF!,2,FALSE),CHAR(34)," probability=",CHAR(34),1/AN$4,CHAR(34),CHAR(47),CHAR(62)),"&lt;/routeDistribution&gt;"))</f>
        <v/>
      </c>
    </row>
    <row r="6219" spans="1:5" x14ac:dyDescent="0.25">
      <c r="A6219" t="s">
        <v>1535</v>
      </c>
      <c r="B6219" t="s">
        <v>1158</v>
      </c>
      <c r="E6219" t="str">
        <f>IF(OR(E6218="&lt;/routeDistribution&gt;",E6218=""),"",IFERROR(_xlfn.CONCAT(VLOOKUP(AN43,Route_Column!#REF!,2,FALSE),CHAR(34)," probability=",CHAR(34),1/AN$4,CHAR(34),CHAR(47),CHAR(62)),"&lt;/routeDistribution&gt;"))</f>
        <v/>
      </c>
    </row>
    <row r="6220" spans="1:5" x14ac:dyDescent="0.25">
      <c r="A6220" t="s">
        <v>1535</v>
      </c>
      <c r="B6220" t="s">
        <v>1160</v>
      </c>
      <c r="E6220" t="str">
        <f>IF(OR(E6219="&lt;/routeDistribution&gt;",E6219=""),"",IFERROR(_xlfn.CONCAT(VLOOKUP(AN44,Route_Column!#REF!,2,FALSE),CHAR(34)," probability=",CHAR(34),1/AN$4,CHAR(34),CHAR(47),CHAR(62)),"&lt;/routeDistribution&gt;"))</f>
        <v/>
      </c>
    </row>
    <row r="6221" spans="1:5" x14ac:dyDescent="0.25">
      <c r="A6221" t="s">
        <v>1535</v>
      </c>
      <c r="B6221" t="s">
        <v>1174</v>
      </c>
      <c r="E6221" t="str">
        <f>IF(OR(E6220="&lt;/routeDistribution&gt;",E6220=""),"",IFERROR(_xlfn.CONCAT(VLOOKUP(AN45,Route_Column!#REF!,2,FALSE),CHAR(34)," probability=",CHAR(34),1/AN$4,CHAR(34),CHAR(47),CHAR(62)),"&lt;/routeDistribution&gt;"))</f>
        <v/>
      </c>
    </row>
    <row r="6222" spans="1:5" x14ac:dyDescent="0.25">
      <c r="A6222" t="s">
        <v>1535</v>
      </c>
      <c r="B6222" t="s">
        <v>1175</v>
      </c>
      <c r="E6222" t="str">
        <f>IF(OR(E6221="&lt;/routeDistribution&gt;",E6221=""),"",IFERROR(_xlfn.CONCAT(VLOOKUP(AN46,Route_Column!#REF!,2,FALSE),CHAR(34)," probability=",CHAR(34),1/AN$4,CHAR(34),CHAR(47),CHAR(62)),"&lt;/routeDistribution&gt;"))</f>
        <v/>
      </c>
    </row>
    <row r="6223" spans="1:5" x14ac:dyDescent="0.25">
      <c r="A6223" t="s">
        <v>1535</v>
      </c>
      <c r="B6223" t="s">
        <v>1176</v>
      </c>
      <c r="E6223" t="str">
        <f>IF(OR(E6222="&lt;/routeDistribution&gt;",E6222=""),"",IFERROR(_xlfn.CONCAT(VLOOKUP(AN47,Route_Column!#REF!,2,FALSE),CHAR(34)," probability=",CHAR(34),1/AN$4,CHAR(34),CHAR(47),CHAR(62)),"&lt;/routeDistribution&gt;"))</f>
        <v/>
      </c>
    </row>
    <row r="6224" spans="1:5" x14ac:dyDescent="0.25">
      <c r="A6224" t="s">
        <v>1535</v>
      </c>
      <c r="B6224" t="s">
        <v>1177</v>
      </c>
      <c r="E6224" t="str">
        <f>IF(OR(E6223="&lt;/routeDistribution&gt;",E6223=""),"",IFERROR(_xlfn.CONCAT(VLOOKUP(AN48,Route_Column!#REF!,2,FALSE),CHAR(34)," probability=",CHAR(34),1/AN$4,CHAR(34),CHAR(47),CHAR(62)),"&lt;/routeDistribution&gt;"))</f>
        <v/>
      </c>
    </row>
    <row r="6225" spans="1:5" x14ac:dyDescent="0.25">
      <c r="A6225" t="s">
        <v>1535</v>
      </c>
      <c r="B6225" t="s">
        <v>1178</v>
      </c>
      <c r="E6225" t="str">
        <f>IF(OR(E6224="&lt;/routeDistribution&gt;",E6224=""),"",IFERROR(_xlfn.CONCAT(VLOOKUP(AN49,Route_Column!#REF!,2,FALSE),CHAR(34)," probability=",CHAR(34),1/AN$4,CHAR(34),CHAR(47),CHAR(62)),"&lt;/routeDistribution&gt;"))</f>
        <v/>
      </c>
    </row>
    <row r="6226" spans="1:5" x14ac:dyDescent="0.25">
      <c r="A6226" t="s">
        <v>1535</v>
      </c>
      <c r="B6226" t="s">
        <v>1179</v>
      </c>
      <c r="E6226" t="str">
        <f>IF(OR(E6225="&lt;/routeDistribution&gt;",E6225=""),"",IFERROR(_xlfn.CONCAT(VLOOKUP(AN50,Route_Column!#REF!,2,FALSE),CHAR(34)," probability=",CHAR(34),1/AN$4,CHAR(34),CHAR(47),CHAR(62)),"&lt;/routeDistribution&gt;"))</f>
        <v/>
      </c>
    </row>
    <row r="6227" spans="1:5" x14ac:dyDescent="0.25">
      <c r="A6227" t="s">
        <v>1535</v>
      </c>
      <c r="B6227" t="s">
        <v>1184</v>
      </c>
      <c r="E6227" t="str">
        <f>IF(OR(E6226="&lt;/routeDistribution&gt;",E6226=""),"",IFERROR(_xlfn.CONCAT(VLOOKUP(AN51,Route_Column!#REF!,2,FALSE),CHAR(34)," probability=",CHAR(34),1/AN$4,CHAR(34),CHAR(47),CHAR(62)),"&lt;/routeDistribution&gt;"))</f>
        <v/>
      </c>
    </row>
    <row r="6228" spans="1:5" x14ac:dyDescent="0.25">
      <c r="A6228" t="s">
        <v>1535</v>
      </c>
      <c r="B6228" t="s">
        <v>1199</v>
      </c>
      <c r="E6228" t="str">
        <f>IF(OR(E6227="&lt;/routeDistribution&gt;",E6227=""),"",IFERROR(_xlfn.CONCAT(VLOOKUP(AN52,Route_Column!#REF!,2,FALSE),CHAR(34)," probability=",CHAR(34),1/AN$4,CHAR(34),CHAR(47),CHAR(62)),"&lt;/routeDistribution&gt;"))</f>
        <v/>
      </c>
    </row>
    <row r="6229" spans="1:5" x14ac:dyDescent="0.25">
      <c r="A6229" t="s">
        <v>1535</v>
      </c>
      <c r="B6229" t="s">
        <v>1200</v>
      </c>
      <c r="E6229" t="str">
        <f>IF(OR(E6228="&lt;/routeDistribution&gt;",E6228=""),"",IFERROR(_xlfn.CONCAT(VLOOKUP(AN53,Route_Column!#REF!,2,FALSE),CHAR(34)," probability=",CHAR(34),1/AN$4,CHAR(34),CHAR(47),CHAR(62)),"&lt;/routeDistribution&gt;"))</f>
        <v/>
      </c>
    </row>
    <row r="6230" spans="1:5" x14ac:dyDescent="0.25">
      <c r="A6230" t="s">
        <v>1535</v>
      </c>
      <c r="B6230" t="s">
        <v>1201</v>
      </c>
      <c r="E6230" t="str">
        <f>IF(OR(E6229="&lt;/routeDistribution&gt;",E6229=""),"",IFERROR(_xlfn.CONCAT(VLOOKUP(AN54,Route_Column!#REF!,2,FALSE),CHAR(34)," probability=",CHAR(34),1/AN$4,CHAR(34),CHAR(47),CHAR(62)),"&lt;/routeDistribution&gt;"))</f>
        <v/>
      </c>
    </row>
    <row r="6231" spans="1:5" x14ac:dyDescent="0.25">
      <c r="A6231" t="s">
        <v>1535</v>
      </c>
      <c r="B6231" t="s">
        <v>1202</v>
      </c>
      <c r="E6231" t="str">
        <f>IF(OR(E6230="&lt;/routeDistribution&gt;",E6230=""),"",IFERROR(_xlfn.CONCAT(VLOOKUP(AN55,Route_Column!#REF!,2,FALSE),CHAR(34)," probability=",CHAR(34),1/AN$4,CHAR(34),CHAR(47),CHAR(62)),"&lt;/routeDistribution&gt;"))</f>
        <v/>
      </c>
    </row>
    <row r="6232" spans="1:5" x14ac:dyDescent="0.25">
      <c r="A6232" t="s">
        <v>1535</v>
      </c>
      <c r="B6232" t="s">
        <v>1203</v>
      </c>
      <c r="E6232" t="str">
        <f>IF(OR(E6231="&lt;/routeDistribution&gt;",E6231=""),"",IFERROR(_xlfn.CONCAT(VLOOKUP(AN56,Route_Column!#REF!,2,FALSE),CHAR(34)," probability=",CHAR(34),1/AN$4,CHAR(34),CHAR(47),CHAR(62)),"&lt;/routeDistribution&gt;"))</f>
        <v/>
      </c>
    </row>
    <row r="6233" spans="1:5" x14ac:dyDescent="0.25">
      <c r="A6233" t="s">
        <v>1535</v>
      </c>
      <c r="B6233" t="s">
        <v>1204</v>
      </c>
      <c r="E6233" t="str">
        <f>IF(OR(E6232="&lt;/routeDistribution&gt;",E6232=""),"",IFERROR(_xlfn.CONCAT(VLOOKUP(AN57,Route_Column!#REF!,2,FALSE),CHAR(34)," probability=",CHAR(34),1/AN$4,CHAR(34),CHAR(47),CHAR(62)),"&lt;/routeDistribution&gt;"))</f>
        <v/>
      </c>
    </row>
    <row r="6234" spans="1:5" x14ac:dyDescent="0.25">
      <c r="A6234" t="s">
        <v>1535</v>
      </c>
      <c r="B6234" t="s">
        <v>1205</v>
      </c>
      <c r="E6234" t="str">
        <f>IF(OR(E6233="&lt;/routeDistribution&gt;",E6233=""),"",IFERROR(_xlfn.CONCAT(VLOOKUP(AN58,Route_Column!#REF!,2,FALSE),CHAR(34)," probability=",CHAR(34),1/AN$4,CHAR(34),CHAR(47),CHAR(62)),"&lt;/routeDistribution&gt;"))</f>
        <v/>
      </c>
    </row>
    <row r="6235" spans="1:5" x14ac:dyDescent="0.25">
      <c r="A6235" t="s">
        <v>1535</v>
      </c>
      <c r="B6235" t="s">
        <v>1206</v>
      </c>
      <c r="E6235" t="str">
        <f>IF(OR(E6234="&lt;/routeDistribution&gt;",E6234=""),"",IFERROR(_xlfn.CONCAT(VLOOKUP(AN59,Route_Column!#REF!,2,FALSE),CHAR(34)," probability=",CHAR(34),1/AN$4,CHAR(34),CHAR(47),CHAR(62)),"&lt;/routeDistribution&gt;"))</f>
        <v/>
      </c>
    </row>
    <row r="6236" spans="1:5" x14ac:dyDescent="0.25">
      <c r="A6236" t="s">
        <v>1535</v>
      </c>
      <c r="B6236" t="s">
        <v>1206</v>
      </c>
      <c r="E6236" t="str">
        <f>IF(OR(E6235="&lt;/routeDistribution&gt;",E6235=""),"",IFERROR(_xlfn.CONCAT(VLOOKUP(AN60,Route_Column!#REF!,2,FALSE),CHAR(34)," probability=",CHAR(34),1/AN$4,CHAR(34),CHAR(47),CHAR(62)),"&lt;/routeDistribution&gt;"))</f>
        <v/>
      </c>
    </row>
    <row r="6237" spans="1:5" x14ac:dyDescent="0.25">
      <c r="A6237" t="s">
        <v>1535</v>
      </c>
      <c r="B6237" t="s">
        <v>1207</v>
      </c>
      <c r="E6237" t="str">
        <f>IF(OR(E6236="&lt;/routeDistribution&gt;",E6236=""),"",IFERROR(_xlfn.CONCAT(VLOOKUP(AN61,Route_Column!#REF!,2,FALSE),CHAR(34)," probability=",CHAR(34),1/AN$4,CHAR(34),CHAR(47),CHAR(62)),"&lt;/routeDistribution&gt;"))</f>
        <v/>
      </c>
    </row>
    <row r="6238" spans="1:5" x14ac:dyDescent="0.25">
      <c r="A6238" t="s">
        <v>1535</v>
      </c>
      <c r="B6238" t="s">
        <v>1207</v>
      </c>
      <c r="E6238" t="str">
        <f>IF(OR(E6237="&lt;/routeDistribution&gt;",E6237=""),"",IFERROR(_xlfn.CONCAT(VLOOKUP(AN62,Route_Column!#REF!,2,FALSE),CHAR(34)," probability=",CHAR(34),1/AN$4,CHAR(34),CHAR(47),CHAR(62)),"&lt;/routeDistribution&gt;"))</f>
        <v/>
      </c>
    </row>
    <row r="6239" spans="1:5" x14ac:dyDescent="0.25">
      <c r="A6239" t="s">
        <v>1535</v>
      </c>
      <c r="B6239" t="s">
        <v>1208</v>
      </c>
      <c r="E6239" t="str">
        <f>IF(OR(E6238="&lt;/routeDistribution&gt;",E6238=""),"",IFERROR(_xlfn.CONCAT(VLOOKUP(AN63,Route_Column!#REF!,2,FALSE),CHAR(34)," probability=",CHAR(34),1/AN$4,CHAR(34),CHAR(47),CHAR(62)),"&lt;/routeDistribution&gt;"))</f>
        <v/>
      </c>
    </row>
    <row r="6240" spans="1:5" x14ac:dyDescent="0.25">
      <c r="A6240" t="s">
        <v>1535</v>
      </c>
      <c r="B6240" t="s">
        <v>1233</v>
      </c>
      <c r="E6240" t="s">
        <v>2686</v>
      </c>
    </row>
    <row r="6241" spans="1:5" x14ac:dyDescent="0.25">
      <c r="A6241" t="s">
        <v>2292</v>
      </c>
      <c r="B6241" t="s">
        <v>1199</v>
      </c>
    </row>
    <row r="6242" spans="1:5" x14ac:dyDescent="0.25">
      <c r="A6242" t="s">
        <v>2292</v>
      </c>
      <c r="B6242" t="s">
        <v>1200</v>
      </c>
    </row>
    <row r="6243" spans="1:5" x14ac:dyDescent="0.25">
      <c r="A6243" t="s">
        <v>2292</v>
      </c>
      <c r="B6243" t="s">
        <v>1201</v>
      </c>
      <c r="E6243" t="str">
        <f>_xlfn.CONCAT($E$1,AM$2,$F$1)</f>
        <v>&lt;routeDistribution id="SPGRst-23rd-to-22nd-EB-2014-RouteProbe"&gt;</v>
      </c>
    </row>
    <row r="6244" spans="1:5" x14ac:dyDescent="0.25">
      <c r="A6244" t="s">
        <v>2292</v>
      </c>
      <c r="B6244" t="s">
        <v>1202</v>
      </c>
      <c r="E6244" t="str">
        <f>IF(OR(E6243="&lt;/routeDistribution&gt;",E6243=""),"",IFERROR(_xlfn.CONCAT(VLOOKUP(AM5,Route_Column!#REF!,2,FALSE),CHAR(34)," probability=",CHAR(34),1/AM$4,CHAR(34),CHAR(47),CHAR(62)),"&lt;/routeDistribution&gt;"))</f>
        <v>&lt;/routeDistribution&gt;</v>
      </c>
    </row>
    <row r="6245" spans="1:5" x14ac:dyDescent="0.25">
      <c r="A6245" t="s">
        <v>2292</v>
      </c>
      <c r="B6245" t="s">
        <v>1203</v>
      </c>
      <c r="E6245" t="str">
        <f>IF(OR(E6244="&lt;/routeDistribution&gt;",E6244=""),"",IFERROR(_xlfn.CONCAT(VLOOKUP(AM6,Route_Column!#REF!,2,FALSE),CHAR(34)," probability=",CHAR(34),1/AM$4,CHAR(34),CHAR(47),CHAR(62)),"&lt;/routeDistribution&gt;"))</f>
        <v/>
      </c>
    </row>
    <row r="6246" spans="1:5" x14ac:dyDescent="0.25">
      <c r="A6246" t="s">
        <v>2292</v>
      </c>
      <c r="B6246" t="s">
        <v>1204</v>
      </c>
      <c r="E6246" t="str">
        <f>IF(OR(E6245="&lt;/routeDistribution&gt;",E6245=""),"",IFERROR(_xlfn.CONCAT(VLOOKUP(AM7,Route_Column!#REF!,2,FALSE),CHAR(34)," probability=",CHAR(34),1/AM$4,CHAR(34),CHAR(47),CHAR(62)),"&lt;/routeDistribution&gt;"))</f>
        <v/>
      </c>
    </row>
    <row r="6247" spans="1:5" x14ac:dyDescent="0.25">
      <c r="A6247" t="s">
        <v>2292</v>
      </c>
      <c r="B6247" t="s">
        <v>1205</v>
      </c>
      <c r="E6247" t="str">
        <f>IF(OR(E6246="&lt;/routeDistribution&gt;",E6246=""),"",IFERROR(_xlfn.CONCAT(VLOOKUP(AM8,Route_Column!#REF!,2,FALSE),CHAR(34)," probability=",CHAR(34),1/AM$4,CHAR(34),CHAR(47),CHAR(62)),"&lt;/routeDistribution&gt;"))</f>
        <v/>
      </c>
    </row>
    <row r="6248" spans="1:5" x14ac:dyDescent="0.25">
      <c r="A6248" t="s">
        <v>2292</v>
      </c>
      <c r="B6248" t="s">
        <v>1206</v>
      </c>
      <c r="E6248" t="str">
        <f>IF(OR(E6247="&lt;/routeDistribution&gt;",E6247=""),"",IFERROR(_xlfn.CONCAT(VLOOKUP(AM9,Route_Column!#REF!,2,FALSE),CHAR(34)," probability=",CHAR(34),1/AM$4,CHAR(34),CHAR(47),CHAR(62)),"&lt;/routeDistribution&gt;"))</f>
        <v/>
      </c>
    </row>
    <row r="6249" spans="1:5" x14ac:dyDescent="0.25">
      <c r="A6249" t="s">
        <v>2292</v>
      </c>
      <c r="B6249" t="s">
        <v>1207</v>
      </c>
      <c r="E6249" t="str">
        <f>IF(OR(E6248="&lt;/routeDistribution&gt;",E6248=""),"",IFERROR(_xlfn.CONCAT(VLOOKUP(AM10,Route_Column!#REF!,2,FALSE),CHAR(34)," probability=",CHAR(34),1/AM$4,CHAR(34),CHAR(47),CHAR(62)),"&lt;/routeDistribution&gt;"))</f>
        <v/>
      </c>
    </row>
    <row r="6250" spans="1:5" x14ac:dyDescent="0.25">
      <c r="A6250" t="s">
        <v>2292</v>
      </c>
      <c r="B6250" t="s">
        <v>1208</v>
      </c>
      <c r="E6250" t="str">
        <f>IF(OR(E6249="&lt;/routeDistribution&gt;",E6249=""),"",IFERROR(_xlfn.CONCAT(VLOOKUP(AM11,Route_Column!#REF!,2,FALSE),CHAR(34)," probability=",CHAR(34),1/AM$4,CHAR(34),CHAR(47),CHAR(62)),"&lt;/routeDistribution&gt;"))</f>
        <v/>
      </c>
    </row>
    <row r="6251" spans="1:5" x14ac:dyDescent="0.25">
      <c r="A6251" t="s">
        <v>2292</v>
      </c>
      <c r="B6251" t="s">
        <v>1209</v>
      </c>
      <c r="E6251" t="str">
        <f>IF(OR(E6250="&lt;/routeDistribution&gt;",E6250=""),"",IFERROR(_xlfn.CONCAT(VLOOKUP(AM12,Route_Column!#REF!,2,FALSE),CHAR(34)," probability=",CHAR(34),1/AM$4,CHAR(34),CHAR(47),CHAR(62)),"&lt;/routeDistribution&gt;"))</f>
        <v/>
      </c>
    </row>
    <row r="6252" spans="1:5" x14ac:dyDescent="0.25">
      <c r="A6252" t="s">
        <v>2292</v>
      </c>
      <c r="B6252" t="s">
        <v>1210</v>
      </c>
      <c r="E6252" t="str">
        <f>IF(OR(E6251="&lt;/routeDistribution&gt;",E6251=""),"",IFERROR(_xlfn.CONCAT(VLOOKUP(AM13,Route_Column!#REF!,2,FALSE),CHAR(34)," probability=",CHAR(34),1/AM$4,CHAR(34),CHAR(47),CHAR(62)),"&lt;/routeDistribution&gt;"))</f>
        <v/>
      </c>
    </row>
    <row r="6253" spans="1:5" x14ac:dyDescent="0.25">
      <c r="A6253" t="s">
        <v>2292</v>
      </c>
      <c r="B6253" t="s">
        <v>1211</v>
      </c>
      <c r="E6253" t="str">
        <f>IF(OR(E6252="&lt;/routeDistribution&gt;",E6252=""),"",IFERROR(_xlfn.CONCAT(VLOOKUP(AM14,Route_Column!#REF!,2,FALSE),CHAR(34)," probability=",CHAR(34),1/AM$4,CHAR(34),CHAR(47),CHAR(62)),"&lt;/routeDistribution&gt;"))</f>
        <v/>
      </c>
    </row>
    <row r="6254" spans="1:5" x14ac:dyDescent="0.25">
      <c r="A6254" t="s">
        <v>2292</v>
      </c>
      <c r="B6254" t="s">
        <v>1212</v>
      </c>
      <c r="E6254" t="str">
        <f>IF(OR(E6253="&lt;/routeDistribution&gt;",E6253=""),"",IFERROR(_xlfn.CONCAT(VLOOKUP(AM15,Route_Column!#REF!,2,FALSE),CHAR(34)," probability=",CHAR(34),1/AM$4,CHAR(34),CHAR(47),CHAR(62)),"&lt;/routeDistribution&gt;"))</f>
        <v/>
      </c>
    </row>
    <row r="6255" spans="1:5" x14ac:dyDescent="0.25">
      <c r="A6255" t="s">
        <v>2293</v>
      </c>
      <c r="B6255" t="s">
        <v>1199</v>
      </c>
      <c r="E6255" t="str">
        <f>IF(OR(E6254="&lt;/routeDistribution&gt;",E6254=""),"",IFERROR(_xlfn.CONCAT(VLOOKUP(AM16,Route_Column!#REF!,2,FALSE),CHAR(34)," probability=",CHAR(34),1/AM$4,CHAR(34),CHAR(47),CHAR(62)),"&lt;/routeDistribution&gt;"))</f>
        <v/>
      </c>
    </row>
    <row r="6256" spans="1:5" x14ac:dyDescent="0.25">
      <c r="A6256" t="s">
        <v>2293</v>
      </c>
      <c r="B6256" t="s">
        <v>1200</v>
      </c>
      <c r="E6256" t="str">
        <f>IF(OR(E6255="&lt;/routeDistribution&gt;",E6255=""),"",IFERROR(_xlfn.CONCAT(VLOOKUP(AM17,Route_Column!#REF!,2,FALSE),CHAR(34)," probability=",CHAR(34),1/AM$4,CHAR(34),CHAR(47),CHAR(62)),"&lt;/routeDistribution&gt;"))</f>
        <v/>
      </c>
    </row>
    <row r="6257" spans="1:5" x14ac:dyDescent="0.25">
      <c r="A6257" t="s">
        <v>2293</v>
      </c>
      <c r="B6257" t="s">
        <v>1201</v>
      </c>
      <c r="E6257" t="str">
        <f>IF(OR(E6256="&lt;/routeDistribution&gt;",E6256=""),"",IFERROR(_xlfn.CONCAT(VLOOKUP(AM18,Route_Column!#REF!,2,FALSE),CHAR(34)," probability=",CHAR(34),1/AM$4,CHAR(34),CHAR(47),CHAR(62)),"&lt;/routeDistribution&gt;"))</f>
        <v/>
      </c>
    </row>
    <row r="6258" spans="1:5" x14ac:dyDescent="0.25">
      <c r="A6258" t="s">
        <v>2293</v>
      </c>
      <c r="B6258" t="s">
        <v>1202</v>
      </c>
      <c r="E6258" t="str">
        <f>IF(OR(E6257="&lt;/routeDistribution&gt;",E6257=""),"",IFERROR(_xlfn.CONCAT(VLOOKUP(AM19,Route_Column!#REF!,2,FALSE),CHAR(34)," probability=",CHAR(34),1/AM$4,CHAR(34),CHAR(47),CHAR(62)),"&lt;/routeDistribution&gt;"))</f>
        <v/>
      </c>
    </row>
    <row r="6259" spans="1:5" x14ac:dyDescent="0.25">
      <c r="A6259" t="s">
        <v>2293</v>
      </c>
      <c r="B6259" t="s">
        <v>1203</v>
      </c>
      <c r="E6259" t="str">
        <f>IF(OR(E6258="&lt;/routeDistribution&gt;",E6258=""),"",IFERROR(_xlfn.CONCAT(VLOOKUP(AM20,Route_Column!#REF!,2,FALSE),CHAR(34)," probability=",CHAR(34),1/AM$4,CHAR(34),CHAR(47),CHAR(62)),"&lt;/routeDistribution&gt;"))</f>
        <v/>
      </c>
    </row>
    <row r="6260" spans="1:5" x14ac:dyDescent="0.25">
      <c r="A6260" t="s">
        <v>2293</v>
      </c>
      <c r="B6260" t="s">
        <v>1204</v>
      </c>
      <c r="E6260" t="str">
        <f>IF(OR(E6259="&lt;/routeDistribution&gt;",E6259=""),"",IFERROR(_xlfn.CONCAT(VLOOKUP(AM21,Route_Column!#REF!,2,FALSE),CHAR(34)," probability=",CHAR(34),1/AM$4,CHAR(34),CHAR(47),CHAR(62)),"&lt;/routeDistribution&gt;"))</f>
        <v/>
      </c>
    </row>
    <row r="6261" spans="1:5" x14ac:dyDescent="0.25">
      <c r="A6261" t="s">
        <v>2293</v>
      </c>
      <c r="B6261" t="s">
        <v>1205</v>
      </c>
      <c r="E6261" t="str">
        <f>IF(OR(E6260="&lt;/routeDistribution&gt;",E6260=""),"",IFERROR(_xlfn.CONCAT(VLOOKUP(AM22,Route_Column!#REF!,2,FALSE),CHAR(34)," probability=",CHAR(34),1/AM$4,CHAR(34),CHAR(47),CHAR(62)),"&lt;/routeDistribution&gt;"))</f>
        <v/>
      </c>
    </row>
    <row r="6262" spans="1:5" x14ac:dyDescent="0.25">
      <c r="A6262" t="s">
        <v>2293</v>
      </c>
      <c r="B6262" t="s">
        <v>1206</v>
      </c>
      <c r="E6262" t="str">
        <f>IF(OR(E6261="&lt;/routeDistribution&gt;",E6261=""),"",IFERROR(_xlfn.CONCAT(VLOOKUP(AM23,Route_Column!#REF!,2,FALSE),CHAR(34)," probability=",CHAR(34),1/AM$4,CHAR(34),CHAR(47),CHAR(62)),"&lt;/routeDistribution&gt;"))</f>
        <v/>
      </c>
    </row>
    <row r="6263" spans="1:5" x14ac:dyDescent="0.25">
      <c r="A6263" t="s">
        <v>2293</v>
      </c>
      <c r="B6263" t="s">
        <v>1207</v>
      </c>
      <c r="E6263" t="str">
        <f>IF(OR(E6262="&lt;/routeDistribution&gt;",E6262=""),"",IFERROR(_xlfn.CONCAT(VLOOKUP(AM24,Route_Column!#REF!,2,FALSE),CHAR(34)," probability=",CHAR(34),1/AM$4,CHAR(34),CHAR(47),CHAR(62)),"&lt;/routeDistribution&gt;"))</f>
        <v/>
      </c>
    </row>
    <row r="6264" spans="1:5" x14ac:dyDescent="0.25">
      <c r="A6264" t="s">
        <v>2293</v>
      </c>
      <c r="B6264" t="s">
        <v>1208</v>
      </c>
      <c r="E6264" t="str">
        <f>IF(OR(E6263="&lt;/routeDistribution&gt;",E6263=""),"",IFERROR(_xlfn.CONCAT(VLOOKUP(AM25,Route_Column!#REF!,2,FALSE),CHAR(34)," probability=",CHAR(34),1/AM$4,CHAR(34),CHAR(47),CHAR(62)),"&lt;/routeDistribution&gt;"))</f>
        <v/>
      </c>
    </row>
    <row r="6265" spans="1:5" x14ac:dyDescent="0.25">
      <c r="A6265" t="s">
        <v>2293</v>
      </c>
      <c r="B6265" t="s">
        <v>1209</v>
      </c>
      <c r="E6265" t="str">
        <f>IF(OR(E6264="&lt;/routeDistribution&gt;",E6264=""),"",IFERROR(_xlfn.CONCAT(VLOOKUP(AM26,Route_Column!#REF!,2,FALSE),CHAR(34)," probability=",CHAR(34),1/AM$4,CHAR(34),CHAR(47),CHAR(62)),"&lt;/routeDistribution&gt;"))</f>
        <v/>
      </c>
    </row>
    <row r="6266" spans="1:5" x14ac:dyDescent="0.25">
      <c r="A6266" t="s">
        <v>2293</v>
      </c>
      <c r="B6266" t="s">
        <v>1210</v>
      </c>
      <c r="E6266" t="str">
        <f>IF(OR(E6265="&lt;/routeDistribution&gt;",E6265=""),"",IFERROR(_xlfn.CONCAT(VLOOKUP(AM27,Route_Column!#REF!,2,FALSE),CHAR(34)," probability=",CHAR(34),1/AM$4,CHAR(34),CHAR(47),CHAR(62)),"&lt;/routeDistribution&gt;"))</f>
        <v/>
      </c>
    </row>
    <row r="6267" spans="1:5" x14ac:dyDescent="0.25">
      <c r="A6267" t="s">
        <v>2293</v>
      </c>
      <c r="B6267" t="s">
        <v>1211</v>
      </c>
      <c r="E6267" t="str">
        <f>IF(OR(E6266="&lt;/routeDistribution&gt;",E6266=""),"",IFERROR(_xlfn.CONCAT(VLOOKUP(AM28,Route_Column!#REF!,2,FALSE),CHAR(34)," probability=",CHAR(34),1/AM$4,CHAR(34),CHAR(47),CHAR(62)),"&lt;/routeDistribution&gt;"))</f>
        <v/>
      </c>
    </row>
    <row r="6268" spans="1:5" x14ac:dyDescent="0.25">
      <c r="A6268" t="s">
        <v>2293</v>
      </c>
      <c r="B6268" t="s">
        <v>1212</v>
      </c>
      <c r="E6268" t="str">
        <f>IF(OR(E6267="&lt;/routeDistribution&gt;",E6267=""),"",IFERROR(_xlfn.CONCAT(VLOOKUP(AM29,Route_Column!#REF!,2,FALSE),CHAR(34)," probability=",CHAR(34),1/AM$4,CHAR(34),CHAR(47),CHAR(62)),"&lt;/routeDistribution&gt;"))</f>
        <v/>
      </c>
    </row>
    <row r="6269" spans="1:5" x14ac:dyDescent="0.25">
      <c r="A6269" t="s">
        <v>2294</v>
      </c>
      <c r="B6269" t="s">
        <v>1209</v>
      </c>
      <c r="E6269" t="str">
        <f>IF(OR(E6268="&lt;/routeDistribution&gt;",E6268=""),"",IFERROR(_xlfn.CONCAT(VLOOKUP(AM30,Route_Column!#REF!,2,FALSE),CHAR(34)," probability=",CHAR(34),1/AM$4,CHAR(34),CHAR(47),CHAR(62)),"&lt;/routeDistribution&gt;"))</f>
        <v/>
      </c>
    </row>
    <row r="6270" spans="1:5" x14ac:dyDescent="0.25">
      <c r="A6270" t="s">
        <v>2294</v>
      </c>
      <c r="B6270" t="s">
        <v>1210</v>
      </c>
      <c r="E6270" t="str">
        <f>IF(OR(E6269="&lt;/routeDistribution&gt;",E6269=""),"",IFERROR(_xlfn.CONCAT(VLOOKUP(AM31,Route_Column!#REF!,2,FALSE),CHAR(34)," probability=",CHAR(34),1/AM$4,CHAR(34),CHAR(47),CHAR(62)),"&lt;/routeDistribution&gt;"))</f>
        <v/>
      </c>
    </row>
    <row r="6271" spans="1:5" x14ac:dyDescent="0.25">
      <c r="A6271" t="s">
        <v>2294</v>
      </c>
      <c r="B6271" t="s">
        <v>1211</v>
      </c>
      <c r="E6271" t="str">
        <f>IF(OR(E6270="&lt;/routeDistribution&gt;",E6270=""),"",IFERROR(_xlfn.CONCAT(VLOOKUP(AM32,Route_Column!#REF!,2,FALSE),CHAR(34)," probability=",CHAR(34),1/AM$4,CHAR(34),CHAR(47),CHAR(62)),"&lt;/routeDistribution&gt;"))</f>
        <v/>
      </c>
    </row>
    <row r="6272" spans="1:5" x14ac:dyDescent="0.25">
      <c r="A6272" t="s">
        <v>2294</v>
      </c>
      <c r="B6272" t="s">
        <v>1212</v>
      </c>
      <c r="E6272" t="str">
        <f>IF(OR(E6271="&lt;/routeDistribution&gt;",E6271=""),"",IFERROR(_xlfn.CONCAT(VLOOKUP(AM33,Route_Column!#REF!,2,FALSE),CHAR(34)," probability=",CHAR(34),1/AM$4,CHAR(34),CHAR(47),CHAR(62)),"&lt;/routeDistribution&gt;"))</f>
        <v/>
      </c>
    </row>
    <row r="6273" spans="1:5" x14ac:dyDescent="0.25">
      <c r="A6273" s="13" t="s">
        <v>1534</v>
      </c>
      <c r="B6273" t="s">
        <v>1091</v>
      </c>
      <c r="E6273" t="str">
        <f>IF(OR(E6272="&lt;/routeDistribution&gt;",E6272=""),"",IFERROR(_xlfn.CONCAT(VLOOKUP(AM34,Route_Column!#REF!,2,FALSE),CHAR(34)," probability=",CHAR(34),1/AM$4,CHAR(34),CHAR(47),CHAR(62)),"&lt;/routeDistribution&gt;"))</f>
        <v/>
      </c>
    </row>
    <row r="6274" spans="1:5" x14ac:dyDescent="0.25">
      <c r="A6274" t="s">
        <v>1534</v>
      </c>
      <c r="B6274" t="s">
        <v>1093</v>
      </c>
      <c r="E6274" t="str">
        <f>IF(OR(E6273="&lt;/routeDistribution&gt;",E6273=""),"",IFERROR(_xlfn.CONCAT(VLOOKUP(AM35,Route_Column!#REF!,2,FALSE),CHAR(34)," probability=",CHAR(34),1/AM$4,CHAR(34),CHAR(47),CHAR(62)),"&lt;/routeDistribution&gt;"))</f>
        <v/>
      </c>
    </row>
    <row r="6275" spans="1:5" x14ac:dyDescent="0.25">
      <c r="A6275" t="s">
        <v>1534</v>
      </c>
      <c r="B6275" t="s">
        <v>1094</v>
      </c>
      <c r="E6275" t="str">
        <f>IF(OR(E6274="&lt;/routeDistribution&gt;",E6274=""),"",IFERROR(_xlfn.CONCAT(VLOOKUP(AM36,Route_Column!#REF!,2,FALSE),CHAR(34)," probability=",CHAR(34),1/AM$4,CHAR(34),CHAR(47),CHAR(62)),"&lt;/routeDistribution&gt;"))</f>
        <v/>
      </c>
    </row>
    <row r="6276" spans="1:5" x14ac:dyDescent="0.25">
      <c r="A6276" t="s">
        <v>1534</v>
      </c>
      <c r="B6276" t="s">
        <v>1108</v>
      </c>
      <c r="E6276" t="str">
        <f>IF(OR(E6275="&lt;/routeDistribution&gt;",E6275=""),"",IFERROR(_xlfn.CONCAT(VLOOKUP(AM37,Route_Column!#REF!,2,FALSE),CHAR(34)," probability=",CHAR(34),1/AM$4,CHAR(34),CHAR(47),CHAR(62)),"&lt;/routeDistribution&gt;"))</f>
        <v/>
      </c>
    </row>
    <row r="6277" spans="1:5" x14ac:dyDescent="0.25">
      <c r="A6277" t="s">
        <v>1534</v>
      </c>
      <c r="B6277" t="s">
        <v>1140</v>
      </c>
      <c r="E6277" t="str">
        <f>IF(OR(E6276="&lt;/routeDistribution&gt;",E6276=""),"",IFERROR(_xlfn.CONCAT(VLOOKUP(AM38,Route_Column!#REF!,2,FALSE),CHAR(34)," probability=",CHAR(34),1/AM$4,CHAR(34),CHAR(47),CHAR(62)),"&lt;/routeDistribution&gt;"))</f>
        <v/>
      </c>
    </row>
    <row r="6278" spans="1:5" x14ac:dyDescent="0.25">
      <c r="A6278" t="s">
        <v>1534</v>
      </c>
      <c r="B6278" t="s">
        <v>1141</v>
      </c>
      <c r="E6278" t="str">
        <f>IF(OR(E6277="&lt;/routeDistribution&gt;",E6277=""),"",IFERROR(_xlfn.CONCAT(VLOOKUP(AM39,Route_Column!#REF!,2,FALSE),CHAR(34)," probability=",CHAR(34),1/AM$4,CHAR(34),CHAR(47),CHAR(62)),"&lt;/routeDistribution&gt;"))</f>
        <v/>
      </c>
    </row>
    <row r="6279" spans="1:5" x14ac:dyDescent="0.25">
      <c r="A6279" t="s">
        <v>1534</v>
      </c>
      <c r="B6279" t="s">
        <v>1142</v>
      </c>
      <c r="E6279" t="str">
        <f>IF(OR(E6278="&lt;/routeDistribution&gt;",E6278=""),"",IFERROR(_xlfn.CONCAT(VLOOKUP(AM40,Route_Column!#REF!,2,FALSE),CHAR(34)," probability=",CHAR(34),1/AM$4,CHAR(34),CHAR(47),CHAR(62)),"&lt;/routeDistribution&gt;"))</f>
        <v/>
      </c>
    </row>
    <row r="6280" spans="1:5" x14ac:dyDescent="0.25">
      <c r="A6280" t="s">
        <v>1534</v>
      </c>
      <c r="B6280" t="s">
        <v>1150</v>
      </c>
      <c r="E6280" t="str">
        <f>IF(OR(E6279="&lt;/routeDistribution&gt;",E6279=""),"",IFERROR(_xlfn.CONCAT(VLOOKUP(AM41,Route_Column!#REF!,2,FALSE),CHAR(34)," probability=",CHAR(34),1/AM$4,CHAR(34),CHAR(47),CHAR(62)),"&lt;/routeDistribution&gt;"))</f>
        <v/>
      </c>
    </row>
    <row r="6281" spans="1:5" x14ac:dyDescent="0.25">
      <c r="A6281" t="s">
        <v>1534</v>
      </c>
      <c r="B6281" t="s">
        <v>1151</v>
      </c>
      <c r="E6281" t="str">
        <f>IF(OR(E6280="&lt;/routeDistribution&gt;",E6280=""),"",IFERROR(_xlfn.CONCAT(VLOOKUP(AM42,Route_Column!#REF!,2,FALSE),CHAR(34)," probability=",CHAR(34),1/AM$4,CHAR(34),CHAR(47),CHAR(62)),"&lt;/routeDistribution&gt;"))</f>
        <v/>
      </c>
    </row>
    <row r="6282" spans="1:5" x14ac:dyDescent="0.25">
      <c r="A6282" t="s">
        <v>1534</v>
      </c>
      <c r="B6282" t="s">
        <v>1155</v>
      </c>
      <c r="E6282" t="str">
        <f>IF(OR(E6281="&lt;/routeDistribution&gt;",E6281=""),"",IFERROR(_xlfn.CONCAT(VLOOKUP(AM43,Route_Column!#REF!,2,FALSE),CHAR(34)," probability=",CHAR(34),1/AM$4,CHAR(34),CHAR(47),CHAR(62)),"&lt;/routeDistribution&gt;"))</f>
        <v/>
      </c>
    </row>
    <row r="6283" spans="1:5" x14ac:dyDescent="0.25">
      <c r="A6283" t="s">
        <v>1534</v>
      </c>
      <c r="B6283" t="s">
        <v>1156</v>
      </c>
      <c r="E6283" t="str">
        <f>IF(OR(E6282="&lt;/routeDistribution&gt;",E6282=""),"",IFERROR(_xlfn.CONCAT(VLOOKUP(AM44,Route_Column!#REF!,2,FALSE),CHAR(34)," probability=",CHAR(34),1/AM$4,CHAR(34),CHAR(47),CHAR(62)),"&lt;/routeDistribution&gt;"))</f>
        <v/>
      </c>
    </row>
    <row r="6284" spans="1:5" x14ac:dyDescent="0.25">
      <c r="A6284" t="s">
        <v>1534</v>
      </c>
      <c r="B6284" t="s">
        <v>1157</v>
      </c>
      <c r="E6284" t="str">
        <f>IF(OR(E6283="&lt;/routeDistribution&gt;",E6283=""),"",IFERROR(_xlfn.CONCAT(VLOOKUP(AM45,Route_Column!#REF!,2,FALSE),CHAR(34)," probability=",CHAR(34),1/AM$4,CHAR(34),CHAR(47),CHAR(62)),"&lt;/routeDistribution&gt;"))</f>
        <v/>
      </c>
    </row>
    <row r="6285" spans="1:5" x14ac:dyDescent="0.25">
      <c r="A6285" t="s">
        <v>1534</v>
      </c>
      <c r="B6285" t="s">
        <v>1158</v>
      </c>
      <c r="E6285" t="str">
        <f>IF(OR(E6284="&lt;/routeDistribution&gt;",E6284=""),"",IFERROR(_xlfn.CONCAT(VLOOKUP(AM46,Route_Column!#REF!,2,FALSE),CHAR(34)," probability=",CHAR(34),1/AM$4,CHAR(34),CHAR(47),CHAR(62)),"&lt;/routeDistribution&gt;"))</f>
        <v/>
      </c>
    </row>
    <row r="6286" spans="1:5" x14ac:dyDescent="0.25">
      <c r="A6286" t="s">
        <v>1534</v>
      </c>
      <c r="B6286" t="s">
        <v>1159</v>
      </c>
      <c r="E6286" t="str">
        <f>IF(OR(E6285="&lt;/routeDistribution&gt;",E6285=""),"",IFERROR(_xlfn.CONCAT(VLOOKUP(AM47,Route_Column!#REF!,2,FALSE),CHAR(34)," probability=",CHAR(34),1/AM$4,CHAR(34),CHAR(47),CHAR(62)),"&lt;/routeDistribution&gt;"))</f>
        <v/>
      </c>
    </row>
    <row r="6287" spans="1:5" x14ac:dyDescent="0.25">
      <c r="A6287" t="s">
        <v>1534</v>
      </c>
      <c r="B6287" t="s">
        <v>1160</v>
      </c>
      <c r="E6287" t="str">
        <f>IF(OR(E6286="&lt;/routeDistribution&gt;",E6286=""),"",IFERROR(_xlfn.CONCAT(VLOOKUP(AM48,Route_Column!#REF!,2,FALSE),CHAR(34)," probability=",CHAR(34),1/AM$4,CHAR(34),CHAR(47),CHAR(62)),"&lt;/routeDistribution&gt;"))</f>
        <v/>
      </c>
    </row>
    <row r="6288" spans="1:5" x14ac:dyDescent="0.25">
      <c r="A6288" t="s">
        <v>1534</v>
      </c>
      <c r="B6288" t="s">
        <v>1174</v>
      </c>
      <c r="E6288" t="str">
        <f>IF(OR(E6287="&lt;/routeDistribution&gt;",E6287=""),"",IFERROR(_xlfn.CONCAT(VLOOKUP(AM49,Route_Column!#REF!,2,FALSE),CHAR(34)," probability=",CHAR(34),1/AM$4,CHAR(34),CHAR(47),CHAR(62)),"&lt;/routeDistribution&gt;"))</f>
        <v/>
      </c>
    </row>
    <row r="6289" spans="1:5" x14ac:dyDescent="0.25">
      <c r="A6289" t="s">
        <v>1534</v>
      </c>
      <c r="B6289" t="s">
        <v>1175</v>
      </c>
      <c r="E6289" t="str">
        <f>IF(OR(E6288="&lt;/routeDistribution&gt;",E6288=""),"",IFERROR(_xlfn.CONCAT(VLOOKUP(AM50,Route_Column!#REF!,2,FALSE),CHAR(34)," probability=",CHAR(34),1/AM$4,CHAR(34),CHAR(47),CHAR(62)),"&lt;/routeDistribution&gt;"))</f>
        <v/>
      </c>
    </row>
    <row r="6290" spans="1:5" x14ac:dyDescent="0.25">
      <c r="A6290" t="s">
        <v>1534</v>
      </c>
      <c r="B6290" t="s">
        <v>1176</v>
      </c>
      <c r="E6290" t="str">
        <f>IF(OR(E6289="&lt;/routeDistribution&gt;",E6289=""),"",IFERROR(_xlfn.CONCAT(VLOOKUP(AM51,Route_Column!#REF!,2,FALSE),CHAR(34)," probability=",CHAR(34),1/AM$4,CHAR(34),CHAR(47),CHAR(62)),"&lt;/routeDistribution&gt;"))</f>
        <v/>
      </c>
    </row>
    <row r="6291" spans="1:5" x14ac:dyDescent="0.25">
      <c r="A6291" t="s">
        <v>1534</v>
      </c>
      <c r="B6291" t="s">
        <v>1177</v>
      </c>
      <c r="E6291" t="str">
        <f>IF(OR(E6290="&lt;/routeDistribution&gt;",E6290=""),"",IFERROR(_xlfn.CONCAT(VLOOKUP(AM52,Route_Column!#REF!,2,FALSE),CHAR(34)," probability=",CHAR(34),1/AM$4,CHAR(34),CHAR(47),CHAR(62)),"&lt;/routeDistribution&gt;"))</f>
        <v/>
      </c>
    </row>
    <row r="6292" spans="1:5" x14ac:dyDescent="0.25">
      <c r="A6292" t="s">
        <v>1534</v>
      </c>
      <c r="B6292" t="s">
        <v>1178</v>
      </c>
      <c r="E6292" t="str">
        <f>IF(OR(E6291="&lt;/routeDistribution&gt;",E6291=""),"",IFERROR(_xlfn.CONCAT(VLOOKUP(AM53,Route_Column!#REF!,2,FALSE),CHAR(34)," probability=",CHAR(34),1/AM$4,CHAR(34),CHAR(47),CHAR(62)),"&lt;/routeDistribution&gt;"))</f>
        <v/>
      </c>
    </row>
    <row r="6293" spans="1:5" x14ac:dyDescent="0.25">
      <c r="A6293" t="s">
        <v>1534</v>
      </c>
      <c r="B6293" t="s">
        <v>1179</v>
      </c>
      <c r="E6293" t="str">
        <f>IF(OR(E6292="&lt;/routeDistribution&gt;",E6292=""),"",IFERROR(_xlfn.CONCAT(VLOOKUP(AM54,Route_Column!#REF!,2,FALSE),CHAR(34)," probability=",CHAR(34),1/AM$4,CHAR(34),CHAR(47),CHAR(62)),"&lt;/routeDistribution&gt;"))</f>
        <v/>
      </c>
    </row>
    <row r="6294" spans="1:5" x14ac:dyDescent="0.25">
      <c r="A6294" t="s">
        <v>1534</v>
      </c>
      <c r="B6294" t="s">
        <v>1179</v>
      </c>
      <c r="E6294" t="str">
        <f>IF(OR(E6293="&lt;/routeDistribution&gt;",E6293=""),"",IFERROR(_xlfn.CONCAT(VLOOKUP(AM55,Route_Column!#REF!,2,FALSE),CHAR(34)," probability=",CHAR(34),1/AM$4,CHAR(34),CHAR(47),CHAR(62)),"&lt;/routeDistribution&gt;"))</f>
        <v/>
      </c>
    </row>
    <row r="6295" spans="1:5" x14ac:dyDescent="0.25">
      <c r="A6295" t="s">
        <v>1534</v>
      </c>
      <c r="B6295" t="s">
        <v>1184</v>
      </c>
      <c r="E6295" t="str">
        <f>IF(OR(E6294="&lt;/routeDistribution&gt;",E6294=""),"",IFERROR(_xlfn.CONCAT(VLOOKUP(AM56,Route_Column!#REF!,2,FALSE),CHAR(34)," probability=",CHAR(34),1/AM$4,CHAR(34),CHAR(47),CHAR(62)),"&lt;/routeDistribution&gt;"))</f>
        <v/>
      </c>
    </row>
    <row r="6296" spans="1:5" x14ac:dyDescent="0.25">
      <c r="A6296" t="s">
        <v>1534</v>
      </c>
      <c r="B6296" t="s">
        <v>1190</v>
      </c>
      <c r="E6296" t="str">
        <f>IF(OR(E6295="&lt;/routeDistribution&gt;",E6295=""),"",IFERROR(_xlfn.CONCAT(VLOOKUP(AM57,Route_Column!#REF!,2,FALSE),CHAR(34)," probability=",CHAR(34),1/AM$4,CHAR(34),CHAR(47),CHAR(62)),"&lt;/routeDistribution&gt;"))</f>
        <v/>
      </c>
    </row>
    <row r="6297" spans="1:5" x14ac:dyDescent="0.25">
      <c r="A6297" t="s">
        <v>1534</v>
      </c>
      <c r="B6297" t="s">
        <v>1206</v>
      </c>
      <c r="E6297" t="str">
        <f>IF(OR(E6296="&lt;/routeDistribution&gt;",E6296=""),"",IFERROR(_xlfn.CONCAT(VLOOKUP(AM58,Route_Column!#REF!,2,FALSE),CHAR(34)," probability=",CHAR(34),1/AM$4,CHAR(34),CHAR(47),CHAR(62)),"&lt;/routeDistribution&gt;"))</f>
        <v/>
      </c>
    </row>
    <row r="6298" spans="1:5" x14ac:dyDescent="0.25">
      <c r="A6298" t="s">
        <v>1534</v>
      </c>
      <c r="B6298" t="s">
        <v>1207</v>
      </c>
      <c r="E6298" t="str">
        <f>IF(OR(E6297="&lt;/routeDistribution&gt;",E6297=""),"",IFERROR(_xlfn.CONCAT(VLOOKUP(AM59,Route_Column!#REF!,2,FALSE),CHAR(34)," probability=",CHAR(34),1/AM$4,CHAR(34),CHAR(47),CHAR(62)),"&lt;/routeDistribution&gt;"))</f>
        <v/>
      </c>
    </row>
    <row r="6299" spans="1:5" x14ac:dyDescent="0.25">
      <c r="A6299" t="s">
        <v>1534</v>
      </c>
      <c r="B6299" t="s">
        <v>1208</v>
      </c>
      <c r="E6299" t="str">
        <f>IF(OR(E6298="&lt;/routeDistribution&gt;",E6298=""),"",IFERROR(_xlfn.CONCAT(VLOOKUP(AM60,Route_Column!#REF!,2,FALSE),CHAR(34)," probability=",CHAR(34),1/AM$4,CHAR(34),CHAR(47),CHAR(62)),"&lt;/routeDistribution&gt;"))</f>
        <v/>
      </c>
    </row>
    <row r="6300" spans="1:5" x14ac:dyDescent="0.25">
      <c r="A6300" t="s">
        <v>1534</v>
      </c>
      <c r="B6300" t="s">
        <v>1233</v>
      </c>
      <c r="E6300" t="str">
        <f>IF(OR(E6299="&lt;/routeDistribution&gt;",E6299=""),"",IFERROR(_xlfn.CONCAT(VLOOKUP(AM61,Route_Column!#REF!,2,FALSE),CHAR(34)," probability=",CHAR(34),1/AM$4,CHAR(34),CHAR(47),CHAR(62)),"&lt;/routeDistribution&gt;"))</f>
        <v/>
      </c>
    </row>
    <row r="6301" spans="1:5" x14ac:dyDescent="0.25">
      <c r="A6301" t="s">
        <v>1534</v>
      </c>
      <c r="B6301" t="s">
        <v>1234</v>
      </c>
      <c r="E6301" t="str">
        <f>IF(OR(E6300="&lt;/routeDistribution&gt;",E6300=""),"",IFERROR(_xlfn.CONCAT(VLOOKUP(AM62,Route_Column!#REF!,2,FALSE),CHAR(34)," probability=",CHAR(34),1/AM$4,CHAR(34),CHAR(47),CHAR(62)),"&lt;/routeDistribution&gt;"))</f>
        <v/>
      </c>
    </row>
    <row r="6302" spans="1:5" x14ac:dyDescent="0.25">
      <c r="A6302" s="11" t="s">
        <v>1449</v>
      </c>
      <c r="B6302" t="s">
        <v>1090</v>
      </c>
      <c r="E6302" t="str">
        <f>IF(OR(E6301="&lt;/routeDistribution&gt;",E6301=""),"",IFERROR(_xlfn.CONCAT(VLOOKUP(AM63,Route_Column!#REF!,2,FALSE),CHAR(34)," probability=",CHAR(34),1/AM$4,CHAR(34),CHAR(47),CHAR(62)),"&lt;/routeDistribution&gt;"))</f>
        <v/>
      </c>
    </row>
    <row r="6303" spans="1:5" x14ac:dyDescent="0.25">
      <c r="A6303" t="s">
        <v>1449</v>
      </c>
      <c r="B6303" t="s">
        <v>1097</v>
      </c>
      <c r="E6303" t="s">
        <v>2686</v>
      </c>
    </row>
    <row r="6304" spans="1:5" x14ac:dyDescent="0.25">
      <c r="A6304" t="s">
        <v>1449</v>
      </c>
      <c r="B6304" t="s">
        <v>1111</v>
      </c>
    </row>
    <row r="6305" spans="1:5" x14ac:dyDescent="0.25">
      <c r="A6305" t="s">
        <v>1449</v>
      </c>
      <c r="B6305" t="s">
        <v>1132</v>
      </c>
    </row>
    <row r="6306" spans="1:5" x14ac:dyDescent="0.25">
      <c r="A6306" t="s">
        <v>1449</v>
      </c>
      <c r="B6306" t="s">
        <v>1137</v>
      </c>
      <c r="E6306" t="str">
        <f>_xlfn.CONCAT($E$1,AL$2,$F$1)</f>
        <v>&lt;routeDistribution id="SPGRst-22nd-to-23rd-WB-2014-RouteProbe"&gt;</v>
      </c>
    </row>
    <row r="6307" spans="1:5" x14ac:dyDescent="0.25">
      <c r="A6307" t="s">
        <v>1449</v>
      </c>
      <c r="B6307" t="s">
        <v>1171</v>
      </c>
      <c r="E6307" t="str">
        <f>IF(OR(E6306="&lt;/routeDistribution&gt;",E6306=""),"",IFERROR(_xlfn.CONCAT(VLOOKUP(AL5,Route_Column!#REF!,2,FALSE),CHAR(34)," probability=",CHAR(34),1/AL$4,CHAR(34),CHAR(47),CHAR(62)),"&lt;/routeDistribution&gt;"))</f>
        <v>&lt;/routeDistribution&gt;</v>
      </c>
    </row>
    <row r="6308" spans="1:5" x14ac:dyDescent="0.25">
      <c r="A6308" t="s">
        <v>1449</v>
      </c>
      <c r="B6308" t="s">
        <v>1182</v>
      </c>
      <c r="E6308" t="str">
        <f>IF(OR(E6307="&lt;/routeDistribution&gt;",E6307=""),"",IFERROR(_xlfn.CONCAT(VLOOKUP(AL6,Route_Column!#REF!,2,FALSE),CHAR(34)," probability=",CHAR(34),1/AL$4,CHAR(34),CHAR(47),CHAR(62)),"&lt;/routeDistribution&gt;"))</f>
        <v/>
      </c>
    </row>
    <row r="6309" spans="1:5" x14ac:dyDescent="0.25">
      <c r="A6309" t="s">
        <v>1449</v>
      </c>
      <c r="B6309" t="s">
        <v>1191</v>
      </c>
      <c r="E6309" t="str">
        <f>IF(OR(E6308="&lt;/routeDistribution&gt;",E6308=""),"",IFERROR(_xlfn.CONCAT(VLOOKUP(AL7,Route_Column!#REF!,2,FALSE),CHAR(34)," probability=",CHAR(34),1/AL$4,CHAR(34),CHAR(47),CHAR(62)),"&lt;/routeDistribution&gt;"))</f>
        <v/>
      </c>
    </row>
    <row r="6310" spans="1:5" x14ac:dyDescent="0.25">
      <c r="A6310" t="s">
        <v>1449</v>
      </c>
      <c r="B6310" t="s">
        <v>1215</v>
      </c>
      <c r="E6310" t="str">
        <f>IF(OR(E6309="&lt;/routeDistribution&gt;",E6309=""),"",IFERROR(_xlfn.CONCAT(VLOOKUP(AL8,Route_Column!#REF!,2,FALSE),CHAR(34)," probability=",CHAR(34),1/AL$4,CHAR(34),CHAR(47),CHAR(62)),"&lt;/routeDistribution&gt;"))</f>
        <v/>
      </c>
    </row>
    <row r="6311" spans="1:5" x14ac:dyDescent="0.25">
      <c r="A6311" t="s">
        <v>1449</v>
      </c>
      <c r="B6311" t="s">
        <v>1222</v>
      </c>
      <c r="E6311" t="str">
        <f>IF(OR(E6310="&lt;/routeDistribution&gt;",E6310=""),"",IFERROR(_xlfn.CONCAT(VLOOKUP(AL9,Route_Column!#REF!,2,FALSE),CHAR(34)," probability=",CHAR(34),1/AL$4,CHAR(34),CHAR(47),CHAR(62)),"&lt;/routeDistribution&gt;"))</f>
        <v/>
      </c>
    </row>
    <row r="6312" spans="1:5" x14ac:dyDescent="0.25">
      <c r="A6312" t="s">
        <v>1449</v>
      </c>
      <c r="B6312" t="s">
        <v>1225</v>
      </c>
      <c r="E6312" t="str">
        <f>IF(OR(E6311="&lt;/routeDistribution&gt;",E6311=""),"",IFERROR(_xlfn.CONCAT(VLOOKUP(AL10,Route_Column!#REF!,2,FALSE),CHAR(34)," probability=",CHAR(34),1/AL$4,CHAR(34),CHAR(47),CHAR(62)),"&lt;/routeDistribution&gt;"))</f>
        <v/>
      </c>
    </row>
    <row r="6313" spans="1:5" x14ac:dyDescent="0.25">
      <c r="A6313" t="s">
        <v>1630</v>
      </c>
      <c r="B6313" t="s">
        <v>1098</v>
      </c>
      <c r="E6313" t="str">
        <f>IF(OR(E6312="&lt;/routeDistribution&gt;",E6312=""),"",IFERROR(_xlfn.CONCAT(VLOOKUP(AL11,Route_Column!#REF!,2,FALSE),CHAR(34)," probability=",CHAR(34),1/AL$4,CHAR(34),CHAR(47),CHAR(62)),"&lt;/routeDistribution&gt;"))</f>
        <v/>
      </c>
    </row>
    <row r="6314" spans="1:5" x14ac:dyDescent="0.25">
      <c r="A6314" t="s">
        <v>1630</v>
      </c>
      <c r="B6314" t="s">
        <v>1140</v>
      </c>
      <c r="E6314" t="str">
        <f>IF(OR(E6313="&lt;/routeDistribution&gt;",E6313=""),"",IFERROR(_xlfn.CONCAT(VLOOKUP(AL12,Route_Column!#REF!,2,FALSE),CHAR(34)," probability=",CHAR(34),1/AL$4,CHAR(34),CHAR(47),CHAR(62)),"&lt;/routeDistribution&gt;"))</f>
        <v/>
      </c>
    </row>
    <row r="6315" spans="1:5" x14ac:dyDescent="0.25">
      <c r="A6315" t="s">
        <v>1630</v>
      </c>
      <c r="B6315" t="s">
        <v>1141</v>
      </c>
      <c r="E6315" t="str">
        <f>IF(OR(E6314="&lt;/routeDistribution&gt;",E6314=""),"",IFERROR(_xlfn.CONCAT(VLOOKUP(AL13,Route_Column!#REF!,2,FALSE),CHAR(34)," probability=",CHAR(34),1/AL$4,CHAR(34),CHAR(47),CHAR(62)),"&lt;/routeDistribution&gt;"))</f>
        <v/>
      </c>
    </row>
    <row r="6316" spans="1:5" x14ac:dyDescent="0.25">
      <c r="A6316" t="s">
        <v>1630</v>
      </c>
      <c r="B6316" t="s">
        <v>1142</v>
      </c>
      <c r="E6316" t="str">
        <f>IF(OR(E6315="&lt;/routeDistribution&gt;",E6315=""),"",IFERROR(_xlfn.CONCAT(VLOOKUP(AL14,Route_Column!#REF!,2,FALSE),CHAR(34)," probability=",CHAR(34),1/AL$4,CHAR(34),CHAR(47),CHAR(62)),"&lt;/routeDistribution&gt;"))</f>
        <v/>
      </c>
    </row>
    <row r="6317" spans="1:5" x14ac:dyDescent="0.25">
      <c r="A6317" t="s">
        <v>1630</v>
      </c>
      <c r="B6317" t="s">
        <v>1142</v>
      </c>
      <c r="E6317" t="str">
        <f>IF(OR(E6316="&lt;/routeDistribution&gt;",E6316=""),"",IFERROR(_xlfn.CONCAT(VLOOKUP(AL15,Route_Column!#REF!,2,FALSE),CHAR(34)," probability=",CHAR(34),1/AL$4,CHAR(34),CHAR(47),CHAR(62)),"&lt;/routeDistribution&gt;"))</f>
        <v/>
      </c>
    </row>
    <row r="6318" spans="1:5" x14ac:dyDescent="0.25">
      <c r="A6318" t="s">
        <v>1630</v>
      </c>
      <c r="B6318" t="s">
        <v>1148</v>
      </c>
      <c r="E6318" t="str">
        <f>IF(OR(E6317="&lt;/routeDistribution&gt;",E6317=""),"",IFERROR(_xlfn.CONCAT(VLOOKUP(AL16,Route_Column!#REF!,2,FALSE),CHAR(34)," probability=",CHAR(34),1/AL$4,CHAR(34),CHAR(47),CHAR(62)),"&lt;/routeDistribution&gt;"))</f>
        <v/>
      </c>
    </row>
    <row r="6319" spans="1:5" x14ac:dyDescent="0.25">
      <c r="A6319" t="s">
        <v>1630</v>
      </c>
      <c r="B6319" t="s">
        <v>1150</v>
      </c>
      <c r="E6319" t="str">
        <f>IF(OR(E6318="&lt;/routeDistribution&gt;",E6318=""),"",IFERROR(_xlfn.CONCAT(VLOOKUP(AL17,Route_Column!#REF!,2,FALSE),CHAR(34)," probability=",CHAR(34),1/AL$4,CHAR(34),CHAR(47),CHAR(62)),"&lt;/routeDistribution&gt;"))</f>
        <v/>
      </c>
    </row>
    <row r="6320" spans="1:5" x14ac:dyDescent="0.25">
      <c r="A6320" t="s">
        <v>1630</v>
      </c>
      <c r="B6320" t="s">
        <v>1151</v>
      </c>
      <c r="E6320" t="str">
        <f>IF(OR(E6319="&lt;/routeDistribution&gt;",E6319=""),"",IFERROR(_xlfn.CONCAT(VLOOKUP(AL18,Route_Column!#REF!,2,FALSE),CHAR(34)," probability=",CHAR(34),1/AL$4,CHAR(34),CHAR(47),CHAR(62)),"&lt;/routeDistribution&gt;"))</f>
        <v/>
      </c>
    </row>
    <row r="6321" spans="1:5" x14ac:dyDescent="0.25">
      <c r="A6321" t="s">
        <v>1630</v>
      </c>
      <c r="B6321" t="s">
        <v>1178</v>
      </c>
      <c r="E6321" t="str">
        <f>IF(OR(E6320="&lt;/routeDistribution&gt;",E6320=""),"",IFERROR(_xlfn.CONCAT(VLOOKUP(AL19,Route_Column!#REF!,2,FALSE),CHAR(34)," probability=",CHAR(34),1/AL$4,CHAR(34),CHAR(47),CHAR(62)),"&lt;/routeDistribution&gt;"))</f>
        <v/>
      </c>
    </row>
    <row r="6322" spans="1:5" x14ac:dyDescent="0.25">
      <c r="A6322" t="s">
        <v>1630</v>
      </c>
      <c r="B6322" t="s">
        <v>1179</v>
      </c>
      <c r="E6322" t="str">
        <f>IF(OR(E6321="&lt;/routeDistribution&gt;",E6321=""),"",IFERROR(_xlfn.CONCAT(VLOOKUP(AL20,Route_Column!#REF!,2,FALSE),CHAR(34)," probability=",CHAR(34),1/AL$4,CHAR(34),CHAR(47),CHAR(62)),"&lt;/routeDistribution&gt;"))</f>
        <v/>
      </c>
    </row>
    <row r="6323" spans="1:5" x14ac:dyDescent="0.25">
      <c r="A6323" t="s">
        <v>1630</v>
      </c>
      <c r="B6323" t="s">
        <v>1183</v>
      </c>
      <c r="E6323" t="str">
        <f>IF(OR(E6322="&lt;/routeDistribution&gt;",E6322=""),"",IFERROR(_xlfn.CONCAT(VLOOKUP(AL21,Route_Column!#REF!,2,FALSE),CHAR(34)," probability=",CHAR(34),1/AL$4,CHAR(34),CHAR(47),CHAR(62)),"&lt;/routeDistribution&gt;"))</f>
        <v/>
      </c>
    </row>
    <row r="6324" spans="1:5" x14ac:dyDescent="0.25">
      <c r="A6324" t="s">
        <v>1630</v>
      </c>
      <c r="B6324" t="s">
        <v>1184</v>
      </c>
      <c r="E6324" t="str">
        <f>IF(OR(E6323="&lt;/routeDistribution&gt;",E6323=""),"",IFERROR(_xlfn.CONCAT(VLOOKUP(AL22,Route_Column!#REF!,2,FALSE),CHAR(34)," probability=",CHAR(34),1/AL$4,CHAR(34),CHAR(47),CHAR(62)),"&lt;/routeDistribution&gt;"))</f>
        <v/>
      </c>
    </row>
    <row r="6325" spans="1:5" x14ac:dyDescent="0.25">
      <c r="A6325" t="s">
        <v>1630</v>
      </c>
      <c r="B6325" t="s">
        <v>1185</v>
      </c>
      <c r="E6325" t="str">
        <f>IF(OR(E6324="&lt;/routeDistribution&gt;",E6324=""),"",IFERROR(_xlfn.CONCAT(VLOOKUP(AL23,Route_Column!#REF!,2,FALSE),CHAR(34)," probability=",CHAR(34),1/AL$4,CHAR(34),CHAR(47),CHAR(62)),"&lt;/routeDistribution&gt;"))</f>
        <v/>
      </c>
    </row>
    <row r="6326" spans="1:5" x14ac:dyDescent="0.25">
      <c r="A6326" t="s">
        <v>1630</v>
      </c>
      <c r="B6326" t="s">
        <v>1197</v>
      </c>
      <c r="E6326" t="str">
        <f>IF(OR(E6325="&lt;/routeDistribution&gt;",E6325=""),"",IFERROR(_xlfn.CONCAT(VLOOKUP(AL24,Route_Column!#REF!,2,FALSE),CHAR(34)," probability=",CHAR(34),1/AL$4,CHAR(34),CHAR(47),CHAR(62)),"&lt;/routeDistribution&gt;"))</f>
        <v/>
      </c>
    </row>
    <row r="6327" spans="1:5" x14ac:dyDescent="0.25">
      <c r="A6327" t="s">
        <v>1630</v>
      </c>
      <c r="B6327" t="s">
        <v>1201</v>
      </c>
      <c r="E6327" t="str">
        <f>IF(OR(E6326="&lt;/routeDistribution&gt;",E6326=""),"",IFERROR(_xlfn.CONCAT(VLOOKUP(AL25,Route_Column!#REF!,2,FALSE),CHAR(34)," probability=",CHAR(34),1/AL$4,CHAR(34),CHAR(47),CHAR(62)),"&lt;/routeDistribution&gt;"))</f>
        <v/>
      </c>
    </row>
    <row r="6328" spans="1:5" x14ac:dyDescent="0.25">
      <c r="A6328" t="s">
        <v>1630</v>
      </c>
      <c r="B6328" t="s">
        <v>1202</v>
      </c>
      <c r="E6328" t="str">
        <f>IF(OR(E6327="&lt;/routeDistribution&gt;",E6327=""),"",IFERROR(_xlfn.CONCAT(VLOOKUP(AL26,Route_Column!#REF!,2,FALSE),CHAR(34)," probability=",CHAR(34),1/AL$4,CHAR(34),CHAR(47),CHAR(62)),"&lt;/routeDistribution&gt;"))</f>
        <v/>
      </c>
    </row>
    <row r="6329" spans="1:5" x14ac:dyDescent="0.25">
      <c r="A6329" t="s">
        <v>1630</v>
      </c>
      <c r="B6329" t="s">
        <v>1205</v>
      </c>
      <c r="E6329" t="str">
        <f>IF(OR(E6328="&lt;/routeDistribution&gt;",E6328=""),"",IFERROR(_xlfn.CONCAT(VLOOKUP(AL27,Route_Column!#REF!,2,FALSE),CHAR(34)," probability=",CHAR(34),1/AL$4,CHAR(34),CHAR(47),CHAR(62)),"&lt;/routeDistribution&gt;"))</f>
        <v/>
      </c>
    </row>
    <row r="6330" spans="1:5" x14ac:dyDescent="0.25">
      <c r="A6330" t="s">
        <v>1630</v>
      </c>
      <c r="B6330" t="s">
        <v>1206</v>
      </c>
      <c r="E6330" t="str">
        <f>IF(OR(E6329="&lt;/routeDistribution&gt;",E6329=""),"",IFERROR(_xlfn.CONCAT(VLOOKUP(AL28,Route_Column!#REF!,2,FALSE),CHAR(34)," probability=",CHAR(34),1/AL$4,CHAR(34),CHAR(47),CHAR(62)),"&lt;/routeDistribution&gt;"))</f>
        <v/>
      </c>
    </row>
    <row r="6331" spans="1:5" x14ac:dyDescent="0.25">
      <c r="A6331" t="s">
        <v>1630</v>
      </c>
      <c r="B6331" t="s">
        <v>1206</v>
      </c>
      <c r="E6331" t="str">
        <f>IF(OR(E6330="&lt;/routeDistribution&gt;",E6330=""),"",IFERROR(_xlfn.CONCAT(VLOOKUP(AL29,Route_Column!#REF!,2,FALSE),CHAR(34)," probability=",CHAR(34),1/AL$4,CHAR(34),CHAR(47),CHAR(62)),"&lt;/routeDistribution&gt;"))</f>
        <v/>
      </c>
    </row>
    <row r="6332" spans="1:5" x14ac:dyDescent="0.25">
      <c r="A6332" t="s">
        <v>1630</v>
      </c>
      <c r="B6332" t="s">
        <v>1207</v>
      </c>
      <c r="E6332" t="str">
        <f>IF(OR(E6331="&lt;/routeDistribution&gt;",E6331=""),"",IFERROR(_xlfn.CONCAT(VLOOKUP(AL30,Route_Column!#REF!,2,FALSE),CHAR(34)," probability=",CHAR(34),1/AL$4,CHAR(34),CHAR(47),CHAR(62)),"&lt;/routeDistribution&gt;"))</f>
        <v/>
      </c>
    </row>
    <row r="6333" spans="1:5" x14ac:dyDescent="0.25">
      <c r="A6333" t="s">
        <v>1630</v>
      </c>
      <c r="B6333" t="s">
        <v>1207</v>
      </c>
      <c r="E6333" t="str">
        <f>IF(OR(E6332="&lt;/routeDistribution&gt;",E6332=""),"",IFERROR(_xlfn.CONCAT(VLOOKUP(AL31,Route_Column!#REF!,2,FALSE),CHAR(34)," probability=",CHAR(34),1/AL$4,CHAR(34),CHAR(47),CHAR(62)),"&lt;/routeDistribution&gt;"))</f>
        <v/>
      </c>
    </row>
    <row r="6334" spans="1:5" x14ac:dyDescent="0.25">
      <c r="A6334" t="s">
        <v>1630</v>
      </c>
      <c r="B6334" t="s">
        <v>1208</v>
      </c>
      <c r="E6334" t="str">
        <f>IF(OR(E6333="&lt;/routeDistribution&gt;",E6333=""),"",IFERROR(_xlfn.CONCAT(VLOOKUP(AL32,Route_Column!#REF!,2,FALSE),CHAR(34)," probability=",CHAR(34),1/AL$4,CHAR(34),CHAR(47),CHAR(62)),"&lt;/routeDistribution&gt;"))</f>
        <v/>
      </c>
    </row>
    <row r="6335" spans="1:5" x14ac:dyDescent="0.25">
      <c r="A6335" t="s">
        <v>1630</v>
      </c>
      <c r="B6335" t="s">
        <v>1215</v>
      </c>
      <c r="E6335" t="str">
        <f>IF(OR(E6334="&lt;/routeDistribution&gt;",E6334=""),"",IFERROR(_xlfn.CONCAT(VLOOKUP(AL33,Route_Column!#REF!,2,FALSE),CHAR(34)," probability=",CHAR(34),1/AL$4,CHAR(34),CHAR(47),CHAR(62)),"&lt;/routeDistribution&gt;"))</f>
        <v/>
      </c>
    </row>
    <row r="6336" spans="1:5" x14ac:dyDescent="0.25">
      <c r="A6336" t="s">
        <v>1630</v>
      </c>
      <c r="B6336" t="s">
        <v>1222</v>
      </c>
      <c r="E6336" t="str">
        <f>IF(OR(E6335="&lt;/routeDistribution&gt;",E6335=""),"",IFERROR(_xlfn.CONCAT(VLOOKUP(AL34,Route_Column!#REF!,2,FALSE),CHAR(34)," probability=",CHAR(34),1/AL$4,CHAR(34),CHAR(47),CHAR(62)),"&lt;/routeDistribution&gt;"))</f>
        <v/>
      </c>
    </row>
    <row r="6337" spans="1:5" x14ac:dyDescent="0.25">
      <c r="A6337" t="s">
        <v>1630</v>
      </c>
      <c r="B6337" t="s">
        <v>1223</v>
      </c>
      <c r="E6337" t="str">
        <f>IF(OR(E6336="&lt;/routeDistribution&gt;",E6336=""),"",IFERROR(_xlfn.CONCAT(VLOOKUP(AL35,Route_Column!#REF!,2,FALSE),CHAR(34)," probability=",CHAR(34),1/AL$4,CHAR(34),CHAR(47),CHAR(62)),"&lt;/routeDistribution&gt;"))</f>
        <v/>
      </c>
    </row>
    <row r="6338" spans="1:5" x14ac:dyDescent="0.25">
      <c r="A6338" t="s">
        <v>1630</v>
      </c>
      <c r="B6338" t="s">
        <v>1223</v>
      </c>
      <c r="E6338" t="str">
        <f>IF(OR(E6337="&lt;/routeDistribution&gt;",E6337=""),"",IFERROR(_xlfn.CONCAT(VLOOKUP(AL36,Route_Column!#REF!,2,FALSE),CHAR(34)," probability=",CHAR(34),1/AL$4,CHAR(34),CHAR(47),CHAR(62)),"&lt;/routeDistribution&gt;"))</f>
        <v/>
      </c>
    </row>
    <row r="6339" spans="1:5" x14ac:dyDescent="0.25">
      <c r="A6339" t="s">
        <v>1630</v>
      </c>
      <c r="B6339" t="s">
        <v>1224</v>
      </c>
      <c r="E6339" t="str">
        <f>IF(OR(E6338="&lt;/routeDistribution&gt;",E6338=""),"",IFERROR(_xlfn.CONCAT(VLOOKUP(AL37,Route_Column!#REF!,2,FALSE),CHAR(34)," probability=",CHAR(34),1/AL$4,CHAR(34),CHAR(47),CHAR(62)),"&lt;/routeDistribution&gt;"))</f>
        <v/>
      </c>
    </row>
    <row r="6340" spans="1:5" x14ac:dyDescent="0.25">
      <c r="A6340" t="s">
        <v>1630</v>
      </c>
      <c r="B6340" t="s">
        <v>1224</v>
      </c>
      <c r="E6340" t="str">
        <f>IF(OR(E6339="&lt;/routeDistribution&gt;",E6339=""),"",IFERROR(_xlfn.CONCAT(VLOOKUP(AL38,Route_Column!#REF!,2,FALSE),CHAR(34)," probability=",CHAR(34),1/AL$4,CHAR(34),CHAR(47),CHAR(62)),"&lt;/routeDistribution&gt;"))</f>
        <v/>
      </c>
    </row>
    <row r="6341" spans="1:5" x14ac:dyDescent="0.25">
      <c r="A6341" t="s">
        <v>1630</v>
      </c>
      <c r="B6341" t="s">
        <v>1225</v>
      </c>
      <c r="E6341" t="str">
        <f>IF(OR(E6340="&lt;/routeDistribution&gt;",E6340=""),"",IFERROR(_xlfn.CONCAT(VLOOKUP(AL39,Route_Column!#REF!,2,FALSE),CHAR(34)," probability=",CHAR(34),1/AL$4,CHAR(34),CHAR(47),CHAR(62)),"&lt;/routeDistribution&gt;"))</f>
        <v/>
      </c>
    </row>
    <row r="6342" spans="1:5" x14ac:dyDescent="0.25">
      <c r="A6342" t="s">
        <v>1630</v>
      </c>
      <c r="B6342" t="s">
        <v>1225</v>
      </c>
      <c r="E6342" t="str">
        <f>IF(OR(E6341="&lt;/routeDistribution&gt;",E6341=""),"",IFERROR(_xlfn.CONCAT(VLOOKUP(AL40,Route_Column!#REF!,2,FALSE),CHAR(34)," probability=",CHAR(34),1/AL$4,CHAR(34),CHAR(47),CHAR(62)),"&lt;/routeDistribution&gt;"))</f>
        <v/>
      </c>
    </row>
    <row r="6343" spans="1:5" x14ac:dyDescent="0.25">
      <c r="A6343" t="s">
        <v>1630</v>
      </c>
      <c r="B6343" t="s">
        <v>1232</v>
      </c>
      <c r="E6343" t="str">
        <f>IF(OR(E6342="&lt;/routeDistribution&gt;",E6342=""),"",IFERROR(_xlfn.CONCAT(VLOOKUP(AL41,Route_Column!#REF!,2,FALSE),CHAR(34)," probability=",CHAR(34),1/AL$4,CHAR(34),CHAR(47),CHAR(62)),"&lt;/routeDistribution&gt;"))</f>
        <v/>
      </c>
    </row>
    <row r="6344" spans="1:5" x14ac:dyDescent="0.25">
      <c r="A6344" t="s">
        <v>1630</v>
      </c>
      <c r="B6344" t="s">
        <v>1233</v>
      </c>
      <c r="E6344" t="str">
        <f>IF(OR(E6343="&lt;/routeDistribution&gt;",E6343=""),"",IFERROR(_xlfn.CONCAT(VLOOKUP(AL42,Route_Column!#REF!,2,FALSE),CHAR(34)," probability=",CHAR(34),1/AL$4,CHAR(34),CHAR(47),CHAR(62)),"&lt;/routeDistribution&gt;"))</f>
        <v/>
      </c>
    </row>
    <row r="6345" spans="1:5" x14ac:dyDescent="0.25">
      <c r="A6345" t="s">
        <v>1630</v>
      </c>
      <c r="B6345" t="s">
        <v>1234</v>
      </c>
      <c r="E6345" t="str">
        <f>IF(OR(E6344="&lt;/routeDistribution&gt;",E6344=""),"",IFERROR(_xlfn.CONCAT(VLOOKUP(AL43,Route_Column!#REF!,2,FALSE),CHAR(34)," probability=",CHAR(34),1/AL$4,CHAR(34),CHAR(47),CHAR(62)),"&lt;/routeDistribution&gt;"))</f>
        <v/>
      </c>
    </row>
    <row r="6346" spans="1:5" x14ac:dyDescent="0.25">
      <c r="A6346" t="s">
        <v>1630</v>
      </c>
      <c r="B6346" t="s">
        <v>1235</v>
      </c>
      <c r="E6346" t="str">
        <f>IF(OR(E6345="&lt;/routeDistribution&gt;",E6345=""),"",IFERROR(_xlfn.CONCAT(VLOOKUP(AL44,Route_Column!#REF!,2,FALSE),CHAR(34)," probability=",CHAR(34),1/AL$4,CHAR(34),CHAR(47),CHAR(62)),"&lt;/routeDistribution&gt;"))</f>
        <v/>
      </c>
    </row>
    <row r="6347" spans="1:5" x14ac:dyDescent="0.25">
      <c r="A6347" t="s">
        <v>1630</v>
      </c>
      <c r="B6347" t="s">
        <v>1236</v>
      </c>
      <c r="E6347" t="str">
        <f>IF(OR(E6346="&lt;/routeDistribution&gt;",E6346=""),"",IFERROR(_xlfn.CONCAT(VLOOKUP(AL45,Route_Column!#REF!,2,FALSE),CHAR(34)," probability=",CHAR(34),1/AL$4,CHAR(34),CHAR(47),CHAR(62)),"&lt;/routeDistribution&gt;"))</f>
        <v/>
      </c>
    </row>
    <row r="6348" spans="1:5" x14ac:dyDescent="0.25">
      <c r="A6348" t="s">
        <v>1630</v>
      </c>
      <c r="B6348" t="s">
        <v>1237</v>
      </c>
      <c r="E6348" t="str">
        <f>IF(OR(E6347="&lt;/routeDistribution&gt;",E6347=""),"",IFERROR(_xlfn.CONCAT(VLOOKUP(AL46,Route_Column!#REF!,2,FALSE),CHAR(34)," probability=",CHAR(34),1/AL$4,CHAR(34),CHAR(47),CHAR(62)),"&lt;/routeDistribution&gt;"))</f>
        <v/>
      </c>
    </row>
    <row r="6349" spans="1:5" x14ac:dyDescent="0.25">
      <c r="A6349" t="s">
        <v>1630</v>
      </c>
      <c r="B6349" t="s">
        <v>1238</v>
      </c>
      <c r="E6349" t="str">
        <f>IF(OR(E6348="&lt;/routeDistribution&gt;",E6348=""),"",IFERROR(_xlfn.CONCAT(VLOOKUP(AL47,Route_Column!#REF!,2,FALSE),CHAR(34)," probability=",CHAR(34),1/AL$4,CHAR(34),CHAR(47),CHAR(62)),"&lt;/routeDistribution&gt;"))</f>
        <v/>
      </c>
    </row>
    <row r="6350" spans="1:5" x14ac:dyDescent="0.25">
      <c r="A6350" t="s">
        <v>1630</v>
      </c>
      <c r="B6350" t="s">
        <v>1239</v>
      </c>
      <c r="E6350" t="str">
        <f>IF(OR(E6349="&lt;/routeDistribution&gt;",E6349=""),"",IFERROR(_xlfn.CONCAT(VLOOKUP(AL48,Route_Column!#REF!,2,FALSE),CHAR(34)," probability=",CHAR(34),1/AL$4,CHAR(34),CHAR(47),CHAR(62)),"&lt;/routeDistribution&gt;"))</f>
        <v/>
      </c>
    </row>
    <row r="6351" spans="1:5" x14ac:dyDescent="0.25">
      <c r="A6351" t="s">
        <v>1630</v>
      </c>
      <c r="B6351" t="s">
        <v>1240</v>
      </c>
      <c r="E6351" t="str">
        <f>IF(OR(E6350="&lt;/routeDistribution&gt;",E6350=""),"",IFERROR(_xlfn.CONCAT(VLOOKUP(AL49,Route_Column!#REF!,2,FALSE),CHAR(34)," probability=",CHAR(34),1/AL$4,CHAR(34),CHAR(47),CHAR(62)),"&lt;/routeDistribution&gt;"))</f>
        <v/>
      </c>
    </row>
    <row r="6352" spans="1:5" x14ac:dyDescent="0.25">
      <c r="A6352" t="s">
        <v>1630</v>
      </c>
      <c r="B6352" t="s">
        <v>1241</v>
      </c>
      <c r="E6352" t="str">
        <f>IF(OR(E6351="&lt;/routeDistribution&gt;",E6351=""),"",IFERROR(_xlfn.CONCAT(VLOOKUP(AL50,Route_Column!#REF!,2,FALSE),CHAR(34)," probability=",CHAR(34),1/AL$4,CHAR(34),CHAR(47),CHAR(62)),"&lt;/routeDistribution&gt;"))</f>
        <v/>
      </c>
    </row>
    <row r="6353" spans="1:5" x14ac:dyDescent="0.25">
      <c r="A6353" t="s">
        <v>1630</v>
      </c>
      <c r="B6353" t="s">
        <v>1242</v>
      </c>
      <c r="E6353" t="str">
        <f>IF(OR(E6352="&lt;/routeDistribution&gt;",E6352=""),"",IFERROR(_xlfn.CONCAT(VLOOKUP(AL51,Route_Column!#REF!,2,FALSE),CHAR(34)," probability=",CHAR(34),1/AL$4,CHAR(34),CHAR(47),CHAR(62)),"&lt;/routeDistribution&gt;"))</f>
        <v/>
      </c>
    </row>
    <row r="6354" spans="1:5" x14ac:dyDescent="0.25">
      <c r="A6354" t="s">
        <v>1630</v>
      </c>
      <c r="B6354" t="s">
        <v>1243</v>
      </c>
      <c r="E6354" t="str">
        <f>IF(OR(E6353="&lt;/routeDistribution&gt;",E6353=""),"",IFERROR(_xlfn.CONCAT(VLOOKUP(AL52,Route_Column!#REF!,2,FALSE),CHAR(34)," probability=",CHAR(34),1/AL$4,CHAR(34),CHAR(47),CHAR(62)),"&lt;/routeDistribution&gt;"))</f>
        <v/>
      </c>
    </row>
    <row r="6355" spans="1:5" x14ac:dyDescent="0.25">
      <c r="A6355" t="s">
        <v>1630</v>
      </c>
      <c r="B6355" t="s">
        <v>1244</v>
      </c>
      <c r="E6355" t="str">
        <f>IF(OR(E6354="&lt;/routeDistribution&gt;",E6354=""),"",IFERROR(_xlfn.CONCAT(VLOOKUP(AL53,Route_Column!#REF!,2,FALSE),CHAR(34)," probability=",CHAR(34),1/AL$4,CHAR(34),CHAR(47),CHAR(62)),"&lt;/routeDistribution&gt;"))</f>
        <v/>
      </c>
    </row>
    <row r="6356" spans="1:5" x14ac:dyDescent="0.25">
      <c r="A6356" t="s">
        <v>1630</v>
      </c>
      <c r="B6356" t="s">
        <v>1245</v>
      </c>
      <c r="E6356" t="str">
        <f>IF(OR(E6355="&lt;/routeDistribution&gt;",E6355=""),"",IFERROR(_xlfn.CONCAT(VLOOKUP(AL54,Route_Column!#REF!,2,FALSE),CHAR(34)," probability=",CHAR(34),1/AL$4,CHAR(34),CHAR(47),CHAR(62)),"&lt;/routeDistribution&gt;"))</f>
        <v/>
      </c>
    </row>
    <row r="6357" spans="1:5" x14ac:dyDescent="0.25">
      <c r="A6357" t="s">
        <v>1630</v>
      </c>
      <c r="B6357" t="s">
        <v>1246</v>
      </c>
      <c r="E6357" t="str">
        <f>IF(OR(E6356="&lt;/routeDistribution&gt;",E6356=""),"",IFERROR(_xlfn.CONCAT(VLOOKUP(AL55,Route_Column!#REF!,2,FALSE),CHAR(34)," probability=",CHAR(34),1/AL$4,CHAR(34),CHAR(47),CHAR(62)),"&lt;/routeDistribution&gt;"))</f>
        <v/>
      </c>
    </row>
    <row r="6358" spans="1:5" x14ac:dyDescent="0.25">
      <c r="A6358" t="s">
        <v>1630</v>
      </c>
      <c r="B6358" t="s">
        <v>1247</v>
      </c>
      <c r="E6358" t="str">
        <f>IF(OR(E6357="&lt;/routeDistribution&gt;",E6357=""),"",IFERROR(_xlfn.CONCAT(VLOOKUP(AL56,Route_Column!#REF!,2,FALSE),CHAR(34)," probability=",CHAR(34),1/AL$4,CHAR(34),CHAR(47),CHAR(62)),"&lt;/routeDistribution&gt;"))</f>
        <v/>
      </c>
    </row>
    <row r="6359" spans="1:5" x14ac:dyDescent="0.25">
      <c r="A6359" t="s">
        <v>1630</v>
      </c>
      <c r="B6359" t="s">
        <v>1248</v>
      </c>
      <c r="E6359" t="str">
        <f>IF(OR(E6358="&lt;/routeDistribution&gt;",E6358=""),"",IFERROR(_xlfn.CONCAT(VLOOKUP(AL57,Route_Column!#REF!,2,FALSE),CHAR(34)," probability=",CHAR(34),1/AL$4,CHAR(34),CHAR(47),CHAR(62)),"&lt;/routeDistribution&gt;"))</f>
        <v/>
      </c>
    </row>
    <row r="6360" spans="1:5" x14ac:dyDescent="0.25">
      <c r="A6360" t="s">
        <v>1630</v>
      </c>
      <c r="B6360" t="s">
        <v>1249</v>
      </c>
      <c r="E6360" t="str">
        <f>IF(OR(E6359="&lt;/routeDistribution&gt;",E6359=""),"",IFERROR(_xlfn.CONCAT(VLOOKUP(AL58,Route_Column!#REF!,2,FALSE),CHAR(34)," probability=",CHAR(34),1/AL$4,CHAR(34),CHAR(47),CHAR(62)),"&lt;/routeDistribution&gt;"))</f>
        <v/>
      </c>
    </row>
    <row r="6361" spans="1:5" x14ac:dyDescent="0.25">
      <c r="A6361" t="s">
        <v>1630</v>
      </c>
      <c r="B6361" t="s">
        <v>1250</v>
      </c>
      <c r="E6361" t="str">
        <f>IF(OR(E6360="&lt;/routeDistribution&gt;",E6360=""),"",IFERROR(_xlfn.CONCAT(VLOOKUP(AL59,Route_Column!#REF!,2,FALSE),CHAR(34)," probability=",CHAR(34),1/AL$4,CHAR(34),CHAR(47),CHAR(62)),"&lt;/routeDistribution&gt;"))</f>
        <v/>
      </c>
    </row>
    <row r="6362" spans="1:5" x14ac:dyDescent="0.25">
      <c r="A6362" s="11" t="s">
        <v>1448</v>
      </c>
      <c r="B6362" t="s">
        <v>1090</v>
      </c>
      <c r="E6362" t="str">
        <f>IF(OR(E6361="&lt;/routeDistribution&gt;",E6361=""),"",IFERROR(_xlfn.CONCAT(VLOOKUP(AL60,Route_Column!#REF!,2,FALSE),CHAR(34)," probability=",CHAR(34),1/AL$4,CHAR(34),CHAR(47),CHAR(62)),"&lt;/routeDistribution&gt;"))</f>
        <v/>
      </c>
    </row>
    <row r="6363" spans="1:5" x14ac:dyDescent="0.25">
      <c r="A6363" t="s">
        <v>1448</v>
      </c>
      <c r="B6363" t="s">
        <v>1097</v>
      </c>
      <c r="E6363" t="str">
        <f>IF(OR(E6362="&lt;/routeDistribution&gt;",E6362=""),"",IFERROR(_xlfn.CONCAT(VLOOKUP(AL61,Route_Column!#REF!,2,FALSE),CHAR(34)," probability=",CHAR(34),1/AL$4,CHAR(34),CHAR(47),CHAR(62)),"&lt;/routeDistribution&gt;"))</f>
        <v/>
      </c>
    </row>
    <row r="6364" spans="1:5" x14ac:dyDescent="0.25">
      <c r="A6364" t="s">
        <v>1448</v>
      </c>
      <c r="B6364" t="s">
        <v>1098</v>
      </c>
      <c r="E6364" t="str">
        <f>IF(OR(E6363="&lt;/routeDistribution&gt;",E6363=""),"",IFERROR(_xlfn.CONCAT(VLOOKUP(AL62,Route_Column!#REF!,2,FALSE),CHAR(34)," probability=",CHAR(34),1/AL$4,CHAR(34),CHAR(47),CHAR(62)),"&lt;/routeDistribution&gt;"))</f>
        <v/>
      </c>
    </row>
    <row r="6365" spans="1:5" x14ac:dyDescent="0.25">
      <c r="A6365" t="s">
        <v>1448</v>
      </c>
      <c r="B6365" t="s">
        <v>1111</v>
      </c>
      <c r="E6365" t="str">
        <f>IF(OR(E6364="&lt;/routeDistribution&gt;",E6364=""),"",IFERROR(_xlfn.CONCAT(VLOOKUP(AL63,Route_Column!#REF!,2,FALSE),CHAR(34)," probability=",CHAR(34),1/AL$4,CHAR(34),CHAR(47),CHAR(62)),"&lt;/routeDistribution&gt;"))</f>
        <v/>
      </c>
    </row>
    <row r="6366" spans="1:5" x14ac:dyDescent="0.25">
      <c r="A6366" t="s">
        <v>1448</v>
      </c>
      <c r="B6366" t="s">
        <v>1132</v>
      </c>
      <c r="E6366" t="s">
        <v>2686</v>
      </c>
    </row>
    <row r="6367" spans="1:5" x14ac:dyDescent="0.25">
      <c r="A6367" t="s">
        <v>1448</v>
      </c>
      <c r="B6367" t="s">
        <v>1137</v>
      </c>
    </row>
    <row r="6368" spans="1:5" x14ac:dyDescent="0.25">
      <c r="A6368" t="s">
        <v>1448</v>
      </c>
      <c r="B6368" t="s">
        <v>1171</v>
      </c>
    </row>
    <row r="6369" spans="1:5" x14ac:dyDescent="0.25">
      <c r="A6369" t="s">
        <v>1448</v>
      </c>
      <c r="B6369" t="s">
        <v>1182</v>
      </c>
      <c r="E6369" t="str">
        <f>_xlfn.CONCAT($E$1,AK$2,$F$1)</f>
        <v>&lt;routeDistribution id="676-on-ramp-from-30-n-76-2016-RouteProbe"&gt;</v>
      </c>
    </row>
    <row r="6370" spans="1:5" x14ac:dyDescent="0.25">
      <c r="A6370" t="s">
        <v>1448</v>
      </c>
      <c r="B6370" t="s">
        <v>1183</v>
      </c>
      <c r="E6370" t="str">
        <f>IF(OR(E6369="&lt;/routeDistribution&gt;",E6369=""),"",IFERROR(_xlfn.CONCAT(VLOOKUP(AK5,Route_Column!#REF!,2,FALSE),CHAR(34)," probability=",CHAR(34),1/AK$4,CHAR(34),CHAR(47),CHAR(62)),"&lt;/routeDistribution&gt;"))</f>
        <v>&lt;/routeDistribution&gt;</v>
      </c>
    </row>
    <row r="6371" spans="1:5" x14ac:dyDescent="0.25">
      <c r="A6371" t="s">
        <v>1448</v>
      </c>
      <c r="B6371" t="s">
        <v>1184</v>
      </c>
      <c r="E6371" t="str">
        <f>IF(OR(E6370="&lt;/routeDistribution&gt;",E6370=""),"",IFERROR(_xlfn.CONCAT(VLOOKUP(AK6,Route_Column!#REF!,2,FALSE),CHAR(34)," probability=",CHAR(34),1/AK$4,CHAR(34),CHAR(47),CHAR(62)),"&lt;/routeDistribution&gt;"))</f>
        <v/>
      </c>
    </row>
    <row r="6372" spans="1:5" x14ac:dyDescent="0.25">
      <c r="A6372" t="s">
        <v>1448</v>
      </c>
      <c r="B6372" t="s">
        <v>1185</v>
      </c>
      <c r="E6372" t="str">
        <f>IF(OR(E6371="&lt;/routeDistribution&gt;",E6371=""),"",IFERROR(_xlfn.CONCAT(VLOOKUP(AK7,Route_Column!#REF!,2,FALSE),CHAR(34)," probability=",CHAR(34),1/AK$4,CHAR(34),CHAR(47),CHAR(62)),"&lt;/routeDistribution&gt;"))</f>
        <v/>
      </c>
    </row>
    <row r="6373" spans="1:5" x14ac:dyDescent="0.25">
      <c r="A6373" t="s">
        <v>1448</v>
      </c>
      <c r="B6373" t="s">
        <v>1191</v>
      </c>
      <c r="E6373" t="str">
        <f>IF(OR(E6372="&lt;/routeDistribution&gt;",E6372=""),"",IFERROR(_xlfn.CONCAT(VLOOKUP(AK8,Route_Column!#REF!,2,FALSE),CHAR(34)," probability=",CHAR(34),1/AK$4,CHAR(34),CHAR(47),CHAR(62)),"&lt;/routeDistribution&gt;"))</f>
        <v/>
      </c>
    </row>
    <row r="6374" spans="1:5" x14ac:dyDescent="0.25">
      <c r="A6374" t="s">
        <v>1448</v>
      </c>
      <c r="B6374" t="s">
        <v>1197</v>
      </c>
      <c r="E6374" t="str">
        <f>IF(OR(E6373="&lt;/routeDistribution&gt;",E6373=""),"",IFERROR(_xlfn.CONCAT(VLOOKUP(AK9,Route_Column!#REF!,2,FALSE),CHAR(34)," probability=",CHAR(34),1/AK$4,CHAR(34),CHAR(47),CHAR(62)),"&lt;/routeDistribution&gt;"))</f>
        <v/>
      </c>
    </row>
    <row r="6375" spans="1:5" x14ac:dyDescent="0.25">
      <c r="A6375" t="s">
        <v>1448</v>
      </c>
      <c r="B6375" t="s">
        <v>1215</v>
      </c>
      <c r="E6375" t="str">
        <f>IF(OR(E6374="&lt;/routeDistribution&gt;",E6374=""),"",IFERROR(_xlfn.CONCAT(VLOOKUP(AK10,Route_Column!#REF!,2,FALSE),CHAR(34)," probability=",CHAR(34),1/AK$4,CHAR(34),CHAR(47),CHAR(62)),"&lt;/routeDistribution&gt;"))</f>
        <v/>
      </c>
    </row>
    <row r="6376" spans="1:5" x14ac:dyDescent="0.25">
      <c r="A6376" t="s">
        <v>1448</v>
      </c>
      <c r="B6376" t="s">
        <v>1222</v>
      </c>
      <c r="E6376" t="str">
        <f>IF(OR(E6375="&lt;/routeDistribution&gt;",E6375=""),"",IFERROR(_xlfn.CONCAT(VLOOKUP(AK11,Route_Column!#REF!,2,FALSE),CHAR(34)," probability=",CHAR(34),1/AK$4,CHAR(34),CHAR(47),CHAR(62)),"&lt;/routeDistribution&gt;"))</f>
        <v/>
      </c>
    </row>
    <row r="6377" spans="1:5" x14ac:dyDescent="0.25">
      <c r="A6377" t="s">
        <v>1448</v>
      </c>
      <c r="B6377" t="s">
        <v>1223</v>
      </c>
      <c r="E6377" t="str">
        <f>IF(OR(E6376="&lt;/routeDistribution&gt;",E6376=""),"",IFERROR(_xlfn.CONCAT(VLOOKUP(AK12,Route_Column!#REF!,2,FALSE),CHAR(34)," probability=",CHAR(34),1/AK$4,CHAR(34),CHAR(47),CHAR(62)),"&lt;/routeDistribution&gt;"))</f>
        <v/>
      </c>
    </row>
    <row r="6378" spans="1:5" x14ac:dyDescent="0.25">
      <c r="A6378" t="s">
        <v>1448</v>
      </c>
      <c r="B6378" t="s">
        <v>1224</v>
      </c>
      <c r="E6378" t="str">
        <f>IF(OR(E6377="&lt;/routeDistribution&gt;",E6377=""),"",IFERROR(_xlfn.CONCAT(VLOOKUP(AK13,Route_Column!#REF!,2,FALSE),CHAR(34)," probability=",CHAR(34),1/AK$4,CHAR(34),CHAR(47),CHAR(62)),"&lt;/routeDistribution&gt;"))</f>
        <v/>
      </c>
    </row>
    <row r="6379" spans="1:5" x14ac:dyDescent="0.25">
      <c r="A6379" t="s">
        <v>1448</v>
      </c>
      <c r="B6379" t="s">
        <v>1225</v>
      </c>
      <c r="E6379" t="str">
        <f>IF(OR(E6378="&lt;/routeDistribution&gt;",E6378=""),"",IFERROR(_xlfn.CONCAT(VLOOKUP(AK14,Route_Column!#REF!,2,FALSE),CHAR(34)," probability=",CHAR(34),1/AK$4,CHAR(34),CHAR(47),CHAR(62)),"&lt;/routeDistribution&gt;"))</f>
        <v/>
      </c>
    </row>
    <row r="6380" spans="1:5" x14ac:dyDescent="0.25">
      <c r="A6380" t="s">
        <v>1448</v>
      </c>
      <c r="B6380" t="s">
        <v>1225</v>
      </c>
      <c r="E6380" t="str">
        <f>IF(OR(E6379="&lt;/routeDistribution&gt;",E6379=""),"",IFERROR(_xlfn.CONCAT(VLOOKUP(AK15,Route_Column!#REF!,2,FALSE),CHAR(34)," probability=",CHAR(34),1/AK$4,CHAR(34),CHAR(47),CHAR(62)),"&lt;/routeDistribution&gt;"))</f>
        <v/>
      </c>
    </row>
    <row r="6381" spans="1:5" x14ac:dyDescent="0.25">
      <c r="A6381" s="13" t="s">
        <v>1529</v>
      </c>
      <c r="B6381" t="s">
        <v>1091</v>
      </c>
      <c r="E6381" t="str">
        <f>IF(OR(E6380="&lt;/routeDistribution&gt;",E6380=""),"",IFERROR(_xlfn.CONCAT(VLOOKUP(AK16,Route_Column!#REF!,2,FALSE),CHAR(34)," probability=",CHAR(34),1/AK$4,CHAR(34),CHAR(47),CHAR(62)),"&lt;/routeDistribution&gt;"))</f>
        <v/>
      </c>
    </row>
    <row r="6382" spans="1:5" x14ac:dyDescent="0.25">
      <c r="A6382" t="s">
        <v>1529</v>
      </c>
      <c r="B6382" t="s">
        <v>1093</v>
      </c>
      <c r="E6382" t="str">
        <f>IF(OR(E6381="&lt;/routeDistribution&gt;",E6381=""),"",IFERROR(_xlfn.CONCAT(VLOOKUP(AK17,Route_Column!#REF!,2,FALSE),CHAR(34)," probability=",CHAR(34),1/AK$4,CHAR(34),CHAR(47),CHAR(62)),"&lt;/routeDistribution&gt;"))</f>
        <v/>
      </c>
    </row>
    <row r="6383" spans="1:5" x14ac:dyDescent="0.25">
      <c r="A6383" t="s">
        <v>1529</v>
      </c>
      <c r="B6383" t="s">
        <v>1094</v>
      </c>
      <c r="E6383" t="str">
        <f>IF(OR(E6382="&lt;/routeDistribution&gt;",E6382=""),"",IFERROR(_xlfn.CONCAT(VLOOKUP(AK18,Route_Column!#REF!,2,FALSE),CHAR(34)," probability=",CHAR(34),1/AK$4,CHAR(34),CHAR(47),CHAR(62)),"&lt;/routeDistribution&gt;"))</f>
        <v/>
      </c>
    </row>
    <row r="6384" spans="1:5" x14ac:dyDescent="0.25">
      <c r="A6384" t="s">
        <v>1529</v>
      </c>
      <c r="B6384" t="s">
        <v>1108</v>
      </c>
      <c r="E6384" t="str">
        <f>IF(OR(E6383="&lt;/routeDistribution&gt;",E6383=""),"",IFERROR(_xlfn.CONCAT(VLOOKUP(AK19,Route_Column!#REF!,2,FALSE),CHAR(34)," probability=",CHAR(34),1/AK$4,CHAR(34),CHAR(47),CHAR(62)),"&lt;/routeDistribution&gt;"))</f>
        <v/>
      </c>
    </row>
    <row r="6385" spans="1:5" x14ac:dyDescent="0.25">
      <c r="A6385" t="s">
        <v>1529</v>
      </c>
      <c r="B6385" t="s">
        <v>1140</v>
      </c>
      <c r="E6385" t="str">
        <f>IF(OR(E6384="&lt;/routeDistribution&gt;",E6384=""),"",IFERROR(_xlfn.CONCAT(VLOOKUP(AK20,Route_Column!#REF!,2,FALSE),CHAR(34)," probability=",CHAR(34),1/AK$4,CHAR(34),CHAR(47),CHAR(62)),"&lt;/routeDistribution&gt;"))</f>
        <v/>
      </c>
    </row>
    <row r="6386" spans="1:5" x14ac:dyDescent="0.25">
      <c r="A6386" t="s">
        <v>1529</v>
      </c>
      <c r="B6386" t="s">
        <v>1141</v>
      </c>
      <c r="E6386" t="str">
        <f>IF(OR(E6385="&lt;/routeDistribution&gt;",E6385=""),"",IFERROR(_xlfn.CONCAT(VLOOKUP(AK21,Route_Column!#REF!,2,FALSE),CHAR(34)," probability=",CHAR(34),1/AK$4,CHAR(34),CHAR(47),CHAR(62)),"&lt;/routeDistribution&gt;"))</f>
        <v/>
      </c>
    </row>
    <row r="6387" spans="1:5" x14ac:dyDescent="0.25">
      <c r="A6387" t="s">
        <v>1529</v>
      </c>
      <c r="B6387" t="s">
        <v>1142</v>
      </c>
      <c r="E6387" t="str">
        <f>IF(OR(E6386="&lt;/routeDistribution&gt;",E6386=""),"",IFERROR(_xlfn.CONCAT(VLOOKUP(AK22,Route_Column!#REF!,2,FALSE),CHAR(34)," probability=",CHAR(34),1/AK$4,CHAR(34),CHAR(47),CHAR(62)),"&lt;/routeDistribution&gt;"))</f>
        <v/>
      </c>
    </row>
    <row r="6388" spans="1:5" x14ac:dyDescent="0.25">
      <c r="A6388" t="s">
        <v>1529</v>
      </c>
      <c r="B6388" t="s">
        <v>1150</v>
      </c>
      <c r="E6388" t="str">
        <f>IF(OR(E6387="&lt;/routeDistribution&gt;",E6387=""),"",IFERROR(_xlfn.CONCAT(VLOOKUP(AK23,Route_Column!#REF!,2,FALSE),CHAR(34)," probability=",CHAR(34),1/AK$4,CHAR(34),CHAR(47),CHAR(62)),"&lt;/routeDistribution&gt;"))</f>
        <v/>
      </c>
    </row>
    <row r="6389" spans="1:5" x14ac:dyDescent="0.25">
      <c r="A6389" t="s">
        <v>1529</v>
      </c>
      <c r="B6389" t="s">
        <v>1151</v>
      </c>
      <c r="E6389" t="str">
        <f>IF(OR(E6388="&lt;/routeDistribution&gt;",E6388=""),"",IFERROR(_xlfn.CONCAT(VLOOKUP(AK24,Route_Column!#REF!,2,FALSE),CHAR(34)," probability=",CHAR(34),1/AK$4,CHAR(34),CHAR(47),CHAR(62)),"&lt;/routeDistribution&gt;"))</f>
        <v/>
      </c>
    </row>
    <row r="6390" spans="1:5" x14ac:dyDescent="0.25">
      <c r="A6390" t="s">
        <v>1529</v>
      </c>
      <c r="B6390" t="s">
        <v>1155</v>
      </c>
      <c r="E6390" t="str">
        <f>IF(OR(E6389="&lt;/routeDistribution&gt;",E6389=""),"",IFERROR(_xlfn.CONCAT(VLOOKUP(AK25,Route_Column!#REF!,2,FALSE),CHAR(34)," probability=",CHAR(34),1/AK$4,CHAR(34),CHAR(47),CHAR(62)),"&lt;/routeDistribution&gt;"))</f>
        <v/>
      </c>
    </row>
    <row r="6391" spans="1:5" x14ac:dyDescent="0.25">
      <c r="A6391" t="s">
        <v>1529</v>
      </c>
      <c r="B6391" t="s">
        <v>1156</v>
      </c>
      <c r="E6391" t="str">
        <f>IF(OR(E6390="&lt;/routeDistribution&gt;",E6390=""),"",IFERROR(_xlfn.CONCAT(VLOOKUP(AK26,Route_Column!#REF!,2,FALSE),CHAR(34)," probability=",CHAR(34),1/AK$4,CHAR(34),CHAR(47),CHAR(62)),"&lt;/routeDistribution&gt;"))</f>
        <v/>
      </c>
    </row>
    <row r="6392" spans="1:5" x14ac:dyDescent="0.25">
      <c r="A6392" t="s">
        <v>1529</v>
      </c>
      <c r="B6392" t="s">
        <v>1157</v>
      </c>
      <c r="E6392" t="str">
        <f>IF(OR(E6391="&lt;/routeDistribution&gt;",E6391=""),"",IFERROR(_xlfn.CONCAT(VLOOKUP(AK27,Route_Column!#REF!,2,FALSE),CHAR(34)," probability=",CHAR(34),1/AK$4,CHAR(34),CHAR(47),CHAR(62)),"&lt;/routeDistribution&gt;"))</f>
        <v/>
      </c>
    </row>
    <row r="6393" spans="1:5" x14ac:dyDescent="0.25">
      <c r="A6393" t="s">
        <v>1529</v>
      </c>
      <c r="B6393" t="s">
        <v>1158</v>
      </c>
      <c r="E6393" t="str">
        <f>IF(OR(E6392="&lt;/routeDistribution&gt;",E6392=""),"",IFERROR(_xlfn.CONCAT(VLOOKUP(AK28,Route_Column!#REF!,2,FALSE),CHAR(34)," probability=",CHAR(34),1/AK$4,CHAR(34),CHAR(47),CHAR(62)),"&lt;/routeDistribution&gt;"))</f>
        <v/>
      </c>
    </row>
    <row r="6394" spans="1:5" x14ac:dyDescent="0.25">
      <c r="A6394" t="s">
        <v>1529</v>
      </c>
      <c r="B6394" t="s">
        <v>1159</v>
      </c>
      <c r="E6394" t="str">
        <f>IF(OR(E6393="&lt;/routeDistribution&gt;",E6393=""),"",IFERROR(_xlfn.CONCAT(VLOOKUP(AK29,Route_Column!#REF!,2,FALSE),CHAR(34)," probability=",CHAR(34),1/AK$4,CHAR(34),CHAR(47),CHAR(62)),"&lt;/routeDistribution&gt;"))</f>
        <v/>
      </c>
    </row>
    <row r="6395" spans="1:5" x14ac:dyDescent="0.25">
      <c r="A6395" t="s">
        <v>1529</v>
      </c>
      <c r="B6395" t="s">
        <v>1160</v>
      </c>
      <c r="E6395" t="str">
        <f>IF(OR(E6394="&lt;/routeDistribution&gt;",E6394=""),"",IFERROR(_xlfn.CONCAT(VLOOKUP(AK30,Route_Column!#REF!,2,FALSE),CHAR(34)," probability=",CHAR(34),1/AK$4,CHAR(34),CHAR(47),CHAR(62)),"&lt;/routeDistribution&gt;"))</f>
        <v/>
      </c>
    </row>
    <row r="6396" spans="1:5" x14ac:dyDescent="0.25">
      <c r="A6396" t="s">
        <v>1529</v>
      </c>
      <c r="B6396" t="s">
        <v>1174</v>
      </c>
      <c r="E6396" t="str">
        <f>IF(OR(E6395="&lt;/routeDistribution&gt;",E6395=""),"",IFERROR(_xlfn.CONCAT(VLOOKUP(AK31,Route_Column!#REF!,2,FALSE),CHAR(34)," probability=",CHAR(34),1/AK$4,CHAR(34),CHAR(47),CHAR(62)),"&lt;/routeDistribution&gt;"))</f>
        <v/>
      </c>
    </row>
    <row r="6397" spans="1:5" x14ac:dyDescent="0.25">
      <c r="A6397" t="s">
        <v>1529</v>
      </c>
      <c r="B6397" t="s">
        <v>1175</v>
      </c>
      <c r="E6397" t="str">
        <f>IF(OR(E6396="&lt;/routeDistribution&gt;",E6396=""),"",IFERROR(_xlfn.CONCAT(VLOOKUP(AK32,Route_Column!#REF!,2,FALSE),CHAR(34)," probability=",CHAR(34),1/AK$4,CHAR(34),CHAR(47),CHAR(62)),"&lt;/routeDistribution&gt;"))</f>
        <v/>
      </c>
    </row>
    <row r="6398" spans="1:5" x14ac:dyDescent="0.25">
      <c r="A6398" t="s">
        <v>1529</v>
      </c>
      <c r="B6398" t="s">
        <v>1176</v>
      </c>
      <c r="E6398" t="str">
        <f>IF(OR(E6397="&lt;/routeDistribution&gt;",E6397=""),"",IFERROR(_xlfn.CONCAT(VLOOKUP(AK33,Route_Column!#REF!,2,FALSE),CHAR(34)," probability=",CHAR(34),1/AK$4,CHAR(34),CHAR(47),CHAR(62)),"&lt;/routeDistribution&gt;"))</f>
        <v/>
      </c>
    </row>
    <row r="6399" spans="1:5" x14ac:dyDescent="0.25">
      <c r="A6399" t="s">
        <v>1529</v>
      </c>
      <c r="B6399" t="s">
        <v>1177</v>
      </c>
      <c r="E6399" t="str">
        <f>IF(OR(E6398="&lt;/routeDistribution&gt;",E6398=""),"",IFERROR(_xlfn.CONCAT(VLOOKUP(AK34,Route_Column!#REF!,2,FALSE),CHAR(34)," probability=",CHAR(34),1/AK$4,CHAR(34),CHAR(47),CHAR(62)),"&lt;/routeDistribution&gt;"))</f>
        <v/>
      </c>
    </row>
    <row r="6400" spans="1:5" x14ac:dyDescent="0.25">
      <c r="A6400" t="s">
        <v>1529</v>
      </c>
      <c r="B6400" t="s">
        <v>1178</v>
      </c>
      <c r="E6400" t="str">
        <f>IF(OR(E6399="&lt;/routeDistribution&gt;",E6399=""),"",IFERROR(_xlfn.CONCAT(VLOOKUP(AK35,Route_Column!#REF!,2,FALSE),CHAR(34)," probability=",CHAR(34),1/AK$4,CHAR(34),CHAR(47),CHAR(62)),"&lt;/routeDistribution&gt;"))</f>
        <v/>
      </c>
    </row>
    <row r="6401" spans="1:5" x14ac:dyDescent="0.25">
      <c r="A6401" t="s">
        <v>1529</v>
      </c>
      <c r="B6401" t="s">
        <v>1179</v>
      </c>
      <c r="E6401" t="str">
        <f>IF(OR(E6400="&lt;/routeDistribution&gt;",E6400=""),"",IFERROR(_xlfn.CONCAT(VLOOKUP(AK36,Route_Column!#REF!,2,FALSE),CHAR(34)," probability=",CHAR(34),1/AK$4,CHAR(34),CHAR(47),CHAR(62)),"&lt;/routeDistribution&gt;"))</f>
        <v/>
      </c>
    </row>
    <row r="6402" spans="1:5" x14ac:dyDescent="0.25">
      <c r="A6402" t="s">
        <v>1529</v>
      </c>
      <c r="B6402" t="s">
        <v>1179</v>
      </c>
      <c r="E6402" t="str">
        <f>IF(OR(E6401="&lt;/routeDistribution&gt;",E6401=""),"",IFERROR(_xlfn.CONCAT(VLOOKUP(AK37,Route_Column!#REF!,2,FALSE),CHAR(34)," probability=",CHAR(34),1/AK$4,CHAR(34),CHAR(47),CHAR(62)),"&lt;/routeDistribution&gt;"))</f>
        <v/>
      </c>
    </row>
    <row r="6403" spans="1:5" x14ac:dyDescent="0.25">
      <c r="A6403" t="s">
        <v>1529</v>
      </c>
      <c r="B6403" t="s">
        <v>1184</v>
      </c>
      <c r="E6403" t="str">
        <f>IF(OR(E6402="&lt;/routeDistribution&gt;",E6402=""),"",IFERROR(_xlfn.CONCAT(VLOOKUP(AK38,Route_Column!#REF!,2,FALSE),CHAR(34)," probability=",CHAR(34),1/AK$4,CHAR(34),CHAR(47),CHAR(62)),"&lt;/routeDistribution&gt;"))</f>
        <v/>
      </c>
    </row>
    <row r="6404" spans="1:5" x14ac:dyDescent="0.25">
      <c r="A6404" t="s">
        <v>1529</v>
      </c>
      <c r="B6404" t="s">
        <v>1190</v>
      </c>
      <c r="E6404" t="str">
        <f>IF(OR(E6403="&lt;/routeDistribution&gt;",E6403=""),"",IFERROR(_xlfn.CONCAT(VLOOKUP(AK39,Route_Column!#REF!,2,FALSE),CHAR(34)," probability=",CHAR(34),1/AK$4,CHAR(34),CHAR(47),CHAR(62)),"&lt;/routeDistribution&gt;"))</f>
        <v/>
      </c>
    </row>
    <row r="6405" spans="1:5" x14ac:dyDescent="0.25">
      <c r="A6405" t="s">
        <v>1529</v>
      </c>
      <c r="B6405" t="s">
        <v>1206</v>
      </c>
      <c r="E6405" t="str">
        <f>IF(OR(E6404="&lt;/routeDistribution&gt;",E6404=""),"",IFERROR(_xlfn.CONCAT(VLOOKUP(AK40,Route_Column!#REF!,2,FALSE),CHAR(34)," probability=",CHAR(34),1/AK$4,CHAR(34),CHAR(47),CHAR(62)),"&lt;/routeDistribution&gt;"))</f>
        <v/>
      </c>
    </row>
    <row r="6406" spans="1:5" x14ac:dyDescent="0.25">
      <c r="A6406" t="s">
        <v>1529</v>
      </c>
      <c r="B6406" t="s">
        <v>1207</v>
      </c>
      <c r="E6406" t="str">
        <f>IF(OR(E6405="&lt;/routeDistribution&gt;",E6405=""),"",IFERROR(_xlfn.CONCAT(VLOOKUP(AK41,Route_Column!#REF!,2,FALSE),CHAR(34)," probability=",CHAR(34),1/AK$4,CHAR(34),CHAR(47),CHAR(62)),"&lt;/routeDistribution&gt;"))</f>
        <v/>
      </c>
    </row>
    <row r="6407" spans="1:5" x14ac:dyDescent="0.25">
      <c r="A6407" t="s">
        <v>1529</v>
      </c>
      <c r="B6407" t="s">
        <v>1208</v>
      </c>
      <c r="E6407" t="str">
        <f>IF(OR(E6406="&lt;/routeDistribution&gt;",E6406=""),"",IFERROR(_xlfn.CONCAT(VLOOKUP(AK42,Route_Column!#REF!,2,FALSE),CHAR(34)," probability=",CHAR(34),1/AK$4,CHAR(34),CHAR(47),CHAR(62)),"&lt;/routeDistribution&gt;"))</f>
        <v/>
      </c>
    </row>
    <row r="6408" spans="1:5" x14ac:dyDescent="0.25">
      <c r="A6408" t="s">
        <v>1529</v>
      </c>
      <c r="B6408" t="s">
        <v>1233</v>
      </c>
      <c r="E6408" t="str">
        <f>IF(OR(E6407="&lt;/routeDistribution&gt;",E6407=""),"",IFERROR(_xlfn.CONCAT(VLOOKUP(AK43,Route_Column!#REF!,2,FALSE),CHAR(34)," probability=",CHAR(34),1/AK$4,CHAR(34),CHAR(47),CHAR(62)),"&lt;/routeDistribution&gt;"))</f>
        <v/>
      </c>
    </row>
    <row r="6409" spans="1:5" x14ac:dyDescent="0.25">
      <c r="A6409" t="s">
        <v>1529</v>
      </c>
      <c r="B6409" t="s">
        <v>1234</v>
      </c>
      <c r="E6409" t="str">
        <f>IF(OR(E6408="&lt;/routeDistribution&gt;",E6408=""),"",IFERROR(_xlfn.CONCAT(VLOOKUP(AK44,Route_Column!#REF!,2,FALSE),CHAR(34)," probability=",CHAR(34),1/AK$4,CHAR(34),CHAR(47),CHAR(62)),"&lt;/routeDistribution&gt;"))</f>
        <v/>
      </c>
    </row>
    <row r="6410" spans="1:5" x14ac:dyDescent="0.25">
      <c r="A6410" s="13" t="s">
        <v>1530</v>
      </c>
      <c r="B6410" t="s">
        <v>1091</v>
      </c>
      <c r="E6410" t="str">
        <f>IF(OR(E6409="&lt;/routeDistribution&gt;",E6409=""),"",IFERROR(_xlfn.CONCAT(VLOOKUP(AK45,Route_Column!#REF!,2,FALSE),CHAR(34)," probability=",CHAR(34),1/AK$4,CHAR(34),CHAR(47),CHAR(62)),"&lt;/routeDistribution&gt;"))</f>
        <v/>
      </c>
    </row>
    <row r="6411" spans="1:5" x14ac:dyDescent="0.25">
      <c r="A6411" t="s">
        <v>1530</v>
      </c>
      <c r="B6411" t="s">
        <v>1093</v>
      </c>
      <c r="E6411" t="str">
        <f>IF(OR(E6410="&lt;/routeDistribution&gt;",E6410=""),"",IFERROR(_xlfn.CONCAT(VLOOKUP(AK46,Route_Column!#REF!,2,FALSE),CHAR(34)," probability=",CHAR(34),1/AK$4,CHAR(34),CHAR(47),CHAR(62)),"&lt;/routeDistribution&gt;"))</f>
        <v/>
      </c>
    </row>
    <row r="6412" spans="1:5" x14ac:dyDescent="0.25">
      <c r="A6412" t="s">
        <v>1530</v>
      </c>
      <c r="B6412" t="s">
        <v>1094</v>
      </c>
      <c r="E6412" t="str">
        <f>IF(OR(E6411="&lt;/routeDistribution&gt;",E6411=""),"",IFERROR(_xlfn.CONCAT(VLOOKUP(AK47,Route_Column!#REF!,2,FALSE),CHAR(34)," probability=",CHAR(34),1/AK$4,CHAR(34),CHAR(47),CHAR(62)),"&lt;/routeDistribution&gt;"))</f>
        <v/>
      </c>
    </row>
    <row r="6413" spans="1:5" x14ac:dyDescent="0.25">
      <c r="A6413" t="s">
        <v>1530</v>
      </c>
      <c r="B6413" t="s">
        <v>1108</v>
      </c>
      <c r="E6413" t="str">
        <f>IF(OR(E6412="&lt;/routeDistribution&gt;",E6412=""),"",IFERROR(_xlfn.CONCAT(VLOOKUP(AK48,Route_Column!#REF!,2,FALSE),CHAR(34)," probability=",CHAR(34),1/AK$4,CHAR(34),CHAR(47),CHAR(62)),"&lt;/routeDistribution&gt;"))</f>
        <v/>
      </c>
    </row>
    <row r="6414" spans="1:5" x14ac:dyDescent="0.25">
      <c r="A6414" t="s">
        <v>1530</v>
      </c>
      <c r="B6414" t="s">
        <v>1140</v>
      </c>
      <c r="E6414" t="str">
        <f>IF(OR(E6413="&lt;/routeDistribution&gt;",E6413=""),"",IFERROR(_xlfn.CONCAT(VLOOKUP(AK49,Route_Column!#REF!,2,FALSE),CHAR(34)," probability=",CHAR(34),1/AK$4,CHAR(34),CHAR(47),CHAR(62)),"&lt;/routeDistribution&gt;"))</f>
        <v/>
      </c>
    </row>
    <row r="6415" spans="1:5" x14ac:dyDescent="0.25">
      <c r="A6415" t="s">
        <v>1530</v>
      </c>
      <c r="B6415" t="s">
        <v>1141</v>
      </c>
      <c r="E6415" t="str">
        <f>IF(OR(E6414="&lt;/routeDistribution&gt;",E6414=""),"",IFERROR(_xlfn.CONCAT(VLOOKUP(AK50,Route_Column!#REF!,2,FALSE),CHAR(34)," probability=",CHAR(34),1/AK$4,CHAR(34),CHAR(47),CHAR(62)),"&lt;/routeDistribution&gt;"))</f>
        <v/>
      </c>
    </row>
    <row r="6416" spans="1:5" x14ac:dyDescent="0.25">
      <c r="A6416" t="s">
        <v>1530</v>
      </c>
      <c r="B6416" t="s">
        <v>1142</v>
      </c>
      <c r="E6416" t="str">
        <f>IF(OR(E6415="&lt;/routeDistribution&gt;",E6415=""),"",IFERROR(_xlfn.CONCAT(VLOOKUP(AK51,Route_Column!#REF!,2,FALSE),CHAR(34)," probability=",CHAR(34),1/AK$4,CHAR(34),CHAR(47),CHAR(62)),"&lt;/routeDistribution&gt;"))</f>
        <v/>
      </c>
    </row>
    <row r="6417" spans="1:5" x14ac:dyDescent="0.25">
      <c r="A6417" t="s">
        <v>1530</v>
      </c>
      <c r="B6417" t="s">
        <v>1150</v>
      </c>
      <c r="E6417" t="str">
        <f>IF(OR(E6416="&lt;/routeDistribution&gt;",E6416=""),"",IFERROR(_xlfn.CONCAT(VLOOKUP(AK52,Route_Column!#REF!,2,FALSE),CHAR(34)," probability=",CHAR(34),1/AK$4,CHAR(34),CHAR(47),CHAR(62)),"&lt;/routeDistribution&gt;"))</f>
        <v/>
      </c>
    </row>
    <row r="6418" spans="1:5" x14ac:dyDescent="0.25">
      <c r="A6418" t="s">
        <v>1530</v>
      </c>
      <c r="B6418" t="s">
        <v>1151</v>
      </c>
      <c r="E6418" t="str">
        <f>IF(OR(E6417="&lt;/routeDistribution&gt;",E6417=""),"",IFERROR(_xlfn.CONCAT(VLOOKUP(AK53,Route_Column!#REF!,2,FALSE),CHAR(34)," probability=",CHAR(34),1/AK$4,CHAR(34),CHAR(47),CHAR(62)),"&lt;/routeDistribution&gt;"))</f>
        <v/>
      </c>
    </row>
    <row r="6419" spans="1:5" x14ac:dyDescent="0.25">
      <c r="A6419" t="s">
        <v>1530</v>
      </c>
      <c r="B6419" t="s">
        <v>1155</v>
      </c>
      <c r="E6419" t="str">
        <f>IF(OR(E6418="&lt;/routeDistribution&gt;",E6418=""),"",IFERROR(_xlfn.CONCAT(VLOOKUP(AK54,Route_Column!#REF!,2,FALSE),CHAR(34)," probability=",CHAR(34),1/AK$4,CHAR(34),CHAR(47),CHAR(62)),"&lt;/routeDistribution&gt;"))</f>
        <v/>
      </c>
    </row>
    <row r="6420" spans="1:5" x14ac:dyDescent="0.25">
      <c r="A6420" t="s">
        <v>1530</v>
      </c>
      <c r="B6420" t="s">
        <v>1156</v>
      </c>
      <c r="E6420" t="str">
        <f>IF(OR(E6419="&lt;/routeDistribution&gt;",E6419=""),"",IFERROR(_xlfn.CONCAT(VLOOKUP(AK55,Route_Column!#REF!,2,FALSE),CHAR(34)," probability=",CHAR(34),1/AK$4,CHAR(34),CHAR(47),CHAR(62)),"&lt;/routeDistribution&gt;"))</f>
        <v/>
      </c>
    </row>
    <row r="6421" spans="1:5" x14ac:dyDescent="0.25">
      <c r="A6421" t="s">
        <v>1530</v>
      </c>
      <c r="B6421" t="s">
        <v>1157</v>
      </c>
      <c r="E6421" t="str">
        <f>IF(OR(E6420="&lt;/routeDistribution&gt;",E6420=""),"",IFERROR(_xlfn.CONCAT(VLOOKUP(AK56,Route_Column!#REF!,2,FALSE),CHAR(34)," probability=",CHAR(34),1/AK$4,CHAR(34),CHAR(47),CHAR(62)),"&lt;/routeDistribution&gt;"))</f>
        <v/>
      </c>
    </row>
    <row r="6422" spans="1:5" x14ac:dyDescent="0.25">
      <c r="A6422" t="s">
        <v>1530</v>
      </c>
      <c r="B6422" t="s">
        <v>1158</v>
      </c>
      <c r="E6422" t="str">
        <f>IF(OR(E6421="&lt;/routeDistribution&gt;",E6421=""),"",IFERROR(_xlfn.CONCAT(VLOOKUP(AK57,Route_Column!#REF!,2,FALSE),CHAR(34)," probability=",CHAR(34),1/AK$4,CHAR(34),CHAR(47),CHAR(62)),"&lt;/routeDistribution&gt;"))</f>
        <v/>
      </c>
    </row>
    <row r="6423" spans="1:5" x14ac:dyDescent="0.25">
      <c r="A6423" t="s">
        <v>1530</v>
      </c>
      <c r="B6423" t="s">
        <v>1159</v>
      </c>
      <c r="E6423" t="str">
        <f>IF(OR(E6422="&lt;/routeDistribution&gt;",E6422=""),"",IFERROR(_xlfn.CONCAT(VLOOKUP(AK58,Route_Column!#REF!,2,FALSE),CHAR(34)," probability=",CHAR(34),1/AK$4,CHAR(34),CHAR(47),CHAR(62)),"&lt;/routeDistribution&gt;"))</f>
        <v/>
      </c>
    </row>
    <row r="6424" spans="1:5" x14ac:dyDescent="0.25">
      <c r="A6424" t="s">
        <v>1530</v>
      </c>
      <c r="B6424" t="s">
        <v>1160</v>
      </c>
      <c r="E6424" t="str">
        <f>IF(OR(E6423="&lt;/routeDistribution&gt;",E6423=""),"",IFERROR(_xlfn.CONCAT(VLOOKUP(AK59,Route_Column!#REF!,2,FALSE),CHAR(34)," probability=",CHAR(34),1/AK$4,CHAR(34),CHAR(47),CHAR(62)),"&lt;/routeDistribution&gt;"))</f>
        <v/>
      </c>
    </row>
    <row r="6425" spans="1:5" x14ac:dyDescent="0.25">
      <c r="A6425" t="s">
        <v>1530</v>
      </c>
      <c r="B6425" t="s">
        <v>1174</v>
      </c>
      <c r="E6425" t="str">
        <f>IF(OR(E6424="&lt;/routeDistribution&gt;",E6424=""),"",IFERROR(_xlfn.CONCAT(VLOOKUP(AK60,Route_Column!#REF!,2,FALSE),CHAR(34)," probability=",CHAR(34),1/AK$4,CHAR(34),CHAR(47),CHAR(62)),"&lt;/routeDistribution&gt;"))</f>
        <v/>
      </c>
    </row>
    <row r="6426" spans="1:5" x14ac:dyDescent="0.25">
      <c r="A6426" t="s">
        <v>1530</v>
      </c>
      <c r="B6426" t="s">
        <v>1175</v>
      </c>
      <c r="E6426" t="str">
        <f>IF(OR(E6425="&lt;/routeDistribution&gt;",E6425=""),"",IFERROR(_xlfn.CONCAT(VLOOKUP(AK61,Route_Column!#REF!,2,FALSE),CHAR(34)," probability=",CHAR(34),1/AK$4,CHAR(34),CHAR(47),CHAR(62)),"&lt;/routeDistribution&gt;"))</f>
        <v/>
      </c>
    </row>
    <row r="6427" spans="1:5" x14ac:dyDescent="0.25">
      <c r="A6427" t="s">
        <v>1530</v>
      </c>
      <c r="B6427" t="s">
        <v>1176</v>
      </c>
      <c r="E6427" t="str">
        <f>IF(OR(E6426="&lt;/routeDistribution&gt;",E6426=""),"",IFERROR(_xlfn.CONCAT(VLOOKUP(AK62,Route_Column!#REF!,2,FALSE),CHAR(34)," probability=",CHAR(34),1/AK$4,CHAR(34),CHAR(47),CHAR(62)),"&lt;/routeDistribution&gt;"))</f>
        <v/>
      </c>
    </row>
    <row r="6428" spans="1:5" x14ac:dyDescent="0.25">
      <c r="A6428" t="s">
        <v>1530</v>
      </c>
      <c r="B6428" t="s">
        <v>1177</v>
      </c>
      <c r="E6428" t="str">
        <f>IF(OR(E6427="&lt;/routeDistribution&gt;",E6427=""),"",IFERROR(_xlfn.CONCAT(VLOOKUP(AK63,Route_Column!#REF!,2,FALSE),CHAR(34)," probability=",CHAR(34),1/AK$4,CHAR(34),CHAR(47),CHAR(62)),"&lt;/routeDistribution&gt;"))</f>
        <v/>
      </c>
    </row>
    <row r="6429" spans="1:5" x14ac:dyDescent="0.25">
      <c r="A6429" t="s">
        <v>1530</v>
      </c>
      <c r="B6429" t="s">
        <v>1178</v>
      </c>
      <c r="E6429" t="s">
        <v>2686</v>
      </c>
    </row>
    <row r="6430" spans="1:5" x14ac:dyDescent="0.25">
      <c r="A6430" t="s">
        <v>1530</v>
      </c>
      <c r="B6430" t="s">
        <v>1179</v>
      </c>
    </row>
    <row r="6431" spans="1:5" x14ac:dyDescent="0.25">
      <c r="A6431" t="s">
        <v>1530</v>
      </c>
      <c r="B6431" t="s">
        <v>1179</v>
      </c>
    </row>
    <row r="6432" spans="1:5" x14ac:dyDescent="0.25">
      <c r="A6432" t="s">
        <v>1530</v>
      </c>
      <c r="B6432" t="s">
        <v>1184</v>
      </c>
      <c r="E6432" t="str">
        <f>_xlfn.CONCAT($E$1,AJ$2,$F$1)</f>
        <v>&lt;routeDistribution id="22nd-Chesnut-to-Market-NB-2015-RouteProbe"&gt;</v>
      </c>
    </row>
    <row r="6433" spans="1:5" x14ac:dyDescent="0.25">
      <c r="A6433" t="s">
        <v>1530</v>
      </c>
      <c r="B6433" t="s">
        <v>1190</v>
      </c>
      <c r="E6433" t="str">
        <f>IF(OR(E6432="&lt;/routeDistribution&gt;",E6432=""),"",IFERROR(_xlfn.CONCAT(VLOOKUP(AJ5,Route_Column!#REF!,2,FALSE),CHAR(34)," probability=",CHAR(34),1/AJ$4,CHAR(34),CHAR(47),CHAR(62)),"&lt;/routeDistribution&gt;"))</f>
        <v>&lt;/routeDistribution&gt;</v>
      </c>
    </row>
    <row r="6434" spans="1:5" x14ac:dyDescent="0.25">
      <c r="A6434" t="s">
        <v>1530</v>
      </c>
      <c r="B6434" t="s">
        <v>1206</v>
      </c>
      <c r="E6434" t="str">
        <f>IF(OR(E6433="&lt;/routeDistribution&gt;",E6433=""),"",IFERROR(_xlfn.CONCAT(VLOOKUP(AJ6,Route_Column!#REF!,2,FALSE),CHAR(34)," probability=",CHAR(34),1/AJ$4,CHAR(34),CHAR(47),CHAR(62)),"&lt;/routeDistribution&gt;"))</f>
        <v/>
      </c>
    </row>
    <row r="6435" spans="1:5" x14ac:dyDescent="0.25">
      <c r="A6435" t="s">
        <v>1530</v>
      </c>
      <c r="B6435" t="s">
        <v>1207</v>
      </c>
      <c r="E6435" t="str">
        <f>IF(OR(E6434="&lt;/routeDistribution&gt;",E6434=""),"",IFERROR(_xlfn.CONCAT(VLOOKUP(AJ7,Route_Column!#REF!,2,FALSE),CHAR(34)," probability=",CHAR(34),1/AJ$4,CHAR(34),CHAR(47),CHAR(62)),"&lt;/routeDistribution&gt;"))</f>
        <v/>
      </c>
    </row>
    <row r="6436" spans="1:5" x14ac:dyDescent="0.25">
      <c r="A6436" t="s">
        <v>1530</v>
      </c>
      <c r="B6436" t="s">
        <v>1208</v>
      </c>
      <c r="E6436" t="str">
        <f>IF(OR(E6435="&lt;/routeDistribution&gt;",E6435=""),"",IFERROR(_xlfn.CONCAT(VLOOKUP(AJ8,Route_Column!#REF!,2,FALSE),CHAR(34)," probability=",CHAR(34),1/AJ$4,CHAR(34),CHAR(47),CHAR(62)),"&lt;/routeDistribution&gt;"))</f>
        <v/>
      </c>
    </row>
    <row r="6437" spans="1:5" x14ac:dyDescent="0.25">
      <c r="A6437" t="s">
        <v>1530</v>
      </c>
      <c r="B6437" t="s">
        <v>1233</v>
      </c>
      <c r="E6437" t="str">
        <f>IF(OR(E6436="&lt;/routeDistribution&gt;",E6436=""),"",IFERROR(_xlfn.CONCAT(VLOOKUP(AJ9,Route_Column!#REF!,2,FALSE),CHAR(34)," probability=",CHAR(34),1/AJ$4,CHAR(34),CHAR(47),CHAR(62)),"&lt;/routeDistribution&gt;"))</f>
        <v/>
      </c>
    </row>
    <row r="6438" spans="1:5" x14ac:dyDescent="0.25">
      <c r="A6438" t="s">
        <v>1530</v>
      </c>
      <c r="B6438" t="s">
        <v>1234</v>
      </c>
      <c r="E6438" t="str">
        <f>IF(OR(E6437="&lt;/routeDistribution&gt;",E6437=""),"",IFERROR(_xlfn.CONCAT(VLOOKUP(AJ10,Route_Column!#REF!,2,FALSE),CHAR(34)," probability=",CHAR(34),1/AJ$4,CHAR(34),CHAR(47),CHAR(62)),"&lt;/routeDistribution&gt;"))</f>
        <v/>
      </c>
    </row>
    <row r="6439" spans="1:5" x14ac:dyDescent="0.25">
      <c r="A6439" s="13" t="s">
        <v>1531</v>
      </c>
      <c r="B6439" t="s">
        <v>1091</v>
      </c>
      <c r="E6439" t="str">
        <f>IF(OR(E6438="&lt;/routeDistribution&gt;",E6438=""),"",IFERROR(_xlfn.CONCAT(VLOOKUP(AJ11,Route_Column!#REF!,2,FALSE),CHAR(34)," probability=",CHAR(34),1/AJ$4,CHAR(34),CHAR(47),CHAR(62)),"&lt;/routeDistribution&gt;"))</f>
        <v/>
      </c>
    </row>
    <row r="6440" spans="1:5" x14ac:dyDescent="0.25">
      <c r="A6440" t="s">
        <v>1531</v>
      </c>
      <c r="B6440" t="s">
        <v>1093</v>
      </c>
      <c r="E6440" t="str">
        <f>IF(OR(E6439="&lt;/routeDistribution&gt;",E6439=""),"",IFERROR(_xlfn.CONCAT(VLOOKUP(AJ12,Route_Column!#REF!,2,FALSE),CHAR(34)," probability=",CHAR(34),1/AJ$4,CHAR(34),CHAR(47),CHAR(62)),"&lt;/routeDistribution&gt;"))</f>
        <v/>
      </c>
    </row>
    <row r="6441" spans="1:5" x14ac:dyDescent="0.25">
      <c r="A6441" t="s">
        <v>1531</v>
      </c>
      <c r="B6441" t="s">
        <v>1108</v>
      </c>
      <c r="E6441" t="str">
        <f>IF(OR(E6440="&lt;/routeDistribution&gt;",E6440=""),"",IFERROR(_xlfn.CONCAT(VLOOKUP(AJ13,Route_Column!#REF!,2,FALSE),CHAR(34)," probability=",CHAR(34),1/AJ$4,CHAR(34),CHAR(47),CHAR(62)),"&lt;/routeDistribution&gt;"))</f>
        <v/>
      </c>
    </row>
    <row r="6442" spans="1:5" x14ac:dyDescent="0.25">
      <c r="A6442" t="s">
        <v>1531</v>
      </c>
      <c r="B6442" t="s">
        <v>1140</v>
      </c>
      <c r="E6442" t="str">
        <f>IF(OR(E6441="&lt;/routeDistribution&gt;",E6441=""),"",IFERROR(_xlfn.CONCAT(VLOOKUP(AJ14,Route_Column!#REF!,2,FALSE),CHAR(34)," probability=",CHAR(34),1/AJ$4,CHAR(34),CHAR(47),CHAR(62)),"&lt;/routeDistribution&gt;"))</f>
        <v/>
      </c>
    </row>
    <row r="6443" spans="1:5" x14ac:dyDescent="0.25">
      <c r="A6443" t="s">
        <v>1531</v>
      </c>
      <c r="B6443" t="s">
        <v>1141</v>
      </c>
      <c r="E6443" t="str">
        <f>IF(OR(E6442="&lt;/routeDistribution&gt;",E6442=""),"",IFERROR(_xlfn.CONCAT(VLOOKUP(AJ15,Route_Column!#REF!,2,FALSE),CHAR(34)," probability=",CHAR(34),1/AJ$4,CHAR(34),CHAR(47),CHAR(62)),"&lt;/routeDistribution&gt;"))</f>
        <v/>
      </c>
    </row>
    <row r="6444" spans="1:5" x14ac:dyDescent="0.25">
      <c r="A6444" t="s">
        <v>1531</v>
      </c>
      <c r="B6444" t="s">
        <v>1142</v>
      </c>
      <c r="E6444" t="str">
        <f>IF(OR(E6443="&lt;/routeDistribution&gt;",E6443=""),"",IFERROR(_xlfn.CONCAT(VLOOKUP(AJ16,Route_Column!#REF!,2,FALSE),CHAR(34)," probability=",CHAR(34),1/AJ$4,CHAR(34),CHAR(47),CHAR(62)),"&lt;/routeDistribution&gt;"))</f>
        <v/>
      </c>
    </row>
    <row r="6445" spans="1:5" x14ac:dyDescent="0.25">
      <c r="A6445" t="s">
        <v>1531</v>
      </c>
      <c r="B6445" t="s">
        <v>1150</v>
      </c>
      <c r="E6445" t="str">
        <f>IF(OR(E6444="&lt;/routeDistribution&gt;",E6444=""),"",IFERROR(_xlfn.CONCAT(VLOOKUP(AJ17,Route_Column!#REF!,2,FALSE),CHAR(34)," probability=",CHAR(34),1/AJ$4,CHAR(34),CHAR(47),CHAR(62)),"&lt;/routeDistribution&gt;"))</f>
        <v/>
      </c>
    </row>
    <row r="6446" spans="1:5" x14ac:dyDescent="0.25">
      <c r="A6446" t="s">
        <v>1531</v>
      </c>
      <c r="B6446" t="s">
        <v>1155</v>
      </c>
      <c r="E6446" t="str">
        <f>IF(OR(E6445="&lt;/routeDistribution&gt;",E6445=""),"",IFERROR(_xlfn.CONCAT(VLOOKUP(AJ18,Route_Column!#REF!,2,FALSE),CHAR(34)," probability=",CHAR(34),1/AJ$4,CHAR(34),CHAR(47),CHAR(62)),"&lt;/routeDistribution&gt;"))</f>
        <v/>
      </c>
    </row>
    <row r="6447" spans="1:5" x14ac:dyDescent="0.25">
      <c r="A6447" t="s">
        <v>1531</v>
      </c>
      <c r="B6447" t="s">
        <v>1156</v>
      </c>
      <c r="E6447" t="str">
        <f>IF(OR(E6446="&lt;/routeDistribution&gt;",E6446=""),"",IFERROR(_xlfn.CONCAT(VLOOKUP(AJ19,Route_Column!#REF!,2,FALSE),CHAR(34)," probability=",CHAR(34),1/AJ$4,CHAR(34),CHAR(47),CHAR(62)),"&lt;/routeDistribution&gt;"))</f>
        <v/>
      </c>
    </row>
    <row r="6448" spans="1:5" x14ac:dyDescent="0.25">
      <c r="A6448" t="s">
        <v>1531</v>
      </c>
      <c r="B6448" t="s">
        <v>1157</v>
      </c>
      <c r="E6448" t="str">
        <f>IF(OR(E6447="&lt;/routeDistribution&gt;",E6447=""),"",IFERROR(_xlfn.CONCAT(VLOOKUP(AJ20,Route_Column!#REF!,2,FALSE),CHAR(34)," probability=",CHAR(34),1/AJ$4,CHAR(34),CHAR(47),CHAR(62)),"&lt;/routeDistribution&gt;"))</f>
        <v/>
      </c>
    </row>
    <row r="6449" spans="1:5" x14ac:dyDescent="0.25">
      <c r="A6449" t="s">
        <v>1531</v>
      </c>
      <c r="B6449" t="s">
        <v>1158</v>
      </c>
      <c r="E6449" t="str">
        <f>IF(OR(E6448="&lt;/routeDistribution&gt;",E6448=""),"",IFERROR(_xlfn.CONCAT(VLOOKUP(AJ21,Route_Column!#REF!,2,FALSE),CHAR(34)," probability=",CHAR(34),1/AJ$4,CHAR(34),CHAR(47),CHAR(62)),"&lt;/routeDistribution&gt;"))</f>
        <v/>
      </c>
    </row>
    <row r="6450" spans="1:5" x14ac:dyDescent="0.25">
      <c r="A6450" t="s">
        <v>1531</v>
      </c>
      <c r="B6450" t="s">
        <v>1160</v>
      </c>
      <c r="E6450" t="str">
        <f>IF(OR(E6449="&lt;/routeDistribution&gt;",E6449=""),"",IFERROR(_xlfn.CONCAT(VLOOKUP(AJ22,Route_Column!#REF!,2,FALSE),CHAR(34)," probability=",CHAR(34),1/AJ$4,CHAR(34),CHAR(47),CHAR(62)),"&lt;/routeDistribution&gt;"))</f>
        <v/>
      </c>
    </row>
    <row r="6451" spans="1:5" x14ac:dyDescent="0.25">
      <c r="A6451" t="s">
        <v>1531</v>
      </c>
      <c r="B6451" t="s">
        <v>1174</v>
      </c>
      <c r="E6451" t="str">
        <f>IF(OR(E6450="&lt;/routeDistribution&gt;",E6450=""),"",IFERROR(_xlfn.CONCAT(VLOOKUP(AJ23,Route_Column!#REF!,2,FALSE),CHAR(34)," probability=",CHAR(34),1/AJ$4,CHAR(34),CHAR(47),CHAR(62)),"&lt;/routeDistribution&gt;"))</f>
        <v/>
      </c>
    </row>
    <row r="6452" spans="1:5" x14ac:dyDescent="0.25">
      <c r="A6452" t="s">
        <v>1531</v>
      </c>
      <c r="B6452" t="s">
        <v>1175</v>
      </c>
      <c r="E6452" t="str">
        <f>IF(OR(E6451="&lt;/routeDistribution&gt;",E6451=""),"",IFERROR(_xlfn.CONCAT(VLOOKUP(AJ24,Route_Column!#REF!,2,FALSE),CHAR(34)," probability=",CHAR(34),1/AJ$4,CHAR(34),CHAR(47),CHAR(62)),"&lt;/routeDistribution&gt;"))</f>
        <v/>
      </c>
    </row>
    <row r="6453" spans="1:5" x14ac:dyDescent="0.25">
      <c r="A6453" t="s">
        <v>1531</v>
      </c>
      <c r="B6453" t="s">
        <v>1176</v>
      </c>
      <c r="E6453" t="str">
        <f>IF(OR(E6452="&lt;/routeDistribution&gt;",E6452=""),"",IFERROR(_xlfn.CONCAT(VLOOKUP(AJ25,Route_Column!#REF!,2,FALSE),CHAR(34)," probability=",CHAR(34),1/AJ$4,CHAR(34),CHAR(47),CHAR(62)),"&lt;/routeDistribution&gt;"))</f>
        <v/>
      </c>
    </row>
    <row r="6454" spans="1:5" x14ac:dyDescent="0.25">
      <c r="A6454" t="s">
        <v>1531</v>
      </c>
      <c r="B6454" t="s">
        <v>1177</v>
      </c>
      <c r="E6454" t="str">
        <f>IF(OR(E6453="&lt;/routeDistribution&gt;",E6453=""),"",IFERROR(_xlfn.CONCAT(VLOOKUP(AJ26,Route_Column!#REF!,2,FALSE),CHAR(34)," probability=",CHAR(34),1/AJ$4,CHAR(34),CHAR(47),CHAR(62)),"&lt;/routeDistribution&gt;"))</f>
        <v/>
      </c>
    </row>
    <row r="6455" spans="1:5" x14ac:dyDescent="0.25">
      <c r="A6455" t="s">
        <v>1531</v>
      </c>
      <c r="B6455" t="s">
        <v>1178</v>
      </c>
      <c r="E6455" t="str">
        <f>IF(OR(E6454="&lt;/routeDistribution&gt;",E6454=""),"",IFERROR(_xlfn.CONCAT(VLOOKUP(AJ27,Route_Column!#REF!,2,FALSE),CHAR(34)," probability=",CHAR(34),1/AJ$4,CHAR(34),CHAR(47),CHAR(62)),"&lt;/routeDistribution&gt;"))</f>
        <v/>
      </c>
    </row>
    <row r="6456" spans="1:5" x14ac:dyDescent="0.25">
      <c r="A6456" t="s">
        <v>1531</v>
      </c>
      <c r="B6456" t="s">
        <v>1179</v>
      </c>
      <c r="E6456" t="str">
        <f>IF(OR(E6455="&lt;/routeDistribution&gt;",E6455=""),"",IFERROR(_xlfn.CONCAT(VLOOKUP(AJ28,Route_Column!#REF!,2,FALSE),CHAR(34)," probability=",CHAR(34),1/AJ$4,CHAR(34),CHAR(47),CHAR(62)),"&lt;/routeDistribution&gt;"))</f>
        <v/>
      </c>
    </row>
    <row r="6457" spans="1:5" x14ac:dyDescent="0.25">
      <c r="A6457" t="s">
        <v>1531</v>
      </c>
      <c r="B6457" t="s">
        <v>1184</v>
      </c>
      <c r="E6457" t="str">
        <f>IF(OR(E6456="&lt;/routeDistribution&gt;",E6456=""),"",IFERROR(_xlfn.CONCAT(VLOOKUP(AJ29,Route_Column!#REF!,2,FALSE),CHAR(34)," probability=",CHAR(34),1/AJ$4,CHAR(34),CHAR(47),CHAR(62)),"&lt;/routeDistribution&gt;"))</f>
        <v/>
      </c>
    </row>
    <row r="6458" spans="1:5" x14ac:dyDescent="0.25">
      <c r="A6458" t="s">
        <v>1531</v>
      </c>
      <c r="B6458" t="s">
        <v>1206</v>
      </c>
      <c r="E6458" t="str">
        <f>IF(OR(E6457="&lt;/routeDistribution&gt;",E6457=""),"",IFERROR(_xlfn.CONCAT(VLOOKUP(AJ30,Route_Column!#REF!,2,FALSE),CHAR(34)," probability=",CHAR(34),1/AJ$4,CHAR(34),CHAR(47),CHAR(62)),"&lt;/routeDistribution&gt;"))</f>
        <v/>
      </c>
    </row>
    <row r="6459" spans="1:5" x14ac:dyDescent="0.25">
      <c r="A6459" t="s">
        <v>1531</v>
      </c>
      <c r="B6459" t="s">
        <v>1207</v>
      </c>
      <c r="E6459" t="str">
        <f>IF(OR(E6458="&lt;/routeDistribution&gt;",E6458=""),"",IFERROR(_xlfn.CONCAT(VLOOKUP(AJ31,Route_Column!#REF!,2,FALSE),CHAR(34)," probability=",CHAR(34),1/AJ$4,CHAR(34),CHAR(47),CHAR(62)),"&lt;/routeDistribution&gt;"))</f>
        <v/>
      </c>
    </row>
    <row r="6460" spans="1:5" x14ac:dyDescent="0.25">
      <c r="A6460" t="s">
        <v>1531</v>
      </c>
      <c r="B6460" t="s">
        <v>1233</v>
      </c>
      <c r="E6460" t="str">
        <f>IF(OR(E6459="&lt;/routeDistribution&gt;",E6459=""),"",IFERROR(_xlfn.CONCAT(VLOOKUP(AJ32,Route_Column!#REF!,2,FALSE),CHAR(34)," probability=",CHAR(34),1/AJ$4,CHAR(34),CHAR(47),CHAR(62)),"&lt;/routeDistribution&gt;"))</f>
        <v/>
      </c>
    </row>
    <row r="6461" spans="1:5" x14ac:dyDescent="0.25">
      <c r="A6461" t="s">
        <v>2030</v>
      </c>
      <c r="B6461" t="s">
        <v>1133</v>
      </c>
      <c r="E6461" t="str">
        <f>IF(OR(E6460="&lt;/routeDistribution&gt;",E6460=""),"",IFERROR(_xlfn.CONCAT(VLOOKUP(AJ33,Route_Column!#REF!,2,FALSE),CHAR(34)," probability=",CHAR(34),1/AJ$4,CHAR(34),CHAR(47),CHAR(62)),"&lt;/routeDistribution&gt;"))</f>
        <v/>
      </c>
    </row>
    <row r="6462" spans="1:5" x14ac:dyDescent="0.25">
      <c r="A6462" t="s">
        <v>2029</v>
      </c>
      <c r="B6462" t="s">
        <v>1133</v>
      </c>
      <c r="E6462" t="str">
        <f>IF(OR(E6461="&lt;/routeDistribution&gt;",E6461=""),"",IFERROR(_xlfn.CONCAT(VLOOKUP(AJ34,Route_Column!#REF!,2,FALSE),CHAR(34)," probability=",CHAR(34),1/AJ$4,CHAR(34),CHAR(47),CHAR(62)),"&lt;/routeDistribution&gt;"))</f>
        <v/>
      </c>
    </row>
    <row r="6463" spans="1:5" x14ac:dyDescent="0.25">
      <c r="A6463" t="s">
        <v>2028</v>
      </c>
      <c r="B6463" t="s">
        <v>1133</v>
      </c>
      <c r="E6463" t="str">
        <f>IF(OR(E6462="&lt;/routeDistribution&gt;",E6462=""),"",IFERROR(_xlfn.CONCAT(VLOOKUP(AJ35,Route_Column!#REF!,2,FALSE),CHAR(34)," probability=",CHAR(34),1/AJ$4,CHAR(34),CHAR(47),CHAR(62)),"&lt;/routeDistribution&gt;"))</f>
        <v/>
      </c>
    </row>
    <row r="6464" spans="1:5" x14ac:dyDescent="0.25">
      <c r="A6464" t="s">
        <v>2027</v>
      </c>
      <c r="B6464" t="s">
        <v>1133</v>
      </c>
      <c r="E6464" t="str">
        <f>IF(OR(E6463="&lt;/routeDistribution&gt;",E6463=""),"",IFERROR(_xlfn.CONCAT(VLOOKUP(AJ36,Route_Column!#REF!,2,FALSE),CHAR(34)," probability=",CHAR(34),1/AJ$4,CHAR(34),CHAR(47),CHAR(62)),"&lt;/routeDistribution&gt;"))</f>
        <v/>
      </c>
    </row>
    <row r="6465" spans="1:5" x14ac:dyDescent="0.25">
      <c r="A6465" t="s">
        <v>2026</v>
      </c>
      <c r="B6465" t="s">
        <v>1133</v>
      </c>
      <c r="E6465" t="str">
        <f>IF(OR(E6464="&lt;/routeDistribution&gt;",E6464=""),"",IFERROR(_xlfn.CONCAT(VLOOKUP(AJ37,Route_Column!#REF!,2,FALSE),CHAR(34)," probability=",CHAR(34),1/AJ$4,CHAR(34),CHAR(47),CHAR(62)),"&lt;/routeDistribution&gt;"))</f>
        <v/>
      </c>
    </row>
    <row r="6466" spans="1:5" x14ac:dyDescent="0.25">
      <c r="A6466" t="s">
        <v>2025</v>
      </c>
      <c r="B6466" t="s">
        <v>1133</v>
      </c>
      <c r="E6466" t="str">
        <f>IF(OR(E6465="&lt;/routeDistribution&gt;",E6465=""),"",IFERROR(_xlfn.CONCAT(VLOOKUP(AJ38,Route_Column!#REF!,2,FALSE),CHAR(34)," probability=",CHAR(34),1/AJ$4,CHAR(34),CHAR(47),CHAR(62)),"&lt;/routeDistribution&gt;"))</f>
        <v/>
      </c>
    </row>
    <row r="6467" spans="1:5" x14ac:dyDescent="0.25">
      <c r="A6467" t="s">
        <v>2024</v>
      </c>
      <c r="B6467" t="s">
        <v>1133</v>
      </c>
      <c r="E6467" t="str">
        <f>IF(OR(E6466="&lt;/routeDistribution&gt;",E6466=""),"",IFERROR(_xlfn.CONCAT(VLOOKUP(AJ39,Route_Column!#REF!,2,FALSE),CHAR(34)," probability=",CHAR(34),1/AJ$4,CHAR(34),CHAR(47),CHAR(62)),"&lt;/routeDistribution&gt;"))</f>
        <v/>
      </c>
    </row>
    <row r="6468" spans="1:5" x14ac:dyDescent="0.25">
      <c r="A6468" t="s">
        <v>2023</v>
      </c>
      <c r="B6468" t="s">
        <v>1133</v>
      </c>
      <c r="E6468" t="str">
        <f>IF(OR(E6467="&lt;/routeDistribution&gt;",E6467=""),"",IFERROR(_xlfn.CONCAT(VLOOKUP(AJ40,Route_Column!#REF!,2,FALSE),CHAR(34)," probability=",CHAR(34),1/AJ$4,CHAR(34),CHAR(47),CHAR(62)),"&lt;/routeDistribution&gt;"))</f>
        <v/>
      </c>
    </row>
    <row r="6469" spans="1:5" x14ac:dyDescent="0.25">
      <c r="A6469" t="s">
        <v>2351</v>
      </c>
      <c r="B6469" t="s">
        <v>1235</v>
      </c>
      <c r="E6469" t="str">
        <f>IF(OR(E6468="&lt;/routeDistribution&gt;",E6468=""),"",IFERROR(_xlfn.CONCAT(VLOOKUP(AJ41,Route_Column!#REF!,2,FALSE),CHAR(34)," probability=",CHAR(34),1/AJ$4,CHAR(34),CHAR(47),CHAR(62)),"&lt;/routeDistribution&gt;"))</f>
        <v/>
      </c>
    </row>
    <row r="6470" spans="1:5" x14ac:dyDescent="0.25">
      <c r="A6470" t="s">
        <v>2351</v>
      </c>
      <c r="B6470" t="s">
        <v>1236</v>
      </c>
      <c r="E6470" t="str">
        <f>IF(OR(E6469="&lt;/routeDistribution&gt;",E6469=""),"",IFERROR(_xlfn.CONCAT(VLOOKUP(AJ42,Route_Column!#REF!,2,FALSE),CHAR(34)," probability=",CHAR(34),1/AJ$4,CHAR(34),CHAR(47),CHAR(62)),"&lt;/routeDistribution&gt;"))</f>
        <v/>
      </c>
    </row>
    <row r="6471" spans="1:5" x14ac:dyDescent="0.25">
      <c r="A6471" t="s">
        <v>2351</v>
      </c>
      <c r="B6471" t="s">
        <v>1237</v>
      </c>
      <c r="E6471" t="str">
        <f>IF(OR(E6470="&lt;/routeDistribution&gt;",E6470=""),"",IFERROR(_xlfn.CONCAT(VLOOKUP(AJ43,Route_Column!#REF!,2,FALSE),CHAR(34)," probability=",CHAR(34),1/AJ$4,CHAR(34),CHAR(47),CHAR(62)),"&lt;/routeDistribution&gt;"))</f>
        <v/>
      </c>
    </row>
    <row r="6472" spans="1:5" x14ac:dyDescent="0.25">
      <c r="A6472" t="s">
        <v>2351</v>
      </c>
      <c r="B6472" t="s">
        <v>1238</v>
      </c>
      <c r="E6472" t="str">
        <f>IF(OR(E6471="&lt;/routeDistribution&gt;",E6471=""),"",IFERROR(_xlfn.CONCAT(VLOOKUP(AJ44,Route_Column!#REF!,2,FALSE),CHAR(34)," probability=",CHAR(34),1/AJ$4,CHAR(34),CHAR(47),CHAR(62)),"&lt;/routeDistribution&gt;"))</f>
        <v/>
      </c>
    </row>
    <row r="6473" spans="1:5" x14ac:dyDescent="0.25">
      <c r="A6473" t="s">
        <v>2351</v>
      </c>
      <c r="B6473" t="s">
        <v>1239</v>
      </c>
      <c r="E6473" t="str">
        <f>IF(OR(E6472="&lt;/routeDistribution&gt;",E6472=""),"",IFERROR(_xlfn.CONCAT(VLOOKUP(AJ45,Route_Column!#REF!,2,FALSE),CHAR(34)," probability=",CHAR(34),1/AJ$4,CHAR(34),CHAR(47),CHAR(62)),"&lt;/routeDistribution&gt;"))</f>
        <v/>
      </c>
    </row>
    <row r="6474" spans="1:5" x14ac:dyDescent="0.25">
      <c r="A6474" t="s">
        <v>2351</v>
      </c>
      <c r="B6474" t="s">
        <v>1240</v>
      </c>
      <c r="E6474" t="str">
        <f>IF(OR(E6473="&lt;/routeDistribution&gt;",E6473=""),"",IFERROR(_xlfn.CONCAT(VLOOKUP(AJ46,Route_Column!#REF!,2,FALSE),CHAR(34)," probability=",CHAR(34),1/AJ$4,CHAR(34),CHAR(47),CHAR(62)),"&lt;/routeDistribution&gt;"))</f>
        <v/>
      </c>
    </row>
    <row r="6475" spans="1:5" x14ac:dyDescent="0.25">
      <c r="A6475" t="s">
        <v>2351</v>
      </c>
      <c r="B6475" t="s">
        <v>1241</v>
      </c>
      <c r="E6475" t="str">
        <f>IF(OR(E6474="&lt;/routeDistribution&gt;",E6474=""),"",IFERROR(_xlfn.CONCAT(VLOOKUP(AJ47,Route_Column!#REF!,2,FALSE),CHAR(34)," probability=",CHAR(34),1/AJ$4,CHAR(34),CHAR(47),CHAR(62)),"&lt;/routeDistribution&gt;"))</f>
        <v/>
      </c>
    </row>
    <row r="6476" spans="1:5" x14ac:dyDescent="0.25">
      <c r="A6476" t="s">
        <v>2351</v>
      </c>
      <c r="B6476" t="s">
        <v>1242</v>
      </c>
      <c r="E6476" t="str">
        <f>IF(OR(E6475="&lt;/routeDistribution&gt;",E6475=""),"",IFERROR(_xlfn.CONCAT(VLOOKUP(AJ48,Route_Column!#REF!,2,FALSE),CHAR(34)," probability=",CHAR(34),1/AJ$4,CHAR(34),CHAR(47),CHAR(62)),"&lt;/routeDistribution&gt;"))</f>
        <v/>
      </c>
    </row>
    <row r="6477" spans="1:5" x14ac:dyDescent="0.25">
      <c r="A6477" t="s">
        <v>2351</v>
      </c>
      <c r="B6477" t="s">
        <v>1243</v>
      </c>
      <c r="E6477" t="str">
        <f>IF(OR(E6476="&lt;/routeDistribution&gt;",E6476=""),"",IFERROR(_xlfn.CONCAT(VLOOKUP(AJ49,Route_Column!#REF!,2,FALSE),CHAR(34)," probability=",CHAR(34),1/AJ$4,CHAR(34),CHAR(47),CHAR(62)),"&lt;/routeDistribution&gt;"))</f>
        <v/>
      </c>
    </row>
    <row r="6478" spans="1:5" x14ac:dyDescent="0.25">
      <c r="A6478" t="s">
        <v>2351</v>
      </c>
      <c r="B6478" t="s">
        <v>1244</v>
      </c>
      <c r="E6478" t="str">
        <f>IF(OR(E6477="&lt;/routeDistribution&gt;",E6477=""),"",IFERROR(_xlfn.CONCAT(VLOOKUP(AJ50,Route_Column!#REF!,2,FALSE),CHAR(34)," probability=",CHAR(34),1/AJ$4,CHAR(34),CHAR(47),CHAR(62)),"&lt;/routeDistribution&gt;"))</f>
        <v/>
      </c>
    </row>
    <row r="6479" spans="1:5" x14ac:dyDescent="0.25">
      <c r="A6479" t="s">
        <v>2352</v>
      </c>
      <c r="B6479" t="s">
        <v>1235</v>
      </c>
      <c r="E6479" t="str">
        <f>IF(OR(E6478="&lt;/routeDistribution&gt;",E6478=""),"",IFERROR(_xlfn.CONCAT(VLOOKUP(AJ51,Route_Column!#REF!,2,FALSE),CHAR(34)," probability=",CHAR(34),1/AJ$4,CHAR(34),CHAR(47),CHAR(62)),"&lt;/routeDistribution&gt;"))</f>
        <v/>
      </c>
    </row>
    <row r="6480" spans="1:5" x14ac:dyDescent="0.25">
      <c r="A6480" t="s">
        <v>2352</v>
      </c>
      <c r="B6480" t="s">
        <v>1236</v>
      </c>
      <c r="E6480" t="str">
        <f>IF(OR(E6479="&lt;/routeDistribution&gt;",E6479=""),"",IFERROR(_xlfn.CONCAT(VLOOKUP(AJ52,Route_Column!#REF!,2,FALSE),CHAR(34)," probability=",CHAR(34),1/AJ$4,CHAR(34),CHAR(47),CHAR(62)),"&lt;/routeDistribution&gt;"))</f>
        <v/>
      </c>
    </row>
    <row r="6481" spans="1:5" x14ac:dyDescent="0.25">
      <c r="A6481" t="s">
        <v>2352</v>
      </c>
      <c r="B6481" t="s">
        <v>1237</v>
      </c>
      <c r="E6481" t="str">
        <f>IF(OR(E6480="&lt;/routeDistribution&gt;",E6480=""),"",IFERROR(_xlfn.CONCAT(VLOOKUP(AJ53,Route_Column!#REF!,2,FALSE),CHAR(34)," probability=",CHAR(34),1/AJ$4,CHAR(34),CHAR(47),CHAR(62)),"&lt;/routeDistribution&gt;"))</f>
        <v/>
      </c>
    </row>
    <row r="6482" spans="1:5" x14ac:dyDescent="0.25">
      <c r="A6482" t="s">
        <v>2352</v>
      </c>
      <c r="B6482" t="s">
        <v>1238</v>
      </c>
      <c r="E6482" t="str">
        <f>IF(OR(E6481="&lt;/routeDistribution&gt;",E6481=""),"",IFERROR(_xlfn.CONCAT(VLOOKUP(AJ54,Route_Column!#REF!,2,FALSE),CHAR(34)," probability=",CHAR(34),1/AJ$4,CHAR(34),CHAR(47),CHAR(62)),"&lt;/routeDistribution&gt;"))</f>
        <v/>
      </c>
    </row>
    <row r="6483" spans="1:5" x14ac:dyDescent="0.25">
      <c r="A6483" t="s">
        <v>2352</v>
      </c>
      <c r="B6483" t="s">
        <v>1239</v>
      </c>
      <c r="E6483" t="str">
        <f>IF(OR(E6482="&lt;/routeDistribution&gt;",E6482=""),"",IFERROR(_xlfn.CONCAT(VLOOKUP(AJ55,Route_Column!#REF!,2,FALSE),CHAR(34)," probability=",CHAR(34),1/AJ$4,CHAR(34),CHAR(47),CHAR(62)),"&lt;/routeDistribution&gt;"))</f>
        <v/>
      </c>
    </row>
    <row r="6484" spans="1:5" x14ac:dyDescent="0.25">
      <c r="A6484" t="s">
        <v>2352</v>
      </c>
      <c r="B6484" t="s">
        <v>1240</v>
      </c>
      <c r="E6484" t="str">
        <f>IF(OR(E6483="&lt;/routeDistribution&gt;",E6483=""),"",IFERROR(_xlfn.CONCAT(VLOOKUP(AJ56,Route_Column!#REF!,2,FALSE),CHAR(34)," probability=",CHAR(34),1/AJ$4,CHAR(34),CHAR(47),CHAR(62)),"&lt;/routeDistribution&gt;"))</f>
        <v/>
      </c>
    </row>
    <row r="6485" spans="1:5" x14ac:dyDescent="0.25">
      <c r="A6485" t="s">
        <v>2352</v>
      </c>
      <c r="B6485" t="s">
        <v>1241</v>
      </c>
      <c r="E6485" t="str">
        <f>IF(OR(E6484="&lt;/routeDistribution&gt;",E6484=""),"",IFERROR(_xlfn.CONCAT(VLOOKUP(AJ57,Route_Column!#REF!,2,FALSE),CHAR(34)," probability=",CHAR(34),1/AJ$4,CHAR(34),CHAR(47),CHAR(62)),"&lt;/routeDistribution&gt;"))</f>
        <v/>
      </c>
    </row>
    <row r="6486" spans="1:5" x14ac:dyDescent="0.25">
      <c r="A6486" t="s">
        <v>2352</v>
      </c>
      <c r="B6486" t="s">
        <v>1242</v>
      </c>
      <c r="E6486" t="str">
        <f>IF(OR(E6485="&lt;/routeDistribution&gt;",E6485=""),"",IFERROR(_xlfn.CONCAT(VLOOKUP(AJ58,Route_Column!#REF!,2,FALSE),CHAR(34)," probability=",CHAR(34),1/AJ$4,CHAR(34),CHAR(47),CHAR(62)),"&lt;/routeDistribution&gt;"))</f>
        <v/>
      </c>
    </row>
    <row r="6487" spans="1:5" x14ac:dyDescent="0.25">
      <c r="A6487" t="s">
        <v>2352</v>
      </c>
      <c r="B6487" t="s">
        <v>1243</v>
      </c>
      <c r="E6487" t="str">
        <f>IF(OR(E6486="&lt;/routeDistribution&gt;",E6486=""),"",IFERROR(_xlfn.CONCAT(VLOOKUP(AJ59,Route_Column!#REF!,2,FALSE),CHAR(34)," probability=",CHAR(34),1/AJ$4,CHAR(34),CHAR(47),CHAR(62)),"&lt;/routeDistribution&gt;"))</f>
        <v/>
      </c>
    </row>
    <row r="6488" spans="1:5" x14ac:dyDescent="0.25">
      <c r="A6488" t="s">
        <v>2352</v>
      </c>
      <c r="B6488" t="s">
        <v>1244</v>
      </c>
      <c r="E6488" t="str">
        <f>IF(OR(E6487="&lt;/routeDistribution&gt;",E6487=""),"",IFERROR(_xlfn.CONCAT(VLOOKUP(AJ60,Route_Column!#REF!,2,FALSE),CHAR(34)," probability=",CHAR(34),1/AJ$4,CHAR(34),CHAR(47),CHAR(62)),"&lt;/routeDistribution&gt;"))</f>
        <v/>
      </c>
    </row>
    <row r="6489" spans="1:5" x14ac:dyDescent="0.25">
      <c r="A6489" t="s">
        <v>1727</v>
      </c>
      <c r="B6489" t="s">
        <v>1102</v>
      </c>
      <c r="E6489" t="str">
        <f>IF(OR(E6488="&lt;/routeDistribution&gt;",E6488=""),"",IFERROR(_xlfn.CONCAT(VLOOKUP(AJ61,Route_Column!#REF!,2,FALSE),CHAR(34)," probability=",CHAR(34),1/AJ$4,CHAR(34),CHAR(47),CHAR(62)),"&lt;/routeDistribution&gt;"))</f>
        <v/>
      </c>
    </row>
    <row r="6490" spans="1:5" x14ac:dyDescent="0.25">
      <c r="A6490" t="s">
        <v>1727</v>
      </c>
      <c r="B6490" t="s">
        <v>1109</v>
      </c>
      <c r="E6490" t="str">
        <f>IF(OR(E6489="&lt;/routeDistribution&gt;",E6489=""),"",IFERROR(_xlfn.CONCAT(VLOOKUP(AJ62,Route_Column!#REF!,2,FALSE),CHAR(34)," probability=",CHAR(34),1/AJ$4,CHAR(34),CHAR(47),CHAR(62)),"&lt;/routeDistribution&gt;"))</f>
        <v/>
      </c>
    </row>
    <row r="6491" spans="1:5" x14ac:dyDescent="0.25">
      <c r="A6491" t="s">
        <v>1727</v>
      </c>
      <c r="B6491" t="s">
        <v>1110</v>
      </c>
      <c r="E6491" t="str">
        <f>IF(OR(E6490="&lt;/routeDistribution&gt;",E6490=""),"",IFERROR(_xlfn.CONCAT(VLOOKUP(AJ63,Route_Column!#REF!,2,FALSE),CHAR(34)," probability=",CHAR(34),1/AJ$4,CHAR(34),CHAR(47),CHAR(62)),"&lt;/routeDistribution&gt;"))</f>
        <v/>
      </c>
    </row>
    <row r="6492" spans="1:5" x14ac:dyDescent="0.25">
      <c r="A6492" t="s">
        <v>1727</v>
      </c>
      <c r="B6492" t="s">
        <v>1122</v>
      </c>
      <c r="E6492" t="s">
        <v>2686</v>
      </c>
    </row>
    <row r="6493" spans="1:5" x14ac:dyDescent="0.25">
      <c r="A6493" t="s">
        <v>2320</v>
      </c>
      <c r="B6493" t="s">
        <v>1223</v>
      </c>
    </row>
    <row r="6494" spans="1:5" x14ac:dyDescent="0.25">
      <c r="A6494" t="s">
        <v>2321</v>
      </c>
      <c r="B6494" t="s">
        <v>1223</v>
      </c>
    </row>
    <row r="6495" spans="1:5" x14ac:dyDescent="0.25">
      <c r="A6495" t="s">
        <v>2159</v>
      </c>
      <c r="B6495" t="s">
        <v>1153</v>
      </c>
      <c r="E6495" t="str">
        <f>_xlfn.CONCAT($E$1,AI$2,$F$1)</f>
        <v>&lt;routeDistribution id="33rd-Chesnut-to-Market-NB-2015-RouteProbe"&gt;</v>
      </c>
    </row>
    <row r="6496" spans="1:5" x14ac:dyDescent="0.25">
      <c r="A6496" t="s">
        <v>2160</v>
      </c>
      <c r="B6496" t="s">
        <v>1153</v>
      </c>
      <c r="E6496" t="str">
        <f>IF(OR(E6495="&lt;/routeDistribution&gt;",E6495=""),"",IFERROR(_xlfn.CONCAT(VLOOKUP(AI5,Route_Column!#REF!,2,FALSE),CHAR(34)," probability=",CHAR(34),1/AI$4,CHAR(34),CHAR(47),CHAR(62)),"&lt;/routeDistribution&gt;"))</f>
        <v>&lt;/routeDistribution&gt;</v>
      </c>
    </row>
    <row r="6497" spans="1:5" x14ac:dyDescent="0.25">
      <c r="A6497" t="s">
        <v>2048</v>
      </c>
      <c r="B6497" t="s">
        <v>1134</v>
      </c>
      <c r="E6497" t="str">
        <f>IF(OR(E6496="&lt;/routeDistribution&gt;",E6496=""),"",IFERROR(_xlfn.CONCAT(VLOOKUP(AI6,Route_Column!#REF!,2,FALSE),CHAR(34)," probability=",CHAR(34),1/AI$4,CHAR(34),CHAR(47),CHAR(62)),"&lt;/routeDistribution&gt;"))</f>
        <v/>
      </c>
    </row>
    <row r="6498" spans="1:5" x14ac:dyDescent="0.25">
      <c r="A6498" t="s">
        <v>2048</v>
      </c>
      <c r="B6498" t="s">
        <v>1137</v>
      </c>
      <c r="E6498" t="str">
        <f>IF(OR(E6497="&lt;/routeDistribution&gt;",E6497=""),"",IFERROR(_xlfn.CONCAT(VLOOKUP(AI7,Route_Column!#REF!,2,FALSE),CHAR(34)," probability=",CHAR(34),1/AI$4,CHAR(34),CHAR(47),CHAR(62)),"&lt;/routeDistribution&gt;"))</f>
        <v/>
      </c>
    </row>
    <row r="6499" spans="1:5" x14ac:dyDescent="0.25">
      <c r="A6499" t="s">
        <v>2048</v>
      </c>
      <c r="B6499" t="s">
        <v>1145</v>
      </c>
      <c r="E6499" t="str">
        <f>IF(OR(E6498="&lt;/routeDistribution&gt;",E6498=""),"",IFERROR(_xlfn.CONCAT(VLOOKUP(AI8,Route_Column!#REF!,2,FALSE),CHAR(34)," probability=",CHAR(34),1/AI$4,CHAR(34),CHAR(47),CHAR(62)),"&lt;/routeDistribution&gt;"))</f>
        <v/>
      </c>
    </row>
    <row r="6500" spans="1:5" x14ac:dyDescent="0.25">
      <c r="A6500" t="s">
        <v>2049</v>
      </c>
      <c r="B6500" t="s">
        <v>1134</v>
      </c>
      <c r="E6500" t="str">
        <f>IF(OR(E6499="&lt;/routeDistribution&gt;",E6499=""),"",IFERROR(_xlfn.CONCAT(VLOOKUP(AI9,Route_Column!#REF!,2,FALSE),CHAR(34)," probability=",CHAR(34),1/AI$4,CHAR(34),CHAR(47),CHAR(62)),"&lt;/routeDistribution&gt;"))</f>
        <v/>
      </c>
    </row>
    <row r="6501" spans="1:5" x14ac:dyDescent="0.25">
      <c r="A6501" t="s">
        <v>2049</v>
      </c>
      <c r="B6501" t="s">
        <v>1137</v>
      </c>
      <c r="E6501" t="str">
        <f>IF(OR(E6500="&lt;/routeDistribution&gt;",E6500=""),"",IFERROR(_xlfn.CONCAT(VLOOKUP(AI10,Route_Column!#REF!,2,FALSE),CHAR(34)," probability=",CHAR(34),1/AI$4,CHAR(34),CHAR(47),CHAR(62)),"&lt;/routeDistribution&gt;"))</f>
        <v/>
      </c>
    </row>
    <row r="6502" spans="1:5" x14ac:dyDescent="0.25">
      <c r="A6502" t="s">
        <v>2049</v>
      </c>
      <c r="B6502" t="s">
        <v>1145</v>
      </c>
      <c r="E6502" t="str">
        <f>IF(OR(E6501="&lt;/routeDistribution&gt;",E6501=""),"",IFERROR(_xlfn.CONCAT(VLOOKUP(AI11,Route_Column!#REF!,2,FALSE),CHAR(34)," probability=",CHAR(34),1/AI$4,CHAR(34),CHAR(47),CHAR(62)),"&lt;/routeDistribution&gt;"))</f>
        <v/>
      </c>
    </row>
    <row r="6503" spans="1:5" x14ac:dyDescent="0.25">
      <c r="A6503" t="s">
        <v>2001</v>
      </c>
      <c r="B6503" t="s">
        <v>1133</v>
      </c>
      <c r="E6503" t="str">
        <f>IF(OR(E6502="&lt;/routeDistribution&gt;",E6502=""),"",IFERROR(_xlfn.CONCAT(VLOOKUP(AI12,Route_Column!#REF!,2,FALSE),CHAR(34)," probability=",CHAR(34),1/AI$4,CHAR(34),CHAR(47),CHAR(62)),"&lt;/routeDistribution&gt;"))</f>
        <v/>
      </c>
    </row>
    <row r="6504" spans="1:5" x14ac:dyDescent="0.25">
      <c r="A6504" t="s">
        <v>2002</v>
      </c>
      <c r="B6504" t="s">
        <v>1133</v>
      </c>
      <c r="E6504" t="str">
        <f>IF(OR(E6503="&lt;/routeDistribution&gt;",E6503=""),"",IFERROR(_xlfn.CONCAT(VLOOKUP(AI13,Route_Column!#REF!,2,FALSE),CHAR(34)," probability=",CHAR(34),1/AI$4,CHAR(34),CHAR(47),CHAR(62)),"&lt;/routeDistribution&gt;"))</f>
        <v/>
      </c>
    </row>
    <row r="6505" spans="1:5" x14ac:dyDescent="0.25">
      <c r="A6505" t="s">
        <v>2003</v>
      </c>
      <c r="B6505" t="s">
        <v>1133</v>
      </c>
      <c r="E6505" t="str">
        <f>IF(OR(E6504="&lt;/routeDistribution&gt;",E6504=""),"",IFERROR(_xlfn.CONCAT(VLOOKUP(AI14,Route_Column!#REF!,2,FALSE),CHAR(34)," probability=",CHAR(34),1/AI$4,CHAR(34),CHAR(47),CHAR(62)),"&lt;/routeDistribution&gt;"))</f>
        <v/>
      </c>
    </row>
    <row r="6506" spans="1:5" x14ac:dyDescent="0.25">
      <c r="A6506" t="s">
        <v>2306</v>
      </c>
      <c r="B6506" t="s">
        <v>1211</v>
      </c>
      <c r="E6506" t="str">
        <f>IF(OR(E6505="&lt;/routeDistribution&gt;",E6505=""),"",IFERROR(_xlfn.CONCAT(VLOOKUP(AI15,Route_Column!#REF!,2,FALSE),CHAR(34)," probability=",CHAR(34),1/AI$4,CHAR(34),CHAR(47),CHAR(62)),"&lt;/routeDistribution&gt;"))</f>
        <v/>
      </c>
    </row>
    <row r="6507" spans="1:5" x14ac:dyDescent="0.25">
      <c r="A6507" t="s">
        <v>2306</v>
      </c>
      <c r="B6507" t="s">
        <v>1248</v>
      </c>
      <c r="E6507" t="str">
        <f>IF(OR(E6506="&lt;/routeDistribution&gt;",E6506=""),"",IFERROR(_xlfn.CONCAT(VLOOKUP(AI16,Route_Column!#REF!,2,FALSE),CHAR(34)," probability=",CHAR(34),1/AI$4,CHAR(34),CHAR(47),CHAR(62)),"&lt;/routeDistribution&gt;"))</f>
        <v/>
      </c>
    </row>
    <row r="6508" spans="1:5" x14ac:dyDescent="0.25">
      <c r="A6508" t="s">
        <v>2306</v>
      </c>
      <c r="B6508" t="s">
        <v>1249</v>
      </c>
      <c r="E6508" t="str">
        <f>IF(OR(E6507="&lt;/routeDistribution&gt;",E6507=""),"",IFERROR(_xlfn.CONCAT(VLOOKUP(AI17,Route_Column!#REF!,2,FALSE),CHAR(34)," probability=",CHAR(34),1/AI$4,CHAR(34),CHAR(47),CHAR(62)),"&lt;/routeDistribution&gt;"))</f>
        <v/>
      </c>
    </row>
    <row r="6509" spans="1:5" x14ac:dyDescent="0.25">
      <c r="A6509" s="11" t="s">
        <v>1439</v>
      </c>
      <c r="B6509" t="s">
        <v>1090</v>
      </c>
      <c r="E6509" t="str">
        <f>IF(OR(E6508="&lt;/routeDistribution&gt;",E6508=""),"",IFERROR(_xlfn.CONCAT(VLOOKUP(AI18,Route_Column!#REF!,2,FALSE),CHAR(34)," probability=",CHAR(34),1/AI$4,CHAR(34),CHAR(47),CHAR(62)),"&lt;/routeDistribution&gt;"))</f>
        <v/>
      </c>
    </row>
    <row r="6510" spans="1:5" x14ac:dyDescent="0.25">
      <c r="A6510" t="s">
        <v>1439</v>
      </c>
      <c r="B6510" t="s">
        <v>1112</v>
      </c>
      <c r="E6510" t="str">
        <f>IF(OR(E6509="&lt;/routeDistribution&gt;",E6509=""),"",IFERROR(_xlfn.CONCAT(VLOOKUP(AI19,Route_Column!#REF!,2,FALSE),CHAR(34)," probability=",CHAR(34),1/AI$4,CHAR(34),CHAR(47),CHAR(62)),"&lt;/routeDistribution&gt;"))</f>
        <v/>
      </c>
    </row>
    <row r="6511" spans="1:5" x14ac:dyDescent="0.25">
      <c r="A6511" t="s">
        <v>1439</v>
      </c>
      <c r="B6511" t="s">
        <v>1113</v>
      </c>
      <c r="E6511" t="str">
        <f>IF(OR(E6510="&lt;/routeDistribution&gt;",E6510=""),"",IFERROR(_xlfn.CONCAT(VLOOKUP(AI20,Route_Column!#REF!,2,FALSE),CHAR(34)," probability=",CHAR(34),1/AI$4,CHAR(34),CHAR(47),CHAR(62)),"&lt;/routeDistribution&gt;"))</f>
        <v/>
      </c>
    </row>
    <row r="6512" spans="1:5" x14ac:dyDescent="0.25">
      <c r="A6512" t="s">
        <v>1439</v>
      </c>
      <c r="B6512" t="s">
        <v>1114</v>
      </c>
      <c r="E6512" t="str">
        <f>IF(OR(E6511="&lt;/routeDistribution&gt;",E6511=""),"",IFERROR(_xlfn.CONCAT(VLOOKUP(AI21,Route_Column!#REF!,2,FALSE),CHAR(34)," probability=",CHAR(34),1/AI$4,CHAR(34),CHAR(47),CHAR(62)),"&lt;/routeDistribution&gt;"))</f>
        <v/>
      </c>
    </row>
    <row r="6513" spans="1:5" x14ac:dyDescent="0.25">
      <c r="A6513" t="s">
        <v>1439</v>
      </c>
      <c r="B6513" t="s">
        <v>1115</v>
      </c>
      <c r="E6513" t="str">
        <f>IF(OR(E6512="&lt;/routeDistribution&gt;",E6512=""),"",IFERROR(_xlfn.CONCAT(VLOOKUP(AI22,Route_Column!#REF!,2,FALSE),CHAR(34)," probability=",CHAR(34),1/AI$4,CHAR(34),CHAR(47),CHAR(62)),"&lt;/routeDistribution&gt;"))</f>
        <v/>
      </c>
    </row>
    <row r="6514" spans="1:5" x14ac:dyDescent="0.25">
      <c r="A6514" t="s">
        <v>1596</v>
      </c>
      <c r="B6514" t="s">
        <v>1096</v>
      </c>
      <c r="E6514" t="str">
        <f>IF(OR(E6513="&lt;/routeDistribution&gt;",E6513=""),"",IFERROR(_xlfn.CONCAT(VLOOKUP(AI23,Route_Column!#REF!,2,FALSE),CHAR(34)," probability=",CHAR(34),1/AI$4,CHAR(34),CHAR(47),CHAR(62)),"&lt;/routeDistribution&gt;"))</f>
        <v/>
      </c>
    </row>
    <row r="6515" spans="1:5" x14ac:dyDescent="0.25">
      <c r="A6515" t="s">
        <v>1596</v>
      </c>
      <c r="B6515" t="s">
        <v>1099</v>
      </c>
      <c r="E6515" t="str">
        <f>IF(OR(E6514="&lt;/routeDistribution&gt;",E6514=""),"",IFERROR(_xlfn.CONCAT(VLOOKUP(AI24,Route_Column!#REF!,2,FALSE),CHAR(34)," probability=",CHAR(34),1/AI$4,CHAR(34),CHAR(47),CHAR(62)),"&lt;/routeDistribution&gt;"))</f>
        <v/>
      </c>
    </row>
    <row r="6516" spans="1:5" x14ac:dyDescent="0.25">
      <c r="A6516" t="s">
        <v>1596</v>
      </c>
      <c r="B6516" t="s">
        <v>1100</v>
      </c>
      <c r="E6516" t="str">
        <f>IF(OR(E6515="&lt;/routeDistribution&gt;",E6515=""),"",IFERROR(_xlfn.CONCAT(VLOOKUP(AI25,Route_Column!#REF!,2,FALSE),CHAR(34)," probability=",CHAR(34),1/AI$4,CHAR(34),CHAR(47),CHAR(62)),"&lt;/routeDistribution&gt;"))</f>
        <v/>
      </c>
    </row>
    <row r="6517" spans="1:5" x14ac:dyDescent="0.25">
      <c r="A6517" t="s">
        <v>1596</v>
      </c>
      <c r="B6517" t="s">
        <v>1101</v>
      </c>
      <c r="E6517" t="str">
        <f>IF(OR(E6516="&lt;/routeDistribution&gt;",E6516=""),"",IFERROR(_xlfn.CONCAT(VLOOKUP(AI26,Route_Column!#REF!,2,FALSE),CHAR(34)," probability=",CHAR(34),1/AI$4,CHAR(34),CHAR(47),CHAR(62)),"&lt;/routeDistribution&gt;"))</f>
        <v/>
      </c>
    </row>
    <row r="6518" spans="1:5" x14ac:dyDescent="0.25">
      <c r="A6518" t="s">
        <v>1596</v>
      </c>
      <c r="B6518" t="s">
        <v>1102</v>
      </c>
      <c r="E6518" t="str">
        <f>IF(OR(E6517="&lt;/routeDistribution&gt;",E6517=""),"",IFERROR(_xlfn.CONCAT(VLOOKUP(AI27,Route_Column!#REF!,2,FALSE),CHAR(34)," probability=",CHAR(34),1/AI$4,CHAR(34),CHAR(47),CHAR(62)),"&lt;/routeDistribution&gt;"))</f>
        <v/>
      </c>
    </row>
    <row r="6519" spans="1:5" x14ac:dyDescent="0.25">
      <c r="A6519" t="s">
        <v>1596</v>
      </c>
      <c r="B6519" t="s">
        <v>1103</v>
      </c>
      <c r="E6519" t="str">
        <f>IF(OR(E6518="&lt;/routeDistribution&gt;",E6518=""),"",IFERROR(_xlfn.CONCAT(VLOOKUP(AI28,Route_Column!#REF!,2,FALSE),CHAR(34)," probability=",CHAR(34),1/AI$4,CHAR(34),CHAR(47),CHAR(62)),"&lt;/routeDistribution&gt;"))</f>
        <v/>
      </c>
    </row>
    <row r="6520" spans="1:5" x14ac:dyDescent="0.25">
      <c r="A6520" t="s">
        <v>1596</v>
      </c>
      <c r="B6520" t="s">
        <v>1104</v>
      </c>
      <c r="E6520" t="str">
        <f>IF(OR(E6519="&lt;/routeDistribution&gt;",E6519=""),"",IFERROR(_xlfn.CONCAT(VLOOKUP(AI29,Route_Column!#REF!,2,FALSE),CHAR(34)," probability=",CHAR(34),1/AI$4,CHAR(34),CHAR(47),CHAR(62)),"&lt;/routeDistribution&gt;"))</f>
        <v/>
      </c>
    </row>
    <row r="6521" spans="1:5" x14ac:dyDescent="0.25">
      <c r="A6521" t="s">
        <v>1596</v>
      </c>
      <c r="B6521" t="s">
        <v>1105</v>
      </c>
      <c r="E6521" t="str">
        <f>IF(OR(E6520="&lt;/routeDistribution&gt;",E6520=""),"",IFERROR(_xlfn.CONCAT(VLOOKUP(AI30,Route_Column!#REF!,2,FALSE),CHAR(34)," probability=",CHAR(34),1/AI$4,CHAR(34),CHAR(47),CHAR(62)),"&lt;/routeDistribution&gt;"))</f>
        <v/>
      </c>
    </row>
    <row r="6522" spans="1:5" x14ac:dyDescent="0.25">
      <c r="A6522" t="s">
        <v>1596</v>
      </c>
      <c r="B6522" t="s">
        <v>1106</v>
      </c>
      <c r="E6522" t="str">
        <f>IF(OR(E6521="&lt;/routeDistribution&gt;",E6521=""),"",IFERROR(_xlfn.CONCAT(VLOOKUP(AI31,Route_Column!#REF!,2,FALSE),CHAR(34)," probability=",CHAR(34),1/AI$4,CHAR(34),CHAR(47),CHAR(62)),"&lt;/routeDistribution&gt;"))</f>
        <v/>
      </c>
    </row>
    <row r="6523" spans="1:5" x14ac:dyDescent="0.25">
      <c r="A6523" t="s">
        <v>1596</v>
      </c>
      <c r="B6523" t="s">
        <v>1161</v>
      </c>
      <c r="E6523" t="str">
        <f>IF(OR(E6522="&lt;/routeDistribution&gt;",E6522=""),"",IFERROR(_xlfn.CONCAT(VLOOKUP(AI32,Route_Column!#REF!,2,FALSE),CHAR(34)," probability=",CHAR(34),1/AI$4,CHAR(34),CHAR(47),CHAR(62)),"&lt;/routeDistribution&gt;"))</f>
        <v/>
      </c>
    </row>
    <row r="6524" spans="1:5" x14ac:dyDescent="0.25">
      <c r="A6524" t="s">
        <v>1596</v>
      </c>
      <c r="B6524" t="s">
        <v>1162</v>
      </c>
      <c r="E6524" t="str">
        <f>IF(OR(E6523="&lt;/routeDistribution&gt;",E6523=""),"",IFERROR(_xlfn.CONCAT(VLOOKUP(AI33,Route_Column!#REF!,2,FALSE),CHAR(34)," probability=",CHAR(34),1/AI$4,CHAR(34),CHAR(47),CHAR(62)),"&lt;/routeDistribution&gt;"))</f>
        <v/>
      </c>
    </row>
    <row r="6525" spans="1:5" x14ac:dyDescent="0.25">
      <c r="A6525" t="s">
        <v>1596</v>
      </c>
      <c r="B6525" t="s">
        <v>1163</v>
      </c>
      <c r="E6525" t="str">
        <f>IF(OR(E6524="&lt;/routeDistribution&gt;",E6524=""),"",IFERROR(_xlfn.CONCAT(VLOOKUP(AI34,Route_Column!#REF!,2,FALSE),CHAR(34)," probability=",CHAR(34),1/AI$4,CHAR(34),CHAR(47),CHAR(62)),"&lt;/routeDistribution&gt;"))</f>
        <v/>
      </c>
    </row>
    <row r="6526" spans="1:5" x14ac:dyDescent="0.25">
      <c r="A6526" t="s">
        <v>1596</v>
      </c>
      <c r="B6526" t="s">
        <v>1164</v>
      </c>
      <c r="E6526" t="str">
        <f>IF(OR(E6525="&lt;/routeDistribution&gt;",E6525=""),"",IFERROR(_xlfn.CONCAT(VLOOKUP(AI35,Route_Column!#REF!,2,FALSE),CHAR(34)," probability=",CHAR(34),1/AI$4,CHAR(34),CHAR(47),CHAR(62)),"&lt;/routeDistribution&gt;"))</f>
        <v/>
      </c>
    </row>
    <row r="6527" spans="1:5" x14ac:dyDescent="0.25">
      <c r="A6527" t="s">
        <v>1596</v>
      </c>
      <c r="B6527" t="s">
        <v>1168</v>
      </c>
      <c r="E6527" t="str">
        <f>IF(OR(E6526="&lt;/routeDistribution&gt;",E6526=""),"",IFERROR(_xlfn.CONCAT(VLOOKUP(AI36,Route_Column!#REF!,2,FALSE),CHAR(34)," probability=",CHAR(34),1/AI$4,CHAR(34),CHAR(47),CHAR(62)),"&lt;/routeDistribution&gt;"))</f>
        <v/>
      </c>
    </row>
    <row r="6528" spans="1:5" x14ac:dyDescent="0.25">
      <c r="A6528" t="s">
        <v>1596</v>
      </c>
      <c r="B6528" t="s">
        <v>1170</v>
      </c>
      <c r="E6528" t="str">
        <f>IF(OR(E6527="&lt;/routeDistribution&gt;",E6527=""),"",IFERROR(_xlfn.CONCAT(VLOOKUP(AI37,Route_Column!#REF!,2,FALSE),CHAR(34)," probability=",CHAR(34),1/AI$4,CHAR(34),CHAR(47),CHAR(62)),"&lt;/routeDistribution&gt;"))</f>
        <v/>
      </c>
    </row>
    <row r="6529" spans="1:5" x14ac:dyDescent="0.25">
      <c r="A6529" t="s">
        <v>1596</v>
      </c>
      <c r="B6529" t="s">
        <v>1196</v>
      </c>
      <c r="E6529" t="str">
        <f>IF(OR(E6528="&lt;/routeDistribution&gt;",E6528=""),"",IFERROR(_xlfn.CONCAT(VLOOKUP(AI38,Route_Column!#REF!,2,FALSE),CHAR(34)," probability=",CHAR(34),1/AI$4,CHAR(34),CHAR(47),CHAR(62)),"&lt;/routeDistribution&gt;"))</f>
        <v/>
      </c>
    </row>
    <row r="6530" spans="1:5" x14ac:dyDescent="0.25">
      <c r="A6530" t="s">
        <v>1769</v>
      </c>
      <c r="B6530" t="s">
        <v>1102</v>
      </c>
      <c r="E6530" t="str">
        <f>IF(OR(E6529="&lt;/routeDistribution&gt;",E6529=""),"",IFERROR(_xlfn.CONCAT(VLOOKUP(AI39,Route_Column!#REF!,2,FALSE),CHAR(34)," probability=",CHAR(34),1/AI$4,CHAR(34),CHAR(47),CHAR(62)),"&lt;/routeDistribution&gt;"))</f>
        <v/>
      </c>
    </row>
    <row r="6531" spans="1:5" x14ac:dyDescent="0.25">
      <c r="A6531" t="s">
        <v>1769</v>
      </c>
      <c r="B6531" t="s">
        <v>1110</v>
      </c>
      <c r="E6531" t="str">
        <f>IF(OR(E6530="&lt;/routeDistribution&gt;",E6530=""),"",IFERROR(_xlfn.CONCAT(VLOOKUP(AI40,Route_Column!#REF!,2,FALSE),CHAR(34)," probability=",CHAR(34),1/AI$4,CHAR(34),CHAR(47),CHAR(62)),"&lt;/routeDistribution&gt;"))</f>
        <v/>
      </c>
    </row>
    <row r="6532" spans="1:5" x14ac:dyDescent="0.25">
      <c r="A6532" t="s">
        <v>1769</v>
      </c>
      <c r="B6532" t="s">
        <v>1112</v>
      </c>
      <c r="E6532" t="str">
        <f>IF(OR(E6531="&lt;/routeDistribution&gt;",E6531=""),"",IFERROR(_xlfn.CONCAT(VLOOKUP(AI41,Route_Column!#REF!,2,FALSE),CHAR(34)," probability=",CHAR(34),1/AI$4,CHAR(34),CHAR(47),CHAR(62)),"&lt;/routeDistribution&gt;"))</f>
        <v/>
      </c>
    </row>
    <row r="6533" spans="1:5" x14ac:dyDescent="0.25">
      <c r="A6533" t="s">
        <v>1769</v>
      </c>
      <c r="B6533" t="s">
        <v>1130</v>
      </c>
      <c r="E6533" t="str">
        <f>IF(OR(E6532="&lt;/routeDistribution&gt;",E6532=""),"",IFERROR(_xlfn.CONCAT(VLOOKUP(AI42,Route_Column!#REF!,2,FALSE),CHAR(34)," probability=",CHAR(34),1/AI$4,CHAR(34),CHAR(47),CHAR(62)),"&lt;/routeDistribution&gt;"))</f>
        <v/>
      </c>
    </row>
    <row r="6534" spans="1:5" x14ac:dyDescent="0.25">
      <c r="A6534" t="s">
        <v>1769</v>
      </c>
      <c r="B6534" t="s">
        <v>1131</v>
      </c>
      <c r="E6534" t="str">
        <f>IF(OR(E6533="&lt;/routeDistribution&gt;",E6533=""),"",IFERROR(_xlfn.CONCAT(VLOOKUP(AI43,Route_Column!#REF!,2,FALSE),CHAR(34)," probability=",CHAR(34),1/AI$4,CHAR(34),CHAR(47),CHAR(62)),"&lt;/routeDistribution&gt;"))</f>
        <v/>
      </c>
    </row>
    <row r="6535" spans="1:5" x14ac:dyDescent="0.25">
      <c r="A6535" t="s">
        <v>1769</v>
      </c>
      <c r="B6535" t="s">
        <v>1134</v>
      </c>
      <c r="E6535" t="str">
        <f>IF(OR(E6534="&lt;/routeDistribution&gt;",E6534=""),"",IFERROR(_xlfn.CONCAT(VLOOKUP(AI44,Route_Column!#REF!,2,FALSE),CHAR(34)," probability=",CHAR(34),1/AI$4,CHAR(34),CHAR(47),CHAR(62)),"&lt;/routeDistribution&gt;"))</f>
        <v/>
      </c>
    </row>
    <row r="6536" spans="1:5" x14ac:dyDescent="0.25">
      <c r="A6536" t="s">
        <v>1769</v>
      </c>
      <c r="B6536" t="s">
        <v>1138</v>
      </c>
      <c r="E6536" t="str">
        <f>IF(OR(E6535="&lt;/routeDistribution&gt;",E6535=""),"",IFERROR(_xlfn.CONCAT(VLOOKUP(AI45,Route_Column!#REF!,2,FALSE),CHAR(34)," probability=",CHAR(34),1/AI$4,CHAR(34),CHAR(47),CHAR(62)),"&lt;/routeDistribution&gt;"))</f>
        <v/>
      </c>
    </row>
    <row r="6537" spans="1:5" x14ac:dyDescent="0.25">
      <c r="A6537" t="s">
        <v>1769</v>
      </c>
      <c r="B6537" t="s">
        <v>1145</v>
      </c>
      <c r="E6537" t="str">
        <f>IF(OR(E6536="&lt;/routeDistribution&gt;",E6536=""),"",IFERROR(_xlfn.CONCAT(VLOOKUP(AI46,Route_Column!#REF!,2,FALSE),CHAR(34)," probability=",CHAR(34),1/AI$4,CHAR(34),CHAR(47),CHAR(62)),"&lt;/routeDistribution&gt;"))</f>
        <v/>
      </c>
    </row>
    <row r="6538" spans="1:5" x14ac:dyDescent="0.25">
      <c r="A6538" t="s">
        <v>1769</v>
      </c>
      <c r="B6538" t="s">
        <v>1154</v>
      </c>
      <c r="E6538" t="str">
        <f>IF(OR(E6537="&lt;/routeDistribution&gt;",E6537=""),"",IFERROR(_xlfn.CONCAT(VLOOKUP(AI47,Route_Column!#REF!,2,FALSE),CHAR(34)," probability=",CHAR(34),1/AI$4,CHAR(34),CHAR(47),CHAR(62)),"&lt;/routeDistribution&gt;"))</f>
        <v/>
      </c>
    </row>
    <row r="6539" spans="1:5" x14ac:dyDescent="0.25">
      <c r="A6539" t="s">
        <v>1769</v>
      </c>
      <c r="B6539" t="s">
        <v>1180</v>
      </c>
      <c r="E6539" t="str">
        <f>IF(OR(E6538="&lt;/routeDistribution&gt;",E6538=""),"",IFERROR(_xlfn.CONCAT(VLOOKUP(AI48,Route_Column!#REF!,2,FALSE),CHAR(34)," probability=",CHAR(34),1/AI$4,CHAR(34),CHAR(47),CHAR(62)),"&lt;/routeDistribution&gt;"))</f>
        <v/>
      </c>
    </row>
    <row r="6540" spans="1:5" x14ac:dyDescent="0.25">
      <c r="A6540" t="s">
        <v>1769</v>
      </c>
      <c r="B6540" t="s">
        <v>1181</v>
      </c>
      <c r="E6540" t="str">
        <f>IF(OR(E6539="&lt;/routeDistribution&gt;",E6539=""),"",IFERROR(_xlfn.CONCAT(VLOOKUP(AI49,Route_Column!#REF!,2,FALSE),CHAR(34)," probability=",CHAR(34),1/AI$4,CHAR(34),CHAR(47),CHAR(62)),"&lt;/routeDistribution&gt;"))</f>
        <v/>
      </c>
    </row>
    <row r="6541" spans="1:5" x14ac:dyDescent="0.25">
      <c r="A6541" t="s">
        <v>1769</v>
      </c>
      <c r="B6541" t="s">
        <v>1201</v>
      </c>
      <c r="E6541" t="str">
        <f>IF(OR(E6540="&lt;/routeDistribution&gt;",E6540=""),"",IFERROR(_xlfn.CONCAT(VLOOKUP(AI50,Route_Column!#REF!,2,FALSE),CHAR(34)," probability=",CHAR(34),1/AI$4,CHAR(34),CHAR(47),CHAR(62)),"&lt;/routeDistribution&gt;"))</f>
        <v/>
      </c>
    </row>
    <row r="6542" spans="1:5" x14ac:dyDescent="0.25">
      <c r="A6542" t="s">
        <v>1769</v>
      </c>
      <c r="B6542" t="s">
        <v>1206</v>
      </c>
      <c r="E6542" t="str">
        <f>IF(OR(E6541="&lt;/routeDistribution&gt;",E6541=""),"",IFERROR(_xlfn.CONCAT(VLOOKUP(AI51,Route_Column!#REF!,2,FALSE),CHAR(34)," probability=",CHAR(34),1/AI$4,CHAR(34),CHAR(47),CHAR(62)),"&lt;/routeDistribution&gt;"))</f>
        <v/>
      </c>
    </row>
    <row r="6543" spans="1:5" x14ac:dyDescent="0.25">
      <c r="A6543" t="s">
        <v>1770</v>
      </c>
      <c r="B6543" t="s">
        <v>1102</v>
      </c>
      <c r="E6543" t="str">
        <f>IF(OR(E6542="&lt;/routeDistribution&gt;",E6542=""),"",IFERROR(_xlfn.CONCAT(VLOOKUP(AI52,Route_Column!#REF!,2,FALSE),CHAR(34)," probability=",CHAR(34),1/AI$4,CHAR(34),CHAR(47),CHAR(62)),"&lt;/routeDistribution&gt;"))</f>
        <v/>
      </c>
    </row>
    <row r="6544" spans="1:5" x14ac:dyDescent="0.25">
      <c r="A6544" t="s">
        <v>1770</v>
      </c>
      <c r="B6544" t="s">
        <v>1110</v>
      </c>
      <c r="E6544" t="str">
        <f>IF(OR(E6543="&lt;/routeDistribution&gt;",E6543=""),"",IFERROR(_xlfn.CONCAT(VLOOKUP(AI53,Route_Column!#REF!,2,FALSE),CHAR(34)," probability=",CHAR(34),1/AI$4,CHAR(34),CHAR(47),CHAR(62)),"&lt;/routeDistribution&gt;"))</f>
        <v/>
      </c>
    </row>
    <row r="6545" spans="1:5" x14ac:dyDescent="0.25">
      <c r="A6545" t="s">
        <v>1770</v>
      </c>
      <c r="B6545" t="s">
        <v>1112</v>
      </c>
      <c r="E6545" t="str">
        <f>IF(OR(E6544="&lt;/routeDistribution&gt;",E6544=""),"",IFERROR(_xlfn.CONCAT(VLOOKUP(AI54,Route_Column!#REF!,2,FALSE),CHAR(34)," probability=",CHAR(34),1/AI$4,CHAR(34),CHAR(47),CHAR(62)),"&lt;/routeDistribution&gt;"))</f>
        <v/>
      </c>
    </row>
    <row r="6546" spans="1:5" x14ac:dyDescent="0.25">
      <c r="A6546" t="s">
        <v>1770</v>
      </c>
      <c r="B6546" t="s">
        <v>1130</v>
      </c>
      <c r="E6546" t="str">
        <f>IF(OR(E6545="&lt;/routeDistribution&gt;",E6545=""),"",IFERROR(_xlfn.CONCAT(VLOOKUP(AI55,Route_Column!#REF!,2,FALSE),CHAR(34)," probability=",CHAR(34),1/AI$4,CHAR(34),CHAR(47),CHAR(62)),"&lt;/routeDistribution&gt;"))</f>
        <v/>
      </c>
    </row>
    <row r="6547" spans="1:5" x14ac:dyDescent="0.25">
      <c r="A6547" t="s">
        <v>1770</v>
      </c>
      <c r="B6547" t="s">
        <v>1131</v>
      </c>
      <c r="E6547" t="str">
        <f>IF(OR(E6546="&lt;/routeDistribution&gt;",E6546=""),"",IFERROR(_xlfn.CONCAT(VLOOKUP(AI56,Route_Column!#REF!,2,FALSE),CHAR(34)," probability=",CHAR(34),1/AI$4,CHAR(34),CHAR(47),CHAR(62)),"&lt;/routeDistribution&gt;"))</f>
        <v/>
      </c>
    </row>
    <row r="6548" spans="1:5" x14ac:dyDescent="0.25">
      <c r="A6548" t="s">
        <v>1770</v>
      </c>
      <c r="B6548" t="s">
        <v>1134</v>
      </c>
      <c r="E6548" t="str">
        <f>IF(OR(E6547="&lt;/routeDistribution&gt;",E6547=""),"",IFERROR(_xlfn.CONCAT(VLOOKUP(AI57,Route_Column!#REF!,2,FALSE),CHAR(34)," probability=",CHAR(34),1/AI$4,CHAR(34),CHAR(47),CHAR(62)),"&lt;/routeDistribution&gt;"))</f>
        <v/>
      </c>
    </row>
    <row r="6549" spans="1:5" x14ac:dyDescent="0.25">
      <c r="A6549" t="s">
        <v>1770</v>
      </c>
      <c r="B6549" t="s">
        <v>1138</v>
      </c>
      <c r="E6549" t="str">
        <f>IF(OR(E6548="&lt;/routeDistribution&gt;",E6548=""),"",IFERROR(_xlfn.CONCAT(VLOOKUP(AI58,Route_Column!#REF!,2,FALSE),CHAR(34)," probability=",CHAR(34),1/AI$4,CHAR(34),CHAR(47),CHAR(62)),"&lt;/routeDistribution&gt;"))</f>
        <v/>
      </c>
    </row>
    <row r="6550" spans="1:5" x14ac:dyDescent="0.25">
      <c r="A6550" t="s">
        <v>1770</v>
      </c>
      <c r="B6550" t="s">
        <v>1145</v>
      </c>
      <c r="E6550" t="str">
        <f>IF(OR(E6549="&lt;/routeDistribution&gt;",E6549=""),"",IFERROR(_xlfn.CONCAT(VLOOKUP(AI59,Route_Column!#REF!,2,FALSE),CHAR(34)," probability=",CHAR(34),1/AI$4,CHAR(34),CHAR(47),CHAR(62)),"&lt;/routeDistribution&gt;"))</f>
        <v/>
      </c>
    </row>
    <row r="6551" spans="1:5" x14ac:dyDescent="0.25">
      <c r="A6551" t="s">
        <v>1770</v>
      </c>
      <c r="B6551" t="s">
        <v>1154</v>
      </c>
      <c r="E6551" t="str">
        <f>IF(OR(E6550="&lt;/routeDistribution&gt;",E6550=""),"",IFERROR(_xlfn.CONCAT(VLOOKUP(AI60,Route_Column!#REF!,2,FALSE),CHAR(34)," probability=",CHAR(34),1/AI$4,CHAR(34),CHAR(47),CHAR(62)),"&lt;/routeDistribution&gt;"))</f>
        <v/>
      </c>
    </row>
    <row r="6552" spans="1:5" x14ac:dyDescent="0.25">
      <c r="A6552" t="s">
        <v>1770</v>
      </c>
      <c r="B6552" t="s">
        <v>1180</v>
      </c>
      <c r="E6552" t="str">
        <f>IF(OR(E6551="&lt;/routeDistribution&gt;",E6551=""),"",IFERROR(_xlfn.CONCAT(VLOOKUP(AI61,Route_Column!#REF!,2,FALSE),CHAR(34)," probability=",CHAR(34),1/AI$4,CHAR(34),CHAR(47),CHAR(62)),"&lt;/routeDistribution&gt;"))</f>
        <v/>
      </c>
    </row>
    <row r="6553" spans="1:5" x14ac:dyDescent="0.25">
      <c r="A6553" t="s">
        <v>1770</v>
      </c>
      <c r="B6553" t="s">
        <v>1181</v>
      </c>
      <c r="E6553" t="str">
        <f>IF(OR(E6552="&lt;/routeDistribution&gt;",E6552=""),"",IFERROR(_xlfn.CONCAT(VLOOKUP(AI62,Route_Column!#REF!,2,FALSE),CHAR(34)," probability=",CHAR(34),1/AI$4,CHAR(34),CHAR(47),CHAR(62)),"&lt;/routeDistribution&gt;"))</f>
        <v/>
      </c>
    </row>
    <row r="6554" spans="1:5" x14ac:dyDescent="0.25">
      <c r="A6554" t="s">
        <v>1770</v>
      </c>
      <c r="B6554" t="s">
        <v>1201</v>
      </c>
      <c r="E6554" t="str">
        <f>IF(OR(E6553="&lt;/routeDistribution&gt;",E6553=""),"",IFERROR(_xlfn.CONCAT(VLOOKUP(AI63,Route_Column!#REF!,2,FALSE),CHAR(34)," probability=",CHAR(34),1/AI$4,CHAR(34),CHAR(47),CHAR(62)),"&lt;/routeDistribution&gt;"))</f>
        <v/>
      </c>
    </row>
    <row r="6555" spans="1:5" x14ac:dyDescent="0.25">
      <c r="A6555" t="s">
        <v>1770</v>
      </c>
      <c r="B6555" t="s">
        <v>1206</v>
      </c>
      <c r="E6555" t="s">
        <v>2686</v>
      </c>
    </row>
    <row r="6556" spans="1:5" x14ac:dyDescent="0.25">
      <c r="A6556" t="s">
        <v>2307</v>
      </c>
      <c r="B6556" t="s">
        <v>1211</v>
      </c>
    </row>
    <row r="6557" spans="1:5" x14ac:dyDescent="0.25">
      <c r="A6557" t="s">
        <v>2307</v>
      </c>
      <c r="B6557" t="s">
        <v>1246</v>
      </c>
    </row>
    <row r="6558" spans="1:5" x14ac:dyDescent="0.25">
      <c r="A6558" t="s">
        <v>2307</v>
      </c>
      <c r="B6558" t="s">
        <v>1247</v>
      </c>
      <c r="E6558" t="str">
        <f>_xlfn.CONCAT($E$1,AH$2,$F$1)</f>
        <v>&lt;routeDistribution id="MARKET-38th-to-34th-EB-2015-RouteProbe"&gt;</v>
      </c>
    </row>
    <row r="6559" spans="1:5" x14ac:dyDescent="0.25">
      <c r="A6559" t="s">
        <v>2307</v>
      </c>
      <c r="B6559" t="s">
        <v>1248</v>
      </c>
      <c r="E6559" t="str">
        <f>IF(OR(E6558="&lt;/routeDistribution&gt;",E6558=""),"",IFERROR(_xlfn.CONCAT(VLOOKUP(AH5,Route_Column!#REF!,2,FALSE),CHAR(34)," probability=",CHAR(34),1/AH$4,CHAR(34),CHAR(47),CHAR(62)),"&lt;/routeDistribution&gt;"))</f>
        <v>&lt;/routeDistribution&gt;</v>
      </c>
    </row>
    <row r="6560" spans="1:5" x14ac:dyDescent="0.25">
      <c r="A6560" t="s">
        <v>2307</v>
      </c>
      <c r="B6560" t="s">
        <v>1249</v>
      </c>
      <c r="E6560" t="str">
        <f>IF(OR(E6559="&lt;/routeDistribution&gt;",E6559=""),"",IFERROR(_xlfn.CONCAT(VLOOKUP(AH6,Route_Column!#REF!,2,FALSE),CHAR(34)," probability=",CHAR(34),1/AH$4,CHAR(34),CHAR(47),CHAR(62)),"&lt;/routeDistribution&gt;"))</f>
        <v/>
      </c>
    </row>
    <row r="6561" spans="1:5" x14ac:dyDescent="0.25">
      <c r="A6561" t="s">
        <v>2308</v>
      </c>
      <c r="B6561" t="s">
        <v>1211</v>
      </c>
      <c r="E6561" t="str">
        <f>IF(OR(E6560="&lt;/routeDistribution&gt;",E6560=""),"",IFERROR(_xlfn.CONCAT(VLOOKUP(AH7,Route_Column!#REF!,2,FALSE),CHAR(34)," probability=",CHAR(34),1/AH$4,CHAR(34),CHAR(47),CHAR(62)),"&lt;/routeDistribution&gt;"))</f>
        <v/>
      </c>
    </row>
    <row r="6562" spans="1:5" x14ac:dyDescent="0.25">
      <c r="A6562" t="s">
        <v>2308</v>
      </c>
      <c r="B6562" t="s">
        <v>1246</v>
      </c>
      <c r="E6562" t="str">
        <f>IF(OR(E6561="&lt;/routeDistribution&gt;",E6561=""),"",IFERROR(_xlfn.CONCAT(VLOOKUP(AH8,Route_Column!#REF!,2,FALSE),CHAR(34)," probability=",CHAR(34),1/AH$4,CHAR(34),CHAR(47),CHAR(62)),"&lt;/routeDistribution&gt;"))</f>
        <v/>
      </c>
    </row>
    <row r="6563" spans="1:5" x14ac:dyDescent="0.25">
      <c r="A6563" t="s">
        <v>2308</v>
      </c>
      <c r="B6563" t="s">
        <v>1247</v>
      </c>
      <c r="E6563" t="str">
        <f>IF(OR(E6562="&lt;/routeDistribution&gt;",E6562=""),"",IFERROR(_xlfn.CONCAT(VLOOKUP(AH9,Route_Column!#REF!,2,FALSE),CHAR(34)," probability=",CHAR(34),1/AH$4,CHAR(34),CHAR(47),CHAR(62)),"&lt;/routeDistribution&gt;"))</f>
        <v/>
      </c>
    </row>
    <row r="6564" spans="1:5" x14ac:dyDescent="0.25">
      <c r="A6564" t="s">
        <v>2308</v>
      </c>
      <c r="B6564" t="s">
        <v>1248</v>
      </c>
      <c r="E6564" t="str">
        <f>IF(OR(E6563="&lt;/routeDistribution&gt;",E6563=""),"",IFERROR(_xlfn.CONCAT(VLOOKUP(AH10,Route_Column!#REF!,2,FALSE),CHAR(34)," probability=",CHAR(34),1/AH$4,CHAR(34),CHAR(47),CHAR(62)),"&lt;/routeDistribution&gt;"))</f>
        <v/>
      </c>
    </row>
    <row r="6565" spans="1:5" x14ac:dyDescent="0.25">
      <c r="A6565" t="s">
        <v>2308</v>
      </c>
      <c r="B6565" t="s">
        <v>1249</v>
      </c>
      <c r="E6565" t="str">
        <f>IF(OR(E6564="&lt;/routeDistribution&gt;",E6564=""),"",IFERROR(_xlfn.CONCAT(VLOOKUP(AH11,Route_Column!#REF!,2,FALSE),CHAR(34)," probability=",CHAR(34),1/AH$4,CHAR(34),CHAR(47),CHAR(62)),"&lt;/routeDistribution&gt;"))</f>
        <v/>
      </c>
    </row>
    <row r="6566" spans="1:5" x14ac:dyDescent="0.25">
      <c r="A6566" t="s">
        <v>1843</v>
      </c>
      <c r="B6566" t="s">
        <v>1111</v>
      </c>
      <c r="E6566" t="str">
        <f>IF(OR(E6565="&lt;/routeDistribution&gt;",E6565=""),"",IFERROR(_xlfn.CONCAT(VLOOKUP(AH12,Route_Column!#REF!,2,FALSE),CHAR(34)," probability=",CHAR(34),1/AH$4,CHAR(34),CHAR(47),CHAR(62)),"&lt;/routeDistribution&gt;"))</f>
        <v/>
      </c>
    </row>
    <row r="6567" spans="1:5" x14ac:dyDescent="0.25">
      <c r="A6567" t="s">
        <v>1843</v>
      </c>
      <c r="B6567" t="s">
        <v>1112</v>
      </c>
      <c r="E6567" t="str">
        <f>IF(OR(E6566="&lt;/routeDistribution&gt;",E6566=""),"",IFERROR(_xlfn.CONCAT(VLOOKUP(AH13,Route_Column!#REF!,2,FALSE),CHAR(34)," probability=",CHAR(34),1/AH$4,CHAR(34),CHAR(47),CHAR(62)),"&lt;/routeDistribution&gt;"))</f>
        <v/>
      </c>
    </row>
    <row r="6568" spans="1:5" x14ac:dyDescent="0.25">
      <c r="A6568" t="s">
        <v>1843</v>
      </c>
      <c r="B6568" t="s">
        <v>1113</v>
      </c>
      <c r="E6568" t="str">
        <f>IF(OR(E6567="&lt;/routeDistribution&gt;",E6567=""),"",IFERROR(_xlfn.CONCAT(VLOOKUP(AH14,Route_Column!#REF!,2,FALSE),CHAR(34)," probability=",CHAR(34),1/AH$4,CHAR(34),CHAR(47),CHAR(62)),"&lt;/routeDistribution&gt;"))</f>
        <v/>
      </c>
    </row>
    <row r="6569" spans="1:5" x14ac:dyDescent="0.25">
      <c r="A6569" t="s">
        <v>1843</v>
      </c>
      <c r="B6569" t="s">
        <v>1114</v>
      </c>
      <c r="E6569" t="str">
        <f>IF(OR(E6568="&lt;/routeDistribution&gt;",E6568=""),"",IFERROR(_xlfn.CONCAT(VLOOKUP(AH15,Route_Column!#REF!,2,FALSE),CHAR(34)," probability=",CHAR(34),1/AH$4,CHAR(34),CHAR(47),CHAR(62)),"&lt;/routeDistribution&gt;"))</f>
        <v/>
      </c>
    </row>
    <row r="6570" spans="1:5" x14ac:dyDescent="0.25">
      <c r="A6570" t="s">
        <v>1843</v>
      </c>
      <c r="B6570" t="s">
        <v>1115</v>
      </c>
      <c r="E6570" t="str">
        <f>IF(OR(E6569="&lt;/routeDistribution&gt;",E6569=""),"",IFERROR(_xlfn.CONCAT(VLOOKUP(AH16,Route_Column!#REF!,2,FALSE),CHAR(34)," probability=",CHAR(34),1/AH$4,CHAR(34),CHAR(47),CHAR(62)),"&lt;/routeDistribution&gt;"))</f>
        <v/>
      </c>
    </row>
    <row r="6571" spans="1:5" x14ac:dyDescent="0.25">
      <c r="A6571" t="s">
        <v>1556</v>
      </c>
      <c r="B6571" t="s">
        <v>1092</v>
      </c>
      <c r="E6571" t="str">
        <f>IF(OR(E6570="&lt;/routeDistribution&gt;",E6570=""),"",IFERROR(_xlfn.CONCAT(VLOOKUP(AH17,Route_Column!#REF!,2,FALSE),CHAR(34)," probability=",CHAR(34),1/AH$4,CHAR(34),CHAR(47),CHAR(62)),"&lt;/routeDistribution&gt;"))</f>
        <v/>
      </c>
    </row>
    <row r="6572" spans="1:5" x14ac:dyDescent="0.25">
      <c r="A6572" t="s">
        <v>1556</v>
      </c>
      <c r="B6572" t="s">
        <v>1093</v>
      </c>
      <c r="E6572" t="str">
        <f>IF(OR(E6571="&lt;/routeDistribution&gt;",E6571=""),"",IFERROR(_xlfn.CONCAT(VLOOKUP(AH18,Route_Column!#REF!,2,FALSE),CHAR(34)," probability=",CHAR(34),1/AH$4,CHAR(34),CHAR(47),CHAR(62)),"&lt;/routeDistribution&gt;"))</f>
        <v/>
      </c>
    </row>
    <row r="6573" spans="1:5" x14ac:dyDescent="0.25">
      <c r="A6573" t="s">
        <v>1556</v>
      </c>
      <c r="B6573" t="s">
        <v>1094</v>
      </c>
      <c r="E6573" t="str">
        <f>IF(OR(E6572="&lt;/routeDistribution&gt;",E6572=""),"",IFERROR(_xlfn.CONCAT(VLOOKUP(AH19,Route_Column!#REF!,2,FALSE),CHAR(34)," probability=",CHAR(34),1/AH$4,CHAR(34),CHAR(47),CHAR(62)),"&lt;/routeDistribution&gt;"))</f>
        <v/>
      </c>
    </row>
    <row r="6574" spans="1:5" x14ac:dyDescent="0.25">
      <c r="A6574" t="s">
        <v>1556</v>
      </c>
      <c r="B6574" t="s">
        <v>1095</v>
      </c>
      <c r="E6574" t="str">
        <f>IF(OR(E6573="&lt;/routeDistribution&gt;",E6573=""),"",IFERROR(_xlfn.CONCAT(VLOOKUP(AH20,Route_Column!#REF!,2,FALSE),CHAR(34)," probability=",CHAR(34),1/AH$4,CHAR(34),CHAR(47),CHAR(62)),"&lt;/routeDistribution&gt;"))</f>
        <v/>
      </c>
    </row>
    <row r="6575" spans="1:5" x14ac:dyDescent="0.25">
      <c r="A6575" t="s">
        <v>1556</v>
      </c>
      <c r="B6575" t="s">
        <v>1160</v>
      </c>
      <c r="E6575" t="str">
        <f>IF(OR(E6574="&lt;/routeDistribution&gt;",E6574=""),"",IFERROR(_xlfn.CONCAT(VLOOKUP(AH21,Route_Column!#REF!,2,FALSE),CHAR(34)," probability=",CHAR(34),1/AH$4,CHAR(34),CHAR(47),CHAR(62)),"&lt;/routeDistribution&gt;"))</f>
        <v/>
      </c>
    </row>
    <row r="6576" spans="1:5" x14ac:dyDescent="0.25">
      <c r="A6576" t="s">
        <v>1556</v>
      </c>
      <c r="B6576" t="s">
        <v>1166</v>
      </c>
      <c r="E6576" t="str">
        <f>IF(OR(E6575="&lt;/routeDistribution&gt;",E6575=""),"",IFERROR(_xlfn.CONCAT(VLOOKUP(AH22,Route_Column!#REF!,2,FALSE),CHAR(34)," probability=",CHAR(34),1/AH$4,CHAR(34),CHAR(47),CHAR(62)),"&lt;/routeDistribution&gt;"))</f>
        <v/>
      </c>
    </row>
    <row r="6577" spans="1:5" x14ac:dyDescent="0.25">
      <c r="A6577" t="s">
        <v>1556</v>
      </c>
      <c r="B6577" t="s">
        <v>1167</v>
      </c>
      <c r="E6577" t="str">
        <f>IF(OR(E6576="&lt;/routeDistribution&gt;",E6576=""),"",IFERROR(_xlfn.CONCAT(VLOOKUP(AH23,Route_Column!#REF!,2,FALSE),CHAR(34)," probability=",CHAR(34),1/AH$4,CHAR(34),CHAR(47),CHAR(62)),"&lt;/routeDistribution&gt;"))</f>
        <v/>
      </c>
    </row>
    <row r="6578" spans="1:5" x14ac:dyDescent="0.25">
      <c r="A6578" t="s">
        <v>1556</v>
      </c>
      <c r="B6578" t="s">
        <v>1168</v>
      </c>
      <c r="E6578" t="str">
        <f>IF(OR(E6577="&lt;/routeDistribution&gt;",E6577=""),"",IFERROR(_xlfn.CONCAT(VLOOKUP(AH24,Route_Column!#REF!,2,FALSE),CHAR(34)," probability=",CHAR(34),1/AH$4,CHAR(34),CHAR(47),CHAR(62)),"&lt;/routeDistribution&gt;"))</f>
        <v/>
      </c>
    </row>
    <row r="6579" spans="1:5" x14ac:dyDescent="0.25">
      <c r="A6579" t="s">
        <v>1556</v>
      </c>
      <c r="B6579" t="s">
        <v>1186</v>
      </c>
      <c r="E6579" t="str">
        <f>IF(OR(E6578="&lt;/routeDistribution&gt;",E6578=""),"",IFERROR(_xlfn.CONCAT(VLOOKUP(AH25,Route_Column!#REF!,2,FALSE),CHAR(34)," probability=",CHAR(34),1/AH$4,CHAR(34),CHAR(47),CHAR(62)),"&lt;/routeDistribution&gt;"))</f>
        <v/>
      </c>
    </row>
    <row r="6580" spans="1:5" x14ac:dyDescent="0.25">
      <c r="A6580" t="s">
        <v>1556</v>
      </c>
      <c r="B6580" t="s">
        <v>1189</v>
      </c>
      <c r="E6580" t="str">
        <f>IF(OR(E6579="&lt;/routeDistribution&gt;",E6579=""),"",IFERROR(_xlfn.CONCAT(VLOOKUP(AH26,Route_Column!#REF!,2,FALSE),CHAR(34)," probability=",CHAR(34),1/AH$4,CHAR(34),CHAR(47),CHAR(62)),"&lt;/routeDistribution&gt;"))</f>
        <v/>
      </c>
    </row>
    <row r="6581" spans="1:5" x14ac:dyDescent="0.25">
      <c r="A6581" t="s">
        <v>1775</v>
      </c>
      <c r="B6581" t="s">
        <v>1102</v>
      </c>
      <c r="E6581" t="str">
        <f>IF(OR(E6580="&lt;/routeDistribution&gt;",E6580=""),"",IFERROR(_xlfn.CONCAT(VLOOKUP(AH27,Route_Column!#REF!,2,FALSE),CHAR(34)," probability=",CHAR(34),1/AH$4,CHAR(34),CHAR(47),CHAR(62)),"&lt;/routeDistribution&gt;"))</f>
        <v/>
      </c>
    </row>
    <row r="6582" spans="1:5" x14ac:dyDescent="0.25">
      <c r="A6582" t="s">
        <v>1775</v>
      </c>
      <c r="B6582" t="s">
        <v>1110</v>
      </c>
      <c r="E6582" t="str">
        <f>IF(OR(E6581="&lt;/routeDistribution&gt;",E6581=""),"",IFERROR(_xlfn.CONCAT(VLOOKUP(AH28,Route_Column!#REF!,2,FALSE),CHAR(34)," probability=",CHAR(34),1/AH$4,CHAR(34),CHAR(47),CHAR(62)),"&lt;/routeDistribution&gt;"))</f>
        <v/>
      </c>
    </row>
    <row r="6583" spans="1:5" x14ac:dyDescent="0.25">
      <c r="A6583" t="s">
        <v>1775</v>
      </c>
      <c r="B6583" t="s">
        <v>1112</v>
      </c>
      <c r="E6583" t="str">
        <f>IF(OR(E6582="&lt;/routeDistribution&gt;",E6582=""),"",IFERROR(_xlfn.CONCAT(VLOOKUP(AH29,Route_Column!#REF!,2,FALSE),CHAR(34)," probability=",CHAR(34),1/AH$4,CHAR(34),CHAR(47),CHAR(62)),"&lt;/routeDistribution&gt;"))</f>
        <v/>
      </c>
    </row>
    <row r="6584" spans="1:5" x14ac:dyDescent="0.25">
      <c r="A6584" t="s">
        <v>1775</v>
      </c>
      <c r="B6584" t="s">
        <v>1130</v>
      </c>
      <c r="E6584" t="str">
        <f>IF(OR(E6583="&lt;/routeDistribution&gt;",E6583=""),"",IFERROR(_xlfn.CONCAT(VLOOKUP(AH30,Route_Column!#REF!,2,FALSE),CHAR(34)," probability=",CHAR(34),1/AH$4,CHAR(34),CHAR(47),CHAR(62)),"&lt;/routeDistribution&gt;"))</f>
        <v/>
      </c>
    </row>
    <row r="6585" spans="1:5" x14ac:dyDescent="0.25">
      <c r="A6585" t="s">
        <v>1775</v>
      </c>
      <c r="B6585" t="s">
        <v>1131</v>
      </c>
      <c r="E6585" t="str">
        <f>IF(OR(E6584="&lt;/routeDistribution&gt;",E6584=""),"",IFERROR(_xlfn.CONCAT(VLOOKUP(AH31,Route_Column!#REF!,2,FALSE),CHAR(34)," probability=",CHAR(34),1/AH$4,CHAR(34),CHAR(47),CHAR(62)),"&lt;/routeDistribution&gt;"))</f>
        <v/>
      </c>
    </row>
    <row r="6586" spans="1:5" x14ac:dyDescent="0.25">
      <c r="A6586" t="s">
        <v>1775</v>
      </c>
      <c r="B6586" t="s">
        <v>1134</v>
      </c>
      <c r="E6586" t="str">
        <f>IF(OR(E6585="&lt;/routeDistribution&gt;",E6585=""),"",IFERROR(_xlfn.CONCAT(VLOOKUP(AH32,Route_Column!#REF!,2,FALSE),CHAR(34)," probability=",CHAR(34),1/AH$4,CHAR(34),CHAR(47),CHAR(62)),"&lt;/routeDistribution&gt;"))</f>
        <v/>
      </c>
    </row>
    <row r="6587" spans="1:5" x14ac:dyDescent="0.25">
      <c r="A6587" t="s">
        <v>1775</v>
      </c>
      <c r="B6587" t="s">
        <v>1138</v>
      </c>
      <c r="E6587" t="str">
        <f>IF(OR(E6586="&lt;/routeDistribution&gt;",E6586=""),"",IFERROR(_xlfn.CONCAT(VLOOKUP(AH33,Route_Column!#REF!,2,FALSE),CHAR(34)," probability=",CHAR(34),1/AH$4,CHAR(34),CHAR(47),CHAR(62)),"&lt;/routeDistribution&gt;"))</f>
        <v/>
      </c>
    </row>
    <row r="6588" spans="1:5" x14ac:dyDescent="0.25">
      <c r="A6588" t="s">
        <v>1775</v>
      </c>
      <c r="B6588" t="s">
        <v>1145</v>
      </c>
      <c r="E6588" t="str">
        <f>IF(OR(E6587="&lt;/routeDistribution&gt;",E6587=""),"",IFERROR(_xlfn.CONCAT(VLOOKUP(AH34,Route_Column!#REF!,2,FALSE),CHAR(34)," probability=",CHAR(34),1/AH$4,CHAR(34),CHAR(47),CHAR(62)),"&lt;/routeDistribution&gt;"))</f>
        <v/>
      </c>
    </row>
    <row r="6589" spans="1:5" x14ac:dyDescent="0.25">
      <c r="A6589" t="s">
        <v>1775</v>
      </c>
      <c r="B6589" t="s">
        <v>1154</v>
      </c>
      <c r="E6589" t="str">
        <f>IF(OR(E6588="&lt;/routeDistribution&gt;",E6588=""),"",IFERROR(_xlfn.CONCAT(VLOOKUP(AH35,Route_Column!#REF!,2,FALSE),CHAR(34)," probability=",CHAR(34),1/AH$4,CHAR(34),CHAR(47),CHAR(62)),"&lt;/routeDistribution&gt;"))</f>
        <v/>
      </c>
    </row>
    <row r="6590" spans="1:5" x14ac:dyDescent="0.25">
      <c r="A6590" t="s">
        <v>1775</v>
      </c>
      <c r="B6590" t="s">
        <v>1180</v>
      </c>
      <c r="E6590" t="str">
        <f>IF(OR(E6589="&lt;/routeDistribution&gt;",E6589=""),"",IFERROR(_xlfn.CONCAT(VLOOKUP(AH36,Route_Column!#REF!,2,FALSE),CHAR(34)," probability=",CHAR(34),1/AH$4,CHAR(34),CHAR(47),CHAR(62)),"&lt;/routeDistribution&gt;"))</f>
        <v/>
      </c>
    </row>
    <row r="6591" spans="1:5" x14ac:dyDescent="0.25">
      <c r="A6591" t="s">
        <v>1775</v>
      </c>
      <c r="B6591" t="s">
        <v>1181</v>
      </c>
      <c r="E6591" t="str">
        <f>IF(OR(E6590="&lt;/routeDistribution&gt;",E6590=""),"",IFERROR(_xlfn.CONCAT(VLOOKUP(AH37,Route_Column!#REF!,2,FALSE),CHAR(34)," probability=",CHAR(34),1/AH$4,CHAR(34),CHAR(47),CHAR(62)),"&lt;/routeDistribution&gt;"))</f>
        <v/>
      </c>
    </row>
    <row r="6592" spans="1:5" x14ac:dyDescent="0.25">
      <c r="A6592" t="s">
        <v>1775</v>
      </c>
      <c r="B6592" t="s">
        <v>1201</v>
      </c>
      <c r="E6592" t="str">
        <f>IF(OR(E6591="&lt;/routeDistribution&gt;",E6591=""),"",IFERROR(_xlfn.CONCAT(VLOOKUP(AH38,Route_Column!#REF!,2,FALSE),CHAR(34)," probability=",CHAR(34),1/AH$4,CHAR(34),CHAR(47),CHAR(62)),"&lt;/routeDistribution&gt;"))</f>
        <v/>
      </c>
    </row>
    <row r="6593" spans="1:5" x14ac:dyDescent="0.25">
      <c r="A6593" t="s">
        <v>1775</v>
      </c>
      <c r="B6593" t="s">
        <v>1206</v>
      </c>
      <c r="E6593" t="str">
        <f>IF(OR(E6592="&lt;/routeDistribution&gt;",E6592=""),"",IFERROR(_xlfn.CONCAT(VLOOKUP(AH39,Route_Column!#REF!,2,FALSE),CHAR(34)," probability=",CHAR(34),1/AH$4,CHAR(34),CHAR(47),CHAR(62)),"&lt;/routeDistribution&gt;"))</f>
        <v/>
      </c>
    </row>
    <row r="6594" spans="1:5" x14ac:dyDescent="0.25">
      <c r="A6594" t="s">
        <v>1555</v>
      </c>
      <c r="B6594" t="s">
        <v>1092</v>
      </c>
      <c r="E6594" t="str">
        <f>IF(OR(E6593="&lt;/routeDistribution&gt;",E6593=""),"",IFERROR(_xlfn.CONCAT(VLOOKUP(AH40,Route_Column!#REF!,2,FALSE),CHAR(34)," probability=",CHAR(34),1/AH$4,CHAR(34),CHAR(47),CHAR(62)),"&lt;/routeDistribution&gt;"))</f>
        <v/>
      </c>
    </row>
    <row r="6595" spans="1:5" x14ac:dyDescent="0.25">
      <c r="A6595" t="s">
        <v>1555</v>
      </c>
      <c r="B6595" t="s">
        <v>1093</v>
      </c>
      <c r="E6595" t="str">
        <f>IF(OR(E6594="&lt;/routeDistribution&gt;",E6594=""),"",IFERROR(_xlfn.CONCAT(VLOOKUP(AH41,Route_Column!#REF!,2,FALSE),CHAR(34)," probability=",CHAR(34),1/AH$4,CHAR(34),CHAR(47),CHAR(62)),"&lt;/routeDistribution&gt;"))</f>
        <v/>
      </c>
    </row>
    <row r="6596" spans="1:5" x14ac:dyDescent="0.25">
      <c r="A6596" t="s">
        <v>1555</v>
      </c>
      <c r="B6596" t="s">
        <v>1094</v>
      </c>
      <c r="E6596" t="str">
        <f>IF(OR(E6595="&lt;/routeDistribution&gt;",E6595=""),"",IFERROR(_xlfn.CONCAT(VLOOKUP(AH42,Route_Column!#REF!,2,FALSE),CHAR(34)," probability=",CHAR(34),1/AH$4,CHAR(34),CHAR(47),CHAR(62)),"&lt;/routeDistribution&gt;"))</f>
        <v/>
      </c>
    </row>
    <row r="6597" spans="1:5" x14ac:dyDescent="0.25">
      <c r="A6597" t="s">
        <v>1555</v>
      </c>
      <c r="B6597" t="s">
        <v>1095</v>
      </c>
      <c r="E6597" t="str">
        <f>IF(OR(E6596="&lt;/routeDistribution&gt;",E6596=""),"",IFERROR(_xlfn.CONCAT(VLOOKUP(AH43,Route_Column!#REF!,2,FALSE),CHAR(34)," probability=",CHAR(34),1/AH$4,CHAR(34),CHAR(47),CHAR(62)),"&lt;/routeDistribution&gt;"))</f>
        <v/>
      </c>
    </row>
    <row r="6598" spans="1:5" x14ac:dyDescent="0.25">
      <c r="A6598" t="s">
        <v>1555</v>
      </c>
      <c r="B6598" t="s">
        <v>1096</v>
      </c>
      <c r="E6598" t="str">
        <f>IF(OR(E6597="&lt;/routeDistribution&gt;",E6597=""),"",IFERROR(_xlfn.CONCAT(VLOOKUP(AH44,Route_Column!#REF!,2,FALSE),CHAR(34)," probability=",CHAR(34),1/AH$4,CHAR(34),CHAR(47),CHAR(62)),"&lt;/routeDistribution&gt;"))</f>
        <v/>
      </c>
    </row>
    <row r="6599" spans="1:5" x14ac:dyDescent="0.25">
      <c r="A6599" t="s">
        <v>1555</v>
      </c>
      <c r="B6599" t="s">
        <v>1097</v>
      </c>
      <c r="E6599" t="str">
        <f>IF(OR(E6598="&lt;/routeDistribution&gt;",E6598=""),"",IFERROR(_xlfn.CONCAT(VLOOKUP(AH45,Route_Column!#REF!,2,FALSE),CHAR(34)," probability=",CHAR(34),1/AH$4,CHAR(34),CHAR(47),CHAR(62)),"&lt;/routeDistribution&gt;"))</f>
        <v/>
      </c>
    </row>
    <row r="6600" spans="1:5" x14ac:dyDescent="0.25">
      <c r="A6600" t="s">
        <v>1555</v>
      </c>
      <c r="B6600" t="s">
        <v>1098</v>
      </c>
      <c r="E6600" t="str">
        <f>IF(OR(E6599="&lt;/routeDistribution&gt;",E6599=""),"",IFERROR(_xlfn.CONCAT(VLOOKUP(AH46,Route_Column!#REF!,2,FALSE),CHAR(34)," probability=",CHAR(34),1/AH$4,CHAR(34),CHAR(47),CHAR(62)),"&lt;/routeDistribution&gt;"))</f>
        <v/>
      </c>
    </row>
    <row r="6601" spans="1:5" x14ac:dyDescent="0.25">
      <c r="A6601" t="s">
        <v>1555</v>
      </c>
      <c r="B6601" t="s">
        <v>1099</v>
      </c>
      <c r="E6601" t="str">
        <f>IF(OR(E6600="&lt;/routeDistribution&gt;",E6600=""),"",IFERROR(_xlfn.CONCAT(VLOOKUP(AH47,Route_Column!#REF!,2,FALSE),CHAR(34)," probability=",CHAR(34),1/AH$4,CHAR(34),CHAR(47),CHAR(62)),"&lt;/routeDistribution&gt;"))</f>
        <v/>
      </c>
    </row>
    <row r="6602" spans="1:5" x14ac:dyDescent="0.25">
      <c r="A6602" t="s">
        <v>1555</v>
      </c>
      <c r="B6602" t="s">
        <v>1100</v>
      </c>
      <c r="E6602" t="str">
        <f>IF(OR(E6601="&lt;/routeDistribution&gt;",E6601=""),"",IFERROR(_xlfn.CONCAT(VLOOKUP(AH48,Route_Column!#REF!,2,FALSE),CHAR(34)," probability=",CHAR(34),1/AH$4,CHAR(34),CHAR(47),CHAR(62)),"&lt;/routeDistribution&gt;"))</f>
        <v/>
      </c>
    </row>
    <row r="6603" spans="1:5" x14ac:dyDescent="0.25">
      <c r="A6603" t="s">
        <v>1555</v>
      </c>
      <c r="B6603" t="s">
        <v>1101</v>
      </c>
      <c r="E6603" t="str">
        <f>IF(OR(E6602="&lt;/routeDistribution&gt;",E6602=""),"",IFERROR(_xlfn.CONCAT(VLOOKUP(AH49,Route_Column!#REF!,2,FALSE),CHAR(34)," probability=",CHAR(34),1/AH$4,CHAR(34),CHAR(47),CHAR(62)),"&lt;/routeDistribution&gt;"))</f>
        <v/>
      </c>
    </row>
    <row r="6604" spans="1:5" x14ac:dyDescent="0.25">
      <c r="A6604" t="s">
        <v>1555</v>
      </c>
      <c r="B6604" t="s">
        <v>1102</v>
      </c>
      <c r="E6604" t="str">
        <f>IF(OR(E6603="&lt;/routeDistribution&gt;",E6603=""),"",IFERROR(_xlfn.CONCAT(VLOOKUP(AH50,Route_Column!#REF!,2,FALSE),CHAR(34)," probability=",CHAR(34),1/AH$4,CHAR(34),CHAR(47),CHAR(62)),"&lt;/routeDistribution&gt;"))</f>
        <v/>
      </c>
    </row>
    <row r="6605" spans="1:5" x14ac:dyDescent="0.25">
      <c r="A6605" t="s">
        <v>1555</v>
      </c>
      <c r="B6605" t="s">
        <v>1103</v>
      </c>
      <c r="E6605" t="str">
        <f>IF(OR(E6604="&lt;/routeDistribution&gt;",E6604=""),"",IFERROR(_xlfn.CONCAT(VLOOKUP(AH51,Route_Column!#REF!,2,FALSE),CHAR(34)," probability=",CHAR(34),1/AH$4,CHAR(34),CHAR(47),CHAR(62)),"&lt;/routeDistribution&gt;"))</f>
        <v/>
      </c>
    </row>
    <row r="6606" spans="1:5" x14ac:dyDescent="0.25">
      <c r="A6606" t="s">
        <v>1555</v>
      </c>
      <c r="B6606" t="s">
        <v>1104</v>
      </c>
      <c r="E6606" t="str">
        <f>IF(OR(E6605="&lt;/routeDistribution&gt;",E6605=""),"",IFERROR(_xlfn.CONCAT(VLOOKUP(AH52,Route_Column!#REF!,2,FALSE),CHAR(34)," probability=",CHAR(34),1/AH$4,CHAR(34),CHAR(47),CHAR(62)),"&lt;/routeDistribution&gt;"))</f>
        <v/>
      </c>
    </row>
    <row r="6607" spans="1:5" x14ac:dyDescent="0.25">
      <c r="A6607" t="s">
        <v>1555</v>
      </c>
      <c r="B6607" t="s">
        <v>1105</v>
      </c>
      <c r="E6607" t="str">
        <f>IF(OR(E6606="&lt;/routeDistribution&gt;",E6606=""),"",IFERROR(_xlfn.CONCAT(VLOOKUP(AH53,Route_Column!#REF!,2,FALSE),CHAR(34)," probability=",CHAR(34),1/AH$4,CHAR(34),CHAR(47),CHAR(62)),"&lt;/routeDistribution&gt;"))</f>
        <v/>
      </c>
    </row>
    <row r="6608" spans="1:5" x14ac:dyDescent="0.25">
      <c r="A6608" t="s">
        <v>1555</v>
      </c>
      <c r="B6608" t="s">
        <v>1106</v>
      </c>
      <c r="E6608" t="str">
        <f>IF(OR(E6607="&lt;/routeDistribution&gt;",E6607=""),"",IFERROR(_xlfn.CONCAT(VLOOKUP(AH54,Route_Column!#REF!,2,FALSE),CHAR(34)," probability=",CHAR(34),1/AH$4,CHAR(34),CHAR(47),CHAR(62)),"&lt;/routeDistribution&gt;"))</f>
        <v/>
      </c>
    </row>
    <row r="6609" spans="1:5" x14ac:dyDescent="0.25">
      <c r="A6609" t="s">
        <v>1555</v>
      </c>
      <c r="B6609" t="s">
        <v>1107</v>
      </c>
      <c r="E6609" t="str">
        <f>IF(OR(E6608="&lt;/routeDistribution&gt;",E6608=""),"",IFERROR(_xlfn.CONCAT(VLOOKUP(AH55,Route_Column!#REF!,2,FALSE),CHAR(34)," probability=",CHAR(34),1/AH$4,CHAR(34),CHAR(47),CHAR(62)),"&lt;/routeDistribution&gt;"))</f>
        <v/>
      </c>
    </row>
    <row r="6610" spans="1:5" x14ac:dyDescent="0.25">
      <c r="A6610" t="s">
        <v>1555</v>
      </c>
      <c r="B6610" t="s">
        <v>1160</v>
      </c>
      <c r="E6610" t="str">
        <f>IF(OR(E6609="&lt;/routeDistribution&gt;",E6609=""),"",IFERROR(_xlfn.CONCAT(VLOOKUP(AH56,Route_Column!#REF!,2,FALSE),CHAR(34)," probability=",CHAR(34),1/AH$4,CHAR(34),CHAR(47),CHAR(62)),"&lt;/routeDistribution&gt;"))</f>
        <v/>
      </c>
    </row>
    <row r="6611" spans="1:5" x14ac:dyDescent="0.25">
      <c r="A6611" t="s">
        <v>1555</v>
      </c>
      <c r="B6611" t="s">
        <v>1161</v>
      </c>
      <c r="E6611" t="str">
        <f>IF(OR(E6610="&lt;/routeDistribution&gt;",E6610=""),"",IFERROR(_xlfn.CONCAT(VLOOKUP(AH57,Route_Column!#REF!,2,FALSE),CHAR(34)," probability=",CHAR(34),1/AH$4,CHAR(34),CHAR(47),CHAR(62)),"&lt;/routeDistribution&gt;"))</f>
        <v/>
      </c>
    </row>
    <row r="6612" spans="1:5" x14ac:dyDescent="0.25">
      <c r="A6612" t="s">
        <v>1555</v>
      </c>
      <c r="B6612" t="s">
        <v>1162</v>
      </c>
      <c r="E6612" t="str">
        <f>IF(OR(E6611="&lt;/routeDistribution&gt;",E6611=""),"",IFERROR(_xlfn.CONCAT(VLOOKUP(AH58,Route_Column!#REF!,2,FALSE),CHAR(34)," probability=",CHAR(34),1/AH$4,CHAR(34),CHAR(47),CHAR(62)),"&lt;/routeDistribution&gt;"))</f>
        <v/>
      </c>
    </row>
    <row r="6613" spans="1:5" x14ac:dyDescent="0.25">
      <c r="A6613" t="s">
        <v>1555</v>
      </c>
      <c r="B6613" t="s">
        <v>1163</v>
      </c>
      <c r="E6613" t="str">
        <f>IF(OR(E6612="&lt;/routeDistribution&gt;",E6612=""),"",IFERROR(_xlfn.CONCAT(VLOOKUP(AH59,Route_Column!#REF!,2,FALSE),CHAR(34)," probability=",CHAR(34),1/AH$4,CHAR(34),CHAR(47),CHAR(62)),"&lt;/routeDistribution&gt;"))</f>
        <v/>
      </c>
    </row>
    <row r="6614" spans="1:5" x14ac:dyDescent="0.25">
      <c r="A6614" t="s">
        <v>1555</v>
      </c>
      <c r="B6614" t="s">
        <v>1164</v>
      </c>
      <c r="E6614" t="str">
        <f>IF(OR(E6613="&lt;/routeDistribution&gt;",E6613=""),"",IFERROR(_xlfn.CONCAT(VLOOKUP(AH60,Route_Column!#REF!,2,FALSE),CHAR(34)," probability=",CHAR(34),1/AH$4,CHAR(34),CHAR(47),CHAR(62)),"&lt;/routeDistribution&gt;"))</f>
        <v/>
      </c>
    </row>
    <row r="6615" spans="1:5" x14ac:dyDescent="0.25">
      <c r="A6615" t="s">
        <v>1555</v>
      </c>
      <c r="B6615" t="s">
        <v>1166</v>
      </c>
      <c r="E6615" t="str">
        <f>IF(OR(E6614="&lt;/routeDistribution&gt;",E6614=""),"",IFERROR(_xlfn.CONCAT(VLOOKUP(AH61,Route_Column!#REF!,2,FALSE),CHAR(34)," probability=",CHAR(34),1/AH$4,CHAR(34),CHAR(47),CHAR(62)),"&lt;/routeDistribution&gt;"))</f>
        <v/>
      </c>
    </row>
    <row r="6616" spans="1:5" x14ac:dyDescent="0.25">
      <c r="A6616" t="s">
        <v>1555</v>
      </c>
      <c r="B6616" t="s">
        <v>1167</v>
      </c>
      <c r="E6616" t="str">
        <f>IF(OR(E6615="&lt;/routeDistribution&gt;",E6615=""),"",IFERROR(_xlfn.CONCAT(VLOOKUP(AH62,Route_Column!#REF!,2,FALSE),CHAR(34)," probability=",CHAR(34),1/AH$4,CHAR(34),CHAR(47),CHAR(62)),"&lt;/routeDistribution&gt;"))</f>
        <v/>
      </c>
    </row>
    <row r="6617" spans="1:5" x14ac:dyDescent="0.25">
      <c r="A6617" t="s">
        <v>1555</v>
      </c>
      <c r="B6617" t="s">
        <v>1168</v>
      </c>
      <c r="E6617" t="str">
        <f>IF(OR(E6616="&lt;/routeDistribution&gt;",E6616=""),"",IFERROR(_xlfn.CONCAT(VLOOKUP(AH63,Route_Column!#REF!,2,FALSE),CHAR(34)," probability=",CHAR(34),1/AH$4,CHAR(34),CHAR(47),CHAR(62)),"&lt;/routeDistribution&gt;"))</f>
        <v/>
      </c>
    </row>
    <row r="6618" spans="1:5" x14ac:dyDescent="0.25">
      <c r="A6618" t="s">
        <v>1555</v>
      </c>
      <c r="B6618" t="s">
        <v>1186</v>
      </c>
      <c r="E6618" t="s">
        <v>2686</v>
      </c>
    </row>
    <row r="6619" spans="1:5" x14ac:dyDescent="0.25">
      <c r="A6619" t="s">
        <v>1555</v>
      </c>
      <c r="B6619" t="s">
        <v>1189</v>
      </c>
    </row>
    <row r="6620" spans="1:5" x14ac:dyDescent="0.25">
      <c r="A6620" t="s">
        <v>1555</v>
      </c>
      <c r="B6620" t="s">
        <v>1191</v>
      </c>
    </row>
    <row r="6621" spans="1:5" x14ac:dyDescent="0.25">
      <c r="A6621" s="11" t="s">
        <v>1513</v>
      </c>
      <c r="B6621" t="s">
        <v>1091</v>
      </c>
      <c r="E6621" t="str">
        <f>_xlfn.CONCAT($E$1,AG$2,$F$1)</f>
        <v>&lt;routeDistribution id="MARKET-34th-to-38th-WB-2015-RouteProbe"&gt;</v>
      </c>
    </row>
    <row r="6622" spans="1:5" x14ac:dyDescent="0.25">
      <c r="A6622" t="s">
        <v>1513</v>
      </c>
      <c r="B6622" t="s">
        <v>1092</v>
      </c>
      <c r="E6622" t="str">
        <f>IF(OR(E6621="&lt;/routeDistribution&gt;",E6621=""),"",IFERROR(_xlfn.CONCAT(VLOOKUP(AG5,Route_Column!#REF!,2,FALSE),CHAR(34)," probability=",CHAR(34),1/AG$4,CHAR(34),CHAR(47),CHAR(62)),"&lt;/routeDistribution&gt;"))</f>
        <v>&lt;/routeDistribution&gt;</v>
      </c>
    </row>
    <row r="6623" spans="1:5" x14ac:dyDescent="0.25">
      <c r="A6623" t="s">
        <v>1513</v>
      </c>
      <c r="B6623" t="s">
        <v>1093</v>
      </c>
      <c r="E6623" t="str">
        <f>IF(OR(E6622="&lt;/routeDistribution&gt;",E6622=""),"",IFERROR(_xlfn.CONCAT(VLOOKUP(AG6,Route_Column!#REF!,2,FALSE),CHAR(34)," probability=",CHAR(34),1/AG$4,CHAR(34),CHAR(47),CHAR(62)),"&lt;/routeDistribution&gt;"))</f>
        <v/>
      </c>
    </row>
    <row r="6624" spans="1:5" x14ac:dyDescent="0.25">
      <c r="A6624" t="s">
        <v>1513</v>
      </c>
      <c r="B6624" t="s">
        <v>1094</v>
      </c>
      <c r="E6624" t="str">
        <f>IF(OR(E6623="&lt;/routeDistribution&gt;",E6623=""),"",IFERROR(_xlfn.CONCAT(VLOOKUP(AG7,Route_Column!#REF!,2,FALSE),CHAR(34)," probability=",CHAR(34),1/AG$4,CHAR(34),CHAR(47),CHAR(62)),"&lt;/routeDistribution&gt;"))</f>
        <v/>
      </c>
    </row>
    <row r="6625" spans="1:5" x14ac:dyDescent="0.25">
      <c r="A6625" t="s">
        <v>1513</v>
      </c>
      <c r="B6625" t="s">
        <v>1095</v>
      </c>
      <c r="E6625" t="str">
        <f>IF(OR(E6624="&lt;/routeDistribution&gt;",E6624=""),"",IFERROR(_xlfn.CONCAT(VLOOKUP(AG8,Route_Column!#REF!,2,FALSE),CHAR(34)," probability=",CHAR(34),1/AG$4,CHAR(34),CHAR(47),CHAR(62)),"&lt;/routeDistribution&gt;"))</f>
        <v/>
      </c>
    </row>
    <row r="6626" spans="1:5" x14ac:dyDescent="0.25">
      <c r="A6626" t="s">
        <v>1513</v>
      </c>
      <c r="B6626" t="s">
        <v>1160</v>
      </c>
      <c r="E6626" t="str">
        <f>IF(OR(E6625="&lt;/routeDistribution&gt;",E6625=""),"",IFERROR(_xlfn.CONCAT(VLOOKUP(AG9,Route_Column!#REF!,2,FALSE),CHAR(34)," probability=",CHAR(34),1/AG$4,CHAR(34),CHAR(47),CHAR(62)),"&lt;/routeDistribution&gt;"))</f>
        <v/>
      </c>
    </row>
    <row r="6627" spans="1:5" x14ac:dyDescent="0.25">
      <c r="A6627" t="s">
        <v>1513</v>
      </c>
      <c r="B6627" t="s">
        <v>1194</v>
      </c>
      <c r="E6627" t="str">
        <f>IF(OR(E6626="&lt;/routeDistribution&gt;",E6626=""),"",IFERROR(_xlfn.CONCAT(VLOOKUP(AG10,Route_Column!#REF!,2,FALSE),CHAR(34)," probability=",CHAR(34),1/AG$4,CHAR(34),CHAR(47),CHAR(62)),"&lt;/routeDistribution&gt;"))</f>
        <v/>
      </c>
    </row>
    <row r="6628" spans="1:5" x14ac:dyDescent="0.25">
      <c r="A6628" t="s">
        <v>1666</v>
      </c>
      <c r="B6628" t="s">
        <v>1099</v>
      </c>
      <c r="E6628" t="str">
        <f>IF(OR(E6627="&lt;/routeDistribution&gt;",E6627=""),"",IFERROR(_xlfn.CONCAT(VLOOKUP(AG11,Route_Column!#REF!,2,FALSE),CHAR(34)," probability=",CHAR(34),1/AG$4,CHAR(34),CHAR(47),CHAR(62)),"&lt;/routeDistribution&gt;"))</f>
        <v/>
      </c>
    </row>
    <row r="6629" spans="1:5" x14ac:dyDescent="0.25">
      <c r="A6629" t="s">
        <v>1666</v>
      </c>
      <c r="B6629" t="s">
        <v>1100</v>
      </c>
      <c r="E6629" t="str">
        <f>IF(OR(E6628="&lt;/routeDistribution&gt;",E6628=""),"",IFERROR(_xlfn.CONCAT(VLOOKUP(AG12,Route_Column!#REF!,2,FALSE),CHAR(34)," probability=",CHAR(34),1/AG$4,CHAR(34),CHAR(47),CHAR(62)),"&lt;/routeDistribution&gt;"))</f>
        <v/>
      </c>
    </row>
    <row r="6630" spans="1:5" x14ac:dyDescent="0.25">
      <c r="A6630" t="s">
        <v>1666</v>
      </c>
      <c r="B6630" t="s">
        <v>1101</v>
      </c>
      <c r="E6630" t="str">
        <f>IF(OR(E6629="&lt;/routeDistribution&gt;",E6629=""),"",IFERROR(_xlfn.CONCAT(VLOOKUP(AG13,Route_Column!#REF!,2,FALSE),CHAR(34)," probability=",CHAR(34),1/AG$4,CHAR(34),CHAR(47),CHAR(62)),"&lt;/routeDistribution&gt;"))</f>
        <v/>
      </c>
    </row>
    <row r="6631" spans="1:5" x14ac:dyDescent="0.25">
      <c r="A6631" t="s">
        <v>1666</v>
      </c>
      <c r="B6631" t="s">
        <v>1102</v>
      </c>
      <c r="E6631" t="str">
        <f>IF(OR(E6630="&lt;/routeDistribution&gt;",E6630=""),"",IFERROR(_xlfn.CONCAT(VLOOKUP(AG14,Route_Column!#REF!,2,FALSE),CHAR(34)," probability=",CHAR(34),1/AG$4,CHAR(34),CHAR(47),CHAR(62)),"&lt;/routeDistribution&gt;"))</f>
        <v/>
      </c>
    </row>
    <row r="6632" spans="1:5" x14ac:dyDescent="0.25">
      <c r="A6632" t="s">
        <v>1666</v>
      </c>
      <c r="B6632" t="s">
        <v>1103</v>
      </c>
      <c r="E6632" t="str">
        <f>IF(OR(E6631="&lt;/routeDistribution&gt;",E6631=""),"",IFERROR(_xlfn.CONCAT(VLOOKUP(AG15,Route_Column!#REF!,2,FALSE),CHAR(34)," probability=",CHAR(34),1/AG$4,CHAR(34),CHAR(47),CHAR(62)),"&lt;/routeDistribution&gt;"))</f>
        <v/>
      </c>
    </row>
    <row r="6633" spans="1:5" x14ac:dyDescent="0.25">
      <c r="A6633" t="s">
        <v>1666</v>
      </c>
      <c r="B6633" t="s">
        <v>1104</v>
      </c>
      <c r="E6633" t="str">
        <f>IF(OR(E6632="&lt;/routeDistribution&gt;",E6632=""),"",IFERROR(_xlfn.CONCAT(VLOOKUP(AG16,Route_Column!#REF!,2,FALSE),CHAR(34)," probability=",CHAR(34),1/AG$4,CHAR(34),CHAR(47),CHAR(62)),"&lt;/routeDistribution&gt;"))</f>
        <v/>
      </c>
    </row>
    <row r="6634" spans="1:5" x14ac:dyDescent="0.25">
      <c r="A6634" t="s">
        <v>1666</v>
      </c>
      <c r="B6634" t="s">
        <v>1105</v>
      </c>
      <c r="E6634" t="str">
        <f>IF(OR(E6633="&lt;/routeDistribution&gt;",E6633=""),"",IFERROR(_xlfn.CONCAT(VLOOKUP(AG17,Route_Column!#REF!,2,FALSE),CHAR(34)," probability=",CHAR(34),1/AG$4,CHAR(34),CHAR(47),CHAR(62)),"&lt;/routeDistribution&gt;"))</f>
        <v/>
      </c>
    </row>
    <row r="6635" spans="1:5" x14ac:dyDescent="0.25">
      <c r="A6635" t="s">
        <v>1666</v>
      </c>
      <c r="B6635" t="s">
        <v>1106</v>
      </c>
      <c r="E6635" t="str">
        <f>IF(OR(E6634="&lt;/routeDistribution&gt;",E6634=""),"",IFERROR(_xlfn.CONCAT(VLOOKUP(AG18,Route_Column!#REF!,2,FALSE),CHAR(34)," probability=",CHAR(34),1/AG$4,CHAR(34),CHAR(47),CHAR(62)),"&lt;/routeDistribution&gt;"))</f>
        <v/>
      </c>
    </row>
    <row r="6636" spans="1:5" x14ac:dyDescent="0.25">
      <c r="A6636" t="s">
        <v>1666</v>
      </c>
      <c r="B6636" t="s">
        <v>1164</v>
      </c>
      <c r="E6636" t="str">
        <f>IF(OR(E6635="&lt;/routeDistribution&gt;",E6635=""),"",IFERROR(_xlfn.CONCAT(VLOOKUP(AG19,Route_Column!#REF!,2,FALSE),CHAR(34)," probability=",CHAR(34),1/AG$4,CHAR(34),CHAR(47),CHAR(62)),"&lt;/routeDistribution&gt;"))</f>
        <v/>
      </c>
    </row>
    <row r="6637" spans="1:5" x14ac:dyDescent="0.25">
      <c r="A6637" t="s">
        <v>1666</v>
      </c>
      <c r="B6637" t="s">
        <v>1196</v>
      </c>
      <c r="E6637" t="str">
        <f>IF(OR(E6636="&lt;/routeDistribution&gt;",E6636=""),"",IFERROR(_xlfn.CONCAT(VLOOKUP(AG20,Route_Column!#REF!,2,FALSE),CHAR(34)," probability=",CHAR(34),1/AG$4,CHAR(34),CHAR(47),CHAR(62)),"&lt;/routeDistribution&gt;"))</f>
        <v/>
      </c>
    </row>
    <row r="6638" spans="1:5" x14ac:dyDescent="0.25">
      <c r="A6638" s="11" t="s">
        <v>1504</v>
      </c>
      <c r="B6638" t="s">
        <v>1091</v>
      </c>
      <c r="E6638" t="str">
        <f>IF(OR(E6637="&lt;/routeDistribution&gt;",E6637=""),"",IFERROR(_xlfn.CONCAT(VLOOKUP(AG21,Route_Column!#REF!,2,FALSE),CHAR(34)," probability=",CHAR(34),1/AG$4,CHAR(34),CHAR(47),CHAR(62)),"&lt;/routeDistribution&gt;"))</f>
        <v/>
      </c>
    </row>
    <row r="6639" spans="1:5" x14ac:dyDescent="0.25">
      <c r="A6639" t="s">
        <v>1504</v>
      </c>
      <c r="B6639" t="s">
        <v>1092</v>
      </c>
      <c r="E6639" t="str">
        <f>IF(OR(E6638="&lt;/routeDistribution&gt;",E6638=""),"",IFERROR(_xlfn.CONCAT(VLOOKUP(AG22,Route_Column!#REF!,2,FALSE),CHAR(34)," probability=",CHAR(34),1/AG$4,CHAR(34),CHAR(47),CHAR(62)),"&lt;/routeDistribution&gt;"))</f>
        <v/>
      </c>
    </row>
    <row r="6640" spans="1:5" x14ac:dyDescent="0.25">
      <c r="A6640" t="s">
        <v>1504</v>
      </c>
      <c r="B6640" t="s">
        <v>1093</v>
      </c>
      <c r="E6640" t="str">
        <f>IF(OR(E6639="&lt;/routeDistribution&gt;",E6639=""),"",IFERROR(_xlfn.CONCAT(VLOOKUP(AG23,Route_Column!#REF!,2,FALSE),CHAR(34)," probability=",CHAR(34),1/AG$4,CHAR(34),CHAR(47),CHAR(62)),"&lt;/routeDistribution&gt;"))</f>
        <v/>
      </c>
    </row>
    <row r="6641" spans="1:5" x14ac:dyDescent="0.25">
      <c r="A6641" t="s">
        <v>1504</v>
      </c>
      <c r="B6641" t="s">
        <v>1094</v>
      </c>
      <c r="E6641" t="str">
        <f>IF(OR(E6640="&lt;/routeDistribution&gt;",E6640=""),"",IFERROR(_xlfn.CONCAT(VLOOKUP(AG24,Route_Column!#REF!,2,FALSE),CHAR(34)," probability=",CHAR(34),1/AG$4,CHAR(34),CHAR(47),CHAR(62)),"&lt;/routeDistribution&gt;"))</f>
        <v/>
      </c>
    </row>
    <row r="6642" spans="1:5" x14ac:dyDescent="0.25">
      <c r="A6642" t="s">
        <v>1504</v>
      </c>
      <c r="B6642" t="s">
        <v>1095</v>
      </c>
      <c r="E6642" t="str">
        <f>IF(OR(E6641="&lt;/routeDistribution&gt;",E6641=""),"",IFERROR(_xlfn.CONCAT(VLOOKUP(AG25,Route_Column!#REF!,2,FALSE),CHAR(34)," probability=",CHAR(34),1/AG$4,CHAR(34),CHAR(47),CHAR(62)),"&lt;/routeDistribution&gt;"))</f>
        <v/>
      </c>
    </row>
    <row r="6643" spans="1:5" x14ac:dyDescent="0.25">
      <c r="A6643" t="s">
        <v>1504</v>
      </c>
      <c r="B6643" t="s">
        <v>1096</v>
      </c>
      <c r="E6643" t="str">
        <f>IF(OR(E6642="&lt;/routeDistribution&gt;",E6642=""),"",IFERROR(_xlfn.CONCAT(VLOOKUP(AG26,Route_Column!#REF!,2,FALSE),CHAR(34)," probability=",CHAR(34),1/AG$4,CHAR(34),CHAR(47),CHAR(62)),"&lt;/routeDistribution&gt;"))</f>
        <v/>
      </c>
    </row>
    <row r="6644" spans="1:5" x14ac:dyDescent="0.25">
      <c r="A6644" t="s">
        <v>1504</v>
      </c>
      <c r="B6644" t="s">
        <v>1097</v>
      </c>
      <c r="E6644" t="str">
        <f>IF(OR(E6643="&lt;/routeDistribution&gt;",E6643=""),"",IFERROR(_xlfn.CONCAT(VLOOKUP(AG27,Route_Column!#REF!,2,FALSE),CHAR(34)," probability=",CHAR(34),1/AG$4,CHAR(34),CHAR(47),CHAR(62)),"&lt;/routeDistribution&gt;"))</f>
        <v/>
      </c>
    </row>
    <row r="6645" spans="1:5" x14ac:dyDescent="0.25">
      <c r="A6645" t="s">
        <v>1504</v>
      </c>
      <c r="B6645" t="s">
        <v>1098</v>
      </c>
      <c r="E6645" t="str">
        <f>IF(OR(E6644="&lt;/routeDistribution&gt;",E6644=""),"",IFERROR(_xlfn.CONCAT(VLOOKUP(AG28,Route_Column!#REF!,2,FALSE),CHAR(34)," probability=",CHAR(34),1/AG$4,CHAR(34),CHAR(47),CHAR(62)),"&lt;/routeDistribution&gt;"))</f>
        <v/>
      </c>
    </row>
    <row r="6646" spans="1:5" x14ac:dyDescent="0.25">
      <c r="A6646" t="s">
        <v>1504</v>
      </c>
      <c r="B6646" t="s">
        <v>1099</v>
      </c>
      <c r="E6646" t="str">
        <f>IF(OR(E6645="&lt;/routeDistribution&gt;",E6645=""),"",IFERROR(_xlfn.CONCAT(VLOOKUP(AG29,Route_Column!#REF!,2,FALSE),CHAR(34)," probability=",CHAR(34),1/AG$4,CHAR(34),CHAR(47),CHAR(62)),"&lt;/routeDistribution&gt;"))</f>
        <v/>
      </c>
    </row>
    <row r="6647" spans="1:5" x14ac:dyDescent="0.25">
      <c r="A6647" t="s">
        <v>1504</v>
      </c>
      <c r="B6647" t="s">
        <v>1100</v>
      </c>
      <c r="E6647" t="str">
        <f>IF(OR(E6646="&lt;/routeDistribution&gt;",E6646=""),"",IFERROR(_xlfn.CONCAT(VLOOKUP(AG30,Route_Column!#REF!,2,FALSE),CHAR(34)," probability=",CHAR(34),1/AG$4,CHAR(34),CHAR(47),CHAR(62)),"&lt;/routeDistribution&gt;"))</f>
        <v/>
      </c>
    </row>
    <row r="6648" spans="1:5" x14ac:dyDescent="0.25">
      <c r="A6648" t="s">
        <v>1504</v>
      </c>
      <c r="B6648" t="s">
        <v>1101</v>
      </c>
      <c r="E6648" t="str">
        <f>IF(OR(E6647="&lt;/routeDistribution&gt;",E6647=""),"",IFERROR(_xlfn.CONCAT(VLOOKUP(AG31,Route_Column!#REF!,2,FALSE),CHAR(34)," probability=",CHAR(34),1/AG$4,CHAR(34),CHAR(47),CHAR(62)),"&lt;/routeDistribution&gt;"))</f>
        <v/>
      </c>
    </row>
    <row r="6649" spans="1:5" x14ac:dyDescent="0.25">
      <c r="A6649" t="s">
        <v>1504</v>
      </c>
      <c r="B6649" t="s">
        <v>1102</v>
      </c>
      <c r="E6649" t="str">
        <f>IF(OR(E6648="&lt;/routeDistribution&gt;",E6648=""),"",IFERROR(_xlfn.CONCAT(VLOOKUP(AG32,Route_Column!#REF!,2,FALSE),CHAR(34)," probability=",CHAR(34),1/AG$4,CHAR(34),CHAR(47),CHAR(62)),"&lt;/routeDistribution&gt;"))</f>
        <v/>
      </c>
    </row>
    <row r="6650" spans="1:5" x14ac:dyDescent="0.25">
      <c r="A6650" t="s">
        <v>1504</v>
      </c>
      <c r="B6650" t="s">
        <v>1103</v>
      </c>
      <c r="E6650" t="str">
        <f>IF(OR(E6649="&lt;/routeDistribution&gt;",E6649=""),"",IFERROR(_xlfn.CONCAT(VLOOKUP(AG33,Route_Column!#REF!,2,FALSE),CHAR(34)," probability=",CHAR(34),1/AG$4,CHAR(34),CHAR(47),CHAR(62)),"&lt;/routeDistribution&gt;"))</f>
        <v/>
      </c>
    </row>
    <row r="6651" spans="1:5" x14ac:dyDescent="0.25">
      <c r="A6651" t="s">
        <v>1504</v>
      </c>
      <c r="B6651" t="s">
        <v>1104</v>
      </c>
      <c r="E6651" t="str">
        <f>IF(OR(E6650="&lt;/routeDistribution&gt;",E6650=""),"",IFERROR(_xlfn.CONCAT(VLOOKUP(AG34,Route_Column!#REF!,2,FALSE),CHAR(34)," probability=",CHAR(34),1/AG$4,CHAR(34),CHAR(47),CHAR(62)),"&lt;/routeDistribution&gt;"))</f>
        <v/>
      </c>
    </row>
    <row r="6652" spans="1:5" x14ac:dyDescent="0.25">
      <c r="A6652" t="s">
        <v>1504</v>
      </c>
      <c r="B6652" t="s">
        <v>1105</v>
      </c>
      <c r="E6652" t="str">
        <f>IF(OR(E6651="&lt;/routeDistribution&gt;",E6651=""),"",IFERROR(_xlfn.CONCAT(VLOOKUP(AG35,Route_Column!#REF!,2,FALSE),CHAR(34)," probability=",CHAR(34),1/AG$4,CHAR(34),CHAR(47),CHAR(62)),"&lt;/routeDistribution&gt;"))</f>
        <v/>
      </c>
    </row>
    <row r="6653" spans="1:5" x14ac:dyDescent="0.25">
      <c r="A6653" t="s">
        <v>1504</v>
      </c>
      <c r="B6653" t="s">
        <v>1106</v>
      </c>
      <c r="E6653" t="str">
        <f>IF(OR(E6652="&lt;/routeDistribution&gt;",E6652=""),"",IFERROR(_xlfn.CONCAT(VLOOKUP(AG36,Route_Column!#REF!,2,FALSE),CHAR(34)," probability=",CHAR(34),1/AG$4,CHAR(34),CHAR(47),CHAR(62)),"&lt;/routeDistribution&gt;"))</f>
        <v/>
      </c>
    </row>
    <row r="6654" spans="1:5" x14ac:dyDescent="0.25">
      <c r="A6654" t="s">
        <v>1504</v>
      </c>
      <c r="B6654" t="s">
        <v>1107</v>
      </c>
      <c r="E6654" t="str">
        <f>IF(OR(E6653="&lt;/routeDistribution&gt;",E6653=""),"",IFERROR(_xlfn.CONCAT(VLOOKUP(AG37,Route_Column!#REF!,2,FALSE),CHAR(34)," probability=",CHAR(34),1/AG$4,CHAR(34),CHAR(47),CHAR(62)),"&lt;/routeDistribution&gt;"))</f>
        <v/>
      </c>
    </row>
    <row r="6655" spans="1:5" x14ac:dyDescent="0.25">
      <c r="A6655" t="s">
        <v>1667</v>
      </c>
      <c r="B6655" t="s">
        <v>1099</v>
      </c>
      <c r="E6655" t="str">
        <f>IF(OR(E6654="&lt;/routeDistribution&gt;",E6654=""),"",IFERROR(_xlfn.CONCAT(VLOOKUP(AG38,Route_Column!#REF!,2,FALSE),CHAR(34)," probability=",CHAR(34),1/AG$4,CHAR(34),CHAR(47),CHAR(62)),"&lt;/routeDistribution&gt;"))</f>
        <v/>
      </c>
    </row>
    <row r="6656" spans="1:5" x14ac:dyDescent="0.25">
      <c r="A6656" t="s">
        <v>1667</v>
      </c>
      <c r="B6656" t="s">
        <v>1100</v>
      </c>
      <c r="E6656" t="str">
        <f>IF(OR(E6655="&lt;/routeDistribution&gt;",E6655=""),"",IFERROR(_xlfn.CONCAT(VLOOKUP(AG39,Route_Column!#REF!,2,FALSE),CHAR(34)," probability=",CHAR(34),1/AG$4,CHAR(34),CHAR(47),CHAR(62)),"&lt;/routeDistribution&gt;"))</f>
        <v/>
      </c>
    </row>
    <row r="6657" spans="1:5" x14ac:dyDescent="0.25">
      <c r="A6657" t="s">
        <v>1667</v>
      </c>
      <c r="B6657" t="s">
        <v>1101</v>
      </c>
      <c r="E6657" t="str">
        <f>IF(OR(E6656="&lt;/routeDistribution&gt;",E6656=""),"",IFERROR(_xlfn.CONCAT(VLOOKUP(AG40,Route_Column!#REF!,2,FALSE),CHAR(34)," probability=",CHAR(34),1/AG$4,CHAR(34),CHAR(47),CHAR(62)),"&lt;/routeDistribution&gt;"))</f>
        <v/>
      </c>
    </row>
    <row r="6658" spans="1:5" x14ac:dyDescent="0.25">
      <c r="A6658" t="s">
        <v>1667</v>
      </c>
      <c r="B6658" t="s">
        <v>1102</v>
      </c>
      <c r="E6658" t="str">
        <f>IF(OR(E6657="&lt;/routeDistribution&gt;",E6657=""),"",IFERROR(_xlfn.CONCAT(VLOOKUP(AG41,Route_Column!#REF!,2,FALSE),CHAR(34)," probability=",CHAR(34),1/AG$4,CHAR(34),CHAR(47),CHAR(62)),"&lt;/routeDistribution&gt;"))</f>
        <v/>
      </c>
    </row>
    <row r="6659" spans="1:5" x14ac:dyDescent="0.25">
      <c r="A6659" t="s">
        <v>1667</v>
      </c>
      <c r="B6659" t="s">
        <v>1103</v>
      </c>
      <c r="E6659" t="str">
        <f>IF(OR(E6658="&lt;/routeDistribution&gt;",E6658=""),"",IFERROR(_xlfn.CONCAT(VLOOKUP(AG42,Route_Column!#REF!,2,FALSE),CHAR(34)," probability=",CHAR(34),1/AG$4,CHAR(34),CHAR(47),CHAR(62)),"&lt;/routeDistribution&gt;"))</f>
        <v/>
      </c>
    </row>
    <row r="6660" spans="1:5" x14ac:dyDescent="0.25">
      <c r="A6660" t="s">
        <v>1667</v>
      </c>
      <c r="B6660" t="s">
        <v>1104</v>
      </c>
      <c r="E6660" t="str">
        <f>IF(OR(E6659="&lt;/routeDistribution&gt;",E6659=""),"",IFERROR(_xlfn.CONCAT(VLOOKUP(AG43,Route_Column!#REF!,2,FALSE),CHAR(34)," probability=",CHAR(34),1/AG$4,CHAR(34),CHAR(47),CHAR(62)),"&lt;/routeDistribution&gt;"))</f>
        <v/>
      </c>
    </row>
    <row r="6661" spans="1:5" x14ac:dyDescent="0.25">
      <c r="A6661" t="s">
        <v>1667</v>
      </c>
      <c r="B6661" t="s">
        <v>1105</v>
      </c>
      <c r="E6661" t="str">
        <f>IF(OR(E6660="&lt;/routeDistribution&gt;",E6660=""),"",IFERROR(_xlfn.CONCAT(VLOOKUP(AG44,Route_Column!#REF!,2,FALSE),CHAR(34)," probability=",CHAR(34),1/AG$4,CHAR(34),CHAR(47),CHAR(62)),"&lt;/routeDistribution&gt;"))</f>
        <v/>
      </c>
    </row>
    <row r="6662" spans="1:5" x14ac:dyDescent="0.25">
      <c r="A6662" t="s">
        <v>1667</v>
      </c>
      <c r="B6662" t="s">
        <v>1106</v>
      </c>
      <c r="E6662" t="str">
        <f>IF(OR(E6661="&lt;/routeDistribution&gt;",E6661=""),"",IFERROR(_xlfn.CONCAT(VLOOKUP(AG45,Route_Column!#REF!,2,FALSE),CHAR(34)," probability=",CHAR(34),1/AG$4,CHAR(34),CHAR(47),CHAR(62)),"&lt;/routeDistribution&gt;"))</f>
        <v/>
      </c>
    </row>
    <row r="6663" spans="1:5" x14ac:dyDescent="0.25">
      <c r="A6663" t="s">
        <v>1667</v>
      </c>
      <c r="B6663" t="s">
        <v>1164</v>
      </c>
      <c r="E6663" t="str">
        <f>IF(OR(E6662="&lt;/routeDistribution&gt;",E6662=""),"",IFERROR(_xlfn.CONCAT(VLOOKUP(AG46,Route_Column!#REF!,2,FALSE),CHAR(34)," probability=",CHAR(34),1/AG$4,CHAR(34),CHAR(47),CHAR(62)),"&lt;/routeDistribution&gt;"))</f>
        <v/>
      </c>
    </row>
    <row r="6664" spans="1:5" x14ac:dyDescent="0.25">
      <c r="A6664" t="s">
        <v>1667</v>
      </c>
      <c r="B6664" t="s">
        <v>1196</v>
      </c>
      <c r="E6664" t="str">
        <f>IF(OR(E6663="&lt;/routeDistribution&gt;",E6663=""),"",IFERROR(_xlfn.CONCAT(VLOOKUP(AG47,Route_Column!#REF!,2,FALSE),CHAR(34)," probability=",CHAR(34),1/AG$4,CHAR(34),CHAR(47),CHAR(62)),"&lt;/routeDistribution&gt;"))</f>
        <v/>
      </c>
    </row>
    <row r="6665" spans="1:5" x14ac:dyDescent="0.25">
      <c r="A6665" s="11" t="s">
        <v>1503</v>
      </c>
      <c r="B6665" t="s">
        <v>1091</v>
      </c>
      <c r="E6665" t="str">
        <f>IF(OR(E6664="&lt;/routeDistribution&gt;",E6664=""),"",IFERROR(_xlfn.CONCAT(VLOOKUP(AG48,Route_Column!#REF!,2,FALSE),CHAR(34)," probability=",CHAR(34),1/AG$4,CHAR(34),CHAR(47),CHAR(62)),"&lt;/routeDistribution&gt;"))</f>
        <v/>
      </c>
    </row>
    <row r="6666" spans="1:5" x14ac:dyDescent="0.25">
      <c r="A6666" t="s">
        <v>1503</v>
      </c>
      <c r="B6666" t="s">
        <v>1092</v>
      </c>
      <c r="E6666" t="str">
        <f>IF(OR(E6665="&lt;/routeDistribution&gt;",E6665=""),"",IFERROR(_xlfn.CONCAT(VLOOKUP(AG49,Route_Column!#REF!,2,FALSE),CHAR(34)," probability=",CHAR(34),1/AG$4,CHAR(34),CHAR(47),CHAR(62)),"&lt;/routeDistribution&gt;"))</f>
        <v/>
      </c>
    </row>
    <row r="6667" spans="1:5" x14ac:dyDescent="0.25">
      <c r="A6667" t="s">
        <v>1503</v>
      </c>
      <c r="B6667" t="s">
        <v>1093</v>
      </c>
      <c r="E6667" t="str">
        <f>IF(OR(E6666="&lt;/routeDistribution&gt;",E6666=""),"",IFERROR(_xlfn.CONCAT(VLOOKUP(AG50,Route_Column!#REF!,2,FALSE),CHAR(34)," probability=",CHAR(34),1/AG$4,CHAR(34),CHAR(47),CHAR(62)),"&lt;/routeDistribution&gt;"))</f>
        <v/>
      </c>
    </row>
    <row r="6668" spans="1:5" x14ac:dyDescent="0.25">
      <c r="A6668" t="s">
        <v>1503</v>
      </c>
      <c r="B6668" t="s">
        <v>1094</v>
      </c>
      <c r="E6668" t="str">
        <f>IF(OR(E6667="&lt;/routeDistribution&gt;",E6667=""),"",IFERROR(_xlfn.CONCAT(VLOOKUP(AG51,Route_Column!#REF!,2,FALSE),CHAR(34)," probability=",CHAR(34),1/AG$4,CHAR(34),CHAR(47),CHAR(62)),"&lt;/routeDistribution&gt;"))</f>
        <v/>
      </c>
    </row>
    <row r="6669" spans="1:5" x14ac:dyDescent="0.25">
      <c r="A6669" t="s">
        <v>1503</v>
      </c>
      <c r="B6669" t="s">
        <v>1095</v>
      </c>
      <c r="E6669" t="str">
        <f>IF(OR(E6668="&lt;/routeDistribution&gt;",E6668=""),"",IFERROR(_xlfn.CONCAT(VLOOKUP(AG52,Route_Column!#REF!,2,FALSE),CHAR(34)," probability=",CHAR(34),1/AG$4,CHAR(34),CHAR(47),CHAR(62)),"&lt;/routeDistribution&gt;"))</f>
        <v/>
      </c>
    </row>
    <row r="6670" spans="1:5" x14ac:dyDescent="0.25">
      <c r="A6670" t="s">
        <v>1503</v>
      </c>
      <c r="B6670" t="s">
        <v>1096</v>
      </c>
      <c r="E6670" t="str">
        <f>IF(OR(E6669="&lt;/routeDistribution&gt;",E6669=""),"",IFERROR(_xlfn.CONCAT(VLOOKUP(AG53,Route_Column!#REF!,2,FALSE),CHAR(34)," probability=",CHAR(34),1/AG$4,CHAR(34),CHAR(47),CHAR(62)),"&lt;/routeDistribution&gt;"))</f>
        <v/>
      </c>
    </row>
    <row r="6671" spans="1:5" x14ac:dyDescent="0.25">
      <c r="A6671" t="s">
        <v>1503</v>
      </c>
      <c r="B6671" t="s">
        <v>1097</v>
      </c>
      <c r="E6671" t="str">
        <f>IF(OR(E6670="&lt;/routeDistribution&gt;",E6670=""),"",IFERROR(_xlfn.CONCAT(VLOOKUP(AG54,Route_Column!#REF!,2,FALSE),CHAR(34)," probability=",CHAR(34),1/AG$4,CHAR(34),CHAR(47),CHAR(62)),"&lt;/routeDistribution&gt;"))</f>
        <v/>
      </c>
    </row>
    <row r="6672" spans="1:5" x14ac:dyDescent="0.25">
      <c r="A6672" t="s">
        <v>1503</v>
      </c>
      <c r="B6672" t="s">
        <v>1098</v>
      </c>
      <c r="E6672" t="str">
        <f>IF(OR(E6671="&lt;/routeDistribution&gt;",E6671=""),"",IFERROR(_xlfn.CONCAT(VLOOKUP(AG55,Route_Column!#REF!,2,FALSE),CHAR(34)," probability=",CHAR(34),1/AG$4,CHAR(34),CHAR(47),CHAR(62)),"&lt;/routeDistribution&gt;"))</f>
        <v/>
      </c>
    </row>
    <row r="6673" spans="1:5" x14ac:dyDescent="0.25">
      <c r="A6673" t="s">
        <v>1503</v>
      </c>
      <c r="B6673" t="s">
        <v>1099</v>
      </c>
      <c r="E6673" t="str">
        <f>IF(OR(E6672="&lt;/routeDistribution&gt;",E6672=""),"",IFERROR(_xlfn.CONCAT(VLOOKUP(AG56,Route_Column!#REF!,2,FALSE),CHAR(34)," probability=",CHAR(34),1/AG$4,CHAR(34),CHAR(47),CHAR(62)),"&lt;/routeDistribution&gt;"))</f>
        <v/>
      </c>
    </row>
    <row r="6674" spans="1:5" x14ac:dyDescent="0.25">
      <c r="A6674" t="s">
        <v>1503</v>
      </c>
      <c r="B6674" t="s">
        <v>1100</v>
      </c>
      <c r="E6674" t="str">
        <f>IF(OR(E6673="&lt;/routeDistribution&gt;",E6673=""),"",IFERROR(_xlfn.CONCAT(VLOOKUP(AG57,Route_Column!#REF!,2,FALSE),CHAR(34)," probability=",CHAR(34),1/AG$4,CHAR(34),CHAR(47),CHAR(62)),"&lt;/routeDistribution&gt;"))</f>
        <v/>
      </c>
    </row>
    <row r="6675" spans="1:5" x14ac:dyDescent="0.25">
      <c r="A6675" t="s">
        <v>1503</v>
      </c>
      <c r="B6675" t="s">
        <v>1101</v>
      </c>
      <c r="E6675" t="str">
        <f>IF(OR(E6674="&lt;/routeDistribution&gt;",E6674=""),"",IFERROR(_xlfn.CONCAT(VLOOKUP(AG58,Route_Column!#REF!,2,FALSE),CHAR(34)," probability=",CHAR(34),1/AG$4,CHAR(34),CHAR(47),CHAR(62)),"&lt;/routeDistribution&gt;"))</f>
        <v/>
      </c>
    </row>
    <row r="6676" spans="1:5" x14ac:dyDescent="0.25">
      <c r="A6676" t="s">
        <v>1503</v>
      </c>
      <c r="B6676" t="s">
        <v>1102</v>
      </c>
      <c r="E6676" t="str">
        <f>IF(OR(E6675="&lt;/routeDistribution&gt;",E6675=""),"",IFERROR(_xlfn.CONCAT(VLOOKUP(AG59,Route_Column!#REF!,2,FALSE),CHAR(34)," probability=",CHAR(34),1/AG$4,CHAR(34),CHAR(47),CHAR(62)),"&lt;/routeDistribution&gt;"))</f>
        <v/>
      </c>
    </row>
    <row r="6677" spans="1:5" x14ac:dyDescent="0.25">
      <c r="A6677" t="s">
        <v>1503</v>
      </c>
      <c r="B6677" t="s">
        <v>1103</v>
      </c>
      <c r="E6677" t="str">
        <f>IF(OR(E6676="&lt;/routeDistribution&gt;",E6676=""),"",IFERROR(_xlfn.CONCAT(VLOOKUP(AG60,Route_Column!#REF!,2,FALSE),CHAR(34)," probability=",CHAR(34),1/AG$4,CHAR(34),CHAR(47),CHAR(62)),"&lt;/routeDistribution&gt;"))</f>
        <v/>
      </c>
    </row>
    <row r="6678" spans="1:5" x14ac:dyDescent="0.25">
      <c r="A6678" t="s">
        <v>1503</v>
      </c>
      <c r="B6678" t="s">
        <v>1104</v>
      </c>
      <c r="E6678" t="str">
        <f>IF(OR(E6677="&lt;/routeDistribution&gt;",E6677=""),"",IFERROR(_xlfn.CONCAT(VLOOKUP(AG61,Route_Column!#REF!,2,FALSE),CHAR(34)," probability=",CHAR(34),1/AG$4,CHAR(34),CHAR(47),CHAR(62)),"&lt;/routeDistribution&gt;"))</f>
        <v/>
      </c>
    </row>
    <row r="6679" spans="1:5" x14ac:dyDescent="0.25">
      <c r="A6679" t="s">
        <v>1503</v>
      </c>
      <c r="B6679" t="s">
        <v>1105</v>
      </c>
      <c r="E6679" t="str">
        <f>IF(OR(E6678="&lt;/routeDistribution&gt;",E6678=""),"",IFERROR(_xlfn.CONCAT(VLOOKUP(AG62,Route_Column!#REF!,2,FALSE),CHAR(34)," probability=",CHAR(34),1/AG$4,CHAR(34),CHAR(47),CHAR(62)),"&lt;/routeDistribution&gt;"))</f>
        <v/>
      </c>
    </row>
    <row r="6680" spans="1:5" x14ac:dyDescent="0.25">
      <c r="A6680" t="s">
        <v>1503</v>
      </c>
      <c r="B6680" t="s">
        <v>1106</v>
      </c>
      <c r="E6680" t="str">
        <f>IF(OR(E6679="&lt;/routeDistribution&gt;",E6679=""),"",IFERROR(_xlfn.CONCAT(VLOOKUP(AG63,Route_Column!#REF!,2,FALSE),CHAR(34)," probability=",CHAR(34),1/AG$4,CHAR(34),CHAR(47),CHAR(62)),"&lt;/routeDistribution&gt;"))</f>
        <v/>
      </c>
    </row>
    <row r="6681" spans="1:5" x14ac:dyDescent="0.25">
      <c r="A6681" t="s">
        <v>1503</v>
      </c>
      <c r="B6681" t="s">
        <v>1107</v>
      </c>
      <c r="E6681" t="s">
        <v>2686</v>
      </c>
    </row>
    <row r="6682" spans="1:5" x14ac:dyDescent="0.25">
      <c r="A6682" t="s">
        <v>1668</v>
      </c>
      <c r="B6682" t="s">
        <v>1099</v>
      </c>
    </row>
    <row r="6683" spans="1:5" x14ac:dyDescent="0.25">
      <c r="A6683" t="s">
        <v>1668</v>
      </c>
      <c r="B6683" t="s">
        <v>1100</v>
      </c>
    </row>
    <row r="6684" spans="1:5" x14ac:dyDescent="0.25">
      <c r="A6684" t="s">
        <v>1668</v>
      </c>
      <c r="B6684" t="s">
        <v>1101</v>
      </c>
      <c r="E6684" t="str">
        <f>_xlfn.CONCAT($E$1,AF$2,$F$1)</f>
        <v>&lt;routeDistribution id="MARKET-29th-to-30th-WB-2015-RouteProbe"&gt;</v>
      </c>
    </row>
    <row r="6685" spans="1:5" x14ac:dyDescent="0.25">
      <c r="A6685" t="s">
        <v>1668</v>
      </c>
      <c r="B6685" t="s">
        <v>1102</v>
      </c>
      <c r="E6685" t="str">
        <f>IF(OR(E6684="&lt;/routeDistribution&gt;",E6684=""),"",IFERROR(_xlfn.CONCAT(VLOOKUP(AF5,Route_Column!#REF!,2,FALSE),CHAR(34)," probability=",CHAR(34),1/AF$4,CHAR(34),CHAR(47),CHAR(62)),"&lt;/routeDistribution&gt;"))</f>
        <v>&lt;/routeDistribution&gt;</v>
      </c>
    </row>
    <row r="6686" spans="1:5" x14ac:dyDescent="0.25">
      <c r="A6686" t="s">
        <v>1668</v>
      </c>
      <c r="B6686" t="s">
        <v>1103</v>
      </c>
      <c r="E6686" t="str">
        <f>IF(OR(E6685="&lt;/routeDistribution&gt;",E6685=""),"",IFERROR(_xlfn.CONCAT(VLOOKUP(AF6,Route_Column!#REF!,2,FALSE),CHAR(34)," probability=",CHAR(34),1/AF$4,CHAR(34),CHAR(47),CHAR(62)),"&lt;/routeDistribution&gt;"))</f>
        <v/>
      </c>
    </row>
    <row r="6687" spans="1:5" x14ac:dyDescent="0.25">
      <c r="A6687" t="s">
        <v>1668</v>
      </c>
      <c r="B6687" t="s">
        <v>1104</v>
      </c>
      <c r="E6687" t="str">
        <f>IF(OR(E6686="&lt;/routeDistribution&gt;",E6686=""),"",IFERROR(_xlfn.CONCAT(VLOOKUP(AF7,Route_Column!#REF!,2,FALSE),CHAR(34)," probability=",CHAR(34),1/AF$4,CHAR(34),CHAR(47),CHAR(62)),"&lt;/routeDistribution&gt;"))</f>
        <v/>
      </c>
    </row>
    <row r="6688" spans="1:5" x14ac:dyDescent="0.25">
      <c r="A6688" t="s">
        <v>1668</v>
      </c>
      <c r="B6688" t="s">
        <v>1105</v>
      </c>
      <c r="E6688" t="str">
        <f>IF(OR(E6687="&lt;/routeDistribution&gt;",E6687=""),"",IFERROR(_xlfn.CONCAT(VLOOKUP(AF8,Route_Column!#REF!,2,FALSE),CHAR(34)," probability=",CHAR(34),1/AF$4,CHAR(34),CHAR(47),CHAR(62)),"&lt;/routeDistribution&gt;"))</f>
        <v/>
      </c>
    </row>
    <row r="6689" spans="1:5" x14ac:dyDescent="0.25">
      <c r="A6689" t="s">
        <v>1668</v>
      </c>
      <c r="B6689" t="s">
        <v>1106</v>
      </c>
      <c r="E6689" t="str">
        <f>IF(OR(E6688="&lt;/routeDistribution&gt;",E6688=""),"",IFERROR(_xlfn.CONCAT(VLOOKUP(AF9,Route_Column!#REF!,2,FALSE),CHAR(34)," probability=",CHAR(34),1/AF$4,CHAR(34),CHAR(47),CHAR(62)),"&lt;/routeDistribution&gt;"))</f>
        <v/>
      </c>
    </row>
    <row r="6690" spans="1:5" x14ac:dyDescent="0.25">
      <c r="A6690" t="s">
        <v>1668</v>
      </c>
      <c r="B6690" t="s">
        <v>1164</v>
      </c>
      <c r="E6690" t="str">
        <f>IF(OR(E6689="&lt;/routeDistribution&gt;",E6689=""),"",IFERROR(_xlfn.CONCAT(VLOOKUP(AF10,Route_Column!#REF!,2,FALSE),CHAR(34)," probability=",CHAR(34),1/AF$4,CHAR(34),CHAR(47),CHAR(62)),"&lt;/routeDistribution&gt;"))</f>
        <v/>
      </c>
    </row>
    <row r="6691" spans="1:5" x14ac:dyDescent="0.25">
      <c r="A6691" t="s">
        <v>1668</v>
      </c>
      <c r="B6691" t="s">
        <v>1196</v>
      </c>
      <c r="E6691" t="str">
        <f>IF(OR(E6690="&lt;/routeDistribution&gt;",E6690=""),"",IFERROR(_xlfn.CONCAT(VLOOKUP(AF11,Route_Column!#REF!,2,FALSE),CHAR(34)," probability=",CHAR(34),1/AF$4,CHAR(34),CHAR(47),CHAR(62)),"&lt;/routeDistribution&gt;"))</f>
        <v/>
      </c>
    </row>
    <row r="6692" spans="1:5" x14ac:dyDescent="0.25">
      <c r="A6692" t="s">
        <v>1560</v>
      </c>
      <c r="B6692" t="s">
        <v>1092</v>
      </c>
      <c r="E6692" t="str">
        <f>IF(OR(E6691="&lt;/routeDistribution&gt;",E6691=""),"",IFERROR(_xlfn.CONCAT(VLOOKUP(AF12,Route_Column!#REF!,2,FALSE),CHAR(34)," probability=",CHAR(34),1/AF$4,CHAR(34),CHAR(47),CHAR(62)),"&lt;/routeDistribution&gt;"))</f>
        <v/>
      </c>
    </row>
    <row r="6693" spans="1:5" x14ac:dyDescent="0.25">
      <c r="A6693" t="s">
        <v>1560</v>
      </c>
      <c r="B6693" t="s">
        <v>1173</v>
      </c>
      <c r="E6693" t="str">
        <f>IF(OR(E6692="&lt;/routeDistribution&gt;",E6692=""),"",IFERROR(_xlfn.CONCAT(VLOOKUP(AF13,Route_Column!#REF!,2,FALSE),CHAR(34)," probability=",CHAR(34),1/AF$4,CHAR(34),CHAR(47),CHAR(62)),"&lt;/routeDistribution&gt;"))</f>
        <v/>
      </c>
    </row>
    <row r="6694" spans="1:5" x14ac:dyDescent="0.25">
      <c r="A6694" t="s">
        <v>1560</v>
      </c>
      <c r="B6694" t="s">
        <v>1183</v>
      </c>
      <c r="E6694" t="str">
        <f>IF(OR(E6693="&lt;/routeDistribution&gt;",E6693=""),"",IFERROR(_xlfn.CONCAT(VLOOKUP(AF14,Route_Column!#REF!,2,FALSE),CHAR(34)," probability=",CHAR(34),1/AF$4,CHAR(34),CHAR(47),CHAR(62)),"&lt;/routeDistribution&gt;"))</f>
        <v/>
      </c>
    </row>
    <row r="6695" spans="1:5" x14ac:dyDescent="0.25">
      <c r="A6695" t="s">
        <v>1560</v>
      </c>
      <c r="B6695" t="s">
        <v>1194</v>
      </c>
      <c r="E6695" t="str">
        <f>IF(OR(E6694="&lt;/routeDistribution&gt;",E6694=""),"",IFERROR(_xlfn.CONCAT(VLOOKUP(AF15,Route_Column!#REF!,2,FALSE),CHAR(34)," probability=",CHAR(34),1/AF$4,CHAR(34),CHAR(47),CHAR(62)),"&lt;/routeDistribution&gt;"))</f>
        <v/>
      </c>
    </row>
    <row r="6696" spans="1:5" x14ac:dyDescent="0.25">
      <c r="A6696" t="s">
        <v>1560</v>
      </c>
      <c r="B6696" t="s">
        <v>1198</v>
      </c>
      <c r="E6696" t="str">
        <f>IF(OR(E6695="&lt;/routeDistribution&gt;",E6695=""),"",IFERROR(_xlfn.CONCAT(VLOOKUP(AF16,Route_Column!#REF!,2,FALSE),CHAR(34)," probability=",CHAR(34),1/AF$4,CHAR(34),CHAR(47),CHAR(62)),"&lt;/routeDistribution&gt;"))</f>
        <v/>
      </c>
    </row>
    <row r="6697" spans="1:5" x14ac:dyDescent="0.25">
      <c r="A6697" t="s">
        <v>1560</v>
      </c>
      <c r="B6697" t="s">
        <v>1205</v>
      </c>
      <c r="E6697" t="str">
        <f>IF(OR(E6696="&lt;/routeDistribution&gt;",E6696=""),"",IFERROR(_xlfn.CONCAT(VLOOKUP(AF17,Route_Column!#REF!,2,FALSE),CHAR(34)," probability=",CHAR(34),1/AF$4,CHAR(34),CHAR(47),CHAR(62)),"&lt;/routeDistribution&gt;"))</f>
        <v/>
      </c>
    </row>
    <row r="6698" spans="1:5" x14ac:dyDescent="0.25">
      <c r="A6698" t="s">
        <v>1560</v>
      </c>
      <c r="B6698" t="s">
        <v>1224</v>
      </c>
      <c r="E6698" t="str">
        <f>IF(OR(E6697="&lt;/routeDistribution&gt;",E6697=""),"",IFERROR(_xlfn.CONCAT(VLOOKUP(AF18,Route_Column!#REF!,2,FALSE),CHAR(34)," probability=",CHAR(34),1/AF$4,CHAR(34),CHAR(47),CHAR(62)),"&lt;/routeDistribution&gt;"))</f>
        <v/>
      </c>
    </row>
    <row r="6699" spans="1:5" x14ac:dyDescent="0.25">
      <c r="A6699" t="s">
        <v>1560</v>
      </c>
      <c r="B6699" t="s">
        <v>1232</v>
      </c>
      <c r="E6699" t="str">
        <f>IF(OR(E6698="&lt;/routeDistribution&gt;",E6698=""),"",IFERROR(_xlfn.CONCAT(VLOOKUP(AF19,Route_Column!#REF!,2,FALSE),CHAR(34)," probability=",CHAR(34),1/AF$4,CHAR(34),CHAR(47),CHAR(62)),"&lt;/routeDistribution&gt;"))</f>
        <v/>
      </c>
    </row>
    <row r="6700" spans="1:5" x14ac:dyDescent="0.25">
      <c r="A6700" t="s">
        <v>2052</v>
      </c>
      <c r="B6700" t="s">
        <v>1138</v>
      </c>
      <c r="E6700" t="str">
        <f>IF(OR(E6699="&lt;/routeDistribution&gt;",E6699=""),"",IFERROR(_xlfn.CONCAT(VLOOKUP(AF20,Route_Column!#REF!,2,FALSE),CHAR(34)," probability=",CHAR(34),1/AF$4,CHAR(34),CHAR(47),CHAR(62)),"&lt;/routeDistribution&gt;"))</f>
        <v/>
      </c>
    </row>
    <row r="6701" spans="1:5" x14ac:dyDescent="0.25">
      <c r="A6701" t="s">
        <v>2052</v>
      </c>
      <c r="B6701" t="s">
        <v>1154</v>
      </c>
      <c r="E6701" t="str">
        <f>IF(OR(E6700="&lt;/routeDistribution&gt;",E6700=""),"",IFERROR(_xlfn.CONCAT(VLOOKUP(AF21,Route_Column!#REF!,2,FALSE),CHAR(34)," probability=",CHAR(34),1/AF$4,CHAR(34),CHAR(47),CHAR(62)),"&lt;/routeDistribution&gt;"))</f>
        <v/>
      </c>
    </row>
    <row r="6702" spans="1:5" x14ac:dyDescent="0.25">
      <c r="A6702" t="s">
        <v>2052</v>
      </c>
      <c r="B6702" t="s">
        <v>1155</v>
      </c>
      <c r="E6702" t="str">
        <f>IF(OR(E6701="&lt;/routeDistribution&gt;",E6701=""),"",IFERROR(_xlfn.CONCAT(VLOOKUP(AF22,Route_Column!#REF!,2,FALSE),CHAR(34)," probability=",CHAR(34),1/AF$4,CHAR(34),CHAR(47),CHAR(62)),"&lt;/routeDistribution&gt;"))</f>
        <v/>
      </c>
    </row>
    <row r="6703" spans="1:5" x14ac:dyDescent="0.25">
      <c r="A6703" t="s">
        <v>2052</v>
      </c>
      <c r="B6703" t="s">
        <v>1156</v>
      </c>
      <c r="E6703" t="str">
        <f>IF(OR(E6702="&lt;/routeDistribution&gt;",E6702=""),"",IFERROR(_xlfn.CONCAT(VLOOKUP(AF23,Route_Column!#REF!,2,FALSE),CHAR(34)," probability=",CHAR(34),1/AF$4,CHAR(34),CHAR(47),CHAR(62)),"&lt;/routeDistribution&gt;"))</f>
        <v/>
      </c>
    </row>
    <row r="6704" spans="1:5" x14ac:dyDescent="0.25">
      <c r="A6704" t="s">
        <v>1559</v>
      </c>
      <c r="B6704" t="s">
        <v>1092</v>
      </c>
      <c r="E6704" t="str">
        <f>IF(OR(E6703="&lt;/routeDistribution&gt;",E6703=""),"",IFERROR(_xlfn.CONCAT(VLOOKUP(AF24,Route_Column!#REF!,2,FALSE),CHAR(34)," probability=",CHAR(34),1/AF$4,CHAR(34),CHAR(47),CHAR(62)),"&lt;/routeDistribution&gt;"))</f>
        <v/>
      </c>
    </row>
    <row r="6705" spans="1:5" x14ac:dyDescent="0.25">
      <c r="A6705" t="s">
        <v>1559</v>
      </c>
      <c r="B6705" t="s">
        <v>1173</v>
      </c>
      <c r="E6705" t="str">
        <f>IF(OR(E6704="&lt;/routeDistribution&gt;",E6704=""),"",IFERROR(_xlfn.CONCAT(VLOOKUP(AF25,Route_Column!#REF!,2,FALSE),CHAR(34)," probability=",CHAR(34),1/AF$4,CHAR(34),CHAR(47),CHAR(62)),"&lt;/routeDistribution&gt;"))</f>
        <v/>
      </c>
    </row>
    <row r="6706" spans="1:5" x14ac:dyDescent="0.25">
      <c r="A6706" t="s">
        <v>1559</v>
      </c>
      <c r="B6706" t="s">
        <v>1183</v>
      </c>
      <c r="E6706" t="str">
        <f>IF(OR(E6705="&lt;/routeDistribution&gt;",E6705=""),"",IFERROR(_xlfn.CONCAT(VLOOKUP(AF26,Route_Column!#REF!,2,FALSE),CHAR(34)," probability=",CHAR(34),1/AF$4,CHAR(34),CHAR(47),CHAR(62)),"&lt;/routeDistribution&gt;"))</f>
        <v/>
      </c>
    </row>
    <row r="6707" spans="1:5" x14ac:dyDescent="0.25">
      <c r="A6707" t="s">
        <v>1559</v>
      </c>
      <c r="B6707" t="s">
        <v>1194</v>
      </c>
      <c r="E6707" t="str">
        <f>IF(OR(E6706="&lt;/routeDistribution&gt;",E6706=""),"",IFERROR(_xlfn.CONCAT(VLOOKUP(AF27,Route_Column!#REF!,2,FALSE),CHAR(34)," probability=",CHAR(34),1/AF$4,CHAR(34),CHAR(47),CHAR(62)),"&lt;/routeDistribution&gt;"))</f>
        <v/>
      </c>
    </row>
    <row r="6708" spans="1:5" x14ac:dyDescent="0.25">
      <c r="A6708" t="s">
        <v>1559</v>
      </c>
      <c r="B6708" t="s">
        <v>1198</v>
      </c>
      <c r="E6708" t="str">
        <f>IF(OR(E6707="&lt;/routeDistribution&gt;",E6707=""),"",IFERROR(_xlfn.CONCAT(VLOOKUP(AF28,Route_Column!#REF!,2,FALSE),CHAR(34)," probability=",CHAR(34),1/AF$4,CHAR(34),CHAR(47),CHAR(62)),"&lt;/routeDistribution&gt;"))</f>
        <v/>
      </c>
    </row>
    <row r="6709" spans="1:5" x14ac:dyDescent="0.25">
      <c r="A6709" t="s">
        <v>1559</v>
      </c>
      <c r="B6709" t="s">
        <v>1205</v>
      </c>
      <c r="E6709" t="str">
        <f>IF(OR(E6708="&lt;/routeDistribution&gt;",E6708=""),"",IFERROR(_xlfn.CONCAT(VLOOKUP(AF29,Route_Column!#REF!,2,FALSE),CHAR(34)," probability=",CHAR(34),1/AF$4,CHAR(34),CHAR(47),CHAR(62)),"&lt;/routeDistribution&gt;"))</f>
        <v/>
      </c>
    </row>
    <row r="6710" spans="1:5" x14ac:dyDescent="0.25">
      <c r="A6710" t="s">
        <v>1559</v>
      </c>
      <c r="B6710" t="s">
        <v>1224</v>
      </c>
      <c r="E6710" t="str">
        <f>IF(OR(E6709="&lt;/routeDistribution&gt;",E6709=""),"",IFERROR(_xlfn.CONCAT(VLOOKUP(AF30,Route_Column!#REF!,2,FALSE),CHAR(34)," probability=",CHAR(34),1/AF$4,CHAR(34),CHAR(47),CHAR(62)),"&lt;/routeDistribution&gt;"))</f>
        <v/>
      </c>
    </row>
    <row r="6711" spans="1:5" x14ac:dyDescent="0.25">
      <c r="A6711" t="s">
        <v>1559</v>
      </c>
      <c r="B6711" t="s">
        <v>1232</v>
      </c>
      <c r="E6711" t="str">
        <f>IF(OR(E6710="&lt;/routeDistribution&gt;",E6710=""),"",IFERROR(_xlfn.CONCAT(VLOOKUP(AF31,Route_Column!#REF!,2,FALSE),CHAR(34)," probability=",CHAR(34),1/AF$4,CHAR(34),CHAR(47),CHAR(62)),"&lt;/routeDistribution&gt;"))</f>
        <v/>
      </c>
    </row>
    <row r="6712" spans="1:5" x14ac:dyDescent="0.25">
      <c r="A6712" t="s">
        <v>1746</v>
      </c>
      <c r="B6712" t="s">
        <v>1102</v>
      </c>
      <c r="E6712" t="str">
        <f>IF(OR(E6711="&lt;/routeDistribution&gt;",E6711=""),"",IFERROR(_xlfn.CONCAT(VLOOKUP(AF32,Route_Column!#REF!,2,FALSE),CHAR(34)," probability=",CHAR(34),1/AF$4,CHAR(34),CHAR(47),CHAR(62)),"&lt;/routeDistribution&gt;"))</f>
        <v/>
      </c>
    </row>
    <row r="6713" spans="1:5" x14ac:dyDescent="0.25">
      <c r="A6713" t="s">
        <v>1746</v>
      </c>
      <c r="B6713" t="s">
        <v>1110</v>
      </c>
      <c r="E6713" t="str">
        <f>IF(OR(E6712="&lt;/routeDistribution&gt;",E6712=""),"",IFERROR(_xlfn.CONCAT(VLOOKUP(AF33,Route_Column!#REF!,2,FALSE),CHAR(34)," probability=",CHAR(34),1/AF$4,CHAR(34),CHAR(47),CHAR(62)),"&lt;/routeDistribution&gt;"))</f>
        <v/>
      </c>
    </row>
    <row r="6714" spans="1:5" x14ac:dyDescent="0.25">
      <c r="A6714" t="s">
        <v>1746</v>
      </c>
      <c r="B6714" t="s">
        <v>1112</v>
      </c>
      <c r="E6714" t="str">
        <f>IF(OR(E6713="&lt;/routeDistribution&gt;",E6713=""),"",IFERROR(_xlfn.CONCAT(VLOOKUP(AF34,Route_Column!#REF!,2,FALSE),CHAR(34)," probability=",CHAR(34),1/AF$4,CHAR(34),CHAR(47),CHAR(62)),"&lt;/routeDistribution&gt;"))</f>
        <v/>
      </c>
    </row>
    <row r="6715" spans="1:5" x14ac:dyDescent="0.25">
      <c r="A6715" t="s">
        <v>1746</v>
      </c>
      <c r="B6715" t="s">
        <v>1130</v>
      </c>
      <c r="E6715" t="str">
        <f>IF(OR(E6714="&lt;/routeDistribution&gt;",E6714=""),"",IFERROR(_xlfn.CONCAT(VLOOKUP(AF35,Route_Column!#REF!,2,FALSE),CHAR(34)," probability=",CHAR(34),1/AF$4,CHAR(34),CHAR(47),CHAR(62)),"&lt;/routeDistribution&gt;"))</f>
        <v/>
      </c>
    </row>
    <row r="6716" spans="1:5" x14ac:dyDescent="0.25">
      <c r="A6716" t="s">
        <v>1746</v>
      </c>
      <c r="B6716" t="s">
        <v>1131</v>
      </c>
      <c r="E6716" t="str">
        <f>IF(OR(E6715="&lt;/routeDistribution&gt;",E6715=""),"",IFERROR(_xlfn.CONCAT(VLOOKUP(AF36,Route_Column!#REF!,2,FALSE),CHAR(34)," probability=",CHAR(34),1/AF$4,CHAR(34),CHAR(47),CHAR(62)),"&lt;/routeDistribution&gt;"))</f>
        <v/>
      </c>
    </row>
    <row r="6717" spans="1:5" x14ac:dyDescent="0.25">
      <c r="A6717" t="s">
        <v>1746</v>
      </c>
      <c r="B6717" t="s">
        <v>1132</v>
      </c>
      <c r="E6717" t="str">
        <f>IF(OR(E6716="&lt;/routeDistribution&gt;",E6716=""),"",IFERROR(_xlfn.CONCAT(VLOOKUP(AF37,Route_Column!#REF!,2,FALSE),CHAR(34)," probability=",CHAR(34),1/AF$4,CHAR(34),CHAR(47),CHAR(62)),"&lt;/routeDistribution&gt;"))</f>
        <v/>
      </c>
    </row>
    <row r="6718" spans="1:5" x14ac:dyDescent="0.25">
      <c r="A6718" t="s">
        <v>1746</v>
      </c>
      <c r="B6718" t="s">
        <v>1132</v>
      </c>
      <c r="E6718" t="str">
        <f>IF(OR(E6717="&lt;/routeDistribution&gt;",E6717=""),"",IFERROR(_xlfn.CONCAT(VLOOKUP(AF38,Route_Column!#REF!,2,FALSE),CHAR(34)," probability=",CHAR(34),1/AF$4,CHAR(34),CHAR(47),CHAR(62)),"&lt;/routeDistribution&gt;"))</f>
        <v/>
      </c>
    </row>
    <row r="6719" spans="1:5" x14ac:dyDescent="0.25">
      <c r="A6719" t="s">
        <v>1746</v>
      </c>
      <c r="B6719" t="s">
        <v>1134</v>
      </c>
      <c r="E6719" t="str">
        <f>IF(OR(E6718="&lt;/routeDistribution&gt;",E6718=""),"",IFERROR(_xlfn.CONCAT(VLOOKUP(AF39,Route_Column!#REF!,2,FALSE),CHAR(34)," probability=",CHAR(34),1/AF$4,CHAR(34),CHAR(47),CHAR(62)),"&lt;/routeDistribution&gt;"))</f>
        <v/>
      </c>
    </row>
    <row r="6720" spans="1:5" x14ac:dyDescent="0.25">
      <c r="A6720" t="s">
        <v>1746</v>
      </c>
      <c r="B6720" t="s">
        <v>1137</v>
      </c>
      <c r="E6720" t="str">
        <f>IF(OR(E6719="&lt;/routeDistribution&gt;",E6719=""),"",IFERROR(_xlfn.CONCAT(VLOOKUP(AF40,Route_Column!#REF!,2,FALSE),CHAR(34)," probability=",CHAR(34),1/AF$4,CHAR(34),CHAR(47),CHAR(62)),"&lt;/routeDistribution&gt;"))</f>
        <v/>
      </c>
    </row>
    <row r="6721" spans="1:5" x14ac:dyDescent="0.25">
      <c r="A6721" t="s">
        <v>1746</v>
      </c>
      <c r="B6721" t="s">
        <v>1137</v>
      </c>
      <c r="E6721" t="str">
        <f>IF(OR(E6720="&lt;/routeDistribution&gt;",E6720=""),"",IFERROR(_xlfn.CONCAT(VLOOKUP(AF41,Route_Column!#REF!,2,FALSE),CHAR(34)," probability=",CHAR(34),1/AF$4,CHAR(34),CHAR(47),CHAR(62)),"&lt;/routeDistribution&gt;"))</f>
        <v/>
      </c>
    </row>
    <row r="6722" spans="1:5" x14ac:dyDescent="0.25">
      <c r="A6722" t="s">
        <v>1746</v>
      </c>
      <c r="B6722" t="s">
        <v>1138</v>
      </c>
      <c r="E6722" t="str">
        <f>IF(OR(E6721="&lt;/routeDistribution&gt;",E6721=""),"",IFERROR(_xlfn.CONCAT(VLOOKUP(AF42,Route_Column!#REF!,2,FALSE),CHAR(34)," probability=",CHAR(34),1/AF$4,CHAR(34),CHAR(47),CHAR(62)),"&lt;/routeDistribution&gt;"))</f>
        <v/>
      </c>
    </row>
    <row r="6723" spans="1:5" x14ac:dyDescent="0.25">
      <c r="A6723" t="s">
        <v>1746</v>
      </c>
      <c r="B6723" t="s">
        <v>1145</v>
      </c>
      <c r="E6723" t="str">
        <f>IF(OR(E6722="&lt;/routeDistribution&gt;",E6722=""),"",IFERROR(_xlfn.CONCAT(VLOOKUP(AF43,Route_Column!#REF!,2,FALSE),CHAR(34)," probability=",CHAR(34),1/AF$4,CHAR(34),CHAR(47),CHAR(62)),"&lt;/routeDistribution&gt;"))</f>
        <v/>
      </c>
    </row>
    <row r="6724" spans="1:5" x14ac:dyDescent="0.25">
      <c r="A6724" t="s">
        <v>1746</v>
      </c>
      <c r="B6724" t="s">
        <v>1154</v>
      </c>
      <c r="E6724" t="str">
        <f>IF(OR(E6723="&lt;/routeDistribution&gt;",E6723=""),"",IFERROR(_xlfn.CONCAT(VLOOKUP(AF44,Route_Column!#REF!,2,FALSE),CHAR(34)," probability=",CHAR(34),1/AF$4,CHAR(34),CHAR(47),CHAR(62)),"&lt;/routeDistribution&gt;"))</f>
        <v/>
      </c>
    </row>
    <row r="6725" spans="1:5" x14ac:dyDescent="0.25">
      <c r="A6725" t="s">
        <v>1746</v>
      </c>
      <c r="B6725" t="s">
        <v>1166</v>
      </c>
      <c r="E6725" t="str">
        <f>IF(OR(E6724="&lt;/routeDistribution&gt;",E6724=""),"",IFERROR(_xlfn.CONCAT(VLOOKUP(AF45,Route_Column!#REF!,2,FALSE),CHAR(34)," probability=",CHAR(34),1/AF$4,CHAR(34),CHAR(47),CHAR(62)),"&lt;/routeDistribution&gt;"))</f>
        <v/>
      </c>
    </row>
    <row r="6726" spans="1:5" x14ac:dyDescent="0.25">
      <c r="A6726" t="s">
        <v>1746</v>
      </c>
      <c r="B6726" t="s">
        <v>1167</v>
      </c>
      <c r="E6726" t="str">
        <f>IF(OR(E6725="&lt;/routeDistribution&gt;",E6725=""),"",IFERROR(_xlfn.CONCAT(VLOOKUP(AF46,Route_Column!#REF!,2,FALSE),CHAR(34)," probability=",CHAR(34),1/AF$4,CHAR(34),CHAR(47),CHAR(62)),"&lt;/routeDistribution&gt;"))</f>
        <v/>
      </c>
    </row>
    <row r="6727" spans="1:5" x14ac:dyDescent="0.25">
      <c r="A6727" t="s">
        <v>1746</v>
      </c>
      <c r="B6727" t="s">
        <v>1168</v>
      </c>
      <c r="E6727" t="str">
        <f>IF(OR(E6726="&lt;/routeDistribution&gt;",E6726=""),"",IFERROR(_xlfn.CONCAT(VLOOKUP(AF47,Route_Column!#REF!,2,FALSE),CHAR(34)," probability=",CHAR(34),1/AF$4,CHAR(34),CHAR(47),CHAR(62)),"&lt;/routeDistribution&gt;"))</f>
        <v/>
      </c>
    </row>
    <row r="6728" spans="1:5" x14ac:dyDescent="0.25">
      <c r="A6728" t="s">
        <v>1746</v>
      </c>
      <c r="B6728" t="s">
        <v>1169</v>
      </c>
      <c r="E6728" t="str">
        <f>IF(OR(E6727="&lt;/routeDistribution&gt;",E6727=""),"",IFERROR(_xlfn.CONCAT(VLOOKUP(AF48,Route_Column!#REF!,2,FALSE),CHAR(34)," probability=",CHAR(34),1/AF$4,CHAR(34),CHAR(47),CHAR(62)),"&lt;/routeDistribution&gt;"))</f>
        <v/>
      </c>
    </row>
    <row r="6729" spans="1:5" x14ac:dyDescent="0.25">
      <c r="A6729" t="s">
        <v>1746</v>
      </c>
      <c r="B6729" t="s">
        <v>1170</v>
      </c>
      <c r="E6729" t="str">
        <f>IF(OR(E6728="&lt;/routeDistribution&gt;",E6728=""),"",IFERROR(_xlfn.CONCAT(VLOOKUP(AF49,Route_Column!#REF!,2,FALSE),CHAR(34)," probability=",CHAR(34),1/AF$4,CHAR(34),CHAR(47),CHAR(62)),"&lt;/routeDistribution&gt;"))</f>
        <v/>
      </c>
    </row>
    <row r="6730" spans="1:5" x14ac:dyDescent="0.25">
      <c r="A6730" t="s">
        <v>1746</v>
      </c>
      <c r="B6730" t="s">
        <v>1171</v>
      </c>
      <c r="E6730" t="str">
        <f>IF(OR(E6729="&lt;/routeDistribution&gt;",E6729=""),"",IFERROR(_xlfn.CONCAT(VLOOKUP(AF50,Route_Column!#REF!,2,FALSE),CHAR(34)," probability=",CHAR(34),1/AF$4,CHAR(34),CHAR(47),CHAR(62)),"&lt;/routeDistribution&gt;"))</f>
        <v/>
      </c>
    </row>
    <row r="6731" spans="1:5" x14ac:dyDescent="0.25">
      <c r="A6731" t="s">
        <v>1746</v>
      </c>
      <c r="B6731" t="s">
        <v>1171</v>
      </c>
      <c r="E6731" t="str">
        <f>IF(OR(E6730="&lt;/routeDistribution&gt;",E6730=""),"",IFERROR(_xlfn.CONCAT(VLOOKUP(AF51,Route_Column!#REF!,2,FALSE),CHAR(34)," probability=",CHAR(34),1/AF$4,CHAR(34),CHAR(47),CHAR(62)),"&lt;/routeDistribution&gt;"))</f>
        <v/>
      </c>
    </row>
    <row r="6732" spans="1:5" x14ac:dyDescent="0.25">
      <c r="A6732" t="s">
        <v>1746</v>
      </c>
      <c r="B6732" t="s">
        <v>1180</v>
      </c>
      <c r="E6732" t="str">
        <f>IF(OR(E6731="&lt;/routeDistribution&gt;",E6731=""),"",IFERROR(_xlfn.CONCAT(VLOOKUP(AF52,Route_Column!#REF!,2,FALSE),CHAR(34)," probability=",CHAR(34),1/AF$4,CHAR(34),CHAR(47),CHAR(62)),"&lt;/routeDistribution&gt;"))</f>
        <v/>
      </c>
    </row>
    <row r="6733" spans="1:5" x14ac:dyDescent="0.25">
      <c r="A6733" t="s">
        <v>1746</v>
      </c>
      <c r="B6733" t="s">
        <v>1181</v>
      </c>
      <c r="E6733" t="str">
        <f>IF(OR(E6732="&lt;/routeDistribution&gt;",E6732=""),"",IFERROR(_xlfn.CONCAT(VLOOKUP(AF53,Route_Column!#REF!,2,FALSE),CHAR(34)," probability=",CHAR(34),1/AF$4,CHAR(34),CHAR(47),CHAR(62)),"&lt;/routeDistribution&gt;"))</f>
        <v/>
      </c>
    </row>
    <row r="6734" spans="1:5" x14ac:dyDescent="0.25">
      <c r="A6734" t="s">
        <v>1746</v>
      </c>
      <c r="B6734" t="s">
        <v>1182</v>
      </c>
      <c r="E6734" t="str">
        <f>IF(OR(E6733="&lt;/routeDistribution&gt;",E6733=""),"",IFERROR(_xlfn.CONCAT(VLOOKUP(AF54,Route_Column!#REF!,2,FALSE),CHAR(34)," probability=",CHAR(34),1/AF$4,CHAR(34),CHAR(47),CHAR(62)),"&lt;/routeDistribution&gt;"))</f>
        <v/>
      </c>
    </row>
    <row r="6735" spans="1:5" x14ac:dyDescent="0.25">
      <c r="A6735" t="s">
        <v>1746</v>
      </c>
      <c r="B6735" t="s">
        <v>1183</v>
      </c>
      <c r="E6735" t="str">
        <f>IF(OR(E6734="&lt;/routeDistribution&gt;",E6734=""),"",IFERROR(_xlfn.CONCAT(VLOOKUP(AF55,Route_Column!#REF!,2,FALSE),CHAR(34)," probability=",CHAR(34),1/AF$4,CHAR(34),CHAR(47),CHAR(62)),"&lt;/routeDistribution&gt;"))</f>
        <v/>
      </c>
    </row>
    <row r="6736" spans="1:5" x14ac:dyDescent="0.25">
      <c r="A6736" t="s">
        <v>1746</v>
      </c>
      <c r="B6736" t="s">
        <v>1184</v>
      </c>
      <c r="E6736" t="str">
        <f>IF(OR(E6735="&lt;/routeDistribution&gt;",E6735=""),"",IFERROR(_xlfn.CONCAT(VLOOKUP(AF56,Route_Column!#REF!,2,FALSE),CHAR(34)," probability=",CHAR(34),1/AF$4,CHAR(34),CHAR(47),CHAR(62)),"&lt;/routeDistribution&gt;"))</f>
        <v/>
      </c>
    </row>
    <row r="6737" spans="1:5" x14ac:dyDescent="0.25">
      <c r="A6737" t="s">
        <v>1746</v>
      </c>
      <c r="B6737" t="s">
        <v>1185</v>
      </c>
      <c r="E6737" t="str">
        <f>IF(OR(E6736="&lt;/routeDistribution&gt;",E6736=""),"",IFERROR(_xlfn.CONCAT(VLOOKUP(AF57,Route_Column!#REF!,2,FALSE),CHAR(34)," probability=",CHAR(34),1/AF$4,CHAR(34),CHAR(47),CHAR(62)),"&lt;/routeDistribution&gt;"))</f>
        <v/>
      </c>
    </row>
    <row r="6738" spans="1:5" x14ac:dyDescent="0.25">
      <c r="A6738" t="s">
        <v>1746</v>
      </c>
      <c r="B6738" t="s">
        <v>1197</v>
      </c>
      <c r="E6738" t="str">
        <f>IF(OR(E6737="&lt;/routeDistribution&gt;",E6737=""),"",IFERROR(_xlfn.CONCAT(VLOOKUP(AF58,Route_Column!#REF!,2,FALSE),CHAR(34)," probability=",CHAR(34),1/AF$4,CHAR(34),CHAR(47),CHAR(62)),"&lt;/routeDistribution&gt;"))</f>
        <v/>
      </c>
    </row>
    <row r="6739" spans="1:5" x14ac:dyDescent="0.25">
      <c r="A6739" t="s">
        <v>1746</v>
      </c>
      <c r="B6739" t="s">
        <v>1198</v>
      </c>
      <c r="E6739" t="str">
        <f>IF(OR(E6738="&lt;/routeDistribution&gt;",E6738=""),"",IFERROR(_xlfn.CONCAT(VLOOKUP(AF59,Route_Column!#REF!,2,FALSE),CHAR(34)," probability=",CHAR(34),1/AF$4,CHAR(34),CHAR(47),CHAR(62)),"&lt;/routeDistribution&gt;"))</f>
        <v/>
      </c>
    </row>
    <row r="6740" spans="1:5" x14ac:dyDescent="0.25">
      <c r="A6740" t="s">
        <v>1746</v>
      </c>
      <c r="B6740" t="s">
        <v>1201</v>
      </c>
      <c r="E6740" t="str">
        <f>IF(OR(E6739="&lt;/routeDistribution&gt;",E6739=""),"",IFERROR(_xlfn.CONCAT(VLOOKUP(AF60,Route_Column!#REF!,2,FALSE),CHAR(34)," probability=",CHAR(34),1/AF$4,CHAR(34),CHAR(47),CHAR(62)),"&lt;/routeDistribution&gt;"))</f>
        <v/>
      </c>
    </row>
    <row r="6741" spans="1:5" x14ac:dyDescent="0.25">
      <c r="A6741" t="s">
        <v>1746</v>
      </c>
      <c r="B6741" t="s">
        <v>1206</v>
      </c>
      <c r="E6741" t="str">
        <f>IF(OR(E6740="&lt;/routeDistribution&gt;",E6740=""),"",IFERROR(_xlfn.CONCAT(VLOOKUP(AF61,Route_Column!#REF!,2,FALSE),CHAR(34)," probability=",CHAR(34),1/AF$4,CHAR(34),CHAR(47),CHAR(62)),"&lt;/routeDistribution&gt;"))</f>
        <v/>
      </c>
    </row>
    <row r="6742" spans="1:5" x14ac:dyDescent="0.25">
      <c r="A6742" t="s">
        <v>1746</v>
      </c>
      <c r="B6742" t="s">
        <v>1225</v>
      </c>
      <c r="E6742" t="str">
        <f>IF(OR(E6741="&lt;/routeDistribution&gt;",E6741=""),"",IFERROR(_xlfn.CONCAT(VLOOKUP(AF62,Route_Column!#REF!,2,FALSE),CHAR(34)," probability=",CHAR(34),1/AF$4,CHAR(34),CHAR(47),CHAR(62)),"&lt;/routeDistribution&gt;"))</f>
        <v/>
      </c>
    </row>
    <row r="6743" spans="1:5" x14ac:dyDescent="0.25">
      <c r="A6743" t="s">
        <v>1746</v>
      </c>
      <c r="B6743" t="s">
        <v>1225</v>
      </c>
      <c r="E6743" t="str">
        <f>IF(OR(E6742="&lt;/routeDistribution&gt;",E6742=""),"",IFERROR(_xlfn.CONCAT(VLOOKUP(AF63,Route_Column!#REF!,2,FALSE),CHAR(34)," probability=",CHAR(34),1/AF$4,CHAR(34),CHAR(47),CHAR(62)),"&lt;/routeDistribution&gt;"))</f>
        <v/>
      </c>
    </row>
    <row r="6744" spans="1:5" x14ac:dyDescent="0.25">
      <c r="A6744" t="s">
        <v>1747</v>
      </c>
      <c r="B6744" t="s">
        <v>1102</v>
      </c>
      <c r="E6744" t="s">
        <v>2686</v>
      </c>
    </row>
    <row r="6745" spans="1:5" x14ac:dyDescent="0.25">
      <c r="A6745" t="s">
        <v>1747</v>
      </c>
      <c r="B6745" t="s">
        <v>1110</v>
      </c>
    </row>
    <row r="6746" spans="1:5" x14ac:dyDescent="0.25">
      <c r="A6746" t="s">
        <v>1747</v>
      </c>
      <c r="B6746" t="s">
        <v>1112</v>
      </c>
    </row>
    <row r="6747" spans="1:5" x14ac:dyDescent="0.25">
      <c r="A6747" t="s">
        <v>1747</v>
      </c>
      <c r="B6747" t="s">
        <v>1130</v>
      </c>
      <c r="E6747" t="str">
        <f>_xlfn.CONCAT($E$1,AE$2,$F$1)</f>
        <v>&lt;routeDistribution id="30th-CIRA-to-JFK-SB-2015-RouteProbe"&gt;</v>
      </c>
    </row>
    <row r="6748" spans="1:5" x14ac:dyDescent="0.25">
      <c r="A6748" t="s">
        <v>1747</v>
      </c>
      <c r="B6748" t="s">
        <v>1131</v>
      </c>
      <c r="E6748" t="str">
        <f>IF(OR(E6747="&lt;/routeDistribution&gt;",E6747=""),"",IFERROR(_xlfn.CONCAT(VLOOKUP(AE5,Route_Column!#REF!,2,FALSE),CHAR(34)," probability=",CHAR(34),1/AE$4,CHAR(34),CHAR(47),CHAR(62)),"&lt;/routeDistribution&gt;"))</f>
        <v>&lt;/routeDistribution&gt;</v>
      </c>
    </row>
    <row r="6749" spans="1:5" x14ac:dyDescent="0.25">
      <c r="A6749" t="s">
        <v>1747</v>
      </c>
      <c r="B6749" t="s">
        <v>1132</v>
      </c>
      <c r="E6749" t="str">
        <f>IF(OR(E6748="&lt;/routeDistribution&gt;",E6748=""),"",IFERROR(_xlfn.CONCAT(VLOOKUP(AE6,Route_Column!#REF!,2,FALSE),CHAR(34)," probability=",CHAR(34),1/AE$4,CHAR(34),CHAR(47),CHAR(62)),"&lt;/routeDistribution&gt;"))</f>
        <v/>
      </c>
    </row>
    <row r="6750" spans="1:5" x14ac:dyDescent="0.25">
      <c r="A6750" t="s">
        <v>1747</v>
      </c>
      <c r="B6750" t="s">
        <v>1132</v>
      </c>
      <c r="E6750" t="str">
        <f>IF(OR(E6749="&lt;/routeDistribution&gt;",E6749=""),"",IFERROR(_xlfn.CONCAT(VLOOKUP(AE7,Route_Column!#REF!,2,FALSE),CHAR(34)," probability=",CHAR(34),1/AE$4,CHAR(34),CHAR(47),CHAR(62)),"&lt;/routeDistribution&gt;"))</f>
        <v/>
      </c>
    </row>
    <row r="6751" spans="1:5" x14ac:dyDescent="0.25">
      <c r="A6751" t="s">
        <v>1747</v>
      </c>
      <c r="B6751" t="s">
        <v>1134</v>
      </c>
      <c r="E6751" t="str">
        <f>IF(OR(E6750="&lt;/routeDistribution&gt;",E6750=""),"",IFERROR(_xlfn.CONCAT(VLOOKUP(AE8,Route_Column!#REF!,2,FALSE),CHAR(34)," probability=",CHAR(34),1/AE$4,CHAR(34),CHAR(47),CHAR(62)),"&lt;/routeDistribution&gt;"))</f>
        <v/>
      </c>
    </row>
    <row r="6752" spans="1:5" x14ac:dyDescent="0.25">
      <c r="A6752" t="s">
        <v>1747</v>
      </c>
      <c r="B6752" t="s">
        <v>1137</v>
      </c>
      <c r="E6752" t="str">
        <f>IF(OR(E6751="&lt;/routeDistribution&gt;",E6751=""),"",IFERROR(_xlfn.CONCAT(VLOOKUP(AE9,Route_Column!#REF!,2,FALSE),CHAR(34)," probability=",CHAR(34),1/AE$4,CHAR(34),CHAR(47),CHAR(62)),"&lt;/routeDistribution&gt;"))</f>
        <v/>
      </c>
    </row>
    <row r="6753" spans="1:5" x14ac:dyDescent="0.25">
      <c r="A6753" t="s">
        <v>1747</v>
      </c>
      <c r="B6753" t="s">
        <v>1137</v>
      </c>
      <c r="E6753" t="str">
        <f>IF(OR(E6752="&lt;/routeDistribution&gt;",E6752=""),"",IFERROR(_xlfn.CONCAT(VLOOKUP(AE10,Route_Column!#REF!,2,FALSE),CHAR(34)," probability=",CHAR(34),1/AE$4,CHAR(34),CHAR(47),CHAR(62)),"&lt;/routeDistribution&gt;"))</f>
        <v/>
      </c>
    </row>
    <row r="6754" spans="1:5" x14ac:dyDescent="0.25">
      <c r="A6754" t="s">
        <v>1747</v>
      </c>
      <c r="B6754" t="s">
        <v>1138</v>
      </c>
      <c r="E6754" t="str">
        <f>IF(OR(E6753="&lt;/routeDistribution&gt;",E6753=""),"",IFERROR(_xlfn.CONCAT(VLOOKUP(AE11,Route_Column!#REF!,2,FALSE),CHAR(34)," probability=",CHAR(34),1/AE$4,CHAR(34),CHAR(47),CHAR(62)),"&lt;/routeDistribution&gt;"))</f>
        <v/>
      </c>
    </row>
    <row r="6755" spans="1:5" x14ac:dyDescent="0.25">
      <c r="A6755" t="s">
        <v>1747</v>
      </c>
      <c r="B6755" t="s">
        <v>1145</v>
      </c>
      <c r="E6755" t="str">
        <f>IF(OR(E6754="&lt;/routeDistribution&gt;",E6754=""),"",IFERROR(_xlfn.CONCAT(VLOOKUP(AE12,Route_Column!#REF!,2,FALSE),CHAR(34)," probability=",CHAR(34),1/AE$4,CHAR(34),CHAR(47),CHAR(62)),"&lt;/routeDistribution&gt;"))</f>
        <v/>
      </c>
    </row>
    <row r="6756" spans="1:5" x14ac:dyDescent="0.25">
      <c r="A6756" t="s">
        <v>1747</v>
      </c>
      <c r="B6756" t="s">
        <v>1154</v>
      </c>
      <c r="E6756" t="str">
        <f>IF(OR(E6755="&lt;/routeDistribution&gt;",E6755=""),"",IFERROR(_xlfn.CONCAT(VLOOKUP(AE13,Route_Column!#REF!,2,FALSE),CHAR(34)," probability=",CHAR(34),1/AE$4,CHAR(34),CHAR(47),CHAR(62)),"&lt;/routeDistribution&gt;"))</f>
        <v/>
      </c>
    </row>
    <row r="6757" spans="1:5" x14ac:dyDescent="0.25">
      <c r="A6757" t="s">
        <v>1747</v>
      </c>
      <c r="B6757" t="s">
        <v>1166</v>
      </c>
      <c r="E6757" t="str">
        <f>IF(OR(E6756="&lt;/routeDistribution&gt;",E6756=""),"",IFERROR(_xlfn.CONCAT(VLOOKUP(AE14,Route_Column!#REF!,2,FALSE),CHAR(34)," probability=",CHAR(34),1/AE$4,CHAR(34),CHAR(47),CHAR(62)),"&lt;/routeDistribution&gt;"))</f>
        <v/>
      </c>
    </row>
    <row r="6758" spans="1:5" x14ac:dyDescent="0.25">
      <c r="A6758" t="s">
        <v>1747</v>
      </c>
      <c r="B6758" t="s">
        <v>1167</v>
      </c>
      <c r="E6758" t="str">
        <f>IF(OR(E6757="&lt;/routeDistribution&gt;",E6757=""),"",IFERROR(_xlfn.CONCAT(VLOOKUP(AE15,Route_Column!#REF!,2,FALSE),CHAR(34)," probability=",CHAR(34),1/AE$4,CHAR(34),CHAR(47),CHAR(62)),"&lt;/routeDistribution&gt;"))</f>
        <v/>
      </c>
    </row>
    <row r="6759" spans="1:5" x14ac:dyDescent="0.25">
      <c r="A6759" t="s">
        <v>1747</v>
      </c>
      <c r="B6759" t="s">
        <v>1168</v>
      </c>
      <c r="E6759" t="str">
        <f>IF(OR(E6758="&lt;/routeDistribution&gt;",E6758=""),"",IFERROR(_xlfn.CONCAT(VLOOKUP(AE16,Route_Column!#REF!,2,FALSE),CHAR(34)," probability=",CHAR(34),1/AE$4,CHAR(34),CHAR(47),CHAR(62)),"&lt;/routeDistribution&gt;"))</f>
        <v/>
      </c>
    </row>
    <row r="6760" spans="1:5" x14ac:dyDescent="0.25">
      <c r="A6760" t="s">
        <v>1747</v>
      </c>
      <c r="B6760" t="s">
        <v>1169</v>
      </c>
      <c r="E6760" t="str">
        <f>IF(OR(E6759="&lt;/routeDistribution&gt;",E6759=""),"",IFERROR(_xlfn.CONCAT(VLOOKUP(AE17,Route_Column!#REF!,2,FALSE),CHAR(34)," probability=",CHAR(34),1/AE$4,CHAR(34),CHAR(47),CHAR(62)),"&lt;/routeDistribution&gt;"))</f>
        <v/>
      </c>
    </row>
    <row r="6761" spans="1:5" x14ac:dyDescent="0.25">
      <c r="A6761" t="s">
        <v>1747</v>
      </c>
      <c r="B6761" t="s">
        <v>1170</v>
      </c>
      <c r="E6761" t="str">
        <f>IF(OR(E6760="&lt;/routeDistribution&gt;",E6760=""),"",IFERROR(_xlfn.CONCAT(VLOOKUP(AE18,Route_Column!#REF!,2,FALSE),CHAR(34)," probability=",CHAR(34),1/AE$4,CHAR(34),CHAR(47),CHAR(62)),"&lt;/routeDistribution&gt;"))</f>
        <v/>
      </c>
    </row>
    <row r="6762" spans="1:5" x14ac:dyDescent="0.25">
      <c r="A6762" t="s">
        <v>1747</v>
      </c>
      <c r="B6762" t="s">
        <v>1171</v>
      </c>
      <c r="E6762" t="str">
        <f>IF(OR(E6761="&lt;/routeDistribution&gt;",E6761=""),"",IFERROR(_xlfn.CONCAT(VLOOKUP(AE19,Route_Column!#REF!,2,FALSE),CHAR(34)," probability=",CHAR(34),1/AE$4,CHAR(34),CHAR(47),CHAR(62)),"&lt;/routeDistribution&gt;"))</f>
        <v/>
      </c>
    </row>
    <row r="6763" spans="1:5" x14ac:dyDescent="0.25">
      <c r="A6763" t="s">
        <v>1747</v>
      </c>
      <c r="B6763" t="s">
        <v>1171</v>
      </c>
      <c r="E6763" t="str">
        <f>IF(OR(E6762="&lt;/routeDistribution&gt;",E6762=""),"",IFERROR(_xlfn.CONCAT(VLOOKUP(AE20,Route_Column!#REF!,2,FALSE),CHAR(34)," probability=",CHAR(34),1/AE$4,CHAR(34),CHAR(47),CHAR(62)),"&lt;/routeDistribution&gt;"))</f>
        <v/>
      </c>
    </row>
    <row r="6764" spans="1:5" x14ac:dyDescent="0.25">
      <c r="A6764" t="s">
        <v>1747</v>
      </c>
      <c r="B6764" t="s">
        <v>1180</v>
      </c>
      <c r="E6764" t="str">
        <f>IF(OR(E6763="&lt;/routeDistribution&gt;",E6763=""),"",IFERROR(_xlfn.CONCAT(VLOOKUP(AE21,Route_Column!#REF!,2,FALSE),CHAR(34)," probability=",CHAR(34),1/AE$4,CHAR(34),CHAR(47),CHAR(62)),"&lt;/routeDistribution&gt;"))</f>
        <v/>
      </c>
    </row>
    <row r="6765" spans="1:5" x14ac:dyDescent="0.25">
      <c r="A6765" t="s">
        <v>1747</v>
      </c>
      <c r="B6765" t="s">
        <v>1181</v>
      </c>
      <c r="E6765" t="str">
        <f>IF(OR(E6764="&lt;/routeDistribution&gt;",E6764=""),"",IFERROR(_xlfn.CONCAT(VLOOKUP(AE22,Route_Column!#REF!,2,FALSE),CHAR(34)," probability=",CHAR(34),1/AE$4,CHAR(34),CHAR(47),CHAR(62)),"&lt;/routeDistribution&gt;"))</f>
        <v/>
      </c>
    </row>
    <row r="6766" spans="1:5" x14ac:dyDescent="0.25">
      <c r="A6766" t="s">
        <v>1747</v>
      </c>
      <c r="B6766" t="s">
        <v>1182</v>
      </c>
      <c r="E6766" t="str">
        <f>IF(OR(E6765="&lt;/routeDistribution&gt;",E6765=""),"",IFERROR(_xlfn.CONCAT(VLOOKUP(AE23,Route_Column!#REF!,2,FALSE),CHAR(34)," probability=",CHAR(34),1/AE$4,CHAR(34),CHAR(47),CHAR(62)),"&lt;/routeDistribution&gt;"))</f>
        <v/>
      </c>
    </row>
    <row r="6767" spans="1:5" x14ac:dyDescent="0.25">
      <c r="A6767" t="s">
        <v>1747</v>
      </c>
      <c r="B6767" t="s">
        <v>1183</v>
      </c>
      <c r="E6767" t="str">
        <f>IF(OR(E6766="&lt;/routeDistribution&gt;",E6766=""),"",IFERROR(_xlfn.CONCAT(VLOOKUP(AE24,Route_Column!#REF!,2,FALSE),CHAR(34)," probability=",CHAR(34),1/AE$4,CHAR(34),CHAR(47),CHAR(62)),"&lt;/routeDistribution&gt;"))</f>
        <v/>
      </c>
    </row>
    <row r="6768" spans="1:5" x14ac:dyDescent="0.25">
      <c r="A6768" t="s">
        <v>1747</v>
      </c>
      <c r="B6768" t="s">
        <v>1184</v>
      </c>
      <c r="E6768" t="str">
        <f>IF(OR(E6767="&lt;/routeDistribution&gt;",E6767=""),"",IFERROR(_xlfn.CONCAT(VLOOKUP(AE25,Route_Column!#REF!,2,FALSE),CHAR(34)," probability=",CHAR(34),1/AE$4,CHAR(34),CHAR(47),CHAR(62)),"&lt;/routeDistribution&gt;"))</f>
        <v/>
      </c>
    </row>
    <row r="6769" spans="1:5" x14ac:dyDescent="0.25">
      <c r="A6769" t="s">
        <v>1747</v>
      </c>
      <c r="B6769" t="s">
        <v>1185</v>
      </c>
      <c r="E6769" t="str">
        <f>IF(OR(E6768="&lt;/routeDistribution&gt;",E6768=""),"",IFERROR(_xlfn.CONCAT(VLOOKUP(AE26,Route_Column!#REF!,2,FALSE),CHAR(34)," probability=",CHAR(34),1/AE$4,CHAR(34),CHAR(47),CHAR(62)),"&lt;/routeDistribution&gt;"))</f>
        <v/>
      </c>
    </row>
    <row r="6770" spans="1:5" x14ac:dyDescent="0.25">
      <c r="A6770" t="s">
        <v>1747</v>
      </c>
      <c r="B6770" t="s">
        <v>1197</v>
      </c>
      <c r="E6770" t="str">
        <f>IF(OR(E6769="&lt;/routeDistribution&gt;",E6769=""),"",IFERROR(_xlfn.CONCAT(VLOOKUP(AE27,Route_Column!#REF!,2,FALSE),CHAR(34)," probability=",CHAR(34),1/AE$4,CHAR(34),CHAR(47),CHAR(62)),"&lt;/routeDistribution&gt;"))</f>
        <v/>
      </c>
    </row>
    <row r="6771" spans="1:5" x14ac:dyDescent="0.25">
      <c r="A6771" t="s">
        <v>1747</v>
      </c>
      <c r="B6771" t="s">
        <v>1198</v>
      </c>
      <c r="E6771" t="str">
        <f>IF(OR(E6770="&lt;/routeDistribution&gt;",E6770=""),"",IFERROR(_xlfn.CONCAT(VLOOKUP(AE28,Route_Column!#REF!,2,FALSE),CHAR(34)," probability=",CHAR(34),1/AE$4,CHAR(34),CHAR(47),CHAR(62)),"&lt;/routeDistribution&gt;"))</f>
        <v/>
      </c>
    </row>
    <row r="6772" spans="1:5" x14ac:dyDescent="0.25">
      <c r="A6772" t="s">
        <v>1747</v>
      </c>
      <c r="B6772" t="s">
        <v>1201</v>
      </c>
      <c r="E6772" t="str">
        <f>IF(OR(E6771="&lt;/routeDistribution&gt;",E6771=""),"",IFERROR(_xlfn.CONCAT(VLOOKUP(AE29,Route_Column!#REF!,2,FALSE),CHAR(34)," probability=",CHAR(34),1/AE$4,CHAR(34),CHAR(47),CHAR(62)),"&lt;/routeDistribution&gt;"))</f>
        <v/>
      </c>
    </row>
    <row r="6773" spans="1:5" x14ac:dyDescent="0.25">
      <c r="A6773" t="s">
        <v>1747</v>
      </c>
      <c r="B6773" t="s">
        <v>1206</v>
      </c>
      <c r="E6773" t="str">
        <f>IF(OR(E6772="&lt;/routeDistribution&gt;",E6772=""),"",IFERROR(_xlfn.CONCAT(VLOOKUP(AE30,Route_Column!#REF!,2,FALSE),CHAR(34)," probability=",CHAR(34),1/AE$4,CHAR(34),CHAR(47),CHAR(62)),"&lt;/routeDistribution&gt;"))</f>
        <v/>
      </c>
    </row>
    <row r="6774" spans="1:5" x14ac:dyDescent="0.25">
      <c r="A6774" t="s">
        <v>1747</v>
      </c>
      <c r="B6774" t="s">
        <v>1225</v>
      </c>
      <c r="E6774" t="str">
        <f>IF(OR(E6773="&lt;/routeDistribution&gt;",E6773=""),"",IFERROR(_xlfn.CONCAT(VLOOKUP(AE31,Route_Column!#REF!,2,FALSE),CHAR(34)," probability=",CHAR(34),1/AE$4,CHAR(34),CHAR(47),CHAR(62)),"&lt;/routeDistribution&gt;"))</f>
        <v/>
      </c>
    </row>
    <row r="6775" spans="1:5" x14ac:dyDescent="0.25">
      <c r="A6775" t="s">
        <v>1747</v>
      </c>
      <c r="B6775" t="s">
        <v>1225</v>
      </c>
      <c r="E6775" t="str">
        <f>IF(OR(E6774="&lt;/routeDistribution&gt;",E6774=""),"",IFERROR(_xlfn.CONCAT(VLOOKUP(AE32,Route_Column!#REF!,2,FALSE),CHAR(34)," probability=",CHAR(34),1/AE$4,CHAR(34),CHAR(47),CHAR(62)),"&lt;/routeDistribution&gt;"))</f>
        <v/>
      </c>
    </row>
    <row r="6776" spans="1:5" x14ac:dyDescent="0.25">
      <c r="A6776" t="s">
        <v>2276</v>
      </c>
      <c r="B6776" t="s">
        <v>1195</v>
      </c>
      <c r="E6776" t="str">
        <f>IF(OR(E6775="&lt;/routeDistribution&gt;",E6775=""),"",IFERROR(_xlfn.CONCAT(VLOOKUP(AE33,Route_Column!#REF!,2,FALSE),CHAR(34)," probability=",CHAR(34),1/AE$4,CHAR(34),CHAR(47),CHAR(62)),"&lt;/routeDistribution&gt;"))</f>
        <v/>
      </c>
    </row>
    <row r="6777" spans="1:5" x14ac:dyDescent="0.25">
      <c r="A6777" t="s">
        <v>2276</v>
      </c>
      <c r="B6777" t="s">
        <v>1196</v>
      </c>
      <c r="E6777" t="str">
        <f>IF(OR(E6776="&lt;/routeDistribution&gt;",E6776=""),"",IFERROR(_xlfn.CONCAT(VLOOKUP(AE34,Route_Column!#REF!,2,FALSE),CHAR(34)," probability=",CHAR(34),1/AE$4,CHAR(34),CHAR(47),CHAR(62)),"&lt;/routeDistribution&gt;"))</f>
        <v/>
      </c>
    </row>
    <row r="6778" spans="1:5" x14ac:dyDescent="0.25">
      <c r="A6778" t="s">
        <v>2247</v>
      </c>
      <c r="B6778" t="s">
        <v>1187</v>
      </c>
      <c r="E6778" t="str">
        <f>IF(OR(E6777="&lt;/routeDistribution&gt;",E6777=""),"",IFERROR(_xlfn.CONCAT(VLOOKUP(AE35,Route_Column!#REF!,2,FALSE),CHAR(34)," probability=",CHAR(34),1/AE$4,CHAR(34),CHAR(47),CHAR(62)),"&lt;/routeDistribution&gt;"))</f>
        <v/>
      </c>
    </row>
    <row r="6779" spans="1:5" x14ac:dyDescent="0.25">
      <c r="A6779" t="s">
        <v>2247</v>
      </c>
      <c r="B6779" t="s">
        <v>1188</v>
      </c>
      <c r="E6779" t="str">
        <f>IF(OR(E6778="&lt;/routeDistribution&gt;",E6778=""),"",IFERROR(_xlfn.CONCAT(VLOOKUP(AE36,Route_Column!#REF!,2,FALSE),CHAR(34)," probability=",CHAR(34),1/AE$4,CHAR(34),CHAR(47),CHAR(62)),"&lt;/routeDistribution&gt;"))</f>
        <v/>
      </c>
    </row>
    <row r="6780" spans="1:5" x14ac:dyDescent="0.25">
      <c r="A6780" t="s">
        <v>2247</v>
      </c>
      <c r="B6780" t="s">
        <v>1189</v>
      </c>
      <c r="E6780" t="str">
        <f>IF(OR(E6779="&lt;/routeDistribution&gt;",E6779=""),"",IFERROR(_xlfn.CONCAT(VLOOKUP(AE37,Route_Column!#REF!,2,FALSE),CHAR(34)," probability=",CHAR(34),1/AE$4,CHAR(34),CHAR(47),CHAR(62)),"&lt;/routeDistribution&gt;"))</f>
        <v/>
      </c>
    </row>
    <row r="6781" spans="1:5" x14ac:dyDescent="0.25">
      <c r="A6781" t="s">
        <v>1864</v>
      </c>
      <c r="B6781" t="s">
        <v>1112</v>
      </c>
      <c r="E6781" t="str">
        <f>IF(OR(E6780="&lt;/routeDistribution&gt;",E6780=""),"",IFERROR(_xlfn.CONCAT(VLOOKUP(AE38,Route_Column!#REF!,2,FALSE),CHAR(34)," probability=",CHAR(34),1/AE$4,CHAR(34),CHAR(47),CHAR(62)),"&lt;/routeDistribution&gt;"))</f>
        <v/>
      </c>
    </row>
    <row r="6782" spans="1:5" x14ac:dyDescent="0.25">
      <c r="A6782" t="s">
        <v>1864</v>
      </c>
      <c r="B6782" t="s">
        <v>1113</v>
      </c>
      <c r="E6782" t="str">
        <f>IF(OR(E6781="&lt;/routeDistribution&gt;",E6781=""),"",IFERROR(_xlfn.CONCAT(VLOOKUP(AE39,Route_Column!#REF!,2,FALSE),CHAR(34)," probability=",CHAR(34),1/AE$4,CHAR(34),CHAR(47),CHAR(62)),"&lt;/routeDistribution&gt;"))</f>
        <v/>
      </c>
    </row>
    <row r="6783" spans="1:5" x14ac:dyDescent="0.25">
      <c r="A6783" t="s">
        <v>1864</v>
      </c>
      <c r="B6783" t="s">
        <v>1114</v>
      </c>
      <c r="E6783" t="str">
        <f>IF(OR(E6782="&lt;/routeDistribution&gt;",E6782=""),"",IFERROR(_xlfn.CONCAT(VLOOKUP(AE40,Route_Column!#REF!,2,FALSE),CHAR(34)," probability=",CHAR(34),1/AE$4,CHAR(34),CHAR(47),CHAR(62)),"&lt;/routeDistribution&gt;"))</f>
        <v/>
      </c>
    </row>
    <row r="6784" spans="1:5" x14ac:dyDescent="0.25">
      <c r="A6784" t="s">
        <v>1864</v>
      </c>
      <c r="B6784" t="s">
        <v>1115</v>
      </c>
      <c r="E6784" t="str">
        <f>IF(OR(E6783="&lt;/routeDistribution&gt;",E6783=""),"",IFERROR(_xlfn.CONCAT(VLOOKUP(AE41,Route_Column!#REF!,2,FALSE),CHAR(34)," probability=",CHAR(34),1/AE$4,CHAR(34),CHAR(47),CHAR(62)),"&lt;/routeDistribution&gt;"))</f>
        <v/>
      </c>
    </row>
    <row r="6785" spans="1:5" x14ac:dyDescent="0.25">
      <c r="A6785" t="s">
        <v>1864</v>
      </c>
      <c r="B6785" t="s">
        <v>1166</v>
      </c>
      <c r="E6785" t="str">
        <f>IF(OR(E6784="&lt;/routeDistribution&gt;",E6784=""),"",IFERROR(_xlfn.CONCAT(VLOOKUP(AE42,Route_Column!#REF!,2,FALSE),CHAR(34)," probability=",CHAR(34),1/AE$4,CHAR(34),CHAR(47),CHAR(62)),"&lt;/routeDistribution&gt;"))</f>
        <v/>
      </c>
    </row>
    <row r="6786" spans="1:5" x14ac:dyDescent="0.25">
      <c r="A6786" t="s">
        <v>1864</v>
      </c>
      <c r="B6786" t="s">
        <v>1167</v>
      </c>
      <c r="E6786" t="str">
        <f>IF(OR(E6785="&lt;/routeDistribution&gt;",E6785=""),"",IFERROR(_xlfn.CONCAT(VLOOKUP(AE43,Route_Column!#REF!,2,FALSE),CHAR(34)," probability=",CHAR(34),1/AE$4,CHAR(34),CHAR(47),CHAR(62)),"&lt;/routeDistribution&gt;"))</f>
        <v/>
      </c>
    </row>
    <row r="6787" spans="1:5" x14ac:dyDescent="0.25">
      <c r="A6787" t="s">
        <v>1864</v>
      </c>
      <c r="B6787" t="s">
        <v>1168</v>
      </c>
      <c r="E6787" t="str">
        <f>IF(OR(E6786="&lt;/routeDistribution&gt;",E6786=""),"",IFERROR(_xlfn.CONCAT(VLOOKUP(AE44,Route_Column!#REF!,2,FALSE),CHAR(34)," probability=",CHAR(34),1/AE$4,CHAR(34),CHAR(47),CHAR(62)),"&lt;/routeDistribution&gt;"))</f>
        <v/>
      </c>
    </row>
    <row r="6788" spans="1:5" x14ac:dyDescent="0.25">
      <c r="A6788" t="s">
        <v>1864</v>
      </c>
      <c r="B6788" t="s">
        <v>1186</v>
      </c>
      <c r="E6788" t="str">
        <f>IF(OR(E6787="&lt;/routeDistribution&gt;",E6787=""),"",IFERROR(_xlfn.CONCAT(VLOOKUP(AE45,Route_Column!#REF!,2,FALSE),CHAR(34)," probability=",CHAR(34),1/AE$4,CHAR(34),CHAR(47),CHAR(62)),"&lt;/routeDistribution&gt;"))</f>
        <v/>
      </c>
    </row>
    <row r="6789" spans="1:5" x14ac:dyDescent="0.25">
      <c r="A6789" t="s">
        <v>1864</v>
      </c>
      <c r="B6789" t="s">
        <v>1187</v>
      </c>
      <c r="E6789" t="str">
        <f>IF(OR(E6788="&lt;/routeDistribution&gt;",E6788=""),"",IFERROR(_xlfn.CONCAT(VLOOKUP(AE46,Route_Column!#REF!,2,FALSE),CHAR(34)," probability=",CHAR(34),1/AE$4,CHAR(34),CHAR(47),CHAR(62)),"&lt;/routeDistribution&gt;"))</f>
        <v/>
      </c>
    </row>
    <row r="6790" spans="1:5" x14ac:dyDescent="0.25">
      <c r="A6790" t="s">
        <v>1864</v>
      </c>
      <c r="B6790" t="s">
        <v>1188</v>
      </c>
      <c r="E6790" t="str">
        <f>IF(OR(E6789="&lt;/routeDistribution&gt;",E6789=""),"",IFERROR(_xlfn.CONCAT(VLOOKUP(AE47,Route_Column!#REF!,2,FALSE),CHAR(34)," probability=",CHAR(34),1/AE$4,CHAR(34),CHAR(47),CHAR(62)),"&lt;/routeDistribution&gt;"))</f>
        <v/>
      </c>
    </row>
    <row r="6791" spans="1:5" x14ac:dyDescent="0.25">
      <c r="A6791" t="s">
        <v>1864</v>
      </c>
      <c r="B6791" t="s">
        <v>1189</v>
      </c>
      <c r="E6791" t="str">
        <f>IF(OR(E6790="&lt;/routeDistribution&gt;",E6790=""),"",IFERROR(_xlfn.CONCAT(VLOOKUP(AE48,Route_Column!#REF!,2,FALSE),CHAR(34)," probability=",CHAR(34),1/AE$4,CHAR(34),CHAR(47),CHAR(62)),"&lt;/routeDistribution&gt;"))</f>
        <v/>
      </c>
    </row>
    <row r="6792" spans="1:5" x14ac:dyDescent="0.25">
      <c r="A6792" t="s">
        <v>1864</v>
      </c>
      <c r="B6792" t="s">
        <v>1189</v>
      </c>
      <c r="E6792" t="str">
        <f>IF(OR(E6791="&lt;/routeDistribution&gt;",E6791=""),"",IFERROR(_xlfn.CONCAT(VLOOKUP(AE49,Route_Column!#REF!,2,FALSE),CHAR(34)," probability=",CHAR(34),1/AE$4,CHAR(34),CHAR(47),CHAR(62)),"&lt;/routeDistribution&gt;"))</f>
        <v/>
      </c>
    </row>
    <row r="6793" spans="1:5" x14ac:dyDescent="0.25">
      <c r="A6793" t="s">
        <v>1865</v>
      </c>
      <c r="B6793" t="s">
        <v>1112</v>
      </c>
      <c r="E6793" t="str">
        <f>IF(OR(E6792="&lt;/routeDistribution&gt;",E6792=""),"",IFERROR(_xlfn.CONCAT(VLOOKUP(AE50,Route_Column!#REF!,2,FALSE),CHAR(34)," probability=",CHAR(34),1/AE$4,CHAR(34),CHAR(47),CHAR(62)),"&lt;/routeDistribution&gt;"))</f>
        <v/>
      </c>
    </row>
    <row r="6794" spans="1:5" x14ac:dyDescent="0.25">
      <c r="A6794" t="s">
        <v>1865</v>
      </c>
      <c r="B6794" t="s">
        <v>1113</v>
      </c>
      <c r="E6794" t="str">
        <f>IF(OR(E6793="&lt;/routeDistribution&gt;",E6793=""),"",IFERROR(_xlfn.CONCAT(VLOOKUP(AE51,Route_Column!#REF!,2,FALSE),CHAR(34)," probability=",CHAR(34),1/AE$4,CHAR(34),CHAR(47),CHAR(62)),"&lt;/routeDistribution&gt;"))</f>
        <v/>
      </c>
    </row>
    <row r="6795" spans="1:5" x14ac:dyDescent="0.25">
      <c r="A6795" t="s">
        <v>1865</v>
      </c>
      <c r="B6795" t="s">
        <v>1114</v>
      </c>
      <c r="E6795" t="str">
        <f>IF(OR(E6794="&lt;/routeDistribution&gt;",E6794=""),"",IFERROR(_xlfn.CONCAT(VLOOKUP(AE52,Route_Column!#REF!,2,FALSE),CHAR(34)," probability=",CHAR(34),1/AE$4,CHAR(34),CHAR(47),CHAR(62)),"&lt;/routeDistribution&gt;"))</f>
        <v/>
      </c>
    </row>
    <row r="6796" spans="1:5" x14ac:dyDescent="0.25">
      <c r="A6796" t="s">
        <v>1865</v>
      </c>
      <c r="B6796" t="s">
        <v>1115</v>
      </c>
      <c r="E6796" t="str">
        <f>IF(OR(E6795="&lt;/routeDistribution&gt;",E6795=""),"",IFERROR(_xlfn.CONCAT(VLOOKUP(AE53,Route_Column!#REF!,2,FALSE),CHAR(34)," probability=",CHAR(34),1/AE$4,CHAR(34),CHAR(47),CHAR(62)),"&lt;/routeDistribution&gt;"))</f>
        <v/>
      </c>
    </row>
    <row r="6797" spans="1:5" x14ac:dyDescent="0.25">
      <c r="A6797" t="s">
        <v>1865</v>
      </c>
      <c r="B6797" t="s">
        <v>1166</v>
      </c>
      <c r="E6797" t="str">
        <f>IF(OR(E6796="&lt;/routeDistribution&gt;",E6796=""),"",IFERROR(_xlfn.CONCAT(VLOOKUP(AE54,Route_Column!#REF!,2,FALSE),CHAR(34)," probability=",CHAR(34),1/AE$4,CHAR(34),CHAR(47),CHAR(62)),"&lt;/routeDistribution&gt;"))</f>
        <v/>
      </c>
    </row>
    <row r="6798" spans="1:5" x14ac:dyDescent="0.25">
      <c r="A6798" t="s">
        <v>1865</v>
      </c>
      <c r="B6798" t="s">
        <v>1167</v>
      </c>
      <c r="E6798" t="str">
        <f>IF(OR(E6797="&lt;/routeDistribution&gt;",E6797=""),"",IFERROR(_xlfn.CONCAT(VLOOKUP(AE55,Route_Column!#REF!,2,FALSE),CHAR(34)," probability=",CHAR(34),1/AE$4,CHAR(34),CHAR(47),CHAR(62)),"&lt;/routeDistribution&gt;"))</f>
        <v/>
      </c>
    </row>
    <row r="6799" spans="1:5" x14ac:dyDescent="0.25">
      <c r="A6799" t="s">
        <v>1865</v>
      </c>
      <c r="B6799" t="s">
        <v>1168</v>
      </c>
      <c r="E6799" t="str">
        <f>IF(OR(E6798="&lt;/routeDistribution&gt;",E6798=""),"",IFERROR(_xlfn.CONCAT(VLOOKUP(AE56,Route_Column!#REF!,2,FALSE),CHAR(34)," probability=",CHAR(34),1/AE$4,CHAR(34),CHAR(47),CHAR(62)),"&lt;/routeDistribution&gt;"))</f>
        <v/>
      </c>
    </row>
    <row r="6800" spans="1:5" x14ac:dyDescent="0.25">
      <c r="A6800" t="s">
        <v>1865</v>
      </c>
      <c r="B6800" t="s">
        <v>1186</v>
      </c>
      <c r="E6800" t="str">
        <f>IF(OR(E6799="&lt;/routeDistribution&gt;",E6799=""),"",IFERROR(_xlfn.CONCAT(VLOOKUP(AE57,Route_Column!#REF!,2,FALSE),CHAR(34)," probability=",CHAR(34),1/AE$4,CHAR(34),CHAR(47),CHAR(62)),"&lt;/routeDistribution&gt;"))</f>
        <v/>
      </c>
    </row>
    <row r="6801" spans="1:5" x14ac:dyDescent="0.25">
      <c r="A6801" t="s">
        <v>1865</v>
      </c>
      <c r="B6801" t="s">
        <v>1189</v>
      </c>
      <c r="E6801" t="str">
        <f>IF(OR(E6800="&lt;/routeDistribution&gt;",E6800=""),"",IFERROR(_xlfn.CONCAT(VLOOKUP(AE58,Route_Column!#REF!,2,FALSE),CHAR(34)," probability=",CHAR(34),1/AE$4,CHAR(34),CHAR(47),CHAR(62)),"&lt;/routeDistribution&gt;"))</f>
        <v/>
      </c>
    </row>
    <row r="6802" spans="1:5" x14ac:dyDescent="0.25">
      <c r="A6802" t="s">
        <v>1942</v>
      </c>
      <c r="B6802" t="s">
        <v>1113</v>
      </c>
      <c r="E6802" t="str">
        <f>IF(OR(E6801="&lt;/routeDistribution&gt;",E6801=""),"",IFERROR(_xlfn.CONCAT(VLOOKUP(AE59,Route_Column!#REF!,2,FALSE),CHAR(34)," probability=",CHAR(34),1/AE$4,CHAR(34),CHAR(47),CHAR(62)),"&lt;/routeDistribution&gt;"))</f>
        <v/>
      </c>
    </row>
    <row r="6803" spans="1:5" x14ac:dyDescent="0.25">
      <c r="A6803" t="s">
        <v>1942</v>
      </c>
      <c r="B6803" t="s">
        <v>1114</v>
      </c>
      <c r="E6803" t="str">
        <f>IF(OR(E6802="&lt;/routeDistribution&gt;",E6802=""),"",IFERROR(_xlfn.CONCAT(VLOOKUP(AE60,Route_Column!#REF!,2,FALSE),CHAR(34)," probability=",CHAR(34),1/AE$4,CHAR(34),CHAR(47),CHAR(62)),"&lt;/routeDistribution&gt;"))</f>
        <v/>
      </c>
    </row>
    <row r="6804" spans="1:5" x14ac:dyDescent="0.25">
      <c r="A6804" t="s">
        <v>1942</v>
      </c>
      <c r="B6804" t="s">
        <v>1115</v>
      </c>
      <c r="E6804" t="str">
        <f>IF(OR(E6803="&lt;/routeDistribution&gt;",E6803=""),"",IFERROR(_xlfn.CONCAT(VLOOKUP(AE61,Route_Column!#REF!,2,FALSE),CHAR(34)," probability=",CHAR(34),1/AE$4,CHAR(34),CHAR(47),CHAR(62)),"&lt;/routeDistribution&gt;"))</f>
        <v/>
      </c>
    </row>
    <row r="6805" spans="1:5" x14ac:dyDescent="0.25">
      <c r="A6805" t="s">
        <v>1942</v>
      </c>
      <c r="B6805" t="s">
        <v>1133</v>
      </c>
      <c r="E6805" t="str">
        <f>IF(OR(E6804="&lt;/routeDistribution&gt;",E6804=""),"",IFERROR(_xlfn.CONCAT(VLOOKUP(AE62,Route_Column!#REF!,2,FALSE),CHAR(34)," probability=",CHAR(34),1/AE$4,CHAR(34),CHAR(47),CHAR(62)),"&lt;/routeDistribution&gt;"))</f>
        <v/>
      </c>
    </row>
    <row r="6806" spans="1:5" x14ac:dyDescent="0.25">
      <c r="A6806" t="s">
        <v>1942</v>
      </c>
      <c r="B6806" t="s">
        <v>1166</v>
      </c>
      <c r="E6806" t="str">
        <f>IF(OR(E6805="&lt;/routeDistribution&gt;",E6805=""),"",IFERROR(_xlfn.CONCAT(VLOOKUP(AE63,Route_Column!#REF!,2,FALSE),CHAR(34)," probability=",CHAR(34),1/AE$4,CHAR(34),CHAR(47),CHAR(62)),"&lt;/routeDistribution&gt;"))</f>
        <v/>
      </c>
    </row>
    <row r="6807" spans="1:5" x14ac:dyDescent="0.25">
      <c r="A6807" t="s">
        <v>1942</v>
      </c>
      <c r="B6807" t="s">
        <v>1167</v>
      </c>
      <c r="E6807" t="s">
        <v>2686</v>
      </c>
    </row>
    <row r="6808" spans="1:5" x14ac:dyDescent="0.25">
      <c r="A6808" t="s">
        <v>1942</v>
      </c>
      <c r="B6808" t="s">
        <v>1168</v>
      </c>
    </row>
    <row r="6809" spans="1:5" x14ac:dyDescent="0.25">
      <c r="A6809" t="s">
        <v>1942</v>
      </c>
      <c r="B6809" t="s">
        <v>1186</v>
      </c>
    </row>
    <row r="6810" spans="1:5" x14ac:dyDescent="0.25">
      <c r="A6810" t="s">
        <v>1942</v>
      </c>
      <c r="B6810" t="s">
        <v>1187</v>
      </c>
      <c r="E6810" t="str">
        <f>_xlfn.CONCAT($E$1,AD$2,$F$1)</f>
        <v>&lt;routeDistribution id="KILLave-27th-to-Bain-SB-2015-RouteProbe"&gt;</v>
      </c>
    </row>
    <row r="6811" spans="1:5" x14ac:dyDescent="0.25">
      <c r="A6811" t="s">
        <v>1942</v>
      </c>
      <c r="B6811" t="s">
        <v>1188</v>
      </c>
      <c r="E6811" t="str">
        <f>IF(OR(E6810="&lt;/routeDistribution&gt;",E6810=""),"",IFERROR(_xlfn.CONCAT(VLOOKUP(AD5,Route_Column!#REF!,2,FALSE),CHAR(34)," probability=",CHAR(34),1/AD$4,CHAR(34),CHAR(47),CHAR(62)),"&lt;/routeDistribution&gt;"))</f>
        <v>&lt;/routeDistribution&gt;</v>
      </c>
    </row>
    <row r="6812" spans="1:5" x14ac:dyDescent="0.25">
      <c r="A6812" t="s">
        <v>1942</v>
      </c>
      <c r="B6812" t="s">
        <v>1189</v>
      </c>
      <c r="E6812" t="str">
        <f>IF(OR(E6811="&lt;/routeDistribution&gt;",E6811=""),"",IFERROR(_xlfn.CONCAT(VLOOKUP(AD6,Route_Column!#REF!,2,FALSE),CHAR(34)," probability=",CHAR(34),1/AD$4,CHAR(34),CHAR(47),CHAR(62)),"&lt;/routeDistribution&gt;"))</f>
        <v/>
      </c>
    </row>
    <row r="6813" spans="1:5" x14ac:dyDescent="0.25">
      <c r="A6813" t="s">
        <v>1942</v>
      </c>
      <c r="B6813" t="s">
        <v>1195</v>
      </c>
      <c r="E6813" t="str">
        <f>IF(OR(E6812="&lt;/routeDistribution&gt;",E6812=""),"",IFERROR(_xlfn.CONCAT(VLOOKUP(AD7,Route_Column!#REF!,2,FALSE),CHAR(34)," probability=",CHAR(34),1/AD$4,CHAR(34),CHAR(47),CHAR(62)),"&lt;/routeDistribution&gt;"))</f>
        <v/>
      </c>
    </row>
    <row r="6814" spans="1:5" x14ac:dyDescent="0.25">
      <c r="A6814" t="s">
        <v>1942</v>
      </c>
      <c r="B6814" t="s">
        <v>1196</v>
      </c>
      <c r="E6814" t="str">
        <f>IF(OR(E6813="&lt;/routeDistribution&gt;",E6813=""),"",IFERROR(_xlfn.CONCAT(VLOOKUP(AD8,Route_Column!#REF!,2,FALSE),CHAR(34)," probability=",CHAR(34),1/AD$4,CHAR(34),CHAR(47),CHAR(62)),"&lt;/routeDistribution&gt;"))</f>
        <v/>
      </c>
    </row>
    <row r="6815" spans="1:5" x14ac:dyDescent="0.25">
      <c r="A6815" t="s">
        <v>1943</v>
      </c>
      <c r="B6815" t="s">
        <v>1113</v>
      </c>
      <c r="E6815" t="str">
        <f>IF(OR(E6814="&lt;/routeDistribution&gt;",E6814=""),"",IFERROR(_xlfn.CONCAT(VLOOKUP(AD9,Route_Column!#REF!,2,FALSE),CHAR(34)," probability=",CHAR(34),1/AD$4,CHAR(34),CHAR(47),CHAR(62)),"&lt;/routeDistribution&gt;"))</f>
        <v/>
      </c>
    </row>
    <row r="6816" spans="1:5" x14ac:dyDescent="0.25">
      <c r="A6816" t="s">
        <v>1943</v>
      </c>
      <c r="B6816" t="s">
        <v>1114</v>
      </c>
      <c r="E6816" t="str">
        <f>IF(OR(E6815="&lt;/routeDistribution&gt;",E6815=""),"",IFERROR(_xlfn.CONCAT(VLOOKUP(AD10,Route_Column!#REF!,2,FALSE),CHAR(34)," probability=",CHAR(34),1/AD$4,CHAR(34),CHAR(47),CHAR(62)),"&lt;/routeDistribution&gt;"))</f>
        <v/>
      </c>
    </row>
    <row r="6817" spans="1:5" x14ac:dyDescent="0.25">
      <c r="A6817" t="s">
        <v>1943</v>
      </c>
      <c r="B6817" t="s">
        <v>1115</v>
      </c>
      <c r="E6817" t="str">
        <f>IF(OR(E6816="&lt;/routeDistribution&gt;",E6816=""),"",IFERROR(_xlfn.CONCAT(VLOOKUP(AD11,Route_Column!#REF!,2,FALSE),CHAR(34)," probability=",CHAR(34),1/AD$4,CHAR(34),CHAR(47),CHAR(62)),"&lt;/routeDistribution&gt;"))</f>
        <v/>
      </c>
    </row>
    <row r="6818" spans="1:5" x14ac:dyDescent="0.25">
      <c r="A6818" t="s">
        <v>1943</v>
      </c>
      <c r="B6818" t="s">
        <v>1133</v>
      </c>
      <c r="E6818" t="str">
        <f>IF(OR(E6817="&lt;/routeDistribution&gt;",E6817=""),"",IFERROR(_xlfn.CONCAT(VLOOKUP(AD12,Route_Column!#REF!,2,FALSE),CHAR(34)," probability=",CHAR(34),1/AD$4,CHAR(34),CHAR(47),CHAR(62)),"&lt;/routeDistribution&gt;"))</f>
        <v/>
      </c>
    </row>
    <row r="6819" spans="1:5" x14ac:dyDescent="0.25">
      <c r="A6819" t="s">
        <v>1943</v>
      </c>
      <c r="B6819" t="s">
        <v>1166</v>
      </c>
      <c r="E6819" t="str">
        <f>IF(OR(E6818="&lt;/routeDistribution&gt;",E6818=""),"",IFERROR(_xlfn.CONCAT(VLOOKUP(AD13,Route_Column!#REF!,2,FALSE),CHAR(34)," probability=",CHAR(34),1/AD$4,CHAR(34),CHAR(47),CHAR(62)),"&lt;/routeDistribution&gt;"))</f>
        <v/>
      </c>
    </row>
    <row r="6820" spans="1:5" x14ac:dyDescent="0.25">
      <c r="A6820" t="s">
        <v>1943</v>
      </c>
      <c r="B6820" t="s">
        <v>1167</v>
      </c>
      <c r="E6820" t="str">
        <f>IF(OR(E6819="&lt;/routeDistribution&gt;",E6819=""),"",IFERROR(_xlfn.CONCAT(VLOOKUP(AD14,Route_Column!#REF!,2,FALSE),CHAR(34)," probability=",CHAR(34),1/AD$4,CHAR(34),CHAR(47),CHAR(62)),"&lt;/routeDistribution&gt;"))</f>
        <v/>
      </c>
    </row>
    <row r="6821" spans="1:5" x14ac:dyDescent="0.25">
      <c r="A6821" t="s">
        <v>1943</v>
      </c>
      <c r="B6821" t="s">
        <v>1168</v>
      </c>
      <c r="E6821" t="str">
        <f>IF(OR(E6820="&lt;/routeDistribution&gt;",E6820=""),"",IFERROR(_xlfn.CONCAT(VLOOKUP(AD15,Route_Column!#REF!,2,FALSE),CHAR(34)," probability=",CHAR(34),1/AD$4,CHAR(34),CHAR(47),CHAR(62)),"&lt;/routeDistribution&gt;"))</f>
        <v/>
      </c>
    </row>
    <row r="6822" spans="1:5" x14ac:dyDescent="0.25">
      <c r="A6822" t="s">
        <v>1943</v>
      </c>
      <c r="B6822" t="s">
        <v>1186</v>
      </c>
      <c r="E6822" t="str">
        <f>IF(OR(E6821="&lt;/routeDistribution&gt;",E6821=""),"",IFERROR(_xlfn.CONCAT(VLOOKUP(AD16,Route_Column!#REF!,2,FALSE),CHAR(34)," probability=",CHAR(34),1/AD$4,CHAR(34),CHAR(47),CHAR(62)),"&lt;/routeDistribution&gt;"))</f>
        <v/>
      </c>
    </row>
    <row r="6823" spans="1:5" x14ac:dyDescent="0.25">
      <c r="A6823" t="s">
        <v>1943</v>
      </c>
      <c r="B6823" t="s">
        <v>1187</v>
      </c>
      <c r="E6823" t="str">
        <f>IF(OR(E6822="&lt;/routeDistribution&gt;",E6822=""),"",IFERROR(_xlfn.CONCAT(VLOOKUP(AD17,Route_Column!#REF!,2,FALSE),CHAR(34)," probability=",CHAR(34),1/AD$4,CHAR(34),CHAR(47),CHAR(62)),"&lt;/routeDistribution&gt;"))</f>
        <v/>
      </c>
    </row>
    <row r="6824" spans="1:5" x14ac:dyDescent="0.25">
      <c r="A6824" t="s">
        <v>1943</v>
      </c>
      <c r="B6824" t="s">
        <v>1188</v>
      </c>
      <c r="E6824" t="str">
        <f>IF(OR(E6823="&lt;/routeDistribution&gt;",E6823=""),"",IFERROR(_xlfn.CONCAT(VLOOKUP(AD18,Route_Column!#REF!,2,FALSE),CHAR(34)," probability=",CHAR(34),1/AD$4,CHAR(34),CHAR(47),CHAR(62)),"&lt;/routeDistribution&gt;"))</f>
        <v/>
      </c>
    </row>
    <row r="6825" spans="1:5" x14ac:dyDescent="0.25">
      <c r="A6825" t="s">
        <v>1943</v>
      </c>
      <c r="B6825" t="s">
        <v>1189</v>
      </c>
      <c r="E6825" t="str">
        <f>IF(OR(E6824="&lt;/routeDistribution&gt;",E6824=""),"",IFERROR(_xlfn.CONCAT(VLOOKUP(AD19,Route_Column!#REF!,2,FALSE),CHAR(34)," probability=",CHAR(34),1/AD$4,CHAR(34),CHAR(47),CHAR(62)),"&lt;/routeDistribution&gt;"))</f>
        <v/>
      </c>
    </row>
    <row r="6826" spans="1:5" x14ac:dyDescent="0.25">
      <c r="A6826" t="s">
        <v>1943</v>
      </c>
      <c r="B6826" t="s">
        <v>1195</v>
      </c>
      <c r="E6826" t="str">
        <f>IF(OR(E6825="&lt;/routeDistribution&gt;",E6825=""),"",IFERROR(_xlfn.CONCAT(VLOOKUP(AD20,Route_Column!#REF!,2,FALSE),CHAR(34)," probability=",CHAR(34),1/AD$4,CHAR(34),CHAR(47),CHAR(62)),"&lt;/routeDistribution&gt;"))</f>
        <v/>
      </c>
    </row>
    <row r="6827" spans="1:5" x14ac:dyDescent="0.25">
      <c r="A6827" t="s">
        <v>1943</v>
      </c>
      <c r="B6827" t="s">
        <v>1196</v>
      </c>
      <c r="E6827" t="str">
        <f>IF(OR(E6826="&lt;/routeDistribution&gt;",E6826=""),"",IFERROR(_xlfn.CONCAT(VLOOKUP(AD21,Route_Column!#REF!,2,FALSE),CHAR(34)," probability=",CHAR(34),1/AD$4,CHAR(34),CHAR(47),CHAR(62)),"&lt;/routeDistribution&gt;"))</f>
        <v/>
      </c>
    </row>
    <row r="6828" spans="1:5" x14ac:dyDescent="0.25">
      <c r="A6828" t="s">
        <v>1563</v>
      </c>
      <c r="B6828" t="s">
        <v>1094</v>
      </c>
      <c r="E6828" t="str">
        <f>IF(OR(E6827="&lt;/routeDistribution&gt;",E6827=""),"",IFERROR(_xlfn.CONCAT(VLOOKUP(AD22,Route_Column!#REF!,2,FALSE),CHAR(34)," probability=",CHAR(34),1/AD$4,CHAR(34),CHAR(47),CHAR(62)),"&lt;/routeDistribution&gt;"))</f>
        <v/>
      </c>
    </row>
    <row r="6829" spans="1:5" x14ac:dyDescent="0.25">
      <c r="A6829" t="s">
        <v>1563</v>
      </c>
      <c r="B6829" t="s">
        <v>1151</v>
      </c>
      <c r="E6829" t="str">
        <f>IF(OR(E6828="&lt;/routeDistribution&gt;",E6828=""),"",IFERROR(_xlfn.CONCAT(VLOOKUP(AD23,Route_Column!#REF!,2,FALSE),CHAR(34)," probability=",CHAR(34),1/AD$4,CHAR(34),CHAR(47),CHAR(62)),"&lt;/routeDistribution&gt;"))</f>
        <v/>
      </c>
    </row>
    <row r="6830" spans="1:5" x14ac:dyDescent="0.25">
      <c r="A6830" t="s">
        <v>1563</v>
      </c>
      <c r="B6830" t="s">
        <v>1159</v>
      </c>
      <c r="E6830" t="str">
        <f>IF(OR(E6829="&lt;/routeDistribution&gt;",E6829=""),"",IFERROR(_xlfn.CONCAT(VLOOKUP(AD24,Route_Column!#REF!,2,FALSE),CHAR(34)," probability=",CHAR(34),1/AD$4,CHAR(34),CHAR(47),CHAR(62)),"&lt;/routeDistribution&gt;"))</f>
        <v/>
      </c>
    </row>
    <row r="6831" spans="1:5" x14ac:dyDescent="0.25">
      <c r="A6831" t="s">
        <v>1563</v>
      </c>
      <c r="B6831" t="s">
        <v>1179</v>
      </c>
      <c r="E6831" t="str">
        <f>IF(OR(E6830="&lt;/routeDistribution&gt;",E6830=""),"",IFERROR(_xlfn.CONCAT(VLOOKUP(AD25,Route_Column!#REF!,2,FALSE),CHAR(34)," probability=",CHAR(34),1/AD$4,CHAR(34),CHAR(47),CHAR(62)),"&lt;/routeDistribution&gt;"))</f>
        <v/>
      </c>
    </row>
    <row r="6832" spans="1:5" x14ac:dyDescent="0.25">
      <c r="A6832" t="s">
        <v>1563</v>
      </c>
      <c r="B6832" t="s">
        <v>1190</v>
      </c>
      <c r="E6832" t="str">
        <f>IF(OR(E6831="&lt;/routeDistribution&gt;",E6831=""),"",IFERROR(_xlfn.CONCAT(VLOOKUP(AD26,Route_Column!#REF!,2,FALSE),CHAR(34)," probability=",CHAR(34),1/AD$4,CHAR(34),CHAR(47),CHAR(62)),"&lt;/routeDistribution&gt;"))</f>
        <v/>
      </c>
    </row>
    <row r="6833" spans="1:5" x14ac:dyDescent="0.25">
      <c r="A6833" t="s">
        <v>1563</v>
      </c>
      <c r="B6833" t="s">
        <v>1208</v>
      </c>
      <c r="E6833" t="str">
        <f>IF(OR(E6832="&lt;/routeDistribution&gt;",E6832=""),"",IFERROR(_xlfn.CONCAT(VLOOKUP(AD27,Route_Column!#REF!,2,FALSE),CHAR(34)," probability=",CHAR(34),1/AD$4,CHAR(34),CHAR(47),CHAR(62)),"&lt;/routeDistribution&gt;"))</f>
        <v/>
      </c>
    </row>
    <row r="6834" spans="1:5" x14ac:dyDescent="0.25">
      <c r="A6834" t="s">
        <v>1563</v>
      </c>
      <c r="B6834" t="s">
        <v>1234</v>
      </c>
      <c r="E6834" t="str">
        <f>IF(OR(E6833="&lt;/routeDistribution&gt;",E6833=""),"",IFERROR(_xlfn.CONCAT(VLOOKUP(AD28,Route_Column!#REF!,2,FALSE),CHAR(34)," probability=",CHAR(34),1/AD$4,CHAR(34),CHAR(47),CHAR(62)),"&lt;/routeDistribution&gt;"))</f>
        <v/>
      </c>
    </row>
    <row r="6835" spans="1:5" x14ac:dyDescent="0.25">
      <c r="A6835" t="s">
        <v>1564</v>
      </c>
      <c r="B6835" t="s">
        <v>1094</v>
      </c>
      <c r="E6835" t="str">
        <f>IF(OR(E6834="&lt;/routeDistribution&gt;",E6834=""),"",IFERROR(_xlfn.CONCAT(VLOOKUP(AD29,Route_Column!#REF!,2,FALSE),CHAR(34)," probability=",CHAR(34),1/AD$4,CHAR(34),CHAR(47),CHAR(62)),"&lt;/routeDistribution&gt;"))</f>
        <v/>
      </c>
    </row>
    <row r="6836" spans="1:5" x14ac:dyDescent="0.25">
      <c r="A6836" t="s">
        <v>1564</v>
      </c>
      <c r="B6836" t="s">
        <v>1151</v>
      </c>
      <c r="E6836" t="str">
        <f>IF(OR(E6835="&lt;/routeDistribution&gt;",E6835=""),"",IFERROR(_xlfn.CONCAT(VLOOKUP(AD30,Route_Column!#REF!,2,FALSE),CHAR(34)," probability=",CHAR(34),1/AD$4,CHAR(34),CHAR(47),CHAR(62)),"&lt;/routeDistribution&gt;"))</f>
        <v/>
      </c>
    </row>
    <row r="6837" spans="1:5" x14ac:dyDescent="0.25">
      <c r="A6837" t="s">
        <v>1564</v>
      </c>
      <c r="B6837" t="s">
        <v>1159</v>
      </c>
      <c r="E6837" t="str">
        <f>IF(OR(E6836="&lt;/routeDistribution&gt;",E6836=""),"",IFERROR(_xlfn.CONCAT(VLOOKUP(AD31,Route_Column!#REF!,2,FALSE),CHAR(34)," probability=",CHAR(34),1/AD$4,CHAR(34),CHAR(47),CHAR(62)),"&lt;/routeDistribution&gt;"))</f>
        <v/>
      </c>
    </row>
    <row r="6838" spans="1:5" x14ac:dyDescent="0.25">
      <c r="A6838" t="s">
        <v>1564</v>
      </c>
      <c r="B6838" t="s">
        <v>1179</v>
      </c>
      <c r="E6838" t="str">
        <f>IF(OR(E6837="&lt;/routeDistribution&gt;",E6837=""),"",IFERROR(_xlfn.CONCAT(VLOOKUP(AD32,Route_Column!#REF!,2,FALSE),CHAR(34)," probability=",CHAR(34),1/AD$4,CHAR(34),CHAR(47),CHAR(62)),"&lt;/routeDistribution&gt;"))</f>
        <v/>
      </c>
    </row>
    <row r="6839" spans="1:5" x14ac:dyDescent="0.25">
      <c r="A6839" t="s">
        <v>1564</v>
      </c>
      <c r="B6839" t="s">
        <v>1190</v>
      </c>
      <c r="E6839" t="str">
        <f>IF(OR(E6838="&lt;/routeDistribution&gt;",E6838=""),"",IFERROR(_xlfn.CONCAT(VLOOKUP(AD33,Route_Column!#REF!,2,FALSE),CHAR(34)," probability=",CHAR(34),1/AD$4,CHAR(34),CHAR(47),CHAR(62)),"&lt;/routeDistribution&gt;"))</f>
        <v/>
      </c>
    </row>
    <row r="6840" spans="1:5" x14ac:dyDescent="0.25">
      <c r="A6840" t="s">
        <v>1564</v>
      </c>
      <c r="B6840" t="s">
        <v>1208</v>
      </c>
      <c r="E6840" t="str">
        <f>IF(OR(E6839="&lt;/routeDistribution&gt;",E6839=""),"",IFERROR(_xlfn.CONCAT(VLOOKUP(AD34,Route_Column!#REF!,2,FALSE),CHAR(34)," probability=",CHAR(34),1/AD$4,CHAR(34),CHAR(47),CHAR(62)),"&lt;/routeDistribution&gt;"))</f>
        <v/>
      </c>
    </row>
    <row r="6841" spans="1:5" x14ac:dyDescent="0.25">
      <c r="A6841" t="s">
        <v>1564</v>
      </c>
      <c r="B6841" t="s">
        <v>1234</v>
      </c>
      <c r="E6841" t="str">
        <f>IF(OR(E6840="&lt;/routeDistribution&gt;",E6840=""),"",IFERROR(_xlfn.CONCAT(VLOOKUP(AD35,Route_Column!#REF!,2,FALSE),CHAR(34)," probability=",CHAR(34),1/AD$4,CHAR(34),CHAR(47),CHAR(62)),"&lt;/routeDistribution&gt;"))</f>
        <v/>
      </c>
    </row>
    <row r="6842" spans="1:5" x14ac:dyDescent="0.25">
      <c r="A6842" t="s">
        <v>1573</v>
      </c>
      <c r="B6842" t="s">
        <v>1095</v>
      </c>
      <c r="E6842" t="str">
        <f>IF(OR(E6841="&lt;/routeDistribution&gt;",E6841=""),"",IFERROR(_xlfn.CONCAT(VLOOKUP(AD36,Route_Column!#REF!,2,FALSE),CHAR(34)," probability=",CHAR(34),1/AD$4,CHAR(34),CHAR(47),CHAR(62)),"&lt;/routeDistribution&gt;"))</f>
        <v/>
      </c>
    </row>
    <row r="6843" spans="1:5" x14ac:dyDescent="0.25">
      <c r="A6843" t="s">
        <v>1573</v>
      </c>
      <c r="B6843" t="s">
        <v>1102</v>
      </c>
      <c r="E6843" t="str">
        <f>IF(OR(E6842="&lt;/routeDistribution&gt;",E6842=""),"",IFERROR(_xlfn.CONCAT(VLOOKUP(AD37,Route_Column!#REF!,2,FALSE),CHAR(34)," probability=",CHAR(34),1/AD$4,CHAR(34),CHAR(47),CHAR(62)),"&lt;/routeDistribution&gt;"))</f>
        <v/>
      </c>
    </row>
    <row r="6844" spans="1:5" x14ac:dyDescent="0.25">
      <c r="A6844" t="s">
        <v>1573</v>
      </c>
      <c r="B6844" t="s">
        <v>1110</v>
      </c>
      <c r="E6844" t="str">
        <f>IF(OR(E6843="&lt;/routeDistribution&gt;",E6843=""),"",IFERROR(_xlfn.CONCAT(VLOOKUP(AD38,Route_Column!#REF!,2,FALSE),CHAR(34)," probability=",CHAR(34),1/AD$4,CHAR(34),CHAR(47),CHAR(62)),"&lt;/routeDistribution&gt;"))</f>
        <v/>
      </c>
    </row>
    <row r="6845" spans="1:5" x14ac:dyDescent="0.25">
      <c r="A6845" t="s">
        <v>1573</v>
      </c>
      <c r="B6845" t="s">
        <v>1112</v>
      </c>
      <c r="E6845" t="str">
        <f>IF(OR(E6844="&lt;/routeDistribution&gt;",E6844=""),"",IFERROR(_xlfn.CONCAT(VLOOKUP(AD39,Route_Column!#REF!,2,FALSE),CHAR(34)," probability=",CHAR(34),1/AD$4,CHAR(34),CHAR(47),CHAR(62)),"&lt;/routeDistribution&gt;"))</f>
        <v/>
      </c>
    </row>
    <row r="6846" spans="1:5" x14ac:dyDescent="0.25">
      <c r="A6846" t="s">
        <v>1573</v>
      </c>
      <c r="B6846" t="s">
        <v>1130</v>
      </c>
      <c r="E6846" t="str">
        <f>IF(OR(E6845="&lt;/routeDistribution&gt;",E6845=""),"",IFERROR(_xlfn.CONCAT(VLOOKUP(AD40,Route_Column!#REF!,2,FALSE),CHAR(34)," probability=",CHAR(34),1/AD$4,CHAR(34),CHAR(47),CHAR(62)),"&lt;/routeDistribution&gt;"))</f>
        <v/>
      </c>
    </row>
    <row r="6847" spans="1:5" x14ac:dyDescent="0.25">
      <c r="A6847" t="s">
        <v>1573</v>
      </c>
      <c r="B6847" t="s">
        <v>1130</v>
      </c>
      <c r="E6847" t="str">
        <f>IF(OR(E6846="&lt;/routeDistribution&gt;",E6846=""),"",IFERROR(_xlfn.CONCAT(VLOOKUP(AD41,Route_Column!#REF!,2,FALSE),CHAR(34)," probability=",CHAR(34),1/AD$4,CHAR(34),CHAR(47),CHAR(62)),"&lt;/routeDistribution&gt;"))</f>
        <v/>
      </c>
    </row>
    <row r="6848" spans="1:5" x14ac:dyDescent="0.25">
      <c r="A6848" t="s">
        <v>1573</v>
      </c>
      <c r="B6848" t="s">
        <v>1131</v>
      </c>
      <c r="E6848" t="str">
        <f>IF(OR(E6847="&lt;/routeDistribution&gt;",E6847=""),"",IFERROR(_xlfn.CONCAT(VLOOKUP(AD42,Route_Column!#REF!,2,FALSE),CHAR(34)," probability=",CHAR(34),1/AD$4,CHAR(34),CHAR(47),CHAR(62)),"&lt;/routeDistribution&gt;"))</f>
        <v/>
      </c>
    </row>
    <row r="6849" spans="1:5" x14ac:dyDescent="0.25">
      <c r="A6849" t="s">
        <v>1573</v>
      </c>
      <c r="B6849" t="s">
        <v>1131</v>
      </c>
      <c r="E6849" t="str">
        <f>IF(OR(E6848="&lt;/routeDistribution&gt;",E6848=""),"",IFERROR(_xlfn.CONCAT(VLOOKUP(AD43,Route_Column!#REF!,2,FALSE),CHAR(34)," probability=",CHAR(34),1/AD$4,CHAR(34),CHAR(47),CHAR(62)),"&lt;/routeDistribution&gt;"))</f>
        <v/>
      </c>
    </row>
    <row r="6850" spans="1:5" x14ac:dyDescent="0.25">
      <c r="A6850" t="s">
        <v>1573</v>
      </c>
      <c r="B6850" t="s">
        <v>1132</v>
      </c>
      <c r="E6850" t="str">
        <f>IF(OR(E6849="&lt;/routeDistribution&gt;",E6849=""),"",IFERROR(_xlfn.CONCAT(VLOOKUP(AD44,Route_Column!#REF!,2,FALSE),CHAR(34)," probability=",CHAR(34),1/AD$4,CHAR(34),CHAR(47),CHAR(62)),"&lt;/routeDistribution&gt;"))</f>
        <v/>
      </c>
    </row>
    <row r="6851" spans="1:5" x14ac:dyDescent="0.25">
      <c r="A6851" t="s">
        <v>1573</v>
      </c>
      <c r="B6851" t="s">
        <v>1133</v>
      </c>
      <c r="E6851" t="str">
        <f>IF(OR(E6850="&lt;/routeDistribution&gt;",E6850=""),"",IFERROR(_xlfn.CONCAT(VLOOKUP(AD45,Route_Column!#REF!,2,FALSE),CHAR(34)," probability=",CHAR(34),1/AD$4,CHAR(34),CHAR(47),CHAR(62)),"&lt;/routeDistribution&gt;"))</f>
        <v/>
      </c>
    </row>
    <row r="6852" spans="1:5" x14ac:dyDescent="0.25">
      <c r="A6852" t="s">
        <v>1573</v>
      </c>
      <c r="B6852" t="s">
        <v>1134</v>
      </c>
      <c r="E6852" t="str">
        <f>IF(OR(E6851="&lt;/routeDistribution&gt;",E6851=""),"",IFERROR(_xlfn.CONCAT(VLOOKUP(AD46,Route_Column!#REF!,2,FALSE),CHAR(34)," probability=",CHAR(34),1/AD$4,CHAR(34),CHAR(47),CHAR(62)),"&lt;/routeDistribution&gt;"))</f>
        <v/>
      </c>
    </row>
    <row r="6853" spans="1:5" x14ac:dyDescent="0.25">
      <c r="A6853" t="s">
        <v>1573</v>
      </c>
      <c r="B6853" t="s">
        <v>1138</v>
      </c>
      <c r="E6853" t="str">
        <f>IF(OR(E6852="&lt;/routeDistribution&gt;",E6852=""),"",IFERROR(_xlfn.CONCAT(VLOOKUP(AD47,Route_Column!#REF!,2,FALSE),CHAR(34)," probability=",CHAR(34),1/AD$4,CHAR(34),CHAR(47),CHAR(62)),"&lt;/routeDistribution&gt;"))</f>
        <v/>
      </c>
    </row>
    <row r="6854" spans="1:5" x14ac:dyDescent="0.25">
      <c r="A6854" t="s">
        <v>1573</v>
      </c>
      <c r="B6854" t="s">
        <v>1138</v>
      </c>
      <c r="E6854" t="str">
        <f>IF(OR(E6853="&lt;/routeDistribution&gt;",E6853=""),"",IFERROR(_xlfn.CONCAT(VLOOKUP(AD48,Route_Column!#REF!,2,FALSE),CHAR(34)," probability=",CHAR(34),1/AD$4,CHAR(34),CHAR(47),CHAR(62)),"&lt;/routeDistribution&gt;"))</f>
        <v/>
      </c>
    </row>
    <row r="6855" spans="1:5" x14ac:dyDescent="0.25">
      <c r="A6855" t="s">
        <v>1573</v>
      </c>
      <c r="B6855" t="s">
        <v>1145</v>
      </c>
      <c r="E6855" t="str">
        <f>IF(OR(E6854="&lt;/routeDistribution&gt;",E6854=""),"",IFERROR(_xlfn.CONCAT(VLOOKUP(AD49,Route_Column!#REF!,2,FALSE),CHAR(34)," probability=",CHAR(34),1/AD$4,CHAR(34),CHAR(47),CHAR(62)),"&lt;/routeDistribution&gt;"))</f>
        <v/>
      </c>
    </row>
    <row r="6856" spans="1:5" x14ac:dyDescent="0.25">
      <c r="A6856" t="s">
        <v>1573</v>
      </c>
      <c r="B6856" t="s">
        <v>1154</v>
      </c>
      <c r="E6856" t="str">
        <f>IF(OR(E6855="&lt;/routeDistribution&gt;",E6855=""),"",IFERROR(_xlfn.CONCAT(VLOOKUP(AD50,Route_Column!#REF!,2,FALSE),CHAR(34)," probability=",CHAR(34),1/AD$4,CHAR(34),CHAR(47),CHAR(62)),"&lt;/routeDistribution&gt;"))</f>
        <v/>
      </c>
    </row>
    <row r="6857" spans="1:5" x14ac:dyDescent="0.25">
      <c r="A6857" t="s">
        <v>1573</v>
      </c>
      <c r="B6857" t="s">
        <v>1154</v>
      </c>
      <c r="E6857" t="str">
        <f>IF(OR(E6856="&lt;/routeDistribution&gt;",E6856=""),"",IFERROR(_xlfn.CONCAT(VLOOKUP(AD51,Route_Column!#REF!,2,FALSE),CHAR(34)," probability=",CHAR(34),1/AD$4,CHAR(34),CHAR(47),CHAR(62)),"&lt;/routeDistribution&gt;"))</f>
        <v/>
      </c>
    </row>
    <row r="6858" spans="1:5" x14ac:dyDescent="0.25">
      <c r="A6858" t="s">
        <v>1573</v>
      </c>
      <c r="B6858" t="s">
        <v>1172</v>
      </c>
      <c r="E6858" t="str">
        <f>IF(OR(E6857="&lt;/routeDistribution&gt;",E6857=""),"",IFERROR(_xlfn.CONCAT(VLOOKUP(AD52,Route_Column!#REF!,2,FALSE),CHAR(34)," probability=",CHAR(34),1/AD$4,CHAR(34),CHAR(47),CHAR(62)),"&lt;/routeDistribution&gt;"))</f>
        <v/>
      </c>
    </row>
    <row r="6859" spans="1:5" x14ac:dyDescent="0.25">
      <c r="A6859" t="s">
        <v>1573</v>
      </c>
      <c r="B6859" t="s">
        <v>1180</v>
      </c>
      <c r="E6859" t="str">
        <f>IF(OR(E6858="&lt;/routeDistribution&gt;",E6858=""),"",IFERROR(_xlfn.CONCAT(VLOOKUP(AD53,Route_Column!#REF!,2,FALSE),CHAR(34)," probability=",CHAR(34),1/AD$4,CHAR(34),CHAR(47),CHAR(62)),"&lt;/routeDistribution&gt;"))</f>
        <v/>
      </c>
    </row>
    <row r="6860" spans="1:5" x14ac:dyDescent="0.25">
      <c r="A6860" t="s">
        <v>1573</v>
      </c>
      <c r="B6860" t="s">
        <v>1180</v>
      </c>
      <c r="E6860" t="str">
        <f>IF(OR(E6859="&lt;/routeDistribution&gt;",E6859=""),"",IFERROR(_xlfn.CONCAT(VLOOKUP(AD54,Route_Column!#REF!,2,FALSE),CHAR(34)," probability=",CHAR(34),1/AD$4,CHAR(34),CHAR(47),CHAR(62)),"&lt;/routeDistribution&gt;"))</f>
        <v/>
      </c>
    </row>
    <row r="6861" spans="1:5" x14ac:dyDescent="0.25">
      <c r="A6861" t="s">
        <v>1573</v>
      </c>
      <c r="B6861" t="s">
        <v>1181</v>
      </c>
      <c r="E6861" t="str">
        <f>IF(OR(E6860="&lt;/routeDistribution&gt;",E6860=""),"",IFERROR(_xlfn.CONCAT(VLOOKUP(AD55,Route_Column!#REF!,2,FALSE),CHAR(34)," probability=",CHAR(34),1/AD$4,CHAR(34),CHAR(47),CHAR(62)),"&lt;/routeDistribution&gt;"))</f>
        <v/>
      </c>
    </row>
    <row r="6862" spans="1:5" x14ac:dyDescent="0.25">
      <c r="A6862" t="s">
        <v>1573</v>
      </c>
      <c r="B6862" t="s">
        <v>1181</v>
      </c>
      <c r="E6862" t="str">
        <f>IF(OR(E6861="&lt;/routeDistribution&gt;",E6861=""),"",IFERROR(_xlfn.CONCAT(VLOOKUP(AD56,Route_Column!#REF!,2,FALSE),CHAR(34)," probability=",CHAR(34),1/AD$4,CHAR(34),CHAR(47),CHAR(62)),"&lt;/routeDistribution&gt;"))</f>
        <v/>
      </c>
    </row>
    <row r="6863" spans="1:5" x14ac:dyDescent="0.25">
      <c r="A6863" t="s">
        <v>1573</v>
      </c>
      <c r="B6863" t="s">
        <v>1182</v>
      </c>
      <c r="E6863" t="str">
        <f>IF(OR(E6862="&lt;/routeDistribution&gt;",E6862=""),"",IFERROR(_xlfn.CONCAT(VLOOKUP(AD57,Route_Column!#REF!,2,FALSE),CHAR(34)," probability=",CHAR(34),1/AD$4,CHAR(34),CHAR(47),CHAR(62)),"&lt;/routeDistribution&gt;"))</f>
        <v/>
      </c>
    </row>
    <row r="6864" spans="1:5" x14ac:dyDescent="0.25">
      <c r="A6864" t="s">
        <v>1573</v>
      </c>
      <c r="B6864" t="s">
        <v>1183</v>
      </c>
      <c r="E6864" t="str">
        <f>IF(OR(E6863="&lt;/routeDistribution&gt;",E6863=""),"",IFERROR(_xlfn.CONCAT(VLOOKUP(AD58,Route_Column!#REF!,2,FALSE),CHAR(34)," probability=",CHAR(34),1/AD$4,CHAR(34),CHAR(47),CHAR(62)),"&lt;/routeDistribution&gt;"))</f>
        <v/>
      </c>
    </row>
    <row r="6865" spans="1:5" x14ac:dyDescent="0.25">
      <c r="A6865" t="s">
        <v>1573</v>
      </c>
      <c r="B6865" t="s">
        <v>1184</v>
      </c>
      <c r="E6865" t="str">
        <f>IF(OR(E6864="&lt;/routeDistribution&gt;",E6864=""),"",IFERROR(_xlfn.CONCAT(VLOOKUP(AD59,Route_Column!#REF!,2,FALSE),CHAR(34)," probability=",CHAR(34),1/AD$4,CHAR(34),CHAR(47),CHAR(62)),"&lt;/routeDistribution&gt;"))</f>
        <v/>
      </c>
    </row>
    <row r="6866" spans="1:5" x14ac:dyDescent="0.25">
      <c r="A6866" t="s">
        <v>1573</v>
      </c>
      <c r="B6866" t="s">
        <v>1185</v>
      </c>
      <c r="E6866" t="str">
        <f>IF(OR(E6865="&lt;/routeDistribution&gt;",E6865=""),"",IFERROR(_xlfn.CONCAT(VLOOKUP(AD60,Route_Column!#REF!,2,FALSE),CHAR(34)," probability=",CHAR(34),1/AD$4,CHAR(34),CHAR(47),CHAR(62)),"&lt;/routeDistribution&gt;"))</f>
        <v/>
      </c>
    </row>
    <row r="6867" spans="1:5" x14ac:dyDescent="0.25">
      <c r="A6867" t="s">
        <v>1573</v>
      </c>
      <c r="B6867" t="s">
        <v>1192</v>
      </c>
      <c r="E6867" t="str">
        <f>IF(OR(E6866="&lt;/routeDistribution&gt;",E6866=""),"",IFERROR(_xlfn.CONCAT(VLOOKUP(AD61,Route_Column!#REF!,2,FALSE),CHAR(34)," probability=",CHAR(34),1/AD$4,CHAR(34),CHAR(47),CHAR(62)),"&lt;/routeDistribution&gt;"))</f>
        <v/>
      </c>
    </row>
    <row r="6868" spans="1:5" x14ac:dyDescent="0.25">
      <c r="A6868" t="s">
        <v>1573</v>
      </c>
      <c r="B6868" t="s">
        <v>1193</v>
      </c>
      <c r="E6868" t="str">
        <f>IF(OR(E6867="&lt;/routeDistribution&gt;",E6867=""),"",IFERROR(_xlfn.CONCAT(VLOOKUP(AD62,Route_Column!#REF!,2,FALSE),CHAR(34)," probability=",CHAR(34),1/AD$4,CHAR(34),CHAR(47),CHAR(62)),"&lt;/routeDistribution&gt;"))</f>
        <v/>
      </c>
    </row>
    <row r="6869" spans="1:5" x14ac:dyDescent="0.25">
      <c r="A6869" t="s">
        <v>1573</v>
      </c>
      <c r="B6869" t="s">
        <v>1201</v>
      </c>
      <c r="E6869" t="str">
        <f>IF(OR(E6868="&lt;/routeDistribution&gt;",E6868=""),"",IFERROR(_xlfn.CONCAT(VLOOKUP(AD63,Route_Column!#REF!,2,FALSE),CHAR(34)," probability=",CHAR(34),1/AD$4,CHAR(34),CHAR(47),CHAR(62)),"&lt;/routeDistribution&gt;"))</f>
        <v/>
      </c>
    </row>
    <row r="6870" spans="1:5" x14ac:dyDescent="0.25">
      <c r="A6870" t="s">
        <v>1573</v>
      </c>
      <c r="B6870" t="s">
        <v>1206</v>
      </c>
      <c r="E6870" t="s">
        <v>2686</v>
      </c>
    </row>
    <row r="6871" spans="1:5" x14ac:dyDescent="0.25">
      <c r="A6871" t="s">
        <v>1812</v>
      </c>
      <c r="B6871" t="s">
        <v>1108</v>
      </c>
    </row>
    <row r="6872" spans="1:5" x14ac:dyDescent="0.25">
      <c r="A6872" t="s">
        <v>1812</v>
      </c>
      <c r="B6872" t="s">
        <v>1138</v>
      </c>
    </row>
    <row r="6873" spans="1:5" x14ac:dyDescent="0.25">
      <c r="A6873" t="s">
        <v>1812</v>
      </c>
      <c r="B6873" t="s">
        <v>1154</v>
      </c>
      <c r="E6873" t="str">
        <f>_xlfn.CONCAT($E$1,AC$2,$F$1)</f>
        <v>&lt;routeDistribution id="27th-Bain-to-SouthST-NB-2015-RouteProbe"&gt;</v>
      </c>
    </row>
    <row r="6874" spans="1:5" x14ac:dyDescent="0.25">
      <c r="A6874" t="s">
        <v>1812</v>
      </c>
      <c r="B6874" t="s">
        <v>1180</v>
      </c>
      <c r="E6874" t="str">
        <f>IF(OR(E6873="&lt;/routeDistribution&gt;",E6873=""),"",IFERROR(_xlfn.CONCAT(VLOOKUP(AC5,Route_Column!#REF!,2,FALSE),CHAR(34)," probability=",CHAR(34),1/AC$4,CHAR(34),CHAR(47),CHAR(62)),"&lt;/routeDistribution&gt;"))</f>
        <v>&lt;/routeDistribution&gt;</v>
      </c>
    </row>
    <row r="6875" spans="1:5" x14ac:dyDescent="0.25">
      <c r="A6875" t="s">
        <v>1812</v>
      </c>
      <c r="B6875" t="s">
        <v>1181</v>
      </c>
      <c r="E6875" t="str">
        <f>IF(OR(E6874="&lt;/routeDistribution&gt;",E6874=""),"",IFERROR(_xlfn.CONCAT(VLOOKUP(AC6,Route_Column!#REF!,2,FALSE),CHAR(34)," probability=",CHAR(34),1/AC$4,CHAR(34),CHAR(47),CHAR(62)),"&lt;/routeDistribution&gt;"))</f>
        <v/>
      </c>
    </row>
    <row r="6876" spans="1:5" x14ac:dyDescent="0.25">
      <c r="A6876" t="s">
        <v>1812</v>
      </c>
      <c r="B6876" t="s">
        <v>1182</v>
      </c>
      <c r="E6876" t="str">
        <f>IF(OR(E6875="&lt;/routeDistribution&gt;",E6875=""),"",IFERROR(_xlfn.CONCAT(VLOOKUP(AC7,Route_Column!#REF!,2,FALSE),CHAR(34)," probability=",CHAR(34),1/AC$4,CHAR(34),CHAR(47),CHAR(62)),"&lt;/routeDistribution&gt;"))</f>
        <v/>
      </c>
    </row>
    <row r="6877" spans="1:5" x14ac:dyDescent="0.25">
      <c r="A6877" t="s">
        <v>1812</v>
      </c>
      <c r="B6877" t="s">
        <v>1183</v>
      </c>
      <c r="E6877" t="str">
        <f>IF(OR(E6876="&lt;/routeDistribution&gt;",E6876=""),"",IFERROR(_xlfn.CONCAT(VLOOKUP(AC8,Route_Column!#REF!,2,FALSE),CHAR(34)," probability=",CHAR(34),1/AC$4,CHAR(34),CHAR(47),CHAR(62)),"&lt;/routeDistribution&gt;"))</f>
        <v/>
      </c>
    </row>
    <row r="6878" spans="1:5" x14ac:dyDescent="0.25">
      <c r="A6878" t="s">
        <v>1812</v>
      </c>
      <c r="B6878" t="s">
        <v>1184</v>
      </c>
      <c r="E6878" t="str">
        <f>IF(OR(E6877="&lt;/routeDistribution&gt;",E6877=""),"",IFERROR(_xlfn.CONCAT(VLOOKUP(AC9,Route_Column!#REF!,2,FALSE),CHAR(34)," probability=",CHAR(34),1/AC$4,CHAR(34),CHAR(47),CHAR(62)),"&lt;/routeDistribution&gt;"))</f>
        <v/>
      </c>
    </row>
    <row r="6879" spans="1:5" x14ac:dyDescent="0.25">
      <c r="A6879" t="s">
        <v>1812</v>
      </c>
      <c r="B6879" t="s">
        <v>1185</v>
      </c>
      <c r="E6879" t="str">
        <f>IF(OR(E6878="&lt;/routeDistribution&gt;",E6878=""),"",IFERROR(_xlfn.CONCAT(VLOOKUP(AC10,Route_Column!#REF!,2,FALSE),CHAR(34)," probability=",CHAR(34),1/AC$4,CHAR(34),CHAR(47),CHAR(62)),"&lt;/routeDistribution&gt;"))</f>
        <v/>
      </c>
    </row>
    <row r="6880" spans="1:5" x14ac:dyDescent="0.25">
      <c r="A6880" t="s">
        <v>1812</v>
      </c>
      <c r="B6880" t="s">
        <v>1191</v>
      </c>
      <c r="E6880" t="str">
        <f>IF(OR(E6879="&lt;/routeDistribution&gt;",E6879=""),"",IFERROR(_xlfn.CONCAT(VLOOKUP(AC11,Route_Column!#REF!,2,FALSE),CHAR(34)," probability=",CHAR(34),1/AC$4,CHAR(34),CHAR(47),CHAR(62)),"&lt;/routeDistribution&gt;"))</f>
        <v/>
      </c>
    </row>
    <row r="6881" spans="1:5" x14ac:dyDescent="0.25">
      <c r="A6881" t="s">
        <v>1812</v>
      </c>
      <c r="B6881" t="s">
        <v>1192</v>
      </c>
      <c r="E6881" t="str">
        <f>IF(OR(E6880="&lt;/routeDistribution&gt;",E6880=""),"",IFERROR(_xlfn.CONCAT(VLOOKUP(AC12,Route_Column!#REF!,2,FALSE),CHAR(34)," probability=",CHAR(34),1/AC$4,CHAR(34),CHAR(47),CHAR(62)),"&lt;/routeDistribution&gt;"))</f>
        <v/>
      </c>
    </row>
    <row r="6882" spans="1:5" x14ac:dyDescent="0.25">
      <c r="A6882" t="s">
        <v>1812</v>
      </c>
      <c r="B6882" t="s">
        <v>1193</v>
      </c>
      <c r="E6882" t="str">
        <f>IF(OR(E6881="&lt;/routeDistribution&gt;",E6881=""),"",IFERROR(_xlfn.CONCAT(VLOOKUP(AC13,Route_Column!#REF!,2,FALSE),CHAR(34)," probability=",CHAR(34),1/AC$4,CHAR(34),CHAR(47),CHAR(62)),"&lt;/routeDistribution&gt;"))</f>
        <v/>
      </c>
    </row>
    <row r="6883" spans="1:5" x14ac:dyDescent="0.25">
      <c r="A6883" t="s">
        <v>1813</v>
      </c>
      <c r="B6883" t="s">
        <v>1108</v>
      </c>
      <c r="E6883" t="str">
        <f>IF(OR(E6882="&lt;/routeDistribution&gt;",E6882=""),"",IFERROR(_xlfn.CONCAT(VLOOKUP(AC14,Route_Column!#REF!,2,FALSE),CHAR(34)," probability=",CHAR(34),1/AC$4,CHAR(34),CHAR(47),CHAR(62)),"&lt;/routeDistribution&gt;"))</f>
        <v/>
      </c>
    </row>
    <row r="6884" spans="1:5" x14ac:dyDescent="0.25">
      <c r="A6884" t="s">
        <v>1813</v>
      </c>
      <c r="B6884" t="s">
        <v>1138</v>
      </c>
      <c r="E6884" t="str">
        <f>IF(OR(E6883="&lt;/routeDistribution&gt;",E6883=""),"",IFERROR(_xlfn.CONCAT(VLOOKUP(AC15,Route_Column!#REF!,2,FALSE),CHAR(34)," probability=",CHAR(34),1/AC$4,CHAR(34),CHAR(47),CHAR(62)),"&lt;/routeDistribution&gt;"))</f>
        <v/>
      </c>
    </row>
    <row r="6885" spans="1:5" x14ac:dyDescent="0.25">
      <c r="A6885" t="s">
        <v>1813</v>
      </c>
      <c r="B6885" t="s">
        <v>1154</v>
      </c>
      <c r="E6885" t="str">
        <f>IF(OR(E6884="&lt;/routeDistribution&gt;",E6884=""),"",IFERROR(_xlfn.CONCAT(VLOOKUP(AC16,Route_Column!#REF!,2,FALSE),CHAR(34)," probability=",CHAR(34),1/AC$4,CHAR(34),CHAR(47),CHAR(62)),"&lt;/routeDistribution&gt;"))</f>
        <v/>
      </c>
    </row>
    <row r="6886" spans="1:5" x14ac:dyDescent="0.25">
      <c r="A6886" t="s">
        <v>1813</v>
      </c>
      <c r="B6886" t="s">
        <v>1180</v>
      </c>
      <c r="E6886" t="str">
        <f>IF(OR(E6885="&lt;/routeDistribution&gt;",E6885=""),"",IFERROR(_xlfn.CONCAT(VLOOKUP(AC17,Route_Column!#REF!,2,FALSE),CHAR(34)," probability=",CHAR(34),1/AC$4,CHAR(34),CHAR(47),CHAR(62)),"&lt;/routeDistribution&gt;"))</f>
        <v/>
      </c>
    </row>
    <row r="6887" spans="1:5" x14ac:dyDescent="0.25">
      <c r="A6887" t="s">
        <v>1813</v>
      </c>
      <c r="B6887" t="s">
        <v>1181</v>
      </c>
      <c r="E6887" t="str">
        <f>IF(OR(E6886="&lt;/routeDistribution&gt;",E6886=""),"",IFERROR(_xlfn.CONCAT(VLOOKUP(AC18,Route_Column!#REF!,2,FALSE),CHAR(34)," probability=",CHAR(34),1/AC$4,CHAR(34),CHAR(47),CHAR(62)),"&lt;/routeDistribution&gt;"))</f>
        <v/>
      </c>
    </row>
    <row r="6888" spans="1:5" x14ac:dyDescent="0.25">
      <c r="A6888" t="s">
        <v>1813</v>
      </c>
      <c r="B6888" t="s">
        <v>1182</v>
      </c>
      <c r="E6888" t="str">
        <f>IF(OR(E6887="&lt;/routeDistribution&gt;",E6887=""),"",IFERROR(_xlfn.CONCAT(VLOOKUP(AC19,Route_Column!#REF!,2,FALSE),CHAR(34)," probability=",CHAR(34),1/AC$4,CHAR(34),CHAR(47),CHAR(62)),"&lt;/routeDistribution&gt;"))</f>
        <v/>
      </c>
    </row>
    <row r="6889" spans="1:5" x14ac:dyDescent="0.25">
      <c r="A6889" t="s">
        <v>1813</v>
      </c>
      <c r="B6889" t="s">
        <v>1183</v>
      </c>
      <c r="E6889" t="str">
        <f>IF(OR(E6888="&lt;/routeDistribution&gt;",E6888=""),"",IFERROR(_xlfn.CONCAT(VLOOKUP(AC20,Route_Column!#REF!,2,FALSE),CHAR(34)," probability=",CHAR(34),1/AC$4,CHAR(34),CHAR(47),CHAR(62)),"&lt;/routeDistribution&gt;"))</f>
        <v/>
      </c>
    </row>
    <row r="6890" spans="1:5" x14ac:dyDescent="0.25">
      <c r="A6890" t="s">
        <v>1813</v>
      </c>
      <c r="B6890" t="s">
        <v>1184</v>
      </c>
      <c r="E6890" t="str">
        <f>IF(OR(E6889="&lt;/routeDistribution&gt;",E6889=""),"",IFERROR(_xlfn.CONCAT(VLOOKUP(AC21,Route_Column!#REF!,2,FALSE),CHAR(34)," probability=",CHAR(34),1/AC$4,CHAR(34),CHAR(47),CHAR(62)),"&lt;/routeDistribution&gt;"))</f>
        <v/>
      </c>
    </row>
    <row r="6891" spans="1:5" x14ac:dyDescent="0.25">
      <c r="A6891" t="s">
        <v>1813</v>
      </c>
      <c r="B6891" t="s">
        <v>1185</v>
      </c>
      <c r="E6891" t="str">
        <f>IF(OR(E6890="&lt;/routeDistribution&gt;",E6890=""),"",IFERROR(_xlfn.CONCAT(VLOOKUP(AC22,Route_Column!#REF!,2,FALSE),CHAR(34)," probability=",CHAR(34),1/AC$4,CHAR(34),CHAR(47),CHAR(62)),"&lt;/routeDistribution&gt;"))</f>
        <v/>
      </c>
    </row>
    <row r="6892" spans="1:5" x14ac:dyDescent="0.25">
      <c r="A6892" t="s">
        <v>1813</v>
      </c>
      <c r="B6892" t="s">
        <v>1191</v>
      </c>
      <c r="E6892" t="str">
        <f>IF(OR(E6891="&lt;/routeDistribution&gt;",E6891=""),"",IFERROR(_xlfn.CONCAT(VLOOKUP(AC23,Route_Column!#REF!,2,FALSE),CHAR(34)," probability=",CHAR(34),1/AC$4,CHAR(34),CHAR(47),CHAR(62)),"&lt;/routeDistribution&gt;"))</f>
        <v/>
      </c>
    </row>
    <row r="6893" spans="1:5" x14ac:dyDescent="0.25">
      <c r="A6893" t="s">
        <v>1813</v>
      </c>
      <c r="B6893" t="s">
        <v>1192</v>
      </c>
      <c r="E6893" t="str">
        <f>IF(OR(E6892="&lt;/routeDistribution&gt;",E6892=""),"",IFERROR(_xlfn.CONCAT(VLOOKUP(AC24,Route_Column!#REF!,2,FALSE),CHAR(34)," probability=",CHAR(34),1/AC$4,CHAR(34),CHAR(47),CHAR(62)),"&lt;/routeDistribution&gt;"))</f>
        <v/>
      </c>
    </row>
    <row r="6894" spans="1:5" x14ac:dyDescent="0.25">
      <c r="A6894" t="s">
        <v>1813</v>
      </c>
      <c r="B6894" t="s">
        <v>1193</v>
      </c>
      <c r="E6894" t="str">
        <f>IF(OR(E6893="&lt;/routeDistribution&gt;",E6893=""),"",IFERROR(_xlfn.CONCAT(VLOOKUP(AC25,Route_Column!#REF!,2,FALSE),CHAR(34)," probability=",CHAR(34),1/AC$4,CHAR(34),CHAR(47),CHAR(62)),"&lt;/routeDistribution&gt;"))</f>
        <v/>
      </c>
    </row>
    <row r="6895" spans="1:5" x14ac:dyDescent="0.25">
      <c r="A6895" t="s">
        <v>2222</v>
      </c>
      <c r="B6895" t="s">
        <v>1166</v>
      </c>
      <c r="E6895" t="str">
        <f>IF(OR(E6894="&lt;/routeDistribution&gt;",E6894=""),"",IFERROR(_xlfn.CONCAT(VLOOKUP(AC26,Route_Column!#REF!,2,FALSE),CHAR(34)," probability=",CHAR(34),1/AC$4,CHAR(34),CHAR(47),CHAR(62)),"&lt;/routeDistribution&gt;"))</f>
        <v/>
      </c>
    </row>
    <row r="6896" spans="1:5" x14ac:dyDescent="0.25">
      <c r="A6896" t="s">
        <v>2222</v>
      </c>
      <c r="B6896" t="s">
        <v>1167</v>
      </c>
      <c r="E6896" t="str">
        <f>IF(OR(E6895="&lt;/routeDistribution&gt;",E6895=""),"",IFERROR(_xlfn.CONCAT(VLOOKUP(AC27,Route_Column!#REF!,2,FALSE),CHAR(34)," probability=",CHAR(34),1/AC$4,CHAR(34),CHAR(47),CHAR(62)),"&lt;/routeDistribution&gt;"))</f>
        <v/>
      </c>
    </row>
    <row r="6897" spans="1:5" x14ac:dyDescent="0.25">
      <c r="A6897" t="s">
        <v>2222</v>
      </c>
      <c r="B6897" t="s">
        <v>1168</v>
      </c>
      <c r="E6897" t="str">
        <f>IF(OR(E6896="&lt;/routeDistribution&gt;",E6896=""),"",IFERROR(_xlfn.CONCAT(VLOOKUP(AC28,Route_Column!#REF!,2,FALSE),CHAR(34)," probability=",CHAR(34),1/AC$4,CHAR(34),CHAR(47),CHAR(62)),"&lt;/routeDistribution&gt;"))</f>
        <v/>
      </c>
    </row>
    <row r="6898" spans="1:5" x14ac:dyDescent="0.25">
      <c r="A6898" t="s">
        <v>2222</v>
      </c>
      <c r="B6898" t="s">
        <v>1169</v>
      </c>
      <c r="E6898" t="str">
        <f>IF(OR(E6897="&lt;/routeDistribution&gt;",E6897=""),"",IFERROR(_xlfn.CONCAT(VLOOKUP(AC29,Route_Column!#REF!,2,FALSE),CHAR(34)," probability=",CHAR(34),1/AC$4,CHAR(34),CHAR(47),CHAR(62)),"&lt;/routeDistribution&gt;"))</f>
        <v/>
      </c>
    </row>
    <row r="6899" spans="1:5" x14ac:dyDescent="0.25">
      <c r="A6899" t="s">
        <v>2222</v>
      </c>
      <c r="B6899" t="s">
        <v>1170</v>
      </c>
      <c r="E6899" t="str">
        <f>IF(OR(E6898="&lt;/routeDistribution&gt;",E6898=""),"",IFERROR(_xlfn.CONCAT(VLOOKUP(AC30,Route_Column!#REF!,2,FALSE),CHAR(34)," probability=",CHAR(34),1/AC$4,CHAR(34),CHAR(47),CHAR(62)),"&lt;/routeDistribution&gt;"))</f>
        <v/>
      </c>
    </row>
    <row r="6900" spans="1:5" x14ac:dyDescent="0.25">
      <c r="A6900" t="s">
        <v>2222</v>
      </c>
      <c r="B6900" t="s">
        <v>1186</v>
      </c>
      <c r="E6900" t="str">
        <f>IF(OR(E6899="&lt;/routeDistribution&gt;",E6899=""),"",IFERROR(_xlfn.CONCAT(VLOOKUP(AC31,Route_Column!#REF!,2,FALSE),CHAR(34)," probability=",CHAR(34),1/AC$4,CHAR(34),CHAR(47),CHAR(62)),"&lt;/routeDistribution&gt;"))</f>
        <v/>
      </c>
    </row>
    <row r="6901" spans="1:5" x14ac:dyDescent="0.25">
      <c r="A6901" t="s">
        <v>2222</v>
      </c>
      <c r="B6901" t="s">
        <v>1187</v>
      </c>
      <c r="E6901" t="str">
        <f>IF(OR(E6900="&lt;/routeDistribution&gt;",E6900=""),"",IFERROR(_xlfn.CONCAT(VLOOKUP(AC32,Route_Column!#REF!,2,FALSE),CHAR(34)," probability=",CHAR(34),1/AC$4,CHAR(34),CHAR(47),CHAR(62)),"&lt;/routeDistribution&gt;"))</f>
        <v/>
      </c>
    </row>
    <row r="6902" spans="1:5" x14ac:dyDescent="0.25">
      <c r="A6902" t="s">
        <v>2222</v>
      </c>
      <c r="B6902" t="s">
        <v>1188</v>
      </c>
      <c r="E6902" t="str">
        <f>IF(OR(E6901="&lt;/routeDistribution&gt;",E6901=""),"",IFERROR(_xlfn.CONCAT(VLOOKUP(AC33,Route_Column!#REF!,2,FALSE),CHAR(34)," probability=",CHAR(34),1/AC$4,CHAR(34),CHAR(47),CHAR(62)),"&lt;/routeDistribution&gt;"))</f>
        <v/>
      </c>
    </row>
    <row r="6903" spans="1:5" x14ac:dyDescent="0.25">
      <c r="A6903" t="s">
        <v>2222</v>
      </c>
      <c r="B6903" t="s">
        <v>1189</v>
      </c>
      <c r="E6903" t="str">
        <f>IF(OR(E6902="&lt;/routeDistribution&gt;",E6902=""),"",IFERROR(_xlfn.CONCAT(VLOOKUP(AC34,Route_Column!#REF!,2,FALSE),CHAR(34)," probability=",CHAR(34),1/AC$4,CHAR(34),CHAR(47),CHAR(62)),"&lt;/routeDistribution&gt;"))</f>
        <v/>
      </c>
    </row>
    <row r="6904" spans="1:5" x14ac:dyDescent="0.25">
      <c r="A6904" t="s">
        <v>2222</v>
      </c>
      <c r="B6904" t="s">
        <v>1191</v>
      </c>
      <c r="E6904" t="str">
        <f>IF(OR(E6903="&lt;/routeDistribution&gt;",E6903=""),"",IFERROR(_xlfn.CONCAT(VLOOKUP(AC35,Route_Column!#REF!,2,FALSE),CHAR(34)," probability=",CHAR(34),1/AC$4,CHAR(34),CHAR(47),CHAR(62)),"&lt;/routeDistribution&gt;"))</f>
        <v/>
      </c>
    </row>
    <row r="6905" spans="1:5" x14ac:dyDescent="0.25">
      <c r="A6905" t="s">
        <v>2222</v>
      </c>
      <c r="B6905" t="s">
        <v>1194</v>
      </c>
      <c r="E6905" t="str">
        <f>IF(OR(E6904="&lt;/routeDistribution&gt;",E6904=""),"",IFERROR(_xlfn.CONCAT(VLOOKUP(AC36,Route_Column!#REF!,2,FALSE),CHAR(34)," probability=",CHAR(34),1/AC$4,CHAR(34),CHAR(47),CHAR(62)),"&lt;/routeDistribution&gt;"))</f>
        <v/>
      </c>
    </row>
    <row r="6906" spans="1:5" x14ac:dyDescent="0.25">
      <c r="A6906" t="s">
        <v>2222</v>
      </c>
      <c r="B6906" t="s">
        <v>1195</v>
      </c>
      <c r="E6906" t="str">
        <f>IF(OR(E6905="&lt;/routeDistribution&gt;",E6905=""),"",IFERROR(_xlfn.CONCAT(VLOOKUP(AC37,Route_Column!#REF!,2,FALSE),CHAR(34)," probability=",CHAR(34),1/AC$4,CHAR(34),CHAR(47),CHAR(62)),"&lt;/routeDistribution&gt;"))</f>
        <v/>
      </c>
    </row>
    <row r="6907" spans="1:5" x14ac:dyDescent="0.25">
      <c r="A6907" t="s">
        <v>2222</v>
      </c>
      <c r="B6907" t="s">
        <v>1196</v>
      </c>
      <c r="E6907" t="str">
        <f>IF(OR(E6906="&lt;/routeDistribution&gt;",E6906=""),"",IFERROR(_xlfn.CONCAT(VLOOKUP(AC38,Route_Column!#REF!,2,FALSE),CHAR(34)," probability=",CHAR(34),1/AC$4,CHAR(34),CHAR(47),CHAR(62)),"&lt;/routeDistribution&gt;"))</f>
        <v/>
      </c>
    </row>
    <row r="6908" spans="1:5" x14ac:dyDescent="0.25">
      <c r="A6908" t="s">
        <v>2222</v>
      </c>
      <c r="B6908" t="s">
        <v>1197</v>
      </c>
      <c r="E6908" t="str">
        <f>IF(OR(E6907="&lt;/routeDistribution&gt;",E6907=""),"",IFERROR(_xlfn.CONCAT(VLOOKUP(AC39,Route_Column!#REF!,2,FALSE),CHAR(34)," probability=",CHAR(34),1/AC$4,CHAR(34),CHAR(47),CHAR(62)),"&lt;/routeDistribution&gt;"))</f>
        <v/>
      </c>
    </row>
    <row r="6909" spans="1:5" x14ac:dyDescent="0.25">
      <c r="A6909" t="s">
        <v>2222</v>
      </c>
      <c r="B6909" t="s">
        <v>1198</v>
      </c>
      <c r="E6909" t="str">
        <f>IF(OR(E6908="&lt;/routeDistribution&gt;",E6908=""),"",IFERROR(_xlfn.CONCAT(VLOOKUP(AC40,Route_Column!#REF!,2,FALSE),CHAR(34)," probability=",CHAR(34),1/AC$4,CHAR(34),CHAR(47),CHAR(62)),"&lt;/routeDistribution&gt;"))</f>
        <v/>
      </c>
    </row>
    <row r="6910" spans="1:5" x14ac:dyDescent="0.25">
      <c r="A6910" t="s">
        <v>1807</v>
      </c>
      <c r="B6910" t="s">
        <v>1108</v>
      </c>
      <c r="E6910" t="str">
        <f>IF(OR(E6909="&lt;/routeDistribution&gt;",E6909=""),"",IFERROR(_xlfn.CONCAT(VLOOKUP(AC41,Route_Column!#REF!,2,FALSE),CHAR(34)," probability=",CHAR(34),1/AC$4,CHAR(34),CHAR(47),CHAR(62)),"&lt;/routeDistribution&gt;"))</f>
        <v/>
      </c>
    </row>
    <row r="6911" spans="1:5" x14ac:dyDescent="0.25">
      <c r="A6911" t="s">
        <v>1807</v>
      </c>
      <c r="B6911" t="s">
        <v>1138</v>
      </c>
      <c r="E6911" t="str">
        <f>IF(OR(E6910="&lt;/routeDistribution&gt;",E6910=""),"",IFERROR(_xlfn.CONCAT(VLOOKUP(AC42,Route_Column!#REF!,2,FALSE),CHAR(34)," probability=",CHAR(34),1/AC$4,CHAR(34),CHAR(47),CHAR(62)),"&lt;/routeDistribution&gt;"))</f>
        <v/>
      </c>
    </row>
    <row r="6912" spans="1:5" x14ac:dyDescent="0.25">
      <c r="A6912" t="s">
        <v>1807</v>
      </c>
      <c r="B6912" t="s">
        <v>1140</v>
      </c>
      <c r="E6912" t="str">
        <f>IF(OR(E6911="&lt;/routeDistribution&gt;",E6911=""),"",IFERROR(_xlfn.CONCAT(VLOOKUP(AC43,Route_Column!#REF!,2,FALSE),CHAR(34)," probability=",CHAR(34),1/AC$4,CHAR(34),CHAR(47),CHAR(62)),"&lt;/routeDistribution&gt;"))</f>
        <v/>
      </c>
    </row>
    <row r="6913" spans="1:5" x14ac:dyDescent="0.25">
      <c r="A6913" t="s">
        <v>1807</v>
      </c>
      <c r="B6913" t="s">
        <v>1141</v>
      </c>
      <c r="E6913" t="str">
        <f>IF(OR(E6912="&lt;/routeDistribution&gt;",E6912=""),"",IFERROR(_xlfn.CONCAT(VLOOKUP(AC44,Route_Column!#REF!,2,FALSE),CHAR(34)," probability=",CHAR(34),1/AC$4,CHAR(34),CHAR(47),CHAR(62)),"&lt;/routeDistribution&gt;"))</f>
        <v/>
      </c>
    </row>
    <row r="6914" spans="1:5" x14ac:dyDescent="0.25">
      <c r="A6914" t="s">
        <v>1807</v>
      </c>
      <c r="B6914" t="s">
        <v>1142</v>
      </c>
      <c r="E6914" t="str">
        <f>IF(OR(E6913="&lt;/routeDistribution&gt;",E6913=""),"",IFERROR(_xlfn.CONCAT(VLOOKUP(AC45,Route_Column!#REF!,2,FALSE),CHAR(34)," probability=",CHAR(34),1/AC$4,CHAR(34),CHAR(47),CHAR(62)),"&lt;/routeDistribution&gt;"))</f>
        <v/>
      </c>
    </row>
    <row r="6915" spans="1:5" x14ac:dyDescent="0.25">
      <c r="A6915" t="s">
        <v>1807</v>
      </c>
      <c r="B6915" t="s">
        <v>1150</v>
      </c>
      <c r="E6915" t="str">
        <f>IF(OR(E6914="&lt;/routeDistribution&gt;",E6914=""),"",IFERROR(_xlfn.CONCAT(VLOOKUP(AC46,Route_Column!#REF!,2,FALSE),CHAR(34)," probability=",CHAR(34),1/AC$4,CHAR(34),CHAR(47),CHAR(62)),"&lt;/routeDistribution&gt;"))</f>
        <v/>
      </c>
    </row>
    <row r="6916" spans="1:5" x14ac:dyDescent="0.25">
      <c r="A6916" t="s">
        <v>1807</v>
      </c>
      <c r="B6916" t="s">
        <v>1151</v>
      </c>
      <c r="E6916" t="str">
        <f>IF(OR(E6915="&lt;/routeDistribution&gt;",E6915=""),"",IFERROR(_xlfn.CONCAT(VLOOKUP(AC47,Route_Column!#REF!,2,FALSE),CHAR(34)," probability=",CHAR(34),1/AC$4,CHAR(34),CHAR(47),CHAR(62)),"&lt;/routeDistribution&gt;"))</f>
        <v/>
      </c>
    </row>
    <row r="6917" spans="1:5" x14ac:dyDescent="0.25">
      <c r="A6917" t="s">
        <v>1807</v>
      </c>
      <c r="B6917" t="s">
        <v>1154</v>
      </c>
      <c r="E6917" t="str">
        <f>IF(OR(E6916="&lt;/routeDistribution&gt;",E6916=""),"",IFERROR(_xlfn.CONCAT(VLOOKUP(AC48,Route_Column!#REF!,2,FALSE),CHAR(34)," probability=",CHAR(34),1/AC$4,CHAR(34),CHAR(47),CHAR(62)),"&lt;/routeDistribution&gt;"))</f>
        <v/>
      </c>
    </row>
    <row r="6918" spans="1:5" x14ac:dyDescent="0.25">
      <c r="A6918" t="s">
        <v>1807</v>
      </c>
      <c r="B6918" t="s">
        <v>1179</v>
      </c>
      <c r="E6918" t="str">
        <f>IF(OR(E6917="&lt;/routeDistribution&gt;",E6917=""),"",IFERROR(_xlfn.CONCAT(VLOOKUP(AC49,Route_Column!#REF!,2,FALSE),CHAR(34)," probability=",CHAR(34),1/AC$4,CHAR(34),CHAR(47),CHAR(62)),"&lt;/routeDistribution&gt;"))</f>
        <v/>
      </c>
    </row>
    <row r="6919" spans="1:5" x14ac:dyDescent="0.25">
      <c r="A6919" t="s">
        <v>1807</v>
      </c>
      <c r="B6919" t="s">
        <v>1180</v>
      </c>
      <c r="E6919" t="str">
        <f>IF(OR(E6918="&lt;/routeDistribution&gt;",E6918=""),"",IFERROR(_xlfn.CONCAT(VLOOKUP(AC50,Route_Column!#REF!,2,FALSE),CHAR(34)," probability=",CHAR(34),1/AC$4,CHAR(34),CHAR(47),CHAR(62)),"&lt;/routeDistribution&gt;"))</f>
        <v/>
      </c>
    </row>
    <row r="6920" spans="1:5" x14ac:dyDescent="0.25">
      <c r="A6920" t="s">
        <v>1807</v>
      </c>
      <c r="B6920" t="s">
        <v>1181</v>
      </c>
      <c r="E6920" t="str">
        <f>IF(OR(E6919="&lt;/routeDistribution&gt;",E6919=""),"",IFERROR(_xlfn.CONCAT(VLOOKUP(AC51,Route_Column!#REF!,2,FALSE),CHAR(34)," probability=",CHAR(34),1/AC$4,CHAR(34),CHAR(47),CHAR(62)),"&lt;/routeDistribution&gt;"))</f>
        <v/>
      </c>
    </row>
    <row r="6921" spans="1:5" x14ac:dyDescent="0.25">
      <c r="A6921" t="s">
        <v>1807</v>
      </c>
      <c r="B6921" t="s">
        <v>1182</v>
      </c>
      <c r="E6921" t="str">
        <f>IF(OR(E6920="&lt;/routeDistribution&gt;",E6920=""),"",IFERROR(_xlfn.CONCAT(VLOOKUP(AC52,Route_Column!#REF!,2,FALSE),CHAR(34)," probability=",CHAR(34),1/AC$4,CHAR(34),CHAR(47),CHAR(62)),"&lt;/routeDistribution&gt;"))</f>
        <v/>
      </c>
    </row>
    <row r="6922" spans="1:5" x14ac:dyDescent="0.25">
      <c r="A6922" t="s">
        <v>1807</v>
      </c>
      <c r="B6922" t="s">
        <v>1183</v>
      </c>
      <c r="E6922" t="str">
        <f>IF(OR(E6921="&lt;/routeDistribution&gt;",E6921=""),"",IFERROR(_xlfn.CONCAT(VLOOKUP(AC53,Route_Column!#REF!,2,FALSE),CHAR(34)," probability=",CHAR(34),1/AC$4,CHAR(34),CHAR(47),CHAR(62)),"&lt;/routeDistribution&gt;"))</f>
        <v/>
      </c>
    </row>
    <row r="6923" spans="1:5" x14ac:dyDescent="0.25">
      <c r="A6923" t="s">
        <v>1807</v>
      </c>
      <c r="B6923" t="s">
        <v>1183</v>
      </c>
      <c r="E6923" t="str">
        <f>IF(OR(E6922="&lt;/routeDistribution&gt;",E6922=""),"",IFERROR(_xlfn.CONCAT(VLOOKUP(AC54,Route_Column!#REF!,2,FALSE),CHAR(34)," probability=",CHAR(34),1/AC$4,CHAR(34),CHAR(47),CHAR(62)),"&lt;/routeDistribution&gt;"))</f>
        <v/>
      </c>
    </row>
    <row r="6924" spans="1:5" x14ac:dyDescent="0.25">
      <c r="A6924" t="s">
        <v>1807</v>
      </c>
      <c r="B6924" t="s">
        <v>1184</v>
      </c>
      <c r="E6924" t="str">
        <f>IF(OR(E6923="&lt;/routeDistribution&gt;",E6923=""),"",IFERROR(_xlfn.CONCAT(VLOOKUP(AC55,Route_Column!#REF!,2,FALSE),CHAR(34)," probability=",CHAR(34),1/AC$4,CHAR(34),CHAR(47),CHAR(62)),"&lt;/routeDistribution&gt;"))</f>
        <v/>
      </c>
    </row>
    <row r="6925" spans="1:5" x14ac:dyDescent="0.25">
      <c r="A6925" t="s">
        <v>1807</v>
      </c>
      <c r="B6925" t="s">
        <v>1184</v>
      </c>
      <c r="E6925" t="str">
        <f>IF(OR(E6924="&lt;/routeDistribution&gt;",E6924=""),"",IFERROR(_xlfn.CONCAT(VLOOKUP(AC56,Route_Column!#REF!,2,FALSE),CHAR(34)," probability=",CHAR(34),1/AC$4,CHAR(34),CHAR(47),CHAR(62)),"&lt;/routeDistribution&gt;"))</f>
        <v/>
      </c>
    </row>
    <row r="6926" spans="1:5" x14ac:dyDescent="0.25">
      <c r="A6926" t="s">
        <v>1807</v>
      </c>
      <c r="B6926" t="s">
        <v>1185</v>
      </c>
      <c r="E6926" t="str">
        <f>IF(OR(E6925="&lt;/routeDistribution&gt;",E6925=""),"",IFERROR(_xlfn.CONCAT(VLOOKUP(AC57,Route_Column!#REF!,2,FALSE),CHAR(34)," probability=",CHAR(34),1/AC$4,CHAR(34),CHAR(47),CHAR(62)),"&lt;/routeDistribution&gt;"))</f>
        <v/>
      </c>
    </row>
    <row r="6927" spans="1:5" x14ac:dyDescent="0.25">
      <c r="A6927" t="s">
        <v>1807</v>
      </c>
      <c r="B6927" t="s">
        <v>1205</v>
      </c>
      <c r="E6927" t="str">
        <f>IF(OR(E6926="&lt;/routeDistribution&gt;",E6926=""),"",IFERROR(_xlfn.CONCAT(VLOOKUP(AC58,Route_Column!#REF!,2,FALSE),CHAR(34)," probability=",CHAR(34),1/AC$4,CHAR(34),CHAR(47),CHAR(62)),"&lt;/routeDistribution&gt;"))</f>
        <v/>
      </c>
    </row>
    <row r="6928" spans="1:5" x14ac:dyDescent="0.25">
      <c r="A6928" t="s">
        <v>1807</v>
      </c>
      <c r="B6928" t="s">
        <v>1206</v>
      </c>
      <c r="E6928" t="str">
        <f>IF(OR(E6927="&lt;/routeDistribution&gt;",E6927=""),"",IFERROR(_xlfn.CONCAT(VLOOKUP(AC59,Route_Column!#REF!,2,FALSE),CHAR(34)," probability=",CHAR(34),1/AC$4,CHAR(34),CHAR(47),CHAR(62)),"&lt;/routeDistribution&gt;"))</f>
        <v/>
      </c>
    </row>
    <row r="6929" spans="1:5" x14ac:dyDescent="0.25">
      <c r="A6929" t="s">
        <v>1807</v>
      </c>
      <c r="B6929" t="s">
        <v>1207</v>
      </c>
      <c r="E6929" t="str">
        <f>IF(OR(E6928="&lt;/routeDistribution&gt;",E6928=""),"",IFERROR(_xlfn.CONCAT(VLOOKUP(AC60,Route_Column!#REF!,2,FALSE),CHAR(34)," probability=",CHAR(34),1/AC$4,CHAR(34),CHAR(47),CHAR(62)),"&lt;/routeDistribution&gt;"))</f>
        <v/>
      </c>
    </row>
    <row r="6930" spans="1:5" x14ac:dyDescent="0.25">
      <c r="A6930" t="s">
        <v>1807</v>
      </c>
      <c r="B6930" t="s">
        <v>1208</v>
      </c>
      <c r="E6930" t="str">
        <f>IF(OR(E6929="&lt;/routeDistribution&gt;",E6929=""),"",IFERROR(_xlfn.CONCAT(VLOOKUP(AC61,Route_Column!#REF!,2,FALSE),CHAR(34)," probability=",CHAR(34),1/AC$4,CHAR(34),CHAR(47),CHAR(62)),"&lt;/routeDistribution&gt;"))</f>
        <v/>
      </c>
    </row>
    <row r="6931" spans="1:5" x14ac:dyDescent="0.25">
      <c r="A6931" t="s">
        <v>1807</v>
      </c>
      <c r="B6931" t="s">
        <v>1224</v>
      </c>
      <c r="E6931" t="str">
        <f>IF(OR(E6930="&lt;/routeDistribution&gt;",E6930=""),"",IFERROR(_xlfn.CONCAT(VLOOKUP(AC62,Route_Column!#REF!,2,FALSE),CHAR(34)," probability=",CHAR(34),1/AC$4,CHAR(34),CHAR(47),CHAR(62)),"&lt;/routeDistribution&gt;"))</f>
        <v/>
      </c>
    </row>
    <row r="6932" spans="1:5" x14ac:dyDescent="0.25">
      <c r="A6932" t="s">
        <v>1807</v>
      </c>
      <c r="B6932" t="s">
        <v>1225</v>
      </c>
      <c r="E6932" t="str">
        <f>IF(OR(E6931="&lt;/routeDistribution&gt;",E6931=""),"",IFERROR(_xlfn.CONCAT(VLOOKUP(AC63,Route_Column!#REF!,2,FALSE),CHAR(34)," probability=",CHAR(34),1/AC$4,CHAR(34),CHAR(47),CHAR(62)),"&lt;/routeDistribution&gt;"))</f>
        <v/>
      </c>
    </row>
    <row r="6933" spans="1:5" x14ac:dyDescent="0.25">
      <c r="A6933" t="s">
        <v>1807</v>
      </c>
      <c r="B6933" t="s">
        <v>1232</v>
      </c>
      <c r="E6933" t="s">
        <v>2686</v>
      </c>
    </row>
    <row r="6934" spans="1:5" x14ac:dyDescent="0.25">
      <c r="A6934" t="s">
        <v>1807</v>
      </c>
      <c r="B6934" t="s">
        <v>1233</v>
      </c>
    </row>
    <row r="6935" spans="1:5" x14ac:dyDescent="0.25">
      <c r="A6935" t="s">
        <v>1807</v>
      </c>
      <c r="B6935" t="s">
        <v>1234</v>
      </c>
    </row>
    <row r="6936" spans="1:5" x14ac:dyDescent="0.25">
      <c r="A6936" t="s">
        <v>2225</v>
      </c>
      <c r="B6936" t="s">
        <v>1166</v>
      </c>
      <c r="E6936" t="str">
        <f>_xlfn.CONCAT($E$1,AB$2,$F$1)</f>
        <v>&lt;routeDistribution id="TANEY-southST-to-Bain-SB-2015-RouteProbe"&gt;</v>
      </c>
    </row>
    <row r="6937" spans="1:5" x14ac:dyDescent="0.25">
      <c r="A6937" t="s">
        <v>2225</v>
      </c>
      <c r="B6937" t="s">
        <v>1167</v>
      </c>
      <c r="E6937" t="str">
        <f>IF(OR(E6936="&lt;/routeDistribution&gt;",E6936=""),"",IFERROR(_xlfn.CONCAT(VLOOKUP(AB5,Route_Column!#REF!,2,FALSE),CHAR(34)," probability=",CHAR(34),1/AB$4,CHAR(34),CHAR(47),CHAR(62)),"&lt;/routeDistribution&gt;"))</f>
        <v>&lt;/routeDistribution&gt;</v>
      </c>
    </row>
    <row r="6938" spans="1:5" x14ac:dyDescent="0.25">
      <c r="A6938" t="s">
        <v>2225</v>
      </c>
      <c r="B6938" t="s">
        <v>1168</v>
      </c>
      <c r="E6938" t="str">
        <f>IF(OR(E6937="&lt;/routeDistribution&gt;",E6937=""),"",IFERROR(_xlfn.CONCAT(VLOOKUP(AB6,Route_Column!#REF!,2,FALSE),CHAR(34)," probability=",CHAR(34),1/AB$4,CHAR(34),CHAR(47),CHAR(62)),"&lt;/routeDistribution&gt;"))</f>
        <v/>
      </c>
    </row>
    <row r="6939" spans="1:5" x14ac:dyDescent="0.25">
      <c r="A6939" t="s">
        <v>2225</v>
      </c>
      <c r="B6939" t="s">
        <v>1169</v>
      </c>
      <c r="E6939" t="str">
        <f>IF(OR(E6938="&lt;/routeDistribution&gt;",E6938=""),"",IFERROR(_xlfn.CONCAT(VLOOKUP(AB7,Route_Column!#REF!,2,FALSE),CHAR(34)," probability=",CHAR(34),1/AB$4,CHAR(34),CHAR(47),CHAR(62)),"&lt;/routeDistribution&gt;"))</f>
        <v/>
      </c>
    </row>
    <row r="6940" spans="1:5" x14ac:dyDescent="0.25">
      <c r="A6940" t="s">
        <v>2225</v>
      </c>
      <c r="B6940" t="s">
        <v>1170</v>
      </c>
      <c r="E6940" t="str">
        <f>IF(OR(E6939="&lt;/routeDistribution&gt;",E6939=""),"",IFERROR(_xlfn.CONCAT(VLOOKUP(AB8,Route_Column!#REF!,2,FALSE),CHAR(34)," probability=",CHAR(34),1/AB$4,CHAR(34),CHAR(47),CHAR(62)),"&lt;/routeDistribution&gt;"))</f>
        <v/>
      </c>
    </row>
    <row r="6941" spans="1:5" x14ac:dyDescent="0.25">
      <c r="A6941" t="s">
        <v>2225</v>
      </c>
      <c r="B6941" t="s">
        <v>1186</v>
      </c>
      <c r="E6941" t="str">
        <f>IF(OR(E6940="&lt;/routeDistribution&gt;",E6940=""),"",IFERROR(_xlfn.CONCAT(VLOOKUP(AB9,Route_Column!#REF!,2,FALSE),CHAR(34)," probability=",CHAR(34),1/AB$4,CHAR(34),CHAR(47),CHAR(62)),"&lt;/routeDistribution&gt;"))</f>
        <v/>
      </c>
    </row>
    <row r="6942" spans="1:5" x14ac:dyDescent="0.25">
      <c r="A6942" t="s">
        <v>2225</v>
      </c>
      <c r="B6942" t="s">
        <v>1187</v>
      </c>
      <c r="E6942" t="str">
        <f>IF(OR(E6941="&lt;/routeDistribution&gt;",E6941=""),"",IFERROR(_xlfn.CONCAT(VLOOKUP(AB10,Route_Column!#REF!,2,FALSE),CHAR(34)," probability=",CHAR(34),1/AB$4,CHAR(34),CHAR(47),CHAR(62)),"&lt;/routeDistribution&gt;"))</f>
        <v/>
      </c>
    </row>
    <row r="6943" spans="1:5" x14ac:dyDescent="0.25">
      <c r="A6943" t="s">
        <v>2225</v>
      </c>
      <c r="B6943" t="s">
        <v>1188</v>
      </c>
      <c r="E6943" t="str">
        <f>IF(OR(E6942="&lt;/routeDistribution&gt;",E6942=""),"",IFERROR(_xlfn.CONCAT(VLOOKUP(AB11,Route_Column!#REF!,2,FALSE),CHAR(34)," probability=",CHAR(34),1/AB$4,CHAR(34),CHAR(47),CHAR(62)),"&lt;/routeDistribution&gt;"))</f>
        <v/>
      </c>
    </row>
    <row r="6944" spans="1:5" x14ac:dyDescent="0.25">
      <c r="A6944" t="s">
        <v>2225</v>
      </c>
      <c r="B6944" t="s">
        <v>1189</v>
      </c>
      <c r="E6944" t="str">
        <f>IF(OR(E6943="&lt;/routeDistribution&gt;",E6943=""),"",IFERROR(_xlfn.CONCAT(VLOOKUP(AB12,Route_Column!#REF!,2,FALSE),CHAR(34)," probability=",CHAR(34),1/AB$4,CHAR(34),CHAR(47),CHAR(62)),"&lt;/routeDistribution&gt;"))</f>
        <v/>
      </c>
    </row>
    <row r="6945" spans="1:5" x14ac:dyDescent="0.25">
      <c r="A6945" t="s">
        <v>2225</v>
      </c>
      <c r="B6945" t="s">
        <v>1191</v>
      </c>
      <c r="E6945" t="str">
        <f>IF(OR(E6944="&lt;/routeDistribution&gt;",E6944=""),"",IFERROR(_xlfn.CONCAT(VLOOKUP(AB13,Route_Column!#REF!,2,FALSE),CHAR(34)," probability=",CHAR(34),1/AB$4,CHAR(34),CHAR(47),CHAR(62)),"&lt;/routeDistribution&gt;"))</f>
        <v/>
      </c>
    </row>
    <row r="6946" spans="1:5" x14ac:dyDescent="0.25">
      <c r="A6946" t="s">
        <v>2225</v>
      </c>
      <c r="B6946" t="s">
        <v>1194</v>
      </c>
      <c r="E6946" t="str">
        <f>IF(OR(E6945="&lt;/routeDistribution&gt;",E6945=""),"",IFERROR(_xlfn.CONCAT(VLOOKUP(AB14,Route_Column!#REF!,2,FALSE),CHAR(34)," probability=",CHAR(34),1/AB$4,CHAR(34),CHAR(47),CHAR(62)),"&lt;/routeDistribution&gt;"))</f>
        <v/>
      </c>
    </row>
    <row r="6947" spans="1:5" x14ac:dyDescent="0.25">
      <c r="A6947" t="s">
        <v>2225</v>
      </c>
      <c r="B6947" t="s">
        <v>1195</v>
      </c>
      <c r="E6947" t="str">
        <f>IF(OR(E6946="&lt;/routeDistribution&gt;",E6946=""),"",IFERROR(_xlfn.CONCAT(VLOOKUP(AB15,Route_Column!#REF!,2,FALSE),CHAR(34)," probability=",CHAR(34),1/AB$4,CHAR(34),CHAR(47),CHAR(62)),"&lt;/routeDistribution&gt;"))</f>
        <v/>
      </c>
    </row>
    <row r="6948" spans="1:5" x14ac:dyDescent="0.25">
      <c r="A6948" t="s">
        <v>2225</v>
      </c>
      <c r="B6948" t="s">
        <v>1196</v>
      </c>
      <c r="E6948" t="str">
        <f>IF(OR(E6947="&lt;/routeDistribution&gt;",E6947=""),"",IFERROR(_xlfn.CONCAT(VLOOKUP(AB16,Route_Column!#REF!,2,FALSE),CHAR(34)," probability=",CHAR(34),1/AB$4,CHAR(34),CHAR(47),CHAR(62)),"&lt;/routeDistribution&gt;"))</f>
        <v/>
      </c>
    </row>
    <row r="6949" spans="1:5" x14ac:dyDescent="0.25">
      <c r="A6949" t="s">
        <v>2225</v>
      </c>
      <c r="B6949" t="s">
        <v>1197</v>
      </c>
      <c r="E6949" t="str">
        <f>IF(OR(E6948="&lt;/routeDistribution&gt;",E6948=""),"",IFERROR(_xlfn.CONCAT(VLOOKUP(AB17,Route_Column!#REF!,2,FALSE),CHAR(34)," probability=",CHAR(34),1/AB$4,CHAR(34),CHAR(47),CHAR(62)),"&lt;/routeDistribution&gt;"))</f>
        <v/>
      </c>
    </row>
    <row r="6950" spans="1:5" x14ac:dyDescent="0.25">
      <c r="A6950" t="s">
        <v>2225</v>
      </c>
      <c r="B6950" t="s">
        <v>1198</v>
      </c>
      <c r="E6950" t="str">
        <f>IF(OR(E6949="&lt;/routeDistribution&gt;",E6949=""),"",IFERROR(_xlfn.CONCAT(VLOOKUP(AB18,Route_Column!#REF!,2,FALSE),CHAR(34)," probability=",CHAR(34),1/AB$4,CHAR(34),CHAR(47),CHAR(62)),"&lt;/routeDistribution&gt;"))</f>
        <v/>
      </c>
    </row>
    <row r="6951" spans="1:5" x14ac:dyDescent="0.25">
      <c r="A6951" t="s">
        <v>1804</v>
      </c>
      <c r="B6951" t="s">
        <v>1108</v>
      </c>
      <c r="E6951" t="str">
        <f>IF(OR(E6950="&lt;/routeDistribution&gt;",E6950=""),"",IFERROR(_xlfn.CONCAT(VLOOKUP(AB19,Route_Column!#REF!,2,FALSE),CHAR(34)," probability=",CHAR(34),1/AB$4,CHAR(34),CHAR(47),CHAR(62)),"&lt;/routeDistribution&gt;"))</f>
        <v/>
      </c>
    </row>
    <row r="6952" spans="1:5" x14ac:dyDescent="0.25">
      <c r="A6952" t="s">
        <v>1932</v>
      </c>
      <c r="B6952" t="s">
        <v>1113</v>
      </c>
      <c r="E6952" t="str">
        <f>IF(OR(E6951="&lt;/routeDistribution&gt;",E6951=""),"",IFERROR(_xlfn.CONCAT(VLOOKUP(AB20,Route_Column!#REF!,2,FALSE),CHAR(34)," probability=",CHAR(34),1/AB$4,CHAR(34),CHAR(47),CHAR(62)),"&lt;/routeDistribution&gt;"))</f>
        <v/>
      </c>
    </row>
    <row r="6953" spans="1:5" x14ac:dyDescent="0.25">
      <c r="A6953" t="s">
        <v>1932</v>
      </c>
      <c r="B6953" t="s">
        <v>1114</v>
      </c>
      <c r="E6953" t="str">
        <f>IF(OR(E6952="&lt;/routeDistribution&gt;",E6952=""),"",IFERROR(_xlfn.CONCAT(VLOOKUP(AB21,Route_Column!#REF!,2,FALSE),CHAR(34)," probability=",CHAR(34),1/AB$4,CHAR(34),CHAR(47),CHAR(62)),"&lt;/routeDistribution&gt;"))</f>
        <v/>
      </c>
    </row>
    <row r="6954" spans="1:5" x14ac:dyDescent="0.25">
      <c r="A6954" t="s">
        <v>1932</v>
      </c>
      <c r="B6954" t="s">
        <v>1115</v>
      </c>
      <c r="E6954" t="str">
        <f>IF(OR(E6953="&lt;/routeDistribution&gt;",E6953=""),"",IFERROR(_xlfn.CONCAT(VLOOKUP(AB22,Route_Column!#REF!,2,FALSE),CHAR(34)," probability=",CHAR(34),1/AB$4,CHAR(34),CHAR(47),CHAR(62)),"&lt;/routeDistribution&gt;"))</f>
        <v/>
      </c>
    </row>
    <row r="6955" spans="1:5" x14ac:dyDescent="0.25">
      <c r="A6955" t="s">
        <v>1932</v>
      </c>
      <c r="B6955" t="s">
        <v>1133</v>
      </c>
      <c r="E6955" t="str">
        <f>IF(OR(E6954="&lt;/routeDistribution&gt;",E6954=""),"",IFERROR(_xlfn.CONCAT(VLOOKUP(AB23,Route_Column!#REF!,2,FALSE),CHAR(34)," probability=",CHAR(34),1/AB$4,CHAR(34),CHAR(47),CHAR(62)),"&lt;/routeDistribution&gt;"))</f>
        <v/>
      </c>
    </row>
    <row r="6956" spans="1:5" x14ac:dyDescent="0.25">
      <c r="A6956" t="s">
        <v>1932</v>
      </c>
      <c r="B6956" t="s">
        <v>1166</v>
      </c>
      <c r="E6956" t="str">
        <f>IF(OR(E6955="&lt;/routeDistribution&gt;",E6955=""),"",IFERROR(_xlfn.CONCAT(VLOOKUP(AB24,Route_Column!#REF!,2,FALSE),CHAR(34)," probability=",CHAR(34),1/AB$4,CHAR(34),CHAR(47),CHAR(62)),"&lt;/routeDistribution&gt;"))</f>
        <v/>
      </c>
    </row>
    <row r="6957" spans="1:5" x14ac:dyDescent="0.25">
      <c r="A6957" t="s">
        <v>1932</v>
      </c>
      <c r="B6957" t="s">
        <v>1167</v>
      </c>
      <c r="E6957" t="str">
        <f>IF(OR(E6956="&lt;/routeDistribution&gt;",E6956=""),"",IFERROR(_xlfn.CONCAT(VLOOKUP(AB25,Route_Column!#REF!,2,FALSE),CHAR(34)," probability=",CHAR(34),1/AB$4,CHAR(34),CHAR(47),CHAR(62)),"&lt;/routeDistribution&gt;"))</f>
        <v/>
      </c>
    </row>
    <row r="6958" spans="1:5" x14ac:dyDescent="0.25">
      <c r="A6958" t="s">
        <v>1932</v>
      </c>
      <c r="B6958" t="s">
        <v>1168</v>
      </c>
      <c r="E6958" t="str">
        <f>IF(OR(E6957="&lt;/routeDistribution&gt;",E6957=""),"",IFERROR(_xlfn.CONCAT(VLOOKUP(AB26,Route_Column!#REF!,2,FALSE),CHAR(34)," probability=",CHAR(34),1/AB$4,CHAR(34),CHAR(47),CHAR(62)),"&lt;/routeDistribution&gt;"))</f>
        <v/>
      </c>
    </row>
    <row r="6959" spans="1:5" x14ac:dyDescent="0.25">
      <c r="A6959" t="s">
        <v>1932</v>
      </c>
      <c r="B6959" t="s">
        <v>1186</v>
      </c>
      <c r="E6959" t="str">
        <f>IF(OR(E6958="&lt;/routeDistribution&gt;",E6958=""),"",IFERROR(_xlfn.CONCAT(VLOOKUP(AB27,Route_Column!#REF!,2,FALSE),CHAR(34)," probability=",CHAR(34),1/AB$4,CHAR(34),CHAR(47),CHAR(62)),"&lt;/routeDistribution&gt;"))</f>
        <v/>
      </c>
    </row>
    <row r="6960" spans="1:5" x14ac:dyDescent="0.25">
      <c r="A6960" t="s">
        <v>1932</v>
      </c>
      <c r="B6960" t="s">
        <v>1187</v>
      </c>
      <c r="E6960" t="str">
        <f>IF(OR(E6959="&lt;/routeDistribution&gt;",E6959=""),"",IFERROR(_xlfn.CONCAT(VLOOKUP(AB28,Route_Column!#REF!,2,FALSE),CHAR(34)," probability=",CHAR(34),1/AB$4,CHAR(34),CHAR(47),CHAR(62)),"&lt;/routeDistribution&gt;"))</f>
        <v/>
      </c>
    </row>
    <row r="6961" spans="1:5" x14ac:dyDescent="0.25">
      <c r="A6961" t="s">
        <v>1932</v>
      </c>
      <c r="B6961" t="s">
        <v>1188</v>
      </c>
      <c r="E6961" t="str">
        <f>IF(OR(E6960="&lt;/routeDistribution&gt;",E6960=""),"",IFERROR(_xlfn.CONCAT(VLOOKUP(AB29,Route_Column!#REF!,2,FALSE),CHAR(34)," probability=",CHAR(34),1/AB$4,CHAR(34),CHAR(47),CHAR(62)),"&lt;/routeDistribution&gt;"))</f>
        <v/>
      </c>
    </row>
    <row r="6962" spans="1:5" x14ac:dyDescent="0.25">
      <c r="A6962" t="s">
        <v>1932</v>
      </c>
      <c r="B6962" t="s">
        <v>1189</v>
      </c>
      <c r="E6962" t="str">
        <f>IF(OR(E6961="&lt;/routeDistribution&gt;",E6961=""),"",IFERROR(_xlfn.CONCAT(VLOOKUP(AB30,Route_Column!#REF!,2,FALSE),CHAR(34)," probability=",CHAR(34),1/AB$4,CHAR(34),CHAR(47),CHAR(62)),"&lt;/routeDistribution&gt;"))</f>
        <v/>
      </c>
    </row>
    <row r="6963" spans="1:5" x14ac:dyDescent="0.25">
      <c r="A6963" t="s">
        <v>1932</v>
      </c>
      <c r="B6963" t="s">
        <v>1195</v>
      </c>
      <c r="E6963" t="str">
        <f>IF(OR(E6962="&lt;/routeDistribution&gt;",E6962=""),"",IFERROR(_xlfn.CONCAT(VLOOKUP(AB31,Route_Column!#REF!,2,FALSE),CHAR(34)," probability=",CHAR(34),1/AB$4,CHAR(34),CHAR(47),CHAR(62)),"&lt;/routeDistribution&gt;"))</f>
        <v/>
      </c>
    </row>
    <row r="6964" spans="1:5" x14ac:dyDescent="0.25">
      <c r="A6964" t="s">
        <v>1932</v>
      </c>
      <c r="B6964" t="s">
        <v>1196</v>
      </c>
      <c r="E6964" t="str">
        <f>IF(OR(E6963="&lt;/routeDistribution&gt;",E6963=""),"",IFERROR(_xlfn.CONCAT(VLOOKUP(AB32,Route_Column!#REF!,2,FALSE),CHAR(34)," probability=",CHAR(34),1/AB$4,CHAR(34),CHAR(47),CHAR(62)),"&lt;/routeDistribution&gt;"))</f>
        <v/>
      </c>
    </row>
    <row r="6965" spans="1:5" x14ac:dyDescent="0.25">
      <c r="A6965" t="s">
        <v>1933</v>
      </c>
      <c r="B6965" t="s">
        <v>1113</v>
      </c>
      <c r="E6965" t="str">
        <f>IF(OR(E6964="&lt;/routeDistribution&gt;",E6964=""),"",IFERROR(_xlfn.CONCAT(VLOOKUP(AB33,Route_Column!#REF!,2,FALSE),CHAR(34)," probability=",CHAR(34),1/AB$4,CHAR(34),CHAR(47),CHAR(62)),"&lt;/routeDistribution&gt;"))</f>
        <v/>
      </c>
    </row>
    <row r="6966" spans="1:5" x14ac:dyDescent="0.25">
      <c r="A6966" t="s">
        <v>1933</v>
      </c>
      <c r="B6966" t="s">
        <v>1114</v>
      </c>
      <c r="E6966" t="str">
        <f>IF(OR(E6965="&lt;/routeDistribution&gt;",E6965=""),"",IFERROR(_xlfn.CONCAT(VLOOKUP(AB34,Route_Column!#REF!,2,FALSE),CHAR(34)," probability=",CHAR(34),1/AB$4,CHAR(34),CHAR(47),CHAR(62)),"&lt;/routeDistribution&gt;"))</f>
        <v/>
      </c>
    </row>
    <row r="6967" spans="1:5" x14ac:dyDescent="0.25">
      <c r="A6967" t="s">
        <v>1933</v>
      </c>
      <c r="B6967" t="s">
        <v>1115</v>
      </c>
      <c r="E6967" t="str">
        <f>IF(OR(E6966="&lt;/routeDistribution&gt;",E6966=""),"",IFERROR(_xlfn.CONCAT(VLOOKUP(AB35,Route_Column!#REF!,2,FALSE),CHAR(34)," probability=",CHAR(34),1/AB$4,CHAR(34),CHAR(47),CHAR(62)),"&lt;/routeDistribution&gt;"))</f>
        <v/>
      </c>
    </row>
    <row r="6968" spans="1:5" x14ac:dyDescent="0.25">
      <c r="A6968" t="s">
        <v>1933</v>
      </c>
      <c r="B6968" t="s">
        <v>1133</v>
      </c>
      <c r="E6968" t="str">
        <f>IF(OR(E6967="&lt;/routeDistribution&gt;",E6967=""),"",IFERROR(_xlfn.CONCAT(VLOOKUP(AB36,Route_Column!#REF!,2,FALSE),CHAR(34)," probability=",CHAR(34),1/AB$4,CHAR(34),CHAR(47),CHAR(62)),"&lt;/routeDistribution&gt;"))</f>
        <v/>
      </c>
    </row>
    <row r="6969" spans="1:5" x14ac:dyDescent="0.25">
      <c r="A6969" t="s">
        <v>1933</v>
      </c>
      <c r="B6969" t="s">
        <v>1166</v>
      </c>
      <c r="E6969" t="str">
        <f>IF(OR(E6968="&lt;/routeDistribution&gt;",E6968=""),"",IFERROR(_xlfn.CONCAT(VLOOKUP(AB37,Route_Column!#REF!,2,FALSE),CHAR(34)," probability=",CHAR(34),1/AB$4,CHAR(34),CHAR(47),CHAR(62)),"&lt;/routeDistribution&gt;"))</f>
        <v/>
      </c>
    </row>
    <row r="6970" spans="1:5" x14ac:dyDescent="0.25">
      <c r="A6970" t="s">
        <v>1933</v>
      </c>
      <c r="B6970" t="s">
        <v>1167</v>
      </c>
      <c r="E6970" t="str">
        <f>IF(OR(E6969="&lt;/routeDistribution&gt;",E6969=""),"",IFERROR(_xlfn.CONCAT(VLOOKUP(AB38,Route_Column!#REF!,2,FALSE),CHAR(34)," probability=",CHAR(34),1/AB$4,CHAR(34),CHAR(47),CHAR(62)),"&lt;/routeDistribution&gt;"))</f>
        <v/>
      </c>
    </row>
    <row r="6971" spans="1:5" x14ac:dyDescent="0.25">
      <c r="A6971" t="s">
        <v>1933</v>
      </c>
      <c r="B6971" t="s">
        <v>1168</v>
      </c>
      <c r="E6971" t="str">
        <f>IF(OR(E6970="&lt;/routeDistribution&gt;",E6970=""),"",IFERROR(_xlfn.CONCAT(VLOOKUP(AB39,Route_Column!#REF!,2,FALSE),CHAR(34)," probability=",CHAR(34),1/AB$4,CHAR(34),CHAR(47),CHAR(62)),"&lt;/routeDistribution&gt;"))</f>
        <v/>
      </c>
    </row>
    <row r="6972" spans="1:5" x14ac:dyDescent="0.25">
      <c r="A6972" t="s">
        <v>1933</v>
      </c>
      <c r="B6972" t="s">
        <v>1186</v>
      </c>
      <c r="E6972" t="str">
        <f>IF(OR(E6971="&lt;/routeDistribution&gt;",E6971=""),"",IFERROR(_xlfn.CONCAT(VLOOKUP(AB40,Route_Column!#REF!,2,FALSE),CHAR(34)," probability=",CHAR(34),1/AB$4,CHAR(34),CHAR(47),CHAR(62)),"&lt;/routeDistribution&gt;"))</f>
        <v/>
      </c>
    </row>
    <row r="6973" spans="1:5" x14ac:dyDescent="0.25">
      <c r="A6973" t="s">
        <v>1933</v>
      </c>
      <c r="B6973" t="s">
        <v>1187</v>
      </c>
      <c r="E6973" t="str">
        <f>IF(OR(E6972="&lt;/routeDistribution&gt;",E6972=""),"",IFERROR(_xlfn.CONCAT(VLOOKUP(AB41,Route_Column!#REF!,2,FALSE),CHAR(34)," probability=",CHAR(34),1/AB$4,CHAR(34),CHAR(47),CHAR(62)),"&lt;/routeDistribution&gt;"))</f>
        <v/>
      </c>
    </row>
    <row r="6974" spans="1:5" x14ac:dyDescent="0.25">
      <c r="A6974" t="s">
        <v>1933</v>
      </c>
      <c r="B6974" t="s">
        <v>1188</v>
      </c>
      <c r="E6974" t="str">
        <f>IF(OR(E6973="&lt;/routeDistribution&gt;",E6973=""),"",IFERROR(_xlfn.CONCAT(VLOOKUP(AB42,Route_Column!#REF!,2,FALSE),CHAR(34)," probability=",CHAR(34),1/AB$4,CHAR(34),CHAR(47),CHAR(62)),"&lt;/routeDistribution&gt;"))</f>
        <v/>
      </c>
    </row>
    <row r="6975" spans="1:5" x14ac:dyDescent="0.25">
      <c r="A6975" t="s">
        <v>1933</v>
      </c>
      <c r="B6975" t="s">
        <v>1189</v>
      </c>
      <c r="E6975" t="str">
        <f>IF(OR(E6974="&lt;/routeDistribution&gt;",E6974=""),"",IFERROR(_xlfn.CONCAT(VLOOKUP(AB43,Route_Column!#REF!,2,FALSE),CHAR(34)," probability=",CHAR(34),1/AB$4,CHAR(34),CHAR(47),CHAR(62)),"&lt;/routeDistribution&gt;"))</f>
        <v/>
      </c>
    </row>
    <row r="6976" spans="1:5" x14ac:dyDescent="0.25">
      <c r="A6976" t="s">
        <v>1933</v>
      </c>
      <c r="B6976" t="s">
        <v>1195</v>
      </c>
      <c r="E6976" t="str">
        <f>IF(OR(E6975="&lt;/routeDistribution&gt;",E6975=""),"",IFERROR(_xlfn.CONCAT(VLOOKUP(AB44,Route_Column!#REF!,2,FALSE),CHAR(34)," probability=",CHAR(34),1/AB$4,CHAR(34),CHAR(47),CHAR(62)),"&lt;/routeDistribution&gt;"))</f>
        <v/>
      </c>
    </row>
    <row r="6977" spans="1:5" x14ac:dyDescent="0.25">
      <c r="A6977" t="s">
        <v>1933</v>
      </c>
      <c r="B6977" t="s">
        <v>1196</v>
      </c>
      <c r="E6977" t="str">
        <f>IF(OR(E6976="&lt;/routeDistribution&gt;",E6976=""),"",IFERROR(_xlfn.CONCAT(VLOOKUP(AB45,Route_Column!#REF!,2,FALSE),CHAR(34)," probability=",CHAR(34),1/AB$4,CHAR(34),CHAR(47),CHAR(62)),"&lt;/routeDistribution&gt;"))</f>
        <v/>
      </c>
    </row>
    <row r="6978" spans="1:5" x14ac:dyDescent="0.25">
      <c r="A6978" t="s">
        <v>2209</v>
      </c>
      <c r="B6978" t="s">
        <v>1160</v>
      </c>
      <c r="E6978" t="str">
        <f>IF(OR(E6977="&lt;/routeDistribution&gt;",E6977=""),"",IFERROR(_xlfn.CONCAT(VLOOKUP(AB46,Route_Column!#REF!,2,FALSE),CHAR(34)," probability=",CHAR(34),1/AB$4,CHAR(34),CHAR(47),CHAR(62)),"&lt;/routeDistribution&gt;"))</f>
        <v/>
      </c>
    </row>
    <row r="6979" spans="1:5" x14ac:dyDescent="0.25">
      <c r="A6979" t="s">
        <v>2209</v>
      </c>
      <c r="B6979" t="s">
        <v>1161</v>
      </c>
      <c r="E6979" t="str">
        <f>IF(OR(E6978="&lt;/routeDistribution&gt;",E6978=""),"",IFERROR(_xlfn.CONCAT(VLOOKUP(AB47,Route_Column!#REF!,2,FALSE),CHAR(34)," probability=",CHAR(34),1/AB$4,CHAR(34),CHAR(47),CHAR(62)),"&lt;/routeDistribution&gt;"))</f>
        <v/>
      </c>
    </row>
    <row r="6980" spans="1:5" x14ac:dyDescent="0.25">
      <c r="A6980" t="s">
        <v>2209</v>
      </c>
      <c r="B6980" t="s">
        <v>1162</v>
      </c>
      <c r="E6980" t="str">
        <f>IF(OR(E6979="&lt;/routeDistribution&gt;",E6979=""),"",IFERROR(_xlfn.CONCAT(VLOOKUP(AB48,Route_Column!#REF!,2,FALSE),CHAR(34)," probability=",CHAR(34),1/AB$4,CHAR(34),CHAR(47),CHAR(62)),"&lt;/routeDistribution&gt;"))</f>
        <v/>
      </c>
    </row>
    <row r="6981" spans="1:5" x14ac:dyDescent="0.25">
      <c r="A6981" t="s">
        <v>2209</v>
      </c>
      <c r="B6981" t="s">
        <v>1163</v>
      </c>
      <c r="E6981" t="str">
        <f>IF(OR(E6980="&lt;/routeDistribution&gt;",E6980=""),"",IFERROR(_xlfn.CONCAT(VLOOKUP(AB49,Route_Column!#REF!,2,FALSE),CHAR(34)," probability=",CHAR(34),1/AB$4,CHAR(34),CHAR(47),CHAR(62)),"&lt;/routeDistribution&gt;"))</f>
        <v/>
      </c>
    </row>
    <row r="6982" spans="1:5" x14ac:dyDescent="0.25">
      <c r="A6982" t="s">
        <v>2209</v>
      </c>
      <c r="B6982" t="s">
        <v>1164</v>
      </c>
      <c r="E6982" t="str">
        <f>IF(OR(E6981="&lt;/routeDistribution&gt;",E6981=""),"",IFERROR(_xlfn.CONCAT(VLOOKUP(AB50,Route_Column!#REF!,2,FALSE),CHAR(34)," probability=",CHAR(34),1/AB$4,CHAR(34),CHAR(47),CHAR(62)),"&lt;/routeDistribution&gt;"))</f>
        <v/>
      </c>
    </row>
    <row r="6983" spans="1:5" x14ac:dyDescent="0.25">
      <c r="A6983" t="s">
        <v>2209</v>
      </c>
      <c r="B6983" t="s">
        <v>1165</v>
      </c>
      <c r="E6983" t="str">
        <f>IF(OR(E6982="&lt;/routeDistribution&gt;",E6982=""),"",IFERROR(_xlfn.CONCAT(VLOOKUP(AB51,Route_Column!#REF!,2,FALSE),CHAR(34)," probability=",CHAR(34),1/AB$4,CHAR(34),CHAR(47),CHAR(62)),"&lt;/routeDistribution&gt;"))</f>
        <v/>
      </c>
    </row>
    <row r="6984" spans="1:5" x14ac:dyDescent="0.25">
      <c r="A6984" t="s">
        <v>2259</v>
      </c>
      <c r="B6984" t="s">
        <v>1187</v>
      </c>
      <c r="E6984" t="str">
        <f>IF(OR(E6983="&lt;/routeDistribution&gt;",E6983=""),"",IFERROR(_xlfn.CONCAT(VLOOKUP(AB52,Route_Column!#REF!,2,FALSE),CHAR(34)," probability=",CHAR(34),1/AB$4,CHAR(34),CHAR(47),CHAR(62)),"&lt;/routeDistribution&gt;"))</f>
        <v/>
      </c>
    </row>
    <row r="6985" spans="1:5" x14ac:dyDescent="0.25">
      <c r="A6985" t="s">
        <v>2259</v>
      </c>
      <c r="B6985" t="s">
        <v>1188</v>
      </c>
      <c r="E6985" t="str">
        <f>IF(OR(E6984="&lt;/routeDistribution&gt;",E6984=""),"",IFERROR(_xlfn.CONCAT(VLOOKUP(AB53,Route_Column!#REF!,2,FALSE),CHAR(34)," probability=",CHAR(34),1/AB$4,CHAR(34),CHAR(47),CHAR(62)),"&lt;/routeDistribution&gt;"))</f>
        <v/>
      </c>
    </row>
    <row r="6986" spans="1:5" x14ac:dyDescent="0.25">
      <c r="A6986" t="s">
        <v>2260</v>
      </c>
      <c r="B6986" t="s">
        <v>1187</v>
      </c>
      <c r="E6986" t="str">
        <f>IF(OR(E6985="&lt;/routeDistribution&gt;",E6985=""),"",IFERROR(_xlfn.CONCAT(VLOOKUP(AB54,Route_Column!#REF!,2,FALSE),CHAR(34)," probability=",CHAR(34),1/AB$4,CHAR(34),CHAR(47),CHAR(62)),"&lt;/routeDistribution&gt;"))</f>
        <v/>
      </c>
    </row>
    <row r="6987" spans="1:5" x14ac:dyDescent="0.25">
      <c r="A6987" t="s">
        <v>2260</v>
      </c>
      <c r="B6987" t="s">
        <v>1188</v>
      </c>
      <c r="E6987" t="str">
        <f>IF(OR(E6986="&lt;/routeDistribution&gt;",E6986=""),"",IFERROR(_xlfn.CONCAT(VLOOKUP(AB55,Route_Column!#REF!,2,FALSE),CHAR(34)," probability=",CHAR(34),1/AB$4,CHAR(34),CHAR(47),CHAR(62)),"&lt;/routeDistribution&gt;"))</f>
        <v/>
      </c>
    </row>
    <row r="6988" spans="1:5" x14ac:dyDescent="0.25">
      <c r="A6988" t="s">
        <v>2260</v>
      </c>
      <c r="B6988" t="s">
        <v>1195</v>
      </c>
      <c r="E6988" t="str">
        <f>IF(OR(E6987="&lt;/routeDistribution&gt;",E6987=""),"",IFERROR(_xlfn.CONCAT(VLOOKUP(AB56,Route_Column!#REF!,2,FALSE),CHAR(34)," probability=",CHAR(34),1/AB$4,CHAR(34),CHAR(47),CHAR(62)),"&lt;/routeDistribution&gt;"))</f>
        <v/>
      </c>
    </row>
    <row r="6989" spans="1:5" x14ac:dyDescent="0.25">
      <c r="A6989" t="s">
        <v>2260</v>
      </c>
      <c r="B6989" t="s">
        <v>1196</v>
      </c>
      <c r="E6989" t="str">
        <f>IF(OR(E6988="&lt;/routeDistribution&gt;",E6988=""),"",IFERROR(_xlfn.CONCAT(VLOOKUP(AB57,Route_Column!#REF!,2,FALSE),CHAR(34)," probability=",CHAR(34),1/AB$4,CHAR(34),CHAR(47),CHAR(62)),"&lt;/routeDistribution&gt;"))</f>
        <v/>
      </c>
    </row>
    <row r="6990" spans="1:5" x14ac:dyDescent="0.25">
      <c r="A6990" t="s">
        <v>2261</v>
      </c>
      <c r="B6990" t="s">
        <v>1187</v>
      </c>
      <c r="E6990" t="str">
        <f>IF(OR(E6989="&lt;/routeDistribution&gt;",E6989=""),"",IFERROR(_xlfn.CONCAT(VLOOKUP(AB58,Route_Column!#REF!,2,FALSE),CHAR(34)," probability=",CHAR(34),1/AB$4,CHAR(34),CHAR(47),CHAR(62)),"&lt;/routeDistribution&gt;"))</f>
        <v/>
      </c>
    </row>
    <row r="6991" spans="1:5" x14ac:dyDescent="0.25">
      <c r="A6991" t="s">
        <v>2261</v>
      </c>
      <c r="B6991" t="s">
        <v>1188</v>
      </c>
      <c r="E6991" t="str">
        <f>IF(OR(E6990="&lt;/routeDistribution&gt;",E6990=""),"",IFERROR(_xlfn.CONCAT(VLOOKUP(AB59,Route_Column!#REF!,2,FALSE),CHAR(34)," probability=",CHAR(34),1/AB$4,CHAR(34),CHAR(47),CHAR(62)),"&lt;/routeDistribution&gt;"))</f>
        <v/>
      </c>
    </row>
    <row r="6992" spans="1:5" x14ac:dyDescent="0.25">
      <c r="A6992" t="s">
        <v>2261</v>
      </c>
      <c r="B6992" t="s">
        <v>1195</v>
      </c>
      <c r="E6992" t="str">
        <f>IF(OR(E6991="&lt;/routeDistribution&gt;",E6991=""),"",IFERROR(_xlfn.CONCAT(VLOOKUP(AB60,Route_Column!#REF!,2,FALSE),CHAR(34)," probability=",CHAR(34),1/AB$4,CHAR(34),CHAR(47),CHAR(62)),"&lt;/routeDistribution&gt;"))</f>
        <v/>
      </c>
    </row>
    <row r="6993" spans="1:5" x14ac:dyDescent="0.25">
      <c r="A6993" t="s">
        <v>2261</v>
      </c>
      <c r="B6993" t="s">
        <v>1196</v>
      </c>
      <c r="E6993" t="str">
        <f>IF(OR(E6992="&lt;/routeDistribution&gt;",E6992=""),"",IFERROR(_xlfn.CONCAT(VLOOKUP(AB61,Route_Column!#REF!,2,FALSE),CHAR(34)," probability=",CHAR(34),1/AB$4,CHAR(34),CHAR(47),CHAR(62)),"&lt;/routeDistribution&gt;"))</f>
        <v/>
      </c>
    </row>
    <row r="6994" spans="1:5" x14ac:dyDescent="0.25">
      <c r="A6994" t="s">
        <v>1957</v>
      </c>
      <c r="B6994" t="s">
        <v>1113</v>
      </c>
      <c r="E6994" t="str">
        <f>IF(OR(E6993="&lt;/routeDistribution&gt;",E6993=""),"",IFERROR(_xlfn.CONCAT(VLOOKUP(AB62,Route_Column!#REF!,2,FALSE),CHAR(34)," probability=",CHAR(34),1/AB$4,CHAR(34),CHAR(47),CHAR(62)),"&lt;/routeDistribution&gt;"))</f>
        <v/>
      </c>
    </row>
    <row r="6995" spans="1:5" x14ac:dyDescent="0.25">
      <c r="A6995" t="s">
        <v>1957</v>
      </c>
      <c r="B6995" t="s">
        <v>1114</v>
      </c>
      <c r="E6995" t="str">
        <f>IF(OR(E6994="&lt;/routeDistribution&gt;",E6994=""),"",IFERROR(_xlfn.CONCAT(VLOOKUP(AB63,Route_Column!#REF!,2,FALSE),CHAR(34)," probability=",CHAR(34),1/AB$4,CHAR(34),CHAR(47),CHAR(62)),"&lt;/routeDistribution&gt;"))</f>
        <v/>
      </c>
    </row>
    <row r="6996" spans="1:5" x14ac:dyDescent="0.25">
      <c r="A6996" t="s">
        <v>1957</v>
      </c>
      <c r="B6996" t="s">
        <v>1115</v>
      </c>
      <c r="E6996" t="s">
        <v>2686</v>
      </c>
    </row>
    <row r="6997" spans="1:5" x14ac:dyDescent="0.25">
      <c r="A6997" t="s">
        <v>1957</v>
      </c>
      <c r="B6997" t="s">
        <v>1133</v>
      </c>
    </row>
    <row r="6998" spans="1:5" x14ac:dyDescent="0.25">
      <c r="A6998" t="s">
        <v>1957</v>
      </c>
      <c r="B6998" t="s">
        <v>1166</v>
      </c>
    </row>
    <row r="6999" spans="1:5" x14ac:dyDescent="0.25">
      <c r="A6999" t="s">
        <v>1957</v>
      </c>
      <c r="B6999" t="s">
        <v>1167</v>
      </c>
      <c r="E6999" t="str">
        <f>_xlfn.CONCAT($E$1,AA$2,$F$1)</f>
        <v>&lt;routeDistribution id="26th-Bain-to-South-NB-2015-RouteProbe"&gt;</v>
      </c>
    </row>
    <row r="7000" spans="1:5" x14ac:dyDescent="0.25">
      <c r="A7000" t="s">
        <v>1957</v>
      </c>
      <c r="B7000" t="s">
        <v>1168</v>
      </c>
      <c r="E7000" t="str">
        <f>IF(OR(E6999="&lt;/routeDistribution&gt;",E6999=""),"",IFERROR(_xlfn.CONCAT(VLOOKUP(AA5,Route_Column!#REF!,2,FALSE),CHAR(34)," probability=",CHAR(34),1/AA$4,CHAR(34),CHAR(47),CHAR(62)),"&lt;/routeDistribution&gt;"))</f>
        <v>&lt;/routeDistribution&gt;</v>
      </c>
    </row>
    <row r="7001" spans="1:5" x14ac:dyDescent="0.25">
      <c r="A7001" t="s">
        <v>1957</v>
      </c>
      <c r="B7001" t="s">
        <v>1186</v>
      </c>
      <c r="E7001" t="str">
        <f>IF(OR(E7000="&lt;/routeDistribution&gt;",E7000=""),"",IFERROR(_xlfn.CONCAT(VLOOKUP(AA6,Route_Column!#REF!,2,FALSE),CHAR(34)," probability=",CHAR(34),1/AA$4,CHAR(34),CHAR(47),CHAR(62)),"&lt;/routeDistribution&gt;"))</f>
        <v/>
      </c>
    </row>
    <row r="7002" spans="1:5" x14ac:dyDescent="0.25">
      <c r="A7002" t="s">
        <v>1957</v>
      </c>
      <c r="B7002" t="s">
        <v>1187</v>
      </c>
      <c r="E7002" t="str">
        <f>IF(OR(E7001="&lt;/routeDistribution&gt;",E7001=""),"",IFERROR(_xlfn.CONCAT(VLOOKUP(AA7,Route_Column!#REF!,2,FALSE),CHAR(34)," probability=",CHAR(34),1/AA$4,CHAR(34),CHAR(47),CHAR(62)),"&lt;/routeDistribution&gt;"))</f>
        <v/>
      </c>
    </row>
    <row r="7003" spans="1:5" x14ac:dyDescent="0.25">
      <c r="A7003" t="s">
        <v>1957</v>
      </c>
      <c r="B7003" t="s">
        <v>1188</v>
      </c>
      <c r="E7003" t="str">
        <f>IF(OR(E7002="&lt;/routeDistribution&gt;",E7002=""),"",IFERROR(_xlfn.CONCAT(VLOOKUP(AA8,Route_Column!#REF!,2,FALSE),CHAR(34)," probability=",CHAR(34),1/AA$4,CHAR(34),CHAR(47),CHAR(62)),"&lt;/routeDistribution&gt;"))</f>
        <v/>
      </c>
    </row>
    <row r="7004" spans="1:5" x14ac:dyDescent="0.25">
      <c r="A7004" t="s">
        <v>1957</v>
      </c>
      <c r="B7004" t="s">
        <v>1189</v>
      </c>
      <c r="E7004" t="str">
        <f>IF(OR(E7003="&lt;/routeDistribution&gt;",E7003=""),"",IFERROR(_xlfn.CONCAT(VLOOKUP(AA9,Route_Column!#REF!,2,FALSE),CHAR(34)," probability=",CHAR(34),1/AA$4,CHAR(34),CHAR(47),CHAR(62)),"&lt;/routeDistribution&gt;"))</f>
        <v/>
      </c>
    </row>
    <row r="7005" spans="1:5" x14ac:dyDescent="0.25">
      <c r="A7005" t="s">
        <v>1957</v>
      </c>
      <c r="B7005" t="s">
        <v>1195</v>
      </c>
      <c r="E7005" t="str">
        <f>IF(OR(E7004="&lt;/routeDistribution&gt;",E7004=""),"",IFERROR(_xlfn.CONCAT(VLOOKUP(AA10,Route_Column!#REF!,2,FALSE),CHAR(34)," probability=",CHAR(34),1/AA$4,CHAR(34),CHAR(47),CHAR(62)),"&lt;/routeDistribution&gt;"))</f>
        <v/>
      </c>
    </row>
    <row r="7006" spans="1:5" x14ac:dyDescent="0.25">
      <c r="A7006" t="s">
        <v>1957</v>
      </c>
      <c r="B7006" t="s">
        <v>1196</v>
      </c>
      <c r="E7006" t="str">
        <f>IF(OR(E7005="&lt;/routeDistribution&gt;",E7005=""),"",IFERROR(_xlfn.CONCAT(VLOOKUP(AA11,Route_Column!#REF!,2,FALSE),CHAR(34)," probability=",CHAR(34),1/AA$4,CHAR(34),CHAR(47),CHAR(62)),"&lt;/routeDistribution&gt;"))</f>
        <v/>
      </c>
    </row>
    <row r="7007" spans="1:5" x14ac:dyDescent="0.25">
      <c r="A7007" t="s">
        <v>1958</v>
      </c>
      <c r="B7007" t="s">
        <v>1113</v>
      </c>
      <c r="E7007" t="str">
        <f>IF(OR(E7006="&lt;/routeDistribution&gt;",E7006=""),"",IFERROR(_xlfn.CONCAT(VLOOKUP(AA12,Route_Column!#REF!,2,FALSE),CHAR(34)," probability=",CHAR(34),1/AA$4,CHAR(34),CHAR(47),CHAR(62)),"&lt;/routeDistribution&gt;"))</f>
        <v/>
      </c>
    </row>
    <row r="7008" spans="1:5" x14ac:dyDescent="0.25">
      <c r="A7008" t="s">
        <v>1958</v>
      </c>
      <c r="B7008" t="s">
        <v>1114</v>
      </c>
      <c r="E7008" t="str">
        <f>IF(OR(E7007="&lt;/routeDistribution&gt;",E7007=""),"",IFERROR(_xlfn.CONCAT(VLOOKUP(AA13,Route_Column!#REF!,2,FALSE),CHAR(34)," probability=",CHAR(34),1/AA$4,CHAR(34),CHAR(47),CHAR(62)),"&lt;/routeDistribution&gt;"))</f>
        <v/>
      </c>
    </row>
    <row r="7009" spans="1:5" x14ac:dyDescent="0.25">
      <c r="A7009" t="s">
        <v>1958</v>
      </c>
      <c r="B7009" t="s">
        <v>1115</v>
      </c>
      <c r="E7009" t="str">
        <f>IF(OR(E7008="&lt;/routeDistribution&gt;",E7008=""),"",IFERROR(_xlfn.CONCAT(VLOOKUP(AA14,Route_Column!#REF!,2,FALSE),CHAR(34)," probability=",CHAR(34),1/AA$4,CHAR(34),CHAR(47),CHAR(62)),"&lt;/routeDistribution&gt;"))</f>
        <v/>
      </c>
    </row>
    <row r="7010" spans="1:5" x14ac:dyDescent="0.25">
      <c r="A7010" t="s">
        <v>1958</v>
      </c>
      <c r="B7010" t="s">
        <v>1133</v>
      </c>
      <c r="E7010" t="str">
        <f>IF(OR(E7009="&lt;/routeDistribution&gt;",E7009=""),"",IFERROR(_xlfn.CONCAT(VLOOKUP(AA15,Route_Column!#REF!,2,FALSE),CHAR(34)," probability=",CHAR(34),1/AA$4,CHAR(34),CHAR(47),CHAR(62)),"&lt;/routeDistribution&gt;"))</f>
        <v/>
      </c>
    </row>
    <row r="7011" spans="1:5" x14ac:dyDescent="0.25">
      <c r="A7011" t="s">
        <v>1958</v>
      </c>
      <c r="B7011" t="s">
        <v>1166</v>
      </c>
      <c r="E7011" t="str">
        <f>IF(OR(E7010="&lt;/routeDistribution&gt;",E7010=""),"",IFERROR(_xlfn.CONCAT(VLOOKUP(AA16,Route_Column!#REF!,2,FALSE),CHAR(34)," probability=",CHAR(34),1/AA$4,CHAR(34),CHAR(47),CHAR(62)),"&lt;/routeDistribution&gt;"))</f>
        <v/>
      </c>
    </row>
    <row r="7012" spans="1:5" x14ac:dyDescent="0.25">
      <c r="A7012" t="s">
        <v>1958</v>
      </c>
      <c r="B7012" t="s">
        <v>1167</v>
      </c>
      <c r="E7012" t="str">
        <f>IF(OR(E7011="&lt;/routeDistribution&gt;",E7011=""),"",IFERROR(_xlfn.CONCAT(VLOOKUP(AA17,Route_Column!#REF!,2,FALSE),CHAR(34)," probability=",CHAR(34),1/AA$4,CHAR(34),CHAR(47),CHAR(62)),"&lt;/routeDistribution&gt;"))</f>
        <v/>
      </c>
    </row>
    <row r="7013" spans="1:5" x14ac:dyDescent="0.25">
      <c r="A7013" t="s">
        <v>1958</v>
      </c>
      <c r="B7013" t="s">
        <v>1168</v>
      </c>
      <c r="E7013" t="str">
        <f>IF(OR(E7012="&lt;/routeDistribution&gt;",E7012=""),"",IFERROR(_xlfn.CONCAT(VLOOKUP(AA18,Route_Column!#REF!,2,FALSE),CHAR(34)," probability=",CHAR(34),1/AA$4,CHAR(34),CHAR(47),CHAR(62)),"&lt;/routeDistribution&gt;"))</f>
        <v/>
      </c>
    </row>
    <row r="7014" spans="1:5" x14ac:dyDescent="0.25">
      <c r="A7014" t="s">
        <v>1958</v>
      </c>
      <c r="B7014" t="s">
        <v>1186</v>
      </c>
      <c r="E7014" t="str">
        <f>IF(OR(E7013="&lt;/routeDistribution&gt;",E7013=""),"",IFERROR(_xlfn.CONCAT(VLOOKUP(AA19,Route_Column!#REF!,2,FALSE),CHAR(34)," probability=",CHAR(34),1/AA$4,CHAR(34),CHAR(47),CHAR(62)),"&lt;/routeDistribution&gt;"))</f>
        <v/>
      </c>
    </row>
    <row r="7015" spans="1:5" x14ac:dyDescent="0.25">
      <c r="A7015" t="s">
        <v>1958</v>
      </c>
      <c r="B7015" t="s">
        <v>1187</v>
      </c>
      <c r="E7015" t="str">
        <f>IF(OR(E7014="&lt;/routeDistribution&gt;",E7014=""),"",IFERROR(_xlfn.CONCAT(VLOOKUP(AA20,Route_Column!#REF!,2,FALSE),CHAR(34)," probability=",CHAR(34),1/AA$4,CHAR(34),CHAR(47),CHAR(62)),"&lt;/routeDistribution&gt;"))</f>
        <v/>
      </c>
    </row>
    <row r="7016" spans="1:5" x14ac:dyDescent="0.25">
      <c r="A7016" t="s">
        <v>1958</v>
      </c>
      <c r="B7016" t="s">
        <v>1188</v>
      </c>
      <c r="E7016" t="str">
        <f>IF(OR(E7015="&lt;/routeDistribution&gt;",E7015=""),"",IFERROR(_xlfn.CONCAT(VLOOKUP(AA21,Route_Column!#REF!,2,FALSE),CHAR(34)," probability=",CHAR(34),1/AA$4,CHAR(34),CHAR(47),CHAR(62)),"&lt;/routeDistribution&gt;"))</f>
        <v/>
      </c>
    </row>
    <row r="7017" spans="1:5" x14ac:dyDescent="0.25">
      <c r="A7017" t="s">
        <v>1958</v>
      </c>
      <c r="B7017" t="s">
        <v>1189</v>
      </c>
      <c r="E7017" t="str">
        <f>IF(OR(E7016="&lt;/routeDistribution&gt;",E7016=""),"",IFERROR(_xlfn.CONCAT(VLOOKUP(AA22,Route_Column!#REF!,2,FALSE),CHAR(34)," probability=",CHAR(34),1/AA$4,CHAR(34),CHAR(47),CHAR(62)),"&lt;/routeDistribution&gt;"))</f>
        <v/>
      </c>
    </row>
    <row r="7018" spans="1:5" x14ac:dyDescent="0.25">
      <c r="A7018" t="s">
        <v>1958</v>
      </c>
      <c r="B7018" t="s">
        <v>1195</v>
      </c>
      <c r="E7018" t="str">
        <f>IF(OR(E7017="&lt;/routeDistribution&gt;",E7017=""),"",IFERROR(_xlfn.CONCAT(VLOOKUP(AA23,Route_Column!#REF!,2,FALSE),CHAR(34)," probability=",CHAR(34),1/AA$4,CHAR(34),CHAR(47),CHAR(62)),"&lt;/routeDistribution&gt;"))</f>
        <v/>
      </c>
    </row>
    <row r="7019" spans="1:5" x14ac:dyDescent="0.25">
      <c r="A7019" t="s">
        <v>1958</v>
      </c>
      <c r="B7019" t="s">
        <v>1196</v>
      </c>
      <c r="E7019" t="str">
        <f>IF(OR(E7018="&lt;/routeDistribution&gt;",E7018=""),"",IFERROR(_xlfn.CONCAT(VLOOKUP(AA24,Route_Column!#REF!,2,FALSE),CHAR(34)," probability=",CHAR(34),1/AA$4,CHAR(34),CHAR(47),CHAR(62)),"&lt;/routeDistribution&gt;"))</f>
        <v/>
      </c>
    </row>
    <row r="7020" spans="1:5" x14ac:dyDescent="0.25">
      <c r="A7020" t="s">
        <v>1959</v>
      </c>
      <c r="B7020" t="s">
        <v>1113</v>
      </c>
      <c r="E7020" t="str">
        <f>IF(OR(E7019="&lt;/routeDistribution&gt;",E7019=""),"",IFERROR(_xlfn.CONCAT(VLOOKUP(AA25,Route_Column!#REF!,2,FALSE),CHAR(34)," probability=",CHAR(34),1/AA$4,CHAR(34),CHAR(47),CHAR(62)),"&lt;/routeDistribution&gt;"))</f>
        <v/>
      </c>
    </row>
    <row r="7021" spans="1:5" x14ac:dyDescent="0.25">
      <c r="A7021" t="s">
        <v>1959</v>
      </c>
      <c r="B7021" t="s">
        <v>1114</v>
      </c>
      <c r="E7021" t="str">
        <f>IF(OR(E7020="&lt;/routeDistribution&gt;",E7020=""),"",IFERROR(_xlfn.CONCAT(VLOOKUP(AA26,Route_Column!#REF!,2,FALSE),CHAR(34)," probability=",CHAR(34),1/AA$4,CHAR(34),CHAR(47),CHAR(62)),"&lt;/routeDistribution&gt;"))</f>
        <v/>
      </c>
    </row>
    <row r="7022" spans="1:5" x14ac:dyDescent="0.25">
      <c r="A7022" t="s">
        <v>1959</v>
      </c>
      <c r="B7022" t="s">
        <v>1115</v>
      </c>
      <c r="E7022" t="str">
        <f>IF(OR(E7021="&lt;/routeDistribution&gt;",E7021=""),"",IFERROR(_xlfn.CONCAT(VLOOKUP(AA27,Route_Column!#REF!,2,FALSE),CHAR(34)," probability=",CHAR(34),1/AA$4,CHAR(34),CHAR(47),CHAR(62)),"&lt;/routeDistribution&gt;"))</f>
        <v/>
      </c>
    </row>
    <row r="7023" spans="1:5" x14ac:dyDescent="0.25">
      <c r="A7023" t="s">
        <v>1959</v>
      </c>
      <c r="B7023" t="s">
        <v>1133</v>
      </c>
      <c r="E7023" t="str">
        <f>IF(OR(E7022="&lt;/routeDistribution&gt;",E7022=""),"",IFERROR(_xlfn.CONCAT(VLOOKUP(AA28,Route_Column!#REF!,2,FALSE),CHAR(34)," probability=",CHAR(34),1/AA$4,CHAR(34),CHAR(47),CHAR(62)),"&lt;/routeDistribution&gt;"))</f>
        <v/>
      </c>
    </row>
    <row r="7024" spans="1:5" x14ac:dyDescent="0.25">
      <c r="A7024" t="s">
        <v>1959</v>
      </c>
      <c r="B7024" t="s">
        <v>1166</v>
      </c>
      <c r="E7024" t="str">
        <f>IF(OR(E7023="&lt;/routeDistribution&gt;",E7023=""),"",IFERROR(_xlfn.CONCAT(VLOOKUP(AA29,Route_Column!#REF!,2,FALSE),CHAR(34)," probability=",CHAR(34),1/AA$4,CHAR(34),CHAR(47),CHAR(62)),"&lt;/routeDistribution&gt;"))</f>
        <v/>
      </c>
    </row>
    <row r="7025" spans="1:5" x14ac:dyDescent="0.25">
      <c r="A7025" t="s">
        <v>1959</v>
      </c>
      <c r="B7025" t="s">
        <v>1167</v>
      </c>
      <c r="E7025" t="str">
        <f>IF(OR(E7024="&lt;/routeDistribution&gt;",E7024=""),"",IFERROR(_xlfn.CONCAT(VLOOKUP(AA30,Route_Column!#REF!,2,FALSE),CHAR(34)," probability=",CHAR(34),1/AA$4,CHAR(34),CHAR(47),CHAR(62)),"&lt;/routeDistribution&gt;"))</f>
        <v/>
      </c>
    </row>
    <row r="7026" spans="1:5" x14ac:dyDescent="0.25">
      <c r="A7026" t="s">
        <v>1959</v>
      </c>
      <c r="B7026" t="s">
        <v>1168</v>
      </c>
      <c r="E7026" t="str">
        <f>IF(OR(E7025="&lt;/routeDistribution&gt;",E7025=""),"",IFERROR(_xlfn.CONCAT(VLOOKUP(AA31,Route_Column!#REF!,2,FALSE),CHAR(34)," probability=",CHAR(34),1/AA$4,CHAR(34),CHAR(47),CHAR(62)),"&lt;/routeDistribution&gt;"))</f>
        <v/>
      </c>
    </row>
    <row r="7027" spans="1:5" x14ac:dyDescent="0.25">
      <c r="A7027" t="s">
        <v>1959</v>
      </c>
      <c r="B7027" t="s">
        <v>1186</v>
      </c>
      <c r="E7027" t="str">
        <f>IF(OR(E7026="&lt;/routeDistribution&gt;",E7026=""),"",IFERROR(_xlfn.CONCAT(VLOOKUP(AA32,Route_Column!#REF!,2,FALSE),CHAR(34)," probability=",CHAR(34),1/AA$4,CHAR(34),CHAR(47),CHAR(62)),"&lt;/routeDistribution&gt;"))</f>
        <v/>
      </c>
    </row>
    <row r="7028" spans="1:5" x14ac:dyDescent="0.25">
      <c r="A7028" t="s">
        <v>1959</v>
      </c>
      <c r="B7028" t="s">
        <v>1187</v>
      </c>
      <c r="E7028" t="str">
        <f>IF(OR(E7027="&lt;/routeDistribution&gt;",E7027=""),"",IFERROR(_xlfn.CONCAT(VLOOKUP(AA33,Route_Column!#REF!,2,FALSE),CHAR(34)," probability=",CHAR(34),1/AA$4,CHAR(34),CHAR(47),CHAR(62)),"&lt;/routeDistribution&gt;"))</f>
        <v/>
      </c>
    </row>
    <row r="7029" spans="1:5" x14ac:dyDescent="0.25">
      <c r="A7029" t="s">
        <v>1959</v>
      </c>
      <c r="B7029" t="s">
        <v>1188</v>
      </c>
      <c r="E7029" t="str">
        <f>IF(OR(E7028="&lt;/routeDistribution&gt;",E7028=""),"",IFERROR(_xlfn.CONCAT(VLOOKUP(AA34,Route_Column!#REF!,2,FALSE),CHAR(34)," probability=",CHAR(34),1/AA$4,CHAR(34),CHAR(47),CHAR(62)),"&lt;/routeDistribution&gt;"))</f>
        <v/>
      </c>
    </row>
    <row r="7030" spans="1:5" x14ac:dyDescent="0.25">
      <c r="A7030" t="s">
        <v>1959</v>
      </c>
      <c r="B7030" t="s">
        <v>1189</v>
      </c>
      <c r="E7030" t="str">
        <f>IF(OR(E7029="&lt;/routeDistribution&gt;",E7029=""),"",IFERROR(_xlfn.CONCAT(VLOOKUP(AA35,Route_Column!#REF!,2,FALSE),CHAR(34)," probability=",CHAR(34),1/AA$4,CHAR(34),CHAR(47),CHAR(62)),"&lt;/routeDistribution&gt;"))</f>
        <v/>
      </c>
    </row>
    <row r="7031" spans="1:5" x14ac:dyDescent="0.25">
      <c r="A7031" t="s">
        <v>1959</v>
      </c>
      <c r="B7031" t="s">
        <v>1195</v>
      </c>
      <c r="E7031" t="str">
        <f>IF(OR(E7030="&lt;/routeDistribution&gt;",E7030=""),"",IFERROR(_xlfn.CONCAT(VLOOKUP(AA36,Route_Column!#REF!,2,FALSE),CHAR(34)," probability=",CHAR(34),1/AA$4,CHAR(34),CHAR(47),CHAR(62)),"&lt;/routeDistribution&gt;"))</f>
        <v/>
      </c>
    </row>
    <row r="7032" spans="1:5" x14ac:dyDescent="0.25">
      <c r="A7032" t="s">
        <v>1959</v>
      </c>
      <c r="B7032" t="s">
        <v>1196</v>
      </c>
      <c r="E7032" t="str">
        <f>IF(OR(E7031="&lt;/routeDistribution&gt;",E7031=""),"",IFERROR(_xlfn.CONCAT(VLOOKUP(AA37,Route_Column!#REF!,2,FALSE),CHAR(34)," probability=",CHAR(34),1/AA$4,CHAR(34),CHAR(47),CHAR(62)),"&lt;/routeDistribution&gt;"))</f>
        <v/>
      </c>
    </row>
    <row r="7033" spans="1:5" x14ac:dyDescent="0.25">
      <c r="A7033" t="s">
        <v>1960</v>
      </c>
      <c r="B7033" t="s">
        <v>1113</v>
      </c>
      <c r="E7033" t="str">
        <f>IF(OR(E7032="&lt;/routeDistribution&gt;",E7032=""),"",IFERROR(_xlfn.CONCAT(VLOOKUP(AA38,Route_Column!#REF!,2,FALSE),CHAR(34)," probability=",CHAR(34),1/AA$4,CHAR(34),CHAR(47),CHAR(62)),"&lt;/routeDistribution&gt;"))</f>
        <v/>
      </c>
    </row>
    <row r="7034" spans="1:5" x14ac:dyDescent="0.25">
      <c r="A7034" t="s">
        <v>1960</v>
      </c>
      <c r="B7034" t="s">
        <v>1114</v>
      </c>
      <c r="E7034" t="str">
        <f>IF(OR(E7033="&lt;/routeDistribution&gt;",E7033=""),"",IFERROR(_xlfn.CONCAT(VLOOKUP(AA39,Route_Column!#REF!,2,FALSE),CHAR(34)," probability=",CHAR(34),1/AA$4,CHAR(34),CHAR(47),CHAR(62)),"&lt;/routeDistribution&gt;"))</f>
        <v/>
      </c>
    </row>
    <row r="7035" spans="1:5" x14ac:dyDescent="0.25">
      <c r="A7035" t="s">
        <v>1960</v>
      </c>
      <c r="B7035" t="s">
        <v>1115</v>
      </c>
      <c r="E7035" t="str">
        <f>IF(OR(E7034="&lt;/routeDistribution&gt;",E7034=""),"",IFERROR(_xlfn.CONCAT(VLOOKUP(AA40,Route_Column!#REF!,2,FALSE),CHAR(34)," probability=",CHAR(34),1/AA$4,CHAR(34),CHAR(47),CHAR(62)),"&lt;/routeDistribution&gt;"))</f>
        <v/>
      </c>
    </row>
    <row r="7036" spans="1:5" x14ac:dyDescent="0.25">
      <c r="A7036" t="s">
        <v>1960</v>
      </c>
      <c r="B7036" t="s">
        <v>1133</v>
      </c>
      <c r="E7036" t="str">
        <f>IF(OR(E7035="&lt;/routeDistribution&gt;",E7035=""),"",IFERROR(_xlfn.CONCAT(VLOOKUP(AA41,Route_Column!#REF!,2,FALSE),CHAR(34)," probability=",CHAR(34),1/AA$4,CHAR(34),CHAR(47),CHAR(62)),"&lt;/routeDistribution&gt;"))</f>
        <v/>
      </c>
    </row>
    <row r="7037" spans="1:5" x14ac:dyDescent="0.25">
      <c r="A7037" t="s">
        <v>1960</v>
      </c>
      <c r="B7037" t="s">
        <v>1166</v>
      </c>
      <c r="E7037" t="str">
        <f>IF(OR(E7036="&lt;/routeDistribution&gt;",E7036=""),"",IFERROR(_xlfn.CONCAT(VLOOKUP(AA42,Route_Column!#REF!,2,FALSE),CHAR(34)," probability=",CHAR(34),1/AA$4,CHAR(34),CHAR(47),CHAR(62)),"&lt;/routeDistribution&gt;"))</f>
        <v/>
      </c>
    </row>
    <row r="7038" spans="1:5" x14ac:dyDescent="0.25">
      <c r="A7038" t="s">
        <v>1960</v>
      </c>
      <c r="B7038" t="s">
        <v>1167</v>
      </c>
      <c r="E7038" t="str">
        <f>IF(OR(E7037="&lt;/routeDistribution&gt;",E7037=""),"",IFERROR(_xlfn.CONCAT(VLOOKUP(AA43,Route_Column!#REF!,2,FALSE),CHAR(34)," probability=",CHAR(34),1/AA$4,CHAR(34),CHAR(47),CHAR(62)),"&lt;/routeDistribution&gt;"))</f>
        <v/>
      </c>
    </row>
    <row r="7039" spans="1:5" x14ac:dyDescent="0.25">
      <c r="A7039" t="s">
        <v>1960</v>
      </c>
      <c r="B7039" t="s">
        <v>1168</v>
      </c>
      <c r="E7039" t="str">
        <f>IF(OR(E7038="&lt;/routeDistribution&gt;",E7038=""),"",IFERROR(_xlfn.CONCAT(VLOOKUP(AA44,Route_Column!#REF!,2,FALSE),CHAR(34)," probability=",CHAR(34),1/AA$4,CHAR(34),CHAR(47),CHAR(62)),"&lt;/routeDistribution&gt;"))</f>
        <v/>
      </c>
    </row>
    <row r="7040" spans="1:5" x14ac:dyDescent="0.25">
      <c r="A7040" t="s">
        <v>1960</v>
      </c>
      <c r="B7040" t="s">
        <v>1186</v>
      </c>
      <c r="E7040" t="str">
        <f>IF(OR(E7039="&lt;/routeDistribution&gt;",E7039=""),"",IFERROR(_xlfn.CONCAT(VLOOKUP(AA45,Route_Column!#REF!,2,FALSE),CHAR(34)," probability=",CHAR(34),1/AA$4,CHAR(34),CHAR(47),CHAR(62)),"&lt;/routeDistribution&gt;"))</f>
        <v/>
      </c>
    </row>
    <row r="7041" spans="1:5" x14ac:dyDescent="0.25">
      <c r="A7041" t="s">
        <v>1960</v>
      </c>
      <c r="B7041" t="s">
        <v>1187</v>
      </c>
      <c r="E7041" t="str">
        <f>IF(OR(E7040="&lt;/routeDistribution&gt;",E7040=""),"",IFERROR(_xlfn.CONCAT(VLOOKUP(AA46,Route_Column!#REF!,2,FALSE),CHAR(34)," probability=",CHAR(34),1/AA$4,CHAR(34),CHAR(47),CHAR(62)),"&lt;/routeDistribution&gt;"))</f>
        <v/>
      </c>
    </row>
    <row r="7042" spans="1:5" x14ac:dyDescent="0.25">
      <c r="A7042" t="s">
        <v>1960</v>
      </c>
      <c r="B7042" t="s">
        <v>1188</v>
      </c>
      <c r="E7042" t="str">
        <f>IF(OR(E7041="&lt;/routeDistribution&gt;",E7041=""),"",IFERROR(_xlfn.CONCAT(VLOOKUP(AA47,Route_Column!#REF!,2,FALSE),CHAR(34)," probability=",CHAR(34),1/AA$4,CHAR(34),CHAR(47),CHAR(62)),"&lt;/routeDistribution&gt;"))</f>
        <v/>
      </c>
    </row>
    <row r="7043" spans="1:5" x14ac:dyDescent="0.25">
      <c r="A7043" t="s">
        <v>1960</v>
      </c>
      <c r="B7043" t="s">
        <v>1189</v>
      </c>
      <c r="E7043" t="str">
        <f>IF(OR(E7042="&lt;/routeDistribution&gt;",E7042=""),"",IFERROR(_xlfn.CONCAT(VLOOKUP(AA48,Route_Column!#REF!,2,FALSE),CHAR(34)," probability=",CHAR(34),1/AA$4,CHAR(34),CHAR(47),CHAR(62)),"&lt;/routeDistribution&gt;"))</f>
        <v/>
      </c>
    </row>
    <row r="7044" spans="1:5" x14ac:dyDescent="0.25">
      <c r="A7044" t="s">
        <v>1960</v>
      </c>
      <c r="B7044" t="s">
        <v>1195</v>
      </c>
      <c r="E7044" t="str">
        <f>IF(OR(E7043="&lt;/routeDistribution&gt;",E7043=""),"",IFERROR(_xlfn.CONCAT(VLOOKUP(AA49,Route_Column!#REF!,2,FALSE),CHAR(34)," probability=",CHAR(34),1/AA$4,CHAR(34),CHAR(47),CHAR(62)),"&lt;/routeDistribution&gt;"))</f>
        <v/>
      </c>
    </row>
    <row r="7045" spans="1:5" x14ac:dyDescent="0.25">
      <c r="A7045" t="s">
        <v>1960</v>
      </c>
      <c r="B7045" t="s">
        <v>1196</v>
      </c>
      <c r="E7045" t="str">
        <f>IF(OR(E7044="&lt;/routeDistribution&gt;",E7044=""),"",IFERROR(_xlfn.CONCAT(VLOOKUP(AA50,Route_Column!#REF!,2,FALSE),CHAR(34)," probability=",CHAR(34),1/AA$4,CHAR(34),CHAR(47),CHAR(62)),"&lt;/routeDistribution&gt;"))</f>
        <v/>
      </c>
    </row>
    <row r="7046" spans="1:5" x14ac:dyDescent="0.25">
      <c r="A7046" t="s">
        <v>1961</v>
      </c>
      <c r="B7046" t="s">
        <v>1113</v>
      </c>
      <c r="E7046" t="str">
        <f>IF(OR(E7045="&lt;/routeDistribution&gt;",E7045=""),"",IFERROR(_xlfn.CONCAT(VLOOKUP(AA51,Route_Column!#REF!,2,FALSE),CHAR(34)," probability=",CHAR(34),1/AA$4,CHAR(34),CHAR(47),CHAR(62)),"&lt;/routeDistribution&gt;"))</f>
        <v/>
      </c>
    </row>
    <row r="7047" spans="1:5" x14ac:dyDescent="0.25">
      <c r="A7047" t="s">
        <v>1961</v>
      </c>
      <c r="B7047" t="s">
        <v>1114</v>
      </c>
      <c r="E7047" t="str">
        <f>IF(OR(E7046="&lt;/routeDistribution&gt;",E7046=""),"",IFERROR(_xlfn.CONCAT(VLOOKUP(AA52,Route_Column!#REF!,2,FALSE),CHAR(34)," probability=",CHAR(34),1/AA$4,CHAR(34),CHAR(47),CHAR(62)),"&lt;/routeDistribution&gt;"))</f>
        <v/>
      </c>
    </row>
    <row r="7048" spans="1:5" x14ac:dyDescent="0.25">
      <c r="A7048" t="s">
        <v>1961</v>
      </c>
      <c r="B7048" t="s">
        <v>1115</v>
      </c>
      <c r="E7048" t="str">
        <f>IF(OR(E7047="&lt;/routeDistribution&gt;",E7047=""),"",IFERROR(_xlfn.CONCAT(VLOOKUP(AA53,Route_Column!#REF!,2,FALSE),CHAR(34)," probability=",CHAR(34),1/AA$4,CHAR(34),CHAR(47),CHAR(62)),"&lt;/routeDistribution&gt;"))</f>
        <v/>
      </c>
    </row>
    <row r="7049" spans="1:5" x14ac:dyDescent="0.25">
      <c r="A7049" t="s">
        <v>1961</v>
      </c>
      <c r="B7049" t="s">
        <v>1133</v>
      </c>
      <c r="E7049" t="str">
        <f>IF(OR(E7048="&lt;/routeDistribution&gt;",E7048=""),"",IFERROR(_xlfn.CONCAT(VLOOKUP(AA54,Route_Column!#REF!,2,FALSE),CHAR(34)," probability=",CHAR(34),1/AA$4,CHAR(34),CHAR(47),CHAR(62)),"&lt;/routeDistribution&gt;"))</f>
        <v/>
      </c>
    </row>
    <row r="7050" spans="1:5" x14ac:dyDescent="0.25">
      <c r="A7050" t="s">
        <v>1961</v>
      </c>
      <c r="B7050" t="s">
        <v>1166</v>
      </c>
      <c r="E7050" t="str">
        <f>IF(OR(E7049="&lt;/routeDistribution&gt;",E7049=""),"",IFERROR(_xlfn.CONCAT(VLOOKUP(AA55,Route_Column!#REF!,2,FALSE),CHAR(34)," probability=",CHAR(34),1/AA$4,CHAR(34),CHAR(47),CHAR(62)),"&lt;/routeDistribution&gt;"))</f>
        <v/>
      </c>
    </row>
    <row r="7051" spans="1:5" x14ac:dyDescent="0.25">
      <c r="A7051" t="s">
        <v>1961</v>
      </c>
      <c r="B7051" t="s">
        <v>1186</v>
      </c>
      <c r="E7051" t="str">
        <f>IF(OR(E7050="&lt;/routeDistribution&gt;",E7050=""),"",IFERROR(_xlfn.CONCAT(VLOOKUP(AA56,Route_Column!#REF!,2,FALSE),CHAR(34)," probability=",CHAR(34),1/AA$4,CHAR(34),CHAR(47),CHAR(62)),"&lt;/routeDistribution&gt;"))</f>
        <v/>
      </c>
    </row>
    <row r="7052" spans="1:5" x14ac:dyDescent="0.25">
      <c r="A7052" t="s">
        <v>1961</v>
      </c>
      <c r="B7052" t="s">
        <v>1187</v>
      </c>
      <c r="E7052" t="str">
        <f>IF(OR(E7051="&lt;/routeDistribution&gt;",E7051=""),"",IFERROR(_xlfn.CONCAT(VLOOKUP(AA57,Route_Column!#REF!,2,FALSE),CHAR(34)," probability=",CHAR(34),1/AA$4,CHAR(34),CHAR(47),CHAR(62)),"&lt;/routeDistribution&gt;"))</f>
        <v/>
      </c>
    </row>
    <row r="7053" spans="1:5" x14ac:dyDescent="0.25">
      <c r="A7053" t="s">
        <v>1961</v>
      </c>
      <c r="B7053" t="s">
        <v>1188</v>
      </c>
      <c r="E7053" t="str">
        <f>IF(OR(E7052="&lt;/routeDistribution&gt;",E7052=""),"",IFERROR(_xlfn.CONCAT(VLOOKUP(AA58,Route_Column!#REF!,2,FALSE),CHAR(34)," probability=",CHAR(34),1/AA$4,CHAR(34),CHAR(47),CHAR(62)),"&lt;/routeDistribution&gt;"))</f>
        <v/>
      </c>
    </row>
    <row r="7054" spans="1:5" x14ac:dyDescent="0.25">
      <c r="A7054" t="s">
        <v>1961</v>
      </c>
      <c r="B7054" t="s">
        <v>1189</v>
      </c>
      <c r="E7054" t="str">
        <f>IF(OR(E7053="&lt;/routeDistribution&gt;",E7053=""),"",IFERROR(_xlfn.CONCAT(VLOOKUP(AA59,Route_Column!#REF!,2,FALSE),CHAR(34)," probability=",CHAR(34),1/AA$4,CHAR(34),CHAR(47),CHAR(62)),"&lt;/routeDistribution&gt;"))</f>
        <v/>
      </c>
    </row>
    <row r="7055" spans="1:5" x14ac:dyDescent="0.25">
      <c r="A7055" t="s">
        <v>1961</v>
      </c>
      <c r="B7055" t="s">
        <v>1195</v>
      </c>
      <c r="E7055" t="str">
        <f>IF(OR(E7054="&lt;/routeDistribution&gt;",E7054=""),"",IFERROR(_xlfn.CONCAT(VLOOKUP(AA60,Route_Column!#REF!,2,FALSE),CHAR(34)," probability=",CHAR(34),1/AA$4,CHAR(34),CHAR(47),CHAR(62)),"&lt;/routeDistribution&gt;"))</f>
        <v/>
      </c>
    </row>
    <row r="7056" spans="1:5" x14ac:dyDescent="0.25">
      <c r="A7056" t="s">
        <v>2255</v>
      </c>
      <c r="B7056" t="s">
        <v>1187</v>
      </c>
      <c r="E7056" t="str">
        <f>IF(OR(E7055="&lt;/routeDistribution&gt;",E7055=""),"",IFERROR(_xlfn.CONCAT(VLOOKUP(AA61,Route_Column!#REF!,2,FALSE),CHAR(34)," probability=",CHAR(34),1/AA$4,CHAR(34),CHAR(47),CHAR(62)),"&lt;/routeDistribution&gt;"))</f>
        <v/>
      </c>
    </row>
    <row r="7057" spans="1:5" x14ac:dyDescent="0.25">
      <c r="A7057" t="s">
        <v>2255</v>
      </c>
      <c r="B7057" t="s">
        <v>1188</v>
      </c>
      <c r="E7057" t="str">
        <f>IF(OR(E7056="&lt;/routeDistribution&gt;",E7056=""),"",IFERROR(_xlfn.CONCAT(VLOOKUP(AA62,Route_Column!#REF!,2,FALSE),CHAR(34)," probability=",CHAR(34),1/AA$4,CHAR(34),CHAR(47),CHAR(62)),"&lt;/routeDistribution&gt;"))</f>
        <v/>
      </c>
    </row>
    <row r="7058" spans="1:5" x14ac:dyDescent="0.25">
      <c r="A7058" t="s">
        <v>2255</v>
      </c>
      <c r="B7058" t="s">
        <v>1188</v>
      </c>
      <c r="E7058" t="str">
        <f>IF(OR(E7057="&lt;/routeDistribution&gt;",E7057=""),"",IFERROR(_xlfn.CONCAT(VLOOKUP(AA63,Route_Column!#REF!,2,FALSE),CHAR(34)," probability=",CHAR(34),1/AA$4,CHAR(34),CHAR(47),CHAR(62)),"&lt;/routeDistribution&gt;"))</f>
        <v/>
      </c>
    </row>
    <row r="7059" spans="1:5" x14ac:dyDescent="0.25">
      <c r="A7059" t="s">
        <v>2255</v>
      </c>
      <c r="B7059" t="s">
        <v>1189</v>
      </c>
      <c r="E7059" t="s">
        <v>2686</v>
      </c>
    </row>
    <row r="7060" spans="1:5" x14ac:dyDescent="0.25">
      <c r="A7060" t="s">
        <v>2255</v>
      </c>
      <c r="B7060" t="s">
        <v>1189</v>
      </c>
    </row>
    <row r="7061" spans="1:5" x14ac:dyDescent="0.25">
      <c r="A7061" t="s">
        <v>1862</v>
      </c>
      <c r="B7061" t="s">
        <v>1112</v>
      </c>
    </row>
    <row r="7062" spans="1:5" x14ac:dyDescent="0.25">
      <c r="A7062" t="s">
        <v>1862</v>
      </c>
      <c r="B7062" t="s">
        <v>1113</v>
      </c>
      <c r="E7062" t="str">
        <f>_xlfn.CONCAT($E$1,Z$2,$F$1)</f>
        <v>&lt;routeDistribution id="GRAYS-southST-to-Bain-SB-2015-RouteProbe"&gt;</v>
      </c>
    </row>
    <row r="7063" spans="1:5" x14ac:dyDescent="0.25">
      <c r="A7063" t="s">
        <v>1862</v>
      </c>
      <c r="B7063" t="s">
        <v>1114</v>
      </c>
      <c r="E7063" t="str">
        <f>IF(OR(E7062="&lt;/routeDistribution&gt;",E7062=""),"",IFERROR(_xlfn.CONCAT(VLOOKUP(Z5,Route_Column!#REF!,2,FALSE),CHAR(34)," probability=",CHAR(34),1/Z$4,CHAR(34),CHAR(47),CHAR(62)),"&lt;/routeDistribution&gt;"))</f>
        <v>&lt;/routeDistribution&gt;</v>
      </c>
    </row>
    <row r="7064" spans="1:5" x14ac:dyDescent="0.25">
      <c r="A7064" t="s">
        <v>1862</v>
      </c>
      <c r="B7064" t="s">
        <v>1115</v>
      </c>
      <c r="E7064" t="str">
        <f>IF(OR(E7063="&lt;/routeDistribution&gt;",E7063=""),"",IFERROR(_xlfn.CONCAT(VLOOKUP(Z6,Route_Column!#REF!,2,FALSE),CHAR(34)," probability=",CHAR(34),1/Z$4,CHAR(34),CHAR(47),CHAR(62)),"&lt;/routeDistribution&gt;"))</f>
        <v/>
      </c>
    </row>
    <row r="7065" spans="1:5" x14ac:dyDescent="0.25">
      <c r="A7065" t="s">
        <v>1862</v>
      </c>
      <c r="B7065" t="s">
        <v>1166</v>
      </c>
      <c r="E7065" t="str">
        <f>IF(OR(E7064="&lt;/routeDistribution&gt;",E7064=""),"",IFERROR(_xlfn.CONCAT(VLOOKUP(Z7,Route_Column!#REF!,2,FALSE),CHAR(34)," probability=",CHAR(34),1/Z$4,CHAR(34),CHAR(47),CHAR(62)),"&lt;/routeDistribution&gt;"))</f>
        <v/>
      </c>
    </row>
    <row r="7066" spans="1:5" x14ac:dyDescent="0.25">
      <c r="A7066" t="s">
        <v>1862</v>
      </c>
      <c r="B7066" t="s">
        <v>1167</v>
      </c>
      <c r="E7066" t="str">
        <f>IF(OR(E7065="&lt;/routeDistribution&gt;",E7065=""),"",IFERROR(_xlfn.CONCAT(VLOOKUP(Z8,Route_Column!#REF!,2,FALSE),CHAR(34)," probability=",CHAR(34),1/Z$4,CHAR(34),CHAR(47),CHAR(62)),"&lt;/routeDistribution&gt;"))</f>
        <v/>
      </c>
    </row>
    <row r="7067" spans="1:5" x14ac:dyDescent="0.25">
      <c r="A7067" t="s">
        <v>1862</v>
      </c>
      <c r="B7067" t="s">
        <v>1168</v>
      </c>
      <c r="E7067" t="str">
        <f>IF(OR(E7066="&lt;/routeDistribution&gt;",E7066=""),"",IFERROR(_xlfn.CONCAT(VLOOKUP(Z9,Route_Column!#REF!,2,FALSE),CHAR(34)," probability=",CHAR(34),1/Z$4,CHAR(34),CHAR(47),CHAR(62)),"&lt;/routeDistribution&gt;"))</f>
        <v/>
      </c>
    </row>
    <row r="7068" spans="1:5" x14ac:dyDescent="0.25">
      <c r="A7068" t="s">
        <v>1862</v>
      </c>
      <c r="B7068" t="s">
        <v>1186</v>
      </c>
      <c r="E7068" t="str">
        <f>IF(OR(E7067="&lt;/routeDistribution&gt;",E7067=""),"",IFERROR(_xlfn.CONCAT(VLOOKUP(Z10,Route_Column!#REF!,2,FALSE),CHAR(34)," probability=",CHAR(34),1/Z$4,CHAR(34),CHAR(47),CHAR(62)),"&lt;/routeDistribution&gt;"))</f>
        <v/>
      </c>
    </row>
    <row r="7069" spans="1:5" x14ac:dyDescent="0.25">
      <c r="A7069" t="s">
        <v>1862</v>
      </c>
      <c r="B7069" t="s">
        <v>1189</v>
      </c>
      <c r="E7069" t="str">
        <f>IF(OR(E7068="&lt;/routeDistribution&gt;",E7068=""),"",IFERROR(_xlfn.CONCAT(VLOOKUP(Z11,Route_Column!#REF!,2,FALSE),CHAR(34)," probability=",CHAR(34),1/Z$4,CHAR(34),CHAR(47),CHAR(62)),"&lt;/routeDistribution&gt;"))</f>
        <v/>
      </c>
    </row>
    <row r="7070" spans="1:5" x14ac:dyDescent="0.25">
      <c r="A7070" t="s">
        <v>1863</v>
      </c>
      <c r="B7070" t="s">
        <v>1112</v>
      </c>
      <c r="E7070" t="str">
        <f>IF(OR(E7069="&lt;/routeDistribution&gt;",E7069=""),"",IFERROR(_xlfn.CONCAT(VLOOKUP(Z12,Route_Column!#REF!,2,FALSE),CHAR(34)," probability=",CHAR(34),1/Z$4,CHAR(34),CHAR(47),CHAR(62)),"&lt;/routeDistribution&gt;"))</f>
        <v/>
      </c>
    </row>
    <row r="7071" spans="1:5" x14ac:dyDescent="0.25">
      <c r="A7071" t="s">
        <v>1863</v>
      </c>
      <c r="B7071" t="s">
        <v>1113</v>
      </c>
      <c r="E7071" t="str">
        <f>IF(OR(E7070="&lt;/routeDistribution&gt;",E7070=""),"",IFERROR(_xlfn.CONCAT(VLOOKUP(Z13,Route_Column!#REF!,2,FALSE),CHAR(34)," probability=",CHAR(34),1/Z$4,CHAR(34),CHAR(47),CHAR(62)),"&lt;/routeDistribution&gt;"))</f>
        <v/>
      </c>
    </row>
    <row r="7072" spans="1:5" x14ac:dyDescent="0.25">
      <c r="A7072" t="s">
        <v>1863</v>
      </c>
      <c r="B7072" t="s">
        <v>1114</v>
      </c>
      <c r="E7072" t="str">
        <f>IF(OR(E7071="&lt;/routeDistribution&gt;",E7071=""),"",IFERROR(_xlfn.CONCAT(VLOOKUP(Z14,Route_Column!#REF!,2,FALSE),CHAR(34)," probability=",CHAR(34),1/Z$4,CHAR(34),CHAR(47),CHAR(62)),"&lt;/routeDistribution&gt;"))</f>
        <v/>
      </c>
    </row>
    <row r="7073" spans="1:5" x14ac:dyDescent="0.25">
      <c r="A7073" t="s">
        <v>1863</v>
      </c>
      <c r="B7073" t="s">
        <v>1115</v>
      </c>
      <c r="E7073" t="str">
        <f>IF(OR(E7072="&lt;/routeDistribution&gt;",E7072=""),"",IFERROR(_xlfn.CONCAT(VLOOKUP(Z15,Route_Column!#REF!,2,FALSE),CHAR(34)," probability=",CHAR(34),1/Z$4,CHAR(34),CHAR(47),CHAR(62)),"&lt;/routeDistribution&gt;"))</f>
        <v/>
      </c>
    </row>
    <row r="7074" spans="1:5" x14ac:dyDescent="0.25">
      <c r="A7074" t="s">
        <v>1863</v>
      </c>
      <c r="B7074" t="s">
        <v>1166</v>
      </c>
      <c r="E7074" t="str">
        <f>IF(OR(E7073="&lt;/routeDistribution&gt;",E7073=""),"",IFERROR(_xlfn.CONCAT(VLOOKUP(Z16,Route_Column!#REF!,2,FALSE),CHAR(34)," probability=",CHAR(34),1/Z$4,CHAR(34),CHAR(47),CHAR(62)),"&lt;/routeDistribution&gt;"))</f>
        <v/>
      </c>
    </row>
    <row r="7075" spans="1:5" x14ac:dyDescent="0.25">
      <c r="A7075" t="s">
        <v>1863</v>
      </c>
      <c r="B7075" t="s">
        <v>1167</v>
      </c>
      <c r="E7075" t="str">
        <f>IF(OR(E7074="&lt;/routeDistribution&gt;",E7074=""),"",IFERROR(_xlfn.CONCAT(VLOOKUP(Z17,Route_Column!#REF!,2,FALSE),CHAR(34)," probability=",CHAR(34),1/Z$4,CHAR(34),CHAR(47),CHAR(62)),"&lt;/routeDistribution&gt;"))</f>
        <v/>
      </c>
    </row>
    <row r="7076" spans="1:5" x14ac:dyDescent="0.25">
      <c r="A7076" t="s">
        <v>1863</v>
      </c>
      <c r="B7076" t="s">
        <v>1168</v>
      </c>
      <c r="E7076" t="str">
        <f>IF(OR(E7075="&lt;/routeDistribution&gt;",E7075=""),"",IFERROR(_xlfn.CONCAT(VLOOKUP(Z18,Route_Column!#REF!,2,FALSE),CHAR(34)," probability=",CHAR(34),1/Z$4,CHAR(34),CHAR(47),CHAR(62)),"&lt;/routeDistribution&gt;"))</f>
        <v/>
      </c>
    </row>
    <row r="7077" spans="1:5" x14ac:dyDescent="0.25">
      <c r="A7077" t="s">
        <v>1863</v>
      </c>
      <c r="B7077" t="s">
        <v>1186</v>
      </c>
      <c r="E7077" t="str">
        <f>IF(OR(E7076="&lt;/routeDistribution&gt;",E7076=""),"",IFERROR(_xlfn.CONCAT(VLOOKUP(Z19,Route_Column!#REF!,2,FALSE),CHAR(34)," probability=",CHAR(34),1/Z$4,CHAR(34),CHAR(47),CHAR(62)),"&lt;/routeDistribution&gt;"))</f>
        <v/>
      </c>
    </row>
    <row r="7078" spans="1:5" x14ac:dyDescent="0.25">
      <c r="A7078" t="s">
        <v>1863</v>
      </c>
      <c r="B7078" t="s">
        <v>1189</v>
      </c>
      <c r="E7078" t="str">
        <f>IF(OR(E7077="&lt;/routeDistribution&gt;",E7077=""),"",IFERROR(_xlfn.CONCAT(VLOOKUP(Z20,Route_Column!#REF!,2,FALSE),CHAR(34)," probability=",CHAR(34),1/Z$4,CHAR(34),CHAR(47),CHAR(62)),"&lt;/routeDistribution&gt;"))</f>
        <v/>
      </c>
    </row>
    <row r="7079" spans="1:5" x14ac:dyDescent="0.25">
      <c r="A7079" t="s">
        <v>2269</v>
      </c>
      <c r="B7079" t="s">
        <v>1188</v>
      </c>
      <c r="E7079" t="str">
        <f>IF(OR(E7078="&lt;/routeDistribution&gt;",E7078=""),"",IFERROR(_xlfn.CONCAT(VLOOKUP(Z21,Route_Column!#REF!,2,FALSE),CHAR(34)," probability=",CHAR(34),1/Z$4,CHAR(34),CHAR(47),CHAR(62)),"&lt;/routeDistribution&gt;"))</f>
        <v/>
      </c>
    </row>
    <row r="7080" spans="1:5" x14ac:dyDescent="0.25">
      <c r="A7080" t="s">
        <v>2269</v>
      </c>
      <c r="B7080" t="s">
        <v>1189</v>
      </c>
      <c r="E7080" t="str">
        <f>IF(OR(E7079="&lt;/routeDistribution&gt;",E7079=""),"",IFERROR(_xlfn.CONCAT(VLOOKUP(Z22,Route_Column!#REF!,2,FALSE),CHAR(34)," probability=",CHAR(34),1/Z$4,CHAR(34),CHAR(47),CHAR(62)),"&lt;/routeDistribution&gt;"))</f>
        <v/>
      </c>
    </row>
    <row r="7081" spans="1:5" x14ac:dyDescent="0.25">
      <c r="A7081" t="s">
        <v>2269</v>
      </c>
      <c r="B7081" t="s">
        <v>1189</v>
      </c>
      <c r="E7081" t="str">
        <f>IF(OR(E7080="&lt;/routeDistribution&gt;",E7080=""),"",IFERROR(_xlfn.CONCAT(VLOOKUP(Z23,Route_Column!#REF!,2,FALSE),CHAR(34)," probability=",CHAR(34),1/Z$4,CHAR(34),CHAR(47),CHAR(62)),"&lt;/routeDistribution&gt;"))</f>
        <v/>
      </c>
    </row>
    <row r="7082" spans="1:5" x14ac:dyDescent="0.25">
      <c r="A7082" t="s">
        <v>2270</v>
      </c>
      <c r="B7082" t="s">
        <v>1188</v>
      </c>
      <c r="E7082" t="str">
        <f>IF(OR(E7081="&lt;/routeDistribution&gt;",E7081=""),"",IFERROR(_xlfn.CONCAT(VLOOKUP(Z24,Route_Column!#REF!,2,FALSE),CHAR(34)," probability=",CHAR(34),1/Z$4,CHAR(34),CHAR(47),CHAR(62)),"&lt;/routeDistribution&gt;"))</f>
        <v/>
      </c>
    </row>
    <row r="7083" spans="1:5" x14ac:dyDescent="0.25">
      <c r="A7083" t="s">
        <v>2270</v>
      </c>
      <c r="B7083" t="s">
        <v>1189</v>
      </c>
      <c r="E7083" t="str">
        <f>IF(OR(E7082="&lt;/routeDistribution&gt;",E7082=""),"",IFERROR(_xlfn.CONCAT(VLOOKUP(Z25,Route_Column!#REF!,2,FALSE),CHAR(34)," probability=",CHAR(34),1/Z$4,CHAR(34),CHAR(47),CHAR(62)),"&lt;/routeDistribution&gt;"))</f>
        <v/>
      </c>
    </row>
    <row r="7084" spans="1:5" x14ac:dyDescent="0.25">
      <c r="A7084" t="s">
        <v>2270</v>
      </c>
      <c r="B7084" t="s">
        <v>1189</v>
      </c>
      <c r="E7084" t="str">
        <f>IF(OR(E7083="&lt;/routeDistribution&gt;",E7083=""),"",IFERROR(_xlfn.CONCAT(VLOOKUP(Z26,Route_Column!#REF!,2,FALSE),CHAR(34)," probability=",CHAR(34),1/Z$4,CHAR(34),CHAR(47),CHAR(62)),"&lt;/routeDistribution&gt;"))</f>
        <v/>
      </c>
    </row>
    <row r="7085" spans="1:5" x14ac:dyDescent="0.25">
      <c r="A7085" t="s">
        <v>2271</v>
      </c>
      <c r="B7085" t="s">
        <v>1188</v>
      </c>
      <c r="E7085" t="str">
        <f>IF(OR(E7084="&lt;/routeDistribution&gt;",E7084=""),"",IFERROR(_xlfn.CONCAT(VLOOKUP(Z27,Route_Column!#REF!,2,FALSE),CHAR(34)," probability=",CHAR(34),1/Z$4,CHAR(34),CHAR(47),CHAR(62)),"&lt;/routeDistribution&gt;"))</f>
        <v/>
      </c>
    </row>
    <row r="7086" spans="1:5" x14ac:dyDescent="0.25">
      <c r="A7086" t="s">
        <v>2271</v>
      </c>
      <c r="B7086" t="s">
        <v>1189</v>
      </c>
      <c r="E7086" t="str">
        <f>IF(OR(E7085="&lt;/routeDistribution&gt;",E7085=""),"",IFERROR(_xlfn.CONCAT(VLOOKUP(Z28,Route_Column!#REF!,2,FALSE),CHAR(34)," probability=",CHAR(34),1/Z$4,CHAR(34),CHAR(47),CHAR(62)),"&lt;/routeDistribution&gt;"))</f>
        <v/>
      </c>
    </row>
    <row r="7087" spans="1:5" x14ac:dyDescent="0.25">
      <c r="A7087" t="s">
        <v>2271</v>
      </c>
      <c r="B7087" t="s">
        <v>1189</v>
      </c>
      <c r="E7087" t="str">
        <f>IF(OR(E7086="&lt;/routeDistribution&gt;",E7086=""),"",IFERROR(_xlfn.CONCAT(VLOOKUP(Z29,Route_Column!#REF!,2,FALSE),CHAR(34)," probability=",CHAR(34),1/Z$4,CHAR(34),CHAR(47),CHAR(62)),"&lt;/routeDistribution&gt;"))</f>
        <v/>
      </c>
    </row>
    <row r="7088" spans="1:5" x14ac:dyDescent="0.25">
      <c r="A7088" t="s">
        <v>1874</v>
      </c>
      <c r="B7088" t="s">
        <v>1112</v>
      </c>
      <c r="E7088" t="str">
        <f>IF(OR(E7087="&lt;/routeDistribution&gt;",E7087=""),"",IFERROR(_xlfn.CONCAT(VLOOKUP(Z30,Route_Column!#REF!,2,FALSE),CHAR(34)," probability=",CHAR(34),1/Z$4,CHAR(34),CHAR(47),CHAR(62)),"&lt;/routeDistribution&gt;"))</f>
        <v/>
      </c>
    </row>
    <row r="7089" spans="1:5" x14ac:dyDescent="0.25">
      <c r="A7089" t="s">
        <v>1874</v>
      </c>
      <c r="B7089" t="s">
        <v>1113</v>
      </c>
      <c r="E7089" t="str">
        <f>IF(OR(E7088="&lt;/routeDistribution&gt;",E7088=""),"",IFERROR(_xlfn.CONCAT(VLOOKUP(Z31,Route_Column!#REF!,2,FALSE),CHAR(34)," probability=",CHAR(34),1/Z$4,CHAR(34),CHAR(47),CHAR(62)),"&lt;/routeDistribution&gt;"))</f>
        <v/>
      </c>
    </row>
    <row r="7090" spans="1:5" x14ac:dyDescent="0.25">
      <c r="A7090" t="s">
        <v>1874</v>
      </c>
      <c r="B7090" t="s">
        <v>1114</v>
      </c>
      <c r="E7090" t="str">
        <f>IF(OR(E7089="&lt;/routeDistribution&gt;",E7089=""),"",IFERROR(_xlfn.CONCAT(VLOOKUP(Z32,Route_Column!#REF!,2,FALSE),CHAR(34)," probability=",CHAR(34),1/Z$4,CHAR(34),CHAR(47),CHAR(62)),"&lt;/routeDistribution&gt;"))</f>
        <v/>
      </c>
    </row>
    <row r="7091" spans="1:5" x14ac:dyDescent="0.25">
      <c r="A7091" t="s">
        <v>1874</v>
      </c>
      <c r="B7091" t="s">
        <v>1114</v>
      </c>
      <c r="E7091" t="str">
        <f>IF(OR(E7090="&lt;/routeDistribution&gt;",E7090=""),"",IFERROR(_xlfn.CONCAT(VLOOKUP(Z33,Route_Column!#REF!,2,FALSE),CHAR(34)," probability=",CHAR(34),1/Z$4,CHAR(34),CHAR(47),CHAR(62)),"&lt;/routeDistribution&gt;"))</f>
        <v/>
      </c>
    </row>
    <row r="7092" spans="1:5" x14ac:dyDescent="0.25">
      <c r="A7092" t="s">
        <v>1874</v>
      </c>
      <c r="B7092" t="s">
        <v>1115</v>
      </c>
      <c r="E7092" t="str">
        <f>IF(OR(E7091="&lt;/routeDistribution&gt;",E7091=""),"",IFERROR(_xlfn.CONCAT(VLOOKUP(Z34,Route_Column!#REF!,2,FALSE),CHAR(34)," probability=",CHAR(34),1/Z$4,CHAR(34),CHAR(47),CHAR(62)),"&lt;/routeDistribution&gt;"))</f>
        <v/>
      </c>
    </row>
    <row r="7093" spans="1:5" x14ac:dyDescent="0.25">
      <c r="A7093" t="s">
        <v>1874</v>
      </c>
      <c r="B7093" t="s">
        <v>1166</v>
      </c>
      <c r="E7093" t="str">
        <f>IF(OR(E7092="&lt;/routeDistribution&gt;",E7092=""),"",IFERROR(_xlfn.CONCAT(VLOOKUP(Z35,Route_Column!#REF!,2,FALSE),CHAR(34)," probability=",CHAR(34),1/Z$4,CHAR(34),CHAR(47),CHAR(62)),"&lt;/routeDistribution&gt;"))</f>
        <v/>
      </c>
    </row>
    <row r="7094" spans="1:5" x14ac:dyDescent="0.25">
      <c r="A7094" t="s">
        <v>1874</v>
      </c>
      <c r="B7094" t="s">
        <v>1167</v>
      </c>
      <c r="E7094" t="str">
        <f>IF(OR(E7093="&lt;/routeDistribution&gt;",E7093=""),"",IFERROR(_xlfn.CONCAT(VLOOKUP(Z36,Route_Column!#REF!,2,FALSE),CHAR(34)," probability=",CHAR(34),1/Z$4,CHAR(34),CHAR(47),CHAR(62)),"&lt;/routeDistribution&gt;"))</f>
        <v/>
      </c>
    </row>
    <row r="7095" spans="1:5" x14ac:dyDescent="0.25">
      <c r="A7095" t="s">
        <v>1874</v>
      </c>
      <c r="B7095" t="s">
        <v>1168</v>
      </c>
      <c r="E7095" t="str">
        <f>IF(OR(E7094="&lt;/routeDistribution&gt;",E7094=""),"",IFERROR(_xlfn.CONCAT(VLOOKUP(Z37,Route_Column!#REF!,2,FALSE),CHAR(34)," probability=",CHAR(34),1/Z$4,CHAR(34),CHAR(47),CHAR(62)),"&lt;/routeDistribution&gt;"))</f>
        <v/>
      </c>
    </row>
    <row r="7096" spans="1:5" x14ac:dyDescent="0.25">
      <c r="A7096" t="s">
        <v>1874</v>
      </c>
      <c r="B7096" t="s">
        <v>1186</v>
      </c>
      <c r="E7096" t="str">
        <f>IF(OR(E7095="&lt;/routeDistribution&gt;",E7095=""),"",IFERROR(_xlfn.CONCAT(VLOOKUP(Z38,Route_Column!#REF!,2,FALSE),CHAR(34)," probability=",CHAR(34),1/Z$4,CHAR(34),CHAR(47),CHAR(62)),"&lt;/routeDistribution&gt;"))</f>
        <v/>
      </c>
    </row>
    <row r="7097" spans="1:5" x14ac:dyDescent="0.25">
      <c r="A7097" t="s">
        <v>1874</v>
      </c>
      <c r="B7097" t="s">
        <v>1187</v>
      </c>
      <c r="E7097" t="str">
        <f>IF(OR(E7096="&lt;/routeDistribution&gt;",E7096=""),"",IFERROR(_xlfn.CONCAT(VLOOKUP(Z39,Route_Column!#REF!,2,FALSE),CHAR(34)," probability=",CHAR(34),1/Z$4,CHAR(34),CHAR(47),CHAR(62)),"&lt;/routeDistribution&gt;"))</f>
        <v/>
      </c>
    </row>
    <row r="7098" spans="1:5" x14ac:dyDescent="0.25">
      <c r="A7098" t="s">
        <v>1874</v>
      </c>
      <c r="B7098" t="s">
        <v>1188</v>
      </c>
      <c r="E7098" t="str">
        <f>IF(OR(E7097="&lt;/routeDistribution&gt;",E7097=""),"",IFERROR(_xlfn.CONCAT(VLOOKUP(Z40,Route_Column!#REF!,2,FALSE),CHAR(34)," probability=",CHAR(34),1/Z$4,CHAR(34),CHAR(47),CHAR(62)),"&lt;/routeDistribution&gt;"))</f>
        <v/>
      </c>
    </row>
    <row r="7099" spans="1:5" x14ac:dyDescent="0.25">
      <c r="A7099" t="s">
        <v>1874</v>
      </c>
      <c r="B7099" t="s">
        <v>1189</v>
      </c>
      <c r="E7099" t="str">
        <f>IF(OR(E7098="&lt;/routeDistribution&gt;",E7098=""),"",IFERROR(_xlfn.CONCAT(VLOOKUP(Z41,Route_Column!#REF!,2,FALSE),CHAR(34)," probability=",CHAR(34),1/Z$4,CHAR(34),CHAR(47),CHAR(62)),"&lt;/routeDistribution&gt;"))</f>
        <v/>
      </c>
    </row>
    <row r="7100" spans="1:5" x14ac:dyDescent="0.25">
      <c r="A7100" t="s">
        <v>1874</v>
      </c>
      <c r="B7100" t="s">
        <v>1195</v>
      </c>
      <c r="E7100" t="str">
        <f>IF(OR(E7099="&lt;/routeDistribution&gt;",E7099=""),"",IFERROR(_xlfn.CONCAT(VLOOKUP(Z42,Route_Column!#REF!,2,FALSE),CHAR(34)," probability=",CHAR(34),1/Z$4,CHAR(34),CHAR(47),CHAR(62)),"&lt;/routeDistribution&gt;"))</f>
        <v/>
      </c>
    </row>
    <row r="7101" spans="1:5" x14ac:dyDescent="0.25">
      <c r="A7101" t="s">
        <v>1874</v>
      </c>
      <c r="B7101" t="s">
        <v>1196</v>
      </c>
      <c r="E7101" t="str">
        <f>IF(OR(E7100="&lt;/routeDistribution&gt;",E7100=""),"",IFERROR(_xlfn.CONCAT(VLOOKUP(Z43,Route_Column!#REF!,2,FALSE),CHAR(34)," probability=",CHAR(34),1/Z$4,CHAR(34),CHAR(47),CHAR(62)),"&lt;/routeDistribution&gt;"))</f>
        <v/>
      </c>
    </row>
    <row r="7102" spans="1:5" x14ac:dyDescent="0.25">
      <c r="A7102" t="s">
        <v>1875</v>
      </c>
      <c r="B7102" t="s">
        <v>1112</v>
      </c>
      <c r="E7102" t="str">
        <f>IF(OR(E7101="&lt;/routeDistribution&gt;",E7101=""),"",IFERROR(_xlfn.CONCAT(VLOOKUP(Z44,Route_Column!#REF!,2,FALSE),CHAR(34)," probability=",CHAR(34),1/Z$4,CHAR(34),CHAR(47),CHAR(62)),"&lt;/routeDistribution&gt;"))</f>
        <v/>
      </c>
    </row>
    <row r="7103" spans="1:5" x14ac:dyDescent="0.25">
      <c r="A7103" t="s">
        <v>1875</v>
      </c>
      <c r="B7103" t="s">
        <v>1113</v>
      </c>
      <c r="E7103" t="str">
        <f>IF(OR(E7102="&lt;/routeDistribution&gt;",E7102=""),"",IFERROR(_xlfn.CONCAT(VLOOKUP(Z45,Route_Column!#REF!,2,FALSE),CHAR(34)," probability=",CHAR(34),1/Z$4,CHAR(34),CHAR(47),CHAR(62)),"&lt;/routeDistribution&gt;"))</f>
        <v/>
      </c>
    </row>
    <row r="7104" spans="1:5" x14ac:dyDescent="0.25">
      <c r="A7104" t="s">
        <v>1875</v>
      </c>
      <c r="B7104" t="s">
        <v>1114</v>
      </c>
      <c r="E7104" t="str">
        <f>IF(OR(E7103="&lt;/routeDistribution&gt;",E7103=""),"",IFERROR(_xlfn.CONCAT(VLOOKUP(Z46,Route_Column!#REF!,2,FALSE),CHAR(34)," probability=",CHAR(34),1/Z$4,CHAR(34),CHAR(47),CHAR(62)),"&lt;/routeDistribution&gt;"))</f>
        <v/>
      </c>
    </row>
    <row r="7105" spans="1:5" x14ac:dyDescent="0.25">
      <c r="A7105" t="s">
        <v>1875</v>
      </c>
      <c r="B7105" t="s">
        <v>1114</v>
      </c>
      <c r="E7105" t="str">
        <f>IF(OR(E7104="&lt;/routeDistribution&gt;",E7104=""),"",IFERROR(_xlfn.CONCAT(VLOOKUP(Z47,Route_Column!#REF!,2,FALSE),CHAR(34)," probability=",CHAR(34),1/Z$4,CHAR(34),CHAR(47),CHAR(62)),"&lt;/routeDistribution&gt;"))</f>
        <v/>
      </c>
    </row>
    <row r="7106" spans="1:5" x14ac:dyDescent="0.25">
      <c r="A7106" t="s">
        <v>1875</v>
      </c>
      <c r="B7106" t="s">
        <v>1115</v>
      </c>
      <c r="E7106" t="str">
        <f>IF(OR(E7105="&lt;/routeDistribution&gt;",E7105=""),"",IFERROR(_xlfn.CONCAT(VLOOKUP(Z48,Route_Column!#REF!,2,FALSE),CHAR(34)," probability=",CHAR(34),1/Z$4,CHAR(34),CHAR(47),CHAR(62)),"&lt;/routeDistribution&gt;"))</f>
        <v/>
      </c>
    </row>
    <row r="7107" spans="1:5" x14ac:dyDescent="0.25">
      <c r="A7107" t="s">
        <v>1875</v>
      </c>
      <c r="B7107" t="s">
        <v>1166</v>
      </c>
      <c r="E7107" t="str">
        <f>IF(OR(E7106="&lt;/routeDistribution&gt;",E7106=""),"",IFERROR(_xlfn.CONCAT(VLOOKUP(Z49,Route_Column!#REF!,2,FALSE),CHAR(34)," probability=",CHAR(34),1/Z$4,CHAR(34),CHAR(47),CHAR(62)),"&lt;/routeDistribution&gt;"))</f>
        <v/>
      </c>
    </row>
    <row r="7108" spans="1:5" x14ac:dyDescent="0.25">
      <c r="A7108" t="s">
        <v>1875</v>
      </c>
      <c r="B7108" t="s">
        <v>1167</v>
      </c>
      <c r="E7108" t="str">
        <f>IF(OR(E7107="&lt;/routeDistribution&gt;",E7107=""),"",IFERROR(_xlfn.CONCAT(VLOOKUP(Z50,Route_Column!#REF!,2,FALSE),CHAR(34)," probability=",CHAR(34),1/Z$4,CHAR(34),CHAR(47),CHAR(62)),"&lt;/routeDistribution&gt;"))</f>
        <v/>
      </c>
    </row>
    <row r="7109" spans="1:5" x14ac:dyDescent="0.25">
      <c r="A7109" t="s">
        <v>1875</v>
      </c>
      <c r="B7109" t="s">
        <v>1168</v>
      </c>
      <c r="E7109" t="str">
        <f>IF(OR(E7108="&lt;/routeDistribution&gt;",E7108=""),"",IFERROR(_xlfn.CONCAT(VLOOKUP(Z51,Route_Column!#REF!,2,FALSE),CHAR(34)," probability=",CHAR(34),1/Z$4,CHAR(34),CHAR(47),CHAR(62)),"&lt;/routeDistribution&gt;"))</f>
        <v/>
      </c>
    </row>
    <row r="7110" spans="1:5" x14ac:dyDescent="0.25">
      <c r="A7110" t="s">
        <v>1875</v>
      </c>
      <c r="B7110" t="s">
        <v>1186</v>
      </c>
      <c r="E7110" t="str">
        <f>IF(OR(E7109="&lt;/routeDistribution&gt;",E7109=""),"",IFERROR(_xlfn.CONCAT(VLOOKUP(Z52,Route_Column!#REF!,2,FALSE),CHAR(34)," probability=",CHAR(34),1/Z$4,CHAR(34),CHAR(47),CHAR(62)),"&lt;/routeDistribution&gt;"))</f>
        <v/>
      </c>
    </row>
    <row r="7111" spans="1:5" x14ac:dyDescent="0.25">
      <c r="A7111" t="s">
        <v>1875</v>
      </c>
      <c r="B7111" t="s">
        <v>1187</v>
      </c>
      <c r="E7111" t="str">
        <f>IF(OR(E7110="&lt;/routeDistribution&gt;",E7110=""),"",IFERROR(_xlfn.CONCAT(VLOOKUP(Z53,Route_Column!#REF!,2,FALSE),CHAR(34)," probability=",CHAR(34),1/Z$4,CHAR(34),CHAR(47),CHAR(62)),"&lt;/routeDistribution&gt;"))</f>
        <v/>
      </c>
    </row>
    <row r="7112" spans="1:5" x14ac:dyDescent="0.25">
      <c r="A7112" t="s">
        <v>1875</v>
      </c>
      <c r="B7112" t="s">
        <v>1188</v>
      </c>
      <c r="E7112" t="str">
        <f>IF(OR(E7111="&lt;/routeDistribution&gt;",E7111=""),"",IFERROR(_xlfn.CONCAT(VLOOKUP(Z54,Route_Column!#REF!,2,FALSE),CHAR(34)," probability=",CHAR(34),1/Z$4,CHAR(34),CHAR(47),CHAR(62)),"&lt;/routeDistribution&gt;"))</f>
        <v/>
      </c>
    </row>
    <row r="7113" spans="1:5" x14ac:dyDescent="0.25">
      <c r="A7113" t="s">
        <v>1875</v>
      </c>
      <c r="B7113" t="s">
        <v>1189</v>
      </c>
      <c r="E7113" t="str">
        <f>IF(OR(E7112="&lt;/routeDistribution&gt;",E7112=""),"",IFERROR(_xlfn.CONCAT(VLOOKUP(Z55,Route_Column!#REF!,2,FALSE),CHAR(34)," probability=",CHAR(34),1/Z$4,CHAR(34),CHAR(47),CHAR(62)),"&lt;/routeDistribution&gt;"))</f>
        <v/>
      </c>
    </row>
    <row r="7114" spans="1:5" x14ac:dyDescent="0.25">
      <c r="A7114" t="s">
        <v>1875</v>
      </c>
      <c r="B7114" t="s">
        <v>1195</v>
      </c>
      <c r="E7114" t="str">
        <f>IF(OR(E7113="&lt;/routeDistribution&gt;",E7113=""),"",IFERROR(_xlfn.CONCAT(VLOOKUP(Z56,Route_Column!#REF!,2,FALSE),CHAR(34)," probability=",CHAR(34),1/Z$4,CHAR(34),CHAR(47),CHAR(62)),"&lt;/routeDistribution&gt;"))</f>
        <v/>
      </c>
    </row>
    <row r="7115" spans="1:5" x14ac:dyDescent="0.25">
      <c r="A7115" t="s">
        <v>1875</v>
      </c>
      <c r="B7115" t="s">
        <v>1196</v>
      </c>
      <c r="E7115" t="str">
        <f>IF(OR(E7114="&lt;/routeDistribution&gt;",E7114=""),"",IFERROR(_xlfn.CONCAT(VLOOKUP(Z57,Route_Column!#REF!,2,FALSE),CHAR(34)," probability=",CHAR(34),1/Z$4,CHAR(34),CHAR(47),CHAR(62)),"&lt;/routeDistribution&gt;"))</f>
        <v/>
      </c>
    </row>
    <row r="7116" spans="1:5" x14ac:dyDescent="0.25">
      <c r="A7116" t="s">
        <v>1876</v>
      </c>
      <c r="B7116" t="s">
        <v>1112</v>
      </c>
      <c r="E7116" t="str">
        <f>IF(OR(E7115="&lt;/routeDistribution&gt;",E7115=""),"",IFERROR(_xlfn.CONCAT(VLOOKUP(Z58,Route_Column!#REF!,2,FALSE),CHAR(34)," probability=",CHAR(34),1/Z$4,CHAR(34),CHAR(47),CHAR(62)),"&lt;/routeDistribution&gt;"))</f>
        <v/>
      </c>
    </row>
    <row r="7117" spans="1:5" x14ac:dyDescent="0.25">
      <c r="A7117" t="s">
        <v>1876</v>
      </c>
      <c r="B7117" t="s">
        <v>1113</v>
      </c>
      <c r="E7117" t="str">
        <f>IF(OR(E7116="&lt;/routeDistribution&gt;",E7116=""),"",IFERROR(_xlfn.CONCAT(VLOOKUP(Z59,Route_Column!#REF!,2,FALSE),CHAR(34)," probability=",CHAR(34),1/Z$4,CHAR(34),CHAR(47),CHAR(62)),"&lt;/routeDistribution&gt;"))</f>
        <v/>
      </c>
    </row>
    <row r="7118" spans="1:5" x14ac:dyDescent="0.25">
      <c r="A7118" t="s">
        <v>1876</v>
      </c>
      <c r="B7118" t="s">
        <v>1114</v>
      </c>
      <c r="E7118" t="str">
        <f>IF(OR(E7117="&lt;/routeDistribution&gt;",E7117=""),"",IFERROR(_xlfn.CONCAT(VLOOKUP(Z60,Route_Column!#REF!,2,FALSE),CHAR(34)," probability=",CHAR(34),1/Z$4,CHAR(34),CHAR(47),CHAR(62)),"&lt;/routeDistribution&gt;"))</f>
        <v/>
      </c>
    </row>
    <row r="7119" spans="1:5" x14ac:dyDescent="0.25">
      <c r="A7119" t="s">
        <v>1876</v>
      </c>
      <c r="B7119" t="s">
        <v>1114</v>
      </c>
      <c r="E7119" t="str">
        <f>IF(OR(E7118="&lt;/routeDistribution&gt;",E7118=""),"",IFERROR(_xlfn.CONCAT(VLOOKUP(Z61,Route_Column!#REF!,2,FALSE),CHAR(34)," probability=",CHAR(34),1/Z$4,CHAR(34),CHAR(47),CHAR(62)),"&lt;/routeDistribution&gt;"))</f>
        <v/>
      </c>
    </row>
    <row r="7120" spans="1:5" x14ac:dyDescent="0.25">
      <c r="A7120" t="s">
        <v>1876</v>
      </c>
      <c r="B7120" t="s">
        <v>1115</v>
      </c>
      <c r="E7120" t="str">
        <f>IF(OR(E7119="&lt;/routeDistribution&gt;",E7119=""),"",IFERROR(_xlfn.CONCAT(VLOOKUP(Z62,Route_Column!#REF!,2,FALSE),CHAR(34)," probability=",CHAR(34),1/Z$4,CHAR(34),CHAR(47),CHAR(62)),"&lt;/routeDistribution&gt;"))</f>
        <v/>
      </c>
    </row>
    <row r="7121" spans="1:5" x14ac:dyDescent="0.25">
      <c r="A7121" t="s">
        <v>1876</v>
      </c>
      <c r="B7121" t="s">
        <v>1166</v>
      </c>
      <c r="E7121" t="str">
        <f>IF(OR(E7120="&lt;/routeDistribution&gt;",E7120=""),"",IFERROR(_xlfn.CONCAT(VLOOKUP(Z63,Route_Column!#REF!,2,FALSE),CHAR(34)," probability=",CHAR(34),1/Z$4,CHAR(34),CHAR(47),CHAR(62)),"&lt;/routeDistribution&gt;"))</f>
        <v/>
      </c>
    </row>
    <row r="7122" spans="1:5" x14ac:dyDescent="0.25">
      <c r="A7122" t="s">
        <v>1876</v>
      </c>
      <c r="B7122" t="s">
        <v>1167</v>
      </c>
      <c r="E7122" t="s">
        <v>2686</v>
      </c>
    </row>
    <row r="7123" spans="1:5" x14ac:dyDescent="0.25">
      <c r="A7123" t="s">
        <v>1876</v>
      </c>
      <c r="B7123" t="s">
        <v>1168</v>
      </c>
    </row>
    <row r="7124" spans="1:5" x14ac:dyDescent="0.25">
      <c r="A7124" t="s">
        <v>1876</v>
      </c>
      <c r="B7124" t="s">
        <v>1186</v>
      </c>
    </row>
    <row r="7125" spans="1:5" x14ac:dyDescent="0.25">
      <c r="A7125" t="s">
        <v>1876</v>
      </c>
      <c r="B7125" t="s">
        <v>1187</v>
      </c>
      <c r="E7125" t="str">
        <f>_xlfn.CONCAT($E$1,Y$2,$F$1)</f>
        <v>&lt;routeDistribution id="22nd-Bain-to-southST-NB-2016-RouteProbe"&gt;</v>
      </c>
    </row>
    <row r="7126" spans="1:5" x14ac:dyDescent="0.25">
      <c r="A7126" t="s">
        <v>1876</v>
      </c>
      <c r="B7126" t="s">
        <v>1188</v>
      </c>
      <c r="E7126" t="str">
        <f>IF(OR(E7125="&lt;/routeDistribution&gt;",E7125=""),"",IFERROR(_xlfn.CONCAT(VLOOKUP(Y5,Route_Column!#REF!,2,FALSE),CHAR(34)," probability=",CHAR(34),1/Y$4,CHAR(34),CHAR(47),CHAR(62)),"&lt;/routeDistribution&gt;"))</f>
        <v>&lt;/routeDistribution&gt;</v>
      </c>
    </row>
    <row r="7127" spans="1:5" x14ac:dyDescent="0.25">
      <c r="A7127" t="s">
        <v>1876</v>
      </c>
      <c r="B7127" t="s">
        <v>1189</v>
      </c>
      <c r="E7127" t="str">
        <f>IF(OR(E7126="&lt;/routeDistribution&gt;",E7126=""),"",IFERROR(_xlfn.CONCAT(VLOOKUP(Y6,Route_Column!#REF!,2,FALSE),CHAR(34)," probability=",CHAR(34),1/Y$4,CHAR(34),CHAR(47),CHAR(62)),"&lt;/routeDistribution&gt;"))</f>
        <v/>
      </c>
    </row>
    <row r="7128" spans="1:5" x14ac:dyDescent="0.25">
      <c r="A7128" t="s">
        <v>1876</v>
      </c>
      <c r="B7128" t="s">
        <v>1195</v>
      </c>
      <c r="E7128" t="str">
        <f>IF(OR(E7127="&lt;/routeDistribution&gt;",E7127=""),"",IFERROR(_xlfn.CONCAT(VLOOKUP(Y7,Route_Column!#REF!,2,FALSE),CHAR(34)," probability=",CHAR(34),1/Y$4,CHAR(34),CHAR(47),CHAR(62)),"&lt;/routeDistribution&gt;"))</f>
        <v/>
      </c>
    </row>
    <row r="7129" spans="1:5" x14ac:dyDescent="0.25">
      <c r="A7129" t="s">
        <v>1876</v>
      </c>
      <c r="B7129" t="s">
        <v>1196</v>
      </c>
      <c r="E7129" t="str">
        <f>IF(OR(E7128="&lt;/routeDistribution&gt;",E7128=""),"",IFERROR(_xlfn.CONCAT(VLOOKUP(Y8,Route_Column!#REF!,2,FALSE),CHAR(34)," probability=",CHAR(34),1/Y$4,CHAR(34),CHAR(47),CHAR(62)),"&lt;/routeDistribution&gt;"))</f>
        <v/>
      </c>
    </row>
    <row r="7130" spans="1:5" x14ac:dyDescent="0.25">
      <c r="A7130" t="s">
        <v>1593</v>
      </c>
      <c r="B7130" t="s">
        <v>1096</v>
      </c>
      <c r="E7130" t="str">
        <f>IF(OR(E7129="&lt;/routeDistribution&gt;",E7129=""),"",IFERROR(_xlfn.CONCAT(VLOOKUP(Y9,Route_Column!#REF!,2,FALSE),CHAR(34)," probability=",CHAR(34),1/Y$4,CHAR(34),CHAR(47),CHAR(62)),"&lt;/routeDistribution&gt;"))</f>
        <v/>
      </c>
    </row>
    <row r="7131" spans="1:5" x14ac:dyDescent="0.25">
      <c r="A7131" t="s">
        <v>1593</v>
      </c>
      <c r="B7131" t="s">
        <v>1161</v>
      </c>
      <c r="E7131" t="str">
        <f>IF(OR(E7130="&lt;/routeDistribution&gt;",E7130=""),"",IFERROR(_xlfn.CONCAT(VLOOKUP(Y10,Route_Column!#REF!,2,FALSE),CHAR(34)," probability=",CHAR(34),1/Y$4,CHAR(34),CHAR(47),CHAR(62)),"&lt;/routeDistribution&gt;"))</f>
        <v/>
      </c>
    </row>
    <row r="7132" spans="1:5" x14ac:dyDescent="0.25">
      <c r="A7132" t="s">
        <v>1593</v>
      </c>
      <c r="B7132" t="s">
        <v>1162</v>
      </c>
      <c r="E7132" t="str">
        <f>IF(OR(E7131="&lt;/routeDistribution&gt;",E7131=""),"",IFERROR(_xlfn.CONCAT(VLOOKUP(Y11,Route_Column!#REF!,2,FALSE),CHAR(34)," probability=",CHAR(34),1/Y$4,CHAR(34),CHAR(47),CHAR(62)),"&lt;/routeDistribution&gt;"))</f>
        <v/>
      </c>
    </row>
    <row r="7133" spans="1:5" x14ac:dyDescent="0.25">
      <c r="A7133" t="s">
        <v>1593</v>
      </c>
      <c r="B7133" t="s">
        <v>1163</v>
      </c>
      <c r="E7133" t="str">
        <f>IF(OR(E7132="&lt;/routeDistribution&gt;",E7132=""),"",IFERROR(_xlfn.CONCAT(VLOOKUP(Y12,Route_Column!#REF!,2,FALSE),CHAR(34)," probability=",CHAR(34),1/Y$4,CHAR(34),CHAR(47),CHAR(62)),"&lt;/routeDistribution&gt;"))</f>
        <v/>
      </c>
    </row>
    <row r="7134" spans="1:5" x14ac:dyDescent="0.25">
      <c r="A7134" t="s">
        <v>1593</v>
      </c>
      <c r="B7134" t="s">
        <v>1171</v>
      </c>
      <c r="E7134" t="str">
        <f>IF(OR(E7133="&lt;/routeDistribution&gt;",E7133=""),"",IFERROR(_xlfn.CONCAT(VLOOKUP(Y13,Route_Column!#REF!,2,FALSE),CHAR(34)," probability=",CHAR(34),1/Y$4,CHAR(34),CHAR(47),CHAR(62)),"&lt;/routeDistribution&gt;"))</f>
        <v/>
      </c>
    </row>
    <row r="7135" spans="1:5" x14ac:dyDescent="0.25">
      <c r="A7135" t="s">
        <v>1593</v>
      </c>
      <c r="B7135" t="s">
        <v>1182</v>
      </c>
      <c r="E7135" t="str">
        <f>IF(OR(E7134="&lt;/routeDistribution&gt;",E7134=""),"",IFERROR(_xlfn.CONCAT(VLOOKUP(Y14,Route_Column!#REF!,2,FALSE),CHAR(34)," probability=",CHAR(34),1/Y$4,CHAR(34),CHAR(47),CHAR(62)),"&lt;/routeDistribution&gt;"))</f>
        <v/>
      </c>
    </row>
    <row r="7136" spans="1:5" x14ac:dyDescent="0.25">
      <c r="A7136" s="11" t="s">
        <v>1441</v>
      </c>
      <c r="B7136" t="s">
        <v>1090</v>
      </c>
      <c r="E7136" t="str">
        <f>IF(OR(E7135="&lt;/routeDistribution&gt;",E7135=""),"",IFERROR(_xlfn.CONCAT(VLOOKUP(Y15,Route_Column!#REF!,2,FALSE),CHAR(34)," probability=",CHAR(34),1/Y$4,CHAR(34),CHAR(47),CHAR(62)),"&lt;/routeDistribution&gt;"))</f>
        <v/>
      </c>
    </row>
    <row r="7137" spans="1:5" x14ac:dyDescent="0.25">
      <c r="A7137" t="s">
        <v>1441</v>
      </c>
      <c r="B7137" t="s">
        <v>1097</v>
      </c>
      <c r="E7137" t="str">
        <f>IF(OR(E7136="&lt;/routeDistribution&gt;",E7136=""),"",IFERROR(_xlfn.CONCAT(VLOOKUP(Y16,Route_Column!#REF!,2,FALSE),CHAR(34)," probability=",CHAR(34),1/Y$4,CHAR(34),CHAR(47),CHAR(62)),"&lt;/routeDistribution&gt;"))</f>
        <v/>
      </c>
    </row>
    <row r="7138" spans="1:5" x14ac:dyDescent="0.25">
      <c r="A7138" t="s">
        <v>1441</v>
      </c>
      <c r="B7138" t="s">
        <v>1098</v>
      </c>
      <c r="E7138" t="str">
        <f>IF(OR(E7137="&lt;/routeDistribution&gt;",E7137=""),"",IFERROR(_xlfn.CONCAT(VLOOKUP(Y17,Route_Column!#REF!,2,FALSE),CHAR(34)," probability=",CHAR(34),1/Y$4,CHAR(34),CHAR(47),CHAR(62)),"&lt;/routeDistribution&gt;"))</f>
        <v/>
      </c>
    </row>
    <row r="7139" spans="1:5" x14ac:dyDescent="0.25">
      <c r="A7139" t="s">
        <v>1441</v>
      </c>
      <c r="B7139" t="s">
        <v>1171</v>
      </c>
      <c r="E7139" t="str">
        <f>IF(OR(E7138="&lt;/routeDistribution&gt;",E7138=""),"",IFERROR(_xlfn.CONCAT(VLOOKUP(Y18,Route_Column!#REF!,2,FALSE),CHAR(34)," probability=",CHAR(34),1/Y$4,CHAR(34),CHAR(47),CHAR(62)),"&lt;/routeDistribution&gt;"))</f>
        <v/>
      </c>
    </row>
    <row r="7140" spans="1:5" x14ac:dyDescent="0.25">
      <c r="A7140" t="s">
        <v>1441</v>
      </c>
      <c r="B7140" t="s">
        <v>1182</v>
      </c>
      <c r="E7140" t="str">
        <f>IF(OR(E7139="&lt;/routeDistribution&gt;",E7139=""),"",IFERROR(_xlfn.CONCAT(VLOOKUP(Y19,Route_Column!#REF!,2,FALSE),CHAR(34)," probability=",CHAR(34),1/Y$4,CHAR(34),CHAR(47),CHAR(62)),"&lt;/routeDistribution&gt;"))</f>
        <v/>
      </c>
    </row>
    <row r="7141" spans="1:5" x14ac:dyDescent="0.25">
      <c r="A7141" t="s">
        <v>1441</v>
      </c>
      <c r="B7141" t="s">
        <v>1191</v>
      </c>
      <c r="E7141" t="str">
        <f>IF(OR(E7140="&lt;/routeDistribution&gt;",E7140=""),"",IFERROR(_xlfn.CONCAT(VLOOKUP(Y20,Route_Column!#REF!,2,FALSE),CHAR(34)," probability=",CHAR(34),1/Y$4,CHAR(34),CHAR(47),CHAR(62)),"&lt;/routeDistribution&gt;"))</f>
        <v/>
      </c>
    </row>
    <row r="7142" spans="1:5" x14ac:dyDescent="0.25">
      <c r="A7142" t="s">
        <v>1642</v>
      </c>
      <c r="B7142" t="s">
        <v>1098</v>
      </c>
      <c r="E7142" t="str">
        <f>IF(OR(E7141="&lt;/routeDistribution&gt;",E7141=""),"",IFERROR(_xlfn.CONCAT(VLOOKUP(Y21,Route_Column!#REF!,2,FALSE),CHAR(34)," probability=",CHAR(34),1/Y$4,CHAR(34),CHAR(47),CHAR(62)),"&lt;/routeDistribution&gt;"))</f>
        <v/>
      </c>
    </row>
    <row r="7143" spans="1:5" x14ac:dyDescent="0.25">
      <c r="A7143" t="s">
        <v>1642</v>
      </c>
      <c r="B7143" t="s">
        <v>1185</v>
      </c>
      <c r="E7143" t="str">
        <f>IF(OR(E7142="&lt;/routeDistribution&gt;",E7142=""),"",IFERROR(_xlfn.CONCAT(VLOOKUP(Y22,Route_Column!#REF!,2,FALSE),CHAR(34)," probability=",CHAR(34),1/Y$4,CHAR(34),CHAR(47),CHAR(62)),"&lt;/routeDistribution&gt;"))</f>
        <v/>
      </c>
    </row>
    <row r="7144" spans="1:5" x14ac:dyDescent="0.25">
      <c r="A7144" t="s">
        <v>1642</v>
      </c>
      <c r="B7144" t="s">
        <v>1197</v>
      </c>
      <c r="E7144" t="str">
        <f>IF(OR(E7143="&lt;/routeDistribution&gt;",E7143=""),"",IFERROR(_xlfn.CONCAT(VLOOKUP(Y23,Route_Column!#REF!,2,FALSE),CHAR(34)," probability=",CHAR(34),1/Y$4,CHAR(34),CHAR(47),CHAR(62)),"&lt;/routeDistribution&gt;"))</f>
        <v/>
      </c>
    </row>
    <row r="7145" spans="1:5" x14ac:dyDescent="0.25">
      <c r="A7145" t="s">
        <v>1642</v>
      </c>
      <c r="B7145" t="s">
        <v>1209</v>
      </c>
      <c r="E7145" t="str">
        <f>IF(OR(E7144="&lt;/routeDistribution&gt;",E7144=""),"",IFERROR(_xlfn.CONCAT(VLOOKUP(Y24,Route_Column!#REF!,2,FALSE),CHAR(34)," probability=",CHAR(34),1/Y$4,CHAR(34),CHAR(47),CHAR(62)),"&lt;/routeDistribution&gt;"))</f>
        <v/>
      </c>
    </row>
    <row r="7146" spans="1:5" x14ac:dyDescent="0.25">
      <c r="A7146" t="s">
        <v>1642</v>
      </c>
      <c r="B7146" t="s">
        <v>1210</v>
      </c>
      <c r="E7146" t="str">
        <f>IF(OR(E7145="&lt;/routeDistribution&gt;",E7145=""),"",IFERROR(_xlfn.CONCAT(VLOOKUP(Y25,Route_Column!#REF!,2,FALSE),CHAR(34)," probability=",CHAR(34),1/Y$4,CHAR(34),CHAR(47),CHAR(62)),"&lt;/routeDistribution&gt;"))</f>
        <v/>
      </c>
    </row>
    <row r="7147" spans="1:5" x14ac:dyDescent="0.25">
      <c r="A7147" t="s">
        <v>1643</v>
      </c>
      <c r="B7147" t="s">
        <v>1098</v>
      </c>
      <c r="E7147" t="str">
        <f>IF(OR(E7146="&lt;/routeDistribution&gt;",E7146=""),"",IFERROR(_xlfn.CONCAT(VLOOKUP(Y26,Route_Column!#REF!,2,FALSE),CHAR(34)," probability=",CHAR(34),1/Y$4,CHAR(34),CHAR(47),CHAR(62)),"&lt;/routeDistribution&gt;"))</f>
        <v/>
      </c>
    </row>
    <row r="7148" spans="1:5" x14ac:dyDescent="0.25">
      <c r="A7148" t="s">
        <v>1643</v>
      </c>
      <c r="B7148" t="s">
        <v>1102</v>
      </c>
      <c r="E7148" t="str">
        <f>IF(OR(E7147="&lt;/routeDistribution&gt;",E7147=""),"",IFERROR(_xlfn.CONCAT(VLOOKUP(Y27,Route_Column!#REF!,2,FALSE),CHAR(34)," probability=",CHAR(34),1/Y$4,CHAR(34),CHAR(47),CHAR(62)),"&lt;/routeDistribution&gt;"))</f>
        <v/>
      </c>
    </row>
    <row r="7149" spans="1:5" x14ac:dyDescent="0.25">
      <c r="A7149" t="s">
        <v>1643</v>
      </c>
      <c r="B7149" t="s">
        <v>1109</v>
      </c>
      <c r="E7149" t="str">
        <f>IF(OR(E7148="&lt;/routeDistribution&gt;",E7148=""),"",IFERROR(_xlfn.CONCAT(VLOOKUP(Y28,Route_Column!#REF!,2,FALSE),CHAR(34)," probability=",CHAR(34),1/Y$4,CHAR(34),CHAR(47),CHAR(62)),"&lt;/routeDistribution&gt;"))</f>
        <v/>
      </c>
    </row>
    <row r="7150" spans="1:5" x14ac:dyDescent="0.25">
      <c r="A7150" t="s">
        <v>1643</v>
      </c>
      <c r="B7150" t="s">
        <v>1110</v>
      </c>
      <c r="E7150" t="str">
        <f>IF(OR(E7149="&lt;/routeDistribution&gt;",E7149=""),"",IFERROR(_xlfn.CONCAT(VLOOKUP(Y29,Route_Column!#REF!,2,FALSE),CHAR(34)," probability=",CHAR(34),1/Y$4,CHAR(34),CHAR(47),CHAR(62)),"&lt;/routeDistribution&gt;"))</f>
        <v/>
      </c>
    </row>
    <row r="7151" spans="1:5" x14ac:dyDescent="0.25">
      <c r="A7151" t="s">
        <v>1643</v>
      </c>
      <c r="B7151" t="s">
        <v>1122</v>
      </c>
      <c r="E7151" t="str">
        <f>IF(OR(E7150="&lt;/routeDistribution&gt;",E7150=""),"",IFERROR(_xlfn.CONCAT(VLOOKUP(Y30,Route_Column!#REF!,2,FALSE),CHAR(34)," probability=",CHAR(34),1/Y$4,CHAR(34),CHAR(47),CHAR(62)),"&lt;/routeDistribution&gt;"))</f>
        <v/>
      </c>
    </row>
    <row r="7152" spans="1:5" x14ac:dyDescent="0.25">
      <c r="A7152" t="s">
        <v>1643</v>
      </c>
      <c r="B7152" t="s">
        <v>1185</v>
      </c>
      <c r="E7152" t="str">
        <f>IF(OR(E7151="&lt;/routeDistribution&gt;",E7151=""),"",IFERROR(_xlfn.CONCAT(VLOOKUP(Y31,Route_Column!#REF!,2,FALSE),CHAR(34)," probability=",CHAR(34),1/Y$4,CHAR(34),CHAR(47),CHAR(62)),"&lt;/routeDistribution&gt;"))</f>
        <v/>
      </c>
    </row>
    <row r="7153" spans="1:5" x14ac:dyDescent="0.25">
      <c r="A7153" t="s">
        <v>1643</v>
      </c>
      <c r="B7153" t="s">
        <v>1197</v>
      </c>
      <c r="E7153" t="str">
        <f>IF(OR(E7152="&lt;/routeDistribution&gt;",E7152=""),"",IFERROR(_xlfn.CONCAT(VLOOKUP(Y32,Route_Column!#REF!,2,FALSE),CHAR(34)," probability=",CHAR(34),1/Y$4,CHAR(34),CHAR(47),CHAR(62)),"&lt;/routeDistribution&gt;"))</f>
        <v/>
      </c>
    </row>
    <row r="7154" spans="1:5" x14ac:dyDescent="0.25">
      <c r="A7154" t="s">
        <v>1643</v>
      </c>
      <c r="B7154" t="s">
        <v>1209</v>
      </c>
      <c r="E7154" t="str">
        <f>IF(OR(E7153="&lt;/routeDistribution&gt;",E7153=""),"",IFERROR(_xlfn.CONCAT(VLOOKUP(Y33,Route_Column!#REF!,2,FALSE),CHAR(34)," probability=",CHAR(34),1/Y$4,CHAR(34),CHAR(47),CHAR(62)),"&lt;/routeDistribution&gt;"))</f>
        <v/>
      </c>
    </row>
    <row r="7155" spans="1:5" x14ac:dyDescent="0.25">
      <c r="A7155" t="s">
        <v>1643</v>
      </c>
      <c r="B7155" t="s">
        <v>1210</v>
      </c>
      <c r="E7155" t="str">
        <f>IF(OR(E7154="&lt;/routeDistribution&gt;",E7154=""),"",IFERROR(_xlfn.CONCAT(VLOOKUP(Y34,Route_Column!#REF!,2,FALSE),CHAR(34)," probability=",CHAR(34),1/Y$4,CHAR(34),CHAR(47),CHAR(62)),"&lt;/routeDistribution&gt;"))</f>
        <v/>
      </c>
    </row>
    <row r="7156" spans="1:5" x14ac:dyDescent="0.25">
      <c r="A7156" t="s">
        <v>1644</v>
      </c>
      <c r="B7156" t="s">
        <v>1098</v>
      </c>
      <c r="E7156" t="str">
        <f>IF(OR(E7155="&lt;/routeDistribution&gt;",E7155=""),"",IFERROR(_xlfn.CONCAT(VLOOKUP(Y35,Route_Column!#REF!,2,FALSE),CHAR(34)," probability=",CHAR(34),1/Y$4,CHAR(34),CHAR(47),CHAR(62)),"&lt;/routeDistribution&gt;"))</f>
        <v/>
      </c>
    </row>
    <row r="7157" spans="1:5" x14ac:dyDescent="0.25">
      <c r="A7157" t="s">
        <v>1644</v>
      </c>
      <c r="B7157" t="s">
        <v>1185</v>
      </c>
      <c r="E7157" t="str">
        <f>IF(OR(E7156="&lt;/routeDistribution&gt;",E7156=""),"",IFERROR(_xlfn.CONCAT(VLOOKUP(Y36,Route_Column!#REF!,2,FALSE),CHAR(34)," probability=",CHAR(34),1/Y$4,CHAR(34),CHAR(47),CHAR(62)),"&lt;/routeDistribution&gt;"))</f>
        <v/>
      </c>
    </row>
    <row r="7158" spans="1:5" x14ac:dyDescent="0.25">
      <c r="A7158" t="s">
        <v>1644</v>
      </c>
      <c r="B7158" t="s">
        <v>1197</v>
      </c>
      <c r="E7158" t="str">
        <f>IF(OR(E7157="&lt;/routeDistribution&gt;",E7157=""),"",IFERROR(_xlfn.CONCAT(VLOOKUP(Y37,Route_Column!#REF!,2,FALSE),CHAR(34)," probability=",CHAR(34),1/Y$4,CHAR(34),CHAR(47),CHAR(62)),"&lt;/routeDistribution&gt;"))</f>
        <v/>
      </c>
    </row>
    <row r="7159" spans="1:5" x14ac:dyDescent="0.25">
      <c r="A7159" t="s">
        <v>1644</v>
      </c>
      <c r="B7159" t="s">
        <v>1209</v>
      </c>
      <c r="E7159" t="str">
        <f>IF(OR(E7158="&lt;/routeDistribution&gt;",E7158=""),"",IFERROR(_xlfn.CONCAT(VLOOKUP(Y38,Route_Column!#REF!,2,FALSE),CHAR(34)," probability=",CHAR(34),1/Y$4,CHAR(34),CHAR(47),CHAR(62)),"&lt;/routeDistribution&gt;"))</f>
        <v/>
      </c>
    </row>
    <row r="7160" spans="1:5" x14ac:dyDescent="0.25">
      <c r="A7160" t="s">
        <v>1644</v>
      </c>
      <c r="B7160" t="s">
        <v>1210</v>
      </c>
      <c r="E7160" t="str">
        <f>IF(OR(E7159="&lt;/routeDistribution&gt;",E7159=""),"",IFERROR(_xlfn.CONCAT(VLOOKUP(Y39,Route_Column!#REF!,2,FALSE),CHAR(34)," probability=",CHAR(34),1/Y$4,CHAR(34),CHAR(47),CHAR(62)),"&lt;/routeDistribution&gt;"))</f>
        <v/>
      </c>
    </row>
    <row r="7161" spans="1:5" x14ac:dyDescent="0.25">
      <c r="A7161" t="s">
        <v>1644</v>
      </c>
      <c r="B7161" t="s">
        <v>1235</v>
      </c>
      <c r="E7161" t="str">
        <f>IF(OR(E7160="&lt;/routeDistribution&gt;",E7160=""),"",IFERROR(_xlfn.CONCAT(VLOOKUP(Y40,Route_Column!#REF!,2,FALSE),CHAR(34)," probability=",CHAR(34),1/Y$4,CHAR(34),CHAR(47),CHAR(62)),"&lt;/routeDistribution&gt;"))</f>
        <v/>
      </c>
    </row>
    <row r="7162" spans="1:5" x14ac:dyDescent="0.25">
      <c r="A7162" t="s">
        <v>1644</v>
      </c>
      <c r="B7162" t="s">
        <v>1236</v>
      </c>
      <c r="E7162" t="str">
        <f>IF(OR(E7161="&lt;/routeDistribution&gt;",E7161=""),"",IFERROR(_xlfn.CONCAT(VLOOKUP(Y41,Route_Column!#REF!,2,FALSE),CHAR(34)," probability=",CHAR(34),1/Y$4,CHAR(34),CHAR(47),CHAR(62)),"&lt;/routeDistribution&gt;"))</f>
        <v/>
      </c>
    </row>
    <row r="7163" spans="1:5" x14ac:dyDescent="0.25">
      <c r="A7163" t="s">
        <v>1644</v>
      </c>
      <c r="B7163" t="s">
        <v>1237</v>
      </c>
      <c r="E7163" t="str">
        <f>IF(OR(E7162="&lt;/routeDistribution&gt;",E7162=""),"",IFERROR(_xlfn.CONCAT(VLOOKUP(Y42,Route_Column!#REF!,2,FALSE),CHAR(34)," probability=",CHAR(34),1/Y$4,CHAR(34),CHAR(47),CHAR(62)),"&lt;/routeDistribution&gt;"))</f>
        <v/>
      </c>
    </row>
    <row r="7164" spans="1:5" x14ac:dyDescent="0.25">
      <c r="A7164" t="s">
        <v>1644</v>
      </c>
      <c r="B7164" t="s">
        <v>1238</v>
      </c>
      <c r="E7164" t="str">
        <f>IF(OR(E7163="&lt;/routeDistribution&gt;",E7163=""),"",IFERROR(_xlfn.CONCAT(VLOOKUP(Y43,Route_Column!#REF!,2,FALSE),CHAR(34)," probability=",CHAR(34),1/Y$4,CHAR(34),CHAR(47),CHAR(62)),"&lt;/routeDistribution&gt;"))</f>
        <v/>
      </c>
    </row>
    <row r="7165" spans="1:5" x14ac:dyDescent="0.25">
      <c r="A7165" t="s">
        <v>1644</v>
      </c>
      <c r="B7165" t="s">
        <v>1239</v>
      </c>
      <c r="E7165" t="str">
        <f>IF(OR(E7164="&lt;/routeDistribution&gt;",E7164=""),"",IFERROR(_xlfn.CONCAT(VLOOKUP(Y44,Route_Column!#REF!,2,FALSE),CHAR(34)," probability=",CHAR(34),1/Y$4,CHAR(34),CHAR(47),CHAR(62)),"&lt;/routeDistribution&gt;"))</f>
        <v/>
      </c>
    </row>
    <row r="7166" spans="1:5" x14ac:dyDescent="0.25">
      <c r="A7166" t="s">
        <v>1644</v>
      </c>
      <c r="B7166" t="s">
        <v>1240</v>
      </c>
      <c r="E7166" t="str">
        <f>IF(OR(E7165="&lt;/routeDistribution&gt;",E7165=""),"",IFERROR(_xlfn.CONCAT(VLOOKUP(Y45,Route_Column!#REF!,2,FALSE),CHAR(34)," probability=",CHAR(34),1/Y$4,CHAR(34),CHAR(47),CHAR(62)),"&lt;/routeDistribution&gt;"))</f>
        <v/>
      </c>
    </row>
    <row r="7167" spans="1:5" x14ac:dyDescent="0.25">
      <c r="A7167" t="s">
        <v>1644</v>
      </c>
      <c r="B7167" t="s">
        <v>1241</v>
      </c>
      <c r="E7167" t="str">
        <f>IF(OR(E7166="&lt;/routeDistribution&gt;",E7166=""),"",IFERROR(_xlfn.CONCAT(VLOOKUP(Y46,Route_Column!#REF!,2,FALSE),CHAR(34)," probability=",CHAR(34),1/Y$4,CHAR(34),CHAR(47),CHAR(62)),"&lt;/routeDistribution&gt;"))</f>
        <v/>
      </c>
    </row>
    <row r="7168" spans="1:5" x14ac:dyDescent="0.25">
      <c r="A7168" t="s">
        <v>1644</v>
      </c>
      <c r="B7168" t="s">
        <v>1242</v>
      </c>
      <c r="E7168" t="str">
        <f>IF(OR(E7167="&lt;/routeDistribution&gt;",E7167=""),"",IFERROR(_xlfn.CONCAT(VLOOKUP(Y47,Route_Column!#REF!,2,FALSE),CHAR(34)," probability=",CHAR(34),1/Y$4,CHAR(34),CHAR(47),CHAR(62)),"&lt;/routeDistribution&gt;"))</f>
        <v/>
      </c>
    </row>
    <row r="7169" spans="1:5" x14ac:dyDescent="0.25">
      <c r="A7169" t="s">
        <v>1644</v>
      </c>
      <c r="B7169" t="s">
        <v>1243</v>
      </c>
      <c r="E7169" t="str">
        <f>IF(OR(E7168="&lt;/routeDistribution&gt;",E7168=""),"",IFERROR(_xlfn.CONCAT(VLOOKUP(Y48,Route_Column!#REF!,2,FALSE),CHAR(34)," probability=",CHAR(34),1/Y$4,CHAR(34),CHAR(47),CHAR(62)),"&lt;/routeDistribution&gt;"))</f>
        <v/>
      </c>
    </row>
    <row r="7170" spans="1:5" x14ac:dyDescent="0.25">
      <c r="A7170" t="s">
        <v>1644</v>
      </c>
      <c r="B7170" t="s">
        <v>1244</v>
      </c>
      <c r="E7170" t="str">
        <f>IF(OR(E7169="&lt;/routeDistribution&gt;",E7169=""),"",IFERROR(_xlfn.CONCAT(VLOOKUP(Y49,Route_Column!#REF!,2,FALSE),CHAR(34)," probability=",CHAR(34),1/Y$4,CHAR(34),CHAR(47),CHAR(62)),"&lt;/routeDistribution&gt;"))</f>
        <v/>
      </c>
    </row>
    <row r="7171" spans="1:5" x14ac:dyDescent="0.25">
      <c r="A7171" t="s">
        <v>1645</v>
      </c>
      <c r="B7171" t="s">
        <v>1098</v>
      </c>
      <c r="E7171" t="str">
        <f>IF(OR(E7170="&lt;/routeDistribution&gt;",E7170=""),"",IFERROR(_xlfn.CONCAT(VLOOKUP(Y50,Route_Column!#REF!,2,FALSE),CHAR(34)," probability=",CHAR(34),1/Y$4,CHAR(34),CHAR(47),CHAR(62)),"&lt;/routeDistribution&gt;"))</f>
        <v/>
      </c>
    </row>
    <row r="7172" spans="1:5" x14ac:dyDescent="0.25">
      <c r="A7172" t="s">
        <v>1645</v>
      </c>
      <c r="B7172" t="s">
        <v>1185</v>
      </c>
      <c r="E7172" t="str">
        <f>IF(OR(E7171="&lt;/routeDistribution&gt;",E7171=""),"",IFERROR(_xlfn.CONCAT(VLOOKUP(Y51,Route_Column!#REF!,2,FALSE),CHAR(34)," probability=",CHAR(34),1/Y$4,CHAR(34),CHAR(47),CHAR(62)),"&lt;/routeDistribution&gt;"))</f>
        <v/>
      </c>
    </row>
    <row r="7173" spans="1:5" x14ac:dyDescent="0.25">
      <c r="A7173" t="s">
        <v>1645</v>
      </c>
      <c r="B7173" t="s">
        <v>1197</v>
      </c>
      <c r="E7173" t="str">
        <f>IF(OR(E7172="&lt;/routeDistribution&gt;",E7172=""),"",IFERROR(_xlfn.CONCAT(VLOOKUP(Y52,Route_Column!#REF!,2,FALSE),CHAR(34)," probability=",CHAR(34),1/Y$4,CHAR(34),CHAR(47),CHAR(62)),"&lt;/routeDistribution&gt;"))</f>
        <v/>
      </c>
    </row>
    <row r="7174" spans="1:5" x14ac:dyDescent="0.25">
      <c r="A7174" t="s">
        <v>1645</v>
      </c>
      <c r="B7174" t="s">
        <v>1209</v>
      </c>
      <c r="E7174" t="str">
        <f>IF(OR(E7173="&lt;/routeDistribution&gt;",E7173=""),"",IFERROR(_xlfn.CONCAT(VLOOKUP(Y53,Route_Column!#REF!,2,FALSE),CHAR(34)," probability=",CHAR(34),1/Y$4,CHAR(34),CHAR(47),CHAR(62)),"&lt;/routeDistribution&gt;"))</f>
        <v/>
      </c>
    </row>
    <row r="7175" spans="1:5" x14ac:dyDescent="0.25">
      <c r="A7175" t="s">
        <v>1645</v>
      </c>
      <c r="B7175" t="s">
        <v>1210</v>
      </c>
      <c r="E7175" t="str">
        <f>IF(OR(E7174="&lt;/routeDistribution&gt;",E7174=""),"",IFERROR(_xlfn.CONCAT(VLOOKUP(Y54,Route_Column!#REF!,2,FALSE),CHAR(34)," probability=",CHAR(34),1/Y$4,CHAR(34),CHAR(47),CHAR(62)),"&lt;/routeDistribution&gt;"))</f>
        <v/>
      </c>
    </row>
    <row r="7176" spans="1:5" x14ac:dyDescent="0.25">
      <c r="A7176" t="s">
        <v>1645</v>
      </c>
      <c r="B7176" t="s">
        <v>1223</v>
      </c>
      <c r="E7176" t="str">
        <f>IF(OR(E7175="&lt;/routeDistribution&gt;",E7175=""),"",IFERROR(_xlfn.CONCAT(VLOOKUP(Y55,Route_Column!#REF!,2,FALSE),CHAR(34)," probability=",CHAR(34),1/Y$4,CHAR(34),CHAR(47),CHAR(62)),"&lt;/routeDistribution&gt;"))</f>
        <v/>
      </c>
    </row>
    <row r="7177" spans="1:5" x14ac:dyDescent="0.25">
      <c r="A7177" t="s">
        <v>1645</v>
      </c>
      <c r="B7177" t="s">
        <v>1244</v>
      </c>
      <c r="E7177" t="str">
        <f>IF(OR(E7176="&lt;/routeDistribution&gt;",E7176=""),"",IFERROR(_xlfn.CONCAT(VLOOKUP(Y56,Route_Column!#REF!,2,FALSE),CHAR(34)," probability=",CHAR(34),1/Y$4,CHAR(34),CHAR(47),CHAR(62)),"&lt;/routeDistribution&gt;"))</f>
        <v/>
      </c>
    </row>
    <row r="7178" spans="1:5" x14ac:dyDescent="0.25">
      <c r="A7178" t="s">
        <v>1645</v>
      </c>
      <c r="B7178" t="s">
        <v>1250</v>
      </c>
      <c r="E7178" t="str">
        <f>IF(OR(E7177="&lt;/routeDistribution&gt;",E7177=""),"",IFERROR(_xlfn.CONCAT(VLOOKUP(Y57,Route_Column!#REF!,2,FALSE),CHAR(34)," probability=",CHAR(34),1/Y$4,CHAR(34),CHAR(47),CHAR(62)),"&lt;/routeDistribution&gt;"))</f>
        <v/>
      </c>
    </row>
    <row r="7179" spans="1:5" x14ac:dyDescent="0.25">
      <c r="A7179" t="s">
        <v>1646</v>
      </c>
      <c r="B7179" t="s">
        <v>1098</v>
      </c>
      <c r="E7179" t="str">
        <f>IF(OR(E7178="&lt;/routeDistribution&gt;",E7178=""),"",IFERROR(_xlfn.CONCAT(VLOOKUP(Y58,Route_Column!#REF!,2,FALSE),CHAR(34)," probability=",CHAR(34),1/Y$4,CHAR(34),CHAR(47),CHAR(62)),"&lt;/routeDistribution&gt;"))</f>
        <v/>
      </c>
    </row>
    <row r="7180" spans="1:5" x14ac:dyDescent="0.25">
      <c r="A7180" t="s">
        <v>1646</v>
      </c>
      <c r="B7180" t="s">
        <v>1185</v>
      </c>
      <c r="E7180" t="str">
        <f>IF(OR(E7179="&lt;/routeDistribution&gt;",E7179=""),"",IFERROR(_xlfn.CONCAT(VLOOKUP(Y59,Route_Column!#REF!,2,FALSE),CHAR(34)," probability=",CHAR(34),1/Y$4,CHAR(34),CHAR(47),CHAR(62)),"&lt;/routeDistribution&gt;"))</f>
        <v/>
      </c>
    </row>
    <row r="7181" spans="1:5" x14ac:dyDescent="0.25">
      <c r="A7181" t="s">
        <v>1646</v>
      </c>
      <c r="B7181" t="s">
        <v>1197</v>
      </c>
      <c r="E7181" t="str">
        <f>IF(OR(E7180="&lt;/routeDistribution&gt;",E7180=""),"",IFERROR(_xlfn.CONCAT(VLOOKUP(Y60,Route_Column!#REF!,2,FALSE),CHAR(34)," probability=",CHAR(34),1/Y$4,CHAR(34),CHAR(47),CHAR(62)),"&lt;/routeDistribution&gt;"))</f>
        <v/>
      </c>
    </row>
    <row r="7182" spans="1:5" x14ac:dyDescent="0.25">
      <c r="A7182" t="s">
        <v>1646</v>
      </c>
      <c r="B7182" t="s">
        <v>1209</v>
      </c>
      <c r="E7182" t="str">
        <f>IF(OR(E7181="&lt;/routeDistribution&gt;",E7181=""),"",IFERROR(_xlfn.CONCAT(VLOOKUP(Y61,Route_Column!#REF!,2,FALSE),CHAR(34)," probability=",CHAR(34),1/Y$4,CHAR(34),CHAR(47),CHAR(62)),"&lt;/routeDistribution&gt;"))</f>
        <v/>
      </c>
    </row>
    <row r="7183" spans="1:5" x14ac:dyDescent="0.25">
      <c r="A7183" t="s">
        <v>1646</v>
      </c>
      <c r="B7183" t="s">
        <v>1210</v>
      </c>
      <c r="E7183" t="str">
        <f>IF(OR(E7182="&lt;/routeDistribution&gt;",E7182=""),"",IFERROR(_xlfn.CONCAT(VLOOKUP(Y62,Route_Column!#REF!,2,FALSE),CHAR(34)," probability=",CHAR(34),1/Y$4,CHAR(34),CHAR(47),CHAR(62)),"&lt;/routeDistribution&gt;"))</f>
        <v/>
      </c>
    </row>
    <row r="7184" spans="1:5" x14ac:dyDescent="0.25">
      <c r="A7184" t="s">
        <v>1646</v>
      </c>
      <c r="B7184" t="s">
        <v>1223</v>
      </c>
      <c r="E7184" t="str">
        <f>IF(OR(E7183="&lt;/routeDistribution&gt;",E7183=""),"",IFERROR(_xlfn.CONCAT(VLOOKUP(Y63,Route_Column!#REF!,2,FALSE),CHAR(34)," probability=",CHAR(34),1/Y$4,CHAR(34),CHAR(47),CHAR(62)),"&lt;/routeDistribution&gt;"))</f>
        <v/>
      </c>
    </row>
    <row r="7185" spans="1:5" x14ac:dyDescent="0.25">
      <c r="A7185" t="s">
        <v>1646</v>
      </c>
      <c r="B7185" t="s">
        <v>1244</v>
      </c>
      <c r="E7185" t="s">
        <v>2686</v>
      </c>
    </row>
    <row r="7186" spans="1:5" x14ac:dyDescent="0.25">
      <c r="A7186" t="s">
        <v>1646</v>
      </c>
      <c r="B7186" t="s">
        <v>1250</v>
      </c>
    </row>
    <row r="7187" spans="1:5" x14ac:dyDescent="0.25">
      <c r="A7187" t="s">
        <v>1647</v>
      </c>
      <c r="B7187" t="s">
        <v>1098</v>
      </c>
    </row>
    <row r="7188" spans="1:5" x14ac:dyDescent="0.25">
      <c r="A7188" t="s">
        <v>1647</v>
      </c>
      <c r="B7188" t="s">
        <v>1185</v>
      </c>
      <c r="E7188" t="str">
        <f>_xlfn.CONCAT($E$1,X$2,$F$1)</f>
        <v>&lt;routeDistribution id="21st-southST-to-Bain-SB-2015-RouteProbe"&gt;</v>
      </c>
    </row>
    <row r="7189" spans="1:5" x14ac:dyDescent="0.25">
      <c r="A7189" t="s">
        <v>1647</v>
      </c>
      <c r="B7189" t="s">
        <v>1197</v>
      </c>
      <c r="E7189" t="str">
        <f>IF(OR(E7188="&lt;/routeDistribution&gt;",E7188=""),"",IFERROR(_xlfn.CONCAT(VLOOKUP(X5,Route_Column!#REF!,2,FALSE),CHAR(34)," probability=",CHAR(34),1/X$4,CHAR(34),CHAR(47),CHAR(62)),"&lt;/routeDistribution&gt;"))</f>
        <v>&lt;/routeDistribution&gt;</v>
      </c>
    </row>
    <row r="7190" spans="1:5" x14ac:dyDescent="0.25">
      <c r="A7190" t="s">
        <v>1647</v>
      </c>
      <c r="B7190" t="s">
        <v>1209</v>
      </c>
      <c r="E7190" t="str">
        <f>IF(OR(E7189="&lt;/routeDistribution&gt;",E7189=""),"",IFERROR(_xlfn.CONCAT(VLOOKUP(X6,Route_Column!#REF!,2,FALSE),CHAR(34)," probability=",CHAR(34),1/X$4,CHAR(34),CHAR(47),CHAR(62)),"&lt;/routeDistribution&gt;"))</f>
        <v/>
      </c>
    </row>
    <row r="7191" spans="1:5" x14ac:dyDescent="0.25">
      <c r="A7191" t="s">
        <v>1647</v>
      </c>
      <c r="B7191" t="s">
        <v>1210</v>
      </c>
      <c r="E7191" t="str">
        <f>IF(OR(E7190="&lt;/routeDistribution&gt;",E7190=""),"",IFERROR(_xlfn.CONCAT(VLOOKUP(X7,Route_Column!#REF!,2,FALSE),CHAR(34)," probability=",CHAR(34),1/X$4,CHAR(34),CHAR(47),CHAR(62)),"&lt;/routeDistribution&gt;"))</f>
        <v/>
      </c>
    </row>
    <row r="7192" spans="1:5" x14ac:dyDescent="0.25">
      <c r="A7192" t="s">
        <v>1647</v>
      </c>
      <c r="B7192" t="s">
        <v>1244</v>
      </c>
      <c r="E7192" t="str">
        <f>IF(OR(E7191="&lt;/routeDistribution&gt;",E7191=""),"",IFERROR(_xlfn.CONCAT(VLOOKUP(X8,Route_Column!#REF!,2,FALSE),CHAR(34)," probability=",CHAR(34),1/X$4,CHAR(34),CHAR(47),CHAR(62)),"&lt;/routeDistribution&gt;"))</f>
        <v/>
      </c>
    </row>
    <row r="7193" spans="1:5" x14ac:dyDescent="0.25">
      <c r="A7193" t="s">
        <v>1647</v>
      </c>
      <c r="B7193" t="s">
        <v>1246</v>
      </c>
      <c r="E7193" t="str">
        <f>IF(OR(E7192="&lt;/routeDistribution&gt;",E7192=""),"",IFERROR(_xlfn.CONCAT(VLOOKUP(X9,Route_Column!#REF!,2,FALSE),CHAR(34)," probability=",CHAR(34),1/X$4,CHAR(34),CHAR(47),CHAR(62)),"&lt;/routeDistribution&gt;"))</f>
        <v/>
      </c>
    </row>
    <row r="7194" spans="1:5" x14ac:dyDescent="0.25">
      <c r="A7194" t="s">
        <v>1647</v>
      </c>
      <c r="B7194" t="s">
        <v>1247</v>
      </c>
      <c r="E7194" t="str">
        <f>IF(OR(E7193="&lt;/routeDistribution&gt;",E7193=""),"",IFERROR(_xlfn.CONCAT(VLOOKUP(X10,Route_Column!#REF!,2,FALSE),CHAR(34)," probability=",CHAR(34),1/X$4,CHAR(34),CHAR(47),CHAR(62)),"&lt;/routeDistribution&gt;"))</f>
        <v/>
      </c>
    </row>
    <row r="7195" spans="1:5" x14ac:dyDescent="0.25">
      <c r="A7195" t="s">
        <v>1647</v>
      </c>
      <c r="B7195" t="s">
        <v>1248</v>
      </c>
      <c r="E7195" t="str">
        <f>IF(OR(E7194="&lt;/routeDistribution&gt;",E7194=""),"",IFERROR(_xlfn.CONCAT(VLOOKUP(X11,Route_Column!#REF!,2,FALSE),CHAR(34)," probability=",CHAR(34),1/X$4,CHAR(34),CHAR(47),CHAR(62)),"&lt;/routeDistribution&gt;"))</f>
        <v/>
      </c>
    </row>
    <row r="7196" spans="1:5" x14ac:dyDescent="0.25">
      <c r="A7196" t="s">
        <v>1647</v>
      </c>
      <c r="B7196" t="s">
        <v>1249</v>
      </c>
      <c r="E7196" t="str">
        <f>IF(OR(E7195="&lt;/routeDistribution&gt;",E7195=""),"",IFERROR(_xlfn.CONCAT(VLOOKUP(X12,Route_Column!#REF!,2,FALSE),CHAR(34)," probability=",CHAR(34),1/X$4,CHAR(34),CHAR(47),CHAR(62)),"&lt;/routeDistribution&gt;"))</f>
        <v/>
      </c>
    </row>
    <row r="7197" spans="1:5" x14ac:dyDescent="0.25">
      <c r="A7197" t="s">
        <v>1675</v>
      </c>
      <c r="B7197" t="s">
        <v>1099</v>
      </c>
      <c r="E7197" t="str">
        <f>IF(OR(E7196="&lt;/routeDistribution&gt;",E7196=""),"",IFERROR(_xlfn.CONCAT(VLOOKUP(X13,Route_Column!#REF!,2,FALSE),CHAR(34)," probability=",CHAR(34),1/X$4,CHAR(34),CHAR(47),CHAR(62)),"&lt;/routeDistribution&gt;"))</f>
        <v/>
      </c>
    </row>
    <row r="7198" spans="1:5" x14ac:dyDescent="0.25">
      <c r="A7198" t="s">
        <v>1675</v>
      </c>
      <c r="B7198" t="s">
        <v>1100</v>
      </c>
      <c r="E7198" t="str">
        <f>IF(OR(E7197="&lt;/routeDistribution&gt;",E7197=""),"",IFERROR(_xlfn.CONCAT(VLOOKUP(X14,Route_Column!#REF!,2,FALSE),CHAR(34)," probability=",CHAR(34),1/X$4,CHAR(34),CHAR(47),CHAR(62)),"&lt;/routeDistribution&gt;"))</f>
        <v/>
      </c>
    </row>
    <row r="7199" spans="1:5" x14ac:dyDescent="0.25">
      <c r="A7199" t="s">
        <v>1675</v>
      </c>
      <c r="B7199" t="s">
        <v>1101</v>
      </c>
      <c r="E7199" t="str">
        <f>IF(OR(E7198="&lt;/routeDistribution&gt;",E7198=""),"",IFERROR(_xlfn.CONCAT(VLOOKUP(X15,Route_Column!#REF!,2,FALSE),CHAR(34)," probability=",CHAR(34),1/X$4,CHAR(34),CHAR(47),CHAR(62)),"&lt;/routeDistribution&gt;"))</f>
        <v/>
      </c>
    </row>
    <row r="7200" spans="1:5" x14ac:dyDescent="0.25">
      <c r="A7200" t="s">
        <v>1675</v>
      </c>
      <c r="B7200" t="s">
        <v>1102</v>
      </c>
      <c r="E7200" t="str">
        <f>IF(OR(E7199="&lt;/routeDistribution&gt;",E7199=""),"",IFERROR(_xlfn.CONCAT(VLOOKUP(X16,Route_Column!#REF!,2,FALSE),CHAR(34)," probability=",CHAR(34),1/X$4,CHAR(34),CHAR(47),CHAR(62)),"&lt;/routeDistribution&gt;"))</f>
        <v/>
      </c>
    </row>
    <row r="7201" spans="1:5" x14ac:dyDescent="0.25">
      <c r="A7201" t="s">
        <v>1675</v>
      </c>
      <c r="B7201" t="s">
        <v>1103</v>
      </c>
      <c r="E7201" t="str">
        <f>IF(OR(E7200="&lt;/routeDistribution&gt;",E7200=""),"",IFERROR(_xlfn.CONCAT(VLOOKUP(X17,Route_Column!#REF!,2,FALSE),CHAR(34)," probability=",CHAR(34),1/X$4,CHAR(34),CHAR(47),CHAR(62)),"&lt;/routeDistribution&gt;"))</f>
        <v/>
      </c>
    </row>
    <row r="7202" spans="1:5" x14ac:dyDescent="0.25">
      <c r="A7202" t="s">
        <v>1675</v>
      </c>
      <c r="B7202" t="s">
        <v>1104</v>
      </c>
      <c r="E7202" t="str">
        <f>IF(OR(E7201="&lt;/routeDistribution&gt;",E7201=""),"",IFERROR(_xlfn.CONCAT(VLOOKUP(X18,Route_Column!#REF!,2,FALSE),CHAR(34)," probability=",CHAR(34),1/X$4,CHAR(34),CHAR(47),CHAR(62)),"&lt;/routeDistribution&gt;"))</f>
        <v/>
      </c>
    </row>
    <row r="7203" spans="1:5" x14ac:dyDescent="0.25">
      <c r="A7203" t="s">
        <v>1675</v>
      </c>
      <c r="B7203" t="s">
        <v>1105</v>
      </c>
      <c r="E7203" t="str">
        <f>IF(OR(E7202="&lt;/routeDistribution&gt;",E7202=""),"",IFERROR(_xlfn.CONCAT(VLOOKUP(X19,Route_Column!#REF!,2,FALSE),CHAR(34)," probability=",CHAR(34),1/X$4,CHAR(34),CHAR(47),CHAR(62)),"&lt;/routeDistribution&gt;"))</f>
        <v/>
      </c>
    </row>
    <row r="7204" spans="1:5" x14ac:dyDescent="0.25">
      <c r="A7204" t="s">
        <v>1675</v>
      </c>
      <c r="B7204" t="s">
        <v>1106</v>
      </c>
      <c r="E7204" t="str">
        <f>IF(OR(E7203="&lt;/routeDistribution&gt;",E7203=""),"",IFERROR(_xlfn.CONCAT(VLOOKUP(X20,Route_Column!#REF!,2,FALSE),CHAR(34)," probability=",CHAR(34),1/X$4,CHAR(34),CHAR(47),CHAR(62)),"&lt;/routeDistribution&gt;"))</f>
        <v/>
      </c>
    </row>
    <row r="7205" spans="1:5" x14ac:dyDescent="0.25">
      <c r="A7205" t="s">
        <v>1675</v>
      </c>
      <c r="B7205" t="s">
        <v>1164</v>
      </c>
      <c r="E7205" t="str">
        <f>IF(OR(E7204="&lt;/routeDistribution&gt;",E7204=""),"",IFERROR(_xlfn.CONCAT(VLOOKUP(X21,Route_Column!#REF!,2,FALSE),CHAR(34)," probability=",CHAR(34),1/X$4,CHAR(34),CHAR(47),CHAR(62)),"&lt;/routeDistribution&gt;"))</f>
        <v/>
      </c>
    </row>
    <row r="7206" spans="1:5" x14ac:dyDescent="0.25">
      <c r="A7206" t="s">
        <v>1675</v>
      </c>
      <c r="B7206" t="s">
        <v>1168</v>
      </c>
      <c r="E7206" t="str">
        <f>IF(OR(E7205="&lt;/routeDistribution&gt;",E7205=""),"",IFERROR(_xlfn.CONCAT(VLOOKUP(X22,Route_Column!#REF!,2,FALSE),CHAR(34)," probability=",CHAR(34),1/X$4,CHAR(34),CHAR(47),CHAR(62)),"&lt;/routeDistribution&gt;"))</f>
        <v/>
      </c>
    </row>
    <row r="7207" spans="1:5" x14ac:dyDescent="0.25">
      <c r="A7207" t="s">
        <v>1675</v>
      </c>
      <c r="B7207" t="s">
        <v>1170</v>
      </c>
      <c r="E7207" t="str">
        <f>IF(OR(E7206="&lt;/routeDistribution&gt;",E7206=""),"",IFERROR(_xlfn.CONCAT(VLOOKUP(X23,Route_Column!#REF!,2,FALSE),CHAR(34)," probability=",CHAR(34),1/X$4,CHAR(34),CHAR(47),CHAR(62)),"&lt;/routeDistribution&gt;"))</f>
        <v/>
      </c>
    </row>
    <row r="7208" spans="1:5" x14ac:dyDescent="0.25">
      <c r="A7208" t="s">
        <v>1675</v>
      </c>
      <c r="B7208" t="s">
        <v>1196</v>
      </c>
      <c r="E7208" t="str">
        <f>IF(OR(E7207="&lt;/routeDistribution&gt;",E7207=""),"",IFERROR(_xlfn.CONCAT(VLOOKUP(X24,Route_Column!#REF!,2,FALSE),CHAR(34)," probability=",CHAR(34),1/X$4,CHAR(34),CHAR(47),CHAR(62)),"&lt;/routeDistribution&gt;"))</f>
        <v/>
      </c>
    </row>
    <row r="7209" spans="1:5" x14ac:dyDescent="0.25">
      <c r="A7209" t="s">
        <v>1845</v>
      </c>
      <c r="B7209" t="s">
        <v>1112</v>
      </c>
      <c r="E7209" t="str">
        <f>IF(OR(E7208="&lt;/routeDistribution&gt;",E7208=""),"",IFERROR(_xlfn.CONCAT(VLOOKUP(X25,Route_Column!#REF!,2,FALSE),CHAR(34)," probability=",CHAR(34),1/X$4,CHAR(34),CHAR(47),CHAR(62)),"&lt;/routeDistribution&gt;"))</f>
        <v/>
      </c>
    </row>
    <row r="7210" spans="1:5" x14ac:dyDescent="0.25">
      <c r="A7210" t="s">
        <v>1845</v>
      </c>
      <c r="B7210" t="s">
        <v>1113</v>
      </c>
      <c r="E7210" t="str">
        <f>IF(OR(E7209="&lt;/routeDistribution&gt;",E7209=""),"",IFERROR(_xlfn.CONCAT(VLOOKUP(X26,Route_Column!#REF!,2,FALSE),CHAR(34)," probability=",CHAR(34),1/X$4,CHAR(34),CHAR(47),CHAR(62)),"&lt;/routeDistribution&gt;"))</f>
        <v/>
      </c>
    </row>
    <row r="7211" spans="1:5" x14ac:dyDescent="0.25">
      <c r="A7211" t="s">
        <v>1845</v>
      </c>
      <c r="B7211" t="s">
        <v>1114</v>
      </c>
      <c r="E7211" t="str">
        <f>IF(OR(E7210="&lt;/routeDistribution&gt;",E7210=""),"",IFERROR(_xlfn.CONCAT(VLOOKUP(X27,Route_Column!#REF!,2,FALSE),CHAR(34)," probability=",CHAR(34),1/X$4,CHAR(34),CHAR(47),CHAR(62)),"&lt;/routeDistribution&gt;"))</f>
        <v/>
      </c>
    </row>
    <row r="7212" spans="1:5" x14ac:dyDescent="0.25">
      <c r="A7212" t="s">
        <v>1845</v>
      </c>
      <c r="B7212" t="s">
        <v>1115</v>
      </c>
      <c r="E7212" t="str">
        <f>IF(OR(E7211="&lt;/routeDistribution&gt;",E7211=""),"",IFERROR(_xlfn.CONCAT(VLOOKUP(X28,Route_Column!#REF!,2,FALSE),CHAR(34)," probability=",CHAR(34),1/X$4,CHAR(34),CHAR(47),CHAR(62)),"&lt;/routeDistribution&gt;"))</f>
        <v/>
      </c>
    </row>
    <row r="7213" spans="1:5" x14ac:dyDescent="0.25">
      <c r="A7213" s="11" t="s">
        <v>1440</v>
      </c>
      <c r="B7213" t="s">
        <v>1090</v>
      </c>
      <c r="E7213" t="str">
        <f>IF(OR(E7212="&lt;/routeDistribution&gt;",E7212=""),"",IFERROR(_xlfn.CONCAT(VLOOKUP(X29,Route_Column!#REF!,2,FALSE),CHAR(34)," probability=",CHAR(34),1/X$4,CHAR(34),CHAR(47),CHAR(62)),"&lt;/routeDistribution&gt;"))</f>
        <v/>
      </c>
    </row>
    <row r="7214" spans="1:5" x14ac:dyDescent="0.25">
      <c r="A7214" t="s">
        <v>1595</v>
      </c>
      <c r="B7214" t="s">
        <v>1096</v>
      </c>
      <c r="E7214" t="str">
        <f>IF(OR(E7213="&lt;/routeDistribution&gt;",E7213=""),"",IFERROR(_xlfn.CONCAT(VLOOKUP(X30,Route_Column!#REF!,2,FALSE),CHAR(34)," probability=",CHAR(34),1/X$4,CHAR(34),CHAR(47),CHAR(62)),"&lt;/routeDistribution&gt;"))</f>
        <v/>
      </c>
    </row>
    <row r="7215" spans="1:5" x14ac:dyDescent="0.25">
      <c r="A7215" t="s">
        <v>1595</v>
      </c>
      <c r="B7215" t="s">
        <v>1161</v>
      </c>
      <c r="E7215" t="str">
        <f>IF(OR(E7214="&lt;/routeDistribution&gt;",E7214=""),"",IFERROR(_xlfn.CONCAT(VLOOKUP(X31,Route_Column!#REF!,2,FALSE),CHAR(34)," probability=",CHAR(34),1/X$4,CHAR(34),CHAR(47),CHAR(62)),"&lt;/routeDistribution&gt;"))</f>
        <v/>
      </c>
    </row>
    <row r="7216" spans="1:5" x14ac:dyDescent="0.25">
      <c r="A7216" t="s">
        <v>1595</v>
      </c>
      <c r="B7216" t="s">
        <v>1162</v>
      </c>
      <c r="E7216" t="str">
        <f>IF(OR(E7215="&lt;/routeDistribution&gt;",E7215=""),"",IFERROR(_xlfn.CONCAT(VLOOKUP(X32,Route_Column!#REF!,2,FALSE),CHAR(34)," probability=",CHAR(34),1/X$4,CHAR(34),CHAR(47),CHAR(62)),"&lt;/routeDistribution&gt;"))</f>
        <v/>
      </c>
    </row>
    <row r="7217" spans="1:5" x14ac:dyDescent="0.25">
      <c r="A7217" t="s">
        <v>1595</v>
      </c>
      <c r="B7217" t="s">
        <v>1163</v>
      </c>
      <c r="E7217" t="str">
        <f>IF(OR(E7216="&lt;/routeDistribution&gt;",E7216=""),"",IFERROR(_xlfn.CONCAT(VLOOKUP(X33,Route_Column!#REF!,2,FALSE),CHAR(34)," probability=",CHAR(34),1/X$4,CHAR(34),CHAR(47),CHAR(62)),"&lt;/routeDistribution&gt;"))</f>
        <v/>
      </c>
    </row>
    <row r="7218" spans="1:5" x14ac:dyDescent="0.25">
      <c r="A7218" t="s">
        <v>1648</v>
      </c>
      <c r="B7218" t="s">
        <v>1098</v>
      </c>
      <c r="E7218" t="str">
        <f>IF(OR(E7217="&lt;/routeDistribution&gt;",E7217=""),"",IFERROR(_xlfn.CONCAT(VLOOKUP(X34,Route_Column!#REF!,2,FALSE),CHAR(34)," probability=",CHAR(34),1/X$4,CHAR(34),CHAR(47),CHAR(62)),"&lt;/routeDistribution&gt;"))</f>
        <v/>
      </c>
    </row>
    <row r="7219" spans="1:5" x14ac:dyDescent="0.25">
      <c r="A7219" t="s">
        <v>1648</v>
      </c>
      <c r="B7219" t="s">
        <v>1185</v>
      </c>
      <c r="E7219" t="str">
        <f>IF(OR(E7218="&lt;/routeDistribution&gt;",E7218=""),"",IFERROR(_xlfn.CONCAT(VLOOKUP(X35,Route_Column!#REF!,2,FALSE),CHAR(34)," probability=",CHAR(34),1/X$4,CHAR(34),CHAR(47),CHAR(62)),"&lt;/routeDistribution&gt;"))</f>
        <v/>
      </c>
    </row>
    <row r="7220" spans="1:5" x14ac:dyDescent="0.25">
      <c r="A7220" t="s">
        <v>1648</v>
      </c>
      <c r="B7220" t="s">
        <v>1197</v>
      </c>
      <c r="E7220" t="str">
        <f>IF(OR(E7219="&lt;/routeDistribution&gt;",E7219=""),"",IFERROR(_xlfn.CONCAT(VLOOKUP(X36,Route_Column!#REF!,2,FALSE),CHAR(34)," probability=",CHAR(34),1/X$4,CHAR(34),CHAR(47),CHAR(62)),"&lt;/routeDistribution&gt;"))</f>
        <v/>
      </c>
    </row>
    <row r="7221" spans="1:5" x14ac:dyDescent="0.25">
      <c r="A7221" t="s">
        <v>1648</v>
      </c>
      <c r="B7221" t="s">
        <v>1209</v>
      </c>
      <c r="E7221" t="str">
        <f>IF(OR(E7220="&lt;/routeDistribution&gt;",E7220=""),"",IFERROR(_xlfn.CONCAT(VLOOKUP(X37,Route_Column!#REF!,2,FALSE),CHAR(34)," probability=",CHAR(34),1/X$4,CHAR(34),CHAR(47),CHAR(62)),"&lt;/routeDistribution&gt;"))</f>
        <v/>
      </c>
    </row>
    <row r="7222" spans="1:5" x14ac:dyDescent="0.25">
      <c r="A7222" t="s">
        <v>1648</v>
      </c>
      <c r="B7222" t="s">
        <v>1210</v>
      </c>
      <c r="E7222" t="str">
        <f>IF(OR(E7221="&lt;/routeDistribution&gt;",E7221=""),"",IFERROR(_xlfn.CONCAT(VLOOKUP(X38,Route_Column!#REF!,2,FALSE),CHAR(34)," probability=",CHAR(34),1/X$4,CHAR(34),CHAR(47),CHAR(62)),"&lt;/routeDistribution&gt;"))</f>
        <v/>
      </c>
    </row>
    <row r="7223" spans="1:5" x14ac:dyDescent="0.25">
      <c r="A7223" t="s">
        <v>1648</v>
      </c>
      <c r="B7223" t="s">
        <v>1211</v>
      </c>
      <c r="E7223" t="str">
        <f>IF(OR(E7222="&lt;/routeDistribution&gt;",E7222=""),"",IFERROR(_xlfn.CONCAT(VLOOKUP(X39,Route_Column!#REF!,2,FALSE),CHAR(34)," probability=",CHAR(34),1/X$4,CHAR(34),CHAR(47),CHAR(62)),"&lt;/routeDistribution&gt;"))</f>
        <v/>
      </c>
    </row>
    <row r="7224" spans="1:5" x14ac:dyDescent="0.25">
      <c r="A7224" t="s">
        <v>1648</v>
      </c>
      <c r="B7224" t="s">
        <v>1244</v>
      </c>
      <c r="E7224" t="str">
        <f>IF(OR(E7223="&lt;/routeDistribution&gt;",E7223=""),"",IFERROR(_xlfn.CONCAT(VLOOKUP(X40,Route_Column!#REF!,2,FALSE),CHAR(34)," probability=",CHAR(34),1/X$4,CHAR(34),CHAR(47),CHAR(62)),"&lt;/routeDistribution&gt;"))</f>
        <v/>
      </c>
    </row>
    <row r="7225" spans="1:5" x14ac:dyDescent="0.25">
      <c r="A7225" t="s">
        <v>1648</v>
      </c>
      <c r="B7225" t="s">
        <v>1246</v>
      </c>
      <c r="E7225" t="str">
        <f>IF(OR(E7224="&lt;/routeDistribution&gt;",E7224=""),"",IFERROR(_xlfn.CONCAT(VLOOKUP(X41,Route_Column!#REF!,2,FALSE),CHAR(34)," probability=",CHAR(34),1/X$4,CHAR(34),CHAR(47),CHAR(62)),"&lt;/routeDistribution&gt;"))</f>
        <v/>
      </c>
    </row>
    <row r="7226" spans="1:5" x14ac:dyDescent="0.25">
      <c r="A7226" t="s">
        <v>1648</v>
      </c>
      <c r="B7226" t="s">
        <v>1247</v>
      </c>
      <c r="E7226" t="str">
        <f>IF(OR(E7225="&lt;/routeDistribution&gt;",E7225=""),"",IFERROR(_xlfn.CONCAT(VLOOKUP(X42,Route_Column!#REF!,2,FALSE),CHAR(34)," probability=",CHAR(34),1/X$4,CHAR(34),CHAR(47),CHAR(62)),"&lt;/routeDistribution&gt;"))</f>
        <v/>
      </c>
    </row>
    <row r="7227" spans="1:5" x14ac:dyDescent="0.25">
      <c r="A7227" t="s">
        <v>1648</v>
      </c>
      <c r="B7227" t="s">
        <v>1248</v>
      </c>
      <c r="E7227" t="str">
        <f>IF(OR(E7226="&lt;/routeDistribution&gt;",E7226=""),"",IFERROR(_xlfn.CONCAT(VLOOKUP(X43,Route_Column!#REF!,2,FALSE),CHAR(34)," probability=",CHAR(34),1/X$4,CHAR(34),CHAR(47),CHAR(62)),"&lt;/routeDistribution&gt;"))</f>
        <v/>
      </c>
    </row>
    <row r="7228" spans="1:5" x14ac:dyDescent="0.25">
      <c r="A7228" t="s">
        <v>1648</v>
      </c>
      <c r="B7228" t="s">
        <v>1249</v>
      </c>
      <c r="E7228" t="str">
        <f>IF(OR(E7227="&lt;/routeDistribution&gt;",E7227=""),"",IFERROR(_xlfn.CONCAT(VLOOKUP(X44,Route_Column!#REF!,2,FALSE),CHAR(34)," probability=",CHAR(34),1/X$4,CHAR(34),CHAR(47),CHAR(62)),"&lt;/routeDistribution&gt;"))</f>
        <v/>
      </c>
    </row>
    <row r="7229" spans="1:5" x14ac:dyDescent="0.25">
      <c r="A7229" t="s">
        <v>2344</v>
      </c>
      <c r="B7229" t="s">
        <v>1235</v>
      </c>
      <c r="E7229" t="str">
        <f>IF(OR(E7228="&lt;/routeDistribution&gt;",E7228=""),"",IFERROR(_xlfn.CONCAT(VLOOKUP(X45,Route_Column!#REF!,2,FALSE),CHAR(34)," probability=",CHAR(34),1/X$4,CHAR(34),CHAR(47),CHAR(62)),"&lt;/routeDistribution&gt;"))</f>
        <v/>
      </c>
    </row>
    <row r="7230" spans="1:5" x14ac:dyDescent="0.25">
      <c r="A7230" t="s">
        <v>2344</v>
      </c>
      <c r="B7230" t="s">
        <v>1236</v>
      </c>
      <c r="E7230" t="str">
        <f>IF(OR(E7229="&lt;/routeDistribution&gt;",E7229=""),"",IFERROR(_xlfn.CONCAT(VLOOKUP(X46,Route_Column!#REF!,2,FALSE),CHAR(34)," probability=",CHAR(34),1/X$4,CHAR(34),CHAR(47),CHAR(62)),"&lt;/routeDistribution&gt;"))</f>
        <v/>
      </c>
    </row>
    <row r="7231" spans="1:5" x14ac:dyDescent="0.25">
      <c r="A7231" t="s">
        <v>2344</v>
      </c>
      <c r="B7231" t="s">
        <v>1237</v>
      </c>
      <c r="E7231" t="str">
        <f>IF(OR(E7230="&lt;/routeDistribution&gt;",E7230=""),"",IFERROR(_xlfn.CONCAT(VLOOKUP(X47,Route_Column!#REF!,2,FALSE),CHAR(34)," probability=",CHAR(34),1/X$4,CHAR(34),CHAR(47),CHAR(62)),"&lt;/routeDistribution&gt;"))</f>
        <v/>
      </c>
    </row>
    <row r="7232" spans="1:5" x14ac:dyDescent="0.25">
      <c r="A7232" t="s">
        <v>2344</v>
      </c>
      <c r="B7232" t="s">
        <v>1238</v>
      </c>
      <c r="E7232" t="str">
        <f>IF(OR(E7231="&lt;/routeDistribution&gt;",E7231=""),"",IFERROR(_xlfn.CONCAT(VLOOKUP(X48,Route_Column!#REF!,2,FALSE),CHAR(34)," probability=",CHAR(34),1/X$4,CHAR(34),CHAR(47),CHAR(62)),"&lt;/routeDistribution&gt;"))</f>
        <v/>
      </c>
    </row>
    <row r="7233" spans="1:5" x14ac:dyDescent="0.25">
      <c r="A7233" t="s">
        <v>2344</v>
      </c>
      <c r="B7233" t="s">
        <v>1239</v>
      </c>
      <c r="E7233" t="str">
        <f>IF(OR(E7232="&lt;/routeDistribution&gt;",E7232=""),"",IFERROR(_xlfn.CONCAT(VLOOKUP(X49,Route_Column!#REF!,2,FALSE),CHAR(34)," probability=",CHAR(34),1/X$4,CHAR(34),CHAR(47),CHAR(62)),"&lt;/routeDistribution&gt;"))</f>
        <v/>
      </c>
    </row>
    <row r="7234" spans="1:5" x14ac:dyDescent="0.25">
      <c r="A7234" t="s">
        <v>2344</v>
      </c>
      <c r="B7234" t="s">
        <v>1240</v>
      </c>
      <c r="E7234" t="str">
        <f>IF(OR(E7233="&lt;/routeDistribution&gt;",E7233=""),"",IFERROR(_xlfn.CONCAT(VLOOKUP(X50,Route_Column!#REF!,2,FALSE),CHAR(34)," probability=",CHAR(34),1/X$4,CHAR(34),CHAR(47),CHAR(62)),"&lt;/routeDistribution&gt;"))</f>
        <v/>
      </c>
    </row>
    <row r="7235" spans="1:5" x14ac:dyDescent="0.25">
      <c r="A7235" t="s">
        <v>2344</v>
      </c>
      <c r="B7235" t="s">
        <v>1241</v>
      </c>
      <c r="E7235" t="str">
        <f>IF(OR(E7234="&lt;/routeDistribution&gt;",E7234=""),"",IFERROR(_xlfn.CONCAT(VLOOKUP(X51,Route_Column!#REF!,2,FALSE),CHAR(34)," probability=",CHAR(34),1/X$4,CHAR(34),CHAR(47),CHAR(62)),"&lt;/routeDistribution&gt;"))</f>
        <v/>
      </c>
    </row>
    <row r="7236" spans="1:5" x14ac:dyDescent="0.25">
      <c r="A7236" t="s">
        <v>2344</v>
      </c>
      <c r="B7236" t="s">
        <v>1242</v>
      </c>
      <c r="E7236" t="str">
        <f>IF(OR(E7235="&lt;/routeDistribution&gt;",E7235=""),"",IFERROR(_xlfn.CONCAT(VLOOKUP(X52,Route_Column!#REF!,2,FALSE),CHAR(34)," probability=",CHAR(34),1/X$4,CHAR(34),CHAR(47),CHAR(62)),"&lt;/routeDistribution&gt;"))</f>
        <v/>
      </c>
    </row>
    <row r="7237" spans="1:5" x14ac:dyDescent="0.25">
      <c r="A7237" t="s">
        <v>2344</v>
      </c>
      <c r="B7237" t="s">
        <v>1243</v>
      </c>
      <c r="E7237" t="str">
        <f>IF(OR(E7236="&lt;/routeDistribution&gt;",E7236=""),"",IFERROR(_xlfn.CONCAT(VLOOKUP(X53,Route_Column!#REF!,2,FALSE),CHAR(34)," probability=",CHAR(34),1/X$4,CHAR(34),CHAR(47),CHAR(62)),"&lt;/routeDistribution&gt;"))</f>
        <v/>
      </c>
    </row>
    <row r="7238" spans="1:5" x14ac:dyDescent="0.25">
      <c r="A7238" t="s">
        <v>2344</v>
      </c>
      <c r="B7238" t="s">
        <v>1244</v>
      </c>
      <c r="E7238" t="str">
        <f>IF(OR(E7237="&lt;/routeDistribution&gt;",E7237=""),"",IFERROR(_xlfn.CONCAT(VLOOKUP(X54,Route_Column!#REF!,2,FALSE),CHAR(34)," probability=",CHAR(34),1/X$4,CHAR(34),CHAR(47),CHAR(62)),"&lt;/routeDistribution&gt;"))</f>
        <v/>
      </c>
    </row>
    <row r="7239" spans="1:5" x14ac:dyDescent="0.25">
      <c r="A7239" t="s">
        <v>2344</v>
      </c>
      <c r="B7239" t="s">
        <v>1245</v>
      </c>
      <c r="E7239" t="str">
        <f>IF(OR(E7238="&lt;/routeDistribution&gt;",E7238=""),"",IFERROR(_xlfn.CONCAT(VLOOKUP(X55,Route_Column!#REF!,2,FALSE),CHAR(34)," probability=",CHAR(34),1/X$4,CHAR(34),CHAR(47),CHAR(62)),"&lt;/routeDistribution&gt;"))</f>
        <v/>
      </c>
    </row>
    <row r="7240" spans="1:5" x14ac:dyDescent="0.25">
      <c r="A7240" t="s">
        <v>2344</v>
      </c>
      <c r="B7240" t="s">
        <v>1246</v>
      </c>
      <c r="E7240" t="str">
        <f>IF(OR(E7239="&lt;/routeDistribution&gt;",E7239=""),"",IFERROR(_xlfn.CONCAT(VLOOKUP(X56,Route_Column!#REF!,2,FALSE),CHAR(34)," probability=",CHAR(34),1/X$4,CHAR(34),CHAR(47),CHAR(62)),"&lt;/routeDistribution&gt;"))</f>
        <v/>
      </c>
    </row>
    <row r="7241" spans="1:5" x14ac:dyDescent="0.25">
      <c r="A7241" t="s">
        <v>2344</v>
      </c>
      <c r="B7241" t="s">
        <v>1247</v>
      </c>
      <c r="E7241" t="str">
        <f>IF(OR(E7240="&lt;/routeDistribution&gt;",E7240=""),"",IFERROR(_xlfn.CONCAT(VLOOKUP(X57,Route_Column!#REF!,2,FALSE),CHAR(34)," probability=",CHAR(34),1/X$4,CHAR(34),CHAR(47),CHAR(62)),"&lt;/routeDistribution&gt;"))</f>
        <v/>
      </c>
    </row>
    <row r="7242" spans="1:5" x14ac:dyDescent="0.25">
      <c r="A7242" t="s">
        <v>2344</v>
      </c>
      <c r="B7242" t="s">
        <v>1248</v>
      </c>
      <c r="E7242" t="str">
        <f>IF(OR(E7241="&lt;/routeDistribution&gt;",E7241=""),"",IFERROR(_xlfn.CONCAT(VLOOKUP(X58,Route_Column!#REF!,2,FALSE),CHAR(34)," probability=",CHAR(34),1/X$4,CHAR(34),CHAR(47),CHAR(62)),"&lt;/routeDistribution&gt;"))</f>
        <v/>
      </c>
    </row>
    <row r="7243" spans="1:5" x14ac:dyDescent="0.25">
      <c r="A7243" t="s">
        <v>2344</v>
      </c>
      <c r="B7243" t="s">
        <v>1249</v>
      </c>
      <c r="E7243" t="str">
        <f>IF(OR(E7242="&lt;/routeDistribution&gt;",E7242=""),"",IFERROR(_xlfn.CONCAT(VLOOKUP(X59,Route_Column!#REF!,2,FALSE),CHAR(34)," probability=",CHAR(34),1/X$4,CHAR(34),CHAR(47),CHAR(62)),"&lt;/routeDistribution&gt;"))</f>
        <v/>
      </c>
    </row>
    <row r="7244" spans="1:5" x14ac:dyDescent="0.25">
      <c r="A7244" t="s">
        <v>2345</v>
      </c>
      <c r="B7244" t="s">
        <v>1235</v>
      </c>
      <c r="E7244" t="str">
        <f>IF(OR(E7243="&lt;/routeDistribution&gt;",E7243=""),"",IFERROR(_xlfn.CONCAT(VLOOKUP(X60,Route_Column!#REF!,2,FALSE),CHAR(34)," probability=",CHAR(34),1/X$4,CHAR(34),CHAR(47),CHAR(62)),"&lt;/routeDistribution&gt;"))</f>
        <v/>
      </c>
    </row>
    <row r="7245" spans="1:5" x14ac:dyDescent="0.25">
      <c r="A7245" t="s">
        <v>2345</v>
      </c>
      <c r="B7245" t="s">
        <v>1236</v>
      </c>
      <c r="E7245" t="str">
        <f>IF(OR(E7244="&lt;/routeDistribution&gt;",E7244=""),"",IFERROR(_xlfn.CONCAT(VLOOKUP(X61,Route_Column!#REF!,2,FALSE),CHAR(34)," probability=",CHAR(34),1/X$4,CHAR(34),CHAR(47),CHAR(62)),"&lt;/routeDistribution&gt;"))</f>
        <v/>
      </c>
    </row>
    <row r="7246" spans="1:5" x14ac:dyDescent="0.25">
      <c r="A7246" t="s">
        <v>2345</v>
      </c>
      <c r="B7246" t="s">
        <v>1237</v>
      </c>
      <c r="E7246" t="str">
        <f>IF(OR(E7245="&lt;/routeDistribution&gt;",E7245=""),"",IFERROR(_xlfn.CONCAT(VLOOKUP(X62,Route_Column!#REF!,2,FALSE),CHAR(34)," probability=",CHAR(34),1/X$4,CHAR(34),CHAR(47),CHAR(62)),"&lt;/routeDistribution&gt;"))</f>
        <v/>
      </c>
    </row>
    <row r="7247" spans="1:5" x14ac:dyDescent="0.25">
      <c r="A7247" t="s">
        <v>2345</v>
      </c>
      <c r="B7247" t="s">
        <v>1238</v>
      </c>
      <c r="E7247" t="str">
        <f>IF(OR(E7246="&lt;/routeDistribution&gt;",E7246=""),"",IFERROR(_xlfn.CONCAT(VLOOKUP(X63,Route_Column!#REF!,2,FALSE),CHAR(34)," probability=",CHAR(34),1/X$4,CHAR(34),CHAR(47),CHAR(62)),"&lt;/routeDistribution&gt;"))</f>
        <v/>
      </c>
    </row>
    <row r="7248" spans="1:5" x14ac:dyDescent="0.25">
      <c r="A7248" t="s">
        <v>2345</v>
      </c>
      <c r="B7248" t="s">
        <v>1239</v>
      </c>
      <c r="E7248" t="s">
        <v>2686</v>
      </c>
    </row>
    <row r="7249" spans="1:5" x14ac:dyDescent="0.25">
      <c r="A7249" t="s">
        <v>2345</v>
      </c>
      <c r="B7249" t="s">
        <v>1240</v>
      </c>
    </row>
    <row r="7250" spans="1:5" x14ac:dyDescent="0.25">
      <c r="A7250" t="s">
        <v>2345</v>
      </c>
      <c r="B7250" t="s">
        <v>1241</v>
      </c>
    </row>
    <row r="7251" spans="1:5" x14ac:dyDescent="0.25">
      <c r="A7251" t="s">
        <v>2345</v>
      </c>
      <c r="B7251" t="s">
        <v>1242</v>
      </c>
      <c r="E7251" t="str">
        <f>_xlfn.CONCAT($E$1,W$2,$F$1)</f>
        <v>&lt;routeDistribution id="BFPW-inner-lane-22nd-Oval-NB-2015-RouteProbe"&gt;</v>
      </c>
    </row>
    <row r="7252" spans="1:5" x14ac:dyDescent="0.25">
      <c r="A7252" t="s">
        <v>2345</v>
      </c>
      <c r="B7252" t="s">
        <v>1243</v>
      </c>
      <c r="E7252" t="str">
        <f>IF(OR(E7251="&lt;/routeDistribution&gt;",E7251=""),"",IFERROR(_xlfn.CONCAT(VLOOKUP(W5,Route_Column!#REF!,2,FALSE),CHAR(34)," probability=",CHAR(34),1/W$4,CHAR(34),CHAR(47),CHAR(62)),"&lt;/routeDistribution&gt;"))</f>
        <v>&lt;/routeDistribution&gt;</v>
      </c>
    </row>
    <row r="7253" spans="1:5" x14ac:dyDescent="0.25">
      <c r="A7253" t="s">
        <v>2345</v>
      </c>
      <c r="B7253" t="s">
        <v>1244</v>
      </c>
      <c r="E7253" t="str">
        <f>IF(OR(E7252="&lt;/routeDistribution&gt;",E7252=""),"",IFERROR(_xlfn.CONCAT(VLOOKUP(W6,Route_Column!#REF!,2,FALSE),CHAR(34)," probability=",CHAR(34),1/W$4,CHAR(34),CHAR(47),CHAR(62)),"&lt;/routeDistribution&gt;"))</f>
        <v/>
      </c>
    </row>
    <row r="7254" spans="1:5" x14ac:dyDescent="0.25">
      <c r="A7254" t="s">
        <v>2345</v>
      </c>
      <c r="B7254" t="s">
        <v>1245</v>
      </c>
      <c r="E7254" t="str">
        <f>IF(OR(E7253="&lt;/routeDistribution&gt;",E7253=""),"",IFERROR(_xlfn.CONCAT(VLOOKUP(W7,Route_Column!#REF!,2,FALSE),CHAR(34)," probability=",CHAR(34),1/W$4,CHAR(34),CHAR(47),CHAR(62)),"&lt;/routeDistribution&gt;"))</f>
        <v/>
      </c>
    </row>
    <row r="7255" spans="1:5" x14ac:dyDescent="0.25">
      <c r="A7255" t="s">
        <v>2345</v>
      </c>
      <c r="B7255" t="s">
        <v>1246</v>
      </c>
      <c r="E7255" t="str">
        <f>IF(OR(E7254="&lt;/routeDistribution&gt;",E7254=""),"",IFERROR(_xlfn.CONCAT(VLOOKUP(W8,Route_Column!#REF!,2,FALSE),CHAR(34)," probability=",CHAR(34),1/W$4,CHAR(34),CHAR(47),CHAR(62)),"&lt;/routeDistribution&gt;"))</f>
        <v/>
      </c>
    </row>
    <row r="7256" spans="1:5" x14ac:dyDescent="0.25">
      <c r="A7256" t="s">
        <v>2345</v>
      </c>
      <c r="B7256" t="s">
        <v>1247</v>
      </c>
      <c r="E7256" t="str">
        <f>IF(OR(E7255="&lt;/routeDistribution&gt;",E7255=""),"",IFERROR(_xlfn.CONCAT(VLOOKUP(W9,Route_Column!#REF!,2,FALSE),CHAR(34)," probability=",CHAR(34),1/W$4,CHAR(34),CHAR(47),CHAR(62)),"&lt;/routeDistribution&gt;"))</f>
        <v/>
      </c>
    </row>
    <row r="7257" spans="1:5" x14ac:dyDescent="0.25">
      <c r="A7257" t="s">
        <v>2345</v>
      </c>
      <c r="B7257" t="s">
        <v>1248</v>
      </c>
      <c r="E7257" t="str">
        <f>IF(OR(E7256="&lt;/routeDistribution&gt;",E7256=""),"",IFERROR(_xlfn.CONCAT(VLOOKUP(W10,Route_Column!#REF!,2,FALSE),CHAR(34)," probability=",CHAR(34),1/W$4,CHAR(34),CHAR(47),CHAR(62)),"&lt;/routeDistribution&gt;"))</f>
        <v/>
      </c>
    </row>
    <row r="7258" spans="1:5" x14ac:dyDescent="0.25">
      <c r="A7258" t="s">
        <v>2345</v>
      </c>
      <c r="B7258" t="s">
        <v>1249</v>
      </c>
      <c r="E7258" t="str">
        <f>IF(OR(E7257="&lt;/routeDistribution&gt;",E7257=""),"",IFERROR(_xlfn.CONCAT(VLOOKUP(W11,Route_Column!#REF!,2,FALSE),CHAR(34)," probability=",CHAR(34),1/W$4,CHAR(34),CHAR(47),CHAR(62)),"&lt;/routeDistribution&gt;"))</f>
        <v/>
      </c>
    </row>
    <row r="7259" spans="1:5" x14ac:dyDescent="0.25">
      <c r="A7259" s="11" t="s">
        <v>1465</v>
      </c>
      <c r="B7259" t="s">
        <v>1091</v>
      </c>
      <c r="E7259" t="str">
        <f>IF(OR(E7258="&lt;/routeDistribution&gt;",E7258=""),"",IFERROR(_xlfn.CONCAT(VLOOKUP(W12,Route_Column!#REF!,2,FALSE),CHAR(34)," probability=",CHAR(34),1/W$4,CHAR(34),CHAR(47),CHAR(62)),"&lt;/routeDistribution&gt;"))</f>
        <v/>
      </c>
    </row>
    <row r="7260" spans="1:5" x14ac:dyDescent="0.25">
      <c r="A7260" t="s">
        <v>1465</v>
      </c>
      <c r="B7260" t="s">
        <v>1092</v>
      </c>
      <c r="E7260" t="str">
        <f>IF(OR(E7259="&lt;/routeDistribution&gt;",E7259=""),"",IFERROR(_xlfn.CONCAT(VLOOKUP(W13,Route_Column!#REF!,2,FALSE),CHAR(34)," probability=",CHAR(34),1/W$4,CHAR(34),CHAR(47),CHAR(62)),"&lt;/routeDistribution&gt;"))</f>
        <v/>
      </c>
    </row>
    <row r="7261" spans="1:5" x14ac:dyDescent="0.25">
      <c r="A7261" t="s">
        <v>1465</v>
      </c>
      <c r="B7261" t="s">
        <v>1093</v>
      </c>
      <c r="E7261" t="str">
        <f>IF(OR(E7260="&lt;/routeDistribution&gt;",E7260=""),"",IFERROR(_xlfn.CONCAT(VLOOKUP(W14,Route_Column!#REF!,2,FALSE),CHAR(34)," probability=",CHAR(34),1/W$4,CHAR(34),CHAR(47),CHAR(62)),"&lt;/routeDistribution&gt;"))</f>
        <v/>
      </c>
    </row>
    <row r="7262" spans="1:5" x14ac:dyDescent="0.25">
      <c r="A7262" t="s">
        <v>1465</v>
      </c>
      <c r="B7262" t="s">
        <v>1094</v>
      </c>
      <c r="E7262" t="str">
        <f>IF(OR(E7261="&lt;/routeDistribution&gt;",E7261=""),"",IFERROR(_xlfn.CONCAT(VLOOKUP(W15,Route_Column!#REF!,2,FALSE),CHAR(34)," probability=",CHAR(34),1/W$4,CHAR(34),CHAR(47),CHAR(62)),"&lt;/routeDistribution&gt;"))</f>
        <v/>
      </c>
    </row>
    <row r="7263" spans="1:5" x14ac:dyDescent="0.25">
      <c r="A7263" t="s">
        <v>1465</v>
      </c>
      <c r="B7263" t="s">
        <v>1095</v>
      </c>
      <c r="E7263" t="str">
        <f>IF(OR(E7262="&lt;/routeDistribution&gt;",E7262=""),"",IFERROR(_xlfn.CONCAT(VLOOKUP(W16,Route_Column!#REF!,2,FALSE),CHAR(34)," probability=",CHAR(34),1/W$4,CHAR(34),CHAR(47),CHAR(62)),"&lt;/routeDistribution&gt;"))</f>
        <v/>
      </c>
    </row>
    <row r="7264" spans="1:5" x14ac:dyDescent="0.25">
      <c r="A7264" t="s">
        <v>1465</v>
      </c>
      <c r="B7264" t="s">
        <v>1096</v>
      </c>
      <c r="E7264" t="str">
        <f>IF(OR(E7263="&lt;/routeDistribution&gt;",E7263=""),"",IFERROR(_xlfn.CONCAT(VLOOKUP(W17,Route_Column!#REF!,2,FALSE),CHAR(34)," probability=",CHAR(34),1/W$4,CHAR(34),CHAR(47),CHAR(62)),"&lt;/routeDistribution&gt;"))</f>
        <v/>
      </c>
    </row>
    <row r="7265" spans="1:5" x14ac:dyDescent="0.25">
      <c r="A7265" t="s">
        <v>1465</v>
      </c>
      <c r="B7265" t="s">
        <v>1097</v>
      </c>
      <c r="E7265" t="str">
        <f>IF(OR(E7264="&lt;/routeDistribution&gt;",E7264=""),"",IFERROR(_xlfn.CONCAT(VLOOKUP(W18,Route_Column!#REF!,2,FALSE),CHAR(34)," probability=",CHAR(34),1/W$4,CHAR(34),CHAR(47),CHAR(62)),"&lt;/routeDistribution&gt;"))</f>
        <v/>
      </c>
    </row>
    <row r="7266" spans="1:5" x14ac:dyDescent="0.25">
      <c r="A7266" t="s">
        <v>1465</v>
      </c>
      <c r="B7266" t="s">
        <v>1098</v>
      </c>
      <c r="E7266" t="str">
        <f>IF(OR(E7265="&lt;/routeDistribution&gt;",E7265=""),"",IFERROR(_xlfn.CONCAT(VLOOKUP(W19,Route_Column!#REF!,2,FALSE),CHAR(34)," probability=",CHAR(34),1/W$4,CHAR(34),CHAR(47),CHAR(62)),"&lt;/routeDistribution&gt;"))</f>
        <v/>
      </c>
    </row>
    <row r="7267" spans="1:5" x14ac:dyDescent="0.25">
      <c r="A7267" t="s">
        <v>1465</v>
      </c>
      <c r="B7267" t="s">
        <v>1099</v>
      </c>
      <c r="E7267" t="str">
        <f>IF(OR(E7266="&lt;/routeDistribution&gt;",E7266=""),"",IFERROR(_xlfn.CONCAT(VLOOKUP(W20,Route_Column!#REF!,2,FALSE),CHAR(34)," probability=",CHAR(34),1/W$4,CHAR(34),CHAR(47),CHAR(62)),"&lt;/routeDistribution&gt;"))</f>
        <v/>
      </c>
    </row>
    <row r="7268" spans="1:5" x14ac:dyDescent="0.25">
      <c r="A7268" t="s">
        <v>1465</v>
      </c>
      <c r="B7268" t="s">
        <v>1100</v>
      </c>
      <c r="E7268" t="str">
        <f>IF(OR(E7267="&lt;/routeDistribution&gt;",E7267=""),"",IFERROR(_xlfn.CONCAT(VLOOKUP(W21,Route_Column!#REF!,2,FALSE),CHAR(34)," probability=",CHAR(34),1/W$4,CHAR(34),CHAR(47),CHAR(62)),"&lt;/routeDistribution&gt;"))</f>
        <v/>
      </c>
    </row>
    <row r="7269" spans="1:5" x14ac:dyDescent="0.25">
      <c r="A7269" t="s">
        <v>1465</v>
      </c>
      <c r="B7269" t="s">
        <v>1101</v>
      </c>
      <c r="E7269" t="str">
        <f>IF(OR(E7268="&lt;/routeDistribution&gt;",E7268=""),"",IFERROR(_xlfn.CONCAT(VLOOKUP(W22,Route_Column!#REF!,2,FALSE),CHAR(34)," probability=",CHAR(34),1/W$4,CHAR(34),CHAR(47),CHAR(62)),"&lt;/routeDistribution&gt;"))</f>
        <v/>
      </c>
    </row>
    <row r="7270" spans="1:5" x14ac:dyDescent="0.25">
      <c r="A7270" t="s">
        <v>1465</v>
      </c>
      <c r="B7270" t="s">
        <v>1102</v>
      </c>
      <c r="E7270" t="str">
        <f>IF(OR(E7269="&lt;/routeDistribution&gt;",E7269=""),"",IFERROR(_xlfn.CONCAT(VLOOKUP(W23,Route_Column!#REF!,2,FALSE),CHAR(34)," probability=",CHAR(34),1/W$4,CHAR(34),CHAR(47),CHAR(62)),"&lt;/routeDistribution&gt;"))</f>
        <v/>
      </c>
    </row>
    <row r="7271" spans="1:5" x14ac:dyDescent="0.25">
      <c r="A7271" t="s">
        <v>1465</v>
      </c>
      <c r="B7271" t="s">
        <v>1103</v>
      </c>
      <c r="E7271" t="str">
        <f>IF(OR(E7270="&lt;/routeDistribution&gt;",E7270=""),"",IFERROR(_xlfn.CONCAT(VLOOKUP(W24,Route_Column!#REF!,2,FALSE),CHAR(34)," probability=",CHAR(34),1/W$4,CHAR(34),CHAR(47),CHAR(62)),"&lt;/routeDistribution&gt;"))</f>
        <v/>
      </c>
    </row>
    <row r="7272" spans="1:5" x14ac:dyDescent="0.25">
      <c r="A7272" t="s">
        <v>1465</v>
      </c>
      <c r="B7272" t="s">
        <v>1104</v>
      </c>
      <c r="E7272" t="str">
        <f>IF(OR(E7271="&lt;/routeDistribution&gt;",E7271=""),"",IFERROR(_xlfn.CONCAT(VLOOKUP(W25,Route_Column!#REF!,2,FALSE),CHAR(34)," probability=",CHAR(34),1/W$4,CHAR(34),CHAR(47),CHAR(62)),"&lt;/routeDistribution&gt;"))</f>
        <v/>
      </c>
    </row>
    <row r="7273" spans="1:5" x14ac:dyDescent="0.25">
      <c r="A7273" t="s">
        <v>1465</v>
      </c>
      <c r="B7273" t="s">
        <v>1105</v>
      </c>
      <c r="E7273" t="str">
        <f>IF(OR(E7272="&lt;/routeDistribution&gt;",E7272=""),"",IFERROR(_xlfn.CONCAT(VLOOKUP(W26,Route_Column!#REF!,2,FALSE),CHAR(34)," probability=",CHAR(34),1/W$4,CHAR(34),CHAR(47),CHAR(62)),"&lt;/routeDistribution&gt;"))</f>
        <v/>
      </c>
    </row>
    <row r="7274" spans="1:5" x14ac:dyDescent="0.25">
      <c r="A7274" t="s">
        <v>1465</v>
      </c>
      <c r="B7274" t="s">
        <v>1106</v>
      </c>
      <c r="E7274" t="str">
        <f>IF(OR(E7273="&lt;/routeDistribution&gt;",E7273=""),"",IFERROR(_xlfn.CONCAT(VLOOKUP(W27,Route_Column!#REF!,2,FALSE),CHAR(34)," probability=",CHAR(34),1/W$4,CHAR(34),CHAR(47),CHAR(62)),"&lt;/routeDistribution&gt;"))</f>
        <v/>
      </c>
    </row>
    <row r="7275" spans="1:5" x14ac:dyDescent="0.25">
      <c r="A7275" t="s">
        <v>1465</v>
      </c>
      <c r="B7275" t="s">
        <v>1107</v>
      </c>
      <c r="E7275" t="str">
        <f>IF(OR(E7274="&lt;/routeDistribution&gt;",E7274=""),"",IFERROR(_xlfn.CONCAT(VLOOKUP(W28,Route_Column!#REF!,2,FALSE),CHAR(34)," probability=",CHAR(34),1/W$4,CHAR(34),CHAR(47),CHAR(62)),"&lt;/routeDistribution&gt;"))</f>
        <v/>
      </c>
    </row>
    <row r="7276" spans="1:5" x14ac:dyDescent="0.25">
      <c r="A7276" t="s">
        <v>1465</v>
      </c>
      <c r="B7276" t="s">
        <v>1108</v>
      </c>
      <c r="E7276" t="str">
        <f>IF(OR(E7275="&lt;/routeDistribution&gt;",E7275=""),"",IFERROR(_xlfn.CONCAT(VLOOKUP(W29,Route_Column!#REF!,2,FALSE),CHAR(34)," probability=",CHAR(34),1/W$4,CHAR(34),CHAR(47),CHAR(62)),"&lt;/routeDistribution&gt;"))</f>
        <v/>
      </c>
    </row>
    <row r="7277" spans="1:5" x14ac:dyDescent="0.25">
      <c r="A7277" s="11" t="s">
        <v>1466</v>
      </c>
      <c r="B7277" t="s">
        <v>1091</v>
      </c>
      <c r="E7277" t="str">
        <f>IF(OR(E7276="&lt;/routeDistribution&gt;",E7276=""),"",IFERROR(_xlfn.CONCAT(VLOOKUP(W30,Route_Column!#REF!,2,FALSE),CHAR(34)," probability=",CHAR(34),1/W$4,CHAR(34),CHAR(47),CHAR(62)),"&lt;/routeDistribution&gt;"))</f>
        <v/>
      </c>
    </row>
    <row r="7278" spans="1:5" x14ac:dyDescent="0.25">
      <c r="A7278" t="s">
        <v>1466</v>
      </c>
      <c r="B7278" t="s">
        <v>1092</v>
      </c>
      <c r="E7278" t="str">
        <f>IF(OR(E7277="&lt;/routeDistribution&gt;",E7277=""),"",IFERROR(_xlfn.CONCAT(VLOOKUP(W31,Route_Column!#REF!,2,FALSE),CHAR(34)," probability=",CHAR(34),1/W$4,CHAR(34),CHAR(47),CHAR(62)),"&lt;/routeDistribution&gt;"))</f>
        <v/>
      </c>
    </row>
    <row r="7279" spans="1:5" x14ac:dyDescent="0.25">
      <c r="A7279" t="s">
        <v>1466</v>
      </c>
      <c r="B7279" t="s">
        <v>1093</v>
      </c>
      <c r="E7279" t="str">
        <f>IF(OR(E7278="&lt;/routeDistribution&gt;",E7278=""),"",IFERROR(_xlfn.CONCAT(VLOOKUP(W32,Route_Column!#REF!,2,FALSE),CHAR(34)," probability=",CHAR(34),1/W$4,CHAR(34),CHAR(47),CHAR(62)),"&lt;/routeDistribution&gt;"))</f>
        <v/>
      </c>
    </row>
    <row r="7280" spans="1:5" x14ac:dyDescent="0.25">
      <c r="A7280" t="s">
        <v>1466</v>
      </c>
      <c r="B7280" t="s">
        <v>1094</v>
      </c>
      <c r="E7280" t="str">
        <f>IF(OR(E7279="&lt;/routeDistribution&gt;",E7279=""),"",IFERROR(_xlfn.CONCAT(VLOOKUP(W33,Route_Column!#REF!,2,FALSE),CHAR(34)," probability=",CHAR(34),1/W$4,CHAR(34),CHAR(47),CHAR(62)),"&lt;/routeDistribution&gt;"))</f>
        <v/>
      </c>
    </row>
    <row r="7281" spans="1:5" x14ac:dyDescent="0.25">
      <c r="A7281" t="s">
        <v>1466</v>
      </c>
      <c r="B7281" t="s">
        <v>1095</v>
      </c>
      <c r="E7281" t="str">
        <f>IF(OR(E7280="&lt;/routeDistribution&gt;",E7280=""),"",IFERROR(_xlfn.CONCAT(VLOOKUP(W34,Route_Column!#REF!,2,FALSE),CHAR(34)," probability=",CHAR(34),1/W$4,CHAR(34),CHAR(47),CHAR(62)),"&lt;/routeDistribution&gt;"))</f>
        <v/>
      </c>
    </row>
    <row r="7282" spans="1:5" x14ac:dyDescent="0.25">
      <c r="A7282" t="s">
        <v>1466</v>
      </c>
      <c r="B7282" t="s">
        <v>1096</v>
      </c>
      <c r="E7282" t="str">
        <f>IF(OR(E7281="&lt;/routeDistribution&gt;",E7281=""),"",IFERROR(_xlfn.CONCAT(VLOOKUP(W35,Route_Column!#REF!,2,FALSE),CHAR(34)," probability=",CHAR(34),1/W$4,CHAR(34),CHAR(47),CHAR(62)),"&lt;/routeDistribution&gt;"))</f>
        <v/>
      </c>
    </row>
    <row r="7283" spans="1:5" x14ac:dyDescent="0.25">
      <c r="A7283" t="s">
        <v>1466</v>
      </c>
      <c r="B7283" t="s">
        <v>1097</v>
      </c>
      <c r="E7283" t="str">
        <f>IF(OR(E7282="&lt;/routeDistribution&gt;",E7282=""),"",IFERROR(_xlfn.CONCAT(VLOOKUP(W36,Route_Column!#REF!,2,FALSE),CHAR(34)," probability=",CHAR(34),1/W$4,CHAR(34),CHAR(47),CHAR(62)),"&lt;/routeDistribution&gt;"))</f>
        <v/>
      </c>
    </row>
    <row r="7284" spans="1:5" x14ac:dyDescent="0.25">
      <c r="A7284" t="s">
        <v>1466</v>
      </c>
      <c r="B7284" t="s">
        <v>1098</v>
      </c>
      <c r="E7284" t="str">
        <f>IF(OR(E7283="&lt;/routeDistribution&gt;",E7283=""),"",IFERROR(_xlfn.CONCAT(VLOOKUP(W37,Route_Column!#REF!,2,FALSE),CHAR(34)," probability=",CHAR(34),1/W$4,CHAR(34),CHAR(47),CHAR(62)),"&lt;/routeDistribution&gt;"))</f>
        <v/>
      </c>
    </row>
    <row r="7285" spans="1:5" x14ac:dyDescent="0.25">
      <c r="A7285" t="s">
        <v>1466</v>
      </c>
      <c r="B7285" t="s">
        <v>1099</v>
      </c>
      <c r="E7285" t="str">
        <f>IF(OR(E7284="&lt;/routeDistribution&gt;",E7284=""),"",IFERROR(_xlfn.CONCAT(VLOOKUP(W38,Route_Column!#REF!,2,FALSE),CHAR(34)," probability=",CHAR(34),1/W$4,CHAR(34),CHAR(47),CHAR(62)),"&lt;/routeDistribution&gt;"))</f>
        <v/>
      </c>
    </row>
    <row r="7286" spans="1:5" x14ac:dyDescent="0.25">
      <c r="A7286" t="s">
        <v>1466</v>
      </c>
      <c r="B7286" t="s">
        <v>1100</v>
      </c>
      <c r="E7286" t="str">
        <f>IF(OR(E7285="&lt;/routeDistribution&gt;",E7285=""),"",IFERROR(_xlfn.CONCAT(VLOOKUP(W39,Route_Column!#REF!,2,FALSE),CHAR(34)," probability=",CHAR(34),1/W$4,CHAR(34),CHAR(47),CHAR(62)),"&lt;/routeDistribution&gt;"))</f>
        <v/>
      </c>
    </row>
    <row r="7287" spans="1:5" x14ac:dyDescent="0.25">
      <c r="A7287" t="s">
        <v>1466</v>
      </c>
      <c r="B7287" t="s">
        <v>1101</v>
      </c>
      <c r="E7287" t="str">
        <f>IF(OR(E7286="&lt;/routeDistribution&gt;",E7286=""),"",IFERROR(_xlfn.CONCAT(VLOOKUP(W40,Route_Column!#REF!,2,FALSE),CHAR(34)," probability=",CHAR(34),1/W$4,CHAR(34),CHAR(47),CHAR(62)),"&lt;/routeDistribution&gt;"))</f>
        <v/>
      </c>
    </row>
    <row r="7288" spans="1:5" x14ac:dyDescent="0.25">
      <c r="A7288" t="s">
        <v>1466</v>
      </c>
      <c r="B7288" t="s">
        <v>1102</v>
      </c>
      <c r="E7288" t="str">
        <f>IF(OR(E7287="&lt;/routeDistribution&gt;",E7287=""),"",IFERROR(_xlfn.CONCAT(VLOOKUP(W41,Route_Column!#REF!,2,FALSE),CHAR(34)," probability=",CHAR(34),1/W$4,CHAR(34),CHAR(47),CHAR(62)),"&lt;/routeDistribution&gt;"))</f>
        <v/>
      </c>
    </row>
    <row r="7289" spans="1:5" x14ac:dyDescent="0.25">
      <c r="A7289" t="s">
        <v>1466</v>
      </c>
      <c r="B7289" t="s">
        <v>1103</v>
      </c>
      <c r="E7289" t="str">
        <f>IF(OR(E7288="&lt;/routeDistribution&gt;",E7288=""),"",IFERROR(_xlfn.CONCAT(VLOOKUP(W42,Route_Column!#REF!,2,FALSE),CHAR(34)," probability=",CHAR(34),1/W$4,CHAR(34),CHAR(47),CHAR(62)),"&lt;/routeDistribution&gt;"))</f>
        <v/>
      </c>
    </row>
    <row r="7290" spans="1:5" x14ac:dyDescent="0.25">
      <c r="A7290" t="s">
        <v>1466</v>
      </c>
      <c r="B7290" t="s">
        <v>1104</v>
      </c>
      <c r="E7290" t="str">
        <f>IF(OR(E7289="&lt;/routeDistribution&gt;",E7289=""),"",IFERROR(_xlfn.CONCAT(VLOOKUP(W43,Route_Column!#REF!,2,FALSE),CHAR(34)," probability=",CHAR(34),1/W$4,CHAR(34),CHAR(47),CHAR(62)),"&lt;/routeDistribution&gt;"))</f>
        <v/>
      </c>
    </row>
    <row r="7291" spans="1:5" x14ac:dyDescent="0.25">
      <c r="A7291" t="s">
        <v>1466</v>
      </c>
      <c r="B7291" t="s">
        <v>1105</v>
      </c>
      <c r="E7291" t="str">
        <f>IF(OR(E7290="&lt;/routeDistribution&gt;",E7290=""),"",IFERROR(_xlfn.CONCAT(VLOOKUP(W44,Route_Column!#REF!,2,FALSE),CHAR(34)," probability=",CHAR(34),1/W$4,CHAR(34),CHAR(47),CHAR(62)),"&lt;/routeDistribution&gt;"))</f>
        <v/>
      </c>
    </row>
    <row r="7292" spans="1:5" x14ac:dyDescent="0.25">
      <c r="A7292" t="s">
        <v>1466</v>
      </c>
      <c r="B7292" t="s">
        <v>1106</v>
      </c>
      <c r="E7292" t="str">
        <f>IF(OR(E7291="&lt;/routeDistribution&gt;",E7291=""),"",IFERROR(_xlfn.CONCAT(VLOOKUP(W45,Route_Column!#REF!,2,FALSE),CHAR(34)," probability=",CHAR(34),1/W$4,CHAR(34),CHAR(47),CHAR(62)),"&lt;/routeDistribution&gt;"))</f>
        <v/>
      </c>
    </row>
    <row r="7293" spans="1:5" x14ac:dyDescent="0.25">
      <c r="A7293" t="s">
        <v>1466</v>
      </c>
      <c r="B7293" t="s">
        <v>1107</v>
      </c>
      <c r="E7293" t="str">
        <f>IF(OR(E7292="&lt;/routeDistribution&gt;",E7292=""),"",IFERROR(_xlfn.CONCAT(VLOOKUP(W46,Route_Column!#REF!,2,FALSE),CHAR(34)," probability=",CHAR(34),1/W$4,CHAR(34),CHAR(47),CHAR(62)),"&lt;/routeDistribution&gt;"))</f>
        <v/>
      </c>
    </row>
    <row r="7294" spans="1:5" x14ac:dyDescent="0.25">
      <c r="A7294" t="s">
        <v>1466</v>
      </c>
      <c r="B7294" t="s">
        <v>1108</v>
      </c>
      <c r="E7294" t="str">
        <f>IF(OR(E7293="&lt;/routeDistribution&gt;",E7293=""),"",IFERROR(_xlfn.CONCAT(VLOOKUP(W47,Route_Column!#REF!,2,FALSE),CHAR(34)," probability=",CHAR(34),1/W$4,CHAR(34),CHAR(47),CHAR(62)),"&lt;/routeDistribution&gt;"))</f>
        <v/>
      </c>
    </row>
    <row r="7295" spans="1:5" x14ac:dyDescent="0.25">
      <c r="A7295" t="s">
        <v>1594</v>
      </c>
      <c r="B7295" t="s">
        <v>1096</v>
      </c>
      <c r="E7295" t="str">
        <f>IF(OR(E7294="&lt;/routeDistribution&gt;",E7294=""),"",IFERROR(_xlfn.CONCAT(VLOOKUP(W48,Route_Column!#REF!,2,FALSE),CHAR(34)," probability=",CHAR(34),1/W$4,CHAR(34),CHAR(47),CHAR(62)),"&lt;/routeDistribution&gt;"))</f>
        <v/>
      </c>
    </row>
    <row r="7296" spans="1:5" x14ac:dyDescent="0.25">
      <c r="A7296" t="s">
        <v>1594</v>
      </c>
      <c r="B7296" t="s">
        <v>1161</v>
      </c>
      <c r="E7296" t="str">
        <f>IF(OR(E7295="&lt;/routeDistribution&gt;",E7295=""),"",IFERROR(_xlfn.CONCAT(VLOOKUP(W49,Route_Column!#REF!,2,FALSE),CHAR(34)," probability=",CHAR(34),1/W$4,CHAR(34),CHAR(47),CHAR(62)),"&lt;/routeDistribution&gt;"))</f>
        <v/>
      </c>
    </row>
    <row r="7297" spans="1:5" x14ac:dyDescent="0.25">
      <c r="A7297" t="s">
        <v>1594</v>
      </c>
      <c r="B7297" t="s">
        <v>1162</v>
      </c>
      <c r="E7297" t="str">
        <f>IF(OR(E7296="&lt;/routeDistribution&gt;",E7296=""),"",IFERROR(_xlfn.CONCAT(VLOOKUP(W50,Route_Column!#REF!,2,FALSE),CHAR(34)," probability=",CHAR(34),1/W$4,CHAR(34),CHAR(47),CHAR(62)),"&lt;/routeDistribution&gt;"))</f>
        <v/>
      </c>
    </row>
    <row r="7298" spans="1:5" x14ac:dyDescent="0.25">
      <c r="A7298" t="s">
        <v>1594</v>
      </c>
      <c r="B7298" t="s">
        <v>1163</v>
      </c>
      <c r="E7298" t="str">
        <f>IF(OR(E7297="&lt;/routeDistribution&gt;",E7297=""),"",IFERROR(_xlfn.CONCAT(VLOOKUP(W51,Route_Column!#REF!,2,FALSE),CHAR(34)," probability=",CHAR(34),1/W$4,CHAR(34),CHAR(47),CHAR(62)),"&lt;/routeDistribution&gt;"))</f>
        <v/>
      </c>
    </row>
    <row r="7299" spans="1:5" x14ac:dyDescent="0.25">
      <c r="A7299" t="s">
        <v>1594</v>
      </c>
      <c r="B7299" t="s">
        <v>1171</v>
      </c>
      <c r="E7299" t="str">
        <f>IF(OR(E7298="&lt;/routeDistribution&gt;",E7298=""),"",IFERROR(_xlfn.CONCAT(VLOOKUP(W52,Route_Column!#REF!,2,FALSE),CHAR(34)," probability=",CHAR(34),1/W$4,CHAR(34),CHAR(47),CHAR(62)),"&lt;/routeDistribution&gt;"))</f>
        <v/>
      </c>
    </row>
    <row r="7300" spans="1:5" x14ac:dyDescent="0.25">
      <c r="A7300" t="s">
        <v>1594</v>
      </c>
      <c r="B7300" t="s">
        <v>1182</v>
      </c>
      <c r="E7300" t="str">
        <f>IF(OR(E7299="&lt;/routeDistribution&gt;",E7299=""),"",IFERROR(_xlfn.CONCAT(VLOOKUP(W53,Route_Column!#REF!,2,FALSE),CHAR(34)," probability=",CHAR(34),1/W$4,CHAR(34),CHAR(47),CHAR(62)),"&lt;/routeDistribution&gt;"))</f>
        <v/>
      </c>
    </row>
    <row r="7301" spans="1:5" x14ac:dyDescent="0.25">
      <c r="A7301" s="11" t="s">
        <v>1472</v>
      </c>
      <c r="B7301" t="s">
        <v>1091</v>
      </c>
      <c r="E7301" t="str">
        <f>IF(OR(E7300="&lt;/routeDistribution&gt;",E7300=""),"",IFERROR(_xlfn.CONCAT(VLOOKUP(W54,Route_Column!#REF!,2,FALSE),CHAR(34)," probability=",CHAR(34),1/W$4,CHAR(34),CHAR(47),CHAR(62)),"&lt;/routeDistribution&gt;"))</f>
        <v/>
      </c>
    </row>
    <row r="7302" spans="1:5" x14ac:dyDescent="0.25">
      <c r="A7302" t="s">
        <v>1472</v>
      </c>
      <c r="B7302" t="s">
        <v>1092</v>
      </c>
      <c r="E7302" t="str">
        <f>IF(OR(E7301="&lt;/routeDistribution&gt;",E7301=""),"",IFERROR(_xlfn.CONCAT(VLOOKUP(W55,Route_Column!#REF!,2,FALSE),CHAR(34)," probability=",CHAR(34),1/W$4,CHAR(34),CHAR(47),CHAR(62)),"&lt;/routeDistribution&gt;"))</f>
        <v/>
      </c>
    </row>
    <row r="7303" spans="1:5" x14ac:dyDescent="0.25">
      <c r="A7303" t="s">
        <v>1472</v>
      </c>
      <c r="B7303" t="s">
        <v>1093</v>
      </c>
      <c r="E7303" t="str">
        <f>IF(OR(E7302="&lt;/routeDistribution&gt;",E7302=""),"",IFERROR(_xlfn.CONCAT(VLOOKUP(W56,Route_Column!#REF!,2,FALSE),CHAR(34)," probability=",CHAR(34),1/W$4,CHAR(34),CHAR(47),CHAR(62)),"&lt;/routeDistribution&gt;"))</f>
        <v/>
      </c>
    </row>
    <row r="7304" spans="1:5" x14ac:dyDescent="0.25">
      <c r="A7304" t="s">
        <v>1472</v>
      </c>
      <c r="B7304" t="s">
        <v>1094</v>
      </c>
      <c r="E7304" t="str">
        <f>IF(OR(E7303="&lt;/routeDistribution&gt;",E7303=""),"",IFERROR(_xlfn.CONCAT(VLOOKUP(W57,Route_Column!#REF!,2,FALSE),CHAR(34)," probability=",CHAR(34),1/W$4,CHAR(34),CHAR(47),CHAR(62)),"&lt;/routeDistribution&gt;"))</f>
        <v/>
      </c>
    </row>
    <row r="7305" spans="1:5" x14ac:dyDescent="0.25">
      <c r="A7305" t="s">
        <v>1472</v>
      </c>
      <c r="B7305" t="s">
        <v>1095</v>
      </c>
      <c r="E7305" t="str">
        <f>IF(OR(E7304="&lt;/routeDistribution&gt;",E7304=""),"",IFERROR(_xlfn.CONCAT(VLOOKUP(W58,Route_Column!#REF!,2,FALSE),CHAR(34)," probability=",CHAR(34),1/W$4,CHAR(34),CHAR(47),CHAR(62)),"&lt;/routeDistribution&gt;"))</f>
        <v/>
      </c>
    </row>
    <row r="7306" spans="1:5" x14ac:dyDescent="0.25">
      <c r="A7306" t="s">
        <v>1472</v>
      </c>
      <c r="B7306" t="s">
        <v>1096</v>
      </c>
      <c r="E7306" t="str">
        <f>IF(OR(E7305="&lt;/routeDistribution&gt;",E7305=""),"",IFERROR(_xlfn.CONCAT(VLOOKUP(W59,Route_Column!#REF!,2,FALSE),CHAR(34)," probability=",CHAR(34),1/W$4,CHAR(34),CHAR(47),CHAR(62)),"&lt;/routeDistribution&gt;"))</f>
        <v/>
      </c>
    </row>
    <row r="7307" spans="1:5" x14ac:dyDescent="0.25">
      <c r="A7307" t="s">
        <v>1472</v>
      </c>
      <c r="B7307" t="s">
        <v>1097</v>
      </c>
      <c r="E7307" t="str">
        <f>IF(OR(E7306="&lt;/routeDistribution&gt;",E7306=""),"",IFERROR(_xlfn.CONCAT(VLOOKUP(W60,Route_Column!#REF!,2,FALSE),CHAR(34)," probability=",CHAR(34),1/W$4,CHAR(34),CHAR(47),CHAR(62)),"&lt;/routeDistribution&gt;"))</f>
        <v/>
      </c>
    </row>
    <row r="7308" spans="1:5" x14ac:dyDescent="0.25">
      <c r="A7308" t="s">
        <v>1472</v>
      </c>
      <c r="B7308" t="s">
        <v>1098</v>
      </c>
      <c r="E7308" t="str">
        <f>IF(OR(E7307="&lt;/routeDistribution&gt;",E7307=""),"",IFERROR(_xlfn.CONCAT(VLOOKUP(W61,Route_Column!#REF!,2,FALSE),CHAR(34)," probability=",CHAR(34),1/W$4,CHAR(34),CHAR(47),CHAR(62)),"&lt;/routeDistribution&gt;"))</f>
        <v/>
      </c>
    </row>
    <row r="7309" spans="1:5" x14ac:dyDescent="0.25">
      <c r="A7309" t="s">
        <v>1472</v>
      </c>
      <c r="B7309" t="s">
        <v>1099</v>
      </c>
      <c r="E7309" t="str">
        <f>IF(OR(E7308="&lt;/routeDistribution&gt;",E7308=""),"",IFERROR(_xlfn.CONCAT(VLOOKUP(W62,Route_Column!#REF!,2,FALSE),CHAR(34)," probability=",CHAR(34),1/W$4,CHAR(34),CHAR(47),CHAR(62)),"&lt;/routeDistribution&gt;"))</f>
        <v/>
      </c>
    </row>
    <row r="7310" spans="1:5" x14ac:dyDescent="0.25">
      <c r="A7310" t="s">
        <v>1472</v>
      </c>
      <c r="B7310" t="s">
        <v>1100</v>
      </c>
      <c r="E7310" t="str">
        <f>IF(OR(E7309="&lt;/routeDistribution&gt;",E7309=""),"",IFERROR(_xlfn.CONCAT(VLOOKUP(W63,Route_Column!#REF!,2,FALSE),CHAR(34)," probability=",CHAR(34),1/W$4,CHAR(34),CHAR(47),CHAR(62)),"&lt;/routeDistribution&gt;"))</f>
        <v/>
      </c>
    </row>
    <row r="7311" spans="1:5" x14ac:dyDescent="0.25">
      <c r="A7311" t="s">
        <v>1472</v>
      </c>
      <c r="B7311" t="s">
        <v>1101</v>
      </c>
      <c r="E7311" t="s">
        <v>2686</v>
      </c>
    </row>
    <row r="7312" spans="1:5" x14ac:dyDescent="0.25">
      <c r="A7312" t="s">
        <v>1472</v>
      </c>
      <c r="B7312" t="s">
        <v>1102</v>
      </c>
    </row>
    <row r="7313" spans="1:5" x14ac:dyDescent="0.25">
      <c r="A7313" t="s">
        <v>1472</v>
      </c>
      <c r="B7313" t="s">
        <v>1103</v>
      </c>
    </row>
    <row r="7314" spans="1:5" x14ac:dyDescent="0.25">
      <c r="A7314" t="s">
        <v>1472</v>
      </c>
      <c r="B7314" t="s">
        <v>1104</v>
      </c>
      <c r="E7314" t="str">
        <f>_xlfn.CONCAT($E$1,V$2,$F$1)</f>
        <v>&lt;routeDistribution id="BFPW-otr-lane-22nd-Oval-NB-2015-RouteProbe"&gt;</v>
      </c>
    </row>
    <row r="7315" spans="1:5" x14ac:dyDescent="0.25">
      <c r="A7315" t="s">
        <v>1472</v>
      </c>
      <c r="B7315" t="s">
        <v>1105</v>
      </c>
      <c r="E7315" t="str">
        <f>IF(OR(E7314="&lt;/routeDistribution&gt;",E7314=""),"",IFERROR(_xlfn.CONCAT(VLOOKUP(V5,Route_Column!#REF!,2,FALSE),CHAR(34)," probability=",CHAR(34),1/V$4,CHAR(34),CHAR(47),CHAR(62)),"&lt;/routeDistribution&gt;"))</f>
        <v>&lt;/routeDistribution&gt;</v>
      </c>
    </row>
    <row r="7316" spans="1:5" x14ac:dyDescent="0.25">
      <c r="A7316" t="s">
        <v>1472</v>
      </c>
      <c r="B7316" t="s">
        <v>1106</v>
      </c>
      <c r="E7316" t="str">
        <f>IF(OR(E7315="&lt;/routeDistribution&gt;",E7315=""),"",IFERROR(_xlfn.CONCAT(VLOOKUP(V6,Route_Column!#REF!,2,FALSE),CHAR(34)," probability=",CHAR(34),1/V$4,CHAR(34),CHAR(47),CHAR(62)),"&lt;/routeDistribution&gt;"))</f>
        <v/>
      </c>
    </row>
    <row r="7317" spans="1:5" x14ac:dyDescent="0.25">
      <c r="A7317" t="s">
        <v>1472</v>
      </c>
      <c r="B7317" t="s">
        <v>1107</v>
      </c>
      <c r="E7317" t="str">
        <f>IF(OR(E7316="&lt;/routeDistribution&gt;",E7316=""),"",IFERROR(_xlfn.CONCAT(VLOOKUP(V7,Route_Column!#REF!,2,FALSE),CHAR(34)," probability=",CHAR(34),1/V$4,CHAR(34),CHAR(47),CHAR(62)),"&lt;/routeDistribution&gt;"))</f>
        <v/>
      </c>
    </row>
    <row r="7318" spans="1:5" x14ac:dyDescent="0.25">
      <c r="A7318" s="11" t="s">
        <v>1473</v>
      </c>
      <c r="B7318" t="s">
        <v>1091</v>
      </c>
      <c r="E7318" t="str">
        <f>IF(OR(E7317="&lt;/routeDistribution&gt;",E7317=""),"",IFERROR(_xlfn.CONCAT(VLOOKUP(V8,Route_Column!#REF!,2,FALSE),CHAR(34)," probability=",CHAR(34),1/V$4,CHAR(34),CHAR(47),CHAR(62)),"&lt;/routeDistribution&gt;"))</f>
        <v/>
      </c>
    </row>
    <row r="7319" spans="1:5" x14ac:dyDescent="0.25">
      <c r="A7319" t="s">
        <v>1473</v>
      </c>
      <c r="B7319" t="s">
        <v>1092</v>
      </c>
      <c r="E7319" t="str">
        <f>IF(OR(E7318="&lt;/routeDistribution&gt;",E7318=""),"",IFERROR(_xlfn.CONCAT(VLOOKUP(V9,Route_Column!#REF!,2,FALSE),CHAR(34)," probability=",CHAR(34),1/V$4,CHAR(34),CHAR(47),CHAR(62)),"&lt;/routeDistribution&gt;"))</f>
        <v/>
      </c>
    </row>
    <row r="7320" spans="1:5" x14ac:dyDescent="0.25">
      <c r="A7320" t="s">
        <v>1473</v>
      </c>
      <c r="B7320" t="s">
        <v>1093</v>
      </c>
      <c r="E7320" t="str">
        <f>IF(OR(E7319="&lt;/routeDistribution&gt;",E7319=""),"",IFERROR(_xlfn.CONCAT(VLOOKUP(V10,Route_Column!#REF!,2,FALSE),CHAR(34)," probability=",CHAR(34),1/V$4,CHAR(34),CHAR(47),CHAR(62)),"&lt;/routeDistribution&gt;"))</f>
        <v/>
      </c>
    </row>
    <row r="7321" spans="1:5" x14ac:dyDescent="0.25">
      <c r="A7321" t="s">
        <v>1473</v>
      </c>
      <c r="B7321" t="s">
        <v>1094</v>
      </c>
      <c r="E7321" t="str">
        <f>IF(OR(E7320="&lt;/routeDistribution&gt;",E7320=""),"",IFERROR(_xlfn.CONCAT(VLOOKUP(V11,Route_Column!#REF!,2,FALSE),CHAR(34)," probability=",CHAR(34),1/V$4,CHAR(34),CHAR(47),CHAR(62)),"&lt;/routeDistribution&gt;"))</f>
        <v/>
      </c>
    </row>
    <row r="7322" spans="1:5" x14ac:dyDescent="0.25">
      <c r="A7322" t="s">
        <v>1473</v>
      </c>
      <c r="B7322" t="s">
        <v>1095</v>
      </c>
      <c r="E7322" t="str">
        <f>IF(OR(E7321="&lt;/routeDistribution&gt;",E7321=""),"",IFERROR(_xlfn.CONCAT(VLOOKUP(V12,Route_Column!#REF!,2,FALSE),CHAR(34)," probability=",CHAR(34),1/V$4,CHAR(34),CHAR(47),CHAR(62)),"&lt;/routeDistribution&gt;"))</f>
        <v/>
      </c>
    </row>
    <row r="7323" spans="1:5" x14ac:dyDescent="0.25">
      <c r="A7323" t="s">
        <v>1473</v>
      </c>
      <c r="B7323" t="s">
        <v>1096</v>
      </c>
      <c r="E7323" t="str">
        <f>IF(OR(E7322="&lt;/routeDistribution&gt;",E7322=""),"",IFERROR(_xlfn.CONCAT(VLOOKUP(V13,Route_Column!#REF!,2,FALSE),CHAR(34)," probability=",CHAR(34),1/V$4,CHAR(34),CHAR(47),CHAR(62)),"&lt;/routeDistribution&gt;"))</f>
        <v/>
      </c>
    </row>
    <row r="7324" spans="1:5" x14ac:dyDescent="0.25">
      <c r="A7324" t="s">
        <v>1473</v>
      </c>
      <c r="B7324" t="s">
        <v>1097</v>
      </c>
      <c r="E7324" t="str">
        <f>IF(OR(E7323="&lt;/routeDistribution&gt;",E7323=""),"",IFERROR(_xlfn.CONCAT(VLOOKUP(V14,Route_Column!#REF!,2,FALSE),CHAR(34)," probability=",CHAR(34),1/V$4,CHAR(34),CHAR(47),CHAR(62)),"&lt;/routeDistribution&gt;"))</f>
        <v/>
      </c>
    </row>
    <row r="7325" spans="1:5" x14ac:dyDescent="0.25">
      <c r="A7325" t="s">
        <v>1473</v>
      </c>
      <c r="B7325" t="s">
        <v>1098</v>
      </c>
      <c r="E7325" t="str">
        <f>IF(OR(E7324="&lt;/routeDistribution&gt;",E7324=""),"",IFERROR(_xlfn.CONCAT(VLOOKUP(V15,Route_Column!#REF!,2,FALSE),CHAR(34)," probability=",CHAR(34),1/V$4,CHAR(34),CHAR(47),CHAR(62)),"&lt;/routeDistribution&gt;"))</f>
        <v/>
      </c>
    </row>
    <row r="7326" spans="1:5" x14ac:dyDescent="0.25">
      <c r="A7326" t="s">
        <v>1473</v>
      </c>
      <c r="B7326" t="s">
        <v>1099</v>
      </c>
      <c r="E7326" t="str">
        <f>IF(OR(E7325="&lt;/routeDistribution&gt;",E7325=""),"",IFERROR(_xlfn.CONCAT(VLOOKUP(V16,Route_Column!#REF!,2,FALSE),CHAR(34)," probability=",CHAR(34),1/V$4,CHAR(34),CHAR(47),CHAR(62)),"&lt;/routeDistribution&gt;"))</f>
        <v/>
      </c>
    </row>
    <row r="7327" spans="1:5" x14ac:dyDescent="0.25">
      <c r="A7327" t="s">
        <v>1473</v>
      </c>
      <c r="B7327" t="s">
        <v>1100</v>
      </c>
      <c r="E7327" t="str">
        <f>IF(OR(E7326="&lt;/routeDistribution&gt;",E7326=""),"",IFERROR(_xlfn.CONCAT(VLOOKUP(V17,Route_Column!#REF!,2,FALSE),CHAR(34)," probability=",CHAR(34),1/V$4,CHAR(34),CHAR(47),CHAR(62)),"&lt;/routeDistribution&gt;"))</f>
        <v/>
      </c>
    </row>
    <row r="7328" spans="1:5" x14ac:dyDescent="0.25">
      <c r="A7328" t="s">
        <v>1473</v>
      </c>
      <c r="B7328" t="s">
        <v>1101</v>
      </c>
      <c r="E7328" t="str">
        <f>IF(OR(E7327="&lt;/routeDistribution&gt;",E7327=""),"",IFERROR(_xlfn.CONCAT(VLOOKUP(V18,Route_Column!#REF!,2,FALSE),CHAR(34)," probability=",CHAR(34),1/V$4,CHAR(34),CHAR(47),CHAR(62)),"&lt;/routeDistribution&gt;"))</f>
        <v/>
      </c>
    </row>
    <row r="7329" spans="1:5" x14ac:dyDescent="0.25">
      <c r="A7329" t="s">
        <v>1473</v>
      </c>
      <c r="B7329" t="s">
        <v>1102</v>
      </c>
      <c r="E7329" t="str">
        <f>IF(OR(E7328="&lt;/routeDistribution&gt;",E7328=""),"",IFERROR(_xlfn.CONCAT(VLOOKUP(V19,Route_Column!#REF!,2,FALSE),CHAR(34)," probability=",CHAR(34),1/V$4,CHAR(34),CHAR(47),CHAR(62)),"&lt;/routeDistribution&gt;"))</f>
        <v/>
      </c>
    </row>
    <row r="7330" spans="1:5" x14ac:dyDescent="0.25">
      <c r="A7330" t="s">
        <v>1473</v>
      </c>
      <c r="B7330" t="s">
        <v>1103</v>
      </c>
      <c r="E7330" t="str">
        <f>IF(OR(E7329="&lt;/routeDistribution&gt;",E7329=""),"",IFERROR(_xlfn.CONCAT(VLOOKUP(V20,Route_Column!#REF!,2,FALSE),CHAR(34)," probability=",CHAR(34),1/V$4,CHAR(34),CHAR(47),CHAR(62)),"&lt;/routeDistribution&gt;"))</f>
        <v/>
      </c>
    </row>
    <row r="7331" spans="1:5" x14ac:dyDescent="0.25">
      <c r="A7331" t="s">
        <v>1473</v>
      </c>
      <c r="B7331" t="s">
        <v>1104</v>
      </c>
      <c r="E7331" t="str">
        <f>IF(OR(E7330="&lt;/routeDistribution&gt;",E7330=""),"",IFERROR(_xlfn.CONCAT(VLOOKUP(V21,Route_Column!#REF!,2,FALSE),CHAR(34)," probability=",CHAR(34),1/V$4,CHAR(34),CHAR(47),CHAR(62)),"&lt;/routeDistribution&gt;"))</f>
        <v/>
      </c>
    </row>
    <row r="7332" spans="1:5" x14ac:dyDescent="0.25">
      <c r="A7332" t="s">
        <v>1473</v>
      </c>
      <c r="B7332" t="s">
        <v>1105</v>
      </c>
      <c r="E7332" t="str">
        <f>IF(OR(E7331="&lt;/routeDistribution&gt;",E7331=""),"",IFERROR(_xlfn.CONCAT(VLOOKUP(V22,Route_Column!#REF!,2,FALSE),CHAR(34)," probability=",CHAR(34),1/V$4,CHAR(34),CHAR(47),CHAR(62)),"&lt;/routeDistribution&gt;"))</f>
        <v/>
      </c>
    </row>
    <row r="7333" spans="1:5" x14ac:dyDescent="0.25">
      <c r="A7333" t="s">
        <v>1473</v>
      </c>
      <c r="B7333" t="s">
        <v>1106</v>
      </c>
      <c r="E7333" t="str">
        <f>IF(OR(E7332="&lt;/routeDistribution&gt;",E7332=""),"",IFERROR(_xlfn.CONCAT(VLOOKUP(V23,Route_Column!#REF!,2,FALSE),CHAR(34)," probability=",CHAR(34),1/V$4,CHAR(34),CHAR(47),CHAR(62)),"&lt;/routeDistribution&gt;"))</f>
        <v/>
      </c>
    </row>
    <row r="7334" spans="1:5" x14ac:dyDescent="0.25">
      <c r="A7334" t="s">
        <v>1473</v>
      </c>
      <c r="B7334" t="s">
        <v>1107</v>
      </c>
      <c r="E7334" t="str">
        <f>IF(OR(E7333="&lt;/routeDistribution&gt;",E7333=""),"",IFERROR(_xlfn.CONCAT(VLOOKUP(V24,Route_Column!#REF!,2,FALSE),CHAR(34)," probability=",CHAR(34),1/V$4,CHAR(34),CHAR(47),CHAR(62)),"&lt;/routeDistribution&gt;"))</f>
        <v/>
      </c>
    </row>
    <row r="7335" spans="1:5" x14ac:dyDescent="0.25">
      <c r="A7335" s="11" t="s">
        <v>1437</v>
      </c>
      <c r="B7335" t="s">
        <v>1090</v>
      </c>
      <c r="E7335" t="str">
        <f>IF(OR(E7334="&lt;/routeDistribution&gt;",E7334=""),"",IFERROR(_xlfn.CONCAT(VLOOKUP(V25,Route_Column!#REF!,2,FALSE),CHAR(34)," probability=",CHAR(34),1/V$4,CHAR(34),CHAR(47),CHAR(62)),"&lt;/routeDistribution&gt;"))</f>
        <v/>
      </c>
    </row>
    <row r="7336" spans="1:5" x14ac:dyDescent="0.25">
      <c r="A7336" s="11" t="s">
        <v>1474</v>
      </c>
      <c r="B7336" t="s">
        <v>1091</v>
      </c>
      <c r="E7336" t="str">
        <f>IF(OR(E7335="&lt;/routeDistribution&gt;",E7335=""),"",IFERROR(_xlfn.CONCAT(VLOOKUP(V26,Route_Column!#REF!,2,FALSE),CHAR(34)," probability=",CHAR(34),1/V$4,CHAR(34),CHAR(47),CHAR(62)),"&lt;/routeDistribution&gt;"))</f>
        <v/>
      </c>
    </row>
    <row r="7337" spans="1:5" x14ac:dyDescent="0.25">
      <c r="A7337" t="s">
        <v>1474</v>
      </c>
      <c r="B7337" t="s">
        <v>1092</v>
      </c>
      <c r="E7337" t="str">
        <f>IF(OR(E7336="&lt;/routeDistribution&gt;",E7336=""),"",IFERROR(_xlfn.CONCAT(VLOOKUP(V27,Route_Column!#REF!,2,FALSE),CHAR(34)," probability=",CHAR(34),1/V$4,CHAR(34),CHAR(47),CHAR(62)),"&lt;/routeDistribution&gt;"))</f>
        <v/>
      </c>
    </row>
    <row r="7338" spans="1:5" x14ac:dyDescent="0.25">
      <c r="A7338" t="s">
        <v>1474</v>
      </c>
      <c r="B7338" t="s">
        <v>1093</v>
      </c>
      <c r="E7338" t="str">
        <f>IF(OR(E7337="&lt;/routeDistribution&gt;",E7337=""),"",IFERROR(_xlfn.CONCAT(VLOOKUP(V28,Route_Column!#REF!,2,FALSE),CHAR(34)," probability=",CHAR(34),1/V$4,CHAR(34),CHAR(47),CHAR(62)),"&lt;/routeDistribution&gt;"))</f>
        <v/>
      </c>
    </row>
    <row r="7339" spans="1:5" x14ac:dyDescent="0.25">
      <c r="A7339" t="s">
        <v>1474</v>
      </c>
      <c r="B7339" t="s">
        <v>1094</v>
      </c>
      <c r="E7339" t="str">
        <f>IF(OR(E7338="&lt;/routeDistribution&gt;",E7338=""),"",IFERROR(_xlfn.CONCAT(VLOOKUP(V29,Route_Column!#REF!,2,FALSE),CHAR(34)," probability=",CHAR(34),1/V$4,CHAR(34),CHAR(47),CHAR(62)),"&lt;/routeDistribution&gt;"))</f>
        <v/>
      </c>
    </row>
    <row r="7340" spans="1:5" x14ac:dyDescent="0.25">
      <c r="A7340" t="s">
        <v>1474</v>
      </c>
      <c r="B7340" t="s">
        <v>1095</v>
      </c>
      <c r="E7340" t="str">
        <f>IF(OR(E7339="&lt;/routeDistribution&gt;",E7339=""),"",IFERROR(_xlfn.CONCAT(VLOOKUP(V30,Route_Column!#REF!,2,FALSE),CHAR(34)," probability=",CHAR(34),1/V$4,CHAR(34),CHAR(47),CHAR(62)),"&lt;/routeDistribution&gt;"))</f>
        <v/>
      </c>
    </row>
    <row r="7341" spans="1:5" x14ac:dyDescent="0.25">
      <c r="A7341" t="s">
        <v>1474</v>
      </c>
      <c r="B7341" t="s">
        <v>1096</v>
      </c>
      <c r="E7341" t="str">
        <f>IF(OR(E7340="&lt;/routeDistribution&gt;",E7340=""),"",IFERROR(_xlfn.CONCAT(VLOOKUP(V31,Route_Column!#REF!,2,FALSE),CHAR(34)," probability=",CHAR(34),1/V$4,CHAR(34),CHAR(47),CHAR(62)),"&lt;/routeDistribution&gt;"))</f>
        <v/>
      </c>
    </row>
    <row r="7342" spans="1:5" x14ac:dyDescent="0.25">
      <c r="A7342" t="s">
        <v>1474</v>
      </c>
      <c r="B7342" t="s">
        <v>1097</v>
      </c>
      <c r="E7342" t="str">
        <f>IF(OR(E7341="&lt;/routeDistribution&gt;",E7341=""),"",IFERROR(_xlfn.CONCAT(VLOOKUP(V32,Route_Column!#REF!,2,FALSE),CHAR(34)," probability=",CHAR(34),1/V$4,CHAR(34),CHAR(47),CHAR(62)),"&lt;/routeDistribution&gt;"))</f>
        <v/>
      </c>
    </row>
    <row r="7343" spans="1:5" x14ac:dyDescent="0.25">
      <c r="A7343" t="s">
        <v>1474</v>
      </c>
      <c r="B7343" t="s">
        <v>1098</v>
      </c>
      <c r="E7343" t="str">
        <f>IF(OR(E7342="&lt;/routeDistribution&gt;",E7342=""),"",IFERROR(_xlfn.CONCAT(VLOOKUP(V33,Route_Column!#REF!,2,FALSE),CHAR(34)," probability=",CHAR(34),1/V$4,CHAR(34),CHAR(47),CHAR(62)),"&lt;/routeDistribution&gt;"))</f>
        <v/>
      </c>
    </row>
    <row r="7344" spans="1:5" x14ac:dyDescent="0.25">
      <c r="A7344" t="s">
        <v>1474</v>
      </c>
      <c r="B7344" t="s">
        <v>1099</v>
      </c>
      <c r="E7344" t="str">
        <f>IF(OR(E7343="&lt;/routeDistribution&gt;",E7343=""),"",IFERROR(_xlfn.CONCAT(VLOOKUP(V34,Route_Column!#REF!,2,FALSE),CHAR(34)," probability=",CHAR(34),1/V$4,CHAR(34),CHAR(47),CHAR(62)),"&lt;/routeDistribution&gt;"))</f>
        <v/>
      </c>
    </row>
    <row r="7345" spans="1:5" x14ac:dyDescent="0.25">
      <c r="A7345" t="s">
        <v>1474</v>
      </c>
      <c r="B7345" t="s">
        <v>1100</v>
      </c>
      <c r="E7345" t="str">
        <f>IF(OR(E7344="&lt;/routeDistribution&gt;",E7344=""),"",IFERROR(_xlfn.CONCAT(VLOOKUP(V35,Route_Column!#REF!,2,FALSE),CHAR(34)," probability=",CHAR(34),1/V$4,CHAR(34),CHAR(47),CHAR(62)),"&lt;/routeDistribution&gt;"))</f>
        <v/>
      </c>
    </row>
    <row r="7346" spans="1:5" x14ac:dyDescent="0.25">
      <c r="A7346" t="s">
        <v>1474</v>
      </c>
      <c r="B7346" t="s">
        <v>1101</v>
      </c>
      <c r="E7346" t="str">
        <f>IF(OR(E7345="&lt;/routeDistribution&gt;",E7345=""),"",IFERROR(_xlfn.CONCAT(VLOOKUP(V36,Route_Column!#REF!,2,FALSE),CHAR(34)," probability=",CHAR(34),1/V$4,CHAR(34),CHAR(47),CHAR(62)),"&lt;/routeDistribution&gt;"))</f>
        <v/>
      </c>
    </row>
    <row r="7347" spans="1:5" x14ac:dyDescent="0.25">
      <c r="A7347" t="s">
        <v>1474</v>
      </c>
      <c r="B7347" t="s">
        <v>1102</v>
      </c>
      <c r="E7347" t="str">
        <f>IF(OR(E7346="&lt;/routeDistribution&gt;",E7346=""),"",IFERROR(_xlfn.CONCAT(VLOOKUP(V37,Route_Column!#REF!,2,FALSE),CHAR(34)," probability=",CHAR(34),1/V$4,CHAR(34),CHAR(47),CHAR(62)),"&lt;/routeDistribution&gt;"))</f>
        <v/>
      </c>
    </row>
    <row r="7348" spans="1:5" x14ac:dyDescent="0.25">
      <c r="A7348" t="s">
        <v>1474</v>
      </c>
      <c r="B7348" t="s">
        <v>1103</v>
      </c>
      <c r="E7348" t="str">
        <f>IF(OR(E7347="&lt;/routeDistribution&gt;",E7347=""),"",IFERROR(_xlfn.CONCAT(VLOOKUP(V38,Route_Column!#REF!,2,FALSE),CHAR(34)," probability=",CHAR(34),1/V$4,CHAR(34),CHAR(47),CHAR(62)),"&lt;/routeDistribution&gt;"))</f>
        <v/>
      </c>
    </row>
    <row r="7349" spans="1:5" x14ac:dyDescent="0.25">
      <c r="A7349" t="s">
        <v>1474</v>
      </c>
      <c r="B7349" t="s">
        <v>1104</v>
      </c>
      <c r="E7349" t="str">
        <f>IF(OR(E7348="&lt;/routeDistribution&gt;",E7348=""),"",IFERROR(_xlfn.CONCAT(VLOOKUP(V39,Route_Column!#REF!,2,FALSE),CHAR(34)," probability=",CHAR(34),1/V$4,CHAR(34),CHAR(47),CHAR(62)),"&lt;/routeDistribution&gt;"))</f>
        <v/>
      </c>
    </row>
    <row r="7350" spans="1:5" x14ac:dyDescent="0.25">
      <c r="A7350" t="s">
        <v>1474</v>
      </c>
      <c r="B7350" t="s">
        <v>1105</v>
      </c>
      <c r="E7350" t="str">
        <f>IF(OR(E7349="&lt;/routeDistribution&gt;",E7349=""),"",IFERROR(_xlfn.CONCAT(VLOOKUP(V40,Route_Column!#REF!,2,FALSE),CHAR(34)," probability=",CHAR(34),1/V$4,CHAR(34),CHAR(47),CHAR(62)),"&lt;/routeDistribution&gt;"))</f>
        <v/>
      </c>
    </row>
    <row r="7351" spans="1:5" x14ac:dyDescent="0.25">
      <c r="A7351" t="s">
        <v>1474</v>
      </c>
      <c r="B7351" t="s">
        <v>1106</v>
      </c>
      <c r="E7351" t="str">
        <f>IF(OR(E7350="&lt;/routeDistribution&gt;",E7350=""),"",IFERROR(_xlfn.CONCAT(VLOOKUP(V41,Route_Column!#REF!,2,FALSE),CHAR(34)," probability=",CHAR(34),1/V$4,CHAR(34),CHAR(47),CHAR(62)),"&lt;/routeDistribution&gt;"))</f>
        <v/>
      </c>
    </row>
    <row r="7352" spans="1:5" x14ac:dyDescent="0.25">
      <c r="A7352" t="s">
        <v>1474</v>
      </c>
      <c r="B7352" t="s">
        <v>1107</v>
      </c>
      <c r="E7352" t="str">
        <f>IF(OR(E7351="&lt;/routeDistribution&gt;",E7351=""),"",IFERROR(_xlfn.CONCAT(VLOOKUP(V42,Route_Column!#REF!,2,FALSE),CHAR(34)," probability=",CHAR(34),1/V$4,CHAR(34),CHAR(47),CHAR(62)),"&lt;/routeDistribution&gt;"))</f>
        <v/>
      </c>
    </row>
    <row r="7353" spans="1:5" x14ac:dyDescent="0.25">
      <c r="A7353" s="11" t="s">
        <v>1475</v>
      </c>
      <c r="B7353" t="s">
        <v>1091</v>
      </c>
      <c r="E7353" t="str">
        <f>IF(OR(E7352="&lt;/routeDistribution&gt;",E7352=""),"",IFERROR(_xlfn.CONCAT(VLOOKUP(V43,Route_Column!#REF!,2,FALSE),CHAR(34)," probability=",CHAR(34),1/V$4,CHAR(34),CHAR(47),CHAR(62)),"&lt;/routeDistribution&gt;"))</f>
        <v/>
      </c>
    </row>
    <row r="7354" spans="1:5" x14ac:dyDescent="0.25">
      <c r="A7354" t="s">
        <v>1475</v>
      </c>
      <c r="B7354" t="s">
        <v>1092</v>
      </c>
      <c r="E7354" t="str">
        <f>IF(OR(E7353="&lt;/routeDistribution&gt;",E7353=""),"",IFERROR(_xlfn.CONCAT(VLOOKUP(V44,Route_Column!#REF!,2,FALSE),CHAR(34)," probability=",CHAR(34),1/V$4,CHAR(34),CHAR(47),CHAR(62)),"&lt;/routeDistribution&gt;"))</f>
        <v/>
      </c>
    </row>
    <row r="7355" spans="1:5" x14ac:dyDescent="0.25">
      <c r="A7355" t="s">
        <v>1475</v>
      </c>
      <c r="B7355" t="s">
        <v>1093</v>
      </c>
      <c r="E7355" t="str">
        <f>IF(OR(E7354="&lt;/routeDistribution&gt;",E7354=""),"",IFERROR(_xlfn.CONCAT(VLOOKUP(V45,Route_Column!#REF!,2,FALSE),CHAR(34)," probability=",CHAR(34),1/V$4,CHAR(34),CHAR(47),CHAR(62)),"&lt;/routeDistribution&gt;"))</f>
        <v/>
      </c>
    </row>
    <row r="7356" spans="1:5" x14ac:dyDescent="0.25">
      <c r="A7356" t="s">
        <v>1475</v>
      </c>
      <c r="B7356" t="s">
        <v>1094</v>
      </c>
      <c r="E7356" t="str">
        <f>IF(OR(E7355="&lt;/routeDistribution&gt;",E7355=""),"",IFERROR(_xlfn.CONCAT(VLOOKUP(V46,Route_Column!#REF!,2,FALSE),CHAR(34)," probability=",CHAR(34),1/V$4,CHAR(34),CHAR(47),CHAR(62)),"&lt;/routeDistribution&gt;"))</f>
        <v/>
      </c>
    </row>
    <row r="7357" spans="1:5" x14ac:dyDescent="0.25">
      <c r="A7357" t="s">
        <v>1475</v>
      </c>
      <c r="B7357" t="s">
        <v>1095</v>
      </c>
      <c r="E7357" t="str">
        <f>IF(OR(E7356="&lt;/routeDistribution&gt;",E7356=""),"",IFERROR(_xlfn.CONCAT(VLOOKUP(V47,Route_Column!#REF!,2,FALSE),CHAR(34)," probability=",CHAR(34),1/V$4,CHAR(34),CHAR(47),CHAR(62)),"&lt;/routeDistribution&gt;"))</f>
        <v/>
      </c>
    </row>
    <row r="7358" spans="1:5" x14ac:dyDescent="0.25">
      <c r="A7358" t="s">
        <v>1475</v>
      </c>
      <c r="B7358" t="s">
        <v>1096</v>
      </c>
      <c r="E7358" t="str">
        <f>IF(OR(E7357="&lt;/routeDistribution&gt;",E7357=""),"",IFERROR(_xlfn.CONCAT(VLOOKUP(V48,Route_Column!#REF!,2,FALSE),CHAR(34)," probability=",CHAR(34),1/V$4,CHAR(34),CHAR(47),CHAR(62)),"&lt;/routeDistribution&gt;"))</f>
        <v/>
      </c>
    </row>
    <row r="7359" spans="1:5" x14ac:dyDescent="0.25">
      <c r="A7359" t="s">
        <v>1475</v>
      </c>
      <c r="B7359" t="s">
        <v>1097</v>
      </c>
      <c r="E7359" t="str">
        <f>IF(OR(E7358="&lt;/routeDistribution&gt;",E7358=""),"",IFERROR(_xlfn.CONCAT(VLOOKUP(V49,Route_Column!#REF!,2,FALSE),CHAR(34)," probability=",CHAR(34),1/V$4,CHAR(34),CHAR(47),CHAR(62)),"&lt;/routeDistribution&gt;"))</f>
        <v/>
      </c>
    </row>
    <row r="7360" spans="1:5" x14ac:dyDescent="0.25">
      <c r="A7360" t="s">
        <v>1475</v>
      </c>
      <c r="B7360" t="s">
        <v>1098</v>
      </c>
      <c r="E7360" t="str">
        <f>IF(OR(E7359="&lt;/routeDistribution&gt;",E7359=""),"",IFERROR(_xlfn.CONCAT(VLOOKUP(V50,Route_Column!#REF!,2,FALSE),CHAR(34)," probability=",CHAR(34),1/V$4,CHAR(34),CHAR(47),CHAR(62)),"&lt;/routeDistribution&gt;"))</f>
        <v/>
      </c>
    </row>
    <row r="7361" spans="1:5" x14ac:dyDescent="0.25">
      <c r="A7361" t="s">
        <v>1475</v>
      </c>
      <c r="B7361" t="s">
        <v>1099</v>
      </c>
      <c r="E7361" t="str">
        <f>IF(OR(E7360="&lt;/routeDistribution&gt;",E7360=""),"",IFERROR(_xlfn.CONCAT(VLOOKUP(V51,Route_Column!#REF!,2,FALSE),CHAR(34)," probability=",CHAR(34),1/V$4,CHAR(34),CHAR(47),CHAR(62)),"&lt;/routeDistribution&gt;"))</f>
        <v/>
      </c>
    </row>
    <row r="7362" spans="1:5" x14ac:dyDescent="0.25">
      <c r="A7362" t="s">
        <v>1475</v>
      </c>
      <c r="B7362" t="s">
        <v>1100</v>
      </c>
      <c r="E7362" t="str">
        <f>IF(OR(E7361="&lt;/routeDistribution&gt;",E7361=""),"",IFERROR(_xlfn.CONCAT(VLOOKUP(V52,Route_Column!#REF!,2,FALSE),CHAR(34)," probability=",CHAR(34),1/V$4,CHAR(34),CHAR(47),CHAR(62)),"&lt;/routeDistribution&gt;"))</f>
        <v/>
      </c>
    </row>
    <row r="7363" spans="1:5" x14ac:dyDescent="0.25">
      <c r="A7363" t="s">
        <v>1475</v>
      </c>
      <c r="B7363" t="s">
        <v>1101</v>
      </c>
      <c r="E7363" t="str">
        <f>IF(OR(E7362="&lt;/routeDistribution&gt;",E7362=""),"",IFERROR(_xlfn.CONCAT(VLOOKUP(V53,Route_Column!#REF!,2,FALSE),CHAR(34)," probability=",CHAR(34),1/V$4,CHAR(34),CHAR(47),CHAR(62)),"&lt;/routeDistribution&gt;"))</f>
        <v/>
      </c>
    </row>
    <row r="7364" spans="1:5" x14ac:dyDescent="0.25">
      <c r="A7364" t="s">
        <v>1475</v>
      </c>
      <c r="B7364" t="s">
        <v>1102</v>
      </c>
      <c r="E7364" t="str">
        <f>IF(OR(E7363="&lt;/routeDistribution&gt;",E7363=""),"",IFERROR(_xlfn.CONCAT(VLOOKUP(V54,Route_Column!#REF!,2,FALSE),CHAR(34)," probability=",CHAR(34),1/V$4,CHAR(34),CHAR(47),CHAR(62)),"&lt;/routeDistribution&gt;"))</f>
        <v/>
      </c>
    </row>
    <row r="7365" spans="1:5" x14ac:dyDescent="0.25">
      <c r="A7365" t="s">
        <v>1475</v>
      </c>
      <c r="B7365" t="s">
        <v>1103</v>
      </c>
      <c r="E7365" t="str">
        <f>IF(OR(E7364="&lt;/routeDistribution&gt;",E7364=""),"",IFERROR(_xlfn.CONCAT(VLOOKUP(V55,Route_Column!#REF!,2,FALSE),CHAR(34)," probability=",CHAR(34),1/V$4,CHAR(34),CHAR(47),CHAR(62)),"&lt;/routeDistribution&gt;"))</f>
        <v/>
      </c>
    </row>
    <row r="7366" spans="1:5" x14ac:dyDescent="0.25">
      <c r="A7366" t="s">
        <v>1475</v>
      </c>
      <c r="B7366" t="s">
        <v>1104</v>
      </c>
      <c r="E7366" t="str">
        <f>IF(OR(E7365="&lt;/routeDistribution&gt;",E7365=""),"",IFERROR(_xlfn.CONCAT(VLOOKUP(V56,Route_Column!#REF!,2,FALSE),CHAR(34)," probability=",CHAR(34),1/V$4,CHAR(34),CHAR(47),CHAR(62)),"&lt;/routeDistribution&gt;"))</f>
        <v/>
      </c>
    </row>
    <row r="7367" spans="1:5" x14ac:dyDescent="0.25">
      <c r="A7367" t="s">
        <v>1475</v>
      </c>
      <c r="B7367" t="s">
        <v>1105</v>
      </c>
      <c r="E7367" t="str">
        <f>IF(OR(E7366="&lt;/routeDistribution&gt;",E7366=""),"",IFERROR(_xlfn.CONCAT(VLOOKUP(V57,Route_Column!#REF!,2,FALSE),CHAR(34)," probability=",CHAR(34),1/V$4,CHAR(34),CHAR(47),CHAR(62)),"&lt;/routeDistribution&gt;"))</f>
        <v/>
      </c>
    </row>
    <row r="7368" spans="1:5" x14ac:dyDescent="0.25">
      <c r="A7368" t="s">
        <v>1475</v>
      </c>
      <c r="B7368" t="s">
        <v>1106</v>
      </c>
      <c r="E7368" t="str">
        <f>IF(OR(E7367="&lt;/routeDistribution&gt;",E7367=""),"",IFERROR(_xlfn.CONCAT(VLOOKUP(V58,Route_Column!#REF!,2,FALSE),CHAR(34)," probability=",CHAR(34),1/V$4,CHAR(34),CHAR(47),CHAR(62)),"&lt;/routeDistribution&gt;"))</f>
        <v/>
      </c>
    </row>
    <row r="7369" spans="1:5" x14ac:dyDescent="0.25">
      <c r="A7369" t="s">
        <v>1475</v>
      </c>
      <c r="B7369" t="s">
        <v>1107</v>
      </c>
      <c r="E7369" t="str">
        <f>IF(OR(E7368="&lt;/routeDistribution&gt;",E7368=""),"",IFERROR(_xlfn.CONCAT(VLOOKUP(V59,Route_Column!#REF!,2,FALSE),CHAR(34)," probability=",CHAR(34),1/V$4,CHAR(34),CHAR(47),CHAR(62)),"&lt;/routeDistribution&gt;"))</f>
        <v/>
      </c>
    </row>
    <row r="7370" spans="1:5" x14ac:dyDescent="0.25">
      <c r="A7370" t="s">
        <v>2350</v>
      </c>
      <c r="B7370" t="s">
        <v>1235</v>
      </c>
      <c r="E7370" t="str">
        <f>IF(OR(E7369="&lt;/routeDistribution&gt;",E7369=""),"",IFERROR(_xlfn.CONCAT(VLOOKUP(V60,Route_Column!#REF!,2,FALSE),CHAR(34)," probability=",CHAR(34),1/V$4,CHAR(34),CHAR(47),CHAR(62)),"&lt;/routeDistribution&gt;"))</f>
        <v/>
      </c>
    </row>
    <row r="7371" spans="1:5" x14ac:dyDescent="0.25">
      <c r="A7371" t="s">
        <v>2350</v>
      </c>
      <c r="B7371" t="s">
        <v>1236</v>
      </c>
      <c r="E7371" t="str">
        <f>IF(OR(E7370="&lt;/routeDistribution&gt;",E7370=""),"",IFERROR(_xlfn.CONCAT(VLOOKUP(V61,Route_Column!#REF!,2,FALSE),CHAR(34)," probability=",CHAR(34),1/V$4,CHAR(34),CHAR(47),CHAR(62)),"&lt;/routeDistribution&gt;"))</f>
        <v/>
      </c>
    </row>
    <row r="7372" spans="1:5" x14ac:dyDescent="0.25">
      <c r="A7372" t="s">
        <v>2350</v>
      </c>
      <c r="B7372" t="s">
        <v>1237</v>
      </c>
      <c r="E7372" t="str">
        <f>IF(OR(E7371="&lt;/routeDistribution&gt;",E7371=""),"",IFERROR(_xlfn.CONCAT(VLOOKUP(V62,Route_Column!#REF!,2,FALSE),CHAR(34)," probability=",CHAR(34),1/V$4,CHAR(34),CHAR(47),CHAR(62)),"&lt;/routeDistribution&gt;"))</f>
        <v/>
      </c>
    </row>
    <row r="7373" spans="1:5" x14ac:dyDescent="0.25">
      <c r="A7373" t="s">
        <v>2350</v>
      </c>
      <c r="B7373" t="s">
        <v>1238</v>
      </c>
      <c r="E7373" t="str">
        <f>IF(OR(E7372="&lt;/routeDistribution&gt;",E7372=""),"",IFERROR(_xlfn.CONCAT(VLOOKUP(V63,Route_Column!#REF!,2,FALSE),CHAR(34)," probability=",CHAR(34),1/V$4,CHAR(34),CHAR(47),CHAR(62)),"&lt;/routeDistribution&gt;"))</f>
        <v/>
      </c>
    </row>
    <row r="7374" spans="1:5" x14ac:dyDescent="0.25">
      <c r="A7374" t="s">
        <v>2350</v>
      </c>
      <c r="B7374" t="s">
        <v>1239</v>
      </c>
      <c r="E7374" t="s">
        <v>2686</v>
      </c>
    </row>
    <row r="7375" spans="1:5" x14ac:dyDescent="0.25">
      <c r="A7375" t="s">
        <v>2350</v>
      </c>
      <c r="B7375" t="s">
        <v>1240</v>
      </c>
    </row>
    <row r="7376" spans="1:5" x14ac:dyDescent="0.25">
      <c r="A7376" t="s">
        <v>2350</v>
      </c>
      <c r="B7376" t="s">
        <v>1241</v>
      </c>
    </row>
    <row r="7377" spans="1:5" x14ac:dyDescent="0.25">
      <c r="A7377" t="s">
        <v>2350</v>
      </c>
      <c r="B7377" t="s">
        <v>1242</v>
      </c>
      <c r="E7377" t="str">
        <f>_xlfn.CONCAT($E$1,U$2,$F$1)</f>
        <v>&lt;routeDistribution id="676-on-ramp-24th-EB-2016-RouteProbe"&gt;</v>
      </c>
    </row>
    <row r="7378" spans="1:5" x14ac:dyDescent="0.25">
      <c r="A7378" t="s">
        <v>2350</v>
      </c>
      <c r="B7378" t="s">
        <v>1243</v>
      </c>
      <c r="E7378" t="str">
        <f>IF(OR(E7377="&lt;/routeDistribution&gt;",E7377=""),"",IFERROR(_xlfn.CONCAT(VLOOKUP(U5,Route_Column!#REF!,2,FALSE),CHAR(34)," probability=",CHAR(34),1/U$4,CHAR(34),CHAR(47),CHAR(62)),"&lt;/routeDistribution&gt;"))</f>
        <v>&lt;/routeDistribution&gt;</v>
      </c>
    </row>
    <row r="7379" spans="1:5" x14ac:dyDescent="0.25">
      <c r="A7379" t="s">
        <v>2350</v>
      </c>
      <c r="B7379" t="s">
        <v>1244</v>
      </c>
      <c r="E7379" t="str">
        <f>IF(OR(E7378="&lt;/routeDistribution&gt;",E7378=""),"",IFERROR(_xlfn.CONCAT(VLOOKUP(U6,Route_Column!#REF!,2,FALSE),CHAR(34)," probability=",CHAR(34),1/U$4,CHAR(34),CHAR(47),CHAR(62)),"&lt;/routeDistribution&gt;"))</f>
        <v/>
      </c>
    </row>
    <row r="7380" spans="1:5" x14ac:dyDescent="0.25">
      <c r="A7380" t="s">
        <v>2142</v>
      </c>
      <c r="B7380" t="s">
        <v>1142</v>
      </c>
      <c r="E7380" t="str">
        <f>IF(OR(E7379="&lt;/routeDistribution&gt;",E7379=""),"",IFERROR(_xlfn.CONCAT(VLOOKUP(U7,Route_Column!#REF!,2,FALSE),CHAR(34)," probability=",CHAR(34),1/U$4,CHAR(34),CHAR(47),CHAR(62)),"&lt;/routeDistribution&gt;"))</f>
        <v/>
      </c>
    </row>
    <row r="7381" spans="1:5" x14ac:dyDescent="0.25">
      <c r="A7381" t="s">
        <v>2142</v>
      </c>
      <c r="B7381" t="s">
        <v>1148</v>
      </c>
      <c r="E7381" t="str">
        <f>IF(OR(E7380="&lt;/routeDistribution&gt;",E7380=""),"",IFERROR(_xlfn.CONCAT(VLOOKUP(U8,Route_Column!#REF!,2,FALSE),CHAR(34)," probability=",CHAR(34),1/U$4,CHAR(34),CHAR(47),CHAR(62)),"&lt;/routeDistribution&gt;"))</f>
        <v/>
      </c>
    </row>
    <row r="7382" spans="1:5" x14ac:dyDescent="0.25">
      <c r="A7382" t="s">
        <v>2142</v>
      </c>
      <c r="B7382" t="s">
        <v>1178</v>
      </c>
      <c r="E7382" t="str">
        <f>IF(OR(E7381="&lt;/routeDistribution&gt;",E7381=""),"",IFERROR(_xlfn.CONCAT(VLOOKUP(U9,Route_Column!#REF!,2,FALSE),CHAR(34)," probability=",CHAR(34),1/U$4,CHAR(34),CHAR(47),CHAR(62)),"&lt;/routeDistribution&gt;"))</f>
        <v/>
      </c>
    </row>
    <row r="7383" spans="1:5" x14ac:dyDescent="0.25">
      <c r="A7383" t="s">
        <v>2142</v>
      </c>
      <c r="B7383" t="s">
        <v>1201</v>
      </c>
      <c r="E7383" t="str">
        <f>IF(OR(E7382="&lt;/routeDistribution&gt;",E7382=""),"",IFERROR(_xlfn.CONCAT(VLOOKUP(U10,Route_Column!#REF!,2,FALSE),CHAR(34)," probability=",CHAR(34),1/U$4,CHAR(34),CHAR(47),CHAR(62)),"&lt;/routeDistribution&gt;"))</f>
        <v/>
      </c>
    </row>
    <row r="7384" spans="1:5" x14ac:dyDescent="0.25">
      <c r="A7384" t="s">
        <v>2142</v>
      </c>
      <c r="B7384" t="s">
        <v>1202</v>
      </c>
      <c r="E7384" t="str">
        <f>IF(OR(E7383="&lt;/routeDistribution&gt;",E7383=""),"",IFERROR(_xlfn.CONCAT(VLOOKUP(U11,Route_Column!#REF!,2,FALSE),CHAR(34)," probability=",CHAR(34),1/U$4,CHAR(34),CHAR(47),CHAR(62)),"&lt;/routeDistribution&gt;"))</f>
        <v/>
      </c>
    </row>
    <row r="7385" spans="1:5" x14ac:dyDescent="0.25">
      <c r="A7385" t="s">
        <v>2142</v>
      </c>
      <c r="B7385" t="s">
        <v>1206</v>
      </c>
      <c r="E7385" t="str">
        <f>IF(OR(E7384="&lt;/routeDistribution&gt;",E7384=""),"",IFERROR(_xlfn.CONCAT(VLOOKUP(U12,Route_Column!#REF!,2,FALSE),CHAR(34)," probability=",CHAR(34),1/U$4,CHAR(34),CHAR(47),CHAR(62)),"&lt;/routeDistribution&gt;"))</f>
        <v/>
      </c>
    </row>
    <row r="7386" spans="1:5" x14ac:dyDescent="0.25">
      <c r="A7386" t="s">
        <v>2142</v>
      </c>
      <c r="B7386" t="s">
        <v>1207</v>
      </c>
      <c r="E7386" t="str">
        <f>IF(OR(E7385="&lt;/routeDistribution&gt;",E7385=""),"",IFERROR(_xlfn.CONCAT(VLOOKUP(U13,Route_Column!#REF!,2,FALSE),CHAR(34)," probability=",CHAR(34),1/U$4,CHAR(34),CHAR(47),CHAR(62)),"&lt;/routeDistribution&gt;"))</f>
        <v/>
      </c>
    </row>
    <row r="7387" spans="1:5" x14ac:dyDescent="0.25">
      <c r="A7387" t="s">
        <v>2142</v>
      </c>
      <c r="B7387" t="s">
        <v>1242</v>
      </c>
      <c r="E7387" t="str">
        <f>IF(OR(E7386="&lt;/routeDistribution&gt;",E7386=""),"",IFERROR(_xlfn.CONCAT(VLOOKUP(U14,Route_Column!#REF!,2,FALSE),CHAR(34)," probability=",CHAR(34),1/U$4,CHAR(34),CHAR(47),CHAR(62)),"&lt;/routeDistribution&gt;"))</f>
        <v/>
      </c>
    </row>
    <row r="7388" spans="1:5" x14ac:dyDescent="0.25">
      <c r="A7388" t="s">
        <v>2142</v>
      </c>
      <c r="B7388" t="s">
        <v>1243</v>
      </c>
      <c r="E7388" t="str">
        <f>IF(OR(E7387="&lt;/routeDistribution&gt;",E7387=""),"",IFERROR(_xlfn.CONCAT(VLOOKUP(U15,Route_Column!#REF!,2,FALSE),CHAR(34)," probability=",CHAR(34),1/U$4,CHAR(34),CHAR(47),CHAR(62)),"&lt;/routeDistribution&gt;"))</f>
        <v/>
      </c>
    </row>
    <row r="7389" spans="1:5" x14ac:dyDescent="0.25">
      <c r="A7389" t="s">
        <v>2349</v>
      </c>
      <c r="B7389" t="s">
        <v>1235</v>
      </c>
      <c r="E7389" t="str">
        <f>IF(OR(E7388="&lt;/routeDistribution&gt;",E7388=""),"",IFERROR(_xlfn.CONCAT(VLOOKUP(U16,Route_Column!#REF!,2,FALSE),CHAR(34)," probability=",CHAR(34),1/U$4,CHAR(34),CHAR(47),CHAR(62)),"&lt;/routeDistribution&gt;"))</f>
        <v/>
      </c>
    </row>
    <row r="7390" spans="1:5" x14ac:dyDescent="0.25">
      <c r="A7390" t="s">
        <v>2349</v>
      </c>
      <c r="B7390" t="s">
        <v>1236</v>
      </c>
      <c r="E7390" t="str">
        <f>IF(OR(E7389="&lt;/routeDistribution&gt;",E7389=""),"",IFERROR(_xlfn.CONCAT(VLOOKUP(U17,Route_Column!#REF!,2,FALSE),CHAR(34)," probability=",CHAR(34),1/U$4,CHAR(34),CHAR(47),CHAR(62)),"&lt;/routeDistribution&gt;"))</f>
        <v/>
      </c>
    </row>
    <row r="7391" spans="1:5" x14ac:dyDescent="0.25">
      <c r="A7391" t="s">
        <v>2349</v>
      </c>
      <c r="B7391" t="s">
        <v>1237</v>
      </c>
      <c r="E7391" t="str">
        <f>IF(OR(E7390="&lt;/routeDistribution&gt;",E7390=""),"",IFERROR(_xlfn.CONCAT(VLOOKUP(U18,Route_Column!#REF!,2,FALSE),CHAR(34)," probability=",CHAR(34),1/U$4,CHAR(34),CHAR(47),CHAR(62)),"&lt;/routeDistribution&gt;"))</f>
        <v/>
      </c>
    </row>
    <row r="7392" spans="1:5" x14ac:dyDescent="0.25">
      <c r="A7392" t="s">
        <v>2349</v>
      </c>
      <c r="B7392" t="s">
        <v>1238</v>
      </c>
      <c r="E7392" t="str">
        <f>IF(OR(E7391="&lt;/routeDistribution&gt;",E7391=""),"",IFERROR(_xlfn.CONCAT(VLOOKUP(U19,Route_Column!#REF!,2,FALSE),CHAR(34)," probability=",CHAR(34),1/U$4,CHAR(34),CHAR(47),CHAR(62)),"&lt;/routeDistribution&gt;"))</f>
        <v/>
      </c>
    </row>
    <row r="7393" spans="1:5" x14ac:dyDescent="0.25">
      <c r="A7393" t="s">
        <v>2349</v>
      </c>
      <c r="B7393" t="s">
        <v>1239</v>
      </c>
      <c r="E7393" t="str">
        <f>IF(OR(E7392="&lt;/routeDistribution&gt;",E7392=""),"",IFERROR(_xlfn.CONCAT(VLOOKUP(U20,Route_Column!#REF!,2,FALSE),CHAR(34)," probability=",CHAR(34),1/U$4,CHAR(34),CHAR(47),CHAR(62)),"&lt;/routeDistribution&gt;"))</f>
        <v/>
      </c>
    </row>
    <row r="7394" spans="1:5" x14ac:dyDescent="0.25">
      <c r="A7394" t="s">
        <v>2349</v>
      </c>
      <c r="B7394" t="s">
        <v>1240</v>
      </c>
      <c r="E7394" t="str">
        <f>IF(OR(E7393="&lt;/routeDistribution&gt;",E7393=""),"",IFERROR(_xlfn.CONCAT(VLOOKUP(U21,Route_Column!#REF!,2,FALSE),CHAR(34)," probability=",CHAR(34),1/U$4,CHAR(34),CHAR(47),CHAR(62)),"&lt;/routeDistribution&gt;"))</f>
        <v/>
      </c>
    </row>
    <row r="7395" spans="1:5" x14ac:dyDescent="0.25">
      <c r="A7395" t="s">
        <v>2349</v>
      </c>
      <c r="B7395" t="s">
        <v>1241</v>
      </c>
      <c r="E7395" t="str">
        <f>IF(OR(E7394="&lt;/routeDistribution&gt;",E7394=""),"",IFERROR(_xlfn.CONCAT(VLOOKUP(U22,Route_Column!#REF!,2,FALSE),CHAR(34)," probability=",CHAR(34),1/U$4,CHAR(34),CHAR(47),CHAR(62)),"&lt;/routeDistribution&gt;"))</f>
        <v/>
      </c>
    </row>
    <row r="7396" spans="1:5" x14ac:dyDescent="0.25">
      <c r="A7396" t="s">
        <v>2349</v>
      </c>
      <c r="B7396" t="s">
        <v>1242</v>
      </c>
      <c r="E7396" t="str">
        <f>IF(OR(E7395="&lt;/routeDistribution&gt;",E7395=""),"",IFERROR(_xlfn.CONCAT(VLOOKUP(U23,Route_Column!#REF!,2,FALSE),CHAR(34)," probability=",CHAR(34),1/U$4,CHAR(34),CHAR(47),CHAR(62)),"&lt;/routeDistribution&gt;"))</f>
        <v/>
      </c>
    </row>
    <row r="7397" spans="1:5" x14ac:dyDescent="0.25">
      <c r="A7397" t="s">
        <v>2349</v>
      </c>
      <c r="B7397" t="s">
        <v>1243</v>
      </c>
      <c r="E7397" t="str">
        <f>IF(OR(E7396="&lt;/routeDistribution&gt;",E7396=""),"",IFERROR(_xlfn.CONCAT(VLOOKUP(U24,Route_Column!#REF!,2,FALSE),CHAR(34)," probability=",CHAR(34),1/U$4,CHAR(34),CHAR(47),CHAR(62)),"&lt;/routeDistribution&gt;"))</f>
        <v/>
      </c>
    </row>
    <row r="7398" spans="1:5" x14ac:dyDescent="0.25">
      <c r="A7398" t="s">
        <v>2349</v>
      </c>
      <c r="B7398" t="s">
        <v>1244</v>
      </c>
      <c r="E7398" t="str">
        <f>IF(OR(E7397="&lt;/routeDistribution&gt;",E7397=""),"",IFERROR(_xlfn.CONCAT(VLOOKUP(U25,Route_Column!#REF!,2,FALSE),CHAR(34)," probability=",CHAR(34),1/U$4,CHAR(34),CHAR(47),CHAR(62)),"&lt;/routeDistribution&gt;"))</f>
        <v/>
      </c>
    </row>
    <row r="7399" spans="1:5" x14ac:dyDescent="0.25">
      <c r="A7399" t="s">
        <v>2143</v>
      </c>
      <c r="B7399" t="s">
        <v>1142</v>
      </c>
      <c r="E7399" t="str">
        <f>IF(OR(E7398="&lt;/routeDistribution&gt;",E7398=""),"",IFERROR(_xlfn.CONCAT(VLOOKUP(U26,Route_Column!#REF!,2,FALSE),CHAR(34)," probability=",CHAR(34),1/U$4,CHAR(34),CHAR(47),CHAR(62)),"&lt;/routeDistribution&gt;"))</f>
        <v/>
      </c>
    </row>
    <row r="7400" spans="1:5" x14ac:dyDescent="0.25">
      <c r="A7400" t="s">
        <v>2143</v>
      </c>
      <c r="B7400" t="s">
        <v>1148</v>
      </c>
      <c r="E7400" t="str">
        <f>IF(OR(E7399="&lt;/routeDistribution&gt;",E7399=""),"",IFERROR(_xlfn.CONCAT(VLOOKUP(U27,Route_Column!#REF!,2,FALSE),CHAR(34)," probability=",CHAR(34),1/U$4,CHAR(34),CHAR(47),CHAR(62)),"&lt;/routeDistribution&gt;"))</f>
        <v/>
      </c>
    </row>
    <row r="7401" spans="1:5" x14ac:dyDescent="0.25">
      <c r="A7401" t="s">
        <v>2143</v>
      </c>
      <c r="B7401" t="s">
        <v>1178</v>
      </c>
      <c r="E7401" t="str">
        <f>IF(OR(E7400="&lt;/routeDistribution&gt;",E7400=""),"",IFERROR(_xlfn.CONCAT(VLOOKUP(U28,Route_Column!#REF!,2,FALSE),CHAR(34)," probability=",CHAR(34),1/U$4,CHAR(34),CHAR(47),CHAR(62)),"&lt;/routeDistribution&gt;"))</f>
        <v/>
      </c>
    </row>
    <row r="7402" spans="1:5" x14ac:dyDescent="0.25">
      <c r="A7402" t="s">
        <v>2143</v>
      </c>
      <c r="B7402" t="s">
        <v>1201</v>
      </c>
      <c r="E7402" t="str">
        <f>IF(OR(E7401="&lt;/routeDistribution&gt;",E7401=""),"",IFERROR(_xlfn.CONCAT(VLOOKUP(U29,Route_Column!#REF!,2,FALSE),CHAR(34)," probability=",CHAR(34),1/U$4,CHAR(34),CHAR(47),CHAR(62)),"&lt;/routeDistribution&gt;"))</f>
        <v/>
      </c>
    </row>
    <row r="7403" spans="1:5" x14ac:dyDescent="0.25">
      <c r="A7403" t="s">
        <v>2143</v>
      </c>
      <c r="B7403" t="s">
        <v>1202</v>
      </c>
      <c r="E7403" t="str">
        <f>IF(OR(E7402="&lt;/routeDistribution&gt;",E7402=""),"",IFERROR(_xlfn.CONCAT(VLOOKUP(U30,Route_Column!#REF!,2,FALSE),CHAR(34)," probability=",CHAR(34),1/U$4,CHAR(34),CHAR(47),CHAR(62)),"&lt;/routeDistribution&gt;"))</f>
        <v/>
      </c>
    </row>
    <row r="7404" spans="1:5" x14ac:dyDescent="0.25">
      <c r="A7404" t="s">
        <v>2143</v>
      </c>
      <c r="B7404" t="s">
        <v>1206</v>
      </c>
      <c r="E7404" t="str">
        <f>IF(OR(E7403="&lt;/routeDistribution&gt;",E7403=""),"",IFERROR(_xlfn.CONCAT(VLOOKUP(U31,Route_Column!#REF!,2,FALSE),CHAR(34)," probability=",CHAR(34),1/U$4,CHAR(34),CHAR(47),CHAR(62)),"&lt;/routeDistribution&gt;"))</f>
        <v/>
      </c>
    </row>
    <row r="7405" spans="1:5" x14ac:dyDescent="0.25">
      <c r="A7405" t="s">
        <v>2143</v>
      </c>
      <c r="B7405" t="s">
        <v>1207</v>
      </c>
      <c r="E7405" t="str">
        <f>IF(OR(E7404="&lt;/routeDistribution&gt;",E7404=""),"",IFERROR(_xlfn.CONCAT(VLOOKUP(U32,Route_Column!#REF!,2,FALSE),CHAR(34)," probability=",CHAR(34),1/U$4,CHAR(34),CHAR(47),CHAR(62)),"&lt;/routeDistribution&gt;"))</f>
        <v/>
      </c>
    </row>
    <row r="7406" spans="1:5" x14ac:dyDescent="0.25">
      <c r="A7406" t="s">
        <v>2143</v>
      </c>
      <c r="B7406" t="s">
        <v>1242</v>
      </c>
      <c r="E7406" t="str">
        <f>IF(OR(E7405="&lt;/routeDistribution&gt;",E7405=""),"",IFERROR(_xlfn.CONCAT(VLOOKUP(U33,Route_Column!#REF!,2,FALSE),CHAR(34)," probability=",CHAR(34),1/U$4,CHAR(34),CHAR(47),CHAR(62)),"&lt;/routeDistribution&gt;"))</f>
        <v/>
      </c>
    </row>
    <row r="7407" spans="1:5" x14ac:dyDescent="0.25">
      <c r="A7407" t="s">
        <v>2143</v>
      </c>
      <c r="B7407" t="s">
        <v>1243</v>
      </c>
      <c r="E7407" t="str">
        <f>IF(OR(E7406="&lt;/routeDistribution&gt;",E7406=""),"",IFERROR(_xlfn.CONCAT(VLOOKUP(U34,Route_Column!#REF!,2,FALSE),CHAR(34)," probability=",CHAR(34),1/U$4,CHAR(34),CHAR(47),CHAR(62)),"&lt;/routeDistribution&gt;"))</f>
        <v/>
      </c>
    </row>
    <row r="7408" spans="1:5" x14ac:dyDescent="0.25">
      <c r="A7408" t="s">
        <v>2348</v>
      </c>
      <c r="B7408" t="s">
        <v>1235</v>
      </c>
      <c r="E7408" t="str">
        <f>IF(OR(E7407="&lt;/routeDistribution&gt;",E7407=""),"",IFERROR(_xlfn.CONCAT(VLOOKUP(U35,Route_Column!#REF!,2,FALSE),CHAR(34)," probability=",CHAR(34),1/U$4,CHAR(34),CHAR(47),CHAR(62)),"&lt;/routeDistribution&gt;"))</f>
        <v/>
      </c>
    </row>
    <row r="7409" spans="1:5" x14ac:dyDescent="0.25">
      <c r="A7409" t="s">
        <v>2348</v>
      </c>
      <c r="B7409" t="s">
        <v>1236</v>
      </c>
      <c r="E7409" t="str">
        <f>IF(OR(E7408="&lt;/routeDistribution&gt;",E7408=""),"",IFERROR(_xlfn.CONCAT(VLOOKUP(U36,Route_Column!#REF!,2,FALSE),CHAR(34)," probability=",CHAR(34),1/U$4,CHAR(34),CHAR(47),CHAR(62)),"&lt;/routeDistribution&gt;"))</f>
        <v/>
      </c>
    </row>
    <row r="7410" spans="1:5" x14ac:dyDescent="0.25">
      <c r="A7410" t="s">
        <v>2348</v>
      </c>
      <c r="B7410" t="s">
        <v>1237</v>
      </c>
      <c r="E7410" t="str">
        <f>IF(OR(E7409="&lt;/routeDistribution&gt;",E7409=""),"",IFERROR(_xlfn.CONCAT(VLOOKUP(U37,Route_Column!#REF!,2,FALSE),CHAR(34)," probability=",CHAR(34),1/U$4,CHAR(34),CHAR(47),CHAR(62)),"&lt;/routeDistribution&gt;"))</f>
        <v/>
      </c>
    </row>
    <row r="7411" spans="1:5" x14ac:dyDescent="0.25">
      <c r="A7411" t="s">
        <v>2348</v>
      </c>
      <c r="B7411" t="s">
        <v>1238</v>
      </c>
      <c r="E7411" t="str">
        <f>IF(OR(E7410="&lt;/routeDistribution&gt;",E7410=""),"",IFERROR(_xlfn.CONCAT(VLOOKUP(U38,Route_Column!#REF!,2,FALSE),CHAR(34)," probability=",CHAR(34),1/U$4,CHAR(34),CHAR(47),CHAR(62)),"&lt;/routeDistribution&gt;"))</f>
        <v/>
      </c>
    </row>
    <row r="7412" spans="1:5" x14ac:dyDescent="0.25">
      <c r="A7412" t="s">
        <v>2348</v>
      </c>
      <c r="B7412" t="s">
        <v>1239</v>
      </c>
      <c r="E7412" t="str">
        <f>IF(OR(E7411="&lt;/routeDistribution&gt;",E7411=""),"",IFERROR(_xlfn.CONCAT(VLOOKUP(U39,Route_Column!#REF!,2,FALSE),CHAR(34)," probability=",CHAR(34),1/U$4,CHAR(34),CHAR(47),CHAR(62)),"&lt;/routeDistribution&gt;"))</f>
        <v/>
      </c>
    </row>
    <row r="7413" spans="1:5" x14ac:dyDescent="0.25">
      <c r="A7413" t="s">
        <v>2348</v>
      </c>
      <c r="B7413" t="s">
        <v>1240</v>
      </c>
      <c r="E7413" t="str">
        <f>IF(OR(E7412="&lt;/routeDistribution&gt;",E7412=""),"",IFERROR(_xlfn.CONCAT(VLOOKUP(U40,Route_Column!#REF!,2,FALSE),CHAR(34)," probability=",CHAR(34),1/U$4,CHAR(34),CHAR(47),CHAR(62)),"&lt;/routeDistribution&gt;"))</f>
        <v/>
      </c>
    </row>
    <row r="7414" spans="1:5" x14ac:dyDescent="0.25">
      <c r="A7414" t="s">
        <v>2348</v>
      </c>
      <c r="B7414" t="s">
        <v>1241</v>
      </c>
      <c r="E7414" t="str">
        <f>IF(OR(E7413="&lt;/routeDistribution&gt;",E7413=""),"",IFERROR(_xlfn.CONCAT(VLOOKUP(U41,Route_Column!#REF!,2,FALSE),CHAR(34)," probability=",CHAR(34),1/U$4,CHAR(34),CHAR(47),CHAR(62)),"&lt;/routeDistribution&gt;"))</f>
        <v/>
      </c>
    </row>
    <row r="7415" spans="1:5" x14ac:dyDescent="0.25">
      <c r="A7415" t="s">
        <v>2348</v>
      </c>
      <c r="B7415" t="s">
        <v>1242</v>
      </c>
      <c r="E7415" t="str">
        <f>IF(OR(E7414="&lt;/routeDistribution&gt;",E7414=""),"",IFERROR(_xlfn.CONCAT(VLOOKUP(U42,Route_Column!#REF!,2,FALSE),CHAR(34)," probability=",CHAR(34),1/U$4,CHAR(34),CHAR(47),CHAR(62)),"&lt;/routeDistribution&gt;"))</f>
        <v/>
      </c>
    </row>
    <row r="7416" spans="1:5" x14ac:dyDescent="0.25">
      <c r="A7416" t="s">
        <v>2348</v>
      </c>
      <c r="B7416" t="s">
        <v>1243</v>
      </c>
      <c r="E7416" t="str">
        <f>IF(OR(E7415="&lt;/routeDistribution&gt;",E7415=""),"",IFERROR(_xlfn.CONCAT(VLOOKUP(U43,Route_Column!#REF!,2,FALSE),CHAR(34)," probability=",CHAR(34),1/U$4,CHAR(34),CHAR(47),CHAR(62)),"&lt;/routeDistribution&gt;"))</f>
        <v/>
      </c>
    </row>
    <row r="7417" spans="1:5" x14ac:dyDescent="0.25">
      <c r="A7417" t="s">
        <v>2348</v>
      </c>
      <c r="B7417" t="s">
        <v>1244</v>
      </c>
      <c r="E7417" t="str">
        <f>IF(OR(E7416="&lt;/routeDistribution&gt;",E7416=""),"",IFERROR(_xlfn.CONCAT(VLOOKUP(U44,Route_Column!#REF!,2,FALSE),CHAR(34)," probability=",CHAR(34),1/U$4,CHAR(34),CHAR(47),CHAR(62)),"&lt;/routeDistribution&gt;"))</f>
        <v/>
      </c>
    </row>
    <row r="7418" spans="1:5" x14ac:dyDescent="0.25">
      <c r="A7418" t="s">
        <v>1700</v>
      </c>
      <c r="B7418" t="s">
        <v>1100</v>
      </c>
      <c r="E7418" t="str">
        <f>IF(OR(E7417="&lt;/routeDistribution&gt;",E7417=""),"",IFERROR(_xlfn.CONCAT(VLOOKUP(U45,Route_Column!#REF!,2,FALSE),CHAR(34)," probability=",CHAR(34),1/U$4,CHAR(34),CHAR(47),CHAR(62)),"&lt;/routeDistribution&gt;"))</f>
        <v/>
      </c>
    </row>
    <row r="7419" spans="1:5" x14ac:dyDescent="0.25">
      <c r="A7419" t="s">
        <v>1700</v>
      </c>
      <c r="B7419" t="s">
        <v>1101</v>
      </c>
      <c r="E7419" t="str">
        <f>IF(OR(E7418="&lt;/routeDistribution&gt;",E7418=""),"",IFERROR(_xlfn.CONCAT(VLOOKUP(U46,Route_Column!#REF!,2,FALSE),CHAR(34)," probability=",CHAR(34),1/U$4,CHAR(34),CHAR(47),CHAR(62)),"&lt;/routeDistribution&gt;"))</f>
        <v/>
      </c>
    </row>
    <row r="7420" spans="1:5" x14ac:dyDescent="0.25">
      <c r="A7420" t="s">
        <v>1700</v>
      </c>
      <c r="B7420" t="s">
        <v>1142</v>
      </c>
      <c r="E7420" t="str">
        <f>IF(OR(E7419="&lt;/routeDistribution&gt;",E7419=""),"",IFERROR(_xlfn.CONCAT(VLOOKUP(U47,Route_Column!#REF!,2,FALSE),CHAR(34)," probability=",CHAR(34),1/U$4,CHAR(34),CHAR(47),CHAR(62)),"&lt;/routeDistribution&gt;"))</f>
        <v/>
      </c>
    </row>
    <row r="7421" spans="1:5" x14ac:dyDescent="0.25">
      <c r="A7421" t="s">
        <v>1700</v>
      </c>
      <c r="B7421" t="s">
        <v>1148</v>
      </c>
      <c r="E7421" t="str">
        <f>IF(OR(E7420="&lt;/routeDistribution&gt;",E7420=""),"",IFERROR(_xlfn.CONCAT(VLOOKUP(U48,Route_Column!#REF!,2,FALSE),CHAR(34)," probability=",CHAR(34),1/U$4,CHAR(34),CHAR(47),CHAR(62)),"&lt;/routeDistribution&gt;"))</f>
        <v/>
      </c>
    </row>
    <row r="7422" spans="1:5" x14ac:dyDescent="0.25">
      <c r="A7422" t="s">
        <v>1700</v>
      </c>
      <c r="B7422" t="s">
        <v>1164</v>
      </c>
      <c r="E7422" t="str">
        <f>IF(OR(E7421="&lt;/routeDistribution&gt;",E7421=""),"",IFERROR(_xlfn.CONCAT(VLOOKUP(U49,Route_Column!#REF!,2,FALSE),CHAR(34)," probability=",CHAR(34),1/U$4,CHAR(34),CHAR(47),CHAR(62)),"&lt;/routeDistribution&gt;"))</f>
        <v/>
      </c>
    </row>
    <row r="7423" spans="1:5" x14ac:dyDescent="0.25">
      <c r="A7423" t="s">
        <v>1700</v>
      </c>
      <c r="B7423" t="s">
        <v>1178</v>
      </c>
      <c r="E7423" t="str">
        <f>IF(OR(E7422="&lt;/routeDistribution&gt;",E7422=""),"",IFERROR(_xlfn.CONCAT(VLOOKUP(U50,Route_Column!#REF!,2,FALSE),CHAR(34)," probability=",CHAR(34),1/U$4,CHAR(34),CHAR(47),CHAR(62)),"&lt;/routeDistribution&gt;"))</f>
        <v/>
      </c>
    </row>
    <row r="7424" spans="1:5" x14ac:dyDescent="0.25">
      <c r="A7424" t="s">
        <v>1700</v>
      </c>
      <c r="B7424" t="s">
        <v>1201</v>
      </c>
      <c r="E7424" t="str">
        <f>IF(OR(E7423="&lt;/routeDistribution&gt;",E7423=""),"",IFERROR(_xlfn.CONCAT(VLOOKUP(U51,Route_Column!#REF!,2,FALSE),CHAR(34)," probability=",CHAR(34),1/U$4,CHAR(34),CHAR(47),CHAR(62)),"&lt;/routeDistribution&gt;"))</f>
        <v/>
      </c>
    </row>
    <row r="7425" spans="1:5" x14ac:dyDescent="0.25">
      <c r="A7425" t="s">
        <v>1700</v>
      </c>
      <c r="B7425" t="s">
        <v>1202</v>
      </c>
      <c r="E7425" t="str">
        <f>IF(OR(E7424="&lt;/routeDistribution&gt;",E7424=""),"",IFERROR(_xlfn.CONCAT(VLOOKUP(U52,Route_Column!#REF!,2,FALSE),CHAR(34)," probability=",CHAR(34),1/U$4,CHAR(34),CHAR(47),CHAR(62)),"&lt;/routeDistribution&gt;"))</f>
        <v/>
      </c>
    </row>
    <row r="7426" spans="1:5" x14ac:dyDescent="0.25">
      <c r="A7426" t="s">
        <v>1700</v>
      </c>
      <c r="B7426" t="s">
        <v>1206</v>
      </c>
      <c r="E7426" t="str">
        <f>IF(OR(E7425="&lt;/routeDistribution&gt;",E7425=""),"",IFERROR(_xlfn.CONCAT(VLOOKUP(U53,Route_Column!#REF!,2,FALSE),CHAR(34)," probability=",CHAR(34),1/U$4,CHAR(34),CHAR(47),CHAR(62)),"&lt;/routeDistribution&gt;"))</f>
        <v/>
      </c>
    </row>
    <row r="7427" spans="1:5" x14ac:dyDescent="0.25">
      <c r="A7427" t="s">
        <v>1700</v>
      </c>
      <c r="B7427" t="s">
        <v>1207</v>
      </c>
      <c r="E7427" t="str">
        <f>IF(OR(E7426="&lt;/routeDistribution&gt;",E7426=""),"",IFERROR(_xlfn.CONCAT(VLOOKUP(U54,Route_Column!#REF!,2,FALSE),CHAR(34)," probability=",CHAR(34),1/U$4,CHAR(34),CHAR(47),CHAR(62)),"&lt;/routeDistribution&gt;"))</f>
        <v/>
      </c>
    </row>
    <row r="7428" spans="1:5" x14ac:dyDescent="0.25">
      <c r="A7428" t="s">
        <v>1700</v>
      </c>
      <c r="B7428" t="s">
        <v>1235</v>
      </c>
      <c r="E7428" t="str">
        <f>IF(OR(E7427="&lt;/routeDistribution&gt;",E7427=""),"",IFERROR(_xlfn.CONCAT(VLOOKUP(U55,Route_Column!#REF!,2,FALSE),CHAR(34)," probability=",CHAR(34),1/U$4,CHAR(34),CHAR(47),CHAR(62)),"&lt;/routeDistribution&gt;"))</f>
        <v/>
      </c>
    </row>
    <row r="7429" spans="1:5" x14ac:dyDescent="0.25">
      <c r="A7429" t="s">
        <v>1700</v>
      </c>
      <c r="B7429" t="s">
        <v>1236</v>
      </c>
      <c r="E7429" t="str">
        <f>IF(OR(E7428="&lt;/routeDistribution&gt;",E7428=""),"",IFERROR(_xlfn.CONCAT(VLOOKUP(U56,Route_Column!#REF!,2,FALSE),CHAR(34)," probability=",CHAR(34),1/U$4,CHAR(34),CHAR(47),CHAR(62)),"&lt;/routeDistribution&gt;"))</f>
        <v/>
      </c>
    </row>
    <row r="7430" spans="1:5" x14ac:dyDescent="0.25">
      <c r="A7430" t="s">
        <v>1700</v>
      </c>
      <c r="B7430" t="s">
        <v>1243</v>
      </c>
      <c r="E7430" t="str">
        <f>IF(OR(E7429="&lt;/routeDistribution&gt;",E7429=""),"",IFERROR(_xlfn.CONCAT(VLOOKUP(U57,Route_Column!#REF!,2,FALSE),CHAR(34)," probability=",CHAR(34),1/U$4,CHAR(34),CHAR(47),CHAR(62)),"&lt;/routeDistribution&gt;"))</f>
        <v/>
      </c>
    </row>
    <row r="7431" spans="1:5" x14ac:dyDescent="0.25">
      <c r="A7431" t="s">
        <v>2347</v>
      </c>
      <c r="B7431" t="s">
        <v>1235</v>
      </c>
      <c r="E7431" t="str">
        <f>IF(OR(E7430="&lt;/routeDistribution&gt;",E7430=""),"",IFERROR(_xlfn.CONCAT(VLOOKUP(U58,Route_Column!#REF!,2,FALSE),CHAR(34)," probability=",CHAR(34),1/U$4,CHAR(34),CHAR(47),CHAR(62)),"&lt;/routeDistribution&gt;"))</f>
        <v/>
      </c>
    </row>
    <row r="7432" spans="1:5" x14ac:dyDescent="0.25">
      <c r="A7432" t="s">
        <v>2347</v>
      </c>
      <c r="B7432" t="s">
        <v>1236</v>
      </c>
      <c r="E7432" t="str">
        <f>IF(OR(E7431="&lt;/routeDistribution&gt;",E7431=""),"",IFERROR(_xlfn.CONCAT(VLOOKUP(U59,Route_Column!#REF!,2,FALSE),CHAR(34)," probability=",CHAR(34),1/U$4,CHAR(34),CHAR(47),CHAR(62)),"&lt;/routeDistribution&gt;"))</f>
        <v/>
      </c>
    </row>
    <row r="7433" spans="1:5" x14ac:dyDescent="0.25">
      <c r="A7433" t="s">
        <v>2347</v>
      </c>
      <c r="B7433" t="s">
        <v>1237</v>
      </c>
      <c r="E7433" t="str">
        <f>IF(OR(E7432="&lt;/routeDistribution&gt;",E7432=""),"",IFERROR(_xlfn.CONCAT(VLOOKUP(U60,Route_Column!#REF!,2,FALSE),CHAR(34)," probability=",CHAR(34),1/U$4,CHAR(34),CHAR(47),CHAR(62)),"&lt;/routeDistribution&gt;"))</f>
        <v/>
      </c>
    </row>
    <row r="7434" spans="1:5" x14ac:dyDescent="0.25">
      <c r="A7434" t="s">
        <v>2347</v>
      </c>
      <c r="B7434" t="s">
        <v>1238</v>
      </c>
      <c r="E7434" t="str">
        <f>IF(OR(E7433="&lt;/routeDistribution&gt;",E7433=""),"",IFERROR(_xlfn.CONCAT(VLOOKUP(U61,Route_Column!#REF!,2,FALSE),CHAR(34)," probability=",CHAR(34),1/U$4,CHAR(34),CHAR(47),CHAR(62)),"&lt;/routeDistribution&gt;"))</f>
        <v/>
      </c>
    </row>
    <row r="7435" spans="1:5" x14ac:dyDescent="0.25">
      <c r="A7435" t="s">
        <v>2347</v>
      </c>
      <c r="B7435" t="s">
        <v>1239</v>
      </c>
      <c r="E7435" t="str">
        <f>IF(OR(E7434="&lt;/routeDistribution&gt;",E7434=""),"",IFERROR(_xlfn.CONCAT(VLOOKUP(U62,Route_Column!#REF!,2,FALSE),CHAR(34)," probability=",CHAR(34),1/U$4,CHAR(34),CHAR(47),CHAR(62)),"&lt;/routeDistribution&gt;"))</f>
        <v/>
      </c>
    </row>
    <row r="7436" spans="1:5" x14ac:dyDescent="0.25">
      <c r="A7436" t="s">
        <v>2347</v>
      </c>
      <c r="B7436" t="s">
        <v>1240</v>
      </c>
      <c r="E7436" t="str">
        <f>IF(OR(E7435="&lt;/routeDistribution&gt;",E7435=""),"",IFERROR(_xlfn.CONCAT(VLOOKUP(U63,Route_Column!#REF!,2,FALSE),CHAR(34)," probability=",CHAR(34),1/U$4,CHAR(34),CHAR(47),CHAR(62)),"&lt;/routeDistribution&gt;"))</f>
        <v/>
      </c>
    </row>
    <row r="7437" spans="1:5" x14ac:dyDescent="0.25">
      <c r="A7437" t="s">
        <v>2347</v>
      </c>
      <c r="B7437" t="s">
        <v>1241</v>
      </c>
      <c r="E7437" t="s">
        <v>2686</v>
      </c>
    </row>
    <row r="7438" spans="1:5" x14ac:dyDescent="0.25">
      <c r="A7438" t="s">
        <v>2347</v>
      </c>
      <c r="B7438" t="s">
        <v>1242</v>
      </c>
    </row>
    <row r="7439" spans="1:5" x14ac:dyDescent="0.25">
      <c r="A7439" t="s">
        <v>2347</v>
      </c>
      <c r="B7439" t="s">
        <v>1243</v>
      </c>
    </row>
    <row r="7440" spans="1:5" x14ac:dyDescent="0.25">
      <c r="A7440" t="s">
        <v>2347</v>
      </c>
      <c r="B7440" t="s">
        <v>1244</v>
      </c>
      <c r="E7440" t="str">
        <f>_xlfn.CONCAT($E$1,T$2,$F$1)</f>
        <v>&lt;routeDistribution id="JKF-SCHave-to-23rd-EB-2015-RouteProbe"&gt;</v>
      </c>
    </row>
    <row r="7441" spans="1:5" x14ac:dyDescent="0.25">
      <c r="A7441" t="s">
        <v>2347</v>
      </c>
      <c r="B7441" t="s">
        <v>1245</v>
      </c>
      <c r="E7441" t="str">
        <f>IF(OR(E7440="&lt;/routeDistribution&gt;",E7440=""),"",IFERROR(_xlfn.CONCAT(VLOOKUP(T5,Route_Column!#REF!,2,FALSE),CHAR(34)," probability=",CHAR(34),1/T$4,CHAR(34),CHAR(47),CHAR(62)),"&lt;/routeDistribution&gt;"))</f>
        <v>&lt;/routeDistribution&gt;</v>
      </c>
    </row>
    <row r="7442" spans="1:5" x14ac:dyDescent="0.25">
      <c r="A7442" t="s">
        <v>2347</v>
      </c>
      <c r="B7442" t="s">
        <v>1246</v>
      </c>
      <c r="E7442" t="str">
        <f>IF(OR(E7441="&lt;/routeDistribution&gt;",E7441=""),"",IFERROR(_xlfn.CONCAT(VLOOKUP(T6,Route_Column!#REF!,2,FALSE),CHAR(34)," probability=",CHAR(34),1/T$4,CHAR(34),CHAR(47),CHAR(62)),"&lt;/routeDistribution&gt;"))</f>
        <v/>
      </c>
    </row>
    <row r="7443" spans="1:5" x14ac:dyDescent="0.25">
      <c r="A7443" t="s">
        <v>2347</v>
      </c>
      <c r="B7443" t="s">
        <v>1247</v>
      </c>
      <c r="E7443" t="str">
        <f>IF(OR(E7442="&lt;/routeDistribution&gt;",E7442=""),"",IFERROR(_xlfn.CONCAT(VLOOKUP(T7,Route_Column!#REF!,2,FALSE),CHAR(34)," probability=",CHAR(34),1/T$4,CHAR(34),CHAR(47),CHAR(62)),"&lt;/routeDistribution&gt;"))</f>
        <v/>
      </c>
    </row>
    <row r="7444" spans="1:5" x14ac:dyDescent="0.25">
      <c r="A7444" t="s">
        <v>2347</v>
      </c>
      <c r="B7444" t="s">
        <v>1248</v>
      </c>
      <c r="E7444" t="str">
        <f>IF(OR(E7443="&lt;/routeDistribution&gt;",E7443=""),"",IFERROR(_xlfn.CONCAT(VLOOKUP(T8,Route_Column!#REF!,2,FALSE),CHAR(34)," probability=",CHAR(34),1/T$4,CHAR(34),CHAR(47),CHAR(62)),"&lt;/routeDistribution&gt;"))</f>
        <v/>
      </c>
    </row>
    <row r="7445" spans="1:5" x14ac:dyDescent="0.25">
      <c r="A7445" t="s">
        <v>2347</v>
      </c>
      <c r="B7445" t="s">
        <v>1249</v>
      </c>
      <c r="E7445" t="str">
        <f>IF(OR(E7444="&lt;/routeDistribution&gt;",E7444=""),"",IFERROR(_xlfn.CONCAT(VLOOKUP(T9,Route_Column!#REF!,2,FALSE),CHAR(34)," probability=",CHAR(34),1/T$4,CHAR(34),CHAR(47),CHAR(62)),"&lt;/routeDistribution&gt;"))</f>
        <v/>
      </c>
    </row>
    <row r="7446" spans="1:5" x14ac:dyDescent="0.25">
      <c r="A7446" t="s">
        <v>1701</v>
      </c>
      <c r="B7446" t="s">
        <v>1100</v>
      </c>
      <c r="E7446" t="str">
        <f>IF(OR(E7445="&lt;/routeDistribution&gt;",E7445=""),"",IFERROR(_xlfn.CONCAT(VLOOKUP(T10,Route_Column!#REF!,2,FALSE),CHAR(34)," probability=",CHAR(34),1/T$4,CHAR(34),CHAR(47),CHAR(62)),"&lt;/routeDistribution&gt;"))</f>
        <v/>
      </c>
    </row>
    <row r="7447" spans="1:5" x14ac:dyDescent="0.25">
      <c r="A7447" t="s">
        <v>1701</v>
      </c>
      <c r="B7447" t="s">
        <v>1101</v>
      </c>
      <c r="E7447" t="str">
        <f>IF(OR(E7446="&lt;/routeDistribution&gt;",E7446=""),"",IFERROR(_xlfn.CONCAT(VLOOKUP(T11,Route_Column!#REF!,2,FALSE),CHAR(34)," probability=",CHAR(34),1/T$4,CHAR(34),CHAR(47),CHAR(62)),"&lt;/routeDistribution&gt;"))</f>
        <v/>
      </c>
    </row>
    <row r="7448" spans="1:5" x14ac:dyDescent="0.25">
      <c r="A7448" t="s">
        <v>1701</v>
      </c>
      <c r="B7448" t="s">
        <v>1164</v>
      </c>
      <c r="E7448" t="str">
        <f>IF(OR(E7447="&lt;/routeDistribution&gt;",E7447=""),"",IFERROR(_xlfn.CONCAT(VLOOKUP(T12,Route_Column!#REF!,2,FALSE),CHAR(34)," probability=",CHAR(34),1/T$4,CHAR(34),CHAR(47),CHAR(62)),"&lt;/routeDistribution&gt;"))</f>
        <v/>
      </c>
    </row>
    <row r="7449" spans="1:5" x14ac:dyDescent="0.25">
      <c r="A7449" t="s">
        <v>1701</v>
      </c>
      <c r="B7449" t="s">
        <v>1211</v>
      </c>
      <c r="E7449" t="str">
        <f>IF(OR(E7448="&lt;/routeDistribution&gt;",E7448=""),"",IFERROR(_xlfn.CONCAT(VLOOKUP(T13,Route_Column!#REF!,2,FALSE),CHAR(34)," probability=",CHAR(34),1/T$4,CHAR(34),CHAR(47),CHAR(62)),"&lt;/routeDistribution&gt;"))</f>
        <v/>
      </c>
    </row>
    <row r="7450" spans="1:5" x14ac:dyDescent="0.25">
      <c r="A7450" t="s">
        <v>1701</v>
      </c>
      <c r="B7450" t="s">
        <v>1235</v>
      </c>
      <c r="E7450" t="str">
        <f>IF(OR(E7449="&lt;/routeDistribution&gt;",E7449=""),"",IFERROR(_xlfn.CONCAT(VLOOKUP(T14,Route_Column!#REF!,2,FALSE),CHAR(34)," probability=",CHAR(34),1/T$4,CHAR(34),CHAR(47),CHAR(62)),"&lt;/routeDistribution&gt;"))</f>
        <v/>
      </c>
    </row>
    <row r="7451" spans="1:5" x14ac:dyDescent="0.25">
      <c r="A7451" t="s">
        <v>1701</v>
      </c>
      <c r="B7451" t="s">
        <v>1236</v>
      </c>
      <c r="E7451" t="str">
        <f>IF(OR(E7450="&lt;/routeDistribution&gt;",E7450=""),"",IFERROR(_xlfn.CONCAT(VLOOKUP(T15,Route_Column!#REF!,2,FALSE),CHAR(34)," probability=",CHAR(34),1/T$4,CHAR(34),CHAR(47),CHAR(62)),"&lt;/routeDistribution&gt;"))</f>
        <v/>
      </c>
    </row>
    <row r="7452" spans="1:5" x14ac:dyDescent="0.25">
      <c r="A7452" t="s">
        <v>1701</v>
      </c>
      <c r="B7452" t="s">
        <v>1243</v>
      </c>
      <c r="E7452" t="str">
        <f>IF(OR(E7451="&lt;/routeDistribution&gt;",E7451=""),"",IFERROR(_xlfn.CONCAT(VLOOKUP(T16,Route_Column!#REF!,2,FALSE),CHAR(34)," probability=",CHAR(34),1/T$4,CHAR(34),CHAR(47),CHAR(62)),"&lt;/routeDistribution&gt;"))</f>
        <v/>
      </c>
    </row>
    <row r="7453" spans="1:5" x14ac:dyDescent="0.25">
      <c r="A7453" t="s">
        <v>2346</v>
      </c>
      <c r="B7453" t="s">
        <v>1235</v>
      </c>
      <c r="E7453" t="str">
        <f>IF(OR(E7452="&lt;/routeDistribution&gt;",E7452=""),"",IFERROR(_xlfn.CONCAT(VLOOKUP(T17,Route_Column!#REF!,2,FALSE),CHAR(34)," probability=",CHAR(34),1/T$4,CHAR(34),CHAR(47),CHAR(62)),"&lt;/routeDistribution&gt;"))</f>
        <v/>
      </c>
    </row>
    <row r="7454" spans="1:5" x14ac:dyDescent="0.25">
      <c r="A7454" t="s">
        <v>2346</v>
      </c>
      <c r="B7454" t="s">
        <v>1236</v>
      </c>
      <c r="E7454" t="str">
        <f>IF(OR(E7453="&lt;/routeDistribution&gt;",E7453=""),"",IFERROR(_xlfn.CONCAT(VLOOKUP(T18,Route_Column!#REF!,2,FALSE),CHAR(34)," probability=",CHAR(34),1/T$4,CHAR(34),CHAR(47),CHAR(62)),"&lt;/routeDistribution&gt;"))</f>
        <v/>
      </c>
    </row>
    <row r="7455" spans="1:5" x14ac:dyDescent="0.25">
      <c r="A7455" t="s">
        <v>2346</v>
      </c>
      <c r="B7455" t="s">
        <v>1237</v>
      </c>
      <c r="E7455" t="str">
        <f>IF(OR(E7454="&lt;/routeDistribution&gt;",E7454=""),"",IFERROR(_xlfn.CONCAT(VLOOKUP(T19,Route_Column!#REF!,2,FALSE),CHAR(34)," probability=",CHAR(34),1/T$4,CHAR(34),CHAR(47),CHAR(62)),"&lt;/routeDistribution&gt;"))</f>
        <v/>
      </c>
    </row>
    <row r="7456" spans="1:5" x14ac:dyDescent="0.25">
      <c r="A7456" t="s">
        <v>2346</v>
      </c>
      <c r="B7456" t="s">
        <v>1238</v>
      </c>
      <c r="E7456" t="str">
        <f>IF(OR(E7455="&lt;/routeDistribution&gt;",E7455=""),"",IFERROR(_xlfn.CONCAT(VLOOKUP(T20,Route_Column!#REF!,2,FALSE),CHAR(34)," probability=",CHAR(34),1/T$4,CHAR(34),CHAR(47),CHAR(62)),"&lt;/routeDistribution&gt;"))</f>
        <v/>
      </c>
    </row>
    <row r="7457" spans="1:5" x14ac:dyDescent="0.25">
      <c r="A7457" t="s">
        <v>2346</v>
      </c>
      <c r="B7457" t="s">
        <v>1239</v>
      </c>
      <c r="E7457" t="str">
        <f>IF(OR(E7456="&lt;/routeDistribution&gt;",E7456=""),"",IFERROR(_xlfn.CONCAT(VLOOKUP(T21,Route_Column!#REF!,2,FALSE),CHAR(34)," probability=",CHAR(34),1/T$4,CHAR(34),CHAR(47),CHAR(62)),"&lt;/routeDistribution&gt;"))</f>
        <v/>
      </c>
    </row>
    <row r="7458" spans="1:5" x14ac:dyDescent="0.25">
      <c r="A7458" t="s">
        <v>2346</v>
      </c>
      <c r="B7458" t="s">
        <v>1240</v>
      </c>
      <c r="E7458" t="str">
        <f>IF(OR(E7457="&lt;/routeDistribution&gt;",E7457=""),"",IFERROR(_xlfn.CONCAT(VLOOKUP(T22,Route_Column!#REF!,2,FALSE),CHAR(34)," probability=",CHAR(34),1/T$4,CHAR(34),CHAR(47),CHAR(62)),"&lt;/routeDistribution&gt;"))</f>
        <v/>
      </c>
    </row>
    <row r="7459" spans="1:5" x14ac:dyDescent="0.25">
      <c r="A7459" t="s">
        <v>2346</v>
      </c>
      <c r="B7459" t="s">
        <v>1241</v>
      </c>
      <c r="E7459" t="str">
        <f>IF(OR(E7458="&lt;/routeDistribution&gt;",E7458=""),"",IFERROR(_xlfn.CONCAT(VLOOKUP(T23,Route_Column!#REF!,2,FALSE),CHAR(34)," probability=",CHAR(34),1/T$4,CHAR(34),CHAR(47),CHAR(62)),"&lt;/routeDistribution&gt;"))</f>
        <v/>
      </c>
    </row>
    <row r="7460" spans="1:5" x14ac:dyDescent="0.25">
      <c r="A7460" t="s">
        <v>2346</v>
      </c>
      <c r="B7460" t="s">
        <v>1242</v>
      </c>
      <c r="E7460" t="str">
        <f>IF(OR(E7459="&lt;/routeDistribution&gt;",E7459=""),"",IFERROR(_xlfn.CONCAT(VLOOKUP(T24,Route_Column!#REF!,2,FALSE),CHAR(34)," probability=",CHAR(34),1/T$4,CHAR(34),CHAR(47),CHAR(62)),"&lt;/routeDistribution&gt;"))</f>
        <v/>
      </c>
    </row>
    <row r="7461" spans="1:5" x14ac:dyDescent="0.25">
      <c r="A7461" t="s">
        <v>2346</v>
      </c>
      <c r="B7461" t="s">
        <v>1243</v>
      </c>
      <c r="E7461" t="str">
        <f>IF(OR(E7460="&lt;/routeDistribution&gt;",E7460=""),"",IFERROR(_xlfn.CONCAT(VLOOKUP(T25,Route_Column!#REF!,2,FALSE),CHAR(34)," probability=",CHAR(34),1/T$4,CHAR(34),CHAR(47),CHAR(62)),"&lt;/routeDistribution&gt;"))</f>
        <v/>
      </c>
    </row>
    <row r="7462" spans="1:5" x14ac:dyDescent="0.25">
      <c r="A7462" t="s">
        <v>2346</v>
      </c>
      <c r="B7462" t="s">
        <v>1244</v>
      </c>
      <c r="E7462" t="str">
        <f>IF(OR(E7461="&lt;/routeDistribution&gt;",E7461=""),"",IFERROR(_xlfn.CONCAT(VLOOKUP(T26,Route_Column!#REF!,2,FALSE),CHAR(34)," probability=",CHAR(34),1/T$4,CHAR(34),CHAR(47),CHAR(62)),"&lt;/routeDistribution&gt;"))</f>
        <v/>
      </c>
    </row>
    <row r="7463" spans="1:5" x14ac:dyDescent="0.25">
      <c r="A7463" t="s">
        <v>2346</v>
      </c>
      <c r="B7463" t="s">
        <v>1245</v>
      </c>
      <c r="E7463" t="str">
        <f>IF(OR(E7462="&lt;/routeDistribution&gt;",E7462=""),"",IFERROR(_xlfn.CONCAT(VLOOKUP(T27,Route_Column!#REF!,2,FALSE),CHAR(34)," probability=",CHAR(34),1/T$4,CHAR(34),CHAR(47),CHAR(62)),"&lt;/routeDistribution&gt;"))</f>
        <v/>
      </c>
    </row>
    <row r="7464" spans="1:5" x14ac:dyDescent="0.25">
      <c r="A7464" t="s">
        <v>2346</v>
      </c>
      <c r="B7464" t="s">
        <v>1246</v>
      </c>
      <c r="E7464" t="str">
        <f>IF(OR(E7463="&lt;/routeDistribution&gt;",E7463=""),"",IFERROR(_xlfn.CONCAT(VLOOKUP(T28,Route_Column!#REF!,2,FALSE),CHAR(34)," probability=",CHAR(34),1/T$4,CHAR(34),CHAR(47),CHAR(62)),"&lt;/routeDistribution&gt;"))</f>
        <v/>
      </c>
    </row>
    <row r="7465" spans="1:5" x14ac:dyDescent="0.25">
      <c r="A7465" t="s">
        <v>2346</v>
      </c>
      <c r="B7465" t="s">
        <v>1247</v>
      </c>
      <c r="E7465" t="str">
        <f>IF(OR(E7464="&lt;/routeDistribution&gt;",E7464=""),"",IFERROR(_xlfn.CONCAT(VLOOKUP(T29,Route_Column!#REF!,2,FALSE),CHAR(34)," probability=",CHAR(34),1/T$4,CHAR(34),CHAR(47),CHAR(62)),"&lt;/routeDistribution&gt;"))</f>
        <v/>
      </c>
    </row>
    <row r="7466" spans="1:5" x14ac:dyDescent="0.25">
      <c r="A7466" t="s">
        <v>2346</v>
      </c>
      <c r="B7466" t="s">
        <v>1248</v>
      </c>
      <c r="E7466" t="str">
        <f>IF(OR(E7465="&lt;/routeDistribution&gt;",E7465=""),"",IFERROR(_xlfn.CONCAT(VLOOKUP(T30,Route_Column!#REF!,2,FALSE),CHAR(34)," probability=",CHAR(34),1/T$4,CHAR(34),CHAR(47),CHAR(62)),"&lt;/routeDistribution&gt;"))</f>
        <v/>
      </c>
    </row>
    <row r="7467" spans="1:5" x14ac:dyDescent="0.25">
      <c r="A7467" t="s">
        <v>2346</v>
      </c>
      <c r="B7467" t="s">
        <v>1249</v>
      </c>
      <c r="E7467" t="str">
        <f>IF(OR(E7466="&lt;/routeDistribution&gt;",E7466=""),"",IFERROR(_xlfn.CONCAT(VLOOKUP(T31,Route_Column!#REF!,2,FALSE),CHAR(34)," probability=",CHAR(34),1/T$4,CHAR(34),CHAR(47),CHAR(62)),"&lt;/routeDistribution&gt;"))</f>
        <v/>
      </c>
    </row>
    <row r="7468" spans="1:5" x14ac:dyDescent="0.25">
      <c r="A7468" t="s">
        <v>1688</v>
      </c>
      <c r="B7468" t="s">
        <v>1099</v>
      </c>
      <c r="E7468" t="str">
        <f>IF(OR(E7467="&lt;/routeDistribution&gt;",E7467=""),"",IFERROR(_xlfn.CONCAT(VLOOKUP(T32,Route_Column!#REF!,2,FALSE),CHAR(34)," probability=",CHAR(34),1/T$4,CHAR(34),CHAR(47),CHAR(62)),"&lt;/routeDistribution&gt;"))</f>
        <v/>
      </c>
    </row>
    <row r="7469" spans="1:5" x14ac:dyDescent="0.25">
      <c r="A7469" t="s">
        <v>1688</v>
      </c>
      <c r="B7469" t="s">
        <v>1109</v>
      </c>
      <c r="E7469" t="str">
        <f>IF(OR(E7468="&lt;/routeDistribution&gt;",E7468=""),"",IFERROR(_xlfn.CONCAT(VLOOKUP(T33,Route_Column!#REF!,2,FALSE),CHAR(34)," probability=",CHAR(34),1/T$4,CHAR(34),CHAR(47),CHAR(62)),"&lt;/routeDistribution&gt;"))</f>
        <v/>
      </c>
    </row>
    <row r="7470" spans="1:5" x14ac:dyDescent="0.25">
      <c r="A7470" t="s">
        <v>1688</v>
      </c>
      <c r="B7470" t="s">
        <v>1122</v>
      </c>
      <c r="E7470" t="str">
        <f>IF(OR(E7469="&lt;/routeDistribution&gt;",E7469=""),"",IFERROR(_xlfn.CONCAT(VLOOKUP(T34,Route_Column!#REF!,2,FALSE),CHAR(34)," probability=",CHAR(34),1/T$4,CHAR(34),CHAR(47),CHAR(62)),"&lt;/routeDistribution&gt;"))</f>
        <v/>
      </c>
    </row>
    <row r="7471" spans="1:5" x14ac:dyDescent="0.25">
      <c r="A7471" t="s">
        <v>1688</v>
      </c>
      <c r="B7471" t="s">
        <v>1167</v>
      </c>
      <c r="E7471" t="str">
        <f>IF(OR(E7470="&lt;/routeDistribution&gt;",E7470=""),"",IFERROR(_xlfn.CONCAT(VLOOKUP(T35,Route_Column!#REF!,2,FALSE),CHAR(34)," probability=",CHAR(34),1/T$4,CHAR(34),CHAR(47),CHAR(62)),"&lt;/routeDistribution&gt;"))</f>
        <v/>
      </c>
    </row>
    <row r="7472" spans="1:5" x14ac:dyDescent="0.25">
      <c r="A7472" t="s">
        <v>1688</v>
      </c>
      <c r="B7472" t="s">
        <v>1207</v>
      </c>
      <c r="E7472" t="str">
        <f>IF(OR(E7471="&lt;/routeDistribution&gt;",E7471=""),"",IFERROR(_xlfn.CONCAT(VLOOKUP(T36,Route_Column!#REF!,2,FALSE),CHAR(34)," probability=",CHAR(34),1/T$4,CHAR(34),CHAR(47),CHAR(62)),"&lt;/routeDistribution&gt;"))</f>
        <v/>
      </c>
    </row>
    <row r="7473" spans="1:5" x14ac:dyDescent="0.25">
      <c r="A7473" t="s">
        <v>1687</v>
      </c>
      <c r="B7473" t="s">
        <v>1099</v>
      </c>
      <c r="E7473" t="str">
        <f>IF(OR(E7472="&lt;/routeDistribution&gt;",E7472=""),"",IFERROR(_xlfn.CONCAT(VLOOKUP(T37,Route_Column!#REF!,2,FALSE),CHAR(34)," probability=",CHAR(34),1/T$4,CHAR(34),CHAR(47),CHAR(62)),"&lt;/routeDistribution&gt;"))</f>
        <v/>
      </c>
    </row>
    <row r="7474" spans="1:5" x14ac:dyDescent="0.25">
      <c r="A7474" t="s">
        <v>1687</v>
      </c>
      <c r="B7474" t="s">
        <v>1109</v>
      </c>
      <c r="E7474" t="str">
        <f>IF(OR(E7473="&lt;/routeDistribution&gt;",E7473=""),"",IFERROR(_xlfn.CONCAT(VLOOKUP(T38,Route_Column!#REF!,2,FALSE),CHAR(34)," probability=",CHAR(34),1/T$4,CHAR(34),CHAR(47),CHAR(62)),"&lt;/routeDistribution&gt;"))</f>
        <v/>
      </c>
    </row>
    <row r="7475" spans="1:5" x14ac:dyDescent="0.25">
      <c r="A7475" t="s">
        <v>1687</v>
      </c>
      <c r="B7475" t="s">
        <v>1122</v>
      </c>
      <c r="E7475" t="str">
        <f>IF(OR(E7474="&lt;/routeDistribution&gt;",E7474=""),"",IFERROR(_xlfn.CONCAT(VLOOKUP(T39,Route_Column!#REF!,2,FALSE),CHAR(34)," probability=",CHAR(34),1/T$4,CHAR(34),CHAR(47),CHAR(62)),"&lt;/routeDistribution&gt;"))</f>
        <v/>
      </c>
    </row>
    <row r="7476" spans="1:5" x14ac:dyDescent="0.25">
      <c r="A7476" t="s">
        <v>1687</v>
      </c>
      <c r="B7476" t="s">
        <v>1167</v>
      </c>
      <c r="E7476" t="str">
        <f>IF(OR(E7475="&lt;/routeDistribution&gt;",E7475=""),"",IFERROR(_xlfn.CONCAT(VLOOKUP(T40,Route_Column!#REF!,2,FALSE),CHAR(34)," probability=",CHAR(34),1/T$4,CHAR(34),CHAR(47),CHAR(62)),"&lt;/routeDistribution&gt;"))</f>
        <v/>
      </c>
    </row>
    <row r="7477" spans="1:5" x14ac:dyDescent="0.25">
      <c r="A7477" t="s">
        <v>1687</v>
      </c>
      <c r="B7477" t="s">
        <v>1207</v>
      </c>
      <c r="E7477" t="str">
        <f>IF(OR(E7476="&lt;/routeDistribution&gt;",E7476=""),"",IFERROR(_xlfn.CONCAT(VLOOKUP(T41,Route_Column!#REF!,2,FALSE),CHAR(34)," probability=",CHAR(34),1/T$4,CHAR(34),CHAR(47),CHAR(62)),"&lt;/routeDistribution&gt;"))</f>
        <v/>
      </c>
    </row>
    <row r="7478" spans="1:5" x14ac:dyDescent="0.25">
      <c r="A7478" t="s">
        <v>1799</v>
      </c>
      <c r="B7478" t="s">
        <v>1107</v>
      </c>
      <c r="E7478" t="str">
        <f>IF(OR(E7477="&lt;/routeDistribution&gt;",E7477=""),"",IFERROR(_xlfn.CONCAT(VLOOKUP(T42,Route_Column!#REF!,2,FALSE),CHAR(34)," probability=",CHAR(34),1/T$4,CHAR(34),CHAR(47),CHAR(62)),"&lt;/routeDistribution&gt;"))</f>
        <v/>
      </c>
    </row>
    <row r="7479" spans="1:5" x14ac:dyDescent="0.25">
      <c r="A7479" t="s">
        <v>1799</v>
      </c>
      <c r="B7479" t="s">
        <v>1109</v>
      </c>
      <c r="E7479" t="str">
        <f>IF(OR(E7478="&lt;/routeDistribution&gt;",E7478=""),"",IFERROR(_xlfn.CONCAT(VLOOKUP(T43,Route_Column!#REF!,2,FALSE),CHAR(34)," probability=",CHAR(34),1/T$4,CHAR(34),CHAR(47),CHAR(62)),"&lt;/routeDistribution&gt;"))</f>
        <v/>
      </c>
    </row>
    <row r="7480" spans="1:5" x14ac:dyDescent="0.25">
      <c r="A7480" t="s">
        <v>1799</v>
      </c>
      <c r="B7480" t="s">
        <v>1122</v>
      </c>
      <c r="E7480" t="str">
        <f>IF(OR(E7479="&lt;/routeDistribution&gt;",E7479=""),"",IFERROR(_xlfn.CONCAT(VLOOKUP(T44,Route_Column!#REF!,2,FALSE),CHAR(34)," probability=",CHAR(34),1/T$4,CHAR(34),CHAR(47),CHAR(62)),"&lt;/routeDistribution&gt;"))</f>
        <v/>
      </c>
    </row>
    <row r="7481" spans="1:5" x14ac:dyDescent="0.25">
      <c r="A7481" t="s">
        <v>1799</v>
      </c>
      <c r="B7481" t="s">
        <v>1142</v>
      </c>
      <c r="E7481" t="str">
        <f>IF(OR(E7480="&lt;/routeDistribution&gt;",E7480=""),"",IFERROR(_xlfn.CONCAT(VLOOKUP(T45,Route_Column!#REF!,2,FALSE),CHAR(34)," probability=",CHAR(34),1/T$4,CHAR(34),CHAR(47),CHAR(62)),"&lt;/routeDistribution&gt;"))</f>
        <v/>
      </c>
    </row>
    <row r="7482" spans="1:5" x14ac:dyDescent="0.25">
      <c r="A7482" t="s">
        <v>1799</v>
      </c>
      <c r="B7482" t="s">
        <v>1148</v>
      </c>
      <c r="E7482" t="str">
        <f>IF(OR(E7481="&lt;/routeDistribution&gt;",E7481=""),"",IFERROR(_xlfn.CONCAT(VLOOKUP(T46,Route_Column!#REF!,2,FALSE),CHAR(34)," probability=",CHAR(34),1/T$4,CHAR(34),CHAR(47),CHAR(62)),"&lt;/routeDistribution&gt;"))</f>
        <v/>
      </c>
    </row>
    <row r="7483" spans="1:5" x14ac:dyDescent="0.25">
      <c r="A7483" t="s">
        <v>1799</v>
      </c>
      <c r="B7483" t="s">
        <v>1167</v>
      </c>
      <c r="E7483" t="str">
        <f>IF(OR(E7482="&lt;/routeDistribution&gt;",E7482=""),"",IFERROR(_xlfn.CONCAT(VLOOKUP(T47,Route_Column!#REF!,2,FALSE),CHAR(34)," probability=",CHAR(34),1/T$4,CHAR(34),CHAR(47),CHAR(62)),"&lt;/routeDistribution&gt;"))</f>
        <v/>
      </c>
    </row>
    <row r="7484" spans="1:5" x14ac:dyDescent="0.25">
      <c r="A7484" t="s">
        <v>1799</v>
      </c>
      <c r="B7484" t="s">
        <v>1169</v>
      </c>
      <c r="E7484" t="str">
        <f>IF(OR(E7483="&lt;/routeDistribution&gt;",E7483=""),"",IFERROR(_xlfn.CONCAT(VLOOKUP(T48,Route_Column!#REF!,2,FALSE),CHAR(34)," probability=",CHAR(34),1/T$4,CHAR(34),CHAR(47),CHAR(62)),"&lt;/routeDistribution&gt;"))</f>
        <v/>
      </c>
    </row>
    <row r="7485" spans="1:5" x14ac:dyDescent="0.25">
      <c r="A7485" t="s">
        <v>1799</v>
      </c>
      <c r="B7485" t="s">
        <v>1178</v>
      </c>
      <c r="E7485" t="str">
        <f>IF(OR(E7484="&lt;/routeDistribution&gt;",E7484=""),"",IFERROR(_xlfn.CONCAT(VLOOKUP(T49,Route_Column!#REF!,2,FALSE),CHAR(34)," probability=",CHAR(34),1/T$4,CHAR(34),CHAR(47),CHAR(62)),"&lt;/routeDistribution&gt;"))</f>
        <v/>
      </c>
    </row>
    <row r="7486" spans="1:5" x14ac:dyDescent="0.25">
      <c r="A7486" t="s">
        <v>1799</v>
      </c>
      <c r="B7486" t="s">
        <v>1202</v>
      </c>
      <c r="E7486" t="str">
        <f>IF(OR(E7485="&lt;/routeDistribution&gt;",E7485=""),"",IFERROR(_xlfn.CONCAT(VLOOKUP(T50,Route_Column!#REF!,2,FALSE),CHAR(34)," probability=",CHAR(34),1/T$4,CHAR(34),CHAR(47),CHAR(62)),"&lt;/routeDistribution&gt;"))</f>
        <v/>
      </c>
    </row>
    <row r="7487" spans="1:5" x14ac:dyDescent="0.25">
      <c r="A7487" t="s">
        <v>1799</v>
      </c>
      <c r="B7487" t="s">
        <v>1207</v>
      </c>
      <c r="E7487" t="str">
        <f>IF(OR(E7486="&lt;/routeDistribution&gt;",E7486=""),"",IFERROR(_xlfn.CONCAT(VLOOKUP(T51,Route_Column!#REF!,2,FALSE),CHAR(34)," probability=",CHAR(34),1/T$4,CHAR(34),CHAR(47),CHAR(62)),"&lt;/routeDistribution&gt;"))</f>
        <v/>
      </c>
    </row>
    <row r="7488" spans="1:5" x14ac:dyDescent="0.25">
      <c r="A7488" t="s">
        <v>1798</v>
      </c>
      <c r="B7488" t="s">
        <v>1107</v>
      </c>
      <c r="E7488" t="str">
        <f>IF(OR(E7487="&lt;/routeDistribution&gt;",E7487=""),"",IFERROR(_xlfn.CONCAT(VLOOKUP(T52,Route_Column!#REF!,2,FALSE),CHAR(34)," probability=",CHAR(34),1/T$4,CHAR(34),CHAR(47),CHAR(62)),"&lt;/routeDistribution&gt;"))</f>
        <v/>
      </c>
    </row>
    <row r="7489" spans="1:5" x14ac:dyDescent="0.25">
      <c r="A7489" t="s">
        <v>1798</v>
      </c>
      <c r="B7489" t="s">
        <v>1109</v>
      </c>
      <c r="E7489" t="str">
        <f>IF(OR(E7488="&lt;/routeDistribution&gt;",E7488=""),"",IFERROR(_xlfn.CONCAT(VLOOKUP(T53,Route_Column!#REF!,2,FALSE),CHAR(34)," probability=",CHAR(34),1/T$4,CHAR(34),CHAR(47),CHAR(62)),"&lt;/routeDistribution&gt;"))</f>
        <v/>
      </c>
    </row>
    <row r="7490" spans="1:5" x14ac:dyDescent="0.25">
      <c r="A7490" t="s">
        <v>1798</v>
      </c>
      <c r="B7490" t="s">
        <v>1122</v>
      </c>
      <c r="E7490" t="str">
        <f>IF(OR(E7489="&lt;/routeDistribution&gt;",E7489=""),"",IFERROR(_xlfn.CONCAT(VLOOKUP(T54,Route_Column!#REF!,2,FALSE),CHAR(34)," probability=",CHAR(34),1/T$4,CHAR(34),CHAR(47),CHAR(62)),"&lt;/routeDistribution&gt;"))</f>
        <v/>
      </c>
    </row>
    <row r="7491" spans="1:5" x14ac:dyDescent="0.25">
      <c r="A7491" t="s">
        <v>1798</v>
      </c>
      <c r="B7491" t="s">
        <v>1142</v>
      </c>
      <c r="E7491" t="str">
        <f>IF(OR(E7490="&lt;/routeDistribution&gt;",E7490=""),"",IFERROR(_xlfn.CONCAT(VLOOKUP(T55,Route_Column!#REF!,2,FALSE),CHAR(34)," probability=",CHAR(34),1/T$4,CHAR(34),CHAR(47),CHAR(62)),"&lt;/routeDistribution&gt;"))</f>
        <v/>
      </c>
    </row>
    <row r="7492" spans="1:5" x14ac:dyDescent="0.25">
      <c r="A7492" t="s">
        <v>1798</v>
      </c>
      <c r="B7492" t="s">
        <v>1148</v>
      </c>
      <c r="E7492" t="str">
        <f>IF(OR(E7491="&lt;/routeDistribution&gt;",E7491=""),"",IFERROR(_xlfn.CONCAT(VLOOKUP(T56,Route_Column!#REF!,2,FALSE),CHAR(34)," probability=",CHAR(34),1/T$4,CHAR(34),CHAR(47),CHAR(62)),"&lt;/routeDistribution&gt;"))</f>
        <v/>
      </c>
    </row>
    <row r="7493" spans="1:5" x14ac:dyDescent="0.25">
      <c r="A7493" t="s">
        <v>1798</v>
      </c>
      <c r="B7493" t="s">
        <v>1167</v>
      </c>
      <c r="E7493" t="str">
        <f>IF(OR(E7492="&lt;/routeDistribution&gt;",E7492=""),"",IFERROR(_xlfn.CONCAT(VLOOKUP(T57,Route_Column!#REF!,2,FALSE),CHAR(34)," probability=",CHAR(34),1/T$4,CHAR(34),CHAR(47),CHAR(62)),"&lt;/routeDistribution&gt;"))</f>
        <v/>
      </c>
    </row>
    <row r="7494" spans="1:5" x14ac:dyDescent="0.25">
      <c r="A7494" t="s">
        <v>1798</v>
      </c>
      <c r="B7494" t="s">
        <v>1169</v>
      </c>
      <c r="E7494" t="str">
        <f>IF(OR(E7493="&lt;/routeDistribution&gt;",E7493=""),"",IFERROR(_xlfn.CONCAT(VLOOKUP(T58,Route_Column!#REF!,2,FALSE),CHAR(34)," probability=",CHAR(34),1/T$4,CHAR(34),CHAR(47),CHAR(62)),"&lt;/routeDistribution&gt;"))</f>
        <v/>
      </c>
    </row>
    <row r="7495" spans="1:5" x14ac:dyDescent="0.25">
      <c r="A7495" t="s">
        <v>1798</v>
      </c>
      <c r="B7495" t="s">
        <v>1178</v>
      </c>
      <c r="E7495" t="str">
        <f>IF(OR(E7494="&lt;/routeDistribution&gt;",E7494=""),"",IFERROR(_xlfn.CONCAT(VLOOKUP(T59,Route_Column!#REF!,2,FALSE),CHAR(34)," probability=",CHAR(34),1/T$4,CHAR(34),CHAR(47),CHAR(62)),"&lt;/routeDistribution&gt;"))</f>
        <v/>
      </c>
    </row>
    <row r="7496" spans="1:5" x14ac:dyDescent="0.25">
      <c r="A7496" t="s">
        <v>1798</v>
      </c>
      <c r="B7496" t="s">
        <v>1202</v>
      </c>
      <c r="E7496" t="str">
        <f>IF(OR(E7495="&lt;/routeDistribution&gt;",E7495=""),"",IFERROR(_xlfn.CONCAT(VLOOKUP(T60,Route_Column!#REF!,2,FALSE),CHAR(34)," probability=",CHAR(34),1/T$4,CHAR(34),CHAR(47),CHAR(62)),"&lt;/routeDistribution&gt;"))</f>
        <v/>
      </c>
    </row>
    <row r="7497" spans="1:5" x14ac:dyDescent="0.25">
      <c r="A7497" t="s">
        <v>1798</v>
      </c>
      <c r="B7497" t="s">
        <v>1207</v>
      </c>
      <c r="E7497" t="str">
        <f>IF(OR(E7496="&lt;/routeDistribution&gt;",E7496=""),"",IFERROR(_xlfn.CONCAT(VLOOKUP(T61,Route_Column!#REF!,2,FALSE),CHAR(34)," probability=",CHAR(34),1/T$4,CHAR(34),CHAR(47),CHAR(62)),"&lt;/routeDistribution&gt;"))</f>
        <v/>
      </c>
    </row>
    <row r="7498" spans="1:5" x14ac:dyDescent="0.25">
      <c r="A7498" t="s">
        <v>1797</v>
      </c>
      <c r="B7498" t="s">
        <v>1107</v>
      </c>
      <c r="E7498" t="str">
        <f>IF(OR(E7497="&lt;/routeDistribution&gt;",E7497=""),"",IFERROR(_xlfn.CONCAT(VLOOKUP(T62,Route_Column!#REF!,2,FALSE),CHAR(34)," probability=",CHAR(34),1/T$4,CHAR(34),CHAR(47),CHAR(62)),"&lt;/routeDistribution&gt;"))</f>
        <v/>
      </c>
    </row>
    <row r="7499" spans="1:5" x14ac:dyDescent="0.25">
      <c r="A7499" t="s">
        <v>1797</v>
      </c>
      <c r="B7499" t="s">
        <v>1109</v>
      </c>
      <c r="E7499" t="str">
        <f>IF(OR(E7498="&lt;/routeDistribution&gt;",E7498=""),"",IFERROR(_xlfn.CONCAT(VLOOKUP(T63,Route_Column!#REF!,2,FALSE),CHAR(34)," probability=",CHAR(34),1/T$4,CHAR(34),CHAR(47),CHAR(62)),"&lt;/routeDistribution&gt;"))</f>
        <v/>
      </c>
    </row>
    <row r="7500" spans="1:5" x14ac:dyDescent="0.25">
      <c r="A7500" t="s">
        <v>1797</v>
      </c>
      <c r="B7500" t="s">
        <v>1122</v>
      </c>
      <c r="E7500" t="s">
        <v>2686</v>
      </c>
    </row>
    <row r="7501" spans="1:5" x14ac:dyDescent="0.25">
      <c r="A7501" t="s">
        <v>1797</v>
      </c>
      <c r="B7501" t="s">
        <v>1142</v>
      </c>
    </row>
    <row r="7502" spans="1:5" x14ac:dyDescent="0.25">
      <c r="A7502" t="s">
        <v>1797</v>
      </c>
      <c r="B7502" t="s">
        <v>1148</v>
      </c>
    </row>
    <row r="7503" spans="1:5" x14ac:dyDescent="0.25">
      <c r="A7503" t="s">
        <v>1797</v>
      </c>
      <c r="B7503" t="s">
        <v>1167</v>
      </c>
      <c r="E7503" t="str">
        <f>_xlfn.CONCAT($E$1,S$2,$F$1)</f>
        <v>&lt;routeDistribution id="MARKET-st-BRIDGE-WB-2015-RouteProbe"&gt;</v>
      </c>
    </row>
    <row r="7504" spans="1:5" x14ac:dyDescent="0.25">
      <c r="A7504" t="s">
        <v>1797</v>
      </c>
      <c r="B7504" t="s">
        <v>1169</v>
      </c>
      <c r="E7504" t="str">
        <f>IF(OR(E7503="&lt;/routeDistribution&gt;",E7503=""),"",IFERROR(_xlfn.CONCAT(VLOOKUP(S5,Route_Column!#REF!,2,FALSE),CHAR(34)," probability=",CHAR(34),1/S$4,CHAR(34),CHAR(47),CHAR(62)),"&lt;/routeDistribution&gt;"))</f>
        <v>&lt;/routeDistribution&gt;</v>
      </c>
    </row>
    <row r="7505" spans="1:5" x14ac:dyDescent="0.25">
      <c r="A7505" t="s">
        <v>1797</v>
      </c>
      <c r="B7505" t="s">
        <v>1178</v>
      </c>
      <c r="E7505" t="str">
        <f>IF(OR(E7504="&lt;/routeDistribution&gt;",E7504=""),"",IFERROR(_xlfn.CONCAT(VLOOKUP(S6,Route_Column!#REF!,2,FALSE),CHAR(34)," probability=",CHAR(34),1/S$4,CHAR(34),CHAR(47),CHAR(62)),"&lt;/routeDistribution&gt;"))</f>
        <v/>
      </c>
    </row>
    <row r="7506" spans="1:5" x14ac:dyDescent="0.25">
      <c r="A7506" t="s">
        <v>1797</v>
      </c>
      <c r="B7506" t="s">
        <v>1202</v>
      </c>
      <c r="E7506" t="str">
        <f>IF(OR(E7505="&lt;/routeDistribution&gt;",E7505=""),"",IFERROR(_xlfn.CONCAT(VLOOKUP(S7,Route_Column!#REF!,2,FALSE),CHAR(34)," probability=",CHAR(34),1/S$4,CHAR(34),CHAR(47),CHAR(62)),"&lt;/routeDistribution&gt;"))</f>
        <v/>
      </c>
    </row>
    <row r="7507" spans="1:5" x14ac:dyDescent="0.25">
      <c r="A7507" t="s">
        <v>1797</v>
      </c>
      <c r="B7507" t="s">
        <v>1207</v>
      </c>
      <c r="E7507" t="str">
        <f>IF(OR(E7506="&lt;/routeDistribution&gt;",E7506=""),"",IFERROR(_xlfn.CONCAT(VLOOKUP(S8,Route_Column!#REF!,2,FALSE),CHAR(34)," probability=",CHAR(34),1/S$4,CHAR(34),CHAR(47),CHAR(62)),"&lt;/routeDistribution&gt;"))</f>
        <v/>
      </c>
    </row>
    <row r="7508" spans="1:5" x14ac:dyDescent="0.25">
      <c r="A7508" t="s">
        <v>1796</v>
      </c>
      <c r="B7508" t="s">
        <v>1107</v>
      </c>
      <c r="E7508" t="str">
        <f>IF(OR(E7507="&lt;/routeDistribution&gt;",E7507=""),"",IFERROR(_xlfn.CONCAT(VLOOKUP(S9,Route_Column!#REF!,2,FALSE),CHAR(34)," probability=",CHAR(34),1/S$4,CHAR(34),CHAR(47),CHAR(62)),"&lt;/routeDistribution&gt;"))</f>
        <v/>
      </c>
    </row>
    <row r="7509" spans="1:5" x14ac:dyDescent="0.25">
      <c r="A7509" t="s">
        <v>1796</v>
      </c>
      <c r="B7509" t="s">
        <v>1109</v>
      </c>
      <c r="E7509" t="str">
        <f>IF(OR(E7508="&lt;/routeDistribution&gt;",E7508=""),"",IFERROR(_xlfn.CONCAT(VLOOKUP(S10,Route_Column!#REF!,2,FALSE),CHAR(34)," probability=",CHAR(34),1/S$4,CHAR(34),CHAR(47),CHAR(62)),"&lt;/routeDistribution&gt;"))</f>
        <v/>
      </c>
    </row>
    <row r="7510" spans="1:5" x14ac:dyDescent="0.25">
      <c r="A7510" t="s">
        <v>1796</v>
      </c>
      <c r="B7510" t="s">
        <v>1122</v>
      </c>
      <c r="E7510" t="str">
        <f>IF(OR(E7509="&lt;/routeDistribution&gt;",E7509=""),"",IFERROR(_xlfn.CONCAT(VLOOKUP(S11,Route_Column!#REF!,2,FALSE),CHAR(34)," probability=",CHAR(34),1/S$4,CHAR(34),CHAR(47),CHAR(62)),"&lt;/routeDistribution&gt;"))</f>
        <v/>
      </c>
    </row>
    <row r="7511" spans="1:5" x14ac:dyDescent="0.25">
      <c r="A7511" t="s">
        <v>1796</v>
      </c>
      <c r="B7511" t="s">
        <v>1142</v>
      </c>
      <c r="E7511" t="str">
        <f>IF(OR(E7510="&lt;/routeDistribution&gt;",E7510=""),"",IFERROR(_xlfn.CONCAT(VLOOKUP(S12,Route_Column!#REF!,2,FALSE),CHAR(34)," probability=",CHAR(34),1/S$4,CHAR(34),CHAR(47),CHAR(62)),"&lt;/routeDistribution&gt;"))</f>
        <v/>
      </c>
    </row>
    <row r="7512" spans="1:5" x14ac:dyDescent="0.25">
      <c r="A7512" t="s">
        <v>1796</v>
      </c>
      <c r="B7512" t="s">
        <v>1148</v>
      </c>
      <c r="E7512" t="str">
        <f>IF(OR(E7511="&lt;/routeDistribution&gt;",E7511=""),"",IFERROR(_xlfn.CONCAT(VLOOKUP(S13,Route_Column!#REF!,2,FALSE),CHAR(34)," probability=",CHAR(34),1/S$4,CHAR(34),CHAR(47),CHAR(62)),"&lt;/routeDistribution&gt;"))</f>
        <v/>
      </c>
    </row>
    <row r="7513" spans="1:5" x14ac:dyDescent="0.25">
      <c r="A7513" t="s">
        <v>1796</v>
      </c>
      <c r="B7513" t="s">
        <v>1167</v>
      </c>
      <c r="E7513" t="str">
        <f>IF(OR(E7512="&lt;/routeDistribution&gt;",E7512=""),"",IFERROR(_xlfn.CONCAT(VLOOKUP(S14,Route_Column!#REF!,2,FALSE),CHAR(34)," probability=",CHAR(34),1/S$4,CHAR(34),CHAR(47),CHAR(62)),"&lt;/routeDistribution&gt;"))</f>
        <v/>
      </c>
    </row>
    <row r="7514" spans="1:5" x14ac:dyDescent="0.25">
      <c r="A7514" t="s">
        <v>1796</v>
      </c>
      <c r="B7514" t="s">
        <v>1169</v>
      </c>
      <c r="E7514" t="str">
        <f>IF(OR(E7513="&lt;/routeDistribution&gt;",E7513=""),"",IFERROR(_xlfn.CONCAT(VLOOKUP(S15,Route_Column!#REF!,2,FALSE),CHAR(34)," probability=",CHAR(34),1/S$4,CHAR(34),CHAR(47),CHAR(62)),"&lt;/routeDistribution&gt;"))</f>
        <v/>
      </c>
    </row>
    <row r="7515" spans="1:5" x14ac:dyDescent="0.25">
      <c r="A7515" t="s">
        <v>1796</v>
      </c>
      <c r="B7515" t="s">
        <v>1178</v>
      </c>
      <c r="E7515" t="str">
        <f>IF(OR(E7514="&lt;/routeDistribution&gt;",E7514=""),"",IFERROR(_xlfn.CONCAT(VLOOKUP(S16,Route_Column!#REF!,2,FALSE),CHAR(34)," probability=",CHAR(34),1/S$4,CHAR(34),CHAR(47),CHAR(62)),"&lt;/routeDistribution&gt;"))</f>
        <v/>
      </c>
    </row>
    <row r="7516" spans="1:5" x14ac:dyDescent="0.25">
      <c r="A7516" t="s">
        <v>1796</v>
      </c>
      <c r="B7516" t="s">
        <v>1202</v>
      </c>
      <c r="E7516" t="str">
        <f>IF(OR(E7515="&lt;/routeDistribution&gt;",E7515=""),"",IFERROR(_xlfn.CONCAT(VLOOKUP(S17,Route_Column!#REF!,2,FALSE),CHAR(34)," probability=",CHAR(34),1/S$4,CHAR(34),CHAR(47),CHAR(62)),"&lt;/routeDistribution&gt;"))</f>
        <v/>
      </c>
    </row>
    <row r="7517" spans="1:5" x14ac:dyDescent="0.25">
      <c r="A7517" t="s">
        <v>1796</v>
      </c>
      <c r="B7517" t="s">
        <v>1207</v>
      </c>
      <c r="E7517" t="str">
        <f>IF(OR(E7516="&lt;/routeDistribution&gt;",E7516=""),"",IFERROR(_xlfn.CONCAT(VLOOKUP(S18,Route_Column!#REF!,2,FALSE),CHAR(34)," probability=",CHAR(34),1/S$4,CHAR(34),CHAR(47),CHAR(62)),"&lt;/routeDistribution&gt;"))</f>
        <v/>
      </c>
    </row>
    <row r="7518" spans="1:5" x14ac:dyDescent="0.25">
      <c r="A7518" t="s">
        <v>1734</v>
      </c>
      <c r="B7518" t="s">
        <v>1102</v>
      </c>
      <c r="E7518" t="str">
        <f>IF(OR(E7517="&lt;/routeDistribution&gt;",E7517=""),"",IFERROR(_xlfn.CONCAT(VLOOKUP(S19,Route_Column!#REF!,2,FALSE),CHAR(34)," probability=",CHAR(34),1/S$4,CHAR(34),CHAR(47),CHAR(62)),"&lt;/routeDistribution&gt;"))</f>
        <v/>
      </c>
    </row>
    <row r="7519" spans="1:5" x14ac:dyDescent="0.25">
      <c r="A7519" t="s">
        <v>1734</v>
      </c>
      <c r="B7519" t="s">
        <v>1110</v>
      </c>
      <c r="E7519" t="str">
        <f>IF(OR(E7518="&lt;/routeDistribution&gt;",E7518=""),"",IFERROR(_xlfn.CONCAT(VLOOKUP(S20,Route_Column!#REF!,2,FALSE),CHAR(34)," probability=",CHAR(34),1/S$4,CHAR(34),CHAR(47),CHAR(62)),"&lt;/routeDistribution&gt;"))</f>
        <v/>
      </c>
    </row>
    <row r="7520" spans="1:5" x14ac:dyDescent="0.25">
      <c r="A7520" s="11" t="s">
        <v>1496</v>
      </c>
      <c r="B7520" t="s">
        <v>1091</v>
      </c>
      <c r="E7520" t="str">
        <f>IF(OR(E7519="&lt;/routeDistribution&gt;",E7519=""),"",IFERROR(_xlfn.CONCAT(VLOOKUP(S21,Route_Column!#REF!,2,FALSE),CHAR(34)," probability=",CHAR(34),1/S$4,CHAR(34),CHAR(47),CHAR(62)),"&lt;/routeDistribution&gt;"))</f>
        <v/>
      </c>
    </row>
    <row r="7521" spans="1:5" x14ac:dyDescent="0.25">
      <c r="A7521" t="s">
        <v>1496</v>
      </c>
      <c r="B7521" t="s">
        <v>1092</v>
      </c>
      <c r="E7521" t="str">
        <f>IF(OR(E7520="&lt;/routeDistribution&gt;",E7520=""),"",IFERROR(_xlfn.CONCAT(VLOOKUP(S22,Route_Column!#REF!,2,FALSE),CHAR(34)," probability=",CHAR(34),1/S$4,CHAR(34),CHAR(47),CHAR(62)),"&lt;/routeDistribution&gt;"))</f>
        <v/>
      </c>
    </row>
    <row r="7522" spans="1:5" x14ac:dyDescent="0.25">
      <c r="A7522" t="s">
        <v>1496</v>
      </c>
      <c r="B7522" t="s">
        <v>1093</v>
      </c>
      <c r="E7522" t="str">
        <f>IF(OR(E7521="&lt;/routeDistribution&gt;",E7521=""),"",IFERROR(_xlfn.CONCAT(VLOOKUP(S23,Route_Column!#REF!,2,FALSE),CHAR(34)," probability=",CHAR(34),1/S$4,CHAR(34),CHAR(47),CHAR(62)),"&lt;/routeDistribution&gt;"))</f>
        <v/>
      </c>
    </row>
    <row r="7523" spans="1:5" x14ac:dyDescent="0.25">
      <c r="A7523" t="s">
        <v>1496</v>
      </c>
      <c r="B7523" t="s">
        <v>1094</v>
      </c>
      <c r="E7523" t="str">
        <f>IF(OR(E7522="&lt;/routeDistribution&gt;",E7522=""),"",IFERROR(_xlfn.CONCAT(VLOOKUP(S24,Route_Column!#REF!,2,FALSE),CHAR(34)," probability=",CHAR(34),1/S$4,CHAR(34),CHAR(47),CHAR(62)),"&lt;/routeDistribution&gt;"))</f>
        <v/>
      </c>
    </row>
    <row r="7524" spans="1:5" x14ac:dyDescent="0.25">
      <c r="A7524" t="s">
        <v>1496</v>
      </c>
      <c r="B7524" t="s">
        <v>1095</v>
      </c>
      <c r="E7524" t="str">
        <f>IF(OR(E7523="&lt;/routeDistribution&gt;",E7523=""),"",IFERROR(_xlfn.CONCAT(VLOOKUP(S25,Route_Column!#REF!,2,FALSE),CHAR(34)," probability=",CHAR(34),1/S$4,CHAR(34),CHAR(47),CHAR(62)),"&lt;/routeDistribution&gt;"))</f>
        <v/>
      </c>
    </row>
    <row r="7525" spans="1:5" x14ac:dyDescent="0.25">
      <c r="A7525" t="s">
        <v>1496</v>
      </c>
      <c r="B7525" t="s">
        <v>1096</v>
      </c>
      <c r="E7525" t="str">
        <f>IF(OR(E7524="&lt;/routeDistribution&gt;",E7524=""),"",IFERROR(_xlfn.CONCAT(VLOOKUP(S26,Route_Column!#REF!,2,FALSE),CHAR(34)," probability=",CHAR(34),1/S$4,CHAR(34),CHAR(47),CHAR(62)),"&lt;/routeDistribution&gt;"))</f>
        <v/>
      </c>
    </row>
    <row r="7526" spans="1:5" x14ac:dyDescent="0.25">
      <c r="A7526" t="s">
        <v>1496</v>
      </c>
      <c r="B7526" t="s">
        <v>1097</v>
      </c>
      <c r="E7526" t="str">
        <f>IF(OR(E7525="&lt;/routeDistribution&gt;",E7525=""),"",IFERROR(_xlfn.CONCAT(VLOOKUP(S27,Route_Column!#REF!,2,FALSE),CHAR(34)," probability=",CHAR(34),1/S$4,CHAR(34),CHAR(47),CHAR(62)),"&lt;/routeDistribution&gt;"))</f>
        <v/>
      </c>
    </row>
    <row r="7527" spans="1:5" x14ac:dyDescent="0.25">
      <c r="A7527" t="s">
        <v>1496</v>
      </c>
      <c r="B7527" t="s">
        <v>1098</v>
      </c>
      <c r="E7527" t="str">
        <f>IF(OR(E7526="&lt;/routeDistribution&gt;",E7526=""),"",IFERROR(_xlfn.CONCAT(VLOOKUP(S28,Route_Column!#REF!,2,FALSE),CHAR(34)," probability=",CHAR(34),1/S$4,CHAR(34),CHAR(47),CHAR(62)),"&lt;/routeDistribution&gt;"))</f>
        <v/>
      </c>
    </row>
    <row r="7528" spans="1:5" x14ac:dyDescent="0.25">
      <c r="A7528" t="s">
        <v>1496</v>
      </c>
      <c r="B7528" t="s">
        <v>1099</v>
      </c>
      <c r="E7528" t="str">
        <f>IF(OR(E7527="&lt;/routeDistribution&gt;",E7527=""),"",IFERROR(_xlfn.CONCAT(VLOOKUP(S29,Route_Column!#REF!,2,FALSE),CHAR(34)," probability=",CHAR(34),1/S$4,CHAR(34),CHAR(47),CHAR(62)),"&lt;/routeDistribution&gt;"))</f>
        <v/>
      </c>
    </row>
    <row r="7529" spans="1:5" x14ac:dyDescent="0.25">
      <c r="A7529" t="s">
        <v>1496</v>
      </c>
      <c r="B7529" t="s">
        <v>1100</v>
      </c>
      <c r="E7529" t="str">
        <f>IF(OR(E7528="&lt;/routeDistribution&gt;",E7528=""),"",IFERROR(_xlfn.CONCAT(VLOOKUP(S30,Route_Column!#REF!,2,FALSE),CHAR(34)," probability=",CHAR(34),1/S$4,CHAR(34),CHAR(47),CHAR(62)),"&lt;/routeDistribution&gt;"))</f>
        <v/>
      </c>
    </row>
    <row r="7530" spans="1:5" x14ac:dyDescent="0.25">
      <c r="A7530" t="s">
        <v>1496</v>
      </c>
      <c r="B7530" t="s">
        <v>1101</v>
      </c>
      <c r="E7530" t="str">
        <f>IF(OR(E7529="&lt;/routeDistribution&gt;",E7529=""),"",IFERROR(_xlfn.CONCAT(VLOOKUP(S31,Route_Column!#REF!,2,FALSE),CHAR(34)," probability=",CHAR(34),1/S$4,CHAR(34),CHAR(47),CHAR(62)),"&lt;/routeDistribution&gt;"))</f>
        <v/>
      </c>
    </row>
    <row r="7531" spans="1:5" x14ac:dyDescent="0.25">
      <c r="A7531" t="s">
        <v>1496</v>
      </c>
      <c r="B7531" t="s">
        <v>1102</v>
      </c>
      <c r="E7531" t="str">
        <f>IF(OR(E7530="&lt;/routeDistribution&gt;",E7530=""),"",IFERROR(_xlfn.CONCAT(VLOOKUP(S32,Route_Column!#REF!,2,FALSE),CHAR(34)," probability=",CHAR(34),1/S$4,CHAR(34),CHAR(47),CHAR(62)),"&lt;/routeDistribution&gt;"))</f>
        <v/>
      </c>
    </row>
    <row r="7532" spans="1:5" x14ac:dyDescent="0.25">
      <c r="A7532" t="s">
        <v>1496</v>
      </c>
      <c r="B7532" t="s">
        <v>1103</v>
      </c>
      <c r="E7532" t="str">
        <f>IF(OR(E7531="&lt;/routeDistribution&gt;",E7531=""),"",IFERROR(_xlfn.CONCAT(VLOOKUP(S33,Route_Column!#REF!,2,FALSE),CHAR(34)," probability=",CHAR(34),1/S$4,CHAR(34),CHAR(47),CHAR(62)),"&lt;/routeDistribution&gt;"))</f>
        <v/>
      </c>
    </row>
    <row r="7533" spans="1:5" x14ac:dyDescent="0.25">
      <c r="A7533" t="s">
        <v>1496</v>
      </c>
      <c r="B7533" t="s">
        <v>1104</v>
      </c>
      <c r="E7533" t="str">
        <f>IF(OR(E7532="&lt;/routeDistribution&gt;",E7532=""),"",IFERROR(_xlfn.CONCAT(VLOOKUP(S34,Route_Column!#REF!,2,FALSE),CHAR(34)," probability=",CHAR(34),1/S$4,CHAR(34),CHAR(47),CHAR(62)),"&lt;/routeDistribution&gt;"))</f>
        <v/>
      </c>
    </row>
    <row r="7534" spans="1:5" x14ac:dyDescent="0.25">
      <c r="A7534" t="s">
        <v>1496</v>
      </c>
      <c r="B7534" t="s">
        <v>1105</v>
      </c>
      <c r="E7534" t="str">
        <f>IF(OR(E7533="&lt;/routeDistribution&gt;",E7533=""),"",IFERROR(_xlfn.CONCAT(VLOOKUP(S35,Route_Column!#REF!,2,FALSE),CHAR(34)," probability=",CHAR(34),1/S$4,CHAR(34),CHAR(47),CHAR(62)),"&lt;/routeDistribution&gt;"))</f>
        <v/>
      </c>
    </row>
    <row r="7535" spans="1:5" x14ac:dyDescent="0.25">
      <c r="A7535" t="s">
        <v>1496</v>
      </c>
      <c r="B7535" t="s">
        <v>1106</v>
      </c>
      <c r="E7535" t="str">
        <f>IF(OR(E7534="&lt;/routeDistribution&gt;",E7534=""),"",IFERROR(_xlfn.CONCAT(VLOOKUP(S36,Route_Column!#REF!,2,FALSE),CHAR(34)," probability=",CHAR(34),1/S$4,CHAR(34),CHAR(47),CHAR(62)),"&lt;/routeDistribution&gt;"))</f>
        <v/>
      </c>
    </row>
    <row r="7536" spans="1:5" x14ac:dyDescent="0.25">
      <c r="A7536" t="s">
        <v>1496</v>
      </c>
      <c r="B7536" t="s">
        <v>1107</v>
      </c>
      <c r="E7536" t="str">
        <f>IF(OR(E7535="&lt;/routeDistribution&gt;",E7535=""),"",IFERROR(_xlfn.CONCAT(VLOOKUP(S37,Route_Column!#REF!,2,FALSE),CHAR(34)," probability=",CHAR(34),1/S$4,CHAR(34),CHAR(47),CHAR(62)),"&lt;/routeDistribution&gt;"))</f>
        <v/>
      </c>
    </row>
    <row r="7537" spans="1:5" x14ac:dyDescent="0.25">
      <c r="A7537" t="s">
        <v>1674</v>
      </c>
      <c r="B7537" t="s">
        <v>1099</v>
      </c>
      <c r="E7537" t="str">
        <f>IF(OR(E7536="&lt;/routeDistribution&gt;",E7536=""),"",IFERROR(_xlfn.CONCAT(VLOOKUP(S38,Route_Column!#REF!,2,FALSE),CHAR(34)," probability=",CHAR(34),1/S$4,CHAR(34),CHAR(47),CHAR(62)),"&lt;/routeDistribution&gt;"))</f>
        <v/>
      </c>
    </row>
    <row r="7538" spans="1:5" x14ac:dyDescent="0.25">
      <c r="A7538" t="s">
        <v>1674</v>
      </c>
      <c r="B7538" t="s">
        <v>1100</v>
      </c>
      <c r="E7538" t="str">
        <f>IF(OR(E7537="&lt;/routeDistribution&gt;",E7537=""),"",IFERROR(_xlfn.CONCAT(VLOOKUP(S39,Route_Column!#REF!,2,FALSE),CHAR(34)," probability=",CHAR(34),1/S$4,CHAR(34),CHAR(47),CHAR(62)),"&lt;/routeDistribution&gt;"))</f>
        <v/>
      </c>
    </row>
    <row r="7539" spans="1:5" x14ac:dyDescent="0.25">
      <c r="A7539" t="s">
        <v>1674</v>
      </c>
      <c r="B7539" t="s">
        <v>1101</v>
      </c>
      <c r="E7539" t="str">
        <f>IF(OR(E7538="&lt;/routeDistribution&gt;",E7538=""),"",IFERROR(_xlfn.CONCAT(VLOOKUP(S40,Route_Column!#REF!,2,FALSE),CHAR(34)," probability=",CHAR(34),1/S$4,CHAR(34),CHAR(47),CHAR(62)),"&lt;/routeDistribution&gt;"))</f>
        <v/>
      </c>
    </row>
    <row r="7540" spans="1:5" x14ac:dyDescent="0.25">
      <c r="A7540" t="s">
        <v>1674</v>
      </c>
      <c r="B7540" t="s">
        <v>1102</v>
      </c>
      <c r="E7540" t="str">
        <f>IF(OR(E7539="&lt;/routeDistribution&gt;",E7539=""),"",IFERROR(_xlfn.CONCAT(VLOOKUP(S41,Route_Column!#REF!,2,FALSE),CHAR(34)," probability=",CHAR(34),1/S$4,CHAR(34),CHAR(47),CHAR(62)),"&lt;/routeDistribution&gt;"))</f>
        <v/>
      </c>
    </row>
    <row r="7541" spans="1:5" x14ac:dyDescent="0.25">
      <c r="A7541" t="s">
        <v>1674</v>
      </c>
      <c r="B7541" t="s">
        <v>1103</v>
      </c>
      <c r="E7541" t="str">
        <f>IF(OR(E7540="&lt;/routeDistribution&gt;",E7540=""),"",IFERROR(_xlfn.CONCAT(VLOOKUP(S42,Route_Column!#REF!,2,FALSE),CHAR(34)," probability=",CHAR(34),1/S$4,CHAR(34),CHAR(47),CHAR(62)),"&lt;/routeDistribution&gt;"))</f>
        <v/>
      </c>
    </row>
    <row r="7542" spans="1:5" x14ac:dyDescent="0.25">
      <c r="A7542" t="s">
        <v>1674</v>
      </c>
      <c r="B7542" t="s">
        <v>1104</v>
      </c>
      <c r="E7542" t="str">
        <f>IF(OR(E7541="&lt;/routeDistribution&gt;",E7541=""),"",IFERROR(_xlfn.CONCAT(VLOOKUP(S43,Route_Column!#REF!,2,FALSE),CHAR(34)," probability=",CHAR(34),1/S$4,CHAR(34),CHAR(47),CHAR(62)),"&lt;/routeDistribution&gt;"))</f>
        <v/>
      </c>
    </row>
    <row r="7543" spans="1:5" x14ac:dyDescent="0.25">
      <c r="A7543" t="s">
        <v>1674</v>
      </c>
      <c r="B7543" t="s">
        <v>1105</v>
      </c>
      <c r="E7543" t="str">
        <f>IF(OR(E7542="&lt;/routeDistribution&gt;",E7542=""),"",IFERROR(_xlfn.CONCAT(VLOOKUP(S44,Route_Column!#REF!,2,FALSE),CHAR(34)," probability=",CHAR(34),1/S$4,CHAR(34),CHAR(47),CHAR(62)),"&lt;/routeDistribution&gt;"))</f>
        <v/>
      </c>
    </row>
    <row r="7544" spans="1:5" x14ac:dyDescent="0.25">
      <c r="A7544" t="s">
        <v>1674</v>
      </c>
      <c r="B7544" t="s">
        <v>1106</v>
      </c>
      <c r="E7544" t="str">
        <f>IF(OR(E7543="&lt;/routeDistribution&gt;",E7543=""),"",IFERROR(_xlfn.CONCAT(VLOOKUP(S45,Route_Column!#REF!,2,FALSE),CHAR(34)," probability=",CHAR(34),1/S$4,CHAR(34),CHAR(47),CHAR(62)),"&lt;/routeDistribution&gt;"))</f>
        <v/>
      </c>
    </row>
    <row r="7545" spans="1:5" x14ac:dyDescent="0.25">
      <c r="A7545" t="s">
        <v>1674</v>
      </c>
      <c r="B7545" t="s">
        <v>1164</v>
      </c>
      <c r="E7545" t="str">
        <f>IF(OR(E7544="&lt;/routeDistribution&gt;",E7544=""),"",IFERROR(_xlfn.CONCAT(VLOOKUP(S46,Route_Column!#REF!,2,FALSE),CHAR(34)," probability=",CHAR(34),1/S$4,CHAR(34),CHAR(47),CHAR(62)),"&lt;/routeDistribution&gt;"))</f>
        <v/>
      </c>
    </row>
    <row r="7546" spans="1:5" x14ac:dyDescent="0.25">
      <c r="A7546" t="s">
        <v>1674</v>
      </c>
      <c r="B7546" t="s">
        <v>1168</v>
      </c>
      <c r="E7546" t="str">
        <f>IF(OR(E7545="&lt;/routeDistribution&gt;",E7545=""),"",IFERROR(_xlfn.CONCAT(VLOOKUP(S47,Route_Column!#REF!,2,FALSE),CHAR(34)," probability=",CHAR(34),1/S$4,CHAR(34),CHAR(47),CHAR(62)),"&lt;/routeDistribution&gt;"))</f>
        <v/>
      </c>
    </row>
    <row r="7547" spans="1:5" x14ac:dyDescent="0.25">
      <c r="A7547" t="s">
        <v>1674</v>
      </c>
      <c r="B7547" t="s">
        <v>1170</v>
      </c>
      <c r="E7547" t="str">
        <f>IF(OR(E7546="&lt;/routeDistribution&gt;",E7546=""),"",IFERROR(_xlfn.CONCAT(VLOOKUP(S48,Route_Column!#REF!,2,FALSE),CHAR(34)," probability=",CHAR(34),1/S$4,CHAR(34),CHAR(47),CHAR(62)),"&lt;/routeDistribution&gt;"))</f>
        <v/>
      </c>
    </row>
    <row r="7548" spans="1:5" x14ac:dyDescent="0.25">
      <c r="A7548" t="s">
        <v>1674</v>
      </c>
      <c r="B7548" t="s">
        <v>1196</v>
      </c>
      <c r="E7548" t="str">
        <f>IF(OR(E7547="&lt;/routeDistribution&gt;",E7547=""),"",IFERROR(_xlfn.CONCAT(VLOOKUP(S49,Route_Column!#REF!,2,FALSE),CHAR(34)," probability=",CHAR(34),1/S$4,CHAR(34),CHAR(47),CHAR(62)),"&lt;/routeDistribution&gt;"))</f>
        <v/>
      </c>
    </row>
    <row r="7549" spans="1:5" x14ac:dyDescent="0.25">
      <c r="A7549" t="s">
        <v>1846</v>
      </c>
      <c r="B7549" t="s">
        <v>1112</v>
      </c>
      <c r="E7549" t="str">
        <f>IF(OR(E7548="&lt;/routeDistribution&gt;",E7548=""),"",IFERROR(_xlfn.CONCAT(VLOOKUP(S50,Route_Column!#REF!,2,FALSE),CHAR(34)," probability=",CHAR(34),1/S$4,CHAR(34),CHAR(47),CHAR(62)),"&lt;/routeDistribution&gt;"))</f>
        <v/>
      </c>
    </row>
    <row r="7550" spans="1:5" x14ac:dyDescent="0.25">
      <c r="A7550" t="s">
        <v>1846</v>
      </c>
      <c r="B7550" t="s">
        <v>1113</v>
      </c>
      <c r="E7550" t="str">
        <f>IF(OR(E7549="&lt;/routeDistribution&gt;",E7549=""),"",IFERROR(_xlfn.CONCAT(VLOOKUP(S51,Route_Column!#REF!,2,FALSE),CHAR(34)," probability=",CHAR(34),1/S$4,CHAR(34),CHAR(47),CHAR(62)),"&lt;/routeDistribution&gt;"))</f>
        <v/>
      </c>
    </row>
    <row r="7551" spans="1:5" x14ac:dyDescent="0.25">
      <c r="A7551" t="s">
        <v>1846</v>
      </c>
      <c r="B7551" t="s">
        <v>1114</v>
      </c>
      <c r="E7551" t="str">
        <f>IF(OR(E7550="&lt;/routeDistribution&gt;",E7550=""),"",IFERROR(_xlfn.CONCAT(VLOOKUP(S52,Route_Column!#REF!,2,FALSE),CHAR(34)," probability=",CHAR(34),1/S$4,CHAR(34),CHAR(47),CHAR(62)),"&lt;/routeDistribution&gt;"))</f>
        <v/>
      </c>
    </row>
    <row r="7552" spans="1:5" x14ac:dyDescent="0.25">
      <c r="A7552" t="s">
        <v>1846</v>
      </c>
      <c r="B7552" t="s">
        <v>1115</v>
      </c>
      <c r="E7552" t="str">
        <f>IF(OR(E7551="&lt;/routeDistribution&gt;",E7551=""),"",IFERROR(_xlfn.CONCAT(VLOOKUP(S53,Route_Column!#REF!,2,FALSE),CHAR(34)," probability=",CHAR(34),1/S$4,CHAR(34),CHAR(47),CHAR(62)),"&lt;/routeDistribution&gt;"))</f>
        <v/>
      </c>
    </row>
    <row r="7553" spans="1:5" x14ac:dyDescent="0.25">
      <c r="A7553" t="s">
        <v>1702</v>
      </c>
      <c r="B7553" t="s">
        <v>1100</v>
      </c>
      <c r="E7553" t="str">
        <f>IF(OR(E7552="&lt;/routeDistribution&gt;",E7552=""),"",IFERROR(_xlfn.CONCAT(VLOOKUP(S54,Route_Column!#REF!,2,FALSE),CHAR(34)," probability=",CHAR(34),1/S$4,CHAR(34),CHAR(47),CHAR(62)),"&lt;/routeDistribution&gt;"))</f>
        <v/>
      </c>
    </row>
    <row r="7554" spans="1:5" x14ac:dyDescent="0.25">
      <c r="A7554" t="s">
        <v>1702</v>
      </c>
      <c r="B7554" t="s">
        <v>1101</v>
      </c>
      <c r="E7554" t="str">
        <f>IF(OR(E7553="&lt;/routeDistribution&gt;",E7553=""),"",IFERROR(_xlfn.CONCAT(VLOOKUP(S55,Route_Column!#REF!,2,FALSE),CHAR(34)," probability=",CHAR(34),1/S$4,CHAR(34),CHAR(47),CHAR(62)),"&lt;/routeDistribution&gt;"))</f>
        <v/>
      </c>
    </row>
    <row r="7555" spans="1:5" x14ac:dyDescent="0.25">
      <c r="A7555" t="s">
        <v>1702</v>
      </c>
      <c r="B7555" t="s">
        <v>1164</v>
      </c>
      <c r="E7555" t="str">
        <f>IF(OR(E7554="&lt;/routeDistribution&gt;",E7554=""),"",IFERROR(_xlfn.CONCAT(VLOOKUP(S56,Route_Column!#REF!,2,FALSE),CHAR(34)," probability=",CHAR(34),1/S$4,CHAR(34),CHAR(47),CHAR(62)),"&lt;/routeDistribution&gt;"))</f>
        <v/>
      </c>
    </row>
    <row r="7556" spans="1:5" x14ac:dyDescent="0.25">
      <c r="A7556" t="s">
        <v>1702</v>
      </c>
      <c r="B7556" t="s">
        <v>1235</v>
      </c>
      <c r="E7556" t="str">
        <f>IF(OR(E7555="&lt;/routeDistribution&gt;",E7555=""),"",IFERROR(_xlfn.CONCAT(VLOOKUP(S57,Route_Column!#REF!,2,FALSE),CHAR(34)," probability=",CHAR(34),1/S$4,CHAR(34),CHAR(47),CHAR(62)),"&lt;/routeDistribution&gt;"))</f>
        <v/>
      </c>
    </row>
    <row r="7557" spans="1:5" x14ac:dyDescent="0.25">
      <c r="A7557" t="s">
        <v>1702</v>
      </c>
      <c r="B7557" t="s">
        <v>1236</v>
      </c>
      <c r="E7557" t="str">
        <f>IF(OR(E7556="&lt;/routeDistribution&gt;",E7556=""),"",IFERROR(_xlfn.CONCAT(VLOOKUP(S58,Route_Column!#REF!,2,FALSE),CHAR(34)," probability=",CHAR(34),1/S$4,CHAR(34),CHAR(47),CHAR(62)),"&lt;/routeDistribution&gt;"))</f>
        <v/>
      </c>
    </row>
    <row r="7558" spans="1:5" x14ac:dyDescent="0.25">
      <c r="A7558" t="s">
        <v>1702</v>
      </c>
      <c r="B7558" t="s">
        <v>1243</v>
      </c>
      <c r="E7558" t="str">
        <f>IF(OR(E7557="&lt;/routeDistribution&gt;",E7557=""),"",IFERROR(_xlfn.CONCAT(VLOOKUP(S59,Route_Column!#REF!,2,FALSE),CHAR(34)," probability=",CHAR(34),1/S$4,CHAR(34),CHAR(47),CHAR(62)),"&lt;/routeDistribution&gt;"))</f>
        <v/>
      </c>
    </row>
    <row r="7559" spans="1:5" x14ac:dyDescent="0.25">
      <c r="A7559" t="s">
        <v>1652</v>
      </c>
      <c r="B7559" t="s">
        <v>1098</v>
      </c>
      <c r="E7559" t="str">
        <f>IF(OR(E7558="&lt;/routeDistribution&gt;",E7558=""),"",IFERROR(_xlfn.CONCAT(VLOOKUP(S60,Route_Column!#REF!,2,FALSE),CHAR(34)," probability=",CHAR(34),1/S$4,CHAR(34),CHAR(47),CHAR(62)),"&lt;/routeDistribution&gt;"))</f>
        <v/>
      </c>
    </row>
    <row r="7560" spans="1:5" x14ac:dyDescent="0.25">
      <c r="A7560" t="s">
        <v>1652</v>
      </c>
      <c r="B7560" t="s">
        <v>1185</v>
      </c>
      <c r="E7560" t="str">
        <f>IF(OR(E7559="&lt;/routeDistribution&gt;",E7559=""),"",IFERROR(_xlfn.CONCAT(VLOOKUP(S61,Route_Column!#REF!,2,FALSE),CHAR(34)," probability=",CHAR(34),1/S$4,CHAR(34),CHAR(47),CHAR(62)),"&lt;/routeDistribution&gt;"))</f>
        <v/>
      </c>
    </row>
    <row r="7561" spans="1:5" x14ac:dyDescent="0.25">
      <c r="A7561" t="s">
        <v>1652</v>
      </c>
      <c r="B7561" t="s">
        <v>1197</v>
      </c>
      <c r="E7561" t="str">
        <f>IF(OR(E7560="&lt;/routeDistribution&gt;",E7560=""),"",IFERROR(_xlfn.CONCAT(VLOOKUP(S62,Route_Column!#REF!,2,FALSE),CHAR(34)," probability=",CHAR(34),1/S$4,CHAR(34),CHAR(47),CHAR(62)),"&lt;/routeDistribution&gt;"))</f>
        <v/>
      </c>
    </row>
    <row r="7562" spans="1:5" x14ac:dyDescent="0.25">
      <c r="A7562" t="s">
        <v>1652</v>
      </c>
      <c r="B7562" t="s">
        <v>1244</v>
      </c>
      <c r="E7562" t="str">
        <f>IF(OR(E7561="&lt;/routeDistribution&gt;",E7561=""),"",IFERROR(_xlfn.CONCAT(VLOOKUP(S63,Route_Column!#REF!,2,FALSE),CHAR(34)," probability=",CHAR(34),1/S$4,CHAR(34),CHAR(47),CHAR(62)),"&lt;/routeDistribution&gt;"))</f>
        <v/>
      </c>
    </row>
    <row r="7563" spans="1:5" x14ac:dyDescent="0.25">
      <c r="A7563" t="s">
        <v>1703</v>
      </c>
      <c r="B7563" t="s">
        <v>1100</v>
      </c>
      <c r="E7563" t="s">
        <v>2686</v>
      </c>
    </row>
    <row r="7564" spans="1:5" x14ac:dyDescent="0.25">
      <c r="A7564" t="s">
        <v>1703</v>
      </c>
      <c r="B7564" t="s">
        <v>1101</v>
      </c>
    </row>
    <row r="7565" spans="1:5" x14ac:dyDescent="0.25">
      <c r="A7565" t="s">
        <v>1703</v>
      </c>
      <c r="B7565" t="s">
        <v>1164</v>
      </c>
    </row>
    <row r="7566" spans="1:5" x14ac:dyDescent="0.25">
      <c r="A7566" t="s">
        <v>1703</v>
      </c>
      <c r="B7566" t="s">
        <v>1235</v>
      </c>
      <c r="E7566" t="str">
        <f>_xlfn.CONCAT($E$1,R$2,$F$1)</f>
        <v>&lt;routeDistribution id="SOUTH-ST-BRIDGE-WB-2015-RouteProbe"&gt;</v>
      </c>
    </row>
    <row r="7567" spans="1:5" x14ac:dyDescent="0.25">
      <c r="A7567" t="s">
        <v>1703</v>
      </c>
      <c r="B7567" t="s">
        <v>1236</v>
      </c>
      <c r="E7567" t="str">
        <f>IF(OR(E7566="&lt;/routeDistribution&gt;",E7566=""),"",IFERROR(_xlfn.CONCAT(VLOOKUP(R5,Route_Column!#REF!,2,FALSE),CHAR(34)," probability=",CHAR(34),1/R$4,CHAR(34),CHAR(47),CHAR(62)),"&lt;/routeDistribution&gt;"))</f>
        <v>&lt;/routeDistribution&gt;</v>
      </c>
    </row>
    <row r="7568" spans="1:5" x14ac:dyDescent="0.25">
      <c r="A7568" t="s">
        <v>1703</v>
      </c>
      <c r="B7568" t="s">
        <v>1243</v>
      </c>
      <c r="E7568" t="str">
        <f>IF(OR(E7567="&lt;/routeDistribution&gt;",E7567=""),"",IFERROR(_xlfn.CONCAT(VLOOKUP(R6,Route_Column!#REF!,2,FALSE),CHAR(34)," probability=",CHAR(34),1/R$4,CHAR(34),CHAR(47),CHAR(62)),"&lt;/routeDistribution&gt;"))</f>
        <v/>
      </c>
    </row>
    <row r="7569" spans="1:5" x14ac:dyDescent="0.25">
      <c r="A7569" t="s">
        <v>1651</v>
      </c>
      <c r="B7569" t="s">
        <v>1098</v>
      </c>
      <c r="E7569" t="str">
        <f>IF(OR(E7568="&lt;/routeDistribution&gt;",E7568=""),"",IFERROR(_xlfn.CONCAT(VLOOKUP(R7,Route_Column!#REF!,2,FALSE),CHAR(34)," probability=",CHAR(34),1/R$4,CHAR(34),CHAR(47),CHAR(62)),"&lt;/routeDistribution&gt;"))</f>
        <v/>
      </c>
    </row>
    <row r="7570" spans="1:5" x14ac:dyDescent="0.25">
      <c r="A7570" t="s">
        <v>1651</v>
      </c>
      <c r="B7570" t="s">
        <v>1185</v>
      </c>
      <c r="E7570" t="str">
        <f>IF(OR(E7569="&lt;/routeDistribution&gt;",E7569=""),"",IFERROR(_xlfn.CONCAT(VLOOKUP(R8,Route_Column!#REF!,2,FALSE),CHAR(34)," probability=",CHAR(34),1/R$4,CHAR(34),CHAR(47),CHAR(62)),"&lt;/routeDistribution&gt;"))</f>
        <v/>
      </c>
    </row>
    <row r="7571" spans="1:5" x14ac:dyDescent="0.25">
      <c r="A7571" t="s">
        <v>1651</v>
      </c>
      <c r="B7571" t="s">
        <v>1197</v>
      </c>
      <c r="E7571" t="str">
        <f>IF(OR(E7570="&lt;/routeDistribution&gt;",E7570=""),"",IFERROR(_xlfn.CONCAT(VLOOKUP(R9,Route_Column!#REF!,2,FALSE),CHAR(34)," probability=",CHAR(34),1/R$4,CHAR(34),CHAR(47),CHAR(62)),"&lt;/routeDistribution&gt;"))</f>
        <v/>
      </c>
    </row>
    <row r="7572" spans="1:5" x14ac:dyDescent="0.25">
      <c r="A7572" t="s">
        <v>1651</v>
      </c>
      <c r="B7572" t="s">
        <v>1244</v>
      </c>
      <c r="E7572" t="str">
        <f>IF(OR(E7571="&lt;/routeDistribution&gt;",E7571=""),"",IFERROR(_xlfn.CONCAT(VLOOKUP(R10,Route_Column!#REF!,2,FALSE),CHAR(34)," probability=",CHAR(34),1/R$4,CHAR(34),CHAR(47),CHAR(62)),"&lt;/routeDistribution&gt;"))</f>
        <v/>
      </c>
    </row>
    <row r="7573" spans="1:5" x14ac:dyDescent="0.25">
      <c r="A7573" t="s">
        <v>1651</v>
      </c>
      <c r="B7573" t="s">
        <v>1246</v>
      </c>
      <c r="E7573" t="str">
        <f>IF(OR(E7572="&lt;/routeDistribution&gt;",E7572=""),"",IFERROR(_xlfn.CONCAT(VLOOKUP(R11,Route_Column!#REF!,2,FALSE),CHAR(34)," probability=",CHAR(34),1/R$4,CHAR(34),CHAR(47),CHAR(62)),"&lt;/routeDistribution&gt;"))</f>
        <v/>
      </c>
    </row>
    <row r="7574" spans="1:5" x14ac:dyDescent="0.25">
      <c r="A7574" t="s">
        <v>1651</v>
      </c>
      <c r="B7574" t="s">
        <v>1247</v>
      </c>
      <c r="E7574" t="str">
        <f>IF(OR(E7573="&lt;/routeDistribution&gt;",E7573=""),"",IFERROR(_xlfn.CONCAT(VLOOKUP(R12,Route_Column!#REF!,2,FALSE),CHAR(34)," probability=",CHAR(34),1/R$4,CHAR(34),CHAR(47),CHAR(62)),"&lt;/routeDistribution&gt;"))</f>
        <v/>
      </c>
    </row>
    <row r="7575" spans="1:5" x14ac:dyDescent="0.25">
      <c r="A7575" t="s">
        <v>2357</v>
      </c>
      <c r="B7575" t="s">
        <v>1243</v>
      </c>
      <c r="E7575" t="str">
        <f>IF(OR(E7574="&lt;/routeDistribution&gt;",E7574=""),"",IFERROR(_xlfn.CONCAT(VLOOKUP(R13,Route_Column!#REF!,2,FALSE),CHAR(34)," probability=",CHAR(34),1/R$4,CHAR(34),CHAR(47),CHAR(62)),"&lt;/routeDistribution&gt;"))</f>
        <v/>
      </c>
    </row>
    <row r="7576" spans="1:5" x14ac:dyDescent="0.25">
      <c r="A7576" t="s">
        <v>2335</v>
      </c>
      <c r="B7576" t="s">
        <v>1223</v>
      </c>
      <c r="E7576" t="str">
        <f>IF(OR(E7575="&lt;/routeDistribution&gt;",E7575=""),"",IFERROR(_xlfn.CONCAT(VLOOKUP(R14,Route_Column!#REF!,2,FALSE),CHAR(34)," probability=",CHAR(34),1/R$4,CHAR(34),CHAR(47),CHAR(62)),"&lt;/routeDistribution&gt;"))</f>
        <v/>
      </c>
    </row>
    <row r="7577" spans="1:5" x14ac:dyDescent="0.25">
      <c r="A7577" t="s">
        <v>2358</v>
      </c>
      <c r="B7577" t="s">
        <v>1243</v>
      </c>
      <c r="E7577" t="str">
        <f>IF(OR(E7576="&lt;/routeDistribution&gt;",E7576=""),"",IFERROR(_xlfn.CONCAT(VLOOKUP(R15,Route_Column!#REF!,2,FALSE),CHAR(34)," probability=",CHAR(34),1/R$4,CHAR(34),CHAR(47),CHAR(62)),"&lt;/routeDistribution&gt;"))</f>
        <v/>
      </c>
    </row>
    <row r="7578" spans="1:5" x14ac:dyDescent="0.25">
      <c r="A7578" t="s">
        <v>2334</v>
      </c>
      <c r="B7578" t="s">
        <v>1223</v>
      </c>
      <c r="E7578" t="str">
        <f>IF(OR(E7577="&lt;/routeDistribution&gt;",E7577=""),"",IFERROR(_xlfn.CONCAT(VLOOKUP(R16,Route_Column!#REF!,2,FALSE),CHAR(34)," probability=",CHAR(34),1/R$4,CHAR(34),CHAR(47),CHAR(62)),"&lt;/routeDistribution&gt;"))</f>
        <v/>
      </c>
    </row>
    <row r="7579" spans="1:5" x14ac:dyDescent="0.25">
      <c r="A7579" s="11" t="s">
        <v>1483</v>
      </c>
      <c r="B7579" t="s">
        <v>1091</v>
      </c>
      <c r="E7579" t="str">
        <f>IF(OR(E7578="&lt;/routeDistribution&gt;",E7578=""),"",IFERROR(_xlfn.CONCAT(VLOOKUP(R17,Route_Column!#REF!,2,FALSE),CHAR(34)," probability=",CHAR(34),1/R$4,CHAR(34),CHAR(47),CHAR(62)),"&lt;/routeDistribution&gt;"))</f>
        <v/>
      </c>
    </row>
    <row r="7580" spans="1:5" x14ac:dyDescent="0.25">
      <c r="A7580" t="s">
        <v>1483</v>
      </c>
      <c r="B7580" t="s">
        <v>1092</v>
      </c>
      <c r="E7580" t="str">
        <f>IF(OR(E7579="&lt;/routeDistribution&gt;",E7579=""),"",IFERROR(_xlfn.CONCAT(VLOOKUP(R18,Route_Column!#REF!,2,FALSE),CHAR(34)," probability=",CHAR(34),1/R$4,CHAR(34),CHAR(47),CHAR(62)),"&lt;/routeDistribution&gt;"))</f>
        <v/>
      </c>
    </row>
    <row r="7581" spans="1:5" x14ac:dyDescent="0.25">
      <c r="A7581" t="s">
        <v>1483</v>
      </c>
      <c r="B7581" t="s">
        <v>1093</v>
      </c>
      <c r="E7581" t="str">
        <f>IF(OR(E7580="&lt;/routeDistribution&gt;",E7580=""),"",IFERROR(_xlfn.CONCAT(VLOOKUP(R19,Route_Column!#REF!,2,FALSE),CHAR(34)," probability=",CHAR(34),1/R$4,CHAR(34),CHAR(47),CHAR(62)),"&lt;/routeDistribution&gt;"))</f>
        <v/>
      </c>
    </row>
    <row r="7582" spans="1:5" x14ac:dyDescent="0.25">
      <c r="A7582" t="s">
        <v>1483</v>
      </c>
      <c r="B7582" t="s">
        <v>1094</v>
      </c>
      <c r="E7582" t="str">
        <f>IF(OR(E7581="&lt;/routeDistribution&gt;",E7581=""),"",IFERROR(_xlfn.CONCAT(VLOOKUP(R20,Route_Column!#REF!,2,FALSE),CHAR(34)," probability=",CHAR(34),1/R$4,CHAR(34),CHAR(47),CHAR(62)),"&lt;/routeDistribution&gt;"))</f>
        <v/>
      </c>
    </row>
    <row r="7583" spans="1:5" x14ac:dyDescent="0.25">
      <c r="A7583" t="s">
        <v>1483</v>
      </c>
      <c r="B7583" t="s">
        <v>1095</v>
      </c>
      <c r="E7583" t="str">
        <f>IF(OR(E7582="&lt;/routeDistribution&gt;",E7582=""),"",IFERROR(_xlfn.CONCAT(VLOOKUP(R21,Route_Column!#REF!,2,FALSE),CHAR(34)," probability=",CHAR(34),1/R$4,CHAR(34),CHAR(47),CHAR(62)),"&lt;/routeDistribution&gt;"))</f>
        <v/>
      </c>
    </row>
    <row r="7584" spans="1:5" x14ac:dyDescent="0.25">
      <c r="A7584" t="s">
        <v>1483</v>
      </c>
      <c r="B7584" t="s">
        <v>1096</v>
      </c>
      <c r="E7584" t="str">
        <f>IF(OR(E7583="&lt;/routeDistribution&gt;",E7583=""),"",IFERROR(_xlfn.CONCAT(VLOOKUP(R22,Route_Column!#REF!,2,FALSE),CHAR(34)," probability=",CHAR(34),1/R$4,CHAR(34),CHAR(47),CHAR(62)),"&lt;/routeDistribution&gt;"))</f>
        <v/>
      </c>
    </row>
    <row r="7585" spans="1:5" x14ac:dyDescent="0.25">
      <c r="A7585" t="s">
        <v>1483</v>
      </c>
      <c r="B7585" t="s">
        <v>1097</v>
      </c>
      <c r="E7585" t="str">
        <f>IF(OR(E7584="&lt;/routeDistribution&gt;",E7584=""),"",IFERROR(_xlfn.CONCAT(VLOOKUP(R23,Route_Column!#REF!,2,FALSE),CHAR(34)," probability=",CHAR(34),1/R$4,CHAR(34),CHAR(47),CHAR(62)),"&lt;/routeDistribution&gt;"))</f>
        <v/>
      </c>
    </row>
    <row r="7586" spans="1:5" x14ac:dyDescent="0.25">
      <c r="A7586" t="s">
        <v>1483</v>
      </c>
      <c r="B7586" t="s">
        <v>1098</v>
      </c>
      <c r="E7586" t="str">
        <f>IF(OR(E7585="&lt;/routeDistribution&gt;",E7585=""),"",IFERROR(_xlfn.CONCAT(VLOOKUP(R24,Route_Column!#REF!,2,FALSE),CHAR(34)," probability=",CHAR(34),1/R$4,CHAR(34),CHAR(47),CHAR(62)),"&lt;/routeDistribution&gt;"))</f>
        <v/>
      </c>
    </row>
    <row r="7587" spans="1:5" x14ac:dyDescent="0.25">
      <c r="A7587" t="s">
        <v>1483</v>
      </c>
      <c r="B7587" t="s">
        <v>1099</v>
      </c>
      <c r="E7587" t="str">
        <f>IF(OR(E7586="&lt;/routeDistribution&gt;",E7586=""),"",IFERROR(_xlfn.CONCAT(VLOOKUP(R25,Route_Column!#REF!,2,FALSE),CHAR(34)," probability=",CHAR(34),1/R$4,CHAR(34),CHAR(47),CHAR(62)),"&lt;/routeDistribution&gt;"))</f>
        <v/>
      </c>
    </row>
    <row r="7588" spans="1:5" x14ac:dyDescent="0.25">
      <c r="A7588" t="s">
        <v>1483</v>
      </c>
      <c r="B7588" t="s">
        <v>1100</v>
      </c>
      <c r="E7588" t="str">
        <f>IF(OR(E7587="&lt;/routeDistribution&gt;",E7587=""),"",IFERROR(_xlfn.CONCAT(VLOOKUP(R26,Route_Column!#REF!,2,FALSE),CHAR(34)," probability=",CHAR(34),1/R$4,CHAR(34),CHAR(47),CHAR(62)),"&lt;/routeDistribution&gt;"))</f>
        <v/>
      </c>
    </row>
    <row r="7589" spans="1:5" x14ac:dyDescent="0.25">
      <c r="A7589" t="s">
        <v>1483</v>
      </c>
      <c r="B7589" t="s">
        <v>1101</v>
      </c>
      <c r="E7589" t="str">
        <f>IF(OR(E7588="&lt;/routeDistribution&gt;",E7588=""),"",IFERROR(_xlfn.CONCAT(VLOOKUP(R27,Route_Column!#REF!,2,FALSE),CHAR(34)," probability=",CHAR(34),1/R$4,CHAR(34),CHAR(47),CHAR(62)),"&lt;/routeDistribution&gt;"))</f>
        <v/>
      </c>
    </row>
    <row r="7590" spans="1:5" x14ac:dyDescent="0.25">
      <c r="A7590" t="s">
        <v>1483</v>
      </c>
      <c r="B7590" t="s">
        <v>1102</v>
      </c>
      <c r="E7590" t="str">
        <f>IF(OR(E7589="&lt;/routeDistribution&gt;",E7589=""),"",IFERROR(_xlfn.CONCAT(VLOOKUP(R28,Route_Column!#REF!,2,FALSE),CHAR(34)," probability=",CHAR(34),1/R$4,CHAR(34),CHAR(47),CHAR(62)),"&lt;/routeDistribution&gt;"))</f>
        <v/>
      </c>
    </row>
    <row r="7591" spans="1:5" x14ac:dyDescent="0.25">
      <c r="A7591" t="s">
        <v>1483</v>
      </c>
      <c r="B7591" t="s">
        <v>1103</v>
      </c>
      <c r="E7591" t="str">
        <f>IF(OR(E7590="&lt;/routeDistribution&gt;",E7590=""),"",IFERROR(_xlfn.CONCAT(VLOOKUP(R29,Route_Column!#REF!,2,FALSE),CHAR(34)," probability=",CHAR(34),1/R$4,CHAR(34),CHAR(47),CHAR(62)),"&lt;/routeDistribution&gt;"))</f>
        <v/>
      </c>
    </row>
    <row r="7592" spans="1:5" x14ac:dyDescent="0.25">
      <c r="A7592" t="s">
        <v>1483</v>
      </c>
      <c r="B7592" t="s">
        <v>1104</v>
      </c>
      <c r="E7592" t="str">
        <f>IF(OR(E7591="&lt;/routeDistribution&gt;",E7591=""),"",IFERROR(_xlfn.CONCAT(VLOOKUP(R30,Route_Column!#REF!,2,FALSE),CHAR(34)," probability=",CHAR(34),1/R$4,CHAR(34),CHAR(47),CHAR(62)),"&lt;/routeDistribution&gt;"))</f>
        <v/>
      </c>
    </row>
    <row r="7593" spans="1:5" x14ac:dyDescent="0.25">
      <c r="A7593" t="s">
        <v>1483</v>
      </c>
      <c r="B7593" t="s">
        <v>1105</v>
      </c>
      <c r="E7593" t="str">
        <f>IF(OR(E7592="&lt;/routeDistribution&gt;",E7592=""),"",IFERROR(_xlfn.CONCAT(VLOOKUP(R31,Route_Column!#REF!,2,FALSE),CHAR(34)," probability=",CHAR(34),1/R$4,CHAR(34),CHAR(47),CHAR(62)),"&lt;/routeDistribution&gt;"))</f>
        <v/>
      </c>
    </row>
    <row r="7594" spans="1:5" x14ac:dyDescent="0.25">
      <c r="A7594" t="s">
        <v>1483</v>
      </c>
      <c r="B7594" t="s">
        <v>1106</v>
      </c>
      <c r="E7594" t="str">
        <f>IF(OR(E7593="&lt;/routeDistribution&gt;",E7593=""),"",IFERROR(_xlfn.CONCAT(VLOOKUP(R32,Route_Column!#REF!,2,FALSE),CHAR(34)," probability=",CHAR(34),1/R$4,CHAR(34),CHAR(47),CHAR(62)),"&lt;/routeDistribution&gt;"))</f>
        <v/>
      </c>
    </row>
    <row r="7595" spans="1:5" x14ac:dyDescent="0.25">
      <c r="A7595" t="s">
        <v>1483</v>
      </c>
      <c r="B7595" t="s">
        <v>1107</v>
      </c>
      <c r="E7595" t="str">
        <f>IF(OR(E7594="&lt;/routeDistribution&gt;",E7594=""),"",IFERROR(_xlfn.CONCAT(VLOOKUP(R33,Route_Column!#REF!,2,FALSE),CHAR(34)," probability=",CHAR(34),1/R$4,CHAR(34),CHAR(47),CHAR(62)),"&lt;/routeDistribution&gt;"))</f>
        <v/>
      </c>
    </row>
    <row r="7596" spans="1:5" x14ac:dyDescent="0.25">
      <c r="A7596" t="s">
        <v>1708</v>
      </c>
      <c r="B7596" t="s">
        <v>1100</v>
      </c>
      <c r="E7596" t="str">
        <f>IF(OR(E7595="&lt;/routeDistribution&gt;",E7595=""),"",IFERROR(_xlfn.CONCAT(VLOOKUP(R34,Route_Column!#REF!,2,FALSE),CHAR(34)," probability=",CHAR(34),1/R$4,CHAR(34),CHAR(47),CHAR(62)),"&lt;/routeDistribution&gt;"))</f>
        <v/>
      </c>
    </row>
    <row r="7597" spans="1:5" x14ac:dyDescent="0.25">
      <c r="A7597" t="s">
        <v>1708</v>
      </c>
      <c r="B7597" t="s">
        <v>1101</v>
      </c>
      <c r="E7597" t="str">
        <f>IF(OR(E7596="&lt;/routeDistribution&gt;",E7596=""),"",IFERROR(_xlfn.CONCAT(VLOOKUP(R35,Route_Column!#REF!,2,FALSE),CHAR(34)," probability=",CHAR(34),1/R$4,CHAR(34),CHAR(47),CHAR(62)),"&lt;/routeDistribution&gt;"))</f>
        <v/>
      </c>
    </row>
    <row r="7598" spans="1:5" x14ac:dyDescent="0.25">
      <c r="A7598" t="s">
        <v>1708</v>
      </c>
      <c r="B7598" t="s">
        <v>1104</v>
      </c>
      <c r="E7598" t="str">
        <f>IF(OR(E7597="&lt;/routeDistribution&gt;",E7597=""),"",IFERROR(_xlfn.CONCAT(VLOOKUP(R36,Route_Column!#REF!,2,FALSE),CHAR(34)," probability=",CHAR(34),1/R$4,CHAR(34),CHAR(47),CHAR(62)),"&lt;/routeDistribution&gt;"))</f>
        <v/>
      </c>
    </row>
    <row r="7599" spans="1:5" x14ac:dyDescent="0.25">
      <c r="A7599" t="s">
        <v>1708</v>
      </c>
      <c r="B7599" t="s">
        <v>1105</v>
      </c>
      <c r="E7599" t="str">
        <f>IF(OR(E7598="&lt;/routeDistribution&gt;",E7598=""),"",IFERROR(_xlfn.CONCAT(VLOOKUP(R37,Route_Column!#REF!,2,FALSE),CHAR(34)," probability=",CHAR(34),1/R$4,CHAR(34),CHAR(47),CHAR(62)),"&lt;/routeDistribution&gt;"))</f>
        <v/>
      </c>
    </row>
    <row r="7600" spans="1:5" x14ac:dyDescent="0.25">
      <c r="A7600" t="s">
        <v>1708</v>
      </c>
      <c r="B7600" t="s">
        <v>1116</v>
      </c>
      <c r="E7600" t="str">
        <f>IF(OR(E7599="&lt;/routeDistribution&gt;",E7599=""),"",IFERROR(_xlfn.CONCAT(VLOOKUP(R38,Route_Column!#REF!,2,FALSE),CHAR(34)," probability=",CHAR(34),1/R$4,CHAR(34),CHAR(47),CHAR(62)),"&lt;/routeDistribution&gt;"))</f>
        <v/>
      </c>
    </row>
    <row r="7601" spans="1:5" x14ac:dyDescent="0.25">
      <c r="A7601" t="s">
        <v>1708</v>
      </c>
      <c r="B7601" t="s">
        <v>1116</v>
      </c>
      <c r="E7601" t="str">
        <f>IF(OR(E7600="&lt;/routeDistribution&gt;",E7600=""),"",IFERROR(_xlfn.CONCAT(VLOOKUP(R39,Route_Column!#REF!,2,FALSE),CHAR(34)," probability=",CHAR(34),1/R$4,CHAR(34),CHAR(47),CHAR(62)),"&lt;/routeDistribution&gt;"))</f>
        <v/>
      </c>
    </row>
    <row r="7602" spans="1:5" x14ac:dyDescent="0.25">
      <c r="A7602" t="s">
        <v>1708</v>
      </c>
      <c r="B7602" t="s">
        <v>1117</v>
      </c>
      <c r="E7602" t="str">
        <f>IF(OR(E7601="&lt;/routeDistribution&gt;",E7601=""),"",IFERROR(_xlfn.CONCAT(VLOOKUP(R40,Route_Column!#REF!,2,FALSE),CHAR(34)," probability=",CHAR(34),1/R$4,CHAR(34),CHAR(47),CHAR(62)),"&lt;/routeDistribution&gt;"))</f>
        <v/>
      </c>
    </row>
    <row r="7603" spans="1:5" x14ac:dyDescent="0.25">
      <c r="A7603" t="s">
        <v>1708</v>
      </c>
      <c r="B7603" t="s">
        <v>1117</v>
      </c>
      <c r="E7603" t="str">
        <f>IF(OR(E7602="&lt;/routeDistribution&gt;",E7602=""),"",IFERROR(_xlfn.CONCAT(VLOOKUP(R41,Route_Column!#REF!,2,FALSE),CHAR(34)," probability=",CHAR(34),1/R$4,CHAR(34),CHAR(47),CHAR(62)),"&lt;/routeDistribution&gt;"))</f>
        <v/>
      </c>
    </row>
    <row r="7604" spans="1:5" x14ac:dyDescent="0.25">
      <c r="A7604" t="s">
        <v>1708</v>
      </c>
      <c r="B7604" t="s">
        <v>1118</v>
      </c>
      <c r="E7604" t="str">
        <f>IF(OR(E7603="&lt;/routeDistribution&gt;",E7603=""),"",IFERROR(_xlfn.CONCAT(VLOOKUP(R42,Route_Column!#REF!,2,FALSE),CHAR(34)," probability=",CHAR(34),1/R$4,CHAR(34),CHAR(47),CHAR(62)),"&lt;/routeDistribution&gt;"))</f>
        <v/>
      </c>
    </row>
    <row r="7605" spans="1:5" x14ac:dyDescent="0.25">
      <c r="A7605" t="s">
        <v>1708</v>
      </c>
      <c r="B7605" t="s">
        <v>1118</v>
      </c>
      <c r="E7605" t="str">
        <f>IF(OR(E7604="&lt;/routeDistribution&gt;",E7604=""),"",IFERROR(_xlfn.CONCAT(VLOOKUP(R43,Route_Column!#REF!,2,FALSE),CHAR(34)," probability=",CHAR(34),1/R$4,CHAR(34),CHAR(47),CHAR(62)),"&lt;/routeDistribution&gt;"))</f>
        <v/>
      </c>
    </row>
    <row r="7606" spans="1:5" x14ac:dyDescent="0.25">
      <c r="A7606" t="s">
        <v>1708</v>
      </c>
      <c r="B7606" t="s">
        <v>1119</v>
      </c>
      <c r="E7606" t="str">
        <f>IF(OR(E7605="&lt;/routeDistribution&gt;",E7605=""),"",IFERROR(_xlfn.CONCAT(VLOOKUP(R44,Route_Column!#REF!,2,FALSE),CHAR(34)," probability=",CHAR(34),1/R$4,CHAR(34),CHAR(47),CHAR(62)),"&lt;/routeDistribution&gt;"))</f>
        <v/>
      </c>
    </row>
    <row r="7607" spans="1:5" x14ac:dyDescent="0.25">
      <c r="A7607" t="s">
        <v>1708</v>
      </c>
      <c r="B7607" t="s">
        <v>1120</v>
      </c>
      <c r="E7607" t="str">
        <f>IF(OR(E7606="&lt;/routeDistribution&gt;",E7606=""),"",IFERROR(_xlfn.CONCAT(VLOOKUP(R45,Route_Column!#REF!,2,FALSE),CHAR(34)," probability=",CHAR(34),1/R$4,CHAR(34),CHAR(47),CHAR(62)),"&lt;/routeDistribution&gt;"))</f>
        <v/>
      </c>
    </row>
    <row r="7608" spans="1:5" x14ac:dyDescent="0.25">
      <c r="A7608" t="s">
        <v>1708</v>
      </c>
      <c r="B7608" t="s">
        <v>1164</v>
      </c>
      <c r="E7608" t="str">
        <f>IF(OR(E7607="&lt;/routeDistribution&gt;",E7607=""),"",IFERROR(_xlfn.CONCAT(VLOOKUP(R46,Route_Column!#REF!,2,FALSE),CHAR(34)," probability=",CHAR(34),1/R$4,CHAR(34),CHAR(47),CHAR(62)),"&lt;/routeDistribution&gt;"))</f>
        <v/>
      </c>
    </row>
    <row r="7609" spans="1:5" x14ac:dyDescent="0.25">
      <c r="A7609" t="s">
        <v>1708</v>
      </c>
      <c r="B7609" t="s">
        <v>1235</v>
      </c>
      <c r="E7609" t="str">
        <f>IF(OR(E7608="&lt;/routeDistribution&gt;",E7608=""),"",IFERROR(_xlfn.CONCAT(VLOOKUP(R47,Route_Column!#REF!,2,FALSE),CHAR(34)," probability=",CHAR(34),1/R$4,CHAR(34),CHAR(47),CHAR(62)),"&lt;/routeDistribution&gt;"))</f>
        <v/>
      </c>
    </row>
    <row r="7610" spans="1:5" x14ac:dyDescent="0.25">
      <c r="A7610" t="s">
        <v>1708</v>
      </c>
      <c r="B7610" t="s">
        <v>1236</v>
      </c>
      <c r="E7610" t="str">
        <f>IF(OR(E7609="&lt;/routeDistribution&gt;",E7609=""),"",IFERROR(_xlfn.CONCAT(VLOOKUP(R48,Route_Column!#REF!,2,FALSE),CHAR(34)," probability=",CHAR(34),1/R$4,CHAR(34),CHAR(47),CHAR(62)),"&lt;/routeDistribution&gt;"))</f>
        <v/>
      </c>
    </row>
    <row r="7611" spans="1:5" x14ac:dyDescent="0.25">
      <c r="A7611" t="s">
        <v>1708</v>
      </c>
      <c r="B7611" t="s">
        <v>1239</v>
      </c>
      <c r="E7611" t="str">
        <f>IF(OR(E7610="&lt;/routeDistribution&gt;",E7610=""),"",IFERROR(_xlfn.CONCAT(VLOOKUP(R49,Route_Column!#REF!,2,FALSE),CHAR(34)," probability=",CHAR(34),1/R$4,CHAR(34),CHAR(47),CHAR(62)),"&lt;/routeDistribution&gt;"))</f>
        <v/>
      </c>
    </row>
    <row r="7612" spans="1:5" x14ac:dyDescent="0.25">
      <c r="A7612" t="s">
        <v>1708</v>
      </c>
      <c r="B7612" t="s">
        <v>1240</v>
      </c>
      <c r="E7612" t="str">
        <f>IF(OR(E7611="&lt;/routeDistribution&gt;",E7611=""),"",IFERROR(_xlfn.CONCAT(VLOOKUP(R50,Route_Column!#REF!,2,FALSE),CHAR(34)," probability=",CHAR(34),1/R$4,CHAR(34),CHAR(47),CHAR(62)),"&lt;/routeDistribution&gt;"))</f>
        <v/>
      </c>
    </row>
    <row r="7613" spans="1:5" x14ac:dyDescent="0.25">
      <c r="A7613" s="11" t="s">
        <v>1484</v>
      </c>
      <c r="B7613" t="s">
        <v>1091</v>
      </c>
      <c r="E7613" t="str">
        <f>IF(OR(E7612="&lt;/routeDistribution&gt;",E7612=""),"",IFERROR(_xlfn.CONCAT(VLOOKUP(R51,Route_Column!#REF!,2,FALSE),CHAR(34)," probability=",CHAR(34),1/R$4,CHAR(34),CHAR(47),CHAR(62)),"&lt;/routeDistribution&gt;"))</f>
        <v/>
      </c>
    </row>
    <row r="7614" spans="1:5" x14ac:dyDescent="0.25">
      <c r="A7614" t="s">
        <v>1484</v>
      </c>
      <c r="B7614" t="s">
        <v>1092</v>
      </c>
      <c r="E7614" t="str">
        <f>IF(OR(E7613="&lt;/routeDistribution&gt;",E7613=""),"",IFERROR(_xlfn.CONCAT(VLOOKUP(R52,Route_Column!#REF!,2,FALSE),CHAR(34)," probability=",CHAR(34),1/R$4,CHAR(34),CHAR(47),CHAR(62)),"&lt;/routeDistribution&gt;"))</f>
        <v/>
      </c>
    </row>
    <row r="7615" spans="1:5" x14ac:dyDescent="0.25">
      <c r="A7615" t="s">
        <v>1484</v>
      </c>
      <c r="B7615" t="s">
        <v>1093</v>
      </c>
      <c r="E7615" t="str">
        <f>IF(OR(E7614="&lt;/routeDistribution&gt;",E7614=""),"",IFERROR(_xlfn.CONCAT(VLOOKUP(R53,Route_Column!#REF!,2,FALSE),CHAR(34)," probability=",CHAR(34),1/R$4,CHAR(34),CHAR(47),CHAR(62)),"&lt;/routeDistribution&gt;"))</f>
        <v/>
      </c>
    </row>
    <row r="7616" spans="1:5" x14ac:dyDescent="0.25">
      <c r="A7616" t="s">
        <v>1484</v>
      </c>
      <c r="B7616" t="s">
        <v>1094</v>
      </c>
      <c r="E7616" t="str">
        <f>IF(OR(E7615="&lt;/routeDistribution&gt;",E7615=""),"",IFERROR(_xlfn.CONCAT(VLOOKUP(R54,Route_Column!#REF!,2,FALSE),CHAR(34)," probability=",CHAR(34),1/R$4,CHAR(34),CHAR(47),CHAR(62)),"&lt;/routeDistribution&gt;"))</f>
        <v/>
      </c>
    </row>
    <row r="7617" spans="1:5" x14ac:dyDescent="0.25">
      <c r="A7617" t="s">
        <v>1484</v>
      </c>
      <c r="B7617" t="s">
        <v>1095</v>
      </c>
      <c r="E7617" t="str">
        <f>IF(OR(E7616="&lt;/routeDistribution&gt;",E7616=""),"",IFERROR(_xlfn.CONCAT(VLOOKUP(R55,Route_Column!#REF!,2,FALSE),CHAR(34)," probability=",CHAR(34),1/R$4,CHAR(34),CHAR(47),CHAR(62)),"&lt;/routeDistribution&gt;"))</f>
        <v/>
      </c>
    </row>
    <row r="7618" spans="1:5" x14ac:dyDescent="0.25">
      <c r="A7618" t="s">
        <v>1484</v>
      </c>
      <c r="B7618" t="s">
        <v>1096</v>
      </c>
      <c r="E7618" t="str">
        <f>IF(OR(E7617="&lt;/routeDistribution&gt;",E7617=""),"",IFERROR(_xlfn.CONCAT(VLOOKUP(R56,Route_Column!#REF!,2,FALSE),CHAR(34)," probability=",CHAR(34),1/R$4,CHAR(34),CHAR(47),CHAR(62)),"&lt;/routeDistribution&gt;"))</f>
        <v/>
      </c>
    </row>
    <row r="7619" spans="1:5" x14ac:dyDescent="0.25">
      <c r="A7619" t="s">
        <v>1484</v>
      </c>
      <c r="B7619" t="s">
        <v>1097</v>
      </c>
      <c r="E7619" t="str">
        <f>IF(OR(E7618="&lt;/routeDistribution&gt;",E7618=""),"",IFERROR(_xlfn.CONCAT(VLOOKUP(R57,Route_Column!#REF!,2,FALSE),CHAR(34)," probability=",CHAR(34),1/R$4,CHAR(34),CHAR(47),CHAR(62)),"&lt;/routeDistribution&gt;"))</f>
        <v/>
      </c>
    </row>
    <row r="7620" spans="1:5" x14ac:dyDescent="0.25">
      <c r="A7620" t="s">
        <v>1484</v>
      </c>
      <c r="B7620" t="s">
        <v>1098</v>
      </c>
      <c r="E7620" t="str">
        <f>IF(OR(E7619="&lt;/routeDistribution&gt;",E7619=""),"",IFERROR(_xlfn.CONCAT(VLOOKUP(R58,Route_Column!#REF!,2,FALSE),CHAR(34)," probability=",CHAR(34),1/R$4,CHAR(34),CHAR(47),CHAR(62)),"&lt;/routeDistribution&gt;"))</f>
        <v/>
      </c>
    </row>
    <row r="7621" spans="1:5" x14ac:dyDescent="0.25">
      <c r="A7621" t="s">
        <v>1484</v>
      </c>
      <c r="B7621" t="s">
        <v>1099</v>
      </c>
      <c r="E7621" t="str">
        <f>IF(OR(E7620="&lt;/routeDistribution&gt;",E7620=""),"",IFERROR(_xlfn.CONCAT(VLOOKUP(R59,Route_Column!#REF!,2,FALSE),CHAR(34)," probability=",CHAR(34),1/R$4,CHAR(34),CHAR(47),CHAR(62)),"&lt;/routeDistribution&gt;"))</f>
        <v/>
      </c>
    </row>
    <row r="7622" spans="1:5" x14ac:dyDescent="0.25">
      <c r="A7622" t="s">
        <v>1484</v>
      </c>
      <c r="B7622" t="s">
        <v>1100</v>
      </c>
      <c r="E7622" t="str">
        <f>IF(OR(E7621="&lt;/routeDistribution&gt;",E7621=""),"",IFERROR(_xlfn.CONCAT(VLOOKUP(R60,Route_Column!#REF!,2,FALSE),CHAR(34)," probability=",CHAR(34),1/R$4,CHAR(34),CHAR(47),CHAR(62)),"&lt;/routeDistribution&gt;"))</f>
        <v/>
      </c>
    </row>
    <row r="7623" spans="1:5" x14ac:dyDescent="0.25">
      <c r="A7623" t="s">
        <v>1484</v>
      </c>
      <c r="B7623" t="s">
        <v>1101</v>
      </c>
      <c r="E7623" t="str">
        <f>IF(OR(E7622="&lt;/routeDistribution&gt;",E7622=""),"",IFERROR(_xlfn.CONCAT(VLOOKUP(R61,Route_Column!#REF!,2,FALSE),CHAR(34)," probability=",CHAR(34),1/R$4,CHAR(34),CHAR(47),CHAR(62)),"&lt;/routeDistribution&gt;"))</f>
        <v/>
      </c>
    </row>
    <row r="7624" spans="1:5" x14ac:dyDescent="0.25">
      <c r="A7624" t="s">
        <v>1484</v>
      </c>
      <c r="B7624" t="s">
        <v>1102</v>
      </c>
      <c r="E7624" t="str">
        <f>IF(OR(E7623="&lt;/routeDistribution&gt;",E7623=""),"",IFERROR(_xlfn.CONCAT(VLOOKUP(R62,Route_Column!#REF!,2,FALSE),CHAR(34)," probability=",CHAR(34),1/R$4,CHAR(34),CHAR(47),CHAR(62)),"&lt;/routeDistribution&gt;"))</f>
        <v/>
      </c>
    </row>
    <row r="7625" spans="1:5" x14ac:dyDescent="0.25">
      <c r="A7625" t="s">
        <v>1484</v>
      </c>
      <c r="B7625" t="s">
        <v>1103</v>
      </c>
      <c r="E7625" t="str">
        <f>IF(OR(E7624="&lt;/routeDistribution&gt;",E7624=""),"",IFERROR(_xlfn.CONCAT(VLOOKUP(R63,Route_Column!#REF!,2,FALSE),CHAR(34)," probability=",CHAR(34),1/R$4,CHAR(34),CHAR(47),CHAR(62)),"&lt;/routeDistribution&gt;"))</f>
        <v/>
      </c>
    </row>
    <row r="7626" spans="1:5" x14ac:dyDescent="0.25">
      <c r="A7626" t="s">
        <v>1484</v>
      </c>
      <c r="B7626" t="s">
        <v>1104</v>
      </c>
      <c r="E7626" t="s">
        <v>2686</v>
      </c>
    </row>
    <row r="7627" spans="1:5" x14ac:dyDescent="0.25">
      <c r="A7627" t="s">
        <v>1484</v>
      </c>
      <c r="B7627" t="s">
        <v>1105</v>
      </c>
    </row>
    <row r="7628" spans="1:5" x14ac:dyDescent="0.25">
      <c r="A7628" t="s">
        <v>1484</v>
      </c>
      <c r="B7628" t="s">
        <v>1106</v>
      </c>
    </row>
    <row r="7629" spans="1:5" x14ac:dyDescent="0.25">
      <c r="A7629" t="s">
        <v>1484</v>
      </c>
      <c r="B7629" t="s">
        <v>1107</v>
      </c>
      <c r="E7629" t="str">
        <f>_xlfn.CONCAT($E$1,Q$2,$F$1)</f>
        <v>&lt;routeDistribution id="23rd-Spruce-to-Grays-SB-2015-RouteProbe"&gt;</v>
      </c>
    </row>
    <row r="7630" spans="1:5" x14ac:dyDescent="0.25">
      <c r="A7630" t="s">
        <v>1707</v>
      </c>
      <c r="B7630" t="s">
        <v>1100</v>
      </c>
      <c r="E7630" t="str">
        <f>IF(OR(E7629="&lt;/routeDistribution&gt;",E7629=""),"",IFERROR(_xlfn.CONCAT(VLOOKUP(Q5,Route_Column!#REF!,2,FALSE),CHAR(34)," probability=",CHAR(34),1/Q$4,CHAR(34),CHAR(47),CHAR(62)),"&lt;/routeDistribution&gt;"))</f>
        <v>&lt;/routeDistribution&gt;</v>
      </c>
    </row>
    <row r="7631" spans="1:5" x14ac:dyDescent="0.25">
      <c r="A7631" t="s">
        <v>1707</v>
      </c>
      <c r="B7631" t="s">
        <v>1101</v>
      </c>
      <c r="E7631" t="str">
        <f>IF(OR(E7630="&lt;/routeDistribution&gt;",E7630=""),"",IFERROR(_xlfn.CONCAT(VLOOKUP(Q6,Route_Column!#REF!,2,FALSE),CHAR(34)," probability=",CHAR(34),1/Q$4,CHAR(34),CHAR(47),CHAR(62)),"&lt;/routeDistribution&gt;"))</f>
        <v/>
      </c>
    </row>
    <row r="7632" spans="1:5" x14ac:dyDescent="0.25">
      <c r="A7632" t="s">
        <v>1707</v>
      </c>
      <c r="B7632" t="s">
        <v>1104</v>
      </c>
      <c r="E7632" t="str">
        <f>IF(OR(E7631="&lt;/routeDistribution&gt;",E7631=""),"",IFERROR(_xlfn.CONCAT(VLOOKUP(Q7,Route_Column!#REF!,2,FALSE),CHAR(34)," probability=",CHAR(34),1/Q$4,CHAR(34),CHAR(47),CHAR(62)),"&lt;/routeDistribution&gt;"))</f>
        <v/>
      </c>
    </row>
    <row r="7633" spans="1:5" x14ac:dyDescent="0.25">
      <c r="A7633" t="s">
        <v>1707</v>
      </c>
      <c r="B7633" t="s">
        <v>1105</v>
      </c>
      <c r="E7633" t="str">
        <f>IF(OR(E7632="&lt;/routeDistribution&gt;",E7632=""),"",IFERROR(_xlfn.CONCAT(VLOOKUP(Q8,Route_Column!#REF!,2,FALSE),CHAR(34)," probability=",CHAR(34),1/Q$4,CHAR(34),CHAR(47),CHAR(62)),"&lt;/routeDistribution&gt;"))</f>
        <v/>
      </c>
    </row>
    <row r="7634" spans="1:5" x14ac:dyDescent="0.25">
      <c r="A7634" t="s">
        <v>1707</v>
      </c>
      <c r="B7634" t="s">
        <v>1116</v>
      </c>
      <c r="E7634" t="str">
        <f>IF(OR(E7633="&lt;/routeDistribution&gt;",E7633=""),"",IFERROR(_xlfn.CONCAT(VLOOKUP(Q9,Route_Column!#REF!,2,FALSE),CHAR(34)," probability=",CHAR(34),1/Q$4,CHAR(34),CHAR(47),CHAR(62)),"&lt;/routeDistribution&gt;"))</f>
        <v/>
      </c>
    </row>
    <row r="7635" spans="1:5" x14ac:dyDescent="0.25">
      <c r="A7635" t="s">
        <v>1707</v>
      </c>
      <c r="B7635" t="s">
        <v>1116</v>
      </c>
      <c r="E7635" t="str">
        <f>IF(OR(E7634="&lt;/routeDistribution&gt;",E7634=""),"",IFERROR(_xlfn.CONCAT(VLOOKUP(Q10,Route_Column!#REF!,2,FALSE),CHAR(34)," probability=",CHAR(34),1/Q$4,CHAR(34),CHAR(47),CHAR(62)),"&lt;/routeDistribution&gt;"))</f>
        <v/>
      </c>
    </row>
    <row r="7636" spans="1:5" x14ac:dyDescent="0.25">
      <c r="A7636" t="s">
        <v>1707</v>
      </c>
      <c r="B7636" t="s">
        <v>1117</v>
      </c>
      <c r="E7636" t="str">
        <f>IF(OR(E7635="&lt;/routeDistribution&gt;",E7635=""),"",IFERROR(_xlfn.CONCAT(VLOOKUP(Q11,Route_Column!#REF!,2,FALSE),CHAR(34)," probability=",CHAR(34),1/Q$4,CHAR(34),CHAR(47),CHAR(62)),"&lt;/routeDistribution&gt;"))</f>
        <v/>
      </c>
    </row>
    <row r="7637" spans="1:5" x14ac:dyDescent="0.25">
      <c r="A7637" t="s">
        <v>1707</v>
      </c>
      <c r="B7637" t="s">
        <v>1117</v>
      </c>
      <c r="E7637" t="str">
        <f>IF(OR(E7636="&lt;/routeDistribution&gt;",E7636=""),"",IFERROR(_xlfn.CONCAT(VLOOKUP(Q12,Route_Column!#REF!,2,FALSE),CHAR(34)," probability=",CHAR(34),1/Q$4,CHAR(34),CHAR(47),CHAR(62)),"&lt;/routeDistribution&gt;"))</f>
        <v/>
      </c>
    </row>
    <row r="7638" spans="1:5" x14ac:dyDescent="0.25">
      <c r="A7638" t="s">
        <v>1707</v>
      </c>
      <c r="B7638" t="s">
        <v>1118</v>
      </c>
      <c r="E7638" t="str">
        <f>IF(OR(E7637="&lt;/routeDistribution&gt;",E7637=""),"",IFERROR(_xlfn.CONCAT(VLOOKUP(Q13,Route_Column!#REF!,2,FALSE),CHAR(34)," probability=",CHAR(34),1/Q$4,CHAR(34),CHAR(47),CHAR(62)),"&lt;/routeDistribution&gt;"))</f>
        <v/>
      </c>
    </row>
    <row r="7639" spans="1:5" x14ac:dyDescent="0.25">
      <c r="A7639" t="s">
        <v>1707</v>
      </c>
      <c r="B7639" t="s">
        <v>1118</v>
      </c>
      <c r="E7639" t="str">
        <f>IF(OR(E7638="&lt;/routeDistribution&gt;",E7638=""),"",IFERROR(_xlfn.CONCAT(VLOOKUP(Q14,Route_Column!#REF!,2,FALSE),CHAR(34)," probability=",CHAR(34),1/Q$4,CHAR(34),CHAR(47),CHAR(62)),"&lt;/routeDistribution&gt;"))</f>
        <v/>
      </c>
    </row>
    <row r="7640" spans="1:5" x14ac:dyDescent="0.25">
      <c r="A7640" t="s">
        <v>1707</v>
      </c>
      <c r="B7640" t="s">
        <v>1119</v>
      </c>
      <c r="E7640" t="str">
        <f>IF(OR(E7639="&lt;/routeDistribution&gt;",E7639=""),"",IFERROR(_xlfn.CONCAT(VLOOKUP(Q15,Route_Column!#REF!,2,FALSE),CHAR(34)," probability=",CHAR(34),1/Q$4,CHAR(34),CHAR(47),CHAR(62)),"&lt;/routeDistribution&gt;"))</f>
        <v/>
      </c>
    </row>
    <row r="7641" spans="1:5" x14ac:dyDescent="0.25">
      <c r="A7641" t="s">
        <v>1707</v>
      </c>
      <c r="B7641" t="s">
        <v>1120</v>
      </c>
      <c r="E7641" t="str">
        <f>IF(OR(E7640="&lt;/routeDistribution&gt;",E7640=""),"",IFERROR(_xlfn.CONCAT(VLOOKUP(Q16,Route_Column!#REF!,2,FALSE),CHAR(34)," probability=",CHAR(34),1/Q$4,CHAR(34),CHAR(47),CHAR(62)),"&lt;/routeDistribution&gt;"))</f>
        <v/>
      </c>
    </row>
    <row r="7642" spans="1:5" x14ac:dyDescent="0.25">
      <c r="A7642" t="s">
        <v>1707</v>
      </c>
      <c r="B7642" t="s">
        <v>1164</v>
      </c>
      <c r="E7642" t="str">
        <f>IF(OR(E7641="&lt;/routeDistribution&gt;",E7641=""),"",IFERROR(_xlfn.CONCAT(VLOOKUP(Q17,Route_Column!#REF!,2,FALSE),CHAR(34)," probability=",CHAR(34),1/Q$4,CHAR(34),CHAR(47),CHAR(62)),"&lt;/routeDistribution&gt;"))</f>
        <v/>
      </c>
    </row>
    <row r="7643" spans="1:5" x14ac:dyDescent="0.25">
      <c r="A7643" t="s">
        <v>1707</v>
      </c>
      <c r="B7643" t="s">
        <v>1235</v>
      </c>
      <c r="E7643" t="str">
        <f>IF(OR(E7642="&lt;/routeDistribution&gt;",E7642=""),"",IFERROR(_xlfn.CONCAT(VLOOKUP(Q18,Route_Column!#REF!,2,FALSE),CHAR(34)," probability=",CHAR(34),1/Q$4,CHAR(34),CHAR(47),CHAR(62)),"&lt;/routeDistribution&gt;"))</f>
        <v/>
      </c>
    </row>
    <row r="7644" spans="1:5" x14ac:dyDescent="0.25">
      <c r="A7644" t="s">
        <v>1707</v>
      </c>
      <c r="B7644" t="s">
        <v>1236</v>
      </c>
      <c r="E7644" t="str">
        <f>IF(OR(E7643="&lt;/routeDistribution&gt;",E7643=""),"",IFERROR(_xlfn.CONCAT(VLOOKUP(Q19,Route_Column!#REF!,2,FALSE),CHAR(34)," probability=",CHAR(34),1/Q$4,CHAR(34),CHAR(47),CHAR(62)),"&lt;/routeDistribution&gt;"))</f>
        <v/>
      </c>
    </row>
    <row r="7645" spans="1:5" x14ac:dyDescent="0.25">
      <c r="A7645" t="s">
        <v>1707</v>
      </c>
      <c r="B7645" t="s">
        <v>1239</v>
      </c>
      <c r="E7645" t="str">
        <f>IF(OR(E7644="&lt;/routeDistribution&gt;",E7644=""),"",IFERROR(_xlfn.CONCAT(VLOOKUP(Q20,Route_Column!#REF!,2,FALSE),CHAR(34)," probability=",CHAR(34),1/Q$4,CHAR(34),CHAR(47),CHAR(62)),"&lt;/routeDistribution&gt;"))</f>
        <v/>
      </c>
    </row>
    <row r="7646" spans="1:5" x14ac:dyDescent="0.25">
      <c r="A7646" t="s">
        <v>1707</v>
      </c>
      <c r="B7646" t="s">
        <v>1240</v>
      </c>
      <c r="E7646" t="str">
        <f>IF(OR(E7645="&lt;/routeDistribution&gt;",E7645=""),"",IFERROR(_xlfn.CONCAT(VLOOKUP(Q21,Route_Column!#REF!,2,FALSE),CHAR(34)," probability=",CHAR(34),1/Q$4,CHAR(34),CHAR(47),CHAR(62)),"&lt;/routeDistribution&gt;"))</f>
        <v/>
      </c>
    </row>
    <row r="7647" spans="1:5" x14ac:dyDescent="0.25">
      <c r="A7647" t="s">
        <v>1783</v>
      </c>
      <c r="B7647" t="s">
        <v>1104</v>
      </c>
      <c r="E7647" t="str">
        <f>IF(OR(E7646="&lt;/routeDistribution&gt;",E7646=""),"",IFERROR(_xlfn.CONCAT(VLOOKUP(Q22,Route_Column!#REF!,2,FALSE),CHAR(34)," probability=",CHAR(34),1/Q$4,CHAR(34),CHAR(47),CHAR(62)),"&lt;/routeDistribution&gt;"))</f>
        <v/>
      </c>
    </row>
    <row r="7648" spans="1:5" x14ac:dyDescent="0.25">
      <c r="A7648" t="s">
        <v>1783</v>
      </c>
      <c r="B7648" t="s">
        <v>1105</v>
      </c>
      <c r="E7648" t="str">
        <f>IF(OR(E7647="&lt;/routeDistribution&gt;",E7647=""),"",IFERROR(_xlfn.CONCAT(VLOOKUP(Q23,Route_Column!#REF!,2,FALSE),CHAR(34)," probability=",CHAR(34),1/Q$4,CHAR(34),CHAR(47),CHAR(62)),"&lt;/routeDistribution&gt;"))</f>
        <v/>
      </c>
    </row>
    <row r="7649" spans="1:5" x14ac:dyDescent="0.25">
      <c r="A7649" t="s">
        <v>1783</v>
      </c>
      <c r="B7649" t="s">
        <v>1116</v>
      </c>
      <c r="E7649" t="str">
        <f>IF(OR(E7648="&lt;/routeDistribution&gt;",E7648=""),"",IFERROR(_xlfn.CONCAT(VLOOKUP(Q24,Route_Column!#REF!,2,FALSE),CHAR(34)," probability=",CHAR(34),1/Q$4,CHAR(34),CHAR(47),CHAR(62)),"&lt;/routeDistribution&gt;"))</f>
        <v/>
      </c>
    </row>
    <row r="7650" spans="1:5" x14ac:dyDescent="0.25">
      <c r="A7650" t="s">
        <v>1783</v>
      </c>
      <c r="B7650" t="s">
        <v>1117</v>
      </c>
      <c r="E7650" t="str">
        <f>IF(OR(E7649="&lt;/routeDistribution&gt;",E7649=""),"",IFERROR(_xlfn.CONCAT(VLOOKUP(Q25,Route_Column!#REF!,2,FALSE),CHAR(34)," probability=",CHAR(34),1/Q$4,CHAR(34),CHAR(47),CHAR(62)),"&lt;/routeDistribution&gt;"))</f>
        <v/>
      </c>
    </row>
    <row r="7651" spans="1:5" x14ac:dyDescent="0.25">
      <c r="A7651" t="s">
        <v>1783</v>
      </c>
      <c r="B7651" t="s">
        <v>1118</v>
      </c>
      <c r="E7651" t="str">
        <f>IF(OR(E7650="&lt;/routeDistribution&gt;",E7650=""),"",IFERROR(_xlfn.CONCAT(VLOOKUP(Q26,Route_Column!#REF!,2,FALSE),CHAR(34)," probability=",CHAR(34),1/Q$4,CHAR(34),CHAR(47),CHAR(62)),"&lt;/routeDistribution&gt;"))</f>
        <v/>
      </c>
    </row>
    <row r="7652" spans="1:5" x14ac:dyDescent="0.25">
      <c r="A7652" t="s">
        <v>1783</v>
      </c>
      <c r="B7652" t="s">
        <v>1223</v>
      </c>
      <c r="E7652" t="str">
        <f>IF(OR(E7651="&lt;/routeDistribution&gt;",E7651=""),"",IFERROR(_xlfn.CONCAT(VLOOKUP(Q27,Route_Column!#REF!,2,FALSE),CHAR(34)," probability=",CHAR(34),1/Q$4,CHAR(34),CHAR(47),CHAR(62)),"&lt;/routeDistribution&gt;"))</f>
        <v/>
      </c>
    </row>
    <row r="7653" spans="1:5" x14ac:dyDescent="0.25">
      <c r="A7653" t="s">
        <v>1783</v>
      </c>
      <c r="B7653" t="s">
        <v>1239</v>
      </c>
      <c r="E7653" t="str">
        <f>IF(OR(E7652="&lt;/routeDistribution&gt;",E7652=""),"",IFERROR(_xlfn.CONCAT(VLOOKUP(Q28,Route_Column!#REF!,2,FALSE),CHAR(34)," probability=",CHAR(34),1/Q$4,CHAR(34),CHAR(47),CHAR(62)),"&lt;/routeDistribution&gt;"))</f>
        <v/>
      </c>
    </row>
    <row r="7654" spans="1:5" x14ac:dyDescent="0.25">
      <c r="A7654" t="s">
        <v>1783</v>
      </c>
      <c r="B7654" t="s">
        <v>1240</v>
      </c>
      <c r="E7654" t="str">
        <f>IF(OR(E7653="&lt;/routeDistribution&gt;",E7653=""),"",IFERROR(_xlfn.CONCAT(VLOOKUP(Q29,Route_Column!#REF!,2,FALSE),CHAR(34)," probability=",CHAR(34),1/Q$4,CHAR(34),CHAR(47),CHAR(62)),"&lt;/routeDistribution&gt;"))</f>
        <v/>
      </c>
    </row>
    <row r="7655" spans="1:5" x14ac:dyDescent="0.25">
      <c r="A7655" t="s">
        <v>1659</v>
      </c>
      <c r="B7655" t="s">
        <v>1098</v>
      </c>
      <c r="E7655" t="str">
        <f>IF(OR(E7654="&lt;/routeDistribution&gt;",E7654=""),"",IFERROR(_xlfn.CONCAT(VLOOKUP(Q30,Route_Column!#REF!,2,FALSE),CHAR(34)," probability=",CHAR(34),1/Q$4,CHAR(34),CHAR(47),CHAR(62)),"&lt;/routeDistribution&gt;"))</f>
        <v/>
      </c>
    </row>
    <row r="7656" spans="1:5" x14ac:dyDescent="0.25">
      <c r="A7656" t="s">
        <v>1659</v>
      </c>
      <c r="B7656" t="s">
        <v>1104</v>
      </c>
      <c r="E7656" t="str">
        <f>IF(OR(E7655="&lt;/routeDistribution&gt;",E7655=""),"",IFERROR(_xlfn.CONCAT(VLOOKUP(Q31,Route_Column!#REF!,2,FALSE),CHAR(34)," probability=",CHAR(34),1/Q$4,CHAR(34),CHAR(47),CHAR(62)),"&lt;/routeDistribution&gt;"))</f>
        <v/>
      </c>
    </row>
    <row r="7657" spans="1:5" x14ac:dyDescent="0.25">
      <c r="A7657" t="s">
        <v>1659</v>
      </c>
      <c r="B7657" t="s">
        <v>1105</v>
      </c>
      <c r="E7657" t="str">
        <f>IF(OR(E7656="&lt;/routeDistribution&gt;",E7656=""),"",IFERROR(_xlfn.CONCAT(VLOOKUP(Q32,Route_Column!#REF!,2,FALSE),CHAR(34)," probability=",CHAR(34),1/Q$4,CHAR(34),CHAR(47),CHAR(62)),"&lt;/routeDistribution&gt;"))</f>
        <v/>
      </c>
    </row>
    <row r="7658" spans="1:5" x14ac:dyDescent="0.25">
      <c r="A7658" t="s">
        <v>1659</v>
      </c>
      <c r="B7658" t="s">
        <v>1116</v>
      </c>
      <c r="E7658" t="str">
        <f>IF(OR(E7657="&lt;/routeDistribution&gt;",E7657=""),"",IFERROR(_xlfn.CONCAT(VLOOKUP(Q33,Route_Column!#REF!,2,FALSE),CHAR(34)," probability=",CHAR(34),1/Q$4,CHAR(34),CHAR(47),CHAR(62)),"&lt;/routeDistribution&gt;"))</f>
        <v/>
      </c>
    </row>
    <row r="7659" spans="1:5" x14ac:dyDescent="0.25">
      <c r="A7659" t="s">
        <v>1659</v>
      </c>
      <c r="B7659" t="s">
        <v>1116</v>
      </c>
      <c r="E7659" t="str">
        <f>IF(OR(E7658="&lt;/routeDistribution&gt;",E7658=""),"",IFERROR(_xlfn.CONCAT(VLOOKUP(Q34,Route_Column!#REF!,2,FALSE),CHAR(34)," probability=",CHAR(34),1/Q$4,CHAR(34),CHAR(47),CHAR(62)),"&lt;/routeDistribution&gt;"))</f>
        <v/>
      </c>
    </row>
    <row r="7660" spans="1:5" x14ac:dyDescent="0.25">
      <c r="A7660" t="s">
        <v>1659</v>
      </c>
      <c r="B7660" t="s">
        <v>1117</v>
      </c>
      <c r="E7660" t="str">
        <f>IF(OR(E7659="&lt;/routeDistribution&gt;",E7659=""),"",IFERROR(_xlfn.CONCAT(VLOOKUP(Q35,Route_Column!#REF!,2,FALSE),CHAR(34)," probability=",CHAR(34),1/Q$4,CHAR(34),CHAR(47),CHAR(62)),"&lt;/routeDistribution&gt;"))</f>
        <v/>
      </c>
    </row>
    <row r="7661" spans="1:5" x14ac:dyDescent="0.25">
      <c r="A7661" t="s">
        <v>1659</v>
      </c>
      <c r="B7661" t="s">
        <v>1117</v>
      </c>
      <c r="E7661" t="str">
        <f>IF(OR(E7660="&lt;/routeDistribution&gt;",E7660=""),"",IFERROR(_xlfn.CONCAT(VLOOKUP(Q36,Route_Column!#REF!,2,FALSE),CHAR(34)," probability=",CHAR(34),1/Q$4,CHAR(34),CHAR(47),CHAR(62)),"&lt;/routeDistribution&gt;"))</f>
        <v/>
      </c>
    </row>
    <row r="7662" spans="1:5" x14ac:dyDescent="0.25">
      <c r="A7662" t="s">
        <v>1659</v>
      </c>
      <c r="B7662" t="s">
        <v>1118</v>
      </c>
      <c r="E7662" t="str">
        <f>IF(OR(E7661="&lt;/routeDistribution&gt;",E7661=""),"",IFERROR(_xlfn.CONCAT(VLOOKUP(Q37,Route_Column!#REF!,2,FALSE),CHAR(34)," probability=",CHAR(34),1/Q$4,CHAR(34),CHAR(47),CHAR(62)),"&lt;/routeDistribution&gt;"))</f>
        <v/>
      </c>
    </row>
    <row r="7663" spans="1:5" x14ac:dyDescent="0.25">
      <c r="A7663" t="s">
        <v>1659</v>
      </c>
      <c r="B7663" t="s">
        <v>1185</v>
      </c>
      <c r="E7663" t="str">
        <f>IF(OR(E7662="&lt;/routeDistribution&gt;",E7662=""),"",IFERROR(_xlfn.CONCAT(VLOOKUP(Q38,Route_Column!#REF!,2,FALSE),CHAR(34)," probability=",CHAR(34),1/Q$4,CHAR(34),CHAR(47),CHAR(62)),"&lt;/routeDistribution&gt;"))</f>
        <v/>
      </c>
    </row>
    <row r="7664" spans="1:5" x14ac:dyDescent="0.25">
      <c r="A7664" t="s">
        <v>1659</v>
      </c>
      <c r="B7664" t="s">
        <v>1197</v>
      </c>
      <c r="E7664" t="str">
        <f>IF(OR(E7663="&lt;/routeDistribution&gt;",E7663=""),"",IFERROR(_xlfn.CONCAT(VLOOKUP(Q39,Route_Column!#REF!,2,FALSE),CHAR(34)," probability=",CHAR(34),1/Q$4,CHAR(34),CHAR(47),CHAR(62)),"&lt;/routeDistribution&gt;"))</f>
        <v/>
      </c>
    </row>
    <row r="7665" spans="1:5" x14ac:dyDescent="0.25">
      <c r="A7665" t="s">
        <v>1659</v>
      </c>
      <c r="B7665" t="s">
        <v>1235</v>
      </c>
      <c r="E7665" t="str">
        <f>IF(OR(E7664="&lt;/routeDistribution&gt;",E7664=""),"",IFERROR(_xlfn.CONCAT(VLOOKUP(Q40,Route_Column!#REF!,2,FALSE),CHAR(34)," probability=",CHAR(34),1/Q$4,CHAR(34),CHAR(47),CHAR(62)),"&lt;/routeDistribution&gt;"))</f>
        <v/>
      </c>
    </row>
    <row r="7666" spans="1:5" x14ac:dyDescent="0.25">
      <c r="A7666" t="s">
        <v>1659</v>
      </c>
      <c r="B7666" t="s">
        <v>1239</v>
      </c>
      <c r="E7666" t="str">
        <f>IF(OR(E7665="&lt;/routeDistribution&gt;",E7665=""),"",IFERROR(_xlfn.CONCAT(VLOOKUP(Q41,Route_Column!#REF!,2,FALSE),CHAR(34)," probability=",CHAR(34),1/Q$4,CHAR(34),CHAR(47),CHAR(62)),"&lt;/routeDistribution&gt;"))</f>
        <v/>
      </c>
    </row>
    <row r="7667" spans="1:5" x14ac:dyDescent="0.25">
      <c r="A7667" t="s">
        <v>1659</v>
      </c>
      <c r="B7667" t="s">
        <v>1240</v>
      </c>
      <c r="E7667" t="str">
        <f>IF(OR(E7666="&lt;/routeDistribution&gt;",E7666=""),"",IFERROR(_xlfn.CONCAT(VLOOKUP(Q42,Route_Column!#REF!,2,FALSE),CHAR(34)," probability=",CHAR(34),1/Q$4,CHAR(34),CHAR(47),CHAR(62)),"&lt;/routeDistribution&gt;"))</f>
        <v/>
      </c>
    </row>
    <row r="7668" spans="1:5" x14ac:dyDescent="0.25">
      <c r="A7668" t="s">
        <v>1659</v>
      </c>
      <c r="B7668" t="s">
        <v>1244</v>
      </c>
      <c r="E7668" t="str">
        <f>IF(OR(E7667="&lt;/routeDistribution&gt;",E7667=""),"",IFERROR(_xlfn.CONCAT(VLOOKUP(Q43,Route_Column!#REF!,2,FALSE),CHAR(34)," probability=",CHAR(34),1/Q$4,CHAR(34),CHAR(47),CHAR(62)),"&lt;/routeDistribution&gt;"))</f>
        <v/>
      </c>
    </row>
    <row r="7669" spans="1:5" x14ac:dyDescent="0.25">
      <c r="A7669" t="s">
        <v>1660</v>
      </c>
      <c r="B7669" t="s">
        <v>1098</v>
      </c>
      <c r="E7669" t="str">
        <f>IF(OR(E7668="&lt;/routeDistribution&gt;",E7668=""),"",IFERROR(_xlfn.CONCAT(VLOOKUP(Q44,Route_Column!#REF!,2,FALSE),CHAR(34)," probability=",CHAR(34),1/Q$4,CHAR(34),CHAR(47),CHAR(62)),"&lt;/routeDistribution&gt;"))</f>
        <v/>
      </c>
    </row>
    <row r="7670" spans="1:5" x14ac:dyDescent="0.25">
      <c r="A7670" t="s">
        <v>1660</v>
      </c>
      <c r="B7670" t="s">
        <v>1116</v>
      </c>
      <c r="E7670" t="str">
        <f>IF(OR(E7669="&lt;/routeDistribution&gt;",E7669=""),"",IFERROR(_xlfn.CONCAT(VLOOKUP(Q45,Route_Column!#REF!,2,FALSE),CHAR(34)," probability=",CHAR(34),1/Q$4,CHAR(34),CHAR(47),CHAR(62)),"&lt;/routeDistribution&gt;"))</f>
        <v/>
      </c>
    </row>
    <row r="7671" spans="1:5" x14ac:dyDescent="0.25">
      <c r="A7671" t="s">
        <v>1660</v>
      </c>
      <c r="B7671" t="s">
        <v>1117</v>
      </c>
      <c r="E7671" t="str">
        <f>IF(OR(E7670="&lt;/routeDistribution&gt;",E7670=""),"",IFERROR(_xlfn.CONCAT(VLOOKUP(Q46,Route_Column!#REF!,2,FALSE),CHAR(34)," probability=",CHAR(34),1/Q$4,CHAR(34),CHAR(47),CHAR(62)),"&lt;/routeDistribution&gt;"))</f>
        <v/>
      </c>
    </row>
    <row r="7672" spans="1:5" x14ac:dyDescent="0.25">
      <c r="A7672" t="s">
        <v>1660</v>
      </c>
      <c r="B7672" t="s">
        <v>1185</v>
      </c>
      <c r="E7672" t="str">
        <f>IF(OR(E7671="&lt;/routeDistribution&gt;",E7671=""),"",IFERROR(_xlfn.CONCAT(VLOOKUP(Q47,Route_Column!#REF!,2,FALSE),CHAR(34)," probability=",CHAR(34),1/Q$4,CHAR(34),CHAR(47),CHAR(62)),"&lt;/routeDistribution&gt;"))</f>
        <v/>
      </c>
    </row>
    <row r="7673" spans="1:5" x14ac:dyDescent="0.25">
      <c r="A7673" t="s">
        <v>1660</v>
      </c>
      <c r="B7673" t="s">
        <v>1197</v>
      </c>
      <c r="E7673" t="str">
        <f>IF(OR(E7672="&lt;/routeDistribution&gt;",E7672=""),"",IFERROR(_xlfn.CONCAT(VLOOKUP(Q48,Route_Column!#REF!,2,FALSE),CHAR(34)," probability=",CHAR(34),1/Q$4,CHAR(34),CHAR(47),CHAR(62)),"&lt;/routeDistribution&gt;"))</f>
        <v/>
      </c>
    </row>
    <row r="7674" spans="1:5" x14ac:dyDescent="0.25">
      <c r="A7674" t="s">
        <v>1660</v>
      </c>
      <c r="B7674" t="s">
        <v>1235</v>
      </c>
      <c r="E7674" t="str">
        <f>IF(OR(E7673="&lt;/routeDistribution&gt;",E7673=""),"",IFERROR(_xlfn.CONCAT(VLOOKUP(Q49,Route_Column!#REF!,2,FALSE),CHAR(34)," probability=",CHAR(34),1/Q$4,CHAR(34),CHAR(47),CHAR(62)),"&lt;/routeDistribution&gt;"))</f>
        <v/>
      </c>
    </row>
    <row r="7675" spans="1:5" x14ac:dyDescent="0.25">
      <c r="A7675" t="s">
        <v>1660</v>
      </c>
      <c r="B7675" t="s">
        <v>1244</v>
      </c>
      <c r="E7675" t="str">
        <f>IF(OR(E7674="&lt;/routeDistribution&gt;",E7674=""),"",IFERROR(_xlfn.CONCAT(VLOOKUP(Q50,Route_Column!#REF!,2,FALSE),CHAR(34)," probability=",CHAR(34),1/Q$4,CHAR(34),CHAR(47),CHAR(62)),"&lt;/routeDistribution&gt;"))</f>
        <v/>
      </c>
    </row>
    <row r="7676" spans="1:5" x14ac:dyDescent="0.25">
      <c r="A7676" t="s">
        <v>1623</v>
      </c>
      <c r="B7676" t="s">
        <v>1096</v>
      </c>
      <c r="E7676" t="str">
        <f>IF(OR(E7675="&lt;/routeDistribution&gt;",E7675=""),"",IFERROR(_xlfn.CONCAT(VLOOKUP(Q51,Route_Column!#REF!,2,FALSE),CHAR(34)," probability=",CHAR(34),1/Q$4,CHAR(34),CHAR(47),CHAR(62)),"&lt;/routeDistribution&gt;"))</f>
        <v/>
      </c>
    </row>
    <row r="7677" spans="1:5" x14ac:dyDescent="0.25">
      <c r="A7677" t="s">
        <v>1623</v>
      </c>
      <c r="B7677" t="s">
        <v>1098</v>
      </c>
      <c r="E7677" t="str">
        <f>IF(OR(E7676="&lt;/routeDistribution&gt;",E7676=""),"",IFERROR(_xlfn.CONCAT(VLOOKUP(Q52,Route_Column!#REF!,2,FALSE),CHAR(34)," probability=",CHAR(34),1/Q$4,CHAR(34),CHAR(47),CHAR(62)),"&lt;/routeDistribution&gt;"))</f>
        <v/>
      </c>
    </row>
    <row r="7678" spans="1:5" x14ac:dyDescent="0.25">
      <c r="A7678" t="s">
        <v>1623</v>
      </c>
      <c r="B7678" t="s">
        <v>1163</v>
      </c>
      <c r="E7678" t="str">
        <f>IF(OR(E7677="&lt;/routeDistribution&gt;",E7677=""),"",IFERROR(_xlfn.CONCAT(VLOOKUP(Q53,Route_Column!#REF!,2,FALSE),CHAR(34)," probability=",CHAR(34),1/Q$4,CHAR(34),CHAR(47),CHAR(62)),"&lt;/routeDistribution&gt;"))</f>
        <v/>
      </c>
    </row>
    <row r="7679" spans="1:5" x14ac:dyDescent="0.25">
      <c r="A7679" t="s">
        <v>1623</v>
      </c>
      <c r="B7679" t="s">
        <v>1168</v>
      </c>
      <c r="E7679" t="str">
        <f>IF(OR(E7678="&lt;/routeDistribution&gt;",E7678=""),"",IFERROR(_xlfn.CONCAT(VLOOKUP(Q54,Route_Column!#REF!,2,FALSE),CHAR(34)," probability=",CHAR(34),1/Q$4,CHAR(34),CHAR(47),CHAR(62)),"&lt;/routeDistribution&gt;"))</f>
        <v/>
      </c>
    </row>
    <row r="7680" spans="1:5" x14ac:dyDescent="0.25">
      <c r="A7680" t="s">
        <v>1623</v>
      </c>
      <c r="B7680" t="s">
        <v>1170</v>
      </c>
      <c r="E7680" t="str">
        <f>IF(OR(E7679="&lt;/routeDistribution&gt;",E7679=""),"",IFERROR(_xlfn.CONCAT(VLOOKUP(Q55,Route_Column!#REF!,2,FALSE),CHAR(34)," probability=",CHAR(34),1/Q$4,CHAR(34),CHAR(47),CHAR(62)),"&lt;/routeDistribution&gt;"))</f>
        <v/>
      </c>
    </row>
    <row r="7681" spans="1:5" x14ac:dyDescent="0.25">
      <c r="A7681" t="s">
        <v>1623</v>
      </c>
      <c r="B7681" t="s">
        <v>1185</v>
      </c>
      <c r="E7681" t="str">
        <f>IF(OR(E7680="&lt;/routeDistribution&gt;",E7680=""),"",IFERROR(_xlfn.CONCAT(VLOOKUP(Q56,Route_Column!#REF!,2,FALSE),CHAR(34)," probability=",CHAR(34),1/Q$4,CHAR(34),CHAR(47),CHAR(62)),"&lt;/routeDistribution&gt;"))</f>
        <v/>
      </c>
    </row>
    <row r="7682" spans="1:5" x14ac:dyDescent="0.25">
      <c r="A7682" t="s">
        <v>1623</v>
      </c>
      <c r="B7682" t="s">
        <v>1196</v>
      </c>
      <c r="E7682" t="str">
        <f>IF(OR(E7681="&lt;/routeDistribution&gt;",E7681=""),"",IFERROR(_xlfn.CONCAT(VLOOKUP(Q57,Route_Column!#REF!,2,FALSE),CHAR(34)," probability=",CHAR(34),1/Q$4,CHAR(34),CHAR(47),CHAR(62)),"&lt;/routeDistribution&gt;"))</f>
        <v/>
      </c>
    </row>
    <row r="7683" spans="1:5" x14ac:dyDescent="0.25">
      <c r="A7683" t="s">
        <v>1623</v>
      </c>
      <c r="B7683" t="s">
        <v>1197</v>
      </c>
      <c r="E7683" t="str">
        <f>IF(OR(E7682="&lt;/routeDistribution&gt;",E7682=""),"",IFERROR(_xlfn.CONCAT(VLOOKUP(Q58,Route_Column!#REF!,2,FALSE),CHAR(34)," probability=",CHAR(34),1/Q$4,CHAR(34),CHAR(47),CHAR(62)),"&lt;/routeDistribution&gt;"))</f>
        <v/>
      </c>
    </row>
    <row r="7684" spans="1:5" x14ac:dyDescent="0.25">
      <c r="A7684" t="s">
        <v>1623</v>
      </c>
      <c r="B7684" t="s">
        <v>1241</v>
      </c>
      <c r="E7684" t="str">
        <f>IF(OR(E7683="&lt;/routeDistribution&gt;",E7683=""),"",IFERROR(_xlfn.CONCAT(VLOOKUP(Q59,Route_Column!#REF!,2,FALSE),CHAR(34)," probability=",CHAR(34),1/Q$4,CHAR(34),CHAR(47),CHAR(62)),"&lt;/routeDistribution&gt;"))</f>
        <v/>
      </c>
    </row>
    <row r="7685" spans="1:5" x14ac:dyDescent="0.25">
      <c r="A7685" t="s">
        <v>1623</v>
      </c>
      <c r="B7685" t="s">
        <v>1244</v>
      </c>
      <c r="E7685" t="str">
        <f>IF(OR(E7684="&lt;/routeDistribution&gt;",E7684=""),"",IFERROR(_xlfn.CONCAT(VLOOKUP(Q60,Route_Column!#REF!,2,FALSE),CHAR(34)," probability=",CHAR(34),1/Q$4,CHAR(34),CHAR(47),CHAR(62)),"&lt;/routeDistribution&gt;"))</f>
        <v/>
      </c>
    </row>
    <row r="7686" spans="1:5" x14ac:dyDescent="0.25">
      <c r="A7686" t="s">
        <v>1624</v>
      </c>
      <c r="B7686" t="s">
        <v>1096</v>
      </c>
      <c r="E7686" t="str">
        <f>IF(OR(E7685="&lt;/routeDistribution&gt;",E7685=""),"",IFERROR(_xlfn.CONCAT(VLOOKUP(Q61,Route_Column!#REF!,2,FALSE),CHAR(34)," probability=",CHAR(34),1/Q$4,CHAR(34),CHAR(47),CHAR(62)),"&lt;/routeDistribution&gt;"))</f>
        <v/>
      </c>
    </row>
    <row r="7687" spans="1:5" x14ac:dyDescent="0.25">
      <c r="A7687" t="s">
        <v>1624</v>
      </c>
      <c r="B7687" t="s">
        <v>1098</v>
      </c>
      <c r="E7687" t="str">
        <f>IF(OR(E7686="&lt;/routeDistribution&gt;",E7686=""),"",IFERROR(_xlfn.CONCAT(VLOOKUP(Q62,Route_Column!#REF!,2,FALSE),CHAR(34)," probability=",CHAR(34),1/Q$4,CHAR(34),CHAR(47),CHAR(62)),"&lt;/routeDistribution&gt;"))</f>
        <v/>
      </c>
    </row>
    <row r="7688" spans="1:5" x14ac:dyDescent="0.25">
      <c r="A7688" t="s">
        <v>1624</v>
      </c>
      <c r="B7688" t="s">
        <v>1116</v>
      </c>
      <c r="E7688" t="str">
        <f>IF(OR(E7687="&lt;/routeDistribution&gt;",E7687=""),"",IFERROR(_xlfn.CONCAT(VLOOKUP(Q63,Route_Column!#REF!,2,FALSE),CHAR(34)," probability=",CHAR(34),1/Q$4,CHAR(34),CHAR(47),CHAR(62)),"&lt;/routeDistribution&gt;"))</f>
        <v/>
      </c>
    </row>
    <row r="7689" spans="1:5" x14ac:dyDescent="0.25">
      <c r="A7689" t="s">
        <v>1624</v>
      </c>
      <c r="B7689" t="s">
        <v>1117</v>
      </c>
      <c r="E7689" t="s">
        <v>2686</v>
      </c>
    </row>
    <row r="7690" spans="1:5" x14ac:dyDescent="0.25">
      <c r="A7690" t="s">
        <v>1624</v>
      </c>
      <c r="B7690" t="s">
        <v>1119</v>
      </c>
    </row>
    <row r="7691" spans="1:5" x14ac:dyDescent="0.25">
      <c r="A7691" t="s">
        <v>1624</v>
      </c>
      <c r="B7691" t="s">
        <v>1121</v>
      </c>
    </row>
    <row r="7692" spans="1:5" x14ac:dyDescent="0.25">
      <c r="A7692" t="s">
        <v>1624</v>
      </c>
      <c r="B7692" t="s">
        <v>1163</v>
      </c>
      <c r="E7692" t="str">
        <f>_xlfn.CONCAT($E$1,P$2,$F$1)</f>
        <v>&lt;routeDistribution id="38th-Market-to-Powelton-NB-2016-RouteProbe"&gt;</v>
      </c>
    </row>
    <row r="7693" spans="1:5" x14ac:dyDescent="0.25">
      <c r="A7693" t="s">
        <v>1624</v>
      </c>
      <c r="B7693" t="s">
        <v>1168</v>
      </c>
      <c r="E7693" t="str">
        <f>IF(OR(E7692="&lt;/routeDistribution&gt;",E7692=""),"",IFERROR(_xlfn.CONCAT(VLOOKUP(P5,Route_Column!#REF!,2,FALSE),CHAR(34)," probability=",CHAR(34),1/P$4,CHAR(34),CHAR(47),CHAR(62)),"&lt;/routeDistribution&gt;"))</f>
        <v>&lt;/routeDistribution&gt;</v>
      </c>
    </row>
    <row r="7694" spans="1:5" x14ac:dyDescent="0.25">
      <c r="A7694" t="s">
        <v>1624</v>
      </c>
      <c r="B7694" t="s">
        <v>1170</v>
      </c>
      <c r="E7694" t="str">
        <f>IF(OR(E7693="&lt;/routeDistribution&gt;",E7693=""),"",IFERROR(_xlfn.CONCAT(VLOOKUP(P6,Route_Column!#REF!,2,FALSE),CHAR(34)," probability=",CHAR(34),1/P$4,CHAR(34),CHAR(47),CHAR(62)),"&lt;/routeDistribution&gt;"))</f>
        <v/>
      </c>
    </row>
    <row r="7695" spans="1:5" x14ac:dyDescent="0.25">
      <c r="A7695" t="s">
        <v>1624</v>
      </c>
      <c r="B7695" t="s">
        <v>1185</v>
      </c>
      <c r="E7695" t="str">
        <f>IF(OR(E7694="&lt;/routeDistribution&gt;",E7694=""),"",IFERROR(_xlfn.CONCAT(VLOOKUP(P7,Route_Column!#REF!,2,FALSE),CHAR(34)," probability=",CHAR(34),1/P$4,CHAR(34),CHAR(47),CHAR(62)),"&lt;/routeDistribution&gt;"))</f>
        <v/>
      </c>
    </row>
    <row r="7696" spans="1:5" x14ac:dyDescent="0.25">
      <c r="A7696" t="s">
        <v>1624</v>
      </c>
      <c r="B7696" t="s">
        <v>1196</v>
      </c>
      <c r="E7696" t="str">
        <f>IF(OR(E7695="&lt;/routeDistribution&gt;",E7695=""),"",IFERROR(_xlfn.CONCAT(VLOOKUP(P8,Route_Column!#REF!,2,FALSE),CHAR(34)," probability=",CHAR(34),1/P$4,CHAR(34),CHAR(47),CHAR(62)),"&lt;/routeDistribution&gt;"))</f>
        <v/>
      </c>
    </row>
    <row r="7697" spans="1:5" x14ac:dyDescent="0.25">
      <c r="A7697" t="s">
        <v>1624</v>
      </c>
      <c r="B7697" t="s">
        <v>1197</v>
      </c>
      <c r="E7697" t="str">
        <f>IF(OR(E7696="&lt;/routeDistribution&gt;",E7696=""),"",IFERROR(_xlfn.CONCAT(VLOOKUP(P9,Route_Column!#REF!,2,FALSE),CHAR(34)," probability=",CHAR(34),1/P$4,CHAR(34),CHAR(47),CHAR(62)),"&lt;/routeDistribution&gt;"))</f>
        <v/>
      </c>
    </row>
    <row r="7698" spans="1:5" x14ac:dyDescent="0.25">
      <c r="A7698" t="s">
        <v>1624</v>
      </c>
      <c r="B7698" t="s">
        <v>1209</v>
      </c>
      <c r="E7698" t="str">
        <f>IF(OR(E7697="&lt;/routeDistribution&gt;",E7697=""),"",IFERROR(_xlfn.CONCAT(VLOOKUP(P10,Route_Column!#REF!,2,FALSE),CHAR(34)," probability=",CHAR(34),1/P$4,CHAR(34),CHAR(47),CHAR(62)),"&lt;/routeDistribution&gt;"))</f>
        <v/>
      </c>
    </row>
    <row r="7699" spans="1:5" x14ac:dyDescent="0.25">
      <c r="A7699" t="s">
        <v>1624</v>
      </c>
      <c r="B7699" t="s">
        <v>1235</v>
      </c>
      <c r="E7699" t="str">
        <f>IF(OR(E7698="&lt;/routeDistribution&gt;",E7698=""),"",IFERROR(_xlfn.CONCAT(VLOOKUP(P11,Route_Column!#REF!,2,FALSE),CHAR(34)," probability=",CHAR(34),1/P$4,CHAR(34),CHAR(47),CHAR(62)),"&lt;/routeDistribution&gt;"))</f>
        <v/>
      </c>
    </row>
    <row r="7700" spans="1:5" x14ac:dyDescent="0.25">
      <c r="A7700" t="s">
        <v>1624</v>
      </c>
      <c r="B7700" t="s">
        <v>1236</v>
      </c>
      <c r="E7700" t="str">
        <f>IF(OR(E7699="&lt;/routeDistribution&gt;",E7699=""),"",IFERROR(_xlfn.CONCAT(VLOOKUP(P12,Route_Column!#REF!,2,FALSE),CHAR(34)," probability=",CHAR(34),1/P$4,CHAR(34),CHAR(47),CHAR(62)),"&lt;/routeDistribution&gt;"))</f>
        <v/>
      </c>
    </row>
    <row r="7701" spans="1:5" x14ac:dyDescent="0.25">
      <c r="A7701" t="s">
        <v>1624</v>
      </c>
      <c r="B7701" t="s">
        <v>1241</v>
      </c>
      <c r="E7701" t="str">
        <f>IF(OR(E7700="&lt;/routeDistribution&gt;",E7700=""),"",IFERROR(_xlfn.CONCAT(VLOOKUP(P13,Route_Column!#REF!,2,FALSE),CHAR(34)," probability=",CHAR(34),1/P$4,CHAR(34),CHAR(47),CHAR(62)),"&lt;/routeDistribution&gt;"))</f>
        <v/>
      </c>
    </row>
    <row r="7702" spans="1:5" x14ac:dyDescent="0.25">
      <c r="A7702" t="s">
        <v>1624</v>
      </c>
      <c r="B7702" t="s">
        <v>1244</v>
      </c>
      <c r="E7702" t="str">
        <f>IF(OR(E7701="&lt;/routeDistribution&gt;",E7701=""),"",IFERROR(_xlfn.CONCAT(VLOOKUP(P14,Route_Column!#REF!,2,FALSE),CHAR(34)," probability=",CHAR(34),1/P$4,CHAR(34),CHAR(47),CHAR(62)),"&lt;/routeDistribution&gt;"))</f>
        <v/>
      </c>
    </row>
    <row r="7703" spans="1:5" x14ac:dyDescent="0.25">
      <c r="A7703" t="s">
        <v>1624</v>
      </c>
      <c r="B7703" t="s">
        <v>1249</v>
      </c>
      <c r="E7703" t="str">
        <f>IF(OR(E7702="&lt;/routeDistribution&gt;",E7702=""),"",IFERROR(_xlfn.CONCAT(VLOOKUP(P15,Route_Column!#REF!,2,FALSE),CHAR(34)," probability=",CHAR(34),1/P$4,CHAR(34),CHAR(47),CHAR(62)),"&lt;/routeDistribution&gt;"))</f>
        <v/>
      </c>
    </row>
    <row r="7704" spans="1:5" x14ac:dyDescent="0.25">
      <c r="A7704" t="s">
        <v>2336</v>
      </c>
      <c r="B7704" t="s">
        <v>1223</v>
      </c>
      <c r="E7704" t="str">
        <f>IF(OR(E7703="&lt;/routeDistribution&gt;",E7703=""),"",IFERROR(_xlfn.CONCAT(VLOOKUP(P16,Route_Column!#REF!,2,FALSE),CHAR(34)," probability=",CHAR(34),1/P$4,CHAR(34),CHAR(47),CHAR(62)),"&lt;/routeDistribution&gt;"))</f>
        <v/>
      </c>
    </row>
    <row r="7705" spans="1:5" x14ac:dyDescent="0.25">
      <c r="A7705" t="s">
        <v>2337</v>
      </c>
      <c r="B7705" t="s">
        <v>1223</v>
      </c>
      <c r="E7705" t="str">
        <f>IF(OR(E7704="&lt;/routeDistribution&gt;",E7704=""),"",IFERROR(_xlfn.CONCAT(VLOOKUP(P17,Route_Column!#REF!,2,FALSE),CHAR(34)," probability=",CHAR(34),1/P$4,CHAR(34),CHAR(47),CHAR(62)),"&lt;/routeDistribution&gt;"))</f>
        <v/>
      </c>
    </row>
    <row r="7706" spans="1:5" x14ac:dyDescent="0.25">
      <c r="A7706" t="s">
        <v>2110</v>
      </c>
      <c r="B7706" t="s">
        <v>1140</v>
      </c>
      <c r="E7706" t="str">
        <f>IF(OR(E7705="&lt;/routeDistribution&gt;",E7705=""),"",IFERROR(_xlfn.CONCAT(VLOOKUP(P18,Route_Column!#REF!,2,FALSE),CHAR(34)," probability=",CHAR(34),1/P$4,CHAR(34),CHAR(47),CHAR(62)),"&lt;/routeDistribution&gt;"))</f>
        <v/>
      </c>
    </row>
    <row r="7707" spans="1:5" x14ac:dyDescent="0.25">
      <c r="A7707" t="s">
        <v>2110</v>
      </c>
      <c r="B7707" t="s">
        <v>1141</v>
      </c>
      <c r="E7707" t="str">
        <f>IF(OR(E7706="&lt;/routeDistribution&gt;",E7706=""),"",IFERROR(_xlfn.CONCAT(VLOOKUP(P19,Route_Column!#REF!,2,FALSE),CHAR(34)," probability=",CHAR(34),1/P$4,CHAR(34),CHAR(47),CHAR(62)),"&lt;/routeDistribution&gt;"))</f>
        <v/>
      </c>
    </row>
    <row r="7708" spans="1:5" x14ac:dyDescent="0.25">
      <c r="A7708" t="s">
        <v>2110</v>
      </c>
      <c r="B7708" t="s">
        <v>1142</v>
      </c>
      <c r="E7708" t="str">
        <f>IF(OR(E7707="&lt;/routeDistribution&gt;",E7707=""),"",IFERROR(_xlfn.CONCAT(VLOOKUP(P20,Route_Column!#REF!,2,FALSE),CHAR(34)," probability=",CHAR(34),1/P$4,CHAR(34),CHAR(47),CHAR(62)),"&lt;/routeDistribution&gt;"))</f>
        <v/>
      </c>
    </row>
    <row r="7709" spans="1:5" x14ac:dyDescent="0.25">
      <c r="A7709" t="s">
        <v>2110</v>
      </c>
      <c r="B7709" t="s">
        <v>1142</v>
      </c>
      <c r="E7709" t="str">
        <f>IF(OR(E7708="&lt;/routeDistribution&gt;",E7708=""),"",IFERROR(_xlfn.CONCAT(VLOOKUP(P21,Route_Column!#REF!,2,FALSE),CHAR(34)," probability=",CHAR(34),1/P$4,CHAR(34),CHAR(47),CHAR(62)),"&lt;/routeDistribution&gt;"))</f>
        <v/>
      </c>
    </row>
    <row r="7710" spans="1:5" x14ac:dyDescent="0.25">
      <c r="A7710" t="s">
        <v>2110</v>
      </c>
      <c r="B7710" t="s">
        <v>1148</v>
      </c>
      <c r="E7710" t="str">
        <f>IF(OR(E7709="&lt;/routeDistribution&gt;",E7709=""),"",IFERROR(_xlfn.CONCAT(VLOOKUP(P22,Route_Column!#REF!,2,FALSE),CHAR(34)," probability=",CHAR(34),1/P$4,CHAR(34),CHAR(47),CHAR(62)),"&lt;/routeDistribution&gt;"))</f>
        <v/>
      </c>
    </row>
    <row r="7711" spans="1:5" x14ac:dyDescent="0.25">
      <c r="A7711" t="s">
        <v>2110</v>
      </c>
      <c r="B7711" t="s">
        <v>1150</v>
      </c>
      <c r="E7711" t="str">
        <f>IF(OR(E7710="&lt;/routeDistribution&gt;",E7710=""),"",IFERROR(_xlfn.CONCAT(VLOOKUP(P23,Route_Column!#REF!,2,FALSE),CHAR(34)," probability=",CHAR(34),1/P$4,CHAR(34),CHAR(47),CHAR(62)),"&lt;/routeDistribution&gt;"))</f>
        <v/>
      </c>
    </row>
    <row r="7712" spans="1:5" x14ac:dyDescent="0.25">
      <c r="A7712" t="s">
        <v>2110</v>
      </c>
      <c r="B7712" t="s">
        <v>1151</v>
      </c>
      <c r="E7712" t="str">
        <f>IF(OR(E7711="&lt;/routeDistribution&gt;",E7711=""),"",IFERROR(_xlfn.CONCAT(VLOOKUP(P24,Route_Column!#REF!,2,FALSE),CHAR(34)," probability=",CHAR(34),1/P$4,CHAR(34),CHAR(47),CHAR(62)),"&lt;/routeDistribution&gt;"))</f>
        <v/>
      </c>
    </row>
    <row r="7713" spans="1:5" x14ac:dyDescent="0.25">
      <c r="A7713" t="s">
        <v>2110</v>
      </c>
      <c r="B7713" t="s">
        <v>1178</v>
      </c>
      <c r="E7713" t="str">
        <f>IF(OR(E7712="&lt;/routeDistribution&gt;",E7712=""),"",IFERROR(_xlfn.CONCAT(VLOOKUP(P25,Route_Column!#REF!,2,FALSE),CHAR(34)," probability=",CHAR(34),1/P$4,CHAR(34),CHAR(47),CHAR(62)),"&lt;/routeDistribution&gt;"))</f>
        <v/>
      </c>
    </row>
    <row r="7714" spans="1:5" x14ac:dyDescent="0.25">
      <c r="A7714" t="s">
        <v>2110</v>
      </c>
      <c r="B7714" t="s">
        <v>1179</v>
      </c>
      <c r="E7714" t="str">
        <f>IF(OR(E7713="&lt;/routeDistribution&gt;",E7713=""),"",IFERROR(_xlfn.CONCAT(VLOOKUP(P26,Route_Column!#REF!,2,FALSE),CHAR(34)," probability=",CHAR(34),1/P$4,CHAR(34),CHAR(47),CHAR(62)),"&lt;/routeDistribution&gt;"))</f>
        <v/>
      </c>
    </row>
    <row r="7715" spans="1:5" x14ac:dyDescent="0.25">
      <c r="A7715" t="s">
        <v>2110</v>
      </c>
      <c r="B7715" t="s">
        <v>1201</v>
      </c>
      <c r="E7715" t="str">
        <f>IF(OR(E7714="&lt;/routeDistribution&gt;",E7714=""),"",IFERROR(_xlfn.CONCAT(VLOOKUP(P27,Route_Column!#REF!,2,FALSE),CHAR(34)," probability=",CHAR(34),1/P$4,CHAR(34),CHAR(47),CHAR(62)),"&lt;/routeDistribution&gt;"))</f>
        <v/>
      </c>
    </row>
    <row r="7716" spans="1:5" x14ac:dyDescent="0.25">
      <c r="A7716" t="s">
        <v>2110</v>
      </c>
      <c r="B7716" t="s">
        <v>1202</v>
      </c>
      <c r="E7716" t="str">
        <f>IF(OR(E7715="&lt;/routeDistribution&gt;",E7715=""),"",IFERROR(_xlfn.CONCAT(VLOOKUP(P28,Route_Column!#REF!,2,FALSE),CHAR(34)," probability=",CHAR(34),1/P$4,CHAR(34),CHAR(47),CHAR(62)),"&lt;/routeDistribution&gt;"))</f>
        <v/>
      </c>
    </row>
    <row r="7717" spans="1:5" x14ac:dyDescent="0.25">
      <c r="A7717" t="s">
        <v>2110</v>
      </c>
      <c r="B7717" t="s">
        <v>1205</v>
      </c>
      <c r="E7717" t="str">
        <f>IF(OR(E7716="&lt;/routeDistribution&gt;",E7716=""),"",IFERROR(_xlfn.CONCAT(VLOOKUP(P29,Route_Column!#REF!,2,FALSE),CHAR(34)," probability=",CHAR(34),1/P$4,CHAR(34),CHAR(47),CHAR(62)),"&lt;/routeDistribution&gt;"))</f>
        <v/>
      </c>
    </row>
    <row r="7718" spans="1:5" x14ac:dyDescent="0.25">
      <c r="A7718" t="s">
        <v>2110</v>
      </c>
      <c r="B7718" t="s">
        <v>1206</v>
      </c>
      <c r="E7718" t="str">
        <f>IF(OR(E7717="&lt;/routeDistribution&gt;",E7717=""),"",IFERROR(_xlfn.CONCAT(VLOOKUP(P30,Route_Column!#REF!,2,FALSE),CHAR(34)," probability=",CHAR(34),1/P$4,CHAR(34),CHAR(47),CHAR(62)),"&lt;/routeDistribution&gt;"))</f>
        <v/>
      </c>
    </row>
    <row r="7719" spans="1:5" x14ac:dyDescent="0.25">
      <c r="A7719" t="s">
        <v>2110</v>
      </c>
      <c r="B7719" t="s">
        <v>1206</v>
      </c>
      <c r="E7719" t="str">
        <f>IF(OR(E7718="&lt;/routeDistribution&gt;",E7718=""),"",IFERROR(_xlfn.CONCAT(VLOOKUP(P31,Route_Column!#REF!,2,FALSE),CHAR(34)," probability=",CHAR(34),1/P$4,CHAR(34),CHAR(47),CHAR(62)),"&lt;/routeDistribution&gt;"))</f>
        <v/>
      </c>
    </row>
    <row r="7720" spans="1:5" x14ac:dyDescent="0.25">
      <c r="A7720" t="s">
        <v>2110</v>
      </c>
      <c r="B7720" t="s">
        <v>1207</v>
      </c>
      <c r="E7720" t="str">
        <f>IF(OR(E7719="&lt;/routeDistribution&gt;",E7719=""),"",IFERROR(_xlfn.CONCAT(VLOOKUP(P32,Route_Column!#REF!,2,FALSE),CHAR(34)," probability=",CHAR(34),1/P$4,CHAR(34),CHAR(47),CHAR(62)),"&lt;/routeDistribution&gt;"))</f>
        <v/>
      </c>
    </row>
    <row r="7721" spans="1:5" x14ac:dyDescent="0.25">
      <c r="A7721" t="s">
        <v>2110</v>
      </c>
      <c r="B7721" t="s">
        <v>1207</v>
      </c>
      <c r="E7721" t="str">
        <f>IF(OR(E7720="&lt;/routeDistribution&gt;",E7720=""),"",IFERROR(_xlfn.CONCAT(VLOOKUP(P33,Route_Column!#REF!,2,FALSE),CHAR(34)," probability=",CHAR(34),1/P$4,CHAR(34),CHAR(47),CHAR(62)),"&lt;/routeDistribution&gt;"))</f>
        <v/>
      </c>
    </row>
    <row r="7722" spans="1:5" x14ac:dyDescent="0.25">
      <c r="A7722" t="s">
        <v>2110</v>
      </c>
      <c r="B7722" t="s">
        <v>1208</v>
      </c>
      <c r="E7722" t="str">
        <f>IF(OR(E7721="&lt;/routeDistribution&gt;",E7721=""),"",IFERROR(_xlfn.CONCAT(VLOOKUP(P34,Route_Column!#REF!,2,FALSE),CHAR(34)," probability=",CHAR(34),1/P$4,CHAR(34),CHAR(47),CHAR(62)),"&lt;/routeDistribution&gt;"))</f>
        <v/>
      </c>
    </row>
    <row r="7723" spans="1:5" x14ac:dyDescent="0.25">
      <c r="A7723" t="s">
        <v>2110</v>
      </c>
      <c r="B7723" t="s">
        <v>1232</v>
      </c>
      <c r="E7723" t="str">
        <f>IF(OR(E7722="&lt;/routeDistribution&gt;",E7722=""),"",IFERROR(_xlfn.CONCAT(VLOOKUP(P35,Route_Column!#REF!,2,FALSE),CHAR(34)," probability=",CHAR(34),1/P$4,CHAR(34),CHAR(47),CHAR(62)),"&lt;/routeDistribution&gt;"))</f>
        <v/>
      </c>
    </row>
    <row r="7724" spans="1:5" x14ac:dyDescent="0.25">
      <c r="A7724" t="s">
        <v>2110</v>
      </c>
      <c r="B7724" t="s">
        <v>1233</v>
      </c>
      <c r="E7724" t="str">
        <f>IF(OR(E7723="&lt;/routeDistribution&gt;",E7723=""),"",IFERROR(_xlfn.CONCAT(VLOOKUP(P36,Route_Column!#REF!,2,FALSE),CHAR(34)," probability=",CHAR(34),1/P$4,CHAR(34),CHAR(47),CHAR(62)),"&lt;/routeDistribution&gt;"))</f>
        <v/>
      </c>
    </row>
    <row r="7725" spans="1:5" x14ac:dyDescent="0.25">
      <c r="A7725" t="s">
        <v>2110</v>
      </c>
      <c r="B7725" t="s">
        <v>1234</v>
      </c>
      <c r="E7725" t="str">
        <f>IF(OR(E7724="&lt;/routeDistribution&gt;",E7724=""),"",IFERROR(_xlfn.CONCAT(VLOOKUP(P37,Route_Column!#REF!,2,FALSE),CHAR(34)," probability=",CHAR(34),1/P$4,CHAR(34),CHAR(47),CHAR(62)),"&lt;/routeDistribution&gt;"))</f>
        <v/>
      </c>
    </row>
    <row r="7726" spans="1:5" x14ac:dyDescent="0.25">
      <c r="A7726" t="s">
        <v>2110</v>
      </c>
      <c r="B7726" t="s">
        <v>1235</v>
      </c>
      <c r="E7726" t="str">
        <f>IF(OR(E7725="&lt;/routeDistribution&gt;",E7725=""),"",IFERROR(_xlfn.CONCAT(VLOOKUP(P38,Route_Column!#REF!,2,FALSE),CHAR(34)," probability=",CHAR(34),1/P$4,CHAR(34),CHAR(47),CHAR(62)),"&lt;/routeDistribution&gt;"))</f>
        <v/>
      </c>
    </row>
    <row r="7727" spans="1:5" x14ac:dyDescent="0.25">
      <c r="A7727" t="s">
        <v>2110</v>
      </c>
      <c r="B7727" t="s">
        <v>1236</v>
      </c>
      <c r="E7727" t="str">
        <f>IF(OR(E7726="&lt;/routeDistribution&gt;",E7726=""),"",IFERROR(_xlfn.CONCAT(VLOOKUP(P39,Route_Column!#REF!,2,FALSE),CHAR(34)," probability=",CHAR(34),1/P$4,CHAR(34),CHAR(47),CHAR(62)),"&lt;/routeDistribution&gt;"))</f>
        <v/>
      </c>
    </row>
    <row r="7728" spans="1:5" x14ac:dyDescent="0.25">
      <c r="A7728" t="s">
        <v>2110</v>
      </c>
      <c r="B7728" t="s">
        <v>1237</v>
      </c>
      <c r="E7728" t="str">
        <f>IF(OR(E7727="&lt;/routeDistribution&gt;",E7727=""),"",IFERROR(_xlfn.CONCAT(VLOOKUP(P40,Route_Column!#REF!,2,FALSE),CHAR(34)," probability=",CHAR(34),1/P$4,CHAR(34),CHAR(47),CHAR(62)),"&lt;/routeDistribution&gt;"))</f>
        <v/>
      </c>
    </row>
    <row r="7729" spans="1:5" x14ac:dyDescent="0.25">
      <c r="A7729" t="s">
        <v>2110</v>
      </c>
      <c r="B7729" t="s">
        <v>1238</v>
      </c>
      <c r="E7729" t="str">
        <f>IF(OR(E7728="&lt;/routeDistribution&gt;",E7728=""),"",IFERROR(_xlfn.CONCAT(VLOOKUP(P41,Route_Column!#REF!,2,FALSE),CHAR(34)," probability=",CHAR(34),1/P$4,CHAR(34),CHAR(47),CHAR(62)),"&lt;/routeDistribution&gt;"))</f>
        <v/>
      </c>
    </row>
    <row r="7730" spans="1:5" x14ac:dyDescent="0.25">
      <c r="A7730" t="s">
        <v>2110</v>
      </c>
      <c r="B7730" t="s">
        <v>1239</v>
      </c>
      <c r="E7730" t="str">
        <f>IF(OR(E7729="&lt;/routeDistribution&gt;",E7729=""),"",IFERROR(_xlfn.CONCAT(VLOOKUP(P42,Route_Column!#REF!,2,FALSE),CHAR(34)," probability=",CHAR(34),1/P$4,CHAR(34),CHAR(47),CHAR(62)),"&lt;/routeDistribution&gt;"))</f>
        <v/>
      </c>
    </row>
    <row r="7731" spans="1:5" x14ac:dyDescent="0.25">
      <c r="A7731" t="s">
        <v>2110</v>
      </c>
      <c r="B7731" t="s">
        <v>1240</v>
      </c>
      <c r="E7731" t="str">
        <f>IF(OR(E7730="&lt;/routeDistribution&gt;",E7730=""),"",IFERROR(_xlfn.CONCAT(VLOOKUP(P43,Route_Column!#REF!,2,FALSE),CHAR(34)," probability=",CHAR(34),1/P$4,CHAR(34),CHAR(47),CHAR(62)),"&lt;/routeDistribution&gt;"))</f>
        <v/>
      </c>
    </row>
    <row r="7732" spans="1:5" x14ac:dyDescent="0.25">
      <c r="A7732" t="s">
        <v>2110</v>
      </c>
      <c r="B7732" t="s">
        <v>1241</v>
      </c>
      <c r="E7732" t="str">
        <f>IF(OR(E7731="&lt;/routeDistribution&gt;",E7731=""),"",IFERROR(_xlfn.CONCAT(VLOOKUP(P44,Route_Column!#REF!,2,FALSE),CHAR(34)," probability=",CHAR(34),1/P$4,CHAR(34),CHAR(47),CHAR(62)),"&lt;/routeDistribution&gt;"))</f>
        <v/>
      </c>
    </row>
    <row r="7733" spans="1:5" x14ac:dyDescent="0.25">
      <c r="A7733" t="s">
        <v>2110</v>
      </c>
      <c r="B7733" t="s">
        <v>1242</v>
      </c>
      <c r="E7733" t="str">
        <f>IF(OR(E7732="&lt;/routeDistribution&gt;",E7732=""),"",IFERROR(_xlfn.CONCAT(VLOOKUP(P45,Route_Column!#REF!,2,FALSE),CHAR(34)," probability=",CHAR(34),1/P$4,CHAR(34),CHAR(47),CHAR(62)),"&lt;/routeDistribution&gt;"))</f>
        <v/>
      </c>
    </row>
    <row r="7734" spans="1:5" x14ac:dyDescent="0.25">
      <c r="A7734" t="s">
        <v>2110</v>
      </c>
      <c r="B7734" t="s">
        <v>1243</v>
      </c>
      <c r="E7734" t="str">
        <f>IF(OR(E7733="&lt;/routeDistribution&gt;",E7733=""),"",IFERROR(_xlfn.CONCAT(VLOOKUP(P46,Route_Column!#REF!,2,FALSE),CHAR(34)," probability=",CHAR(34),1/P$4,CHAR(34),CHAR(47),CHAR(62)),"&lt;/routeDistribution&gt;"))</f>
        <v/>
      </c>
    </row>
    <row r="7735" spans="1:5" x14ac:dyDescent="0.25">
      <c r="A7735" t="s">
        <v>2110</v>
      </c>
      <c r="B7735" t="s">
        <v>1244</v>
      </c>
      <c r="E7735" t="str">
        <f>IF(OR(E7734="&lt;/routeDistribution&gt;",E7734=""),"",IFERROR(_xlfn.CONCAT(VLOOKUP(P47,Route_Column!#REF!,2,FALSE),CHAR(34)," probability=",CHAR(34),1/P$4,CHAR(34),CHAR(47),CHAR(62)),"&lt;/routeDistribution&gt;"))</f>
        <v/>
      </c>
    </row>
    <row r="7736" spans="1:5" x14ac:dyDescent="0.25">
      <c r="A7736" t="s">
        <v>2110</v>
      </c>
      <c r="B7736" t="s">
        <v>1245</v>
      </c>
      <c r="E7736" t="str">
        <f>IF(OR(E7735="&lt;/routeDistribution&gt;",E7735=""),"",IFERROR(_xlfn.CONCAT(VLOOKUP(P48,Route_Column!#REF!,2,FALSE),CHAR(34)," probability=",CHAR(34),1/P$4,CHAR(34),CHAR(47),CHAR(62)),"&lt;/routeDistribution&gt;"))</f>
        <v/>
      </c>
    </row>
    <row r="7737" spans="1:5" x14ac:dyDescent="0.25">
      <c r="A7737" t="s">
        <v>2110</v>
      </c>
      <c r="B7737" t="s">
        <v>1246</v>
      </c>
      <c r="E7737" t="str">
        <f>IF(OR(E7736="&lt;/routeDistribution&gt;",E7736=""),"",IFERROR(_xlfn.CONCAT(VLOOKUP(P49,Route_Column!#REF!,2,FALSE),CHAR(34)," probability=",CHAR(34),1/P$4,CHAR(34),CHAR(47),CHAR(62)),"&lt;/routeDistribution&gt;"))</f>
        <v/>
      </c>
    </row>
    <row r="7738" spans="1:5" x14ac:dyDescent="0.25">
      <c r="A7738" t="s">
        <v>2110</v>
      </c>
      <c r="B7738" t="s">
        <v>1247</v>
      </c>
      <c r="E7738" t="str">
        <f>IF(OR(E7737="&lt;/routeDistribution&gt;",E7737=""),"",IFERROR(_xlfn.CONCAT(VLOOKUP(P50,Route_Column!#REF!,2,FALSE),CHAR(34)," probability=",CHAR(34),1/P$4,CHAR(34),CHAR(47),CHAR(62)),"&lt;/routeDistribution&gt;"))</f>
        <v/>
      </c>
    </row>
    <row r="7739" spans="1:5" x14ac:dyDescent="0.25">
      <c r="A7739" t="s">
        <v>2110</v>
      </c>
      <c r="B7739" t="s">
        <v>1248</v>
      </c>
      <c r="E7739" t="str">
        <f>IF(OR(E7738="&lt;/routeDistribution&gt;",E7738=""),"",IFERROR(_xlfn.CONCAT(VLOOKUP(P51,Route_Column!#REF!,2,FALSE),CHAR(34)," probability=",CHAR(34),1/P$4,CHAR(34),CHAR(47),CHAR(62)),"&lt;/routeDistribution&gt;"))</f>
        <v/>
      </c>
    </row>
    <row r="7740" spans="1:5" x14ac:dyDescent="0.25">
      <c r="A7740" t="s">
        <v>2110</v>
      </c>
      <c r="B7740" t="s">
        <v>1249</v>
      </c>
      <c r="E7740" t="str">
        <f>IF(OR(E7739="&lt;/routeDistribution&gt;",E7739=""),"",IFERROR(_xlfn.CONCAT(VLOOKUP(P52,Route_Column!#REF!,2,FALSE),CHAR(34)," probability=",CHAR(34),1/P$4,CHAR(34),CHAR(47),CHAR(62)),"&lt;/routeDistribution&gt;"))</f>
        <v/>
      </c>
    </row>
    <row r="7741" spans="1:5" x14ac:dyDescent="0.25">
      <c r="A7741" t="s">
        <v>2110</v>
      </c>
      <c r="B7741" t="s">
        <v>1250</v>
      </c>
      <c r="E7741" t="str">
        <f>IF(OR(E7740="&lt;/routeDistribution&gt;",E7740=""),"",IFERROR(_xlfn.CONCAT(VLOOKUP(P53,Route_Column!#REF!,2,FALSE),CHAR(34)," probability=",CHAR(34),1/P$4,CHAR(34),CHAR(47),CHAR(62)),"&lt;/routeDistribution&gt;"))</f>
        <v/>
      </c>
    </row>
    <row r="7742" spans="1:5" x14ac:dyDescent="0.25">
      <c r="A7742" t="s">
        <v>2084</v>
      </c>
      <c r="B7742" t="s">
        <v>1139</v>
      </c>
      <c r="E7742" t="str">
        <f>IF(OR(E7741="&lt;/routeDistribution&gt;",E7741=""),"",IFERROR(_xlfn.CONCAT(VLOOKUP(P54,Route_Column!#REF!,2,FALSE),CHAR(34)," probability=",CHAR(34),1/P$4,CHAR(34),CHAR(47),CHAR(62)),"&lt;/routeDistribution&gt;"))</f>
        <v/>
      </c>
    </row>
    <row r="7743" spans="1:5" x14ac:dyDescent="0.25">
      <c r="A7743" t="s">
        <v>2084</v>
      </c>
      <c r="B7743" t="s">
        <v>1140</v>
      </c>
      <c r="E7743" t="str">
        <f>IF(OR(E7742="&lt;/routeDistribution&gt;",E7742=""),"",IFERROR(_xlfn.CONCAT(VLOOKUP(P55,Route_Column!#REF!,2,FALSE),CHAR(34)," probability=",CHAR(34),1/P$4,CHAR(34),CHAR(47),CHAR(62)),"&lt;/routeDistribution&gt;"))</f>
        <v/>
      </c>
    </row>
    <row r="7744" spans="1:5" x14ac:dyDescent="0.25">
      <c r="A7744" t="s">
        <v>2084</v>
      </c>
      <c r="B7744" t="s">
        <v>1150</v>
      </c>
      <c r="E7744" t="str">
        <f>IF(OR(E7743="&lt;/routeDistribution&gt;",E7743=""),"",IFERROR(_xlfn.CONCAT(VLOOKUP(P56,Route_Column!#REF!,2,FALSE),CHAR(34)," probability=",CHAR(34),1/P$4,CHAR(34),CHAR(47),CHAR(62)),"&lt;/routeDistribution&gt;"))</f>
        <v/>
      </c>
    </row>
    <row r="7745" spans="1:5" x14ac:dyDescent="0.25">
      <c r="A7745" t="s">
        <v>2084</v>
      </c>
      <c r="B7745" t="s">
        <v>1157</v>
      </c>
      <c r="E7745" t="str">
        <f>IF(OR(E7744="&lt;/routeDistribution&gt;",E7744=""),"",IFERROR(_xlfn.CONCAT(VLOOKUP(P57,Route_Column!#REF!,2,FALSE),CHAR(34)," probability=",CHAR(34),1/P$4,CHAR(34),CHAR(47),CHAR(62)),"&lt;/routeDistribution&gt;"))</f>
        <v/>
      </c>
    </row>
    <row r="7746" spans="1:5" x14ac:dyDescent="0.25">
      <c r="A7746" t="s">
        <v>2084</v>
      </c>
      <c r="B7746" t="s">
        <v>1214</v>
      </c>
      <c r="E7746" t="str">
        <f>IF(OR(E7745="&lt;/routeDistribution&gt;",E7745=""),"",IFERROR(_xlfn.CONCAT(VLOOKUP(P58,Route_Column!#REF!,2,FALSE),CHAR(34)," probability=",CHAR(34),1/P$4,CHAR(34),CHAR(47),CHAR(62)),"&lt;/routeDistribution&gt;"))</f>
        <v/>
      </c>
    </row>
    <row r="7747" spans="1:5" x14ac:dyDescent="0.25">
      <c r="A7747" t="s">
        <v>2084</v>
      </c>
      <c r="B7747" t="s">
        <v>1215</v>
      </c>
      <c r="E7747" t="str">
        <f>IF(OR(E7746="&lt;/routeDistribution&gt;",E7746=""),"",IFERROR(_xlfn.CONCAT(VLOOKUP(P59,Route_Column!#REF!,2,FALSE),CHAR(34)," probability=",CHAR(34),1/P$4,CHAR(34),CHAR(47),CHAR(62)),"&lt;/routeDistribution&gt;"))</f>
        <v/>
      </c>
    </row>
    <row r="7748" spans="1:5" x14ac:dyDescent="0.25">
      <c r="A7748" t="s">
        <v>2084</v>
      </c>
      <c r="B7748" t="s">
        <v>1226</v>
      </c>
      <c r="E7748" t="str">
        <f>IF(OR(E7747="&lt;/routeDistribution&gt;",E7747=""),"",IFERROR(_xlfn.CONCAT(VLOOKUP(P60,Route_Column!#REF!,2,FALSE),CHAR(34)," probability=",CHAR(34),1/P$4,CHAR(34),CHAR(47),CHAR(62)),"&lt;/routeDistribution&gt;"))</f>
        <v/>
      </c>
    </row>
    <row r="7749" spans="1:5" x14ac:dyDescent="0.25">
      <c r="A7749" t="s">
        <v>2084</v>
      </c>
      <c r="B7749" t="s">
        <v>1233</v>
      </c>
      <c r="E7749" t="str">
        <f>IF(OR(E7748="&lt;/routeDistribution&gt;",E7748=""),"",IFERROR(_xlfn.CONCAT(VLOOKUP(P61,Route_Column!#REF!,2,FALSE),CHAR(34)," probability=",CHAR(34),1/P$4,CHAR(34),CHAR(47),CHAR(62)),"&lt;/routeDistribution&gt;"))</f>
        <v/>
      </c>
    </row>
    <row r="7750" spans="1:5" x14ac:dyDescent="0.25">
      <c r="A7750" t="s">
        <v>2084</v>
      </c>
      <c r="B7750" t="s">
        <v>1254</v>
      </c>
      <c r="E7750" t="str">
        <f>IF(OR(E7749="&lt;/routeDistribution&gt;",E7749=""),"",IFERROR(_xlfn.CONCAT(VLOOKUP(P62,Route_Column!#REF!,2,FALSE),CHAR(34)," probability=",CHAR(34),1/P$4,CHAR(34),CHAR(47),CHAR(62)),"&lt;/routeDistribution&gt;"))</f>
        <v/>
      </c>
    </row>
    <row r="7751" spans="1:5" x14ac:dyDescent="0.25">
      <c r="A7751" t="s">
        <v>2115</v>
      </c>
      <c r="B7751" t="s">
        <v>1140</v>
      </c>
      <c r="E7751" t="str">
        <f>IF(OR(E7750="&lt;/routeDistribution&gt;",E7750=""),"",IFERROR(_xlfn.CONCAT(VLOOKUP(P63,Route_Column!#REF!,2,FALSE),CHAR(34)," probability=",CHAR(34),1/P$4,CHAR(34),CHAR(47),CHAR(62)),"&lt;/routeDistribution&gt;"))</f>
        <v/>
      </c>
    </row>
    <row r="7752" spans="1:5" x14ac:dyDescent="0.25">
      <c r="A7752" t="s">
        <v>2115</v>
      </c>
      <c r="B7752" t="s">
        <v>1141</v>
      </c>
      <c r="E7752" t="s">
        <v>2686</v>
      </c>
    </row>
    <row r="7753" spans="1:5" x14ac:dyDescent="0.25">
      <c r="A7753" t="s">
        <v>2115</v>
      </c>
      <c r="B7753" t="s">
        <v>1142</v>
      </c>
    </row>
    <row r="7754" spans="1:5" x14ac:dyDescent="0.25">
      <c r="A7754" t="s">
        <v>2115</v>
      </c>
      <c r="B7754" t="s">
        <v>1150</v>
      </c>
    </row>
    <row r="7755" spans="1:5" x14ac:dyDescent="0.25">
      <c r="A7755" t="s">
        <v>2115</v>
      </c>
      <c r="B7755" t="s">
        <v>1151</v>
      </c>
      <c r="E7755" t="str">
        <f>_xlfn.CONCAT($E$1,O$2,$F$1)</f>
        <v>&lt;routeDistribution id="38th-Market-to-Powelton-SB-2016-RouteProbe"&gt;</v>
      </c>
    </row>
    <row r="7756" spans="1:5" x14ac:dyDescent="0.25">
      <c r="A7756" t="s">
        <v>2115</v>
      </c>
      <c r="B7756" t="s">
        <v>1179</v>
      </c>
      <c r="E7756" t="str">
        <f>IF(OR(E7755="&lt;/routeDistribution&gt;",E7755=""),"",IFERROR(_xlfn.CONCAT(VLOOKUP(O5,Route_Column!#REF!,2,FALSE),CHAR(34)," probability=",CHAR(34),1/O$4,CHAR(34),CHAR(47),CHAR(62)),"&lt;/routeDistribution&gt;"))</f>
        <v>&lt;/routeDistribution&gt;</v>
      </c>
    </row>
    <row r="7757" spans="1:5" x14ac:dyDescent="0.25">
      <c r="A7757" t="s">
        <v>2115</v>
      </c>
      <c r="B7757" t="s">
        <v>1205</v>
      </c>
      <c r="E7757" t="str">
        <f>IF(OR(E7756="&lt;/routeDistribution&gt;",E7756=""),"",IFERROR(_xlfn.CONCAT(VLOOKUP(O6,Route_Column!#REF!,2,FALSE),CHAR(34)," probability=",CHAR(34),1/O$4,CHAR(34),CHAR(47),CHAR(62)),"&lt;/routeDistribution&gt;"))</f>
        <v/>
      </c>
    </row>
    <row r="7758" spans="1:5" x14ac:dyDescent="0.25">
      <c r="A7758" t="s">
        <v>2115</v>
      </c>
      <c r="B7758" t="s">
        <v>1206</v>
      </c>
      <c r="E7758" t="str">
        <f>IF(OR(E7757="&lt;/routeDistribution&gt;",E7757=""),"",IFERROR(_xlfn.CONCAT(VLOOKUP(O7,Route_Column!#REF!,2,FALSE),CHAR(34)," probability=",CHAR(34),1/O$4,CHAR(34),CHAR(47),CHAR(62)),"&lt;/routeDistribution&gt;"))</f>
        <v/>
      </c>
    </row>
    <row r="7759" spans="1:5" x14ac:dyDescent="0.25">
      <c r="A7759" t="s">
        <v>2115</v>
      </c>
      <c r="B7759" t="s">
        <v>1207</v>
      </c>
      <c r="E7759" t="str">
        <f>IF(OR(E7758="&lt;/routeDistribution&gt;",E7758=""),"",IFERROR(_xlfn.CONCAT(VLOOKUP(O8,Route_Column!#REF!,2,FALSE),CHAR(34)," probability=",CHAR(34),1/O$4,CHAR(34),CHAR(47),CHAR(62)),"&lt;/routeDistribution&gt;"))</f>
        <v/>
      </c>
    </row>
    <row r="7760" spans="1:5" x14ac:dyDescent="0.25">
      <c r="A7760" t="s">
        <v>2115</v>
      </c>
      <c r="B7760" t="s">
        <v>1208</v>
      </c>
      <c r="E7760" t="str">
        <f>IF(OR(E7759="&lt;/routeDistribution&gt;",E7759=""),"",IFERROR(_xlfn.CONCAT(VLOOKUP(O9,Route_Column!#REF!,2,FALSE),CHAR(34)," probability=",CHAR(34),1/O$4,CHAR(34),CHAR(47),CHAR(62)),"&lt;/routeDistribution&gt;"))</f>
        <v/>
      </c>
    </row>
    <row r="7761" spans="1:5" x14ac:dyDescent="0.25">
      <c r="A7761" t="s">
        <v>2115</v>
      </c>
      <c r="B7761" t="s">
        <v>1232</v>
      </c>
      <c r="E7761" t="str">
        <f>IF(OR(E7760="&lt;/routeDistribution&gt;",E7760=""),"",IFERROR(_xlfn.CONCAT(VLOOKUP(O10,Route_Column!#REF!,2,FALSE),CHAR(34)," probability=",CHAR(34),1/O$4,CHAR(34),CHAR(47),CHAR(62)),"&lt;/routeDistribution&gt;"))</f>
        <v/>
      </c>
    </row>
    <row r="7762" spans="1:5" x14ac:dyDescent="0.25">
      <c r="A7762" t="s">
        <v>2115</v>
      </c>
      <c r="B7762" t="s">
        <v>1233</v>
      </c>
      <c r="E7762" t="str">
        <f>IF(OR(E7761="&lt;/routeDistribution&gt;",E7761=""),"",IFERROR(_xlfn.CONCAT(VLOOKUP(O11,Route_Column!#REF!,2,FALSE),CHAR(34)," probability=",CHAR(34),1/O$4,CHAR(34),CHAR(47),CHAR(62)),"&lt;/routeDistribution&gt;"))</f>
        <v/>
      </c>
    </row>
    <row r="7763" spans="1:5" x14ac:dyDescent="0.25">
      <c r="A7763" t="s">
        <v>2115</v>
      </c>
      <c r="B7763" t="s">
        <v>1234</v>
      </c>
      <c r="E7763" t="str">
        <f>IF(OR(E7762="&lt;/routeDistribution&gt;",E7762=""),"",IFERROR(_xlfn.CONCAT(VLOOKUP(O12,Route_Column!#REF!,2,FALSE),CHAR(34)," probability=",CHAR(34),1/O$4,CHAR(34),CHAR(47),CHAR(62)),"&lt;/routeDistribution&gt;"))</f>
        <v/>
      </c>
    </row>
    <row r="7764" spans="1:5" x14ac:dyDescent="0.25">
      <c r="A7764" t="s">
        <v>2115</v>
      </c>
      <c r="B7764" t="s">
        <v>1235</v>
      </c>
      <c r="E7764" t="str">
        <f>IF(OR(E7763="&lt;/routeDistribution&gt;",E7763=""),"",IFERROR(_xlfn.CONCAT(VLOOKUP(O13,Route_Column!#REF!,2,FALSE),CHAR(34)," probability=",CHAR(34),1/O$4,CHAR(34),CHAR(47),CHAR(62)),"&lt;/routeDistribution&gt;"))</f>
        <v/>
      </c>
    </row>
    <row r="7765" spans="1:5" x14ac:dyDescent="0.25">
      <c r="A7765" t="s">
        <v>2115</v>
      </c>
      <c r="B7765" t="s">
        <v>1235</v>
      </c>
      <c r="E7765" t="str">
        <f>IF(OR(E7764="&lt;/routeDistribution&gt;",E7764=""),"",IFERROR(_xlfn.CONCAT(VLOOKUP(O14,Route_Column!#REF!,2,FALSE),CHAR(34)," probability=",CHAR(34),1/O$4,CHAR(34),CHAR(47),CHAR(62)),"&lt;/routeDistribution&gt;"))</f>
        <v/>
      </c>
    </row>
    <row r="7766" spans="1:5" x14ac:dyDescent="0.25">
      <c r="A7766" t="s">
        <v>2115</v>
      </c>
      <c r="B7766" t="s">
        <v>1236</v>
      </c>
      <c r="E7766" t="str">
        <f>IF(OR(E7765="&lt;/routeDistribution&gt;",E7765=""),"",IFERROR(_xlfn.CONCAT(VLOOKUP(O15,Route_Column!#REF!,2,FALSE),CHAR(34)," probability=",CHAR(34),1/O$4,CHAR(34),CHAR(47),CHAR(62)),"&lt;/routeDistribution&gt;"))</f>
        <v/>
      </c>
    </row>
    <row r="7767" spans="1:5" x14ac:dyDescent="0.25">
      <c r="A7767" t="s">
        <v>2115</v>
      </c>
      <c r="B7767" t="s">
        <v>1236</v>
      </c>
      <c r="E7767" t="str">
        <f>IF(OR(E7766="&lt;/routeDistribution&gt;",E7766=""),"",IFERROR(_xlfn.CONCAT(VLOOKUP(O16,Route_Column!#REF!,2,FALSE),CHAR(34)," probability=",CHAR(34),1/O$4,CHAR(34),CHAR(47),CHAR(62)),"&lt;/routeDistribution&gt;"))</f>
        <v/>
      </c>
    </row>
    <row r="7768" spans="1:5" x14ac:dyDescent="0.25">
      <c r="A7768" t="s">
        <v>2115</v>
      </c>
      <c r="B7768" t="s">
        <v>1237</v>
      </c>
      <c r="E7768" t="str">
        <f>IF(OR(E7767="&lt;/routeDistribution&gt;",E7767=""),"",IFERROR(_xlfn.CONCAT(VLOOKUP(O17,Route_Column!#REF!,2,FALSE),CHAR(34)," probability=",CHAR(34),1/O$4,CHAR(34),CHAR(47),CHAR(62)),"&lt;/routeDistribution&gt;"))</f>
        <v/>
      </c>
    </row>
    <row r="7769" spans="1:5" x14ac:dyDescent="0.25">
      <c r="A7769" t="s">
        <v>2115</v>
      </c>
      <c r="B7769" t="s">
        <v>1237</v>
      </c>
      <c r="E7769" t="str">
        <f>IF(OR(E7768="&lt;/routeDistribution&gt;",E7768=""),"",IFERROR(_xlfn.CONCAT(VLOOKUP(O18,Route_Column!#REF!,2,FALSE),CHAR(34)," probability=",CHAR(34),1/O$4,CHAR(34),CHAR(47),CHAR(62)),"&lt;/routeDistribution&gt;"))</f>
        <v/>
      </c>
    </row>
    <row r="7770" spans="1:5" x14ac:dyDescent="0.25">
      <c r="A7770" t="s">
        <v>2115</v>
      </c>
      <c r="B7770" t="s">
        <v>1238</v>
      </c>
      <c r="E7770" t="str">
        <f>IF(OR(E7769="&lt;/routeDistribution&gt;",E7769=""),"",IFERROR(_xlfn.CONCAT(VLOOKUP(O19,Route_Column!#REF!,2,FALSE),CHAR(34)," probability=",CHAR(34),1/O$4,CHAR(34),CHAR(47),CHAR(62)),"&lt;/routeDistribution&gt;"))</f>
        <v/>
      </c>
    </row>
    <row r="7771" spans="1:5" x14ac:dyDescent="0.25">
      <c r="A7771" t="s">
        <v>2115</v>
      </c>
      <c r="B7771" t="s">
        <v>1238</v>
      </c>
      <c r="E7771" t="str">
        <f>IF(OR(E7770="&lt;/routeDistribution&gt;",E7770=""),"",IFERROR(_xlfn.CONCAT(VLOOKUP(O20,Route_Column!#REF!,2,FALSE),CHAR(34)," probability=",CHAR(34),1/O$4,CHAR(34),CHAR(47),CHAR(62)),"&lt;/routeDistribution&gt;"))</f>
        <v/>
      </c>
    </row>
    <row r="7772" spans="1:5" x14ac:dyDescent="0.25">
      <c r="A7772" t="s">
        <v>2115</v>
      </c>
      <c r="B7772" t="s">
        <v>1239</v>
      </c>
      <c r="E7772" t="str">
        <f>IF(OR(E7771="&lt;/routeDistribution&gt;",E7771=""),"",IFERROR(_xlfn.CONCAT(VLOOKUP(O21,Route_Column!#REF!,2,FALSE),CHAR(34)," probability=",CHAR(34),1/O$4,CHAR(34),CHAR(47),CHAR(62)),"&lt;/routeDistribution&gt;"))</f>
        <v/>
      </c>
    </row>
    <row r="7773" spans="1:5" x14ac:dyDescent="0.25">
      <c r="A7773" t="s">
        <v>2115</v>
      </c>
      <c r="B7773" t="s">
        <v>1239</v>
      </c>
      <c r="E7773" t="str">
        <f>IF(OR(E7772="&lt;/routeDistribution&gt;",E7772=""),"",IFERROR(_xlfn.CONCAT(VLOOKUP(O22,Route_Column!#REF!,2,FALSE),CHAR(34)," probability=",CHAR(34),1/O$4,CHAR(34),CHAR(47),CHAR(62)),"&lt;/routeDistribution&gt;"))</f>
        <v/>
      </c>
    </row>
    <row r="7774" spans="1:5" x14ac:dyDescent="0.25">
      <c r="A7774" t="s">
        <v>2115</v>
      </c>
      <c r="B7774" t="s">
        <v>1240</v>
      </c>
      <c r="E7774" t="str">
        <f>IF(OR(E7773="&lt;/routeDistribution&gt;",E7773=""),"",IFERROR(_xlfn.CONCAT(VLOOKUP(O23,Route_Column!#REF!,2,FALSE),CHAR(34)," probability=",CHAR(34),1/O$4,CHAR(34),CHAR(47),CHAR(62)),"&lt;/routeDistribution&gt;"))</f>
        <v/>
      </c>
    </row>
    <row r="7775" spans="1:5" x14ac:dyDescent="0.25">
      <c r="A7775" t="s">
        <v>2115</v>
      </c>
      <c r="B7775" t="s">
        <v>1240</v>
      </c>
      <c r="E7775" t="str">
        <f>IF(OR(E7774="&lt;/routeDistribution&gt;",E7774=""),"",IFERROR(_xlfn.CONCAT(VLOOKUP(O24,Route_Column!#REF!,2,FALSE),CHAR(34)," probability=",CHAR(34),1/O$4,CHAR(34),CHAR(47),CHAR(62)),"&lt;/routeDistribution&gt;"))</f>
        <v/>
      </c>
    </row>
    <row r="7776" spans="1:5" x14ac:dyDescent="0.25">
      <c r="A7776" t="s">
        <v>2115</v>
      </c>
      <c r="B7776" t="s">
        <v>1241</v>
      </c>
      <c r="E7776" t="str">
        <f>IF(OR(E7775="&lt;/routeDistribution&gt;",E7775=""),"",IFERROR(_xlfn.CONCAT(VLOOKUP(O25,Route_Column!#REF!,2,FALSE),CHAR(34)," probability=",CHAR(34),1/O$4,CHAR(34),CHAR(47),CHAR(62)),"&lt;/routeDistribution&gt;"))</f>
        <v/>
      </c>
    </row>
    <row r="7777" spans="1:5" x14ac:dyDescent="0.25">
      <c r="A7777" t="s">
        <v>2115</v>
      </c>
      <c r="B7777" t="s">
        <v>1241</v>
      </c>
      <c r="E7777" t="str">
        <f>IF(OR(E7776="&lt;/routeDistribution&gt;",E7776=""),"",IFERROR(_xlfn.CONCAT(VLOOKUP(O26,Route_Column!#REF!,2,FALSE),CHAR(34)," probability=",CHAR(34),1/O$4,CHAR(34),CHAR(47),CHAR(62)),"&lt;/routeDistribution&gt;"))</f>
        <v/>
      </c>
    </row>
    <row r="7778" spans="1:5" x14ac:dyDescent="0.25">
      <c r="A7778" t="s">
        <v>2115</v>
      </c>
      <c r="B7778" t="s">
        <v>1242</v>
      </c>
      <c r="E7778" t="str">
        <f>IF(OR(E7777="&lt;/routeDistribution&gt;",E7777=""),"",IFERROR(_xlfn.CONCAT(VLOOKUP(O27,Route_Column!#REF!,2,FALSE),CHAR(34)," probability=",CHAR(34),1/O$4,CHAR(34),CHAR(47),CHAR(62)),"&lt;/routeDistribution&gt;"))</f>
        <v/>
      </c>
    </row>
    <row r="7779" spans="1:5" x14ac:dyDescent="0.25">
      <c r="A7779" t="s">
        <v>2115</v>
      </c>
      <c r="B7779" t="s">
        <v>1242</v>
      </c>
      <c r="E7779" t="str">
        <f>IF(OR(E7778="&lt;/routeDistribution&gt;",E7778=""),"",IFERROR(_xlfn.CONCAT(VLOOKUP(O28,Route_Column!#REF!,2,FALSE),CHAR(34)," probability=",CHAR(34),1/O$4,CHAR(34),CHAR(47),CHAR(62)),"&lt;/routeDistribution&gt;"))</f>
        <v/>
      </c>
    </row>
    <row r="7780" spans="1:5" x14ac:dyDescent="0.25">
      <c r="A7780" t="s">
        <v>2115</v>
      </c>
      <c r="B7780" t="s">
        <v>1243</v>
      </c>
      <c r="E7780" t="str">
        <f>IF(OR(E7779="&lt;/routeDistribution&gt;",E7779=""),"",IFERROR(_xlfn.CONCAT(VLOOKUP(O29,Route_Column!#REF!,2,FALSE),CHAR(34)," probability=",CHAR(34),1/O$4,CHAR(34),CHAR(47),CHAR(62)),"&lt;/routeDistribution&gt;"))</f>
        <v/>
      </c>
    </row>
    <row r="7781" spans="1:5" x14ac:dyDescent="0.25">
      <c r="A7781" t="s">
        <v>2115</v>
      </c>
      <c r="B7781" t="s">
        <v>1243</v>
      </c>
      <c r="E7781" t="str">
        <f>IF(OR(E7780="&lt;/routeDistribution&gt;",E7780=""),"",IFERROR(_xlfn.CONCAT(VLOOKUP(O30,Route_Column!#REF!,2,FALSE),CHAR(34)," probability=",CHAR(34),1/O$4,CHAR(34),CHAR(47),CHAR(62)),"&lt;/routeDistribution&gt;"))</f>
        <v/>
      </c>
    </row>
    <row r="7782" spans="1:5" x14ac:dyDescent="0.25">
      <c r="A7782" t="s">
        <v>2115</v>
      </c>
      <c r="B7782" t="s">
        <v>1244</v>
      </c>
      <c r="E7782" t="str">
        <f>IF(OR(E7781="&lt;/routeDistribution&gt;",E7781=""),"",IFERROR(_xlfn.CONCAT(VLOOKUP(O31,Route_Column!#REF!,2,FALSE),CHAR(34)," probability=",CHAR(34),1/O$4,CHAR(34),CHAR(47),CHAR(62)),"&lt;/routeDistribution&gt;"))</f>
        <v/>
      </c>
    </row>
    <row r="7783" spans="1:5" x14ac:dyDescent="0.25">
      <c r="A7783" t="s">
        <v>2115</v>
      </c>
      <c r="B7783" t="s">
        <v>1244</v>
      </c>
      <c r="E7783" t="str">
        <f>IF(OR(E7782="&lt;/routeDistribution&gt;",E7782=""),"",IFERROR(_xlfn.CONCAT(VLOOKUP(O32,Route_Column!#REF!,2,FALSE),CHAR(34)," probability=",CHAR(34),1/O$4,CHAR(34),CHAR(47),CHAR(62)),"&lt;/routeDistribution&gt;"))</f>
        <v/>
      </c>
    </row>
    <row r="7784" spans="1:5" x14ac:dyDescent="0.25">
      <c r="A7784" t="s">
        <v>2115</v>
      </c>
      <c r="B7784" t="s">
        <v>1245</v>
      </c>
      <c r="E7784" t="str">
        <f>IF(OR(E7783="&lt;/routeDistribution&gt;",E7783=""),"",IFERROR(_xlfn.CONCAT(VLOOKUP(O33,Route_Column!#REF!,2,FALSE),CHAR(34)," probability=",CHAR(34),1/O$4,CHAR(34),CHAR(47),CHAR(62)),"&lt;/routeDistribution&gt;"))</f>
        <v/>
      </c>
    </row>
    <row r="7785" spans="1:5" x14ac:dyDescent="0.25">
      <c r="A7785" t="s">
        <v>2115</v>
      </c>
      <c r="B7785" t="s">
        <v>1245</v>
      </c>
      <c r="E7785" t="str">
        <f>IF(OR(E7784="&lt;/routeDistribution&gt;",E7784=""),"",IFERROR(_xlfn.CONCAT(VLOOKUP(O34,Route_Column!#REF!,2,FALSE),CHAR(34)," probability=",CHAR(34),1/O$4,CHAR(34),CHAR(47),CHAR(62)),"&lt;/routeDistribution&gt;"))</f>
        <v/>
      </c>
    </row>
    <row r="7786" spans="1:5" x14ac:dyDescent="0.25">
      <c r="A7786" t="s">
        <v>2115</v>
      </c>
      <c r="B7786" t="s">
        <v>1246</v>
      </c>
      <c r="E7786" t="str">
        <f>IF(OR(E7785="&lt;/routeDistribution&gt;",E7785=""),"",IFERROR(_xlfn.CONCAT(VLOOKUP(O35,Route_Column!#REF!,2,FALSE),CHAR(34)," probability=",CHAR(34),1/O$4,CHAR(34),CHAR(47),CHAR(62)),"&lt;/routeDistribution&gt;"))</f>
        <v/>
      </c>
    </row>
    <row r="7787" spans="1:5" x14ac:dyDescent="0.25">
      <c r="A7787" t="s">
        <v>2115</v>
      </c>
      <c r="B7787" t="s">
        <v>1246</v>
      </c>
      <c r="E7787" t="str">
        <f>IF(OR(E7786="&lt;/routeDistribution&gt;",E7786=""),"",IFERROR(_xlfn.CONCAT(VLOOKUP(O36,Route_Column!#REF!,2,FALSE),CHAR(34)," probability=",CHAR(34),1/O$4,CHAR(34),CHAR(47),CHAR(62)),"&lt;/routeDistribution&gt;"))</f>
        <v/>
      </c>
    </row>
    <row r="7788" spans="1:5" x14ac:dyDescent="0.25">
      <c r="A7788" t="s">
        <v>2115</v>
      </c>
      <c r="B7788" t="s">
        <v>1247</v>
      </c>
      <c r="E7788" t="str">
        <f>IF(OR(E7787="&lt;/routeDistribution&gt;",E7787=""),"",IFERROR(_xlfn.CONCAT(VLOOKUP(O37,Route_Column!#REF!,2,FALSE),CHAR(34)," probability=",CHAR(34),1/O$4,CHAR(34),CHAR(47),CHAR(62)),"&lt;/routeDistribution&gt;"))</f>
        <v/>
      </c>
    </row>
    <row r="7789" spans="1:5" x14ac:dyDescent="0.25">
      <c r="A7789" t="s">
        <v>2115</v>
      </c>
      <c r="B7789" t="s">
        <v>1247</v>
      </c>
      <c r="E7789" t="str">
        <f>IF(OR(E7788="&lt;/routeDistribution&gt;",E7788=""),"",IFERROR(_xlfn.CONCAT(VLOOKUP(O38,Route_Column!#REF!,2,FALSE),CHAR(34)," probability=",CHAR(34),1/O$4,CHAR(34),CHAR(47),CHAR(62)),"&lt;/routeDistribution&gt;"))</f>
        <v/>
      </c>
    </row>
    <row r="7790" spans="1:5" x14ac:dyDescent="0.25">
      <c r="A7790" t="s">
        <v>2115</v>
      </c>
      <c r="B7790" t="s">
        <v>1248</v>
      </c>
      <c r="E7790" t="str">
        <f>IF(OR(E7789="&lt;/routeDistribution&gt;",E7789=""),"",IFERROR(_xlfn.CONCAT(VLOOKUP(O39,Route_Column!#REF!,2,FALSE),CHAR(34)," probability=",CHAR(34),1/O$4,CHAR(34),CHAR(47),CHAR(62)),"&lt;/routeDistribution&gt;"))</f>
        <v/>
      </c>
    </row>
    <row r="7791" spans="1:5" x14ac:dyDescent="0.25">
      <c r="A7791" t="s">
        <v>2115</v>
      </c>
      <c r="B7791" t="s">
        <v>1248</v>
      </c>
      <c r="E7791" t="str">
        <f>IF(OR(E7790="&lt;/routeDistribution&gt;",E7790=""),"",IFERROR(_xlfn.CONCAT(VLOOKUP(O40,Route_Column!#REF!,2,FALSE),CHAR(34)," probability=",CHAR(34),1/O$4,CHAR(34),CHAR(47),CHAR(62)),"&lt;/routeDistribution&gt;"))</f>
        <v/>
      </c>
    </row>
    <row r="7792" spans="1:5" x14ac:dyDescent="0.25">
      <c r="A7792" t="s">
        <v>2115</v>
      </c>
      <c r="B7792" t="s">
        <v>1249</v>
      </c>
      <c r="E7792" t="str">
        <f>IF(OR(E7791="&lt;/routeDistribution&gt;",E7791=""),"",IFERROR(_xlfn.CONCAT(VLOOKUP(O41,Route_Column!#REF!,2,FALSE),CHAR(34)," probability=",CHAR(34),1/O$4,CHAR(34),CHAR(47),CHAR(62)),"&lt;/routeDistribution&gt;"))</f>
        <v/>
      </c>
    </row>
    <row r="7793" spans="1:5" x14ac:dyDescent="0.25">
      <c r="A7793" t="s">
        <v>2115</v>
      </c>
      <c r="B7793" t="s">
        <v>1249</v>
      </c>
      <c r="E7793" t="str">
        <f>IF(OR(E7792="&lt;/routeDistribution&gt;",E7792=""),"",IFERROR(_xlfn.CONCAT(VLOOKUP(O42,Route_Column!#REF!,2,FALSE),CHAR(34)," probability=",CHAR(34),1/O$4,CHAR(34),CHAR(47),CHAR(62)),"&lt;/routeDistribution&gt;"))</f>
        <v/>
      </c>
    </row>
    <row r="7794" spans="1:5" x14ac:dyDescent="0.25">
      <c r="A7794" t="s">
        <v>2115</v>
      </c>
      <c r="B7794" t="s">
        <v>1250</v>
      </c>
      <c r="E7794" t="str">
        <f>IF(OR(E7793="&lt;/routeDistribution&gt;",E7793=""),"",IFERROR(_xlfn.CONCAT(VLOOKUP(O43,Route_Column!#REF!,2,FALSE),CHAR(34)," probability=",CHAR(34),1/O$4,CHAR(34),CHAR(47),CHAR(62)),"&lt;/routeDistribution&gt;"))</f>
        <v/>
      </c>
    </row>
    <row r="7795" spans="1:5" x14ac:dyDescent="0.25">
      <c r="A7795" t="s">
        <v>2115</v>
      </c>
      <c r="B7795" t="s">
        <v>1250</v>
      </c>
      <c r="E7795" t="str">
        <f>IF(OR(E7794="&lt;/routeDistribution&gt;",E7794=""),"",IFERROR(_xlfn.CONCAT(VLOOKUP(O44,Route_Column!#REF!,2,FALSE),CHAR(34)," probability=",CHAR(34),1/O$4,CHAR(34),CHAR(47),CHAR(62)),"&lt;/routeDistribution&gt;"))</f>
        <v/>
      </c>
    </row>
    <row r="7796" spans="1:5" x14ac:dyDescent="0.25">
      <c r="A7796" t="s">
        <v>2116</v>
      </c>
      <c r="B7796" t="s">
        <v>1140</v>
      </c>
      <c r="E7796" t="str">
        <f>IF(OR(E7795="&lt;/routeDistribution&gt;",E7795=""),"",IFERROR(_xlfn.CONCAT(VLOOKUP(O45,Route_Column!#REF!,2,FALSE),CHAR(34)," probability=",CHAR(34),1/O$4,CHAR(34),CHAR(47),CHAR(62)),"&lt;/routeDistribution&gt;"))</f>
        <v/>
      </c>
    </row>
    <row r="7797" spans="1:5" x14ac:dyDescent="0.25">
      <c r="A7797" t="s">
        <v>2116</v>
      </c>
      <c r="B7797" t="s">
        <v>1141</v>
      </c>
      <c r="E7797" t="str">
        <f>IF(OR(E7796="&lt;/routeDistribution&gt;",E7796=""),"",IFERROR(_xlfn.CONCAT(VLOOKUP(O46,Route_Column!#REF!,2,FALSE),CHAR(34)," probability=",CHAR(34),1/O$4,CHAR(34),CHAR(47),CHAR(62)),"&lt;/routeDistribution&gt;"))</f>
        <v/>
      </c>
    </row>
    <row r="7798" spans="1:5" x14ac:dyDescent="0.25">
      <c r="A7798" t="s">
        <v>2116</v>
      </c>
      <c r="B7798" t="s">
        <v>1142</v>
      </c>
      <c r="E7798" t="str">
        <f>IF(OR(E7797="&lt;/routeDistribution&gt;",E7797=""),"",IFERROR(_xlfn.CONCAT(VLOOKUP(O47,Route_Column!#REF!,2,FALSE),CHAR(34)," probability=",CHAR(34),1/O$4,CHAR(34),CHAR(47),CHAR(62)),"&lt;/routeDistribution&gt;"))</f>
        <v/>
      </c>
    </row>
    <row r="7799" spans="1:5" x14ac:dyDescent="0.25">
      <c r="A7799" t="s">
        <v>2116</v>
      </c>
      <c r="B7799" t="s">
        <v>1150</v>
      </c>
      <c r="E7799" t="str">
        <f>IF(OR(E7798="&lt;/routeDistribution&gt;",E7798=""),"",IFERROR(_xlfn.CONCAT(VLOOKUP(O48,Route_Column!#REF!,2,FALSE),CHAR(34)," probability=",CHAR(34),1/O$4,CHAR(34),CHAR(47),CHAR(62)),"&lt;/routeDistribution&gt;"))</f>
        <v/>
      </c>
    </row>
    <row r="7800" spans="1:5" x14ac:dyDescent="0.25">
      <c r="A7800" t="s">
        <v>2116</v>
      </c>
      <c r="B7800" t="s">
        <v>1151</v>
      </c>
      <c r="E7800" t="str">
        <f>IF(OR(E7799="&lt;/routeDistribution&gt;",E7799=""),"",IFERROR(_xlfn.CONCAT(VLOOKUP(O49,Route_Column!#REF!,2,FALSE),CHAR(34)," probability=",CHAR(34),1/O$4,CHAR(34),CHAR(47),CHAR(62)),"&lt;/routeDistribution&gt;"))</f>
        <v/>
      </c>
    </row>
    <row r="7801" spans="1:5" x14ac:dyDescent="0.25">
      <c r="A7801" t="s">
        <v>2116</v>
      </c>
      <c r="B7801" t="s">
        <v>1179</v>
      </c>
      <c r="E7801" t="str">
        <f>IF(OR(E7800="&lt;/routeDistribution&gt;",E7800=""),"",IFERROR(_xlfn.CONCAT(VLOOKUP(O50,Route_Column!#REF!,2,FALSE),CHAR(34)," probability=",CHAR(34),1/O$4,CHAR(34),CHAR(47),CHAR(62)),"&lt;/routeDistribution&gt;"))</f>
        <v/>
      </c>
    </row>
    <row r="7802" spans="1:5" x14ac:dyDescent="0.25">
      <c r="A7802" t="s">
        <v>2116</v>
      </c>
      <c r="B7802" t="s">
        <v>1205</v>
      </c>
      <c r="E7802" t="str">
        <f>IF(OR(E7801="&lt;/routeDistribution&gt;",E7801=""),"",IFERROR(_xlfn.CONCAT(VLOOKUP(O51,Route_Column!#REF!,2,FALSE),CHAR(34)," probability=",CHAR(34),1/O$4,CHAR(34),CHAR(47),CHAR(62)),"&lt;/routeDistribution&gt;"))</f>
        <v/>
      </c>
    </row>
    <row r="7803" spans="1:5" x14ac:dyDescent="0.25">
      <c r="A7803" t="s">
        <v>2116</v>
      </c>
      <c r="B7803" t="s">
        <v>1206</v>
      </c>
      <c r="E7803" t="str">
        <f>IF(OR(E7802="&lt;/routeDistribution&gt;",E7802=""),"",IFERROR(_xlfn.CONCAT(VLOOKUP(O52,Route_Column!#REF!,2,FALSE),CHAR(34)," probability=",CHAR(34),1/O$4,CHAR(34),CHAR(47),CHAR(62)),"&lt;/routeDistribution&gt;"))</f>
        <v/>
      </c>
    </row>
    <row r="7804" spans="1:5" x14ac:dyDescent="0.25">
      <c r="A7804" t="s">
        <v>2116</v>
      </c>
      <c r="B7804" t="s">
        <v>1207</v>
      </c>
      <c r="E7804" t="str">
        <f>IF(OR(E7803="&lt;/routeDistribution&gt;",E7803=""),"",IFERROR(_xlfn.CONCAT(VLOOKUP(O53,Route_Column!#REF!,2,FALSE),CHAR(34)," probability=",CHAR(34),1/O$4,CHAR(34),CHAR(47),CHAR(62)),"&lt;/routeDistribution&gt;"))</f>
        <v/>
      </c>
    </row>
    <row r="7805" spans="1:5" x14ac:dyDescent="0.25">
      <c r="A7805" t="s">
        <v>2116</v>
      </c>
      <c r="B7805" t="s">
        <v>1208</v>
      </c>
      <c r="E7805" t="str">
        <f>IF(OR(E7804="&lt;/routeDistribution&gt;",E7804=""),"",IFERROR(_xlfn.CONCAT(VLOOKUP(O54,Route_Column!#REF!,2,FALSE),CHAR(34)," probability=",CHAR(34),1/O$4,CHAR(34),CHAR(47),CHAR(62)),"&lt;/routeDistribution&gt;"))</f>
        <v/>
      </c>
    </row>
    <row r="7806" spans="1:5" x14ac:dyDescent="0.25">
      <c r="A7806" t="s">
        <v>2116</v>
      </c>
      <c r="B7806" t="s">
        <v>1232</v>
      </c>
      <c r="E7806" t="str">
        <f>IF(OR(E7805="&lt;/routeDistribution&gt;",E7805=""),"",IFERROR(_xlfn.CONCAT(VLOOKUP(O55,Route_Column!#REF!,2,FALSE),CHAR(34)," probability=",CHAR(34),1/O$4,CHAR(34),CHAR(47),CHAR(62)),"&lt;/routeDistribution&gt;"))</f>
        <v/>
      </c>
    </row>
    <row r="7807" spans="1:5" x14ac:dyDescent="0.25">
      <c r="A7807" t="s">
        <v>2116</v>
      </c>
      <c r="B7807" t="s">
        <v>1233</v>
      </c>
      <c r="E7807" t="str">
        <f>IF(OR(E7806="&lt;/routeDistribution&gt;",E7806=""),"",IFERROR(_xlfn.CONCAT(VLOOKUP(O56,Route_Column!#REF!,2,FALSE),CHAR(34)," probability=",CHAR(34),1/O$4,CHAR(34),CHAR(47),CHAR(62)),"&lt;/routeDistribution&gt;"))</f>
        <v/>
      </c>
    </row>
    <row r="7808" spans="1:5" x14ac:dyDescent="0.25">
      <c r="A7808" t="s">
        <v>2116</v>
      </c>
      <c r="B7808" t="s">
        <v>1234</v>
      </c>
      <c r="E7808" t="str">
        <f>IF(OR(E7807="&lt;/routeDistribution&gt;",E7807=""),"",IFERROR(_xlfn.CONCAT(VLOOKUP(O57,Route_Column!#REF!,2,FALSE),CHAR(34)," probability=",CHAR(34),1/O$4,CHAR(34),CHAR(47),CHAR(62)),"&lt;/routeDistribution&gt;"))</f>
        <v/>
      </c>
    </row>
    <row r="7809" spans="1:5" x14ac:dyDescent="0.25">
      <c r="A7809" t="s">
        <v>2116</v>
      </c>
      <c r="B7809" t="s">
        <v>1235</v>
      </c>
      <c r="E7809" t="str">
        <f>IF(OR(E7808="&lt;/routeDistribution&gt;",E7808=""),"",IFERROR(_xlfn.CONCAT(VLOOKUP(O58,Route_Column!#REF!,2,FALSE),CHAR(34)," probability=",CHAR(34),1/O$4,CHAR(34),CHAR(47),CHAR(62)),"&lt;/routeDistribution&gt;"))</f>
        <v/>
      </c>
    </row>
    <row r="7810" spans="1:5" x14ac:dyDescent="0.25">
      <c r="A7810" t="s">
        <v>2116</v>
      </c>
      <c r="B7810" t="s">
        <v>1235</v>
      </c>
      <c r="E7810" t="str">
        <f>IF(OR(E7809="&lt;/routeDistribution&gt;",E7809=""),"",IFERROR(_xlfn.CONCAT(VLOOKUP(O59,Route_Column!#REF!,2,FALSE),CHAR(34)," probability=",CHAR(34),1/O$4,CHAR(34),CHAR(47),CHAR(62)),"&lt;/routeDistribution&gt;"))</f>
        <v/>
      </c>
    </row>
    <row r="7811" spans="1:5" x14ac:dyDescent="0.25">
      <c r="A7811" t="s">
        <v>2116</v>
      </c>
      <c r="B7811" t="s">
        <v>1236</v>
      </c>
      <c r="E7811" t="str">
        <f>IF(OR(E7810="&lt;/routeDistribution&gt;",E7810=""),"",IFERROR(_xlfn.CONCAT(VLOOKUP(O60,Route_Column!#REF!,2,FALSE),CHAR(34)," probability=",CHAR(34),1/O$4,CHAR(34),CHAR(47),CHAR(62)),"&lt;/routeDistribution&gt;"))</f>
        <v/>
      </c>
    </row>
    <row r="7812" spans="1:5" x14ac:dyDescent="0.25">
      <c r="A7812" t="s">
        <v>2116</v>
      </c>
      <c r="B7812" t="s">
        <v>1236</v>
      </c>
      <c r="E7812" t="str">
        <f>IF(OR(E7811="&lt;/routeDistribution&gt;",E7811=""),"",IFERROR(_xlfn.CONCAT(VLOOKUP(O61,Route_Column!#REF!,2,FALSE),CHAR(34)," probability=",CHAR(34),1/O$4,CHAR(34),CHAR(47),CHAR(62)),"&lt;/routeDistribution&gt;"))</f>
        <v/>
      </c>
    </row>
    <row r="7813" spans="1:5" x14ac:dyDescent="0.25">
      <c r="A7813" t="s">
        <v>2116</v>
      </c>
      <c r="B7813" t="s">
        <v>1237</v>
      </c>
      <c r="E7813" t="str">
        <f>IF(OR(E7812="&lt;/routeDistribution&gt;",E7812=""),"",IFERROR(_xlfn.CONCAT(VLOOKUP(O62,Route_Column!#REF!,2,FALSE),CHAR(34)," probability=",CHAR(34),1/O$4,CHAR(34),CHAR(47),CHAR(62)),"&lt;/routeDistribution&gt;"))</f>
        <v/>
      </c>
    </row>
    <row r="7814" spans="1:5" x14ac:dyDescent="0.25">
      <c r="A7814" t="s">
        <v>2116</v>
      </c>
      <c r="B7814" t="s">
        <v>1237</v>
      </c>
      <c r="E7814" t="str">
        <f>IF(OR(E7813="&lt;/routeDistribution&gt;",E7813=""),"",IFERROR(_xlfn.CONCAT(VLOOKUP(O63,Route_Column!#REF!,2,FALSE),CHAR(34)," probability=",CHAR(34),1/O$4,CHAR(34),CHAR(47),CHAR(62)),"&lt;/routeDistribution&gt;"))</f>
        <v/>
      </c>
    </row>
    <row r="7815" spans="1:5" x14ac:dyDescent="0.25">
      <c r="A7815" t="s">
        <v>2116</v>
      </c>
      <c r="B7815" t="s">
        <v>1238</v>
      </c>
      <c r="E7815" t="s">
        <v>2686</v>
      </c>
    </row>
    <row r="7816" spans="1:5" x14ac:dyDescent="0.25">
      <c r="A7816" t="s">
        <v>2116</v>
      </c>
      <c r="B7816" t="s">
        <v>1238</v>
      </c>
    </row>
    <row r="7817" spans="1:5" x14ac:dyDescent="0.25">
      <c r="A7817" t="s">
        <v>2116</v>
      </c>
      <c r="B7817" t="s">
        <v>1239</v>
      </c>
    </row>
    <row r="7818" spans="1:5" x14ac:dyDescent="0.25">
      <c r="A7818" t="s">
        <v>2116</v>
      </c>
      <c r="B7818" t="s">
        <v>1239</v>
      </c>
      <c r="E7818" t="str">
        <f>_xlfn.CONCAT($E$1,N$2,$F$1)</f>
        <v>&lt;routeDistribution id="MARKET-33rd-to-JFK-EB-2016-RouteProbe"&gt;</v>
      </c>
    </row>
    <row r="7819" spans="1:5" x14ac:dyDescent="0.25">
      <c r="A7819" t="s">
        <v>2116</v>
      </c>
      <c r="B7819" t="s">
        <v>1240</v>
      </c>
      <c r="E7819" t="str">
        <f>IF(OR(E7818="&lt;/routeDistribution&gt;",E7818=""),"",IFERROR(_xlfn.CONCAT(VLOOKUP(N5,Route_Column!#REF!,2,FALSE),CHAR(34)," probability=",CHAR(34),1/N$4,CHAR(34),CHAR(47),CHAR(62)),"&lt;/routeDistribution&gt;"))</f>
        <v>&lt;/routeDistribution&gt;</v>
      </c>
    </row>
    <row r="7820" spans="1:5" x14ac:dyDescent="0.25">
      <c r="A7820" t="s">
        <v>2116</v>
      </c>
      <c r="B7820" t="s">
        <v>1240</v>
      </c>
      <c r="E7820" t="str">
        <f>IF(OR(E7819="&lt;/routeDistribution&gt;",E7819=""),"",IFERROR(_xlfn.CONCAT(VLOOKUP(N6,Route_Column!#REF!,2,FALSE),CHAR(34)," probability=",CHAR(34),1/N$4,CHAR(34),CHAR(47),CHAR(62)),"&lt;/routeDistribution&gt;"))</f>
        <v/>
      </c>
    </row>
    <row r="7821" spans="1:5" x14ac:dyDescent="0.25">
      <c r="A7821" t="s">
        <v>2116</v>
      </c>
      <c r="B7821" t="s">
        <v>1241</v>
      </c>
      <c r="E7821" t="str">
        <f>IF(OR(E7820="&lt;/routeDistribution&gt;",E7820=""),"",IFERROR(_xlfn.CONCAT(VLOOKUP(N7,Route_Column!#REF!,2,FALSE),CHAR(34)," probability=",CHAR(34),1/N$4,CHAR(34),CHAR(47),CHAR(62)),"&lt;/routeDistribution&gt;"))</f>
        <v/>
      </c>
    </row>
    <row r="7822" spans="1:5" x14ac:dyDescent="0.25">
      <c r="A7822" t="s">
        <v>2116</v>
      </c>
      <c r="B7822" t="s">
        <v>1241</v>
      </c>
      <c r="E7822" t="str">
        <f>IF(OR(E7821="&lt;/routeDistribution&gt;",E7821=""),"",IFERROR(_xlfn.CONCAT(VLOOKUP(N8,Route_Column!#REF!,2,FALSE),CHAR(34)," probability=",CHAR(34),1/N$4,CHAR(34),CHAR(47),CHAR(62)),"&lt;/routeDistribution&gt;"))</f>
        <v/>
      </c>
    </row>
    <row r="7823" spans="1:5" x14ac:dyDescent="0.25">
      <c r="A7823" t="s">
        <v>2116</v>
      </c>
      <c r="B7823" t="s">
        <v>1242</v>
      </c>
      <c r="E7823" t="str">
        <f>IF(OR(E7822="&lt;/routeDistribution&gt;",E7822=""),"",IFERROR(_xlfn.CONCAT(VLOOKUP(N9,Route_Column!#REF!,2,FALSE),CHAR(34)," probability=",CHAR(34),1/N$4,CHAR(34),CHAR(47),CHAR(62)),"&lt;/routeDistribution&gt;"))</f>
        <v/>
      </c>
    </row>
    <row r="7824" spans="1:5" x14ac:dyDescent="0.25">
      <c r="A7824" t="s">
        <v>2116</v>
      </c>
      <c r="B7824" t="s">
        <v>1242</v>
      </c>
      <c r="E7824" t="str">
        <f>IF(OR(E7823="&lt;/routeDistribution&gt;",E7823=""),"",IFERROR(_xlfn.CONCAT(VLOOKUP(N10,Route_Column!#REF!,2,FALSE),CHAR(34)," probability=",CHAR(34),1/N$4,CHAR(34),CHAR(47),CHAR(62)),"&lt;/routeDistribution&gt;"))</f>
        <v/>
      </c>
    </row>
    <row r="7825" spans="1:5" x14ac:dyDescent="0.25">
      <c r="A7825" t="s">
        <v>2116</v>
      </c>
      <c r="B7825" t="s">
        <v>1243</v>
      </c>
      <c r="E7825" t="str">
        <f>IF(OR(E7824="&lt;/routeDistribution&gt;",E7824=""),"",IFERROR(_xlfn.CONCAT(VLOOKUP(N11,Route_Column!#REF!,2,FALSE),CHAR(34)," probability=",CHAR(34),1/N$4,CHAR(34),CHAR(47),CHAR(62)),"&lt;/routeDistribution&gt;"))</f>
        <v/>
      </c>
    </row>
    <row r="7826" spans="1:5" x14ac:dyDescent="0.25">
      <c r="A7826" t="s">
        <v>2116</v>
      </c>
      <c r="B7826" t="s">
        <v>1243</v>
      </c>
      <c r="E7826" t="str">
        <f>IF(OR(E7825="&lt;/routeDistribution&gt;",E7825=""),"",IFERROR(_xlfn.CONCAT(VLOOKUP(N12,Route_Column!#REF!,2,FALSE),CHAR(34)," probability=",CHAR(34),1/N$4,CHAR(34),CHAR(47),CHAR(62)),"&lt;/routeDistribution&gt;"))</f>
        <v/>
      </c>
    </row>
    <row r="7827" spans="1:5" x14ac:dyDescent="0.25">
      <c r="A7827" t="s">
        <v>2116</v>
      </c>
      <c r="B7827" t="s">
        <v>1244</v>
      </c>
      <c r="E7827" t="str">
        <f>IF(OR(E7826="&lt;/routeDistribution&gt;",E7826=""),"",IFERROR(_xlfn.CONCAT(VLOOKUP(N13,Route_Column!#REF!,2,FALSE),CHAR(34)," probability=",CHAR(34),1/N$4,CHAR(34),CHAR(47),CHAR(62)),"&lt;/routeDistribution&gt;"))</f>
        <v/>
      </c>
    </row>
    <row r="7828" spans="1:5" x14ac:dyDescent="0.25">
      <c r="A7828" t="s">
        <v>2116</v>
      </c>
      <c r="B7828" t="s">
        <v>1244</v>
      </c>
      <c r="E7828" t="str">
        <f>IF(OR(E7827="&lt;/routeDistribution&gt;",E7827=""),"",IFERROR(_xlfn.CONCAT(VLOOKUP(N14,Route_Column!#REF!,2,FALSE),CHAR(34)," probability=",CHAR(34),1/N$4,CHAR(34),CHAR(47),CHAR(62)),"&lt;/routeDistribution&gt;"))</f>
        <v/>
      </c>
    </row>
    <row r="7829" spans="1:5" x14ac:dyDescent="0.25">
      <c r="A7829" t="s">
        <v>2116</v>
      </c>
      <c r="B7829" t="s">
        <v>1245</v>
      </c>
      <c r="E7829" t="str">
        <f>IF(OR(E7828="&lt;/routeDistribution&gt;",E7828=""),"",IFERROR(_xlfn.CONCAT(VLOOKUP(N15,Route_Column!#REF!,2,FALSE),CHAR(34)," probability=",CHAR(34),1/N$4,CHAR(34),CHAR(47),CHAR(62)),"&lt;/routeDistribution&gt;"))</f>
        <v/>
      </c>
    </row>
    <row r="7830" spans="1:5" x14ac:dyDescent="0.25">
      <c r="A7830" t="s">
        <v>2116</v>
      </c>
      <c r="B7830" t="s">
        <v>1245</v>
      </c>
      <c r="E7830" t="str">
        <f>IF(OR(E7829="&lt;/routeDistribution&gt;",E7829=""),"",IFERROR(_xlfn.CONCAT(VLOOKUP(N16,Route_Column!#REF!,2,FALSE),CHAR(34)," probability=",CHAR(34),1/N$4,CHAR(34),CHAR(47),CHAR(62)),"&lt;/routeDistribution&gt;"))</f>
        <v/>
      </c>
    </row>
    <row r="7831" spans="1:5" x14ac:dyDescent="0.25">
      <c r="A7831" t="s">
        <v>2116</v>
      </c>
      <c r="B7831" t="s">
        <v>1246</v>
      </c>
      <c r="E7831" t="str">
        <f>IF(OR(E7830="&lt;/routeDistribution&gt;",E7830=""),"",IFERROR(_xlfn.CONCAT(VLOOKUP(N17,Route_Column!#REF!,2,FALSE),CHAR(34)," probability=",CHAR(34),1/N$4,CHAR(34),CHAR(47),CHAR(62)),"&lt;/routeDistribution&gt;"))</f>
        <v/>
      </c>
    </row>
    <row r="7832" spans="1:5" x14ac:dyDescent="0.25">
      <c r="A7832" t="s">
        <v>2116</v>
      </c>
      <c r="B7832" t="s">
        <v>1246</v>
      </c>
      <c r="E7832" t="str">
        <f>IF(OR(E7831="&lt;/routeDistribution&gt;",E7831=""),"",IFERROR(_xlfn.CONCAT(VLOOKUP(N18,Route_Column!#REF!,2,FALSE),CHAR(34)," probability=",CHAR(34),1/N$4,CHAR(34),CHAR(47),CHAR(62)),"&lt;/routeDistribution&gt;"))</f>
        <v/>
      </c>
    </row>
    <row r="7833" spans="1:5" x14ac:dyDescent="0.25">
      <c r="A7833" t="s">
        <v>2116</v>
      </c>
      <c r="B7833" t="s">
        <v>1247</v>
      </c>
      <c r="E7833" t="str">
        <f>IF(OR(E7832="&lt;/routeDistribution&gt;",E7832=""),"",IFERROR(_xlfn.CONCAT(VLOOKUP(N19,Route_Column!#REF!,2,FALSE),CHAR(34)," probability=",CHAR(34),1/N$4,CHAR(34),CHAR(47),CHAR(62)),"&lt;/routeDistribution&gt;"))</f>
        <v/>
      </c>
    </row>
    <row r="7834" spans="1:5" x14ac:dyDescent="0.25">
      <c r="A7834" t="s">
        <v>2116</v>
      </c>
      <c r="B7834" t="s">
        <v>1247</v>
      </c>
      <c r="E7834" t="str">
        <f>IF(OR(E7833="&lt;/routeDistribution&gt;",E7833=""),"",IFERROR(_xlfn.CONCAT(VLOOKUP(N20,Route_Column!#REF!,2,FALSE),CHAR(34)," probability=",CHAR(34),1/N$4,CHAR(34),CHAR(47),CHAR(62)),"&lt;/routeDistribution&gt;"))</f>
        <v/>
      </c>
    </row>
    <row r="7835" spans="1:5" x14ac:dyDescent="0.25">
      <c r="A7835" t="s">
        <v>2116</v>
      </c>
      <c r="B7835" t="s">
        <v>1248</v>
      </c>
      <c r="E7835" t="str">
        <f>IF(OR(E7834="&lt;/routeDistribution&gt;",E7834=""),"",IFERROR(_xlfn.CONCAT(VLOOKUP(N21,Route_Column!#REF!,2,FALSE),CHAR(34)," probability=",CHAR(34),1/N$4,CHAR(34),CHAR(47),CHAR(62)),"&lt;/routeDistribution&gt;"))</f>
        <v/>
      </c>
    </row>
    <row r="7836" spans="1:5" x14ac:dyDescent="0.25">
      <c r="A7836" t="s">
        <v>2116</v>
      </c>
      <c r="B7836" t="s">
        <v>1248</v>
      </c>
      <c r="E7836" t="str">
        <f>IF(OR(E7835="&lt;/routeDistribution&gt;",E7835=""),"",IFERROR(_xlfn.CONCAT(VLOOKUP(N22,Route_Column!#REF!,2,FALSE),CHAR(34)," probability=",CHAR(34),1/N$4,CHAR(34),CHAR(47),CHAR(62)),"&lt;/routeDistribution&gt;"))</f>
        <v/>
      </c>
    </row>
    <row r="7837" spans="1:5" x14ac:dyDescent="0.25">
      <c r="A7837" t="s">
        <v>2116</v>
      </c>
      <c r="B7837" t="s">
        <v>1249</v>
      </c>
      <c r="E7837" t="str">
        <f>IF(OR(E7836="&lt;/routeDistribution&gt;",E7836=""),"",IFERROR(_xlfn.CONCAT(VLOOKUP(N23,Route_Column!#REF!,2,FALSE),CHAR(34)," probability=",CHAR(34),1/N$4,CHAR(34),CHAR(47),CHAR(62)),"&lt;/routeDistribution&gt;"))</f>
        <v/>
      </c>
    </row>
    <row r="7838" spans="1:5" x14ac:dyDescent="0.25">
      <c r="A7838" t="s">
        <v>2116</v>
      </c>
      <c r="B7838" t="s">
        <v>1249</v>
      </c>
      <c r="E7838" t="str">
        <f>IF(OR(E7837="&lt;/routeDistribution&gt;",E7837=""),"",IFERROR(_xlfn.CONCAT(VLOOKUP(N24,Route_Column!#REF!,2,FALSE),CHAR(34)," probability=",CHAR(34),1/N$4,CHAR(34),CHAR(47),CHAR(62)),"&lt;/routeDistribution&gt;"))</f>
        <v/>
      </c>
    </row>
    <row r="7839" spans="1:5" x14ac:dyDescent="0.25">
      <c r="A7839" t="s">
        <v>2116</v>
      </c>
      <c r="B7839" t="s">
        <v>1250</v>
      </c>
      <c r="E7839" t="str">
        <f>IF(OR(E7838="&lt;/routeDistribution&gt;",E7838=""),"",IFERROR(_xlfn.CONCAT(VLOOKUP(N25,Route_Column!#REF!,2,FALSE),CHAR(34)," probability=",CHAR(34),1/N$4,CHAR(34),CHAR(47),CHAR(62)),"&lt;/routeDistribution&gt;"))</f>
        <v/>
      </c>
    </row>
    <row r="7840" spans="1:5" x14ac:dyDescent="0.25">
      <c r="A7840" t="s">
        <v>2116</v>
      </c>
      <c r="B7840" t="s">
        <v>1250</v>
      </c>
      <c r="E7840" t="str">
        <f>IF(OR(E7839="&lt;/routeDistribution&gt;",E7839=""),"",IFERROR(_xlfn.CONCAT(VLOOKUP(N26,Route_Column!#REF!,2,FALSE),CHAR(34)," probability=",CHAR(34),1/N$4,CHAR(34),CHAR(47),CHAR(62)),"&lt;/routeDistribution&gt;"))</f>
        <v/>
      </c>
    </row>
    <row r="7841" spans="1:5" x14ac:dyDescent="0.25">
      <c r="A7841" s="11" t="s">
        <v>1445</v>
      </c>
      <c r="B7841" t="s">
        <v>1090</v>
      </c>
      <c r="E7841" t="str">
        <f>IF(OR(E7840="&lt;/routeDistribution&gt;",E7840=""),"",IFERROR(_xlfn.CONCAT(VLOOKUP(N27,Route_Column!#REF!,2,FALSE),CHAR(34)," probability=",CHAR(34),1/N$4,CHAR(34),CHAR(47),CHAR(62)),"&lt;/routeDistribution&gt;"))</f>
        <v/>
      </c>
    </row>
    <row r="7842" spans="1:5" x14ac:dyDescent="0.25">
      <c r="A7842" t="s">
        <v>1445</v>
      </c>
      <c r="B7842" t="s">
        <v>1097</v>
      </c>
      <c r="E7842" t="str">
        <f>IF(OR(E7841="&lt;/routeDistribution&gt;",E7841=""),"",IFERROR(_xlfn.CONCAT(VLOOKUP(N28,Route_Column!#REF!,2,FALSE),CHAR(34)," probability=",CHAR(34),1/N$4,CHAR(34),CHAR(47),CHAR(62)),"&lt;/routeDistribution&gt;"))</f>
        <v/>
      </c>
    </row>
    <row r="7843" spans="1:5" x14ac:dyDescent="0.25">
      <c r="A7843" t="s">
        <v>1445</v>
      </c>
      <c r="B7843" t="s">
        <v>1098</v>
      </c>
      <c r="E7843" t="str">
        <f>IF(OR(E7842="&lt;/routeDistribution&gt;",E7842=""),"",IFERROR(_xlfn.CONCAT(VLOOKUP(N29,Route_Column!#REF!,2,FALSE),CHAR(34)," probability=",CHAR(34),1/N$4,CHAR(34),CHAR(47),CHAR(62)),"&lt;/routeDistribution&gt;"))</f>
        <v/>
      </c>
    </row>
    <row r="7844" spans="1:5" x14ac:dyDescent="0.25">
      <c r="A7844" t="s">
        <v>1445</v>
      </c>
      <c r="B7844" t="s">
        <v>1111</v>
      </c>
      <c r="E7844" t="str">
        <f>IF(OR(E7843="&lt;/routeDistribution&gt;",E7843=""),"",IFERROR(_xlfn.CONCAT(VLOOKUP(N30,Route_Column!#REF!,2,FALSE),CHAR(34)," probability=",CHAR(34),1/N$4,CHAR(34),CHAR(47),CHAR(62)),"&lt;/routeDistribution&gt;"))</f>
        <v/>
      </c>
    </row>
    <row r="7845" spans="1:5" x14ac:dyDescent="0.25">
      <c r="A7845" t="s">
        <v>1445</v>
      </c>
      <c r="B7845" t="s">
        <v>1171</v>
      </c>
      <c r="E7845" t="str">
        <f>IF(OR(E7844="&lt;/routeDistribution&gt;",E7844=""),"",IFERROR(_xlfn.CONCAT(VLOOKUP(N31,Route_Column!#REF!,2,FALSE),CHAR(34)," probability=",CHAR(34),1/N$4,CHAR(34),CHAR(47),CHAR(62)),"&lt;/routeDistribution&gt;"))</f>
        <v/>
      </c>
    </row>
    <row r="7846" spans="1:5" x14ac:dyDescent="0.25">
      <c r="A7846" t="s">
        <v>1445</v>
      </c>
      <c r="B7846" t="s">
        <v>1182</v>
      </c>
      <c r="E7846" t="str">
        <f>IF(OR(E7845="&lt;/routeDistribution&gt;",E7845=""),"",IFERROR(_xlfn.CONCAT(VLOOKUP(N32,Route_Column!#REF!,2,FALSE),CHAR(34)," probability=",CHAR(34),1/N$4,CHAR(34),CHAR(47),CHAR(62)),"&lt;/routeDistribution&gt;"))</f>
        <v/>
      </c>
    </row>
    <row r="7847" spans="1:5" x14ac:dyDescent="0.25">
      <c r="A7847" t="s">
        <v>1445</v>
      </c>
      <c r="B7847" t="s">
        <v>1191</v>
      </c>
      <c r="E7847" t="str">
        <f>IF(OR(E7846="&lt;/routeDistribution&gt;",E7846=""),"",IFERROR(_xlfn.CONCAT(VLOOKUP(N33,Route_Column!#REF!,2,FALSE),CHAR(34)," probability=",CHAR(34),1/N$4,CHAR(34),CHAR(47),CHAR(62)),"&lt;/routeDistribution&gt;"))</f>
        <v/>
      </c>
    </row>
    <row r="7848" spans="1:5" x14ac:dyDescent="0.25">
      <c r="A7848" s="11" t="s">
        <v>1463</v>
      </c>
      <c r="B7848" t="s">
        <v>1091</v>
      </c>
      <c r="E7848" t="str">
        <f>IF(OR(E7847="&lt;/routeDistribution&gt;",E7847=""),"",IFERROR(_xlfn.CONCAT(VLOOKUP(N34,Route_Column!#REF!,2,FALSE),CHAR(34)," probability=",CHAR(34),1/N$4,CHAR(34),CHAR(47),CHAR(62)),"&lt;/routeDistribution&gt;"))</f>
        <v/>
      </c>
    </row>
    <row r="7849" spans="1:5" x14ac:dyDescent="0.25">
      <c r="A7849" t="s">
        <v>1463</v>
      </c>
      <c r="B7849" t="s">
        <v>1092</v>
      </c>
      <c r="E7849" t="str">
        <f>IF(OR(E7848="&lt;/routeDistribution&gt;",E7848=""),"",IFERROR(_xlfn.CONCAT(VLOOKUP(N35,Route_Column!#REF!,2,FALSE),CHAR(34)," probability=",CHAR(34),1/N$4,CHAR(34),CHAR(47),CHAR(62)),"&lt;/routeDistribution&gt;"))</f>
        <v/>
      </c>
    </row>
    <row r="7850" spans="1:5" x14ac:dyDescent="0.25">
      <c r="A7850" t="s">
        <v>1463</v>
      </c>
      <c r="B7850" t="s">
        <v>1093</v>
      </c>
      <c r="E7850" t="str">
        <f>IF(OR(E7849="&lt;/routeDistribution&gt;",E7849=""),"",IFERROR(_xlfn.CONCAT(VLOOKUP(N36,Route_Column!#REF!,2,FALSE),CHAR(34)," probability=",CHAR(34),1/N$4,CHAR(34),CHAR(47),CHAR(62)),"&lt;/routeDistribution&gt;"))</f>
        <v/>
      </c>
    </row>
    <row r="7851" spans="1:5" x14ac:dyDescent="0.25">
      <c r="A7851" t="s">
        <v>1463</v>
      </c>
      <c r="B7851" t="s">
        <v>1094</v>
      </c>
      <c r="E7851" t="str">
        <f>IF(OR(E7850="&lt;/routeDistribution&gt;",E7850=""),"",IFERROR(_xlfn.CONCAT(VLOOKUP(N37,Route_Column!#REF!,2,FALSE),CHAR(34)," probability=",CHAR(34),1/N$4,CHAR(34),CHAR(47),CHAR(62)),"&lt;/routeDistribution&gt;"))</f>
        <v/>
      </c>
    </row>
    <row r="7852" spans="1:5" x14ac:dyDescent="0.25">
      <c r="A7852" t="s">
        <v>1463</v>
      </c>
      <c r="B7852" t="s">
        <v>1095</v>
      </c>
      <c r="E7852" t="str">
        <f>IF(OR(E7851="&lt;/routeDistribution&gt;",E7851=""),"",IFERROR(_xlfn.CONCAT(VLOOKUP(N38,Route_Column!#REF!,2,FALSE),CHAR(34)," probability=",CHAR(34),1/N$4,CHAR(34),CHAR(47),CHAR(62)),"&lt;/routeDistribution&gt;"))</f>
        <v/>
      </c>
    </row>
    <row r="7853" spans="1:5" x14ac:dyDescent="0.25">
      <c r="A7853" t="s">
        <v>1463</v>
      </c>
      <c r="B7853" t="s">
        <v>1096</v>
      </c>
      <c r="E7853" t="str">
        <f>IF(OR(E7852="&lt;/routeDistribution&gt;",E7852=""),"",IFERROR(_xlfn.CONCAT(VLOOKUP(N39,Route_Column!#REF!,2,FALSE),CHAR(34)," probability=",CHAR(34),1/N$4,CHAR(34),CHAR(47),CHAR(62)),"&lt;/routeDistribution&gt;"))</f>
        <v/>
      </c>
    </row>
    <row r="7854" spans="1:5" x14ac:dyDescent="0.25">
      <c r="A7854" t="s">
        <v>1463</v>
      </c>
      <c r="B7854" t="s">
        <v>1097</v>
      </c>
      <c r="E7854" t="str">
        <f>IF(OR(E7853="&lt;/routeDistribution&gt;",E7853=""),"",IFERROR(_xlfn.CONCAT(VLOOKUP(N40,Route_Column!#REF!,2,FALSE),CHAR(34)," probability=",CHAR(34),1/N$4,CHAR(34),CHAR(47),CHAR(62)),"&lt;/routeDistribution&gt;"))</f>
        <v/>
      </c>
    </row>
    <row r="7855" spans="1:5" x14ac:dyDescent="0.25">
      <c r="A7855" t="s">
        <v>1463</v>
      </c>
      <c r="B7855" t="s">
        <v>1098</v>
      </c>
      <c r="E7855" t="str">
        <f>IF(OR(E7854="&lt;/routeDistribution&gt;",E7854=""),"",IFERROR(_xlfn.CONCAT(VLOOKUP(N41,Route_Column!#REF!,2,FALSE),CHAR(34)," probability=",CHAR(34),1/N$4,CHAR(34),CHAR(47),CHAR(62)),"&lt;/routeDistribution&gt;"))</f>
        <v/>
      </c>
    </row>
    <row r="7856" spans="1:5" x14ac:dyDescent="0.25">
      <c r="A7856" t="s">
        <v>1463</v>
      </c>
      <c r="B7856" t="s">
        <v>1099</v>
      </c>
      <c r="E7856" t="str">
        <f>IF(OR(E7855="&lt;/routeDistribution&gt;",E7855=""),"",IFERROR(_xlfn.CONCAT(VLOOKUP(N42,Route_Column!#REF!,2,FALSE),CHAR(34)," probability=",CHAR(34),1/N$4,CHAR(34),CHAR(47),CHAR(62)),"&lt;/routeDistribution&gt;"))</f>
        <v/>
      </c>
    </row>
    <row r="7857" spans="1:5" x14ac:dyDescent="0.25">
      <c r="A7857" t="s">
        <v>1463</v>
      </c>
      <c r="B7857" t="s">
        <v>1100</v>
      </c>
      <c r="E7857" t="str">
        <f>IF(OR(E7856="&lt;/routeDistribution&gt;",E7856=""),"",IFERROR(_xlfn.CONCAT(VLOOKUP(N43,Route_Column!#REF!,2,FALSE),CHAR(34)," probability=",CHAR(34),1/N$4,CHAR(34),CHAR(47),CHAR(62)),"&lt;/routeDistribution&gt;"))</f>
        <v/>
      </c>
    </row>
    <row r="7858" spans="1:5" x14ac:dyDescent="0.25">
      <c r="A7858" t="s">
        <v>1463</v>
      </c>
      <c r="B7858" t="s">
        <v>1101</v>
      </c>
      <c r="E7858" t="str">
        <f>IF(OR(E7857="&lt;/routeDistribution&gt;",E7857=""),"",IFERROR(_xlfn.CONCAT(VLOOKUP(N44,Route_Column!#REF!,2,FALSE),CHAR(34)," probability=",CHAR(34),1/N$4,CHAR(34),CHAR(47),CHAR(62)),"&lt;/routeDistribution&gt;"))</f>
        <v/>
      </c>
    </row>
    <row r="7859" spans="1:5" x14ac:dyDescent="0.25">
      <c r="A7859" t="s">
        <v>1463</v>
      </c>
      <c r="B7859" t="s">
        <v>1102</v>
      </c>
      <c r="E7859" t="str">
        <f>IF(OR(E7858="&lt;/routeDistribution&gt;",E7858=""),"",IFERROR(_xlfn.CONCAT(VLOOKUP(N45,Route_Column!#REF!,2,FALSE),CHAR(34)," probability=",CHAR(34),1/N$4,CHAR(34),CHAR(47),CHAR(62)),"&lt;/routeDistribution&gt;"))</f>
        <v/>
      </c>
    </row>
    <row r="7860" spans="1:5" x14ac:dyDescent="0.25">
      <c r="A7860" t="s">
        <v>1463</v>
      </c>
      <c r="B7860" t="s">
        <v>1102</v>
      </c>
      <c r="E7860" t="str">
        <f>IF(OR(E7859="&lt;/routeDistribution&gt;",E7859=""),"",IFERROR(_xlfn.CONCAT(VLOOKUP(N46,Route_Column!#REF!,2,FALSE),CHAR(34)," probability=",CHAR(34),1/N$4,CHAR(34),CHAR(47),CHAR(62)),"&lt;/routeDistribution&gt;"))</f>
        <v/>
      </c>
    </row>
    <row r="7861" spans="1:5" x14ac:dyDescent="0.25">
      <c r="A7861" t="s">
        <v>1463</v>
      </c>
      <c r="B7861" t="s">
        <v>1103</v>
      </c>
      <c r="E7861" t="str">
        <f>IF(OR(E7860="&lt;/routeDistribution&gt;",E7860=""),"",IFERROR(_xlfn.CONCAT(VLOOKUP(N47,Route_Column!#REF!,2,FALSE),CHAR(34)," probability=",CHAR(34),1/N$4,CHAR(34),CHAR(47),CHAR(62)),"&lt;/routeDistribution&gt;"))</f>
        <v/>
      </c>
    </row>
    <row r="7862" spans="1:5" x14ac:dyDescent="0.25">
      <c r="A7862" t="s">
        <v>1463</v>
      </c>
      <c r="B7862" t="s">
        <v>1104</v>
      </c>
      <c r="E7862" t="str">
        <f>IF(OR(E7861="&lt;/routeDistribution&gt;",E7861=""),"",IFERROR(_xlfn.CONCAT(VLOOKUP(N48,Route_Column!#REF!,2,FALSE),CHAR(34)," probability=",CHAR(34),1/N$4,CHAR(34),CHAR(47),CHAR(62)),"&lt;/routeDistribution&gt;"))</f>
        <v/>
      </c>
    </row>
    <row r="7863" spans="1:5" x14ac:dyDescent="0.25">
      <c r="A7863" t="s">
        <v>1463</v>
      </c>
      <c r="B7863" t="s">
        <v>1105</v>
      </c>
      <c r="E7863" t="str">
        <f>IF(OR(E7862="&lt;/routeDistribution&gt;",E7862=""),"",IFERROR(_xlfn.CONCAT(VLOOKUP(N49,Route_Column!#REF!,2,FALSE),CHAR(34)," probability=",CHAR(34),1/N$4,CHAR(34),CHAR(47),CHAR(62)),"&lt;/routeDistribution&gt;"))</f>
        <v/>
      </c>
    </row>
    <row r="7864" spans="1:5" x14ac:dyDescent="0.25">
      <c r="A7864" t="s">
        <v>1463</v>
      </c>
      <c r="B7864" t="s">
        <v>1106</v>
      </c>
      <c r="E7864" t="str">
        <f>IF(OR(E7863="&lt;/routeDistribution&gt;",E7863=""),"",IFERROR(_xlfn.CONCAT(VLOOKUP(N50,Route_Column!#REF!,2,FALSE),CHAR(34)," probability=",CHAR(34),1/N$4,CHAR(34),CHAR(47),CHAR(62)),"&lt;/routeDistribution&gt;"))</f>
        <v/>
      </c>
    </row>
    <row r="7865" spans="1:5" x14ac:dyDescent="0.25">
      <c r="A7865" t="s">
        <v>1463</v>
      </c>
      <c r="B7865" t="s">
        <v>1107</v>
      </c>
      <c r="E7865" t="str">
        <f>IF(OR(E7864="&lt;/routeDistribution&gt;",E7864=""),"",IFERROR(_xlfn.CONCAT(VLOOKUP(N51,Route_Column!#REF!,2,FALSE),CHAR(34)," probability=",CHAR(34),1/N$4,CHAR(34),CHAR(47),CHAR(62)),"&lt;/routeDistribution&gt;"))</f>
        <v/>
      </c>
    </row>
    <row r="7866" spans="1:5" x14ac:dyDescent="0.25">
      <c r="A7866" t="s">
        <v>1463</v>
      </c>
      <c r="B7866" t="s">
        <v>1108</v>
      </c>
      <c r="E7866" t="str">
        <f>IF(OR(E7865="&lt;/routeDistribution&gt;",E7865=""),"",IFERROR(_xlfn.CONCAT(VLOOKUP(N52,Route_Column!#REF!,2,FALSE),CHAR(34)," probability=",CHAR(34),1/N$4,CHAR(34),CHAR(47),CHAR(62)),"&lt;/routeDistribution&gt;"))</f>
        <v/>
      </c>
    </row>
    <row r="7867" spans="1:5" x14ac:dyDescent="0.25">
      <c r="A7867" t="s">
        <v>1463</v>
      </c>
      <c r="B7867" t="s">
        <v>1109</v>
      </c>
      <c r="E7867" t="str">
        <f>IF(OR(E7866="&lt;/routeDistribution&gt;",E7866=""),"",IFERROR(_xlfn.CONCAT(VLOOKUP(N53,Route_Column!#REF!,2,FALSE),CHAR(34)," probability=",CHAR(34),1/N$4,CHAR(34),CHAR(47),CHAR(62)),"&lt;/routeDistribution&gt;"))</f>
        <v/>
      </c>
    </row>
    <row r="7868" spans="1:5" x14ac:dyDescent="0.25">
      <c r="A7868" t="s">
        <v>1463</v>
      </c>
      <c r="B7868" t="s">
        <v>1110</v>
      </c>
      <c r="E7868" t="str">
        <f>IF(OR(E7867="&lt;/routeDistribution&gt;",E7867=""),"",IFERROR(_xlfn.CONCAT(VLOOKUP(N54,Route_Column!#REF!,2,FALSE),CHAR(34)," probability=",CHAR(34),1/N$4,CHAR(34),CHAR(47),CHAR(62)),"&lt;/routeDistribution&gt;"))</f>
        <v/>
      </c>
    </row>
    <row r="7869" spans="1:5" x14ac:dyDescent="0.25">
      <c r="A7869" t="s">
        <v>1463</v>
      </c>
      <c r="B7869" t="s">
        <v>1122</v>
      </c>
      <c r="E7869" t="str">
        <f>IF(OR(E7868="&lt;/routeDistribution&gt;",E7868=""),"",IFERROR(_xlfn.CONCAT(VLOOKUP(N55,Route_Column!#REF!,2,FALSE),CHAR(34)," probability=",CHAR(34),1/N$4,CHAR(34),CHAR(47),CHAR(62)),"&lt;/routeDistribution&gt;"))</f>
        <v/>
      </c>
    </row>
    <row r="7870" spans="1:5" x14ac:dyDescent="0.25">
      <c r="A7870" t="s">
        <v>1463</v>
      </c>
      <c r="B7870" t="s">
        <v>1209</v>
      </c>
      <c r="E7870" t="str">
        <f>IF(OR(E7869="&lt;/routeDistribution&gt;",E7869=""),"",IFERROR(_xlfn.CONCAT(VLOOKUP(N56,Route_Column!#REF!,2,FALSE),CHAR(34)," probability=",CHAR(34),1/N$4,CHAR(34),CHAR(47),CHAR(62)),"&lt;/routeDistribution&gt;"))</f>
        <v/>
      </c>
    </row>
    <row r="7871" spans="1:5" x14ac:dyDescent="0.25">
      <c r="A7871" t="s">
        <v>1463</v>
      </c>
      <c r="B7871" t="s">
        <v>1210</v>
      </c>
      <c r="E7871" t="str">
        <f>IF(OR(E7870="&lt;/routeDistribution&gt;",E7870=""),"",IFERROR(_xlfn.CONCAT(VLOOKUP(N57,Route_Column!#REF!,2,FALSE),CHAR(34)," probability=",CHAR(34),1/N$4,CHAR(34),CHAR(47),CHAR(62)),"&lt;/routeDistribution&gt;"))</f>
        <v/>
      </c>
    </row>
    <row r="7872" spans="1:5" x14ac:dyDescent="0.25">
      <c r="A7872" t="s">
        <v>1463</v>
      </c>
      <c r="B7872" t="s">
        <v>1215</v>
      </c>
      <c r="E7872" t="str">
        <f>IF(OR(E7871="&lt;/routeDistribution&gt;",E7871=""),"",IFERROR(_xlfn.CONCAT(VLOOKUP(N58,Route_Column!#REF!,2,FALSE),CHAR(34)," probability=",CHAR(34),1/N$4,CHAR(34),CHAR(47),CHAR(62)),"&lt;/routeDistribution&gt;"))</f>
        <v/>
      </c>
    </row>
    <row r="7873" spans="1:5" x14ac:dyDescent="0.25">
      <c r="A7873" s="11" t="s">
        <v>1464</v>
      </c>
      <c r="B7873" t="s">
        <v>1091</v>
      </c>
      <c r="E7873" t="str">
        <f>IF(OR(E7872="&lt;/routeDistribution&gt;",E7872=""),"",IFERROR(_xlfn.CONCAT(VLOOKUP(N59,Route_Column!#REF!,2,FALSE),CHAR(34)," probability=",CHAR(34),1/N$4,CHAR(34),CHAR(47),CHAR(62)),"&lt;/routeDistribution&gt;"))</f>
        <v/>
      </c>
    </row>
    <row r="7874" spans="1:5" x14ac:dyDescent="0.25">
      <c r="A7874" t="s">
        <v>1464</v>
      </c>
      <c r="B7874" t="s">
        <v>1092</v>
      </c>
      <c r="E7874" t="str">
        <f>IF(OR(E7873="&lt;/routeDistribution&gt;",E7873=""),"",IFERROR(_xlfn.CONCAT(VLOOKUP(N60,Route_Column!#REF!,2,FALSE),CHAR(34)," probability=",CHAR(34),1/N$4,CHAR(34),CHAR(47),CHAR(62)),"&lt;/routeDistribution&gt;"))</f>
        <v/>
      </c>
    </row>
    <row r="7875" spans="1:5" x14ac:dyDescent="0.25">
      <c r="A7875" t="s">
        <v>1464</v>
      </c>
      <c r="B7875" t="s">
        <v>1093</v>
      </c>
      <c r="E7875" t="str">
        <f>IF(OR(E7874="&lt;/routeDistribution&gt;",E7874=""),"",IFERROR(_xlfn.CONCAT(VLOOKUP(N61,Route_Column!#REF!,2,FALSE),CHAR(34)," probability=",CHAR(34),1/N$4,CHAR(34),CHAR(47),CHAR(62)),"&lt;/routeDistribution&gt;"))</f>
        <v/>
      </c>
    </row>
    <row r="7876" spans="1:5" x14ac:dyDescent="0.25">
      <c r="A7876" t="s">
        <v>1464</v>
      </c>
      <c r="B7876" t="s">
        <v>1094</v>
      </c>
      <c r="E7876" t="str">
        <f>IF(OR(E7875="&lt;/routeDistribution&gt;",E7875=""),"",IFERROR(_xlfn.CONCAT(VLOOKUP(N62,Route_Column!#REF!,2,FALSE),CHAR(34)," probability=",CHAR(34),1/N$4,CHAR(34),CHAR(47),CHAR(62)),"&lt;/routeDistribution&gt;"))</f>
        <v/>
      </c>
    </row>
    <row r="7877" spans="1:5" x14ac:dyDescent="0.25">
      <c r="A7877" t="s">
        <v>1464</v>
      </c>
      <c r="B7877" t="s">
        <v>1095</v>
      </c>
      <c r="E7877" t="str">
        <f>IF(OR(E7876="&lt;/routeDistribution&gt;",E7876=""),"",IFERROR(_xlfn.CONCAT(VLOOKUP(N63,Route_Column!#REF!,2,FALSE),CHAR(34)," probability=",CHAR(34),1/N$4,CHAR(34),CHAR(47),CHAR(62)),"&lt;/routeDistribution&gt;"))</f>
        <v/>
      </c>
    </row>
    <row r="7878" spans="1:5" x14ac:dyDescent="0.25">
      <c r="A7878" t="s">
        <v>1464</v>
      </c>
      <c r="B7878" t="s">
        <v>1096</v>
      </c>
      <c r="E7878" t="str">
        <f>_xlfn.CONCAT($E$1,M$2,$F$1)</f>
        <v>&lt;routeDistribution id="MARKET-JKF-to-33rd-WB-2016-RouteProbe"&gt;</v>
      </c>
    </row>
    <row r="7879" spans="1:5" x14ac:dyDescent="0.25">
      <c r="A7879" t="s">
        <v>1464</v>
      </c>
      <c r="B7879" t="s">
        <v>1097</v>
      </c>
      <c r="E7879" t="str">
        <f>IF(OR(E7878="&lt;/routeDistribution&gt;",E7878=""),"",IFERROR(_xlfn.CONCAT(VLOOKUP(M5,Route_Column!#REF!,2,FALSE),CHAR(34)," probability=",CHAR(34),1/M$4,CHAR(34),CHAR(47),CHAR(62)),"&lt;/routeDistribution&gt;"))</f>
        <v>&lt;/routeDistribution&gt;</v>
      </c>
    </row>
    <row r="7880" spans="1:5" x14ac:dyDescent="0.25">
      <c r="A7880" t="s">
        <v>1464</v>
      </c>
      <c r="B7880" t="s">
        <v>1098</v>
      </c>
      <c r="E7880" t="str">
        <f>IF(OR(E7879="&lt;/routeDistribution&gt;",E7879=""),"",IFERROR(_xlfn.CONCAT(VLOOKUP(M6,Route_Column!#REF!,2,FALSE),CHAR(34)," probability=",CHAR(34),1/M$4,CHAR(34),CHAR(47),CHAR(62)),"&lt;/routeDistribution&gt;"))</f>
        <v/>
      </c>
    </row>
    <row r="7881" spans="1:5" x14ac:dyDescent="0.25">
      <c r="A7881" t="s">
        <v>1464</v>
      </c>
      <c r="B7881" t="s">
        <v>1099</v>
      </c>
      <c r="E7881" t="str">
        <f>IF(OR(E7880="&lt;/routeDistribution&gt;",E7880=""),"",IFERROR(_xlfn.CONCAT(VLOOKUP(M7,Route_Column!#REF!,2,FALSE),CHAR(34)," probability=",CHAR(34),1/M$4,CHAR(34),CHAR(47),CHAR(62)),"&lt;/routeDistribution&gt;"))</f>
        <v/>
      </c>
    </row>
    <row r="7882" spans="1:5" x14ac:dyDescent="0.25">
      <c r="A7882" t="s">
        <v>1464</v>
      </c>
      <c r="B7882" t="s">
        <v>1100</v>
      </c>
      <c r="E7882" t="str">
        <f>IF(OR(E7881="&lt;/routeDistribution&gt;",E7881=""),"",IFERROR(_xlfn.CONCAT(VLOOKUP(M8,Route_Column!#REF!,2,FALSE),CHAR(34)," probability=",CHAR(34),1/M$4,CHAR(34),CHAR(47),CHAR(62)),"&lt;/routeDistribution&gt;"))</f>
        <v/>
      </c>
    </row>
    <row r="7883" spans="1:5" x14ac:dyDescent="0.25">
      <c r="A7883" t="s">
        <v>1464</v>
      </c>
      <c r="B7883" t="s">
        <v>1101</v>
      </c>
      <c r="E7883" t="str">
        <f>IF(OR(E7882="&lt;/routeDistribution&gt;",E7882=""),"",IFERROR(_xlfn.CONCAT(VLOOKUP(M9,Route_Column!#REF!,2,FALSE),CHAR(34)," probability=",CHAR(34),1/M$4,CHAR(34),CHAR(47),CHAR(62)),"&lt;/routeDistribution&gt;"))</f>
        <v/>
      </c>
    </row>
    <row r="7884" spans="1:5" x14ac:dyDescent="0.25">
      <c r="A7884" t="s">
        <v>1464</v>
      </c>
      <c r="B7884" t="s">
        <v>1102</v>
      </c>
      <c r="E7884" t="str">
        <f>IF(OR(E7883="&lt;/routeDistribution&gt;",E7883=""),"",IFERROR(_xlfn.CONCAT(VLOOKUP(M10,Route_Column!#REF!,2,FALSE),CHAR(34)," probability=",CHAR(34),1/M$4,CHAR(34),CHAR(47),CHAR(62)),"&lt;/routeDistribution&gt;"))</f>
        <v/>
      </c>
    </row>
    <row r="7885" spans="1:5" x14ac:dyDescent="0.25">
      <c r="A7885" t="s">
        <v>1464</v>
      </c>
      <c r="B7885" t="s">
        <v>1103</v>
      </c>
      <c r="E7885" t="str">
        <f>IF(OR(E7884="&lt;/routeDistribution&gt;",E7884=""),"",IFERROR(_xlfn.CONCAT(VLOOKUP(M11,Route_Column!#REF!,2,FALSE),CHAR(34)," probability=",CHAR(34),1/M$4,CHAR(34),CHAR(47),CHAR(62)),"&lt;/routeDistribution&gt;"))</f>
        <v/>
      </c>
    </row>
    <row r="7886" spans="1:5" x14ac:dyDescent="0.25">
      <c r="A7886" t="s">
        <v>1464</v>
      </c>
      <c r="B7886" t="s">
        <v>1104</v>
      </c>
      <c r="E7886" t="str">
        <f>IF(OR(E7885="&lt;/routeDistribution&gt;",E7885=""),"",IFERROR(_xlfn.CONCAT(VLOOKUP(M12,Route_Column!#REF!,2,FALSE),CHAR(34)," probability=",CHAR(34),1/M$4,CHAR(34),CHAR(47),CHAR(62)),"&lt;/routeDistribution&gt;"))</f>
        <v/>
      </c>
    </row>
    <row r="7887" spans="1:5" x14ac:dyDescent="0.25">
      <c r="A7887" t="s">
        <v>1464</v>
      </c>
      <c r="B7887" t="s">
        <v>1105</v>
      </c>
      <c r="E7887" t="str">
        <f>IF(OR(E7886="&lt;/routeDistribution&gt;",E7886=""),"",IFERROR(_xlfn.CONCAT(VLOOKUP(M13,Route_Column!#REF!,2,FALSE),CHAR(34)," probability=",CHAR(34),1/M$4,CHAR(34),CHAR(47),CHAR(62)),"&lt;/routeDistribution&gt;"))</f>
        <v/>
      </c>
    </row>
    <row r="7888" spans="1:5" x14ac:dyDescent="0.25">
      <c r="A7888" t="s">
        <v>1464</v>
      </c>
      <c r="B7888" t="s">
        <v>1106</v>
      </c>
      <c r="E7888" t="str">
        <f>IF(OR(E7887="&lt;/routeDistribution&gt;",E7887=""),"",IFERROR(_xlfn.CONCAT(VLOOKUP(M14,Route_Column!#REF!,2,FALSE),CHAR(34)," probability=",CHAR(34),1/M$4,CHAR(34),CHAR(47),CHAR(62)),"&lt;/routeDistribution&gt;"))</f>
        <v/>
      </c>
    </row>
    <row r="7889" spans="1:5" x14ac:dyDescent="0.25">
      <c r="A7889" t="s">
        <v>1464</v>
      </c>
      <c r="B7889" t="s">
        <v>1107</v>
      </c>
      <c r="E7889" t="str">
        <f>IF(OR(E7888="&lt;/routeDistribution&gt;",E7888=""),"",IFERROR(_xlfn.CONCAT(VLOOKUP(M15,Route_Column!#REF!,2,FALSE),CHAR(34)," probability=",CHAR(34),1/M$4,CHAR(34),CHAR(47),CHAR(62)),"&lt;/routeDistribution&gt;"))</f>
        <v/>
      </c>
    </row>
    <row r="7890" spans="1:5" x14ac:dyDescent="0.25">
      <c r="A7890" t="s">
        <v>1464</v>
      </c>
      <c r="B7890" t="s">
        <v>1108</v>
      </c>
      <c r="E7890" t="str">
        <f>IF(OR(E7889="&lt;/routeDistribution&gt;",E7889=""),"",IFERROR(_xlfn.CONCAT(VLOOKUP(M16,Route_Column!#REF!,2,FALSE),CHAR(34)," probability=",CHAR(34),1/M$4,CHAR(34),CHAR(47),CHAR(62)),"&lt;/routeDistribution&gt;"))</f>
        <v/>
      </c>
    </row>
    <row r="7891" spans="1:5" x14ac:dyDescent="0.25">
      <c r="A7891" t="s">
        <v>2333</v>
      </c>
      <c r="B7891" t="s">
        <v>1223</v>
      </c>
      <c r="E7891" t="str">
        <f>IF(OR(E7890="&lt;/routeDistribution&gt;",E7890=""),"",IFERROR(_xlfn.CONCAT(VLOOKUP(M17,Route_Column!#REF!,2,FALSE),CHAR(34)," probability=",CHAR(34),1/M$4,CHAR(34),CHAR(47),CHAR(62)),"&lt;/routeDistribution&gt;"))</f>
        <v/>
      </c>
    </row>
    <row r="7892" spans="1:5" x14ac:dyDescent="0.25">
      <c r="A7892" t="s">
        <v>2333</v>
      </c>
      <c r="B7892" t="s">
        <v>1242</v>
      </c>
      <c r="E7892" t="str">
        <f>IF(OR(E7891="&lt;/routeDistribution&gt;",E7891=""),"",IFERROR(_xlfn.CONCAT(VLOOKUP(M18,Route_Column!#REF!,2,FALSE),CHAR(34)," probability=",CHAR(34),1/M$4,CHAR(34),CHAR(47),CHAR(62)),"&lt;/routeDistribution&gt;"))</f>
        <v/>
      </c>
    </row>
    <row r="7893" spans="1:5" x14ac:dyDescent="0.25">
      <c r="A7893" t="s">
        <v>2333</v>
      </c>
      <c r="B7893" t="s">
        <v>1245</v>
      </c>
      <c r="E7893" t="str">
        <f>IF(OR(E7892="&lt;/routeDistribution&gt;",E7892=""),"",IFERROR(_xlfn.CONCAT(VLOOKUP(M19,Route_Column!#REF!,2,FALSE),CHAR(34)," probability=",CHAR(34),1/M$4,CHAR(34),CHAR(47),CHAR(62)),"&lt;/routeDistribution&gt;"))</f>
        <v/>
      </c>
    </row>
    <row r="7894" spans="1:5" x14ac:dyDescent="0.25">
      <c r="A7894" t="s">
        <v>2333</v>
      </c>
      <c r="B7894" t="s">
        <v>1250</v>
      </c>
      <c r="E7894" t="str">
        <f>IF(OR(E7893="&lt;/routeDistribution&gt;",E7893=""),"",IFERROR(_xlfn.CONCAT(VLOOKUP(M20,Route_Column!#REF!,2,FALSE),CHAR(34)," probability=",CHAR(34),1/M$4,CHAR(34),CHAR(47),CHAR(62)),"&lt;/routeDistribution&gt;"))</f>
        <v/>
      </c>
    </row>
    <row r="7895" spans="1:5" x14ac:dyDescent="0.25">
      <c r="A7895" t="s">
        <v>2356</v>
      </c>
      <c r="B7895" t="s">
        <v>1242</v>
      </c>
      <c r="E7895" t="str">
        <f>IF(OR(E7894="&lt;/routeDistribution&gt;",E7894=""),"",IFERROR(_xlfn.CONCAT(VLOOKUP(M21,Route_Column!#REF!,2,FALSE),CHAR(34)," probability=",CHAR(34),1/M$4,CHAR(34),CHAR(47),CHAR(62)),"&lt;/routeDistribution&gt;"))</f>
        <v/>
      </c>
    </row>
    <row r="7896" spans="1:5" x14ac:dyDescent="0.25">
      <c r="A7896" t="s">
        <v>2356</v>
      </c>
      <c r="B7896" t="s">
        <v>1243</v>
      </c>
      <c r="E7896" t="str">
        <f>IF(OR(E7895="&lt;/routeDistribution&gt;",E7895=""),"",IFERROR(_xlfn.CONCAT(VLOOKUP(M22,Route_Column!#REF!,2,FALSE),CHAR(34)," probability=",CHAR(34),1/M$4,CHAR(34),CHAR(47),CHAR(62)),"&lt;/routeDistribution&gt;"))</f>
        <v/>
      </c>
    </row>
    <row r="7897" spans="1:5" x14ac:dyDescent="0.25">
      <c r="A7897" t="s">
        <v>2356</v>
      </c>
      <c r="B7897" t="s">
        <v>1245</v>
      </c>
      <c r="E7897" t="str">
        <f>IF(OR(E7896="&lt;/routeDistribution&gt;",E7896=""),"",IFERROR(_xlfn.CONCAT(VLOOKUP(M23,Route_Column!#REF!,2,FALSE),CHAR(34)," probability=",CHAR(34),1/M$4,CHAR(34),CHAR(47),CHAR(62)),"&lt;/routeDistribution&gt;"))</f>
        <v/>
      </c>
    </row>
    <row r="7898" spans="1:5" x14ac:dyDescent="0.25">
      <c r="A7898" t="s">
        <v>2356</v>
      </c>
      <c r="B7898" t="s">
        <v>1250</v>
      </c>
      <c r="E7898" t="str">
        <f>IF(OR(E7897="&lt;/routeDistribution&gt;",E7897=""),"",IFERROR(_xlfn.CONCAT(VLOOKUP(M24,Route_Column!#REF!,2,FALSE),CHAR(34)," probability=",CHAR(34),1/M$4,CHAR(34),CHAR(47),CHAR(62)),"&lt;/routeDistribution&gt;"))</f>
        <v/>
      </c>
    </row>
    <row r="7899" spans="1:5" x14ac:dyDescent="0.25">
      <c r="A7899" t="s">
        <v>1621</v>
      </c>
      <c r="B7899" t="s">
        <v>1096</v>
      </c>
      <c r="E7899" t="str">
        <f>IF(OR(E7898="&lt;/routeDistribution&gt;",E7898=""),"",IFERROR(_xlfn.CONCAT(VLOOKUP(M25,Route_Column!#REF!,2,FALSE),CHAR(34)," probability=",CHAR(34),1/M$4,CHAR(34),CHAR(47),CHAR(62)),"&lt;/routeDistribution&gt;"))</f>
        <v/>
      </c>
    </row>
    <row r="7900" spans="1:5" x14ac:dyDescent="0.25">
      <c r="A7900" t="s">
        <v>1621</v>
      </c>
      <c r="B7900" t="s">
        <v>1121</v>
      </c>
      <c r="E7900" t="str">
        <f>IF(OR(E7899="&lt;/routeDistribution&gt;",E7899=""),"",IFERROR(_xlfn.CONCAT(VLOOKUP(M26,Route_Column!#REF!,2,FALSE),CHAR(34)," probability=",CHAR(34),1/M$4,CHAR(34),CHAR(47),CHAR(62)),"&lt;/routeDistribution&gt;"))</f>
        <v/>
      </c>
    </row>
    <row r="7901" spans="1:5" x14ac:dyDescent="0.25">
      <c r="A7901" t="s">
        <v>1621</v>
      </c>
      <c r="B7901" t="s">
        <v>1163</v>
      </c>
      <c r="E7901" t="str">
        <f>IF(OR(E7900="&lt;/routeDistribution&gt;",E7900=""),"",IFERROR(_xlfn.CONCAT(VLOOKUP(M27,Route_Column!#REF!,2,FALSE),CHAR(34)," probability=",CHAR(34),1/M$4,CHAR(34),CHAR(47),CHAR(62)),"&lt;/routeDistribution&gt;"))</f>
        <v/>
      </c>
    </row>
    <row r="7902" spans="1:5" x14ac:dyDescent="0.25">
      <c r="A7902" t="s">
        <v>1621</v>
      </c>
      <c r="B7902" t="s">
        <v>1168</v>
      </c>
      <c r="E7902" t="str">
        <f>IF(OR(E7901="&lt;/routeDistribution&gt;",E7901=""),"",IFERROR(_xlfn.CONCAT(VLOOKUP(M28,Route_Column!#REF!,2,FALSE),CHAR(34)," probability=",CHAR(34),1/M$4,CHAR(34),CHAR(47),CHAR(62)),"&lt;/routeDistribution&gt;"))</f>
        <v/>
      </c>
    </row>
    <row r="7903" spans="1:5" x14ac:dyDescent="0.25">
      <c r="A7903" t="s">
        <v>1621</v>
      </c>
      <c r="B7903" t="s">
        <v>1170</v>
      </c>
      <c r="E7903" t="str">
        <f>IF(OR(E7902="&lt;/routeDistribution&gt;",E7902=""),"",IFERROR(_xlfn.CONCAT(VLOOKUP(M29,Route_Column!#REF!,2,FALSE),CHAR(34)," probability=",CHAR(34),1/M$4,CHAR(34),CHAR(47),CHAR(62)),"&lt;/routeDistribution&gt;"))</f>
        <v/>
      </c>
    </row>
    <row r="7904" spans="1:5" x14ac:dyDescent="0.25">
      <c r="A7904" t="s">
        <v>1621</v>
      </c>
      <c r="B7904" t="s">
        <v>1196</v>
      </c>
      <c r="E7904" t="str">
        <f>IF(OR(E7903="&lt;/routeDistribution&gt;",E7903=""),"",IFERROR(_xlfn.CONCAT(VLOOKUP(M30,Route_Column!#REF!,2,FALSE),CHAR(34)," probability=",CHAR(34),1/M$4,CHAR(34),CHAR(47),CHAR(62)),"&lt;/routeDistribution&gt;"))</f>
        <v/>
      </c>
    </row>
    <row r="7905" spans="1:5" x14ac:dyDescent="0.25">
      <c r="A7905" t="s">
        <v>1621</v>
      </c>
      <c r="B7905" t="s">
        <v>1241</v>
      </c>
      <c r="E7905" t="str">
        <f>IF(OR(E7904="&lt;/routeDistribution&gt;",E7904=""),"",IFERROR(_xlfn.CONCAT(VLOOKUP(M31,Route_Column!#REF!,2,FALSE),CHAR(34)," probability=",CHAR(34),1/M$4,CHAR(34),CHAR(47),CHAR(62)),"&lt;/routeDistribution&gt;"))</f>
        <v/>
      </c>
    </row>
    <row r="7906" spans="1:5" x14ac:dyDescent="0.25">
      <c r="A7906" t="s">
        <v>1622</v>
      </c>
      <c r="B7906" t="s">
        <v>1096</v>
      </c>
      <c r="E7906" t="str">
        <f>IF(OR(E7905="&lt;/routeDistribution&gt;",E7905=""),"",IFERROR(_xlfn.CONCAT(VLOOKUP(M32,Route_Column!#REF!,2,FALSE),CHAR(34)," probability=",CHAR(34),1/M$4,CHAR(34),CHAR(47),CHAR(62)),"&lt;/routeDistribution&gt;"))</f>
        <v/>
      </c>
    </row>
    <row r="7907" spans="1:5" x14ac:dyDescent="0.25">
      <c r="A7907" t="s">
        <v>1622</v>
      </c>
      <c r="B7907" t="s">
        <v>1121</v>
      </c>
      <c r="E7907" t="str">
        <f>IF(OR(E7906="&lt;/routeDistribution&gt;",E7906=""),"",IFERROR(_xlfn.CONCAT(VLOOKUP(M33,Route_Column!#REF!,2,FALSE),CHAR(34)," probability=",CHAR(34),1/M$4,CHAR(34),CHAR(47),CHAR(62)),"&lt;/routeDistribution&gt;"))</f>
        <v/>
      </c>
    </row>
    <row r="7908" spans="1:5" x14ac:dyDescent="0.25">
      <c r="A7908" t="s">
        <v>1622</v>
      </c>
      <c r="B7908" t="s">
        <v>1163</v>
      </c>
      <c r="E7908" t="str">
        <f>IF(OR(E7907="&lt;/routeDistribution&gt;",E7907=""),"",IFERROR(_xlfn.CONCAT(VLOOKUP(M34,Route_Column!#REF!,2,FALSE),CHAR(34)," probability=",CHAR(34),1/M$4,CHAR(34),CHAR(47),CHAR(62)),"&lt;/routeDistribution&gt;"))</f>
        <v/>
      </c>
    </row>
    <row r="7909" spans="1:5" x14ac:dyDescent="0.25">
      <c r="A7909" t="s">
        <v>1622</v>
      </c>
      <c r="B7909" t="s">
        <v>1168</v>
      </c>
      <c r="E7909" t="str">
        <f>IF(OR(E7908="&lt;/routeDistribution&gt;",E7908=""),"",IFERROR(_xlfn.CONCAT(VLOOKUP(M35,Route_Column!#REF!,2,FALSE),CHAR(34)," probability=",CHAR(34),1/M$4,CHAR(34),CHAR(47),CHAR(62)),"&lt;/routeDistribution&gt;"))</f>
        <v/>
      </c>
    </row>
    <row r="7910" spans="1:5" x14ac:dyDescent="0.25">
      <c r="A7910" t="s">
        <v>1622</v>
      </c>
      <c r="B7910" t="s">
        <v>1170</v>
      </c>
      <c r="E7910" t="str">
        <f>IF(OR(E7909="&lt;/routeDistribution&gt;",E7909=""),"",IFERROR(_xlfn.CONCAT(VLOOKUP(M36,Route_Column!#REF!,2,FALSE),CHAR(34)," probability=",CHAR(34),1/M$4,CHAR(34),CHAR(47),CHAR(62)),"&lt;/routeDistribution&gt;"))</f>
        <v/>
      </c>
    </row>
    <row r="7911" spans="1:5" x14ac:dyDescent="0.25">
      <c r="A7911" t="s">
        <v>1622</v>
      </c>
      <c r="B7911" t="s">
        <v>1196</v>
      </c>
      <c r="E7911" t="str">
        <f>IF(OR(E7910="&lt;/routeDistribution&gt;",E7910=""),"",IFERROR(_xlfn.CONCAT(VLOOKUP(M37,Route_Column!#REF!,2,FALSE),CHAR(34)," probability=",CHAR(34),1/M$4,CHAR(34),CHAR(47),CHAR(62)),"&lt;/routeDistribution&gt;"))</f>
        <v/>
      </c>
    </row>
    <row r="7912" spans="1:5" x14ac:dyDescent="0.25">
      <c r="A7912" t="s">
        <v>1622</v>
      </c>
      <c r="B7912" t="s">
        <v>1241</v>
      </c>
      <c r="E7912" t="str">
        <f>IF(OR(E7911="&lt;/routeDistribution&gt;",E7911=""),"",IFERROR(_xlfn.CONCAT(VLOOKUP(M38,Route_Column!#REF!,2,FALSE),CHAR(34)," probability=",CHAR(34),1/M$4,CHAR(34),CHAR(47),CHAR(62)),"&lt;/routeDistribution&gt;"))</f>
        <v/>
      </c>
    </row>
    <row r="7913" spans="1:5" x14ac:dyDescent="0.25">
      <c r="A7913" t="s">
        <v>1970</v>
      </c>
      <c r="B7913" t="s">
        <v>1116</v>
      </c>
      <c r="E7913" t="str">
        <f>IF(OR(E7912="&lt;/routeDistribution&gt;",E7912=""),"",IFERROR(_xlfn.CONCAT(VLOOKUP(M39,Route_Column!#REF!,2,FALSE),CHAR(34)," probability=",CHAR(34),1/M$4,CHAR(34),CHAR(47),CHAR(62)),"&lt;/routeDistribution&gt;"))</f>
        <v/>
      </c>
    </row>
    <row r="7914" spans="1:5" x14ac:dyDescent="0.25">
      <c r="A7914" t="s">
        <v>1970</v>
      </c>
      <c r="B7914" t="s">
        <v>1117</v>
      </c>
      <c r="E7914" t="str">
        <f>IF(OR(E7913="&lt;/routeDistribution&gt;",E7913=""),"",IFERROR(_xlfn.CONCAT(VLOOKUP(M40,Route_Column!#REF!,2,FALSE),CHAR(34)," probability=",CHAR(34),1/M$4,CHAR(34),CHAR(47),CHAR(62)),"&lt;/routeDistribution&gt;"))</f>
        <v/>
      </c>
    </row>
    <row r="7915" spans="1:5" x14ac:dyDescent="0.25">
      <c r="A7915" t="s">
        <v>1970</v>
      </c>
      <c r="B7915" t="s">
        <v>1121</v>
      </c>
      <c r="E7915" t="str">
        <f>IF(OR(E7914="&lt;/routeDistribution&gt;",E7914=""),"",IFERROR(_xlfn.CONCAT(VLOOKUP(M41,Route_Column!#REF!,2,FALSE),CHAR(34)," probability=",CHAR(34),1/M$4,CHAR(34),CHAR(47),CHAR(62)),"&lt;/routeDistribution&gt;"))</f>
        <v/>
      </c>
    </row>
    <row r="7916" spans="1:5" x14ac:dyDescent="0.25">
      <c r="A7916" t="s">
        <v>1970</v>
      </c>
      <c r="B7916" t="s">
        <v>1235</v>
      </c>
      <c r="E7916" t="str">
        <f>IF(OR(E7915="&lt;/routeDistribution&gt;",E7915=""),"",IFERROR(_xlfn.CONCAT(VLOOKUP(M42,Route_Column!#REF!,2,FALSE),CHAR(34)," probability=",CHAR(34),1/M$4,CHAR(34),CHAR(47),CHAR(62)),"&lt;/routeDistribution&gt;"))</f>
        <v/>
      </c>
    </row>
    <row r="7917" spans="1:5" x14ac:dyDescent="0.25">
      <c r="A7917" t="s">
        <v>1971</v>
      </c>
      <c r="B7917" t="s">
        <v>1122</v>
      </c>
      <c r="E7917" t="str">
        <f>IF(OR(E7916="&lt;/routeDistribution&gt;",E7916=""),"",IFERROR(_xlfn.CONCAT(VLOOKUP(M43,Route_Column!#REF!,2,FALSE),CHAR(34)," probability=",CHAR(34),1/M$4,CHAR(34),CHAR(47),CHAR(62)),"&lt;/routeDistribution&gt;"))</f>
        <v/>
      </c>
    </row>
    <row r="7918" spans="1:5" x14ac:dyDescent="0.25">
      <c r="A7918" t="s">
        <v>1971</v>
      </c>
      <c r="B7918" t="s">
        <v>1123</v>
      </c>
      <c r="E7918" t="str">
        <f>IF(OR(E7917="&lt;/routeDistribution&gt;",E7917=""),"",IFERROR(_xlfn.CONCAT(VLOOKUP(M44,Route_Column!#REF!,2,FALSE),CHAR(34)," probability=",CHAR(34),1/M$4,CHAR(34),CHAR(47),CHAR(62)),"&lt;/routeDistribution&gt;"))</f>
        <v/>
      </c>
    </row>
    <row r="7919" spans="1:5" x14ac:dyDescent="0.25">
      <c r="A7919" t="s">
        <v>1971</v>
      </c>
      <c r="B7919" t="s">
        <v>1124</v>
      </c>
      <c r="E7919" t="str">
        <f>IF(OR(E7918="&lt;/routeDistribution&gt;",E7918=""),"",IFERROR(_xlfn.CONCAT(VLOOKUP(M45,Route_Column!#REF!,2,FALSE),CHAR(34)," probability=",CHAR(34),1/M$4,CHAR(34),CHAR(47),CHAR(62)),"&lt;/routeDistribution&gt;"))</f>
        <v/>
      </c>
    </row>
    <row r="7920" spans="1:5" x14ac:dyDescent="0.25">
      <c r="A7920" t="s">
        <v>1971</v>
      </c>
      <c r="B7920" t="s">
        <v>1126</v>
      </c>
      <c r="E7920" t="str">
        <f>IF(OR(E7919="&lt;/routeDistribution&gt;",E7919=""),"",IFERROR(_xlfn.CONCAT(VLOOKUP(M46,Route_Column!#REF!,2,FALSE),CHAR(34)," probability=",CHAR(34),1/M$4,CHAR(34),CHAR(47),CHAR(62)),"&lt;/routeDistribution&gt;"))</f>
        <v/>
      </c>
    </row>
    <row r="7921" spans="1:5" x14ac:dyDescent="0.25">
      <c r="A7921" t="s">
        <v>1802</v>
      </c>
      <c r="B7921" t="s">
        <v>1107</v>
      </c>
      <c r="E7921" t="str">
        <f>IF(OR(E7920="&lt;/routeDistribution&gt;",E7920=""),"",IFERROR(_xlfn.CONCAT(VLOOKUP(M47,Route_Column!#REF!,2,FALSE),CHAR(34)," probability=",CHAR(34),1/M$4,CHAR(34),CHAR(47),CHAR(62)),"&lt;/routeDistribution&gt;"))</f>
        <v/>
      </c>
    </row>
    <row r="7922" spans="1:5" x14ac:dyDescent="0.25">
      <c r="A7922" t="s">
        <v>1802</v>
      </c>
      <c r="B7922" t="s">
        <v>1122</v>
      </c>
      <c r="E7922" t="str">
        <f>IF(OR(E7921="&lt;/routeDistribution&gt;",E7921=""),"",IFERROR(_xlfn.CONCAT(VLOOKUP(M48,Route_Column!#REF!,2,FALSE),CHAR(34)," probability=",CHAR(34),1/M$4,CHAR(34),CHAR(47),CHAR(62)),"&lt;/routeDistribution&gt;"))</f>
        <v/>
      </c>
    </row>
    <row r="7923" spans="1:5" x14ac:dyDescent="0.25">
      <c r="A7923" t="s">
        <v>1802</v>
      </c>
      <c r="B7923" t="s">
        <v>1123</v>
      </c>
      <c r="E7923" t="str">
        <f>IF(OR(E7922="&lt;/routeDistribution&gt;",E7922=""),"",IFERROR(_xlfn.CONCAT(VLOOKUP(M49,Route_Column!#REF!,2,FALSE),CHAR(34)," probability=",CHAR(34),1/M$4,CHAR(34),CHAR(47),CHAR(62)),"&lt;/routeDistribution&gt;"))</f>
        <v/>
      </c>
    </row>
    <row r="7924" spans="1:5" x14ac:dyDescent="0.25">
      <c r="A7924" t="s">
        <v>1802</v>
      </c>
      <c r="B7924" t="s">
        <v>1124</v>
      </c>
      <c r="E7924" t="str">
        <f>IF(OR(E7923="&lt;/routeDistribution&gt;",E7923=""),"",IFERROR(_xlfn.CONCAT(VLOOKUP(M50,Route_Column!#REF!,2,FALSE),CHAR(34)," probability=",CHAR(34),1/M$4,CHAR(34),CHAR(47),CHAR(62)),"&lt;/routeDistribution&gt;"))</f>
        <v/>
      </c>
    </row>
    <row r="7925" spans="1:5" x14ac:dyDescent="0.25">
      <c r="A7925" t="s">
        <v>1802</v>
      </c>
      <c r="B7925" t="s">
        <v>1126</v>
      </c>
      <c r="E7925" t="str">
        <f>IF(OR(E7924="&lt;/routeDistribution&gt;",E7924=""),"",IFERROR(_xlfn.CONCAT(VLOOKUP(M51,Route_Column!#REF!,2,FALSE),CHAR(34)," probability=",CHAR(34),1/M$4,CHAR(34),CHAR(47),CHAR(62)),"&lt;/routeDistribution&gt;"))</f>
        <v/>
      </c>
    </row>
    <row r="7926" spans="1:5" x14ac:dyDescent="0.25">
      <c r="A7926" t="s">
        <v>1802</v>
      </c>
      <c r="B7926" t="s">
        <v>1142</v>
      </c>
      <c r="E7926" t="str">
        <f>IF(OR(E7925="&lt;/routeDistribution&gt;",E7925=""),"",IFERROR(_xlfn.CONCAT(VLOOKUP(M52,Route_Column!#REF!,2,FALSE),CHAR(34)," probability=",CHAR(34),1/M$4,CHAR(34),CHAR(47),CHAR(62)),"&lt;/routeDistribution&gt;"))</f>
        <v/>
      </c>
    </row>
    <row r="7927" spans="1:5" x14ac:dyDescent="0.25">
      <c r="A7927" t="s">
        <v>1802</v>
      </c>
      <c r="B7927" t="s">
        <v>1148</v>
      </c>
      <c r="E7927" t="str">
        <f>IF(OR(E7926="&lt;/routeDistribution&gt;",E7926=""),"",IFERROR(_xlfn.CONCAT(VLOOKUP(M53,Route_Column!#REF!,2,FALSE),CHAR(34)," probability=",CHAR(34),1/M$4,CHAR(34),CHAR(47),CHAR(62)),"&lt;/routeDistribution&gt;"))</f>
        <v/>
      </c>
    </row>
    <row r="7928" spans="1:5" x14ac:dyDescent="0.25">
      <c r="A7928" t="s">
        <v>1802</v>
      </c>
      <c r="B7928" t="s">
        <v>1169</v>
      </c>
      <c r="E7928" t="str">
        <f>IF(OR(E7927="&lt;/routeDistribution&gt;",E7927=""),"",IFERROR(_xlfn.CONCAT(VLOOKUP(M54,Route_Column!#REF!,2,FALSE),CHAR(34)," probability=",CHAR(34),1/M$4,CHAR(34),CHAR(47),CHAR(62)),"&lt;/routeDistribution&gt;"))</f>
        <v/>
      </c>
    </row>
    <row r="7929" spans="1:5" x14ac:dyDescent="0.25">
      <c r="A7929" t="s">
        <v>1802</v>
      </c>
      <c r="B7929" t="s">
        <v>1178</v>
      </c>
      <c r="E7929" t="str">
        <f>IF(OR(E7928="&lt;/routeDistribution&gt;",E7928=""),"",IFERROR(_xlfn.CONCAT(VLOOKUP(M55,Route_Column!#REF!,2,FALSE),CHAR(34)," probability=",CHAR(34),1/M$4,CHAR(34),CHAR(47),CHAR(62)),"&lt;/routeDistribution&gt;"))</f>
        <v/>
      </c>
    </row>
    <row r="7930" spans="1:5" x14ac:dyDescent="0.25">
      <c r="A7930" t="s">
        <v>1802</v>
      </c>
      <c r="B7930" t="s">
        <v>1202</v>
      </c>
      <c r="E7930" t="str">
        <f>IF(OR(E7929="&lt;/routeDistribution&gt;",E7929=""),"",IFERROR(_xlfn.CONCAT(VLOOKUP(M56,Route_Column!#REF!,2,FALSE),CHAR(34)," probability=",CHAR(34),1/M$4,CHAR(34),CHAR(47),CHAR(62)),"&lt;/routeDistribution&gt;"))</f>
        <v/>
      </c>
    </row>
    <row r="7931" spans="1:5" x14ac:dyDescent="0.25">
      <c r="A7931" t="s">
        <v>1802</v>
      </c>
      <c r="B7931" t="s">
        <v>1243</v>
      </c>
      <c r="E7931" t="str">
        <f>IF(OR(E7930="&lt;/routeDistribution&gt;",E7930=""),"",IFERROR(_xlfn.CONCAT(VLOOKUP(M57,Route_Column!#REF!,2,FALSE),CHAR(34)," probability=",CHAR(34),1/M$4,CHAR(34),CHAR(47),CHAR(62)),"&lt;/routeDistribution&gt;"))</f>
        <v/>
      </c>
    </row>
    <row r="7932" spans="1:5" x14ac:dyDescent="0.25">
      <c r="A7932" s="11" t="s">
        <v>1519</v>
      </c>
      <c r="B7932" t="s">
        <v>1091</v>
      </c>
      <c r="E7932" t="str">
        <f>IF(OR(E7931="&lt;/routeDistribution&gt;",E7931=""),"",IFERROR(_xlfn.CONCAT(VLOOKUP(M58,Route_Column!#REF!,2,FALSE),CHAR(34)," probability=",CHAR(34),1/M$4,CHAR(34),CHAR(47),CHAR(62)),"&lt;/routeDistribution&gt;"))</f>
        <v/>
      </c>
    </row>
    <row r="7933" spans="1:5" x14ac:dyDescent="0.25">
      <c r="A7933" t="s">
        <v>1519</v>
      </c>
      <c r="B7933" t="s">
        <v>1092</v>
      </c>
      <c r="E7933" t="str">
        <f>IF(OR(E7932="&lt;/routeDistribution&gt;",E7932=""),"",IFERROR(_xlfn.CONCAT(VLOOKUP(M59,Route_Column!#REF!,2,FALSE),CHAR(34)," probability=",CHAR(34),1/M$4,CHAR(34),CHAR(47),CHAR(62)),"&lt;/routeDistribution&gt;"))</f>
        <v/>
      </c>
    </row>
    <row r="7934" spans="1:5" x14ac:dyDescent="0.25">
      <c r="A7934" t="s">
        <v>1519</v>
      </c>
      <c r="B7934" t="s">
        <v>1093</v>
      </c>
      <c r="E7934" t="str">
        <f>IF(OR(E7933="&lt;/routeDistribution&gt;",E7933=""),"",IFERROR(_xlfn.CONCAT(VLOOKUP(M60,Route_Column!#REF!,2,FALSE),CHAR(34)," probability=",CHAR(34),1/M$4,CHAR(34),CHAR(47),CHAR(62)),"&lt;/routeDistribution&gt;"))</f>
        <v/>
      </c>
    </row>
    <row r="7935" spans="1:5" x14ac:dyDescent="0.25">
      <c r="A7935" t="s">
        <v>1519</v>
      </c>
      <c r="B7935" t="s">
        <v>1094</v>
      </c>
      <c r="E7935" t="str">
        <f>IF(OR(E7934="&lt;/routeDistribution&gt;",E7934=""),"",IFERROR(_xlfn.CONCAT(VLOOKUP(M61,Route_Column!#REF!,2,FALSE),CHAR(34)," probability=",CHAR(34),1/M$4,CHAR(34),CHAR(47),CHAR(62)),"&lt;/routeDistribution&gt;"))</f>
        <v/>
      </c>
    </row>
    <row r="7936" spans="1:5" x14ac:dyDescent="0.25">
      <c r="A7936" t="s">
        <v>1519</v>
      </c>
      <c r="B7936" t="s">
        <v>1095</v>
      </c>
      <c r="E7936" t="str">
        <f>IF(OR(E7935="&lt;/routeDistribution&gt;",E7935=""),"",IFERROR(_xlfn.CONCAT(VLOOKUP(M62,Route_Column!#REF!,2,FALSE),CHAR(34)," probability=",CHAR(34),1/M$4,CHAR(34),CHAR(47),CHAR(62)),"&lt;/routeDistribution&gt;"))</f>
        <v/>
      </c>
    </row>
    <row r="7937" spans="1:5" x14ac:dyDescent="0.25">
      <c r="A7937" t="s">
        <v>1519</v>
      </c>
      <c r="B7937" t="s">
        <v>1102</v>
      </c>
      <c r="E7937" t="str">
        <f>IF(OR(E7936="&lt;/routeDistribution&gt;",E7936=""),"",IFERROR(_xlfn.CONCAT(VLOOKUP(M63,Route_Column!#REF!,2,FALSE),CHAR(34)," probability=",CHAR(34),1/M$4,CHAR(34),CHAR(47),CHAR(62)),"&lt;/routeDistribution&gt;"))</f>
        <v/>
      </c>
    </row>
    <row r="7938" spans="1:5" x14ac:dyDescent="0.25">
      <c r="A7938" t="s">
        <v>1519</v>
      </c>
      <c r="B7938" t="s">
        <v>1102</v>
      </c>
      <c r="E7938" t="s">
        <v>2686</v>
      </c>
    </row>
    <row r="7939" spans="1:5" x14ac:dyDescent="0.25">
      <c r="A7939" t="s">
        <v>1519</v>
      </c>
      <c r="B7939" t="s">
        <v>1110</v>
      </c>
    </row>
    <row r="7940" spans="1:5" x14ac:dyDescent="0.25">
      <c r="A7940" t="s">
        <v>1519</v>
      </c>
      <c r="B7940" t="s">
        <v>1110</v>
      </c>
    </row>
    <row r="7941" spans="1:5" x14ac:dyDescent="0.25">
      <c r="A7941" t="s">
        <v>1519</v>
      </c>
      <c r="B7941" t="s">
        <v>1112</v>
      </c>
      <c r="E7941" t="str">
        <f>_xlfn.CONCAT($E$1,L$2,$F$1)</f>
        <v>&lt;routeDistribution id="JFK-boltbus-30th-market-WB-2016-RouteProbe"&gt;</v>
      </c>
    </row>
    <row r="7942" spans="1:5" x14ac:dyDescent="0.25">
      <c r="A7942" t="s">
        <v>1519</v>
      </c>
      <c r="B7942" t="s">
        <v>1130</v>
      </c>
      <c r="E7942" t="str">
        <f>IF(OR(E7941="&lt;/routeDistribution&gt;",E7941=""),"",IFERROR(_xlfn.CONCAT(VLOOKUP(L5,Route_Column!#REF!,2,FALSE),CHAR(34)," probability=",CHAR(34),1/L$4,CHAR(34),CHAR(47),CHAR(62)),"&lt;/routeDistribution&gt;"))</f>
        <v>&lt;/routeDistribution&gt;</v>
      </c>
    </row>
    <row r="7943" spans="1:5" x14ac:dyDescent="0.25">
      <c r="A7943" t="s">
        <v>1519</v>
      </c>
      <c r="B7943" t="s">
        <v>1131</v>
      </c>
      <c r="E7943" t="str">
        <f>IF(OR(E7942="&lt;/routeDistribution&gt;",E7942=""),"",IFERROR(_xlfn.CONCAT(VLOOKUP(L6,Route_Column!#REF!,2,FALSE),CHAR(34)," probability=",CHAR(34),1/L$4,CHAR(34),CHAR(47),CHAR(62)),"&lt;/routeDistribution&gt;"))</f>
        <v/>
      </c>
    </row>
    <row r="7944" spans="1:5" x14ac:dyDescent="0.25">
      <c r="A7944" t="s">
        <v>1519</v>
      </c>
      <c r="B7944" t="s">
        <v>1132</v>
      </c>
      <c r="E7944" t="str">
        <f>IF(OR(E7943="&lt;/routeDistribution&gt;",E7943=""),"",IFERROR(_xlfn.CONCAT(VLOOKUP(L7,Route_Column!#REF!,2,FALSE),CHAR(34)," probability=",CHAR(34),1/L$4,CHAR(34),CHAR(47),CHAR(62)),"&lt;/routeDistribution&gt;"))</f>
        <v/>
      </c>
    </row>
    <row r="7945" spans="1:5" x14ac:dyDescent="0.25">
      <c r="A7945" t="s">
        <v>1519</v>
      </c>
      <c r="B7945" t="s">
        <v>1134</v>
      </c>
      <c r="E7945" t="str">
        <f>IF(OR(E7944="&lt;/routeDistribution&gt;",E7944=""),"",IFERROR(_xlfn.CONCAT(VLOOKUP(L8,Route_Column!#REF!,2,FALSE),CHAR(34)," probability=",CHAR(34),1/L$4,CHAR(34),CHAR(47),CHAR(62)),"&lt;/routeDistribution&gt;"))</f>
        <v/>
      </c>
    </row>
    <row r="7946" spans="1:5" x14ac:dyDescent="0.25">
      <c r="A7946" t="s">
        <v>1519</v>
      </c>
      <c r="B7946" t="s">
        <v>1137</v>
      </c>
      <c r="E7946" t="str">
        <f>IF(OR(E7945="&lt;/routeDistribution&gt;",E7945=""),"",IFERROR(_xlfn.CONCAT(VLOOKUP(L9,Route_Column!#REF!,2,FALSE),CHAR(34)," probability=",CHAR(34),1/L$4,CHAR(34),CHAR(47),CHAR(62)),"&lt;/routeDistribution&gt;"))</f>
        <v/>
      </c>
    </row>
    <row r="7947" spans="1:5" x14ac:dyDescent="0.25">
      <c r="A7947" t="s">
        <v>1519</v>
      </c>
      <c r="B7947" t="s">
        <v>1138</v>
      </c>
      <c r="E7947" t="str">
        <f>IF(OR(E7946="&lt;/routeDistribution&gt;",E7946=""),"",IFERROR(_xlfn.CONCAT(VLOOKUP(L10,Route_Column!#REF!,2,FALSE),CHAR(34)," probability=",CHAR(34),1/L$4,CHAR(34),CHAR(47),CHAR(62)),"&lt;/routeDistribution&gt;"))</f>
        <v/>
      </c>
    </row>
    <row r="7948" spans="1:5" x14ac:dyDescent="0.25">
      <c r="A7948" t="s">
        <v>1519</v>
      </c>
      <c r="B7948" t="s">
        <v>1145</v>
      </c>
      <c r="E7948" t="str">
        <f>IF(OR(E7947="&lt;/routeDistribution&gt;",E7947=""),"",IFERROR(_xlfn.CONCAT(VLOOKUP(L11,Route_Column!#REF!,2,FALSE),CHAR(34)," probability=",CHAR(34),1/L$4,CHAR(34),CHAR(47),CHAR(62)),"&lt;/routeDistribution&gt;"))</f>
        <v/>
      </c>
    </row>
    <row r="7949" spans="1:5" x14ac:dyDescent="0.25">
      <c r="A7949" t="s">
        <v>1519</v>
      </c>
      <c r="B7949" t="s">
        <v>1154</v>
      </c>
      <c r="E7949" t="str">
        <f>IF(OR(E7948="&lt;/routeDistribution&gt;",E7948=""),"",IFERROR(_xlfn.CONCAT(VLOOKUP(L12,Route_Column!#REF!,2,FALSE),CHAR(34)," probability=",CHAR(34),1/L$4,CHAR(34),CHAR(47),CHAR(62)),"&lt;/routeDistribution&gt;"))</f>
        <v/>
      </c>
    </row>
    <row r="7950" spans="1:5" x14ac:dyDescent="0.25">
      <c r="A7950" t="s">
        <v>1519</v>
      </c>
      <c r="B7950" t="s">
        <v>1160</v>
      </c>
      <c r="E7950" t="str">
        <f>IF(OR(E7949="&lt;/routeDistribution&gt;",E7949=""),"",IFERROR(_xlfn.CONCAT(VLOOKUP(L13,Route_Column!#REF!,2,FALSE),CHAR(34)," probability=",CHAR(34),1/L$4,CHAR(34),CHAR(47),CHAR(62)),"&lt;/routeDistribution&gt;"))</f>
        <v/>
      </c>
    </row>
    <row r="7951" spans="1:5" x14ac:dyDescent="0.25">
      <c r="A7951" t="s">
        <v>1519</v>
      </c>
      <c r="B7951" t="s">
        <v>1166</v>
      </c>
      <c r="E7951" t="str">
        <f>IF(OR(E7950="&lt;/routeDistribution&gt;",E7950=""),"",IFERROR(_xlfn.CONCAT(VLOOKUP(L14,Route_Column!#REF!,2,FALSE),CHAR(34)," probability=",CHAR(34),1/L$4,CHAR(34),CHAR(47),CHAR(62)),"&lt;/routeDistribution&gt;"))</f>
        <v/>
      </c>
    </row>
    <row r="7952" spans="1:5" x14ac:dyDescent="0.25">
      <c r="A7952" t="s">
        <v>1519</v>
      </c>
      <c r="B7952" t="s">
        <v>1167</v>
      </c>
      <c r="E7952" t="str">
        <f>IF(OR(E7951="&lt;/routeDistribution&gt;",E7951=""),"",IFERROR(_xlfn.CONCAT(VLOOKUP(L15,Route_Column!#REF!,2,FALSE),CHAR(34)," probability=",CHAR(34),1/L$4,CHAR(34),CHAR(47),CHAR(62)),"&lt;/routeDistribution&gt;"))</f>
        <v/>
      </c>
    </row>
    <row r="7953" spans="1:5" x14ac:dyDescent="0.25">
      <c r="A7953" t="s">
        <v>1519</v>
      </c>
      <c r="B7953" t="s">
        <v>1168</v>
      </c>
      <c r="E7953" t="str">
        <f>IF(OR(E7952="&lt;/routeDistribution&gt;",E7952=""),"",IFERROR(_xlfn.CONCAT(VLOOKUP(L16,Route_Column!#REF!,2,FALSE),CHAR(34)," probability=",CHAR(34),1/L$4,CHAR(34),CHAR(47),CHAR(62)),"&lt;/routeDistribution&gt;"))</f>
        <v/>
      </c>
    </row>
    <row r="7954" spans="1:5" x14ac:dyDescent="0.25">
      <c r="A7954" t="s">
        <v>1519</v>
      </c>
      <c r="B7954" t="s">
        <v>1169</v>
      </c>
      <c r="E7954" t="str">
        <f>IF(OR(E7953="&lt;/routeDistribution&gt;",E7953=""),"",IFERROR(_xlfn.CONCAT(VLOOKUP(L17,Route_Column!#REF!,2,FALSE),CHAR(34)," probability=",CHAR(34),1/L$4,CHAR(34),CHAR(47),CHAR(62)),"&lt;/routeDistribution&gt;"))</f>
        <v/>
      </c>
    </row>
    <row r="7955" spans="1:5" x14ac:dyDescent="0.25">
      <c r="A7955" t="s">
        <v>1519</v>
      </c>
      <c r="B7955" t="s">
        <v>1170</v>
      </c>
      <c r="E7955" t="str">
        <f>IF(OR(E7954="&lt;/routeDistribution&gt;",E7954=""),"",IFERROR(_xlfn.CONCAT(VLOOKUP(L18,Route_Column!#REF!,2,FALSE),CHAR(34)," probability=",CHAR(34),1/L$4,CHAR(34),CHAR(47),CHAR(62)),"&lt;/routeDistribution&gt;"))</f>
        <v/>
      </c>
    </row>
    <row r="7956" spans="1:5" x14ac:dyDescent="0.25">
      <c r="A7956" t="s">
        <v>1519</v>
      </c>
      <c r="B7956" t="s">
        <v>1171</v>
      </c>
      <c r="E7956" t="str">
        <f>IF(OR(E7955="&lt;/routeDistribution&gt;",E7955=""),"",IFERROR(_xlfn.CONCAT(VLOOKUP(L19,Route_Column!#REF!,2,FALSE),CHAR(34)," probability=",CHAR(34),1/L$4,CHAR(34),CHAR(47),CHAR(62)),"&lt;/routeDistribution&gt;"))</f>
        <v/>
      </c>
    </row>
    <row r="7957" spans="1:5" x14ac:dyDescent="0.25">
      <c r="A7957" t="s">
        <v>1519</v>
      </c>
      <c r="B7957" t="s">
        <v>1180</v>
      </c>
      <c r="E7957" t="str">
        <f>IF(OR(E7956="&lt;/routeDistribution&gt;",E7956=""),"",IFERROR(_xlfn.CONCAT(VLOOKUP(L20,Route_Column!#REF!,2,FALSE),CHAR(34)," probability=",CHAR(34),1/L$4,CHAR(34),CHAR(47),CHAR(62)),"&lt;/routeDistribution&gt;"))</f>
        <v/>
      </c>
    </row>
    <row r="7958" spans="1:5" x14ac:dyDescent="0.25">
      <c r="A7958" t="s">
        <v>1519</v>
      </c>
      <c r="B7958" t="s">
        <v>1181</v>
      </c>
      <c r="E7958" t="str">
        <f>IF(OR(E7957="&lt;/routeDistribution&gt;",E7957=""),"",IFERROR(_xlfn.CONCAT(VLOOKUP(L21,Route_Column!#REF!,2,FALSE),CHAR(34)," probability=",CHAR(34),1/L$4,CHAR(34),CHAR(47),CHAR(62)),"&lt;/routeDistribution&gt;"))</f>
        <v/>
      </c>
    </row>
    <row r="7959" spans="1:5" x14ac:dyDescent="0.25">
      <c r="A7959" t="s">
        <v>1519</v>
      </c>
      <c r="B7959" t="s">
        <v>1194</v>
      </c>
      <c r="E7959" t="str">
        <f>IF(OR(E7958="&lt;/routeDistribution&gt;",E7958=""),"",IFERROR(_xlfn.CONCAT(VLOOKUP(L22,Route_Column!#REF!,2,FALSE),CHAR(34)," probability=",CHAR(34),1/L$4,CHAR(34),CHAR(47),CHAR(62)),"&lt;/routeDistribution&gt;"))</f>
        <v/>
      </c>
    </row>
    <row r="7960" spans="1:5" x14ac:dyDescent="0.25">
      <c r="A7960" t="s">
        <v>1519</v>
      </c>
      <c r="B7960" t="s">
        <v>1197</v>
      </c>
      <c r="E7960" t="str">
        <f>IF(OR(E7959="&lt;/routeDistribution&gt;",E7959=""),"",IFERROR(_xlfn.CONCAT(VLOOKUP(L23,Route_Column!#REF!,2,FALSE),CHAR(34)," probability=",CHAR(34),1/L$4,CHAR(34),CHAR(47),CHAR(62)),"&lt;/routeDistribution&gt;"))</f>
        <v/>
      </c>
    </row>
    <row r="7961" spans="1:5" x14ac:dyDescent="0.25">
      <c r="A7961" t="s">
        <v>1519</v>
      </c>
      <c r="B7961" t="s">
        <v>1198</v>
      </c>
      <c r="E7961" t="str">
        <f>IF(OR(E7960="&lt;/routeDistribution&gt;",E7960=""),"",IFERROR(_xlfn.CONCAT(VLOOKUP(L24,Route_Column!#REF!,2,FALSE),CHAR(34)," probability=",CHAR(34),1/L$4,CHAR(34),CHAR(47),CHAR(62)),"&lt;/routeDistribution&gt;"))</f>
        <v/>
      </c>
    </row>
    <row r="7962" spans="1:5" x14ac:dyDescent="0.25">
      <c r="A7962" t="s">
        <v>1519</v>
      </c>
      <c r="B7962" t="s">
        <v>1198</v>
      </c>
      <c r="E7962" t="str">
        <f>IF(OR(E7961="&lt;/routeDistribution&gt;",E7961=""),"",IFERROR(_xlfn.CONCAT(VLOOKUP(L25,Route_Column!#REF!,2,FALSE),CHAR(34)," probability=",CHAR(34),1/L$4,CHAR(34),CHAR(47),CHAR(62)),"&lt;/routeDistribution&gt;"))</f>
        <v/>
      </c>
    </row>
    <row r="7963" spans="1:5" x14ac:dyDescent="0.25">
      <c r="A7963" t="s">
        <v>1519</v>
      </c>
      <c r="B7963" t="s">
        <v>1201</v>
      </c>
      <c r="E7963" t="str">
        <f>IF(OR(E7962="&lt;/routeDistribution&gt;",E7962=""),"",IFERROR(_xlfn.CONCAT(VLOOKUP(L26,Route_Column!#REF!,2,FALSE),CHAR(34)," probability=",CHAR(34),1/L$4,CHAR(34),CHAR(47),CHAR(62)),"&lt;/routeDistribution&gt;"))</f>
        <v/>
      </c>
    </row>
    <row r="7964" spans="1:5" x14ac:dyDescent="0.25">
      <c r="A7964" t="s">
        <v>1519</v>
      </c>
      <c r="B7964" t="s">
        <v>1201</v>
      </c>
      <c r="E7964" t="str">
        <f>IF(OR(E7963="&lt;/routeDistribution&gt;",E7963=""),"",IFERROR(_xlfn.CONCAT(VLOOKUP(L27,Route_Column!#REF!,2,FALSE),CHAR(34)," probability=",CHAR(34),1/L$4,CHAR(34),CHAR(47),CHAR(62)),"&lt;/routeDistribution&gt;"))</f>
        <v/>
      </c>
    </row>
    <row r="7965" spans="1:5" x14ac:dyDescent="0.25">
      <c r="A7965" t="s">
        <v>1519</v>
      </c>
      <c r="B7965" t="s">
        <v>1206</v>
      </c>
      <c r="E7965" t="str">
        <f>IF(OR(E7964="&lt;/routeDistribution&gt;",E7964=""),"",IFERROR(_xlfn.CONCAT(VLOOKUP(L28,Route_Column!#REF!,2,FALSE),CHAR(34)," probability=",CHAR(34),1/L$4,CHAR(34),CHAR(47),CHAR(62)),"&lt;/routeDistribution&gt;"))</f>
        <v/>
      </c>
    </row>
    <row r="7966" spans="1:5" x14ac:dyDescent="0.25">
      <c r="A7966" t="s">
        <v>1519</v>
      </c>
      <c r="B7966" t="s">
        <v>1206</v>
      </c>
      <c r="E7966" t="str">
        <f>IF(OR(E7965="&lt;/routeDistribution&gt;",E7965=""),"",IFERROR(_xlfn.CONCAT(VLOOKUP(L29,Route_Column!#REF!,2,FALSE),CHAR(34)," probability=",CHAR(34),1/L$4,CHAR(34),CHAR(47),CHAR(62)),"&lt;/routeDistribution&gt;"))</f>
        <v/>
      </c>
    </row>
    <row r="7967" spans="1:5" x14ac:dyDescent="0.25">
      <c r="A7967" t="s">
        <v>1519</v>
      </c>
      <c r="B7967" t="s">
        <v>1225</v>
      </c>
      <c r="E7967" t="str">
        <f>IF(OR(E7966="&lt;/routeDistribution&gt;",E7966=""),"",IFERROR(_xlfn.CONCAT(VLOOKUP(L30,Route_Column!#REF!,2,FALSE),CHAR(34)," probability=",CHAR(34),1/L$4,CHAR(34),CHAR(47),CHAR(62)),"&lt;/routeDistribution&gt;"))</f>
        <v/>
      </c>
    </row>
    <row r="7968" spans="1:5" x14ac:dyDescent="0.25">
      <c r="A7968" s="11" t="s">
        <v>1520</v>
      </c>
      <c r="B7968" t="s">
        <v>1091</v>
      </c>
      <c r="E7968" t="str">
        <f>IF(OR(E7967="&lt;/routeDistribution&gt;",E7967=""),"",IFERROR(_xlfn.CONCAT(VLOOKUP(L31,Route_Column!#REF!,2,FALSE),CHAR(34)," probability=",CHAR(34),1/L$4,CHAR(34),CHAR(47),CHAR(62)),"&lt;/routeDistribution&gt;"))</f>
        <v/>
      </c>
    </row>
    <row r="7969" spans="1:5" x14ac:dyDescent="0.25">
      <c r="A7969" t="s">
        <v>1520</v>
      </c>
      <c r="B7969" t="s">
        <v>1092</v>
      </c>
      <c r="E7969" t="str">
        <f>IF(OR(E7968="&lt;/routeDistribution&gt;",E7968=""),"",IFERROR(_xlfn.CONCAT(VLOOKUP(L32,Route_Column!#REF!,2,FALSE),CHAR(34)," probability=",CHAR(34),1/L$4,CHAR(34),CHAR(47),CHAR(62)),"&lt;/routeDistribution&gt;"))</f>
        <v/>
      </c>
    </row>
    <row r="7970" spans="1:5" x14ac:dyDescent="0.25">
      <c r="A7970" t="s">
        <v>1520</v>
      </c>
      <c r="B7970" t="s">
        <v>1093</v>
      </c>
      <c r="E7970" t="str">
        <f>IF(OR(E7969="&lt;/routeDistribution&gt;",E7969=""),"",IFERROR(_xlfn.CONCAT(VLOOKUP(L33,Route_Column!#REF!,2,FALSE),CHAR(34)," probability=",CHAR(34),1/L$4,CHAR(34),CHAR(47),CHAR(62)),"&lt;/routeDistribution&gt;"))</f>
        <v/>
      </c>
    </row>
    <row r="7971" spans="1:5" x14ac:dyDescent="0.25">
      <c r="A7971" t="s">
        <v>1520</v>
      </c>
      <c r="B7971" t="s">
        <v>1094</v>
      </c>
      <c r="E7971" t="str">
        <f>IF(OR(E7970="&lt;/routeDistribution&gt;",E7970=""),"",IFERROR(_xlfn.CONCAT(VLOOKUP(L34,Route_Column!#REF!,2,FALSE),CHAR(34)," probability=",CHAR(34),1/L$4,CHAR(34),CHAR(47),CHAR(62)),"&lt;/routeDistribution&gt;"))</f>
        <v/>
      </c>
    </row>
    <row r="7972" spans="1:5" x14ac:dyDescent="0.25">
      <c r="A7972" t="s">
        <v>1520</v>
      </c>
      <c r="B7972" t="s">
        <v>1095</v>
      </c>
      <c r="E7972" t="str">
        <f>IF(OR(E7971="&lt;/routeDistribution&gt;",E7971=""),"",IFERROR(_xlfn.CONCAT(VLOOKUP(L35,Route_Column!#REF!,2,FALSE),CHAR(34)," probability=",CHAR(34),1/L$4,CHAR(34),CHAR(47),CHAR(62)),"&lt;/routeDistribution&gt;"))</f>
        <v/>
      </c>
    </row>
    <row r="7973" spans="1:5" x14ac:dyDescent="0.25">
      <c r="A7973" t="s">
        <v>1520</v>
      </c>
      <c r="B7973" t="s">
        <v>1102</v>
      </c>
      <c r="E7973" t="str">
        <f>IF(OR(E7972="&lt;/routeDistribution&gt;",E7972=""),"",IFERROR(_xlfn.CONCAT(VLOOKUP(L36,Route_Column!#REF!,2,FALSE),CHAR(34)," probability=",CHAR(34),1/L$4,CHAR(34),CHAR(47),CHAR(62)),"&lt;/routeDistribution&gt;"))</f>
        <v/>
      </c>
    </row>
    <row r="7974" spans="1:5" x14ac:dyDescent="0.25">
      <c r="A7974" t="s">
        <v>1520</v>
      </c>
      <c r="B7974" t="s">
        <v>1102</v>
      </c>
      <c r="E7974" t="str">
        <f>IF(OR(E7973="&lt;/routeDistribution&gt;",E7973=""),"",IFERROR(_xlfn.CONCAT(VLOOKUP(L37,Route_Column!#REF!,2,FALSE),CHAR(34)," probability=",CHAR(34),1/L$4,CHAR(34),CHAR(47),CHAR(62)),"&lt;/routeDistribution&gt;"))</f>
        <v/>
      </c>
    </row>
    <row r="7975" spans="1:5" x14ac:dyDescent="0.25">
      <c r="A7975" t="s">
        <v>1520</v>
      </c>
      <c r="B7975" t="s">
        <v>1110</v>
      </c>
      <c r="E7975" t="str">
        <f>IF(OR(E7974="&lt;/routeDistribution&gt;",E7974=""),"",IFERROR(_xlfn.CONCAT(VLOOKUP(L38,Route_Column!#REF!,2,FALSE),CHAR(34)," probability=",CHAR(34),1/L$4,CHAR(34),CHAR(47),CHAR(62)),"&lt;/routeDistribution&gt;"))</f>
        <v/>
      </c>
    </row>
    <row r="7976" spans="1:5" x14ac:dyDescent="0.25">
      <c r="A7976" t="s">
        <v>1520</v>
      </c>
      <c r="B7976" t="s">
        <v>1110</v>
      </c>
      <c r="E7976" t="str">
        <f>IF(OR(E7975="&lt;/routeDistribution&gt;",E7975=""),"",IFERROR(_xlfn.CONCAT(VLOOKUP(L39,Route_Column!#REF!,2,FALSE),CHAR(34)," probability=",CHAR(34),1/L$4,CHAR(34),CHAR(47),CHAR(62)),"&lt;/routeDistribution&gt;"))</f>
        <v/>
      </c>
    </row>
    <row r="7977" spans="1:5" x14ac:dyDescent="0.25">
      <c r="A7977" t="s">
        <v>1520</v>
      </c>
      <c r="B7977" t="s">
        <v>1112</v>
      </c>
      <c r="E7977" t="str">
        <f>IF(OR(E7976="&lt;/routeDistribution&gt;",E7976=""),"",IFERROR(_xlfn.CONCAT(VLOOKUP(L40,Route_Column!#REF!,2,FALSE),CHAR(34)," probability=",CHAR(34),1/L$4,CHAR(34),CHAR(47),CHAR(62)),"&lt;/routeDistribution&gt;"))</f>
        <v/>
      </c>
    </row>
    <row r="7978" spans="1:5" x14ac:dyDescent="0.25">
      <c r="A7978" t="s">
        <v>1520</v>
      </c>
      <c r="B7978" t="s">
        <v>1130</v>
      </c>
      <c r="E7978" t="str">
        <f>IF(OR(E7977="&lt;/routeDistribution&gt;",E7977=""),"",IFERROR(_xlfn.CONCAT(VLOOKUP(L41,Route_Column!#REF!,2,FALSE),CHAR(34)," probability=",CHAR(34),1/L$4,CHAR(34),CHAR(47),CHAR(62)),"&lt;/routeDistribution&gt;"))</f>
        <v/>
      </c>
    </row>
    <row r="7979" spans="1:5" x14ac:dyDescent="0.25">
      <c r="A7979" t="s">
        <v>1520</v>
      </c>
      <c r="B7979" t="s">
        <v>1131</v>
      </c>
      <c r="E7979" t="str">
        <f>IF(OR(E7978="&lt;/routeDistribution&gt;",E7978=""),"",IFERROR(_xlfn.CONCAT(VLOOKUP(L42,Route_Column!#REF!,2,FALSE),CHAR(34)," probability=",CHAR(34),1/L$4,CHAR(34),CHAR(47),CHAR(62)),"&lt;/routeDistribution&gt;"))</f>
        <v/>
      </c>
    </row>
    <row r="7980" spans="1:5" x14ac:dyDescent="0.25">
      <c r="A7980" t="s">
        <v>1520</v>
      </c>
      <c r="B7980" t="s">
        <v>1132</v>
      </c>
      <c r="E7980" t="str">
        <f>IF(OR(E7979="&lt;/routeDistribution&gt;",E7979=""),"",IFERROR(_xlfn.CONCAT(VLOOKUP(L43,Route_Column!#REF!,2,FALSE),CHAR(34)," probability=",CHAR(34),1/L$4,CHAR(34),CHAR(47),CHAR(62)),"&lt;/routeDistribution&gt;"))</f>
        <v/>
      </c>
    </row>
    <row r="7981" spans="1:5" x14ac:dyDescent="0.25">
      <c r="A7981" t="s">
        <v>1520</v>
      </c>
      <c r="B7981" t="s">
        <v>1134</v>
      </c>
      <c r="E7981" t="str">
        <f>IF(OR(E7980="&lt;/routeDistribution&gt;",E7980=""),"",IFERROR(_xlfn.CONCAT(VLOOKUP(L44,Route_Column!#REF!,2,FALSE),CHAR(34)," probability=",CHAR(34),1/L$4,CHAR(34),CHAR(47),CHAR(62)),"&lt;/routeDistribution&gt;"))</f>
        <v/>
      </c>
    </row>
    <row r="7982" spans="1:5" x14ac:dyDescent="0.25">
      <c r="A7982" t="s">
        <v>1520</v>
      </c>
      <c r="B7982" t="s">
        <v>1137</v>
      </c>
      <c r="E7982" t="str">
        <f>IF(OR(E7981="&lt;/routeDistribution&gt;",E7981=""),"",IFERROR(_xlfn.CONCAT(VLOOKUP(L45,Route_Column!#REF!,2,FALSE),CHAR(34)," probability=",CHAR(34),1/L$4,CHAR(34),CHAR(47),CHAR(62)),"&lt;/routeDistribution&gt;"))</f>
        <v/>
      </c>
    </row>
    <row r="7983" spans="1:5" x14ac:dyDescent="0.25">
      <c r="A7983" t="s">
        <v>1520</v>
      </c>
      <c r="B7983" t="s">
        <v>1138</v>
      </c>
      <c r="E7983" t="str">
        <f>IF(OR(E7982="&lt;/routeDistribution&gt;",E7982=""),"",IFERROR(_xlfn.CONCAT(VLOOKUP(L46,Route_Column!#REF!,2,FALSE),CHAR(34)," probability=",CHAR(34),1/L$4,CHAR(34),CHAR(47),CHAR(62)),"&lt;/routeDistribution&gt;"))</f>
        <v/>
      </c>
    </row>
    <row r="7984" spans="1:5" x14ac:dyDescent="0.25">
      <c r="A7984" t="s">
        <v>1520</v>
      </c>
      <c r="B7984" t="s">
        <v>1145</v>
      </c>
      <c r="E7984" t="str">
        <f>IF(OR(E7983="&lt;/routeDistribution&gt;",E7983=""),"",IFERROR(_xlfn.CONCAT(VLOOKUP(L47,Route_Column!#REF!,2,FALSE),CHAR(34)," probability=",CHAR(34),1/L$4,CHAR(34),CHAR(47),CHAR(62)),"&lt;/routeDistribution&gt;"))</f>
        <v/>
      </c>
    </row>
    <row r="7985" spans="1:5" x14ac:dyDescent="0.25">
      <c r="A7985" t="s">
        <v>1520</v>
      </c>
      <c r="B7985" t="s">
        <v>1154</v>
      </c>
      <c r="E7985" t="str">
        <f>IF(OR(E7984="&lt;/routeDistribution&gt;",E7984=""),"",IFERROR(_xlfn.CONCAT(VLOOKUP(L48,Route_Column!#REF!,2,FALSE),CHAR(34)," probability=",CHAR(34),1/L$4,CHAR(34),CHAR(47),CHAR(62)),"&lt;/routeDistribution&gt;"))</f>
        <v/>
      </c>
    </row>
    <row r="7986" spans="1:5" x14ac:dyDescent="0.25">
      <c r="A7986" t="s">
        <v>1520</v>
      </c>
      <c r="B7986" t="s">
        <v>1160</v>
      </c>
      <c r="E7986" t="str">
        <f>IF(OR(E7985="&lt;/routeDistribution&gt;",E7985=""),"",IFERROR(_xlfn.CONCAT(VLOOKUP(L49,Route_Column!#REF!,2,FALSE),CHAR(34)," probability=",CHAR(34),1/L$4,CHAR(34),CHAR(47),CHAR(62)),"&lt;/routeDistribution&gt;"))</f>
        <v/>
      </c>
    </row>
    <row r="7987" spans="1:5" x14ac:dyDescent="0.25">
      <c r="A7987" t="s">
        <v>1520</v>
      </c>
      <c r="B7987" t="s">
        <v>1166</v>
      </c>
      <c r="E7987" t="str">
        <f>IF(OR(E7986="&lt;/routeDistribution&gt;",E7986=""),"",IFERROR(_xlfn.CONCAT(VLOOKUP(L50,Route_Column!#REF!,2,FALSE),CHAR(34)," probability=",CHAR(34),1/L$4,CHAR(34),CHAR(47),CHAR(62)),"&lt;/routeDistribution&gt;"))</f>
        <v/>
      </c>
    </row>
    <row r="7988" spans="1:5" x14ac:dyDescent="0.25">
      <c r="A7988" t="s">
        <v>1520</v>
      </c>
      <c r="B7988" t="s">
        <v>1167</v>
      </c>
      <c r="E7988" t="str">
        <f>IF(OR(E7987="&lt;/routeDistribution&gt;",E7987=""),"",IFERROR(_xlfn.CONCAT(VLOOKUP(L51,Route_Column!#REF!,2,FALSE),CHAR(34)," probability=",CHAR(34),1/L$4,CHAR(34),CHAR(47),CHAR(62)),"&lt;/routeDistribution&gt;"))</f>
        <v/>
      </c>
    </row>
    <row r="7989" spans="1:5" x14ac:dyDescent="0.25">
      <c r="A7989" t="s">
        <v>1520</v>
      </c>
      <c r="B7989" t="s">
        <v>1168</v>
      </c>
      <c r="E7989" t="str">
        <f>IF(OR(E7988="&lt;/routeDistribution&gt;",E7988=""),"",IFERROR(_xlfn.CONCAT(VLOOKUP(L52,Route_Column!#REF!,2,FALSE),CHAR(34)," probability=",CHAR(34),1/L$4,CHAR(34),CHAR(47),CHAR(62)),"&lt;/routeDistribution&gt;"))</f>
        <v/>
      </c>
    </row>
    <row r="7990" spans="1:5" x14ac:dyDescent="0.25">
      <c r="A7990" t="s">
        <v>1520</v>
      </c>
      <c r="B7990" t="s">
        <v>1169</v>
      </c>
      <c r="E7990" t="str">
        <f>IF(OR(E7989="&lt;/routeDistribution&gt;",E7989=""),"",IFERROR(_xlfn.CONCAT(VLOOKUP(L53,Route_Column!#REF!,2,FALSE),CHAR(34)," probability=",CHAR(34),1/L$4,CHAR(34),CHAR(47),CHAR(62)),"&lt;/routeDistribution&gt;"))</f>
        <v/>
      </c>
    </row>
    <row r="7991" spans="1:5" x14ac:dyDescent="0.25">
      <c r="A7991" t="s">
        <v>1520</v>
      </c>
      <c r="B7991" t="s">
        <v>1170</v>
      </c>
      <c r="E7991" t="str">
        <f>IF(OR(E7990="&lt;/routeDistribution&gt;",E7990=""),"",IFERROR(_xlfn.CONCAT(VLOOKUP(L54,Route_Column!#REF!,2,FALSE),CHAR(34)," probability=",CHAR(34),1/L$4,CHAR(34),CHAR(47),CHAR(62)),"&lt;/routeDistribution&gt;"))</f>
        <v/>
      </c>
    </row>
    <row r="7992" spans="1:5" x14ac:dyDescent="0.25">
      <c r="A7992" t="s">
        <v>1520</v>
      </c>
      <c r="B7992" t="s">
        <v>1171</v>
      </c>
      <c r="E7992" t="str">
        <f>IF(OR(E7991="&lt;/routeDistribution&gt;",E7991=""),"",IFERROR(_xlfn.CONCAT(VLOOKUP(L55,Route_Column!#REF!,2,FALSE),CHAR(34)," probability=",CHAR(34),1/L$4,CHAR(34),CHAR(47),CHAR(62)),"&lt;/routeDistribution&gt;"))</f>
        <v/>
      </c>
    </row>
    <row r="7993" spans="1:5" x14ac:dyDescent="0.25">
      <c r="A7993" t="s">
        <v>1520</v>
      </c>
      <c r="B7993" t="s">
        <v>1180</v>
      </c>
      <c r="E7993" t="str">
        <f>IF(OR(E7992="&lt;/routeDistribution&gt;",E7992=""),"",IFERROR(_xlfn.CONCAT(VLOOKUP(L56,Route_Column!#REF!,2,FALSE),CHAR(34)," probability=",CHAR(34),1/L$4,CHAR(34),CHAR(47),CHAR(62)),"&lt;/routeDistribution&gt;"))</f>
        <v/>
      </c>
    </row>
    <row r="7994" spans="1:5" x14ac:dyDescent="0.25">
      <c r="A7994" t="s">
        <v>1520</v>
      </c>
      <c r="B7994" t="s">
        <v>1181</v>
      </c>
      <c r="E7994" t="str">
        <f>IF(OR(E7993="&lt;/routeDistribution&gt;",E7993=""),"",IFERROR(_xlfn.CONCAT(VLOOKUP(L57,Route_Column!#REF!,2,FALSE),CHAR(34)," probability=",CHAR(34),1/L$4,CHAR(34),CHAR(47),CHAR(62)),"&lt;/routeDistribution&gt;"))</f>
        <v/>
      </c>
    </row>
    <row r="7995" spans="1:5" x14ac:dyDescent="0.25">
      <c r="A7995" t="s">
        <v>1520</v>
      </c>
      <c r="B7995" t="s">
        <v>1194</v>
      </c>
      <c r="E7995" t="str">
        <f>IF(OR(E7994="&lt;/routeDistribution&gt;",E7994=""),"",IFERROR(_xlfn.CONCAT(VLOOKUP(L58,Route_Column!#REF!,2,FALSE),CHAR(34)," probability=",CHAR(34),1/L$4,CHAR(34),CHAR(47),CHAR(62)),"&lt;/routeDistribution&gt;"))</f>
        <v/>
      </c>
    </row>
    <row r="7996" spans="1:5" x14ac:dyDescent="0.25">
      <c r="A7996" t="s">
        <v>1520</v>
      </c>
      <c r="B7996" t="s">
        <v>1197</v>
      </c>
      <c r="E7996" t="str">
        <f>IF(OR(E7995="&lt;/routeDistribution&gt;",E7995=""),"",IFERROR(_xlfn.CONCAT(VLOOKUP(L59,Route_Column!#REF!,2,FALSE),CHAR(34)," probability=",CHAR(34),1/L$4,CHAR(34),CHAR(47),CHAR(62)),"&lt;/routeDistribution&gt;"))</f>
        <v/>
      </c>
    </row>
    <row r="7997" spans="1:5" x14ac:dyDescent="0.25">
      <c r="A7997" t="s">
        <v>1520</v>
      </c>
      <c r="B7997" t="s">
        <v>1198</v>
      </c>
      <c r="E7997" t="str">
        <f>IF(OR(E7996="&lt;/routeDistribution&gt;",E7996=""),"",IFERROR(_xlfn.CONCAT(VLOOKUP(L60,Route_Column!#REF!,2,FALSE),CHAR(34)," probability=",CHAR(34),1/L$4,CHAR(34),CHAR(47),CHAR(62)),"&lt;/routeDistribution&gt;"))</f>
        <v/>
      </c>
    </row>
    <row r="7998" spans="1:5" x14ac:dyDescent="0.25">
      <c r="A7998" t="s">
        <v>1520</v>
      </c>
      <c r="B7998" t="s">
        <v>1198</v>
      </c>
      <c r="E7998" t="str">
        <f>IF(OR(E7997="&lt;/routeDistribution&gt;",E7997=""),"",IFERROR(_xlfn.CONCAT(VLOOKUP(L61,Route_Column!#REF!,2,FALSE),CHAR(34)," probability=",CHAR(34),1/L$4,CHAR(34),CHAR(47),CHAR(62)),"&lt;/routeDistribution&gt;"))</f>
        <v/>
      </c>
    </row>
    <row r="7999" spans="1:5" x14ac:dyDescent="0.25">
      <c r="A7999" t="s">
        <v>1520</v>
      </c>
      <c r="B7999" t="s">
        <v>1201</v>
      </c>
      <c r="E7999" t="str">
        <f>IF(OR(E7998="&lt;/routeDistribution&gt;",E7998=""),"",IFERROR(_xlfn.CONCAT(VLOOKUP(L62,Route_Column!#REF!,2,FALSE),CHAR(34)," probability=",CHAR(34),1/L$4,CHAR(34),CHAR(47),CHAR(62)),"&lt;/routeDistribution&gt;"))</f>
        <v/>
      </c>
    </row>
    <row r="8000" spans="1:5" x14ac:dyDescent="0.25">
      <c r="A8000" t="s">
        <v>1520</v>
      </c>
      <c r="B8000" t="s">
        <v>1201</v>
      </c>
      <c r="E8000" t="str">
        <f>IF(OR(E7999="&lt;/routeDistribution&gt;",E7999=""),"",IFERROR(_xlfn.CONCAT(VLOOKUP(L63,Route_Column!#REF!,2,FALSE),CHAR(34)," probability=",CHAR(34),1/L$4,CHAR(34),CHAR(47),CHAR(62)),"&lt;/routeDistribution&gt;"))</f>
        <v/>
      </c>
    </row>
    <row r="8001" spans="1:5" x14ac:dyDescent="0.25">
      <c r="A8001" t="s">
        <v>1520</v>
      </c>
      <c r="B8001" t="s">
        <v>1206</v>
      </c>
      <c r="E8001" t="s">
        <v>2686</v>
      </c>
    </row>
    <row r="8002" spans="1:5" x14ac:dyDescent="0.25">
      <c r="A8002" t="s">
        <v>1520</v>
      </c>
      <c r="B8002" t="s">
        <v>1206</v>
      </c>
    </row>
    <row r="8003" spans="1:5" x14ac:dyDescent="0.25">
      <c r="A8003" t="s">
        <v>1520</v>
      </c>
      <c r="B8003" t="s">
        <v>1225</v>
      </c>
    </row>
    <row r="8004" spans="1:5" x14ac:dyDescent="0.25">
      <c r="A8004" t="s">
        <v>1569</v>
      </c>
      <c r="B8004" t="s">
        <v>1095</v>
      </c>
      <c r="E8004" t="str">
        <f>_xlfn.CONCAT($E$1,K$2,$F$1)</f>
        <v>&lt;routeDistribution id="I-76-676-to-SPGD-WB-2015-RouteProbe"&gt;</v>
      </c>
    </row>
    <row r="8005" spans="1:5" x14ac:dyDescent="0.25">
      <c r="A8005" t="s">
        <v>1569</v>
      </c>
      <c r="B8005" t="s">
        <v>1102</v>
      </c>
      <c r="E8005" t="str">
        <f>IF(OR(E8004="&lt;/routeDistribution&gt;",E8004=""),"",IFERROR(_xlfn.CONCAT(VLOOKUP(K5,Route_Column!#REF!,2,FALSE),CHAR(34)," probability=",CHAR(34),1/K$4,CHAR(34),CHAR(47),CHAR(62)),"&lt;/routeDistribution&gt;"))</f>
        <v>&lt;/routeDistribution&gt;</v>
      </c>
    </row>
    <row r="8006" spans="1:5" x14ac:dyDescent="0.25">
      <c r="A8006" t="s">
        <v>1569</v>
      </c>
      <c r="B8006" t="s">
        <v>1102</v>
      </c>
      <c r="E8006" t="str">
        <f>IF(OR(E8005="&lt;/routeDistribution&gt;",E8005=""),"",IFERROR(_xlfn.CONCAT(VLOOKUP(K6,Route_Column!#REF!,2,FALSE),CHAR(34)," probability=",CHAR(34),1/K$4,CHAR(34),CHAR(47),CHAR(62)),"&lt;/routeDistribution&gt;"))</f>
        <v/>
      </c>
    </row>
    <row r="8007" spans="1:5" x14ac:dyDescent="0.25">
      <c r="A8007" t="s">
        <v>1569</v>
      </c>
      <c r="B8007" t="s">
        <v>1110</v>
      </c>
      <c r="E8007" t="str">
        <f>IF(OR(E8006="&lt;/routeDistribution&gt;",E8006=""),"",IFERROR(_xlfn.CONCAT(VLOOKUP(K7,Route_Column!#REF!,2,FALSE),CHAR(34)," probability=",CHAR(34),1/K$4,CHAR(34),CHAR(47),CHAR(62)),"&lt;/routeDistribution&gt;"))</f>
        <v/>
      </c>
    </row>
    <row r="8008" spans="1:5" x14ac:dyDescent="0.25">
      <c r="A8008" t="s">
        <v>1569</v>
      </c>
      <c r="B8008" t="s">
        <v>1110</v>
      </c>
      <c r="E8008" t="str">
        <f>IF(OR(E8007="&lt;/routeDistribution&gt;",E8007=""),"",IFERROR(_xlfn.CONCAT(VLOOKUP(K8,Route_Column!#REF!,2,FALSE),CHAR(34)," probability=",CHAR(34),1/K$4,CHAR(34),CHAR(47),CHAR(62)),"&lt;/routeDistribution&gt;"))</f>
        <v/>
      </c>
    </row>
    <row r="8009" spans="1:5" x14ac:dyDescent="0.25">
      <c r="A8009" t="s">
        <v>1569</v>
      </c>
      <c r="B8009" t="s">
        <v>1112</v>
      </c>
      <c r="E8009" t="str">
        <f>IF(OR(E8008="&lt;/routeDistribution&gt;",E8008=""),"",IFERROR(_xlfn.CONCAT(VLOOKUP(K9,Route_Column!#REF!,2,FALSE),CHAR(34)," probability=",CHAR(34),1/K$4,CHAR(34),CHAR(47),CHAR(62)),"&lt;/routeDistribution&gt;"))</f>
        <v/>
      </c>
    </row>
    <row r="8010" spans="1:5" x14ac:dyDescent="0.25">
      <c r="A8010" t="s">
        <v>1569</v>
      </c>
      <c r="B8010" t="s">
        <v>1130</v>
      </c>
      <c r="E8010" t="str">
        <f>IF(OR(E8009="&lt;/routeDistribution&gt;",E8009=""),"",IFERROR(_xlfn.CONCAT(VLOOKUP(K10,Route_Column!#REF!,2,FALSE),CHAR(34)," probability=",CHAR(34),1/K$4,CHAR(34),CHAR(47),CHAR(62)),"&lt;/routeDistribution&gt;"))</f>
        <v/>
      </c>
    </row>
    <row r="8011" spans="1:5" x14ac:dyDescent="0.25">
      <c r="A8011" t="s">
        <v>1569</v>
      </c>
      <c r="B8011" t="s">
        <v>1131</v>
      </c>
      <c r="E8011" t="str">
        <f>IF(OR(E8010="&lt;/routeDistribution&gt;",E8010=""),"",IFERROR(_xlfn.CONCAT(VLOOKUP(K11,Route_Column!#REF!,2,FALSE),CHAR(34)," probability=",CHAR(34),1/K$4,CHAR(34),CHAR(47),CHAR(62)),"&lt;/routeDistribution&gt;"))</f>
        <v/>
      </c>
    </row>
    <row r="8012" spans="1:5" x14ac:dyDescent="0.25">
      <c r="A8012" t="s">
        <v>1569</v>
      </c>
      <c r="B8012" t="s">
        <v>1132</v>
      </c>
      <c r="E8012" t="str">
        <f>IF(OR(E8011="&lt;/routeDistribution&gt;",E8011=""),"",IFERROR(_xlfn.CONCAT(VLOOKUP(K12,Route_Column!#REF!,2,FALSE),CHAR(34)," probability=",CHAR(34),1/K$4,CHAR(34),CHAR(47),CHAR(62)),"&lt;/routeDistribution&gt;"))</f>
        <v/>
      </c>
    </row>
    <row r="8013" spans="1:5" x14ac:dyDescent="0.25">
      <c r="A8013" t="s">
        <v>1569</v>
      </c>
      <c r="B8013" t="s">
        <v>1134</v>
      </c>
      <c r="E8013" t="str">
        <f>IF(OR(E8012="&lt;/routeDistribution&gt;",E8012=""),"",IFERROR(_xlfn.CONCAT(VLOOKUP(K13,Route_Column!#REF!,2,FALSE),CHAR(34)," probability=",CHAR(34),1/K$4,CHAR(34),CHAR(47),CHAR(62)),"&lt;/routeDistribution&gt;"))</f>
        <v/>
      </c>
    </row>
    <row r="8014" spans="1:5" x14ac:dyDescent="0.25">
      <c r="A8014" t="s">
        <v>1569</v>
      </c>
      <c r="B8014" t="s">
        <v>1137</v>
      </c>
      <c r="E8014" t="str">
        <f>IF(OR(E8013="&lt;/routeDistribution&gt;",E8013=""),"",IFERROR(_xlfn.CONCAT(VLOOKUP(K14,Route_Column!#REF!,2,FALSE),CHAR(34)," probability=",CHAR(34),1/K$4,CHAR(34),CHAR(47),CHAR(62)),"&lt;/routeDistribution&gt;"))</f>
        <v/>
      </c>
    </row>
    <row r="8015" spans="1:5" x14ac:dyDescent="0.25">
      <c r="A8015" t="s">
        <v>1569</v>
      </c>
      <c r="B8015" t="s">
        <v>1138</v>
      </c>
      <c r="E8015" t="str">
        <f>IF(OR(E8014="&lt;/routeDistribution&gt;",E8014=""),"",IFERROR(_xlfn.CONCAT(VLOOKUP(K15,Route_Column!#REF!,2,FALSE),CHAR(34)," probability=",CHAR(34),1/K$4,CHAR(34),CHAR(47),CHAR(62)),"&lt;/routeDistribution&gt;"))</f>
        <v/>
      </c>
    </row>
    <row r="8016" spans="1:5" x14ac:dyDescent="0.25">
      <c r="A8016" t="s">
        <v>1569</v>
      </c>
      <c r="B8016" t="s">
        <v>1145</v>
      </c>
      <c r="E8016" t="str">
        <f>IF(OR(E8015="&lt;/routeDistribution&gt;",E8015=""),"",IFERROR(_xlfn.CONCAT(VLOOKUP(K16,Route_Column!#REF!,2,FALSE),CHAR(34)," probability=",CHAR(34),1/K$4,CHAR(34),CHAR(47),CHAR(62)),"&lt;/routeDistribution&gt;"))</f>
        <v/>
      </c>
    </row>
    <row r="8017" spans="1:5" x14ac:dyDescent="0.25">
      <c r="A8017" t="s">
        <v>1569</v>
      </c>
      <c r="B8017" t="s">
        <v>1154</v>
      </c>
      <c r="E8017" t="str">
        <f>IF(OR(E8016="&lt;/routeDistribution&gt;",E8016=""),"",IFERROR(_xlfn.CONCAT(VLOOKUP(K17,Route_Column!#REF!,2,FALSE),CHAR(34)," probability=",CHAR(34),1/K$4,CHAR(34),CHAR(47),CHAR(62)),"&lt;/routeDistribution&gt;"))</f>
        <v/>
      </c>
    </row>
    <row r="8018" spans="1:5" x14ac:dyDescent="0.25">
      <c r="A8018" t="s">
        <v>1569</v>
      </c>
      <c r="B8018" t="s">
        <v>1171</v>
      </c>
      <c r="E8018" t="str">
        <f>IF(OR(E8017="&lt;/routeDistribution&gt;",E8017=""),"",IFERROR(_xlfn.CONCAT(VLOOKUP(K18,Route_Column!#REF!,2,FALSE),CHAR(34)," probability=",CHAR(34),1/K$4,CHAR(34),CHAR(47),CHAR(62)),"&lt;/routeDistribution&gt;"))</f>
        <v/>
      </c>
    </row>
    <row r="8019" spans="1:5" x14ac:dyDescent="0.25">
      <c r="A8019" t="s">
        <v>1569</v>
      </c>
      <c r="B8019" t="s">
        <v>1180</v>
      </c>
      <c r="E8019" t="str">
        <f>IF(OR(E8018="&lt;/routeDistribution&gt;",E8018=""),"",IFERROR(_xlfn.CONCAT(VLOOKUP(K19,Route_Column!#REF!,2,FALSE),CHAR(34)," probability=",CHAR(34),1/K$4,CHAR(34),CHAR(47),CHAR(62)),"&lt;/routeDistribution&gt;"))</f>
        <v/>
      </c>
    </row>
    <row r="8020" spans="1:5" x14ac:dyDescent="0.25">
      <c r="A8020" t="s">
        <v>1569</v>
      </c>
      <c r="B8020" t="s">
        <v>1181</v>
      </c>
      <c r="E8020" t="str">
        <f>IF(OR(E8019="&lt;/routeDistribution&gt;",E8019=""),"",IFERROR(_xlfn.CONCAT(VLOOKUP(K20,Route_Column!#REF!,2,FALSE),CHAR(34)," probability=",CHAR(34),1/K$4,CHAR(34),CHAR(47),CHAR(62)),"&lt;/routeDistribution&gt;"))</f>
        <v/>
      </c>
    </row>
    <row r="8021" spans="1:5" x14ac:dyDescent="0.25">
      <c r="A8021" t="s">
        <v>1569</v>
      </c>
      <c r="B8021" t="s">
        <v>1197</v>
      </c>
      <c r="E8021" t="str">
        <f>IF(OR(E8020="&lt;/routeDistribution&gt;",E8020=""),"",IFERROR(_xlfn.CONCAT(VLOOKUP(K21,Route_Column!#REF!,2,FALSE),CHAR(34)," probability=",CHAR(34),1/K$4,CHAR(34),CHAR(47),CHAR(62)),"&lt;/routeDistribution&gt;"))</f>
        <v/>
      </c>
    </row>
    <row r="8022" spans="1:5" x14ac:dyDescent="0.25">
      <c r="A8022" t="s">
        <v>1569</v>
      </c>
      <c r="B8022" t="s">
        <v>1198</v>
      </c>
      <c r="E8022" t="str">
        <f>IF(OR(E8021="&lt;/routeDistribution&gt;",E8021=""),"",IFERROR(_xlfn.CONCAT(VLOOKUP(K22,Route_Column!#REF!,2,FALSE),CHAR(34)," probability=",CHAR(34),1/K$4,CHAR(34),CHAR(47),CHAR(62)),"&lt;/routeDistribution&gt;"))</f>
        <v/>
      </c>
    </row>
    <row r="8023" spans="1:5" x14ac:dyDescent="0.25">
      <c r="A8023" t="s">
        <v>1569</v>
      </c>
      <c r="B8023" t="s">
        <v>1201</v>
      </c>
      <c r="E8023" t="str">
        <f>IF(OR(E8022="&lt;/routeDistribution&gt;",E8022=""),"",IFERROR(_xlfn.CONCAT(VLOOKUP(K23,Route_Column!#REF!,2,FALSE),CHAR(34)," probability=",CHAR(34),1/K$4,CHAR(34),CHAR(47),CHAR(62)),"&lt;/routeDistribution&gt;"))</f>
        <v/>
      </c>
    </row>
    <row r="8024" spans="1:5" x14ac:dyDescent="0.25">
      <c r="A8024" t="s">
        <v>1569</v>
      </c>
      <c r="B8024" t="s">
        <v>1201</v>
      </c>
      <c r="E8024" t="str">
        <f>IF(OR(E8023="&lt;/routeDistribution&gt;",E8023=""),"",IFERROR(_xlfn.CONCAT(VLOOKUP(K24,Route_Column!#REF!,2,FALSE),CHAR(34)," probability=",CHAR(34),1/K$4,CHAR(34),CHAR(47),CHAR(62)),"&lt;/routeDistribution&gt;"))</f>
        <v/>
      </c>
    </row>
    <row r="8025" spans="1:5" x14ac:dyDescent="0.25">
      <c r="A8025" t="s">
        <v>1569</v>
      </c>
      <c r="B8025" t="s">
        <v>1206</v>
      </c>
      <c r="E8025" t="str">
        <f>IF(OR(E8024="&lt;/routeDistribution&gt;",E8024=""),"",IFERROR(_xlfn.CONCAT(VLOOKUP(K25,Route_Column!#REF!,2,FALSE),CHAR(34)," probability=",CHAR(34),1/K$4,CHAR(34),CHAR(47),CHAR(62)),"&lt;/routeDistribution&gt;"))</f>
        <v/>
      </c>
    </row>
    <row r="8026" spans="1:5" x14ac:dyDescent="0.25">
      <c r="A8026" t="s">
        <v>1569</v>
      </c>
      <c r="B8026" t="s">
        <v>1206</v>
      </c>
      <c r="E8026" t="str">
        <f>IF(OR(E8025="&lt;/routeDistribution&gt;",E8025=""),"",IFERROR(_xlfn.CONCAT(VLOOKUP(K26,Route_Column!#REF!,2,FALSE),CHAR(34)," probability=",CHAR(34),1/K$4,CHAR(34),CHAR(47),CHAR(62)),"&lt;/routeDistribution&gt;"))</f>
        <v/>
      </c>
    </row>
    <row r="8027" spans="1:5" x14ac:dyDescent="0.25">
      <c r="A8027" t="s">
        <v>1569</v>
      </c>
      <c r="B8027" t="s">
        <v>1225</v>
      </c>
      <c r="E8027" t="str">
        <f>IF(OR(E8026="&lt;/routeDistribution&gt;",E8026=""),"",IFERROR(_xlfn.CONCAT(VLOOKUP(K27,Route_Column!#REF!,2,FALSE),CHAR(34)," probability=",CHAR(34),1/K$4,CHAR(34),CHAR(47),CHAR(62)),"&lt;/routeDistribution&gt;"))</f>
        <v/>
      </c>
    </row>
    <row r="8028" spans="1:5" x14ac:dyDescent="0.25">
      <c r="A8028" t="s">
        <v>1748</v>
      </c>
      <c r="B8028" t="s">
        <v>1102</v>
      </c>
      <c r="E8028" t="str">
        <f>IF(OR(E8027="&lt;/routeDistribution&gt;",E8027=""),"",IFERROR(_xlfn.CONCAT(VLOOKUP(K28,Route_Column!#REF!,2,FALSE),CHAR(34)," probability=",CHAR(34),1/K$4,CHAR(34),CHAR(47),CHAR(62)),"&lt;/routeDistribution&gt;"))</f>
        <v/>
      </c>
    </row>
    <row r="8029" spans="1:5" x14ac:dyDescent="0.25">
      <c r="A8029" t="s">
        <v>1748</v>
      </c>
      <c r="B8029" t="s">
        <v>1110</v>
      </c>
      <c r="E8029" t="str">
        <f>IF(OR(E8028="&lt;/routeDistribution&gt;",E8028=""),"",IFERROR(_xlfn.CONCAT(VLOOKUP(K29,Route_Column!#REF!,2,FALSE),CHAR(34)," probability=",CHAR(34),1/K$4,CHAR(34),CHAR(47),CHAR(62)),"&lt;/routeDistribution&gt;"))</f>
        <v/>
      </c>
    </row>
    <row r="8030" spans="1:5" x14ac:dyDescent="0.25">
      <c r="A8030" t="s">
        <v>1748</v>
      </c>
      <c r="B8030" t="s">
        <v>1112</v>
      </c>
      <c r="E8030" t="str">
        <f>IF(OR(E8029="&lt;/routeDistribution&gt;",E8029=""),"",IFERROR(_xlfn.CONCAT(VLOOKUP(K30,Route_Column!#REF!,2,FALSE),CHAR(34)," probability=",CHAR(34),1/K$4,CHAR(34),CHAR(47),CHAR(62)),"&lt;/routeDistribution&gt;"))</f>
        <v/>
      </c>
    </row>
    <row r="8031" spans="1:5" x14ac:dyDescent="0.25">
      <c r="A8031" t="s">
        <v>1748</v>
      </c>
      <c r="B8031" t="s">
        <v>1130</v>
      </c>
      <c r="E8031" t="str">
        <f>IF(OR(E8030="&lt;/routeDistribution&gt;",E8030=""),"",IFERROR(_xlfn.CONCAT(VLOOKUP(K31,Route_Column!#REF!,2,FALSE),CHAR(34)," probability=",CHAR(34),1/K$4,CHAR(34),CHAR(47),CHAR(62)),"&lt;/routeDistribution&gt;"))</f>
        <v/>
      </c>
    </row>
    <row r="8032" spans="1:5" x14ac:dyDescent="0.25">
      <c r="A8032" t="s">
        <v>1748</v>
      </c>
      <c r="B8032" t="s">
        <v>1131</v>
      </c>
      <c r="E8032" t="str">
        <f>IF(OR(E8031="&lt;/routeDistribution&gt;",E8031=""),"",IFERROR(_xlfn.CONCAT(VLOOKUP(K32,Route_Column!#REF!,2,FALSE),CHAR(34)," probability=",CHAR(34),1/K$4,CHAR(34),CHAR(47),CHAR(62)),"&lt;/routeDistribution&gt;"))</f>
        <v/>
      </c>
    </row>
    <row r="8033" spans="1:5" x14ac:dyDescent="0.25">
      <c r="A8033" t="s">
        <v>1748</v>
      </c>
      <c r="B8033" t="s">
        <v>1132</v>
      </c>
      <c r="E8033" t="str">
        <f>IF(OR(E8032="&lt;/routeDistribution&gt;",E8032=""),"",IFERROR(_xlfn.CONCAT(VLOOKUP(K33,Route_Column!#REF!,2,FALSE),CHAR(34)," probability=",CHAR(34),1/K$4,CHAR(34),CHAR(47),CHAR(62)),"&lt;/routeDistribution&gt;"))</f>
        <v/>
      </c>
    </row>
    <row r="8034" spans="1:5" x14ac:dyDescent="0.25">
      <c r="A8034" t="s">
        <v>1748</v>
      </c>
      <c r="B8034" t="s">
        <v>1134</v>
      </c>
      <c r="E8034" t="str">
        <f>IF(OR(E8033="&lt;/routeDistribution&gt;",E8033=""),"",IFERROR(_xlfn.CONCAT(VLOOKUP(K34,Route_Column!#REF!,2,FALSE),CHAR(34)," probability=",CHAR(34),1/K$4,CHAR(34),CHAR(47),CHAR(62)),"&lt;/routeDistribution&gt;"))</f>
        <v/>
      </c>
    </row>
    <row r="8035" spans="1:5" x14ac:dyDescent="0.25">
      <c r="A8035" t="s">
        <v>1748</v>
      </c>
      <c r="B8035" t="s">
        <v>1137</v>
      </c>
      <c r="E8035" t="str">
        <f>IF(OR(E8034="&lt;/routeDistribution&gt;",E8034=""),"",IFERROR(_xlfn.CONCAT(VLOOKUP(K35,Route_Column!#REF!,2,FALSE),CHAR(34)," probability=",CHAR(34),1/K$4,CHAR(34),CHAR(47),CHAR(62)),"&lt;/routeDistribution&gt;"))</f>
        <v/>
      </c>
    </row>
    <row r="8036" spans="1:5" x14ac:dyDescent="0.25">
      <c r="A8036" t="s">
        <v>1748</v>
      </c>
      <c r="B8036" t="s">
        <v>1138</v>
      </c>
      <c r="E8036" t="str">
        <f>IF(OR(E8035="&lt;/routeDistribution&gt;",E8035=""),"",IFERROR(_xlfn.CONCAT(VLOOKUP(K36,Route_Column!#REF!,2,FALSE),CHAR(34)," probability=",CHAR(34),1/K$4,CHAR(34),CHAR(47),CHAR(62)),"&lt;/routeDistribution&gt;"))</f>
        <v/>
      </c>
    </row>
    <row r="8037" spans="1:5" x14ac:dyDescent="0.25">
      <c r="A8037" t="s">
        <v>1748</v>
      </c>
      <c r="B8037" t="s">
        <v>1145</v>
      </c>
      <c r="E8037" t="str">
        <f>IF(OR(E8036="&lt;/routeDistribution&gt;",E8036=""),"",IFERROR(_xlfn.CONCAT(VLOOKUP(K37,Route_Column!#REF!,2,FALSE),CHAR(34)," probability=",CHAR(34),1/K$4,CHAR(34),CHAR(47),CHAR(62)),"&lt;/routeDistribution&gt;"))</f>
        <v/>
      </c>
    </row>
    <row r="8038" spans="1:5" x14ac:dyDescent="0.25">
      <c r="A8038" t="s">
        <v>1748</v>
      </c>
      <c r="B8038" t="s">
        <v>1154</v>
      </c>
      <c r="E8038" t="str">
        <f>IF(OR(E8037="&lt;/routeDistribution&gt;",E8037=""),"",IFERROR(_xlfn.CONCAT(VLOOKUP(K38,Route_Column!#REF!,2,FALSE),CHAR(34)," probability=",CHAR(34),1/K$4,CHAR(34),CHAR(47),CHAR(62)),"&lt;/routeDistribution&gt;"))</f>
        <v/>
      </c>
    </row>
    <row r="8039" spans="1:5" x14ac:dyDescent="0.25">
      <c r="A8039" t="s">
        <v>1748</v>
      </c>
      <c r="B8039" t="s">
        <v>1171</v>
      </c>
      <c r="E8039" t="str">
        <f>IF(OR(E8038="&lt;/routeDistribution&gt;",E8038=""),"",IFERROR(_xlfn.CONCAT(VLOOKUP(K39,Route_Column!#REF!,2,FALSE),CHAR(34)," probability=",CHAR(34),1/K$4,CHAR(34),CHAR(47),CHAR(62)),"&lt;/routeDistribution&gt;"))</f>
        <v/>
      </c>
    </row>
    <row r="8040" spans="1:5" x14ac:dyDescent="0.25">
      <c r="A8040" t="s">
        <v>1748</v>
      </c>
      <c r="B8040" t="s">
        <v>1180</v>
      </c>
      <c r="E8040" t="str">
        <f>IF(OR(E8039="&lt;/routeDistribution&gt;",E8039=""),"",IFERROR(_xlfn.CONCAT(VLOOKUP(K40,Route_Column!#REF!,2,FALSE),CHAR(34)," probability=",CHAR(34),1/K$4,CHAR(34),CHAR(47),CHAR(62)),"&lt;/routeDistribution&gt;"))</f>
        <v/>
      </c>
    </row>
    <row r="8041" spans="1:5" x14ac:dyDescent="0.25">
      <c r="A8041" t="s">
        <v>1748</v>
      </c>
      <c r="B8041" t="s">
        <v>1181</v>
      </c>
      <c r="E8041" t="str">
        <f>IF(OR(E8040="&lt;/routeDistribution&gt;",E8040=""),"",IFERROR(_xlfn.CONCAT(VLOOKUP(K41,Route_Column!#REF!,2,FALSE),CHAR(34)," probability=",CHAR(34),1/K$4,CHAR(34),CHAR(47),CHAR(62)),"&lt;/routeDistribution&gt;"))</f>
        <v/>
      </c>
    </row>
    <row r="8042" spans="1:5" x14ac:dyDescent="0.25">
      <c r="A8042" t="s">
        <v>1748</v>
      </c>
      <c r="B8042" t="s">
        <v>1182</v>
      </c>
      <c r="E8042" t="str">
        <f>IF(OR(E8041="&lt;/routeDistribution&gt;",E8041=""),"",IFERROR(_xlfn.CONCAT(VLOOKUP(K42,Route_Column!#REF!,2,FALSE),CHAR(34)," probability=",CHAR(34),1/K$4,CHAR(34),CHAR(47),CHAR(62)),"&lt;/routeDistribution&gt;"))</f>
        <v/>
      </c>
    </row>
    <row r="8043" spans="1:5" x14ac:dyDescent="0.25">
      <c r="A8043" t="s">
        <v>1748</v>
      </c>
      <c r="B8043" t="s">
        <v>1183</v>
      </c>
      <c r="E8043" t="str">
        <f>IF(OR(E8042="&lt;/routeDistribution&gt;",E8042=""),"",IFERROR(_xlfn.CONCAT(VLOOKUP(K43,Route_Column!#REF!,2,FALSE),CHAR(34)," probability=",CHAR(34),1/K$4,CHAR(34),CHAR(47),CHAR(62)),"&lt;/routeDistribution&gt;"))</f>
        <v/>
      </c>
    </row>
    <row r="8044" spans="1:5" x14ac:dyDescent="0.25">
      <c r="A8044" t="s">
        <v>1748</v>
      </c>
      <c r="B8044" t="s">
        <v>1184</v>
      </c>
      <c r="E8044" t="str">
        <f>IF(OR(E8043="&lt;/routeDistribution&gt;",E8043=""),"",IFERROR(_xlfn.CONCAT(VLOOKUP(K44,Route_Column!#REF!,2,FALSE),CHAR(34)," probability=",CHAR(34),1/K$4,CHAR(34),CHAR(47),CHAR(62)),"&lt;/routeDistribution&gt;"))</f>
        <v/>
      </c>
    </row>
    <row r="8045" spans="1:5" x14ac:dyDescent="0.25">
      <c r="A8045" t="s">
        <v>1748</v>
      </c>
      <c r="B8045" t="s">
        <v>1185</v>
      </c>
      <c r="E8045" t="str">
        <f>IF(OR(E8044="&lt;/routeDistribution&gt;",E8044=""),"",IFERROR(_xlfn.CONCAT(VLOOKUP(K45,Route_Column!#REF!,2,FALSE),CHAR(34)," probability=",CHAR(34),1/K$4,CHAR(34),CHAR(47),CHAR(62)),"&lt;/routeDistribution&gt;"))</f>
        <v/>
      </c>
    </row>
    <row r="8046" spans="1:5" x14ac:dyDescent="0.25">
      <c r="A8046" t="s">
        <v>1748</v>
      </c>
      <c r="B8046" t="s">
        <v>1197</v>
      </c>
      <c r="E8046" t="str">
        <f>IF(OR(E8045="&lt;/routeDistribution&gt;",E8045=""),"",IFERROR(_xlfn.CONCAT(VLOOKUP(K46,Route_Column!#REF!,2,FALSE),CHAR(34)," probability=",CHAR(34),1/K$4,CHAR(34),CHAR(47),CHAR(62)),"&lt;/routeDistribution&gt;"))</f>
        <v/>
      </c>
    </row>
    <row r="8047" spans="1:5" x14ac:dyDescent="0.25">
      <c r="A8047" t="s">
        <v>1748</v>
      </c>
      <c r="B8047" t="s">
        <v>1201</v>
      </c>
      <c r="E8047" t="str">
        <f>IF(OR(E8046="&lt;/routeDistribution&gt;",E8046=""),"",IFERROR(_xlfn.CONCAT(VLOOKUP(K47,Route_Column!#REF!,2,FALSE),CHAR(34)," probability=",CHAR(34),1/K$4,CHAR(34),CHAR(47),CHAR(62)),"&lt;/routeDistribution&gt;"))</f>
        <v/>
      </c>
    </row>
    <row r="8048" spans="1:5" x14ac:dyDescent="0.25">
      <c r="A8048" t="s">
        <v>1748</v>
      </c>
      <c r="B8048" t="s">
        <v>1206</v>
      </c>
      <c r="E8048" t="str">
        <f>IF(OR(E8047="&lt;/routeDistribution&gt;",E8047=""),"",IFERROR(_xlfn.CONCAT(VLOOKUP(K48,Route_Column!#REF!,2,FALSE),CHAR(34)," probability=",CHAR(34),1/K$4,CHAR(34),CHAR(47),CHAR(62)),"&lt;/routeDistribution&gt;"))</f>
        <v/>
      </c>
    </row>
    <row r="8049" spans="1:5" x14ac:dyDescent="0.25">
      <c r="A8049" t="s">
        <v>1748</v>
      </c>
      <c r="B8049" t="s">
        <v>1225</v>
      </c>
      <c r="E8049" t="str">
        <f>IF(OR(E8048="&lt;/routeDistribution&gt;",E8048=""),"",IFERROR(_xlfn.CONCAT(VLOOKUP(K49,Route_Column!#REF!,2,FALSE),CHAR(34)," probability=",CHAR(34),1/K$4,CHAR(34),CHAR(47),CHAR(62)),"&lt;/routeDistribution&gt;"))</f>
        <v/>
      </c>
    </row>
    <row r="8050" spans="1:5" x14ac:dyDescent="0.25">
      <c r="A8050" t="s">
        <v>1749</v>
      </c>
      <c r="B8050" t="s">
        <v>1102</v>
      </c>
      <c r="E8050" t="str">
        <f>IF(OR(E8049="&lt;/routeDistribution&gt;",E8049=""),"",IFERROR(_xlfn.CONCAT(VLOOKUP(K50,Route_Column!#REF!,2,FALSE),CHAR(34)," probability=",CHAR(34),1/K$4,CHAR(34),CHAR(47),CHAR(62)),"&lt;/routeDistribution&gt;"))</f>
        <v/>
      </c>
    </row>
    <row r="8051" spans="1:5" x14ac:dyDescent="0.25">
      <c r="A8051" t="s">
        <v>1749</v>
      </c>
      <c r="B8051" t="s">
        <v>1110</v>
      </c>
      <c r="E8051" t="str">
        <f>IF(OR(E8050="&lt;/routeDistribution&gt;",E8050=""),"",IFERROR(_xlfn.CONCAT(VLOOKUP(K51,Route_Column!#REF!,2,FALSE),CHAR(34)," probability=",CHAR(34),1/K$4,CHAR(34),CHAR(47),CHAR(62)),"&lt;/routeDistribution&gt;"))</f>
        <v/>
      </c>
    </row>
    <row r="8052" spans="1:5" x14ac:dyDescent="0.25">
      <c r="A8052" t="s">
        <v>1749</v>
      </c>
      <c r="B8052" t="s">
        <v>1112</v>
      </c>
      <c r="E8052" t="str">
        <f>IF(OR(E8051="&lt;/routeDistribution&gt;",E8051=""),"",IFERROR(_xlfn.CONCAT(VLOOKUP(K52,Route_Column!#REF!,2,FALSE),CHAR(34)," probability=",CHAR(34),1/K$4,CHAR(34),CHAR(47),CHAR(62)),"&lt;/routeDistribution&gt;"))</f>
        <v/>
      </c>
    </row>
    <row r="8053" spans="1:5" x14ac:dyDescent="0.25">
      <c r="A8053" t="s">
        <v>1749</v>
      </c>
      <c r="B8053" t="s">
        <v>1130</v>
      </c>
      <c r="E8053" t="str">
        <f>IF(OR(E8052="&lt;/routeDistribution&gt;",E8052=""),"",IFERROR(_xlfn.CONCAT(VLOOKUP(K53,Route_Column!#REF!,2,FALSE),CHAR(34)," probability=",CHAR(34),1/K$4,CHAR(34),CHAR(47),CHAR(62)),"&lt;/routeDistribution&gt;"))</f>
        <v/>
      </c>
    </row>
    <row r="8054" spans="1:5" x14ac:dyDescent="0.25">
      <c r="A8054" t="s">
        <v>1749</v>
      </c>
      <c r="B8054" t="s">
        <v>1131</v>
      </c>
      <c r="E8054" t="str">
        <f>IF(OR(E8053="&lt;/routeDistribution&gt;",E8053=""),"",IFERROR(_xlfn.CONCAT(VLOOKUP(K54,Route_Column!#REF!,2,FALSE),CHAR(34)," probability=",CHAR(34),1/K$4,CHAR(34),CHAR(47),CHAR(62)),"&lt;/routeDistribution&gt;"))</f>
        <v/>
      </c>
    </row>
    <row r="8055" spans="1:5" x14ac:dyDescent="0.25">
      <c r="A8055" t="s">
        <v>1749</v>
      </c>
      <c r="B8055" t="s">
        <v>1132</v>
      </c>
      <c r="E8055" t="str">
        <f>IF(OR(E8054="&lt;/routeDistribution&gt;",E8054=""),"",IFERROR(_xlfn.CONCAT(VLOOKUP(K55,Route_Column!#REF!,2,FALSE),CHAR(34)," probability=",CHAR(34),1/K$4,CHAR(34),CHAR(47),CHAR(62)),"&lt;/routeDistribution&gt;"))</f>
        <v/>
      </c>
    </row>
    <row r="8056" spans="1:5" x14ac:dyDescent="0.25">
      <c r="A8056" t="s">
        <v>1749</v>
      </c>
      <c r="B8056" t="s">
        <v>1134</v>
      </c>
      <c r="E8056" t="str">
        <f>IF(OR(E8055="&lt;/routeDistribution&gt;",E8055=""),"",IFERROR(_xlfn.CONCAT(VLOOKUP(K56,Route_Column!#REF!,2,FALSE),CHAR(34)," probability=",CHAR(34),1/K$4,CHAR(34),CHAR(47),CHAR(62)),"&lt;/routeDistribution&gt;"))</f>
        <v/>
      </c>
    </row>
    <row r="8057" spans="1:5" x14ac:dyDescent="0.25">
      <c r="A8057" t="s">
        <v>1749</v>
      </c>
      <c r="B8057" t="s">
        <v>1137</v>
      </c>
      <c r="E8057" t="str">
        <f>IF(OR(E8056="&lt;/routeDistribution&gt;",E8056=""),"",IFERROR(_xlfn.CONCAT(VLOOKUP(K57,Route_Column!#REF!,2,FALSE),CHAR(34)," probability=",CHAR(34),1/K$4,CHAR(34),CHAR(47),CHAR(62)),"&lt;/routeDistribution&gt;"))</f>
        <v/>
      </c>
    </row>
    <row r="8058" spans="1:5" x14ac:dyDescent="0.25">
      <c r="A8058" t="s">
        <v>1749</v>
      </c>
      <c r="B8058" t="s">
        <v>1138</v>
      </c>
      <c r="E8058" t="str">
        <f>IF(OR(E8057="&lt;/routeDistribution&gt;",E8057=""),"",IFERROR(_xlfn.CONCAT(VLOOKUP(K58,Route_Column!#REF!,2,FALSE),CHAR(34)," probability=",CHAR(34),1/K$4,CHAR(34),CHAR(47),CHAR(62)),"&lt;/routeDistribution&gt;"))</f>
        <v/>
      </c>
    </row>
    <row r="8059" spans="1:5" x14ac:dyDescent="0.25">
      <c r="A8059" t="s">
        <v>1749</v>
      </c>
      <c r="B8059" t="s">
        <v>1145</v>
      </c>
      <c r="E8059" t="str">
        <f>IF(OR(E8058="&lt;/routeDistribution&gt;",E8058=""),"",IFERROR(_xlfn.CONCAT(VLOOKUP(K59,Route_Column!#REF!,2,FALSE),CHAR(34)," probability=",CHAR(34),1/K$4,CHAR(34),CHAR(47),CHAR(62)),"&lt;/routeDistribution&gt;"))</f>
        <v/>
      </c>
    </row>
    <row r="8060" spans="1:5" x14ac:dyDescent="0.25">
      <c r="A8060" t="s">
        <v>1749</v>
      </c>
      <c r="B8060" t="s">
        <v>1154</v>
      </c>
      <c r="E8060" t="str">
        <f>IF(OR(E8059="&lt;/routeDistribution&gt;",E8059=""),"",IFERROR(_xlfn.CONCAT(VLOOKUP(K60,Route_Column!#REF!,2,FALSE),CHAR(34)," probability=",CHAR(34),1/K$4,CHAR(34),CHAR(47),CHAR(62)),"&lt;/routeDistribution&gt;"))</f>
        <v/>
      </c>
    </row>
    <row r="8061" spans="1:5" x14ac:dyDescent="0.25">
      <c r="A8061" t="s">
        <v>1749</v>
      </c>
      <c r="B8061" t="s">
        <v>1171</v>
      </c>
      <c r="E8061" t="str">
        <f>IF(OR(E8060="&lt;/routeDistribution&gt;",E8060=""),"",IFERROR(_xlfn.CONCAT(VLOOKUP(K61,Route_Column!#REF!,2,FALSE),CHAR(34)," probability=",CHAR(34),1/K$4,CHAR(34),CHAR(47),CHAR(62)),"&lt;/routeDistribution&gt;"))</f>
        <v/>
      </c>
    </row>
    <row r="8062" spans="1:5" x14ac:dyDescent="0.25">
      <c r="A8062" t="s">
        <v>1749</v>
      </c>
      <c r="B8062" t="s">
        <v>1180</v>
      </c>
      <c r="E8062" t="str">
        <f>IF(OR(E8061="&lt;/routeDistribution&gt;",E8061=""),"",IFERROR(_xlfn.CONCAT(VLOOKUP(K62,Route_Column!#REF!,2,FALSE),CHAR(34)," probability=",CHAR(34),1/K$4,CHAR(34),CHAR(47),CHAR(62)),"&lt;/routeDistribution&gt;"))</f>
        <v/>
      </c>
    </row>
    <row r="8063" spans="1:5" x14ac:dyDescent="0.25">
      <c r="A8063" t="s">
        <v>1749</v>
      </c>
      <c r="B8063" t="s">
        <v>1181</v>
      </c>
      <c r="E8063" t="str">
        <f>IF(OR(E8062="&lt;/routeDistribution&gt;",E8062=""),"",IFERROR(_xlfn.CONCAT(VLOOKUP(K63,Route_Column!#REF!,2,FALSE),CHAR(34)," probability=",CHAR(34),1/K$4,CHAR(34),CHAR(47),CHAR(62)),"&lt;/routeDistribution&gt;"))</f>
        <v/>
      </c>
    </row>
    <row r="8064" spans="1:5" x14ac:dyDescent="0.25">
      <c r="A8064" t="s">
        <v>1749</v>
      </c>
      <c r="B8064" t="s">
        <v>1182</v>
      </c>
      <c r="E8064" t="s">
        <v>2686</v>
      </c>
    </row>
    <row r="8065" spans="1:5" x14ac:dyDescent="0.25">
      <c r="A8065" t="s">
        <v>1749</v>
      </c>
      <c r="B8065" t="s">
        <v>1183</v>
      </c>
    </row>
    <row r="8066" spans="1:5" x14ac:dyDescent="0.25">
      <c r="A8066" t="s">
        <v>1749</v>
      </c>
      <c r="B8066" t="s">
        <v>1184</v>
      </c>
    </row>
    <row r="8067" spans="1:5" x14ac:dyDescent="0.25">
      <c r="A8067" t="s">
        <v>1749</v>
      </c>
      <c r="B8067" t="s">
        <v>1185</v>
      </c>
      <c r="E8067" t="str">
        <f>_xlfn.CONCAT($E$1,J$2,$F$1)</f>
        <v>&lt;routeDistribution id="I-76-SPGF-to-676-EB-2015-RouteProbe"&gt;</v>
      </c>
    </row>
    <row r="8068" spans="1:5" x14ac:dyDescent="0.25">
      <c r="A8068" t="s">
        <v>1749</v>
      </c>
      <c r="B8068" t="s">
        <v>1197</v>
      </c>
      <c r="E8068" t="str">
        <f>IF(OR(E8067="&lt;/routeDistribution&gt;",E8067=""),"",IFERROR(_xlfn.CONCAT(VLOOKUP(J5,Route_Column!#REF!,2,FALSE),CHAR(34)," probability=",CHAR(34),1/J$4,CHAR(34),CHAR(47),CHAR(62)),"&lt;/routeDistribution&gt;"))</f>
        <v>&lt;/routeDistribution&gt;</v>
      </c>
    </row>
    <row r="8069" spans="1:5" x14ac:dyDescent="0.25">
      <c r="A8069" t="s">
        <v>1749</v>
      </c>
      <c r="B8069" t="s">
        <v>1201</v>
      </c>
      <c r="E8069" t="str">
        <f>IF(OR(E8068="&lt;/routeDistribution&gt;",E8068=""),"",IFERROR(_xlfn.CONCAT(VLOOKUP(J6,Route_Column!#REF!,2,FALSE),CHAR(34)," probability=",CHAR(34),1/J$4,CHAR(34),CHAR(47),CHAR(62)),"&lt;/routeDistribution&gt;"))</f>
        <v/>
      </c>
    </row>
    <row r="8070" spans="1:5" x14ac:dyDescent="0.25">
      <c r="A8070" t="s">
        <v>1749</v>
      </c>
      <c r="B8070" t="s">
        <v>1206</v>
      </c>
      <c r="E8070" t="str">
        <f>IF(OR(E8069="&lt;/routeDistribution&gt;",E8069=""),"",IFERROR(_xlfn.CONCAT(VLOOKUP(J7,Route_Column!#REF!,2,FALSE),CHAR(34)," probability=",CHAR(34),1/J$4,CHAR(34),CHAR(47),CHAR(62)),"&lt;/routeDistribution&gt;"))</f>
        <v/>
      </c>
    </row>
    <row r="8071" spans="1:5" x14ac:dyDescent="0.25">
      <c r="A8071" t="s">
        <v>1749</v>
      </c>
      <c r="B8071" t="s">
        <v>1225</v>
      </c>
      <c r="E8071" t="str">
        <f>IF(OR(E8070="&lt;/routeDistribution&gt;",E8070=""),"",IFERROR(_xlfn.CONCAT(VLOOKUP(J8,Route_Column!#REF!,2,FALSE),CHAR(34)," probability=",CHAR(34),1/J$4,CHAR(34),CHAR(47),CHAR(62)),"&lt;/routeDistribution&gt;"))</f>
        <v/>
      </c>
    </row>
    <row r="8072" spans="1:5" x14ac:dyDescent="0.25">
      <c r="A8072" t="s">
        <v>2201</v>
      </c>
      <c r="B8072" t="s">
        <v>1160</v>
      </c>
      <c r="E8072" t="str">
        <f>IF(OR(E8071="&lt;/routeDistribution&gt;",E8071=""),"",IFERROR(_xlfn.CONCAT(VLOOKUP(J9,Route_Column!#REF!,2,FALSE),CHAR(34)," probability=",CHAR(34),1/J$4,CHAR(34),CHAR(47),CHAR(62)),"&lt;/routeDistribution&gt;"))</f>
        <v/>
      </c>
    </row>
    <row r="8073" spans="1:5" x14ac:dyDescent="0.25">
      <c r="A8073" t="s">
        <v>2201</v>
      </c>
      <c r="B8073" t="s">
        <v>1161</v>
      </c>
      <c r="E8073" t="str">
        <f>IF(OR(E8072="&lt;/routeDistribution&gt;",E8072=""),"",IFERROR(_xlfn.CONCAT(VLOOKUP(J10,Route_Column!#REF!,2,FALSE),CHAR(34)," probability=",CHAR(34),1/J$4,CHAR(34),CHAR(47),CHAR(62)),"&lt;/routeDistribution&gt;"))</f>
        <v/>
      </c>
    </row>
    <row r="8074" spans="1:5" x14ac:dyDescent="0.25">
      <c r="A8074" t="s">
        <v>2201</v>
      </c>
      <c r="B8074" t="s">
        <v>1162</v>
      </c>
      <c r="E8074" t="str">
        <f>IF(OR(E8073="&lt;/routeDistribution&gt;",E8073=""),"",IFERROR(_xlfn.CONCAT(VLOOKUP(J11,Route_Column!#REF!,2,FALSE),CHAR(34)," probability=",CHAR(34),1/J$4,CHAR(34),CHAR(47),CHAR(62)),"&lt;/routeDistribution&gt;"))</f>
        <v/>
      </c>
    </row>
    <row r="8075" spans="1:5" x14ac:dyDescent="0.25">
      <c r="A8075" t="s">
        <v>2201</v>
      </c>
      <c r="B8075" t="s">
        <v>1163</v>
      </c>
      <c r="E8075" t="str">
        <f>IF(OR(E8074="&lt;/routeDistribution&gt;",E8074=""),"",IFERROR(_xlfn.CONCAT(VLOOKUP(J12,Route_Column!#REF!,2,FALSE),CHAR(34)," probability=",CHAR(34),1/J$4,CHAR(34),CHAR(47),CHAR(62)),"&lt;/routeDistribution&gt;"))</f>
        <v/>
      </c>
    </row>
    <row r="8076" spans="1:5" x14ac:dyDescent="0.25">
      <c r="A8076" t="s">
        <v>2201</v>
      </c>
      <c r="B8076" t="s">
        <v>1164</v>
      </c>
      <c r="E8076" t="str">
        <f>IF(OR(E8075="&lt;/routeDistribution&gt;",E8075=""),"",IFERROR(_xlfn.CONCAT(VLOOKUP(J13,Route_Column!#REF!,2,FALSE),CHAR(34)," probability=",CHAR(34),1/J$4,CHAR(34),CHAR(47),CHAR(62)),"&lt;/routeDistribution&gt;"))</f>
        <v/>
      </c>
    </row>
    <row r="8077" spans="1:5" x14ac:dyDescent="0.25">
      <c r="A8077" t="s">
        <v>2201</v>
      </c>
      <c r="B8077" t="s">
        <v>1165</v>
      </c>
      <c r="E8077" t="str">
        <f>IF(OR(E8076="&lt;/routeDistribution&gt;",E8076=""),"",IFERROR(_xlfn.CONCAT(VLOOKUP(J14,Route_Column!#REF!,2,FALSE),CHAR(34)," probability=",CHAR(34),1/J$4,CHAR(34),CHAR(47),CHAR(62)),"&lt;/routeDistribution&gt;"))</f>
        <v/>
      </c>
    </row>
    <row r="8078" spans="1:5" x14ac:dyDescent="0.25">
      <c r="A8078" t="s">
        <v>2203</v>
      </c>
      <c r="B8078" t="s">
        <v>1160</v>
      </c>
      <c r="E8078" t="str">
        <f>IF(OR(E8077="&lt;/routeDistribution&gt;",E8077=""),"",IFERROR(_xlfn.CONCAT(VLOOKUP(J15,Route_Column!#REF!,2,FALSE),CHAR(34)," probability=",CHAR(34),1/J$4,CHAR(34),CHAR(47),CHAR(62)),"&lt;/routeDistribution&gt;"))</f>
        <v/>
      </c>
    </row>
    <row r="8079" spans="1:5" x14ac:dyDescent="0.25">
      <c r="A8079" t="s">
        <v>2203</v>
      </c>
      <c r="B8079" t="s">
        <v>1161</v>
      </c>
      <c r="E8079" t="str">
        <f>IF(OR(E8078="&lt;/routeDistribution&gt;",E8078=""),"",IFERROR(_xlfn.CONCAT(VLOOKUP(J16,Route_Column!#REF!,2,FALSE),CHAR(34)," probability=",CHAR(34),1/J$4,CHAR(34),CHAR(47),CHAR(62)),"&lt;/routeDistribution&gt;"))</f>
        <v/>
      </c>
    </row>
    <row r="8080" spans="1:5" x14ac:dyDescent="0.25">
      <c r="A8080" t="s">
        <v>2203</v>
      </c>
      <c r="B8080" t="s">
        <v>1162</v>
      </c>
      <c r="E8080" t="str">
        <f>IF(OR(E8079="&lt;/routeDistribution&gt;",E8079=""),"",IFERROR(_xlfn.CONCAT(VLOOKUP(J17,Route_Column!#REF!,2,FALSE),CHAR(34)," probability=",CHAR(34),1/J$4,CHAR(34),CHAR(47),CHAR(62)),"&lt;/routeDistribution&gt;"))</f>
        <v/>
      </c>
    </row>
    <row r="8081" spans="1:5" x14ac:dyDescent="0.25">
      <c r="A8081" t="s">
        <v>2203</v>
      </c>
      <c r="B8081" t="s">
        <v>1163</v>
      </c>
      <c r="E8081" t="str">
        <f>IF(OR(E8080="&lt;/routeDistribution&gt;",E8080=""),"",IFERROR(_xlfn.CONCAT(VLOOKUP(J18,Route_Column!#REF!,2,FALSE),CHAR(34)," probability=",CHAR(34),1/J$4,CHAR(34),CHAR(47),CHAR(62)),"&lt;/routeDistribution&gt;"))</f>
        <v/>
      </c>
    </row>
    <row r="8082" spans="1:5" x14ac:dyDescent="0.25">
      <c r="A8082" t="s">
        <v>2203</v>
      </c>
      <c r="B8082" t="s">
        <v>1164</v>
      </c>
      <c r="E8082" t="str">
        <f>IF(OR(E8081="&lt;/routeDistribution&gt;",E8081=""),"",IFERROR(_xlfn.CONCAT(VLOOKUP(J19,Route_Column!#REF!,2,FALSE),CHAR(34)," probability=",CHAR(34),1/J$4,CHAR(34),CHAR(47),CHAR(62)),"&lt;/routeDistribution&gt;"))</f>
        <v/>
      </c>
    </row>
    <row r="8083" spans="1:5" x14ac:dyDescent="0.25">
      <c r="A8083" t="s">
        <v>2203</v>
      </c>
      <c r="B8083" t="s">
        <v>1165</v>
      </c>
      <c r="E8083" t="str">
        <f>IF(OR(E8082="&lt;/routeDistribution&gt;",E8082=""),"",IFERROR(_xlfn.CONCAT(VLOOKUP(J20,Route_Column!#REF!,2,FALSE),CHAR(34)," probability=",CHAR(34),1/J$4,CHAR(34),CHAR(47),CHAR(62)),"&lt;/routeDistribution&gt;"))</f>
        <v/>
      </c>
    </row>
    <row r="8084" spans="1:5" x14ac:dyDescent="0.25">
      <c r="A8084" t="s">
        <v>2202</v>
      </c>
      <c r="B8084" t="s">
        <v>1160</v>
      </c>
      <c r="E8084" t="str">
        <f>IF(OR(E8083="&lt;/routeDistribution&gt;",E8083=""),"",IFERROR(_xlfn.CONCAT(VLOOKUP(J21,Route_Column!#REF!,2,FALSE),CHAR(34)," probability=",CHAR(34),1/J$4,CHAR(34),CHAR(47),CHAR(62)),"&lt;/routeDistribution&gt;"))</f>
        <v/>
      </c>
    </row>
    <row r="8085" spans="1:5" x14ac:dyDescent="0.25">
      <c r="A8085" t="s">
        <v>2202</v>
      </c>
      <c r="B8085" t="s">
        <v>1161</v>
      </c>
      <c r="E8085" t="str">
        <f>IF(OR(E8084="&lt;/routeDistribution&gt;",E8084=""),"",IFERROR(_xlfn.CONCAT(VLOOKUP(J22,Route_Column!#REF!,2,FALSE),CHAR(34)," probability=",CHAR(34),1/J$4,CHAR(34),CHAR(47),CHAR(62)),"&lt;/routeDistribution&gt;"))</f>
        <v/>
      </c>
    </row>
    <row r="8086" spans="1:5" x14ac:dyDescent="0.25">
      <c r="A8086" t="s">
        <v>2202</v>
      </c>
      <c r="B8086" t="s">
        <v>1162</v>
      </c>
      <c r="E8086" t="str">
        <f>IF(OR(E8085="&lt;/routeDistribution&gt;",E8085=""),"",IFERROR(_xlfn.CONCAT(VLOOKUP(J23,Route_Column!#REF!,2,FALSE),CHAR(34)," probability=",CHAR(34),1/J$4,CHAR(34),CHAR(47),CHAR(62)),"&lt;/routeDistribution&gt;"))</f>
        <v/>
      </c>
    </row>
    <row r="8087" spans="1:5" x14ac:dyDescent="0.25">
      <c r="A8087" t="s">
        <v>2202</v>
      </c>
      <c r="B8087" t="s">
        <v>1163</v>
      </c>
      <c r="E8087" t="str">
        <f>IF(OR(E8086="&lt;/routeDistribution&gt;",E8086=""),"",IFERROR(_xlfn.CONCAT(VLOOKUP(J24,Route_Column!#REF!,2,FALSE),CHAR(34)," probability=",CHAR(34),1/J$4,CHAR(34),CHAR(47),CHAR(62)),"&lt;/routeDistribution&gt;"))</f>
        <v/>
      </c>
    </row>
    <row r="8088" spans="1:5" x14ac:dyDescent="0.25">
      <c r="A8088" t="s">
        <v>2202</v>
      </c>
      <c r="B8088" t="s">
        <v>1164</v>
      </c>
      <c r="E8088" t="str">
        <f>IF(OR(E8087="&lt;/routeDistribution&gt;",E8087=""),"",IFERROR(_xlfn.CONCAT(VLOOKUP(J25,Route_Column!#REF!,2,FALSE),CHAR(34)," probability=",CHAR(34),1/J$4,CHAR(34),CHAR(47),CHAR(62)),"&lt;/routeDistribution&gt;"))</f>
        <v/>
      </c>
    </row>
    <row r="8089" spans="1:5" x14ac:dyDescent="0.25">
      <c r="A8089" t="s">
        <v>2202</v>
      </c>
      <c r="B8089" t="s">
        <v>1165</v>
      </c>
      <c r="E8089" t="str">
        <f>IF(OR(E8088="&lt;/routeDistribution&gt;",E8088=""),"",IFERROR(_xlfn.CONCAT(VLOOKUP(J26,Route_Column!#REF!,2,FALSE),CHAR(34)," probability=",CHAR(34),1/J$4,CHAR(34),CHAR(47),CHAR(62)),"&lt;/routeDistribution&gt;"))</f>
        <v/>
      </c>
    </row>
    <row r="8090" spans="1:5" x14ac:dyDescent="0.25">
      <c r="A8090" t="s">
        <v>2279</v>
      </c>
      <c r="B8090" t="s">
        <v>1195</v>
      </c>
      <c r="E8090" t="str">
        <f>IF(OR(E8089="&lt;/routeDistribution&gt;",E8089=""),"",IFERROR(_xlfn.CONCAT(VLOOKUP(J27,Route_Column!#REF!,2,FALSE),CHAR(34)," probability=",CHAR(34),1/J$4,CHAR(34),CHAR(47),CHAR(62)),"&lt;/routeDistribution&gt;"))</f>
        <v/>
      </c>
    </row>
    <row r="8091" spans="1:5" x14ac:dyDescent="0.25">
      <c r="A8091" t="s">
        <v>2279</v>
      </c>
      <c r="B8091" t="s">
        <v>1196</v>
      </c>
      <c r="E8091" t="str">
        <f>IF(OR(E8090="&lt;/routeDistribution&gt;",E8090=""),"",IFERROR(_xlfn.CONCAT(VLOOKUP(J28,Route_Column!#REF!,2,FALSE),CHAR(34)," probability=",CHAR(34),1/J$4,CHAR(34),CHAR(47),CHAR(62)),"&lt;/routeDistribution&gt;"))</f>
        <v/>
      </c>
    </row>
    <row r="8092" spans="1:5" x14ac:dyDescent="0.25">
      <c r="A8092" t="s">
        <v>1955</v>
      </c>
      <c r="B8092" t="s">
        <v>1113</v>
      </c>
      <c r="E8092" t="str">
        <f>IF(OR(E8091="&lt;/routeDistribution&gt;",E8091=""),"",IFERROR(_xlfn.CONCAT(VLOOKUP(J29,Route_Column!#REF!,2,FALSE),CHAR(34)," probability=",CHAR(34),1/J$4,CHAR(34),CHAR(47),CHAR(62)),"&lt;/routeDistribution&gt;"))</f>
        <v/>
      </c>
    </row>
    <row r="8093" spans="1:5" x14ac:dyDescent="0.25">
      <c r="A8093" t="s">
        <v>1955</v>
      </c>
      <c r="B8093" t="s">
        <v>1114</v>
      </c>
      <c r="E8093" t="str">
        <f>IF(OR(E8092="&lt;/routeDistribution&gt;",E8092=""),"",IFERROR(_xlfn.CONCAT(VLOOKUP(J30,Route_Column!#REF!,2,FALSE),CHAR(34)," probability=",CHAR(34),1/J$4,CHAR(34),CHAR(47),CHAR(62)),"&lt;/routeDistribution&gt;"))</f>
        <v/>
      </c>
    </row>
    <row r="8094" spans="1:5" x14ac:dyDescent="0.25">
      <c r="A8094" t="s">
        <v>1955</v>
      </c>
      <c r="B8094" t="s">
        <v>1115</v>
      </c>
      <c r="E8094" t="str">
        <f>IF(OR(E8093="&lt;/routeDistribution&gt;",E8093=""),"",IFERROR(_xlfn.CONCAT(VLOOKUP(J31,Route_Column!#REF!,2,FALSE),CHAR(34)," probability=",CHAR(34),1/J$4,CHAR(34),CHAR(47),CHAR(62)),"&lt;/routeDistribution&gt;"))</f>
        <v/>
      </c>
    </row>
    <row r="8095" spans="1:5" x14ac:dyDescent="0.25">
      <c r="A8095" t="s">
        <v>1955</v>
      </c>
      <c r="B8095" t="s">
        <v>1133</v>
      </c>
      <c r="E8095" t="str">
        <f>IF(OR(E8094="&lt;/routeDistribution&gt;",E8094=""),"",IFERROR(_xlfn.CONCAT(VLOOKUP(J32,Route_Column!#REF!,2,FALSE),CHAR(34)," probability=",CHAR(34),1/J$4,CHAR(34),CHAR(47),CHAR(62)),"&lt;/routeDistribution&gt;"))</f>
        <v/>
      </c>
    </row>
    <row r="8096" spans="1:5" x14ac:dyDescent="0.25">
      <c r="A8096" t="s">
        <v>1955</v>
      </c>
      <c r="B8096" t="s">
        <v>1166</v>
      </c>
      <c r="E8096" t="str">
        <f>IF(OR(E8095="&lt;/routeDistribution&gt;",E8095=""),"",IFERROR(_xlfn.CONCAT(VLOOKUP(J33,Route_Column!#REF!,2,FALSE),CHAR(34)," probability=",CHAR(34),1/J$4,CHAR(34),CHAR(47),CHAR(62)),"&lt;/routeDistribution&gt;"))</f>
        <v/>
      </c>
    </row>
    <row r="8097" spans="1:5" x14ac:dyDescent="0.25">
      <c r="A8097" t="s">
        <v>1955</v>
      </c>
      <c r="B8097" t="s">
        <v>1167</v>
      </c>
      <c r="E8097" t="str">
        <f>IF(OR(E8096="&lt;/routeDistribution&gt;",E8096=""),"",IFERROR(_xlfn.CONCAT(VLOOKUP(J34,Route_Column!#REF!,2,FALSE),CHAR(34)," probability=",CHAR(34),1/J$4,CHAR(34),CHAR(47),CHAR(62)),"&lt;/routeDistribution&gt;"))</f>
        <v/>
      </c>
    </row>
    <row r="8098" spans="1:5" x14ac:dyDescent="0.25">
      <c r="A8098" t="s">
        <v>1955</v>
      </c>
      <c r="B8098" t="s">
        <v>1168</v>
      </c>
      <c r="E8098" t="str">
        <f>IF(OR(E8097="&lt;/routeDistribution&gt;",E8097=""),"",IFERROR(_xlfn.CONCAT(VLOOKUP(J35,Route_Column!#REF!,2,FALSE),CHAR(34)," probability=",CHAR(34),1/J$4,CHAR(34),CHAR(47),CHAR(62)),"&lt;/routeDistribution&gt;"))</f>
        <v/>
      </c>
    </row>
    <row r="8099" spans="1:5" x14ac:dyDescent="0.25">
      <c r="A8099" t="s">
        <v>1955</v>
      </c>
      <c r="B8099" t="s">
        <v>1186</v>
      </c>
      <c r="E8099" t="str">
        <f>IF(OR(E8098="&lt;/routeDistribution&gt;",E8098=""),"",IFERROR(_xlfn.CONCAT(VLOOKUP(J36,Route_Column!#REF!,2,FALSE),CHAR(34)," probability=",CHAR(34),1/J$4,CHAR(34),CHAR(47),CHAR(62)),"&lt;/routeDistribution&gt;"))</f>
        <v/>
      </c>
    </row>
    <row r="8100" spans="1:5" x14ac:dyDescent="0.25">
      <c r="A8100" t="s">
        <v>1955</v>
      </c>
      <c r="B8100" t="s">
        <v>1187</v>
      </c>
      <c r="E8100" t="str">
        <f>IF(OR(E8099="&lt;/routeDistribution&gt;",E8099=""),"",IFERROR(_xlfn.CONCAT(VLOOKUP(J37,Route_Column!#REF!,2,FALSE),CHAR(34)," probability=",CHAR(34),1/J$4,CHAR(34),CHAR(47),CHAR(62)),"&lt;/routeDistribution&gt;"))</f>
        <v/>
      </c>
    </row>
    <row r="8101" spans="1:5" x14ac:dyDescent="0.25">
      <c r="A8101" t="s">
        <v>1955</v>
      </c>
      <c r="B8101" t="s">
        <v>1188</v>
      </c>
      <c r="E8101" t="str">
        <f>IF(OR(E8100="&lt;/routeDistribution&gt;",E8100=""),"",IFERROR(_xlfn.CONCAT(VLOOKUP(J38,Route_Column!#REF!,2,FALSE),CHAR(34)," probability=",CHAR(34),1/J$4,CHAR(34),CHAR(47),CHAR(62)),"&lt;/routeDistribution&gt;"))</f>
        <v/>
      </c>
    </row>
    <row r="8102" spans="1:5" x14ac:dyDescent="0.25">
      <c r="A8102" t="s">
        <v>1955</v>
      </c>
      <c r="B8102" t="s">
        <v>1189</v>
      </c>
      <c r="E8102" t="str">
        <f>IF(OR(E8101="&lt;/routeDistribution&gt;",E8101=""),"",IFERROR(_xlfn.CONCAT(VLOOKUP(J39,Route_Column!#REF!,2,FALSE),CHAR(34)," probability=",CHAR(34),1/J$4,CHAR(34),CHAR(47),CHAR(62)),"&lt;/routeDistribution&gt;"))</f>
        <v/>
      </c>
    </row>
    <row r="8103" spans="1:5" x14ac:dyDescent="0.25">
      <c r="A8103" t="s">
        <v>1955</v>
      </c>
      <c r="B8103" t="s">
        <v>1195</v>
      </c>
      <c r="E8103" t="str">
        <f>IF(OR(E8102="&lt;/routeDistribution&gt;",E8102=""),"",IFERROR(_xlfn.CONCAT(VLOOKUP(J40,Route_Column!#REF!,2,FALSE),CHAR(34)," probability=",CHAR(34),1/J$4,CHAR(34),CHAR(47),CHAR(62)),"&lt;/routeDistribution&gt;"))</f>
        <v/>
      </c>
    </row>
    <row r="8104" spans="1:5" x14ac:dyDescent="0.25">
      <c r="A8104" t="s">
        <v>1955</v>
      </c>
      <c r="B8104" t="s">
        <v>1196</v>
      </c>
      <c r="E8104" t="str">
        <f>IF(OR(E8103="&lt;/routeDistribution&gt;",E8103=""),"",IFERROR(_xlfn.CONCAT(VLOOKUP(J41,Route_Column!#REF!,2,FALSE),CHAR(34)," probability=",CHAR(34),1/J$4,CHAR(34),CHAR(47),CHAR(62)),"&lt;/routeDistribution&gt;"))</f>
        <v/>
      </c>
    </row>
    <row r="8105" spans="1:5" x14ac:dyDescent="0.25">
      <c r="A8105" s="11" t="s">
        <v>1431</v>
      </c>
      <c r="B8105" t="s">
        <v>1090</v>
      </c>
      <c r="E8105" t="str">
        <f>IF(OR(E8104="&lt;/routeDistribution&gt;",E8104=""),"",IFERROR(_xlfn.CONCAT(VLOOKUP(J42,Route_Column!#REF!,2,FALSE),CHAR(34)," probability=",CHAR(34),1/J$4,CHAR(34),CHAR(47),CHAR(62)),"&lt;/routeDistribution&gt;"))</f>
        <v/>
      </c>
    </row>
    <row r="8106" spans="1:5" x14ac:dyDescent="0.25">
      <c r="A8106" s="11" t="s">
        <v>1431</v>
      </c>
      <c r="B8106" t="s">
        <v>1091</v>
      </c>
      <c r="E8106" t="str">
        <f>IF(OR(E8105="&lt;/routeDistribution&gt;",E8105=""),"",IFERROR(_xlfn.CONCAT(VLOOKUP(J43,Route_Column!#REF!,2,FALSE),CHAR(34)," probability=",CHAR(34),1/J$4,CHAR(34),CHAR(47),CHAR(62)),"&lt;/routeDistribution&gt;"))</f>
        <v/>
      </c>
    </row>
    <row r="8107" spans="1:5" x14ac:dyDescent="0.25">
      <c r="A8107" s="11" t="s">
        <v>1431</v>
      </c>
      <c r="B8107" t="s">
        <v>1091</v>
      </c>
      <c r="E8107" t="str">
        <f>IF(OR(E8106="&lt;/routeDistribution&gt;",E8106=""),"",IFERROR(_xlfn.CONCAT(VLOOKUP(J44,Route_Column!#REF!,2,FALSE),CHAR(34)," probability=",CHAR(34),1/J$4,CHAR(34),CHAR(47),CHAR(62)),"&lt;/routeDistribution&gt;"))</f>
        <v/>
      </c>
    </row>
    <row r="8108" spans="1:5" x14ac:dyDescent="0.25">
      <c r="A8108" s="13" t="s">
        <v>1431</v>
      </c>
      <c r="B8108" t="s">
        <v>1092</v>
      </c>
      <c r="E8108" t="str">
        <f>IF(OR(E8107="&lt;/routeDistribution&gt;",E8107=""),"",IFERROR(_xlfn.CONCAT(VLOOKUP(J45,Route_Column!#REF!,2,FALSE),CHAR(34)," probability=",CHAR(34),1/J$4,CHAR(34),CHAR(47),CHAR(62)),"&lt;/routeDistribution&gt;"))</f>
        <v/>
      </c>
    </row>
    <row r="8109" spans="1:5" x14ac:dyDescent="0.25">
      <c r="A8109" t="s">
        <v>1431</v>
      </c>
      <c r="B8109" t="s">
        <v>1092</v>
      </c>
      <c r="E8109" t="str">
        <f>IF(OR(E8108="&lt;/routeDistribution&gt;",E8108=""),"",IFERROR(_xlfn.CONCAT(VLOOKUP(J46,Route_Column!#REF!,2,FALSE),CHAR(34)," probability=",CHAR(34),1/J$4,CHAR(34),CHAR(47),CHAR(62)),"&lt;/routeDistribution&gt;"))</f>
        <v/>
      </c>
    </row>
    <row r="8110" spans="1:5" x14ac:dyDescent="0.25">
      <c r="A8110" t="s">
        <v>1431</v>
      </c>
      <c r="B8110" t="s">
        <v>1093</v>
      </c>
      <c r="E8110" t="str">
        <f>IF(OR(E8109="&lt;/routeDistribution&gt;",E8109=""),"",IFERROR(_xlfn.CONCAT(VLOOKUP(J47,Route_Column!#REF!,2,FALSE),CHAR(34)," probability=",CHAR(34),1/J$4,CHAR(34),CHAR(47),CHAR(62)),"&lt;/routeDistribution&gt;"))</f>
        <v/>
      </c>
    </row>
    <row r="8111" spans="1:5" x14ac:dyDescent="0.25">
      <c r="A8111" t="s">
        <v>1431</v>
      </c>
      <c r="B8111" t="s">
        <v>1093</v>
      </c>
      <c r="E8111" t="str">
        <f>IF(OR(E8110="&lt;/routeDistribution&gt;",E8110=""),"",IFERROR(_xlfn.CONCAT(VLOOKUP(J48,Route_Column!#REF!,2,FALSE),CHAR(34)," probability=",CHAR(34),1/J$4,CHAR(34),CHAR(47),CHAR(62)),"&lt;/routeDistribution&gt;"))</f>
        <v/>
      </c>
    </row>
    <row r="8112" spans="1:5" x14ac:dyDescent="0.25">
      <c r="A8112" t="s">
        <v>1431</v>
      </c>
      <c r="B8112" t="s">
        <v>1094</v>
      </c>
      <c r="E8112" t="str">
        <f>IF(OR(E8111="&lt;/routeDistribution&gt;",E8111=""),"",IFERROR(_xlfn.CONCAT(VLOOKUP(J49,Route_Column!#REF!,2,FALSE),CHAR(34)," probability=",CHAR(34),1/J$4,CHAR(34),CHAR(47),CHAR(62)),"&lt;/routeDistribution&gt;"))</f>
        <v/>
      </c>
    </row>
    <row r="8113" spans="1:5" x14ac:dyDescent="0.25">
      <c r="A8113" t="s">
        <v>1431</v>
      </c>
      <c r="B8113" t="s">
        <v>1094</v>
      </c>
      <c r="E8113" t="str">
        <f>IF(OR(E8112="&lt;/routeDistribution&gt;",E8112=""),"",IFERROR(_xlfn.CONCAT(VLOOKUP(J50,Route_Column!#REF!,2,FALSE),CHAR(34)," probability=",CHAR(34),1/J$4,CHAR(34),CHAR(47),CHAR(62)),"&lt;/routeDistribution&gt;"))</f>
        <v/>
      </c>
    </row>
    <row r="8114" spans="1:5" x14ac:dyDescent="0.25">
      <c r="A8114" t="s">
        <v>1431</v>
      </c>
      <c r="B8114" t="s">
        <v>1095</v>
      </c>
      <c r="E8114" t="str">
        <f>IF(OR(E8113="&lt;/routeDistribution&gt;",E8113=""),"",IFERROR(_xlfn.CONCAT(VLOOKUP(J51,Route_Column!#REF!,2,FALSE),CHAR(34)," probability=",CHAR(34),1/J$4,CHAR(34),CHAR(47),CHAR(62)),"&lt;/routeDistribution&gt;"))</f>
        <v/>
      </c>
    </row>
    <row r="8115" spans="1:5" x14ac:dyDescent="0.25">
      <c r="A8115" t="s">
        <v>1431</v>
      </c>
      <c r="B8115" t="s">
        <v>1095</v>
      </c>
      <c r="E8115" t="str">
        <f>IF(OR(E8114="&lt;/routeDistribution&gt;",E8114=""),"",IFERROR(_xlfn.CONCAT(VLOOKUP(J52,Route_Column!#REF!,2,FALSE),CHAR(34)," probability=",CHAR(34),1/J$4,CHAR(34),CHAR(47),CHAR(62)),"&lt;/routeDistribution&gt;"))</f>
        <v/>
      </c>
    </row>
    <row r="8116" spans="1:5" x14ac:dyDescent="0.25">
      <c r="A8116" t="s">
        <v>1431</v>
      </c>
      <c r="B8116" t="s">
        <v>1096</v>
      </c>
      <c r="E8116" t="str">
        <f>IF(OR(E8115="&lt;/routeDistribution&gt;",E8115=""),"",IFERROR(_xlfn.CONCAT(VLOOKUP(J53,Route_Column!#REF!,2,FALSE),CHAR(34)," probability=",CHAR(34),1/J$4,CHAR(34),CHAR(47),CHAR(62)),"&lt;/routeDistribution&gt;"))</f>
        <v/>
      </c>
    </row>
    <row r="8117" spans="1:5" x14ac:dyDescent="0.25">
      <c r="A8117" t="s">
        <v>1431</v>
      </c>
      <c r="B8117" t="s">
        <v>1096</v>
      </c>
      <c r="E8117" t="str">
        <f>IF(OR(E8116="&lt;/routeDistribution&gt;",E8116=""),"",IFERROR(_xlfn.CONCAT(VLOOKUP(J54,Route_Column!#REF!,2,FALSE),CHAR(34)," probability=",CHAR(34),1/J$4,CHAR(34),CHAR(47),CHAR(62)),"&lt;/routeDistribution&gt;"))</f>
        <v/>
      </c>
    </row>
    <row r="8118" spans="1:5" x14ac:dyDescent="0.25">
      <c r="A8118" t="s">
        <v>1431</v>
      </c>
      <c r="B8118" t="s">
        <v>1097</v>
      </c>
      <c r="E8118" t="str">
        <f>IF(OR(E8117="&lt;/routeDistribution&gt;",E8117=""),"",IFERROR(_xlfn.CONCAT(VLOOKUP(J55,Route_Column!#REF!,2,FALSE),CHAR(34)," probability=",CHAR(34),1/J$4,CHAR(34),CHAR(47),CHAR(62)),"&lt;/routeDistribution&gt;"))</f>
        <v/>
      </c>
    </row>
    <row r="8119" spans="1:5" x14ac:dyDescent="0.25">
      <c r="A8119" t="s">
        <v>1431</v>
      </c>
      <c r="B8119" t="s">
        <v>1097</v>
      </c>
      <c r="E8119" t="str">
        <f>IF(OR(E8118="&lt;/routeDistribution&gt;",E8118=""),"",IFERROR(_xlfn.CONCAT(VLOOKUP(J56,Route_Column!#REF!,2,FALSE),CHAR(34)," probability=",CHAR(34),1/J$4,CHAR(34),CHAR(47),CHAR(62)),"&lt;/routeDistribution&gt;"))</f>
        <v/>
      </c>
    </row>
    <row r="8120" spans="1:5" x14ac:dyDescent="0.25">
      <c r="A8120" t="s">
        <v>1431</v>
      </c>
      <c r="B8120" t="s">
        <v>1098</v>
      </c>
      <c r="E8120" t="str">
        <f>IF(OR(E8119="&lt;/routeDistribution&gt;",E8119=""),"",IFERROR(_xlfn.CONCAT(VLOOKUP(J57,Route_Column!#REF!,2,FALSE),CHAR(34)," probability=",CHAR(34),1/J$4,CHAR(34),CHAR(47),CHAR(62)),"&lt;/routeDistribution&gt;"))</f>
        <v/>
      </c>
    </row>
    <row r="8121" spans="1:5" x14ac:dyDescent="0.25">
      <c r="A8121" t="s">
        <v>1431</v>
      </c>
      <c r="B8121" t="s">
        <v>1098</v>
      </c>
      <c r="E8121" t="str">
        <f>IF(OR(E8120="&lt;/routeDistribution&gt;",E8120=""),"",IFERROR(_xlfn.CONCAT(VLOOKUP(J58,Route_Column!#REF!,2,FALSE),CHAR(34)," probability=",CHAR(34),1/J$4,CHAR(34),CHAR(47),CHAR(62)),"&lt;/routeDistribution&gt;"))</f>
        <v/>
      </c>
    </row>
    <row r="8122" spans="1:5" x14ac:dyDescent="0.25">
      <c r="A8122" t="s">
        <v>1431</v>
      </c>
      <c r="B8122" t="s">
        <v>1099</v>
      </c>
      <c r="E8122" t="str">
        <f>IF(OR(E8121="&lt;/routeDistribution&gt;",E8121=""),"",IFERROR(_xlfn.CONCAT(VLOOKUP(J59,Route_Column!#REF!,2,FALSE),CHAR(34)," probability=",CHAR(34),1/J$4,CHAR(34),CHAR(47),CHAR(62)),"&lt;/routeDistribution&gt;"))</f>
        <v/>
      </c>
    </row>
    <row r="8123" spans="1:5" x14ac:dyDescent="0.25">
      <c r="A8123" t="s">
        <v>1431</v>
      </c>
      <c r="B8123" t="s">
        <v>1099</v>
      </c>
      <c r="E8123" t="str">
        <f>IF(OR(E8122="&lt;/routeDistribution&gt;",E8122=""),"",IFERROR(_xlfn.CONCAT(VLOOKUP(J60,Route_Column!#REF!,2,FALSE),CHAR(34)," probability=",CHAR(34),1/J$4,CHAR(34),CHAR(47),CHAR(62)),"&lt;/routeDistribution&gt;"))</f>
        <v/>
      </c>
    </row>
    <row r="8124" spans="1:5" x14ac:dyDescent="0.25">
      <c r="A8124" t="s">
        <v>1431</v>
      </c>
      <c r="B8124" t="s">
        <v>1100</v>
      </c>
      <c r="E8124" t="str">
        <f>IF(OR(E8123="&lt;/routeDistribution&gt;",E8123=""),"",IFERROR(_xlfn.CONCAT(VLOOKUP(J61,Route_Column!#REF!,2,FALSE),CHAR(34)," probability=",CHAR(34),1/J$4,CHAR(34),CHAR(47),CHAR(62)),"&lt;/routeDistribution&gt;"))</f>
        <v/>
      </c>
    </row>
    <row r="8125" spans="1:5" x14ac:dyDescent="0.25">
      <c r="A8125" t="s">
        <v>1431</v>
      </c>
      <c r="B8125" t="s">
        <v>1100</v>
      </c>
      <c r="E8125" t="str">
        <f>IF(OR(E8124="&lt;/routeDistribution&gt;",E8124=""),"",IFERROR(_xlfn.CONCAT(VLOOKUP(J62,Route_Column!#REF!,2,FALSE),CHAR(34)," probability=",CHAR(34),1/J$4,CHAR(34),CHAR(47),CHAR(62)),"&lt;/routeDistribution&gt;"))</f>
        <v/>
      </c>
    </row>
    <row r="8126" spans="1:5" x14ac:dyDescent="0.25">
      <c r="A8126" t="s">
        <v>1431</v>
      </c>
      <c r="B8126" t="s">
        <v>1101</v>
      </c>
      <c r="E8126" t="str">
        <f>IF(OR(E8125="&lt;/routeDistribution&gt;",E8125=""),"",IFERROR(_xlfn.CONCAT(VLOOKUP(J63,Route_Column!#REF!,2,FALSE),CHAR(34)," probability=",CHAR(34),1/J$4,CHAR(34),CHAR(47),CHAR(62)),"&lt;/routeDistribution&gt;"))</f>
        <v/>
      </c>
    </row>
    <row r="8127" spans="1:5" x14ac:dyDescent="0.25">
      <c r="A8127" t="s">
        <v>1431</v>
      </c>
      <c r="B8127" t="s">
        <v>1101</v>
      </c>
      <c r="E8127" t="s">
        <v>2686</v>
      </c>
    </row>
    <row r="8128" spans="1:5" x14ac:dyDescent="0.25">
      <c r="A8128" t="s">
        <v>1431</v>
      </c>
      <c r="B8128" t="s">
        <v>1102</v>
      </c>
    </row>
    <row r="8129" spans="1:5" x14ac:dyDescent="0.25">
      <c r="A8129" t="s">
        <v>1431</v>
      </c>
      <c r="B8129" t="s">
        <v>1102</v>
      </c>
    </row>
    <row r="8130" spans="1:5" x14ac:dyDescent="0.25">
      <c r="A8130" t="s">
        <v>1431</v>
      </c>
      <c r="B8130" t="s">
        <v>1102</v>
      </c>
      <c r="E8130" t="str">
        <f>_xlfn.CONCAT($E$1,I$2,$F$1)</f>
        <v>&lt;routeDistribution id="I-76-SOUTH-to-UNI-EB-2015-RouteProbe"&gt;</v>
      </c>
    </row>
    <row r="8131" spans="1:5" x14ac:dyDescent="0.25">
      <c r="A8131" t="s">
        <v>1431</v>
      </c>
      <c r="B8131" t="s">
        <v>1102</v>
      </c>
      <c r="E8131" t="str">
        <f>IF(OR(E8130="&lt;/routeDistribution&gt;",E8130=""),"",IFERROR(_xlfn.CONCAT(VLOOKUP(I5,Route_Column!#REF!,2,FALSE),CHAR(34)," probability=",CHAR(34),1/I$4,CHAR(34),CHAR(47),CHAR(62)),"&lt;/routeDistribution&gt;"))</f>
        <v>&lt;/routeDistribution&gt;</v>
      </c>
    </row>
    <row r="8132" spans="1:5" x14ac:dyDescent="0.25">
      <c r="A8132" t="s">
        <v>1431</v>
      </c>
      <c r="B8132" t="s">
        <v>1103</v>
      </c>
      <c r="E8132" t="str">
        <f>IF(OR(E8131="&lt;/routeDistribution&gt;",E8131=""),"",IFERROR(_xlfn.CONCAT(VLOOKUP(I6,Route_Column!#REF!,2,FALSE),CHAR(34)," probability=",CHAR(34),1/I$4,CHAR(34),CHAR(47),CHAR(62)),"&lt;/routeDistribution&gt;"))</f>
        <v/>
      </c>
    </row>
    <row r="8133" spans="1:5" x14ac:dyDescent="0.25">
      <c r="A8133" t="s">
        <v>1431</v>
      </c>
      <c r="B8133" t="s">
        <v>1103</v>
      </c>
      <c r="E8133" t="str">
        <f>IF(OR(E8132="&lt;/routeDistribution&gt;",E8132=""),"",IFERROR(_xlfn.CONCAT(VLOOKUP(I7,Route_Column!#REF!,2,FALSE),CHAR(34)," probability=",CHAR(34),1/I$4,CHAR(34),CHAR(47),CHAR(62)),"&lt;/routeDistribution&gt;"))</f>
        <v/>
      </c>
    </row>
    <row r="8134" spans="1:5" x14ac:dyDescent="0.25">
      <c r="A8134" t="s">
        <v>1431</v>
      </c>
      <c r="B8134" t="s">
        <v>1104</v>
      </c>
      <c r="E8134" t="str">
        <f>IF(OR(E8133="&lt;/routeDistribution&gt;",E8133=""),"",IFERROR(_xlfn.CONCAT(VLOOKUP(I8,Route_Column!#REF!,2,FALSE),CHAR(34)," probability=",CHAR(34),1/I$4,CHAR(34),CHAR(47),CHAR(62)),"&lt;/routeDistribution&gt;"))</f>
        <v/>
      </c>
    </row>
    <row r="8135" spans="1:5" x14ac:dyDescent="0.25">
      <c r="A8135" t="s">
        <v>1431</v>
      </c>
      <c r="B8135" t="s">
        <v>1104</v>
      </c>
      <c r="E8135" t="str">
        <f>IF(OR(E8134="&lt;/routeDistribution&gt;",E8134=""),"",IFERROR(_xlfn.CONCAT(VLOOKUP(I9,Route_Column!#REF!,2,FALSE),CHAR(34)," probability=",CHAR(34),1/I$4,CHAR(34),CHAR(47),CHAR(62)),"&lt;/routeDistribution&gt;"))</f>
        <v/>
      </c>
    </row>
    <row r="8136" spans="1:5" x14ac:dyDescent="0.25">
      <c r="A8136" t="s">
        <v>1431</v>
      </c>
      <c r="B8136" t="s">
        <v>1104</v>
      </c>
      <c r="E8136" t="str">
        <f>IF(OR(E8135="&lt;/routeDistribution&gt;",E8135=""),"",IFERROR(_xlfn.CONCAT(VLOOKUP(I10,Route_Column!#REF!,2,FALSE),CHAR(34)," probability=",CHAR(34),1/I$4,CHAR(34),CHAR(47),CHAR(62)),"&lt;/routeDistribution&gt;"))</f>
        <v/>
      </c>
    </row>
    <row r="8137" spans="1:5" x14ac:dyDescent="0.25">
      <c r="A8137" t="s">
        <v>1431</v>
      </c>
      <c r="B8137" t="s">
        <v>1105</v>
      </c>
      <c r="E8137" t="str">
        <f>IF(OR(E8136="&lt;/routeDistribution&gt;",E8136=""),"",IFERROR(_xlfn.CONCAT(VLOOKUP(I11,Route_Column!#REF!,2,FALSE),CHAR(34)," probability=",CHAR(34),1/I$4,CHAR(34),CHAR(47),CHAR(62)),"&lt;/routeDistribution&gt;"))</f>
        <v/>
      </c>
    </row>
    <row r="8138" spans="1:5" x14ac:dyDescent="0.25">
      <c r="A8138" t="s">
        <v>1431</v>
      </c>
      <c r="B8138" t="s">
        <v>1105</v>
      </c>
      <c r="E8138" t="str">
        <f>IF(OR(E8137="&lt;/routeDistribution&gt;",E8137=""),"",IFERROR(_xlfn.CONCAT(VLOOKUP(I12,Route_Column!#REF!,2,FALSE),CHAR(34)," probability=",CHAR(34),1/I$4,CHAR(34),CHAR(47),CHAR(62)),"&lt;/routeDistribution&gt;"))</f>
        <v/>
      </c>
    </row>
    <row r="8139" spans="1:5" x14ac:dyDescent="0.25">
      <c r="A8139" t="s">
        <v>1431</v>
      </c>
      <c r="B8139" t="s">
        <v>1106</v>
      </c>
      <c r="E8139" t="str">
        <f>IF(OR(E8138="&lt;/routeDistribution&gt;",E8138=""),"",IFERROR(_xlfn.CONCAT(VLOOKUP(I13,Route_Column!#REF!,2,FALSE),CHAR(34)," probability=",CHAR(34),1/I$4,CHAR(34),CHAR(47),CHAR(62)),"&lt;/routeDistribution&gt;"))</f>
        <v/>
      </c>
    </row>
    <row r="8140" spans="1:5" x14ac:dyDescent="0.25">
      <c r="A8140" t="s">
        <v>1431</v>
      </c>
      <c r="B8140" t="s">
        <v>1106</v>
      </c>
      <c r="E8140" t="str">
        <f>IF(OR(E8139="&lt;/routeDistribution&gt;",E8139=""),"",IFERROR(_xlfn.CONCAT(VLOOKUP(I14,Route_Column!#REF!,2,FALSE),CHAR(34)," probability=",CHAR(34),1/I$4,CHAR(34),CHAR(47),CHAR(62)),"&lt;/routeDistribution&gt;"))</f>
        <v/>
      </c>
    </row>
    <row r="8141" spans="1:5" x14ac:dyDescent="0.25">
      <c r="A8141" t="s">
        <v>1431</v>
      </c>
      <c r="B8141" t="s">
        <v>1107</v>
      </c>
      <c r="E8141" t="str">
        <f>IF(OR(E8140="&lt;/routeDistribution&gt;",E8140=""),"",IFERROR(_xlfn.CONCAT(VLOOKUP(I15,Route_Column!#REF!,2,FALSE),CHAR(34)," probability=",CHAR(34),1/I$4,CHAR(34),CHAR(47),CHAR(62)),"&lt;/routeDistribution&gt;"))</f>
        <v/>
      </c>
    </row>
    <row r="8142" spans="1:5" x14ac:dyDescent="0.25">
      <c r="A8142" t="s">
        <v>1431</v>
      </c>
      <c r="B8142" t="s">
        <v>1107</v>
      </c>
      <c r="E8142" t="str">
        <f>IF(OR(E8141="&lt;/routeDistribution&gt;",E8141=""),"",IFERROR(_xlfn.CONCAT(VLOOKUP(I16,Route_Column!#REF!,2,FALSE),CHAR(34)," probability=",CHAR(34),1/I$4,CHAR(34),CHAR(47),CHAR(62)),"&lt;/routeDistribution&gt;"))</f>
        <v/>
      </c>
    </row>
    <row r="8143" spans="1:5" x14ac:dyDescent="0.25">
      <c r="A8143" t="s">
        <v>1431</v>
      </c>
      <c r="B8143" t="s">
        <v>1108</v>
      </c>
      <c r="E8143" t="str">
        <f>IF(OR(E8142="&lt;/routeDistribution&gt;",E8142=""),"",IFERROR(_xlfn.CONCAT(VLOOKUP(I17,Route_Column!#REF!,2,FALSE),CHAR(34)," probability=",CHAR(34),1/I$4,CHAR(34),CHAR(47),CHAR(62)),"&lt;/routeDistribution&gt;"))</f>
        <v/>
      </c>
    </row>
    <row r="8144" spans="1:5" x14ac:dyDescent="0.25">
      <c r="A8144" t="s">
        <v>1431</v>
      </c>
      <c r="B8144" t="s">
        <v>1108</v>
      </c>
      <c r="E8144" t="str">
        <f>IF(OR(E8143="&lt;/routeDistribution&gt;",E8143=""),"",IFERROR(_xlfn.CONCAT(VLOOKUP(I18,Route_Column!#REF!,2,FALSE),CHAR(34)," probability=",CHAR(34),1/I$4,CHAR(34),CHAR(47),CHAR(62)),"&lt;/routeDistribution&gt;"))</f>
        <v/>
      </c>
    </row>
    <row r="8145" spans="1:5" x14ac:dyDescent="0.25">
      <c r="A8145" t="s">
        <v>1431</v>
      </c>
      <c r="B8145" t="s">
        <v>1109</v>
      </c>
      <c r="E8145" t="str">
        <f>IF(OR(E8144="&lt;/routeDistribution&gt;",E8144=""),"",IFERROR(_xlfn.CONCAT(VLOOKUP(I19,Route_Column!#REF!,2,FALSE),CHAR(34)," probability=",CHAR(34),1/I$4,CHAR(34),CHAR(47),CHAR(62)),"&lt;/routeDistribution&gt;"))</f>
        <v/>
      </c>
    </row>
    <row r="8146" spans="1:5" x14ac:dyDescent="0.25">
      <c r="A8146" t="s">
        <v>1431</v>
      </c>
      <c r="B8146" t="s">
        <v>1109</v>
      </c>
      <c r="E8146" t="str">
        <f>IF(OR(E8145="&lt;/routeDistribution&gt;",E8145=""),"",IFERROR(_xlfn.CONCAT(VLOOKUP(I20,Route_Column!#REF!,2,FALSE),CHAR(34)," probability=",CHAR(34),1/I$4,CHAR(34),CHAR(47),CHAR(62)),"&lt;/routeDistribution&gt;"))</f>
        <v/>
      </c>
    </row>
    <row r="8147" spans="1:5" x14ac:dyDescent="0.25">
      <c r="A8147" t="s">
        <v>1431</v>
      </c>
      <c r="B8147" t="s">
        <v>1110</v>
      </c>
      <c r="E8147" t="str">
        <f>IF(OR(E8146="&lt;/routeDistribution&gt;",E8146=""),"",IFERROR(_xlfn.CONCAT(VLOOKUP(I21,Route_Column!#REF!,2,FALSE),CHAR(34)," probability=",CHAR(34),1/I$4,CHAR(34),CHAR(47),CHAR(62)),"&lt;/routeDistribution&gt;"))</f>
        <v/>
      </c>
    </row>
    <row r="8148" spans="1:5" x14ac:dyDescent="0.25">
      <c r="A8148" t="s">
        <v>1431</v>
      </c>
      <c r="B8148" t="s">
        <v>1110</v>
      </c>
      <c r="E8148" t="str">
        <f>IF(OR(E8147="&lt;/routeDistribution&gt;",E8147=""),"",IFERROR(_xlfn.CONCAT(VLOOKUP(I22,Route_Column!#REF!,2,FALSE),CHAR(34)," probability=",CHAR(34),1/I$4,CHAR(34),CHAR(47),CHAR(62)),"&lt;/routeDistribution&gt;"))</f>
        <v/>
      </c>
    </row>
    <row r="8149" spans="1:5" x14ac:dyDescent="0.25">
      <c r="A8149" t="s">
        <v>1431</v>
      </c>
      <c r="B8149" t="s">
        <v>1111</v>
      </c>
      <c r="E8149" t="str">
        <f>IF(OR(E8148="&lt;/routeDistribution&gt;",E8148=""),"",IFERROR(_xlfn.CONCAT(VLOOKUP(I23,Route_Column!#REF!,2,FALSE),CHAR(34)," probability=",CHAR(34),1/I$4,CHAR(34),CHAR(47),CHAR(62)),"&lt;/routeDistribution&gt;"))</f>
        <v/>
      </c>
    </row>
    <row r="8150" spans="1:5" x14ac:dyDescent="0.25">
      <c r="A8150" t="s">
        <v>1431</v>
      </c>
      <c r="B8150" t="s">
        <v>1111</v>
      </c>
      <c r="E8150" t="str">
        <f>IF(OR(E8149="&lt;/routeDistribution&gt;",E8149=""),"",IFERROR(_xlfn.CONCAT(VLOOKUP(I24,Route_Column!#REF!,2,FALSE),CHAR(34)," probability=",CHAR(34),1/I$4,CHAR(34),CHAR(47),CHAR(62)),"&lt;/routeDistribution&gt;"))</f>
        <v/>
      </c>
    </row>
    <row r="8151" spans="1:5" x14ac:dyDescent="0.25">
      <c r="A8151" t="s">
        <v>1431</v>
      </c>
      <c r="B8151" t="s">
        <v>1112</v>
      </c>
      <c r="E8151" t="str">
        <f>IF(OR(E8150="&lt;/routeDistribution&gt;",E8150=""),"",IFERROR(_xlfn.CONCAT(VLOOKUP(I25,Route_Column!#REF!,2,FALSE),CHAR(34)," probability=",CHAR(34),1/I$4,CHAR(34),CHAR(47),CHAR(62)),"&lt;/routeDistribution&gt;"))</f>
        <v/>
      </c>
    </row>
    <row r="8152" spans="1:5" x14ac:dyDescent="0.25">
      <c r="A8152" t="s">
        <v>1431</v>
      </c>
      <c r="B8152" t="s">
        <v>1112</v>
      </c>
      <c r="E8152" t="str">
        <f>IF(OR(E8151="&lt;/routeDistribution&gt;",E8151=""),"",IFERROR(_xlfn.CONCAT(VLOOKUP(I26,Route_Column!#REF!,2,FALSE),CHAR(34)," probability=",CHAR(34),1/I$4,CHAR(34),CHAR(47),CHAR(62)),"&lt;/routeDistribution&gt;"))</f>
        <v/>
      </c>
    </row>
    <row r="8153" spans="1:5" x14ac:dyDescent="0.25">
      <c r="A8153" t="s">
        <v>1431</v>
      </c>
      <c r="B8153" t="s">
        <v>1113</v>
      </c>
      <c r="E8153" t="str">
        <f>IF(OR(E8152="&lt;/routeDistribution&gt;",E8152=""),"",IFERROR(_xlfn.CONCAT(VLOOKUP(I27,Route_Column!#REF!,2,FALSE),CHAR(34)," probability=",CHAR(34),1/I$4,CHAR(34),CHAR(47),CHAR(62)),"&lt;/routeDistribution&gt;"))</f>
        <v/>
      </c>
    </row>
    <row r="8154" spans="1:5" x14ac:dyDescent="0.25">
      <c r="A8154" t="s">
        <v>1431</v>
      </c>
      <c r="B8154" t="s">
        <v>1113</v>
      </c>
      <c r="E8154" t="str">
        <f>IF(OR(E8153="&lt;/routeDistribution&gt;",E8153=""),"",IFERROR(_xlfn.CONCAT(VLOOKUP(I28,Route_Column!#REF!,2,FALSE),CHAR(34)," probability=",CHAR(34),1/I$4,CHAR(34),CHAR(47),CHAR(62)),"&lt;/routeDistribution&gt;"))</f>
        <v/>
      </c>
    </row>
    <row r="8155" spans="1:5" x14ac:dyDescent="0.25">
      <c r="A8155" t="s">
        <v>1431</v>
      </c>
      <c r="B8155" t="s">
        <v>1114</v>
      </c>
      <c r="E8155" t="str">
        <f>IF(OR(E8154="&lt;/routeDistribution&gt;",E8154=""),"",IFERROR(_xlfn.CONCAT(VLOOKUP(I29,Route_Column!#REF!,2,FALSE),CHAR(34)," probability=",CHAR(34),1/I$4,CHAR(34),CHAR(47),CHAR(62)),"&lt;/routeDistribution&gt;"))</f>
        <v/>
      </c>
    </row>
    <row r="8156" spans="1:5" x14ac:dyDescent="0.25">
      <c r="A8156" t="s">
        <v>1431</v>
      </c>
      <c r="B8156" t="s">
        <v>1114</v>
      </c>
      <c r="E8156" t="str">
        <f>IF(OR(E8155="&lt;/routeDistribution&gt;",E8155=""),"",IFERROR(_xlfn.CONCAT(VLOOKUP(I30,Route_Column!#REF!,2,FALSE),CHAR(34)," probability=",CHAR(34),1/I$4,CHAR(34),CHAR(47),CHAR(62)),"&lt;/routeDistribution&gt;"))</f>
        <v/>
      </c>
    </row>
    <row r="8157" spans="1:5" x14ac:dyDescent="0.25">
      <c r="A8157" t="s">
        <v>1431</v>
      </c>
      <c r="B8157" t="s">
        <v>1115</v>
      </c>
      <c r="E8157" t="str">
        <f>IF(OR(E8156="&lt;/routeDistribution&gt;",E8156=""),"",IFERROR(_xlfn.CONCAT(VLOOKUP(I31,Route_Column!#REF!,2,FALSE),CHAR(34)," probability=",CHAR(34),1/I$4,CHAR(34),CHAR(47),CHAR(62)),"&lt;/routeDistribution&gt;"))</f>
        <v/>
      </c>
    </row>
    <row r="8158" spans="1:5" x14ac:dyDescent="0.25">
      <c r="A8158" t="s">
        <v>1431</v>
      </c>
      <c r="B8158" t="s">
        <v>1115</v>
      </c>
      <c r="E8158" t="str">
        <f>IF(OR(E8157="&lt;/routeDistribution&gt;",E8157=""),"",IFERROR(_xlfn.CONCAT(VLOOKUP(I32,Route_Column!#REF!,2,FALSE),CHAR(34)," probability=",CHAR(34),1/I$4,CHAR(34),CHAR(47),CHAR(62)),"&lt;/routeDistribution&gt;"))</f>
        <v/>
      </c>
    </row>
    <row r="8159" spans="1:5" x14ac:dyDescent="0.25">
      <c r="A8159" t="s">
        <v>1431</v>
      </c>
      <c r="B8159" t="s">
        <v>1116</v>
      </c>
      <c r="E8159" t="str">
        <f>IF(OR(E8158="&lt;/routeDistribution&gt;",E8158=""),"",IFERROR(_xlfn.CONCAT(VLOOKUP(I33,Route_Column!#REF!,2,FALSE),CHAR(34)," probability=",CHAR(34),1/I$4,CHAR(34),CHAR(47),CHAR(62)),"&lt;/routeDistribution&gt;"))</f>
        <v/>
      </c>
    </row>
    <row r="8160" spans="1:5" x14ac:dyDescent="0.25">
      <c r="A8160" t="s">
        <v>1431</v>
      </c>
      <c r="B8160" t="s">
        <v>1116</v>
      </c>
      <c r="E8160" t="str">
        <f>IF(OR(E8159="&lt;/routeDistribution&gt;",E8159=""),"",IFERROR(_xlfn.CONCAT(VLOOKUP(I34,Route_Column!#REF!,2,FALSE),CHAR(34)," probability=",CHAR(34),1/I$4,CHAR(34),CHAR(47),CHAR(62)),"&lt;/routeDistribution&gt;"))</f>
        <v/>
      </c>
    </row>
    <row r="8161" spans="1:5" x14ac:dyDescent="0.25">
      <c r="A8161" t="s">
        <v>1431</v>
      </c>
      <c r="B8161" t="s">
        <v>1117</v>
      </c>
      <c r="E8161" t="str">
        <f>IF(OR(E8160="&lt;/routeDistribution&gt;",E8160=""),"",IFERROR(_xlfn.CONCAT(VLOOKUP(I35,Route_Column!#REF!,2,FALSE),CHAR(34)," probability=",CHAR(34),1/I$4,CHAR(34),CHAR(47),CHAR(62)),"&lt;/routeDistribution&gt;"))</f>
        <v/>
      </c>
    </row>
    <row r="8162" spans="1:5" x14ac:dyDescent="0.25">
      <c r="A8162" t="s">
        <v>1431</v>
      </c>
      <c r="B8162" t="s">
        <v>1118</v>
      </c>
      <c r="E8162" t="str">
        <f>IF(OR(E8161="&lt;/routeDistribution&gt;",E8161=""),"",IFERROR(_xlfn.CONCAT(VLOOKUP(I36,Route_Column!#REF!,2,FALSE),CHAR(34)," probability=",CHAR(34),1/I$4,CHAR(34),CHAR(47),CHAR(62)),"&lt;/routeDistribution&gt;"))</f>
        <v/>
      </c>
    </row>
    <row r="8163" spans="1:5" x14ac:dyDescent="0.25">
      <c r="A8163" t="s">
        <v>1431</v>
      </c>
      <c r="B8163" t="s">
        <v>1119</v>
      </c>
      <c r="E8163" t="str">
        <f>IF(OR(E8162="&lt;/routeDistribution&gt;",E8162=""),"",IFERROR(_xlfn.CONCAT(VLOOKUP(I37,Route_Column!#REF!,2,FALSE),CHAR(34)," probability=",CHAR(34),1/I$4,CHAR(34),CHAR(47),CHAR(62)),"&lt;/routeDistribution&gt;"))</f>
        <v/>
      </c>
    </row>
    <row r="8164" spans="1:5" x14ac:dyDescent="0.25">
      <c r="A8164" t="s">
        <v>1431</v>
      </c>
      <c r="B8164" t="s">
        <v>1120</v>
      </c>
      <c r="E8164" t="str">
        <f>IF(OR(E8163="&lt;/routeDistribution&gt;",E8163=""),"",IFERROR(_xlfn.CONCAT(VLOOKUP(I38,Route_Column!#REF!,2,FALSE),CHAR(34)," probability=",CHAR(34),1/I$4,CHAR(34),CHAR(47),CHAR(62)),"&lt;/routeDistribution&gt;"))</f>
        <v/>
      </c>
    </row>
    <row r="8165" spans="1:5" x14ac:dyDescent="0.25">
      <c r="A8165" t="s">
        <v>1431</v>
      </c>
      <c r="B8165" t="s">
        <v>1121</v>
      </c>
      <c r="E8165" t="str">
        <f>IF(OR(E8164="&lt;/routeDistribution&gt;",E8164=""),"",IFERROR(_xlfn.CONCAT(VLOOKUP(I39,Route_Column!#REF!,2,FALSE),CHAR(34)," probability=",CHAR(34),1/I$4,CHAR(34),CHAR(47),CHAR(62)),"&lt;/routeDistribution&gt;"))</f>
        <v/>
      </c>
    </row>
    <row r="8166" spans="1:5" x14ac:dyDescent="0.25">
      <c r="A8166" t="s">
        <v>1431</v>
      </c>
      <c r="B8166" t="s">
        <v>1121</v>
      </c>
      <c r="E8166" t="str">
        <f>IF(OR(E8165="&lt;/routeDistribution&gt;",E8165=""),"",IFERROR(_xlfn.CONCAT(VLOOKUP(I40,Route_Column!#REF!,2,FALSE),CHAR(34)," probability=",CHAR(34),1/I$4,CHAR(34),CHAR(47),CHAR(62)),"&lt;/routeDistribution&gt;"))</f>
        <v/>
      </c>
    </row>
    <row r="8167" spans="1:5" x14ac:dyDescent="0.25">
      <c r="A8167" t="s">
        <v>1431</v>
      </c>
      <c r="B8167" t="s">
        <v>1122</v>
      </c>
      <c r="E8167" t="str">
        <f>IF(OR(E8166="&lt;/routeDistribution&gt;",E8166=""),"",IFERROR(_xlfn.CONCAT(VLOOKUP(I41,Route_Column!#REF!,2,FALSE),CHAR(34)," probability=",CHAR(34),1/I$4,CHAR(34),CHAR(47),CHAR(62)),"&lt;/routeDistribution&gt;"))</f>
        <v/>
      </c>
    </row>
    <row r="8168" spans="1:5" x14ac:dyDescent="0.25">
      <c r="A8168" t="s">
        <v>1431</v>
      </c>
      <c r="B8168" t="s">
        <v>1122</v>
      </c>
      <c r="E8168" t="str">
        <f>IF(OR(E8167="&lt;/routeDistribution&gt;",E8167=""),"",IFERROR(_xlfn.CONCAT(VLOOKUP(I42,Route_Column!#REF!,2,FALSE),CHAR(34)," probability=",CHAR(34),1/I$4,CHAR(34),CHAR(47),CHAR(62)),"&lt;/routeDistribution&gt;"))</f>
        <v/>
      </c>
    </row>
    <row r="8169" spans="1:5" x14ac:dyDescent="0.25">
      <c r="A8169" t="s">
        <v>1431</v>
      </c>
      <c r="B8169" t="s">
        <v>1122</v>
      </c>
      <c r="E8169" t="str">
        <f>IF(OR(E8168="&lt;/routeDistribution&gt;",E8168=""),"",IFERROR(_xlfn.CONCAT(VLOOKUP(I43,Route_Column!#REF!,2,FALSE),CHAR(34)," probability=",CHAR(34),1/I$4,CHAR(34),CHAR(47),CHAR(62)),"&lt;/routeDistribution&gt;"))</f>
        <v/>
      </c>
    </row>
    <row r="8170" spans="1:5" x14ac:dyDescent="0.25">
      <c r="A8170" t="s">
        <v>1431</v>
      </c>
      <c r="B8170" t="s">
        <v>1123</v>
      </c>
      <c r="E8170" t="str">
        <f>IF(OR(E8169="&lt;/routeDistribution&gt;",E8169=""),"",IFERROR(_xlfn.CONCAT(VLOOKUP(I44,Route_Column!#REF!,2,FALSE),CHAR(34)," probability=",CHAR(34),1/I$4,CHAR(34),CHAR(47),CHAR(62)),"&lt;/routeDistribution&gt;"))</f>
        <v/>
      </c>
    </row>
    <row r="8171" spans="1:5" x14ac:dyDescent="0.25">
      <c r="A8171" t="s">
        <v>1431</v>
      </c>
      <c r="B8171" t="s">
        <v>1123</v>
      </c>
      <c r="E8171" t="str">
        <f>IF(OR(E8170="&lt;/routeDistribution&gt;",E8170=""),"",IFERROR(_xlfn.CONCAT(VLOOKUP(I45,Route_Column!#REF!,2,FALSE),CHAR(34)," probability=",CHAR(34),1/I$4,CHAR(34),CHAR(47),CHAR(62)),"&lt;/routeDistribution&gt;"))</f>
        <v/>
      </c>
    </row>
    <row r="8172" spans="1:5" x14ac:dyDescent="0.25">
      <c r="A8172" t="s">
        <v>1431</v>
      </c>
      <c r="B8172" t="s">
        <v>1124</v>
      </c>
      <c r="E8172" t="str">
        <f>IF(OR(E8171="&lt;/routeDistribution&gt;",E8171=""),"",IFERROR(_xlfn.CONCAT(VLOOKUP(I46,Route_Column!#REF!,2,FALSE),CHAR(34)," probability=",CHAR(34),1/I$4,CHAR(34),CHAR(47),CHAR(62)),"&lt;/routeDistribution&gt;"))</f>
        <v/>
      </c>
    </row>
    <row r="8173" spans="1:5" x14ac:dyDescent="0.25">
      <c r="A8173" t="s">
        <v>1431</v>
      </c>
      <c r="B8173" t="s">
        <v>1125</v>
      </c>
      <c r="E8173" t="str">
        <f>IF(OR(E8172="&lt;/routeDistribution&gt;",E8172=""),"",IFERROR(_xlfn.CONCAT(VLOOKUP(I47,Route_Column!#REF!,2,FALSE),CHAR(34)," probability=",CHAR(34),1/I$4,CHAR(34),CHAR(47),CHAR(62)),"&lt;/routeDistribution&gt;"))</f>
        <v/>
      </c>
    </row>
    <row r="8174" spans="1:5" x14ac:dyDescent="0.25">
      <c r="A8174" t="s">
        <v>1431</v>
      </c>
      <c r="B8174" t="s">
        <v>1161</v>
      </c>
      <c r="E8174" t="str">
        <f>IF(OR(E8173="&lt;/routeDistribution&gt;",E8173=""),"",IFERROR(_xlfn.CONCAT(VLOOKUP(I48,Route_Column!#REF!,2,FALSE),CHAR(34)," probability=",CHAR(34),1/I$4,CHAR(34),CHAR(47),CHAR(62)),"&lt;/routeDistribution&gt;"))</f>
        <v/>
      </c>
    </row>
    <row r="8175" spans="1:5" x14ac:dyDescent="0.25">
      <c r="A8175" s="11" t="s">
        <v>1430</v>
      </c>
      <c r="B8175" t="s">
        <v>1090</v>
      </c>
      <c r="E8175" t="str">
        <f>IF(OR(E8174="&lt;/routeDistribution&gt;",E8174=""),"",IFERROR(_xlfn.CONCAT(VLOOKUP(I49,Route_Column!#REF!,2,FALSE),CHAR(34)," probability=",CHAR(34),1/I$4,CHAR(34),CHAR(47),CHAR(62)),"&lt;/routeDistribution&gt;"))</f>
        <v/>
      </c>
    </row>
    <row r="8176" spans="1:5" x14ac:dyDescent="0.25">
      <c r="A8176" s="11" t="s">
        <v>1430</v>
      </c>
      <c r="B8176" t="s">
        <v>1091</v>
      </c>
      <c r="E8176" t="str">
        <f>IF(OR(E8175="&lt;/routeDistribution&gt;",E8175=""),"",IFERROR(_xlfn.CONCAT(VLOOKUP(I50,Route_Column!#REF!,2,FALSE),CHAR(34)," probability=",CHAR(34),1/I$4,CHAR(34),CHAR(47),CHAR(62)),"&lt;/routeDistribution&gt;"))</f>
        <v/>
      </c>
    </row>
    <row r="8177" spans="1:5" x14ac:dyDescent="0.25">
      <c r="A8177" s="11" t="s">
        <v>1430</v>
      </c>
      <c r="B8177" t="s">
        <v>1091</v>
      </c>
      <c r="E8177" t="str">
        <f>IF(OR(E8176="&lt;/routeDistribution&gt;",E8176=""),"",IFERROR(_xlfn.CONCAT(VLOOKUP(I51,Route_Column!#REF!,2,FALSE),CHAR(34)," probability=",CHAR(34),1/I$4,CHAR(34),CHAR(47),CHAR(62)),"&lt;/routeDistribution&gt;"))</f>
        <v/>
      </c>
    </row>
    <row r="8178" spans="1:5" x14ac:dyDescent="0.25">
      <c r="A8178" s="13" t="s">
        <v>1430</v>
      </c>
      <c r="B8178" t="s">
        <v>1092</v>
      </c>
      <c r="E8178" t="str">
        <f>IF(OR(E8177="&lt;/routeDistribution&gt;",E8177=""),"",IFERROR(_xlfn.CONCAT(VLOOKUP(I52,Route_Column!#REF!,2,FALSE),CHAR(34)," probability=",CHAR(34),1/I$4,CHAR(34),CHAR(47),CHAR(62)),"&lt;/routeDistribution&gt;"))</f>
        <v/>
      </c>
    </row>
    <row r="8179" spans="1:5" x14ac:dyDescent="0.25">
      <c r="A8179" t="s">
        <v>1430</v>
      </c>
      <c r="B8179" t="s">
        <v>1092</v>
      </c>
      <c r="E8179" t="str">
        <f>IF(OR(E8178="&lt;/routeDistribution&gt;",E8178=""),"",IFERROR(_xlfn.CONCAT(VLOOKUP(I53,Route_Column!#REF!,2,FALSE),CHAR(34)," probability=",CHAR(34),1/I$4,CHAR(34),CHAR(47),CHAR(62)),"&lt;/routeDistribution&gt;"))</f>
        <v/>
      </c>
    </row>
    <row r="8180" spans="1:5" x14ac:dyDescent="0.25">
      <c r="A8180" t="s">
        <v>1430</v>
      </c>
      <c r="B8180" t="s">
        <v>1093</v>
      </c>
      <c r="E8180" t="str">
        <f>IF(OR(E8179="&lt;/routeDistribution&gt;",E8179=""),"",IFERROR(_xlfn.CONCAT(VLOOKUP(I54,Route_Column!#REF!,2,FALSE),CHAR(34)," probability=",CHAR(34),1/I$4,CHAR(34),CHAR(47),CHAR(62)),"&lt;/routeDistribution&gt;"))</f>
        <v/>
      </c>
    </row>
    <row r="8181" spans="1:5" x14ac:dyDescent="0.25">
      <c r="A8181" t="s">
        <v>1430</v>
      </c>
      <c r="B8181" t="s">
        <v>1093</v>
      </c>
      <c r="E8181" t="str">
        <f>IF(OR(E8180="&lt;/routeDistribution&gt;",E8180=""),"",IFERROR(_xlfn.CONCAT(VLOOKUP(I55,Route_Column!#REF!,2,FALSE),CHAR(34)," probability=",CHAR(34),1/I$4,CHAR(34),CHAR(47),CHAR(62)),"&lt;/routeDistribution&gt;"))</f>
        <v/>
      </c>
    </row>
    <row r="8182" spans="1:5" x14ac:dyDescent="0.25">
      <c r="A8182" t="s">
        <v>1430</v>
      </c>
      <c r="B8182" t="s">
        <v>1094</v>
      </c>
      <c r="E8182" t="str">
        <f>IF(OR(E8181="&lt;/routeDistribution&gt;",E8181=""),"",IFERROR(_xlfn.CONCAT(VLOOKUP(I56,Route_Column!#REF!,2,FALSE),CHAR(34)," probability=",CHAR(34),1/I$4,CHAR(34),CHAR(47),CHAR(62)),"&lt;/routeDistribution&gt;"))</f>
        <v/>
      </c>
    </row>
    <row r="8183" spans="1:5" x14ac:dyDescent="0.25">
      <c r="A8183" t="s">
        <v>1430</v>
      </c>
      <c r="B8183" t="s">
        <v>1094</v>
      </c>
      <c r="E8183" t="str">
        <f>IF(OR(E8182="&lt;/routeDistribution&gt;",E8182=""),"",IFERROR(_xlfn.CONCAT(VLOOKUP(I57,Route_Column!#REF!,2,FALSE),CHAR(34)," probability=",CHAR(34),1/I$4,CHAR(34),CHAR(47),CHAR(62)),"&lt;/routeDistribution&gt;"))</f>
        <v/>
      </c>
    </row>
    <row r="8184" spans="1:5" x14ac:dyDescent="0.25">
      <c r="A8184" t="s">
        <v>1430</v>
      </c>
      <c r="B8184" t="s">
        <v>1095</v>
      </c>
      <c r="E8184" t="str">
        <f>IF(OR(E8183="&lt;/routeDistribution&gt;",E8183=""),"",IFERROR(_xlfn.CONCAT(VLOOKUP(I58,Route_Column!#REF!,2,FALSE),CHAR(34)," probability=",CHAR(34),1/I$4,CHAR(34),CHAR(47),CHAR(62)),"&lt;/routeDistribution&gt;"))</f>
        <v/>
      </c>
    </row>
    <row r="8185" spans="1:5" x14ac:dyDescent="0.25">
      <c r="A8185" t="s">
        <v>1430</v>
      </c>
      <c r="B8185" t="s">
        <v>1095</v>
      </c>
      <c r="E8185" t="str">
        <f>IF(OR(E8184="&lt;/routeDistribution&gt;",E8184=""),"",IFERROR(_xlfn.CONCAT(VLOOKUP(I59,Route_Column!#REF!,2,FALSE),CHAR(34)," probability=",CHAR(34),1/I$4,CHAR(34),CHAR(47),CHAR(62)),"&lt;/routeDistribution&gt;"))</f>
        <v/>
      </c>
    </row>
    <row r="8186" spans="1:5" x14ac:dyDescent="0.25">
      <c r="A8186" t="s">
        <v>1430</v>
      </c>
      <c r="B8186" t="s">
        <v>1096</v>
      </c>
      <c r="E8186" t="str">
        <f>IF(OR(E8185="&lt;/routeDistribution&gt;",E8185=""),"",IFERROR(_xlfn.CONCAT(VLOOKUP(I60,Route_Column!#REF!,2,FALSE),CHAR(34)," probability=",CHAR(34),1/I$4,CHAR(34),CHAR(47),CHAR(62)),"&lt;/routeDistribution&gt;"))</f>
        <v/>
      </c>
    </row>
    <row r="8187" spans="1:5" x14ac:dyDescent="0.25">
      <c r="A8187" t="s">
        <v>1430</v>
      </c>
      <c r="B8187" t="s">
        <v>1096</v>
      </c>
      <c r="E8187" t="str">
        <f>IF(OR(E8186="&lt;/routeDistribution&gt;",E8186=""),"",IFERROR(_xlfn.CONCAT(VLOOKUP(I61,Route_Column!#REF!,2,FALSE),CHAR(34)," probability=",CHAR(34),1/I$4,CHAR(34),CHAR(47),CHAR(62)),"&lt;/routeDistribution&gt;"))</f>
        <v/>
      </c>
    </row>
    <row r="8188" spans="1:5" x14ac:dyDescent="0.25">
      <c r="A8188" t="s">
        <v>1430</v>
      </c>
      <c r="B8188" t="s">
        <v>1097</v>
      </c>
      <c r="E8188" t="str">
        <f>IF(OR(E8187="&lt;/routeDistribution&gt;",E8187=""),"",IFERROR(_xlfn.CONCAT(VLOOKUP(I62,Route_Column!#REF!,2,FALSE),CHAR(34)," probability=",CHAR(34),1/I$4,CHAR(34),CHAR(47),CHAR(62)),"&lt;/routeDistribution&gt;"))</f>
        <v/>
      </c>
    </row>
    <row r="8189" spans="1:5" x14ac:dyDescent="0.25">
      <c r="A8189" t="s">
        <v>1430</v>
      </c>
      <c r="B8189" t="s">
        <v>1097</v>
      </c>
      <c r="E8189" t="str">
        <f>IF(OR(E8188="&lt;/routeDistribution&gt;",E8188=""),"",IFERROR(_xlfn.CONCAT(VLOOKUP(I63,Route_Column!#REF!,2,FALSE),CHAR(34)," probability=",CHAR(34),1/I$4,CHAR(34),CHAR(47),CHAR(62)),"&lt;/routeDistribution&gt;"))</f>
        <v/>
      </c>
    </row>
    <row r="8190" spans="1:5" x14ac:dyDescent="0.25">
      <c r="A8190" t="s">
        <v>1430</v>
      </c>
      <c r="B8190" t="s">
        <v>1098</v>
      </c>
      <c r="E8190" t="s">
        <v>2686</v>
      </c>
    </row>
    <row r="8191" spans="1:5" x14ac:dyDescent="0.25">
      <c r="A8191" t="s">
        <v>1430</v>
      </c>
      <c r="B8191" t="s">
        <v>1098</v>
      </c>
    </row>
    <row r="8192" spans="1:5" x14ac:dyDescent="0.25">
      <c r="A8192" t="s">
        <v>1430</v>
      </c>
      <c r="B8192" t="s">
        <v>1099</v>
      </c>
    </row>
    <row r="8193" spans="1:5" x14ac:dyDescent="0.25">
      <c r="A8193" t="s">
        <v>1430</v>
      </c>
      <c r="B8193" t="s">
        <v>1099</v>
      </c>
      <c r="E8193" t="str">
        <f>_xlfn.CONCAT($E$1,H$2,$F$1)</f>
        <v>&lt;routeDistribution id="CIVIC-HEALTH-to-UNIave-NB-2017-RouteProbe"&gt;</v>
      </c>
    </row>
    <row r="8194" spans="1:5" x14ac:dyDescent="0.25">
      <c r="A8194" t="s">
        <v>1430</v>
      </c>
      <c r="B8194" t="s">
        <v>1100</v>
      </c>
      <c r="E8194" t="str">
        <f>IF(OR(E8193="&lt;/routeDistribution&gt;",E8193=""),"",IFERROR(_xlfn.CONCAT(VLOOKUP(H5,Route_Column!#REF!,2,FALSE),CHAR(34)," probability=",CHAR(34),1/H$4,CHAR(34),CHAR(47),CHAR(62)),"&lt;/routeDistribution&gt;"))</f>
        <v>&lt;/routeDistribution&gt;</v>
      </c>
    </row>
    <row r="8195" spans="1:5" x14ac:dyDescent="0.25">
      <c r="A8195" t="s">
        <v>1430</v>
      </c>
      <c r="B8195" t="s">
        <v>1100</v>
      </c>
      <c r="E8195" t="str">
        <f>IF(OR(E8194="&lt;/routeDistribution&gt;",E8194=""),"",IFERROR(_xlfn.CONCAT(VLOOKUP(H6,Route_Column!#REF!,2,FALSE),CHAR(34)," probability=",CHAR(34),1/H$4,CHAR(34),CHAR(47),CHAR(62)),"&lt;/routeDistribution&gt;"))</f>
        <v/>
      </c>
    </row>
    <row r="8196" spans="1:5" x14ac:dyDescent="0.25">
      <c r="A8196" t="s">
        <v>1430</v>
      </c>
      <c r="B8196" t="s">
        <v>1101</v>
      </c>
      <c r="E8196" t="str">
        <f>IF(OR(E8195="&lt;/routeDistribution&gt;",E8195=""),"",IFERROR(_xlfn.CONCAT(VLOOKUP(H7,Route_Column!#REF!,2,FALSE),CHAR(34)," probability=",CHAR(34),1/H$4,CHAR(34),CHAR(47),CHAR(62)),"&lt;/routeDistribution&gt;"))</f>
        <v/>
      </c>
    </row>
    <row r="8197" spans="1:5" x14ac:dyDescent="0.25">
      <c r="A8197" t="s">
        <v>1430</v>
      </c>
      <c r="B8197" t="s">
        <v>1101</v>
      </c>
      <c r="E8197" t="str">
        <f>IF(OR(E8196="&lt;/routeDistribution&gt;",E8196=""),"",IFERROR(_xlfn.CONCAT(VLOOKUP(H8,Route_Column!#REF!,2,FALSE),CHAR(34)," probability=",CHAR(34),1/H$4,CHAR(34),CHAR(47),CHAR(62)),"&lt;/routeDistribution&gt;"))</f>
        <v/>
      </c>
    </row>
    <row r="8198" spans="1:5" x14ac:dyDescent="0.25">
      <c r="A8198" t="s">
        <v>1430</v>
      </c>
      <c r="B8198" t="s">
        <v>1102</v>
      </c>
      <c r="E8198" t="str">
        <f>IF(OR(E8197="&lt;/routeDistribution&gt;",E8197=""),"",IFERROR(_xlfn.CONCAT(VLOOKUP(H9,Route_Column!#REF!,2,FALSE),CHAR(34)," probability=",CHAR(34),1/H$4,CHAR(34),CHAR(47),CHAR(62)),"&lt;/routeDistribution&gt;"))</f>
        <v/>
      </c>
    </row>
    <row r="8199" spans="1:5" x14ac:dyDescent="0.25">
      <c r="A8199" t="s">
        <v>1430</v>
      </c>
      <c r="B8199" t="s">
        <v>1102</v>
      </c>
      <c r="E8199" t="str">
        <f>IF(OR(E8198="&lt;/routeDistribution&gt;",E8198=""),"",IFERROR(_xlfn.CONCAT(VLOOKUP(H10,Route_Column!#REF!,2,FALSE),CHAR(34)," probability=",CHAR(34),1/H$4,CHAR(34),CHAR(47),CHAR(62)),"&lt;/routeDistribution&gt;"))</f>
        <v/>
      </c>
    </row>
    <row r="8200" spans="1:5" x14ac:dyDescent="0.25">
      <c r="A8200" t="s">
        <v>1430</v>
      </c>
      <c r="B8200" t="s">
        <v>1102</v>
      </c>
      <c r="E8200" t="str">
        <f>IF(OR(E8199="&lt;/routeDistribution&gt;",E8199=""),"",IFERROR(_xlfn.CONCAT(VLOOKUP(H11,Route_Column!#REF!,2,FALSE),CHAR(34)," probability=",CHAR(34),1/H$4,CHAR(34),CHAR(47),CHAR(62)),"&lt;/routeDistribution&gt;"))</f>
        <v/>
      </c>
    </row>
    <row r="8201" spans="1:5" x14ac:dyDescent="0.25">
      <c r="A8201" t="s">
        <v>1430</v>
      </c>
      <c r="B8201" t="s">
        <v>1102</v>
      </c>
      <c r="E8201" t="str">
        <f>IF(OR(E8200="&lt;/routeDistribution&gt;",E8200=""),"",IFERROR(_xlfn.CONCAT(VLOOKUP(H12,Route_Column!#REF!,2,FALSE),CHAR(34)," probability=",CHAR(34),1/H$4,CHAR(34),CHAR(47),CHAR(62)),"&lt;/routeDistribution&gt;"))</f>
        <v/>
      </c>
    </row>
    <row r="8202" spans="1:5" x14ac:dyDescent="0.25">
      <c r="A8202" t="s">
        <v>1430</v>
      </c>
      <c r="B8202" t="s">
        <v>1103</v>
      </c>
      <c r="E8202" t="str">
        <f>IF(OR(E8201="&lt;/routeDistribution&gt;",E8201=""),"",IFERROR(_xlfn.CONCAT(VLOOKUP(H13,Route_Column!#REF!,2,FALSE),CHAR(34)," probability=",CHAR(34),1/H$4,CHAR(34),CHAR(47),CHAR(62)),"&lt;/routeDistribution&gt;"))</f>
        <v/>
      </c>
    </row>
    <row r="8203" spans="1:5" x14ac:dyDescent="0.25">
      <c r="A8203" t="s">
        <v>1430</v>
      </c>
      <c r="B8203" t="s">
        <v>1103</v>
      </c>
      <c r="E8203" t="str">
        <f>IF(OR(E8202="&lt;/routeDistribution&gt;",E8202=""),"",IFERROR(_xlfn.CONCAT(VLOOKUP(H14,Route_Column!#REF!,2,FALSE),CHAR(34)," probability=",CHAR(34),1/H$4,CHAR(34),CHAR(47),CHAR(62)),"&lt;/routeDistribution&gt;"))</f>
        <v/>
      </c>
    </row>
    <row r="8204" spans="1:5" x14ac:dyDescent="0.25">
      <c r="A8204" t="s">
        <v>1430</v>
      </c>
      <c r="B8204" t="s">
        <v>1104</v>
      </c>
      <c r="E8204" t="str">
        <f>IF(OR(E8203="&lt;/routeDistribution&gt;",E8203=""),"",IFERROR(_xlfn.CONCAT(VLOOKUP(H15,Route_Column!#REF!,2,FALSE),CHAR(34)," probability=",CHAR(34),1/H$4,CHAR(34),CHAR(47),CHAR(62)),"&lt;/routeDistribution&gt;"))</f>
        <v/>
      </c>
    </row>
    <row r="8205" spans="1:5" x14ac:dyDescent="0.25">
      <c r="A8205" t="s">
        <v>1430</v>
      </c>
      <c r="B8205" t="s">
        <v>1104</v>
      </c>
      <c r="E8205" t="str">
        <f>IF(OR(E8204="&lt;/routeDistribution&gt;",E8204=""),"",IFERROR(_xlfn.CONCAT(VLOOKUP(H16,Route_Column!#REF!,2,FALSE),CHAR(34)," probability=",CHAR(34),1/H$4,CHAR(34),CHAR(47),CHAR(62)),"&lt;/routeDistribution&gt;"))</f>
        <v/>
      </c>
    </row>
    <row r="8206" spans="1:5" x14ac:dyDescent="0.25">
      <c r="A8206" t="s">
        <v>1430</v>
      </c>
      <c r="B8206" t="s">
        <v>1104</v>
      </c>
      <c r="E8206" t="str">
        <f>IF(OR(E8205="&lt;/routeDistribution&gt;",E8205=""),"",IFERROR(_xlfn.CONCAT(VLOOKUP(H17,Route_Column!#REF!,2,FALSE),CHAR(34)," probability=",CHAR(34),1/H$4,CHAR(34),CHAR(47),CHAR(62)),"&lt;/routeDistribution&gt;"))</f>
        <v/>
      </c>
    </row>
    <row r="8207" spans="1:5" x14ac:dyDescent="0.25">
      <c r="A8207" t="s">
        <v>1430</v>
      </c>
      <c r="B8207" t="s">
        <v>1105</v>
      </c>
      <c r="E8207" t="str">
        <f>IF(OR(E8206="&lt;/routeDistribution&gt;",E8206=""),"",IFERROR(_xlfn.CONCAT(VLOOKUP(H18,Route_Column!#REF!,2,FALSE),CHAR(34)," probability=",CHAR(34),1/H$4,CHAR(34),CHAR(47),CHAR(62)),"&lt;/routeDistribution&gt;"))</f>
        <v/>
      </c>
    </row>
    <row r="8208" spans="1:5" x14ac:dyDescent="0.25">
      <c r="A8208" t="s">
        <v>1430</v>
      </c>
      <c r="B8208" t="s">
        <v>1105</v>
      </c>
      <c r="E8208" t="str">
        <f>IF(OR(E8207="&lt;/routeDistribution&gt;",E8207=""),"",IFERROR(_xlfn.CONCAT(VLOOKUP(H19,Route_Column!#REF!,2,FALSE),CHAR(34)," probability=",CHAR(34),1/H$4,CHAR(34),CHAR(47),CHAR(62)),"&lt;/routeDistribution&gt;"))</f>
        <v/>
      </c>
    </row>
    <row r="8209" spans="1:5" x14ac:dyDescent="0.25">
      <c r="A8209" t="s">
        <v>1430</v>
      </c>
      <c r="B8209" t="s">
        <v>1106</v>
      </c>
      <c r="E8209" t="str">
        <f>IF(OR(E8208="&lt;/routeDistribution&gt;",E8208=""),"",IFERROR(_xlfn.CONCAT(VLOOKUP(H20,Route_Column!#REF!,2,FALSE),CHAR(34)," probability=",CHAR(34),1/H$4,CHAR(34),CHAR(47),CHAR(62)),"&lt;/routeDistribution&gt;"))</f>
        <v/>
      </c>
    </row>
    <row r="8210" spans="1:5" x14ac:dyDescent="0.25">
      <c r="A8210" t="s">
        <v>1430</v>
      </c>
      <c r="B8210" t="s">
        <v>1106</v>
      </c>
      <c r="E8210" t="str">
        <f>IF(OR(E8209="&lt;/routeDistribution&gt;",E8209=""),"",IFERROR(_xlfn.CONCAT(VLOOKUP(H21,Route_Column!#REF!,2,FALSE),CHAR(34)," probability=",CHAR(34),1/H$4,CHAR(34),CHAR(47),CHAR(62)),"&lt;/routeDistribution&gt;"))</f>
        <v/>
      </c>
    </row>
    <row r="8211" spans="1:5" x14ac:dyDescent="0.25">
      <c r="A8211" t="s">
        <v>1430</v>
      </c>
      <c r="B8211" t="s">
        <v>1107</v>
      </c>
      <c r="E8211" t="str">
        <f>IF(OR(E8210="&lt;/routeDistribution&gt;",E8210=""),"",IFERROR(_xlfn.CONCAT(VLOOKUP(H22,Route_Column!#REF!,2,FALSE),CHAR(34)," probability=",CHAR(34),1/H$4,CHAR(34),CHAR(47),CHAR(62)),"&lt;/routeDistribution&gt;"))</f>
        <v/>
      </c>
    </row>
    <row r="8212" spans="1:5" x14ac:dyDescent="0.25">
      <c r="A8212" t="s">
        <v>1430</v>
      </c>
      <c r="B8212" t="s">
        <v>1107</v>
      </c>
      <c r="E8212" t="str">
        <f>IF(OR(E8211="&lt;/routeDistribution&gt;",E8211=""),"",IFERROR(_xlfn.CONCAT(VLOOKUP(H23,Route_Column!#REF!,2,FALSE),CHAR(34)," probability=",CHAR(34),1/H$4,CHAR(34),CHAR(47),CHAR(62)),"&lt;/routeDistribution&gt;"))</f>
        <v/>
      </c>
    </row>
    <row r="8213" spans="1:5" x14ac:dyDescent="0.25">
      <c r="A8213" t="s">
        <v>1430</v>
      </c>
      <c r="B8213" t="s">
        <v>1108</v>
      </c>
      <c r="E8213" t="str">
        <f>IF(OR(E8212="&lt;/routeDistribution&gt;",E8212=""),"",IFERROR(_xlfn.CONCAT(VLOOKUP(H24,Route_Column!#REF!,2,FALSE),CHAR(34)," probability=",CHAR(34),1/H$4,CHAR(34),CHAR(47),CHAR(62)),"&lt;/routeDistribution&gt;"))</f>
        <v/>
      </c>
    </row>
    <row r="8214" spans="1:5" x14ac:dyDescent="0.25">
      <c r="A8214" t="s">
        <v>1430</v>
      </c>
      <c r="B8214" t="s">
        <v>1108</v>
      </c>
      <c r="E8214" t="str">
        <f>IF(OR(E8213="&lt;/routeDistribution&gt;",E8213=""),"",IFERROR(_xlfn.CONCAT(VLOOKUP(H25,Route_Column!#REF!,2,FALSE),CHAR(34)," probability=",CHAR(34),1/H$4,CHAR(34),CHAR(47),CHAR(62)),"&lt;/routeDistribution&gt;"))</f>
        <v/>
      </c>
    </row>
    <row r="8215" spans="1:5" x14ac:dyDescent="0.25">
      <c r="A8215" t="s">
        <v>1430</v>
      </c>
      <c r="B8215" t="s">
        <v>1109</v>
      </c>
      <c r="E8215" t="str">
        <f>IF(OR(E8214="&lt;/routeDistribution&gt;",E8214=""),"",IFERROR(_xlfn.CONCAT(VLOOKUP(H26,Route_Column!#REF!,2,FALSE),CHAR(34)," probability=",CHAR(34),1/H$4,CHAR(34),CHAR(47),CHAR(62)),"&lt;/routeDistribution&gt;"))</f>
        <v/>
      </c>
    </row>
    <row r="8216" spans="1:5" x14ac:dyDescent="0.25">
      <c r="A8216" t="s">
        <v>1430</v>
      </c>
      <c r="B8216" t="s">
        <v>1109</v>
      </c>
      <c r="E8216" t="str">
        <f>IF(OR(E8215="&lt;/routeDistribution&gt;",E8215=""),"",IFERROR(_xlfn.CONCAT(VLOOKUP(H27,Route_Column!#REF!,2,FALSE),CHAR(34)," probability=",CHAR(34),1/H$4,CHAR(34),CHAR(47),CHAR(62)),"&lt;/routeDistribution&gt;"))</f>
        <v/>
      </c>
    </row>
    <row r="8217" spans="1:5" x14ac:dyDescent="0.25">
      <c r="A8217" t="s">
        <v>1430</v>
      </c>
      <c r="B8217" t="s">
        <v>1110</v>
      </c>
      <c r="E8217" t="str">
        <f>IF(OR(E8216="&lt;/routeDistribution&gt;",E8216=""),"",IFERROR(_xlfn.CONCAT(VLOOKUP(H28,Route_Column!#REF!,2,FALSE),CHAR(34)," probability=",CHAR(34),1/H$4,CHAR(34),CHAR(47),CHAR(62)),"&lt;/routeDistribution&gt;"))</f>
        <v/>
      </c>
    </row>
    <row r="8218" spans="1:5" x14ac:dyDescent="0.25">
      <c r="A8218" t="s">
        <v>1430</v>
      </c>
      <c r="B8218" t="s">
        <v>1110</v>
      </c>
      <c r="E8218" t="str">
        <f>IF(OR(E8217="&lt;/routeDistribution&gt;",E8217=""),"",IFERROR(_xlfn.CONCAT(VLOOKUP(H29,Route_Column!#REF!,2,FALSE),CHAR(34)," probability=",CHAR(34),1/H$4,CHAR(34),CHAR(47),CHAR(62)),"&lt;/routeDistribution&gt;"))</f>
        <v/>
      </c>
    </row>
    <row r="8219" spans="1:5" x14ac:dyDescent="0.25">
      <c r="A8219" t="s">
        <v>1430</v>
      </c>
      <c r="B8219" t="s">
        <v>1111</v>
      </c>
      <c r="E8219" t="str">
        <f>IF(OR(E8218="&lt;/routeDistribution&gt;",E8218=""),"",IFERROR(_xlfn.CONCAT(VLOOKUP(H30,Route_Column!#REF!,2,FALSE),CHAR(34)," probability=",CHAR(34),1/H$4,CHAR(34),CHAR(47),CHAR(62)),"&lt;/routeDistribution&gt;"))</f>
        <v/>
      </c>
    </row>
    <row r="8220" spans="1:5" x14ac:dyDescent="0.25">
      <c r="A8220" t="s">
        <v>1430</v>
      </c>
      <c r="B8220" t="s">
        <v>1111</v>
      </c>
      <c r="E8220" t="str">
        <f>IF(OR(E8219="&lt;/routeDistribution&gt;",E8219=""),"",IFERROR(_xlfn.CONCAT(VLOOKUP(H31,Route_Column!#REF!,2,FALSE),CHAR(34)," probability=",CHAR(34),1/H$4,CHAR(34),CHAR(47),CHAR(62)),"&lt;/routeDistribution&gt;"))</f>
        <v/>
      </c>
    </row>
    <row r="8221" spans="1:5" x14ac:dyDescent="0.25">
      <c r="A8221" t="s">
        <v>1430</v>
      </c>
      <c r="B8221" t="s">
        <v>1112</v>
      </c>
      <c r="E8221" t="str">
        <f>IF(OR(E8220="&lt;/routeDistribution&gt;",E8220=""),"",IFERROR(_xlfn.CONCAT(VLOOKUP(H32,Route_Column!#REF!,2,FALSE),CHAR(34)," probability=",CHAR(34),1/H$4,CHAR(34),CHAR(47),CHAR(62)),"&lt;/routeDistribution&gt;"))</f>
        <v/>
      </c>
    </row>
    <row r="8222" spans="1:5" x14ac:dyDescent="0.25">
      <c r="A8222" t="s">
        <v>1430</v>
      </c>
      <c r="B8222" t="s">
        <v>1112</v>
      </c>
      <c r="E8222" t="str">
        <f>IF(OR(E8221="&lt;/routeDistribution&gt;",E8221=""),"",IFERROR(_xlfn.CONCAT(VLOOKUP(H33,Route_Column!#REF!,2,FALSE),CHAR(34)," probability=",CHAR(34),1/H$4,CHAR(34),CHAR(47),CHAR(62)),"&lt;/routeDistribution&gt;"))</f>
        <v/>
      </c>
    </row>
    <row r="8223" spans="1:5" x14ac:dyDescent="0.25">
      <c r="A8223" t="s">
        <v>1430</v>
      </c>
      <c r="B8223" t="s">
        <v>1113</v>
      </c>
      <c r="E8223" t="str">
        <f>IF(OR(E8222="&lt;/routeDistribution&gt;",E8222=""),"",IFERROR(_xlfn.CONCAT(VLOOKUP(H34,Route_Column!#REF!,2,FALSE),CHAR(34)," probability=",CHAR(34),1/H$4,CHAR(34),CHAR(47),CHAR(62)),"&lt;/routeDistribution&gt;"))</f>
        <v/>
      </c>
    </row>
    <row r="8224" spans="1:5" x14ac:dyDescent="0.25">
      <c r="A8224" t="s">
        <v>1430</v>
      </c>
      <c r="B8224" t="s">
        <v>1113</v>
      </c>
      <c r="E8224" t="str">
        <f>IF(OR(E8223="&lt;/routeDistribution&gt;",E8223=""),"",IFERROR(_xlfn.CONCAT(VLOOKUP(H35,Route_Column!#REF!,2,FALSE),CHAR(34)," probability=",CHAR(34),1/H$4,CHAR(34),CHAR(47),CHAR(62)),"&lt;/routeDistribution&gt;"))</f>
        <v/>
      </c>
    </row>
    <row r="8225" spans="1:5" x14ac:dyDescent="0.25">
      <c r="A8225" t="s">
        <v>1430</v>
      </c>
      <c r="B8225" t="s">
        <v>1114</v>
      </c>
      <c r="E8225" t="str">
        <f>IF(OR(E8224="&lt;/routeDistribution&gt;",E8224=""),"",IFERROR(_xlfn.CONCAT(VLOOKUP(H36,Route_Column!#REF!,2,FALSE),CHAR(34)," probability=",CHAR(34),1/H$4,CHAR(34),CHAR(47),CHAR(62)),"&lt;/routeDistribution&gt;"))</f>
        <v/>
      </c>
    </row>
    <row r="8226" spans="1:5" x14ac:dyDescent="0.25">
      <c r="A8226" t="s">
        <v>1430</v>
      </c>
      <c r="B8226" t="s">
        <v>1114</v>
      </c>
      <c r="E8226" t="str">
        <f>IF(OR(E8225="&lt;/routeDistribution&gt;",E8225=""),"",IFERROR(_xlfn.CONCAT(VLOOKUP(H37,Route_Column!#REF!,2,FALSE),CHAR(34)," probability=",CHAR(34),1/H$4,CHAR(34),CHAR(47),CHAR(62)),"&lt;/routeDistribution&gt;"))</f>
        <v/>
      </c>
    </row>
    <row r="8227" spans="1:5" x14ac:dyDescent="0.25">
      <c r="A8227" t="s">
        <v>1430</v>
      </c>
      <c r="B8227" t="s">
        <v>1115</v>
      </c>
      <c r="E8227" t="str">
        <f>IF(OR(E8226="&lt;/routeDistribution&gt;",E8226=""),"",IFERROR(_xlfn.CONCAT(VLOOKUP(H38,Route_Column!#REF!,2,FALSE),CHAR(34)," probability=",CHAR(34),1/H$4,CHAR(34),CHAR(47),CHAR(62)),"&lt;/routeDistribution&gt;"))</f>
        <v/>
      </c>
    </row>
    <row r="8228" spans="1:5" x14ac:dyDescent="0.25">
      <c r="A8228" t="s">
        <v>1430</v>
      </c>
      <c r="B8228" t="s">
        <v>1115</v>
      </c>
      <c r="E8228" t="str">
        <f>IF(OR(E8227="&lt;/routeDistribution&gt;",E8227=""),"",IFERROR(_xlfn.CONCAT(VLOOKUP(H39,Route_Column!#REF!,2,FALSE),CHAR(34)," probability=",CHAR(34),1/H$4,CHAR(34),CHAR(47),CHAR(62)),"&lt;/routeDistribution&gt;"))</f>
        <v/>
      </c>
    </row>
    <row r="8229" spans="1:5" x14ac:dyDescent="0.25">
      <c r="A8229" t="s">
        <v>1430</v>
      </c>
      <c r="B8229" t="s">
        <v>1116</v>
      </c>
      <c r="E8229" t="str">
        <f>IF(OR(E8228="&lt;/routeDistribution&gt;",E8228=""),"",IFERROR(_xlfn.CONCAT(VLOOKUP(H40,Route_Column!#REF!,2,FALSE),CHAR(34)," probability=",CHAR(34),1/H$4,CHAR(34),CHAR(47),CHAR(62)),"&lt;/routeDistribution&gt;"))</f>
        <v/>
      </c>
    </row>
    <row r="8230" spans="1:5" x14ac:dyDescent="0.25">
      <c r="A8230" t="s">
        <v>1430</v>
      </c>
      <c r="B8230" t="s">
        <v>1116</v>
      </c>
      <c r="E8230" t="str">
        <f>IF(OR(E8229="&lt;/routeDistribution&gt;",E8229=""),"",IFERROR(_xlfn.CONCAT(VLOOKUP(H41,Route_Column!#REF!,2,FALSE),CHAR(34)," probability=",CHAR(34),1/H$4,CHAR(34),CHAR(47),CHAR(62)),"&lt;/routeDistribution&gt;"))</f>
        <v/>
      </c>
    </row>
    <row r="8231" spans="1:5" x14ac:dyDescent="0.25">
      <c r="A8231" t="s">
        <v>1430</v>
      </c>
      <c r="B8231" t="s">
        <v>1117</v>
      </c>
      <c r="E8231" t="str">
        <f>IF(OR(E8230="&lt;/routeDistribution&gt;",E8230=""),"",IFERROR(_xlfn.CONCAT(VLOOKUP(H42,Route_Column!#REF!,2,FALSE),CHAR(34)," probability=",CHAR(34),1/H$4,CHAR(34),CHAR(47),CHAR(62)),"&lt;/routeDistribution&gt;"))</f>
        <v/>
      </c>
    </row>
    <row r="8232" spans="1:5" x14ac:dyDescent="0.25">
      <c r="A8232" t="s">
        <v>1430</v>
      </c>
      <c r="B8232" t="s">
        <v>1118</v>
      </c>
      <c r="E8232" t="str">
        <f>IF(OR(E8231="&lt;/routeDistribution&gt;",E8231=""),"",IFERROR(_xlfn.CONCAT(VLOOKUP(H43,Route_Column!#REF!,2,FALSE),CHAR(34)," probability=",CHAR(34),1/H$4,CHAR(34),CHAR(47),CHAR(62)),"&lt;/routeDistribution&gt;"))</f>
        <v/>
      </c>
    </row>
    <row r="8233" spans="1:5" x14ac:dyDescent="0.25">
      <c r="A8233" t="s">
        <v>1430</v>
      </c>
      <c r="B8233" t="s">
        <v>1119</v>
      </c>
      <c r="E8233" t="str">
        <f>IF(OR(E8232="&lt;/routeDistribution&gt;",E8232=""),"",IFERROR(_xlfn.CONCAT(VLOOKUP(H44,Route_Column!#REF!,2,FALSE),CHAR(34)," probability=",CHAR(34),1/H$4,CHAR(34),CHAR(47),CHAR(62)),"&lt;/routeDistribution&gt;"))</f>
        <v/>
      </c>
    </row>
    <row r="8234" spans="1:5" x14ac:dyDescent="0.25">
      <c r="A8234" t="s">
        <v>1430</v>
      </c>
      <c r="B8234" t="s">
        <v>1120</v>
      </c>
      <c r="E8234" t="str">
        <f>IF(OR(E8233="&lt;/routeDistribution&gt;",E8233=""),"",IFERROR(_xlfn.CONCAT(VLOOKUP(H45,Route_Column!#REF!,2,FALSE),CHAR(34)," probability=",CHAR(34),1/H$4,CHAR(34),CHAR(47),CHAR(62)),"&lt;/routeDistribution&gt;"))</f>
        <v/>
      </c>
    </row>
    <row r="8235" spans="1:5" x14ac:dyDescent="0.25">
      <c r="A8235" t="s">
        <v>1430</v>
      </c>
      <c r="B8235" t="s">
        <v>1121</v>
      </c>
      <c r="E8235" t="str">
        <f>IF(OR(E8234="&lt;/routeDistribution&gt;",E8234=""),"",IFERROR(_xlfn.CONCAT(VLOOKUP(H46,Route_Column!#REF!,2,FALSE),CHAR(34)," probability=",CHAR(34),1/H$4,CHAR(34),CHAR(47),CHAR(62)),"&lt;/routeDistribution&gt;"))</f>
        <v/>
      </c>
    </row>
    <row r="8236" spans="1:5" x14ac:dyDescent="0.25">
      <c r="A8236" t="s">
        <v>1430</v>
      </c>
      <c r="B8236" t="s">
        <v>1121</v>
      </c>
      <c r="E8236" t="str">
        <f>IF(OR(E8235="&lt;/routeDistribution&gt;",E8235=""),"",IFERROR(_xlfn.CONCAT(VLOOKUP(H47,Route_Column!#REF!,2,FALSE),CHAR(34)," probability=",CHAR(34),1/H$4,CHAR(34),CHAR(47),CHAR(62)),"&lt;/routeDistribution&gt;"))</f>
        <v/>
      </c>
    </row>
    <row r="8237" spans="1:5" x14ac:dyDescent="0.25">
      <c r="A8237" t="s">
        <v>1430</v>
      </c>
      <c r="B8237" t="s">
        <v>1122</v>
      </c>
      <c r="E8237" t="str">
        <f>IF(OR(E8236="&lt;/routeDistribution&gt;",E8236=""),"",IFERROR(_xlfn.CONCAT(VLOOKUP(H48,Route_Column!#REF!,2,FALSE),CHAR(34)," probability=",CHAR(34),1/H$4,CHAR(34),CHAR(47),CHAR(62)),"&lt;/routeDistribution&gt;"))</f>
        <v/>
      </c>
    </row>
    <row r="8238" spans="1:5" x14ac:dyDescent="0.25">
      <c r="A8238" t="s">
        <v>1430</v>
      </c>
      <c r="B8238" t="s">
        <v>1122</v>
      </c>
      <c r="E8238" t="str">
        <f>IF(OR(E8237="&lt;/routeDistribution&gt;",E8237=""),"",IFERROR(_xlfn.CONCAT(VLOOKUP(H49,Route_Column!#REF!,2,FALSE),CHAR(34)," probability=",CHAR(34),1/H$4,CHAR(34),CHAR(47),CHAR(62)),"&lt;/routeDistribution&gt;"))</f>
        <v/>
      </c>
    </row>
    <row r="8239" spans="1:5" x14ac:dyDescent="0.25">
      <c r="A8239" t="s">
        <v>1430</v>
      </c>
      <c r="B8239" t="s">
        <v>1122</v>
      </c>
      <c r="E8239" t="str">
        <f>IF(OR(E8238="&lt;/routeDistribution&gt;",E8238=""),"",IFERROR(_xlfn.CONCAT(VLOOKUP(H50,Route_Column!#REF!,2,FALSE),CHAR(34)," probability=",CHAR(34),1/H$4,CHAR(34),CHAR(47),CHAR(62)),"&lt;/routeDistribution&gt;"))</f>
        <v/>
      </c>
    </row>
    <row r="8240" spans="1:5" x14ac:dyDescent="0.25">
      <c r="A8240" t="s">
        <v>1430</v>
      </c>
      <c r="B8240" t="s">
        <v>1123</v>
      </c>
      <c r="E8240" t="str">
        <f>IF(OR(E8239="&lt;/routeDistribution&gt;",E8239=""),"",IFERROR(_xlfn.CONCAT(VLOOKUP(H51,Route_Column!#REF!,2,FALSE),CHAR(34)," probability=",CHAR(34),1/H$4,CHAR(34),CHAR(47),CHAR(62)),"&lt;/routeDistribution&gt;"))</f>
        <v/>
      </c>
    </row>
    <row r="8241" spans="1:5" x14ac:dyDescent="0.25">
      <c r="A8241" t="s">
        <v>1430</v>
      </c>
      <c r="B8241" t="s">
        <v>1123</v>
      </c>
      <c r="E8241" t="str">
        <f>IF(OR(E8240="&lt;/routeDistribution&gt;",E8240=""),"",IFERROR(_xlfn.CONCAT(VLOOKUP(H52,Route_Column!#REF!,2,FALSE),CHAR(34)," probability=",CHAR(34),1/H$4,CHAR(34),CHAR(47),CHAR(62)),"&lt;/routeDistribution&gt;"))</f>
        <v/>
      </c>
    </row>
    <row r="8242" spans="1:5" x14ac:dyDescent="0.25">
      <c r="A8242" t="s">
        <v>1430</v>
      </c>
      <c r="B8242" t="s">
        <v>1124</v>
      </c>
      <c r="E8242" t="str">
        <f>IF(OR(E8241="&lt;/routeDistribution&gt;",E8241=""),"",IFERROR(_xlfn.CONCAT(VLOOKUP(H53,Route_Column!#REF!,2,FALSE),CHAR(34)," probability=",CHAR(34),1/H$4,CHAR(34),CHAR(47),CHAR(62)),"&lt;/routeDistribution&gt;"))</f>
        <v/>
      </c>
    </row>
    <row r="8243" spans="1:5" x14ac:dyDescent="0.25">
      <c r="A8243" t="s">
        <v>1430</v>
      </c>
      <c r="B8243" t="s">
        <v>1125</v>
      </c>
      <c r="E8243" t="str">
        <f>IF(OR(E8242="&lt;/routeDistribution&gt;",E8242=""),"",IFERROR(_xlfn.CONCAT(VLOOKUP(H54,Route_Column!#REF!,2,FALSE),CHAR(34)," probability=",CHAR(34),1/H$4,CHAR(34),CHAR(47),CHAR(62)),"&lt;/routeDistribution&gt;"))</f>
        <v/>
      </c>
    </row>
    <row r="8244" spans="1:5" x14ac:dyDescent="0.25">
      <c r="A8244" t="s">
        <v>1430</v>
      </c>
      <c r="B8244" t="s">
        <v>1161</v>
      </c>
      <c r="E8244" t="str">
        <f>IF(OR(E8243="&lt;/routeDistribution&gt;",E8243=""),"",IFERROR(_xlfn.CONCAT(VLOOKUP(H55,Route_Column!#REF!,2,FALSE),CHAR(34)," probability=",CHAR(34),1/H$4,CHAR(34),CHAR(47),CHAR(62)),"&lt;/routeDistribution&gt;"))</f>
        <v/>
      </c>
    </row>
    <row r="8245" spans="1:5" x14ac:dyDescent="0.25">
      <c r="A8245" s="11" t="s">
        <v>1429</v>
      </c>
      <c r="B8245" t="s">
        <v>1090</v>
      </c>
      <c r="E8245" t="str">
        <f>IF(OR(E8244="&lt;/routeDistribution&gt;",E8244=""),"",IFERROR(_xlfn.CONCAT(VLOOKUP(H56,Route_Column!#REF!,2,FALSE),CHAR(34)," probability=",CHAR(34),1/H$4,CHAR(34),CHAR(47),CHAR(62)),"&lt;/routeDistribution&gt;"))</f>
        <v/>
      </c>
    </row>
    <row r="8246" spans="1:5" x14ac:dyDescent="0.25">
      <c r="A8246" s="11" t="s">
        <v>1429</v>
      </c>
      <c r="B8246" t="s">
        <v>1091</v>
      </c>
      <c r="E8246" t="str">
        <f>IF(OR(E8245="&lt;/routeDistribution&gt;",E8245=""),"",IFERROR(_xlfn.CONCAT(VLOOKUP(H57,Route_Column!#REF!,2,FALSE),CHAR(34)," probability=",CHAR(34),1/H$4,CHAR(34),CHAR(47),CHAR(62)),"&lt;/routeDistribution&gt;"))</f>
        <v/>
      </c>
    </row>
    <row r="8247" spans="1:5" x14ac:dyDescent="0.25">
      <c r="A8247" s="11" t="s">
        <v>1429</v>
      </c>
      <c r="B8247" t="s">
        <v>1091</v>
      </c>
      <c r="E8247" t="str">
        <f>IF(OR(E8246="&lt;/routeDistribution&gt;",E8246=""),"",IFERROR(_xlfn.CONCAT(VLOOKUP(H58,Route_Column!#REF!,2,FALSE),CHAR(34)," probability=",CHAR(34),1/H$4,CHAR(34),CHAR(47),CHAR(62)),"&lt;/routeDistribution&gt;"))</f>
        <v/>
      </c>
    </row>
    <row r="8248" spans="1:5" x14ac:dyDescent="0.25">
      <c r="A8248" s="13" t="s">
        <v>1429</v>
      </c>
      <c r="B8248" t="s">
        <v>1092</v>
      </c>
      <c r="E8248" t="str">
        <f>IF(OR(E8247="&lt;/routeDistribution&gt;",E8247=""),"",IFERROR(_xlfn.CONCAT(VLOOKUP(H59,Route_Column!#REF!,2,FALSE),CHAR(34)," probability=",CHAR(34),1/H$4,CHAR(34),CHAR(47),CHAR(62)),"&lt;/routeDistribution&gt;"))</f>
        <v/>
      </c>
    </row>
    <row r="8249" spans="1:5" x14ac:dyDescent="0.25">
      <c r="A8249" t="s">
        <v>1429</v>
      </c>
      <c r="B8249" t="s">
        <v>1092</v>
      </c>
      <c r="E8249" t="str">
        <f>IF(OR(E8248="&lt;/routeDistribution&gt;",E8248=""),"",IFERROR(_xlfn.CONCAT(VLOOKUP(H60,Route_Column!#REF!,2,FALSE),CHAR(34)," probability=",CHAR(34),1/H$4,CHAR(34),CHAR(47),CHAR(62)),"&lt;/routeDistribution&gt;"))</f>
        <v/>
      </c>
    </row>
    <row r="8250" spans="1:5" x14ac:dyDescent="0.25">
      <c r="A8250" t="s">
        <v>1429</v>
      </c>
      <c r="B8250" t="s">
        <v>1093</v>
      </c>
      <c r="E8250" t="str">
        <f>IF(OR(E8249="&lt;/routeDistribution&gt;",E8249=""),"",IFERROR(_xlfn.CONCAT(VLOOKUP(H61,Route_Column!#REF!,2,FALSE),CHAR(34)," probability=",CHAR(34),1/H$4,CHAR(34),CHAR(47),CHAR(62)),"&lt;/routeDistribution&gt;"))</f>
        <v/>
      </c>
    </row>
    <row r="8251" spans="1:5" x14ac:dyDescent="0.25">
      <c r="A8251" t="s">
        <v>1429</v>
      </c>
      <c r="B8251" t="s">
        <v>1093</v>
      </c>
      <c r="E8251" t="str">
        <f>IF(OR(E8250="&lt;/routeDistribution&gt;",E8250=""),"",IFERROR(_xlfn.CONCAT(VLOOKUP(H62,Route_Column!#REF!,2,FALSE),CHAR(34)," probability=",CHAR(34),1/H$4,CHAR(34),CHAR(47),CHAR(62)),"&lt;/routeDistribution&gt;"))</f>
        <v/>
      </c>
    </row>
    <row r="8252" spans="1:5" x14ac:dyDescent="0.25">
      <c r="A8252" t="s">
        <v>1429</v>
      </c>
      <c r="B8252" t="s">
        <v>1094</v>
      </c>
      <c r="E8252" t="str">
        <f>IF(OR(E8251="&lt;/routeDistribution&gt;",E8251=""),"",IFERROR(_xlfn.CONCAT(VLOOKUP(H63,Route_Column!#REF!,2,FALSE),CHAR(34)," probability=",CHAR(34),1/H$4,CHAR(34),CHAR(47),CHAR(62)),"&lt;/routeDistribution&gt;"))</f>
        <v/>
      </c>
    </row>
    <row r="8253" spans="1:5" x14ac:dyDescent="0.25">
      <c r="A8253" t="s">
        <v>1429</v>
      </c>
      <c r="B8253" t="s">
        <v>1094</v>
      </c>
      <c r="E8253" t="s">
        <v>2686</v>
      </c>
    </row>
    <row r="8254" spans="1:5" x14ac:dyDescent="0.25">
      <c r="A8254" t="s">
        <v>1429</v>
      </c>
      <c r="B8254" t="s">
        <v>1095</v>
      </c>
    </row>
    <row r="8255" spans="1:5" x14ac:dyDescent="0.25">
      <c r="A8255" t="s">
        <v>1429</v>
      </c>
      <c r="B8255" t="s">
        <v>1095</v>
      </c>
    </row>
    <row r="8256" spans="1:5" x14ac:dyDescent="0.25">
      <c r="A8256" t="s">
        <v>1429</v>
      </c>
      <c r="B8256" t="s">
        <v>1096</v>
      </c>
      <c r="E8256" t="str">
        <f>_xlfn.CONCAT($E$1,G$2,$F$1)</f>
        <v>&lt;routeDistribution id="Powelton-33rd-to-32nd-BTH-2017-RouteProbe"&gt;</v>
      </c>
    </row>
    <row r="8257" spans="1:5" x14ac:dyDescent="0.25">
      <c r="A8257" t="s">
        <v>1429</v>
      </c>
      <c r="B8257" t="s">
        <v>1096</v>
      </c>
      <c r="E8257" t="str">
        <f>IF(OR(E8256="&lt;/routeDistribution&gt;",E8256=""),"",IFERROR(_xlfn.CONCAT(VLOOKUP(G5,Route_Column!#REF!,2,FALSE),CHAR(34)," probability=",CHAR(34),1/G$4,CHAR(34),CHAR(47),CHAR(62)),"&lt;/routeDistribution&gt;"))</f>
        <v>&lt;/routeDistribution&gt;</v>
      </c>
    </row>
    <row r="8258" spans="1:5" x14ac:dyDescent="0.25">
      <c r="A8258" t="s">
        <v>1429</v>
      </c>
      <c r="B8258" t="s">
        <v>1097</v>
      </c>
      <c r="E8258" t="str">
        <f>IF(OR(E8257="&lt;/routeDistribution&gt;",E8257=""),"",IFERROR(_xlfn.CONCAT(VLOOKUP(G6,Route_Column!#REF!,2,FALSE),CHAR(34)," probability=",CHAR(34),1/G$4,CHAR(34),CHAR(47),CHAR(62)),"&lt;/routeDistribution&gt;"))</f>
        <v/>
      </c>
    </row>
    <row r="8259" spans="1:5" x14ac:dyDescent="0.25">
      <c r="A8259" t="s">
        <v>1429</v>
      </c>
      <c r="B8259" t="s">
        <v>1097</v>
      </c>
      <c r="E8259" t="str">
        <f>IF(OR(E8258="&lt;/routeDistribution&gt;",E8258=""),"",IFERROR(_xlfn.CONCAT(VLOOKUP(G7,Route_Column!#REF!,2,FALSE),CHAR(34)," probability=",CHAR(34),1/G$4,CHAR(34),CHAR(47),CHAR(62)),"&lt;/routeDistribution&gt;"))</f>
        <v/>
      </c>
    </row>
    <row r="8260" spans="1:5" x14ac:dyDescent="0.25">
      <c r="A8260" t="s">
        <v>1429</v>
      </c>
      <c r="B8260" t="s">
        <v>1098</v>
      </c>
      <c r="E8260" t="str">
        <f>IF(OR(E8259="&lt;/routeDistribution&gt;",E8259=""),"",IFERROR(_xlfn.CONCAT(VLOOKUP(G8,Route_Column!#REF!,2,FALSE),CHAR(34)," probability=",CHAR(34),1/G$4,CHAR(34),CHAR(47),CHAR(62)),"&lt;/routeDistribution&gt;"))</f>
        <v/>
      </c>
    </row>
    <row r="8261" spans="1:5" x14ac:dyDescent="0.25">
      <c r="A8261" t="s">
        <v>1429</v>
      </c>
      <c r="B8261" t="s">
        <v>1098</v>
      </c>
      <c r="E8261" t="str">
        <f>IF(OR(E8260="&lt;/routeDistribution&gt;",E8260=""),"",IFERROR(_xlfn.CONCAT(VLOOKUP(G9,Route_Column!#REF!,2,FALSE),CHAR(34)," probability=",CHAR(34),1/G$4,CHAR(34),CHAR(47),CHAR(62)),"&lt;/routeDistribution&gt;"))</f>
        <v/>
      </c>
    </row>
    <row r="8262" spans="1:5" x14ac:dyDescent="0.25">
      <c r="A8262" t="s">
        <v>1429</v>
      </c>
      <c r="B8262" t="s">
        <v>1099</v>
      </c>
      <c r="E8262" t="str">
        <f>IF(OR(E8261="&lt;/routeDistribution&gt;",E8261=""),"",IFERROR(_xlfn.CONCAT(VLOOKUP(G10,Route_Column!#REF!,2,FALSE),CHAR(34)," probability=",CHAR(34),1/G$4,CHAR(34),CHAR(47),CHAR(62)),"&lt;/routeDistribution&gt;"))</f>
        <v/>
      </c>
    </row>
    <row r="8263" spans="1:5" x14ac:dyDescent="0.25">
      <c r="A8263" t="s">
        <v>1429</v>
      </c>
      <c r="B8263" t="s">
        <v>1099</v>
      </c>
      <c r="E8263" t="str">
        <f>IF(OR(E8262="&lt;/routeDistribution&gt;",E8262=""),"",IFERROR(_xlfn.CONCAT(VLOOKUP(G11,Route_Column!#REF!,2,FALSE),CHAR(34)," probability=",CHAR(34),1/G$4,CHAR(34),CHAR(47),CHAR(62)),"&lt;/routeDistribution&gt;"))</f>
        <v/>
      </c>
    </row>
    <row r="8264" spans="1:5" x14ac:dyDescent="0.25">
      <c r="A8264" t="s">
        <v>1429</v>
      </c>
      <c r="B8264" t="s">
        <v>1100</v>
      </c>
      <c r="E8264" t="str">
        <f>IF(OR(E8263="&lt;/routeDistribution&gt;",E8263=""),"",IFERROR(_xlfn.CONCAT(VLOOKUP(G12,Route_Column!#REF!,2,FALSE),CHAR(34)," probability=",CHAR(34),1/G$4,CHAR(34),CHAR(47),CHAR(62)),"&lt;/routeDistribution&gt;"))</f>
        <v/>
      </c>
    </row>
    <row r="8265" spans="1:5" x14ac:dyDescent="0.25">
      <c r="A8265" t="s">
        <v>1429</v>
      </c>
      <c r="B8265" t="s">
        <v>1100</v>
      </c>
      <c r="E8265" t="str">
        <f>IF(OR(E8264="&lt;/routeDistribution&gt;",E8264=""),"",IFERROR(_xlfn.CONCAT(VLOOKUP(G13,Route_Column!#REF!,2,FALSE),CHAR(34)," probability=",CHAR(34),1/G$4,CHAR(34),CHAR(47),CHAR(62)),"&lt;/routeDistribution&gt;"))</f>
        <v/>
      </c>
    </row>
    <row r="8266" spans="1:5" x14ac:dyDescent="0.25">
      <c r="A8266" t="s">
        <v>1429</v>
      </c>
      <c r="B8266" t="s">
        <v>1101</v>
      </c>
      <c r="E8266" t="str">
        <f>IF(OR(E8265="&lt;/routeDistribution&gt;",E8265=""),"",IFERROR(_xlfn.CONCAT(VLOOKUP(G14,Route_Column!#REF!,2,FALSE),CHAR(34)," probability=",CHAR(34),1/G$4,CHAR(34),CHAR(47),CHAR(62)),"&lt;/routeDistribution&gt;"))</f>
        <v/>
      </c>
    </row>
    <row r="8267" spans="1:5" x14ac:dyDescent="0.25">
      <c r="A8267" t="s">
        <v>1429</v>
      </c>
      <c r="B8267" t="s">
        <v>1101</v>
      </c>
      <c r="E8267" t="str">
        <f>IF(OR(E8266="&lt;/routeDistribution&gt;",E8266=""),"",IFERROR(_xlfn.CONCAT(VLOOKUP(G15,Route_Column!#REF!,2,FALSE),CHAR(34)," probability=",CHAR(34),1/G$4,CHAR(34),CHAR(47),CHAR(62)),"&lt;/routeDistribution&gt;"))</f>
        <v/>
      </c>
    </row>
    <row r="8268" spans="1:5" x14ac:dyDescent="0.25">
      <c r="A8268" t="s">
        <v>1429</v>
      </c>
      <c r="B8268" t="s">
        <v>1102</v>
      </c>
      <c r="E8268" t="str">
        <f>IF(OR(E8267="&lt;/routeDistribution&gt;",E8267=""),"",IFERROR(_xlfn.CONCAT(VLOOKUP(G16,Route_Column!#REF!,2,FALSE),CHAR(34)," probability=",CHAR(34),1/G$4,CHAR(34),CHAR(47),CHAR(62)),"&lt;/routeDistribution&gt;"))</f>
        <v/>
      </c>
    </row>
    <row r="8269" spans="1:5" x14ac:dyDescent="0.25">
      <c r="A8269" t="s">
        <v>1429</v>
      </c>
      <c r="B8269" t="s">
        <v>1102</v>
      </c>
      <c r="E8269" t="str">
        <f>IF(OR(E8268="&lt;/routeDistribution&gt;",E8268=""),"",IFERROR(_xlfn.CONCAT(VLOOKUP(G17,Route_Column!#REF!,2,FALSE),CHAR(34)," probability=",CHAR(34),1/G$4,CHAR(34),CHAR(47),CHAR(62)),"&lt;/routeDistribution&gt;"))</f>
        <v/>
      </c>
    </row>
    <row r="8270" spans="1:5" x14ac:dyDescent="0.25">
      <c r="A8270" t="s">
        <v>1429</v>
      </c>
      <c r="B8270" t="s">
        <v>1102</v>
      </c>
      <c r="E8270" t="str">
        <f>IF(OR(E8269="&lt;/routeDistribution&gt;",E8269=""),"",IFERROR(_xlfn.CONCAT(VLOOKUP(G18,Route_Column!#REF!,2,FALSE),CHAR(34)," probability=",CHAR(34),1/G$4,CHAR(34),CHAR(47),CHAR(62)),"&lt;/routeDistribution&gt;"))</f>
        <v/>
      </c>
    </row>
    <row r="8271" spans="1:5" x14ac:dyDescent="0.25">
      <c r="A8271" t="s">
        <v>1429</v>
      </c>
      <c r="B8271" t="s">
        <v>1102</v>
      </c>
      <c r="E8271" t="str">
        <f>IF(OR(E8270="&lt;/routeDistribution&gt;",E8270=""),"",IFERROR(_xlfn.CONCAT(VLOOKUP(G19,Route_Column!#REF!,2,FALSE),CHAR(34)," probability=",CHAR(34),1/G$4,CHAR(34),CHAR(47),CHAR(62)),"&lt;/routeDistribution&gt;"))</f>
        <v/>
      </c>
    </row>
    <row r="8272" spans="1:5" x14ac:dyDescent="0.25">
      <c r="A8272" t="s">
        <v>1429</v>
      </c>
      <c r="B8272" t="s">
        <v>1103</v>
      </c>
      <c r="E8272" t="str">
        <f>IF(OR(E8271="&lt;/routeDistribution&gt;",E8271=""),"",IFERROR(_xlfn.CONCAT(VLOOKUP(G20,Route_Column!#REF!,2,FALSE),CHAR(34)," probability=",CHAR(34),1/G$4,CHAR(34),CHAR(47),CHAR(62)),"&lt;/routeDistribution&gt;"))</f>
        <v/>
      </c>
    </row>
    <row r="8273" spans="1:5" x14ac:dyDescent="0.25">
      <c r="A8273" t="s">
        <v>1429</v>
      </c>
      <c r="B8273" t="s">
        <v>1103</v>
      </c>
      <c r="E8273" t="str">
        <f>IF(OR(E8272="&lt;/routeDistribution&gt;",E8272=""),"",IFERROR(_xlfn.CONCAT(VLOOKUP(G21,Route_Column!#REF!,2,FALSE),CHAR(34)," probability=",CHAR(34),1/G$4,CHAR(34),CHAR(47),CHAR(62)),"&lt;/routeDistribution&gt;"))</f>
        <v/>
      </c>
    </row>
    <row r="8274" spans="1:5" x14ac:dyDescent="0.25">
      <c r="A8274" t="s">
        <v>1429</v>
      </c>
      <c r="B8274" t="s">
        <v>1104</v>
      </c>
      <c r="E8274" t="str">
        <f>IF(OR(E8273="&lt;/routeDistribution&gt;",E8273=""),"",IFERROR(_xlfn.CONCAT(VLOOKUP(G22,Route_Column!#REF!,2,FALSE),CHAR(34)," probability=",CHAR(34),1/G$4,CHAR(34),CHAR(47),CHAR(62)),"&lt;/routeDistribution&gt;"))</f>
        <v/>
      </c>
    </row>
    <row r="8275" spans="1:5" x14ac:dyDescent="0.25">
      <c r="A8275" t="s">
        <v>1429</v>
      </c>
      <c r="B8275" t="s">
        <v>1104</v>
      </c>
      <c r="E8275" t="str">
        <f>IF(OR(E8274="&lt;/routeDistribution&gt;",E8274=""),"",IFERROR(_xlfn.CONCAT(VLOOKUP(G23,Route_Column!#REF!,2,FALSE),CHAR(34)," probability=",CHAR(34),1/G$4,CHAR(34),CHAR(47),CHAR(62)),"&lt;/routeDistribution&gt;"))</f>
        <v/>
      </c>
    </row>
    <row r="8276" spans="1:5" x14ac:dyDescent="0.25">
      <c r="A8276" t="s">
        <v>1429</v>
      </c>
      <c r="B8276" t="s">
        <v>1104</v>
      </c>
      <c r="E8276" t="str">
        <f>IF(OR(E8275="&lt;/routeDistribution&gt;",E8275=""),"",IFERROR(_xlfn.CONCAT(VLOOKUP(G24,Route_Column!#REF!,2,FALSE),CHAR(34)," probability=",CHAR(34),1/G$4,CHAR(34),CHAR(47),CHAR(62)),"&lt;/routeDistribution&gt;"))</f>
        <v/>
      </c>
    </row>
    <row r="8277" spans="1:5" x14ac:dyDescent="0.25">
      <c r="A8277" t="s">
        <v>1429</v>
      </c>
      <c r="B8277" t="s">
        <v>1105</v>
      </c>
      <c r="E8277" t="str">
        <f>IF(OR(E8276="&lt;/routeDistribution&gt;",E8276=""),"",IFERROR(_xlfn.CONCAT(VLOOKUP(G25,Route_Column!#REF!,2,FALSE),CHAR(34)," probability=",CHAR(34),1/G$4,CHAR(34),CHAR(47),CHAR(62)),"&lt;/routeDistribution&gt;"))</f>
        <v/>
      </c>
    </row>
    <row r="8278" spans="1:5" x14ac:dyDescent="0.25">
      <c r="A8278" t="s">
        <v>1429</v>
      </c>
      <c r="B8278" t="s">
        <v>1105</v>
      </c>
      <c r="E8278" t="str">
        <f>IF(OR(E8277="&lt;/routeDistribution&gt;",E8277=""),"",IFERROR(_xlfn.CONCAT(VLOOKUP(G26,Route_Column!#REF!,2,FALSE),CHAR(34)," probability=",CHAR(34),1/G$4,CHAR(34),CHAR(47),CHAR(62)),"&lt;/routeDistribution&gt;"))</f>
        <v/>
      </c>
    </row>
    <row r="8279" spans="1:5" x14ac:dyDescent="0.25">
      <c r="A8279" t="s">
        <v>1429</v>
      </c>
      <c r="B8279" t="s">
        <v>1106</v>
      </c>
      <c r="E8279" t="str">
        <f>IF(OR(E8278="&lt;/routeDistribution&gt;",E8278=""),"",IFERROR(_xlfn.CONCAT(VLOOKUP(G27,Route_Column!#REF!,2,FALSE),CHAR(34)," probability=",CHAR(34),1/G$4,CHAR(34),CHAR(47),CHAR(62)),"&lt;/routeDistribution&gt;"))</f>
        <v/>
      </c>
    </row>
    <row r="8280" spans="1:5" x14ac:dyDescent="0.25">
      <c r="A8280" t="s">
        <v>1429</v>
      </c>
      <c r="B8280" t="s">
        <v>1106</v>
      </c>
      <c r="E8280" t="str">
        <f>IF(OR(E8279="&lt;/routeDistribution&gt;",E8279=""),"",IFERROR(_xlfn.CONCAT(VLOOKUP(G28,Route_Column!#REF!,2,FALSE),CHAR(34)," probability=",CHAR(34),1/G$4,CHAR(34),CHAR(47),CHAR(62)),"&lt;/routeDistribution&gt;"))</f>
        <v/>
      </c>
    </row>
    <row r="8281" spans="1:5" x14ac:dyDescent="0.25">
      <c r="A8281" t="s">
        <v>1429</v>
      </c>
      <c r="B8281" t="s">
        <v>1107</v>
      </c>
      <c r="E8281" t="str">
        <f>IF(OR(E8280="&lt;/routeDistribution&gt;",E8280=""),"",IFERROR(_xlfn.CONCAT(VLOOKUP(G29,Route_Column!#REF!,2,FALSE),CHAR(34)," probability=",CHAR(34),1/G$4,CHAR(34),CHAR(47),CHAR(62)),"&lt;/routeDistribution&gt;"))</f>
        <v/>
      </c>
    </row>
    <row r="8282" spans="1:5" x14ac:dyDescent="0.25">
      <c r="A8282" t="s">
        <v>1429</v>
      </c>
      <c r="B8282" t="s">
        <v>1107</v>
      </c>
      <c r="E8282" t="str">
        <f>IF(OR(E8281="&lt;/routeDistribution&gt;",E8281=""),"",IFERROR(_xlfn.CONCAT(VLOOKUP(G30,Route_Column!#REF!,2,FALSE),CHAR(34)," probability=",CHAR(34),1/G$4,CHAR(34),CHAR(47),CHAR(62)),"&lt;/routeDistribution&gt;"))</f>
        <v/>
      </c>
    </row>
    <row r="8283" spans="1:5" x14ac:dyDescent="0.25">
      <c r="A8283" t="s">
        <v>1429</v>
      </c>
      <c r="B8283" t="s">
        <v>1108</v>
      </c>
      <c r="E8283" t="str">
        <f>IF(OR(E8282="&lt;/routeDistribution&gt;",E8282=""),"",IFERROR(_xlfn.CONCAT(VLOOKUP(G31,Route_Column!#REF!,2,FALSE),CHAR(34)," probability=",CHAR(34),1/G$4,CHAR(34),CHAR(47),CHAR(62)),"&lt;/routeDistribution&gt;"))</f>
        <v/>
      </c>
    </row>
    <row r="8284" spans="1:5" x14ac:dyDescent="0.25">
      <c r="A8284" t="s">
        <v>1429</v>
      </c>
      <c r="B8284" t="s">
        <v>1108</v>
      </c>
      <c r="E8284" t="str">
        <f>IF(OR(E8283="&lt;/routeDistribution&gt;",E8283=""),"",IFERROR(_xlfn.CONCAT(VLOOKUP(G32,Route_Column!#REF!,2,FALSE),CHAR(34)," probability=",CHAR(34),1/G$4,CHAR(34),CHAR(47),CHAR(62)),"&lt;/routeDistribution&gt;"))</f>
        <v/>
      </c>
    </row>
    <row r="8285" spans="1:5" x14ac:dyDescent="0.25">
      <c r="A8285" t="s">
        <v>1429</v>
      </c>
      <c r="B8285" t="s">
        <v>1109</v>
      </c>
      <c r="E8285" t="str">
        <f>IF(OR(E8284="&lt;/routeDistribution&gt;",E8284=""),"",IFERROR(_xlfn.CONCAT(VLOOKUP(G33,Route_Column!#REF!,2,FALSE),CHAR(34)," probability=",CHAR(34),1/G$4,CHAR(34),CHAR(47),CHAR(62)),"&lt;/routeDistribution&gt;"))</f>
        <v/>
      </c>
    </row>
    <row r="8286" spans="1:5" x14ac:dyDescent="0.25">
      <c r="A8286" t="s">
        <v>1429</v>
      </c>
      <c r="B8286" t="s">
        <v>1109</v>
      </c>
      <c r="E8286" t="str">
        <f>IF(OR(E8285="&lt;/routeDistribution&gt;",E8285=""),"",IFERROR(_xlfn.CONCAT(VLOOKUP(G34,Route_Column!#REF!,2,FALSE),CHAR(34)," probability=",CHAR(34),1/G$4,CHAR(34),CHAR(47),CHAR(62)),"&lt;/routeDistribution&gt;"))</f>
        <v/>
      </c>
    </row>
    <row r="8287" spans="1:5" x14ac:dyDescent="0.25">
      <c r="A8287" t="s">
        <v>1429</v>
      </c>
      <c r="B8287" t="s">
        <v>1110</v>
      </c>
      <c r="E8287" t="str">
        <f>IF(OR(E8286="&lt;/routeDistribution&gt;",E8286=""),"",IFERROR(_xlfn.CONCAT(VLOOKUP(G35,Route_Column!#REF!,2,FALSE),CHAR(34)," probability=",CHAR(34),1/G$4,CHAR(34),CHAR(47),CHAR(62)),"&lt;/routeDistribution&gt;"))</f>
        <v/>
      </c>
    </row>
    <row r="8288" spans="1:5" x14ac:dyDescent="0.25">
      <c r="A8288" t="s">
        <v>1429</v>
      </c>
      <c r="B8288" t="s">
        <v>1110</v>
      </c>
      <c r="E8288" t="str">
        <f>IF(OR(E8287="&lt;/routeDistribution&gt;",E8287=""),"",IFERROR(_xlfn.CONCAT(VLOOKUP(G36,Route_Column!#REF!,2,FALSE),CHAR(34)," probability=",CHAR(34),1/G$4,CHAR(34),CHAR(47),CHAR(62)),"&lt;/routeDistribution&gt;"))</f>
        <v/>
      </c>
    </row>
    <row r="8289" spans="1:5" x14ac:dyDescent="0.25">
      <c r="A8289" t="s">
        <v>1429</v>
      </c>
      <c r="B8289" t="s">
        <v>1111</v>
      </c>
      <c r="E8289" t="str">
        <f>IF(OR(E8288="&lt;/routeDistribution&gt;",E8288=""),"",IFERROR(_xlfn.CONCAT(VLOOKUP(G37,Route_Column!#REF!,2,FALSE),CHAR(34)," probability=",CHAR(34),1/G$4,CHAR(34),CHAR(47),CHAR(62)),"&lt;/routeDistribution&gt;"))</f>
        <v/>
      </c>
    </row>
    <row r="8290" spans="1:5" x14ac:dyDescent="0.25">
      <c r="A8290" t="s">
        <v>1429</v>
      </c>
      <c r="B8290" t="s">
        <v>1111</v>
      </c>
      <c r="E8290" t="str">
        <f>IF(OR(E8289="&lt;/routeDistribution&gt;",E8289=""),"",IFERROR(_xlfn.CONCAT(VLOOKUP(G38,Route_Column!#REF!,2,FALSE),CHAR(34)," probability=",CHAR(34),1/G$4,CHAR(34),CHAR(47),CHAR(62)),"&lt;/routeDistribution&gt;"))</f>
        <v/>
      </c>
    </row>
    <row r="8291" spans="1:5" x14ac:dyDescent="0.25">
      <c r="A8291" t="s">
        <v>1429</v>
      </c>
      <c r="B8291" t="s">
        <v>1112</v>
      </c>
      <c r="E8291" t="str">
        <f>IF(OR(E8290="&lt;/routeDistribution&gt;",E8290=""),"",IFERROR(_xlfn.CONCAT(VLOOKUP(G39,Route_Column!#REF!,2,FALSE),CHAR(34)," probability=",CHAR(34),1/G$4,CHAR(34),CHAR(47),CHAR(62)),"&lt;/routeDistribution&gt;"))</f>
        <v/>
      </c>
    </row>
    <row r="8292" spans="1:5" x14ac:dyDescent="0.25">
      <c r="A8292" t="s">
        <v>1429</v>
      </c>
      <c r="B8292" t="s">
        <v>1112</v>
      </c>
      <c r="E8292" t="str">
        <f>IF(OR(E8291="&lt;/routeDistribution&gt;",E8291=""),"",IFERROR(_xlfn.CONCAT(VLOOKUP(G40,Route_Column!#REF!,2,FALSE),CHAR(34)," probability=",CHAR(34),1/G$4,CHAR(34),CHAR(47),CHAR(62)),"&lt;/routeDistribution&gt;"))</f>
        <v/>
      </c>
    </row>
    <row r="8293" spans="1:5" x14ac:dyDescent="0.25">
      <c r="A8293" t="s">
        <v>1429</v>
      </c>
      <c r="B8293" t="s">
        <v>1113</v>
      </c>
      <c r="E8293" t="str">
        <f>IF(OR(E8292="&lt;/routeDistribution&gt;",E8292=""),"",IFERROR(_xlfn.CONCAT(VLOOKUP(G41,Route_Column!#REF!,2,FALSE),CHAR(34)," probability=",CHAR(34),1/G$4,CHAR(34),CHAR(47),CHAR(62)),"&lt;/routeDistribution&gt;"))</f>
        <v/>
      </c>
    </row>
    <row r="8294" spans="1:5" x14ac:dyDescent="0.25">
      <c r="A8294" t="s">
        <v>1429</v>
      </c>
      <c r="B8294" t="s">
        <v>1113</v>
      </c>
      <c r="E8294" t="str">
        <f>IF(OR(E8293="&lt;/routeDistribution&gt;",E8293=""),"",IFERROR(_xlfn.CONCAT(VLOOKUP(G42,Route_Column!#REF!,2,FALSE),CHAR(34)," probability=",CHAR(34),1/G$4,CHAR(34),CHAR(47),CHAR(62)),"&lt;/routeDistribution&gt;"))</f>
        <v/>
      </c>
    </row>
    <row r="8295" spans="1:5" x14ac:dyDescent="0.25">
      <c r="A8295" t="s">
        <v>1429</v>
      </c>
      <c r="B8295" t="s">
        <v>1114</v>
      </c>
      <c r="E8295" t="str">
        <f>IF(OR(E8294="&lt;/routeDistribution&gt;",E8294=""),"",IFERROR(_xlfn.CONCAT(VLOOKUP(G43,Route_Column!#REF!,2,FALSE),CHAR(34)," probability=",CHAR(34),1/G$4,CHAR(34),CHAR(47),CHAR(62)),"&lt;/routeDistribution&gt;"))</f>
        <v/>
      </c>
    </row>
    <row r="8296" spans="1:5" x14ac:dyDescent="0.25">
      <c r="A8296" t="s">
        <v>1429</v>
      </c>
      <c r="B8296" t="s">
        <v>1114</v>
      </c>
      <c r="E8296" t="str">
        <f>IF(OR(E8295="&lt;/routeDistribution&gt;",E8295=""),"",IFERROR(_xlfn.CONCAT(VLOOKUP(G44,Route_Column!#REF!,2,FALSE),CHAR(34)," probability=",CHAR(34),1/G$4,CHAR(34),CHAR(47),CHAR(62)),"&lt;/routeDistribution&gt;"))</f>
        <v/>
      </c>
    </row>
    <row r="8297" spans="1:5" x14ac:dyDescent="0.25">
      <c r="A8297" t="s">
        <v>1429</v>
      </c>
      <c r="B8297" t="s">
        <v>1115</v>
      </c>
      <c r="E8297" t="str">
        <f>IF(OR(E8296="&lt;/routeDistribution&gt;",E8296=""),"",IFERROR(_xlfn.CONCAT(VLOOKUP(G45,Route_Column!#REF!,2,FALSE),CHAR(34)," probability=",CHAR(34),1/G$4,CHAR(34),CHAR(47),CHAR(62)),"&lt;/routeDistribution&gt;"))</f>
        <v/>
      </c>
    </row>
    <row r="8298" spans="1:5" x14ac:dyDescent="0.25">
      <c r="A8298" t="s">
        <v>1429</v>
      </c>
      <c r="B8298" t="s">
        <v>1115</v>
      </c>
      <c r="E8298" t="str">
        <f>IF(OR(E8297="&lt;/routeDistribution&gt;",E8297=""),"",IFERROR(_xlfn.CONCAT(VLOOKUP(G46,Route_Column!#REF!,2,FALSE),CHAR(34)," probability=",CHAR(34),1/G$4,CHAR(34),CHAR(47),CHAR(62)),"&lt;/routeDistribution&gt;"))</f>
        <v/>
      </c>
    </row>
    <row r="8299" spans="1:5" x14ac:dyDescent="0.25">
      <c r="A8299" t="s">
        <v>1429</v>
      </c>
      <c r="B8299" t="s">
        <v>1116</v>
      </c>
      <c r="E8299" t="str">
        <f>IF(OR(E8298="&lt;/routeDistribution&gt;",E8298=""),"",IFERROR(_xlfn.CONCAT(VLOOKUP(G47,Route_Column!#REF!,2,FALSE),CHAR(34)," probability=",CHAR(34),1/G$4,CHAR(34),CHAR(47),CHAR(62)),"&lt;/routeDistribution&gt;"))</f>
        <v/>
      </c>
    </row>
    <row r="8300" spans="1:5" x14ac:dyDescent="0.25">
      <c r="A8300" t="s">
        <v>1429</v>
      </c>
      <c r="B8300" t="s">
        <v>1116</v>
      </c>
      <c r="E8300" t="str">
        <f>IF(OR(E8299="&lt;/routeDistribution&gt;",E8299=""),"",IFERROR(_xlfn.CONCAT(VLOOKUP(G48,Route_Column!#REF!,2,FALSE),CHAR(34)," probability=",CHAR(34),1/G$4,CHAR(34),CHAR(47),CHAR(62)),"&lt;/routeDistribution&gt;"))</f>
        <v/>
      </c>
    </row>
    <row r="8301" spans="1:5" x14ac:dyDescent="0.25">
      <c r="A8301" t="s">
        <v>1429</v>
      </c>
      <c r="B8301" t="s">
        <v>1117</v>
      </c>
      <c r="E8301" t="str">
        <f>IF(OR(E8300="&lt;/routeDistribution&gt;",E8300=""),"",IFERROR(_xlfn.CONCAT(VLOOKUP(G49,Route_Column!#REF!,2,FALSE),CHAR(34)," probability=",CHAR(34),1/G$4,CHAR(34),CHAR(47),CHAR(62)),"&lt;/routeDistribution&gt;"))</f>
        <v/>
      </c>
    </row>
    <row r="8302" spans="1:5" x14ac:dyDescent="0.25">
      <c r="A8302" t="s">
        <v>1429</v>
      </c>
      <c r="B8302" t="s">
        <v>1118</v>
      </c>
      <c r="E8302" t="str">
        <f>IF(OR(E8301="&lt;/routeDistribution&gt;",E8301=""),"",IFERROR(_xlfn.CONCAT(VLOOKUP(G50,Route_Column!#REF!,2,FALSE),CHAR(34)," probability=",CHAR(34),1/G$4,CHAR(34),CHAR(47),CHAR(62)),"&lt;/routeDistribution&gt;"))</f>
        <v/>
      </c>
    </row>
    <row r="8303" spans="1:5" x14ac:dyDescent="0.25">
      <c r="A8303" t="s">
        <v>1429</v>
      </c>
      <c r="B8303" t="s">
        <v>1119</v>
      </c>
      <c r="E8303" t="str">
        <f>IF(OR(E8302="&lt;/routeDistribution&gt;",E8302=""),"",IFERROR(_xlfn.CONCAT(VLOOKUP(G51,Route_Column!#REF!,2,FALSE),CHAR(34)," probability=",CHAR(34),1/G$4,CHAR(34),CHAR(47),CHAR(62)),"&lt;/routeDistribution&gt;"))</f>
        <v/>
      </c>
    </row>
    <row r="8304" spans="1:5" x14ac:dyDescent="0.25">
      <c r="A8304" t="s">
        <v>1429</v>
      </c>
      <c r="B8304" t="s">
        <v>1120</v>
      </c>
      <c r="E8304" t="str">
        <f>IF(OR(E8303="&lt;/routeDistribution&gt;",E8303=""),"",IFERROR(_xlfn.CONCAT(VLOOKUP(G52,Route_Column!#REF!,2,FALSE),CHAR(34)," probability=",CHAR(34),1/G$4,CHAR(34),CHAR(47),CHAR(62)),"&lt;/routeDistribution&gt;"))</f>
        <v/>
      </c>
    </row>
    <row r="8305" spans="1:5" x14ac:dyDescent="0.25">
      <c r="A8305" t="s">
        <v>1429</v>
      </c>
      <c r="B8305" t="s">
        <v>1121</v>
      </c>
      <c r="E8305" t="str">
        <f>IF(OR(E8304="&lt;/routeDistribution&gt;",E8304=""),"",IFERROR(_xlfn.CONCAT(VLOOKUP(G53,Route_Column!#REF!,2,FALSE),CHAR(34)," probability=",CHAR(34),1/G$4,CHAR(34),CHAR(47),CHAR(62)),"&lt;/routeDistribution&gt;"))</f>
        <v/>
      </c>
    </row>
    <row r="8306" spans="1:5" x14ac:dyDescent="0.25">
      <c r="A8306" t="s">
        <v>1429</v>
      </c>
      <c r="B8306" t="s">
        <v>1121</v>
      </c>
      <c r="E8306" t="str">
        <f>IF(OR(E8305="&lt;/routeDistribution&gt;",E8305=""),"",IFERROR(_xlfn.CONCAT(VLOOKUP(G54,Route_Column!#REF!,2,FALSE),CHAR(34)," probability=",CHAR(34),1/G$4,CHAR(34),CHAR(47),CHAR(62)),"&lt;/routeDistribution&gt;"))</f>
        <v/>
      </c>
    </row>
    <row r="8307" spans="1:5" x14ac:dyDescent="0.25">
      <c r="A8307" t="s">
        <v>1429</v>
      </c>
      <c r="B8307" t="s">
        <v>1122</v>
      </c>
      <c r="E8307" t="str">
        <f>IF(OR(E8306="&lt;/routeDistribution&gt;",E8306=""),"",IFERROR(_xlfn.CONCAT(VLOOKUP(G55,Route_Column!#REF!,2,FALSE),CHAR(34)," probability=",CHAR(34),1/G$4,CHAR(34),CHAR(47),CHAR(62)),"&lt;/routeDistribution&gt;"))</f>
        <v/>
      </c>
    </row>
    <row r="8308" spans="1:5" x14ac:dyDescent="0.25">
      <c r="A8308" t="s">
        <v>1429</v>
      </c>
      <c r="B8308" t="s">
        <v>1122</v>
      </c>
      <c r="E8308" t="str">
        <f>IF(OR(E8307="&lt;/routeDistribution&gt;",E8307=""),"",IFERROR(_xlfn.CONCAT(VLOOKUP(G56,Route_Column!#REF!,2,FALSE),CHAR(34)," probability=",CHAR(34),1/G$4,CHAR(34),CHAR(47),CHAR(62)),"&lt;/routeDistribution&gt;"))</f>
        <v/>
      </c>
    </row>
    <row r="8309" spans="1:5" x14ac:dyDescent="0.25">
      <c r="A8309" t="s">
        <v>1429</v>
      </c>
      <c r="B8309" t="s">
        <v>1122</v>
      </c>
      <c r="E8309" t="str">
        <f>IF(OR(E8308="&lt;/routeDistribution&gt;",E8308=""),"",IFERROR(_xlfn.CONCAT(VLOOKUP(G57,Route_Column!#REF!,2,FALSE),CHAR(34)," probability=",CHAR(34),1/G$4,CHAR(34),CHAR(47),CHAR(62)),"&lt;/routeDistribution&gt;"))</f>
        <v/>
      </c>
    </row>
    <row r="8310" spans="1:5" x14ac:dyDescent="0.25">
      <c r="A8310" t="s">
        <v>1429</v>
      </c>
      <c r="B8310" t="s">
        <v>1123</v>
      </c>
      <c r="E8310" t="str">
        <f>IF(OR(E8309="&lt;/routeDistribution&gt;",E8309=""),"",IFERROR(_xlfn.CONCAT(VLOOKUP(G58,Route_Column!#REF!,2,FALSE),CHAR(34)," probability=",CHAR(34),1/G$4,CHAR(34),CHAR(47),CHAR(62)),"&lt;/routeDistribution&gt;"))</f>
        <v/>
      </c>
    </row>
    <row r="8311" spans="1:5" x14ac:dyDescent="0.25">
      <c r="A8311" t="s">
        <v>1429</v>
      </c>
      <c r="B8311" t="s">
        <v>1123</v>
      </c>
      <c r="E8311" t="str">
        <f>IF(OR(E8310="&lt;/routeDistribution&gt;",E8310=""),"",IFERROR(_xlfn.CONCAT(VLOOKUP(G59,Route_Column!#REF!,2,FALSE),CHAR(34)," probability=",CHAR(34),1/G$4,CHAR(34),CHAR(47),CHAR(62)),"&lt;/routeDistribution&gt;"))</f>
        <v/>
      </c>
    </row>
    <row r="8312" spans="1:5" x14ac:dyDescent="0.25">
      <c r="A8312" t="s">
        <v>1429</v>
      </c>
      <c r="B8312" t="s">
        <v>1124</v>
      </c>
      <c r="E8312" t="str">
        <f>IF(OR(E8311="&lt;/routeDistribution&gt;",E8311=""),"",IFERROR(_xlfn.CONCAT(VLOOKUP(G60,Route_Column!#REF!,2,FALSE),CHAR(34)," probability=",CHAR(34),1/G$4,CHAR(34),CHAR(47),CHAR(62)),"&lt;/routeDistribution&gt;"))</f>
        <v/>
      </c>
    </row>
    <row r="8313" spans="1:5" x14ac:dyDescent="0.25">
      <c r="A8313" t="s">
        <v>1429</v>
      </c>
      <c r="B8313" t="s">
        <v>1125</v>
      </c>
      <c r="E8313" t="str">
        <f>IF(OR(E8312="&lt;/routeDistribution&gt;",E8312=""),"",IFERROR(_xlfn.CONCAT(VLOOKUP(G61,Route_Column!#REF!,2,FALSE),CHAR(34)," probability=",CHAR(34),1/G$4,CHAR(34),CHAR(47),CHAR(62)),"&lt;/routeDistribution&gt;"))</f>
        <v/>
      </c>
    </row>
    <row r="8314" spans="1:5" x14ac:dyDescent="0.25">
      <c r="A8314" t="s">
        <v>1429</v>
      </c>
      <c r="B8314" t="s">
        <v>1161</v>
      </c>
      <c r="E8314" t="str">
        <f>IF(OR(E8313="&lt;/routeDistribution&gt;",E8313=""),"",IFERROR(_xlfn.CONCAT(VLOOKUP(G62,Route_Column!#REF!,2,FALSE),CHAR(34)," probability=",CHAR(34),1/G$4,CHAR(34),CHAR(47),CHAR(62)),"&lt;/routeDistribution&gt;"))</f>
        <v/>
      </c>
    </row>
    <row r="8315" spans="1:5" x14ac:dyDescent="0.25">
      <c r="A8315" t="s">
        <v>1953</v>
      </c>
      <c r="B8315" t="s">
        <v>1113</v>
      </c>
      <c r="E8315" t="str">
        <f>IF(OR(E8314="&lt;/routeDistribution&gt;",E8314=""),"",IFERROR(_xlfn.CONCAT(VLOOKUP(G63,Route_Column!#REF!,2,FALSE),CHAR(34)," probability=",CHAR(34),1/G$4,CHAR(34),CHAR(47),CHAR(62)),"&lt;/routeDistribution&gt;"))</f>
        <v/>
      </c>
    </row>
    <row r="8316" spans="1:5" x14ac:dyDescent="0.25">
      <c r="A8316" t="s">
        <v>1953</v>
      </c>
      <c r="B8316" t="s">
        <v>1114</v>
      </c>
      <c r="E8316" t="s">
        <v>2686</v>
      </c>
    </row>
    <row r="8317" spans="1:5" x14ac:dyDescent="0.25">
      <c r="A8317" t="s">
        <v>1953</v>
      </c>
      <c r="B8317" t="s">
        <v>1115</v>
      </c>
      <c r="E8317" t="str">
        <f>_xlfn.CONCAT($E$1,F$2,$F$1)</f>
        <v>&lt;routeDistribution id="CHESNUT-33rd-to-30th-EB-2017-RouteProbe"&gt;</v>
      </c>
    </row>
    <row r="8318" spans="1:5" x14ac:dyDescent="0.25">
      <c r="A8318" t="s">
        <v>1953</v>
      </c>
      <c r="B8318" t="s">
        <v>1133</v>
      </c>
      <c r="E8318" t="str">
        <f>IF(OR(E8317="&lt;/routeDistribution&gt;",E8317=""),"",IFERROR(_xlfn.CONCAT(VLOOKUP(F5,Route_Column!#REF!,2,FALSE),CHAR(34)," probability=",CHAR(34),1/F$4,CHAR(34),CHAR(47),CHAR(62)),"&lt;/routeDistribution&gt;"))</f>
        <v>&lt;/routeDistribution&gt;</v>
      </c>
    </row>
    <row r="8319" spans="1:5" x14ac:dyDescent="0.25">
      <c r="A8319" t="s">
        <v>1953</v>
      </c>
      <c r="B8319" t="s">
        <v>1166</v>
      </c>
      <c r="E8319" t="str">
        <f>IF(OR(E8318="&lt;/routeDistribution&gt;",E8318=""),"",IFERROR(_xlfn.CONCAT(VLOOKUP(F6,Route_Column!#REF!,2,FALSE),CHAR(34)," probability=",CHAR(34),1/F$4,CHAR(34),CHAR(47),CHAR(62)),"&lt;/routeDistribution&gt;"))</f>
        <v/>
      </c>
    </row>
    <row r="8320" spans="1:5" x14ac:dyDescent="0.25">
      <c r="A8320" t="s">
        <v>1953</v>
      </c>
      <c r="B8320" t="s">
        <v>1167</v>
      </c>
      <c r="E8320" t="str">
        <f>IF(OR(E8319="&lt;/routeDistribution&gt;",E8319=""),"",IFERROR(_xlfn.CONCAT(VLOOKUP(F7,Route_Column!#REF!,2,FALSE),CHAR(34)," probability=",CHAR(34),1/F$4,CHAR(34),CHAR(47),CHAR(62)),"&lt;/routeDistribution&gt;"))</f>
        <v/>
      </c>
    </row>
    <row r="8321" spans="1:5" x14ac:dyDescent="0.25">
      <c r="A8321" t="s">
        <v>1953</v>
      </c>
      <c r="B8321" t="s">
        <v>1168</v>
      </c>
      <c r="E8321" t="str">
        <f>IF(OR(E8320="&lt;/routeDistribution&gt;",E8320=""),"",IFERROR(_xlfn.CONCAT(VLOOKUP(F8,Route_Column!#REF!,2,FALSE),CHAR(34)," probability=",CHAR(34),1/F$4,CHAR(34),CHAR(47),CHAR(62)),"&lt;/routeDistribution&gt;"))</f>
        <v/>
      </c>
    </row>
    <row r="8322" spans="1:5" x14ac:dyDescent="0.25">
      <c r="A8322" t="s">
        <v>1953</v>
      </c>
      <c r="B8322" t="s">
        <v>1186</v>
      </c>
      <c r="E8322" t="str">
        <f>IF(OR(E8321="&lt;/routeDistribution&gt;",E8321=""),"",IFERROR(_xlfn.CONCAT(VLOOKUP(F9,Route_Column!#REF!,2,FALSE),CHAR(34)," probability=",CHAR(34),1/F$4,CHAR(34),CHAR(47),CHAR(62)),"&lt;/routeDistribution&gt;"))</f>
        <v/>
      </c>
    </row>
    <row r="8323" spans="1:5" x14ac:dyDescent="0.25">
      <c r="A8323" t="s">
        <v>1953</v>
      </c>
      <c r="B8323" t="s">
        <v>1187</v>
      </c>
      <c r="E8323" t="str">
        <f>IF(OR(E8322="&lt;/routeDistribution&gt;",E8322=""),"",IFERROR(_xlfn.CONCAT(VLOOKUP(F10,Route_Column!#REF!,2,FALSE),CHAR(34)," probability=",CHAR(34),1/F$4,CHAR(34),CHAR(47),CHAR(62)),"&lt;/routeDistribution&gt;"))</f>
        <v/>
      </c>
    </row>
    <row r="8324" spans="1:5" x14ac:dyDescent="0.25">
      <c r="A8324" t="s">
        <v>1953</v>
      </c>
      <c r="B8324" t="s">
        <v>1188</v>
      </c>
      <c r="E8324" t="str">
        <f>IF(OR(E8323="&lt;/routeDistribution&gt;",E8323=""),"",IFERROR(_xlfn.CONCAT(VLOOKUP(F11,Route_Column!#REF!,2,FALSE),CHAR(34)," probability=",CHAR(34),1/F$4,CHAR(34),CHAR(47),CHAR(62)),"&lt;/routeDistribution&gt;"))</f>
        <v/>
      </c>
    </row>
    <row r="8325" spans="1:5" x14ac:dyDescent="0.25">
      <c r="A8325" t="s">
        <v>1953</v>
      </c>
      <c r="B8325" t="s">
        <v>1189</v>
      </c>
      <c r="E8325" t="str">
        <f>IF(OR(E8324="&lt;/routeDistribution&gt;",E8324=""),"",IFERROR(_xlfn.CONCAT(VLOOKUP(F12,Route_Column!#REF!,2,FALSE),CHAR(34)," probability=",CHAR(34),1/F$4,CHAR(34),CHAR(47),CHAR(62)),"&lt;/routeDistribution&gt;"))</f>
        <v/>
      </c>
    </row>
    <row r="8326" spans="1:5" x14ac:dyDescent="0.25">
      <c r="A8326" t="s">
        <v>1953</v>
      </c>
      <c r="B8326" t="s">
        <v>1195</v>
      </c>
      <c r="E8326" t="str">
        <f>IF(OR(E8325="&lt;/routeDistribution&gt;",E8325=""),"",IFERROR(_xlfn.CONCAT(VLOOKUP(F13,Route_Column!#REF!,2,FALSE),CHAR(34)," probability=",CHAR(34),1/F$4,CHAR(34),CHAR(47),CHAR(62)),"&lt;/routeDistribution&gt;"))</f>
        <v/>
      </c>
    </row>
    <row r="8327" spans="1:5" x14ac:dyDescent="0.25">
      <c r="A8327" t="s">
        <v>1953</v>
      </c>
      <c r="B8327" t="s">
        <v>1196</v>
      </c>
      <c r="E8327" t="str">
        <f>IF(OR(E8326="&lt;/routeDistribution&gt;",E8326=""),"",IFERROR(_xlfn.CONCAT(VLOOKUP(F14,Route_Column!#REF!,2,FALSE),CHAR(34)," probability=",CHAR(34),1/F$4,CHAR(34),CHAR(47),CHAR(62)),"&lt;/routeDistribution&gt;"))</f>
        <v/>
      </c>
    </row>
    <row r="8328" spans="1:5" x14ac:dyDescent="0.25">
      <c r="A8328" s="11" t="s">
        <v>1433</v>
      </c>
      <c r="B8328" t="s">
        <v>1090</v>
      </c>
      <c r="E8328" t="str">
        <f>IF(OR(E8327="&lt;/routeDistribution&gt;",E8327=""),"",IFERROR(_xlfn.CONCAT(VLOOKUP(F15,Route_Column!#REF!,2,FALSE),CHAR(34)," probability=",CHAR(34),1/F$4,CHAR(34),CHAR(47),CHAR(62)),"&lt;/routeDistribution&gt;"))</f>
        <v/>
      </c>
    </row>
    <row r="8329" spans="1:5" x14ac:dyDescent="0.25">
      <c r="A8329" s="11" t="s">
        <v>1433</v>
      </c>
      <c r="B8329" t="s">
        <v>1091</v>
      </c>
      <c r="E8329" t="str">
        <f>IF(OR(E8328="&lt;/routeDistribution&gt;",E8328=""),"",IFERROR(_xlfn.CONCAT(VLOOKUP(F16,Route_Column!#REF!,2,FALSE),CHAR(34)," probability=",CHAR(34),1/F$4,CHAR(34),CHAR(47),CHAR(62)),"&lt;/routeDistribution&gt;"))</f>
        <v/>
      </c>
    </row>
    <row r="8330" spans="1:5" x14ac:dyDescent="0.25">
      <c r="A8330" t="s">
        <v>1433</v>
      </c>
      <c r="B8330" t="s">
        <v>1092</v>
      </c>
      <c r="E8330" t="str">
        <f>IF(OR(E8329="&lt;/routeDistribution&gt;",E8329=""),"",IFERROR(_xlfn.CONCAT(VLOOKUP(F17,Route_Column!#REF!,2,FALSE),CHAR(34)," probability=",CHAR(34),1/F$4,CHAR(34),CHAR(47),CHAR(62)),"&lt;/routeDistribution&gt;"))</f>
        <v/>
      </c>
    </row>
    <row r="8331" spans="1:5" x14ac:dyDescent="0.25">
      <c r="A8331" t="s">
        <v>1433</v>
      </c>
      <c r="B8331" t="s">
        <v>1093</v>
      </c>
      <c r="E8331" t="str">
        <f>IF(OR(E8330="&lt;/routeDistribution&gt;",E8330=""),"",IFERROR(_xlfn.CONCAT(VLOOKUP(F18,Route_Column!#REF!,2,FALSE),CHAR(34)," probability=",CHAR(34),1/F$4,CHAR(34),CHAR(47),CHAR(62)),"&lt;/routeDistribution&gt;"))</f>
        <v/>
      </c>
    </row>
    <row r="8332" spans="1:5" x14ac:dyDescent="0.25">
      <c r="A8332" t="s">
        <v>1433</v>
      </c>
      <c r="B8332" t="s">
        <v>1094</v>
      </c>
      <c r="E8332" t="str">
        <f>IF(OR(E8331="&lt;/routeDistribution&gt;",E8331=""),"",IFERROR(_xlfn.CONCAT(VLOOKUP(F19,Route_Column!#REF!,2,FALSE),CHAR(34)," probability=",CHAR(34),1/F$4,CHAR(34),CHAR(47),CHAR(62)),"&lt;/routeDistribution&gt;"))</f>
        <v/>
      </c>
    </row>
    <row r="8333" spans="1:5" x14ac:dyDescent="0.25">
      <c r="A8333" t="s">
        <v>1433</v>
      </c>
      <c r="B8333" t="s">
        <v>1095</v>
      </c>
      <c r="E8333" t="str">
        <f>IF(OR(E8332="&lt;/routeDistribution&gt;",E8332=""),"",IFERROR(_xlfn.CONCAT(VLOOKUP(F20,Route_Column!#REF!,2,FALSE),CHAR(34)," probability=",CHAR(34),1/F$4,CHAR(34),CHAR(47),CHAR(62)),"&lt;/routeDistribution&gt;"))</f>
        <v/>
      </c>
    </row>
    <row r="8334" spans="1:5" x14ac:dyDescent="0.25">
      <c r="A8334" t="s">
        <v>1433</v>
      </c>
      <c r="B8334" t="s">
        <v>1096</v>
      </c>
      <c r="E8334" t="str">
        <f>IF(OR(E8333="&lt;/routeDistribution&gt;",E8333=""),"",IFERROR(_xlfn.CONCAT(VLOOKUP(F21,Route_Column!#REF!,2,FALSE),CHAR(34)," probability=",CHAR(34),1/F$4,CHAR(34),CHAR(47),CHAR(62)),"&lt;/routeDistribution&gt;"))</f>
        <v/>
      </c>
    </row>
    <row r="8335" spans="1:5" x14ac:dyDescent="0.25">
      <c r="A8335" t="s">
        <v>1433</v>
      </c>
      <c r="B8335" t="s">
        <v>1097</v>
      </c>
      <c r="E8335" t="str">
        <f>IF(OR(E8334="&lt;/routeDistribution&gt;",E8334=""),"",IFERROR(_xlfn.CONCAT(VLOOKUP(F22,Route_Column!#REF!,2,FALSE),CHAR(34)," probability=",CHAR(34),1/F$4,CHAR(34),CHAR(47),CHAR(62)),"&lt;/routeDistribution&gt;"))</f>
        <v/>
      </c>
    </row>
    <row r="8336" spans="1:5" x14ac:dyDescent="0.25">
      <c r="A8336" t="s">
        <v>1433</v>
      </c>
      <c r="B8336" t="s">
        <v>1098</v>
      </c>
      <c r="E8336" t="str">
        <f>IF(OR(E8335="&lt;/routeDistribution&gt;",E8335=""),"",IFERROR(_xlfn.CONCAT(VLOOKUP(F23,Route_Column!#REF!,2,FALSE),CHAR(34)," probability=",CHAR(34),1/F$4,CHAR(34),CHAR(47),CHAR(62)),"&lt;/routeDistribution&gt;"))</f>
        <v/>
      </c>
    </row>
    <row r="8337" spans="1:5" x14ac:dyDescent="0.25">
      <c r="A8337" t="s">
        <v>1433</v>
      </c>
      <c r="B8337" t="s">
        <v>1099</v>
      </c>
      <c r="E8337" t="str">
        <f>IF(OR(E8336="&lt;/routeDistribution&gt;",E8336=""),"",IFERROR(_xlfn.CONCAT(VLOOKUP(F24,Route_Column!#REF!,2,FALSE),CHAR(34)," probability=",CHAR(34),1/F$4,CHAR(34),CHAR(47),CHAR(62)),"&lt;/routeDistribution&gt;"))</f>
        <v/>
      </c>
    </row>
    <row r="8338" spans="1:5" x14ac:dyDescent="0.25">
      <c r="A8338" t="s">
        <v>1433</v>
      </c>
      <c r="B8338" t="s">
        <v>1100</v>
      </c>
      <c r="E8338" t="str">
        <f>IF(OR(E8337="&lt;/routeDistribution&gt;",E8337=""),"",IFERROR(_xlfn.CONCAT(VLOOKUP(F25,Route_Column!#REF!,2,FALSE),CHAR(34)," probability=",CHAR(34),1/F$4,CHAR(34),CHAR(47),CHAR(62)),"&lt;/routeDistribution&gt;"))</f>
        <v/>
      </c>
    </row>
    <row r="8339" spans="1:5" x14ac:dyDescent="0.25">
      <c r="A8339" t="s">
        <v>1433</v>
      </c>
      <c r="B8339" t="s">
        <v>1101</v>
      </c>
      <c r="E8339" t="str">
        <f>IF(OR(E8338="&lt;/routeDistribution&gt;",E8338=""),"",IFERROR(_xlfn.CONCAT(VLOOKUP(F26,Route_Column!#REF!,2,FALSE),CHAR(34)," probability=",CHAR(34),1/F$4,CHAR(34),CHAR(47),CHAR(62)),"&lt;/routeDistribution&gt;"))</f>
        <v/>
      </c>
    </row>
    <row r="8340" spans="1:5" x14ac:dyDescent="0.25">
      <c r="A8340" t="s">
        <v>1433</v>
      </c>
      <c r="B8340" t="s">
        <v>1102</v>
      </c>
      <c r="E8340" t="str">
        <f>IF(OR(E8339="&lt;/routeDistribution&gt;",E8339=""),"",IFERROR(_xlfn.CONCAT(VLOOKUP(F27,Route_Column!#REF!,2,FALSE),CHAR(34)," probability=",CHAR(34),1/F$4,CHAR(34),CHAR(47),CHAR(62)),"&lt;/routeDistribution&gt;"))</f>
        <v/>
      </c>
    </row>
    <row r="8341" spans="1:5" x14ac:dyDescent="0.25">
      <c r="A8341" t="s">
        <v>1433</v>
      </c>
      <c r="B8341" t="s">
        <v>1102</v>
      </c>
      <c r="E8341" t="str">
        <f>IF(OR(E8340="&lt;/routeDistribution&gt;",E8340=""),"",IFERROR(_xlfn.CONCAT(VLOOKUP(F28,Route_Column!#REF!,2,FALSE),CHAR(34)," probability=",CHAR(34),1/F$4,CHAR(34),CHAR(47),CHAR(62)),"&lt;/routeDistribution&gt;"))</f>
        <v/>
      </c>
    </row>
    <row r="8342" spans="1:5" x14ac:dyDescent="0.25">
      <c r="A8342" t="s">
        <v>1433</v>
      </c>
      <c r="B8342" t="s">
        <v>1103</v>
      </c>
      <c r="E8342" t="str">
        <f>IF(OR(E8341="&lt;/routeDistribution&gt;",E8341=""),"",IFERROR(_xlfn.CONCAT(VLOOKUP(F29,Route_Column!#REF!,2,FALSE),CHAR(34)," probability=",CHAR(34),1/F$4,CHAR(34),CHAR(47),CHAR(62)),"&lt;/routeDistribution&gt;"))</f>
        <v/>
      </c>
    </row>
    <row r="8343" spans="1:5" x14ac:dyDescent="0.25">
      <c r="A8343" t="s">
        <v>1433</v>
      </c>
      <c r="B8343" t="s">
        <v>1104</v>
      </c>
      <c r="E8343" t="str">
        <f>IF(OR(E8342="&lt;/routeDistribution&gt;",E8342=""),"",IFERROR(_xlfn.CONCAT(VLOOKUP(F30,Route_Column!#REF!,2,FALSE),CHAR(34)," probability=",CHAR(34),1/F$4,CHAR(34),CHAR(47),CHAR(62)),"&lt;/routeDistribution&gt;"))</f>
        <v/>
      </c>
    </row>
    <row r="8344" spans="1:5" x14ac:dyDescent="0.25">
      <c r="A8344" t="s">
        <v>1433</v>
      </c>
      <c r="B8344" t="s">
        <v>1105</v>
      </c>
      <c r="E8344" t="str">
        <f>IF(OR(E8343="&lt;/routeDistribution&gt;",E8343=""),"",IFERROR(_xlfn.CONCAT(VLOOKUP(F31,Route_Column!#REF!,2,FALSE),CHAR(34)," probability=",CHAR(34),1/F$4,CHAR(34),CHAR(47),CHAR(62)),"&lt;/routeDistribution&gt;"))</f>
        <v/>
      </c>
    </row>
    <row r="8345" spans="1:5" x14ac:dyDescent="0.25">
      <c r="A8345" t="s">
        <v>1433</v>
      </c>
      <c r="B8345" t="s">
        <v>1106</v>
      </c>
      <c r="E8345" t="str">
        <f>IF(OR(E8344="&lt;/routeDistribution&gt;",E8344=""),"",IFERROR(_xlfn.CONCAT(VLOOKUP(F32,Route_Column!#REF!,2,FALSE),CHAR(34)," probability=",CHAR(34),1/F$4,CHAR(34),CHAR(47),CHAR(62)),"&lt;/routeDistribution&gt;"))</f>
        <v/>
      </c>
    </row>
    <row r="8346" spans="1:5" x14ac:dyDescent="0.25">
      <c r="A8346" t="s">
        <v>1433</v>
      </c>
      <c r="B8346" t="s">
        <v>1107</v>
      </c>
      <c r="E8346" t="str">
        <f>IF(OR(E8345="&lt;/routeDistribution&gt;",E8345=""),"",IFERROR(_xlfn.CONCAT(VLOOKUP(F33,Route_Column!#REF!,2,FALSE),CHAR(34)," probability=",CHAR(34),1/F$4,CHAR(34),CHAR(47),CHAR(62)),"&lt;/routeDistribution&gt;"))</f>
        <v/>
      </c>
    </row>
    <row r="8347" spans="1:5" x14ac:dyDescent="0.25">
      <c r="A8347" t="s">
        <v>1433</v>
      </c>
      <c r="B8347" t="s">
        <v>1108</v>
      </c>
      <c r="E8347" t="str">
        <f>IF(OR(E8346="&lt;/routeDistribution&gt;",E8346=""),"",IFERROR(_xlfn.CONCAT(VLOOKUP(F34,Route_Column!#REF!,2,FALSE),CHAR(34)," probability=",CHAR(34),1/F$4,CHAR(34),CHAR(47),CHAR(62)),"&lt;/routeDistribution&gt;"))</f>
        <v/>
      </c>
    </row>
    <row r="8348" spans="1:5" x14ac:dyDescent="0.25">
      <c r="A8348" t="s">
        <v>1433</v>
      </c>
      <c r="B8348" t="s">
        <v>1109</v>
      </c>
      <c r="E8348" t="str">
        <f>IF(OR(E8347="&lt;/routeDistribution&gt;",E8347=""),"",IFERROR(_xlfn.CONCAT(VLOOKUP(F35,Route_Column!#REF!,2,FALSE),CHAR(34)," probability=",CHAR(34),1/F$4,CHAR(34),CHAR(47),CHAR(62)),"&lt;/routeDistribution&gt;"))</f>
        <v/>
      </c>
    </row>
    <row r="8349" spans="1:5" x14ac:dyDescent="0.25">
      <c r="A8349" t="s">
        <v>1433</v>
      </c>
      <c r="B8349" t="s">
        <v>1110</v>
      </c>
      <c r="E8349" t="str">
        <f>IF(OR(E8348="&lt;/routeDistribution&gt;",E8348=""),"",IFERROR(_xlfn.CONCAT(VLOOKUP(F36,Route_Column!#REF!,2,FALSE),CHAR(34)," probability=",CHAR(34),1/F$4,CHAR(34),CHAR(47),CHAR(62)),"&lt;/routeDistribution&gt;"))</f>
        <v/>
      </c>
    </row>
    <row r="8350" spans="1:5" x14ac:dyDescent="0.25">
      <c r="A8350" t="s">
        <v>1433</v>
      </c>
      <c r="B8350" t="s">
        <v>1111</v>
      </c>
      <c r="E8350" t="str">
        <f>IF(OR(E8349="&lt;/routeDistribution&gt;",E8349=""),"",IFERROR(_xlfn.CONCAT(VLOOKUP(F37,Route_Column!#REF!,2,FALSE),CHAR(34)," probability=",CHAR(34),1/F$4,CHAR(34),CHAR(47),CHAR(62)),"&lt;/routeDistribution&gt;"))</f>
        <v/>
      </c>
    </row>
    <row r="8351" spans="1:5" x14ac:dyDescent="0.25">
      <c r="A8351" t="s">
        <v>1433</v>
      </c>
      <c r="B8351" t="s">
        <v>1112</v>
      </c>
      <c r="E8351" t="str">
        <f>IF(OR(E8350="&lt;/routeDistribution&gt;",E8350=""),"",IFERROR(_xlfn.CONCAT(VLOOKUP(F38,Route_Column!#REF!,2,FALSE),CHAR(34)," probability=",CHAR(34),1/F$4,CHAR(34),CHAR(47),CHAR(62)),"&lt;/routeDistribution&gt;"))</f>
        <v/>
      </c>
    </row>
    <row r="8352" spans="1:5" x14ac:dyDescent="0.25">
      <c r="A8352" t="s">
        <v>1433</v>
      </c>
      <c r="B8352" t="s">
        <v>1113</v>
      </c>
      <c r="E8352" t="str">
        <f>IF(OR(E8351="&lt;/routeDistribution&gt;",E8351=""),"",IFERROR(_xlfn.CONCAT(VLOOKUP(F39,Route_Column!#REF!,2,FALSE),CHAR(34)," probability=",CHAR(34),1/F$4,CHAR(34),CHAR(47),CHAR(62)),"&lt;/routeDistribution&gt;"))</f>
        <v/>
      </c>
    </row>
    <row r="8353" spans="1:5" x14ac:dyDescent="0.25">
      <c r="A8353" t="s">
        <v>1433</v>
      </c>
      <c r="B8353" t="s">
        <v>1114</v>
      </c>
      <c r="E8353" t="str">
        <f>IF(OR(E8352="&lt;/routeDistribution&gt;",E8352=""),"",IFERROR(_xlfn.CONCAT(VLOOKUP(F40,Route_Column!#REF!,2,FALSE),CHAR(34)," probability=",CHAR(34),1/F$4,CHAR(34),CHAR(47),CHAR(62)),"&lt;/routeDistribution&gt;"))</f>
        <v/>
      </c>
    </row>
    <row r="8354" spans="1:5" x14ac:dyDescent="0.25">
      <c r="A8354" t="s">
        <v>1433</v>
      </c>
      <c r="B8354" t="s">
        <v>1115</v>
      </c>
      <c r="E8354" t="str">
        <f>IF(OR(E8353="&lt;/routeDistribution&gt;",E8353=""),"",IFERROR(_xlfn.CONCAT(VLOOKUP(F41,Route_Column!#REF!,2,FALSE),CHAR(34)," probability=",CHAR(34),1/F$4,CHAR(34),CHAR(47),CHAR(62)),"&lt;/routeDistribution&gt;"))</f>
        <v/>
      </c>
    </row>
    <row r="8355" spans="1:5" x14ac:dyDescent="0.25">
      <c r="A8355" t="s">
        <v>1433</v>
      </c>
      <c r="B8355" t="s">
        <v>1122</v>
      </c>
      <c r="E8355" t="str">
        <f>IF(OR(E8354="&lt;/routeDistribution&gt;",E8354=""),"",IFERROR(_xlfn.CONCAT(VLOOKUP(F42,Route_Column!#REF!,2,FALSE),CHAR(34)," probability=",CHAR(34),1/F$4,CHAR(34),CHAR(47),CHAR(62)),"&lt;/routeDistribution&gt;"))</f>
        <v/>
      </c>
    </row>
    <row r="8356" spans="1:5" x14ac:dyDescent="0.25">
      <c r="A8356" t="s">
        <v>1433</v>
      </c>
      <c r="B8356" t="s">
        <v>1142</v>
      </c>
      <c r="E8356" t="str">
        <f>IF(OR(E8355="&lt;/routeDistribution&gt;",E8355=""),"",IFERROR(_xlfn.CONCAT(VLOOKUP(F43,Route_Column!#REF!,2,FALSE),CHAR(34)," probability=",CHAR(34),1/F$4,CHAR(34),CHAR(47),CHAR(62)),"&lt;/routeDistribution&gt;"))</f>
        <v/>
      </c>
    </row>
    <row r="8357" spans="1:5" x14ac:dyDescent="0.25">
      <c r="A8357" t="s">
        <v>1433</v>
      </c>
      <c r="B8357" t="s">
        <v>1148</v>
      </c>
      <c r="E8357" t="str">
        <f>IF(OR(E8356="&lt;/routeDistribution&gt;",E8356=""),"",IFERROR(_xlfn.CONCAT(VLOOKUP(F44,Route_Column!#REF!,2,FALSE),CHAR(34)," probability=",CHAR(34),1/F$4,CHAR(34),CHAR(47),CHAR(62)),"&lt;/routeDistribution&gt;"))</f>
        <v/>
      </c>
    </row>
    <row r="8358" spans="1:5" x14ac:dyDescent="0.25">
      <c r="A8358" t="s">
        <v>1433</v>
      </c>
      <c r="B8358" t="s">
        <v>1178</v>
      </c>
      <c r="E8358" t="str">
        <f>IF(OR(E8357="&lt;/routeDistribution&gt;",E8357=""),"",IFERROR(_xlfn.CONCAT(VLOOKUP(F45,Route_Column!#REF!,2,FALSE),CHAR(34)," probability=",CHAR(34),1/F$4,CHAR(34),CHAR(47),CHAR(62)),"&lt;/routeDistribution&gt;"))</f>
        <v/>
      </c>
    </row>
    <row r="8359" spans="1:5" x14ac:dyDescent="0.25">
      <c r="A8359" t="s">
        <v>1433</v>
      </c>
      <c r="B8359" t="s">
        <v>1201</v>
      </c>
      <c r="E8359" t="str">
        <f>IF(OR(E8358="&lt;/routeDistribution&gt;",E8358=""),"",IFERROR(_xlfn.CONCAT(VLOOKUP(F46,Route_Column!#REF!,2,FALSE),CHAR(34)," probability=",CHAR(34),1/F$4,CHAR(34),CHAR(47),CHAR(62)),"&lt;/routeDistribution&gt;"))</f>
        <v/>
      </c>
    </row>
    <row r="8360" spans="1:5" x14ac:dyDescent="0.25">
      <c r="A8360" t="s">
        <v>1433</v>
      </c>
      <c r="B8360" t="s">
        <v>1202</v>
      </c>
      <c r="E8360" t="str">
        <f>IF(OR(E8359="&lt;/routeDistribution&gt;",E8359=""),"",IFERROR(_xlfn.CONCAT(VLOOKUP(F47,Route_Column!#REF!,2,FALSE),CHAR(34)," probability=",CHAR(34),1/F$4,CHAR(34),CHAR(47),CHAR(62)),"&lt;/routeDistribution&gt;"))</f>
        <v/>
      </c>
    </row>
    <row r="8361" spans="1:5" x14ac:dyDescent="0.25">
      <c r="A8361" t="s">
        <v>1433</v>
      </c>
      <c r="B8361" t="s">
        <v>1206</v>
      </c>
      <c r="E8361" t="str">
        <f>IF(OR(E8360="&lt;/routeDistribution&gt;",E8360=""),"",IFERROR(_xlfn.CONCAT(VLOOKUP(F48,Route_Column!#REF!,2,FALSE),CHAR(34)," probability=",CHAR(34),1/F$4,CHAR(34),CHAR(47),CHAR(62)),"&lt;/routeDistribution&gt;"))</f>
        <v/>
      </c>
    </row>
    <row r="8362" spans="1:5" x14ac:dyDescent="0.25">
      <c r="A8362" t="s">
        <v>1433</v>
      </c>
      <c r="B8362" t="s">
        <v>1207</v>
      </c>
      <c r="E8362" t="str">
        <f>IF(OR(E8361="&lt;/routeDistribution&gt;",E8361=""),"",IFERROR(_xlfn.CONCAT(VLOOKUP(F49,Route_Column!#REF!,2,FALSE),CHAR(34)," probability=",CHAR(34),1/F$4,CHAR(34),CHAR(47),CHAR(62)),"&lt;/routeDistribution&gt;"))</f>
        <v/>
      </c>
    </row>
    <row r="8363" spans="1:5" x14ac:dyDescent="0.25">
      <c r="A8363" t="s">
        <v>1954</v>
      </c>
      <c r="B8363" t="s">
        <v>1113</v>
      </c>
      <c r="E8363" t="str">
        <f>IF(OR(E8362="&lt;/routeDistribution&gt;",E8362=""),"",IFERROR(_xlfn.CONCAT(VLOOKUP(F50,Route_Column!#REF!,2,FALSE),CHAR(34)," probability=",CHAR(34),1/F$4,CHAR(34),CHAR(47),CHAR(62)),"&lt;/routeDistribution&gt;"))</f>
        <v/>
      </c>
    </row>
    <row r="8364" spans="1:5" x14ac:dyDescent="0.25">
      <c r="A8364" t="s">
        <v>1954</v>
      </c>
      <c r="B8364" t="s">
        <v>1114</v>
      </c>
      <c r="E8364" t="str">
        <f>IF(OR(E8363="&lt;/routeDistribution&gt;",E8363=""),"",IFERROR(_xlfn.CONCAT(VLOOKUP(F51,Route_Column!#REF!,2,FALSE),CHAR(34)," probability=",CHAR(34),1/F$4,CHAR(34),CHAR(47),CHAR(62)),"&lt;/routeDistribution&gt;"))</f>
        <v/>
      </c>
    </row>
    <row r="8365" spans="1:5" x14ac:dyDescent="0.25">
      <c r="A8365" t="s">
        <v>1954</v>
      </c>
      <c r="B8365" t="s">
        <v>1115</v>
      </c>
      <c r="E8365" t="str">
        <f>IF(OR(E8364="&lt;/routeDistribution&gt;",E8364=""),"",IFERROR(_xlfn.CONCAT(VLOOKUP(F52,Route_Column!#REF!,2,FALSE),CHAR(34)," probability=",CHAR(34),1/F$4,CHAR(34),CHAR(47),CHAR(62)),"&lt;/routeDistribution&gt;"))</f>
        <v/>
      </c>
    </row>
    <row r="8366" spans="1:5" x14ac:dyDescent="0.25">
      <c r="A8366" t="s">
        <v>1954</v>
      </c>
      <c r="B8366" t="s">
        <v>1133</v>
      </c>
      <c r="E8366" t="str">
        <f>IF(OR(E8365="&lt;/routeDistribution&gt;",E8365=""),"",IFERROR(_xlfn.CONCAT(VLOOKUP(F53,Route_Column!#REF!,2,FALSE),CHAR(34)," probability=",CHAR(34),1/F$4,CHAR(34),CHAR(47),CHAR(62)),"&lt;/routeDistribution&gt;"))</f>
        <v/>
      </c>
    </row>
    <row r="8367" spans="1:5" x14ac:dyDescent="0.25">
      <c r="A8367" t="s">
        <v>1954</v>
      </c>
      <c r="B8367" t="s">
        <v>1166</v>
      </c>
      <c r="E8367" t="str">
        <f>IF(OR(E8366="&lt;/routeDistribution&gt;",E8366=""),"",IFERROR(_xlfn.CONCAT(VLOOKUP(F54,Route_Column!#REF!,2,FALSE),CHAR(34)," probability=",CHAR(34),1/F$4,CHAR(34),CHAR(47),CHAR(62)),"&lt;/routeDistribution&gt;"))</f>
        <v/>
      </c>
    </row>
    <row r="8368" spans="1:5" x14ac:dyDescent="0.25">
      <c r="A8368" t="s">
        <v>1954</v>
      </c>
      <c r="B8368" t="s">
        <v>1167</v>
      </c>
      <c r="E8368" t="str">
        <f>IF(OR(E8367="&lt;/routeDistribution&gt;",E8367=""),"",IFERROR(_xlfn.CONCAT(VLOOKUP(F55,Route_Column!#REF!,2,FALSE),CHAR(34)," probability=",CHAR(34),1/F$4,CHAR(34),CHAR(47),CHAR(62)),"&lt;/routeDistribution&gt;"))</f>
        <v/>
      </c>
    </row>
    <row r="8369" spans="1:5" x14ac:dyDescent="0.25">
      <c r="A8369" t="s">
        <v>1954</v>
      </c>
      <c r="B8369" t="s">
        <v>1168</v>
      </c>
      <c r="E8369" t="str">
        <f>IF(OR(E8368="&lt;/routeDistribution&gt;",E8368=""),"",IFERROR(_xlfn.CONCAT(VLOOKUP(F56,Route_Column!#REF!,2,FALSE),CHAR(34)," probability=",CHAR(34),1/F$4,CHAR(34),CHAR(47),CHAR(62)),"&lt;/routeDistribution&gt;"))</f>
        <v/>
      </c>
    </row>
    <row r="8370" spans="1:5" x14ac:dyDescent="0.25">
      <c r="A8370" t="s">
        <v>1954</v>
      </c>
      <c r="B8370" t="s">
        <v>1186</v>
      </c>
      <c r="E8370" t="str">
        <f>IF(OR(E8369="&lt;/routeDistribution&gt;",E8369=""),"",IFERROR(_xlfn.CONCAT(VLOOKUP(F57,Route_Column!#REF!,2,FALSE),CHAR(34)," probability=",CHAR(34),1/F$4,CHAR(34),CHAR(47),CHAR(62)),"&lt;/routeDistribution&gt;"))</f>
        <v/>
      </c>
    </row>
    <row r="8371" spans="1:5" x14ac:dyDescent="0.25">
      <c r="A8371" t="s">
        <v>1954</v>
      </c>
      <c r="B8371" t="s">
        <v>1187</v>
      </c>
      <c r="E8371" t="str">
        <f>IF(OR(E8370="&lt;/routeDistribution&gt;",E8370=""),"",IFERROR(_xlfn.CONCAT(VLOOKUP(F58,Route_Column!#REF!,2,FALSE),CHAR(34)," probability=",CHAR(34),1/F$4,CHAR(34),CHAR(47),CHAR(62)),"&lt;/routeDistribution&gt;"))</f>
        <v/>
      </c>
    </row>
    <row r="8372" spans="1:5" x14ac:dyDescent="0.25">
      <c r="A8372" t="s">
        <v>1954</v>
      </c>
      <c r="B8372" t="s">
        <v>1188</v>
      </c>
      <c r="E8372" t="str">
        <f>IF(OR(E8371="&lt;/routeDistribution&gt;",E8371=""),"",IFERROR(_xlfn.CONCAT(VLOOKUP(F59,Route_Column!#REF!,2,FALSE),CHAR(34)," probability=",CHAR(34),1/F$4,CHAR(34),CHAR(47),CHAR(62)),"&lt;/routeDistribution&gt;"))</f>
        <v/>
      </c>
    </row>
    <row r="8373" spans="1:5" x14ac:dyDescent="0.25">
      <c r="A8373" t="s">
        <v>1954</v>
      </c>
      <c r="B8373" t="s">
        <v>1189</v>
      </c>
      <c r="E8373" t="str">
        <f>IF(OR(E8372="&lt;/routeDistribution&gt;",E8372=""),"",IFERROR(_xlfn.CONCAT(VLOOKUP(F60,Route_Column!#REF!,2,FALSE),CHAR(34)," probability=",CHAR(34),1/F$4,CHAR(34),CHAR(47),CHAR(62)),"&lt;/routeDistribution&gt;"))</f>
        <v/>
      </c>
    </row>
    <row r="8374" spans="1:5" x14ac:dyDescent="0.25">
      <c r="A8374" t="s">
        <v>1954</v>
      </c>
      <c r="B8374" t="s">
        <v>1195</v>
      </c>
      <c r="E8374" t="str">
        <f>IF(OR(E8373="&lt;/routeDistribution&gt;",E8373=""),"",IFERROR(_xlfn.CONCAT(VLOOKUP(F61,Route_Column!#REF!,2,FALSE),CHAR(34)," probability=",CHAR(34),1/F$4,CHAR(34),CHAR(47),CHAR(62)),"&lt;/routeDistribution&gt;"))</f>
        <v/>
      </c>
    </row>
    <row r="8375" spans="1:5" x14ac:dyDescent="0.25">
      <c r="A8375" t="s">
        <v>1954</v>
      </c>
      <c r="B8375" t="s">
        <v>1196</v>
      </c>
      <c r="E8375" t="str">
        <f>IF(OR(E8374="&lt;/routeDistribution&gt;",E8374=""),"",IFERROR(_xlfn.CONCAT(VLOOKUP(F62,Route_Column!#REF!,2,FALSE),CHAR(34)," probability=",CHAR(34),1/F$4,CHAR(34),CHAR(47),CHAR(62)),"&lt;/routeDistribution&gt;"))</f>
        <v/>
      </c>
    </row>
    <row r="8376" spans="1:5" x14ac:dyDescent="0.25">
      <c r="A8376" s="11" t="s">
        <v>1432</v>
      </c>
      <c r="B8376" t="s">
        <v>1090</v>
      </c>
      <c r="E8376" t="str">
        <f>IF(OR(E8375="&lt;/routeDistribution&gt;",E8375=""),"",IFERROR(_xlfn.CONCAT(VLOOKUP(F63,Route_Column!#REF!,2,FALSE),CHAR(34)," probability=",CHAR(34),1/F$4,CHAR(34),CHAR(47),CHAR(62)),"&lt;/routeDistribution&gt;"))</f>
        <v/>
      </c>
    </row>
    <row r="8377" spans="1:5" x14ac:dyDescent="0.25">
      <c r="A8377" s="11" t="s">
        <v>1432</v>
      </c>
      <c r="B8377" t="s">
        <v>1091</v>
      </c>
      <c r="E8377" t="s">
        <v>2686</v>
      </c>
    </row>
    <row r="8378" spans="1:5" x14ac:dyDescent="0.25">
      <c r="A8378" t="s">
        <v>1432</v>
      </c>
      <c r="B8378" t="s">
        <v>1092</v>
      </c>
    </row>
    <row r="8379" spans="1:5" x14ac:dyDescent="0.25">
      <c r="A8379" t="s">
        <v>1432</v>
      </c>
      <c r="B8379" t="s">
        <v>1093</v>
      </c>
    </row>
    <row r="8380" spans="1:5" x14ac:dyDescent="0.25">
      <c r="A8380" t="s">
        <v>1432</v>
      </c>
      <c r="B8380" t="s">
        <v>1094</v>
      </c>
    </row>
    <row r="8381" spans="1:5" x14ac:dyDescent="0.25">
      <c r="A8381" t="s">
        <v>1432</v>
      </c>
      <c r="B8381" t="s">
        <v>1095</v>
      </c>
    </row>
    <row r="8382" spans="1:5" x14ac:dyDescent="0.25">
      <c r="A8382" t="s">
        <v>1432</v>
      </c>
      <c r="B8382" t="s">
        <v>1096</v>
      </c>
    </row>
    <row r="8383" spans="1:5" x14ac:dyDescent="0.25">
      <c r="A8383" t="s">
        <v>1432</v>
      </c>
      <c r="B8383" t="s">
        <v>1097</v>
      </c>
    </row>
    <row r="8384" spans="1:5" x14ac:dyDescent="0.25">
      <c r="A8384" t="s">
        <v>1432</v>
      </c>
      <c r="B8384" t="s">
        <v>1098</v>
      </c>
    </row>
    <row r="8385" spans="1:2" x14ac:dyDescent="0.25">
      <c r="A8385" t="s">
        <v>1432</v>
      </c>
      <c r="B8385" t="s">
        <v>1099</v>
      </c>
    </row>
    <row r="8386" spans="1:2" x14ac:dyDescent="0.25">
      <c r="A8386" t="s">
        <v>1432</v>
      </c>
      <c r="B8386" t="s">
        <v>1100</v>
      </c>
    </row>
    <row r="8387" spans="1:2" x14ac:dyDescent="0.25">
      <c r="A8387" t="s">
        <v>1432</v>
      </c>
      <c r="B8387" t="s">
        <v>1101</v>
      </c>
    </row>
    <row r="8388" spans="1:2" x14ac:dyDescent="0.25">
      <c r="A8388" t="s">
        <v>1432</v>
      </c>
      <c r="B8388" t="s">
        <v>1102</v>
      </c>
    </row>
    <row r="8389" spans="1:2" x14ac:dyDescent="0.25">
      <c r="A8389" t="s">
        <v>1432</v>
      </c>
      <c r="B8389" t="s">
        <v>1102</v>
      </c>
    </row>
    <row r="8390" spans="1:2" x14ac:dyDescent="0.25">
      <c r="A8390" t="s">
        <v>1432</v>
      </c>
      <c r="B8390" t="s">
        <v>1103</v>
      </c>
    </row>
    <row r="8391" spans="1:2" x14ac:dyDescent="0.25">
      <c r="A8391" t="s">
        <v>1432</v>
      </c>
      <c r="B8391" t="s">
        <v>1104</v>
      </c>
    </row>
    <row r="8392" spans="1:2" x14ac:dyDescent="0.25">
      <c r="A8392" t="s">
        <v>1432</v>
      </c>
      <c r="B8392" t="s">
        <v>1105</v>
      </c>
    </row>
    <row r="8393" spans="1:2" x14ac:dyDescent="0.25">
      <c r="A8393" t="s">
        <v>1432</v>
      </c>
      <c r="B8393" t="s">
        <v>1106</v>
      </c>
    </row>
    <row r="8394" spans="1:2" x14ac:dyDescent="0.25">
      <c r="A8394" t="s">
        <v>1432</v>
      </c>
      <c r="B8394" t="s">
        <v>1107</v>
      </c>
    </row>
    <row r="8395" spans="1:2" x14ac:dyDescent="0.25">
      <c r="A8395" t="s">
        <v>1432</v>
      </c>
      <c r="B8395" t="s">
        <v>1108</v>
      </c>
    </row>
    <row r="8396" spans="1:2" x14ac:dyDescent="0.25">
      <c r="A8396" t="s">
        <v>1432</v>
      </c>
      <c r="B8396" t="s">
        <v>1109</v>
      </c>
    </row>
    <row r="8397" spans="1:2" x14ac:dyDescent="0.25">
      <c r="A8397" t="s">
        <v>1432</v>
      </c>
      <c r="B8397" t="s">
        <v>1110</v>
      </c>
    </row>
    <row r="8398" spans="1:2" x14ac:dyDescent="0.25">
      <c r="A8398" t="s">
        <v>1432</v>
      </c>
      <c r="B8398" t="s">
        <v>1111</v>
      </c>
    </row>
    <row r="8399" spans="1:2" x14ac:dyDescent="0.25">
      <c r="A8399" t="s">
        <v>1432</v>
      </c>
      <c r="B8399" t="s">
        <v>1112</v>
      </c>
    </row>
    <row r="8400" spans="1:2" x14ac:dyDescent="0.25">
      <c r="A8400" t="s">
        <v>1432</v>
      </c>
      <c r="B8400" t="s">
        <v>1113</v>
      </c>
    </row>
    <row r="8401" spans="1:2" x14ac:dyDescent="0.25">
      <c r="A8401" t="s">
        <v>1432</v>
      </c>
      <c r="B8401" t="s">
        <v>1114</v>
      </c>
    </row>
    <row r="8402" spans="1:2" x14ac:dyDescent="0.25">
      <c r="A8402" t="s">
        <v>1432</v>
      </c>
      <c r="B8402" t="s">
        <v>1115</v>
      </c>
    </row>
    <row r="8403" spans="1:2" x14ac:dyDescent="0.25">
      <c r="A8403" t="s">
        <v>1432</v>
      </c>
      <c r="B8403" t="s">
        <v>1122</v>
      </c>
    </row>
    <row r="8404" spans="1:2" x14ac:dyDescent="0.25">
      <c r="A8404" t="s">
        <v>1432</v>
      </c>
      <c r="B8404" t="s">
        <v>1142</v>
      </c>
    </row>
    <row r="8405" spans="1:2" x14ac:dyDescent="0.25">
      <c r="A8405" t="s">
        <v>1432</v>
      </c>
      <c r="B8405" t="s">
        <v>1148</v>
      </c>
    </row>
    <row r="8406" spans="1:2" x14ac:dyDescent="0.25">
      <c r="A8406" t="s">
        <v>1432</v>
      </c>
      <c r="B8406" t="s">
        <v>1178</v>
      </c>
    </row>
    <row r="8407" spans="1:2" x14ac:dyDescent="0.25">
      <c r="A8407" t="s">
        <v>1432</v>
      </c>
      <c r="B8407" t="s">
        <v>1201</v>
      </c>
    </row>
    <row r="8408" spans="1:2" x14ac:dyDescent="0.25">
      <c r="A8408" t="s">
        <v>1432</v>
      </c>
      <c r="B8408" t="s">
        <v>1202</v>
      </c>
    </row>
    <row r="8409" spans="1:2" x14ac:dyDescent="0.25">
      <c r="A8409" t="s">
        <v>1432</v>
      </c>
      <c r="B8409" t="s">
        <v>1206</v>
      </c>
    </row>
    <row r="8410" spans="1:2" x14ac:dyDescent="0.25">
      <c r="A8410" t="s">
        <v>1432</v>
      </c>
      <c r="B8410" t="s">
        <v>1207</v>
      </c>
    </row>
    <row r="8411" spans="1:2" x14ac:dyDescent="0.25">
      <c r="A8411" t="s">
        <v>2092</v>
      </c>
      <c r="B8411" t="s">
        <v>1139</v>
      </c>
    </row>
    <row r="8412" spans="1:2" x14ac:dyDescent="0.25">
      <c r="A8412" t="s">
        <v>2092</v>
      </c>
      <c r="B8412" t="s">
        <v>1140</v>
      </c>
    </row>
    <row r="8413" spans="1:2" x14ac:dyDescent="0.25">
      <c r="A8413" t="s">
        <v>2092</v>
      </c>
      <c r="B8413" t="s">
        <v>1149</v>
      </c>
    </row>
    <row r="8414" spans="1:2" x14ac:dyDescent="0.25">
      <c r="A8414" t="s">
        <v>2092</v>
      </c>
      <c r="B8414" t="s">
        <v>1150</v>
      </c>
    </row>
    <row r="8415" spans="1:2" x14ac:dyDescent="0.25">
      <c r="A8415" t="s">
        <v>2092</v>
      </c>
      <c r="B8415" t="s">
        <v>1157</v>
      </c>
    </row>
    <row r="8416" spans="1:2" x14ac:dyDescent="0.25">
      <c r="A8416" t="s">
        <v>2092</v>
      </c>
      <c r="B8416" t="s">
        <v>1203</v>
      </c>
    </row>
    <row r="8417" spans="1:2" x14ac:dyDescent="0.25">
      <c r="A8417" t="s">
        <v>2092</v>
      </c>
      <c r="B8417" t="s">
        <v>1204</v>
      </c>
    </row>
    <row r="8418" spans="1:2" x14ac:dyDescent="0.25">
      <c r="A8418" t="s">
        <v>2092</v>
      </c>
      <c r="B8418" t="s">
        <v>1214</v>
      </c>
    </row>
    <row r="8419" spans="1:2" x14ac:dyDescent="0.25">
      <c r="A8419" t="s">
        <v>2092</v>
      </c>
      <c r="B8419" t="s">
        <v>1215</v>
      </c>
    </row>
    <row r="8420" spans="1:2" x14ac:dyDescent="0.25">
      <c r="A8420" t="s">
        <v>2092</v>
      </c>
      <c r="B8420" t="s">
        <v>1218</v>
      </c>
    </row>
    <row r="8421" spans="1:2" x14ac:dyDescent="0.25">
      <c r="A8421" t="s">
        <v>2092</v>
      </c>
      <c r="B8421" t="s">
        <v>1219</v>
      </c>
    </row>
    <row r="8422" spans="1:2" x14ac:dyDescent="0.25">
      <c r="A8422" t="s">
        <v>2092</v>
      </c>
      <c r="B8422" t="s">
        <v>1226</v>
      </c>
    </row>
    <row r="8423" spans="1:2" x14ac:dyDescent="0.25">
      <c r="A8423" t="s">
        <v>2092</v>
      </c>
      <c r="B8423" t="s">
        <v>1230</v>
      </c>
    </row>
    <row r="8424" spans="1:2" x14ac:dyDescent="0.25">
      <c r="A8424" t="s">
        <v>2092</v>
      </c>
      <c r="B8424" t="s">
        <v>1231</v>
      </c>
    </row>
    <row r="8425" spans="1:2" x14ac:dyDescent="0.25">
      <c r="A8425" t="s">
        <v>2092</v>
      </c>
      <c r="B8425" t="s">
        <v>1233</v>
      </c>
    </row>
    <row r="8426" spans="1:2" x14ac:dyDescent="0.25">
      <c r="A8426" t="s">
        <v>2092</v>
      </c>
      <c r="B8426" t="s">
        <v>1253</v>
      </c>
    </row>
    <row r="8427" spans="1:2" x14ac:dyDescent="0.25">
      <c r="A8427" t="s">
        <v>2092</v>
      </c>
      <c r="B8427" t="s">
        <v>1254</v>
      </c>
    </row>
    <row r="8428" spans="1:2" x14ac:dyDescent="0.25">
      <c r="A8428" t="s">
        <v>1916</v>
      </c>
      <c r="B8428" t="s">
        <v>1112</v>
      </c>
    </row>
    <row r="8429" spans="1:2" x14ac:dyDescent="0.25">
      <c r="A8429" t="s">
        <v>1916</v>
      </c>
      <c r="B8429" t="s">
        <v>1154</v>
      </c>
    </row>
    <row r="8430" spans="1:2" x14ac:dyDescent="0.25">
      <c r="A8430" t="s">
        <v>1916</v>
      </c>
      <c r="B8430" t="s">
        <v>1155</v>
      </c>
    </row>
    <row r="8431" spans="1:2" x14ac:dyDescent="0.25">
      <c r="A8431" t="s">
        <v>1916</v>
      </c>
      <c r="B8431" t="s">
        <v>1156</v>
      </c>
    </row>
    <row r="8432" spans="1:2" x14ac:dyDescent="0.25">
      <c r="A8432" t="s">
        <v>1916</v>
      </c>
      <c r="B8432" t="s">
        <v>1157</v>
      </c>
    </row>
    <row r="8433" spans="1:2" x14ac:dyDescent="0.25">
      <c r="A8433" t="s">
        <v>1916</v>
      </c>
      <c r="B8433" t="s">
        <v>1158</v>
      </c>
    </row>
    <row r="8434" spans="1:2" x14ac:dyDescent="0.25">
      <c r="A8434" t="s">
        <v>1916</v>
      </c>
      <c r="B8434" t="s">
        <v>1159</v>
      </c>
    </row>
    <row r="8435" spans="1:2" x14ac:dyDescent="0.25">
      <c r="A8435" t="s">
        <v>1917</v>
      </c>
      <c r="B8435" t="s">
        <v>1112</v>
      </c>
    </row>
    <row r="8436" spans="1:2" x14ac:dyDescent="0.25">
      <c r="A8436" t="s">
        <v>1917</v>
      </c>
      <c r="B8436" t="s">
        <v>1154</v>
      </c>
    </row>
    <row r="8437" spans="1:2" x14ac:dyDescent="0.25">
      <c r="A8437" t="s">
        <v>1917</v>
      </c>
      <c r="B8437" t="s">
        <v>1155</v>
      </c>
    </row>
    <row r="8438" spans="1:2" x14ac:dyDescent="0.25">
      <c r="A8438" t="s">
        <v>1917</v>
      </c>
      <c r="B8438" t="s">
        <v>1156</v>
      </c>
    </row>
    <row r="8439" spans="1:2" x14ac:dyDescent="0.25">
      <c r="A8439" t="s">
        <v>1917</v>
      </c>
      <c r="B8439" t="s">
        <v>1157</v>
      </c>
    </row>
    <row r="8440" spans="1:2" x14ac:dyDescent="0.25">
      <c r="A8440" t="s">
        <v>1917</v>
      </c>
      <c r="B8440" t="s">
        <v>1158</v>
      </c>
    </row>
    <row r="8441" spans="1:2" x14ac:dyDescent="0.25">
      <c r="A8441" t="s">
        <v>1917</v>
      </c>
      <c r="B8441" t="s">
        <v>1159</v>
      </c>
    </row>
    <row r="8442" spans="1:2" x14ac:dyDescent="0.25">
      <c r="A8442" t="s">
        <v>1918</v>
      </c>
      <c r="B8442" t="s">
        <v>1112</v>
      </c>
    </row>
    <row r="8443" spans="1:2" x14ac:dyDescent="0.25">
      <c r="A8443" t="s">
        <v>1918</v>
      </c>
      <c r="B8443" t="s">
        <v>1154</v>
      </c>
    </row>
    <row r="8444" spans="1:2" x14ac:dyDescent="0.25">
      <c r="A8444" t="s">
        <v>1918</v>
      </c>
      <c r="B8444" t="s">
        <v>1155</v>
      </c>
    </row>
    <row r="8445" spans="1:2" x14ac:dyDescent="0.25">
      <c r="A8445" t="s">
        <v>1918</v>
      </c>
      <c r="B8445" t="s">
        <v>1156</v>
      </c>
    </row>
    <row r="8446" spans="1:2" x14ac:dyDescent="0.25">
      <c r="A8446" t="s">
        <v>1918</v>
      </c>
      <c r="B8446" t="s">
        <v>1157</v>
      </c>
    </row>
    <row r="8447" spans="1:2" x14ac:dyDescent="0.25">
      <c r="A8447" t="s">
        <v>1918</v>
      </c>
      <c r="B8447" t="s">
        <v>1158</v>
      </c>
    </row>
    <row r="8448" spans="1:2" x14ac:dyDescent="0.25">
      <c r="A8448" t="s">
        <v>1918</v>
      </c>
      <c r="B8448" t="s">
        <v>1159</v>
      </c>
    </row>
    <row r="8449" spans="1:2" x14ac:dyDescent="0.25">
      <c r="A8449" t="s">
        <v>1919</v>
      </c>
      <c r="B8449" t="s">
        <v>1112</v>
      </c>
    </row>
    <row r="8450" spans="1:2" x14ac:dyDescent="0.25">
      <c r="A8450" t="s">
        <v>1919</v>
      </c>
      <c r="B8450" t="s">
        <v>1154</v>
      </c>
    </row>
    <row r="8451" spans="1:2" x14ac:dyDescent="0.25">
      <c r="A8451" t="s">
        <v>1919</v>
      </c>
      <c r="B8451" t="s">
        <v>1155</v>
      </c>
    </row>
    <row r="8452" spans="1:2" x14ac:dyDescent="0.25">
      <c r="A8452" t="s">
        <v>1919</v>
      </c>
      <c r="B8452" t="s">
        <v>1156</v>
      </c>
    </row>
    <row r="8453" spans="1:2" x14ac:dyDescent="0.25">
      <c r="A8453" t="s">
        <v>1919</v>
      </c>
      <c r="B8453" t="s">
        <v>1157</v>
      </c>
    </row>
    <row r="8454" spans="1:2" x14ac:dyDescent="0.25">
      <c r="A8454" t="s">
        <v>1919</v>
      </c>
      <c r="B8454" t="s">
        <v>1158</v>
      </c>
    </row>
    <row r="8455" spans="1:2" x14ac:dyDescent="0.25">
      <c r="A8455" t="s">
        <v>1919</v>
      </c>
      <c r="B8455" t="s">
        <v>1159</v>
      </c>
    </row>
    <row r="8456" spans="1:2" x14ac:dyDescent="0.25">
      <c r="A8456" t="s">
        <v>1974</v>
      </c>
      <c r="B8456" t="s">
        <v>1127</v>
      </c>
    </row>
    <row r="8457" spans="1:2" x14ac:dyDescent="0.25">
      <c r="A8457" t="s">
        <v>1974</v>
      </c>
      <c r="B8457" t="s">
        <v>1128</v>
      </c>
    </row>
    <row r="8458" spans="1:2" x14ac:dyDescent="0.25">
      <c r="A8458" t="s">
        <v>1974</v>
      </c>
      <c r="B8458" t="s">
        <v>1129</v>
      </c>
    </row>
    <row r="8459" spans="1:2" x14ac:dyDescent="0.25">
      <c r="A8459" t="s">
        <v>1974</v>
      </c>
      <c r="B8459" t="s">
        <v>1154</v>
      </c>
    </row>
    <row r="8460" spans="1:2" x14ac:dyDescent="0.25">
      <c r="A8460" t="s">
        <v>1974</v>
      </c>
      <c r="B8460" t="s">
        <v>1155</v>
      </c>
    </row>
    <row r="8461" spans="1:2" x14ac:dyDescent="0.25">
      <c r="A8461" t="s">
        <v>1974</v>
      </c>
      <c r="B8461" t="s">
        <v>1156</v>
      </c>
    </row>
    <row r="8462" spans="1:2" x14ac:dyDescent="0.25">
      <c r="A8462" t="s">
        <v>1810</v>
      </c>
      <c r="B8462" t="s">
        <v>1108</v>
      </c>
    </row>
    <row r="8463" spans="1:2" x14ac:dyDescent="0.25">
      <c r="A8463" t="s">
        <v>1810</v>
      </c>
      <c r="B8463" t="s">
        <v>1138</v>
      </c>
    </row>
    <row r="8464" spans="1:2" x14ac:dyDescent="0.25">
      <c r="A8464" t="s">
        <v>1810</v>
      </c>
      <c r="B8464" t="s">
        <v>1154</v>
      </c>
    </row>
    <row r="8465" spans="1:2" x14ac:dyDescent="0.25">
      <c r="A8465" t="s">
        <v>1810</v>
      </c>
      <c r="B8465" t="s">
        <v>1180</v>
      </c>
    </row>
    <row r="8466" spans="1:2" x14ac:dyDescent="0.25">
      <c r="A8466" t="s">
        <v>1810</v>
      </c>
      <c r="B8466" t="s">
        <v>1181</v>
      </c>
    </row>
    <row r="8467" spans="1:2" x14ac:dyDescent="0.25">
      <c r="A8467" t="s">
        <v>1810</v>
      </c>
      <c r="B8467" t="s">
        <v>1182</v>
      </c>
    </row>
    <row r="8468" spans="1:2" x14ac:dyDescent="0.25">
      <c r="A8468" t="s">
        <v>1810</v>
      </c>
      <c r="B8468" t="s">
        <v>1183</v>
      </c>
    </row>
    <row r="8469" spans="1:2" x14ac:dyDescent="0.25">
      <c r="A8469" t="s">
        <v>1810</v>
      </c>
      <c r="B8469" t="s">
        <v>1184</v>
      </c>
    </row>
    <row r="8470" spans="1:2" x14ac:dyDescent="0.25">
      <c r="A8470" t="s">
        <v>1810</v>
      </c>
      <c r="B8470" t="s">
        <v>1185</v>
      </c>
    </row>
    <row r="8471" spans="1:2" x14ac:dyDescent="0.25">
      <c r="A8471" t="s">
        <v>1810</v>
      </c>
      <c r="B8471" t="s">
        <v>1191</v>
      </c>
    </row>
    <row r="8472" spans="1:2" x14ac:dyDescent="0.25">
      <c r="A8472" t="s">
        <v>1810</v>
      </c>
      <c r="B8472" t="s">
        <v>1192</v>
      </c>
    </row>
    <row r="8473" spans="1:2" x14ac:dyDescent="0.25">
      <c r="A8473" t="s">
        <v>1810</v>
      </c>
      <c r="B8473" t="s">
        <v>1193</v>
      </c>
    </row>
    <row r="8474" spans="1:2" x14ac:dyDescent="0.25">
      <c r="A8474" t="s">
        <v>2172</v>
      </c>
      <c r="B8474" t="s">
        <v>1154</v>
      </c>
    </row>
    <row r="8475" spans="1:2" x14ac:dyDescent="0.25">
      <c r="A8475" t="s">
        <v>2172</v>
      </c>
      <c r="B8475" t="s">
        <v>1155</v>
      </c>
    </row>
    <row r="8476" spans="1:2" x14ac:dyDescent="0.25">
      <c r="A8476" t="s">
        <v>2172</v>
      </c>
      <c r="B8476" t="s">
        <v>1156</v>
      </c>
    </row>
    <row r="8477" spans="1:2" x14ac:dyDescent="0.25">
      <c r="A8477" t="s">
        <v>2173</v>
      </c>
      <c r="B8477" t="s">
        <v>1154</v>
      </c>
    </row>
    <row r="8478" spans="1:2" x14ac:dyDescent="0.25">
      <c r="A8478" t="s">
        <v>2173</v>
      </c>
      <c r="B8478" t="s">
        <v>1155</v>
      </c>
    </row>
    <row r="8479" spans="1:2" x14ac:dyDescent="0.25">
      <c r="A8479" t="s">
        <v>2173</v>
      </c>
      <c r="B8479" t="s">
        <v>1156</v>
      </c>
    </row>
    <row r="8480" spans="1:2" x14ac:dyDescent="0.25">
      <c r="A8480" t="s">
        <v>2174</v>
      </c>
      <c r="B8480" t="s">
        <v>1154</v>
      </c>
    </row>
    <row r="8481" spans="1:2" x14ac:dyDescent="0.25">
      <c r="A8481" t="s">
        <v>2174</v>
      </c>
      <c r="B8481" t="s">
        <v>1155</v>
      </c>
    </row>
    <row r="8482" spans="1:2" x14ac:dyDescent="0.25">
      <c r="A8482" t="s">
        <v>2174</v>
      </c>
      <c r="B8482" t="s">
        <v>1156</v>
      </c>
    </row>
    <row r="8483" spans="1:2" x14ac:dyDescent="0.25">
      <c r="A8483" t="s">
        <v>2175</v>
      </c>
      <c r="B8483" t="s">
        <v>1154</v>
      </c>
    </row>
    <row r="8484" spans="1:2" x14ac:dyDescent="0.25">
      <c r="A8484" t="s">
        <v>2175</v>
      </c>
      <c r="B8484" t="s">
        <v>1155</v>
      </c>
    </row>
    <row r="8485" spans="1:2" x14ac:dyDescent="0.25">
      <c r="A8485" t="s">
        <v>2175</v>
      </c>
      <c r="B8485" t="s">
        <v>1156</v>
      </c>
    </row>
    <row r="8486" spans="1:2" x14ac:dyDescent="0.25">
      <c r="A8486" t="s">
        <v>2176</v>
      </c>
      <c r="B8486" t="s">
        <v>1154</v>
      </c>
    </row>
    <row r="8487" spans="1:2" x14ac:dyDescent="0.25">
      <c r="A8487" t="s">
        <v>2176</v>
      </c>
      <c r="B8487" t="s">
        <v>1155</v>
      </c>
    </row>
    <row r="8488" spans="1:2" x14ac:dyDescent="0.25">
      <c r="A8488" t="s">
        <v>2176</v>
      </c>
      <c r="B8488" t="s">
        <v>1156</v>
      </c>
    </row>
    <row r="8489" spans="1:2" x14ac:dyDescent="0.25">
      <c r="A8489" t="s">
        <v>2177</v>
      </c>
      <c r="B8489" t="s">
        <v>1154</v>
      </c>
    </row>
    <row r="8490" spans="1:2" x14ac:dyDescent="0.25">
      <c r="A8490" t="s">
        <v>2177</v>
      </c>
      <c r="B8490" t="s">
        <v>1155</v>
      </c>
    </row>
    <row r="8491" spans="1:2" x14ac:dyDescent="0.25">
      <c r="A8491" t="s">
        <v>2177</v>
      </c>
      <c r="B8491" t="s">
        <v>1156</v>
      </c>
    </row>
    <row r="8492" spans="1:2" x14ac:dyDescent="0.25">
      <c r="A8492" t="s">
        <v>2224</v>
      </c>
      <c r="B8492" t="s">
        <v>1166</v>
      </c>
    </row>
    <row r="8493" spans="1:2" x14ac:dyDescent="0.25">
      <c r="A8493" t="s">
        <v>2224</v>
      </c>
      <c r="B8493" t="s">
        <v>1167</v>
      </c>
    </row>
    <row r="8494" spans="1:2" x14ac:dyDescent="0.25">
      <c r="A8494" t="s">
        <v>2224</v>
      </c>
      <c r="B8494" t="s">
        <v>1168</v>
      </c>
    </row>
    <row r="8495" spans="1:2" x14ac:dyDescent="0.25">
      <c r="A8495" t="s">
        <v>2224</v>
      </c>
      <c r="B8495" t="s">
        <v>1169</v>
      </c>
    </row>
    <row r="8496" spans="1:2" x14ac:dyDescent="0.25">
      <c r="A8496" t="s">
        <v>2224</v>
      </c>
      <c r="B8496" t="s">
        <v>1170</v>
      </c>
    </row>
    <row r="8497" spans="1:2" x14ac:dyDescent="0.25">
      <c r="A8497" t="s">
        <v>2224</v>
      </c>
      <c r="B8497" t="s">
        <v>1186</v>
      </c>
    </row>
    <row r="8498" spans="1:2" x14ac:dyDescent="0.25">
      <c r="A8498" t="s">
        <v>2224</v>
      </c>
      <c r="B8498" t="s">
        <v>1187</v>
      </c>
    </row>
    <row r="8499" spans="1:2" x14ac:dyDescent="0.25">
      <c r="A8499" t="s">
        <v>2224</v>
      </c>
      <c r="B8499" t="s">
        <v>1188</v>
      </c>
    </row>
    <row r="8500" spans="1:2" x14ac:dyDescent="0.25">
      <c r="A8500" t="s">
        <v>2224</v>
      </c>
      <c r="B8500" t="s">
        <v>1189</v>
      </c>
    </row>
    <row r="8501" spans="1:2" x14ac:dyDescent="0.25">
      <c r="A8501" t="s">
        <v>2224</v>
      </c>
      <c r="B8501" t="s">
        <v>1191</v>
      </c>
    </row>
    <row r="8502" spans="1:2" x14ac:dyDescent="0.25">
      <c r="A8502" t="s">
        <v>2224</v>
      </c>
      <c r="B8502" t="s">
        <v>1194</v>
      </c>
    </row>
    <row r="8503" spans="1:2" x14ac:dyDescent="0.25">
      <c r="A8503" t="s">
        <v>2224</v>
      </c>
      <c r="B8503" t="s">
        <v>1195</v>
      </c>
    </row>
    <row r="8504" spans="1:2" x14ac:dyDescent="0.25">
      <c r="A8504" t="s">
        <v>2224</v>
      </c>
      <c r="B8504" t="s">
        <v>1196</v>
      </c>
    </row>
    <row r="8505" spans="1:2" x14ac:dyDescent="0.25">
      <c r="A8505" t="s">
        <v>2224</v>
      </c>
      <c r="B8505" t="s">
        <v>1197</v>
      </c>
    </row>
    <row r="8506" spans="1:2" x14ac:dyDescent="0.25">
      <c r="A8506" t="s">
        <v>2224</v>
      </c>
      <c r="B8506" t="s">
        <v>1198</v>
      </c>
    </row>
    <row r="8507" spans="1:2" x14ac:dyDescent="0.25">
      <c r="A8507" t="s">
        <v>1805</v>
      </c>
      <c r="B8507" t="s">
        <v>1108</v>
      </c>
    </row>
    <row r="8508" spans="1:2" x14ac:dyDescent="0.25">
      <c r="A8508" t="s">
        <v>2055</v>
      </c>
      <c r="B8508" t="s">
        <v>1138</v>
      </c>
    </row>
    <row r="8509" spans="1:2" x14ac:dyDescent="0.25">
      <c r="A8509" t="s">
        <v>2055</v>
      </c>
      <c r="B8509" t="s">
        <v>1154</v>
      </c>
    </row>
    <row r="8510" spans="1:2" x14ac:dyDescent="0.25">
      <c r="A8510" t="s">
        <v>2055</v>
      </c>
      <c r="B8510" t="s">
        <v>1173</v>
      </c>
    </row>
    <row r="8511" spans="1:2" x14ac:dyDescent="0.25">
      <c r="A8511" t="s">
        <v>2055</v>
      </c>
      <c r="B8511" t="s">
        <v>1174</v>
      </c>
    </row>
    <row r="8512" spans="1:2" x14ac:dyDescent="0.25">
      <c r="A8512" t="s">
        <v>2055</v>
      </c>
      <c r="B8512" t="s">
        <v>1175</v>
      </c>
    </row>
    <row r="8513" spans="1:2" x14ac:dyDescent="0.25">
      <c r="A8513" t="s">
        <v>2055</v>
      </c>
      <c r="B8513" t="s">
        <v>1176</v>
      </c>
    </row>
    <row r="8514" spans="1:2" x14ac:dyDescent="0.25">
      <c r="A8514" t="s">
        <v>2055</v>
      </c>
      <c r="B8514" t="s">
        <v>1177</v>
      </c>
    </row>
    <row r="8515" spans="1:2" x14ac:dyDescent="0.25">
      <c r="A8515" t="s">
        <v>2055</v>
      </c>
      <c r="B8515" t="s">
        <v>1178</v>
      </c>
    </row>
    <row r="8516" spans="1:2" x14ac:dyDescent="0.25">
      <c r="A8516" t="s">
        <v>2055</v>
      </c>
      <c r="B8516" t="s">
        <v>1179</v>
      </c>
    </row>
    <row r="8517" spans="1:2" x14ac:dyDescent="0.25">
      <c r="A8517" t="s">
        <v>2055</v>
      </c>
      <c r="B8517" t="s">
        <v>1180</v>
      </c>
    </row>
    <row r="8518" spans="1:2" x14ac:dyDescent="0.25">
      <c r="A8518" t="s">
        <v>2055</v>
      </c>
      <c r="B8518" t="s">
        <v>1181</v>
      </c>
    </row>
    <row r="8519" spans="1:2" x14ac:dyDescent="0.25">
      <c r="A8519" t="s">
        <v>2055</v>
      </c>
      <c r="B8519" t="s">
        <v>1182</v>
      </c>
    </row>
    <row r="8520" spans="1:2" x14ac:dyDescent="0.25">
      <c r="A8520" t="s">
        <v>2055</v>
      </c>
      <c r="B8520" t="s">
        <v>1183</v>
      </c>
    </row>
    <row r="8521" spans="1:2" x14ac:dyDescent="0.25">
      <c r="A8521" t="s">
        <v>2055</v>
      </c>
      <c r="B8521" t="s">
        <v>1184</v>
      </c>
    </row>
    <row r="8522" spans="1:2" x14ac:dyDescent="0.25">
      <c r="A8522" t="s">
        <v>2055</v>
      </c>
      <c r="B8522" t="s">
        <v>1185</v>
      </c>
    </row>
    <row r="8523" spans="1:2" x14ac:dyDescent="0.25">
      <c r="A8523" t="s">
        <v>2055</v>
      </c>
      <c r="B8523" t="s">
        <v>1186</v>
      </c>
    </row>
    <row r="8524" spans="1:2" x14ac:dyDescent="0.25">
      <c r="A8524" t="s">
        <v>2055</v>
      </c>
      <c r="B8524" t="s">
        <v>1187</v>
      </c>
    </row>
    <row r="8525" spans="1:2" x14ac:dyDescent="0.25">
      <c r="A8525" t="s">
        <v>2055</v>
      </c>
      <c r="B8525" t="s">
        <v>1188</v>
      </c>
    </row>
    <row r="8526" spans="1:2" x14ac:dyDescent="0.25">
      <c r="A8526" t="s">
        <v>2055</v>
      </c>
      <c r="B8526" t="s">
        <v>1189</v>
      </c>
    </row>
    <row r="8527" spans="1:2" x14ac:dyDescent="0.25">
      <c r="A8527" t="s">
        <v>2055</v>
      </c>
      <c r="B8527" t="s">
        <v>1191</v>
      </c>
    </row>
    <row r="8528" spans="1:2" x14ac:dyDescent="0.25">
      <c r="A8528" t="s">
        <v>2055</v>
      </c>
      <c r="B8528" t="s">
        <v>1192</v>
      </c>
    </row>
    <row r="8529" spans="1:2" x14ac:dyDescent="0.25">
      <c r="A8529" t="s">
        <v>2055</v>
      </c>
      <c r="B8529" t="s">
        <v>1193</v>
      </c>
    </row>
    <row r="8530" spans="1:2" x14ac:dyDescent="0.25">
      <c r="A8530" t="s">
        <v>2055</v>
      </c>
      <c r="B8530" t="s">
        <v>1194</v>
      </c>
    </row>
    <row r="8531" spans="1:2" x14ac:dyDescent="0.25">
      <c r="A8531" t="s">
        <v>2055</v>
      </c>
      <c r="B8531" t="s">
        <v>1195</v>
      </c>
    </row>
    <row r="8532" spans="1:2" x14ac:dyDescent="0.25">
      <c r="A8532" t="s">
        <v>2055</v>
      </c>
      <c r="B8532" t="s">
        <v>1196</v>
      </c>
    </row>
    <row r="8533" spans="1:2" x14ac:dyDescent="0.25">
      <c r="A8533" t="s">
        <v>2055</v>
      </c>
      <c r="B8533" t="s">
        <v>1197</v>
      </c>
    </row>
    <row r="8534" spans="1:2" x14ac:dyDescent="0.25">
      <c r="A8534" t="s">
        <v>2055</v>
      </c>
      <c r="B8534" t="s">
        <v>1198</v>
      </c>
    </row>
    <row r="8535" spans="1:2" x14ac:dyDescent="0.25">
      <c r="A8535" s="13" t="s">
        <v>1527</v>
      </c>
      <c r="B8535" t="s">
        <v>1091</v>
      </c>
    </row>
    <row r="8536" spans="1:2" x14ac:dyDescent="0.25">
      <c r="A8536" t="s">
        <v>1527</v>
      </c>
      <c r="B8536" t="s">
        <v>1092</v>
      </c>
    </row>
    <row r="8537" spans="1:2" x14ac:dyDescent="0.25">
      <c r="A8537" t="s">
        <v>1527</v>
      </c>
      <c r="B8537" t="s">
        <v>1093</v>
      </c>
    </row>
    <row r="8538" spans="1:2" x14ac:dyDescent="0.25">
      <c r="A8538" t="s">
        <v>1527</v>
      </c>
      <c r="B8538" t="s">
        <v>1094</v>
      </c>
    </row>
    <row r="8539" spans="1:2" x14ac:dyDescent="0.25">
      <c r="A8539" t="s">
        <v>1527</v>
      </c>
      <c r="B8539" t="s">
        <v>1108</v>
      </c>
    </row>
    <row r="8540" spans="1:2" x14ac:dyDescent="0.25">
      <c r="A8540" t="s">
        <v>1527</v>
      </c>
      <c r="B8540" t="s">
        <v>1140</v>
      </c>
    </row>
    <row r="8541" spans="1:2" x14ac:dyDescent="0.25">
      <c r="A8541" t="s">
        <v>1527</v>
      </c>
      <c r="B8541" t="s">
        <v>1141</v>
      </c>
    </row>
    <row r="8542" spans="1:2" x14ac:dyDescent="0.25">
      <c r="A8542" t="s">
        <v>1527</v>
      </c>
      <c r="B8542" t="s">
        <v>1142</v>
      </c>
    </row>
    <row r="8543" spans="1:2" x14ac:dyDescent="0.25">
      <c r="A8543" t="s">
        <v>1527</v>
      </c>
      <c r="B8543" t="s">
        <v>1150</v>
      </c>
    </row>
    <row r="8544" spans="1:2" x14ac:dyDescent="0.25">
      <c r="A8544" t="s">
        <v>1527</v>
      </c>
      <c r="B8544" t="s">
        <v>1151</v>
      </c>
    </row>
    <row r="8545" spans="1:2" x14ac:dyDescent="0.25">
      <c r="A8545" t="s">
        <v>1527</v>
      </c>
      <c r="B8545" t="s">
        <v>1160</v>
      </c>
    </row>
    <row r="8546" spans="1:2" x14ac:dyDescent="0.25">
      <c r="A8546" t="s">
        <v>1527</v>
      </c>
      <c r="B8546" t="s">
        <v>1173</v>
      </c>
    </row>
    <row r="8547" spans="1:2" x14ac:dyDescent="0.25">
      <c r="A8547" t="s">
        <v>1527</v>
      </c>
      <c r="B8547" t="s">
        <v>1174</v>
      </c>
    </row>
    <row r="8548" spans="1:2" x14ac:dyDescent="0.25">
      <c r="A8548" t="s">
        <v>1527</v>
      </c>
      <c r="B8548" t="s">
        <v>1175</v>
      </c>
    </row>
    <row r="8549" spans="1:2" x14ac:dyDescent="0.25">
      <c r="A8549" t="s">
        <v>1527</v>
      </c>
      <c r="B8549" t="s">
        <v>1176</v>
      </c>
    </row>
    <row r="8550" spans="1:2" x14ac:dyDescent="0.25">
      <c r="A8550" t="s">
        <v>1527</v>
      </c>
      <c r="B8550" t="s">
        <v>1177</v>
      </c>
    </row>
    <row r="8551" spans="1:2" x14ac:dyDescent="0.25">
      <c r="A8551" t="s">
        <v>1527</v>
      </c>
      <c r="B8551" t="s">
        <v>1178</v>
      </c>
    </row>
    <row r="8552" spans="1:2" x14ac:dyDescent="0.25">
      <c r="A8552" t="s">
        <v>1527</v>
      </c>
      <c r="B8552" t="s">
        <v>1179</v>
      </c>
    </row>
    <row r="8553" spans="1:2" x14ac:dyDescent="0.25">
      <c r="A8553" t="s">
        <v>1527</v>
      </c>
      <c r="B8553" t="s">
        <v>1179</v>
      </c>
    </row>
    <row r="8554" spans="1:2" x14ac:dyDescent="0.25">
      <c r="A8554" t="s">
        <v>1527</v>
      </c>
      <c r="B8554" t="s">
        <v>1183</v>
      </c>
    </row>
    <row r="8555" spans="1:2" x14ac:dyDescent="0.25">
      <c r="A8555" t="s">
        <v>1527</v>
      </c>
      <c r="B8555" t="s">
        <v>1184</v>
      </c>
    </row>
    <row r="8556" spans="1:2" x14ac:dyDescent="0.25">
      <c r="A8556" t="s">
        <v>1527</v>
      </c>
      <c r="B8556" t="s">
        <v>1194</v>
      </c>
    </row>
    <row r="8557" spans="1:2" x14ac:dyDescent="0.25">
      <c r="A8557" t="s">
        <v>1527</v>
      </c>
      <c r="B8557" t="s">
        <v>1198</v>
      </c>
    </row>
    <row r="8558" spans="1:2" x14ac:dyDescent="0.25">
      <c r="A8558" t="s">
        <v>1527</v>
      </c>
      <c r="B8558" t="s">
        <v>1205</v>
      </c>
    </row>
    <row r="8559" spans="1:2" x14ac:dyDescent="0.25">
      <c r="A8559" t="s">
        <v>1527</v>
      </c>
      <c r="B8559" t="s">
        <v>1206</v>
      </c>
    </row>
    <row r="8560" spans="1:2" x14ac:dyDescent="0.25">
      <c r="A8560" t="s">
        <v>1527</v>
      </c>
      <c r="B8560" t="s">
        <v>1207</v>
      </c>
    </row>
    <row r="8561" spans="1:2" x14ac:dyDescent="0.25">
      <c r="A8561" t="s">
        <v>1527</v>
      </c>
      <c r="B8561" t="s">
        <v>1208</v>
      </c>
    </row>
    <row r="8562" spans="1:2" x14ac:dyDescent="0.25">
      <c r="A8562" t="s">
        <v>1527</v>
      </c>
      <c r="B8562" t="s">
        <v>1224</v>
      </c>
    </row>
    <row r="8563" spans="1:2" x14ac:dyDescent="0.25">
      <c r="A8563" t="s">
        <v>1527</v>
      </c>
      <c r="B8563" t="s">
        <v>1225</v>
      </c>
    </row>
    <row r="8564" spans="1:2" x14ac:dyDescent="0.25">
      <c r="A8564" t="s">
        <v>1527</v>
      </c>
      <c r="B8564" t="s">
        <v>1232</v>
      </c>
    </row>
    <row r="8565" spans="1:2" x14ac:dyDescent="0.25">
      <c r="A8565" t="s">
        <v>1527</v>
      </c>
      <c r="B8565" t="s">
        <v>1233</v>
      </c>
    </row>
    <row r="8566" spans="1:2" x14ac:dyDescent="0.25">
      <c r="A8566" t="s">
        <v>1527</v>
      </c>
      <c r="B8566" t="s">
        <v>1234</v>
      </c>
    </row>
    <row r="8567" spans="1:2" x14ac:dyDescent="0.25">
      <c r="A8567" t="s">
        <v>2226</v>
      </c>
      <c r="B8567" t="s">
        <v>1166</v>
      </c>
    </row>
    <row r="8568" spans="1:2" x14ac:dyDescent="0.25">
      <c r="A8568" t="s">
        <v>2226</v>
      </c>
      <c r="B8568" t="s">
        <v>1167</v>
      </c>
    </row>
    <row r="8569" spans="1:2" x14ac:dyDescent="0.25">
      <c r="A8569" t="s">
        <v>2226</v>
      </c>
      <c r="B8569" t="s">
        <v>1168</v>
      </c>
    </row>
    <row r="8570" spans="1:2" x14ac:dyDescent="0.25">
      <c r="A8570" t="s">
        <v>2226</v>
      </c>
      <c r="B8570" t="s">
        <v>1169</v>
      </c>
    </row>
    <row r="8571" spans="1:2" x14ac:dyDescent="0.25">
      <c r="A8571" t="s">
        <v>2226</v>
      </c>
      <c r="B8571" t="s">
        <v>1170</v>
      </c>
    </row>
    <row r="8572" spans="1:2" x14ac:dyDescent="0.25">
      <c r="A8572" t="s">
        <v>2226</v>
      </c>
      <c r="B8572" t="s">
        <v>1186</v>
      </c>
    </row>
    <row r="8573" spans="1:2" x14ac:dyDescent="0.25">
      <c r="A8573" t="s">
        <v>2226</v>
      </c>
      <c r="B8573" t="s">
        <v>1187</v>
      </c>
    </row>
    <row r="8574" spans="1:2" x14ac:dyDescent="0.25">
      <c r="A8574" t="s">
        <v>2226</v>
      </c>
      <c r="B8574" t="s">
        <v>1188</v>
      </c>
    </row>
    <row r="8575" spans="1:2" x14ac:dyDescent="0.25">
      <c r="A8575" t="s">
        <v>2226</v>
      </c>
      <c r="B8575" t="s">
        <v>1189</v>
      </c>
    </row>
    <row r="8576" spans="1:2" x14ac:dyDescent="0.25">
      <c r="A8576" t="s">
        <v>2226</v>
      </c>
      <c r="B8576" t="s">
        <v>1191</v>
      </c>
    </row>
    <row r="8577" spans="1:2" x14ac:dyDescent="0.25">
      <c r="A8577" t="s">
        <v>2226</v>
      </c>
      <c r="B8577" t="s">
        <v>1194</v>
      </c>
    </row>
    <row r="8578" spans="1:2" x14ac:dyDescent="0.25">
      <c r="A8578" t="s">
        <v>2226</v>
      </c>
      <c r="B8578" t="s">
        <v>1195</v>
      </c>
    </row>
    <row r="8579" spans="1:2" x14ac:dyDescent="0.25">
      <c r="A8579" t="s">
        <v>2226</v>
      </c>
      <c r="B8579" t="s">
        <v>1196</v>
      </c>
    </row>
    <row r="8580" spans="1:2" x14ac:dyDescent="0.25">
      <c r="A8580" t="s">
        <v>2226</v>
      </c>
      <c r="B8580" t="s">
        <v>1197</v>
      </c>
    </row>
    <row r="8581" spans="1:2" x14ac:dyDescent="0.25">
      <c r="A8581" t="s">
        <v>2226</v>
      </c>
      <c r="B8581" t="s">
        <v>1198</v>
      </c>
    </row>
    <row r="8582" spans="1:2" x14ac:dyDescent="0.25">
      <c r="A8582" t="s">
        <v>1803</v>
      </c>
      <c r="B8582" t="s">
        <v>1108</v>
      </c>
    </row>
    <row r="8583" spans="1:2" x14ac:dyDescent="0.25">
      <c r="A8583" t="s">
        <v>2058</v>
      </c>
      <c r="B8583" t="s">
        <v>1138</v>
      </c>
    </row>
    <row r="8584" spans="1:2" x14ac:dyDescent="0.25">
      <c r="A8584" t="s">
        <v>2058</v>
      </c>
      <c r="B8584" t="s">
        <v>1154</v>
      </c>
    </row>
    <row r="8585" spans="1:2" x14ac:dyDescent="0.25">
      <c r="A8585" t="s">
        <v>2058</v>
      </c>
      <c r="B8585" t="s">
        <v>1166</v>
      </c>
    </row>
    <row r="8586" spans="1:2" x14ac:dyDescent="0.25">
      <c r="A8586" t="s">
        <v>2058</v>
      </c>
      <c r="B8586" t="s">
        <v>1167</v>
      </c>
    </row>
    <row r="8587" spans="1:2" x14ac:dyDescent="0.25">
      <c r="A8587" t="s">
        <v>2058</v>
      </c>
      <c r="B8587" t="s">
        <v>1168</v>
      </c>
    </row>
    <row r="8588" spans="1:2" x14ac:dyDescent="0.25">
      <c r="A8588" t="s">
        <v>2058</v>
      </c>
      <c r="B8588" t="s">
        <v>1169</v>
      </c>
    </row>
    <row r="8589" spans="1:2" x14ac:dyDescent="0.25">
      <c r="A8589" t="s">
        <v>2058</v>
      </c>
      <c r="B8589" t="s">
        <v>1170</v>
      </c>
    </row>
    <row r="8590" spans="1:2" x14ac:dyDescent="0.25">
      <c r="A8590" t="s">
        <v>2058</v>
      </c>
      <c r="B8590" t="s">
        <v>1180</v>
      </c>
    </row>
    <row r="8591" spans="1:2" x14ac:dyDescent="0.25">
      <c r="A8591" t="s">
        <v>2058</v>
      </c>
      <c r="B8591" t="s">
        <v>1181</v>
      </c>
    </row>
    <row r="8592" spans="1:2" x14ac:dyDescent="0.25">
      <c r="A8592" t="s">
        <v>2058</v>
      </c>
      <c r="B8592" t="s">
        <v>1182</v>
      </c>
    </row>
    <row r="8593" spans="1:2" x14ac:dyDescent="0.25">
      <c r="A8593" t="s">
        <v>2058</v>
      </c>
      <c r="B8593" t="s">
        <v>1183</v>
      </c>
    </row>
    <row r="8594" spans="1:2" x14ac:dyDescent="0.25">
      <c r="A8594" t="s">
        <v>2058</v>
      </c>
      <c r="B8594" t="s">
        <v>1184</v>
      </c>
    </row>
    <row r="8595" spans="1:2" x14ac:dyDescent="0.25">
      <c r="A8595" t="s">
        <v>2058</v>
      </c>
      <c r="B8595" t="s">
        <v>1185</v>
      </c>
    </row>
    <row r="8596" spans="1:2" x14ac:dyDescent="0.25">
      <c r="A8596" t="s">
        <v>2058</v>
      </c>
      <c r="B8596" t="s">
        <v>1186</v>
      </c>
    </row>
    <row r="8597" spans="1:2" x14ac:dyDescent="0.25">
      <c r="A8597" t="s">
        <v>2058</v>
      </c>
      <c r="B8597" t="s">
        <v>1187</v>
      </c>
    </row>
    <row r="8598" spans="1:2" x14ac:dyDescent="0.25">
      <c r="A8598" t="s">
        <v>2058</v>
      </c>
      <c r="B8598" t="s">
        <v>1188</v>
      </c>
    </row>
    <row r="8599" spans="1:2" x14ac:dyDescent="0.25">
      <c r="A8599" t="s">
        <v>2058</v>
      </c>
      <c r="B8599" t="s">
        <v>1189</v>
      </c>
    </row>
    <row r="8600" spans="1:2" x14ac:dyDescent="0.25">
      <c r="A8600" t="s">
        <v>2058</v>
      </c>
      <c r="B8600" t="s">
        <v>1191</v>
      </c>
    </row>
    <row r="8601" spans="1:2" x14ac:dyDescent="0.25">
      <c r="A8601" t="s">
        <v>2058</v>
      </c>
      <c r="B8601" t="s">
        <v>1191</v>
      </c>
    </row>
    <row r="8602" spans="1:2" x14ac:dyDescent="0.25">
      <c r="A8602" t="s">
        <v>2058</v>
      </c>
      <c r="B8602" t="s">
        <v>1192</v>
      </c>
    </row>
    <row r="8603" spans="1:2" x14ac:dyDescent="0.25">
      <c r="A8603" t="s">
        <v>2058</v>
      </c>
      <c r="B8603" t="s">
        <v>1193</v>
      </c>
    </row>
    <row r="8604" spans="1:2" x14ac:dyDescent="0.25">
      <c r="A8604" t="s">
        <v>2058</v>
      </c>
      <c r="B8604" t="s">
        <v>1194</v>
      </c>
    </row>
    <row r="8605" spans="1:2" x14ac:dyDescent="0.25">
      <c r="A8605" t="s">
        <v>2058</v>
      </c>
      <c r="B8605" t="s">
        <v>1195</v>
      </c>
    </row>
    <row r="8606" spans="1:2" x14ac:dyDescent="0.25">
      <c r="A8606" t="s">
        <v>2058</v>
      </c>
      <c r="B8606" t="s">
        <v>1196</v>
      </c>
    </row>
    <row r="8607" spans="1:2" x14ac:dyDescent="0.25">
      <c r="A8607" t="s">
        <v>2058</v>
      </c>
      <c r="B8607" t="s">
        <v>1197</v>
      </c>
    </row>
    <row r="8608" spans="1:2" x14ac:dyDescent="0.25">
      <c r="A8608" t="s">
        <v>2058</v>
      </c>
      <c r="B8608" t="s">
        <v>1198</v>
      </c>
    </row>
    <row r="8609" spans="1:2" x14ac:dyDescent="0.25">
      <c r="A8609" t="s">
        <v>2223</v>
      </c>
      <c r="B8609" t="s">
        <v>1166</v>
      </c>
    </row>
    <row r="8610" spans="1:2" x14ac:dyDescent="0.25">
      <c r="A8610" t="s">
        <v>2223</v>
      </c>
      <c r="B8610" t="s">
        <v>1167</v>
      </c>
    </row>
    <row r="8611" spans="1:2" x14ac:dyDescent="0.25">
      <c r="A8611" t="s">
        <v>2223</v>
      </c>
      <c r="B8611" t="s">
        <v>1168</v>
      </c>
    </row>
    <row r="8612" spans="1:2" x14ac:dyDescent="0.25">
      <c r="A8612" t="s">
        <v>2223</v>
      </c>
      <c r="B8612" t="s">
        <v>1169</v>
      </c>
    </row>
    <row r="8613" spans="1:2" x14ac:dyDescent="0.25">
      <c r="A8613" t="s">
        <v>2223</v>
      </c>
      <c r="B8613" t="s">
        <v>1170</v>
      </c>
    </row>
    <row r="8614" spans="1:2" x14ac:dyDescent="0.25">
      <c r="A8614" t="s">
        <v>2223</v>
      </c>
      <c r="B8614" t="s">
        <v>1186</v>
      </c>
    </row>
    <row r="8615" spans="1:2" x14ac:dyDescent="0.25">
      <c r="A8615" t="s">
        <v>2223</v>
      </c>
      <c r="B8615" t="s">
        <v>1187</v>
      </c>
    </row>
    <row r="8616" spans="1:2" x14ac:dyDescent="0.25">
      <c r="A8616" t="s">
        <v>2223</v>
      </c>
      <c r="B8616" t="s">
        <v>1188</v>
      </c>
    </row>
    <row r="8617" spans="1:2" x14ac:dyDescent="0.25">
      <c r="A8617" t="s">
        <v>2223</v>
      </c>
      <c r="B8617" t="s">
        <v>1189</v>
      </c>
    </row>
    <row r="8618" spans="1:2" x14ac:dyDescent="0.25">
      <c r="A8618" t="s">
        <v>2223</v>
      </c>
      <c r="B8618" t="s">
        <v>1191</v>
      </c>
    </row>
    <row r="8619" spans="1:2" x14ac:dyDescent="0.25">
      <c r="A8619" t="s">
        <v>2223</v>
      </c>
      <c r="B8619" t="s">
        <v>1194</v>
      </c>
    </row>
    <row r="8620" spans="1:2" x14ac:dyDescent="0.25">
      <c r="A8620" t="s">
        <v>2223</v>
      </c>
      <c r="B8620" t="s">
        <v>1195</v>
      </c>
    </row>
    <row r="8621" spans="1:2" x14ac:dyDescent="0.25">
      <c r="A8621" t="s">
        <v>2223</v>
      </c>
      <c r="B8621" t="s">
        <v>1196</v>
      </c>
    </row>
    <row r="8622" spans="1:2" x14ac:dyDescent="0.25">
      <c r="A8622" t="s">
        <v>2223</v>
      </c>
      <c r="B8622" t="s">
        <v>1197</v>
      </c>
    </row>
    <row r="8623" spans="1:2" x14ac:dyDescent="0.25">
      <c r="A8623" t="s">
        <v>2223</v>
      </c>
      <c r="B8623" t="s">
        <v>1198</v>
      </c>
    </row>
    <row r="8624" spans="1:2" x14ac:dyDescent="0.25">
      <c r="A8624" t="s">
        <v>1806</v>
      </c>
      <c r="B8624" t="s">
        <v>1108</v>
      </c>
    </row>
    <row r="8625" spans="1:2" x14ac:dyDescent="0.25">
      <c r="A8625" t="s">
        <v>2059</v>
      </c>
      <c r="B8625" t="s">
        <v>1138</v>
      </c>
    </row>
    <row r="8626" spans="1:2" x14ac:dyDescent="0.25">
      <c r="A8626" t="s">
        <v>2059</v>
      </c>
      <c r="B8626" t="s">
        <v>1154</v>
      </c>
    </row>
    <row r="8627" spans="1:2" x14ac:dyDescent="0.25">
      <c r="A8627" t="s">
        <v>2059</v>
      </c>
      <c r="B8627" t="s">
        <v>1166</v>
      </c>
    </row>
    <row r="8628" spans="1:2" x14ac:dyDescent="0.25">
      <c r="A8628" t="s">
        <v>2059</v>
      </c>
      <c r="B8628" t="s">
        <v>1167</v>
      </c>
    </row>
    <row r="8629" spans="1:2" x14ac:dyDescent="0.25">
      <c r="A8629" t="s">
        <v>2059</v>
      </c>
      <c r="B8629" t="s">
        <v>1168</v>
      </c>
    </row>
    <row r="8630" spans="1:2" x14ac:dyDescent="0.25">
      <c r="A8630" t="s">
        <v>2059</v>
      </c>
      <c r="B8630" t="s">
        <v>1169</v>
      </c>
    </row>
    <row r="8631" spans="1:2" x14ac:dyDescent="0.25">
      <c r="A8631" t="s">
        <v>2059</v>
      </c>
      <c r="B8631" t="s">
        <v>1170</v>
      </c>
    </row>
    <row r="8632" spans="1:2" x14ac:dyDescent="0.25">
      <c r="A8632" t="s">
        <v>2059</v>
      </c>
      <c r="B8632" t="s">
        <v>1180</v>
      </c>
    </row>
    <row r="8633" spans="1:2" x14ac:dyDescent="0.25">
      <c r="A8633" t="s">
        <v>2059</v>
      </c>
      <c r="B8633" t="s">
        <v>1181</v>
      </c>
    </row>
    <row r="8634" spans="1:2" x14ac:dyDescent="0.25">
      <c r="A8634" t="s">
        <v>2059</v>
      </c>
      <c r="B8634" t="s">
        <v>1182</v>
      </c>
    </row>
    <row r="8635" spans="1:2" x14ac:dyDescent="0.25">
      <c r="A8635" t="s">
        <v>2059</v>
      </c>
      <c r="B8635" t="s">
        <v>1183</v>
      </c>
    </row>
    <row r="8636" spans="1:2" x14ac:dyDescent="0.25">
      <c r="A8636" t="s">
        <v>2059</v>
      </c>
      <c r="B8636" t="s">
        <v>1184</v>
      </c>
    </row>
    <row r="8637" spans="1:2" x14ac:dyDescent="0.25">
      <c r="A8637" t="s">
        <v>2059</v>
      </c>
      <c r="B8637" t="s">
        <v>1185</v>
      </c>
    </row>
    <row r="8638" spans="1:2" x14ac:dyDescent="0.25">
      <c r="A8638" t="s">
        <v>2059</v>
      </c>
      <c r="B8638" t="s">
        <v>1186</v>
      </c>
    </row>
    <row r="8639" spans="1:2" x14ac:dyDescent="0.25">
      <c r="A8639" t="s">
        <v>2059</v>
      </c>
      <c r="B8639" t="s">
        <v>1187</v>
      </c>
    </row>
    <row r="8640" spans="1:2" x14ac:dyDescent="0.25">
      <c r="A8640" t="s">
        <v>2059</v>
      </c>
      <c r="B8640" t="s">
        <v>1188</v>
      </c>
    </row>
    <row r="8641" spans="1:2" x14ac:dyDescent="0.25">
      <c r="A8641" t="s">
        <v>2059</v>
      </c>
      <c r="B8641" t="s">
        <v>1189</v>
      </c>
    </row>
    <row r="8642" spans="1:2" x14ac:dyDescent="0.25">
      <c r="A8642" t="s">
        <v>2059</v>
      </c>
      <c r="B8642" t="s">
        <v>1191</v>
      </c>
    </row>
    <row r="8643" spans="1:2" x14ac:dyDescent="0.25">
      <c r="A8643" t="s">
        <v>2059</v>
      </c>
      <c r="B8643" t="s">
        <v>1194</v>
      </c>
    </row>
    <row r="8644" spans="1:2" x14ac:dyDescent="0.25">
      <c r="A8644" t="s">
        <v>2059</v>
      </c>
      <c r="B8644" t="s">
        <v>1195</v>
      </c>
    </row>
    <row r="8645" spans="1:2" x14ac:dyDescent="0.25">
      <c r="A8645" t="s">
        <v>2059</v>
      </c>
      <c r="B8645" t="s">
        <v>1196</v>
      </c>
    </row>
    <row r="8646" spans="1:2" x14ac:dyDescent="0.25">
      <c r="A8646" t="s">
        <v>2059</v>
      </c>
      <c r="B8646" t="s">
        <v>1197</v>
      </c>
    </row>
    <row r="8647" spans="1:2" x14ac:dyDescent="0.25">
      <c r="A8647" t="s">
        <v>2059</v>
      </c>
      <c r="B8647" t="s">
        <v>1198</v>
      </c>
    </row>
    <row r="8648" spans="1:2" x14ac:dyDescent="0.25">
      <c r="A8648" t="s">
        <v>1809</v>
      </c>
      <c r="B8648" t="s">
        <v>1108</v>
      </c>
    </row>
    <row r="8649" spans="1:2" x14ac:dyDescent="0.25">
      <c r="A8649" t="s">
        <v>1809</v>
      </c>
      <c r="B8649" t="s">
        <v>1138</v>
      </c>
    </row>
    <row r="8650" spans="1:2" x14ac:dyDescent="0.25">
      <c r="A8650" t="s">
        <v>1809</v>
      </c>
      <c r="B8650" t="s">
        <v>1140</v>
      </c>
    </row>
    <row r="8651" spans="1:2" x14ac:dyDescent="0.25">
      <c r="A8651" t="s">
        <v>1809</v>
      </c>
      <c r="B8651" t="s">
        <v>1141</v>
      </c>
    </row>
    <row r="8652" spans="1:2" x14ac:dyDescent="0.25">
      <c r="A8652" t="s">
        <v>1809</v>
      </c>
      <c r="B8652" t="s">
        <v>1142</v>
      </c>
    </row>
    <row r="8653" spans="1:2" x14ac:dyDescent="0.25">
      <c r="A8653" t="s">
        <v>1809</v>
      </c>
      <c r="B8653" t="s">
        <v>1150</v>
      </c>
    </row>
    <row r="8654" spans="1:2" x14ac:dyDescent="0.25">
      <c r="A8654" t="s">
        <v>1809</v>
      </c>
      <c r="B8654" t="s">
        <v>1151</v>
      </c>
    </row>
    <row r="8655" spans="1:2" x14ac:dyDescent="0.25">
      <c r="A8655" t="s">
        <v>1809</v>
      </c>
      <c r="B8655" t="s">
        <v>1154</v>
      </c>
    </row>
    <row r="8656" spans="1:2" x14ac:dyDescent="0.25">
      <c r="A8656" t="s">
        <v>1809</v>
      </c>
      <c r="B8656" t="s">
        <v>1179</v>
      </c>
    </row>
    <row r="8657" spans="1:2" x14ac:dyDescent="0.25">
      <c r="A8657" t="s">
        <v>1809</v>
      </c>
      <c r="B8657" t="s">
        <v>1180</v>
      </c>
    </row>
    <row r="8658" spans="1:2" x14ac:dyDescent="0.25">
      <c r="A8658" t="s">
        <v>1809</v>
      </c>
      <c r="B8658" t="s">
        <v>1181</v>
      </c>
    </row>
    <row r="8659" spans="1:2" x14ac:dyDescent="0.25">
      <c r="A8659" t="s">
        <v>1809</v>
      </c>
      <c r="B8659" t="s">
        <v>1182</v>
      </c>
    </row>
    <row r="8660" spans="1:2" x14ac:dyDescent="0.25">
      <c r="A8660" t="s">
        <v>1809</v>
      </c>
      <c r="B8660" t="s">
        <v>1183</v>
      </c>
    </row>
    <row r="8661" spans="1:2" x14ac:dyDescent="0.25">
      <c r="A8661" t="s">
        <v>1809</v>
      </c>
      <c r="B8661" t="s">
        <v>1183</v>
      </c>
    </row>
    <row r="8662" spans="1:2" x14ac:dyDescent="0.25">
      <c r="A8662" t="s">
        <v>1809</v>
      </c>
      <c r="B8662" t="s">
        <v>1184</v>
      </c>
    </row>
    <row r="8663" spans="1:2" x14ac:dyDescent="0.25">
      <c r="A8663" t="s">
        <v>1809</v>
      </c>
      <c r="B8663" t="s">
        <v>1184</v>
      </c>
    </row>
    <row r="8664" spans="1:2" x14ac:dyDescent="0.25">
      <c r="A8664" t="s">
        <v>1809</v>
      </c>
      <c r="B8664" t="s">
        <v>1185</v>
      </c>
    </row>
    <row r="8665" spans="1:2" x14ac:dyDescent="0.25">
      <c r="A8665" t="s">
        <v>1809</v>
      </c>
      <c r="B8665" t="s">
        <v>1205</v>
      </c>
    </row>
    <row r="8666" spans="1:2" x14ac:dyDescent="0.25">
      <c r="A8666" t="s">
        <v>1809</v>
      </c>
      <c r="B8666" t="s">
        <v>1206</v>
      </c>
    </row>
    <row r="8667" spans="1:2" x14ac:dyDescent="0.25">
      <c r="A8667" t="s">
        <v>1809</v>
      </c>
      <c r="B8667" t="s">
        <v>1207</v>
      </c>
    </row>
    <row r="8668" spans="1:2" x14ac:dyDescent="0.25">
      <c r="A8668" t="s">
        <v>1809</v>
      </c>
      <c r="B8668" t="s">
        <v>1208</v>
      </c>
    </row>
    <row r="8669" spans="1:2" x14ac:dyDescent="0.25">
      <c r="A8669" t="s">
        <v>1809</v>
      </c>
      <c r="B8669" t="s">
        <v>1224</v>
      </c>
    </row>
    <row r="8670" spans="1:2" x14ac:dyDescent="0.25">
      <c r="A8670" t="s">
        <v>1809</v>
      </c>
      <c r="B8670" t="s">
        <v>1225</v>
      </c>
    </row>
    <row r="8671" spans="1:2" x14ac:dyDescent="0.25">
      <c r="A8671" t="s">
        <v>1809</v>
      </c>
      <c r="B8671" t="s">
        <v>1232</v>
      </c>
    </row>
    <row r="8672" spans="1:2" x14ac:dyDescent="0.25">
      <c r="A8672" t="s">
        <v>1809</v>
      </c>
      <c r="B8672" t="s">
        <v>1233</v>
      </c>
    </row>
    <row r="8673" spans="1:2" x14ac:dyDescent="0.25">
      <c r="A8673" t="s">
        <v>1809</v>
      </c>
      <c r="B8673" t="s">
        <v>1234</v>
      </c>
    </row>
    <row r="8674" spans="1:2" x14ac:dyDescent="0.25">
      <c r="A8674" t="s">
        <v>2221</v>
      </c>
      <c r="B8674" t="s">
        <v>1166</v>
      </c>
    </row>
    <row r="8675" spans="1:2" x14ac:dyDescent="0.25">
      <c r="A8675" t="s">
        <v>2221</v>
      </c>
      <c r="B8675" t="s">
        <v>1167</v>
      </c>
    </row>
    <row r="8676" spans="1:2" x14ac:dyDescent="0.25">
      <c r="A8676" t="s">
        <v>2221</v>
      </c>
      <c r="B8676" t="s">
        <v>1168</v>
      </c>
    </row>
    <row r="8677" spans="1:2" x14ac:dyDescent="0.25">
      <c r="A8677" t="s">
        <v>2221</v>
      </c>
      <c r="B8677" t="s">
        <v>1169</v>
      </c>
    </row>
    <row r="8678" spans="1:2" x14ac:dyDescent="0.25">
      <c r="A8678" t="s">
        <v>2221</v>
      </c>
      <c r="B8678" t="s">
        <v>1170</v>
      </c>
    </row>
    <row r="8679" spans="1:2" x14ac:dyDescent="0.25">
      <c r="A8679" t="s">
        <v>2221</v>
      </c>
      <c r="B8679" t="s">
        <v>1186</v>
      </c>
    </row>
    <row r="8680" spans="1:2" x14ac:dyDescent="0.25">
      <c r="A8680" t="s">
        <v>2221</v>
      </c>
      <c r="B8680" t="s">
        <v>1187</v>
      </c>
    </row>
    <row r="8681" spans="1:2" x14ac:dyDescent="0.25">
      <c r="A8681" t="s">
        <v>2221</v>
      </c>
      <c r="B8681" t="s">
        <v>1188</v>
      </c>
    </row>
    <row r="8682" spans="1:2" x14ac:dyDescent="0.25">
      <c r="A8682" t="s">
        <v>2221</v>
      </c>
      <c r="B8682" t="s">
        <v>1189</v>
      </c>
    </row>
    <row r="8683" spans="1:2" x14ac:dyDescent="0.25">
      <c r="A8683" t="s">
        <v>2221</v>
      </c>
      <c r="B8683" t="s">
        <v>1191</v>
      </c>
    </row>
    <row r="8684" spans="1:2" x14ac:dyDescent="0.25">
      <c r="A8684" t="s">
        <v>2221</v>
      </c>
      <c r="B8684" t="s">
        <v>1194</v>
      </c>
    </row>
    <row r="8685" spans="1:2" x14ac:dyDescent="0.25">
      <c r="A8685" t="s">
        <v>2221</v>
      </c>
      <c r="B8685" t="s">
        <v>1195</v>
      </c>
    </row>
    <row r="8686" spans="1:2" x14ac:dyDescent="0.25">
      <c r="A8686" t="s">
        <v>2221</v>
      </c>
      <c r="B8686" t="s">
        <v>1196</v>
      </c>
    </row>
    <row r="8687" spans="1:2" x14ac:dyDescent="0.25">
      <c r="A8687" t="s">
        <v>2221</v>
      </c>
      <c r="B8687" t="s">
        <v>1197</v>
      </c>
    </row>
    <row r="8688" spans="1:2" x14ac:dyDescent="0.25">
      <c r="A8688" t="s">
        <v>2221</v>
      </c>
      <c r="B8688" t="s">
        <v>1198</v>
      </c>
    </row>
    <row r="8689" spans="1:2" x14ac:dyDescent="0.25">
      <c r="A8689" t="s">
        <v>1808</v>
      </c>
      <c r="B8689" t="s">
        <v>1108</v>
      </c>
    </row>
    <row r="8690" spans="1:2" x14ac:dyDescent="0.25">
      <c r="A8690" t="s">
        <v>1808</v>
      </c>
      <c r="B8690" t="s">
        <v>1138</v>
      </c>
    </row>
    <row r="8691" spans="1:2" x14ac:dyDescent="0.25">
      <c r="A8691" t="s">
        <v>1808</v>
      </c>
      <c r="B8691" t="s">
        <v>1140</v>
      </c>
    </row>
    <row r="8692" spans="1:2" x14ac:dyDescent="0.25">
      <c r="A8692" t="s">
        <v>1808</v>
      </c>
      <c r="B8692" t="s">
        <v>1141</v>
      </c>
    </row>
    <row r="8693" spans="1:2" x14ac:dyDescent="0.25">
      <c r="A8693" t="s">
        <v>1808</v>
      </c>
      <c r="B8693" t="s">
        <v>1142</v>
      </c>
    </row>
    <row r="8694" spans="1:2" x14ac:dyDescent="0.25">
      <c r="A8694" t="s">
        <v>1808</v>
      </c>
      <c r="B8694" t="s">
        <v>1150</v>
      </c>
    </row>
    <row r="8695" spans="1:2" x14ac:dyDescent="0.25">
      <c r="A8695" t="s">
        <v>1808</v>
      </c>
      <c r="B8695" t="s">
        <v>1151</v>
      </c>
    </row>
    <row r="8696" spans="1:2" x14ac:dyDescent="0.25">
      <c r="A8696" t="s">
        <v>1808</v>
      </c>
      <c r="B8696" t="s">
        <v>1154</v>
      </c>
    </row>
    <row r="8697" spans="1:2" x14ac:dyDescent="0.25">
      <c r="A8697" t="s">
        <v>1808</v>
      </c>
      <c r="B8697" t="s">
        <v>1179</v>
      </c>
    </row>
    <row r="8698" spans="1:2" x14ac:dyDescent="0.25">
      <c r="A8698" t="s">
        <v>1808</v>
      </c>
      <c r="B8698" t="s">
        <v>1180</v>
      </c>
    </row>
    <row r="8699" spans="1:2" x14ac:dyDescent="0.25">
      <c r="A8699" t="s">
        <v>1808</v>
      </c>
      <c r="B8699" t="s">
        <v>1181</v>
      </c>
    </row>
    <row r="8700" spans="1:2" x14ac:dyDescent="0.25">
      <c r="A8700" t="s">
        <v>1808</v>
      </c>
      <c r="B8700" t="s">
        <v>1182</v>
      </c>
    </row>
    <row r="8701" spans="1:2" x14ac:dyDescent="0.25">
      <c r="A8701" t="s">
        <v>1808</v>
      </c>
      <c r="B8701" t="s">
        <v>1183</v>
      </c>
    </row>
    <row r="8702" spans="1:2" x14ac:dyDescent="0.25">
      <c r="A8702" t="s">
        <v>1808</v>
      </c>
      <c r="B8702" t="s">
        <v>1183</v>
      </c>
    </row>
    <row r="8703" spans="1:2" x14ac:dyDescent="0.25">
      <c r="A8703" t="s">
        <v>1808</v>
      </c>
      <c r="B8703" t="s">
        <v>1184</v>
      </c>
    </row>
    <row r="8704" spans="1:2" x14ac:dyDescent="0.25">
      <c r="A8704" t="s">
        <v>1808</v>
      </c>
      <c r="B8704" t="s">
        <v>1184</v>
      </c>
    </row>
    <row r="8705" spans="1:2" x14ac:dyDescent="0.25">
      <c r="A8705" t="s">
        <v>1808</v>
      </c>
      <c r="B8705" t="s">
        <v>1185</v>
      </c>
    </row>
    <row r="8706" spans="1:2" x14ac:dyDescent="0.25">
      <c r="A8706" t="s">
        <v>1808</v>
      </c>
      <c r="B8706" t="s">
        <v>1205</v>
      </c>
    </row>
    <row r="8707" spans="1:2" x14ac:dyDescent="0.25">
      <c r="A8707" t="s">
        <v>1808</v>
      </c>
      <c r="B8707" t="s">
        <v>1206</v>
      </c>
    </row>
    <row r="8708" spans="1:2" x14ac:dyDescent="0.25">
      <c r="A8708" t="s">
        <v>1808</v>
      </c>
      <c r="B8708" t="s">
        <v>1207</v>
      </c>
    </row>
    <row r="8709" spans="1:2" x14ac:dyDescent="0.25">
      <c r="A8709" t="s">
        <v>1808</v>
      </c>
      <c r="B8709" t="s">
        <v>1208</v>
      </c>
    </row>
    <row r="8710" spans="1:2" x14ac:dyDescent="0.25">
      <c r="A8710" t="s">
        <v>1808</v>
      </c>
      <c r="B8710" t="s">
        <v>1224</v>
      </c>
    </row>
    <row r="8711" spans="1:2" x14ac:dyDescent="0.25">
      <c r="A8711" t="s">
        <v>1808</v>
      </c>
      <c r="B8711" t="s">
        <v>1225</v>
      </c>
    </row>
    <row r="8712" spans="1:2" x14ac:dyDescent="0.25">
      <c r="A8712" t="s">
        <v>1808</v>
      </c>
      <c r="B8712" t="s">
        <v>1232</v>
      </c>
    </row>
    <row r="8713" spans="1:2" x14ac:dyDescent="0.25">
      <c r="A8713" t="s">
        <v>1808</v>
      </c>
      <c r="B8713" t="s">
        <v>1233</v>
      </c>
    </row>
    <row r="8714" spans="1:2" x14ac:dyDescent="0.25">
      <c r="A8714" t="s">
        <v>1808</v>
      </c>
      <c r="B8714" t="s">
        <v>1234</v>
      </c>
    </row>
    <row r="8715" spans="1:2" x14ac:dyDescent="0.25">
      <c r="A8715" t="s">
        <v>1814</v>
      </c>
      <c r="B8715" t="s">
        <v>1108</v>
      </c>
    </row>
    <row r="8716" spans="1:2" x14ac:dyDescent="0.25">
      <c r="A8716" t="s">
        <v>1814</v>
      </c>
      <c r="B8716" t="s">
        <v>1138</v>
      </c>
    </row>
    <row r="8717" spans="1:2" x14ac:dyDescent="0.25">
      <c r="A8717" t="s">
        <v>1814</v>
      </c>
      <c r="B8717" t="s">
        <v>1154</v>
      </c>
    </row>
    <row r="8718" spans="1:2" x14ac:dyDescent="0.25">
      <c r="A8718" t="s">
        <v>1814</v>
      </c>
      <c r="B8718" t="s">
        <v>1180</v>
      </c>
    </row>
    <row r="8719" spans="1:2" x14ac:dyDescent="0.25">
      <c r="A8719" t="s">
        <v>1814</v>
      </c>
      <c r="B8719" t="s">
        <v>1181</v>
      </c>
    </row>
    <row r="8720" spans="1:2" x14ac:dyDescent="0.25">
      <c r="A8720" t="s">
        <v>1814</v>
      </c>
      <c r="B8720" t="s">
        <v>1182</v>
      </c>
    </row>
    <row r="8721" spans="1:2" x14ac:dyDescent="0.25">
      <c r="A8721" t="s">
        <v>1814</v>
      </c>
      <c r="B8721" t="s">
        <v>1183</v>
      </c>
    </row>
    <row r="8722" spans="1:2" x14ac:dyDescent="0.25">
      <c r="A8722" t="s">
        <v>1814</v>
      </c>
      <c r="B8722" t="s">
        <v>1184</v>
      </c>
    </row>
    <row r="8723" spans="1:2" x14ac:dyDescent="0.25">
      <c r="A8723" t="s">
        <v>1814</v>
      </c>
      <c r="B8723" t="s">
        <v>1185</v>
      </c>
    </row>
    <row r="8724" spans="1:2" x14ac:dyDescent="0.25">
      <c r="A8724" t="s">
        <v>1814</v>
      </c>
      <c r="B8724" t="s">
        <v>1191</v>
      </c>
    </row>
    <row r="8725" spans="1:2" x14ac:dyDescent="0.25">
      <c r="A8725" t="s">
        <v>1814</v>
      </c>
      <c r="B8725" t="s">
        <v>1192</v>
      </c>
    </row>
    <row r="8726" spans="1:2" x14ac:dyDescent="0.25">
      <c r="A8726" t="s">
        <v>1814</v>
      </c>
      <c r="B8726" t="s">
        <v>1193</v>
      </c>
    </row>
    <row r="8727" spans="1:2" x14ac:dyDescent="0.25">
      <c r="A8727" s="11" t="s">
        <v>1446</v>
      </c>
      <c r="B8727" t="s">
        <v>1090</v>
      </c>
    </row>
    <row r="8728" spans="1:2" x14ac:dyDescent="0.25">
      <c r="A8728" t="s">
        <v>1446</v>
      </c>
      <c r="B8728" t="s">
        <v>1097</v>
      </c>
    </row>
    <row r="8729" spans="1:2" x14ac:dyDescent="0.25">
      <c r="A8729" t="s">
        <v>1446</v>
      </c>
      <c r="B8729" t="s">
        <v>1098</v>
      </c>
    </row>
    <row r="8730" spans="1:2" x14ac:dyDescent="0.25">
      <c r="A8730" t="s">
        <v>1446</v>
      </c>
      <c r="B8730" t="s">
        <v>1111</v>
      </c>
    </row>
    <row r="8731" spans="1:2" x14ac:dyDescent="0.25">
      <c r="A8731" t="s">
        <v>1446</v>
      </c>
      <c r="B8731" t="s">
        <v>1171</v>
      </c>
    </row>
    <row r="8732" spans="1:2" x14ac:dyDescent="0.25">
      <c r="A8732" t="s">
        <v>1446</v>
      </c>
      <c r="B8732" t="s">
        <v>1182</v>
      </c>
    </row>
    <row r="8733" spans="1:2" x14ac:dyDescent="0.25">
      <c r="A8733" t="s">
        <v>1446</v>
      </c>
      <c r="B8733" t="s">
        <v>1191</v>
      </c>
    </row>
    <row r="8734" spans="1:2" x14ac:dyDescent="0.25">
      <c r="A8734" t="s">
        <v>1446</v>
      </c>
      <c r="B8734" t="s">
        <v>1235</v>
      </c>
    </row>
    <row r="8735" spans="1:2" x14ac:dyDescent="0.25">
      <c r="A8735" t="s">
        <v>1446</v>
      </c>
      <c r="B8735" t="s">
        <v>1236</v>
      </c>
    </row>
    <row r="8736" spans="1:2" x14ac:dyDescent="0.25">
      <c r="A8736" t="s">
        <v>1446</v>
      </c>
      <c r="B8736" t="s">
        <v>1237</v>
      </c>
    </row>
    <row r="8737" spans="1:2" x14ac:dyDescent="0.25">
      <c r="A8737" t="s">
        <v>1446</v>
      </c>
      <c r="B8737" t="s">
        <v>1238</v>
      </c>
    </row>
    <row r="8738" spans="1:2" x14ac:dyDescent="0.25">
      <c r="A8738" t="s">
        <v>1446</v>
      </c>
      <c r="B8738" t="s">
        <v>1239</v>
      </c>
    </row>
    <row r="8739" spans="1:2" x14ac:dyDescent="0.25">
      <c r="A8739" t="s">
        <v>1446</v>
      </c>
      <c r="B8739" t="s">
        <v>1240</v>
      </c>
    </row>
    <row r="8740" spans="1:2" x14ac:dyDescent="0.25">
      <c r="A8740" t="s">
        <v>1446</v>
      </c>
      <c r="B8740" t="s">
        <v>1241</v>
      </c>
    </row>
    <row r="8741" spans="1:2" x14ac:dyDescent="0.25">
      <c r="A8741" t="s">
        <v>1446</v>
      </c>
      <c r="B8741" t="s">
        <v>1242</v>
      </c>
    </row>
    <row r="8742" spans="1:2" x14ac:dyDescent="0.25">
      <c r="A8742" t="s">
        <v>1446</v>
      </c>
      <c r="B8742" t="s">
        <v>1243</v>
      </c>
    </row>
    <row r="8743" spans="1:2" x14ac:dyDescent="0.25">
      <c r="A8743" t="s">
        <v>1446</v>
      </c>
      <c r="B8743" t="s">
        <v>1244</v>
      </c>
    </row>
    <row r="8744" spans="1:2" x14ac:dyDescent="0.25">
      <c r="A8744" t="s">
        <v>1446</v>
      </c>
      <c r="B8744" t="s">
        <v>1245</v>
      </c>
    </row>
    <row r="8745" spans="1:2" x14ac:dyDescent="0.25">
      <c r="A8745" t="s">
        <v>1446</v>
      </c>
      <c r="B8745" t="s">
        <v>1246</v>
      </c>
    </row>
    <row r="8746" spans="1:2" x14ac:dyDescent="0.25">
      <c r="A8746" t="s">
        <v>1446</v>
      </c>
      <c r="B8746" t="s">
        <v>1247</v>
      </c>
    </row>
    <row r="8747" spans="1:2" x14ac:dyDescent="0.25">
      <c r="A8747" t="s">
        <v>1446</v>
      </c>
      <c r="B8747" t="s">
        <v>1248</v>
      </c>
    </row>
    <row r="8748" spans="1:2" x14ac:dyDescent="0.25">
      <c r="A8748" t="s">
        <v>1446</v>
      </c>
      <c r="B8748" t="s">
        <v>1249</v>
      </c>
    </row>
    <row r="8749" spans="1:2" x14ac:dyDescent="0.25">
      <c r="A8749" t="s">
        <v>1446</v>
      </c>
      <c r="B8749" t="s">
        <v>1250</v>
      </c>
    </row>
    <row r="8750" spans="1:2" x14ac:dyDescent="0.25">
      <c r="A8750" t="s">
        <v>1632</v>
      </c>
      <c r="B8750" t="s">
        <v>1098</v>
      </c>
    </row>
    <row r="8751" spans="1:2" x14ac:dyDescent="0.25">
      <c r="A8751" t="s">
        <v>1632</v>
      </c>
      <c r="B8751" t="s">
        <v>1142</v>
      </c>
    </row>
    <row r="8752" spans="1:2" x14ac:dyDescent="0.25">
      <c r="A8752" t="s">
        <v>1632</v>
      </c>
      <c r="B8752" t="s">
        <v>1148</v>
      </c>
    </row>
    <row r="8753" spans="1:2" x14ac:dyDescent="0.25">
      <c r="A8753" t="s">
        <v>1632</v>
      </c>
      <c r="B8753" t="s">
        <v>1178</v>
      </c>
    </row>
    <row r="8754" spans="1:2" x14ac:dyDescent="0.25">
      <c r="A8754" t="s">
        <v>1632</v>
      </c>
      <c r="B8754" t="s">
        <v>1183</v>
      </c>
    </row>
    <row r="8755" spans="1:2" x14ac:dyDescent="0.25">
      <c r="A8755" t="s">
        <v>1632</v>
      </c>
      <c r="B8755" t="s">
        <v>1184</v>
      </c>
    </row>
    <row r="8756" spans="1:2" x14ac:dyDescent="0.25">
      <c r="A8756" t="s">
        <v>1632</v>
      </c>
      <c r="B8756" t="s">
        <v>1185</v>
      </c>
    </row>
    <row r="8757" spans="1:2" x14ac:dyDescent="0.25">
      <c r="A8757" t="s">
        <v>1632</v>
      </c>
      <c r="B8757" t="s">
        <v>1197</v>
      </c>
    </row>
    <row r="8758" spans="1:2" x14ac:dyDescent="0.25">
      <c r="A8758" t="s">
        <v>1632</v>
      </c>
      <c r="B8758" t="s">
        <v>1201</v>
      </c>
    </row>
    <row r="8759" spans="1:2" x14ac:dyDescent="0.25">
      <c r="A8759" t="s">
        <v>1632</v>
      </c>
      <c r="B8759" t="s">
        <v>1202</v>
      </c>
    </row>
    <row r="8760" spans="1:2" x14ac:dyDescent="0.25">
      <c r="A8760" t="s">
        <v>1632</v>
      </c>
      <c r="B8760" t="s">
        <v>1206</v>
      </c>
    </row>
    <row r="8761" spans="1:2" x14ac:dyDescent="0.25">
      <c r="A8761" t="s">
        <v>1632</v>
      </c>
      <c r="B8761" t="s">
        <v>1207</v>
      </c>
    </row>
    <row r="8762" spans="1:2" x14ac:dyDescent="0.25">
      <c r="A8762" t="s">
        <v>1632</v>
      </c>
      <c r="B8762" t="s">
        <v>1215</v>
      </c>
    </row>
    <row r="8763" spans="1:2" x14ac:dyDescent="0.25">
      <c r="A8763" t="s">
        <v>1632</v>
      </c>
      <c r="B8763" t="s">
        <v>1223</v>
      </c>
    </row>
    <row r="8764" spans="1:2" x14ac:dyDescent="0.25">
      <c r="A8764" t="s">
        <v>1632</v>
      </c>
      <c r="B8764" t="s">
        <v>1224</v>
      </c>
    </row>
    <row r="8765" spans="1:2" x14ac:dyDescent="0.25">
      <c r="A8765" t="s">
        <v>1632</v>
      </c>
      <c r="B8765" t="s">
        <v>1225</v>
      </c>
    </row>
    <row r="8766" spans="1:2" x14ac:dyDescent="0.25">
      <c r="A8766" s="11" t="s">
        <v>1447</v>
      </c>
      <c r="B8766" t="s">
        <v>1090</v>
      </c>
    </row>
    <row r="8767" spans="1:2" x14ac:dyDescent="0.25">
      <c r="A8767" t="s">
        <v>1447</v>
      </c>
      <c r="B8767" t="s">
        <v>1097</v>
      </c>
    </row>
    <row r="8768" spans="1:2" x14ac:dyDescent="0.25">
      <c r="A8768" t="s">
        <v>1447</v>
      </c>
      <c r="B8768" t="s">
        <v>1098</v>
      </c>
    </row>
    <row r="8769" spans="1:2" x14ac:dyDescent="0.25">
      <c r="A8769" t="s">
        <v>1447</v>
      </c>
      <c r="B8769" t="s">
        <v>1111</v>
      </c>
    </row>
    <row r="8770" spans="1:2" x14ac:dyDescent="0.25">
      <c r="A8770" t="s">
        <v>1447</v>
      </c>
      <c r="B8770" t="s">
        <v>1171</v>
      </c>
    </row>
    <row r="8771" spans="1:2" x14ac:dyDescent="0.25">
      <c r="A8771" t="s">
        <v>1447</v>
      </c>
      <c r="B8771" t="s">
        <v>1182</v>
      </c>
    </row>
    <row r="8772" spans="1:2" x14ac:dyDescent="0.25">
      <c r="A8772" t="s">
        <v>1447</v>
      </c>
      <c r="B8772" t="s">
        <v>1191</v>
      </c>
    </row>
    <row r="8773" spans="1:2" x14ac:dyDescent="0.25">
      <c r="A8773" t="s">
        <v>1447</v>
      </c>
      <c r="B8773" t="s">
        <v>1235</v>
      </c>
    </row>
    <row r="8774" spans="1:2" x14ac:dyDescent="0.25">
      <c r="A8774" t="s">
        <v>1447</v>
      </c>
      <c r="B8774" t="s">
        <v>1236</v>
      </c>
    </row>
    <row r="8775" spans="1:2" x14ac:dyDescent="0.25">
      <c r="A8775" t="s">
        <v>1447</v>
      </c>
      <c r="B8775" t="s">
        <v>1237</v>
      </c>
    </row>
    <row r="8776" spans="1:2" x14ac:dyDescent="0.25">
      <c r="A8776" t="s">
        <v>1447</v>
      </c>
      <c r="B8776" t="s">
        <v>1238</v>
      </c>
    </row>
    <row r="8777" spans="1:2" x14ac:dyDescent="0.25">
      <c r="A8777" t="s">
        <v>1447</v>
      </c>
      <c r="B8777" t="s">
        <v>1239</v>
      </c>
    </row>
    <row r="8778" spans="1:2" x14ac:dyDescent="0.25">
      <c r="A8778" t="s">
        <v>1447</v>
      </c>
      <c r="B8778" t="s">
        <v>1240</v>
      </c>
    </row>
    <row r="8779" spans="1:2" x14ac:dyDescent="0.25">
      <c r="A8779" t="s">
        <v>1447</v>
      </c>
      <c r="B8779" t="s">
        <v>1241</v>
      </c>
    </row>
    <row r="8780" spans="1:2" x14ac:dyDescent="0.25">
      <c r="A8780" t="s">
        <v>1447</v>
      </c>
      <c r="B8780" t="s">
        <v>1242</v>
      </c>
    </row>
    <row r="8781" spans="1:2" x14ac:dyDescent="0.25">
      <c r="A8781" t="s">
        <v>1447</v>
      </c>
      <c r="B8781" t="s">
        <v>1243</v>
      </c>
    </row>
    <row r="8782" spans="1:2" x14ac:dyDescent="0.25">
      <c r="A8782" t="s">
        <v>1447</v>
      </c>
      <c r="B8782" t="s">
        <v>1244</v>
      </c>
    </row>
    <row r="8783" spans="1:2" x14ac:dyDescent="0.25">
      <c r="A8783" t="s">
        <v>1447</v>
      </c>
      <c r="B8783" t="s">
        <v>1245</v>
      </c>
    </row>
    <row r="8784" spans="1:2" x14ac:dyDescent="0.25">
      <c r="A8784" t="s">
        <v>1447</v>
      </c>
      <c r="B8784" t="s">
        <v>1246</v>
      </c>
    </row>
    <row r="8785" spans="1:2" x14ac:dyDescent="0.25">
      <c r="A8785" t="s">
        <v>1447</v>
      </c>
      <c r="B8785" t="s">
        <v>1247</v>
      </c>
    </row>
    <row r="8786" spans="1:2" x14ac:dyDescent="0.25">
      <c r="A8786" t="s">
        <v>1447</v>
      </c>
      <c r="B8786" t="s">
        <v>1248</v>
      </c>
    </row>
    <row r="8787" spans="1:2" x14ac:dyDescent="0.25">
      <c r="A8787" t="s">
        <v>1447</v>
      </c>
      <c r="B8787" t="s">
        <v>1249</v>
      </c>
    </row>
    <row r="8788" spans="1:2" x14ac:dyDescent="0.25">
      <c r="A8788" t="s">
        <v>1447</v>
      </c>
      <c r="B8788" t="s">
        <v>1250</v>
      </c>
    </row>
    <row r="8789" spans="1:2" x14ac:dyDescent="0.25">
      <c r="A8789" t="s">
        <v>1631</v>
      </c>
      <c r="B8789" t="s">
        <v>1098</v>
      </c>
    </row>
    <row r="8790" spans="1:2" x14ac:dyDescent="0.25">
      <c r="A8790" t="s">
        <v>1631</v>
      </c>
      <c r="B8790" t="s">
        <v>1142</v>
      </c>
    </row>
    <row r="8791" spans="1:2" x14ac:dyDescent="0.25">
      <c r="A8791" t="s">
        <v>1631</v>
      </c>
      <c r="B8791" t="s">
        <v>1148</v>
      </c>
    </row>
    <row r="8792" spans="1:2" x14ac:dyDescent="0.25">
      <c r="A8792" t="s">
        <v>1631</v>
      </c>
      <c r="B8792" t="s">
        <v>1178</v>
      </c>
    </row>
    <row r="8793" spans="1:2" x14ac:dyDescent="0.25">
      <c r="A8793" t="s">
        <v>1631</v>
      </c>
      <c r="B8793" t="s">
        <v>1183</v>
      </c>
    </row>
    <row r="8794" spans="1:2" x14ac:dyDescent="0.25">
      <c r="A8794" t="s">
        <v>1631</v>
      </c>
      <c r="B8794" t="s">
        <v>1184</v>
      </c>
    </row>
    <row r="8795" spans="1:2" x14ac:dyDescent="0.25">
      <c r="A8795" t="s">
        <v>1631</v>
      </c>
      <c r="B8795" t="s">
        <v>1185</v>
      </c>
    </row>
    <row r="8796" spans="1:2" x14ac:dyDescent="0.25">
      <c r="A8796" t="s">
        <v>1631</v>
      </c>
      <c r="B8796" t="s">
        <v>1197</v>
      </c>
    </row>
    <row r="8797" spans="1:2" x14ac:dyDescent="0.25">
      <c r="A8797" t="s">
        <v>1631</v>
      </c>
      <c r="B8797" t="s">
        <v>1201</v>
      </c>
    </row>
    <row r="8798" spans="1:2" x14ac:dyDescent="0.25">
      <c r="A8798" t="s">
        <v>1631</v>
      </c>
      <c r="B8798" t="s">
        <v>1202</v>
      </c>
    </row>
    <row r="8799" spans="1:2" x14ac:dyDescent="0.25">
      <c r="A8799" t="s">
        <v>1631</v>
      </c>
      <c r="B8799" t="s">
        <v>1206</v>
      </c>
    </row>
    <row r="8800" spans="1:2" x14ac:dyDescent="0.25">
      <c r="A8800" t="s">
        <v>1631</v>
      </c>
      <c r="B8800" t="s">
        <v>1207</v>
      </c>
    </row>
    <row r="8801" spans="1:2" x14ac:dyDescent="0.25">
      <c r="A8801" t="s">
        <v>1631</v>
      </c>
      <c r="B8801" t="s">
        <v>1215</v>
      </c>
    </row>
    <row r="8802" spans="1:2" x14ac:dyDescent="0.25">
      <c r="A8802" t="s">
        <v>1631</v>
      </c>
      <c r="B8802" t="s">
        <v>1223</v>
      </c>
    </row>
    <row r="8803" spans="1:2" x14ac:dyDescent="0.25">
      <c r="A8803" t="s">
        <v>1631</v>
      </c>
      <c r="B8803" t="s">
        <v>1224</v>
      </c>
    </row>
    <row r="8804" spans="1:2" x14ac:dyDescent="0.25">
      <c r="A8804" t="s">
        <v>1631</v>
      </c>
      <c r="B8804" t="s">
        <v>1225</v>
      </c>
    </row>
    <row r="8805" spans="1:2" x14ac:dyDescent="0.25">
      <c r="A8805" t="s">
        <v>1557</v>
      </c>
      <c r="B8805" t="s">
        <v>1092</v>
      </c>
    </row>
    <row r="8806" spans="1:2" x14ac:dyDescent="0.25">
      <c r="A8806" t="s">
        <v>1557</v>
      </c>
      <c r="B8806" t="s">
        <v>1093</v>
      </c>
    </row>
    <row r="8807" spans="1:2" x14ac:dyDescent="0.25">
      <c r="A8807" t="s">
        <v>1557</v>
      </c>
      <c r="B8807" t="s">
        <v>1094</v>
      </c>
    </row>
    <row r="8808" spans="1:2" x14ac:dyDescent="0.25">
      <c r="A8808" t="s">
        <v>1557</v>
      </c>
      <c r="B8808" t="s">
        <v>1095</v>
      </c>
    </row>
    <row r="8809" spans="1:2" x14ac:dyDescent="0.25">
      <c r="A8809" t="s">
        <v>1557</v>
      </c>
      <c r="B8809" t="s">
        <v>1160</v>
      </c>
    </row>
    <row r="8810" spans="1:2" x14ac:dyDescent="0.25">
      <c r="A8810" t="s">
        <v>1948</v>
      </c>
      <c r="B8810" t="s">
        <v>1113</v>
      </c>
    </row>
    <row r="8811" spans="1:2" x14ac:dyDescent="0.25">
      <c r="A8811" t="s">
        <v>1948</v>
      </c>
      <c r="B8811" t="s">
        <v>1114</v>
      </c>
    </row>
    <row r="8812" spans="1:2" x14ac:dyDescent="0.25">
      <c r="A8812" t="s">
        <v>1948</v>
      </c>
      <c r="B8812" t="s">
        <v>1115</v>
      </c>
    </row>
    <row r="8813" spans="1:2" x14ac:dyDescent="0.25">
      <c r="A8813" t="s">
        <v>1948</v>
      </c>
      <c r="B8813" t="s">
        <v>1133</v>
      </c>
    </row>
    <row r="8814" spans="1:2" x14ac:dyDescent="0.25">
      <c r="A8814" t="s">
        <v>1948</v>
      </c>
      <c r="B8814" t="s">
        <v>1166</v>
      </c>
    </row>
    <row r="8815" spans="1:2" x14ac:dyDescent="0.25">
      <c r="A8815" t="s">
        <v>1948</v>
      </c>
      <c r="B8815" t="s">
        <v>1167</v>
      </c>
    </row>
    <row r="8816" spans="1:2" x14ac:dyDescent="0.25">
      <c r="A8816" t="s">
        <v>1948</v>
      </c>
      <c r="B8816" t="s">
        <v>1167</v>
      </c>
    </row>
    <row r="8817" spans="1:2" x14ac:dyDescent="0.25">
      <c r="A8817" t="s">
        <v>1948</v>
      </c>
      <c r="B8817" t="s">
        <v>1168</v>
      </c>
    </row>
    <row r="8818" spans="1:2" x14ac:dyDescent="0.25">
      <c r="A8818" t="s">
        <v>1948</v>
      </c>
      <c r="B8818" t="s">
        <v>1168</v>
      </c>
    </row>
    <row r="8819" spans="1:2" x14ac:dyDescent="0.25">
      <c r="A8819" t="s">
        <v>1948</v>
      </c>
      <c r="B8819" t="s">
        <v>1186</v>
      </c>
    </row>
    <row r="8820" spans="1:2" x14ac:dyDescent="0.25">
      <c r="A8820" t="s">
        <v>1948</v>
      </c>
      <c r="B8820" t="s">
        <v>1187</v>
      </c>
    </row>
    <row r="8821" spans="1:2" x14ac:dyDescent="0.25">
      <c r="A8821" t="s">
        <v>1948</v>
      </c>
      <c r="B8821" t="s">
        <v>1188</v>
      </c>
    </row>
    <row r="8822" spans="1:2" x14ac:dyDescent="0.25">
      <c r="A8822" t="s">
        <v>1948</v>
      </c>
      <c r="B8822" t="s">
        <v>1189</v>
      </c>
    </row>
    <row r="8823" spans="1:2" x14ac:dyDescent="0.25">
      <c r="A8823" t="s">
        <v>1948</v>
      </c>
      <c r="B8823" t="s">
        <v>1195</v>
      </c>
    </row>
    <row r="8824" spans="1:2" x14ac:dyDescent="0.25">
      <c r="A8824" t="s">
        <v>1948</v>
      </c>
      <c r="B8824" t="s">
        <v>1196</v>
      </c>
    </row>
    <row r="8825" spans="1:2" x14ac:dyDescent="0.25">
      <c r="A8825" t="s">
        <v>1868</v>
      </c>
      <c r="B8825" t="s">
        <v>1112</v>
      </c>
    </row>
    <row r="8826" spans="1:2" x14ac:dyDescent="0.25">
      <c r="A8826" t="s">
        <v>1868</v>
      </c>
      <c r="B8826" t="s">
        <v>1113</v>
      </c>
    </row>
    <row r="8827" spans="1:2" x14ac:dyDescent="0.25">
      <c r="A8827" t="s">
        <v>1868</v>
      </c>
      <c r="B8827" t="s">
        <v>1114</v>
      </c>
    </row>
    <row r="8828" spans="1:2" x14ac:dyDescent="0.25">
      <c r="A8828" t="s">
        <v>1868</v>
      </c>
      <c r="B8828" t="s">
        <v>1115</v>
      </c>
    </row>
    <row r="8829" spans="1:2" x14ac:dyDescent="0.25">
      <c r="A8829" t="s">
        <v>1868</v>
      </c>
      <c r="B8829" t="s">
        <v>1166</v>
      </c>
    </row>
    <row r="8830" spans="1:2" x14ac:dyDescent="0.25">
      <c r="A8830" t="s">
        <v>1868</v>
      </c>
      <c r="B8830" t="s">
        <v>1167</v>
      </c>
    </row>
    <row r="8831" spans="1:2" x14ac:dyDescent="0.25">
      <c r="A8831" t="s">
        <v>1868</v>
      </c>
      <c r="B8831" t="s">
        <v>1168</v>
      </c>
    </row>
    <row r="8832" spans="1:2" x14ac:dyDescent="0.25">
      <c r="A8832" t="s">
        <v>1868</v>
      </c>
      <c r="B8832" t="s">
        <v>1186</v>
      </c>
    </row>
    <row r="8833" spans="1:2" x14ac:dyDescent="0.25">
      <c r="A8833" t="s">
        <v>1868</v>
      </c>
      <c r="B8833" t="s">
        <v>1189</v>
      </c>
    </row>
    <row r="8834" spans="1:2" x14ac:dyDescent="0.25">
      <c r="A8834" t="s">
        <v>1941</v>
      </c>
      <c r="B8834" t="s">
        <v>1113</v>
      </c>
    </row>
    <row r="8835" spans="1:2" x14ac:dyDescent="0.25">
      <c r="A8835" t="s">
        <v>1941</v>
      </c>
      <c r="B8835" t="s">
        <v>1114</v>
      </c>
    </row>
    <row r="8836" spans="1:2" x14ac:dyDescent="0.25">
      <c r="A8836" t="s">
        <v>1941</v>
      </c>
      <c r="B8836" t="s">
        <v>1115</v>
      </c>
    </row>
    <row r="8837" spans="1:2" x14ac:dyDescent="0.25">
      <c r="A8837" t="s">
        <v>1941</v>
      </c>
      <c r="B8837" t="s">
        <v>1133</v>
      </c>
    </row>
    <row r="8838" spans="1:2" x14ac:dyDescent="0.25">
      <c r="A8838" t="s">
        <v>1941</v>
      </c>
      <c r="B8838" t="s">
        <v>1166</v>
      </c>
    </row>
    <row r="8839" spans="1:2" x14ac:dyDescent="0.25">
      <c r="A8839" t="s">
        <v>1941</v>
      </c>
      <c r="B8839" t="s">
        <v>1167</v>
      </c>
    </row>
    <row r="8840" spans="1:2" x14ac:dyDescent="0.25">
      <c r="A8840" t="s">
        <v>1941</v>
      </c>
      <c r="B8840" t="s">
        <v>1168</v>
      </c>
    </row>
    <row r="8841" spans="1:2" x14ac:dyDescent="0.25">
      <c r="A8841" t="s">
        <v>1941</v>
      </c>
      <c r="B8841" t="s">
        <v>1186</v>
      </c>
    </row>
    <row r="8842" spans="1:2" x14ac:dyDescent="0.25">
      <c r="A8842" t="s">
        <v>1941</v>
      </c>
      <c r="B8842" t="s">
        <v>1187</v>
      </c>
    </row>
    <row r="8843" spans="1:2" x14ac:dyDescent="0.25">
      <c r="A8843" t="s">
        <v>1941</v>
      </c>
      <c r="B8843" t="s">
        <v>1188</v>
      </c>
    </row>
    <row r="8844" spans="1:2" x14ac:dyDescent="0.25">
      <c r="A8844" t="s">
        <v>1941</v>
      </c>
      <c r="B8844" t="s">
        <v>1189</v>
      </c>
    </row>
    <row r="8845" spans="1:2" x14ac:dyDescent="0.25">
      <c r="A8845" t="s">
        <v>1941</v>
      </c>
      <c r="B8845" t="s">
        <v>1195</v>
      </c>
    </row>
    <row r="8846" spans="1:2" x14ac:dyDescent="0.25">
      <c r="A8846" t="s">
        <v>1941</v>
      </c>
      <c r="B8846" t="s">
        <v>1196</v>
      </c>
    </row>
    <row r="8847" spans="1:2" x14ac:dyDescent="0.25">
      <c r="A8847" t="s">
        <v>2230</v>
      </c>
      <c r="B8847" t="s">
        <v>1166</v>
      </c>
    </row>
    <row r="8848" spans="1:2" x14ac:dyDescent="0.25">
      <c r="A8848" t="s">
        <v>2230</v>
      </c>
      <c r="B8848" t="s">
        <v>1167</v>
      </c>
    </row>
    <row r="8849" spans="1:2" x14ac:dyDescent="0.25">
      <c r="A8849" t="s">
        <v>2230</v>
      </c>
      <c r="B8849" t="s">
        <v>1168</v>
      </c>
    </row>
    <row r="8850" spans="1:2" x14ac:dyDescent="0.25">
      <c r="A8850" t="s">
        <v>2230</v>
      </c>
      <c r="B8850" t="s">
        <v>1186</v>
      </c>
    </row>
    <row r="8851" spans="1:2" x14ac:dyDescent="0.25">
      <c r="A8851" t="s">
        <v>2230</v>
      </c>
      <c r="B8851" t="s">
        <v>1187</v>
      </c>
    </row>
    <row r="8852" spans="1:2" x14ac:dyDescent="0.25">
      <c r="A8852" t="s">
        <v>2230</v>
      </c>
      <c r="B8852" t="s">
        <v>1188</v>
      </c>
    </row>
    <row r="8853" spans="1:2" x14ac:dyDescent="0.25">
      <c r="A8853" t="s">
        <v>2230</v>
      </c>
      <c r="B8853" t="s">
        <v>1189</v>
      </c>
    </row>
    <row r="8854" spans="1:2" x14ac:dyDescent="0.25">
      <c r="A8854" t="s">
        <v>2230</v>
      </c>
      <c r="B8854" t="s">
        <v>1189</v>
      </c>
    </row>
    <row r="8855" spans="1:2" x14ac:dyDescent="0.25">
      <c r="A8855" t="s">
        <v>1551</v>
      </c>
      <c r="B8855" t="s">
        <v>1092</v>
      </c>
    </row>
    <row r="8856" spans="1:2" x14ac:dyDescent="0.25">
      <c r="A8856" t="s">
        <v>1551</v>
      </c>
      <c r="B8856" t="s">
        <v>1093</v>
      </c>
    </row>
    <row r="8857" spans="1:2" x14ac:dyDescent="0.25">
      <c r="A8857" t="s">
        <v>1551</v>
      </c>
      <c r="B8857" t="s">
        <v>1094</v>
      </c>
    </row>
    <row r="8858" spans="1:2" x14ac:dyDescent="0.25">
      <c r="A8858" t="s">
        <v>1551</v>
      </c>
      <c r="B8858" t="s">
        <v>1095</v>
      </c>
    </row>
    <row r="8859" spans="1:2" x14ac:dyDescent="0.25">
      <c r="A8859" t="s">
        <v>1551</v>
      </c>
      <c r="B8859" t="s">
        <v>1096</v>
      </c>
    </row>
    <row r="8860" spans="1:2" x14ac:dyDescent="0.25">
      <c r="A8860" t="s">
        <v>1551</v>
      </c>
      <c r="B8860" t="s">
        <v>1097</v>
      </c>
    </row>
    <row r="8861" spans="1:2" x14ac:dyDescent="0.25">
      <c r="A8861" t="s">
        <v>1551</v>
      </c>
      <c r="B8861" t="s">
        <v>1098</v>
      </c>
    </row>
    <row r="8862" spans="1:2" x14ac:dyDescent="0.25">
      <c r="A8862" t="s">
        <v>1551</v>
      </c>
      <c r="B8862" t="s">
        <v>1099</v>
      </c>
    </row>
    <row r="8863" spans="1:2" x14ac:dyDescent="0.25">
      <c r="A8863" t="s">
        <v>1551</v>
      </c>
      <c r="B8863" t="s">
        <v>1100</v>
      </c>
    </row>
    <row r="8864" spans="1:2" x14ac:dyDescent="0.25">
      <c r="A8864" t="s">
        <v>1551</v>
      </c>
      <c r="B8864" t="s">
        <v>1101</v>
      </c>
    </row>
    <row r="8865" spans="1:2" x14ac:dyDescent="0.25">
      <c r="A8865" t="s">
        <v>1551</v>
      </c>
      <c r="B8865" t="s">
        <v>1102</v>
      </c>
    </row>
    <row r="8866" spans="1:2" x14ac:dyDescent="0.25">
      <c r="A8866" t="s">
        <v>1551</v>
      </c>
      <c r="B8866" t="s">
        <v>1103</v>
      </c>
    </row>
    <row r="8867" spans="1:2" x14ac:dyDescent="0.25">
      <c r="A8867" t="s">
        <v>1551</v>
      </c>
      <c r="B8867" t="s">
        <v>1104</v>
      </c>
    </row>
    <row r="8868" spans="1:2" x14ac:dyDescent="0.25">
      <c r="A8868" t="s">
        <v>1551</v>
      </c>
      <c r="B8868" t="s">
        <v>1105</v>
      </c>
    </row>
    <row r="8869" spans="1:2" x14ac:dyDescent="0.25">
      <c r="A8869" t="s">
        <v>1551</v>
      </c>
      <c r="B8869" t="s">
        <v>1106</v>
      </c>
    </row>
    <row r="8870" spans="1:2" x14ac:dyDescent="0.25">
      <c r="A8870" t="s">
        <v>1551</v>
      </c>
      <c r="B8870" t="s">
        <v>1107</v>
      </c>
    </row>
    <row r="8871" spans="1:2" x14ac:dyDescent="0.25">
      <c r="A8871" t="s">
        <v>1551</v>
      </c>
      <c r="B8871" t="s">
        <v>1160</v>
      </c>
    </row>
    <row r="8872" spans="1:2" x14ac:dyDescent="0.25">
      <c r="A8872" t="s">
        <v>1551</v>
      </c>
      <c r="B8872" t="s">
        <v>1161</v>
      </c>
    </row>
    <row r="8873" spans="1:2" x14ac:dyDescent="0.25">
      <c r="A8873" t="s">
        <v>1551</v>
      </c>
      <c r="B8873" t="s">
        <v>1162</v>
      </c>
    </row>
    <row r="8874" spans="1:2" x14ac:dyDescent="0.25">
      <c r="A8874" t="s">
        <v>1551</v>
      </c>
      <c r="B8874" t="s">
        <v>1163</v>
      </c>
    </row>
    <row r="8875" spans="1:2" x14ac:dyDescent="0.25">
      <c r="A8875" t="s">
        <v>1551</v>
      </c>
      <c r="B8875" t="s">
        <v>1164</v>
      </c>
    </row>
    <row r="8876" spans="1:2" x14ac:dyDescent="0.25">
      <c r="A8876" t="s">
        <v>1551</v>
      </c>
      <c r="B8876" t="s">
        <v>1166</v>
      </c>
    </row>
    <row r="8877" spans="1:2" x14ac:dyDescent="0.25">
      <c r="A8877" t="s">
        <v>1551</v>
      </c>
      <c r="B8877" t="s">
        <v>1167</v>
      </c>
    </row>
    <row r="8878" spans="1:2" x14ac:dyDescent="0.25">
      <c r="A8878" t="s">
        <v>1551</v>
      </c>
      <c r="B8878" t="s">
        <v>1168</v>
      </c>
    </row>
    <row r="8879" spans="1:2" x14ac:dyDescent="0.25">
      <c r="A8879" t="s">
        <v>1551</v>
      </c>
      <c r="B8879" t="s">
        <v>1186</v>
      </c>
    </row>
    <row r="8880" spans="1:2" x14ac:dyDescent="0.25">
      <c r="A8880" t="s">
        <v>1551</v>
      </c>
      <c r="B8880" t="s">
        <v>1187</v>
      </c>
    </row>
    <row r="8881" spans="1:2" x14ac:dyDescent="0.25">
      <c r="A8881" t="s">
        <v>1551</v>
      </c>
      <c r="B8881" t="s">
        <v>1188</v>
      </c>
    </row>
    <row r="8882" spans="1:2" x14ac:dyDescent="0.25">
      <c r="A8882" t="s">
        <v>1551</v>
      </c>
      <c r="B8882" t="s">
        <v>1189</v>
      </c>
    </row>
    <row r="8883" spans="1:2" x14ac:dyDescent="0.25">
      <c r="A8883" t="s">
        <v>1551</v>
      </c>
      <c r="B8883" t="s">
        <v>1189</v>
      </c>
    </row>
    <row r="8884" spans="1:2" x14ac:dyDescent="0.25">
      <c r="A8884" t="s">
        <v>1551</v>
      </c>
      <c r="B8884" t="s">
        <v>1191</v>
      </c>
    </row>
    <row r="8885" spans="1:2" x14ac:dyDescent="0.25">
      <c r="A8885" t="s">
        <v>2228</v>
      </c>
      <c r="B8885" t="s">
        <v>1166</v>
      </c>
    </row>
    <row r="8886" spans="1:2" x14ac:dyDescent="0.25">
      <c r="A8886" t="s">
        <v>2228</v>
      </c>
      <c r="B8886" t="s">
        <v>1167</v>
      </c>
    </row>
    <row r="8887" spans="1:2" x14ac:dyDescent="0.25">
      <c r="A8887" t="s">
        <v>2228</v>
      </c>
      <c r="B8887" t="s">
        <v>1168</v>
      </c>
    </row>
    <row r="8888" spans="1:2" x14ac:dyDescent="0.25">
      <c r="A8888" t="s">
        <v>2228</v>
      </c>
      <c r="B8888" t="s">
        <v>1186</v>
      </c>
    </row>
    <row r="8889" spans="1:2" x14ac:dyDescent="0.25">
      <c r="A8889" t="s">
        <v>2228</v>
      </c>
      <c r="B8889" t="s">
        <v>1187</v>
      </c>
    </row>
    <row r="8890" spans="1:2" x14ac:dyDescent="0.25">
      <c r="A8890" t="s">
        <v>2228</v>
      </c>
      <c r="B8890" t="s">
        <v>1188</v>
      </c>
    </row>
    <row r="8891" spans="1:2" x14ac:dyDescent="0.25">
      <c r="A8891" t="s">
        <v>2228</v>
      </c>
      <c r="B8891" t="s">
        <v>1189</v>
      </c>
    </row>
    <row r="8892" spans="1:2" x14ac:dyDescent="0.25">
      <c r="A8892" t="s">
        <v>1873</v>
      </c>
      <c r="B8892" t="s">
        <v>1112</v>
      </c>
    </row>
    <row r="8893" spans="1:2" x14ac:dyDescent="0.25">
      <c r="A8893" t="s">
        <v>1873</v>
      </c>
      <c r="B8893" t="s">
        <v>1113</v>
      </c>
    </row>
    <row r="8894" spans="1:2" x14ac:dyDescent="0.25">
      <c r="A8894" t="s">
        <v>1873</v>
      </c>
      <c r="B8894" t="s">
        <v>1114</v>
      </c>
    </row>
    <row r="8895" spans="1:2" x14ac:dyDescent="0.25">
      <c r="A8895" t="s">
        <v>1873</v>
      </c>
      <c r="B8895" t="s">
        <v>1114</v>
      </c>
    </row>
    <row r="8896" spans="1:2" x14ac:dyDescent="0.25">
      <c r="A8896" t="s">
        <v>1873</v>
      </c>
      <c r="B8896" t="s">
        <v>1115</v>
      </c>
    </row>
    <row r="8897" spans="1:2" x14ac:dyDescent="0.25">
      <c r="A8897" t="s">
        <v>1873</v>
      </c>
      <c r="B8897" t="s">
        <v>1166</v>
      </c>
    </row>
    <row r="8898" spans="1:2" x14ac:dyDescent="0.25">
      <c r="A8898" t="s">
        <v>1873</v>
      </c>
      <c r="B8898" t="s">
        <v>1167</v>
      </c>
    </row>
    <row r="8899" spans="1:2" x14ac:dyDescent="0.25">
      <c r="A8899" t="s">
        <v>1873</v>
      </c>
      <c r="B8899" t="s">
        <v>1168</v>
      </c>
    </row>
    <row r="8900" spans="1:2" x14ac:dyDescent="0.25">
      <c r="A8900" t="s">
        <v>1873</v>
      </c>
      <c r="B8900" t="s">
        <v>1186</v>
      </c>
    </row>
    <row r="8901" spans="1:2" x14ac:dyDescent="0.25">
      <c r="A8901" t="s">
        <v>1873</v>
      </c>
      <c r="B8901" t="s">
        <v>1187</v>
      </c>
    </row>
    <row r="8902" spans="1:2" x14ac:dyDescent="0.25">
      <c r="A8902" t="s">
        <v>1873</v>
      </c>
      <c r="B8902" t="s">
        <v>1188</v>
      </c>
    </row>
    <row r="8903" spans="1:2" x14ac:dyDescent="0.25">
      <c r="A8903" t="s">
        <v>1873</v>
      </c>
      <c r="B8903" t="s">
        <v>1189</v>
      </c>
    </row>
    <row r="8904" spans="1:2" x14ac:dyDescent="0.25">
      <c r="A8904" t="s">
        <v>1873</v>
      </c>
      <c r="B8904" t="s">
        <v>1195</v>
      </c>
    </row>
    <row r="8905" spans="1:2" x14ac:dyDescent="0.25">
      <c r="A8905" t="s">
        <v>1873</v>
      </c>
      <c r="B8905" t="s">
        <v>1196</v>
      </c>
    </row>
    <row r="8906" spans="1:2" x14ac:dyDescent="0.25">
      <c r="A8906" t="s">
        <v>1935</v>
      </c>
      <c r="B8906" t="s">
        <v>1113</v>
      </c>
    </row>
    <row r="8907" spans="1:2" x14ac:dyDescent="0.25">
      <c r="A8907" t="s">
        <v>1935</v>
      </c>
      <c r="B8907" t="s">
        <v>1114</v>
      </c>
    </row>
    <row r="8908" spans="1:2" x14ac:dyDescent="0.25">
      <c r="A8908" t="s">
        <v>1935</v>
      </c>
      <c r="B8908" t="s">
        <v>1115</v>
      </c>
    </row>
    <row r="8909" spans="1:2" x14ac:dyDescent="0.25">
      <c r="A8909" t="s">
        <v>1935</v>
      </c>
      <c r="B8909" t="s">
        <v>1133</v>
      </c>
    </row>
    <row r="8910" spans="1:2" x14ac:dyDescent="0.25">
      <c r="A8910" t="s">
        <v>1935</v>
      </c>
      <c r="B8910" t="s">
        <v>1166</v>
      </c>
    </row>
    <row r="8911" spans="1:2" x14ac:dyDescent="0.25">
      <c r="A8911" t="s">
        <v>1935</v>
      </c>
      <c r="B8911" t="s">
        <v>1167</v>
      </c>
    </row>
    <row r="8912" spans="1:2" x14ac:dyDescent="0.25">
      <c r="A8912" t="s">
        <v>1935</v>
      </c>
      <c r="B8912" t="s">
        <v>1168</v>
      </c>
    </row>
    <row r="8913" spans="1:2" x14ac:dyDescent="0.25">
      <c r="A8913" t="s">
        <v>1935</v>
      </c>
      <c r="B8913" t="s">
        <v>1186</v>
      </c>
    </row>
    <row r="8914" spans="1:2" x14ac:dyDescent="0.25">
      <c r="A8914" t="s">
        <v>1935</v>
      </c>
      <c r="B8914" t="s">
        <v>1187</v>
      </c>
    </row>
    <row r="8915" spans="1:2" x14ac:dyDescent="0.25">
      <c r="A8915" t="s">
        <v>1935</v>
      </c>
      <c r="B8915" t="s">
        <v>1188</v>
      </c>
    </row>
    <row r="8916" spans="1:2" x14ac:dyDescent="0.25">
      <c r="A8916" t="s">
        <v>1935</v>
      </c>
      <c r="B8916" t="s">
        <v>1189</v>
      </c>
    </row>
    <row r="8917" spans="1:2" x14ac:dyDescent="0.25">
      <c r="A8917" t="s">
        <v>1935</v>
      </c>
      <c r="B8917" t="s">
        <v>1195</v>
      </c>
    </row>
    <row r="8918" spans="1:2" x14ac:dyDescent="0.25">
      <c r="A8918" t="s">
        <v>1935</v>
      </c>
      <c r="B8918" t="s">
        <v>1196</v>
      </c>
    </row>
    <row r="8919" spans="1:2" x14ac:dyDescent="0.25">
      <c r="A8919" t="s">
        <v>1872</v>
      </c>
      <c r="B8919" t="s">
        <v>1112</v>
      </c>
    </row>
    <row r="8920" spans="1:2" x14ac:dyDescent="0.25">
      <c r="A8920" t="s">
        <v>1872</v>
      </c>
      <c r="B8920" t="s">
        <v>1113</v>
      </c>
    </row>
    <row r="8921" spans="1:2" x14ac:dyDescent="0.25">
      <c r="A8921" t="s">
        <v>1872</v>
      </c>
      <c r="B8921" t="s">
        <v>1114</v>
      </c>
    </row>
    <row r="8922" spans="1:2" x14ac:dyDescent="0.25">
      <c r="A8922" t="s">
        <v>1872</v>
      </c>
      <c r="B8922" t="s">
        <v>1114</v>
      </c>
    </row>
    <row r="8923" spans="1:2" x14ac:dyDescent="0.25">
      <c r="A8923" t="s">
        <v>1872</v>
      </c>
      <c r="B8923" t="s">
        <v>1115</v>
      </c>
    </row>
    <row r="8924" spans="1:2" x14ac:dyDescent="0.25">
      <c r="A8924" t="s">
        <v>1872</v>
      </c>
      <c r="B8924" t="s">
        <v>1166</v>
      </c>
    </row>
    <row r="8925" spans="1:2" x14ac:dyDescent="0.25">
      <c r="A8925" t="s">
        <v>1872</v>
      </c>
      <c r="B8925" t="s">
        <v>1167</v>
      </c>
    </row>
    <row r="8926" spans="1:2" x14ac:dyDescent="0.25">
      <c r="A8926" t="s">
        <v>1872</v>
      </c>
      <c r="B8926" t="s">
        <v>1168</v>
      </c>
    </row>
    <row r="8927" spans="1:2" x14ac:dyDescent="0.25">
      <c r="A8927" t="s">
        <v>1872</v>
      </c>
      <c r="B8927" t="s">
        <v>1186</v>
      </c>
    </row>
    <row r="8928" spans="1:2" x14ac:dyDescent="0.25">
      <c r="A8928" t="s">
        <v>1872</v>
      </c>
      <c r="B8928" t="s">
        <v>1187</v>
      </c>
    </row>
    <row r="8929" spans="1:2" x14ac:dyDescent="0.25">
      <c r="A8929" t="s">
        <v>1872</v>
      </c>
      <c r="B8929" t="s">
        <v>1188</v>
      </c>
    </row>
    <row r="8930" spans="1:2" x14ac:dyDescent="0.25">
      <c r="A8930" t="s">
        <v>1872</v>
      </c>
      <c r="B8930" t="s">
        <v>1189</v>
      </c>
    </row>
    <row r="8931" spans="1:2" x14ac:dyDescent="0.25">
      <c r="A8931" t="s">
        <v>1872</v>
      </c>
      <c r="B8931" t="s">
        <v>1195</v>
      </c>
    </row>
    <row r="8932" spans="1:2" x14ac:dyDescent="0.25">
      <c r="A8932" t="s">
        <v>1872</v>
      </c>
      <c r="B8932" t="s">
        <v>1196</v>
      </c>
    </row>
    <row r="8933" spans="1:2" x14ac:dyDescent="0.25">
      <c r="A8933" t="s">
        <v>1934</v>
      </c>
      <c r="B8933" t="s">
        <v>1113</v>
      </c>
    </row>
    <row r="8934" spans="1:2" x14ac:dyDescent="0.25">
      <c r="A8934" t="s">
        <v>1934</v>
      </c>
      <c r="B8934" t="s">
        <v>1114</v>
      </c>
    </row>
    <row r="8935" spans="1:2" x14ac:dyDescent="0.25">
      <c r="A8935" t="s">
        <v>1934</v>
      </c>
      <c r="B8935" t="s">
        <v>1115</v>
      </c>
    </row>
    <row r="8936" spans="1:2" x14ac:dyDescent="0.25">
      <c r="A8936" t="s">
        <v>1934</v>
      </c>
      <c r="B8936" t="s">
        <v>1133</v>
      </c>
    </row>
    <row r="8937" spans="1:2" x14ac:dyDescent="0.25">
      <c r="A8937" t="s">
        <v>1934</v>
      </c>
      <c r="B8937" t="s">
        <v>1166</v>
      </c>
    </row>
    <row r="8938" spans="1:2" x14ac:dyDescent="0.25">
      <c r="A8938" t="s">
        <v>1934</v>
      </c>
      <c r="B8938" t="s">
        <v>1167</v>
      </c>
    </row>
    <row r="8939" spans="1:2" x14ac:dyDescent="0.25">
      <c r="A8939" t="s">
        <v>1934</v>
      </c>
      <c r="B8939" t="s">
        <v>1168</v>
      </c>
    </row>
    <row r="8940" spans="1:2" x14ac:dyDescent="0.25">
      <c r="A8940" t="s">
        <v>1934</v>
      </c>
      <c r="B8940" t="s">
        <v>1186</v>
      </c>
    </row>
    <row r="8941" spans="1:2" x14ac:dyDescent="0.25">
      <c r="A8941" t="s">
        <v>1934</v>
      </c>
      <c r="B8941" t="s">
        <v>1187</v>
      </c>
    </row>
    <row r="8942" spans="1:2" x14ac:dyDescent="0.25">
      <c r="A8942" t="s">
        <v>1934</v>
      </c>
      <c r="B8942" t="s">
        <v>1188</v>
      </c>
    </row>
    <row r="8943" spans="1:2" x14ac:dyDescent="0.25">
      <c r="A8943" t="s">
        <v>1934</v>
      </c>
      <c r="B8943" t="s">
        <v>1189</v>
      </c>
    </row>
    <row r="8944" spans="1:2" x14ac:dyDescent="0.25">
      <c r="A8944" t="s">
        <v>1934</v>
      </c>
      <c r="B8944" t="s">
        <v>1195</v>
      </c>
    </row>
    <row r="8945" spans="1:2" x14ac:dyDescent="0.25">
      <c r="A8945" t="s">
        <v>1934</v>
      </c>
      <c r="B8945" t="s">
        <v>1196</v>
      </c>
    </row>
    <row r="8946" spans="1:2" x14ac:dyDescent="0.25">
      <c r="A8946" t="s">
        <v>1893</v>
      </c>
      <c r="B8946" t="s">
        <v>1112</v>
      </c>
    </row>
    <row r="8947" spans="1:2" x14ac:dyDescent="0.25">
      <c r="A8947" t="s">
        <v>1893</v>
      </c>
      <c r="B8947" t="s">
        <v>1154</v>
      </c>
    </row>
    <row r="8948" spans="1:2" x14ac:dyDescent="0.25">
      <c r="A8948" t="s">
        <v>1893</v>
      </c>
      <c r="B8948" t="s">
        <v>1155</v>
      </c>
    </row>
    <row r="8949" spans="1:2" x14ac:dyDescent="0.25">
      <c r="A8949" t="s">
        <v>1893</v>
      </c>
      <c r="B8949" t="s">
        <v>1156</v>
      </c>
    </row>
    <row r="8950" spans="1:2" x14ac:dyDescent="0.25">
      <c r="A8950" t="s">
        <v>1894</v>
      </c>
      <c r="B8950" t="s">
        <v>1112</v>
      </c>
    </row>
    <row r="8951" spans="1:2" x14ac:dyDescent="0.25">
      <c r="A8951" t="s">
        <v>1894</v>
      </c>
      <c r="B8951" t="s">
        <v>1154</v>
      </c>
    </row>
    <row r="8952" spans="1:2" x14ac:dyDescent="0.25">
      <c r="A8952" t="s">
        <v>1894</v>
      </c>
      <c r="B8952" t="s">
        <v>1155</v>
      </c>
    </row>
    <row r="8953" spans="1:2" x14ac:dyDescent="0.25">
      <c r="A8953" t="s">
        <v>1894</v>
      </c>
      <c r="B8953" t="s">
        <v>1156</v>
      </c>
    </row>
    <row r="8954" spans="1:2" x14ac:dyDescent="0.25">
      <c r="A8954" t="s">
        <v>2165</v>
      </c>
      <c r="B8954" t="s">
        <v>1154</v>
      </c>
    </row>
    <row r="8955" spans="1:2" x14ac:dyDescent="0.25">
      <c r="A8955" t="s">
        <v>2165</v>
      </c>
      <c r="B8955" t="s">
        <v>1155</v>
      </c>
    </row>
    <row r="8956" spans="1:2" x14ac:dyDescent="0.25">
      <c r="A8956" t="s">
        <v>2165</v>
      </c>
      <c r="B8956" t="s">
        <v>1156</v>
      </c>
    </row>
    <row r="8957" spans="1:2" x14ac:dyDescent="0.25">
      <c r="A8957" t="s">
        <v>2166</v>
      </c>
      <c r="B8957" t="s">
        <v>1154</v>
      </c>
    </row>
    <row r="8958" spans="1:2" x14ac:dyDescent="0.25">
      <c r="A8958" t="s">
        <v>2166</v>
      </c>
      <c r="B8958" t="s">
        <v>1155</v>
      </c>
    </row>
    <row r="8959" spans="1:2" x14ac:dyDescent="0.25">
      <c r="A8959" t="s">
        <v>2166</v>
      </c>
      <c r="B8959" t="s">
        <v>1156</v>
      </c>
    </row>
    <row r="8960" spans="1:2" x14ac:dyDescent="0.25">
      <c r="A8960" t="s">
        <v>2167</v>
      </c>
      <c r="B8960" t="s">
        <v>1154</v>
      </c>
    </row>
    <row r="8961" spans="1:2" x14ac:dyDescent="0.25">
      <c r="A8961" t="s">
        <v>2167</v>
      </c>
      <c r="B8961" t="s">
        <v>1155</v>
      </c>
    </row>
    <row r="8962" spans="1:2" x14ac:dyDescent="0.25">
      <c r="A8962" t="s">
        <v>2167</v>
      </c>
      <c r="B8962" t="s">
        <v>1156</v>
      </c>
    </row>
    <row r="8963" spans="1:2" x14ac:dyDescent="0.25">
      <c r="A8963" t="s">
        <v>1939</v>
      </c>
      <c r="B8963" t="s">
        <v>1113</v>
      </c>
    </row>
    <row r="8964" spans="1:2" x14ac:dyDescent="0.25">
      <c r="A8964" t="s">
        <v>1939</v>
      </c>
      <c r="B8964" t="s">
        <v>1114</v>
      </c>
    </row>
    <row r="8965" spans="1:2" x14ac:dyDescent="0.25">
      <c r="A8965" t="s">
        <v>1939</v>
      </c>
      <c r="B8965" t="s">
        <v>1115</v>
      </c>
    </row>
    <row r="8966" spans="1:2" x14ac:dyDescent="0.25">
      <c r="A8966" t="s">
        <v>1939</v>
      </c>
      <c r="B8966" t="s">
        <v>1133</v>
      </c>
    </row>
    <row r="8967" spans="1:2" x14ac:dyDescent="0.25">
      <c r="A8967" t="s">
        <v>1939</v>
      </c>
      <c r="B8967" t="s">
        <v>1166</v>
      </c>
    </row>
    <row r="8968" spans="1:2" x14ac:dyDescent="0.25">
      <c r="A8968" t="s">
        <v>1939</v>
      </c>
      <c r="B8968" t="s">
        <v>1167</v>
      </c>
    </row>
    <row r="8969" spans="1:2" x14ac:dyDescent="0.25">
      <c r="A8969" t="s">
        <v>1939</v>
      </c>
      <c r="B8969" t="s">
        <v>1168</v>
      </c>
    </row>
    <row r="8970" spans="1:2" x14ac:dyDescent="0.25">
      <c r="A8970" t="s">
        <v>1939</v>
      </c>
      <c r="B8970" t="s">
        <v>1186</v>
      </c>
    </row>
    <row r="8971" spans="1:2" x14ac:dyDescent="0.25">
      <c r="A8971" t="s">
        <v>1939</v>
      </c>
      <c r="B8971" t="s">
        <v>1187</v>
      </c>
    </row>
    <row r="8972" spans="1:2" x14ac:dyDescent="0.25">
      <c r="A8972" t="s">
        <v>1939</v>
      </c>
      <c r="B8972" t="s">
        <v>1188</v>
      </c>
    </row>
    <row r="8973" spans="1:2" x14ac:dyDescent="0.25">
      <c r="A8973" t="s">
        <v>1939</v>
      </c>
      <c r="B8973" t="s">
        <v>1189</v>
      </c>
    </row>
    <row r="8974" spans="1:2" x14ac:dyDescent="0.25">
      <c r="A8974" t="s">
        <v>1939</v>
      </c>
      <c r="B8974" t="s">
        <v>1195</v>
      </c>
    </row>
    <row r="8975" spans="1:2" x14ac:dyDescent="0.25">
      <c r="A8975" t="s">
        <v>1939</v>
      </c>
      <c r="B8975" t="s">
        <v>1196</v>
      </c>
    </row>
    <row r="8976" spans="1:2" x14ac:dyDescent="0.25">
      <c r="A8976" s="13" t="s">
        <v>1532</v>
      </c>
      <c r="B8976" t="s">
        <v>1091</v>
      </c>
    </row>
    <row r="8977" spans="1:2" x14ac:dyDescent="0.25">
      <c r="A8977" t="s">
        <v>1532</v>
      </c>
      <c r="B8977" t="s">
        <v>1093</v>
      </c>
    </row>
    <row r="8978" spans="1:2" x14ac:dyDescent="0.25">
      <c r="A8978" t="s">
        <v>1532</v>
      </c>
      <c r="B8978" t="s">
        <v>1094</v>
      </c>
    </row>
    <row r="8979" spans="1:2" x14ac:dyDescent="0.25">
      <c r="A8979" t="s">
        <v>1532</v>
      </c>
      <c r="B8979" t="s">
        <v>1108</v>
      </c>
    </row>
    <row r="8980" spans="1:2" x14ac:dyDescent="0.25">
      <c r="A8980" t="s">
        <v>1532</v>
      </c>
      <c r="B8980" t="s">
        <v>1140</v>
      </c>
    </row>
    <row r="8981" spans="1:2" x14ac:dyDescent="0.25">
      <c r="A8981" t="s">
        <v>1532</v>
      </c>
      <c r="B8981" t="s">
        <v>1141</v>
      </c>
    </row>
    <row r="8982" spans="1:2" x14ac:dyDescent="0.25">
      <c r="A8982" t="s">
        <v>1532</v>
      </c>
      <c r="B8982" t="s">
        <v>1142</v>
      </c>
    </row>
    <row r="8983" spans="1:2" x14ac:dyDescent="0.25">
      <c r="A8983" t="s">
        <v>1532</v>
      </c>
      <c r="B8983" t="s">
        <v>1150</v>
      </c>
    </row>
    <row r="8984" spans="1:2" x14ac:dyDescent="0.25">
      <c r="A8984" t="s">
        <v>1532</v>
      </c>
      <c r="B8984" t="s">
        <v>1151</v>
      </c>
    </row>
    <row r="8985" spans="1:2" x14ac:dyDescent="0.25">
      <c r="A8985" t="s">
        <v>1532</v>
      </c>
      <c r="B8985" t="s">
        <v>1155</v>
      </c>
    </row>
    <row r="8986" spans="1:2" x14ac:dyDescent="0.25">
      <c r="A8986" t="s">
        <v>1532</v>
      </c>
      <c r="B8986" t="s">
        <v>1156</v>
      </c>
    </row>
    <row r="8987" spans="1:2" x14ac:dyDescent="0.25">
      <c r="A8987" t="s">
        <v>1532</v>
      </c>
      <c r="B8987" t="s">
        <v>1157</v>
      </c>
    </row>
    <row r="8988" spans="1:2" x14ac:dyDescent="0.25">
      <c r="A8988" t="s">
        <v>1532</v>
      </c>
      <c r="B8988" t="s">
        <v>1158</v>
      </c>
    </row>
    <row r="8989" spans="1:2" x14ac:dyDescent="0.25">
      <c r="A8989" t="s">
        <v>1532</v>
      </c>
      <c r="B8989" t="s">
        <v>1159</v>
      </c>
    </row>
    <row r="8990" spans="1:2" x14ac:dyDescent="0.25">
      <c r="A8990" t="s">
        <v>1532</v>
      </c>
      <c r="B8990" t="s">
        <v>1160</v>
      </c>
    </row>
    <row r="8991" spans="1:2" x14ac:dyDescent="0.25">
      <c r="A8991" t="s">
        <v>1532</v>
      </c>
      <c r="B8991" t="s">
        <v>1174</v>
      </c>
    </row>
    <row r="8992" spans="1:2" x14ac:dyDescent="0.25">
      <c r="A8992" t="s">
        <v>1532</v>
      </c>
      <c r="B8992" t="s">
        <v>1175</v>
      </c>
    </row>
    <row r="8993" spans="1:2" x14ac:dyDescent="0.25">
      <c r="A8993" t="s">
        <v>1532</v>
      </c>
      <c r="B8993" t="s">
        <v>1176</v>
      </c>
    </row>
    <row r="8994" spans="1:2" x14ac:dyDescent="0.25">
      <c r="A8994" t="s">
        <v>1532</v>
      </c>
      <c r="B8994" t="s">
        <v>1177</v>
      </c>
    </row>
    <row r="8995" spans="1:2" x14ac:dyDescent="0.25">
      <c r="A8995" t="s">
        <v>1532</v>
      </c>
      <c r="B8995" t="s">
        <v>1178</v>
      </c>
    </row>
    <row r="8996" spans="1:2" x14ac:dyDescent="0.25">
      <c r="A8996" t="s">
        <v>1532</v>
      </c>
      <c r="B8996" t="s">
        <v>1179</v>
      </c>
    </row>
    <row r="8997" spans="1:2" x14ac:dyDescent="0.25">
      <c r="A8997" t="s">
        <v>1532</v>
      </c>
      <c r="B8997" t="s">
        <v>1179</v>
      </c>
    </row>
    <row r="8998" spans="1:2" x14ac:dyDescent="0.25">
      <c r="A8998" t="s">
        <v>1532</v>
      </c>
      <c r="B8998" t="s">
        <v>1184</v>
      </c>
    </row>
    <row r="8999" spans="1:2" x14ac:dyDescent="0.25">
      <c r="A8999" t="s">
        <v>1532</v>
      </c>
      <c r="B8999" t="s">
        <v>1190</v>
      </c>
    </row>
    <row r="9000" spans="1:2" x14ac:dyDescent="0.25">
      <c r="A9000" t="s">
        <v>1532</v>
      </c>
      <c r="B9000" t="s">
        <v>1206</v>
      </c>
    </row>
    <row r="9001" spans="1:2" x14ac:dyDescent="0.25">
      <c r="A9001" t="s">
        <v>1532</v>
      </c>
      <c r="B9001" t="s">
        <v>1207</v>
      </c>
    </row>
    <row r="9002" spans="1:2" x14ac:dyDescent="0.25">
      <c r="A9002" t="s">
        <v>1532</v>
      </c>
      <c r="B9002" t="s">
        <v>1208</v>
      </c>
    </row>
    <row r="9003" spans="1:2" x14ac:dyDescent="0.25">
      <c r="A9003" t="s">
        <v>1532</v>
      </c>
      <c r="B9003" t="s">
        <v>1233</v>
      </c>
    </row>
    <row r="9004" spans="1:2" x14ac:dyDescent="0.25">
      <c r="A9004" t="s">
        <v>1532</v>
      </c>
      <c r="B9004" t="s">
        <v>1234</v>
      </c>
    </row>
    <row r="9005" spans="1:2" x14ac:dyDescent="0.25">
      <c r="A9005" s="13" t="s">
        <v>1533</v>
      </c>
      <c r="B9005" t="s">
        <v>1091</v>
      </c>
    </row>
    <row r="9006" spans="1:2" x14ac:dyDescent="0.25">
      <c r="A9006" t="s">
        <v>1533</v>
      </c>
      <c r="B9006" t="s">
        <v>1093</v>
      </c>
    </row>
    <row r="9007" spans="1:2" x14ac:dyDescent="0.25">
      <c r="A9007" t="s">
        <v>1533</v>
      </c>
      <c r="B9007" t="s">
        <v>1094</v>
      </c>
    </row>
    <row r="9008" spans="1:2" x14ac:dyDescent="0.25">
      <c r="A9008" t="s">
        <v>1533</v>
      </c>
      <c r="B9008" t="s">
        <v>1108</v>
      </c>
    </row>
    <row r="9009" spans="1:2" x14ac:dyDescent="0.25">
      <c r="A9009" t="s">
        <v>1533</v>
      </c>
      <c r="B9009" t="s">
        <v>1140</v>
      </c>
    </row>
    <row r="9010" spans="1:2" x14ac:dyDescent="0.25">
      <c r="A9010" t="s">
        <v>1533</v>
      </c>
      <c r="B9010" t="s">
        <v>1141</v>
      </c>
    </row>
    <row r="9011" spans="1:2" x14ac:dyDescent="0.25">
      <c r="A9011" t="s">
        <v>1533</v>
      </c>
      <c r="B9011" t="s">
        <v>1142</v>
      </c>
    </row>
    <row r="9012" spans="1:2" x14ac:dyDescent="0.25">
      <c r="A9012" t="s">
        <v>1533</v>
      </c>
      <c r="B9012" t="s">
        <v>1150</v>
      </c>
    </row>
    <row r="9013" spans="1:2" x14ac:dyDescent="0.25">
      <c r="A9013" t="s">
        <v>1533</v>
      </c>
      <c r="B9013" t="s">
        <v>1151</v>
      </c>
    </row>
    <row r="9014" spans="1:2" x14ac:dyDescent="0.25">
      <c r="A9014" t="s">
        <v>1533</v>
      </c>
      <c r="B9014" t="s">
        <v>1155</v>
      </c>
    </row>
    <row r="9015" spans="1:2" x14ac:dyDescent="0.25">
      <c r="A9015" t="s">
        <v>1533</v>
      </c>
      <c r="B9015" t="s">
        <v>1156</v>
      </c>
    </row>
    <row r="9016" spans="1:2" x14ac:dyDescent="0.25">
      <c r="A9016" t="s">
        <v>1533</v>
      </c>
      <c r="B9016" t="s">
        <v>1157</v>
      </c>
    </row>
    <row r="9017" spans="1:2" x14ac:dyDescent="0.25">
      <c r="A9017" t="s">
        <v>1533</v>
      </c>
      <c r="B9017" t="s">
        <v>1158</v>
      </c>
    </row>
    <row r="9018" spans="1:2" x14ac:dyDescent="0.25">
      <c r="A9018" t="s">
        <v>1533</v>
      </c>
      <c r="B9018" t="s">
        <v>1159</v>
      </c>
    </row>
    <row r="9019" spans="1:2" x14ac:dyDescent="0.25">
      <c r="A9019" t="s">
        <v>1533</v>
      </c>
      <c r="B9019" t="s">
        <v>1160</v>
      </c>
    </row>
    <row r="9020" spans="1:2" x14ac:dyDescent="0.25">
      <c r="A9020" t="s">
        <v>1533</v>
      </c>
      <c r="B9020" t="s">
        <v>1174</v>
      </c>
    </row>
    <row r="9021" spans="1:2" x14ac:dyDescent="0.25">
      <c r="A9021" t="s">
        <v>1533</v>
      </c>
      <c r="B9021" t="s">
        <v>1175</v>
      </c>
    </row>
    <row r="9022" spans="1:2" x14ac:dyDescent="0.25">
      <c r="A9022" t="s">
        <v>1533</v>
      </c>
      <c r="B9022" t="s">
        <v>1176</v>
      </c>
    </row>
    <row r="9023" spans="1:2" x14ac:dyDescent="0.25">
      <c r="A9023" t="s">
        <v>1533</v>
      </c>
      <c r="B9023" t="s">
        <v>1177</v>
      </c>
    </row>
    <row r="9024" spans="1:2" x14ac:dyDescent="0.25">
      <c r="A9024" t="s">
        <v>1533</v>
      </c>
      <c r="B9024" t="s">
        <v>1178</v>
      </c>
    </row>
    <row r="9025" spans="1:2" x14ac:dyDescent="0.25">
      <c r="A9025" t="s">
        <v>1533</v>
      </c>
      <c r="B9025" t="s">
        <v>1179</v>
      </c>
    </row>
    <row r="9026" spans="1:2" x14ac:dyDescent="0.25">
      <c r="A9026" t="s">
        <v>1533</v>
      </c>
      <c r="B9026" t="s">
        <v>1179</v>
      </c>
    </row>
    <row r="9027" spans="1:2" x14ac:dyDescent="0.25">
      <c r="A9027" t="s">
        <v>1533</v>
      </c>
      <c r="B9027" t="s">
        <v>1184</v>
      </c>
    </row>
    <row r="9028" spans="1:2" x14ac:dyDescent="0.25">
      <c r="A9028" t="s">
        <v>1533</v>
      </c>
      <c r="B9028" t="s">
        <v>1190</v>
      </c>
    </row>
    <row r="9029" spans="1:2" x14ac:dyDescent="0.25">
      <c r="A9029" t="s">
        <v>1533</v>
      </c>
      <c r="B9029" t="s">
        <v>1206</v>
      </c>
    </row>
    <row r="9030" spans="1:2" x14ac:dyDescent="0.25">
      <c r="A9030" t="s">
        <v>1533</v>
      </c>
      <c r="B9030" t="s">
        <v>1207</v>
      </c>
    </row>
    <row r="9031" spans="1:2" x14ac:dyDescent="0.25">
      <c r="A9031" t="s">
        <v>1533</v>
      </c>
      <c r="B9031" t="s">
        <v>1208</v>
      </c>
    </row>
    <row r="9032" spans="1:2" x14ac:dyDescent="0.25">
      <c r="A9032" t="s">
        <v>1533</v>
      </c>
      <c r="B9032" t="s">
        <v>1233</v>
      </c>
    </row>
    <row r="9033" spans="1:2" x14ac:dyDescent="0.25">
      <c r="A9033" t="s">
        <v>1533</v>
      </c>
      <c r="B9033" t="s">
        <v>1234</v>
      </c>
    </row>
    <row r="9034" spans="1:2" x14ac:dyDescent="0.25">
      <c r="A9034" t="s">
        <v>1982</v>
      </c>
      <c r="B9034" t="s">
        <v>1128</v>
      </c>
    </row>
    <row r="9035" spans="1:2" x14ac:dyDescent="0.25">
      <c r="A9035" t="s">
        <v>1982</v>
      </c>
      <c r="B9035" t="s">
        <v>1134</v>
      </c>
    </row>
    <row r="9036" spans="1:2" x14ac:dyDescent="0.25">
      <c r="A9036" t="s">
        <v>1982</v>
      </c>
      <c r="B9036" t="s">
        <v>1135</v>
      </c>
    </row>
    <row r="9037" spans="1:2" x14ac:dyDescent="0.25">
      <c r="A9037" t="s">
        <v>1982</v>
      </c>
      <c r="B9037" t="s">
        <v>1136</v>
      </c>
    </row>
    <row r="9038" spans="1:2" x14ac:dyDescent="0.25">
      <c r="A9038" t="s">
        <v>1982</v>
      </c>
      <c r="B9038" t="s">
        <v>1137</v>
      </c>
    </row>
    <row r="9039" spans="1:2" x14ac:dyDescent="0.25">
      <c r="A9039" t="s">
        <v>1982</v>
      </c>
      <c r="B9039" t="s">
        <v>1138</v>
      </c>
    </row>
    <row r="9040" spans="1:2" x14ac:dyDescent="0.25">
      <c r="A9040" t="s">
        <v>1983</v>
      </c>
      <c r="B9040" t="s">
        <v>1128</v>
      </c>
    </row>
    <row r="9041" spans="1:2" x14ac:dyDescent="0.25">
      <c r="A9041" t="s">
        <v>1983</v>
      </c>
      <c r="B9041" t="s">
        <v>1129</v>
      </c>
    </row>
    <row r="9042" spans="1:2" x14ac:dyDescent="0.25">
      <c r="A9042" t="s">
        <v>1983</v>
      </c>
      <c r="B9042" t="s">
        <v>1135</v>
      </c>
    </row>
    <row r="9043" spans="1:2" x14ac:dyDescent="0.25">
      <c r="A9043" t="s">
        <v>1983</v>
      </c>
      <c r="B9043" t="s">
        <v>1136</v>
      </c>
    </row>
    <row r="9044" spans="1:2" x14ac:dyDescent="0.25">
      <c r="A9044" t="s">
        <v>1983</v>
      </c>
      <c r="B9044" t="s">
        <v>1137</v>
      </c>
    </row>
    <row r="9045" spans="1:2" x14ac:dyDescent="0.25">
      <c r="A9045" t="s">
        <v>1983</v>
      </c>
      <c r="B9045" t="s">
        <v>1138</v>
      </c>
    </row>
    <row r="9046" spans="1:2" x14ac:dyDescent="0.25">
      <c r="A9046" t="s">
        <v>1983</v>
      </c>
      <c r="B9046" t="s">
        <v>1143</v>
      </c>
    </row>
    <row r="9047" spans="1:2" x14ac:dyDescent="0.25">
      <c r="A9047" t="s">
        <v>1983</v>
      </c>
      <c r="B9047" t="s">
        <v>1144</v>
      </c>
    </row>
    <row r="9048" spans="1:2" x14ac:dyDescent="0.25">
      <c r="A9048" t="s">
        <v>1983</v>
      </c>
      <c r="B9048" t="s">
        <v>1145</v>
      </c>
    </row>
    <row r="9049" spans="1:2" x14ac:dyDescent="0.25">
      <c r="A9049" t="s">
        <v>2303</v>
      </c>
      <c r="B9049" t="s">
        <v>1211</v>
      </c>
    </row>
    <row r="9050" spans="1:2" x14ac:dyDescent="0.25">
      <c r="A9050" t="s">
        <v>2330</v>
      </c>
      <c r="B9050" t="s">
        <v>1223</v>
      </c>
    </row>
    <row r="9051" spans="1:2" x14ac:dyDescent="0.25">
      <c r="A9051" t="s">
        <v>2330</v>
      </c>
      <c r="B9051" t="s">
        <v>1242</v>
      </c>
    </row>
    <row r="9052" spans="1:2" x14ac:dyDescent="0.25">
      <c r="A9052" t="s">
        <v>2330</v>
      </c>
      <c r="B9052" t="s">
        <v>1245</v>
      </c>
    </row>
    <row r="9053" spans="1:2" x14ac:dyDescent="0.25">
      <c r="A9053" t="s">
        <v>2330</v>
      </c>
      <c r="B9053" t="s">
        <v>1250</v>
      </c>
    </row>
    <row r="9054" spans="1:2" x14ac:dyDescent="0.25">
      <c r="A9054" t="s">
        <v>2331</v>
      </c>
      <c r="B9054" t="s">
        <v>1223</v>
      </c>
    </row>
    <row r="9055" spans="1:2" x14ac:dyDescent="0.25">
      <c r="A9055" t="s">
        <v>2331</v>
      </c>
      <c r="B9055" t="s">
        <v>1242</v>
      </c>
    </row>
    <row r="9056" spans="1:2" x14ac:dyDescent="0.25">
      <c r="A9056" t="s">
        <v>2331</v>
      </c>
      <c r="B9056" t="s">
        <v>1245</v>
      </c>
    </row>
    <row r="9057" spans="1:2" x14ac:dyDescent="0.25">
      <c r="A9057" t="s">
        <v>2331</v>
      </c>
      <c r="B9057" t="s">
        <v>1250</v>
      </c>
    </row>
    <row r="9058" spans="1:2" x14ac:dyDescent="0.25">
      <c r="A9058" t="s">
        <v>2332</v>
      </c>
      <c r="B9058" t="s">
        <v>1223</v>
      </c>
    </row>
    <row r="9059" spans="1:2" x14ac:dyDescent="0.25">
      <c r="A9059" t="s">
        <v>2332</v>
      </c>
      <c r="B9059" t="s">
        <v>1242</v>
      </c>
    </row>
    <row r="9060" spans="1:2" x14ac:dyDescent="0.25">
      <c r="A9060" t="s">
        <v>2332</v>
      </c>
      <c r="B9060" t="s">
        <v>1245</v>
      </c>
    </row>
    <row r="9061" spans="1:2" x14ac:dyDescent="0.25">
      <c r="A9061" t="s">
        <v>2332</v>
      </c>
      <c r="B9061" t="s">
        <v>1250</v>
      </c>
    </row>
    <row r="9062" spans="1:2" x14ac:dyDescent="0.25">
      <c r="A9062" s="11" t="s">
        <v>1458</v>
      </c>
      <c r="B9062" t="s">
        <v>1091</v>
      </c>
    </row>
    <row r="9063" spans="1:2" x14ac:dyDescent="0.25">
      <c r="A9063" s="13" t="s">
        <v>1458</v>
      </c>
      <c r="B9063" t="s">
        <v>1092</v>
      </c>
    </row>
    <row r="9064" spans="1:2" x14ac:dyDescent="0.25">
      <c r="A9064" t="s">
        <v>1458</v>
      </c>
      <c r="B9064" t="s">
        <v>1093</v>
      </c>
    </row>
    <row r="9065" spans="1:2" x14ac:dyDescent="0.25">
      <c r="A9065" t="s">
        <v>1458</v>
      </c>
      <c r="B9065" t="s">
        <v>1094</v>
      </c>
    </row>
    <row r="9066" spans="1:2" x14ac:dyDescent="0.25">
      <c r="A9066" t="s">
        <v>1458</v>
      </c>
      <c r="B9066" t="s">
        <v>1095</v>
      </c>
    </row>
    <row r="9067" spans="1:2" x14ac:dyDescent="0.25">
      <c r="A9067" t="s">
        <v>1458</v>
      </c>
      <c r="B9067" t="s">
        <v>1096</v>
      </c>
    </row>
    <row r="9068" spans="1:2" x14ac:dyDescent="0.25">
      <c r="A9068" t="s">
        <v>1458</v>
      </c>
      <c r="B9068" t="s">
        <v>1097</v>
      </c>
    </row>
    <row r="9069" spans="1:2" x14ac:dyDescent="0.25">
      <c r="A9069" t="s">
        <v>1458</v>
      </c>
      <c r="B9069" t="s">
        <v>1098</v>
      </c>
    </row>
    <row r="9070" spans="1:2" x14ac:dyDescent="0.25">
      <c r="A9070" t="s">
        <v>1458</v>
      </c>
      <c r="B9070" t="s">
        <v>1099</v>
      </c>
    </row>
    <row r="9071" spans="1:2" x14ac:dyDescent="0.25">
      <c r="A9071" t="s">
        <v>1458</v>
      </c>
      <c r="B9071" t="s">
        <v>1100</v>
      </c>
    </row>
    <row r="9072" spans="1:2" x14ac:dyDescent="0.25">
      <c r="A9072" t="s">
        <v>1458</v>
      </c>
      <c r="B9072" t="s">
        <v>1101</v>
      </c>
    </row>
    <row r="9073" spans="1:2" x14ac:dyDescent="0.25">
      <c r="A9073" t="s">
        <v>1458</v>
      </c>
      <c r="B9073" t="s">
        <v>1102</v>
      </c>
    </row>
    <row r="9074" spans="1:2" x14ac:dyDescent="0.25">
      <c r="A9074" t="s">
        <v>1458</v>
      </c>
      <c r="B9074" t="s">
        <v>1102</v>
      </c>
    </row>
    <row r="9075" spans="1:2" x14ac:dyDescent="0.25">
      <c r="A9075" t="s">
        <v>1458</v>
      </c>
      <c r="B9075" t="s">
        <v>1103</v>
      </c>
    </row>
    <row r="9076" spans="1:2" x14ac:dyDescent="0.25">
      <c r="A9076" t="s">
        <v>1458</v>
      </c>
      <c r="B9076" t="s">
        <v>1104</v>
      </c>
    </row>
    <row r="9077" spans="1:2" x14ac:dyDescent="0.25">
      <c r="A9077" t="s">
        <v>1458</v>
      </c>
      <c r="B9077" t="s">
        <v>1104</v>
      </c>
    </row>
    <row r="9078" spans="1:2" x14ac:dyDescent="0.25">
      <c r="A9078" t="s">
        <v>1458</v>
      </c>
      <c r="B9078" t="s">
        <v>1105</v>
      </c>
    </row>
    <row r="9079" spans="1:2" x14ac:dyDescent="0.25">
      <c r="A9079" t="s">
        <v>1458</v>
      </c>
      <c r="B9079" t="s">
        <v>1106</v>
      </c>
    </row>
    <row r="9080" spans="1:2" x14ac:dyDescent="0.25">
      <c r="A9080" t="s">
        <v>1458</v>
      </c>
      <c r="B9080" t="s">
        <v>1107</v>
      </c>
    </row>
    <row r="9081" spans="1:2" x14ac:dyDescent="0.25">
      <c r="A9081" t="s">
        <v>1458</v>
      </c>
      <c r="B9081" t="s">
        <v>1108</v>
      </c>
    </row>
    <row r="9082" spans="1:2" x14ac:dyDescent="0.25">
      <c r="A9082" t="s">
        <v>1458</v>
      </c>
      <c r="B9082" t="s">
        <v>1109</v>
      </c>
    </row>
    <row r="9083" spans="1:2" x14ac:dyDescent="0.25">
      <c r="A9083" t="s">
        <v>1458</v>
      </c>
      <c r="B9083" t="s">
        <v>1110</v>
      </c>
    </row>
    <row r="9084" spans="1:2" x14ac:dyDescent="0.25">
      <c r="A9084" t="s">
        <v>1458</v>
      </c>
      <c r="B9084" t="s">
        <v>1111</v>
      </c>
    </row>
    <row r="9085" spans="1:2" x14ac:dyDescent="0.25">
      <c r="A9085" t="s">
        <v>1458</v>
      </c>
      <c r="B9085" t="s">
        <v>1112</v>
      </c>
    </row>
    <row r="9086" spans="1:2" x14ac:dyDescent="0.25">
      <c r="A9086" t="s">
        <v>1458</v>
      </c>
      <c r="B9086" t="s">
        <v>1113</v>
      </c>
    </row>
    <row r="9087" spans="1:2" x14ac:dyDescent="0.25">
      <c r="A9087" t="s">
        <v>1458</v>
      </c>
      <c r="B9087" t="s">
        <v>1114</v>
      </c>
    </row>
    <row r="9088" spans="1:2" x14ac:dyDescent="0.25">
      <c r="A9088" t="s">
        <v>1458</v>
      </c>
      <c r="B9088" t="s">
        <v>1115</v>
      </c>
    </row>
    <row r="9089" spans="1:2" x14ac:dyDescent="0.25">
      <c r="A9089" t="s">
        <v>1458</v>
      </c>
      <c r="B9089" t="s">
        <v>1116</v>
      </c>
    </row>
    <row r="9090" spans="1:2" x14ac:dyDescent="0.25">
      <c r="A9090" t="s">
        <v>1458</v>
      </c>
      <c r="B9090" t="s">
        <v>1116</v>
      </c>
    </row>
    <row r="9091" spans="1:2" x14ac:dyDescent="0.25">
      <c r="A9091" t="s">
        <v>1458</v>
      </c>
      <c r="B9091" t="s">
        <v>1117</v>
      </c>
    </row>
    <row r="9092" spans="1:2" x14ac:dyDescent="0.25">
      <c r="A9092" t="s">
        <v>1458</v>
      </c>
      <c r="B9092" t="s">
        <v>1118</v>
      </c>
    </row>
    <row r="9093" spans="1:2" x14ac:dyDescent="0.25">
      <c r="A9093" t="s">
        <v>1458</v>
      </c>
      <c r="B9093" t="s">
        <v>1119</v>
      </c>
    </row>
    <row r="9094" spans="1:2" x14ac:dyDescent="0.25">
      <c r="A9094" t="s">
        <v>1458</v>
      </c>
      <c r="B9094" t="s">
        <v>1120</v>
      </c>
    </row>
    <row r="9095" spans="1:2" x14ac:dyDescent="0.25">
      <c r="A9095" t="s">
        <v>1458</v>
      </c>
      <c r="B9095" t="s">
        <v>1121</v>
      </c>
    </row>
    <row r="9096" spans="1:2" x14ac:dyDescent="0.25">
      <c r="A9096" t="s">
        <v>1458</v>
      </c>
      <c r="B9096" t="s">
        <v>1121</v>
      </c>
    </row>
    <row r="9097" spans="1:2" x14ac:dyDescent="0.25">
      <c r="A9097" t="s">
        <v>1458</v>
      </c>
      <c r="B9097" t="s">
        <v>1122</v>
      </c>
    </row>
    <row r="9098" spans="1:2" x14ac:dyDescent="0.25">
      <c r="A9098" t="s">
        <v>1458</v>
      </c>
      <c r="B9098" t="s">
        <v>1122</v>
      </c>
    </row>
    <row r="9099" spans="1:2" x14ac:dyDescent="0.25">
      <c r="A9099" t="s">
        <v>1458</v>
      </c>
      <c r="B9099" t="s">
        <v>1123</v>
      </c>
    </row>
    <row r="9100" spans="1:2" x14ac:dyDescent="0.25">
      <c r="A9100" t="s">
        <v>1458</v>
      </c>
      <c r="B9100" t="s">
        <v>1123</v>
      </c>
    </row>
    <row r="9101" spans="1:2" x14ac:dyDescent="0.25">
      <c r="A9101" t="s">
        <v>1458</v>
      </c>
      <c r="B9101" t="s">
        <v>1124</v>
      </c>
    </row>
    <row r="9102" spans="1:2" x14ac:dyDescent="0.25">
      <c r="A9102" t="s">
        <v>1458</v>
      </c>
      <c r="B9102" t="s">
        <v>1125</v>
      </c>
    </row>
    <row r="9103" spans="1:2" x14ac:dyDescent="0.25">
      <c r="A9103" t="s">
        <v>1458</v>
      </c>
      <c r="B9103" t="s">
        <v>1161</v>
      </c>
    </row>
    <row r="9104" spans="1:2" x14ac:dyDescent="0.25">
      <c r="A9104" t="s">
        <v>2291</v>
      </c>
      <c r="B9104" t="s">
        <v>1196</v>
      </c>
    </row>
    <row r="9105" spans="1:2" x14ac:dyDescent="0.25">
      <c r="A9105" t="s">
        <v>2290</v>
      </c>
      <c r="B9105" t="s">
        <v>1196</v>
      </c>
    </row>
    <row r="9106" spans="1:2" x14ac:dyDescent="0.25">
      <c r="A9106" t="s">
        <v>2232</v>
      </c>
      <c r="B9106" t="s">
        <v>1167</v>
      </c>
    </row>
    <row r="9107" spans="1:2" x14ac:dyDescent="0.25">
      <c r="A9107" t="s">
        <v>2232</v>
      </c>
      <c r="B9107" t="s">
        <v>1168</v>
      </c>
    </row>
    <row r="9108" spans="1:2" x14ac:dyDescent="0.25">
      <c r="A9108" t="s">
        <v>2232</v>
      </c>
      <c r="B9108" t="s">
        <v>1196</v>
      </c>
    </row>
    <row r="9109" spans="1:2" x14ac:dyDescent="0.25">
      <c r="A9109" t="s">
        <v>1603</v>
      </c>
      <c r="B9109" t="s">
        <v>1096</v>
      </c>
    </row>
    <row r="9110" spans="1:2" x14ac:dyDescent="0.25">
      <c r="A9110" t="s">
        <v>1603</v>
      </c>
      <c r="B9110" t="s">
        <v>1099</v>
      </c>
    </row>
    <row r="9111" spans="1:2" x14ac:dyDescent="0.25">
      <c r="A9111" t="s">
        <v>1603</v>
      </c>
      <c r="B9111" t="s">
        <v>1100</v>
      </c>
    </row>
    <row r="9112" spans="1:2" x14ac:dyDescent="0.25">
      <c r="A9112" t="s">
        <v>1603</v>
      </c>
      <c r="B9112" t="s">
        <v>1101</v>
      </c>
    </row>
    <row r="9113" spans="1:2" x14ac:dyDescent="0.25">
      <c r="A9113" t="s">
        <v>1603</v>
      </c>
      <c r="B9113" t="s">
        <v>1102</v>
      </c>
    </row>
    <row r="9114" spans="1:2" x14ac:dyDescent="0.25">
      <c r="A9114" t="s">
        <v>1603</v>
      </c>
      <c r="B9114" t="s">
        <v>1103</v>
      </c>
    </row>
    <row r="9115" spans="1:2" x14ac:dyDescent="0.25">
      <c r="A9115" t="s">
        <v>1603</v>
      </c>
      <c r="B9115" t="s">
        <v>1104</v>
      </c>
    </row>
    <row r="9116" spans="1:2" x14ac:dyDescent="0.25">
      <c r="A9116" t="s">
        <v>1603</v>
      </c>
      <c r="B9116" t="s">
        <v>1105</v>
      </c>
    </row>
    <row r="9117" spans="1:2" x14ac:dyDescent="0.25">
      <c r="A9117" t="s">
        <v>1603</v>
      </c>
      <c r="B9117" t="s">
        <v>1106</v>
      </c>
    </row>
    <row r="9118" spans="1:2" x14ac:dyDescent="0.25">
      <c r="A9118" t="s">
        <v>1603</v>
      </c>
      <c r="B9118" t="s">
        <v>1161</v>
      </c>
    </row>
    <row r="9119" spans="1:2" x14ac:dyDescent="0.25">
      <c r="A9119" t="s">
        <v>1603</v>
      </c>
      <c r="B9119" t="s">
        <v>1162</v>
      </c>
    </row>
    <row r="9120" spans="1:2" x14ac:dyDescent="0.25">
      <c r="A9120" t="s">
        <v>1603</v>
      </c>
      <c r="B9120" t="s">
        <v>1163</v>
      </c>
    </row>
    <row r="9121" spans="1:2" x14ac:dyDescent="0.25">
      <c r="A9121" t="s">
        <v>1603</v>
      </c>
      <c r="B9121" t="s">
        <v>1164</v>
      </c>
    </row>
    <row r="9122" spans="1:2" x14ac:dyDescent="0.25">
      <c r="A9122" t="s">
        <v>1603</v>
      </c>
      <c r="B9122" t="s">
        <v>1168</v>
      </c>
    </row>
    <row r="9123" spans="1:2" x14ac:dyDescent="0.25">
      <c r="A9123" t="s">
        <v>1603</v>
      </c>
      <c r="B9123" t="s">
        <v>1170</v>
      </c>
    </row>
    <row r="9124" spans="1:2" x14ac:dyDescent="0.25">
      <c r="A9124" t="s">
        <v>1603</v>
      </c>
      <c r="B9124" t="s">
        <v>1196</v>
      </c>
    </row>
    <row r="9125" spans="1:2" x14ac:dyDescent="0.25">
      <c r="A9125" t="s">
        <v>2233</v>
      </c>
      <c r="B9125" t="s">
        <v>1167</v>
      </c>
    </row>
    <row r="9126" spans="1:2" x14ac:dyDescent="0.25">
      <c r="A9126" t="s">
        <v>2233</v>
      </c>
      <c r="B9126" t="s">
        <v>1168</v>
      </c>
    </row>
    <row r="9127" spans="1:2" x14ac:dyDescent="0.25">
      <c r="A9127" t="s">
        <v>2233</v>
      </c>
      <c r="B9127" t="s">
        <v>1196</v>
      </c>
    </row>
    <row r="9128" spans="1:2" x14ac:dyDescent="0.25">
      <c r="A9128" t="s">
        <v>1602</v>
      </c>
      <c r="B9128" t="s">
        <v>1096</v>
      </c>
    </row>
    <row r="9129" spans="1:2" x14ac:dyDescent="0.25">
      <c r="A9129" t="s">
        <v>1602</v>
      </c>
      <c r="B9129" t="s">
        <v>1099</v>
      </c>
    </row>
    <row r="9130" spans="1:2" x14ac:dyDescent="0.25">
      <c r="A9130" t="s">
        <v>1602</v>
      </c>
      <c r="B9130" t="s">
        <v>1100</v>
      </c>
    </row>
    <row r="9131" spans="1:2" x14ac:dyDescent="0.25">
      <c r="A9131" t="s">
        <v>1602</v>
      </c>
      <c r="B9131" t="s">
        <v>1101</v>
      </c>
    </row>
    <row r="9132" spans="1:2" x14ac:dyDescent="0.25">
      <c r="A9132" t="s">
        <v>1602</v>
      </c>
      <c r="B9132" t="s">
        <v>1102</v>
      </c>
    </row>
    <row r="9133" spans="1:2" x14ac:dyDescent="0.25">
      <c r="A9133" t="s">
        <v>1602</v>
      </c>
      <c r="B9133" t="s">
        <v>1103</v>
      </c>
    </row>
    <row r="9134" spans="1:2" x14ac:dyDescent="0.25">
      <c r="A9134" t="s">
        <v>1602</v>
      </c>
      <c r="B9134" t="s">
        <v>1104</v>
      </c>
    </row>
    <row r="9135" spans="1:2" x14ac:dyDescent="0.25">
      <c r="A9135" t="s">
        <v>1602</v>
      </c>
      <c r="B9135" t="s">
        <v>1105</v>
      </c>
    </row>
    <row r="9136" spans="1:2" x14ac:dyDescent="0.25">
      <c r="A9136" t="s">
        <v>1602</v>
      </c>
      <c r="B9136" t="s">
        <v>1106</v>
      </c>
    </row>
    <row r="9137" spans="1:2" x14ac:dyDescent="0.25">
      <c r="A9137" t="s">
        <v>1602</v>
      </c>
      <c r="B9137" t="s">
        <v>1161</v>
      </c>
    </row>
    <row r="9138" spans="1:2" x14ac:dyDescent="0.25">
      <c r="A9138" t="s">
        <v>1602</v>
      </c>
      <c r="B9138" t="s">
        <v>1162</v>
      </c>
    </row>
    <row r="9139" spans="1:2" x14ac:dyDescent="0.25">
      <c r="A9139" t="s">
        <v>1602</v>
      </c>
      <c r="B9139" t="s">
        <v>1163</v>
      </c>
    </row>
    <row r="9140" spans="1:2" x14ac:dyDescent="0.25">
      <c r="A9140" t="s">
        <v>1602</v>
      </c>
      <c r="B9140" t="s">
        <v>1164</v>
      </c>
    </row>
    <row r="9141" spans="1:2" x14ac:dyDescent="0.25">
      <c r="A9141" t="s">
        <v>1602</v>
      </c>
      <c r="B9141" t="s">
        <v>1168</v>
      </c>
    </row>
    <row r="9142" spans="1:2" x14ac:dyDescent="0.25">
      <c r="A9142" t="s">
        <v>1602</v>
      </c>
      <c r="B9142" t="s">
        <v>1170</v>
      </c>
    </row>
    <row r="9143" spans="1:2" x14ac:dyDescent="0.25">
      <c r="A9143" t="s">
        <v>1602</v>
      </c>
      <c r="B9143" t="s">
        <v>1196</v>
      </c>
    </row>
    <row r="9144" spans="1:2" x14ac:dyDescent="0.25">
      <c r="A9144" t="s">
        <v>1854</v>
      </c>
      <c r="B9144" t="s">
        <v>1112</v>
      </c>
    </row>
    <row r="9145" spans="1:2" x14ac:dyDescent="0.25">
      <c r="A9145" t="s">
        <v>1854</v>
      </c>
      <c r="B9145" t="s">
        <v>1113</v>
      </c>
    </row>
    <row r="9146" spans="1:2" x14ac:dyDescent="0.25">
      <c r="A9146" t="s">
        <v>1854</v>
      </c>
      <c r="B9146" t="s">
        <v>1114</v>
      </c>
    </row>
    <row r="9147" spans="1:2" x14ac:dyDescent="0.25">
      <c r="A9147" t="s">
        <v>1854</v>
      </c>
      <c r="B9147" t="s">
        <v>1115</v>
      </c>
    </row>
    <row r="9148" spans="1:2" x14ac:dyDescent="0.25">
      <c r="A9148" t="s">
        <v>1854</v>
      </c>
      <c r="B9148" t="s">
        <v>1167</v>
      </c>
    </row>
    <row r="9149" spans="1:2" x14ac:dyDescent="0.25">
      <c r="A9149" t="s">
        <v>1854</v>
      </c>
      <c r="B9149" t="s">
        <v>1168</v>
      </c>
    </row>
    <row r="9150" spans="1:2" x14ac:dyDescent="0.25">
      <c r="A9150" t="s">
        <v>1854</v>
      </c>
      <c r="B9150" t="s">
        <v>1196</v>
      </c>
    </row>
    <row r="9151" spans="1:2" x14ac:dyDescent="0.25">
      <c r="A9151" t="s">
        <v>1601</v>
      </c>
      <c r="B9151" t="s">
        <v>1096</v>
      </c>
    </row>
    <row r="9152" spans="1:2" x14ac:dyDescent="0.25">
      <c r="A9152" t="s">
        <v>1601</v>
      </c>
      <c r="B9152" t="s">
        <v>1099</v>
      </c>
    </row>
    <row r="9153" spans="1:2" x14ac:dyDescent="0.25">
      <c r="A9153" t="s">
        <v>1601</v>
      </c>
      <c r="B9153" t="s">
        <v>1100</v>
      </c>
    </row>
    <row r="9154" spans="1:2" x14ac:dyDescent="0.25">
      <c r="A9154" t="s">
        <v>1601</v>
      </c>
      <c r="B9154" t="s">
        <v>1101</v>
      </c>
    </row>
    <row r="9155" spans="1:2" x14ac:dyDescent="0.25">
      <c r="A9155" t="s">
        <v>1601</v>
      </c>
      <c r="B9155" t="s">
        <v>1102</v>
      </c>
    </row>
    <row r="9156" spans="1:2" x14ac:dyDescent="0.25">
      <c r="A9156" t="s">
        <v>1601</v>
      </c>
      <c r="B9156" t="s">
        <v>1103</v>
      </c>
    </row>
    <row r="9157" spans="1:2" x14ac:dyDescent="0.25">
      <c r="A9157" t="s">
        <v>1601</v>
      </c>
      <c r="B9157" t="s">
        <v>1104</v>
      </c>
    </row>
    <row r="9158" spans="1:2" x14ac:dyDescent="0.25">
      <c r="A9158" t="s">
        <v>1601</v>
      </c>
      <c r="B9158" t="s">
        <v>1105</v>
      </c>
    </row>
    <row r="9159" spans="1:2" x14ac:dyDescent="0.25">
      <c r="A9159" t="s">
        <v>1601</v>
      </c>
      <c r="B9159" t="s">
        <v>1106</v>
      </c>
    </row>
    <row r="9160" spans="1:2" x14ac:dyDescent="0.25">
      <c r="A9160" t="s">
        <v>1601</v>
      </c>
      <c r="B9160" t="s">
        <v>1161</v>
      </c>
    </row>
    <row r="9161" spans="1:2" x14ac:dyDescent="0.25">
      <c r="A9161" t="s">
        <v>1601</v>
      </c>
      <c r="B9161" t="s">
        <v>1162</v>
      </c>
    </row>
    <row r="9162" spans="1:2" x14ac:dyDescent="0.25">
      <c r="A9162" t="s">
        <v>1601</v>
      </c>
      <c r="B9162" t="s">
        <v>1163</v>
      </c>
    </row>
    <row r="9163" spans="1:2" x14ac:dyDescent="0.25">
      <c r="A9163" t="s">
        <v>1601</v>
      </c>
      <c r="B9163" t="s">
        <v>1164</v>
      </c>
    </row>
    <row r="9164" spans="1:2" x14ac:dyDescent="0.25">
      <c r="A9164" t="s">
        <v>1601</v>
      </c>
      <c r="B9164" t="s">
        <v>1168</v>
      </c>
    </row>
    <row r="9165" spans="1:2" x14ac:dyDescent="0.25">
      <c r="A9165" t="s">
        <v>1601</v>
      </c>
      <c r="B9165" t="s">
        <v>1170</v>
      </c>
    </row>
    <row r="9166" spans="1:2" x14ac:dyDescent="0.25">
      <c r="A9166" t="s">
        <v>1601</v>
      </c>
      <c r="B9166" t="s">
        <v>1196</v>
      </c>
    </row>
    <row r="9167" spans="1:2" x14ac:dyDescent="0.25">
      <c r="A9167" t="s">
        <v>1855</v>
      </c>
      <c r="B9167" t="s">
        <v>1112</v>
      </c>
    </row>
    <row r="9168" spans="1:2" x14ac:dyDescent="0.25">
      <c r="A9168" t="s">
        <v>1855</v>
      </c>
      <c r="B9168" t="s">
        <v>1113</v>
      </c>
    </row>
    <row r="9169" spans="1:2" x14ac:dyDescent="0.25">
      <c r="A9169" t="s">
        <v>1855</v>
      </c>
      <c r="B9169" t="s">
        <v>1114</v>
      </c>
    </row>
    <row r="9170" spans="1:2" x14ac:dyDescent="0.25">
      <c r="A9170" t="s">
        <v>1855</v>
      </c>
      <c r="B9170" t="s">
        <v>1115</v>
      </c>
    </row>
    <row r="9171" spans="1:2" x14ac:dyDescent="0.25">
      <c r="A9171" t="s">
        <v>1855</v>
      </c>
      <c r="B9171" t="s">
        <v>1167</v>
      </c>
    </row>
    <row r="9172" spans="1:2" x14ac:dyDescent="0.25">
      <c r="A9172" t="s">
        <v>1855</v>
      </c>
      <c r="B9172" t="s">
        <v>1168</v>
      </c>
    </row>
    <row r="9173" spans="1:2" x14ac:dyDescent="0.25">
      <c r="A9173" t="s">
        <v>1855</v>
      </c>
      <c r="B9173" t="s">
        <v>1196</v>
      </c>
    </row>
    <row r="9174" spans="1:2" x14ac:dyDescent="0.25">
      <c r="A9174" t="s">
        <v>1600</v>
      </c>
      <c r="B9174" t="s">
        <v>1096</v>
      </c>
    </row>
    <row r="9175" spans="1:2" x14ac:dyDescent="0.25">
      <c r="A9175" t="s">
        <v>1600</v>
      </c>
      <c r="B9175" t="s">
        <v>1099</v>
      </c>
    </row>
    <row r="9176" spans="1:2" x14ac:dyDescent="0.25">
      <c r="A9176" t="s">
        <v>1600</v>
      </c>
      <c r="B9176" t="s">
        <v>1100</v>
      </c>
    </row>
    <row r="9177" spans="1:2" x14ac:dyDescent="0.25">
      <c r="A9177" t="s">
        <v>1600</v>
      </c>
      <c r="B9177" t="s">
        <v>1101</v>
      </c>
    </row>
    <row r="9178" spans="1:2" x14ac:dyDescent="0.25">
      <c r="A9178" t="s">
        <v>1600</v>
      </c>
      <c r="B9178" t="s">
        <v>1102</v>
      </c>
    </row>
    <row r="9179" spans="1:2" x14ac:dyDescent="0.25">
      <c r="A9179" t="s">
        <v>1600</v>
      </c>
      <c r="B9179" t="s">
        <v>1103</v>
      </c>
    </row>
    <row r="9180" spans="1:2" x14ac:dyDescent="0.25">
      <c r="A9180" t="s">
        <v>1600</v>
      </c>
      <c r="B9180" t="s">
        <v>1104</v>
      </c>
    </row>
    <row r="9181" spans="1:2" x14ac:dyDescent="0.25">
      <c r="A9181" t="s">
        <v>1600</v>
      </c>
      <c r="B9181" t="s">
        <v>1105</v>
      </c>
    </row>
    <row r="9182" spans="1:2" x14ac:dyDescent="0.25">
      <c r="A9182" t="s">
        <v>1600</v>
      </c>
      <c r="B9182" t="s">
        <v>1106</v>
      </c>
    </row>
    <row r="9183" spans="1:2" x14ac:dyDescent="0.25">
      <c r="A9183" t="s">
        <v>1600</v>
      </c>
      <c r="B9183" t="s">
        <v>1107</v>
      </c>
    </row>
    <row r="9184" spans="1:2" x14ac:dyDescent="0.25">
      <c r="A9184" t="s">
        <v>1600</v>
      </c>
      <c r="B9184" t="s">
        <v>1142</v>
      </c>
    </row>
    <row r="9185" spans="1:2" x14ac:dyDescent="0.25">
      <c r="A9185" t="s">
        <v>1600</v>
      </c>
      <c r="B9185" t="s">
        <v>1148</v>
      </c>
    </row>
    <row r="9186" spans="1:2" x14ac:dyDescent="0.25">
      <c r="A9186" t="s">
        <v>1600</v>
      </c>
      <c r="B9186" t="s">
        <v>1161</v>
      </c>
    </row>
    <row r="9187" spans="1:2" x14ac:dyDescent="0.25">
      <c r="A9187" t="s">
        <v>1600</v>
      </c>
      <c r="B9187" t="s">
        <v>1162</v>
      </c>
    </row>
    <row r="9188" spans="1:2" x14ac:dyDescent="0.25">
      <c r="A9188" t="s">
        <v>1600</v>
      </c>
      <c r="B9188" t="s">
        <v>1163</v>
      </c>
    </row>
    <row r="9189" spans="1:2" x14ac:dyDescent="0.25">
      <c r="A9189" t="s">
        <v>1600</v>
      </c>
      <c r="B9189" t="s">
        <v>1164</v>
      </c>
    </row>
    <row r="9190" spans="1:2" x14ac:dyDescent="0.25">
      <c r="A9190" t="s">
        <v>1600</v>
      </c>
      <c r="B9190" t="s">
        <v>1167</v>
      </c>
    </row>
    <row r="9191" spans="1:2" x14ac:dyDescent="0.25">
      <c r="A9191" t="s">
        <v>1600</v>
      </c>
      <c r="B9191" t="s">
        <v>1168</v>
      </c>
    </row>
    <row r="9192" spans="1:2" x14ac:dyDescent="0.25">
      <c r="A9192" t="s">
        <v>1600</v>
      </c>
      <c r="B9192" t="s">
        <v>1169</v>
      </c>
    </row>
    <row r="9193" spans="1:2" x14ac:dyDescent="0.25">
      <c r="A9193" t="s">
        <v>1600</v>
      </c>
      <c r="B9193" t="s">
        <v>1170</v>
      </c>
    </row>
    <row r="9194" spans="1:2" x14ac:dyDescent="0.25">
      <c r="A9194" t="s">
        <v>1600</v>
      </c>
      <c r="B9194" t="s">
        <v>1178</v>
      </c>
    </row>
    <row r="9195" spans="1:2" x14ac:dyDescent="0.25">
      <c r="A9195" t="s">
        <v>1600</v>
      </c>
      <c r="B9195" t="s">
        <v>1196</v>
      </c>
    </row>
    <row r="9196" spans="1:2" x14ac:dyDescent="0.25">
      <c r="A9196" t="s">
        <v>1600</v>
      </c>
      <c r="B9196" t="s">
        <v>1202</v>
      </c>
    </row>
    <row r="9197" spans="1:2" x14ac:dyDescent="0.25">
      <c r="A9197" t="s">
        <v>1600</v>
      </c>
      <c r="B9197" t="s">
        <v>1207</v>
      </c>
    </row>
    <row r="9198" spans="1:2" x14ac:dyDescent="0.25">
      <c r="A9198" t="s">
        <v>2136</v>
      </c>
      <c r="B9198" t="s">
        <v>1142</v>
      </c>
    </row>
    <row r="9199" spans="1:2" x14ac:dyDescent="0.25">
      <c r="A9199" t="s">
        <v>2136</v>
      </c>
      <c r="B9199" t="s">
        <v>1148</v>
      </c>
    </row>
    <row r="9200" spans="1:2" x14ac:dyDescent="0.25">
      <c r="A9200" t="s">
        <v>2136</v>
      </c>
      <c r="B9200" t="s">
        <v>1178</v>
      </c>
    </row>
    <row r="9201" spans="1:2" x14ac:dyDescent="0.25">
      <c r="A9201" t="s">
        <v>2136</v>
      </c>
      <c r="B9201" t="s">
        <v>1201</v>
      </c>
    </row>
    <row r="9202" spans="1:2" x14ac:dyDescent="0.25">
      <c r="A9202" t="s">
        <v>2136</v>
      </c>
      <c r="B9202" t="s">
        <v>1202</v>
      </c>
    </row>
    <row r="9203" spans="1:2" x14ac:dyDescent="0.25">
      <c r="A9203" t="s">
        <v>2136</v>
      </c>
      <c r="B9203" t="s">
        <v>1206</v>
      </c>
    </row>
    <row r="9204" spans="1:2" x14ac:dyDescent="0.25">
      <c r="A9204" t="s">
        <v>2136</v>
      </c>
      <c r="B9204" t="s">
        <v>1207</v>
      </c>
    </row>
    <row r="9205" spans="1:2" x14ac:dyDescent="0.25">
      <c r="A9205" t="s">
        <v>2136</v>
      </c>
      <c r="B9205" t="s">
        <v>1215</v>
      </c>
    </row>
    <row r="9206" spans="1:2" x14ac:dyDescent="0.25">
      <c r="A9206" t="s">
        <v>2136</v>
      </c>
      <c r="B9206" t="s">
        <v>1223</v>
      </c>
    </row>
    <row r="9207" spans="1:2" x14ac:dyDescent="0.25">
      <c r="A9207" t="s">
        <v>2137</v>
      </c>
      <c r="B9207" t="s">
        <v>1142</v>
      </c>
    </row>
    <row r="9208" spans="1:2" x14ac:dyDescent="0.25">
      <c r="A9208" t="s">
        <v>2137</v>
      </c>
      <c r="B9208" t="s">
        <v>1148</v>
      </c>
    </row>
    <row r="9209" spans="1:2" x14ac:dyDescent="0.25">
      <c r="A9209" t="s">
        <v>2137</v>
      </c>
      <c r="B9209" t="s">
        <v>1178</v>
      </c>
    </row>
    <row r="9210" spans="1:2" x14ac:dyDescent="0.25">
      <c r="A9210" t="s">
        <v>2137</v>
      </c>
      <c r="B9210" t="s">
        <v>1201</v>
      </c>
    </row>
    <row r="9211" spans="1:2" x14ac:dyDescent="0.25">
      <c r="A9211" t="s">
        <v>2137</v>
      </c>
      <c r="B9211" t="s">
        <v>1202</v>
      </c>
    </row>
    <row r="9212" spans="1:2" x14ac:dyDescent="0.25">
      <c r="A9212" t="s">
        <v>2137</v>
      </c>
      <c r="B9212" t="s">
        <v>1206</v>
      </c>
    </row>
    <row r="9213" spans="1:2" x14ac:dyDescent="0.25">
      <c r="A9213" t="s">
        <v>2137</v>
      </c>
      <c r="B9213" t="s">
        <v>1207</v>
      </c>
    </row>
    <row r="9214" spans="1:2" x14ac:dyDescent="0.25">
      <c r="A9214" t="s">
        <v>2137</v>
      </c>
      <c r="B9214" t="s">
        <v>1215</v>
      </c>
    </row>
    <row r="9215" spans="1:2" x14ac:dyDescent="0.25">
      <c r="A9215" t="s">
        <v>2324</v>
      </c>
      <c r="B9215" t="s">
        <v>1223</v>
      </c>
    </row>
    <row r="9216" spans="1:2" x14ac:dyDescent="0.25">
      <c r="A9216" t="s">
        <v>2325</v>
      </c>
      <c r="B9216" t="s">
        <v>1223</v>
      </c>
    </row>
    <row r="9217" spans="1:2" x14ac:dyDescent="0.25">
      <c r="A9217" t="s">
        <v>2326</v>
      </c>
      <c r="B9217" t="s">
        <v>1223</v>
      </c>
    </row>
    <row r="9218" spans="1:2" x14ac:dyDescent="0.25">
      <c r="A9218" t="s">
        <v>1662</v>
      </c>
      <c r="B9218" t="s">
        <v>1099</v>
      </c>
    </row>
    <row r="9219" spans="1:2" x14ac:dyDescent="0.25">
      <c r="A9219" t="s">
        <v>1662</v>
      </c>
      <c r="B9219" t="s">
        <v>1100</v>
      </c>
    </row>
    <row r="9220" spans="1:2" x14ac:dyDescent="0.25">
      <c r="A9220" t="s">
        <v>1662</v>
      </c>
      <c r="B9220" t="s">
        <v>1101</v>
      </c>
    </row>
    <row r="9221" spans="1:2" x14ac:dyDescent="0.25">
      <c r="A9221" t="s">
        <v>1662</v>
      </c>
      <c r="B9221" t="s">
        <v>1102</v>
      </c>
    </row>
    <row r="9222" spans="1:2" x14ac:dyDescent="0.25">
      <c r="A9222" t="s">
        <v>1662</v>
      </c>
      <c r="B9222" t="s">
        <v>1103</v>
      </c>
    </row>
    <row r="9223" spans="1:2" x14ac:dyDescent="0.25">
      <c r="A9223" t="s">
        <v>1662</v>
      </c>
      <c r="B9223" t="s">
        <v>1104</v>
      </c>
    </row>
    <row r="9224" spans="1:2" x14ac:dyDescent="0.25">
      <c r="A9224" t="s">
        <v>1662</v>
      </c>
      <c r="B9224" t="s">
        <v>1105</v>
      </c>
    </row>
    <row r="9225" spans="1:2" x14ac:dyDescent="0.25">
      <c r="A9225" t="s">
        <v>1662</v>
      </c>
      <c r="B9225" t="s">
        <v>1106</v>
      </c>
    </row>
    <row r="9226" spans="1:2" x14ac:dyDescent="0.25">
      <c r="A9226" t="s">
        <v>1662</v>
      </c>
      <c r="B9226" t="s">
        <v>1108</v>
      </c>
    </row>
    <row r="9227" spans="1:2" x14ac:dyDescent="0.25">
      <c r="A9227" t="s">
        <v>1662</v>
      </c>
      <c r="B9227" t="s">
        <v>1164</v>
      </c>
    </row>
    <row r="9228" spans="1:2" x14ac:dyDescent="0.25">
      <c r="A9228" t="s">
        <v>1662</v>
      </c>
      <c r="B9228" t="s">
        <v>1196</v>
      </c>
    </row>
    <row r="9229" spans="1:2" x14ac:dyDescent="0.25">
      <c r="A9229" t="s">
        <v>1663</v>
      </c>
      <c r="B9229" t="s">
        <v>1099</v>
      </c>
    </row>
    <row r="9230" spans="1:2" x14ac:dyDescent="0.25">
      <c r="A9230" t="s">
        <v>1663</v>
      </c>
      <c r="B9230" t="s">
        <v>1100</v>
      </c>
    </row>
    <row r="9231" spans="1:2" x14ac:dyDescent="0.25">
      <c r="A9231" t="s">
        <v>1663</v>
      </c>
      <c r="B9231" t="s">
        <v>1101</v>
      </c>
    </row>
    <row r="9232" spans="1:2" x14ac:dyDescent="0.25">
      <c r="A9232" t="s">
        <v>1663</v>
      </c>
      <c r="B9232" t="s">
        <v>1102</v>
      </c>
    </row>
    <row r="9233" spans="1:2" x14ac:dyDescent="0.25">
      <c r="A9233" t="s">
        <v>1663</v>
      </c>
      <c r="B9233" t="s">
        <v>1102</v>
      </c>
    </row>
    <row r="9234" spans="1:2" x14ac:dyDescent="0.25">
      <c r="A9234" t="s">
        <v>1663</v>
      </c>
      <c r="B9234" t="s">
        <v>1103</v>
      </c>
    </row>
    <row r="9235" spans="1:2" x14ac:dyDescent="0.25">
      <c r="A9235" t="s">
        <v>1663</v>
      </c>
      <c r="B9235" t="s">
        <v>1104</v>
      </c>
    </row>
    <row r="9236" spans="1:2" x14ac:dyDescent="0.25">
      <c r="A9236" t="s">
        <v>1663</v>
      </c>
      <c r="B9236" t="s">
        <v>1105</v>
      </c>
    </row>
    <row r="9237" spans="1:2" x14ac:dyDescent="0.25">
      <c r="A9237" t="s">
        <v>1663</v>
      </c>
      <c r="B9237" t="s">
        <v>1106</v>
      </c>
    </row>
    <row r="9238" spans="1:2" x14ac:dyDescent="0.25">
      <c r="A9238" t="s">
        <v>1663</v>
      </c>
      <c r="B9238" t="s">
        <v>1108</v>
      </c>
    </row>
    <row r="9239" spans="1:2" x14ac:dyDescent="0.25">
      <c r="A9239" t="s">
        <v>1663</v>
      </c>
      <c r="B9239" t="s">
        <v>1110</v>
      </c>
    </row>
    <row r="9240" spans="1:2" x14ac:dyDescent="0.25">
      <c r="A9240" t="s">
        <v>1663</v>
      </c>
      <c r="B9240" t="s">
        <v>1164</v>
      </c>
    </row>
    <row r="9241" spans="1:2" x14ac:dyDescent="0.25">
      <c r="A9241" t="s">
        <v>1663</v>
      </c>
      <c r="B9241" t="s">
        <v>1196</v>
      </c>
    </row>
    <row r="9242" spans="1:2" x14ac:dyDescent="0.25">
      <c r="A9242" t="s">
        <v>1663</v>
      </c>
      <c r="B9242" t="s">
        <v>1196</v>
      </c>
    </row>
    <row r="9243" spans="1:2" x14ac:dyDescent="0.25">
      <c r="A9243" t="s">
        <v>1663</v>
      </c>
      <c r="B9243" t="s">
        <v>1201</v>
      </c>
    </row>
    <row r="9244" spans="1:2" x14ac:dyDescent="0.25">
      <c r="A9244" t="s">
        <v>1663</v>
      </c>
      <c r="B9244" t="s">
        <v>1206</v>
      </c>
    </row>
    <row r="9245" spans="1:2" x14ac:dyDescent="0.25">
      <c r="A9245" t="s">
        <v>1664</v>
      </c>
      <c r="B9245" t="s">
        <v>1099</v>
      </c>
    </row>
    <row r="9246" spans="1:2" x14ac:dyDescent="0.25">
      <c r="A9246" t="s">
        <v>1664</v>
      </c>
      <c r="B9246" t="s">
        <v>1100</v>
      </c>
    </row>
    <row r="9247" spans="1:2" x14ac:dyDescent="0.25">
      <c r="A9247" t="s">
        <v>1664</v>
      </c>
      <c r="B9247" t="s">
        <v>1101</v>
      </c>
    </row>
    <row r="9248" spans="1:2" x14ac:dyDescent="0.25">
      <c r="A9248" t="s">
        <v>1664</v>
      </c>
      <c r="B9248" t="s">
        <v>1102</v>
      </c>
    </row>
    <row r="9249" spans="1:2" x14ac:dyDescent="0.25">
      <c r="A9249" t="s">
        <v>1664</v>
      </c>
      <c r="B9249" t="s">
        <v>1102</v>
      </c>
    </row>
    <row r="9250" spans="1:2" x14ac:dyDescent="0.25">
      <c r="A9250" t="s">
        <v>1664</v>
      </c>
      <c r="B9250" t="s">
        <v>1103</v>
      </c>
    </row>
    <row r="9251" spans="1:2" x14ac:dyDescent="0.25">
      <c r="A9251" t="s">
        <v>1664</v>
      </c>
      <c r="B9251" t="s">
        <v>1104</v>
      </c>
    </row>
    <row r="9252" spans="1:2" x14ac:dyDescent="0.25">
      <c r="A9252" t="s">
        <v>1664</v>
      </c>
      <c r="B9252" t="s">
        <v>1105</v>
      </c>
    </row>
    <row r="9253" spans="1:2" x14ac:dyDescent="0.25">
      <c r="A9253" t="s">
        <v>1664</v>
      </c>
      <c r="B9253" t="s">
        <v>1106</v>
      </c>
    </row>
    <row r="9254" spans="1:2" x14ac:dyDescent="0.25">
      <c r="A9254" t="s">
        <v>1664</v>
      </c>
      <c r="B9254" t="s">
        <v>1108</v>
      </c>
    </row>
    <row r="9255" spans="1:2" x14ac:dyDescent="0.25">
      <c r="A9255" t="s">
        <v>1664</v>
      </c>
      <c r="B9255" t="s">
        <v>1110</v>
      </c>
    </row>
    <row r="9256" spans="1:2" x14ac:dyDescent="0.25">
      <c r="A9256" t="s">
        <v>1664</v>
      </c>
      <c r="B9256" t="s">
        <v>1164</v>
      </c>
    </row>
    <row r="9257" spans="1:2" x14ac:dyDescent="0.25">
      <c r="A9257" t="s">
        <v>1664</v>
      </c>
      <c r="B9257" t="s">
        <v>1196</v>
      </c>
    </row>
    <row r="9258" spans="1:2" x14ac:dyDescent="0.25">
      <c r="A9258" t="s">
        <v>1664</v>
      </c>
      <c r="B9258" t="s">
        <v>1196</v>
      </c>
    </row>
    <row r="9259" spans="1:2" x14ac:dyDescent="0.25">
      <c r="A9259" t="s">
        <v>1664</v>
      </c>
      <c r="B9259" t="s">
        <v>1201</v>
      </c>
    </row>
    <row r="9260" spans="1:2" x14ac:dyDescent="0.25">
      <c r="A9260" t="s">
        <v>1664</v>
      </c>
      <c r="B9260" t="s">
        <v>1206</v>
      </c>
    </row>
    <row r="9261" spans="1:2" x14ac:dyDescent="0.25">
      <c r="A9261" t="s">
        <v>1665</v>
      </c>
      <c r="B9261" t="s">
        <v>1099</v>
      </c>
    </row>
    <row r="9262" spans="1:2" x14ac:dyDescent="0.25">
      <c r="A9262" t="s">
        <v>1665</v>
      </c>
      <c r="B9262" t="s">
        <v>1100</v>
      </c>
    </row>
    <row r="9263" spans="1:2" x14ac:dyDescent="0.25">
      <c r="A9263" t="s">
        <v>1665</v>
      </c>
      <c r="B9263" t="s">
        <v>1101</v>
      </c>
    </row>
    <row r="9264" spans="1:2" x14ac:dyDescent="0.25">
      <c r="A9264" t="s">
        <v>1665</v>
      </c>
      <c r="B9264" t="s">
        <v>1102</v>
      </c>
    </row>
    <row r="9265" spans="1:2" x14ac:dyDescent="0.25">
      <c r="A9265" t="s">
        <v>1665</v>
      </c>
      <c r="B9265" t="s">
        <v>1102</v>
      </c>
    </row>
    <row r="9266" spans="1:2" x14ac:dyDescent="0.25">
      <c r="A9266" t="s">
        <v>1665</v>
      </c>
      <c r="B9266" t="s">
        <v>1103</v>
      </c>
    </row>
    <row r="9267" spans="1:2" x14ac:dyDescent="0.25">
      <c r="A9267" t="s">
        <v>1665</v>
      </c>
      <c r="B9267" t="s">
        <v>1104</v>
      </c>
    </row>
    <row r="9268" spans="1:2" x14ac:dyDescent="0.25">
      <c r="A9268" t="s">
        <v>1665</v>
      </c>
      <c r="B9268" t="s">
        <v>1105</v>
      </c>
    </row>
    <row r="9269" spans="1:2" x14ac:dyDescent="0.25">
      <c r="A9269" t="s">
        <v>1665</v>
      </c>
      <c r="B9269" t="s">
        <v>1106</v>
      </c>
    </row>
    <row r="9270" spans="1:2" x14ac:dyDescent="0.25">
      <c r="A9270" t="s">
        <v>1665</v>
      </c>
      <c r="B9270" t="s">
        <v>1108</v>
      </c>
    </row>
    <row r="9271" spans="1:2" x14ac:dyDescent="0.25">
      <c r="A9271" t="s">
        <v>1665</v>
      </c>
      <c r="B9271" t="s">
        <v>1110</v>
      </c>
    </row>
    <row r="9272" spans="1:2" x14ac:dyDescent="0.25">
      <c r="A9272" t="s">
        <v>1665</v>
      </c>
      <c r="B9272" t="s">
        <v>1164</v>
      </c>
    </row>
    <row r="9273" spans="1:2" x14ac:dyDescent="0.25">
      <c r="A9273" t="s">
        <v>1665</v>
      </c>
      <c r="B9273" t="s">
        <v>1196</v>
      </c>
    </row>
    <row r="9274" spans="1:2" x14ac:dyDescent="0.25">
      <c r="A9274" t="s">
        <v>1665</v>
      </c>
      <c r="B9274" t="s">
        <v>1201</v>
      </c>
    </row>
    <row r="9275" spans="1:2" x14ac:dyDescent="0.25">
      <c r="A9275" t="s">
        <v>1665</v>
      </c>
      <c r="B9275" t="s">
        <v>1206</v>
      </c>
    </row>
    <row r="9276" spans="1:2" x14ac:dyDescent="0.25">
      <c r="A9276" t="s">
        <v>1790</v>
      </c>
      <c r="B9276" t="s">
        <v>1107</v>
      </c>
    </row>
    <row r="9277" spans="1:2" x14ac:dyDescent="0.25">
      <c r="A9277" t="s">
        <v>1790</v>
      </c>
      <c r="B9277" t="s">
        <v>1142</v>
      </c>
    </row>
    <row r="9278" spans="1:2" x14ac:dyDescent="0.25">
      <c r="A9278" t="s">
        <v>1790</v>
      </c>
      <c r="B9278" t="s">
        <v>1148</v>
      </c>
    </row>
    <row r="9279" spans="1:2" x14ac:dyDescent="0.25">
      <c r="A9279" t="s">
        <v>1790</v>
      </c>
      <c r="B9279" t="s">
        <v>1167</v>
      </c>
    </row>
    <row r="9280" spans="1:2" x14ac:dyDescent="0.25">
      <c r="A9280" t="s">
        <v>1790</v>
      </c>
      <c r="B9280" t="s">
        <v>1168</v>
      </c>
    </row>
    <row r="9281" spans="1:2" x14ac:dyDescent="0.25">
      <c r="A9281" t="s">
        <v>1790</v>
      </c>
      <c r="B9281" t="s">
        <v>1178</v>
      </c>
    </row>
    <row r="9282" spans="1:2" x14ac:dyDescent="0.25">
      <c r="A9282" t="s">
        <v>1790</v>
      </c>
      <c r="B9282" t="s">
        <v>1202</v>
      </c>
    </row>
    <row r="9283" spans="1:2" x14ac:dyDescent="0.25">
      <c r="A9283" t="s">
        <v>1790</v>
      </c>
      <c r="B9283" t="s">
        <v>1207</v>
      </c>
    </row>
    <row r="9284" spans="1:2" x14ac:dyDescent="0.25">
      <c r="A9284" s="11" t="s">
        <v>1498</v>
      </c>
      <c r="B9284" t="s">
        <v>1091</v>
      </c>
    </row>
    <row r="9285" spans="1:2" x14ac:dyDescent="0.25">
      <c r="A9285" t="s">
        <v>1498</v>
      </c>
      <c r="B9285" t="s">
        <v>1092</v>
      </c>
    </row>
    <row r="9286" spans="1:2" x14ac:dyDescent="0.25">
      <c r="A9286" t="s">
        <v>1498</v>
      </c>
      <c r="B9286" t="s">
        <v>1093</v>
      </c>
    </row>
    <row r="9287" spans="1:2" x14ac:dyDescent="0.25">
      <c r="A9287" t="s">
        <v>1498</v>
      </c>
      <c r="B9287" t="s">
        <v>1094</v>
      </c>
    </row>
    <row r="9288" spans="1:2" x14ac:dyDescent="0.25">
      <c r="A9288" t="s">
        <v>1498</v>
      </c>
      <c r="B9288" t="s">
        <v>1095</v>
      </c>
    </row>
    <row r="9289" spans="1:2" x14ac:dyDescent="0.25">
      <c r="A9289" t="s">
        <v>1498</v>
      </c>
      <c r="B9289" t="s">
        <v>1096</v>
      </c>
    </row>
    <row r="9290" spans="1:2" x14ac:dyDescent="0.25">
      <c r="A9290" t="s">
        <v>1498</v>
      </c>
      <c r="B9290" t="s">
        <v>1097</v>
      </c>
    </row>
    <row r="9291" spans="1:2" x14ac:dyDescent="0.25">
      <c r="A9291" t="s">
        <v>1498</v>
      </c>
      <c r="B9291" t="s">
        <v>1098</v>
      </c>
    </row>
    <row r="9292" spans="1:2" x14ac:dyDescent="0.25">
      <c r="A9292" t="s">
        <v>1498</v>
      </c>
      <c r="B9292" t="s">
        <v>1099</v>
      </c>
    </row>
    <row r="9293" spans="1:2" x14ac:dyDescent="0.25">
      <c r="A9293" t="s">
        <v>1498</v>
      </c>
      <c r="B9293" t="s">
        <v>1100</v>
      </c>
    </row>
    <row r="9294" spans="1:2" x14ac:dyDescent="0.25">
      <c r="A9294" t="s">
        <v>1498</v>
      </c>
      <c r="B9294" t="s">
        <v>1101</v>
      </c>
    </row>
    <row r="9295" spans="1:2" x14ac:dyDescent="0.25">
      <c r="A9295" t="s">
        <v>1498</v>
      </c>
      <c r="B9295" t="s">
        <v>1102</v>
      </c>
    </row>
    <row r="9296" spans="1:2" x14ac:dyDescent="0.25">
      <c r="A9296" t="s">
        <v>1498</v>
      </c>
      <c r="B9296" t="s">
        <v>1103</v>
      </c>
    </row>
    <row r="9297" spans="1:2" x14ac:dyDescent="0.25">
      <c r="A9297" t="s">
        <v>1498</v>
      </c>
      <c r="B9297" t="s">
        <v>1104</v>
      </c>
    </row>
    <row r="9298" spans="1:2" x14ac:dyDescent="0.25">
      <c r="A9298" t="s">
        <v>1498</v>
      </c>
      <c r="B9298" t="s">
        <v>1105</v>
      </c>
    </row>
    <row r="9299" spans="1:2" x14ac:dyDescent="0.25">
      <c r="A9299" t="s">
        <v>1498</v>
      </c>
      <c r="B9299" t="s">
        <v>1106</v>
      </c>
    </row>
    <row r="9300" spans="1:2" x14ac:dyDescent="0.25">
      <c r="A9300" t="s">
        <v>1498</v>
      </c>
      <c r="B9300" t="s">
        <v>1107</v>
      </c>
    </row>
    <row r="9301" spans="1:2" x14ac:dyDescent="0.25">
      <c r="A9301" t="s">
        <v>1498</v>
      </c>
      <c r="B9301" t="s">
        <v>1107</v>
      </c>
    </row>
    <row r="9302" spans="1:2" x14ac:dyDescent="0.25">
      <c r="A9302" t="s">
        <v>1498</v>
      </c>
      <c r="B9302" t="s">
        <v>1142</v>
      </c>
    </row>
    <row r="9303" spans="1:2" x14ac:dyDescent="0.25">
      <c r="A9303" t="s">
        <v>1498</v>
      </c>
      <c r="B9303" t="s">
        <v>1148</v>
      </c>
    </row>
    <row r="9304" spans="1:2" x14ac:dyDescent="0.25">
      <c r="A9304" t="s">
        <v>1498</v>
      </c>
      <c r="B9304" t="s">
        <v>1167</v>
      </c>
    </row>
    <row r="9305" spans="1:2" x14ac:dyDescent="0.25">
      <c r="A9305" t="s">
        <v>1498</v>
      </c>
      <c r="B9305" t="s">
        <v>1168</v>
      </c>
    </row>
    <row r="9306" spans="1:2" x14ac:dyDescent="0.25">
      <c r="A9306" t="s">
        <v>1498</v>
      </c>
      <c r="B9306" t="s">
        <v>1178</v>
      </c>
    </row>
    <row r="9307" spans="1:2" x14ac:dyDescent="0.25">
      <c r="A9307" t="s">
        <v>1498</v>
      </c>
      <c r="B9307" t="s">
        <v>1202</v>
      </c>
    </row>
    <row r="9308" spans="1:2" x14ac:dyDescent="0.25">
      <c r="A9308" t="s">
        <v>1498</v>
      </c>
      <c r="B9308" t="s">
        <v>1207</v>
      </c>
    </row>
    <row r="9309" spans="1:2" x14ac:dyDescent="0.25">
      <c r="A9309" s="11" t="s">
        <v>1477</v>
      </c>
      <c r="B9309" t="s">
        <v>1091</v>
      </c>
    </row>
    <row r="9310" spans="1:2" x14ac:dyDescent="0.25">
      <c r="A9310" t="s">
        <v>1477</v>
      </c>
      <c r="B9310" t="s">
        <v>1092</v>
      </c>
    </row>
    <row r="9311" spans="1:2" x14ac:dyDescent="0.25">
      <c r="A9311" t="s">
        <v>1477</v>
      </c>
      <c r="B9311" t="s">
        <v>1093</v>
      </c>
    </row>
    <row r="9312" spans="1:2" x14ac:dyDescent="0.25">
      <c r="A9312" t="s">
        <v>1477</v>
      </c>
      <c r="B9312" t="s">
        <v>1094</v>
      </c>
    </row>
    <row r="9313" spans="1:2" x14ac:dyDescent="0.25">
      <c r="A9313" t="s">
        <v>1477</v>
      </c>
      <c r="B9313" t="s">
        <v>1095</v>
      </c>
    </row>
    <row r="9314" spans="1:2" x14ac:dyDescent="0.25">
      <c r="A9314" t="s">
        <v>1477</v>
      </c>
      <c r="B9314" t="s">
        <v>1096</v>
      </c>
    </row>
    <row r="9315" spans="1:2" x14ac:dyDescent="0.25">
      <c r="A9315" t="s">
        <v>1477</v>
      </c>
      <c r="B9315" t="s">
        <v>1097</v>
      </c>
    </row>
    <row r="9316" spans="1:2" x14ac:dyDescent="0.25">
      <c r="A9316" t="s">
        <v>1477</v>
      </c>
      <c r="B9316" t="s">
        <v>1098</v>
      </c>
    </row>
    <row r="9317" spans="1:2" x14ac:dyDescent="0.25">
      <c r="A9317" t="s">
        <v>1477</v>
      </c>
      <c r="B9317" t="s">
        <v>1099</v>
      </c>
    </row>
    <row r="9318" spans="1:2" x14ac:dyDescent="0.25">
      <c r="A9318" t="s">
        <v>1477</v>
      </c>
      <c r="B9318" t="s">
        <v>1100</v>
      </c>
    </row>
    <row r="9319" spans="1:2" x14ac:dyDescent="0.25">
      <c r="A9319" t="s">
        <v>1477</v>
      </c>
      <c r="B9319" t="s">
        <v>1101</v>
      </c>
    </row>
    <row r="9320" spans="1:2" x14ac:dyDescent="0.25">
      <c r="A9320" t="s">
        <v>1477</v>
      </c>
      <c r="B9320" t="s">
        <v>1102</v>
      </c>
    </row>
    <row r="9321" spans="1:2" x14ac:dyDescent="0.25">
      <c r="A9321" t="s">
        <v>1477</v>
      </c>
      <c r="B9321" t="s">
        <v>1103</v>
      </c>
    </row>
    <row r="9322" spans="1:2" x14ac:dyDescent="0.25">
      <c r="A9322" t="s">
        <v>1477</v>
      </c>
      <c r="B9322" t="s">
        <v>1104</v>
      </c>
    </row>
    <row r="9323" spans="1:2" x14ac:dyDescent="0.25">
      <c r="A9323" t="s">
        <v>1477</v>
      </c>
      <c r="B9323" t="s">
        <v>1105</v>
      </c>
    </row>
    <row r="9324" spans="1:2" x14ac:dyDescent="0.25">
      <c r="A9324" t="s">
        <v>1477</v>
      </c>
      <c r="B9324" t="s">
        <v>1106</v>
      </c>
    </row>
    <row r="9325" spans="1:2" x14ac:dyDescent="0.25">
      <c r="A9325" t="s">
        <v>1477</v>
      </c>
      <c r="B9325" t="s">
        <v>1107</v>
      </c>
    </row>
    <row r="9326" spans="1:2" x14ac:dyDescent="0.25">
      <c r="A9326" s="11" t="s">
        <v>1478</v>
      </c>
      <c r="B9326" t="s">
        <v>1091</v>
      </c>
    </row>
    <row r="9327" spans="1:2" x14ac:dyDescent="0.25">
      <c r="A9327" t="s">
        <v>1478</v>
      </c>
      <c r="B9327" t="s">
        <v>1092</v>
      </c>
    </row>
    <row r="9328" spans="1:2" x14ac:dyDescent="0.25">
      <c r="A9328" t="s">
        <v>1478</v>
      </c>
      <c r="B9328" t="s">
        <v>1093</v>
      </c>
    </row>
    <row r="9329" spans="1:2" x14ac:dyDescent="0.25">
      <c r="A9329" t="s">
        <v>1478</v>
      </c>
      <c r="B9329" t="s">
        <v>1094</v>
      </c>
    </row>
    <row r="9330" spans="1:2" x14ac:dyDescent="0.25">
      <c r="A9330" t="s">
        <v>1478</v>
      </c>
      <c r="B9330" t="s">
        <v>1095</v>
      </c>
    </row>
    <row r="9331" spans="1:2" x14ac:dyDescent="0.25">
      <c r="A9331" t="s">
        <v>1478</v>
      </c>
      <c r="B9331" t="s">
        <v>1096</v>
      </c>
    </row>
    <row r="9332" spans="1:2" x14ac:dyDescent="0.25">
      <c r="A9332" t="s">
        <v>1478</v>
      </c>
      <c r="B9332" t="s">
        <v>1097</v>
      </c>
    </row>
    <row r="9333" spans="1:2" x14ac:dyDescent="0.25">
      <c r="A9333" t="s">
        <v>1478</v>
      </c>
      <c r="B9333" t="s">
        <v>1098</v>
      </c>
    </row>
    <row r="9334" spans="1:2" x14ac:dyDescent="0.25">
      <c r="A9334" t="s">
        <v>1478</v>
      </c>
      <c r="B9334" t="s">
        <v>1099</v>
      </c>
    </row>
    <row r="9335" spans="1:2" x14ac:dyDescent="0.25">
      <c r="A9335" t="s">
        <v>1478</v>
      </c>
      <c r="B9335" t="s">
        <v>1100</v>
      </c>
    </row>
    <row r="9336" spans="1:2" x14ac:dyDescent="0.25">
      <c r="A9336" t="s">
        <v>1478</v>
      </c>
      <c r="B9336" t="s">
        <v>1101</v>
      </c>
    </row>
    <row r="9337" spans="1:2" x14ac:dyDescent="0.25">
      <c r="A9337" t="s">
        <v>1478</v>
      </c>
      <c r="B9337" t="s">
        <v>1102</v>
      </c>
    </row>
    <row r="9338" spans="1:2" x14ac:dyDescent="0.25">
      <c r="A9338" t="s">
        <v>1478</v>
      </c>
      <c r="B9338" t="s">
        <v>1103</v>
      </c>
    </row>
    <row r="9339" spans="1:2" x14ac:dyDescent="0.25">
      <c r="A9339" t="s">
        <v>1478</v>
      </c>
      <c r="B9339" t="s">
        <v>1104</v>
      </c>
    </row>
    <row r="9340" spans="1:2" x14ac:dyDescent="0.25">
      <c r="A9340" t="s">
        <v>1478</v>
      </c>
      <c r="B9340" t="s">
        <v>1105</v>
      </c>
    </row>
    <row r="9341" spans="1:2" x14ac:dyDescent="0.25">
      <c r="A9341" t="s">
        <v>1478</v>
      </c>
      <c r="B9341" t="s">
        <v>1106</v>
      </c>
    </row>
    <row r="9342" spans="1:2" x14ac:dyDescent="0.25">
      <c r="A9342" t="s">
        <v>1478</v>
      </c>
      <c r="B9342" t="s">
        <v>1107</v>
      </c>
    </row>
    <row r="9343" spans="1:2" x14ac:dyDescent="0.25">
      <c r="A9343" s="11" t="s">
        <v>1479</v>
      </c>
      <c r="B9343" t="s">
        <v>1091</v>
      </c>
    </row>
    <row r="9344" spans="1:2" x14ac:dyDescent="0.25">
      <c r="A9344" t="s">
        <v>1479</v>
      </c>
      <c r="B9344" t="s">
        <v>1092</v>
      </c>
    </row>
    <row r="9345" spans="1:2" x14ac:dyDescent="0.25">
      <c r="A9345" t="s">
        <v>1479</v>
      </c>
      <c r="B9345" t="s">
        <v>1093</v>
      </c>
    </row>
    <row r="9346" spans="1:2" x14ac:dyDescent="0.25">
      <c r="A9346" t="s">
        <v>1479</v>
      </c>
      <c r="B9346" t="s">
        <v>1094</v>
      </c>
    </row>
    <row r="9347" spans="1:2" x14ac:dyDescent="0.25">
      <c r="A9347" t="s">
        <v>1479</v>
      </c>
      <c r="B9347" t="s">
        <v>1095</v>
      </c>
    </row>
    <row r="9348" spans="1:2" x14ac:dyDescent="0.25">
      <c r="A9348" t="s">
        <v>1479</v>
      </c>
      <c r="B9348" t="s">
        <v>1096</v>
      </c>
    </row>
    <row r="9349" spans="1:2" x14ac:dyDescent="0.25">
      <c r="A9349" t="s">
        <v>1479</v>
      </c>
      <c r="B9349" t="s">
        <v>1097</v>
      </c>
    </row>
    <row r="9350" spans="1:2" x14ac:dyDescent="0.25">
      <c r="A9350" t="s">
        <v>1479</v>
      </c>
      <c r="B9350" t="s">
        <v>1098</v>
      </c>
    </row>
    <row r="9351" spans="1:2" x14ac:dyDescent="0.25">
      <c r="A9351" t="s">
        <v>1479</v>
      </c>
      <c r="B9351" t="s">
        <v>1099</v>
      </c>
    </row>
    <row r="9352" spans="1:2" x14ac:dyDescent="0.25">
      <c r="A9352" t="s">
        <v>1479</v>
      </c>
      <c r="B9352" t="s">
        <v>1100</v>
      </c>
    </row>
    <row r="9353" spans="1:2" x14ac:dyDescent="0.25">
      <c r="A9353" t="s">
        <v>1479</v>
      </c>
      <c r="B9353" t="s">
        <v>1101</v>
      </c>
    </row>
    <row r="9354" spans="1:2" x14ac:dyDescent="0.25">
      <c r="A9354" t="s">
        <v>1479</v>
      </c>
      <c r="B9354" t="s">
        <v>1102</v>
      </c>
    </row>
    <row r="9355" spans="1:2" x14ac:dyDescent="0.25">
      <c r="A9355" t="s">
        <v>1479</v>
      </c>
      <c r="B9355" t="s">
        <v>1103</v>
      </c>
    </row>
    <row r="9356" spans="1:2" x14ac:dyDescent="0.25">
      <c r="A9356" t="s">
        <v>1479</v>
      </c>
      <c r="B9356" t="s">
        <v>1104</v>
      </c>
    </row>
    <row r="9357" spans="1:2" x14ac:dyDescent="0.25">
      <c r="A9357" t="s">
        <v>1479</v>
      </c>
      <c r="B9357" t="s">
        <v>1105</v>
      </c>
    </row>
    <row r="9358" spans="1:2" x14ac:dyDescent="0.25">
      <c r="A9358" t="s">
        <v>1479</v>
      </c>
      <c r="B9358" t="s">
        <v>1106</v>
      </c>
    </row>
    <row r="9359" spans="1:2" x14ac:dyDescent="0.25">
      <c r="A9359" t="s">
        <v>1479</v>
      </c>
      <c r="B9359" t="s">
        <v>1107</v>
      </c>
    </row>
    <row r="9360" spans="1:2" x14ac:dyDescent="0.25">
      <c r="A9360" s="11" t="s">
        <v>1480</v>
      </c>
      <c r="B9360" t="s">
        <v>1091</v>
      </c>
    </row>
    <row r="9361" spans="1:2" x14ac:dyDescent="0.25">
      <c r="A9361" t="s">
        <v>1480</v>
      </c>
      <c r="B9361" t="s">
        <v>1092</v>
      </c>
    </row>
    <row r="9362" spans="1:2" x14ac:dyDescent="0.25">
      <c r="A9362" t="s">
        <v>1480</v>
      </c>
      <c r="B9362" t="s">
        <v>1093</v>
      </c>
    </row>
    <row r="9363" spans="1:2" x14ac:dyDescent="0.25">
      <c r="A9363" t="s">
        <v>1480</v>
      </c>
      <c r="B9363" t="s">
        <v>1094</v>
      </c>
    </row>
    <row r="9364" spans="1:2" x14ac:dyDescent="0.25">
      <c r="A9364" t="s">
        <v>1480</v>
      </c>
      <c r="B9364" t="s">
        <v>1095</v>
      </c>
    </row>
    <row r="9365" spans="1:2" x14ac:dyDescent="0.25">
      <c r="A9365" t="s">
        <v>1480</v>
      </c>
      <c r="B9365" t="s">
        <v>1096</v>
      </c>
    </row>
    <row r="9366" spans="1:2" x14ac:dyDescent="0.25">
      <c r="A9366" t="s">
        <v>1480</v>
      </c>
      <c r="B9366" t="s">
        <v>1097</v>
      </c>
    </row>
    <row r="9367" spans="1:2" x14ac:dyDescent="0.25">
      <c r="A9367" t="s">
        <v>1480</v>
      </c>
      <c r="B9367" t="s">
        <v>1098</v>
      </c>
    </row>
    <row r="9368" spans="1:2" x14ac:dyDescent="0.25">
      <c r="A9368" t="s">
        <v>1480</v>
      </c>
      <c r="B9368" t="s">
        <v>1099</v>
      </c>
    </row>
    <row r="9369" spans="1:2" x14ac:dyDescent="0.25">
      <c r="A9369" t="s">
        <v>1480</v>
      </c>
      <c r="B9369" t="s">
        <v>1100</v>
      </c>
    </row>
    <row r="9370" spans="1:2" x14ac:dyDescent="0.25">
      <c r="A9370" t="s">
        <v>1480</v>
      </c>
      <c r="B9370" t="s">
        <v>1101</v>
      </c>
    </row>
    <row r="9371" spans="1:2" x14ac:dyDescent="0.25">
      <c r="A9371" t="s">
        <v>1480</v>
      </c>
      <c r="B9371" t="s">
        <v>1102</v>
      </c>
    </row>
    <row r="9372" spans="1:2" x14ac:dyDescent="0.25">
      <c r="A9372" t="s">
        <v>1480</v>
      </c>
      <c r="B9372" t="s">
        <v>1103</v>
      </c>
    </row>
    <row r="9373" spans="1:2" x14ac:dyDescent="0.25">
      <c r="A9373" t="s">
        <v>1480</v>
      </c>
      <c r="B9373" t="s">
        <v>1104</v>
      </c>
    </row>
    <row r="9374" spans="1:2" x14ac:dyDescent="0.25">
      <c r="A9374" t="s">
        <v>1480</v>
      </c>
      <c r="B9374" t="s">
        <v>1105</v>
      </c>
    </row>
    <row r="9375" spans="1:2" x14ac:dyDescent="0.25">
      <c r="A9375" t="s">
        <v>1480</v>
      </c>
      <c r="B9375" t="s">
        <v>1106</v>
      </c>
    </row>
    <row r="9376" spans="1:2" x14ac:dyDescent="0.25">
      <c r="A9376" t="s">
        <v>1480</v>
      </c>
      <c r="B9376" t="s">
        <v>1107</v>
      </c>
    </row>
    <row r="9377" spans="1:2" x14ac:dyDescent="0.25">
      <c r="A9377" t="s">
        <v>1655</v>
      </c>
      <c r="B9377" t="s">
        <v>1098</v>
      </c>
    </row>
    <row r="9378" spans="1:2" x14ac:dyDescent="0.25">
      <c r="A9378" t="s">
        <v>1655</v>
      </c>
      <c r="B9378" t="s">
        <v>1100</v>
      </c>
    </row>
    <row r="9379" spans="1:2" x14ac:dyDescent="0.25">
      <c r="A9379" t="s">
        <v>1655</v>
      </c>
      <c r="B9379" t="s">
        <v>1102</v>
      </c>
    </row>
    <row r="9380" spans="1:2" x14ac:dyDescent="0.25">
      <c r="A9380" t="s">
        <v>1655</v>
      </c>
      <c r="B9380" t="s">
        <v>1103</v>
      </c>
    </row>
    <row r="9381" spans="1:2" x14ac:dyDescent="0.25">
      <c r="A9381" t="s">
        <v>1655</v>
      </c>
      <c r="B9381" t="s">
        <v>1104</v>
      </c>
    </row>
    <row r="9382" spans="1:2" x14ac:dyDescent="0.25">
      <c r="A9382" t="s">
        <v>1655</v>
      </c>
      <c r="B9382" t="s">
        <v>1105</v>
      </c>
    </row>
    <row r="9383" spans="1:2" x14ac:dyDescent="0.25">
      <c r="A9383" t="s">
        <v>1655</v>
      </c>
      <c r="B9383" t="s">
        <v>1106</v>
      </c>
    </row>
    <row r="9384" spans="1:2" x14ac:dyDescent="0.25">
      <c r="A9384" t="s">
        <v>1655</v>
      </c>
      <c r="B9384" t="s">
        <v>1161</v>
      </c>
    </row>
    <row r="9385" spans="1:2" x14ac:dyDescent="0.25">
      <c r="A9385" t="s">
        <v>1655</v>
      </c>
      <c r="B9385" t="s">
        <v>1162</v>
      </c>
    </row>
    <row r="9386" spans="1:2" x14ac:dyDescent="0.25">
      <c r="A9386" t="s">
        <v>1655</v>
      </c>
      <c r="B9386" t="s">
        <v>1164</v>
      </c>
    </row>
    <row r="9387" spans="1:2" x14ac:dyDescent="0.25">
      <c r="A9387" t="s">
        <v>1655</v>
      </c>
      <c r="B9387" t="s">
        <v>1185</v>
      </c>
    </row>
    <row r="9388" spans="1:2" x14ac:dyDescent="0.25">
      <c r="A9388" t="s">
        <v>1655</v>
      </c>
      <c r="B9388" t="s">
        <v>1197</v>
      </c>
    </row>
    <row r="9389" spans="1:2" x14ac:dyDescent="0.25">
      <c r="A9389" t="s">
        <v>1655</v>
      </c>
      <c r="B9389" t="s">
        <v>1211</v>
      </c>
    </row>
    <row r="9390" spans="1:2" x14ac:dyDescent="0.25">
      <c r="A9390" t="s">
        <v>1655</v>
      </c>
      <c r="B9390" t="s">
        <v>1237</v>
      </c>
    </row>
    <row r="9391" spans="1:2" x14ac:dyDescent="0.25">
      <c r="A9391" t="s">
        <v>1655</v>
      </c>
      <c r="B9391" t="s">
        <v>1238</v>
      </c>
    </row>
    <row r="9392" spans="1:2" x14ac:dyDescent="0.25">
      <c r="A9392" t="s">
        <v>1655</v>
      </c>
      <c r="B9392" t="s">
        <v>1239</v>
      </c>
    </row>
    <row r="9393" spans="1:2" x14ac:dyDescent="0.25">
      <c r="A9393" t="s">
        <v>1655</v>
      </c>
      <c r="B9393" t="s">
        <v>1244</v>
      </c>
    </row>
    <row r="9394" spans="1:2" x14ac:dyDescent="0.25">
      <c r="A9394" t="s">
        <v>1655</v>
      </c>
      <c r="B9394" t="s">
        <v>1246</v>
      </c>
    </row>
    <row r="9395" spans="1:2" x14ac:dyDescent="0.25">
      <c r="A9395" t="s">
        <v>1655</v>
      </c>
      <c r="B9395" t="s">
        <v>1247</v>
      </c>
    </row>
    <row r="9396" spans="1:2" x14ac:dyDescent="0.25">
      <c r="A9396" t="s">
        <v>1655</v>
      </c>
      <c r="B9396" t="s">
        <v>1248</v>
      </c>
    </row>
    <row r="9397" spans="1:2" x14ac:dyDescent="0.25">
      <c r="A9397" t="s">
        <v>1656</v>
      </c>
      <c r="B9397" t="s">
        <v>1098</v>
      </c>
    </row>
    <row r="9398" spans="1:2" x14ac:dyDescent="0.25">
      <c r="A9398" t="s">
        <v>1656</v>
      </c>
      <c r="B9398" t="s">
        <v>1100</v>
      </c>
    </row>
    <row r="9399" spans="1:2" x14ac:dyDescent="0.25">
      <c r="A9399" t="s">
        <v>1656</v>
      </c>
      <c r="B9399" t="s">
        <v>1102</v>
      </c>
    </row>
    <row r="9400" spans="1:2" x14ac:dyDescent="0.25">
      <c r="A9400" t="s">
        <v>1656</v>
      </c>
      <c r="B9400" t="s">
        <v>1103</v>
      </c>
    </row>
    <row r="9401" spans="1:2" x14ac:dyDescent="0.25">
      <c r="A9401" t="s">
        <v>1656</v>
      </c>
      <c r="B9401" t="s">
        <v>1104</v>
      </c>
    </row>
    <row r="9402" spans="1:2" x14ac:dyDescent="0.25">
      <c r="A9402" t="s">
        <v>1656</v>
      </c>
      <c r="B9402" t="s">
        <v>1105</v>
      </c>
    </row>
    <row r="9403" spans="1:2" x14ac:dyDescent="0.25">
      <c r="A9403" t="s">
        <v>1656</v>
      </c>
      <c r="B9403" t="s">
        <v>1106</v>
      </c>
    </row>
    <row r="9404" spans="1:2" x14ac:dyDescent="0.25">
      <c r="A9404" t="s">
        <v>1656</v>
      </c>
      <c r="B9404" t="s">
        <v>1161</v>
      </c>
    </row>
    <row r="9405" spans="1:2" x14ac:dyDescent="0.25">
      <c r="A9405" t="s">
        <v>1656</v>
      </c>
      <c r="B9405" t="s">
        <v>1162</v>
      </c>
    </row>
    <row r="9406" spans="1:2" x14ac:dyDescent="0.25">
      <c r="A9406" t="s">
        <v>1656</v>
      </c>
      <c r="B9406" t="s">
        <v>1164</v>
      </c>
    </row>
    <row r="9407" spans="1:2" x14ac:dyDescent="0.25">
      <c r="A9407" t="s">
        <v>1656</v>
      </c>
      <c r="B9407" t="s">
        <v>1185</v>
      </c>
    </row>
    <row r="9408" spans="1:2" x14ac:dyDescent="0.25">
      <c r="A9408" t="s">
        <v>1656</v>
      </c>
      <c r="B9408" t="s">
        <v>1197</v>
      </c>
    </row>
    <row r="9409" spans="1:2" x14ac:dyDescent="0.25">
      <c r="A9409" t="s">
        <v>1656</v>
      </c>
      <c r="B9409" t="s">
        <v>1211</v>
      </c>
    </row>
    <row r="9410" spans="1:2" x14ac:dyDescent="0.25">
      <c r="A9410" t="s">
        <v>1656</v>
      </c>
      <c r="B9410" t="s">
        <v>1237</v>
      </c>
    </row>
    <row r="9411" spans="1:2" x14ac:dyDescent="0.25">
      <c r="A9411" t="s">
        <v>1656</v>
      </c>
      <c r="B9411" t="s">
        <v>1238</v>
      </c>
    </row>
    <row r="9412" spans="1:2" x14ac:dyDescent="0.25">
      <c r="A9412" t="s">
        <v>1656</v>
      </c>
      <c r="B9412" t="s">
        <v>1239</v>
      </c>
    </row>
    <row r="9413" spans="1:2" x14ac:dyDescent="0.25">
      <c r="A9413" t="s">
        <v>1656</v>
      </c>
      <c r="B9413" t="s">
        <v>1244</v>
      </c>
    </row>
    <row r="9414" spans="1:2" x14ac:dyDescent="0.25">
      <c r="A9414" t="s">
        <v>1656</v>
      </c>
      <c r="B9414" t="s">
        <v>1246</v>
      </c>
    </row>
    <row r="9415" spans="1:2" x14ac:dyDescent="0.25">
      <c r="A9415" t="s">
        <v>1656</v>
      </c>
      <c r="B9415" t="s">
        <v>1247</v>
      </c>
    </row>
    <row r="9416" spans="1:2" x14ac:dyDescent="0.25">
      <c r="A9416" t="s">
        <v>1656</v>
      </c>
      <c r="B9416" t="s">
        <v>1248</v>
      </c>
    </row>
    <row r="9417" spans="1:2" x14ac:dyDescent="0.25">
      <c r="A9417" t="s">
        <v>1711</v>
      </c>
      <c r="B9417" t="s">
        <v>1100</v>
      </c>
    </row>
    <row r="9418" spans="1:2" x14ac:dyDescent="0.25">
      <c r="A9418" t="s">
        <v>1711</v>
      </c>
      <c r="B9418" t="s">
        <v>1102</v>
      </c>
    </row>
    <row r="9419" spans="1:2" x14ac:dyDescent="0.25">
      <c r="A9419" t="s">
        <v>1711</v>
      </c>
      <c r="B9419" t="s">
        <v>1103</v>
      </c>
    </row>
    <row r="9420" spans="1:2" x14ac:dyDescent="0.25">
      <c r="A9420" t="s">
        <v>1711</v>
      </c>
      <c r="B9420" t="s">
        <v>1104</v>
      </c>
    </row>
    <row r="9421" spans="1:2" x14ac:dyDescent="0.25">
      <c r="A9421" t="s">
        <v>1711</v>
      </c>
      <c r="B9421" t="s">
        <v>1105</v>
      </c>
    </row>
    <row r="9422" spans="1:2" x14ac:dyDescent="0.25">
      <c r="A9422" t="s">
        <v>1711</v>
      </c>
      <c r="B9422" t="s">
        <v>1106</v>
      </c>
    </row>
    <row r="9423" spans="1:2" x14ac:dyDescent="0.25">
      <c r="A9423" t="s">
        <v>1711</v>
      </c>
      <c r="B9423" t="s">
        <v>1161</v>
      </c>
    </row>
    <row r="9424" spans="1:2" x14ac:dyDescent="0.25">
      <c r="A9424" t="s">
        <v>1711</v>
      </c>
      <c r="B9424" t="s">
        <v>1162</v>
      </c>
    </row>
    <row r="9425" spans="1:2" x14ac:dyDescent="0.25">
      <c r="A9425" t="s">
        <v>1711</v>
      </c>
      <c r="B9425" t="s">
        <v>1164</v>
      </c>
    </row>
    <row r="9426" spans="1:2" x14ac:dyDescent="0.25">
      <c r="A9426" t="s">
        <v>1711</v>
      </c>
      <c r="B9426" t="s">
        <v>1209</v>
      </c>
    </row>
    <row r="9427" spans="1:2" x14ac:dyDescent="0.25">
      <c r="A9427" t="s">
        <v>1711</v>
      </c>
      <c r="B9427" t="s">
        <v>1210</v>
      </c>
    </row>
    <row r="9428" spans="1:2" x14ac:dyDescent="0.25">
      <c r="A9428" t="s">
        <v>1711</v>
      </c>
      <c r="B9428" t="s">
        <v>1211</v>
      </c>
    </row>
    <row r="9429" spans="1:2" x14ac:dyDescent="0.25">
      <c r="A9429" t="s">
        <v>1711</v>
      </c>
      <c r="B9429" t="s">
        <v>1237</v>
      </c>
    </row>
    <row r="9430" spans="1:2" x14ac:dyDescent="0.25">
      <c r="A9430" t="s">
        <v>1711</v>
      </c>
      <c r="B9430" t="s">
        <v>1238</v>
      </c>
    </row>
    <row r="9431" spans="1:2" x14ac:dyDescent="0.25">
      <c r="A9431" t="s">
        <v>1711</v>
      </c>
      <c r="B9431" t="s">
        <v>1239</v>
      </c>
    </row>
    <row r="9432" spans="1:2" x14ac:dyDescent="0.25">
      <c r="A9432" t="s">
        <v>1711</v>
      </c>
      <c r="B9432" t="s">
        <v>1246</v>
      </c>
    </row>
    <row r="9433" spans="1:2" x14ac:dyDescent="0.25">
      <c r="A9433" t="s">
        <v>1711</v>
      </c>
      <c r="B9433" t="s">
        <v>1247</v>
      </c>
    </row>
    <row r="9434" spans="1:2" x14ac:dyDescent="0.25">
      <c r="A9434" t="s">
        <v>1711</v>
      </c>
      <c r="B9434" t="s">
        <v>1248</v>
      </c>
    </row>
    <row r="9435" spans="1:2" x14ac:dyDescent="0.25">
      <c r="A9435" t="s">
        <v>1712</v>
      </c>
      <c r="B9435" t="s">
        <v>1100</v>
      </c>
    </row>
    <row r="9436" spans="1:2" x14ac:dyDescent="0.25">
      <c r="A9436" t="s">
        <v>1712</v>
      </c>
      <c r="B9436" t="s">
        <v>1102</v>
      </c>
    </row>
    <row r="9437" spans="1:2" x14ac:dyDescent="0.25">
      <c r="A9437" t="s">
        <v>1712</v>
      </c>
      <c r="B9437" t="s">
        <v>1103</v>
      </c>
    </row>
    <row r="9438" spans="1:2" x14ac:dyDescent="0.25">
      <c r="A9438" t="s">
        <v>1712</v>
      </c>
      <c r="B9438" t="s">
        <v>1104</v>
      </c>
    </row>
    <row r="9439" spans="1:2" x14ac:dyDescent="0.25">
      <c r="A9439" t="s">
        <v>1712</v>
      </c>
      <c r="B9439" t="s">
        <v>1105</v>
      </c>
    </row>
    <row r="9440" spans="1:2" x14ac:dyDescent="0.25">
      <c r="A9440" t="s">
        <v>1712</v>
      </c>
      <c r="B9440" t="s">
        <v>1106</v>
      </c>
    </row>
    <row r="9441" spans="1:2" x14ac:dyDescent="0.25">
      <c r="A9441" t="s">
        <v>1712</v>
      </c>
      <c r="B9441" t="s">
        <v>1161</v>
      </c>
    </row>
    <row r="9442" spans="1:2" x14ac:dyDescent="0.25">
      <c r="A9442" t="s">
        <v>1712</v>
      </c>
      <c r="B9442" t="s">
        <v>1162</v>
      </c>
    </row>
    <row r="9443" spans="1:2" x14ac:dyDescent="0.25">
      <c r="A9443" t="s">
        <v>1712</v>
      </c>
      <c r="B9443" t="s">
        <v>1164</v>
      </c>
    </row>
    <row r="9444" spans="1:2" x14ac:dyDescent="0.25">
      <c r="A9444" t="s">
        <v>1712</v>
      </c>
      <c r="B9444" t="s">
        <v>1209</v>
      </c>
    </row>
    <row r="9445" spans="1:2" x14ac:dyDescent="0.25">
      <c r="A9445" t="s">
        <v>1712</v>
      </c>
      <c r="B9445" t="s">
        <v>1210</v>
      </c>
    </row>
    <row r="9446" spans="1:2" x14ac:dyDescent="0.25">
      <c r="A9446" t="s">
        <v>1712</v>
      </c>
      <c r="B9446" t="s">
        <v>1211</v>
      </c>
    </row>
    <row r="9447" spans="1:2" x14ac:dyDescent="0.25">
      <c r="A9447" t="s">
        <v>1712</v>
      </c>
      <c r="B9447" t="s">
        <v>1237</v>
      </c>
    </row>
    <row r="9448" spans="1:2" x14ac:dyDescent="0.25">
      <c r="A9448" t="s">
        <v>1712</v>
      </c>
      <c r="B9448" t="s">
        <v>1238</v>
      </c>
    </row>
    <row r="9449" spans="1:2" x14ac:dyDescent="0.25">
      <c r="A9449" t="s">
        <v>1712</v>
      </c>
      <c r="B9449" t="s">
        <v>1239</v>
      </c>
    </row>
    <row r="9450" spans="1:2" x14ac:dyDescent="0.25">
      <c r="A9450" t="s">
        <v>1712</v>
      </c>
      <c r="B9450" t="s">
        <v>1246</v>
      </c>
    </row>
    <row r="9451" spans="1:2" x14ac:dyDescent="0.25">
      <c r="A9451" t="s">
        <v>1712</v>
      </c>
      <c r="B9451" t="s">
        <v>1247</v>
      </c>
    </row>
    <row r="9452" spans="1:2" x14ac:dyDescent="0.25">
      <c r="A9452" t="s">
        <v>1712</v>
      </c>
      <c r="B9452" t="s">
        <v>1248</v>
      </c>
    </row>
    <row r="9453" spans="1:2" x14ac:dyDescent="0.25">
      <c r="A9453" t="s">
        <v>1713</v>
      </c>
      <c r="B9453" t="s">
        <v>1100</v>
      </c>
    </row>
    <row r="9454" spans="1:2" x14ac:dyDescent="0.25">
      <c r="A9454" t="s">
        <v>1713</v>
      </c>
      <c r="B9454" t="s">
        <v>1102</v>
      </c>
    </row>
    <row r="9455" spans="1:2" x14ac:dyDescent="0.25">
      <c r="A9455" t="s">
        <v>1713</v>
      </c>
      <c r="B9455" t="s">
        <v>1103</v>
      </c>
    </row>
    <row r="9456" spans="1:2" x14ac:dyDescent="0.25">
      <c r="A9456" t="s">
        <v>1713</v>
      </c>
      <c r="B9456" t="s">
        <v>1104</v>
      </c>
    </row>
    <row r="9457" spans="1:2" x14ac:dyDescent="0.25">
      <c r="A9457" t="s">
        <v>1713</v>
      </c>
      <c r="B9457" t="s">
        <v>1105</v>
      </c>
    </row>
    <row r="9458" spans="1:2" x14ac:dyDescent="0.25">
      <c r="A9458" t="s">
        <v>1713</v>
      </c>
      <c r="B9458" t="s">
        <v>1106</v>
      </c>
    </row>
    <row r="9459" spans="1:2" x14ac:dyDescent="0.25">
      <c r="A9459" t="s">
        <v>1713</v>
      </c>
      <c r="B9459" t="s">
        <v>1161</v>
      </c>
    </row>
    <row r="9460" spans="1:2" x14ac:dyDescent="0.25">
      <c r="A9460" t="s">
        <v>1713</v>
      </c>
      <c r="B9460" t="s">
        <v>1162</v>
      </c>
    </row>
    <row r="9461" spans="1:2" x14ac:dyDescent="0.25">
      <c r="A9461" t="s">
        <v>1713</v>
      </c>
      <c r="B9461" t="s">
        <v>1164</v>
      </c>
    </row>
    <row r="9462" spans="1:2" x14ac:dyDescent="0.25">
      <c r="A9462" t="s">
        <v>1713</v>
      </c>
      <c r="B9462" t="s">
        <v>1209</v>
      </c>
    </row>
    <row r="9463" spans="1:2" x14ac:dyDescent="0.25">
      <c r="A9463" t="s">
        <v>1713</v>
      </c>
      <c r="B9463" t="s">
        <v>1210</v>
      </c>
    </row>
    <row r="9464" spans="1:2" x14ac:dyDescent="0.25">
      <c r="A9464" t="s">
        <v>1713</v>
      </c>
      <c r="B9464" t="s">
        <v>1211</v>
      </c>
    </row>
    <row r="9465" spans="1:2" x14ac:dyDescent="0.25">
      <c r="A9465" t="s">
        <v>1713</v>
      </c>
      <c r="B9465" t="s">
        <v>1237</v>
      </c>
    </row>
    <row r="9466" spans="1:2" x14ac:dyDescent="0.25">
      <c r="A9466" t="s">
        <v>1713</v>
      </c>
      <c r="B9466" t="s">
        <v>1238</v>
      </c>
    </row>
    <row r="9467" spans="1:2" x14ac:dyDescent="0.25">
      <c r="A9467" t="s">
        <v>1713</v>
      </c>
      <c r="B9467" t="s">
        <v>1239</v>
      </c>
    </row>
    <row r="9468" spans="1:2" x14ac:dyDescent="0.25">
      <c r="A9468" t="s">
        <v>1713</v>
      </c>
      <c r="B9468" t="s">
        <v>1246</v>
      </c>
    </row>
    <row r="9469" spans="1:2" x14ac:dyDescent="0.25">
      <c r="A9469" t="s">
        <v>1713</v>
      </c>
      <c r="B9469" t="s">
        <v>1247</v>
      </c>
    </row>
    <row r="9470" spans="1:2" x14ac:dyDescent="0.25">
      <c r="A9470" t="s">
        <v>1713</v>
      </c>
      <c r="B9470" t="s">
        <v>1248</v>
      </c>
    </row>
    <row r="9471" spans="1:2" x14ac:dyDescent="0.25">
      <c r="A9471" t="s">
        <v>1714</v>
      </c>
      <c r="B9471" t="s">
        <v>1100</v>
      </c>
    </row>
    <row r="9472" spans="1:2" x14ac:dyDescent="0.25">
      <c r="A9472" t="s">
        <v>1714</v>
      </c>
      <c r="B9472" t="s">
        <v>1104</v>
      </c>
    </row>
    <row r="9473" spans="1:2" x14ac:dyDescent="0.25">
      <c r="A9473" t="s">
        <v>1714</v>
      </c>
      <c r="B9473" t="s">
        <v>1105</v>
      </c>
    </row>
    <row r="9474" spans="1:2" x14ac:dyDescent="0.25">
      <c r="A9474" t="s">
        <v>1714</v>
      </c>
      <c r="B9474" t="s">
        <v>1106</v>
      </c>
    </row>
    <row r="9475" spans="1:2" x14ac:dyDescent="0.25">
      <c r="A9475" t="s">
        <v>1714</v>
      </c>
      <c r="B9475" t="s">
        <v>1161</v>
      </c>
    </row>
    <row r="9476" spans="1:2" x14ac:dyDescent="0.25">
      <c r="A9476" t="s">
        <v>1714</v>
      </c>
      <c r="B9476" t="s">
        <v>1162</v>
      </c>
    </row>
    <row r="9477" spans="1:2" x14ac:dyDescent="0.25">
      <c r="A9477" t="s">
        <v>1714</v>
      </c>
      <c r="B9477" t="s">
        <v>1164</v>
      </c>
    </row>
    <row r="9478" spans="1:2" x14ac:dyDescent="0.25">
      <c r="A9478" t="s">
        <v>1714</v>
      </c>
      <c r="B9478" t="s">
        <v>1238</v>
      </c>
    </row>
    <row r="9479" spans="1:2" x14ac:dyDescent="0.25">
      <c r="A9479" t="s">
        <v>1714</v>
      </c>
      <c r="B9479" t="s">
        <v>1239</v>
      </c>
    </row>
    <row r="9480" spans="1:2" x14ac:dyDescent="0.25">
      <c r="A9480" t="s">
        <v>1714</v>
      </c>
      <c r="B9480" t="s">
        <v>1247</v>
      </c>
    </row>
    <row r="9481" spans="1:2" x14ac:dyDescent="0.25">
      <c r="A9481" s="11" t="s">
        <v>1505</v>
      </c>
      <c r="B9481" t="s">
        <v>1091</v>
      </c>
    </row>
    <row r="9482" spans="1:2" x14ac:dyDescent="0.25">
      <c r="A9482" t="s">
        <v>1505</v>
      </c>
      <c r="B9482" t="s">
        <v>1092</v>
      </c>
    </row>
    <row r="9483" spans="1:2" x14ac:dyDescent="0.25">
      <c r="A9483" t="s">
        <v>1505</v>
      </c>
      <c r="B9483" t="s">
        <v>1093</v>
      </c>
    </row>
    <row r="9484" spans="1:2" x14ac:dyDescent="0.25">
      <c r="A9484" t="s">
        <v>1505</v>
      </c>
      <c r="B9484" t="s">
        <v>1094</v>
      </c>
    </row>
    <row r="9485" spans="1:2" x14ac:dyDescent="0.25">
      <c r="A9485" t="s">
        <v>1505</v>
      </c>
      <c r="B9485" t="s">
        <v>1095</v>
      </c>
    </row>
    <row r="9486" spans="1:2" x14ac:dyDescent="0.25">
      <c r="A9486" t="s">
        <v>1505</v>
      </c>
      <c r="B9486" t="s">
        <v>1096</v>
      </c>
    </row>
    <row r="9487" spans="1:2" x14ac:dyDescent="0.25">
      <c r="A9487" t="s">
        <v>1505</v>
      </c>
      <c r="B9487" t="s">
        <v>1097</v>
      </c>
    </row>
    <row r="9488" spans="1:2" x14ac:dyDescent="0.25">
      <c r="A9488" t="s">
        <v>1505</v>
      </c>
      <c r="B9488" t="s">
        <v>1098</v>
      </c>
    </row>
    <row r="9489" spans="1:2" x14ac:dyDescent="0.25">
      <c r="A9489" t="s">
        <v>1505</v>
      </c>
      <c r="B9489" t="s">
        <v>1099</v>
      </c>
    </row>
    <row r="9490" spans="1:2" x14ac:dyDescent="0.25">
      <c r="A9490" t="s">
        <v>1505</v>
      </c>
      <c r="B9490" t="s">
        <v>1100</v>
      </c>
    </row>
    <row r="9491" spans="1:2" x14ac:dyDescent="0.25">
      <c r="A9491" t="s">
        <v>1505</v>
      </c>
      <c r="B9491" t="s">
        <v>1101</v>
      </c>
    </row>
    <row r="9492" spans="1:2" x14ac:dyDescent="0.25">
      <c r="A9492" t="s">
        <v>1505</v>
      </c>
      <c r="B9492" t="s">
        <v>1102</v>
      </c>
    </row>
    <row r="9493" spans="1:2" x14ac:dyDescent="0.25">
      <c r="A9493" t="s">
        <v>1505</v>
      </c>
      <c r="B9493" t="s">
        <v>1102</v>
      </c>
    </row>
    <row r="9494" spans="1:2" x14ac:dyDescent="0.25">
      <c r="A9494" t="s">
        <v>1505</v>
      </c>
      <c r="B9494" t="s">
        <v>1103</v>
      </c>
    </row>
    <row r="9495" spans="1:2" x14ac:dyDescent="0.25">
      <c r="A9495" t="s">
        <v>1505</v>
      </c>
      <c r="B9495" t="s">
        <v>1104</v>
      </c>
    </row>
    <row r="9496" spans="1:2" x14ac:dyDescent="0.25">
      <c r="A9496" t="s">
        <v>1505</v>
      </c>
      <c r="B9496" t="s">
        <v>1105</v>
      </c>
    </row>
    <row r="9497" spans="1:2" x14ac:dyDescent="0.25">
      <c r="A9497" t="s">
        <v>1505</v>
      </c>
      <c r="B9497" t="s">
        <v>1106</v>
      </c>
    </row>
    <row r="9498" spans="1:2" x14ac:dyDescent="0.25">
      <c r="A9498" t="s">
        <v>1505</v>
      </c>
      <c r="B9498" t="s">
        <v>1107</v>
      </c>
    </row>
    <row r="9499" spans="1:2" x14ac:dyDescent="0.25">
      <c r="A9499" t="s">
        <v>1505</v>
      </c>
      <c r="B9499" t="s">
        <v>1108</v>
      </c>
    </row>
    <row r="9500" spans="1:2" x14ac:dyDescent="0.25">
      <c r="A9500" t="s">
        <v>1505</v>
      </c>
      <c r="B9500" t="s">
        <v>1110</v>
      </c>
    </row>
    <row r="9501" spans="1:2" x14ac:dyDescent="0.25">
      <c r="A9501" t="s">
        <v>1505</v>
      </c>
      <c r="B9501" t="s">
        <v>1201</v>
      </c>
    </row>
    <row r="9502" spans="1:2" x14ac:dyDescent="0.25">
      <c r="A9502" t="s">
        <v>1505</v>
      </c>
      <c r="B9502" t="s">
        <v>1206</v>
      </c>
    </row>
    <row r="9503" spans="1:2" x14ac:dyDescent="0.25">
      <c r="A9503" s="11" t="s">
        <v>1506</v>
      </c>
      <c r="B9503" t="s">
        <v>1091</v>
      </c>
    </row>
    <row r="9504" spans="1:2" x14ac:dyDescent="0.25">
      <c r="A9504" t="s">
        <v>1506</v>
      </c>
      <c r="B9504" t="s">
        <v>1092</v>
      </c>
    </row>
    <row r="9505" spans="1:2" x14ac:dyDescent="0.25">
      <c r="A9505" t="s">
        <v>1506</v>
      </c>
      <c r="B9505" t="s">
        <v>1093</v>
      </c>
    </row>
    <row r="9506" spans="1:2" x14ac:dyDescent="0.25">
      <c r="A9506" t="s">
        <v>1506</v>
      </c>
      <c r="B9506" t="s">
        <v>1094</v>
      </c>
    </row>
    <row r="9507" spans="1:2" x14ac:dyDescent="0.25">
      <c r="A9507" t="s">
        <v>1506</v>
      </c>
      <c r="B9507" t="s">
        <v>1095</v>
      </c>
    </row>
    <row r="9508" spans="1:2" x14ac:dyDescent="0.25">
      <c r="A9508" t="s">
        <v>1506</v>
      </c>
      <c r="B9508" t="s">
        <v>1096</v>
      </c>
    </row>
    <row r="9509" spans="1:2" x14ac:dyDescent="0.25">
      <c r="A9509" t="s">
        <v>1506</v>
      </c>
      <c r="B9509" t="s">
        <v>1097</v>
      </c>
    </row>
    <row r="9510" spans="1:2" x14ac:dyDescent="0.25">
      <c r="A9510" t="s">
        <v>1506</v>
      </c>
      <c r="B9510" t="s">
        <v>1098</v>
      </c>
    </row>
    <row r="9511" spans="1:2" x14ac:dyDescent="0.25">
      <c r="A9511" t="s">
        <v>1506</v>
      </c>
      <c r="B9511" t="s">
        <v>1099</v>
      </c>
    </row>
    <row r="9512" spans="1:2" x14ac:dyDescent="0.25">
      <c r="A9512" t="s">
        <v>1506</v>
      </c>
      <c r="B9512" t="s">
        <v>1100</v>
      </c>
    </row>
    <row r="9513" spans="1:2" x14ac:dyDescent="0.25">
      <c r="A9513" t="s">
        <v>1506</v>
      </c>
      <c r="B9513" t="s">
        <v>1101</v>
      </c>
    </row>
    <row r="9514" spans="1:2" x14ac:dyDescent="0.25">
      <c r="A9514" t="s">
        <v>1506</v>
      </c>
      <c r="B9514" t="s">
        <v>1102</v>
      </c>
    </row>
    <row r="9515" spans="1:2" x14ac:dyDescent="0.25">
      <c r="A9515" t="s">
        <v>1506</v>
      </c>
      <c r="B9515" t="s">
        <v>1102</v>
      </c>
    </row>
    <row r="9516" spans="1:2" x14ac:dyDescent="0.25">
      <c r="A9516" t="s">
        <v>1506</v>
      </c>
      <c r="B9516" t="s">
        <v>1103</v>
      </c>
    </row>
    <row r="9517" spans="1:2" x14ac:dyDescent="0.25">
      <c r="A9517" t="s">
        <v>1506</v>
      </c>
      <c r="B9517" t="s">
        <v>1104</v>
      </c>
    </row>
    <row r="9518" spans="1:2" x14ac:dyDescent="0.25">
      <c r="A9518" t="s">
        <v>1506</v>
      </c>
      <c r="B9518" t="s">
        <v>1105</v>
      </c>
    </row>
    <row r="9519" spans="1:2" x14ac:dyDescent="0.25">
      <c r="A9519" t="s">
        <v>1506</v>
      </c>
      <c r="B9519" t="s">
        <v>1106</v>
      </c>
    </row>
    <row r="9520" spans="1:2" x14ac:dyDescent="0.25">
      <c r="A9520" t="s">
        <v>1506</v>
      </c>
      <c r="B9520" t="s">
        <v>1107</v>
      </c>
    </row>
    <row r="9521" spans="1:2" x14ac:dyDescent="0.25">
      <c r="A9521" t="s">
        <v>1506</v>
      </c>
      <c r="B9521" t="s">
        <v>1108</v>
      </c>
    </row>
    <row r="9522" spans="1:2" x14ac:dyDescent="0.25">
      <c r="A9522" t="s">
        <v>1506</v>
      </c>
      <c r="B9522" t="s">
        <v>1110</v>
      </c>
    </row>
    <row r="9523" spans="1:2" x14ac:dyDescent="0.25">
      <c r="A9523" t="s">
        <v>1506</v>
      </c>
      <c r="B9523" t="s">
        <v>1201</v>
      </c>
    </row>
    <row r="9524" spans="1:2" x14ac:dyDescent="0.25">
      <c r="A9524" t="s">
        <v>1506</v>
      </c>
      <c r="B9524" t="s">
        <v>1206</v>
      </c>
    </row>
    <row r="9525" spans="1:2" x14ac:dyDescent="0.25">
      <c r="A9525" t="s">
        <v>2296</v>
      </c>
      <c r="B9525" t="s">
        <v>1209</v>
      </c>
    </row>
    <row r="9526" spans="1:2" x14ac:dyDescent="0.25">
      <c r="A9526" t="s">
        <v>2296</v>
      </c>
      <c r="B9526" t="s">
        <v>1210</v>
      </c>
    </row>
    <row r="9527" spans="1:2" x14ac:dyDescent="0.25">
      <c r="A9527" t="s">
        <v>2296</v>
      </c>
      <c r="B9527" t="s">
        <v>1211</v>
      </c>
    </row>
    <row r="9528" spans="1:2" x14ac:dyDescent="0.25">
      <c r="A9528" t="s">
        <v>1653</v>
      </c>
      <c r="B9528" t="s">
        <v>1098</v>
      </c>
    </row>
    <row r="9529" spans="1:2" x14ac:dyDescent="0.25">
      <c r="A9529" t="s">
        <v>1653</v>
      </c>
      <c r="B9529" t="s">
        <v>1185</v>
      </c>
    </row>
    <row r="9530" spans="1:2" x14ac:dyDescent="0.25">
      <c r="A9530" t="s">
        <v>1653</v>
      </c>
      <c r="B9530" t="s">
        <v>1197</v>
      </c>
    </row>
    <row r="9531" spans="1:2" x14ac:dyDescent="0.25">
      <c r="A9531" t="s">
        <v>1653</v>
      </c>
      <c r="B9531" t="s">
        <v>1211</v>
      </c>
    </row>
    <row r="9532" spans="1:2" x14ac:dyDescent="0.25">
      <c r="A9532" t="s">
        <v>1653</v>
      </c>
      <c r="B9532" t="s">
        <v>1244</v>
      </c>
    </row>
    <row r="9533" spans="1:2" x14ac:dyDescent="0.25">
      <c r="A9533" t="s">
        <v>1654</v>
      </c>
      <c r="B9533" t="s">
        <v>1098</v>
      </c>
    </row>
    <row r="9534" spans="1:2" x14ac:dyDescent="0.25">
      <c r="A9534" t="s">
        <v>1654</v>
      </c>
      <c r="B9534" t="s">
        <v>1185</v>
      </c>
    </row>
    <row r="9535" spans="1:2" x14ac:dyDescent="0.25">
      <c r="A9535" t="s">
        <v>1654</v>
      </c>
      <c r="B9535" t="s">
        <v>1197</v>
      </c>
    </row>
    <row r="9536" spans="1:2" x14ac:dyDescent="0.25">
      <c r="A9536" t="s">
        <v>1654</v>
      </c>
      <c r="B9536" t="s">
        <v>1211</v>
      </c>
    </row>
    <row r="9537" spans="1:2" x14ac:dyDescent="0.25">
      <c r="A9537" t="s">
        <v>1654</v>
      </c>
      <c r="B9537" t="s">
        <v>1244</v>
      </c>
    </row>
    <row r="9538" spans="1:2" x14ac:dyDescent="0.25">
      <c r="A9538" s="11" t="s">
        <v>1481</v>
      </c>
      <c r="B9538" t="s">
        <v>1091</v>
      </c>
    </row>
    <row r="9539" spans="1:2" x14ac:dyDescent="0.25">
      <c r="A9539" t="s">
        <v>1481</v>
      </c>
      <c r="B9539" t="s">
        <v>1092</v>
      </c>
    </row>
    <row r="9540" spans="1:2" x14ac:dyDescent="0.25">
      <c r="A9540" t="s">
        <v>1481</v>
      </c>
      <c r="B9540" t="s">
        <v>1093</v>
      </c>
    </row>
    <row r="9541" spans="1:2" x14ac:dyDescent="0.25">
      <c r="A9541" t="s">
        <v>1481</v>
      </c>
      <c r="B9541" t="s">
        <v>1094</v>
      </c>
    </row>
    <row r="9542" spans="1:2" x14ac:dyDescent="0.25">
      <c r="A9542" t="s">
        <v>1481</v>
      </c>
      <c r="B9542" t="s">
        <v>1095</v>
      </c>
    </row>
    <row r="9543" spans="1:2" x14ac:dyDescent="0.25">
      <c r="A9543" t="s">
        <v>1481</v>
      </c>
      <c r="B9543" t="s">
        <v>1096</v>
      </c>
    </row>
    <row r="9544" spans="1:2" x14ac:dyDescent="0.25">
      <c r="A9544" t="s">
        <v>1481</v>
      </c>
      <c r="B9544" t="s">
        <v>1097</v>
      </c>
    </row>
    <row r="9545" spans="1:2" x14ac:dyDescent="0.25">
      <c r="A9545" t="s">
        <v>1481</v>
      </c>
      <c r="B9545" t="s">
        <v>1098</v>
      </c>
    </row>
    <row r="9546" spans="1:2" x14ac:dyDescent="0.25">
      <c r="A9546" t="s">
        <v>1481</v>
      </c>
      <c r="B9546" t="s">
        <v>1099</v>
      </c>
    </row>
    <row r="9547" spans="1:2" x14ac:dyDescent="0.25">
      <c r="A9547" t="s">
        <v>1481</v>
      </c>
      <c r="B9547" t="s">
        <v>1100</v>
      </c>
    </row>
    <row r="9548" spans="1:2" x14ac:dyDescent="0.25">
      <c r="A9548" t="s">
        <v>1481</v>
      </c>
      <c r="B9548" t="s">
        <v>1101</v>
      </c>
    </row>
    <row r="9549" spans="1:2" x14ac:dyDescent="0.25">
      <c r="A9549" t="s">
        <v>1481</v>
      </c>
      <c r="B9549" t="s">
        <v>1102</v>
      </c>
    </row>
    <row r="9550" spans="1:2" x14ac:dyDescent="0.25">
      <c r="A9550" t="s">
        <v>1481</v>
      </c>
      <c r="B9550" t="s">
        <v>1103</v>
      </c>
    </row>
    <row r="9551" spans="1:2" x14ac:dyDescent="0.25">
      <c r="A9551" t="s">
        <v>1481</v>
      </c>
      <c r="B9551" t="s">
        <v>1104</v>
      </c>
    </row>
    <row r="9552" spans="1:2" x14ac:dyDescent="0.25">
      <c r="A9552" t="s">
        <v>1481</v>
      </c>
      <c r="B9552" t="s">
        <v>1105</v>
      </c>
    </row>
    <row r="9553" spans="1:2" x14ac:dyDescent="0.25">
      <c r="A9553" t="s">
        <v>1481</v>
      </c>
      <c r="B9553" t="s">
        <v>1106</v>
      </c>
    </row>
    <row r="9554" spans="1:2" x14ac:dyDescent="0.25">
      <c r="A9554" t="s">
        <v>1481</v>
      </c>
      <c r="B9554" t="s">
        <v>1107</v>
      </c>
    </row>
    <row r="9555" spans="1:2" x14ac:dyDescent="0.25">
      <c r="A9555" t="s">
        <v>1710</v>
      </c>
      <c r="B9555" t="s">
        <v>1100</v>
      </c>
    </row>
    <row r="9556" spans="1:2" x14ac:dyDescent="0.25">
      <c r="A9556" t="s">
        <v>1710</v>
      </c>
      <c r="B9556" t="s">
        <v>1102</v>
      </c>
    </row>
    <row r="9557" spans="1:2" x14ac:dyDescent="0.25">
      <c r="A9557" t="s">
        <v>1710</v>
      </c>
      <c r="B9557" t="s">
        <v>1103</v>
      </c>
    </row>
    <row r="9558" spans="1:2" x14ac:dyDescent="0.25">
      <c r="A9558" t="s">
        <v>1710</v>
      </c>
      <c r="B9558" t="s">
        <v>1104</v>
      </c>
    </row>
    <row r="9559" spans="1:2" x14ac:dyDescent="0.25">
      <c r="A9559" t="s">
        <v>1710</v>
      </c>
      <c r="B9559" t="s">
        <v>1105</v>
      </c>
    </row>
    <row r="9560" spans="1:2" x14ac:dyDescent="0.25">
      <c r="A9560" t="s">
        <v>1710</v>
      </c>
      <c r="B9560" t="s">
        <v>1106</v>
      </c>
    </row>
    <row r="9561" spans="1:2" x14ac:dyDescent="0.25">
      <c r="A9561" t="s">
        <v>1710</v>
      </c>
      <c r="B9561" t="s">
        <v>1161</v>
      </c>
    </row>
    <row r="9562" spans="1:2" x14ac:dyDescent="0.25">
      <c r="A9562" t="s">
        <v>1710</v>
      </c>
      <c r="B9562" t="s">
        <v>1162</v>
      </c>
    </row>
    <row r="9563" spans="1:2" x14ac:dyDescent="0.25">
      <c r="A9563" t="s">
        <v>1710</v>
      </c>
      <c r="B9563" t="s">
        <v>1164</v>
      </c>
    </row>
    <row r="9564" spans="1:2" x14ac:dyDescent="0.25">
      <c r="A9564" t="s">
        <v>1710</v>
      </c>
      <c r="B9564" t="s">
        <v>1237</v>
      </c>
    </row>
    <row r="9565" spans="1:2" x14ac:dyDescent="0.25">
      <c r="A9565" t="s">
        <v>1710</v>
      </c>
      <c r="B9565" t="s">
        <v>1238</v>
      </c>
    </row>
    <row r="9566" spans="1:2" x14ac:dyDescent="0.25">
      <c r="A9566" t="s">
        <v>1710</v>
      </c>
      <c r="B9566" t="s">
        <v>1239</v>
      </c>
    </row>
    <row r="9567" spans="1:2" x14ac:dyDescent="0.25">
      <c r="A9567" t="s">
        <v>1710</v>
      </c>
      <c r="B9567" t="s">
        <v>1246</v>
      </c>
    </row>
    <row r="9568" spans="1:2" x14ac:dyDescent="0.25">
      <c r="A9568" t="s">
        <v>1710</v>
      </c>
      <c r="B9568" t="s">
        <v>1247</v>
      </c>
    </row>
    <row r="9569" spans="1:2" x14ac:dyDescent="0.25">
      <c r="A9569" t="s">
        <v>1710</v>
      </c>
      <c r="B9569" t="s">
        <v>1248</v>
      </c>
    </row>
    <row r="9570" spans="1:2" x14ac:dyDescent="0.25">
      <c r="A9570" s="11" t="s">
        <v>1482</v>
      </c>
      <c r="B9570" t="s">
        <v>1091</v>
      </c>
    </row>
    <row r="9571" spans="1:2" x14ac:dyDescent="0.25">
      <c r="A9571" t="s">
        <v>1482</v>
      </c>
      <c r="B9571" t="s">
        <v>1092</v>
      </c>
    </row>
    <row r="9572" spans="1:2" x14ac:dyDescent="0.25">
      <c r="A9572" t="s">
        <v>1482</v>
      </c>
      <c r="B9572" t="s">
        <v>1093</v>
      </c>
    </row>
    <row r="9573" spans="1:2" x14ac:dyDescent="0.25">
      <c r="A9573" t="s">
        <v>1482</v>
      </c>
      <c r="B9573" t="s">
        <v>1094</v>
      </c>
    </row>
    <row r="9574" spans="1:2" x14ac:dyDescent="0.25">
      <c r="A9574" t="s">
        <v>1482</v>
      </c>
      <c r="B9574" t="s">
        <v>1095</v>
      </c>
    </row>
    <row r="9575" spans="1:2" x14ac:dyDescent="0.25">
      <c r="A9575" t="s">
        <v>1482</v>
      </c>
      <c r="B9575" t="s">
        <v>1096</v>
      </c>
    </row>
    <row r="9576" spans="1:2" x14ac:dyDescent="0.25">
      <c r="A9576" t="s">
        <v>1482</v>
      </c>
      <c r="B9576" t="s">
        <v>1097</v>
      </c>
    </row>
    <row r="9577" spans="1:2" x14ac:dyDescent="0.25">
      <c r="A9577" t="s">
        <v>1482</v>
      </c>
      <c r="B9577" t="s">
        <v>1098</v>
      </c>
    </row>
    <row r="9578" spans="1:2" x14ac:dyDescent="0.25">
      <c r="A9578" t="s">
        <v>1482</v>
      </c>
      <c r="B9578" t="s">
        <v>1099</v>
      </c>
    </row>
    <row r="9579" spans="1:2" x14ac:dyDescent="0.25">
      <c r="A9579" t="s">
        <v>1482</v>
      </c>
      <c r="B9579" t="s">
        <v>1100</v>
      </c>
    </row>
    <row r="9580" spans="1:2" x14ac:dyDescent="0.25">
      <c r="A9580" t="s">
        <v>1482</v>
      </c>
      <c r="B9580" t="s">
        <v>1101</v>
      </c>
    </row>
    <row r="9581" spans="1:2" x14ac:dyDescent="0.25">
      <c r="A9581" t="s">
        <v>1482</v>
      </c>
      <c r="B9581" t="s">
        <v>1102</v>
      </c>
    </row>
    <row r="9582" spans="1:2" x14ac:dyDescent="0.25">
      <c r="A9582" t="s">
        <v>1482</v>
      </c>
      <c r="B9582" t="s">
        <v>1103</v>
      </c>
    </row>
    <row r="9583" spans="1:2" x14ac:dyDescent="0.25">
      <c r="A9583" t="s">
        <v>1482</v>
      </c>
      <c r="B9583" t="s">
        <v>1104</v>
      </c>
    </row>
    <row r="9584" spans="1:2" x14ac:dyDescent="0.25">
      <c r="A9584" t="s">
        <v>1482</v>
      </c>
      <c r="B9584" t="s">
        <v>1105</v>
      </c>
    </row>
    <row r="9585" spans="1:2" x14ac:dyDescent="0.25">
      <c r="A9585" t="s">
        <v>1482</v>
      </c>
      <c r="B9585" t="s">
        <v>1106</v>
      </c>
    </row>
    <row r="9586" spans="1:2" x14ac:dyDescent="0.25">
      <c r="A9586" t="s">
        <v>1482</v>
      </c>
      <c r="B9586" t="s">
        <v>1107</v>
      </c>
    </row>
    <row r="9587" spans="1:2" x14ac:dyDescent="0.25">
      <c r="A9587" t="s">
        <v>1709</v>
      </c>
      <c r="B9587" t="s">
        <v>1100</v>
      </c>
    </row>
    <row r="9588" spans="1:2" x14ac:dyDescent="0.25">
      <c r="A9588" t="s">
        <v>1709</v>
      </c>
      <c r="B9588" t="s">
        <v>1101</v>
      </c>
    </row>
    <row r="9589" spans="1:2" x14ac:dyDescent="0.25">
      <c r="A9589" t="s">
        <v>1709</v>
      </c>
      <c r="B9589" t="s">
        <v>1104</v>
      </c>
    </row>
    <row r="9590" spans="1:2" x14ac:dyDescent="0.25">
      <c r="A9590" t="s">
        <v>1709</v>
      </c>
      <c r="B9590" t="s">
        <v>1105</v>
      </c>
    </row>
    <row r="9591" spans="1:2" x14ac:dyDescent="0.25">
      <c r="A9591" t="s">
        <v>1709</v>
      </c>
      <c r="B9591" t="s">
        <v>1116</v>
      </c>
    </row>
    <row r="9592" spans="1:2" x14ac:dyDescent="0.25">
      <c r="A9592" t="s">
        <v>1709</v>
      </c>
      <c r="B9592" t="s">
        <v>1116</v>
      </c>
    </row>
    <row r="9593" spans="1:2" x14ac:dyDescent="0.25">
      <c r="A9593" t="s">
        <v>1709</v>
      </c>
      <c r="B9593" t="s">
        <v>1117</v>
      </c>
    </row>
    <row r="9594" spans="1:2" x14ac:dyDescent="0.25">
      <c r="A9594" t="s">
        <v>1709</v>
      </c>
      <c r="B9594" t="s">
        <v>1117</v>
      </c>
    </row>
    <row r="9595" spans="1:2" x14ac:dyDescent="0.25">
      <c r="A9595" t="s">
        <v>1709</v>
      </c>
      <c r="B9595" t="s">
        <v>1118</v>
      </c>
    </row>
    <row r="9596" spans="1:2" x14ac:dyDescent="0.25">
      <c r="A9596" t="s">
        <v>1709</v>
      </c>
      <c r="B9596" t="s">
        <v>1118</v>
      </c>
    </row>
    <row r="9597" spans="1:2" x14ac:dyDescent="0.25">
      <c r="A9597" t="s">
        <v>1709</v>
      </c>
      <c r="B9597" t="s">
        <v>1119</v>
      </c>
    </row>
    <row r="9598" spans="1:2" x14ac:dyDescent="0.25">
      <c r="A9598" t="s">
        <v>1709</v>
      </c>
      <c r="B9598" t="s">
        <v>1120</v>
      </c>
    </row>
    <row r="9599" spans="1:2" x14ac:dyDescent="0.25">
      <c r="A9599" t="s">
        <v>1709</v>
      </c>
      <c r="B9599" t="s">
        <v>1164</v>
      </c>
    </row>
    <row r="9600" spans="1:2" x14ac:dyDescent="0.25">
      <c r="A9600" t="s">
        <v>1709</v>
      </c>
      <c r="B9600" t="s">
        <v>1235</v>
      </c>
    </row>
    <row r="9601" spans="1:2" x14ac:dyDescent="0.25">
      <c r="A9601" t="s">
        <v>1709</v>
      </c>
      <c r="B9601" t="s">
        <v>1236</v>
      </c>
    </row>
    <row r="9602" spans="1:2" x14ac:dyDescent="0.25">
      <c r="A9602" t="s">
        <v>1709</v>
      </c>
      <c r="B9602" t="s">
        <v>1239</v>
      </c>
    </row>
    <row r="9603" spans="1:2" x14ac:dyDescent="0.25">
      <c r="A9603" t="s">
        <v>1709</v>
      </c>
      <c r="B9603" t="s">
        <v>1240</v>
      </c>
    </row>
    <row r="9604" spans="1:2" x14ac:dyDescent="0.25">
      <c r="A9604" t="s">
        <v>1822</v>
      </c>
      <c r="B9604" t="s">
        <v>1108</v>
      </c>
    </row>
    <row r="9605" spans="1:2" x14ac:dyDescent="0.25">
      <c r="A9605" t="s">
        <v>1822</v>
      </c>
      <c r="B9605" t="s">
        <v>1160</v>
      </c>
    </row>
    <row r="9606" spans="1:2" x14ac:dyDescent="0.25">
      <c r="A9606" t="s">
        <v>1822</v>
      </c>
      <c r="B9606" t="s">
        <v>1174</v>
      </c>
    </row>
    <row r="9607" spans="1:2" x14ac:dyDescent="0.25">
      <c r="A9607" t="s">
        <v>1822</v>
      </c>
      <c r="B9607" t="s">
        <v>1175</v>
      </c>
    </row>
    <row r="9608" spans="1:2" x14ac:dyDescent="0.25">
      <c r="A9608" t="s">
        <v>1822</v>
      </c>
      <c r="B9608" t="s">
        <v>1199</v>
      </c>
    </row>
    <row r="9609" spans="1:2" x14ac:dyDescent="0.25">
      <c r="A9609" t="s">
        <v>1822</v>
      </c>
      <c r="B9609" t="s">
        <v>1209</v>
      </c>
    </row>
    <row r="9610" spans="1:2" x14ac:dyDescent="0.25">
      <c r="A9610" t="s">
        <v>1822</v>
      </c>
      <c r="B9610" t="s">
        <v>1210</v>
      </c>
    </row>
    <row r="9611" spans="1:2" x14ac:dyDescent="0.25">
      <c r="A9611" t="s">
        <v>1822</v>
      </c>
      <c r="B9611" t="s">
        <v>1211</v>
      </c>
    </row>
    <row r="9612" spans="1:2" x14ac:dyDescent="0.25">
      <c r="A9612" t="s">
        <v>1822</v>
      </c>
      <c r="B9612" t="s">
        <v>1212</v>
      </c>
    </row>
    <row r="9613" spans="1:2" x14ac:dyDescent="0.25">
      <c r="A9613" t="s">
        <v>1822</v>
      </c>
      <c r="B9613" t="s">
        <v>1214</v>
      </c>
    </row>
    <row r="9614" spans="1:2" x14ac:dyDescent="0.25">
      <c r="A9614" t="s">
        <v>1822</v>
      </c>
      <c r="B9614" t="s">
        <v>1233</v>
      </c>
    </row>
    <row r="9615" spans="1:2" x14ac:dyDescent="0.25">
      <c r="A9615" t="s">
        <v>1995</v>
      </c>
      <c r="B9615" t="s">
        <v>1131</v>
      </c>
    </row>
    <row r="9616" spans="1:2" x14ac:dyDescent="0.25">
      <c r="A9616" t="s">
        <v>1995</v>
      </c>
      <c r="B9616" t="s">
        <v>1132</v>
      </c>
    </row>
    <row r="9617" spans="1:2" x14ac:dyDescent="0.25">
      <c r="A9617" t="s">
        <v>1995</v>
      </c>
      <c r="B9617" t="s">
        <v>1133</v>
      </c>
    </row>
    <row r="9618" spans="1:2" x14ac:dyDescent="0.25">
      <c r="A9618" t="s">
        <v>1998</v>
      </c>
      <c r="B9618" t="s">
        <v>1131</v>
      </c>
    </row>
    <row r="9619" spans="1:2" x14ac:dyDescent="0.25">
      <c r="A9619" t="s">
        <v>1998</v>
      </c>
      <c r="B9619" t="s">
        <v>1132</v>
      </c>
    </row>
    <row r="9620" spans="1:2" x14ac:dyDescent="0.25">
      <c r="A9620" t="s">
        <v>1998</v>
      </c>
      <c r="B9620" t="s">
        <v>1134</v>
      </c>
    </row>
    <row r="9621" spans="1:2" x14ac:dyDescent="0.25">
      <c r="A9621" t="s">
        <v>1998</v>
      </c>
      <c r="B9621" t="s">
        <v>1137</v>
      </c>
    </row>
    <row r="9622" spans="1:2" x14ac:dyDescent="0.25">
      <c r="A9622" t="s">
        <v>1998</v>
      </c>
      <c r="B9622" t="s">
        <v>1145</v>
      </c>
    </row>
    <row r="9623" spans="1:2" x14ac:dyDescent="0.25">
      <c r="A9623" t="s">
        <v>1996</v>
      </c>
      <c r="B9623" t="s">
        <v>1131</v>
      </c>
    </row>
    <row r="9624" spans="1:2" x14ac:dyDescent="0.25">
      <c r="A9624" t="s">
        <v>1996</v>
      </c>
      <c r="B9624" t="s">
        <v>1132</v>
      </c>
    </row>
    <row r="9625" spans="1:2" x14ac:dyDescent="0.25">
      <c r="A9625" t="s">
        <v>1996</v>
      </c>
      <c r="B9625" t="s">
        <v>1133</v>
      </c>
    </row>
    <row r="9626" spans="1:2" x14ac:dyDescent="0.25">
      <c r="A9626" t="s">
        <v>1997</v>
      </c>
      <c r="B9626" t="s">
        <v>1131</v>
      </c>
    </row>
    <row r="9627" spans="1:2" x14ac:dyDescent="0.25">
      <c r="A9627" t="s">
        <v>1997</v>
      </c>
      <c r="B9627" t="s">
        <v>1132</v>
      </c>
    </row>
    <row r="9628" spans="1:2" x14ac:dyDescent="0.25">
      <c r="A9628" t="s">
        <v>1997</v>
      </c>
      <c r="B9628" t="s">
        <v>1134</v>
      </c>
    </row>
    <row r="9629" spans="1:2" x14ac:dyDescent="0.25">
      <c r="A9629" t="s">
        <v>1997</v>
      </c>
      <c r="B9629" t="s">
        <v>1137</v>
      </c>
    </row>
    <row r="9630" spans="1:2" x14ac:dyDescent="0.25">
      <c r="A9630" t="s">
        <v>1997</v>
      </c>
      <c r="B9630" t="s">
        <v>1145</v>
      </c>
    </row>
    <row r="9631" spans="1:2" x14ac:dyDescent="0.25">
      <c r="A9631" t="s">
        <v>2240</v>
      </c>
      <c r="B9631" t="s">
        <v>1177</v>
      </c>
    </row>
    <row r="9632" spans="1:2" x14ac:dyDescent="0.25">
      <c r="A9632" t="s">
        <v>2240</v>
      </c>
      <c r="B9632" t="s">
        <v>1220</v>
      </c>
    </row>
    <row r="9633" spans="1:2" x14ac:dyDescent="0.25">
      <c r="A9633" t="s">
        <v>2240</v>
      </c>
      <c r="B9633" t="s">
        <v>1229</v>
      </c>
    </row>
    <row r="9634" spans="1:2" x14ac:dyDescent="0.25">
      <c r="A9634" t="s">
        <v>2105</v>
      </c>
      <c r="B9634" t="s">
        <v>1140</v>
      </c>
    </row>
    <row r="9635" spans="1:2" x14ac:dyDescent="0.25">
      <c r="A9635" t="s">
        <v>2105</v>
      </c>
      <c r="B9635" t="s">
        <v>1141</v>
      </c>
    </row>
    <row r="9636" spans="1:2" x14ac:dyDescent="0.25">
      <c r="A9636" t="s">
        <v>2105</v>
      </c>
      <c r="B9636" t="s">
        <v>1142</v>
      </c>
    </row>
    <row r="9637" spans="1:2" x14ac:dyDescent="0.25">
      <c r="A9637" t="s">
        <v>2105</v>
      </c>
      <c r="B9637" t="s">
        <v>1150</v>
      </c>
    </row>
    <row r="9638" spans="1:2" x14ac:dyDescent="0.25">
      <c r="A9638" t="s">
        <v>2105</v>
      </c>
      <c r="B9638" t="s">
        <v>1151</v>
      </c>
    </row>
    <row r="9639" spans="1:2" x14ac:dyDescent="0.25">
      <c r="A9639" t="s">
        <v>2105</v>
      </c>
      <c r="B9639" t="s">
        <v>1179</v>
      </c>
    </row>
    <row r="9640" spans="1:2" x14ac:dyDescent="0.25">
      <c r="A9640" t="s">
        <v>2105</v>
      </c>
      <c r="B9640" t="s">
        <v>1205</v>
      </c>
    </row>
    <row r="9641" spans="1:2" x14ac:dyDescent="0.25">
      <c r="A9641" t="s">
        <v>2105</v>
      </c>
      <c r="B9641" t="s">
        <v>1206</v>
      </c>
    </row>
    <row r="9642" spans="1:2" x14ac:dyDescent="0.25">
      <c r="A9642" t="s">
        <v>2105</v>
      </c>
      <c r="B9642" t="s">
        <v>1207</v>
      </c>
    </row>
    <row r="9643" spans="1:2" x14ac:dyDescent="0.25">
      <c r="A9643" t="s">
        <v>2105</v>
      </c>
      <c r="B9643" t="s">
        <v>1208</v>
      </c>
    </row>
    <row r="9644" spans="1:2" x14ac:dyDescent="0.25">
      <c r="A9644" t="s">
        <v>2105</v>
      </c>
      <c r="B9644" t="s">
        <v>1232</v>
      </c>
    </row>
    <row r="9645" spans="1:2" x14ac:dyDescent="0.25">
      <c r="A9645" t="s">
        <v>2105</v>
      </c>
      <c r="B9645" t="s">
        <v>1233</v>
      </c>
    </row>
    <row r="9646" spans="1:2" x14ac:dyDescent="0.25">
      <c r="A9646" t="s">
        <v>2105</v>
      </c>
      <c r="B9646" t="s">
        <v>1234</v>
      </c>
    </row>
    <row r="9647" spans="1:2" x14ac:dyDescent="0.25">
      <c r="A9647" t="s">
        <v>2105</v>
      </c>
      <c r="B9647" t="s">
        <v>1235</v>
      </c>
    </row>
    <row r="9648" spans="1:2" x14ac:dyDescent="0.25">
      <c r="A9648" t="s">
        <v>2105</v>
      </c>
      <c r="B9648" t="s">
        <v>1236</v>
      </c>
    </row>
    <row r="9649" spans="1:2" x14ac:dyDescent="0.25">
      <c r="A9649" t="s">
        <v>2105</v>
      </c>
      <c r="B9649" t="s">
        <v>1237</v>
      </c>
    </row>
    <row r="9650" spans="1:2" x14ac:dyDescent="0.25">
      <c r="A9650" t="s">
        <v>2105</v>
      </c>
      <c r="B9650" t="s">
        <v>1238</v>
      </c>
    </row>
    <row r="9651" spans="1:2" x14ac:dyDescent="0.25">
      <c r="A9651" t="s">
        <v>2105</v>
      </c>
      <c r="B9651" t="s">
        <v>1239</v>
      </c>
    </row>
    <row r="9652" spans="1:2" x14ac:dyDescent="0.25">
      <c r="A9652" t="s">
        <v>2105</v>
      </c>
      <c r="B9652" t="s">
        <v>1240</v>
      </c>
    </row>
    <row r="9653" spans="1:2" x14ac:dyDescent="0.25">
      <c r="A9653" t="s">
        <v>2105</v>
      </c>
      <c r="B9653" t="s">
        <v>1241</v>
      </c>
    </row>
    <row r="9654" spans="1:2" x14ac:dyDescent="0.25">
      <c r="A9654" t="s">
        <v>2105</v>
      </c>
      <c r="B9654" t="s">
        <v>1242</v>
      </c>
    </row>
    <row r="9655" spans="1:2" x14ac:dyDescent="0.25">
      <c r="A9655" t="s">
        <v>2105</v>
      </c>
      <c r="B9655" t="s">
        <v>1243</v>
      </c>
    </row>
    <row r="9656" spans="1:2" x14ac:dyDescent="0.25">
      <c r="A9656" t="s">
        <v>2105</v>
      </c>
      <c r="B9656" t="s">
        <v>1244</v>
      </c>
    </row>
    <row r="9657" spans="1:2" x14ac:dyDescent="0.25">
      <c r="A9657" t="s">
        <v>2105</v>
      </c>
      <c r="B9657" t="s">
        <v>1245</v>
      </c>
    </row>
    <row r="9658" spans="1:2" x14ac:dyDescent="0.25">
      <c r="A9658" t="s">
        <v>2105</v>
      </c>
      <c r="B9658" t="s">
        <v>1246</v>
      </c>
    </row>
    <row r="9659" spans="1:2" x14ac:dyDescent="0.25">
      <c r="A9659" t="s">
        <v>2105</v>
      </c>
      <c r="B9659" t="s">
        <v>1247</v>
      </c>
    </row>
    <row r="9660" spans="1:2" x14ac:dyDescent="0.25">
      <c r="A9660" t="s">
        <v>2105</v>
      </c>
      <c r="B9660" t="s">
        <v>1248</v>
      </c>
    </row>
    <row r="9661" spans="1:2" x14ac:dyDescent="0.25">
      <c r="A9661" t="s">
        <v>2105</v>
      </c>
      <c r="B9661" t="s">
        <v>1249</v>
      </c>
    </row>
    <row r="9662" spans="1:2" x14ac:dyDescent="0.25">
      <c r="A9662" t="s">
        <v>2105</v>
      </c>
      <c r="B9662" t="s">
        <v>1250</v>
      </c>
    </row>
    <row r="9663" spans="1:2" x14ac:dyDescent="0.25">
      <c r="A9663" t="s">
        <v>2238</v>
      </c>
      <c r="B9663" t="s">
        <v>1177</v>
      </c>
    </row>
    <row r="9664" spans="1:2" x14ac:dyDescent="0.25">
      <c r="A9664" t="s">
        <v>2238</v>
      </c>
      <c r="B9664" t="s">
        <v>1220</v>
      </c>
    </row>
    <row r="9665" spans="1:2" x14ac:dyDescent="0.25">
      <c r="A9665" t="s">
        <v>2238</v>
      </c>
      <c r="B9665" t="s">
        <v>1229</v>
      </c>
    </row>
    <row r="9666" spans="1:2" x14ac:dyDescent="0.25">
      <c r="A9666" t="s">
        <v>2239</v>
      </c>
      <c r="B9666" t="s">
        <v>1177</v>
      </c>
    </row>
    <row r="9667" spans="1:2" x14ac:dyDescent="0.25">
      <c r="A9667" t="s">
        <v>2239</v>
      </c>
      <c r="B9667" t="s">
        <v>1220</v>
      </c>
    </row>
    <row r="9668" spans="1:2" x14ac:dyDescent="0.25">
      <c r="A9668" t="s">
        <v>2239</v>
      </c>
      <c r="B9668" t="s">
        <v>1229</v>
      </c>
    </row>
    <row r="9669" spans="1:2" x14ac:dyDescent="0.25">
      <c r="A9669" t="s">
        <v>2319</v>
      </c>
      <c r="B9669" t="s">
        <v>1220</v>
      </c>
    </row>
    <row r="9670" spans="1:2" x14ac:dyDescent="0.25">
      <c r="A9670" t="s">
        <v>2073</v>
      </c>
      <c r="B9670" t="s">
        <v>1139</v>
      </c>
    </row>
    <row r="9671" spans="1:2" x14ac:dyDescent="0.25">
      <c r="A9671" t="s">
        <v>2073</v>
      </c>
      <c r="B9671" t="s">
        <v>1140</v>
      </c>
    </row>
    <row r="9672" spans="1:2" x14ac:dyDescent="0.25">
      <c r="A9672" t="s">
        <v>2073</v>
      </c>
      <c r="B9672" t="s">
        <v>1141</v>
      </c>
    </row>
    <row r="9673" spans="1:2" x14ac:dyDescent="0.25">
      <c r="A9673" t="s">
        <v>2073</v>
      </c>
      <c r="B9673" t="s">
        <v>1150</v>
      </c>
    </row>
    <row r="9674" spans="1:2" x14ac:dyDescent="0.25">
      <c r="A9674" t="s">
        <v>2073</v>
      </c>
      <c r="B9674" t="s">
        <v>1155</v>
      </c>
    </row>
    <row r="9675" spans="1:2" x14ac:dyDescent="0.25">
      <c r="A9675" t="s">
        <v>2073</v>
      </c>
      <c r="B9675" t="s">
        <v>1157</v>
      </c>
    </row>
    <row r="9676" spans="1:2" x14ac:dyDescent="0.25">
      <c r="A9676" t="s">
        <v>2073</v>
      </c>
      <c r="B9676" t="s">
        <v>1158</v>
      </c>
    </row>
    <row r="9677" spans="1:2" x14ac:dyDescent="0.25">
      <c r="A9677" t="s">
        <v>2073</v>
      </c>
      <c r="B9677" t="s">
        <v>1175</v>
      </c>
    </row>
    <row r="9678" spans="1:2" x14ac:dyDescent="0.25">
      <c r="A9678" t="s">
        <v>2073</v>
      </c>
      <c r="B9678" t="s">
        <v>1176</v>
      </c>
    </row>
    <row r="9679" spans="1:2" x14ac:dyDescent="0.25">
      <c r="A9679" t="s">
        <v>2073</v>
      </c>
      <c r="B9679" t="s">
        <v>1177</v>
      </c>
    </row>
    <row r="9680" spans="1:2" x14ac:dyDescent="0.25">
      <c r="A9680" t="s">
        <v>2073</v>
      </c>
      <c r="B9680" t="s">
        <v>1178</v>
      </c>
    </row>
    <row r="9681" spans="1:2" x14ac:dyDescent="0.25">
      <c r="A9681" t="s">
        <v>2073</v>
      </c>
      <c r="B9681" t="s">
        <v>1184</v>
      </c>
    </row>
    <row r="9682" spans="1:2" x14ac:dyDescent="0.25">
      <c r="A9682" t="s">
        <v>2073</v>
      </c>
      <c r="B9682" t="s">
        <v>1220</v>
      </c>
    </row>
    <row r="9683" spans="1:2" x14ac:dyDescent="0.25">
      <c r="A9683" t="s">
        <v>2073</v>
      </c>
      <c r="B9683" t="s">
        <v>1226</v>
      </c>
    </row>
    <row r="9684" spans="1:2" x14ac:dyDescent="0.25">
      <c r="A9684" t="s">
        <v>2073</v>
      </c>
      <c r="B9684" t="s">
        <v>1227</v>
      </c>
    </row>
    <row r="9685" spans="1:2" x14ac:dyDescent="0.25">
      <c r="A9685" t="s">
        <v>2073</v>
      </c>
      <c r="B9685" t="s">
        <v>1228</v>
      </c>
    </row>
    <row r="9686" spans="1:2" x14ac:dyDescent="0.25">
      <c r="A9686" t="s">
        <v>2073</v>
      </c>
      <c r="B9686" t="s">
        <v>1229</v>
      </c>
    </row>
    <row r="9687" spans="1:2" x14ac:dyDescent="0.25">
      <c r="A9687" t="s">
        <v>2073</v>
      </c>
      <c r="B9687" t="s">
        <v>1233</v>
      </c>
    </row>
    <row r="9688" spans="1:2" x14ac:dyDescent="0.25">
      <c r="A9688" t="s">
        <v>2081</v>
      </c>
      <c r="B9688" t="s">
        <v>1139</v>
      </c>
    </row>
    <row r="9689" spans="1:2" x14ac:dyDescent="0.25">
      <c r="A9689" t="s">
        <v>2081</v>
      </c>
      <c r="B9689" t="s">
        <v>1140</v>
      </c>
    </row>
    <row r="9690" spans="1:2" x14ac:dyDescent="0.25">
      <c r="A9690" t="s">
        <v>2081</v>
      </c>
      <c r="B9690" t="s">
        <v>1149</v>
      </c>
    </row>
    <row r="9691" spans="1:2" x14ac:dyDescent="0.25">
      <c r="A9691" t="s">
        <v>2081</v>
      </c>
      <c r="B9691" t="s">
        <v>1150</v>
      </c>
    </row>
    <row r="9692" spans="1:2" x14ac:dyDescent="0.25">
      <c r="A9692" t="s">
        <v>2081</v>
      </c>
      <c r="B9692" t="s">
        <v>1157</v>
      </c>
    </row>
    <row r="9693" spans="1:2" x14ac:dyDescent="0.25">
      <c r="A9693" t="s">
        <v>2081</v>
      </c>
      <c r="B9693" t="s">
        <v>1184</v>
      </c>
    </row>
    <row r="9694" spans="1:2" x14ac:dyDescent="0.25">
      <c r="A9694" t="s">
        <v>2081</v>
      </c>
      <c r="B9694" t="s">
        <v>1204</v>
      </c>
    </row>
    <row r="9695" spans="1:2" x14ac:dyDescent="0.25">
      <c r="A9695" t="s">
        <v>2081</v>
      </c>
      <c r="B9695" t="s">
        <v>1218</v>
      </c>
    </row>
    <row r="9696" spans="1:2" x14ac:dyDescent="0.25">
      <c r="A9696" t="s">
        <v>2081</v>
      </c>
      <c r="B9696" t="s">
        <v>1219</v>
      </c>
    </row>
    <row r="9697" spans="1:2" x14ac:dyDescent="0.25">
      <c r="A9697" t="s">
        <v>2081</v>
      </c>
      <c r="B9697" t="s">
        <v>1226</v>
      </c>
    </row>
    <row r="9698" spans="1:2" x14ac:dyDescent="0.25">
      <c r="A9698" t="s">
        <v>2081</v>
      </c>
      <c r="B9698" t="s">
        <v>1228</v>
      </c>
    </row>
    <row r="9699" spans="1:2" x14ac:dyDescent="0.25">
      <c r="A9699" t="s">
        <v>2081</v>
      </c>
      <c r="B9699" t="s">
        <v>1230</v>
      </c>
    </row>
    <row r="9700" spans="1:2" x14ac:dyDescent="0.25">
      <c r="A9700" t="s">
        <v>2081</v>
      </c>
      <c r="B9700" t="s">
        <v>1231</v>
      </c>
    </row>
    <row r="9701" spans="1:2" x14ac:dyDescent="0.25">
      <c r="A9701" t="s">
        <v>2081</v>
      </c>
      <c r="B9701" t="s">
        <v>1233</v>
      </c>
    </row>
    <row r="9702" spans="1:2" x14ac:dyDescent="0.25">
      <c r="A9702" t="s">
        <v>2081</v>
      </c>
      <c r="B9702" t="s">
        <v>1253</v>
      </c>
    </row>
    <row r="9703" spans="1:2" x14ac:dyDescent="0.25">
      <c r="A9703" t="s">
        <v>2081</v>
      </c>
      <c r="B9703" t="s">
        <v>1254</v>
      </c>
    </row>
    <row r="9704" spans="1:2" x14ac:dyDescent="0.25">
      <c r="A9704" t="s">
        <v>2134</v>
      </c>
      <c r="B9704" t="s">
        <v>1141</v>
      </c>
    </row>
    <row r="9705" spans="1:2" x14ac:dyDescent="0.25">
      <c r="A9705" t="s">
        <v>2134</v>
      </c>
      <c r="B9705" t="s">
        <v>1149</v>
      </c>
    </row>
    <row r="9706" spans="1:2" x14ac:dyDescent="0.25">
      <c r="A9706" t="s">
        <v>2134</v>
      </c>
      <c r="B9706" t="s">
        <v>1155</v>
      </c>
    </row>
    <row r="9707" spans="1:2" x14ac:dyDescent="0.25">
      <c r="A9707" t="s">
        <v>2134</v>
      </c>
      <c r="B9707" t="s">
        <v>1158</v>
      </c>
    </row>
    <row r="9708" spans="1:2" x14ac:dyDescent="0.25">
      <c r="A9708" t="s">
        <v>2134</v>
      </c>
      <c r="B9708" t="s">
        <v>1175</v>
      </c>
    </row>
    <row r="9709" spans="1:2" x14ac:dyDescent="0.25">
      <c r="A9709" t="s">
        <v>2134</v>
      </c>
      <c r="B9709" t="s">
        <v>1176</v>
      </c>
    </row>
    <row r="9710" spans="1:2" x14ac:dyDescent="0.25">
      <c r="A9710" t="s">
        <v>2134</v>
      </c>
      <c r="B9710" t="s">
        <v>1184</v>
      </c>
    </row>
    <row r="9711" spans="1:2" x14ac:dyDescent="0.25">
      <c r="A9711" t="s">
        <v>2134</v>
      </c>
      <c r="B9711" t="s">
        <v>1204</v>
      </c>
    </row>
    <row r="9712" spans="1:2" x14ac:dyDescent="0.25">
      <c r="A9712" t="s">
        <v>2134</v>
      </c>
      <c r="B9712" t="s">
        <v>1218</v>
      </c>
    </row>
    <row r="9713" spans="1:2" x14ac:dyDescent="0.25">
      <c r="A9713" t="s">
        <v>2134</v>
      </c>
      <c r="B9713" t="s">
        <v>1219</v>
      </c>
    </row>
    <row r="9714" spans="1:2" x14ac:dyDescent="0.25">
      <c r="A9714" t="s">
        <v>2134</v>
      </c>
      <c r="B9714" t="s">
        <v>1227</v>
      </c>
    </row>
    <row r="9715" spans="1:2" x14ac:dyDescent="0.25">
      <c r="A9715" t="s">
        <v>2134</v>
      </c>
      <c r="B9715" t="s">
        <v>1228</v>
      </c>
    </row>
    <row r="9716" spans="1:2" x14ac:dyDescent="0.25">
      <c r="A9716" t="s">
        <v>2134</v>
      </c>
      <c r="B9716" t="s">
        <v>1230</v>
      </c>
    </row>
    <row r="9717" spans="1:2" x14ac:dyDescent="0.25">
      <c r="A9717" t="s">
        <v>2134</v>
      </c>
      <c r="B9717" t="s">
        <v>1231</v>
      </c>
    </row>
    <row r="9718" spans="1:2" x14ac:dyDescent="0.25">
      <c r="A9718" t="s">
        <v>2134</v>
      </c>
      <c r="B9718" t="s">
        <v>1253</v>
      </c>
    </row>
    <row r="9719" spans="1:2" x14ac:dyDescent="0.25">
      <c r="A9719" t="s">
        <v>2134</v>
      </c>
      <c r="B9719" t="s">
        <v>1255</v>
      </c>
    </row>
    <row r="9720" spans="1:2" x14ac:dyDescent="0.25">
      <c r="A9720" t="s">
        <v>2155</v>
      </c>
      <c r="B9720" t="s">
        <v>1149</v>
      </c>
    </row>
    <row r="9721" spans="1:2" x14ac:dyDescent="0.25">
      <c r="A9721" t="s">
        <v>2155</v>
      </c>
      <c r="B9721" t="s">
        <v>1203</v>
      </c>
    </row>
    <row r="9722" spans="1:2" x14ac:dyDescent="0.25">
      <c r="A9722" t="s">
        <v>2155</v>
      </c>
      <c r="B9722" t="s">
        <v>1204</v>
      </c>
    </row>
    <row r="9723" spans="1:2" x14ac:dyDescent="0.25">
      <c r="A9723" t="s">
        <v>2155</v>
      </c>
      <c r="B9723" t="s">
        <v>1216</v>
      </c>
    </row>
    <row r="9724" spans="1:2" x14ac:dyDescent="0.25">
      <c r="A9724" t="s">
        <v>2155</v>
      </c>
      <c r="B9724" t="s">
        <v>1218</v>
      </c>
    </row>
    <row r="9725" spans="1:2" x14ac:dyDescent="0.25">
      <c r="A9725" t="s">
        <v>2155</v>
      </c>
      <c r="B9725" t="s">
        <v>1219</v>
      </c>
    </row>
    <row r="9726" spans="1:2" x14ac:dyDescent="0.25">
      <c r="A9726" t="s">
        <v>2155</v>
      </c>
      <c r="B9726" t="s">
        <v>1230</v>
      </c>
    </row>
    <row r="9727" spans="1:2" x14ac:dyDescent="0.25">
      <c r="A9727" t="s">
        <v>2155</v>
      </c>
      <c r="B9727" t="s">
        <v>1231</v>
      </c>
    </row>
    <row r="9728" spans="1:2" x14ac:dyDescent="0.25">
      <c r="A9728" t="s">
        <v>2155</v>
      </c>
      <c r="B9728" t="s">
        <v>1253</v>
      </c>
    </row>
    <row r="9729" spans="1:2" x14ac:dyDescent="0.25">
      <c r="A9729" t="s">
        <v>2243</v>
      </c>
      <c r="B9729" t="s">
        <v>1177</v>
      </c>
    </row>
    <row r="9730" spans="1:2" x14ac:dyDescent="0.25">
      <c r="A9730" t="s">
        <v>2243</v>
      </c>
      <c r="B9730" t="s">
        <v>1220</v>
      </c>
    </row>
    <row r="9731" spans="1:2" x14ac:dyDescent="0.25">
      <c r="A9731" t="s">
        <v>2243</v>
      </c>
      <c r="B9731" t="s">
        <v>1229</v>
      </c>
    </row>
    <row r="9732" spans="1:2" x14ac:dyDescent="0.25">
      <c r="A9732" t="s">
        <v>2244</v>
      </c>
      <c r="B9732" t="s">
        <v>1177</v>
      </c>
    </row>
    <row r="9733" spans="1:2" x14ac:dyDescent="0.25">
      <c r="A9733" t="s">
        <v>2244</v>
      </c>
      <c r="B9733" t="s">
        <v>1216</v>
      </c>
    </row>
    <row r="9734" spans="1:2" x14ac:dyDescent="0.25">
      <c r="A9734" t="s">
        <v>2244</v>
      </c>
      <c r="B9734" t="s">
        <v>1217</v>
      </c>
    </row>
    <row r="9735" spans="1:2" x14ac:dyDescent="0.25">
      <c r="A9735" t="s">
        <v>2244</v>
      </c>
      <c r="B9735" t="s">
        <v>1218</v>
      </c>
    </row>
    <row r="9736" spans="1:2" x14ac:dyDescent="0.25">
      <c r="A9736" t="s">
        <v>2244</v>
      </c>
      <c r="B9736" t="s">
        <v>1219</v>
      </c>
    </row>
    <row r="9737" spans="1:2" x14ac:dyDescent="0.25">
      <c r="A9737" t="s">
        <v>2244</v>
      </c>
      <c r="B9737" t="s">
        <v>1220</v>
      </c>
    </row>
    <row r="9738" spans="1:2" x14ac:dyDescent="0.25">
      <c r="A9738" t="s">
        <v>2244</v>
      </c>
      <c r="B9738" t="s">
        <v>1220</v>
      </c>
    </row>
    <row r="9739" spans="1:2" x14ac:dyDescent="0.25">
      <c r="A9739" t="s">
        <v>2244</v>
      </c>
      <c r="B9739" t="s">
        <v>1229</v>
      </c>
    </row>
    <row r="9740" spans="1:2" x14ac:dyDescent="0.25">
      <c r="A9740" t="s">
        <v>2111</v>
      </c>
      <c r="B9740" t="s">
        <v>1140</v>
      </c>
    </row>
    <row r="9741" spans="1:2" x14ac:dyDescent="0.25">
      <c r="A9741" t="s">
        <v>2111</v>
      </c>
      <c r="B9741" t="s">
        <v>1141</v>
      </c>
    </row>
    <row r="9742" spans="1:2" x14ac:dyDescent="0.25">
      <c r="A9742" t="s">
        <v>2111</v>
      </c>
      <c r="B9742" t="s">
        <v>1142</v>
      </c>
    </row>
    <row r="9743" spans="1:2" x14ac:dyDescent="0.25">
      <c r="A9743" t="s">
        <v>2111</v>
      </c>
      <c r="B9743" t="s">
        <v>1142</v>
      </c>
    </row>
    <row r="9744" spans="1:2" x14ac:dyDescent="0.25">
      <c r="A9744" t="s">
        <v>2111</v>
      </c>
      <c r="B9744" t="s">
        <v>1148</v>
      </c>
    </row>
    <row r="9745" spans="1:2" x14ac:dyDescent="0.25">
      <c r="A9745" t="s">
        <v>2111</v>
      </c>
      <c r="B9745" t="s">
        <v>1150</v>
      </c>
    </row>
    <row r="9746" spans="1:2" x14ac:dyDescent="0.25">
      <c r="A9746" t="s">
        <v>2111</v>
      </c>
      <c r="B9746" t="s">
        <v>1151</v>
      </c>
    </row>
    <row r="9747" spans="1:2" x14ac:dyDescent="0.25">
      <c r="A9747" t="s">
        <v>2111</v>
      </c>
      <c r="B9747" t="s">
        <v>1178</v>
      </c>
    </row>
    <row r="9748" spans="1:2" x14ac:dyDescent="0.25">
      <c r="A9748" t="s">
        <v>2111</v>
      </c>
      <c r="B9748" t="s">
        <v>1179</v>
      </c>
    </row>
    <row r="9749" spans="1:2" x14ac:dyDescent="0.25">
      <c r="A9749" t="s">
        <v>2111</v>
      </c>
      <c r="B9749" t="s">
        <v>1201</v>
      </c>
    </row>
    <row r="9750" spans="1:2" x14ac:dyDescent="0.25">
      <c r="A9750" t="s">
        <v>2111</v>
      </c>
      <c r="B9750" t="s">
        <v>1202</v>
      </c>
    </row>
    <row r="9751" spans="1:2" x14ac:dyDescent="0.25">
      <c r="A9751" t="s">
        <v>2111</v>
      </c>
      <c r="B9751" t="s">
        <v>1205</v>
      </c>
    </row>
    <row r="9752" spans="1:2" x14ac:dyDescent="0.25">
      <c r="A9752" t="s">
        <v>2111</v>
      </c>
      <c r="B9752" t="s">
        <v>1206</v>
      </c>
    </row>
    <row r="9753" spans="1:2" x14ac:dyDescent="0.25">
      <c r="A9753" t="s">
        <v>2111</v>
      </c>
      <c r="B9753" t="s">
        <v>1206</v>
      </c>
    </row>
    <row r="9754" spans="1:2" x14ac:dyDescent="0.25">
      <c r="A9754" t="s">
        <v>2111</v>
      </c>
      <c r="B9754" t="s">
        <v>1207</v>
      </c>
    </row>
    <row r="9755" spans="1:2" x14ac:dyDescent="0.25">
      <c r="A9755" t="s">
        <v>2111</v>
      </c>
      <c r="B9755" t="s">
        <v>1207</v>
      </c>
    </row>
    <row r="9756" spans="1:2" x14ac:dyDescent="0.25">
      <c r="A9756" t="s">
        <v>2111</v>
      </c>
      <c r="B9756" t="s">
        <v>1208</v>
      </c>
    </row>
    <row r="9757" spans="1:2" x14ac:dyDescent="0.25">
      <c r="A9757" t="s">
        <v>2111</v>
      </c>
      <c r="B9757" t="s">
        <v>1232</v>
      </c>
    </row>
    <row r="9758" spans="1:2" x14ac:dyDescent="0.25">
      <c r="A9758" t="s">
        <v>2111</v>
      </c>
      <c r="B9758" t="s">
        <v>1233</v>
      </c>
    </row>
    <row r="9759" spans="1:2" x14ac:dyDescent="0.25">
      <c r="A9759" t="s">
        <v>2111</v>
      </c>
      <c r="B9759" t="s">
        <v>1234</v>
      </c>
    </row>
    <row r="9760" spans="1:2" x14ac:dyDescent="0.25">
      <c r="A9760" t="s">
        <v>2111</v>
      </c>
      <c r="B9760" t="s">
        <v>1235</v>
      </c>
    </row>
    <row r="9761" spans="1:2" x14ac:dyDescent="0.25">
      <c r="A9761" t="s">
        <v>2111</v>
      </c>
      <c r="B9761" t="s">
        <v>1236</v>
      </c>
    </row>
    <row r="9762" spans="1:2" x14ac:dyDescent="0.25">
      <c r="A9762" t="s">
        <v>2111</v>
      </c>
      <c r="B9762" t="s">
        <v>1237</v>
      </c>
    </row>
    <row r="9763" spans="1:2" x14ac:dyDescent="0.25">
      <c r="A9763" t="s">
        <v>2111</v>
      </c>
      <c r="B9763" t="s">
        <v>1238</v>
      </c>
    </row>
    <row r="9764" spans="1:2" x14ac:dyDescent="0.25">
      <c r="A9764" t="s">
        <v>2111</v>
      </c>
      <c r="B9764" t="s">
        <v>1239</v>
      </c>
    </row>
    <row r="9765" spans="1:2" x14ac:dyDescent="0.25">
      <c r="A9765" t="s">
        <v>2111</v>
      </c>
      <c r="B9765" t="s">
        <v>1240</v>
      </c>
    </row>
    <row r="9766" spans="1:2" x14ac:dyDescent="0.25">
      <c r="A9766" t="s">
        <v>2111</v>
      </c>
      <c r="B9766" t="s">
        <v>1241</v>
      </c>
    </row>
    <row r="9767" spans="1:2" x14ac:dyDescent="0.25">
      <c r="A9767" t="s">
        <v>2111</v>
      </c>
      <c r="B9767" t="s">
        <v>1242</v>
      </c>
    </row>
    <row r="9768" spans="1:2" x14ac:dyDescent="0.25">
      <c r="A9768" t="s">
        <v>2111</v>
      </c>
      <c r="B9768" t="s">
        <v>1243</v>
      </c>
    </row>
    <row r="9769" spans="1:2" x14ac:dyDescent="0.25">
      <c r="A9769" t="s">
        <v>2111</v>
      </c>
      <c r="B9769" t="s">
        <v>1244</v>
      </c>
    </row>
    <row r="9770" spans="1:2" x14ac:dyDescent="0.25">
      <c r="A9770" t="s">
        <v>2111</v>
      </c>
      <c r="B9770" t="s">
        <v>1245</v>
      </c>
    </row>
    <row r="9771" spans="1:2" x14ac:dyDescent="0.25">
      <c r="A9771" t="s">
        <v>2111</v>
      </c>
      <c r="B9771" t="s">
        <v>1246</v>
      </c>
    </row>
    <row r="9772" spans="1:2" x14ac:dyDescent="0.25">
      <c r="A9772" t="s">
        <v>2111</v>
      </c>
      <c r="B9772" t="s">
        <v>1247</v>
      </c>
    </row>
    <row r="9773" spans="1:2" x14ac:dyDescent="0.25">
      <c r="A9773" t="s">
        <v>2111</v>
      </c>
      <c r="B9773" t="s">
        <v>1248</v>
      </c>
    </row>
    <row r="9774" spans="1:2" x14ac:dyDescent="0.25">
      <c r="A9774" t="s">
        <v>2111</v>
      </c>
      <c r="B9774" t="s">
        <v>1249</v>
      </c>
    </row>
    <row r="9775" spans="1:2" x14ac:dyDescent="0.25">
      <c r="A9775" t="s">
        <v>2111</v>
      </c>
      <c r="B9775" t="s">
        <v>1250</v>
      </c>
    </row>
    <row r="9776" spans="1:2" x14ac:dyDescent="0.25">
      <c r="A9776" t="s">
        <v>2313</v>
      </c>
      <c r="B9776" t="s">
        <v>1214</v>
      </c>
    </row>
    <row r="9777" spans="1:2" x14ac:dyDescent="0.25">
      <c r="A9777" t="s">
        <v>2313</v>
      </c>
      <c r="B9777" t="s">
        <v>1215</v>
      </c>
    </row>
    <row r="9778" spans="1:2" x14ac:dyDescent="0.25">
      <c r="A9778" t="s">
        <v>2313</v>
      </c>
      <c r="B9778" t="s">
        <v>1216</v>
      </c>
    </row>
    <row r="9779" spans="1:2" x14ac:dyDescent="0.25">
      <c r="A9779" t="s">
        <v>2313</v>
      </c>
      <c r="B9779" t="s">
        <v>1217</v>
      </c>
    </row>
    <row r="9780" spans="1:2" x14ac:dyDescent="0.25">
      <c r="A9780" t="s">
        <v>2313</v>
      </c>
      <c r="B9780" t="s">
        <v>1218</v>
      </c>
    </row>
    <row r="9781" spans="1:2" x14ac:dyDescent="0.25">
      <c r="A9781" t="s">
        <v>2313</v>
      </c>
      <c r="B9781" t="s">
        <v>1219</v>
      </c>
    </row>
    <row r="9782" spans="1:2" x14ac:dyDescent="0.25">
      <c r="A9782" t="s">
        <v>2313</v>
      </c>
      <c r="B9782" t="s">
        <v>1220</v>
      </c>
    </row>
    <row r="9783" spans="1:2" x14ac:dyDescent="0.25">
      <c r="A9783" t="s">
        <v>2112</v>
      </c>
      <c r="B9783" t="s">
        <v>1140</v>
      </c>
    </row>
    <row r="9784" spans="1:2" x14ac:dyDescent="0.25">
      <c r="A9784" t="s">
        <v>2112</v>
      </c>
      <c r="B9784" t="s">
        <v>1141</v>
      </c>
    </row>
    <row r="9785" spans="1:2" x14ac:dyDescent="0.25">
      <c r="A9785" t="s">
        <v>2112</v>
      </c>
      <c r="B9785" t="s">
        <v>1142</v>
      </c>
    </row>
    <row r="9786" spans="1:2" x14ac:dyDescent="0.25">
      <c r="A9786" t="s">
        <v>2112</v>
      </c>
      <c r="B9786" t="s">
        <v>1142</v>
      </c>
    </row>
    <row r="9787" spans="1:2" x14ac:dyDescent="0.25">
      <c r="A9787" t="s">
        <v>2112</v>
      </c>
      <c r="B9787" t="s">
        <v>1148</v>
      </c>
    </row>
    <row r="9788" spans="1:2" x14ac:dyDescent="0.25">
      <c r="A9788" t="s">
        <v>2112</v>
      </c>
      <c r="B9788" t="s">
        <v>1150</v>
      </c>
    </row>
    <row r="9789" spans="1:2" x14ac:dyDescent="0.25">
      <c r="A9789" t="s">
        <v>2112</v>
      </c>
      <c r="B9789" t="s">
        <v>1151</v>
      </c>
    </row>
    <row r="9790" spans="1:2" x14ac:dyDescent="0.25">
      <c r="A9790" t="s">
        <v>2112</v>
      </c>
      <c r="B9790" t="s">
        <v>1178</v>
      </c>
    </row>
    <row r="9791" spans="1:2" x14ac:dyDescent="0.25">
      <c r="A9791" t="s">
        <v>2112</v>
      </c>
      <c r="B9791" t="s">
        <v>1179</v>
      </c>
    </row>
    <row r="9792" spans="1:2" x14ac:dyDescent="0.25">
      <c r="A9792" t="s">
        <v>2112</v>
      </c>
      <c r="B9792" t="s">
        <v>1201</v>
      </c>
    </row>
    <row r="9793" spans="1:2" x14ac:dyDescent="0.25">
      <c r="A9793" t="s">
        <v>2112</v>
      </c>
      <c r="B9793" t="s">
        <v>1202</v>
      </c>
    </row>
    <row r="9794" spans="1:2" x14ac:dyDescent="0.25">
      <c r="A9794" t="s">
        <v>2112</v>
      </c>
      <c r="B9794" t="s">
        <v>1205</v>
      </c>
    </row>
    <row r="9795" spans="1:2" x14ac:dyDescent="0.25">
      <c r="A9795" t="s">
        <v>2112</v>
      </c>
      <c r="B9795" t="s">
        <v>1206</v>
      </c>
    </row>
    <row r="9796" spans="1:2" x14ac:dyDescent="0.25">
      <c r="A9796" t="s">
        <v>2112</v>
      </c>
      <c r="B9796" t="s">
        <v>1206</v>
      </c>
    </row>
    <row r="9797" spans="1:2" x14ac:dyDescent="0.25">
      <c r="A9797" t="s">
        <v>2112</v>
      </c>
      <c r="B9797" t="s">
        <v>1207</v>
      </c>
    </row>
    <row r="9798" spans="1:2" x14ac:dyDescent="0.25">
      <c r="A9798" t="s">
        <v>2112</v>
      </c>
      <c r="B9798" t="s">
        <v>1207</v>
      </c>
    </row>
    <row r="9799" spans="1:2" x14ac:dyDescent="0.25">
      <c r="A9799" t="s">
        <v>2112</v>
      </c>
      <c r="B9799" t="s">
        <v>1208</v>
      </c>
    </row>
    <row r="9800" spans="1:2" x14ac:dyDescent="0.25">
      <c r="A9800" t="s">
        <v>2112</v>
      </c>
      <c r="B9800" t="s">
        <v>1232</v>
      </c>
    </row>
    <row r="9801" spans="1:2" x14ac:dyDescent="0.25">
      <c r="A9801" t="s">
        <v>2112</v>
      </c>
      <c r="B9801" t="s">
        <v>1233</v>
      </c>
    </row>
    <row r="9802" spans="1:2" x14ac:dyDescent="0.25">
      <c r="A9802" t="s">
        <v>2112</v>
      </c>
      <c r="B9802" t="s">
        <v>1234</v>
      </c>
    </row>
    <row r="9803" spans="1:2" x14ac:dyDescent="0.25">
      <c r="A9803" t="s">
        <v>2112</v>
      </c>
      <c r="B9803" t="s">
        <v>1235</v>
      </c>
    </row>
    <row r="9804" spans="1:2" x14ac:dyDescent="0.25">
      <c r="A9804" t="s">
        <v>2112</v>
      </c>
      <c r="B9804" t="s">
        <v>1236</v>
      </c>
    </row>
    <row r="9805" spans="1:2" x14ac:dyDescent="0.25">
      <c r="A9805" t="s">
        <v>2112</v>
      </c>
      <c r="B9805" t="s">
        <v>1237</v>
      </c>
    </row>
    <row r="9806" spans="1:2" x14ac:dyDescent="0.25">
      <c r="A9806" t="s">
        <v>2112</v>
      </c>
      <c r="B9806" t="s">
        <v>1238</v>
      </c>
    </row>
    <row r="9807" spans="1:2" x14ac:dyDescent="0.25">
      <c r="A9807" t="s">
        <v>2112</v>
      </c>
      <c r="B9807" t="s">
        <v>1239</v>
      </c>
    </row>
    <row r="9808" spans="1:2" x14ac:dyDescent="0.25">
      <c r="A9808" t="s">
        <v>2112</v>
      </c>
      <c r="B9808" t="s">
        <v>1240</v>
      </c>
    </row>
    <row r="9809" spans="1:2" x14ac:dyDescent="0.25">
      <c r="A9809" t="s">
        <v>2112</v>
      </c>
      <c r="B9809" t="s">
        <v>1241</v>
      </c>
    </row>
    <row r="9810" spans="1:2" x14ac:dyDescent="0.25">
      <c r="A9810" t="s">
        <v>2112</v>
      </c>
      <c r="B9810" t="s">
        <v>1242</v>
      </c>
    </row>
    <row r="9811" spans="1:2" x14ac:dyDescent="0.25">
      <c r="A9811" t="s">
        <v>2112</v>
      </c>
      <c r="B9811" t="s">
        <v>1243</v>
      </c>
    </row>
    <row r="9812" spans="1:2" x14ac:dyDescent="0.25">
      <c r="A9812" t="s">
        <v>2112</v>
      </c>
      <c r="B9812" t="s">
        <v>1244</v>
      </c>
    </row>
    <row r="9813" spans="1:2" x14ac:dyDescent="0.25">
      <c r="A9813" t="s">
        <v>2112</v>
      </c>
      <c r="B9813" t="s">
        <v>1245</v>
      </c>
    </row>
    <row r="9814" spans="1:2" x14ac:dyDescent="0.25">
      <c r="A9814" t="s">
        <v>2112</v>
      </c>
      <c r="B9814" t="s">
        <v>1246</v>
      </c>
    </row>
    <row r="9815" spans="1:2" x14ac:dyDescent="0.25">
      <c r="A9815" t="s">
        <v>2112</v>
      </c>
      <c r="B9815" t="s">
        <v>1247</v>
      </c>
    </row>
    <row r="9816" spans="1:2" x14ac:dyDescent="0.25">
      <c r="A9816" t="s">
        <v>2112</v>
      </c>
      <c r="B9816" t="s">
        <v>1248</v>
      </c>
    </row>
    <row r="9817" spans="1:2" x14ac:dyDescent="0.25">
      <c r="A9817" t="s">
        <v>2112</v>
      </c>
      <c r="B9817" t="s">
        <v>1249</v>
      </c>
    </row>
    <row r="9818" spans="1:2" x14ac:dyDescent="0.25">
      <c r="A9818" t="s">
        <v>2112</v>
      </c>
      <c r="B9818" t="s">
        <v>1250</v>
      </c>
    </row>
    <row r="9819" spans="1:2" x14ac:dyDescent="0.25">
      <c r="A9819" t="s">
        <v>2312</v>
      </c>
      <c r="B9819" t="s">
        <v>1214</v>
      </c>
    </row>
    <row r="9820" spans="1:2" x14ac:dyDescent="0.25">
      <c r="A9820" t="s">
        <v>2312</v>
      </c>
      <c r="B9820" t="s">
        <v>1215</v>
      </c>
    </row>
    <row r="9821" spans="1:2" x14ac:dyDescent="0.25">
      <c r="A9821" t="s">
        <v>2312</v>
      </c>
      <c r="B9821" t="s">
        <v>1216</v>
      </c>
    </row>
    <row r="9822" spans="1:2" x14ac:dyDescent="0.25">
      <c r="A9822" t="s">
        <v>2312</v>
      </c>
      <c r="B9822" t="s">
        <v>1217</v>
      </c>
    </row>
    <row r="9823" spans="1:2" x14ac:dyDescent="0.25">
      <c r="A9823" t="s">
        <v>2312</v>
      </c>
      <c r="B9823" t="s">
        <v>1218</v>
      </c>
    </row>
    <row r="9824" spans="1:2" x14ac:dyDescent="0.25">
      <c r="A9824" t="s">
        <v>2312</v>
      </c>
      <c r="B9824" t="s">
        <v>1219</v>
      </c>
    </row>
    <row r="9825" spans="1:2" x14ac:dyDescent="0.25">
      <c r="A9825" t="s">
        <v>2312</v>
      </c>
      <c r="B9825" t="s">
        <v>1220</v>
      </c>
    </row>
    <row r="9826" spans="1:2" x14ac:dyDescent="0.25">
      <c r="A9826" t="s">
        <v>2113</v>
      </c>
      <c r="B9826" t="s">
        <v>1140</v>
      </c>
    </row>
    <row r="9827" spans="1:2" x14ac:dyDescent="0.25">
      <c r="A9827" t="s">
        <v>2113</v>
      </c>
      <c r="B9827" t="s">
        <v>1141</v>
      </c>
    </row>
    <row r="9828" spans="1:2" x14ac:dyDescent="0.25">
      <c r="A9828" t="s">
        <v>2113</v>
      </c>
      <c r="B9828" t="s">
        <v>1142</v>
      </c>
    </row>
    <row r="9829" spans="1:2" x14ac:dyDescent="0.25">
      <c r="A9829" t="s">
        <v>2113</v>
      </c>
      <c r="B9829" t="s">
        <v>1142</v>
      </c>
    </row>
    <row r="9830" spans="1:2" x14ac:dyDescent="0.25">
      <c r="A9830" t="s">
        <v>2113</v>
      </c>
      <c r="B9830" t="s">
        <v>1148</v>
      </c>
    </row>
    <row r="9831" spans="1:2" x14ac:dyDescent="0.25">
      <c r="A9831" t="s">
        <v>2113</v>
      </c>
      <c r="B9831" t="s">
        <v>1150</v>
      </c>
    </row>
    <row r="9832" spans="1:2" x14ac:dyDescent="0.25">
      <c r="A9832" t="s">
        <v>2113</v>
      </c>
      <c r="B9832" t="s">
        <v>1151</v>
      </c>
    </row>
    <row r="9833" spans="1:2" x14ac:dyDescent="0.25">
      <c r="A9833" t="s">
        <v>2113</v>
      </c>
      <c r="B9833" t="s">
        <v>1178</v>
      </c>
    </row>
    <row r="9834" spans="1:2" x14ac:dyDescent="0.25">
      <c r="A9834" t="s">
        <v>2113</v>
      </c>
      <c r="B9834" t="s">
        <v>1179</v>
      </c>
    </row>
    <row r="9835" spans="1:2" x14ac:dyDescent="0.25">
      <c r="A9835" t="s">
        <v>2113</v>
      </c>
      <c r="B9835" t="s">
        <v>1201</v>
      </c>
    </row>
    <row r="9836" spans="1:2" x14ac:dyDescent="0.25">
      <c r="A9836" t="s">
        <v>2113</v>
      </c>
      <c r="B9836" t="s">
        <v>1202</v>
      </c>
    </row>
    <row r="9837" spans="1:2" x14ac:dyDescent="0.25">
      <c r="A9837" t="s">
        <v>2113</v>
      </c>
      <c r="B9837" t="s">
        <v>1205</v>
      </c>
    </row>
    <row r="9838" spans="1:2" x14ac:dyDescent="0.25">
      <c r="A9838" t="s">
        <v>2113</v>
      </c>
      <c r="B9838" t="s">
        <v>1206</v>
      </c>
    </row>
    <row r="9839" spans="1:2" x14ac:dyDescent="0.25">
      <c r="A9839" t="s">
        <v>2113</v>
      </c>
      <c r="B9839" t="s">
        <v>1206</v>
      </c>
    </row>
    <row r="9840" spans="1:2" x14ac:dyDescent="0.25">
      <c r="A9840" t="s">
        <v>2113</v>
      </c>
      <c r="B9840" t="s">
        <v>1207</v>
      </c>
    </row>
    <row r="9841" spans="1:2" x14ac:dyDescent="0.25">
      <c r="A9841" t="s">
        <v>2113</v>
      </c>
      <c r="B9841" t="s">
        <v>1207</v>
      </c>
    </row>
    <row r="9842" spans="1:2" x14ac:dyDescent="0.25">
      <c r="A9842" t="s">
        <v>2113</v>
      </c>
      <c r="B9842" t="s">
        <v>1208</v>
      </c>
    </row>
    <row r="9843" spans="1:2" x14ac:dyDescent="0.25">
      <c r="A9843" t="s">
        <v>2113</v>
      </c>
      <c r="B9843" t="s">
        <v>1232</v>
      </c>
    </row>
    <row r="9844" spans="1:2" x14ac:dyDescent="0.25">
      <c r="A9844" t="s">
        <v>2113</v>
      </c>
      <c r="B9844" t="s">
        <v>1233</v>
      </c>
    </row>
    <row r="9845" spans="1:2" x14ac:dyDescent="0.25">
      <c r="A9845" t="s">
        <v>2113</v>
      </c>
      <c r="B9845" t="s">
        <v>1234</v>
      </c>
    </row>
    <row r="9846" spans="1:2" x14ac:dyDescent="0.25">
      <c r="A9846" t="s">
        <v>2113</v>
      </c>
      <c r="B9846" t="s">
        <v>1235</v>
      </c>
    </row>
    <row r="9847" spans="1:2" x14ac:dyDescent="0.25">
      <c r="A9847" t="s">
        <v>2113</v>
      </c>
      <c r="B9847" t="s">
        <v>1236</v>
      </c>
    </row>
    <row r="9848" spans="1:2" x14ac:dyDescent="0.25">
      <c r="A9848" t="s">
        <v>2113</v>
      </c>
      <c r="B9848" t="s">
        <v>1237</v>
      </c>
    </row>
    <row r="9849" spans="1:2" x14ac:dyDescent="0.25">
      <c r="A9849" t="s">
        <v>2113</v>
      </c>
      <c r="B9849" t="s">
        <v>1238</v>
      </c>
    </row>
    <row r="9850" spans="1:2" x14ac:dyDescent="0.25">
      <c r="A9850" t="s">
        <v>2113</v>
      </c>
      <c r="B9850" t="s">
        <v>1239</v>
      </c>
    </row>
    <row r="9851" spans="1:2" x14ac:dyDescent="0.25">
      <c r="A9851" t="s">
        <v>2113</v>
      </c>
      <c r="B9851" t="s">
        <v>1240</v>
      </c>
    </row>
    <row r="9852" spans="1:2" x14ac:dyDescent="0.25">
      <c r="A9852" t="s">
        <v>2113</v>
      </c>
      <c r="B9852" t="s">
        <v>1241</v>
      </c>
    </row>
    <row r="9853" spans="1:2" x14ac:dyDescent="0.25">
      <c r="A9853" t="s">
        <v>2113</v>
      </c>
      <c r="B9853" t="s">
        <v>1242</v>
      </c>
    </row>
    <row r="9854" spans="1:2" x14ac:dyDescent="0.25">
      <c r="A9854" t="s">
        <v>2113</v>
      </c>
      <c r="B9854" t="s">
        <v>1243</v>
      </c>
    </row>
    <row r="9855" spans="1:2" x14ac:dyDescent="0.25">
      <c r="A9855" t="s">
        <v>2113</v>
      </c>
      <c r="B9855" t="s">
        <v>1244</v>
      </c>
    </row>
    <row r="9856" spans="1:2" x14ac:dyDescent="0.25">
      <c r="A9856" t="s">
        <v>2113</v>
      </c>
      <c r="B9856" t="s">
        <v>1245</v>
      </c>
    </row>
    <row r="9857" spans="1:2" x14ac:dyDescent="0.25">
      <c r="A9857" t="s">
        <v>2113</v>
      </c>
      <c r="B9857" t="s">
        <v>1246</v>
      </c>
    </row>
    <row r="9858" spans="1:2" x14ac:dyDescent="0.25">
      <c r="A9858" t="s">
        <v>2113</v>
      </c>
      <c r="B9858" t="s">
        <v>1247</v>
      </c>
    </row>
    <row r="9859" spans="1:2" x14ac:dyDescent="0.25">
      <c r="A9859" t="s">
        <v>2113</v>
      </c>
      <c r="B9859" t="s">
        <v>1248</v>
      </c>
    </row>
    <row r="9860" spans="1:2" x14ac:dyDescent="0.25">
      <c r="A9860" t="s">
        <v>2113</v>
      </c>
      <c r="B9860" t="s">
        <v>1249</v>
      </c>
    </row>
    <row r="9861" spans="1:2" x14ac:dyDescent="0.25">
      <c r="A9861" t="s">
        <v>2113</v>
      </c>
      <c r="B9861" t="s">
        <v>1250</v>
      </c>
    </row>
    <row r="9862" spans="1:2" x14ac:dyDescent="0.25">
      <c r="A9862" t="s">
        <v>2311</v>
      </c>
      <c r="B9862" t="s">
        <v>1214</v>
      </c>
    </row>
    <row r="9863" spans="1:2" x14ac:dyDescent="0.25">
      <c r="A9863" t="s">
        <v>2311</v>
      </c>
      <c r="B9863" t="s">
        <v>1215</v>
      </c>
    </row>
    <row r="9864" spans="1:2" x14ac:dyDescent="0.25">
      <c r="A9864" t="s">
        <v>2311</v>
      </c>
      <c r="B9864" t="s">
        <v>1216</v>
      </c>
    </row>
    <row r="9865" spans="1:2" x14ac:dyDescent="0.25">
      <c r="A9865" t="s">
        <v>2311</v>
      </c>
      <c r="B9865" t="s">
        <v>1217</v>
      </c>
    </row>
    <row r="9866" spans="1:2" x14ac:dyDescent="0.25">
      <c r="A9866" t="s">
        <v>2311</v>
      </c>
      <c r="B9866" t="s">
        <v>1218</v>
      </c>
    </row>
    <row r="9867" spans="1:2" x14ac:dyDescent="0.25">
      <c r="A9867" t="s">
        <v>2311</v>
      </c>
      <c r="B9867" t="s">
        <v>1219</v>
      </c>
    </row>
    <row r="9868" spans="1:2" x14ac:dyDescent="0.25">
      <c r="A9868" t="s">
        <v>2311</v>
      </c>
      <c r="B9868" t="s">
        <v>1220</v>
      </c>
    </row>
    <row r="9869" spans="1:2" x14ac:dyDescent="0.25">
      <c r="A9869" t="s">
        <v>2114</v>
      </c>
      <c r="B9869" t="s">
        <v>1140</v>
      </c>
    </row>
    <row r="9870" spans="1:2" x14ac:dyDescent="0.25">
      <c r="A9870" t="s">
        <v>2114</v>
      </c>
      <c r="B9870" t="s">
        <v>1141</v>
      </c>
    </row>
    <row r="9871" spans="1:2" x14ac:dyDescent="0.25">
      <c r="A9871" t="s">
        <v>2114</v>
      </c>
      <c r="B9871" t="s">
        <v>1142</v>
      </c>
    </row>
    <row r="9872" spans="1:2" x14ac:dyDescent="0.25">
      <c r="A9872" t="s">
        <v>2114</v>
      </c>
      <c r="B9872" t="s">
        <v>1142</v>
      </c>
    </row>
    <row r="9873" spans="1:2" x14ac:dyDescent="0.25">
      <c r="A9873" t="s">
        <v>2114</v>
      </c>
      <c r="B9873" t="s">
        <v>1148</v>
      </c>
    </row>
    <row r="9874" spans="1:2" x14ac:dyDescent="0.25">
      <c r="A9874" t="s">
        <v>2114</v>
      </c>
      <c r="B9874" t="s">
        <v>1150</v>
      </c>
    </row>
    <row r="9875" spans="1:2" x14ac:dyDescent="0.25">
      <c r="A9875" t="s">
        <v>2114</v>
      </c>
      <c r="B9875" t="s">
        <v>1151</v>
      </c>
    </row>
    <row r="9876" spans="1:2" x14ac:dyDescent="0.25">
      <c r="A9876" t="s">
        <v>2114</v>
      </c>
      <c r="B9876" t="s">
        <v>1178</v>
      </c>
    </row>
    <row r="9877" spans="1:2" x14ac:dyDescent="0.25">
      <c r="A9877" t="s">
        <v>2114</v>
      </c>
      <c r="B9877" t="s">
        <v>1179</v>
      </c>
    </row>
    <row r="9878" spans="1:2" x14ac:dyDescent="0.25">
      <c r="A9878" t="s">
        <v>2114</v>
      </c>
      <c r="B9878" t="s">
        <v>1201</v>
      </c>
    </row>
    <row r="9879" spans="1:2" x14ac:dyDescent="0.25">
      <c r="A9879" t="s">
        <v>2114</v>
      </c>
      <c r="B9879" t="s">
        <v>1202</v>
      </c>
    </row>
    <row r="9880" spans="1:2" x14ac:dyDescent="0.25">
      <c r="A9880" t="s">
        <v>2114</v>
      </c>
      <c r="B9880" t="s">
        <v>1205</v>
      </c>
    </row>
    <row r="9881" spans="1:2" x14ac:dyDescent="0.25">
      <c r="A9881" t="s">
        <v>2114</v>
      </c>
      <c r="B9881" t="s">
        <v>1206</v>
      </c>
    </row>
    <row r="9882" spans="1:2" x14ac:dyDescent="0.25">
      <c r="A9882" t="s">
        <v>2114</v>
      </c>
      <c r="B9882" t="s">
        <v>1206</v>
      </c>
    </row>
    <row r="9883" spans="1:2" x14ac:dyDescent="0.25">
      <c r="A9883" t="s">
        <v>2114</v>
      </c>
      <c r="B9883" t="s">
        <v>1207</v>
      </c>
    </row>
    <row r="9884" spans="1:2" x14ac:dyDescent="0.25">
      <c r="A9884" t="s">
        <v>2114</v>
      </c>
      <c r="B9884" t="s">
        <v>1207</v>
      </c>
    </row>
    <row r="9885" spans="1:2" x14ac:dyDescent="0.25">
      <c r="A9885" t="s">
        <v>2114</v>
      </c>
      <c r="B9885" t="s">
        <v>1208</v>
      </c>
    </row>
    <row r="9886" spans="1:2" x14ac:dyDescent="0.25">
      <c r="A9886" t="s">
        <v>2114</v>
      </c>
      <c r="B9886" t="s">
        <v>1232</v>
      </c>
    </row>
    <row r="9887" spans="1:2" x14ac:dyDescent="0.25">
      <c r="A9887" t="s">
        <v>2114</v>
      </c>
      <c r="B9887" t="s">
        <v>1233</v>
      </c>
    </row>
    <row r="9888" spans="1:2" x14ac:dyDescent="0.25">
      <c r="A9888" t="s">
        <v>2114</v>
      </c>
      <c r="B9888" t="s">
        <v>1234</v>
      </c>
    </row>
    <row r="9889" spans="1:2" x14ac:dyDescent="0.25">
      <c r="A9889" t="s">
        <v>2114</v>
      </c>
      <c r="B9889" t="s">
        <v>1235</v>
      </c>
    </row>
    <row r="9890" spans="1:2" x14ac:dyDescent="0.25">
      <c r="A9890" t="s">
        <v>2114</v>
      </c>
      <c r="B9890" t="s">
        <v>1236</v>
      </c>
    </row>
    <row r="9891" spans="1:2" x14ac:dyDescent="0.25">
      <c r="A9891" t="s">
        <v>2114</v>
      </c>
      <c r="B9891" t="s">
        <v>1237</v>
      </c>
    </row>
    <row r="9892" spans="1:2" x14ac:dyDescent="0.25">
      <c r="A9892" t="s">
        <v>2114</v>
      </c>
      <c r="B9892" t="s">
        <v>1238</v>
      </c>
    </row>
    <row r="9893" spans="1:2" x14ac:dyDescent="0.25">
      <c r="A9893" t="s">
        <v>2114</v>
      </c>
      <c r="B9893" t="s">
        <v>1239</v>
      </c>
    </row>
    <row r="9894" spans="1:2" x14ac:dyDescent="0.25">
      <c r="A9894" t="s">
        <v>2114</v>
      </c>
      <c r="B9894" t="s">
        <v>1240</v>
      </c>
    </row>
    <row r="9895" spans="1:2" x14ac:dyDescent="0.25">
      <c r="A9895" t="s">
        <v>2114</v>
      </c>
      <c r="B9895" t="s">
        <v>1241</v>
      </c>
    </row>
    <row r="9896" spans="1:2" x14ac:dyDescent="0.25">
      <c r="A9896" t="s">
        <v>2114</v>
      </c>
      <c r="B9896" t="s">
        <v>1242</v>
      </c>
    </row>
    <row r="9897" spans="1:2" x14ac:dyDescent="0.25">
      <c r="A9897" t="s">
        <v>2114</v>
      </c>
      <c r="B9897" t="s">
        <v>1243</v>
      </c>
    </row>
    <row r="9898" spans="1:2" x14ac:dyDescent="0.25">
      <c r="A9898" t="s">
        <v>2114</v>
      </c>
      <c r="B9898" t="s">
        <v>1244</v>
      </c>
    </row>
    <row r="9899" spans="1:2" x14ac:dyDescent="0.25">
      <c r="A9899" t="s">
        <v>2114</v>
      </c>
      <c r="B9899" t="s">
        <v>1245</v>
      </c>
    </row>
    <row r="9900" spans="1:2" x14ac:dyDescent="0.25">
      <c r="A9900" t="s">
        <v>2114</v>
      </c>
      <c r="B9900" t="s">
        <v>1246</v>
      </c>
    </row>
    <row r="9901" spans="1:2" x14ac:dyDescent="0.25">
      <c r="A9901" t="s">
        <v>2114</v>
      </c>
      <c r="B9901" t="s">
        <v>1247</v>
      </c>
    </row>
    <row r="9902" spans="1:2" x14ac:dyDescent="0.25">
      <c r="A9902" t="s">
        <v>2114</v>
      </c>
      <c r="B9902" t="s">
        <v>1248</v>
      </c>
    </row>
    <row r="9903" spans="1:2" x14ac:dyDescent="0.25">
      <c r="A9903" t="s">
        <v>2114</v>
      </c>
      <c r="B9903" t="s">
        <v>1249</v>
      </c>
    </row>
    <row r="9904" spans="1:2" x14ac:dyDescent="0.25">
      <c r="A9904" t="s">
        <v>2114</v>
      </c>
      <c r="B9904" t="s">
        <v>1250</v>
      </c>
    </row>
    <row r="9905" spans="1:2" x14ac:dyDescent="0.25">
      <c r="A9905" t="s">
        <v>2310</v>
      </c>
      <c r="B9905" t="s">
        <v>1214</v>
      </c>
    </row>
    <row r="9906" spans="1:2" x14ac:dyDescent="0.25">
      <c r="A9906" t="s">
        <v>2310</v>
      </c>
      <c r="B9906" t="s">
        <v>1215</v>
      </c>
    </row>
    <row r="9907" spans="1:2" x14ac:dyDescent="0.25">
      <c r="A9907" t="s">
        <v>2310</v>
      </c>
      <c r="B9907" t="s">
        <v>1216</v>
      </c>
    </row>
    <row r="9908" spans="1:2" x14ac:dyDescent="0.25">
      <c r="A9908" t="s">
        <v>2310</v>
      </c>
      <c r="B9908" t="s">
        <v>1217</v>
      </c>
    </row>
    <row r="9909" spans="1:2" x14ac:dyDescent="0.25">
      <c r="A9909" t="s">
        <v>2310</v>
      </c>
      <c r="B9909" t="s">
        <v>1218</v>
      </c>
    </row>
    <row r="9910" spans="1:2" x14ac:dyDescent="0.25">
      <c r="A9910" t="s">
        <v>2310</v>
      </c>
      <c r="B9910" t="s">
        <v>1219</v>
      </c>
    </row>
    <row r="9911" spans="1:2" x14ac:dyDescent="0.25">
      <c r="A9911" t="s">
        <v>2310</v>
      </c>
      <c r="B9911" t="s">
        <v>1220</v>
      </c>
    </row>
    <row r="9912" spans="1:2" x14ac:dyDescent="0.25">
      <c r="A9912" t="s">
        <v>2109</v>
      </c>
      <c r="B9912" t="s">
        <v>1140</v>
      </c>
    </row>
    <row r="9913" spans="1:2" x14ac:dyDescent="0.25">
      <c r="A9913" t="s">
        <v>2109</v>
      </c>
      <c r="B9913" t="s">
        <v>1141</v>
      </c>
    </row>
    <row r="9914" spans="1:2" x14ac:dyDescent="0.25">
      <c r="A9914" t="s">
        <v>2109</v>
      </c>
      <c r="B9914" t="s">
        <v>1142</v>
      </c>
    </row>
    <row r="9915" spans="1:2" x14ac:dyDescent="0.25">
      <c r="A9915" t="s">
        <v>2109</v>
      </c>
      <c r="B9915" t="s">
        <v>1150</v>
      </c>
    </row>
    <row r="9916" spans="1:2" x14ac:dyDescent="0.25">
      <c r="A9916" t="s">
        <v>2109</v>
      </c>
      <c r="B9916" t="s">
        <v>1151</v>
      </c>
    </row>
    <row r="9917" spans="1:2" x14ac:dyDescent="0.25">
      <c r="A9917" t="s">
        <v>2109</v>
      </c>
      <c r="B9917" t="s">
        <v>1177</v>
      </c>
    </row>
    <row r="9918" spans="1:2" x14ac:dyDescent="0.25">
      <c r="A9918" t="s">
        <v>2109</v>
      </c>
      <c r="B9918" t="s">
        <v>1179</v>
      </c>
    </row>
    <row r="9919" spans="1:2" x14ac:dyDescent="0.25">
      <c r="A9919" t="s">
        <v>2109</v>
      </c>
      <c r="B9919" t="s">
        <v>1205</v>
      </c>
    </row>
    <row r="9920" spans="1:2" x14ac:dyDescent="0.25">
      <c r="A9920" t="s">
        <v>2109</v>
      </c>
      <c r="B9920" t="s">
        <v>1206</v>
      </c>
    </row>
    <row r="9921" spans="1:2" x14ac:dyDescent="0.25">
      <c r="A9921" t="s">
        <v>2109</v>
      </c>
      <c r="B9921" t="s">
        <v>1207</v>
      </c>
    </row>
    <row r="9922" spans="1:2" x14ac:dyDescent="0.25">
      <c r="A9922" t="s">
        <v>2109</v>
      </c>
      <c r="B9922" t="s">
        <v>1208</v>
      </c>
    </row>
    <row r="9923" spans="1:2" x14ac:dyDescent="0.25">
      <c r="A9923" t="s">
        <v>2109</v>
      </c>
      <c r="B9923" t="s">
        <v>1220</v>
      </c>
    </row>
    <row r="9924" spans="1:2" x14ac:dyDescent="0.25">
      <c r="A9924" t="s">
        <v>2109</v>
      </c>
      <c r="B9924" t="s">
        <v>1229</v>
      </c>
    </row>
    <row r="9925" spans="1:2" x14ac:dyDescent="0.25">
      <c r="A9925" t="s">
        <v>2109</v>
      </c>
      <c r="B9925" t="s">
        <v>1232</v>
      </c>
    </row>
    <row r="9926" spans="1:2" x14ac:dyDescent="0.25">
      <c r="A9926" t="s">
        <v>2109</v>
      </c>
      <c r="B9926" t="s">
        <v>1233</v>
      </c>
    </row>
    <row r="9927" spans="1:2" x14ac:dyDescent="0.25">
      <c r="A9927" t="s">
        <v>2109</v>
      </c>
      <c r="B9927" t="s">
        <v>1234</v>
      </c>
    </row>
    <row r="9928" spans="1:2" x14ac:dyDescent="0.25">
      <c r="A9928" t="s">
        <v>2109</v>
      </c>
      <c r="B9928" t="s">
        <v>1235</v>
      </c>
    </row>
    <row r="9929" spans="1:2" x14ac:dyDescent="0.25">
      <c r="A9929" t="s">
        <v>2109</v>
      </c>
      <c r="B9929" t="s">
        <v>1236</v>
      </c>
    </row>
    <row r="9930" spans="1:2" x14ac:dyDescent="0.25">
      <c r="A9930" t="s">
        <v>2109</v>
      </c>
      <c r="B9930" t="s">
        <v>1237</v>
      </c>
    </row>
    <row r="9931" spans="1:2" x14ac:dyDescent="0.25">
      <c r="A9931" t="s">
        <v>2109</v>
      </c>
      <c r="B9931" t="s">
        <v>1238</v>
      </c>
    </row>
    <row r="9932" spans="1:2" x14ac:dyDescent="0.25">
      <c r="A9932" t="s">
        <v>2109</v>
      </c>
      <c r="B9932" t="s">
        <v>1239</v>
      </c>
    </row>
    <row r="9933" spans="1:2" x14ac:dyDescent="0.25">
      <c r="A9933" t="s">
        <v>2109</v>
      </c>
      <c r="B9933" t="s">
        <v>1240</v>
      </c>
    </row>
    <row r="9934" spans="1:2" x14ac:dyDescent="0.25">
      <c r="A9934" t="s">
        <v>2109</v>
      </c>
      <c r="B9934" t="s">
        <v>1241</v>
      </c>
    </row>
    <row r="9935" spans="1:2" x14ac:dyDescent="0.25">
      <c r="A9935" t="s">
        <v>2109</v>
      </c>
      <c r="B9935" t="s">
        <v>1242</v>
      </c>
    </row>
    <row r="9936" spans="1:2" x14ac:dyDescent="0.25">
      <c r="A9936" t="s">
        <v>2109</v>
      </c>
      <c r="B9936" t="s">
        <v>1243</v>
      </c>
    </row>
    <row r="9937" spans="1:2" x14ac:dyDescent="0.25">
      <c r="A9937" t="s">
        <v>2109</v>
      </c>
      <c r="B9937" t="s">
        <v>1244</v>
      </c>
    </row>
    <row r="9938" spans="1:2" x14ac:dyDescent="0.25">
      <c r="A9938" t="s">
        <v>2109</v>
      </c>
      <c r="B9938" t="s">
        <v>1245</v>
      </c>
    </row>
    <row r="9939" spans="1:2" x14ac:dyDescent="0.25">
      <c r="A9939" t="s">
        <v>2109</v>
      </c>
      <c r="B9939" t="s">
        <v>1246</v>
      </c>
    </row>
    <row r="9940" spans="1:2" x14ac:dyDescent="0.25">
      <c r="A9940" t="s">
        <v>2109</v>
      </c>
      <c r="B9940" t="s">
        <v>1247</v>
      </c>
    </row>
    <row r="9941" spans="1:2" x14ac:dyDescent="0.25">
      <c r="A9941" t="s">
        <v>2109</v>
      </c>
      <c r="B9941" t="s">
        <v>1248</v>
      </c>
    </row>
    <row r="9942" spans="1:2" x14ac:dyDescent="0.25">
      <c r="A9942" t="s">
        <v>2109</v>
      </c>
      <c r="B9942" t="s">
        <v>1249</v>
      </c>
    </row>
    <row r="9943" spans="1:2" x14ac:dyDescent="0.25">
      <c r="A9943" t="s">
        <v>2109</v>
      </c>
      <c r="B9943" t="s">
        <v>1250</v>
      </c>
    </row>
    <row r="9944" spans="1:2" x14ac:dyDescent="0.25">
      <c r="A9944" t="s">
        <v>2132</v>
      </c>
      <c r="B9944" t="s">
        <v>1141</v>
      </c>
    </row>
    <row r="9945" spans="1:2" x14ac:dyDescent="0.25">
      <c r="A9945" t="s">
        <v>2132</v>
      </c>
      <c r="B9945" t="s">
        <v>1155</v>
      </c>
    </row>
    <row r="9946" spans="1:2" x14ac:dyDescent="0.25">
      <c r="A9946" t="s">
        <v>2132</v>
      </c>
      <c r="B9946" t="s">
        <v>1158</v>
      </c>
    </row>
    <row r="9947" spans="1:2" x14ac:dyDescent="0.25">
      <c r="A9947" t="s">
        <v>2132</v>
      </c>
      <c r="B9947" t="s">
        <v>1175</v>
      </c>
    </row>
    <row r="9948" spans="1:2" x14ac:dyDescent="0.25">
      <c r="A9948" t="s">
        <v>2132</v>
      </c>
      <c r="B9948" t="s">
        <v>1176</v>
      </c>
    </row>
    <row r="9949" spans="1:2" x14ac:dyDescent="0.25">
      <c r="A9949" t="s">
        <v>2132</v>
      </c>
      <c r="B9949" t="s">
        <v>1227</v>
      </c>
    </row>
    <row r="9950" spans="1:2" x14ac:dyDescent="0.25">
      <c r="A9950" t="s">
        <v>2132</v>
      </c>
      <c r="B9950" t="s">
        <v>1255</v>
      </c>
    </row>
    <row r="9951" spans="1:2" x14ac:dyDescent="0.25">
      <c r="A9951" t="s">
        <v>2241</v>
      </c>
      <c r="B9951" t="s">
        <v>1177</v>
      </c>
    </row>
    <row r="9952" spans="1:2" x14ac:dyDescent="0.25">
      <c r="A9952" t="s">
        <v>2241</v>
      </c>
      <c r="B9952" t="s">
        <v>1220</v>
      </c>
    </row>
    <row r="9953" spans="1:2" x14ac:dyDescent="0.25">
      <c r="A9953" t="s">
        <v>2241</v>
      </c>
      <c r="B9953" t="s">
        <v>1229</v>
      </c>
    </row>
    <row r="9954" spans="1:2" x14ac:dyDescent="0.25">
      <c r="A9954" t="s">
        <v>2242</v>
      </c>
      <c r="B9954" t="s">
        <v>1177</v>
      </c>
    </row>
    <row r="9955" spans="1:2" x14ac:dyDescent="0.25">
      <c r="A9955" t="s">
        <v>2242</v>
      </c>
      <c r="B9955" t="s">
        <v>1220</v>
      </c>
    </row>
    <row r="9956" spans="1:2" x14ac:dyDescent="0.25">
      <c r="A9956" t="s">
        <v>2242</v>
      </c>
      <c r="B9956" t="s">
        <v>1229</v>
      </c>
    </row>
    <row r="9957" spans="1:2" x14ac:dyDescent="0.25">
      <c r="A9957" t="s">
        <v>1944</v>
      </c>
      <c r="B9957" t="s">
        <v>1113</v>
      </c>
    </row>
    <row r="9958" spans="1:2" x14ac:dyDescent="0.25">
      <c r="A9958" t="s">
        <v>1944</v>
      </c>
      <c r="B9958" t="s">
        <v>1114</v>
      </c>
    </row>
    <row r="9959" spans="1:2" x14ac:dyDescent="0.25">
      <c r="A9959" t="s">
        <v>1944</v>
      </c>
      <c r="B9959" t="s">
        <v>1115</v>
      </c>
    </row>
    <row r="9960" spans="1:2" x14ac:dyDescent="0.25">
      <c r="A9960" t="s">
        <v>1944</v>
      </c>
      <c r="B9960" t="s">
        <v>1133</v>
      </c>
    </row>
    <row r="9961" spans="1:2" x14ac:dyDescent="0.25">
      <c r="A9961" t="s">
        <v>1944</v>
      </c>
      <c r="B9961" t="s">
        <v>1166</v>
      </c>
    </row>
    <row r="9962" spans="1:2" x14ac:dyDescent="0.25">
      <c r="A9962" t="s">
        <v>1944</v>
      </c>
      <c r="B9962" t="s">
        <v>1167</v>
      </c>
    </row>
    <row r="9963" spans="1:2" x14ac:dyDescent="0.25">
      <c r="A9963" t="s">
        <v>1944</v>
      </c>
      <c r="B9963" t="s">
        <v>1168</v>
      </c>
    </row>
    <row r="9964" spans="1:2" x14ac:dyDescent="0.25">
      <c r="A9964" t="s">
        <v>1944</v>
      </c>
      <c r="B9964" t="s">
        <v>1186</v>
      </c>
    </row>
    <row r="9965" spans="1:2" x14ac:dyDescent="0.25">
      <c r="A9965" t="s">
        <v>1944</v>
      </c>
      <c r="B9965" t="s">
        <v>1187</v>
      </c>
    </row>
    <row r="9966" spans="1:2" x14ac:dyDescent="0.25">
      <c r="A9966" t="s">
        <v>1944</v>
      </c>
      <c r="B9966" t="s">
        <v>1188</v>
      </c>
    </row>
    <row r="9967" spans="1:2" x14ac:dyDescent="0.25">
      <c r="A9967" t="s">
        <v>1944</v>
      </c>
      <c r="B9967" t="s">
        <v>1189</v>
      </c>
    </row>
    <row r="9968" spans="1:2" x14ac:dyDescent="0.25">
      <c r="A9968" t="s">
        <v>1944</v>
      </c>
      <c r="B9968" t="s">
        <v>1195</v>
      </c>
    </row>
    <row r="9969" spans="1:2" x14ac:dyDescent="0.25">
      <c r="A9969" t="s">
        <v>1944</v>
      </c>
      <c r="B9969" t="s">
        <v>1196</v>
      </c>
    </row>
    <row r="9970" spans="1:2" x14ac:dyDescent="0.25">
      <c r="A9970" t="s">
        <v>1866</v>
      </c>
      <c r="B9970" t="s">
        <v>1112</v>
      </c>
    </row>
    <row r="9971" spans="1:2" x14ac:dyDescent="0.25">
      <c r="A9971" t="s">
        <v>1866</v>
      </c>
      <c r="B9971" t="s">
        <v>1113</v>
      </c>
    </row>
    <row r="9972" spans="1:2" x14ac:dyDescent="0.25">
      <c r="A9972" t="s">
        <v>1866</v>
      </c>
      <c r="B9972" t="s">
        <v>1114</v>
      </c>
    </row>
    <row r="9973" spans="1:2" x14ac:dyDescent="0.25">
      <c r="A9973" t="s">
        <v>1866</v>
      </c>
      <c r="B9973" t="s">
        <v>1115</v>
      </c>
    </row>
    <row r="9974" spans="1:2" x14ac:dyDescent="0.25">
      <c r="A9974" t="s">
        <v>1866</v>
      </c>
      <c r="B9974" t="s">
        <v>1166</v>
      </c>
    </row>
    <row r="9975" spans="1:2" x14ac:dyDescent="0.25">
      <c r="A9975" t="s">
        <v>1866</v>
      </c>
      <c r="B9975" t="s">
        <v>1167</v>
      </c>
    </row>
    <row r="9976" spans="1:2" x14ac:dyDescent="0.25">
      <c r="A9976" t="s">
        <v>1866</v>
      </c>
      <c r="B9976" t="s">
        <v>1168</v>
      </c>
    </row>
    <row r="9977" spans="1:2" x14ac:dyDescent="0.25">
      <c r="A9977" t="s">
        <v>1866</v>
      </c>
      <c r="B9977" t="s">
        <v>1186</v>
      </c>
    </row>
    <row r="9978" spans="1:2" x14ac:dyDescent="0.25">
      <c r="A9978" t="s">
        <v>1866</v>
      </c>
      <c r="B9978" t="s">
        <v>1189</v>
      </c>
    </row>
    <row r="9979" spans="1:2" x14ac:dyDescent="0.25">
      <c r="A9979" t="s">
        <v>2208</v>
      </c>
      <c r="B9979" t="s">
        <v>1160</v>
      </c>
    </row>
    <row r="9980" spans="1:2" x14ac:dyDescent="0.25">
      <c r="A9980" t="s">
        <v>2208</v>
      </c>
      <c r="B9980" t="s">
        <v>1161</v>
      </c>
    </row>
    <row r="9981" spans="1:2" x14ac:dyDescent="0.25">
      <c r="A9981" t="s">
        <v>2208</v>
      </c>
      <c r="B9981" t="s">
        <v>1162</v>
      </c>
    </row>
    <row r="9982" spans="1:2" x14ac:dyDescent="0.25">
      <c r="A9982" t="s">
        <v>2208</v>
      </c>
      <c r="B9982" t="s">
        <v>1163</v>
      </c>
    </row>
    <row r="9983" spans="1:2" x14ac:dyDescent="0.25">
      <c r="A9983" t="s">
        <v>2208</v>
      </c>
      <c r="B9983" t="s">
        <v>1164</v>
      </c>
    </row>
    <row r="9984" spans="1:2" x14ac:dyDescent="0.25">
      <c r="A9984" t="s">
        <v>2208</v>
      </c>
      <c r="B9984" t="s">
        <v>1165</v>
      </c>
    </row>
    <row r="9985" spans="1:2" x14ac:dyDescent="0.25">
      <c r="A9985" t="s">
        <v>2204</v>
      </c>
      <c r="B9985" t="s">
        <v>1160</v>
      </c>
    </row>
    <row r="9986" spans="1:2" x14ac:dyDescent="0.25">
      <c r="A9986" t="s">
        <v>2204</v>
      </c>
      <c r="B9986" t="s">
        <v>1161</v>
      </c>
    </row>
    <row r="9987" spans="1:2" x14ac:dyDescent="0.25">
      <c r="A9987" t="s">
        <v>2204</v>
      </c>
      <c r="B9987" t="s">
        <v>1162</v>
      </c>
    </row>
    <row r="9988" spans="1:2" x14ac:dyDescent="0.25">
      <c r="A9988" t="s">
        <v>2204</v>
      </c>
      <c r="B9988" t="s">
        <v>1163</v>
      </c>
    </row>
    <row r="9989" spans="1:2" x14ac:dyDescent="0.25">
      <c r="A9989" t="s">
        <v>2204</v>
      </c>
      <c r="B9989" t="s">
        <v>1164</v>
      </c>
    </row>
    <row r="9990" spans="1:2" x14ac:dyDescent="0.25">
      <c r="A9990" t="s">
        <v>2204</v>
      </c>
      <c r="B9990" t="s">
        <v>1165</v>
      </c>
    </row>
    <row r="9991" spans="1:2" x14ac:dyDescent="0.25">
      <c r="A9991" t="s">
        <v>2272</v>
      </c>
      <c r="B9991" t="s">
        <v>1189</v>
      </c>
    </row>
    <row r="9992" spans="1:2" x14ac:dyDescent="0.25">
      <c r="A9992" t="s">
        <v>1543</v>
      </c>
      <c r="B9992" t="s">
        <v>1092</v>
      </c>
    </row>
    <row r="9993" spans="1:2" x14ac:dyDescent="0.25">
      <c r="A9993" t="s">
        <v>1543</v>
      </c>
      <c r="B9993" t="s">
        <v>1093</v>
      </c>
    </row>
    <row r="9994" spans="1:2" x14ac:dyDescent="0.25">
      <c r="A9994" t="s">
        <v>1543</v>
      </c>
      <c r="B9994" t="s">
        <v>1094</v>
      </c>
    </row>
    <row r="9995" spans="1:2" x14ac:dyDescent="0.25">
      <c r="A9995" t="s">
        <v>1543</v>
      </c>
      <c r="B9995" t="s">
        <v>1095</v>
      </c>
    </row>
    <row r="9996" spans="1:2" x14ac:dyDescent="0.25">
      <c r="A9996" t="s">
        <v>1543</v>
      </c>
      <c r="B9996" t="s">
        <v>1096</v>
      </c>
    </row>
    <row r="9997" spans="1:2" x14ac:dyDescent="0.25">
      <c r="A9997" t="s">
        <v>1543</v>
      </c>
      <c r="B9997" t="s">
        <v>1097</v>
      </c>
    </row>
    <row r="9998" spans="1:2" x14ac:dyDescent="0.25">
      <c r="A9998" t="s">
        <v>1543</v>
      </c>
      <c r="B9998" t="s">
        <v>1098</v>
      </c>
    </row>
    <row r="9999" spans="1:2" x14ac:dyDescent="0.25">
      <c r="A9999" t="s">
        <v>1543</v>
      </c>
      <c r="B9999" t="s">
        <v>1099</v>
      </c>
    </row>
    <row r="10000" spans="1:2" x14ac:dyDescent="0.25">
      <c r="A10000" t="s">
        <v>1543</v>
      </c>
      <c r="B10000" t="s">
        <v>1100</v>
      </c>
    </row>
    <row r="10001" spans="1:2" x14ac:dyDescent="0.25">
      <c r="A10001" t="s">
        <v>1543</v>
      </c>
      <c r="B10001" t="s">
        <v>1101</v>
      </c>
    </row>
    <row r="10002" spans="1:2" x14ac:dyDescent="0.25">
      <c r="A10002" t="s">
        <v>1543</v>
      </c>
      <c r="B10002" t="s">
        <v>1102</v>
      </c>
    </row>
    <row r="10003" spans="1:2" x14ac:dyDescent="0.25">
      <c r="A10003" t="s">
        <v>1543</v>
      </c>
      <c r="B10003" t="s">
        <v>1103</v>
      </c>
    </row>
    <row r="10004" spans="1:2" x14ac:dyDescent="0.25">
      <c r="A10004" t="s">
        <v>1543</v>
      </c>
      <c r="B10004" t="s">
        <v>1104</v>
      </c>
    </row>
    <row r="10005" spans="1:2" x14ac:dyDescent="0.25">
      <c r="A10005" t="s">
        <v>1543</v>
      </c>
      <c r="B10005" t="s">
        <v>1105</v>
      </c>
    </row>
    <row r="10006" spans="1:2" x14ac:dyDescent="0.25">
      <c r="A10006" t="s">
        <v>1543</v>
      </c>
      <c r="B10006" t="s">
        <v>1106</v>
      </c>
    </row>
    <row r="10007" spans="1:2" x14ac:dyDescent="0.25">
      <c r="A10007" t="s">
        <v>1543</v>
      </c>
      <c r="B10007" t="s">
        <v>1107</v>
      </c>
    </row>
    <row r="10008" spans="1:2" x14ac:dyDescent="0.25">
      <c r="A10008" t="s">
        <v>1543</v>
      </c>
      <c r="B10008" t="s">
        <v>1166</v>
      </c>
    </row>
    <row r="10009" spans="1:2" x14ac:dyDescent="0.25">
      <c r="A10009" t="s">
        <v>1543</v>
      </c>
      <c r="B10009" t="s">
        <v>1167</v>
      </c>
    </row>
    <row r="10010" spans="1:2" x14ac:dyDescent="0.25">
      <c r="A10010" t="s">
        <v>1543</v>
      </c>
      <c r="B10010" t="s">
        <v>1168</v>
      </c>
    </row>
    <row r="10011" spans="1:2" x14ac:dyDescent="0.25">
      <c r="A10011" t="s">
        <v>1543</v>
      </c>
      <c r="B10011" t="s">
        <v>1186</v>
      </c>
    </row>
    <row r="10012" spans="1:2" x14ac:dyDescent="0.25">
      <c r="A10012" t="s">
        <v>1543</v>
      </c>
      <c r="B10012" t="s">
        <v>1189</v>
      </c>
    </row>
    <row r="10013" spans="1:2" x14ac:dyDescent="0.25">
      <c r="A10013" t="s">
        <v>1543</v>
      </c>
      <c r="B10013" t="s">
        <v>1191</v>
      </c>
    </row>
    <row r="10014" spans="1:2" x14ac:dyDescent="0.25">
      <c r="A10014" t="s">
        <v>1544</v>
      </c>
      <c r="B10014" t="s">
        <v>1092</v>
      </c>
    </row>
    <row r="10015" spans="1:2" x14ac:dyDescent="0.25">
      <c r="A10015" t="s">
        <v>1544</v>
      </c>
      <c r="B10015" t="s">
        <v>1093</v>
      </c>
    </row>
    <row r="10016" spans="1:2" x14ac:dyDescent="0.25">
      <c r="A10016" t="s">
        <v>1544</v>
      </c>
      <c r="B10016" t="s">
        <v>1094</v>
      </c>
    </row>
    <row r="10017" spans="1:2" x14ac:dyDescent="0.25">
      <c r="A10017" t="s">
        <v>1544</v>
      </c>
      <c r="B10017" t="s">
        <v>1095</v>
      </c>
    </row>
    <row r="10018" spans="1:2" x14ac:dyDescent="0.25">
      <c r="A10018" t="s">
        <v>1544</v>
      </c>
      <c r="B10018" t="s">
        <v>1096</v>
      </c>
    </row>
    <row r="10019" spans="1:2" x14ac:dyDescent="0.25">
      <c r="A10019" t="s">
        <v>1544</v>
      </c>
      <c r="B10019" t="s">
        <v>1097</v>
      </c>
    </row>
    <row r="10020" spans="1:2" x14ac:dyDescent="0.25">
      <c r="A10020" t="s">
        <v>1544</v>
      </c>
      <c r="B10020" t="s">
        <v>1098</v>
      </c>
    </row>
    <row r="10021" spans="1:2" x14ac:dyDescent="0.25">
      <c r="A10021" t="s">
        <v>1544</v>
      </c>
      <c r="B10021" t="s">
        <v>1099</v>
      </c>
    </row>
    <row r="10022" spans="1:2" x14ac:dyDescent="0.25">
      <c r="A10022" t="s">
        <v>1544</v>
      </c>
      <c r="B10022" t="s">
        <v>1100</v>
      </c>
    </row>
    <row r="10023" spans="1:2" x14ac:dyDescent="0.25">
      <c r="A10023" t="s">
        <v>1544</v>
      </c>
      <c r="B10023" t="s">
        <v>1101</v>
      </c>
    </row>
    <row r="10024" spans="1:2" x14ac:dyDescent="0.25">
      <c r="A10024" t="s">
        <v>1544</v>
      </c>
      <c r="B10024" t="s">
        <v>1102</v>
      </c>
    </row>
    <row r="10025" spans="1:2" x14ac:dyDescent="0.25">
      <c r="A10025" t="s">
        <v>1544</v>
      </c>
      <c r="B10025" t="s">
        <v>1103</v>
      </c>
    </row>
    <row r="10026" spans="1:2" x14ac:dyDescent="0.25">
      <c r="A10026" t="s">
        <v>1544</v>
      </c>
      <c r="B10026" t="s">
        <v>1104</v>
      </c>
    </row>
    <row r="10027" spans="1:2" x14ac:dyDescent="0.25">
      <c r="A10027" t="s">
        <v>1544</v>
      </c>
      <c r="B10027" t="s">
        <v>1105</v>
      </c>
    </row>
    <row r="10028" spans="1:2" x14ac:dyDescent="0.25">
      <c r="A10028" t="s">
        <v>1544</v>
      </c>
      <c r="B10028" t="s">
        <v>1106</v>
      </c>
    </row>
    <row r="10029" spans="1:2" x14ac:dyDescent="0.25">
      <c r="A10029" t="s">
        <v>1544</v>
      </c>
      <c r="B10029" t="s">
        <v>1107</v>
      </c>
    </row>
    <row r="10030" spans="1:2" x14ac:dyDescent="0.25">
      <c r="A10030" t="s">
        <v>1544</v>
      </c>
      <c r="B10030" t="s">
        <v>1191</v>
      </c>
    </row>
    <row r="10031" spans="1:2" x14ac:dyDescent="0.25">
      <c r="A10031" t="s">
        <v>1545</v>
      </c>
      <c r="B10031" t="s">
        <v>1092</v>
      </c>
    </row>
    <row r="10032" spans="1:2" x14ac:dyDescent="0.25">
      <c r="A10032" t="s">
        <v>1545</v>
      </c>
      <c r="B10032" t="s">
        <v>1093</v>
      </c>
    </row>
    <row r="10033" spans="1:2" x14ac:dyDescent="0.25">
      <c r="A10033" t="s">
        <v>1545</v>
      </c>
      <c r="B10033" t="s">
        <v>1094</v>
      </c>
    </row>
    <row r="10034" spans="1:2" x14ac:dyDescent="0.25">
      <c r="A10034" t="s">
        <v>1545</v>
      </c>
      <c r="B10034" t="s">
        <v>1095</v>
      </c>
    </row>
    <row r="10035" spans="1:2" x14ac:dyDescent="0.25">
      <c r="A10035" t="s">
        <v>1545</v>
      </c>
      <c r="B10035" t="s">
        <v>1096</v>
      </c>
    </row>
    <row r="10036" spans="1:2" x14ac:dyDescent="0.25">
      <c r="A10036" t="s">
        <v>1545</v>
      </c>
      <c r="B10036" t="s">
        <v>1097</v>
      </c>
    </row>
    <row r="10037" spans="1:2" x14ac:dyDescent="0.25">
      <c r="A10037" t="s">
        <v>1545</v>
      </c>
      <c r="B10037" t="s">
        <v>1098</v>
      </c>
    </row>
    <row r="10038" spans="1:2" x14ac:dyDescent="0.25">
      <c r="A10038" t="s">
        <v>1545</v>
      </c>
      <c r="B10038" t="s">
        <v>1099</v>
      </c>
    </row>
    <row r="10039" spans="1:2" x14ac:dyDescent="0.25">
      <c r="A10039" t="s">
        <v>1545</v>
      </c>
      <c r="B10039" t="s">
        <v>1100</v>
      </c>
    </row>
    <row r="10040" spans="1:2" x14ac:dyDescent="0.25">
      <c r="A10040" t="s">
        <v>1545</v>
      </c>
      <c r="B10040" t="s">
        <v>1101</v>
      </c>
    </row>
    <row r="10041" spans="1:2" x14ac:dyDescent="0.25">
      <c r="A10041" t="s">
        <v>1545</v>
      </c>
      <c r="B10041" t="s">
        <v>1102</v>
      </c>
    </row>
    <row r="10042" spans="1:2" x14ac:dyDescent="0.25">
      <c r="A10042" t="s">
        <v>1545</v>
      </c>
      <c r="B10042" t="s">
        <v>1103</v>
      </c>
    </row>
    <row r="10043" spans="1:2" x14ac:dyDescent="0.25">
      <c r="A10043" t="s">
        <v>1545</v>
      </c>
      <c r="B10043" t="s">
        <v>1104</v>
      </c>
    </row>
    <row r="10044" spans="1:2" x14ac:dyDescent="0.25">
      <c r="A10044" t="s">
        <v>1545</v>
      </c>
      <c r="B10044" t="s">
        <v>1105</v>
      </c>
    </row>
    <row r="10045" spans="1:2" x14ac:dyDescent="0.25">
      <c r="A10045" t="s">
        <v>1545</v>
      </c>
      <c r="B10045" t="s">
        <v>1106</v>
      </c>
    </row>
    <row r="10046" spans="1:2" x14ac:dyDescent="0.25">
      <c r="A10046" t="s">
        <v>1545</v>
      </c>
      <c r="B10046" t="s">
        <v>1107</v>
      </c>
    </row>
    <row r="10047" spans="1:2" x14ac:dyDescent="0.25">
      <c r="A10047" t="s">
        <v>1545</v>
      </c>
      <c r="B10047" t="s">
        <v>1191</v>
      </c>
    </row>
    <row r="10048" spans="1:2" x14ac:dyDescent="0.25">
      <c r="A10048" t="s">
        <v>2273</v>
      </c>
      <c r="B10048" t="s">
        <v>1189</v>
      </c>
    </row>
    <row r="10049" spans="1:2" x14ac:dyDescent="0.25">
      <c r="A10049" t="s">
        <v>1542</v>
      </c>
      <c r="B10049" t="s">
        <v>1092</v>
      </c>
    </row>
    <row r="10050" spans="1:2" x14ac:dyDescent="0.25">
      <c r="A10050" t="s">
        <v>1542</v>
      </c>
      <c r="B10050" t="s">
        <v>1093</v>
      </c>
    </row>
    <row r="10051" spans="1:2" x14ac:dyDescent="0.25">
      <c r="A10051" t="s">
        <v>1542</v>
      </c>
      <c r="B10051" t="s">
        <v>1094</v>
      </c>
    </row>
    <row r="10052" spans="1:2" x14ac:dyDescent="0.25">
      <c r="A10052" t="s">
        <v>1542</v>
      </c>
      <c r="B10052" t="s">
        <v>1095</v>
      </c>
    </row>
    <row r="10053" spans="1:2" x14ac:dyDescent="0.25">
      <c r="A10053" t="s">
        <v>1542</v>
      </c>
      <c r="B10053" t="s">
        <v>1096</v>
      </c>
    </row>
    <row r="10054" spans="1:2" x14ac:dyDescent="0.25">
      <c r="A10054" t="s">
        <v>1542</v>
      </c>
      <c r="B10054" t="s">
        <v>1097</v>
      </c>
    </row>
    <row r="10055" spans="1:2" x14ac:dyDescent="0.25">
      <c r="A10055" t="s">
        <v>1542</v>
      </c>
      <c r="B10055" t="s">
        <v>1098</v>
      </c>
    </row>
    <row r="10056" spans="1:2" x14ac:dyDescent="0.25">
      <c r="A10056" t="s">
        <v>1542</v>
      </c>
      <c r="B10056" t="s">
        <v>1099</v>
      </c>
    </row>
    <row r="10057" spans="1:2" x14ac:dyDescent="0.25">
      <c r="A10057" t="s">
        <v>1542</v>
      </c>
      <c r="B10057" t="s">
        <v>1100</v>
      </c>
    </row>
    <row r="10058" spans="1:2" x14ac:dyDescent="0.25">
      <c r="A10058" t="s">
        <v>1542</v>
      </c>
      <c r="B10058" t="s">
        <v>1101</v>
      </c>
    </row>
    <row r="10059" spans="1:2" x14ac:dyDescent="0.25">
      <c r="A10059" t="s">
        <v>1542</v>
      </c>
      <c r="B10059" t="s">
        <v>1102</v>
      </c>
    </row>
    <row r="10060" spans="1:2" x14ac:dyDescent="0.25">
      <c r="A10060" t="s">
        <v>1542</v>
      </c>
      <c r="B10060" t="s">
        <v>1103</v>
      </c>
    </row>
    <row r="10061" spans="1:2" x14ac:dyDescent="0.25">
      <c r="A10061" t="s">
        <v>1542</v>
      </c>
      <c r="B10061" t="s">
        <v>1104</v>
      </c>
    </row>
    <row r="10062" spans="1:2" x14ac:dyDescent="0.25">
      <c r="A10062" t="s">
        <v>1542</v>
      </c>
      <c r="B10062" t="s">
        <v>1105</v>
      </c>
    </row>
    <row r="10063" spans="1:2" x14ac:dyDescent="0.25">
      <c r="A10063" t="s">
        <v>1542</v>
      </c>
      <c r="B10063" t="s">
        <v>1106</v>
      </c>
    </row>
    <row r="10064" spans="1:2" x14ac:dyDescent="0.25">
      <c r="A10064" t="s">
        <v>1542</v>
      </c>
      <c r="B10064" t="s">
        <v>1107</v>
      </c>
    </row>
    <row r="10065" spans="1:2" x14ac:dyDescent="0.25">
      <c r="A10065" t="s">
        <v>1542</v>
      </c>
      <c r="B10065" t="s">
        <v>1166</v>
      </c>
    </row>
    <row r="10066" spans="1:2" x14ac:dyDescent="0.25">
      <c r="A10066" t="s">
        <v>1542</v>
      </c>
      <c r="B10066" t="s">
        <v>1167</v>
      </c>
    </row>
    <row r="10067" spans="1:2" x14ac:dyDescent="0.25">
      <c r="A10067" t="s">
        <v>1542</v>
      </c>
      <c r="B10067" t="s">
        <v>1168</v>
      </c>
    </row>
    <row r="10068" spans="1:2" x14ac:dyDescent="0.25">
      <c r="A10068" t="s">
        <v>1542</v>
      </c>
      <c r="B10068" t="s">
        <v>1186</v>
      </c>
    </row>
    <row r="10069" spans="1:2" x14ac:dyDescent="0.25">
      <c r="A10069" t="s">
        <v>1542</v>
      </c>
      <c r="B10069" t="s">
        <v>1189</v>
      </c>
    </row>
    <row r="10070" spans="1:2" x14ac:dyDescent="0.25">
      <c r="A10070" t="s">
        <v>1542</v>
      </c>
      <c r="B10070" t="s">
        <v>1191</v>
      </c>
    </row>
    <row r="10071" spans="1:2" x14ac:dyDescent="0.25">
      <c r="A10071" t="s">
        <v>1581</v>
      </c>
      <c r="B10071" t="s">
        <v>1096</v>
      </c>
    </row>
    <row r="10072" spans="1:2" x14ac:dyDescent="0.25">
      <c r="A10072" t="s">
        <v>1581</v>
      </c>
      <c r="B10072" t="s">
        <v>1097</v>
      </c>
    </row>
    <row r="10073" spans="1:2" x14ac:dyDescent="0.25">
      <c r="A10073" t="s">
        <v>1581</v>
      </c>
      <c r="B10073" t="s">
        <v>1098</v>
      </c>
    </row>
    <row r="10074" spans="1:2" x14ac:dyDescent="0.25">
      <c r="A10074" t="s">
        <v>1581</v>
      </c>
      <c r="B10074" t="s">
        <v>1099</v>
      </c>
    </row>
    <row r="10075" spans="1:2" x14ac:dyDescent="0.25">
      <c r="A10075" t="s">
        <v>1581</v>
      </c>
      <c r="B10075" t="s">
        <v>1100</v>
      </c>
    </row>
    <row r="10076" spans="1:2" x14ac:dyDescent="0.25">
      <c r="A10076" t="s">
        <v>1581</v>
      </c>
      <c r="B10076" t="s">
        <v>1101</v>
      </c>
    </row>
    <row r="10077" spans="1:2" x14ac:dyDescent="0.25">
      <c r="A10077" t="s">
        <v>1581</v>
      </c>
      <c r="B10077" t="s">
        <v>1102</v>
      </c>
    </row>
    <row r="10078" spans="1:2" x14ac:dyDescent="0.25">
      <c r="A10078" t="s">
        <v>1581</v>
      </c>
      <c r="B10078" t="s">
        <v>1103</v>
      </c>
    </row>
    <row r="10079" spans="1:2" x14ac:dyDescent="0.25">
      <c r="A10079" t="s">
        <v>1581</v>
      </c>
      <c r="B10079" t="s">
        <v>1104</v>
      </c>
    </row>
    <row r="10080" spans="1:2" x14ac:dyDescent="0.25">
      <c r="A10080" t="s">
        <v>1581</v>
      </c>
      <c r="B10080" t="s">
        <v>1105</v>
      </c>
    </row>
    <row r="10081" spans="1:2" x14ac:dyDescent="0.25">
      <c r="A10081" t="s">
        <v>1581</v>
      </c>
      <c r="B10081" t="s">
        <v>1106</v>
      </c>
    </row>
    <row r="10082" spans="1:2" x14ac:dyDescent="0.25">
      <c r="A10082" t="s">
        <v>1581</v>
      </c>
      <c r="B10082" t="s">
        <v>1107</v>
      </c>
    </row>
    <row r="10083" spans="1:2" x14ac:dyDescent="0.25">
      <c r="A10083" t="s">
        <v>1581</v>
      </c>
      <c r="B10083" t="s">
        <v>1161</v>
      </c>
    </row>
    <row r="10084" spans="1:2" x14ac:dyDescent="0.25">
      <c r="A10084" t="s">
        <v>1581</v>
      </c>
      <c r="B10084" t="s">
        <v>1162</v>
      </c>
    </row>
    <row r="10085" spans="1:2" x14ac:dyDescent="0.25">
      <c r="A10085" t="s">
        <v>1581</v>
      </c>
      <c r="B10085" t="s">
        <v>1163</v>
      </c>
    </row>
    <row r="10086" spans="1:2" x14ac:dyDescent="0.25">
      <c r="A10086" t="s">
        <v>1581</v>
      </c>
      <c r="B10086" t="s">
        <v>1164</v>
      </c>
    </row>
    <row r="10087" spans="1:2" x14ac:dyDescent="0.25">
      <c r="A10087" t="s">
        <v>1581</v>
      </c>
      <c r="B10087" t="s">
        <v>1191</v>
      </c>
    </row>
    <row r="10088" spans="1:2" x14ac:dyDescent="0.25">
      <c r="A10088" t="s">
        <v>1541</v>
      </c>
      <c r="B10088" t="s">
        <v>1092</v>
      </c>
    </row>
    <row r="10089" spans="1:2" x14ac:dyDescent="0.25">
      <c r="A10089" t="s">
        <v>1541</v>
      </c>
      <c r="B10089" t="s">
        <v>1093</v>
      </c>
    </row>
    <row r="10090" spans="1:2" x14ac:dyDescent="0.25">
      <c r="A10090" t="s">
        <v>1541</v>
      </c>
      <c r="B10090" t="s">
        <v>1094</v>
      </c>
    </row>
    <row r="10091" spans="1:2" x14ac:dyDescent="0.25">
      <c r="A10091" t="s">
        <v>1541</v>
      </c>
      <c r="B10091" t="s">
        <v>1095</v>
      </c>
    </row>
    <row r="10092" spans="1:2" x14ac:dyDescent="0.25">
      <c r="A10092" t="s">
        <v>1541</v>
      </c>
      <c r="B10092" t="s">
        <v>1096</v>
      </c>
    </row>
    <row r="10093" spans="1:2" x14ac:dyDescent="0.25">
      <c r="A10093" t="s">
        <v>1541</v>
      </c>
      <c r="B10093" t="s">
        <v>1097</v>
      </c>
    </row>
    <row r="10094" spans="1:2" x14ac:dyDescent="0.25">
      <c r="A10094" t="s">
        <v>1541</v>
      </c>
      <c r="B10094" t="s">
        <v>1098</v>
      </c>
    </row>
    <row r="10095" spans="1:2" x14ac:dyDescent="0.25">
      <c r="A10095" t="s">
        <v>1541</v>
      </c>
      <c r="B10095" t="s">
        <v>1099</v>
      </c>
    </row>
    <row r="10096" spans="1:2" x14ac:dyDescent="0.25">
      <c r="A10096" t="s">
        <v>1541</v>
      </c>
      <c r="B10096" t="s">
        <v>1100</v>
      </c>
    </row>
    <row r="10097" spans="1:2" x14ac:dyDescent="0.25">
      <c r="A10097" t="s">
        <v>1541</v>
      </c>
      <c r="B10097" t="s">
        <v>1101</v>
      </c>
    </row>
    <row r="10098" spans="1:2" x14ac:dyDescent="0.25">
      <c r="A10098" t="s">
        <v>1541</v>
      </c>
      <c r="B10098" t="s">
        <v>1102</v>
      </c>
    </row>
    <row r="10099" spans="1:2" x14ac:dyDescent="0.25">
      <c r="A10099" t="s">
        <v>1541</v>
      </c>
      <c r="B10099" t="s">
        <v>1103</v>
      </c>
    </row>
    <row r="10100" spans="1:2" x14ac:dyDescent="0.25">
      <c r="A10100" t="s">
        <v>1541</v>
      </c>
      <c r="B10100" t="s">
        <v>1104</v>
      </c>
    </row>
    <row r="10101" spans="1:2" x14ac:dyDescent="0.25">
      <c r="A10101" t="s">
        <v>1541</v>
      </c>
      <c r="B10101" t="s">
        <v>1105</v>
      </c>
    </row>
    <row r="10102" spans="1:2" x14ac:dyDescent="0.25">
      <c r="A10102" t="s">
        <v>1541</v>
      </c>
      <c r="B10102" t="s">
        <v>1106</v>
      </c>
    </row>
    <row r="10103" spans="1:2" x14ac:dyDescent="0.25">
      <c r="A10103" t="s">
        <v>1541</v>
      </c>
      <c r="B10103" t="s">
        <v>1107</v>
      </c>
    </row>
    <row r="10104" spans="1:2" x14ac:dyDescent="0.25">
      <c r="A10104" t="s">
        <v>1541</v>
      </c>
      <c r="B10104" t="s">
        <v>1166</v>
      </c>
    </row>
    <row r="10105" spans="1:2" x14ac:dyDescent="0.25">
      <c r="A10105" t="s">
        <v>1541</v>
      </c>
      <c r="B10105" t="s">
        <v>1167</v>
      </c>
    </row>
    <row r="10106" spans="1:2" x14ac:dyDescent="0.25">
      <c r="A10106" t="s">
        <v>1541</v>
      </c>
      <c r="B10106" t="s">
        <v>1168</v>
      </c>
    </row>
    <row r="10107" spans="1:2" x14ac:dyDescent="0.25">
      <c r="A10107" t="s">
        <v>1541</v>
      </c>
      <c r="B10107" t="s">
        <v>1186</v>
      </c>
    </row>
    <row r="10108" spans="1:2" x14ac:dyDescent="0.25">
      <c r="A10108" t="s">
        <v>1541</v>
      </c>
      <c r="B10108" t="s">
        <v>1189</v>
      </c>
    </row>
    <row r="10109" spans="1:2" x14ac:dyDescent="0.25">
      <c r="A10109" t="s">
        <v>1541</v>
      </c>
      <c r="B10109" t="s">
        <v>1191</v>
      </c>
    </row>
    <row r="10110" spans="1:2" x14ac:dyDescent="0.25">
      <c r="A10110" t="s">
        <v>1580</v>
      </c>
      <c r="B10110" t="s">
        <v>1096</v>
      </c>
    </row>
    <row r="10111" spans="1:2" x14ac:dyDescent="0.25">
      <c r="A10111" t="s">
        <v>1580</v>
      </c>
      <c r="B10111" t="s">
        <v>1097</v>
      </c>
    </row>
    <row r="10112" spans="1:2" x14ac:dyDescent="0.25">
      <c r="A10112" t="s">
        <v>1580</v>
      </c>
      <c r="B10112" t="s">
        <v>1098</v>
      </c>
    </row>
    <row r="10113" spans="1:2" x14ac:dyDescent="0.25">
      <c r="A10113" t="s">
        <v>1580</v>
      </c>
      <c r="B10113" t="s">
        <v>1099</v>
      </c>
    </row>
    <row r="10114" spans="1:2" x14ac:dyDescent="0.25">
      <c r="A10114" t="s">
        <v>1580</v>
      </c>
      <c r="B10114" t="s">
        <v>1100</v>
      </c>
    </row>
    <row r="10115" spans="1:2" x14ac:dyDescent="0.25">
      <c r="A10115" t="s">
        <v>1580</v>
      </c>
      <c r="B10115" t="s">
        <v>1101</v>
      </c>
    </row>
    <row r="10116" spans="1:2" x14ac:dyDescent="0.25">
      <c r="A10116" t="s">
        <v>1580</v>
      </c>
      <c r="B10116" t="s">
        <v>1102</v>
      </c>
    </row>
    <row r="10117" spans="1:2" x14ac:dyDescent="0.25">
      <c r="A10117" t="s">
        <v>1580</v>
      </c>
      <c r="B10117" t="s">
        <v>1103</v>
      </c>
    </row>
    <row r="10118" spans="1:2" x14ac:dyDescent="0.25">
      <c r="A10118" t="s">
        <v>1580</v>
      </c>
      <c r="B10118" t="s">
        <v>1104</v>
      </c>
    </row>
    <row r="10119" spans="1:2" x14ac:dyDescent="0.25">
      <c r="A10119" t="s">
        <v>1580</v>
      </c>
      <c r="B10119" t="s">
        <v>1105</v>
      </c>
    </row>
    <row r="10120" spans="1:2" x14ac:dyDescent="0.25">
      <c r="A10120" t="s">
        <v>1580</v>
      </c>
      <c r="B10120" t="s">
        <v>1106</v>
      </c>
    </row>
    <row r="10121" spans="1:2" x14ac:dyDescent="0.25">
      <c r="A10121" t="s">
        <v>1580</v>
      </c>
      <c r="B10121" t="s">
        <v>1107</v>
      </c>
    </row>
    <row r="10122" spans="1:2" x14ac:dyDescent="0.25">
      <c r="A10122" t="s">
        <v>1580</v>
      </c>
      <c r="B10122" t="s">
        <v>1113</v>
      </c>
    </row>
    <row r="10123" spans="1:2" x14ac:dyDescent="0.25">
      <c r="A10123" t="s">
        <v>1580</v>
      </c>
      <c r="B10123" t="s">
        <v>1114</v>
      </c>
    </row>
    <row r="10124" spans="1:2" x14ac:dyDescent="0.25">
      <c r="A10124" t="s">
        <v>1580</v>
      </c>
      <c r="B10124" t="s">
        <v>1115</v>
      </c>
    </row>
    <row r="10125" spans="1:2" x14ac:dyDescent="0.25">
      <c r="A10125" t="s">
        <v>1580</v>
      </c>
      <c r="B10125" t="s">
        <v>1133</v>
      </c>
    </row>
    <row r="10126" spans="1:2" x14ac:dyDescent="0.25">
      <c r="A10126" t="s">
        <v>1580</v>
      </c>
      <c r="B10126" t="s">
        <v>1161</v>
      </c>
    </row>
    <row r="10127" spans="1:2" x14ac:dyDescent="0.25">
      <c r="A10127" t="s">
        <v>1580</v>
      </c>
      <c r="B10127" t="s">
        <v>1162</v>
      </c>
    </row>
    <row r="10128" spans="1:2" x14ac:dyDescent="0.25">
      <c r="A10128" t="s">
        <v>1580</v>
      </c>
      <c r="B10128" t="s">
        <v>1163</v>
      </c>
    </row>
    <row r="10129" spans="1:2" x14ac:dyDescent="0.25">
      <c r="A10129" t="s">
        <v>1580</v>
      </c>
      <c r="B10129" t="s">
        <v>1164</v>
      </c>
    </row>
    <row r="10130" spans="1:2" x14ac:dyDescent="0.25">
      <c r="A10130" t="s">
        <v>1580</v>
      </c>
      <c r="B10130" t="s">
        <v>1166</v>
      </c>
    </row>
    <row r="10131" spans="1:2" x14ac:dyDescent="0.25">
      <c r="A10131" t="s">
        <v>1580</v>
      </c>
      <c r="B10131" t="s">
        <v>1167</v>
      </c>
    </row>
    <row r="10132" spans="1:2" x14ac:dyDescent="0.25">
      <c r="A10132" t="s">
        <v>1580</v>
      </c>
      <c r="B10132" t="s">
        <v>1168</v>
      </c>
    </row>
    <row r="10133" spans="1:2" x14ac:dyDescent="0.25">
      <c r="A10133" t="s">
        <v>1580</v>
      </c>
      <c r="B10133" t="s">
        <v>1186</v>
      </c>
    </row>
    <row r="10134" spans="1:2" x14ac:dyDescent="0.25">
      <c r="A10134" t="s">
        <v>1580</v>
      </c>
      <c r="B10134" t="s">
        <v>1187</v>
      </c>
    </row>
    <row r="10135" spans="1:2" x14ac:dyDescent="0.25">
      <c r="A10135" t="s">
        <v>1580</v>
      </c>
      <c r="B10135" t="s">
        <v>1188</v>
      </c>
    </row>
    <row r="10136" spans="1:2" x14ac:dyDescent="0.25">
      <c r="A10136" t="s">
        <v>1580</v>
      </c>
      <c r="B10136" t="s">
        <v>1189</v>
      </c>
    </row>
    <row r="10137" spans="1:2" x14ac:dyDescent="0.25">
      <c r="A10137" t="s">
        <v>1580</v>
      </c>
      <c r="B10137" t="s">
        <v>1191</v>
      </c>
    </row>
    <row r="10138" spans="1:2" x14ac:dyDescent="0.25">
      <c r="A10138" t="s">
        <v>1580</v>
      </c>
      <c r="B10138" t="s">
        <v>1195</v>
      </c>
    </row>
    <row r="10139" spans="1:2" x14ac:dyDescent="0.25">
      <c r="A10139" t="s">
        <v>1580</v>
      </c>
      <c r="B10139" t="s">
        <v>1196</v>
      </c>
    </row>
    <row r="10140" spans="1:2" x14ac:dyDescent="0.25">
      <c r="A10140" t="s">
        <v>1574</v>
      </c>
      <c r="B10140" t="s">
        <v>1095</v>
      </c>
    </row>
    <row r="10141" spans="1:2" x14ac:dyDescent="0.25">
      <c r="A10141" t="s">
        <v>1574</v>
      </c>
      <c r="B10141" t="s">
        <v>1102</v>
      </c>
    </row>
    <row r="10142" spans="1:2" x14ac:dyDescent="0.25">
      <c r="A10142" t="s">
        <v>1574</v>
      </c>
      <c r="B10142" t="s">
        <v>1110</v>
      </c>
    </row>
    <row r="10143" spans="1:2" x14ac:dyDescent="0.25">
      <c r="A10143" t="s">
        <v>1574</v>
      </c>
      <c r="B10143" t="s">
        <v>1112</v>
      </c>
    </row>
    <row r="10144" spans="1:2" x14ac:dyDescent="0.25">
      <c r="A10144" t="s">
        <v>1574</v>
      </c>
      <c r="B10144" t="s">
        <v>1130</v>
      </c>
    </row>
    <row r="10145" spans="1:2" x14ac:dyDescent="0.25">
      <c r="A10145" t="s">
        <v>1574</v>
      </c>
      <c r="B10145" t="s">
        <v>1130</v>
      </c>
    </row>
    <row r="10146" spans="1:2" x14ac:dyDescent="0.25">
      <c r="A10146" t="s">
        <v>1574</v>
      </c>
      <c r="B10146" t="s">
        <v>1131</v>
      </c>
    </row>
    <row r="10147" spans="1:2" x14ac:dyDescent="0.25">
      <c r="A10147" t="s">
        <v>1574</v>
      </c>
      <c r="B10147" t="s">
        <v>1131</v>
      </c>
    </row>
    <row r="10148" spans="1:2" x14ac:dyDescent="0.25">
      <c r="A10148" t="s">
        <v>1574</v>
      </c>
      <c r="B10148" t="s">
        <v>1132</v>
      </c>
    </row>
    <row r="10149" spans="1:2" x14ac:dyDescent="0.25">
      <c r="A10149" t="s">
        <v>1574</v>
      </c>
      <c r="B10149" t="s">
        <v>1133</v>
      </c>
    </row>
    <row r="10150" spans="1:2" x14ac:dyDescent="0.25">
      <c r="A10150" t="s">
        <v>1574</v>
      </c>
      <c r="B10150" t="s">
        <v>1134</v>
      </c>
    </row>
    <row r="10151" spans="1:2" x14ac:dyDescent="0.25">
      <c r="A10151" t="s">
        <v>1574</v>
      </c>
      <c r="B10151" t="s">
        <v>1138</v>
      </c>
    </row>
    <row r="10152" spans="1:2" x14ac:dyDescent="0.25">
      <c r="A10152" t="s">
        <v>1574</v>
      </c>
      <c r="B10152" t="s">
        <v>1138</v>
      </c>
    </row>
    <row r="10153" spans="1:2" x14ac:dyDescent="0.25">
      <c r="A10153" t="s">
        <v>1574</v>
      </c>
      <c r="B10153" t="s">
        <v>1145</v>
      </c>
    </row>
    <row r="10154" spans="1:2" x14ac:dyDescent="0.25">
      <c r="A10154" t="s">
        <v>1574</v>
      </c>
      <c r="B10154" t="s">
        <v>1154</v>
      </c>
    </row>
    <row r="10155" spans="1:2" x14ac:dyDescent="0.25">
      <c r="A10155" t="s">
        <v>1574</v>
      </c>
      <c r="B10155" t="s">
        <v>1154</v>
      </c>
    </row>
    <row r="10156" spans="1:2" x14ac:dyDescent="0.25">
      <c r="A10156" t="s">
        <v>1574</v>
      </c>
      <c r="B10156" t="s">
        <v>1172</v>
      </c>
    </row>
    <row r="10157" spans="1:2" x14ac:dyDescent="0.25">
      <c r="A10157" t="s">
        <v>1574</v>
      </c>
      <c r="B10157" t="s">
        <v>1180</v>
      </c>
    </row>
    <row r="10158" spans="1:2" x14ac:dyDescent="0.25">
      <c r="A10158" t="s">
        <v>1574</v>
      </c>
      <c r="B10158" t="s">
        <v>1180</v>
      </c>
    </row>
    <row r="10159" spans="1:2" x14ac:dyDescent="0.25">
      <c r="A10159" t="s">
        <v>1574</v>
      </c>
      <c r="B10159" t="s">
        <v>1181</v>
      </c>
    </row>
    <row r="10160" spans="1:2" x14ac:dyDescent="0.25">
      <c r="A10160" t="s">
        <v>1574</v>
      </c>
      <c r="B10160" t="s">
        <v>1181</v>
      </c>
    </row>
    <row r="10161" spans="1:2" x14ac:dyDescent="0.25">
      <c r="A10161" t="s">
        <v>1574</v>
      </c>
      <c r="B10161" t="s">
        <v>1182</v>
      </c>
    </row>
    <row r="10162" spans="1:2" x14ac:dyDescent="0.25">
      <c r="A10162" t="s">
        <v>1574</v>
      </c>
      <c r="B10162" t="s">
        <v>1183</v>
      </c>
    </row>
    <row r="10163" spans="1:2" x14ac:dyDescent="0.25">
      <c r="A10163" t="s">
        <v>1574</v>
      </c>
      <c r="B10163" t="s">
        <v>1184</v>
      </c>
    </row>
    <row r="10164" spans="1:2" x14ac:dyDescent="0.25">
      <c r="A10164" t="s">
        <v>1574</v>
      </c>
      <c r="B10164" t="s">
        <v>1185</v>
      </c>
    </row>
    <row r="10165" spans="1:2" x14ac:dyDescent="0.25">
      <c r="A10165" t="s">
        <v>1574</v>
      </c>
      <c r="B10165" t="s">
        <v>1192</v>
      </c>
    </row>
    <row r="10166" spans="1:2" x14ac:dyDescent="0.25">
      <c r="A10166" t="s">
        <v>1574</v>
      </c>
      <c r="B10166" t="s">
        <v>1193</v>
      </c>
    </row>
    <row r="10167" spans="1:2" x14ac:dyDescent="0.25">
      <c r="A10167" t="s">
        <v>1574</v>
      </c>
      <c r="B10167" t="s">
        <v>1201</v>
      </c>
    </row>
    <row r="10168" spans="1:2" x14ac:dyDescent="0.25">
      <c r="A10168" t="s">
        <v>1574</v>
      </c>
      <c r="B10168" t="s">
        <v>1206</v>
      </c>
    </row>
    <row r="10169" spans="1:2" x14ac:dyDescent="0.25">
      <c r="A10169" s="11" t="s">
        <v>1518</v>
      </c>
      <c r="B10169" t="s">
        <v>1091</v>
      </c>
    </row>
    <row r="10170" spans="1:2" x14ac:dyDescent="0.25">
      <c r="A10170" t="s">
        <v>1518</v>
      </c>
      <c r="B10170" t="s">
        <v>1092</v>
      </c>
    </row>
    <row r="10171" spans="1:2" x14ac:dyDescent="0.25">
      <c r="A10171" t="s">
        <v>1518</v>
      </c>
      <c r="B10171" t="s">
        <v>1093</v>
      </c>
    </row>
    <row r="10172" spans="1:2" x14ac:dyDescent="0.25">
      <c r="A10172" t="s">
        <v>1518</v>
      </c>
      <c r="B10172" t="s">
        <v>1094</v>
      </c>
    </row>
    <row r="10173" spans="1:2" x14ac:dyDescent="0.25">
      <c r="A10173" t="s">
        <v>1518</v>
      </c>
      <c r="B10173" t="s">
        <v>1095</v>
      </c>
    </row>
    <row r="10174" spans="1:2" x14ac:dyDescent="0.25">
      <c r="A10174" t="s">
        <v>1518</v>
      </c>
      <c r="B10174" t="s">
        <v>1102</v>
      </c>
    </row>
    <row r="10175" spans="1:2" x14ac:dyDescent="0.25">
      <c r="A10175" t="s">
        <v>1518</v>
      </c>
      <c r="B10175" t="s">
        <v>1102</v>
      </c>
    </row>
    <row r="10176" spans="1:2" x14ac:dyDescent="0.25">
      <c r="A10176" t="s">
        <v>1518</v>
      </c>
      <c r="B10176" t="s">
        <v>1110</v>
      </c>
    </row>
    <row r="10177" spans="1:2" x14ac:dyDescent="0.25">
      <c r="A10177" t="s">
        <v>1518</v>
      </c>
      <c r="B10177" t="s">
        <v>1110</v>
      </c>
    </row>
    <row r="10178" spans="1:2" x14ac:dyDescent="0.25">
      <c r="A10178" t="s">
        <v>1518</v>
      </c>
      <c r="B10178" t="s">
        <v>1112</v>
      </c>
    </row>
    <row r="10179" spans="1:2" x14ac:dyDescent="0.25">
      <c r="A10179" t="s">
        <v>1518</v>
      </c>
      <c r="B10179" t="s">
        <v>1130</v>
      </c>
    </row>
    <row r="10180" spans="1:2" x14ac:dyDescent="0.25">
      <c r="A10180" t="s">
        <v>1518</v>
      </c>
      <c r="B10180" t="s">
        <v>1131</v>
      </c>
    </row>
    <row r="10181" spans="1:2" x14ac:dyDescent="0.25">
      <c r="A10181" t="s">
        <v>1518</v>
      </c>
      <c r="B10181" t="s">
        <v>1132</v>
      </c>
    </row>
    <row r="10182" spans="1:2" x14ac:dyDescent="0.25">
      <c r="A10182" t="s">
        <v>1518</v>
      </c>
      <c r="B10182" t="s">
        <v>1134</v>
      </c>
    </row>
    <row r="10183" spans="1:2" x14ac:dyDescent="0.25">
      <c r="A10183" t="s">
        <v>1518</v>
      </c>
      <c r="B10183" t="s">
        <v>1137</v>
      </c>
    </row>
    <row r="10184" spans="1:2" x14ac:dyDescent="0.25">
      <c r="A10184" t="s">
        <v>1518</v>
      </c>
      <c r="B10184" t="s">
        <v>1138</v>
      </c>
    </row>
    <row r="10185" spans="1:2" x14ac:dyDescent="0.25">
      <c r="A10185" t="s">
        <v>1518</v>
      </c>
      <c r="B10185" t="s">
        <v>1145</v>
      </c>
    </row>
    <row r="10186" spans="1:2" x14ac:dyDescent="0.25">
      <c r="A10186" t="s">
        <v>1518</v>
      </c>
      <c r="B10186" t="s">
        <v>1154</v>
      </c>
    </row>
    <row r="10187" spans="1:2" x14ac:dyDescent="0.25">
      <c r="A10187" t="s">
        <v>1518</v>
      </c>
      <c r="B10187" t="s">
        <v>1160</v>
      </c>
    </row>
    <row r="10188" spans="1:2" x14ac:dyDescent="0.25">
      <c r="A10188" t="s">
        <v>1518</v>
      </c>
      <c r="B10188" t="s">
        <v>1166</v>
      </c>
    </row>
    <row r="10189" spans="1:2" x14ac:dyDescent="0.25">
      <c r="A10189" t="s">
        <v>1518</v>
      </c>
      <c r="B10189" t="s">
        <v>1167</v>
      </c>
    </row>
    <row r="10190" spans="1:2" x14ac:dyDescent="0.25">
      <c r="A10190" t="s">
        <v>1518</v>
      </c>
      <c r="B10190" t="s">
        <v>1168</v>
      </c>
    </row>
    <row r="10191" spans="1:2" x14ac:dyDescent="0.25">
      <c r="A10191" t="s">
        <v>1518</v>
      </c>
      <c r="B10191" t="s">
        <v>1169</v>
      </c>
    </row>
    <row r="10192" spans="1:2" x14ac:dyDescent="0.25">
      <c r="A10192" t="s">
        <v>1518</v>
      </c>
      <c r="B10192" t="s">
        <v>1170</v>
      </c>
    </row>
    <row r="10193" spans="1:2" x14ac:dyDescent="0.25">
      <c r="A10193" t="s">
        <v>1518</v>
      </c>
      <c r="B10193" t="s">
        <v>1171</v>
      </c>
    </row>
    <row r="10194" spans="1:2" x14ac:dyDescent="0.25">
      <c r="A10194" t="s">
        <v>1518</v>
      </c>
      <c r="B10194" t="s">
        <v>1180</v>
      </c>
    </row>
    <row r="10195" spans="1:2" x14ac:dyDescent="0.25">
      <c r="A10195" t="s">
        <v>1518</v>
      </c>
      <c r="B10195" t="s">
        <v>1181</v>
      </c>
    </row>
    <row r="10196" spans="1:2" x14ac:dyDescent="0.25">
      <c r="A10196" t="s">
        <v>1518</v>
      </c>
      <c r="B10196" t="s">
        <v>1194</v>
      </c>
    </row>
    <row r="10197" spans="1:2" x14ac:dyDescent="0.25">
      <c r="A10197" t="s">
        <v>1518</v>
      </c>
      <c r="B10197" t="s">
        <v>1197</v>
      </c>
    </row>
    <row r="10198" spans="1:2" x14ac:dyDescent="0.25">
      <c r="A10198" t="s">
        <v>1518</v>
      </c>
      <c r="B10198" t="s">
        <v>1198</v>
      </c>
    </row>
    <row r="10199" spans="1:2" x14ac:dyDescent="0.25">
      <c r="A10199" t="s">
        <v>1518</v>
      </c>
      <c r="B10199" t="s">
        <v>1198</v>
      </c>
    </row>
    <row r="10200" spans="1:2" x14ac:dyDescent="0.25">
      <c r="A10200" t="s">
        <v>1518</v>
      </c>
      <c r="B10200" t="s">
        <v>1201</v>
      </c>
    </row>
    <row r="10201" spans="1:2" x14ac:dyDescent="0.25">
      <c r="A10201" t="s">
        <v>1518</v>
      </c>
      <c r="B10201" t="s">
        <v>1201</v>
      </c>
    </row>
    <row r="10202" spans="1:2" x14ac:dyDescent="0.25">
      <c r="A10202" t="s">
        <v>1518</v>
      </c>
      <c r="B10202" t="s">
        <v>1206</v>
      </c>
    </row>
    <row r="10203" spans="1:2" x14ac:dyDescent="0.25">
      <c r="A10203" t="s">
        <v>1518</v>
      </c>
      <c r="B10203" t="s">
        <v>1206</v>
      </c>
    </row>
    <row r="10204" spans="1:2" x14ac:dyDescent="0.25">
      <c r="A10204" t="s">
        <v>1518</v>
      </c>
      <c r="B10204" t="s">
        <v>1225</v>
      </c>
    </row>
    <row r="10205" spans="1:2" x14ac:dyDescent="0.25">
      <c r="A10205" t="s">
        <v>1572</v>
      </c>
      <c r="B10205" t="s">
        <v>1095</v>
      </c>
    </row>
    <row r="10206" spans="1:2" x14ac:dyDescent="0.25">
      <c r="A10206" t="s">
        <v>1572</v>
      </c>
      <c r="B10206" t="s">
        <v>1102</v>
      </c>
    </row>
    <row r="10207" spans="1:2" x14ac:dyDescent="0.25">
      <c r="A10207" t="s">
        <v>1572</v>
      </c>
      <c r="B10207" t="s">
        <v>1102</v>
      </c>
    </row>
    <row r="10208" spans="1:2" x14ac:dyDescent="0.25">
      <c r="A10208" t="s">
        <v>1572</v>
      </c>
      <c r="B10208" t="s">
        <v>1110</v>
      </c>
    </row>
    <row r="10209" spans="1:2" x14ac:dyDescent="0.25">
      <c r="A10209" t="s">
        <v>1572</v>
      </c>
      <c r="B10209" t="s">
        <v>1110</v>
      </c>
    </row>
    <row r="10210" spans="1:2" x14ac:dyDescent="0.25">
      <c r="A10210" t="s">
        <v>1572</v>
      </c>
      <c r="B10210" t="s">
        <v>1112</v>
      </c>
    </row>
    <row r="10211" spans="1:2" x14ac:dyDescent="0.25">
      <c r="A10211" t="s">
        <v>1572</v>
      </c>
      <c r="B10211" t="s">
        <v>1130</v>
      </c>
    </row>
    <row r="10212" spans="1:2" x14ac:dyDescent="0.25">
      <c r="A10212" t="s">
        <v>1572</v>
      </c>
      <c r="B10212" t="s">
        <v>1131</v>
      </c>
    </row>
    <row r="10213" spans="1:2" x14ac:dyDescent="0.25">
      <c r="A10213" t="s">
        <v>1572</v>
      </c>
      <c r="B10213" t="s">
        <v>1132</v>
      </c>
    </row>
    <row r="10214" spans="1:2" x14ac:dyDescent="0.25">
      <c r="A10214" t="s">
        <v>1572</v>
      </c>
      <c r="B10214" t="s">
        <v>1134</v>
      </c>
    </row>
    <row r="10215" spans="1:2" x14ac:dyDescent="0.25">
      <c r="A10215" t="s">
        <v>1572</v>
      </c>
      <c r="B10215" t="s">
        <v>1137</v>
      </c>
    </row>
    <row r="10216" spans="1:2" x14ac:dyDescent="0.25">
      <c r="A10216" t="s">
        <v>1572</v>
      </c>
      <c r="B10216" t="s">
        <v>1138</v>
      </c>
    </row>
    <row r="10217" spans="1:2" x14ac:dyDescent="0.25">
      <c r="A10217" t="s">
        <v>1572</v>
      </c>
      <c r="B10217" t="s">
        <v>1138</v>
      </c>
    </row>
    <row r="10218" spans="1:2" x14ac:dyDescent="0.25">
      <c r="A10218" t="s">
        <v>1572</v>
      </c>
      <c r="B10218" t="s">
        <v>1145</v>
      </c>
    </row>
    <row r="10219" spans="1:2" x14ac:dyDescent="0.25">
      <c r="A10219" t="s">
        <v>1572</v>
      </c>
      <c r="B10219" t="s">
        <v>1154</v>
      </c>
    </row>
    <row r="10220" spans="1:2" x14ac:dyDescent="0.25">
      <c r="A10220" t="s">
        <v>1572</v>
      </c>
      <c r="B10220" t="s">
        <v>1154</v>
      </c>
    </row>
    <row r="10221" spans="1:2" x14ac:dyDescent="0.25">
      <c r="A10221" t="s">
        <v>1572</v>
      </c>
      <c r="B10221" t="s">
        <v>1171</v>
      </c>
    </row>
    <row r="10222" spans="1:2" x14ac:dyDescent="0.25">
      <c r="A10222" t="s">
        <v>1572</v>
      </c>
      <c r="B10222" t="s">
        <v>1180</v>
      </c>
    </row>
    <row r="10223" spans="1:2" x14ac:dyDescent="0.25">
      <c r="A10223" t="s">
        <v>1572</v>
      </c>
      <c r="B10223" t="s">
        <v>1180</v>
      </c>
    </row>
    <row r="10224" spans="1:2" x14ac:dyDescent="0.25">
      <c r="A10224" t="s">
        <v>1572</v>
      </c>
      <c r="B10224" t="s">
        <v>1181</v>
      </c>
    </row>
    <row r="10225" spans="1:2" x14ac:dyDescent="0.25">
      <c r="A10225" t="s">
        <v>1572</v>
      </c>
      <c r="B10225" t="s">
        <v>1181</v>
      </c>
    </row>
    <row r="10226" spans="1:2" x14ac:dyDescent="0.25">
      <c r="A10226" t="s">
        <v>1572</v>
      </c>
      <c r="B10226" t="s">
        <v>1182</v>
      </c>
    </row>
    <row r="10227" spans="1:2" x14ac:dyDescent="0.25">
      <c r="A10227" t="s">
        <v>1572</v>
      </c>
      <c r="B10227" t="s">
        <v>1183</v>
      </c>
    </row>
    <row r="10228" spans="1:2" x14ac:dyDescent="0.25">
      <c r="A10228" t="s">
        <v>1572</v>
      </c>
      <c r="B10228" t="s">
        <v>1184</v>
      </c>
    </row>
    <row r="10229" spans="1:2" x14ac:dyDescent="0.25">
      <c r="A10229" t="s">
        <v>1572</v>
      </c>
      <c r="B10229" t="s">
        <v>1185</v>
      </c>
    </row>
    <row r="10230" spans="1:2" x14ac:dyDescent="0.25">
      <c r="A10230" t="s">
        <v>1572</v>
      </c>
      <c r="B10230" t="s">
        <v>1192</v>
      </c>
    </row>
    <row r="10231" spans="1:2" x14ac:dyDescent="0.25">
      <c r="A10231" t="s">
        <v>1572</v>
      </c>
      <c r="B10231" t="s">
        <v>1193</v>
      </c>
    </row>
    <row r="10232" spans="1:2" x14ac:dyDescent="0.25">
      <c r="A10232" t="s">
        <v>1572</v>
      </c>
      <c r="B10232" t="s">
        <v>1197</v>
      </c>
    </row>
    <row r="10233" spans="1:2" x14ac:dyDescent="0.25">
      <c r="A10233" t="s">
        <v>1572</v>
      </c>
      <c r="B10233" t="s">
        <v>1198</v>
      </c>
    </row>
    <row r="10234" spans="1:2" x14ac:dyDescent="0.25">
      <c r="A10234" t="s">
        <v>1572</v>
      </c>
      <c r="B10234" t="s">
        <v>1201</v>
      </c>
    </row>
    <row r="10235" spans="1:2" x14ac:dyDescent="0.25">
      <c r="A10235" t="s">
        <v>1572</v>
      </c>
      <c r="B10235" t="s">
        <v>1201</v>
      </c>
    </row>
    <row r="10236" spans="1:2" x14ac:dyDescent="0.25">
      <c r="A10236" t="s">
        <v>1572</v>
      </c>
      <c r="B10236" t="s">
        <v>1206</v>
      </c>
    </row>
    <row r="10237" spans="1:2" x14ac:dyDescent="0.25">
      <c r="A10237" t="s">
        <v>1572</v>
      </c>
      <c r="B10237" t="s">
        <v>1206</v>
      </c>
    </row>
    <row r="10238" spans="1:2" x14ac:dyDescent="0.25">
      <c r="A10238" t="s">
        <v>1572</v>
      </c>
      <c r="B10238" t="s">
        <v>1225</v>
      </c>
    </row>
    <row r="10239" spans="1:2" x14ac:dyDescent="0.25">
      <c r="A10239" s="11" t="s">
        <v>1515</v>
      </c>
      <c r="B10239" t="s">
        <v>1091</v>
      </c>
    </row>
    <row r="10240" spans="1:2" x14ac:dyDescent="0.25">
      <c r="A10240" t="s">
        <v>1515</v>
      </c>
      <c r="B10240" t="s">
        <v>1092</v>
      </c>
    </row>
    <row r="10241" spans="1:2" x14ac:dyDescent="0.25">
      <c r="A10241" t="s">
        <v>1515</v>
      </c>
      <c r="B10241" t="s">
        <v>1093</v>
      </c>
    </row>
    <row r="10242" spans="1:2" x14ac:dyDescent="0.25">
      <c r="A10242" t="s">
        <v>1515</v>
      </c>
      <c r="B10242" t="s">
        <v>1094</v>
      </c>
    </row>
    <row r="10243" spans="1:2" x14ac:dyDescent="0.25">
      <c r="A10243" t="s">
        <v>1515</v>
      </c>
      <c r="B10243" t="s">
        <v>1095</v>
      </c>
    </row>
    <row r="10244" spans="1:2" x14ac:dyDescent="0.25">
      <c r="A10244" t="s">
        <v>1515</v>
      </c>
      <c r="B10244" t="s">
        <v>1102</v>
      </c>
    </row>
    <row r="10245" spans="1:2" x14ac:dyDescent="0.25">
      <c r="A10245" t="s">
        <v>1515</v>
      </c>
      <c r="B10245" t="s">
        <v>1102</v>
      </c>
    </row>
    <row r="10246" spans="1:2" x14ac:dyDescent="0.25">
      <c r="A10246" t="s">
        <v>1515</v>
      </c>
      <c r="B10246" t="s">
        <v>1110</v>
      </c>
    </row>
    <row r="10247" spans="1:2" x14ac:dyDescent="0.25">
      <c r="A10247" t="s">
        <v>1515</v>
      </c>
      <c r="B10247" t="s">
        <v>1110</v>
      </c>
    </row>
    <row r="10248" spans="1:2" x14ac:dyDescent="0.25">
      <c r="A10248" t="s">
        <v>1515</v>
      </c>
      <c r="B10248" t="s">
        <v>1112</v>
      </c>
    </row>
    <row r="10249" spans="1:2" x14ac:dyDescent="0.25">
      <c r="A10249" t="s">
        <v>1515</v>
      </c>
      <c r="B10249" t="s">
        <v>1130</v>
      </c>
    </row>
    <row r="10250" spans="1:2" x14ac:dyDescent="0.25">
      <c r="A10250" t="s">
        <v>1515</v>
      </c>
      <c r="B10250" t="s">
        <v>1131</v>
      </c>
    </row>
    <row r="10251" spans="1:2" x14ac:dyDescent="0.25">
      <c r="A10251" t="s">
        <v>1515</v>
      </c>
      <c r="B10251" t="s">
        <v>1134</v>
      </c>
    </row>
    <row r="10252" spans="1:2" x14ac:dyDescent="0.25">
      <c r="A10252" t="s">
        <v>1515</v>
      </c>
      <c r="B10252" t="s">
        <v>1138</v>
      </c>
    </row>
    <row r="10253" spans="1:2" x14ac:dyDescent="0.25">
      <c r="A10253" t="s">
        <v>1515</v>
      </c>
      <c r="B10253" t="s">
        <v>1145</v>
      </c>
    </row>
    <row r="10254" spans="1:2" x14ac:dyDescent="0.25">
      <c r="A10254" t="s">
        <v>1515</v>
      </c>
      <c r="B10254" t="s">
        <v>1154</v>
      </c>
    </row>
    <row r="10255" spans="1:2" x14ac:dyDescent="0.25">
      <c r="A10255" t="s">
        <v>1515</v>
      </c>
      <c r="B10255" t="s">
        <v>1160</v>
      </c>
    </row>
    <row r="10256" spans="1:2" x14ac:dyDescent="0.25">
      <c r="A10256" t="s">
        <v>1515</v>
      </c>
      <c r="B10256" t="s">
        <v>1180</v>
      </c>
    </row>
    <row r="10257" spans="1:2" x14ac:dyDescent="0.25">
      <c r="A10257" t="s">
        <v>1515</v>
      </c>
      <c r="B10257" t="s">
        <v>1181</v>
      </c>
    </row>
    <row r="10258" spans="1:2" x14ac:dyDescent="0.25">
      <c r="A10258" t="s">
        <v>1515</v>
      </c>
      <c r="B10258" t="s">
        <v>1194</v>
      </c>
    </row>
    <row r="10259" spans="1:2" x14ac:dyDescent="0.25">
      <c r="A10259" t="s">
        <v>1515</v>
      </c>
      <c r="B10259" t="s">
        <v>1197</v>
      </c>
    </row>
    <row r="10260" spans="1:2" x14ac:dyDescent="0.25">
      <c r="A10260" t="s">
        <v>1515</v>
      </c>
      <c r="B10260" t="s">
        <v>1198</v>
      </c>
    </row>
    <row r="10261" spans="1:2" x14ac:dyDescent="0.25">
      <c r="A10261" t="s">
        <v>1515</v>
      </c>
      <c r="B10261" t="s">
        <v>1201</v>
      </c>
    </row>
    <row r="10262" spans="1:2" x14ac:dyDescent="0.25">
      <c r="A10262" t="s">
        <v>1515</v>
      </c>
      <c r="B10262" t="s">
        <v>1201</v>
      </c>
    </row>
    <row r="10263" spans="1:2" x14ac:dyDescent="0.25">
      <c r="A10263" t="s">
        <v>1515</v>
      </c>
      <c r="B10263" t="s">
        <v>1206</v>
      </c>
    </row>
    <row r="10264" spans="1:2" x14ac:dyDescent="0.25">
      <c r="A10264" t="s">
        <v>1515</v>
      </c>
      <c r="B10264" t="s">
        <v>1206</v>
      </c>
    </row>
    <row r="10265" spans="1:2" x14ac:dyDescent="0.25">
      <c r="A10265" s="11" t="s">
        <v>1516</v>
      </c>
      <c r="B10265" t="s">
        <v>1091</v>
      </c>
    </row>
    <row r="10266" spans="1:2" x14ac:dyDescent="0.25">
      <c r="A10266" t="s">
        <v>1516</v>
      </c>
      <c r="B10266" t="s">
        <v>1092</v>
      </c>
    </row>
    <row r="10267" spans="1:2" x14ac:dyDescent="0.25">
      <c r="A10267" t="s">
        <v>1516</v>
      </c>
      <c r="B10267" t="s">
        <v>1093</v>
      </c>
    </row>
    <row r="10268" spans="1:2" x14ac:dyDescent="0.25">
      <c r="A10268" t="s">
        <v>1516</v>
      </c>
      <c r="B10268" t="s">
        <v>1094</v>
      </c>
    </row>
    <row r="10269" spans="1:2" x14ac:dyDescent="0.25">
      <c r="A10269" t="s">
        <v>1516</v>
      </c>
      <c r="B10269" t="s">
        <v>1095</v>
      </c>
    </row>
    <row r="10270" spans="1:2" x14ac:dyDescent="0.25">
      <c r="A10270" t="s">
        <v>1516</v>
      </c>
      <c r="B10270" t="s">
        <v>1102</v>
      </c>
    </row>
    <row r="10271" spans="1:2" x14ac:dyDescent="0.25">
      <c r="A10271" t="s">
        <v>1516</v>
      </c>
      <c r="B10271" t="s">
        <v>1102</v>
      </c>
    </row>
    <row r="10272" spans="1:2" x14ac:dyDescent="0.25">
      <c r="A10272" t="s">
        <v>1516</v>
      </c>
      <c r="B10272" t="s">
        <v>1110</v>
      </c>
    </row>
    <row r="10273" spans="1:2" x14ac:dyDescent="0.25">
      <c r="A10273" t="s">
        <v>1516</v>
      </c>
      <c r="B10273" t="s">
        <v>1110</v>
      </c>
    </row>
    <row r="10274" spans="1:2" x14ac:dyDescent="0.25">
      <c r="A10274" t="s">
        <v>1516</v>
      </c>
      <c r="B10274" t="s">
        <v>1112</v>
      </c>
    </row>
    <row r="10275" spans="1:2" x14ac:dyDescent="0.25">
      <c r="A10275" t="s">
        <v>1516</v>
      </c>
      <c r="B10275" t="s">
        <v>1130</v>
      </c>
    </row>
    <row r="10276" spans="1:2" x14ac:dyDescent="0.25">
      <c r="A10276" t="s">
        <v>1516</v>
      </c>
      <c r="B10276" t="s">
        <v>1131</v>
      </c>
    </row>
    <row r="10277" spans="1:2" x14ac:dyDescent="0.25">
      <c r="A10277" t="s">
        <v>1516</v>
      </c>
      <c r="B10277" t="s">
        <v>1134</v>
      </c>
    </row>
    <row r="10278" spans="1:2" x14ac:dyDescent="0.25">
      <c r="A10278" t="s">
        <v>1516</v>
      </c>
      <c r="B10278" t="s">
        <v>1138</v>
      </c>
    </row>
    <row r="10279" spans="1:2" x14ac:dyDescent="0.25">
      <c r="A10279" t="s">
        <v>1516</v>
      </c>
      <c r="B10279" t="s">
        <v>1145</v>
      </c>
    </row>
    <row r="10280" spans="1:2" x14ac:dyDescent="0.25">
      <c r="A10280" t="s">
        <v>1516</v>
      </c>
      <c r="B10280" t="s">
        <v>1154</v>
      </c>
    </row>
    <row r="10281" spans="1:2" x14ac:dyDescent="0.25">
      <c r="A10281" t="s">
        <v>1516</v>
      </c>
      <c r="B10281" t="s">
        <v>1160</v>
      </c>
    </row>
    <row r="10282" spans="1:2" x14ac:dyDescent="0.25">
      <c r="A10282" t="s">
        <v>1516</v>
      </c>
      <c r="B10282" t="s">
        <v>1180</v>
      </c>
    </row>
    <row r="10283" spans="1:2" x14ac:dyDescent="0.25">
      <c r="A10283" t="s">
        <v>1516</v>
      </c>
      <c r="B10283" t="s">
        <v>1181</v>
      </c>
    </row>
    <row r="10284" spans="1:2" x14ac:dyDescent="0.25">
      <c r="A10284" t="s">
        <v>1516</v>
      </c>
      <c r="B10284" t="s">
        <v>1194</v>
      </c>
    </row>
    <row r="10285" spans="1:2" x14ac:dyDescent="0.25">
      <c r="A10285" t="s">
        <v>1516</v>
      </c>
      <c r="B10285" t="s">
        <v>1197</v>
      </c>
    </row>
    <row r="10286" spans="1:2" x14ac:dyDescent="0.25">
      <c r="A10286" t="s">
        <v>1516</v>
      </c>
      <c r="B10286" t="s">
        <v>1198</v>
      </c>
    </row>
    <row r="10287" spans="1:2" x14ac:dyDescent="0.25">
      <c r="A10287" t="s">
        <v>1516</v>
      </c>
      <c r="B10287" t="s">
        <v>1201</v>
      </c>
    </row>
    <row r="10288" spans="1:2" x14ac:dyDescent="0.25">
      <c r="A10288" t="s">
        <v>1516</v>
      </c>
      <c r="B10288" t="s">
        <v>1201</v>
      </c>
    </row>
    <row r="10289" spans="1:2" x14ac:dyDescent="0.25">
      <c r="A10289" t="s">
        <v>1516</v>
      </c>
      <c r="B10289" t="s">
        <v>1206</v>
      </c>
    </row>
    <row r="10290" spans="1:2" x14ac:dyDescent="0.25">
      <c r="A10290" t="s">
        <v>1516</v>
      </c>
      <c r="B10290" t="s">
        <v>1206</v>
      </c>
    </row>
    <row r="10291" spans="1:2" x14ac:dyDescent="0.25">
      <c r="A10291" s="11" t="s">
        <v>1517</v>
      </c>
      <c r="B10291" t="s">
        <v>1091</v>
      </c>
    </row>
    <row r="10292" spans="1:2" x14ac:dyDescent="0.25">
      <c r="A10292" t="s">
        <v>1517</v>
      </c>
      <c r="B10292" t="s">
        <v>1092</v>
      </c>
    </row>
    <row r="10293" spans="1:2" x14ac:dyDescent="0.25">
      <c r="A10293" t="s">
        <v>1517</v>
      </c>
      <c r="B10293" t="s">
        <v>1093</v>
      </c>
    </row>
    <row r="10294" spans="1:2" x14ac:dyDescent="0.25">
      <c r="A10294" t="s">
        <v>1517</v>
      </c>
      <c r="B10294" t="s">
        <v>1094</v>
      </c>
    </row>
    <row r="10295" spans="1:2" x14ac:dyDescent="0.25">
      <c r="A10295" t="s">
        <v>1517</v>
      </c>
      <c r="B10295" t="s">
        <v>1095</v>
      </c>
    </row>
    <row r="10296" spans="1:2" x14ac:dyDescent="0.25">
      <c r="A10296" t="s">
        <v>1517</v>
      </c>
      <c r="B10296" t="s">
        <v>1102</v>
      </c>
    </row>
    <row r="10297" spans="1:2" x14ac:dyDescent="0.25">
      <c r="A10297" t="s">
        <v>1517</v>
      </c>
      <c r="B10297" t="s">
        <v>1102</v>
      </c>
    </row>
    <row r="10298" spans="1:2" x14ac:dyDescent="0.25">
      <c r="A10298" t="s">
        <v>1517</v>
      </c>
      <c r="B10298" t="s">
        <v>1110</v>
      </c>
    </row>
    <row r="10299" spans="1:2" x14ac:dyDescent="0.25">
      <c r="A10299" t="s">
        <v>1517</v>
      </c>
      <c r="B10299" t="s">
        <v>1110</v>
      </c>
    </row>
    <row r="10300" spans="1:2" x14ac:dyDescent="0.25">
      <c r="A10300" t="s">
        <v>1517</v>
      </c>
      <c r="B10300" t="s">
        <v>1112</v>
      </c>
    </row>
    <row r="10301" spans="1:2" x14ac:dyDescent="0.25">
      <c r="A10301" t="s">
        <v>1517</v>
      </c>
      <c r="B10301" t="s">
        <v>1130</v>
      </c>
    </row>
    <row r="10302" spans="1:2" x14ac:dyDescent="0.25">
      <c r="A10302" t="s">
        <v>1517</v>
      </c>
      <c r="B10302" t="s">
        <v>1131</v>
      </c>
    </row>
    <row r="10303" spans="1:2" x14ac:dyDescent="0.25">
      <c r="A10303" t="s">
        <v>1517</v>
      </c>
      <c r="B10303" t="s">
        <v>1134</v>
      </c>
    </row>
    <row r="10304" spans="1:2" x14ac:dyDescent="0.25">
      <c r="A10304" t="s">
        <v>1517</v>
      </c>
      <c r="B10304" t="s">
        <v>1138</v>
      </c>
    </row>
    <row r="10305" spans="1:2" x14ac:dyDescent="0.25">
      <c r="A10305" t="s">
        <v>1517</v>
      </c>
      <c r="B10305" t="s">
        <v>1145</v>
      </c>
    </row>
    <row r="10306" spans="1:2" x14ac:dyDescent="0.25">
      <c r="A10306" t="s">
        <v>1517</v>
      </c>
      <c r="B10306" t="s">
        <v>1154</v>
      </c>
    </row>
    <row r="10307" spans="1:2" x14ac:dyDescent="0.25">
      <c r="A10307" t="s">
        <v>1517</v>
      </c>
      <c r="B10307" t="s">
        <v>1160</v>
      </c>
    </row>
    <row r="10308" spans="1:2" x14ac:dyDescent="0.25">
      <c r="A10308" t="s">
        <v>1517</v>
      </c>
      <c r="B10308" t="s">
        <v>1180</v>
      </c>
    </row>
    <row r="10309" spans="1:2" x14ac:dyDescent="0.25">
      <c r="A10309" t="s">
        <v>1517</v>
      </c>
      <c r="B10309" t="s">
        <v>1181</v>
      </c>
    </row>
    <row r="10310" spans="1:2" x14ac:dyDescent="0.25">
      <c r="A10310" t="s">
        <v>1517</v>
      </c>
      <c r="B10310" t="s">
        <v>1194</v>
      </c>
    </row>
    <row r="10311" spans="1:2" x14ac:dyDescent="0.25">
      <c r="A10311" t="s">
        <v>1517</v>
      </c>
      <c r="B10311" t="s">
        <v>1197</v>
      </c>
    </row>
    <row r="10312" spans="1:2" x14ac:dyDescent="0.25">
      <c r="A10312" t="s">
        <v>1517</v>
      </c>
      <c r="B10312" t="s">
        <v>1198</v>
      </c>
    </row>
    <row r="10313" spans="1:2" x14ac:dyDescent="0.25">
      <c r="A10313" t="s">
        <v>1517</v>
      </c>
      <c r="B10313" t="s">
        <v>1201</v>
      </c>
    </row>
    <row r="10314" spans="1:2" x14ac:dyDescent="0.25">
      <c r="A10314" t="s">
        <v>1517</v>
      </c>
      <c r="B10314" t="s">
        <v>1201</v>
      </c>
    </row>
    <row r="10315" spans="1:2" x14ac:dyDescent="0.25">
      <c r="A10315" t="s">
        <v>1517</v>
      </c>
      <c r="B10315" t="s">
        <v>1206</v>
      </c>
    </row>
    <row r="10316" spans="1:2" x14ac:dyDescent="0.25">
      <c r="A10316" t="s">
        <v>1517</v>
      </c>
      <c r="B10316" t="s">
        <v>1206</v>
      </c>
    </row>
    <row r="10317" spans="1:2" x14ac:dyDescent="0.25">
      <c r="A10317" t="s">
        <v>2338</v>
      </c>
      <c r="B10317" t="s">
        <v>1225</v>
      </c>
    </row>
    <row r="10318" spans="1:2" x14ac:dyDescent="0.25">
      <c r="A10318" t="s">
        <v>2064</v>
      </c>
      <c r="B10318" t="s">
        <v>1138</v>
      </c>
    </row>
    <row r="10319" spans="1:2" x14ac:dyDescent="0.25">
      <c r="A10319" t="s">
        <v>2064</v>
      </c>
      <c r="B10319" t="s">
        <v>1154</v>
      </c>
    </row>
    <row r="10320" spans="1:2" x14ac:dyDescent="0.25">
      <c r="A10320" t="s">
        <v>2064</v>
      </c>
      <c r="B10320" t="s">
        <v>1180</v>
      </c>
    </row>
    <row r="10321" spans="1:2" x14ac:dyDescent="0.25">
      <c r="A10321" t="s">
        <v>2064</v>
      </c>
      <c r="B10321" t="s">
        <v>1181</v>
      </c>
    </row>
    <row r="10322" spans="1:2" x14ac:dyDescent="0.25">
      <c r="A10322" t="s">
        <v>2064</v>
      </c>
      <c r="B10322" t="s">
        <v>1182</v>
      </c>
    </row>
    <row r="10323" spans="1:2" x14ac:dyDescent="0.25">
      <c r="A10323" t="s">
        <v>2064</v>
      </c>
      <c r="B10323" t="s">
        <v>1183</v>
      </c>
    </row>
    <row r="10324" spans="1:2" x14ac:dyDescent="0.25">
      <c r="A10324" t="s">
        <v>2064</v>
      </c>
      <c r="B10324" t="s">
        <v>1184</v>
      </c>
    </row>
    <row r="10325" spans="1:2" x14ac:dyDescent="0.25">
      <c r="A10325" t="s">
        <v>2064</v>
      </c>
      <c r="B10325" t="s">
        <v>1185</v>
      </c>
    </row>
    <row r="10326" spans="1:2" x14ac:dyDescent="0.25">
      <c r="A10326" t="s">
        <v>2064</v>
      </c>
      <c r="B10326" t="s">
        <v>1192</v>
      </c>
    </row>
    <row r="10327" spans="1:2" x14ac:dyDescent="0.25">
      <c r="A10327" t="s">
        <v>2064</v>
      </c>
      <c r="B10327" t="s">
        <v>1193</v>
      </c>
    </row>
    <row r="10328" spans="1:2" x14ac:dyDescent="0.25">
      <c r="A10328" t="s">
        <v>2278</v>
      </c>
      <c r="B10328" t="s">
        <v>1195</v>
      </c>
    </row>
    <row r="10329" spans="1:2" x14ac:dyDescent="0.25">
      <c r="A10329" t="s">
        <v>2278</v>
      </c>
      <c r="B10329" t="s">
        <v>1196</v>
      </c>
    </row>
    <row r="10330" spans="1:2" x14ac:dyDescent="0.25">
      <c r="A10330" t="s">
        <v>1920</v>
      </c>
      <c r="B10330" t="s">
        <v>1112</v>
      </c>
    </row>
    <row r="10331" spans="1:2" x14ac:dyDescent="0.25">
      <c r="A10331" t="s">
        <v>1920</v>
      </c>
      <c r="B10331" t="s">
        <v>1130</v>
      </c>
    </row>
    <row r="10332" spans="1:2" x14ac:dyDescent="0.25">
      <c r="A10332" t="s">
        <v>1920</v>
      </c>
      <c r="B10332" t="s">
        <v>1131</v>
      </c>
    </row>
    <row r="10333" spans="1:2" x14ac:dyDescent="0.25">
      <c r="A10333" t="s">
        <v>1920</v>
      </c>
      <c r="B10333" t="s">
        <v>1132</v>
      </c>
    </row>
    <row r="10334" spans="1:2" x14ac:dyDescent="0.25">
      <c r="A10334" t="s">
        <v>1920</v>
      </c>
      <c r="B10334" t="s">
        <v>1133</v>
      </c>
    </row>
    <row r="10335" spans="1:2" x14ac:dyDescent="0.25">
      <c r="A10335" t="s">
        <v>1920</v>
      </c>
      <c r="B10335" t="s">
        <v>1157</v>
      </c>
    </row>
    <row r="10336" spans="1:2" x14ac:dyDescent="0.25">
      <c r="A10336" t="s">
        <v>1920</v>
      </c>
      <c r="B10336" t="s">
        <v>1158</v>
      </c>
    </row>
    <row r="10337" spans="1:2" x14ac:dyDescent="0.25">
      <c r="A10337" t="s">
        <v>1920</v>
      </c>
      <c r="B10337" t="s">
        <v>1159</v>
      </c>
    </row>
    <row r="10338" spans="1:2" x14ac:dyDescent="0.25">
      <c r="A10338" t="s">
        <v>2200</v>
      </c>
      <c r="B10338" t="s">
        <v>1160</v>
      </c>
    </row>
    <row r="10339" spans="1:2" x14ac:dyDescent="0.25">
      <c r="A10339" t="s">
        <v>2200</v>
      </c>
      <c r="B10339" t="s">
        <v>1161</v>
      </c>
    </row>
    <row r="10340" spans="1:2" x14ac:dyDescent="0.25">
      <c r="A10340" t="s">
        <v>2200</v>
      </c>
      <c r="B10340" t="s">
        <v>1162</v>
      </c>
    </row>
    <row r="10341" spans="1:2" x14ac:dyDescent="0.25">
      <c r="A10341" t="s">
        <v>2200</v>
      </c>
      <c r="B10341" t="s">
        <v>1163</v>
      </c>
    </row>
    <row r="10342" spans="1:2" x14ac:dyDescent="0.25">
      <c r="A10342" t="s">
        <v>2200</v>
      </c>
      <c r="B10342" t="s">
        <v>1164</v>
      </c>
    </row>
    <row r="10343" spans="1:2" x14ac:dyDescent="0.25">
      <c r="A10343" t="s">
        <v>2200</v>
      </c>
      <c r="B10343" t="s">
        <v>1165</v>
      </c>
    </row>
    <row r="10344" spans="1:2" x14ac:dyDescent="0.25">
      <c r="A10344" t="s">
        <v>1922</v>
      </c>
      <c r="B10344" t="s">
        <v>1112</v>
      </c>
    </row>
    <row r="10345" spans="1:2" x14ac:dyDescent="0.25">
      <c r="A10345" t="s">
        <v>1922</v>
      </c>
      <c r="B10345" t="s">
        <v>1130</v>
      </c>
    </row>
    <row r="10346" spans="1:2" x14ac:dyDescent="0.25">
      <c r="A10346" t="s">
        <v>1922</v>
      </c>
      <c r="B10346" t="s">
        <v>1130</v>
      </c>
    </row>
    <row r="10347" spans="1:2" x14ac:dyDescent="0.25">
      <c r="A10347" t="s">
        <v>1922</v>
      </c>
      <c r="B10347" t="s">
        <v>1131</v>
      </c>
    </row>
    <row r="10348" spans="1:2" x14ac:dyDescent="0.25">
      <c r="A10348" t="s">
        <v>1922</v>
      </c>
      <c r="B10348" t="s">
        <v>1131</v>
      </c>
    </row>
    <row r="10349" spans="1:2" x14ac:dyDescent="0.25">
      <c r="A10349" t="s">
        <v>1922</v>
      </c>
      <c r="B10349" t="s">
        <v>1132</v>
      </c>
    </row>
    <row r="10350" spans="1:2" x14ac:dyDescent="0.25">
      <c r="A10350" t="s">
        <v>1922</v>
      </c>
      <c r="B10350" t="s">
        <v>1132</v>
      </c>
    </row>
    <row r="10351" spans="1:2" x14ac:dyDescent="0.25">
      <c r="A10351" t="s">
        <v>1922</v>
      </c>
      <c r="B10351" t="s">
        <v>1133</v>
      </c>
    </row>
    <row r="10352" spans="1:2" x14ac:dyDescent="0.25">
      <c r="A10352" t="s">
        <v>1922</v>
      </c>
      <c r="B10352" t="s">
        <v>1134</v>
      </c>
    </row>
    <row r="10353" spans="1:2" x14ac:dyDescent="0.25">
      <c r="A10353" t="s">
        <v>1922</v>
      </c>
      <c r="B10353" t="s">
        <v>1137</v>
      </c>
    </row>
    <row r="10354" spans="1:2" x14ac:dyDescent="0.25">
      <c r="A10354" t="s">
        <v>1922</v>
      </c>
      <c r="B10354" t="s">
        <v>1138</v>
      </c>
    </row>
    <row r="10355" spans="1:2" x14ac:dyDescent="0.25">
      <c r="A10355" t="s">
        <v>1922</v>
      </c>
      <c r="B10355" t="s">
        <v>1145</v>
      </c>
    </row>
    <row r="10356" spans="1:2" x14ac:dyDescent="0.25">
      <c r="A10356" t="s">
        <v>1922</v>
      </c>
      <c r="B10356" t="s">
        <v>1154</v>
      </c>
    </row>
    <row r="10357" spans="1:2" x14ac:dyDescent="0.25">
      <c r="A10357" t="s">
        <v>1922</v>
      </c>
      <c r="B10357" t="s">
        <v>1157</v>
      </c>
    </row>
    <row r="10358" spans="1:2" x14ac:dyDescent="0.25">
      <c r="A10358" t="s">
        <v>1922</v>
      </c>
      <c r="B10358" t="s">
        <v>1158</v>
      </c>
    </row>
    <row r="10359" spans="1:2" x14ac:dyDescent="0.25">
      <c r="A10359" t="s">
        <v>1922</v>
      </c>
      <c r="B10359" t="s">
        <v>1159</v>
      </c>
    </row>
    <row r="10360" spans="1:2" x14ac:dyDescent="0.25">
      <c r="A10360" t="s">
        <v>1922</v>
      </c>
      <c r="B10360" t="s">
        <v>1180</v>
      </c>
    </row>
    <row r="10361" spans="1:2" x14ac:dyDescent="0.25">
      <c r="A10361" t="s">
        <v>1922</v>
      </c>
      <c r="B10361" t="s">
        <v>1181</v>
      </c>
    </row>
    <row r="10362" spans="1:2" x14ac:dyDescent="0.25">
      <c r="A10362" t="s">
        <v>1922</v>
      </c>
      <c r="B10362" t="s">
        <v>1182</v>
      </c>
    </row>
    <row r="10363" spans="1:2" x14ac:dyDescent="0.25">
      <c r="A10363" t="s">
        <v>1922</v>
      </c>
      <c r="B10363" t="s">
        <v>1183</v>
      </c>
    </row>
    <row r="10364" spans="1:2" x14ac:dyDescent="0.25">
      <c r="A10364" t="s">
        <v>1922</v>
      </c>
      <c r="B10364" t="s">
        <v>1184</v>
      </c>
    </row>
    <row r="10365" spans="1:2" x14ac:dyDescent="0.25">
      <c r="A10365" t="s">
        <v>1922</v>
      </c>
      <c r="B10365" t="s">
        <v>1185</v>
      </c>
    </row>
    <row r="10366" spans="1:2" x14ac:dyDescent="0.25">
      <c r="A10366" t="s">
        <v>1741</v>
      </c>
      <c r="B10366" t="s">
        <v>1102</v>
      </c>
    </row>
    <row r="10367" spans="1:2" x14ac:dyDescent="0.25">
      <c r="A10367" t="s">
        <v>1741</v>
      </c>
      <c r="B10367" t="s">
        <v>1110</v>
      </c>
    </row>
    <row r="10368" spans="1:2" x14ac:dyDescent="0.25">
      <c r="A10368" t="s">
        <v>1741</v>
      </c>
      <c r="B10368" t="s">
        <v>1112</v>
      </c>
    </row>
    <row r="10369" spans="1:2" x14ac:dyDescent="0.25">
      <c r="A10369" t="s">
        <v>1741</v>
      </c>
      <c r="B10369" t="s">
        <v>1130</v>
      </c>
    </row>
    <row r="10370" spans="1:2" x14ac:dyDescent="0.25">
      <c r="A10370" t="s">
        <v>1741</v>
      </c>
      <c r="B10370" t="s">
        <v>1131</v>
      </c>
    </row>
    <row r="10371" spans="1:2" x14ac:dyDescent="0.25">
      <c r="A10371" t="s">
        <v>1741</v>
      </c>
      <c r="B10371" t="s">
        <v>1132</v>
      </c>
    </row>
    <row r="10372" spans="1:2" x14ac:dyDescent="0.25">
      <c r="A10372" t="s">
        <v>1741</v>
      </c>
      <c r="B10372" t="s">
        <v>1132</v>
      </c>
    </row>
    <row r="10373" spans="1:2" x14ac:dyDescent="0.25">
      <c r="A10373" t="s">
        <v>1741</v>
      </c>
      <c r="B10373" t="s">
        <v>1134</v>
      </c>
    </row>
    <row r="10374" spans="1:2" x14ac:dyDescent="0.25">
      <c r="A10374" t="s">
        <v>1741</v>
      </c>
      <c r="B10374" t="s">
        <v>1137</v>
      </c>
    </row>
    <row r="10375" spans="1:2" x14ac:dyDescent="0.25">
      <c r="A10375" t="s">
        <v>1741</v>
      </c>
      <c r="B10375" t="s">
        <v>1137</v>
      </c>
    </row>
    <row r="10376" spans="1:2" x14ac:dyDescent="0.25">
      <c r="A10376" t="s">
        <v>1741</v>
      </c>
      <c r="B10376" t="s">
        <v>1138</v>
      </c>
    </row>
    <row r="10377" spans="1:2" x14ac:dyDescent="0.25">
      <c r="A10377" t="s">
        <v>1741</v>
      </c>
      <c r="B10377" t="s">
        <v>1145</v>
      </c>
    </row>
    <row r="10378" spans="1:2" x14ac:dyDescent="0.25">
      <c r="A10378" t="s">
        <v>1741</v>
      </c>
      <c r="B10378" t="s">
        <v>1154</v>
      </c>
    </row>
    <row r="10379" spans="1:2" x14ac:dyDescent="0.25">
      <c r="A10379" t="s">
        <v>1741</v>
      </c>
      <c r="B10379" t="s">
        <v>1166</v>
      </c>
    </row>
    <row r="10380" spans="1:2" x14ac:dyDescent="0.25">
      <c r="A10380" t="s">
        <v>1741</v>
      </c>
      <c r="B10380" t="s">
        <v>1167</v>
      </c>
    </row>
    <row r="10381" spans="1:2" x14ac:dyDescent="0.25">
      <c r="A10381" t="s">
        <v>1741</v>
      </c>
      <c r="B10381" t="s">
        <v>1168</v>
      </c>
    </row>
    <row r="10382" spans="1:2" x14ac:dyDescent="0.25">
      <c r="A10382" t="s">
        <v>1741</v>
      </c>
      <c r="B10382" t="s">
        <v>1169</v>
      </c>
    </row>
    <row r="10383" spans="1:2" x14ac:dyDescent="0.25">
      <c r="A10383" t="s">
        <v>1741</v>
      </c>
      <c r="B10383" t="s">
        <v>1170</v>
      </c>
    </row>
    <row r="10384" spans="1:2" x14ac:dyDescent="0.25">
      <c r="A10384" t="s">
        <v>1741</v>
      </c>
      <c r="B10384" t="s">
        <v>1171</v>
      </c>
    </row>
    <row r="10385" spans="1:2" x14ac:dyDescent="0.25">
      <c r="A10385" t="s">
        <v>1741</v>
      </c>
      <c r="B10385" t="s">
        <v>1171</v>
      </c>
    </row>
    <row r="10386" spans="1:2" x14ac:dyDescent="0.25">
      <c r="A10386" t="s">
        <v>1741</v>
      </c>
      <c r="B10386" t="s">
        <v>1180</v>
      </c>
    </row>
    <row r="10387" spans="1:2" x14ac:dyDescent="0.25">
      <c r="A10387" t="s">
        <v>1741</v>
      </c>
      <c r="B10387" t="s">
        <v>1181</v>
      </c>
    </row>
    <row r="10388" spans="1:2" x14ac:dyDescent="0.25">
      <c r="A10388" t="s">
        <v>1741</v>
      </c>
      <c r="B10388" t="s">
        <v>1182</v>
      </c>
    </row>
    <row r="10389" spans="1:2" x14ac:dyDescent="0.25">
      <c r="A10389" t="s">
        <v>1741</v>
      </c>
      <c r="B10389" t="s">
        <v>1183</v>
      </c>
    </row>
    <row r="10390" spans="1:2" x14ac:dyDescent="0.25">
      <c r="A10390" t="s">
        <v>1741</v>
      </c>
      <c r="B10390" t="s">
        <v>1184</v>
      </c>
    </row>
    <row r="10391" spans="1:2" x14ac:dyDescent="0.25">
      <c r="A10391" t="s">
        <v>1741</v>
      </c>
      <c r="B10391" t="s">
        <v>1185</v>
      </c>
    </row>
    <row r="10392" spans="1:2" x14ac:dyDescent="0.25">
      <c r="A10392" t="s">
        <v>1741</v>
      </c>
      <c r="B10392" t="s">
        <v>1197</v>
      </c>
    </row>
    <row r="10393" spans="1:2" x14ac:dyDescent="0.25">
      <c r="A10393" t="s">
        <v>1741</v>
      </c>
      <c r="B10393" t="s">
        <v>1198</v>
      </c>
    </row>
    <row r="10394" spans="1:2" x14ac:dyDescent="0.25">
      <c r="A10394" t="s">
        <v>1741</v>
      </c>
      <c r="B10394" t="s">
        <v>1201</v>
      </c>
    </row>
    <row r="10395" spans="1:2" x14ac:dyDescent="0.25">
      <c r="A10395" t="s">
        <v>1741</v>
      </c>
      <c r="B10395" t="s">
        <v>1206</v>
      </c>
    </row>
    <row r="10396" spans="1:2" x14ac:dyDescent="0.25">
      <c r="A10396" t="s">
        <v>1741</v>
      </c>
      <c r="B10396" t="s">
        <v>1225</v>
      </c>
    </row>
    <row r="10397" spans="1:2" x14ac:dyDescent="0.25">
      <c r="A10397" t="s">
        <v>1741</v>
      </c>
      <c r="B10397" t="s">
        <v>1225</v>
      </c>
    </row>
    <row r="10398" spans="1:2" x14ac:dyDescent="0.25">
      <c r="A10398" t="s">
        <v>2031</v>
      </c>
      <c r="B10398" t="s">
        <v>1133</v>
      </c>
    </row>
    <row r="10399" spans="1:2" x14ac:dyDescent="0.25">
      <c r="A10399" t="s">
        <v>2032</v>
      </c>
      <c r="B10399" t="s">
        <v>1133</v>
      </c>
    </row>
    <row r="10400" spans="1:2" x14ac:dyDescent="0.25">
      <c r="A10400" t="s">
        <v>2033</v>
      </c>
      <c r="B10400" t="s">
        <v>1133</v>
      </c>
    </row>
    <row r="10401" spans="1:2" x14ac:dyDescent="0.25">
      <c r="A10401" t="s">
        <v>2034</v>
      </c>
      <c r="B10401" t="s">
        <v>1133</v>
      </c>
    </row>
    <row r="10402" spans="1:2" x14ac:dyDescent="0.25">
      <c r="A10402" t="s">
        <v>2035</v>
      </c>
      <c r="B10402" t="s">
        <v>1133</v>
      </c>
    </row>
    <row r="10403" spans="1:2" x14ac:dyDescent="0.25">
      <c r="A10403" t="s">
        <v>1869</v>
      </c>
      <c r="B10403" t="s">
        <v>1112</v>
      </c>
    </row>
    <row r="10404" spans="1:2" x14ac:dyDescent="0.25">
      <c r="A10404" t="s">
        <v>1869</v>
      </c>
      <c r="B10404" t="s">
        <v>1113</v>
      </c>
    </row>
    <row r="10405" spans="1:2" x14ac:dyDescent="0.25">
      <c r="A10405" t="s">
        <v>1869</v>
      </c>
      <c r="B10405" t="s">
        <v>1114</v>
      </c>
    </row>
    <row r="10406" spans="1:2" x14ac:dyDescent="0.25">
      <c r="A10406" t="s">
        <v>1869</v>
      </c>
      <c r="B10406" t="s">
        <v>1114</v>
      </c>
    </row>
    <row r="10407" spans="1:2" x14ac:dyDescent="0.25">
      <c r="A10407" t="s">
        <v>1869</v>
      </c>
      <c r="B10407" t="s">
        <v>1115</v>
      </c>
    </row>
    <row r="10408" spans="1:2" x14ac:dyDescent="0.25">
      <c r="A10408" t="s">
        <v>1869</v>
      </c>
      <c r="B10408" t="s">
        <v>1166</v>
      </c>
    </row>
    <row r="10409" spans="1:2" x14ac:dyDescent="0.25">
      <c r="A10409" t="s">
        <v>1869</v>
      </c>
      <c r="B10409" t="s">
        <v>1167</v>
      </c>
    </row>
    <row r="10410" spans="1:2" x14ac:dyDescent="0.25">
      <c r="A10410" t="s">
        <v>1869</v>
      </c>
      <c r="B10410" t="s">
        <v>1168</v>
      </c>
    </row>
    <row r="10411" spans="1:2" x14ac:dyDescent="0.25">
      <c r="A10411" t="s">
        <v>1869</v>
      </c>
      <c r="B10411" t="s">
        <v>1186</v>
      </c>
    </row>
    <row r="10412" spans="1:2" x14ac:dyDescent="0.25">
      <c r="A10412" t="s">
        <v>1869</v>
      </c>
      <c r="B10412" t="s">
        <v>1189</v>
      </c>
    </row>
    <row r="10413" spans="1:2" x14ac:dyDescent="0.25">
      <c r="A10413" t="s">
        <v>2265</v>
      </c>
      <c r="B10413" t="s">
        <v>1187</v>
      </c>
    </row>
    <row r="10414" spans="1:2" x14ac:dyDescent="0.25">
      <c r="A10414" t="s">
        <v>2265</v>
      </c>
      <c r="B10414" t="s">
        <v>1188</v>
      </c>
    </row>
    <row r="10415" spans="1:2" x14ac:dyDescent="0.25">
      <c r="A10415" t="s">
        <v>2265</v>
      </c>
      <c r="B10415" t="s">
        <v>1195</v>
      </c>
    </row>
    <row r="10416" spans="1:2" x14ac:dyDescent="0.25">
      <c r="A10416" t="s">
        <v>2265</v>
      </c>
      <c r="B10416" t="s">
        <v>1196</v>
      </c>
    </row>
    <row r="10417" spans="1:2" x14ac:dyDescent="0.25">
      <c r="A10417" t="s">
        <v>2360</v>
      </c>
      <c r="B10417" t="s">
        <v>1250</v>
      </c>
    </row>
    <row r="10418" spans="1:2" x14ac:dyDescent="0.25">
      <c r="A10418" t="s">
        <v>2361</v>
      </c>
      <c r="B10418" t="s">
        <v>1250</v>
      </c>
    </row>
    <row r="10419" spans="1:2" x14ac:dyDescent="0.25">
      <c r="A10419" t="s">
        <v>2118</v>
      </c>
      <c r="B10419" t="s">
        <v>1140</v>
      </c>
    </row>
    <row r="10420" spans="1:2" x14ac:dyDescent="0.25">
      <c r="A10420" t="s">
        <v>2118</v>
      </c>
      <c r="B10420" t="s">
        <v>1141</v>
      </c>
    </row>
    <row r="10421" spans="1:2" x14ac:dyDescent="0.25">
      <c r="A10421" t="s">
        <v>2118</v>
      </c>
      <c r="B10421" t="s">
        <v>1142</v>
      </c>
    </row>
    <row r="10422" spans="1:2" x14ac:dyDescent="0.25">
      <c r="A10422" t="s">
        <v>2118</v>
      </c>
      <c r="B10422" t="s">
        <v>1150</v>
      </c>
    </row>
    <row r="10423" spans="1:2" x14ac:dyDescent="0.25">
      <c r="A10423" t="s">
        <v>2118</v>
      </c>
      <c r="B10423" t="s">
        <v>1151</v>
      </c>
    </row>
    <row r="10424" spans="1:2" x14ac:dyDescent="0.25">
      <c r="A10424" t="s">
        <v>2118</v>
      </c>
      <c r="B10424" t="s">
        <v>1179</v>
      </c>
    </row>
    <row r="10425" spans="1:2" x14ac:dyDescent="0.25">
      <c r="A10425" t="s">
        <v>2118</v>
      </c>
      <c r="B10425" t="s">
        <v>1205</v>
      </c>
    </row>
    <row r="10426" spans="1:2" x14ac:dyDescent="0.25">
      <c r="A10426" t="s">
        <v>2118</v>
      </c>
      <c r="B10426" t="s">
        <v>1206</v>
      </c>
    </row>
    <row r="10427" spans="1:2" x14ac:dyDescent="0.25">
      <c r="A10427" t="s">
        <v>2118</v>
      </c>
      <c r="B10427" t="s">
        <v>1207</v>
      </c>
    </row>
    <row r="10428" spans="1:2" x14ac:dyDescent="0.25">
      <c r="A10428" t="s">
        <v>2118</v>
      </c>
      <c r="B10428" t="s">
        <v>1208</v>
      </c>
    </row>
    <row r="10429" spans="1:2" x14ac:dyDescent="0.25">
      <c r="A10429" t="s">
        <v>2118</v>
      </c>
      <c r="B10429" t="s">
        <v>1232</v>
      </c>
    </row>
    <row r="10430" spans="1:2" x14ac:dyDescent="0.25">
      <c r="A10430" t="s">
        <v>2118</v>
      </c>
      <c r="B10430" t="s">
        <v>1233</v>
      </c>
    </row>
    <row r="10431" spans="1:2" x14ac:dyDescent="0.25">
      <c r="A10431" t="s">
        <v>2118</v>
      </c>
      <c r="B10431" t="s">
        <v>1234</v>
      </c>
    </row>
    <row r="10432" spans="1:2" x14ac:dyDescent="0.25">
      <c r="A10432" t="s">
        <v>2118</v>
      </c>
      <c r="B10432" t="s">
        <v>1235</v>
      </c>
    </row>
    <row r="10433" spans="1:2" x14ac:dyDescent="0.25">
      <c r="A10433" t="s">
        <v>2118</v>
      </c>
      <c r="B10433" t="s">
        <v>1236</v>
      </c>
    </row>
    <row r="10434" spans="1:2" x14ac:dyDescent="0.25">
      <c r="A10434" t="s">
        <v>2118</v>
      </c>
      <c r="B10434" t="s">
        <v>1237</v>
      </c>
    </row>
    <row r="10435" spans="1:2" x14ac:dyDescent="0.25">
      <c r="A10435" t="s">
        <v>2118</v>
      </c>
      <c r="B10435" t="s">
        <v>1238</v>
      </c>
    </row>
    <row r="10436" spans="1:2" x14ac:dyDescent="0.25">
      <c r="A10436" t="s">
        <v>2118</v>
      </c>
      <c r="B10436" t="s">
        <v>1239</v>
      </c>
    </row>
    <row r="10437" spans="1:2" x14ac:dyDescent="0.25">
      <c r="A10437" t="s">
        <v>2118</v>
      </c>
      <c r="B10437" t="s">
        <v>1240</v>
      </c>
    </row>
    <row r="10438" spans="1:2" x14ac:dyDescent="0.25">
      <c r="A10438" t="s">
        <v>2118</v>
      </c>
      <c r="B10438" t="s">
        <v>1241</v>
      </c>
    </row>
    <row r="10439" spans="1:2" x14ac:dyDescent="0.25">
      <c r="A10439" t="s">
        <v>2118</v>
      </c>
      <c r="B10439" t="s">
        <v>1242</v>
      </c>
    </row>
    <row r="10440" spans="1:2" x14ac:dyDescent="0.25">
      <c r="A10440" t="s">
        <v>2118</v>
      </c>
      <c r="B10440" t="s">
        <v>1243</v>
      </c>
    </row>
    <row r="10441" spans="1:2" x14ac:dyDescent="0.25">
      <c r="A10441" t="s">
        <v>2118</v>
      </c>
      <c r="B10441" t="s">
        <v>1244</v>
      </c>
    </row>
    <row r="10442" spans="1:2" x14ac:dyDescent="0.25">
      <c r="A10442" t="s">
        <v>2118</v>
      </c>
      <c r="B10442" t="s">
        <v>1245</v>
      </c>
    </row>
    <row r="10443" spans="1:2" x14ac:dyDescent="0.25">
      <c r="A10443" t="s">
        <v>2118</v>
      </c>
      <c r="B10443" t="s">
        <v>1246</v>
      </c>
    </row>
    <row r="10444" spans="1:2" x14ac:dyDescent="0.25">
      <c r="A10444" t="s">
        <v>2118</v>
      </c>
      <c r="B10444" t="s">
        <v>1247</v>
      </c>
    </row>
    <row r="10445" spans="1:2" x14ac:dyDescent="0.25">
      <c r="A10445" t="s">
        <v>2118</v>
      </c>
      <c r="B10445" t="s">
        <v>1248</v>
      </c>
    </row>
    <row r="10446" spans="1:2" x14ac:dyDescent="0.25">
      <c r="A10446" t="s">
        <v>2118</v>
      </c>
      <c r="B10446" t="s">
        <v>1249</v>
      </c>
    </row>
    <row r="10447" spans="1:2" x14ac:dyDescent="0.25">
      <c r="A10447" t="s">
        <v>2118</v>
      </c>
      <c r="B10447" t="s">
        <v>1250</v>
      </c>
    </row>
    <row r="10448" spans="1:2" x14ac:dyDescent="0.25">
      <c r="A10448" t="s">
        <v>2119</v>
      </c>
      <c r="B10448" t="s">
        <v>1140</v>
      </c>
    </row>
    <row r="10449" spans="1:2" x14ac:dyDescent="0.25">
      <c r="A10449" t="s">
        <v>2119</v>
      </c>
      <c r="B10449" t="s">
        <v>1141</v>
      </c>
    </row>
    <row r="10450" spans="1:2" x14ac:dyDescent="0.25">
      <c r="A10450" t="s">
        <v>2119</v>
      </c>
      <c r="B10450" t="s">
        <v>1142</v>
      </c>
    </row>
    <row r="10451" spans="1:2" x14ac:dyDescent="0.25">
      <c r="A10451" t="s">
        <v>2119</v>
      </c>
      <c r="B10451" t="s">
        <v>1150</v>
      </c>
    </row>
    <row r="10452" spans="1:2" x14ac:dyDescent="0.25">
      <c r="A10452" t="s">
        <v>2119</v>
      </c>
      <c r="B10452" t="s">
        <v>1151</v>
      </c>
    </row>
    <row r="10453" spans="1:2" x14ac:dyDescent="0.25">
      <c r="A10453" t="s">
        <v>2119</v>
      </c>
      <c r="B10453" t="s">
        <v>1179</v>
      </c>
    </row>
    <row r="10454" spans="1:2" x14ac:dyDescent="0.25">
      <c r="A10454" t="s">
        <v>2119</v>
      </c>
      <c r="B10454" t="s">
        <v>1205</v>
      </c>
    </row>
    <row r="10455" spans="1:2" x14ac:dyDescent="0.25">
      <c r="A10455" t="s">
        <v>2119</v>
      </c>
      <c r="B10455" t="s">
        <v>1206</v>
      </c>
    </row>
    <row r="10456" spans="1:2" x14ac:dyDescent="0.25">
      <c r="A10456" t="s">
        <v>2119</v>
      </c>
      <c r="B10456" t="s">
        <v>1207</v>
      </c>
    </row>
    <row r="10457" spans="1:2" x14ac:dyDescent="0.25">
      <c r="A10457" t="s">
        <v>2119</v>
      </c>
      <c r="B10457" t="s">
        <v>1208</v>
      </c>
    </row>
    <row r="10458" spans="1:2" x14ac:dyDescent="0.25">
      <c r="A10458" t="s">
        <v>2119</v>
      </c>
      <c r="B10458" t="s">
        <v>1232</v>
      </c>
    </row>
    <row r="10459" spans="1:2" x14ac:dyDescent="0.25">
      <c r="A10459" t="s">
        <v>2119</v>
      </c>
      <c r="B10459" t="s">
        <v>1233</v>
      </c>
    </row>
    <row r="10460" spans="1:2" x14ac:dyDescent="0.25">
      <c r="A10460" t="s">
        <v>2119</v>
      </c>
      <c r="B10460" t="s">
        <v>1234</v>
      </c>
    </row>
    <row r="10461" spans="1:2" x14ac:dyDescent="0.25">
      <c r="A10461" t="s">
        <v>2119</v>
      </c>
      <c r="B10461" t="s">
        <v>1235</v>
      </c>
    </row>
    <row r="10462" spans="1:2" x14ac:dyDescent="0.25">
      <c r="A10462" t="s">
        <v>2119</v>
      </c>
      <c r="B10462" t="s">
        <v>1236</v>
      </c>
    </row>
    <row r="10463" spans="1:2" x14ac:dyDescent="0.25">
      <c r="A10463" t="s">
        <v>2119</v>
      </c>
      <c r="B10463" t="s">
        <v>1237</v>
      </c>
    </row>
    <row r="10464" spans="1:2" x14ac:dyDescent="0.25">
      <c r="A10464" t="s">
        <v>2119</v>
      </c>
      <c r="B10464" t="s">
        <v>1238</v>
      </c>
    </row>
    <row r="10465" spans="1:2" x14ac:dyDescent="0.25">
      <c r="A10465" t="s">
        <v>2119</v>
      </c>
      <c r="B10465" t="s">
        <v>1239</v>
      </c>
    </row>
    <row r="10466" spans="1:2" x14ac:dyDescent="0.25">
      <c r="A10466" t="s">
        <v>2119</v>
      </c>
      <c r="B10466" t="s">
        <v>1240</v>
      </c>
    </row>
    <row r="10467" spans="1:2" x14ac:dyDescent="0.25">
      <c r="A10467" t="s">
        <v>2119</v>
      </c>
      <c r="B10467" t="s">
        <v>1241</v>
      </c>
    </row>
    <row r="10468" spans="1:2" x14ac:dyDescent="0.25">
      <c r="A10468" t="s">
        <v>2119</v>
      </c>
      <c r="B10468" t="s">
        <v>1242</v>
      </c>
    </row>
    <row r="10469" spans="1:2" x14ac:dyDescent="0.25">
      <c r="A10469" t="s">
        <v>2119</v>
      </c>
      <c r="B10469" t="s">
        <v>1243</v>
      </c>
    </row>
    <row r="10470" spans="1:2" x14ac:dyDescent="0.25">
      <c r="A10470" t="s">
        <v>2119</v>
      </c>
      <c r="B10470" t="s">
        <v>1244</v>
      </c>
    </row>
    <row r="10471" spans="1:2" x14ac:dyDescent="0.25">
      <c r="A10471" t="s">
        <v>2119</v>
      </c>
      <c r="B10471" t="s">
        <v>1245</v>
      </c>
    </row>
    <row r="10472" spans="1:2" x14ac:dyDescent="0.25">
      <c r="A10472" t="s">
        <v>2119</v>
      </c>
      <c r="B10472" t="s">
        <v>1246</v>
      </c>
    </row>
    <row r="10473" spans="1:2" x14ac:dyDescent="0.25">
      <c r="A10473" t="s">
        <v>2119</v>
      </c>
      <c r="B10473" t="s">
        <v>1247</v>
      </c>
    </row>
    <row r="10474" spans="1:2" x14ac:dyDescent="0.25">
      <c r="A10474" t="s">
        <v>2119</v>
      </c>
      <c r="B10474" t="s">
        <v>1248</v>
      </c>
    </row>
    <row r="10475" spans="1:2" x14ac:dyDescent="0.25">
      <c r="A10475" t="s">
        <v>2119</v>
      </c>
      <c r="B10475" t="s">
        <v>1249</v>
      </c>
    </row>
    <row r="10476" spans="1:2" x14ac:dyDescent="0.25">
      <c r="A10476" t="s">
        <v>2119</v>
      </c>
      <c r="B10476" t="s">
        <v>1250</v>
      </c>
    </row>
    <row r="10477" spans="1:2" x14ac:dyDescent="0.25">
      <c r="A10477" t="s">
        <v>1613</v>
      </c>
      <c r="B10477" t="s">
        <v>1096</v>
      </c>
    </row>
    <row r="10478" spans="1:2" x14ac:dyDescent="0.25">
      <c r="A10478" t="s">
        <v>1613</v>
      </c>
      <c r="B10478" t="s">
        <v>1163</v>
      </c>
    </row>
    <row r="10479" spans="1:2" x14ac:dyDescent="0.25">
      <c r="A10479" t="s">
        <v>1613</v>
      </c>
      <c r="B10479" t="s">
        <v>1168</v>
      </c>
    </row>
    <row r="10480" spans="1:2" x14ac:dyDescent="0.25">
      <c r="A10480" t="s">
        <v>1613</v>
      </c>
      <c r="B10480" t="s">
        <v>1170</v>
      </c>
    </row>
    <row r="10481" spans="1:2" x14ac:dyDescent="0.25">
      <c r="A10481" t="s">
        <v>1613</v>
      </c>
      <c r="B10481" t="s">
        <v>1196</v>
      </c>
    </row>
    <row r="10482" spans="1:2" x14ac:dyDescent="0.25">
      <c r="A10482" t="s">
        <v>1613</v>
      </c>
      <c r="B10482" t="s">
        <v>1241</v>
      </c>
    </row>
    <row r="10483" spans="1:2" x14ac:dyDescent="0.25">
      <c r="A10483" t="s">
        <v>1793</v>
      </c>
      <c r="B10483" t="s">
        <v>1107</v>
      </c>
    </row>
    <row r="10484" spans="1:2" x14ac:dyDescent="0.25">
      <c r="A10484" t="s">
        <v>1793</v>
      </c>
      <c r="B10484" t="s">
        <v>1142</v>
      </c>
    </row>
    <row r="10485" spans="1:2" x14ac:dyDescent="0.25">
      <c r="A10485" t="s">
        <v>1793</v>
      </c>
      <c r="B10485" t="s">
        <v>1148</v>
      </c>
    </row>
    <row r="10486" spans="1:2" x14ac:dyDescent="0.25">
      <c r="A10486" t="s">
        <v>1793</v>
      </c>
      <c r="B10486" t="s">
        <v>1168</v>
      </c>
    </row>
    <row r="10487" spans="1:2" x14ac:dyDescent="0.25">
      <c r="A10487" t="s">
        <v>1793</v>
      </c>
      <c r="B10487" t="s">
        <v>1178</v>
      </c>
    </row>
    <row r="10488" spans="1:2" x14ac:dyDescent="0.25">
      <c r="A10488" t="s">
        <v>1793</v>
      </c>
      <c r="B10488" t="s">
        <v>1202</v>
      </c>
    </row>
    <row r="10489" spans="1:2" x14ac:dyDescent="0.25">
      <c r="A10489" t="s">
        <v>2227</v>
      </c>
      <c r="B10489" t="s">
        <v>1166</v>
      </c>
    </row>
    <row r="10490" spans="1:2" x14ac:dyDescent="0.25">
      <c r="A10490" t="s">
        <v>2227</v>
      </c>
      <c r="B10490" t="s">
        <v>1167</v>
      </c>
    </row>
    <row r="10491" spans="1:2" x14ac:dyDescent="0.25">
      <c r="A10491" t="s">
        <v>2227</v>
      </c>
      <c r="B10491" t="s">
        <v>1168</v>
      </c>
    </row>
    <row r="10492" spans="1:2" x14ac:dyDescent="0.25">
      <c r="A10492" t="s">
        <v>2227</v>
      </c>
      <c r="B10492" t="s">
        <v>1186</v>
      </c>
    </row>
    <row r="10493" spans="1:2" x14ac:dyDescent="0.25">
      <c r="A10493" t="s">
        <v>2227</v>
      </c>
      <c r="B10493" t="s">
        <v>1187</v>
      </c>
    </row>
    <row r="10494" spans="1:2" x14ac:dyDescent="0.25">
      <c r="A10494" t="s">
        <v>2227</v>
      </c>
      <c r="B10494" t="s">
        <v>1188</v>
      </c>
    </row>
    <row r="10495" spans="1:2" x14ac:dyDescent="0.25">
      <c r="A10495" t="s">
        <v>2227</v>
      </c>
      <c r="B10495" t="s">
        <v>1189</v>
      </c>
    </row>
    <row r="10496" spans="1:2" x14ac:dyDescent="0.25">
      <c r="A10496" t="s">
        <v>1856</v>
      </c>
      <c r="B10496" t="s">
        <v>1112</v>
      </c>
    </row>
    <row r="10497" spans="1:2" x14ac:dyDescent="0.25">
      <c r="A10497" t="s">
        <v>1856</v>
      </c>
      <c r="B10497" t="s">
        <v>1113</v>
      </c>
    </row>
    <row r="10498" spans="1:2" x14ac:dyDescent="0.25">
      <c r="A10498" t="s">
        <v>1856</v>
      </c>
      <c r="B10498" t="s">
        <v>1114</v>
      </c>
    </row>
    <row r="10499" spans="1:2" x14ac:dyDescent="0.25">
      <c r="A10499" t="s">
        <v>1856</v>
      </c>
      <c r="B10499" t="s">
        <v>1115</v>
      </c>
    </row>
    <row r="10500" spans="1:2" x14ac:dyDescent="0.25">
      <c r="A10500" t="s">
        <v>1857</v>
      </c>
      <c r="B10500" t="s">
        <v>1112</v>
      </c>
    </row>
    <row r="10501" spans="1:2" x14ac:dyDescent="0.25">
      <c r="A10501" t="s">
        <v>1857</v>
      </c>
      <c r="B10501" t="s">
        <v>1113</v>
      </c>
    </row>
    <row r="10502" spans="1:2" x14ac:dyDescent="0.25">
      <c r="A10502" t="s">
        <v>1857</v>
      </c>
      <c r="B10502" t="s">
        <v>1114</v>
      </c>
    </row>
    <row r="10503" spans="1:2" x14ac:dyDescent="0.25">
      <c r="A10503" t="s">
        <v>1857</v>
      </c>
      <c r="B10503" t="s">
        <v>1115</v>
      </c>
    </row>
    <row r="10504" spans="1:2" x14ac:dyDescent="0.25">
      <c r="A10504" t="s">
        <v>2253</v>
      </c>
      <c r="B10504" t="s">
        <v>1187</v>
      </c>
    </row>
    <row r="10505" spans="1:2" x14ac:dyDescent="0.25">
      <c r="A10505" t="s">
        <v>2253</v>
      </c>
      <c r="B10505" t="s">
        <v>1188</v>
      </c>
    </row>
    <row r="10506" spans="1:2" x14ac:dyDescent="0.25">
      <c r="A10506" t="s">
        <v>2253</v>
      </c>
      <c r="B10506" t="s">
        <v>1188</v>
      </c>
    </row>
    <row r="10507" spans="1:2" x14ac:dyDescent="0.25">
      <c r="A10507" t="s">
        <v>2253</v>
      </c>
      <c r="B10507" t="s">
        <v>1189</v>
      </c>
    </row>
    <row r="10508" spans="1:2" x14ac:dyDescent="0.25">
      <c r="A10508" t="s">
        <v>2253</v>
      </c>
      <c r="B10508" t="s">
        <v>1189</v>
      </c>
    </row>
    <row r="10509" spans="1:2" x14ac:dyDescent="0.25">
      <c r="A10509" t="s">
        <v>1678</v>
      </c>
      <c r="B10509" t="s">
        <v>1099</v>
      </c>
    </row>
    <row r="10510" spans="1:2" x14ac:dyDescent="0.25">
      <c r="A10510" t="s">
        <v>1678</v>
      </c>
      <c r="B10510" t="s">
        <v>1100</v>
      </c>
    </row>
    <row r="10511" spans="1:2" x14ac:dyDescent="0.25">
      <c r="A10511" t="s">
        <v>1678</v>
      </c>
      <c r="B10511" t="s">
        <v>1101</v>
      </c>
    </row>
    <row r="10512" spans="1:2" x14ac:dyDescent="0.25">
      <c r="A10512" t="s">
        <v>1678</v>
      </c>
      <c r="B10512" t="s">
        <v>1102</v>
      </c>
    </row>
    <row r="10513" spans="1:2" x14ac:dyDescent="0.25">
      <c r="A10513" t="s">
        <v>1678</v>
      </c>
      <c r="B10513" t="s">
        <v>1103</v>
      </c>
    </row>
    <row r="10514" spans="1:2" x14ac:dyDescent="0.25">
      <c r="A10514" t="s">
        <v>1678</v>
      </c>
      <c r="B10514" t="s">
        <v>1104</v>
      </c>
    </row>
    <row r="10515" spans="1:2" x14ac:dyDescent="0.25">
      <c r="A10515" t="s">
        <v>1678</v>
      </c>
      <c r="B10515" t="s">
        <v>1105</v>
      </c>
    </row>
    <row r="10516" spans="1:2" x14ac:dyDescent="0.25">
      <c r="A10516" t="s">
        <v>1678</v>
      </c>
      <c r="B10516" t="s">
        <v>1164</v>
      </c>
    </row>
    <row r="10517" spans="1:2" x14ac:dyDescent="0.25">
      <c r="A10517" t="s">
        <v>1677</v>
      </c>
      <c r="B10517" t="s">
        <v>1099</v>
      </c>
    </row>
    <row r="10518" spans="1:2" x14ac:dyDescent="0.25">
      <c r="A10518" t="s">
        <v>1677</v>
      </c>
      <c r="B10518" t="s">
        <v>1100</v>
      </c>
    </row>
    <row r="10519" spans="1:2" x14ac:dyDescent="0.25">
      <c r="A10519" t="s">
        <v>1677</v>
      </c>
      <c r="B10519" t="s">
        <v>1101</v>
      </c>
    </row>
    <row r="10520" spans="1:2" x14ac:dyDescent="0.25">
      <c r="A10520" t="s">
        <v>1677</v>
      </c>
      <c r="B10520" t="s">
        <v>1102</v>
      </c>
    </row>
    <row r="10521" spans="1:2" x14ac:dyDescent="0.25">
      <c r="A10521" t="s">
        <v>1677</v>
      </c>
      <c r="B10521" t="s">
        <v>1103</v>
      </c>
    </row>
    <row r="10522" spans="1:2" x14ac:dyDescent="0.25">
      <c r="A10522" t="s">
        <v>1677</v>
      </c>
      <c r="B10522" t="s">
        <v>1104</v>
      </c>
    </row>
    <row r="10523" spans="1:2" x14ac:dyDescent="0.25">
      <c r="A10523" t="s">
        <v>1677</v>
      </c>
      <c r="B10523" t="s">
        <v>1105</v>
      </c>
    </row>
    <row r="10524" spans="1:2" x14ac:dyDescent="0.25">
      <c r="A10524" t="s">
        <v>1677</v>
      </c>
      <c r="B10524" t="s">
        <v>1164</v>
      </c>
    </row>
    <row r="10525" spans="1:2" x14ac:dyDescent="0.25">
      <c r="A10525" t="s">
        <v>2231</v>
      </c>
      <c r="B10525" t="s">
        <v>1167</v>
      </c>
    </row>
    <row r="10526" spans="1:2" x14ac:dyDescent="0.25">
      <c r="A10526" t="s">
        <v>2231</v>
      </c>
      <c r="B10526" t="s">
        <v>1168</v>
      </c>
    </row>
    <row r="10527" spans="1:2" x14ac:dyDescent="0.25">
      <c r="A10527" t="s">
        <v>2231</v>
      </c>
      <c r="B10527" t="s">
        <v>1196</v>
      </c>
    </row>
    <row r="10528" spans="1:2" x14ac:dyDescent="0.25">
      <c r="A10528" t="s">
        <v>1676</v>
      </c>
      <c r="B10528" t="s">
        <v>1099</v>
      </c>
    </row>
    <row r="10529" spans="1:2" x14ac:dyDescent="0.25">
      <c r="A10529" t="s">
        <v>1676</v>
      </c>
      <c r="B10529" t="s">
        <v>1100</v>
      </c>
    </row>
    <row r="10530" spans="1:2" x14ac:dyDescent="0.25">
      <c r="A10530" t="s">
        <v>1676</v>
      </c>
      <c r="B10530" t="s">
        <v>1101</v>
      </c>
    </row>
    <row r="10531" spans="1:2" x14ac:dyDescent="0.25">
      <c r="A10531" t="s">
        <v>1676</v>
      </c>
      <c r="B10531" t="s">
        <v>1102</v>
      </c>
    </row>
    <row r="10532" spans="1:2" x14ac:dyDescent="0.25">
      <c r="A10532" t="s">
        <v>1676</v>
      </c>
      <c r="B10532" t="s">
        <v>1103</v>
      </c>
    </row>
    <row r="10533" spans="1:2" x14ac:dyDescent="0.25">
      <c r="A10533" t="s">
        <v>1676</v>
      </c>
      <c r="B10533" t="s">
        <v>1104</v>
      </c>
    </row>
    <row r="10534" spans="1:2" x14ac:dyDescent="0.25">
      <c r="A10534" t="s">
        <v>1676</v>
      </c>
      <c r="B10534" t="s">
        <v>1105</v>
      </c>
    </row>
    <row r="10535" spans="1:2" x14ac:dyDescent="0.25">
      <c r="A10535" t="s">
        <v>1676</v>
      </c>
      <c r="B10535" t="s">
        <v>1164</v>
      </c>
    </row>
    <row r="10536" spans="1:2" x14ac:dyDescent="0.25">
      <c r="A10536" t="s">
        <v>1968</v>
      </c>
      <c r="B10536" t="s">
        <v>1114</v>
      </c>
    </row>
    <row r="10537" spans="1:2" x14ac:dyDescent="0.25">
      <c r="A10537" t="s">
        <v>1968</v>
      </c>
      <c r="B10537" t="s">
        <v>1195</v>
      </c>
    </row>
    <row r="10538" spans="1:2" x14ac:dyDescent="0.25">
      <c r="A10538" t="s">
        <v>1968</v>
      </c>
      <c r="B10538" t="s">
        <v>1196</v>
      </c>
    </row>
    <row r="10539" spans="1:2" x14ac:dyDescent="0.25">
      <c r="A10539" t="s">
        <v>2280</v>
      </c>
      <c r="B10539" t="s">
        <v>1195</v>
      </c>
    </row>
    <row r="10540" spans="1:2" x14ac:dyDescent="0.25">
      <c r="A10540" t="s">
        <v>2280</v>
      </c>
      <c r="B10540" t="s">
        <v>1196</v>
      </c>
    </row>
    <row r="10541" spans="1:2" x14ac:dyDescent="0.25">
      <c r="A10541" t="s">
        <v>2342</v>
      </c>
      <c r="B10541" t="s">
        <v>1235</v>
      </c>
    </row>
    <row r="10542" spans="1:2" x14ac:dyDescent="0.25">
      <c r="A10542" t="s">
        <v>2342</v>
      </c>
      <c r="B10542" t="s">
        <v>1236</v>
      </c>
    </row>
    <row r="10543" spans="1:2" x14ac:dyDescent="0.25">
      <c r="A10543" t="s">
        <v>2342</v>
      </c>
      <c r="B10543" t="s">
        <v>1237</v>
      </c>
    </row>
    <row r="10544" spans="1:2" x14ac:dyDescent="0.25">
      <c r="A10544" t="s">
        <v>2342</v>
      </c>
      <c r="B10544" t="s">
        <v>1238</v>
      </c>
    </row>
    <row r="10545" spans="1:2" x14ac:dyDescent="0.25">
      <c r="A10545" t="s">
        <v>2342</v>
      </c>
      <c r="B10545" t="s">
        <v>1239</v>
      </c>
    </row>
    <row r="10546" spans="1:2" x14ac:dyDescent="0.25">
      <c r="A10546" t="s">
        <v>2342</v>
      </c>
      <c r="B10546" t="s">
        <v>1240</v>
      </c>
    </row>
    <row r="10547" spans="1:2" x14ac:dyDescent="0.25">
      <c r="A10547" t="s">
        <v>2342</v>
      </c>
      <c r="B10547" t="s">
        <v>1241</v>
      </c>
    </row>
    <row r="10548" spans="1:2" x14ac:dyDescent="0.25">
      <c r="A10548" t="s">
        <v>2342</v>
      </c>
      <c r="B10548" t="s">
        <v>1242</v>
      </c>
    </row>
    <row r="10549" spans="1:2" x14ac:dyDescent="0.25">
      <c r="A10549" t="s">
        <v>2342</v>
      </c>
      <c r="B10549" t="s">
        <v>1243</v>
      </c>
    </row>
    <row r="10550" spans="1:2" x14ac:dyDescent="0.25">
      <c r="A10550" t="s">
        <v>2342</v>
      </c>
      <c r="B10550" t="s">
        <v>1244</v>
      </c>
    </row>
    <row r="10551" spans="1:2" x14ac:dyDescent="0.25">
      <c r="A10551" t="s">
        <v>2342</v>
      </c>
      <c r="B10551" t="s">
        <v>1245</v>
      </c>
    </row>
    <row r="10552" spans="1:2" x14ac:dyDescent="0.25">
      <c r="A10552" t="s">
        <v>2342</v>
      </c>
      <c r="B10552" t="s">
        <v>1246</v>
      </c>
    </row>
    <row r="10553" spans="1:2" x14ac:dyDescent="0.25">
      <c r="A10553" t="s">
        <v>2342</v>
      </c>
      <c r="B10553" t="s">
        <v>1247</v>
      </c>
    </row>
    <row r="10554" spans="1:2" x14ac:dyDescent="0.25">
      <c r="A10554" t="s">
        <v>2342</v>
      </c>
      <c r="B10554" t="s">
        <v>1248</v>
      </c>
    </row>
    <row r="10555" spans="1:2" x14ac:dyDescent="0.25">
      <c r="A10555" t="s">
        <v>2342</v>
      </c>
      <c r="B10555" t="s">
        <v>1249</v>
      </c>
    </row>
    <row r="10556" spans="1:2" x14ac:dyDescent="0.25">
      <c r="A10556" t="s">
        <v>1612</v>
      </c>
      <c r="B10556" t="s">
        <v>1096</v>
      </c>
    </row>
    <row r="10557" spans="1:2" x14ac:dyDescent="0.25">
      <c r="A10557" t="s">
        <v>1612</v>
      </c>
      <c r="B10557" t="s">
        <v>1163</v>
      </c>
    </row>
    <row r="10558" spans="1:2" x14ac:dyDescent="0.25">
      <c r="A10558" t="s">
        <v>1612</v>
      </c>
      <c r="B10558" t="s">
        <v>1168</v>
      </c>
    </row>
    <row r="10559" spans="1:2" x14ac:dyDescent="0.25">
      <c r="A10559" t="s">
        <v>1612</v>
      </c>
      <c r="B10559" t="s">
        <v>1170</v>
      </c>
    </row>
    <row r="10560" spans="1:2" x14ac:dyDescent="0.25">
      <c r="A10560" t="s">
        <v>1612</v>
      </c>
      <c r="B10560" t="s">
        <v>1196</v>
      </c>
    </row>
    <row r="10561" spans="1:2" x14ac:dyDescent="0.25">
      <c r="A10561" t="s">
        <v>1612</v>
      </c>
      <c r="B10561" t="s">
        <v>1241</v>
      </c>
    </row>
    <row r="10562" spans="1:2" x14ac:dyDescent="0.25">
      <c r="A10562" s="11" t="s">
        <v>1444</v>
      </c>
      <c r="B10562" t="s">
        <v>1090</v>
      </c>
    </row>
    <row r="10563" spans="1:2" x14ac:dyDescent="0.25">
      <c r="A10563" t="s">
        <v>1444</v>
      </c>
      <c r="B10563" t="s">
        <v>1097</v>
      </c>
    </row>
    <row r="10564" spans="1:2" x14ac:dyDescent="0.25">
      <c r="A10564" t="s">
        <v>1444</v>
      </c>
      <c r="B10564" t="s">
        <v>1098</v>
      </c>
    </row>
    <row r="10565" spans="1:2" x14ac:dyDescent="0.25">
      <c r="A10565" t="s">
        <v>1444</v>
      </c>
      <c r="B10565" t="s">
        <v>1111</v>
      </c>
    </row>
    <row r="10566" spans="1:2" x14ac:dyDescent="0.25">
      <c r="A10566" t="s">
        <v>1444</v>
      </c>
      <c r="B10566" t="s">
        <v>1171</v>
      </c>
    </row>
    <row r="10567" spans="1:2" x14ac:dyDescent="0.25">
      <c r="A10567" t="s">
        <v>1444</v>
      </c>
      <c r="B10567" t="s">
        <v>1182</v>
      </c>
    </row>
    <row r="10568" spans="1:2" x14ac:dyDescent="0.25">
      <c r="A10568" t="s">
        <v>1444</v>
      </c>
      <c r="B10568" t="s">
        <v>1191</v>
      </c>
    </row>
    <row r="10569" spans="1:2" x14ac:dyDescent="0.25">
      <c r="A10569" t="s">
        <v>1636</v>
      </c>
      <c r="B10569" t="s">
        <v>1098</v>
      </c>
    </row>
    <row r="10570" spans="1:2" x14ac:dyDescent="0.25">
      <c r="A10570" t="s">
        <v>1636</v>
      </c>
      <c r="B10570" t="s">
        <v>1132</v>
      </c>
    </row>
    <row r="10571" spans="1:2" x14ac:dyDescent="0.25">
      <c r="A10571" t="s">
        <v>1636</v>
      </c>
      <c r="B10571" t="s">
        <v>1137</v>
      </c>
    </row>
    <row r="10572" spans="1:2" x14ac:dyDescent="0.25">
      <c r="A10572" t="s">
        <v>1636</v>
      </c>
      <c r="B10572" t="s">
        <v>1183</v>
      </c>
    </row>
    <row r="10573" spans="1:2" x14ac:dyDescent="0.25">
      <c r="A10573" t="s">
        <v>1636</v>
      </c>
      <c r="B10573" t="s">
        <v>1184</v>
      </c>
    </row>
    <row r="10574" spans="1:2" x14ac:dyDescent="0.25">
      <c r="A10574" t="s">
        <v>1636</v>
      </c>
      <c r="B10574" t="s">
        <v>1185</v>
      </c>
    </row>
    <row r="10575" spans="1:2" x14ac:dyDescent="0.25">
      <c r="A10575" t="s">
        <v>1636</v>
      </c>
      <c r="B10575" t="s">
        <v>1185</v>
      </c>
    </row>
    <row r="10576" spans="1:2" x14ac:dyDescent="0.25">
      <c r="A10576" t="s">
        <v>1636</v>
      </c>
      <c r="B10576" t="s">
        <v>1197</v>
      </c>
    </row>
    <row r="10577" spans="1:2" x14ac:dyDescent="0.25">
      <c r="A10577" t="s">
        <v>1636</v>
      </c>
      <c r="B10577" t="s">
        <v>1197</v>
      </c>
    </row>
    <row r="10578" spans="1:2" x14ac:dyDescent="0.25">
      <c r="A10578" t="s">
        <v>1636</v>
      </c>
      <c r="B10578" t="s">
        <v>1225</v>
      </c>
    </row>
    <row r="10579" spans="1:2" x14ac:dyDescent="0.25">
      <c r="A10579" t="s">
        <v>2000</v>
      </c>
      <c r="B10579" t="s">
        <v>1132</v>
      </c>
    </row>
    <row r="10580" spans="1:2" x14ac:dyDescent="0.25">
      <c r="A10580" t="s">
        <v>2000</v>
      </c>
      <c r="B10580" t="s">
        <v>1137</v>
      </c>
    </row>
    <row r="10581" spans="1:2" x14ac:dyDescent="0.25">
      <c r="A10581" t="s">
        <v>2000</v>
      </c>
      <c r="B10581" t="s">
        <v>1183</v>
      </c>
    </row>
    <row r="10582" spans="1:2" x14ac:dyDescent="0.25">
      <c r="A10582" t="s">
        <v>2000</v>
      </c>
      <c r="B10582" t="s">
        <v>1184</v>
      </c>
    </row>
    <row r="10583" spans="1:2" x14ac:dyDescent="0.25">
      <c r="A10583" t="s">
        <v>2000</v>
      </c>
      <c r="B10583" t="s">
        <v>1185</v>
      </c>
    </row>
    <row r="10584" spans="1:2" x14ac:dyDescent="0.25">
      <c r="A10584" t="s">
        <v>2000</v>
      </c>
      <c r="B10584" t="s">
        <v>1197</v>
      </c>
    </row>
    <row r="10585" spans="1:2" x14ac:dyDescent="0.25">
      <c r="A10585" t="s">
        <v>2000</v>
      </c>
      <c r="B10585" t="s">
        <v>1215</v>
      </c>
    </row>
    <row r="10586" spans="1:2" x14ac:dyDescent="0.25">
      <c r="A10586" t="s">
        <v>2000</v>
      </c>
      <c r="B10586" t="s">
        <v>1225</v>
      </c>
    </row>
    <row r="10587" spans="1:2" x14ac:dyDescent="0.25">
      <c r="A10587" t="s">
        <v>1763</v>
      </c>
      <c r="B10587" t="s">
        <v>1102</v>
      </c>
    </row>
    <row r="10588" spans="1:2" x14ac:dyDescent="0.25">
      <c r="A10588" t="s">
        <v>1763</v>
      </c>
      <c r="B10588" t="s">
        <v>1110</v>
      </c>
    </row>
    <row r="10589" spans="1:2" x14ac:dyDescent="0.25">
      <c r="A10589" t="s">
        <v>1763</v>
      </c>
      <c r="B10589" t="s">
        <v>1112</v>
      </c>
    </row>
    <row r="10590" spans="1:2" x14ac:dyDescent="0.25">
      <c r="A10590" t="s">
        <v>1763</v>
      </c>
      <c r="B10590" t="s">
        <v>1130</v>
      </c>
    </row>
    <row r="10591" spans="1:2" x14ac:dyDescent="0.25">
      <c r="A10591" t="s">
        <v>1763</v>
      </c>
      <c r="B10591" t="s">
        <v>1131</v>
      </c>
    </row>
    <row r="10592" spans="1:2" x14ac:dyDescent="0.25">
      <c r="A10592" t="s">
        <v>1763</v>
      </c>
      <c r="B10592" t="s">
        <v>1134</v>
      </c>
    </row>
    <row r="10593" spans="1:2" x14ac:dyDescent="0.25">
      <c r="A10593" t="s">
        <v>1763</v>
      </c>
      <c r="B10593" t="s">
        <v>1138</v>
      </c>
    </row>
    <row r="10594" spans="1:2" x14ac:dyDescent="0.25">
      <c r="A10594" t="s">
        <v>1763</v>
      </c>
      <c r="B10594" t="s">
        <v>1145</v>
      </c>
    </row>
    <row r="10595" spans="1:2" x14ac:dyDescent="0.25">
      <c r="A10595" t="s">
        <v>1763</v>
      </c>
      <c r="B10595" t="s">
        <v>1154</v>
      </c>
    </row>
    <row r="10596" spans="1:2" x14ac:dyDescent="0.25">
      <c r="A10596" t="s">
        <v>1763</v>
      </c>
      <c r="B10596" t="s">
        <v>1180</v>
      </c>
    </row>
    <row r="10597" spans="1:2" x14ac:dyDescent="0.25">
      <c r="A10597" t="s">
        <v>1763</v>
      </c>
      <c r="B10597" t="s">
        <v>1181</v>
      </c>
    </row>
    <row r="10598" spans="1:2" x14ac:dyDescent="0.25">
      <c r="A10598" t="s">
        <v>1763</v>
      </c>
      <c r="B10598" t="s">
        <v>1201</v>
      </c>
    </row>
    <row r="10599" spans="1:2" x14ac:dyDescent="0.25">
      <c r="A10599" t="s">
        <v>1763</v>
      </c>
      <c r="B10599" t="s">
        <v>1206</v>
      </c>
    </row>
    <row r="10600" spans="1:2" x14ac:dyDescent="0.25">
      <c r="A10600" t="s">
        <v>1764</v>
      </c>
      <c r="B10600" t="s">
        <v>1102</v>
      </c>
    </row>
    <row r="10601" spans="1:2" x14ac:dyDescent="0.25">
      <c r="A10601" t="s">
        <v>1764</v>
      </c>
      <c r="B10601" t="s">
        <v>1110</v>
      </c>
    </row>
    <row r="10602" spans="1:2" x14ac:dyDescent="0.25">
      <c r="A10602" t="s">
        <v>1764</v>
      </c>
      <c r="B10602" t="s">
        <v>1112</v>
      </c>
    </row>
    <row r="10603" spans="1:2" x14ac:dyDescent="0.25">
      <c r="A10603" t="s">
        <v>1764</v>
      </c>
      <c r="B10603" t="s">
        <v>1130</v>
      </c>
    </row>
    <row r="10604" spans="1:2" x14ac:dyDescent="0.25">
      <c r="A10604" t="s">
        <v>1764</v>
      </c>
      <c r="B10604" t="s">
        <v>1131</v>
      </c>
    </row>
    <row r="10605" spans="1:2" x14ac:dyDescent="0.25">
      <c r="A10605" t="s">
        <v>1764</v>
      </c>
      <c r="B10605" t="s">
        <v>1134</v>
      </c>
    </row>
    <row r="10606" spans="1:2" x14ac:dyDescent="0.25">
      <c r="A10606" t="s">
        <v>1764</v>
      </c>
      <c r="B10606" t="s">
        <v>1138</v>
      </c>
    </row>
    <row r="10607" spans="1:2" x14ac:dyDescent="0.25">
      <c r="A10607" t="s">
        <v>1764</v>
      </c>
      <c r="B10607" t="s">
        <v>1145</v>
      </c>
    </row>
    <row r="10608" spans="1:2" x14ac:dyDescent="0.25">
      <c r="A10608" t="s">
        <v>1764</v>
      </c>
      <c r="B10608" t="s">
        <v>1154</v>
      </c>
    </row>
    <row r="10609" spans="1:2" x14ac:dyDescent="0.25">
      <c r="A10609" t="s">
        <v>1764</v>
      </c>
      <c r="B10609" t="s">
        <v>1180</v>
      </c>
    </row>
    <row r="10610" spans="1:2" x14ac:dyDescent="0.25">
      <c r="A10610" t="s">
        <v>1764</v>
      </c>
      <c r="B10610" t="s">
        <v>1181</v>
      </c>
    </row>
    <row r="10611" spans="1:2" x14ac:dyDescent="0.25">
      <c r="A10611" t="s">
        <v>1764</v>
      </c>
      <c r="B10611" t="s">
        <v>1201</v>
      </c>
    </row>
    <row r="10612" spans="1:2" x14ac:dyDescent="0.25">
      <c r="A10612" t="s">
        <v>1764</v>
      </c>
      <c r="B10612" t="s">
        <v>1206</v>
      </c>
    </row>
    <row r="10613" spans="1:2" x14ac:dyDescent="0.25">
      <c r="A10613" t="s">
        <v>1762</v>
      </c>
      <c r="B10613" t="s">
        <v>1102</v>
      </c>
    </row>
    <row r="10614" spans="1:2" x14ac:dyDescent="0.25">
      <c r="A10614" t="s">
        <v>1762</v>
      </c>
      <c r="B10614" t="s">
        <v>1110</v>
      </c>
    </row>
    <row r="10615" spans="1:2" x14ac:dyDescent="0.25">
      <c r="A10615" t="s">
        <v>1762</v>
      </c>
      <c r="B10615" t="s">
        <v>1112</v>
      </c>
    </row>
    <row r="10616" spans="1:2" x14ac:dyDescent="0.25">
      <c r="A10616" t="s">
        <v>1762</v>
      </c>
      <c r="B10616" t="s">
        <v>1130</v>
      </c>
    </row>
    <row r="10617" spans="1:2" x14ac:dyDescent="0.25">
      <c r="A10617" t="s">
        <v>1762</v>
      </c>
      <c r="B10617" t="s">
        <v>1131</v>
      </c>
    </row>
    <row r="10618" spans="1:2" x14ac:dyDescent="0.25">
      <c r="A10618" t="s">
        <v>1762</v>
      </c>
      <c r="B10618" t="s">
        <v>1134</v>
      </c>
    </row>
    <row r="10619" spans="1:2" x14ac:dyDescent="0.25">
      <c r="A10619" t="s">
        <v>1762</v>
      </c>
      <c r="B10619" t="s">
        <v>1138</v>
      </c>
    </row>
    <row r="10620" spans="1:2" x14ac:dyDescent="0.25">
      <c r="A10620" t="s">
        <v>1762</v>
      </c>
      <c r="B10620" t="s">
        <v>1145</v>
      </c>
    </row>
    <row r="10621" spans="1:2" x14ac:dyDescent="0.25">
      <c r="A10621" t="s">
        <v>1762</v>
      </c>
      <c r="B10621" t="s">
        <v>1154</v>
      </c>
    </row>
    <row r="10622" spans="1:2" x14ac:dyDescent="0.25">
      <c r="A10622" t="s">
        <v>1762</v>
      </c>
      <c r="B10622" t="s">
        <v>1180</v>
      </c>
    </row>
    <row r="10623" spans="1:2" x14ac:dyDescent="0.25">
      <c r="A10623" t="s">
        <v>1762</v>
      </c>
      <c r="B10623" t="s">
        <v>1181</v>
      </c>
    </row>
    <row r="10624" spans="1:2" x14ac:dyDescent="0.25">
      <c r="A10624" t="s">
        <v>1762</v>
      </c>
      <c r="B10624" t="s">
        <v>1201</v>
      </c>
    </row>
    <row r="10625" spans="1:2" x14ac:dyDescent="0.25">
      <c r="A10625" t="s">
        <v>1762</v>
      </c>
      <c r="B10625" t="s">
        <v>1206</v>
      </c>
    </row>
    <row r="10626" spans="1:2" x14ac:dyDescent="0.25">
      <c r="A10626" t="s">
        <v>2117</v>
      </c>
      <c r="B10626" t="s">
        <v>1140</v>
      </c>
    </row>
    <row r="10627" spans="1:2" x14ac:dyDescent="0.25">
      <c r="A10627" t="s">
        <v>2117</v>
      </c>
      <c r="B10627" t="s">
        <v>1141</v>
      </c>
    </row>
    <row r="10628" spans="1:2" x14ac:dyDescent="0.25">
      <c r="A10628" t="s">
        <v>2117</v>
      </c>
      <c r="B10628" t="s">
        <v>1142</v>
      </c>
    </row>
    <row r="10629" spans="1:2" x14ac:dyDescent="0.25">
      <c r="A10629" t="s">
        <v>2117</v>
      </c>
      <c r="B10629" t="s">
        <v>1150</v>
      </c>
    </row>
    <row r="10630" spans="1:2" x14ac:dyDescent="0.25">
      <c r="A10630" t="s">
        <v>2117</v>
      </c>
      <c r="B10630" t="s">
        <v>1151</v>
      </c>
    </row>
    <row r="10631" spans="1:2" x14ac:dyDescent="0.25">
      <c r="A10631" t="s">
        <v>2117</v>
      </c>
      <c r="B10631" t="s">
        <v>1179</v>
      </c>
    </row>
    <row r="10632" spans="1:2" x14ac:dyDescent="0.25">
      <c r="A10632" t="s">
        <v>2117</v>
      </c>
      <c r="B10632" t="s">
        <v>1205</v>
      </c>
    </row>
    <row r="10633" spans="1:2" x14ac:dyDescent="0.25">
      <c r="A10633" t="s">
        <v>2117</v>
      </c>
      <c r="B10633" t="s">
        <v>1206</v>
      </c>
    </row>
    <row r="10634" spans="1:2" x14ac:dyDescent="0.25">
      <c r="A10634" t="s">
        <v>2117</v>
      </c>
      <c r="B10634" t="s">
        <v>1207</v>
      </c>
    </row>
    <row r="10635" spans="1:2" x14ac:dyDescent="0.25">
      <c r="A10635" t="s">
        <v>2117</v>
      </c>
      <c r="B10635" t="s">
        <v>1208</v>
      </c>
    </row>
    <row r="10636" spans="1:2" x14ac:dyDescent="0.25">
      <c r="A10636" t="s">
        <v>2117</v>
      </c>
      <c r="B10636" t="s">
        <v>1232</v>
      </c>
    </row>
    <row r="10637" spans="1:2" x14ac:dyDescent="0.25">
      <c r="A10637" t="s">
        <v>2117</v>
      </c>
      <c r="B10637" t="s">
        <v>1233</v>
      </c>
    </row>
    <row r="10638" spans="1:2" x14ac:dyDescent="0.25">
      <c r="A10638" t="s">
        <v>2117</v>
      </c>
      <c r="B10638" t="s">
        <v>1234</v>
      </c>
    </row>
    <row r="10639" spans="1:2" x14ac:dyDescent="0.25">
      <c r="A10639" t="s">
        <v>2117</v>
      </c>
      <c r="B10639" t="s">
        <v>1235</v>
      </c>
    </row>
    <row r="10640" spans="1:2" x14ac:dyDescent="0.25">
      <c r="A10640" t="s">
        <v>2117</v>
      </c>
      <c r="B10640" t="s">
        <v>1236</v>
      </c>
    </row>
    <row r="10641" spans="1:2" x14ac:dyDescent="0.25">
      <c r="A10641" t="s">
        <v>2117</v>
      </c>
      <c r="B10641" t="s">
        <v>1237</v>
      </c>
    </row>
    <row r="10642" spans="1:2" x14ac:dyDescent="0.25">
      <c r="A10642" t="s">
        <v>2117</v>
      </c>
      <c r="B10642" t="s">
        <v>1238</v>
      </c>
    </row>
    <row r="10643" spans="1:2" x14ac:dyDescent="0.25">
      <c r="A10643" t="s">
        <v>2117</v>
      </c>
      <c r="B10643" t="s">
        <v>1239</v>
      </c>
    </row>
    <row r="10644" spans="1:2" x14ac:dyDescent="0.25">
      <c r="A10644" t="s">
        <v>2117</v>
      </c>
      <c r="B10644" t="s">
        <v>1240</v>
      </c>
    </row>
    <row r="10645" spans="1:2" x14ac:dyDescent="0.25">
      <c r="A10645" t="s">
        <v>2117</v>
      </c>
      <c r="B10645" t="s">
        <v>1241</v>
      </c>
    </row>
    <row r="10646" spans="1:2" x14ac:dyDescent="0.25">
      <c r="A10646" t="s">
        <v>2117</v>
      </c>
      <c r="B10646" t="s">
        <v>1242</v>
      </c>
    </row>
    <row r="10647" spans="1:2" x14ac:dyDescent="0.25">
      <c r="A10647" t="s">
        <v>2117</v>
      </c>
      <c r="B10647" t="s">
        <v>1243</v>
      </c>
    </row>
    <row r="10648" spans="1:2" x14ac:dyDescent="0.25">
      <c r="A10648" t="s">
        <v>2117</v>
      </c>
      <c r="B10648" t="s">
        <v>1244</v>
      </c>
    </row>
    <row r="10649" spans="1:2" x14ac:dyDescent="0.25">
      <c r="A10649" t="s">
        <v>2117</v>
      </c>
      <c r="B10649" t="s">
        <v>1245</v>
      </c>
    </row>
    <row r="10650" spans="1:2" x14ac:dyDescent="0.25">
      <c r="A10650" t="s">
        <v>2117</v>
      </c>
      <c r="B10650" t="s">
        <v>1246</v>
      </c>
    </row>
    <row r="10651" spans="1:2" x14ac:dyDescent="0.25">
      <c r="A10651" t="s">
        <v>2117</v>
      </c>
      <c r="B10651" t="s">
        <v>1247</v>
      </c>
    </row>
    <row r="10652" spans="1:2" x14ac:dyDescent="0.25">
      <c r="A10652" t="s">
        <v>2117</v>
      </c>
      <c r="B10652" t="s">
        <v>1248</v>
      </c>
    </row>
    <row r="10653" spans="1:2" x14ac:dyDescent="0.25">
      <c r="A10653" t="s">
        <v>2117</v>
      </c>
      <c r="B10653" t="s">
        <v>1249</v>
      </c>
    </row>
    <row r="10654" spans="1:2" x14ac:dyDescent="0.25">
      <c r="A10654" t="s">
        <v>2117</v>
      </c>
      <c r="B10654" t="s">
        <v>1250</v>
      </c>
    </row>
    <row r="10655" spans="1:2" x14ac:dyDescent="0.25">
      <c r="A10655" t="s">
        <v>2362</v>
      </c>
      <c r="B10655" t="s">
        <v>1250</v>
      </c>
    </row>
    <row r="10656" spans="1:2" x14ac:dyDescent="0.25">
      <c r="A10656" t="s">
        <v>2322</v>
      </c>
      <c r="B10656" t="s">
        <v>1223</v>
      </c>
    </row>
    <row r="10657" spans="1:2" x14ac:dyDescent="0.25">
      <c r="A10657" t="s">
        <v>2322</v>
      </c>
      <c r="B10657" t="s">
        <v>1250</v>
      </c>
    </row>
    <row r="10658" spans="1:2" x14ac:dyDescent="0.25">
      <c r="A10658" t="s">
        <v>2323</v>
      </c>
      <c r="B10658" t="s">
        <v>1223</v>
      </c>
    </row>
    <row r="10659" spans="1:2" x14ac:dyDescent="0.25">
      <c r="A10659" t="s">
        <v>2323</v>
      </c>
      <c r="B10659" t="s">
        <v>1250</v>
      </c>
    </row>
    <row r="10660" spans="1:2" x14ac:dyDescent="0.25">
      <c r="A10660" t="s">
        <v>1824</v>
      </c>
      <c r="B10660" t="s">
        <v>1108</v>
      </c>
    </row>
    <row r="10661" spans="1:2" x14ac:dyDescent="0.25">
      <c r="A10661" t="s">
        <v>1824</v>
      </c>
      <c r="B10661" t="s">
        <v>1160</v>
      </c>
    </row>
    <row r="10662" spans="1:2" x14ac:dyDescent="0.25">
      <c r="A10662" t="s">
        <v>1824</v>
      </c>
      <c r="B10662" t="s">
        <v>1174</v>
      </c>
    </row>
    <row r="10663" spans="1:2" x14ac:dyDescent="0.25">
      <c r="A10663" t="s">
        <v>1824</v>
      </c>
      <c r="B10663" t="s">
        <v>1175</v>
      </c>
    </row>
    <row r="10664" spans="1:2" x14ac:dyDescent="0.25">
      <c r="A10664" t="s">
        <v>1824</v>
      </c>
      <c r="B10664" t="s">
        <v>1199</v>
      </c>
    </row>
    <row r="10665" spans="1:2" x14ac:dyDescent="0.25">
      <c r="A10665" t="s">
        <v>1824</v>
      </c>
      <c r="B10665" t="s">
        <v>1212</v>
      </c>
    </row>
    <row r="10666" spans="1:2" x14ac:dyDescent="0.25">
      <c r="A10666" t="s">
        <v>1824</v>
      </c>
      <c r="B10666" t="s">
        <v>1213</v>
      </c>
    </row>
    <row r="10667" spans="1:2" x14ac:dyDescent="0.25">
      <c r="A10667" t="s">
        <v>1824</v>
      </c>
      <c r="B10667" t="s">
        <v>1214</v>
      </c>
    </row>
    <row r="10668" spans="1:2" x14ac:dyDescent="0.25">
      <c r="A10668" t="s">
        <v>1824</v>
      </c>
      <c r="B10668" t="s">
        <v>1214</v>
      </c>
    </row>
    <row r="10669" spans="1:2" x14ac:dyDescent="0.25">
      <c r="A10669" t="s">
        <v>1824</v>
      </c>
      <c r="B10669" t="s">
        <v>1215</v>
      </c>
    </row>
    <row r="10670" spans="1:2" x14ac:dyDescent="0.25">
      <c r="A10670" t="s">
        <v>1824</v>
      </c>
      <c r="B10670" t="s">
        <v>1216</v>
      </c>
    </row>
    <row r="10671" spans="1:2" x14ac:dyDescent="0.25">
      <c r="A10671" t="s">
        <v>1824</v>
      </c>
      <c r="B10671" t="s">
        <v>1217</v>
      </c>
    </row>
    <row r="10672" spans="1:2" x14ac:dyDescent="0.25">
      <c r="A10672" t="s">
        <v>1824</v>
      </c>
      <c r="B10672" t="s">
        <v>1218</v>
      </c>
    </row>
    <row r="10673" spans="1:2" x14ac:dyDescent="0.25">
      <c r="A10673" t="s">
        <v>1824</v>
      </c>
      <c r="B10673" t="s">
        <v>1219</v>
      </c>
    </row>
    <row r="10674" spans="1:2" x14ac:dyDescent="0.25">
      <c r="A10674" t="s">
        <v>1824</v>
      </c>
      <c r="B10674" t="s">
        <v>1220</v>
      </c>
    </row>
    <row r="10675" spans="1:2" x14ac:dyDescent="0.25">
      <c r="A10675" t="s">
        <v>1824</v>
      </c>
      <c r="B10675" t="s">
        <v>1221</v>
      </c>
    </row>
    <row r="10676" spans="1:2" x14ac:dyDescent="0.25">
      <c r="A10676" t="s">
        <v>1824</v>
      </c>
      <c r="B10676" t="s">
        <v>1222</v>
      </c>
    </row>
    <row r="10677" spans="1:2" x14ac:dyDescent="0.25">
      <c r="A10677" t="s">
        <v>1824</v>
      </c>
      <c r="B10677" t="s">
        <v>1223</v>
      </c>
    </row>
    <row r="10678" spans="1:2" x14ac:dyDescent="0.25">
      <c r="A10678" t="s">
        <v>1824</v>
      </c>
      <c r="B10678" t="s">
        <v>1224</v>
      </c>
    </row>
    <row r="10679" spans="1:2" x14ac:dyDescent="0.25">
      <c r="A10679" t="s">
        <v>1824</v>
      </c>
      <c r="B10679" t="s">
        <v>1225</v>
      </c>
    </row>
    <row r="10680" spans="1:2" x14ac:dyDescent="0.25">
      <c r="A10680" t="s">
        <v>1824</v>
      </c>
      <c r="B10680" t="s">
        <v>1226</v>
      </c>
    </row>
    <row r="10681" spans="1:2" x14ac:dyDescent="0.25">
      <c r="A10681" t="s">
        <v>1824</v>
      </c>
      <c r="B10681" t="s">
        <v>1227</v>
      </c>
    </row>
    <row r="10682" spans="1:2" x14ac:dyDescent="0.25">
      <c r="A10682" t="s">
        <v>1824</v>
      </c>
      <c r="B10682" t="s">
        <v>1228</v>
      </c>
    </row>
    <row r="10683" spans="1:2" x14ac:dyDescent="0.25">
      <c r="A10683" t="s">
        <v>1824</v>
      </c>
      <c r="B10683" t="s">
        <v>1229</v>
      </c>
    </row>
    <row r="10684" spans="1:2" x14ac:dyDescent="0.25">
      <c r="A10684" t="s">
        <v>1824</v>
      </c>
      <c r="B10684" t="s">
        <v>1230</v>
      </c>
    </row>
    <row r="10685" spans="1:2" x14ac:dyDescent="0.25">
      <c r="A10685" t="s">
        <v>1824</v>
      </c>
      <c r="B10685" t="s">
        <v>1231</v>
      </c>
    </row>
    <row r="10686" spans="1:2" x14ac:dyDescent="0.25">
      <c r="A10686" t="s">
        <v>1824</v>
      </c>
      <c r="B10686" t="s">
        <v>1232</v>
      </c>
    </row>
    <row r="10687" spans="1:2" x14ac:dyDescent="0.25">
      <c r="A10687" t="s">
        <v>1824</v>
      </c>
      <c r="B10687" t="s">
        <v>1233</v>
      </c>
    </row>
    <row r="10688" spans="1:2" x14ac:dyDescent="0.25">
      <c r="A10688" t="s">
        <v>1824</v>
      </c>
      <c r="B10688" t="s">
        <v>1233</v>
      </c>
    </row>
    <row r="10689" spans="1:2" x14ac:dyDescent="0.25">
      <c r="A10689" t="s">
        <v>1824</v>
      </c>
      <c r="B10689" t="s">
        <v>1234</v>
      </c>
    </row>
    <row r="10690" spans="1:2" x14ac:dyDescent="0.25">
      <c r="A10690" t="s">
        <v>1824</v>
      </c>
      <c r="B10690" t="s">
        <v>1235</v>
      </c>
    </row>
    <row r="10691" spans="1:2" x14ac:dyDescent="0.25">
      <c r="A10691" t="s">
        <v>1824</v>
      </c>
      <c r="B10691" t="s">
        <v>1236</v>
      </c>
    </row>
    <row r="10692" spans="1:2" x14ac:dyDescent="0.25">
      <c r="A10692" t="s">
        <v>1824</v>
      </c>
      <c r="B10692" t="s">
        <v>1237</v>
      </c>
    </row>
    <row r="10693" spans="1:2" x14ac:dyDescent="0.25">
      <c r="A10693" t="s">
        <v>1824</v>
      </c>
      <c r="B10693" t="s">
        <v>1238</v>
      </c>
    </row>
    <row r="10694" spans="1:2" x14ac:dyDescent="0.25">
      <c r="A10694" t="s">
        <v>1824</v>
      </c>
      <c r="B10694" t="s">
        <v>1239</v>
      </c>
    </row>
    <row r="10695" spans="1:2" x14ac:dyDescent="0.25">
      <c r="A10695" t="s">
        <v>1824</v>
      </c>
      <c r="B10695" t="s">
        <v>1240</v>
      </c>
    </row>
    <row r="10696" spans="1:2" x14ac:dyDescent="0.25">
      <c r="A10696" t="s">
        <v>1824</v>
      </c>
      <c r="B10696" t="s">
        <v>1241</v>
      </c>
    </row>
    <row r="10697" spans="1:2" x14ac:dyDescent="0.25">
      <c r="A10697" t="s">
        <v>1824</v>
      </c>
      <c r="B10697" t="s">
        <v>1242</v>
      </c>
    </row>
    <row r="10698" spans="1:2" x14ac:dyDescent="0.25">
      <c r="A10698" t="s">
        <v>1824</v>
      </c>
      <c r="B10698" t="s">
        <v>1243</v>
      </c>
    </row>
    <row r="10699" spans="1:2" x14ac:dyDescent="0.25">
      <c r="A10699" t="s">
        <v>1824</v>
      </c>
      <c r="B10699" t="s">
        <v>1244</v>
      </c>
    </row>
    <row r="10700" spans="1:2" x14ac:dyDescent="0.25">
      <c r="A10700" t="s">
        <v>1824</v>
      </c>
      <c r="B10700" t="s">
        <v>1245</v>
      </c>
    </row>
    <row r="10701" spans="1:2" x14ac:dyDescent="0.25">
      <c r="A10701" t="s">
        <v>1824</v>
      </c>
      <c r="B10701" t="s">
        <v>1246</v>
      </c>
    </row>
    <row r="10702" spans="1:2" x14ac:dyDescent="0.25">
      <c r="A10702" t="s">
        <v>1824</v>
      </c>
      <c r="B10702" t="s">
        <v>1247</v>
      </c>
    </row>
    <row r="10703" spans="1:2" x14ac:dyDescent="0.25">
      <c r="A10703" t="s">
        <v>1824</v>
      </c>
      <c r="B10703" t="s">
        <v>1248</v>
      </c>
    </row>
    <row r="10704" spans="1:2" x14ac:dyDescent="0.25">
      <c r="A10704" t="s">
        <v>1824</v>
      </c>
      <c r="B10704" t="s">
        <v>1249</v>
      </c>
    </row>
    <row r="10705" spans="1:2" x14ac:dyDescent="0.25">
      <c r="A10705" t="s">
        <v>1824</v>
      </c>
      <c r="B10705" t="s">
        <v>1250</v>
      </c>
    </row>
    <row r="10706" spans="1:2" x14ac:dyDescent="0.25">
      <c r="A10706" t="s">
        <v>1824</v>
      </c>
      <c r="B10706" t="s">
        <v>1251</v>
      </c>
    </row>
    <row r="10707" spans="1:2" x14ac:dyDescent="0.25">
      <c r="A10707" t="s">
        <v>1824</v>
      </c>
      <c r="B10707" t="s">
        <v>1252</v>
      </c>
    </row>
    <row r="10708" spans="1:2" x14ac:dyDescent="0.25">
      <c r="A10708" t="s">
        <v>1825</v>
      </c>
      <c r="B10708" t="s">
        <v>1108</v>
      </c>
    </row>
    <row r="10709" spans="1:2" x14ac:dyDescent="0.25">
      <c r="A10709" t="s">
        <v>1825</v>
      </c>
      <c r="B10709" t="s">
        <v>1160</v>
      </c>
    </row>
    <row r="10710" spans="1:2" x14ac:dyDescent="0.25">
      <c r="A10710" t="s">
        <v>1825</v>
      </c>
      <c r="B10710" t="s">
        <v>1174</v>
      </c>
    </row>
    <row r="10711" spans="1:2" x14ac:dyDescent="0.25">
      <c r="A10711" t="s">
        <v>1825</v>
      </c>
      <c r="B10711" t="s">
        <v>1175</v>
      </c>
    </row>
    <row r="10712" spans="1:2" x14ac:dyDescent="0.25">
      <c r="A10712" t="s">
        <v>1825</v>
      </c>
      <c r="B10712" t="s">
        <v>1199</v>
      </c>
    </row>
    <row r="10713" spans="1:2" x14ac:dyDescent="0.25">
      <c r="A10713" t="s">
        <v>1825</v>
      </c>
      <c r="B10713" t="s">
        <v>1212</v>
      </c>
    </row>
    <row r="10714" spans="1:2" x14ac:dyDescent="0.25">
      <c r="A10714" t="s">
        <v>1825</v>
      </c>
      <c r="B10714" t="s">
        <v>1213</v>
      </c>
    </row>
    <row r="10715" spans="1:2" x14ac:dyDescent="0.25">
      <c r="A10715" t="s">
        <v>1825</v>
      </c>
      <c r="B10715" t="s">
        <v>1214</v>
      </c>
    </row>
    <row r="10716" spans="1:2" x14ac:dyDescent="0.25">
      <c r="A10716" t="s">
        <v>1825</v>
      </c>
      <c r="B10716" t="s">
        <v>1214</v>
      </c>
    </row>
    <row r="10717" spans="1:2" x14ac:dyDescent="0.25">
      <c r="A10717" t="s">
        <v>1825</v>
      </c>
      <c r="B10717" t="s">
        <v>1215</v>
      </c>
    </row>
    <row r="10718" spans="1:2" x14ac:dyDescent="0.25">
      <c r="A10718" t="s">
        <v>1825</v>
      </c>
      <c r="B10718" t="s">
        <v>1216</v>
      </c>
    </row>
    <row r="10719" spans="1:2" x14ac:dyDescent="0.25">
      <c r="A10719" t="s">
        <v>1825</v>
      </c>
      <c r="B10719" t="s">
        <v>1217</v>
      </c>
    </row>
    <row r="10720" spans="1:2" x14ac:dyDescent="0.25">
      <c r="A10720" t="s">
        <v>1825</v>
      </c>
      <c r="B10720" t="s">
        <v>1218</v>
      </c>
    </row>
    <row r="10721" spans="1:2" x14ac:dyDescent="0.25">
      <c r="A10721" t="s">
        <v>1825</v>
      </c>
      <c r="B10721" t="s">
        <v>1219</v>
      </c>
    </row>
    <row r="10722" spans="1:2" x14ac:dyDescent="0.25">
      <c r="A10722" t="s">
        <v>1825</v>
      </c>
      <c r="B10722" t="s">
        <v>1220</v>
      </c>
    </row>
    <row r="10723" spans="1:2" x14ac:dyDescent="0.25">
      <c r="A10723" t="s">
        <v>1825</v>
      </c>
      <c r="B10723" t="s">
        <v>1221</v>
      </c>
    </row>
    <row r="10724" spans="1:2" x14ac:dyDescent="0.25">
      <c r="A10724" t="s">
        <v>1825</v>
      </c>
      <c r="B10724" t="s">
        <v>1222</v>
      </c>
    </row>
    <row r="10725" spans="1:2" x14ac:dyDescent="0.25">
      <c r="A10725" t="s">
        <v>1825</v>
      </c>
      <c r="B10725" t="s">
        <v>1223</v>
      </c>
    </row>
    <row r="10726" spans="1:2" x14ac:dyDescent="0.25">
      <c r="A10726" t="s">
        <v>1825</v>
      </c>
      <c r="B10726" t="s">
        <v>1224</v>
      </c>
    </row>
    <row r="10727" spans="1:2" x14ac:dyDescent="0.25">
      <c r="A10727" t="s">
        <v>1825</v>
      </c>
      <c r="B10727" t="s">
        <v>1225</v>
      </c>
    </row>
    <row r="10728" spans="1:2" x14ac:dyDescent="0.25">
      <c r="A10728" t="s">
        <v>1825</v>
      </c>
      <c r="B10728" t="s">
        <v>1226</v>
      </c>
    </row>
    <row r="10729" spans="1:2" x14ac:dyDescent="0.25">
      <c r="A10729" t="s">
        <v>1825</v>
      </c>
      <c r="B10729" t="s">
        <v>1227</v>
      </c>
    </row>
    <row r="10730" spans="1:2" x14ac:dyDescent="0.25">
      <c r="A10730" t="s">
        <v>1825</v>
      </c>
      <c r="B10730" t="s">
        <v>1228</v>
      </c>
    </row>
    <row r="10731" spans="1:2" x14ac:dyDescent="0.25">
      <c r="A10731" t="s">
        <v>1825</v>
      </c>
      <c r="B10731" t="s">
        <v>1229</v>
      </c>
    </row>
    <row r="10732" spans="1:2" x14ac:dyDescent="0.25">
      <c r="A10732" t="s">
        <v>1825</v>
      </c>
      <c r="B10732" t="s">
        <v>1230</v>
      </c>
    </row>
    <row r="10733" spans="1:2" x14ac:dyDescent="0.25">
      <c r="A10733" t="s">
        <v>1825</v>
      </c>
      <c r="B10733" t="s">
        <v>1231</v>
      </c>
    </row>
    <row r="10734" spans="1:2" x14ac:dyDescent="0.25">
      <c r="A10734" t="s">
        <v>1825</v>
      </c>
      <c r="B10734" t="s">
        <v>1232</v>
      </c>
    </row>
    <row r="10735" spans="1:2" x14ac:dyDescent="0.25">
      <c r="A10735" t="s">
        <v>1825</v>
      </c>
      <c r="B10735" t="s">
        <v>1233</v>
      </c>
    </row>
    <row r="10736" spans="1:2" x14ac:dyDescent="0.25">
      <c r="A10736" t="s">
        <v>1825</v>
      </c>
      <c r="B10736" t="s">
        <v>1233</v>
      </c>
    </row>
    <row r="10737" spans="1:2" x14ac:dyDescent="0.25">
      <c r="A10737" t="s">
        <v>1825</v>
      </c>
      <c r="B10737" t="s">
        <v>1234</v>
      </c>
    </row>
    <row r="10738" spans="1:2" x14ac:dyDescent="0.25">
      <c r="A10738" t="s">
        <v>1825</v>
      </c>
      <c r="B10738" t="s">
        <v>1235</v>
      </c>
    </row>
    <row r="10739" spans="1:2" x14ac:dyDescent="0.25">
      <c r="A10739" t="s">
        <v>1825</v>
      </c>
      <c r="B10739" t="s">
        <v>1236</v>
      </c>
    </row>
    <row r="10740" spans="1:2" x14ac:dyDescent="0.25">
      <c r="A10740" t="s">
        <v>1825</v>
      </c>
      <c r="B10740" t="s">
        <v>1237</v>
      </c>
    </row>
    <row r="10741" spans="1:2" x14ac:dyDescent="0.25">
      <c r="A10741" t="s">
        <v>1825</v>
      </c>
      <c r="B10741" t="s">
        <v>1238</v>
      </c>
    </row>
    <row r="10742" spans="1:2" x14ac:dyDescent="0.25">
      <c r="A10742" t="s">
        <v>1825</v>
      </c>
      <c r="B10742" t="s">
        <v>1239</v>
      </c>
    </row>
    <row r="10743" spans="1:2" x14ac:dyDescent="0.25">
      <c r="A10743" t="s">
        <v>1825</v>
      </c>
      <c r="B10743" t="s">
        <v>1240</v>
      </c>
    </row>
    <row r="10744" spans="1:2" x14ac:dyDescent="0.25">
      <c r="A10744" t="s">
        <v>1825</v>
      </c>
      <c r="B10744" t="s">
        <v>1241</v>
      </c>
    </row>
    <row r="10745" spans="1:2" x14ac:dyDescent="0.25">
      <c r="A10745" t="s">
        <v>1825</v>
      </c>
      <c r="B10745" t="s">
        <v>1242</v>
      </c>
    </row>
    <row r="10746" spans="1:2" x14ac:dyDescent="0.25">
      <c r="A10746" t="s">
        <v>1825</v>
      </c>
      <c r="B10746" t="s">
        <v>1243</v>
      </c>
    </row>
    <row r="10747" spans="1:2" x14ac:dyDescent="0.25">
      <c r="A10747" t="s">
        <v>1825</v>
      </c>
      <c r="B10747" t="s">
        <v>1244</v>
      </c>
    </row>
    <row r="10748" spans="1:2" x14ac:dyDescent="0.25">
      <c r="A10748" t="s">
        <v>1825</v>
      </c>
      <c r="B10748" t="s">
        <v>1245</v>
      </c>
    </row>
    <row r="10749" spans="1:2" x14ac:dyDescent="0.25">
      <c r="A10749" t="s">
        <v>1825</v>
      </c>
      <c r="B10749" t="s">
        <v>1246</v>
      </c>
    </row>
    <row r="10750" spans="1:2" x14ac:dyDescent="0.25">
      <c r="A10750" t="s">
        <v>1825</v>
      </c>
      <c r="B10750" t="s">
        <v>1247</v>
      </c>
    </row>
    <row r="10751" spans="1:2" x14ac:dyDescent="0.25">
      <c r="A10751" t="s">
        <v>1825</v>
      </c>
      <c r="B10751" t="s">
        <v>1248</v>
      </c>
    </row>
    <row r="10752" spans="1:2" x14ac:dyDescent="0.25">
      <c r="A10752" t="s">
        <v>1825</v>
      </c>
      <c r="B10752" t="s">
        <v>1249</v>
      </c>
    </row>
    <row r="10753" spans="1:2" x14ac:dyDescent="0.25">
      <c r="A10753" t="s">
        <v>1825</v>
      </c>
      <c r="B10753" t="s">
        <v>1250</v>
      </c>
    </row>
    <row r="10754" spans="1:2" x14ac:dyDescent="0.25">
      <c r="A10754" t="s">
        <v>1825</v>
      </c>
      <c r="B10754" t="s">
        <v>1251</v>
      </c>
    </row>
    <row r="10755" spans="1:2" x14ac:dyDescent="0.25">
      <c r="A10755" t="s">
        <v>1825</v>
      </c>
      <c r="B10755" t="s">
        <v>1252</v>
      </c>
    </row>
    <row r="10756" spans="1:2" x14ac:dyDescent="0.25">
      <c r="A10756" t="s">
        <v>1826</v>
      </c>
      <c r="B10756" t="s">
        <v>1108</v>
      </c>
    </row>
    <row r="10757" spans="1:2" x14ac:dyDescent="0.25">
      <c r="A10757" t="s">
        <v>1826</v>
      </c>
      <c r="B10757" t="s">
        <v>1160</v>
      </c>
    </row>
    <row r="10758" spans="1:2" x14ac:dyDescent="0.25">
      <c r="A10758" t="s">
        <v>1826</v>
      </c>
      <c r="B10758" t="s">
        <v>1174</v>
      </c>
    </row>
    <row r="10759" spans="1:2" x14ac:dyDescent="0.25">
      <c r="A10759" t="s">
        <v>1826</v>
      </c>
      <c r="B10759" t="s">
        <v>1175</v>
      </c>
    </row>
    <row r="10760" spans="1:2" x14ac:dyDescent="0.25">
      <c r="A10760" t="s">
        <v>1826</v>
      </c>
      <c r="B10760" t="s">
        <v>1199</v>
      </c>
    </row>
    <row r="10761" spans="1:2" x14ac:dyDescent="0.25">
      <c r="A10761" t="s">
        <v>1826</v>
      </c>
      <c r="B10761" t="s">
        <v>1212</v>
      </c>
    </row>
    <row r="10762" spans="1:2" x14ac:dyDescent="0.25">
      <c r="A10762" t="s">
        <v>1826</v>
      </c>
      <c r="B10762" t="s">
        <v>1214</v>
      </c>
    </row>
    <row r="10763" spans="1:2" x14ac:dyDescent="0.25">
      <c r="A10763" t="s">
        <v>1826</v>
      </c>
      <c r="B10763" t="s">
        <v>1226</v>
      </c>
    </row>
    <row r="10764" spans="1:2" x14ac:dyDescent="0.25">
      <c r="A10764" t="s">
        <v>1826</v>
      </c>
      <c r="B10764" t="s">
        <v>1227</v>
      </c>
    </row>
    <row r="10765" spans="1:2" x14ac:dyDescent="0.25">
      <c r="A10765" t="s">
        <v>1826</v>
      </c>
      <c r="B10765" t="s">
        <v>1228</v>
      </c>
    </row>
    <row r="10766" spans="1:2" x14ac:dyDescent="0.25">
      <c r="A10766" t="s">
        <v>1826</v>
      </c>
      <c r="B10766" t="s">
        <v>1229</v>
      </c>
    </row>
    <row r="10767" spans="1:2" x14ac:dyDescent="0.25">
      <c r="A10767" t="s">
        <v>1826</v>
      </c>
      <c r="B10767" t="s">
        <v>1230</v>
      </c>
    </row>
    <row r="10768" spans="1:2" x14ac:dyDescent="0.25">
      <c r="A10768" t="s">
        <v>1826</v>
      </c>
      <c r="B10768" t="s">
        <v>1231</v>
      </c>
    </row>
    <row r="10769" spans="1:2" x14ac:dyDescent="0.25">
      <c r="A10769" t="s">
        <v>1826</v>
      </c>
      <c r="B10769" t="s">
        <v>1232</v>
      </c>
    </row>
    <row r="10770" spans="1:2" x14ac:dyDescent="0.25">
      <c r="A10770" t="s">
        <v>1826</v>
      </c>
      <c r="B10770" t="s">
        <v>1233</v>
      </c>
    </row>
    <row r="10771" spans="1:2" x14ac:dyDescent="0.25">
      <c r="A10771" t="s">
        <v>1826</v>
      </c>
      <c r="B10771" t="s">
        <v>1233</v>
      </c>
    </row>
    <row r="10772" spans="1:2" x14ac:dyDescent="0.25">
      <c r="A10772" t="s">
        <v>1826</v>
      </c>
      <c r="B10772" t="s">
        <v>1234</v>
      </c>
    </row>
    <row r="10773" spans="1:2" x14ac:dyDescent="0.25">
      <c r="A10773" t="s">
        <v>1826</v>
      </c>
      <c r="B10773" t="s">
        <v>1235</v>
      </c>
    </row>
    <row r="10774" spans="1:2" x14ac:dyDescent="0.25">
      <c r="A10774" t="s">
        <v>1826</v>
      </c>
      <c r="B10774" t="s">
        <v>1236</v>
      </c>
    </row>
    <row r="10775" spans="1:2" x14ac:dyDescent="0.25">
      <c r="A10775" t="s">
        <v>1826</v>
      </c>
      <c r="B10775" t="s">
        <v>1237</v>
      </c>
    </row>
    <row r="10776" spans="1:2" x14ac:dyDescent="0.25">
      <c r="A10776" t="s">
        <v>1826</v>
      </c>
      <c r="B10776" t="s">
        <v>1238</v>
      </c>
    </row>
    <row r="10777" spans="1:2" x14ac:dyDescent="0.25">
      <c r="A10777" t="s">
        <v>1826</v>
      </c>
      <c r="B10777" t="s">
        <v>1239</v>
      </c>
    </row>
    <row r="10778" spans="1:2" x14ac:dyDescent="0.25">
      <c r="A10778" t="s">
        <v>1826</v>
      </c>
      <c r="B10778" t="s">
        <v>1240</v>
      </c>
    </row>
    <row r="10779" spans="1:2" x14ac:dyDescent="0.25">
      <c r="A10779" t="s">
        <v>1826</v>
      </c>
      <c r="B10779" t="s">
        <v>1241</v>
      </c>
    </row>
    <row r="10780" spans="1:2" x14ac:dyDescent="0.25">
      <c r="A10780" t="s">
        <v>1826</v>
      </c>
      <c r="B10780" t="s">
        <v>1242</v>
      </c>
    </row>
    <row r="10781" spans="1:2" x14ac:dyDescent="0.25">
      <c r="A10781" t="s">
        <v>1826</v>
      </c>
      <c r="B10781" t="s">
        <v>1243</v>
      </c>
    </row>
    <row r="10782" spans="1:2" x14ac:dyDescent="0.25">
      <c r="A10782" t="s">
        <v>1826</v>
      </c>
      <c r="B10782" t="s">
        <v>1244</v>
      </c>
    </row>
    <row r="10783" spans="1:2" x14ac:dyDescent="0.25">
      <c r="A10783" t="s">
        <v>1826</v>
      </c>
      <c r="B10783" t="s">
        <v>1245</v>
      </c>
    </row>
    <row r="10784" spans="1:2" x14ac:dyDescent="0.25">
      <c r="A10784" t="s">
        <v>1826</v>
      </c>
      <c r="B10784" t="s">
        <v>1246</v>
      </c>
    </row>
    <row r="10785" spans="1:2" x14ac:dyDescent="0.25">
      <c r="A10785" t="s">
        <v>1826</v>
      </c>
      <c r="B10785" t="s">
        <v>1247</v>
      </c>
    </row>
    <row r="10786" spans="1:2" x14ac:dyDescent="0.25">
      <c r="A10786" t="s">
        <v>1826</v>
      </c>
      <c r="B10786" t="s">
        <v>1248</v>
      </c>
    </row>
    <row r="10787" spans="1:2" x14ac:dyDescent="0.25">
      <c r="A10787" t="s">
        <v>1826</v>
      </c>
      <c r="B10787" t="s">
        <v>1249</v>
      </c>
    </row>
    <row r="10788" spans="1:2" x14ac:dyDescent="0.25">
      <c r="A10788" t="s">
        <v>1826</v>
      </c>
      <c r="B10788" t="s">
        <v>1250</v>
      </c>
    </row>
    <row r="10789" spans="1:2" x14ac:dyDescent="0.25">
      <c r="A10789" t="s">
        <v>1826</v>
      </c>
      <c r="B10789" t="s">
        <v>1251</v>
      </c>
    </row>
    <row r="10790" spans="1:2" x14ac:dyDescent="0.25">
      <c r="A10790" t="s">
        <v>1826</v>
      </c>
      <c r="B10790" t="s">
        <v>1252</v>
      </c>
    </row>
    <row r="10791" spans="1:2" x14ac:dyDescent="0.25">
      <c r="A10791" t="s">
        <v>1827</v>
      </c>
      <c r="B10791" t="s">
        <v>1108</v>
      </c>
    </row>
    <row r="10792" spans="1:2" x14ac:dyDescent="0.25">
      <c r="A10792" t="s">
        <v>1827</v>
      </c>
      <c r="B10792" t="s">
        <v>1160</v>
      </c>
    </row>
    <row r="10793" spans="1:2" x14ac:dyDescent="0.25">
      <c r="A10793" t="s">
        <v>1827</v>
      </c>
      <c r="B10793" t="s">
        <v>1174</v>
      </c>
    </row>
    <row r="10794" spans="1:2" x14ac:dyDescent="0.25">
      <c r="A10794" t="s">
        <v>1827</v>
      </c>
      <c r="B10794" t="s">
        <v>1175</v>
      </c>
    </row>
    <row r="10795" spans="1:2" x14ac:dyDescent="0.25">
      <c r="A10795" t="s">
        <v>1827</v>
      </c>
      <c r="B10795" t="s">
        <v>1199</v>
      </c>
    </row>
    <row r="10796" spans="1:2" x14ac:dyDescent="0.25">
      <c r="A10796" t="s">
        <v>1827</v>
      </c>
      <c r="B10796" t="s">
        <v>1212</v>
      </c>
    </row>
    <row r="10797" spans="1:2" x14ac:dyDescent="0.25">
      <c r="A10797" t="s">
        <v>1827</v>
      </c>
      <c r="B10797" t="s">
        <v>1214</v>
      </c>
    </row>
    <row r="10798" spans="1:2" x14ac:dyDescent="0.25">
      <c r="A10798" t="s">
        <v>1827</v>
      </c>
      <c r="B10798" t="s">
        <v>1226</v>
      </c>
    </row>
    <row r="10799" spans="1:2" x14ac:dyDescent="0.25">
      <c r="A10799" t="s">
        <v>1827</v>
      </c>
      <c r="B10799" t="s">
        <v>1227</v>
      </c>
    </row>
    <row r="10800" spans="1:2" x14ac:dyDescent="0.25">
      <c r="A10800" t="s">
        <v>1827</v>
      </c>
      <c r="B10800" t="s">
        <v>1228</v>
      </c>
    </row>
    <row r="10801" spans="1:2" x14ac:dyDescent="0.25">
      <c r="A10801" t="s">
        <v>1827</v>
      </c>
      <c r="B10801" t="s">
        <v>1229</v>
      </c>
    </row>
    <row r="10802" spans="1:2" x14ac:dyDescent="0.25">
      <c r="A10802" t="s">
        <v>1827</v>
      </c>
      <c r="B10802" t="s">
        <v>1230</v>
      </c>
    </row>
    <row r="10803" spans="1:2" x14ac:dyDescent="0.25">
      <c r="A10803" t="s">
        <v>1827</v>
      </c>
      <c r="B10803" t="s">
        <v>1231</v>
      </c>
    </row>
    <row r="10804" spans="1:2" x14ac:dyDescent="0.25">
      <c r="A10804" t="s">
        <v>1827</v>
      </c>
      <c r="B10804" t="s">
        <v>1232</v>
      </c>
    </row>
    <row r="10805" spans="1:2" x14ac:dyDescent="0.25">
      <c r="A10805" t="s">
        <v>1827</v>
      </c>
      <c r="B10805" t="s">
        <v>1233</v>
      </c>
    </row>
    <row r="10806" spans="1:2" x14ac:dyDescent="0.25">
      <c r="A10806" t="s">
        <v>1827</v>
      </c>
      <c r="B10806" t="s">
        <v>1233</v>
      </c>
    </row>
    <row r="10807" spans="1:2" x14ac:dyDescent="0.25">
      <c r="A10807" t="s">
        <v>1827</v>
      </c>
      <c r="B10807" t="s">
        <v>1234</v>
      </c>
    </row>
    <row r="10808" spans="1:2" x14ac:dyDescent="0.25">
      <c r="A10808" t="s">
        <v>1827</v>
      </c>
      <c r="B10808" t="s">
        <v>1235</v>
      </c>
    </row>
    <row r="10809" spans="1:2" x14ac:dyDescent="0.25">
      <c r="A10809" t="s">
        <v>1827</v>
      </c>
      <c r="B10809" t="s">
        <v>1236</v>
      </c>
    </row>
    <row r="10810" spans="1:2" x14ac:dyDescent="0.25">
      <c r="A10810" t="s">
        <v>1827</v>
      </c>
      <c r="B10810" t="s">
        <v>1237</v>
      </c>
    </row>
    <row r="10811" spans="1:2" x14ac:dyDescent="0.25">
      <c r="A10811" t="s">
        <v>1827</v>
      </c>
      <c r="B10811" t="s">
        <v>1238</v>
      </c>
    </row>
    <row r="10812" spans="1:2" x14ac:dyDescent="0.25">
      <c r="A10812" t="s">
        <v>1827</v>
      </c>
      <c r="B10812" t="s">
        <v>1239</v>
      </c>
    </row>
    <row r="10813" spans="1:2" x14ac:dyDescent="0.25">
      <c r="A10813" t="s">
        <v>1827</v>
      </c>
      <c r="B10813" t="s">
        <v>1240</v>
      </c>
    </row>
    <row r="10814" spans="1:2" x14ac:dyDescent="0.25">
      <c r="A10814" t="s">
        <v>1827</v>
      </c>
      <c r="B10814" t="s">
        <v>1241</v>
      </c>
    </row>
    <row r="10815" spans="1:2" x14ac:dyDescent="0.25">
      <c r="A10815" t="s">
        <v>1827</v>
      </c>
      <c r="B10815" t="s">
        <v>1242</v>
      </c>
    </row>
    <row r="10816" spans="1:2" x14ac:dyDescent="0.25">
      <c r="A10816" t="s">
        <v>1827</v>
      </c>
      <c r="B10816" t="s">
        <v>1243</v>
      </c>
    </row>
    <row r="10817" spans="1:2" x14ac:dyDescent="0.25">
      <c r="A10817" t="s">
        <v>1827</v>
      </c>
      <c r="B10817" t="s">
        <v>1244</v>
      </c>
    </row>
    <row r="10818" spans="1:2" x14ac:dyDescent="0.25">
      <c r="A10818" t="s">
        <v>1827</v>
      </c>
      <c r="B10818" t="s">
        <v>1245</v>
      </c>
    </row>
    <row r="10819" spans="1:2" x14ac:dyDescent="0.25">
      <c r="A10819" t="s">
        <v>1827</v>
      </c>
      <c r="B10819" t="s">
        <v>1246</v>
      </c>
    </row>
    <row r="10820" spans="1:2" x14ac:dyDescent="0.25">
      <c r="A10820" t="s">
        <v>1827</v>
      </c>
      <c r="B10820" t="s">
        <v>1247</v>
      </c>
    </row>
    <row r="10821" spans="1:2" x14ac:dyDescent="0.25">
      <c r="A10821" t="s">
        <v>1827</v>
      </c>
      <c r="B10821" t="s">
        <v>1248</v>
      </c>
    </row>
    <row r="10822" spans="1:2" x14ac:dyDescent="0.25">
      <c r="A10822" t="s">
        <v>1827</v>
      </c>
      <c r="B10822" t="s">
        <v>1249</v>
      </c>
    </row>
    <row r="10823" spans="1:2" x14ac:dyDescent="0.25">
      <c r="A10823" t="s">
        <v>1827</v>
      </c>
      <c r="B10823" t="s">
        <v>1250</v>
      </c>
    </row>
    <row r="10824" spans="1:2" x14ac:dyDescent="0.25">
      <c r="A10824" t="s">
        <v>1827</v>
      </c>
      <c r="B10824" t="s">
        <v>1251</v>
      </c>
    </row>
    <row r="10825" spans="1:2" x14ac:dyDescent="0.25">
      <c r="A10825" t="s">
        <v>1827</v>
      </c>
      <c r="B10825" t="s">
        <v>1252</v>
      </c>
    </row>
    <row r="10826" spans="1:2" x14ac:dyDescent="0.25">
      <c r="A10826" t="s">
        <v>2093</v>
      </c>
      <c r="B10826" t="s">
        <v>1139</v>
      </c>
    </row>
    <row r="10827" spans="1:2" x14ac:dyDescent="0.25">
      <c r="A10827" t="s">
        <v>2093</v>
      </c>
      <c r="B10827" t="s">
        <v>1140</v>
      </c>
    </row>
    <row r="10828" spans="1:2" x14ac:dyDescent="0.25">
      <c r="A10828" t="s">
        <v>2093</v>
      </c>
      <c r="B10828" t="s">
        <v>1149</v>
      </c>
    </row>
    <row r="10829" spans="1:2" x14ac:dyDescent="0.25">
      <c r="A10829" t="s">
        <v>2093</v>
      </c>
      <c r="B10829" t="s">
        <v>1150</v>
      </c>
    </row>
    <row r="10830" spans="1:2" x14ac:dyDescent="0.25">
      <c r="A10830" t="s">
        <v>2093</v>
      </c>
      <c r="B10830" t="s">
        <v>1157</v>
      </c>
    </row>
    <row r="10831" spans="1:2" x14ac:dyDescent="0.25">
      <c r="A10831" t="s">
        <v>2093</v>
      </c>
      <c r="B10831" t="s">
        <v>1177</v>
      </c>
    </row>
    <row r="10832" spans="1:2" x14ac:dyDescent="0.25">
      <c r="A10832" t="s">
        <v>2093</v>
      </c>
      <c r="B10832" t="s">
        <v>1203</v>
      </c>
    </row>
    <row r="10833" spans="1:2" x14ac:dyDescent="0.25">
      <c r="A10833" t="s">
        <v>2093</v>
      </c>
      <c r="B10833" t="s">
        <v>1204</v>
      </c>
    </row>
    <row r="10834" spans="1:2" x14ac:dyDescent="0.25">
      <c r="A10834" t="s">
        <v>2093</v>
      </c>
      <c r="B10834" t="s">
        <v>1214</v>
      </c>
    </row>
    <row r="10835" spans="1:2" x14ac:dyDescent="0.25">
      <c r="A10835" t="s">
        <v>2093</v>
      </c>
      <c r="B10835" t="s">
        <v>1215</v>
      </c>
    </row>
    <row r="10836" spans="1:2" x14ac:dyDescent="0.25">
      <c r="A10836" t="s">
        <v>2093</v>
      </c>
      <c r="B10836" t="s">
        <v>1216</v>
      </c>
    </row>
    <row r="10837" spans="1:2" x14ac:dyDescent="0.25">
      <c r="A10837" t="s">
        <v>2093</v>
      </c>
      <c r="B10837" t="s">
        <v>1217</v>
      </c>
    </row>
    <row r="10838" spans="1:2" x14ac:dyDescent="0.25">
      <c r="A10838" t="s">
        <v>2093</v>
      </c>
      <c r="B10838" t="s">
        <v>1218</v>
      </c>
    </row>
    <row r="10839" spans="1:2" x14ac:dyDescent="0.25">
      <c r="A10839" t="s">
        <v>2093</v>
      </c>
      <c r="B10839" t="s">
        <v>1218</v>
      </c>
    </row>
    <row r="10840" spans="1:2" x14ac:dyDescent="0.25">
      <c r="A10840" t="s">
        <v>2093</v>
      </c>
      <c r="B10840" t="s">
        <v>1219</v>
      </c>
    </row>
    <row r="10841" spans="1:2" x14ac:dyDescent="0.25">
      <c r="A10841" t="s">
        <v>2093</v>
      </c>
      <c r="B10841" t="s">
        <v>1219</v>
      </c>
    </row>
    <row r="10842" spans="1:2" x14ac:dyDescent="0.25">
      <c r="A10842" t="s">
        <v>2093</v>
      </c>
      <c r="B10842" t="s">
        <v>1220</v>
      </c>
    </row>
    <row r="10843" spans="1:2" x14ac:dyDescent="0.25">
      <c r="A10843" t="s">
        <v>2093</v>
      </c>
      <c r="B10843" t="s">
        <v>1220</v>
      </c>
    </row>
    <row r="10844" spans="1:2" x14ac:dyDescent="0.25">
      <c r="A10844" t="s">
        <v>2093</v>
      </c>
      <c r="B10844" t="s">
        <v>1226</v>
      </c>
    </row>
    <row r="10845" spans="1:2" x14ac:dyDescent="0.25">
      <c r="A10845" t="s">
        <v>2093</v>
      </c>
      <c r="B10845" t="s">
        <v>1229</v>
      </c>
    </row>
    <row r="10846" spans="1:2" x14ac:dyDescent="0.25">
      <c r="A10846" t="s">
        <v>2093</v>
      </c>
      <c r="B10846" t="s">
        <v>1230</v>
      </c>
    </row>
    <row r="10847" spans="1:2" x14ac:dyDescent="0.25">
      <c r="A10847" t="s">
        <v>2093</v>
      </c>
      <c r="B10847" t="s">
        <v>1231</v>
      </c>
    </row>
    <row r="10848" spans="1:2" x14ac:dyDescent="0.25">
      <c r="A10848" t="s">
        <v>2093</v>
      </c>
      <c r="B10848" t="s">
        <v>1233</v>
      </c>
    </row>
    <row r="10849" spans="1:2" x14ac:dyDescent="0.25">
      <c r="A10849" t="s">
        <v>2093</v>
      </c>
      <c r="B10849" t="s">
        <v>1253</v>
      </c>
    </row>
    <row r="10850" spans="1:2" x14ac:dyDescent="0.25">
      <c r="A10850" t="s">
        <v>2093</v>
      </c>
      <c r="B10850" t="s">
        <v>1254</v>
      </c>
    </row>
    <row r="10851" spans="1:2" x14ac:dyDescent="0.25">
      <c r="A10851" t="s">
        <v>2108</v>
      </c>
      <c r="B10851" t="s">
        <v>1140</v>
      </c>
    </row>
    <row r="10852" spans="1:2" x14ac:dyDescent="0.25">
      <c r="A10852" t="s">
        <v>2108</v>
      </c>
      <c r="B10852" t="s">
        <v>1141</v>
      </c>
    </row>
    <row r="10853" spans="1:2" x14ac:dyDescent="0.25">
      <c r="A10853" t="s">
        <v>2108</v>
      </c>
      <c r="B10853" t="s">
        <v>1142</v>
      </c>
    </row>
    <row r="10854" spans="1:2" x14ac:dyDescent="0.25">
      <c r="A10854" t="s">
        <v>2108</v>
      </c>
      <c r="B10854" t="s">
        <v>1150</v>
      </c>
    </row>
    <row r="10855" spans="1:2" x14ac:dyDescent="0.25">
      <c r="A10855" t="s">
        <v>2108</v>
      </c>
      <c r="B10855" t="s">
        <v>1151</v>
      </c>
    </row>
    <row r="10856" spans="1:2" x14ac:dyDescent="0.25">
      <c r="A10856" t="s">
        <v>2108</v>
      </c>
      <c r="B10856" t="s">
        <v>1179</v>
      </c>
    </row>
    <row r="10857" spans="1:2" x14ac:dyDescent="0.25">
      <c r="A10857" t="s">
        <v>2108</v>
      </c>
      <c r="B10857" t="s">
        <v>1205</v>
      </c>
    </row>
    <row r="10858" spans="1:2" x14ac:dyDescent="0.25">
      <c r="A10858" t="s">
        <v>2108</v>
      </c>
      <c r="B10858" t="s">
        <v>1206</v>
      </c>
    </row>
    <row r="10859" spans="1:2" x14ac:dyDescent="0.25">
      <c r="A10859" t="s">
        <v>2108</v>
      </c>
      <c r="B10859" t="s">
        <v>1207</v>
      </c>
    </row>
    <row r="10860" spans="1:2" x14ac:dyDescent="0.25">
      <c r="A10860" t="s">
        <v>2108</v>
      </c>
      <c r="B10860" t="s">
        <v>1208</v>
      </c>
    </row>
    <row r="10861" spans="1:2" x14ac:dyDescent="0.25">
      <c r="A10861" t="s">
        <v>2108</v>
      </c>
      <c r="B10861" t="s">
        <v>1232</v>
      </c>
    </row>
    <row r="10862" spans="1:2" x14ac:dyDescent="0.25">
      <c r="A10862" t="s">
        <v>2108</v>
      </c>
      <c r="B10862" t="s">
        <v>1233</v>
      </c>
    </row>
    <row r="10863" spans="1:2" x14ac:dyDescent="0.25">
      <c r="A10863" t="s">
        <v>2108</v>
      </c>
      <c r="B10863" t="s">
        <v>1234</v>
      </c>
    </row>
    <row r="10864" spans="1:2" x14ac:dyDescent="0.25">
      <c r="A10864" t="s">
        <v>2108</v>
      </c>
      <c r="B10864" t="s">
        <v>1235</v>
      </c>
    </row>
    <row r="10865" spans="1:2" x14ac:dyDescent="0.25">
      <c r="A10865" t="s">
        <v>2108</v>
      </c>
      <c r="B10865" t="s">
        <v>1236</v>
      </c>
    </row>
    <row r="10866" spans="1:2" x14ac:dyDescent="0.25">
      <c r="A10866" t="s">
        <v>2108</v>
      </c>
      <c r="B10866" t="s">
        <v>1237</v>
      </c>
    </row>
    <row r="10867" spans="1:2" x14ac:dyDescent="0.25">
      <c r="A10867" t="s">
        <v>2108</v>
      </c>
      <c r="B10867" t="s">
        <v>1238</v>
      </c>
    </row>
    <row r="10868" spans="1:2" x14ac:dyDescent="0.25">
      <c r="A10868" t="s">
        <v>2108</v>
      </c>
      <c r="B10868" t="s">
        <v>1239</v>
      </c>
    </row>
    <row r="10869" spans="1:2" x14ac:dyDescent="0.25">
      <c r="A10869" t="s">
        <v>2108</v>
      </c>
      <c r="B10869" t="s">
        <v>1240</v>
      </c>
    </row>
    <row r="10870" spans="1:2" x14ac:dyDescent="0.25">
      <c r="A10870" t="s">
        <v>2108</v>
      </c>
      <c r="B10870" t="s">
        <v>1241</v>
      </c>
    </row>
    <row r="10871" spans="1:2" x14ac:dyDescent="0.25">
      <c r="A10871" t="s">
        <v>2108</v>
      </c>
      <c r="B10871" t="s">
        <v>1242</v>
      </c>
    </row>
    <row r="10872" spans="1:2" x14ac:dyDescent="0.25">
      <c r="A10872" t="s">
        <v>2108</v>
      </c>
      <c r="B10872" t="s">
        <v>1243</v>
      </c>
    </row>
    <row r="10873" spans="1:2" x14ac:dyDescent="0.25">
      <c r="A10873" t="s">
        <v>2108</v>
      </c>
      <c r="B10873" t="s">
        <v>1244</v>
      </c>
    </row>
    <row r="10874" spans="1:2" x14ac:dyDescent="0.25">
      <c r="A10874" t="s">
        <v>2108</v>
      </c>
      <c r="B10874" t="s">
        <v>1245</v>
      </c>
    </row>
    <row r="10875" spans="1:2" x14ac:dyDescent="0.25">
      <c r="A10875" t="s">
        <v>2108</v>
      </c>
      <c r="B10875" t="s">
        <v>1246</v>
      </c>
    </row>
    <row r="10876" spans="1:2" x14ac:dyDescent="0.25">
      <c r="A10876" t="s">
        <v>2108</v>
      </c>
      <c r="B10876" t="s">
        <v>1247</v>
      </c>
    </row>
    <row r="10877" spans="1:2" x14ac:dyDescent="0.25">
      <c r="A10877" t="s">
        <v>2108</v>
      </c>
      <c r="B10877" t="s">
        <v>1248</v>
      </c>
    </row>
    <row r="10878" spans="1:2" x14ac:dyDescent="0.25">
      <c r="A10878" t="s">
        <v>2108</v>
      </c>
      <c r="B10878" t="s">
        <v>1249</v>
      </c>
    </row>
    <row r="10879" spans="1:2" x14ac:dyDescent="0.25">
      <c r="A10879" t="s">
        <v>2108</v>
      </c>
      <c r="B10879" t="s">
        <v>1250</v>
      </c>
    </row>
    <row r="10880" spans="1:2" x14ac:dyDescent="0.25">
      <c r="A10880" t="s">
        <v>1964</v>
      </c>
      <c r="B10880" t="s">
        <v>1114</v>
      </c>
    </row>
    <row r="10881" spans="1:2" x14ac:dyDescent="0.25">
      <c r="A10881" t="s">
        <v>1964</v>
      </c>
      <c r="B10881" t="s">
        <v>1115</v>
      </c>
    </row>
    <row r="10882" spans="1:2" x14ac:dyDescent="0.25">
      <c r="A10882" t="s">
        <v>1964</v>
      </c>
      <c r="B10882" t="s">
        <v>1166</v>
      </c>
    </row>
    <row r="10883" spans="1:2" x14ac:dyDescent="0.25">
      <c r="A10883" t="s">
        <v>1964</v>
      </c>
      <c r="B10883" t="s">
        <v>1167</v>
      </c>
    </row>
    <row r="10884" spans="1:2" x14ac:dyDescent="0.25">
      <c r="A10884" t="s">
        <v>1964</v>
      </c>
      <c r="B10884" t="s">
        <v>1168</v>
      </c>
    </row>
    <row r="10885" spans="1:2" x14ac:dyDescent="0.25">
      <c r="A10885" t="s">
        <v>1964</v>
      </c>
      <c r="B10885" t="s">
        <v>1186</v>
      </c>
    </row>
    <row r="10886" spans="1:2" x14ac:dyDescent="0.25">
      <c r="A10886" t="s">
        <v>1964</v>
      </c>
      <c r="B10886" t="s">
        <v>1187</v>
      </c>
    </row>
    <row r="10887" spans="1:2" x14ac:dyDescent="0.25">
      <c r="A10887" t="s">
        <v>1964</v>
      </c>
      <c r="B10887" t="s">
        <v>1188</v>
      </c>
    </row>
    <row r="10888" spans="1:2" x14ac:dyDescent="0.25">
      <c r="A10888" t="s">
        <v>1964</v>
      </c>
      <c r="B10888" t="s">
        <v>1189</v>
      </c>
    </row>
    <row r="10889" spans="1:2" x14ac:dyDescent="0.25">
      <c r="A10889" t="s">
        <v>1964</v>
      </c>
      <c r="B10889" t="s">
        <v>1195</v>
      </c>
    </row>
    <row r="10890" spans="1:2" x14ac:dyDescent="0.25">
      <c r="A10890" t="s">
        <v>1964</v>
      </c>
      <c r="B10890" t="s">
        <v>1196</v>
      </c>
    </row>
    <row r="10891" spans="1:2" x14ac:dyDescent="0.25">
      <c r="A10891" t="s">
        <v>1882</v>
      </c>
      <c r="B10891" t="s">
        <v>1112</v>
      </c>
    </row>
    <row r="10892" spans="1:2" x14ac:dyDescent="0.25">
      <c r="A10892" t="s">
        <v>1882</v>
      </c>
      <c r="B10892" t="s">
        <v>1113</v>
      </c>
    </row>
    <row r="10893" spans="1:2" x14ac:dyDescent="0.25">
      <c r="A10893" t="s">
        <v>1882</v>
      </c>
      <c r="B10893" t="s">
        <v>1114</v>
      </c>
    </row>
    <row r="10894" spans="1:2" x14ac:dyDescent="0.25">
      <c r="A10894" t="s">
        <v>1882</v>
      </c>
      <c r="B10894" t="s">
        <v>1114</v>
      </c>
    </row>
    <row r="10895" spans="1:2" x14ac:dyDescent="0.25">
      <c r="A10895" t="s">
        <v>1882</v>
      </c>
      <c r="B10895" t="s">
        <v>1115</v>
      </c>
    </row>
    <row r="10896" spans="1:2" x14ac:dyDescent="0.25">
      <c r="A10896" t="s">
        <v>1882</v>
      </c>
      <c r="B10896" t="s">
        <v>1166</v>
      </c>
    </row>
    <row r="10897" spans="1:2" x14ac:dyDescent="0.25">
      <c r="A10897" t="s">
        <v>1882</v>
      </c>
      <c r="B10897" t="s">
        <v>1167</v>
      </c>
    </row>
    <row r="10898" spans="1:2" x14ac:dyDescent="0.25">
      <c r="A10898" t="s">
        <v>1882</v>
      </c>
      <c r="B10898" t="s">
        <v>1168</v>
      </c>
    </row>
    <row r="10899" spans="1:2" x14ac:dyDescent="0.25">
      <c r="A10899" t="s">
        <v>1882</v>
      </c>
      <c r="B10899" t="s">
        <v>1186</v>
      </c>
    </row>
    <row r="10900" spans="1:2" x14ac:dyDescent="0.25">
      <c r="A10900" t="s">
        <v>1882</v>
      </c>
      <c r="B10900" t="s">
        <v>1187</v>
      </c>
    </row>
    <row r="10901" spans="1:2" x14ac:dyDescent="0.25">
      <c r="A10901" t="s">
        <v>1882</v>
      </c>
      <c r="B10901" t="s">
        <v>1188</v>
      </c>
    </row>
    <row r="10902" spans="1:2" x14ac:dyDescent="0.25">
      <c r="A10902" t="s">
        <v>1882</v>
      </c>
      <c r="B10902" t="s">
        <v>1189</v>
      </c>
    </row>
    <row r="10903" spans="1:2" x14ac:dyDescent="0.25">
      <c r="A10903" t="s">
        <v>1882</v>
      </c>
      <c r="B10903" t="s">
        <v>1195</v>
      </c>
    </row>
    <row r="10904" spans="1:2" x14ac:dyDescent="0.25">
      <c r="A10904" t="s">
        <v>1882</v>
      </c>
      <c r="B10904" t="s">
        <v>1196</v>
      </c>
    </row>
    <row r="10905" spans="1:2" x14ac:dyDescent="0.25">
      <c r="A10905" t="s">
        <v>1938</v>
      </c>
      <c r="B10905" t="s">
        <v>1113</v>
      </c>
    </row>
    <row r="10906" spans="1:2" x14ac:dyDescent="0.25">
      <c r="A10906" t="s">
        <v>1938</v>
      </c>
      <c r="B10906" t="s">
        <v>1114</v>
      </c>
    </row>
    <row r="10907" spans="1:2" x14ac:dyDescent="0.25">
      <c r="A10907" t="s">
        <v>1938</v>
      </c>
      <c r="B10907" t="s">
        <v>1115</v>
      </c>
    </row>
    <row r="10908" spans="1:2" x14ac:dyDescent="0.25">
      <c r="A10908" t="s">
        <v>1938</v>
      </c>
      <c r="B10908" t="s">
        <v>1133</v>
      </c>
    </row>
    <row r="10909" spans="1:2" x14ac:dyDescent="0.25">
      <c r="A10909" t="s">
        <v>1938</v>
      </c>
      <c r="B10909" t="s">
        <v>1166</v>
      </c>
    </row>
    <row r="10910" spans="1:2" x14ac:dyDescent="0.25">
      <c r="A10910" t="s">
        <v>1938</v>
      </c>
      <c r="B10910" t="s">
        <v>1167</v>
      </c>
    </row>
    <row r="10911" spans="1:2" x14ac:dyDescent="0.25">
      <c r="A10911" t="s">
        <v>1938</v>
      </c>
      <c r="B10911" t="s">
        <v>1168</v>
      </c>
    </row>
    <row r="10912" spans="1:2" x14ac:dyDescent="0.25">
      <c r="A10912" t="s">
        <v>1938</v>
      </c>
      <c r="B10912" t="s">
        <v>1186</v>
      </c>
    </row>
    <row r="10913" spans="1:2" x14ac:dyDescent="0.25">
      <c r="A10913" t="s">
        <v>1938</v>
      </c>
      <c r="B10913" t="s">
        <v>1187</v>
      </c>
    </row>
    <row r="10914" spans="1:2" x14ac:dyDescent="0.25">
      <c r="A10914" t="s">
        <v>1938</v>
      </c>
      <c r="B10914" t="s">
        <v>1188</v>
      </c>
    </row>
    <row r="10915" spans="1:2" x14ac:dyDescent="0.25">
      <c r="A10915" t="s">
        <v>1938</v>
      </c>
      <c r="B10915" t="s">
        <v>1189</v>
      </c>
    </row>
    <row r="10916" spans="1:2" x14ac:dyDescent="0.25">
      <c r="A10916" t="s">
        <v>1938</v>
      </c>
      <c r="B10916" t="s">
        <v>1195</v>
      </c>
    </row>
    <row r="10917" spans="1:2" x14ac:dyDescent="0.25">
      <c r="A10917" t="s">
        <v>1938</v>
      </c>
      <c r="B10917" t="s">
        <v>1196</v>
      </c>
    </row>
    <row r="10918" spans="1:2" x14ac:dyDescent="0.25">
      <c r="A10918" t="s">
        <v>1928</v>
      </c>
      <c r="B10918" t="s">
        <v>1113</v>
      </c>
    </row>
    <row r="10919" spans="1:2" x14ac:dyDescent="0.25">
      <c r="A10919" t="s">
        <v>1928</v>
      </c>
      <c r="B10919" t="s">
        <v>1114</v>
      </c>
    </row>
    <row r="10920" spans="1:2" x14ac:dyDescent="0.25">
      <c r="A10920" t="s">
        <v>1928</v>
      </c>
      <c r="B10920" t="s">
        <v>1115</v>
      </c>
    </row>
    <row r="10921" spans="1:2" x14ac:dyDescent="0.25">
      <c r="A10921" t="s">
        <v>1928</v>
      </c>
      <c r="B10921" t="s">
        <v>1133</v>
      </c>
    </row>
    <row r="10922" spans="1:2" x14ac:dyDescent="0.25">
      <c r="A10922" t="s">
        <v>1928</v>
      </c>
      <c r="B10922" t="s">
        <v>1166</v>
      </c>
    </row>
    <row r="10923" spans="1:2" x14ac:dyDescent="0.25">
      <c r="A10923" t="s">
        <v>1928</v>
      </c>
      <c r="B10923" t="s">
        <v>1167</v>
      </c>
    </row>
    <row r="10924" spans="1:2" x14ac:dyDescent="0.25">
      <c r="A10924" t="s">
        <v>1928</v>
      </c>
      <c r="B10924" t="s">
        <v>1168</v>
      </c>
    </row>
    <row r="10925" spans="1:2" x14ac:dyDescent="0.25">
      <c r="A10925" t="s">
        <v>1928</v>
      </c>
      <c r="B10925" t="s">
        <v>1186</v>
      </c>
    </row>
    <row r="10926" spans="1:2" x14ac:dyDescent="0.25">
      <c r="A10926" t="s">
        <v>1928</v>
      </c>
      <c r="B10926" t="s">
        <v>1187</v>
      </c>
    </row>
    <row r="10927" spans="1:2" x14ac:dyDescent="0.25">
      <c r="A10927" t="s">
        <v>1928</v>
      </c>
      <c r="B10927" t="s">
        <v>1188</v>
      </c>
    </row>
    <row r="10928" spans="1:2" x14ac:dyDescent="0.25">
      <c r="A10928" t="s">
        <v>1928</v>
      </c>
      <c r="B10928" t="s">
        <v>1189</v>
      </c>
    </row>
    <row r="10929" spans="1:2" x14ac:dyDescent="0.25">
      <c r="A10929" t="s">
        <v>1928</v>
      </c>
      <c r="B10929" t="s">
        <v>1195</v>
      </c>
    </row>
    <row r="10930" spans="1:2" x14ac:dyDescent="0.25">
      <c r="A10930" t="s">
        <v>1928</v>
      </c>
      <c r="B10930" t="s">
        <v>1196</v>
      </c>
    </row>
    <row r="10931" spans="1:2" x14ac:dyDescent="0.25">
      <c r="A10931" t="s">
        <v>1929</v>
      </c>
      <c r="B10931" t="s">
        <v>1113</v>
      </c>
    </row>
    <row r="10932" spans="1:2" x14ac:dyDescent="0.25">
      <c r="A10932" t="s">
        <v>1929</v>
      </c>
      <c r="B10932" t="s">
        <v>1114</v>
      </c>
    </row>
    <row r="10933" spans="1:2" x14ac:dyDescent="0.25">
      <c r="A10933" t="s">
        <v>1929</v>
      </c>
      <c r="B10933" t="s">
        <v>1115</v>
      </c>
    </row>
    <row r="10934" spans="1:2" x14ac:dyDescent="0.25">
      <c r="A10934" t="s">
        <v>1929</v>
      </c>
      <c r="B10934" t="s">
        <v>1133</v>
      </c>
    </row>
    <row r="10935" spans="1:2" x14ac:dyDescent="0.25">
      <c r="A10935" t="s">
        <v>1929</v>
      </c>
      <c r="B10935" t="s">
        <v>1166</v>
      </c>
    </row>
    <row r="10936" spans="1:2" x14ac:dyDescent="0.25">
      <c r="A10936" t="s">
        <v>1929</v>
      </c>
      <c r="B10936" t="s">
        <v>1167</v>
      </c>
    </row>
    <row r="10937" spans="1:2" x14ac:dyDescent="0.25">
      <c r="A10937" t="s">
        <v>1929</v>
      </c>
      <c r="B10937" t="s">
        <v>1168</v>
      </c>
    </row>
    <row r="10938" spans="1:2" x14ac:dyDescent="0.25">
      <c r="A10938" t="s">
        <v>1929</v>
      </c>
      <c r="B10938" t="s">
        <v>1186</v>
      </c>
    </row>
    <row r="10939" spans="1:2" x14ac:dyDescent="0.25">
      <c r="A10939" t="s">
        <v>1929</v>
      </c>
      <c r="B10939" t="s">
        <v>1187</v>
      </c>
    </row>
    <row r="10940" spans="1:2" x14ac:dyDescent="0.25">
      <c r="A10940" t="s">
        <v>1929</v>
      </c>
      <c r="B10940" t="s">
        <v>1188</v>
      </c>
    </row>
    <row r="10941" spans="1:2" x14ac:dyDescent="0.25">
      <c r="A10941" t="s">
        <v>1929</v>
      </c>
      <c r="B10941" t="s">
        <v>1189</v>
      </c>
    </row>
    <row r="10942" spans="1:2" x14ac:dyDescent="0.25">
      <c r="A10942" t="s">
        <v>1929</v>
      </c>
      <c r="B10942" t="s">
        <v>1195</v>
      </c>
    </row>
    <row r="10943" spans="1:2" x14ac:dyDescent="0.25">
      <c r="A10943" t="s">
        <v>1929</v>
      </c>
      <c r="B10943" t="s">
        <v>1196</v>
      </c>
    </row>
    <row r="10944" spans="1:2" x14ac:dyDescent="0.25">
      <c r="A10944" t="s">
        <v>1930</v>
      </c>
      <c r="B10944" t="s">
        <v>1113</v>
      </c>
    </row>
    <row r="10945" spans="1:2" x14ac:dyDescent="0.25">
      <c r="A10945" t="s">
        <v>1930</v>
      </c>
      <c r="B10945" t="s">
        <v>1114</v>
      </c>
    </row>
    <row r="10946" spans="1:2" x14ac:dyDescent="0.25">
      <c r="A10946" t="s">
        <v>1930</v>
      </c>
      <c r="B10946" t="s">
        <v>1115</v>
      </c>
    </row>
    <row r="10947" spans="1:2" x14ac:dyDescent="0.25">
      <c r="A10947" t="s">
        <v>1930</v>
      </c>
      <c r="B10947" t="s">
        <v>1133</v>
      </c>
    </row>
    <row r="10948" spans="1:2" x14ac:dyDescent="0.25">
      <c r="A10948" t="s">
        <v>1930</v>
      </c>
      <c r="B10948" t="s">
        <v>1166</v>
      </c>
    </row>
    <row r="10949" spans="1:2" x14ac:dyDescent="0.25">
      <c r="A10949" t="s">
        <v>1930</v>
      </c>
      <c r="B10949" t="s">
        <v>1167</v>
      </c>
    </row>
    <row r="10950" spans="1:2" x14ac:dyDescent="0.25">
      <c r="A10950" t="s">
        <v>1930</v>
      </c>
      <c r="B10950" t="s">
        <v>1168</v>
      </c>
    </row>
    <row r="10951" spans="1:2" x14ac:dyDescent="0.25">
      <c r="A10951" t="s">
        <v>1930</v>
      </c>
      <c r="B10951" t="s">
        <v>1186</v>
      </c>
    </row>
    <row r="10952" spans="1:2" x14ac:dyDescent="0.25">
      <c r="A10952" t="s">
        <v>1930</v>
      </c>
      <c r="B10952" t="s">
        <v>1187</v>
      </c>
    </row>
    <row r="10953" spans="1:2" x14ac:dyDescent="0.25">
      <c r="A10953" t="s">
        <v>1930</v>
      </c>
      <c r="B10953" t="s">
        <v>1188</v>
      </c>
    </row>
    <row r="10954" spans="1:2" x14ac:dyDescent="0.25">
      <c r="A10954" t="s">
        <v>1930</v>
      </c>
      <c r="B10954" t="s">
        <v>1189</v>
      </c>
    </row>
    <row r="10955" spans="1:2" x14ac:dyDescent="0.25">
      <c r="A10955" t="s">
        <v>1930</v>
      </c>
      <c r="B10955" t="s">
        <v>1195</v>
      </c>
    </row>
    <row r="10956" spans="1:2" x14ac:dyDescent="0.25">
      <c r="A10956" t="s">
        <v>1930</v>
      </c>
      <c r="B10956" t="s">
        <v>1196</v>
      </c>
    </row>
    <row r="10957" spans="1:2" x14ac:dyDescent="0.25">
      <c r="A10957" t="s">
        <v>1931</v>
      </c>
      <c r="B10957" t="s">
        <v>1113</v>
      </c>
    </row>
    <row r="10958" spans="1:2" x14ac:dyDescent="0.25">
      <c r="A10958" t="s">
        <v>1931</v>
      </c>
      <c r="B10958" t="s">
        <v>1114</v>
      </c>
    </row>
    <row r="10959" spans="1:2" x14ac:dyDescent="0.25">
      <c r="A10959" t="s">
        <v>1931</v>
      </c>
      <c r="B10959" t="s">
        <v>1115</v>
      </c>
    </row>
    <row r="10960" spans="1:2" x14ac:dyDescent="0.25">
      <c r="A10960" t="s">
        <v>1931</v>
      </c>
      <c r="B10960" t="s">
        <v>1133</v>
      </c>
    </row>
    <row r="10961" spans="1:2" x14ac:dyDescent="0.25">
      <c r="A10961" t="s">
        <v>1931</v>
      </c>
      <c r="B10961" t="s">
        <v>1166</v>
      </c>
    </row>
    <row r="10962" spans="1:2" x14ac:dyDescent="0.25">
      <c r="A10962" t="s">
        <v>1931</v>
      </c>
      <c r="B10962" t="s">
        <v>1167</v>
      </c>
    </row>
    <row r="10963" spans="1:2" x14ac:dyDescent="0.25">
      <c r="A10963" t="s">
        <v>1931</v>
      </c>
      <c r="B10963" t="s">
        <v>1168</v>
      </c>
    </row>
    <row r="10964" spans="1:2" x14ac:dyDescent="0.25">
      <c r="A10964" t="s">
        <v>1931</v>
      </c>
      <c r="B10964" t="s">
        <v>1186</v>
      </c>
    </row>
    <row r="10965" spans="1:2" x14ac:dyDescent="0.25">
      <c r="A10965" t="s">
        <v>1931</v>
      </c>
      <c r="B10965" t="s">
        <v>1187</v>
      </c>
    </row>
    <row r="10966" spans="1:2" x14ac:dyDescent="0.25">
      <c r="A10966" t="s">
        <v>1931</v>
      </c>
      <c r="B10966" t="s">
        <v>1188</v>
      </c>
    </row>
    <row r="10967" spans="1:2" x14ac:dyDescent="0.25">
      <c r="A10967" t="s">
        <v>1931</v>
      </c>
      <c r="B10967" t="s">
        <v>1189</v>
      </c>
    </row>
    <row r="10968" spans="1:2" x14ac:dyDescent="0.25">
      <c r="A10968" t="s">
        <v>1931</v>
      </c>
      <c r="B10968" t="s">
        <v>1195</v>
      </c>
    </row>
    <row r="10969" spans="1:2" x14ac:dyDescent="0.25">
      <c r="A10969" t="s">
        <v>1931</v>
      </c>
      <c r="B10969" t="s">
        <v>1196</v>
      </c>
    </row>
    <row r="10970" spans="1:2" x14ac:dyDescent="0.25">
      <c r="A10970" t="s">
        <v>2268</v>
      </c>
      <c r="B10970" t="s">
        <v>1187</v>
      </c>
    </row>
    <row r="10971" spans="1:2" x14ac:dyDescent="0.25">
      <c r="A10971" t="s">
        <v>2268</v>
      </c>
      <c r="B10971" t="s">
        <v>1188</v>
      </c>
    </row>
    <row r="10972" spans="1:2" x14ac:dyDescent="0.25">
      <c r="A10972" t="s">
        <v>2268</v>
      </c>
      <c r="B10972" t="s">
        <v>1195</v>
      </c>
    </row>
    <row r="10973" spans="1:2" x14ac:dyDescent="0.25">
      <c r="A10973" t="s">
        <v>2268</v>
      </c>
      <c r="B10973" t="s">
        <v>1196</v>
      </c>
    </row>
    <row r="10974" spans="1:2" x14ac:dyDescent="0.25">
      <c r="A10974" t="s">
        <v>1927</v>
      </c>
      <c r="B10974" t="s">
        <v>1113</v>
      </c>
    </row>
    <row r="10975" spans="1:2" x14ac:dyDescent="0.25">
      <c r="A10975" t="s">
        <v>1927</v>
      </c>
      <c r="B10975" t="s">
        <v>1114</v>
      </c>
    </row>
    <row r="10976" spans="1:2" x14ac:dyDescent="0.25">
      <c r="A10976" t="s">
        <v>1927</v>
      </c>
      <c r="B10976" t="s">
        <v>1114</v>
      </c>
    </row>
    <row r="10977" spans="1:2" x14ac:dyDescent="0.25">
      <c r="A10977" t="s">
        <v>1927</v>
      </c>
      <c r="B10977" t="s">
        <v>1115</v>
      </c>
    </row>
    <row r="10978" spans="1:2" x14ac:dyDescent="0.25">
      <c r="A10978" t="s">
        <v>1927</v>
      </c>
      <c r="B10978" t="s">
        <v>1133</v>
      </c>
    </row>
    <row r="10979" spans="1:2" x14ac:dyDescent="0.25">
      <c r="A10979" t="s">
        <v>1927</v>
      </c>
      <c r="B10979" t="s">
        <v>1166</v>
      </c>
    </row>
    <row r="10980" spans="1:2" x14ac:dyDescent="0.25">
      <c r="A10980" t="s">
        <v>1927</v>
      </c>
      <c r="B10980" t="s">
        <v>1167</v>
      </c>
    </row>
    <row r="10981" spans="1:2" x14ac:dyDescent="0.25">
      <c r="A10981" t="s">
        <v>1927</v>
      </c>
      <c r="B10981" t="s">
        <v>1168</v>
      </c>
    </row>
    <row r="10982" spans="1:2" x14ac:dyDescent="0.25">
      <c r="A10982" t="s">
        <v>1927</v>
      </c>
      <c r="B10982" t="s">
        <v>1186</v>
      </c>
    </row>
    <row r="10983" spans="1:2" x14ac:dyDescent="0.25">
      <c r="A10983" t="s">
        <v>1927</v>
      </c>
      <c r="B10983" t="s">
        <v>1187</v>
      </c>
    </row>
    <row r="10984" spans="1:2" x14ac:dyDescent="0.25">
      <c r="A10984" t="s">
        <v>1927</v>
      </c>
      <c r="B10984" t="s">
        <v>1188</v>
      </c>
    </row>
    <row r="10985" spans="1:2" x14ac:dyDescent="0.25">
      <c r="A10985" t="s">
        <v>1927</v>
      </c>
      <c r="B10985" t="s">
        <v>1189</v>
      </c>
    </row>
    <row r="10986" spans="1:2" x14ac:dyDescent="0.25">
      <c r="A10986" t="s">
        <v>1927</v>
      </c>
      <c r="B10986" t="s">
        <v>1195</v>
      </c>
    </row>
    <row r="10987" spans="1:2" x14ac:dyDescent="0.25">
      <c r="A10987" t="s">
        <v>1927</v>
      </c>
      <c r="B10987" t="s">
        <v>1196</v>
      </c>
    </row>
    <row r="10988" spans="1:2" x14ac:dyDescent="0.25">
      <c r="A10988" t="s">
        <v>1966</v>
      </c>
      <c r="B10988" t="s">
        <v>1114</v>
      </c>
    </row>
    <row r="10989" spans="1:2" x14ac:dyDescent="0.25">
      <c r="A10989" t="s">
        <v>1966</v>
      </c>
      <c r="B10989" t="s">
        <v>1115</v>
      </c>
    </row>
    <row r="10990" spans="1:2" x14ac:dyDescent="0.25">
      <c r="A10990" t="s">
        <v>1966</v>
      </c>
      <c r="B10990" t="s">
        <v>1166</v>
      </c>
    </row>
    <row r="10991" spans="1:2" x14ac:dyDescent="0.25">
      <c r="A10991" t="s">
        <v>1966</v>
      </c>
      <c r="B10991" t="s">
        <v>1167</v>
      </c>
    </row>
    <row r="10992" spans="1:2" x14ac:dyDescent="0.25">
      <c r="A10992" t="s">
        <v>1966</v>
      </c>
      <c r="B10992" t="s">
        <v>1168</v>
      </c>
    </row>
    <row r="10993" spans="1:2" x14ac:dyDescent="0.25">
      <c r="A10993" t="s">
        <v>1966</v>
      </c>
      <c r="B10993" t="s">
        <v>1186</v>
      </c>
    </row>
    <row r="10994" spans="1:2" x14ac:dyDescent="0.25">
      <c r="A10994" t="s">
        <v>1966</v>
      </c>
      <c r="B10994" t="s">
        <v>1187</v>
      </c>
    </row>
    <row r="10995" spans="1:2" x14ac:dyDescent="0.25">
      <c r="A10995" t="s">
        <v>1966</v>
      </c>
      <c r="B10995" t="s">
        <v>1188</v>
      </c>
    </row>
    <row r="10996" spans="1:2" x14ac:dyDescent="0.25">
      <c r="A10996" t="s">
        <v>1966</v>
      </c>
      <c r="B10996" t="s">
        <v>1189</v>
      </c>
    </row>
    <row r="10997" spans="1:2" x14ac:dyDescent="0.25">
      <c r="A10997" t="s">
        <v>1966</v>
      </c>
      <c r="B10997" t="s">
        <v>1195</v>
      </c>
    </row>
    <row r="10998" spans="1:2" x14ac:dyDescent="0.25">
      <c r="A10998" t="s">
        <v>1966</v>
      </c>
      <c r="B10998" t="s">
        <v>1196</v>
      </c>
    </row>
    <row r="10999" spans="1:2" x14ac:dyDescent="0.25">
      <c r="A10999" t="s">
        <v>1673</v>
      </c>
      <c r="B10999" t="s">
        <v>1099</v>
      </c>
    </row>
    <row r="11000" spans="1:2" x14ac:dyDescent="0.25">
      <c r="A11000" t="s">
        <v>1673</v>
      </c>
      <c r="B11000" t="s">
        <v>1100</v>
      </c>
    </row>
    <row r="11001" spans="1:2" x14ac:dyDescent="0.25">
      <c r="A11001" t="s">
        <v>1673</v>
      </c>
      <c r="B11001" t="s">
        <v>1101</v>
      </c>
    </row>
    <row r="11002" spans="1:2" x14ac:dyDescent="0.25">
      <c r="A11002" t="s">
        <v>1673</v>
      </c>
      <c r="B11002" t="s">
        <v>1102</v>
      </c>
    </row>
    <row r="11003" spans="1:2" x14ac:dyDescent="0.25">
      <c r="A11003" t="s">
        <v>1673</v>
      </c>
      <c r="B11003" t="s">
        <v>1103</v>
      </c>
    </row>
    <row r="11004" spans="1:2" x14ac:dyDescent="0.25">
      <c r="A11004" t="s">
        <v>1673</v>
      </c>
      <c r="B11004" t="s">
        <v>1104</v>
      </c>
    </row>
    <row r="11005" spans="1:2" x14ac:dyDescent="0.25">
      <c r="A11005" t="s">
        <v>1673</v>
      </c>
      <c r="B11005" t="s">
        <v>1105</v>
      </c>
    </row>
    <row r="11006" spans="1:2" x14ac:dyDescent="0.25">
      <c r="A11006" t="s">
        <v>1673</v>
      </c>
      <c r="B11006" t="s">
        <v>1106</v>
      </c>
    </row>
    <row r="11007" spans="1:2" x14ac:dyDescent="0.25">
      <c r="A11007" t="s">
        <v>1673</v>
      </c>
      <c r="B11007" t="s">
        <v>1164</v>
      </c>
    </row>
    <row r="11008" spans="1:2" x14ac:dyDescent="0.25">
      <c r="A11008" t="s">
        <v>1673</v>
      </c>
      <c r="B11008" t="s">
        <v>1168</v>
      </c>
    </row>
    <row r="11009" spans="1:2" x14ac:dyDescent="0.25">
      <c r="A11009" t="s">
        <v>1673</v>
      </c>
      <c r="B11009" t="s">
        <v>1170</v>
      </c>
    </row>
    <row r="11010" spans="1:2" x14ac:dyDescent="0.25">
      <c r="A11010" t="s">
        <v>1673</v>
      </c>
      <c r="B11010" t="s">
        <v>1196</v>
      </c>
    </row>
    <row r="11011" spans="1:2" x14ac:dyDescent="0.25">
      <c r="A11011" t="s">
        <v>1847</v>
      </c>
      <c r="B11011" t="s">
        <v>1112</v>
      </c>
    </row>
    <row r="11012" spans="1:2" x14ac:dyDescent="0.25">
      <c r="A11012" t="s">
        <v>1847</v>
      </c>
      <c r="B11012" t="s">
        <v>1113</v>
      </c>
    </row>
    <row r="11013" spans="1:2" x14ac:dyDescent="0.25">
      <c r="A11013" t="s">
        <v>1847</v>
      </c>
      <c r="B11013" t="s">
        <v>1114</v>
      </c>
    </row>
    <row r="11014" spans="1:2" x14ac:dyDescent="0.25">
      <c r="A11014" t="s">
        <v>1847</v>
      </c>
      <c r="B11014" t="s">
        <v>1115</v>
      </c>
    </row>
    <row r="11015" spans="1:2" x14ac:dyDescent="0.25">
      <c r="A11015" t="s">
        <v>1848</v>
      </c>
      <c r="B11015" t="s">
        <v>1112</v>
      </c>
    </row>
    <row r="11016" spans="1:2" x14ac:dyDescent="0.25">
      <c r="A11016" t="s">
        <v>1848</v>
      </c>
      <c r="B11016" t="s">
        <v>1113</v>
      </c>
    </row>
    <row r="11017" spans="1:2" x14ac:dyDescent="0.25">
      <c r="A11017" t="s">
        <v>1848</v>
      </c>
      <c r="B11017" t="s">
        <v>1114</v>
      </c>
    </row>
    <row r="11018" spans="1:2" x14ac:dyDescent="0.25">
      <c r="A11018" t="s">
        <v>1848</v>
      </c>
      <c r="B11018" t="s">
        <v>1115</v>
      </c>
    </row>
    <row r="11019" spans="1:2" x14ac:dyDescent="0.25">
      <c r="A11019" t="s">
        <v>1949</v>
      </c>
      <c r="B11019" t="s">
        <v>1113</v>
      </c>
    </row>
    <row r="11020" spans="1:2" x14ac:dyDescent="0.25">
      <c r="A11020" t="s">
        <v>1949</v>
      </c>
      <c r="B11020" t="s">
        <v>1114</v>
      </c>
    </row>
    <row r="11021" spans="1:2" x14ac:dyDescent="0.25">
      <c r="A11021" t="s">
        <v>1949</v>
      </c>
      <c r="B11021" t="s">
        <v>1115</v>
      </c>
    </row>
    <row r="11022" spans="1:2" x14ac:dyDescent="0.25">
      <c r="A11022" t="s">
        <v>1949</v>
      </c>
      <c r="B11022" t="s">
        <v>1133</v>
      </c>
    </row>
    <row r="11023" spans="1:2" x14ac:dyDescent="0.25">
      <c r="A11023" t="s">
        <v>1949</v>
      </c>
      <c r="B11023" t="s">
        <v>1166</v>
      </c>
    </row>
    <row r="11024" spans="1:2" x14ac:dyDescent="0.25">
      <c r="A11024" t="s">
        <v>1949</v>
      </c>
      <c r="B11024" t="s">
        <v>1167</v>
      </c>
    </row>
    <row r="11025" spans="1:2" x14ac:dyDescent="0.25">
      <c r="A11025" t="s">
        <v>1949</v>
      </c>
      <c r="B11025" t="s">
        <v>1168</v>
      </c>
    </row>
    <row r="11026" spans="1:2" x14ac:dyDescent="0.25">
      <c r="A11026" t="s">
        <v>1949</v>
      </c>
      <c r="B11026" t="s">
        <v>1186</v>
      </c>
    </row>
    <row r="11027" spans="1:2" x14ac:dyDescent="0.25">
      <c r="A11027" t="s">
        <v>1949</v>
      </c>
      <c r="B11027" t="s">
        <v>1187</v>
      </c>
    </row>
    <row r="11028" spans="1:2" x14ac:dyDescent="0.25">
      <c r="A11028" t="s">
        <v>1949</v>
      </c>
      <c r="B11028" t="s">
        <v>1188</v>
      </c>
    </row>
    <row r="11029" spans="1:2" x14ac:dyDescent="0.25">
      <c r="A11029" t="s">
        <v>1949</v>
      </c>
      <c r="B11029" t="s">
        <v>1189</v>
      </c>
    </row>
    <row r="11030" spans="1:2" x14ac:dyDescent="0.25">
      <c r="A11030" t="s">
        <v>1949</v>
      </c>
      <c r="B11030" t="s">
        <v>1195</v>
      </c>
    </row>
    <row r="11031" spans="1:2" x14ac:dyDescent="0.25">
      <c r="A11031" t="s">
        <v>1949</v>
      </c>
      <c r="B11031" t="s">
        <v>1196</v>
      </c>
    </row>
    <row r="11032" spans="1:2" x14ac:dyDescent="0.25">
      <c r="A11032" t="s">
        <v>1735</v>
      </c>
      <c r="B11032" t="s">
        <v>1102</v>
      </c>
    </row>
    <row r="11033" spans="1:2" x14ac:dyDescent="0.25">
      <c r="A11033" t="s">
        <v>1735</v>
      </c>
      <c r="B11033" t="s">
        <v>1110</v>
      </c>
    </row>
    <row r="11034" spans="1:2" x14ac:dyDescent="0.25">
      <c r="A11034" t="s">
        <v>1735</v>
      </c>
      <c r="B11034" t="s">
        <v>1142</v>
      </c>
    </row>
    <row r="11035" spans="1:2" x14ac:dyDescent="0.25">
      <c r="A11035" t="s">
        <v>1735</v>
      </c>
      <c r="B11035" t="s">
        <v>1148</v>
      </c>
    </row>
    <row r="11036" spans="1:2" x14ac:dyDescent="0.25">
      <c r="A11036" t="s">
        <v>1735</v>
      </c>
      <c r="B11036" t="s">
        <v>1178</v>
      </c>
    </row>
    <row r="11037" spans="1:2" x14ac:dyDescent="0.25">
      <c r="A11037" t="s">
        <v>1735</v>
      </c>
      <c r="B11037" t="s">
        <v>1201</v>
      </c>
    </row>
    <row r="11038" spans="1:2" x14ac:dyDescent="0.25">
      <c r="A11038" t="s">
        <v>1735</v>
      </c>
      <c r="B11038" t="s">
        <v>1202</v>
      </c>
    </row>
    <row r="11039" spans="1:2" x14ac:dyDescent="0.25">
      <c r="A11039" t="s">
        <v>1735</v>
      </c>
      <c r="B11039" t="s">
        <v>1206</v>
      </c>
    </row>
    <row r="11040" spans="1:2" x14ac:dyDescent="0.25">
      <c r="A11040" t="s">
        <v>1735</v>
      </c>
      <c r="B11040" t="s">
        <v>1207</v>
      </c>
    </row>
    <row r="11041" spans="1:2" x14ac:dyDescent="0.25">
      <c r="A11041" t="s">
        <v>1950</v>
      </c>
      <c r="B11041" t="s">
        <v>1113</v>
      </c>
    </row>
    <row r="11042" spans="1:2" x14ac:dyDescent="0.25">
      <c r="A11042" t="s">
        <v>1950</v>
      </c>
      <c r="B11042" t="s">
        <v>1114</v>
      </c>
    </row>
    <row r="11043" spans="1:2" x14ac:dyDescent="0.25">
      <c r="A11043" t="s">
        <v>1950</v>
      </c>
      <c r="B11043" t="s">
        <v>1115</v>
      </c>
    </row>
    <row r="11044" spans="1:2" x14ac:dyDescent="0.25">
      <c r="A11044" t="s">
        <v>1950</v>
      </c>
      <c r="B11044" t="s">
        <v>1133</v>
      </c>
    </row>
    <row r="11045" spans="1:2" x14ac:dyDescent="0.25">
      <c r="A11045" t="s">
        <v>1950</v>
      </c>
      <c r="B11045" t="s">
        <v>1166</v>
      </c>
    </row>
    <row r="11046" spans="1:2" x14ac:dyDescent="0.25">
      <c r="A11046" t="s">
        <v>1950</v>
      </c>
      <c r="B11046" t="s">
        <v>1167</v>
      </c>
    </row>
    <row r="11047" spans="1:2" x14ac:dyDescent="0.25">
      <c r="A11047" t="s">
        <v>1950</v>
      </c>
      <c r="B11047" t="s">
        <v>1168</v>
      </c>
    </row>
    <row r="11048" spans="1:2" x14ac:dyDescent="0.25">
      <c r="A11048" t="s">
        <v>1950</v>
      </c>
      <c r="B11048" t="s">
        <v>1186</v>
      </c>
    </row>
    <row r="11049" spans="1:2" x14ac:dyDescent="0.25">
      <c r="A11049" t="s">
        <v>1950</v>
      </c>
      <c r="B11049" t="s">
        <v>1187</v>
      </c>
    </row>
    <row r="11050" spans="1:2" x14ac:dyDescent="0.25">
      <c r="A11050" t="s">
        <v>1950</v>
      </c>
      <c r="B11050" t="s">
        <v>1188</v>
      </c>
    </row>
    <row r="11051" spans="1:2" x14ac:dyDescent="0.25">
      <c r="A11051" t="s">
        <v>1950</v>
      </c>
      <c r="B11051" t="s">
        <v>1189</v>
      </c>
    </row>
    <row r="11052" spans="1:2" x14ac:dyDescent="0.25">
      <c r="A11052" t="s">
        <v>1950</v>
      </c>
      <c r="B11052" t="s">
        <v>1195</v>
      </c>
    </row>
    <row r="11053" spans="1:2" x14ac:dyDescent="0.25">
      <c r="A11053" t="s">
        <v>1950</v>
      </c>
      <c r="B11053" t="s">
        <v>1196</v>
      </c>
    </row>
    <row r="11054" spans="1:2" x14ac:dyDescent="0.25">
      <c r="A11054" s="11" t="s">
        <v>1495</v>
      </c>
      <c r="B11054" t="s">
        <v>1091</v>
      </c>
    </row>
    <row r="11055" spans="1:2" x14ac:dyDescent="0.25">
      <c r="A11055" t="s">
        <v>1495</v>
      </c>
      <c r="B11055" t="s">
        <v>1092</v>
      </c>
    </row>
    <row r="11056" spans="1:2" x14ac:dyDescent="0.25">
      <c r="A11056" t="s">
        <v>1495</v>
      </c>
      <c r="B11056" t="s">
        <v>1093</v>
      </c>
    </row>
    <row r="11057" spans="1:2" x14ac:dyDescent="0.25">
      <c r="A11057" t="s">
        <v>1495</v>
      </c>
      <c r="B11057" t="s">
        <v>1094</v>
      </c>
    </row>
    <row r="11058" spans="1:2" x14ac:dyDescent="0.25">
      <c r="A11058" t="s">
        <v>1495</v>
      </c>
      <c r="B11058" t="s">
        <v>1095</v>
      </c>
    </row>
    <row r="11059" spans="1:2" x14ac:dyDescent="0.25">
      <c r="A11059" t="s">
        <v>1495</v>
      </c>
      <c r="B11059" t="s">
        <v>1096</v>
      </c>
    </row>
    <row r="11060" spans="1:2" x14ac:dyDescent="0.25">
      <c r="A11060" t="s">
        <v>1495</v>
      </c>
      <c r="B11060" t="s">
        <v>1097</v>
      </c>
    </row>
    <row r="11061" spans="1:2" x14ac:dyDescent="0.25">
      <c r="A11061" t="s">
        <v>1495</v>
      </c>
      <c r="B11061" t="s">
        <v>1098</v>
      </c>
    </row>
    <row r="11062" spans="1:2" x14ac:dyDescent="0.25">
      <c r="A11062" t="s">
        <v>1495</v>
      </c>
      <c r="B11062" t="s">
        <v>1099</v>
      </c>
    </row>
    <row r="11063" spans="1:2" x14ac:dyDescent="0.25">
      <c r="A11063" t="s">
        <v>1495</v>
      </c>
      <c r="B11063" t="s">
        <v>1100</v>
      </c>
    </row>
    <row r="11064" spans="1:2" x14ac:dyDescent="0.25">
      <c r="A11064" t="s">
        <v>1495</v>
      </c>
      <c r="B11064" t="s">
        <v>1101</v>
      </c>
    </row>
    <row r="11065" spans="1:2" x14ac:dyDescent="0.25">
      <c r="A11065" t="s">
        <v>1495</v>
      </c>
      <c r="B11065" t="s">
        <v>1102</v>
      </c>
    </row>
    <row r="11066" spans="1:2" x14ac:dyDescent="0.25">
      <c r="A11066" t="s">
        <v>1495</v>
      </c>
      <c r="B11066" t="s">
        <v>1103</v>
      </c>
    </row>
    <row r="11067" spans="1:2" x14ac:dyDescent="0.25">
      <c r="A11067" t="s">
        <v>1495</v>
      </c>
      <c r="B11067" t="s">
        <v>1104</v>
      </c>
    </row>
    <row r="11068" spans="1:2" x14ac:dyDescent="0.25">
      <c r="A11068" t="s">
        <v>1495</v>
      </c>
      <c r="B11068" t="s">
        <v>1105</v>
      </c>
    </row>
    <row r="11069" spans="1:2" x14ac:dyDescent="0.25">
      <c r="A11069" t="s">
        <v>1495</v>
      </c>
      <c r="B11069" t="s">
        <v>1106</v>
      </c>
    </row>
    <row r="11070" spans="1:2" x14ac:dyDescent="0.25">
      <c r="A11070" t="s">
        <v>1495</v>
      </c>
      <c r="B11070" t="s">
        <v>1107</v>
      </c>
    </row>
    <row r="11071" spans="1:2" x14ac:dyDescent="0.25">
      <c r="A11071" t="s">
        <v>1495</v>
      </c>
      <c r="B11071" t="s">
        <v>1142</v>
      </c>
    </row>
    <row r="11072" spans="1:2" x14ac:dyDescent="0.25">
      <c r="A11072" t="s">
        <v>1495</v>
      </c>
      <c r="B11072" t="s">
        <v>1148</v>
      </c>
    </row>
    <row r="11073" spans="1:2" x14ac:dyDescent="0.25">
      <c r="A11073" t="s">
        <v>1495</v>
      </c>
      <c r="B11073" t="s">
        <v>1178</v>
      </c>
    </row>
    <row r="11074" spans="1:2" x14ac:dyDescent="0.25">
      <c r="A11074" t="s">
        <v>1495</v>
      </c>
      <c r="B11074" t="s">
        <v>1201</v>
      </c>
    </row>
    <row r="11075" spans="1:2" x14ac:dyDescent="0.25">
      <c r="A11075" t="s">
        <v>1495</v>
      </c>
      <c r="B11075" t="s">
        <v>1202</v>
      </c>
    </row>
    <row r="11076" spans="1:2" x14ac:dyDescent="0.25">
      <c r="A11076" t="s">
        <v>1495</v>
      </c>
      <c r="B11076" t="s">
        <v>1206</v>
      </c>
    </row>
    <row r="11077" spans="1:2" x14ac:dyDescent="0.25">
      <c r="A11077" t="s">
        <v>1495</v>
      </c>
      <c r="B11077" t="s">
        <v>1207</v>
      </c>
    </row>
    <row r="11078" spans="1:2" x14ac:dyDescent="0.25">
      <c r="A11078" t="s">
        <v>1951</v>
      </c>
      <c r="B11078" t="s">
        <v>1113</v>
      </c>
    </row>
    <row r="11079" spans="1:2" x14ac:dyDescent="0.25">
      <c r="A11079" t="s">
        <v>1951</v>
      </c>
      <c r="B11079" t="s">
        <v>1114</v>
      </c>
    </row>
    <row r="11080" spans="1:2" x14ac:dyDescent="0.25">
      <c r="A11080" t="s">
        <v>1951</v>
      </c>
      <c r="B11080" t="s">
        <v>1115</v>
      </c>
    </row>
    <row r="11081" spans="1:2" x14ac:dyDescent="0.25">
      <c r="A11081" t="s">
        <v>1951</v>
      </c>
      <c r="B11081" t="s">
        <v>1133</v>
      </c>
    </row>
    <row r="11082" spans="1:2" x14ac:dyDescent="0.25">
      <c r="A11082" t="s">
        <v>1951</v>
      </c>
      <c r="B11082" t="s">
        <v>1166</v>
      </c>
    </row>
    <row r="11083" spans="1:2" x14ac:dyDescent="0.25">
      <c r="A11083" t="s">
        <v>1951</v>
      </c>
      <c r="B11083" t="s">
        <v>1167</v>
      </c>
    </row>
    <row r="11084" spans="1:2" x14ac:dyDescent="0.25">
      <c r="A11084" t="s">
        <v>1951</v>
      </c>
      <c r="B11084" t="s">
        <v>1168</v>
      </c>
    </row>
    <row r="11085" spans="1:2" x14ac:dyDescent="0.25">
      <c r="A11085" t="s">
        <v>1951</v>
      </c>
      <c r="B11085" t="s">
        <v>1186</v>
      </c>
    </row>
    <row r="11086" spans="1:2" x14ac:dyDescent="0.25">
      <c r="A11086" t="s">
        <v>1951</v>
      </c>
      <c r="B11086" t="s">
        <v>1187</v>
      </c>
    </row>
    <row r="11087" spans="1:2" x14ac:dyDescent="0.25">
      <c r="A11087" t="s">
        <v>1951</v>
      </c>
      <c r="B11087" t="s">
        <v>1188</v>
      </c>
    </row>
    <row r="11088" spans="1:2" x14ac:dyDescent="0.25">
      <c r="A11088" t="s">
        <v>1951</v>
      </c>
      <c r="B11088" t="s">
        <v>1189</v>
      </c>
    </row>
    <row r="11089" spans="1:2" x14ac:dyDescent="0.25">
      <c r="A11089" t="s">
        <v>1951</v>
      </c>
      <c r="B11089" t="s">
        <v>1195</v>
      </c>
    </row>
    <row r="11090" spans="1:2" x14ac:dyDescent="0.25">
      <c r="A11090" t="s">
        <v>1951</v>
      </c>
      <c r="B11090" t="s">
        <v>1196</v>
      </c>
    </row>
    <row r="11091" spans="1:2" x14ac:dyDescent="0.25">
      <c r="A11091" s="11" t="s">
        <v>1494</v>
      </c>
      <c r="B11091" t="s">
        <v>1091</v>
      </c>
    </row>
    <row r="11092" spans="1:2" x14ac:dyDescent="0.25">
      <c r="A11092" t="s">
        <v>1494</v>
      </c>
      <c r="B11092" t="s">
        <v>1092</v>
      </c>
    </row>
    <row r="11093" spans="1:2" x14ac:dyDescent="0.25">
      <c r="A11093" t="s">
        <v>1494</v>
      </c>
      <c r="B11093" t="s">
        <v>1093</v>
      </c>
    </row>
    <row r="11094" spans="1:2" x14ac:dyDescent="0.25">
      <c r="A11094" t="s">
        <v>1494</v>
      </c>
      <c r="B11094" t="s">
        <v>1094</v>
      </c>
    </row>
    <row r="11095" spans="1:2" x14ac:dyDescent="0.25">
      <c r="A11095" t="s">
        <v>1494</v>
      </c>
      <c r="B11095" t="s">
        <v>1095</v>
      </c>
    </row>
    <row r="11096" spans="1:2" x14ac:dyDescent="0.25">
      <c r="A11096" t="s">
        <v>1494</v>
      </c>
      <c r="B11096" t="s">
        <v>1096</v>
      </c>
    </row>
    <row r="11097" spans="1:2" x14ac:dyDescent="0.25">
      <c r="A11097" t="s">
        <v>1494</v>
      </c>
      <c r="B11097" t="s">
        <v>1097</v>
      </c>
    </row>
    <row r="11098" spans="1:2" x14ac:dyDescent="0.25">
      <c r="A11098" t="s">
        <v>1494</v>
      </c>
      <c r="B11098" t="s">
        <v>1098</v>
      </c>
    </row>
    <row r="11099" spans="1:2" x14ac:dyDescent="0.25">
      <c r="A11099" t="s">
        <v>1494</v>
      </c>
      <c r="B11099" t="s">
        <v>1099</v>
      </c>
    </row>
    <row r="11100" spans="1:2" x14ac:dyDescent="0.25">
      <c r="A11100" t="s">
        <v>1494</v>
      </c>
      <c r="B11100" t="s">
        <v>1100</v>
      </c>
    </row>
    <row r="11101" spans="1:2" x14ac:dyDescent="0.25">
      <c r="A11101" t="s">
        <v>1494</v>
      </c>
      <c r="B11101" t="s">
        <v>1101</v>
      </c>
    </row>
    <row r="11102" spans="1:2" x14ac:dyDescent="0.25">
      <c r="A11102" t="s">
        <v>1494</v>
      </c>
      <c r="B11102" t="s">
        <v>1102</v>
      </c>
    </row>
    <row r="11103" spans="1:2" x14ac:dyDescent="0.25">
      <c r="A11103" t="s">
        <v>1494</v>
      </c>
      <c r="B11103" t="s">
        <v>1103</v>
      </c>
    </row>
    <row r="11104" spans="1:2" x14ac:dyDescent="0.25">
      <c r="A11104" t="s">
        <v>1494</v>
      </c>
      <c r="B11104" t="s">
        <v>1104</v>
      </c>
    </row>
    <row r="11105" spans="1:2" x14ac:dyDescent="0.25">
      <c r="A11105" t="s">
        <v>1494</v>
      </c>
      <c r="B11105" t="s">
        <v>1105</v>
      </c>
    </row>
    <row r="11106" spans="1:2" x14ac:dyDescent="0.25">
      <c r="A11106" t="s">
        <v>1494</v>
      </c>
      <c r="B11106" t="s">
        <v>1106</v>
      </c>
    </row>
    <row r="11107" spans="1:2" x14ac:dyDescent="0.25">
      <c r="A11107" t="s">
        <v>1494</v>
      </c>
      <c r="B11107" t="s">
        <v>1107</v>
      </c>
    </row>
    <row r="11108" spans="1:2" x14ac:dyDescent="0.25">
      <c r="A11108" t="s">
        <v>1494</v>
      </c>
      <c r="B11108" t="s">
        <v>1142</v>
      </c>
    </row>
    <row r="11109" spans="1:2" x14ac:dyDescent="0.25">
      <c r="A11109" t="s">
        <v>1494</v>
      </c>
      <c r="B11109" t="s">
        <v>1148</v>
      </c>
    </row>
    <row r="11110" spans="1:2" x14ac:dyDescent="0.25">
      <c r="A11110" t="s">
        <v>1494</v>
      </c>
      <c r="B11110" t="s">
        <v>1178</v>
      </c>
    </row>
    <row r="11111" spans="1:2" x14ac:dyDescent="0.25">
      <c r="A11111" t="s">
        <v>1494</v>
      </c>
      <c r="B11111" t="s">
        <v>1201</v>
      </c>
    </row>
    <row r="11112" spans="1:2" x14ac:dyDescent="0.25">
      <c r="A11112" t="s">
        <v>1494</v>
      </c>
      <c r="B11112" t="s">
        <v>1202</v>
      </c>
    </row>
    <row r="11113" spans="1:2" x14ac:dyDescent="0.25">
      <c r="A11113" t="s">
        <v>1494</v>
      </c>
      <c r="B11113" t="s">
        <v>1206</v>
      </c>
    </row>
    <row r="11114" spans="1:2" x14ac:dyDescent="0.25">
      <c r="A11114" t="s">
        <v>1494</v>
      </c>
      <c r="B11114" t="s">
        <v>1207</v>
      </c>
    </row>
    <row r="11115" spans="1:2" x14ac:dyDescent="0.25">
      <c r="A11115" t="s">
        <v>1952</v>
      </c>
      <c r="B11115" t="s">
        <v>1113</v>
      </c>
    </row>
    <row r="11116" spans="1:2" x14ac:dyDescent="0.25">
      <c r="A11116" t="s">
        <v>1952</v>
      </c>
      <c r="B11116" t="s">
        <v>1114</v>
      </c>
    </row>
    <row r="11117" spans="1:2" x14ac:dyDescent="0.25">
      <c r="A11117" t="s">
        <v>1952</v>
      </c>
      <c r="B11117" t="s">
        <v>1115</v>
      </c>
    </row>
    <row r="11118" spans="1:2" x14ac:dyDescent="0.25">
      <c r="A11118" t="s">
        <v>1952</v>
      </c>
      <c r="B11118" t="s">
        <v>1133</v>
      </c>
    </row>
    <row r="11119" spans="1:2" x14ac:dyDescent="0.25">
      <c r="A11119" t="s">
        <v>1952</v>
      </c>
      <c r="B11119" t="s">
        <v>1166</v>
      </c>
    </row>
    <row r="11120" spans="1:2" x14ac:dyDescent="0.25">
      <c r="A11120" t="s">
        <v>1952</v>
      </c>
      <c r="B11120" t="s">
        <v>1167</v>
      </c>
    </row>
    <row r="11121" spans="1:2" x14ac:dyDescent="0.25">
      <c r="A11121" t="s">
        <v>1952</v>
      </c>
      <c r="B11121" t="s">
        <v>1168</v>
      </c>
    </row>
    <row r="11122" spans="1:2" x14ac:dyDescent="0.25">
      <c r="A11122" t="s">
        <v>1952</v>
      </c>
      <c r="B11122" t="s">
        <v>1186</v>
      </c>
    </row>
    <row r="11123" spans="1:2" x14ac:dyDescent="0.25">
      <c r="A11123" t="s">
        <v>1952</v>
      </c>
      <c r="B11123" t="s">
        <v>1187</v>
      </c>
    </row>
    <row r="11124" spans="1:2" x14ac:dyDescent="0.25">
      <c r="A11124" t="s">
        <v>1952</v>
      </c>
      <c r="B11124" t="s">
        <v>1188</v>
      </c>
    </row>
    <row r="11125" spans="1:2" x14ac:dyDescent="0.25">
      <c r="A11125" t="s">
        <v>1952</v>
      </c>
      <c r="B11125" t="s">
        <v>1189</v>
      </c>
    </row>
    <row r="11126" spans="1:2" x14ac:dyDescent="0.25">
      <c r="A11126" t="s">
        <v>1952</v>
      </c>
      <c r="B11126" t="s">
        <v>1195</v>
      </c>
    </row>
    <row r="11127" spans="1:2" x14ac:dyDescent="0.25">
      <c r="A11127" t="s">
        <v>1952</v>
      </c>
      <c r="B11127" t="s">
        <v>1196</v>
      </c>
    </row>
    <row r="11128" spans="1:2" x14ac:dyDescent="0.25">
      <c r="A11128" t="s">
        <v>1609</v>
      </c>
      <c r="B11128" t="s">
        <v>1096</v>
      </c>
    </row>
    <row r="11129" spans="1:2" x14ac:dyDescent="0.25">
      <c r="A11129" t="s">
        <v>1609</v>
      </c>
      <c r="B11129" t="s">
        <v>1100</v>
      </c>
    </row>
    <row r="11130" spans="1:2" x14ac:dyDescent="0.25">
      <c r="A11130" t="s">
        <v>1609</v>
      </c>
      <c r="B11130" t="s">
        <v>1101</v>
      </c>
    </row>
    <row r="11131" spans="1:2" x14ac:dyDescent="0.25">
      <c r="A11131" t="s">
        <v>1609</v>
      </c>
      <c r="B11131" t="s">
        <v>1102</v>
      </c>
    </row>
    <row r="11132" spans="1:2" x14ac:dyDescent="0.25">
      <c r="A11132" t="s">
        <v>1609</v>
      </c>
      <c r="B11132" t="s">
        <v>1103</v>
      </c>
    </row>
    <row r="11133" spans="1:2" x14ac:dyDescent="0.25">
      <c r="A11133" t="s">
        <v>1609</v>
      </c>
      <c r="B11133" t="s">
        <v>1104</v>
      </c>
    </row>
    <row r="11134" spans="1:2" x14ac:dyDescent="0.25">
      <c r="A11134" t="s">
        <v>1609</v>
      </c>
      <c r="B11134" t="s">
        <v>1105</v>
      </c>
    </row>
    <row r="11135" spans="1:2" x14ac:dyDescent="0.25">
      <c r="A11135" t="s">
        <v>1609</v>
      </c>
      <c r="B11135" t="s">
        <v>1106</v>
      </c>
    </row>
    <row r="11136" spans="1:2" x14ac:dyDescent="0.25">
      <c r="A11136" t="s">
        <v>1609</v>
      </c>
      <c r="B11136" t="s">
        <v>1107</v>
      </c>
    </row>
    <row r="11137" spans="1:2" x14ac:dyDescent="0.25">
      <c r="A11137" t="s">
        <v>1609</v>
      </c>
      <c r="B11137" t="s">
        <v>1142</v>
      </c>
    </row>
    <row r="11138" spans="1:2" x14ac:dyDescent="0.25">
      <c r="A11138" t="s">
        <v>1609</v>
      </c>
      <c r="B11138" t="s">
        <v>1142</v>
      </c>
    </row>
    <row r="11139" spans="1:2" x14ac:dyDescent="0.25">
      <c r="A11139" t="s">
        <v>1609</v>
      </c>
      <c r="B11139" t="s">
        <v>1148</v>
      </c>
    </row>
    <row r="11140" spans="1:2" x14ac:dyDescent="0.25">
      <c r="A11140" t="s">
        <v>1609</v>
      </c>
      <c r="B11140" t="s">
        <v>1148</v>
      </c>
    </row>
    <row r="11141" spans="1:2" x14ac:dyDescent="0.25">
      <c r="A11141" t="s">
        <v>1609</v>
      </c>
      <c r="B11141" t="s">
        <v>1161</v>
      </c>
    </row>
    <row r="11142" spans="1:2" x14ac:dyDescent="0.25">
      <c r="A11142" t="s">
        <v>1609</v>
      </c>
      <c r="B11142" t="s">
        <v>1162</v>
      </c>
    </row>
    <row r="11143" spans="1:2" x14ac:dyDescent="0.25">
      <c r="A11143" t="s">
        <v>1609</v>
      </c>
      <c r="B11143" t="s">
        <v>1163</v>
      </c>
    </row>
    <row r="11144" spans="1:2" x14ac:dyDescent="0.25">
      <c r="A11144" t="s">
        <v>1609</v>
      </c>
      <c r="B11144" t="s">
        <v>1164</v>
      </c>
    </row>
    <row r="11145" spans="1:2" x14ac:dyDescent="0.25">
      <c r="A11145" t="s">
        <v>1609</v>
      </c>
      <c r="B11145" t="s">
        <v>1168</v>
      </c>
    </row>
    <row r="11146" spans="1:2" x14ac:dyDescent="0.25">
      <c r="A11146" t="s">
        <v>1609</v>
      </c>
      <c r="B11146" t="s">
        <v>1169</v>
      </c>
    </row>
    <row r="11147" spans="1:2" x14ac:dyDescent="0.25">
      <c r="A11147" t="s">
        <v>1609</v>
      </c>
      <c r="B11147" t="s">
        <v>1170</v>
      </c>
    </row>
    <row r="11148" spans="1:2" x14ac:dyDescent="0.25">
      <c r="A11148" t="s">
        <v>1609</v>
      </c>
      <c r="B11148" t="s">
        <v>1178</v>
      </c>
    </row>
    <row r="11149" spans="1:2" x14ac:dyDescent="0.25">
      <c r="A11149" t="s">
        <v>1609</v>
      </c>
      <c r="B11149" t="s">
        <v>1178</v>
      </c>
    </row>
    <row r="11150" spans="1:2" x14ac:dyDescent="0.25">
      <c r="A11150" t="s">
        <v>1609</v>
      </c>
      <c r="B11150" t="s">
        <v>1196</v>
      </c>
    </row>
    <row r="11151" spans="1:2" x14ac:dyDescent="0.25">
      <c r="A11151" t="s">
        <v>1609</v>
      </c>
      <c r="B11151" t="s">
        <v>1201</v>
      </c>
    </row>
    <row r="11152" spans="1:2" x14ac:dyDescent="0.25">
      <c r="A11152" t="s">
        <v>1609</v>
      </c>
      <c r="B11152" t="s">
        <v>1202</v>
      </c>
    </row>
    <row r="11153" spans="1:2" x14ac:dyDescent="0.25">
      <c r="A11153" t="s">
        <v>1609</v>
      </c>
      <c r="B11153" t="s">
        <v>1202</v>
      </c>
    </row>
    <row r="11154" spans="1:2" x14ac:dyDescent="0.25">
      <c r="A11154" t="s">
        <v>1609</v>
      </c>
      <c r="B11154" t="s">
        <v>1206</v>
      </c>
    </row>
    <row r="11155" spans="1:2" x14ac:dyDescent="0.25">
      <c r="A11155" t="s">
        <v>1609</v>
      </c>
      <c r="B11155" t="s">
        <v>1207</v>
      </c>
    </row>
    <row r="11156" spans="1:2" x14ac:dyDescent="0.25">
      <c r="A11156" t="s">
        <v>1609</v>
      </c>
      <c r="B11156" t="s">
        <v>1235</v>
      </c>
    </row>
    <row r="11157" spans="1:2" x14ac:dyDescent="0.25">
      <c r="A11157" t="s">
        <v>1609</v>
      </c>
      <c r="B11157" t="s">
        <v>1236</v>
      </c>
    </row>
    <row r="11158" spans="1:2" x14ac:dyDescent="0.25">
      <c r="A11158" t="s">
        <v>1609</v>
      </c>
      <c r="B11158" t="s">
        <v>1237</v>
      </c>
    </row>
    <row r="11159" spans="1:2" x14ac:dyDescent="0.25">
      <c r="A11159" t="s">
        <v>1609</v>
      </c>
      <c r="B11159" t="s">
        <v>1238</v>
      </c>
    </row>
    <row r="11160" spans="1:2" x14ac:dyDescent="0.25">
      <c r="A11160" t="s">
        <v>1609</v>
      </c>
      <c r="B11160" t="s">
        <v>1239</v>
      </c>
    </row>
    <row r="11161" spans="1:2" x14ac:dyDescent="0.25">
      <c r="A11161" t="s">
        <v>1609</v>
      </c>
      <c r="B11161" t="s">
        <v>1240</v>
      </c>
    </row>
    <row r="11162" spans="1:2" x14ac:dyDescent="0.25">
      <c r="A11162" t="s">
        <v>2198</v>
      </c>
      <c r="B11162" t="s">
        <v>1160</v>
      </c>
    </row>
    <row r="11163" spans="1:2" x14ac:dyDescent="0.25">
      <c r="A11163" t="s">
        <v>2198</v>
      </c>
      <c r="B11163" t="s">
        <v>1161</v>
      </c>
    </row>
    <row r="11164" spans="1:2" x14ac:dyDescent="0.25">
      <c r="A11164" t="s">
        <v>2198</v>
      </c>
      <c r="B11164" t="s">
        <v>1162</v>
      </c>
    </row>
    <row r="11165" spans="1:2" x14ac:dyDescent="0.25">
      <c r="A11165" t="s">
        <v>2198</v>
      </c>
      <c r="B11165" t="s">
        <v>1163</v>
      </c>
    </row>
    <row r="11166" spans="1:2" x14ac:dyDescent="0.25">
      <c r="A11166" t="s">
        <v>2198</v>
      </c>
      <c r="B11166" t="s">
        <v>1164</v>
      </c>
    </row>
    <row r="11167" spans="1:2" x14ac:dyDescent="0.25">
      <c r="A11167" t="s">
        <v>2198</v>
      </c>
      <c r="B11167" t="s">
        <v>1165</v>
      </c>
    </row>
    <row r="11168" spans="1:2" x14ac:dyDescent="0.25">
      <c r="A11168" t="s">
        <v>1669</v>
      </c>
      <c r="B11168" t="s">
        <v>1099</v>
      </c>
    </row>
    <row r="11169" spans="1:2" x14ac:dyDescent="0.25">
      <c r="A11169" t="s">
        <v>1669</v>
      </c>
      <c r="B11169" t="s">
        <v>1100</v>
      </c>
    </row>
    <row r="11170" spans="1:2" x14ac:dyDescent="0.25">
      <c r="A11170" t="s">
        <v>1669</v>
      </c>
      <c r="B11170" t="s">
        <v>1101</v>
      </c>
    </row>
    <row r="11171" spans="1:2" x14ac:dyDescent="0.25">
      <c r="A11171" t="s">
        <v>1669</v>
      </c>
      <c r="B11171" t="s">
        <v>1102</v>
      </c>
    </row>
    <row r="11172" spans="1:2" x14ac:dyDescent="0.25">
      <c r="A11172" t="s">
        <v>1669</v>
      </c>
      <c r="B11172" t="s">
        <v>1103</v>
      </c>
    </row>
    <row r="11173" spans="1:2" x14ac:dyDescent="0.25">
      <c r="A11173" t="s">
        <v>1669</v>
      </c>
      <c r="B11173" t="s">
        <v>1104</v>
      </c>
    </row>
    <row r="11174" spans="1:2" x14ac:dyDescent="0.25">
      <c r="A11174" t="s">
        <v>1669</v>
      </c>
      <c r="B11174" t="s">
        <v>1105</v>
      </c>
    </row>
    <row r="11175" spans="1:2" x14ac:dyDescent="0.25">
      <c r="A11175" t="s">
        <v>1669</v>
      </c>
      <c r="B11175" t="s">
        <v>1106</v>
      </c>
    </row>
    <row r="11176" spans="1:2" x14ac:dyDescent="0.25">
      <c r="A11176" t="s">
        <v>1669</v>
      </c>
      <c r="B11176" t="s">
        <v>1107</v>
      </c>
    </row>
    <row r="11177" spans="1:2" x14ac:dyDescent="0.25">
      <c r="A11177" t="s">
        <v>1669</v>
      </c>
      <c r="B11177" t="s">
        <v>1107</v>
      </c>
    </row>
    <row r="11178" spans="1:2" x14ac:dyDescent="0.25">
      <c r="A11178" t="s">
        <v>1669</v>
      </c>
      <c r="B11178" t="s">
        <v>1142</v>
      </c>
    </row>
    <row r="11179" spans="1:2" x14ac:dyDescent="0.25">
      <c r="A11179" t="s">
        <v>1669</v>
      </c>
      <c r="B11179" t="s">
        <v>1148</v>
      </c>
    </row>
    <row r="11180" spans="1:2" x14ac:dyDescent="0.25">
      <c r="A11180" t="s">
        <v>1669</v>
      </c>
      <c r="B11180" t="s">
        <v>1164</v>
      </c>
    </row>
    <row r="11181" spans="1:2" x14ac:dyDescent="0.25">
      <c r="A11181" t="s">
        <v>1669</v>
      </c>
      <c r="B11181" t="s">
        <v>1168</v>
      </c>
    </row>
    <row r="11182" spans="1:2" x14ac:dyDescent="0.25">
      <c r="A11182" t="s">
        <v>1669</v>
      </c>
      <c r="B11182" t="s">
        <v>1169</v>
      </c>
    </row>
    <row r="11183" spans="1:2" x14ac:dyDescent="0.25">
      <c r="A11183" t="s">
        <v>1669</v>
      </c>
      <c r="B11183" t="s">
        <v>1170</v>
      </c>
    </row>
    <row r="11184" spans="1:2" x14ac:dyDescent="0.25">
      <c r="A11184" t="s">
        <v>1669</v>
      </c>
      <c r="B11184" t="s">
        <v>1178</v>
      </c>
    </row>
    <row r="11185" spans="1:2" x14ac:dyDescent="0.25">
      <c r="A11185" t="s">
        <v>1669</v>
      </c>
      <c r="B11185" t="s">
        <v>1196</v>
      </c>
    </row>
    <row r="11186" spans="1:2" x14ac:dyDescent="0.25">
      <c r="A11186" t="s">
        <v>1669</v>
      </c>
      <c r="B11186" t="s">
        <v>1202</v>
      </c>
    </row>
    <row r="11187" spans="1:2" x14ac:dyDescent="0.25">
      <c r="A11187" s="11" t="s">
        <v>1502</v>
      </c>
      <c r="B11187" t="s">
        <v>1091</v>
      </c>
    </row>
    <row r="11188" spans="1:2" x14ac:dyDescent="0.25">
      <c r="A11188" t="s">
        <v>1502</v>
      </c>
      <c r="B11188" t="s">
        <v>1092</v>
      </c>
    </row>
    <row r="11189" spans="1:2" x14ac:dyDescent="0.25">
      <c r="A11189" t="s">
        <v>1502</v>
      </c>
      <c r="B11189" t="s">
        <v>1093</v>
      </c>
    </row>
    <row r="11190" spans="1:2" x14ac:dyDescent="0.25">
      <c r="A11190" t="s">
        <v>1502</v>
      </c>
      <c r="B11190" t="s">
        <v>1094</v>
      </c>
    </row>
    <row r="11191" spans="1:2" x14ac:dyDescent="0.25">
      <c r="A11191" t="s">
        <v>1502</v>
      </c>
      <c r="B11191" t="s">
        <v>1095</v>
      </c>
    </row>
    <row r="11192" spans="1:2" x14ac:dyDescent="0.25">
      <c r="A11192" t="s">
        <v>1502</v>
      </c>
      <c r="B11192" t="s">
        <v>1096</v>
      </c>
    </row>
    <row r="11193" spans="1:2" x14ac:dyDescent="0.25">
      <c r="A11193" t="s">
        <v>1502</v>
      </c>
      <c r="B11193" t="s">
        <v>1097</v>
      </c>
    </row>
    <row r="11194" spans="1:2" x14ac:dyDescent="0.25">
      <c r="A11194" t="s">
        <v>1502</v>
      </c>
      <c r="B11194" t="s">
        <v>1098</v>
      </c>
    </row>
    <row r="11195" spans="1:2" x14ac:dyDescent="0.25">
      <c r="A11195" t="s">
        <v>1502</v>
      </c>
      <c r="B11195" t="s">
        <v>1099</v>
      </c>
    </row>
    <row r="11196" spans="1:2" x14ac:dyDescent="0.25">
      <c r="A11196" t="s">
        <v>1502</v>
      </c>
      <c r="B11196" t="s">
        <v>1100</v>
      </c>
    </row>
    <row r="11197" spans="1:2" x14ac:dyDescent="0.25">
      <c r="A11197" t="s">
        <v>1502</v>
      </c>
      <c r="B11197" t="s">
        <v>1101</v>
      </c>
    </row>
    <row r="11198" spans="1:2" x14ac:dyDescent="0.25">
      <c r="A11198" t="s">
        <v>1502</v>
      </c>
      <c r="B11198" t="s">
        <v>1102</v>
      </c>
    </row>
    <row r="11199" spans="1:2" x14ac:dyDescent="0.25">
      <c r="A11199" t="s">
        <v>1502</v>
      </c>
      <c r="B11199" t="s">
        <v>1102</v>
      </c>
    </row>
    <row r="11200" spans="1:2" x14ac:dyDescent="0.25">
      <c r="A11200" t="s">
        <v>1502</v>
      </c>
      <c r="B11200" t="s">
        <v>1103</v>
      </c>
    </row>
    <row r="11201" spans="1:2" x14ac:dyDescent="0.25">
      <c r="A11201" t="s">
        <v>1502</v>
      </c>
      <c r="B11201" t="s">
        <v>1104</v>
      </c>
    </row>
    <row r="11202" spans="1:2" x14ac:dyDescent="0.25">
      <c r="A11202" t="s">
        <v>1502</v>
      </c>
      <c r="B11202" t="s">
        <v>1105</v>
      </c>
    </row>
    <row r="11203" spans="1:2" x14ac:dyDescent="0.25">
      <c r="A11203" t="s">
        <v>1502</v>
      </c>
      <c r="B11203" t="s">
        <v>1106</v>
      </c>
    </row>
    <row r="11204" spans="1:2" x14ac:dyDescent="0.25">
      <c r="A11204" t="s">
        <v>1502</v>
      </c>
      <c r="B11204" t="s">
        <v>1107</v>
      </c>
    </row>
    <row r="11205" spans="1:2" x14ac:dyDescent="0.25">
      <c r="A11205" t="s">
        <v>1502</v>
      </c>
      <c r="B11205" t="s">
        <v>1110</v>
      </c>
    </row>
    <row r="11206" spans="1:2" x14ac:dyDescent="0.25">
      <c r="A11206" t="s">
        <v>1502</v>
      </c>
      <c r="B11206" t="s">
        <v>1196</v>
      </c>
    </row>
    <row r="11207" spans="1:2" x14ac:dyDescent="0.25">
      <c r="A11207" t="s">
        <v>1502</v>
      </c>
      <c r="B11207" t="s">
        <v>1201</v>
      </c>
    </row>
    <row r="11208" spans="1:2" x14ac:dyDescent="0.25">
      <c r="A11208" t="s">
        <v>1502</v>
      </c>
      <c r="B11208" t="s">
        <v>1206</v>
      </c>
    </row>
    <row r="11209" spans="1:2" x14ac:dyDescent="0.25">
      <c r="A11209" t="s">
        <v>1670</v>
      </c>
      <c r="B11209" t="s">
        <v>1099</v>
      </c>
    </row>
    <row r="11210" spans="1:2" x14ac:dyDescent="0.25">
      <c r="A11210" t="s">
        <v>1670</v>
      </c>
      <c r="B11210" t="s">
        <v>1100</v>
      </c>
    </row>
    <row r="11211" spans="1:2" x14ac:dyDescent="0.25">
      <c r="A11211" t="s">
        <v>1670</v>
      </c>
      <c r="B11211" t="s">
        <v>1101</v>
      </c>
    </row>
    <row r="11212" spans="1:2" x14ac:dyDescent="0.25">
      <c r="A11212" t="s">
        <v>1670</v>
      </c>
      <c r="B11212" t="s">
        <v>1102</v>
      </c>
    </row>
    <row r="11213" spans="1:2" x14ac:dyDescent="0.25">
      <c r="A11213" t="s">
        <v>1670</v>
      </c>
      <c r="B11213" t="s">
        <v>1103</v>
      </c>
    </row>
    <row r="11214" spans="1:2" x14ac:dyDescent="0.25">
      <c r="A11214" t="s">
        <v>1670</v>
      </c>
      <c r="B11214" t="s">
        <v>1104</v>
      </c>
    </row>
    <row r="11215" spans="1:2" x14ac:dyDescent="0.25">
      <c r="A11215" t="s">
        <v>1670</v>
      </c>
      <c r="B11215" t="s">
        <v>1105</v>
      </c>
    </row>
    <row r="11216" spans="1:2" x14ac:dyDescent="0.25">
      <c r="A11216" t="s">
        <v>1670</v>
      </c>
      <c r="B11216" t="s">
        <v>1106</v>
      </c>
    </row>
    <row r="11217" spans="1:2" x14ac:dyDescent="0.25">
      <c r="A11217" t="s">
        <v>1670</v>
      </c>
      <c r="B11217" t="s">
        <v>1107</v>
      </c>
    </row>
    <row r="11218" spans="1:2" x14ac:dyDescent="0.25">
      <c r="A11218" t="s">
        <v>1670</v>
      </c>
      <c r="B11218" t="s">
        <v>1164</v>
      </c>
    </row>
    <row r="11219" spans="1:2" x14ac:dyDescent="0.25">
      <c r="A11219" t="s">
        <v>1670</v>
      </c>
      <c r="B11219" t="s">
        <v>1168</v>
      </c>
    </row>
    <row r="11220" spans="1:2" x14ac:dyDescent="0.25">
      <c r="A11220" t="s">
        <v>1670</v>
      </c>
      <c r="B11220" t="s">
        <v>1170</v>
      </c>
    </row>
    <row r="11221" spans="1:2" x14ac:dyDescent="0.25">
      <c r="A11221" t="s">
        <v>1670</v>
      </c>
      <c r="B11221" t="s">
        <v>1196</v>
      </c>
    </row>
    <row r="11222" spans="1:2" x14ac:dyDescent="0.25">
      <c r="A11222" s="11" t="s">
        <v>1501</v>
      </c>
      <c r="B11222" t="s">
        <v>1091</v>
      </c>
    </row>
    <row r="11223" spans="1:2" x14ac:dyDescent="0.25">
      <c r="A11223" t="s">
        <v>1501</v>
      </c>
      <c r="B11223" t="s">
        <v>1092</v>
      </c>
    </row>
    <row r="11224" spans="1:2" x14ac:dyDescent="0.25">
      <c r="A11224" t="s">
        <v>1501</v>
      </c>
      <c r="B11224" t="s">
        <v>1093</v>
      </c>
    </row>
    <row r="11225" spans="1:2" x14ac:dyDescent="0.25">
      <c r="A11225" t="s">
        <v>1501</v>
      </c>
      <c r="B11225" t="s">
        <v>1094</v>
      </c>
    </row>
    <row r="11226" spans="1:2" x14ac:dyDescent="0.25">
      <c r="A11226" t="s">
        <v>1501</v>
      </c>
      <c r="B11226" t="s">
        <v>1095</v>
      </c>
    </row>
    <row r="11227" spans="1:2" x14ac:dyDescent="0.25">
      <c r="A11227" t="s">
        <v>1501</v>
      </c>
      <c r="B11227" t="s">
        <v>1096</v>
      </c>
    </row>
    <row r="11228" spans="1:2" x14ac:dyDescent="0.25">
      <c r="A11228" t="s">
        <v>1501</v>
      </c>
      <c r="B11228" t="s">
        <v>1096</v>
      </c>
    </row>
    <row r="11229" spans="1:2" x14ac:dyDescent="0.25">
      <c r="A11229" t="s">
        <v>1501</v>
      </c>
      <c r="B11229" t="s">
        <v>1097</v>
      </c>
    </row>
    <row r="11230" spans="1:2" x14ac:dyDescent="0.25">
      <c r="A11230" t="s">
        <v>1501</v>
      </c>
      <c r="B11230" t="s">
        <v>1098</v>
      </c>
    </row>
    <row r="11231" spans="1:2" x14ac:dyDescent="0.25">
      <c r="A11231" t="s">
        <v>1501</v>
      </c>
      <c r="B11231" t="s">
        <v>1099</v>
      </c>
    </row>
    <row r="11232" spans="1:2" x14ac:dyDescent="0.25">
      <c r="A11232" t="s">
        <v>1501</v>
      </c>
      <c r="B11232" t="s">
        <v>1099</v>
      </c>
    </row>
    <row r="11233" spans="1:2" x14ac:dyDescent="0.25">
      <c r="A11233" t="s">
        <v>1501</v>
      </c>
      <c r="B11233" t="s">
        <v>1100</v>
      </c>
    </row>
    <row r="11234" spans="1:2" x14ac:dyDescent="0.25">
      <c r="A11234" t="s">
        <v>1501</v>
      </c>
      <c r="B11234" t="s">
        <v>1100</v>
      </c>
    </row>
    <row r="11235" spans="1:2" x14ac:dyDescent="0.25">
      <c r="A11235" t="s">
        <v>1501</v>
      </c>
      <c r="B11235" t="s">
        <v>1101</v>
      </c>
    </row>
    <row r="11236" spans="1:2" x14ac:dyDescent="0.25">
      <c r="A11236" t="s">
        <v>1501</v>
      </c>
      <c r="B11236" t="s">
        <v>1101</v>
      </c>
    </row>
    <row r="11237" spans="1:2" x14ac:dyDescent="0.25">
      <c r="A11237" t="s">
        <v>1501</v>
      </c>
      <c r="B11237" t="s">
        <v>1102</v>
      </c>
    </row>
    <row r="11238" spans="1:2" x14ac:dyDescent="0.25">
      <c r="A11238" t="s">
        <v>1501</v>
      </c>
      <c r="B11238" t="s">
        <v>1102</v>
      </c>
    </row>
    <row r="11239" spans="1:2" x14ac:dyDescent="0.25">
      <c r="A11239" t="s">
        <v>1501</v>
      </c>
      <c r="B11239" t="s">
        <v>1103</v>
      </c>
    </row>
    <row r="11240" spans="1:2" x14ac:dyDescent="0.25">
      <c r="A11240" t="s">
        <v>1501</v>
      </c>
      <c r="B11240" t="s">
        <v>1103</v>
      </c>
    </row>
    <row r="11241" spans="1:2" x14ac:dyDescent="0.25">
      <c r="A11241" t="s">
        <v>1501</v>
      </c>
      <c r="B11241" t="s">
        <v>1104</v>
      </c>
    </row>
    <row r="11242" spans="1:2" x14ac:dyDescent="0.25">
      <c r="A11242" t="s">
        <v>1501</v>
      </c>
      <c r="B11242" t="s">
        <v>1104</v>
      </c>
    </row>
    <row r="11243" spans="1:2" x14ac:dyDescent="0.25">
      <c r="A11243" t="s">
        <v>1501</v>
      </c>
      <c r="B11243" t="s">
        <v>1105</v>
      </c>
    </row>
    <row r="11244" spans="1:2" x14ac:dyDescent="0.25">
      <c r="A11244" t="s">
        <v>1501</v>
      </c>
      <c r="B11244" t="s">
        <v>1105</v>
      </c>
    </row>
    <row r="11245" spans="1:2" x14ac:dyDescent="0.25">
      <c r="A11245" t="s">
        <v>1501</v>
      </c>
      <c r="B11245" t="s">
        <v>1106</v>
      </c>
    </row>
    <row r="11246" spans="1:2" x14ac:dyDescent="0.25">
      <c r="A11246" t="s">
        <v>1501</v>
      </c>
      <c r="B11246" t="s">
        <v>1106</v>
      </c>
    </row>
    <row r="11247" spans="1:2" x14ac:dyDescent="0.25">
      <c r="A11247" t="s">
        <v>1501</v>
      </c>
      <c r="B11247" t="s">
        <v>1107</v>
      </c>
    </row>
    <row r="11248" spans="1:2" x14ac:dyDescent="0.25">
      <c r="A11248" t="s">
        <v>1501</v>
      </c>
      <c r="B11248" t="s">
        <v>1161</v>
      </c>
    </row>
    <row r="11249" spans="1:2" x14ac:dyDescent="0.25">
      <c r="A11249" t="s">
        <v>1501</v>
      </c>
      <c r="B11249" t="s">
        <v>1162</v>
      </c>
    </row>
    <row r="11250" spans="1:2" x14ac:dyDescent="0.25">
      <c r="A11250" t="s">
        <v>1501</v>
      </c>
      <c r="B11250" t="s">
        <v>1163</v>
      </c>
    </row>
    <row r="11251" spans="1:2" x14ac:dyDescent="0.25">
      <c r="A11251" t="s">
        <v>1501</v>
      </c>
      <c r="B11251" t="s">
        <v>1164</v>
      </c>
    </row>
    <row r="11252" spans="1:2" x14ac:dyDescent="0.25">
      <c r="A11252" t="s">
        <v>1501</v>
      </c>
      <c r="B11252" t="s">
        <v>1168</v>
      </c>
    </row>
    <row r="11253" spans="1:2" x14ac:dyDescent="0.25">
      <c r="A11253" t="s">
        <v>1501</v>
      </c>
      <c r="B11253" t="s">
        <v>1170</v>
      </c>
    </row>
    <row r="11254" spans="1:2" x14ac:dyDescent="0.25">
      <c r="A11254" t="s">
        <v>1501</v>
      </c>
      <c r="B11254" t="s">
        <v>1196</v>
      </c>
    </row>
    <row r="11255" spans="1:2" x14ac:dyDescent="0.25">
      <c r="A11255" t="s">
        <v>1671</v>
      </c>
      <c r="B11255" t="s">
        <v>1099</v>
      </c>
    </row>
    <row r="11256" spans="1:2" x14ac:dyDescent="0.25">
      <c r="A11256" t="s">
        <v>1671</v>
      </c>
      <c r="B11256" t="s">
        <v>1100</v>
      </c>
    </row>
    <row r="11257" spans="1:2" x14ac:dyDescent="0.25">
      <c r="A11257" t="s">
        <v>1671</v>
      </c>
      <c r="B11257" t="s">
        <v>1101</v>
      </c>
    </row>
    <row r="11258" spans="1:2" x14ac:dyDescent="0.25">
      <c r="A11258" t="s">
        <v>1671</v>
      </c>
      <c r="B11258" t="s">
        <v>1102</v>
      </c>
    </row>
    <row r="11259" spans="1:2" x14ac:dyDescent="0.25">
      <c r="A11259" t="s">
        <v>1671</v>
      </c>
      <c r="B11259" t="s">
        <v>1103</v>
      </c>
    </row>
    <row r="11260" spans="1:2" x14ac:dyDescent="0.25">
      <c r="A11260" t="s">
        <v>1671</v>
      </c>
      <c r="B11260" t="s">
        <v>1104</v>
      </c>
    </row>
    <row r="11261" spans="1:2" x14ac:dyDescent="0.25">
      <c r="A11261" t="s">
        <v>1671</v>
      </c>
      <c r="B11261" t="s">
        <v>1105</v>
      </c>
    </row>
    <row r="11262" spans="1:2" x14ac:dyDescent="0.25">
      <c r="A11262" t="s">
        <v>1671</v>
      </c>
      <c r="B11262" t="s">
        <v>1106</v>
      </c>
    </row>
    <row r="11263" spans="1:2" x14ac:dyDescent="0.25">
      <c r="A11263" t="s">
        <v>1671</v>
      </c>
      <c r="B11263" t="s">
        <v>1107</v>
      </c>
    </row>
    <row r="11264" spans="1:2" x14ac:dyDescent="0.25">
      <c r="A11264" t="s">
        <v>1671</v>
      </c>
      <c r="B11264" t="s">
        <v>1164</v>
      </c>
    </row>
    <row r="11265" spans="1:2" x14ac:dyDescent="0.25">
      <c r="A11265" t="s">
        <v>1671</v>
      </c>
      <c r="B11265" t="s">
        <v>1168</v>
      </c>
    </row>
    <row r="11266" spans="1:2" x14ac:dyDescent="0.25">
      <c r="A11266" t="s">
        <v>1671</v>
      </c>
      <c r="B11266" t="s">
        <v>1170</v>
      </c>
    </row>
    <row r="11267" spans="1:2" x14ac:dyDescent="0.25">
      <c r="A11267" t="s">
        <v>1671</v>
      </c>
      <c r="B11267" t="s">
        <v>1196</v>
      </c>
    </row>
    <row r="11268" spans="1:2" x14ac:dyDescent="0.25">
      <c r="A11268" s="11" t="s">
        <v>1500</v>
      </c>
      <c r="B11268" t="s">
        <v>1091</v>
      </c>
    </row>
    <row r="11269" spans="1:2" x14ac:dyDescent="0.25">
      <c r="A11269" t="s">
        <v>1500</v>
      </c>
      <c r="B11269" t="s">
        <v>1092</v>
      </c>
    </row>
    <row r="11270" spans="1:2" x14ac:dyDescent="0.25">
      <c r="A11270" t="s">
        <v>1500</v>
      </c>
      <c r="B11270" t="s">
        <v>1093</v>
      </c>
    </row>
    <row r="11271" spans="1:2" x14ac:dyDescent="0.25">
      <c r="A11271" t="s">
        <v>1500</v>
      </c>
      <c r="B11271" t="s">
        <v>1094</v>
      </c>
    </row>
    <row r="11272" spans="1:2" x14ac:dyDescent="0.25">
      <c r="A11272" t="s">
        <v>1500</v>
      </c>
      <c r="B11272" t="s">
        <v>1095</v>
      </c>
    </row>
    <row r="11273" spans="1:2" x14ac:dyDescent="0.25">
      <c r="A11273" t="s">
        <v>1500</v>
      </c>
      <c r="B11273" t="s">
        <v>1096</v>
      </c>
    </row>
    <row r="11274" spans="1:2" x14ac:dyDescent="0.25">
      <c r="A11274" t="s">
        <v>1500</v>
      </c>
      <c r="B11274" t="s">
        <v>1096</v>
      </c>
    </row>
    <row r="11275" spans="1:2" x14ac:dyDescent="0.25">
      <c r="A11275" t="s">
        <v>1500</v>
      </c>
      <c r="B11275" t="s">
        <v>1097</v>
      </c>
    </row>
    <row r="11276" spans="1:2" x14ac:dyDescent="0.25">
      <c r="A11276" t="s">
        <v>1500</v>
      </c>
      <c r="B11276" t="s">
        <v>1098</v>
      </c>
    </row>
    <row r="11277" spans="1:2" x14ac:dyDescent="0.25">
      <c r="A11277" t="s">
        <v>1500</v>
      </c>
      <c r="B11277" t="s">
        <v>1099</v>
      </c>
    </row>
    <row r="11278" spans="1:2" x14ac:dyDescent="0.25">
      <c r="A11278" t="s">
        <v>1500</v>
      </c>
      <c r="B11278" t="s">
        <v>1099</v>
      </c>
    </row>
    <row r="11279" spans="1:2" x14ac:dyDescent="0.25">
      <c r="A11279" t="s">
        <v>1500</v>
      </c>
      <c r="B11279" t="s">
        <v>1100</v>
      </c>
    </row>
    <row r="11280" spans="1:2" x14ac:dyDescent="0.25">
      <c r="A11280" t="s">
        <v>1500</v>
      </c>
      <c r="B11280" t="s">
        <v>1100</v>
      </c>
    </row>
    <row r="11281" spans="1:2" x14ac:dyDescent="0.25">
      <c r="A11281" t="s">
        <v>1500</v>
      </c>
      <c r="B11281" t="s">
        <v>1101</v>
      </c>
    </row>
    <row r="11282" spans="1:2" x14ac:dyDescent="0.25">
      <c r="A11282" t="s">
        <v>1500</v>
      </c>
      <c r="B11282" t="s">
        <v>1101</v>
      </c>
    </row>
    <row r="11283" spans="1:2" x14ac:dyDescent="0.25">
      <c r="A11283" t="s">
        <v>1500</v>
      </c>
      <c r="B11283" t="s">
        <v>1102</v>
      </c>
    </row>
    <row r="11284" spans="1:2" x14ac:dyDescent="0.25">
      <c r="A11284" t="s">
        <v>1500</v>
      </c>
      <c r="B11284" t="s">
        <v>1102</v>
      </c>
    </row>
    <row r="11285" spans="1:2" x14ac:dyDescent="0.25">
      <c r="A11285" t="s">
        <v>1500</v>
      </c>
      <c r="B11285" t="s">
        <v>1103</v>
      </c>
    </row>
    <row r="11286" spans="1:2" x14ac:dyDescent="0.25">
      <c r="A11286" t="s">
        <v>1500</v>
      </c>
      <c r="B11286" t="s">
        <v>1103</v>
      </c>
    </row>
    <row r="11287" spans="1:2" x14ac:dyDescent="0.25">
      <c r="A11287" t="s">
        <v>1500</v>
      </c>
      <c r="B11287" t="s">
        <v>1104</v>
      </c>
    </row>
    <row r="11288" spans="1:2" x14ac:dyDescent="0.25">
      <c r="A11288" t="s">
        <v>1500</v>
      </c>
      <c r="B11288" t="s">
        <v>1104</v>
      </c>
    </row>
    <row r="11289" spans="1:2" x14ac:dyDescent="0.25">
      <c r="A11289" t="s">
        <v>1500</v>
      </c>
      <c r="B11289" t="s">
        <v>1105</v>
      </c>
    </row>
    <row r="11290" spans="1:2" x14ac:dyDescent="0.25">
      <c r="A11290" t="s">
        <v>1500</v>
      </c>
      <c r="B11290" t="s">
        <v>1105</v>
      </c>
    </row>
    <row r="11291" spans="1:2" x14ac:dyDescent="0.25">
      <c r="A11291" t="s">
        <v>1500</v>
      </c>
      <c r="B11291" t="s">
        <v>1106</v>
      </c>
    </row>
    <row r="11292" spans="1:2" x14ac:dyDescent="0.25">
      <c r="A11292" t="s">
        <v>1500</v>
      </c>
      <c r="B11292" t="s">
        <v>1106</v>
      </c>
    </row>
    <row r="11293" spans="1:2" x14ac:dyDescent="0.25">
      <c r="A11293" t="s">
        <v>1500</v>
      </c>
      <c r="B11293" t="s">
        <v>1107</v>
      </c>
    </row>
    <row r="11294" spans="1:2" x14ac:dyDescent="0.25">
      <c r="A11294" t="s">
        <v>1500</v>
      </c>
      <c r="B11294" t="s">
        <v>1161</v>
      </c>
    </row>
    <row r="11295" spans="1:2" x14ac:dyDescent="0.25">
      <c r="A11295" t="s">
        <v>1500</v>
      </c>
      <c r="B11295" t="s">
        <v>1162</v>
      </c>
    </row>
    <row r="11296" spans="1:2" x14ac:dyDescent="0.25">
      <c r="A11296" t="s">
        <v>1500</v>
      </c>
      <c r="B11296" t="s">
        <v>1163</v>
      </c>
    </row>
    <row r="11297" spans="1:2" x14ac:dyDescent="0.25">
      <c r="A11297" t="s">
        <v>1500</v>
      </c>
      <c r="B11297" t="s">
        <v>1164</v>
      </c>
    </row>
    <row r="11298" spans="1:2" x14ac:dyDescent="0.25">
      <c r="A11298" t="s">
        <v>1500</v>
      </c>
      <c r="B11298" t="s">
        <v>1168</v>
      </c>
    </row>
    <row r="11299" spans="1:2" x14ac:dyDescent="0.25">
      <c r="A11299" t="s">
        <v>1500</v>
      </c>
      <c r="B11299" t="s">
        <v>1170</v>
      </c>
    </row>
    <row r="11300" spans="1:2" x14ac:dyDescent="0.25">
      <c r="A11300" t="s">
        <v>1500</v>
      </c>
      <c r="B11300" t="s">
        <v>1196</v>
      </c>
    </row>
    <row r="11301" spans="1:2" x14ac:dyDescent="0.25">
      <c r="A11301" t="s">
        <v>1672</v>
      </c>
      <c r="B11301" t="s">
        <v>1099</v>
      </c>
    </row>
    <row r="11302" spans="1:2" x14ac:dyDescent="0.25">
      <c r="A11302" t="s">
        <v>1672</v>
      </c>
      <c r="B11302" t="s">
        <v>1100</v>
      </c>
    </row>
    <row r="11303" spans="1:2" x14ac:dyDescent="0.25">
      <c r="A11303" t="s">
        <v>1672</v>
      </c>
      <c r="B11303" t="s">
        <v>1101</v>
      </c>
    </row>
    <row r="11304" spans="1:2" x14ac:dyDescent="0.25">
      <c r="A11304" t="s">
        <v>1672</v>
      </c>
      <c r="B11304" t="s">
        <v>1102</v>
      </c>
    </row>
    <row r="11305" spans="1:2" x14ac:dyDescent="0.25">
      <c r="A11305" t="s">
        <v>1672</v>
      </c>
      <c r="B11305" t="s">
        <v>1103</v>
      </c>
    </row>
    <row r="11306" spans="1:2" x14ac:dyDescent="0.25">
      <c r="A11306" t="s">
        <v>1672</v>
      </c>
      <c r="B11306" t="s">
        <v>1104</v>
      </c>
    </row>
    <row r="11307" spans="1:2" x14ac:dyDescent="0.25">
      <c r="A11307" t="s">
        <v>1672</v>
      </c>
      <c r="B11307" t="s">
        <v>1105</v>
      </c>
    </row>
    <row r="11308" spans="1:2" x14ac:dyDescent="0.25">
      <c r="A11308" t="s">
        <v>1672</v>
      </c>
      <c r="B11308" t="s">
        <v>1106</v>
      </c>
    </row>
    <row r="11309" spans="1:2" x14ac:dyDescent="0.25">
      <c r="A11309" t="s">
        <v>1672</v>
      </c>
      <c r="B11309" t="s">
        <v>1107</v>
      </c>
    </row>
    <row r="11310" spans="1:2" x14ac:dyDescent="0.25">
      <c r="A11310" t="s">
        <v>1672</v>
      </c>
      <c r="B11310" t="s">
        <v>1164</v>
      </c>
    </row>
    <row r="11311" spans="1:2" x14ac:dyDescent="0.25">
      <c r="A11311" t="s">
        <v>1672</v>
      </c>
      <c r="B11311" t="s">
        <v>1168</v>
      </c>
    </row>
    <row r="11312" spans="1:2" x14ac:dyDescent="0.25">
      <c r="A11312" t="s">
        <v>1672</v>
      </c>
      <c r="B11312" t="s">
        <v>1170</v>
      </c>
    </row>
    <row r="11313" spans="1:2" x14ac:dyDescent="0.25">
      <c r="A11313" t="s">
        <v>1672</v>
      </c>
      <c r="B11313" t="s">
        <v>1196</v>
      </c>
    </row>
    <row r="11314" spans="1:2" x14ac:dyDescent="0.25">
      <c r="A11314" t="s">
        <v>1736</v>
      </c>
      <c r="B11314" t="s">
        <v>1102</v>
      </c>
    </row>
    <row r="11315" spans="1:2" x14ac:dyDescent="0.25">
      <c r="A11315" t="s">
        <v>1736</v>
      </c>
      <c r="B11315" t="s">
        <v>1110</v>
      </c>
    </row>
    <row r="11316" spans="1:2" x14ac:dyDescent="0.25">
      <c r="A11316" t="s">
        <v>1736</v>
      </c>
      <c r="B11316" t="s">
        <v>1201</v>
      </c>
    </row>
    <row r="11317" spans="1:2" x14ac:dyDescent="0.25">
      <c r="A11317" t="s">
        <v>1736</v>
      </c>
      <c r="B11317" t="s">
        <v>1206</v>
      </c>
    </row>
    <row r="11318" spans="1:2" x14ac:dyDescent="0.25">
      <c r="A11318" t="s">
        <v>1829</v>
      </c>
      <c r="B11318" t="s">
        <v>1108</v>
      </c>
    </row>
    <row r="11319" spans="1:2" x14ac:dyDescent="0.25">
      <c r="A11319" t="s">
        <v>1829</v>
      </c>
      <c r="B11319" t="s">
        <v>1160</v>
      </c>
    </row>
    <row r="11320" spans="1:2" x14ac:dyDescent="0.25">
      <c r="A11320" t="s">
        <v>1829</v>
      </c>
      <c r="B11320" t="s">
        <v>1174</v>
      </c>
    </row>
    <row r="11321" spans="1:2" x14ac:dyDescent="0.25">
      <c r="A11321" t="s">
        <v>1829</v>
      </c>
      <c r="B11321" t="s">
        <v>1175</v>
      </c>
    </row>
    <row r="11322" spans="1:2" x14ac:dyDescent="0.25">
      <c r="A11322" t="s">
        <v>1829</v>
      </c>
      <c r="B11322" t="s">
        <v>1199</v>
      </c>
    </row>
    <row r="11323" spans="1:2" x14ac:dyDescent="0.25">
      <c r="A11323" t="s">
        <v>1829</v>
      </c>
      <c r="B11323" t="s">
        <v>1212</v>
      </c>
    </row>
    <row r="11324" spans="1:2" x14ac:dyDescent="0.25">
      <c r="A11324" t="s">
        <v>1829</v>
      </c>
      <c r="B11324" t="s">
        <v>1214</v>
      </c>
    </row>
    <row r="11325" spans="1:2" x14ac:dyDescent="0.25">
      <c r="A11325" t="s">
        <v>1829</v>
      </c>
      <c r="B11325" t="s">
        <v>1233</v>
      </c>
    </row>
    <row r="11326" spans="1:2" x14ac:dyDescent="0.25">
      <c r="A11326" t="s">
        <v>1829</v>
      </c>
      <c r="B11326" t="s">
        <v>1252</v>
      </c>
    </row>
    <row r="11327" spans="1:2" x14ac:dyDescent="0.25">
      <c r="A11327" t="s">
        <v>1831</v>
      </c>
      <c r="B11327" t="s">
        <v>1108</v>
      </c>
    </row>
    <row r="11328" spans="1:2" x14ac:dyDescent="0.25">
      <c r="A11328" t="s">
        <v>1831</v>
      </c>
      <c r="B11328" t="s">
        <v>1160</v>
      </c>
    </row>
    <row r="11329" spans="1:2" x14ac:dyDescent="0.25">
      <c r="A11329" t="s">
        <v>1831</v>
      </c>
      <c r="B11329" t="s">
        <v>1174</v>
      </c>
    </row>
    <row r="11330" spans="1:2" x14ac:dyDescent="0.25">
      <c r="A11330" t="s">
        <v>1831</v>
      </c>
      <c r="B11330" t="s">
        <v>1175</v>
      </c>
    </row>
    <row r="11331" spans="1:2" x14ac:dyDescent="0.25">
      <c r="A11331" t="s">
        <v>1831</v>
      </c>
      <c r="B11331" t="s">
        <v>1199</v>
      </c>
    </row>
    <row r="11332" spans="1:2" x14ac:dyDescent="0.25">
      <c r="A11332" t="s">
        <v>1831</v>
      </c>
      <c r="B11332" t="s">
        <v>1212</v>
      </c>
    </row>
    <row r="11333" spans="1:2" x14ac:dyDescent="0.25">
      <c r="A11333" t="s">
        <v>1831</v>
      </c>
      <c r="B11333" t="s">
        <v>1214</v>
      </c>
    </row>
    <row r="11334" spans="1:2" x14ac:dyDescent="0.25">
      <c r="A11334" t="s">
        <v>1831</v>
      </c>
      <c r="B11334" t="s">
        <v>1233</v>
      </c>
    </row>
    <row r="11335" spans="1:2" x14ac:dyDescent="0.25">
      <c r="A11335" t="s">
        <v>1831</v>
      </c>
      <c r="B11335" t="s">
        <v>1252</v>
      </c>
    </row>
    <row r="11336" spans="1:2" x14ac:dyDescent="0.25">
      <c r="A11336" t="s">
        <v>1832</v>
      </c>
      <c r="B11336" t="s">
        <v>1108</v>
      </c>
    </row>
    <row r="11337" spans="1:2" x14ac:dyDescent="0.25">
      <c r="A11337" t="s">
        <v>1832</v>
      </c>
      <c r="B11337" t="s">
        <v>1160</v>
      </c>
    </row>
    <row r="11338" spans="1:2" x14ac:dyDescent="0.25">
      <c r="A11338" t="s">
        <v>1832</v>
      </c>
      <c r="B11338" t="s">
        <v>1174</v>
      </c>
    </row>
    <row r="11339" spans="1:2" x14ac:dyDescent="0.25">
      <c r="A11339" t="s">
        <v>1832</v>
      </c>
      <c r="B11339" t="s">
        <v>1175</v>
      </c>
    </row>
    <row r="11340" spans="1:2" x14ac:dyDescent="0.25">
      <c r="A11340" t="s">
        <v>1832</v>
      </c>
      <c r="B11340" t="s">
        <v>1199</v>
      </c>
    </row>
    <row r="11341" spans="1:2" x14ac:dyDescent="0.25">
      <c r="A11341" t="s">
        <v>1832</v>
      </c>
      <c r="B11341" t="s">
        <v>1212</v>
      </c>
    </row>
    <row r="11342" spans="1:2" x14ac:dyDescent="0.25">
      <c r="A11342" t="s">
        <v>1832</v>
      </c>
      <c r="B11342" t="s">
        <v>1214</v>
      </c>
    </row>
    <row r="11343" spans="1:2" x14ac:dyDescent="0.25">
      <c r="A11343" t="s">
        <v>1832</v>
      </c>
      <c r="B11343" t="s">
        <v>1233</v>
      </c>
    </row>
    <row r="11344" spans="1:2" x14ac:dyDescent="0.25">
      <c r="A11344" t="s">
        <v>1832</v>
      </c>
      <c r="B11344" t="s">
        <v>1252</v>
      </c>
    </row>
    <row r="11345" spans="1:2" x14ac:dyDescent="0.25">
      <c r="A11345" t="s">
        <v>1833</v>
      </c>
      <c r="B11345" t="s">
        <v>1108</v>
      </c>
    </row>
    <row r="11346" spans="1:2" x14ac:dyDescent="0.25">
      <c r="A11346" t="s">
        <v>1833</v>
      </c>
      <c r="B11346" t="s">
        <v>1160</v>
      </c>
    </row>
    <row r="11347" spans="1:2" x14ac:dyDescent="0.25">
      <c r="A11347" t="s">
        <v>1833</v>
      </c>
      <c r="B11347" t="s">
        <v>1174</v>
      </c>
    </row>
    <row r="11348" spans="1:2" x14ac:dyDescent="0.25">
      <c r="A11348" t="s">
        <v>1833</v>
      </c>
      <c r="B11348" t="s">
        <v>1175</v>
      </c>
    </row>
    <row r="11349" spans="1:2" x14ac:dyDescent="0.25">
      <c r="A11349" t="s">
        <v>1833</v>
      </c>
      <c r="B11349" t="s">
        <v>1199</v>
      </c>
    </row>
    <row r="11350" spans="1:2" x14ac:dyDescent="0.25">
      <c r="A11350" t="s">
        <v>1833</v>
      </c>
      <c r="B11350" t="s">
        <v>1212</v>
      </c>
    </row>
    <row r="11351" spans="1:2" x14ac:dyDescent="0.25">
      <c r="A11351" t="s">
        <v>1833</v>
      </c>
      <c r="B11351" t="s">
        <v>1214</v>
      </c>
    </row>
    <row r="11352" spans="1:2" x14ac:dyDescent="0.25">
      <c r="A11352" t="s">
        <v>1833</v>
      </c>
      <c r="B11352" t="s">
        <v>1233</v>
      </c>
    </row>
    <row r="11353" spans="1:2" x14ac:dyDescent="0.25">
      <c r="A11353" t="s">
        <v>1833</v>
      </c>
      <c r="B11353" t="s">
        <v>1252</v>
      </c>
    </row>
    <row r="11354" spans="1:2" x14ac:dyDescent="0.25">
      <c r="A11354" t="s">
        <v>1834</v>
      </c>
      <c r="B11354" t="s">
        <v>1108</v>
      </c>
    </row>
    <row r="11355" spans="1:2" x14ac:dyDescent="0.25">
      <c r="A11355" t="s">
        <v>1834</v>
      </c>
      <c r="B11355" t="s">
        <v>1160</v>
      </c>
    </row>
    <row r="11356" spans="1:2" x14ac:dyDescent="0.25">
      <c r="A11356" t="s">
        <v>1834</v>
      </c>
      <c r="B11356" t="s">
        <v>1174</v>
      </c>
    </row>
    <row r="11357" spans="1:2" x14ac:dyDescent="0.25">
      <c r="A11357" t="s">
        <v>1834</v>
      </c>
      <c r="B11357" t="s">
        <v>1175</v>
      </c>
    </row>
    <row r="11358" spans="1:2" x14ac:dyDescent="0.25">
      <c r="A11358" t="s">
        <v>1834</v>
      </c>
      <c r="B11358" t="s">
        <v>1199</v>
      </c>
    </row>
    <row r="11359" spans="1:2" x14ac:dyDescent="0.25">
      <c r="A11359" t="s">
        <v>1834</v>
      </c>
      <c r="B11359" t="s">
        <v>1212</v>
      </c>
    </row>
    <row r="11360" spans="1:2" x14ac:dyDescent="0.25">
      <c r="A11360" t="s">
        <v>1834</v>
      </c>
      <c r="B11360" t="s">
        <v>1214</v>
      </c>
    </row>
    <row r="11361" spans="1:2" x14ac:dyDescent="0.25">
      <c r="A11361" t="s">
        <v>1834</v>
      </c>
      <c r="B11361" t="s">
        <v>1233</v>
      </c>
    </row>
    <row r="11362" spans="1:2" x14ac:dyDescent="0.25">
      <c r="A11362" t="s">
        <v>1834</v>
      </c>
      <c r="B11362" t="s">
        <v>1252</v>
      </c>
    </row>
    <row r="11363" spans="1:2" x14ac:dyDescent="0.25">
      <c r="A11363" t="s">
        <v>1830</v>
      </c>
      <c r="B11363" t="s">
        <v>1108</v>
      </c>
    </row>
    <row r="11364" spans="1:2" x14ac:dyDescent="0.25">
      <c r="A11364" t="s">
        <v>1830</v>
      </c>
      <c r="B11364" t="s">
        <v>1160</v>
      </c>
    </row>
    <row r="11365" spans="1:2" x14ac:dyDescent="0.25">
      <c r="A11365" t="s">
        <v>1830</v>
      </c>
      <c r="B11365" t="s">
        <v>1174</v>
      </c>
    </row>
    <row r="11366" spans="1:2" x14ac:dyDescent="0.25">
      <c r="A11366" t="s">
        <v>1830</v>
      </c>
      <c r="B11366" t="s">
        <v>1175</v>
      </c>
    </row>
    <row r="11367" spans="1:2" x14ac:dyDescent="0.25">
      <c r="A11367" t="s">
        <v>1830</v>
      </c>
      <c r="B11367" t="s">
        <v>1199</v>
      </c>
    </row>
    <row r="11368" spans="1:2" x14ac:dyDescent="0.25">
      <c r="A11368" t="s">
        <v>1830</v>
      </c>
      <c r="B11368" t="s">
        <v>1212</v>
      </c>
    </row>
    <row r="11369" spans="1:2" x14ac:dyDescent="0.25">
      <c r="A11369" t="s">
        <v>1830</v>
      </c>
      <c r="B11369" t="s">
        <v>1214</v>
      </c>
    </row>
    <row r="11370" spans="1:2" x14ac:dyDescent="0.25">
      <c r="A11370" t="s">
        <v>1830</v>
      </c>
      <c r="B11370" t="s">
        <v>1233</v>
      </c>
    </row>
    <row r="11371" spans="1:2" x14ac:dyDescent="0.25">
      <c r="A11371" t="s">
        <v>1830</v>
      </c>
      <c r="B11371" t="s">
        <v>1252</v>
      </c>
    </row>
    <row r="11372" spans="1:2" x14ac:dyDescent="0.25">
      <c r="A11372" t="s">
        <v>1815</v>
      </c>
      <c r="B11372" t="s">
        <v>1108</v>
      </c>
    </row>
    <row r="11373" spans="1:2" x14ac:dyDescent="0.25">
      <c r="A11373" t="s">
        <v>1815</v>
      </c>
      <c r="B11373" t="s">
        <v>1140</v>
      </c>
    </row>
    <row r="11374" spans="1:2" x14ac:dyDescent="0.25">
      <c r="A11374" t="s">
        <v>1815</v>
      </c>
      <c r="B11374" t="s">
        <v>1141</v>
      </c>
    </row>
    <row r="11375" spans="1:2" x14ac:dyDescent="0.25">
      <c r="A11375" t="s">
        <v>1815</v>
      </c>
      <c r="B11375" t="s">
        <v>1142</v>
      </c>
    </row>
    <row r="11376" spans="1:2" x14ac:dyDescent="0.25">
      <c r="A11376" t="s">
        <v>1815</v>
      </c>
      <c r="B11376" t="s">
        <v>1150</v>
      </c>
    </row>
    <row r="11377" spans="1:2" x14ac:dyDescent="0.25">
      <c r="A11377" t="s">
        <v>1815</v>
      </c>
      <c r="B11377" t="s">
        <v>1155</v>
      </c>
    </row>
    <row r="11378" spans="1:2" x14ac:dyDescent="0.25">
      <c r="A11378" t="s">
        <v>1815</v>
      </c>
      <c r="B11378" t="s">
        <v>1157</v>
      </c>
    </row>
    <row r="11379" spans="1:2" x14ac:dyDescent="0.25">
      <c r="A11379" t="s">
        <v>1815</v>
      </c>
      <c r="B11379" t="s">
        <v>1158</v>
      </c>
    </row>
    <row r="11380" spans="1:2" x14ac:dyDescent="0.25">
      <c r="A11380" t="s">
        <v>1815</v>
      </c>
      <c r="B11380" t="s">
        <v>1160</v>
      </c>
    </row>
    <row r="11381" spans="1:2" x14ac:dyDescent="0.25">
      <c r="A11381" t="s">
        <v>1815</v>
      </c>
      <c r="B11381" t="s">
        <v>1174</v>
      </c>
    </row>
    <row r="11382" spans="1:2" x14ac:dyDescent="0.25">
      <c r="A11382" t="s">
        <v>1815</v>
      </c>
      <c r="B11382" t="s">
        <v>1175</v>
      </c>
    </row>
    <row r="11383" spans="1:2" x14ac:dyDescent="0.25">
      <c r="A11383" t="s">
        <v>1815</v>
      </c>
      <c r="B11383" t="s">
        <v>1176</v>
      </c>
    </row>
    <row r="11384" spans="1:2" x14ac:dyDescent="0.25">
      <c r="A11384" t="s">
        <v>1815</v>
      </c>
      <c r="B11384" t="s">
        <v>1177</v>
      </c>
    </row>
    <row r="11385" spans="1:2" x14ac:dyDescent="0.25">
      <c r="A11385" t="s">
        <v>1815</v>
      </c>
      <c r="B11385" t="s">
        <v>1178</v>
      </c>
    </row>
    <row r="11386" spans="1:2" x14ac:dyDescent="0.25">
      <c r="A11386" t="s">
        <v>1815</v>
      </c>
      <c r="B11386" t="s">
        <v>1179</v>
      </c>
    </row>
    <row r="11387" spans="1:2" x14ac:dyDescent="0.25">
      <c r="A11387" t="s">
        <v>1815</v>
      </c>
      <c r="B11387" t="s">
        <v>1184</v>
      </c>
    </row>
    <row r="11388" spans="1:2" x14ac:dyDescent="0.25">
      <c r="A11388" t="s">
        <v>1815</v>
      </c>
      <c r="B11388" t="s">
        <v>1199</v>
      </c>
    </row>
    <row r="11389" spans="1:2" x14ac:dyDescent="0.25">
      <c r="A11389" t="s">
        <v>1815</v>
      </c>
      <c r="B11389" t="s">
        <v>1200</v>
      </c>
    </row>
    <row r="11390" spans="1:2" x14ac:dyDescent="0.25">
      <c r="A11390" t="s">
        <v>1815</v>
      </c>
      <c r="B11390" t="s">
        <v>1201</v>
      </c>
    </row>
    <row r="11391" spans="1:2" x14ac:dyDescent="0.25">
      <c r="A11391" t="s">
        <v>1815</v>
      </c>
      <c r="B11391" t="s">
        <v>1202</v>
      </c>
    </row>
    <row r="11392" spans="1:2" x14ac:dyDescent="0.25">
      <c r="A11392" t="s">
        <v>1815</v>
      </c>
      <c r="B11392" t="s">
        <v>1203</v>
      </c>
    </row>
    <row r="11393" spans="1:2" x14ac:dyDescent="0.25">
      <c r="A11393" t="s">
        <v>1815</v>
      </c>
      <c r="B11393" t="s">
        <v>1204</v>
      </c>
    </row>
    <row r="11394" spans="1:2" x14ac:dyDescent="0.25">
      <c r="A11394" t="s">
        <v>1815</v>
      </c>
      <c r="B11394" t="s">
        <v>1205</v>
      </c>
    </row>
    <row r="11395" spans="1:2" x14ac:dyDescent="0.25">
      <c r="A11395" t="s">
        <v>1815</v>
      </c>
      <c r="B11395" t="s">
        <v>1206</v>
      </c>
    </row>
    <row r="11396" spans="1:2" x14ac:dyDescent="0.25">
      <c r="A11396" t="s">
        <v>1815</v>
      </c>
      <c r="B11396" t="s">
        <v>1206</v>
      </c>
    </row>
    <row r="11397" spans="1:2" x14ac:dyDescent="0.25">
      <c r="A11397" t="s">
        <v>1815</v>
      </c>
      <c r="B11397" t="s">
        <v>1207</v>
      </c>
    </row>
    <row r="11398" spans="1:2" x14ac:dyDescent="0.25">
      <c r="A11398" t="s">
        <v>1815</v>
      </c>
      <c r="B11398" t="s">
        <v>1207</v>
      </c>
    </row>
    <row r="11399" spans="1:2" x14ac:dyDescent="0.25">
      <c r="A11399" t="s">
        <v>1815</v>
      </c>
      <c r="B11399" t="s">
        <v>1208</v>
      </c>
    </row>
    <row r="11400" spans="1:2" x14ac:dyDescent="0.25">
      <c r="A11400" t="s">
        <v>1815</v>
      </c>
      <c r="B11400" t="s">
        <v>1226</v>
      </c>
    </row>
    <row r="11401" spans="1:2" x14ac:dyDescent="0.25">
      <c r="A11401" t="s">
        <v>1815</v>
      </c>
      <c r="B11401" t="s">
        <v>1227</v>
      </c>
    </row>
    <row r="11402" spans="1:2" x14ac:dyDescent="0.25">
      <c r="A11402" t="s">
        <v>1815</v>
      </c>
      <c r="B11402" t="s">
        <v>1228</v>
      </c>
    </row>
    <row r="11403" spans="1:2" x14ac:dyDescent="0.25">
      <c r="A11403" t="s">
        <v>1815</v>
      </c>
      <c r="B11403" t="s">
        <v>1229</v>
      </c>
    </row>
    <row r="11404" spans="1:2" x14ac:dyDescent="0.25">
      <c r="A11404" t="s">
        <v>1815</v>
      </c>
      <c r="B11404" t="s">
        <v>1230</v>
      </c>
    </row>
    <row r="11405" spans="1:2" x14ac:dyDescent="0.25">
      <c r="A11405" t="s">
        <v>1815</v>
      </c>
      <c r="B11405" t="s">
        <v>1231</v>
      </c>
    </row>
    <row r="11406" spans="1:2" x14ac:dyDescent="0.25">
      <c r="A11406" t="s">
        <v>1815</v>
      </c>
      <c r="B11406" t="s">
        <v>1232</v>
      </c>
    </row>
    <row r="11407" spans="1:2" x14ac:dyDescent="0.25">
      <c r="A11407" t="s">
        <v>1815</v>
      </c>
      <c r="B11407" t="s">
        <v>1233</v>
      </c>
    </row>
    <row r="11408" spans="1:2" x14ac:dyDescent="0.25">
      <c r="A11408" t="s">
        <v>1815</v>
      </c>
      <c r="B11408" t="s">
        <v>1233</v>
      </c>
    </row>
    <row r="11409" spans="1:2" x14ac:dyDescent="0.25">
      <c r="A11409" t="s">
        <v>1815</v>
      </c>
      <c r="B11409" t="s">
        <v>1234</v>
      </c>
    </row>
    <row r="11410" spans="1:2" x14ac:dyDescent="0.25">
      <c r="A11410" t="s">
        <v>1815</v>
      </c>
      <c r="B11410" t="s">
        <v>1235</v>
      </c>
    </row>
    <row r="11411" spans="1:2" x14ac:dyDescent="0.25">
      <c r="A11411" t="s">
        <v>1815</v>
      </c>
      <c r="B11411" t="s">
        <v>1236</v>
      </c>
    </row>
    <row r="11412" spans="1:2" x14ac:dyDescent="0.25">
      <c r="A11412" t="s">
        <v>1815</v>
      </c>
      <c r="B11412" t="s">
        <v>1237</v>
      </c>
    </row>
    <row r="11413" spans="1:2" x14ac:dyDescent="0.25">
      <c r="A11413" t="s">
        <v>1815</v>
      </c>
      <c r="B11413" t="s">
        <v>1238</v>
      </c>
    </row>
    <row r="11414" spans="1:2" x14ac:dyDescent="0.25">
      <c r="A11414" t="s">
        <v>1815</v>
      </c>
      <c r="B11414" t="s">
        <v>1239</v>
      </c>
    </row>
    <row r="11415" spans="1:2" x14ac:dyDescent="0.25">
      <c r="A11415" t="s">
        <v>1815</v>
      </c>
      <c r="B11415" t="s">
        <v>1240</v>
      </c>
    </row>
    <row r="11416" spans="1:2" x14ac:dyDescent="0.25">
      <c r="A11416" t="s">
        <v>1815</v>
      </c>
      <c r="B11416" t="s">
        <v>1241</v>
      </c>
    </row>
    <row r="11417" spans="1:2" x14ac:dyDescent="0.25">
      <c r="A11417" t="s">
        <v>1815</v>
      </c>
      <c r="B11417" t="s">
        <v>1242</v>
      </c>
    </row>
    <row r="11418" spans="1:2" x14ac:dyDescent="0.25">
      <c r="A11418" t="s">
        <v>1815</v>
      </c>
      <c r="B11418" t="s">
        <v>1243</v>
      </c>
    </row>
    <row r="11419" spans="1:2" x14ac:dyDescent="0.25">
      <c r="A11419" t="s">
        <v>1815</v>
      </c>
      <c r="B11419" t="s">
        <v>1244</v>
      </c>
    </row>
    <row r="11420" spans="1:2" x14ac:dyDescent="0.25">
      <c r="A11420" t="s">
        <v>1815</v>
      </c>
      <c r="B11420" t="s">
        <v>1245</v>
      </c>
    </row>
    <row r="11421" spans="1:2" x14ac:dyDescent="0.25">
      <c r="A11421" t="s">
        <v>1815</v>
      </c>
      <c r="B11421" t="s">
        <v>1246</v>
      </c>
    </row>
    <row r="11422" spans="1:2" x14ac:dyDescent="0.25">
      <c r="A11422" t="s">
        <v>1815</v>
      </c>
      <c r="B11422" t="s">
        <v>1247</v>
      </c>
    </row>
    <row r="11423" spans="1:2" x14ac:dyDescent="0.25">
      <c r="A11423" t="s">
        <v>1815</v>
      </c>
      <c r="B11423" t="s">
        <v>1248</v>
      </c>
    </row>
    <row r="11424" spans="1:2" x14ac:dyDescent="0.25">
      <c r="A11424" t="s">
        <v>1815</v>
      </c>
      <c r="B11424" t="s">
        <v>1249</v>
      </c>
    </row>
    <row r="11425" spans="1:2" x14ac:dyDescent="0.25">
      <c r="A11425" t="s">
        <v>1815</v>
      </c>
      <c r="B11425" t="s">
        <v>1250</v>
      </c>
    </row>
    <row r="11426" spans="1:2" x14ac:dyDescent="0.25">
      <c r="A11426" t="s">
        <v>1816</v>
      </c>
      <c r="B11426" t="s">
        <v>1108</v>
      </c>
    </row>
    <row r="11427" spans="1:2" x14ac:dyDescent="0.25">
      <c r="A11427" t="s">
        <v>1816</v>
      </c>
      <c r="B11427" t="s">
        <v>1140</v>
      </c>
    </row>
    <row r="11428" spans="1:2" x14ac:dyDescent="0.25">
      <c r="A11428" t="s">
        <v>1816</v>
      </c>
      <c r="B11428" t="s">
        <v>1141</v>
      </c>
    </row>
    <row r="11429" spans="1:2" x14ac:dyDescent="0.25">
      <c r="A11429" t="s">
        <v>1816</v>
      </c>
      <c r="B11429" t="s">
        <v>1142</v>
      </c>
    </row>
    <row r="11430" spans="1:2" x14ac:dyDescent="0.25">
      <c r="A11430" t="s">
        <v>1816</v>
      </c>
      <c r="B11430" t="s">
        <v>1150</v>
      </c>
    </row>
    <row r="11431" spans="1:2" x14ac:dyDescent="0.25">
      <c r="A11431" t="s">
        <v>1816</v>
      </c>
      <c r="B11431" t="s">
        <v>1155</v>
      </c>
    </row>
    <row r="11432" spans="1:2" x14ac:dyDescent="0.25">
      <c r="A11432" t="s">
        <v>1816</v>
      </c>
      <c r="B11432" t="s">
        <v>1157</v>
      </c>
    </row>
    <row r="11433" spans="1:2" x14ac:dyDescent="0.25">
      <c r="A11433" t="s">
        <v>1816</v>
      </c>
      <c r="B11433" t="s">
        <v>1158</v>
      </c>
    </row>
    <row r="11434" spans="1:2" x14ac:dyDescent="0.25">
      <c r="A11434" t="s">
        <v>1816</v>
      </c>
      <c r="B11434" t="s">
        <v>1160</v>
      </c>
    </row>
    <row r="11435" spans="1:2" x14ac:dyDescent="0.25">
      <c r="A11435" t="s">
        <v>1816</v>
      </c>
      <c r="B11435" t="s">
        <v>1174</v>
      </c>
    </row>
    <row r="11436" spans="1:2" x14ac:dyDescent="0.25">
      <c r="A11436" t="s">
        <v>1816</v>
      </c>
      <c r="B11436" t="s">
        <v>1175</v>
      </c>
    </row>
    <row r="11437" spans="1:2" x14ac:dyDescent="0.25">
      <c r="A11437" t="s">
        <v>1816</v>
      </c>
      <c r="B11437" t="s">
        <v>1176</v>
      </c>
    </row>
    <row r="11438" spans="1:2" x14ac:dyDescent="0.25">
      <c r="A11438" t="s">
        <v>1816</v>
      </c>
      <c r="B11438" t="s">
        <v>1177</v>
      </c>
    </row>
    <row r="11439" spans="1:2" x14ac:dyDescent="0.25">
      <c r="A11439" t="s">
        <v>1816</v>
      </c>
      <c r="B11439" t="s">
        <v>1178</v>
      </c>
    </row>
    <row r="11440" spans="1:2" x14ac:dyDescent="0.25">
      <c r="A11440" t="s">
        <v>1816</v>
      </c>
      <c r="B11440" t="s">
        <v>1179</v>
      </c>
    </row>
    <row r="11441" spans="1:2" x14ac:dyDescent="0.25">
      <c r="A11441" t="s">
        <v>1816</v>
      </c>
      <c r="B11441" t="s">
        <v>1184</v>
      </c>
    </row>
    <row r="11442" spans="1:2" x14ac:dyDescent="0.25">
      <c r="A11442" t="s">
        <v>1816</v>
      </c>
      <c r="B11442" t="s">
        <v>1199</v>
      </c>
    </row>
    <row r="11443" spans="1:2" x14ac:dyDescent="0.25">
      <c r="A11443" t="s">
        <v>1816</v>
      </c>
      <c r="B11443" t="s">
        <v>1200</v>
      </c>
    </row>
    <row r="11444" spans="1:2" x14ac:dyDescent="0.25">
      <c r="A11444" t="s">
        <v>1816</v>
      </c>
      <c r="B11444" t="s">
        <v>1201</v>
      </c>
    </row>
    <row r="11445" spans="1:2" x14ac:dyDescent="0.25">
      <c r="A11445" t="s">
        <v>1816</v>
      </c>
      <c r="B11445" t="s">
        <v>1202</v>
      </c>
    </row>
    <row r="11446" spans="1:2" x14ac:dyDescent="0.25">
      <c r="A11446" t="s">
        <v>1816</v>
      </c>
      <c r="B11446" t="s">
        <v>1203</v>
      </c>
    </row>
    <row r="11447" spans="1:2" x14ac:dyDescent="0.25">
      <c r="A11447" t="s">
        <v>1816</v>
      </c>
      <c r="B11447" t="s">
        <v>1204</v>
      </c>
    </row>
    <row r="11448" spans="1:2" x14ac:dyDescent="0.25">
      <c r="A11448" t="s">
        <v>1816</v>
      </c>
      <c r="B11448" t="s">
        <v>1205</v>
      </c>
    </row>
    <row r="11449" spans="1:2" x14ac:dyDescent="0.25">
      <c r="A11449" t="s">
        <v>1816</v>
      </c>
      <c r="B11449" t="s">
        <v>1206</v>
      </c>
    </row>
    <row r="11450" spans="1:2" x14ac:dyDescent="0.25">
      <c r="A11450" t="s">
        <v>1816</v>
      </c>
      <c r="B11450" t="s">
        <v>1206</v>
      </c>
    </row>
    <row r="11451" spans="1:2" x14ac:dyDescent="0.25">
      <c r="A11451" t="s">
        <v>1816</v>
      </c>
      <c r="B11451" t="s">
        <v>1207</v>
      </c>
    </row>
    <row r="11452" spans="1:2" x14ac:dyDescent="0.25">
      <c r="A11452" t="s">
        <v>1816</v>
      </c>
      <c r="B11452" t="s">
        <v>1207</v>
      </c>
    </row>
    <row r="11453" spans="1:2" x14ac:dyDescent="0.25">
      <c r="A11453" t="s">
        <v>1816</v>
      </c>
      <c r="B11453" t="s">
        <v>1208</v>
      </c>
    </row>
    <row r="11454" spans="1:2" x14ac:dyDescent="0.25">
      <c r="A11454" t="s">
        <v>1816</v>
      </c>
      <c r="B11454" t="s">
        <v>1226</v>
      </c>
    </row>
    <row r="11455" spans="1:2" x14ac:dyDescent="0.25">
      <c r="A11455" t="s">
        <v>1816</v>
      </c>
      <c r="B11455" t="s">
        <v>1227</v>
      </c>
    </row>
    <row r="11456" spans="1:2" x14ac:dyDescent="0.25">
      <c r="A11456" t="s">
        <v>1816</v>
      </c>
      <c r="B11456" t="s">
        <v>1228</v>
      </c>
    </row>
    <row r="11457" spans="1:2" x14ac:dyDescent="0.25">
      <c r="A11457" t="s">
        <v>1816</v>
      </c>
      <c r="B11457" t="s">
        <v>1229</v>
      </c>
    </row>
    <row r="11458" spans="1:2" x14ac:dyDescent="0.25">
      <c r="A11458" t="s">
        <v>1816</v>
      </c>
      <c r="B11458" t="s">
        <v>1230</v>
      </c>
    </row>
    <row r="11459" spans="1:2" x14ac:dyDescent="0.25">
      <c r="A11459" t="s">
        <v>1816</v>
      </c>
      <c r="B11459" t="s">
        <v>1231</v>
      </c>
    </row>
    <row r="11460" spans="1:2" x14ac:dyDescent="0.25">
      <c r="A11460" t="s">
        <v>1816</v>
      </c>
      <c r="B11460" t="s">
        <v>1232</v>
      </c>
    </row>
    <row r="11461" spans="1:2" x14ac:dyDescent="0.25">
      <c r="A11461" t="s">
        <v>1816</v>
      </c>
      <c r="B11461" t="s">
        <v>1233</v>
      </c>
    </row>
    <row r="11462" spans="1:2" x14ac:dyDescent="0.25">
      <c r="A11462" t="s">
        <v>1816</v>
      </c>
      <c r="B11462" t="s">
        <v>1233</v>
      </c>
    </row>
    <row r="11463" spans="1:2" x14ac:dyDescent="0.25">
      <c r="A11463" t="s">
        <v>1816</v>
      </c>
      <c r="B11463" t="s">
        <v>1234</v>
      </c>
    </row>
    <row r="11464" spans="1:2" x14ac:dyDescent="0.25">
      <c r="A11464" t="s">
        <v>1816</v>
      </c>
      <c r="B11464" t="s">
        <v>1235</v>
      </c>
    </row>
    <row r="11465" spans="1:2" x14ac:dyDescent="0.25">
      <c r="A11465" t="s">
        <v>1816</v>
      </c>
      <c r="B11465" t="s">
        <v>1236</v>
      </c>
    </row>
    <row r="11466" spans="1:2" x14ac:dyDescent="0.25">
      <c r="A11466" t="s">
        <v>1816</v>
      </c>
      <c r="B11466" t="s">
        <v>1237</v>
      </c>
    </row>
    <row r="11467" spans="1:2" x14ac:dyDescent="0.25">
      <c r="A11467" t="s">
        <v>1816</v>
      </c>
      <c r="B11467" t="s">
        <v>1238</v>
      </c>
    </row>
    <row r="11468" spans="1:2" x14ac:dyDescent="0.25">
      <c r="A11468" t="s">
        <v>1816</v>
      </c>
      <c r="B11468" t="s">
        <v>1239</v>
      </c>
    </row>
    <row r="11469" spans="1:2" x14ac:dyDescent="0.25">
      <c r="A11469" t="s">
        <v>1816</v>
      </c>
      <c r="B11469" t="s">
        <v>1240</v>
      </c>
    </row>
    <row r="11470" spans="1:2" x14ac:dyDescent="0.25">
      <c r="A11470" t="s">
        <v>1816</v>
      </c>
      <c r="B11470" t="s">
        <v>1241</v>
      </c>
    </row>
    <row r="11471" spans="1:2" x14ac:dyDescent="0.25">
      <c r="A11471" t="s">
        <v>1816</v>
      </c>
      <c r="B11471" t="s">
        <v>1242</v>
      </c>
    </row>
    <row r="11472" spans="1:2" x14ac:dyDescent="0.25">
      <c r="A11472" t="s">
        <v>1816</v>
      </c>
      <c r="B11472" t="s">
        <v>1243</v>
      </c>
    </row>
    <row r="11473" spans="1:2" x14ac:dyDescent="0.25">
      <c r="A11473" t="s">
        <v>1816</v>
      </c>
      <c r="B11473" t="s">
        <v>1244</v>
      </c>
    </row>
    <row r="11474" spans="1:2" x14ac:dyDescent="0.25">
      <c r="A11474" t="s">
        <v>1816</v>
      </c>
      <c r="B11474" t="s">
        <v>1245</v>
      </c>
    </row>
    <row r="11475" spans="1:2" x14ac:dyDescent="0.25">
      <c r="A11475" t="s">
        <v>1816</v>
      </c>
      <c r="B11475" t="s">
        <v>1246</v>
      </c>
    </row>
    <row r="11476" spans="1:2" x14ac:dyDescent="0.25">
      <c r="A11476" t="s">
        <v>1816</v>
      </c>
      <c r="B11476" t="s">
        <v>1247</v>
      </c>
    </row>
    <row r="11477" spans="1:2" x14ac:dyDescent="0.25">
      <c r="A11477" t="s">
        <v>1816</v>
      </c>
      <c r="B11477" t="s">
        <v>1248</v>
      </c>
    </row>
    <row r="11478" spans="1:2" x14ac:dyDescent="0.25">
      <c r="A11478" t="s">
        <v>1816</v>
      </c>
      <c r="B11478" t="s">
        <v>1249</v>
      </c>
    </row>
    <row r="11479" spans="1:2" x14ac:dyDescent="0.25">
      <c r="A11479" t="s">
        <v>1816</v>
      </c>
      <c r="B11479" t="s">
        <v>1250</v>
      </c>
    </row>
    <row r="11480" spans="1:2" x14ac:dyDescent="0.25">
      <c r="A11480" t="s">
        <v>1817</v>
      </c>
      <c r="B11480" t="s">
        <v>1108</v>
      </c>
    </row>
    <row r="11481" spans="1:2" x14ac:dyDescent="0.25">
      <c r="A11481" t="s">
        <v>1817</v>
      </c>
      <c r="B11481" t="s">
        <v>1140</v>
      </c>
    </row>
    <row r="11482" spans="1:2" x14ac:dyDescent="0.25">
      <c r="A11482" t="s">
        <v>1817</v>
      </c>
      <c r="B11482" t="s">
        <v>1141</v>
      </c>
    </row>
    <row r="11483" spans="1:2" x14ac:dyDescent="0.25">
      <c r="A11483" t="s">
        <v>1817</v>
      </c>
      <c r="B11483" t="s">
        <v>1142</v>
      </c>
    </row>
    <row r="11484" spans="1:2" x14ac:dyDescent="0.25">
      <c r="A11484" t="s">
        <v>1817</v>
      </c>
      <c r="B11484" t="s">
        <v>1150</v>
      </c>
    </row>
    <row r="11485" spans="1:2" x14ac:dyDescent="0.25">
      <c r="A11485" t="s">
        <v>1817</v>
      </c>
      <c r="B11485" t="s">
        <v>1155</v>
      </c>
    </row>
    <row r="11486" spans="1:2" x14ac:dyDescent="0.25">
      <c r="A11486" t="s">
        <v>1817</v>
      </c>
      <c r="B11486" t="s">
        <v>1157</v>
      </c>
    </row>
    <row r="11487" spans="1:2" x14ac:dyDescent="0.25">
      <c r="A11487" t="s">
        <v>1817</v>
      </c>
      <c r="B11487" t="s">
        <v>1158</v>
      </c>
    </row>
    <row r="11488" spans="1:2" x14ac:dyDescent="0.25">
      <c r="A11488" t="s">
        <v>1817</v>
      </c>
      <c r="B11488" t="s">
        <v>1160</v>
      </c>
    </row>
    <row r="11489" spans="1:2" x14ac:dyDescent="0.25">
      <c r="A11489" t="s">
        <v>1817</v>
      </c>
      <c r="B11489" t="s">
        <v>1174</v>
      </c>
    </row>
    <row r="11490" spans="1:2" x14ac:dyDescent="0.25">
      <c r="A11490" t="s">
        <v>1817</v>
      </c>
      <c r="B11490" t="s">
        <v>1175</v>
      </c>
    </row>
    <row r="11491" spans="1:2" x14ac:dyDescent="0.25">
      <c r="A11491" t="s">
        <v>1817</v>
      </c>
      <c r="B11491" t="s">
        <v>1176</v>
      </c>
    </row>
    <row r="11492" spans="1:2" x14ac:dyDescent="0.25">
      <c r="A11492" t="s">
        <v>1817</v>
      </c>
      <c r="B11492" t="s">
        <v>1177</v>
      </c>
    </row>
    <row r="11493" spans="1:2" x14ac:dyDescent="0.25">
      <c r="A11493" t="s">
        <v>1817</v>
      </c>
      <c r="B11493" t="s">
        <v>1178</v>
      </c>
    </row>
    <row r="11494" spans="1:2" x14ac:dyDescent="0.25">
      <c r="A11494" t="s">
        <v>1817</v>
      </c>
      <c r="B11494" t="s">
        <v>1179</v>
      </c>
    </row>
    <row r="11495" spans="1:2" x14ac:dyDescent="0.25">
      <c r="A11495" t="s">
        <v>1817</v>
      </c>
      <c r="B11495" t="s">
        <v>1184</v>
      </c>
    </row>
    <row r="11496" spans="1:2" x14ac:dyDescent="0.25">
      <c r="A11496" t="s">
        <v>1817</v>
      </c>
      <c r="B11496" t="s">
        <v>1199</v>
      </c>
    </row>
    <row r="11497" spans="1:2" x14ac:dyDescent="0.25">
      <c r="A11497" t="s">
        <v>1817</v>
      </c>
      <c r="B11497" t="s">
        <v>1200</v>
      </c>
    </row>
    <row r="11498" spans="1:2" x14ac:dyDescent="0.25">
      <c r="A11498" t="s">
        <v>1817</v>
      </c>
      <c r="B11498" t="s">
        <v>1201</v>
      </c>
    </row>
    <row r="11499" spans="1:2" x14ac:dyDescent="0.25">
      <c r="A11499" t="s">
        <v>1817</v>
      </c>
      <c r="B11499" t="s">
        <v>1202</v>
      </c>
    </row>
    <row r="11500" spans="1:2" x14ac:dyDescent="0.25">
      <c r="A11500" t="s">
        <v>1817</v>
      </c>
      <c r="B11500" t="s">
        <v>1203</v>
      </c>
    </row>
    <row r="11501" spans="1:2" x14ac:dyDescent="0.25">
      <c r="A11501" t="s">
        <v>1817</v>
      </c>
      <c r="B11501" t="s">
        <v>1204</v>
      </c>
    </row>
    <row r="11502" spans="1:2" x14ac:dyDescent="0.25">
      <c r="A11502" t="s">
        <v>1817</v>
      </c>
      <c r="B11502" t="s">
        <v>1205</v>
      </c>
    </row>
    <row r="11503" spans="1:2" x14ac:dyDescent="0.25">
      <c r="A11503" t="s">
        <v>1817</v>
      </c>
      <c r="B11503" t="s">
        <v>1206</v>
      </c>
    </row>
    <row r="11504" spans="1:2" x14ac:dyDescent="0.25">
      <c r="A11504" t="s">
        <v>1817</v>
      </c>
      <c r="B11504" t="s">
        <v>1206</v>
      </c>
    </row>
    <row r="11505" spans="1:2" x14ac:dyDescent="0.25">
      <c r="A11505" t="s">
        <v>1817</v>
      </c>
      <c r="B11505" t="s">
        <v>1207</v>
      </c>
    </row>
    <row r="11506" spans="1:2" x14ac:dyDescent="0.25">
      <c r="A11506" t="s">
        <v>1817</v>
      </c>
      <c r="B11506" t="s">
        <v>1207</v>
      </c>
    </row>
    <row r="11507" spans="1:2" x14ac:dyDescent="0.25">
      <c r="A11507" t="s">
        <v>1817</v>
      </c>
      <c r="B11507" t="s">
        <v>1208</v>
      </c>
    </row>
    <row r="11508" spans="1:2" x14ac:dyDescent="0.25">
      <c r="A11508" t="s">
        <v>1817</v>
      </c>
      <c r="B11508" t="s">
        <v>1226</v>
      </c>
    </row>
    <row r="11509" spans="1:2" x14ac:dyDescent="0.25">
      <c r="A11509" t="s">
        <v>1817</v>
      </c>
      <c r="B11509" t="s">
        <v>1227</v>
      </c>
    </row>
    <row r="11510" spans="1:2" x14ac:dyDescent="0.25">
      <c r="A11510" t="s">
        <v>1817</v>
      </c>
      <c r="B11510" t="s">
        <v>1228</v>
      </c>
    </row>
    <row r="11511" spans="1:2" x14ac:dyDescent="0.25">
      <c r="A11511" t="s">
        <v>1817</v>
      </c>
      <c r="B11511" t="s">
        <v>1229</v>
      </c>
    </row>
    <row r="11512" spans="1:2" x14ac:dyDescent="0.25">
      <c r="A11512" t="s">
        <v>1817</v>
      </c>
      <c r="B11512" t="s">
        <v>1230</v>
      </c>
    </row>
    <row r="11513" spans="1:2" x14ac:dyDescent="0.25">
      <c r="A11513" t="s">
        <v>1817</v>
      </c>
      <c r="B11513" t="s">
        <v>1231</v>
      </c>
    </row>
    <row r="11514" spans="1:2" x14ac:dyDescent="0.25">
      <c r="A11514" t="s">
        <v>1817</v>
      </c>
      <c r="B11514" t="s">
        <v>1232</v>
      </c>
    </row>
    <row r="11515" spans="1:2" x14ac:dyDescent="0.25">
      <c r="A11515" t="s">
        <v>1817</v>
      </c>
      <c r="B11515" t="s">
        <v>1233</v>
      </c>
    </row>
    <row r="11516" spans="1:2" x14ac:dyDescent="0.25">
      <c r="A11516" t="s">
        <v>1817</v>
      </c>
      <c r="B11516" t="s">
        <v>1233</v>
      </c>
    </row>
    <row r="11517" spans="1:2" x14ac:dyDescent="0.25">
      <c r="A11517" t="s">
        <v>1817</v>
      </c>
      <c r="B11517" t="s">
        <v>1234</v>
      </c>
    </row>
    <row r="11518" spans="1:2" x14ac:dyDescent="0.25">
      <c r="A11518" t="s">
        <v>1817</v>
      </c>
      <c r="B11518" t="s">
        <v>1235</v>
      </c>
    </row>
    <row r="11519" spans="1:2" x14ac:dyDescent="0.25">
      <c r="A11519" t="s">
        <v>1817</v>
      </c>
      <c r="B11519" t="s">
        <v>1236</v>
      </c>
    </row>
    <row r="11520" spans="1:2" x14ac:dyDescent="0.25">
      <c r="A11520" t="s">
        <v>1817</v>
      </c>
      <c r="B11520" t="s">
        <v>1237</v>
      </c>
    </row>
    <row r="11521" spans="1:2" x14ac:dyDescent="0.25">
      <c r="A11521" t="s">
        <v>1817</v>
      </c>
      <c r="B11521" t="s">
        <v>1238</v>
      </c>
    </row>
    <row r="11522" spans="1:2" x14ac:dyDescent="0.25">
      <c r="A11522" t="s">
        <v>1817</v>
      </c>
      <c r="B11522" t="s">
        <v>1239</v>
      </c>
    </row>
    <row r="11523" spans="1:2" x14ac:dyDescent="0.25">
      <c r="A11523" t="s">
        <v>1817</v>
      </c>
      <c r="B11523" t="s">
        <v>1240</v>
      </c>
    </row>
    <row r="11524" spans="1:2" x14ac:dyDescent="0.25">
      <c r="A11524" t="s">
        <v>1817</v>
      </c>
      <c r="B11524" t="s">
        <v>1241</v>
      </c>
    </row>
    <row r="11525" spans="1:2" x14ac:dyDescent="0.25">
      <c r="A11525" t="s">
        <v>1817</v>
      </c>
      <c r="B11525" t="s">
        <v>1242</v>
      </c>
    </row>
    <row r="11526" spans="1:2" x14ac:dyDescent="0.25">
      <c r="A11526" t="s">
        <v>1817</v>
      </c>
      <c r="B11526" t="s">
        <v>1243</v>
      </c>
    </row>
    <row r="11527" spans="1:2" x14ac:dyDescent="0.25">
      <c r="A11527" t="s">
        <v>1817</v>
      </c>
      <c r="B11527" t="s">
        <v>1244</v>
      </c>
    </row>
    <row r="11528" spans="1:2" x14ac:dyDescent="0.25">
      <c r="A11528" t="s">
        <v>1817</v>
      </c>
      <c r="B11528" t="s">
        <v>1245</v>
      </c>
    </row>
    <row r="11529" spans="1:2" x14ac:dyDescent="0.25">
      <c r="A11529" t="s">
        <v>1817</v>
      </c>
      <c r="B11529" t="s">
        <v>1246</v>
      </c>
    </row>
    <row r="11530" spans="1:2" x14ac:dyDescent="0.25">
      <c r="A11530" t="s">
        <v>1817</v>
      </c>
      <c r="B11530" t="s">
        <v>1247</v>
      </c>
    </row>
    <row r="11531" spans="1:2" x14ac:dyDescent="0.25">
      <c r="A11531" t="s">
        <v>1817</v>
      </c>
      <c r="B11531" t="s">
        <v>1248</v>
      </c>
    </row>
    <row r="11532" spans="1:2" x14ac:dyDescent="0.25">
      <c r="A11532" t="s">
        <v>1817</v>
      </c>
      <c r="B11532" t="s">
        <v>1249</v>
      </c>
    </row>
    <row r="11533" spans="1:2" x14ac:dyDescent="0.25">
      <c r="A11533" t="s">
        <v>1817</v>
      </c>
      <c r="B11533" t="s">
        <v>1250</v>
      </c>
    </row>
    <row r="11534" spans="1:2" x14ac:dyDescent="0.25">
      <c r="A11534" t="s">
        <v>2262</v>
      </c>
      <c r="B11534" t="s">
        <v>1187</v>
      </c>
    </row>
    <row r="11535" spans="1:2" x14ac:dyDescent="0.25">
      <c r="A11535" t="s">
        <v>2262</v>
      </c>
      <c r="B11535" t="s">
        <v>1188</v>
      </c>
    </row>
    <row r="11536" spans="1:2" x14ac:dyDescent="0.25">
      <c r="A11536" t="s">
        <v>2262</v>
      </c>
      <c r="B11536" t="s">
        <v>1195</v>
      </c>
    </row>
    <row r="11537" spans="1:2" x14ac:dyDescent="0.25">
      <c r="A11537" t="s">
        <v>2262</v>
      </c>
      <c r="B11537" t="s">
        <v>1196</v>
      </c>
    </row>
    <row r="11538" spans="1:2" x14ac:dyDescent="0.25">
      <c r="A11538" t="s">
        <v>2263</v>
      </c>
      <c r="B11538" t="s">
        <v>1187</v>
      </c>
    </row>
    <row r="11539" spans="1:2" x14ac:dyDescent="0.25">
      <c r="A11539" t="s">
        <v>2263</v>
      </c>
      <c r="B11539" t="s">
        <v>1188</v>
      </c>
    </row>
    <row r="11540" spans="1:2" x14ac:dyDescent="0.25">
      <c r="A11540" t="s">
        <v>2263</v>
      </c>
      <c r="B11540" t="s">
        <v>1195</v>
      </c>
    </row>
    <row r="11541" spans="1:2" x14ac:dyDescent="0.25">
      <c r="A11541" t="s">
        <v>2263</v>
      </c>
      <c r="B11541" t="s">
        <v>1196</v>
      </c>
    </row>
    <row r="11542" spans="1:2" x14ac:dyDescent="0.25">
      <c r="A11542" t="s">
        <v>2264</v>
      </c>
      <c r="B11542" t="s">
        <v>1187</v>
      </c>
    </row>
    <row r="11543" spans="1:2" x14ac:dyDescent="0.25">
      <c r="A11543" t="s">
        <v>2264</v>
      </c>
      <c r="B11543" t="s">
        <v>1188</v>
      </c>
    </row>
    <row r="11544" spans="1:2" x14ac:dyDescent="0.25">
      <c r="A11544" t="s">
        <v>2264</v>
      </c>
      <c r="B11544" t="s">
        <v>1195</v>
      </c>
    </row>
    <row r="11545" spans="1:2" x14ac:dyDescent="0.25">
      <c r="A11545" t="s">
        <v>2264</v>
      </c>
      <c r="B11545" t="s">
        <v>1196</v>
      </c>
    </row>
    <row r="11546" spans="1:2" x14ac:dyDescent="0.25">
      <c r="A11546" t="s">
        <v>1940</v>
      </c>
      <c r="B11546" t="s">
        <v>1113</v>
      </c>
    </row>
    <row r="11547" spans="1:2" x14ac:dyDescent="0.25">
      <c r="A11547" t="s">
        <v>1940</v>
      </c>
      <c r="B11547" t="s">
        <v>1114</v>
      </c>
    </row>
    <row r="11548" spans="1:2" x14ac:dyDescent="0.25">
      <c r="A11548" t="s">
        <v>1940</v>
      </c>
      <c r="B11548" t="s">
        <v>1115</v>
      </c>
    </row>
    <row r="11549" spans="1:2" x14ac:dyDescent="0.25">
      <c r="A11549" t="s">
        <v>1940</v>
      </c>
      <c r="B11549" t="s">
        <v>1133</v>
      </c>
    </row>
    <row r="11550" spans="1:2" x14ac:dyDescent="0.25">
      <c r="A11550" t="s">
        <v>1940</v>
      </c>
      <c r="B11550" t="s">
        <v>1166</v>
      </c>
    </row>
    <row r="11551" spans="1:2" x14ac:dyDescent="0.25">
      <c r="A11551" t="s">
        <v>1940</v>
      </c>
      <c r="B11551" t="s">
        <v>1167</v>
      </c>
    </row>
    <row r="11552" spans="1:2" x14ac:dyDescent="0.25">
      <c r="A11552" t="s">
        <v>1940</v>
      </c>
      <c r="B11552" t="s">
        <v>1168</v>
      </c>
    </row>
    <row r="11553" spans="1:2" x14ac:dyDescent="0.25">
      <c r="A11553" t="s">
        <v>1940</v>
      </c>
      <c r="B11553" t="s">
        <v>1186</v>
      </c>
    </row>
    <row r="11554" spans="1:2" x14ac:dyDescent="0.25">
      <c r="A11554" t="s">
        <v>1940</v>
      </c>
      <c r="B11554" t="s">
        <v>1187</v>
      </c>
    </row>
    <row r="11555" spans="1:2" x14ac:dyDescent="0.25">
      <c r="A11555" t="s">
        <v>1940</v>
      </c>
      <c r="B11555" t="s">
        <v>1188</v>
      </c>
    </row>
    <row r="11556" spans="1:2" x14ac:dyDescent="0.25">
      <c r="A11556" t="s">
        <v>1940</v>
      </c>
      <c r="B11556" t="s">
        <v>1189</v>
      </c>
    </row>
    <row r="11557" spans="1:2" x14ac:dyDescent="0.25">
      <c r="A11557" t="s">
        <v>1940</v>
      </c>
      <c r="B11557" t="s">
        <v>1195</v>
      </c>
    </row>
    <row r="11558" spans="1:2" x14ac:dyDescent="0.25">
      <c r="A11558" t="s">
        <v>1940</v>
      </c>
      <c r="B11558" t="s">
        <v>1196</v>
      </c>
    </row>
    <row r="11559" spans="1:2" x14ac:dyDescent="0.25">
      <c r="A11559" t="s">
        <v>2254</v>
      </c>
      <c r="B11559" t="s">
        <v>1187</v>
      </c>
    </row>
    <row r="11560" spans="1:2" x14ac:dyDescent="0.25">
      <c r="A11560" t="s">
        <v>2254</v>
      </c>
      <c r="B11560" t="s">
        <v>1188</v>
      </c>
    </row>
    <row r="11561" spans="1:2" x14ac:dyDescent="0.25">
      <c r="A11561" t="s">
        <v>2254</v>
      </c>
      <c r="B11561" t="s">
        <v>1188</v>
      </c>
    </row>
    <row r="11562" spans="1:2" x14ac:dyDescent="0.25">
      <c r="A11562" t="s">
        <v>2254</v>
      </c>
      <c r="B11562" t="s">
        <v>1189</v>
      </c>
    </row>
    <row r="11563" spans="1:2" x14ac:dyDescent="0.25">
      <c r="A11563" t="s">
        <v>2254</v>
      </c>
      <c r="B11563" t="s">
        <v>1189</v>
      </c>
    </row>
    <row r="11564" spans="1:2" x14ac:dyDescent="0.25">
      <c r="A11564" t="s">
        <v>1962</v>
      </c>
      <c r="B11564" t="s">
        <v>1113</v>
      </c>
    </row>
    <row r="11565" spans="1:2" x14ac:dyDescent="0.25">
      <c r="A11565" t="s">
        <v>1962</v>
      </c>
      <c r="B11565" t="s">
        <v>1114</v>
      </c>
    </row>
    <row r="11566" spans="1:2" x14ac:dyDescent="0.25">
      <c r="A11566" t="s">
        <v>1962</v>
      </c>
      <c r="B11566" t="s">
        <v>1115</v>
      </c>
    </row>
    <row r="11567" spans="1:2" x14ac:dyDescent="0.25">
      <c r="A11567" t="s">
        <v>1962</v>
      </c>
      <c r="B11567" t="s">
        <v>1133</v>
      </c>
    </row>
    <row r="11568" spans="1:2" x14ac:dyDescent="0.25">
      <c r="A11568" t="s">
        <v>1962</v>
      </c>
      <c r="B11568" t="s">
        <v>1166</v>
      </c>
    </row>
    <row r="11569" spans="1:2" x14ac:dyDescent="0.25">
      <c r="A11569" t="s">
        <v>1962</v>
      </c>
      <c r="B11569" t="s">
        <v>1186</v>
      </c>
    </row>
    <row r="11570" spans="1:2" x14ac:dyDescent="0.25">
      <c r="A11570" t="s">
        <v>1962</v>
      </c>
      <c r="B11570" t="s">
        <v>1187</v>
      </c>
    </row>
    <row r="11571" spans="1:2" x14ac:dyDescent="0.25">
      <c r="A11571" t="s">
        <v>1962</v>
      </c>
      <c r="B11571" t="s">
        <v>1188</v>
      </c>
    </row>
    <row r="11572" spans="1:2" x14ac:dyDescent="0.25">
      <c r="A11572" t="s">
        <v>1962</v>
      </c>
      <c r="B11572" t="s">
        <v>1189</v>
      </c>
    </row>
    <row r="11573" spans="1:2" x14ac:dyDescent="0.25">
      <c r="A11573" t="s">
        <v>1962</v>
      </c>
      <c r="B11573" t="s">
        <v>1195</v>
      </c>
    </row>
    <row r="11574" spans="1:2" x14ac:dyDescent="0.25">
      <c r="A11574" t="s">
        <v>1691</v>
      </c>
      <c r="B11574" t="s">
        <v>1099</v>
      </c>
    </row>
    <row r="11575" spans="1:2" x14ac:dyDescent="0.25">
      <c r="A11575" t="s">
        <v>1691</v>
      </c>
      <c r="B11575" t="s">
        <v>1109</v>
      </c>
    </row>
    <row r="11576" spans="1:2" x14ac:dyDescent="0.25">
      <c r="A11576" t="s">
        <v>1691</v>
      </c>
      <c r="B11576" t="s">
        <v>1113</v>
      </c>
    </row>
    <row r="11577" spans="1:2" x14ac:dyDescent="0.25">
      <c r="A11577" t="s">
        <v>1691</v>
      </c>
      <c r="B11577" t="s">
        <v>1114</v>
      </c>
    </row>
    <row r="11578" spans="1:2" x14ac:dyDescent="0.25">
      <c r="A11578" t="s">
        <v>1691</v>
      </c>
      <c r="B11578" t="s">
        <v>1115</v>
      </c>
    </row>
    <row r="11579" spans="1:2" x14ac:dyDescent="0.25">
      <c r="A11579" t="s">
        <v>1691</v>
      </c>
      <c r="B11579" t="s">
        <v>1122</v>
      </c>
    </row>
    <row r="11580" spans="1:2" x14ac:dyDescent="0.25">
      <c r="A11580" t="s">
        <v>1691</v>
      </c>
      <c r="B11580" t="s">
        <v>1133</v>
      </c>
    </row>
    <row r="11581" spans="1:2" x14ac:dyDescent="0.25">
      <c r="A11581" t="s">
        <v>1691</v>
      </c>
      <c r="B11581" t="s">
        <v>1166</v>
      </c>
    </row>
    <row r="11582" spans="1:2" x14ac:dyDescent="0.25">
      <c r="A11582" t="s">
        <v>1691</v>
      </c>
      <c r="B11582" t="s">
        <v>1167</v>
      </c>
    </row>
    <row r="11583" spans="1:2" x14ac:dyDescent="0.25">
      <c r="A11583" t="s">
        <v>1691</v>
      </c>
      <c r="B11583" t="s">
        <v>1186</v>
      </c>
    </row>
    <row r="11584" spans="1:2" x14ac:dyDescent="0.25">
      <c r="A11584" t="s">
        <v>1691</v>
      </c>
      <c r="B11584" t="s">
        <v>1187</v>
      </c>
    </row>
    <row r="11585" spans="1:2" x14ac:dyDescent="0.25">
      <c r="A11585" t="s">
        <v>1691</v>
      </c>
      <c r="B11585" t="s">
        <v>1188</v>
      </c>
    </row>
    <row r="11586" spans="1:2" x14ac:dyDescent="0.25">
      <c r="A11586" t="s">
        <v>1691</v>
      </c>
      <c r="B11586" t="s">
        <v>1189</v>
      </c>
    </row>
    <row r="11587" spans="1:2" x14ac:dyDescent="0.25">
      <c r="A11587" t="s">
        <v>1691</v>
      </c>
      <c r="B11587" t="s">
        <v>1195</v>
      </c>
    </row>
    <row r="11588" spans="1:2" x14ac:dyDescent="0.25">
      <c r="A11588" t="s">
        <v>1691</v>
      </c>
      <c r="B11588" t="s">
        <v>1207</v>
      </c>
    </row>
    <row r="11589" spans="1:2" x14ac:dyDescent="0.25">
      <c r="A11589" t="s">
        <v>2283</v>
      </c>
      <c r="B11589" t="s">
        <v>1195</v>
      </c>
    </row>
    <row r="11590" spans="1:2" x14ac:dyDescent="0.25">
      <c r="A11590" t="s">
        <v>2283</v>
      </c>
      <c r="B11590" t="s">
        <v>1196</v>
      </c>
    </row>
    <row r="11591" spans="1:2" x14ac:dyDescent="0.25">
      <c r="A11591" s="11" t="s">
        <v>1487</v>
      </c>
      <c r="B11591" t="s">
        <v>1091</v>
      </c>
    </row>
    <row r="11592" spans="1:2" x14ac:dyDescent="0.25">
      <c r="A11592" t="s">
        <v>1487</v>
      </c>
      <c r="B11592" t="s">
        <v>1092</v>
      </c>
    </row>
    <row r="11593" spans="1:2" x14ac:dyDescent="0.25">
      <c r="A11593" t="s">
        <v>1487</v>
      </c>
      <c r="B11593" t="s">
        <v>1093</v>
      </c>
    </row>
    <row r="11594" spans="1:2" x14ac:dyDescent="0.25">
      <c r="A11594" t="s">
        <v>1487</v>
      </c>
      <c r="B11594" t="s">
        <v>1094</v>
      </c>
    </row>
    <row r="11595" spans="1:2" x14ac:dyDescent="0.25">
      <c r="A11595" t="s">
        <v>1487</v>
      </c>
      <c r="B11595" t="s">
        <v>1095</v>
      </c>
    </row>
    <row r="11596" spans="1:2" x14ac:dyDescent="0.25">
      <c r="A11596" t="s">
        <v>1487</v>
      </c>
      <c r="B11596" t="s">
        <v>1096</v>
      </c>
    </row>
    <row r="11597" spans="1:2" x14ac:dyDescent="0.25">
      <c r="A11597" t="s">
        <v>1487</v>
      </c>
      <c r="B11597" t="s">
        <v>1097</v>
      </c>
    </row>
    <row r="11598" spans="1:2" x14ac:dyDescent="0.25">
      <c r="A11598" t="s">
        <v>1487</v>
      </c>
      <c r="B11598" t="s">
        <v>1098</v>
      </c>
    </row>
    <row r="11599" spans="1:2" x14ac:dyDescent="0.25">
      <c r="A11599" t="s">
        <v>1487</v>
      </c>
      <c r="B11599" t="s">
        <v>1099</v>
      </c>
    </row>
    <row r="11600" spans="1:2" x14ac:dyDescent="0.25">
      <c r="A11600" t="s">
        <v>1487</v>
      </c>
      <c r="B11600" t="s">
        <v>1100</v>
      </c>
    </row>
    <row r="11601" spans="1:2" x14ac:dyDescent="0.25">
      <c r="A11601" t="s">
        <v>1487</v>
      </c>
      <c r="B11601" t="s">
        <v>1101</v>
      </c>
    </row>
    <row r="11602" spans="1:2" x14ac:dyDescent="0.25">
      <c r="A11602" t="s">
        <v>1487</v>
      </c>
      <c r="B11602" t="s">
        <v>1102</v>
      </c>
    </row>
    <row r="11603" spans="1:2" x14ac:dyDescent="0.25">
      <c r="A11603" t="s">
        <v>1487</v>
      </c>
      <c r="B11603" t="s">
        <v>1103</v>
      </c>
    </row>
    <row r="11604" spans="1:2" x14ac:dyDescent="0.25">
      <c r="A11604" t="s">
        <v>1487</v>
      </c>
      <c r="B11604" t="s">
        <v>1104</v>
      </c>
    </row>
    <row r="11605" spans="1:2" x14ac:dyDescent="0.25">
      <c r="A11605" t="s">
        <v>1487</v>
      </c>
      <c r="B11605" t="s">
        <v>1105</v>
      </c>
    </row>
    <row r="11606" spans="1:2" x14ac:dyDescent="0.25">
      <c r="A11606" t="s">
        <v>1487</v>
      </c>
      <c r="B11606" t="s">
        <v>1106</v>
      </c>
    </row>
    <row r="11607" spans="1:2" x14ac:dyDescent="0.25">
      <c r="A11607" t="s">
        <v>1487</v>
      </c>
      <c r="B11607" t="s">
        <v>1107</v>
      </c>
    </row>
    <row r="11608" spans="1:2" x14ac:dyDescent="0.25">
      <c r="A11608" s="11" t="s">
        <v>1486</v>
      </c>
      <c r="B11608" t="s">
        <v>1091</v>
      </c>
    </row>
    <row r="11609" spans="1:2" x14ac:dyDescent="0.25">
      <c r="A11609" t="s">
        <v>1486</v>
      </c>
      <c r="B11609" t="s">
        <v>1092</v>
      </c>
    </row>
    <row r="11610" spans="1:2" x14ac:dyDescent="0.25">
      <c r="A11610" t="s">
        <v>1486</v>
      </c>
      <c r="B11610" t="s">
        <v>1093</v>
      </c>
    </row>
    <row r="11611" spans="1:2" x14ac:dyDescent="0.25">
      <c r="A11611" t="s">
        <v>1486</v>
      </c>
      <c r="B11611" t="s">
        <v>1094</v>
      </c>
    </row>
    <row r="11612" spans="1:2" x14ac:dyDescent="0.25">
      <c r="A11612" t="s">
        <v>1486</v>
      </c>
      <c r="B11612" t="s">
        <v>1095</v>
      </c>
    </row>
    <row r="11613" spans="1:2" x14ac:dyDescent="0.25">
      <c r="A11613" t="s">
        <v>1486</v>
      </c>
      <c r="B11613" t="s">
        <v>1096</v>
      </c>
    </row>
    <row r="11614" spans="1:2" x14ac:dyDescent="0.25">
      <c r="A11614" t="s">
        <v>1486</v>
      </c>
      <c r="B11614" t="s">
        <v>1097</v>
      </c>
    </row>
    <row r="11615" spans="1:2" x14ac:dyDescent="0.25">
      <c r="A11615" t="s">
        <v>1486</v>
      </c>
      <c r="B11615" t="s">
        <v>1098</v>
      </c>
    </row>
    <row r="11616" spans="1:2" x14ac:dyDescent="0.25">
      <c r="A11616" t="s">
        <v>1486</v>
      </c>
      <c r="B11616" t="s">
        <v>1099</v>
      </c>
    </row>
    <row r="11617" spans="1:2" x14ac:dyDescent="0.25">
      <c r="A11617" t="s">
        <v>1486</v>
      </c>
      <c r="B11617" t="s">
        <v>1100</v>
      </c>
    </row>
    <row r="11618" spans="1:2" x14ac:dyDescent="0.25">
      <c r="A11618" t="s">
        <v>1486</v>
      </c>
      <c r="B11618" t="s">
        <v>1101</v>
      </c>
    </row>
    <row r="11619" spans="1:2" x14ac:dyDescent="0.25">
      <c r="A11619" t="s">
        <v>1486</v>
      </c>
      <c r="B11619" t="s">
        <v>1102</v>
      </c>
    </row>
    <row r="11620" spans="1:2" x14ac:dyDescent="0.25">
      <c r="A11620" t="s">
        <v>1486</v>
      </c>
      <c r="B11620" t="s">
        <v>1103</v>
      </c>
    </row>
    <row r="11621" spans="1:2" x14ac:dyDescent="0.25">
      <c r="A11621" t="s">
        <v>1486</v>
      </c>
      <c r="B11621" t="s">
        <v>1104</v>
      </c>
    </row>
    <row r="11622" spans="1:2" x14ac:dyDescent="0.25">
      <c r="A11622" t="s">
        <v>1486</v>
      </c>
      <c r="B11622" t="s">
        <v>1105</v>
      </c>
    </row>
    <row r="11623" spans="1:2" x14ac:dyDescent="0.25">
      <c r="A11623" t="s">
        <v>1486</v>
      </c>
      <c r="B11623" t="s">
        <v>1106</v>
      </c>
    </row>
    <row r="11624" spans="1:2" x14ac:dyDescent="0.25">
      <c r="A11624" t="s">
        <v>1486</v>
      </c>
      <c r="B11624" t="s">
        <v>1107</v>
      </c>
    </row>
    <row r="11625" spans="1:2" x14ac:dyDescent="0.25">
      <c r="A11625" t="s">
        <v>1620</v>
      </c>
      <c r="B11625" t="s">
        <v>1096</v>
      </c>
    </row>
    <row r="11626" spans="1:2" x14ac:dyDescent="0.25">
      <c r="A11626" t="s">
        <v>1620</v>
      </c>
      <c r="B11626" t="s">
        <v>1163</v>
      </c>
    </row>
    <row r="11627" spans="1:2" x14ac:dyDescent="0.25">
      <c r="A11627" t="s">
        <v>1620</v>
      </c>
      <c r="B11627" t="s">
        <v>1168</v>
      </c>
    </row>
    <row r="11628" spans="1:2" x14ac:dyDescent="0.25">
      <c r="A11628" t="s">
        <v>1620</v>
      </c>
      <c r="B11628" t="s">
        <v>1170</v>
      </c>
    </row>
    <row r="11629" spans="1:2" x14ac:dyDescent="0.25">
      <c r="A11629" t="s">
        <v>1620</v>
      </c>
      <c r="B11629" t="s">
        <v>1196</v>
      </c>
    </row>
    <row r="11630" spans="1:2" x14ac:dyDescent="0.25">
      <c r="A11630" t="s">
        <v>1620</v>
      </c>
      <c r="B11630" t="s">
        <v>1241</v>
      </c>
    </row>
    <row r="11631" spans="1:2" x14ac:dyDescent="0.25">
      <c r="A11631" s="11" t="s">
        <v>1485</v>
      </c>
      <c r="B11631" t="s">
        <v>1091</v>
      </c>
    </row>
    <row r="11632" spans="1:2" x14ac:dyDescent="0.25">
      <c r="A11632" t="s">
        <v>1485</v>
      </c>
      <c r="B11632" t="s">
        <v>1092</v>
      </c>
    </row>
    <row r="11633" spans="1:2" x14ac:dyDescent="0.25">
      <c r="A11633" t="s">
        <v>1485</v>
      </c>
      <c r="B11633" t="s">
        <v>1093</v>
      </c>
    </row>
    <row r="11634" spans="1:2" x14ac:dyDescent="0.25">
      <c r="A11634" t="s">
        <v>1485</v>
      </c>
      <c r="B11634" t="s">
        <v>1094</v>
      </c>
    </row>
    <row r="11635" spans="1:2" x14ac:dyDescent="0.25">
      <c r="A11635" t="s">
        <v>1485</v>
      </c>
      <c r="B11635" t="s">
        <v>1095</v>
      </c>
    </row>
    <row r="11636" spans="1:2" x14ac:dyDescent="0.25">
      <c r="A11636" t="s">
        <v>1485</v>
      </c>
      <c r="B11636" t="s">
        <v>1096</v>
      </c>
    </row>
    <row r="11637" spans="1:2" x14ac:dyDescent="0.25">
      <c r="A11637" t="s">
        <v>1485</v>
      </c>
      <c r="B11637" t="s">
        <v>1097</v>
      </c>
    </row>
    <row r="11638" spans="1:2" x14ac:dyDescent="0.25">
      <c r="A11638" t="s">
        <v>1485</v>
      </c>
      <c r="B11638" t="s">
        <v>1098</v>
      </c>
    </row>
    <row r="11639" spans="1:2" x14ac:dyDescent="0.25">
      <c r="A11639" t="s">
        <v>1485</v>
      </c>
      <c r="B11639" t="s">
        <v>1099</v>
      </c>
    </row>
    <row r="11640" spans="1:2" x14ac:dyDescent="0.25">
      <c r="A11640" t="s">
        <v>1485</v>
      </c>
      <c r="B11640" t="s">
        <v>1100</v>
      </c>
    </row>
    <row r="11641" spans="1:2" x14ac:dyDescent="0.25">
      <c r="A11641" t="s">
        <v>1485</v>
      </c>
      <c r="B11641" t="s">
        <v>1101</v>
      </c>
    </row>
    <row r="11642" spans="1:2" x14ac:dyDescent="0.25">
      <c r="A11642" t="s">
        <v>1485</v>
      </c>
      <c r="B11642" t="s">
        <v>1102</v>
      </c>
    </row>
    <row r="11643" spans="1:2" x14ac:dyDescent="0.25">
      <c r="A11643" t="s">
        <v>1485</v>
      </c>
      <c r="B11643" t="s">
        <v>1103</v>
      </c>
    </row>
    <row r="11644" spans="1:2" x14ac:dyDescent="0.25">
      <c r="A11644" t="s">
        <v>1485</v>
      </c>
      <c r="B11644" t="s">
        <v>1104</v>
      </c>
    </row>
    <row r="11645" spans="1:2" x14ac:dyDescent="0.25">
      <c r="A11645" t="s">
        <v>1485</v>
      </c>
      <c r="B11645" t="s">
        <v>1105</v>
      </c>
    </row>
    <row r="11646" spans="1:2" x14ac:dyDescent="0.25">
      <c r="A11646" t="s">
        <v>1485</v>
      </c>
      <c r="B11646" t="s">
        <v>1106</v>
      </c>
    </row>
    <row r="11647" spans="1:2" x14ac:dyDescent="0.25">
      <c r="A11647" t="s">
        <v>1485</v>
      </c>
      <c r="B11647" t="s">
        <v>1107</v>
      </c>
    </row>
    <row r="11648" spans="1:2" x14ac:dyDescent="0.25">
      <c r="A11648" s="11" t="s">
        <v>1499</v>
      </c>
      <c r="B11648" t="s">
        <v>1091</v>
      </c>
    </row>
    <row r="11649" spans="1:2" x14ac:dyDescent="0.25">
      <c r="A11649" t="s">
        <v>1499</v>
      </c>
      <c r="B11649" t="s">
        <v>1092</v>
      </c>
    </row>
    <row r="11650" spans="1:2" x14ac:dyDescent="0.25">
      <c r="A11650" t="s">
        <v>1499</v>
      </c>
      <c r="B11650" t="s">
        <v>1093</v>
      </c>
    </row>
    <row r="11651" spans="1:2" x14ac:dyDescent="0.25">
      <c r="A11651" t="s">
        <v>1499</v>
      </c>
      <c r="B11651" t="s">
        <v>1094</v>
      </c>
    </row>
    <row r="11652" spans="1:2" x14ac:dyDescent="0.25">
      <c r="A11652" t="s">
        <v>1499</v>
      </c>
      <c r="B11652" t="s">
        <v>1095</v>
      </c>
    </row>
    <row r="11653" spans="1:2" x14ac:dyDescent="0.25">
      <c r="A11653" t="s">
        <v>1499</v>
      </c>
      <c r="B11653" t="s">
        <v>1096</v>
      </c>
    </row>
    <row r="11654" spans="1:2" x14ac:dyDescent="0.25">
      <c r="A11654" t="s">
        <v>1499</v>
      </c>
      <c r="B11654" t="s">
        <v>1097</v>
      </c>
    </row>
    <row r="11655" spans="1:2" x14ac:dyDescent="0.25">
      <c r="A11655" t="s">
        <v>1499</v>
      </c>
      <c r="B11655" t="s">
        <v>1098</v>
      </c>
    </row>
    <row r="11656" spans="1:2" x14ac:dyDescent="0.25">
      <c r="A11656" t="s">
        <v>1499</v>
      </c>
      <c r="B11656" t="s">
        <v>1099</v>
      </c>
    </row>
    <row r="11657" spans="1:2" x14ac:dyDescent="0.25">
      <c r="A11657" t="s">
        <v>1499</v>
      </c>
      <c r="B11657" t="s">
        <v>1100</v>
      </c>
    </row>
    <row r="11658" spans="1:2" x14ac:dyDescent="0.25">
      <c r="A11658" t="s">
        <v>1499</v>
      </c>
      <c r="B11658" t="s">
        <v>1101</v>
      </c>
    </row>
    <row r="11659" spans="1:2" x14ac:dyDescent="0.25">
      <c r="A11659" t="s">
        <v>1499</v>
      </c>
      <c r="B11659" t="s">
        <v>1102</v>
      </c>
    </row>
    <row r="11660" spans="1:2" x14ac:dyDescent="0.25">
      <c r="A11660" t="s">
        <v>1499</v>
      </c>
      <c r="B11660" t="s">
        <v>1103</v>
      </c>
    </row>
    <row r="11661" spans="1:2" x14ac:dyDescent="0.25">
      <c r="A11661" t="s">
        <v>1499</v>
      </c>
      <c r="B11661" t="s">
        <v>1104</v>
      </c>
    </row>
    <row r="11662" spans="1:2" x14ac:dyDescent="0.25">
      <c r="A11662" t="s">
        <v>1499</v>
      </c>
      <c r="B11662" t="s">
        <v>1105</v>
      </c>
    </row>
    <row r="11663" spans="1:2" x14ac:dyDescent="0.25">
      <c r="A11663" t="s">
        <v>1499</v>
      </c>
      <c r="B11663" t="s">
        <v>1106</v>
      </c>
    </row>
    <row r="11664" spans="1:2" x14ac:dyDescent="0.25">
      <c r="A11664" t="s">
        <v>1499</v>
      </c>
      <c r="B11664" t="s">
        <v>1107</v>
      </c>
    </row>
    <row r="11665" spans="1:2" x14ac:dyDescent="0.25">
      <c r="A11665" s="11" t="s">
        <v>1468</v>
      </c>
      <c r="B11665" t="s">
        <v>1091</v>
      </c>
    </row>
    <row r="11666" spans="1:2" x14ac:dyDescent="0.25">
      <c r="A11666" t="s">
        <v>1468</v>
      </c>
      <c r="B11666" t="s">
        <v>1092</v>
      </c>
    </row>
    <row r="11667" spans="1:2" x14ac:dyDescent="0.25">
      <c r="A11667" t="s">
        <v>1468</v>
      </c>
      <c r="B11667" t="s">
        <v>1093</v>
      </c>
    </row>
    <row r="11668" spans="1:2" x14ac:dyDescent="0.25">
      <c r="A11668" t="s">
        <v>1468</v>
      </c>
      <c r="B11668" t="s">
        <v>1094</v>
      </c>
    </row>
    <row r="11669" spans="1:2" x14ac:dyDescent="0.25">
      <c r="A11669" t="s">
        <v>1468</v>
      </c>
      <c r="B11669" t="s">
        <v>1095</v>
      </c>
    </row>
    <row r="11670" spans="1:2" x14ac:dyDescent="0.25">
      <c r="A11670" t="s">
        <v>1468</v>
      </c>
      <c r="B11670" t="s">
        <v>1096</v>
      </c>
    </row>
    <row r="11671" spans="1:2" x14ac:dyDescent="0.25">
      <c r="A11671" t="s">
        <v>1468</v>
      </c>
      <c r="B11671" t="s">
        <v>1097</v>
      </c>
    </row>
    <row r="11672" spans="1:2" x14ac:dyDescent="0.25">
      <c r="A11672" t="s">
        <v>1468</v>
      </c>
      <c r="B11672" t="s">
        <v>1098</v>
      </c>
    </row>
    <row r="11673" spans="1:2" x14ac:dyDescent="0.25">
      <c r="A11673" t="s">
        <v>1468</v>
      </c>
      <c r="B11673" t="s">
        <v>1099</v>
      </c>
    </row>
    <row r="11674" spans="1:2" x14ac:dyDescent="0.25">
      <c r="A11674" t="s">
        <v>1468</v>
      </c>
      <c r="B11674" t="s">
        <v>1100</v>
      </c>
    </row>
    <row r="11675" spans="1:2" x14ac:dyDescent="0.25">
      <c r="A11675" t="s">
        <v>1468</v>
      </c>
      <c r="B11675" t="s">
        <v>1101</v>
      </c>
    </row>
    <row r="11676" spans="1:2" x14ac:dyDescent="0.25">
      <c r="A11676" t="s">
        <v>1468</v>
      </c>
      <c r="B11676" t="s">
        <v>1102</v>
      </c>
    </row>
    <row r="11677" spans="1:2" x14ac:dyDescent="0.25">
      <c r="A11677" t="s">
        <v>1468</v>
      </c>
      <c r="B11677" t="s">
        <v>1103</v>
      </c>
    </row>
    <row r="11678" spans="1:2" x14ac:dyDescent="0.25">
      <c r="A11678" t="s">
        <v>1468</v>
      </c>
      <c r="B11678" t="s">
        <v>1104</v>
      </c>
    </row>
    <row r="11679" spans="1:2" x14ac:dyDescent="0.25">
      <c r="A11679" t="s">
        <v>1468</v>
      </c>
      <c r="B11679" t="s">
        <v>1105</v>
      </c>
    </row>
    <row r="11680" spans="1:2" x14ac:dyDescent="0.25">
      <c r="A11680" t="s">
        <v>1468</v>
      </c>
      <c r="B11680" t="s">
        <v>1106</v>
      </c>
    </row>
    <row r="11681" spans="1:2" x14ac:dyDescent="0.25">
      <c r="A11681" t="s">
        <v>1468</v>
      </c>
      <c r="B11681" t="s">
        <v>1107</v>
      </c>
    </row>
    <row r="11682" spans="1:2" x14ac:dyDescent="0.25">
      <c r="A11682" t="s">
        <v>1661</v>
      </c>
      <c r="B11682" t="s">
        <v>1099</v>
      </c>
    </row>
    <row r="11683" spans="1:2" x14ac:dyDescent="0.25">
      <c r="A11683" t="s">
        <v>1661</v>
      </c>
      <c r="B11683" t="s">
        <v>1100</v>
      </c>
    </row>
    <row r="11684" spans="1:2" x14ac:dyDescent="0.25">
      <c r="A11684" t="s">
        <v>1661</v>
      </c>
      <c r="B11684" t="s">
        <v>1101</v>
      </c>
    </row>
    <row r="11685" spans="1:2" x14ac:dyDescent="0.25">
      <c r="A11685" t="s">
        <v>1661</v>
      </c>
      <c r="B11685" t="s">
        <v>1102</v>
      </c>
    </row>
    <row r="11686" spans="1:2" x14ac:dyDescent="0.25">
      <c r="A11686" t="s">
        <v>1661</v>
      </c>
      <c r="B11686" t="s">
        <v>1103</v>
      </c>
    </row>
    <row r="11687" spans="1:2" x14ac:dyDescent="0.25">
      <c r="A11687" t="s">
        <v>1661</v>
      </c>
      <c r="B11687" t="s">
        <v>1104</v>
      </c>
    </row>
    <row r="11688" spans="1:2" x14ac:dyDescent="0.25">
      <c r="A11688" t="s">
        <v>1661</v>
      </c>
      <c r="B11688" t="s">
        <v>1105</v>
      </c>
    </row>
    <row r="11689" spans="1:2" x14ac:dyDescent="0.25">
      <c r="A11689" t="s">
        <v>1661</v>
      </c>
      <c r="B11689" t="s">
        <v>1106</v>
      </c>
    </row>
    <row r="11690" spans="1:2" x14ac:dyDescent="0.25">
      <c r="A11690" t="s">
        <v>1661</v>
      </c>
      <c r="B11690" t="s">
        <v>1164</v>
      </c>
    </row>
    <row r="11691" spans="1:2" x14ac:dyDescent="0.25">
      <c r="A11691" s="11" t="s">
        <v>1467</v>
      </c>
      <c r="B11691" t="s">
        <v>1091</v>
      </c>
    </row>
    <row r="11692" spans="1:2" x14ac:dyDescent="0.25">
      <c r="A11692" t="s">
        <v>1467</v>
      </c>
      <c r="B11692" t="s">
        <v>1092</v>
      </c>
    </row>
    <row r="11693" spans="1:2" x14ac:dyDescent="0.25">
      <c r="A11693" t="s">
        <v>1467</v>
      </c>
      <c r="B11693" t="s">
        <v>1093</v>
      </c>
    </row>
    <row r="11694" spans="1:2" x14ac:dyDescent="0.25">
      <c r="A11694" t="s">
        <v>1467</v>
      </c>
      <c r="B11694" t="s">
        <v>1094</v>
      </c>
    </row>
    <row r="11695" spans="1:2" x14ac:dyDescent="0.25">
      <c r="A11695" t="s">
        <v>1467</v>
      </c>
      <c r="B11695" t="s">
        <v>1095</v>
      </c>
    </row>
    <row r="11696" spans="1:2" x14ac:dyDescent="0.25">
      <c r="A11696" t="s">
        <v>1467</v>
      </c>
      <c r="B11696" t="s">
        <v>1096</v>
      </c>
    </row>
    <row r="11697" spans="1:2" x14ac:dyDescent="0.25">
      <c r="A11697" t="s">
        <v>1467</v>
      </c>
      <c r="B11697" t="s">
        <v>1097</v>
      </c>
    </row>
    <row r="11698" spans="1:2" x14ac:dyDescent="0.25">
      <c r="A11698" t="s">
        <v>1467</v>
      </c>
      <c r="B11698" t="s">
        <v>1098</v>
      </c>
    </row>
    <row r="11699" spans="1:2" x14ac:dyDescent="0.25">
      <c r="A11699" t="s">
        <v>1467</v>
      </c>
      <c r="B11699" t="s">
        <v>1099</v>
      </c>
    </row>
    <row r="11700" spans="1:2" x14ac:dyDescent="0.25">
      <c r="A11700" t="s">
        <v>1467</v>
      </c>
      <c r="B11700" t="s">
        <v>1100</v>
      </c>
    </row>
    <row r="11701" spans="1:2" x14ac:dyDescent="0.25">
      <c r="A11701" t="s">
        <v>1467</v>
      </c>
      <c r="B11701" t="s">
        <v>1101</v>
      </c>
    </row>
    <row r="11702" spans="1:2" x14ac:dyDescent="0.25">
      <c r="A11702" t="s">
        <v>1467</v>
      </c>
      <c r="B11702" t="s">
        <v>1102</v>
      </c>
    </row>
    <row r="11703" spans="1:2" x14ac:dyDescent="0.25">
      <c r="A11703" t="s">
        <v>1467</v>
      </c>
      <c r="B11703" t="s">
        <v>1103</v>
      </c>
    </row>
    <row r="11704" spans="1:2" x14ac:dyDescent="0.25">
      <c r="A11704" t="s">
        <v>1467</v>
      </c>
      <c r="B11704" t="s">
        <v>1104</v>
      </c>
    </row>
    <row r="11705" spans="1:2" x14ac:dyDescent="0.25">
      <c r="A11705" t="s">
        <v>1467</v>
      </c>
      <c r="B11705" t="s">
        <v>1105</v>
      </c>
    </row>
    <row r="11706" spans="1:2" x14ac:dyDescent="0.25">
      <c r="A11706" t="s">
        <v>1467</v>
      </c>
      <c r="B11706" t="s">
        <v>1106</v>
      </c>
    </row>
    <row r="11707" spans="1:2" x14ac:dyDescent="0.25">
      <c r="A11707" t="s">
        <v>1467</v>
      </c>
      <c r="B11707" t="s">
        <v>1107</v>
      </c>
    </row>
    <row r="11708" spans="1:2" x14ac:dyDescent="0.25">
      <c r="A11708" t="s">
        <v>1737</v>
      </c>
      <c r="B11708" t="s">
        <v>1102</v>
      </c>
    </row>
    <row r="11709" spans="1:2" x14ac:dyDescent="0.25">
      <c r="A11709" t="s">
        <v>1737</v>
      </c>
      <c r="B11709" t="s">
        <v>1110</v>
      </c>
    </row>
    <row r="11710" spans="1:2" x14ac:dyDescent="0.25">
      <c r="A11710" t="s">
        <v>1737</v>
      </c>
      <c r="B11710" t="s">
        <v>1201</v>
      </c>
    </row>
    <row r="11711" spans="1:2" x14ac:dyDescent="0.25">
      <c r="A11711" t="s">
        <v>1737</v>
      </c>
      <c r="B11711" t="s">
        <v>1206</v>
      </c>
    </row>
    <row r="11712" spans="1:2" x14ac:dyDescent="0.25">
      <c r="A11712" t="s">
        <v>1599</v>
      </c>
      <c r="B11712" t="s">
        <v>1096</v>
      </c>
    </row>
    <row r="11713" spans="1:2" x14ac:dyDescent="0.25">
      <c r="A11713" t="s">
        <v>1599</v>
      </c>
      <c r="B11713" t="s">
        <v>1099</v>
      </c>
    </row>
    <row r="11714" spans="1:2" x14ac:dyDescent="0.25">
      <c r="A11714" t="s">
        <v>1599</v>
      </c>
      <c r="B11714" t="s">
        <v>1100</v>
      </c>
    </row>
    <row r="11715" spans="1:2" x14ac:dyDescent="0.25">
      <c r="A11715" t="s">
        <v>1599</v>
      </c>
      <c r="B11715" t="s">
        <v>1101</v>
      </c>
    </row>
    <row r="11716" spans="1:2" x14ac:dyDescent="0.25">
      <c r="A11716" t="s">
        <v>1599</v>
      </c>
      <c r="B11716" t="s">
        <v>1102</v>
      </c>
    </row>
    <row r="11717" spans="1:2" x14ac:dyDescent="0.25">
      <c r="A11717" t="s">
        <v>1599</v>
      </c>
      <c r="B11717" t="s">
        <v>1103</v>
      </c>
    </row>
    <row r="11718" spans="1:2" x14ac:dyDescent="0.25">
      <c r="A11718" t="s">
        <v>1599</v>
      </c>
      <c r="B11718" t="s">
        <v>1104</v>
      </c>
    </row>
    <row r="11719" spans="1:2" x14ac:dyDescent="0.25">
      <c r="A11719" t="s">
        <v>1599</v>
      </c>
      <c r="B11719" t="s">
        <v>1105</v>
      </c>
    </row>
    <row r="11720" spans="1:2" x14ac:dyDescent="0.25">
      <c r="A11720" t="s">
        <v>1599</v>
      </c>
      <c r="B11720" t="s">
        <v>1106</v>
      </c>
    </row>
    <row r="11721" spans="1:2" x14ac:dyDescent="0.25">
      <c r="A11721" t="s">
        <v>1599</v>
      </c>
      <c r="B11721" t="s">
        <v>1161</v>
      </c>
    </row>
    <row r="11722" spans="1:2" x14ac:dyDescent="0.25">
      <c r="A11722" t="s">
        <v>1599</v>
      </c>
      <c r="B11722" t="s">
        <v>1162</v>
      </c>
    </row>
    <row r="11723" spans="1:2" x14ac:dyDescent="0.25">
      <c r="A11723" t="s">
        <v>1599</v>
      </c>
      <c r="B11723" t="s">
        <v>1163</v>
      </c>
    </row>
    <row r="11724" spans="1:2" x14ac:dyDescent="0.25">
      <c r="A11724" t="s">
        <v>1599</v>
      </c>
      <c r="B11724" t="s">
        <v>1164</v>
      </c>
    </row>
    <row r="11725" spans="1:2" x14ac:dyDescent="0.25">
      <c r="A11725" t="s">
        <v>1599</v>
      </c>
      <c r="B11725" t="s">
        <v>1168</v>
      </c>
    </row>
    <row r="11726" spans="1:2" x14ac:dyDescent="0.25">
      <c r="A11726" t="s">
        <v>1599</v>
      </c>
      <c r="B11726" t="s">
        <v>1170</v>
      </c>
    </row>
    <row r="11727" spans="1:2" x14ac:dyDescent="0.25">
      <c r="A11727" t="s">
        <v>1599</v>
      </c>
      <c r="B11727" t="s">
        <v>1196</v>
      </c>
    </row>
    <row r="11728" spans="1:2" x14ac:dyDescent="0.25">
      <c r="A11728" s="11" t="s">
        <v>1469</v>
      </c>
      <c r="B11728" t="s">
        <v>1091</v>
      </c>
    </row>
    <row r="11729" spans="1:2" x14ac:dyDescent="0.25">
      <c r="A11729" t="s">
        <v>1469</v>
      </c>
      <c r="B11729" t="s">
        <v>1092</v>
      </c>
    </row>
    <row r="11730" spans="1:2" x14ac:dyDescent="0.25">
      <c r="A11730" t="s">
        <v>1469</v>
      </c>
      <c r="B11730" t="s">
        <v>1093</v>
      </c>
    </row>
    <row r="11731" spans="1:2" x14ac:dyDescent="0.25">
      <c r="A11731" t="s">
        <v>1469</v>
      </c>
      <c r="B11731" t="s">
        <v>1094</v>
      </c>
    </row>
    <row r="11732" spans="1:2" x14ac:dyDescent="0.25">
      <c r="A11732" t="s">
        <v>1469</v>
      </c>
      <c r="B11732" t="s">
        <v>1095</v>
      </c>
    </row>
    <row r="11733" spans="1:2" x14ac:dyDescent="0.25">
      <c r="A11733" t="s">
        <v>1469</v>
      </c>
      <c r="B11733" t="s">
        <v>1096</v>
      </c>
    </row>
    <row r="11734" spans="1:2" x14ac:dyDescent="0.25">
      <c r="A11734" t="s">
        <v>1469</v>
      </c>
      <c r="B11734" t="s">
        <v>1097</v>
      </c>
    </row>
    <row r="11735" spans="1:2" x14ac:dyDescent="0.25">
      <c r="A11735" t="s">
        <v>1469</v>
      </c>
      <c r="B11735" t="s">
        <v>1098</v>
      </c>
    </row>
    <row r="11736" spans="1:2" x14ac:dyDescent="0.25">
      <c r="A11736" t="s">
        <v>1469</v>
      </c>
      <c r="B11736" t="s">
        <v>1099</v>
      </c>
    </row>
    <row r="11737" spans="1:2" x14ac:dyDescent="0.25">
      <c r="A11737" t="s">
        <v>1469</v>
      </c>
      <c r="B11737" t="s">
        <v>1100</v>
      </c>
    </row>
    <row r="11738" spans="1:2" x14ac:dyDescent="0.25">
      <c r="A11738" t="s">
        <v>1469</v>
      </c>
      <c r="B11738" t="s">
        <v>1101</v>
      </c>
    </row>
    <row r="11739" spans="1:2" x14ac:dyDescent="0.25">
      <c r="A11739" t="s">
        <v>1469</v>
      </c>
      <c r="B11739" t="s">
        <v>1102</v>
      </c>
    </row>
    <row r="11740" spans="1:2" x14ac:dyDescent="0.25">
      <c r="A11740" t="s">
        <v>1469</v>
      </c>
      <c r="B11740" t="s">
        <v>1103</v>
      </c>
    </row>
    <row r="11741" spans="1:2" x14ac:dyDescent="0.25">
      <c r="A11741" t="s">
        <v>1469</v>
      </c>
      <c r="B11741" t="s">
        <v>1104</v>
      </c>
    </row>
    <row r="11742" spans="1:2" x14ac:dyDescent="0.25">
      <c r="A11742" t="s">
        <v>1469</v>
      </c>
      <c r="B11742" t="s">
        <v>1105</v>
      </c>
    </row>
    <row r="11743" spans="1:2" x14ac:dyDescent="0.25">
      <c r="A11743" t="s">
        <v>1469</v>
      </c>
      <c r="B11743" t="s">
        <v>1106</v>
      </c>
    </row>
    <row r="11744" spans="1:2" x14ac:dyDescent="0.25">
      <c r="A11744" t="s">
        <v>1469</v>
      </c>
      <c r="B11744" t="s">
        <v>1107</v>
      </c>
    </row>
    <row r="11745" spans="1:2" x14ac:dyDescent="0.25">
      <c r="A11745" t="s">
        <v>1566</v>
      </c>
      <c r="B11745" t="s">
        <v>1094</v>
      </c>
    </row>
    <row r="11746" spans="1:2" x14ac:dyDescent="0.25">
      <c r="A11746" t="s">
        <v>1566</v>
      </c>
      <c r="B11746" t="s">
        <v>1108</v>
      </c>
    </row>
    <row r="11747" spans="1:2" x14ac:dyDescent="0.25">
      <c r="A11747" t="s">
        <v>1566</v>
      </c>
      <c r="B11747" t="s">
        <v>1151</v>
      </c>
    </row>
    <row r="11748" spans="1:2" x14ac:dyDescent="0.25">
      <c r="A11748" t="s">
        <v>1566</v>
      </c>
      <c r="B11748" t="s">
        <v>1159</v>
      </c>
    </row>
    <row r="11749" spans="1:2" x14ac:dyDescent="0.25">
      <c r="A11749" t="s">
        <v>1566</v>
      </c>
      <c r="B11749" t="s">
        <v>1160</v>
      </c>
    </row>
    <row r="11750" spans="1:2" x14ac:dyDescent="0.25">
      <c r="A11750" t="s">
        <v>1566</v>
      </c>
      <c r="B11750" t="s">
        <v>1174</v>
      </c>
    </row>
    <row r="11751" spans="1:2" x14ac:dyDescent="0.25">
      <c r="A11751" t="s">
        <v>1566</v>
      </c>
      <c r="B11751" t="s">
        <v>1179</v>
      </c>
    </row>
    <row r="11752" spans="1:2" x14ac:dyDescent="0.25">
      <c r="A11752" t="s">
        <v>1566</v>
      </c>
      <c r="B11752" t="s">
        <v>1190</v>
      </c>
    </row>
    <row r="11753" spans="1:2" x14ac:dyDescent="0.25">
      <c r="A11753" t="s">
        <v>1566</v>
      </c>
      <c r="B11753" t="s">
        <v>1199</v>
      </c>
    </row>
    <row r="11754" spans="1:2" x14ac:dyDescent="0.25">
      <c r="A11754" t="s">
        <v>1566</v>
      </c>
      <c r="B11754" t="s">
        <v>1200</v>
      </c>
    </row>
    <row r="11755" spans="1:2" x14ac:dyDescent="0.25">
      <c r="A11755" t="s">
        <v>1566</v>
      </c>
      <c r="B11755" t="s">
        <v>1208</v>
      </c>
    </row>
    <row r="11756" spans="1:2" x14ac:dyDescent="0.25">
      <c r="A11756" t="s">
        <v>1566</v>
      </c>
      <c r="B11756" t="s">
        <v>1209</v>
      </c>
    </row>
    <row r="11757" spans="1:2" x14ac:dyDescent="0.25">
      <c r="A11757" t="s">
        <v>1566</v>
      </c>
      <c r="B11757" t="s">
        <v>1210</v>
      </c>
    </row>
    <row r="11758" spans="1:2" x14ac:dyDescent="0.25">
      <c r="A11758" t="s">
        <v>1566</v>
      </c>
      <c r="B11758" t="s">
        <v>1211</v>
      </c>
    </row>
    <row r="11759" spans="1:2" x14ac:dyDescent="0.25">
      <c r="A11759" t="s">
        <v>1566</v>
      </c>
      <c r="B11759" t="s">
        <v>1212</v>
      </c>
    </row>
    <row r="11760" spans="1:2" x14ac:dyDescent="0.25">
      <c r="A11760" t="s">
        <v>1566</v>
      </c>
      <c r="B11760" t="s">
        <v>1234</v>
      </c>
    </row>
    <row r="11761" spans="1:2" x14ac:dyDescent="0.25">
      <c r="A11761" t="s">
        <v>1568</v>
      </c>
      <c r="B11761" t="s">
        <v>1094</v>
      </c>
    </row>
    <row r="11762" spans="1:2" x14ac:dyDescent="0.25">
      <c r="A11762" t="s">
        <v>1568</v>
      </c>
      <c r="B11762" t="s">
        <v>1108</v>
      </c>
    </row>
    <row r="11763" spans="1:2" x14ac:dyDescent="0.25">
      <c r="A11763" t="s">
        <v>1568</v>
      </c>
      <c r="B11763" t="s">
        <v>1139</v>
      </c>
    </row>
    <row r="11764" spans="1:2" x14ac:dyDescent="0.25">
      <c r="A11764" t="s">
        <v>1568</v>
      </c>
      <c r="B11764" t="s">
        <v>1140</v>
      </c>
    </row>
    <row r="11765" spans="1:2" x14ac:dyDescent="0.25">
      <c r="A11765" t="s">
        <v>1568</v>
      </c>
      <c r="B11765" t="s">
        <v>1141</v>
      </c>
    </row>
    <row r="11766" spans="1:2" x14ac:dyDescent="0.25">
      <c r="A11766" t="s">
        <v>1568</v>
      </c>
      <c r="B11766" t="s">
        <v>1149</v>
      </c>
    </row>
    <row r="11767" spans="1:2" x14ac:dyDescent="0.25">
      <c r="A11767" t="s">
        <v>1568</v>
      </c>
      <c r="B11767" t="s">
        <v>1150</v>
      </c>
    </row>
    <row r="11768" spans="1:2" x14ac:dyDescent="0.25">
      <c r="A11768" t="s">
        <v>1568</v>
      </c>
      <c r="B11768" t="s">
        <v>1151</v>
      </c>
    </row>
    <row r="11769" spans="1:2" x14ac:dyDescent="0.25">
      <c r="A11769" t="s">
        <v>1568</v>
      </c>
      <c r="B11769" t="s">
        <v>1155</v>
      </c>
    </row>
    <row r="11770" spans="1:2" x14ac:dyDescent="0.25">
      <c r="A11770" t="s">
        <v>1568</v>
      </c>
      <c r="B11770" t="s">
        <v>1157</v>
      </c>
    </row>
    <row r="11771" spans="1:2" x14ac:dyDescent="0.25">
      <c r="A11771" t="s">
        <v>1568</v>
      </c>
      <c r="B11771" t="s">
        <v>1158</v>
      </c>
    </row>
    <row r="11772" spans="1:2" x14ac:dyDescent="0.25">
      <c r="A11772" t="s">
        <v>1568</v>
      </c>
      <c r="B11772" t="s">
        <v>1159</v>
      </c>
    </row>
    <row r="11773" spans="1:2" x14ac:dyDescent="0.25">
      <c r="A11773" t="s">
        <v>1568</v>
      </c>
      <c r="B11773" t="s">
        <v>1160</v>
      </c>
    </row>
    <row r="11774" spans="1:2" x14ac:dyDescent="0.25">
      <c r="A11774" t="s">
        <v>1568</v>
      </c>
      <c r="B11774" t="s">
        <v>1174</v>
      </c>
    </row>
    <row r="11775" spans="1:2" x14ac:dyDescent="0.25">
      <c r="A11775" t="s">
        <v>1568</v>
      </c>
      <c r="B11775" t="s">
        <v>1175</v>
      </c>
    </row>
    <row r="11776" spans="1:2" x14ac:dyDescent="0.25">
      <c r="A11776" t="s">
        <v>1568</v>
      </c>
      <c r="B11776" t="s">
        <v>1176</v>
      </c>
    </row>
    <row r="11777" spans="1:2" x14ac:dyDescent="0.25">
      <c r="A11777" t="s">
        <v>1568</v>
      </c>
      <c r="B11777" t="s">
        <v>1179</v>
      </c>
    </row>
    <row r="11778" spans="1:2" x14ac:dyDescent="0.25">
      <c r="A11778" t="s">
        <v>1568</v>
      </c>
      <c r="B11778" t="s">
        <v>1190</v>
      </c>
    </row>
    <row r="11779" spans="1:2" x14ac:dyDescent="0.25">
      <c r="A11779" t="s">
        <v>1568</v>
      </c>
      <c r="B11779" t="s">
        <v>1199</v>
      </c>
    </row>
    <row r="11780" spans="1:2" x14ac:dyDescent="0.25">
      <c r="A11780" t="s">
        <v>1568</v>
      </c>
      <c r="B11780" t="s">
        <v>1200</v>
      </c>
    </row>
    <row r="11781" spans="1:2" x14ac:dyDescent="0.25">
      <c r="A11781" t="s">
        <v>1568</v>
      </c>
      <c r="B11781" t="s">
        <v>1208</v>
      </c>
    </row>
    <row r="11782" spans="1:2" x14ac:dyDescent="0.25">
      <c r="A11782" t="s">
        <v>1568</v>
      </c>
      <c r="B11782" t="s">
        <v>1209</v>
      </c>
    </row>
    <row r="11783" spans="1:2" x14ac:dyDescent="0.25">
      <c r="A11783" t="s">
        <v>1568</v>
      </c>
      <c r="B11783" t="s">
        <v>1210</v>
      </c>
    </row>
    <row r="11784" spans="1:2" x14ac:dyDescent="0.25">
      <c r="A11784" t="s">
        <v>1568</v>
      </c>
      <c r="B11784" t="s">
        <v>1211</v>
      </c>
    </row>
    <row r="11785" spans="1:2" x14ac:dyDescent="0.25">
      <c r="A11785" t="s">
        <v>1568</v>
      </c>
      <c r="B11785" t="s">
        <v>1212</v>
      </c>
    </row>
    <row r="11786" spans="1:2" x14ac:dyDescent="0.25">
      <c r="A11786" t="s">
        <v>1568</v>
      </c>
      <c r="B11786" t="s">
        <v>1214</v>
      </c>
    </row>
    <row r="11787" spans="1:2" x14ac:dyDescent="0.25">
      <c r="A11787" t="s">
        <v>1568</v>
      </c>
      <c r="B11787" t="s">
        <v>1219</v>
      </c>
    </row>
    <row r="11788" spans="1:2" x14ac:dyDescent="0.25">
      <c r="A11788" t="s">
        <v>1568</v>
      </c>
      <c r="B11788" t="s">
        <v>1221</v>
      </c>
    </row>
    <row r="11789" spans="1:2" x14ac:dyDescent="0.25">
      <c r="A11789" t="s">
        <v>1568</v>
      </c>
      <c r="B11789" t="s">
        <v>1222</v>
      </c>
    </row>
    <row r="11790" spans="1:2" x14ac:dyDescent="0.25">
      <c r="A11790" t="s">
        <v>1568</v>
      </c>
      <c r="B11790" t="s">
        <v>1226</v>
      </c>
    </row>
    <row r="11791" spans="1:2" x14ac:dyDescent="0.25">
      <c r="A11791" t="s">
        <v>1568</v>
      </c>
      <c r="B11791" t="s">
        <v>1227</v>
      </c>
    </row>
    <row r="11792" spans="1:2" x14ac:dyDescent="0.25">
      <c r="A11792" t="s">
        <v>1568</v>
      </c>
      <c r="B11792" t="s">
        <v>1231</v>
      </c>
    </row>
    <row r="11793" spans="1:2" x14ac:dyDescent="0.25">
      <c r="A11793" t="s">
        <v>1568</v>
      </c>
      <c r="B11793" t="s">
        <v>1233</v>
      </c>
    </row>
    <row r="11794" spans="1:2" x14ac:dyDescent="0.25">
      <c r="A11794" t="s">
        <v>1568</v>
      </c>
      <c r="B11794" t="s">
        <v>1234</v>
      </c>
    </row>
    <row r="11795" spans="1:2" x14ac:dyDescent="0.25">
      <c r="A11795" t="s">
        <v>1568</v>
      </c>
      <c r="B11795" t="s">
        <v>1254</v>
      </c>
    </row>
    <row r="11796" spans="1:2" x14ac:dyDescent="0.25">
      <c r="A11796" t="s">
        <v>1568</v>
      </c>
      <c r="B11796" t="s">
        <v>1255</v>
      </c>
    </row>
    <row r="11797" spans="1:2" x14ac:dyDescent="0.25">
      <c r="A11797" t="s">
        <v>1567</v>
      </c>
      <c r="B11797" t="s">
        <v>1094</v>
      </c>
    </row>
    <row r="11798" spans="1:2" x14ac:dyDescent="0.25">
      <c r="A11798" t="s">
        <v>1567</v>
      </c>
      <c r="B11798" t="s">
        <v>1108</v>
      </c>
    </row>
    <row r="11799" spans="1:2" x14ac:dyDescent="0.25">
      <c r="A11799" t="s">
        <v>1567</v>
      </c>
      <c r="B11799" t="s">
        <v>1139</v>
      </c>
    </row>
    <row r="11800" spans="1:2" x14ac:dyDescent="0.25">
      <c r="A11800" t="s">
        <v>1567</v>
      </c>
      <c r="B11800" t="s">
        <v>1140</v>
      </c>
    </row>
    <row r="11801" spans="1:2" x14ac:dyDescent="0.25">
      <c r="A11801" t="s">
        <v>1567</v>
      </c>
      <c r="B11801" t="s">
        <v>1141</v>
      </c>
    </row>
    <row r="11802" spans="1:2" x14ac:dyDescent="0.25">
      <c r="A11802" t="s">
        <v>1567</v>
      </c>
      <c r="B11802" t="s">
        <v>1149</v>
      </c>
    </row>
    <row r="11803" spans="1:2" x14ac:dyDescent="0.25">
      <c r="A11803" t="s">
        <v>1567</v>
      </c>
      <c r="B11803" t="s">
        <v>1150</v>
      </c>
    </row>
    <row r="11804" spans="1:2" x14ac:dyDescent="0.25">
      <c r="A11804" t="s">
        <v>1567</v>
      </c>
      <c r="B11804" t="s">
        <v>1151</v>
      </c>
    </row>
    <row r="11805" spans="1:2" x14ac:dyDescent="0.25">
      <c r="A11805" t="s">
        <v>1567</v>
      </c>
      <c r="B11805" t="s">
        <v>1155</v>
      </c>
    </row>
    <row r="11806" spans="1:2" x14ac:dyDescent="0.25">
      <c r="A11806" t="s">
        <v>1567</v>
      </c>
      <c r="B11806" t="s">
        <v>1157</v>
      </c>
    </row>
    <row r="11807" spans="1:2" x14ac:dyDescent="0.25">
      <c r="A11807" t="s">
        <v>1567</v>
      </c>
      <c r="B11807" t="s">
        <v>1158</v>
      </c>
    </row>
    <row r="11808" spans="1:2" x14ac:dyDescent="0.25">
      <c r="A11808" t="s">
        <v>1567</v>
      </c>
      <c r="B11808" t="s">
        <v>1159</v>
      </c>
    </row>
    <row r="11809" spans="1:2" x14ac:dyDescent="0.25">
      <c r="A11809" t="s">
        <v>1567</v>
      </c>
      <c r="B11809" t="s">
        <v>1160</v>
      </c>
    </row>
    <row r="11810" spans="1:2" x14ac:dyDescent="0.25">
      <c r="A11810" t="s">
        <v>1567</v>
      </c>
      <c r="B11810" t="s">
        <v>1174</v>
      </c>
    </row>
    <row r="11811" spans="1:2" x14ac:dyDescent="0.25">
      <c r="A11811" t="s">
        <v>1567</v>
      </c>
      <c r="B11811" t="s">
        <v>1175</v>
      </c>
    </row>
    <row r="11812" spans="1:2" x14ac:dyDescent="0.25">
      <c r="A11812" t="s">
        <v>1567</v>
      </c>
      <c r="B11812" t="s">
        <v>1176</v>
      </c>
    </row>
    <row r="11813" spans="1:2" x14ac:dyDescent="0.25">
      <c r="A11813" t="s">
        <v>1567</v>
      </c>
      <c r="B11813" t="s">
        <v>1179</v>
      </c>
    </row>
    <row r="11814" spans="1:2" x14ac:dyDescent="0.25">
      <c r="A11814" t="s">
        <v>1567</v>
      </c>
      <c r="B11814" t="s">
        <v>1190</v>
      </c>
    </row>
    <row r="11815" spans="1:2" x14ac:dyDescent="0.25">
      <c r="A11815" t="s">
        <v>1567</v>
      </c>
      <c r="B11815" t="s">
        <v>1199</v>
      </c>
    </row>
    <row r="11816" spans="1:2" x14ac:dyDescent="0.25">
      <c r="A11816" t="s">
        <v>1567</v>
      </c>
      <c r="B11816" t="s">
        <v>1200</v>
      </c>
    </row>
    <row r="11817" spans="1:2" x14ac:dyDescent="0.25">
      <c r="A11817" t="s">
        <v>1567</v>
      </c>
      <c r="B11817" t="s">
        <v>1208</v>
      </c>
    </row>
    <row r="11818" spans="1:2" x14ac:dyDescent="0.25">
      <c r="A11818" t="s">
        <v>1567</v>
      </c>
      <c r="B11818" t="s">
        <v>1209</v>
      </c>
    </row>
    <row r="11819" spans="1:2" x14ac:dyDescent="0.25">
      <c r="A11819" t="s">
        <v>1567</v>
      </c>
      <c r="B11819" t="s">
        <v>1210</v>
      </c>
    </row>
    <row r="11820" spans="1:2" x14ac:dyDescent="0.25">
      <c r="A11820" t="s">
        <v>1567</v>
      </c>
      <c r="B11820" t="s">
        <v>1211</v>
      </c>
    </row>
    <row r="11821" spans="1:2" x14ac:dyDescent="0.25">
      <c r="A11821" t="s">
        <v>1567</v>
      </c>
      <c r="B11821" t="s">
        <v>1212</v>
      </c>
    </row>
    <row r="11822" spans="1:2" x14ac:dyDescent="0.25">
      <c r="A11822" t="s">
        <v>1567</v>
      </c>
      <c r="B11822" t="s">
        <v>1214</v>
      </c>
    </row>
    <row r="11823" spans="1:2" x14ac:dyDescent="0.25">
      <c r="A11823" t="s">
        <v>1567</v>
      </c>
      <c r="B11823" t="s">
        <v>1219</v>
      </c>
    </row>
    <row r="11824" spans="1:2" x14ac:dyDescent="0.25">
      <c r="A11824" t="s">
        <v>1567</v>
      </c>
      <c r="B11824" t="s">
        <v>1221</v>
      </c>
    </row>
    <row r="11825" spans="1:2" x14ac:dyDescent="0.25">
      <c r="A11825" t="s">
        <v>1567</v>
      </c>
      <c r="B11825" t="s">
        <v>1222</v>
      </c>
    </row>
    <row r="11826" spans="1:2" x14ac:dyDescent="0.25">
      <c r="A11826" t="s">
        <v>1567</v>
      </c>
      <c r="B11826" t="s">
        <v>1226</v>
      </c>
    </row>
    <row r="11827" spans="1:2" x14ac:dyDescent="0.25">
      <c r="A11827" t="s">
        <v>1567</v>
      </c>
      <c r="B11827" t="s">
        <v>1227</v>
      </c>
    </row>
    <row r="11828" spans="1:2" x14ac:dyDescent="0.25">
      <c r="A11828" t="s">
        <v>1567</v>
      </c>
      <c r="B11828" t="s">
        <v>1231</v>
      </c>
    </row>
    <row r="11829" spans="1:2" x14ac:dyDescent="0.25">
      <c r="A11829" t="s">
        <v>1567</v>
      </c>
      <c r="B11829" t="s">
        <v>1233</v>
      </c>
    </row>
    <row r="11830" spans="1:2" x14ac:dyDescent="0.25">
      <c r="A11830" t="s">
        <v>1567</v>
      </c>
      <c r="B11830" t="s">
        <v>1234</v>
      </c>
    </row>
    <row r="11831" spans="1:2" x14ac:dyDescent="0.25">
      <c r="A11831" t="s">
        <v>1567</v>
      </c>
      <c r="B11831" t="s">
        <v>1254</v>
      </c>
    </row>
    <row r="11832" spans="1:2" x14ac:dyDescent="0.25">
      <c r="A11832" t="s">
        <v>1567</v>
      </c>
      <c r="B11832" t="s">
        <v>1255</v>
      </c>
    </row>
    <row r="11833" spans="1:2" x14ac:dyDescent="0.25">
      <c r="A11833" t="s">
        <v>1540</v>
      </c>
      <c r="B11833" t="s">
        <v>1092</v>
      </c>
    </row>
    <row r="11834" spans="1:2" x14ac:dyDescent="0.25">
      <c r="A11834" t="s">
        <v>1540</v>
      </c>
      <c r="B11834" t="s">
        <v>1093</v>
      </c>
    </row>
    <row r="11835" spans="1:2" x14ac:dyDescent="0.25">
      <c r="A11835" t="s">
        <v>1540</v>
      </c>
      <c r="B11835" t="s">
        <v>1094</v>
      </c>
    </row>
    <row r="11836" spans="1:2" x14ac:dyDescent="0.25">
      <c r="A11836" t="s">
        <v>1540</v>
      </c>
      <c r="B11836" t="s">
        <v>1095</v>
      </c>
    </row>
    <row r="11837" spans="1:2" x14ac:dyDescent="0.25">
      <c r="A11837" t="s">
        <v>1540</v>
      </c>
      <c r="B11837" t="s">
        <v>1096</v>
      </c>
    </row>
    <row r="11838" spans="1:2" x14ac:dyDescent="0.25">
      <c r="A11838" t="s">
        <v>1540</v>
      </c>
      <c r="B11838" t="s">
        <v>1097</v>
      </c>
    </row>
    <row r="11839" spans="1:2" x14ac:dyDescent="0.25">
      <c r="A11839" t="s">
        <v>1540</v>
      </c>
      <c r="B11839" t="s">
        <v>1098</v>
      </c>
    </row>
    <row r="11840" spans="1:2" x14ac:dyDescent="0.25">
      <c r="A11840" t="s">
        <v>1540</v>
      </c>
      <c r="B11840" t="s">
        <v>1099</v>
      </c>
    </row>
    <row r="11841" spans="1:2" x14ac:dyDescent="0.25">
      <c r="A11841" t="s">
        <v>1540</v>
      </c>
      <c r="B11841" t="s">
        <v>1100</v>
      </c>
    </row>
    <row r="11842" spans="1:2" x14ac:dyDescent="0.25">
      <c r="A11842" t="s">
        <v>1540</v>
      </c>
      <c r="B11842" t="s">
        <v>1101</v>
      </c>
    </row>
    <row r="11843" spans="1:2" x14ac:dyDescent="0.25">
      <c r="A11843" t="s">
        <v>1540</v>
      </c>
      <c r="B11843" t="s">
        <v>1102</v>
      </c>
    </row>
    <row r="11844" spans="1:2" x14ac:dyDescent="0.25">
      <c r="A11844" t="s">
        <v>1540</v>
      </c>
      <c r="B11844" t="s">
        <v>1103</v>
      </c>
    </row>
    <row r="11845" spans="1:2" x14ac:dyDescent="0.25">
      <c r="A11845" t="s">
        <v>1540</v>
      </c>
      <c r="B11845" t="s">
        <v>1104</v>
      </c>
    </row>
    <row r="11846" spans="1:2" x14ac:dyDescent="0.25">
      <c r="A11846" t="s">
        <v>1540</v>
      </c>
      <c r="B11846" t="s">
        <v>1105</v>
      </c>
    </row>
    <row r="11847" spans="1:2" x14ac:dyDescent="0.25">
      <c r="A11847" t="s">
        <v>1540</v>
      </c>
      <c r="B11847" t="s">
        <v>1106</v>
      </c>
    </row>
    <row r="11848" spans="1:2" x14ac:dyDescent="0.25">
      <c r="A11848" t="s">
        <v>1540</v>
      </c>
      <c r="B11848" t="s">
        <v>1107</v>
      </c>
    </row>
    <row r="11849" spans="1:2" x14ac:dyDescent="0.25">
      <c r="A11849" t="s">
        <v>1540</v>
      </c>
      <c r="B11849" t="s">
        <v>1166</v>
      </c>
    </row>
    <row r="11850" spans="1:2" x14ac:dyDescent="0.25">
      <c r="A11850" t="s">
        <v>1540</v>
      </c>
      <c r="B11850" t="s">
        <v>1167</v>
      </c>
    </row>
    <row r="11851" spans="1:2" x14ac:dyDescent="0.25">
      <c r="A11851" t="s">
        <v>1540</v>
      </c>
      <c r="B11851" t="s">
        <v>1168</v>
      </c>
    </row>
    <row r="11852" spans="1:2" x14ac:dyDescent="0.25">
      <c r="A11852" t="s">
        <v>1540</v>
      </c>
      <c r="B11852" t="s">
        <v>1186</v>
      </c>
    </row>
    <row r="11853" spans="1:2" x14ac:dyDescent="0.25">
      <c r="A11853" t="s">
        <v>1540</v>
      </c>
      <c r="B11853" t="s">
        <v>1189</v>
      </c>
    </row>
    <row r="11854" spans="1:2" x14ac:dyDescent="0.25">
      <c r="A11854" t="s">
        <v>1540</v>
      </c>
      <c r="B11854" t="s">
        <v>1191</v>
      </c>
    </row>
    <row r="11855" spans="1:2" x14ac:dyDescent="0.25">
      <c r="A11855" t="s">
        <v>1582</v>
      </c>
      <c r="B11855" t="s">
        <v>1096</v>
      </c>
    </row>
    <row r="11856" spans="1:2" x14ac:dyDescent="0.25">
      <c r="A11856" t="s">
        <v>1582</v>
      </c>
      <c r="B11856" t="s">
        <v>1097</v>
      </c>
    </row>
    <row r="11857" spans="1:2" x14ac:dyDescent="0.25">
      <c r="A11857" t="s">
        <v>1582</v>
      </c>
      <c r="B11857" t="s">
        <v>1098</v>
      </c>
    </row>
    <row r="11858" spans="1:2" x14ac:dyDescent="0.25">
      <c r="A11858" t="s">
        <v>1582</v>
      </c>
      <c r="B11858" t="s">
        <v>1099</v>
      </c>
    </row>
    <row r="11859" spans="1:2" x14ac:dyDescent="0.25">
      <c r="A11859" t="s">
        <v>1582</v>
      </c>
      <c r="B11859" t="s">
        <v>1100</v>
      </c>
    </row>
    <row r="11860" spans="1:2" x14ac:dyDescent="0.25">
      <c r="A11860" t="s">
        <v>1582</v>
      </c>
      <c r="B11860" t="s">
        <v>1101</v>
      </c>
    </row>
    <row r="11861" spans="1:2" x14ac:dyDescent="0.25">
      <c r="A11861" t="s">
        <v>1582</v>
      </c>
      <c r="B11861" t="s">
        <v>1102</v>
      </c>
    </row>
    <row r="11862" spans="1:2" x14ac:dyDescent="0.25">
      <c r="A11862" t="s">
        <v>1582</v>
      </c>
      <c r="B11862" t="s">
        <v>1103</v>
      </c>
    </row>
    <row r="11863" spans="1:2" x14ac:dyDescent="0.25">
      <c r="A11863" t="s">
        <v>1582</v>
      </c>
      <c r="B11863" t="s">
        <v>1104</v>
      </c>
    </row>
    <row r="11864" spans="1:2" x14ac:dyDescent="0.25">
      <c r="A11864" t="s">
        <v>1582</v>
      </c>
      <c r="B11864" t="s">
        <v>1105</v>
      </c>
    </row>
    <row r="11865" spans="1:2" x14ac:dyDescent="0.25">
      <c r="A11865" t="s">
        <v>1582</v>
      </c>
      <c r="B11865" t="s">
        <v>1106</v>
      </c>
    </row>
    <row r="11866" spans="1:2" x14ac:dyDescent="0.25">
      <c r="A11866" t="s">
        <v>1582</v>
      </c>
      <c r="B11866" t="s">
        <v>1107</v>
      </c>
    </row>
    <row r="11867" spans="1:2" x14ac:dyDescent="0.25">
      <c r="A11867" t="s">
        <v>1582</v>
      </c>
      <c r="B11867" t="s">
        <v>1161</v>
      </c>
    </row>
    <row r="11868" spans="1:2" x14ac:dyDescent="0.25">
      <c r="A11868" t="s">
        <v>1582</v>
      </c>
      <c r="B11868" t="s">
        <v>1162</v>
      </c>
    </row>
    <row r="11869" spans="1:2" x14ac:dyDescent="0.25">
      <c r="A11869" t="s">
        <v>1582</v>
      </c>
      <c r="B11869" t="s">
        <v>1163</v>
      </c>
    </row>
    <row r="11870" spans="1:2" x14ac:dyDescent="0.25">
      <c r="A11870" t="s">
        <v>1582</v>
      </c>
      <c r="B11870" t="s">
        <v>1164</v>
      </c>
    </row>
    <row r="11871" spans="1:2" x14ac:dyDescent="0.25">
      <c r="A11871" t="s">
        <v>1582</v>
      </c>
      <c r="B11871" t="s">
        <v>1191</v>
      </c>
    </row>
    <row r="11872" spans="1:2" x14ac:dyDescent="0.25">
      <c r="A11872" t="s">
        <v>1539</v>
      </c>
      <c r="B11872" t="s">
        <v>1092</v>
      </c>
    </row>
    <row r="11873" spans="1:2" x14ac:dyDescent="0.25">
      <c r="A11873" t="s">
        <v>1539</v>
      </c>
      <c r="B11873" t="s">
        <v>1093</v>
      </c>
    </row>
    <row r="11874" spans="1:2" x14ac:dyDescent="0.25">
      <c r="A11874" t="s">
        <v>1539</v>
      </c>
      <c r="B11874" t="s">
        <v>1094</v>
      </c>
    </row>
    <row r="11875" spans="1:2" x14ac:dyDescent="0.25">
      <c r="A11875" t="s">
        <v>1539</v>
      </c>
      <c r="B11875" t="s">
        <v>1095</v>
      </c>
    </row>
    <row r="11876" spans="1:2" x14ac:dyDescent="0.25">
      <c r="A11876" t="s">
        <v>1539</v>
      </c>
      <c r="B11876" t="s">
        <v>1096</v>
      </c>
    </row>
    <row r="11877" spans="1:2" x14ac:dyDescent="0.25">
      <c r="A11877" t="s">
        <v>1539</v>
      </c>
      <c r="B11877" t="s">
        <v>1097</v>
      </c>
    </row>
    <row r="11878" spans="1:2" x14ac:dyDescent="0.25">
      <c r="A11878" t="s">
        <v>1539</v>
      </c>
      <c r="B11878" t="s">
        <v>1098</v>
      </c>
    </row>
    <row r="11879" spans="1:2" x14ac:dyDescent="0.25">
      <c r="A11879" t="s">
        <v>1539</v>
      </c>
      <c r="B11879" t="s">
        <v>1099</v>
      </c>
    </row>
    <row r="11880" spans="1:2" x14ac:dyDescent="0.25">
      <c r="A11880" t="s">
        <v>1539</v>
      </c>
      <c r="B11880" t="s">
        <v>1100</v>
      </c>
    </row>
    <row r="11881" spans="1:2" x14ac:dyDescent="0.25">
      <c r="A11881" t="s">
        <v>1539</v>
      </c>
      <c r="B11881" t="s">
        <v>1101</v>
      </c>
    </row>
    <row r="11882" spans="1:2" x14ac:dyDescent="0.25">
      <c r="A11882" t="s">
        <v>1539</v>
      </c>
      <c r="B11882" t="s">
        <v>1102</v>
      </c>
    </row>
    <row r="11883" spans="1:2" x14ac:dyDescent="0.25">
      <c r="A11883" t="s">
        <v>1539</v>
      </c>
      <c r="B11883" t="s">
        <v>1103</v>
      </c>
    </row>
    <row r="11884" spans="1:2" x14ac:dyDescent="0.25">
      <c r="A11884" t="s">
        <v>1539</v>
      </c>
      <c r="B11884" t="s">
        <v>1104</v>
      </c>
    </row>
    <row r="11885" spans="1:2" x14ac:dyDescent="0.25">
      <c r="A11885" t="s">
        <v>1539</v>
      </c>
      <c r="B11885" t="s">
        <v>1105</v>
      </c>
    </row>
    <row r="11886" spans="1:2" x14ac:dyDescent="0.25">
      <c r="A11886" t="s">
        <v>1539</v>
      </c>
      <c r="B11886" t="s">
        <v>1106</v>
      </c>
    </row>
    <row r="11887" spans="1:2" x14ac:dyDescent="0.25">
      <c r="A11887" t="s">
        <v>1539</v>
      </c>
      <c r="B11887" t="s">
        <v>1107</v>
      </c>
    </row>
    <row r="11888" spans="1:2" x14ac:dyDescent="0.25">
      <c r="A11888" t="s">
        <v>1539</v>
      </c>
      <c r="B11888" t="s">
        <v>1166</v>
      </c>
    </row>
    <row r="11889" spans="1:2" x14ac:dyDescent="0.25">
      <c r="A11889" t="s">
        <v>1539</v>
      </c>
      <c r="B11889" t="s">
        <v>1167</v>
      </c>
    </row>
    <row r="11890" spans="1:2" x14ac:dyDescent="0.25">
      <c r="A11890" t="s">
        <v>1539</v>
      </c>
      <c r="B11890" t="s">
        <v>1168</v>
      </c>
    </row>
    <row r="11891" spans="1:2" x14ac:dyDescent="0.25">
      <c r="A11891" t="s">
        <v>1539</v>
      </c>
      <c r="B11891" t="s">
        <v>1169</v>
      </c>
    </row>
    <row r="11892" spans="1:2" x14ac:dyDescent="0.25">
      <c r="A11892" t="s">
        <v>1539</v>
      </c>
      <c r="B11892" t="s">
        <v>1170</v>
      </c>
    </row>
    <row r="11893" spans="1:2" x14ac:dyDescent="0.25">
      <c r="A11893" t="s">
        <v>1539</v>
      </c>
      <c r="B11893" t="s">
        <v>1186</v>
      </c>
    </row>
    <row r="11894" spans="1:2" x14ac:dyDescent="0.25">
      <c r="A11894" t="s">
        <v>1539</v>
      </c>
      <c r="B11894" t="s">
        <v>1187</v>
      </c>
    </row>
    <row r="11895" spans="1:2" x14ac:dyDescent="0.25">
      <c r="A11895" t="s">
        <v>1539</v>
      </c>
      <c r="B11895" t="s">
        <v>1188</v>
      </c>
    </row>
    <row r="11896" spans="1:2" x14ac:dyDescent="0.25">
      <c r="A11896" t="s">
        <v>1539</v>
      </c>
      <c r="B11896" t="s">
        <v>1189</v>
      </c>
    </row>
    <row r="11897" spans="1:2" x14ac:dyDescent="0.25">
      <c r="A11897" t="s">
        <v>1539</v>
      </c>
      <c r="B11897" t="s">
        <v>1191</v>
      </c>
    </row>
    <row r="11898" spans="1:2" x14ac:dyDescent="0.25">
      <c r="A11898" t="s">
        <v>2214</v>
      </c>
      <c r="B11898" t="s">
        <v>1160</v>
      </c>
    </row>
    <row r="11899" spans="1:2" x14ac:dyDescent="0.25">
      <c r="A11899" t="s">
        <v>2214</v>
      </c>
      <c r="B11899" t="s">
        <v>1161</v>
      </c>
    </row>
    <row r="11900" spans="1:2" x14ac:dyDescent="0.25">
      <c r="A11900" t="s">
        <v>2214</v>
      </c>
      <c r="B11900" t="s">
        <v>1162</v>
      </c>
    </row>
    <row r="11901" spans="1:2" x14ac:dyDescent="0.25">
      <c r="A11901" t="s">
        <v>2214</v>
      </c>
      <c r="B11901" t="s">
        <v>1163</v>
      </c>
    </row>
    <row r="11902" spans="1:2" x14ac:dyDescent="0.25">
      <c r="A11902" t="s">
        <v>2214</v>
      </c>
      <c r="B11902" t="s">
        <v>1164</v>
      </c>
    </row>
    <row r="11903" spans="1:2" x14ac:dyDescent="0.25">
      <c r="A11903" t="s">
        <v>1547</v>
      </c>
      <c r="B11903" t="s">
        <v>1092</v>
      </c>
    </row>
    <row r="11904" spans="1:2" x14ac:dyDescent="0.25">
      <c r="A11904" t="s">
        <v>1547</v>
      </c>
      <c r="B11904" t="s">
        <v>1093</v>
      </c>
    </row>
    <row r="11905" spans="1:2" x14ac:dyDescent="0.25">
      <c r="A11905" t="s">
        <v>1547</v>
      </c>
      <c r="B11905" t="s">
        <v>1094</v>
      </c>
    </row>
    <row r="11906" spans="1:2" x14ac:dyDescent="0.25">
      <c r="A11906" t="s">
        <v>1547</v>
      </c>
      <c r="B11906" t="s">
        <v>1095</v>
      </c>
    </row>
    <row r="11907" spans="1:2" x14ac:dyDescent="0.25">
      <c r="A11907" t="s">
        <v>1547</v>
      </c>
      <c r="B11907" t="s">
        <v>1096</v>
      </c>
    </row>
    <row r="11908" spans="1:2" x14ac:dyDescent="0.25">
      <c r="A11908" t="s">
        <v>1547</v>
      </c>
      <c r="B11908" t="s">
        <v>1097</v>
      </c>
    </row>
    <row r="11909" spans="1:2" x14ac:dyDescent="0.25">
      <c r="A11909" t="s">
        <v>1547</v>
      </c>
      <c r="B11909" t="s">
        <v>1098</v>
      </c>
    </row>
    <row r="11910" spans="1:2" x14ac:dyDescent="0.25">
      <c r="A11910" t="s">
        <v>1547</v>
      </c>
      <c r="B11910" t="s">
        <v>1099</v>
      </c>
    </row>
    <row r="11911" spans="1:2" x14ac:dyDescent="0.25">
      <c r="A11911" t="s">
        <v>1547</v>
      </c>
      <c r="B11911" t="s">
        <v>1100</v>
      </c>
    </row>
    <row r="11912" spans="1:2" x14ac:dyDescent="0.25">
      <c r="A11912" t="s">
        <v>1547</v>
      </c>
      <c r="B11912" t="s">
        <v>1101</v>
      </c>
    </row>
    <row r="11913" spans="1:2" x14ac:dyDescent="0.25">
      <c r="A11913" t="s">
        <v>1547</v>
      </c>
      <c r="B11913" t="s">
        <v>1102</v>
      </c>
    </row>
    <row r="11914" spans="1:2" x14ac:dyDescent="0.25">
      <c r="A11914" t="s">
        <v>1547</v>
      </c>
      <c r="B11914" t="s">
        <v>1103</v>
      </c>
    </row>
    <row r="11915" spans="1:2" x14ac:dyDescent="0.25">
      <c r="A11915" t="s">
        <v>1547</v>
      </c>
      <c r="B11915" t="s">
        <v>1104</v>
      </c>
    </row>
    <row r="11916" spans="1:2" x14ac:dyDescent="0.25">
      <c r="A11916" t="s">
        <v>1547</v>
      </c>
      <c r="B11916" t="s">
        <v>1105</v>
      </c>
    </row>
    <row r="11917" spans="1:2" x14ac:dyDescent="0.25">
      <c r="A11917" t="s">
        <v>1547</v>
      </c>
      <c r="B11917" t="s">
        <v>1106</v>
      </c>
    </row>
    <row r="11918" spans="1:2" x14ac:dyDescent="0.25">
      <c r="A11918" t="s">
        <v>1547</v>
      </c>
      <c r="B11918" t="s">
        <v>1107</v>
      </c>
    </row>
    <row r="11919" spans="1:2" x14ac:dyDescent="0.25">
      <c r="A11919" t="s">
        <v>1547</v>
      </c>
      <c r="B11919" t="s">
        <v>1160</v>
      </c>
    </row>
    <row r="11920" spans="1:2" x14ac:dyDescent="0.25">
      <c r="A11920" t="s">
        <v>1547</v>
      </c>
      <c r="B11920" t="s">
        <v>1161</v>
      </c>
    </row>
    <row r="11921" spans="1:2" x14ac:dyDescent="0.25">
      <c r="A11921" t="s">
        <v>1547</v>
      </c>
      <c r="B11921" t="s">
        <v>1162</v>
      </c>
    </row>
    <row r="11922" spans="1:2" x14ac:dyDescent="0.25">
      <c r="A11922" t="s">
        <v>1547</v>
      </c>
      <c r="B11922" t="s">
        <v>1163</v>
      </c>
    </row>
    <row r="11923" spans="1:2" x14ac:dyDescent="0.25">
      <c r="A11923" t="s">
        <v>1547</v>
      </c>
      <c r="B11923" t="s">
        <v>1164</v>
      </c>
    </row>
    <row r="11924" spans="1:2" x14ac:dyDescent="0.25">
      <c r="A11924" t="s">
        <v>1547</v>
      </c>
      <c r="B11924" t="s">
        <v>1191</v>
      </c>
    </row>
    <row r="11925" spans="1:2" x14ac:dyDescent="0.25">
      <c r="A11925" t="s">
        <v>1548</v>
      </c>
      <c r="B11925" t="s">
        <v>1092</v>
      </c>
    </row>
    <row r="11926" spans="1:2" x14ac:dyDescent="0.25">
      <c r="A11926" t="s">
        <v>1548</v>
      </c>
      <c r="B11926" t="s">
        <v>1093</v>
      </c>
    </row>
    <row r="11927" spans="1:2" x14ac:dyDescent="0.25">
      <c r="A11927" t="s">
        <v>1548</v>
      </c>
      <c r="B11927" t="s">
        <v>1094</v>
      </c>
    </row>
    <row r="11928" spans="1:2" x14ac:dyDescent="0.25">
      <c r="A11928" t="s">
        <v>1548</v>
      </c>
      <c r="B11928" t="s">
        <v>1095</v>
      </c>
    </row>
    <row r="11929" spans="1:2" x14ac:dyDescent="0.25">
      <c r="A11929" t="s">
        <v>1548</v>
      </c>
      <c r="B11929" t="s">
        <v>1096</v>
      </c>
    </row>
    <row r="11930" spans="1:2" x14ac:dyDescent="0.25">
      <c r="A11930" t="s">
        <v>1548</v>
      </c>
      <c r="B11930" t="s">
        <v>1097</v>
      </c>
    </row>
    <row r="11931" spans="1:2" x14ac:dyDescent="0.25">
      <c r="A11931" t="s">
        <v>1548</v>
      </c>
      <c r="B11931" t="s">
        <v>1098</v>
      </c>
    </row>
    <row r="11932" spans="1:2" x14ac:dyDescent="0.25">
      <c r="A11932" t="s">
        <v>1548</v>
      </c>
      <c r="B11932" t="s">
        <v>1099</v>
      </c>
    </row>
    <row r="11933" spans="1:2" x14ac:dyDescent="0.25">
      <c r="A11933" t="s">
        <v>1548</v>
      </c>
      <c r="B11933" t="s">
        <v>1100</v>
      </c>
    </row>
    <row r="11934" spans="1:2" x14ac:dyDescent="0.25">
      <c r="A11934" t="s">
        <v>1548</v>
      </c>
      <c r="B11934" t="s">
        <v>1101</v>
      </c>
    </row>
    <row r="11935" spans="1:2" x14ac:dyDescent="0.25">
      <c r="A11935" t="s">
        <v>1548</v>
      </c>
      <c r="B11935" t="s">
        <v>1102</v>
      </c>
    </row>
    <row r="11936" spans="1:2" x14ac:dyDescent="0.25">
      <c r="A11936" t="s">
        <v>1548</v>
      </c>
      <c r="B11936" t="s">
        <v>1103</v>
      </c>
    </row>
    <row r="11937" spans="1:2" x14ac:dyDescent="0.25">
      <c r="A11937" t="s">
        <v>1548</v>
      </c>
      <c r="B11937" t="s">
        <v>1104</v>
      </c>
    </row>
    <row r="11938" spans="1:2" x14ac:dyDescent="0.25">
      <c r="A11938" t="s">
        <v>1548</v>
      </c>
      <c r="B11938" t="s">
        <v>1105</v>
      </c>
    </row>
    <row r="11939" spans="1:2" x14ac:dyDescent="0.25">
      <c r="A11939" t="s">
        <v>1548</v>
      </c>
      <c r="B11939" t="s">
        <v>1106</v>
      </c>
    </row>
    <row r="11940" spans="1:2" x14ac:dyDescent="0.25">
      <c r="A11940" t="s">
        <v>1548</v>
      </c>
      <c r="B11940" t="s">
        <v>1107</v>
      </c>
    </row>
    <row r="11941" spans="1:2" x14ac:dyDescent="0.25">
      <c r="A11941" t="s">
        <v>1548</v>
      </c>
      <c r="B11941" t="s">
        <v>1160</v>
      </c>
    </row>
    <row r="11942" spans="1:2" x14ac:dyDescent="0.25">
      <c r="A11942" t="s">
        <v>1548</v>
      </c>
      <c r="B11942" t="s">
        <v>1161</v>
      </c>
    </row>
    <row r="11943" spans="1:2" x14ac:dyDescent="0.25">
      <c r="A11943" t="s">
        <v>1548</v>
      </c>
      <c r="B11943" t="s">
        <v>1162</v>
      </c>
    </row>
    <row r="11944" spans="1:2" x14ac:dyDescent="0.25">
      <c r="A11944" t="s">
        <v>1548</v>
      </c>
      <c r="B11944" t="s">
        <v>1163</v>
      </c>
    </row>
    <row r="11945" spans="1:2" x14ac:dyDescent="0.25">
      <c r="A11945" t="s">
        <v>1548</v>
      </c>
      <c r="B11945" t="s">
        <v>1164</v>
      </c>
    </row>
    <row r="11946" spans="1:2" x14ac:dyDescent="0.25">
      <c r="A11946" t="s">
        <v>1548</v>
      </c>
      <c r="B11946" t="s">
        <v>1191</v>
      </c>
    </row>
    <row r="11947" spans="1:2" x14ac:dyDescent="0.25">
      <c r="A11947" t="s">
        <v>1549</v>
      </c>
      <c r="B11947" t="s">
        <v>1092</v>
      </c>
    </row>
    <row r="11948" spans="1:2" x14ac:dyDescent="0.25">
      <c r="A11948" t="s">
        <v>1549</v>
      </c>
      <c r="B11948" t="s">
        <v>1093</v>
      </c>
    </row>
    <row r="11949" spans="1:2" x14ac:dyDescent="0.25">
      <c r="A11949" t="s">
        <v>1549</v>
      </c>
      <c r="B11949" t="s">
        <v>1094</v>
      </c>
    </row>
    <row r="11950" spans="1:2" x14ac:dyDescent="0.25">
      <c r="A11950" t="s">
        <v>1549</v>
      </c>
      <c r="B11950" t="s">
        <v>1095</v>
      </c>
    </row>
    <row r="11951" spans="1:2" x14ac:dyDescent="0.25">
      <c r="A11951" t="s">
        <v>1549</v>
      </c>
      <c r="B11951" t="s">
        <v>1096</v>
      </c>
    </row>
    <row r="11952" spans="1:2" x14ac:dyDescent="0.25">
      <c r="A11952" t="s">
        <v>1549</v>
      </c>
      <c r="B11952" t="s">
        <v>1097</v>
      </c>
    </row>
    <row r="11953" spans="1:2" x14ac:dyDescent="0.25">
      <c r="A11953" t="s">
        <v>1549</v>
      </c>
      <c r="B11953" t="s">
        <v>1098</v>
      </c>
    </row>
    <row r="11954" spans="1:2" x14ac:dyDescent="0.25">
      <c r="A11954" t="s">
        <v>1549</v>
      </c>
      <c r="B11954" t="s">
        <v>1099</v>
      </c>
    </row>
    <row r="11955" spans="1:2" x14ac:dyDescent="0.25">
      <c r="A11955" t="s">
        <v>1549</v>
      </c>
      <c r="B11955" t="s">
        <v>1100</v>
      </c>
    </row>
    <row r="11956" spans="1:2" x14ac:dyDescent="0.25">
      <c r="A11956" t="s">
        <v>1549</v>
      </c>
      <c r="B11956" t="s">
        <v>1101</v>
      </c>
    </row>
    <row r="11957" spans="1:2" x14ac:dyDescent="0.25">
      <c r="A11957" t="s">
        <v>1549</v>
      </c>
      <c r="B11957" t="s">
        <v>1102</v>
      </c>
    </row>
    <row r="11958" spans="1:2" x14ac:dyDescent="0.25">
      <c r="A11958" t="s">
        <v>1549</v>
      </c>
      <c r="B11958" t="s">
        <v>1103</v>
      </c>
    </row>
    <row r="11959" spans="1:2" x14ac:dyDescent="0.25">
      <c r="A11959" t="s">
        <v>1549</v>
      </c>
      <c r="B11959" t="s">
        <v>1104</v>
      </c>
    </row>
    <row r="11960" spans="1:2" x14ac:dyDescent="0.25">
      <c r="A11960" t="s">
        <v>1549</v>
      </c>
      <c r="B11960" t="s">
        <v>1105</v>
      </c>
    </row>
    <row r="11961" spans="1:2" x14ac:dyDescent="0.25">
      <c r="A11961" t="s">
        <v>1549</v>
      </c>
      <c r="B11961" t="s">
        <v>1106</v>
      </c>
    </row>
    <row r="11962" spans="1:2" x14ac:dyDescent="0.25">
      <c r="A11962" t="s">
        <v>1549</v>
      </c>
      <c r="B11962" t="s">
        <v>1107</v>
      </c>
    </row>
    <row r="11963" spans="1:2" x14ac:dyDescent="0.25">
      <c r="A11963" t="s">
        <v>1549</v>
      </c>
      <c r="B11963" t="s">
        <v>1160</v>
      </c>
    </row>
    <row r="11964" spans="1:2" x14ac:dyDescent="0.25">
      <c r="A11964" t="s">
        <v>1549</v>
      </c>
      <c r="B11964" t="s">
        <v>1161</v>
      </c>
    </row>
    <row r="11965" spans="1:2" x14ac:dyDescent="0.25">
      <c r="A11965" t="s">
        <v>1549</v>
      </c>
      <c r="B11965" t="s">
        <v>1162</v>
      </c>
    </row>
    <row r="11966" spans="1:2" x14ac:dyDescent="0.25">
      <c r="A11966" t="s">
        <v>1549</v>
      </c>
      <c r="B11966" t="s">
        <v>1163</v>
      </c>
    </row>
    <row r="11967" spans="1:2" x14ac:dyDescent="0.25">
      <c r="A11967" t="s">
        <v>1549</v>
      </c>
      <c r="B11967" t="s">
        <v>1164</v>
      </c>
    </row>
    <row r="11968" spans="1:2" x14ac:dyDescent="0.25">
      <c r="A11968" t="s">
        <v>1549</v>
      </c>
      <c r="B11968" t="s">
        <v>1191</v>
      </c>
    </row>
    <row r="11969" spans="1:2" x14ac:dyDescent="0.25">
      <c r="A11969" t="s">
        <v>1550</v>
      </c>
      <c r="B11969" t="s">
        <v>1092</v>
      </c>
    </row>
    <row r="11970" spans="1:2" x14ac:dyDescent="0.25">
      <c r="A11970" t="s">
        <v>1550</v>
      </c>
      <c r="B11970" t="s">
        <v>1093</v>
      </c>
    </row>
    <row r="11971" spans="1:2" x14ac:dyDescent="0.25">
      <c r="A11971" t="s">
        <v>1550</v>
      </c>
      <c r="B11971" t="s">
        <v>1094</v>
      </c>
    </row>
    <row r="11972" spans="1:2" x14ac:dyDescent="0.25">
      <c r="A11972" t="s">
        <v>1550</v>
      </c>
      <c r="B11972" t="s">
        <v>1095</v>
      </c>
    </row>
    <row r="11973" spans="1:2" x14ac:dyDescent="0.25">
      <c r="A11973" t="s">
        <v>1550</v>
      </c>
      <c r="B11973" t="s">
        <v>1096</v>
      </c>
    </row>
    <row r="11974" spans="1:2" x14ac:dyDescent="0.25">
      <c r="A11974" t="s">
        <v>1550</v>
      </c>
      <c r="B11974" t="s">
        <v>1097</v>
      </c>
    </row>
    <row r="11975" spans="1:2" x14ac:dyDescent="0.25">
      <c r="A11975" t="s">
        <v>1550</v>
      </c>
      <c r="B11975" t="s">
        <v>1098</v>
      </c>
    </row>
    <row r="11976" spans="1:2" x14ac:dyDescent="0.25">
      <c r="A11976" t="s">
        <v>1550</v>
      </c>
      <c r="B11976" t="s">
        <v>1099</v>
      </c>
    </row>
    <row r="11977" spans="1:2" x14ac:dyDescent="0.25">
      <c r="A11977" t="s">
        <v>1550</v>
      </c>
      <c r="B11977" t="s">
        <v>1100</v>
      </c>
    </row>
    <row r="11978" spans="1:2" x14ac:dyDescent="0.25">
      <c r="A11978" t="s">
        <v>1550</v>
      </c>
      <c r="B11978" t="s">
        <v>1101</v>
      </c>
    </row>
    <row r="11979" spans="1:2" x14ac:dyDescent="0.25">
      <c r="A11979" t="s">
        <v>1550</v>
      </c>
      <c r="B11979" t="s">
        <v>1102</v>
      </c>
    </row>
    <row r="11980" spans="1:2" x14ac:dyDescent="0.25">
      <c r="A11980" t="s">
        <v>1550</v>
      </c>
      <c r="B11980" t="s">
        <v>1103</v>
      </c>
    </row>
    <row r="11981" spans="1:2" x14ac:dyDescent="0.25">
      <c r="A11981" t="s">
        <v>1550</v>
      </c>
      <c r="B11981" t="s">
        <v>1104</v>
      </c>
    </row>
    <row r="11982" spans="1:2" x14ac:dyDescent="0.25">
      <c r="A11982" t="s">
        <v>1550</v>
      </c>
      <c r="B11982" t="s">
        <v>1105</v>
      </c>
    </row>
    <row r="11983" spans="1:2" x14ac:dyDescent="0.25">
      <c r="A11983" t="s">
        <v>1550</v>
      </c>
      <c r="B11983" t="s">
        <v>1106</v>
      </c>
    </row>
    <row r="11984" spans="1:2" x14ac:dyDescent="0.25">
      <c r="A11984" t="s">
        <v>1550</v>
      </c>
      <c r="B11984" t="s">
        <v>1107</v>
      </c>
    </row>
    <row r="11985" spans="1:2" x14ac:dyDescent="0.25">
      <c r="A11985" t="s">
        <v>1550</v>
      </c>
      <c r="B11985" t="s">
        <v>1160</v>
      </c>
    </row>
    <row r="11986" spans="1:2" x14ac:dyDescent="0.25">
      <c r="A11986" t="s">
        <v>1550</v>
      </c>
      <c r="B11986" t="s">
        <v>1161</v>
      </c>
    </row>
    <row r="11987" spans="1:2" x14ac:dyDescent="0.25">
      <c r="A11987" t="s">
        <v>1550</v>
      </c>
      <c r="B11987" t="s">
        <v>1162</v>
      </c>
    </row>
    <row r="11988" spans="1:2" x14ac:dyDescent="0.25">
      <c r="A11988" t="s">
        <v>1550</v>
      </c>
      <c r="B11988" t="s">
        <v>1163</v>
      </c>
    </row>
    <row r="11989" spans="1:2" x14ac:dyDescent="0.25">
      <c r="A11989" t="s">
        <v>1550</v>
      </c>
      <c r="B11989" t="s">
        <v>1164</v>
      </c>
    </row>
    <row r="11990" spans="1:2" x14ac:dyDescent="0.25">
      <c r="A11990" t="s">
        <v>1550</v>
      </c>
      <c r="B11990" t="s">
        <v>1191</v>
      </c>
    </row>
    <row r="11991" spans="1:2" x14ac:dyDescent="0.25">
      <c r="A11991" t="s">
        <v>2192</v>
      </c>
      <c r="B11991" t="s">
        <v>1157</v>
      </c>
    </row>
    <row r="11992" spans="1:2" x14ac:dyDescent="0.25">
      <c r="A11992" t="s">
        <v>2192</v>
      </c>
      <c r="B11992" t="s">
        <v>1158</v>
      </c>
    </row>
    <row r="11993" spans="1:2" x14ac:dyDescent="0.25">
      <c r="A11993" t="s">
        <v>2192</v>
      </c>
      <c r="B11993" t="s">
        <v>1159</v>
      </c>
    </row>
    <row r="11994" spans="1:2" x14ac:dyDescent="0.25">
      <c r="A11994" t="s">
        <v>2192</v>
      </c>
      <c r="B11994" t="s">
        <v>1173</v>
      </c>
    </row>
    <row r="11995" spans="1:2" x14ac:dyDescent="0.25">
      <c r="A11995" t="s">
        <v>2192</v>
      </c>
      <c r="B11995" t="s">
        <v>1174</v>
      </c>
    </row>
    <row r="11996" spans="1:2" x14ac:dyDescent="0.25">
      <c r="A11996" t="s">
        <v>2192</v>
      </c>
      <c r="B11996" t="s">
        <v>1175</v>
      </c>
    </row>
    <row r="11997" spans="1:2" x14ac:dyDescent="0.25">
      <c r="A11997" t="s">
        <v>2192</v>
      </c>
      <c r="B11997" t="s">
        <v>1176</v>
      </c>
    </row>
    <row r="11998" spans="1:2" x14ac:dyDescent="0.25">
      <c r="A11998" t="s">
        <v>2192</v>
      </c>
      <c r="B11998" t="s">
        <v>1177</v>
      </c>
    </row>
    <row r="11999" spans="1:2" x14ac:dyDescent="0.25">
      <c r="A11999" t="s">
        <v>2192</v>
      </c>
      <c r="B11999" t="s">
        <v>1178</v>
      </c>
    </row>
    <row r="12000" spans="1:2" x14ac:dyDescent="0.25">
      <c r="A12000" t="s">
        <v>2192</v>
      </c>
      <c r="B12000" t="s">
        <v>1179</v>
      </c>
    </row>
    <row r="12001" spans="1:2" x14ac:dyDescent="0.25">
      <c r="A12001" t="s">
        <v>2192</v>
      </c>
      <c r="B12001" t="s">
        <v>1180</v>
      </c>
    </row>
    <row r="12002" spans="1:2" x14ac:dyDescent="0.25">
      <c r="A12002" t="s">
        <v>2192</v>
      </c>
      <c r="B12002" t="s">
        <v>1181</v>
      </c>
    </row>
    <row r="12003" spans="1:2" x14ac:dyDescent="0.25">
      <c r="A12003" t="s">
        <v>2192</v>
      </c>
      <c r="B12003" t="s">
        <v>1182</v>
      </c>
    </row>
    <row r="12004" spans="1:2" x14ac:dyDescent="0.25">
      <c r="A12004" t="s">
        <v>2192</v>
      </c>
      <c r="B12004" t="s">
        <v>1183</v>
      </c>
    </row>
    <row r="12005" spans="1:2" x14ac:dyDescent="0.25">
      <c r="A12005" t="s">
        <v>2192</v>
      </c>
      <c r="B12005" t="s">
        <v>1184</v>
      </c>
    </row>
    <row r="12006" spans="1:2" x14ac:dyDescent="0.25">
      <c r="A12006" t="s">
        <v>2192</v>
      </c>
      <c r="B12006" t="s">
        <v>1185</v>
      </c>
    </row>
    <row r="12007" spans="1:2" x14ac:dyDescent="0.25">
      <c r="A12007" t="s">
        <v>2192</v>
      </c>
      <c r="B12007" t="s">
        <v>1186</v>
      </c>
    </row>
    <row r="12008" spans="1:2" x14ac:dyDescent="0.25">
      <c r="A12008" t="s">
        <v>2192</v>
      </c>
      <c r="B12008" t="s">
        <v>1187</v>
      </c>
    </row>
    <row r="12009" spans="1:2" x14ac:dyDescent="0.25">
      <c r="A12009" t="s">
        <v>2192</v>
      </c>
      <c r="B12009" t="s">
        <v>1188</v>
      </c>
    </row>
    <row r="12010" spans="1:2" x14ac:dyDescent="0.25">
      <c r="A12010" t="s">
        <v>2192</v>
      </c>
      <c r="B12010" t="s">
        <v>1189</v>
      </c>
    </row>
    <row r="12011" spans="1:2" x14ac:dyDescent="0.25">
      <c r="A12011" t="s">
        <v>2192</v>
      </c>
      <c r="B12011" t="s">
        <v>1190</v>
      </c>
    </row>
    <row r="12012" spans="1:2" x14ac:dyDescent="0.25">
      <c r="A12012" t="s">
        <v>2149</v>
      </c>
      <c r="B12012" t="s">
        <v>1148</v>
      </c>
    </row>
    <row r="12013" spans="1:2" x14ac:dyDescent="0.25">
      <c r="A12013" t="s">
        <v>2149</v>
      </c>
      <c r="B12013" t="s">
        <v>1149</v>
      </c>
    </row>
    <row r="12014" spans="1:2" x14ac:dyDescent="0.25">
      <c r="A12014" t="s">
        <v>2149</v>
      </c>
      <c r="B12014" t="s">
        <v>1150</v>
      </c>
    </row>
    <row r="12015" spans="1:2" x14ac:dyDescent="0.25">
      <c r="A12015" t="s">
        <v>2149</v>
      </c>
      <c r="B12015" t="s">
        <v>1151</v>
      </c>
    </row>
    <row r="12016" spans="1:2" x14ac:dyDescent="0.25">
      <c r="A12016" t="s">
        <v>2149</v>
      </c>
      <c r="B12016" t="s">
        <v>1152</v>
      </c>
    </row>
    <row r="12017" spans="1:2" x14ac:dyDescent="0.25">
      <c r="A12017" t="s">
        <v>2149</v>
      </c>
      <c r="B12017" t="s">
        <v>1153</v>
      </c>
    </row>
    <row r="12018" spans="1:2" x14ac:dyDescent="0.25">
      <c r="A12018" t="s">
        <v>2150</v>
      </c>
      <c r="B12018" t="s">
        <v>1148</v>
      </c>
    </row>
    <row r="12019" spans="1:2" x14ac:dyDescent="0.25">
      <c r="A12019" t="s">
        <v>2150</v>
      </c>
      <c r="B12019" t="s">
        <v>1149</v>
      </c>
    </row>
    <row r="12020" spans="1:2" x14ac:dyDescent="0.25">
      <c r="A12020" t="s">
        <v>2150</v>
      </c>
      <c r="B12020" t="s">
        <v>1150</v>
      </c>
    </row>
    <row r="12021" spans="1:2" x14ac:dyDescent="0.25">
      <c r="A12021" t="s">
        <v>2150</v>
      </c>
      <c r="B12021" t="s">
        <v>1151</v>
      </c>
    </row>
    <row r="12022" spans="1:2" x14ac:dyDescent="0.25">
      <c r="A12022" t="s">
        <v>2150</v>
      </c>
      <c r="B12022" t="s">
        <v>1152</v>
      </c>
    </row>
    <row r="12023" spans="1:2" x14ac:dyDescent="0.25">
      <c r="A12023" t="s">
        <v>2150</v>
      </c>
      <c r="B12023" t="s">
        <v>1153</v>
      </c>
    </row>
    <row r="12024" spans="1:2" x14ac:dyDescent="0.25">
      <c r="A12024" t="s">
        <v>1787</v>
      </c>
      <c r="B12024" t="s">
        <v>1107</v>
      </c>
    </row>
    <row r="12025" spans="1:2" x14ac:dyDescent="0.25">
      <c r="A12025" t="s">
        <v>1787</v>
      </c>
      <c r="B12025" t="s">
        <v>1107</v>
      </c>
    </row>
    <row r="12026" spans="1:2" x14ac:dyDescent="0.25">
      <c r="A12026" t="s">
        <v>1787</v>
      </c>
      <c r="B12026" t="s">
        <v>1142</v>
      </c>
    </row>
    <row r="12027" spans="1:2" x14ac:dyDescent="0.25">
      <c r="A12027" t="s">
        <v>1787</v>
      </c>
      <c r="B12027" t="s">
        <v>1148</v>
      </c>
    </row>
    <row r="12028" spans="1:2" x14ac:dyDescent="0.25">
      <c r="A12028" t="s">
        <v>1787</v>
      </c>
      <c r="B12028" t="s">
        <v>1168</v>
      </c>
    </row>
    <row r="12029" spans="1:2" x14ac:dyDescent="0.25">
      <c r="A12029" t="s">
        <v>1787</v>
      </c>
      <c r="B12029" t="s">
        <v>1169</v>
      </c>
    </row>
    <row r="12030" spans="1:2" x14ac:dyDescent="0.25">
      <c r="A12030" t="s">
        <v>1787</v>
      </c>
      <c r="B12030" t="s">
        <v>1170</v>
      </c>
    </row>
    <row r="12031" spans="1:2" x14ac:dyDescent="0.25">
      <c r="A12031" t="s">
        <v>1787</v>
      </c>
      <c r="B12031" t="s">
        <v>1178</v>
      </c>
    </row>
    <row r="12032" spans="1:2" x14ac:dyDescent="0.25">
      <c r="A12032" t="s">
        <v>1787</v>
      </c>
      <c r="B12032" t="s">
        <v>1202</v>
      </c>
    </row>
    <row r="12033" spans="1:2" x14ac:dyDescent="0.25">
      <c r="A12033" t="s">
        <v>1788</v>
      </c>
      <c r="B12033" t="s">
        <v>1107</v>
      </c>
    </row>
    <row r="12034" spans="1:2" x14ac:dyDescent="0.25">
      <c r="A12034" t="s">
        <v>1788</v>
      </c>
      <c r="B12034" t="s">
        <v>1107</v>
      </c>
    </row>
    <row r="12035" spans="1:2" x14ac:dyDescent="0.25">
      <c r="A12035" t="s">
        <v>1788</v>
      </c>
      <c r="B12035" t="s">
        <v>1142</v>
      </c>
    </row>
    <row r="12036" spans="1:2" x14ac:dyDescent="0.25">
      <c r="A12036" t="s">
        <v>1788</v>
      </c>
      <c r="B12036" t="s">
        <v>1148</v>
      </c>
    </row>
    <row r="12037" spans="1:2" x14ac:dyDescent="0.25">
      <c r="A12037" t="s">
        <v>1788</v>
      </c>
      <c r="B12037" t="s">
        <v>1168</v>
      </c>
    </row>
    <row r="12038" spans="1:2" x14ac:dyDescent="0.25">
      <c r="A12038" t="s">
        <v>1788</v>
      </c>
      <c r="B12038" t="s">
        <v>1169</v>
      </c>
    </row>
    <row r="12039" spans="1:2" x14ac:dyDescent="0.25">
      <c r="A12039" t="s">
        <v>1788</v>
      </c>
      <c r="B12039" t="s">
        <v>1170</v>
      </c>
    </row>
    <row r="12040" spans="1:2" x14ac:dyDescent="0.25">
      <c r="A12040" t="s">
        <v>1788</v>
      </c>
      <c r="B12040" t="s">
        <v>1178</v>
      </c>
    </row>
    <row r="12041" spans="1:2" x14ac:dyDescent="0.25">
      <c r="A12041" t="s">
        <v>1788</v>
      </c>
      <c r="B12041" t="s">
        <v>1202</v>
      </c>
    </row>
    <row r="12042" spans="1:2" x14ac:dyDescent="0.25">
      <c r="A12042" t="s">
        <v>2193</v>
      </c>
      <c r="B12042" t="s">
        <v>1157</v>
      </c>
    </row>
    <row r="12043" spans="1:2" x14ac:dyDescent="0.25">
      <c r="A12043" t="s">
        <v>2193</v>
      </c>
      <c r="B12043" t="s">
        <v>1158</v>
      </c>
    </row>
    <row r="12044" spans="1:2" x14ac:dyDescent="0.25">
      <c r="A12044" t="s">
        <v>2193</v>
      </c>
      <c r="B12044" t="s">
        <v>1159</v>
      </c>
    </row>
    <row r="12045" spans="1:2" x14ac:dyDescent="0.25">
      <c r="A12045" t="s">
        <v>2193</v>
      </c>
      <c r="B12045" t="s">
        <v>1173</v>
      </c>
    </row>
    <row r="12046" spans="1:2" x14ac:dyDescent="0.25">
      <c r="A12046" t="s">
        <v>2193</v>
      </c>
      <c r="B12046" t="s">
        <v>1174</v>
      </c>
    </row>
    <row r="12047" spans="1:2" x14ac:dyDescent="0.25">
      <c r="A12047" t="s">
        <v>2193</v>
      </c>
      <c r="B12047" t="s">
        <v>1175</v>
      </c>
    </row>
    <row r="12048" spans="1:2" x14ac:dyDescent="0.25">
      <c r="A12048" t="s">
        <v>2193</v>
      </c>
      <c r="B12048" t="s">
        <v>1176</v>
      </c>
    </row>
    <row r="12049" spans="1:2" x14ac:dyDescent="0.25">
      <c r="A12049" t="s">
        <v>2193</v>
      </c>
      <c r="B12049" t="s">
        <v>1177</v>
      </c>
    </row>
    <row r="12050" spans="1:2" x14ac:dyDescent="0.25">
      <c r="A12050" t="s">
        <v>2193</v>
      </c>
      <c r="B12050" t="s">
        <v>1178</v>
      </c>
    </row>
    <row r="12051" spans="1:2" x14ac:dyDescent="0.25">
      <c r="A12051" t="s">
        <v>2193</v>
      </c>
      <c r="B12051" t="s">
        <v>1179</v>
      </c>
    </row>
    <row r="12052" spans="1:2" x14ac:dyDescent="0.25">
      <c r="A12052" t="s">
        <v>2193</v>
      </c>
      <c r="B12052" t="s">
        <v>1180</v>
      </c>
    </row>
    <row r="12053" spans="1:2" x14ac:dyDescent="0.25">
      <c r="A12053" t="s">
        <v>2193</v>
      </c>
      <c r="B12053" t="s">
        <v>1181</v>
      </c>
    </row>
    <row r="12054" spans="1:2" x14ac:dyDescent="0.25">
      <c r="A12054" t="s">
        <v>2193</v>
      </c>
      <c r="B12054" t="s">
        <v>1182</v>
      </c>
    </row>
    <row r="12055" spans="1:2" x14ac:dyDescent="0.25">
      <c r="A12055" t="s">
        <v>2193</v>
      </c>
      <c r="B12055" t="s">
        <v>1183</v>
      </c>
    </row>
    <row r="12056" spans="1:2" x14ac:dyDescent="0.25">
      <c r="A12056" t="s">
        <v>2193</v>
      </c>
      <c r="B12056" t="s">
        <v>1184</v>
      </c>
    </row>
    <row r="12057" spans="1:2" x14ac:dyDescent="0.25">
      <c r="A12057" t="s">
        <v>2193</v>
      </c>
      <c r="B12057" t="s">
        <v>1185</v>
      </c>
    </row>
    <row r="12058" spans="1:2" x14ac:dyDescent="0.25">
      <c r="A12058" t="s">
        <v>2193</v>
      </c>
      <c r="B12058" t="s">
        <v>1186</v>
      </c>
    </row>
    <row r="12059" spans="1:2" x14ac:dyDescent="0.25">
      <c r="A12059" t="s">
        <v>2193</v>
      </c>
      <c r="B12059" t="s">
        <v>1187</v>
      </c>
    </row>
    <row r="12060" spans="1:2" x14ac:dyDescent="0.25">
      <c r="A12060" t="s">
        <v>2193</v>
      </c>
      <c r="B12060" t="s">
        <v>1188</v>
      </c>
    </row>
    <row r="12061" spans="1:2" x14ac:dyDescent="0.25">
      <c r="A12061" t="s">
        <v>2193</v>
      </c>
      <c r="B12061" t="s">
        <v>1189</v>
      </c>
    </row>
    <row r="12062" spans="1:2" x14ac:dyDescent="0.25">
      <c r="A12062" t="s">
        <v>2193</v>
      </c>
      <c r="B12062" t="s">
        <v>1190</v>
      </c>
    </row>
    <row r="12063" spans="1:2" x14ac:dyDescent="0.25">
      <c r="A12063" t="s">
        <v>2193</v>
      </c>
      <c r="B12063" t="s">
        <v>1191</v>
      </c>
    </row>
    <row r="12064" spans="1:2" x14ac:dyDescent="0.25">
      <c r="A12064" t="s">
        <v>2193</v>
      </c>
      <c r="B12064" t="s">
        <v>1192</v>
      </c>
    </row>
    <row r="12065" spans="1:2" x14ac:dyDescent="0.25">
      <c r="A12065" t="s">
        <v>2193</v>
      </c>
      <c r="B12065" t="s">
        <v>1193</v>
      </c>
    </row>
    <row r="12066" spans="1:2" x14ac:dyDescent="0.25">
      <c r="A12066" t="s">
        <v>2193</v>
      </c>
      <c r="B12066" t="s">
        <v>1194</v>
      </c>
    </row>
    <row r="12067" spans="1:2" x14ac:dyDescent="0.25">
      <c r="A12067" t="s">
        <v>2193</v>
      </c>
      <c r="B12067" t="s">
        <v>1195</v>
      </c>
    </row>
    <row r="12068" spans="1:2" x14ac:dyDescent="0.25">
      <c r="A12068" t="s">
        <v>2193</v>
      </c>
      <c r="B12068" t="s">
        <v>1196</v>
      </c>
    </row>
    <row r="12069" spans="1:2" x14ac:dyDescent="0.25">
      <c r="A12069" t="s">
        <v>2193</v>
      </c>
      <c r="B12069" t="s">
        <v>1197</v>
      </c>
    </row>
    <row r="12070" spans="1:2" x14ac:dyDescent="0.25">
      <c r="A12070" t="s">
        <v>2193</v>
      </c>
      <c r="B12070" t="s">
        <v>1198</v>
      </c>
    </row>
    <row r="12071" spans="1:2" x14ac:dyDescent="0.25">
      <c r="A12071" t="s">
        <v>2266</v>
      </c>
      <c r="B12071" t="s">
        <v>1187</v>
      </c>
    </row>
    <row r="12072" spans="1:2" x14ac:dyDescent="0.25">
      <c r="A12072" t="s">
        <v>2266</v>
      </c>
      <c r="B12072" t="s">
        <v>1188</v>
      </c>
    </row>
    <row r="12073" spans="1:2" x14ac:dyDescent="0.25">
      <c r="A12073" t="s">
        <v>2266</v>
      </c>
      <c r="B12073" t="s">
        <v>1195</v>
      </c>
    </row>
    <row r="12074" spans="1:2" x14ac:dyDescent="0.25">
      <c r="A12074" t="s">
        <v>2266</v>
      </c>
      <c r="B12074" t="s">
        <v>1196</v>
      </c>
    </row>
    <row r="12075" spans="1:2" x14ac:dyDescent="0.25">
      <c r="A12075" t="s">
        <v>1978</v>
      </c>
      <c r="B12075" t="s">
        <v>1128</v>
      </c>
    </row>
    <row r="12076" spans="1:2" x14ac:dyDescent="0.25">
      <c r="A12076" t="s">
        <v>1978</v>
      </c>
      <c r="B12076" t="s">
        <v>1129</v>
      </c>
    </row>
    <row r="12077" spans="1:2" x14ac:dyDescent="0.25">
      <c r="A12077" t="s">
        <v>1978</v>
      </c>
      <c r="B12077" t="s">
        <v>1134</v>
      </c>
    </row>
    <row r="12078" spans="1:2" x14ac:dyDescent="0.25">
      <c r="A12078" t="s">
        <v>1978</v>
      </c>
      <c r="B12078" t="s">
        <v>1135</v>
      </c>
    </row>
    <row r="12079" spans="1:2" x14ac:dyDescent="0.25">
      <c r="A12079" t="s">
        <v>1978</v>
      </c>
      <c r="B12079" t="s">
        <v>1136</v>
      </c>
    </row>
    <row r="12080" spans="1:2" x14ac:dyDescent="0.25">
      <c r="A12080" t="s">
        <v>1978</v>
      </c>
      <c r="B12080" t="s">
        <v>1137</v>
      </c>
    </row>
    <row r="12081" spans="1:2" x14ac:dyDescent="0.25">
      <c r="A12081" t="s">
        <v>1978</v>
      </c>
      <c r="B12081" t="s">
        <v>1138</v>
      </c>
    </row>
    <row r="12082" spans="1:2" x14ac:dyDescent="0.25">
      <c r="A12082" t="s">
        <v>1978</v>
      </c>
      <c r="B12082" t="s">
        <v>1139</v>
      </c>
    </row>
    <row r="12083" spans="1:2" x14ac:dyDescent="0.25">
      <c r="A12083" t="s">
        <v>1978</v>
      </c>
      <c r="B12083" t="s">
        <v>1140</v>
      </c>
    </row>
    <row r="12084" spans="1:2" x14ac:dyDescent="0.25">
      <c r="A12084" t="s">
        <v>1978</v>
      </c>
      <c r="B12084" t="s">
        <v>1141</v>
      </c>
    </row>
    <row r="12085" spans="1:2" x14ac:dyDescent="0.25">
      <c r="A12085" t="s">
        <v>1978</v>
      </c>
      <c r="B12085" t="s">
        <v>1142</v>
      </c>
    </row>
    <row r="12086" spans="1:2" x14ac:dyDescent="0.25">
      <c r="A12086" t="s">
        <v>1978</v>
      </c>
      <c r="B12086" t="s">
        <v>1143</v>
      </c>
    </row>
    <row r="12087" spans="1:2" x14ac:dyDescent="0.25">
      <c r="A12087" t="s">
        <v>1978</v>
      </c>
      <c r="B12087" t="s">
        <v>1144</v>
      </c>
    </row>
    <row r="12088" spans="1:2" x14ac:dyDescent="0.25">
      <c r="A12088" t="s">
        <v>1978</v>
      </c>
      <c r="B12088" t="s">
        <v>1145</v>
      </c>
    </row>
    <row r="12089" spans="1:2" x14ac:dyDescent="0.25">
      <c r="A12089" t="s">
        <v>1978</v>
      </c>
      <c r="B12089" t="s">
        <v>1146</v>
      </c>
    </row>
    <row r="12090" spans="1:2" x14ac:dyDescent="0.25">
      <c r="A12090" t="s">
        <v>1978</v>
      </c>
      <c r="B12090" t="s">
        <v>1147</v>
      </c>
    </row>
    <row r="12091" spans="1:2" x14ac:dyDescent="0.25">
      <c r="A12091" t="s">
        <v>1978</v>
      </c>
      <c r="B12091" t="s">
        <v>1148</v>
      </c>
    </row>
    <row r="12092" spans="1:2" x14ac:dyDescent="0.25">
      <c r="A12092" t="s">
        <v>1978</v>
      </c>
      <c r="B12092" t="s">
        <v>1149</v>
      </c>
    </row>
    <row r="12093" spans="1:2" x14ac:dyDescent="0.25">
      <c r="A12093" t="s">
        <v>1978</v>
      </c>
      <c r="B12093" t="s">
        <v>1150</v>
      </c>
    </row>
    <row r="12094" spans="1:2" x14ac:dyDescent="0.25">
      <c r="A12094" t="s">
        <v>1978</v>
      </c>
      <c r="B12094" t="s">
        <v>1151</v>
      </c>
    </row>
    <row r="12095" spans="1:2" x14ac:dyDescent="0.25">
      <c r="A12095" t="s">
        <v>1978</v>
      </c>
      <c r="B12095" t="s">
        <v>1152</v>
      </c>
    </row>
    <row r="12096" spans="1:2" x14ac:dyDescent="0.25">
      <c r="A12096" t="s">
        <v>1978</v>
      </c>
      <c r="B12096" t="s">
        <v>1153</v>
      </c>
    </row>
    <row r="12097" spans="1:2" x14ac:dyDescent="0.25">
      <c r="A12097" t="s">
        <v>2067</v>
      </c>
      <c r="B12097" t="s">
        <v>1139</v>
      </c>
    </row>
    <row r="12098" spans="1:2" x14ac:dyDescent="0.25">
      <c r="A12098" t="s">
        <v>2067</v>
      </c>
      <c r="B12098" t="s">
        <v>1140</v>
      </c>
    </row>
    <row r="12099" spans="1:2" x14ac:dyDescent="0.25">
      <c r="A12099" t="s">
        <v>2067</v>
      </c>
      <c r="B12099" t="s">
        <v>1141</v>
      </c>
    </row>
    <row r="12100" spans="1:2" x14ac:dyDescent="0.25">
      <c r="A12100" t="s">
        <v>2067</v>
      </c>
      <c r="B12100" t="s">
        <v>1142</v>
      </c>
    </row>
    <row r="12101" spans="1:2" x14ac:dyDescent="0.25">
      <c r="A12101" t="s">
        <v>2067</v>
      </c>
      <c r="B12101" t="s">
        <v>1148</v>
      </c>
    </row>
    <row r="12102" spans="1:2" x14ac:dyDescent="0.25">
      <c r="A12102" t="s">
        <v>2067</v>
      </c>
      <c r="B12102" t="s">
        <v>1149</v>
      </c>
    </row>
    <row r="12103" spans="1:2" x14ac:dyDescent="0.25">
      <c r="A12103" t="s">
        <v>2067</v>
      </c>
      <c r="B12103" t="s">
        <v>1150</v>
      </c>
    </row>
    <row r="12104" spans="1:2" x14ac:dyDescent="0.25">
      <c r="A12104" t="s">
        <v>2067</v>
      </c>
      <c r="B12104" t="s">
        <v>1151</v>
      </c>
    </row>
    <row r="12105" spans="1:2" x14ac:dyDescent="0.25">
      <c r="A12105" t="s">
        <v>2068</v>
      </c>
      <c r="B12105" t="s">
        <v>1139</v>
      </c>
    </row>
    <row r="12106" spans="1:2" x14ac:dyDescent="0.25">
      <c r="A12106" t="s">
        <v>2068</v>
      </c>
      <c r="B12106" t="s">
        <v>1140</v>
      </c>
    </row>
    <row r="12107" spans="1:2" x14ac:dyDescent="0.25">
      <c r="A12107" t="s">
        <v>2068</v>
      </c>
      <c r="B12107" t="s">
        <v>1141</v>
      </c>
    </row>
    <row r="12108" spans="1:2" x14ac:dyDescent="0.25">
      <c r="A12108" t="s">
        <v>2068</v>
      </c>
      <c r="B12108" t="s">
        <v>1142</v>
      </c>
    </row>
    <row r="12109" spans="1:2" x14ac:dyDescent="0.25">
      <c r="A12109" t="s">
        <v>2068</v>
      </c>
      <c r="B12109" t="s">
        <v>1148</v>
      </c>
    </row>
    <row r="12110" spans="1:2" x14ac:dyDescent="0.25">
      <c r="A12110" t="s">
        <v>2068</v>
      </c>
      <c r="B12110" t="s">
        <v>1149</v>
      </c>
    </row>
    <row r="12111" spans="1:2" x14ac:dyDescent="0.25">
      <c r="A12111" t="s">
        <v>2068</v>
      </c>
      <c r="B12111" t="s">
        <v>1150</v>
      </c>
    </row>
    <row r="12112" spans="1:2" x14ac:dyDescent="0.25">
      <c r="A12112" t="s">
        <v>2068</v>
      </c>
      <c r="B12112" t="s">
        <v>1151</v>
      </c>
    </row>
    <row r="12113" spans="1:2" x14ac:dyDescent="0.25">
      <c r="A12113" t="s">
        <v>2069</v>
      </c>
      <c r="B12113" t="s">
        <v>1139</v>
      </c>
    </row>
    <row r="12114" spans="1:2" x14ac:dyDescent="0.25">
      <c r="A12114" t="s">
        <v>2069</v>
      </c>
      <c r="B12114" t="s">
        <v>1140</v>
      </c>
    </row>
    <row r="12115" spans="1:2" x14ac:dyDescent="0.25">
      <c r="A12115" t="s">
        <v>2069</v>
      </c>
      <c r="B12115" t="s">
        <v>1141</v>
      </c>
    </row>
    <row r="12116" spans="1:2" x14ac:dyDescent="0.25">
      <c r="A12116" t="s">
        <v>2069</v>
      </c>
      <c r="B12116" t="s">
        <v>1142</v>
      </c>
    </row>
    <row r="12117" spans="1:2" x14ac:dyDescent="0.25">
      <c r="A12117" t="s">
        <v>2069</v>
      </c>
      <c r="B12117" t="s">
        <v>1148</v>
      </c>
    </row>
    <row r="12118" spans="1:2" x14ac:dyDescent="0.25">
      <c r="A12118" t="s">
        <v>2069</v>
      </c>
      <c r="B12118" t="s">
        <v>1149</v>
      </c>
    </row>
    <row r="12119" spans="1:2" x14ac:dyDescent="0.25">
      <c r="A12119" t="s">
        <v>2069</v>
      </c>
      <c r="B12119" t="s">
        <v>1150</v>
      </c>
    </row>
    <row r="12120" spans="1:2" x14ac:dyDescent="0.25">
      <c r="A12120" t="s">
        <v>2069</v>
      </c>
      <c r="B12120" t="s">
        <v>1151</v>
      </c>
    </row>
    <row r="12121" spans="1:2" x14ac:dyDescent="0.25">
      <c r="A12121" t="s">
        <v>2070</v>
      </c>
      <c r="B12121" t="s">
        <v>1139</v>
      </c>
    </row>
    <row r="12122" spans="1:2" x14ac:dyDescent="0.25">
      <c r="A12122" t="s">
        <v>2070</v>
      </c>
      <c r="B12122" t="s">
        <v>1140</v>
      </c>
    </row>
    <row r="12123" spans="1:2" x14ac:dyDescent="0.25">
      <c r="A12123" t="s">
        <v>2070</v>
      </c>
      <c r="B12123" t="s">
        <v>1141</v>
      </c>
    </row>
    <row r="12124" spans="1:2" x14ac:dyDescent="0.25">
      <c r="A12124" t="s">
        <v>2070</v>
      </c>
      <c r="B12124" t="s">
        <v>1142</v>
      </c>
    </row>
    <row r="12125" spans="1:2" x14ac:dyDescent="0.25">
      <c r="A12125" t="s">
        <v>2070</v>
      </c>
      <c r="B12125" t="s">
        <v>1148</v>
      </c>
    </row>
    <row r="12126" spans="1:2" x14ac:dyDescent="0.25">
      <c r="A12126" t="s">
        <v>2070</v>
      </c>
      <c r="B12126" t="s">
        <v>1149</v>
      </c>
    </row>
    <row r="12127" spans="1:2" x14ac:dyDescent="0.25">
      <c r="A12127" t="s">
        <v>2070</v>
      </c>
      <c r="B12127" t="s">
        <v>1150</v>
      </c>
    </row>
    <row r="12128" spans="1:2" x14ac:dyDescent="0.25">
      <c r="A12128" t="s">
        <v>2070</v>
      </c>
      <c r="B12128" t="s">
        <v>1151</v>
      </c>
    </row>
    <row r="12129" spans="1:2" x14ac:dyDescent="0.25">
      <c r="A12129" t="s">
        <v>1818</v>
      </c>
      <c r="B12129" t="s">
        <v>1108</v>
      </c>
    </row>
    <row r="12130" spans="1:2" x14ac:dyDescent="0.25">
      <c r="A12130" t="s">
        <v>1818</v>
      </c>
      <c r="B12130" t="s">
        <v>1139</v>
      </c>
    </row>
    <row r="12131" spans="1:2" x14ac:dyDescent="0.25">
      <c r="A12131" t="s">
        <v>1818</v>
      </c>
      <c r="B12131" t="s">
        <v>1140</v>
      </c>
    </row>
    <row r="12132" spans="1:2" x14ac:dyDescent="0.25">
      <c r="A12132" t="s">
        <v>1818</v>
      </c>
      <c r="B12132" t="s">
        <v>1140</v>
      </c>
    </row>
    <row r="12133" spans="1:2" x14ac:dyDescent="0.25">
      <c r="A12133" t="s">
        <v>1818</v>
      </c>
      <c r="B12133" t="s">
        <v>1141</v>
      </c>
    </row>
    <row r="12134" spans="1:2" x14ac:dyDescent="0.25">
      <c r="A12134" t="s">
        <v>1818</v>
      </c>
      <c r="B12134" t="s">
        <v>1141</v>
      </c>
    </row>
    <row r="12135" spans="1:2" x14ac:dyDescent="0.25">
      <c r="A12135" t="s">
        <v>1818</v>
      </c>
      <c r="B12135" t="s">
        <v>1142</v>
      </c>
    </row>
    <row r="12136" spans="1:2" x14ac:dyDescent="0.25">
      <c r="A12136" t="s">
        <v>1818</v>
      </c>
      <c r="B12136" t="s">
        <v>1142</v>
      </c>
    </row>
    <row r="12137" spans="1:2" x14ac:dyDescent="0.25">
      <c r="A12137" t="s">
        <v>1818</v>
      </c>
      <c r="B12137" t="s">
        <v>1148</v>
      </c>
    </row>
    <row r="12138" spans="1:2" x14ac:dyDescent="0.25">
      <c r="A12138" t="s">
        <v>1818</v>
      </c>
      <c r="B12138" t="s">
        <v>1149</v>
      </c>
    </row>
    <row r="12139" spans="1:2" x14ac:dyDescent="0.25">
      <c r="A12139" t="s">
        <v>1818</v>
      </c>
      <c r="B12139" t="s">
        <v>1150</v>
      </c>
    </row>
    <row r="12140" spans="1:2" x14ac:dyDescent="0.25">
      <c r="A12140" t="s">
        <v>1818</v>
      </c>
      <c r="B12140" t="s">
        <v>1150</v>
      </c>
    </row>
    <row r="12141" spans="1:2" x14ac:dyDescent="0.25">
      <c r="A12141" t="s">
        <v>1818</v>
      </c>
      <c r="B12141" t="s">
        <v>1151</v>
      </c>
    </row>
    <row r="12142" spans="1:2" x14ac:dyDescent="0.25">
      <c r="A12142" t="s">
        <v>1818</v>
      </c>
      <c r="B12142" t="s">
        <v>1155</v>
      </c>
    </row>
    <row r="12143" spans="1:2" x14ac:dyDescent="0.25">
      <c r="A12143" t="s">
        <v>1818</v>
      </c>
      <c r="B12143" t="s">
        <v>1157</v>
      </c>
    </row>
    <row r="12144" spans="1:2" x14ac:dyDescent="0.25">
      <c r="A12144" t="s">
        <v>1818</v>
      </c>
      <c r="B12144" t="s">
        <v>1158</v>
      </c>
    </row>
    <row r="12145" spans="1:2" x14ac:dyDescent="0.25">
      <c r="A12145" t="s">
        <v>1818</v>
      </c>
      <c r="B12145" t="s">
        <v>1160</v>
      </c>
    </row>
    <row r="12146" spans="1:2" x14ac:dyDescent="0.25">
      <c r="A12146" t="s">
        <v>1818</v>
      </c>
      <c r="B12146" t="s">
        <v>1174</v>
      </c>
    </row>
    <row r="12147" spans="1:2" x14ac:dyDescent="0.25">
      <c r="A12147" t="s">
        <v>1818</v>
      </c>
      <c r="B12147" t="s">
        <v>1175</v>
      </c>
    </row>
    <row r="12148" spans="1:2" x14ac:dyDescent="0.25">
      <c r="A12148" t="s">
        <v>1818</v>
      </c>
      <c r="B12148" t="s">
        <v>1176</v>
      </c>
    </row>
    <row r="12149" spans="1:2" x14ac:dyDescent="0.25">
      <c r="A12149" t="s">
        <v>1818</v>
      </c>
      <c r="B12149" t="s">
        <v>1177</v>
      </c>
    </row>
    <row r="12150" spans="1:2" x14ac:dyDescent="0.25">
      <c r="A12150" t="s">
        <v>1818</v>
      </c>
      <c r="B12150" t="s">
        <v>1178</v>
      </c>
    </row>
    <row r="12151" spans="1:2" x14ac:dyDescent="0.25">
      <c r="A12151" t="s">
        <v>1818</v>
      </c>
      <c r="B12151" t="s">
        <v>1179</v>
      </c>
    </row>
    <row r="12152" spans="1:2" x14ac:dyDescent="0.25">
      <c r="A12152" t="s">
        <v>1818</v>
      </c>
      <c r="B12152" t="s">
        <v>1184</v>
      </c>
    </row>
    <row r="12153" spans="1:2" x14ac:dyDescent="0.25">
      <c r="A12153" t="s">
        <v>1818</v>
      </c>
      <c r="B12153" t="s">
        <v>1199</v>
      </c>
    </row>
    <row r="12154" spans="1:2" x14ac:dyDescent="0.25">
      <c r="A12154" t="s">
        <v>1818</v>
      </c>
      <c r="B12154" t="s">
        <v>1200</v>
      </c>
    </row>
    <row r="12155" spans="1:2" x14ac:dyDescent="0.25">
      <c r="A12155" t="s">
        <v>1818</v>
      </c>
      <c r="B12155" t="s">
        <v>1201</v>
      </c>
    </row>
    <row r="12156" spans="1:2" x14ac:dyDescent="0.25">
      <c r="A12156" t="s">
        <v>1818</v>
      </c>
      <c r="B12156" t="s">
        <v>1202</v>
      </c>
    </row>
    <row r="12157" spans="1:2" x14ac:dyDescent="0.25">
      <c r="A12157" t="s">
        <v>1818</v>
      </c>
      <c r="B12157" t="s">
        <v>1203</v>
      </c>
    </row>
    <row r="12158" spans="1:2" x14ac:dyDescent="0.25">
      <c r="A12158" t="s">
        <v>1818</v>
      </c>
      <c r="B12158" t="s">
        <v>1204</v>
      </c>
    </row>
    <row r="12159" spans="1:2" x14ac:dyDescent="0.25">
      <c r="A12159" t="s">
        <v>1818</v>
      </c>
      <c r="B12159" t="s">
        <v>1205</v>
      </c>
    </row>
    <row r="12160" spans="1:2" x14ac:dyDescent="0.25">
      <c r="A12160" t="s">
        <v>1818</v>
      </c>
      <c r="B12160" t="s">
        <v>1206</v>
      </c>
    </row>
    <row r="12161" spans="1:2" x14ac:dyDescent="0.25">
      <c r="A12161" t="s">
        <v>1818</v>
      </c>
      <c r="B12161" t="s">
        <v>1206</v>
      </c>
    </row>
    <row r="12162" spans="1:2" x14ac:dyDescent="0.25">
      <c r="A12162" t="s">
        <v>1818</v>
      </c>
      <c r="B12162" t="s">
        <v>1207</v>
      </c>
    </row>
    <row r="12163" spans="1:2" x14ac:dyDescent="0.25">
      <c r="A12163" t="s">
        <v>1818</v>
      </c>
      <c r="B12163" t="s">
        <v>1207</v>
      </c>
    </row>
    <row r="12164" spans="1:2" x14ac:dyDescent="0.25">
      <c r="A12164" t="s">
        <v>1818</v>
      </c>
      <c r="B12164" t="s">
        <v>1208</v>
      </c>
    </row>
    <row r="12165" spans="1:2" x14ac:dyDescent="0.25">
      <c r="A12165" t="s">
        <v>1818</v>
      </c>
      <c r="B12165" t="s">
        <v>1226</v>
      </c>
    </row>
    <row r="12166" spans="1:2" x14ac:dyDescent="0.25">
      <c r="A12166" t="s">
        <v>1818</v>
      </c>
      <c r="B12166" t="s">
        <v>1227</v>
      </c>
    </row>
    <row r="12167" spans="1:2" x14ac:dyDescent="0.25">
      <c r="A12167" t="s">
        <v>1818</v>
      </c>
      <c r="B12167" t="s">
        <v>1228</v>
      </c>
    </row>
    <row r="12168" spans="1:2" x14ac:dyDescent="0.25">
      <c r="A12168" t="s">
        <v>1818</v>
      </c>
      <c r="B12168" t="s">
        <v>1229</v>
      </c>
    </row>
    <row r="12169" spans="1:2" x14ac:dyDescent="0.25">
      <c r="A12169" t="s">
        <v>1818</v>
      </c>
      <c r="B12169" t="s">
        <v>1230</v>
      </c>
    </row>
    <row r="12170" spans="1:2" x14ac:dyDescent="0.25">
      <c r="A12170" t="s">
        <v>1818</v>
      </c>
      <c r="B12170" t="s">
        <v>1231</v>
      </c>
    </row>
    <row r="12171" spans="1:2" x14ac:dyDescent="0.25">
      <c r="A12171" t="s">
        <v>1818</v>
      </c>
      <c r="B12171" t="s">
        <v>1232</v>
      </c>
    </row>
    <row r="12172" spans="1:2" x14ac:dyDescent="0.25">
      <c r="A12172" t="s">
        <v>1818</v>
      </c>
      <c r="B12172" t="s">
        <v>1233</v>
      </c>
    </row>
    <row r="12173" spans="1:2" x14ac:dyDescent="0.25">
      <c r="A12173" t="s">
        <v>1818</v>
      </c>
      <c r="B12173" t="s">
        <v>1233</v>
      </c>
    </row>
    <row r="12174" spans="1:2" x14ac:dyDescent="0.25">
      <c r="A12174" t="s">
        <v>1818</v>
      </c>
      <c r="B12174" t="s">
        <v>1234</v>
      </c>
    </row>
    <row r="12175" spans="1:2" x14ac:dyDescent="0.25">
      <c r="A12175" t="s">
        <v>1818</v>
      </c>
      <c r="B12175" t="s">
        <v>1235</v>
      </c>
    </row>
    <row r="12176" spans="1:2" x14ac:dyDescent="0.25">
      <c r="A12176" t="s">
        <v>1818</v>
      </c>
      <c r="B12176" t="s">
        <v>1236</v>
      </c>
    </row>
    <row r="12177" spans="1:2" x14ac:dyDescent="0.25">
      <c r="A12177" t="s">
        <v>1818</v>
      </c>
      <c r="B12177" t="s">
        <v>1237</v>
      </c>
    </row>
    <row r="12178" spans="1:2" x14ac:dyDescent="0.25">
      <c r="A12178" t="s">
        <v>1818</v>
      </c>
      <c r="B12178" t="s">
        <v>1238</v>
      </c>
    </row>
    <row r="12179" spans="1:2" x14ac:dyDescent="0.25">
      <c r="A12179" t="s">
        <v>1818</v>
      </c>
      <c r="B12179" t="s">
        <v>1239</v>
      </c>
    </row>
    <row r="12180" spans="1:2" x14ac:dyDescent="0.25">
      <c r="A12180" t="s">
        <v>1818</v>
      </c>
      <c r="B12180" t="s">
        <v>1240</v>
      </c>
    </row>
    <row r="12181" spans="1:2" x14ac:dyDescent="0.25">
      <c r="A12181" t="s">
        <v>1818</v>
      </c>
      <c r="B12181" t="s">
        <v>1241</v>
      </c>
    </row>
    <row r="12182" spans="1:2" x14ac:dyDescent="0.25">
      <c r="A12182" t="s">
        <v>1818</v>
      </c>
      <c r="B12182" t="s">
        <v>1242</v>
      </c>
    </row>
    <row r="12183" spans="1:2" x14ac:dyDescent="0.25">
      <c r="A12183" t="s">
        <v>1818</v>
      </c>
      <c r="B12183" t="s">
        <v>1243</v>
      </c>
    </row>
    <row r="12184" spans="1:2" x14ac:dyDescent="0.25">
      <c r="A12184" t="s">
        <v>1818</v>
      </c>
      <c r="B12184" t="s">
        <v>1244</v>
      </c>
    </row>
    <row r="12185" spans="1:2" x14ac:dyDescent="0.25">
      <c r="A12185" t="s">
        <v>1818</v>
      </c>
      <c r="B12185" t="s">
        <v>1245</v>
      </c>
    </row>
    <row r="12186" spans="1:2" x14ac:dyDescent="0.25">
      <c r="A12186" t="s">
        <v>1818</v>
      </c>
      <c r="B12186" t="s">
        <v>1246</v>
      </c>
    </row>
    <row r="12187" spans="1:2" x14ac:dyDescent="0.25">
      <c r="A12187" t="s">
        <v>1818</v>
      </c>
      <c r="B12187" t="s">
        <v>1247</v>
      </c>
    </row>
    <row r="12188" spans="1:2" x14ac:dyDescent="0.25">
      <c r="A12188" t="s">
        <v>1818</v>
      </c>
      <c r="B12188" t="s">
        <v>1248</v>
      </c>
    </row>
    <row r="12189" spans="1:2" x14ac:dyDescent="0.25">
      <c r="A12189" t="s">
        <v>1818</v>
      </c>
      <c r="B12189" t="s">
        <v>1249</v>
      </c>
    </row>
    <row r="12190" spans="1:2" x14ac:dyDescent="0.25">
      <c r="A12190" t="s">
        <v>1818</v>
      </c>
      <c r="B12190" t="s">
        <v>1250</v>
      </c>
    </row>
    <row r="12191" spans="1:2" x14ac:dyDescent="0.25">
      <c r="A12191" t="s">
        <v>1979</v>
      </c>
      <c r="B12191" t="s">
        <v>1128</v>
      </c>
    </row>
    <row r="12192" spans="1:2" x14ac:dyDescent="0.25">
      <c r="A12192" t="s">
        <v>1979</v>
      </c>
      <c r="B12192" t="s">
        <v>1129</v>
      </c>
    </row>
    <row r="12193" spans="1:2" x14ac:dyDescent="0.25">
      <c r="A12193" t="s">
        <v>1979</v>
      </c>
      <c r="B12193" t="s">
        <v>1134</v>
      </c>
    </row>
    <row r="12194" spans="1:2" x14ac:dyDescent="0.25">
      <c r="A12194" t="s">
        <v>1979</v>
      </c>
      <c r="B12194" t="s">
        <v>1135</v>
      </c>
    </row>
    <row r="12195" spans="1:2" x14ac:dyDescent="0.25">
      <c r="A12195" t="s">
        <v>1979</v>
      </c>
      <c r="B12195" t="s">
        <v>1136</v>
      </c>
    </row>
    <row r="12196" spans="1:2" x14ac:dyDescent="0.25">
      <c r="A12196" t="s">
        <v>1979</v>
      </c>
      <c r="B12196" t="s">
        <v>1137</v>
      </c>
    </row>
    <row r="12197" spans="1:2" x14ac:dyDescent="0.25">
      <c r="A12197" t="s">
        <v>1979</v>
      </c>
      <c r="B12197" t="s">
        <v>1138</v>
      </c>
    </row>
    <row r="12198" spans="1:2" x14ac:dyDescent="0.25">
      <c r="A12198" t="s">
        <v>1979</v>
      </c>
      <c r="B12198" t="s">
        <v>1139</v>
      </c>
    </row>
    <row r="12199" spans="1:2" x14ac:dyDescent="0.25">
      <c r="A12199" t="s">
        <v>1979</v>
      </c>
      <c r="B12199" t="s">
        <v>1140</v>
      </c>
    </row>
    <row r="12200" spans="1:2" x14ac:dyDescent="0.25">
      <c r="A12200" t="s">
        <v>1979</v>
      </c>
      <c r="B12200" t="s">
        <v>1141</v>
      </c>
    </row>
    <row r="12201" spans="1:2" x14ac:dyDescent="0.25">
      <c r="A12201" t="s">
        <v>1979</v>
      </c>
      <c r="B12201" t="s">
        <v>1142</v>
      </c>
    </row>
    <row r="12202" spans="1:2" x14ac:dyDescent="0.25">
      <c r="A12202" t="s">
        <v>1979</v>
      </c>
      <c r="B12202" t="s">
        <v>1143</v>
      </c>
    </row>
    <row r="12203" spans="1:2" x14ac:dyDescent="0.25">
      <c r="A12203" t="s">
        <v>1979</v>
      </c>
      <c r="B12203" t="s">
        <v>1144</v>
      </c>
    </row>
    <row r="12204" spans="1:2" x14ac:dyDescent="0.25">
      <c r="A12204" t="s">
        <v>1979</v>
      </c>
      <c r="B12204" t="s">
        <v>1145</v>
      </c>
    </row>
    <row r="12205" spans="1:2" x14ac:dyDescent="0.25">
      <c r="A12205" t="s">
        <v>1979</v>
      </c>
      <c r="B12205" t="s">
        <v>1146</v>
      </c>
    </row>
    <row r="12206" spans="1:2" x14ac:dyDescent="0.25">
      <c r="A12206" t="s">
        <v>1979</v>
      </c>
      <c r="B12206" t="s">
        <v>1147</v>
      </c>
    </row>
    <row r="12207" spans="1:2" x14ac:dyDescent="0.25">
      <c r="A12207" t="s">
        <v>1979</v>
      </c>
      <c r="B12207" t="s">
        <v>1148</v>
      </c>
    </row>
    <row r="12208" spans="1:2" x14ac:dyDescent="0.25">
      <c r="A12208" t="s">
        <v>1979</v>
      </c>
      <c r="B12208" t="s">
        <v>1149</v>
      </c>
    </row>
    <row r="12209" spans="1:2" x14ac:dyDescent="0.25">
      <c r="A12209" t="s">
        <v>1979</v>
      </c>
      <c r="B12209" t="s">
        <v>1150</v>
      </c>
    </row>
    <row r="12210" spans="1:2" x14ac:dyDescent="0.25">
      <c r="A12210" t="s">
        <v>1979</v>
      </c>
      <c r="B12210" t="s">
        <v>1151</v>
      </c>
    </row>
    <row r="12211" spans="1:2" x14ac:dyDescent="0.25">
      <c r="A12211" t="s">
        <v>1979</v>
      </c>
      <c r="B12211" t="s">
        <v>1152</v>
      </c>
    </row>
    <row r="12212" spans="1:2" x14ac:dyDescent="0.25">
      <c r="A12212" t="s">
        <v>1979</v>
      </c>
      <c r="B12212" t="s">
        <v>1153</v>
      </c>
    </row>
    <row r="12213" spans="1:2" x14ac:dyDescent="0.25">
      <c r="A12213" t="s">
        <v>1980</v>
      </c>
      <c r="B12213" t="s">
        <v>1128</v>
      </c>
    </row>
    <row r="12214" spans="1:2" x14ac:dyDescent="0.25">
      <c r="A12214" t="s">
        <v>1980</v>
      </c>
      <c r="B12214" t="s">
        <v>1129</v>
      </c>
    </row>
    <row r="12215" spans="1:2" x14ac:dyDescent="0.25">
      <c r="A12215" t="s">
        <v>1980</v>
      </c>
      <c r="B12215" t="s">
        <v>1134</v>
      </c>
    </row>
    <row r="12216" spans="1:2" x14ac:dyDescent="0.25">
      <c r="A12216" t="s">
        <v>1980</v>
      </c>
      <c r="B12216" t="s">
        <v>1135</v>
      </c>
    </row>
    <row r="12217" spans="1:2" x14ac:dyDescent="0.25">
      <c r="A12217" t="s">
        <v>1980</v>
      </c>
      <c r="B12217" t="s">
        <v>1136</v>
      </c>
    </row>
    <row r="12218" spans="1:2" x14ac:dyDescent="0.25">
      <c r="A12218" t="s">
        <v>1980</v>
      </c>
      <c r="B12218" t="s">
        <v>1137</v>
      </c>
    </row>
    <row r="12219" spans="1:2" x14ac:dyDescent="0.25">
      <c r="A12219" t="s">
        <v>1980</v>
      </c>
      <c r="B12219" t="s">
        <v>1138</v>
      </c>
    </row>
    <row r="12220" spans="1:2" x14ac:dyDescent="0.25">
      <c r="A12220" t="s">
        <v>1980</v>
      </c>
      <c r="B12220" t="s">
        <v>1139</v>
      </c>
    </row>
    <row r="12221" spans="1:2" x14ac:dyDescent="0.25">
      <c r="A12221" t="s">
        <v>1980</v>
      </c>
      <c r="B12221" t="s">
        <v>1140</v>
      </c>
    </row>
    <row r="12222" spans="1:2" x14ac:dyDescent="0.25">
      <c r="A12222" t="s">
        <v>1980</v>
      </c>
      <c r="B12222" t="s">
        <v>1141</v>
      </c>
    </row>
    <row r="12223" spans="1:2" x14ac:dyDescent="0.25">
      <c r="A12223" t="s">
        <v>1980</v>
      </c>
      <c r="B12223" t="s">
        <v>1142</v>
      </c>
    </row>
    <row r="12224" spans="1:2" x14ac:dyDescent="0.25">
      <c r="A12224" t="s">
        <v>1980</v>
      </c>
      <c r="B12224" t="s">
        <v>1143</v>
      </c>
    </row>
    <row r="12225" spans="1:2" x14ac:dyDescent="0.25">
      <c r="A12225" t="s">
        <v>1980</v>
      </c>
      <c r="B12225" t="s">
        <v>1144</v>
      </c>
    </row>
    <row r="12226" spans="1:2" x14ac:dyDescent="0.25">
      <c r="A12226" t="s">
        <v>1980</v>
      </c>
      <c r="B12226" t="s">
        <v>1145</v>
      </c>
    </row>
    <row r="12227" spans="1:2" x14ac:dyDescent="0.25">
      <c r="A12227" t="s">
        <v>1980</v>
      </c>
      <c r="B12227" t="s">
        <v>1146</v>
      </c>
    </row>
    <row r="12228" spans="1:2" x14ac:dyDescent="0.25">
      <c r="A12228" t="s">
        <v>1980</v>
      </c>
      <c r="B12228" t="s">
        <v>1147</v>
      </c>
    </row>
    <row r="12229" spans="1:2" x14ac:dyDescent="0.25">
      <c r="A12229" t="s">
        <v>1980</v>
      </c>
      <c r="B12229" t="s">
        <v>1148</v>
      </c>
    </row>
    <row r="12230" spans="1:2" x14ac:dyDescent="0.25">
      <c r="A12230" t="s">
        <v>1980</v>
      </c>
      <c r="B12230" t="s">
        <v>1149</v>
      </c>
    </row>
    <row r="12231" spans="1:2" x14ac:dyDescent="0.25">
      <c r="A12231" t="s">
        <v>1980</v>
      </c>
      <c r="B12231" t="s">
        <v>1150</v>
      </c>
    </row>
    <row r="12232" spans="1:2" x14ac:dyDescent="0.25">
      <c r="A12232" t="s">
        <v>1980</v>
      </c>
      <c r="B12232" t="s">
        <v>1151</v>
      </c>
    </row>
    <row r="12233" spans="1:2" x14ac:dyDescent="0.25">
      <c r="A12233" t="s">
        <v>1980</v>
      </c>
      <c r="B12233" t="s">
        <v>1152</v>
      </c>
    </row>
    <row r="12234" spans="1:2" x14ac:dyDescent="0.25">
      <c r="A12234" t="s">
        <v>1980</v>
      </c>
      <c r="B12234" t="s">
        <v>1153</v>
      </c>
    </row>
    <row r="12235" spans="1:2" x14ac:dyDescent="0.25">
      <c r="A12235" t="s">
        <v>1981</v>
      </c>
      <c r="B12235" t="s">
        <v>1128</v>
      </c>
    </row>
    <row r="12236" spans="1:2" x14ac:dyDescent="0.25">
      <c r="A12236" t="s">
        <v>1981</v>
      </c>
      <c r="B12236" t="s">
        <v>1129</v>
      </c>
    </row>
    <row r="12237" spans="1:2" x14ac:dyDescent="0.25">
      <c r="A12237" t="s">
        <v>1981</v>
      </c>
      <c r="B12237" t="s">
        <v>1134</v>
      </c>
    </row>
    <row r="12238" spans="1:2" x14ac:dyDescent="0.25">
      <c r="A12238" t="s">
        <v>1981</v>
      </c>
      <c r="B12238" t="s">
        <v>1135</v>
      </c>
    </row>
    <row r="12239" spans="1:2" x14ac:dyDescent="0.25">
      <c r="A12239" t="s">
        <v>1981</v>
      </c>
      <c r="B12239" t="s">
        <v>1136</v>
      </c>
    </row>
    <row r="12240" spans="1:2" x14ac:dyDescent="0.25">
      <c r="A12240" t="s">
        <v>1981</v>
      </c>
      <c r="B12240" t="s">
        <v>1137</v>
      </c>
    </row>
    <row r="12241" spans="1:2" x14ac:dyDescent="0.25">
      <c r="A12241" t="s">
        <v>1981</v>
      </c>
      <c r="B12241" t="s">
        <v>1138</v>
      </c>
    </row>
    <row r="12242" spans="1:2" x14ac:dyDescent="0.25">
      <c r="A12242" t="s">
        <v>1981</v>
      </c>
      <c r="B12242" t="s">
        <v>1139</v>
      </c>
    </row>
    <row r="12243" spans="1:2" x14ac:dyDescent="0.25">
      <c r="A12243" t="s">
        <v>1981</v>
      </c>
      <c r="B12243" t="s">
        <v>1140</v>
      </c>
    </row>
    <row r="12244" spans="1:2" x14ac:dyDescent="0.25">
      <c r="A12244" t="s">
        <v>1981</v>
      </c>
      <c r="B12244" t="s">
        <v>1141</v>
      </c>
    </row>
    <row r="12245" spans="1:2" x14ac:dyDescent="0.25">
      <c r="A12245" t="s">
        <v>1981</v>
      </c>
      <c r="B12245" t="s">
        <v>1142</v>
      </c>
    </row>
    <row r="12246" spans="1:2" x14ac:dyDescent="0.25">
      <c r="A12246" t="s">
        <v>1981</v>
      </c>
      <c r="B12246" t="s">
        <v>1143</v>
      </c>
    </row>
    <row r="12247" spans="1:2" x14ac:dyDescent="0.25">
      <c r="A12247" t="s">
        <v>1981</v>
      </c>
      <c r="B12247" t="s">
        <v>1144</v>
      </c>
    </row>
    <row r="12248" spans="1:2" x14ac:dyDescent="0.25">
      <c r="A12248" t="s">
        <v>1981</v>
      </c>
      <c r="B12248" t="s">
        <v>1145</v>
      </c>
    </row>
    <row r="12249" spans="1:2" x14ac:dyDescent="0.25">
      <c r="A12249" t="s">
        <v>1981</v>
      </c>
      <c r="B12249" t="s">
        <v>1146</v>
      </c>
    </row>
    <row r="12250" spans="1:2" x14ac:dyDescent="0.25">
      <c r="A12250" t="s">
        <v>1981</v>
      </c>
      <c r="B12250" t="s">
        <v>1147</v>
      </c>
    </row>
    <row r="12251" spans="1:2" x14ac:dyDescent="0.25">
      <c r="A12251" t="s">
        <v>1981</v>
      </c>
      <c r="B12251" t="s">
        <v>1148</v>
      </c>
    </row>
    <row r="12252" spans="1:2" x14ac:dyDescent="0.25">
      <c r="A12252" t="s">
        <v>1981</v>
      </c>
      <c r="B12252" t="s">
        <v>1149</v>
      </c>
    </row>
    <row r="12253" spans="1:2" x14ac:dyDescent="0.25">
      <c r="A12253" t="s">
        <v>1981</v>
      </c>
      <c r="B12253" t="s">
        <v>1150</v>
      </c>
    </row>
    <row r="12254" spans="1:2" x14ac:dyDescent="0.25">
      <c r="A12254" t="s">
        <v>1981</v>
      </c>
      <c r="B12254" t="s">
        <v>1151</v>
      </c>
    </row>
    <row r="12255" spans="1:2" x14ac:dyDescent="0.25">
      <c r="A12255" t="s">
        <v>1981</v>
      </c>
      <c r="B12255" t="s">
        <v>1152</v>
      </c>
    </row>
    <row r="12256" spans="1:2" x14ac:dyDescent="0.25">
      <c r="A12256" t="s">
        <v>1981</v>
      </c>
      <c r="B12256" t="s">
        <v>1153</v>
      </c>
    </row>
    <row r="12257" spans="1:2" x14ac:dyDescent="0.25">
      <c r="A12257" t="s">
        <v>1986</v>
      </c>
      <c r="B12257" t="s">
        <v>1129</v>
      </c>
    </row>
    <row r="12258" spans="1:2" x14ac:dyDescent="0.25">
      <c r="A12258" t="s">
        <v>1986</v>
      </c>
      <c r="B12258" t="s">
        <v>1139</v>
      </c>
    </row>
    <row r="12259" spans="1:2" x14ac:dyDescent="0.25">
      <c r="A12259" t="s">
        <v>1986</v>
      </c>
      <c r="B12259" t="s">
        <v>1140</v>
      </c>
    </row>
    <row r="12260" spans="1:2" x14ac:dyDescent="0.25">
      <c r="A12260" t="s">
        <v>1986</v>
      </c>
      <c r="B12260" t="s">
        <v>1141</v>
      </c>
    </row>
    <row r="12261" spans="1:2" x14ac:dyDescent="0.25">
      <c r="A12261" t="s">
        <v>1986</v>
      </c>
      <c r="B12261" t="s">
        <v>1142</v>
      </c>
    </row>
    <row r="12262" spans="1:2" x14ac:dyDescent="0.25">
      <c r="A12262" t="s">
        <v>1986</v>
      </c>
      <c r="B12262" t="s">
        <v>1143</v>
      </c>
    </row>
    <row r="12263" spans="1:2" x14ac:dyDescent="0.25">
      <c r="A12263" t="s">
        <v>1986</v>
      </c>
      <c r="B12263" t="s">
        <v>1144</v>
      </c>
    </row>
    <row r="12264" spans="1:2" x14ac:dyDescent="0.25">
      <c r="A12264" t="s">
        <v>1986</v>
      </c>
      <c r="B12264" t="s">
        <v>1145</v>
      </c>
    </row>
    <row r="12265" spans="1:2" x14ac:dyDescent="0.25">
      <c r="A12265" t="s">
        <v>1986</v>
      </c>
      <c r="B12265" t="s">
        <v>1146</v>
      </c>
    </row>
    <row r="12266" spans="1:2" x14ac:dyDescent="0.25">
      <c r="A12266" t="s">
        <v>1986</v>
      </c>
      <c r="B12266" t="s">
        <v>1147</v>
      </c>
    </row>
    <row r="12267" spans="1:2" x14ac:dyDescent="0.25">
      <c r="A12267" t="s">
        <v>1986</v>
      </c>
      <c r="B12267" t="s">
        <v>1148</v>
      </c>
    </row>
    <row r="12268" spans="1:2" x14ac:dyDescent="0.25">
      <c r="A12268" t="s">
        <v>1986</v>
      </c>
      <c r="B12268" t="s">
        <v>1149</v>
      </c>
    </row>
    <row r="12269" spans="1:2" x14ac:dyDescent="0.25">
      <c r="A12269" t="s">
        <v>1986</v>
      </c>
      <c r="B12269" t="s">
        <v>1150</v>
      </c>
    </row>
    <row r="12270" spans="1:2" x14ac:dyDescent="0.25">
      <c r="A12270" t="s">
        <v>1986</v>
      </c>
      <c r="B12270" t="s">
        <v>1151</v>
      </c>
    </row>
    <row r="12271" spans="1:2" x14ac:dyDescent="0.25">
      <c r="A12271" t="s">
        <v>1986</v>
      </c>
      <c r="B12271" t="s">
        <v>1152</v>
      </c>
    </row>
    <row r="12272" spans="1:2" x14ac:dyDescent="0.25">
      <c r="A12272" t="s">
        <v>1986</v>
      </c>
      <c r="B12272" t="s">
        <v>1153</v>
      </c>
    </row>
    <row r="12273" spans="1:2" x14ac:dyDescent="0.25">
      <c r="A12273" t="s">
        <v>1987</v>
      </c>
      <c r="B12273" t="s">
        <v>1129</v>
      </c>
    </row>
    <row r="12274" spans="1:2" x14ac:dyDescent="0.25">
      <c r="A12274" t="s">
        <v>1987</v>
      </c>
      <c r="B12274" t="s">
        <v>1139</v>
      </c>
    </row>
    <row r="12275" spans="1:2" x14ac:dyDescent="0.25">
      <c r="A12275" t="s">
        <v>1987</v>
      </c>
      <c r="B12275" t="s">
        <v>1140</v>
      </c>
    </row>
    <row r="12276" spans="1:2" x14ac:dyDescent="0.25">
      <c r="A12276" t="s">
        <v>1987</v>
      </c>
      <c r="B12276" t="s">
        <v>1141</v>
      </c>
    </row>
    <row r="12277" spans="1:2" x14ac:dyDescent="0.25">
      <c r="A12277" t="s">
        <v>1987</v>
      </c>
      <c r="B12277" t="s">
        <v>1142</v>
      </c>
    </row>
    <row r="12278" spans="1:2" x14ac:dyDescent="0.25">
      <c r="A12278" t="s">
        <v>1987</v>
      </c>
      <c r="B12278" t="s">
        <v>1143</v>
      </c>
    </row>
    <row r="12279" spans="1:2" x14ac:dyDescent="0.25">
      <c r="A12279" t="s">
        <v>1987</v>
      </c>
      <c r="B12279" t="s">
        <v>1144</v>
      </c>
    </row>
    <row r="12280" spans="1:2" x14ac:dyDescent="0.25">
      <c r="A12280" t="s">
        <v>1987</v>
      </c>
      <c r="B12280" t="s">
        <v>1145</v>
      </c>
    </row>
    <row r="12281" spans="1:2" x14ac:dyDescent="0.25">
      <c r="A12281" t="s">
        <v>1987</v>
      </c>
      <c r="B12281" t="s">
        <v>1146</v>
      </c>
    </row>
    <row r="12282" spans="1:2" x14ac:dyDescent="0.25">
      <c r="A12282" t="s">
        <v>1987</v>
      </c>
      <c r="B12282" t="s">
        <v>1147</v>
      </c>
    </row>
    <row r="12283" spans="1:2" x14ac:dyDescent="0.25">
      <c r="A12283" t="s">
        <v>1987</v>
      </c>
      <c r="B12283" t="s">
        <v>1148</v>
      </c>
    </row>
    <row r="12284" spans="1:2" x14ac:dyDescent="0.25">
      <c r="A12284" t="s">
        <v>1987</v>
      </c>
      <c r="B12284" t="s">
        <v>1149</v>
      </c>
    </row>
    <row r="12285" spans="1:2" x14ac:dyDescent="0.25">
      <c r="A12285" t="s">
        <v>1987</v>
      </c>
      <c r="B12285" t="s">
        <v>1150</v>
      </c>
    </row>
    <row r="12286" spans="1:2" x14ac:dyDescent="0.25">
      <c r="A12286" t="s">
        <v>1987</v>
      </c>
      <c r="B12286" t="s">
        <v>1151</v>
      </c>
    </row>
    <row r="12287" spans="1:2" x14ac:dyDescent="0.25">
      <c r="A12287" t="s">
        <v>1987</v>
      </c>
      <c r="B12287" t="s">
        <v>1152</v>
      </c>
    </row>
    <row r="12288" spans="1:2" x14ac:dyDescent="0.25">
      <c r="A12288" t="s">
        <v>1987</v>
      </c>
      <c r="B12288" t="s">
        <v>1153</v>
      </c>
    </row>
    <row r="12289" spans="1:2" x14ac:dyDescent="0.25">
      <c r="A12289" t="s">
        <v>2065</v>
      </c>
      <c r="B12289" t="s">
        <v>1139</v>
      </c>
    </row>
    <row r="12290" spans="1:2" x14ac:dyDescent="0.25">
      <c r="A12290" t="s">
        <v>2065</v>
      </c>
      <c r="B12290" t="s">
        <v>1140</v>
      </c>
    </row>
    <row r="12291" spans="1:2" x14ac:dyDescent="0.25">
      <c r="A12291" t="s">
        <v>2065</v>
      </c>
      <c r="B12291" t="s">
        <v>1141</v>
      </c>
    </row>
    <row r="12292" spans="1:2" x14ac:dyDescent="0.25">
      <c r="A12292" t="s">
        <v>2065</v>
      </c>
      <c r="B12292" t="s">
        <v>1142</v>
      </c>
    </row>
    <row r="12293" spans="1:2" x14ac:dyDescent="0.25">
      <c r="A12293" t="s">
        <v>2065</v>
      </c>
      <c r="B12293" t="s">
        <v>1148</v>
      </c>
    </row>
    <row r="12294" spans="1:2" x14ac:dyDescent="0.25">
      <c r="A12294" t="s">
        <v>2065</v>
      </c>
      <c r="B12294" t="s">
        <v>1149</v>
      </c>
    </row>
    <row r="12295" spans="1:2" x14ac:dyDescent="0.25">
      <c r="A12295" t="s">
        <v>2065</v>
      </c>
      <c r="B12295" t="s">
        <v>1150</v>
      </c>
    </row>
    <row r="12296" spans="1:2" x14ac:dyDescent="0.25">
      <c r="A12296" t="s">
        <v>2065</v>
      </c>
      <c r="B12296" t="s">
        <v>1151</v>
      </c>
    </row>
    <row r="12297" spans="1:2" x14ac:dyDescent="0.25">
      <c r="A12297" t="s">
        <v>2066</v>
      </c>
      <c r="B12297" t="s">
        <v>1139</v>
      </c>
    </row>
    <row r="12298" spans="1:2" x14ac:dyDescent="0.25">
      <c r="A12298" t="s">
        <v>2066</v>
      </c>
      <c r="B12298" t="s">
        <v>1140</v>
      </c>
    </row>
    <row r="12299" spans="1:2" x14ac:dyDescent="0.25">
      <c r="A12299" t="s">
        <v>2066</v>
      </c>
      <c r="B12299" t="s">
        <v>1141</v>
      </c>
    </row>
    <row r="12300" spans="1:2" x14ac:dyDescent="0.25">
      <c r="A12300" t="s">
        <v>2066</v>
      </c>
      <c r="B12300" t="s">
        <v>1142</v>
      </c>
    </row>
    <row r="12301" spans="1:2" x14ac:dyDescent="0.25">
      <c r="A12301" t="s">
        <v>2066</v>
      </c>
      <c r="B12301" t="s">
        <v>1148</v>
      </c>
    </row>
    <row r="12302" spans="1:2" x14ac:dyDescent="0.25">
      <c r="A12302" t="s">
        <v>2066</v>
      </c>
      <c r="B12302" t="s">
        <v>1149</v>
      </c>
    </row>
    <row r="12303" spans="1:2" x14ac:dyDescent="0.25">
      <c r="A12303" t="s">
        <v>2066</v>
      </c>
      <c r="B12303" t="s">
        <v>1150</v>
      </c>
    </row>
    <row r="12304" spans="1:2" x14ac:dyDescent="0.25">
      <c r="A12304" t="s">
        <v>2066</v>
      </c>
      <c r="B12304" t="s">
        <v>1151</v>
      </c>
    </row>
    <row r="12305" spans="1:2" x14ac:dyDescent="0.25">
      <c r="A12305" t="s">
        <v>1988</v>
      </c>
      <c r="B12305" t="s">
        <v>1129</v>
      </c>
    </row>
    <row r="12306" spans="1:2" x14ac:dyDescent="0.25">
      <c r="A12306" t="s">
        <v>1988</v>
      </c>
      <c r="B12306" t="s">
        <v>1143</v>
      </c>
    </row>
    <row r="12307" spans="1:2" x14ac:dyDescent="0.25">
      <c r="A12307" t="s">
        <v>1988</v>
      </c>
      <c r="B12307" t="s">
        <v>1144</v>
      </c>
    </row>
    <row r="12308" spans="1:2" x14ac:dyDescent="0.25">
      <c r="A12308" t="s">
        <v>1988</v>
      </c>
      <c r="B12308" t="s">
        <v>1145</v>
      </c>
    </row>
    <row r="12309" spans="1:2" x14ac:dyDescent="0.25">
      <c r="A12309" t="s">
        <v>1988</v>
      </c>
      <c r="B12309" t="s">
        <v>1146</v>
      </c>
    </row>
    <row r="12310" spans="1:2" x14ac:dyDescent="0.25">
      <c r="A12310" t="s">
        <v>1988</v>
      </c>
      <c r="B12310" t="s">
        <v>1147</v>
      </c>
    </row>
    <row r="12311" spans="1:2" x14ac:dyDescent="0.25">
      <c r="A12311" t="s">
        <v>1988</v>
      </c>
      <c r="B12311" t="s">
        <v>1148</v>
      </c>
    </row>
    <row r="12312" spans="1:2" x14ac:dyDescent="0.25">
      <c r="A12312" t="s">
        <v>1988</v>
      </c>
      <c r="B12312" t="s">
        <v>1149</v>
      </c>
    </row>
    <row r="12313" spans="1:2" x14ac:dyDescent="0.25">
      <c r="A12313" t="s">
        <v>1988</v>
      </c>
      <c r="B12313" t="s">
        <v>1150</v>
      </c>
    </row>
    <row r="12314" spans="1:2" x14ac:dyDescent="0.25">
      <c r="A12314" t="s">
        <v>1988</v>
      </c>
      <c r="B12314" t="s">
        <v>1151</v>
      </c>
    </row>
    <row r="12315" spans="1:2" x14ac:dyDescent="0.25">
      <c r="A12315" t="s">
        <v>1988</v>
      </c>
      <c r="B12315" t="s">
        <v>1152</v>
      </c>
    </row>
    <row r="12316" spans="1:2" x14ac:dyDescent="0.25">
      <c r="A12316" t="s">
        <v>1988</v>
      </c>
      <c r="B12316" t="s">
        <v>1153</v>
      </c>
    </row>
    <row r="12317" spans="1:2" x14ac:dyDescent="0.25">
      <c r="A12317" t="s">
        <v>2152</v>
      </c>
      <c r="B12317" t="s">
        <v>1148</v>
      </c>
    </row>
    <row r="12318" spans="1:2" x14ac:dyDescent="0.25">
      <c r="A12318" t="s">
        <v>2152</v>
      </c>
      <c r="B12318" t="s">
        <v>1149</v>
      </c>
    </row>
    <row r="12319" spans="1:2" x14ac:dyDescent="0.25">
      <c r="A12319" t="s">
        <v>2152</v>
      </c>
      <c r="B12319" t="s">
        <v>1150</v>
      </c>
    </row>
    <row r="12320" spans="1:2" x14ac:dyDescent="0.25">
      <c r="A12320" t="s">
        <v>2152</v>
      </c>
      <c r="B12320" t="s">
        <v>1151</v>
      </c>
    </row>
    <row r="12321" spans="1:2" x14ac:dyDescent="0.25">
      <c r="A12321" t="s">
        <v>2043</v>
      </c>
      <c r="B12321" t="s">
        <v>1134</v>
      </c>
    </row>
    <row r="12322" spans="1:2" x14ac:dyDescent="0.25">
      <c r="A12322" t="s">
        <v>2043</v>
      </c>
      <c r="B12322" t="s">
        <v>1146</v>
      </c>
    </row>
    <row r="12323" spans="1:2" x14ac:dyDescent="0.25">
      <c r="A12323" t="s">
        <v>2043</v>
      </c>
      <c r="B12323" t="s">
        <v>1147</v>
      </c>
    </row>
    <row r="12324" spans="1:2" x14ac:dyDescent="0.25">
      <c r="A12324" t="s">
        <v>2043</v>
      </c>
      <c r="B12324" t="s">
        <v>1148</v>
      </c>
    </row>
    <row r="12325" spans="1:2" x14ac:dyDescent="0.25">
      <c r="A12325" t="s">
        <v>2043</v>
      </c>
      <c r="B12325" t="s">
        <v>1149</v>
      </c>
    </row>
    <row r="12326" spans="1:2" x14ac:dyDescent="0.25">
      <c r="A12326" t="s">
        <v>2043</v>
      </c>
      <c r="B12326" t="s">
        <v>1150</v>
      </c>
    </row>
    <row r="12327" spans="1:2" x14ac:dyDescent="0.25">
      <c r="A12327" t="s">
        <v>2043</v>
      </c>
      <c r="B12327" t="s">
        <v>1151</v>
      </c>
    </row>
    <row r="12328" spans="1:2" x14ac:dyDescent="0.25">
      <c r="A12328" t="s">
        <v>2043</v>
      </c>
      <c r="B12328" t="s">
        <v>1152</v>
      </c>
    </row>
    <row r="12329" spans="1:2" x14ac:dyDescent="0.25">
      <c r="A12329" t="s">
        <v>2043</v>
      </c>
      <c r="B12329" t="s">
        <v>1153</v>
      </c>
    </row>
    <row r="12330" spans="1:2" x14ac:dyDescent="0.25">
      <c r="A12330" t="s">
        <v>2151</v>
      </c>
      <c r="B12330" t="s">
        <v>1148</v>
      </c>
    </row>
    <row r="12331" spans="1:2" x14ac:dyDescent="0.25">
      <c r="A12331" t="s">
        <v>2151</v>
      </c>
      <c r="B12331" t="s">
        <v>1149</v>
      </c>
    </row>
    <row r="12332" spans="1:2" x14ac:dyDescent="0.25">
      <c r="A12332" t="s">
        <v>2151</v>
      </c>
      <c r="B12332" t="s">
        <v>1150</v>
      </c>
    </row>
    <row r="12333" spans="1:2" x14ac:dyDescent="0.25">
      <c r="A12333" t="s">
        <v>2151</v>
      </c>
      <c r="B12333" t="s">
        <v>1151</v>
      </c>
    </row>
    <row r="12334" spans="1:2" x14ac:dyDescent="0.25">
      <c r="A12334" t="s">
        <v>2077</v>
      </c>
      <c r="B12334" t="s">
        <v>1139</v>
      </c>
    </row>
    <row r="12335" spans="1:2" x14ac:dyDescent="0.25">
      <c r="A12335" t="s">
        <v>2077</v>
      </c>
      <c r="B12335" t="s">
        <v>1140</v>
      </c>
    </row>
    <row r="12336" spans="1:2" x14ac:dyDescent="0.25">
      <c r="A12336" t="s">
        <v>2077</v>
      </c>
      <c r="B12336" t="s">
        <v>1140</v>
      </c>
    </row>
    <row r="12337" spans="1:2" x14ac:dyDescent="0.25">
      <c r="A12337" t="s">
        <v>2077</v>
      </c>
      <c r="B12337" t="s">
        <v>1141</v>
      </c>
    </row>
    <row r="12338" spans="1:2" x14ac:dyDescent="0.25">
      <c r="A12338" t="s">
        <v>2077</v>
      </c>
      <c r="B12338" t="s">
        <v>1141</v>
      </c>
    </row>
    <row r="12339" spans="1:2" x14ac:dyDescent="0.25">
      <c r="A12339" t="s">
        <v>2077</v>
      </c>
      <c r="B12339" t="s">
        <v>1142</v>
      </c>
    </row>
    <row r="12340" spans="1:2" x14ac:dyDescent="0.25">
      <c r="A12340" t="s">
        <v>2077</v>
      </c>
      <c r="B12340" t="s">
        <v>1142</v>
      </c>
    </row>
    <row r="12341" spans="1:2" x14ac:dyDescent="0.25">
      <c r="A12341" t="s">
        <v>2077</v>
      </c>
      <c r="B12341" t="s">
        <v>1148</v>
      </c>
    </row>
    <row r="12342" spans="1:2" x14ac:dyDescent="0.25">
      <c r="A12342" t="s">
        <v>2077</v>
      </c>
      <c r="B12342" t="s">
        <v>1149</v>
      </c>
    </row>
    <row r="12343" spans="1:2" x14ac:dyDescent="0.25">
      <c r="A12343" t="s">
        <v>2077</v>
      </c>
      <c r="B12343" t="s">
        <v>1150</v>
      </c>
    </row>
    <row r="12344" spans="1:2" x14ac:dyDescent="0.25">
      <c r="A12344" t="s">
        <v>2077</v>
      </c>
      <c r="B12344" t="s">
        <v>1150</v>
      </c>
    </row>
    <row r="12345" spans="1:2" x14ac:dyDescent="0.25">
      <c r="A12345" t="s">
        <v>2077</v>
      </c>
      <c r="B12345" t="s">
        <v>1151</v>
      </c>
    </row>
    <row r="12346" spans="1:2" x14ac:dyDescent="0.25">
      <c r="A12346" t="s">
        <v>2077</v>
      </c>
      <c r="B12346" t="s">
        <v>1155</v>
      </c>
    </row>
    <row r="12347" spans="1:2" x14ac:dyDescent="0.25">
      <c r="A12347" t="s">
        <v>2077</v>
      </c>
      <c r="B12347" t="s">
        <v>1157</v>
      </c>
    </row>
    <row r="12348" spans="1:2" x14ac:dyDescent="0.25">
      <c r="A12348" t="s">
        <v>2077</v>
      </c>
      <c r="B12348" t="s">
        <v>1158</v>
      </c>
    </row>
    <row r="12349" spans="1:2" x14ac:dyDescent="0.25">
      <c r="A12349" t="s">
        <v>2077</v>
      </c>
      <c r="B12349" t="s">
        <v>1175</v>
      </c>
    </row>
    <row r="12350" spans="1:2" x14ac:dyDescent="0.25">
      <c r="A12350" t="s">
        <v>2077</v>
      </c>
      <c r="B12350" t="s">
        <v>1176</v>
      </c>
    </row>
    <row r="12351" spans="1:2" x14ac:dyDescent="0.25">
      <c r="A12351" t="s">
        <v>2077</v>
      </c>
      <c r="B12351" t="s">
        <v>1179</v>
      </c>
    </row>
    <row r="12352" spans="1:2" x14ac:dyDescent="0.25">
      <c r="A12352" t="s">
        <v>2077</v>
      </c>
      <c r="B12352" t="s">
        <v>1201</v>
      </c>
    </row>
    <row r="12353" spans="1:2" x14ac:dyDescent="0.25">
      <c r="A12353" t="s">
        <v>2077</v>
      </c>
      <c r="B12353" t="s">
        <v>1202</v>
      </c>
    </row>
    <row r="12354" spans="1:2" x14ac:dyDescent="0.25">
      <c r="A12354" t="s">
        <v>2077</v>
      </c>
      <c r="B12354" t="s">
        <v>1203</v>
      </c>
    </row>
    <row r="12355" spans="1:2" x14ac:dyDescent="0.25">
      <c r="A12355" t="s">
        <v>2077</v>
      </c>
      <c r="B12355" t="s">
        <v>1204</v>
      </c>
    </row>
    <row r="12356" spans="1:2" x14ac:dyDescent="0.25">
      <c r="A12356" t="s">
        <v>2077</v>
      </c>
      <c r="B12356" t="s">
        <v>1205</v>
      </c>
    </row>
    <row r="12357" spans="1:2" x14ac:dyDescent="0.25">
      <c r="A12357" t="s">
        <v>2077</v>
      </c>
      <c r="B12357" t="s">
        <v>1206</v>
      </c>
    </row>
    <row r="12358" spans="1:2" x14ac:dyDescent="0.25">
      <c r="A12358" t="s">
        <v>2077</v>
      </c>
      <c r="B12358" t="s">
        <v>1206</v>
      </c>
    </row>
    <row r="12359" spans="1:2" x14ac:dyDescent="0.25">
      <c r="A12359" t="s">
        <v>2077</v>
      </c>
      <c r="B12359" t="s">
        <v>1207</v>
      </c>
    </row>
    <row r="12360" spans="1:2" x14ac:dyDescent="0.25">
      <c r="A12360" t="s">
        <v>2077</v>
      </c>
      <c r="B12360" t="s">
        <v>1207</v>
      </c>
    </row>
    <row r="12361" spans="1:2" x14ac:dyDescent="0.25">
      <c r="A12361" t="s">
        <v>2077</v>
      </c>
      <c r="B12361" t="s">
        <v>1208</v>
      </c>
    </row>
    <row r="12362" spans="1:2" x14ac:dyDescent="0.25">
      <c r="A12362" t="s">
        <v>2077</v>
      </c>
      <c r="B12362" t="s">
        <v>1226</v>
      </c>
    </row>
    <row r="12363" spans="1:2" x14ac:dyDescent="0.25">
      <c r="A12363" t="s">
        <v>2077</v>
      </c>
      <c r="B12363" t="s">
        <v>1227</v>
      </c>
    </row>
    <row r="12364" spans="1:2" x14ac:dyDescent="0.25">
      <c r="A12364" t="s">
        <v>2077</v>
      </c>
      <c r="B12364" t="s">
        <v>1230</v>
      </c>
    </row>
    <row r="12365" spans="1:2" x14ac:dyDescent="0.25">
      <c r="A12365" t="s">
        <v>2077</v>
      </c>
      <c r="B12365" t="s">
        <v>1231</v>
      </c>
    </row>
    <row r="12366" spans="1:2" x14ac:dyDescent="0.25">
      <c r="A12366" t="s">
        <v>2077</v>
      </c>
      <c r="B12366" t="s">
        <v>1232</v>
      </c>
    </row>
    <row r="12367" spans="1:2" x14ac:dyDescent="0.25">
      <c r="A12367" t="s">
        <v>2077</v>
      </c>
      <c r="B12367" t="s">
        <v>1233</v>
      </c>
    </row>
    <row r="12368" spans="1:2" x14ac:dyDescent="0.25">
      <c r="A12368" t="s">
        <v>2077</v>
      </c>
      <c r="B12368" t="s">
        <v>1233</v>
      </c>
    </row>
    <row r="12369" spans="1:2" x14ac:dyDescent="0.25">
      <c r="A12369" t="s">
        <v>2077</v>
      </c>
      <c r="B12369" t="s">
        <v>1234</v>
      </c>
    </row>
    <row r="12370" spans="1:2" x14ac:dyDescent="0.25">
      <c r="A12370" t="s">
        <v>2077</v>
      </c>
      <c r="B12370" t="s">
        <v>1235</v>
      </c>
    </row>
    <row r="12371" spans="1:2" x14ac:dyDescent="0.25">
      <c r="A12371" t="s">
        <v>2077</v>
      </c>
      <c r="B12371" t="s">
        <v>1236</v>
      </c>
    </row>
    <row r="12372" spans="1:2" x14ac:dyDescent="0.25">
      <c r="A12372" t="s">
        <v>2077</v>
      </c>
      <c r="B12372" t="s">
        <v>1237</v>
      </c>
    </row>
    <row r="12373" spans="1:2" x14ac:dyDescent="0.25">
      <c r="A12373" t="s">
        <v>2077</v>
      </c>
      <c r="B12373" t="s">
        <v>1238</v>
      </c>
    </row>
    <row r="12374" spans="1:2" x14ac:dyDescent="0.25">
      <c r="A12374" t="s">
        <v>2077</v>
      </c>
      <c r="B12374" t="s">
        <v>1239</v>
      </c>
    </row>
    <row r="12375" spans="1:2" x14ac:dyDescent="0.25">
      <c r="A12375" t="s">
        <v>2077</v>
      </c>
      <c r="B12375" t="s">
        <v>1240</v>
      </c>
    </row>
    <row r="12376" spans="1:2" x14ac:dyDescent="0.25">
      <c r="A12376" t="s">
        <v>2077</v>
      </c>
      <c r="B12376" t="s">
        <v>1241</v>
      </c>
    </row>
    <row r="12377" spans="1:2" x14ac:dyDescent="0.25">
      <c r="A12377" t="s">
        <v>2077</v>
      </c>
      <c r="B12377" t="s">
        <v>1242</v>
      </c>
    </row>
    <row r="12378" spans="1:2" x14ac:dyDescent="0.25">
      <c r="A12378" t="s">
        <v>2077</v>
      </c>
      <c r="B12378" t="s">
        <v>1243</v>
      </c>
    </row>
    <row r="12379" spans="1:2" x14ac:dyDescent="0.25">
      <c r="A12379" t="s">
        <v>2077</v>
      </c>
      <c r="B12379" t="s">
        <v>1244</v>
      </c>
    </row>
    <row r="12380" spans="1:2" x14ac:dyDescent="0.25">
      <c r="A12380" t="s">
        <v>2077</v>
      </c>
      <c r="B12380" t="s">
        <v>1245</v>
      </c>
    </row>
    <row r="12381" spans="1:2" x14ac:dyDescent="0.25">
      <c r="A12381" t="s">
        <v>2077</v>
      </c>
      <c r="B12381" t="s">
        <v>1246</v>
      </c>
    </row>
    <row r="12382" spans="1:2" x14ac:dyDescent="0.25">
      <c r="A12382" t="s">
        <v>2077</v>
      </c>
      <c r="B12382" t="s">
        <v>1247</v>
      </c>
    </row>
    <row r="12383" spans="1:2" x14ac:dyDescent="0.25">
      <c r="A12383" t="s">
        <v>2077</v>
      </c>
      <c r="B12383" t="s">
        <v>1248</v>
      </c>
    </row>
    <row r="12384" spans="1:2" x14ac:dyDescent="0.25">
      <c r="A12384" t="s">
        <v>2077</v>
      </c>
      <c r="B12384" t="s">
        <v>1249</v>
      </c>
    </row>
    <row r="12385" spans="1:2" x14ac:dyDescent="0.25">
      <c r="A12385" t="s">
        <v>2077</v>
      </c>
      <c r="B12385" t="s">
        <v>1250</v>
      </c>
    </row>
    <row r="12386" spans="1:2" x14ac:dyDescent="0.25">
      <c r="A12386" t="s">
        <v>2077</v>
      </c>
      <c r="B12386" t="s">
        <v>1253</v>
      </c>
    </row>
    <row r="12387" spans="1:2" x14ac:dyDescent="0.25">
      <c r="A12387" t="s">
        <v>2077</v>
      </c>
      <c r="B12387" t="s">
        <v>1254</v>
      </c>
    </row>
    <row r="12388" spans="1:2" x14ac:dyDescent="0.25">
      <c r="A12388" t="s">
        <v>2077</v>
      </c>
      <c r="B12388" t="s">
        <v>1255</v>
      </c>
    </row>
    <row r="12389" spans="1:2" x14ac:dyDescent="0.25">
      <c r="A12389" t="s">
        <v>1742</v>
      </c>
      <c r="B12389" t="s">
        <v>1102</v>
      </c>
    </row>
    <row r="12390" spans="1:2" x14ac:dyDescent="0.25">
      <c r="A12390" t="s">
        <v>1742</v>
      </c>
      <c r="B12390" t="s">
        <v>1110</v>
      </c>
    </row>
    <row r="12391" spans="1:2" x14ac:dyDescent="0.25">
      <c r="A12391" t="s">
        <v>1742</v>
      </c>
      <c r="B12391" t="s">
        <v>1112</v>
      </c>
    </row>
    <row r="12392" spans="1:2" x14ac:dyDescent="0.25">
      <c r="A12392" t="s">
        <v>1742</v>
      </c>
      <c r="B12392" t="s">
        <v>1130</v>
      </c>
    </row>
    <row r="12393" spans="1:2" x14ac:dyDescent="0.25">
      <c r="A12393" t="s">
        <v>1742</v>
      </c>
      <c r="B12393" t="s">
        <v>1131</v>
      </c>
    </row>
    <row r="12394" spans="1:2" x14ac:dyDescent="0.25">
      <c r="A12394" t="s">
        <v>1742</v>
      </c>
      <c r="B12394" t="s">
        <v>1132</v>
      </c>
    </row>
    <row r="12395" spans="1:2" x14ac:dyDescent="0.25">
      <c r="A12395" t="s">
        <v>1742</v>
      </c>
      <c r="B12395" t="s">
        <v>1132</v>
      </c>
    </row>
    <row r="12396" spans="1:2" x14ac:dyDescent="0.25">
      <c r="A12396" t="s">
        <v>1742</v>
      </c>
      <c r="B12396" t="s">
        <v>1134</v>
      </c>
    </row>
    <row r="12397" spans="1:2" x14ac:dyDescent="0.25">
      <c r="A12397" t="s">
        <v>1742</v>
      </c>
      <c r="B12397" t="s">
        <v>1137</v>
      </c>
    </row>
    <row r="12398" spans="1:2" x14ac:dyDescent="0.25">
      <c r="A12398" t="s">
        <v>1742</v>
      </c>
      <c r="B12398" t="s">
        <v>1137</v>
      </c>
    </row>
    <row r="12399" spans="1:2" x14ac:dyDescent="0.25">
      <c r="A12399" t="s">
        <v>1742</v>
      </c>
      <c r="B12399" t="s">
        <v>1138</v>
      </c>
    </row>
    <row r="12400" spans="1:2" x14ac:dyDescent="0.25">
      <c r="A12400" t="s">
        <v>1742</v>
      </c>
      <c r="B12400" t="s">
        <v>1145</v>
      </c>
    </row>
    <row r="12401" spans="1:2" x14ac:dyDescent="0.25">
      <c r="A12401" t="s">
        <v>1742</v>
      </c>
      <c r="B12401" t="s">
        <v>1154</v>
      </c>
    </row>
    <row r="12402" spans="1:2" x14ac:dyDescent="0.25">
      <c r="A12402" t="s">
        <v>1742</v>
      </c>
      <c r="B12402" t="s">
        <v>1166</v>
      </c>
    </row>
    <row r="12403" spans="1:2" x14ac:dyDescent="0.25">
      <c r="A12403" t="s">
        <v>1742</v>
      </c>
      <c r="B12403" t="s">
        <v>1167</v>
      </c>
    </row>
    <row r="12404" spans="1:2" x14ac:dyDescent="0.25">
      <c r="A12404" t="s">
        <v>1742</v>
      </c>
      <c r="B12404" t="s">
        <v>1168</v>
      </c>
    </row>
    <row r="12405" spans="1:2" x14ac:dyDescent="0.25">
      <c r="A12405" t="s">
        <v>1742</v>
      </c>
      <c r="B12405" t="s">
        <v>1169</v>
      </c>
    </row>
    <row r="12406" spans="1:2" x14ac:dyDescent="0.25">
      <c r="A12406" t="s">
        <v>1742</v>
      </c>
      <c r="B12406" t="s">
        <v>1170</v>
      </c>
    </row>
    <row r="12407" spans="1:2" x14ac:dyDescent="0.25">
      <c r="A12407" t="s">
        <v>1742</v>
      </c>
      <c r="B12407" t="s">
        <v>1171</v>
      </c>
    </row>
    <row r="12408" spans="1:2" x14ac:dyDescent="0.25">
      <c r="A12408" t="s">
        <v>1742</v>
      </c>
      <c r="B12408" t="s">
        <v>1171</v>
      </c>
    </row>
    <row r="12409" spans="1:2" x14ac:dyDescent="0.25">
      <c r="A12409" t="s">
        <v>1742</v>
      </c>
      <c r="B12409" t="s">
        <v>1180</v>
      </c>
    </row>
    <row r="12410" spans="1:2" x14ac:dyDescent="0.25">
      <c r="A12410" t="s">
        <v>1742</v>
      </c>
      <c r="B12410" t="s">
        <v>1181</v>
      </c>
    </row>
    <row r="12411" spans="1:2" x14ac:dyDescent="0.25">
      <c r="A12411" t="s">
        <v>1742</v>
      </c>
      <c r="B12411" t="s">
        <v>1182</v>
      </c>
    </row>
    <row r="12412" spans="1:2" x14ac:dyDescent="0.25">
      <c r="A12412" t="s">
        <v>1742</v>
      </c>
      <c r="B12412" t="s">
        <v>1183</v>
      </c>
    </row>
    <row r="12413" spans="1:2" x14ac:dyDescent="0.25">
      <c r="A12413" t="s">
        <v>1742</v>
      </c>
      <c r="B12413" t="s">
        <v>1184</v>
      </c>
    </row>
    <row r="12414" spans="1:2" x14ac:dyDescent="0.25">
      <c r="A12414" t="s">
        <v>1742</v>
      </c>
      <c r="B12414" t="s">
        <v>1185</v>
      </c>
    </row>
    <row r="12415" spans="1:2" x14ac:dyDescent="0.25">
      <c r="A12415" t="s">
        <v>1742</v>
      </c>
      <c r="B12415" t="s">
        <v>1197</v>
      </c>
    </row>
    <row r="12416" spans="1:2" x14ac:dyDescent="0.25">
      <c r="A12416" t="s">
        <v>1742</v>
      </c>
      <c r="B12416" t="s">
        <v>1198</v>
      </c>
    </row>
    <row r="12417" spans="1:2" x14ac:dyDescent="0.25">
      <c r="A12417" t="s">
        <v>1742</v>
      </c>
      <c r="B12417" t="s">
        <v>1201</v>
      </c>
    </row>
    <row r="12418" spans="1:2" x14ac:dyDescent="0.25">
      <c r="A12418" t="s">
        <v>1742</v>
      </c>
      <c r="B12418" t="s">
        <v>1206</v>
      </c>
    </row>
    <row r="12419" spans="1:2" x14ac:dyDescent="0.25">
      <c r="A12419" t="s">
        <v>1742</v>
      </c>
      <c r="B12419" t="s">
        <v>1225</v>
      </c>
    </row>
    <row r="12420" spans="1:2" x14ac:dyDescent="0.25">
      <c r="A12420" t="s">
        <v>1742</v>
      </c>
      <c r="B12420" t="s">
        <v>1225</v>
      </c>
    </row>
    <row r="12421" spans="1:2" x14ac:dyDescent="0.25">
      <c r="A12421" t="s">
        <v>1743</v>
      </c>
      <c r="B12421" t="s">
        <v>1102</v>
      </c>
    </row>
    <row r="12422" spans="1:2" x14ac:dyDescent="0.25">
      <c r="A12422" t="s">
        <v>1743</v>
      </c>
      <c r="B12422" t="s">
        <v>1110</v>
      </c>
    </row>
    <row r="12423" spans="1:2" x14ac:dyDescent="0.25">
      <c r="A12423" t="s">
        <v>1743</v>
      </c>
      <c r="B12423" t="s">
        <v>1112</v>
      </c>
    </row>
    <row r="12424" spans="1:2" x14ac:dyDescent="0.25">
      <c r="A12424" t="s">
        <v>1743</v>
      </c>
      <c r="B12424" t="s">
        <v>1130</v>
      </c>
    </row>
    <row r="12425" spans="1:2" x14ac:dyDescent="0.25">
      <c r="A12425" t="s">
        <v>1743</v>
      </c>
      <c r="B12425" t="s">
        <v>1131</v>
      </c>
    </row>
    <row r="12426" spans="1:2" x14ac:dyDescent="0.25">
      <c r="A12426" t="s">
        <v>1743</v>
      </c>
      <c r="B12426" t="s">
        <v>1132</v>
      </c>
    </row>
    <row r="12427" spans="1:2" x14ac:dyDescent="0.25">
      <c r="A12427" t="s">
        <v>1743</v>
      </c>
      <c r="B12427" t="s">
        <v>1132</v>
      </c>
    </row>
    <row r="12428" spans="1:2" x14ac:dyDescent="0.25">
      <c r="A12428" t="s">
        <v>1743</v>
      </c>
      <c r="B12428" t="s">
        <v>1134</v>
      </c>
    </row>
    <row r="12429" spans="1:2" x14ac:dyDescent="0.25">
      <c r="A12429" t="s">
        <v>1743</v>
      </c>
      <c r="B12429" t="s">
        <v>1137</v>
      </c>
    </row>
    <row r="12430" spans="1:2" x14ac:dyDescent="0.25">
      <c r="A12430" t="s">
        <v>1743</v>
      </c>
      <c r="B12430" t="s">
        <v>1137</v>
      </c>
    </row>
    <row r="12431" spans="1:2" x14ac:dyDescent="0.25">
      <c r="A12431" t="s">
        <v>1743</v>
      </c>
      <c r="B12431" t="s">
        <v>1138</v>
      </c>
    </row>
    <row r="12432" spans="1:2" x14ac:dyDescent="0.25">
      <c r="A12432" t="s">
        <v>1743</v>
      </c>
      <c r="B12432" t="s">
        <v>1145</v>
      </c>
    </row>
    <row r="12433" spans="1:2" x14ac:dyDescent="0.25">
      <c r="A12433" t="s">
        <v>1743</v>
      </c>
      <c r="B12433" t="s">
        <v>1154</v>
      </c>
    </row>
    <row r="12434" spans="1:2" x14ac:dyDescent="0.25">
      <c r="A12434" t="s">
        <v>1743</v>
      </c>
      <c r="B12434" t="s">
        <v>1166</v>
      </c>
    </row>
    <row r="12435" spans="1:2" x14ac:dyDescent="0.25">
      <c r="A12435" t="s">
        <v>1743</v>
      </c>
      <c r="B12435" t="s">
        <v>1167</v>
      </c>
    </row>
    <row r="12436" spans="1:2" x14ac:dyDescent="0.25">
      <c r="A12436" t="s">
        <v>1743</v>
      </c>
      <c r="B12436" t="s">
        <v>1168</v>
      </c>
    </row>
    <row r="12437" spans="1:2" x14ac:dyDescent="0.25">
      <c r="A12437" t="s">
        <v>1743</v>
      </c>
      <c r="B12437" t="s">
        <v>1169</v>
      </c>
    </row>
    <row r="12438" spans="1:2" x14ac:dyDescent="0.25">
      <c r="A12438" t="s">
        <v>1743</v>
      </c>
      <c r="B12438" t="s">
        <v>1170</v>
      </c>
    </row>
    <row r="12439" spans="1:2" x14ac:dyDescent="0.25">
      <c r="A12439" t="s">
        <v>1743</v>
      </c>
      <c r="B12439" t="s">
        <v>1171</v>
      </c>
    </row>
    <row r="12440" spans="1:2" x14ac:dyDescent="0.25">
      <c r="A12440" t="s">
        <v>1743</v>
      </c>
      <c r="B12440" t="s">
        <v>1171</v>
      </c>
    </row>
    <row r="12441" spans="1:2" x14ac:dyDescent="0.25">
      <c r="A12441" t="s">
        <v>1743</v>
      </c>
      <c r="B12441" t="s">
        <v>1180</v>
      </c>
    </row>
    <row r="12442" spans="1:2" x14ac:dyDescent="0.25">
      <c r="A12442" t="s">
        <v>1743</v>
      </c>
      <c r="B12442" t="s">
        <v>1181</v>
      </c>
    </row>
    <row r="12443" spans="1:2" x14ac:dyDescent="0.25">
      <c r="A12443" t="s">
        <v>1743</v>
      </c>
      <c r="B12443" t="s">
        <v>1182</v>
      </c>
    </row>
    <row r="12444" spans="1:2" x14ac:dyDescent="0.25">
      <c r="A12444" t="s">
        <v>1743</v>
      </c>
      <c r="B12444" t="s">
        <v>1183</v>
      </c>
    </row>
    <row r="12445" spans="1:2" x14ac:dyDescent="0.25">
      <c r="A12445" t="s">
        <v>1743</v>
      </c>
      <c r="B12445" t="s">
        <v>1184</v>
      </c>
    </row>
    <row r="12446" spans="1:2" x14ac:dyDescent="0.25">
      <c r="A12446" t="s">
        <v>1743</v>
      </c>
      <c r="B12446" t="s">
        <v>1185</v>
      </c>
    </row>
    <row r="12447" spans="1:2" x14ac:dyDescent="0.25">
      <c r="A12447" t="s">
        <v>1743</v>
      </c>
      <c r="B12447" t="s">
        <v>1197</v>
      </c>
    </row>
    <row r="12448" spans="1:2" x14ac:dyDescent="0.25">
      <c r="A12448" t="s">
        <v>1743</v>
      </c>
      <c r="B12448" t="s">
        <v>1198</v>
      </c>
    </row>
    <row r="12449" spans="1:2" x14ac:dyDescent="0.25">
      <c r="A12449" t="s">
        <v>1743</v>
      </c>
      <c r="B12449" t="s">
        <v>1201</v>
      </c>
    </row>
    <row r="12450" spans="1:2" x14ac:dyDescent="0.25">
      <c r="A12450" t="s">
        <v>1743</v>
      </c>
      <c r="B12450" t="s">
        <v>1206</v>
      </c>
    </row>
    <row r="12451" spans="1:2" x14ac:dyDescent="0.25">
      <c r="A12451" t="s">
        <v>1743</v>
      </c>
      <c r="B12451" t="s">
        <v>1225</v>
      </c>
    </row>
    <row r="12452" spans="1:2" x14ac:dyDescent="0.25">
      <c r="A12452" t="s">
        <v>1743</v>
      </c>
      <c r="B12452" t="s">
        <v>1225</v>
      </c>
    </row>
    <row r="12453" spans="1:2" x14ac:dyDescent="0.25">
      <c r="A12453" t="s">
        <v>1744</v>
      </c>
      <c r="B12453" t="s">
        <v>1102</v>
      </c>
    </row>
    <row r="12454" spans="1:2" x14ac:dyDescent="0.25">
      <c r="A12454" t="s">
        <v>1744</v>
      </c>
      <c r="B12454" t="s">
        <v>1110</v>
      </c>
    </row>
    <row r="12455" spans="1:2" x14ac:dyDescent="0.25">
      <c r="A12455" t="s">
        <v>1744</v>
      </c>
      <c r="B12455" t="s">
        <v>1112</v>
      </c>
    </row>
    <row r="12456" spans="1:2" x14ac:dyDescent="0.25">
      <c r="A12456" t="s">
        <v>1744</v>
      </c>
      <c r="B12456" t="s">
        <v>1130</v>
      </c>
    </row>
    <row r="12457" spans="1:2" x14ac:dyDescent="0.25">
      <c r="A12457" t="s">
        <v>1744</v>
      </c>
      <c r="B12457" t="s">
        <v>1131</v>
      </c>
    </row>
    <row r="12458" spans="1:2" x14ac:dyDescent="0.25">
      <c r="A12458" t="s">
        <v>1744</v>
      </c>
      <c r="B12458" t="s">
        <v>1132</v>
      </c>
    </row>
    <row r="12459" spans="1:2" x14ac:dyDescent="0.25">
      <c r="A12459" t="s">
        <v>1744</v>
      </c>
      <c r="B12459" t="s">
        <v>1132</v>
      </c>
    </row>
    <row r="12460" spans="1:2" x14ac:dyDescent="0.25">
      <c r="A12460" t="s">
        <v>1744</v>
      </c>
      <c r="B12460" t="s">
        <v>1134</v>
      </c>
    </row>
    <row r="12461" spans="1:2" x14ac:dyDescent="0.25">
      <c r="A12461" t="s">
        <v>1744</v>
      </c>
      <c r="B12461" t="s">
        <v>1137</v>
      </c>
    </row>
    <row r="12462" spans="1:2" x14ac:dyDescent="0.25">
      <c r="A12462" t="s">
        <v>1744</v>
      </c>
      <c r="B12462" t="s">
        <v>1137</v>
      </c>
    </row>
    <row r="12463" spans="1:2" x14ac:dyDescent="0.25">
      <c r="A12463" t="s">
        <v>1744</v>
      </c>
      <c r="B12463" t="s">
        <v>1138</v>
      </c>
    </row>
    <row r="12464" spans="1:2" x14ac:dyDescent="0.25">
      <c r="A12464" t="s">
        <v>1744</v>
      </c>
      <c r="B12464" t="s">
        <v>1145</v>
      </c>
    </row>
    <row r="12465" spans="1:2" x14ac:dyDescent="0.25">
      <c r="A12465" t="s">
        <v>1744</v>
      </c>
      <c r="B12465" t="s">
        <v>1154</v>
      </c>
    </row>
    <row r="12466" spans="1:2" x14ac:dyDescent="0.25">
      <c r="A12466" t="s">
        <v>1744</v>
      </c>
      <c r="B12466" t="s">
        <v>1166</v>
      </c>
    </row>
    <row r="12467" spans="1:2" x14ac:dyDescent="0.25">
      <c r="A12467" t="s">
        <v>1744</v>
      </c>
      <c r="B12467" t="s">
        <v>1167</v>
      </c>
    </row>
    <row r="12468" spans="1:2" x14ac:dyDescent="0.25">
      <c r="A12468" t="s">
        <v>1744</v>
      </c>
      <c r="B12468" t="s">
        <v>1168</v>
      </c>
    </row>
    <row r="12469" spans="1:2" x14ac:dyDescent="0.25">
      <c r="A12469" t="s">
        <v>1744</v>
      </c>
      <c r="B12469" t="s">
        <v>1169</v>
      </c>
    </row>
    <row r="12470" spans="1:2" x14ac:dyDescent="0.25">
      <c r="A12470" t="s">
        <v>1744</v>
      </c>
      <c r="B12470" t="s">
        <v>1170</v>
      </c>
    </row>
    <row r="12471" spans="1:2" x14ac:dyDescent="0.25">
      <c r="A12471" t="s">
        <v>1744</v>
      </c>
      <c r="B12471" t="s">
        <v>1171</v>
      </c>
    </row>
    <row r="12472" spans="1:2" x14ac:dyDescent="0.25">
      <c r="A12472" t="s">
        <v>1744</v>
      </c>
      <c r="B12472" t="s">
        <v>1171</v>
      </c>
    </row>
    <row r="12473" spans="1:2" x14ac:dyDescent="0.25">
      <c r="A12473" t="s">
        <v>1744</v>
      </c>
      <c r="B12473" t="s">
        <v>1180</v>
      </c>
    </row>
    <row r="12474" spans="1:2" x14ac:dyDescent="0.25">
      <c r="A12474" t="s">
        <v>1744</v>
      </c>
      <c r="B12474" t="s">
        <v>1181</v>
      </c>
    </row>
    <row r="12475" spans="1:2" x14ac:dyDescent="0.25">
      <c r="A12475" t="s">
        <v>1744</v>
      </c>
      <c r="B12475" t="s">
        <v>1182</v>
      </c>
    </row>
    <row r="12476" spans="1:2" x14ac:dyDescent="0.25">
      <c r="A12476" t="s">
        <v>1744</v>
      </c>
      <c r="B12476" t="s">
        <v>1183</v>
      </c>
    </row>
    <row r="12477" spans="1:2" x14ac:dyDescent="0.25">
      <c r="A12477" t="s">
        <v>1744</v>
      </c>
      <c r="B12477" t="s">
        <v>1184</v>
      </c>
    </row>
    <row r="12478" spans="1:2" x14ac:dyDescent="0.25">
      <c r="A12478" t="s">
        <v>1744</v>
      </c>
      <c r="B12478" t="s">
        <v>1185</v>
      </c>
    </row>
    <row r="12479" spans="1:2" x14ac:dyDescent="0.25">
      <c r="A12479" t="s">
        <v>1744</v>
      </c>
      <c r="B12479" t="s">
        <v>1197</v>
      </c>
    </row>
    <row r="12480" spans="1:2" x14ac:dyDescent="0.25">
      <c r="A12480" t="s">
        <v>1744</v>
      </c>
      <c r="B12480" t="s">
        <v>1198</v>
      </c>
    </row>
    <row r="12481" spans="1:2" x14ac:dyDescent="0.25">
      <c r="A12481" t="s">
        <v>1744</v>
      </c>
      <c r="B12481" t="s">
        <v>1201</v>
      </c>
    </row>
    <row r="12482" spans="1:2" x14ac:dyDescent="0.25">
      <c r="A12482" t="s">
        <v>1744</v>
      </c>
      <c r="B12482" t="s">
        <v>1206</v>
      </c>
    </row>
    <row r="12483" spans="1:2" x14ac:dyDescent="0.25">
      <c r="A12483" t="s">
        <v>1744</v>
      </c>
      <c r="B12483" t="s">
        <v>1225</v>
      </c>
    </row>
    <row r="12484" spans="1:2" x14ac:dyDescent="0.25">
      <c r="A12484" t="s">
        <v>1744</v>
      </c>
      <c r="B12484" t="s">
        <v>1225</v>
      </c>
    </row>
    <row r="12485" spans="1:2" x14ac:dyDescent="0.25">
      <c r="A12485" t="s">
        <v>2274</v>
      </c>
      <c r="B12485" t="s">
        <v>1191</v>
      </c>
    </row>
    <row r="12486" spans="1:2" x14ac:dyDescent="0.25">
      <c r="A12486" t="s">
        <v>2274</v>
      </c>
      <c r="B12486" t="s">
        <v>1192</v>
      </c>
    </row>
    <row r="12487" spans="1:2" x14ac:dyDescent="0.25">
      <c r="A12487" t="s">
        <v>2274</v>
      </c>
      <c r="B12487" t="s">
        <v>1193</v>
      </c>
    </row>
    <row r="12488" spans="1:2" x14ac:dyDescent="0.25">
      <c r="A12488" t="s">
        <v>2274</v>
      </c>
      <c r="B12488" t="s">
        <v>1194</v>
      </c>
    </row>
    <row r="12489" spans="1:2" x14ac:dyDescent="0.25">
      <c r="A12489" t="s">
        <v>2274</v>
      </c>
      <c r="B12489" t="s">
        <v>1195</v>
      </c>
    </row>
    <row r="12490" spans="1:2" x14ac:dyDescent="0.25">
      <c r="A12490" t="s">
        <v>2274</v>
      </c>
      <c r="B12490" t="s">
        <v>1196</v>
      </c>
    </row>
    <row r="12491" spans="1:2" x14ac:dyDescent="0.25">
      <c r="A12491" t="s">
        <v>2274</v>
      </c>
      <c r="B12491" t="s">
        <v>1197</v>
      </c>
    </row>
    <row r="12492" spans="1:2" x14ac:dyDescent="0.25">
      <c r="A12492" t="s">
        <v>2274</v>
      </c>
      <c r="B12492" t="s">
        <v>1198</v>
      </c>
    </row>
    <row r="12493" spans="1:2" x14ac:dyDescent="0.25">
      <c r="A12493" t="s">
        <v>1570</v>
      </c>
      <c r="B12493" t="s">
        <v>1095</v>
      </c>
    </row>
    <row r="12494" spans="1:2" x14ac:dyDescent="0.25">
      <c r="A12494" t="s">
        <v>1570</v>
      </c>
      <c r="B12494" t="s">
        <v>1102</v>
      </c>
    </row>
    <row r="12495" spans="1:2" x14ac:dyDescent="0.25">
      <c r="A12495" t="s">
        <v>1570</v>
      </c>
      <c r="B12495" t="s">
        <v>1102</v>
      </c>
    </row>
    <row r="12496" spans="1:2" x14ac:dyDescent="0.25">
      <c r="A12496" t="s">
        <v>1570</v>
      </c>
      <c r="B12496" t="s">
        <v>1110</v>
      </c>
    </row>
    <row r="12497" spans="1:2" x14ac:dyDescent="0.25">
      <c r="A12497" t="s">
        <v>1570</v>
      </c>
      <c r="B12497" t="s">
        <v>1110</v>
      </c>
    </row>
    <row r="12498" spans="1:2" x14ac:dyDescent="0.25">
      <c r="A12498" t="s">
        <v>1570</v>
      </c>
      <c r="B12498" t="s">
        <v>1112</v>
      </c>
    </row>
    <row r="12499" spans="1:2" x14ac:dyDescent="0.25">
      <c r="A12499" t="s">
        <v>1570</v>
      </c>
      <c r="B12499" t="s">
        <v>1130</v>
      </c>
    </row>
    <row r="12500" spans="1:2" x14ac:dyDescent="0.25">
      <c r="A12500" t="s">
        <v>1570</v>
      </c>
      <c r="B12500" t="s">
        <v>1131</v>
      </c>
    </row>
    <row r="12501" spans="1:2" x14ac:dyDescent="0.25">
      <c r="A12501" t="s">
        <v>1570</v>
      </c>
      <c r="B12501" t="s">
        <v>1132</v>
      </c>
    </row>
    <row r="12502" spans="1:2" x14ac:dyDescent="0.25">
      <c r="A12502" t="s">
        <v>1570</v>
      </c>
      <c r="B12502" t="s">
        <v>1134</v>
      </c>
    </row>
    <row r="12503" spans="1:2" x14ac:dyDescent="0.25">
      <c r="A12503" t="s">
        <v>1570</v>
      </c>
      <c r="B12503" t="s">
        <v>1137</v>
      </c>
    </row>
    <row r="12504" spans="1:2" x14ac:dyDescent="0.25">
      <c r="A12504" t="s">
        <v>1570</v>
      </c>
      <c r="B12504" t="s">
        <v>1138</v>
      </c>
    </row>
    <row r="12505" spans="1:2" x14ac:dyDescent="0.25">
      <c r="A12505" t="s">
        <v>1570</v>
      </c>
      <c r="B12505" t="s">
        <v>1145</v>
      </c>
    </row>
    <row r="12506" spans="1:2" x14ac:dyDescent="0.25">
      <c r="A12506" t="s">
        <v>1570</v>
      </c>
      <c r="B12506" t="s">
        <v>1154</v>
      </c>
    </row>
    <row r="12507" spans="1:2" x14ac:dyDescent="0.25">
      <c r="A12507" t="s">
        <v>1570</v>
      </c>
      <c r="B12507" t="s">
        <v>1171</v>
      </c>
    </row>
    <row r="12508" spans="1:2" x14ac:dyDescent="0.25">
      <c r="A12508" t="s">
        <v>1570</v>
      </c>
      <c r="B12508" t="s">
        <v>1180</v>
      </c>
    </row>
    <row r="12509" spans="1:2" x14ac:dyDescent="0.25">
      <c r="A12509" t="s">
        <v>1570</v>
      </c>
      <c r="B12509" t="s">
        <v>1181</v>
      </c>
    </row>
    <row r="12510" spans="1:2" x14ac:dyDescent="0.25">
      <c r="A12510" t="s">
        <v>1570</v>
      </c>
      <c r="B12510" t="s">
        <v>1197</v>
      </c>
    </row>
    <row r="12511" spans="1:2" x14ac:dyDescent="0.25">
      <c r="A12511" t="s">
        <v>1570</v>
      </c>
      <c r="B12511" t="s">
        <v>1198</v>
      </c>
    </row>
    <row r="12512" spans="1:2" x14ac:dyDescent="0.25">
      <c r="A12512" t="s">
        <v>1570</v>
      </c>
      <c r="B12512" t="s">
        <v>1201</v>
      </c>
    </row>
    <row r="12513" spans="1:2" x14ac:dyDescent="0.25">
      <c r="A12513" t="s">
        <v>1570</v>
      </c>
      <c r="B12513" t="s">
        <v>1201</v>
      </c>
    </row>
    <row r="12514" spans="1:2" x14ac:dyDescent="0.25">
      <c r="A12514" t="s">
        <v>1570</v>
      </c>
      <c r="B12514" t="s">
        <v>1206</v>
      </c>
    </row>
    <row r="12515" spans="1:2" x14ac:dyDescent="0.25">
      <c r="A12515" t="s">
        <v>1570</v>
      </c>
      <c r="B12515" t="s">
        <v>1206</v>
      </c>
    </row>
    <row r="12516" spans="1:2" x14ac:dyDescent="0.25">
      <c r="A12516" t="s">
        <v>1570</v>
      </c>
      <c r="B12516" t="s">
        <v>1225</v>
      </c>
    </row>
    <row r="12517" spans="1:2" x14ac:dyDescent="0.25">
      <c r="A12517" t="s">
        <v>1571</v>
      </c>
      <c r="B12517" t="s">
        <v>1095</v>
      </c>
    </row>
    <row r="12518" spans="1:2" x14ac:dyDescent="0.25">
      <c r="A12518" t="s">
        <v>1571</v>
      </c>
      <c r="B12518" t="s">
        <v>1102</v>
      </c>
    </row>
    <row r="12519" spans="1:2" x14ac:dyDescent="0.25">
      <c r="A12519" t="s">
        <v>1571</v>
      </c>
      <c r="B12519" t="s">
        <v>1102</v>
      </c>
    </row>
    <row r="12520" spans="1:2" x14ac:dyDescent="0.25">
      <c r="A12520" t="s">
        <v>1571</v>
      </c>
      <c r="B12520" t="s">
        <v>1110</v>
      </c>
    </row>
    <row r="12521" spans="1:2" x14ac:dyDescent="0.25">
      <c r="A12521" t="s">
        <v>1571</v>
      </c>
      <c r="B12521" t="s">
        <v>1110</v>
      </c>
    </row>
    <row r="12522" spans="1:2" x14ac:dyDescent="0.25">
      <c r="A12522" t="s">
        <v>1571</v>
      </c>
      <c r="B12522" t="s">
        <v>1112</v>
      </c>
    </row>
    <row r="12523" spans="1:2" x14ac:dyDescent="0.25">
      <c r="A12523" t="s">
        <v>1571</v>
      </c>
      <c r="B12523" t="s">
        <v>1130</v>
      </c>
    </row>
    <row r="12524" spans="1:2" x14ac:dyDescent="0.25">
      <c r="A12524" t="s">
        <v>1571</v>
      </c>
      <c r="B12524" t="s">
        <v>1131</v>
      </c>
    </row>
    <row r="12525" spans="1:2" x14ac:dyDescent="0.25">
      <c r="A12525" t="s">
        <v>1571</v>
      </c>
      <c r="B12525" t="s">
        <v>1132</v>
      </c>
    </row>
    <row r="12526" spans="1:2" x14ac:dyDescent="0.25">
      <c r="A12526" t="s">
        <v>1571</v>
      </c>
      <c r="B12526" t="s">
        <v>1134</v>
      </c>
    </row>
    <row r="12527" spans="1:2" x14ac:dyDescent="0.25">
      <c r="A12527" t="s">
        <v>1571</v>
      </c>
      <c r="B12527" t="s">
        <v>1137</v>
      </c>
    </row>
    <row r="12528" spans="1:2" x14ac:dyDescent="0.25">
      <c r="A12528" t="s">
        <v>1571</v>
      </c>
      <c r="B12528" t="s">
        <v>1138</v>
      </c>
    </row>
    <row r="12529" spans="1:2" x14ac:dyDescent="0.25">
      <c r="A12529" t="s">
        <v>1571</v>
      </c>
      <c r="B12529" t="s">
        <v>1138</v>
      </c>
    </row>
    <row r="12530" spans="1:2" x14ac:dyDescent="0.25">
      <c r="A12530" t="s">
        <v>1571</v>
      </c>
      <c r="B12530" t="s">
        <v>1145</v>
      </c>
    </row>
    <row r="12531" spans="1:2" x14ac:dyDescent="0.25">
      <c r="A12531" t="s">
        <v>1571</v>
      </c>
      <c r="B12531" t="s">
        <v>1154</v>
      </c>
    </row>
    <row r="12532" spans="1:2" x14ac:dyDescent="0.25">
      <c r="A12532" t="s">
        <v>1571</v>
      </c>
      <c r="B12532" t="s">
        <v>1154</v>
      </c>
    </row>
    <row r="12533" spans="1:2" x14ac:dyDescent="0.25">
      <c r="A12533" t="s">
        <v>1571</v>
      </c>
      <c r="B12533" t="s">
        <v>1171</v>
      </c>
    </row>
    <row r="12534" spans="1:2" x14ac:dyDescent="0.25">
      <c r="A12534" t="s">
        <v>1571</v>
      </c>
      <c r="B12534" t="s">
        <v>1180</v>
      </c>
    </row>
    <row r="12535" spans="1:2" x14ac:dyDescent="0.25">
      <c r="A12535" t="s">
        <v>1571</v>
      </c>
      <c r="B12535" t="s">
        <v>1180</v>
      </c>
    </row>
    <row r="12536" spans="1:2" x14ac:dyDescent="0.25">
      <c r="A12536" t="s">
        <v>1571</v>
      </c>
      <c r="B12536" t="s">
        <v>1181</v>
      </c>
    </row>
    <row r="12537" spans="1:2" x14ac:dyDescent="0.25">
      <c r="A12537" t="s">
        <v>1571</v>
      </c>
      <c r="B12537" t="s">
        <v>1181</v>
      </c>
    </row>
    <row r="12538" spans="1:2" x14ac:dyDescent="0.25">
      <c r="A12538" t="s">
        <v>1571</v>
      </c>
      <c r="B12538" t="s">
        <v>1182</v>
      </c>
    </row>
    <row r="12539" spans="1:2" x14ac:dyDescent="0.25">
      <c r="A12539" t="s">
        <v>1571</v>
      </c>
      <c r="B12539" t="s">
        <v>1183</v>
      </c>
    </row>
    <row r="12540" spans="1:2" x14ac:dyDescent="0.25">
      <c r="A12540" t="s">
        <v>1571</v>
      </c>
      <c r="B12540" t="s">
        <v>1184</v>
      </c>
    </row>
    <row r="12541" spans="1:2" x14ac:dyDescent="0.25">
      <c r="A12541" t="s">
        <v>1571</v>
      </c>
      <c r="B12541" t="s">
        <v>1185</v>
      </c>
    </row>
    <row r="12542" spans="1:2" x14ac:dyDescent="0.25">
      <c r="A12542" t="s">
        <v>1571</v>
      </c>
      <c r="B12542" t="s">
        <v>1192</v>
      </c>
    </row>
    <row r="12543" spans="1:2" x14ac:dyDescent="0.25">
      <c r="A12543" t="s">
        <v>1571</v>
      </c>
      <c r="B12543" t="s">
        <v>1193</v>
      </c>
    </row>
    <row r="12544" spans="1:2" x14ac:dyDescent="0.25">
      <c r="A12544" t="s">
        <v>1571</v>
      </c>
      <c r="B12544" t="s">
        <v>1197</v>
      </c>
    </row>
    <row r="12545" spans="1:2" x14ac:dyDescent="0.25">
      <c r="A12545" t="s">
        <v>1571</v>
      </c>
      <c r="B12545" t="s">
        <v>1198</v>
      </c>
    </row>
    <row r="12546" spans="1:2" x14ac:dyDescent="0.25">
      <c r="A12546" t="s">
        <v>1571</v>
      </c>
      <c r="B12546" t="s">
        <v>1201</v>
      </c>
    </row>
    <row r="12547" spans="1:2" x14ac:dyDescent="0.25">
      <c r="A12547" t="s">
        <v>1571</v>
      </c>
      <c r="B12547" t="s">
        <v>1201</v>
      </c>
    </row>
    <row r="12548" spans="1:2" x14ac:dyDescent="0.25">
      <c r="A12548" t="s">
        <v>1571</v>
      </c>
      <c r="B12548" t="s">
        <v>1206</v>
      </c>
    </row>
    <row r="12549" spans="1:2" x14ac:dyDescent="0.25">
      <c r="A12549" t="s">
        <v>1571</v>
      </c>
      <c r="B12549" t="s">
        <v>1206</v>
      </c>
    </row>
    <row r="12550" spans="1:2" x14ac:dyDescent="0.25">
      <c r="A12550" t="s">
        <v>1571</v>
      </c>
      <c r="B12550" t="s">
        <v>1225</v>
      </c>
    </row>
    <row r="12551" spans="1:2" x14ac:dyDescent="0.25">
      <c r="A12551" t="s">
        <v>1811</v>
      </c>
      <c r="B12551" t="s">
        <v>1108</v>
      </c>
    </row>
    <row r="12552" spans="1:2" x14ac:dyDescent="0.25">
      <c r="A12552" t="s">
        <v>1811</v>
      </c>
      <c r="B12552" t="s">
        <v>1138</v>
      </c>
    </row>
    <row r="12553" spans="1:2" x14ac:dyDescent="0.25">
      <c r="A12553" t="s">
        <v>1811</v>
      </c>
      <c r="B12553" t="s">
        <v>1154</v>
      </c>
    </row>
    <row r="12554" spans="1:2" x14ac:dyDescent="0.25">
      <c r="A12554" t="s">
        <v>1811</v>
      </c>
      <c r="B12554" t="s">
        <v>1180</v>
      </c>
    </row>
    <row r="12555" spans="1:2" x14ac:dyDescent="0.25">
      <c r="A12555" t="s">
        <v>1811</v>
      </c>
      <c r="B12555" t="s">
        <v>1181</v>
      </c>
    </row>
    <row r="12556" spans="1:2" x14ac:dyDescent="0.25">
      <c r="A12556" t="s">
        <v>1811</v>
      </c>
      <c r="B12556" t="s">
        <v>1182</v>
      </c>
    </row>
    <row r="12557" spans="1:2" x14ac:dyDescent="0.25">
      <c r="A12557" t="s">
        <v>1811</v>
      </c>
      <c r="B12557" t="s">
        <v>1183</v>
      </c>
    </row>
    <row r="12558" spans="1:2" x14ac:dyDescent="0.25">
      <c r="A12558" t="s">
        <v>1811</v>
      </c>
      <c r="B12558" t="s">
        <v>1184</v>
      </c>
    </row>
    <row r="12559" spans="1:2" x14ac:dyDescent="0.25">
      <c r="A12559" t="s">
        <v>1811</v>
      </c>
      <c r="B12559" t="s">
        <v>1185</v>
      </c>
    </row>
    <row r="12560" spans="1:2" x14ac:dyDescent="0.25">
      <c r="A12560" t="s">
        <v>1811</v>
      </c>
      <c r="B12560" t="s">
        <v>1191</v>
      </c>
    </row>
    <row r="12561" spans="1:2" x14ac:dyDescent="0.25">
      <c r="A12561" t="s">
        <v>1811</v>
      </c>
      <c r="B12561" t="s">
        <v>1192</v>
      </c>
    </row>
    <row r="12562" spans="1:2" x14ac:dyDescent="0.25">
      <c r="A12562" t="s">
        <v>1811</v>
      </c>
      <c r="B12562" t="s">
        <v>1193</v>
      </c>
    </row>
    <row r="12563" spans="1:2" x14ac:dyDescent="0.25">
      <c r="A12563" s="11" t="s">
        <v>1524</v>
      </c>
      <c r="B12563" t="s">
        <v>1091</v>
      </c>
    </row>
    <row r="12564" spans="1:2" x14ac:dyDescent="0.25">
      <c r="A12564" t="s">
        <v>1524</v>
      </c>
      <c r="B12564" t="s">
        <v>1092</v>
      </c>
    </row>
    <row r="12565" spans="1:2" x14ac:dyDescent="0.25">
      <c r="A12565" t="s">
        <v>1524</v>
      </c>
      <c r="B12565" t="s">
        <v>1093</v>
      </c>
    </row>
    <row r="12566" spans="1:2" x14ac:dyDescent="0.25">
      <c r="A12566" t="s">
        <v>1524</v>
      </c>
      <c r="B12566" t="s">
        <v>1094</v>
      </c>
    </row>
    <row r="12567" spans="1:2" x14ac:dyDescent="0.25">
      <c r="A12567" t="s">
        <v>1524</v>
      </c>
      <c r="B12567" t="s">
        <v>1160</v>
      </c>
    </row>
    <row r="12568" spans="1:2" x14ac:dyDescent="0.25">
      <c r="A12568" t="s">
        <v>1524</v>
      </c>
      <c r="B12568" t="s">
        <v>1166</v>
      </c>
    </row>
    <row r="12569" spans="1:2" x14ac:dyDescent="0.25">
      <c r="A12569" t="s">
        <v>1524</v>
      </c>
      <c r="B12569" t="s">
        <v>1167</v>
      </c>
    </row>
    <row r="12570" spans="1:2" x14ac:dyDescent="0.25">
      <c r="A12570" t="s">
        <v>1524</v>
      </c>
      <c r="B12570" t="s">
        <v>1168</v>
      </c>
    </row>
    <row r="12571" spans="1:2" x14ac:dyDescent="0.25">
      <c r="A12571" t="s">
        <v>1524</v>
      </c>
      <c r="B12571" t="s">
        <v>1169</v>
      </c>
    </row>
    <row r="12572" spans="1:2" x14ac:dyDescent="0.25">
      <c r="A12572" t="s">
        <v>1524</v>
      </c>
      <c r="B12572" t="s">
        <v>1170</v>
      </c>
    </row>
    <row r="12573" spans="1:2" x14ac:dyDescent="0.25">
      <c r="A12573" t="s">
        <v>1524</v>
      </c>
      <c r="B12573" t="s">
        <v>1194</v>
      </c>
    </row>
    <row r="12574" spans="1:2" x14ac:dyDescent="0.25">
      <c r="A12574" t="s">
        <v>1524</v>
      </c>
      <c r="B12574" t="s">
        <v>1198</v>
      </c>
    </row>
    <row r="12575" spans="1:2" x14ac:dyDescent="0.25">
      <c r="A12575" s="11" t="s">
        <v>1525</v>
      </c>
      <c r="B12575" t="s">
        <v>1091</v>
      </c>
    </row>
    <row r="12576" spans="1:2" x14ac:dyDescent="0.25">
      <c r="A12576" t="s">
        <v>1525</v>
      </c>
      <c r="B12576" t="s">
        <v>1092</v>
      </c>
    </row>
    <row r="12577" spans="1:2" x14ac:dyDescent="0.25">
      <c r="A12577" t="s">
        <v>1525</v>
      </c>
      <c r="B12577" t="s">
        <v>1093</v>
      </c>
    </row>
    <row r="12578" spans="1:2" x14ac:dyDescent="0.25">
      <c r="A12578" t="s">
        <v>1525</v>
      </c>
      <c r="B12578" t="s">
        <v>1094</v>
      </c>
    </row>
    <row r="12579" spans="1:2" x14ac:dyDescent="0.25">
      <c r="A12579" t="s">
        <v>1525</v>
      </c>
      <c r="B12579" t="s">
        <v>1160</v>
      </c>
    </row>
    <row r="12580" spans="1:2" x14ac:dyDescent="0.25">
      <c r="A12580" t="s">
        <v>1525</v>
      </c>
      <c r="B12580" t="s">
        <v>1166</v>
      </c>
    </row>
    <row r="12581" spans="1:2" x14ac:dyDescent="0.25">
      <c r="A12581" t="s">
        <v>1525</v>
      </c>
      <c r="B12581" t="s">
        <v>1167</v>
      </c>
    </row>
    <row r="12582" spans="1:2" x14ac:dyDescent="0.25">
      <c r="A12582" t="s">
        <v>1525</v>
      </c>
      <c r="B12582" t="s">
        <v>1168</v>
      </c>
    </row>
    <row r="12583" spans="1:2" x14ac:dyDescent="0.25">
      <c r="A12583" t="s">
        <v>1525</v>
      </c>
      <c r="B12583" t="s">
        <v>1169</v>
      </c>
    </row>
    <row r="12584" spans="1:2" x14ac:dyDescent="0.25">
      <c r="A12584" t="s">
        <v>1525</v>
      </c>
      <c r="B12584" t="s">
        <v>1170</v>
      </c>
    </row>
    <row r="12585" spans="1:2" x14ac:dyDescent="0.25">
      <c r="A12585" t="s">
        <v>1525</v>
      </c>
      <c r="B12585" t="s">
        <v>1194</v>
      </c>
    </row>
    <row r="12586" spans="1:2" x14ac:dyDescent="0.25">
      <c r="A12586" t="s">
        <v>1525</v>
      </c>
      <c r="B12586" t="s">
        <v>1198</v>
      </c>
    </row>
    <row r="12587" spans="1:2" x14ac:dyDescent="0.25">
      <c r="A12587" s="11" t="s">
        <v>1522</v>
      </c>
      <c r="B12587" t="s">
        <v>1091</v>
      </c>
    </row>
    <row r="12588" spans="1:2" x14ac:dyDescent="0.25">
      <c r="A12588" t="s">
        <v>1522</v>
      </c>
      <c r="B12588" t="s">
        <v>1092</v>
      </c>
    </row>
    <row r="12589" spans="1:2" x14ac:dyDescent="0.25">
      <c r="A12589" t="s">
        <v>1522</v>
      </c>
      <c r="B12589" t="s">
        <v>1093</v>
      </c>
    </row>
    <row r="12590" spans="1:2" x14ac:dyDescent="0.25">
      <c r="A12590" t="s">
        <v>1522</v>
      </c>
      <c r="B12590" t="s">
        <v>1094</v>
      </c>
    </row>
    <row r="12591" spans="1:2" x14ac:dyDescent="0.25">
      <c r="A12591" t="s">
        <v>1522</v>
      </c>
      <c r="B12591" t="s">
        <v>1160</v>
      </c>
    </row>
    <row r="12592" spans="1:2" x14ac:dyDescent="0.25">
      <c r="A12592" t="s">
        <v>1522</v>
      </c>
      <c r="B12592" t="s">
        <v>1166</v>
      </c>
    </row>
    <row r="12593" spans="1:2" x14ac:dyDescent="0.25">
      <c r="A12593" t="s">
        <v>1522</v>
      </c>
      <c r="B12593" t="s">
        <v>1167</v>
      </c>
    </row>
    <row r="12594" spans="1:2" x14ac:dyDescent="0.25">
      <c r="A12594" t="s">
        <v>1522</v>
      </c>
      <c r="B12594" t="s">
        <v>1168</v>
      </c>
    </row>
    <row r="12595" spans="1:2" x14ac:dyDescent="0.25">
      <c r="A12595" t="s">
        <v>1522</v>
      </c>
      <c r="B12595" t="s">
        <v>1169</v>
      </c>
    </row>
    <row r="12596" spans="1:2" x14ac:dyDescent="0.25">
      <c r="A12596" t="s">
        <v>1522</v>
      </c>
      <c r="B12596" t="s">
        <v>1170</v>
      </c>
    </row>
    <row r="12597" spans="1:2" x14ac:dyDescent="0.25">
      <c r="A12597" t="s">
        <v>1522</v>
      </c>
      <c r="B12597" t="s">
        <v>1194</v>
      </c>
    </row>
    <row r="12598" spans="1:2" x14ac:dyDescent="0.25">
      <c r="A12598" t="s">
        <v>1522</v>
      </c>
      <c r="B12598" t="s">
        <v>1198</v>
      </c>
    </row>
    <row r="12599" spans="1:2" x14ac:dyDescent="0.25">
      <c r="A12599" s="11" t="s">
        <v>1523</v>
      </c>
      <c r="B12599" t="s">
        <v>1091</v>
      </c>
    </row>
    <row r="12600" spans="1:2" x14ac:dyDescent="0.25">
      <c r="A12600" t="s">
        <v>1523</v>
      </c>
      <c r="B12600" t="s">
        <v>1092</v>
      </c>
    </row>
    <row r="12601" spans="1:2" x14ac:dyDescent="0.25">
      <c r="A12601" t="s">
        <v>1523</v>
      </c>
      <c r="B12601" t="s">
        <v>1093</v>
      </c>
    </row>
    <row r="12602" spans="1:2" x14ac:dyDescent="0.25">
      <c r="A12602" t="s">
        <v>1523</v>
      </c>
      <c r="B12602" t="s">
        <v>1094</v>
      </c>
    </row>
    <row r="12603" spans="1:2" x14ac:dyDescent="0.25">
      <c r="A12603" t="s">
        <v>1523</v>
      </c>
      <c r="B12603" t="s">
        <v>1160</v>
      </c>
    </row>
    <row r="12604" spans="1:2" x14ac:dyDescent="0.25">
      <c r="A12604" t="s">
        <v>1523</v>
      </c>
      <c r="B12604" t="s">
        <v>1166</v>
      </c>
    </row>
    <row r="12605" spans="1:2" x14ac:dyDescent="0.25">
      <c r="A12605" t="s">
        <v>1523</v>
      </c>
      <c r="B12605" t="s">
        <v>1167</v>
      </c>
    </row>
    <row r="12606" spans="1:2" x14ac:dyDescent="0.25">
      <c r="A12606" t="s">
        <v>1523</v>
      </c>
      <c r="B12606" t="s">
        <v>1168</v>
      </c>
    </row>
    <row r="12607" spans="1:2" x14ac:dyDescent="0.25">
      <c r="A12607" t="s">
        <v>1523</v>
      </c>
      <c r="B12607" t="s">
        <v>1169</v>
      </c>
    </row>
    <row r="12608" spans="1:2" x14ac:dyDescent="0.25">
      <c r="A12608" t="s">
        <v>1523</v>
      </c>
      <c r="B12608" t="s">
        <v>1170</v>
      </c>
    </row>
    <row r="12609" spans="1:2" x14ac:dyDescent="0.25">
      <c r="A12609" t="s">
        <v>1523</v>
      </c>
      <c r="B12609" t="s">
        <v>1194</v>
      </c>
    </row>
    <row r="12610" spans="1:2" x14ac:dyDescent="0.25">
      <c r="A12610" t="s">
        <v>1523</v>
      </c>
      <c r="B12610" t="s">
        <v>1198</v>
      </c>
    </row>
    <row r="12611" spans="1:2" x14ac:dyDescent="0.25">
      <c r="A12611" t="s">
        <v>2162</v>
      </c>
      <c r="B12611" t="s">
        <v>1154</v>
      </c>
    </row>
    <row r="12612" spans="1:2" x14ac:dyDescent="0.25">
      <c r="A12612" t="s">
        <v>2162</v>
      </c>
      <c r="B12612" t="s">
        <v>1155</v>
      </c>
    </row>
    <row r="12613" spans="1:2" x14ac:dyDescent="0.25">
      <c r="A12613" t="s">
        <v>2162</v>
      </c>
      <c r="B12613" t="s">
        <v>1156</v>
      </c>
    </row>
    <row r="12614" spans="1:2" x14ac:dyDescent="0.25">
      <c r="A12614" t="s">
        <v>2162</v>
      </c>
      <c r="B12614" t="s">
        <v>1157</v>
      </c>
    </row>
    <row r="12615" spans="1:2" x14ac:dyDescent="0.25">
      <c r="A12615" t="s">
        <v>2162</v>
      </c>
      <c r="B12615" t="s">
        <v>1158</v>
      </c>
    </row>
    <row r="12616" spans="1:2" x14ac:dyDescent="0.25">
      <c r="A12616" t="s">
        <v>2162</v>
      </c>
      <c r="B12616" t="s">
        <v>1159</v>
      </c>
    </row>
    <row r="12617" spans="1:2" x14ac:dyDescent="0.25">
      <c r="A12617" t="s">
        <v>2162</v>
      </c>
      <c r="B12617" t="s">
        <v>1160</v>
      </c>
    </row>
    <row r="12618" spans="1:2" x14ac:dyDescent="0.25">
      <c r="A12618" t="s">
        <v>2162</v>
      </c>
      <c r="B12618" t="s">
        <v>1161</v>
      </c>
    </row>
    <row r="12619" spans="1:2" x14ac:dyDescent="0.25">
      <c r="A12619" t="s">
        <v>2162</v>
      </c>
      <c r="B12619" t="s">
        <v>1162</v>
      </c>
    </row>
    <row r="12620" spans="1:2" x14ac:dyDescent="0.25">
      <c r="A12620" t="s">
        <v>2162</v>
      </c>
      <c r="B12620" t="s">
        <v>1163</v>
      </c>
    </row>
    <row r="12621" spans="1:2" x14ac:dyDescent="0.25">
      <c r="A12621" t="s">
        <v>2162</v>
      </c>
      <c r="B12621" t="s">
        <v>1164</v>
      </c>
    </row>
    <row r="12622" spans="1:2" x14ac:dyDescent="0.25">
      <c r="A12622" t="s">
        <v>2162</v>
      </c>
      <c r="B12622" t="s">
        <v>1165</v>
      </c>
    </row>
    <row r="12623" spans="1:2" x14ac:dyDescent="0.25">
      <c r="A12623" t="s">
        <v>2162</v>
      </c>
      <c r="B12623" t="s">
        <v>1166</v>
      </c>
    </row>
    <row r="12624" spans="1:2" x14ac:dyDescent="0.25">
      <c r="A12624" t="s">
        <v>2162</v>
      </c>
      <c r="B12624" t="s">
        <v>1167</v>
      </c>
    </row>
    <row r="12625" spans="1:2" x14ac:dyDescent="0.25">
      <c r="A12625" t="s">
        <v>2162</v>
      </c>
      <c r="B12625" t="s">
        <v>1168</v>
      </c>
    </row>
    <row r="12626" spans="1:2" x14ac:dyDescent="0.25">
      <c r="A12626" t="s">
        <v>2162</v>
      </c>
      <c r="B12626" t="s">
        <v>1169</v>
      </c>
    </row>
    <row r="12627" spans="1:2" x14ac:dyDescent="0.25">
      <c r="A12627" t="s">
        <v>2162</v>
      </c>
      <c r="B12627" t="s">
        <v>1170</v>
      </c>
    </row>
    <row r="12628" spans="1:2" x14ac:dyDescent="0.25">
      <c r="A12628" t="s">
        <v>2162</v>
      </c>
      <c r="B12628" t="s">
        <v>1171</v>
      </c>
    </row>
    <row r="12629" spans="1:2" x14ac:dyDescent="0.25">
      <c r="A12629" t="s">
        <v>2162</v>
      </c>
      <c r="B12629" t="s">
        <v>1172</v>
      </c>
    </row>
    <row r="12630" spans="1:2" x14ac:dyDescent="0.25">
      <c r="A12630" t="s">
        <v>2162</v>
      </c>
      <c r="B12630" t="s">
        <v>1173</v>
      </c>
    </row>
    <row r="12631" spans="1:2" x14ac:dyDescent="0.25">
      <c r="A12631" t="s">
        <v>2162</v>
      </c>
      <c r="B12631" t="s">
        <v>1174</v>
      </c>
    </row>
    <row r="12632" spans="1:2" x14ac:dyDescent="0.25">
      <c r="A12632" t="s">
        <v>2162</v>
      </c>
      <c r="B12632" t="s">
        <v>1175</v>
      </c>
    </row>
    <row r="12633" spans="1:2" x14ac:dyDescent="0.25">
      <c r="A12633" t="s">
        <v>2162</v>
      </c>
      <c r="B12633" t="s">
        <v>1176</v>
      </c>
    </row>
    <row r="12634" spans="1:2" x14ac:dyDescent="0.25">
      <c r="A12634" t="s">
        <v>2162</v>
      </c>
      <c r="B12634" t="s">
        <v>1177</v>
      </c>
    </row>
    <row r="12635" spans="1:2" x14ac:dyDescent="0.25">
      <c r="A12635" t="s">
        <v>2162</v>
      </c>
      <c r="B12635" t="s">
        <v>1178</v>
      </c>
    </row>
    <row r="12636" spans="1:2" x14ac:dyDescent="0.25">
      <c r="A12636" t="s">
        <v>2162</v>
      </c>
      <c r="B12636" t="s">
        <v>1179</v>
      </c>
    </row>
    <row r="12637" spans="1:2" x14ac:dyDescent="0.25">
      <c r="A12637" t="s">
        <v>2162</v>
      </c>
      <c r="B12637" t="s">
        <v>1180</v>
      </c>
    </row>
    <row r="12638" spans="1:2" x14ac:dyDescent="0.25">
      <c r="A12638" t="s">
        <v>2162</v>
      </c>
      <c r="B12638" t="s">
        <v>1181</v>
      </c>
    </row>
    <row r="12639" spans="1:2" x14ac:dyDescent="0.25">
      <c r="A12639" t="s">
        <v>2162</v>
      </c>
      <c r="B12639" t="s">
        <v>1182</v>
      </c>
    </row>
    <row r="12640" spans="1:2" x14ac:dyDescent="0.25">
      <c r="A12640" t="s">
        <v>2162</v>
      </c>
      <c r="B12640" t="s">
        <v>1183</v>
      </c>
    </row>
    <row r="12641" spans="1:2" x14ac:dyDescent="0.25">
      <c r="A12641" t="s">
        <v>2162</v>
      </c>
      <c r="B12641" t="s">
        <v>1184</v>
      </c>
    </row>
    <row r="12642" spans="1:2" x14ac:dyDescent="0.25">
      <c r="A12642" t="s">
        <v>2162</v>
      </c>
      <c r="B12642" t="s">
        <v>1185</v>
      </c>
    </row>
    <row r="12643" spans="1:2" x14ac:dyDescent="0.25">
      <c r="A12643" t="s">
        <v>2162</v>
      </c>
      <c r="B12643" t="s">
        <v>1186</v>
      </c>
    </row>
    <row r="12644" spans="1:2" x14ac:dyDescent="0.25">
      <c r="A12644" t="s">
        <v>2162</v>
      </c>
      <c r="B12644" t="s">
        <v>1187</v>
      </c>
    </row>
    <row r="12645" spans="1:2" x14ac:dyDescent="0.25">
      <c r="A12645" t="s">
        <v>2162</v>
      </c>
      <c r="B12645" t="s">
        <v>1188</v>
      </c>
    </row>
    <row r="12646" spans="1:2" x14ac:dyDescent="0.25">
      <c r="A12646" t="s">
        <v>2162</v>
      </c>
      <c r="B12646" t="s">
        <v>1189</v>
      </c>
    </row>
    <row r="12647" spans="1:2" x14ac:dyDescent="0.25">
      <c r="A12647" t="s">
        <v>2162</v>
      </c>
      <c r="B12647" t="s">
        <v>1190</v>
      </c>
    </row>
    <row r="12648" spans="1:2" x14ac:dyDescent="0.25">
      <c r="A12648" t="s">
        <v>2162</v>
      </c>
      <c r="B12648" t="s">
        <v>1191</v>
      </c>
    </row>
    <row r="12649" spans="1:2" x14ac:dyDescent="0.25">
      <c r="A12649" t="s">
        <v>2162</v>
      </c>
      <c r="B12649" t="s">
        <v>1192</v>
      </c>
    </row>
    <row r="12650" spans="1:2" x14ac:dyDescent="0.25">
      <c r="A12650" t="s">
        <v>2162</v>
      </c>
      <c r="B12650" t="s">
        <v>1193</v>
      </c>
    </row>
    <row r="12651" spans="1:2" x14ac:dyDescent="0.25">
      <c r="A12651" t="s">
        <v>2162</v>
      </c>
      <c r="B12651" t="s">
        <v>1194</v>
      </c>
    </row>
    <row r="12652" spans="1:2" x14ac:dyDescent="0.25">
      <c r="A12652" t="s">
        <v>2162</v>
      </c>
      <c r="B12652" t="s">
        <v>1195</v>
      </c>
    </row>
    <row r="12653" spans="1:2" x14ac:dyDescent="0.25">
      <c r="A12653" t="s">
        <v>2162</v>
      </c>
      <c r="B12653" t="s">
        <v>1196</v>
      </c>
    </row>
    <row r="12654" spans="1:2" x14ac:dyDescent="0.25">
      <c r="A12654" t="s">
        <v>2162</v>
      </c>
      <c r="B12654" t="s">
        <v>1197</v>
      </c>
    </row>
    <row r="12655" spans="1:2" x14ac:dyDescent="0.25">
      <c r="A12655" t="s">
        <v>2162</v>
      </c>
      <c r="B12655" t="s">
        <v>1198</v>
      </c>
    </row>
    <row r="12656" spans="1:2" x14ac:dyDescent="0.25">
      <c r="A12656" t="s">
        <v>2162</v>
      </c>
      <c r="B12656" t="s">
        <v>1199</v>
      </c>
    </row>
    <row r="12657" spans="1:2" x14ac:dyDescent="0.25">
      <c r="A12657" t="s">
        <v>2162</v>
      </c>
      <c r="B12657" t="s">
        <v>1200</v>
      </c>
    </row>
    <row r="12658" spans="1:2" x14ac:dyDescent="0.25">
      <c r="A12658" t="s">
        <v>2162</v>
      </c>
      <c r="B12658" t="s">
        <v>1201</v>
      </c>
    </row>
    <row r="12659" spans="1:2" x14ac:dyDescent="0.25">
      <c r="A12659" t="s">
        <v>2162</v>
      </c>
      <c r="B12659" t="s">
        <v>1202</v>
      </c>
    </row>
    <row r="12660" spans="1:2" x14ac:dyDescent="0.25">
      <c r="A12660" t="s">
        <v>2162</v>
      </c>
      <c r="B12660" t="s">
        <v>1203</v>
      </c>
    </row>
    <row r="12661" spans="1:2" x14ac:dyDescent="0.25">
      <c r="A12661" t="s">
        <v>2162</v>
      </c>
      <c r="B12661" t="s">
        <v>1204</v>
      </c>
    </row>
    <row r="12662" spans="1:2" x14ac:dyDescent="0.25">
      <c r="A12662" t="s">
        <v>2162</v>
      </c>
      <c r="B12662" t="s">
        <v>1205</v>
      </c>
    </row>
    <row r="12663" spans="1:2" x14ac:dyDescent="0.25">
      <c r="A12663" t="s">
        <v>2162</v>
      </c>
      <c r="B12663" t="s">
        <v>1206</v>
      </c>
    </row>
    <row r="12664" spans="1:2" x14ac:dyDescent="0.25">
      <c r="A12664" t="s">
        <v>2162</v>
      </c>
      <c r="B12664" t="s">
        <v>1207</v>
      </c>
    </row>
    <row r="12665" spans="1:2" x14ac:dyDescent="0.25">
      <c r="A12665" t="s">
        <v>2162</v>
      </c>
      <c r="B12665" t="s">
        <v>1208</v>
      </c>
    </row>
    <row r="12666" spans="1:2" x14ac:dyDescent="0.25">
      <c r="A12666" t="s">
        <v>2162</v>
      </c>
      <c r="B12666" t="s">
        <v>1209</v>
      </c>
    </row>
    <row r="12667" spans="1:2" x14ac:dyDescent="0.25">
      <c r="A12667" t="s">
        <v>2162</v>
      </c>
      <c r="B12667" t="s">
        <v>1210</v>
      </c>
    </row>
    <row r="12668" spans="1:2" x14ac:dyDescent="0.25">
      <c r="A12668" t="s">
        <v>2162</v>
      </c>
      <c r="B12668" t="s">
        <v>1211</v>
      </c>
    </row>
    <row r="12669" spans="1:2" x14ac:dyDescent="0.25">
      <c r="A12669" t="s">
        <v>2162</v>
      </c>
      <c r="B12669" t="s">
        <v>1212</v>
      </c>
    </row>
    <row r="12670" spans="1:2" x14ac:dyDescent="0.25">
      <c r="A12670" t="s">
        <v>2161</v>
      </c>
      <c r="B12670" t="s">
        <v>1154</v>
      </c>
    </row>
    <row r="12671" spans="1:2" x14ac:dyDescent="0.25">
      <c r="A12671" t="s">
        <v>2161</v>
      </c>
      <c r="B12671" t="s">
        <v>1155</v>
      </c>
    </row>
    <row r="12672" spans="1:2" x14ac:dyDescent="0.25">
      <c r="A12672" t="s">
        <v>2161</v>
      </c>
      <c r="B12672" t="s">
        <v>1156</v>
      </c>
    </row>
    <row r="12673" spans="1:2" x14ac:dyDescent="0.25">
      <c r="A12673" t="s">
        <v>2161</v>
      </c>
      <c r="B12673" t="s">
        <v>1157</v>
      </c>
    </row>
    <row r="12674" spans="1:2" x14ac:dyDescent="0.25">
      <c r="A12674" t="s">
        <v>2161</v>
      </c>
      <c r="B12674" t="s">
        <v>1158</v>
      </c>
    </row>
    <row r="12675" spans="1:2" x14ac:dyDescent="0.25">
      <c r="A12675" t="s">
        <v>2161</v>
      </c>
      <c r="B12675" t="s">
        <v>1159</v>
      </c>
    </row>
    <row r="12676" spans="1:2" x14ac:dyDescent="0.25">
      <c r="A12676" t="s">
        <v>2161</v>
      </c>
      <c r="B12676" t="s">
        <v>1160</v>
      </c>
    </row>
    <row r="12677" spans="1:2" x14ac:dyDescent="0.25">
      <c r="A12677" t="s">
        <v>2161</v>
      </c>
      <c r="B12677" t="s">
        <v>1161</v>
      </c>
    </row>
    <row r="12678" spans="1:2" x14ac:dyDescent="0.25">
      <c r="A12678" t="s">
        <v>2161</v>
      </c>
      <c r="B12678" t="s">
        <v>1162</v>
      </c>
    </row>
    <row r="12679" spans="1:2" x14ac:dyDescent="0.25">
      <c r="A12679" t="s">
        <v>2161</v>
      </c>
      <c r="B12679" t="s">
        <v>1163</v>
      </c>
    </row>
    <row r="12680" spans="1:2" x14ac:dyDescent="0.25">
      <c r="A12680" t="s">
        <v>2161</v>
      </c>
      <c r="B12680" t="s">
        <v>1164</v>
      </c>
    </row>
    <row r="12681" spans="1:2" x14ac:dyDescent="0.25">
      <c r="A12681" t="s">
        <v>2161</v>
      </c>
      <c r="B12681" t="s">
        <v>1165</v>
      </c>
    </row>
    <row r="12682" spans="1:2" x14ac:dyDescent="0.25">
      <c r="A12682" t="s">
        <v>2161</v>
      </c>
      <c r="B12682" t="s">
        <v>1166</v>
      </c>
    </row>
    <row r="12683" spans="1:2" x14ac:dyDescent="0.25">
      <c r="A12683" t="s">
        <v>2161</v>
      </c>
      <c r="B12683" t="s">
        <v>1167</v>
      </c>
    </row>
    <row r="12684" spans="1:2" x14ac:dyDescent="0.25">
      <c r="A12684" t="s">
        <v>2161</v>
      </c>
      <c r="B12684" t="s">
        <v>1168</v>
      </c>
    </row>
    <row r="12685" spans="1:2" x14ac:dyDescent="0.25">
      <c r="A12685" t="s">
        <v>2161</v>
      </c>
      <c r="B12685" t="s">
        <v>1169</v>
      </c>
    </row>
    <row r="12686" spans="1:2" x14ac:dyDescent="0.25">
      <c r="A12686" t="s">
        <v>2161</v>
      </c>
      <c r="B12686" t="s">
        <v>1170</v>
      </c>
    </row>
    <row r="12687" spans="1:2" x14ac:dyDescent="0.25">
      <c r="A12687" t="s">
        <v>2161</v>
      </c>
      <c r="B12687" t="s">
        <v>1171</v>
      </c>
    </row>
    <row r="12688" spans="1:2" x14ac:dyDescent="0.25">
      <c r="A12688" t="s">
        <v>2161</v>
      </c>
      <c r="B12688" t="s">
        <v>1172</v>
      </c>
    </row>
    <row r="12689" spans="1:2" x14ac:dyDescent="0.25">
      <c r="A12689" t="s">
        <v>2161</v>
      </c>
      <c r="B12689" t="s">
        <v>1173</v>
      </c>
    </row>
    <row r="12690" spans="1:2" x14ac:dyDescent="0.25">
      <c r="A12690" t="s">
        <v>2161</v>
      </c>
      <c r="B12690" t="s">
        <v>1174</v>
      </c>
    </row>
    <row r="12691" spans="1:2" x14ac:dyDescent="0.25">
      <c r="A12691" t="s">
        <v>2161</v>
      </c>
      <c r="B12691" t="s">
        <v>1175</v>
      </c>
    </row>
    <row r="12692" spans="1:2" x14ac:dyDescent="0.25">
      <c r="A12692" t="s">
        <v>2161</v>
      </c>
      <c r="B12692" t="s">
        <v>1176</v>
      </c>
    </row>
    <row r="12693" spans="1:2" x14ac:dyDescent="0.25">
      <c r="A12693" t="s">
        <v>2161</v>
      </c>
      <c r="B12693" t="s">
        <v>1177</v>
      </c>
    </row>
    <row r="12694" spans="1:2" x14ac:dyDescent="0.25">
      <c r="A12694" t="s">
        <v>2161</v>
      </c>
      <c r="B12694" t="s">
        <v>1178</v>
      </c>
    </row>
    <row r="12695" spans="1:2" x14ac:dyDescent="0.25">
      <c r="A12695" t="s">
        <v>2161</v>
      </c>
      <c r="B12695" t="s">
        <v>1179</v>
      </c>
    </row>
    <row r="12696" spans="1:2" x14ac:dyDescent="0.25">
      <c r="A12696" t="s">
        <v>2161</v>
      </c>
      <c r="B12696" t="s">
        <v>1180</v>
      </c>
    </row>
    <row r="12697" spans="1:2" x14ac:dyDescent="0.25">
      <c r="A12697" t="s">
        <v>2161</v>
      </c>
      <c r="B12697" t="s">
        <v>1181</v>
      </c>
    </row>
    <row r="12698" spans="1:2" x14ac:dyDescent="0.25">
      <c r="A12698" t="s">
        <v>2161</v>
      </c>
      <c r="B12698" t="s">
        <v>1182</v>
      </c>
    </row>
    <row r="12699" spans="1:2" x14ac:dyDescent="0.25">
      <c r="A12699" t="s">
        <v>2161</v>
      </c>
      <c r="B12699" t="s">
        <v>1183</v>
      </c>
    </row>
    <row r="12700" spans="1:2" x14ac:dyDescent="0.25">
      <c r="A12700" t="s">
        <v>2161</v>
      </c>
      <c r="B12700" t="s">
        <v>1184</v>
      </c>
    </row>
    <row r="12701" spans="1:2" x14ac:dyDescent="0.25">
      <c r="A12701" t="s">
        <v>2161</v>
      </c>
      <c r="B12701" t="s">
        <v>1185</v>
      </c>
    </row>
    <row r="12702" spans="1:2" x14ac:dyDescent="0.25">
      <c r="A12702" t="s">
        <v>2161</v>
      </c>
      <c r="B12702" t="s">
        <v>1186</v>
      </c>
    </row>
    <row r="12703" spans="1:2" x14ac:dyDescent="0.25">
      <c r="A12703" t="s">
        <v>2161</v>
      </c>
      <c r="B12703" t="s">
        <v>1187</v>
      </c>
    </row>
    <row r="12704" spans="1:2" x14ac:dyDescent="0.25">
      <c r="A12704" t="s">
        <v>2161</v>
      </c>
      <c r="B12704" t="s">
        <v>1188</v>
      </c>
    </row>
    <row r="12705" spans="1:2" x14ac:dyDescent="0.25">
      <c r="A12705" t="s">
        <v>2161</v>
      </c>
      <c r="B12705" t="s">
        <v>1189</v>
      </c>
    </row>
    <row r="12706" spans="1:2" x14ac:dyDescent="0.25">
      <c r="A12706" t="s">
        <v>2161</v>
      </c>
      <c r="B12706" t="s">
        <v>1190</v>
      </c>
    </row>
    <row r="12707" spans="1:2" x14ac:dyDescent="0.25">
      <c r="A12707" t="s">
        <v>2161</v>
      </c>
      <c r="B12707" t="s">
        <v>1191</v>
      </c>
    </row>
    <row r="12708" spans="1:2" x14ac:dyDescent="0.25">
      <c r="A12708" t="s">
        <v>2161</v>
      </c>
      <c r="B12708" t="s">
        <v>1192</v>
      </c>
    </row>
    <row r="12709" spans="1:2" x14ac:dyDescent="0.25">
      <c r="A12709" t="s">
        <v>2161</v>
      </c>
      <c r="B12709" t="s">
        <v>1193</v>
      </c>
    </row>
    <row r="12710" spans="1:2" x14ac:dyDescent="0.25">
      <c r="A12710" t="s">
        <v>2161</v>
      </c>
      <c r="B12710" t="s">
        <v>1194</v>
      </c>
    </row>
    <row r="12711" spans="1:2" x14ac:dyDescent="0.25">
      <c r="A12711" t="s">
        <v>2161</v>
      </c>
      <c r="B12711" t="s">
        <v>1195</v>
      </c>
    </row>
    <row r="12712" spans="1:2" x14ac:dyDescent="0.25">
      <c r="A12712" t="s">
        <v>2161</v>
      </c>
      <c r="B12712" t="s">
        <v>1196</v>
      </c>
    </row>
    <row r="12713" spans="1:2" x14ac:dyDescent="0.25">
      <c r="A12713" t="s">
        <v>2161</v>
      </c>
      <c r="B12713" t="s">
        <v>1197</v>
      </c>
    </row>
    <row r="12714" spans="1:2" x14ac:dyDescent="0.25">
      <c r="A12714" t="s">
        <v>2161</v>
      </c>
      <c r="B12714" t="s">
        <v>1198</v>
      </c>
    </row>
    <row r="12715" spans="1:2" x14ac:dyDescent="0.25">
      <c r="A12715" t="s">
        <v>2161</v>
      </c>
      <c r="B12715" t="s">
        <v>1199</v>
      </c>
    </row>
    <row r="12716" spans="1:2" x14ac:dyDescent="0.25">
      <c r="A12716" t="s">
        <v>2161</v>
      </c>
      <c r="B12716" t="s">
        <v>1200</v>
      </c>
    </row>
    <row r="12717" spans="1:2" x14ac:dyDescent="0.25">
      <c r="A12717" t="s">
        <v>2161</v>
      </c>
      <c r="B12717" t="s">
        <v>1201</v>
      </c>
    </row>
    <row r="12718" spans="1:2" x14ac:dyDescent="0.25">
      <c r="A12718" t="s">
        <v>2161</v>
      </c>
      <c r="B12718" t="s">
        <v>1202</v>
      </c>
    </row>
    <row r="12719" spans="1:2" x14ac:dyDescent="0.25">
      <c r="A12719" t="s">
        <v>2161</v>
      </c>
      <c r="B12719" t="s">
        <v>1203</v>
      </c>
    </row>
    <row r="12720" spans="1:2" x14ac:dyDescent="0.25">
      <c r="A12720" t="s">
        <v>2161</v>
      </c>
      <c r="B12720" t="s">
        <v>1204</v>
      </c>
    </row>
    <row r="12721" spans="1:2" x14ac:dyDescent="0.25">
      <c r="A12721" t="s">
        <v>2161</v>
      </c>
      <c r="B12721" t="s">
        <v>1205</v>
      </c>
    </row>
    <row r="12722" spans="1:2" x14ac:dyDescent="0.25">
      <c r="A12722" t="s">
        <v>2161</v>
      </c>
      <c r="B12722" t="s">
        <v>1206</v>
      </c>
    </row>
    <row r="12723" spans="1:2" x14ac:dyDescent="0.25">
      <c r="A12723" t="s">
        <v>2161</v>
      </c>
      <c r="B12723" t="s">
        <v>1207</v>
      </c>
    </row>
    <row r="12724" spans="1:2" x14ac:dyDescent="0.25">
      <c r="A12724" t="s">
        <v>2161</v>
      </c>
      <c r="B12724" t="s">
        <v>1208</v>
      </c>
    </row>
    <row r="12725" spans="1:2" x14ac:dyDescent="0.25">
      <c r="A12725" t="s">
        <v>2161</v>
      </c>
      <c r="B12725" t="s">
        <v>1209</v>
      </c>
    </row>
    <row r="12726" spans="1:2" x14ac:dyDescent="0.25">
      <c r="A12726" t="s">
        <v>2161</v>
      </c>
      <c r="B12726" t="s">
        <v>1210</v>
      </c>
    </row>
    <row r="12727" spans="1:2" x14ac:dyDescent="0.25">
      <c r="A12727" t="s">
        <v>2161</v>
      </c>
      <c r="B12727" t="s">
        <v>1211</v>
      </c>
    </row>
    <row r="12728" spans="1:2" x14ac:dyDescent="0.25">
      <c r="A12728" t="s">
        <v>2161</v>
      </c>
      <c r="B12728" t="s">
        <v>1212</v>
      </c>
    </row>
    <row r="12729" spans="1:2" x14ac:dyDescent="0.25">
      <c r="A12729" t="s">
        <v>2216</v>
      </c>
      <c r="B12729" t="s">
        <v>1166</v>
      </c>
    </row>
    <row r="12730" spans="1:2" x14ac:dyDescent="0.25">
      <c r="A12730" t="s">
        <v>2216</v>
      </c>
      <c r="B12730" t="s">
        <v>1167</v>
      </c>
    </row>
    <row r="12731" spans="1:2" x14ac:dyDescent="0.25">
      <c r="A12731" t="s">
        <v>2216</v>
      </c>
      <c r="B12731" t="s">
        <v>1168</v>
      </c>
    </row>
    <row r="12732" spans="1:2" x14ac:dyDescent="0.25">
      <c r="A12732" t="s">
        <v>2216</v>
      </c>
      <c r="B12732" t="s">
        <v>1169</v>
      </c>
    </row>
    <row r="12733" spans="1:2" x14ac:dyDescent="0.25">
      <c r="A12733" t="s">
        <v>2216</v>
      </c>
      <c r="B12733" t="s">
        <v>1170</v>
      </c>
    </row>
    <row r="12734" spans="1:2" x14ac:dyDescent="0.25">
      <c r="A12734" t="s">
        <v>2216</v>
      </c>
      <c r="B12734" t="s">
        <v>1171</v>
      </c>
    </row>
    <row r="12735" spans="1:2" x14ac:dyDescent="0.25">
      <c r="A12735" t="s">
        <v>2216</v>
      </c>
      <c r="B12735" t="s">
        <v>1172</v>
      </c>
    </row>
    <row r="12736" spans="1:2" x14ac:dyDescent="0.25">
      <c r="A12736" t="s">
        <v>2216</v>
      </c>
      <c r="B12736" t="s">
        <v>1173</v>
      </c>
    </row>
    <row r="12737" spans="1:2" x14ac:dyDescent="0.25">
      <c r="A12737" t="s">
        <v>2216</v>
      </c>
      <c r="B12737" t="s">
        <v>1174</v>
      </c>
    </row>
    <row r="12738" spans="1:2" x14ac:dyDescent="0.25">
      <c r="A12738" t="s">
        <v>2216</v>
      </c>
      <c r="B12738" t="s">
        <v>1175</v>
      </c>
    </row>
    <row r="12739" spans="1:2" x14ac:dyDescent="0.25">
      <c r="A12739" t="s">
        <v>2216</v>
      </c>
      <c r="B12739" t="s">
        <v>1176</v>
      </c>
    </row>
    <row r="12740" spans="1:2" x14ac:dyDescent="0.25">
      <c r="A12740" t="s">
        <v>2216</v>
      </c>
      <c r="B12740" t="s">
        <v>1177</v>
      </c>
    </row>
    <row r="12741" spans="1:2" x14ac:dyDescent="0.25">
      <c r="A12741" t="s">
        <v>2216</v>
      </c>
      <c r="B12741" t="s">
        <v>1178</v>
      </c>
    </row>
    <row r="12742" spans="1:2" x14ac:dyDescent="0.25">
      <c r="A12742" t="s">
        <v>2216</v>
      </c>
      <c r="B12742" t="s">
        <v>1179</v>
      </c>
    </row>
    <row r="12743" spans="1:2" x14ac:dyDescent="0.25">
      <c r="A12743" t="s">
        <v>2216</v>
      </c>
      <c r="B12743" t="s">
        <v>1180</v>
      </c>
    </row>
    <row r="12744" spans="1:2" x14ac:dyDescent="0.25">
      <c r="A12744" t="s">
        <v>2216</v>
      </c>
      <c r="B12744" t="s">
        <v>1181</v>
      </c>
    </row>
    <row r="12745" spans="1:2" x14ac:dyDescent="0.25">
      <c r="A12745" t="s">
        <v>2216</v>
      </c>
      <c r="B12745" t="s">
        <v>1182</v>
      </c>
    </row>
    <row r="12746" spans="1:2" x14ac:dyDescent="0.25">
      <c r="A12746" t="s">
        <v>2216</v>
      </c>
      <c r="B12746" t="s">
        <v>1183</v>
      </c>
    </row>
    <row r="12747" spans="1:2" x14ac:dyDescent="0.25">
      <c r="A12747" t="s">
        <v>2216</v>
      </c>
      <c r="B12747" t="s">
        <v>1184</v>
      </c>
    </row>
    <row r="12748" spans="1:2" x14ac:dyDescent="0.25">
      <c r="A12748" t="s">
        <v>2216</v>
      </c>
      <c r="B12748" t="s">
        <v>1185</v>
      </c>
    </row>
    <row r="12749" spans="1:2" x14ac:dyDescent="0.25">
      <c r="A12749" t="s">
        <v>2216</v>
      </c>
      <c r="B12749" t="s">
        <v>1186</v>
      </c>
    </row>
    <row r="12750" spans="1:2" x14ac:dyDescent="0.25">
      <c r="A12750" t="s">
        <v>2216</v>
      </c>
      <c r="B12750" t="s">
        <v>1187</v>
      </c>
    </row>
    <row r="12751" spans="1:2" x14ac:dyDescent="0.25">
      <c r="A12751" t="s">
        <v>2216</v>
      </c>
      <c r="B12751" t="s">
        <v>1188</v>
      </c>
    </row>
    <row r="12752" spans="1:2" x14ac:dyDescent="0.25">
      <c r="A12752" t="s">
        <v>2216</v>
      </c>
      <c r="B12752" t="s">
        <v>1189</v>
      </c>
    </row>
    <row r="12753" spans="1:2" x14ac:dyDescent="0.25">
      <c r="A12753" t="s">
        <v>2216</v>
      </c>
      <c r="B12753" t="s">
        <v>1190</v>
      </c>
    </row>
    <row r="12754" spans="1:2" x14ac:dyDescent="0.25">
      <c r="A12754" t="s">
        <v>2216</v>
      </c>
      <c r="B12754" t="s">
        <v>1191</v>
      </c>
    </row>
    <row r="12755" spans="1:2" x14ac:dyDescent="0.25">
      <c r="A12755" t="s">
        <v>2216</v>
      </c>
      <c r="B12755" t="s">
        <v>1192</v>
      </c>
    </row>
    <row r="12756" spans="1:2" x14ac:dyDescent="0.25">
      <c r="A12756" t="s">
        <v>2216</v>
      </c>
      <c r="B12756" t="s">
        <v>1193</v>
      </c>
    </row>
    <row r="12757" spans="1:2" x14ac:dyDescent="0.25">
      <c r="A12757" t="s">
        <v>2216</v>
      </c>
      <c r="B12757" t="s">
        <v>1194</v>
      </c>
    </row>
    <row r="12758" spans="1:2" x14ac:dyDescent="0.25">
      <c r="A12758" t="s">
        <v>2216</v>
      </c>
      <c r="B12758" t="s">
        <v>1195</v>
      </c>
    </row>
    <row r="12759" spans="1:2" x14ac:dyDescent="0.25">
      <c r="A12759" t="s">
        <v>2216</v>
      </c>
      <c r="B12759" t="s">
        <v>1196</v>
      </c>
    </row>
    <row r="12760" spans="1:2" x14ac:dyDescent="0.25">
      <c r="A12760" t="s">
        <v>2216</v>
      </c>
      <c r="B12760" t="s">
        <v>1197</v>
      </c>
    </row>
    <row r="12761" spans="1:2" x14ac:dyDescent="0.25">
      <c r="A12761" t="s">
        <v>2216</v>
      </c>
      <c r="B12761" t="s">
        <v>1198</v>
      </c>
    </row>
    <row r="12762" spans="1:2" x14ac:dyDescent="0.25">
      <c r="A12762" t="s">
        <v>2216</v>
      </c>
      <c r="B12762" t="s">
        <v>1199</v>
      </c>
    </row>
    <row r="12763" spans="1:2" x14ac:dyDescent="0.25">
      <c r="A12763" t="s">
        <v>2216</v>
      </c>
      <c r="B12763" t="s">
        <v>1200</v>
      </c>
    </row>
    <row r="12764" spans="1:2" x14ac:dyDescent="0.25">
      <c r="A12764" t="s">
        <v>2216</v>
      </c>
      <c r="B12764" t="s">
        <v>1201</v>
      </c>
    </row>
    <row r="12765" spans="1:2" x14ac:dyDescent="0.25">
      <c r="A12765" t="s">
        <v>2216</v>
      </c>
      <c r="B12765" t="s">
        <v>1202</v>
      </c>
    </row>
    <row r="12766" spans="1:2" x14ac:dyDescent="0.25">
      <c r="A12766" t="s">
        <v>2216</v>
      </c>
      <c r="B12766" t="s">
        <v>1203</v>
      </c>
    </row>
    <row r="12767" spans="1:2" x14ac:dyDescent="0.25">
      <c r="A12767" t="s">
        <v>2216</v>
      </c>
      <c r="B12767" t="s">
        <v>1204</v>
      </c>
    </row>
    <row r="12768" spans="1:2" x14ac:dyDescent="0.25">
      <c r="A12768" t="s">
        <v>2216</v>
      </c>
      <c r="B12768" t="s">
        <v>1205</v>
      </c>
    </row>
    <row r="12769" spans="1:2" x14ac:dyDescent="0.25">
      <c r="A12769" t="s">
        <v>2216</v>
      </c>
      <c r="B12769" t="s">
        <v>1206</v>
      </c>
    </row>
    <row r="12770" spans="1:2" x14ac:dyDescent="0.25">
      <c r="A12770" t="s">
        <v>2216</v>
      </c>
      <c r="B12770" t="s">
        <v>1207</v>
      </c>
    </row>
    <row r="12771" spans="1:2" x14ac:dyDescent="0.25">
      <c r="A12771" t="s">
        <v>2216</v>
      </c>
      <c r="B12771" t="s">
        <v>1208</v>
      </c>
    </row>
    <row r="12772" spans="1:2" x14ac:dyDescent="0.25">
      <c r="A12772" t="s">
        <v>2216</v>
      </c>
      <c r="B12772" t="s">
        <v>1209</v>
      </c>
    </row>
    <row r="12773" spans="1:2" x14ac:dyDescent="0.25">
      <c r="A12773" t="s">
        <v>2216</v>
      </c>
      <c r="B12773" t="s">
        <v>1210</v>
      </c>
    </row>
    <row r="12774" spans="1:2" x14ac:dyDescent="0.25">
      <c r="A12774" t="s">
        <v>2216</v>
      </c>
      <c r="B12774" t="s">
        <v>1211</v>
      </c>
    </row>
    <row r="12775" spans="1:2" x14ac:dyDescent="0.25">
      <c r="A12775" t="s">
        <v>2216</v>
      </c>
      <c r="B12775" t="s">
        <v>1212</v>
      </c>
    </row>
    <row r="12776" spans="1:2" x14ac:dyDescent="0.25">
      <c r="A12776" t="s">
        <v>2217</v>
      </c>
      <c r="B12776" t="s">
        <v>1166</v>
      </c>
    </row>
    <row r="12777" spans="1:2" x14ac:dyDescent="0.25">
      <c r="A12777" t="s">
        <v>2217</v>
      </c>
      <c r="B12777" t="s">
        <v>1167</v>
      </c>
    </row>
    <row r="12778" spans="1:2" x14ac:dyDescent="0.25">
      <c r="A12778" t="s">
        <v>2217</v>
      </c>
      <c r="B12778" t="s">
        <v>1168</v>
      </c>
    </row>
    <row r="12779" spans="1:2" x14ac:dyDescent="0.25">
      <c r="A12779" t="s">
        <v>2217</v>
      </c>
      <c r="B12779" t="s">
        <v>1169</v>
      </c>
    </row>
    <row r="12780" spans="1:2" x14ac:dyDescent="0.25">
      <c r="A12780" t="s">
        <v>2217</v>
      </c>
      <c r="B12780" t="s">
        <v>1170</v>
      </c>
    </row>
    <row r="12781" spans="1:2" x14ac:dyDescent="0.25">
      <c r="A12781" t="s">
        <v>2217</v>
      </c>
      <c r="B12781" t="s">
        <v>1171</v>
      </c>
    </row>
    <row r="12782" spans="1:2" x14ac:dyDescent="0.25">
      <c r="A12782" t="s">
        <v>2217</v>
      </c>
      <c r="B12782" t="s">
        <v>1172</v>
      </c>
    </row>
    <row r="12783" spans="1:2" x14ac:dyDescent="0.25">
      <c r="A12783" t="s">
        <v>2217</v>
      </c>
      <c r="B12783" t="s">
        <v>1173</v>
      </c>
    </row>
    <row r="12784" spans="1:2" x14ac:dyDescent="0.25">
      <c r="A12784" t="s">
        <v>2217</v>
      </c>
      <c r="B12784" t="s">
        <v>1174</v>
      </c>
    </row>
    <row r="12785" spans="1:2" x14ac:dyDescent="0.25">
      <c r="A12785" t="s">
        <v>2217</v>
      </c>
      <c r="B12785" t="s">
        <v>1175</v>
      </c>
    </row>
    <row r="12786" spans="1:2" x14ac:dyDescent="0.25">
      <c r="A12786" t="s">
        <v>2217</v>
      </c>
      <c r="B12786" t="s">
        <v>1176</v>
      </c>
    </row>
    <row r="12787" spans="1:2" x14ac:dyDescent="0.25">
      <c r="A12787" t="s">
        <v>2217</v>
      </c>
      <c r="B12787" t="s">
        <v>1177</v>
      </c>
    </row>
    <row r="12788" spans="1:2" x14ac:dyDescent="0.25">
      <c r="A12788" t="s">
        <v>2217</v>
      </c>
      <c r="B12788" t="s">
        <v>1178</v>
      </c>
    </row>
    <row r="12789" spans="1:2" x14ac:dyDescent="0.25">
      <c r="A12789" t="s">
        <v>2217</v>
      </c>
      <c r="B12789" t="s">
        <v>1179</v>
      </c>
    </row>
    <row r="12790" spans="1:2" x14ac:dyDescent="0.25">
      <c r="A12790" t="s">
        <v>2217</v>
      </c>
      <c r="B12790" t="s">
        <v>1180</v>
      </c>
    </row>
    <row r="12791" spans="1:2" x14ac:dyDescent="0.25">
      <c r="A12791" t="s">
        <v>2217</v>
      </c>
      <c r="B12791" t="s">
        <v>1181</v>
      </c>
    </row>
    <row r="12792" spans="1:2" x14ac:dyDescent="0.25">
      <c r="A12792" t="s">
        <v>2217</v>
      </c>
      <c r="B12792" t="s">
        <v>1182</v>
      </c>
    </row>
    <row r="12793" spans="1:2" x14ac:dyDescent="0.25">
      <c r="A12793" t="s">
        <v>2217</v>
      </c>
      <c r="B12793" t="s">
        <v>1183</v>
      </c>
    </row>
    <row r="12794" spans="1:2" x14ac:dyDescent="0.25">
      <c r="A12794" t="s">
        <v>2217</v>
      </c>
      <c r="B12794" t="s">
        <v>1184</v>
      </c>
    </row>
    <row r="12795" spans="1:2" x14ac:dyDescent="0.25">
      <c r="A12795" t="s">
        <v>2217</v>
      </c>
      <c r="B12795" t="s">
        <v>1185</v>
      </c>
    </row>
    <row r="12796" spans="1:2" x14ac:dyDescent="0.25">
      <c r="A12796" t="s">
        <v>2217</v>
      </c>
      <c r="B12796" t="s">
        <v>1186</v>
      </c>
    </row>
    <row r="12797" spans="1:2" x14ac:dyDescent="0.25">
      <c r="A12797" t="s">
        <v>2217</v>
      </c>
      <c r="B12797" t="s">
        <v>1187</v>
      </c>
    </row>
    <row r="12798" spans="1:2" x14ac:dyDescent="0.25">
      <c r="A12798" t="s">
        <v>2217</v>
      </c>
      <c r="B12798" t="s">
        <v>1188</v>
      </c>
    </row>
    <row r="12799" spans="1:2" x14ac:dyDescent="0.25">
      <c r="A12799" t="s">
        <v>2217</v>
      </c>
      <c r="B12799" t="s">
        <v>1189</v>
      </c>
    </row>
    <row r="12800" spans="1:2" x14ac:dyDescent="0.25">
      <c r="A12800" t="s">
        <v>2217</v>
      </c>
      <c r="B12800" t="s">
        <v>1190</v>
      </c>
    </row>
    <row r="12801" spans="1:2" x14ac:dyDescent="0.25">
      <c r="A12801" t="s">
        <v>2217</v>
      </c>
      <c r="B12801" t="s">
        <v>1191</v>
      </c>
    </row>
    <row r="12802" spans="1:2" x14ac:dyDescent="0.25">
      <c r="A12802" t="s">
        <v>2217</v>
      </c>
      <c r="B12802" t="s">
        <v>1192</v>
      </c>
    </row>
    <row r="12803" spans="1:2" x14ac:dyDescent="0.25">
      <c r="A12803" t="s">
        <v>2217</v>
      </c>
      <c r="B12803" t="s">
        <v>1193</v>
      </c>
    </row>
    <row r="12804" spans="1:2" x14ac:dyDescent="0.25">
      <c r="A12804" t="s">
        <v>2217</v>
      </c>
      <c r="B12804" t="s">
        <v>1194</v>
      </c>
    </row>
    <row r="12805" spans="1:2" x14ac:dyDescent="0.25">
      <c r="A12805" t="s">
        <v>2217</v>
      </c>
      <c r="B12805" t="s">
        <v>1195</v>
      </c>
    </row>
    <row r="12806" spans="1:2" x14ac:dyDescent="0.25">
      <c r="A12806" t="s">
        <v>2217</v>
      </c>
      <c r="B12806" t="s">
        <v>1196</v>
      </c>
    </row>
    <row r="12807" spans="1:2" x14ac:dyDescent="0.25">
      <c r="A12807" t="s">
        <v>2217</v>
      </c>
      <c r="B12807" t="s">
        <v>1197</v>
      </c>
    </row>
    <row r="12808" spans="1:2" x14ac:dyDescent="0.25">
      <c r="A12808" t="s">
        <v>2217</v>
      </c>
      <c r="B12808" t="s">
        <v>1198</v>
      </c>
    </row>
    <row r="12809" spans="1:2" x14ac:dyDescent="0.25">
      <c r="A12809" t="s">
        <v>2217</v>
      </c>
      <c r="B12809" t="s">
        <v>1199</v>
      </c>
    </row>
    <row r="12810" spans="1:2" x14ac:dyDescent="0.25">
      <c r="A12810" t="s">
        <v>2217</v>
      </c>
      <c r="B12810" t="s">
        <v>1200</v>
      </c>
    </row>
    <row r="12811" spans="1:2" x14ac:dyDescent="0.25">
      <c r="A12811" t="s">
        <v>2217</v>
      </c>
      <c r="B12811" t="s">
        <v>1201</v>
      </c>
    </row>
    <row r="12812" spans="1:2" x14ac:dyDescent="0.25">
      <c r="A12812" t="s">
        <v>2217</v>
      </c>
      <c r="B12812" t="s">
        <v>1202</v>
      </c>
    </row>
    <row r="12813" spans="1:2" x14ac:dyDescent="0.25">
      <c r="A12813" t="s">
        <v>2217</v>
      </c>
      <c r="B12813" t="s">
        <v>1203</v>
      </c>
    </row>
    <row r="12814" spans="1:2" x14ac:dyDescent="0.25">
      <c r="A12814" t="s">
        <v>2217</v>
      </c>
      <c r="B12814" t="s">
        <v>1204</v>
      </c>
    </row>
    <row r="12815" spans="1:2" x14ac:dyDescent="0.25">
      <c r="A12815" t="s">
        <v>2217</v>
      </c>
      <c r="B12815" t="s">
        <v>1205</v>
      </c>
    </row>
    <row r="12816" spans="1:2" x14ac:dyDescent="0.25">
      <c r="A12816" t="s">
        <v>2217</v>
      </c>
      <c r="B12816" t="s">
        <v>1206</v>
      </c>
    </row>
    <row r="12817" spans="1:2" x14ac:dyDescent="0.25">
      <c r="A12817" t="s">
        <v>2217</v>
      </c>
      <c r="B12817" t="s">
        <v>1207</v>
      </c>
    </row>
    <row r="12818" spans="1:2" x14ac:dyDescent="0.25">
      <c r="A12818" t="s">
        <v>2217</v>
      </c>
      <c r="B12818" t="s">
        <v>1208</v>
      </c>
    </row>
    <row r="12819" spans="1:2" x14ac:dyDescent="0.25">
      <c r="A12819" t="s">
        <v>2217</v>
      </c>
      <c r="B12819" t="s">
        <v>1209</v>
      </c>
    </row>
    <row r="12820" spans="1:2" x14ac:dyDescent="0.25">
      <c r="A12820" t="s">
        <v>2217</v>
      </c>
      <c r="B12820" t="s">
        <v>1210</v>
      </c>
    </row>
    <row r="12821" spans="1:2" x14ac:dyDescent="0.25">
      <c r="A12821" t="s">
        <v>2217</v>
      </c>
      <c r="B12821" t="s">
        <v>1211</v>
      </c>
    </row>
    <row r="12822" spans="1:2" x14ac:dyDescent="0.25">
      <c r="A12822" t="s">
        <v>2217</v>
      </c>
      <c r="B12822" t="s">
        <v>1212</v>
      </c>
    </row>
    <row r="12823" spans="1:2" x14ac:dyDescent="0.25">
      <c r="A12823" t="s">
        <v>2219</v>
      </c>
      <c r="B12823" t="s">
        <v>1166</v>
      </c>
    </row>
    <row r="12824" spans="1:2" x14ac:dyDescent="0.25">
      <c r="A12824" t="s">
        <v>2219</v>
      </c>
      <c r="B12824" t="s">
        <v>1167</v>
      </c>
    </row>
    <row r="12825" spans="1:2" x14ac:dyDescent="0.25">
      <c r="A12825" t="s">
        <v>2219</v>
      </c>
      <c r="B12825" t="s">
        <v>1168</v>
      </c>
    </row>
    <row r="12826" spans="1:2" x14ac:dyDescent="0.25">
      <c r="A12826" t="s">
        <v>2219</v>
      </c>
      <c r="B12826" t="s">
        <v>1169</v>
      </c>
    </row>
    <row r="12827" spans="1:2" x14ac:dyDescent="0.25">
      <c r="A12827" t="s">
        <v>2219</v>
      </c>
      <c r="B12827" t="s">
        <v>1170</v>
      </c>
    </row>
    <row r="12828" spans="1:2" x14ac:dyDescent="0.25">
      <c r="A12828" t="s">
        <v>2219</v>
      </c>
      <c r="B12828" t="s">
        <v>1171</v>
      </c>
    </row>
    <row r="12829" spans="1:2" x14ac:dyDescent="0.25">
      <c r="A12829" t="s">
        <v>2219</v>
      </c>
      <c r="B12829" t="s">
        <v>1172</v>
      </c>
    </row>
    <row r="12830" spans="1:2" x14ac:dyDescent="0.25">
      <c r="A12830" t="s">
        <v>2219</v>
      </c>
      <c r="B12830" t="s">
        <v>1173</v>
      </c>
    </row>
    <row r="12831" spans="1:2" x14ac:dyDescent="0.25">
      <c r="A12831" t="s">
        <v>2219</v>
      </c>
      <c r="B12831" t="s">
        <v>1174</v>
      </c>
    </row>
    <row r="12832" spans="1:2" x14ac:dyDescent="0.25">
      <c r="A12832" t="s">
        <v>2219</v>
      </c>
      <c r="B12832" t="s">
        <v>1175</v>
      </c>
    </row>
    <row r="12833" spans="1:2" x14ac:dyDescent="0.25">
      <c r="A12833" t="s">
        <v>2219</v>
      </c>
      <c r="B12833" t="s">
        <v>1176</v>
      </c>
    </row>
    <row r="12834" spans="1:2" x14ac:dyDescent="0.25">
      <c r="A12834" t="s">
        <v>2219</v>
      </c>
      <c r="B12834" t="s">
        <v>1177</v>
      </c>
    </row>
    <row r="12835" spans="1:2" x14ac:dyDescent="0.25">
      <c r="A12835" t="s">
        <v>2219</v>
      </c>
      <c r="B12835" t="s">
        <v>1178</v>
      </c>
    </row>
    <row r="12836" spans="1:2" x14ac:dyDescent="0.25">
      <c r="A12836" t="s">
        <v>2219</v>
      </c>
      <c r="B12836" t="s">
        <v>1179</v>
      </c>
    </row>
    <row r="12837" spans="1:2" x14ac:dyDescent="0.25">
      <c r="A12837" t="s">
        <v>2219</v>
      </c>
      <c r="B12837" t="s">
        <v>1180</v>
      </c>
    </row>
    <row r="12838" spans="1:2" x14ac:dyDescent="0.25">
      <c r="A12838" t="s">
        <v>2219</v>
      </c>
      <c r="B12838" t="s">
        <v>1181</v>
      </c>
    </row>
    <row r="12839" spans="1:2" x14ac:dyDescent="0.25">
      <c r="A12839" t="s">
        <v>2219</v>
      </c>
      <c r="B12839" t="s">
        <v>1182</v>
      </c>
    </row>
    <row r="12840" spans="1:2" x14ac:dyDescent="0.25">
      <c r="A12840" t="s">
        <v>2219</v>
      </c>
      <c r="B12840" t="s">
        <v>1183</v>
      </c>
    </row>
    <row r="12841" spans="1:2" x14ac:dyDescent="0.25">
      <c r="A12841" t="s">
        <v>2219</v>
      </c>
      <c r="B12841" t="s">
        <v>1184</v>
      </c>
    </row>
    <row r="12842" spans="1:2" x14ac:dyDescent="0.25">
      <c r="A12842" t="s">
        <v>2219</v>
      </c>
      <c r="B12842" t="s">
        <v>1185</v>
      </c>
    </row>
    <row r="12843" spans="1:2" x14ac:dyDescent="0.25">
      <c r="A12843" t="s">
        <v>2219</v>
      </c>
      <c r="B12843" t="s">
        <v>1186</v>
      </c>
    </row>
    <row r="12844" spans="1:2" x14ac:dyDescent="0.25">
      <c r="A12844" t="s">
        <v>2219</v>
      </c>
      <c r="B12844" t="s">
        <v>1187</v>
      </c>
    </row>
    <row r="12845" spans="1:2" x14ac:dyDescent="0.25">
      <c r="A12845" t="s">
        <v>2219</v>
      </c>
      <c r="B12845" t="s">
        <v>1188</v>
      </c>
    </row>
    <row r="12846" spans="1:2" x14ac:dyDescent="0.25">
      <c r="A12846" t="s">
        <v>2219</v>
      </c>
      <c r="B12846" t="s">
        <v>1189</v>
      </c>
    </row>
    <row r="12847" spans="1:2" x14ac:dyDescent="0.25">
      <c r="A12847" t="s">
        <v>2219</v>
      </c>
      <c r="B12847" t="s">
        <v>1190</v>
      </c>
    </row>
    <row r="12848" spans="1:2" x14ac:dyDescent="0.25">
      <c r="A12848" t="s">
        <v>2219</v>
      </c>
      <c r="B12848" t="s">
        <v>1191</v>
      </c>
    </row>
    <row r="12849" spans="1:2" x14ac:dyDescent="0.25">
      <c r="A12849" t="s">
        <v>2219</v>
      </c>
      <c r="B12849" t="s">
        <v>1192</v>
      </c>
    </row>
    <row r="12850" spans="1:2" x14ac:dyDescent="0.25">
      <c r="A12850" t="s">
        <v>2219</v>
      </c>
      <c r="B12850" t="s">
        <v>1193</v>
      </c>
    </row>
    <row r="12851" spans="1:2" x14ac:dyDescent="0.25">
      <c r="A12851" t="s">
        <v>2219</v>
      </c>
      <c r="B12851" t="s">
        <v>1194</v>
      </c>
    </row>
    <row r="12852" spans="1:2" x14ac:dyDescent="0.25">
      <c r="A12852" t="s">
        <v>2219</v>
      </c>
      <c r="B12852" t="s">
        <v>1195</v>
      </c>
    </row>
    <row r="12853" spans="1:2" x14ac:dyDescent="0.25">
      <c r="A12853" t="s">
        <v>2219</v>
      </c>
      <c r="B12853" t="s">
        <v>1196</v>
      </c>
    </row>
    <row r="12854" spans="1:2" x14ac:dyDescent="0.25">
      <c r="A12854" t="s">
        <v>2219</v>
      </c>
      <c r="B12854" t="s">
        <v>1197</v>
      </c>
    </row>
    <row r="12855" spans="1:2" x14ac:dyDescent="0.25">
      <c r="A12855" t="s">
        <v>2219</v>
      </c>
      <c r="B12855" t="s">
        <v>1198</v>
      </c>
    </row>
    <row r="12856" spans="1:2" x14ac:dyDescent="0.25">
      <c r="A12856" t="s">
        <v>2219</v>
      </c>
      <c r="B12856" t="s">
        <v>1199</v>
      </c>
    </row>
    <row r="12857" spans="1:2" x14ac:dyDescent="0.25">
      <c r="A12857" t="s">
        <v>2219</v>
      </c>
      <c r="B12857" t="s">
        <v>1200</v>
      </c>
    </row>
    <row r="12858" spans="1:2" x14ac:dyDescent="0.25">
      <c r="A12858" t="s">
        <v>2219</v>
      </c>
      <c r="B12858" t="s">
        <v>1201</v>
      </c>
    </row>
    <row r="12859" spans="1:2" x14ac:dyDescent="0.25">
      <c r="A12859" t="s">
        <v>2219</v>
      </c>
      <c r="B12859" t="s">
        <v>1202</v>
      </c>
    </row>
    <row r="12860" spans="1:2" x14ac:dyDescent="0.25">
      <c r="A12860" t="s">
        <v>2219</v>
      </c>
      <c r="B12860" t="s">
        <v>1203</v>
      </c>
    </row>
    <row r="12861" spans="1:2" x14ac:dyDescent="0.25">
      <c r="A12861" t="s">
        <v>2219</v>
      </c>
      <c r="B12861" t="s">
        <v>1204</v>
      </c>
    </row>
    <row r="12862" spans="1:2" x14ac:dyDescent="0.25">
      <c r="A12862" t="s">
        <v>2219</v>
      </c>
      <c r="B12862" t="s">
        <v>1205</v>
      </c>
    </row>
    <row r="12863" spans="1:2" x14ac:dyDescent="0.25">
      <c r="A12863" t="s">
        <v>2219</v>
      </c>
      <c r="B12863" t="s">
        <v>1206</v>
      </c>
    </row>
    <row r="12864" spans="1:2" x14ac:dyDescent="0.25">
      <c r="A12864" t="s">
        <v>2219</v>
      </c>
      <c r="B12864" t="s">
        <v>1207</v>
      </c>
    </row>
    <row r="12865" spans="1:2" x14ac:dyDescent="0.25">
      <c r="A12865" t="s">
        <v>2219</v>
      </c>
      <c r="B12865" t="s">
        <v>1208</v>
      </c>
    </row>
    <row r="12866" spans="1:2" x14ac:dyDescent="0.25">
      <c r="A12866" t="s">
        <v>2219</v>
      </c>
      <c r="B12866" t="s">
        <v>1209</v>
      </c>
    </row>
    <row r="12867" spans="1:2" x14ac:dyDescent="0.25">
      <c r="A12867" t="s">
        <v>2219</v>
      </c>
      <c r="B12867" t="s">
        <v>1210</v>
      </c>
    </row>
    <row r="12868" spans="1:2" x14ac:dyDescent="0.25">
      <c r="A12868" t="s">
        <v>2219</v>
      </c>
      <c r="B12868" t="s">
        <v>1211</v>
      </c>
    </row>
    <row r="12869" spans="1:2" x14ac:dyDescent="0.25">
      <c r="A12869" t="s">
        <v>2219</v>
      </c>
      <c r="B12869" t="s">
        <v>1212</v>
      </c>
    </row>
    <row r="12870" spans="1:2" x14ac:dyDescent="0.25">
      <c r="A12870" t="s">
        <v>2220</v>
      </c>
      <c r="B12870" t="s">
        <v>1166</v>
      </c>
    </row>
    <row r="12871" spans="1:2" x14ac:dyDescent="0.25">
      <c r="A12871" t="s">
        <v>2220</v>
      </c>
      <c r="B12871" t="s">
        <v>1167</v>
      </c>
    </row>
    <row r="12872" spans="1:2" x14ac:dyDescent="0.25">
      <c r="A12872" t="s">
        <v>2220</v>
      </c>
      <c r="B12872" t="s">
        <v>1168</v>
      </c>
    </row>
    <row r="12873" spans="1:2" x14ac:dyDescent="0.25">
      <c r="A12873" t="s">
        <v>2220</v>
      </c>
      <c r="B12873" t="s">
        <v>1169</v>
      </c>
    </row>
    <row r="12874" spans="1:2" x14ac:dyDescent="0.25">
      <c r="A12874" t="s">
        <v>2220</v>
      </c>
      <c r="B12874" t="s">
        <v>1170</v>
      </c>
    </row>
    <row r="12875" spans="1:2" x14ac:dyDescent="0.25">
      <c r="A12875" t="s">
        <v>2220</v>
      </c>
      <c r="B12875" t="s">
        <v>1171</v>
      </c>
    </row>
    <row r="12876" spans="1:2" x14ac:dyDescent="0.25">
      <c r="A12876" t="s">
        <v>2220</v>
      </c>
      <c r="B12876" t="s">
        <v>1172</v>
      </c>
    </row>
    <row r="12877" spans="1:2" x14ac:dyDescent="0.25">
      <c r="A12877" t="s">
        <v>2220</v>
      </c>
      <c r="B12877" t="s">
        <v>1173</v>
      </c>
    </row>
    <row r="12878" spans="1:2" x14ac:dyDescent="0.25">
      <c r="A12878" t="s">
        <v>2220</v>
      </c>
      <c r="B12878" t="s">
        <v>1174</v>
      </c>
    </row>
    <row r="12879" spans="1:2" x14ac:dyDescent="0.25">
      <c r="A12879" t="s">
        <v>2220</v>
      </c>
      <c r="B12879" t="s">
        <v>1175</v>
      </c>
    </row>
    <row r="12880" spans="1:2" x14ac:dyDescent="0.25">
      <c r="A12880" t="s">
        <v>2220</v>
      </c>
      <c r="B12880" t="s">
        <v>1176</v>
      </c>
    </row>
    <row r="12881" spans="1:2" x14ac:dyDescent="0.25">
      <c r="A12881" t="s">
        <v>2220</v>
      </c>
      <c r="B12881" t="s">
        <v>1177</v>
      </c>
    </row>
    <row r="12882" spans="1:2" x14ac:dyDescent="0.25">
      <c r="A12882" t="s">
        <v>2220</v>
      </c>
      <c r="B12882" t="s">
        <v>1178</v>
      </c>
    </row>
    <row r="12883" spans="1:2" x14ac:dyDescent="0.25">
      <c r="A12883" t="s">
        <v>2220</v>
      </c>
      <c r="B12883" t="s">
        <v>1179</v>
      </c>
    </row>
    <row r="12884" spans="1:2" x14ac:dyDescent="0.25">
      <c r="A12884" t="s">
        <v>2220</v>
      </c>
      <c r="B12884" t="s">
        <v>1180</v>
      </c>
    </row>
    <row r="12885" spans="1:2" x14ac:dyDescent="0.25">
      <c r="A12885" t="s">
        <v>2220</v>
      </c>
      <c r="B12885" t="s">
        <v>1181</v>
      </c>
    </row>
    <row r="12886" spans="1:2" x14ac:dyDescent="0.25">
      <c r="A12886" t="s">
        <v>2220</v>
      </c>
      <c r="B12886" t="s">
        <v>1182</v>
      </c>
    </row>
    <row r="12887" spans="1:2" x14ac:dyDescent="0.25">
      <c r="A12887" t="s">
        <v>2220</v>
      </c>
      <c r="B12887" t="s">
        <v>1183</v>
      </c>
    </row>
    <row r="12888" spans="1:2" x14ac:dyDescent="0.25">
      <c r="A12888" t="s">
        <v>2220</v>
      </c>
      <c r="B12888" t="s">
        <v>1184</v>
      </c>
    </row>
    <row r="12889" spans="1:2" x14ac:dyDescent="0.25">
      <c r="A12889" t="s">
        <v>2220</v>
      </c>
      <c r="B12889" t="s">
        <v>1185</v>
      </c>
    </row>
    <row r="12890" spans="1:2" x14ac:dyDescent="0.25">
      <c r="A12890" t="s">
        <v>2220</v>
      </c>
      <c r="B12890" t="s">
        <v>1186</v>
      </c>
    </row>
    <row r="12891" spans="1:2" x14ac:dyDescent="0.25">
      <c r="A12891" t="s">
        <v>2220</v>
      </c>
      <c r="B12891" t="s">
        <v>1187</v>
      </c>
    </row>
    <row r="12892" spans="1:2" x14ac:dyDescent="0.25">
      <c r="A12892" t="s">
        <v>2220</v>
      </c>
      <c r="B12892" t="s">
        <v>1188</v>
      </c>
    </row>
    <row r="12893" spans="1:2" x14ac:dyDescent="0.25">
      <c r="A12893" t="s">
        <v>2220</v>
      </c>
      <c r="B12893" t="s">
        <v>1189</v>
      </c>
    </row>
    <row r="12894" spans="1:2" x14ac:dyDescent="0.25">
      <c r="A12894" t="s">
        <v>2220</v>
      </c>
      <c r="B12894" t="s">
        <v>1190</v>
      </c>
    </row>
    <row r="12895" spans="1:2" x14ac:dyDescent="0.25">
      <c r="A12895" t="s">
        <v>2220</v>
      </c>
      <c r="B12895" t="s">
        <v>1191</v>
      </c>
    </row>
    <row r="12896" spans="1:2" x14ac:dyDescent="0.25">
      <c r="A12896" t="s">
        <v>2220</v>
      </c>
      <c r="B12896" t="s">
        <v>1192</v>
      </c>
    </row>
    <row r="12897" spans="1:2" x14ac:dyDescent="0.25">
      <c r="A12897" t="s">
        <v>2220</v>
      </c>
      <c r="B12897" t="s">
        <v>1193</v>
      </c>
    </row>
    <row r="12898" spans="1:2" x14ac:dyDescent="0.25">
      <c r="A12898" t="s">
        <v>2220</v>
      </c>
      <c r="B12898" t="s">
        <v>1194</v>
      </c>
    </row>
    <row r="12899" spans="1:2" x14ac:dyDescent="0.25">
      <c r="A12899" t="s">
        <v>2220</v>
      </c>
      <c r="B12899" t="s">
        <v>1195</v>
      </c>
    </row>
    <row r="12900" spans="1:2" x14ac:dyDescent="0.25">
      <c r="A12900" t="s">
        <v>2220</v>
      </c>
      <c r="B12900" t="s">
        <v>1196</v>
      </c>
    </row>
    <row r="12901" spans="1:2" x14ac:dyDescent="0.25">
      <c r="A12901" t="s">
        <v>2220</v>
      </c>
      <c r="B12901" t="s">
        <v>1197</v>
      </c>
    </row>
    <row r="12902" spans="1:2" x14ac:dyDescent="0.25">
      <c r="A12902" t="s">
        <v>2220</v>
      </c>
      <c r="B12902" t="s">
        <v>1198</v>
      </c>
    </row>
    <row r="12903" spans="1:2" x14ac:dyDescent="0.25">
      <c r="A12903" t="s">
        <v>2220</v>
      </c>
      <c r="B12903" t="s">
        <v>1199</v>
      </c>
    </row>
    <row r="12904" spans="1:2" x14ac:dyDescent="0.25">
      <c r="A12904" t="s">
        <v>2220</v>
      </c>
      <c r="B12904" t="s">
        <v>1200</v>
      </c>
    </row>
    <row r="12905" spans="1:2" x14ac:dyDescent="0.25">
      <c r="A12905" t="s">
        <v>2220</v>
      </c>
      <c r="B12905" t="s">
        <v>1201</v>
      </c>
    </row>
    <row r="12906" spans="1:2" x14ac:dyDescent="0.25">
      <c r="A12906" t="s">
        <v>2220</v>
      </c>
      <c r="B12906" t="s">
        <v>1202</v>
      </c>
    </row>
    <row r="12907" spans="1:2" x14ac:dyDescent="0.25">
      <c r="A12907" t="s">
        <v>2220</v>
      </c>
      <c r="B12907" t="s">
        <v>1203</v>
      </c>
    </row>
    <row r="12908" spans="1:2" x14ac:dyDescent="0.25">
      <c r="A12908" t="s">
        <v>2220</v>
      </c>
      <c r="B12908" t="s">
        <v>1204</v>
      </c>
    </row>
    <row r="12909" spans="1:2" x14ac:dyDescent="0.25">
      <c r="A12909" t="s">
        <v>2220</v>
      </c>
      <c r="B12909" t="s">
        <v>1205</v>
      </c>
    </row>
    <row r="12910" spans="1:2" x14ac:dyDescent="0.25">
      <c r="A12910" t="s">
        <v>2220</v>
      </c>
      <c r="B12910" t="s">
        <v>1206</v>
      </c>
    </row>
    <row r="12911" spans="1:2" x14ac:dyDescent="0.25">
      <c r="A12911" t="s">
        <v>2220</v>
      </c>
      <c r="B12911" t="s">
        <v>1207</v>
      </c>
    </row>
    <row r="12912" spans="1:2" x14ac:dyDescent="0.25">
      <c r="A12912" t="s">
        <v>2220</v>
      </c>
      <c r="B12912" t="s">
        <v>1208</v>
      </c>
    </row>
    <row r="12913" spans="1:2" x14ac:dyDescent="0.25">
      <c r="A12913" t="s">
        <v>2220</v>
      </c>
      <c r="B12913" t="s">
        <v>1209</v>
      </c>
    </row>
    <row r="12914" spans="1:2" x14ac:dyDescent="0.25">
      <c r="A12914" t="s">
        <v>2220</v>
      </c>
      <c r="B12914" t="s">
        <v>1210</v>
      </c>
    </row>
    <row r="12915" spans="1:2" x14ac:dyDescent="0.25">
      <c r="A12915" t="s">
        <v>2220</v>
      </c>
      <c r="B12915" t="s">
        <v>1211</v>
      </c>
    </row>
    <row r="12916" spans="1:2" x14ac:dyDescent="0.25">
      <c r="A12916" t="s">
        <v>2220</v>
      </c>
      <c r="B12916" t="s">
        <v>1212</v>
      </c>
    </row>
    <row r="12917" spans="1:2" x14ac:dyDescent="0.25">
      <c r="A12917" t="s">
        <v>2218</v>
      </c>
      <c r="B12917" t="s">
        <v>1166</v>
      </c>
    </row>
    <row r="12918" spans="1:2" x14ac:dyDescent="0.25">
      <c r="A12918" t="s">
        <v>2218</v>
      </c>
      <c r="B12918" t="s">
        <v>1167</v>
      </c>
    </row>
    <row r="12919" spans="1:2" x14ac:dyDescent="0.25">
      <c r="A12919" t="s">
        <v>2218</v>
      </c>
      <c r="B12919" t="s">
        <v>1168</v>
      </c>
    </row>
    <row r="12920" spans="1:2" x14ac:dyDescent="0.25">
      <c r="A12920" t="s">
        <v>2218</v>
      </c>
      <c r="B12920" t="s">
        <v>1169</v>
      </c>
    </row>
    <row r="12921" spans="1:2" x14ac:dyDescent="0.25">
      <c r="A12921" t="s">
        <v>2218</v>
      </c>
      <c r="B12921" t="s">
        <v>1170</v>
      </c>
    </row>
    <row r="12922" spans="1:2" x14ac:dyDescent="0.25">
      <c r="A12922" t="s">
        <v>2218</v>
      </c>
      <c r="B12922" t="s">
        <v>1171</v>
      </c>
    </row>
    <row r="12923" spans="1:2" x14ac:dyDescent="0.25">
      <c r="A12923" t="s">
        <v>2218</v>
      </c>
      <c r="B12923" t="s">
        <v>1172</v>
      </c>
    </row>
    <row r="12924" spans="1:2" x14ac:dyDescent="0.25">
      <c r="A12924" t="s">
        <v>2218</v>
      </c>
      <c r="B12924" t="s">
        <v>1173</v>
      </c>
    </row>
    <row r="12925" spans="1:2" x14ac:dyDescent="0.25">
      <c r="A12925" t="s">
        <v>2218</v>
      </c>
      <c r="B12925" t="s">
        <v>1174</v>
      </c>
    </row>
    <row r="12926" spans="1:2" x14ac:dyDescent="0.25">
      <c r="A12926" t="s">
        <v>2218</v>
      </c>
      <c r="B12926" t="s">
        <v>1175</v>
      </c>
    </row>
    <row r="12927" spans="1:2" x14ac:dyDescent="0.25">
      <c r="A12927" t="s">
        <v>2218</v>
      </c>
      <c r="B12927" t="s">
        <v>1176</v>
      </c>
    </row>
    <row r="12928" spans="1:2" x14ac:dyDescent="0.25">
      <c r="A12928" t="s">
        <v>2218</v>
      </c>
      <c r="B12928" t="s">
        <v>1177</v>
      </c>
    </row>
    <row r="12929" spans="1:2" x14ac:dyDescent="0.25">
      <c r="A12929" t="s">
        <v>2218</v>
      </c>
      <c r="B12929" t="s">
        <v>1178</v>
      </c>
    </row>
    <row r="12930" spans="1:2" x14ac:dyDescent="0.25">
      <c r="A12930" t="s">
        <v>2218</v>
      </c>
      <c r="B12930" t="s">
        <v>1179</v>
      </c>
    </row>
    <row r="12931" spans="1:2" x14ac:dyDescent="0.25">
      <c r="A12931" t="s">
        <v>2218</v>
      </c>
      <c r="B12931" t="s">
        <v>1180</v>
      </c>
    </row>
    <row r="12932" spans="1:2" x14ac:dyDescent="0.25">
      <c r="A12932" t="s">
        <v>2218</v>
      </c>
      <c r="B12932" t="s">
        <v>1181</v>
      </c>
    </row>
    <row r="12933" spans="1:2" x14ac:dyDescent="0.25">
      <c r="A12933" t="s">
        <v>2218</v>
      </c>
      <c r="B12933" t="s">
        <v>1182</v>
      </c>
    </row>
    <row r="12934" spans="1:2" x14ac:dyDescent="0.25">
      <c r="A12934" t="s">
        <v>2218</v>
      </c>
      <c r="B12934" t="s">
        <v>1183</v>
      </c>
    </row>
    <row r="12935" spans="1:2" x14ac:dyDescent="0.25">
      <c r="A12935" t="s">
        <v>2218</v>
      </c>
      <c r="B12935" t="s">
        <v>1184</v>
      </c>
    </row>
    <row r="12936" spans="1:2" x14ac:dyDescent="0.25">
      <c r="A12936" t="s">
        <v>2218</v>
      </c>
      <c r="B12936" t="s">
        <v>1185</v>
      </c>
    </row>
    <row r="12937" spans="1:2" x14ac:dyDescent="0.25">
      <c r="A12937" t="s">
        <v>2218</v>
      </c>
      <c r="B12937" t="s">
        <v>1186</v>
      </c>
    </row>
    <row r="12938" spans="1:2" x14ac:dyDescent="0.25">
      <c r="A12938" t="s">
        <v>2218</v>
      </c>
      <c r="B12938" t="s">
        <v>1187</v>
      </c>
    </row>
    <row r="12939" spans="1:2" x14ac:dyDescent="0.25">
      <c r="A12939" t="s">
        <v>2218</v>
      </c>
      <c r="B12939" t="s">
        <v>1188</v>
      </c>
    </row>
    <row r="12940" spans="1:2" x14ac:dyDescent="0.25">
      <c r="A12940" t="s">
        <v>2218</v>
      </c>
      <c r="B12940" t="s">
        <v>1189</v>
      </c>
    </row>
    <row r="12941" spans="1:2" x14ac:dyDescent="0.25">
      <c r="A12941" t="s">
        <v>2218</v>
      </c>
      <c r="B12941" t="s">
        <v>1190</v>
      </c>
    </row>
    <row r="12942" spans="1:2" x14ac:dyDescent="0.25">
      <c r="A12942" t="s">
        <v>2218</v>
      </c>
      <c r="B12942" t="s">
        <v>1191</v>
      </c>
    </row>
    <row r="12943" spans="1:2" x14ac:dyDescent="0.25">
      <c r="A12943" t="s">
        <v>2218</v>
      </c>
      <c r="B12943" t="s">
        <v>1192</v>
      </c>
    </row>
    <row r="12944" spans="1:2" x14ac:dyDescent="0.25">
      <c r="A12944" t="s">
        <v>2218</v>
      </c>
      <c r="B12944" t="s">
        <v>1193</v>
      </c>
    </row>
    <row r="12945" spans="1:2" x14ac:dyDescent="0.25">
      <c r="A12945" t="s">
        <v>2218</v>
      </c>
      <c r="B12945" t="s">
        <v>1194</v>
      </c>
    </row>
    <row r="12946" spans="1:2" x14ac:dyDescent="0.25">
      <c r="A12946" t="s">
        <v>2218</v>
      </c>
      <c r="B12946" t="s">
        <v>1195</v>
      </c>
    </row>
    <row r="12947" spans="1:2" x14ac:dyDescent="0.25">
      <c r="A12947" t="s">
        <v>2218</v>
      </c>
      <c r="B12947" t="s">
        <v>1196</v>
      </c>
    </row>
    <row r="12948" spans="1:2" x14ac:dyDescent="0.25">
      <c r="A12948" t="s">
        <v>2218</v>
      </c>
      <c r="B12948" t="s">
        <v>1197</v>
      </c>
    </row>
    <row r="12949" spans="1:2" x14ac:dyDescent="0.25">
      <c r="A12949" t="s">
        <v>2218</v>
      </c>
      <c r="B12949" t="s">
        <v>1198</v>
      </c>
    </row>
    <row r="12950" spans="1:2" x14ac:dyDescent="0.25">
      <c r="A12950" t="s">
        <v>2218</v>
      </c>
      <c r="B12950" t="s">
        <v>1199</v>
      </c>
    </row>
    <row r="12951" spans="1:2" x14ac:dyDescent="0.25">
      <c r="A12951" t="s">
        <v>2218</v>
      </c>
      <c r="B12951" t="s">
        <v>1200</v>
      </c>
    </row>
    <row r="12952" spans="1:2" x14ac:dyDescent="0.25">
      <c r="A12952" t="s">
        <v>2218</v>
      </c>
      <c r="B12952" t="s">
        <v>1201</v>
      </c>
    </row>
    <row r="12953" spans="1:2" x14ac:dyDescent="0.25">
      <c r="A12953" t="s">
        <v>2218</v>
      </c>
      <c r="B12953" t="s">
        <v>1202</v>
      </c>
    </row>
    <row r="12954" spans="1:2" x14ac:dyDescent="0.25">
      <c r="A12954" t="s">
        <v>2218</v>
      </c>
      <c r="B12954" t="s">
        <v>1203</v>
      </c>
    </row>
    <row r="12955" spans="1:2" x14ac:dyDescent="0.25">
      <c r="A12955" t="s">
        <v>2218</v>
      </c>
      <c r="B12955" t="s">
        <v>1204</v>
      </c>
    </row>
    <row r="12956" spans="1:2" x14ac:dyDescent="0.25">
      <c r="A12956" t="s">
        <v>2218</v>
      </c>
      <c r="B12956" t="s">
        <v>1205</v>
      </c>
    </row>
    <row r="12957" spans="1:2" x14ac:dyDescent="0.25">
      <c r="A12957" t="s">
        <v>2218</v>
      </c>
      <c r="B12957" t="s">
        <v>1206</v>
      </c>
    </row>
    <row r="12958" spans="1:2" x14ac:dyDescent="0.25">
      <c r="A12958" t="s">
        <v>2218</v>
      </c>
      <c r="B12958" t="s">
        <v>1207</v>
      </c>
    </row>
    <row r="12959" spans="1:2" x14ac:dyDescent="0.25">
      <c r="A12959" t="s">
        <v>2218</v>
      </c>
      <c r="B12959" t="s">
        <v>1208</v>
      </c>
    </row>
    <row r="12960" spans="1:2" x14ac:dyDescent="0.25">
      <c r="A12960" t="s">
        <v>2218</v>
      </c>
      <c r="B12960" t="s">
        <v>1209</v>
      </c>
    </row>
    <row r="12961" spans="1:2" x14ac:dyDescent="0.25">
      <c r="A12961" t="s">
        <v>2218</v>
      </c>
      <c r="B12961" t="s">
        <v>1210</v>
      </c>
    </row>
    <row r="12962" spans="1:2" x14ac:dyDescent="0.25">
      <c r="A12962" t="s">
        <v>2218</v>
      </c>
      <c r="B12962" t="s">
        <v>1211</v>
      </c>
    </row>
    <row r="12963" spans="1:2" x14ac:dyDescent="0.25">
      <c r="A12963" t="s">
        <v>2218</v>
      </c>
      <c r="B12963" t="s">
        <v>1212</v>
      </c>
    </row>
    <row r="12964" spans="1:2" x14ac:dyDescent="0.25">
      <c r="A12964" t="s">
        <v>1867</v>
      </c>
      <c r="B12964" t="s">
        <v>1112</v>
      </c>
    </row>
    <row r="12965" spans="1:2" x14ac:dyDescent="0.25">
      <c r="A12965" t="s">
        <v>1867</v>
      </c>
      <c r="B12965" t="s">
        <v>1113</v>
      </c>
    </row>
    <row r="12966" spans="1:2" x14ac:dyDescent="0.25">
      <c r="A12966" t="s">
        <v>1867</v>
      </c>
      <c r="B12966" t="s">
        <v>1114</v>
      </c>
    </row>
    <row r="12967" spans="1:2" x14ac:dyDescent="0.25">
      <c r="A12967" t="s">
        <v>1867</v>
      </c>
      <c r="B12967" t="s">
        <v>1115</v>
      </c>
    </row>
    <row r="12968" spans="1:2" x14ac:dyDescent="0.25">
      <c r="A12968" t="s">
        <v>1867</v>
      </c>
      <c r="B12968" t="s">
        <v>1166</v>
      </c>
    </row>
    <row r="12969" spans="1:2" x14ac:dyDescent="0.25">
      <c r="A12969" t="s">
        <v>1867</v>
      </c>
      <c r="B12969" t="s">
        <v>1167</v>
      </c>
    </row>
    <row r="12970" spans="1:2" x14ac:dyDescent="0.25">
      <c r="A12970" t="s">
        <v>1867</v>
      </c>
      <c r="B12970" t="s">
        <v>1168</v>
      </c>
    </row>
    <row r="12971" spans="1:2" x14ac:dyDescent="0.25">
      <c r="A12971" t="s">
        <v>1867</v>
      </c>
      <c r="B12971" t="s">
        <v>1186</v>
      </c>
    </row>
    <row r="12972" spans="1:2" x14ac:dyDescent="0.25">
      <c r="A12972" t="s">
        <v>1867</v>
      </c>
      <c r="B12972" t="s">
        <v>1189</v>
      </c>
    </row>
    <row r="12973" spans="1:2" x14ac:dyDescent="0.25">
      <c r="A12973" t="s">
        <v>1945</v>
      </c>
      <c r="B12973" t="s">
        <v>1113</v>
      </c>
    </row>
    <row r="12974" spans="1:2" x14ac:dyDescent="0.25">
      <c r="A12974" t="s">
        <v>1945</v>
      </c>
      <c r="B12974" t="s">
        <v>1114</v>
      </c>
    </row>
    <row r="12975" spans="1:2" x14ac:dyDescent="0.25">
      <c r="A12975" t="s">
        <v>1945</v>
      </c>
      <c r="B12975" t="s">
        <v>1115</v>
      </c>
    </row>
    <row r="12976" spans="1:2" x14ac:dyDescent="0.25">
      <c r="A12976" t="s">
        <v>1945</v>
      </c>
      <c r="B12976" t="s">
        <v>1133</v>
      </c>
    </row>
    <row r="12977" spans="1:2" x14ac:dyDescent="0.25">
      <c r="A12977" t="s">
        <v>1945</v>
      </c>
      <c r="B12977" t="s">
        <v>1166</v>
      </c>
    </row>
    <row r="12978" spans="1:2" x14ac:dyDescent="0.25">
      <c r="A12978" t="s">
        <v>1945</v>
      </c>
      <c r="B12978" t="s">
        <v>1167</v>
      </c>
    </row>
    <row r="12979" spans="1:2" x14ac:dyDescent="0.25">
      <c r="A12979" t="s">
        <v>1945</v>
      </c>
      <c r="B12979" t="s">
        <v>1168</v>
      </c>
    </row>
    <row r="12980" spans="1:2" x14ac:dyDescent="0.25">
      <c r="A12980" t="s">
        <v>1945</v>
      </c>
      <c r="B12980" t="s">
        <v>1186</v>
      </c>
    </row>
    <row r="12981" spans="1:2" x14ac:dyDescent="0.25">
      <c r="A12981" t="s">
        <v>1945</v>
      </c>
      <c r="B12981" t="s">
        <v>1187</v>
      </c>
    </row>
    <row r="12982" spans="1:2" x14ac:dyDescent="0.25">
      <c r="A12982" t="s">
        <v>1945</v>
      </c>
      <c r="B12982" t="s">
        <v>1188</v>
      </c>
    </row>
    <row r="12983" spans="1:2" x14ac:dyDescent="0.25">
      <c r="A12983" t="s">
        <v>1945</v>
      </c>
      <c r="B12983" t="s">
        <v>1189</v>
      </c>
    </row>
    <row r="12984" spans="1:2" x14ac:dyDescent="0.25">
      <c r="A12984" t="s">
        <v>1945</v>
      </c>
      <c r="B12984" t="s">
        <v>1195</v>
      </c>
    </row>
    <row r="12985" spans="1:2" x14ac:dyDescent="0.25">
      <c r="A12985" t="s">
        <v>1945</v>
      </c>
      <c r="B12985" t="s">
        <v>1196</v>
      </c>
    </row>
    <row r="12986" spans="1:2" x14ac:dyDescent="0.25">
      <c r="A12986" t="s">
        <v>1579</v>
      </c>
      <c r="B12986" t="s">
        <v>1096</v>
      </c>
    </row>
    <row r="12987" spans="1:2" x14ac:dyDescent="0.25">
      <c r="A12987" t="s">
        <v>1579</v>
      </c>
      <c r="B12987" t="s">
        <v>1097</v>
      </c>
    </row>
    <row r="12988" spans="1:2" x14ac:dyDescent="0.25">
      <c r="A12988" t="s">
        <v>1579</v>
      </c>
      <c r="B12988" t="s">
        <v>1098</v>
      </c>
    </row>
    <row r="12989" spans="1:2" x14ac:dyDescent="0.25">
      <c r="A12989" t="s">
        <v>1579</v>
      </c>
      <c r="B12989" t="s">
        <v>1099</v>
      </c>
    </row>
    <row r="12990" spans="1:2" x14ac:dyDescent="0.25">
      <c r="A12990" t="s">
        <v>1579</v>
      </c>
      <c r="B12990" t="s">
        <v>1100</v>
      </c>
    </row>
    <row r="12991" spans="1:2" x14ac:dyDescent="0.25">
      <c r="A12991" t="s">
        <v>1579</v>
      </c>
      <c r="B12991" t="s">
        <v>1101</v>
      </c>
    </row>
    <row r="12992" spans="1:2" x14ac:dyDescent="0.25">
      <c r="A12992" t="s">
        <v>1579</v>
      </c>
      <c r="B12992" t="s">
        <v>1102</v>
      </c>
    </row>
    <row r="12993" spans="1:2" x14ac:dyDescent="0.25">
      <c r="A12993" t="s">
        <v>1579</v>
      </c>
      <c r="B12993" t="s">
        <v>1103</v>
      </c>
    </row>
    <row r="12994" spans="1:2" x14ac:dyDescent="0.25">
      <c r="A12994" t="s">
        <v>1579</v>
      </c>
      <c r="B12994" t="s">
        <v>1104</v>
      </c>
    </row>
    <row r="12995" spans="1:2" x14ac:dyDescent="0.25">
      <c r="A12995" t="s">
        <v>1579</v>
      </c>
      <c r="B12995" t="s">
        <v>1105</v>
      </c>
    </row>
    <row r="12996" spans="1:2" x14ac:dyDescent="0.25">
      <c r="A12996" t="s">
        <v>1579</v>
      </c>
      <c r="B12996" t="s">
        <v>1106</v>
      </c>
    </row>
    <row r="12997" spans="1:2" x14ac:dyDescent="0.25">
      <c r="A12997" t="s">
        <v>1579</v>
      </c>
      <c r="B12997" t="s">
        <v>1107</v>
      </c>
    </row>
    <row r="12998" spans="1:2" x14ac:dyDescent="0.25">
      <c r="A12998" t="s">
        <v>1579</v>
      </c>
      <c r="B12998" t="s">
        <v>1113</v>
      </c>
    </row>
    <row r="12999" spans="1:2" x14ac:dyDescent="0.25">
      <c r="A12999" t="s">
        <v>1579</v>
      </c>
      <c r="B12999" t="s">
        <v>1114</v>
      </c>
    </row>
    <row r="13000" spans="1:2" x14ac:dyDescent="0.25">
      <c r="A13000" t="s">
        <v>1579</v>
      </c>
      <c r="B13000" t="s">
        <v>1115</v>
      </c>
    </row>
    <row r="13001" spans="1:2" x14ac:dyDescent="0.25">
      <c r="A13001" t="s">
        <v>1579</v>
      </c>
      <c r="B13001" t="s">
        <v>1133</v>
      </c>
    </row>
    <row r="13002" spans="1:2" x14ac:dyDescent="0.25">
      <c r="A13002" t="s">
        <v>1579</v>
      </c>
      <c r="B13002" t="s">
        <v>1161</v>
      </c>
    </row>
    <row r="13003" spans="1:2" x14ac:dyDescent="0.25">
      <c r="A13003" t="s">
        <v>1579</v>
      </c>
      <c r="B13003" t="s">
        <v>1162</v>
      </c>
    </row>
    <row r="13004" spans="1:2" x14ac:dyDescent="0.25">
      <c r="A13004" t="s">
        <v>1579</v>
      </c>
      <c r="B13004" t="s">
        <v>1163</v>
      </c>
    </row>
    <row r="13005" spans="1:2" x14ac:dyDescent="0.25">
      <c r="A13005" t="s">
        <v>1579</v>
      </c>
      <c r="B13005" t="s">
        <v>1164</v>
      </c>
    </row>
    <row r="13006" spans="1:2" x14ac:dyDescent="0.25">
      <c r="A13006" t="s">
        <v>1579</v>
      </c>
      <c r="B13006" t="s">
        <v>1166</v>
      </c>
    </row>
    <row r="13007" spans="1:2" x14ac:dyDescent="0.25">
      <c r="A13007" t="s">
        <v>1579</v>
      </c>
      <c r="B13007" t="s">
        <v>1167</v>
      </c>
    </row>
    <row r="13008" spans="1:2" x14ac:dyDescent="0.25">
      <c r="A13008" t="s">
        <v>1579</v>
      </c>
      <c r="B13008" t="s">
        <v>1168</v>
      </c>
    </row>
    <row r="13009" spans="1:2" x14ac:dyDescent="0.25">
      <c r="A13009" t="s">
        <v>1579</v>
      </c>
      <c r="B13009" t="s">
        <v>1186</v>
      </c>
    </row>
    <row r="13010" spans="1:2" x14ac:dyDescent="0.25">
      <c r="A13010" t="s">
        <v>1579</v>
      </c>
      <c r="B13010" t="s">
        <v>1187</v>
      </c>
    </row>
    <row r="13011" spans="1:2" x14ac:dyDescent="0.25">
      <c r="A13011" t="s">
        <v>1579</v>
      </c>
      <c r="B13011" t="s">
        <v>1188</v>
      </c>
    </row>
    <row r="13012" spans="1:2" x14ac:dyDescent="0.25">
      <c r="A13012" t="s">
        <v>1579</v>
      </c>
      <c r="B13012" t="s">
        <v>1189</v>
      </c>
    </row>
    <row r="13013" spans="1:2" x14ac:dyDescent="0.25">
      <c r="A13013" t="s">
        <v>1579</v>
      </c>
      <c r="B13013" t="s">
        <v>1191</v>
      </c>
    </row>
    <row r="13014" spans="1:2" x14ac:dyDescent="0.25">
      <c r="A13014" t="s">
        <v>1579</v>
      </c>
      <c r="B13014" t="s">
        <v>1195</v>
      </c>
    </row>
    <row r="13015" spans="1:2" x14ac:dyDescent="0.25">
      <c r="A13015" t="s">
        <v>1579</v>
      </c>
      <c r="B13015" t="s">
        <v>1196</v>
      </c>
    </row>
    <row r="13016" spans="1:2" x14ac:dyDescent="0.25">
      <c r="A13016" t="s">
        <v>1946</v>
      </c>
      <c r="B13016" t="s">
        <v>1113</v>
      </c>
    </row>
    <row r="13017" spans="1:2" x14ac:dyDescent="0.25">
      <c r="A13017" t="s">
        <v>1946</v>
      </c>
      <c r="B13017" t="s">
        <v>1114</v>
      </c>
    </row>
    <row r="13018" spans="1:2" x14ac:dyDescent="0.25">
      <c r="A13018" t="s">
        <v>1946</v>
      </c>
      <c r="B13018" t="s">
        <v>1115</v>
      </c>
    </row>
    <row r="13019" spans="1:2" x14ac:dyDescent="0.25">
      <c r="A13019" t="s">
        <v>1946</v>
      </c>
      <c r="B13019" t="s">
        <v>1133</v>
      </c>
    </row>
    <row r="13020" spans="1:2" x14ac:dyDescent="0.25">
      <c r="A13020" t="s">
        <v>1946</v>
      </c>
      <c r="B13020" t="s">
        <v>1166</v>
      </c>
    </row>
    <row r="13021" spans="1:2" x14ac:dyDescent="0.25">
      <c r="A13021" t="s">
        <v>1946</v>
      </c>
      <c r="B13021" t="s">
        <v>1167</v>
      </c>
    </row>
    <row r="13022" spans="1:2" x14ac:dyDescent="0.25">
      <c r="A13022" t="s">
        <v>1946</v>
      </c>
      <c r="B13022" t="s">
        <v>1168</v>
      </c>
    </row>
    <row r="13023" spans="1:2" x14ac:dyDescent="0.25">
      <c r="A13023" t="s">
        <v>1946</v>
      </c>
      <c r="B13023" t="s">
        <v>1186</v>
      </c>
    </row>
    <row r="13024" spans="1:2" x14ac:dyDescent="0.25">
      <c r="A13024" t="s">
        <v>1946</v>
      </c>
      <c r="B13024" t="s">
        <v>1187</v>
      </c>
    </row>
    <row r="13025" spans="1:2" x14ac:dyDescent="0.25">
      <c r="A13025" t="s">
        <v>1946</v>
      </c>
      <c r="B13025" t="s">
        <v>1188</v>
      </c>
    </row>
    <row r="13026" spans="1:2" x14ac:dyDescent="0.25">
      <c r="A13026" t="s">
        <v>1946</v>
      </c>
      <c r="B13026" t="s">
        <v>1189</v>
      </c>
    </row>
    <row r="13027" spans="1:2" x14ac:dyDescent="0.25">
      <c r="A13027" t="s">
        <v>1946</v>
      </c>
      <c r="B13027" t="s">
        <v>1195</v>
      </c>
    </row>
    <row r="13028" spans="1:2" x14ac:dyDescent="0.25">
      <c r="A13028" t="s">
        <v>1946</v>
      </c>
      <c r="B13028" t="s">
        <v>1196</v>
      </c>
    </row>
    <row r="13029" spans="1:2" x14ac:dyDescent="0.25">
      <c r="A13029" t="s">
        <v>1947</v>
      </c>
      <c r="B13029" t="s">
        <v>1113</v>
      </c>
    </row>
    <row r="13030" spans="1:2" x14ac:dyDescent="0.25">
      <c r="A13030" t="s">
        <v>1947</v>
      </c>
      <c r="B13030" t="s">
        <v>1114</v>
      </c>
    </row>
    <row r="13031" spans="1:2" x14ac:dyDescent="0.25">
      <c r="A13031" t="s">
        <v>1947</v>
      </c>
      <c r="B13031" t="s">
        <v>1115</v>
      </c>
    </row>
    <row r="13032" spans="1:2" x14ac:dyDescent="0.25">
      <c r="A13032" t="s">
        <v>1947</v>
      </c>
      <c r="B13032" t="s">
        <v>1133</v>
      </c>
    </row>
    <row r="13033" spans="1:2" x14ac:dyDescent="0.25">
      <c r="A13033" t="s">
        <v>1947</v>
      </c>
      <c r="B13033" t="s">
        <v>1166</v>
      </c>
    </row>
    <row r="13034" spans="1:2" x14ac:dyDescent="0.25">
      <c r="A13034" t="s">
        <v>1947</v>
      </c>
      <c r="B13034" t="s">
        <v>1167</v>
      </c>
    </row>
    <row r="13035" spans="1:2" x14ac:dyDescent="0.25">
      <c r="A13035" t="s">
        <v>1947</v>
      </c>
      <c r="B13035" t="s">
        <v>1168</v>
      </c>
    </row>
    <row r="13036" spans="1:2" x14ac:dyDescent="0.25">
      <c r="A13036" t="s">
        <v>1947</v>
      </c>
      <c r="B13036" t="s">
        <v>1186</v>
      </c>
    </row>
    <row r="13037" spans="1:2" x14ac:dyDescent="0.25">
      <c r="A13037" t="s">
        <v>1947</v>
      </c>
      <c r="B13037" t="s">
        <v>1187</v>
      </c>
    </row>
    <row r="13038" spans="1:2" x14ac:dyDescent="0.25">
      <c r="A13038" t="s">
        <v>1947</v>
      </c>
      <c r="B13038" t="s">
        <v>1188</v>
      </c>
    </row>
    <row r="13039" spans="1:2" x14ac:dyDescent="0.25">
      <c r="A13039" t="s">
        <v>1947</v>
      </c>
      <c r="B13039" t="s">
        <v>1189</v>
      </c>
    </row>
    <row r="13040" spans="1:2" x14ac:dyDescent="0.25">
      <c r="A13040" t="s">
        <v>1947</v>
      </c>
      <c r="B13040" t="s">
        <v>1195</v>
      </c>
    </row>
    <row r="13041" spans="1:2" x14ac:dyDescent="0.25">
      <c r="A13041" t="s">
        <v>1947</v>
      </c>
      <c r="B13041" t="s">
        <v>1196</v>
      </c>
    </row>
    <row r="13042" spans="1:2" x14ac:dyDescent="0.25">
      <c r="A13042" t="s">
        <v>2229</v>
      </c>
      <c r="B13042" t="s">
        <v>1166</v>
      </c>
    </row>
    <row r="13043" spans="1:2" x14ac:dyDescent="0.25">
      <c r="A13043" t="s">
        <v>2229</v>
      </c>
      <c r="B13043" t="s">
        <v>1167</v>
      </c>
    </row>
    <row r="13044" spans="1:2" x14ac:dyDescent="0.25">
      <c r="A13044" t="s">
        <v>2229</v>
      </c>
      <c r="B13044" t="s">
        <v>1168</v>
      </c>
    </row>
    <row r="13045" spans="1:2" x14ac:dyDescent="0.25">
      <c r="A13045" t="s">
        <v>2229</v>
      </c>
      <c r="B13045" t="s">
        <v>1186</v>
      </c>
    </row>
    <row r="13046" spans="1:2" x14ac:dyDescent="0.25">
      <c r="A13046" t="s">
        <v>2229</v>
      </c>
      <c r="B13046" t="s">
        <v>1187</v>
      </c>
    </row>
    <row r="13047" spans="1:2" x14ac:dyDescent="0.25">
      <c r="A13047" t="s">
        <v>2229</v>
      </c>
      <c r="B13047" t="s">
        <v>1188</v>
      </c>
    </row>
    <row r="13048" spans="1:2" x14ac:dyDescent="0.25">
      <c r="A13048" t="s">
        <v>2229</v>
      </c>
      <c r="B13048" t="s">
        <v>1189</v>
      </c>
    </row>
    <row r="13049" spans="1:2" x14ac:dyDescent="0.25">
      <c r="A13049" t="s">
        <v>2229</v>
      </c>
      <c r="B13049" t="s">
        <v>1189</v>
      </c>
    </row>
    <row r="13050" spans="1:2" x14ac:dyDescent="0.25">
      <c r="A13050" t="s">
        <v>1751</v>
      </c>
      <c r="B13050" t="s">
        <v>1102</v>
      </c>
    </row>
    <row r="13051" spans="1:2" x14ac:dyDescent="0.25">
      <c r="A13051" t="s">
        <v>1751</v>
      </c>
      <c r="B13051" t="s">
        <v>1110</v>
      </c>
    </row>
    <row r="13052" spans="1:2" x14ac:dyDescent="0.25">
      <c r="A13052" t="s">
        <v>1751</v>
      </c>
      <c r="B13052" t="s">
        <v>1112</v>
      </c>
    </row>
    <row r="13053" spans="1:2" x14ac:dyDescent="0.25">
      <c r="A13053" t="s">
        <v>1751</v>
      </c>
      <c r="B13053" t="s">
        <v>1130</v>
      </c>
    </row>
    <row r="13054" spans="1:2" x14ac:dyDescent="0.25">
      <c r="A13054" t="s">
        <v>1751</v>
      </c>
      <c r="B13054" t="s">
        <v>1131</v>
      </c>
    </row>
    <row r="13055" spans="1:2" x14ac:dyDescent="0.25">
      <c r="A13055" t="s">
        <v>1751</v>
      </c>
      <c r="B13055" t="s">
        <v>1132</v>
      </c>
    </row>
    <row r="13056" spans="1:2" x14ac:dyDescent="0.25">
      <c r="A13056" t="s">
        <v>1751</v>
      </c>
      <c r="B13056" t="s">
        <v>1134</v>
      </c>
    </row>
    <row r="13057" spans="1:2" x14ac:dyDescent="0.25">
      <c r="A13057" t="s">
        <v>1751</v>
      </c>
      <c r="B13057" t="s">
        <v>1137</v>
      </c>
    </row>
    <row r="13058" spans="1:2" x14ac:dyDescent="0.25">
      <c r="A13058" t="s">
        <v>1751</v>
      </c>
      <c r="B13058" t="s">
        <v>1138</v>
      </c>
    </row>
    <row r="13059" spans="1:2" x14ac:dyDescent="0.25">
      <c r="A13059" t="s">
        <v>1751</v>
      </c>
      <c r="B13059" t="s">
        <v>1145</v>
      </c>
    </row>
    <row r="13060" spans="1:2" x14ac:dyDescent="0.25">
      <c r="A13060" t="s">
        <v>1751</v>
      </c>
      <c r="B13060" t="s">
        <v>1154</v>
      </c>
    </row>
    <row r="13061" spans="1:2" x14ac:dyDescent="0.25">
      <c r="A13061" t="s">
        <v>1751</v>
      </c>
      <c r="B13061" t="s">
        <v>1171</v>
      </c>
    </row>
    <row r="13062" spans="1:2" x14ac:dyDescent="0.25">
      <c r="A13062" t="s">
        <v>1751</v>
      </c>
      <c r="B13062" t="s">
        <v>1180</v>
      </c>
    </row>
    <row r="13063" spans="1:2" x14ac:dyDescent="0.25">
      <c r="A13063" t="s">
        <v>1751</v>
      </c>
      <c r="B13063" t="s">
        <v>1181</v>
      </c>
    </row>
    <row r="13064" spans="1:2" x14ac:dyDescent="0.25">
      <c r="A13064" t="s">
        <v>1751</v>
      </c>
      <c r="B13064" t="s">
        <v>1182</v>
      </c>
    </row>
    <row r="13065" spans="1:2" x14ac:dyDescent="0.25">
      <c r="A13065" t="s">
        <v>1751</v>
      </c>
      <c r="B13065" t="s">
        <v>1183</v>
      </c>
    </row>
    <row r="13066" spans="1:2" x14ac:dyDescent="0.25">
      <c r="A13066" t="s">
        <v>1751</v>
      </c>
      <c r="B13066" t="s">
        <v>1184</v>
      </c>
    </row>
    <row r="13067" spans="1:2" x14ac:dyDescent="0.25">
      <c r="A13067" t="s">
        <v>1751</v>
      </c>
      <c r="B13067" t="s">
        <v>1185</v>
      </c>
    </row>
    <row r="13068" spans="1:2" x14ac:dyDescent="0.25">
      <c r="A13068" t="s">
        <v>1751</v>
      </c>
      <c r="B13068" t="s">
        <v>1197</v>
      </c>
    </row>
    <row r="13069" spans="1:2" x14ac:dyDescent="0.25">
      <c r="A13069" t="s">
        <v>1751</v>
      </c>
      <c r="B13069" t="s">
        <v>1201</v>
      </c>
    </row>
    <row r="13070" spans="1:2" x14ac:dyDescent="0.25">
      <c r="A13070" t="s">
        <v>1751</v>
      </c>
      <c r="B13070" t="s">
        <v>1206</v>
      </c>
    </row>
    <row r="13071" spans="1:2" x14ac:dyDescent="0.25">
      <c r="A13071" t="s">
        <v>1751</v>
      </c>
      <c r="B13071" t="s">
        <v>1225</v>
      </c>
    </row>
    <row r="13072" spans="1:2" x14ac:dyDescent="0.25">
      <c r="A13072" t="s">
        <v>2289</v>
      </c>
      <c r="B13072" t="s">
        <v>1196</v>
      </c>
    </row>
    <row r="13073" spans="1:2" x14ac:dyDescent="0.25">
      <c r="A13073" t="s">
        <v>2287</v>
      </c>
      <c r="B13073" t="s">
        <v>1196</v>
      </c>
    </row>
    <row r="13074" spans="1:2" x14ac:dyDescent="0.25">
      <c r="A13074" t="s">
        <v>2288</v>
      </c>
      <c r="B13074" t="s">
        <v>1196</v>
      </c>
    </row>
    <row r="13075" spans="1:2" x14ac:dyDescent="0.25">
      <c r="A13075" t="s">
        <v>1883</v>
      </c>
      <c r="B13075" t="s">
        <v>1112</v>
      </c>
    </row>
    <row r="13076" spans="1:2" x14ac:dyDescent="0.25">
      <c r="A13076" t="s">
        <v>1883</v>
      </c>
      <c r="B13076" t="s">
        <v>1113</v>
      </c>
    </row>
    <row r="13077" spans="1:2" x14ac:dyDescent="0.25">
      <c r="A13077" t="s">
        <v>1883</v>
      </c>
      <c r="B13077" t="s">
        <v>1114</v>
      </c>
    </row>
    <row r="13078" spans="1:2" x14ac:dyDescent="0.25">
      <c r="A13078" t="s">
        <v>1883</v>
      </c>
      <c r="B13078" t="s">
        <v>1114</v>
      </c>
    </row>
    <row r="13079" spans="1:2" x14ac:dyDescent="0.25">
      <c r="A13079" t="s">
        <v>1883</v>
      </c>
      <c r="B13079" t="s">
        <v>1115</v>
      </c>
    </row>
    <row r="13080" spans="1:2" x14ac:dyDescent="0.25">
      <c r="A13080" t="s">
        <v>1883</v>
      </c>
      <c r="B13080" t="s">
        <v>1166</v>
      </c>
    </row>
    <row r="13081" spans="1:2" x14ac:dyDescent="0.25">
      <c r="A13081" t="s">
        <v>1883</v>
      </c>
      <c r="B13081" t="s">
        <v>1167</v>
      </c>
    </row>
    <row r="13082" spans="1:2" x14ac:dyDescent="0.25">
      <c r="A13082" t="s">
        <v>1883</v>
      </c>
      <c r="B13082" t="s">
        <v>1168</v>
      </c>
    </row>
    <row r="13083" spans="1:2" x14ac:dyDescent="0.25">
      <c r="A13083" t="s">
        <v>1883</v>
      </c>
      <c r="B13083" t="s">
        <v>1186</v>
      </c>
    </row>
    <row r="13084" spans="1:2" x14ac:dyDescent="0.25">
      <c r="A13084" t="s">
        <v>1883</v>
      </c>
      <c r="B13084" t="s">
        <v>1187</v>
      </c>
    </row>
    <row r="13085" spans="1:2" x14ac:dyDescent="0.25">
      <c r="A13085" t="s">
        <v>1883</v>
      </c>
      <c r="B13085" t="s">
        <v>1188</v>
      </c>
    </row>
    <row r="13086" spans="1:2" x14ac:dyDescent="0.25">
      <c r="A13086" t="s">
        <v>1883</v>
      </c>
      <c r="B13086" t="s">
        <v>1189</v>
      </c>
    </row>
    <row r="13087" spans="1:2" x14ac:dyDescent="0.25">
      <c r="A13087" t="s">
        <v>1883</v>
      </c>
      <c r="B13087" t="s">
        <v>1195</v>
      </c>
    </row>
    <row r="13088" spans="1:2" x14ac:dyDescent="0.25">
      <c r="A13088" t="s">
        <v>1883</v>
      </c>
      <c r="B13088" t="s">
        <v>1196</v>
      </c>
    </row>
    <row r="13089" spans="1:2" x14ac:dyDescent="0.25">
      <c r="A13089" t="s">
        <v>1884</v>
      </c>
      <c r="B13089" t="s">
        <v>1112</v>
      </c>
    </row>
    <row r="13090" spans="1:2" x14ac:dyDescent="0.25">
      <c r="A13090" t="s">
        <v>1884</v>
      </c>
      <c r="B13090" t="s">
        <v>1113</v>
      </c>
    </row>
    <row r="13091" spans="1:2" x14ac:dyDescent="0.25">
      <c r="A13091" t="s">
        <v>1884</v>
      </c>
      <c r="B13091" t="s">
        <v>1114</v>
      </c>
    </row>
    <row r="13092" spans="1:2" x14ac:dyDescent="0.25">
      <c r="A13092" t="s">
        <v>1884</v>
      </c>
      <c r="B13092" t="s">
        <v>1114</v>
      </c>
    </row>
    <row r="13093" spans="1:2" x14ac:dyDescent="0.25">
      <c r="A13093" t="s">
        <v>1884</v>
      </c>
      <c r="B13093" t="s">
        <v>1115</v>
      </c>
    </row>
    <row r="13094" spans="1:2" x14ac:dyDescent="0.25">
      <c r="A13094" t="s">
        <v>1884</v>
      </c>
      <c r="B13094" t="s">
        <v>1166</v>
      </c>
    </row>
    <row r="13095" spans="1:2" x14ac:dyDescent="0.25">
      <c r="A13095" t="s">
        <v>1884</v>
      </c>
      <c r="B13095" t="s">
        <v>1167</v>
      </c>
    </row>
    <row r="13096" spans="1:2" x14ac:dyDescent="0.25">
      <c r="A13096" t="s">
        <v>1884</v>
      </c>
      <c r="B13096" t="s">
        <v>1168</v>
      </c>
    </row>
    <row r="13097" spans="1:2" x14ac:dyDescent="0.25">
      <c r="A13097" t="s">
        <v>1884</v>
      </c>
      <c r="B13097" t="s">
        <v>1186</v>
      </c>
    </row>
    <row r="13098" spans="1:2" x14ac:dyDescent="0.25">
      <c r="A13098" t="s">
        <v>1884</v>
      </c>
      <c r="B13098" t="s">
        <v>1187</v>
      </c>
    </row>
    <row r="13099" spans="1:2" x14ac:dyDescent="0.25">
      <c r="A13099" t="s">
        <v>1884</v>
      </c>
      <c r="B13099" t="s">
        <v>1188</v>
      </c>
    </row>
    <row r="13100" spans="1:2" x14ac:dyDescent="0.25">
      <c r="A13100" t="s">
        <v>1884</v>
      </c>
      <c r="B13100" t="s">
        <v>1189</v>
      </c>
    </row>
    <row r="13101" spans="1:2" x14ac:dyDescent="0.25">
      <c r="A13101" t="s">
        <v>1884</v>
      </c>
      <c r="B13101" t="s">
        <v>1195</v>
      </c>
    </row>
    <row r="13102" spans="1:2" x14ac:dyDescent="0.25">
      <c r="A13102" t="s">
        <v>1884</v>
      </c>
      <c r="B13102" t="s">
        <v>1196</v>
      </c>
    </row>
    <row r="13103" spans="1:2" x14ac:dyDescent="0.25">
      <c r="A13103" t="s">
        <v>1885</v>
      </c>
      <c r="B13103" t="s">
        <v>1112</v>
      </c>
    </row>
    <row r="13104" spans="1:2" x14ac:dyDescent="0.25">
      <c r="A13104" t="s">
        <v>1885</v>
      </c>
      <c r="B13104" t="s">
        <v>1113</v>
      </c>
    </row>
    <row r="13105" spans="1:2" x14ac:dyDescent="0.25">
      <c r="A13105" t="s">
        <v>1885</v>
      </c>
      <c r="B13105" t="s">
        <v>1114</v>
      </c>
    </row>
    <row r="13106" spans="1:2" x14ac:dyDescent="0.25">
      <c r="A13106" t="s">
        <v>1885</v>
      </c>
      <c r="B13106" t="s">
        <v>1114</v>
      </c>
    </row>
    <row r="13107" spans="1:2" x14ac:dyDescent="0.25">
      <c r="A13107" t="s">
        <v>1885</v>
      </c>
      <c r="B13107" t="s">
        <v>1115</v>
      </c>
    </row>
    <row r="13108" spans="1:2" x14ac:dyDescent="0.25">
      <c r="A13108" t="s">
        <v>1885</v>
      </c>
      <c r="B13108" t="s">
        <v>1166</v>
      </c>
    </row>
    <row r="13109" spans="1:2" x14ac:dyDescent="0.25">
      <c r="A13109" t="s">
        <v>1885</v>
      </c>
      <c r="B13109" t="s">
        <v>1167</v>
      </c>
    </row>
    <row r="13110" spans="1:2" x14ac:dyDescent="0.25">
      <c r="A13110" t="s">
        <v>1885</v>
      </c>
      <c r="B13110" t="s">
        <v>1168</v>
      </c>
    </row>
    <row r="13111" spans="1:2" x14ac:dyDescent="0.25">
      <c r="A13111" t="s">
        <v>1885</v>
      </c>
      <c r="B13111" t="s">
        <v>1186</v>
      </c>
    </row>
    <row r="13112" spans="1:2" x14ac:dyDescent="0.25">
      <c r="A13112" t="s">
        <v>1885</v>
      </c>
      <c r="B13112" t="s">
        <v>1187</v>
      </c>
    </row>
    <row r="13113" spans="1:2" x14ac:dyDescent="0.25">
      <c r="A13113" t="s">
        <v>1885</v>
      </c>
      <c r="B13113" t="s">
        <v>1188</v>
      </c>
    </row>
    <row r="13114" spans="1:2" x14ac:dyDescent="0.25">
      <c r="A13114" t="s">
        <v>1885</v>
      </c>
      <c r="B13114" t="s">
        <v>1189</v>
      </c>
    </row>
    <row r="13115" spans="1:2" x14ac:dyDescent="0.25">
      <c r="A13115" t="s">
        <v>1885</v>
      </c>
      <c r="B13115" t="s">
        <v>1195</v>
      </c>
    </row>
    <row r="13116" spans="1:2" x14ac:dyDescent="0.25">
      <c r="A13116" t="s">
        <v>1885</v>
      </c>
      <c r="B13116" t="s">
        <v>1196</v>
      </c>
    </row>
    <row r="13117" spans="1:2" x14ac:dyDescent="0.25">
      <c r="A13117" t="s">
        <v>1965</v>
      </c>
      <c r="B13117" t="s">
        <v>1114</v>
      </c>
    </row>
    <row r="13118" spans="1:2" x14ac:dyDescent="0.25">
      <c r="A13118" t="s">
        <v>1965</v>
      </c>
      <c r="B13118" t="s">
        <v>1115</v>
      </c>
    </row>
    <row r="13119" spans="1:2" x14ac:dyDescent="0.25">
      <c r="A13119" t="s">
        <v>1965</v>
      </c>
      <c r="B13119" t="s">
        <v>1166</v>
      </c>
    </row>
    <row r="13120" spans="1:2" x14ac:dyDescent="0.25">
      <c r="A13120" t="s">
        <v>1965</v>
      </c>
      <c r="B13120" t="s">
        <v>1167</v>
      </c>
    </row>
    <row r="13121" spans="1:2" x14ac:dyDescent="0.25">
      <c r="A13121" t="s">
        <v>1965</v>
      </c>
      <c r="B13121" t="s">
        <v>1168</v>
      </c>
    </row>
    <row r="13122" spans="1:2" x14ac:dyDescent="0.25">
      <c r="A13122" t="s">
        <v>1965</v>
      </c>
      <c r="B13122" t="s">
        <v>1186</v>
      </c>
    </row>
    <row r="13123" spans="1:2" x14ac:dyDescent="0.25">
      <c r="A13123" t="s">
        <v>1965</v>
      </c>
      <c r="B13123" t="s">
        <v>1187</v>
      </c>
    </row>
    <row r="13124" spans="1:2" x14ac:dyDescent="0.25">
      <c r="A13124" t="s">
        <v>1965</v>
      </c>
      <c r="B13124" t="s">
        <v>1188</v>
      </c>
    </row>
    <row r="13125" spans="1:2" x14ac:dyDescent="0.25">
      <c r="A13125" t="s">
        <v>1965</v>
      </c>
      <c r="B13125" t="s">
        <v>1189</v>
      </c>
    </row>
    <row r="13126" spans="1:2" x14ac:dyDescent="0.25">
      <c r="A13126" t="s">
        <v>1965</v>
      </c>
      <c r="B13126" t="s">
        <v>1195</v>
      </c>
    </row>
    <row r="13127" spans="1:2" x14ac:dyDescent="0.25">
      <c r="A13127" t="s">
        <v>1965</v>
      </c>
      <c r="B13127" t="s">
        <v>1196</v>
      </c>
    </row>
    <row r="13128" spans="1:2" x14ac:dyDescent="0.25">
      <c r="A13128" t="s">
        <v>2284</v>
      </c>
      <c r="B13128" t="s">
        <v>1195</v>
      </c>
    </row>
    <row r="13129" spans="1:2" x14ac:dyDescent="0.25">
      <c r="A13129" t="s">
        <v>2284</v>
      </c>
      <c r="B13129" t="s">
        <v>1196</v>
      </c>
    </row>
    <row r="13130" spans="1:2" x14ac:dyDescent="0.25">
      <c r="A13130" t="s">
        <v>2211</v>
      </c>
      <c r="B13130" t="s">
        <v>1160</v>
      </c>
    </row>
    <row r="13131" spans="1:2" x14ac:dyDescent="0.25">
      <c r="A13131" t="s">
        <v>2211</v>
      </c>
      <c r="B13131" t="s">
        <v>1161</v>
      </c>
    </row>
    <row r="13132" spans="1:2" x14ac:dyDescent="0.25">
      <c r="A13132" t="s">
        <v>2211</v>
      </c>
      <c r="B13132" t="s">
        <v>1162</v>
      </c>
    </row>
    <row r="13133" spans="1:2" x14ac:dyDescent="0.25">
      <c r="A13133" t="s">
        <v>2211</v>
      </c>
      <c r="B13133" t="s">
        <v>1163</v>
      </c>
    </row>
    <row r="13134" spans="1:2" x14ac:dyDescent="0.25">
      <c r="A13134" t="s">
        <v>2211</v>
      </c>
      <c r="B13134" t="s">
        <v>1164</v>
      </c>
    </row>
    <row r="13135" spans="1:2" x14ac:dyDescent="0.25">
      <c r="A13135" t="s">
        <v>2211</v>
      </c>
      <c r="B13135" t="s">
        <v>1165</v>
      </c>
    </row>
    <row r="13136" spans="1:2" x14ac:dyDescent="0.25">
      <c r="A13136" t="s">
        <v>2213</v>
      </c>
      <c r="B13136" t="s">
        <v>1160</v>
      </c>
    </row>
    <row r="13137" spans="1:2" x14ac:dyDescent="0.25">
      <c r="A13137" t="s">
        <v>2213</v>
      </c>
      <c r="B13137" t="s">
        <v>1161</v>
      </c>
    </row>
    <row r="13138" spans="1:2" x14ac:dyDescent="0.25">
      <c r="A13138" t="s">
        <v>2213</v>
      </c>
      <c r="B13138" t="s">
        <v>1162</v>
      </c>
    </row>
    <row r="13139" spans="1:2" x14ac:dyDescent="0.25">
      <c r="A13139" t="s">
        <v>2213</v>
      </c>
      <c r="B13139" t="s">
        <v>1163</v>
      </c>
    </row>
    <row r="13140" spans="1:2" x14ac:dyDescent="0.25">
      <c r="A13140" t="s">
        <v>2213</v>
      </c>
      <c r="B13140" t="s">
        <v>1164</v>
      </c>
    </row>
    <row r="13141" spans="1:2" x14ac:dyDescent="0.25">
      <c r="A13141" t="s">
        <v>2213</v>
      </c>
      <c r="B13141" t="s">
        <v>1165</v>
      </c>
    </row>
    <row r="13142" spans="1:2" x14ac:dyDescent="0.25">
      <c r="A13142" t="s">
        <v>2212</v>
      </c>
      <c r="B13142" t="s">
        <v>1160</v>
      </c>
    </row>
    <row r="13143" spans="1:2" x14ac:dyDescent="0.25">
      <c r="A13143" t="s">
        <v>2212</v>
      </c>
      <c r="B13143" t="s">
        <v>1161</v>
      </c>
    </row>
    <row r="13144" spans="1:2" x14ac:dyDescent="0.25">
      <c r="A13144" t="s">
        <v>2212</v>
      </c>
      <c r="B13144" t="s">
        <v>1162</v>
      </c>
    </row>
    <row r="13145" spans="1:2" x14ac:dyDescent="0.25">
      <c r="A13145" t="s">
        <v>2212</v>
      </c>
      <c r="B13145" t="s">
        <v>1163</v>
      </c>
    </row>
    <row r="13146" spans="1:2" x14ac:dyDescent="0.25">
      <c r="A13146" t="s">
        <v>2212</v>
      </c>
      <c r="B13146" t="s">
        <v>1164</v>
      </c>
    </row>
    <row r="13147" spans="1:2" x14ac:dyDescent="0.25">
      <c r="A13147" t="s">
        <v>2212</v>
      </c>
      <c r="B13147" t="s">
        <v>1165</v>
      </c>
    </row>
    <row r="13148" spans="1:2" x14ac:dyDescent="0.25">
      <c r="A13148" t="s">
        <v>2210</v>
      </c>
      <c r="B13148" t="s">
        <v>1160</v>
      </c>
    </row>
    <row r="13149" spans="1:2" x14ac:dyDescent="0.25">
      <c r="A13149" t="s">
        <v>2210</v>
      </c>
      <c r="B13149" t="s">
        <v>1161</v>
      </c>
    </row>
    <row r="13150" spans="1:2" x14ac:dyDescent="0.25">
      <c r="A13150" t="s">
        <v>2210</v>
      </c>
      <c r="B13150" t="s">
        <v>1162</v>
      </c>
    </row>
    <row r="13151" spans="1:2" x14ac:dyDescent="0.25">
      <c r="A13151" t="s">
        <v>2210</v>
      </c>
      <c r="B13151" t="s">
        <v>1163</v>
      </c>
    </row>
    <row r="13152" spans="1:2" x14ac:dyDescent="0.25">
      <c r="A13152" t="s">
        <v>2210</v>
      </c>
      <c r="B13152" t="s">
        <v>1164</v>
      </c>
    </row>
    <row r="13153" spans="1:2" x14ac:dyDescent="0.25">
      <c r="A13153" t="s">
        <v>2210</v>
      </c>
      <c r="B13153" t="s">
        <v>1165</v>
      </c>
    </row>
    <row r="13154" spans="1:2" x14ac:dyDescent="0.25">
      <c r="A13154" t="s">
        <v>1693</v>
      </c>
      <c r="B13154" t="s">
        <v>1099</v>
      </c>
    </row>
    <row r="13155" spans="1:2" x14ac:dyDescent="0.25">
      <c r="A13155" t="s">
        <v>1693</v>
      </c>
      <c r="B13155" t="s">
        <v>1109</v>
      </c>
    </row>
    <row r="13156" spans="1:2" x14ac:dyDescent="0.25">
      <c r="A13156" t="s">
        <v>1693</v>
      </c>
      <c r="B13156" t="s">
        <v>1113</v>
      </c>
    </row>
    <row r="13157" spans="1:2" x14ac:dyDescent="0.25">
      <c r="A13157" t="s">
        <v>1693</v>
      </c>
      <c r="B13157" t="s">
        <v>1114</v>
      </c>
    </row>
    <row r="13158" spans="1:2" x14ac:dyDescent="0.25">
      <c r="A13158" t="s">
        <v>1693</v>
      </c>
      <c r="B13158" t="s">
        <v>1115</v>
      </c>
    </row>
    <row r="13159" spans="1:2" x14ac:dyDescent="0.25">
      <c r="A13159" t="s">
        <v>1693</v>
      </c>
      <c r="B13159" t="s">
        <v>1122</v>
      </c>
    </row>
    <row r="13160" spans="1:2" x14ac:dyDescent="0.25">
      <c r="A13160" t="s">
        <v>1693</v>
      </c>
      <c r="B13160" t="s">
        <v>1133</v>
      </c>
    </row>
    <row r="13161" spans="1:2" x14ac:dyDescent="0.25">
      <c r="A13161" t="s">
        <v>1693</v>
      </c>
      <c r="B13161" t="s">
        <v>1166</v>
      </c>
    </row>
    <row r="13162" spans="1:2" x14ac:dyDescent="0.25">
      <c r="A13162" t="s">
        <v>1693</v>
      </c>
      <c r="B13162" t="s">
        <v>1167</v>
      </c>
    </row>
    <row r="13163" spans="1:2" x14ac:dyDescent="0.25">
      <c r="A13163" t="s">
        <v>1693</v>
      </c>
      <c r="B13163" t="s">
        <v>1186</v>
      </c>
    </row>
    <row r="13164" spans="1:2" x14ac:dyDescent="0.25">
      <c r="A13164" t="s">
        <v>1693</v>
      </c>
      <c r="B13164" t="s">
        <v>1187</v>
      </c>
    </row>
    <row r="13165" spans="1:2" x14ac:dyDescent="0.25">
      <c r="A13165" t="s">
        <v>1693</v>
      </c>
      <c r="B13165" t="s">
        <v>1188</v>
      </c>
    </row>
    <row r="13166" spans="1:2" x14ac:dyDescent="0.25">
      <c r="A13166" t="s">
        <v>1693</v>
      </c>
      <c r="B13166" t="s">
        <v>1189</v>
      </c>
    </row>
    <row r="13167" spans="1:2" x14ac:dyDescent="0.25">
      <c r="A13167" t="s">
        <v>1693</v>
      </c>
      <c r="B13167" t="s">
        <v>1195</v>
      </c>
    </row>
    <row r="13168" spans="1:2" x14ac:dyDescent="0.25">
      <c r="A13168" t="s">
        <v>1693</v>
      </c>
      <c r="B13168" t="s">
        <v>1207</v>
      </c>
    </row>
    <row r="13169" spans="1:2" x14ac:dyDescent="0.25">
      <c r="A13169" t="s">
        <v>1692</v>
      </c>
      <c r="B13169" t="s">
        <v>1099</v>
      </c>
    </row>
    <row r="13170" spans="1:2" x14ac:dyDescent="0.25">
      <c r="A13170" t="s">
        <v>1692</v>
      </c>
      <c r="B13170" t="s">
        <v>1109</v>
      </c>
    </row>
    <row r="13171" spans="1:2" x14ac:dyDescent="0.25">
      <c r="A13171" t="s">
        <v>1692</v>
      </c>
      <c r="B13171" t="s">
        <v>1113</v>
      </c>
    </row>
    <row r="13172" spans="1:2" x14ac:dyDescent="0.25">
      <c r="A13172" t="s">
        <v>1692</v>
      </c>
      <c r="B13172" t="s">
        <v>1114</v>
      </c>
    </row>
    <row r="13173" spans="1:2" x14ac:dyDescent="0.25">
      <c r="A13173" t="s">
        <v>1692</v>
      </c>
      <c r="B13173" t="s">
        <v>1115</v>
      </c>
    </row>
    <row r="13174" spans="1:2" x14ac:dyDescent="0.25">
      <c r="A13174" t="s">
        <v>1692</v>
      </c>
      <c r="B13174" t="s">
        <v>1122</v>
      </c>
    </row>
    <row r="13175" spans="1:2" x14ac:dyDescent="0.25">
      <c r="A13175" t="s">
        <v>1692</v>
      </c>
      <c r="B13175" t="s">
        <v>1133</v>
      </c>
    </row>
    <row r="13176" spans="1:2" x14ac:dyDescent="0.25">
      <c r="A13176" t="s">
        <v>1692</v>
      </c>
      <c r="B13176" t="s">
        <v>1166</v>
      </c>
    </row>
    <row r="13177" spans="1:2" x14ac:dyDescent="0.25">
      <c r="A13177" t="s">
        <v>1692</v>
      </c>
      <c r="B13177" t="s">
        <v>1167</v>
      </c>
    </row>
    <row r="13178" spans="1:2" x14ac:dyDescent="0.25">
      <c r="A13178" t="s">
        <v>1692</v>
      </c>
      <c r="B13178" t="s">
        <v>1186</v>
      </c>
    </row>
    <row r="13179" spans="1:2" x14ac:dyDescent="0.25">
      <c r="A13179" t="s">
        <v>1692</v>
      </c>
      <c r="B13179" t="s">
        <v>1187</v>
      </c>
    </row>
    <row r="13180" spans="1:2" x14ac:dyDescent="0.25">
      <c r="A13180" t="s">
        <v>1692</v>
      </c>
      <c r="B13180" t="s">
        <v>1188</v>
      </c>
    </row>
    <row r="13181" spans="1:2" x14ac:dyDescent="0.25">
      <c r="A13181" t="s">
        <v>1692</v>
      </c>
      <c r="B13181" t="s">
        <v>1189</v>
      </c>
    </row>
    <row r="13182" spans="1:2" x14ac:dyDescent="0.25">
      <c r="A13182" t="s">
        <v>1692</v>
      </c>
      <c r="B13182" t="s">
        <v>1195</v>
      </c>
    </row>
    <row r="13183" spans="1:2" x14ac:dyDescent="0.25">
      <c r="A13183" t="s">
        <v>1692</v>
      </c>
      <c r="B13183" t="s">
        <v>1207</v>
      </c>
    </row>
    <row r="13184" spans="1:2" x14ac:dyDescent="0.25">
      <c r="A13184" t="s">
        <v>2215</v>
      </c>
      <c r="B13184" t="s">
        <v>1165</v>
      </c>
    </row>
    <row r="13185" spans="1:2" x14ac:dyDescent="0.25">
      <c r="A13185" t="s">
        <v>1679</v>
      </c>
      <c r="B13185" t="s">
        <v>1099</v>
      </c>
    </row>
    <row r="13186" spans="1:2" x14ac:dyDescent="0.25">
      <c r="A13186" t="s">
        <v>1679</v>
      </c>
      <c r="B13186" t="s">
        <v>1100</v>
      </c>
    </row>
    <row r="13187" spans="1:2" x14ac:dyDescent="0.25">
      <c r="A13187" t="s">
        <v>1679</v>
      </c>
      <c r="B13187" t="s">
        <v>1101</v>
      </c>
    </row>
    <row r="13188" spans="1:2" x14ac:dyDescent="0.25">
      <c r="A13188" t="s">
        <v>1679</v>
      </c>
      <c r="B13188" t="s">
        <v>1102</v>
      </c>
    </row>
    <row r="13189" spans="1:2" x14ac:dyDescent="0.25">
      <c r="A13189" t="s">
        <v>1679</v>
      </c>
      <c r="B13189" t="s">
        <v>1103</v>
      </c>
    </row>
    <row r="13190" spans="1:2" x14ac:dyDescent="0.25">
      <c r="A13190" t="s">
        <v>1679</v>
      </c>
      <c r="B13190" t="s">
        <v>1104</v>
      </c>
    </row>
    <row r="13191" spans="1:2" x14ac:dyDescent="0.25">
      <c r="A13191" t="s">
        <v>1679</v>
      </c>
      <c r="B13191" t="s">
        <v>1105</v>
      </c>
    </row>
    <row r="13192" spans="1:2" x14ac:dyDescent="0.25">
      <c r="A13192" t="s">
        <v>1679</v>
      </c>
      <c r="B13192" t="s">
        <v>1164</v>
      </c>
    </row>
    <row r="13193" spans="1:2" x14ac:dyDescent="0.25">
      <c r="A13193" t="s">
        <v>1680</v>
      </c>
      <c r="B13193" t="s">
        <v>1099</v>
      </c>
    </row>
    <row r="13194" spans="1:2" x14ac:dyDescent="0.25">
      <c r="A13194" t="s">
        <v>1680</v>
      </c>
      <c r="B13194" t="s">
        <v>1100</v>
      </c>
    </row>
    <row r="13195" spans="1:2" x14ac:dyDescent="0.25">
      <c r="A13195" t="s">
        <v>1680</v>
      </c>
      <c r="B13195" t="s">
        <v>1101</v>
      </c>
    </row>
    <row r="13196" spans="1:2" x14ac:dyDescent="0.25">
      <c r="A13196" t="s">
        <v>1680</v>
      </c>
      <c r="B13196" t="s">
        <v>1102</v>
      </c>
    </row>
    <row r="13197" spans="1:2" x14ac:dyDescent="0.25">
      <c r="A13197" t="s">
        <v>1680</v>
      </c>
      <c r="B13197" t="s">
        <v>1103</v>
      </c>
    </row>
    <row r="13198" spans="1:2" x14ac:dyDescent="0.25">
      <c r="A13198" t="s">
        <v>1680</v>
      </c>
      <c r="B13198" t="s">
        <v>1104</v>
      </c>
    </row>
    <row r="13199" spans="1:2" x14ac:dyDescent="0.25">
      <c r="A13199" t="s">
        <v>1680</v>
      </c>
      <c r="B13199" t="s">
        <v>1105</v>
      </c>
    </row>
    <row r="13200" spans="1:2" x14ac:dyDescent="0.25">
      <c r="A13200" t="s">
        <v>1680</v>
      </c>
      <c r="B13200" t="s">
        <v>1164</v>
      </c>
    </row>
    <row r="13201" spans="1:2" x14ac:dyDescent="0.25">
      <c r="A13201" t="s">
        <v>1785</v>
      </c>
      <c r="B13201" t="s">
        <v>1104</v>
      </c>
    </row>
    <row r="13202" spans="1:2" x14ac:dyDescent="0.25">
      <c r="A13202" t="s">
        <v>1785</v>
      </c>
      <c r="B13202" t="s">
        <v>1116</v>
      </c>
    </row>
    <row r="13203" spans="1:2" x14ac:dyDescent="0.25">
      <c r="A13203" t="s">
        <v>1785</v>
      </c>
      <c r="B13203" t="s">
        <v>1116</v>
      </c>
    </row>
    <row r="13204" spans="1:2" x14ac:dyDescent="0.25">
      <c r="A13204" t="s">
        <v>1785</v>
      </c>
      <c r="B13204" t="s">
        <v>1117</v>
      </c>
    </row>
    <row r="13205" spans="1:2" x14ac:dyDescent="0.25">
      <c r="A13205" t="s">
        <v>1785</v>
      </c>
      <c r="B13205" t="s">
        <v>1118</v>
      </c>
    </row>
    <row r="13206" spans="1:2" x14ac:dyDescent="0.25">
      <c r="A13206" t="s">
        <v>1785</v>
      </c>
      <c r="B13206" t="s">
        <v>1119</v>
      </c>
    </row>
    <row r="13207" spans="1:2" x14ac:dyDescent="0.25">
      <c r="A13207" t="s">
        <v>1785</v>
      </c>
      <c r="B13207" t="s">
        <v>1120</v>
      </c>
    </row>
    <row r="13208" spans="1:2" x14ac:dyDescent="0.25">
      <c r="A13208" t="s">
        <v>1785</v>
      </c>
      <c r="B13208" t="s">
        <v>1121</v>
      </c>
    </row>
    <row r="13209" spans="1:2" x14ac:dyDescent="0.25">
      <c r="A13209" t="s">
        <v>1785</v>
      </c>
      <c r="B13209" t="s">
        <v>1121</v>
      </c>
    </row>
    <row r="13210" spans="1:2" x14ac:dyDescent="0.25">
      <c r="A13210" t="s">
        <v>1785</v>
      </c>
      <c r="B13210" t="s">
        <v>1122</v>
      </c>
    </row>
    <row r="13211" spans="1:2" x14ac:dyDescent="0.25">
      <c r="A13211" t="s">
        <v>1785</v>
      </c>
      <c r="B13211" t="s">
        <v>1123</v>
      </c>
    </row>
    <row r="13212" spans="1:2" x14ac:dyDescent="0.25">
      <c r="A13212" t="s">
        <v>1785</v>
      </c>
      <c r="B13212" t="s">
        <v>1123</v>
      </c>
    </row>
    <row r="13213" spans="1:2" x14ac:dyDescent="0.25">
      <c r="A13213" t="s">
        <v>1785</v>
      </c>
      <c r="B13213" t="s">
        <v>1124</v>
      </c>
    </row>
    <row r="13214" spans="1:2" x14ac:dyDescent="0.25">
      <c r="A13214" t="s">
        <v>1785</v>
      </c>
      <c r="B13214" t="s">
        <v>1125</v>
      </c>
    </row>
    <row r="13215" spans="1:2" x14ac:dyDescent="0.25">
      <c r="A13215" t="s">
        <v>1785</v>
      </c>
      <c r="B13215" t="s">
        <v>1161</v>
      </c>
    </row>
    <row r="13216" spans="1:2" x14ac:dyDescent="0.25">
      <c r="A13216" t="s">
        <v>1785</v>
      </c>
      <c r="B13216" t="s">
        <v>1223</v>
      </c>
    </row>
    <row r="13217" spans="1:2" x14ac:dyDescent="0.25">
      <c r="A13217" s="11" t="s">
        <v>1427</v>
      </c>
      <c r="B13217" t="s">
        <v>1090</v>
      </c>
    </row>
    <row r="13218" spans="1:2" x14ac:dyDescent="0.25">
      <c r="A13218" s="11" t="s">
        <v>1427</v>
      </c>
      <c r="B13218" t="s">
        <v>1091</v>
      </c>
    </row>
    <row r="13219" spans="1:2" x14ac:dyDescent="0.25">
      <c r="A13219" s="13" t="s">
        <v>1427</v>
      </c>
      <c r="B13219" t="s">
        <v>1092</v>
      </c>
    </row>
    <row r="13220" spans="1:2" x14ac:dyDescent="0.25">
      <c r="A13220" t="s">
        <v>1427</v>
      </c>
      <c r="B13220" t="s">
        <v>1093</v>
      </c>
    </row>
    <row r="13221" spans="1:2" x14ac:dyDescent="0.25">
      <c r="A13221" t="s">
        <v>1427</v>
      </c>
      <c r="B13221" t="s">
        <v>1094</v>
      </c>
    </row>
    <row r="13222" spans="1:2" x14ac:dyDescent="0.25">
      <c r="A13222" t="s">
        <v>1427</v>
      </c>
      <c r="B13222" t="s">
        <v>1095</v>
      </c>
    </row>
    <row r="13223" spans="1:2" x14ac:dyDescent="0.25">
      <c r="A13223" t="s">
        <v>1427</v>
      </c>
      <c r="B13223" t="s">
        <v>1096</v>
      </c>
    </row>
    <row r="13224" spans="1:2" x14ac:dyDescent="0.25">
      <c r="A13224" t="s">
        <v>1427</v>
      </c>
      <c r="B13224" t="s">
        <v>1097</v>
      </c>
    </row>
    <row r="13225" spans="1:2" x14ac:dyDescent="0.25">
      <c r="A13225" t="s">
        <v>1427</v>
      </c>
      <c r="B13225" t="s">
        <v>1098</v>
      </c>
    </row>
    <row r="13226" spans="1:2" x14ac:dyDescent="0.25">
      <c r="A13226" t="s">
        <v>1427</v>
      </c>
      <c r="B13226" t="s">
        <v>1099</v>
      </c>
    </row>
    <row r="13227" spans="1:2" x14ac:dyDescent="0.25">
      <c r="A13227" t="s">
        <v>1427</v>
      </c>
      <c r="B13227" t="s">
        <v>1100</v>
      </c>
    </row>
    <row r="13228" spans="1:2" x14ac:dyDescent="0.25">
      <c r="A13228" t="s">
        <v>1427</v>
      </c>
      <c r="B13228" t="s">
        <v>1101</v>
      </c>
    </row>
    <row r="13229" spans="1:2" x14ac:dyDescent="0.25">
      <c r="A13229" t="s">
        <v>1427</v>
      </c>
      <c r="B13229" t="s">
        <v>1102</v>
      </c>
    </row>
    <row r="13230" spans="1:2" x14ac:dyDescent="0.25">
      <c r="A13230" t="s">
        <v>1427</v>
      </c>
      <c r="B13230" t="s">
        <v>1102</v>
      </c>
    </row>
    <row r="13231" spans="1:2" x14ac:dyDescent="0.25">
      <c r="A13231" t="s">
        <v>1427</v>
      </c>
      <c r="B13231" t="s">
        <v>1103</v>
      </c>
    </row>
    <row r="13232" spans="1:2" x14ac:dyDescent="0.25">
      <c r="A13232" t="s">
        <v>1427</v>
      </c>
      <c r="B13232" t="s">
        <v>1104</v>
      </c>
    </row>
    <row r="13233" spans="1:2" x14ac:dyDescent="0.25">
      <c r="A13233" t="s">
        <v>1427</v>
      </c>
      <c r="B13233" t="s">
        <v>1104</v>
      </c>
    </row>
    <row r="13234" spans="1:2" x14ac:dyDescent="0.25">
      <c r="A13234" t="s">
        <v>1427</v>
      </c>
      <c r="B13234" t="s">
        <v>1105</v>
      </c>
    </row>
    <row r="13235" spans="1:2" x14ac:dyDescent="0.25">
      <c r="A13235" t="s">
        <v>1427</v>
      </c>
      <c r="B13235" t="s">
        <v>1106</v>
      </c>
    </row>
    <row r="13236" spans="1:2" x14ac:dyDescent="0.25">
      <c r="A13236" t="s">
        <v>1427</v>
      </c>
      <c r="B13236" t="s">
        <v>1107</v>
      </c>
    </row>
    <row r="13237" spans="1:2" x14ac:dyDescent="0.25">
      <c r="A13237" t="s">
        <v>1427</v>
      </c>
      <c r="B13237" t="s">
        <v>1108</v>
      </c>
    </row>
    <row r="13238" spans="1:2" x14ac:dyDescent="0.25">
      <c r="A13238" t="s">
        <v>1427</v>
      </c>
      <c r="B13238" t="s">
        <v>1109</v>
      </c>
    </row>
    <row r="13239" spans="1:2" x14ac:dyDescent="0.25">
      <c r="A13239" t="s">
        <v>1427</v>
      </c>
      <c r="B13239" t="s">
        <v>1110</v>
      </c>
    </row>
    <row r="13240" spans="1:2" x14ac:dyDescent="0.25">
      <c r="A13240" t="s">
        <v>1427</v>
      </c>
      <c r="B13240" t="s">
        <v>1111</v>
      </c>
    </row>
    <row r="13241" spans="1:2" x14ac:dyDescent="0.25">
      <c r="A13241" t="s">
        <v>1427</v>
      </c>
      <c r="B13241" t="s">
        <v>1112</v>
      </c>
    </row>
    <row r="13242" spans="1:2" x14ac:dyDescent="0.25">
      <c r="A13242" t="s">
        <v>1427</v>
      </c>
      <c r="B13242" t="s">
        <v>1113</v>
      </c>
    </row>
    <row r="13243" spans="1:2" x14ac:dyDescent="0.25">
      <c r="A13243" t="s">
        <v>1427</v>
      </c>
      <c r="B13243" t="s">
        <v>1114</v>
      </c>
    </row>
    <row r="13244" spans="1:2" x14ac:dyDescent="0.25">
      <c r="A13244" t="s">
        <v>1427</v>
      </c>
      <c r="B13244" t="s">
        <v>1115</v>
      </c>
    </row>
    <row r="13245" spans="1:2" x14ac:dyDescent="0.25">
      <c r="A13245" t="s">
        <v>1427</v>
      </c>
      <c r="B13245" t="s">
        <v>1116</v>
      </c>
    </row>
    <row r="13246" spans="1:2" x14ac:dyDescent="0.25">
      <c r="A13246" t="s">
        <v>1427</v>
      </c>
      <c r="B13246" t="s">
        <v>1116</v>
      </c>
    </row>
    <row r="13247" spans="1:2" x14ac:dyDescent="0.25">
      <c r="A13247" t="s">
        <v>1427</v>
      </c>
      <c r="B13247" t="s">
        <v>1117</v>
      </c>
    </row>
    <row r="13248" spans="1:2" x14ac:dyDescent="0.25">
      <c r="A13248" t="s">
        <v>1427</v>
      </c>
      <c r="B13248" t="s">
        <v>1118</v>
      </c>
    </row>
    <row r="13249" spans="1:2" x14ac:dyDescent="0.25">
      <c r="A13249" t="s">
        <v>1427</v>
      </c>
      <c r="B13249" t="s">
        <v>1119</v>
      </c>
    </row>
    <row r="13250" spans="1:2" x14ac:dyDescent="0.25">
      <c r="A13250" t="s">
        <v>1427</v>
      </c>
      <c r="B13250" t="s">
        <v>1120</v>
      </c>
    </row>
    <row r="13251" spans="1:2" x14ac:dyDescent="0.25">
      <c r="A13251" t="s">
        <v>1427</v>
      </c>
      <c r="B13251" t="s">
        <v>1121</v>
      </c>
    </row>
    <row r="13252" spans="1:2" x14ac:dyDescent="0.25">
      <c r="A13252" t="s">
        <v>1427</v>
      </c>
      <c r="B13252" t="s">
        <v>1121</v>
      </c>
    </row>
    <row r="13253" spans="1:2" x14ac:dyDescent="0.25">
      <c r="A13253" t="s">
        <v>1427</v>
      </c>
      <c r="B13253" t="s">
        <v>1122</v>
      </c>
    </row>
    <row r="13254" spans="1:2" x14ac:dyDescent="0.25">
      <c r="A13254" t="s">
        <v>1427</v>
      </c>
      <c r="B13254" t="s">
        <v>1122</v>
      </c>
    </row>
    <row r="13255" spans="1:2" x14ac:dyDescent="0.25">
      <c r="A13255" t="s">
        <v>1427</v>
      </c>
      <c r="B13255" t="s">
        <v>1123</v>
      </c>
    </row>
    <row r="13256" spans="1:2" x14ac:dyDescent="0.25">
      <c r="A13256" t="s">
        <v>1427</v>
      </c>
      <c r="B13256" t="s">
        <v>1123</v>
      </c>
    </row>
    <row r="13257" spans="1:2" x14ac:dyDescent="0.25">
      <c r="A13257" t="s">
        <v>1427</v>
      </c>
      <c r="B13257" t="s">
        <v>1124</v>
      </c>
    </row>
    <row r="13258" spans="1:2" x14ac:dyDescent="0.25">
      <c r="A13258" t="s">
        <v>1427</v>
      </c>
      <c r="B13258" t="s">
        <v>1125</v>
      </c>
    </row>
    <row r="13259" spans="1:2" x14ac:dyDescent="0.25">
      <c r="A13259" t="s">
        <v>1427</v>
      </c>
      <c r="B13259" t="s">
        <v>1161</v>
      </c>
    </row>
    <row r="13260" spans="1:2" x14ac:dyDescent="0.25">
      <c r="A13260" s="11" t="s">
        <v>1428</v>
      </c>
      <c r="B13260" t="s">
        <v>1090</v>
      </c>
    </row>
    <row r="13261" spans="1:2" x14ac:dyDescent="0.25">
      <c r="A13261" s="11" t="s">
        <v>1428</v>
      </c>
      <c r="B13261" t="s">
        <v>1091</v>
      </c>
    </row>
    <row r="13262" spans="1:2" x14ac:dyDescent="0.25">
      <c r="A13262" s="13" t="s">
        <v>1428</v>
      </c>
      <c r="B13262" t="s">
        <v>1092</v>
      </c>
    </row>
    <row r="13263" spans="1:2" x14ac:dyDescent="0.25">
      <c r="A13263" t="s">
        <v>1428</v>
      </c>
      <c r="B13263" t="s">
        <v>1093</v>
      </c>
    </row>
    <row r="13264" spans="1:2" x14ac:dyDescent="0.25">
      <c r="A13264" t="s">
        <v>1428</v>
      </c>
      <c r="B13264" t="s">
        <v>1094</v>
      </c>
    </row>
    <row r="13265" spans="1:2" x14ac:dyDescent="0.25">
      <c r="A13265" t="s">
        <v>1428</v>
      </c>
      <c r="B13265" t="s">
        <v>1095</v>
      </c>
    </row>
    <row r="13266" spans="1:2" x14ac:dyDescent="0.25">
      <c r="A13266" t="s">
        <v>1428</v>
      </c>
      <c r="B13266" t="s">
        <v>1096</v>
      </c>
    </row>
    <row r="13267" spans="1:2" x14ac:dyDescent="0.25">
      <c r="A13267" t="s">
        <v>1428</v>
      </c>
      <c r="B13267" t="s">
        <v>1097</v>
      </c>
    </row>
    <row r="13268" spans="1:2" x14ac:dyDescent="0.25">
      <c r="A13268" t="s">
        <v>1428</v>
      </c>
      <c r="B13268" t="s">
        <v>1098</v>
      </c>
    </row>
    <row r="13269" spans="1:2" x14ac:dyDescent="0.25">
      <c r="A13269" t="s">
        <v>1428</v>
      </c>
      <c r="B13269" t="s">
        <v>1099</v>
      </c>
    </row>
    <row r="13270" spans="1:2" x14ac:dyDescent="0.25">
      <c r="A13270" t="s">
        <v>1428</v>
      </c>
      <c r="B13270" t="s">
        <v>1100</v>
      </c>
    </row>
    <row r="13271" spans="1:2" x14ac:dyDescent="0.25">
      <c r="A13271" t="s">
        <v>1428</v>
      </c>
      <c r="B13271" t="s">
        <v>1101</v>
      </c>
    </row>
    <row r="13272" spans="1:2" x14ac:dyDescent="0.25">
      <c r="A13272" t="s">
        <v>1428</v>
      </c>
      <c r="B13272" t="s">
        <v>1102</v>
      </c>
    </row>
    <row r="13273" spans="1:2" x14ac:dyDescent="0.25">
      <c r="A13273" t="s">
        <v>1428</v>
      </c>
      <c r="B13273" t="s">
        <v>1102</v>
      </c>
    </row>
    <row r="13274" spans="1:2" x14ac:dyDescent="0.25">
      <c r="A13274" t="s">
        <v>1428</v>
      </c>
      <c r="B13274" t="s">
        <v>1103</v>
      </c>
    </row>
    <row r="13275" spans="1:2" x14ac:dyDescent="0.25">
      <c r="A13275" t="s">
        <v>1428</v>
      </c>
      <c r="B13275" t="s">
        <v>1104</v>
      </c>
    </row>
    <row r="13276" spans="1:2" x14ac:dyDescent="0.25">
      <c r="A13276" t="s">
        <v>1428</v>
      </c>
      <c r="B13276" t="s">
        <v>1104</v>
      </c>
    </row>
    <row r="13277" spans="1:2" x14ac:dyDescent="0.25">
      <c r="A13277" t="s">
        <v>1428</v>
      </c>
      <c r="B13277" t="s">
        <v>1105</v>
      </c>
    </row>
    <row r="13278" spans="1:2" x14ac:dyDescent="0.25">
      <c r="A13278" t="s">
        <v>1428</v>
      </c>
      <c r="B13278" t="s">
        <v>1106</v>
      </c>
    </row>
    <row r="13279" spans="1:2" x14ac:dyDescent="0.25">
      <c r="A13279" t="s">
        <v>1428</v>
      </c>
      <c r="B13279" t="s">
        <v>1107</v>
      </c>
    </row>
    <row r="13280" spans="1:2" x14ac:dyDescent="0.25">
      <c r="A13280" t="s">
        <v>1428</v>
      </c>
      <c r="B13280" t="s">
        <v>1108</v>
      </c>
    </row>
    <row r="13281" spans="1:2" x14ac:dyDescent="0.25">
      <c r="A13281" t="s">
        <v>1428</v>
      </c>
      <c r="B13281" t="s">
        <v>1109</v>
      </c>
    </row>
    <row r="13282" spans="1:2" x14ac:dyDescent="0.25">
      <c r="A13282" t="s">
        <v>1428</v>
      </c>
      <c r="B13282" t="s">
        <v>1110</v>
      </c>
    </row>
    <row r="13283" spans="1:2" x14ac:dyDescent="0.25">
      <c r="A13283" t="s">
        <v>1428</v>
      </c>
      <c r="B13283" t="s">
        <v>1111</v>
      </c>
    </row>
    <row r="13284" spans="1:2" x14ac:dyDescent="0.25">
      <c r="A13284" t="s">
        <v>1428</v>
      </c>
      <c r="B13284" t="s">
        <v>1112</v>
      </c>
    </row>
    <row r="13285" spans="1:2" x14ac:dyDescent="0.25">
      <c r="A13285" t="s">
        <v>1428</v>
      </c>
      <c r="B13285" t="s">
        <v>1113</v>
      </c>
    </row>
    <row r="13286" spans="1:2" x14ac:dyDescent="0.25">
      <c r="A13286" t="s">
        <v>1428</v>
      </c>
      <c r="B13286" t="s">
        <v>1114</v>
      </c>
    </row>
    <row r="13287" spans="1:2" x14ac:dyDescent="0.25">
      <c r="A13287" t="s">
        <v>1428</v>
      </c>
      <c r="B13287" t="s">
        <v>1115</v>
      </c>
    </row>
    <row r="13288" spans="1:2" x14ac:dyDescent="0.25">
      <c r="A13288" t="s">
        <v>1428</v>
      </c>
      <c r="B13288" t="s">
        <v>1116</v>
      </c>
    </row>
    <row r="13289" spans="1:2" x14ac:dyDescent="0.25">
      <c r="A13289" t="s">
        <v>1428</v>
      </c>
      <c r="B13289" t="s">
        <v>1116</v>
      </c>
    </row>
    <row r="13290" spans="1:2" x14ac:dyDescent="0.25">
      <c r="A13290" t="s">
        <v>1428</v>
      </c>
      <c r="B13290" t="s">
        <v>1117</v>
      </c>
    </row>
    <row r="13291" spans="1:2" x14ac:dyDescent="0.25">
      <c r="A13291" t="s">
        <v>1428</v>
      </c>
      <c r="B13291" t="s">
        <v>1118</v>
      </c>
    </row>
    <row r="13292" spans="1:2" x14ac:dyDescent="0.25">
      <c r="A13292" t="s">
        <v>1428</v>
      </c>
      <c r="B13292" t="s">
        <v>1119</v>
      </c>
    </row>
    <row r="13293" spans="1:2" x14ac:dyDescent="0.25">
      <c r="A13293" t="s">
        <v>1428</v>
      </c>
      <c r="B13293" t="s">
        <v>1120</v>
      </c>
    </row>
    <row r="13294" spans="1:2" x14ac:dyDescent="0.25">
      <c r="A13294" t="s">
        <v>1428</v>
      </c>
      <c r="B13294" t="s">
        <v>1121</v>
      </c>
    </row>
    <row r="13295" spans="1:2" x14ac:dyDescent="0.25">
      <c r="A13295" t="s">
        <v>1428</v>
      </c>
      <c r="B13295" t="s">
        <v>1121</v>
      </c>
    </row>
    <row r="13296" spans="1:2" x14ac:dyDescent="0.25">
      <c r="A13296" t="s">
        <v>1428</v>
      </c>
      <c r="B13296" t="s">
        <v>1122</v>
      </c>
    </row>
    <row r="13297" spans="1:2" x14ac:dyDescent="0.25">
      <c r="A13297" t="s">
        <v>1428</v>
      </c>
      <c r="B13297" t="s">
        <v>1122</v>
      </c>
    </row>
    <row r="13298" spans="1:2" x14ac:dyDescent="0.25">
      <c r="A13298" t="s">
        <v>1428</v>
      </c>
      <c r="B13298" t="s">
        <v>1123</v>
      </c>
    </row>
    <row r="13299" spans="1:2" x14ac:dyDescent="0.25">
      <c r="A13299" t="s">
        <v>1428</v>
      </c>
      <c r="B13299" t="s">
        <v>1123</v>
      </c>
    </row>
    <row r="13300" spans="1:2" x14ac:dyDescent="0.25">
      <c r="A13300" t="s">
        <v>1428</v>
      </c>
      <c r="B13300" t="s">
        <v>1124</v>
      </c>
    </row>
    <row r="13301" spans="1:2" x14ac:dyDescent="0.25">
      <c r="A13301" t="s">
        <v>1428</v>
      </c>
      <c r="B13301" t="s">
        <v>1125</v>
      </c>
    </row>
    <row r="13302" spans="1:2" x14ac:dyDescent="0.25">
      <c r="A13302" t="s">
        <v>1428</v>
      </c>
      <c r="B13302" t="s">
        <v>1161</v>
      </c>
    </row>
    <row r="13303" spans="1:2" x14ac:dyDescent="0.25">
      <c r="A13303" t="s">
        <v>1784</v>
      </c>
      <c r="B13303" t="s">
        <v>1104</v>
      </c>
    </row>
    <row r="13304" spans="1:2" x14ac:dyDescent="0.25">
      <c r="A13304" t="s">
        <v>1784</v>
      </c>
      <c r="B13304" t="s">
        <v>1116</v>
      </c>
    </row>
    <row r="13305" spans="1:2" x14ac:dyDescent="0.25">
      <c r="A13305" t="s">
        <v>1784</v>
      </c>
      <c r="B13305" t="s">
        <v>1116</v>
      </c>
    </row>
    <row r="13306" spans="1:2" x14ac:dyDescent="0.25">
      <c r="A13306" t="s">
        <v>1784</v>
      </c>
      <c r="B13306" t="s">
        <v>1117</v>
      </c>
    </row>
    <row r="13307" spans="1:2" x14ac:dyDescent="0.25">
      <c r="A13307" t="s">
        <v>1784</v>
      </c>
      <c r="B13307" t="s">
        <v>1118</v>
      </c>
    </row>
    <row r="13308" spans="1:2" x14ac:dyDescent="0.25">
      <c r="A13308" t="s">
        <v>1784</v>
      </c>
      <c r="B13308" t="s">
        <v>1119</v>
      </c>
    </row>
    <row r="13309" spans="1:2" x14ac:dyDescent="0.25">
      <c r="A13309" t="s">
        <v>1784</v>
      </c>
      <c r="B13309" t="s">
        <v>1120</v>
      </c>
    </row>
    <row r="13310" spans="1:2" x14ac:dyDescent="0.25">
      <c r="A13310" t="s">
        <v>1784</v>
      </c>
      <c r="B13310" t="s">
        <v>1121</v>
      </c>
    </row>
    <row r="13311" spans="1:2" x14ac:dyDescent="0.25">
      <c r="A13311" t="s">
        <v>1784</v>
      </c>
      <c r="B13311" t="s">
        <v>1121</v>
      </c>
    </row>
    <row r="13312" spans="1:2" x14ac:dyDescent="0.25">
      <c r="A13312" t="s">
        <v>1784</v>
      </c>
      <c r="B13312" t="s">
        <v>1122</v>
      </c>
    </row>
    <row r="13313" spans="1:2" x14ac:dyDescent="0.25">
      <c r="A13313" t="s">
        <v>1784</v>
      </c>
      <c r="B13313" t="s">
        <v>1123</v>
      </c>
    </row>
    <row r="13314" spans="1:2" x14ac:dyDescent="0.25">
      <c r="A13314" t="s">
        <v>1784</v>
      </c>
      <c r="B13314" t="s">
        <v>1123</v>
      </c>
    </row>
    <row r="13315" spans="1:2" x14ac:dyDescent="0.25">
      <c r="A13315" t="s">
        <v>1784</v>
      </c>
      <c r="B13315" t="s">
        <v>1124</v>
      </c>
    </row>
    <row r="13316" spans="1:2" x14ac:dyDescent="0.25">
      <c r="A13316" t="s">
        <v>1784</v>
      </c>
      <c r="B13316" t="s">
        <v>1125</v>
      </c>
    </row>
    <row r="13317" spans="1:2" x14ac:dyDescent="0.25">
      <c r="A13317" t="s">
        <v>1784</v>
      </c>
      <c r="B13317" t="s">
        <v>1161</v>
      </c>
    </row>
    <row r="13318" spans="1:2" x14ac:dyDescent="0.25">
      <c r="A13318" t="s">
        <v>2295</v>
      </c>
      <c r="B13318" t="s">
        <v>1209</v>
      </c>
    </row>
    <row r="13319" spans="1:2" x14ac:dyDescent="0.25">
      <c r="A13319" t="s">
        <v>2295</v>
      </c>
      <c r="B13319" t="s">
        <v>1210</v>
      </c>
    </row>
    <row r="13320" spans="1:2" x14ac:dyDescent="0.25">
      <c r="A13320" t="s">
        <v>2295</v>
      </c>
      <c r="B13320" t="s">
        <v>1211</v>
      </c>
    </row>
    <row r="13321" spans="1:2" x14ac:dyDescent="0.25">
      <c r="A13321" t="s">
        <v>1823</v>
      </c>
      <c r="B13321" t="s">
        <v>1108</v>
      </c>
    </row>
    <row r="13322" spans="1:2" x14ac:dyDescent="0.25">
      <c r="A13322" t="s">
        <v>1823</v>
      </c>
      <c r="B13322" t="s">
        <v>1160</v>
      </c>
    </row>
    <row r="13323" spans="1:2" x14ac:dyDescent="0.25">
      <c r="A13323" t="s">
        <v>1823</v>
      </c>
      <c r="B13323" t="s">
        <v>1174</v>
      </c>
    </row>
    <row r="13324" spans="1:2" x14ac:dyDescent="0.25">
      <c r="A13324" t="s">
        <v>1823</v>
      </c>
      <c r="B13324" t="s">
        <v>1175</v>
      </c>
    </row>
    <row r="13325" spans="1:2" x14ac:dyDescent="0.25">
      <c r="A13325" t="s">
        <v>1823</v>
      </c>
      <c r="B13325" t="s">
        <v>1199</v>
      </c>
    </row>
    <row r="13326" spans="1:2" x14ac:dyDescent="0.25">
      <c r="A13326" t="s">
        <v>1823</v>
      </c>
      <c r="B13326" t="s">
        <v>1212</v>
      </c>
    </row>
    <row r="13327" spans="1:2" x14ac:dyDescent="0.25">
      <c r="A13327" t="s">
        <v>1823</v>
      </c>
      <c r="B13327" t="s">
        <v>1214</v>
      </c>
    </row>
    <row r="13328" spans="1:2" x14ac:dyDescent="0.25">
      <c r="A13328" t="s">
        <v>1823</v>
      </c>
      <c r="B13328" t="s">
        <v>1233</v>
      </c>
    </row>
    <row r="13329" spans="1:2" x14ac:dyDescent="0.25">
      <c r="A13329" t="s">
        <v>1821</v>
      </c>
      <c r="B13329" t="s">
        <v>1108</v>
      </c>
    </row>
    <row r="13330" spans="1:2" x14ac:dyDescent="0.25">
      <c r="A13330" t="s">
        <v>1821</v>
      </c>
      <c r="B13330" t="s">
        <v>1160</v>
      </c>
    </row>
    <row r="13331" spans="1:2" x14ac:dyDescent="0.25">
      <c r="A13331" t="s">
        <v>1821</v>
      </c>
      <c r="B13331" t="s">
        <v>1174</v>
      </c>
    </row>
    <row r="13332" spans="1:2" x14ac:dyDescent="0.25">
      <c r="A13332" t="s">
        <v>1821</v>
      </c>
      <c r="B13332" t="s">
        <v>1175</v>
      </c>
    </row>
    <row r="13333" spans="1:2" x14ac:dyDescent="0.25">
      <c r="A13333" t="s">
        <v>1821</v>
      </c>
      <c r="B13333" t="s">
        <v>1199</v>
      </c>
    </row>
    <row r="13334" spans="1:2" x14ac:dyDescent="0.25">
      <c r="A13334" t="s">
        <v>1821</v>
      </c>
      <c r="B13334" t="s">
        <v>1209</v>
      </c>
    </row>
    <row r="13335" spans="1:2" x14ac:dyDescent="0.25">
      <c r="A13335" t="s">
        <v>1821</v>
      </c>
      <c r="B13335" t="s">
        <v>1210</v>
      </c>
    </row>
    <row r="13336" spans="1:2" x14ac:dyDescent="0.25">
      <c r="A13336" t="s">
        <v>1821</v>
      </c>
      <c r="B13336" t="s">
        <v>1211</v>
      </c>
    </row>
    <row r="13337" spans="1:2" x14ac:dyDescent="0.25">
      <c r="A13337" t="s">
        <v>1821</v>
      </c>
      <c r="B13337" t="s">
        <v>1212</v>
      </c>
    </row>
    <row r="13338" spans="1:2" x14ac:dyDescent="0.25">
      <c r="A13338" t="s">
        <v>1821</v>
      </c>
      <c r="B13338" t="s">
        <v>1214</v>
      </c>
    </row>
    <row r="13339" spans="1:2" x14ac:dyDescent="0.25">
      <c r="A13339" t="s">
        <v>1821</v>
      </c>
      <c r="B13339" t="s">
        <v>1233</v>
      </c>
    </row>
    <row r="13340" spans="1:2" x14ac:dyDescent="0.25">
      <c r="A13340" t="s">
        <v>2076</v>
      </c>
      <c r="B13340" t="s">
        <v>1139</v>
      </c>
    </row>
    <row r="13341" spans="1:2" x14ac:dyDescent="0.25">
      <c r="A13341" t="s">
        <v>2076</v>
      </c>
      <c r="B13341" t="s">
        <v>1140</v>
      </c>
    </row>
    <row r="13342" spans="1:2" x14ac:dyDescent="0.25">
      <c r="A13342" t="s">
        <v>2076</v>
      </c>
      <c r="B13342" t="s">
        <v>1141</v>
      </c>
    </row>
    <row r="13343" spans="1:2" x14ac:dyDescent="0.25">
      <c r="A13343" t="s">
        <v>2076</v>
      </c>
      <c r="B13343" t="s">
        <v>1149</v>
      </c>
    </row>
    <row r="13344" spans="1:2" x14ac:dyDescent="0.25">
      <c r="A13344" t="s">
        <v>2076</v>
      </c>
      <c r="B13344" t="s">
        <v>1150</v>
      </c>
    </row>
    <row r="13345" spans="1:2" x14ac:dyDescent="0.25">
      <c r="A13345" t="s">
        <v>2076</v>
      </c>
      <c r="B13345" t="s">
        <v>1155</v>
      </c>
    </row>
    <row r="13346" spans="1:2" x14ac:dyDescent="0.25">
      <c r="A13346" t="s">
        <v>2076</v>
      </c>
      <c r="B13346" t="s">
        <v>1157</v>
      </c>
    </row>
    <row r="13347" spans="1:2" x14ac:dyDescent="0.25">
      <c r="A13347" t="s">
        <v>2076</v>
      </c>
      <c r="B13347" t="s">
        <v>1158</v>
      </c>
    </row>
    <row r="13348" spans="1:2" x14ac:dyDescent="0.25">
      <c r="A13348" t="s">
        <v>2076</v>
      </c>
      <c r="B13348" t="s">
        <v>1175</v>
      </c>
    </row>
    <row r="13349" spans="1:2" x14ac:dyDescent="0.25">
      <c r="A13349" t="s">
        <v>2076</v>
      </c>
      <c r="B13349" t="s">
        <v>1176</v>
      </c>
    </row>
    <row r="13350" spans="1:2" x14ac:dyDescent="0.25">
      <c r="A13350" t="s">
        <v>2076</v>
      </c>
      <c r="B13350" t="s">
        <v>1177</v>
      </c>
    </row>
    <row r="13351" spans="1:2" x14ac:dyDescent="0.25">
      <c r="A13351" t="s">
        <v>2076</v>
      </c>
      <c r="B13351" t="s">
        <v>1178</v>
      </c>
    </row>
    <row r="13352" spans="1:2" x14ac:dyDescent="0.25">
      <c r="A13352" t="s">
        <v>2076</v>
      </c>
      <c r="B13352" t="s">
        <v>1184</v>
      </c>
    </row>
    <row r="13353" spans="1:2" x14ac:dyDescent="0.25">
      <c r="A13353" t="s">
        <v>2076</v>
      </c>
      <c r="B13353" t="s">
        <v>1204</v>
      </c>
    </row>
    <row r="13354" spans="1:2" x14ac:dyDescent="0.25">
      <c r="A13354" t="s">
        <v>2076</v>
      </c>
      <c r="B13354" t="s">
        <v>1218</v>
      </c>
    </row>
    <row r="13355" spans="1:2" x14ac:dyDescent="0.25">
      <c r="A13355" t="s">
        <v>2076</v>
      </c>
      <c r="B13355" t="s">
        <v>1219</v>
      </c>
    </row>
    <row r="13356" spans="1:2" x14ac:dyDescent="0.25">
      <c r="A13356" t="s">
        <v>2076</v>
      </c>
      <c r="B13356" t="s">
        <v>1220</v>
      </c>
    </row>
    <row r="13357" spans="1:2" x14ac:dyDescent="0.25">
      <c r="A13357" t="s">
        <v>2076</v>
      </c>
      <c r="B13357" t="s">
        <v>1226</v>
      </c>
    </row>
    <row r="13358" spans="1:2" x14ac:dyDescent="0.25">
      <c r="A13358" t="s">
        <v>2076</v>
      </c>
      <c r="B13358" t="s">
        <v>1227</v>
      </c>
    </row>
    <row r="13359" spans="1:2" x14ac:dyDescent="0.25">
      <c r="A13359" t="s">
        <v>2076</v>
      </c>
      <c r="B13359" t="s">
        <v>1228</v>
      </c>
    </row>
    <row r="13360" spans="1:2" x14ac:dyDescent="0.25">
      <c r="A13360" t="s">
        <v>2076</v>
      </c>
      <c r="B13360" t="s">
        <v>1229</v>
      </c>
    </row>
    <row r="13361" spans="1:2" x14ac:dyDescent="0.25">
      <c r="A13361" t="s">
        <v>2076</v>
      </c>
      <c r="B13361" t="s">
        <v>1230</v>
      </c>
    </row>
    <row r="13362" spans="1:2" x14ac:dyDescent="0.25">
      <c r="A13362" t="s">
        <v>2076</v>
      </c>
      <c r="B13362" t="s">
        <v>1231</v>
      </c>
    </row>
    <row r="13363" spans="1:2" x14ac:dyDescent="0.25">
      <c r="A13363" t="s">
        <v>2076</v>
      </c>
      <c r="B13363" t="s">
        <v>1233</v>
      </c>
    </row>
    <row r="13364" spans="1:2" x14ac:dyDescent="0.25">
      <c r="A13364" t="s">
        <v>2076</v>
      </c>
      <c r="B13364" t="s">
        <v>1253</v>
      </c>
    </row>
    <row r="13365" spans="1:2" x14ac:dyDescent="0.25">
      <c r="A13365" t="s">
        <v>2075</v>
      </c>
      <c r="B13365" t="s">
        <v>1139</v>
      </c>
    </row>
    <row r="13366" spans="1:2" x14ac:dyDescent="0.25">
      <c r="A13366" t="s">
        <v>2075</v>
      </c>
      <c r="B13366" t="s">
        <v>1140</v>
      </c>
    </row>
    <row r="13367" spans="1:2" x14ac:dyDescent="0.25">
      <c r="A13367" t="s">
        <v>2075</v>
      </c>
      <c r="B13367" t="s">
        <v>1141</v>
      </c>
    </row>
    <row r="13368" spans="1:2" x14ac:dyDescent="0.25">
      <c r="A13368" t="s">
        <v>2075</v>
      </c>
      <c r="B13368" t="s">
        <v>1149</v>
      </c>
    </row>
    <row r="13369" spans="1:2" x14ac:dyDescent="0.25">
      <c r="A13369" t="s">
        <v>2075</v>
      </c>
      <c r="B13369" t="s">
        <v>1150</v>
      </c>
    </row>
    <row r="13370" spans="1:2" x14ac:dyDescent="0.25">
      <c r="A13370" t="s">
        <v>2075</v>
      </c>
      <c r="B13370" t="s">
        <v>1155</v>
      </c>
    </row>
    <row r="13371" spans="1:2" x14ac:dyDescent="0.25">
      <c r="A13371" t="s">
        <v>2075</v>
      </c>
      <c r="B13371" t="s">
        <v>1157</v>
      </c>
    </row>
    <row r="13372" spans="1:2" x14ac:dyDescent="0.25">
      <c r="A13372" t="s">
        <v>2075</v>
      </c>
      <c r="B13372" t="s">
        <v>1158</v>
      </c>
    </row>
    <row r="13373" spans="1:2" x14ac:dyDescent="0.25">
      <c r="A13373" t="s">
        <v>2075</v>
      </c>
      <c r="B13373" t="s">
        <v>1175</v>
      </c>
    </row>
    <row r="13374" spans="1:2" x14ac:dyDescent="0.25">
      <c r="A13374" t="s">
        <v>2075</v>
      </c>
      <c r="B13374" t="s">
        <v>1176</v>
      </c>
    </row>
    <row r="13375" spans="1:2" x14ac:dyDescent="0.25">
      <c r="A13375" t="s">
        <v>2075</v>
      </c>
      <c r="B13375" t="s">
        <v>1177</v>
      </c>
    </row>
    <row r="13376" spans="1:2" x14ac:dyDescent="0.25">
      <c r="A13376" t="s">
        <v>2075</v>
      </c>
      <c r="B13376" t="s">
        <v>1178</v>
      </c>
    </row>
    <row r="13377" spans="1:2" x14ac:dyDescent="0.25">
      <c r="A13377" t="s">
        <v>2075</v>
      </c>
      <c r="B13377" t="s">
        <v>1184</v>
      </c>
    </row>
    <row r="13378" spans="1:2" x14ac:dyDescent="0.25">
      <c r="A13378" t="s">
        <v>2075</v>
      </c>
      <c r="B13378" t="s">
        <v>1204</v>
      </c>
    </row>
    <row r="13379" spans="1:2" x14ac:dyDescent="0.25">
      <c r="A13379" t="s">
        <v>2075</v>
      </c>
      <c r="B13379" t="s">
        <v>1218</v>
      </c>
    </row>
    <row r="13380" spans="1:2" x14ac:dyDescent="0.25">
      <c r="A13380" t="s">
        <v>2075</v>
      </c>
      <c r="B13380" t="s">
        <v>1219</v>
      </c>
    </row>
    <row r="13381" spans="1:2" x14ac:dyDescent="0.25">
      <c r="A13381" t="s">
        <v>2075</v>
      </c>
      <c r="B13381" t="s">
        <v>1220</v>
      </c>
    </row>
    <row r="13382" spans="1:2" x14ac:dyDescent="0.25">
      <c r="A13382" t="s">
        <v>2075</v>
      </c>
      <c r="B13382" t="s">
        <v>1226</v>
      </c>
    </row>
    <row r="13383" spans="1:2" x14ac:dyDescent="0.25">
      <c r="A13383" t="s">
        <v>2075</v>
      </c>
      <c r="B13383" t="s">
        <v>1227</v>
      </c>
    </row>
    <row r="13384" spans="1:2" x14ac:dyDescent="0.25">
      <c r="A13384" t="s">
        <v>2075</v>
      </c>
      <c r="B13384" t="s">
        <v>1228</v>
      </c>
    </row>
    <row r="13385" spans="1:2" x14ac:dyDescent="0.25">
      <c r="A13385" t="s">
        <v>2075</v>
      </c>
      <c r="B13385" t="s">
        <v>1229</v>
      </c>
    </row>
    <row r="13386" spans="1:2" x14ac:dyDescent="0.25">
      <c r="A13386" t="s">
        <v>2075</v>
      </c>
      <c r="B13386" t="s">
        <v>1230</v>
      </c>
    </row>
    <row r="13387" spans="1:2" x14ac:dyDescent="0.25">
      <c r="A13387" t="s">
        <v>2075</v>
      </c>
      <c r="B13387" t="s">
        <v>1231</v>
      </c>
    </row>
    <row r="13388" spans="1:2" x14ac:dyDescent="0.25">
      <c r="A13388" t="s">
        <v>2075</v>
      </c>
      <c r="B13388" t="s">
        <v>1233</v>
      </c>
    </row>
    <row r="13389" spans="1:2" x14ac:dyDescent="0.25">
      <c r="A13389" t="s">
        <v>2075</v>
      </c>
      <c r="B13389" t="s">
        <v>1253</v>
      </c>
    </row>
    <row r="13390" spans="1:2" x14ac:dyDescent="0.25">
      <c r="A13390" t="s">
        <v>2074</v>
      </c>
      <c r="B13390" t="s">
        <v>1139</v>
      </c>
    </row>
    <row r="13391" spans="1:2" x14ac:dyDescent="0.25">
      <c r="A13391" t="s">
        <v>2074</v>
      </c>
      <c r="B13391" t="s">
        <v>1140</v>
      </c>
    </row>
    <row r="13392" spans="1:2" x14ac:dyDescent="0.25">
      <c r="A13392" t="s">
        <v>2074</v>
      </c>
      <c r="B13392" t="s">
        <v>1141</v>
      </c>
    </row>
    <row r="13393" spans="1:2" x14ac:dyDescent="0.25">
      <c r="A13393" t="s">
        <v>2074</v>
      </c>
      <c r="B13393" t="s">
        <v>1150</v>
      </c>
    </row>
    <row r="13394" spans="1:2" x14ac:dyDescent="0.25">
      <c r="A13394" t="s">
        <v>2074</v>
      </c>
      <c r="B13394" t="s">
        <v>1155</v>
      </c>
    </row>
    <row r="13395" spans="1:2" x14ac:dyDescent="0.25">
      <c r="A13395" t="s">
        <v>2074</v>
      </c>
      <c r="B13395" t="s">
        <v>1157</v>
      </c>
    </row>
    <row r="13396" spans="1:2" x14ac:dyDescent="0.25">
      <c r="A13396" t="s">
        <v>2074</v>
      </c>
      <c r="B13396" t="s">
        <v>1158</v>
      </c>
    </row>
    <row r="13397" spans="1:2" x14ac:dyDescent="0.25">
      <c r="A13397" t="s">
        <v>2074</v>
      </c>
      <c r="B13397" t="s">
        <v>1175</v>
      </c>
    </row>
    <row r="13398" spans="1:2" x14ac:dyDescent="0.25">
      <c r="A13398" t="s">
        <v>2074</v>
      </c>
      <c r="B13398" t="s">
        <v>1176</v>
      </c>
    </row>
    <row r="13399" spans="1:2" x14ac:dyDescent="0.25">
      <c r="A13399" t="s">
        <v>2074</v>
      </c>
      <c r="B13399" t="s">
        <v>1177</v>
      </c>
    </row>
    <row r="13400" spans="1:2" x14ac:dyDescent="0.25">
      <c r="A13400" t="s">
        <v>2074</v>
      </c>
      <c r="B13400" t="s">
        <v>1178</v>
      </c>
    </row>
    <row r="13401" spans="1:2" x14ac:dyDescent="0.25">
      <c r="A13401" t="s">
        <v>2074</v>
      </c>
      <c r="B13401" t="s">
        <v>1184</v>
      </c>
    </row>
    <row r="13402" spans="1:2" x14ac:dyDescent="0.25">
      <c r="A13402" t="s">
        <v>2074</v>
      </c>
      <c r="B13402" t="s">
        <v>1220</v>
      </c>
    </row>
    <row r="13403" spans="1:2" x14ac:dyDescent="0.25">
      <c r="A13403" t="s">
        <v>2074</v>
      </c>
      <c r="B13403" t="s">
        <v>1226</v>
      </c>
    </row>
    <row r="13404" spans="1:2" x14ac:dyDescent="0.25">
      <c r="A13404" t="s">
        <v>2074</v>
      </c>
      <c r="B13404" t="s">
        <v>1227</v>
      </c>
    </row>
    <row r="13405" spans="1:2" x14ac:dyDescent="0.25">
      <c r="A13405" t="s">
        <v>2074</v>
      </c>
      <c r="B13405" t="s">
        <v>1228</v>
      </c>
    </row>
    <row r="13406" spans="1:2" x14ac:dyDescent="0.25">
      <c r="A13406" t="s">
        <v>2074</v>
      </c>
      <c r="B13406" t="s">
        <v>1229</v>
      </c>
    </row>
    <row r="13407" spans="1:2" x14ac:dyDescent="0.25">
      <c r="A13407" t="s">
        <v>2074</v>
      </c>
      <c r="B13407" t="s">
        <v>1233</v>
      </c>
    </row>
    <row r="13408" spans="1:2" x14ac:dyDescent="0.25">
      <c r="A13408" t="s">
        <v>2096</v>
      </c>
      <c r="B13408" t="s">
        <v>1140</v>
      </c>
    </row>
    <row r="13409" spans="1:2" x14ac:dyDescent="0.25">
      <c r="A13409" t="s">
        <v>2096</v>
      </c>
      <c r="B13409" t="s">
        <v>1141</v>
      </c>
    </row>
    <row r="13410" spans="1:2" x14ac:dyDescent="0.25">
      <c r="A13410" t="s">
        <v>2096</v>
      </c>
      <c r="B13410" t="s">
        <v>1142</v>
      </c>
    </row>
    <row r="13411" spans="1:2" x14ac:dyDescent="0.25">
      <c r="A13411" t="s">
        <v>2096</v>
      </c>
      <c r="B13411" t="s">
        <v>1142</v>
      </c>
    </row>
    <row r="13412" spans="1:2" x14ac:dyDescent="0.25">
      <c r="A13412" t="s">
        <v>2096</v>
      </c>
      <c r="B13412" t="s">
        <v>1148</v>
      </c>
    </row>
    <row r="13413" spans="1:2" x14ac:dyDescent="0.25">
      <c r="A13413" t="s">
        <v>2096</v>
      </c>
      <c r="B13413" t="s">
        <v>1149</v>
      </c>
    </row>
    <row r="13414" spans="1:2" x14ac:dyDescent="0.25">
      <c r="A13414" t="s">
        <v>2096</v>
      </c>
      <c r="B13414" t="s">
        <v>1150</v>
      </c>
    </row>
    <row r="13415" spans="1:2" x14ac:dyDescent="0.25">
      <c r="A13415" t="s">
        <v>2096</v>
      </c>
      <c r="B13415" t="s">
        <v>1151</v>
      </c>
    </row>
    <row r="13416" spans="1:2" x14ac:dyDescent="0.25">
      <c r="A13416" t="s">
        <v>2096</v>
      </c>
      <c r="B13416" t="s">
        <v>1179</v>
      </c>
    </row>
    <row r="13417" spans="1:2" x14ac:dyDescent="0.25">
      <c r="A13417" t="s">
        <v>2096</v>
      </c>
      <c r="B13417" t="s">
        <v>1201</v>
      </c>
    </row>
    <row r="13418" spans="1:2" x14ac:dyDescent="0.25">
      <c r="A13418" t="s">
        <v>2096</v>
      </c>
      <c r="B13418" t="s">
        <v>1202</v>
      </c>
    </row>
    <row r="13419" spans="1:2" x14ac:dyDescent="0.25">
      <c r="A13419" t="s">
        <v>2096</v>
      </c>
      <c r="B13419" t="s">
        <v>1203</v>
      </c>
    </row>
    <row r="13420" spans="1:2" x14ac:dyDescent="0.25">
      <c r="A13420" t="s">
        <v>2096</v>
      </c>
      <c r="B13420" t="s">
        <v>1204</v>
      </c>
    </row>
    <row r="13421" spans="1:2" x14ac:dyDescent="0.25">
      <c r="A13421" t="s">
        <v>2096</v>
      </c>
      <c r="B13421" t="s">
        <v>1205</v>
      </c>
    </row>
    <row r="13422" spans="1:2" x14ac:dyDescent="0.25">
      <c r="A13422" t="s">
        <v>2096</v>
      </c>
      <c r="B13422" t="s">
        <v>1206</v>
      </c>
    </row>
    <row r="13423" spans="1:2" x14ac:dyDescent="0.25">
      <c r="A13423" t="s">
        <v>2096</v>
      </c>
      <c r="B13423" t="s">
        <v>1206</v>
      </c>
    </row>
    <row r="13424" spans="1:2" x14ac:dyDescent="0.25">
      <c r="A13424" t="s">
        <v>2096</v>
      </c>
      <c r="B13424" t="s">
        <v>1207</v>
      </c>
    </row>
    <row r="13425" spans="1:2" x14ac:dyDescent="0.25">
      <c r="A13425" t="s">
        <v>2096</v>
      </c>
      <c r="B13425" t="s">
        <v>1207</v>
      </c>
    </row>
    <row r="13426" spans="1:2" x14ac:dyDescent="0.25">
      <c r="A13426" t="s">
        <v>2096</v>
      </c>
      <c r="B13426" t="s">
        <v>1208</v>
      </c>
    </row>
    <row r="13427" spans="1:2" x14ac:dyDescent="0.25">
      <c r="A13427" t="s">
        <v>2096</v>
      </c>
      <c r="B13427" t="s">
        <v>1230</v>
      </c>
    </row>
    <row r="13428" spans="1:2" x14ac:dyDescent="0.25">
      <c r="A13428" t="s">
        <v>2096</v>
      </c>
      <c r="B13428" t="s">
        <v>1231</v>
      </c>
    </row>
    <row r="13429" spans="1:2" x14ac:dyDescent="0.25">
      <c r="A13429" t="s">
        <v>2096</v>
      </c>
      <c r="B13429" t="s">
        <v>1232</v>
      </c>
    </row>
    <row r="13430" spans="1:2" x14ac:dyDescent="0.25">
      <c r="A13430" t="s">
        <v>2096</v>
      </c>
      <c r="B13430" t="s">
        <v>1233</v>
      </c>
    </row>
    <row r="13431" spans="1:2" x14ac:dyDescent="0.25">
      <c r="A13431" t="s">
        <v>2096</v>
      </c>
      <c r="B13431" t="s">
        <v>1234</v>
      </c>
    </row>
    <row r="13432" spans="1:2" x14ac:dyDescent="0.25">
      <c r="A13432" t="s">
        <v>2096</v>
      </c>
      <c r="B13432" t="s">
        <v>1235</v>
      </c>
    </row>
    <row r="13433" spans="1:2" x14ac:dyDescent="0.25">
      <c r="A13433" t="s">
        <v>2096</v>
      </c>
      <c r="B13433" t="s">
        <v>1236</v>
      </c>
    </row>
    <row r="13434" spans="1:2" x14ac:dyDescent="0.25">
      <c r="A13434" t="s">
        <v>2096</v>
      </c>
      <c r="B13434" t="s">
        <v>1237</v>
      </c>
    </row>
    <row r="13435" spans="1:2" x14ac:dyDescent="0.25">
      <c r="A13435" t="s">
        <v>2096</v>
      </c>
      <c r="B13435" t="s">
        <v>1238</v>
      </c>
    </row>
    <row r="13436" spans="1:2" x14ac:dyDescent="0.25">
      <c r="A13436" t="s">
        <v>2096</v>
      </c>
      <c r="B13436" t="s">
        <v>1239</v>
      </c>
    </row>
    <row r="13437" spans="1:2" x14ac:dyDescent="0.25">
      <c r="A13437" t="s">
        <v>2096</v>
      </c>
      <c r="B13437" t="s">
        <v>1240</v>
      </c>
    </row>
    <row r="13438" spans="1:2" x14ac:dyDescent="0.25">
      <c r="A13438" t="s">
        <v>2096</v>
      </c>
      <c r="B13438" t="s">
        <v>1241</v>
      </c>
    </row>
    <row r="13439" spans="1:2" x14ac:dyDescent="0.25">
      <c r="A13439" t="s">
        <v>2096</v>
      </c>
      <c r="B13439" t="s">
        <v>1242</v>
      </c>
    </row>
    <row r="13440" spans="1:2" x14ac:dyDescent="0.25">
      <c r="A13440" t="s">
        <v>2096</v>
      </c>
      <c r="B13440" t="s">
        <v>1243</v>
      </c>
    </row>
    <row r="13441" spans="1:2" x14ac:dyDescent="0.25">
      <c r="A13441" t="s">
        <v>2096</v>
      </c>
      <c r="B13441" t="s">
        <v>1244</v>
      </c>
    </row>
    <row r="13442" spans="1:2" x14ac:dyDescent="0.25">
      <c r="A13442" t="s">
        <v>2096</v>
      </c>
      <c r="B13442" t="s">
        <v>1245</v>
      </c>
    </row>
    <row r="13443" spans="1:2" x14ac:dyDescent="0.25">
      <c r="A13443" t="s">
        <v>2096</v>
      </c>
      <c r="B13443" t="s">
        <v>1246</v>
      </c>
    </row>
    <row r="13444" spans="1:2" x14ac:dyDescent="0.25">
      <c r="A13444" t="s">
        <v>2096</v>
      </c>
      <c r="B13444" t="s">
        <v>1247</v>
      </c>
    </row>
    <row r="13445" spans="1:2" x14ac:dyDescent="0.25">
      <c r="A13445" t="s">
        <v>2096</v>
      </c>
      <c r="B13445" t="s">
        <v>1248</v>
      </c>
    </row>
    <row r="13446" spans="1:2" x14ac:dyDescent="0.25">
      <c r="A13446" t="s">
        <v>2096</v>
      </c>
      <c r="B13446" t="s">
        <v>1249</v>
      </c>
    </row>
    <row r="13447" spans="1:2" x14ac:dyDescent="0.25">
      <c r="A13447" t="s">
        <v>2096</v>
      </c>
      <c r="B13447" t="s">
        <v>1250</v>
      </c>
    </row>
    <row r="13448" spans="1:2" x14ac:dyDescent="0.25">
      <c r="A13448" t="s">
        <v>2097</v>
      </c>
      <c r="B13448" t="s">
        <v>1140</v>
      </c>
    </row>
    <row r="13449" spans="1:2" x14ac:dyDescent="0.25">
      <c r="A13449" t="s">
        <v>2097</v>
      </c>
      <c r="B13449" t="s">
        <v>1141</v>
      </c>
    </row>
    <row r="13450" spans="1:2" x14ac:dyDescent="0.25">
      <c r="A13450" t="s">
        <v>2097</v>
      </c>
      <c r="B13450" t="s">
        <v>1142</v>
      </c>
    </row>
    <row r="13451" spans="1:2" x14ac:dyDescent="0.25">
      <c r="A13451" t="s">
        <v>2097</v>
      </c>
      <c r="B13451" t="s">
        <v>1142</v>
      </c>
    </row>
    <row r="13452" spans="1:2" x14ac:dyDescent="0.25">
      <c r="A13452" t="s">
        <v>2097</v>
      </c>
      <c r="B13452" t="s">
        <v>1148</v>
      </c>
    </row>
    <row r="13453" spans="1:2" x14ac:dyDescent="0.25">
      <c r="A13453" t="s">
        <v>2097</v>
      </c>
      <c r="B13453" t="s">
        <v>1149</v>
      </c>
    </row>
    <row r="13454" spans="1:2" x14ac:dyDescent="0.25">
      <c r="A13454" t="s">
        <v>2097</v>
      </c>
      <c r="B13454" t="s">
        <v>1150</v>
      </c>
    </row>
    <row r="13455" spans="1:2" x14ac:dyDescent="0.25">
      <c r="A13455" t="s">
        <v>2097</v>
      </c>
      <c r="B13455" t="s">
        <v>1151</v>
      </c>
    </row>
    <row r="13456" spans="1:2" x14ac:dyDescent="0.25">
      <c r="A13456" t="s">
        <v>2097</v>
      </c>
      <c r="B13456" t="s">
        <v>1179</v>
      </c>
    </row>
    <row r="13457" spans="1:2" x14ac:dyDescent="0.25">
      <c r="A13457" t="s">
        <v>2097</v>
      </c>
      <c r="B13457" t="s">
        <v>1201</v>
      </c>
    </row>
    <row r="13458" spans="1:2" x14ac:dyDescent="0.25">
      <c r="A13458" t="s">
        <v>2097</v>
      </c>
      <c r="B13458" t="s">
        <v>1202</v>
      </c>
    </row>
    <row r="13459" spans="1:2" x14ac:dyDescent="0.25">
      <c r="A13459" t="s">
        <v>2097</v>
      </c>
      <c r="B13459" t="s">
        <v>1203</v>
      </c>
    </row>
    <row r="13460" spans="1:2" x14ac:dyDescent="0.25">
      <c r="A13460" t="s">
        <v>2097</v>
      </c>
      <c r="B13460" t="s">
        <v>1204</v>
      </c>
    </row>
    <row r="13461" spans="1:2" x14ac:dyDescent="0.25">
      <c r="A13461" t="s">
        <v>2097</v>
      </c>
      <c r="B13461" t="s">
        <v>1205</v>
      </c>
    </row>
    <row r="13462" spans="1:2" x14ac:dyDescent="0.25">
      <c r="A13462" t="s">
        <v>2097</v>
      </c>
      <c r="B13462" t="s">
        <v>1206</v>
      </c>
    </row>
    <row r="13463" spans="1:2" x14ac:dyDescent="0.25">
      <c r="A13463" t="s">
        <v>2097</v>
      </c>
      <c r="B13463" t="s">
        <v>1206</v>
      </c>
    </row>
    <row r="13464" spans="1:2" x14ac:dyDescent="0.25">
      <c r="A13464" t="s">
        <v>2097</v>
      </c>
      <c r="B13464" t="s">
        <v>1207</v>
      </c>
    </row>
    <row r="13465" spans="1:2" x14ac:dyDescent="0.25">
      <c r="A13465" t="s">
        <v>2097</v>
      </c>
      <c r="B13465" t="s">
        <v>1207</v>
      </c>
    </row>
    <row r="13466" spans="1:2" x14ac:dyDescent="0.25">
      <c r="A13466" t="s">
        <v>2097</v>
      </c>
      <c r="B13466" t="s">
        <v>1208</v>
      </c>
    </row>
    <row r="13467" spans="1:2" x14ac:dyDescent="0.25">
      <c r="A13467" t="s">
        <v>2097</v>
      </c>
      <c r="B13467" t="s">
        <v>1230</v>
      </c>
    </row>
    <row r="13468" spans="1:2" x14ac:dyDescent="0.25">
      <c r="A13468" t="s">
        <v>2097</v>
      </c>
      <c r="B13468" t="s">
        <v>1231</v>
      </c>
    </row>
    <row r="13469" spans="1:2" x14ac:dyDescent="0.25">
      <c r="A13469" t="s">
        <v>2097</v>
      </c>
      <c r="B13469" t="s">
        <v>1232</v>
      </c>
    </row>
    <row r="13470" spans="1:2" x14ac:dyDescent="0.25">
      <c r="A13470" t="s">
        <v>2097</v>
      </c>
      <c r="B13470" t="s">
        <v>1233</v>
      </c>
    </row>
    <row r="13471" spans="1:2" x14ac:dyDescent="0.25">
      <c r="A13471" t="s">
        <v>2097</v>
      </c>
      <c r="B13471" t="s">
        <v>1234</v>
      </c>
    </row>
    <row r="13472" spans="1:2" x14ac:dyDescent="0.25">
      <c r="A13472" t="s">
        <v>2097</v>
      </c>
      <c r="B13472" t="s">
        <v>1235</v>
      </c>
    </row>
    <row r="13473" spans="1:2" x14ac:dyDescent="0.25">
      <c r="A13473" t="s">
        <v>2097</v>
      </c>
      <c r="B13473" t="s">
        <v>1236</v>
      </c>
    </row>
    <row r="13474" spans="1:2" x14ac:dyDescent="0.25">
      <c r="A13474" t="s">
        <v>2097</v>
      </c>
      <c r="B13474" t="s">
        <v>1237</v>
      </c>
    </row>
    <row r="13475" spans="1:2" x14ac:dyDescent="0.25">
      <c r="A13475" t="s">
        <v>2097</v>
      </c>
      <c r="B13475" t="s">
        <v>1238</v>
      </c>
    </row>
    <row r="13476" spans="1:2" x14ac:dyDescent="0.25">
      <c r="A13476" t="s">
        <v>2097</v>
      </c>
      <c r="B13476" t="s">
        <v>1239</v>
      </c>
    </row>
    <row r="13477" spans="1:2" x14ac:dyDescent="0.25">
      <c r="A13477" t="s">
        <v>2097</v>
      </c>
      <c r="B13477" t="s">
        <v>1240</v>
      </c>
    </row>
    <row r="13478" spans="1:2" x14ac:dyDescent="0.25">
      <c r="A13478" t="s">
        <v>2097</v>
      </c>
      <c r="B13478" t="s">
        <v>1241</v>
      </c>
    </row>
    <row r="13479" spans="1:2" x14ac:dyDescent="0.25">
      <c r="A13479" t="s">
        <v>2097</v>
      </c>
      <c r="B13479" t="s">
        <v>1242</v>
      </c>
    </row>
    <row r="13480" spans="1:2" x14ac:dyDescent="0.25">
      <c r="A13480" t="s">
        <v>2097</v>
      </c>
      <c r="B13480" t="s">
        <v>1243</v>
      </c>
    </row>
    <row r="13481" spans="1:2" x14ac:dyDescent="0.25">
      <c r="A13481" t="s">
        <v>2097</v>
      </c>
      <c r="B13481" t="s">
        <v>1244</v>
      </c>
    </row>
    <row r="13482" spans="1:2" x14ac:dyDescent="0.25">
      <c r="A13482" t="s">
        <v>2097</v>
      </c>
      <c r="B13482" t="s">
        <v>1245</v>
      </c>
    </row>
    <row r="13483" spans="1:2" x14ac:dyDescent="0.25">
      <c r="A13483" t="s">
        <v>2097</v>
      </c>
      <c r="B13483" t="s">
        <v>1246</v>
      </c>
    </row>
    <row r="13484" spans="1:2" x14ac:dyDescent="0.25">
      <c r="A13484" t="s">
        <v>2097</v>
      </c>
      <c r="B13484" t="s">
        <v>1247</v>
      </c>
    </row>
    <row r="13485" spans="1:2" x14ac:dyDescent="0.25">
      <c r="A13485" t="s">
        <v>2097</v>
      </c>
      <c r="B13485" t="s">
        <v>1248</v>
      </c>
    </row>
    <row r="13486" spans="1:2" x14ac:dyDescent="0.25">
      <c r="A13486" t="s">
        <v>2097</v>
      </c>
      <c r="B13486" t="s">
        <v>1249</v>
      </c>
    </row>
    <row r="13487" spans="1:2" x14ac:dyDescent="0.25">
      <c r="A13487" t="s">
        <v>2097</v>
      </c>
      <c r="B13487" t="s">
        <v>1250</v>
      </c>
    </row>
    <row r="13488" spans="1:2" x14ac:dyDescent="0.25">
      <c r="A13488" t="s">
        <v>2072</v>
      </c>
      <c r="B13488" t="s">
        <v>1139</v>
      </c>
    </row>
    <row r="13489" spans="1:2" x14ac:dyDescent="0.25">
      <c r="A13489" t="s">
        <v>2072</v>
      </c>
      <c r="B13489" t="s">
        <v>1140</v>
      </c>
    </row>
    <row r="13490" spans="1:2" x14ac:dyDescent="0.25">
      <c r="A13490" t="s">
        <v>2072</v>
      </c>
      <c r="B13490" t="s">
        <v>1140</v>
      </c>
    </row>
    <row r="13491" spans="1:2" x14ac:dyDescent="0.25">
      <c r="A13491" t="s">
        <v>2072</v>
      </c>
      <c r="B13491" t="s">
        <v>1141</v>
      </c>
    </row>
    <row r="13492" spans="1:2" x14ac:dyDescent="0.25">
      <c r="A13492" t="s">
        <v>2072</v>
      </c>
      <c r="B13492" t="s">
        <v>1141</v>
      </c>
    </row>
    <row r="13493" spans="1:2" x14ac:dyDescent="0.25">
      <c r="A13493" t="s">
        <v>2072</v>
      </c>
      <c r="B13493" t="s">
        <v>1142</v>
      </c>
    </row>
    <row r="13494" spans="1:2" x14ac:dyDescent="0.25">
      <c r="A13494" t="s">
        <v>2072</v>
      </c>
      <c r="B13494" t="s">
        <v>1142</v>
      </c>
    </row>
    <row r="13495" spans="1:2" x14ac:dyDescent="0.25">
      <c r="A13495" t="s">
        <v>2072</v>
      </c>
      <c r="B13495" t="s">
        <v>1148</v>
      </c>
    </row>
    <row r="13496" spans="1:2" x14ac:dyDescent="0.25">
      <c r="A13496" t="s">
        <v>2072</v>
      </c>
      <c r="B13496" t="s">
        <v>1149</v>
      </c>
    </row>
    <row r="13497" spans="1:2" x14ac:dyDescent="0.25">
      <c r="A13497" t="s">
        <v>2072</v>
      </c>
      <c r="B13497" t="s">
        <v>1150</v>
      </c>
    </row>
    <row r="13498" spans="1:2" x14ac:dyDescent="0.25">
      <c r="A13498" t="s">
        <v>2072</v>
      </c>
      <c r="B13498" t="s">
        <v>1150</v>
      </c>
    </row>
    <row r="13499" spans="1:2" x14ac:dyDescent="0.25">
      <c r="A13499" t="s">
        <v>2072</v>
      </c>
      <c r="B13499" t="s">
        <v>1151</v>
      </c>
    </row>
    <row r="13500" spans="1:2" x14ac:dyDescent="0.25">
      <c r="A13500" t="s">
        <v>2072</v>
      </c>
      <c r="B13500" t="s">
        <v>1155</v>
      </c>
    </row>
    <row r="13501" spans="1:2" x14ac:dyDescent="0.25">
      <c r="A13501" t="s">
        <v>2072</v>
      </c>
      <c r="B13501" t="s">
        <v>1157</v>
      </c>
    </row>
    <row r="13502" spans="1:2" x14ac:dyDescent="0.25">
      <c r="A13502" t="s">
        <v>2072</v>
      </c>
      <c r="B13502" t="s">
        <v>1158</v>
      </c>
    </row>
    <row r="13503" spans="1:2" x14ac:dyDescent="0.25">
      <c r="A13503" t="s">
        <v>2072</v>
      </c>
      <c r="B13503" t="s">
        <v>1175</v>
      </c>
    </row>
    <row r="13504" spans="1:2" x14ac:dyDescent="0.25">
      <c r="A13504" t="s">
        <v>2072</v>
      </c>
      <c r="B13504" t="s">
        <v>1176</v>
      </c>
    </row>
    <row r="13505" spans="1:2" x14ac:dyDescent="0.25">
      <c r="A13505" t="s">
        <v>2072</v>
      </c>
      <c r="B13505" t="s">
        <v>1177</v>
      </c>
    </row>
    <row r="13506" spans="1:2" x14ac:dyDescent="0.25">
      <c r="A13506" t="s">
        <v>2072</v>
      </c>
      <c r="B13506" t="s">
        <v>1178</v>
      </c>
    </row>
    <row r="13507" spans="1:2" x14ac:dyDescent="0.25">
      <c r="A13507" t="s">
        <v>2072</v>
      </c>
      <c r="B13507" t="s">
        <v>1179</v>
      </c>
    </row>
    <row r="13508" spans="1:2" x14ac:dyDescent="0.25">
      <c r="A13508" t="s">
        <v>2072</v>
      </c>
      <c r="B13508" t="s">
        <v>1184</v>
      </c>
    </row>
    <row r="13509" spans="1:2" x14ac:dyDescent="0.25">
      <c r="A13509" t="s">
        <v>2072</v>
      </c>
      <c r="B13509" t="s">
        <v>1201</v>
      </c>
    </row>
    <row r="13510" spans="1:2" x14ac:dyDescent="0.25">
      <c r="A13510" t="s">
        <v>2072</v>
      </c>
      <c r="B13510" t="s">
        <v>1202</v>
      </c>
    </row>
    <row r="13511" spans="1:2" x14ac:dyDescent="0.25">
      <c r="A13511" t="s">
        <v>2072</v>
      </c>
      <c r="B13511" t="s">
        <v>1203</v>
      </c>
    </row>
    <row r="13512" spans="1:2" x14ac:dyDescent="0.25">
      <c r="A13512" t="s">
        <v>2072</v>
      </c>
      <c r="B13512" t="s">
        <v>1204</v>
      </c>
    </row>
    <row r="13513" spans="1:2" x14ac:dyDescent="0.25">
      <c r="A13513" t="s">
        <v>2072</v>
      </c>
      <c r="B13513" t="s">
        <v>1205</v>
      </c>
    </row>
    <row r="13514" spans="1:2" x14ac:dyDescent="0.25">
      <c r="A13514" t="s">
        <v>2072</v>
      </c>
      <c r="B13514" t="s">
        <v>1206</v>
      </c>
    </row>
    <row r="13515" spans="1:2" x14ac:dyDescent="0.25">
      <c r="A13515" t="s">
        <v>2072</v>
      </c>
      <c r="B13515" t="s">
        <v>1206</v>
      </c>
    </row>
    <row r="13516" spans="1:2" x14ac:dyDescent="0.25">
      <c r="A13516" t="s">
        <v>2072</v>
      </c>
      <c r="B13516" t="s">
        <v>1207</v>
      </c>
    </row>
    <row r="13517" spans="1:2" x14ac:dyDescent="0.25">
      <c r="A13517" t="s">
        <v>2072</v>
      </c>
      <c r="B13517" t="s">
        <v>1207</v>
      </c>
    </row>
    <row r="13518" spans="1:2" x14ac:dyDescent="0.25">
      <c r="A13518" t="s">
        <v>2072</v>
      </c>
      <c r="B13518" t="s">
        <v>1208</v>
      </c>
    </row>
    <row r="13519" spans="1:2" x14ac:dyDescent="0.25">
      <c r="A13519" t="s">
        <v>2072</v>
      </c>
      <c r="B13519" t="s">
        <v>1226</v>
      </c>
    </row>
    <row r="13520" spans="1:2" x14ac:dyDescent="0.25">
      <c r="A13520" t="s">
        <v>2072</v>
      </c>
      <c r="B13520" t="s">
        <v>1227</v>
      </c>
    </row>
    <row r="13521" spans="1:2" x14ac:dyDescent="0.25">
      <c r="A13521" t="s">
        <v>2072</v>
      </c>
      <c r="B13521" t="s">
        <v>1228</v>
      </c>
    </row>
    <row r="13522" spans="1:2" x14ac:dyDescent="0.25">
      <c r="A13522" t="s">
        <v>2072</v>
      </c>
      <c r="B13522" t="s">
        <v>1229</v>
      </c>
    </row>
    <row r="13523" spans="1:2" x14ac:dyDescent="0.25">
      <c r="A13523" t="s">
        <v>2072</v>
      </c>
      <c r="B13523" t="s">
        <v>1230</v>
      </c>
    </row>
    <row r="13524" spans="1:2" x14ac:dyDescent="0.25">
      <c r="A13524" t="s">
        <v>2072</v>
      </c>
      <c r="B13524" t="s">
        <v>1231</v>
      </c>
    </row>
    <row r="13525" spans="1:2" x14ac:dyDescent="0.25">
      <c r="A13525" t="s">
        <v>2072</v>
      </c>
      <c r="B13525" t="s">
        <v>1232</v>
      </c>
    </row>
    <row r="13526" spans="1:2" x14ac:dyDescent="0.25">
      <c r="A13526" t="s">
        <v>2072</v>
      </c>
      <c r="B13526" t="s">
        <v>1233</v>
      </c>
    </row>
    <row r="13527" spans="1:2" x14ac:dyDescent="0.25">
      <c r="A13527" t="s">
        <v>2072</v>
      </c>
      <c r="B13527" t="s">
        <v>1233</v>
      </c>
    </row>
    <row r="13528" spans="1:2" x14ac:dyDescent="0.25">
      <c r="A13528" t="s">
        <v>2072</v>
      </c>
      <c r="B13528" t="s">
        <v>1234</v>
      </c>
    </row>
    <row r="13529" spans="1:2" x14ac:dyDescent="0.25">
      <c r="A13529" t="s">
        <v>2072</v>
      </c>
      <c r="B13529" t="s">
        <v>1235</v>
      </c>
    </row>
    <row r="13530" spans="1:2" x14ac:dyDescent="0.25">
      <c r="A13530" t="s">
        <v>2072</v>
      </c>
      <c r="B13530" t="s">
        <v>1236</v>
      </c>
    </row>
    <row r="13531" spans="1:2" x14ac:dyDescent="0.25">
      <c r="A13531" t="s">
        <v>2072</v>
      </c>
      <c r="B13531" t="s">
        <v>1237</v>
      </c>
    </row>
    <row r="13532" spans="1:2" x14ac:dyDescent="0.25">
      <c r="A13532" t="s">
        <v>2072</v>
      </c>
      <c r="B13532" t="s">
        <v>1238</v>
      </c>
    </row>
    <row r="13533" spans="1:2" x14ac:dyDescent="0.25">
      <c r="A13533" t="s">
        <v>2072</v>
      </c>
      <c r="B13533" t="s">
        <v>1239</v>
      </c>
    </row>
    <row r="13534" spans="1:2" x14ac:dyDescent="0.25">
      <c r="A13534" t="s">
        <v>2072</v>
      </c>
      <c r="B13534" t="s">
        <v>1240</v>
      </c>
    </row>
    <row r="13535" spans="1:2" x14ac:dyDescent="0.25">
      <c r="A13535" t="s">
        <v>2072</v>
      </c>
      <c r="B13535" t="s">
        <v>1241</v>
      </c>
    </row>
    <row r="13536" spans="1:2" x14ac:dyDescent="0.25">
      <c r="A13536" t="s">
        <v>2072</v>
      </c>
      <c r="B13536" t="s">
        <v>1242</v>
      </c>
    </row>
    <row r="13537" spans="1:2" x14ac:dyDescent="0.25">
      <c r="A13537" t="s">
        <v>2072</v>
      </c>
      <c r="B13537" t="s">
        <v>1243</v>
      </c>
    </row>
    <row r="13538" spans="1:2" x14ac:dyDescent="0.25">
      <c r="A13538" t="s">
        <v>2072</v>
      </c>
      <c r="B13538" t="s">
        <v>1244</v>
      </c>
    </row>
    <row r="13539" spans="1:2" x14ac:dyDescent="0.25">
      <c r="A13539" t="s">
        <v>2072</v>
      </c>
      <c r="B13539" t="s">
        <v>1245</v>
      </c>
    </row>
    <row r="13540" spans="1:2" x14ac:dyDescent="0.25">
      <c r="A13540" t="s">
        <v>2072</v>
      </c>
      <c r="B13540" t="s">
        <v>1246</v>
      </c>
    </row>
    <row r="13541" spans="1:2" x14ac:dyDescent="0.25">
      <c r="A13541" t="s">
        <v>2072</v>
      </c>
      <c r="B13541" t="s">
        <v>1247</v>
      </c>
    </row>
    <row r="13542" spans="1:2" x14ac:dyDescent="0.25">
      <c r="A13542" t="s">
        <v>2072</v>
      </c>
      <c r="B13542" t="s">
        <v>1248</v>
      </c>
    </row>
    <row r="13543" spans="1:2" x14ac:dyDescent="0.25">
      <c r="A13543" t="s">
        <v>2072</v>
      </c>
      <c r="B13543" t="s">
        <v>1249</v>
      </c>
    </row>
    <row r="13544" spans="1:2" x14ac:dyDescent="0.25">
      <c r="A13544" t="s">
        <v>2072</v>
      </c>
      <c r="B13544" t="s">
        <v>1250</v>
      </c>
    </row>
    <row r="13545" spans="1:2" x14ac:dyDescent="0.25">
      <c r="A13545" t="s">
        <v>2071</v>
      </c>
      <c r="B13545" t="s">
        <v>1139</v>
      </c>
    </row>
    <row r="13546" spans="1:2" x14ac:dyDescent="0.25">
      <c r="A13546" t="s">
        <v>2071</v>
      </c>
      <c r="B13546" t="s">
        <v>1140</v>
      </c>
    </row>
    <row r="13547" spans="1:2" x14ac:dyDescent="0.25">
      <c r="A13547" t="s">
        <v>2071</v>
      </c>
      <c r="B13547" t="s">
        <v>1140</v>
      </c>
    </row>
    <row r="13548" spans="1:2" x14ac:dyDescent="0.25">
      <c r="A13548" t="s">
        <v>2071</v>
      </c>
      <c r="B13548" t="s">
        <v>1141</v>
      </c>
    </row>
    <row r="13549" spans="1:2" x14ac:dyDescent="0.25">
      <c r="A13549" t="s">
        <v>2071</v>
      </c>
      <c r="B13549" t="s">
        <v>1141</v>
      </c>
    </row>
    <row r="13550" spans="1:2" x14ac:dyDescent="0.25">
      <c r="A13550" t="s">
        <v>2071</v>
      </c>
      <c r="B13550" t="s">
        <v>1142</v>
      </c>
    </row>
    <row r="13551" spans="1:2" x14ac:dyDescent="0.25">
      <c r="A13551" t="s">
        <v>2071</v>
      </c>
      <c r="B13551" t="s">
        <v>1142</v>
      </c>
    </row>
    <row r="13552" spans="1:2" x14ac:dyDescent="0.25">
      <c r="A13552" t="s">
        <v>2071</v>
      </c>
      <c r="B13552" t="s">
        <v>1148</v>
      </c>
    </row>
    <row r="13553" spans="1:2" x14ac:dyDescent="0.25">
      <c r="A13553" t="s">
        <v>2071</v>
      </c>
      <c r="B13553" t="s">
        <v>1149</v>
      </c>
    </row>
    <row r="13554" spans="1:2" x14ac:dyDescent="0.25">
      <c r="A13554" t="s">
        <v>2071</v>
      </c>
      <c r="B13554" t="s">
        <v>1150</v>
      </c>
    </row>
    <row r="13555" spans="1:2" x14ac:dyDescent="0.25">
      <c r="A13555" t="s">
        <v>2071</v>
      </c>
      <c r="B13555" t="s">
        <v>1150</v>
      </c>
    </row>
    <row r="13556" spans="1:2" x14ac:dyDescent="0.25">
      <c r="A13556" t="s">
        <v>2071</v>
      </c>
      <c r="B13556" t="s">
        <v>1151</v>
      </c>
    </row>
    <row r="13557" spans="1:2" x14ac:dyDescent="0.25">
      <c r="A13557" t="s">
        <v>2071</v>
      </c>
      <c r="B13557" t="s">
        <v>1155</v>
      </c>
    </row>
    <row r="13558" spans="1:2" x14ac:dyDescent="0.25">
      <c r="A13558" t="s">
        <v>2071</v>
      </c>
      <c r="B13558" t="s">
        <v>1157</v>
      </c>
    </row>
    <row r="13559" spans="1:2" x14ac:dyDescent="0.25">
      <c r="A13559" t="s">
        <v>2071</v>
      </c>
      <c r="B13559" t="s">
        <v>1158</v>
      </c>
    </row>
    <row r="13560" spans="1:2" x14ac:dyDescent="0.25">
      <c r="A13560" t="s">
        <v>2071</v>
      </c>
      <c r="B13560" t="s">
        <v>1175</v>
      </c>
    </row>
    <row r="13561" spans="1:2" x14ac:dyDescent="0.25">
      <c r="A13561" t="s">
        <v>2071</v>
      </c>
      <c r="B13561" t="s">
        <v>1176</v>
      </c>
    </row>
    <row r="13562" spans="1:2" x14ac:dyDescent="0.25">
      <c r="A13562" t="s">
        <v>2071</v>
      </c>
      <c r="B13562" t="s">
        <v>1177</v>
      </c>
    </row>
    <row r="13563" spans="1:2" x14ac:dyDescent="0.25">
      <c r="A13563" t="s">
        <v>2071</v>
      </c>
      <c r="B13563" t="s">
        <v>1178</v>
      </c>
    </row>
    <row r="13564" spans="1:2" x14ac:dyDescent="0.25">
      <c r="A13564" t="s">
        <v>2071</v>
      </c>
      <c r="B13564" t="s">
        <v>1179</v>
      </c>
    </row>
    <row r="13565" spans="1:2" x14ac:dyDescent="0.25">
      <c r="A13565" t="s">
        <v>2071</v>
      </c>
      <c r="B13565" t="s">
        <v>1184</v>
      </c>
    </row>
    <row r="13566" spans="1:2" x14ac:dyDescent="0.25">
      <c r="A13566" t="s">
        <v>2071</v>
      </c>
      <c r="B13566" t="s">
        <v>1201</v>
      </c>
    </row>
    <row r="13567" spans="1:2" x14ac:dyDescent="0.25">
      <c r="A13567" t="s">
        <v>2071</v>
      </c>
      <c r="B13567" t="s">
        <v>1202</v>
      </c>
    </row>
    <row r="13568" spans="1:2" x14ac:dyDescent="0.25">
      <c r="A13568" t="s">
        <v>2071</v>
      </c>
      <c r="B13568" t="s">
        <v>1203</v>
      </c>
    </row>
    <row r="13569" spans="1:2" x14ac:dyDescent="0.25">
      <c r="A13569" t="s">
        <v>2071</v>
      </c>
      <c r="B13569" t="s">
        <v>1204</v>
      </c>
    </row>
    <row r="13570" spans="1:2" x14ac:dyDescent="0.25">
      <c r="A13570" t="s">
        <v>2071</v>
      </c>
      <c r="B13570" t="s">
        <v>1205</v>
      </c>
    </row>
    <row r="13571" spans="1:2" x14ac:dyDescent="0.25">
      <c r="A13571" t="s">
        <v>2071</v>
      </c>
      <c r="B13571" t="s">
        <v>1206</v>
      </c>
    </row>
    <row r="13572" spans="1:2" x14ac:dyDescent="0.25">
      <c r="A13572" t="s">
        <v>2071</v>
      </c>
      <c r="B13572" t="s">
        <v>1206</v>
      </c>
    </row>
    <row r="13573" spans="1:2" x14ac:dyDescent="0.25">
      <c r="A13573" t="s">
        <v>2071</v>
      </c>
      <c r="B13573" t="s">
        <v>1207</v>
      </c>
    </row>
    <row r="13574" spans="1:2" x14ac:dyDescent="0.25">
      <c r="A13574" t="s">
        <v>2071</v>
      </c>
      <c r="B13574" t="s">
        <v>1207</v>
      </c>
    </row>
    <row r="13575" spans="1:2" x14ac:dyDescent="0.25">
      <c r="A13575" t="s">
        <v>2071</v>
      </c>
      <c r="B13575" t="s">
        <v>1208</v>
      </c>
    </row>
    <row r="13576" spans="1:2" x14ac:dyDescent="0.25">
      <c r="A13576" t="s">
        <v>2071</v>
      </c>
      <c r="B13576" t="s">
        <v>1226</v>
      </c>
    </row>
    <row r="13577" spans="1:2" x14ac:dyDescent="0.25">
      <c r="A13577" t="s">
        <v>2071</v>
      </c>
      <c r="B13577" t="s">
        <v>1227</v>
      </c>
    </row>
    <row r="13578" spans="1:2" x14ac:dyDescent="0.25">
      <c r="A13578" t="s">
        <v>2071</v>
      </c>
      <c r="B13578" t="s">
        <v>1228</v>
      </c>
    </row>
    <row r="13579" spans="1:2" x14ac:dyDescent="0.25">
      <c r="A13579" t="s">
        <v>2071</v>
      </c>
      <c r="B13579" t="s">
        <v>1229</v>
      </c>
    </row>
    <row r="13580" spans="1:2" x14ac:dyDescent="0.25">
      <c r="A13580" t="s">
        <v>2071</v>
      </c>
      <c r="B13580" t="s">
        <v>1230</v>
      </c>
    </row>
    <row r="13581" spans="1:2" x14ac:dyDescent="0.25">
      <c r="A13581" t="s">
        <v>2071</v>
      </c>
      <c r="B13581" t="s">
        <v>1231</v>
      </c>
    </row>
    <row r="13582" spans="1:2" x14ac:dyDescent="0.25">
      <c r="A13582" t="s">
        <v>2071</v>
      </c>
      <c r="B13582" t="s">
        <v>1232</v>
      </c>
    </row>
    <row r="13583" spans="1:2" x14ac:dyDescent="0.25">
      <c r="A13583" t="s">
        <v>2071</v>
      </c>
      <c r="B13583" t="s">
        <v>1233</v>
      </c>
    </row>
    <row r="13584" spans="1:2" x14ac:dyDescent="0.25">
      <c r="A13584" t="s">
        <v>2071</v>
      </c>
      <c r="B13584" t="s">
        <v>1233</v>
      </c>
    </row>
    <row r="13585" spans="1:2" x14ac:dyDescent="0.25">
      <c r="A13585" t="s">
        <v>2071</v>
      </c>
      <c r="B13585" t="s">
        <v>1234</v>
      </c>
    </row>
    <row r="13586" spans="1:2" x14ac:dyDescent="0.25">
      <c r="A13586" t="s">
        <v>2071</v>
      </c>
      <c r="B13586" t="s">
        <v>1235</v>
      </c>
    </row>
    <row r="13587" spans="1:2" x14ac:dyDescent="0.25">
      <c r="A13587" t="s">
        <v>2071</v>
      </c>
      <c r="B13587" t="s">
        <v>1236</v>
      </c>
    </row>
    <row r="13588" spans="1:2" x14ac:dyDescent="0.25">
      <c r="A13588" t="s">
        <v>2071</v>
      </c>
      <c r="B13588" t="s">
        <v>1237</v>
      </c>
    </row>
    <row r="13589" spans="1:2" x14ac:dyDescent="0.25">
      <c r="A13589" t="s">
        <v>2071</v>
      </c>
      <c r="B13589" t="s">
        <v>1238</v>
      </c>
    </row>
    <row r="13590" spans="1:2" x14ac:dyDescent="0.25">
      <c r="A13590" t="s">
        <v>2071</v>
      </c>
      <c r="B13590" t="s">
        <v>1239</v>
      </c>
    </row>
    <row r="13591" spans="1:2" x14ac:dyDescent="0.25">
      <c r="A13591" t="s">
        <v>2071</v>
      </c>
      <c r="B13591" t="s">
        <v>1240</v>
      </c>
    </row>
    <row r="13592" spans="1:2" x14ac:dyDescent="0.25">
      <c r="A13592" t="s">
        <v>2071</v>
      </c>
      <c r="B13592" t="s">
        <v>1241</v>
      </c>
    </row>
    <row r="13593" spans="1:2" x14ac:dyDescent="0.25">
      <c r="A13593" t="s">
        <v>2071</v>
      </c>
      <c r="B13593" t="s">
        <v>1242</v>
      </c>
    </row>
    <row r="13594" spans="1:2" x14ac:dyDescent="0.25">
      <c r="A13594" t="s">
        <v>2071</v>
      </c>
      <c r="B13594" t="s">
        <v>1243</v>
      </c>
    </row>
    <row r="13595" spans="1:2" x14ac:dyDescent="0.25">
      <c r="A13595" t="s">
        <v>2071</v>
      </c>
      <c r="B13595" t="s">
        <v>1244</v>
      </c>
    </row>
    <row r="13596" spans="1:2" x14ac:dyDescent="0.25">
      <c r="A13596" t="s">
        <v>2071</v>
      </c>
      <c r="B13596" t="s">
        <v>1245</v>
      </c>
    </row>
    <row r="13597" spans="1:2" x14ac:dyDescent="0.25">
      <c r="A13597" t="s">
        <v>2071</v>
      </c>
      <c r="B13597" t="s">
        <v>1246</v>
      </c>
    </row>
    <row r="13598" spans="1:2" x14ac:dyDescent="0.25">
      <c r="A13598" t="s">
        <v>2071</v>
      </c>
      <c r="B13598" t="s">
        <v>1247</v>
      </c>
    </row>
    <row r="13599" spans="1:2" x14ac:dyDescent="0.25">
      <c r="A13599" t="s">
        <v>2071</v>
      </c>
      <c r="B13599" t="s">
        <v>1248</v>
      </c>
    </row>
    <row r="13600" spans="1:2" x14ac:dyDescent="0.25">
      <c r="A13600" t="s">
        <v>2071</v>
      </c>
      <c r="B13600" t="s">
        <v>1249</v>
      </c>
    </row>
    <row r="13601" spans="1:2" x14ac:dyDescent="0.25">
      <c r="A13601" t="s">
        <v>2071</v>
      </c>
      <c r="B13601" t="s">
        <v>1250</v>
      </c>
    </row>
    <row r="13602" spans="1:2" x14ac:dyDescent="0.25">
      <c r="A13602" t="s">
        <v>2080</v>
      </c>
      <c r="B13602" t="s">
        <v>1139</v>
      </c>
    </row>
    <row r="13603" spans="1:2" x14ac:dyDescent="0.25">
      <c r="A13603" t="s">
        <v>2080</v>
      </c>
      <c r="B13603" t="s">
        <v>1140</v>
      </c>
    </row>
    <row r="13604" spans="1:2" x14ac:dyDescent="0.25">
      <c r="A13604" t="s">
        <v>2080</v>
      </c>
      <c r="B13604" t="s">
        <v>1141</v>
      </c>
    </row>
    <row r="13605" spans="1:2" x14ac:dyDescent="0.25">
      <c r="A13605" t="s">
        <v>2080</v>
      </c>
      <c r="B13605" t="s">
        <v>1149</v>
      </c>
    </row>
    <row r="13606" spans="1:2" x14ac:dyDescent="0.25">
      <c r="A13606" t="s">
        <v>2080</v>
      </c>
      <c r="B13606" t="s">
        <v>1150</v>
      </c>
    </row>
    <row r="13607" spans="1:2" x14ac:dyDescent="0.25">
      <c r="A13607" t="s">
        <v>2080</v>
      </c>
      <c r="B13607" t="s">
        <v>1155</v>
      </c>
    </row>
    <row r="13608" spans="1:2" x14ac:dyDescent="0.25">
      <c r="A13608" t="s">
        <v>2080</v>
      </c>
      <c r="B13608" t="s">
        <v>1157</v>
      </c>
    </row>
    <row r="13609" spans="1:2" x14ac:dyDescent="0.25">
      <c r="A13609" t="s">
        <v>2080</v>
      </c>
      <c r="B13609" t="s">
        <v>1158</v>
      </c>
    </row>
    <row r="13610" spans="1:2" x14ac:dyDescent="0.25">
      <c r="A13610" t="s">
        <v>2080</v>
      </c>
      <c r="B13610" t="s">
        <v>1175</v>
      </c>
    </row>
    <row r="13611" spans="1:2" x14ac:dyDescent="0.25">
      <c r="A13611" t="s">
        <v>2080</v>
      </c>
      <c r="B13611" t="s">
        <v>1176</v>
      </c>
    </row>
    <row r="13612" spans="1:2" x14ac:dyDescent="0.25">
      <c r="A13612" t="s">
        <v>2080</v>
      </c>
      <c r="B13612" t="s">
        <v>1177</v>
      </c>
    </row>
    <row r="13613" spans="1:2" x14ac:dyDescent="0.25">
      <c r="A13613" t="s">
        <v>2080</v>
      </c>
      <c r="B13613" t="s">
        <v>1184</v>
      </c>
    </row>
    <row r="13614" spans="1:2" x14ac:dyDescent="0.25">
      <c r="A13614" t="s">
        <v>2080</v>
      </c>
      <c r="B13614" t="s">
        <v>1204</v>
      </c>
    </row>
    <row r="13615" spans="1:2" x14ac:dyDescent="0.25">
      <c r="A13615" t="s">
        <v>2080</v>
      </c>
      <c r="B13615" t="s">
        <v>1218</v>
      </c>
    </row>
    <row r="13616" spans="1:2" x14ac:dyDescent="0.25">
      <c r="A13616" t="s">
        <v>2080</v>
      </c>
      <c r="B13616" t="s">
        <v>1219</v>
      </c>
    </row>
    <row r="13617" spans="1:2" x14ac:dyDescent="0.25">
      <c r="A13617" t="s">
        <v>2080</v>
      </c>
      <c r="B13617" t="s">
        <v>1220</v>
      </c>
    </row>
    <row r="13618" spans="1:2" x14ac:dyDescent="0.25">
      <c r="A13618" t="s">
        <v>2080</v>
      </c>
      <c r="B13618" t="s">
        <v>1226</v>
      </c>
    </row>
    <row r="13619" spans="1:2" x14ac:dyDescent="0.25">
      <c r="A13619" t="s">
        <v>2080</v>
      </c>
      <c r="B13619" t="s">
        <v>1227</v>
      </c>
    </row>
    <row r="13620" spans="1:2" x14ac:dyDescent="0.25">
      <c r="A13620" t="s">
        <v>2080</v>
      </c>
      <c r="B13620" t="s">
        <v>1228</v>
      </c>
    </row>
    <row r="13621" spans="1:2" x14ac:dyDescent="0.25">
      <c r="A13621" t="s">
        <v>2080</v>
      </c>
      <c r="B13621" t="s">
        <v>1230</v>
      </c>
    </row>
    <row r="13622" spans="1:2" x14ac:dyDescent="0.25">
      <c r="A13622" t="s">
        <v>2080</v>
      </c>
      <c r="B13622" t="s">
        <v>1231</v>
      </c>
    </row>
    <row r="13623" spans="1:2" x14ac:dyDescent="0.25">
      <c r="A13623" t="s">
        <v>2080</v>
      </c>
      <c r="B13623" t="s">
        <v>1233</v>
      </c>
    </row>
    <row r="13624" spans="1:2" x14ac:dyDescent="0.25">
      <c r="A13624" t="s">
        <v>2080</v>
      </c>
      <c r="B13624" t="s">
        <v>1253</v>
      </c>
    </row>
    <row r="13625" spans="1:2" x14ac:dyDescent="0.25">
      <c r="A13625" t="s">
        <v>2080</v>
      </c>
      <c r="B13625" t="s">
        <v>1254</v>
      </c>
    </row>
    <row r="13626" spans="1:2" x14ac:dyDescent="0.25">
      <c r="A13626" t="s">
        <v>2080</v>
      </c>
      <c r="B13626" t="s">
        <v>1255</v>
      </c>
    </row>
    <row r="13627" spans="1:2" x14ac:dyDescent="0.25">
      <c r="A13627" t="s">
        <v>2079</v>
      </c>
      <c r="B13627" t="s">
        <v>1139</v>
      </c>
    </row>
    <row r="13628" spans="1:2" x14ac:dyDescent="0.25">
      <c r="A13628" t="s">
        <v>2079</v>
      </c>
      <c r="B13628" t="s">
        <v>1140</v>
      </c>
    </row>
    <row r="13629" spans="1:2" x14ac:dyDescent="0.25">
      <c r="A13629" t="s">
        <v>2079</v>
      </c>
      <c r="B13629" t="s">
        <v>1140</v>
      </c>
    </row>
    <row r="13630" spans="1:2" x14ac:dyDescent="0.25">
      <c r="A13630" t="s">
        <v>2079</v>
      </c>
      <c r="B13630" t="s">
        <v>1141</v>
      </c>
    </row>
    <row r="13631" spans="1:2" x14ac:dyDescent="0.25">
      <c r="A13631" t="s">
        <v>2079</v>
      </c>
      <c r="B13631" t="s">
        <v>1141</v>
      </c>
    </row>
    <row r="13632" spans="1:2" x14ac:dyDescent="0.25">
      <c r="A13632" t="s">
        <v>2079</v>
      </c>
      <c r="B13632" t="s">
        <v>1142</v>
      </c>
    </row>
    <row r="13633" spans="1:2" x14ac:dyDescent="0.25">
      <c r="A13633" t="s">
        <v>2079</v>
      </c>
      <c r="B13633" t="s">
        <v>1150</v>
      </c>
    </row>
    <row r="13634" spans="1:2" x14ac:dyDescent="0.25">
      <c r="A13634" t="s">
        <v>2079</v>
      </c>
      <c r="B13634" t="s">
        <v>1150</v>
      </c>
    </row>
    <row r="13635" spans="1:2" x14ac:dyDescent="0.25">
      <c r="A13635" t="s">
        <v>2079</v>
      </c>
      <c r="B13635" t="s">
        <v>1151</v>
      </c>
    </row>
    <row r="13636" spans="1:2" x14ac:dyDescent="0.25">
      <c r="A13636" t="s">
        <v>2079</v>
      </c>
      <c r="B13636" t="s">
        <v>1155</v>
      </c>
    </row>
    <row r="13637" spans="1:2" x14ac:dyDescent="0.25">
      <c r="A13637" t="s">
        <v>2079</v>
      </c>
      <c r="B13637" t="s">
        <v>1157</v>
      </c>
    </row>
    <row r="13638" spans="1:2" x14ac:dyDescent="0.25">
      <c r="A13638" t="s">
        <v>2079</v>
      </c>
      <c r="B13638" t="s">
        <v>1158</v>
      </c>
    </row>
    <row r="13639" spans="1:2" x14ac:dyDescent="0.25">
      <c r="A13639" t="s">
        <v>2079</v>
      </c>
      <c r="B13639" t="s">
        <v>1175</v>
      </c>
    </row>
    <row r="13640" spans="1:2" x14ac:dyDescent="0.25">
      <c r="A13640" t="s">
        <v>2079</v>
      </c>
      <c r="B13640" t="s">
        <v>1176</v>
      </c>
    </row>
    <row r="13641" spans="1:2" x14ac:dyDescent="0.25">
      <c r="A13641" t="s">
        <v>2079</v>
      </c>
      <c r="B13641" t="s">
        <v>1177</v>
      </c>
    </row>
    <row r="13642" spans="1:2" x14ac:dyDescent="0.25">
      <c r="A13642" t="s">
        <v>2079</v>
      </c>
      <c r="B13642" t="s">
        <v>1179</v>
      </c>
    </row>
    <row r="13643" spans="1:2" x14ac:dyDescent="0.25">
      <c r="A13643" t="s">
        <v>2079</v>
      </c>
      <c r="B13643" t="s">
        <v>1205</v>
      </c>
    </row>
    <row r="13644" spans="1:2" x14ac:dyDescent="0.25">
      <c r="A13644" t="s">
        <v>2079</v>
      </c>
      <c r="B13644" t="s">
        <v>1206</v>
      </c>
    </row>
    <row r="13645" spans="1:2" x14ac:dyDescent="0.25">
      <c r="A13645" t="s">
        <v>2079</v>
      </c>
      <c r="B13645" t="s">
        <v>1207</v>
      </c>
    </row>
    <row r="13646" spans="1:2" x14ac:dyDescent="0.25">
      <c r="A13646" t="s">
        <v>2079</v>
      </c>
      <c r="B13646" t="s">
        <v>1208</v>
      </c>
    </row>
    <row r="13647" spans="1:2" x14ac:dyDescent="0.25">
      <c r="A13647" t="s">
        <v>2079</v>
      </c>
      <c r="B13647" t="s">
        <v>1220</v>
      </c>
    </row>
    <row r="13648" spans="1:2" x14ac:dyDescent="0.25">
      <c r="A13648" t="s">
        <v>2079</v>
      </c>
      <c r="B13648" t="s">
        <v>1226</v>
      </c>
    </row>
    <row r="13649" spans="1:2" x14ac:dyDescent="0.25">
      <c r="A13649" t="s">
        <v>2079</v>
      </c>
      <c r="B13649" t="s">
        <v>1227</v>
      </c>
    </row>
    <row r="13650" spans="1:2" x14ac:dyDescent="0.25">
      <c r="A13650" t="s">
        <v>2079</v>
      </c>
      <c r="B13650" t="s">
        <v>1232</v>
      </c>
    </row>
    <row r="13651" spans="1:2" x14ac:dyDescent="0.25">
      <c r="A13651" t="s">
        <v>2079</v>
      </c>
      <c r="B13651" t="s">
        <v>1233</v>
      </c>
    </row>
    <row r="13652" spans="1:2" x14ac:dyDescent="0.25">
      <c r="A13652" t="s">
        <v>2079</v>
      </c>
      <c r="B13652" t="s">
        <v>1233</v>
      </c>
    </row>
    <row r="13653" spans="1:2" x14ac:dyDescent="0.25">
      <c r="A13653" t="s">
        <v>2079</v>
      </c>
      <c r="B13653" t="s">
        <v>1234</v>
      </c>
    </row>
    <row r="13654" spans="1:2" x14ac:dyDescent="0.25">
      <c r="A13654" t="s">
        <v>2079</v>
      </c>
      <c r="B13654" t="s">
        <v>1235</v>
      </c>
    </row>
    <row r="13655" spans="1:2" x14ac:dyDescent="0.25">
      <c r="A13655" t="s">
        <v>2079</v>
      </c>
      <c r="B13655" t="s">
        <v>1236</v>
      </c>
    </row>
    <row r="13656" spans="1:2" x14ac:dyDescent="0.25">
      <c r="A13656" t="s">
        <v>2079</v>
      </c>
      <c r="B13656" t="s">
        <v>1237</v>
      </c>
    </row>
    <row r="13657" spans="1:2" x14ac:dyDescent="0.25">
      <c r="A13657" t="s">
        <v>2079</v>
      </c>
      <c r="B13657" t="s">
        <v>1238</v>
      </c>
    </row>
    <row r="13658" spans="1:2" x14ac:dyDescent="0.25">
      <c r="A13658" t="s">
        <v>2079</v>
      </c>
      <c r="B13658" t="s">
        <v>1239</v>
      </c>
    </row>
    <row r="13659" spans="1:2" x14ac:dyDescent="0.25">
      <c r="A13659" t="s">
        <v>2079</v>
      </c>
      <c r="B13659" t="s">
        <v>1240</v>
      </c>
    </row>
    <row r="13660" spans="1:2" x14ac:dyDescent="0.25">
      <c r="A13660" t="s">
        <v>2079</v>
      </c>
      <c r="B13660" t="s">
        <v>1241</v>
      </c>
    </row>
    <row r="13661" spans="1:2" x14ac:dyDescent="0.25">
      <c r="A13661" t="s">
        <v>2079</v>
      </c>
      <c r="B13661" t="s">
        <v>1242</v>
      </c>
    </row>
    <row r="13662" spans="1:2" x14ac:dyDescent="0.25">
      <c r="A13662" t="s">
        <v>2079</v>
      </c>
      <c r="B13662" t="s">
        <v>1243</v>
      </c>
    </row>
    <row r="13663" spans="1:2" x14ac:dyDescent="0.25">
      <c r="A13663" t="s">
        <v>2079</v>
      </c>
      <c r="B13663" t="s">
        <v>1244</v>
      </c>
    </row>
    <row r="13664" spans="1:2" x14ac:dyDescent="0.25">
      <c r="A13664" t="s">
        <v>2079</v>
      </c>
      <c r="B13664" t="s">
        <v>1245</v>
      </c>
    </row>
    <row r="13665" spans="1:2" x14ac:dyDescent="0.25">
      <c r="A13665" t="s">
        <v>2079</v>
      </c>
      <c r="B13665" t="s">
        <v>1246</v>
      </c>
    </row>
    <row r="13666" spans="1:2" x14ac:dyDescent="0.25">
      <c r="A13666" t="s">
        <v>2079</v>
      </c>
      <c r="B13666" t="s">
        <v>1247</v>
      </c>
    </row>
    <row r="13667" spans="1:2" x14ac:dyDescent="0.25">
      <c r="A13667" t="s">
        <v>2079</v>
      </c>
      <c r="B13667" t="s">
        <v>1248</v>
      </c>
    </row>
    <row r="13668" spans="1:2" x14ac:dyDescent="0.25">
      <c r="A13668" t="s">
        <v>2079</v>
      </c>
      <c r="B13668" t="s">
        <v>1249</v>
      </c>
    </row>
    <row r="13669" spans="1:2" x14ac:dyDescent="0.25">
      <c r="A13669" t="s">
        <v>2079</v>
      </c>
      <c r="B13669" t="s">
        <v>1250</v>
      </c>
    </row>
    <row r="13670" spans="1:2" x14ac:dyDescent="0.25">
      <c r="A13670" t="s">
        <v>2079</v>
      </c>
      <c r="B13670" t="s">
        <v>1254</v>
      </c>
    </row>
    <row r="13671" spans="1:2" x14ac:dyDescent="0.25">
      <c r="A13671" t="s">
        <v>2079</v>
      </c>
      <c r="B13671" t="s">
        <v>1255</v>
      </c>
    </row>
    <row r="13672" spans="1:2" x14ac:dyDescent="0.25">
      <c r="A13672" t="s">
        <v>2157</v>
      </c>
      <c r="B13672" t="s">
        <v>1149</v>
      </c>
    </row>
    <row r="13673" spans="1:2" x14ac:dyDescent="0.25">
      <c r="A13673" t="s">
        <v>2157</v>
      </c>
      <c r="B13673" t="s">
        <v>1177</v>
      </c>
    </row>
    <row r="13674" spans="1:2" x14ac:dyDescent="0.25">
      <c r="A13674" t="s">
        <v>2157</v>
      </c>
      <c r="B13674" t="s">
        <v>1178</v>
      </c>
    </row>
    <row r="13675" spans="1:2" x14ac:dyDescent="0.25">
      <c r="A13675" t="s">
        <v>2157</v>
      </c>
      <c r="B13675" t="s">
        <v>1184</v>
      </c>
    </row>
    <row r="13676" spans="1:2" x14ac:dyDescent="0.25">
      <c r="A13676" t="s">
        <v>2157</v>
      </c>
      <c r="B13676" t="s">
        <v>1204</v>
      </c>
    </row>
    <row r="13677" spans="1:2" x14ac:dyDescent="0.25">
      <c r="A13677" t="s">
        <v>2157</v>
      </c>
      <c r="B13677" t="s">
        <v>1218</v>
      </c>
    </row>
    <row r="13678" spans="1:2" x14ac:dyDescent="0.25">
      <c r="A13678" t="s">
        <v>2157</v>
      </c>
      <c r="B13678" t="s">
        <v>1219</v>
      </c>
    </row>
    <row r="13679" spans="1:2" x14ac:dyDescent="0.25">
      <c r="A13679" t="s">
        <v>2157</v>
      </c>
      <c r="B13679" t="s">
        <v>1220</v>
      </c>
    </row>
    <row r="13680" spans="1:2" x14ac:dyDescent="0.25">
      <c r="A13680" t="s">
        <v>2157</v>
      </c>
      <c r="B13680" t="s">
        <v>1228</v>
      </c>
    </row>
    <row r="13681" spans="1:2" x14ac:dyDescent="0.25">
      <c r="A13681" t="s">
        <v>2157</v>
      </c>
      <c r="B13681" t="s">
        <v>1229</v>
      </c>
    </row>
    <row r="13682" spans="1:2" x14ac:dyDescent="0.25">
      <c r="A13682" t="s">
        <v>2157</v>
      </c>
      <c r="B13682" t="s">
        <v>1230</v>
      </c>
    </row>
    <row r="13683" spans="1:2" x14ac:dyDescent="0.25">
      <c r="A13683" t="s">
        <v>2157</v>
      </c>
      <c r="B13683" t="s">
        <v>1231</v>
      </c>
    </row>
    <row r="13684" spans="1:2" x14ac:dyDescent="0.25">
      <c r="A13684" t="s">
        <v>2157</v>
      </c>
      <c r="B13684" t="s">
        <v>1253</v>
      </c>
    </row>
    <row r="13685" spans="1:2" x14ac:dyDescent="0.25">
      <c r="A13685" s="11" t="s">
        <v>1459</v>
      </c>
      <c r="B13685" t="s">
        <v>1091</v>
      </c>
    </row>
    <row r="13686" spans="1:2" x14ac:dyDescent="0.25">
      <c r="A13686" t="s">
        <v>1459</v>
      </c>
      <c r="B13686" t="s">
        <v>1092</v>
      </c>
    </row>
    <row r="13687" spans="1:2" x14ac:dyDescent="0.25">
      <c r="A13687" t="s">
        <v>1459</v>
      </c>
      <c r="B13687" t="s">
        <v>1093</v>
      </c>
    </row>
    <row r="13688" spans="1:2" x14ac:dyDescent="0.25">
      <c r="A13688" t="s">
        <v>1459</v>
      </c>
      <c r="B13688" t="s">
        <v>1094</v>
      </c>
    </row>
    <row r="13689" spans="1:2" x14ac:dyDescent="0.25">
      <c r="A13689" t="s">
        <v>1459</v>
      </c>
      <c r="B13689" t="s">
        <v>1095</v>
      </c>
    </row>
    <row r="13690" spans="1:2" x14ac:dyDescent="0.25">
      <c r="A13690" t="s">
        <v>1459</v>
      </c>
      <c r="B13690" t="s">
        <v>1096</v>
      </c>
    </row>
    <row r="13691" spans="1:2" x14ac:dyDescent="0.25">
      <c r="A13691" t="s">
        <v>1459</v>
      </c>
      <c r="B13691" t="s">
        <v>1097</v>
      </c>
    </row>
    <row r="13692" spans="1:2" x14ac:dyDescent="0.25">
      <c r="A13692" t="s">
        <v>1459</v>
      </c>
      <c r="B13692" t="s">
        <v>1098</v>
      </c>
    </row>
    <row r="13693" spans="1:2" x14ac:dyDescent="0.25">
      <c r="A13693" t="s">
        <v>1459</v>
      </c>
      <c r="B13693" t="s">
        <v>1099</v>
      </c>
    </row>
    <row r="13694" spans="1:2" x14ac:dyDescent="0.25">
      <c r="A13694" t="s">
        <v>1459</v>
      </c>
      <c r="B13694" t="s">
        <v>1100</v>
      </c>
    </row>
    <row r="13695" spans="1:2" x14ac:dyDescent="0.25">
      <c r="A13695" t="s">
        <v>1459</v>
      </c>
      <c r="B13695" t="s">
        <v>1101</v>
      </c>
    </row>
    <row r="13696" spans="1:2" x14ac:dyDescent="0.25">
      <c r="A13696" t="s">
        <v>1459</v>
      </c>
      <c r="B13696" t="s">
        <v>1102</v>
      </c>
    </row>
    <row r="13697" spans="1:2" x14ac:dyDescent="0.25">
      <c r="A13697" t="s">
        <v>1459</v>
      </c>
      <c r="B13697" t="s">
        <v>1102</v>
      </c>
    </row>
    <row r="13698" spans="1:2" x14ac:dyDescent="0.25">
      <c r="A13698" t="s">
        <v>1459</v>
      </c>
      <c r="B13698" t="s">
        <v>1103</v>
      </c>
    </row>
    <row r="13699" spans="1:2" x14ac:dyDescent="0.25">
      <c r="A13699" t="s">
        <v>1459</v>
      </c>
      <c r="B13699" t="s">
        <v>1104</v>
      </c>
    </row>
    <row r="13700" spans="1:2" x14ac:dyDescent="0.25">
      <c r="A13700" t="s">
        <v>1459</v>
      </c>
      <c r="B13700" t="s">
        <v>1104</v>
      </c>
    </row>
    <row r="13701" spans="1:2" x14ac:dyDescent="0.25">
      <c r="A13701" t="s">
        <v>1459</v>
      </c>
      <c r="B13701" t="s">
        <v>1105</v>
      </c>
    </row>
    <row r="13702" spans="1:2" x14ac:dyDescent="0.25">
      <c r="A13702" t="s">
        <v>1459</v>
      </c>
      <c r="B13702" t="s">
        <v>1106</v>
      </c>
    </row>
    <row r="13703" spans="1:2" x14ac:dyDescent="0.25">
      <c r="A13703" t="s">
        <v>1459</v>
      </c>
      <c r="B13703" t="s">
        <v>1107</v>
      </c>
    </row>
    <row r="13704" spans="1:2" x14ac:dyDescent="0.25">
      <c r="A13704" t="s">
        <v>1459</v>
      </c>
      <c r="B13704" t="s">
        <v>1108</v>
      </c>
    </row>
    <row r="13705" spans="1:2" x14ac:dyDescent="0.25">
      <c r="A13705" t="s">
        <v>1459</v>
      </c>
      <c r="B13705" t="s">
        <v>1109</v>
      </c>
    </row>
    <row r="13706" spans="1:2" x14ac:dyDescent="0.25">
      <c r="A13706" t="s">
        <v>1459</v>
      </c>
      <c r="B13706" t="s">
        <v>1110</v>
      </c>
    </row>
    <row r="13707" spans="1:2" x14ac:dyDescent="0.25">
      <c r="A13707" t="s">
        <v>1459</v>
      </c>
      <c r="B13707" t="s">
        <v>1111</v>
      </c>
    </row>
    <row r="13708" spans="1:2" x14ac:dyDescent="0.25">
      <c r="A13708" t="s">
        <v>1459</v>
      </c>
      <c r="B13708" t="s">
        <v>1112</v>
      </c>
    </row>
    <row r="13709" spans="1:2" x14ac:dyDescent="0.25">
      <c r="A13709" t="s">
        <v>1459</v>
      </c>
      <c r="B13709" t="s">
        <v>1113</v>
      </c>
    </row>
    <row r="13710" spans="1:2" x14ac:dyDescent="0.25">
      <c r="A13710" t="s">
        <v>1459</v>
      </c>
      <c r="B13710" t="s">
        <v>1114</v>
      </c>
    </row>
    <row r="13711" spans="1:2" x14ac:dyDescent="0.25">
      <c r="A13711" t="s">
        <v>1459</v>
      </c>
      <c r="B13711" t="s">
        <v>1115</v>
      </c>
    </row>
    <row r="13712" spans="1:2" x14ac:dyDescent="0.25">
      <c r="A13712" t="s">
        <v>1459</v>
      </c>
      <c r="B13712" t="s">
        <v>1116</v>
      </c>
    </row>
    <row r="13713" spans="1:2" x14ac:dyDescent="0.25">
      <c r="A13713" t="s">
        <v>1459</v>
      </c>
      <c r="B13713" t="s">
        <v>1116</v>
      </c>
    </row>
    <row r="13714" spans="1:2" x14ac:dyDescent="0.25">
      <c r="A13714" t="s">
        <v>1459</v>
      </c>
      <c r="B13714" t="s">
        <v>1117</v>
      </c>
    </row>
    <row r="13715" spans="1:2" x14ac:dyDescent="0.25">
      <c r="A13715" t="s">
        <v>1459</v>
      </c>
      <c r="B13715" t="s">
        <v>1118</v>
      </c>
    </row>
    <row r="13716" spans="1:2" x14ac:dyDescent="0.25">
      <c r="A13716" t="s">
        <v>1459</v>
      </c>
      <c r="B13716" t="s">
        <v>1119</v>
      </c>
    </row>
    <row r="13717" spans="1:2" x14ac:dyDescent="0.25">
      <c r="A13717" t="s">
        <v>1459</v>
      </c>
      <c r="B13717" t="s">
        <v>1120</v>
      </c>
    </row>
    <row r="13718" spans="1:2" x14ac:dyDescent="0.25">
      <c r="A13718" t="s">
        <v>1459</v>
      </c>
      <c r="B13718" t="s">
        <v>1121</v>
      </c>
    </row>
    <row r="13719" spans="1:2" x14ac:dyDescent="0.25">
      <c r="A13719" t="s">
        <v>1459</v>
      </c>
      <c r="B13719" t="s">
        <v>1121</v>
      </c>
    </row>
    <row r="13720" spans="1:2" x14ac:dyDescent="0.25">
      <c r="A13720" t="s">
        <v>1459</v>
      </c>
      <c r="B13720" t="s">
        <v>1122</v>
      </c>
    </row>
    <row r="13721" spans="1:2" x14ac:dyDescent="0.25">
      <c r="A13721" t="s">
        <v>1459</v>
      </c>
      <c r="B13721" t="s">
        <v>1122</v>
      </c>
    </row>
    <row r="13722" spans="1:2" x14ac:dyDescent="0.25">
      <c r="A13722" t="s">
        <v>1459</v>
      </c>
      <c r="B13722" t="s">
        <v>1123</v>
      </c>
    </row>
    <row r="13723" spans="1:2" x14ac:dyDescent="0.25">
      <c r="A13723" t="s">
        <v>1459</v>
      </c>
      <c r="B13723" t="s">
        <v>1123</v>
      </c>
    </row>
    <row r="13724" spans="1:2" x14ac:dyDescent="0.25">
      <c r="A13724" t="s">
        <v>1459</v>
      </c>
      <c r="B13724" t="s">
        <v>1124</v>
      </c>
    </row>
    <row r="13725" spans="1:2" x14ac:dyDescent="0.25">
      <c r="A13725" t="s">
        <v>1459</v>
      </c>
      <c r="B13725" t="s">
        <v>1125</v>
      </c>
    </row>
    <row r="13726" spans="1:2" x14ac:dyDescent="0.25">
      <c r="A13726" t="s">
        <v>1459</v>
      </c>
      <c r="B13726" t="s">
        <v>1161</v>
      </c>
    </row>
    <row r="13727" spans="1:2" x14ac:dyDescent="0.25">
      <c r="A13727" t="s">
        <v>1626</v>
      </c>
      <c r="B13727" t="s">
        <v>1096</v>
      </c>
    </row>
    <row r="13728" spans="1:2" x14ac:dyDescent="0.25">
      <c r="A13728" t="s">
        <v>1626</v>
      </c>
      <c r="B13728" t="s">
        <v>1098</v>
      </c>
    </row>
    <row r="13729" spans="1:2" x14ac:dyDescent="0.25">
      <c r="A13729" t="s">
        <v>1626</v>
      </c>
      <c r="B13729" t="s">
        <v>1100</v>
      </c>
    </row>
    <row r="13730" spans="1:2" x14ac:dyDescent="0.25">
      <c r="A13730" t="s">
        <v>1626</v>
      </c>
      <c r="B13730" t="s">
        <v>1101</v>
      </c>
    </row>
    <row r="13731" spans="1:2" x14ac:dyDescent="0.25">
      <c r="A13731" t="s">
        <v>1626</v>
      </c>
      <c r="B13731" t="s">
        <v>1102</v>
      </c>
    </row>
    <row r="13732" spans="1:2" x14ac:dyDescent="0.25">
      <c r="A13732" t="s">
        <v>1626</v>
      </c>
      <c r="B13732" t="s">
        <v>1103</v>
      </c>
    </row>
    <row r="13733" spans="1:2" x14ac:dyDescent="0.25">
      <c r="A13733" t="s">
        <v>1626</v>
      </c>
      <c r="B13733" t="s">
        <v>1104</v>
      </c>
    </row>
    <row r="13734" spans="1:2" x14ac:dyDescent="0.25">
      <c r="A13734" t="s">
        <v>1626</v>
      </c>
      <c r="B13734" t="s">
        <v>1105</v>
      </c>
    </row>
    <row r="13735" spans="1:2" x14ac:dyDescent="0.25">
      <c r="A13735" t="s">
        <v>1626</v>
      </c>
      <c r="B13735" t="s">
        <v>1106</v>
      </c>
    </row>
    <row r="13736" spans="1:2" x14ac:dyDescent="0.25">
      <c r="A13736" t="s">
        <v>1626</v>
      </c>
      <c r="B13736" t="s">
        <v>1107</v>
      </c>
    </row>
    <row r="13737" spans="1:2" x14ac:dyDescent="0.25">
      <c r="A13737" t="s">
        <v>1626</v>
      </c>
      <c r="B13737" t="s">
        <v>1116</v>
      </c>
    </row>
    <row r="13738" spans="1:2" x14ac:dyDescent="0.25">
      <c r="A13738" t="s">
        <v>1626</v>
      </c>
      <c r="B13738" t="s">
        <v>1117</v>
      </c>
    </row>
    <row r="13739" spans="1:2" x14ac:dyDescent="0.25">
      <c r="A13739" t="s">
        <v>1626</v>
      </c>
      <c r="B13739" t="s">
        <v>1118</v>
      </c>
    </row>
    <row r="13740" spans="1:2" x14ac:dyDescent="0.25">
      <c r="A13740" t="s">
        <v>1626</v>
      </c>
      <c r="B13740" t="s">
        <v>1119</v>
      </c>
    </row>
    <row r="13741" spans="1:2" x14ac:dyDescent="0.25">
      <c r="A13741" t="s">
        <v>1626</v>
      </c>
      <c r="B13741" t="s">
        <v>1120</v>
      </c>
    </row>
    <row r="13742" spans="1:2" x14ac:dyDescent="0.25">
      <c r="A13742" t="s">
        <v>1626</v>
      </c>
      <c r="B13742" t="s">
        <v>1121</v>
      </c>
    </row>
    <row r="13743" spans="1:2" x14ac:dyDescent="0.25">
      <c r="A13743" t="s">
        <v>1626</v>
      </c>
      <c r="B13743" t="s">
        <v>1122</v>
      </c>
    </row>
    <row r="13744" spans="1:2" x14ac:dyDescent="0.25">
      <c r="A13744" t="s">
        <v>1626</v>
      </c>
      <c r="B13744" t="s">
        <v>1123</v>
      </c>
    </row>
    <row r="13745" spans="1:2" x14ac:dyDescent="0.25">
      <c r="A13745" t="s">
        <v>1626</v>
      </c>
      <c r="B13745" t="s">
        <v>1124</v>
      </c>
    </row>
    <row r="13746" spans="1:2" x14ac:dyDescent="0.25">
      <c r="A13746" t="s">
        <v>1626</v>
      </c>
      <c r="B13746" t="s">
        <v>1126</v>
      </c>
    </row>
    <row r="13747" spans="1:2" x14ac:dyDescent="0.25">
      <c r="A13747" t="s">
        <v>1626</v>
      </c>
      <c r="B13747" t="s">
        <v>1142</v>
      </c>
    </row>
    <row r="13748" spans="1:2" x14ac:dyDescent="0.25">
      <c r="A13748" t="s">
        <v>1626</v>
      </c>
      <c r="B13748" t="s">
        <v>1148</v>
      </c>
    </row>
    <row r="13749" spans="1:2" x14ac:dyDescent="0.25">
      <c r="A13749" t="s">
        <v>1626</v>
      </c>
      <c r="B13749" t="s">
        <v>1161</v>
      </c>
    </row>
    <row r="13750" spans="1:2" x14ac:dyDescent="0.25">
      <c r="A13750" t="s">
        <v>1626</v>
      </c>
      <c r="B13750" t="s">
        <v>1162</v>
      </c>
    </row>
    <row r="13751" spans="1:2" x14ac:dyDescent="0.25">
      <c r="A13751" t="s">
        <v>1626</v>
      </c>
      <c r="B13751" t="s">
        <v>1163</v>
      </c>
    </row>
    <row r="13752" spans="1:2" x14ac:dyDescent="0.25">
      <c r="A13752" t="s">
        <v>1626</v>
      </c>
      <c r="B13752" t="s">
        <v>1164</v>
      </c>
    </row>
    <row r="13753" spans="1:2" x14ac:dyDescent="0.25">
      <c r="A13753" t="s">
        <v>1626</v>
      </c>
      <c r="B13753" t="s">
        <v>1168</v>
      </c>
    </row>
    <row r="13754" spans="1:2" x14ac:dyDescent="0.25">
      <c r="A13754" t="s">
        <v>1626</v>
      </c>
      <c r="B13754" t="s">
        <v>1169</v>
      </c>
    </row>
    <row r="13755" spans="1:2" x14ac:dyDescent="0.25">
      <c r="A13755" t="s">
        <v>1626</v>
      </c>
      <c r="B13755" t="s">
        <v>1170</v>
      </c>
    </row>
    <row r="13756" spans="1:2" x14ac:dyDescent="0.25">
      <c r="A13756" t="s">
        <v>1626</v>
      </c>
      <c r="B13756" t="s">
        <v>1178</v>
      </c>
    </row>
    <row r="13757" spans="1:2" x14ac:dyDescent="0.25">
      <c r="A13757" t="s">
        <v>1626</v>
      </c>
      <c r="B13757" t="s">
        <v>1185</v>
      </c>
    </row>
    <row r="13758" spans="1:2" x14ac:dyDescent="0.25">
      <c r="A13758" t="s">
        <v>1626</v>
      </c>
      <c r="B13758" t="s">
        <v>1196</v>
      </c>
    </row>
    <row r="13759" spans="1:2" x14ac:dyDescent="0.25">
      <c r="A13759" t="s">
        <v>1626</v>
      </c>
      <c r="B13759" t="s">
        <v>1197</v>
      </c>
    </row>
    <row r="13760" spans="1:2" x14ac:dyDescent="0.25">
      <c r="A13760" t="s">
        <v>1626</v>
      </c>
      <c r="B13760" t="s">
        <v>1202</v>
      </c>
    </row>
    <row r="13761" spans="1:2" x14ac:dyDescent="0.25">
      <c r="A13761" t="s">
        <v>1626</v>
      </c>
      <c r="B13761" t="s">
        <v>1209</v>
      </c>
    </row>
    <row r="13762" spans="1:2" x14ac:dyDescent="0.25">
      <c r="A13762" t="s">
        <v>1626</v>
      </c>
      <c r="B13762" t="s">
        <v>1210</v>
      </c>
    </row>
    <row r="13763" spans="1:2" x14ac:dyDescent="0.25">
      <c r="A13763" t="s">
        <v>1626</v>
      </c>
      <c r="B13763" t="s">
        <v>1211</v>
      </c>
    </row>
    <row r="13764" spans="1:2" x14ac:dyDescent="0.25">
      <c r="A13764" t="s">
        <v>1626</v>
      </c>
      <c r="B13764" t="s">
        <v>1235</v>
      </c>
    </row>
    <row r="13765" spans="1:2" x14ac:dyDescent="0.25">
      <c r="A13765" t="s">
        <v>1626</v>
      </c>
      <c r="B13765" t="s">
        <v>1236</v>
      </c>
    </row>
    <row r="13766" spans="1:2" x14ac:dyDescent="0.25">
      <c r="A13766" t="s">
        <v>1626</v>
      </c>
      <c r="B13766" t="s">
        <v>1237</v>
      </c>
    </row>
    <row r="13767" spans="1:2" x14ac:dyDescent="0.25">
      <c r="A13767" t="s">
        <v>1626</v>
      </c>
      <c r="B13767" t="s">
        <v>1238</v>
      </c>
    </row>
    <row r="13768" spans="1:2" x14ac:dyDescent="0.25">
      <c r="A13768" t="s">
        <v>1626</v>
      </c>
      <c r="B13768" t="s">
        <v>1239</v>
      </c>
    </row>
    <row r="13769" spans="1:2" x14ac:dyDescent="0.25">
      <c r="A13769" t="s">
        <v>1626</v>
      </c>
      <c r="B13769" t="s">
        <v>1240</v>
      </c>
    </row>
    <row r="13770" spans="1:2" x14ac:dyDescent="0.25">
      <c r="A13770" t="s">
        <v>1626</v>
      </c>
      <c r="B13770" t="s">
        <v>1241</v>
      </c>
    </row>
    <row r="13771" spans="1:2" x14ac:dyDescent="0.25">
      <c r="A13771" t="s">
        <v>1626</v>
      </c>
      <c r="B13771" t="s">
        <v>1242</v>
      </c>
    </row>
    <row r="13772" spans="1:2" x14ac:dyDescent="0.25">
      <c r="A13772" t="s">
        <v>1626</v>
      </c>
      <c r="B13772" t="s">
        <v>1243</v>
      </c>
    </row>
    <row r="13773" spans="1:2" x14ac:dyDescent="0.25">
      <c r="A13773" t="s">
        <v>1626</v>
      </c>
      <c r="B13773" t="s">
        <v>1244</v>
      </c>
    </row>
    <row r="13774" spans="1:2" x14ac:dyDescent="0.25">
      <c r="A13774" t="s">
        <v>1626</v>
      </c>
      <c r="B13774" t="s">
        <v>1245</v>
      </c>
    </row>
    <row r="13775" spans="1:2" x14ac:dyDescent="0.25">
      <c r="A13775" t="s">
        <v>1626</v>
      </c>
      <c r="B13775" t="s">
        <v>1246</v>
      </c>
    </row>
    <row r="13776" spans="1:2" x14ac:dyDescent="0.25">
      <c r="A13776" t="s">
        <v>1626</v>
      </c>
      <c r="B13776" t="s">
        <v>1247</v>
      </c>
    </row>
    <row r="13777" spans="1:2" x14ac:dyDescent="0.25">
      <c r="A13777" t="s">
        <v>1626</v>
      </c>
      <c r="B13777" t="s">
        <v>1248</v>
      </c>
    </row>
    <row r="13778" spans="1:2" x14ac:dyDescent="0.25">
      <c r="A13778" t="s">
        <v>1626</v>
      </c>
      <c r="B13778" t="s">
        <v>1249</v>
      </c>
    </row>
    <row r="13779" spans="1:2" x14ac:dyDescent="0.25">
      <c r="A13779" t="s">
        <v>1626</v>
      </c>
      <c r="B13779" t="s">
        <v>1250</v>
      </c>
    </row>
    <row r="13780" spans="1:2" x14ac:dyDescent="0.25">
      <c r="A13780" t="s">
        <v>1627</v>
      </c>
      <c r="B13780" t="s">
        <v>1096</v>
      </c>
    </row>
    <row r="13781" spans="1:2" x14ac:dyDescent="0.25">
      <c r="A13781" t="s">
        <v>1627</v>
      </c>
      <c r="B13781" t="s">
        <v>1098</v>
      </c>
    </row>
    <row r="13782" spans="1:2" x14ac:dyDescent="0.25">
      <c r="A13782" t="s">
        <v>1627</v>
      </c>
      <c r="B13782" t="s">
        <v>1100</v>
      </c>
    </row>
    <row r="13783" spans="1:2" x14ac:dyDescent="0.25">
      <c r="A13783" t="s">
        <v>1627</v>
      </c>
      <c r="B13783" t="s">
        <v>1101</v>
      </c>
    </row>
    <row r="13784" spans="1:2" x14ac:dyDescent="0.25">
      <c r="A13784" t="s">
        <v>1627</v>
      </c>
      <c r="B13784" t="s">
        <v>1102</v>
      </c>
    </row>
    <row r="13785" spans="1:2" x14ac:dyDescent="0.25">
      <c r="A13785" t="s">
        <v>1627</v>
      </c>
      <c r="B13785" t="s">
        <v>1103</v>
      </c>
    </row>
    <row r="13786" spans="1:2" x14ac:dyDescent="0.25">
      <c r="A13786" t="s">
        <v>1627</v>
      </c>
      <c r="B13786" t="s">
        <v>1104</v>
      </c>
    </row>
    <row r="13787" spans="1:2" x14ac:dyDescent="0.25">
      <c r="A13787" t="s">
        <v>1627</v>
      </c>
      <c r="B13787" t="s">
        <v>1105</v>
      </c>
    </row>
    <row r="13788" spans="1:2" x14ac:dyDescent="0.25">
      <c r="A13788" t="s">
        <v>1627</v>
      </c>
      <c r="B13788" t="s">
        <v>1106</v>
      </c>
    </row>
    <row r="13789" spans="1:2" x14ac:dyDescent="0.25">
      <c r="A13789" t="s">
        <v>1627</v>
      </c>
      <c r="B13789" t="s">
        <v>1107</v>
      </c>
    </row>
    <row r="13790" spans="1:2" x14ac:dyDescent="0.25">
      <c r="A13790" t="s">
        <v>1627</v>
      </c>
      <c r="B13790" t="s">
        <v>1116</v>
      </c>
    </row>
    <row r="13791" spans="1:2" x14ac:dyDescent="0.25">
      <c r="A13791" t="s">
        <v>1627</v>
      </c>
      <c r="B13791" t="s">
        <v>1117</v>
      </c>
    </row>
    <row r="13792" spans="1:2" x14ac:dyDescent="0.25">
      <c r="A13792" t="s">
        <v>1627</v>
      </c>
      <c r="B13792" t="s">
        <v>1118</v>
      </c>
    </row>
    <row r="13793" spans="1:2" x14ac:dyDescent="0.25">
      <c r="A13793" t="s">
        <v>1627</v>
      </c>
      <c r="B13793" t="s">
        <v>1119</v>
      </c>
    </row>
    <row r="13794" spans="1:2" x14ac:dyDescent="0.25">
      <c r="A13794" t="s">
        <v>1627</v>
      </c>
      <c r="B13794" t="s">
        <v>1120</v>
      </c>
    </row>
    <row r="13795" spans="1:2" x14ac:dyDescent="0.25">
      <c r="A13795" t="s">
        <v>1627</v>
      </c>
      <c r="B13795" t="s">
        <v>1121</v>
      </c>
    </row>
    <row r="13796" spans="1:2" x14ac:dyDescent="0.25">
      <c r="A13796" t="s">
        <v>1627</v>
      </c>
      <c r="B13796" t="s">
        <v>1122</v>
      </c>
    </row>
    <row r="13797" spans="1:2" x14ac:dyDescent="0.25">
      <c r="A13797" t="s">
        <v>1627</v>
      </c>
      <c r="B13797" t="s">
        <v>1123</v>
      </c>
    </row>
    <row r="13798" spans="1:2" x14ac:dyDescent="0.25">
      <c r="A13798" t="s">
        <v>1627</v>
      </c>
      <c r="B13798" t="s">
        <v>1124</v>
      </c>
    </row>
    <row r="13799" spans="1:2" x14ac:dyDescent="0.25">
      <c r="A13799" t="s">
        <v>1627</v>
      </c>
      <c r="B13799" t="s">
        <v>1126</v>
      </c>
    </row>
    <row r="13800" spans="1:2" x14ac:dyDescent="0.25">
      <c r="A13800" t="s">
        <v>1627</v>
      </c>
      <c r="B13800" t="s">
        <v>1142</v>
      </c>
    </row>
    <row r="13801" spans="1:2" x14ac:dyDescent="0.25">
      <c r="A13801" t="s">
        <v>1627</v>
      </c>
      <c r="B13801" t="s">
        <v>1148</v>
      </c>
    </row>
    <row r="13802" spans="1:2" x14ac:dyDescent="0.25">
      <c r="A13802" t="s">
        <v>1627</v>
      </c>
      <c r="B13802" t="s">
        <v>1161</v>
      </c>
    </row>
    <row r="13803" spans="1:2" x14ac:dyDescent="0.25">
      <c r="A13803" t="s">
        <v>1627</v>
      </c>
      <c r="B13803" t="s">
        <v>1162</v>
      </c>
    </row>
    <row r="13804" spans="1:2" x14ac:dyDescent="0.25">
      <c r="A13804" t="s">
        <v>1627</v>
      </c>
      <c r="B13804" t="s">
        <v>1163</v>
      </c>
    </row>
    <row r="13805" spans="1:2" x14ac:dyDescent="0.25">
      <c r="A13805" t="s">
        <v>1627</v>
      </c>
      <c r="B13805" t="s">
        <v>1164</v>
      </c>
    </row>
    <row r="13806" spans="1:2" x14ac:dyDescent="0.25">
      <c r="A13806" t="s">
        <v>1627</v>
      </c>
      <c r="B13806" t="s">
        <v>1168</v>
      </c>
    </row>
    <row r="13807" spans="1:2" x14ac:dyDescent="0.25">
      <c r="A13807" t="s">
        <v>1627</v>
      </c>
      <c r="B13807" t="s">
        <v>1169</v>
      </c>
    </row>
    <row r="13808" spans="1:2" x14ac:dyDescent="0.25">
      <c r="A13808" t="s">
        <v>1627</v>
      </c>
      <c r="B13808" t="s">
        <v>1170</v>
      </c>
    </row>
    <row r="13809" spans="1:2" x14ac:dyDescent="0.25">
      <c r="A13809" t="s">
        <v>1627</v>
      </c>
      <c r="B13809" t="s">
        <v>1178</v>
      </c>
    </row>
    <row r="13810" spans="1:2" x14ac:dyDescent="0.25">
      <c r="A13810" t="s">
        <v>1627</v>
      </c>
      <c r="B13810" t="s">
        <v>1185</v>
      </c>
    </row>
    <row r="13811" spans="1:2" x14ac:dyDescent="0.25">
      <c r="A13811" t="s">
        <v>1627</v>
      </c>
      <c r="B13811" t="s">
        <v>1196</v>
      </c>
    </row>
    <row r="13812" spans="1:2" x14ac:dyDescent="0.25">
      <c r="A13812" t="s">
        <v>1627</v>
      </c>
      <c r="B13812" t="s">
        <v>1197</v>
      </c>
    </row>
    <row r="13813" spans="1:2" x14ac:dyDescent="0.25">
      <c r="A13813" t="s">
        <v>1627</v>
      </c>
      <c r="B13813" t="s">
        <v>1202</v>
      </c>
    </row>
    <row r="13814" spans="1:2" x14ac:dyDescent="0.25">
      <c r="A13814" t="s">
        <v>1627</v>
      </c>
      <c r="B13814" t="s">
        <v>1209</v>
      </c>
    </row>
    <row r="13815" spans="1:2" x14ac:dyDescent="0.25">
      <c r="A13815" t="s">
        <v>1627</v>
      </c>
      <c r="B13815" t="s">
        <v>1210</v>
      </c>
    </row>
    <row r="13816" spans="1:2" x14ac:dyDescent="0.25">
      <c r="A13816" t="s">
        <v>1627</v>
      </c>
      <c r="B13816" t="s">
        <v>1211</v>
      </c>
    </row>
    <row r="13817" spans="1:2" x14ac:dyDescent="0.25">
      <c r="A13817" t="s">
        <v>1627</v>
      </c>
      <c r="B13817" t="s">
        <v>1235</v>
      </c>
    </row>
    <row r="13818" spans="1:2" x14ac:dyDescent="0.25">
      <c r="A13818" t="s">
        <v>1627</v>
      </c>
      <c r="B13818" t="s">
        <v>1236</v>
      </c>
    </row>
    <row r="13819" spans="1:2" x14ac:dyDescent="0.25">
      <c r="A13819" t="s">
        <v>1627</v>
      </c>
      <c r="B13819" t="s">
        <v>1237</v>
      </c>
    </row>
    <row r="13820" spans="1:2" x14ac:dyDescent="0.25">
      <c r="A13820" t="s">
        <v>1627</v>
      </c>
      <c r="B13820" t="s">
        <v>1238</v>
      </c>
    </row>
    <row r="13821" spans="1:2" x14ac:dyDescent="0.25">
      <c r="A13821" t="s">
        <v>1627</v>
      </c>
      <c r="B13821" t="s">
        <v>1239</v>
      </c>
    </row>
    <row r="13822" spans="1:2" x14ac:dyDescent="0.25">
      <c r="A13822" t="s">
        <v>1627</v>
      </c>
      <c r="B13822" t="s">
        <v>1240</v>
      </c>
    </row>
    <row r="13823" spans="1:2" x14ac:dyDescent="0.25">
      <c r="A13823" t="s">
        <v>1627</v>
      </c>
      <c r="B13823" t="s">
        <v>1241</v>
      </c>
    </row>
    <row r="13824" spans="1:2" x14ac:dyDescent="0.25">
      <c r="A13824" t="s">
        <v>1627</v>
      </c>
      <c r="B13824" t="s">
        <v>1242</v>
      </c>
    </row>
    <row r="13825" spans="1:2" x14ac:dyDescent="0.25">
      <c r="A13825" t="s">
        <v>1627</v>
      </c>
      <c r="B13825" t="s">
        <v>1243</v>
      </c>
    </row>
    <row r="13826" spans="1:2" x14ac:dyDescent="0.25">
      <c r="A13826" t="s">
        <v>1627</v>
      </c>
      <c r="B13826" t="s">
        <v>1244</v>
      </c>
    </row>
    <row r="13827" spans="1:2" x14ac:dyDescent="0.25">
      <c r="A13827" t="s">
        <v>1627</v>
      </c>
      <c r="B13827" t="s">
        <v>1245</v>
      </c>
    </row>
    <row r="13828" spans="1:2" x14ac:dyDescent="0.25">
      <c r="A13828" t="s">
        <v>1627</v>
      </c>
      <c r="B13828" t="s">
        <v>1246</v>
      </c>
    </row>
    <row r="13829" spans="1:2" x14ac:dyDescent="0.25">
      <c r="A13829" t="s">
        <v>1627</v>
      </c>
      <c r="B13829" t="s">
        <v>1247</v>
      </c>
    </row>
    <row r="13830" spans="1:2" x14ac:dyDescent="0.25">
      <c r="A13830" t="s">
        <v>1627</v>
      </c>
      <c r="B13830" t="s">
        <v>1248</v>
      </c>
    </row>
    <row r="13831" spans="1:2" x14ac:dyDescent="0.25">
      <c r="A13831" t="s">
        <v>1627</v>
      </c>
      <c r="B13831" t="s">
        <v>1249</v>
      </c>
    </row>
    <row r="13832" spans="1:2" x14ac:dyDescent="0.25">
      <c r="A13832" t="s">
        <v>1627</v>
      </c>
      <c r="B13832" t="s">
        <v>1250</v>
      </c>
    </row>
    <row r="13833" spans="1:2" x14ac:dyDescent="0.25">
      <c r="A13833" t="s">
        <v>2101</v>
      </c>
      <c r="B13833" t="s">
        <v>1140</v>
      </c>
    </row>
    <row r="13834" spans="1:2" x14ac:dyDescent="0.25">
      <c r="A13834" t="s">
        <v>2101</v>
      </c>
      <c r="B13834" t="s">
        <v>1141</v>
      </c>
    </row>
    <row r="13835" spans="1:2" x14ac:dyDescent="0.25">
      <c r="A13835" t="s">
        <v>2101</v>
      </c>
      <c r="B13835" t="s">
        <v>1142</v>
      </c>
    </row>
    <row r="13836" spans="1:2" x14ac:dyDescent="0.25">
      <c r="A13836" t="s">
        <v>2101</v>
      </c>
      <c r="B13836" t="s">
        <v>1150</v>
      </c>
    </row>
    <row r="13837" spans="1:2" x14ac:dyDescent="0.25">
      <c r="A13837" t="s">
        <v>2101</v>
      </c>
      <c r="B13837" t="s">
        <v>1151</v>
      </c>
    </row>
    <row r="13838" spans="1:2" x14ac:dyDescent="0.25">
      <c r="A13838" t="s">
        <v>2101</v>
      </c>
      <c r="B13838" t="s">
        <v>1179</v>
      </c>
    </row>
    <row r="13839" spans="1:2" x14ac:dyDescent="0.25">
      <c r="A13839" t="s">
        <v>2101</v>
      </c>
      <c r="B13839" t="s">
        <v>1205</v>
      </c>
    </row>
    <row r="13840" spans="1:2" x14ac:dyDescent="0.25">
      <c r="A13840" t="s">
        <v>2101</v>
      </c>
      <c r="B13840" t="s">
        <v>1206</v>
      </c>
    </row>
    <row r="13841" spans="1:2" x14ac:dyDescent="0.25">
      <c r="A13841" t="s">
        <v>2101</v>
      </c>
      <c r="B13841" t="s">
        <v>1207</v>
      </c>
    </row>
    <row r="13842" spans="1:2" x14ac:dyDescent="0.25">
      <c r="A13842" t="s">
        <v>2101</v>
      </c>
      <c r="B13842" t="s">
        <v>1208</v>
      </c>
    </row>
    <row r="13843" spans="1:2" x14ac:dyDescent="0.25">
      <c r="A13843" t="s">
        <v>2101</v>
      </c>
      <c r="B13843" t="s">
        <v>1232</v>
      </c>
    </row>
    <row r="13844" spans="1:2" x14ac:dyDescent="0.25">
      <c r="A13844" t="s">
        <v>2101</v>
      </c>
      <c r="B13844" t="s">
        <v>1233</v>
      </c>
    </row>
    <row r="13845" spans="1:2" x14ac:dyDescent="0.25">
      <c r="A13845" t="s">
        <v>2101</v>
      </c>
      <c r="B13845" t="s">
        <v>1234</v>
      </c>
    </row>
    <row r="13846" spans="1:2" x14ac:dyDescent="0.25">
      <c r="A13846" t="s">
        <v>2101</v>
      </c>
      <c r="B13846" t="s">
        <v>1235</v>
      </c>
    </row>
    <row r="13847" spans="1:2" x14ac:dyDescent="0.25">
      <c r="A13847" t="s">
        <v>2101</v>
      </c>
      <c r="B13847" t="s">
        <v>1236</v>
      </c>
    </row>
    <row r="13848" spans="1:2" x14ac:dyDescent="0.25">
      <c r="A13848" t="s">
        <v>2101</v>
      </c>
      <c r="B13848" t="s">
        <v>1237</v>
      </c>
    </row>
    <row r="13849" spans="1:2" x14ac:dyDescent="0.25">
      <c r="A13849" t="s">
        <v>2101</v>
      </c>
      <c r="B13849" t="s">
        <v>1238</v>
      </c>
    </row>
    <row r="13850" spans="1:2" x14ac:dyDescent="0.25">
      <c r="A13850" t="s">
        <v>2101</v>
      </c>
      <c r="B13850" t="s">
        <v>1239</v>
      </c>
    </row>
    <row r="13851" spans="1:2" x14ac:dyDescent="0.25">
      <c r="A13851" t="s">
        <v>2101</v>
      </c>
      <c r="B13851" t="s">
        <v>1240</v>
      </c>
    </row>
    <row r="13852" spans="1:2" x14ac:dyDescent="0.25">
      <c r="A13852" t="s">
        <v>2101</v>
      </c>
      <c r="B13852" t="s">
        <v>1241</v>
      </c>
    </row>
    <row r="13853" spans="1:2" x14ac:dyDescent="0.25">
      <c r="A13853" t="s">
        <v>2101</v>
      </c>
      <c r="B13853" t="s">
        <v>1242</v>
      </c>
    </row>
    <row r="13854" spans="1:2" x14ac:dyDescent="0.25">
      <c r="A13854" t="s">
        <v>2101</v>
      </c>
      <c r="B13854" t="s">
        <v>1243</v>
      </c>
    </row>
    <row r="13855" spans="1:2" x14ac:dyDescent="0.25">
      <c r="A13855" t="s">
        <v>2101</v>
      </c>
      <c r="B13855" t="s">
        <v>1244</v>
      </c>
    </row>
    <row r="13856" spans="1:2" x14ac:dyDescent="0.25">
      <c r="A13856" t="s">
        <v>2101</v>
      </c>
      <c r="B13856" t="s">
        <v>1245</v>
      </c>
    </row>
    <row r="13857" spans="1:2" x14ac:dyDescent="0.25">
      <c r="A13857" t="s">
        <v>2101</v>
      </c>
      <c r="B13857" t="s">
        <v>1246</v>
      </c>
    </row>
    <row r="13858" spans="1:2" x14ac:dyDescent="0.25">
      <c r="A13858" t="s">
        <v>2101</v>
      </c>
      <c r="B13858" t="s">
        <v>1247</v>
      </c>
    </row>
    <row r="13859" spans="1:2" x14ac:dyDescent="0.25">
      <c r="A13859" t="s">
        <v>2101</v>
      </c>
      <c r="B13859" t="s">
        <v>1248</v>
      </c>
    </row>
    <row r="13860" spans="1:2" x14ac:dyDescent="0.25">
      <c r="A13860" t="s">
        <v>2101</v>
      </c>
      <c r="B13860" t="s">
        <v>1249</v>
      </c>
    </row>
    <row r="13861" spans="1:2" x14ac:dyDescent="0.25">
      <c r="A13861" t="s">
        <v>2101</v>
      </c>
      <c r="B13861" t="s">
        <v>1250</v>
      </c>
    </row>
    <row r="13862" spans="1:2" x14ac:dyDescent="0.25">
      <c r="A13862" t="s">
        <v>1786</v>
      </c>
      <c r="B13862" t="s">
        <v>1104</v>
      </c>
    </row>
    <row r="13863" spans="1:2" x14ac:dyDescent="0.25">
      <c r="A13863" t="s">
        <v>1786</v>
      </c>
      <c r="B13863" t="s">
        <v>1116</v>
      </c>
    </row>
    <row r="13864" spans="1:2" x14ac:dyDescent="0.25">
      <c r="A13864" t="s">
        <v>1786</v>
      </c>
      <c r="B13864" t="s">
        <v>1121</v>
      </c>
    </row>
    <row r="13865" spans="1:2" x14ac:dyDescent="0.25">
      <c r="A13865" t="s">
        <v>1786</v>
      </c>
      <c r="B13865" t="s">
        <v>1123</v>
      </c>
    </row>
    <row r="13866" spans="1:2" x14ac:dyDescent="0.25">
      <c r="A13866" t="s">
        <v>1786</v>
      </c>
      <c r="B13866" t="s">
        <v>1125</v>
      </c>
    </row>
    <row r="13867" spans="1:2" x14ac:dyDescent="0.25">
      <c r="A13867" t="s">
        <v>1786</v>
      </c>
      <c r="B13867" t="s">
        <v>1161</v>
      </c>
    </row>
    <row r="13868" spans="1:2" x14ac:dyDescent="0.25">
      <c r="A13868" t="s">
        <v>1786</v>
      </c>
      <c r="B13868" t="s">
        <v>1223</v>
      </c>
    </row>
    <row r="13869" spans="1:2" x14ac:dyDescent="0.25">
      <c r="A13869" s="11" t="s">
        <v>1425</v>
      </c>
      <c r="B13869" t="s">
        <v>1090</v>
      </c>
    </row>
    <row r="13870" spans="1:2" x14ac:dyDescent="0.25">
      <c r="A13870" s="11" t="s">
        <v>1425</v>
      </c>
      <c r="B13870" t="s">
        <v>1091</v>
      </c>
    </row>
    <row r="13871" spans="1:2" x14ac:dyDescent="0.25">
      <c r="A13871" s="13" t="s">
        <v>1425</v>
      </c>
      <c r="B13871" t="s">
        <v>1092</v>
      </c>
    </row>
    <row r="13872" spans="1:2" x14ac:dyDescent="0.25">
      <c r="A13872" t="s">
        <v>1425</v>
      </c>
      <c r="B13872" t="s">
        <v>1093</v>
      </c>
    </row>
    <row r="13873" spans="1:2" x14ac:dyDescent="0.25">
      <c r="A13873" t="s">
        <v>1425</v>
      </c>
      <c r="B13873" t="s">
        <v>1094</v>
      </c>
    </row>
    <row r="13874" spans="1:2" x14ac:dyDescent="0.25">
      <c r="A13874" t="s">
        <v>1425</v>
      </c>
      <c r="B13874" t="s">
        <v>1095</v>
      </c>
    </row>
    <row r="13875" spans="1:2" x14ac:dyDescent="0.25">
      <c r="A13875" t="s">
        <v>1425</v>
      </c>
      <c r="B13875" t="s">
        <v>1096</v>
      </c>
    </row>
    <row r="13876" spans="1:2" x14ac:dyDescent="0.25">
      <c r="A13876" t="s">
        <v>1425</v>
      </c>
      <c r="B13876" t="s">
        <v>1097</v>
      </c>
    </row>
    <row r="13877" spans="1:2" x14ac:dyDescent="0.25">
      <c r="A13877" t="s">
        <v>1425</v>
      </c>
      <c r="B13877" t="s">
        <v>1098</v>
      </c>
    </row>
    <row r="13878" spans="1:2" x14ac:dyDescent="0.25">
      <c r="A13878" t="s">
        <v>1425</v>
      </c>
      <c r="B13878" t="s">
        <v>1099</v>
      </c>
    </row>
    <row r="13879" spans="1:2" x14ac:dyDescent="0.25">
      <c r="A13879" t="s">
        <v>1425</v>
      </c>
      <c r="B13879" t="s">
        <v>1100</v>
      </c>
    </row>
    <row r="13880" spans="1:2" x14ac:dyDescent="0.25">
      <c r="A13880" t="s">
        <v>1425</v>
      </c>
      <c r="B13880" t="s">
        <v>1101</v>
      </c>
    </row>
    <row r="13881" spans="1:2" x14ac:dyDescent="0.25">
      <c r="A13881" t="s">
        <v>1425</v>
      </c>
      <c r="B13881" t="s">
        <v>1102</v>
      </c>
    </row>
    <row r="13882" spans="1:2" x14ac:dyDescent="0.25">
      <c r="A13882" t="s">
        <v>1425</v>
      </c>
      <c r="B13882" t="s">
        <v>1103</v>
      </c>
    </row>
    <row r="13883" spans="1:2" x14ac:dyDescent="0.25">
      <c r="A13883" t="s">
        <v>1425</v>
      </c>
      <c r="B13883" t="s">
        <v>1104</v>
      </c>
    </row>
    <row r="13884" spans="1:2" x14ac:dyDescent="0.25">
      <c r="A13884" t="s">
        <v>1425</v>
      </c>
      <c r="B13884" t="s">
        <v>1105</v>
      </c>
    </row>
    <row r="13885" spans="1:2" x14ac:dyDescent="0.25">
      <c r="A13885" t="s">
        <v>1425</v>
      </c>
      <c r="B13885" t="s">
        <v>1106</v>
      </c>
    </row>
    <row r="13886" spans="1:2" x14ac:dyDescent="0.25">
      <c r="A13886" t="s">
        <v>1425</v>
      </c>
      <c r="B13886" t="s">
        <v>1107</v>
      </c>
    </row>
    <row r="13887" spans="1:2" x14ac:dyDescent="0.25">
      <c r="A13887" t="s">
        <v>1425</v>
      </c>
      <c r="B13887" t="s">
        <v>1108</v>
      </c>
    </row>
    <row r="13888" spans="1:2" x14ac:dyDescent="0.25">
      <c r="A13888" t="s">
        <v>1425</v>
      </c>
      <c r="B13888" t="s">
        <v>1109</v>
      </c>
    </row>
    <row r="13889" spans="1:2" x14ac:dyDescent="0.25">
      <c r="A13889" t="s">
        <v>1425</v>
      </c>
      <c r="B13889" t="s">
        <v>1110</v>
      </c>
    </row>
    <row r="13890" spans="1:2" x14ac:dyDescent="0.25">
      <c r="A13890" t="s">
        <v>1425</v>
      </c>
      <c r="B13890" t="s">
        <v>1111</v>
      </c>
    </row>
    <row r="13891" spans="1:2" x14ac:dyDescent="0.25">
      <c r="A13891" t="s">
        <v>1425</v>
      </c>
      <c r="B13891" t="s">
        <v>1112</v>
      </c>
    </row>
    <row r="13892" spans="1:2" x14ac:dyDescent="0.25">
      <c r="A13892" t="s">
        <v>1425</v>
      </c>
      <c r="B13892" t="s">
        <v>1113</v>
      </c>
    </row>
    <row r="13893" spans="1:2" x14ac:dyDescent="0.25">
      <c r="A13893" t="s">
        <v>1425</v>
      </c>
      <c r="B13893" t="s">
        <v>1114</v>
      </c>
    </row>
    <row r="13894" spans="1:2" x14ac:dyDescent="0.25">
      <c r="A13894" t="s">
        <v>1425</v>
      </c>
      <c r="B13894" t="s">
        <v>1115</v>
      </c>
    </row>
    <row r="13895" spans="1:2" x14ac:dyDescent="0.25">
      <c r="A13895" t="s">
        <v>1425</v>
      </c>
      <c r="B13895" t="s">
        <v>1116</v>
      </c>
    </row>
    <row r="13896" spans="1:2" x14ac:dyDescent="0.25">
      <c r="A13896" t="s">
        <v>1425</v>
      </c>
      <c r="B13896" t="s">
        <v>1117</v>
      </c>
    </row>
    <row r="13897" spans="1:2" x14ac:dyDescent="0.25">
      <c r="A13897" t="s">
        <v>1425</v>
      </c>
      <c r="B13897" t="s">
        <v>1118</v>
      </c>
    </row>
    <row r="13898" spans="1:2" x14ac:dyDescent="0.25">
      <c r="A13898" t="s">
        <v>1425</v>
      </c>
      <c r="B13898" t="s">
        <v>1119</v>
      </c>
    </row>
    <row r="13899" spans="1:2" x14ac:dyDescent="0.25">
      <c r="A13899" t="s">
        <v>1425</v>
      </c>
      <c r="B13899" t="s">
        <v>1120</v>
      </c>
    </row>
    <row r="13900" spans="1:2" x14ac:dyDescent="0.25">
      <c r="A13900" t="s">
        <v>1425</v>
      </c>
      <c r="B13900" t="s">
        <v>1121</v>
      </c>
    </row>
    <row r="13901" spans="1:2" x14ac:dyDescent="0.25">
      <c r="A13901" t="s">
        <v>1425</v>
      </c>
      <c r="B13901" t="s">
        <v>1122</v>
      </c>
    </row>
    <row r="13902" spans="1:2" x14ac:dyDescent="0.25">
      <c r="A13902" t="s">
        <v>1425</v>
      </c>
      <c r="B13902" t="s">
        <v>1123</v>
      </c>
    </row>
    <row r="13903" spans="1:2" x14ac:dyDescent="0.25">
      <c r="A13903" t="s">
        <v>1425</v>
      </c>
      <c r="B13903" t="s">
        <v>1124</v>
      </c>
    </row>
    <row r="13904" spans="1:2" x14ac:dyDescent="0.25">
      <c r="A13904" t="s">
        <v>1425</v>
      </c>
      <c r="B13904" t="s">
        <v>1125</v>
      </c>
    </row>
    <row r="13905" spans="1:2" x14ac:dyDescent="0.25">
      <c r="A13905" t="s">
        <v>1425</v>
      </c>
      <c r="B13905" t="s">
        <v>1126</v>
      </c>
    </row>
    <row r="13906" spans="1:2" x14ac:dyDescent="0.25">
      <c r="A13906" t="s">
        <v>1628</v>
      </c>
      <c r="B13906" t="s">
        <v>1096</v>
      </c>
    </row>
    <row r="13907" spans="1:2" x14ac:dyDescent="0.25">
      <c r="A13907" t="s">
        <v>1628</v>
      </c>
      <c r="B13907" t="s">
        <v>1098</v>
      </c>
    </row>
    <row r="13908" spans="1:2" x14ac:dyDescent="0.25">
      <c r="A13908" t="s">
        <v>1628</v>
      </c>
      <c r="B13908" t="s">
        <v>1100</v>
      </c>
    </row>
    <row r="13909" spans="1:2" x14ac:dyDescent="0.25">
      <c r="A13909" t="s">
        <v>1628</v>
      </c>
      <c r="B13909" t="s">
        <v>1101</v>
      </c>
    </row>
    <row r="13910" spans="1:2" x14ac:dyDescent="0.25">
      <c r="A13910" t="s">
        <v>1628</v>
      </c>
      <c r="B13910" t="s">
        <v>1103</v>
      </c>
    </row>
    <row r="13911" spans="1:2" x14ac:dyDescent="0.25">
      <c r="A13911" t="s">
        <v>1628</v>
      </c>
      <c r="B13911" t="s">
        <v>1104</v>
      </c>
    </row>
    <row r="13912" spans="1:2" x14ac:dyDescent="0.25">
      <c r="A13912" t="s">
        <v>1628</v>
      </c>
      <c r="B13912" t="s">
        <v>1105</v>
      </c>
    </row>
    <row r="13913" spans="1:2" x14ac:dyDescent="0.25">
      <c r="A13913" t="s">
        <v>1628</v>
      </c>
      <c r="B13913" t="s">
        <v>1106</v>
      </c>
    </row>
    <row r="13914" spans="1:2" x14ac:dyDescent="0.25">
      <c r="A13914" t="s">
        <v>1628</v>
      </c>
      <c r="B13914" t="s">
        <v>1107</v>
      </c>
    </row>
    <row r="13915" spans="1:2" x14ac:dyDescent="0.25">
      <c r="A13915" t="s">
        <v>1628</v>
      </c>
      <c r="B13915" t="s">
        <v>1116</v>
      </c>
    </row>
    <row r="13916" spans="1:2" x14ac:dyDescent="0.25">
      <c r="A13916" t="s">
        <v>1628</v>
      </c>
      <c r="B13916" t="s">
        <v>1117</v>
      </c>
    </row>
    <row r="13917" spans="1:2" x14ac:dyDescent="0.25">
      <c r="A13917" t="s">
        <v>1628</v>
      </c>
      <c r="B13917" t="s">
        <v>1118</v>
      </c>
    </row>
    <row r="13918" spans="1:2" x14ac:dyDescent="0.25">
      <c r="A13918" t="s">
        <v>1628</v>
      </c>
      <c r="B13918" t="s">
        <v>1119</v>
      </c>
    </row>
    <row r="13919" spans="1:2" x14ac:dyDescent="0.25">
      <c r="A13919" t="s">
        <v>1628</v>
      </c>
      <c r="B13919" t="s">
        <v>1120</v>
      </c>
    </row>
    <row r="13920" spans="1:2" x14ac:dyDescent="0.25">
      <c r="A13920" t="s">
        <v>1628</v>
      </c>
      <c r="B13920" t="s">
        <v>1121</v>
      </c>
    </row>
    <row r="13921" spans="1:2" x14ac:dyDescent="0.25">
      <c r="A13921" t="s">
        <v>1628</v>
      </c>
      <c r="B13921" t="s">
        <v>1123</v>
      </c>
    </row>
    <row r="13922" spans="1:2" x14ac:dyDescent="0.25">
      <c r="A13922" t="s">
        <v>1628</v>
      </c>
      <c r="B13922" t="s">
        <v>1124</v>
      </c>
    </row>
    <row r="13923" spans="1:2" x14ac:dyDescent="0.25">
      <c r="A13923" t="s">
        <v>1628</v>
      </c>
      <c r="B13923" t="s">
        <v>1125</v>
      </c>
    </row>
    <row r="13924" spans="1:2" x14ac:dyDescent="0.25">
      <c r="A13924" t="s">
        <v>1628</v>
      </c>
      <c r="B13924" t="s">
        <v>1126</v>
      </c>
    </row>
    <row r="13925" spans="1:2" x14ac:dyDescent="0.25">
      <c r="A13925" t="s">
        <v>1628</v>
      </c>
      <c r="B13925" t="s">
        <v>1142</v>
      </c>
    </row>
    <row r="13926" spans="1:2" x14ac:dyDescent="0.25">
      <c r="A13926" t="s">
        <v>1628</v>
      </c>
      <c r="B13926" t="s">
        <v>1148</v>
      </c>
    </row>
    <row r="13927" spans="1:2" x14ac:dyDescent="0.25">
      <c r="A13927" t="s">
        <v>1628</v>
      </c>
      <c r="B13927" t="s">
        <v>1161</v>
      </c>
    </row>
    <row r="13928" spans="1:2" x14ac:dyDescent="0.25">
      <c r="A13928" t="s">
        <v>1628</v>
      </c>
      <c r="B13928" t="s">
        <v>1162</v>
      </c>
    </row>
    <row r="13929" spans="1:2" x14ac:dyDescent="0.25">
      <c r="A13929" t="s">
        <v>1628</v>
      </c>
      <c r="B13929" t="s">
        <v>1163</v>
      </c>
    </row>
    <row r="13930" spans="1:2" x14ac:dyDescent="0.25">
      <c r="A13930" t="s">
        <v>1628</v>
      </c>
      <c r="B13930" t="s">
        <v>1164</v>
      </c>
    </row>
    <row r="13931" spans="1:2" x14ac:dyDescent="0.25">
      <c r="A13931" t="s">
        <v>1628</v>
      </c>
      <c r="B13931" t="s">
        <v>1168</v>
      </c>
    </row>
    <row r="13932" spans="1:2" x14ac:dyDescent="0.25">
      <c r="A13932" t="s">
        <v>1628</v>
      </c>
      <c r="B13932" t="s">
        <v>1169</v>
      </c>
    </row>
    <row r="13933" spans="1:2" x14ac:dyDescent="0.25">
      <c r="A13933" t="s">
        <v>1628</v>
      </c>
      <c r="B13933" t="s">
        <v>1170</v>
      </c>
    </row>
    <row r="13934" spans="1:2" x14ac:dyDescent="0.25">
      <c r="A13934" t="s">
        <v>1628</v>
      </c>
      <c r="B13934" t="s">
        <v>1178</v>
      </c>
    </row>
    <row r="13935" spans="1:2" x14ac:dyDescent="0.25">
      <c r="A13935" t="s">
        <v>1628</v>
      </c>
      <c r="B13935" t="s">
        <v>1185</v>
      </c>
    </row>
    <row r="13936" spans="1:2" x14ac:dyDescent="0.25">
      <c r="A13936" t="s">
        <v>1628</v>
      </c>
      <c r="B13936" t="s">
        <v>1196</v>
      </c>
    </row>
    <row r="13937" spans="1:2" x14ac:dyDescent="0.25">
      <c r="A13937" t="s">
        <v>1628</v>
      </c>
      <c r="B13937" t="s">
        <v>1197</v>
      </c>
    </row>
    <row r="13938" spans="1:2" x14ac:dyDescent="0.25">
      <c r="A13938" t="s">
        <v>1628</v>
      </c>
      <c r="B13938" t="s">
        <v>1202</v>
      </c>
    </row>
    <row r="13939" spans="1:2" x14ac:dyDescent="0.25">
      <c r="A13939" t="s">
        <v>1628</v>
      </c>
      <c r="B13939" t="s">
        <v>1209</v>
      </c>
    </row>
    <row r="13940" spans="1:2" x14ac:dyDescent="0.25">
      <c r="A13940" t="s">
        <v>1628</v>
      </c>
      <c r="B13940" t="s">
        <v>1210</v>
      </c>
    </row>
    <row r="13941" spans="1:2" x14ac:dyDescent="0.25">
      <c r="A13941" t="s">
        <v>1628</v>
      </c>
      <c r="B13941" t="s">
        <v>1211</v>
      </c>
    </row>
    <row r="13942" spans="1:2" x14ac:dyDescent="0.25">
      <c r="A13942" t="s">
        <v>1628</v>
      </c>
      <c r="B13942" t="s">
        <v>1223</v>
      </c>
    </row>
    <row r="13943" spans="1:2" x14ac:dyDescent="0.25">
      <c r="A13943" t="s">
        <v>1628</v>
      </c>
      <c r="B13943" t="s">
        <v>1235</v>
      </c>
    </row>
    <row r="13944" spans="1:2" x14ac:dyDescent="0.25">
      <c r="A13944" t="s">
        <v>1628</v>
      </c>
      <c r="B13944" t="s">
        <v>1236</v>
      </c>
    </row>
    <row r="13945" spans="1:2" x14ac:dyDescent="0.25">
      <c r="A13945" t="s">
        <v>1628</v>
      </c>
      <c r="B13945" t="s">
        <v>1237</v>
      </c>
    </row>
    <row r="13946" spans="1:2" x14ac:dyDescent="0.25">
      <c r="A13946" t="s">
        <v>1628</v>
      </c>
      <c r="B13946" t="s">
        <v>1238</v>
      </c>
    </row>
    <row r="13947" spans="1:2" x14ac:dyDescent="0.25">
      <c r="A13947" t="s">
        <v>1628</v>
      </c>
      <c r="B13947" t="s">
        <v>1239</v>
      </c>
    </row>
    <row r="13948" spans="1:2" x14ac:dyDescent="0.25">
      <c r="A13948" t="s">
        <v>1628</v>
      </c>
      <c r="B13948" t="s">
        <v>1240</v>
      </c>
    </row>
    <row r="13949" spans="1:2" x14ac:dyDescent="0.25">
      <c r="A13949" t="s">
        <v>1628</v>
      </c>
      <c r="B13949" t="s">
        <v>1241</v>
      </c>
    </row>
    <row r="13950" spans="1:2" x14ac:dyDescent="0.25">
      <c r="A13950" t="s">
        <v>1628</v>
      </c>
      <c r="B13950" t="s">
        <v>1242</v>
      </c>
    </row>
    <row r="13951" spans="1:2" x14ac:dyDescent="0.25">
      <c r="A13951" t="s">
        <v>1628</v>
      </c>
      <c r="B13951" t="s">
        <v>1243</v>
      </c>
    </row>
    <row r="13952" spans="1:2" x14ac:dyDescent="0.25">
      <c r="A13952" t="s">
        <v>1628</v>
      </c>
      <c r="B13952" t="s">
        <v>1244</v>
      </c>
    </row>
    <row r="13953" spans="1:2" x14ac:dyDescent="0.25">
      <c r="A13953" t="s">
        <v>1628</v>
      </c>
      <c r="B13953" t="s">
        <v>1245</v>
      </c>
    </row>
    <row r="13954" spans="1:2" x14ac:dyDescent="0.25">
      <c r="A13954" t="s">
        <v>1628</v>
      </c>
      <c r="B13954" t="s">
        <v>1246</v>
      </c>
    </row>
    <row r="13955" spans="1:2" x14ac:dyDescent="0.25">
      <c r="A13955" t="s">
        <v>1628</v>
      </c>
      <c r="B13955" t="s">
        <v>1247</v>
      </c>
    </row>
    <row r="13956" spans="1:2" x14ac:dyDescent="0.25">
      <c r="A13956" t="s">
        <v>1628</v>
      </c>
      <c r="B13956" t="s">
        <v>1248</v>
      </c>
    </row>
    <row r="13957" spans="1:2" x14ac:dyDescent="0.25">
      <c r="A13957" t="s">
        <v>1628</v>
      </c>
      <c r="B13957" t="s">
        <v>1249</v>
      </c>
    </row>
    <row r="13958" spans="1:2" x14ac:dyDescent="0.25">
      <c r="A13958" t="s">
        <v>1628</v>
      </c>
      <c r="B13958" t="s">
        <v>1250</v>
      </c>
    </row>
    <row r="13959" spans="1:2" x14ac:dyDescent="0.25">
      <c r="A13959" s="11" t="s">
        <v>1426</v>
      </c>
      <c r="B13959" t="s">
        <v>1090</v>
      </c>
    </row>
    <row r="13960" spans="1:2" x14ac:dyDescent="0.25">
      <c r="A13960" s="11" t="s">
        <v>1426</v>
      </c>
      <c r="B13960" t="s">
        <v>1091</v>
      </c>
    </row>
    <row r="13961" spans="1:2" x14ac:dyDescent="0.25">
      <c r="A13961" s="13" t="s">
        <v>1426</v>
      </c>
      <c r="B13961" t="s">
        <v>1092</v>
      </c>
    </row>
    <row r="13962" spans="1:2" x14ac:dyDescent="0.25">
      <c r="A13962" t="s">
        <v>1426</v>
      </c>
      <c r="B13962" t="s">
        <v>1093</v>
      </c>
    </row>
    <row r="13963" spans="1:2" x14ac:dyDescent="0.25">
      <c r="A13963" t="s">
        <v>1426</v>
      </c>
      <c r="B13963" t="s">
        <v>1094</v>
      </c>
    </row>
    <row r="13964" spans="1:2" x14ac:dyDescent="0.25">
      <c r="A13964" t="s">
        <v>1426</v>
      </c>
      <c r="B13964" t="s">
        <v>1095</v>
      </c>
    </row>
    <row r="13965" spans="1:2" x14ac:dyDescent="0.25">
      <c r="A13965" t="s">
        <v>1426</v>
      </c>
      <c r="B13965" t="s">
        <v>1096</v>
      </c>
    </row>
    <row r="13966" spans="1:2" x14ac:dyDescent="0.25">
      <c r="A13966" t="s">
        <v>1426</v>
      </c>
      <c r="B13966" t="s">
        <v>1097</v>
      </c>
    </row>
    <row r="13967" spans="1:2" x14ac:dyDescent="0.25">
      <c r="A13967" t="s">
        <v>1426</v>
      </c>
      <c r="B13967" t="s">
        <v>1098</v>
      </c>
    </row>
    <row r="13968" spans="1:2" x14ac:dyDescent="0.25">
      <c r="A13968" t="s">
        <v>1426</v>
      </c>
      <c r="B13968" t="s">
        <v>1099</v>
      </c>
    </row>
    <row r="13969" spans="1:2" x14ac:dyDescent="0.25">
      <c r="A13969" t="s">
        <v>1426</v>
      </c>
      <c r="B13969" t="s">
        <v>1100</v>
      </c>
    </row>
    <row r="13970" spans="1:2" x14ac:dyDescent="0.25">
      <c r="A13970" t="s">
        <v>1426</v>
      </c>
      <c r="B13970" t="s">
        <v>1101</v>
      </c>
    </row>
    <row r="13971" spans="1:2" x14ac:dyDescent="0.25">
      <c r="A13971" t="s">
        <v>1426</v>
      </c>
      <c r="B13971" t="s">
        <v>1102</v>
      </c>
    </row>
    <row r="13972" spans="1:2" x14ac:dyDescent="0.25">
      <c r="A13972" t="s">
        <v>1426</v>
      </c>
      <c r="B13972" t="s">
        <v>1102</v>
      </c>
    </row>
    <row r="13973" spans="1:2" x14ac:dyDescent="0.25">
      <c r="A13973" t="s">
        <v>1426</v>
      </c>
      <c r="B13973" t="s">
        <v>1103</v>
      </c>
    </row>
    <row r="13974" spans="1:2" x14ac:dyDescent="0.25">
      <c r="A13974" t="s">
        <v>1426</v>
      </c>
      <c r="B13974" t="s">
        <v>1104</v>
      </c>
    </row>
    <row r="13975" spans="1:2" x14ac:dyDescent="0.25">
      <c r="A13975" t="s">
        <v>1426</v>
      </c>
      <c r="B13975" t="s">
        <v>1104</v>
      </c>
    </row>
    <row r="13976" spans="1:2" x14ac:dyDescent="0.25">
      <c r="A13976" t="s">
        <v>1426</v>
      </c>
      <c r="B13976" t="s">
        <v>1105</v>
      </c>
    </row>
    <row r="13977" spans="1:2" x14ac:dyDescent="0.25">
      <c r="A13977" t="s">
        <v>1426</v>
      </c>
      <c r="B13977" t="s">
        <v>1106</v>
      </c>
    </row>
    <row r="13978" spans="1:2" x14ac:dyDescent="0.25">
      <c r="A13978" t="s">
        <v>1426</v>
      </c>
      <c r="B13978" t="s">
        <v>1107</v>
      </c>
    </row>
    <row r="13979" spans="1:2" x14ac:dyDescent="0.25">
      <c r="A13979" t="s">
        <v>1426</v>
      </c>
      <c r="B13979" t="s">
        <v>1108</v>
      </c>
    </row>
    <row r="13980" spans="1:2" x14ac:dyDescent="0.25">
      <c r="A13980" t="s">
        <v>1426</v>
      </c>
      <c r="B13980" t="s">
        <v>1109</v>
      </c>
    </row>
    <row r="13981" spans="1:2" x14ac:dyDescent="0.25">
      <c r="A13981" t="s">
        <v>1426</v>
      </c>
      <c r="B13981" t="s">
        <v>1110</v>
      </c>
    </row>
    <row r="13982" spans="1:2" x14ac:dyDescent="0.25">
      <c r="A13982" t="s">
        <v>1426</v>
      </c>
      <c r="B13982" t="s">
        <v>1111</v>
      </c>
    </row>
    <row r="13983" spans="1:2" x14ac:dyDescent="0.25">
      <c r="A13983" t="s">
        <v>1426</v>
      </c>
      <c r="B13983" t="s">
        <v>1112</v>
      </c>
    </row>
    <row r="13984" spans="1:2" x14ac:dyDescent="0.25">
      <c r="A13984" t="s">
        <v>1426</v>
      </c>
      <c r="B13984" t="s">
        <v>1113</v>
      </c>
    </row>
    <row r="13985" spans="1:2" x14ac:dyDescent="0.25">
      <c r="A13985" t="s">
        <v>1426</v>
      </c>
      <c r="B13985" t="s">
        <v>1114</v>
      </c>
    </row>
    <row r="13986" spans="1:2" x14ac:dyDescent="0.25">
      <c r="A13986" t="s">
        <v>1426</v>
      </c>
      <c r="B13986" t="s">
        <v>1115</v>
      </c>
    </row>
    <row r="13987" spans="1:2" x14ac:dyDescent="0.25">
      <c r="A13987" t="s">
        <v>1426</v>
      </c>
      <c r="B13987" t="s">
        <v>1116</v>
      </c>
    </row>
    <row r="13988" spans="1:2" x14ac:dyDescent="0.25">
      <c r="A13988" t="s">
        <v>1426</v>
      </c>
      <c r="B13988" t="s">
        <v>1116</v>
      </c>
    </row>
    <row r="13989" spans="1:2" x14ac:dyDescent="0.25">
      <c r="A13989" t="s">
        <v>1426</v>
      </c>
      <c r="B13989" t="s">
        <v>1117</v>
      </c>
    </row>
    <row r="13990" spans="1:2" x14ac:dyDescent="0.25">
      <c r="A13990" t="s">
        <v>1426</v>
      </c>
      <c r="B13990" t="s">
        <v>1118</v>
      </c>
    </row>
    <row r="13991" spans="1:2" x14ac:dyDescent="0.25">
      <c r="A13991" t="s">
        <v>1426</v>
      </c>
      <c r="B13991" t="s">
        <v>1119</v>
      </c>
    </row>
    <row r="13992" spans="1:2" x14ac:dyDescent="0.25">
      <c r="A13992" t="s">
        <v>1426</v>
      </c>
      <c r="B13992" t="s">
        <v>1120</v>
      </c>
    </row>
    <row r="13993" spans="1:2" x14ac:dyDescent="0.25">
      <c r="A13993" t="s">
        <v>1426</v>
      </c>
      <c r="B13993" t="s">
        <v>1121</v>
      </c>
    </row>
    <row r="13994" spans="1:2" x14ac:dyDescent="0.25">
      <c r="A13994" t="s">
        <v>1426</v>
      </c>
      <c r="B13994" t="s">
        <v>1121</v>
      </c>
    </row>
    <row r="13995" spans="1:2" x14ac:dyDescent="0.25">
      <c r="A13995" t="s">
        <v>1426</v>
      </c>
      <c r="B13995" t="s">
        <v>1122</v>
      </c>
    </row>
    <row r="13996" spans="1:2" x14ac:dyDescent="0.25">
      <c r="A13996" t="s">
        <v>1426</v>
      </c>
      <c r="B13996" t="s">
        <v>1122</v>
      </c>
    </row>
    <row r="13997" spans="1:2" x14ac:dyDescent="0.25">
      <c r="A13997" t="s">
        <v>1426</v>
      </c>
      <c r="B13997" t="s">
        <v>1123</v>
      </c>
    </row>
    <row r="13998" spans="1:2" x14ac:dyDescent="0.25">
      <c r="A13998" t="s">
        <v>1426</v>
      </c>
      <c r="B13998" t="s">
        <v>1123</v>
      </c>
    </row>
    <row r="13999" spans="1:2" x14ac:dyDescent="0.25">
      <c r="A13999" t="s">
        <v>1426</v>
      </c>
      <c r="B13999" t="s">
        <v>1124</v>
      </c>
    </row>
    <row r="14000" spans="1:2" x14ac:dyDescent="0.25">
      <c r="A14000" t="s">
        <v>1426</v>
      </c>
      <c r="B14000" t="s">
        <v>1125</v>
      </c>
    </row>
    <row r="14001" spans="1:2" x14ac:dyDescent="0.25">
      <c r="A14001" t="s">
        <v>1426</v>
      </c>
      <c r="B14001" t="s">
        <v>1126</v>
      </c>
    </row>
    <row r="14002" spans="1:2" x14ac:dyDescent="0.25">
      <c r="A14002" t="s">
        <v>1426</v>
      </c>
      <c r="B14002" t="s">
        <v>1161</v>
      </c>
    </row>
    <row r="14003" spans="1:2" x14ac:dyDescent="0.25">
      <c r="A14003" t="s">
        <v>2158</v>
      </c>
      <c r="B14003" t="s">
        <v>1149</v>
      </c>
    </row>
    <row r="14004" spans="1:2" x14ac:dyDescent="0.25">
      <c r="A14004" t="s">
        <v>2158</v>
      </c>
      <c r="B14004" t="s">
        <v>1177</v>
      </c>
    </row>
    <row r="14005" spans="1:2" x14ac:dyDescent="0.25">
      <c r="A14005" t="s">
        <v>2158</v>
      </c>
      <c r="B14005" t="s">
        <v>1178</v>
      </c>
    </row>
    <row r="14006" spans="1:2" x14ac:dyDescent="0.25">
      <c r="A14006" t="s">
        <v>2158</v>
      </c>
      <c r="B14006" t="s">
        <v>1184</v>
      </c>
    </row>
    <row r="14007" spans="1:2" x14ac:dyDescent="0.25">
      <c r="A14007" t="s">
        <v>2158</v>
      </c>
      <c r="B14007" t="s">
        <v>1204</v>
      </c>
    </row>
    <row r="14008" spans="1:2" x14ac:dyDescent="0.25">
      <c r="A14008" t="s">
        <v>2158</v>
      </c>
      <c r="B14008" t="s">
        <v>1218</v>
      </c>
    </row>
    <row r="14009" spans="1:2" x14ac:dyDescent="0.25">
      <c r="A14009" t="s">
        <v>2158</v>
      </c>
      <c r="B14009" t="s">
        <v>1219</v>
      </c>
    </row>
    <row r="14010" spans="1:2" x14ac:dyDescent="0.25">
      <c r="A14010" t="s">
        <v>2158</v>
      </c>
      <c r="B14010" t="s">
        <v>1220</v>
      </c>
    </row>
    <row r="14011" spans="1:2" x14ac:dyDescent="0.25">
      <c r="A14011" t="s">
        <v>2158</v>
      </c>
      <c r="B14011" t="s">
        <v>1228</v>
      </c>
    </row>
    <row r="14012" spans="1:2" x14ac:dyDescent="0.25">
      <c r="A14012" t="s">
        <v>2158</v>
      </c>
      <c r="B14012" t="s">
        <v>1229</v>
      </c>
    </row>
    <row r="14013" spans="1:2" x14ac:dyDescent="0.25">
      <c r="A14013" t="s">
        <v>2158</v>
      </c>
      <c r="B14013" t="s">
        <v>1230</v>
      </c>
    </row>
    <row r="14014" spans="1:2" x14ac:dyDescent="0.25">
      <c r="A14014" t="s">
        <v>2158</v>
      </c>
      <c r="B14014" t="s">
        <v>1231</v>
      </c>
    </row>
    <row r="14015" spans="1:2" x14ac:dyDescent="0.25">
      <c r="A14015" t="s">
        <v>2158</v>
      </c>
      <c r="B14015" t="s">
        <v>1253</v>
      </c>
    </row>
    <row r="14016" spans="1:2" x14ac:dyDescent="0.25">
      <c r="A14016" t="s">
        <v>2098</v>
      </c>
      <c r="B14016" t="s">
        <v>1140</v>
      </c>
    </row>
    <row r="14017" spans="1:2" x14ac:dyDescent="0.25">
      <c r="A14017" t="s">
        <v>2098</v>
      </c>
      <c r="B14017" t="s">
        <v>1141</v>
      </c>
    </row>
    <row r="14018" spans="1:2" x14ac:dyDescent="0.25">
      <c r="A14018" t="s">
        <v>2098</v>
      </c>
      <c r="B14018" t="s">
        <v>1142</v>
      </c>
    </row>
    <row r="14019" spans="1:2" x14ac:dyDescent="0.25">
      <c r="A14019" t="s">
        <v>2098</v>
      </c>
      <c r="B14019" t="s">
        <v>1150</v>
      </c>
    </row>
    <row r="14020" spans="1:2" x14ac:dyDescent="0.25">
      <c r="A14020" t="s">
        <v>2098</v>
      </c>
      <c r="B14020" t="s">
        <v>1151</v>
      </c>
    </row>
    <row r="14021" spans="1:2" x14ac:dyDescent="0.25">
      <c r="A14021" t="s">
        <v>2098</v>
      </c>
      <c r="B14021" t="s">
        <v>1177</v>
      </c>
    </row>
    <row r="14022" spans="1:2" x14ac:dyDescent="0.25">
      <c r="A14022" t="s">
        <v>2098</v>
      </c>
      <c r="B14022" t="s">
        <v>1178</v>
      </c>
    </row>
    <row r="14023" spans="1:2" x14ac:dyDescent="0.25">
      <c r="A14023" t="s">
        <v>2098</v>
      </c>
      <c r="B14023" t="s">
        <v>1179</v>
      </c>
    </row>
    <row r="14024" spans="1:2" x14ac:dyDescent="0.25">
      <c r="A14024" t="s">
        <v>2098</v>
      </c>
      <c r="B14024" t="s">
        <v>1205</v>
      </c>
    </row>
    <row r="14025" spans="1:2" x14ac:dyDescent="0.25">
      <c r="A14025" t="s">
        <v>2098</v>
      </c>
      <c r="B14025" t="s">
        <v>1206</v>
      </c>
    </row>
    <row r="14026" spans="1:2" x14ac:dyDescent="0.25">
      <c r="A14026" t="s">
        <v>2098</v>
      </c>
      <c r="B14026" t="s">
        <v>1207</v>
      </c>
    </row>
    <row r="14027" spans="1:2" x14ac:dyDescent="0.25">
      <c r="A14027" t="s">
        <v>2098</v>
      </c>
      <c r="B14027" t="s">
        <v>1208</v>
      </c>
    </row>
    <row r="14028" spans="1:2" x14ac:dyDescent="0.25">
      <c r="A14028" t="s">
        <v>2098</v>
      </c>
      <c r="B14028" t="s">
        <v>1220</v>
      </c>
    </row>
    <row r="14029" spans="1:2" x14ac:dyDescent="0.25">
      <c r="A14029" t="s">
        <v>2098</v>
      </c>
      <c r="B14029" t="s">
        <v>1229</v>
      </c>
    </row>
    <row r="14030" spans="1:2" x14ac:dyDescent="0.25">
      <c r="A14030" t="s">
        <v>2098</v>
      </c>
      <c r="B14030" t="s">
        <v>1232</v>
      </c>
    </row>
    <row r="14031" spans="1:2" x14ac:dyDescent="0.25">
      <c r="A14031" t="s">
        <v>2098</v>
      </c>
      <c r="B14031" t="s">
        <v>1233</v>
      </c>
    </row>
    <row r="14032" spans="1:2" x14ac:dyDescent="0.25">
      <c r="A14032" t="s">
        <v>2098</v>
      </c>
      <c r="B14032" t="s">
        <v>1234</v>
      </c>
    </row>
    <row r="14033" spans="1:2" x14ac:dyDescent="0.25">
      <c r="A14033" t="s">
        <v>2098</v>
      </c>
      <c r="B14033" t="s">
        <v>1235</v>
      </c>
    </row>
    <row r="14034" spans="1:2" x14ac:dyDescent="0.25">
      <c r="A14034" t="s">
        <v>2098</v>
      </c>
      <c r="B14034" t="s">
        <v>1236</v>
      </c>
    </row>
    <row r="14035" spans="1:2" x14ac:dyDescent="0.25">
      <c r="A14035" t="s">
        <v>2098</v>
      </c>
      <c r="B14035" t="s">
        <v>1237</v>
      </c>
    </row>
    <row r="14036" spans="1:2" x14ac:dyDescent="0.25">
      <c r="A14036" t="s">
        <v>2098</v>
      </c>
      <c r="B14036" t="s">
        <v>1238</v>
      </c>
    </row>
    <row r="14037" spans="1:2" x14ac:dyDescent="0.25">
      <c r="A14037" t="s">
        <v>2098</v>
      </c>
      <c r="B14037" t="s">
        <v>1239</v>
      </c>
    </row>
    <row r="14038" spans="1:2" x14ac:dyDescent="0.25">
      <c r="A14038" t="s">
        <v>2098</v>
      </c>
      <c r="B14038" t="s">
        <v>1240</v>
      </c>
    </row>
    <row r="14039" spans="1:2" x14ac:dyDescent="0.25">
      <c r="A14039" t="s">
        <v>2098</v>
      </c>
      <c r="B14039" t="s">
        <v>1241</v>
      </c>
    </row>
    <row r="14040" spans="1:2" x14ac:dyDescent="0.25">
      <c r="A14040" t="s">
        <v>2098</v>
      </c>
      <c r="B14040" t="s">
        <v>1242</v>
      </c>
    </row>
    <row r="14041" spans="1:2" x14ac:dyDescent="0.25">
      <c r="A14041" t="s">
        <v>2098</v>
      </c>
      <c r="B14041" t="s">
        <v>1243</v>
      </c>
    </row>
    <row r="14042" spans="1:2" x14ac:dyDescent="0.25">
      <c r="A14042" t="s">
        <v>2098</v>
      </c>
      <c r="B14042" t="s">
        <v>1244</v>
      </c>
    </row>
    <row r="14043" spans="1:2" x14ac:dyDescent="0.25">
      <c r="A14043" t="s">
        <v>2098</v>
      </c>
      <c r="B14043" t="s">
        <v>1245</v>
      </c>
    </row>
    <row r="14044" spans="1:2" x14ac:dyDescent="0.25">
      <c r="A14044" t="s">
        <v>2098</v>
      </c>
      <c r="B14044" t="s">
        <v>1246</v>
      </c>
    </row>
    <row r="14045" spans="1:2" x14ac:dyDescent="0.25">
      <c r="A14045" t="s">
        <v>2098</v>
      </c>
      <c r="B14045" t="s">
        <v>1247</v>
      </c>
    </row>
    <row r="14046" spans="1:2" x14ac:dyDescent="0.25">
      <c r="A14046" t="s">
        <v>2098</v>
      </c>
      <c r="B14046" t="s">
        <v>1248</v>
      </c>
    </row>
    <row r="14047" spans="1:2" x14ac:dyDescent="0.25">
      <c r="A14047" t="s">
        <v>2098</v>
      </c>
      <c r="B14047" t="s">
        <v>1249</v>
      </c>
    </row>
    <row r="14048" spans="1:2" x14ac:dyDescent="0.25">
      <c r="A14048" t="s">
        <v>2098</v>
      </c>
      <c r="B14048" t="s">
        <v>1250</v>
      </c>
    </row>
    <row r="14049" spans="1:2" x14ac:dyDescent="0.25">
      <c r="A14049" t="s">
        <v>2100</v>
      </c>
      <c r="B14049" t="s">
        <v>1140</v>
      </c>
    </row>
    <row r="14050" spans="1:2" x14ac:dyDescent="0.25">
      <c r="A14050" t="s">
        <v>2100</v>
      </c>
      <c r="B14050" t="s">
        <v>1141</v>
      </c>
    </row>
    <row r="14051" spans="1:2" x14ac:dyDescent="0.25">
      <c r="A14051" t="s">
        <v>2100</v>
      </c>
      <c r="B14051" t="s">
        <v>1142</v>
      </c>
    </row>
    <row r="14052" spans="1:2" x14ac:dyDescent="0.25">
      <c r="A14052" t="s">
        <v>2100</v>
      </c>
      <c r="B14052" t="s">
        <v>1150</v>
      </c>
    </row>
    <row r="14053" spans="1:2" x14ac:dyDescent="0.25">
      <c r="A14053" t="s">
        <v>2100</v>
      </c>
      <c r="B14053" t="s">
        <v>1151</v>
      </c>
    </row>
    <row r="14054" spans="1:2" x14ac:dyDescent="0.25">
      <c r="A14054" t="s">
        <v>2100</v>
      </c>
      <c r="B14054" t="s">
        <v>1177</v>
      </c>
    </row>
    <row r="14055" spans="1:2" x14ac:dyDescent="0.25">
      <c r="A14055" t="s">
        <v>2100</v>
      </c>
      <c r="B14055" t="s">
        <v>1179</v>
      </c>
    </row>
    <row r="14056" spans="1:2" x14ac:dyDescent="0.25">
      <c r="A14056" t="s">
        <v>2100</v>
      </c>
      <c r="B14056" t="s">
        <v>1205</v>
      </c>
    </row>
    <row r="14057" spans="1:2" x14ac:dyDescent="0.25">
      <c r="A14057" t="s">
        <v>2100</v>
      </c>
      <c r="B14057" t="s">
        <v>1206</v>
      </c>
    </row>
    <row r="14058" spans="1:2" x14ac:dyDescent="0.25">
      <c r="A14058" t="s">
        <v>2100</v>
      </c>
      <c r="B14058" t="s">
        <v>1207</v>
      </c>
    </row>
    <row r="14059" spans="1:2" x14ac:dyDescent="0.25">
      <c r="A14059" t="s">
        <v>2100</v>
      </c>
      <c r="B14059" t="s">
        <v>1208</v>
      </c>
    </row>
    <row r="14060" spans="1:2" x14ac:dyDescent="0.25">
      <c r="A14060" t="s">
        <v>2100</v>
      </c>
      <c r="B14060" t="s">
        <v>1220</v>
      </c>
    </row>
    <row r="14061" spans="1:2" x14ac:dyDescent="0.25">
      <c r="A14061" t="s">
        <v>2100</v>
      </c>
      <c r="B14061" t="s">
        <v>1229</v>
      </c>
    </row>
    <row r="14062" spans="1:2" x14ac:dyDescent="0.25">
      <c r="A14062" t="s">
        <v>2100</v>
      </c>
      <c r="B14062" t="s">
        <v>1232</v>
      </c>
    </row>
    <row r="14063" spans="1:2" x14ac:dyDescent="0.25">
      <c r="A14063" t="s">
        <v>2100</v>
      </c>
      <c r="B14063" t="s">
        <v>1233</v>
      </c>
    </row>
    <row r="14064" spans="1:2" x14ac:dyDescent="0.25">
      <c r="A14064" t="s">
        <v>2100</v>
      </c>
      <c r="B14064" t="s">
        <v>1234</v>
      </c>
    </row>
    <row r="14065" spans="1:2" x14ac:dyDescent="0.25">
      <c r="A14065" t="s">
        <v>2100</v>
      </c>
      <c r="B14065" t="s">
        <v>1235</v>
      </c>
    </row>
    <row r="14066" spans="1:2" x14ac:dyDescent="0.25">
      <c r="A14066" t="s">
        <v>2100</v>
      </c>
      <c r="B14066" t="s">
        <v>1236</v>
      </c>
    </row>
    <row r="14067" spans="1:2" x14ac:dyDescent="0.25">
      <c r="A14067" t="s">
        <v>2100</v>
      </c>
      <c r="B14067" t="s">
        <v>1237</v>
      </c>
    </row>
    <row r="14068" spans="1:2" x14ac:dyDescent="0.25">
      <c r="A14068" t="s">
        <v>2100</v>
      </c>
      <c r="B14068" t="s">
        <v>1238</v>
      </c>
    </row>
    <row r="14069" spans="1:2" x14ac:dyDescent="0.25">
      <c r="A14069" t="s">
        <v>2100</v>
      </c>
      <c r="B14069" t="s">
        <v>1239</v>
      </c>
    </row>
    <row r="14070" spans="1:2" x14ac:dyDescent="0.25">
      <c r="A14070" t="s">
        <v>2100</v>
      </c>
      <c r="B14070" t="s">
        <v>1240</v>
      </c>
    </row>
    <row r="14071" spans="1:2" x14ac:dyDescent="0.25">
      <c r="A14071" t="s">
        <v>2100</v>
      </c>
      <c r="B14071" t="s">
        <v>1241</v>
      </c>
    </row>
    <row r="14072" spans="1:2" x14ac:dyDescent="0.25">
      <c r="A14072" t="s">
        <v>2100</v>
      </c>
      <c r="B14072" t="s">
        <v>1242</v>
      </c>
    </row>
    <row r="14073" spans="1:2" x14ac:dyDescent="0.25">
      <c r="A14073" t="s">
        <v>2100</v>
      </c>
      <c r="B14073" t="s">
        <v>1243</v>
      </c>
    </row>
    <row r="14074" spans="1:2" x14ac:dyDescent="0.25">
      <c r="A14074" t="s">
        <v>2100</v>
      </c>
      <c r="B14074" t="s">
        <v>1244</v>
      </c>
    </row>
    <row r="14075" spans="1:2" x14ac:dyDescent="0.25">
      <c r="A14075" t="s">
        <v>2100</v>
      </c>
      <c r="B14075" t="s">
        <v>1245</v>
      </c>
    </row>
    <row r="14076" spans="1:2" x14ac:dyDescent="0.25">
      <c r="A14076" t="s">
        <v>2100</v>
      </c>
      <c r="B14076" t="s">
        <v>1246</v>
      </c>
    </row>
    <row r="14077" spans="1:2" x14ac:dyDescent="0.25">
      <c r="A14077" t="s">
        <v>2100</v>
      </c>
      <c r="B14077" t="s">
        <v>1247</v>
      </c>
    </row>
    <row r="14078" spans="1:2" x14ac:dyDescent="0.25">
      <c r="A14078" t="s">
        <v>2100</v>
      </c>
      <c r="B14078" t="s">
        <v>1248</v>
      </c>
    </row>
    <row r="14079" spans="1:2" x14ac:dyDescent="0.25">
      <c r="A14079" t="s">
        <v>2100</v>
      </c>
      <c r="B14079" t="s">
        <v>1249</v>
      </c>
    </row>
    <row r="14080" spans="1:2" x14ac:dyDescent="0.25">
      <c r="A14080" t="s">
        <v>2100</v>
      </c>
      <c r="B14080" t="s">
        <v>1250</v>
      </c>
    </row>
    <row r="14081" spans="1:2" x14ac:dyDescent="0.25">
      <c r="A14081" t="s">
        <v>2099</v>
      </c>
      <c r="B14081" t="s">
        <v>1140</v>
      </c>
    </row>
    <row r="14082" spans="1:2" x14ac:dyDescent="0.25">
      <c r="A14082" t="s">
        <v>2099</v>
      </c>
      <c r="B14082" t="s">
        <v>1141</v>
      </c>
    </row>
    <row r="14083" spans="1:2" x14ac:dyDescent="0.25">
      <c r="A14083" t="s">
        <v>2099</v>
      </c>
      <c r="B14083" t="s">
        <v>1142</v>
      </c>
    </row>
    <row r="14084" spans="1:2" x14ac:dyDescent="0.25">
      <c r="A14084" t="s">
        <v>2099</v>
      </c>
      <c r="B14084" t="s">
        <v>1150</v>
      </c>
    </row>
    <row r="14085" spans="1:2" x14ac:dyDescent="0.25">
      <c r="A14085" t="s">
        <v>2099</v>
      </c>
      <c r="B14085" t="s">
        <v>1151</v>
      </c>
    </row>
    <row r="14086" spans="1:2" x14ac:dyDescent="0.25">
      <c r="A14086" t="s">
        <v>2099</v>
      </c>
      <c r="B14086" t="s">
        <v>1177</v>
      </c>
    </row>
    <row r="14087" spans="1:2" x14ac:dyDescent="0.25">
      <c r="A14087" t="s">
        <v>2099</v>
      </c>
      <c r="B14087" t="s">
        <v>1179</v>
      </c>
    </row>
    <row r="14088" spans="1:2" x14ac:dyDescent="0.25">
      <c r="A14088" t="s">
        <v>2099</v>
      </c>
      <c r="B14088" t="s">
        <v>1205</v>
      </c>
    </row>
    <row r="14089" spans="1:2" x14ac:dyDescent="0.25">
      <c r="A14089" t="s">
        <v>2099</v>
      </c>
      <c r="B14089" t="s">
        <v>1206</v>
      </c>
    </row>
    <row r="14090" spans="1:2" x14ac:dyDescent="0.25">
      <c r="A14090" t="s">
        <v>2099</v>
      </c>
      <c r="B14090" t="s">
        <v>1207</v>
      </c>
    </row>
    <row r="14091" spans="1:2" x14ac:dyDescent="0.25">
      <c r="A14091" t="s">
        <v>2099</v>
      </c>
      <c r="B14091" t="s">
        <v>1208</v>
      </c>
    </row>
    <row r="14092" spans="1:2" x14ac:dyDescent="0.25">
      <c r="A14092" t="s">
        <v>2099</v>
      </c>
      <c r="B14092" t="s">
        <v>1220</v>
      </c>
    </row>
    <row r="14093" spans="1:2" x14ac:dyDescent="0.25">
      <c r="A14093" t="s">
        <v>2099</v>
      </c>
      <c r="B14093" t="s">
        <v>1229</v>
      </c>
    </row>
    <row r="14094" spans="1:2" x14ac:dyDescent="0.25">
      <c r="A14094" t="s">
        <v>2099</v>
      </c>
      <c r="B14094" t="s">
        <v>1232</v>
      </c>
    </row>
    <row r="14095" spans="1:2" x14ac:dyDescent="0.25">
      <c r="A14095" t="s">
        <v>2099</v>
      </c>
      <c r="B14095" t="s">
        <v>1233</v>
      </c>
    </row>
    <row r="14096" spans="1:2" x14ac:dyDescent="0.25">
      <c r="A14096" t="s">
        <v>2099</v>
      </c>
      <c r="B14096" t="s">
        <v>1234</v>
      </c>
    </row>
    <row r="14097" spans="1:2" x14ac:dyDescent="0.25">
      <c r="A14097" t="s">
        <v>2099</v>
      </c>
      <c r="B14097" t="s">
        <v>1235</v>
      </c>
    </row>
    <row r="14098" spans="1:2" x14ac:dyDescent="0.25">
      <c r="A14098" t="s">
        <v>2099</v>
      </c>
      <c r="B14098" t="s">
        <v>1236</v>
      </c>
    </row>
    <row r="14099" spans="1:2" x14ac:dyDescent="0.25">
      <c r="A14099" t="s">
        <v>2099</v>
      </c>
      <c r="B14099" t="s">
        <v>1237</v>
      </c>
    </row>
    <row r="14100" spans="1:2" x14ac:dyDescent="0.25">
      <c r="A14100" t="s">
        <v>2099</v>
      </c>
      <c r="B14100" t="s">
        <v>1238</v>
      </c>
    </row>
    <row r="14101" spans="1:2" x14ac:dyDescent="0.25">
      <c r="A14101" t="s">
        <v>2099</v>
      </c>
      <c r="B14101" t="s">
        <v>1239</v>
      </c>
    </row>
    <row r="14102" spans="1:2" x14ac:dyDescent="0.25">
      <c r="A14102" t="s">
        <v>2099</v>
      </c>
      <c r="B14102" t="s">
        <v>1240</v>
      </c>
    </row>
    <row r="14103" spans="1:2" x14ac:dyDescent="0.25">
      <c r="A14103" t="s">
        <v>2099</v>
      </c>
      <c r="B14103" t="s">
        <v>1241</v>
      </c>
    </row>
    <row r="14104" spans="1:2" x14ac:dyDescent="0.25">
      <c r="A14104" t="s">
        <v>2099</v>
      </c>
      <c r="B14104" t="s">
        <v>1242</v>
      </c>
    </row>
    <row r="14105" spans="1:2" x14ac:dyDescent="0.25">
      <c r="A14105" t="s">
        <v>2099</v>
      </c>
      <c r="B14105" t="s">
        <v>1243</v>
      </c>
    </row>
    <row r="14106" spans="1:2" x14ac:dyDescent="0.25">
      <c r="A14106" t="s">
        <v>2099</v>
      </c>
      <c r="B14106" t="s">
        <v>1244</v>
      </c>
    </row>
    <row r="14107" spans="1:2" x14ac:dyDescent="0.25">
      <c r="A14107" t="s">
        <v>2099</v>
      </c>
      <c r="B14107" t="s">
        <v>1245</v>
      </c>
    </row>
    <row r="14108" spans="1:2" x14ac:dyDescent="0.25">
      <c r="A14108" t="s">
        <v>2099</v>
      </c>
      <c r="B14108" t="s">
        <v>1246</v>
      </c>
    </row>
    <row r="14109" spans="1:2" x14ac:dyDescent="0.25">
      <c r="A14109" t="s">
        <v>2099</v>
      </c>
      <c r="B14109" t="s">
        <v>1247</v>
      </c>
    </row>
    <row r="14110" spans="1:2" x14ac:dyDescent="0.25">
      <c r="A14110" t="s">
        <v>2099</v>
      </c>
      <c r="B14110" t="s">
        <v>1248</v>
      </c>
    </row>
    <row r="14111" spans="1:2" x14ac:dyDescent="0.25">
      <c r="A14111" t="s">
        <v>2099</v>
      </c>
      <c r="B14111" t="s">
        <v>1249</v>
      </c>
    </row>
    <row r="14112" spans="1:2" x14ac:dyDescent="0.25">
      <c r="A14112" t="s">
        <v>2099</v>
      </c>
      <c r="B14112" t="s">
        <v>1250</v>
      </c>
    </row>
    <row r="14113" spans="1:2" x14ac:dyDescent="0.25">
      <c r="A14113" t="s">
        <v>2156</v>
      </c>
      <c r="B14113" t="s">
        <v>1149</v>
      </c>
    </row>
    <row r="14114" spans="1:2" x14ac:dyDescent="0.25">
      <c r="A14114" t="s">
        <v>2156</v>
      </c>
      <c r="B14114" t="s">
        <v>1204</v>
      </c>
    </row>
    <row r="14115" spans="1:2" x14ac:dyDescent="0.25">
      <c r="A14115" t="s">
        <v>2156</v>
      </c>
      <c r="B14115" t="s">
        <v>1218</v>
      </c>
    </row>
    <row r="14116" spans="1:2" x14ac:dyDescent="0.25">
      <c r="A14116" t="s">
        <v>2156</v>
      </c>
      <c r="B14116" t="s">
        <v>1219</v>
      </c>
    </row>
    <row r="14117" spans="1:2" x14ac:dyDescent="0.25">
      <c r="A14117" t="s">
        <v>2156</v>
      </c>
      <c r="B14117" t="s">
        <v>1230</v>
      </c>
    </row>
    <row r="14118" spans="1:2" x14ac:dyDescent="0.25">
      <c r="A14118" t="s">
        <v>2156</v>
      </c>
      <c r="B14118" t="s">
        <v>1231</v>
      </c>
    </row>
    <row r="14119" spans="1:2" x14ac:dyDescent="0.25">
      <c r="A14119" t="s">
        <v>2156</v>
      </c>
      <c r="B14119" t="s">
        <v>1253</v>
      </c>
    </row>
    <row r="14120" spans="1:2" x14ac:dyDescent="0.25">
      <c r="A14120" t="s">
        <v>1694</v>
      </c>
      <c r="B14120" t="s">
        <v>1099</v>
      </c>
    </row>
    <row r="14121" spans="1:2" x14ac:dyDescent="0.25">
      <c r="A14121" t="s">
        <v>1694</v>
      </c>
      <c r="B14121" t="s">
        <v>1109</v>
      </c>
    </row>
    <row r="14122" spans="1:2" x14ac:dyDescent="0.25">
      <c r="A14122" t="s">
        <v>1694</v>
      </c>
      <c r="B14122" t="s">
        <v>1113</v>
      </c>
    </row>
    <row r="14123" spans="1:2" x14ac:dyDescent="0.25">
      <c r="A14123" t="s">
        <v>1694</v>
      </c>
      <c r="B14123" t="s">
        <v>1114</v>
      </c>
    </row>
    <row r="14124" spans="1:2" x14ac:dyDescent="0.25">
      <c r="A14124" t="s">
        <v>1694</v>
      </c>
      <c r="B14124" t="s">
        <v>1115</v>
      </c>
    </row>
    <row r="14125" spans="1:2" x14ac:dyDescent="0.25">
      <c r="A14125" t="s">
        <v>1694</v>
      </c>
      <c r="B14125" t="s">
        <v>1122</v>
      </c>
    </row>
    <row r="14126" spans="1:2" x14ac:dyDescent="0.25">
      <c r="A14126" t="s">
        <v>1694</v>
      </c>
      <c r="B14126" t="s">
        <v>1133</v>
      </c>
    </row>
    <row r="14127" spans="1:2" x14ac:dyDescent="0.25">
      <c r="A14127" t="s">
        <v>1694</v>
      </c>
      <c r="B14127" t="s">
        <v>1165</v>
      </c>
    </row>
    <row r="14128" spans="1:2" x14ac:dyDescent="0.25">
      <c r="A14128" t="s">
        <v>1694</v>
      </c>
      <c r="B14128" t="s">
        <v>1166</v>
      </c>
    </row>
    <row r="14129" spans="1:2" x14ac:dyDescent="0.25">
      <c r="A14129" t="s">
        <v>1694</v>
      </c>
      <c r="B14129" t="s">
        <v>1167</v>
      </c>
    </row>
    <row r="14130" spans="1:2" x14ac:dyDescent="0.25">
      <c r="A14130" t="s">
        <v>1694</v>
      </c>
      <c r="B14130" t="s">
        <v>1186</v>
      </c>
    </row>
    <row r="14131" spans="1:2" x14ac:dyDescent="0.25">
      <c r="A14131" t="s">
        <v>1694</v>
      </c>
      <c r="B14131" t="s">
        <v>1187</v>
      </c>
    </row>
    <row r="14132" spans="1:2" x14ac:dyDescent="0.25">
      <c r="A14132" t="s">
        <v>1694</v>
      </c>
      <c r="B14132" t="s">
        <v>1188</v>
      </c>
    </row>
    <row r="14133" spans="1:2" x14ac:dyDescent="0.25">
      <c r="A14133" t="s">
        <v>1694</v>
      </c>
      <c r="B14133" t="s">
        <v>1189</v>
      </c>
    </row>
    <row r="14134" spans="1:2" x14ac:dyDescent="0.25">
      <c r="A14134" t="s">
        <v>1694</v>
      </c>
      <c r="B14134" t="s">
        <v>1195</v>
      </c>
    </row>
    <row r="14135" spans="1:2" x14ac:dyDescent="0.25">
      <c r="A14135" t="s">
        <v>1694</v>
      </c>
      <c r="B14135" t="s">
        <v>1207</v>
      </c>
    </row>
    <row r="14136" spans="1:2" x14ac:dyDescent="0.25">
      <c r="A14136" t="s">
        <v>2091</v>
      </c>
      <c r="B14136" t="s">
        <v>1139</v>
      </c>
    </row>
    <row r="14137" spans="1:2" x14ac:dyDescent="0.25">
      <c r="A14137" t="s">
        <v>2091</v>
      </c>
      <c r="B14137" t="s">
        <v>1140</v>
      </c>
    </row>
    <row r="14138" spans="1:2" x14ac:dyDescent="0.25">
      <c r="A14138" t="s">
        <v>2091</v>
      </c>
      <c r="B14138" t="s">
        <v>1150</v>
      </c>
    </row>
    <row r="14139" spans="1:2" x14ac:dyDescent="0.25">
      <c r="A14139" t="s">
        <v>2091</v>
      </c>
      <c r="B14139" t="s">
        <v>1157</v>
      </c>
    </row>
    <row r="14140" spans="1:2" x14ac:dyDescent="0.25">
      <c r="A14140" t="s">
        <v>2091</v>
      </c>
      <c r="B14140" t="s">
        <v>1177</v>
      </c>
    </row>
    <row r="14141" spans="1:2" x14ac:dyDescent="0.25">
      <c r="A14141" t="s">
        <v>2091</v>
      </c>
      <c r="B14141" t="s">
        <v>1178</v>
      </c>
    </row>
    <row r="14142" spans="1:2" x14ac:dyDescent="0.25">
      <c r="A14142" t="s">
        <v>2091</v>
      </c>
      <c r="B14142" t="s">
        <v>1214</v>
      </c>
    </row>
    <row r="14143" spans="1:2" x14ac:dyDescent="0.25">
      <c r="A14143" t="s">
        <v>2091</v>
      </c>
      <c r="B14143" t="s">
        <v>1215</v>
      </c>
    </row>
    <row r="14144" spans="1:2" x14ac:dyDescent="0.25">
      <c r="A14144" t="s">
        <v>2091</v>
      </c>
      <c r="B14144" t="s">
        <v>1220</v>
      </c>
    </row>
    <row r="14145" spans="1:2" x14ac:dyDescent="0.25">
      <c r="A14145" t="s">
        <v>2091</v>
      </c>
      <c r="B14145" t="s">
        <v>1226</v>
      </c>
    </row>
    <row r="14146" spans="1:2" x14ac:dyDescent="0.25">
      <c r="A14146" t="s">
        <v>2091</v>
      </c>
      <c r="B14146" t="s">
        <v>1233</v>
      </c>
    </row>
    <row r="14147" spans="1:2" x14ac:dyDescent="0.25">
      <c r="A14147" t="s">
        <v>2091</v>
      </c>
      <c r="B14147" t="s">
        <v>1254</v>
      </c>
    </row>
    <row r="14148" spans="1:2" x14ac:dyDescent="0.25">
      <c r="A14148" s="11"/>
      <c r="B14148">
        <v>0</v>
      </c>
    </row>
    <row r="14149" spans="1:2" x14ac:dyDescent="0.25">
      <c r="A14149" s="13"/>
      <c r="B14149">
        <v>0</v>
      </c>
    </row>
    <row r="14150" spans="1:2" x14ac:dyDescent="0.25">
      <c r="B14150">
        <v>0</v>
      </c>
    </row>
    <row r="14151" spans="1:2" x14ac:dyDescent="0.25">
      <c r="B14151">
        <v>0</v>
      </c>
    </row>
    <row r="14152" spans="1:2" x14ac:dyDescent="0.25">
      <c r="B14152">
        <v>0</v>
      </c>
    </row>
    <row r="14153" spans="1:2" x14ac:dyDescent="0.25">
      <c r="B14153">
        <v>0</v>
      </c>
    </row>
    <row r="14154" spans="1:2" x14ac:dyDescent="0.25">
      <c r="B14154">
        <v>0</v>
      </c>
    </row>
    <row r="14155" spans="1:2" x14ac:dyDescent="0.25">
      <c r="B14155">
        <v>0</v>
      </c>
    </row>
    <row r="14156" spans="1:2" x14ac:dyDescent="0.25">
      <c r="B14156">
        <v>0</v>
      </c>
    </row>
    <row r="14157" spans="1:2" x14ac:dyDescent="0.25">
      <c r="B14157">
        <v>0</v>
      </c>
    </row>
    <row r="14158" spans="1:2" x14ac:dyDescent="0.25">
      <c r="B14158">
        <v>0</v>
      </c>
    </row>
    <row r="14159" spans="1:2" x14ac:dyDescent="0.25">
      <c r="B14159">
        <v>0</v>
      </c>
    </row>
    <row r="14160" spans="1:2" x14ac:dyDescent="0.25">
      <c r="B14160">
        <v>0</v>
      </c>
    </row>
    <row r="14161" spans="2:2" x14ac:dyDescent="0.25">
      <c r="B14161">
        <v>0</v>
      </c>
    </row>
    <row r="14162" spans="2:2" x14ac:dyDescent="0.25">
      <c r="B14162">
        <v>0</v>
      </c>
    </row>
    <row r="14163" spans="2:2" x14ac:dyDescent="0.25">
      <c r="B14163">
        <v>0</v>
      </c>
    </row>
    <row r="14164" spans="2:2" x14ac:dyDescent="0.25">
      <c r="B14164">
        <v>0</v>
      </c>
    </row>
    <row r="14165" spans="2:2" x14ac:dyDescent="0.25">
      <c r="B14165">
        <v>0</v>
      </c>
    </row>
    <row r="14166" spans="2:2" x14ac:dyDescent="0.25">
      <c r="B14166">
        <v>0</v>
      </c>
    </row>
    <row r="14167" spans="2:2" x14ac:dyDescent="0.25">
      <c r="B14167">
        <v>0</v>
      </c>
    </row>
    <row r="14168" spans="2:2" x14ac:dyDescent="0.25">
      <c r="B14168">
        <v>0</v>
      </c>
    </row>
    <row r="14169" spans="2:2" x14ac:dyDescent="0.25">
      <c r="B14169">
        <v>0</v>
      </c>
    </row>
    <row r="14170" spans="2:2" x14ac:dyDescent="0.25">
      <c r="B14170">
        <v>0</v>
      </c>
    </row>
    <row r="14171" spans="2:2" x14ac:dyDescent="0.25">
      <c r="B14171">
        <v>0</v>
      </c>
    </row>
    <row r="14172" spans="2:2" x14ac:dyDescent="0.25">
      <c r="B14172">
        <v>0</v>
      </c>
    </row>
    <row r="14173" spans="2:2" x14ac:dyDescent="0.25">
      <c r="B14173">
        <v>0</v>
      </c>
    </row>
    <row r="14174" spans="2:2" x14ac:dyDescent="0.25">
      <c r="B14174">
        <v>0</v>
      </c>
    </row>
    <row r="14175" spans="2:2" x14ac:dyDescent="0.25">
      <c r="B14175">
        <v>0</v>
      </c>
    </row>
    <row r="14176" spans="2:2" x14ac:dyDescent="0.25">
      <c r="B14176">
        <v>0</v>
      </c>
    </row>
    <row r="14177" spans="2:2" x14ac:dyDescent="0.25">
      <c r="B14177">
        <v>0</v>
      </c>
    </row>
    <row r="14178" spans="2:2" x14ac:dyDescent="0.25">
      <c r="B14178">
        <v>0</v>
      </c>
    </row>
    <row r="14179" spans="2:2" x14ac:dyDescent="0.25">
      <c r="B14179">
        <v>0</v>
      </c>
    </row>
    <row r="14180" spans="2:2" x14ac:dyDescent="0.25">
      <c r="B14180">
        <v>0</v>
      </c>
    </row>
    <row r="14181" spans="2:2" x14ac:dyDescent="0.25">
      <c r="B14181">
        <v>0</v>
      </c>
    </row>
    <row r="14182" spans="2:2" x14ac:dyDescent="0.25">
      <c r="B14182">
        <v>0</v>
      </c>
    </row>
    <row r="14183" spans="2:2" x14ac:dyDescent="0.25">
      <c r="B14183">
        <v>0</v>
      </c>
    </row>
    <row r="14184" spans="2:2" x14ac:dyDescent="0.25">
      <c r="B14184">
        <v>0</v>
      </c>
    </row>
    <row r="14185" spans="2:2" x14ac:dyDescent="0.25">
      <c r="B14185">
        <v>0</v>
      </c>
    </row>
    <row r="14186" spans="2:2" x14ac:dyDescent="0.25">
      <c r="B14186">
        <v>0</v>
      </c>
    </row>
    <row r="14187" spans="2:2" x14ac:dyDescent="0.25">
      <c r="B14187">
        <v>0</v>
      </c>
    </row>
    <row r="14188" spans="2:2" x14ac:dyDescent="0.25">
      <c r="B14188">
        <v>0</v>
      </c>
    </row>
    <row r="14189" spans="2:2" x14ac:dyDescent="0.25">
      <c r="B14189">
        <v>0</v>
      </c>
    </row>
    <row r="14190" spans="2:2" x14ac:dyDescent="0.25">
      <c r="B14190">
        <v>0</v>
      </c>
    </row>
    <row r="14191" spans="2:2" x14ac:dyDescent="0.25">
      <c r="B14191">
        <v>0</v>
      </c>
    </row>
    <row r="14192" spans="2:2" x14ac:dyDescent="0.25">
      <c r="B14192">
        <v>0</v>
      </c>
    </row>
    <row r="14193" spans="2:2" x14ac:dyDescent="0.25">
      <c r="B14193">
        <v>0</v>
      </c>
    </row>
    <row r="14194" spans="2:2" x14ac:dyDescent="0.25">
      <c r="B14194">
        <v>0</v>
      </c>
    </row>
    <row r="14195" spans="2:2" x14ac:dyDescent="0.25">
      <c r="B14195">
        <v>0</v>
      </c>
    </row>
    <row r="14196" spans="2:2" x14ac:dyDescent="0.25">
      <c r="B14196">
        <v>0</v>
      </c>
    </row>
    <row r="14197" spans="2:2" x14ac:dyDescent="0.25">
      <c r="B14197">
        <v>0</v>
      </c>
    </row>
    <row r="14198" spans="2:2" x14ac:dyDescent="0.25">
      <c r="B14198">
        <v>0</v>
      </c>
    </row>
    <row r="14199" spans="2:2" x14ac:dyDescent="0.25">
      <c r="B14199">
        <v>0</v>
      </c>
    </row>
    <row r="14200" spans="2:2" x14ac:dyDescent="0.25">
      <c r="B14200">
        <v>0</v>
      </c>
    </row>
    <row r="14201" spans="2:2" x14ac:dyDescent="0.25">
      <c r="B14201">
        <v>0</v>
      </c>
    </row>
    <row r="14202" spans="2:2" x14ac:dyDescent="0.25">
      <c r="B14202">
        <v>0</v>
      </c>
    </row>
    <row r="14203" spans="2:2" x14ac:dyDescent="0.25">
      <c r="B14203">
        <v>0</v>
      </c>
    </row>
    <row r="14204" spans="2:2" x14ac:dyDescent="0.25">
      <c r="B14204">
        <v>0</v>
      </c>
    </row>
    <row r="14205" spans="2:2" x14ac:dyDescent="0.25">
      <c r="B14205">
        <v>0</v>
      </c>
    </row>
    <row r="14206" spans="2:2" x14ac:dyDescent="0.25">
      <c r="B14206">
        <v>0</v>
      </c>
    </row>
    <row r="14207" spans="2:2" x14ac:dyDescent="0.25">
      <c r="B14207">
        <v>0</v>
      </c>
    </row>
    <row r="14208" spans="2:2" x14ac:dyDescent="0.25">
      <c r="B14208">
        <v>0</v>
      </c>
    </row>
    <row r="14209" spans="2:2" x14ac:dyDescent="0.25">
      <c r="B14209">
        <v>0</v>
      </c>
    </row>
    <row r="14210" spans="2:2" x14ac:dyDescent="0.25">
      <c r="B14210">
        <v>0</v>
      </c>
    </row>
    <row r="14211" spans="2:2" x14ac:dyDescent="0.25">
      <c r="B14211">
        <v>0</v>
      </c>
    </row>
    <row r="14212" spans="2:2" x14ac:dyDescent="0.25">
      <c r="B14212">
        <v>0</v>
      </c>
    </row>
    <row r="14213" spans="2:2" x14ac:dyDescent="0.25">
      <c r="B14213">
        <v>0</v>
      </c>
    </row>
    <row r="14214" spans="2:2" x14ac:dyDescent="0.25">
      <c r="B14214">
        <v>0</v>
      </c>
    </row>
    <row r="14215" spans="2:2" x14ac:dyDescent="0.25">
      <c r="B14215">
        <v>0</v>
      </c>
    </row>
    <row r="14216" spans="2:2" x14ac:dyDescent="0.25">
      <c r="B14216">
        <v>0</v>
      </c>
    </row>
    <row r="14217" spans="2:2" x14ac:dyDescent="0.25">
      <c r="B14217">
        <v>0</v>
      </c>
    </row>
    <row r="14218" spans="2:2" x14ac:dyDescent="0.25">
      <c r="B14218">
        <v>0</v>
      </c>
    </row>
    <row r="14219" spans="2:2" x14ac:dyDescent="0.25">
      <c r="B14219">
        <v>0</v>
      </c>
    </row>
    <row r="14220" spans="2:2" x14ac:dyDescent="0.25">
      <c r="B14220">
        <v>0</v>
      </c>
    </row>
    <row r="14221" spans="2:2" x14ac:dyDescent="0.25">
      <c r="B14221">
        <v>0</v>
      </c>
    </row>
    <row r="14222" spans="2:2" x14ac:dyDescent="0.25">
      <c r="B14222">
        <v>0</v>
      </c>
    </row>
    <row r="14223" spans="2:2" x14ac:dyDescent="0.25">
      <c r="B14223">
        <v>0</v>
      </c>
    </row>
    <row r="14224" spans="2:2" x14ac:dyDescent="0.25">
      <c r="B14224">
        <v>0</v>
      </c>
    </row>
    <row r="14225" spans="2:2" x14ac:dyDescent="0.25">
      <c r="B14225">
        <v>0</v>
      </c>
    </row>
    <row r="14226" spans="2:2" x14ac:dyDescent="0.25">
      <c r="B14226">
        <v>0</v>
      </c>
    </row>
    <row r="14227" spans="2:2" x14ac:dyDescent="0.25">
      <c r="B14227">
        <v>0</v>
      </c>
    </row>
    <row r="14228" spans="2:2" x14ac:dyDescent="0.25">
      <c r="B14228">
        <v>0</v>
      </c>
    </row>
    <row r="14229" spans="2:2" x14ac:dyDescent="0.25">
      <c r="B14229">
        <v>0</v>
      </c>
    </row>
    <row r="14230" spans="2:2" x14ac:dyDescent="0.25">
      <c r="B14230">
        <v>0</v>
      </c>
    </row>
    <row r="14231" spans="2:2" x14ac:dyDescent="0.25">
      <c r="B14231">
        <v>0</v>
      </c>
    </row>
    <row r="14232" spans="2:2" x14ac:dyDescent="0.25">
      <c r="B14232">
        <v>0</v>
      </c>
    </row>
    <row r="14233" spans="2:2" x14ac:dyDescent="0.25">
      <c r="B14233">
        <v>0</v>
      </c>
    </row>
    <row r="14234" spans="2:2" x14ac:dyDescent="0.25">
      <c r="B14234">
        <v>0</v>
      </c>
    </row>
    <row r="14235" spans="2:2" x14ac:dyDescent="0.25">
      <c r="B14235">
        <v>0</v>
      </c>
    </row>
    <row r="14236" spans="2:2" x14ac:dyDescent="0.25">
      <c r="B14236">
        <v>0</v>
      </c>
    </row>
    <row r="14237" spans="2:2" x14ac:dyDescent="0.25">
      <c r="B14237">
        <v>0</v>
      </c>
    </row>
    <row r="14238" spans="2:2" x14ac:dyDescent="0.25">
      <c r="B14238">
        <v>0</v>
      </c>
    </row>
    <row r="14239" spans="2:2" x14ac:dyDescent="0.25">
      <c r="B14239">
        <v>0</v>
      </c>
    </row>
    <row r="14240" spans="2:2" x14ac:dyDescent="0.25">
      <c r="B14240">
        <v>0</v>
      </c>
    </row>
    <row r="14241" spans="2:2" x14ac:dyDescent="0.25">
      <c r="B14241">
        <v>0</v>
      </c>
    </row>
    <row r="14242" spans="2:2" x14ac:dyDescent="0.25">
      <c r="B14242">
        <v>0</v>
      </c>
    </row>
    <row r="14243" spans="2:2" x14ac:dyDescent="0.25">
      <c r="B14243">
        <v>0</v>
      </c>
    </row>
    <row r="14244" spans="2:2" x14ac:dyDescent="0.25">
      <c r="B14244">
        <v>0</v>
      </c>
    </row>
    <row r="14245" spans="2:2" x14ac:dyDescent="0.25">
      <c r="B14245">
        <v>0</v>
      </c>
    </row>
    <row r="14246" spans="2:2" x14ac:dyDescent="0.25">
      <c r="B14246">
        <v>0</v>
      </c>
    </row>
    <row r="14247" spans="2:2" x14ac:dyDescent="0.25">
      <c r="B14247">
        <v>0</v>
      </c>
    </row>
    <row r="14248" spans="2:2" x14ac:dyDescent="0.25">
      <c r="B14248">
        <v>0</v>
      </c>
    </row>
    <row r="14249" spans="2:2" x14ac:dyDescent="0.25">
      <c r="B14249">
        <v>0</v>
      </c>
    </row>
    <row r="14250" spans="2:2" x14ac:dyDescent="0.25">
      <c r="B14250">
        <v>0</v>
      </c>
    </row>
    <row r="14251" spans="2:2" x14ac:dyDescent="0.25">
      <c r="B14251">
        <v>0</v>
      </c>
    </row>
    <row r="14252" spans="2:2" x14ac:dyDescent="0.25">
      <c r="B14252">
        <v>0</v>
      </c>
    </row>
    <row r="14253" spans="2:2" x14ac:dyDescent="0.25">
      <c r="B14253">
        <v>0</v>
      </c>
    </row>
    <row r="14254" spans="2:2" x14ac:dyDescent="0.25">
      <c r="B14254">
        <v>0</v>
      </c>
    </row>
    <row r="14255" spans="2:2" x14ac:dyDescent="0.25">
      <c r="B14255">
        <v>0</v>
      </c>
    </row>
    <row r="14256" spans="2:2" x14ac:dyDescent="0.25">
      <c r="B14256">
        <v>0</v>
      </c>
    </row>
    <row r="14257" spans="2:2" x14ac:dyDescent="0.25">
      <c r="B14257">
        <v>0</v>
      </c>
    </row>
    <row r="14258" spans="2:2" x14ac:dyDescent="0.25">
      <c r="B14258">
        <v>0</v>
      </c>
    </row>
    <row r="14259" spans="2:2" x14ac:dyDescent="0.25">
      <c r="B14259">
        <v>0</v>
      </c>
    </row>
    <row r="14260" spans="2:2" x14ac:dyDescent="0.25">
      <c r="B14260">
        <v>0</v>
      </c>
    </row>
    <row r="14261" spans="2:2" x14ac:dyDescent="0.25">
      <c r="B14261">
        <v>0</v>
      </c>
    </row>
    <row r="14262" spans="2:2" x14ac:dyDescent="0.25">
      <c r="B14262">
        <v>0</v>
      </c>
    </row>
    <row r="14263" spans="2:2" x14ac:dyDescent="0.25">
      <c r="B14263">
        <v>0</v>
      </c>
    </row>
    <row r="14264" spans="2:2" x14ac:dyDescent="0.25">
      <c r="B14264">
        <v>0</v>
      </c>
    </row>
    <row r="14265" spans="2:2" x14ac:dyDescent="0.25">
      <c r="B14265">
        <v>0</v>
      </c>
    </row>
    <row r="14266" spans="2:2" x14ac:dyDescent="0.25">
      <c r="B14266">
        <v>0</v>
      </c>
    </row>
    <row r="14267" spans="2:2" x14ac:dyDescent="0.25">
      <c r="B14267">
        <v>0</v>
      </c>
    </row>
    <row r="14268" spans="2:2" x14ac:dyDescent="0.25">
      <c r="B14268">
        <v>0</v>
      </c>
    </row>
    <row r="14269" spans="2:2" x14ac:dyDescent="0.25">
      <c r="B14269">
        <v>0</v>
      </c>
    </row>
    <row r="14270" spans="2:2" x14ac:dyDescent="0.25">
      <c r="B14270">
        <v>0</v>
      </c>
    </row>
    <row r="14271" spans="2:2" x14ac:dyDescent="0.25">
      <c r="B14271">
        <v>0</v>
      </c>
    </row>
    <row r="14272" spans="2:2" x14ac:dyDescent="0.25">
      <c r="B14272">
        <v>0</v>
      </c>
    </row>
    <row r="14273" spans="2:2" x14ac:dyDescent="0.25">
      <c r="B14273">
        <v>0</v>
      </c>
    </row>
    <row r="14274" spans="2:2" x14ac:dyDescent="0.25">
      <c r="B14274">
        <v>0</v>
      </c>
    </row>
    <row r="14275" spans="2:2" x14ac:dyDescent="0.25">
      <c r="B14275">
        <v>0</v>
      </c>
    </row>
    <row r="14276" spans="2:2" x14ac:dyDescent="0.25">
      <c r="B14276">
        <v>0</v>
      </c>
    </row>
    <row r="14277" spans="2:2" x14ac:dyDescent="0.25">
      <c r="B14277">
        <v>0</v>
      </c>
    </row>
    <row r="14278" spans="2:2" x14ac:dyDescent="0.25">
      <c r="B14278">
        <v>0</v>
      </c>
    </row>
    <row r="14279" spans="2:2" x14ac:dyDescent="0.25">
      <c r="B14279">
        <v>0</v>
      </c>
    </row>
    <row r="14280" spans="2:2" x14ac:dyDescent="0.25">
      <c r="B14280">
        <v>0</v>
      </c>
    </row>
    <row r="14281" spans="2:2" x14ac:dyDescent="0.25">
      <c r="B14281">
        <v>0</v>
      </c>
    </row>
    <row r="14282" spans="2:2" x14ac:dyDescent="0.25">
      <c r="B14282">
        <v>0</v>
      </c>
    </row>
    <row r="14283" spans="2:2" x14ac:dyDescent="0.25">
      <c r="B14283">
        <v>0</v>
      </c>
    </row>
    <row r="14284" spans="2:2" x14ac:dyDescent="0.25">
      <c r="B14284">
        <v>0</v>
      </c>
    </row>
    <row r="14285" spans="2:2" x14ac:dyDescent="0.25">
      <c r="B14285">
        <v>0</v>
      </c>
    </row>
    <row r="14286" spans="2:2" x14ac:dyDescent="0.25">
      <c r="B14286">
        <v>0</v>
      </c>
    </row>
    <row r="14287" spans="2:2" x14ac:dyDescent="0.25">
      <c r="B14287">
        <v>0</v>
      </c>
    </row>
    <row r="14288" spans="2:2" x14ac:dyDescent="0.25">
      <c r="B14288">
        <v>0</v>
      </c>
    </row>
    <row r="14289" spans="2:2" x14ac:dyDescent="0.25">
      <c r="B14289">
        <v>0</v>
      </c>
    </row>
    <row r="14290" spans="2:2" x14ac:dyDescent="0.25">
      <c r="B14290">
        <v>0</v>
      </c>
    </row>
    <row r="14291" spans="2:2" x14ac:dyDescent="0.25">
      <c r="B14291">
        <v>0</v>
      </c>
    </row>
    <row r="14292" spans="2:2" x14ac:dyDescent="0.25">
      <c r="B14292">
        <v>0</v>
      </c>
    </row>
    <row r="14293" spans="2:2" x14ac:dyDescent="0.25">
      <c r="B14293">
        <v>0</v>
      </c>
    </row>
    <row r="14294" spans="2:2" x14ac:dyDescent="0.25">
      <c r="B14294">
        <v>0</v>
      </c>
    </row>
    <row r="14295" spans="2:2" x14ac:dyDescent="0.25">
      <c r="B14295">
        <v>0</v>
      </c>
    </row>
    <row r="14296" spans="2:2" x14ac:dyDescent="0.25">
      <c r="B14296">
        <v>0</v>
      </c>
    </row>
    <row r="14297" spans="2:2" x14ac:dyDescent="0.25">
      <c r="B14297">
        <v>0</v>
      </c>
    </row>
    <row r="14298" spans="2:2" x14ac:dyDescent="0.25">
      <c r="B14298">
        <v>0</v>
      </c>
    </row>
    <row r="14299" spans="2:2" x14ac:dyDescent="0.25">
      <c r="B14299">
        <v>0</v>
      </c>
    </row>
    <row r="14300" spans="2:2" x14ac:dyDescent="0.25">
      <c r="B14300">
        <v>0</v>
      </c>
    </row>
    <row r="14301" spans="2:2" x14ac:dyDescent="0.25">
      <c r="B14301">
        <v>0</v>
      </c>
    </row>
    <row r="14302" spans="2:2" x14ac:dyDescent="0.25">
      <c r="B14302">
        <v>0</v>
      </c>
    </row>
    <row r="14303" spans="2:2" x14ac:dyDescent="0.25">
      <c r="B14303">
        <v>0</v>
      </c>
    </row>
    <row r="14304" spans="2:2" x14ac:dyDescent="0.25">
      <c r="B14304">
        <v>0</v>
      </c>
    </row>
    <row r="14305" spans="2:2" x14ac:dyDescent="0.25">
      <c r="B14305">
        <v>0</v>
      </c>
    </row>
    <row r="14306" spans="2:2" x14ac:dyDescent="0.25">
      <c r="B14306">
        <v>0</v>
      </c>
    </row>
    <row r="14307" spans="2:2" x14ac:dyDescent="0.25">
      <c r="B14307">
        <v>0</v>
      </c>
    </row>
    <row r="14308" spans="2:2" x14ac:dyDescent="0.25">
      <c r="B14308">
        <v>0</v>
      </c>
    </row>
    <row r="14309" spans="2:2" x14ac:dyDescent="0.25">
      <c r="B14309">
        <v>0</v>
      </c>
    </row>
    <row r="14310" spans="2:2" x14ac:dyDescent="0.25">
      <c r="B14310">
        <v>0</v>
      </c>
    </row>
    <row r="14311" spans="2:2" x14ac:dyDescent="0.25">
      <c r="B14311">
        <v>0</v>
      </c>
    </row>
    <row r="14312" spans="2:2" x14ac:dyDescent="0.25">
      <c r="B14312">
        <v>0</v>
      </c>
    </row>
  </sheetData>
  <sortState ref="A3:B14312">
    <sortCondition ref="A3:A14312"/>
  </sortState>
  <pageMargins left="0.7" right="0.7" top="0.75" bottom="0.75" header="0.3" footer="0.3"/>
  <pageSetup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0775D2-04E3-45E0-9FDD-63B364017DCC}">
  <sheetPr codeName="Sheet10"/>
  <dimension ref="A1:O59"/>
  <sheetViews>
    <sheetView tabSelected="1" workbookViewId="0">
      <selection activeCell="I30" sqref="I30"/>
    </sheetView>
  </sheetViews>
  <sheetFormatPr defaultRowHeight="15" x14ac:dyDescent="0.25"/>
  <cols>
    <col min="1" max="3" width="9.140625" style="25"/>
    <col min="4" max="4" width="23.5703125" style="25" bestFit="1" customWidth="1"/>
    <col min="5" max="16384" width="9.140625" style="25"/>
  </cols>
  <sheetData>
    <row r="1" spans="1:15" x14ac:dyDescent="0.25">
      <c r="A1" s="25" t="s">
        <v>4573</v>
      </c>
    </row>
    <row r="2" spans="1:15" x14ac:dyDescent="0.25">
      <c r="A2" s="25" t="s">
        <v>4574</v>
      </c>
    </row>
    <row r="4" spans="1:15" x14ac:dyDescent="0.25">
      <c r="B4" s="26" t="s">
        <v>4577</v>
      </c>
      <c r="C4" s="26"/>
      <c r="D4" s="27">
        <f>VLOOKUP(E4,$A$7:$C$23,2,FALSE)</f>
        <v>79200</v>
      </c>
      <c r="E4" s="25">
        <v>17</v>
      </c>
    </row>
    <row r="5" spans="1:15" x14ac:dyDescent="0.25">
      <c r="D5" s="25" t="s">
        <v>4575</v>
      </c>
      <c r="E5" s="28" t="s">
        <v>4580</v>
      </c>
      <c r="F5" s="28" t="s">
        <v>4576</v>
      </c>
    </row>
    <row r="6" spans="1:15" x14ac:dyDescent="0.25">
      <c r="D6" s="25" t="s">
        <v>4581</v>
      </c>
    </row>
    <row r="7" spans="1:15" ht="15.75" thickBot="1" x14ac:dyDescent="0.3">
      <c r="A7" s="25">
        <v>1</v>
      </c>
      <c r="B7" s="25">
        <f>60*60*4</f>
        <v>14400</v>
      </c>
      <c r="C7" s="25" t="s">
        <v>5345</v>
      </c>
    </row>
    <row r="8" spans="1:15" x14ac:dyDescent="0.25">
      <c r="A8" s="25">
        <v>2</v>
      </c>
      <c r="B8" s="25">
        <v>21600</v>
      </c>
      <c r="C8" s="25" t="s">
        <v>4596</v>
      </c>
      <c r="D8" s="29" t="str">
        <f>_xlfn.CONCAT($D$6,O8,"-",VLOOKUP($E$4,$A$7:$C$23,3,FALSE),$E$5,$D$4,$F$5)</f>
        <v xml:space="preserve">    &lt;vehicle id="U_Tracker_Belmont_NB-10pm" type="TRACKER_CAR" depart="79200" departLane="best" departPos="free" departSpeed="max" arrivalLane="current" arrivalPos="max" arrivalSpeed="current"&gt;</v>
      </c>
      <c r="O8" s="29" t="s">
        <v>4578</v>
      </c>
    </row>
    <row r="9" spans="1:15" x14ac:dyDescent="0.25">
      <c r="A9" s="25">
        <v>3</v>
      </c>
      <c r="B9" s="25">
        <f>60*60+B8</f>
        <v>25200</v>
      </c>
      <c r="C9" s="25" t="s">
        <v>4582</v>
      </c>
      <c r="D9" s="30" t="str">
        <f>O9</f>
        <v xml:space="preserve">        &lt;route edges="12149612#0 12149612#1 12149612#2 12149612#4 12149612#5 12150712#3 12150712#4 12150712#5 12319898#0 12319898#1 196358954#0 196358954#1 387423966 423956978 423956979 423956980 423965484 423965996 423965997 423966001 423967058#1 423967352 423967353 423967354 423967355 423967356 423967358#0 423967358#2 423967359#0 423967359#1 424803245 424803247#0 424824619 424824620 424824621 424978163 424978164 424978639 424978640 424978643 424978644 424978646 448845220#0 448845221 448845222 448845223#0 448887868 448887901"/&gt; </v>
      </c>
      <c r="O9" s="31" t="s">
        <v>5344</v>
      </c>
    </row>
    <row r="10" spans="1:15" ht="15.75" thickBot="1" x14ac:dyDescent="0.3">
      <c r="A10" s="25">
        <v>4</v>
      </c>
      <c r="B10" s="25">
        <f t="shared" ref="B10:B22" si="0">60*60+B9</f>
        <v>28800</v>
      </c>
      <c r="C10" s="25" t="s">
        <v>4583</v>
      </c>
      <c r="D10" s="32" t="str">
        <f>$D$5</f>
        <v xml:space="preserve">    &lt;/vehicle&gt;</v>
      </c>
      <c r="O10" s="32"/>
    </row>
    <row r="11" spans="1:15" x14ac:dyDescent="0.25">
      <c r="A11" s="25">
        <v>5</v>
      </c>
      <c r="B11" s="25">
        <f t="shared" si="0"/>
        <v>32400</v>
      </c>
      <c r="C11" s="25" t="s">
        <v>4584</v>
      </c>
      <c r="D11" s="29" t="str">
        <f>_xlfn.CONCAT($D$6,O11,"-",VLOOKUP($E$4,$A$7:$C$23,3,FALSE),$E$5,$D$4,$F$5)</f>
        <v xml:space="preserve">    &lt;vehicle id="U_Tracker_-GRD-WB-Parkside-NB-Belmont_Conchi-NB-10pm" type="TRACKER_CAR" depart="79200" departLane="best" departPos="free" departSpeed="max" arrivalLane="current" arrivalPos="max" arrivalSpeed="current"&gt;</v>
      </c>
      <c r="O11" s="33" t="s">
        <v>5357</v>
      </c>
    </row>
    <row r="12" spans="1:15" x14ac:dyDescent="0.25">
      <c r="A12" s="25">
        <v>6</v>
      </c>
      <c r="B12" s="25">
        <f t="shared" si="0"/>
        <v>36000</v>
      </c>
      <c r="C12" s="25" t="s">
        <v>4585</v>
      </c>
      <c r="D12" s="34" t="str">
        <f>O12</f>
        <v xml:space="preserve">        &lt;route edges="12327906#0 12327906#1 134556837 134557565#1 134557565#2 134557565#3 134558408#1 134559123 196358954#0 196358954#1 196358956#0 387423965#0 387423965#0-AddedOnRampEdge 387423966 423965484 423967352 423967353 423967354 423967355 423967356 423967358#0 423967358#2 423967359#0 423967359#1 423972760 423972761 424803250 424978639 424978640 424978643 424978644 424978646 448887867 448887868 448887869 448887870#0 448887871#0 448887871#1 485212835#0 62105282#0 62105282#1 62105282#2 62105282#3 62105282#4 62105282#6 62105282#7"/&gt; </v>
      </c>
      <c r="O12" s="35" t="s">
        <v>5343</v>
      </c>
    </row>
    <row r="13" spans="1:15" ht="15.75" thickBot="1" x14ac:dyDescent="0.3">
      <c r="A13" s="25">
        <v>7</v>
      </c>
      <c r="B13" s="25">
        <f t="shared" si="0"/>
        <v>39600</v>
      </c>
      <c r="C13" s="25" t="s">
        <v>4586</v>
      </c>
      <c r="D13" s="36" t="str">
        <f>$D$5</f>
        <v xml:space="preserve">    &lt;/vehicle&gt;</v>
      </c>
      <c r="O13" s="36"/>
    </row>
    <row r="14" spans="1:15" x14ac:dyDescent="0.25">
      <c r="A14" s="25">
        <v>8</v>
      </c>
      <c r="B14" s="25">
        <f t="shared" si="0"/>
        <v>43200</v>
      </c>
      <c r="C14" s="25" t="s">
        <v>4587</v>
      </c>
      <c r="D14" s="29" t="str">
        <f>_xlfn.CONCAT($D$6,O14,"-",VLOOKUP($E$4,$A$7:$C$23,3,FALSE),$E$5,$D$4,$F$5)</f>
        <v xml:space="preserve">    &lt;vehicle id="U_Tracker_-GRD-WB-Belmont_Conchi-NB-10pm" type="TRACKER_CAR" depart="79200" departLane="best" departPos="free" departSpeed="max" arrivalLane="current" arrivalPos="max" arrivalSpeed="current"&gt;</v>
      </c>
      <c r="O14" s="29" t="s">
        <v>5358</v>
      </c>
    </row>
    <row r="15" spans="1:15" x14ac:dyDescent="0.25">
      <c r="A15" s="25">
        <v>9</v>
      </c>
      <c r="B15" s="25">
        <f t="shared" si="0"/>
        <v>46800</v>
      </c>
      <c r="C15" s="25" t="s">
        <v>4588</v>
      </c>
      <c r="D15" s="30" t="str">
        <f>O15</f>
        <v xml:space="preserve">        &lt;route edges="12327906#0 12327906#1 134556837 134557563#0 134557563#2 134557563#5 134557563#6 134557563#8 134557565#1 134557565#2 134557565#3 134558408#1 196358954#0 196358954#1 196358956#0 387423966 423956978 423956979 423956980 423965484 423967058#1 423967352 423967353 423967354 423967355 423967356 423967358#0 423967358#2 423967359#0 423967359#1 423972760 423972761 424803245 424803247#0 424803250 424824619 424824620 424824621 424978639 424978640 424978643 424978644 424978646 448887867 448887868 448887869 448887870#0 448887871#0 448887871#1 485212835#0"/&gt;</v>
      </c>
      <c r="O15" s="31" t="s">
        <v>5342</v>
      </c>
    </row>
    <row r="16" spans="1:15" ht="15.75" thickBot="1" x14ac:dyDescent="0.3">
      <c r="A16" s="25">
        <v>10</v>
      </c>
      <c r="B16" s="25">
        <f t="shared" si="0"/>
        <v>50400</v>
      </c>
      <c r="C16" s="25" t="s">
        <v>4589</v>
      </c>
      <c r="D16" s="32" t="str">
        <f>$D$5</f>
        <v xml:space="preserve">    &lt;/vehicle&gt;</v>
      </c>
      <c r="O16" s="32"/>
    </row>
    <row r="17" spans="1:15" x14ac:dyDescent="0.25">
      <c r="A17" s="25">
        <v>11</v>
      </c>
      <c r="B17" s="25">
        <f t="shared" si="0"/>
        <v>54000</v>
      </c>
      <c r="C17" s="25" t="s">
        <v>4590</v>
      </c>
      <c r="D17" s="29" t="str">
        <f>_xlfn.CONCAT($D$6,O17,"-",VLOOKUP($E$4,$A$7:$C$23,3,FALSE),$E$5,$D$4,$F$5)</f>
        <v xml:space="preserve">    &lt;vehicle id="U_Tracker_-GRD-WB-Belmont_NB-10pm" type="TRACKER_CAR" depart="79200" departLane="best" departPos="free" departSpeed="max" arrivalLane="current" arrivalPos="max" arrivalSpeed="current"&gt;</v>
      </c>
      <c r="O17" s="33" t="s">
        <v>4597</v>
      </c>
    </row>
    <row r="18" spans="1:15" x14ac:dyDescent="0.25">
      <c r="A18" s="25">
        <v>12</v>
      </c>
      <c r="B18" s="25">
        <f t="shared" si="0"/>
        <v>57600</v>
      </c>
      <c r="C18" s="25" t="s">
        <v>4591</v>
      </c>
      <c r="D18" s="35" t="str">
        <f>O18</f>
        <v xml:space="preserve">        &lt;route edges="12327906#0 12327906#1 134556837 134557563#0 134557563#2 134557563#5 134557563#6 134557563#8 134557565#1 134557565#2 134557565#3 134558408#1 196358954#0 196358954#1 196358956#0 387423966 423956978 423956979 423956980 423965484 423967058#1 423967352 423967353 423967354 423967355 423967356 423967358#0 423967358#2 423967359#0 423967359#1 423972760 423972761 424803245 424803247#0 424803250 424824619 424824620 424824621 424978639 424978640 424978643 424978644 424978646 448887867 448887868 448887869 448887870#0 448887871#0 448887871#1 485212835#0"/&gt;</v>
      </c>
      <c r="O18" s="35" t="s">
        <v>5342</v>
      </c>
    </row>
    <row r="19" spans="1:15" ht="15.75" thickBot="1" x14ac:dyDescent="0.3">
      <c r="A19" s="25">
        <v>13</v>
      </c>
      <c r="B19" s="25">
        <f t="shared" si="0"/>
        <v>61200</v>
      </c>
      <c r="C19" s="25" t="s">
        <v>4592</v>
      </c>
      <c r="D19" s="36" t="str">
        <f>$D$5</f>
        <v xml:space="preserve">    &lt;/vehicle&gt;</v>
      </c>
      <c r="O19" s="36"/>
    </row>
    <row r="20" spans="1:15" x14ac:dyDescent="0.25">
      <c r="A20" s="25">
        <v>14</v>
      </c>
      <c r="B20" s="25">
        <f t="shared" si="0"/>
        <v>64800</v>
      </c>
      <c r="C20" s="25" t="s">
        <v>4593</v>
      </c>
      <c r="D20" s="29" t="str">
        <f>_xlfn.CONCAT($D$6,O20,"-",VLOOKUP($E$4,$A$7:$C$23,3,FALSE),$E$5,$D$4,$F$5)</f>
        <v xml:space="preserve">    &lt;vehicle id="U_Tracker_US1-Belmont_SB-Full-10pm" type="TRACKER_CAR" depart="79200" departLane="best" departPos="free" departSpeed="max" arrivalLane="current" arrivalPos="max" arrivalSpeed="current"&gt;</v>
      </c>
      <c r="O20" s="29" t="s">
        <v>4579</v>
      </c>
    </row>
    <row r="21" spans="1:15" x14ac:dyDescent="0.25">
      <c r="A21" s="25">
        <v>15</v>
      </c>
      <c r="B21" s="25">
        <f t="shared" si="0"/>
        <v>68400</v>
      </c>
      <c r="C21" s="25" t="s">
        <v>4594</v>
      </c>
      <c r="D21" s="31" t="str">
        <f>O21</f>
        <v xml:space="preserve">        &lt;route edges="12206122 104524022 42705780 448887881 448887891#0 454909270 387423968#0-AddedOnRampEdge 387423968#0 448887894#0 -448887907 -448887908 -448887906 -448887904 -180860085#4 -180860085#2 -180860085#1 -180860085#0 -12149487#2 -196358954#0 -423965484 -49940170#0 -387423966 -424978642.0 -424978642.170 -424978647#1 -423967352 -423967359#1 -423967359#0 -423967356 -424978643 -423967357 -423967353 -423967354 -423967355 -423967358#2 -423967358#1 -423967058#1 -423967058#0 -424824620 -424824619 -423956982 -424824621 -423956981 -424803245 -424803247#1 -12150712#6 -12150712#4 -12150712#3"/&gt;</v>
      </c>
      <c r="O21" s="31" t="s">
        <v>5348</v>
      </c>
    </row>
    <row r="22" spans="1:15" ht="15.75" thickBot="1" x14ac:dyDescent="0.3">
      <c r="A22" s="25">
        <v>16</v>
      </c>
      <c r="B22" s="25">
        <f t="shared" si="0"/>
        <v>72000</v>
      </c>
      <c r="C22" s="25" t="s">
        <v>4595</v>
      </c>
      <c r="D22" s="32" t="str">
        <f>$D$5</f>
        <v xml:space="preserve">    &lt;/vehicle&gt;</v>
      </c>
      <c r="O22" s="32"/>
    </row>
    <row r="23" spans="1:15" x14ac:dyDescent="0.25">
      <c r="A23" s="25">
        <v>17</v>
      </c>
      <c r="B23" s="25">
        <f>B22+60*60*2</f>
        <v>79200</v>
      </c>
      <c r="C23" s="25" t="s">
        <v>5346</v>
      </c>
      <c r="D23" s="29" t="str">
        <f>_xlfn.CONCAT($D$6,O23,"-",VLOOKUP($E$4,$A$7:$C$23,3,FALSE),$E$5,$D$4,$F$5)</f>
        <v xml:space="preserve">    &lt;vehicle id="U_Tracker_Belmont_SB-Full-10pm" type="TRACKER_CAR" depart="79200" departLane="best" departPos="free" departSpeed="max" arrivalLane="current" arrivalPos="max" arrivalSpeed="current"&gt;</v>
      </c>
      <c r="O23" s="33" t="s">
        <v>4598</v>
      </c>
    </row>
    <row r="24" spans="1:15" x14ac:dyDescent="0.25">
      <c r="D24" s="31" t="str">
        <f>O24</f>
        <v xml:space="preserve">        &lt;route edges="-424978161 -12327906#0 -448887870#1 -196358956#2 -448887867 -448887869 -448887871#2 -448887871#0 -448887868 -196358954#3 -196358954#0 -423965484 -49940170#0 -387423966 -424978642.0 -424978642.170 -424978647#1 -423967352 -423967359#1 -423967359#0 -423967356 -424978643 -423967357 -423967353 -423967354 -423967355 -423967358#2 -423967358#1 -423967058#1 -423967058#0 -424824620 -424824619 -423956982 -424824621 -423956981 -424803245 -424803247#1 -12150712#6 -12150712#4 -12150712#3"/&gt;</v>
      </c>
      <c r="O24" s="35" t="s">
        <v>5347</v>
      </c>
    </row>
    <row r="25" spans="1:15" ht="15.75" thickBot="1" x14ac:dyDescent="0.3">
      <c r="D25" s="32" t="str">
        <f>$D$5</f>
        <v xml:space="preserve">    &lt;/vehicle&gt;</v>
      </c>
      <c r="O25" s="36"/>
    </row>
    <row r="26" spans="1:15" x14ac:dyDescent="0.25">
      <c r="D26" s="29" t="str">
        <f>_xlfn.CONCAT($D$6,O26,"-",VLOOKUP($E$4,$A$7:$C$23,3,FALSE),$E$5,$D$4,$F$5)</f>
        <v xml:space="preserve">    &lt;vehicle id="U_Tracker_Belmont_Conchi-SB-Full-10pm" type="TRACKER_CAR" depart="79200" departLane="best" departPos="free" departSpeed="max" arrivalLane="current" arrivalPos="max" arrivalSpeed="current"&gt;</v>
      </c>
      <c r="O26" s="29" t="s">
        <v>5361</v>
      </c>
    </row>
    <row r="27" spans="1:15" x14ac:dyDescent="0.25">
      <c r="D27" s="31" t="str">
        <f>O27</f>
        <v xml:space="preserve">        &lt;route edges="-424978161 -12327906#0 -448887870#1 -196358956#2 -448887867 -448887869 -448887871#2 -448887871#0 -448887868 -196358954#3 -196358954#0 -423965484 -49940170#0 -387423966 -424978642.0 -424978642.170 -424978647#1 -423967352 -423967359#1 -423967359#0 -423967356 -424978643 -423967357 -423967353 -423967354 -423967355 -423967358#2 -423967358#1 -423967058#1 -423967058#0 -424824620 -424824619 -423956982 -424824621 -423956981 -424803245 -424803247#1 -12150712#6 -12150712#4 -12150712#3"/&gt;</v>
      </c>
      <c r="O27" s="31" t="s">
        <v>5347</v>
      </c>
    </row>
    <row r="28" spans="1:15" ht="15.75" thickBot="1" x14ac:dyDescent="0.3">
      <c r="D28" s="32" t="str">
        <f>$D$5</f>
        <v xml:space="preserve">    &lt;/vehicle&gt;</v>
      </c>
      <c r="O28" s="32"/>
    </row>
    <row r="29" spans="1:15" x14ac:dyDescent="0.25">
      <c r="D29" s="37"/>
      <c r="O29" s="33"/>
    </row>
    <row r="30" spans="1:15" x14ac:dyDescent="0.25">
      <c r="D30" s="37"/>
      <c r="O30" s="35"/>
    </row>
    <row r="31" spans="1:15" ht="15.75" thickBot="1" x14ac:dyDescent="0.3">
      <c r="D31" s="37"/>
      <c r="O31" s="36"/>
    </row>
    <row r="32" spans="1:15" x14ac:dyDescent="0.25">
      <c r="D32" s="37"/>
      <c r="O32" s="38"/>
    </row>
    <row r="33" spans="4:15" x14ac:dyDescent="0.25">
      <c r="D33" s="37"/>
      <c r="O33" s="38"/>
    </row>
    <row r="34" spans="4:15" x14ac:dyDescent="0.25">
      <c r="D34" s="37"/>
      <c r="O34" s="38"/>
    </row>
    <row r="35" spans="4:15" x14ac:dyDescent="0.25">
      <c r="D35" s="37"/>
      <c r="O35" s="37"/>
    </row>
    <row r="37" spans="4:15" x14ac:dyDescent="0.25">
      <c r="L37" s="25" t="s">
        <v>5353</v>
      </c>
      <c r="M37" s="25" t="s">
        <v>2512</v>
      </c>
    </row>
    <row r="38" spans="4:15" x14ac:dyDescent="0.25">
      <c r="K38" s="25" t="s">
        <v>5349</v>
      </c>
      <c r="L38" s="25" t="s">
        <v>5350</v>
      </c>
      <c r="M38" s="25" t="s">
        <v>5351</v>
      </c>
      <c r="N38" s="25" t="s">
        <v>5363</v>
      </c>
      <c r="O38" s="25" t="s">
        <v>5352</v>
      </c>
    </row>
    <row r="39" spans="4:15" ht="15.75" thickBot="1" x14ac:dyDescent="0.3"/>
    <row r="40" spans="4:15" x14ac:dyDescent="0.25">
      <c r="K40" s="26" t="str">
        <f>IF(N40=0,_xlfn.CONCAT($K$38,O40,$L$38,L40,$M$38,M40,$O$38),_xlfn.CONCAT($K$38,O40,$L$38,L40,$M$38,M40,$N$38,N40,$O$38))</f>
        <v>&lt;trip id="U_Tracker_Belmont_NB" depart="0" from="12150712#3" to="12327906#1"/&gt;</v>
      </c>
      <c r="L40" s="25" t="s">
        <v>4030</v>
      </c>
      <c r="M40" s="25" t="s">
        <v>5354</v>
      </c>
      <c r="O40" s="29" t="s">
        <v>4578</v>
      </c>
    </row>
    <row r="41" spans="4:15" x14ac:dyDescent="0.25">
      <c r="O41" s="31" t="s">
        <v>5344</v>
      </c>
    </row>
    <row r="42" spans="4:15" ht="15.75" thickBot="1" x14ac:dyDescent="0.3">
      <c r="O42" s="32"/>
    </row>
    <row r="43" spans="4:15" x14ac:dyDescent="0.25">
      <c r="K43" s="26" t="str">
        <f>IF(N43=0,_xlfn.CONCAT($K$38,O43,$L$38,L43,$M$38,M43,$O$38),_xlfn.CONCAT($K$38,O43,$L$38,L43,$M$38,M43,$N$38,N43,$O$38))</f>
        <v>&lt;trip id="U_Tracker_US1-Belmont_SB-Full" depart="0" from="12206122" to="-12150712#3"/&gt;</v>
      </c>
      <c r="L43" s="25">
        <v>12206122</v>
      </c>
      <c r="M43" s="28" t="s">
        <v>4428</v>
      </c>
      <c r="O43" s="33" t="s">
        <v>4579</v>
      </c>
    </row>
    <row r="44" spans="4:15" x14ac:dyDescent="0.25">
      <c r="O44" s="35" t="s">
        <v>5348</v>
      </c>
    </row>
    <row r="45" spans="4:15" ht="15.75" thickBot="1" x14ac:dyDescent="0.3">
      <c r="O45" s="36"/>
    </row>
    <row r="46" spans="4:15" x14ac:dyDescent="0.25">
      <c r="K46" s="26" t="str">
        <f>IF(N46=0,_xlfn.CONCAT($K$38,O46,$L$38,L46,$M$38,M46,$O$38),_xlfn.CONCAT($K$38,O46,$L$38,L46,$M$38,M46,$N$38,N46,$O$38))</f>
        <v>&lt;trip id="U_Tracker_-GRD-WB-Parkside-NB-Belmont_Conchi-NB" depart="0" from="134556837" to="12319898#1" via="387423965#0 12149612#1"/&gt;</v>
      </c>
      <c r="L46" s="25">
        <v>134556837</v>
      </c>
      <c r="M46" s="25" t="s">
        <v>5356</v>
      </c>
      <c r="N46" s="25" t="s">
        <v>5355</v>
      </c>
      <c r="O46" s="29" t="s">
        <v>5357</v>
      </c>
    </row>
    <row r="47" spans="4:15" x14ac:dyDescent="0.25">
      <c r="O47" s="31" t="s">
        <v>5343</v>
      </c>
    </row>
    <row r="48" spans="4:15" ht="15.75" thickBot="1" x14ac:dyDescent="0.3">
      <c r="O48" s="32"/>
    </row>
    <row r="49" spans="11:15" x14ac:dyDescent="0.25">
      <c r="K49" s="26" t="str">
        <f>IF(N49=0,_xlfn.CONCAT($K$38,O49,$L$38,L49,$M$38,M49,$O$38),_xlfn.CONCAT($K$38,O49,$L$38,L49,$M$38,M49,$N$38,N49,$O$38))</f>
        <v>&lt;trip id="U_Tracker_-GRD-WB-Belmont_Conchi-NB" depart="0" from="134556837" to="12319898#1" via="134557563#8"/&gt;</v>
      </c>
      <c r="L49" s="25">
        <v>134556837</v>
      </c>
      <c r="M49" s="25" t="s">
        <v>5356</v>
      </c>
      <c r="N49" s="25" t="s">
        <v>4413</v>
      </c>
      <c r="O49" s="33" t="s">
        <v>5358</v>
      </c>
    </row>
    <row r="50" spans="11:15" x14ac:dyDescent="0.25">
      <c r="O50" s="35" t="s">
        <v>5342</v>
      </c>
    </row>
    <row r="51" spans="11:15" ht="15.75" thickBot="1" x14ac:dyDescent="0.3">
      <c r="O51" s="36"/>
    </row>
    <row r="52" spans="11:15" x14ac:dyDescent="0.25">
      <c r="K52" s="26" t="str">
        <f>IF(N52=0,_xlfn.CONCAT($K$38,O52,$L$38,L52,$M$38,M52,$O$38),_xlfn.CONCAT($K$38,O52,$L$38,L52,$M$38,M52,$N$38,N52,$O$38))</f>
        <v>&lt;trip id="U_Tracker_Belmont_SB-Full" depart="0" from="-424978161" to="-12150712#3"/&gt;</v>
      </c>
      <c r="L52" s="25">
        <v>-424978161</v>
      </c>
      <c r="M52" s="25" t="s">
        <v>4428</v>
      </c>
      <c r="O52" s="29" t="s">
        <v>4598</v>
      </c>
    </row>
    <row r="53" spans="11:15" x14ac:dyDescent="0.25">
      <c r="O53" s="35" t="s">
        <v>5347</v>
      </c>
    </row>
    <row r="54" spans="11:15" ht="15.75" thickBot="1" x14ac:dyDescent="0.3"/>
    <row r="55" spans="11:15" x14ac:dyDescent="0.25">
      <c r="K55" s="26" t="str">
        <f>IF(N55=0,_xlfn.CONCAT($K$38,O55,$L$38,L55,$M$38,M55,$O$38),_xlfn.CONCAT($K$38,O55,$L$38,L55,$M$38,M55,$N$38,N55,$O$38))</f>
        <v>&lt;trip id="U_Tracker_-GRD-WB-Belmont-NB" depart="0" from="134556837" to="12327906#1" via="134557563#8"/&gt;</v>
      </c>
      <c r="L55" s="25">
        <v>134556837</v>
      </c>
      <c r="M55" s="25" t="s">
        <v>5354</v>
      </c>
      <c r="N55" s="25" t="s">
        <v>4413</v>
      </c>
      <c r="O55" s="33" t="s">
        <v>5359</v>
      </c>
    </row>
    <row r="56" spans="11:15" x14ac:dyDescent="0.25">
      <c r="O56" s="35" t="s">
        <v>5342</v>
      </c>
    </row>
    <row r="57" spans="11:15" ht="15.75" thickBot="1" x14ac:dyDescent="0.3"/>
    <row r="58" spans="11:15" x14ac:dyDescent="0.25">
      <c r="K58" s="26" t="str">
        <f>IF(N58=0,_xlfn.CONCAT($K$38,O58,$L$38,L58,$M$38,M58,$O$38),_xlfn.CONCAT($K$38,O58,$L$38,L58,$M$38,M58,$N$38,N58,$O$38))</f>
        <v>&lt;trip id="U_Tracker_Belmont_Conchi-SB-Full" depart="0" from="-12319898#1" to="-12150712#3" via="-12149612#2"/&gt;</v>
      </c>
      <c r="L58" s="25" t="s">
        <v>5360</v>
      </c>
      <c r="M58" s="25" t="s">
        <v>4428</v>
      </c>
      <c r="N58" s="25" t="s">
        <v>5362</v>
      </c>
      <c r="O58" s="29" t="s">
        <v>5361</v>
      </c>
    </row>
    <row r="59" spans="11:15" x14ac:dyDescent="0.25">
      <c r="O59" s="35" t="s">
        <v>5347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7C97D8-574C-4F91-AB3B-7745D4164CD9}">
  <sheetPr codeName="Sheet5"/>
  <dimension ref="A1:Q8288"/>
  <sheetViews>
    <sheetView workbookViewId="0">
      <selection activeCell="N63" sqref="N63"/>
    </sheetView>
  </sheetViews>
  <sheetFormatPr defaultRowHeight="15" x14ac:dyDescent="0.25"/>
  <sheetData>
    <row r="1" spans="1:1" x14ac:dyDescent="0.25">
      <c r="A1" t="s">
        <v>2687</v>
      </c>
    </row>
    <row r="2" spans="1:1" x14ac:dyDescent="0.25">
      <c r="A2" t="s">
        <v>2688</v>
      </c>
    </row>
    <row r="3" spans="1:1" x14ac:dyDescent="0.25">
      <c r="A3" t="s">
        <v>2689</v>
      </c>
    </row>
    <row r="4" spans="1:1" x14ac:dyDescent="0.25">
      <c r="A4" t="s">
        <v>2690</v>
      </c>
    </row>
    <row r="5" spans="1:1" x14ac:dyDescent="0.25">
      <c r="A5" t="s">
        <v>2691</v>
      </c>
    </row>
    <row r="6" spans="1:1" x14ac:dyDescent="0.25">
      <c r="A6" t="s">
        <v>2692</v>
      </c>
    </row>
    <row r="7" spans="1:1" x14ac:dyDescent="0.25">
      <c r="A7" t="s">
        <v>2693</v>
      </c>
    </row>
    <row r="8" spans="1:1" x14ac:dyDescent="0.25">
      <c r="A8" t="s">
        <v>2694</v>
      </c>
    </row>
    <row r="9" spans="1:1" x14ac:dyDescent="0.25">
      <c r="A9" t="s">
        <v>2695</v>
      </c>
    </row>
    <row r="10" spans="1:1" x14ac:dyDescent="0.25">
      <c r="A10" t="s">
        <v>2696</v>
      </c>
    </row>
    <row r="11" spans="1:1" x14ac:dyDescent="0.25">
      <c r="A11" t="s">
        <v>2697</v>
      </c>
    </row>
    <row r="12" spans="1:1" x14ac:dyDescent="0.25">
      <c r="A12" t="s">
        <v>2698</v>
      </c>
    </row>
    <row r="13" spans="1:1" x14ac:dyDescent="0.25">
      <c r="A13" t="s">
        <v>2699</v>
      </c>
    </row>
    <row r="14" spans="1:1" x14ac:dyDescent="0.25">
      <c r="A14" t="s">
        <v>2700</v>
      </c>
    </row>
    <row r="15" spans="1:1" x14ac:dyDescent="0.25">
      <c r="A15" t="s">
        <v>2701</v>
      </c>
    </row>
    <row r="16" spans="1:1" x14ac:dyDescent="0.25">
      <c r="A16" t="s">
        <v>2702</v>
      </c>
    </row>
    <row r="17" spans="1:1" x14ac:dyDescent="0.25">
      <c r="A17" t="s">
        <v>2703</v>
      </c>
    </row>
    <row r="18" spans="1:1" x14ac:dyDescent="0.25">
      <c r="A18" t="s">
        <v>2704</v>
      </c>
    </row>
    <row r="19" spans="1:1" x14ac:dyDescent="0.25">
      <c r="A19" t="s">
        <v>2705</v>
      </c>
    </row>
    <row r="20" spans="1:1" x14ac:dyDescent="0.25">
      <c r="A20" t="s">
        <v>2706</v>
      </c>
    </row>
    <row r="21" spans="1:1" x14ac:dyDescent="0.25">
      <c r="A21" t="s">
        <v>2707</v>
      </c>
    </row>
    <row r="22" spans="1:1" x14ac:dyDescent="0.25">
      <c r="A22" t="s">
        <v>2708</v>
      </c>
    </row>
    <row r="23" spans="1:1" x14ac:dyDescent="0.25">
      <c r="A23" t="s">
        <v>2709</v>
      </c>
    </row>
    <row r="24" spans="1:1" x14ac:dyDescent="0.25">
      <c r="A24" t="s">
        <v>2710</v>
      </c>
    </row>
    <row r="25" spans="1:1" x14ac:dyDescent="0.25">
      <c r="A25" t="s">
        <v>2711</v>
      </c>
    </row>
    <row r="26" spans="1:1" x14ac:dyDescent="0.25">
      <c r="A26" t="s">
        <v>2712</v>
      </c>
    </row>
    <row r="27" spans="1:1" x14ac:dyDescent="0.25">
      <c r="A27" t="s">
        <v>2713</v>
      </c>
    </row>
    <row r="28" spans="1:1" x14ac:dyDescent="0.25">
      <c r="A28" t="s">
        <v>2714</v>
      </c>
    </row>
    <row r="29" spans="1:1" x14ac:dyDescent="0.25">
      <c r="A29" t="s">
        <v>2714</v>
      </c>
    </row>
    <row r="30" spans="1:1" x14ac:dyDescent="0.25">
      <c r="A30" t="s">
        <v>2714</v>
      </c>
    </row>
    <row r="31" spans="1:1" x14ac:dyDescent="0.25">
      <c r="A31" t="s">
        <v>2714</v>
      </c>
    </row>
    <row r="32" spans="1:1" x14ac:dyDescent="0.25">
      <c r="A32" t="s">
        <v>2714</v>
      </c>
    </row>
    <row r="33" spans="1:1" x14ac:dyDescent="0.25">
      <c r="A33" t="s">
        <v>2714</v>
      </c>
    </row>
    <row r="34" spans="1:1" x14ac:dyDescent="0.25">
      <c r="A34" t="s">
        <v>2714</v>
      </c>
    </row>
    <row r="35" spans="1:1" x14ac:dyDescent="0.25">
      <c r="A35" t="s">
        <v>2714</v>
      </c>
    </row>
    <row r="36" spans="1:1" x14ac:dyDescent="0.25">
      <c r="A36" t="s">
        <v>2714</v>
      </c>
    </row>
    <row r="37" spans="1:1" x14ac:dyDescent="0.25">
      <c r="A37" t="s">
        <v>2714</v>
      </c>
    </row>
    <row r="38" spans="1:1" x14ac:dyDescent="0.25">
      <c r="A38" t="s">
        <v>2714</v>
      </c>
    </row>
    <row r="39" spans="1:1" x14ac:dyDescent="0.25">
      <c r="A39" t="s">
        <v>2714</v>
      </c>
    </row>
    <row r="40" spans="1:1" x14ac:dyDescent="0.25">
      <c r="A40" t="s">
        <v>2714</v>
      </c>
    </row>
    <row r="41" spans="1:1" x14ac:dyDescent="0.25">
      <c r="A41" t="s">
        <v>2714</v>
      </c>
    </row>
    <row r="42" spans="1:1" x14ac:dyDescent="0.25">
      <c r="A42" t="s">
        <v>2714</v>
      </c>
    </row>
    <row r="43" spans="1:1" x14ac:dyDescent="0.25">
      <c r="A43" t="s">
        <v>2714</v>
      </c>
    </row>
    <row r="44" spans="1:1" x14ac:dyDescent="0.25">
      <c r="A44" t="s">
        <v>2714</v>
      </c>
    </row>
    <row r="45" spans="1:1" x14ac:dyDescent="0.25">
      <c r="A45" t="s">
        <v>2714</v>
      </c>
    </row>
    <row r="46" spans="1:1" x14ac:dyDescent="0.25">
      <c r="A46" t="s">
        <v>2714</v>
      </c>
    </row>
    <row r="47" spans="1:1" x14ac:dyDescent="0.25">
      <c r="A47" t="s">
        <v>2714</v>
      </c>
    </row>
    <row r="48" spans="1:1" x14ac:dyDescent="0.25">
      <c r="A48" t="s">
        <v>2714</v>
      </c>
    </row>
    <row r="49" spans="1:17" x14ac:dyDescent="0.25">
      <c r="A49" t="s">
        <v>2714</v>
      </c>
    </row>
    <row r="50" spans="1:17" x14ac:dyDescent="0.25">
      <c r="A50" t="s">
        <v>2714</v>
      </c>
    </row>
    <row r="51" spans="1:17" x14ac:dyDescent="0.25">
      <c r="A51" t="s">
        <v>2714</v>
      </c>
    </row>
    <row r="52" spans="1:17" x14ac:dyDescent="0.25">
      <c r="A52" t="s">
        <v>2714</v>
      </c>
    </row>
    <row r="53" spans="1:17" x14ac:dyDescent="0.25">
      <c r="A53" t="s">
        <v>2714</v>
      </c>
    </row>
    <row r="54" spans="1:17" x14ac:dyDescent="0.25">
      <c r="A54" t="s">
        <v>2714</v>
      </c>
    </row>
    <row r="55" spans="1:17" x14ac:dyDescent="0.25">
      <c r="A55" t="s">
        <v>2714</v>
      </c>
    </row>
    <row r="56" spans="1:17" x14ac:dyDescent="0.25">
      <c r="A56" t="s">
        <v>2714</v>
      </c>
      <c r="L56">
        <f>714*2</f>
        <v>1428</v>
      </c>
      <c r="M56">
        <v>2</v>
      </c>
      <c r="N56">
        <v>3</v>
      </c>
      <c r="O56">
        <v>4</v>
      </c>
      <c r="P56">
        <v>5</v>
      </c>
      <c r="Q56">
        <v>6</v>
      </c>
    </row>
    <row r="57" spans="1:17" x14ac:dyDescent="0.25">
      <c r="A57" t="s">
        <v>2714</v>
      </c>
      <c r="L57">
        <v>734</v>
      </c>
      <c r="M57">
        <f>$L$57*M56</f>
        <v>1468</v>
      </c>
      <c r="N57">
        <f>$L$57*N56</f>
        <v>2202</v>
      </c>
      <c r="O57">
        <f>$L$57*O56</f>
        <v>2936</v>
      </c>
      <c r="P57">
        <f>$L$57*P56</f>
        <v>3670</v>
      </c>
      <c r="Q57">
        <f>$L$57*Q56</f>
        <v>4404</v>
      </c>
    </row>
    <row r="58" spans="1:17" x14ac:dyDescent="0.25">
      <c r="A58" t="s">
        <v>2714</v>
      </c>
      <c r="L58">
        <v>714</v>
      </c>
      <c r="M58">
        <f>$L$58*M56</f>
        <v>1428</v>
      </c>
      <c r="N58">
        <f>$L$58*N56</f>
        <v>2142</v>
      </c>
      <c r="O58">
        <f>$L$58*O56</f>
        <v>2856</v>
      </c>
      <c r="P58">
        <f>$L$58*P56</f>
        <v>3570</v>
      </c>
      <c r="Q58">
        <f>$L$58*Q56</f>
        <v>4284</v>
      </c>
    </row>
    <row r="59" spans="1:17" x14ac:dyDescent="0.25">
      <c r="A59" t="s">
        <v>2714</v>
      </c>
    </row>
    <row r="60" spans="1:17" x14ac:dyDescent="0.25">
      <c r="A60" t="s">
        <v>2714</v>
      </c>
    </row>
    <row r="61" spans="1:17" x14ac:dyDescent="0.25">
      <c r="A61" t="s">
        <v>2686</v>
      </c>
    </row>
    <row r="62" spans="1:17" x14ac:dyDescent="0.25">
      <c r="A62" t="s">
        <v>2713</v>
      </c>
      <c r="M62">
        <v>-2125.5</v>
      </c>
      <c r="N62">
        <v>3380.2</v>
      </c>
    </row>
    <row r="63" spans="1:17" x14ac:dyDescent="0.25">
      <c r="A63" t="s">
        <v>2714</v>
      </c>
      <c r="M63">
        <v>2982.88</v>
      </c>
      <c r="N63">
        <v>1569.78</v>
      </c>
    </row>
    <row r="64" spans="1:17" x14ac:dyDescent="0.25">
      <c r="A64" t="s">
        <v>2714</v>
      </c>
      <c r="M64">
        <f>M62-M63</f>
        <v>-5108.38</v>
      </c>
      <c r="N64">
        <f>N62-N63</f>
        <v>1810.4199999999998</v>
      </c>
    </row>
    <row r="65" spans="1:1" x14ac:dyDescent="0.25">
      <c r="A65" t="s">
        <v>2714</v>
      </c>
    </row>
    <row r="66" spans="1:1" x14ac:dyDescent="0.25">
      <c r="A66" t="s">
        <v>2714</v>
      </c>
    </row>
    <row r="67" spans="1:1" x14ac:dyDescent="0.25">
      <c r="A67" t="s">
        <v>2714</v>
      </c>
    </row>
    <row r="68" spans="1:1" x14ac:dyDescent="0.25">
      <c r="A68" t="s">
        <v>2714</v>
      </c>
    </row>
    <row r="69" spans="1:1" x14ac:dyDescent="0.25">
      <c r="A69" t="s">
        <v>2714</v>
      </c>
    </row>
    <row r="70" spans="1:1" x14ac:dyDescent="0.25">
      <c r="A70" t="s">
        <v>2714</v>
      </c>
    </row>
    <row r="71" spans="1:1" x14ac:dyDescent="0.25">
      <c r="A71" t="s">
        <v>2714</v>
      </c>
    </row>
    <row r="72" spans="1:1" x14ac:dyDescent="0.25">
      <c r="A72" t="s">
        <v>2714</v>
      </c>
    </row>
    <row r="73" spans="1:1" x14ac:dyDescent="0.25">
      <c r="A73" t="s">
        <v>2714</v>
      </c>
    </row>
    <row r="74" spans="1:1" x14ac:dyDescent="0.25">
      <c r="A74" t="s">
        <v>2714</v>
      </c>
    </row>
    <row r="75" spans="1:1" x14ac:dyDescent="0.25">
      <c r="A75" t="s">
        <v>2714</v>
      </c>
    </row>
    <row r="76" spans="1:1" x14ac:dyDescent="0.25">
      <c r="A76" t="s">
        <v>2715</v>
      </c>
    </row>
    <row r="77" spans="1:1" x14ac:dyDescent="0.25">
      <c r="A77" t="s">
        <v>2716</v>
      </c>
    </row>
    <row r="78" spans="1:1" x14ac:dyDescent="0.25">
      <c r="A78" t="s">
        <v>2717</v>
      </c>
    </row>
    <row r="79" spans="1:1" x14ac:dyDescent="0.25">
      <c r="A79" t="s">
        <v>2718</v>
      </c>
    </row>
    <row r="80" spans="1:1" x14ac:dyDescent="0.25">
      <c r="A80" t="s">
        <v>2719</v>
      </c>
    </row>
    <row r="81" spans="1:1" x14ac:dyDescent="0.25">
      <c r="A81" t="s">
        <v>2720</v>
      </c>
    </row>
    <row r="82" spans="1:1" x14ac:dyDescent="0.25">
      <c r="A82" t="s">
        <v>2721</v>
      </c>
    </row>
    <row r="83" spans="1:1" x14ac:dyDescent="0.25">
      <c r="A83" t="s">
        <v>2722</v>
      </c>
    </row>
    <row r="84" spans="1:1" x14ac:dyDescent="0.25">
      <c r="A84" t="s">
        <v>2723</v>
      </c>
    </row>
    <row r="85" spans="1:1" x14ac:dyDescent="0.25">
      <c r="A85" t="s">
        <v>2724</v>
      </c>
    </row>
    <row r="86" spans="1:1" x14ac:dyDescent="0.25">
      <c r="A86" t="s">
        <v>2725</v>
      </c>
    </row>
    <row r="87" spans="1:1" x14ac:dyDescent="0.25">
      <c r="A87" t="s">
        <v>2726</v>
      </c>
    </row>
    <row r="88" spans="1:1" x14ac:dyDescent="0.25">
      <c r="A88" t="s">
        <v>2727</v>
      </c>
    </row>
    <row r="89" spans="1:1" x14ac:dyDescent="0.25">
      <c r="A89" t="s">
        <v>2728</v>
      </c>
    </row>
    <row r="90" spans="1:1" x14ac:dyDescent="0.25">
      <c r="A90" t="s">
        <v>2729</v>
      </c>
    </row>
    <row r="91" spans="1:1" x14ac:dyDescent="0.25">
      <c r="A91" t="s">
        <v>2730</v>
      </c>
    </row>
    <row r="92" spans="1:1" x14ac:dyDescent="0.25">
      <c r="A92" t="s">
        <v>2731</v>
      </c>
    </row>
    <row r="93" spans="1:1" x14ac:dyDescent="0.25">
      <c r="A93" t="s">
        <v>2732</v>
      </c>
    </row>
    <row r="94" spans="1:1" x14ac:dyDescent="0.25">
      <c r="A94" t="s">
        <v>2733</v>
      </c>
    </row>
    <row r="95" spans="1:1" x14ac:dyDescent="0.25">
      <c r="A95" t="s">
        <v>2734</v>
      </c>
    </row>
    <row r="96" spans="1:1" x14ac:dyDescent="0.25">
      <c r="A96" t="s">
        <v>2735</v>
      </c>
    </row>
    <row r="97" spans="1:1" x14ac:dyDescent="0.25">
      <c r="A97" t="s">
        <v>2736</v>
      </c>
    </row>
    <row r="98" spans="1:1" x14ac:dyDescent="0.25">
      <c r="A98" t="s">
        <v>2713</v>
      </c>
    </row>
    <row r="99" spans="1:1" x14ac:dyDescent="0.25">
      <c r="A99" t="s">
        <v>2714</v>
      </c>
    </row>
    <row r="100" spans="1:1" x14ac:dyDescent="0.25">
      <c r="A100" t="s">
        <v>2714</v>
      </c>
    </row>
    <row r="101" spans="1:1" x14ac:dyDescent="0.25">
      <c r="A101" t="s">
        <v>2714</v>
      </c>
    </row>
    <row r="102" spans="1:1" x14ac:dyDescent="0.25">
      <c r="A102" t="s">
        <v>2714</v>
      </c>
    </row>
    <row r="103" spans="1:1" x14ac:dyDescent="0.25">
      <c r="A103" t="s">
        <v>2714</v>
      </c>
    </row>
    <row r="104" spans="1:1" x14ac:dyDescent="0.25">
      <c r="A104" t="s">
        <v>2714</v>
      </c>
    </row>
    <row r="105" spans="1:1" x14ac:dyDescent="0.25">
      <c r="A105" t="s">
        <v>2714</v>
      </c>
    </row>
    <row r="106" spans="1:1" x14ac:dyDescent="0.25">
      <c r="A106" t="s">
        <v>2714</v>
      </c>
    </row>
    <row r="107" spans="1:1" x14ac:dyDescent="0.25">
      <c r="A107" t="s">
        <v>2714</v>
      </c>
    </row>
    <row r="108" spans="1:1" x14ac:dyDescent="0.25">
      <c r="A108" t="s">
        <v>2714</v>
      </c>
    </row>
    <row r="109" spans="1:1" x14ac:dyDescent="0.25">
      <c r="A109" t="s">
        <v>2714</v>
      </c>
    </row>
    <row r="110" spans="1:1" x14ac:dyDescent="0.25">
      <c r="A110" t="s">
        <v>2714</v>
      </c>
    </row>
    <row r="111" spans="1:1" x14ac:dyDescent="0.25">
      <c r="A111" t="s">
        <v>2714</v>
      </c>
    </row>
    <row r="112" spans="1:1" x14ac:dyDescent="0.25">
      <c r="A112" t="s">
        <v>2714</v>
      </c>
    </row>
    <row r="113" spans="1:1" x14ac:dyDescent="0.25">
      <c r="A113" t="s">
        <v>2714</v>
      </c>
    </row>
    <row r="114" spans="1:1" x14ac:dyDescent="0.25">
      <c r="A114" t="s">
        <v>2714</v>
      </c>
    </row>
    <row r="115" spans="1:1" x14ac:dyDescent="0.25">
      <c r="A115" t="s">
        <v>2714</v>
      </c>
    </row>
    <row r="116" spans="1:1" x14ac:dyDescent="0.25">
      <c r="A116" t="s">
        <v>2714</v>
      </c>
    </row>
    <row r="117" spans="1:1" x14ac:dyDescent="0.25">
      <c r="A117" t="s">
        <v>2714</v>
      </c>
    </row>
    <row r="118" spans="1:1" x14ac:dyDescent="0.25">
      <c r="A118" t="s">
        <v>2714</v>
      </c>
    </row>
    <row r="119" spans="1:1" x14ac:dyDescent="0.25">
      <c r="A119" t="s">
        <v>2714</v>
      </c>
    </row>
    <row r="120" spans="1:1" x14ac:dyDescent="0.25">
      <c r="A120" t="s">
        <v>2714</v>
      </c>
    </row>
    <row r="121" spans="1:1" x14ac:dyDescent="0.25">
      <c r="A121" t="s">
        <v>2714</v>
      </c>
    </row>
    <row r="122" spans="1:1" x14ac:dyDescent="0.25">
      <c r="A122" t="s">
        <v>2714</v>
      </c>
    </row>
    <row r="123" spans="1:1" x14ac:dyDescent="0.25">
      <c r="A123" t="s">
        <v>2714</v>
      </c>
    </row>
    <row r="124" spans="1:1" x14ac:dyDescent="0.25">
      <c r="A124" t="s">
        <v>2714</v>
      </c>
    </row>
    <row r="125" spans="1:1" x14ac:dyDescent="0.25">
      <c r="A125" t="s">
        <v>2714</v>
      </c>
    </row>
    <row r="126" spans="1:1" x14ac:dyDescent="0.25">
      <c r="A126" t="s">
        <v>2714</v>
      </c>
    </row>
    <row r="127" spans="1:1" x14ac:dyDescent="0.25">
      <c r="A127" t="s">
        <v>2714</v>
      </c>
    </row>
    <row r="128" spans="1:1" x14ac:dyDescent="0.25">
      <c r="A128" t="s">
        <v>2714</v>
      </c>
    </row>
    <row r="129" spans="1:1" x14ac:dyDescent="0.25">
      <c r="A129" t="s">
        <v>2714</v>
      </c>
    </row>
    <row r="130" spans="1:1" x14ac:dyDescent="0.25">
      <c r="A130" t="s">
        <v>2714</v>
      </c>
    </row>
    <row r="131" spans="1:1" x14ac:dyDescent="0.25">
      <c r="A131" t="s">
        <v>2714</v>
      </c>
    </row>
    <row r="132" spans="1:1" x14ac:dyDescent="0.25">
      <c r="A132" t="s">
        <v>2714</v>
      </c>
    </row>
    <row r="133" spans="1:1" x14ac:dyDescent="0.25">
      <c r="A133" t="s">
        <v>2714</v>
      </c>
    </row>
    <row r="134" spans="1:1" x14ac:dyDescent="0.25">
      <c r="A134" t="s">
        <v>2714</v>
      </c>
    </row>
    <row r="135" spans="1:1" x14ac:dyDescent="0.25">
      <c r="A135" t="s">
        <v>2714</v>
      </c>
    </row>
    <row r="136" spans="1:1" x14ac:dyDescent="0.25">
      <c r="A136" t="s">
        <v>2686</v>
      </c>
    </row>
    <row r="137" spans="1:1" x14ac:dyDescent="0.25">
      <c r="A137" t="s">
        <v>2687</v>
      </c>
    </row>
    <row r="138" spans="1:1" x14ac:dyDescent="0.25">
      <c r="A138" t="s">
        <v>2713</v>
      </c>
    </row>
    <row r="139" spans="1:1" x14ac:dyDescent="0.25">
      <c r="A139" t="s">
        <v>2714</v>
      </c>
    </row>
    <row r="140" spans="1:1" x14ac:dyDescent="0.25">
      <c r="A140" t="s">
        <v>2714</v>
      </c>
    </row>
    <row r="141" spans="1:1" x14ac:dyDescent="0.25">
      <c r="A141" t="s">
        <v>2714</v>
      </c>
    </row>
    <row r="142" spans="1:1" x14ac:dyDescent="0.25">
      <c r="A142" t="s">
        <v>2714</v>
      </c>
    </row>
    <row r="143" spans="1:1" x14ac:dyDescent="0.25">
      <c r="A143" t="s">
        <v>2714</v>
      </c>
    </row>
    <row r="144" spans="1:1" x14ac:dyDescent="0.25">
      <c r="A144" t="s">
        <v>2714</v>
      </c>
    </row>
    <row r="145" spans="1:1" x14ac:dyDescent="0.25">
      <c r="A145" t="s">
        <v>2714</v>
      </c>
    </row>
    <row r="146" spans="1:1" x14ac:dyDescent="0.25">
      <c r="A146" t="s">
        <v>2714</v>
      </c>
    </row>
    <row r="147" spans="1:1" x14ac:dyDescent="0.25">
      <c r="A147" t="s">
        <v>2714</v>
      </c>
    </row>
    <row r="148" spans="1:1" x14ac:dyDescent="0.25">
      <c r="A148" t="s">
        <v>2714</v>
      </c>
    </row>
    <row r="149" spans="1:1" x14ac:dyDescent="0.25">
      <c r="A149" t="s">
        <v>2714</v>
      </c>
    </row>
    <row r="150" spans="1:1" x14ac:dyDescent="0.25">
      <c r="A150" t="s">
        <v>2714</v>
      </c>
    </row>
    <row r="151" spans="1:1" x14ac:dyDescent="0.25">
      <c r="A151" t="s">
        <v>2714</v>
      </c>
    </row>
    <row r="152" spans="1:1" x14ac:dyDescent="0.25">
      <c r="A152" t="s">
        <v>2714</v>
      </c>
    </row>
    <row r="153" spans="1:1" x14ac:dyDescent="0.25">
      <c r="A153" t="s">
        <v>2714</v>
      </c>
    </row>
    <row r="154" spans="1:1" x14ac:dyDescent="0.25">
      <c r="A154" t="s">
        <v>2714</v>
      </c>
    </row>
    <row r="155" spans="1:1" x14ac:dyDescent="0.25">
      <c r="A155" t="s">
        <v>2714</v>
      </c>
    </row>
    <row r="156" spans="1:1" x14ac:dyDescent="0.25">
      <c r="A156" t="s">
        <v>2714</v>
      </c>
    </row>
    <row r="157" spans="1:1" x14ac:dyDescent="0.25">
      <c r="A157" t="s">
        <v>2714</v>
      </c>
    </row>
    <row r="158" spans="1:1" x14ac:dyDescent="0.25">
      <c r="A158" t="s">
        <v>2714</v>
      </c>
    </row>
    <row r="159" spans="1:1" x14ac:dyDescent="0.25">
      <c r="A159" t="s">
        <v>2714</v>
      </c>
    </row>
    <row r="160" spans="1:1" x14ac:dyDescent="0.25">
      <c r="A160" t="s">
        <v>2714</v>
      </c>
    </row>
    <row r="161" spans="1:1" x14ac:dyDescent="0.25">
      <c r="A161" t="s">
        <v>2714</v>
      </c>
    </row>
    <row r="162" spans="1:1" x14ac:dyDescent="0.25">
      <c r="A162" t="s">
        <v>2714</v>
      </c>
    </row>
    <row r="163" spans="1:1" x14ac:dyDescent="0.25">
      <c r="A163" t="s">
        <v>2714</v>
      </c>
    </row>
    <row r="164" spans="1:1" x14ac:dyDescent="0.25">
      <c r="A164" t="s">
        <v>2714</v>
      </c>
    </row>
    <row r="165" spans="1:1" x14ac:dyDescent="0.25">
      <c r="A165" t="s">
        <v>2714</v>
      </c>
    </row>
    <row r="166" spans="1:1" x14ac:dyDescent="0.25">
      <c r="A166" t="s">
        <v>2714</v>
      </c>
    </row>
    <row r="167" spans="1:1" x14ac:dyDescent="0.25">
      <c r="A167" t="s">
        <v>2714</v>
      </c>
    </row>
    <row r="168" spans="1:1" x14ac:dyDescent="0.25">
      <c r="A168" t="s">
        <v>2714</v>
      </c>
    </row>
    <row r="169" spans="1:1" x14ac:dyDescent="0.25">
      <c r="A169" t="s">
        <v>2714</v>
      </c>
    </row>
    <row r="170" spans="1:1" x14ac:dyDescent="0.25">
      <c r="A170" t="s">
        <v>2714</v>
      </c>
    </row>
    <row r="171" spans="1:1" x14ac:dyDescent="0.25">
      <c r="A171" t="s">
        <v>2714</v>
      </c>
    </row>
    <row r="172" spans="1:1" x14ac:dyDescent="0.25">
      <c r="A172" t="s">
        <v>2714</v>
      </c>
    </row>
    <row r="173" spans="1:1" x14ac:dyDescent="0.25">
      <c r="A173" t="s">
        <v>2714</v>
      </c>
    </row>
    <row r="174" spans="1:1" x14ac:dyDescent="0.25">
      <c r="A174" t="s">
        <v>2714</v>
      </c>
    </row>
    <row r="175" spans="1:1" x14ac:dyDescent="0.25">
      <c r="A175" t="s">
        <v>2714</v>
      </c>
    </row>
    <row r="176" spans="1:1" x14ac:dyDescent="0.25">
      <c r="A176" t="s">
        <v>2714</v>
      </c>
    </row>
    <row r="177" spans="1:1" x14ac:dyDescent="0.25">
      <c r="A177" t="s">
        <v>2714</v>
      </c>
    </row>
    <row r="178" spans="1:1" x14ac:dyDescent="0.25">
      <c r="A178" t="s">
        <v>2714</v>
      </c>
    </row>
    <row r="179" spans="1:1" x14ac:dyDescent="0.25">
      <c r="A179" t="s">
        <v>2714</v>
      </c>
    </row>
    <row r="180" spans="1:1" x14ac:dyDescent="0.25">
      <c r="A180" t="s">
        <v>2714</v>
      </c>
    </row>
    <row r="181" spans="1:1" x14ac:dyDescent="0.25">
      <c r="A181" t="s">
        <v>2714</v>
      </c>
    </row>
    <row r="182" spans="1:1" x14ac:dyDescent="0.25">
      <c r="A182" t="s">
        <v>2714</v>
      </c>
    </row>
    <row r="183" spans="1:1" x14ac:dyDescent="0.25">
      <c r="A183" t="s">
        <v>2714</v>
      </c>
    </row>
    <row r="184" spans="1:1" x14ac:dyDescent="0.25">
      <c r="A184" t="s">
        <v>2714</v>
      </c>
    </row>
    <row r="185" spans="1:1" x14ac:dyDescent="0.25">
      <c r="A185" t="s">
        <v>2714</v>
      </c>
    </row>
    <row r="186" spans="1:1" x14ac:dyDescent="0.25">
      <c r="A186" t="s">
        <v>2714</v>
      </c>
    </row>
    <row r="187" spans="1:1" x14ac:dyDescent="0.25">
      <c r="A187" t="s">
        <v>2714</v>
      </c>
    </row>
    <row r="188" spans="1:1" x14ac:dyDescent="0.25">
      <c r="A188" t="s">
        <v>2714</v>
      </c>
    </row>
    <row r="189" spans="1:1" x14ac:dyDescent="0.25">
      <c r="A189" t="s">
        <v>2714</v>
      </c>
    </row>
    <row r="190" spans="1:1" x14ac:dyDescent="0.25">
      <c r="A190" t="s">
        <v>2714</v>
      </c>
    </row>
    <row r="191" spans="1:1" x14ac:dyDescent="0.25">
      <c r="A191" t="s">
        <v>2714</v>
      </c>
    </row>
    <row r="192" spans="1:1" x14ac:dyDescent="0.25">
      <c r="A192" t="s">
        <v>2714</v>
      </c>
    </row>
    <row r="193" spans="1:1" x14ac:dyDescent="0.25">
      <c r="A193" t="s">
        <v>2714</v>
      </c>
    </row>
    <row r="194" spans="1:1" x14ac:dyDescent="0.25">
      <c r="A194" t="s">
        <v>2714</v>
      </c>
    </row>
    <row r="195" spans="1:1" x14ac:dyDescent="0.25">
      <c r="A195" t="s">
        <v>2714</v>
      </c>
    </row>
    <row r="196" spans="1:1" x14ac:dyDescent="0.25">
      <c r="A196" t="s">
        <v>2714</v>
      </c>
    </row>
    <row r="197" spans="1:1" x14ac:dyDescent="0.25">
      <c r="A197" t="s">
        <v>2737</v>
      </c>
    </row>
    <row r="198" spans="1:1" x14ac:dyDescent="0.25">
      <c r="A198" t="s">
        <v>2738</v>
      </c>
    </row>
    <row r="199" spans="1:1" x14ac:dyDescent="0.25">
      <c r="A199" t="s">
        <v>2739</v>
      </c>
    </row>
    <row r="200" spans="1:1" x14ac:dyDescent="0.25">
      <c r="A200" t="s">
        <v>2740</v>
      </c>
    </row>
    <row r="201" spans="1:1" x14ac:dyDescent="0.25">
      <c r="A201" t="s">
        <v>2741</v>
      </c>
    </row>
    <row r="202" spans="1:1" x14ac:dyDescent="0.25">
      <c r="A202" t="s">
        <v>2742</v>
      </c>
    </row>
    <row r="203" spans="1:1" x14ac:dyDescent="0.25">
      <c r="A203" t="s">
        <v>2743</v>
      </c>
    </row>
    <row r="204" spans="1:1" x14ac:dyDescent="0.25">
      <c r="A204" t="s">
        <v>2744</v>
      </c>
    </row>
    <row r="205" spans="1:1" x14ac:dyDescent="0.25">
      <c r="A205" t="s">
        <v>2745</v>
      </c>
    </row>
    <row r="206" spans="1:1" x14ac:dyDescent="0.25">
      <c r="A206" t="s">
        <v>2746</v>
      </c>
    </row>
    <row r="207" spans="1:1" x14ac:dyDescent="0.25">
      <c r="A207" t="s">
        <v>2746</v>
      </c>
    </row>
    <row r="208" spans="1:1" x14ac:dyDescent="0.25">
      <c r="A208" t="s">
        <v>2747</v>
      </c>
    </row>
    <row r="209" spans="1:1" x14ac:dyDescent="0.25">
      <c r="A209" t="s">
        <v>2747</v>
      </c>
    </row>
    <row r="210" spans="1:1" x14ac:dyDescent="0.25">
      <c r="A210" t="s">
        <v>2748</v>
      </c>
    </row>
    <row r="211" spans="1:1" x14ac:dyDescent="0.25">
      <c r="A211" t="s">
        <v>2749</v>
      </c>
    </row>
    <row r="212" spans="1:1" x14ac:dyDescent="0.25">
      <c r="A212" t="s">
        <v>2750</v>
      </c>
    </row>
    <row r="213" spans="1:1" x14ac:dyDescent="0.25">
      <c r="A213" t="s">
        <v>2751</v>
      </c>
    </row>
    <row r="214" spans="1:1" x14ac:dyDescent="0.25">
      <c r="A214" t="s">
        <v>2752</v>
      </c>
    </row>
    <row r="215" spans="1:1" x14ac:dyDescent="0.25">
      <c r="A215" t="s">
        <v>2753</v>
      </c>
    </row>
    <row r="216" spans="1:1" x14ac:dyDescent="0.25">
      <c r="A216" t="s">
        <v>2754</v>
      </c>
    </row>
    <row r="217" spans="1:1" x14ac:dyDescent="0.25">
      <c r="A217" t="s">
        <v>2755</v>
      </c>
    </row>
    <row r="218" spans="1:1" x14ac:dyDescent="0.25">
      <c r="A218" t="s">
        <v>2756</v>
      </c>
    </row>
    <row r="219" spans="1:1" x14ac:dyDescent="0.25">
      <c r="A219" t="s">
        <v>2757</v>
      </c>
    </row>
    <row r="220" spans="1:1" x14ac:dyDescent="0.25">
      <c r="A220" t="s">
        <v>2758</v>
      </c>
    </row>
    <row r="221" spans="1:1" x14ac:dyDescent="0.25">
      <c r="A221" t="s">
        <v>2759</v>
      </c>
    </row>
    <row r="222" spans="1:1" x14ac:dyDescent="0.25">
      <c r="A222" t="s">
        <v>2760</v>
      </c>
    </row>
    <row r="223" spans="1:1" x14ac:dyDescent="0.25">
      <c r="A223" t="s">
        <v>2761</v>
      </c>
    </row>
    <row r="224" spans="1:1" x14ac:dyDescent="0.25">
      <c r="A224" t="s">
        <v>2762</v>
      </c>
    </row>
    <row r="225" spans="1:1" x14ac:dyDescent="0.25">
      <c r="A225" t="s">
        <v>2763</v>
      </c>
    </row>
    <row r="226" spans="1:1" x14ac:dyDescent="0.25">
      <c r="A226" t="s">
        <v>2764</v>
      </c>
    </row>
    <row r="227" spans="1:1" x14ac:dyDescent="0.25">
      <c r="A227" t="s">
        <v>2765</v>
      </c>
    </row>
    <row r="228" spans="1:1" x14ac:dyDescent="0.25">
      <c r="A228" t="s">
        <v>2766</v>
      </c>
    </row>
    <row r="229" spans="1:1" x14ac:dyDescent="0.25">
      <c r="A229" t="s">
        <v>2767</v>
      </c>
    </row>
    <row r="230" spans="1:1" x14ac:dyDescent="0.25">
      <c r="A230" t="s">
        <v>2768</v>
      </c>
    </row>
    <row r="231" spans="1:1" x14ac:dyDescent="0.25">
      <c r="A231" t="s">
        <v>2769</v>
      </c>
    </row>
    <row r="232" spans="1:1" x14ac:dyDescent="0.25">
      <c r="A232" t="s">
        <v>2770</v>
      </c>
    </row>
    <row r="233" spans="1:1" x14ac:dyDescent="0.25">
      <c r="A233" t="s">
        <v>2771</v>
      </c>
    </row>
    <row r="234" spans="1:1" x14ac:dyDescent="0.25">
      <c r="A234" t="s">
        <v>2772</v>
      </c>
    </row>
    <row r="235" spans="1:1" x14ac:dyDescent="0.25">
      <c r="A235" t="s">
        <v>2773</v>
      </c>
    </row>
    <row r="236" spans="1:1" x14ac:dyDescent="0.25">
      <c r="A236" t="s">
        <v>2774</v>
      </c>
    </row>
    <row r="237" spans="1:1" x14ac:dyDescent="0.25">
      <c r="A237" t="s">
        <v>2713</v>
      </c>
    </row>
    <row r="238" spans="1:1" x14ac:dyDescent="0.25">
      <c r="A238" t="s">
        <v>2714</v>
      </c>
    </row>
    <row r="239" spans="1:1" x14ac:dyDescent="0.25">
      <c r="A239" t="s">
        <v>2714</v>
      </c>
    </row>
    <row r="240" spans="1:1" x14ac:dyDescent="0.25">
      <c r="A240" t="s">
        <v>2714</v>
      </c>
    </row>
    <row r="241" spans="1:1" x14ac:dyDescent="0.25">
      <c r="A241" t="s">
        <v>2714</v>
      </c>
    </row>
    <row r="242" spans="1:1" x14ac:dyDescent="0.25">
      <c r="A242" t="s">
        <v>2714</v>
      </c>
    </row>
    <row r="243" spans="1:1" x14ac:dyDescent="0.25">
      <c r="A243" t="s">
        <v>2714</v>
      </c>
    </row>
    <row r="244" spans="1:1" x14ac:dyDescent="0.25">
      <c r="A244" t="s">
        <v>2714</v>
      </c>
    </row>
    <row r="245" spans="1:1" x14ac:dyDescent="0.25">
      <c r="A245" t="s">
        <v>2714</v>
      </c>
    </row>
    <row r="246" spans="1:1" x14ac:dyDescent="0.25">
      <c r="A246" t="s">
        <v>2714</v>
      </c>
    </row>
    <row r="247" spans="1:1" x14ac:dyDescent="0.25">
      <c r="A247" t="s">
        <v>2714</v>
      </c>
    </row>
    <row r="248" spans="1:1" x14ac:dyDescent="0.25">
      <c r="A248" t="s">
        <v>2714</v>
      </c>
    </row>
    <row r="249" spans="1:1" x14ac:dyDescent="0.25">
      <c r="A249" t="s">
        <v>2714</v>
      </c>
    </row>
    <row r="250" spans="1:1" x14ac:dyDescent="0.25">
      <c r="A250" t="s">
        <v>2714</v>
      </c>
    </row>
    <row r="251" spans="1:1" x14ac:dyDescent="0.25">
      <c r="A251" t="s">
        <v>2714</v>
      </c>
    </row>
    <row r="252" spans="1:1" x14ac:dyDescent="0.25">
      <c r="A252" t="s">
        <v>2714</v>
      </c>
    </row>
    <row r="253" spans="1:1" x14ac:dyDescent="0.25">
      <c r="A253" t="s">
        <v>2714</v>
      </c>
    </row>
    <row r="254" spans="1:1" x14ac:dyDescent="0.25">
      <c r="A254" t="s">
        <v>2714</v>
      </c>
    </row>
    <row r="255" spans="1:1" x14ac:dyDescent="0.25">
      <c r="A255" t="s">
        <v>2714</v>
      </c>
    </row>
    <row r="256" spans="1:1" x14ac:dyDescent="0.25">
      <c r="A256" t="s">
        <v>2714</v>
      </c>
    </row>
    <row r="257" spans="1:1" x14ac:dyDescent="0.25">
      <c r="A257" t="s">
        <v>2775</v>
      </c>
    </row>
    <row r="258" spans="1:1" x14ac:dyDescent="0.25">
      <c r="A258" t="s">
        <v>2776</v>
      </c>
    </row>
    <row r="259" spans="1:1" x14ac:dyDescent="0.25">
      <c r="A259" t="s">
        <v>2777</v>
      </c>
    </row>
    <row r="260" spans="1:1" x14ac:dyDescent="0.25">
      <c r="A260" t="s">
        <v>2777</v>
      </c>
    </row>
    <row r="261" spans="1:1" x14ac:dyDescent="0.25">
      <c r="A261" t="s">
        <v>2778</v>
      </c>
    </row>
    <row r="262" spans="1:1" x14ac:dyDescent="0.25">
      <c r="A262" t="s">
        <v>2779</v>
      </c>
    </row>
    <row r="263" spans="1:1" x14ac:dyDescent="0.25">
      <c r="A263" t="s">
        <v>2780</v>
      </c>
    </row>
    <row r="264" spans="1:1" x14ac:dyDescent="0.25">
      <c r="A264" t="s">
        <v>2780</v>
      </c>
    </row>
    <row r="265" spans="1:1" x14ac:dyDescent="0.25">
      <c r="A265" t="s">
        <v>2781</v>
      </c>
    </row>
    <row r="266" spans="1:1" x14ac:dyDescent="0.25">
      <c r="A266" t="s">
        <v>2782</v>
      </c>
    </row>
    <row r="267" spans="1:1" x14ac:dyDescent="0.25">
      <c r="A267" t="s">
        <v>2783</v>
      </c>
    </row>
    <row r="268" spans="1:1" x14ac:dyDescent="0.25">
      <c r="A268" t="s">
        <v>2784</v>
      </c>
    </row>
    <row r="269" spans="1:1" x14ac:dyDescent="0.25">
      <c r="A269" t="s">
        <v>2785</v>
      </c>
    </row>
    <row r="270" spans="1:1" x14ac:dyDescent="0.25">
      <c r="A270" t="s">
        <v>2786</v>
      </c>
    </row>
    <row r="271" spans="1:1" x14ac:dyDescent="0.25">
      <c r="A271" t="s">
        <v>2787</v>
      </c>
    </row>
    <row r="272" spans="1:1" x14ac:dyDescent="0.25">
      <c r="A272" t="s">
        <v>2788</v>
      </c>
    </row>
    <row r="273" spans="1:1" x14ac:dyDescent="0.25">
      <c r="A273" t="s">
        <v>2789</v>
      </c>
    </row>
    <row r="274" spans="1:1" x14ac:dyDescent="0.25">
      <c r="A274" t="s">
        <v>2790</v>
      </c>
    </row>
    <row r="275" spans="1:1" x14ac:dyDescent="0.25">
      <c r="A275" t="s">
        <v>2791</v>
      </c>
    </row>
    <row r="276" spans="1:1" x14ac:dyDescent="0.25">
      <c r="A276" t="s">
        <v>2792</v>
      </c>
    </row>
    <row r="277" spans="1:1" x14ac:dyDescent="0.25">
      <c r="A277" t="s">
        <v>2792</v>
      </c>
    </row>
    <row r="278" spans="1:1" x14ac:dyDescent="0.25">
      <c r="A278" t="s">
        <v>2793</v>
      </c>
    </row>
    <row r="279" spans="1:1" x14ac:dyDescent="0.25">
      <c r="A279" t="s">
        <v>2793</v>
      </c>
    </row>
    <row r="280" spans="1:1" x14ac:dyDescent="0.25">
      <c r="A280" t="s">
        <v>2794</v>
      </c>
    </row>
    <row r="281" spans="1:1" x14ac:dyDescent="0.25">
      <c r="A281" t="s">
        <v>2795</v>
      </c>
    </row>
    <row r="282" spans="1:1" x14ac:dyDescent="0.25">
      <c r="A282" t="s">
        <v>2796</v>
      </c>
    </row>
    <row r="283" spans="1:1" x14ac:dyDescent="0.25">
      <c r="A283" t="s">
        <v>2797</v>
      </c>
    </row>
    <row r="284" spans="1:1" x14ac:dyDescent="0.25">
      <c r="A284" t="s">
        <v>2798</v>
      </c>
    </row>
    <row r="285" spans="1:1" x14ac:dyDescent="0.25">
      <c r="A285" t="s">
        <v>2799</v>
      </c>
    </row>
    <row r="286" spans="1:1" x14ac:dyDescent="0.25">
      <c r="A286" t="s">
        <v>2800</v>
      </c>
    </row>
    <row r="287" spans="1:1" x14ac:dyDescent="0.25">
      <c r="A287" t="s">
        <v>2801</v>
      </c>
    </row>
    <row r="288" spans="1:1" x14ac:dyDescent="0.25">
      <c r="A288" t="s">
        <v>2802</v>
      </c>
    </row>
    <row r="289" spans="1:1" x14ac:dyDescent="0.25">
      <c r="A289" t="s">
        <v>2802</v>
      </c>
    </row>
    <row r="290" spans="1:1" x14ac:dyDescent="0.25">
      <c r="A290" t="s">
        <v>2803</v>
      </c>
    </row>
    <row r="291" spans="1:1" x14ac:dyDescent="0.25">
      <c r="A291" t="s">
        <v>2804</v>
      </c>
    </row>
    <row r="292" spans="1:1" x14ac:dyDescent="0.25">
      <c r="A292" t="s">
        <v>2805</v>
      </c>
    </row>
    <row r="293" spans="1:1" x14ac:dyDescent="0.25">
      <c r="A293" t="s">
        <v>2806</v>
      </c>
    </row>
    <row r="294" spans="1:1" x14ac:dyDescent="0.25">
      <c r="A294" t="s">
        <v>2807</v>
      </c>
    </row>
    <row r="295" spans="1:1" x14ac:dyDescent="0.25">
      <c r="A295" t="s">
        <v>2808</v>
      </c>
    </row>
    <row r="296" spans="1:1" x14ac:dyDescent="0.25">
      <c r="A296" t="s">
        <v>2809</v>
      </c>
    </row>
    <row r="297" spans="1:1" x14ac:dyDescent="0.25">
      <c r="A297" t="s">
        <v>2810</v>
      </c>
    </row>
    <row r="298" spans="1:1" x14ac:dyDescent="0.25">
      <c r="A298" t="s">
        <v>2811</v>
      </c>
    </row>
    <row r="299" spans="1:1" x14ac:dyDescent="0.25">
      <c r="A299" t="s">
        <v>2812</v>
      </c>
    </row>
    <row r="300" spans="1:1" x14ac:dyDescent="0.25">
      <c r="A300" t="s">
        <v>2813</v>
      </c>
    </row>
    <row r="301" spans="1:1" x14ac:dyDescent="0.25">
      <c r="A301" t="s">
        <v>2814</v>
      </c>
    </row>
    <row r="302" spans="1:1" x14ac:dyDescent="0.25">
      <c r="A302" t="s">
        <v>2815</v>
      </c>
    </row>
    <row r="303" spans="1:1" x14ac:dyDescent="0.25">
      <c r="A303" t="s">
        <v>2816</v>
      </c>
    </row>
    <row r="304" spans="1:1" x14ac:dyDescent="0.25">
      <c r="A304" t="s">
        <v>2817</v>
      </c>
    </row>
    <row r="305" spans="1:1" x14ac:dyDescent="0.25">
      <c r="A305" t="s">
        <v>2818</v>
      </c>
    </row>
    <row r="306" spans="1:1" x14ac:dyDescent="0.25">
      <c r="A306" t="s">
        <v>2819</v>
      </c>
    </row>
    <row r="307" spans="1:1" x14ac:dyDescent="0.25">
      <c r="A307" t="s">
        <v>2820</v>
      </c>
    </row>
    <row r="308" spans="1:1" x14ac:dyDescent="0.25">
      <c r="A308" t="s">
        <v>2821</v>
      </c>
    </row>
    <row r="309" spans="1:1" x14ac:dyDescent="0.25">
      <c r="A309" t="s">
        <v>2822</v>
      </c>
    </row>
    <row r="310" spans="1:1" x14ac:dyDescent="0.25">
      <c r="A310" t="s">
        <v>2782</v>
      </c>
    </row>
    <row r="311" spans="1:1" x14ac:dyDescent="0.25">
      <c r="A311" t="s">
        <v>2713</v>
      </c>
    </row>
    <row r="312" spans="1:1" x14ac:dyDescent="0.25">
      <c r="A312" t="s">
        <v>2714</v>
      </c>
    </row>
    <row r="313" spans="1:1" x14ac:dyDescent="0.25">
      <c r="A313" t="s">
        <v>2714</v>
      </c>
    </row>
    <row r="314" spans="1:1" x14ac:dyDescent="0.25">
      <c r="A314" t="s">
        <v>2714</v>
      </c>
    </row>
    <row r="315" spans="1:1" x14ac:dyDescent="0.25">
      <c r="A315" t="s">
        <v>2714</v>
      </c>
    </row>
    <row r="316" spans="1:1" x14ac:dyDescent="0.25">
      <c r="A316" t="s">
        <v>2714</v>
      </c>
    </row>
    <row r="317" spans="1:1" x14ac:dyDescent="0.25">
      <c r="A317" t="s">
        <v>2686</v>
      </c>
    </row>
    <row r="320" spans="1:1" x14ac:dyDescent="0.25">
      <c r="A320" t="s">
        <v>2823</v>
      </c>
    </row>
    <row r="321" spans="1:1" x14ac:dyDescent="0.25">
      <c r="A321" t="s">
        <v>2824</v>
      </c>
    </row>
    <row r="322" spans="1:1" x14ac:dyDescent="0.25">
      <c r="A322" t="s">
        <v>2825</v>
      </c>
    </row>
    <row r="323" spans="1:1" x14ac:dyDescent="0.25">
      <c r="A323" t="s">
        <v>2826</v>
      </c>
    </row>
    <row r="324" spans="1:1" x14ac:dyDescent="0.25">
      <c r="A324" t="s">
        <v>2827</v>
      </c>
    </row>
    <row r="325" spans="1:1" x14ac:dyDescent="0.25">
      <c r="A325" t="s">
        <v>2828</v>
      </c>
    </row>
    <row r="326" spans="1:1" x14ac:dyDescent="0.25">
      <c r="A326" t="s">
        <v>2829</v>
      </c>
    </row>
    <row r="327" spans="1:1" x14ac:dyDescent="0.25">
      <c r="A327" t="s">
        <v>2830</v>
      </c>
    </row>
    <row r="328" spans="1:1" x14ac:dyDescent="0.25">
      <c r="A328" t="s">
        <v>2830</v>
      </c>
    </row>
    <row r="329" spans="1:1" x14ac:dyDescent="0.25">
      <c r="A329" t="s">
        <v>2831</v>
      </c>
    </row>
    <row r="330" spans="1:1" x14ac:dyDescent="0.25">
      <c r="A330" t="s">
        <v>2832</v>
      </c>
    </row>
    <row r="331" spans="1:1" x14ac:dyDescent="0.25">
      <c r="A331" t="s">
        <v>2833</v>
      </c>
    </row>
    <row r="332" spans="1:1" x14ac:dyDescent="0.25">
      <c r="A332" t="s">
        <v>2834</v>
      </c>
    </row>
    <row r="333" spans="1:1" x14ac:dyDescent="0.25">
      <c r="A333" t="s">
        <v>2835</v>
      </c>
    </row>
    <row r="334" spans="1:1" x14ac:dyDescent="0.25">
      <c r="A334" t="s">
        <v>2836</v>
      </c>
    </row>
    <row r="335" spans="1:1" x14ac:dyDescent="0.25">
      <c r="A335" t="s">
        <v>2837</v>
      </c>
    </row>
    <row r="336" spans="1:1" x14ac:dyDescent="0.25">
      <c r="A336" t="s">
        <v>2838</v>
      </c>
    </row>
    <row r="337" spans="1:1" x14ac:dyDescent="0.25">
      <c r="A337" t="s">
        <v>2713</v>
      </c>
    </row>
    <row r="338" spans="1:1" x14ac:dyDescent="0.25">
      <c r="A338" t="s">
        <v>2714</v>
      </c>
    </row>
    <row r="339" spans="1:1" x14ac:dyDescent="0.25">
      <c r="A339" t="s">
        <v>2714</v>
      </c>
    </row>
    <row r="340" spans="1:1" x14ac:dyDescent="0.25">
      <c r="A340" t="s">
        <v>2714</v>
      </c>
    </row>
    <row r="341" spans="1:1" x14ac:dyDescent="0.25">
      <c r="A341" t="s">
        <v>2714</v>
      </c>
    </row>
    <row r="342" spans="1:1" x14ac:dyDescent="0.25">
      <c r="A342" t="s">
        <v>2714</v>
      </c>
    </row>
    <row r="343" spans="1:1" x14ac:dyDescent="0.25">
      <c r="A343" t="s">
        <v>2714</v>
      </c>
    </row>
    <row r="344" spans="1:1" x14ac:dyDescent="0.25">
      <c r="A344" t="s">
        <v>2714</v>
      </c>
    </row>
    <row r="345" spans="1:1" x14ac:dyDescent="0.25">
      <c r="A345" t="s">
        <v>2714</v>
      </c>
    </row>
    <row r="346" spans="1:1" x14ac:dyDescent="0.25">
      <c r="A346" t="s">
        <v>2714</v>
      </c>
    </row>
    <row r="347" spans="1:1" x14ac:dyDescent="0.25">
      <c r="A347" t="s">
        <v>2714</v>
      </c>
    </row>
    <row r="348" spans="1:1" x14ac:dyDescent="0.25">
      <c r="A348" t="s">
        <v>2714</v>
      </c>
    </row>
    <row r="349" spans="1:1" x14ac:dyDescent="0.25">
      <c r="A349" t="s">
        <v>2714</v>
      </c>
    </row>
    <row r="350" spans="1:1" x14ac:dyDescent="0.25">
      <c r="A350" t="s">
        <v>2714</v>
      </c>
    </row>
    <row r="351" spans="1:1" x14ac:dyDescent="0.25">
      <c r="A351" t="s">
        <v>2714</v>
      </c>
    </row>
    <row r="352" spans="1:1" x14ac:dyDescent="0.25">
      <c r="A352" t="s">
        <v>2714</v>
      </c>
    </row>
    <row r="353" spans="1:1" x14ac:dyDescent="0.25">
      <c r="A353" t="s">
        <v>2714</v>
      </c>
    </row>
    <row r="354" spans="1:1" x14ac:dyDescent="0.25">
      <c r="A354" t="s">
        <v>2714</v>
      </c>
    </row>
    <row r="355" spans="1:1" x14ac:dyDescent="0.25">
      <c r="A355" t="s">
        <v>2714</v>
      </c>
    </row>
    <row r="356" spans="1:1" x14ac:dyDescent="0.25">
      <c r="A356" t="s">
        <v>2714</v>
      </c>
    </row>
    <row r="357" spans="1:1" x14ac:dyDescent="0.25">
      <c r="A357" t="s">
        <v>2714</v>
      </c>
    </row>
    <row r="358" spans="1:1" x14ac:dyDescent="0.25">
      <c r="A358" t="s">
        <v>2714</v>
      </c>
    </row>
    <row r="359" spans="1:1" x14ac:dyDescent="0.25">
      <c r="A359" t="s">
        <v>2714</v>
      </c>
    </row>
    <row r="360" spans="1:1" x14ac:dyDescent="0.25">
      <c r="A360" t="s">
        <v>2714</v>
      </c>
    </row>
    <row r="361" spans="1:1" x14ac:dyDescent="0.25">
      <c r="A361" t="s">
        <v>2714</v>
      </c>
    </row>
    <row r="362" spans="1:1" x14ac:dyDescent="0.25">
      <c r="A362" t="s">
        <v>2714</v>
      </c>
    </row>
    <row r="363" spans="1:1" x14ac:dyDescent="0.25">
      <c r="A363" t="s">
        <v>2714</v>
      </c>
    </row>
    <row r="364" spans="1:1" x14ac:dyDescent="0.25">
      <c r="A364" t="s">
        <v>2714</v>
      </c>
    </row>
    <row r="365" spans="1:1" x14ac:dyDescent="0.25">
      <c r="A365" t="s">
        <v>2714</v>
      </c>
    </row>
    <row r="366" spans="1:1" x14ac:dyDescent="0.25">
      <c r="A366" t="s">
        <v>2714</v>
      </c>
    </row>
    <row r="367" spans="1:1" x14ac:dyDescent="0.25">
      <c r="A367" t="s">
        <v>2714</v>
      </c>
    </row>
    <row r="368" spans="1:1" x14ac:dyDescent="0.25">
      <c r="A368" t="s">
        <v>2714</v>
      </c>
    </row>
    <row r="369" spans="1:1" x14ac:dyDescent="0.25">
      <c r="A369" t="s">
        <v>2714</v>
      </c>
    </row>
    <row r="370" spans="1:1" x14ac:dyDescent="0.25">
      <c r="A370" t="s">
        <v>2714</v>
      </c>
    </row>
    <row r="371" spans="1:1" x14ac:dyDescent="0.25">
      <c r="A371" t="s">
        <v>2714</v>
      </c>
    </row>
    <row r="372" spans="1:1" x14ac:dyDescent="0.25">
      <c r="A372" t="s">
        <v>2714</v>
      </c>
    </row>
    <row r="373" spans="1:1" x14ac:dyDescent="0.25">
      <c r="A373" t="s">
        <v>2714</v>
      </c>
    </row>
    <row r="374" spans="1:1" x14ac:dyDescent="0.25">
      <c r="A374" t="s">
        <v>2714</v>
      </c>
    </row>
    <row r="375" spans="1:1" x14ac:dyDescent="0.25">
      <c r="A375" t="s">
        <v>2714</v>
      </c>
    </row>
    <row r="376" spans="1:1" x14ac:dyDescent="0.25">
      <c r="A376" t="s">
        <v>2714</v>
      </c>
    </row>
    <row r="377" spans="1:1" x14ac:dyDescent="0.25">
      <c r="A377" t="s">
        <v>2714</v>
      </c>
    </row>
    <row r="378" spans="1:1" x14ac:dyDescent="0.25">
      <c r="A378" t="s">
        <v>2714</v>
      </c>
    </row>
    <row r="379" spans="1:1" x14ac:dyDescent="0.25">
      <c r="A379" t="s">
        <v>2714</v>
      </c>
    </row>
    <row r="380" spans="1:1" x14ac:dyDescent="0.25">
      <c r="A380" t="s">
        <v>2686</v>
      </c>
    </row>
    <row r="383" spans="1:1" x14ac:dyDescent="0.25">
      <c r="A383" t="s">
        <v>2839</v>
      </c>
    </row>
    <row r="384" spans="1:1" x14ac:dyDescent="0.25">
      <c r="A384" t="s">
        <v>2840</v>
      </c>
    </row>
    <row r="385" spans="1:1" x14ac:dyDescent="0.25">
      <c r="A385" t="s">
        <v>2841</v>
      </c>
    </row>
    <row r="386" spans="1:1" x14ac:dyDescent="0.25">
      <c r="A386" t="s">
        <v>2842</v>
      </c>
    </row>
    <row r="387" spans="1:1" x14ac:dyDescent="0.25">
      <c r="A387" t="s">
        <v>2843</v>
      </c>
    </row>
    <row r="388" spans="1:1" x14ac:dyDescent="0.25">
      <c r="A388" t="s">
        <v>2844</v>
      </c>
    </row>
    <row r="389" spans="1:1" x14ac:dyDescent="0.25">
      <c r="A389" t="s">
        <v>2845</v>
      </c>
    </row>
    <row r="390" spans="1:1" x14ac:dyDescent="0.25">
      <c r="A390" t="s">
        <v>2846</v>
      </c>
    </row>
    <row r="391" spans="1:1" x14ac:dyDescent="0.25">
      <c r="A391" t="s">
        <v>2847</v>
      </c>
    </row>
    <row r="392" spans="1:1" x14ac:dyDescent="0.25">
      <c r="A392" t="s">
        <v>2710</v>
      </c>
    </row>
    <row r="393" spans="1:1" x14ac:dyDescent="0.25">
      <c r="A393" t="s">
        <v>2848</v>
      </c>
    </row>
    <row r="394" spans="1:1" x14ac:dyDescent="0.25">
      <c r="A394" t="s">
        <v>2849</v>
      </c>
    </row>
    <row r="395" spans="1:1" x14ac:dyDescent="0.25">
      <c r="A395" t="s">
        <v>2850</v>
      </c>
    </row>
    <row r="396" spans="1:1" x14ac:dyDescent="0.25">
      <c r="A396" t="s">
        <v>2851</v>
      </c>
    </row>
    <row r="397" spans="1:1" x14ac:dyDescent="0.25">
      <c r="A397" t="s">
        <v>2852</v>
      </c>
    </row>
    <row r="398" spans="1:1" x14ac:dyDescent="0.25">
      <c r="A398" t="s">
        <v>2853</v>
      </c>
    </row>
    <row r="399" spans="1:1" x14ac:dyDescent="0.25">
      <c r="A399" t="s">
        <v>2854</v>
      </c>
    </row>
    <row r="400" spans="1:1" x14ac:dyDescent="0.25">
      <c r="A400" t="s">
        <v>2855</v>
      </c>
    </row>
    <row r="401" spans="1:1" x14ac:dyDescent="0.25">
      <c r="A401" t="s">
        <v>2856</v>
      </c>
    </row>
    <row r="402" spans="1:1" x14ac:dyDescent="0.25">
      <c r="A402" t="s">
        <v>2857</v>
      </c>
    </row>
    <row r="403" spans="1:1" x14ac:dyDescent="0.25">
      <c r="A403" t="s">
        <v>2858</v>
      </c>
    </row>
    <row r="404" spans="1:1" x14ac:dyDescent="0.25">
      <c r="A404" t="s">
        <v>2859</v>
      </c>
    </row>
    <row r="405" spans="1:1" x14ac:dyDescent="0.25">
      <c r="A405" t="s">
        <v>2860</v>
      </c>
    </row>
    <row r="406" spans="1:1" x14ac:dyDescent="0.25">
      <c r="A406" t="s">
        <v>2861</v>
      </c>
    </row>
    <row r="407" spans="1:1" x14ac:dyDescent="0.25">
      <c r="A407" t="s">
        <v>2862</v>
      </c>
    </row>
    <row r="408" spans="1:1" x14ac:dyDescent="0.25">
      <c r="A408" t="s">
        <v>2689</v>
      </c>
    </row>
    <row r="409" spans="1:1" x14ac:dyDescent="0.25">
      <c r="A409" t="s">
        <v>2713</v>
      </c>
    </row>
    <row r="410" spans="1:1" x14ac:dyDescent="0.25">
      <c r="A410" t="s">
        <v>2714</v>
      </c>
    </row>
    <row r="411" spans="1:1" x14ac:dyDescent="0.25">
      <c r="A411" t="s">
        <v>2714</v>
      </c>
    </row>
    <row r="412" spans="1:1" x14ac:dyDescent="0.25">
      <c r="A412" t="s">
        <v>2714</v>
      </c>
    </row>
    <row r="413" spans="1:1" x14ac:dyDescent="0.25">
      <c r="A413" t="s">
        <v>2714</v>
      </c>
    </row>
    <row r="414" spans="1:1" x14ac:dyDescent="0.25">
      <c r="A414" t="s">
        <v>2714</v>
      </c>
    </row>
    <row r="415" spans="1:1" x14ac:dyDescent="0.25">
      <c r="A415" t="s">
        <v>2714</v>
      </c>
    </row>
    <row r="416" spans="1:1" x14ac:dyDescent="0.25">
      <c r="A416" t="s">
        <v>2714</v>
      </c>
    </row>
    <row r="417" spans="1:1" x14ac:dyDescent="0.25">
      <c r="A417" t="s">
        <v>2714</v>
      </c>
    </row>
    <row r="418" spans="1:1" x14ac:dyDescent="0.25">
      <c r="A418" t="s">
        <v>2714</v>
      </c>
    </row>
    <row r="419" spans="1:1" x14ac:dyDescent="0.25">
      <c r="A419" t="s">
        <v>2714</v>
      </c>
    </row>
    <row r="420" spans="1:1" x14ac:dyDescent="0.25">
      <c r="A420" t="s">
        <v>2714</v>
      </c>
    </row>
    <row r="421" spans="1:1" x14ac:dyDescent="0.25">
      <c r="A421" t="s">
        <v>2714</v>
      </c>
    </row>
    <row r="422" spans="1:1" x14ac:dyDescent="0.25">
      <c r="A422" t="s">
        <v>2714</v>
      </c>
    </row>
    <row r="423" spans="1:1" x14ac:dyDescent="0.25">
      <c r="A423" t="s">
        <v>2714</v>
      </c>
    </row>
    <row r="424" spans="1:1" x14ac:dyDescent="0.25">
      <c r="A424" t="s">
        <v>2714</v>
      </c>
    </row>
    <row r="425" spans="1:1" x14ac:dyDescent="0.25">
      <c r="A425" t="s">
        <v>2714</v>
      </c>
    </row>
    <row r="426" spans="1:1" x14ac:dyDescent="0.25">
      <c r="A426" t="s">
        <v>2714</v>
      </c>
    </row>
    <row r="427" spans="1:1" x14ac:dyDescent="0.25">
      <c r="A427" t="s">
        <v>2714</v>
      </c>
    </row>
    <row r="428" spans="1:1" x14ac:dyDescent="0.25">
      <c r="A428" t="s">
        <v>2714</v>
      </c>
    </row>
    <row r="429" spans="1:1" x14ac:dyDescent="0.25">
      <c r="A429" t="s">
        <v>2714</v>
      </c>
    </row>
    <row r="430" spans="1:1" x14ac:dyDescent="0.25">
      <c r="A430" t="s">
        <v>2714</v>
      </c>
    </row>
    <row r="431" spans="1:1" x14ac:dyDescent="0.25">
      <c r="A431" t="s">
        <v>2714</v>
      </c>
    </row>
    <row r="432" spans="1:1" x14ac:dyDescent="0.25">
      <c r="A432" t="s">
        <v>2714</v>
      </c>
    </row>
    <row r="433" spans="1:1" x14ac:dyDescent="0.25">
      <c r="A433" t="s">
        <v>2714</v>
      </c>
    </row>
    <row r="434" spans="1:1" x14ac:dyDescent="0.25">
      <c r="A434" t="s">
        <v>2714</v>
      </c>
    </row>
    <row r="435" spans="1:1" x14ac:dyDescent="0.25">
      <c r="A435" t="s">
        <v>2714</v>
      </c>
    </row>
    <row r="436" spans="1:1" x14ac:dyDescent="0.25">
      <c r="A436" t="s">
        <v>2714</v>
      </c>
    </row>
    <row r="437" spans="1:1" x14ac:dyDescent="0.25">
      <c r="A437" t="s">
        <v>2714</v>
      </c>
    </row>
    <row r="438" spans="1:1" x14ac:dyDescent="0.25">
      <c r="A438" t="s">
        <v>2714</v>
      </c>
    </row>
    <row r="439" spans="1:1" x14ac:dyDescent="0.25">
      <c r="A439" t="s">
        <v>2714</v>
      </c>
    </row>
    <row r="440" spans="1:1" x14ac:dyDescent="0.25">
      <c r="A440" t="s">
        <v>2714</v>
      </c>
    </row>
    <row r="441" spans="1:1" x14ac:dyDescent="0.25">
      <c r="A441" t="s">
        <v>2714</v>
      </c>
    </row>
    <row r="442" spans="1:1" x14ac:dyDescent="0.25">
      <c r="A442" t="s">
        <v>2714</v>
      </c>
    </row>
    <row r="443" spans="1:1" x14ac:dyDescent="0.25">
      <c r="A443" t="s">
        <v>2686</v>
      </c>
    </row>
    <row r="446" spans="1:1" x14ac:dyDescent="0.25">
      <c r="A446" t="s">
        <v>2863</v>
      </c>
    </row>
    <row r="447" spans="1:1" x14ac:dyDescent="0.25">
      <c r="A447" t="s">
        <v>2713</v>
      </c>
    </row>
    <row r="448" spans="1:1" x14ac:dyDescent="0.25">
      <c r="A448" t="s">
        <v>2714</v>
      </c>
    </row>
    <row r="449" spans="1:1" x14ac:dyDescent="0.25">
      <c r="A449" t="s">
        <v>2714</v>
      </c>
    </row>
    <row r="450" spans="1:1" x14ac:dyDescent="0.25">
      <c r="A450" t="s">
        <v>2714</v>
      </c>
    </row>
    <row r="451" spans="1:1" x14ac:dyDescent="0.25">
      <c r="A451" t="s">
        <v>2714</v>
      </c>
    </row>
    <row r="452" spans="1:1" x14ac:dyDescent="0.25">
      <c r="A452" t="s">
        <v>2714</v>
      </c>
    </row>
    <row r="453" spans="1:1" x14ac:dyDescent="0.25">
      <c r="A453" t="s">
        <v>2714</v>
      </c>
    </row>
    <row r="454" spans="1:1" x14ac:dyDescent="0.25">
      <c r="A454" t="s">
        <v>2714</v>
      </c>
    </row>
    <row r="455" spans="1:1" x14ac:dyDescent="0.25">
      <c r="A455" t="s">
        <v>2714</v>
      </c>
    </row>
    <row r="456" spans="1:1" x14ac:dyDescent="0.25">
      <c r="A456" t="s">
        <v>2714</v>
      </c>
    </row>
    <row r="457" spans="1:1" x14ac:dyDescent="0.25">
      <c r="A457" t="s">
        <v>2714</v>
      </c>
    </row>
    <row r="458" spans="1:1" x14ac:dyDescent="0.25">
      <c r="A458" t="s">
        <v>2714</v>
      </c>
    </row>
    <row r="459" spans="1:1" x14ac:dyDescent="0.25">
      <c r="A459" t="s">
        <v>2714</v>
      </c>
    </row>
    <row r="460" spans="1:1" x14ac:dyDescent="0.25">
      <c r="A460" t="s">
        <v>2714</v>
      </c>
    </row>
    <row r="461" spans="1:1" x14ac:dyDescent="0.25">
      <c r="A461" t="s">
        <v>2714</v>
      </c>
    </row>
    <row r="462" spans="1:1" x14ac:dyDescent="0.25">
      <c r="A462" t="s">
        <v>2714</v>
      </c>
    </row>
    <row r="463" spans="1:1" x14ac:dyDescent="0.25">
      <c r="A463" t="s">
        <v>2714</v>
      </c>
    </row>
    <row r="464" spans="1:1" x14ac:dyDescent="0.25">
      <c r="A464" t="s">
        <v>2714</v>
      </c>
    </row>
    <row r="465" spans="1:1" x14ac:dyDescent="0.25">
      <c r="A465" t="s">
        <v>2714</v>
      </c>
    </row>
    <row r="466" spans="1:1" x14ac:dyDescent="0.25">
      <c r="A466" t="s">
        <v>2714</v>
      </c>
    </row>
    <row r="467" spans="1:1" x14ac:dyDescent="0.25">
      <c r="A467" t="s">
        <v>2714</v>
      </c>
    </row>
    <row r="468" spans="1:1" x14ac:dyDescent="0.25">
      <c r="A468" t="s">
        <v>2714</v>
      </c>
    </row>
    <row r="469" spans="1:1" x14ac:dyDescent="0.25">
      <c r="A469" t="s">
        <v>2714</v>
      </c>
    </row>
    <row r="470" spans="1:1" x14ac:dyDescent="0.25">
      <c r="A470" t="s">
        <v>2714</v>
      </c>
    </row>
    <row r="471" spans="1:1" x14ac:dyDescent="0.25">
      <c r="A471" t="s">
        <v>2714</v>
      </c>
    </row>
    <row r="472" spans="1:1" x14ac:dyDescent="0.25">
      <c r="A472" t="s">
        <v>2714</v>
      </c>
    </row>
    <row r="473" spans="1:1" x14ac:dyDescent="0.25">
      <c r="A473" t="s">
        <v>2714</v>
      </c>
    </row>
    <row r="474" spans="1:1" x14ac:dyDescent="0.25">
      <c r="A474" t="s">
        <v>2714</v>
      </c>
    </row>
    <row r="475" spans="1:1" x14ac:dyDescent="0.25">
      <c r="A475" t="s">
        <v>2714</v>
      </c>
    </row>
    <row r="476" spans="1:1" x14ac:dyDescent="0.25">
      <c r="A476" t="s">
        <v>2714</v>
      </c>
    </row>
    <row r="477" spans="1:1" x14ac:dyDescent="0.25">
      <c r="A477" t="s">
        <v>2714</v>
      </c>
    </row>
    <row r="478" spans="1:1" x14ac:dyDescent="0.25">
      <c r="A478" t="s">
        <v>2714</v>
      </c>
    </row>
    <row r="479" spans="1:1" x14ac:dyDescent="0.25">
      <c r="A479" t="s">
        <v>2714</v>
      </c>
    </row>
    <row r="480" spans="1:1" x14ac:dyDescent="0.25">
      <c r="A480" t="s">
        <v>2714</v>
      </c>
    </row>
    <row r="481" spans="1:1" x14ac:dyDescent="0.25">
      <c r="A481" t="s">
        <v>2714</v>
      </c>
    </row>
    <row r="482" spans="1:1" x14ac:dyDescent="0.25">
      <c r="A482" t="s">
        <v>2714</v>
      </c>
    </row>
    <row r="483" spans="1:1" x14ac:dyDescent="0.25">
      <c r="A483" t="s">
        <v>2714</v>
      </c>
    </row>
    <row r="484" spans="1:1" x14ac:dyDescent="0.25">
      <c r="A484" t="s">
        <v>2714</v>
      </c>
    </row>
    <row r="485" spans="1:1" x14ac:dyDescent="0.25">
      <c r="A485" t="s">
        <v>2714</v>
      </c>
    </row>
    <row r="486" spans="1:1" x14ac:dyDescent="0.25">
      <c r="A486" t="s">
        <v>2714</v>
      </c>
    </row>
    <row r="487" spans="1:1" x14ac:dyDescent="0.25">
      <c r="A487" t="s">
        <v>2714</v>
      </c>
    </row>
    <row r="488" spans="1:1" x14ac:dyDescent="0.25">
      <c r="A488" t="s">
        <v>2714</v>
      </c>
    </row>
    <row r="489" spans="1:1" x14ac:dyDescent="0.25">
      <c r="A489" t="s">
        <v>2714</v>
      </c>
    </row>
    <row r="490" spans="1:1" x14ac:dyDescent="0.25">
      <c r="A490" t="s">
        <v>2714</v>
      </c>
    </row>
    <row r="491" spans="1:1" x14ac:dyDescent="0.25">
      <c r="A491" t="s">
        <v>2714</v>
      </c>
    </row>
    <row r="492" spans="1:1" x14ac:dyDescent="0.25">
      <c r="A492" t="s">
        <v>2714</v>
      </c>
    </row>
    <row r="493" spans="1:1" x14ac:dyDescent="0.25">
      <c r="A493" t="s">
        <v>2714</v>
      </c>
    </row>
    <row r="494" spans="1:1" x14ac:dyDescent="0.25">
      <c r="A494" t="s">
        <v>2714</v>
      </c>
    </row>
    <row r="495" spans="1:1" x14ac:dyDescent="0.25">
      <c r="A495" t="s">
        <v>2714</v>
      </c>
    </row>
    <row r="496" spans="1:1" x14ac:dyDescent="0.25">
      <c r="A496" t="s">
        <v>2714</v>
      </c>
    </row>
    <row r="497" spans="1:1" x14ac:dyDescent="0.25">
      <c r="A497" t="s">
        <v>2714</v>
      </c>
    </row>
    <row r="498" spans="1:1" x14ac:dyDescent="0.25">
      <c r="A498" t="s">
        <v>2714</v>
      </c>
    </row>
    <row r="499" spans="1:1" x14ac:dyDescent="0.25">
      <c r="A499" t="s">
        <v>2714</v>
      </c>
    </row>
    <row r="500" spans="1:1" x14ac:dyDescent="0.25">
      <c r="A500" t="s">
        <v>2714</v>
      </c>
    </row>
    <row r="501" spans="1:1" x14ac:dyDescent="0.25">
      <c r="A501" t="s">
        <v>2714</v>
      </c>
    </row>
    <row r="502" spans="1:1" x14ac:dyDescent="0.25">
      <c r="A502" t="s">
        <v>2714</v>
      </c>
    </row>
    <row r="503" spans="1:1" x14ac:dyDescent="0.25">
      <c r="A503" t="s">
        <v>2714</v>
      </c>
    </row>
    <row r="504" spans="1:1" x14ac:dyDescent="0.25">
      <c r="A504" t="s">
        <v>2714</v>
      </c>
    </row>
    <row r="505" spans="1:1" x14ac:dyDescent="0.25">
      <c r="A505" t="s">
        <v>2714</v>
      </c>
    </row>
    <row r="506" spans="1:1" x14ac:dyDescent="0.25">
      <c r="A506" t="s">
        <v>2686</v>
      </c>
    </row>
    <row r="509" spans="1:1" x14ac:dyDescent="0.25">
      <c r="A509" t="s">
        <v>2864</v>
      </c>
    </row>
    <row r="510" spans="1:1" x14ac:dyDescent="0.25">
      <c r="A510" t="s">
        <v>2713</v>
      </c>
    </row>
    <row r="511" spans="1:1" x14ac:dyDescent="0.25">
      <c r="A511" t="s">
        <v>2714</v>
      </c>
    </row>
    <row r="512" spans="1:1" x14ac:dyDescent="0.25">
      <c r="A512" t="s">
        <v>2714</v>
      </c>
    </row>
    <row r="513" spans="1:1" x14ac:dyDescent="0.25">
      <c r="A513" t="s">
        <v>2714</v>
      </c>
    </row>
    <row r="514" spans="1:1" x14ac:dyDescent="0.25">
      <c r="A514" t="s">
        <v>2714</v>
      </c>
    </row>
    <row r="515" spans="1:1" x14ac:dyDescent="0.25">
      <c r="A515" t="s">
        <v>2714</v>
      </c>
    </row>
    <row r="516" spans="1:1" x14ac:dyDescent="0.25">
      <c r="A516" t="s">
        <v>2714</v>
      </c>
    </row>
    <row r="517" spans="1:1" x14ac:dyDescent="0.25">
      <c r="A517" t="s">
        <v>2714</v>
      </c>
    </row>
    <row r="518" spans="1:1" x14ac:dyDescent="0.25">
      <c r="A518" t="s">
        <v>2714</v>
      </c>
    </row>
    <row r="519" spans="1:1" x14ac:dyDescent="0.25">
      <c r="A519" t="s">
        <v>2714</v>
      </c>
    </row>
    <row r="520" spans="1:1" x14ac:dyDescent="0.25">
      <c r="A520" t="s">
        <v>2714</v>
      </c>
    </row>
    <row r="521" spans="1:1" x14ac:dyDescent="0.25">
      <c r="A521" t="s">
        <v>2714</v>
      </c>
    </row>
    <row r="522" spans="1:1" x14ac:dyDescent="0.25">
      <c r="A522" t="s">
        <v>2714</v>
      </c>
    </row>
    <row r="523" spans="1:1" x14ac:dyDescent="0.25">
      <c r="A523" t="s">
        <v>2714</v>
      </c>
    </row>
    <row r="524" spans="1:1" x14ac:dyDescent="0.25">
      <c r="A524" t="s">
        <v>2714</v>
      </c>
    </row>
    <row r="525" spans="1:1" x14ac:dyDescent="0.25">
      <c r="A525" t="s">
        <v>2714</v>
      </c>
    </row>
    <row r="526" spans="1:1" x14ac:dyDescent="0.25">
      <c r="A526" t="s">
        <v>2714</v>
      </c>
    </row>
    <row r="527" spans="1:1" x14ac:dyDescent="0.25">
      <c r="A527" t="s">
        <v>2714</v>
      </c>
    </row>
    <row r="528" spans="1:1" x14ac:dyDescent="0.25">
      <c r="A528" t="s">
        <v>2714</v>
      </c>
    </row>
    <row r="529" spans="1:1" x14ac:dyDescent="0.25">
      <c r="A529" t="s">
        <v>2714</v>
      </c>
    </row>
    <row r="530" spans="1:1" x14ac:dyDescent="0.25">
      <c r="A530" t="s">
        <v>2714</v>
      </c>
    </row>
    <row r="531" spans="1:1" x14ac:dyDescent="0.25">
      <c r="A531" t="s">
        <v>2714</v>
      </c>
    </row>
    <row r="532" spans="1:1" x14ac:dyDescent="0.25">
      <c r="A532" t="s">
        <v>2714</v>
      </c>
    </row>
    <row r="533" spans="1:1" x14ac:dyDescent="0.25">
      <c r="A533" t="s">
        <v>2714</v>
      </c>
    </row>
    <row r="534" spans="1:1" x14ac:dyDescent="0.25">
      <c r="A534" t="s">
        <v>2714</v>
      </c>
    </row>
    <row r="535" spans="1:1" x14ac:dyDescent="0.25">
      <c r="A535" t="s">
        <v>2714</v>
      </c>
    </row>
    <row r="536" spans="1:1" x14ac:dyDescent="0.25">
      <c r="A536" t="s">
        <v>2714</v>
      </c>
    </row>
    <row r="537" spans="1:1" x14ac:dyDescent="0.25">
      <c r="A537" t="s">
        <v>2714</v>
      </c>
    </row>
    <row r="538" spans="1:1" x14ac:dyDescent="0.25">
      <c r="A538" t="s">
        <v>2714</v>
      </c>
    </row>
    <row r="539" spans="1:1" x14ac:dyDescent="0.25">
      <c r="A539" t="s">
        <v>2714</v>
      </c>
    </row>
    <row r="540" spans="1:1" x14ac:dyDescent="0.25">
      <c r="A540" t="s">
        <v>2714</v>
      </c>
    </row>
    <row r="541" spans="1:1" x14ac:dyDescent="0.25">
      <c r="A541" t="s">
        <v>2714</v>
      </c>
    </row>
    <row r="542" spans="1:1" x14ac:dyDescent="0.25">
      <c r="A542" t="s">
        <v>2714</v>
      </c>
    </row>
    <row r="543" spans="1:1" x14ac:dyDescent="0.25">
      <c r="A543" t="s">
        <v>2714</v>
      </c>
    </row>
    <row r="544" spans="1:1" x14ac:dyDescent="0.25">
      <c r="A544" t="s">
        <v>2714</v>
      </c>
    </row>
    <row r="545" spans="1:1" x14ac:dyDescent="0.25">
      <c r="A545" t="s">
        <v>2714</v>
      </c>
    </row>
    <row r="546" spans="1:1" x14ac:dyDescent="0.25">
      <c r="A546" t="s">
        <v>2714</v>
      </c>
    </row>
    <row r="547" spans="1:1" x14ac:dyDescent="0.25">
      <c r="A547" t="s">
        <v>2714</v>
      </c>
    </row>
    <row r="548" spans="1:1" x14ac:dyDescent="0.25">
      <c r="A548" t="s">
        <v>2714</v>
      </c>
    </row>
    <row r="549" spans="1:1" x14ac:dyDescent="0.25">
      <c r="A549" t="s">
        <v>2714</v>
      </c>
    </row>
    <row r="550" spans="1:1" x14ac:dyDescent="0.25">
      <c r="A550" t="s">
        <v>2714</v>
      </c>
    </row>
    <row r="551" spans="1:1" x14ac:dyDescent="0.25">
      <c r="A551" t="s">
        <v>2714</v>
      </c>
    </row>
    <row r="552" spans="1:1" x14ac:dyDescent="0.25">
      <c r="A552" t="s">
        <v>2714</v>
      </c>
    </row>
    <row r="553" spans="1:1" x14ac:dyDescent="0.25">
      <c r="A553" t="s">
        <v>2714</v>
      </c>
    </row>
    <row r="554" spans="1:1" x14ac:dyDescent="0.25">
      <c r="A554" t="s">
        <v>2714</v>
      </c>
    </row>
    <row r="555" spans="1:1" x14ac:dyDescent="0.25">
      <c r="A555" t="s">
        <v>2714</v>
      </c>
    </row>
    <row r="556" spans="1:1" x14ac:dyDescent="0.25">
      <c r="A556" t="s">
        <v>2714</v>
      </c>
    </row>
    <row r="557" spans="1:1" x14ac:dyDescent="0.25">
      <c r="A557" t="s">
        <v>2714</v>
      </c>
    </row>
    <row r="558" spans="1:1" x14ac:dyDescent="0.25">
      <c r="A558" t="s">
        <v>2714</v>
      </c>
    </row>
    <row r="559" spans="1:1" x14ac:dyDescent="0.25">
      <c r="A559" t="s">
        <v>2714</v>
      </c>
    </row>
    <row r="560" spans="1:1" x14ac:dyDescent="0.25">
      <c r="A560" t="s">
        <v>2714</v>
      </c>
    </row>
    <row r="561" spans="1:1" x14ac:dyDescent="0.25">
      <c r="A561" t="s">
        <v>2714</v>
      </c>
    </row>
    <row r="562" spans="1:1" x14ac:dyDescent="0.25">
      <c r="A562" t="s">
        <v>2714</v>
      </c>
    </row>
    <row r="563" spans="1:1" x14ac:dyDescent="0.25">
      <c r="A563" t="s">
        <v>2714</v>
      </c>
    </row>
    <row r="564" spans="1:1" x14ac:dyDescent="0.25">
      <c r="A564" t="s">
        <v>2714</v>
      </c>
    </row>
    <row r="565" spans="1:1" x14ac:dyDescent="0.25">
      <c r="A565" t="s">
        <v>2714</v>
      </c>
    </row>
    <row r="566" spans="1:1" x14ac:dyDescent="0.25">
      <c r="A566" t="s">
        <v>2714</v>
      </c>
    </row>
    <row r="567" spans="1:1" x14ac:dyDescent="0.25">
      <c r="A567" t="s">
        <v>2714</v>
      </c>
    </row>
    <row r="568" spans="1:1" x14ac:dyDescent="0.25">
      <c r="A568" t="s">
        <v>2714</v>
      </c>
    </row>
    <row r="569" spans="1:1" x14ac:dyDescent="0.25">
      <c r="A569" t="s">
        <v>2686</v>
      </c>
    </row>
    <row r="572" spans="1:1" x14ac:dyDescent="0.25">
      <c r="A572" t="s">
        <v>2865</v>
      </c>
    </row>
    <row r="573" spans="1:1" x14ac:dyDescent="0.25">
      <c r="A573" t="s">
        <v>2713</v>
      </c>
    </row>
    <row r="574" spans="1:1" x14ac:dyDescent="0.25">
      <c r="A574" t="s">
        <v>2714</v>
      </c>
    </row>
    <row r="575" spans="1:1" x14ac:dyDescent="0.25">
      <c r="A575" t="s">
        <v>2714</v>
      </c>
    </row>
    <row r="576" spans="1:1" x14ac:dyDescent="0.25">
      <c r="A576" t="s">
        <v>2714</v>
      </c>
    </row>
    <row r="577" spans="1:1" x14ac:dyDescent="0.25">
      <c r="A577" t="s">
        <v>2714</v>
      </c>
    </row>
    <row r="578" spans="1:1" x14ac:dyDescent="0.25">
      <c r="A578" t="s">
        <v>2714</v>
      </c>
    </row>
    <row r="579" spans="1:1" x14ac:dyDescent="0.25">
      <c r="A579" t="s">
        <v>2714</v>
      </c>
    </row>
    <row r="580" spans="1:1" x14ac:dyDescent="0.25">
      <c r="A580" t="s">
        <v>2714</v>
      </c>
    </row>
    <row r="581" spans="1:1" x14ac:dyDescent="0.25">
      <c r="A581" t="s">
        <v>2714</v>
      </c>
    </row>
    <row r="582" spans="1:1" x14ac:dyDescent="0.25">
      <c r="A582" t="s">
        <v>2714</v>
      </c>
    </row>
    <row r="583" spans="1:1" x14ac:dyDescent="0.25">
      <c r="A583" t="s">
        <v>2714</v>
      </c>
    </row>
    <row r="584" spans="1:1" x14ac:dyDescent="0.25">
      <c r="A584" t="s">
        <v>2714</v>
      </c>
    </row>
    <row r="585" spans="1:1" x14ac:dyDescent="0.25">
      <c r="A585" t="s">
        <v>2714</v>
      </c>
    </row>
    <row r="586" spans="1:1" x14ac:dyDescent="0.25">
      <c r="A586" t="s">
        <v>2714</v>
      </c>
    </row>
    <row r="587" spans="1:1" x14ac:dyDescent="0.25">
      <c r="A587" t="s">
        <v>2714</v>
      </c>
    </row>
    <row r="588" spans="1:1" x14ac:dyDescent="0.25">
      <c r="A588" t="s">
        <v>2714</v>
      </c>
    </row>
    <row r="589" spans="1:1" x14ac:dyDescent="0.25">
      <c r="A589" t="s">
        <v>2714</v>
      </c>
    </row>
    <row r="590" spans="1:1" x14ac:dyDescent="0.25">
      <c r="A590" t="s">
        <v>2714</v>
      </c>
    </row>
    <row r="591" spans="1:1" x14ac:dyDescent="0.25">
      <c r="A591" t="s">
        <v>2714</v>
      </c>
    </row>
    <row r="592" spans="1:1" x14ac:dyDescent="0.25">
      <c r="A592" t="s">
        <v>2714</v>
      </c>
    </row>
    <row r="593" spans="1:1" x14ac:dyDescent="0.25">
      <c r="A593" t="s">
        <v>2714</v>
      </c>
    </row>
    <row r="594" spans="1:1" x14ac:dyDescent="0.25">
      <c r="A594" t="s">
        <v>2714</v>
      </c>
    </row>
    <row r="595" spans="1:1" x14ac:dyDescent="0.25">
      <c r="A595" t="s">
        <v>2714</v>
      </c>
    </row>
    <row r="596" spans="1:1" x14ac:dyDescent="0.25">
      <c r="A596" t="s">
        <v>2714</v>
      </c>
    </row>
    <row r="597" spans="1:1" x14ac:dyDescent="0.25">
      <c r="A597" t="s">
        <v>2714</v>
      </c>
    </row>
    <row r="598" spans="1:1" x14ac:dyDescent="0.25">
      <c r="A598" t="s">
        <v>2714</v>
      </c>
    </row>
    <row r="599" spans="1:1" x14ac:dyDescent="0.25">
      <c r="A599" t="s">
        <v>2714</v>
      </c>
    </row>
    <row r="600" spans="1:1" x14ac:dyDescent="0.25">
      <c r="A600" t="s">
        <v>2714</v>
      </c>
    </row>
    <row r="601" spans="1:1" x14ac:dyDescent="0.25">
      <c r="A601" t="s">
        <v>2714</v>
      </c>
    </row>
    <row r="602" spans="1:1" x14ac:dyDescent="0.25">
      <c r="A602" t="s">
        <v>2714</v>
      </c>
    </row>
    <row r="603" spans="1:1" x14ac:dyDescent="0.25">
      <c r="A603" t="s">
        <v>2714</v>
      </c>
    </row>
    <row r="604" spans="1:1" x14ac:dyDescent="0.25">
      <c r="A604" t="s">
        <v>2714</v>
      </c>
    </row>
    <row r="605" spans="1:1" x14ac:dyDescent="0.25">
      <c r="A605" t="s">
        <v>2714</v>
      </c>
    </row>
    <row r="606" spans="1:1" x14ac:dyDescent="0.25">
      <c r="A606" t="s">
        <v>2714</v>
      </c>
    </row>
    <row r="607" spans="1:1" x14ac:dyDescent="0.25">
      <c r="A607" t="s">
        <v>2714</v>
      </c>
    </row>
    <row r="608" spans="1:1" x14ac:dyDescent="0.25">
      <c r="A608" t="s">
        <v>2714</v>
      </c>
    </row>
    <row r="609" spans="1:1" x14ac:dyDescent="0.25">
      <c r="A609" t="s">
        <v>2714</v>
      </c>
    </row>
    <row r="610" spans="1:1" x14ac:dyDescent="0.25">
      <c r="A610" t="s">
        <v>2714</v>
      </c>
    </row>
    <row r="611" spans="1:1" x14ac:dyDescent="0.25">
      <c r="A611" t="s">
        <v>2714</v>
      </c>
    </row>
    <row r="612" spans="1:1" x14ac:dyDescent="0.25">
      <c r="A612" t="s">
        <v>2714</v>
      </c>
    </row>
    <row r="613" spans="1:1" x14ac:dyDescent="0.25">
      <c r="A613" t="s">
        <v>2714</v>
      </c>
    </row>
    <row r="614" spans="1:1" x14ac:dyDescent="0.25">
      <c r="A614" t="s">
        <v>2714</v>
      </c>
    </row>
    <row r="615" spans="1:1" x14ac:dyDescent="0.25">
      <c r="A615" t="s">
        <v>2714</v>
      </c>
    </row>
    <row r="616" spans="1:1" x14ac:dyDescent="0.25">
      <c r="A616" t="s">
        <v>2714</v>
      </c>
    </row>
    <row r="617" spans="1:1" x14ac:dyDescent="0.25">
      <c r="A617" t="s">
        <v>2714</v>
      </c>
    </row>
    <row r="618" spans="1:1" x14ac:dyDescent="0.25">
      <c r="A618" t="s">
        <v>2714</v>
      </c>
    </row>
    <row r="619" spans="1:1" x14ac:dyDescent="0.25">
      <c r="A619" t="s">
        <v>2714</v>
      </c>
    </row>
    <row r="620" spans="1:1" x14ac:dyDescent="0.25">
      <c r="A620" t="s">
        <v>2714</v>
      </c>
    </row>
    <row r="621" spans="1:1" x14ac:dyDescent="0.25">
      <c r="A621" t="s">
        <v>2714</v>
      </c>
    </row>
    <row r="622" spans="1:1" x14ac:dyDescent="0.25">
      <c r="A622" t="s">
        <v>2714</v>
      </c>
    </row>
    <row r="623" spans="1:1" x14ac:dyDescent="0.25">
      <c r="A623" t="s">
        <v>2714</v>
      </c>
    </row>
    <row r="624" spans="1:1" x14ac:dyDescent="0.25">
      <c r="A624" t="s">
        <v>2714</v>
      </c>
    </row>
    <row r="625" spans="1:1" x14ac:dyDescent="0.25">
      <c r="A625" t="s">
        <v>2714</v>
      </c>
    </row>
    <row r="626" spans="1:1" x14ac:dyDescent="0.25">
      <c r="A626" t="s">
        <v>2714</v>
      </c>
    </row>
    <row r="627" spans="1:1" x14ac:dyDescent="0.25">
      <c r="A627" t="s">
        <v>2714</v>
      </c>
    </row>
    <row r="628" spans="1:1" x14ac:dyDescent="0.25">
      <c r="A628" t="s">
        <v>2714</v>
      </c>
    </row>
    <row r="629" spans="1:1" x14ac:dyDescent="0.25">
      <c r="A629" t="s">
        <v>2714</v>
      </c>
    </row>
    <row r="630" spans="1:1" x14ac:dyDescent="0.25">
      <c r="A630" t="s">
        <v>2714</v>
      </c>
    </row>
    <row r="631" spans="1:1" x14ac:dyDescent="0.25">
      <c r="A631" t="s">
        <v>2714</v>
      </c>
    </row>
    <row r="632" spans="1:1" x14ac:dyDescent="0.25">
      <c r="A632" t="s">
        <v>2686</v>
      </c>
    </row>
    <row r="635" spans="1:1" x14ac:dyDescent="0.25">
      <c r="A635" t="s">
        <v>2866</v>
      </c>
    </row>
    <row r="636" spans="1:1" x14ac:dyDescent="0.25">
      <c r="A636" t="s">
        <v>2713</v>
      </c>
    </row>
    <row r="637" spans="1:1" x14ac:dyDescent="0.25">
      <c r="A637" t="s">
        <v>2714</v>
      </c>
    </row>
    <row r="638" spans="1:1" x14ac:dyDescent="0.25">
      <c r="A638" t="s">
        <v>2714</v>
      </c>
    </row>
    <row r="639" spans="1:1" x14ac:dyDescent="0.25">
      <c r="A639" t="s">
        <v>2714</v>
      </c>
    </row>
    <row r="640" spans="1:1" x14ac:dyDescent="0.25">
      <c r="A640" t="s">
        <v>2714</v>
      </c>
    </row>
    <row r="641" spans="1:1" x14ac:dyDescent="0.25">
      <c r="A641" t="s">
        <v>2714</v>
      </c>
    </row>
    <row r="642" spans="1:1" x14ac:dyDescent="0.25">
      <c r="A642" t="s">
        <v>2714</v>
      </c>
    </row>
    <row r="643" spans="1:1" x14ac:dyDescent="0.25">
      <c r="A643" t="s">
        <v>2714</v>
      </c>
    </row>
    <row r="644" spans="1:1" x14ac:dyDescent="0.25">
      <c r="A644" t="s">
        <v>2714</v>
      </c>
    </row>
    <row r="645" spans="1:1" x14ac:dyDescent="0.25">
      <c r="A645" t="s">
        <v>2714</v>
      </c>
    </row>
    <row r="646" spans="1:1" x14ac:dyDescent="0.25">
      <c r="A646" t="s">
        <v>2714</v>
      </c>
    </row>
    <row r="647" spans="1:1" x14ac:dyDescent="0.25">
      <c r="A647" t="s">
        <v>2714</v>
      </c>
    </row>
    <row r="648" spans="1:1" x14ac:dyDescent="0.25">
      <c r="A648" t="s">
        <v>2714</v>
      </c>
    </row>
    <row r="649" spans="1:1" x14ac:dyDescent="0.25">
      <c r="A649" t="s">
        <v>2714</v>
      </c>
    </row>
    <row r="650" spans="1:1" x14ac:dyDescent="0.25">
      <c r="A650" t="s">
        <v>2714</v>
      </c>
    </row>
    <row r="651" spans="1:1" x14ac:dyDescent="0.25">
      <c r="A651" t="s">
        <v>2714</v>
      </c>
    </row>
    <row r="652" spans="1:1" x14ac:dyDescent="0.25">
      <c r="A652" t="s">
        <v>2714</v>
      </c>
    </row>
    <row r="653" spans="1:1" x14ac:dyDescent="0.25">
      <c r="A653" t="s">
        <v>2714</v>
      </c>
    </row>
    <row r="654" spans="1:1" x14ac:dyDescent="0.25">
      <c r="A654" t="s">
        <v>2714</v>
      </c>
    </row>
    <row r="655" spans="1:1" x14ac:dyDescent="0.25">
      <c r="A655" t="s">
        <v>2714</v>
      </c>
    </row>
    <row r="656" spans="1:1" x14ac:dyDescent="0.25">
      <c r="A656" t="s">
        <v>2714</v>
      </c>
    </row>
    <row r="657" spans="1:1" x14ac:dyDescent="0.25">
      <c r="A657" t="s">
        <v>2714</v>
      </c>
    </row>
    <row r="658" spans="1:1" x14ac:dyDescent="0.25">
      <c r="A658" t="s">
        <v>2714</v>
      </c>
    </row>
    <row r="659" spans="1:1" x14ac:dyDescent="0.25">
      <c r="A659" t="s">
        <v>2714</v>
      </c>
    </row>
    <row r="660" spans="1:1" x14ac:dyDescent="0.25">
      <c r="A660" t="s">
        <v>2714</v>
      </c>
    </row>
    <row r="661" spans="1:1" x14ac:dyDescent="0.25">
      <c r="A661" t="s">
        <v>2714</v>
      </c>
    </row>
    <row r="662" spans="1:1" x14ac:dyDescent="0.25">
      <c r="A662" t="s">
        <v>2714</v>
      </c>
    </row>
    <row r="663" spans="1:1" x14ac:dyDescent="0.25">
      <c r="A663" t="s">
        <v>2714</v>
      </c>
    </row>
    <row r="664" spans="1:1" x14ac:dyDescent="0.25">
      <c r="A664" t="s">
        <v>2714</v>
      </c>
    </row>
    <row r="665" spans="1:1" x14ac:dyDescent="0.25">
      <c r="A665" t="s">
        <v>2714</v>
      </c>
    </row>
    <row r="666" spans="1:1" x14ac:dyDescent="0.25">
      <c r="A666" t="s">
        <v>2714</v>
      </c>
    </row>
    <row r="667" spans="1:1" x14ac:dyDescent="0.25">
      <c r="A667" t="s">
        <v>2714</v>
      </c>
    </row>
    <row r="668" spans="1:1" x14ac:dyDescent="0.25">
      <c r="A668" t="s">
        <v>2714</v>
      </c>
    </row>
    <row r="669" spans="1:1" x14ac:dyDescent="0.25">
      <c r="A669" t="s">
        <v>2714</v>
      </c>
    </row>
    <row r="670" spans="1:1" x14ac:dyDescent="0.25">
      <c r="A670" t="s">
        <v>2714</v>
      </c>
    </row>
    <row r="671" spans="1:1" x14ac:dyDescent="0.25">
      <c r="A671" t="s">
        <v>2714</v>
      </c>
    </row>
    <row r="672" spans="1:1" x14ac:dyDescent="0.25">
      <c r="A672" t="s">
        <v>2714</v>
      </c>
    </row>
    <row r="673" spans="1:1" x14ac:dyDescent="0.25">
      <c r="A673" t="s">
        <v>2714</v>
      </c>
    </row>
    <row r="674" spans="1:1" x14ac:dyDescent="0.25">
      <c r="A674" t="s">
        <v>2714</v>
      </c>
    </row>
    <row r="675" spans="1:1" x14ac:dyDescent="0.25">
      <c r="A675" t="s">
        <v>2714</v>
      </c>
    </row>
    <row r="676" spans="1:1" x14ac:dyDescent="0.25">
      <c r="A676" t="s">
        <v>2714</v>
      </c>
    </row>
    <row r="677" spans="1:1" x14ac:dyDescent="0.25">
      <c r="A677" t="s">
        <v>2714</v>
      </c>
    </row>
    <row r="678" spans="1:1" x14ac:dyDescent="0.25">
      <c r="A678" t="s">
        <v>2714</v>
      </c>
    </row>
    <row r="679" spans="1:1" x14ac:dyDescent="0.25">
      <c r="A679" t="s">
        <v>2714</v>
      </c>
    </row>
    <row r="680" spans="1:1" x14ac:dyDescent="0.25">
      <c r="A680" t="s">
        <v>2714</v>
      </c>
    </row>
    <row r="681" spans="1:1" x14ac:dyDescent="0.25">
      <c r="A681" t="s">
        <v>2714</v>
      </c>
    </row>
    <row r="682" spans="1:1" x14ac:dyDescent="0.25">
      <c r="A682" t="s">
        <v>2714</v>
      </c>
    </row>
    <row r="683" spans="1:1" x14ac:dyDescent="0.25">
      <c r="A683" t="s">
        <v>2714</v>
      </c>
    </row>
    <row r="684" spans="1:1" x14ac:dyDescent="0.25">
      <c r="A684" t="s">
        <v>2714</v>
      </c>
    </row>
    <row r="685" spans="1:1" x14ac:dyDescent="0.25">
      <c r="A685" t="s">
        <v>2714</v>
      </c>
    </row>
    <row r="686" spans="1:1" x14ac:dyDescent="0.25">
      <c r="A686" t="s">
        <v>2714</v>
      </c>
    </row>
    <row r="687" spans="1:1" x14ac:dyDescent="0.25">
      <c r="A687" t="s">
        <v>2714</v>
      </c>
    </row>
    <row r="688" spans="1:1" x14ac:dyDescent="0.25">
      <c r="A688" t="s">
        <v>2714</v>
      </c>
    </row>
    <row r="689" spans="1:1" x14ac:dyDescent="0.25">
      <c r="A689" t="s">
        <v>2714</v>
      </c>
    </row>
    <row r="690" spans="1:1" x14ac:dyDescent="0.25">
      <c r="A690" t="s">
        <v>2714</v>
      </c>
    </row>
    <row r="691" spans="1:1" x14ac:dyDescent="0.25">
      <c r="A691" t="s">
        <v>2714</v>
      </c>
    </row>
    <row r="692" spans="1:1" x14ac:dyDescent="0.25">
      <c r="A692" t="s">
        <v>2714</v>
      </c>
    </row>
    <row r="693" spans="1:1" x14ac:dyDescent="0.25">
      <c r="A693" t="s">
        <v>2714</v>
      </c>
    </row>
    <row r="694" spans="1:1" x14ac:dyDescent="0.25">
      <c r="A694" t="s">
        <v>2714</v>
      </c>
    </row>
    <row r="695" spans="1:1" x14ac:dyDescent="0.25">
      <c r="A695" t="s">
        <v>2686</v>
      </c>
    </row>
    <row r="698" spans="1:1" x14ac:dyDescent="0.25">
      <c r="A698" t="s">
        <v>2867</v>
      </c>
    </row>
    <row r="699" spans="1:1" x14ac:dyDescent="0.25">
      <c r="A699" t="s">
        <v>2868</v>
      </c>
    </row>
    <row r="700" spans="1:1" x14ac:dyDescent="0.25">
      <c r="A700" t="s">
        <v>2869</v>
      </c>
    </row>
    <row r="701" spans="1:1" x14ac:dyDescent="0.25">
      <c r="A701" t="s">
        <v>2870</v>
      </c>
    </row>
    <row r="702" spans="1:1" x14ac:dyDescent="0.25">
      <c r="A702" t="s">
        <v>2871</v>
      </c>
    </row>
    <row r="703" spans="1:1" x14ac:dyDescent="0.25">
      <c r="A703" t="s">
        <v>2872</v>
      </c>
    </row>
    <row r="704" spans="1:1" x14ac:dyDescent="0.25">
      <c r="A704" t="s">
        <v>2873</v>
      </c>
    </row>
    <row r="705" spans="1:1" x14ac:dyDescent="0.25">
      <c r="A705" t="s">
        <v>2874</v>
      </c>
    </row>
    <row r="706" spans="1:1" x14ac:dyDescent="0.25">
      <c r="A706" t="s">
        <v>2875</v>
      </c>
    </row>
    <row r="707" spans="1:1" x14ac:dyDescent="0.25">
      <c r="A707" t="s">
        <v>2876</v>
      </c>
    </row>
    <row r="708" spans="1:1" x14ac:dyDescent="0.25">
      <c r="A708" t="s">
        <v>2877</v>
      </c>
    </row>
    <row r="709" spans="1:1" x14ac:dyDescent="0.25">
      <c r="A709" t="s">
        <v>2878</v>
      </c>
    </row>
    <row r="710" spans="1:1" x14ac:dyDescent="0.25">
      <c r="A710" t="s">
        <v>2879</v>
      </c>
    </row>
    <row r="711" spans="1:1" x14ac:dyDescent="0.25">
      <c r="A711" t="s">
        <v>2713</v>
      </c>
    </row>
    <row r="712" spans="1:1" x14ac:dyDescent="0.25">
      <c r="A712" t="s">
        <v>2714</v>
      </c>
    </row>
    <row r="713" spans="1:1" x14ac:dyDescent="0.25">
      <c r="A713" t="s">
        <v>2714</v>
      </c>
    </row>
    <row r="714" spans="1:1" x14ac:dyDescent="0.25">
      <c r="A714" t="s">
        <v>2714</v>
      </c>
    </row>
    <row r="715" spans="1:1" x14ac:dyDescent="0.25">
      <c r="A715" t="s">
        <v>2714</v>
      </c>
    </row>
    <row r="716" spans="1:1" x14ac:dyDescent="0.25">
      <c r="A716" t="s">
        <v>2714</v>
      </c>
    </row>
    <row r="717" spans="1:1" x14ac:dyDescent="0.25">
      <c r="A717" t="s">
        <v>2714</v>
      </c>
    </row>
    <row r="718" spans="1:1" x14ac:dyDescent="0.25">
      <c r="A718" t="s">
        <v>2714</v>
      </c>
    </row>
    <row r="719" spans="1:1" x14ac:dyDescent="0.25">
      <c r="A719" t="s">
        <v>2714</v>
      </c>
    </row>
    <row r="720" spans="1:1" x14ac:dyDescent="0.25">
      <c r="A720" t="s">
        <v>2714</v>
      </c>
    </row>
    <row r="721" spans="1:1" x14ac:dyDescent="0.25">
      <c r="A721" t="s">
        <v>2714</v>
      </c>
    </row>
    <row r="722" spans="1:1" x14ac:dyDescent="0.25">
      <c r="A722" t="s">
        <v>2714</v>
      </c>
    </row>
    <row r="723" spans="1:1" x14ac:dyDescent="0.25">
      <c r="A723" t="s">
        <v>2714</v>
      </c>
    </row>
    <row r="724" spans="1:1" x14ac:dyDescent="0.25">
      <c r="A724" t="s">
        <v>2714</v>
      </c>
    </row>
    <row r="725" spans="1:1" x14ac:dyDescent="0.25">
      <c r="A725" t="s">
        <v>2714</v>
      </c>
    </row>
    <row r="726" spans="1:1" x14ac:dyDescent="0.25">
      <c r="A726" t="s">
        <v>2714</v>
      </c>
    </row>
    <row r="727" spans="1:1" x14ac:dyDescent="0.25">
      <c r="A727" t="s">
        <v>2714</v>
      </c>
    </row>
    <row r="728" spans="1:1" x14ac:dyDescent="0.25">
      <c r="A728" t="s">
        <v>2714</v>
      </c>
    </row>
    <row r="729" spans="1:1" x14ac:dyDescent="0.25">
      <c r="A729" t="s">
        <v>2714</v>
      </c>
    </row>
    <row r="730" spans="1:1" x14ac:dyDescent="0.25">
      <c r="A730" t="s">
        <v>2714</v>
      </c>
    </row>
    <row r="731" spans="1:1" x14ac:dyDescent="0.25">
      <c r="A731" t="s">
        <v>2714</v>
      </c>
    </row>
    <row r="732" spans="1:1" x14ac:dyDescent="0.25">
      <c r="A732" t="s">
        <v>2714</v>
      </c>
    </row>
    <row r="733" spans="1:1" x14ac:dyDescent="0.25">
      <c r="A733" t="s">
        <v>2714</v>
      </c>
    </row>
    <row r="734" spans="1:1" x14ac:dyDescent="0.25">
      <c r="A734" t="s">
        <v>2714</v>
      </c>
    </row>
    <row r="735" spans="1:1" x14ac:dyDescent="0.25">
      <c r="A735" t="s">
        <v>2714</v>
      </c>
    </row>
    <row r="736" spans="1:1" x14ac:dyDescent="0.25">
      <c r="A736" t="s">
        <v>2714</v>
      </c>
    </row>
    <row r="737" spans="1:1" x14ac:dyDescent="0.25">
      <c r="A737" t="s">
        <v>2714</v>
      </c>
    </row>
    <row r="738" spans="1:1" x14ac:dyDescent="0.25">
      <c r="A738" t="s">
        <v>2714</v>
      </c>
    </row>
    <row r="739" spans="1:1" x14ac:dyDescent="0.25">
      <c r="A739" t="s">
        <v>2714</v>
      </c>
    </row>
    <row r="740" spans="1:1" x14ac:dyDescent="0.25">
      <c r="A740" t="s">
        <v>2714</v>
      </c>
    </row>
    <row r="741" spans="1:1" x14ac:dyDescent="0.25">
      <c r="A741" t="s">
        <v>2714</v>
      </c>
    </row>
    <row r="742" spans="1:1" x14ac:dyDescent="0.25">
      <c r="A742" t="s">
        <v>2714</v>
      </c>
    </row>
    <row r="743" spans="1:1" x14ac:dyDescent="0.25">
      <c r="A743" t="s">
        <v>2714</v>
      </c>
    </row>
    <row r="744" spans="1:1" x14ac:dyDescent="0.25">
      <c r="A744" t="s">
        <v>2714</v>
      </c>
    </row>
    <row r="745" spans="1:1" x14ac:dyDescent="0.25">
      <c r="A745" t="s">
        <v>2714</v>
      </c>
    </row>
    <row r="746" spans="1:1" x14ac:dyDescent="0.25">
      <c r="A746" t="s">
        <v>2714</v>
      </c>
    </row>
    <row r="747" spans="1:1" x14ac:dyDescent="0.25">
      <c r="A747" t="s">
        <v>2714</v>
      </c>
    </row>
    <row r="748" spans="1:1" x14ac:dyDescent="0.25">
      <c r="A748" t="s">
        <v>2714</v>
      </c>
    </row>
    <row r="749" spans="1:1" x14ac:dyDescent="0.25">
      <c r="A749" t="s">
        <v>2714</v>
      </c>
    </row>
    <row r="750" spans="1:1" x14ac:dyDescent="0.25">
      <c r="A750" t="s">
        <v>2714</v>
      </c>
    </row>
    <row r="751" spans="1:1" x14ac:dyDescent="0.25">
      <c r="A751" t="s">
        <v>2714</v>
      </c>
    </row>
    <row r="752" spans="1:1" x14ac:dyDescent="0.25">
      <c r="A752" t="s">
        <v>2714</v>
      </c>
    </row>
    <row r="753" spans="1:1" x14ac:dyDescent="0.25">
      <c r="A753" t="s">
        <v>2714</v>
      </c>
    </row>
    <row r="754" spans="1:1" x14ac:dyDescent="0.25">
      <c r="A754" t="s">
        <v>2714</v>
      </c>
    </row>
    <row r="755" spans="1:1" x14ac:dyDescent="0.25">
      <c r="A755" t="s">
        <v>2714</v>
      </c>
    </row>
    <row r="756" spans="1:1" x14ac:dyDescent="0.25">
      <c r="A756" t="s">
        <v>2714</v>
      </c>
    </row>
    <row r="757" spans="1:1" x14ac:dyDescent="0.25">
      <c r="A757" t="s">
        <v>2714</v>
      </c>
    </row>
    <row r="758" spans="1:1" x14ac:dyDescent="0.25">
      <c r="A758" t="s">
        <v>2686</v>
      </c>
    </row>
    <row r="761" spans="1:1" x14ac:dyDescent="0.25">
      <c r="A761" t="s">
        <v>2880</v>
      </c>
    </row>
    <row r="762" spans="1:1" x14ac:dyDescent="0.25">
      <c r="A762" t="s">
        <v>2881</v>
      </c>
    </row>
    <row r="763" spans="1:1" x14ac:dyDescent="0.25">
      <c r="A763" t="s">
        <v>2882</v>
      </c>
    </row>
    <row r="764" spans="1:1" x14ac:dyDescent="0.25">
      <c r="A764" t="s">
        <v>2883</v>
      </c>
    </row>
    <row r="765" spans="1:1" x14ac:dyDescent="0.25">
      <c r="A765" t="s">
        <v>2884</v>
      </c>
    </row>
    <row r="766" spans="1:1" x14ac:dyDescent="0.25">
      <c r="A766" t="s">
        <v>2884</v>
      </c>
    </row>
    <row r="767" spans="1:1" x14ac:dyDescent="0.25">
      <c r="A767" t="s">
        <v>2885</v>
      </c>
    </row>
    <row r="768" spans="1:1" x14ac:dyDescent="0.25">
      <c r="A768" t="s">
        <v>2886</v>
      </c>
    </row>
    <row r="769" spans="1:1" x14ac:dyDescent="0.25">
      <c r="A769" t="s">
        <v>2887</v>
      </c>
    </row>
    <row r="770" spans="1:1" x14ac:dyDescent="0.25">
      <c r="A770" t="s">
        <v>2888</v>
      </c>
    </row>
    <row r="771" spans="1:1" x14ac:dyDescent="0.25">
      <c r="A771" t="s">
        <v>2889</v>
      </c>
    </row>
    <row r="772" spans="1:1" x14ac:dyDescent="0.25">
      <c r="A772" t="s">
        <v>2890</v>
      </c>
    </row>
    <row r="773" spans="1:1" x14ac:dyDescent="0.25">
      <c r="A773" t="s">
        <v>2891</v>
      </c>
    </row>
    <row r="774" spans="1:1" x14ac:dyDescent="0.25">
      <c r="A774" t="s">
        <v>2892</v>
      </c>
    </row>
    <row r="775" spans="1:1" x14ac:dyDescent="0.25">
      <c r="A775" t="s">
        <v>2893</v>
      </c>
    </row>
    <row r="776" spans="1:1" x14ac:dyDescent="0.25">
      <c r="A776" t="s">
        <v>2894</v>
      </c>
    </row>
    <row r="777" spans="1:1" x14ac:dyDescent="0.25">
      <c r="A777" t="s">
        <v>2895</v>
      </c>
    </row>
    <row r="778" spans="1:1" x14ac:dyDescent="0.25">
      <c r="A778" t="s">
        <v>2896</v>
      </c>
    </row>
    <row r="779" spans="1:1" x14ac:dyDescent="0.25">
      <c r="A779" t="s">
        <v>2897</v>
      </c>
    </row>
    <row r="780" spans="1:1" x14ac:dyDescent="0.25">
      <c r="A780" t="s">
        <v>2898</v>
      </c>
    </row>
    <row r="781" spans="1:1" x14ac:dyDescent="0.25">
      <c r="A781" t="s">
        <v>2899</v>
      </c>
    </row>
    <row r="782" spans="1:1" x14ac:dyDescent="0.25">
      <c r="A782" t="s">
        <v>2900</v>
      </c>
    </row>
    <row r="783" spans="1:1" x14ac:dyDescent="0.25">
      <c r="A783" t="s">
        <v>2901</v>
      </c>
    </row>
    <row r="784" spans="1:1" x14ac:dyDescent="0.25">
      <c r="A784" t="s">
        <v>2902</v>
      </c>
    </row>
    <row r="785" spans="1:1" x14ac:dyDescent="0.25">
      <c r="A785" t="s">
        <v>2903</v>
      </c>
    </row>
    <row r="786" spans="1:1" x14ac:dyDescent="0.25">
      <c r="A786" t="s">
        <v>2903</v>
      </c>
    </row>
    <row r="787" spans="1:1" x14ac:dyDescent="0.25">
      <c r="A787" t="s">
        <v>2904</v>
      </c>
    </row>
    <row r="788" spans="1:1" x14ac:dyDescent="0.25">
      <c r="A788" t="s">
        <v>2905</v>
      </c>
    </row>
    <row r="789" spans="1:1" x14ac:dyDescent="0.25">
      <c r="A789" t="s">
        <v>2906</v>
      </c>
    </row>
    <row r="790" spans="1:1" x14ac:dyDescent="0.25">
      <c r="A790" t="s">
        <v>2907</v>
      </c>
    </row>
    <row r="791" spans="1:1" x14ac:dyDescent="0.25">
      <c r="A791" t="s">
        <v>2908</v>
      </c>
    </row>
    <row r="792" spans="1:1" x14ac:dyDescent="0.25">
      <c r="A792" t="s">
        <v>2909</v>
      </c>
    </row>
    <row r="793" spans="1:1" x14ac:dyDescent="0.25">
      <c r="A793" t="s">
        <v>2910</v>
      </c>
    </row>
    <row r="794" spans="1:1" x14ac:dyDescent="0.25">
      <c r="A794" t="s">
        <v>2911</v>
      </c>
    </row>
    <row r="795" spans="1:1" x14ac:dyDescent="0.25">
      <c r="A795" t="s">
        <v>2912</v>
      </c>
    </row>
    <row r="796" spans="1:1" x14ac:dyDescent="0.25">
      <c r="A796" t="s">
        <v>2913</v>
      </c>
    </row>
    <row r="797" spans="1:1" x14ac:dyDescent="0.25">
      <c r="A797" t="s">
        <v>2914</v>
      </c>
    </row>
    <row r="798" spans="1:1" x14ac:dyDescent="0.25">
      <c r="A798" t="s">
        <v>2915</v>
      </c>
    </row>
    <row r="799" spans="1:1" x14ac:dyDescent="0.25">
      <c r="A799" t="s">
        <v>2916</v>
      </c>
    </row>
    <row r="800" spans="1:1" x14ac:dyDescent="0.25">
      <c r="A800" t="s">
        <v>2917</v>
      </c>
    </row>
    <row r="801" spans="1:1" x14ac:dyDescent="0.25">
      <c r="A801" t="s">
        <v>2918</v>
      </c>
    </row>
    <row r="802" spans="1:1" x14ac:dyDescent="0.25">
      <c r="A802" t="s">
        <v>2919</v>
      </c>
    </row>
    <row r="803" spans="1:1" x14ac:dyDescent="0.25">
      <c r="A803" t="s">
        <v>2920</v>
      </c>
    </row>
    <row r="804" spans="1:1" x14ac:dyDescent="0.25">
      <c r="A804" t="s">
        <v>2921</v>
      </c>
    </row>
    <row r="805" spans="1:1" x14ac:dyDescent="0.25">
      <c r="A805" t="s">
        <v>2922</v>
      </c>
    </row>
    <row r="806" spans="1:1" x14ac:dyDescent="0.25">
      <c r="A806" t="s">
        <v>2923</v>
      </c>
    </row>
    <row r="807" spans="1:1" x14ac:dyDescent="0.25">
      <c r="A807" t="s">
        <v>2924</v>
      </c>
    </row>
    <row r="808" spans="1:1" x14ac:dyDescent="0.25">
      <c r="A808" t="s">
        <v>2713</v>
      </c>
    </row>
    <row r="809" spans="1:1" x14ac:dyDescent="0.25">
      <c r="A809" t="s">
        <v>2714</v>
      </c>
    </row>
    <row r="810" spans="1:1" x14ac:dyDescent="0.25">
      <c r="A810" t="s">
        <v>2714</v>
      </c>
    </row>
    <row r="811" spans="1:1" x14ac:dyDescent="0.25">
      <c r="A811" t="s">
        <v>2714</v>
      </c>
    </row>
    <row r="812" spans="1:1" x14ac:dyDescent="0.25">
      <c r="A812" t="s">
        <v>2714</v>
      </c>
    </row>
    <row r="813" spans="1:1" x14ac:dyDescent="0.25">
      <c r="A813" t="s">
        <v>2714</v>
      </c>
    </row>
    <row r="814" spans="1:1" x14ac:dyDescent="0.25">
      <c r="A814" t="s">
        <v>2714</v>
      </c>
    </row>
    <row r="815" spans="1:1" x14ac:dyDescent="0.25">
      <c r="A815" t="s">
        <v>2714</v>
      </c>
    </row>
    <row r="816" spans="1:1" x14ac:dyDescent="0.25">
      <c r="A816" t="s">
        <v>2714</v>
      </c>
    </row>
    <row r="817" spans="1:1" x14ac:dyDescent="0.25">
      <c r="A817" t="s">
        <v>2714</v>
      </c>
    </row>
    <row r="818" spans="1:1" x14ac:dyDescent="0.25">
      <c r="A818" t="s">
        <v>2714</v>
      </c>
    </row>
    <row r="819" spans="1:1" x14ac:dyDescent="0.25">
      <c r="A819" t="s">
        <v>2714</v>
      </c>
    </row>
    <row r="820" spans="1:1" x14ac:dyDescent="0.25">
      <c r="A820" t="s">
        <v>2714</v>
      </c>
    </row>
    <row r="821" spans="1:1" x14ac:dyDescent="0.25">
      <c r="A821" t="s">
        <v>2686</v>
      </c>
    </row>
    <row r="824" spans="1:1" x14ac:dyDescent="0.25">
      <c r="A824" t="s">
        <v>2925</v>
      </c>
    </row>
    <row r="825" spans="1:1" x14ac:dyDescent="0.25">
      <c r="A825" t="s">
        <v>2926</v>
      </c>
    </row>
    <row r="826" spans="1:1" x14ac:dyDescent="0.25">
      <c r="A826" t="s">
        <v>2927</v>
      </c>
    </row>
    <row r="827" spans="1:1" x14ac:dyDescent="0.25">
      <c r="A827" t="s">
        <v>2928</v>
      </c>
    </row>
    <row r="828" spans="1:1" x14ac:dyDescent="0.25">
      <c r="A828" t="s">
        <v>2929</v>
      </c>
    </row>
    <row r="829" spans="1:1" x14ac:dyDescent="0.25">
      <c r="A829" t="s">
        <v>2930</v>
      </c>
    </row>
    <row r="830" spans="1:1" x14ac:dyDescent="0.25">
      <c r="A830" t="s">
        <v>2931</v>
      </c>
    </row>
    <row r="831" spans="1:1" x14ac:dyDescent="0.25">
      <c r="A831" t="s">
        <v>2932</v>
      </c>
    </row>
    <row r="832" spans="1:1" x14ac:dyDescent="0.25">
      <c r="A832" t="s">
        <v>2933</v>
      </c>
    </row>
    <row r="833" spans="1:1" x14ac:dyDescent="0.25">
      <c r="A833" t="s">
        <v>2934</v>
      </c>
    </row>
    <row r="834" spans="1:1" x14ac:dyDescent="0.25">
      <c r="A834" t="s">
        <v>2935</v>
      </c>
    </row>
    <row r="835" spans="1:1" x14ac:dyDescent="0.25">
      <c r="A835" t="s">
        <v>2936</v>
      </c>
    </row>
    <row r="836" spans="1:1" x14ac:dyDescent="0.25">
      <c r="A836" t="s">
        <v>2937</v>
      </c>
    </row>
    <row r="837" spans="1:1" x14ac:dyDescent="0.25">
      <c r="A837" t="s">
        <v>2938</v>
      </c>
    </row>
    <row r="838" spans="1:1" x14ac:dyDescent="0.25">
      <c r="A838" t="s">
        <v>2939</v>
      </c>
    </row>
    <row r="839" spans="1:1" x14ac:dyDescent="0.25">
      <c r="A839" t="s">
        <v>2940</v>
      </c>
    </row>
    <row r="840" spans="1:1" x14ac:dyDescent="0.25">
      <c r="A840" t="s">
        <v>2941</v>
      </c>
    </row>
    <row r="841" spans="1:1" x14ac:dyDescent="0.25">
      <c r="A841" t="s">
        <v>2942</v>
      </c>
    </row>
    <row r="842" spans="1:1" x14ac:dyDescent="0.25">
      <c r="A842" t="s">
        <v>2943</v>
      </c>
    </row>
    <row r="843" spans="1:1" x14ac:dyDescent="0.25">
      <c r="A843" t="s">
        <v>2944</v>
      </c>
    </row>
    <row r="844" spans="1:1" x14ac:dyDescent="0.25">
      <c r="A844" t="s">
        <v>2945</v>
      </c>
    </row>
    <row r="845" spans="1:1" x14ac:dyDescent="0.25">
      <c r="A845" t="s">
        <v>2946</v>
      </c>
    </row>
    <row r="846" spans="1:1" x14ac:dyDescent="0.25">
      <c r="A846" t="s">
        <v>2947</v>
      </c>
    </row>
    <row r="847" spans="1:1" x14ac:dyDescent="0.25">
      <c r="A847" t="s">
        <v>2948</v>
      </c>
    </row>
    <row r="848" spans="1:1" x14ac:dyDescent="0.25">
      <c r="A848" t="s">
        <v>2949</v>
      </c>
    </row>
    <row r="849" spans="1:1" x14ac:dyDescent="0.25">
      <c r="A849" t="s">
        <v>2950</v>
      </c>
    </row>
    <row r="850" spans="1:1" x14ac:dyDescent="0.25">
      <c r="A850" t="s">
        <v>2951</v>
      </c>
    </row>
    <row r="851" spans="1:1" x14ac:dyDescent="0.25">
      <c r="A851" t="s">
        <v>2952</v>
      </c>
    </row>
    <row r="852" spans="1:1" x14ac:dyDescent="0.25">
      <c r="A852" t="s">
        <v>2953</v>
      </c>
    </row>
    <row r="853" spans="1:1" x14ac:dyDescent="0.25">
      <c r="A853" t="s">
        <v>2954</v>
      </c>
    </row>
    <row r="854" spans="1:1" x14ac:dyDescent="0.25">
      <c r="A854" t="s">
        <v>2955</v>
      </c>
    </row>
    <row r="855" spans="1:1" x14ac:dyDescent="0.25">
      <c r="A855" t="s">
        <v>2956</v>
      </c>
    </row>
    <row r="856" spans="1:1" x14ac:dyDescent="0.25">
      <c r="A856" t="s">
        <v>2957</v>
      </c>
    </row>
    <row r="857" spans="1:1" x14ac:dyDescent="0.25">
      <c r="A857" t="s">
        <v>2958</v>
      </c>
    </row>
    <row r="858" spans="1:1" x14ac:dyDescent="0.25">
      <c r="A858" t="s">
        <v>2959</v>
      </c>
    </row>
    <row r="859" spans="1:1" x14ac:dyDescent="0.25">
      <c r="A859" t="s">
        <v>2960</v>
      </c>
    </row>
    <row r="860" spans="1:1" x14ac:dyDescent="0.25">
      <c r="A860" t="s">
        <v>2961</v>
      </c>
    </row>
    <row r="861" spans="1:1" x14ac:dyDescent="0.25">
      <c r="A861" t="s">
        <v>2962</v>
      </c>
    </row>
    <row r="862" spans="1:1" x14ac:dyDescent="0.25">
      <c r="A862" t="s">
        <v>2963</v>
      </c>
    </row>
    <row r="863" spans="1:1" x14ac:dyDescent="0.25">
      <c r="A863" t="s">
        <v>2964</v>
      </c>
    </row>
    <row r="864" spans="1:1" x14ac:dyDescent="0.25">
      <c r="A864" t="s">
        <v>2965</v>
      </c>
    </row>
    <row r="865" spans="1:1" x14ac:dyDescent="0.25">
      <c r="A865" t="s">
        <v>2966</v>
      </c>
    </row>
    <row r="866" spans="1:1" x14ac:dyDescent="0.25">
      <c r="A866" t="s">
        <v>2967</v>
      </c>
    </row>
    <row r="867" spans="1:1" x14ac:dyDescent="0.25">
      <c r="A867" t="s">
        <v>2968</v>
      </c>
    </row>
    <row r="868" spans="1:1" x14ac:dyDescent="0.25">
      <c r="A868" t="s">
        <v>2969</v>
      </c>
    </row>
    <row r="869" spans="1:1" x14ac:dyDescent="0.25">
      <c r="A869" t="s">
        <v>2970</v>
      </c>
    </row>
    <row r="870" spans="1:1" x14ac:dyDescent="0.25">
      <c r="A870" t="s">
        <v>2971</v>
      </c>
    </row>
    <row r="871" spans="1:1" x14ac:dyDescent="0.25">
      <c r="A871" t="s">
        <v>2972</v>
      </c>
    </row>
    <row r="872" spans="1:1" x14ac:dyDescent="0.25">
      <c r="A872" t="s">
        <v>2973</v>
      </c>
    </row>
    <row r="873" spans="1:1" x14ac:dyDescent="0.25">
      <c r="A873" t="s">
        <v>2974</v>
      </c>
    </row>
    <row r="874" spans="1:1" x14ac:dyDescent="0.25">
      <c r="A874" t="s">
        <v>2975</v>
      </c>
    </row>
    <row r="875" spans="1:1" x14ac:dyDescent="0.25">
      <c r="A875" t="s">
        <v>2976</v>
      </c>
    </row>
    <row r="876" spans="1:1" x14ac:dyDescent="0.25">
      <c r="A876" t="s">
        <v>2977</v>
      </c>
    </row>
    <row r="877" spans="1:1" x14ac:dyDescent="0.25">
      <c r="A877" t="s">
        <v>2978</v>
      </c>
    </row>
    <row r="878" spans="1:1" x14ac:dyDescent="0.25">
      <c r="A878" t="s">
        <v>2979</v>
      </c>
    </row>
    <row r="879" spans="1:1" x14ac:dyDescent="0.25">
      <c r="A879" t="s">
        <v>2980</v>
      </c>
    </row>
    <row r="880" spans="1:1" x14ac:dyDescent="0.25">
      <c r="A880" t="s">
        <v>2981</v>
      </c>
    </row>
    <row r="881" spans="1:1" x14ac:dyDescent="0.25">
      <c r="A881" t="s">
        <v>2982</v>
      </c>
    </row>
    <row r="882" spans="1:1" x14ac:dyDescent="0.25">
      <c r="A882" t="s">
        <v>2713</v>
      </c>
    </row>
    <row r="883" spans="1:1" x14ac:dyDescent="0.25">
      <c r="A883" t="s">
        <v>2714</v>
      </c>
    </row>
    <row r="884" spans="1:1" x14ac:dyDescent="0.25">
      <c r="A884" t="s">
        <v>2686</v>
      </c>
    </row>
    <row r="887" spans="1:1" x14ac:dyDescent="0.25">
      <c r="A887" t="s">
        <v>2983</v>
      </c>
    </row>
    <row r="888" spans="1:1" x14ac:dyDescent="0.25">
      <c r="A888" t="s">
        <v>2984</v>
      </c>
    </row>
    <row r="889" spans="1:1" x14ac:dyDescent="0.25">
      <c r="A889" t="s">
        <v>2985</v>
      </c>
    </row>
    <row r="890" spans="1:1" x14ac:dyDescent="0.25">
      <c r="A890" t="s">
        <v>2986</v>
      </c>
    </row>
    <row r="891" spans="1:1" x14ac:dyDescent="0.25">
      <c r="A891" t="s">
        <v>2987</v>
      </c>
    </row>
    <row r="892" spans="1:1" x14ac:dyDescent="0.25">
      <c r="A892" t="s">
        <v>2988</v>
      </c>
    </row>
    <row r="893" spans="1:1" x14ac:dyDescent="0.25">
      <c r="A893" t="s">
        <v>2713</v>
      </c>
    </row>
    <row r="894" spans="1:1" x14ac:dyDescent="0.25">
      <c r="A894" t="s">
        <v>2714</v>
      </c>
    </row>
    <row r="895" spans="1:1" x14ac:dyDescent="0.25">
      <c r="A895" t="s">
        <v>2714</v>
      </c>
    </row>
    <row r="896" spans="1:1" x14ac:dyDescent="0.25">
      <c r="A896" t="s">
        <v>2714</v>
      </c>
    </row>
    <row r="897" spans="1:1" x14ac:dyDescent="0.25">
      <c r="A897" t="s">
        <v>2714</v>
      </c>
    </row>
    <row r="898" spans="1:1" x14ac:dyDescent="0.25">
      <c r="A898" t="s">
        <v>2714</v>
      </c>
    </row>
    <row r="899" spans="1:1" x14ac:dyDescent="0.25">
      <c r="A899" t="s">
        <v>2714</v>
      </c>
    </row>
    <row r="900" spans="1:1" x14ac:dyDescent="0.25">
      <c r="A900" t="s">
        <v>2714</v>
      </c>
    </row>
    <row r="901" spans="1:1" x14ac:dyDescent="0.25">
      <c r="A901" t="s">
        <v>2714</v>
      </c>
    </row>
    <row r="902" spans="1:1" x14ac:dyDescent="0.25">
      <c r="A902" t="s">
        <v>2714</v>
      </c>
    </row>
    <row r="903" spans="1:1" x14ac:dyDescent="0.25">
      <c r="A903" t="s">
        <v>2714</v>
      </c>
    </row>
    <row r="904" spans="1:1" x14ac:dyDescent="0.25">
      <c r="A904" t="s">
        <v>2714</v>
      </c>
    </row>
    <row r="905" spans="1:1" x14ac:dyDescent="0.25">
      <c r="A905" t="s">
        <v>2714</v>
      </c>
    </row>
    <row r="906" spans="1:1" x14ac:dyDescent="0.25">
      <c r="A906" t="s">
        <v>2714</v>
      </c>
    </row>
    <row r="907" spans="1:1" x14ac:dyDescent="0.25">
      <c r="A907" t="s">
        <v>2714</v>
      </c>
    </row>
    <row r="908" spans="1:1" x14ac:dyDescent="0.25">
      <c r="A908" t="s">
        <v>2714</v>
      </c>
    </row>
    <row r="909" spans="1:1" x14ac:dyDescent="0.25">
      <c r="A909" t="s">
        <v>2714</v>
      </c>
    </row>
    <row r="910" spans="1:1" x14ac:dyDescent="0.25">
      <c r="A910" t="s">
        <v>2714</v>
      </c>
    </row>
    <row r="911" spans="1:1" x14ac:dyDescent="0.25">
      <c r="A911" t="s">
        <v>2714</v>
      </c>
    </row>
    <row r="912" spans="1:1" x14ac:dyDescent="0.25">
      <c r="A912" t="s">
        <v>2714</v>
      </c>
    </row>
    <row r="913" spans="1:1" x14ac:dyDescent="0.25">
      <c r="A913" t="s">
        <v>2714</v>
      </c>
    </row>
    <row r="914" spans="1:1" x14ac:dyDescent="0.25">
      <c r="A914" t="s">
        <v>2714</v>
      </c>
    </row>
    <row r="915" spans="1:1" x14ac:dyDescent="0.25">
      <c r="A915" t="s">
        <v>2714</v>
      </c>
    </row>
    <row r="916" spans="1:1" x14ac:dyDescent="0.25">
      <c r="A916" t="s">
        <v>2714</v>
      </c>
    </row>
    <row r="917" spans="1:1" x14ac:dyDescent="0.25">
      <c r="A917" t="s">
        <v>2714</v>
      </c>
    </row>
    <row r="918" spans="1:1" x14ac:dyDescent="0.25">
      <c r="A918" t="s">
        <v>2714</v>
      </c>
    </row>
    <row r="919" spans="1:1" x14ac:dyDescent="0.25">
      <c r="A919" t="s">
        <v>2714</v>
      </c>
    </row>
    <row r="920" spans="1:1" x14ac:dyDescent="0.25">
      <c r="A920" t="s">
        <v>2714</v>
      </c>
    </row>
    <row r="921" spans="1:1" x14ac:dyDescent="0.25">
      <c r="A921" t="s">
        <v>2714</v>
      </c>
    </row>
    <row r="922" spans="1:1" x14ac:dyDescent="0.25">
      <c r="A922" t="s">
        <v>2714</v>
      </c>
    </row>
    <row r="923" spans="1:1" x14ac:dyDescent="0.25">
      <c r="A923" t="s">
        <v>2714</v>
      </c>
    </row>
    <row r="924" spans="1:1" x14ac:dyDescent="0.25">
      <c r="A924" t="s">
        <v>2714</v>
      </c>
    </row>
    <row r="925" spans="1:1" x14ac:dyDescent="0.25">
      <c r="A925" t="s">
        <v>2714</v>
      </c>
    </row>
    <row r="926" spans="1:1" x14ac:dyDescent="0.25">
      <c r="A926" t="s">
        <v>2714</v>
      </c>
    </row>
    <row r="927" spans="1:1" x14ac:dyDescent="0.25">
      <c r="A927" t="s">
        <v>2714</v>
      </c>
    </row>
    <row r="928" spans="1:1" x14ac:dyDescent="0.25">
      <c r="A928" t="s">
        <v>2714</v>
      </c>
    </row>
    <row r="929" spans="1:1" x14ac:dyDescent="0.25">
      <c r="A929" t="s">
        <v>2714</v>
      </c>
    </row>
    <row r="930" spans="1:1" x14ac:dyDescent="0.25">
      <c r="A930" t="s">
        <v>2714</v>
      </c>
    </row>
    <row r="931" spans="1:1" x14ac:dyDescent="0.25">
      <c r="A931" t="s">
        <v>2714</v>
      </c>
    </row>
    <row r="932" spans="1:1" x14ac:dyDescent="0.25">
      <c r="A932" t="s">
        <v>2714</v>
      </c>
    </row>
    <row r="933" spans="1:1" x14ac:dyDescent="0.25">
      <c r="A933" t="s">
        <v>2714</v>
      </c>
    </row>
    <row r="934" spans="1:1" x14ac:dyDescent="0.25">
      <c r="A934" t="s">
        <v>2714</v>
      </c>
    </row>
    <row r="935" spans="1:1" x14ac:dyDescent="0.25">
      <c r="A935" t="s">
        <v>2714</v>
      </c>
    </row>
    <row r="936" spans="1:1" x14ac:dyDescent="0.25">
      <c r="A936" t="s">
        <v>2714</v>
      </c>
    </row>
    <row r="937" spans="1:1" x14ac:dyDescent="0.25">
      <c r="A937" t="s">
        <v>2714</v>
      </c>
    </row>
    <row r="938" spans="1:1" x14ac:dyDescent="0.25">
      <c r="A938" t="s">
        <v>2714</v>
      </c>
    </row>
    <row r="939" spans="1:1" x14ac:dyDescent="0.25">
      <c r="A939" t="s">
        <v>2714</v>
      </c>
    </row>
    <row r="940" spans="1:1" x14ac:dyDescent="0.25">
      <c r="A940" t="s">
        <v>2714</v>
      </c>
    </row>
    <row r="941" spans="1:1" x14ac:dyDescent="0.25">
      <c r="A941" t="s">
        <v>2714</v>
      </c>
    </row>
    <row r="942" spans="1:1" x14ac:dyDescent="0.25">
      <c r="A942" t="s">
        <v>2714</v>
      </c>
    </row>
    <row r="943" spans="1:1" x14ac:dyDescent="0.25">
      <c r="A943" t="s">
        <v>2714</v>
      </c>
    </row>
    <row r="944" spans="1:1" x14ac:dyDescent="0.25">
      <c r="A944" t="s">
        <v>2714</v>
      </c>
    </row>
    <row r="945" spans="1:1" x14ac:dyDescent="0.25">
      <c r="A945" t="s">
        <v>2714</v>
      </c>
    </row>
    <row r="946" spans="1:1" x14ac:dyDescent="0.25">
      <c r="A946" t="s">
        <v>2714</v>
      </c>
    </row>
    <row r="947" spans="1:1" x14ac:dyDescent="0.25">
      <c r="A947" t="s">
        <v>2686</v>
      </c>
    </row>
    <row r="950" spans="1:1" x14ac:dyDescent="0.25">
      <c r="A950" t="s">
        <v>2989</v>
      </c>
    </row>
    <row r="951" spans="1:1" x14ac:dyDescent="0.25">
      <c r="A951" t="s">
        <v>2990</v>
      </c>
    </row>
    <row r="952" spans="1:1" x14ac:dyDescent="0.25">
      <c r="A952" t="s">
        <v>2991</v>
      </c>
    </row>
    <row r="953" spans="1:1" x14ac:dyDescent="0.25">
      <c r="A953" t="s">
        <v>2992</v>
      </c>
    </row>
    <row r="954" spans="1:1" x14ac:dyDescent="0.25">
      <c r="A954" t="s">
        <v>2993</v>
      </c>
    </row>
    <row r="955" spans="1:1" x14ac:dyDescent="0.25">
      <c r="A955" t="s">
        <v>2994</v>
      </c>
    </row>
    <row r="956" spans="1:1" x14ac:dyDescent="0.25">
      <c r="A956" t="s">
        <v>2995</v>
      </c>
    </row>
    <row r="957" spans="1:1" x14ac:dyDescent="0.25">
      <c r="A957" t="s">
        <v>2996</v>
      </c>
    </row>
    <row r="958" spans="1:1" x14ac:dyDescent="0.25">
      <c r="A958" t="s">
        <v>2997</v>
      </c>
    </row>
    <row r="959" spans="1:1" x14ac:dyDescent="0.25">
      <c r="A959" t="s">
        <v>2998</v>
      </c>
    </row>
    <row r="960" spans="1:1" x14ac:dyDescent="0.25">
      <c r="A960" t="s">
        <v>2999</v>
      </c>
    </row>
    <row r="961" spans="1:1" x14ac:dyDescent="0.25">
      <c r="A961" t="s">
        <v>3000</v>
      </c>
    </row>
    <row r="962" spans="1:1" x14ac:dyDescent="0.25">
      <c r="A962" t="s">
        <v>3001</v>
      </c>
    </row>
    <row r="963" spans="1:1" x14ac:dyDescent="0.25">
      <c r="A963" t="s">
        <v>3002</v>
      </c>
    </row>
    <row r="964" spans="1:1" x14ac:dyDescent="0.25">
      <c r="A964" t="s">
        <v>3003</v>
      </c>
    </row>
    <row r="965" spans="1:1" x14ac:dyDescent="0.25">
      <c r="A965" t="s">
        <v>3004</v>
      </c>
    </row>
    <row r="966" spans="1:1" x14ac:dyDescent="0.25">
      <c r="A966" t="s">
        <v>3005</v>
      </c>
    </row>
    <row r="967" spans="1:1" x14ac:dyDescent="0.25">
      <c r="A967" t="s">
        <v>3006</v>
      </c>
    </row>
    <row r="968" spans="1:1" x14ac:dyDescent="0.25">
      <c r="A968" t="s">
        <v>3007</v>
      </c>
    </row>
    <row r="969" spans="1:1" x14ac:dyDescent="0.25">
      <c r="A969" t="s">
        <v>3008</v>
      </c>
    </row>
    <row r="970" spans="1:1" x14ac:dyDescent="0.25">
      <c r="A970" t="s">
        <v>3009</v>
      </c>
    </row>
    <row r="971" spans="1:1" x14ac:dyDescent="0.25">
      <c r="A971" t="s">
        <v>3010</v>
      </c>
    </row>
    <row r="972" spans="1:1" x14ac:dyDescent="0.25">
      <c r="A972" t="s">
        <v>3011</v>
      </c>
    </row>
    <row r="973" spans="1:1" x14ac:dyDescent="0.25">
      <c r="A973" t="s">
        <v>3012</v>
      </c>
    </row>
    <row r="974" spans="1:1" x14ac:dyDescent="0.25">
      <c r="A974" t="s">
        <v>3013</v>
      </c>
    </row>
    <row r="975" spans="1:1" x14ac:dyDescent="0.25">
      <c r="A975" t="s">
        <v>3014</v>
      </c>
    </row>
    <row r="976" spans="1:1" x14ac:dyDescent="0.25">
      <c r="A976" t="s">
        <v>3015</v>
      </c>
    </row>
    <row r="977" spans="1:1" x14ac:dyDescent="0.25">
      <c r="A977" t="s">
        <v>3016</v>
      </c>
    </row>
    <row r="978" spans="1:1" x14ac:dyDescent="0.25">
      <c r="A978" t="s">
        <v>3017</v>
      </c>
    </row>
    <row r="979" spans="1:1" x14ac:dyDescent="0.25">
      <c r="A979" t="s">
        <v>3018</v>
      </c>
    </row>
    <row r="980" spans="1:1" x14ac:dyDescent="0.25">
      <c r="A980" t="s">
        <v>3019</v>
      </c>
    </row>
    <row r="981" spans="1:1" x14ac:dyDescent="0.25">
      <c r="A981" t="s">
        <v>3020</v>
      </c>
    </row>
    <row r="982" spans="1:1" x14ac:dyDescent="0.25">
      <c r="A982" t="s">
        <v>3021</v>
      </c>
    </row>
    <row r="983" spans="1:1" x14ac:dyDescent="0.25">
      <c r="A983" t="s">
        <v>3022</v>
      </c>
    </row>
    <row r="984" spans="1:1" x14ac:dyDescent="0.25">
      <c r="A984" t="s">
        <v>2992</v>
      </c>
    </row>
    <row r="985" spans="1:1" x14ac:dyDescent="0.25">
      <c r="A985" t="s">
        <v>2994</v>
      </c>
    </row>
    <row r="986" spans="1:1" x14ac:dyDescent="0.25">
      <c r="A986" t="s">
        <v>2713</v>
      </c>
    </row>
    <row r="987" spans="1:1" x14ac:dyDescent="0.25">
      <c r="A987" t="s">
        <v>2714</v>
      </c>
    </row>
    <row r="988" spans="1:1" x14ac:dyDescent="0.25">
      <c r="A988" t="s">
        <v>2714</v>
      </c>
    </row>
    <row r="989" spans="1:1" x14ac:dyDescent="0.25">
      <c r="A989" t="s">
        <v>2714</v>
      </c>
    </row>
    <row r="990" spans="1:1" x14ac:dyDescent="0.25">
      <c r="A990" t="s">
        <v>2714</v>
      </c>
    </row>
    <row r="991" spans="1:1" x14ac:dyDescent="0.25">
      <c r="A991" t="s">
        <v>2714</v>
      </c>
    </row>
    <row r="992" spans="1:1" x14ac:dyDescent="0.25">
      <c r="A992" t="s">
        <v>2714</v>
      </c>
    </row>
    <row r="993" spans="1:1" x14ac:dyDescent="0.25">
      <c r="A993" t="s">
        <v>2714</v>
      </c>
    </row>
    <row r="994" spans="1:1" x14ac:dyDescent="0.25">
      <c r="A994" t="s">
        <v>2714</v>
      </c>
    </row>
    <row r="995" spans="1:1" x14ac:dyDescent="0.25">
      <c r="A995" t="s">
        <v>2714</v>
      </c>
    </row>
    <row r="996" spans="1:1" x14ac:dyDescent="0.25">
      <c r="A996" t="s">
        <v>2714</v>
      </c>
    </row>
    <row r="997" spans="1:1" x14ac:dyDescent="0.25">
      <c r="A997" t="s">
        <v>2714</v>
      </c>
    </row>
    <row r="998" spans="1:1" x14ac:dyDescent="0.25">
      <c r="A998" t="s">
        <v>2714</v>
      </c>
    </row>
    <row r="999" spans="1:1" x14ac:dyDescent="0.25">
      <c r="A999" t="s">
        <v>2714</v>
      </c>
    </row>
    <row r="1000" spans="1:1" x14ac:dyDescent="0.25">
      <c r="A1000" t="s">
        <v>2714</v>
      </c>
    </row>
    <row r="1001" spans="1:1" x14ac:dyDescent="0.25">
      <c r="A1001" t="s">
        <v>2714</v>
      </c>
    </row>
    <row r="1002" spans="1:1" x14ac:dyDescent="0.25">
      <c r="A1002" t="s">
        <v>2714</v>
      </c>
    </row>
    <row r="1003" spans="1:1" x14ac:dyDescent="0.25">
      <c r="A1003" t="s">
        <v>2714</v>
      </c>
    </row>
    <row r="1004" spans="1:1" x14ac:dyDescent="0.25">
      <c r="A1004" t="s">
        <v>2714</v>
      </c>
    </row>
    <row r="1005" spans="1:1" x14ac:dyDescent="0.25">
      <c r="A1005" t="s">
        <v>2714</v>
      </c>
    </row>
    <row r="1006" spans="1:1" x14ac:dyDescent="0.25">
      <c r="A1006" t="s">
        <v>2714</v>
      </c>
    </row>
    <row r="1007" spans="1:1" x14ac:dyDescent="0.25">
      <c r="A1007" t="s">
        <v>2714</v>
      </c>
    </row>
    <row r="1008" spans="1:1" x14ac:dyDescent="0.25">
      <c r="A1008" t="s">
        <v>2714</v>
      </c>
    </row>
    <row r="1009" spans="1:1" x14ac:dyDescent="0.25">
      <c r="A1009" t="s">
        <v>2714</v>
      </c>
    </row>
    <row r="1010" spans="1:1" x14ac:dyDescent="0.25">
      <c r="A1010" t="s">
        <v>2686</v>
      </c>
    </row>
    <row r="1013" spans="1:1" x14ac:dyDescent="0.25">
      <c r="A1013" t="s">
        <v>3023</v>
      </c>
    </row>
    <row r="1014" spans="1:1" x14ac:dyDescent="0.25">
      <c r="A1014" t="s">
        <v>3024</v>
      </c>
    </row>
    <row r="1015" spans="1:1" x14ac:dyDescent="0.25">
      <c r="A1015" t="s">
        <v>3025</v>
      </c>
    </row>
    <row r="1016" spans="1:1" x14ac:dyDescent="0.25">
      <c r="A1016" t="s">
        <v>3026</v>
      </c>
    </row>
    <row r="1017" spans="1:1" x14ac:dyDescent="0.25">
      <c r="A1017" t="s">
        <v>3027</v>
      </c>
    </row>
    <row r="1018" spans="1:1" x14ac:dyDescent="0.25">
      <c r="A1018" t="s">
        <v>3028</v>
      </c>
    </row>
    <row r="1019" spans="1:1" x14ac:dyDescent="0.25">
      <c r="A1019" t="s">
        <v>2713</v>
      </c>
    </row>
    <row r="1020" spans="1:1" x14ac:dyDescent="0.25">
      <c r="A1020" t="s">
        <v>2714</v>
      </c>
    </row>
    <row r="1021" spans="1:1" x14ac:dyDescent="0.25">
      <c r="A1021" t="s">
        <v>2714</v>
      </c>
    </row>
    <row r="1022" spans="1:1" x14ac:dyDescent="0.25">
      <c r="A1022" t="s">
        <v>2714</v>
      </c>
    </row>
    <row r="1023" spans="1:1" x14ac:dyDescent="0.25">
      <c r="A1023" t="s">
        <v>2714</v>
      </c>
    </row>
    <row r="1024" spans="1:1" x14ac:dyDescent="0.25">
      <c r="A1024" t="s">
        <v>2714</v>
      </c>
    </row>
    <row r="1025" spans="1:1" x14ac:dyDescent="0.25">
      <c r="A1025" t="s">
        <v>2714</v>
      </c>
    </row>
    <row r="1026" spans="1:1" x14ac:dyDescent="0.25">
      <c r="A1026" t="s">
        <v>2714</v>
      </c>
    </row>
    <row r="1027" spans="1:1" x14ac:dyDescent="0.25">
      <c r="A1027" t="s">
        <v>2714</v>
      </c>
    </row>
    <row r="1028" spans="1:1" x14ac:dyDescent="0.25">
      <c r="A1028" t="s">
        <v>2714</v>
      </c>
    </row>
    <row r="1029" spans="1:1" x14ac:dyDescent="0.25">
      <c r="A1029" t="s">
        <v>2714</v>
      </c>
    </row>
    <row r="1030" spans="1:1" x14ac:dyDescent="0.25">
      <c r="A1030" t="s">
        <v>2714</v>
      </c>
    </row>
    <row r="1031" spans="1:1" x14ac:dyDescent="0.25">
      <c r="A1031" t="s">
        <v>2714</v>
      </c>
    </row>
    <row r="1032" spans="1:1" x14ac:dyDescent="0.25">
      <c r="A1032" t="s">
        <v>2714</v>
      </c>
    </row>
    <row r="1033" spans="1:1" x14ac:dyDescent="0.25">
      <c r="A1033" t="s">
        <v>2714</v>
      </c>
    </row>
    <row r="1034" spans="1:1" x14ac:dyDescent="0.25">
      <c r="A1034" t="s">
        <v>2714</v>
      </c>
    </row>
    <row r="1035" spans="1:1" x14ac:dyDescent="0.25">
      <c r="A1035" t="s">
        <v>2714</v>
      </c>
    </row>
    <row r="1036" spans="1:1" x14ac:dyDescent="0.25">
      <c r="A1036" t="s">
        <v>2714</v>
      </c>
    </row>
    <row r="1037" spans="1:1" x14ac:dyDescent="0.25">
      <c r="A1037" t="s">
        <v>2714</v>
      </c>
    </row>
    <row r="1038" spans="1:1" x14ac:dyDescent="0.25">
      <c r="A1038" t="s">
        <v>2714</v>
      </c>
    </row>
    <row r="1039" spans="1:1" x14ac:dyDescent="0.25">
      <c r="A1039" t="s">
        <v>2714</v>
      </c>
    </row>
    <row r="1040" spans="1:1" x14ac:dyDescent="0.25">
      <c r="A1040" t="s">
        <v>2714</v>
      </c>
    </row>
    <row r="1041" spans="1:1" x14ac:dyDescent="0.25">
      <c r="A1041" t="s">
        <v>2714</v>
      </c>
    </row>
    <row r="1042" spans="1:1" x14ac:dyDescent="0.25">
      <c r="A1042" t="s">
        <v>2714</v>
      </c>
    </row>
    <row r="1043" spans="1:1" x14ac:dyDescent="0.25">
      <c r="A1043" t="s">
        <v>2714</v>
      </c>
    </row>
    <row r="1044" spans="1:1" x14ac:dyDescent="0.25">
      <c r="A1044" t="s">
        <v>2714</v>
      </c>
    </row>
    <row r="1045" spans="1:1" x14ac:dyDescent="0.25">
      <c r="A1045" t="s">
        <v>2714</v>
      </c>
    </row>
    <row r="1046" spans="1:1" x14ac:dyDescent="0.25">
      <c r="A1046" t="s">
        <v>2714</v>
      </c>
    </row>
    <row r="1047" spans="1:1" x14ac:dyDescent="0.25">
      <c r="A1047" t="s">
        <v>2714</v>
      </c>
    </row>
    <row r="1048" spans="1:1" x14ac:dyDescent="0.25">
      <c r="A1048" t="s">
        <v>2714</v>
      </c>
    </row>
    <row r="1049" spans="1:1" x14ac:dyDescent="0.25">
      <c r="A1049" t="s">
        <v>2714</v>
      </c>
    </row>
    <row r="1050" spans="1:1" x14ac:dyDescent="0.25">
      <c r="A1050" t="s">
        <v>2714</v>
      </c>
    </row>
    <row r="1051" spans="1:1" x14ac:dyDescent="0.25">
      <c r="A1051" t="s">
        <v>2714</v>
      </c>
    </row>
    <row r="1052" spans="1:1" x14ac:dyDescent="0.25">
      <c r="A1052" t="s">
        <v>2714</v>
      </c>
    </row>
    <row r="1053" spans="1:1" x14ac:dyDescent="0.25">
      <c r="A1053" t="s">
        <v>2714</v>
      </c>
    </row>
    <row r="1054" spans="1:1" x14ac:dyDescent="0.25">
      <c r="A1054" t="s">
        <v>2714</v>
      </c>
    </row>
    <row r="1055" spans="1:1" x14ac:dyDescent="0.25">
      <c r="A1055" t="s">
        <v>2714</v>
      </c>
    </row>
    <row r="1056" spans="1:1" x14ac:dyDescent="0.25">
      <c r="A1056" t="s">
        <v>2714</v>
      </c>
    </row>
    <row r="1057" spans="1:1" x14ac:dyDescent="0.25">
      <c r="A1057" t="s">
        <v>2714</v>
      </c>
    </row>
    <row r="1058" spans="1:1" x14ac:dyDescent="0.25">
      <c r="A1058" t="s">
        <v>2714</v>
      </c>
    </row>
    <row r="1059" spans="1:1" x14ac:dyDescent="0.25">
      <c r="A1059" t="s">
        <v>2714</v>
      </c>
    </row>
    <row r="1060" spans="1:1" x14ac:dyDescent="0.25">
      <c r="A1060" t="s">
        <v>2714</v>
      </c>
    </row>
    <row r="1061" spans="1:1" x14ac:dyDescent="0.25">
      <c r="A1061" t="s">
        <v>2714</v>
      </c>
    </row>
    <row r="1062" spans="1:1" x14ac:dyDescent="0.25">
      <c r="A1062" t="s">
        <v>2714</v>
      </c>
    </row>
    <row r="1063" spans="1:1" x14ac:dyDescent="0.25">
      <c r="A1063" t="s">
        <v>2714</v>
      </c>
    </row>
    <row r="1064" spans="1:1" x14ac:dyDescent="0.25">
      <c r="A1064" t="s">
        <v>2714</v>
      </c>
    </row>
    <row r="1065" spans="1:1" x14ac:dyDescent="0.25">
      <c r="A1065" t="s">
        <v>2714</v>
      </c>
    </row>
    <row r="1066" spans="1:1" x14ac:dyDescent="0.25">
      <c r="A1066" t="s">
        <v>2714</v>
      </c>
    </row>
    <row r="1067" spans="1:1" x14ac:dyDescent="0.25">
      <c r="A1067" t="s">
        <v>2714</v>
      </c>
    </row>
    <row r="1068" spans="1:1" x14ac:dyDescent="0.25">
      <c r="A1068" t="s">
        <v>2714</v>
      </c>
    </row>
    <row r="1069" spans="1:1" x14ac:dyDescent="0.25">
      <c r="A1069" t="s">
        <v>2714</v>
      </c>
    </row>
    <row r="1070" spans="1:1" x14ac:dyDescent="0.25">
      <c r="A1070" t="s">
        <v>2714</v>
      </c>
    </row>
    <row r="1071" spans="1:1" x14ac:dyDescent="0.25">
      <c r="A1071" t="s">
        <v>2714</v>
      </c>
    </row>
    <row r="1072" spans="1:1" x14ac:dyDescent="0.25">
      <c r="A1072" t="s">
        <v>2714</v>
      </c>
    </row>
    <row r="1073" spans="1:1" x14ac:dyDescent="0.25">
      <c r="A1073" t="s">
        <v>2686</v>
      </c>
    </row>
    <row r="1076" spans="1:1" x14ac:dyDescent="0.25">
      <c r="A1076" t="s">
        <v>3029</v>
      </c>
    </row>
    <row r="1077" spans="1:1" x14ac:dyDescent="0.25">
      <c r="A1077" t="s">
        <v>3024</v>
      </c>
    </row>
    <row r="1078" spans="1:1" x14ac:dyDescent="0.25">
      <c r="A1078" t="s">
        <v>3025</v>
      </c>
    </row>
    <row r="1079" spans="1:1" x14ac:dyDescent="0.25">
      <c r="A1079" t="s">
        <v>3026</v>
      </c>
    </row>
    <row r="1080" spans="1:1" x14ac:dyDescent="0.25">
      <c r="A1080" t="s">
        <v>3030</v>
      </c>
    </row>
    <row r="1081" spans="1:1" x14ac:dyDescent="0.25">
      <c r="A1081" t="s">
        <v>3031</v>
      </c>
    </row>
    <row r="1082" spans="1:1" x14ac:dyDescent="0.25">
      <c r="A1082" t="s">
        <v>2713</v>
      </c>
    </row>
    <row r="1083" spans="1:1" x14ac:dyDescent="0.25">
      <c r="A1083" t="s">
        <v>2714</v>
      </c>
    </row>
    <row r="1084" spans="1:1" x14ac:dyDescent="0.25">
      <c r="A1084" t="s">
        <v>2714</v>
      </c>
    </row>
    <row r="1085" spans="1:1" x14ac:dyDescent="0.25">
      <c r="A1085" t="s">
        <v>2714</v>
      </c>
    </row>
    <row r="1086" spans="1:1" x14ac:dyDescent="0.25">
      <c r="A1086" t="s">
        <v>2714</v>
      </c>
    </row>
    <row r="1087" spans="1:1" x14ac:dyDescent="0.25">
      <c r="A1087" t="s">
        <v>2714</v>
      </c>
    </row>
    <row r="1088" spans="1:1" x14ac:dyDescent="0.25">
      <c r="A1088" t="s">
        <v>2714</v>
      </c>
    </row>
    <row r="1089" spans="1:1" x14ac:dyDescent="0.25">
      <c r="A1089" t="s">
        <v>2714</v>
      </c>
    </row>
    <row r="1090" spans="1:1" x14ac:dyDescent="0.25">
      <c r="A1090" t="s">
        <v>2714</v>
      </c>
    </row>
    <row r="1091" spans="1:1" x14ac:dyDescent="0.25">
      <c r="A1091" t="s">
        <v>2714</v>
      </c>
    </row>
    <row r="1092" spans="1:1" x14ac:dyDescent="0.25">
      <c r="A1092" t="s">
        <v>2714</v>
      </c>
    </row>
    <row r="1093" spans="1:1" x14ac:dyDescent="0.25">
      <c r="A1093" t="s">
        <v>2714</v>
      </c>
    </row>
    <row r="1094" spans="1:1" x14ac:dyDescent="0.25">
      <c r="A1094" t="s">
        <v>2714</v>
      </c>
    </row>
    <row r="1095" spans="1:1" x14ac:dyDescent="0.25">
      <c r="A1095" t="s">
        <v>2714</v>
      </c>
    </row>
    <row r="1096" spans="1:1" x14ac:dyDescent="0.25">
      <c r="A1096" t="s">
        <v>2714</v>
      </c>
    </row>
    <row r="1097" spans="1:1" x14ac:dyDescent="0.25">
      <c r="A1097" t="s">
        <v>2714</v>
      </c>
    </row>
    <row r="1098" spans="1:1" x14ac:dyDescent="0.25">
      <c r="A1098" t="s">
        <v>2714</v>
      </c>
    </row>
    <row r="1099" spans="1:1" x14ac:dyDescent="0.25">
      <c r="A1099" t="s">
        <v>2714</v>
      </c>
    </row>
    <row r="1100" spans="1:1" x14ac:dyDescent="0.25">
      <c r="A1100" t="s">
        <v>2714</v>
      </c>
    </row>
    <row r="1101" spans="1:1" x14ac:dyDescent="0.25">
      <c r="A1101" t="s">
        <v>2714</v>
      </c>
    </row>
    <row r="1102" spans="1:1" x14ac:dyDescent="0.25">
      <c r="A1102" t="s">
        <v>2714</v>
      </c>
    </row>
    <row r="1103" spans="1:1" x14ac:dyDescent="0.25">
      <c r="A1103" t="s">
        <v>2714</v>
      </c>
    </row>
    <row r="1104" spans="1:1" x14ac:dyDescent="0.25">
      <c r="A1104" t="s">
        <v>2714</v>
      </c>
    </row>
    <row r="1105" spans="1:1" x14ac:dyDescent="0.25">
      <c r="A1105" t="s">
        <v>2714</v>
      </c>
    </row>
    <row r="1106" spans="1:1" x14ac:dyDescent="0.25">
      <c r="A1106" t="s">
        <v>2714</v>
      </c>
    </row>
    <row r="1107" spans="1:1" x14ac:dyDescent="0.25">
      <c r="A1107" t="s">
        <v>2714</v>
      </c>
    </row>
    <row r="1108" spans="1:1" x14ac:dyDescent="0.25">
      <c r="A1108" t="s">
        <v>2714</v>
      </c>
    </row>
    <row r="1109" spans="1:1" x14ac:dyDescent="0.25">
      <c r="A1109" t="s">
        <v>2714</v>
      </c>
    </row>
    <row r="1110" spans="1:1" x14ac:dyDescent="0.25">
      <c r="A1110" t="s">
        <v>2714</v>
      </c>
    </row>
    <row r="1111" spans="1:1" x14ac:dyDescent="0.25">
      <c r="A1111" t="s">
        <v>2714</v>
      </c>
    </row>
    <row r="1112" spans="1:1" x14ac:dyDescent="0.25">
      <c r="A1112" t="s">
        <v>2714</v>
      </c>
    </row>
    <row r="1113" spans="1:1" x14ac:dyDescent="0.25">
      <c r="A1113" t="s">
        <v>2714</v>
      </c>
    </row>
    <row r="1114" spans="1:1" x14ac:dyDescent="0.25">
      <c r="A1114" t="s">
        <v>2714</v>
      </c>
    </row>
    <row r="1115" spans="1:1" x14ac:dyDescent="0.25">
      <c r="A1115" t="s">
        <v>2714</v>
      </c>
    </row>
    <row r="1116" spans="1:1" x14ac:dyDescent="0.25">
      <c r="A1116" t="s">
        <v>2714</v>
      </c>
    </row>
    <row r="1117" spans="1:1" x14ac:dyDescent="0.25">
      <c r="A1117" t="s">
        <v>2714</v>
      </c>
    </row>
    <row r="1118" spans="1:1" x14ac:dyDescent="0.25">
      <c r="A1118" t="s">
        <v>2714</v>
      </c>
    </row>
    <row r="1119" spans="1:1" x14ac:dyDescent="0.25">
      <c r="A1119" t="s">
        <v>2714</v>
      </c>
    </row>
    <row r="1120" spans="1:1" x14ac:dyDescent="0.25">
      <c r="A1120" t="s">
        <v>2714</v>
      </c>
    </row>
    <row r="1121" spans="1:1" x14ac:dyDescent="0.25">
      <c r="A1121" t="s">
        <v>2714</v>
      </c>
    </row>
    <row r="1122" spans="1:1" x14ac:dyDescent="0.25">
      <c r="A1122" t="s">
        <v>2714</v>
      </c>
    </row>
    <row r="1123" spans="1:1" x14ac:dyDescent="0.25">
      <c r="A1123" t="s">
        <v>2714</v>
      </c>
    </row>
    <row r="1124" spans="1:1" x14ac:dyDescent="0.25">
      <c r="A1124" t="s">
        <v>2714</v>
      </c>
    </row>
    <row r="1125" spans="1:1" x14ac:dyDescent="0.25">
      <c r="A1125" t="s">
        <v>2714</v>
      </c>
    </row>
    <row r="1126" spans="1:1" x14ac:dyDescent="0.25">
      <c r="A1126" t="s">
        <v>2714</v>
      </c>
    </row>
    <row r="1127" spans="1:1" x14ac:dyDescent="0.25">
      <c r="A1127" t="s">
        <v>2714</v>
      </c>
    </row>
    <row r="1128" spans="1:1" x14ac:dyDescent="0.25">
      <c r="A1128" t="s">
        <v>2714</v>
      </c>
    </row>
    <row r="1129" spans="1:1" x14ac:dyDescent="0.25">
      <c r="A1129" t="s">
        <v>2714</v>
      </c>
    </row>
    <row r="1130" spans="1:1" x14ac:dyDescent="0.25">
      <c r="A1130" t="s">
        <v>2714</v>
      </c>
    </row>
    <row r="1131" spans="1:1" x14ac:dyDescent="0.25">
      <c r="A1131" t="s">
        <v>2714</v>
      </c>
    </row>
    <row r="1132" spans="1:1" x14ac:dyDescent="0.25">
      <c r="A1132" t="s">
        <v>2714</v>
      </c>
    </row>
    <row r="1133" spans="1:1" x14ac:dyDescent="0.25">
      <c r="A1133" t="s">
        <v>2714</v>
      </c>
    </row>
    <row r="1134" spans="1:1" x14ac:dyDescent="0.25">
      <c r="A1134" t="s">
        <v>2714</v>
      </c>
    </row>
    <row r="1135" spans="1:1" x14ac:dyDescent="0.25">
      <c r="A1135" t="s">
        <v>2714</v>
      </c>
    </row>
    <row r="1136" spans="1:1" x14ac:dyDescent="0.25">
      <c r="A1136" t="s">
        <v>2686</v>
      </c>
    </row>
    <row r="1139" spans="1:1" x14ac:dyDescent="0.25">
      <c r="A1139" t="s">
        <v>3032</v>
      </c>
    </row>
    <row r="1140" spans="1:1" x14ac:dyDescent="0.25">
      <c r="A1140" t="s">
        <v>3033</v>
      </c>
    </row>
    <row r="1141" spans="1:1" x14ac:dyDescent="0.25">
      <c r="A1141" t="s">
        <v>3034</v>
      </c>
    </row>
    <row r="1142" spans="1:1" x14ac:dyDescent="0.25">
      <c r="A1142" t="s">
        <v>3035</v>
      </c>
    </row>
    <row r="1143" spans="1:1" x14ac:dyDescent="0.25">
      <c r="A1143" t="s">
        <v>3036</v>
      </c>
    </row>
    <row r="1144" spans="1:1" x14ac:dyDescent="0.25">
      <c r="A1144" t="s">
        <v>3037</v>
      </c>
    </row>
    <row r="1145" spans="1:1" x14ac:dyDescent="0.25">
      <c r="A1145" t="s">
        <v>3038</v>
      </c>
    </row>
    <row r="1146" spans="1:1" x14ac:dyDescent="0.25">
      <c r="A1146" t="s">
        <v>3039</v>
      </c>
    </row>
    <row r="1147" spans="1:1" x14ac:dyDescent="0.25">
      <c r="A1147" t="s">
        <v>3040</v>
      </c>
    </row>
    <row r="1148" spans="1:1" x14ac:dyDescent="0.25">
      <c r="A1148" t="s">
        <v>3041</v>
      </c>
    </row>
    <row r="1149" spans="1:1" x14ac:dyDescent="0.25">
      <c r="A1149" t="s">
        <v>3042</v>
      </c>
    </row>
    <row r="1150" spans="1:1" x14ac:dyDescent="0.25">
      <c r="A1150" t="s">
        <v>3043</v>
      </c>
    </row>
    <row r="1151" spans="1:1" x14ac:dyDescent="0.25">
      <c r="A1151" t="s">
        <v>3044</v>
      </c>
    </row>
    <row r="1152" spans="1:1" x14ac:dyDescent="0.25">
      <c r="A1152" t="s">
        <v>3035</v>
      </c>
    </row>
    <row r="1153" spans="1:1" x14ac:dyDescent="0.25">
      <c r="A1153" t="s">
        <v>3045</v>
      </c>
    </row>
    <row r="1154" spans="1:1" x14ac:dyDescent="0.25">
      <c r="A1154" t="s">
        <v>2713</v>
      </c>
    </row>
    <row r="1155" spans="1:1" x14ac:dyDescent="0.25">
      <c r="A1155" t="s">
        <v>2714</v>
      </c>
    </row>
    <row r="1156" spans="1:1" x14ac:dyDescent="0.25">
      <c r="A1156" t="s">
        <v>2714</v>
      </c>
    </row>
    <row r="1157" spans="1:1" x14ac:dyDescent="0.25">
      <c r="A1157" t="s">
        <v>2714</v>
      </c>
    </row>
    <row r="1158" spans="1:1" x14ac:dyDescent="0.25">
      <c r="A1158" t="s">
        <v>2714</v>
      </c>
    </row>
    <row r="1159" spans="1:1" x14ac:dyDescent="0.25">
      <c r="A1159" t="s">
        <v>2714</v>
      </c>
    </row>
    <row r="1160" spans="1:1" x14ac:dyDescent="0.25">
      <c r="A1160" t="s">
        <v>2714</v>
      </c>
    </row>
    <row r="1161" spans="1:1" x14ac:dyDescent="0.25">
      <c r="A1161" t="s">
        <v>2714</v>
      </c>
    </row>
    <row r="1162" spans="1:1" x14ac:dyDescent="0.25">
      <c r="A1162" t="s">
        <v>2714</v>
      </c>
    </row>
    <row r="1163" spans="1:1" x14ac:dyDescent="0.25">
      <c r="A1163" t="s">
        <v>2714</v>
      </c>
    </row>
    <row r="1164" spans="1:1" x14ac:dyDescent="0.25">
      <c r="A1164" t="s">
        <v>2714</v>
      </c>
    </row>
    <row r="1165" spans="1:1" x14ac:dyDescent="0.25">
      <c r="A1165" t="s">
        <v>2714</v>
      </c>
    </row>
    <row r="1166" spans="1:1" x14ac:dyDescent="0.25">
      <c r="A1166" t="s">
        <v>2714</v>
      </c>
    </row>
    <row r="1167" spans="1:1" x14ac:dyDescent="0.25">
      <c r="A1167" t="s">
        <v>2714</v>
      </c>
    </row>
    <row r="1168" spans="1:1" x14ac:dyDescent="0.25">
      <c r="A1168" t="s">
        <v>2714</v>
      </c>
    </row>
    <row r="1169" spans="1:1" x14ac:dyDescent="0.25">
      <c r="A1169" t="s">
        <v>2714</v>
      </c>
    </row>
    <row r="1170" spans="1:1" x14ac:dyDescent="0.25">
      <c r="A1170" t="s">
        <v>2714</v>
      </c>
    </row>
    <row r="1171" spans="1:1" x14ac:dyDescent="0.25">
      <c r="A1171" t="s">
        <v>2714</v>
      </c>
    </row>
    <row r="1172" spans="1:1" x14ac:dyDescent="0.25">
      <c r="A1172" t="s">
        <v>2714</v>
      </c>
    </row>
    <row r="1173" spans="1:1" x14ac:dyDescent="0.25">
      <c r="A1173" t="s">
        <v>2714</v>
      </c>
    </row>
    <row r="1174" spans="1:1" x14ac:dyDescent="0.25">
      <c r="A1174" t="s">
        <v>2714</v>
      </c>
    </row>
    <row r="1175" spans="1:1" x14ac:dyDescent="0.25">
      <c r="A1175" t="s">
        <v>2714</v>
      </c>
    </row>
    <row r="1176" spans="1:1" x14ac:dyDescent="0.25">
      <c r="A1176" t="s">
        <v>2714</v>
      </c>
    </row>
    <row r="1177" spans="1:1" x14ac:dyDescent="0.25">
      <c r="A1177" t="s">
        <v>2714</v>
      </c>
    </row>
    <row r="1178" spans="1:1" x14ac:dyDescent="0.25">
      <c r="A1178" t="s">
        <v>2714</v>
      </c>
    </row>
    <row r="1179" spans="1:1" x14ac:dyDescent="0.25">
      <c r="A1179" t="s">
        <v>2714</v>
      </c>
    </row>
    <row r="1180" spans="1:1" x14ac:dyDescent="0.25">
      <c r="A1180" t="s">
        <v>2714</v>
      </c>
    </row>
    <row r="1181" spans="1:1" x14ac:dyDescent="0.25">
      <c r="A1181" t="s">
        <v>2714</v>
      </c>
    </row>
    <row r="1182" spans="1:1" x14ac:dyDescent="0.25">
      <c r="A1182" t="s">
        <v>2714</v>
      </c>
    </row>
    <row r="1183" spans="1:1" x14ac:dyDescent="0.25">
      <c r="A1183" t="s">
        <v>2714</v>
      </c>
    </row>
    <row r="1184" spans="1:1" x14ac:dyDescent="0.25">
      <c r="A1184" t="s">
        <v>2714</v>
      </c>
    </row>
    <row r="1185" spans="1:1" x14ac:dyDescent="0.25">
      <c r="A1185" t="s">
        <v>2714</v>
      </c>
    </row>
    <row r="1186" spans="1:1" x14ac:dyDescent="0.25">
      <c r="A1186" t="s">
        <v>2714</v>
      </c>
    </row>
    <row r="1187" spans="1:1" x14ac:dyDescent="0.25">
      <c r="A1187" t="s">
        <v>2714</v>
      </c>
    </row>
    <row r="1188" spans="1:1" x14ac:dyDescent="0.25">
      <c r="A1188" t="s">
        <v>2714</v>
      </c>
    </row>
    <row r="1189" spans="1:1" x14ac:dyDescent="0.25">
      <c r="A1189" t="s">
        <v>2714</v>
      </c>
    </row>
    <row r="1190" spans="1:1" x14ac:dyDescent="0.25">
      <c r="A1190" t="s">
        <v>2714</v>
      </c>
    </row>
    <row r="1191" spans="1:1" x14ac:dyDescent="0.25">
      <c r="A1191" t="s">
        <v>2714</v>
      </c>
    </row>
    <row r="1192" spans="1:1" x14ac:dyDescent="0.25">
      <c r="A1192" t="s">
        <v>2714</v>
      </c>
    </row>
    <row r="1193" spans="1:1" x14ac:dyDescent="0.25">
      <c r="A1193" t="s">
        <v>2714</v>
      </c>
    </row>
    <row r="1194" spans="1:1" x14ac:dyDescent="0.25">
      <c r="A1194" t="s">
        <v>2714</v>
      </c>
    </row>
    <row r="1195" spans="1:1" x14ac:dyDescent="0.25">
      <c r="A1195" t="s">
        <v>2714</v>
      </c>
    </row>
    <row r="1196" spans="1:1" x14ac:dyDescent="0.25">
      <c r="A1196" t="s">
        <v>2714</v>
      </c>
    </row>
    <row r="1197" spans="1:1" x14ac:dyDescent="0.25">
      <c r="A1197" t="s">
        <v>2714</v>
      </c>
    </row>
    <row r="1198" spans="1:1" x14ac:dyDescent="0.25">
      <c r="A1198" t="s">
        <v>2714</v>
      </c>
    </row>
    <row r="1199" spans="1:1" x14ac:dyDescent="0.25">
      <c r="A1199" t="s">
        <v>2686</v>
      </c>
    </row>
    <row r="1202" spans="1:1" x14ac:dyDescent="0.25">
      <c r="A1202" t="s">
        <v>3046</v>
      </c>
    </row>
    <row r="1203" spans="1:1" x14ac:dyDescent="0.25">
      <c r="A1203" t="s">
        <v>3047</v>
      </c>
    </row>
    <row r="1204" spans="1:1" x14ac:dyDescent="0.25">
      <c r="A1204" t="s">
        <v>3048</v>
      </c>
    </row>
    <row r="1205" spans="1:1" x14ac:dyDescent="0.25">
      <c r="A1205" t="s">
        <v>3049</v>
      </c>
    </row>
    <row r="1206" spans="1:1" x14ac:dyDescent="0.25">
      <c r="A1206" t="s">
        <v>3050</v>
      </c>
    </row>
    <row r="1207" spans="1:1" x14ac:dyDescent="0.25">
      <c r="A1207" t="s">
        <v>3051</v>
      </c>
    </row>
    <row r="1208" spans="1:1" x14ac:dyDescent="0.25">
      <c r="A1208" t="s">
        <v>3052</v>
      </c>
    </row>
    <row r="1209" spans="1:1" x14ac:dyDescent="0.25">
      <c r="A1209" t="s">
        <v>3053</v>
      </c>
    </row>
    <row r="1210" spans="1:1" x14ac:dyDescent="0.25">
      <c r="A1210" t="s">
        <v>3054</v>
      </c>
    </row>
    <row r="1211" spans="1:1" x14ac:dyDescent="0.25">
      <c r="A1211" t="s">
        <v>3055</v>
      </c>
    </row>
    <row r="1212" spans="1:1" x14ac:dyDescent="0.25">
      <c r="A1212" t="s">
        <v>3056</v>
      </c>
    </row>
    <row r="1213" spans="1:1" x14ac:dyDescent="0.25">
      <c r="A1213" t="s">
        <v>3057</v>
      </c>
    </row>
    <row r="1214" spans="1:1" x14ac:dyDescent="0.25">
      <c r="A1214" t="s">
        <v>3058</v>
      </c>
    </row>
    <row r="1215" spans="1:1" x14ac:dyDescent="0.25">
      <c r="A1215" t="s">
        <v>3059</v>
      </c>
    </row>
    <row r="1216" spans="1:1" x14ac:dyDescent="0.25">
      <c r="A1216" t="s">
        <v>3060</v>
      </c>
    </row>
    <row r="1217" spans="1:1" x14ac:dyDescent="0.25">
      <c r="A1217" t="s">
        <v>3061</v>
      </c>
    </row>
    <row r="1218" spans="1:1" x14ac:dyDescent="0.25">
      <c r="A1218" t="s">
        <v>3062</v>
      </c>
    </row>
    <row r="1219" spans="1:1" x14ac:dyDescent="0.25">
      <c r="A1219" t="s">
        <v>3051</v>
      </c>
    </row>
    <row r="1220" spans="1:1" x14ac:dyDescent="0.25">
      <c r="A1220" t="s">
        <v>3063</v>
      </c>
    </row>
    <row r="1221" spans="1:1" x14ac:dyDescent="0.25">
      <c r="A1221" t="s">
        <v>2713</v>
      </c>
    </row>
    <row r="1222" spans="1:1" x14ac:dyDescent="0.25">
      <c r="A1222" t="s">
        <v>2714</v>
      </c>
    </row>
    <row r="1223" spans="1:1" x14ac:dyDescent="0.25">
      <c r="A1223" t="s">
        <v>2714</v>
      </c>
    </row>
    <row r="1224" spans="1:1" x14ac:dyDescent="0.25">
      <c r="A1224" t="s">
        <v>2714</v>
      </c>
    </row>
    <row r="1225" spans="1:1" x14ac:dyDescent="0.25">
      <c r="A1225" t="s">
        <v>2714</v>
      </c>
    </row>
    <row r="1226" spans="1:1" x14ac:dyDescent="0.25">
      <c r="A1226" t="s">
        <v>2714</v>
      </c>
    </row>
    <row r="1227" spans="1:1" x14ac:dyDescent="0.25">
      <c r="A1227" t="s">
        <v>2714</v>
      </c>
    </row>
    <row r="1228" spans="1:1" x14ac:dyDescent="0.25">
      <c r="A1228" t="s">
        <v>2714</v>
      </c>
    </row>
    <row r="1229" spans="1:1" x14ac:dyDescent="0.25">
      <c r="A1229" t="s">
        <v>2714</v>
      </c>
    </row>
    <row r="1230" spans="1:1" x14ac:dyDescent="0.25">
      <c r="A1230" t="s">
        <v>2714</v>
      </c>
    </row>
    <row r="1231" spans="1:1" x14ac:dyDescent="0.25">
      <c r="A1231" t="s">
        <v>2714</v>
      </c>
    </row>
    <row r="1232" spans="1:1" x14ac:dyDescent="0.25">
      <c r="A1232" t="s">
        <v>2714</v>
      </c>
    </row>
    <row r="1233" spans="1:1" x14ac:dyDescent="0.25">
      <c r="A1233" t="s">
        <v>2714</v>
      </c>
    </row>
    <row r="1234" spans="1:1" x14ac:dyDescent="0.25">
      <c r="A1234" t="s">
        <v>2714</v>
      </c>
    </row>
    <row r="1235" spans="1:1" x14ac:dyDescent="0.25">
      <c r="A1235" t="s">
        <v>2714</v>
      </c>
    </row>
    <row r="1236" spans="1:1" x14ac:dyDescent="0.25">
      <c r="A1236" t="s">
        <v>2714</v>
      </c>
    </row>
    <row r="1237" spans="1:1" x14ac:dyDescent="0.25">
      <c r="A1237" t="s">
        <v>2714</v>
      </c>
    </row>
    <row r="1238" spans="1:1" x14ac:dyDescent="0.25">
      <c r="A1238" t="s">
        <v>2714</v>
      </c>
    </row>
    <row r="1239" spans="1:1" x14ac:dyDescent="0.25">
      <c r="A1239" t="s">
        <v>2714</v>
      </c>
    </row>
    <row r="1240" spans="1:1" x14ac:dyDescent="0.25">
      <c r="A1240" t="s">
        <v>2714</v>
      </c>
    </row>
    <row r="1241" spans="1:1" x14ac:dyDescent="0.25">
      <c r="A1241" t="s">
        <v>2714</v>
      </c>
    </row>
    <row r="1242" spans="1:1" x14ac:dyDescent="0.25">
      <c r="A1242" t="s">
        <v>2714</v>
      </c>
    </row>
    <row r="1243" spans="1:1" x14ac:dyDescent="0.25">
      <c r="A1243" t="s">
        <v>2714</v>
      </c>
    </row>
    <row r="1244" spans="1:1" x14ac:dyDescent="0.25">
      <c r="A1244" t="s">
        <v>2714</v>
      </c>
    </row>
    <row r="1245" spans="1:1" x14ac:dyDescent="0.25">
      <c r="A1245" t="s">
        <v>2714</v>
      </c>
    </row>
    <row r="1246" spans="1:1" x14ac:dyDescent="0.25">
      <c r="A1246" t="s">
        <v>2714</v>
      </c>
    </row>
    <row r="1247" spans="1:1" x14ac:dyDescent="0.25">
      <c r="A1247" t="s">
        <v>2714</v>
      </c>
    </row>
    <row r="1248" spans="1:1" x14ac:dyDescent="0.25">
      <c r="A1248" t="s">
        <v>2714</v>
      </c>
    </row>
    <row r="1249" spans="1:1" x14ac:dyDescent="0.25">
      <c r="A1249" t="s">
        <v>2714</v>
      </c>
    </row>
    <row r="1250" spans="1:1" x14ac:dyDescent="0.25">
      <c r="A1250" t="s">
        <v>2714</v>
      </c>
    </row>
    <row r="1251" spans="1:1" x14ac:dyDescent="0.25">
      <c r="A1251" t="s">
        <v>2714</v>
      </c>
    </row>
    <row r="1252" spans="1:1" x14ac:dyDescent="0.25">
      <c r="A1252" t="s">
        <v>2714</v>
      </c>
    </row>
    <row r="1253" spans="1:1" x14ac:dyDescent="0.25">
      <c r="A1253" t="s">
        <v>2714</v>
      </c>
    </row>
    <row r="1254" spans="1:1" x14ac:dyDescent="0.25">
      <c r="A1254" t="s">
        <v>2714</v>
      </c>
    </row>
    <row r="1255" spans="1:1" x14ac:dyDescent="0.25">
      <c r="A1255" t="s">
        <v>2714</v>
      </c>
    </row>
    <row r="1256" spans="1:1" x14ac:dyDescent="0.25">
      <c r="A1256" t="s">
        <v>2714</v>
      </c>
    </row>
    <row r="1257" spans="1:1" x14ac:dyDescent="0.25">
      <c r="A1257" t="s">
        <v>2714</v>
      </c>
    </row>
    <row r="1258" spans="1:1" x14ac:dyDescent="0.25">
      <c r="A1258" t="s">
        <v>2714</v>
      </c>
    </row>
    <row r="1259" spans="1:1" x14ac:dyDescent="0.25">
      <c r="A1259" t="s">
        <v>2714</v>
      </c>
    </row>
    <row r="1260" spans="1:1" x14ac:dyDescent="0.25">
      <c r="A1260" t="s">
        <v>2714</v>
      </c>
    </row>
    <row r="1261" spans="1:1" x14ac:dyDescent="0.25">
      <c r="A1261" t="s">
        <v>2714</v>
      </c>
    </row>
    <row r="1262" spans="1:1" x14ac:dyDescent="0.25">
      <c r="A1262" t="s">
        <v>2686</v>
      </c>
    </row>
    <row r="1265" spans="1:1" x14ac:dyDescent="0.25">
      <c r="A1265" t="s">
        <v>3064</v>
      </c>
    </row>
    <row r="1266" spans="1:1" x14ac:dyDescent="0.25">
      <c r="A1266" t="s">
        <v>2713</v>
      </c>
    </row>
    <row r="1267" spans="1:1" x14ac:dyDescent="0.25">
      <c r="A1267" t="s">
        <v>2714</v>
      </c>
    </row>
    <row r="1268" spans="1:1" x14ac:dyDescent="0.25">
      <c r="A1268" t="s">
        <v>2714</v>
      </c>
    </row>
    <row r="1269" spans="1:1" x14ac:dyDescent="0.25">
      <c r="A1269" t="s">
        <v>2714</v>
      </c>
    </row>
    <row r="1270" spans="1:1" x14ac:dyDescent="0.25">
      <c r="A1270" t="s">
        <v>2714</v>
      </c>
    </row>
    <row r="1271" spans="1:1" x14ac:dyDescent="0.25">
      <c r="A1271" t="s">
        <v>2714</v>
      </c>
    </row>
    <row r="1272" spans="1:1" x14ac:dyDescent="0.25">
      <c r="A1272" t="s">
        <v>2714</v>
      </c>
    </row>
    <row r="1273" spans="1:1" x14ac:dyDescent="0.25">
      <c r="A1273" t="s">
        <v>2714</v>
      </c>
    </row>
    <row r="1274" spans="1:1" x14ac:dyDescent="0.25">
      <c r="A1274" t="s">
        <v>2714</v>
      </c>
    </row>
    <row r="1275" spans="1:1" x14ac:dyDescent="0.25">
      <c r="A1275" t="s">
        <v>2714</v>
      </c>
    </row>
    <row r="1276" spans="1:1" x14ac:dyDescent="0.25">
      <c r="A1276" t="s">
        <v>2714</v>
      </c>
    </row>
    <row r="1277" spans="1:1" x14ac:dyDescent="0.25">
      <c r="A1277" t="s">
        <v>2714</v>
      </c>
    </row>
    <row r="1278" spans="1:1" x14ac:dyDescent="0.25">
      <c r="A1278" t="s">
        <v>2714</v>
      </c>
    </row>
    <row r="1279" spans="1:1" x14ac:dyDescent="0.25">
      <c r="A1279" t="s">
        <v>2714</v>
      </c>
    </row>
    <row r="1280" spans="1:1" x14ac:dyDescent="0.25">
      <c r="A1280" t="s">
        <v>2714</v>
      </c>
    </row>
    <row r="1281" spans="1:1" x14ac:dyDescent="0.25">
      <c r="A1281" t="s">
        <v>2714</v>
      </c>
    </row>
    <row r="1282" spans="1:1" x14ac:dyDescent="0.25">
      <c r="A1282" t="s">
        <v>2714</v>
      </c>
    </row>
    <row r="1283" spans="1:1" x14ac:dyDescent="0.25">
      <c r="A1283" t="s">
        <v>2714</v>
      </c>
    </row>
    <row r="1284" spans="1:1" x14ac:dyDescent="0.25">
      <c r="A1284" t="s">
        <v>2714</v>
      </c>
    </row>
    <row r="1285" spans="1:1" x14ac:dyDescent="0.25">
      <c r="A1285" t="s">
        <v>2714</v>
      </c>
    </row>
    <row r="1286" spans="1:1" x14ac:dyDescent="0.25">
      <c r="A1286" t="s">
        <v>2714</v>
      </c>
    </row>
    <row r="1287" spans="1:1" x14ac:dyDescent="0.25">
      <c r="A1287" t="s">
        <v>2714</v>
      </c>
    </row>
    <row r="1288" spans="1:1" x14ac:dyDescent="0.25">
      <c r="A1288" t="s">
        <v>2714</v>
      </c>
    </row>
    <row r="1289" spans="1:1" x14ac:dyDescent="0.25">
      <c r="A1289" t="s">
        <v>2714</v>
      </c>
    </row>
    <row r="1290" spans="1:1" x14ac:dyDescent="0.25">
      <c r="A1290" t="s">
        <v>2714</v>
      </c>
    </row>
    <row r="1291" spans="1:1" x14ac:dyDescent="0.25">
      <c r="A1291" t="s">
        <v>2714</v>
      </c>
    </row>
    <row r="1292" spans="1:1" x14ac:dyDescent="0.25">
      <c r="A1292" t="s">
        <v>2714</v>
      </c>
    </row>
    <row r="1293" spans="1:1" x14ac:dyDescent="0.25">
      <c r="A1293" t="s">
        <v>2714</v>
      </c>
    </row>
    <row r="1294" spans="1:1" x14ac:dyDescent="0.25">
      <c r="A1294" t="s">
        <v>2714</v>
      </c>
    </row>
    <row r="1295" spans="1:1" x14ac:dyDescent="0.25">
      <c r="A1295" t="s">
        <v>2714</v>
      </c>
    </row>
    <row r="1296" spans="1:1" x14ac:dyDescent="0.25">
      <c r="A1296" t="s">
        <v>2714</v>
      </c>
    </row>
    <row r="1297" spans="1:1" x14ac:dyDescent="0.25">
      <c r="A1297" t="s">
        <v>2714</v>
      </c>
    </row>
    <row r="1298" spans="1:1" x14ac:dyDescent="0.25">
      <c r="A1298" t="s">
        <v>2714</v>
      </c>
    </row>
    <row r="1299" spans="1:1" x14ac:dyDescent="0.25">
      <c r="A1299" t="s">
        <v>2714</v>
      </c>
    </row>
    <row r="1300" spans="1:1" x14ac:dyDescent="0.25">
      <c r="A1300" t="s">
        <v>2714</v>
      </c>
    </row>
    <row r="1301" spans="1:1" x14ac:dyDescent="0.25">
      <c r="A1301" t="s">
        <v>2714</v>
      </c>
    </row>
    <row r="1302" spans="1:1" x14ac:dyDescent="0.25">
      <c r="A1302" t="s">
        <v>2714</v>
      </c>
    </row>
    <row r="1303" spans="1:1" x14ac:dyDescent="0.25">
      <c r="A1303" t="s">
        <v>2714</v>
      </c>
    </row>
    <row r="1304" spans="1:1" x14ac:dyDescent="0.25">
      <c r="A1304" t="s">
        <v>2714</v>
      </c>
    </row>
    <row r="1305" spans="1:1" x14ac:dyDescent="0.25">
      <c r="A1305" t="s">
        <v>2714</v>
      </c>
    </row>
    <row r="1306" spans="1:1" x14ac:dyDescent="0.25">
      <c r="A1306" t="s">
        <v>2714</v>
      </c>
    </row>
    <row r="1307" spans="1:1" x14ac:dyDescent="0.25">
      <c r="A1307" t="s">
        <v>2714</v>
      </c>
    </row>
    <row r="1308" spans="1:1" x14ac:dyDescent="0.25">
      <c r="A1308" t="s">
        <v>2714</v>
      </c>
    </row>
    <row r="1309" spans="1:1" x14ac:dyDescent="0.25">
      <c r="A1309" t="s">
        <v>2714</v>
      </c>
    </row>
    <row r="1310" spans="1:1" x14ac:dyDescent="0.25">
      <c r="A1310" t="s">
        <v>2714</v>
      </c>
    </row>
    <row r="1311" spans="1:1" x14ac:dyDescent="0.25">
      <c r="A1311" t="s">
        <v>2714</v>
      </c>
    </row>
    <row r="1312" spans="1:1" x14ac:dyDescent="0.25">
      <c r="A1312" t="s">
        <v>2714</v>
      </c>
    </row>
    <row r="1313" spans="1:1" x14ac:dyDescent="0.25">
      <c r="A1313" t="s">
        <v>2714</v>
      </c>
    </row>
    <row r="1314" spans="1:1" x14ac:dyDescent="0.25">
      <c r="A1314" t="s">
        <v>2714</v>
      </c>
    </row>
    <row r="1315" spans="1:1" x14ac:dyDescent="0.25">
      <c r="A1315" t="s">
        <v>2714</v>
      </c>
    </row>
    <row r="1316" spans="1:1" x14ac:dyDescent="0.25">
      <c r="A1316" t="s">
        <v>2714</v>
      </c>
    </row>
    <row r="1317" spans="1:1" x14ac:dyDescent="0.25">
      <c r="A1317" t="s">
        <v>2714</v>
      </c>
    </row>
    <row r="1318" spans="1:1" x14ac:dyDescent="0.25">
      <c r="A1318" t="s">
        <v>2714</v>
      </c>
    </row>
    <row r="1319" spans="1:1" x14ac:dyDescent="0.25">
      <c r="A1319" t="s">
        <v>2714</v>
      </c>
    </row>
    <row r="1320" spans="1:1" x14ac:dyDescent="0.25">
      <c r="A1320" t="s">
        <v>2714</v>
      </c>
    </row>
    <row r="1321" spans="1:1" x14ac:dyDescent="0.25">
      <c r="A1321" t="s">
        <v>2714</v>
      </c>
    </row>
    <row r="1322" spans="1:1" x14ac:dyDescent="0.25">
      <c r="A1322" t="s">
        <v>2714</v>
      </c>
    </row>
    <row r="1323" spans="1:1" x14ac:dyDescent="0.25">
      <c r="A1323" t="s">
        <v>2714</v>
      </c>
    </row>
    <row r="1324" spans="1:1" x14ac:dyDescent="0.25">
      <c r="A1324" t="s">
        <v>2714</v>
      </c>
    </row>
    <row r="1325" spans="1:1" x14ac:dyDescent="0.25">
      <c r="A1325" t="s">
        <v>2686</v>
      </c>
    </row>
    <row r="1328" spans="1:1" x14ac:dyDescent="0.25">
      <c r="A1328" t="s">
        <v>3065</v>
      </c>
    </row>
    <row r="1329" spans="1:1" x14ac:dyDescent="0.25">
      <c r="A1329" t="s">
        <v>3066</v>
      </c>
    </row>
    <row r="1330" spans="1:1" x14ac:dyDescent="0.25">
      <c r="A1330" t="s">
        <v>3067</v>
      </c>
    </row>
    <row r="1331" spans="1:1" x14ac:dyDescent="0.25">
      <c r="A1331" t="s">
        <v>3068</v>
      </c>
    </row>
    <row r="1332" spans="1:1" x14ac:dyDescent="0.25">
      <c r="A1332" t="s">
        <v>3069</v>
      </c>
    </row>
    <row r="1333" spans="1:1" x14ac:dyDescent="0.25">
      <c r="A1333" t="s">
        <v>3070</v>
      </c>
    </row>
    <row r="1334" spans="1:1" x14ac:dyDescent="0.25">
      <c r="A1334" t="s">
        <v>3071</v>
      </c>
    </row>
    <row r="1335" spans="1:1" x14ac:dyDescent="0.25">
      <c r="A1335" t="s">
        <v>3072</v>
      </c>
    </row>
    <row r="1336" spans="1:1" x14ac:dyDescent="0.25">
      <c r="A1336" t="s">
        <v>3073</v>
      </c>
    </row>
    <row r="1337" spans="1:1" x14ac:dyDescent="0.25">
      <c r="A1337" t="s">
        <v>3074</v>
      </c>
    </row>
    <row r="1338" spans="1:1" x14ac:dyDescent="0.25">
      <c r="A1338" t="s">
        <v>3075</v>
      </c>
    </row>
    <row r="1339" spans="1:1" x14ac:dyDescent="0.25">
      <c r="A1339" t="s">
        <v>3076</v>
      </c>
    </row>
    <row r="1340" spans="1:1" x14ac:dyDescent="0.25">
      <c r="A1340" t="s">
        <v>3077</v>
      </c>
    </row>
    <row r="1341" spans="1:1" x14ac:dyDescent="0.25">
      <c r="A1341" t="s">
        <v>3078</v>
      </c>
    </row>
    <row r="1342" spans="1:1" x14ac:dyDescent="0.25">
      <c r="A1342" t="s">
        <v>3079</v>
      </c>
    </row>
    <row r="1343" spans="1:1" x14ac:dyDescent="0.25">
      <c r="A1343" t="s">
        <v>2713</v>
      </c>
    </row>
    <row r="1344" spans="1:1" x14ac:dyDescent="0.25">
      <c r="A1344" t="s">
        <v>2714</v>
      </c>
    </row>
    <row r="1345" spans="1:1" x14ac:dyDescent="0.25">
      <c r="A1345" t="s">
        <v>2714</v>
      </c>
    </row>
    <row r="1346" spans="1:1" x14ac:dyDescent="0.25">
      <c r="A1346" t="s">
        <v>2714</v>
      </c>
    </row>
    <row r="1347" spans="1:1" x14ac:dyDescent="0.25">
      <c r="A1347" t="s">
        <v>2714</v>
      </c>
    </row>
    <row r="1348" spans="1:1" x14ac:dyDescent="0.25">
      <c r="A1348" t="s">
        <v>2714</v>
      </c>
    </row>
    <row r="1349" spans="1:1" x14ac:dyDescent="0.25">
      <c r="A1349" t="s">
        <v>2714</v>
      </c>
    </row>
    <row r="1350" spans="1:1" x14ac:dyDescent="0.25">
      <c r="A1350" t="s">
        <v>2714</v>
      </c>
    </row>
    <row r="1351" spans="1:1" x14ac:dyDescent="0.25">
      <c r="A1351" t="s">
        <v>2714</v>
      </c>
    </row>
    <row r="1352" spans="1:1" x14ac:dyDescent="0.25">
      <c r="A1352" t="s">
        <v>2714</v>
      </c>
    </row>
    <row r="1353" spans="1:1" x14ac:dyDescent="0.25">
      <c r="A1353" t="s">
        <v>2714</v>
      </c>
    </row>
    <row r="1354" spans="1:1" x14ac:dyDescent="0.25">
      <c r="A1354" t="s">
        <v>2714</v>
      </c>
    </row>
    <row r="1355" spans="1:1" x14ac:dyDescent="0.25">
      <c r="A1355" t="s">
        <v>2714</v>
      </c>
    </row>
    <row r="1356" spans="1:1" x14ac:dyDescent="0.25">
      <c r="A1356" t="s">
        <v>2714</v>
      </c>
    </row>
    <row r="1357" spans="1:1" x14ac:dyDescent="0.25">
      <c r="A1357" t="s">
        <v>2714</v>
      </c>
    </row>
    <row r="1358" spans="1:1" x14ac:dyDescent="0.25">
      <c r="A1358" t="s">
        <v>2714</v>
      </c>
    </row>
    <row r="1359" spans="1:1" x14ac:dyDescent="0.25">
      <c r="A1359" t="s">
        <v>2714</v>
      </c>
    </row>
    <row r="1360" spans="1:1" x14ac:dyDescent="0.25">
      <c r="A1360" t="s">
        <v>2714</v>
      </c>
    </row>
    <row r="1361" spans="1:1" x14ac:dyDescent="0.25">
      <c r="A1361" t="s">
        <v>2714</v>
      </c>
    </row>
    <row r="1362" spans="1:1" x14ac:dyDescent="0.25">
      <c r="A1362" t="s">
        <v>2714</v>
      </c>
    </row>
    <row r="1363" spans="1:1" x14ac:dyDescent="0.25">
      <c r="A1363" t="s">
        <v>2714</v>
      </c>
    </row>
    <row r="1364" spans="1:1" x14ac:dyDescent="0.25">
      <c r="A1364" t="s">
        <v>2714</v>
      </c>
    </row>
    <row r="1365" spans="1:1" x14ac:dyDescent="0.25">
      <c r="A1365" t="s">
        <v>2714</v>
      </c>
    </row>
    <row r="1366" spans="1:1" x14ac:dyDescent="0.25">
      <c r="A1366" t="s">
        <v>2714</v>
      </c>
    </row>
    <row r="1367" spans="1:1" x14ac:dyDescent="0.25">
      <c r="A1367" t="s">
        <v>2714</v>
      </c>
    </row>
    <row r="1368" spans="1:1" x14ac:dyDescent="0.25">
      <c r="A1368" t="s">
        <v>2714</v>
      </c>
    </row>
    <row r="1369" spans="1:1" x14ac:dyDescent="0.25">
      <c r="A1369" t="s">
        <v>2714</v>
      </c>
    </row>
    <row r="1370" spans="1:1" x14ac:dyDescent="0.25">
      <c r="A1370" t="s">
        <v>2714</v>
      </c>
    </row>
    <row r="1371" spans="1:1" x14ac:dyDescent="0.25">
      <c r="A1371" t="s">
        <v>2714</v>
      </c>
    </row>
    <row r="1372" spans="1:1" x14ac:dyDescent="0.25">
      <c r="A1372" t="s">
        <v>2714</v>
      </c>
    </row>
    <row r="1373" spans="1:1" x14ac:dyDescent="0.25">
      <c r="A1373" t="s">
        <v>2714</v>
      </c>
    </row>
    <row r="1374" spans="1:1" x14ac:dyDescent="0.25">
      <c r="A1374" t="s">
        <v>2714</v>
      </c>
    </row>
    <row r="1375" spans="1:1" x14ac:dyDescent="0.25">
      <c r="A1375" t="s">
        <v>2714</v>
      </c>
    </row>
    <row r="1376" spans="1:1" x14ac:dyDescent="0.25">
      <c r="A1376" t="s">
        <v>2714</v>
      </c>
    </row>
    <row r="1377" spans="1:1" x14ac:dyDescent="0.25">
      <c r="A1377" t="s">
        <v>2714</v>
      </c>
    </row>
    <row r="1378" spans="1:1" x14ac:dyDescent="0.25">
      <c r="A1378" t="s">
        <v>2714</v>
      </c>
    </row>
    <row r="1379" spans="1:1" x14ac:dyDescent="0.25">
      <c r="A1379" t="s">
        <v>2714</v>
      </c>
    </row>
    <row r="1380" spans="1:1" x14ac:dyDescent="0.25">
      <c r="A1380" t="s">
        <v>2714</v>
      </c>
    </row>
    <row r="1381" spans="1:1" x14ac:dyDescent="0.25">
      <c r="A1381" t="s">
        <v>2714</v>
      </c>
    </row>
    <row r="1382" spans="1:1" x14ac:dyDescent="0.25">
      <c r="A1382" t="s">
        <v>2714</v>
      </c>
    </row>
    <row r="1383" spans="1:1" x14ac:dyDescent="0.25">
      <c r="A1383" t="s">
        <v>2714</v>
      </c>
    </row>
    <row r="1384" spans="1:1" x14ac:dyDescent="0.25">
      <c r="A1384" t="s">
        <v>2714</v>
      </c>
    </row>
    <row r="1385" spans="1:1" x14ac:dyDescent="0.25">
      <c r="A1385" t="s">
        <v>2714</v>
      </c>
    </row>
    <row r="1386" spans="1:1" x14ac:dyDescent="0.25">
      <c r="A1386" t="s">
        <v>2714</v>
      </c>
    </row>
    <row r="1387" spans="1:1" x14ac:dyDescent="0.25">
      <c r="A1387" t="s">
        <v>2714</v>
      </c>
    </row>
    <row r="1388" spans="1:1" x14ac:dyDescent="0.25">
      <c r="A1388" t="s">
        <v>2686</v>
      </c>
    </row>
    <row r="1391" spans="1:1" x14ac:dyDescent="0.25">
      <c r="A1391" t="s">
        <v>3080</v>
      </c>
    </row>
    <row r="1392" spans="1:1" x14ac:dyDescent="0.25">
      <c r="A1392" t="s">
        <v>3081</v>
      </c>
    </row>
    <row r="1393" spans="1:1" x14ac:dyDescent="0.25">
      <c r="A1393" t="s">
        <v>3082</v>
      </c>
    </row>
    <row r="1394" spans="1:1" x14ac:dyDescent="0.25">
      <c r="A1394" t="s">
        <v>3083</v>
      </c>
    </row>
    <row r="1395" spans="1:1" x14ac:dyDescent="0.25">
      <c r="A1395" t="s">
        <v>3084</v>
      </c>
    </row>
    <row r="1396" spans="1:1" x14ac:dyDescent="0.25">
      <c r="A1396" t="s">
        <v>3085</v>
      </c>
    </row>
    <row r="1397" spans="1:1" x14ac:dyDescent="0.25">
      <c r="A1397" t="s">
        <v>3086</v>
      </c>
    </row>
    <row r="1398" spans="1:1" x14ac:dyDescent="0.25">
      <c r="A1398" t="s">
        <v>3087</v>
      </c>
    </row>
    <row r="1399" spans="1:1" x14ac:dyDescent="0.25">
      <c r="A1399" t="s">
        <v>3088</v>
      </c>
    </row>
    <row r="1400" spans="1:1" x14ac:dyDescent="0.25">
      <c r="A1400" t="s">
        <v>3089</v>
      </c>
    </row>
    <row r="1401" spans="1:1" x14ac:dyDescent="0.25">
      <c r="A1401" t="s">
        <v>3090</v>
      </c>
    </row>
    <row r="1402" spans="1:1" x14ac:dyDescent="0.25">
      <c r="A1402" t="s">
        <v>3091</v>
      </c>
    </row>
    <row r="1403" spans="1:1" x14ac:dyDescent="0.25">
      <c r="A1403" t="s">
        <v>3092</v>
      </c>
    </row>
    <row r="1404" spans="1:1" x14ac:dyDescent="0.25">
      <c r="A1404" t="s">
        <v>3093</v>
      </c>
    </row>
    <row r="1405" spans="1:1" x14ac:dyDescent="0.25">
      <c r="A1405" t="s">
        <v>3094</v>
      </c>
    </row>
    <row r="1406" spans="1:1" x14ac:dyDescent="0.25">
      <c r="A1406" t="s">
        <v>3095</v>
      </c>
    </row>
    <row r="1407" spans="1:1" x14ac:dyDescent="0.25">
      <c r="A1407" t="s">
        <v>3096</v>
      </c>
    </row>
    <row r="1408" spans="1:1" x14ac:dyDescent="0.25">
      <c r="A1408" t="s">
        <v>3097</v>
      </c>
    </row>
    <row r="1409" spans="1:1" x14ac:dyDescent="0.25">
      <c r="A1409" t="s">
        <v>3098</v>
      </c>
    </row>
    <row r="1410" spans="1:1" x14ac:dyDescent="0.25">
      <c r="A1410" t="s">
        <v>3099</v>
      </c>
    </row>
    <row r="1411" spans="1:1" x14ac:dyDescent="0.25">
      <c r="A1411" t="s">
        <v>3100</v>
      </c>
    </row>
    <row r="1412" spans="1:1" x14ac:dyDescent="0.25">
      <c r="A1412" t="s">
        <v>3101</v>
      </c>
    </row>
    <row r="1413" spans="1:1" x14ac:dyDescent="0.25">
      <c r="A1413" t="s">
        <v>3102</v>
      </c>
    </row>
    <row r="1414" spans="1:1" x14ac:dyDescent="0.25">
      <c r="A1414" t="s">
        <v>3103</v>
      </c>
    </row>
    <row r="1415" spans="1:1" x14ac:dyDescent="0.25">
      <c r="A1415" t="s">
        <v>3104</v>
      </c>
    </row>
    <row r="1416" spans="1:1" x14ac:dyDescent="0.25">
      <c r="A1416" t="s">
        <v>3105</v>
      </c>
    </row>
    <row r="1417" spans="1:1" x14ac:dyDescent="0.25">
      <c r="A1417" t="s">
        <v>3106</v>
      </c>
    </row>
    <row r="1418" spans="1:1" x14ac:dyDescent="0.25">
      <c r="A1418" t="s">
        <v>3107</v>
      </c>
    </row>
    <row r="1419" spans="1:1" x14ac:dyDescent="0.25">
      <c r="A1419" t="s">
        <v>3108</v>
      </c>
    </row>
    <row r="1420" spans="1:1" x14ac:dyDescent="0.25">
      <c r="A1420" t="s">
        <v>3109</v>
      </c>
    </row>
    <row r="1421" spans="1:1" x14ac:dyDescent="0.25">
      <c r="A1421" t="s">
        <v>3110</v>
      </c>
    </row>
    <row r="1422" spans="1:1" x14ac:dyDescent="0.25">
      <c r="A1422" t="s">
        <v>3111</v>
      </c>
    </row>
    <row r="1423" spans="1:1" x14ac:dyDescent="0.25">
      <c r="A1423" t="s">
        <v>3112</v>
      </c>
    </row>
    <row r="1424" spans="1:1" x14ac:dyDescent="0.25">
      <c r="A1424" t="s">
        <v>3113</v>
      </c>
    </row>
    <row r="1425" spans="1:1" x14ac:dyDescent="0.25">
      <c r="A1425" t="s">
        <v>3114</v>
      </c>
    </row>
    <row r="1426" spans="1:1" x14ac:dyDescent="0.25">
      <c r="A1426" t="s">
        <v>2713</v>
      </c>
    </row>
    <row r="1427" spans="1:1" x14ac:dyDescent="0.25">
      <c r="A1427" t="s">
        <v>2714</v>
      </c>
    </row>
    <row r="1428" spans="1:1" x14ac:dyDescent="0.25">
      <c r="A1428" t="s">
        <v>2714</v>
      </c>
    </row>
    <row r="1429" spans="1:1" x14ac:dyDescent="0.25">
      <c r="A1429" t="s">
        <v>2714</v>
      </c>
    </row>
    <row r="1430" spans="1:1" x14ac:dyDescent="0.25">
      <c r="A1430" t="s">
        <v>2714</v>
      </c>
    </row>
    <row r="1431" spans="1:1" x14ac:dyDescent="0.25">
      <c r="A1431" t="s">
        <v>2714</v>
      </c>
    </row>
    <row r="1432" spans="1:1" x14ac:dyDescent="0.25">
      <c r="A1432" t="s">
        <v>2714</v>
      </c>
    </row>
    <row r="1433" spans="1:1" x14ac:dyDescent="0.25">
      <c r="A1433" t="s">
        <v>2714</v>
      </c>
    </row>
    <row r="1434" spans="1:1" x14ac:dyDescent="0.25">
      <c r="A1434" t="s">
        <v>2714</v>
      </c>
    </row>
    <row r="1435" spans="1:1" x14ac:dyDescent="0.25">
      <c r="A1435" t="s">
        <v>2714</v>
      </c>
    </row>
    <row r="1436" spans="1:1" x14ac:dyDescent="0.25">
      <c r="A1436" t="s">
        <v>2714</v>
      </c>
    </row>
    <row r="1437" spans="1:1" x14ac:dyDescent="0.25">
      <c r="A1437" t="s">
        <v>2714</v>
      </c>
    </row>
    <row r="1438" spans="1:1" x14ac:dyDescent="0.25">
      <c r="A1438" t="s">
        <v>2714</v>
      </c>
    </row>
    <row r="1439" spans="1:1" x14ac:dyDescent="0.25">
      <c r="A1439" t="s">
        <v>2714</v>
      </c>
    </row>
    <row r="1440" spans="1:1" x14ac:dyDescent="0.25">
      <c r="A1440" t="s">
        <v>2714</v>
      </c>
    </row>
    <row r="1441" spans="1:1" x14ac:dyDescent="0.25">
      <c r="A1441" t="s">
        <v>2714</v>
      </c>
    </row>
    <row r="1442" spans="1:1" x14ac:dyDescent="0.25">
      <c r="A1442" t="s">
        <v>2714</v>
      </c>
    </row>
    <row r="1443" spans="1:1" x14ac:dyDescent="0.25">
      <c r="A1443" t="s">
        <v>2714</v>
      </c>
    </row>
    <row r="1444" spans="1:1" x14ac:dyDescent="0.25">
      <c r="A1444" t="s">
        <v>2714</v>
      </c>
    </row>
    <row r="1445" spans="1:1" x14ac:dyDescent="0.25">
      <c r="A1445" t="s">
        <v>2714</v>
      </c>
    </row>
    <row r="1446" spans="1:1" x14ac:dyDescent="0.25">
      <c r="A1446" t="s">
        <v>2714</v>
      </c>
    </row>
    <row r="1447" spans="1:1" x14ac:dyDescent="0.25">
      <c r="A1447" t="s">
        <v>2714</v>
      </c>
    </row>
    <row r="1448" spans="1:1" x14ac:dyDescent="0.25">
      <c r="A1448" t="s">
        <v>2714</v>
      </c>
    </row>
    <row r="1449" spans="1:1" x14ac:dyDescent="0.25">
      <c r="A1449" t="s">
        <v>2714</v>
      </c>
    </row>
    <row r="1450" spans="1:1" x14ac:dyDescent="0.25">
      <c r="A1450" t="s">
        <v>2714</v>
      </c>
    </row>
    <row r="1451" spans="1:1" x14ac:dyDescent="0.25">
      <c r="A1451" t="s">
        <v>2686</v>
      </c>
    </row>
    <row r="1454" spans="1:1" x14ac:dyDescent="0.25">
      <c r="A1454" t="s">
        <v>3115</v>
      </c>
    </row>
    <row r="1455" spans="1:1" x14ac:dyDescent="0.25">
      <c r="A1455" t="s">
        <v>3116</v>
      </c>
    </row>
    <row r="1456" spans="1:1" x14ac:dyDescent="0.25">
      <c r="A1456" t="s">
        <v>3116</v>
      </c>
    </row>
    <row r="1457" spans="1:1" x14ac:dyDescent="0.25">
      <c r="A1457" t="s">
        <v>3117</v>
      </c>
    </row>
    <row r="1458" spans="1:1" x14ac:dyDescent="0.25">
      <c r="A1458" t="s">
        <v>3117</v>
      </c>
    </row>
    <row r="1459" spans="1:1" x14ac:dyDescent="0.25">
      <c r="A1459" t="s">
        <v>3118</v>
      </c>
    </row>
    <row r="1460" spans="1:1" x14ac:dyDescent="0.25">
      <c r="A1460" t="s">
        <v>3119</v>
      </c>
    </row>
    <row r="1461" spans="1:1" x14ac:dyDescent="0.25">
      <c r="A1461" t="s">
        <v>3120</v>
      </c>
    </row>
    <row r="1462" spans="1:1" x14ac:dyDescent="0.25">
      <c r="A1462" t="s">
        <v>3121</v>
      </c>
    </row>
    <row r="1463" spans="1:1" x14ac:dyDescent="0.25">
      <c r="A1463" t="s">
        <v>3121</v>
      </c>
    </row>
    <row r="1464" spans="1:1" x14ac:dyDescent="0.25">
      <c r="A1464" t="s">
        <v>3122</v>
      </c>
    </row>
    <row r="1465" spans="1:1" x14ac:dyDescent="0.25">
      <c r="A1465" t="s">
        <v>3123</v>
      </c>
    </row>
    <row r="1466" spans="1:1" x14ac:dyDescent="0.25">
      <c r="A1466" t="s">
        <v>3123</v>
      </c>
    </row>
    <row r="1467" spans="1:1" x14ac:dyDescent="0.25">
      <c r="A1467" t="s">
        <v>3124</v>
      </c>
    </row>
    <row r="1468" spans="1:1" x14ac:dyDescent="0.25">
      <c r="A1468" t="s">
        <v>3125</v>
      </c>
    </row>
    <row r="1469" spans="1:1" x14ac:dyDescent="0.25">
      <c r="A1469" t="s">
        <v>3125</v>
      </c>
    </row>
    <row r="1470" spans="1:1" x14ac:dyDescent="0.25">
      <c r="A1470" t="s">
        <v>3126</v>
      </c>
    </row>
    <row r="1471" spans="1:1" x14ac:dyDescent="0.25">
      <c r="A1471" t="s">
        <v>3126</v>
      </c>
    </row>
    <row r="1472" spans="1:1" x14ac:dyDescent="0.25">
      <c r="A1472" t="s">
        <v>3127</v>
      </c>
    </row>
    <row r="1473" spans="1:1" x14ac:dyDescent="0.25">
      <c r="A1473" t="s">
        <v>3128</v>
      </c>
    </row>
    <row r="1474" spans="1:1" x14ac:dyDescent="0.25">
      <c r="A1474" t="s">
        <v>3129</v>
      </c>
    </row>
    <row r="1475" spans="1:1" x14ac:dyDescent="0.25">
      <c r="A1475" t="s">
        <v>3130</v>
      </c>
    </row>
    <row r="1476" spans="1:1" x14ac:dyDescent="0.25">
      <c r="A1476" t="s">
        <v>3131</v>
      </c>
    </row>
    <row r="1477" spans="1:1" x14ac:dyDescent="0.25">
      <c r="A1477" t="s">
        <v>3132</v>
      </c>
    </row>
    <row r="1478" spans="1:1" x14ac:dyDescent="0.25">
      <c r="A1478" t="s">
        <v>3133</v>
      </c>
    </row>
    <row r="1479" spans="1:1" x14ac:dyDescent="0.25">
      <c r="A1479" t="s">
        <v>3134</v>
      </c>
    </row>
    <row r="1480" spans="1:1" x14ac:dyDescent="0.25">
      <c r="A1480" t="s">
        <v>3135</v>
      </c>
    </row>
    <row r="1481" spans="1:1" x14ac:dyDescent="0.25">
      <c r="A1481" t="s">
        <v>3136</v>
      </c>
    </row>
    <row r="1482" spans="1:1" x14ac:dyDescent="0.25">
      <c r="A1482" t="s">
        <v>2713</v>
      </c>
    </row>
    <row r="1483" spans="1:1" x14ac:dyDescent="0.25">
      <c r="A1483" t="s">
        <v>2714</v>
      </c>
    </row>
    <row r="1484" spans="1:1" x14ac:dyDescent="0.25">
      <c r="A1484" t="s">
        <v>2714</v>
      </c>
    </row>
    <row r="1485" spans="1:1" x14ac:dyDescent="0.25">
      <c r="A1485" t="s">
        <v>2714</v>
      </c>
    </row>
    <row r="1486" spans="1:1" x14ac:dyDescent="0.25">
      <c r="A1486" t="s">
        <v>2714</v>
      </c>
    </row>
    <row r="1487" spans="1:1" x14ac:dyDescent="0.25">
      <c r="A1487" t="s">
        <v>2714</v>
      </c>
    </row>
    <row r="1488" spans="1:1" x14ac:dyDescent="0.25">
      <c r="A1488" t="s">
        <v>2714</v>
      </c>
    </row>
    <row r="1489" spans="1:1" x14ac:dyDescent="0.25">
      <c r="A1489" t="s">
        <v>2714</v>
      </c>
    </row>
    <row r="1490" spans="1:1" x14ac:dyDescent="0.25">
      <c r="A1490" t="s">
        <v>2714</v>
      </c>
    </row>
    <row r="1491" spans="1:1" x14ac:dyDescent="0.25">
      <c r="A1491" t="s">
        <v>2714</v>
      </c>
    </row>
    <row r="1492" spans="1:1" x14ac:dyDescent="0.25">
      <c r="A1492" t="s">
        <v>2714</v>
      </c>
    </row>
    <row r="1493" spans="1:1" x14ac:dyDescent="0.25">
      <c r="A1493" t="s">
        <v>2714</v>
      </c>
    </row>
    <row r="1494" spans="1:1" x14ac:dyDescent="0.25">
      <c r="A1494" t="s">
        <v>2714</v>
      </c>
    </row>
    <row r="1495" spans="1:1" x14ac:dyDescent="0.25">
      <c r="A1495" t="s">
        <v>2714</v>
      </c>
    </row>
    <row r="1496" spans="1:1" x14ac:dyDescent="0.25">
      <c r="A1496" t="s">
        <v>2714</v>
      </c>
    </row>
    <row r="1497" spans="1:1" x14ac:dyDescent="0.25">
      <c r="A1497" t="s">
        <v>2714</v>
      </c>
    </row>
    <row r="1498" spans="1:1" x14ac:dyDescent="0.25">
      <c r="A1498" t="s">
        <v>2714</v>
      </c>
    </row>
    <row r="1499" spans="1:1" x14ac:dyDescent="0.25">
      <c r="A1499" t="s">
        <v>2714</v>
      </c>
    </row>
    <row r="1500" spans="1:1" x14ac:dyDescent="0.25">
      <c r="A1500" t="s">
        <v>2714</v>
      </c>
    </row>
    <row r="1501" spans="1:1" x14ac:dyDescent="0.25">
      <c r="A1501" t="s">
        <v>2714</v>
      </c>
    </row>
    <row r="1502" spans="1:1" x14ac:dyDescent="0.25">
      <c r="A1502" t="s">
        <v>2714</v>
      </c>
    </row>
    <row r="1503" spans="1:1" x14ac:dyDescent="0.25">
      <c r="A1503" t="s">
        <v>2714</v>
      </c>
    </row>
    <row r="1504" spans="1:1" x14ac:dyDescent="0.25">
      <c r="A1504" t="s">
        <v>2714</v>
      </c>
    </row>
    <row r="1505" spans="1:1" x14ac:dyDescent="0.25">
      <c r="A1505" t="s">
        <v>2714</v>
      </c>
    </row>
    <row r="1506" spans="1:1" x14ac:dyDescent="0.25">
      <c r="A1506" t="s">
        <v>2714</v>
      </c>
    </row>
    <row r="1507" spans="1:1" x14ac:dyDescent="0.25">
      <c r="A1507" t="s">
        <v>2714</v>
      </c>
    </row>
    <row r="1508" spans="1:1" x14ac:dyDescent="0.25">
      <c r="A1508" t="s">
        <v>2714</v>
      </c>
    </row>
    <row r="1509" spans="1:1" x14ac:dyDescent="0.25">
      <c r="A1509" t="s">
        <v>2714</v>
      </c>
    </row>
    <row r="1510" spans="1:1" x14ac:dyDescent="0.25">
      <c r="A1510" t="s">
        <v>2714</v>
      </c>
    </row>
    <row r="1511" spans="1:1" x14ac:dyDescent="0.25">
      <c r="A1511" t="s">
        <v>2714</v>
      </c>
    </row>
    <row r="1512" spans="1:1" x14ac:dyDescent="0.25">
      <c r="A1512" t="s">
        <v>2714</v>
      </c>
    </row>
    <row r="1513" spans="1:1" x14ac:dyDescent="0.25">
      <c r="A1513" t="s">
        <v>2714</v>
      </c>
    </row>
    <row r="1514" spans="1:1" x14ac:dyDescent="0.25">
      <c r="A1514" t="s">
        <v>2686</v>
      </c>
    </row>
    <row r="1517" spans="1:1" x14ac:dyDescent="0.25">
      <c r="A1517" t="s">
        <v>3137</v>
      </c>
    </row>
    <row r="1518" spans="1:1" x14ac:dyDescent="0.25">
      <c r="A1518" t="s">
        <v>2926</v>
      </c>
    </row>
    <row r="1519" spans="1:1" x14ac:dyDescent="0.25">
      <c r="A1519" t="s">
        <v>2927</v>
      </c>
    </row>
    <row r="1520" spans="1:1" x14ac:dyDescent="0.25">
      <c r="A1520" t="s">
        <v>2928</v>
      </c>
    </row>
    <row r="1521" spans="1:1" x14ac:dyDescent="0.25">
      <c r="A1521" t="s">
        <v>2929</v>
      </c>
    </row>
    <row r="1522" spans="1:1" x14ac:dyDescent="0.25">
      <c r="A1522" t="s">
        <v>2930</v>
      </c>
    </row>
    <row r="1523" spans="1:1" x14ac:dyDescent="0.25">
      <c r="A1523" t="s">
        <v>2931</v>
      </c>
    </row>
    <row r="1524" spans="1:1" x14ac:dyDescent="0.25">
      <c r="A1524" t="s">
        <v>2932</v>
      </c>
    </row>
    <row r="1525" spans="1:1" x14ac:dyDescent="0.25">
      <c r="A1525" t="s">
        <v>2933</v>
      </c>
    </row>
    <row r="1526" spans="1:1" x14ac:dyDescent="0.25">
      <c r="A1526" t="s">
        <v>2934</v>
      </c>
    </row>
    <row r="1527" spans="1:1" x14ac:dyDescent="0.25">
      <c r="A1527" t="s">
        <v>2935</v>
      </c>
    </row>
    <row r="1528" spans="1:1" x14ac:dyDescent="0.25">
      <c r="A1528" t="s">
        <v>2936</v>
      </c>
    </row>
    <row r="1529" spans="1:1" x14ac:dyDescent="0.25">
      <c r="A1529" t="s">
        <v>2937</v>
      </c>
    </row>
    <row r="1530" spans="1:1" x14ac:dyDescent="0.25">
      <c r="A1530" t="s">
        <v>2938</v>
      </c>
    </row>
    <row r="1531" spans="1:1" x14ac:dyDescent="0.25">
      <c r="A1531" t="s">
        <v>2939</v>
      </c>
    </row>
    <row r="1532" spans="1:1" x14ac:dyDescent="0.25">
      <c r="A1532" t="s">
        <v>2940</v>
      </c>
    </row>
    <row r="1533" spans="1:1" x14ac:dyDescent="0.25">
      <c r="A1533" t="s">
        <v>2941</v>
      </c>
    </row>
    <row r="1534" spans="1:1" x14ac:dyDescent="0.25">
      <c r="A1534" t="s">
        <v>2942</v>
      </c>
    </row>
    <row r="1535" spans="1:1" x14ac:dyDescent="0.25">
      <c r="A1535" t="s">
        <v>2943</v>
      </c>
    </row>
    <row r="1536" spans="1:1" x14ac:dyDescent="0.25">
      <c r="A1536" t="s">
        <v>2944</v>
      </c>
    </row>
    <row r="1537" spans="1:1" x14ac:dyDescent="0.25">
      <c r="A1537" t="s">
        <v>2945</v>
      </c>
    </row>
    <row r="1538" spans="1:1" x14ac:dyDescent="0.25">
      <c r="A1538" t="s">
        <v>2946</v>
      </c>
    </row>
    <row r="1539" spans="1:1" x14ac:dyDescent="0.25">
      <c r="A1539" t="s">
        <v>2947</v>
      </c>
    </row>
    <row r="1540" spans="1:1" x14ac:dyDescent="0.25">
      <c r="A1540" t="s">
        <v>2948</v>
      </c>
    </row>
    <row r="1541" spans="1:1" x14ac:dyDescent="0.25">
      <c r="A1541" t="s">
        <v>2949</v>
      </c>
    </row>
    <row r="1542" spans="1:1" x14ac:dyDescent="0.25">
      <c r="A1542" t="s">
        <v>2950</v>
      </c>
    </row>
    <row r="1543" spans="1:1" x14ac:dyDescent="0.25">
      <c r="A1543" t="s">
        <v>2951</v>
      </c>
    </row>
    <row r="1544" spans="1:1" x14ac:dyDescent="0.25">
      <c r="A1544" t="s">
        <v>2952</v>
      </c>
    </row>
    <row r="1545" spans="1:1" x14ac:dyDescent="0.25">
      <c r="A1545" t="s">
        <v>2953</v>
      </c>
    </row>
    <row r="1546" spans="1:1" x14ac:dyDescent="0.25">
      <c r="A1546" t="s">
        <v>2954</v>
      </c>
    </row>
    <row r="1547" spans="1:1" x14ac:dyDescent="0.25">
      <c r="A1547" t="s">
        <v>2955</v>
      </c>
    </row>
    <row r="1548" spans="1:1" x14ac:dyDescent="0.25">
      <c r="A1548" t="s">
        <v>2956</v>
      </c>
    </row>
    <row r="1549" spans="1:1" x14ac:dyDescent="0.25">
      <c r="A1549" t="s">
        <v>2957</v>
      </c>
    </row>
    <row r="1550" spans="1:1" x14ac:dyDescent="0.25">
      <c r="A1550" t="s">
        <v>2958</v>
      </c>
    </row>
    <row r="1551" spans="1:1" x14ac:dyDescent="0.25">
      <c r="A1551" t="s">
        <v>2959</v>
      </c>
    </row>
    <row r="1552" spans="1:1" x14ac:dyDescent="0.25">
      <c r="A1552" t="s">
        <v>2960</v>
      </c>
    </row>
    <row r="1553" spans="1:1" x14ac:dyDescent="0.25">
      <c r="A1553" t="s">
        <v>2961</v>
      </c>
    </row>
    <row r="1554" spans="1:1" x14ac:dyDescent="0.25">
      <c r="A1554" t="s">
        <v>2962</v>
      </c>
    </row>
    <row r="1555" spans="1:1" x14ac:dyDescent="0.25">
      <c r="A1555" t="s">
        <v>2963</v>
      </c>
    </row>
    <row r="1556" spans="1:1" x14ac:dyDescent="0.25">
      <c r="A1556" t="s">
        <v>2964</v>
      </c>
    </row>
    <row r="1557" spans="1:1" x14ac:dyDescent="0.25">
      <c r="A1557" t="s">
        <v>2965</v>
      </c>
    </row>
    <row r="1558" spans="1:1" x14ac:dyDescent="0.25">
      <c r="A1558" t="s">
        <v>2966</v>
      </c>
    </row>
    <row r="1559" spans="1:1" x14ac:dyDescent="0.25">
      <c r="A1559" t="s">
        <v>2967</v>
      </c>
    </row>
    <row r="1560" spans="1:1" x14ac:dyDescent="0.25">
      <c r="A1560" t="s">
        <v>2968</v>
      </c>
    </row>
    <row r="1561" spans="1:1" x14ac:dyDescent="0.25">
      <c r="A1561" t="s">
        <v>2969</v>
      </c>
    </row>
    <row r="1562" spans="1:1" x14ac:dyDescent="0.25">
      <c r="A1562" t="s">
        <v>2970</v>
      </c>
    </row>
    <row r="1563" spans="1:1" x14ac:dyDescent="0.25">
      <c r="A1563" t="s">
        <v>2971</v>
      </c>
    </row>
    <row r="1564" spans="1:1" x14ac:dyDescent="0.25">
      <c r="A1564" t="s">
        <v>2972</v>
      </c>
    </row>
    <row r="1565" spans="1:1" x14ac:dyDescent="0.25">
      <c r="A1565" t="s">
        <v>2973</v>
      </c>
    </row>
    <row r="1566" spans="1:1" x14ac:dyDescent="0.25">
      <c r="A1566" t="s">
        <v>2974</v>
      </c>
    </row>
    <row r="1567" spans="1:1" x14ac:dyDescent="0.25">
      <c r="A1567" t="s">
        <v>2975</v>
      </c>
    </row>
    <row r="1568" spans="1:1" x14ac:dyDescent="0.25">
      <c r="A1568" t="s">
        <v>2976</v>
      </c>
    </row>
    <row r="1569" spans="1:1" x14ac:dyDescent="0.25">
      <c r="A1569" t="s">
        <v>2977</v>
      </c>
    </row>
    <row r="1570" spans="1:1" x14ac:dyDescent="0.25">
      <c r="A1570" t="s">
        <v>2978</v>
      </c>
    </row>
    <row r="1571" spans="1:1" x14ac:dyDescent="0.25">
      <c r="A1571" t="s">
        <v>2979</v>
      </c>
    </row>
    <row r="1572" spans="1:1" x14ac:dyDescent="0.25">
      <c r="A1572" t="s">
        <v>2980</v>
      </c>
    </row>
    <row r="1573" spans="1:1" x14ac:dyDescent="0.25">
      <c r="A1573" t="s">
        <v>2934</v>
      </c>
    </row>
    <row r="1574" spans="1:1" x14ac:dyDescent="0.25">
      <c r="A1574" t="s">
        <v>2935</v>
      </c>
    </row>
    <row r="1575" spans="1:1" x14ac:dyDescent="0.25">
      <c r="A1575" t="s">
        <v>2713</v>
      </c>
    </row>
    <row r="1576" spans="1:1" x14ac:dyDescent="0.25">
      <c r="A1576" t="s">
        <v>2714</v>
      </c>
    </row>
    <row r="1577" spans="1:1" x14ac:dyDescent="0.25">
      <c r="A1577" t="s">
        <v>2686</v>
      </c>
    </row>
    <row r="1580" spans="1:1" x14ac:dyDescent="0.25">
      <c r="A1580" t="s">
        <v>3138</v>
      </c>
    </row>
    <row r="1581" spans="1:1" x14ac:dyDescent="0.25">
      <c r="A1581" t="s">
        <v>3139</v>
      </c>
    </row>
    <row r="1582" spans="1:1" x14ac:dyDescent="0.25">
      <c r="A1582" t="s">
        <v>3140</v>
      </c>
    </row>
    <row r="1583" spans="1:1" x14ac:dyDescent="0.25">
      <c r="A1583" t="s">
        <v>3141</v>
      </c>
    </row>
    <row r="1584" spans="1:1" x14ac:dyDescent="0.25">
      <c r="A1584" t="s">
        <v>3142</v>
      </c>
    </row>
    <row r="1585" spans="1:1" x14ac:dyDescent="0.25">
      <c r="A1585" t="s">
        <v>3143</v>
      </c>
    </row>
    <row r="1586" spans="1:1" x14ac:dyDescent="0.25">
      <c r="A1586" t="s">
        <v>3144</v>
      </c>
    </row>
    <row r="1587" spans="1:1" x14ac:dyDescent="0.25">
      <c r="A1587" t="s">
        <v>3145</v>
      </c>
    </row>
    <row r="1588" spans="1:1" x14ac:dyDescent="0.25">
      <c r="A1588" t="s">
        <v>3146</v>
      </c>
    </row>
    <row r="1589" spans="1:1" x14ac:dyDescent="0.25">
      <c r="A1589" t="s">
        <v>3147</v>
      </c>
    </row>
    <row r="1590" spans="1:1" x14ac:dyDescent="0.25">
      <c r="A1590" t="s">
        <v>2713</v>
      </c>
    </row>
    <row r="1591" spans="1:1" x14ac:dyDescent="0.25">
      <c r="A1591" t="s">
        <v>2714</v>
      </c>
    </row>
    <row r="1592" spans="1:1" x14ac:dyDescent="0.25">
      <c r="A1592" t="s">
        <v>2714</v>
      </c>
    </row>
    <row r="1593" spans="1:1" x14ac:dyDescent="0.25">
      <c r="A1593" t="s">
        <v>2714</v>
      </c>
    </row>
    <row r="1594" spans="1:1" x14ac:dyDescent="0.25">
      <c r="A1594" t="s">
        <v>2714</v>
      </c>
    </row>
    <row r="1595" spans="1:1" x14ac:dyDescent="0.25">
      <c r="A1595" t="s">
        <v>2714</v>
      </c>
    </row>
    <row r="1596" spans="1:1" x14ac:dyDescent="0.25">
      <c r="A1596" t="s">
        <v>2714</v>
      </c>
    </row>
    <row r="1597" spans="1:1" x14ac:dyDescent="0.25">
      <c r="A1597" t="s">
        <v>2714</v>
      </c>
    </row>
    <row r="1598" spans="1:1" x14ac:dyDescent="0.25">
      <c r="A1598" t="s">
        <v>2714</v>
      </c>
    </row>
    <row r="1599" spans="1:1" x14ac:dyDescent="0.25">
      <c r="A1599" t="s">
        <v>2714</v>
      </c>
    </row>
    <row r="1600" spans="1:1" x14ac:dyDescent="0.25">
      <c r="A1600" t="s">
        <v>2714</v>
      </c>
    </row>
    <row r="1601" spans="1:1" x14ac:dyDescent="0.25">
      <c r="A1601" t="s">
        <v>2714</v>
      </c>
    </row>
    <row r="1602" spans="1:1" x14ac:dyDescent="0.25">
      <c r="A1602" t="s">
        <v>2714</v>
      </c>
    </row>
    <row r="1603" spans="1:1" x14ac:dyDescent="0.25">
      <c r="A1603" t="s">
        <v>2714</v>
      </c>
    </row>
    <row r="1604" spans="1:1" x14ac:dyDescent="0.25">
      <c r="A1604" t="s">
        <v>2714</v>
      </c>
    </row>
    <row r="1605" spans="1:1" x14ac:dyDescent="0.25">
      <c r="A1605" t="s">
        <v>2714</v>
      </c>
    </row>
    <row r="1606" spans="1:1" x14ac:dyDescent="0.25">
      <c r="A1606" t="s">
        <v>2714</v>
      </c>
    </row>
    <row r="1607" spans="1:1" x14ac:dyDescent="0.25">
      <c r="A1607" t="s">
        <v>2714</v>
      </c>
    </row>
    <row r="1608" spans="1:1" x14ac:dyDescent="0.25">
      <c r="A1608" t="s">
        <v>2714</v>
      </c>
    </row>
    <row r="1609" spans="1:1" x14ac:dyDescent="0.25">
      <c r="A1609" t="s">
        <v>2714</v>
      </c>
    </row>
    <row r="1610" spans="1:1" x14ac:dyDescent="0.25">
      <c r="A1610" t="s">
        <v>2714</v>
      </c>
    </row>
    <row r="1611" spans="1:1" x14ac:dyDescent="0.25">
      <c r="A1611" t="s">
        <v>2714</v>
      </c>
    </row>
    <row r="1612" spans="1:1" x14ac:dyDescent="0.25">
      <c r="A1612" t="s">
        <v>2714</v>
      </c>
    </row>
    <row r="1613" spans="1:1" x14ac:dyDescent="0.25">
      <c r="A1613" t="s">
        <v>2714</v>
      </c>
    </row>
    <row r="1614" spans="1:1" x14ac:dyDescent="0.25">
      <c r="A1614" t="s">
        <v>2714</v>
      </c>
    </row>
    <row r="1615" spans="1:1" x14ac:dyDescent="0.25">
      <c r="A1615" t="s">
        <v>2714</v>
      </c>
    </row>
    <row r="1616" spans="1:1" x14ac:dyDescent="0.25">
      <c r="A1616" t="s">
        <v>2714</v>
      </c>
    </row>
    <row r="1617" spans="1:1" x14ac:dyDescent="0.25">
      <c r="A1617" t="s">
        <v>2714</v>
      </c>
    </row>
    <row r="1618" spans="1:1" x14ac:dyDescent="0.25">
      <c r="A1618" t="s">
        <v>2714</v>
      </c>
    </row>
    <row r="1619" spans="1:1" x14ac:dyDescent="0.25">
      <c r="A1619" t="s">
        <v>2714</v>
      </c>
    </row>
    <row r="1620" spans="1:1" x14ac:dyDescent="0.25">
      <c r="A1620" t="s">
        <v>2714</v>
      </c>
    </row>
    <row r="1621" spans="1:1" x14ac:dyDescent="0.25">
      <c r="A1621" t="s">
        <v>2714</v>
      </c>
    </row>
    <row r="1622" spans="1:1" x14ac:dyDescent="0.25">
      <c r="A1622" t="s">
        <v>2714</v>
      </c>
    </row>
    <row r="1623" spans="1:1" x14ac:dyDescent="0.25">
      <c r="A1623" t="s">
        <v>2714</v>
      </c>
    </row>
    <row r="1624" spans="1:1" x14ac:dyDescent="0.25">
      <c r="A1624" t="s">
        <v>2714</v>
      </c>
    </row>
    <row r="1625" spans="1:1" x14ac:dyDescent="0.25">
      <c r="A1625" t="s">
        <v>2714</v>
      </c>
    </row>
    <row r="1626" spans="1:1" x14ac:dyDescent="0.25">
      <c r="A1626" t="s">
        <v>2714</v>
      </c>
    </row>
    <row r="1627" spans="1:1" x14ac:dyDescent="0.25">
      <c r="A1627" t="s">
        <v>2714</v>
      </c>
    </row>
    <row r="1628" spans="1:1" x14ac:dyDescent="0.25">
      <c r="A1628" t="s">
        <v>2714</v>
      </c>
    </row>
    <row r="1629" spans="1:1" x14ac:dyDescent="0.25">
      <c r="A1629" t="s">
        <v>2714</v>
      </c>
    </row>
    <row r="1630" spans="1:1" x14ac:dyDescent="0.25">
      <c r="A1630" t="s">
        <v>2714</v>
      </c>
    </row>
    <row r="1631" spans="1:1" x14ac:dyDescent="0.25">
      <c r="A1631" t="s">
        <v>2714</v>
      </c>
    </row>
    <row r="1632" spans="1:1" x14ac:dyDescent="0.25">
      <c r="A1632" t="s">
        <v>2714</v>
      </c>
    </row>
    <row r="1633" spans="1:1" x14ac:dyDescent="0.25">
      <c r="A1633" t="s">
        <v>2714</v>
      </c>
    </row>
    <row r="1634" spans="1:1" x14ac:dyDescent="0.25">
      <c r="A1634" t="s">
        <v>2714</v>
      </c>
    </row>
    <row r="1635" spans="1:1" x14ac:dyDescent="0.25">
      <c r="A1635" t="s">
        <v>2714</v>
      </c>
    </row>
    <row r="1636" spans="1:1" x14ac:dyDescent="0.25">
      <c r="A1636" t="s">
        <v>2714</v>
      </c>
    </row>
    <row r="1637" spans="1:1" x14ac:dyDescent="0.25">
      <c r="A1637" t="s">
        <v>2714</v>
      </c>
    </row>
    <row r="1638" spans="1:1" x14ac:dyDescent="0.25">
      <c r="A1638" t="s">
        <v>2714</v>
      </c>
    </row>
    <row r="1639" spans="1:1" x14ac:dyDescent="0.25">
      <c r="A1639" t="s">
        <v>2714</v>
      </c>
    </row>
    <row r="1640" spans="1:1" x14ac:dyDescent="0.25">
      <c r="A1640" t="s">
        <v>2686</v>
      </c>
    </row>
    <row r="1643" spans="1:1" x14ac:dyDescent="0.25">
      <c r="A1643" t="s">
        <v>3148</v>
      </c>
    </row>
    <row r="1644" spans="1:1" x14ac:dyDescent="0.25">
      <c r="A1644" t="s">
        <v>3149</v>
      </c>
    </row>
    <row r="1645" spans="1:1" x14ac:dyDescent="0.25">
      <c r="A1645" t="s">
        <v>3150</v>
      </c>
    </row>
    <row r="1646" spans="1:1" x14ac:dyDescent="0.25">
      <c r="A1646" t="s">
        <v>3151</v>
      </c>
    </row>
    <row r="1647" spans="1:1" x14ac:dyDescent="0.25">
      <c r="A1647" t="s">
        <v>3152</v>
      </c>
    </row>
    <row r="1648" spans="1:1" x14ac:dyDescent="0.25">
      <c r="A1648" t="s">
        <v>3153</v>
      </c>
    </row>
    <row r="1649" spans="1:1" x14ac:dyDescent="0.25">
      <c r="A1649" t="s">
        <v>3154</v>
      </c>
    </row>
    <row r="1650" spans="1:1" x14ac:dyDescent="0.25">
      <c r="A1650" t="s">
        <v>3155</v>
      </c>
    </row>
    <row r="1651" spans="1:1" x14ac:dyDescent="0.25">
      <c r="A1651" t="s">
        <v>3156</v>
      </c>
    </row>
    <row r="1652" spans="1:1" x14ac:dyDescent="0.25">
      <c r="A1652" t="s">
        <v>3156</v>
      </c>
    </row>
    <row r="1653" spans="1:1" x14ac:dyDescent="0.25">
      <c r="A1653" t="s">
        <v>3157</v>
      </c>
    </row>
    <row r="1654" spans="1:1" x14ac:dyDescent="0.25">
      <c r="A1654" t="s">
        <v>3158</v>
      </c>
    </row>
    <row r="1655" spans="1:1" x14ac:dyDescent="0.25">
      <c r="A1655" t="s">
        <v>3159</v>
      </c>
    </row>
    <row r="1656" spans="1:1" x14ac:dyDescent="0.25">
      <c r="A1656" t="s">
        <v>3160</v>
      </c>
    </row>
    <row r="1657" spans="1:1" x14ac:dyDescent="0.25">
      <c r="A1657" t="s">
        <v>3161</v>
      </c>
    </row>
    <row r="1658" spans="1:1" x14ac:dyDescent="0.25">
      <c r="A1658" t="s">
        <v>3162</v>
      </c>
    </row>
    <row r="1659" spans="1:1" x14ac:dyDescent="0.25">
      <c r="A1659" t="s">
        <v>3163</v>
      </c>
    </row>
    <row r="1660" spans="1:1" x14ac:dyDescent="0.25">
      <c r="A1660" t="s">
        <v>3164</v>
      </c>
    </row>
    <row r="1661" spans="1:1" x14ac:dyDescent="0.25">
      <c r="A1661" t="s">
        <v>3165</v>
      </c>
    </row>
    <row r="1662" spans="1:1" x14ac:dyDescent="0.25">
      <c r="A1662" t="s">
        <v>3166</v>
      </c>
    </row>
    <row r="1663" spans="1:1" x14ac:dyDescent="0.25">
      <c r="A1663" t="s">
        <v>3167</v>
      </c>
    </row>
    <row r="1664" spans="1:1" x14ac:dyDescent="0.25">
      <c r="A1664" t="s">
        <v>3168</v>
      </c>
    </row>
    <row r="1665" spans="1:1" x14ac:dyDescent="0.25">
      <c r="A1665" t="s">
        <v>3169</v>
      </c>
    </row>
    <row r="1666" spans="1:1" x14ac:dyDescent="0.25">
      <c r="A1666" t="s">
        <v>3170</v>
      </c>
    </row>
    <row r="1667" spans="1:1" x14ac:dyDescent="0.25">
      <c r="A1667" t="s">
        <v>2713</v>
      </c>
    </row>
    <row r="1668" spans="1:1" x14ac:dyDescent="0.25">
      <c r="A1668" t="s">
        <v>2714</v>
      </c>
    </row>
    <row r="1669" spans="1:1" x14ac:dyDescent="0.25">
      <c r="A1669" t="s">
        <v>2714</v>
      </c>
    </row>
    <row r="1670" spans="1:1" x14ac:dyDescent="0.25">
      <c r="A1670" t="s">
        <v>2714</v>
      </c>
    </row>
    <row r="1671" spans="1:1" x14ac:dyDescent="0.25">
      <c r="A1671" t="s">
        <v>2714</v>
      </c>
    </row>
    <row r="1672" spans="1:1" x14ac:dyDescent="0.25">
      <c r="A1672" t="s">
        <v>2714</v>
      </c>
    </row>
    <row r="1673" spans="1:1" x14ac:dyDescent="0.25">
      <c r="A1673" t="s">
        <v>2714</v>
      </c>
    </row>
    <row r="1674" spans="1:1" x14ac:dyDescent="0.25">
      <c r="A1674" t="s">
        <v>2714</v>
      </c>
    </row>
    <row r="1675" spans="1:1" x14ac:dyDescent="0.25">
      <c r="A1675" t="s">
        <v>2714</v>
      </c>
    </row>
    <row r="1676" spans="1:1" x14ac:dyDescent="0.25">
      <c r="A1676" t="s">
        <v>2714</v>
      </c>
    </row>
    <row r="1677" spans="1:1" x14ac:dyDescent="0.25">
      <c r="A1677" t="s">
        <v>2714</v>
      </c>
    </row>
    <row r="1678" spans="1:1" x14ac:dyDescent="0.25">
      <c r="A1678" t="s">
        <v>2714</v>
      </c>
    </row>
    <row r="1679" spans="1:1" x14ac:dyDescent="0.25">
      <c r="A1679" t="s">
        <v>2714</v>
      </c>
    </row>
    <row r="1680" spans="1:1" x14ac:dyDescent="0.25">
      <c r="A1680" t="s">
        <v>2714</v>
      </c>
    </row>
    <row r="1681" spans="1:1" x14ac:dyDescent="0.25">
      <c r="A1681" t="s">
        <v>2714</v>
      </c>
    </row>
    <row r="1682" spans="1:1" x14ac:dyDescent="0.25">
      <c r="A1682" t="s">
        <v>2714</v>
      </c>
    </row>
    <row r="1683" spans="1:1" x14ac:dyDescent="0.25">
      <c r="A1683" t="s">
        <v>2714</v>
      </c>
    </row>
    <row r="1684" spans="1:1" x14ac:dyDescent="0.25">
      <c r="A1684" t="s">
        <v>2714</v>
      </c>
    </row>
    <row r="1685" spans="1:1" x14ac:dyDescent="0.25">
      <c r="A1685" t="s">
        <v>2714</v>
      </c>
    </row>
    <row r="1686" spans="1:1" x14ac:dyDescent="0.25">
      <c r="A1686" t="s">
        <v>2714</v>
      </c>
    </row>
    <row r="1687" spans="1:1" x14ac:dyDescent="0.25">
      <c r="A1687" t="s">
        <v>2714</v>
      </c>
    </row>
    <row r="1688" spans="1:1" x14ac:dyDescent="0.25">
      <c r="A1688" t="s">
        <v>2714</v>
      </c>
    </row>
    <row r="1689" spans="1:1" x14ac:dyDescent="0.25">
      <c r="A1689" t="s">
        <v>2714</v>
      </c>
    </row>
    <row r="1690" spans="1:1" x14ac:dyDescent="0.25">
      <c r="A1690" t="s">
        <v>2714</v>
      </c>
    </row>
    <row r="1691" spans="1:1" x14ac:dyDescent="0.25">
      <c r="A1691" t="s">
        <v>2714</v>
      </c>
    </row>
    <row r="1692" spans="1:1" x14ac:dyDescent="0.25">
      <c r="A1692" t="s">
        <v>2714</v>
      </c>
    </row>
    <row r="1693" spans="1:1" x14ac:dyDescent="0.25">
      <c r="A1693" t="s">
        <v>2714</v>
      </c>
    </row>
    <row r="1694" spans="1:1" x14ac:dyDescent="0.25">
      <c r="A1694" t="s">
        <v>2714</v>
      </c>
    </row>
    <row r="1695" spans="1:1" x14ac:dyDescent="0.25">
      <c r="A1695" t="s">
        <v>2714</v>
      </c>
    </row>
    <row r="1696" spans="1:1" x14ac:dyDescent="0.25">
      <c r="A1696" t="s">
        <v>2714</v>
      </c>
    </row>
    <row r="1697" spans="1:1" x14ac:dyDescent="0.25">
      <c r="A1697" t="s">
        <v>2714</v>
      </c>
    </row>
    <row r="1698" spans="1:1" x14ac:dyDescent="0.25">
      <c r="A1698" t="s">
        <v>2714</v>
      </c>
    </row>
    <row r="1699" spans="1:1" x14ac:dyDescent="0.25">
      <c r="A1699" t="s">
        <v>2714</v>
      </c>
    </row>
    <row r="1700" spans="1:1" x14ac:dyDescent="0.25">
      <c r="A1700" t="s">
        <v>2714</v>
      </c>
    </row>
    <row r="1701" spans="1:1" x14ac:dyDescent="0.25">
      <c r="A1701" t="s">
        <v>2714</v>
      </c>
    </row>
    <row r="1702" spans="1:1" x14ac:dyDescent="0.25">
      <c r="A1702" t="s">
        <v>2714</v>
      </c>
    </row>
    <row r="1703" spans="1:1" x14ac:dyDescent="0.25">
      <c r="A1703" t="s">
        <v>2686</v>
      </c>
    </row>
    <row r="1706" spans="1:1" x14ac:dyDescent="0.25">
      <c r="A1706" t="s">
        <v>3171</v>
      </c>
    </row>
    <row r="1707" spans="1:1" x14ac:dyDescent="0.25">
      <c r="A1707" t="s">
        <v>3172</v>
      </c>
    </row>
    <row r="1708" spans="1:1" x14ac:dyDescent="0.25">
      <c r="A1708" t="s">
        <v>3173</v>
      </c>
    </row>
    <row r="1709" spans="1:1" x14ac:dyDescent="0.25">
      <c r="A1709" t="s">
        <v>3174</v>
      </c>
    </row>
    <row r="1710" spans="1:1" x14ac:dyDescent="0.25">
      <c r="A1710" t="s">
        <v>3175</v>
      </c>
    </row>
    <row r="1711" spans="1:1" x14ac:dyDescent="0.25">
      <c r="A1711" t="s">
        <v>3176</v>
      </c>
    </row>
    <row r="1712" spans="1:1" x14ac:dyDescent="0.25">
      <c r="A1712" t="s">
        <v>3177</v>
      </c>
    </row>
    <row r="1713" spans="1:1" x14ac:dyDescent="0.25">
      <c r="A1713" t="s">
        <v>3178</v>
      </c>
    </row>
    <row r="1714" spans="1:1" x14ac:dyDescent="0.25">
      <c r="A1714" t="s">
        <v>2713</v>
      </c>
    </row>
    <row r="1715" spans="1:1" x14ac:dyDescent="0.25">
      <c r="A1715" t="s">
        <v>2714</v>
      </c>
    </row>
    <row r="1716" spans="1:1" x14ac:dyDescent="0.25">
      <c r="A1716" t="s">
        <v>2714</v>
      </c>
    </row>
    <row r="1717" spans="1:1" x14ac:dyDescent="0.25">
      <c r="A1717" t="s">
        <v>2714</v>
      </c>
    </row>
    <row r="1718" spans="1:1" x14ac:dyDescent="0.25">
      <c r="A1718" t="s">
        <v>2714</v>
      </c>
    </row>
    <row r="1719" spans="1:1" x14ac:dyDescent="0.25">
      <c r="A1719" t="s">
        <v>2714</v>
      </c>
    </row>
    <row r="1720" spans="1:1" x14ac:dyDescent="0.25">
      <c r="A1720" t="s">
        <v>2714</v>
      </c>
    </row>
    <row r="1721" spans="1:1" x14ac:dyDescent="0.25">
      <c r="A1721" t="s">
        <v>2714</v>
      </c>
    </row>
    <row r="1722" spans="1:1" x14ac:dyDescent="0.25">
      <c r="A1722" t="s">
        <v>2714</v>
      </c>
    </row>
    <row r="1723" spans="1:1" x14ac:dyDescent="0.25">
      <c r="A1723" t="s">
        <v>2714</v>
      </c>
    </row>
    <row r="1724" spans="1:1" x14ac:dyDescent="0.25">
      <c r="A1724" t="s">
        <v>2714</v>
      </c>
    </row>
    <row r="1725" spans="1:1" x14ac:dyDescent="0.25">
      <c r="A1725" t="s">
        <v>2714</v>
      </c>
    </row>
    <row r="1726" spans="1:1" x14ac:dyDescent="0.25">
      <c r="A1726" t="s">
        <v>2714</v>
      </c>
    </row>
    <row r="1727" spans="1:1" x14ac:dyDescent="0.25">
      <c r="A1727" t="s">
        <v>2714</v>
      </c>
    </row>
    <row r="1728" spans="1:1" x14ac:dyDescent="0.25">
      <c r="A1728" t="s">
        <v>2714</v>
      </c>
    </row>
    <row r="1729" spans="1:1" x14ac:dyDescent="0.25">
      <c r="A1729" t="s">
        <v>2714</v>
      </c>
    </row>
    <row r="1730" spans="1:1" x14ac:dyDescent="0.25">
      <c r="A1730" t="s">
        <v>2714</v>
      </c>
    </row>
    <row r="1731" spans="1:1" x14ac:dyDescent="0.25">
      <c r="A1731" t="s">
        <v>2714</v>
      </c>
    </row>
    <row r="1732" spans="1:1" x14ac:dyDescent="0.25">
      <c r="A1732" t="s">
        <v>2714</v>
      </c>
    </row>
    <row r="1733" spans="1:1" x14ac:dyDescent="0.25">
      <c r="A1733" t="s">
        <v>2714</v>
      </c>
    </row>
    <row r="1734" spans="1:1" x14ac:dyDescent="0.25">
      <c r="A1734" t="s">
        <v>2714</v>
      </c>
    </row>
    <row r="1735" spans="1:1" x14ac:dyDescent="0.25">
      <c r="A1735" t="s">
        <v>2714</v>
      </c>
    </row>
    <row r="1736" spans="1:1" x14ac:dyDescent="0.25">
      <c r="A1736" t="s">
        <v>2714</v>
      </c>
    </row>
    <row r="1737" spans="1:1" x14ac:dyDescent="0.25">
      <c r="A1737" t="s">
        <v>2714</v>
      </c>
    </row>
    <row r="1738" spans="1:1" x14ac:dyDescent="0.25">
      <c r="A1738" t="s">
        <v>2714</v>
      </c>
    </row>
    <row r="1739" spans="1:1" x14ac:dyDescent="0.25">
      <c r="A1739" t="s">
        <v>2714</v>
      </c>
    </row>
    <row r="1740" spans="1:1" x14ac:dyDescent="0.25">
      <c r="A1740" t="s">
        <v>2714</v>
      </c>
    </row>
    <row r="1741" spans="1:1" x14ac:dyDescent="0.25">
      <c r="A1741" t="s">
        <v>2714</v>
      </c>
    </row>
    <row r="1742" spans="1:1" x14ac:dyDescent="0.25">
      <c r="A1742" t="s">
        <v>2714</v>
      </c>
    </row>
    <row r="1743" spans="1:1" x14ac:dyDescent="0.25">
      <c r="A1743" t="s">
        <v>2714</v>
      </c>
    </row>
    <row r="1744" spans="1:1" x14ac:dyDescent="0.25">
      <c r="A1744" t="s">
        <v>2714</v>
      </c>
    </row>
    <row r="1745" spans="1:1" x14ac:dyDescent="0.25">
      <c r="A1745" t="s">
        <v>2714</v>
      </c>
    </row>
    <row r="1746" spans="1:1" x14ac:dyDescent="0.25">
      <c r="A1746" t="s">
        <v>2714</v>
      </c>
    </row>
    <row r="1747" spans="1:1" x14ac:dyDescent="0.25">
      <c r="A1747" t="s">
        <v>2714</v>
      </c>
    </row>
    <row r="1748" spans="1:1" x14ac:dyDescent="0.25">
      <c r="A1748" t="s">
        <v>2714</v>
      </c>
    </row>
    <row r="1749" spans="1:1" x14ac:dyDescent="0.25">
      <c r="A1749" t="s">
        <v>2714</v>
      </c>
    </row>
    <row r="1750" spans="1:1" x14ac:dyDescent="0.25">
      <c r="A1750" t="s">
        <v>2714</v>
      </c>
    </row>
    <row r="1751" spans="1:1" x14ac:dyDescent="0.25">
      <c r="A1751" t="s">
        <v>2714</v>
      </c>
    </row>
    <row r="1752" spans="1:1" x14ac:dyDescent="0.25">
      <c r="A1752" t="s">
        <v>2714</v>
      </c>
    </row>
    <row r="1753" spans="1:1" x14ac:dyDescent="0.25">
      <c r="A1753" t="s">
        <v>2714</v>
      </c>
    </row>
    <row r="1754" spans="1:1" x14ac:dyDescent="0.25">
      <c r="A1754" t="s">
        <v>2714</v>
      </c>
    </row>
    <row r="1755" spans="1:1" x14ac:dyDescent="0.25">
      <c r="A1755" t="s">
        <v>2714</v>
      </c>
    </row>
    <row r="1756" spans="1:1" x14ac:dyDescent="0.25">
      <c r="A1756" t="s">
        <v>2714</v>
      </c>
    </row>
    <row r="1757" spans="1:1" x14ac:dyDescent="0.25">
      <c r="A1757" t="s">
        <v>2714</v>
      </c>
    </row>
    <row r="1758" spans="1:1" x14ac:dyDescent="0.25">
      <c r="A1758" t="s">
        <v>2714</v>
      </c>
    </row>
    <row r="1759" spans="1:1" x14ac:dyDescent="0.25">
      <c r="A1759" t="s">
        <v>2714</v>
      </c>
    </row>
    <row r="1760" spans="1:1" x14ac:dyDescent="0.25">
      <c r="A1760" t="s">
        <v>2714</v>
      </c>
    </row>
    <row r="1761" spans="1:1" x14ac:dyDescent="0.25">
      <c r="A1761" t="s">
        <v>2714</v>
      </c>
    </row>
    <row r="1762" spans="1:1" x14ac:dyDescent="0.25">
      <c r="A1762" t="s">
        <v>2714</v>
      </c>
    </row>
    <row r="1763" spans="1:1" x14ac:dyDescent="0.25">
      <c r="A1763" t="s">
        <v>2714</v>
      </c>
    </row>
    <row r="1764" spans="1:1" x14ac:dyDescent="0.25">
      <c r="A1764" t="s">
        <v>2714</v>
      </c>
    </row>
    <row r="1765" spans="1:1" x14ac:dyDescent="0.25">
      <c r="A1765" t="s">
        <v>2714</v>
      </c>
    </row>
    <row r="1766" spans="1:1" x14ac:dyDescent="0.25">
      <c r="A1766" t="s">
        <v>2686</v>
      </c>
    </row>
    <row r="1769" spans="1:1" x14ac:dyDescent="0.25">
      <c r="A1769" t="s">
        <v>3179</v>
      </c>
    </row>
    <row r="1770" spans="1:1" x14ac:dyDescent="0.25">
      <c r="A1770" t="s">
        <v>3180</v>
      </c>
    </row>
    <row r="1771" spans="1:1" x14ac:dyDescent="0.25">
      <c r="A1771" t="s">
        <v>3181</v>
      </c>
    </row>
    <row r="1772" spans="1:1" x14ac:dyDescent="0.25">
      <c r="A1772" t="s">
        <v>3182</v>
      </c>
    </row>
    <row r="1773" spans="1:1" x14ac:dyDescent="0.25">
      <c r="A1773" t="s">
        <v>3183</v>
      </c>
    </row>
    <row r="1774" spans="1:1" x14ac:dyDescent="0.25">
      <c r="A1774" t="s">
        <v>3184</v>
      </c>
    </row>
    <row r="1775" spans="1:1" x14ac:dyDescent="0.25">
      <c r="A1775" t="s">
        <v>3185</v>
      </c>
    </row>
    <row r="1776" spans="1:1" x14ac:dyDescent="0.25">
      <c r="A1776" t="s">
        <v>3186</v>
      </c>
    </row>
    <row r="1777" spans="1:1" x14ac:dyDescent="0.25">
      <c r="A1777" t="s">
        <v>3187</v>
      </c>
    </row>
    <row r="1778" spans="1:1" x14ac:dyDescent="0.25">
      <c r="A1778" t="s">
        <v>3188</v>
      </c>
    </row>
    <row r="1779" spans="1:1" x14ac:dyDescent="0.25">
      <c r="A1779" t="s">
        <v>3189</v>
      </c>
    </row>
    <row r="1780" spans="1:1" x14ac:dyDescent="0.25">
      <c r="A1780" t="s">
        <v>3190</v>
      </c>
    </row>
    <row r="1781" spans="1:1" x14ac:dyDescent="0.25">
      <c r="A1781" t="s">
        <v>2713</v>
      </c>
    </row>
    <row r="1782" spans="1:1" x14ac:dyDescent="0.25">
      <c r="A1782" t="s">
        <v>2714</v>
      </c>
    </row>
    <row r="1783" spans="1:1" x14ac:dyDescent="0.25">
      <c r="A1783" t="s">
        <v>2714</v>
      </c>
    </row>
    <row r="1784" spans="1:1" x14ac:dyDescent="0.25">
      <c r="A1784" t="s">
        <v>2714</v>
      </c>
    </row>
    <row r="1785" spans="1:1" x14ac:dyDescent="0.25">
      <c r="A1785" t="s">
        <v>2714</v>
      </c>
    </row>
    <row r="1786" spans="1:1" x14ac:dyDescent="0.25">
      <c r="A1786" t="s">
        <v>2714</v>
      </c>
    </row>
    <row r="1787" spans="1:1" x14ac:dyDescent="0.25">
      <c r="A1787" t="s">
        <v>2714</v>
      </c>
    </row>
    <row r="1788" spans="1:1" x14ac:dyDescent="0.25">
      <c r="A1788" t="s">
        <v>2714</v>
      </c>
    </row>
    <row r="1789" spans="1:1" x14ac:dyDescent="0.25">
      <c r="A1789" t="s">
        <v>2714</v>
      </c>
    </row>
    <row r="1790" spans="1:1" x14ac:dyDescent="0.25">
      <c r="A1790" t="s">
        <v>2714</v>
      </c>
    </row>
    <row r="1791" spans="1:1" x14ac:dyDescent="0.25">
      <c r="A1791" t="s">
        <v>2714</v>
      </c>
    </row>
    <row r="1792" spans="1:1" x14ac:dyDescent="0.25">
      <c r="A1792" t="s">
        <v>2714</v>
      </c>
    </row>
    <row r="1793" spans="1:1" x14ac:dyDescent="0.25">
      <c r="A1793" t="s">
        <v>2714</v>
      </c>
    </row>
    <row r="1794" spans="1:1" x14ac:dyDescent="0.25">
      <c r="A1794" t="s">
        <v>2714</v>
      </c>
    </row>
    <row r="1795" spans="1:1" x14ac:dyDescent="0.25">
      <c r="A1795" t="s">
        <v>2714</v>
      </c>
    </row>
    <row r="1796" spans="1:1" x14ac:dyDescent="0.25">
      <c r="A1796" t="s">
        <v>2714</v>
      </c>
    </row>
    <row r="1797" spans="1:1" x14ac:dyDescent="0.25">
      <c r="A1797" t="s">
        <v>2714</v>
      </c>
    </row>
    <row r="1798" spans="1:1" x14ac:dyDescent="0.25">
      <c r="A1798" t="s">
        <v>2714</v>
      </c>
    </row>
    <row r="1799" spans="1:1" x14ac:dyDescent="0.25">
      <c r="A1799" t="s">
        <v>2714</v>
      </c>
    </row>
    <row r="1800" spans="1:1" x14ac:dyDescent="0.25">
      <c r="A1800" t="s">
        <v>2714</v>
      </c>
    </row>
    <row r="1801" spans="1:1" x14ac:dyDescent="0.25">
      <c r="A1801" t="s">
        <v>2714</v>
      </c>
    </row>
    <row r="1802" spans="1:1" x14ac:dyDescent="0.25">
      <c r="A1802" t="s">
        <v>2714</v>
      </c>
    </row>
    <row r="1803" spans="1:1" x14ac:dyDescent="0.25">
      <c r="A1803" t="s">
        <v>2714</v>
      </c>
    </row>
    <row r="1804" spans="1:1" x14ac:dyDescent="0.25">
      <c r="A1804" t="s">
        <v>2714</v>
      </c>
    </row>
    <row r="1805" spans="1:1" x14ac:dyDescent="0.25">
      <c r="A1805" t="s">
        <v>2714</v>
      </c>
    </row>
    <row r="1806" spans="1:1" x14ac:dyDescent="0.25">
      <c r="A1806" t="s">
        <v>2714</v>
      </c>
    </row>
    <row r="1807" spans="1:1" x14ac:dyDescent="0.25">
      <c r="A1807" t="s">
        <v>2714</v>
      </c>
    </row>
    <row r="1808" spans="1:1" x14ac:dyDescent="0.25">
      <c r="A1808" t="s">
        <v>2714</v>
      </c>
    </row>
    <row r="1809" spans="1:1" x14ac:dyDescent="0.25">
      <c r="A1809" t="s">
        <v>2714</v>
      </c>
    </row>
    <row r="1810" spans="1:1" x14ac:dyDescent="0.25">
      <c r="A1810" t="s">
        <v>2714</v>
      </c>
    </row>
    <row r="1811" spans="1:1" x14ac:dyDescent="0.25">
      <c r="A1811" t="s">
        <v>2714</v>
      </c>
    </row>
    <row r="1812" spans="1:1" x14ac:dyDescent="0.25">
      <c r="A1812" t="s">
        <v>2714</v>
      </c>
    </row>
    <row r="1813" spans="1:1" x14ac:dyDescent="0.25">
      <c r="A1813" t="s">
        <v>2714</v>
      </c>
    </row>
    <row r="1814" spans="1:1" x14ac:dyDescent="0.25">
      <c r="A1814" t="s">
        <v>2714</v>
      </c>
    </row>
    <row r="1815" spans="1:1" x14ac:dyDescent="0.25">
      <c r="A1815" t="s">
        <v>2714</v>
      </c>
    </row>
    <row r="1816" spans="1:1" x14ac:dyDescent="0.25">
      <c r="A1816" t="s">
        <v>2714</v>
      </c>
    </row>
    <row r="1817" spans="1:1" x14ac:dyDescent="0.25">
      <c r="A1817" t="s">
        <v>2714</v>
      </c>
    </row>
    <row r="1818" spans="1:1" x14ac:dyDescent="0.25">
      <c r="A1818" t="s">
        <v>2714</v>
      </c>
    </row>
    <row r="1819" spans="1:1" x14ac:dyDescent="0.25">
      <c r="A1819" t="s">
        <v>2714</v>
      </c>
    </row>
    <row r="1820" spans="1:1" x14ac:dyDescent="0.25">
      <c r="A1820" t="s">
        <v>2714</v>
      </c>
    </row>
    <row r="1821" spans="1:1" x14ac:dyDescent="0.25">
      <c r="A1821" t="s">
        <v>2714</v>
      </c>
    </row>
    <row r="1822" spans="1:1" x14ac:dyDescent="0.25">
      <c r="A1822" t="s">
        <v>2714</v>
      </c>
    </row>
    <row r="1823" spans="1:1" x14ac:dyDescent="0.25">
      <c r="A1823" t="s">
        <v>2714</v>
      </c>
    </row>
    <row r="1824" spans="1:1" x14ac:dyDescent="0.25">
      <c r="A1824" t="s">
        <v>2714</v>
      </c>
    </row>
    <row r="1825" spans="1:1" x14ac:dyDescent="0.25">
      <c r="A1825" t="s">
        <v>2714</v>
      </c>
    </row>
    <row r="1826" spans="1:1" x14ac:dyDescent="0.25">
      <c r="A1826" t="s">
        <v>2714</v>
      </c>
    </row>
    <row r="1827" spans="1:1" x14ac:dyDescent="0.25">
      <c r="A1827" t="s">
        <v>2714</v>
      </c>
    </row>
    <row r="1828" spans="1:1" x14ac:dyDescent="0.25">
      <c r="A1828" t="s">
        <v>2714</v>
      </c>
    </row>
    <row r="1829" spans="1:1" x14ac:dyDescent="0.25">
      <c r="A1829" t="s">
        <v>2686</v>
      </c>
    </row>
    <row r="1832" spans="1:1" x14ac:dyDescent="0.25">
      <c r="A1832" t="s">
        <v>3191</v>
      </c>
    </row>
    <row r="1833" spans="1:1" x14ac:dyDescent="0.25">
      <c r="A1833" t="s">
        <v>3192</v>
      </c>
    </row>
    <row r="1834" spans="1:1" x14ac:dyDescent="0.25">
      <c r="A1834" t="s">
        <v>3193</v>
      </c>
    </row>
    <row r="1835" spans="1:1" x14ac:dyDescent="0.25">
      <c r="A1835" t="s">
        <v>3194</v>
      </c>
    </row>
    <row r="1836" spans="1:1" x14ac:dyDescent="0.25">
      <c r="A1836" t="s">
        <v>2713</v>
      </c>
    </row>
    <row r="1837" spans="1:1" x14ac:dyDescent="0.25">
      <c r="A1837" t="s">
        <v>2714</v>
      </c>
    </row>
    <row r="1838" spans="1:1" x14ac:dyDescent="0.25">
      <c r="A1838" t="s">
        <v>2714</v>
      </c>
    </row>
    <row r="1839" spans="1:1" x14ac:dyDescent="0.25">
      <c r="A1839" t="s">
        <v>2714</v>
      </c>
    </row>
    <row r="1840" spans="1:1" x14ac:dyDescent="0.25">
      <c r="A1840" t="s">
        <v>2714</v>
      </c>
    </row>
    <row r="1841" spans="1:1" x14ac:dyDescent="0.25">
      <c r="A1841" t="s">
        <v>2714</v>
      </c>
    </row>
    <row r="1842" spans="1:1" x14ac:dyDescent="0.25">
      <c r="A1842" t="s">
        <v>2714</v>
      </c>
    </row>
    <row r="1843" spans="1:1" x14ac:dyDescent="0.25">
      <c r="A1843" t="s">
        <v>2714</v>
      </c>
    </row>
    <row r="1844" spans="1:1" x14ac:dyDescent="0.25">
      <c r="A1844" t="s">
        <v>2714</v>
      </c>
    </row>
    <row r="1845" spans="1:1" x14ac:dyDescent="0.25">
      <c r="A1845" t="s">
        <v>2714</v>
      </c>
    </row>
    <row r="1846" spans="1:1" x14ac:dyDescent="0.25">
      <c r="A1846" t="s">
        <v>2714</v>
      </c>
    </row>
    <row r="1847" spans="1:1" x14ac:dyDescent="0.25">
      <c r="A1847" t="s">
        <v>2714</v>
      </c>
    </row>
    <row r="1848" spans="1:1" x14ac:dyDescent="0.25">
      <c r="A1848" t="s">
        <v>2714</v>
      </c>
    </row>
    <row r="1849" spans="1:1" x14ac:dyDescent="0.25">
      <c r="A1849" t="s">
        <v>2714</v>
      </c>
    </row>
    <row r="1850" spans="1:1" x14ac:dyDescent="0.25">
      <c r="A1850" t="s">
        <v>2714</v>
      </c>
    </row>
    <row r="1851" spans="1:1" x14ac:dyDescent="0.25">
      <c r="A1851" t="s">
        <v>2714</v>
      </c>
    </row>
    <row r="1852" spans="1:1" x14ac:dyDescent="0.25">
      <c r="A1852" t="s">
        <v>2714</v>
      </c>
    </row>
    <row r="1853" spans="1:1" x14ac:dyDescent="0.25">
      <c r="A1853" t="s">
        <v>2714</v>
      </c>
    </row>
    <row r="1854" spans="1:1" x14ac:dyDescent="0.25">
      <c r="A1854" t="s">
        <v>2714</v>
      </c>
    </row>
    <row r="1855" spans="1:1" x14ac:dyDescent="0.25">
      <c r="A1855" t="s">
        <v>2714</v>
      </c>
    </row>
    <row r="1856" spans="1:1" x14ac:dyDescent="0.25">
      <c r="A1856" t="s">
        <v>2714</v>
      </c>
    </row>
    <row r="1857" spans="1:1" x14ac:dyDescent="0.25">
      <c r="A1857" t="s">
        <v>2714</v>
      </c>
    </row>
    <row r="1858" spans="1:1" x14ac:dyDescent="0.25">
      <c r="A1858" t="s">
        <v>2714</v>
      </c>
    </row>
    <row r="1859" spans="1:1" x14ac:dyDescent="0.25">
      <c r="A1859" t="s">
        <v>2714</v>
      </c>
    </row>
    <row r="1860" spans="1:1" x14ac:dyDescent="0.25">
      <c r="A1860" t="s">
        <v>2714</v>
      </c>
    </row>
    <row r="1861" spans="1:1" x14ac:dyDescent="0.25">
      <c r="A1861" t="s">
        <v>2714</v>
      </c>
    </row>
    <row r="1862" spans="1:1" x14ac:dyDescent="0.25">
      <c r="A1862" t="s">
        <v>2714</v>
      </c>
    </row>
    <row r="1863" spans="1:1" x14ac:dyDescent="0.25">
      <c r="A1863" t="s">
        <v>2714</v>
      </c>
    </row>
    <row r="1864" spans="1:1" x14ac:dyDescent="0.25">
      <c r="A1864" t="s">
        <v>2714</v>
      </c>
    </row>
    <row r="1865" spans="1:1" x14ac:dyDescent="0.25">
      <c r="A1865" t="s">
        <v>2714</v>
      </c>
    </row>
    <row r="1866" spans="1:1" x14ac:dyDescent="0.25">
      <c r="A1866" t="s">
        <v>2714</v>
      </c>
    </row>
    <row r="1867" spans="1:1" x14ac:dyDescent="0.25">
      <c r="A1867" t="s">
        <v>2714</v>
      </c>
    </row>
    <row r="1868" spans="1:1" x14ac:dyDescent="0.25">
      <c r="A1868" t="s">
        <v>2714</v>
      </c>
    </row>
    <row r="1869" spans="1:1" x14ac:dyDescent="0.25">
      <c r="A1869" t="s">
        <v>2714</v>
      </c>
    </row>
    <row r="1870" spans="1:1" x14ac:dyDescent="0.25">
      <c r="A1870" t="s">
        <v>2714</v>
      </c>
    </row>
    <row r="1871" spans="1:1" x14ac:dyDescent="0.25">
      <c r="A1871" t="s">
        <v>2714</v>
      </c>
    </row>
    <row r="1872" spans="1:1" x14ac:dyDescent="0.25">
      <c r="A1872" t="s">
        <v>2714</v>
      </c>
    </row>
    <row r="1873" spans="1:1" x14ac:dyDescent="0.25">
      <c r="A1873" t="s">
        <v>2714</v>
      </c>
    </row>
    <row r="1874" spans="1:1" x14ac:dyDescent="0.25">
      <c r="A1874" t="s">
        <v>2714</v>
      </c>
    </row>
    <row r="1875" spans="1:1" x14ac:dyDescent="0.25">
      <c r="A1875" t="s">
        <v>2714</v>
      </c>
    </row>
    <row r="1876" spans="1:1" x14ac:dyDescent="0.25">
      <c r="A1876" t="s">
        <v>2714</v>
      </c>
    </row>
    <row r="1877" spans="1:1" x14ac:dyDescent="0.25">
      <c r="A1877" t="s">
        <v>2714</v>
      </c>
    </row>
    <row r="1878" spans="1:1" x14ac:dyDescent="0.25">
      <c r="A1878" t="s">
        <v>2714</v>
      </c>
    </row>
    <row r="1879" spans="1:1" x14ac:dyDescent="0.25">
      <c r="A1879" t="s">
        <v>2714</v>
      </c>
    </row>
    <row r="1880" spans="1:1" x14ac:dyDescent="0.25">
      <c r="A1880" t="s">
        <v>2714</v>
      </c>
    </row>
    <row r="1881" spans="1:1" x14ac:dyDescent="0.25">
      <c r="A1881" t="s">
        <v>2714</v>
      </c>
    </row>
    <row r="1882" spans="1:1" x14ac:dyDescent="0.25">
      <c r="A1882" t="s">
        <v>2714</v>
      </c>
    </row>
    <row r="1883" spans="1:1" x14ac:dyDescent="0.25">
      <c r="A1883" t="s">
        <v>2714</v>
      </c>
    </row>
    <row r="1884" spans="1:1" x14ac:dyDescent="0.25">
      <c r="A1884" t="s">
        <v>2714</v>
      </c>
    </row>
    <row r="1885" spans="1:1" x14ac:dyDescent="0.25">
      <c r="A1885" t="s">
        <v>2714</v>
      </c>
    </row>
    <row r="1886" spans="1:1" x14ac:dyDescent="0.25">
      <c r="A1886" t="s">
        <v>2714</v>
      </c>
    </row>
    <row r="1887" spans="1:1" x14ac:dyDescent="0.25">
      <c r="A1887" t="s">
        <v>2714</v>
      </c>
    </row>
    <row r="1888" spans="1:1" x14ac:dyDescent="0.25">
      <c r="A1888" t="s">
        <v>2714</v>
      </c>
    </row>
    <row r="1889" spans="1:1" x14ac:dyDescent="0.25">
      <c r="A1889" t="s">
        <v>2714</v>
      </c>
    </row>
    <row r="1890" spans="1:1" x14ac:dyDescent="0.25">
      <c r="A1890" t="s">
        <v>2714</v>
      </c>
    </row>
    <row r="1891" spans="1:1" x14ac:dyDescent="0.25">
      <c r="A1891" t="s">
        <v>2714</v>
      </c>
    </row>
    <row r="1892" spans="1:1" x14ac:dyDescent="0.25">
      <c r="A1892" t="s">
        <v>2686</v>
      </c>
    </row>
    <row r="1895" spans="1:1" x14ac:dyDescent="0.25">
      <c r="A1895" t="s">
        <v>3195</v>
      </c>
    </row>
    <row r="1896" spans="1:1" x14ac:dyDescent="0.25">
      <c r="A1896" t="s">
        <v>3196</v>
      </c>
    </row>
    <row r="1897" spans="1:1" x14ac:dyDescent="0.25">
      <c r="A1897" t="s">
        <v>3197</v>
      </c>
    </row>
    <row r="1898" spans="1:1" x14ac:dyDescent="0.25">
      <c r="A1898" t="s">
        <v>3198</v>
      </c>
    </row>
    <row r="1899" spans="1:1" x14ac:dyDescent="0.25">
      <c r="A1899" t="s">
        <v>3199</v>
      </c>
    </row>
    <row r="1900" spans="1:1" x14ac:dyDescent="0.25">
      <c r="A1900" t="s">
        <v>3200</v>
      </c>
    </row>
    <row r="1901" spans="1:1" x14ac:dyDescent="0.25">
      <c r="A1901" t="s">
        <v>3201</v>
      </c>
    </row>
    <row r="1902" spans="1:1" x14ac:dyDescent="0.25">
      <c r="A1902" t="s">
        <v>3202</v>
      </c>
    </row>
    <row r="1903" spans="1:1" x14ac:dyDescent="0.25">
      <c r="A1903" t="s">
        <v>3203</v>
      </c>
    </row>
    <row r="1904" spans="1:1" x14ac:dyDescent="0.25">
      <c r="A1904" t="s">
        <v>3204</v>
      </c>
    </row>
    <row r="1905" spans="1:1" x14ac:dyDescent="0.25">
      <c r="A1905" t="s">
        <v>3204</v>
      </c>
    </row>
    <row r="1906" spans="1:1" x14ac:dyDescent="0.25">
      <c r="A1906" t="s">
        <v>3205</v>
      </c>
    </row>
    <row r="1907" spans="1:1" x14ac:dyDescent="0.25">
      <c r="A1907" t="s">
        <v>3205</v>
      </c>
    </row>
    <row r="1908" spans="1:1" x14ac:dyDescent="0.25">
      <c r="A1908" t="s">
        <v>3206</v>
      </c>
    </row>
    <row r="1909" spans="1:1" x14ac:dyDescent="0.25">
      <c r="A1909" t="s">
        <v>3207</v>
      </c>
    </row>
    <row r="1910" spans="1:1" x14ac:dyDescent="0.25">
      <c r="A1910" t="s">
        <v>3208</v>
      </c>
    </row>
    <row r="1911" spans="1:1" x14ac:dyDescent="0.25">
      <c r="A1911" t="s">
        <v>3209</v>
      </c>
    </row>
    <row r="1912" spans="1:1" x14ac:dyDescent="0.25">
      <c r="A1912" t="s">
        <v>3210</v>
      </c>
    </row>
    <row r="1913" spans="1:1" x14ac:dyDescent="0.25">
      <c r="A1913" t="s">
        <v>3211</v>
      </c>
    </row>
    <row r="1914" spans="1:1" x14ac:dyDescent="0.25">
      <c r="A1914" t="s">
        <v>3212</v>
      </c>
    </row>
    <row r="1915" spans="1:1" x14ac:dyDescent="0.25">
      <c r="A1915" t="s">
        <v>3213</v>
      </c>
    </row>
    <row r="1916" spans="1:1" x14ac:dyDescent="0.25">
      <c r="A1916" t="s">
        <v>3214</v>
      </c>
    </row>
    <row r="1917" spans="1:1" x14ac:dyDescent="0.25">
      <c r="A1917" t="s">
        <v>3215</v>
      </c>
    </row>
    <row r="1918" spans="1:1" x14ac:dyDescent="0.25">
      <c r="A1918" t="s">
        <v>3216</v>
      </c>
    </row>
    <row r="1919" spans="1:1" x14ac:dyDescent="0.25">
      <c r="A1919" t="s">
        <v>3217</v>
      </c>
    </row>
    <row r="1920" spans="1:1" x14ac:dyDescent="0.25">
      <c r="A1920" t="s">
        <v>2713</v>
      </c>
    </row>
    <row r="1921" spans="1:1" x14ac:dyDescent="0.25">
      <c r="A1921" t="s">
        <v>2714</v>
      </c>
    </row>
    <row r="1922" spans="1:1" x14ac:dyDescent="0.25">
      <c r="A1922" t="s">
        <v>2714</v>
      </c>
    </row>
    <row r="1923" spans="1:1" x14ac:dyDescent="0.25">
      <c r="A1923" t="s">
        <v>2714</v>
      </c>
    </row>
    <row r="1924" spans="1:1" x14ac:dyDescent="0.25">
      <c r="A1924" t="s">
        <v>2714</v>
      </c>
    </row>
    <row r="1925" spans="1:1" x14ac:dyDescent="0.25">
      <c r="A1925" t="s">
        <v>2714</v>
      </c>
    </row>
    <row r="1926" spans="1:1" x14ac:dyDescent="0.25">
      <c r="A1926" t="s">
        <v>2714</v>
      </c>
    </row>
    <row r="1927" spans="1:1" x14ac:dyDescent="0.25">
      <c r="A1927" t="s">
        <v>2714</v>
      </c>
    </row>
    <row r="1928" spans="1:1" x14ac:dyDescent="0.25">
      <c r="A1928" t="s">
        <v>2714</v>
      </c>
    </row>
    <row r="1929" spans="1:1" x14ac:dyDescent="0.25">
      <c r="A1929" t="s">
        <v>2714</v>
      </c>
    </row>
    <row r="1930" spans="1:1" x14ac:dyDescent="0.25">
      <c r="A1930" t="s">
        <v>2714</v>
      </c>
    </row>
    <row r="1931" spans="1:1" x14ac:dyDescent="0.25">
      <c r="A1931" t="s">
        <v>2714</v>
      </c>
    </row>
    <row r="1932" spans="1:1" x14ac:dyDescent="0.25">
      <c r="A1932" t="s">
        <v>2714</v>
      </c>
    </row>
    <row r="1933" spans="1:1" x14ac:dyDescent="0.25">
      <c r="A1933" t="s">
        <v>2714</v>
      </c>
    </row>
    <row r="1934" spans="1:1" x14ac:dyDescent="0.25">
      <c r="A1934" t="s">
        <v>2714</v>
      </c>
    </row>
    <row r="1935" spans="1:1" x14ac:dyDescent="0.25">
      <c r="A1935" t="s">
        <v>2714</v>
      </c>
    </row>
    <row r="1936" spans="1:1" x14ac:dyDescent="0.25">
      <c r="A1936" t="s">
        <v>2714</v>
      </c>
    </row>
    <row r="1937" spans="1:1" x14ac:dyDescent="0.25">
      <c r="A1937" t="s">
        <v>2714</v>
      </c>
    </row>
    <row r="1938" spans="1:1" x14ac:dyDescent="0.25">
      <c r="A1938" t="s">
        <v>2714</v>
      </c>
    </row>
    <row r="1939" spans="1:1" x14ac:dyDescent="0.25">
      <c r="A1939" t="s">
        <v>2714</v>
      </c>
    </row>
    <row r="1940" spans="1:1" x14ac:dyDescent="0.25">
      <c r="A1940" t="s">
        <v>2714</v>
      </c>
    </row>
    <row r="1941" spans="1:1" x14ac:dyDescent="0.25">
      <c r="A1941" t="s">
        <v>2714</v>
      </c>
    </row>
    <row r="1942" spans="1:1" x14ac:dyDescent="0.25">
      <c r="A1942" t="s">
        <v>2714</v>
      </c>
    </row>
    <row r="1943" spans="1:1" x14ac:dyDescent="0.25">
      <c r="A1943" t="s">
        <v>2714</v>
      </c>
    </row>
    <row r="1944" spans="1:1" x14ac:dyDescent="0.25">
      <c r="A1944" t="s">
        <v>2714</v>
      </c>
    </row>
    <row r="1945" spans="1:1" x14ac:dyDescent="0.25">
      <c r="A1945" t="s">
        <v>2714</v>
      </c>
    </row>
    <row r="1946" spans="1:1" x14ac:dyDescent="0.25">
      <c r="A1946" t="s">
        <v>2714</v>
      </c>
    </row>
    <row r="1947" spans="1:1" x14ac:dyDescent="0.25">
      <c r="A1947" t="s">
        <v>2714</v>
      </c>
    </row>
    <row r="1948" spans="1:1" x14ac:dyDescent="0.25">
      <c r="A1948" t="s">
        <v>2714</v>
      </c>
    </row>
    <row r="1949" spans="1:1" x14ac:dyDescent="0.25">
      <c r="A1949" t="s">
        <v>2714</v>
      </c>
    </row>
    <row r="1950" spans="1:1" x14ac:dyDescent="0.25">
      <c r="A1950" t="s">
        <v>2714</v>
      </c>
    </row>
    <row r="1951" spans="1:1" x14ac:dyDescent="0.25">
      <c r="A1951" t="s">
        <v>2714</v>
      </c>
    </row>
    <row r="1952" spans="1:1" x14ac:dyDescent="0.25">
      <c r="A1952" t="s">
        <v>2714</v>
      </c>
    </row>
    <row r="1953" spans="1:1" x14ac:dyDescent="0.25">
      <c r="A1953" t="s">
        <v>2714</v>
      </c>
    </row>
    <row r="1954" spans="1:1" x14ac:dyDescent="0.25">
      <c r="A1954" t="s">
        <v>2714</v>
      </c>
    </row>
    <row r="1955" spans="1:1" x14ac:dyDescent="0.25">
      <c r="A1955" t="s">
        <v>2686</v>
      </c>
    </row>
    <row r="1958" spans="1:1" x14ac:dyDescent="0.25">
      <c r="A1958" t="s">
        <v>3218</v>
      </c>
    </row>
    <row r="1959" spans="1:1" x14ac:dyDescent="0.25">
      <c r="A1959" t="s">
        <v>3219</v>
      </c>
    </row>
    <row r="1960" spans="1:1" x14ac:dyDescent="0.25">
      <c r="A1960" t="s">
        <v>3220</v>
      </c>
    </row>
    <row r="1961" spans="1:1" x14ac:dyDescent="0.25">
      <c r="A1961" t="s">
        <v>3221</v>
      </c>
    </row>
    <row r="1962" spans="1:1" x14ac:dyDescent="0.25">
      <c r="A1962" t="s">
        <v>3222</v>
      </c>
    </row>
    <row r="1963" spans="1:1" x14ac:dyDescent="0.25">
      <c r="A1963" t="s">
        <v>3223</v>
      </c>
    </row>
    <row r="1964" spans="1:1" x14ac:dyDescent="0.25">
      <c r="A1964" t="s">
        <v>3224</v>
      </c>
    </row>
    <row r="1965" spans="1:1" x14ac:dyDescent="0.25">
      <c r="A1965" t="s">
        <v>3225</v>
      </c>
    </row>
    <row r="1966" spans="1:1" x14ac:dyDescent="0.25">
      <c r="A1966" t="s">
        <v>3226</v>
      </c>
    </row>
    <row r="1967" spans="1:1" x14ac:dyDescent="0.25">
      <c r="A1967" t="s">
        <v>3227</v>
      </c>
    </row>
    <row r="1968" spans="1:1" x14ac:dyDescent="0.25">
      <c r="A1968" t="s">
        <v>3228</v>
      </c>
    </row>
    <row r="1969" spans="1:1" x14ac:dyDescent="0.25">
      <c r="A1969" t="s">
        <v>3229</v>
      </c>
    </row>
    <row r="1970" spans="1:1" x14ac:dyDescent="0.25">
      <c r="A1970" t="s">
        <v>3230</v>
      </c>
    </row>
    <row r="1971" spans="1:1" x14ac:dyDescent="0.25">
      <c r="A1971" t="s">
        <v>3231</v>
      </c>
    </row>
    <row r="1972" spans="1:1" x14ac:dyDescent="0.25">
      <c r="A1972" t="s">
        <v>2713</v>
      </c>
    </row>
    <row r="1973" spans="1:1" x14ac:dyDescent="0.25">
      <c r="A1973" t="s">
        <v>2714</v>
      </c>
    </row>
    <row r="1974" spans="1:1" x14ac:dyDescent="0.25">
      <c r="A1974" t="s">
        <v>2714</v>
      </c>
    </row>
    <row r="1975" spans="1:1" x14ac:dyDescent="0.25">
      <c r="A1975" t="s">
        <v>2714</v>
      </c>
    </row>
    <row r="1976" spans="1:1" x14ac:dyDescent="0.25">
      <c r="A1976" t="s">
        <v>2714</v>
      </c>
    </row>
    <row r="1977" spans="1:1" x14ac:dyDescent="0.25">
      <c r="A1977" t="s">
        <v>2714</v>
      </c>
    </row>
    <row r="1978" spans="1:1" x14ac:dyDescent="0.25">
      <c r="A1978" t="s">
        <v>2714</v>
      </c>
    </row>
    <row r="1979" spans="1:1" x14ac:dyDescent="0.25">
      <c r="A1979" t="s">
        <v>2714</v>
      </c>
    </row>
    <row r="1980" spans="1:1" x14ac:dyDescent="0.25">
      <c r="A1980" t="s">
        <v>2714</v>
      </c>
    </row>
    <row r="1981" spans="1:1" x14ac:dyDescent="0.25">
      <c r="A1981" t="s">
        <v>2714</v>
      </c>
    </row>
    <row r="1982" spans="1:1" x14ac:dyDescent="0.25">
      <c r="A1982" t="s">
        <v>2714</v>
      </c>
    </row>
    <row r="1983" spans="1:1" x14ac:dyDescent="0.25">
      <c r="A1983" t="s">
        <v>2714</v>
      </c>
    </row>
    <row r="1984" spans="1:1" x14ac:dyDescent="0.25">
      <c r="A1984" t="s">
        <v>2714</v>
      </c>
    </row>
    <row r="1985" spans="1:1" x14ac:dyDescent="0.25">
      <c r="A1985" t="s">
        <v>2714</v>
      </c>
    </row>
    <row r="1986" spans="1:1" x14ac:dyDescent="0.25">
      <c r="A1986" t="s">
        <v>2714</v>
      </c>
    </row>
    <row r="1987" spans="1:1" x14ac:dyDescent="0.25">
      <c r="A1987" t="s">
        <v>2714</v>
      </c>
    </row>
    <row r="1988" spans="1:1" x14ac:dyDescent="0.25">
      <c r="A1988" t="s">
        <v>2714</v>
      </c>
    </row>
    <row r="1989" spans="1:1" x14ac:dyDescent="0.25">
      <c r="A1989" t="s">
        <v>2714</v>
      </c>
    </row>
    <row r="1990" spans="1:1" x14ac:dyDescent="0.25">
      <c r="A1990" t="s">
        <v>2714</v>
      </c>
    </row>
    <row r="1991" spans="1:1" x14ac:dyDescent="0.25">
      <c r="A1991" t="s">
        <v>2714</v>
      </c>
    </row>
    <row r="1992" spans="1:1" x14ac:dyDescent="0.25">
      <c r="A1992" t="s">
        <v>2714</v>
      </c>
    </row>
    <row r="1993" spans="1:1" x14ac:dyDescent="0.25">
      <c r="A1993" t="s">
        <v>2714</v>
      </c>
    </row>
    <row r="1994" spans="1:1" x14ac:dyDescent="0.25">
      <c r="A1994" t="s">
        <v>2714</v>
      </c>
    </row>
    <row r="1995" spans="1:1" x14ac:dyDescent="0.25">
      <c r="A1995" t="s">
        <v>2714</v>
      </c>
    </row>
    <row r="1996" spans="1:1" x14ac:dyDescent="0.25">
      <c r="A1996" t="s">
        <v>2714</v>
      </c>
    </row>
    <row r="1997" spans="1:1" x14ac:dyDescent="0.25">
      <c r="A1997" t="s">
        <v>2714</v>
      </c>
    </row>
    <row r="1998" spans="1:1" x14ac:dyDescent="0.25">
      <c r="A1998" t="s">
        <v>2714</v>
      </c>
    </row>
    <row r="1999" spans="1:1" x14ac:dyDescent="0.25">
      <c r="A1999" t="s">
        <v>2714</v>
      </c>
    </row>
    <row r="2000" spans="1:1" x14ac:dyDescent="0.25">
      <c r="A2000" t="s">
        <v>2714</v>
      </c>
    </row>
    <row r="2001" spans="1:1" x14ac:dyDescent="0.25">
      <c r="A2001" t="s">
        <v>2714</v>
      </c>
    </row>
    <row r="2002" spans="1:1" x14ac:dyDescent="0.25">
      <c r="A2002" t="s">
        <v>2714</v>
      </c>
    </row>
    <row r="2003" spans="1:1" x14ac:dyDescent="0.25">
      <c r="A2003" t="s">
        <v>2714</v>
      </c>
    </row>
    <row r="2004" spans="1:1" x14ac:dyDescent="0.25">
      <c r="A2004" t="s">
        <v>2714</v>
      </c>
    </row>
    <row r="2005" spans="1:1" x14ac:dyDescent="0.25">
      <c r="A2005" t="s">
        <v>2714</v>
      </c>
    </row>
    <row r="2006" spans="1:1" x14ac:dyDescent="0.25">
      <c r="A2006" t="s">
        <v>2714</v>
      </c>
    </row>
    <row r="2007" spans="1:1" x14ac:dyDescent="0.25">
      <c r="A2007" t="s">
        <v>2714</v>
      </c>
    </row>
    <row r="2008" spans="1:1" x14ac:dyDescent="0.25">
      <c r="A2008" t="s">
        <v>2714</v>
      </c>
    </row>
    <row r="2009" spans="1:1" x14ac:dyDescent="0.25">
      <c r="A2009" t="s">
        <v>2714</v>
      </c>
    </row>
    <row r="2010" spans="1:1" x14ac:dyDescent="0.25">
      <c r="A2010" t="s">
        <v>2714</v>
      </c>
    </row>
    <row r="2011" spans="1:1" x14ac:dyDescent="0.25">
      <c r="A2011" t="s">
        <v>2714</v>
      </c>
    </row>
    <row r="2012" spans="1:1" x14ac:dyDescent="0.25">
      <c r="A2012" t="s">
        <v>2714</v>
      </c>
    </row>
    <row r="2013" spans="1:1" x14ac:dyDescent="0.25">
      <c r="A2013" t="s">
        <v>2714</v>
      </c>
    </row>
    <row r="2014" spans="1:1" x14ac:dyDescent="0.25">
      <c r="A2014" t="s">
        <v>2714</v>
      </c>
    </row>
    <row r="2015" spans="1:1" x14ac:dyDescent="0.25">
      <c r="A2015" t="s">
        <v>2714</v>
      </c>
    </row>
    <row r="2016" spans="1:1" x14ac:dyDescent="0.25">
      <c r="A2016" t="s">
        <v>2714</v>
      </c>
    </row>
    <row r="2017" spans="1:1" x14ac:dyDescent="0.25">
      <c r="A2017" t="s">
        <v>2714</v>
      </c>
    </row>
    <row r="2018" spans="1:1" x14ac:dyDescent="0.25">
      <c r="A2018" t="s">
        <v>2686</v>
      </c>
    </row>
    <row r="2021" spans="1:1" x14ac:dyDescent="0.25">
      <c r="A2021" t="s">
        <v>3232</v>
      </c>
    </row>
    <row r="2022" spans="1:1" x14ac:dyDescent="0.25">
      <c r="A2022" t="s">
        <v>3233</v>
      </c>
    </row>
    <row r="2023" spans="1:1" x14ac:dyDescent="0.25">
      <c r="A2023" t="s">
        <v>3234</v>
      </c>
    </row>
    <row r="2024" spans="1:1" x14ac:dyDescent="0.25">
      <c r="A2024" t="s">
        <v>3235</v>
      </c>
    </row>
    <row r="2025" spans="1:1" x14ac:dyDescent="0.25">
      <c r="A2025" t="s">
        <v>3236</v>
      </c>
    </row>
    <row r="2026" spans="1:1" x14ac:dyDescent="0.25">
      <c r="A2026" t="s">
        <v>3237</v>
      </c>
    </row>
    <row r="2027" spans="1:1" x14ac:dyDescent="0.25">
      <c r="A2027" t="s">
        <v>3238</v>
      </c>
    </row>
    <row r="2028" spans="1:1" x14ac:dyDescent="0.25">
      <c r="A2028" t="s">
        <v>3239</v>
      </c>
    </row>
    <row r="2029" spans="1:1" x14ac:dyDescent="0.25">
      <c r="A2029" t="s">
        <v>3240</v>
      </c>
    </row>
    <row r="2030" spans="1:1" x14ac:dyDescent="0.25">
      <c r="A2030" t="s">
        <v>3241</v>
      </c>
    </row>
    <row r="2031" spans="1:1" x14ac:dyDescent="0.25">
      <c r="A2031" t="s">
        <v>3242</v>
      </c>
    </row>
    <row r="2032" spans="1:1" x14ac:dyDescent="0.25">
      <c r="A2032" t="s">
        <v>3243</v>
      </c>
    </row>
    <row r="2033" spans="1:1" x14ac:dyDescent="0.25">
      <c r="A2033" t="s">
        <v>3243</v>
      </c>
    </row>
    <row r="2034" spans="1:1" x14ac:dyDescent="0.25">
      <c r="A2034" t="s">
        <v>3244</v>
      </c>
    </row>
    <row r="2035" spans="1:1" x14ac:dyDescent="0.25">
      <c r="A2035" t="s">
        <v>3245</v>
      </c>
    </row>
    <row r="2036" spans="1:1" x14ac:dyDescent="0.25">
      <c r="A2036" t="s">
        <v>3246</v>
      </c>
    </row>
    <row r="2037" spans="1:1" x14ac:dyDescent="0.25">
      <c r="A2037" t="s">
        <v>3247</v>
      </c>
    </row>
    <row r="2038" spans="1:1" x14ac:dyDescent="0.25">
      <c r="A2038" t="s">
        <v>3248</v>
      </c>
    </row>
    <row r="2039" spans="1:1" x14ac:dyDescent="0.25">
      <c r="A2039" t="s">
        <v>3249</v>
      </c>
    </row>
    <row r="2040" spans="1:1" x14ac:dyDescent="0.25">
      <c r="A2040" t="s">
        <v>3250</v>
      </c>
    </row>
    <row r="2041" spans="1:1" x14ac:dyDescent="0.25">
      <c r="A2041" t="s">
        <v>3251</v>
      </c>
    </row>
    <row r="2042" spans="1:1" x14ac:dyDescent="0.25">
      <c r="A2042" t="s">
        <v>3252</v>
      </c>
    </row>
    <row r="2043" spans="1:1" x14ac:dyDescent="0.25">
      <c r="A2043" t="s">
        <v>3253</v>
      </c>
    </row>
    <row r="2044" spans="1:1" x14ac:dyDescent="0.25">
      <c r="A2044" t="s">
        <v>3254</v>
      </c>
    </row>
    <row r="2045" spans="1:1" x14ac:dyDescent="0.25">
      <c r="A2045" t="s">
        <v>3255</v>
      </c>
    </row>
    <row r="2046" spans="1:1" x14ac:dyDescent="0.25">
      <c r="A2046" t="s">
        <v>3256</v>
      </c>
    </row>
    <row r="2047" spans="1:1" x14ac:dyDescent="0.25">
      <c r="A2047" t="s">
        <v>3257</v>
      </c>
    </row>
    <row r="2048" spans="1:1" x14ac:dyDescent="0.25">
      <c r="A2048" t="s">
        <v>3258</v>
      </c>
    </row>
    <row r="2049" spans="1:1" x14ac:dyDescent="0.25">
      <c r="A2049" t="s">
        <v>3259</v>
      </c>
    </row>
    <row r="2050" spans="1:1" x14ac:dyDescent="0.25">
      <c r="A2050" t="s">
        <v>3260</v>
      </c>
    </row>
    <row r="2051" spans="1:1" x14ac:dyDescent="0.25">
      <c r="A2051" t="s">
        <v>3261</v>
      </c>
    </row>
    <row r="2052" spans="1:1" x14ac:dyDescent="0.25">
      <c r="A2052" t="s">
        <v>3262</v>
      </c>
    </row>
    <row r="2053" spans="1:1" x14ac:dyDescent="0.25">
      <c r="A2053" t="s">
        <v>3263</v>
      </c>
    </row>
    <row r="2054" spans="1:1" x14ac:dyDescent="0.25">
      <c r="A2054" t="s">
        <v>3264</v>
      </c>
    </row>
    <row r="2055" spans="1:1" x14ac:dyDescent="0.25">
      <c r="A2055" t="s">
        <v>2713</v>
      </c>
    </row>
    <row r="2056" spans="1:1" x14ac:dyDescent="0.25">
      <c r="A2056" t="s">
        <v>2714</v>
      </c>
    </row>
    <row r="2057" spans="1:1" x14ac:dyDescent="0.25">
      <c r="A2057" t="s">
        <v>2714</v>
      </c>
    </row>
    <row r="2058" spans="1:1" x14ac:dyDescent="0.25">
      <c r="A2058" t="s">
        <v>2714</v>
      </c>
    </row>
    <row r="2059" spans="1:1" x14ac:dyDescent="0.25">
      <c r="A2059" t="s">
        <v>2714</v>
      </c>
    </row>
    <row r="2060" spans="1:1" x14ac:dyDescent="0.25">
      <c r="A2060" t="s">
        <v>2714</v>
      </c>
    </row>
    <row r="2061" spans="1:1" x14ac:dyDescent="0.25">
      <c r="A2061" t="s">
        <v>2714</v>
      </c>
    </row>
    <row r="2062" spans="1:1" x14ac:dyDescent="0.25">
      <c r="A2062" t="s">
        <v>2714</v>
      </c>
    </row>
    <row r="2063" spans="1:1" x14ac:dyDescent="0.25">
      <c r="A2063" t="s">
        <v>2714</v>
      </c>
    </row>
    <row r="2064" spans="1:1" x14ac:dyDescent="0.25">
      <c r="A2064" t="s">
        <v>2714</v>
      </c>
    </row>
    <row r="2065" spans="1:1" x14ac:dyDescent="0.25">
      <c r="A2065" t="s">
        <v>2714</v>
      </c>
    </row>
    <row r="2066" spans="1:1" x14ac:dyDescent="0.25">
      <c r="A2066" t="s">
        <v>2714</v>
      </c>
    </row>
    <row r="2067" spans="1:1" x14ac:dyDescent="0.25">
      <c r="A2067" t="s">
        <v>2714</v>
      </c>
    </row>
    <row r="2068" spans="1:1" x14ac:dyDescent="0.25">
      <c r="A2068" t="s">
        <v>2714</v>
      </c>
    </row>
    <row r="2069" spans="1:1" x14ac:dyDescent="0.25">
      <c r="A2069" t="s">
        <v>2714</v>
      </c>
    </row>
    <row r="2070" spans="1:1" x14ac:dyDescent="0.25">
      <c r="A2070" t="s">
        <v>2714</v>
      </c>
    </row>
    <row r="2071" spans="1:1" x14ac:dyDescent="0.25">
      <c r="A2071" t="s">
        <v>2714</v>
      </c>
    </row>
    <row r="2072" spans="1:1" x14ac:dyDescent="0.25">
      <c r="A2072" t="s">
        <v>2714</v>
      </c>
    </row>
    <row r="2073" spans="1:1" x14ac:dyDescent="0.25">
      <c r="A2073" t="s">
        <v>2714</v>
      </c>
    </row>
    <row r="2074" spans="1:1" x14ac:dyDescent="0.25">
      <c r="A2074" t="s">
        <v>2714</v>
      </c>
    </row>
    <row r="2075" spans="1:1" x14ac:dyDescent="0.25">
      <c r="A2075" t="s">
        <v>2714</v>
      </c>
    </row>
    <row r="2076" spans="1:1" x14ac:dyDescent="0.25">
      <c r="A2076" t="s">
        <v>2714</v>
      </c>
    </row>
    <row r="2077" spans="1:1" x14ac:dyDescent="0.25">
      <c r="A2077" t="s">
        <v>2714</v>
      </c>
    </row>
    <row r="2078" spans="1:1" x14ac:dyDescent="0.25">
      <c r="A2078" t="s">
        <v>2714</v>
      </c>
    </row>
    <row r="2079" spans="1:1" x14ac:dyDescent="0.25">
      <c r="A2079" t="s">
        <v>2714</v>
      </c>
    </row>
    <row r="2080" spans="1:1" x14ac:dyDescent="0.25">
      <c r="A2080" t="s">
        <v>2714</v>
      </c>
    </row>
    <row r="2081" spans="1:1" x14ac:dyDescent="0.25">
      <c r="A2081" t="s">
        <v>2686</v>
      </c>
    </row>
    <row r="2084" spans="1:1" x14ac:dyDescent="0.25">
      <c r="A2084" t="s">
        <v>3265</v>
      </c>
    </row>
    <row r="2085" spans="1:1" x14ac:dyDescent="0.25">
      <c r="A2085" t="s">
        <v>3266</v>
      </c>
    </row>
    <row r="2086" spans="1:1" x14ac:dyDescent="0.25">
      <c r="A2086" t="s">
        <v>3267</v>
      </c>
    </row>
    <row r="2087" spans="1:1" x14ac:dyDescent="0.25">
      <c r="A2087" t="s">
        <v>3268</v>
      </c>
    </row>
    <row r="2088" spans="1:1" x14ac:dyDescent="0.25">
      <c r="A2088" t="s">
        <v>3269</v>
      </c>
    </row>
    <row r="2089" spans="1:1" x14ac:dyDescent="0.25">
      <c r="A2089" t="s">
        <v>3270</v>
      </c>
    </row>
    <row r="2090" spans="1:1" x14ac:dyDescent="0.25">
      <c r="A2090" t="s">
        <v>3271</v>
      </c>
    </row>
    <row r="2091" spans="1:1" x14ac:dyDescent="0.25">
      <c r="A2091" t="s">
        <v>3272</v>
      </c>
    </row>
    <row r="2092" spans="1:1" x14ac:dyDescent="0.25">
      <c r="A2092" t="s">
        <v>3273</v>
      </c>
    </row>
    <row r="2093" spans="1:1" x14ac:dyDescent="0.25">
      <c r="A2093" t="s">
        <v>3274</v>
      </c>
    </row>
    <row r="2094" spans="1:1" x14ac:dyDescent="0.25">
      <c r="A2094" t="s">
        <v>3275</v>
      </c>
    </row>
    <row r="2095" spans="1:1" x14ac:dyDescent="0.25">
      <c r="A2095" t="s">
        <v>3276</v>
      </c>
    </row>
    <row r="2096" spans="1:1" x14ac:dyDescent="0.25">
      <c r="A2096" t="s">
        <v>3277</v>
      </c>
    </row>
    <row r="2097" spans="1:1" x14ac:dyDescent="0.25">
      <c r="A2097" t="s">
        <v>3278</v>
      </c>
    </row>
    <row r="2098" spans="1:1" x14ac:dyDescent="0.25">
      <c r="A2098" t="s">
        <v>3279</v>
      </c>
    </row>
    <row r="2099" spans="1:1" x14ac:dyDescent="0.25">
      <c r="A2099" t="s">
        <v>2713</v>
      </c>
    </row>
    <row r="2100" spans="1:1" x14ac:dyDescent="0.25">
      <c r="A2100" t="s">
        <v>2714</v>
      </c>
    </row>
    <row r="2101" spans="1:1" x14ac:dyDescent="0.25">
      <c r="A2101" t="s">
        <v>2714</v>
      </c>
    </row>
    <row r="2102" spans="1:1" x14ac:dyDescent="0.25">
      <c r="A2102" t="s">
        <v>2714</v>
      </c>
    </row>
    <row r="2103" spans="1:1" x14ac:dyDescent="0.25">
      <c r="A2103" t="s">
        <v>2714</v>
      </c>
    </row>
    <row r="2104" spans="1:1" x14ac:dyDescent="0.25">
      <c r="A2104" t="s">
        <v>2714</v>
      </c>
    </row>
    <row r="2105" spans="1:1" x14ac:dyDescent="0.25">
      <c r="A2105" t="s">
        <v>2714</v>
      </c>
    </row>
    <row r="2106" spans="1:1" x14ac:dyDescent="0.25">
      <c r="A2106" t="s">
        <v>2714</v>
      </c>
    </row>
    <row r="2107" spans="1:1" x14ac:dyDescent="0.25">
      <c r="A2107" t="s">
        <v>2714</v>
      </c>
    </row>
    <row r="2108" spans="1:1" x14ac:dyDescent="0.25">
      <c r="A2108" t="s">
        <v>2714</v>
      </c>
    </row>
    <row r="2109" spans="1:1" x14ac:dyDescent="0.25">
      <c r="A2109" t="s">
        <v>2714</v>
      </c>
    </row>
    <row r="2110" spans="1:1" x14ac:dyDescent="0.25">
      <c r="A2110" t="s">
        <v>2714</v>
      </c>
    </row>
    <row r="2111" spans="1:1" x14ac:dyDescent="0.25">
      <c r="A2111" t="s">
        <v>2714</v>
      </c>
    </row>
    <row r="2112" spans="1:1" x14ac:dyDescent="0.25">
      <c r="A2112" t="s">
        <v>2714</v>
      </c>
    </row>
    <row r="2113" spans="1:1" x14ac:dyDescent="0.25">
      <c r="A2113" t="s">
        <v>2714</v>
      </c>
    </row>
    <row r="2114" spans="1:1" x14ac:dyDescent="0.25">
      <c r="A2114" t="s">
        <v>2714</v>
      </c>
    </row>
    <row r="2115" spans="1:1" x14ac:dyDescent="0.25">
      <c r="A2115" t="s">
        <v>2714</v>
      </c>
    </row>
    <row r="2116" spans="1:1" x14ac:dyDescent="0.25">
      <c r="A2116" t="s">
        <v>2714</v>
      </c>
    </row>
    <row r="2117" spans="1:1" x14ac:dyDescent="0.25">
      <c r="A2117" t="s">
        <v>2714</v>
      </c>
    </row>
    <row r="2118" spans="1:1" x14ac:dyDescent="0.25">
      <c r="A2118" t="s">
        <v>2714</v>
      </c>
    </row>
    <row r="2119" spans="1:1" x14ac:dyDescent="0.25">
      <c r="A2119" t="s">
        <v>2714</v>
      </c>
    </row>
    <row r="2120" spans="1:1" x14ac:dyDescent="0.25">
      <c r="A2120" t="s">
        <v>2714</v>
      </c>
    </row>
    <row r="2121" spans="1:1" x14ac:dyDescent="0.25">
      <c r="A2121" t="s">
        <v>2714</v>
      </c>
    </row>
    <row r="2122" spans="1:1" x14ac:dyDescent="0.25">
      <c r="A2122" t="s">
        <v>2714</v>
      </c>
    </row>
    <row r="2123" spans="1:1" x14ac:dyDescent="0.25">
      <c r="A2123" t="s">
        <v>2714</v>
      </c>
    </row>
    <row r="2124" spans="1:1" x14ac:dyDescent="0.25">
      <c r="A2124" t="s">
        <v>2714</v>
      </c>
    </row>
    <row r="2125" spans="1:1" x14ac:dyDescent="0.25">
      <c r="A2125" t="s">
        <v>2714</v>
      </c>
    </row>
    <row r="2126" spans="1:1" x14ac:dyDescent="0.25">
      <c r="A2126" t="s">
        <v>2714</v>
      </c>
    </row>
    <row r="2127" spans="1:1" x14ac:dyDescent="0.25">
      <c r="A2127" t="s">
        <v>2714</v>
      </c>
    </row>
    <row r="2128" spans="1:1" x14ac:dyDescent="0.25">
      <c r="A2128" t="s">
        <v>2714</v>
      </c>
    </row>
    <row r="2129" spans="1:1" x14ac:dyDescent="0.25">
      <c r="A2129" t="s">
        <v>2714</v>
      </c>
    </row>
    <row r="2130" spans="1:1" x14ac:dyDescent="0.25">
      <c r="A2130" t="s">
        <v>2714</v>
      </c>
    </row>
    <row r="2131" spans="1:1" x14ac:dyDescent="0.25">
      <c r="A2131" t="s">
        <v>2714</v>
      </c>
    </row>
    <row r="2132" spans="1:1" x14ac:dyDescent="0.25">
      <c r="A2132" t="s">
        <v>2714</v>
      </c>
    </row>
    <row r="2133" spans="1:1" x14ac:dyDescent="0.25">
      <c r="A2133" t="s">
        <v>2714</v>
      </c>
    </row>
    <row r="2134" spans="1:1" x14ac:dyDescent="0.25">
      <c r="A2134" t="s">
        <v>2714</v>
      </c>
    </row>
    <row r="2135" spans="1:1" x14ac:dyDescent="0.25">
      <c r="A2135" t="s">
        <v>2714</v>
      </c>
    </row>
    <row r="2136" spans="1:1" x14ac:dyDescent="0.25">
      <c r="A2136" t="s">
        <v>2714</v>
      </c>
    </row>
    <row r="2137" spans="1:1" x14ac:dyDescent="0.25">
      <c r="A2137" t="s">
        <v>2714</v>
      </c>
    </row>
    <row r="2138" spans="1:1" x14ac:dyDescent="0.25">
      <c r="A2138" t="s">
        <v>2714</v>
      </c>
    </row>
    <row r="2139" spans="1:1" x14ac:dyDescent="0.25">
      <c r="A2139" t="s">
        <v>2714</v>
      </c>
    </row>
    <row r="2140" spans="1:1" x14ac:dyDescent="0.25">
      <c r="A2140" t="s">
        <v>2714</v>
      </c>
    </row>
    <row r="2141" spans="1:1" x14ac:dyDescent="0.25">
      <c r="A2141" t="s">
        <v>2714</v>
      </c>
    </row>
    <row r="2142" spans="1:1" x14ac:dyDescent="0.25">
      <c r="A2142" t="s">
        <v>2714</v>
      </c>
    </row>
    <row r="2143" spans="1:1" x14ac:dyDescent="0.25">
      <c r="A2143" t="s">
        <v>2714</v>
      </c>
    </row>
    <row r="2144" spans="1:1" x14ac:dyDescent="0.25">
      <c r="A2144" t="s">
        <v>2686</v>
      </c>
    </row>
    <row r="2147" spans="1:1" x14ac:dyDescent="0.25">
      <c r="A2147" t="s">
        <v>3280</v>
      </c>
    </row>
    <row r="2148" spans="1:1" x14ac:dyDescent="0.25">
      <c r="A2148" t="s">
        <v>3281</v>
      </c>
    </row>
    <row r="2149" spans="1:1" x14ac:dyDescent="0.25">
      <c r="A2149" t="s">
        <v>3282</v>
      </c>
    </row>
    <row r="2150" spans="1:1" x14ac:dyDescent="0.25">
      <c r="A2150" t="s">
        <v>3283</v>
      </c>
    </row>
    <row r="2151" spans="1:1" x14ac:dyDescent="0.25">
      <c r="A2151" t="s">
        <v>3284</v>
      </c>
    </row>
    <row r="2152" spans="1:1" x14ac:dyDescent="0.25">
      <c r="A2152" t="s">
        <v>3285</v>
      </c>
    </row>
    <row r="2153" spans="1:1" x14ac:dyDescent="0.25">
      <c r="A2153" t="s">
        <v>3286</v>
      </c>
    </row>
    <row r="2154" spans="1:1" x14ac:dyDescent="0.25">
      <c r="A2154" t="s">
        <v>3287</v>
      </c>
    </row>
    <row r="2155" spans="1:1" x14ac:dyDescent="0.25">
      <c r="A2155" t="s">
        <v>3288</v>
      </c>
    </row>
    <row r="2156" spans="1:1" x14ac:dyDescent="0.25">
      <c r="A2156" t="s">
        <v>3289</v>
      </c>
    </row>
    <row r="2157" spans="1:1" x14ac:dyDescent="0.25">
      <c r="A2157" t="s">
        <v>3290</v>
      </c>
    </row>
    <row r="2158" spans="1:1" x14ac:dyDescent="0.25">
      <c r="A2158" t="s">
        <v>3291</v>
      </c>
    </row>
    <row r="2159" spans="1:1" x14ac:dyDescent="0.25">
      <c r="A2159" t="s">
        <v>3292</v>
      </c>
    </row>
    <row r="2160" spans="1:1" x14ac:dyDescent="0.25">
      <c r="A2160" t="s">
        <v>3293</v>
      </c>
    </row>
    <row r="2161" spans="1:1" x14ac:dyDescent="0.25">
      <c r="A2161" t="s">
        <v>3294</v>
      </c>
    </row>
    <row r="2162" spans="1:1" x14ac:dyDescent="0.25">
      <c r="A2162" t="s">
        <v>3295</v>
      </c>
    </row>
    <row r="2163" spans="1:1" x14ac:dyDescent="0.25">
      <c r="A2163" t="s">
        <v>3296</v>
      </c>
    </row>
    <row r="2164" spans="1:1" x14ac:dyDescent="0.25">
      <c r="A2164" t="s">
        <v>3297</v>
      </c>
    </row>
    <row r="2165" spans="1:1" x14ac:dyDescent="0.25">
      <c r="A2165" t="s">
        <v>3297</v>
      </c>
    </row>
    <row r="2166" spans="1:1" x14ac:dyDescent="0.25">
      <c r="A2166" t="s">
        <v>3129</v>
      </c>
    </row>
    <row r="2167" spans="1:1" x14ac:dyDescent="0.25">
      <c r="A2167" t="s">
        <v>3298</v>
      </c>
    </row>
    <row r="2168" spans="1:1" x14ac:dyDescent="0.25">
      <c r="A2168" t="s">
        <v>3134</v>
      </c>
    </row>
    <row r="2169" spans="1:1" x14ac:dyDescent="0.25">
      <c r="A2169" t="s">
        <v>3299</v>
      </c>
    </row>
    <row r="2170" spans="1:1" x14ac:dyDescent="0.25">
      <c r="A2170" t="s">
        <v>3300</v>
      </c>
    </row>
    <row r="2171" spans="1:1" x14ac:dyDescent="0.25">
      <c r="A2171" t="s">
        <v>3301</v>
      </c>
    </row>
    <row r="2172" spans="1:1" x14ac:dyDescent="0.25">
      <c r="A2172" t="s">
        <v>3302</v>
      </c>
    </row>
    <row r="2173" spans="1:1" x14ac:dyDescent="0.25">
      <c r="A2173" t="s">
        <v>3303</v>
      </c>
    </row>
    <row r="2174" spans="1:1" x14ac:dyDescent="0.25">
      <c r="A2174" t="s">
        <v>3281</v>
      </c>
    </row>
    <row r="2175" spans="1:1" x14ac:dyDescent="0.25">
      <c r="A2175" t="s">
        <v>2713</v>
      </c>
    </row>
    <row r="2176" spans="1:1" x14ac:dyDescent="0.25">
      <c r="A2176" t="s">
        <v>2714</v>
      </c>
    </row>
    <row r="2177" spans="1:1" x14ac:dyDescent="0.25">
      <c r="A2177" t="s">
        <v>2714</v>
      </c>
    </row>
    <row r="2178" spans="1:1" x14ac:dyDescent="0.25">
      <c r="A2178" t="s">
        <v>2714</v>
      </c>
    </row>
    <row r="2179" spans="1:1" x14ac:dyDescent="0.25">
      <c r="A2179" t="s">
        <v>2714</v>
      </c>
    </row>
    <row r="2180" spans="1:1" x14ac:dyDescent="0.25">
      <c r="A2180" t="s">
        <v>2714</v>
      </c>
    </row>
    <row r="2181" spans="1:1" x14ac:dyDescent="0.25">
      <c r="A2181" t="s">
        <v>2714</v>
      </c>
    </row>
    <row r="2182" spans="1:1" x14ac:dyDescent="0.25">
      <c r="A2182" t="s">
        <v>2714</v>
      </c>
    </row>
    <row r="2183" spans="1:1" x14ac:dyDescent="0.25">
      <c r="A2183" t="s">
        <v>2714</v>
      </c>
    </row>
    <row r="2184" spans="1:1" x14ac:dyDescent="0.25">
      <c r="A2184" t="s">
        <v>2714</v>
      </c>
    </row>
    <row r="2185" spans="1:1" x14ac:dyDescent="0.25">
      <c r="A2185" t="s">
        <v>2714</v>
      </c>
    </row>
    <row r="2186" spans="1:1" x14ac:dyDescent="0.25">
      <c r="A2186" t="s">
        <v>2714</v>
      </c>
    </row>
    <row r="2187" spans="1:1" x14ac:dyDescent="0.25">
      <c r="A2187" t="s">
        <v>2714</v>
      </c>
    </row>
    <row r="2188" spans="1:1" x14ac:dyDescent="0.25">
      <c r="A2188" t="s">
        <v>2714</v>
      </c>
    </row>
    <row r="2189" spans="1:1" x14ac:dyDescent="0.25">
      <c r="A2189" t="s">
        <v>2714</v>
      </c>
    </row>
    <row r="2190" spans="1:1" x14ac:dyDescent="0.25">
      <c r="A2190" t="s">
        <v>2714</v>
      </c>
    </row>
    <row r="2191" spans="1:1" x14ac:dyDescent="0.25">
      <c r="A2191" t="s">
        <v>2714</v>
      </c>
    </row>
    <row r="2192" spans="1:1" x14ac:dyDescent="0.25">
      <c r="A2192" t="s">
        <v>2714</v>
      </c>
    </row>
    <row r="2193" spans="1:1" x14ac:dyDescent="0.25">
      <c r="A2193" t="s">
        <v>2714</v>
      </c>
    </row>
    <row r="2194" spans="1:1" x14ac:dyDescent="0.25">
      <c r="A2194" t="s">
        <v>2714</v>
      </c>
    </row>
    <row r="2195" spans="1:1" x14ac:dyDescent="0.25">
      <c r="A2195" t="s">
        <v>2714</v>
      </c>
    </row>
    <row r="2196" spans="1:1" x14ac:dyDescent="0.25">
      <c r="A2196" t="s">
        <v>2714</v>
      </c>
    </row>
    <row r="2197" spans="1:1" x14ac:dyDescent="0.25">
      <c r="A2197" t="s">
        <v>2714</v>
      </c>
    </row>
    <row r="2198" spans="1:1" x14ac:dyDescent="0.25">
      <c r="A2198" t="s">
        <v>2714</v>
      </c>
    </row>
    <row r="2199" spans="1:1" x14ac:dyDescent="0.25">
      <c r="A2199" t="s">
        <v>2714</v>
      </c>
    </row>
    <row r="2200" spans="1:1" x14ac:dyDescent="0.25">
      <c r="A2200" t="s">
        <v>2714</v>
      </c>
    </row>
    <row r="2201" spans="1:1" x14ac:dyDescent="0.25">
      <c r="A2201" t="s">
        <v>2714</v>
      </c>
    </row>
    <row r="2202" spans="1:1" x14ac:dyDescent="0.25">
      <c r="A2202" t="s">
        <v>2714</v>
      </c>
    </row>
    <row r="2203" spans="1:1" x14ac:dyDescent="0.25">
      <c r="A2203" t="s">
        <v>2714</v>
      </c>
    </row>
    <row r="2204" spans="1:1" x14ac:dyDescent="0.25">
      <c r="A2204" t="s">
        <v>2714</v>
      </c>
    </row>
    <row r="2205" spans="1:1" x14ac:dyDescent="0.25">
      <c r="A2205" t="s">
        <v>2714</v>
      </c>
    </row>
    <row r="2206" spans="1:1" x14ac:dyDescent="0.25">
      <c r="A2206" t="s">
        <v>2714</v>
      </c>
    </row>
    <row r="2207" spans="1:1" x14ac:dyDescent="0.25">
      <c r="A2207" t="s">
        <v>2686</v>
      </c>
    </row>
    <row r="2210" spans="1:1" x14ac:dyDescent="0.25">
      <c r="A2210" t="s">
        <v>3304</v>
      </c>
    </row>
    <row r="2211" spans="1:1" x14ac:dyDescent="0.25">
      <c r="A2211" t="s">
        <v>2713</v>
      </c>
    </row>
    <row r="2212" spans="1:1" x14ac:dyDescent="0.25">
      <c r="A2212" t="s">
        <v>2714</v>
      </c>
    </row>
    <row r="2213" spans="1:1" x14ac:dyDescent="0.25">
      <c r="A2213" t="s">
        <v>2714</v>
      </c>
    </row>
    <row r="2214" spans="1:1" x14ac:dyDescent="0.25">
      <c r="A2214" t="s">
        <v>2714</v>
      </c>
    </row>
    <row r="2215" spans="1:1" x14ac:dyDescent="0.25">
      <c r="A2215" t="s">
        <v>2714</v>
      </c>
    </row>
    <row r="2216" spans="1:1" x14ac:dyDescent="0.25">
      <c r="A2216" t="s">
        <v>2714</v>
      </c>
    </row>
    <row r="2217" spans="1:1" x14ac:dyDescent="0.25">
      <c r="A2217" t="s">
        <v>2714</v>
      </c>
    </row>
    <row r="2218" spans="1:1" x14ac:dyDescent="0.25">
      <c r="A2218" t="s">
        <v>2714</v>
      </c>
    </row>
    <row r="2219" spans="1:1" x14ac:dyDescent="0.25">
      <c r="A2219" t="s">
        <v>2714</v>
      </c>
    </row>
    <row r="2220" spans="1:1" x14ac:dyDescent="0.25">
      <c r="A2220" t="s">
        <v>2714</v>
      </c>
    </row>
    <row r="2221" spans="1:1" x14ac:dyDescent="0.25">
      <c r="A2221" t="s">
        <v>2714</v>
      </c>
    </row>
    <row r="2222" spans="1:1" x14ac:dyDescent="0.25">
      <c r="A2222" t="s">
        <v>2714</v>
      </c>
    </row>
    <row r="2223" spans="1:1" x14ac:dyDescent="0.25">
      <c r="A2223" t="s">
        <v>2714</v>
      </c>
    </row>
    <row r="2224" spans="1:1" x14ac:dyDescent="0.25">
      <c r="A2224" t="s">
        <v>2714</v>
      </c>
    </row>
    <row r="2225" spans="1:1" x14ac:dyDescent="0.25">
      <c r="A2225" t="s">
        <v>2714</v>
      </c>
    </row>
    <row r="2226" spans="1:1" x14ac:dyDescent="0.25">
      <c r="A2226" t="s">
        <v>2714</v>
      </c>
    </row>
    <row r="2227" spans="1:1" x14ac:dyDescent="0.25">
      <c r="A2227" t="s">
        <v>2714</v>
      </c>
    </row>
    <row r="2228" spans="1:1" x14ac:dyDescent="0.25">
      <c r="A2228" t="s">
        <v>2714</v>
      </c>
    </row>
    <row r="2229" spans="1:1" x14ac:dyDescent="0.25">
      <c r="A2229" t="s">
        <v>2714</v>
      </c>
    </row>
    <row r="2230" spans="1:1" x14ac:dyDescent="0.25">
      <c r="A2230" t="s">
        <v>2714</v>
      </c>
    </row>
    <row r="2231" spans="1:1" x14ac:dyDescent="0.25">
      <c r="A2231" t="s">
        <v>2714</v>
      </c>
    </row>
    <row r="2232" spans="1:1" x14ac:dyDescent="0.25">
      <c r="A2232" t="s">
        <v>2714</v>
      </c>
    </row>
    <row r="2233" spans="1:1" x14ac:dyDescent="0.25">
      <c r="A2233" t="s">
        <v>2714</v>
      </c>
    </row>
    <row r="2234" spans="1:1" x14ac:dyDescent="0.25">
      <c r="A2234" t="s">
        <v>2714</v>
      </c>
    </row>
    <row r="2235" spans="1:1" x14ac:dyDescent="0.25">
      <c r="A2235" t="s">
        <v>2714</v>
      </c>
    </row>
    <row r="2236" spans="1:1" x14ac:dyDescent="0.25">
      <c r="A2236" t="s">
        <v>2714</v>
      </c>
    </row>
    <row r="2237" spans="1:1" x14ac:dyDescent="0.25">
      <c r="A2237" t="s">
        <v>2714</v>
      </c>
    </row>
    <row r="2238" spans="1:1" x14ac:dyDescent="0.25">
      <c r="A2238" t="s">
        <v>2714</v>
      </c>
    </row>
    <row r="2239" spans="1:1" x14ac:dyDescent="0.25">
      <c r="A2239" t="s">
        <v>2714</v>
      </c>
    </row>
    <row r="2240" spans="1:1" x14ac:dyDescent="0.25">
      <c r="A2240" t="s">
        <v>2714</v>
      </c>
    </row>
    <row r="2241" spans="1:1" x14ac:dyDescent="0.25">
      <c r="A2241" t="s">
        <v>2714</v>
      </c>
    </row>
    <row r="2242" spans="1:1" x14ac:dyDescent="0.25">
      <c r="A2242" t="s">
        <v>2714</v>
      </c>
    </row>
    <row r="2243" spans="1:1" x14ac:dyDescent="0.25">
      <c r="A2243" t="s">
        <v>2714</v>
      </c>
    </row>
    <row r="2244" spans="1:1" x14ac:dyDescent="0.25">
      <c r="A2244" t="s">
        <v>2714</v>
      </c>
    </row>
    <row r="2245" spans="1:1" x14ac:dyDescent="0.25">
      <c r="A2245" t="s">
        <v>2714</v>
      </c>
    </row>
    <row r="2246" spans="1:1" x14ac:dyDescent="0.25">
      <c r="A2246" t="s">
        <v>2714</v>
      </c>
    </row>
    <row r="2247" spans="1:1" x14ac:dyDescent="0.25">
      <c r="A2247" t="s">
        <v>2714</v>
      </c>
    </row>
    <row r="2248" spans="1:1" x14ac:dyDescent="0.25">
      <c r="A2248" t="s">
        <v>2714</v>
      </c>
    </row>
    <row r="2249" spans="1:1" x14ac:dyDescent="0.25">
      <c r="A2249" t="s">
        <v>2714</v>
      </c>
    </row>
    <row r="2250" spans="1:1" x14ac:dyDescent="0.25">
      <c r="A2250" t="s">
        <v>2714</v>
      </c>
    </row>
    <row r="2251" spans="1:1" x14ac:dyDescent="0.25">
      <c r="A2251" t="s">
        <v>2714</v>
      </c>
    </row>
    <row r="2252" spans="1:1" x14ac:dyDescent="0.25">
      <c r="A2252" t="s">
        <v>2714</v>
      </c>
    </row>
    <row r="2253" spans="1:1" x14ac:dyDescent="0.25">
      <c r="A2253" t="s">
        <v>2714</v>
      </c>
    </row>
    <row r="2254" spans="1:1" x14ac:dyDescent="0.25">
      <c r="A2254" t="s">
        <v>2714</v>
      </c>
    </row>
    <row r="2255" spans="1:1" x14ac:dyDescent="0.25">
      <c r="A2255" t="s">
        <v>2714</v>
      </c>
    </row>
    <row r="2256" spans="1:1" x14ac:dyDescent="0.25">
      <c r="A2256" t="s">
        <v>2714</v>
      </c>
    </row>
    <row r="2257" spans="1:1" x14ac:dyDescent="0.25">
      <c r="A2257" t="s">
        <v>2714</v>
      </c>
    </row>
    <row r="2258" spans="1:1" x14ac:dyDescent="0.25">
      <c r="A2258" t="s">
        <v>2714</v>
      </c>
    </row>
    <row r="2259" spans="1:1" x14ac:dyDescent="0.25">
      <c r="A2259" t="s">
        <v>2714</v>
      </c>
    </row>
    <row r="2260" spans="1:1" x14ac:dyDescent="0.25">
      <c r="A2260" t="s">
        <v>2714</v>
      </c>
    </row>
    <row r="2261" spans="1:1" x14ac:dyDescent="0.25">
      <c r="A2261" t="s">
        <v>2714</v>
      </c>
    </row>
    <row r="2262" spans="1:1" x14ac:dyDescent="0.25">
      <c r="A2262" t="s">
        <v>2714</v>
      </c>
    </row>
    <row r="2263" spans="1:1" x14ac:dyDescent="0.25">
      <c r="A2263" t="s">
        <v>2714</v>
      </c>
    </row>
    <row r="2264" spans="1:1" x14ac:dyDescent="0.25">
      <c r="A2264" t="s">
        <v>2714</v>
      </c>
    </row>
    <row r="2265" spans="1:1" x14ac:dyDescent="0.25">
      <c r="A2265" t="s">
        <v>2714</v>
      </c>
    </row>
    <row r="2266" spans="1:1" x14ac:dyDescent="0.25">
      <c r="A2266" t="s">
        <v>2714</v>
      </c>
    </row>
    <row r="2267" spans="1:1" x14ac:dyDescent="0.25">
      <c r="A2267" t="s">
        <v>2714</v>
      </c>
    </row>
    <row r="2268" spans="1:1" x14ac:dyDescent="0.25">
      <c r="A2268" t="s">
        <v>2714</v>
      </c>
    </row>
    <row r="2269" spans="1:1" x14ac:dyDescent="0.25">
      <c r="A2269" t="s">
        <v>2714</v>
      </c>
    </row>
    <row r="2270" spans="1:1" x14ac:dyDescent="0.25">
      <c r="A2270" t="s">
        <v>2686</v>
      </c>
    </row>
    <row r="2273" spans="1:1" x14ac:dyDescent="0.25">
      <c r="A2273" t="s">
        <v>3305</v>
      </c>
    </row>
    <row r="2274" spans="1:1" x14ac:dyDescent="0.25">
      <c r="A2274" t="s">
        <v>3306</v>
      </c>
    </row>
    <row r="2275" spans="1:1" x14ac:dyDescent="0.25">
      <c r="A2275" t="s">
        <v>2713</v>
      </c>
    </row>
    <row r="2276" spans="1:1" x14ac:dyDescent="0.25">
      <c r="A2276" t="s">
        <v>2714</v>
      </c>
    </row>
    <row r="2277" spans="1:1" x14ac:dyDescent="0.25">
      <c r="A2277" t="s">
        <v>2714</v>
      </c>
    </row>
    <row r="2278" spans="1:1" x14ac:dyDescent="0.25">
      <c r="A2278" t="s">
        <v>2714</v>
      </c>
    </row>
    <row r="2279" spans="1:1" x14ac:dyDescent="0.25">
      <c r="A2279" t="s">
        <v>2714</v>
      </c>
    </row>
    <row r="2280" spans="1:1" x14ac:dyDescent="0.25">
      <c r="A2280" t="s">
        <v>2714</v>
      </c>
    </row>
    <row r="2281" spans="1:1" x14ac:dyDescent="0.25">
      <c r="A2281" t="s">
        <v>2714</v>
      </c>
    </row>
    <row r="2282" spans="1:1" x14ac:dyDescent="0.25">
      <c r="A2282" t="s">
        <v>2714</v>
      </c>
    </row>
    <row r="2283" spans="1:1" x14ac:dyDescent="0.25">
      <c r="A2283" t="s">
        <v>2714</v>
      </c>
    </row>
    <row r="2284" spans="1:1" x14ac:dyDescent="0.25">
      <c r="A2284" t="s">
        <v>2714</v>
      </c>
    </row>
    <row r="2285" spans="1:1" x14ac:dyDescent="0.25">
      <c r="A2285" t="s">
        <v>2714</v>
      </c>
    </row>
    <row r="2286" spans="1:1" x14ac:dyDescent="0.25">
      <c r="A2286" t="s">
        <v>2714</v>
      </c>
    </row>
    <row r="2287" spans="1:1" x14ac:dyDescent="0.25">
      <c r="A2287" t="s">
        <v>2714</v>
      </c>
    </row>
    <row r="2288" spans="1:1" x14ac:dyDescent="0.25">
      <c r="A2288" t="s">
        <v>2714</v>
      </c>
    </row>
    <row r="2289" spans="1:1" x14ac:dyDescent="0.25">
      <c r="A2289" t="s">
        <v>2714</v>
      </c>
    </row>
    <row r="2290" spans="1:1" x14ac:dyDescent="0.25">
      <c r="A2290" t="s">
        <v>2714</v>
      </c>
    </row>
    <row r="2291" spans="1:1" x14ac:dyDescent="0.25">
      <c r="A2291" t="s">
        <v>2714</v>
      </c>
    </row>
    <row r="2292" spans="1:1" x14ac:dyDescent="0.25">
      <c r="A2292" t="s">
        <v>2714</v>
      </c>
    </row>
    <row r="2293" spans="1:1" x14ac:dyDescent="0.25">
      <c r="A2293" t="s">
        <v>2714</v>
      </c>
    </row>
    <row r="2294" spans="1:1" x14ac:dyDescent="0.25">
      <c r="A2294" t="s">
        <v>2714</v>
      </c>
    </row>
    <row r="2295" spans="1:1" x14ac:dyDescent="0.25">
      <c r="A2295" t="s">
        <v>2714</v>
      </c>
    </row>
    <row r="2296" spans="1:1" x14ac:dyDescent="0.25">
      <c r="A2296" t="s">
        <v>2714</v>
      </c>
    </row>
    <row r="2297" spans="1:1" x14ac:dyDescent="0.25">
      <c r="A2297" t="s">
        <v>2714</v>
      </c>
    </row>
    <row r="2298" spans="1:1" x14ac:dyDescent="0.25">
      <c r="A2298" t="s">
        <v>2714</v>
      </c>
    </row>
    <row r="2299" spans="1:1" x14ac:dyDescent="0.25">
      <c r="A2299" t="s">
        <v>2714</v>
      </c>
    </row>
    <row r="2300" spans="1:1" x14ac:dyDescent="0.25">
      <c r="A2300" t="s">
        <v>2714</v>
      </c>
    </row>
    <row r="2301" spans="1:1" x14ac:dyDescent="0.25">
      <c r="A2301" t="s">
        <v>2714</v>
      </c>
    </row>
    <row r="2302" spans="1:1" x14ac:dyDescent="0.25">
      <c r="A2302" t="s">
        <v>2714</v>
      </c>
    </row>
    <row r="2303" spans="1:1" x14ac:dyDescent="0.25">
      <c r="A2303" t="s">
        <v>2714</v>
      </c>
    </row>
    <row r="2304" spans="1:1" x14ac:dyDescent="0.25">
      <c r="A2304" t="s">
        <v>2714</v>
      </c>
    </row>
    <row r="2305" spans="1:1" x14ac:dyDescent="0.25">
      <c r="A2305" t="s">
        <v>2714</v>
      </c>
    </row>
    <row r="2306" spans="1:1" x14ac:dyDescent="0.25">
      <c r="A2306" t="s">
        <v>2714</v>
      </c>
    </row>
    <row r="2307" spans="1:1" x14ac:dyDescent="0.25">
      <c r="A2307" t="s">
        <v>2714</v>
      </c>
    </row>
    <row r="2308" spans="1:1" x14ac:dyDescent="0.25">
      <c r="A2308" t="s">
        <v>2714</v>
      </c>
    </row>
    <row r="2309" spans="1:1" x14ac:dyDescent="0.25">
      <c r="A2309" t="s">
        <v>2714</v>
      </c>
    </row>
    <row r="2310" spans="1:1" x14ac:dyDescent="0.25">
      <c r="A2310" t="s">
        <v>2714</v>
      </c>
    </row>
    <row r="2311" spans="1:1" x14ac:dyDescent="0.25">
      <c r="A2311" t="s">
        <v>2714</v>
      </c>
    </row>
    <row r="2312" spans="1:1" x14ac:dyDescent="0.25">
      <c r="A2312" t="s">
        <v>2714</v>
      </c>
    </row>
    <row r="2313" spans="1:1" x14ac:dyDescent="0.25">
      <c r="A2313" t="s">
        <v>2714</v>
      </c>
    </row>
    <row r="2314" spans="1:1" x14ac:dyDescent="0.25">
      <c r="A2314" t="s">
        <v>2714</v>
      </c>
    </row>
    <row r="2315" spans="1:1" x14ac:dyDescent="0.25">
      <c r="A2315" t="s">
        <v>2714</v>
      </c>
    </row>
    <row r="2316" spans="1:1" x14ac:dyDescent="0.25">
      <c r="A2316" t="s">
        <v>2714</v>
      </c>
    </row>
    <row r="2317" spans="1:1" x14ac:dyDescent="0.25">
      <c r="A2317" t="s">
        <v>2714</v>
      </c>
    </row>
    <row r="2318" spans="1:1" x14ac:dyDescent="0.25">
      <c r="A2318" t="s">
        <v>2714</v>
      </c>
    </row>
    <row r="2319" spans="1:1" x14ac:dyDescent="0.25">
      <c r="A2319" t="s">
        <v>2714</v>
      </c>
    </row>
    <row r="2320" spans="1:1" x14ac:dyDescent="0.25">
      <c r="A2320" t="s">
        <v>2714</v>
      </c>
    </row>
    <row r="2321" spans="1:1" x14ac:dyDescent="0.25">
      <c r="A2321" t="s">
        <v>2714</v>
      </c>
    </row>
    <row r="2322" spans="1:1" x14ac:dyDescent="0.25">
      <c r="A2322" t="s">
        <v>2714</v>
      </c>
    </row>
    <row r="2323" spans="1:1" x14ac:dyDescent="0.25">
      <c r="A2323" t="s">
        <v>2714</v>
      </c>
    </row>
    <row r="2324" spans="1:1" x14ac:dyDescent="0.25">
      <c r="A2324" t="s">
        <v>2714</v>
      </c>
    </row>
    <row r="2325" spans="1:1" x14ac:dyDescent="0.25">
      <c r="A2325" t="s">
        <v>2714</v>
      </c>
    </row>
    <row r="2326" spans="1:1" x14ac:dyDescent="0.25">
      <c r="A2326" t="s">
        <v>2714</v>
      </c>
    </row>
    <row r="2327" spans="1:1" x14ac:dyDescent="0.25">
      <c r="A2327" t="s">
        <v>2714</v>
      </c>
    </row>
    <row r="2328" spans="1:1" x14ac:dyDescent="0.25">
      <c r="A2328" t="s">
        <v>2714</v>
      </c>
    </row>
    <row r="2329" spans="1:1" x14ac:dyDescent="0.25">
      <c r="A2329" t="s">
        <v>2714</v>
      </c>
    </row>
    <row r="2330" spans="1:1" x14ac:dyDescent="0.25">
      <c r="A2330" t="s">
        <v>2714</v>
      </c>
    </row>
    <row r="2331" spans="1:1" x14ac:dyDescent="0.25">
      <c r="A2331" t="s">
        <v>2714</v>
      </c>
    </row>
    <row r="2332" spans="1:1" x14ac:dyDescent="0.25">
      <c r="A2332" t="s">
        <v>2714</v>
      </c>
    </row>
    <row r="2333" spans="1:1" x14ac:dyDescent="0.25">
      <c r="A2333" t="s">
        <v>2686</v>
      </c>
    </row>
    <row r="2336" spans="1:1" x14ac:dyDescent="0.25">
      <c r="A2336" t="s">
        <v>3307</v>
      </c>
    </row>
    <row r="2337" spans="1:1" x14ac:dyDescent="0.25">
      <c r="A2337" t="s">
        <v>3308</v>
      </c>
    </row>
    <row r="2338" spans="1:1" x14ac:dyDescent="0.25">
      <c r="A2338" t="s">
        <v>3309</v>
      </c>
    </row>
    <row r="2339" spans="1:1" x14ac:dyDescent="0.25">
      <c r="A2339" t="s">
        <v>3310</v>
      </c>
    </row>
    <row r="2340" spans="1:1" x14ac:dyDescent="0.25">
      <c r="A2340" t="s">
        <v>3311</v>
      </c>
    </row>
    <row r="2341" spans="1:1" x14ac:dyDescent="0.25">
      <c r="A2341" t="s">
        <v>3312</v>
      </c>
    </row>
    <row r="2342" spans="1:1" x14ac:dyDescent="0.25">
      <c r="A2342" t="s">
        <v>3313</v>
      </c>
    </row>
    <row r="2343" spans="1:1" x14ac:dyDescent="0.25">
      <c r="A2343" t="s">
        <v>3314</v>
      </c>
    </row>
    <row r="2344" spans="1:1" x14ac:dyDescent="0.25">
      <c r="A2344" t="s">
        <v>3315</v>
      </c>
    </row>
    <row r="2345" spans="1:1" x14ac:dyDescent="0.25">
      <c r="A2345" t="s">
        <v>3316</v>
      </c>
    </row>
    <row r="2346" spans="1:1" x14ac:dyDescent="0.25">
      <c r="A2346" t="s">
        <v>3317</v>
      </c>
    </row>
    <row r="2347" spans="1:1" x14ac:dyDescent="0.25">
      <c r="A2347" t="s">
        <v>3318</v>
      </c>
    </row>
    <row r="2348" spans="1:1" x14ac:dyDescent="0.25">
      <c r="A2348" t="s">
        <v>3319</v>
      </c>
    </row>
    <row r="2349" spans="1:1" x14ac:dyDescent="0.25">
      <c r="A2349" t="s">
        <v>3320</v>
      </c>
    </row>
    <row r="2350" spans="1:1" x14ac:dyDescent="0.25">
      <c r="A2350" t="s">
        <v>3321</v>
      </c>
    </row>
    <row r="2351" spans="1:1" x14ac:dyDescent="0.25">
      <c r="A2351" t="s">
        <v>3322</v>
      </c>
    </row>
    <row r="2352" spans="1:1" x14ac:dyDescent="0.25">
      <c r="A2352" t="s">
        <v>3323</v>
      </c>
    </row>
    <row r="2353" spans="1:1" x14ac:dyDescent="0.25">
      <c r="A2353" t="s">
        <v>3324</v>
      </c>
    </row>
    <row r="2354" spans="1:1" x14ac:dyDescent="0.25">
      <c r="A2354" t="s">
        <v>3325</v>
      </c>
    </row>
    <row r="2355" spans="1:1" x14ac:dyDescent="0.25">
      <c r="A2355" t="s">
        <v>3326</v>
      </c>
    </row>
    <row r="2356" spans="1:1" x14ac:dyDescent="0.25">
      <c r="A2356" t="s">
        <v>3327</v>
      </c>
    </row>
    <row r="2357" spans="1:1" x14ac:dyDescent="0.25">
      <c r="A2357" t="s">
        <v>2713</v>
      </c>
    </row>
    <row r="2358" spans="1:1" x14ac:dyDescent="0.25">
      <c r="A2358" t="s">
        <v>2714</v>
      </c>
    </row>
    <row r="2359" spans="1:1" x14ac:dyDescent="0.25">
      <c r="A2359" t="s">
        <v>2714</v>
      </c>
    </row>
    <row r="2360" spans="1:1" x14ac:dyDescent="0.25">
      <c r="A2360" t="s">
        <v>2714</v>
      </c>
    </row>
    <row r="2361" spans="1:1" x14ac:dyDescent="0.25">
      <c r="A2361" t="s">
        <v>2714</v>
      </c>
    </row>
    <row r="2362" spans="1:1" x14ac:dyDescent="0.25">
      <c r="A2362" t="s">
        <v>2714</v>
      </c>
    </row>
    <row r="2363" spans="1:1" x14ac:dyDescent="0.25">
      <c r="A2363" t="s">
        <v>2714</v>
      </c>
    </row>
    <row r="2364" spans="1:1" x14ac:dyDescent="0.25">
      <c r="A2364" t="s">
        <v>2714</v>
      </c>
    </row>
    <row r="2365" spans="1:1" x14ac:dyDescent="0.25">
      <c r="A2365" t="s">
        <v>2714</v>
      </c>
    </row>
    <row r="2366" spans="1:1" x14ac:dyDescent="0.25">
      <c r="A2366" t="s">
        <v>2714</v>
      </c>
    </row>
    <row r="2367" spans="1:1" x14ac:dyDescent="0.25">
      <c r="A2367" t="s">
        <v>2714</v>
      </c>
    </row>
    <row r="2368" spans="1:1" x14ac:dyDescent="0.25">
      <c r="A2368" t="s">
        <v>2714</v>
      </c>
    </row>
    <row r="2369" spans="1:1" x14ac:dyDescent="0.25">
      <c r="A2369" t="s">
        <v>2714</v>
      </c>
    </row>
    <row r="2370" spans="1:1" x14ac:dyDescent="0.25">
      <c r="A2370" t="s">
        <v>2714</v>
      </c>
    </row>
    <row r="2371" spans="1:1" x14ac:dyDescent="0.25">
      <c r="A2371" t="s">
        <v>2714</v>
      </c>
    </row>
    <row r="2372" spans="1:1" x14ac:dyDescent="0.25">
      <c r="A2372" t="s">
        <v>2714</v>
      </c>
    </row>
    <row r="2373" spans="1:1" x14ac:dyDescent="0.25">
      <c r="A2373" t="s">
        <v>2714</v>
      </c>
    </row>
    <row r="2374" spans="1:1" x14ac:dyDescent="0.25">
      <c r="A2374" t="s">
        <v>2714</v>
      </c>
    </row>
    <row r="2375" spans="1:1" x14ac:dyDescent="0.25">
      <c r="A2375" t="s">
        <v>2714</v>
      </c>
    </row>
    <row r="2376" spans="1:1" x14ac:dyDescent="0.25">
      <c r="A2376" t="s">
        <v>2714</v>
      </c>
    </row>
    <row r="2377" spans="1:1" x14ac:dyDescent="0.25">
      <c r="A2377" t="s">
        <v>2714</v>
      </c>
    </row>
    <row r="2378" spans="1:1" x14ac:dyDescent="0.25">
      <c r="A2378" t="s">
        <v>2714</v>
      </c>
    </row>
    <row r="2379" spans="1:1" x14ac:dyDescent="0.25">
      <c r="A2379" t="s">
        <v>2714</v>
      </c>
    </row>
    <row r="2380" spans="1:1" x14ac:dyDescent="0.25">
      <c r="A2380" t="s">
        <v>2714</v>
      </c>
    </row>
    <row r="2381" spans="1:1" x14ac:dyDescent="0.25">
      <c r="A2381" t="s">
        <v>2714</v>
      </c>
    </row>
    <row r="2382" spans="1:1" x14ac:dyDescent="0.25">
      <c r="A2382" t="s">
        <v>2714</v>
      </c>
    </row>
    <row r="2383" spans="1:1" x14ac:dyDescent="0.25">
      <c r="A2383" t="s">
        <v>2714</v>
      </c>
    </row>
    <row r="2384" spans="1:1" x14ac:dyDescent="0.25">
      <c r="A2384" t="s">
        <v>2714</v>
      </c>
    </row>
    <row r="2385" spans="1:1" x14ac:dyDescent="0.25">
      <c r="A2385" t="s">
        <v>2714</v>
      </c>
    </row>
    <row r="2386" spans="1:1" x14ac:dyDescent="0.25">
      <c r="A2386" t="s">
        <v>2714</v>
      </c>
    </row>
    <row r="2387" spans="1:1" x14ac:dyDescent="0.25">
      <c r="A2387" t="s">
        <v>2714</v>
      </c>
    </row>
    <row r="2388" spans="1:1" x14ac:dyDescent="0.25">
      <c r="A2388" t="s">
        <v>2714</v>
      </c>
    </row>
    <row r="2389" spans="1:1" x14ac:dyDescent="0.25">
      <c r="A2389" t="s">
        <v>2714</v>
      </c>
    </row>
    <row r="2390" spans="1:1" x14ac:dyDescent="0.25">
      <c r="A2390" t="s">
        <v>2714</v>
      </c>
    </row>
    <row r="2391" spans="1:1" x14ac:dyDescent="0.25">
      <c r="A2391" t="s">
        <v>2714</v>
      </c>
    </row>
    <row r="2392" spans="1:1" x14ac:dyDescent="0.25">
      <c r="A2392" t="s">
        <v>2714</v>
      </c>
    </row>
    <row r="2393" spans="1:1" x14ac:dyDescent="0.25">
      <c r="A2393" t="s">
        <v>2714</v>
      </c>
    </row>
    <row r="2394" spans="1:1" x14ac:dyDescent="0.25">
      <c r="A2394" t="s">
        <v>2714</v>
      </c>
    </row>
    <row r="2395" spans="1:1" x14ac:dyDescent="0.25">
      <c r="A2395" t="s">
        <v>2714</v>
      </c>
    </row>
    <row r="2396" spans="1:1" x14ac:dyDescent="0.25">
      <c r="A2396" t="s">
        <v>2686</v>
      </c>
    </row>
    <row r="2399" spans="1:1" x14ac:dyDescent="0.25">
      <c r="A2399" t="s">
        <v>3328</v>
      </c>
    </row>
    <row r="2400" spans="1:1" x14ac:dyDescent="0.25">
      <c r="A2400" t="s">
        <v>2713</v>
      </c>
    </row>
    <row r="2401" spans="1:1" x14ac:dyDescent="0.25">
      <c r="A2401" t="s">
        <v>2714</v>
      </c>
    </row>
    <row r="2402" spans="1:1" x14ac:dyDescent="0.25">
      <c r="A2402" t="s">
        <v>2714</v>
      </c>
    </row>
    <row r="2403" spans="1:1" x14ac:dyDescent="0.25">
      <c r="A2403" t="s">
        <v>2714</v>
      </c>
    </row>
    <row r="2404" spans="1:1" x14ac:dyDescent="0.25">
      <c r="A2404" t="s">
        <v>2714</v>
      </c>
    </row>
    <row r="2405" spans="1:1" x14ac:dyDescent="0.25">
      <c r="A2405" t="s">
        <v>2714</v>
      </c>
    </row>
    <row r="2406" spans="1:1" x14ac:dyDescent="0.25">
      <c r="A2406" t="s">
        <v>2714</v>
      </c>
    </row>
    <row r="2407" spans="1:1" x14ac:dyDescent="0.25">
      <c r="A2407" t="s">
        <v>2714</v>
      </c>
    </row>
    <row r="2408" spans="1:1" x14ac:dyDescent="0.25">
      <c r="A2408" t="s">
        <v>2714</v>
      </c>
    </row>
    <row r="2409" spans="1:1" x14ac:dyDescent="0.25">
      <c r="A2409" t="s">
        <v>2714</v>
      </c>
    </row>
    <row r="2410" spans="1:1" x14ac:dyDescent="0.25">
      <c r="A2410" t="s">
        <v>2714</v>
      </c>
    </row>
    <row r="2411" spans="1:1" x14ac:dyDescent="0.25">
      <c r="A2411" t="s">
        <v>2714</v>
      </c>
    </row>
    <row r="2412" spans="1:1" x14ac:dyDescent="0.25">
      <c r="A2412" t="s">
        <v>2714</v>
      </c>
    </row>
    <row r="2413" spans="1:1" x14ac:dyDescent="0.25">
      <c r="A2413" t="s">
        <v>2714</v>
      </c>
    </row>
    <row r="2414" spans="1:1" x14ac:dyDescent="0.25">
      <c r="A2414" t="s">
        <v>2714</v>
      </c>
    </row>
    <row r="2415" spans="1:1" x14ac:dyDescent="0.25">
      <c r="A2415" t="s">
        <v>2714</v>
      </c>
    </row>
    <row r="2416" spans="1:1" x14ac:dyDescent="0.25">
      <c r="A2416" t="s">
        <v>2714</v>
      </c>
    </row>
    <row r="2417" spans="1:1" x14ac:dyDescent="0.25">
      <c r="A2417" t="s">
        <v>2714</v>
      </c>
    </row>
    <row r="2418" spans="1:1" x14ac:dyDescent="0.25">
      <c r="A2418" t="s">
        <v>2714</v>
      </c>
    </row>
    <row r="2419" spans="1:1" x14ac:dyDescent="0.25">
      <c r="A2419" t="s">
        <v>2714</v>
      </c>
    </row>
    <row r="2420" spans="1:1" x14ac:dyDescent="0.25">
      <c r="A2420" t="s">
        <v>2714</v>
      </c>
    </row>
    <row r="2421" spans="1:1" x14ac:dyDescent="0.25">
      <c r="A2421" t="s">
        <v>2714</v>
      </c>
    </row>
    <row r="2422" spans="1:1" x14ac:dyDescent="0.25">
      <c r="A2422" t="s">
        <v>2714</v>
      </c>
    </row>
    <row r="2423" spans="1:1" x14ac:dyDescent="0.25">
      <c r="A2423" t="s">
        <v>2714</v>
      </c>
    </row>
    <row r="2424" spans="1:1" x14ac:dyDescent="0.25">
      <c r="A2424" t="s">
        <v>2714</v>
      </c>
    </row>
    <row r="2425" spans="1:1" x14ac:dyDescent="0.25">
      <c r="A2425" t="s">
        <v>2714</v>
      </c>
    </row>
    <row r="2426" spans="1:1" x14ac:dyDescent="0.25">
      <c r="A2426" t="s">
        <v>2714</v>
      </c>
    </row>
    <row r="2427" spans="1:1" x14ac:dyDescent="0.25">
      <c r="A2427" t="s">
        <v>2714</v>
      </c>
    </row>
    <row r="2428" spans="1:1" x14ac:dyDescent="0.25">
      <c r="A2428" t="s">
        <v>2714</v>
      </c>
    </row>
    <row r="2429" spans="1:1" x14ac:dyDescent="0.25">
      <c r="A2429" t="s">
        <v>2714</v>
      </c>
    </row>
    <row r="2430" spans="1:1" x14ac:dyDescent="0.25">
      <c r="A2430" t="s">
        <v>2714</v>
      </c>
    </row>
    <row r="2431" spans="1:1" x14ac:dyDescent="0.25">
      <c r="A2431" t="s">
        <v>2714</v>
      </c>
    </row>
    <row r="2432" spans="1:1" x14ac:dyDescent="0.25">
      <c r="A2432" t="s">
        <v>2714</v>
      </c>
    </row>
    <row r="2433" spans="1:1" x14ac:dyDescent="0.25">
      <c r="A2433" t="s">
        <v>2714</v>
      </c>
    </row>
    <row r="2434" spans="1:1" x14ac:dyDescent="0.25">
      <c r="A2434" t="s">
        <v>2714</v>
      </c>
    </row>
    <row r="2435" spans="1:1" x14ac:dyDescent="0.25">
      <c r="A2435" t="s">
        <v>2714</v>
      </c>
    </row>
    <row r="2436" spans="1:1" x14ac:dyDescent="0.25">
      <c r="A2436" t="s">
        <v>2714</v>
      </c>
    </row>
    <row r="2437" spans="1:1" x14ac:dyDescent="0.25">
      <c r="A2437" t="s">
        <v>2714</v>
      </c>
    </row>
    <row r="2438" spans="1:1" x14ac:dyDescent="0.25">
      <c r="A2438" t="s">
        <v>2714</v>
      </c>
    </row>
    <row r="2439" spans="1:1" x14ac:dyDescent="0.25">
      <c r="A2439" t="s">
        <v>2714</v>
      </c>
    </row>
    <row r="2440" spans="1:1" x14ac:dyDescent="0.25">
      <c r="A2440" t="s">
        <v>2714</v>
      </c>
    </row>
    <row r="2441" spans="1:1" x14ac:dyDescent="0.25">
      <c r="A2441" t="s">
        <v>2714</v>
      </c>
    </row>
    <row r="2442" spans="1:1" x14ac:dyDescent="0.25">
      <c r="A2442" t="s">
        <v>2714</v>
      </c>
    </row>
    <row r="2443" spans="1:1" x14ac:dyDescent="0.25">
      <c r="A2443" t="s">
        <v>2714</v>
      </c>
    </row>
    <row r="2444" spans="1:1" x14ac:dyDescent="0.25">
      <c r="A2444" t="s">
        <v>2714</v>
      </c>
    </row>
    <row r="2445" spans="1:1" x14ac:dyDescent="0.25">
      <c r="A2445" t="s">
        <v>2714</v>
      </c>
    </row>
    <row r="2446" spans="1:1" x14ac:dyDescent="0.25">
      <c r="A2446" t="s">
        <v>2714</v>
      </c>
    </row>
    <row r="2447" spans="1:1" x14ac:dyDescent="0.25">
      <c r="A2447" t="s">
        <v>2714</v>
      </c>
    </row>
    <row r="2448" spans="1:1" x14ac:dyDescent="0.25">
      <c r="A2448" t="s">
        <v>2714</v>
      </c>
    </row>
    <row r="2449" spans="1:1" x14ac:dyDescent="0.25">
      <c r="A2449" t="s">
        <v>2714</v>
      </c>
    </row>
    <row r="2450" spans="1:1" x14ac:dyDescent="0.25">
      <c r="A2450" t="s">
        <v>2714</v>
      </c>
    </row>
    <row r="2451" spans="1:1" x14ac:dyDescent="0.25">
      <c r="A2451" t="s">
        <v>2714</v>
      </c>
    </row>
    <row r="2452" spans="1:1" x14ac:dyDescent="0.25">
      <c r="A2452" t="s">
        <v>2714</v>
      </c>
    </row>
    <row r="2453" spans="1:1" x14ac:dyDescent="0.25">
      <c r="A2453" t="s">
        <v>2714</v>
      </c>
    </row>
    <row r="2454" spans="1:1" x14ac:dyDescent="0.25">
      <c r="A2454" t="s">
        <v>2714</v>
      </c>
    </row>
    <row r="2455" spans="1:1" x14ac:dyDescent="0.25">
      <c r="A2455" t="s">
        <v>2714</v>
      </c>
    </row>
    <row r="2456" spans="1:1" x14ac:dyDescent="0.25">
      <c r="A2456" t="s">
        <v>2714</v>
      </c>
    </row>
    <row r="2457" spans="1:1" x14ac:dyDescent="0.25">
      <c r="A2457" t="s">
        <v>2714</v>
      </c>
    </row>
    <row r="2458" spans="1:1" x14ac:dyDescent="0.25">
      <c r="A2458" t="s">
        <v>2714</v>
      </c>
    </row>
    <row r="2459" spans="1:1" x14ac:dyDescent="0.25">
      <c r="A2459" t="s">
        <v>2686</v>
      </c>
    </row>
    <row r="2462" spans="1:1" x14ac:dyDescent="0.25">
      <c r="A2462" t="s">
        <v>3329</v>
      </c>
    </row>
    <row r="2463" spans="1:1" x14ac:dyDescent="0.25">
      <c r="A2463" t="s">
        <v>3330</v>
      </c>
    </row>
    <row r="2464" spans="1:1" x14ac:dyDescent="0.25">
      <c r="A2464" t="s">
        <v>3331</v>
      </c>
    </row>
    <row r="2465" spans="1:1" x14ac:dyDescent="0.25">
      <c r="A2465" t="s">
        <v>3331</v>
      </c>
    </row>
    <row r="2466" spans="1:1" x14ac:dyDescent="0.25">
      <c r="A2466" t="s">
        <v>3332</v>
      </c>
    </row>
    <row r="2467" spans="1:1" x14ac:dyDescent="0.25">
      <c r="A2467" t="s">
        <v>3332</v>
      </c>
    </row>
    <row r="2468" spans="1:1" x14ac:dyDescent="0.25">
      <c r="A2468" t="s">
        <v>3333</v>
      </c>
    </row>
    <row r="2469" spans="1:1" x14ac:dyDescent="0.25">
      <c r="A2469" t="s">
        <v>3334</v>
      </c>
    </row>
    <row r="2470" spans="1:1" x14ac:dyDescent="0.25">
      <c r="A2470" t="s">
        <v>3335</v>
      </c>
    </row>
    <row r="2471" spans="1:1" x14ac:dyDescent="0.25">
      <c r="A2471" t="s">
        <v>2713</v>
      </c>
    </row>
    <row r="2472" spans="1:1" x14ac:dyDescent="0.25">
      <c r="A2472" t="s">
        <v>2714</v>
      </c>
    </row>
    <row r="2473" spans="1:1" x14ac:dyDescent="0.25">
      <c r="A2473" t="s">
        <v>2714</v>
      </c>
    </row>
    <row r="2474" spans="1:1" x14ac:dyDescent="0.25">
      <c r="A2474" t="s">
        <v>2714</v>
      </c>
    </row>
    <row r="2475" spans="1:1" x14ac:dyDescent="0.25">
      <c r="A2475" t="s">
        <v>2714</v>
      </c>
    </row>
    <row r="2476" spans="1:1" x14ac:dyDescent="0.25">
      <c r="A2476" t="s">
        <v>2714</v>
      </c>
    </row>
    <row r="2477" spans="1:1" x14ac:dyDescent="0.25">
      <c r="A2477" t="s">
        <v>2714</v>
      </c>
    </row>
    <row r="2478" spans="1:1" x14ac:dyDescent="0.25">
      <c r="A2478" t="s">
        <v>2714</v>
      </c>
    </row>
    <row r="2479" spans="1:1" x14ac:dyDescent="0.25">
      <c r="A2479" t="s">
        <v>2714</v>
      </c>
    </row>
    <row r="2480" spans="1:1" x14ac:dyDescent="0.25">
      <c r="A2480" t="s">
        <v>2714</v>
      </c>
    </row>
    <row r="2481" spans="1:1" x14ac:dyDescent="0.25">
      <c r="A2481" t="s">
        <v>2714</v>
      </c>
    </row>
    <row r="2482" spans="1:1" x14ac:dyDescent="0.25">
      <c r="A2482" t="s">
        <v>2714</v>
      </c>
    </row>
    <row r="2483" spans="1:1" x14ac:dyDescent="0.25">
      <c r="A2483" t="s">
        <v>2714</v>
      </c>
    </row>
    <row r="2484" spans="1:1" x14ac:dyDescent="0.25">
      <c r="A2484" t="s">
        <v>2714</v>
      </c>
    </row>
    <row r="2485" spans="1:1" x14ac:dyDescent="0.25">
      <c r="A2485" t="s">
        <v>2714</v>
      </c>
    </row>
    <row r="2486" spans="1:1" x14ac:dyDescent="0.25">
      <c r="A2486" t="s">
        <v>2714</v>
      </c>
    </row>
    <row r="2487" spans="1:1" x14ac:dyDescent="0.25">
      <c r="A2487" t="s">
        <v>2714</v>
      </c>
    </row>
    <row r="2488" spans="1:1" x14ac:dyDescent="0.25">
      <c r="A2488" t="s">
        <v>2714</v>
      </c>
    </row>
    <row r="2489" spans="1:1" x14ac:dyDescent="0.25">
      <c r="A2489" t="s">
        <v>2714</v>
      </c>
    </row>
    <row r="2490" spans="1:1" x14ac:dyDescent="0.25">
      <c r="A2490" t="s">
        <v>2714</v>
      </c>
    </row>
    <row r="2491" spans="1:1" x14ac:dyDescent="0.25">
      <c r="A2491" t="s">
        <v>2714</v>
      </c>
    </row>
    <row r="2492" spans="1:1" x14ac:dyDescent="0.25">
      <c r="A2492" t="s">
        <v>2714</v>
      </c>
    </row>
    <row r="2493" spans="1:1" x14ac:dyDescent="0.25">
      <c r="A2493" t="s">
        <v>2714</v>
      </c>
    </row>
    <row r="2494" spans="1:1" x14ac:dyDescent="0.25">
      <c r="A2494" t="s">
        <v>2714</v>
      </c>
    </row>
    <row r="2495" spans="1:1" x14ac:dyDescent="0.25">
      <c r="A2495" t="s">
        <v>2714</v>
      </c>
    </row>
    <row r="2496" spans="1:1" x14ac:dyDescent="0.25">
      <c r="A2496" t="s">
        <v>2714</v>
      </c>
    </row>
    <row r="2497" spans="1:1" x14ac:dyDescent="0.25">
      <c r="A2497" t="s">
        <v>2714</v>
      </c>
    </row>
    <row r="2498" spans="1:1" x14ac:dyDescent="0.25">
      <c r="A2498" t="s">
        <v>2714</v>
      </c>
    </row>
    <row r="2499" spans="1:1" x14ac:dyDescent="0.25">
      <c r="A2499" t="s">
        <v>2714</v>
      </c>
    </row>
    <row r="2500" spans="1:1" x14ac:dyDescent="0.25">
      <c r="A2500" t="s">
        <v>2714</v>
      </c>
    </row>
    <row r="2501" spans="1:1" x14ac:dyDescent="0.25">
      <c r="A2501" t="s">
        <v>2714</v>
      </c>
    </row>
    <row r="2502" spans="1:1" x14ac:dyDescent="0.25">
      <c r="A2502" t="s">
        <v>2714</v>
      </c>
    </row>
    <row r="2503" spans="1:1" x14ac:dyDescent="0.25">
      <c r="A2503" t="s">
        <v>2714</v>
      </c>
    </row>
    <row r="2504" spans="1:1" x14ac:dyDescent="0.25">
      <c r="A2504" t="s">
        <v>2714</v>
      </c>
    </row>
    <row r="2505" spans="1:1" x14ac:dyDescent="0.25">
      <c r="A2505" t="s">
        <v>2714</v>
      </c>
    </row>
    <row r="2506" spans="1:1" x14ac:dyDescent="0.25">
      <c r="A2506" t="s">
        <v>2714</v>
      </c>
    </row>
    <row r="2507" spans="1:1" x14ac:dyDescent="0.25">
      <c r="A2507" t="s">
        <v>2714</v>
      </c>
    </row>
    <row r="2508" spans="1:1" x14ac:dyDescent="0.25">
      <c r="A2508" t="s">
        <v>2714</v>
      </c>
    </row>
    <row r="2509" spans="1:1" x14ac:dyDescent="0.25">
      <c r="A2509" t="s">
        <v>2714</v>
      </c>
    </row>
    <row r="2510" spans="1:1" x14ac:dyDescent="0.25">
      <c r="A2510" t="s">
        <v>2714</v>
      </c>
    </row>
    <row r="2511" spans="1:1" x14ac:dyDescent="0.25">
      <c r="A2511" t="s">
        <v>2714</v>
      </c>
    </row>
    <row r="2512" spans="1:1" x14ac:dyDescent="0.25">
      <c r="A2512" t="s">
        <v>2714</v>
      </c>
    </row>
    <row r="2513" spans="1:1" x14ac:dyDescent="0.25">
      <c r="A2513" t="s">
        <v>2714</v>
      </c>
    </row>
    <row r="2514" spans="1:1" x14ac:dyDescent="0.25">
      <c r="A2514" t="s">
        <v>2714</v>
      </c>
    </row>
    <row r="2515" spans="1:1" x14ac:dyDescent="0.25">
      <c r="A2515" t="s">
        <v>2714</v>
      </c>
    </row>
    <row r="2516" spans="1:1" x14ac:dyDescent="0.25">
      <c r="A2516" t="s">
        <v>2714</v>
      </c>
    </row>
    <row r="2517" spans="1:1" x14ac:dyDescent="0.25">
      <c r="A2517" t="s">
        <v>2714</v>
      </c>
    </row>
    <row r="2518" spans="1:1" x14ac:dyDescent="0.25">
      <c r="A2518" t="s">
        <v>2714</v>
      </c>
    </row>
    <row r="2519" spans="1:1" x14ac:dyDescent="0.25">
      <c r="A2519" t="s">
        <v>2714</v>
      </c>
    </row>
    <row r="2520" spans="1:1" x14ac:dyDescent="0.25">
      <c r="A2520" t="s">
        <v>2714</v>
      </c>
    </row>
    <row r="2521" spans="1:1" x14ac:dyDescent="0.25">
      <c r="A2521" t="s">
        <v>2714</v>
      </c>
    </row>
    <row r="2522" spans="1:1" x14ac:dyDescent="0.25">
      <c r="A2522" t="s">
        <v>2686</v>
      </c>
    </row>
    <row r="2525" spans="1:1" x14ac:dyDescent="0.25">
      <c r="A2525" t="s">
        <v>3336</v>
      </c>
    </row>
    <row r="2526" spans="1:1" x14ac:dyDescent="0.25">
      <c r="A2526" t="s">
        <v>3337</v>
      </c>
    </row>
    <row r="2527" spans="1:1" x14ac:dyDescent="0.25">
      <c r="A2527" t="s">
        <v>3338</v>
      </c>
    </row>
    <row r="2528" spans="1:1" x14ac:dyDescent="0.25">
      <c r="A2528" t="s">
        <v>3339</v>
      </c>
    </row>
    <row r="2529" spans="1:1" x14ac:dyDescent="0.25">
      <c r="A2529" t="s">
        <v>3340</v>
      </c>
    </row>
    <row r="2530" spans="1:1" x14ac:dyDescent="0.25">
      <c r="A2530" t="s">
        <v>2713</v>
      </c>
    </row>
    <row r="2531" spans="1:1" x14ac:dyDescent="0.25">
      <c r="A2531" t="s">
        <v>2714</v>
      </c>
    </row>
    <row r="2532" spans="1:1" x14ac:dyDescent="0.25">
      <c r="A2532" t="s">
        <v>2714</v>
      </c>
    </row>
    <row r="2533" spans="1:1" x14ac:dyDescent="0.25">
      <c r="A2533" t="s">
        <v>2714</v>
      </c>
    </row>
    <row r="2534" spans="1:1" x14ac:dyDescent="0.25">
      <c r="A2534" t="s">
        <v>2714</v>
      </c>
    </row>
    <row r="2535" spans="1:1" x14ac:dyDescent="0.25">
      <c r="A2535" t="s">
        <v>2714</v>
      </c>
    </row>
    <row r="2536" spans="1:1" x14ac:dyDescent="0.25">
      <c r="A2536" t="s">
        <v>2714</v>
      </c>
    </row>
    <row r="2537" spans="1:1" x14ac:dyDescent="0.25">
      <c r="A2537" t="s">
        <v>2714</v>
      </c>
    </row>
    <row r="2538" spans="1:1" x14ac:dyDescent="0.25">
      <c r="A2538" t="s">
        <v>2714</v>
      </c>
    </row>
    <row r="2539" spans="1:1" x14ac:dyDescent="0.25">
      <c r="A2539" t="s">
        <v>2714</v>
      </c>
    </row>
    <row r="2540" spans="1:1" x14ac:dyDescent="0.25">
      <c r="A2540" t="s">
        <v>2714</v>
      </c>
    </row>
    <row r="2541" spans="1:1" x14ac:dyDescent="0.25">
      <c r="A2541" t="s">
        <v>2714</v>
      </c>
    </row>
    <row r="2542" spans="1:1" x14ac:dyDescent="0.25">
      <c r="A2542" t="s">
        <v>2714</v>
      </c>
    </row>
    <row r="2543" spans="1:1" x14ac:dyDescent="0.25">
      <c r="A2543" t="s">
        <v>2714</v>
      </c>
    </row>
    <row r="2544" spans="1:1" x14ac:dyDescent="0.25">
      <c r="A2544" t="s">
        <v>2714</v>
      </c>
    </row>
    <row r="2545" spans="1:1" x14ac:dyDescent="0.25">
      <c r="A2545" t="s">
        <v>2714</v>
      </c>
    </row>
    <row r="2546" spans="1:1" x14ac:dyDescent="0.25">
      <c r="A2546" t="s">
        <v>2714</v>
      </c>
    </row>
    <row r="2547" spans="1:1" x14ac:dyDescent="0.25">
      <c r="A2547" t="s">
        <v>2714</v>
      </c>
    </row>
    <row r="2548" spans="1:1" x14ac:dyDescent="0.25">
      <c r="A2548" t="s">
        <v>2714</v>
      </c>
    </row>
    <row r="2549" spans="1:1" x14ac:dyDescent="0.25">
      <c r="A2549" t="s">
        <v>2714</v>
      </c>
    </row>
    <row r="2550" spans="1:1" x14ac:dyDescent="0.25">
      <c r="A2550" t="s">
        <v>2714</v>
      </c>
    </row>
    <row r="2551" spans="1:1" x14ac:dyDescent="0.25">
      <c r="A2551" t="s">
        <v>2714</v>
      </c>
    </row>
    <row r="2552" spans="1:1" x14ac:dyDescent="0.25">
      <c r="A2552" t="s">
        <v>2714</v>
      </c>
    </row>
    <row r="2553" spans="1:1" x14ac:dyDescent="0.25">
      <c r="A2553" t="s">
        <v>2714</v>
      </c>
    </row>
    <row r="2554" spans="1:1" x14ac:dyDescent="0.25">
      <c r="A2554" t="s">
        <v>2714</v>
      </c>
    </row>
    <row r="2555" spans="1:1" x14ac:dyDescent="0.25">
      <c r="A2555" t="s">
        <v>2714</v>
      </c>
    </row>
    <row r="2556" spans="1:1" x14ac:dyDescent="0.25">
      <c r="A2556" t="s">
        <v>2714</v>
      </c>
    </row>
    <row r="2557" spans="1:1" x14ac:dyDescent="0.25">
      <c r="A2557" t="s">
        <v>2714</v>
      </c>
    </row>
    <row r="2558" spans="1:1" x14ac:dyDescent="0.25">
      <c r="A2558" t="s">
        <v>2714</v>
      </c>
    </row>
    <row r="2559" spans="1:1" x14ac:dyDescent="0.25">
      <c r="A2559" t="s">
        <v>2714</v>
      </c>
    </row>
    <row r="2560" spans="1:1" x14ac:dyDescent="0.25">
      <c r="A2560" t="s">
        <v>2714</v>
      </c>
    </row>
    <row r="2561" spans="1:1" x14ac:dyDescent="0.25">
      <c r="A2561" t="s">
        <v>2714</v>
      </c>
    </row>
    <row r="2562" spans="1:1" x14ac:dyDescent="0.25">
      <c r="A2562" t="s">
        <v>2714</v>
      </c>
    </row>
    <row r="2563" spans="1:1" x14ac:dyDescent="0.25">
      <c r="A2563" t="s">
        <v>2714</v>
      </c>
    </row>
    <row r="2564" spans="1:1" x14ac:dyDescent="0.25">
      <c r="A2564" t="s">
        <v>2714</v>
      </c>
    </row>
    <row r="2565" spans="1:1" x14ac:dyDescent="0.25">
      <c r="A2565" t="s">
        <v>2714</v>
      </c>
    </row>
    <row r="2566" spans="1:1" x14ac:dyDescent="0.25">
      <c r="A2566" t="s">
        <v>2714</v>
      </c>
    </row>
    <row r="2567" spans="1:1" x14ac:dyDescent="0.25">
      <c r="A2567" t="s">
        <v>2714</v>
      </c>
    </row>
    <row r="2568" spans="1:1" x14ac:dyDescent="0.25">
      <c r="A2568" t="s">
        <v>2714</v>
      </c>
    </row>
    <row r="2569" spans="1:1" x14ac:dyDescent="0.25">
      <c r="A2569" t="s">
        <v>2714</v>
      </c>
    </row>
    <row r="2570" spans="1:1" x14ac:dyDescent="0.25">
      <c r="A2570" t="s">
        <v>2714</v>
      </c>
    </row>
    <row r="2571" spans="1:1" x14ac:dyDescent="0.25">
      <c r="A2571" t="s">
        <v>2714</v>
      </c>
    </row>
    <row r="2572" spans="1:1" x14ac:dyDescent="0.25">
      <c r="A2572" t="s">
        <v>2714</v>
      </c>
    </row>
    <row r="2573" spans="1:1" x14ac:dyDescent="0.25">
      <c r="A2573" t="s">
        <v>2714</v>
      </c>
    </row>
    <row r="2574" spans="1:1" x14ac:dyDescent="0.25">
      <c r="A2574" t="s">
        <v>2714</v>
      </c>
    </row>
    <row r="2575" spans="1:1" x14ac:dyDescent="0.25">
      <c r="A2575" t="s">
        <v>2714</v>
      </c>
    </row>
    <row r="2576" spans="1:1" x14ac:dyDescent="0.25">
      <c r="A2576" t="s">
        <v>2714</v>
      </c>
    </row>
    <row r="2577" spans="1:1" x14ac:dyDescent="0.25">
      <c r="A2577" t="s">
        <v>2714</v>
      </c>
    </row>
    <row r="2578" spans="1:1" x14ac:dyDescent="0.25">
      <c r="A2578" t="s">
        <v>2714</v>
      </c>
    </row>
    <row r="2579" spans="1:1" x14ac:dyDescent="0.25">
      <c r="A2579" t="s">
        <v>2714</v>
      </c>
    </row>
    <row r="2580" spans="1:1" x14ac:dyDescent="0.25">
      <c r="A2580" t="s">
        <v>2714</v>
      </c>
    </row>
    <row r="2581" spans="1:1" x14ac:dyDescent="0.25">
      <c r="A2581" t="s">
        <v>2714</v>
      </c>
    </row>
    <row r="2582" spans="1:1" x14ac:dyDescent="0.25">
      <c r="A2582" t="s">
        <v>2714</v>
      </c>
    </row>
    <row r="2583" spans="1:1" x14ac:dyDescent="0.25">
      <c r="A2583" t="s">
        <v>2714</v>
      </c>
    </row>
    <row r="2584" spans="1:1" x14ac:dyDescent="0.25">
      <c r="A2584" t="s">
        <v>2714</v>
      </c>
    </row>
    <row r="2585" spans="1:1" x14ac:dyDescent="0.25">
      <c r="A2585" t="s">
        <v>2686</v>
      </c>
    </row>
    <row r="2588" spans="1:1" x14ac:dyDescent="0.25">
      <c r="A2588" t="s">
        <v>3341</v>
      </c>
    </row>
    <row r="2589" spans="1:1" x14ac:dyDescent="0.25">
      <c r="A2589" t="s">
        <v>3342</v>
      </c>
    </row>
    <row r="2590" spans="1:1" x14ac:dyDescent="0.25">
      <c r="A2590" t="s">
        <v>2713</v>
      </c>
    </row>
    <row r="2591" spans="1:1" x14ac:dyDescent="0.25">
      <c r="A2591" t="s">
        <v>2714</v>
      </c>
    </row>
    <row r="2592" spans="1:1" x14ac:dyDescent="0.25">
      <c r="A2592" t="s">
        <v>2714</v>
      </c>
    </row>
    <row r="2593" spans="1:1" x14ac:dyDescent="0.25">
      <c r="A2593" t="s">
        <v>2714</v>
      </c>
    </row>
    <row r="2594" spans="1:1" x14ac:dyDescent="0.25">
      <c r="A2594" t="s">
        <v>2714</v>
      </c>
    </row>
    <row r="2595" spans="1:1" x14ac:dyDescent="0.25">
      <c r="A2595" t="s">
        <v>2714</v>
      </c>
    </row>
    <row r="2596" spans="1:1" x14ac:dyDescent="0.25">
      <c r="A2596" t="s">
        <v>2714</v>
      </c>
    </row>
    <row r="2597" spans="1:1" x14ac:dyDescent="0.25">
      <c r="A2597" t="s">
        <v>2714</v>
      </c>
    </row>
    <row r="2598" spans="1:1" x14ac:dyDescent="0.25">
      <c r="A2598" t="s">
        <v>2714</v>
      </c>
    </row>
    <row r="2599" spans="1:1" x14ac:dyDescent="0.25">
      <c r="A2599" t="s">
        <v>2714</v>
      </c>
    </row>
    <row r="2600" spans="1:1" x14ac:dyDescent="0.25">
      <c r="A2600" t="s">
        <v>2714</v>
      </c>
    </row>
    <row r="2601" spans="1:1" x14ac:dyDescent="0.25">
      <c r="A2601" t="s">
        <v>2714</v>
      </c>
    </row>
    <row r="2602" spans="1:1" x14ac:dyDescent="0.25">
      <c r="A2602" t="s">
        <v>2714</v>
      </c>
    </row>
    <row r="2603" spans="1:1" x14ac:dyDescent="0.25">
      <c r="A2603" t="s">
        <v>2714</v>
      </c>
    </row>
    <row r="2604" spans="1:1" x14ac:dyDescent="0.25">
      <c r="A2604" t="s">
        <v>2714</v>
      </c>
    </row>
    <row r="2605" spans="1:1" x14ac:dyDescent="0.25">
      <c r="A2605" t="s">
        <v>2714</v>
      </c>
    </row>
    <row r="2606" spans="1:1" x14ac:dyDescent="0.25">
      <c r="A2606" t="s">
        <v>2714</v>
      </c>
    </row>
    <row r="2607" spans="1:1" x14ac:dyDescent="0.25">
      <c r="A2607" t="s">
        <v>2714</v>
      </c>
    </row>
    <row r="2608" spans="1:1" x14ac:dyDescent="0.25">
      <c r="A2608" t="s">
        <v>2714</v>
      </c>
    </row>
    <row r="2609" spans="1:1" x14ac:dyDescent="0.25">
      <c r="A2609" t="s">
        <v>2714</v>
      </c>
    </row>
    <row r="2610" spans="1:1" x14ac:dyDescent="0.25">
      <c r="A2610" t="s">
        <v>2714</v>
      </c>
    </row>
    <row r="2611" spans="1:1" x14ac:dyDescent="0.25">
      <c r="A2611" t="s">
        <v>2714</v>
      </c>
    </row>
    <row r="2612" spans="1:1" x14ac:dyDescent="0.25">
      <c r="A2612" t="s">
        <v>2714</v>
      </c>
    </row>
    <row r="2613" spans="1:1" x14ac:dyDescent="0.25">
      <c r="A2613" t="s">
        <v>2714</v>
      </c>
    </row>
    <row r="2614" spans="1:1" x14ac:dyDescent="0.25">
      <c r="A2614" t="s">
        <v>2714</v>
      </c>
    </row>
    <row r="2615" spans="1:1" x14ac:dyDescent="0.25">
      <c r="A2615" t="s">
        <v>2714</v>
      </c>
    </row>
    <row r="2616" spans="1:1" x14ac:dyDescent="0.25">
      <c r="A2616" t="s">
        <v>2714</v>
      </c>
    </row>
    <row r="2617" spans="1:1" x14ac:dyDescent="0.25">
      <c r="A2617" t="s">
        <v>2714</v>
      </c>
    </row>
    <row r="2618" spans="1:1" x14ac:dyDescent="0.25">
      <c r="A2618" t="s">
        <v>2714</v>
      </c>
    </row>
    <row r="2619" spans="1:1" x14ac:dyDescent="0.25">
      <c r="A2619" t="s">
        <v>2714</v>
      </c>
    </row>
    <row r="2620" spans="1:1" x14ac:dyDescent="0.25">
      <c r="A2620" t="s">
        <v>2714</v>
      </c>
    </row>
    <row r="2621" spans="1:1" x14ac:dyDescent="0.25">
      <c r="A2621" t="s">
        <v>2714</v>
      </c>
    </row>
    <row r="2622" spans="1:1" x14ac:dyDescent="0.25">
      <c r="A2622" t="s">
        <v>2714</v>
      </c>
    </row>
    <row r="2623" spans="1:1" x14ac:dyDescent="0.25">
      <c r="A2623" t="s">
        <v>2714</v>
      </c>
    </row>
    <row r="2624" spans="1:1" x14ac:dyDescent="0.25">
      <c r="A2624" t="s">
        <v>2714</v>
      </c>
    </row>
    <row r="2625" spans="1:1" x14ac:dyDescent="0.25">
      <c r="A2625" t="s">
        <v>2714</v>
      </c>
    </row>
    <row r="2626" spans="1:1" x14ac:dyDescent="0.25">
      <c r="A2626" t="s">
        <v>2714</v>
      </c>
    </row>
    <row r="2627" spans="1:1" x14ac:dyDescent="0.25">
      <c r="A2627" t="s">
        <v>2714</v>
      </c>
    </row>
    <row r="2628" spans="1:1" x14ac:dyDescent="0.25">
      <c r="A2628" t="s">
        <v>2714</v>
      </c>
    </row>
    <row r="2629" spans="1:1" x14ac:dyDescent="0.25">
      <c r="A2629" t="s">
        <v>2714</v>
      </c>
    </row>
    <row r="2630" spans="1:1" x14ac:dyDescent="0.25">
      <c r="A2630" t="s">
        <v>2714</v>
      </c>
    </row>
    <row r="2631" spans="1:1" x14ac:dyDescent="0.25">
      <c r="A2631" t="s">
        <v>2714</v>
      </c>
    </row>
    <row r="2632" spans="1:1" x14ac:dyDescent="0.25">
      <c r="A2632" t="s">
        <v>2714</v>
      </c>
    </row>
    <row r="2633" spans="1:1" x14ac:dyDescent="0.25">
      <c r="A2633" t="s">
        <v>2714</v>
      </c>
    </row>
    <row r="2634" spans="1:1" x14ac:dyDescent="0.25">
      <c r="A2634" t="s">
        <v>2714</v>
      </c>
    </row>
    <row r="2635" spans="1:1" x14ac:dyDescent="0.25">
      <c r="A2635" t="s">
        <v>2714</v>
      </c>
    </row>
    <row r="2636" spans="1:1" x14ac:dyDescent="0.25">
      <c r="A2636" t="s">
        <v>2714</v>
      </c>
    </row>
    <row r="2637" spans="1:1" x14ac:dyDescent="0.25">
      <c r="A2637" t="s">
        <v>2714</v>
      </c>
    </row>
    <row r="2638" spans="1:1" x14ac:dyDescent="0.25">
      <c r="A2638" t="s">
        <v>2714</v>
      </c>
    </row>
    <row r="2639" spans="1:1" x14ac:dyDescent="0.25">
      <c r="A2639" t="s">
        <v>2714</v>
      </c>
    </row>
    <row r="2640" spans="1:1" x14ac:dyDescent="0.25">
      <c r="A2640" t="s">
        <v>2714</v>
      </c>
    </row>
    <row r="2641" spans="1:1" x14ac:dyDescent="0.25">
      <c r="A2641" t="s">
        <v>2714</v>
      </c>
    </row>
    <row r="2642" spans="1:1" x14ac:dyDescent="0.25">
      <c r="A2642" t="s">
        <v>2714</v>
      </c>
    </row>
    <row r="2643" spans="1:1" x14ac:dyDescent="0.25">
      <c r="A2643" t="s">
        <v>2714</v>
      </c>
    </row>
    <row r="2644" spans="1:1" x14ac:dyDescent="0.25">
      <c r="A2644" t="s">
        <v>2714</v>
      </c>
    </row>
    <row r="2645" spans="1:1" x14ac:dyDescent="0.25">
      <c r="A2645" t="s">
        <v>2714</v>
      </c>
    </row>
    <row r="2646" spans="1:1" x14ac:dyDescent="0.25">
      <c r="A2646" t="s">
        <v>2714</v>
      </c>
    </row>
    <row r="2647" spans="1:1" x14ac:dyDescent="0.25">
      <c r="A2647" t="s">
        <v>2714</v>
      </c>
    </row>
    <row r="2648" spans="1:1" x14ac:dyDescent="0.25">
      <c r="A2648" t="s">
        <v>2686</v>
      </c>
    </row>
    <row r="2651" spans="1:1" x14ac:dyDescent="0.25">
      <c r="A2651" t="s">
        <v>3343</v>
      </c>
    </row>
    <row r="2652" spans="1:1" x14ac:dyDescent="0.25">
      <c r="A2652" t="s">
        <v>2713</v>
      </c>
    </row>
    <row r="2653" spans="1:1" x14ac:dyDescent="0.25">
      <c r="A2653" t="s">
        <v>2714</v>
      </c>
    </row>
    <row r="2654" spans="1:1" x14ac:dyDescent="0.25">
      <c r="A2654" t="s">
        <v>2714</v>
      </c>
    </row>
    <row r="2655" spans="1:1" x14ac:dyDescent="0.25">
      <c r="A2655" t="s">
        <v>2714</v>
      </c>
    </row>
    <row r="2656" spans="1:1" x14ac:dyDescent="0.25">
      <c r="A2656" t="s">
        <v>2714</v>
      </c>
    </row>
    <row r="2657" spans="1:1" x14ac:dyDescent="0.25">
      <c r="A2657" t="s">
        <v>2714</v>
      </c>
    </row>
    <row r="2658" spans="1:1" x14ac:dyDescent="0.25">
      <c r="A2658" t="s">
        <v>2714</v>
      </c>
    </row>
    <row r="2659" spans="1:1" x14ac:dyDescent="0.25">
      <c r="A2659" t="s">
        <v>2714</v>
      </c>
    </row>
    <row r="2660" spans="1:1" x14ac:dyDescent="0.25">
      <c r="A2660" t="s">
        <v>2714</v>
      </c>
    </row>
    <row r="2661" spans="1:1" x14ac:dyDescent="0.25">
      <c r="A2661" t="s">
        <v>2714</v>
      </c>
    </row>
    <row r="2662" spans="1:1" x14ac:dyDescent="0.25">
      <c r="A2662" t="s">
        <v>2714</v>
      </c>
    </row>
    <row r="2663" spans="1:1" x14ac:dyDescent="0.25">
      <c r="A2663" t="s">
        <v>2714</v>
      </c>
    </row>
    <row r="2664" spans="1:1" x14ac:dyDescent="0.25">
      <c r="A2664" t="s">
        <v>2714</v>
      </c>
    </row>
    <row r="2665" spans="1:1" x14ac:dyDescent="0.25">
      <c r="A2665" t="s">
        <v>2714</v>
      </c>
    </row>
    <row r="2666" spans="1:1" x14ac:dyDescent="0.25">
      <c r="A2666" t="s">
        <v>2714</v>
      </c>
    </row>
    <row r="2667" spans="1:1" x14ac:dyDescent="0.25">
      <c r="A2667" t="s">
        <v>2714</v>
      </c>
    </row>
    <row r="2668" spans="1:1" x14ac:dyDescent="0.25">
      <c r="A2668" t="s">
        <v>2714</v>
      </c>
    </row>
    <row r="2669" spans="1:1" x14ac:dyDescent="0.25">
      <c r="A2669" t="s">
        <v>2714</v>
      </c>
    </row>
    <row r="2670" spans="1:1" x14ac:dyDescent="0.25">
      <c r="A2670" t="s">
        <v>2714</v>
      </c>
    </row>
    <row r="2671" spans="1:1" x14ac:dyDescent="0.25">
      <c r="A2671" t="s">
        <v>2714</v>
      </c>
    </row>
    <row r="2672" spans="1:1" x14ac:dyDescent="0.25">
      <c r="A2672" t="s">
        <v>2714</v>
      </c>
    </row>
    <row r="2673" spans="1:1" x14ac:dyDescent="0.25">
      <c r="A2673" t="s">
        <v>2714</v>
      </c>
    </row>
    <row r="2674" spans="1:1" x14ac:dyDescent="0.25">
      <c r="A2674" t="s">
        <v>2714</v>
      </c>
    </row>
    <row r="2675" spans="1:1" x14ac:dyDescent="0.25">
      <c r="A2675" t="s">
        <v>2714</v>
      </c>
    </row>
    <row r="2676" spans="1:1" x14ac:dyDescent="0.25">
      <c r="A2676" t="s">
        <v>2714</v>
      </c>
    </row>
    <row r="2677" spans="1:1" x14ac:dyDescent="0.25">
      <c r="A2677" t="s">
        <v>2714</v>
      </c>
    </row>
    <row r="2678" spans="1:1" x14ac:dyDescent="0.25">
      <c r="A2678" t="s">
        <v>2714</v>
      </c>
    </row>
    <row r="2679" spans="1:1" x14ac:dyDescent="0.25">
      <c r="A2679" t="s">
        <v>2714</v>
      </c>
    </row>
    <row r="2680" spans="1:1" x14ac:dyDescent="0.25">
      <c r="A2680" t="s">
        <v>2714</v>
      </c>
    </row>
    <row r="2681" spans="1:1" x14ac:dyDescent="0.25">
      <c r="A2681" t="s">
        <v>2714</v>
      </c>
    </row>
    <row r="2682" spans="1:1" x14ac:dyDescent="0.25">
      <c r="A2682" t="s">
        <v>2714</v>
      </c>
    </row>
    <row r="2683" spans="1:1" x14ac:dyDescent="0.25">
      <c r="A2683" t="s">
        <v>2714</v>
      </c>
    </row>
    <row r="2684" spans="1:1" x14ac:dyDescent="0.25">
      <c r="A2684" t="s">
        <v>2714</v>
      </c>
    </row>
    <row r="2685" spans="1:1" x14ac:dyDescent="0.25">
      <c r="A2685" t="s">
        <v>2714</v>
      </c>
    </row>
    <row r="2686" spans="1:1" x14ac:dyDescent="0.25">
      <c r="A2686" t="s">
        <v>2714</v>
      </c>
    </row>
    <row r="2687" spans="1:1" x14ac:dyDescent="0.25">
      <c r="A2687" t="s">
        <v>2714</v>
      </c>
    </row>
    <row r="2688" spans="1:1" x14ac:dyDescent="0.25">
      <c r="A2688" t="s">
        <v>2714</v>
      </c>
    </row>
    <row r="2689" spans="1:1" x14ac:dyDescent="0.25">
      <c r="A2689" t="s">
        <v>2714</v>
      </c>
    </row>
    <row r="2690" spans="1:1" x14ac:dyDescent="0.25">
      <c r="A2690" t="s">
        <v>2714</v>
      </c>
    </row>
    <row r="2691" spans="1:1" x14ac:dyDescent="0.25">
      <c r="A2691" t="s">
        <v>2714</v>
      </c>
    </row>
    <row r="2692" spans="1:1" x14ac:dyDescent="0.25">
      <c r="A2692" t="s">
        <v>2714</v>
      </c>
    </row>
    <row r="2693" spans="1:1" x14ac:dyDescent="0.25">
      <c r="A2693" t="s">
        <v>2714</v>
      </c>
    </row>
    <row r="2694" spans="1:1" x14ac:dyDescent="0.25">
      <c r="A2694" t="s">
        <v>2714</v>
      </c>
    </row>
    <row r="2695" spans="1:1" x14ac:dyDescent="0.25">
      <c r="A2695" t="s">
        <v>2714</v>
      </c>
    </row>
    <row r="2696" spans="1:1" x14ac:dyDescent="0.25">
      <c r="A2696" t="s">
        <v>2714</v>
      </c>
    </row>
    <row r="2697" spans="1:1" x14ac:dyDescent="0.25">
      <c r="A2697" t="s">
        <v>2714</v>
      </c>
    </row>
    <row r="2698" spans="1:1" x14ac:dyDescent="0.25">
      <c r="A2698" t="s">
        <v>2714</v>
      </c>
    </row>
    <row r="2699" spans="1:1" x14ac:dyDescent="0.25">
      <c r="A2699" t="s">
        <v>2714</v>
      </c>
    </row>
    <row r="2700" spans="1:1" x14ac:dyDescent="0.25">
      <c r="A2700" t="s">
        <v>2714</v>
      </c>
    </row>
    <row r="2701" spans="1:1" x14ac:dyDescent="0.25">
      <c r="A2701" t="s">
        <v>2714</v>
      </c>
    </row>
    <row r="2702" spans="1:1" x14ac:dyDescent="0.25">
      <c r="A2702" t="s">
        <v>2714</v>
      </c>
    </row>
    <row r="2703" spans="1:1" x14ac:dyDescent="0.25">
      <c r="A2703" t="s">
        <v>2714</v>
      </c>
    </row>
    <row r="2704" spans="1:1" x14ac:dyDescent="0.25">
      <c r="A2704" t="s">
        <v>2714</v>
      </c>
    </row>
    <row r="2705" spans="1:1" x14ac:dyDescent="0.25">
      <c r="A2705" t="s">
        <v>2714</v>
      </c>
    </row>
    <row r="2706" spans="1:1" x14ac:dyDescent="0.25">
      <c r="A2706" t="s">
        <v>2714</v>
      </c>
    </row>
    <row r="2707" spans="1:1" x14ac:dyDescent="0.25">
      <c r="A2707" t="s">
        <v>2714</v>
      </c>
    </row>
    <row r="2708" spans="1:1" x14ac:dyDescent="0.25">
      <c r="A2708" t="s">
        <v>2714</v>
      </c>
    </row>
    <row r="2709" spans="1:1" x14ac:dyDescent="0.25">
      <c r="A2709" t="s">
        <v>2714</v>
      </c>
    </row>
    <row r="2710" spans="1:1" x14ac:dyDescent="0.25">
      <c r="A2710" t="s">
        <v>2714</v>
      </c>
    </row>
    <row r="2711" spans="1:1" x14ac:dyDescent="0.25">
      <c r="A2711" t="s">
        <v>2686</v>
      </c>
    </row>
    <row r="2714" spans="1:1" x14ac:dyDescent="0.25">
      <c r="A2714" t="s">
        <v>3344</v>
      </c>
    </row>
    <row r="2715" spans="1:1" x14ac:dyDescent="0.25">
      <c r="A2715" t="s">
        <v>3345</v>
      </c>
    </row>
    <row r="2716" spans="1:1" x14ac:dyDescent="0.25">
      <c r="A2716" t="s">
        <v>3346</v>
      </c>
    </row>
    <row r="2717" spans="1:1" x14ac:dyDescent="0.25">
      <c r="A2717" t="s">
        <v>3347</v>
      </c>
    </row>
    <row r="2718" spans="1:1" x14ac:dyDescent="0.25">
      <c r="A2718" t="s">
        <v>3348</v>
      </c>
    </row>
    <row r="2719" spans="1:1" x14ac:dyDescent="0.25">
      <c r="A2719" t="s">
        <v>3349</v>
      </c>
    </row>
    <row r="2720" spans="1:1" x14ac:dyDescent="0.25">
      <c r="A2720" t="s">
        <v>3350</v>
      </c>
    </row>
    <row r="2721" spans="1:1" x14ac:dyDescent="0.25">
      <c r="A2721" t="s">
        <v>3351</v>
      </c>
    </row>
    <row r="2722" spans="1:1" x14ac:dyDescent="0.25">
      <c r="A2722" t="s">
        <v>3352</v>
      </c>
    </row>
    <row r="2723" spans="1:1" x14ac:dyDescent="0.25">
      <c r="A2723" t="s">
        <v>3353</v>
      </c>
    </row>
    <row r="2724" spans="1:1" x14ac:dyDescent="0.25">
      <c r="A2724" t="s">
        <v>3354</v>
      </c>
    </row>
    <row r="2725" spans="1:1" x14ac:dyDescent="0.25">
      <c r="A2725" t="s">
        <v>3355</v>
      </c>
    </row>
    <row r="2726" spans="1:1" x14ac:dyDescent="0.25">
      <c r="A2726" t="s">
        <v>3356</v>
      </c>
    </row>
    <row r="2727" spans="1:1" x14ac:dyDescent="0.25">
      <c r="A2727" t="s">
        <v>3357</v>
      </c>
    </row>
    <row r="2728" spans="1:1" x14ac:dyDescent="0.25">
      <c r="A2728" t="s">
        <v>3349</v>
      </c>
    </row>
    <row r="2729" spans="1:1" x14ac:dyDescent="0.25">
      <c r="A2729" t="s">
        <v>3350</v>
      </c>
    </row>
    <row r="2730" spans="1:1" x14ac:dyDescent="0.25">
      <c r="A2730" t="s">
        <v>2713</v>
      </c>
    </row>
    <row r="2731" spans="1:1" x14ac:dyDescent="0.25">
      <c r="A2731" t="s">
        <v>2714</v>
      </c>
    </row>
    <row r="2732" spans="1:1" x14ac:dyDescent="0.25">
      <c r="A2732" t="s">
        <v>2714</v>
      </c>
    </row>
    <row r="2733" spans="1:1" x14ac:dyDescent="0.25">
      <c r="A2733" t="s">
        <v>2714</v>
      </c>
    </row>
    <row r="2734" spans="1:1" x14ac:dyDescent="0.25">
      <c r="A2734" t="s">
        <v>2714</v>
      </c>
    </row>
    <row r="2735" spans="1:1" x14ac:dyDescent="0.25">
      <c r="A2735" t="s">
        <v>2714</v>
      </c>
    </row>
    <row r="2736" spans="1:1" x14ac:dyDescent="0.25">
      <c r="A2736" t="s">
        <v>2714</v>
      </c>
    </row>
    <row r="2737" spans="1:1" x14ac:dyDescent="0.25">
      <c r="A2737" t="s">
        <v>2714</v>
      </c>
    </row>
    <row r="2738" spans="1:1" x14ac:dyDescent="0.25">
      <c r="A2738" t="s">
        <v>2714</v>
      </c>
    </row>
    <row r="2739" spans="1:1" x14ac:dyDescent="0.25">
      <c r="A2739" t="s">
        <v>2714</v>
      </c>
    </row>
    <row r="2740" spans="1:1" x14ac:dyDescent="0.25">
      <c r="A2740" t="s">
        <v>2714</v>
      </c>
    </row>
    <row r="2741" spans="1:1" x14ac:dyDescent="0.25">
      <c r="A2741" t="s">
        <v>2714</v>
      </c>
    </row>
    <row r="2742" spans="1:1" x14ac:dyDescent="0.25">
      <c r="A2742" t="s">
        <v>2714</v>
      </c>
    </row>
    <row r="2743" spans="1:1" x14ac:dyDescent="0.25">
      <c r="A2743" t="s">
        <v>2714</v>
      </c>
    </row>
    <row r="2744" spans="1:1" x14ac:dyDescent="0.25">
      <c r="A2744" t="s">
        <v>2714</v>
      </c>
    </row>
    <row r="2745" spans="1:1" x14ac:dyDescent="0.25">
      <c r="A2745" t="s">
        <v>2714</v>
      </c>
    </row>
    <row r="2746" spans="1:1" x14ac:dyDescent="0.25">
      <c r="A2746" t="s">
        <v>2714</v>
      </c>
    </row>
    <row r="2747" spans="1:1" x14ac:dyDescent="0.25">
      <c r="A2747" t="s">
        <v>2714</v>
      </c>
    </row>
    <row r="2748" spans="1:1" x14ac:dyDescent="0.25">
      <c r="A2748" t="s">
        <v>2714</v>
      </c>
    </row>
    <row r="2749" spans="1:1" x14ac:dyDescent="0.25">
      <c r="A2749" t="s">
        <v>2714</v>
      </c>
    </row>
    <row r="2750" spans="1:1" x14ac:dyDescent="0.25">
      <c r="A2750" t="s">
        <v>2714</v>
      </c>
    </row>
    <row r="2751" spans="1:1" x14ac:dyDescent="0.25">
      <c r="A2751" t="s">
        <v>2714</v>
      </c>
    </row>
    <row r="2752" spans="1:1" x14ac:dyDescent="0.25">
      <c r="A2752" t="s">
        <v>2714</v>
      </c>
    </row>
    <row r="2753" spans="1:1" x14ac:dyDescent="0.25">
      <c r="A2753" t="s">
        <v>2714</v>
      </c>
    </row>
    <row r="2754" spans="1:1" x14ac:dyDescent="0.25">
      <c r="A2754" t="s">
        <v>2714</v>
      </c>
    </row>
    <row r="2755" spans="1:1" x14ac:dyDescent="0.25">
      <c r="A2755" t="s">
        <v>2714</v>
      </c>
    </row>
    <row r="2756" spans="1:1" x14ac:dyDescent="0.25">
      <c r="A2756" t="s">
        <v>2714</v>
      </c>
    </row>
    <row r="2757" spans="1:1" x14ac:dyDescent="0.25">
      <c r="A2757" t="s">
        <v>2714</v>
      </c>
    </row>
    <row r="2758" spans="1:1" x14ac:dyDescent="0.25">
      <c r="A2758" t="s">
        <v>2714</v>
      </c>
    </row>
    <row r="2759" spans="1:1" x14ac:dyDescent="0.25">
      <c r="A2759" t="s">
        <v>2714</v>
      </c>
    </row>
    <row r="2760" spans="1:1" x14ac:dyDescent="0.25">
      <c r="A2760" t="s">
        <v>2714</v>
      </c>
    </row>
    <row r="2761" spans="1:1" x14ac:dyDescent="0.25">
      <c r="A2761" t="s">
        <v>2714</v>
      </c>
    </row>
    <row r="2762" spans="1:1" x14ac:dyDescent="0.25">
      <c r="A2762" t="s">
        <v>2714</v>
      </c>
    </row>
    <row r="2763" spans="1:1" x14ac:dyDescent="0.25">
      <c r="A2763" t="s">
        <v>2714</v>
      </c>
    </row>
    <row r="2764" spans="1:1" x14ac:dyDescent="0.25">
      <c r="A2764" t="s">
        <v>2714</v>
      </c>
    </row>
    <row r="2765" spans="1:1" x14ac:dyDescent="0.25">
      <c r="A2765" t="s">
        <v>2714</v>
      </c>
    </row>
    <row r="2766" spans="1:1" x14ac:dyDescent="0.25">
      <c r="A2766" t="s">
        <v>2714</v>
      </c>
    </row>
    <row r="2767" spans="1:1" x14ac:dyDescent="0.25">
      <c r="A2767" t="s">
        <v>2714</v>
      </c>
    </row>
    <row r="2768" spans="1:1" x14ac:dyDescent="0.25">
      <c r="A2768" t="s">
        <v>2714</v>
      </c>
    </row>
    <row r="2769" spans="1:1" x14ac:dyDescent="0.25">
      <c r="A2769" t="s">
        <v>2714</v>
      </c>
    </row>
    <row r="2770" spans="1:1" x14ac:dyDescent="0.25">
      <c r="A2770" t="s">
        <v>2714</v>
      </c>
    </row>
    <row r="2771" spans="1:1" x14ac:dyDescent="0.25">
      <c r="A2771" t="s">
        <v>2714</v>
      </c>
    </row>
    <row r="2772" spans="1:1" x14ac:dyDescent="0.25">
      <c r="A2772" t="s">
        <v>2714</v>
      </c>
    </row>
    <row r="2773" spans="1:1" x14ac:dyDescent="0.25">
      <c r="A2773" t="s">
        <v>2714</v>
      </c>
    </row>
    <row r="2774" spans="1:1" x14ac:dyDescent="0.25">
      <c r="A2774" t="s">
        <v>2686</v>
      </c>
    </row>
    <row r="2777" spans="1:1" x14ac:dyDescent="0.25">
      <c r="A2777" t="s">
        <v>3358</v>
      </c>
    </row>
    <row r="2778" spans="1:1" x14ac:dyDescent="0.25">
      <c r="A2778" t="s">
        <v>3359</v>
      </c>
    </row>
    <row r="2779" spans="1:1" x14ac:dyDescent="0.25">
      <c r="A2779" t="s">
        <v>3360</v>
      </c>
    </row>
    <row r="2780" spans="1:1" x14ac:dyDescent="0.25">
      <c r="A2780" t="s">
        <v>3361</v>
      </c>
    </row>
    <row r="2781" spans="1:1" x14ac:dyDescent="0.25">
      <c r="A2781" t="s">
        <v>3362</v>
      </c>
    </row>
    <row r="2782" spans="1:1" x14ac:dyDescent="0.25">
      <c r="A2782" t="s">
        <v>3363</v>
      </c>
    </row>
    <row r="2783" spans="1:1" x14ac:dyDescent="0.25">
      <c r="A2783" t="s">
        <v>3364</v>
      </c>
    </row>
    <row r="2784" spans="1:1" x14ac:dyDescent="0.25">
      <c r="A2784" t="s">
        <v>3365</v>
      </c>
    </row>
    <row r="2785" spans="1:1" x14ac:dyDescent="0.25">
      <c r="A2785" t="s">
        <v>3366</v>
      </c>
    </row>
    <row r="2786" spans="1:1" x14ac:dyDescent="0.25">
      <c r="A2786" t="s">
        <v>3367</v>
      </c>
    </row>
    <row r="2787" spans="1:1" x14ac:dyDescent="0.25">
      <c r="A2787" t="s">
        <v>3368</v>
      </c>
    </row>
    <row r="2788" spans="1:1" x14ac:dyDescent="0.25">
      <c r="A2788" t="s">
        <v>3369</v>
      </c>
    </row>
    <row r="2789" spans="1:1" x14ac:dyDescent="0.25">
      <c r="A2789" t="s">
        <v>3370</v>
      </c>
    </row>
    <row r="2790" spans="1:1" x14ac:dyDescent="0.25">
      <c r="A2790" t="s">
        <v>3371</v>
      </c>
    </row>
    <row r="2791" spans="1:1" x14ac:dyDescent="0.25">
      <c r="A2791" t="s">
        <v>3372</v>
      </c>
    </row>
    <row r="2792" spans="1:1" x14ac:dyDescent="0.25">
      <c r="A2792" t="s">
        <v>3372</v>
      </c>
    </row>
    <row r="2793" spans="1:1" x14ac:dyDescent="0.25">
      <c r="A2793" t="s">
        <v>3373</v>
      </c>
    </row>
    <row r="2794" spans="1:1" x14ac:dyDescent="0.25">
      <c r="A2794" t="s">
        <v>3374</v>
      </c>
    </row>
    <row r="2795" spans="1:1" x14ac:dyDescent="0.25">
      <c r="A2795" t="s">
        <v>3375</v>
      </c>
    </row>
    <row r="2796" spans="1:1" x14ac:dyDescent="0.25">
      <c r="A2796" t="s">
        <v>3376</v>
      </c>
    </row>
    <row r="2797" spans="1:1" x14ac:dyDescent="0.25">
      <c r="A2797" t="s">
        <v>3377</v>
      </c>
    </row>
    <row r="2798" spans="1:1" x14ac:dyDescent="0.25">
      <c r="A2798" t="s">
        <v>3378</v>
      </c>
    </row>
    <row r="2799" spans="1:1" x14ac:dyDescent="0.25">
      <c r="A2799" t="s">
        <v>3379</v>
      </c>
    </row>
    <row r="2800" spans="1:1" x14ac:dyDescent="0.25">
      <c r="A2800" t="s">
        <v>3380</v>
      </c>
    </row>
    <row r="2801" spans="1:1" x14ac:dyDescent="0.25">
      <c r="A2801" t="s">
        <v>3381</v>
      </c>
    </row>
    <row r="2802" spans="1:1" x14ac:dyDescent="0.25">
      <c r="A2802" t="s">
        <v>3382</v>
      </c>
    </row>
    <row r="2803" spans="1:1" x14ac:dyDescent="0.25">
      <c r="A2803" t="s">
        <v>3383</v>
      </c>
    </row>
    <row r="2804" spans="1:1" x14ac:dyDescent="0.25">
      <c r="A2804" t="s">
        <v>3384</v>
      </c>
    </row>
    <row r="2805" spans="1:1" x14ac:dyDescent="0.25">
      <c r="A2805" t="s">
        <v>3385</v>
      </c>
    </row>
    <row r="2806" spans="1:1" x14ac:dyDescent="0.25">
      <c r="A2806" t="s">
        <v>3386</v>
      </c>
    </row>
    <row r="2807" spans="1:1" x14ac:dyDescent="0.25">
      <c r="A2807" t="s">
        <v>3364</v>
      </c>
    </row>
    <row r="2808" spans="1:1" x14ac:dyDescent="0.25">
      <c r="A2808" t="s">
        <v>2713</v>
      </c>
    </row>
    <row r="2809" spans="1:1" x14ac:dyDescent="0.25">
      <c r="A2809" t="s">
        <v>2714</v>
      </c>
    </row>
    <row r="2810" spans="1:1" x14ac:dyDescent="0.25">
      <c r="A2810" t="s">
        <v>2714</v>
      </c>
    </row>
    <row r="2811" spans="1:1" x14ac:dyDescent="0.25">
      <c r="A2811" t="s">
        <v>2714</v>
      </c>
    </row>
    <row r="2812" spans="1:1" x14ac:dyDescent="0.25">
      <c r="A2812" t="s">
        <v>2714</v>
      </c>
    </row>
    <row r="2813" spans="1:1" x14ac:dyDescent="0.25">
      <c r="A2813" t="s">
        <v>2714</v>
      </c>
    </row>
    <row r="2814" spans="1:1" x14ac:dyDescent="0.25">
      <c r="A2814" t="s">
        <v>2714</v>
      </c>
    </row>
    <row r="2815" spans="1:1" x14ac:dyDescent="0.25">
      <c r="A2815" t="s">
        <v>2714</v>
      </c>
    </row>
    <row r="2816" spans="1:1" x14ac:dyDescent="0.25">
      <c r="A2816" t="s">
        <v>2714</v>
      </c>
    </row>
    <row r="2817" spans="1:1" x14ac:dyDescent="0.25">
      <c r="A2817" t="s">
        <v>2714</v>
      </c>
    </row>
    <row r="2818" spans="1:1" x14ac:dyDescent="0.25">
      <c r="A2818" t="s">
        <v>2714</v>
      </c>
    </row>
    <row r="2819" spans="1:1" x14ac:dyDescent="0.25">
      <c r="A2819" t="s">
        <v>2714</v>
      </c>
    </row>
    <row r="2820" spans="1:1" x14ac:dyDescent="0.25">
      <c r="A2820" t="s">
        <v>2714</v>
      </c>
    </row>
    <row r="2821" spans="1:1" x14ac:dyDescent="0.25">
      <c r="A2821" t="s">
        <v>2714</v>
      </c>
    </row>
    <row r="2822" spans="1:1" x14ac:dyDescent="0.25">
      <c r="A2822" t="s">
        <v>2714</v>
      </c>
    </row>
    <row r="2823" spans="1:1" x14ac:dyDescent="0.25">
      <c r="A2823" t="s">
        <v>2714</v>
      </c>
    </row>
    <row r="2824" spans="1:1" x14ac:dyDescent="0.25">
      <c r="A2824" t="s">
        <v>2714</v>
      </c>
    </row>
    <row r="2825" spans="1:1" x14ac:dyDescent="0.25">
      <c r="A2825" t="s">
        <v>2714</v>
      </c>
    </row>
    <row r="2826" spans="1:1" x14ac:dyDescent="0.25">
      <c r="A2826" t="s">
        <v>2714</v>
      </c>
    </row>
    <row r="2827" spans="1:1" x14ac:dyDescent="0.25">
      <c r="A2827" t="s">
        <v>2714</v>
      </c>
    </row>
    <row r="2828" spans="1:1" x14ac:dyDescent="0.25">
      <c r="A2828" t="s">
        <v>2714</v>
      </c>
    </row>
    <row r="2829" spans="1:1" x14ac:dyDescent="0.25">
      <c r="A2829" t="s">
        <v>2714</v>
      </c>
    </row>
    <row r="2830" spans="1:1" x14ac:dyDescent="0.25">
      <c r="A2830" t="s">
        <v>2714</v>
      </c>
    </row>
    <row r="2831" spans="1:1" x14ac:dyDescent="0.25">
      <c r="A2831" t="s">
        <v>2714</v>
      </c>
    </row>
    <row r="2832" spans="1:1" x14ac:dyDescent="0.25">
      <c r="A2832" t="s">
        <v>2714</v>
      </c>
    </row>
    <row r="2833" spans="1:1" x14ac:dyDescent="0.25">
      <c r="A2833" t="s">
        <v>2714</v>
      </c>
    </row>
    <row r="2834" spans="1:1" x14ac:dyDescent="0.25">
      <c r="A2834" t="s">
        <v>2714</v>
      </c>
    </row>
    <row r="2835" spans="1:1" x14ac:dyDescent="0.25">
      <c r="A2835" t="s">
        <v>2714</v>
      </c>
    </row>
    <row r="2836" spans="1:1" x14ac:dyDescent="0.25">
      <c r="A2836" t="s">
        <v>2714</v>
      </c>
    </row>
    <row r="2837" spans="1:1" x14ac:dyDescent="0.25">
      <c r="A2837" t="s">
        <v>2686</v>
      </c>
    </row>
    <row r="2840" spans="1:1" x14ac:dyDescent="0.25">
      <c r="A2840" t="s">
        <v>3387</v>
      </c>
    </row>
    <row r="2841" spans="1:1" x14ac:dyDescent="0.25">
      <c r="A2841" t="s">
        <v>2688</v>
      </c>
    </row>
    <row r="2842" spans="1:1" x14ac:dyDescent="0.25">
      <c r="A2842" t="s">
        <v>2689</v>
      </c>
    </row>
    <row r="2843" spans="1:1" x14ac:dyDescent="0.25">
      <c r="A2843" t="s">
        <v>2690</v>
      </c>
    </row>
    <row r="2844" spans="1:1" x14ac:dyDescent="0.25">
      <c r="A2844" t="s">
        <v>2691</v>
      </c>
    </row>
    <row r="2845" spans="1:1" x14ac:dyDescent="0.25">
      <c r="A2845" t="s">
        <v>2692</v>
      </c>
    </row>
    <row r="2846" spans="1:1" x14ac:dyDescent="0.25">
      <c r="A2846" t="s">
        <v>2693</v>
      </c>
    </row>
    <row r="2847" spans="1:1" x14ac:dyDescent="0.25">
      <c r="A2847" t="s">
        <v>2694</v>
      </c>
    </row>
    <row r="2848" spans="1:1" x14ac:dyDescent="0.25">
      <c r="A2848" t="s">
        <v>2695</v>
      </c>
    </row>
    <row r="2849" spans="1:1" x14ac:dyDescent="0.25">
      <c r="A2849" t="s">
        <v>2696</v>
      </c>
    </row>
    <row r="2850" spans="1:1" x14ac:dyDescent="0.25">
      <c r="A2850" t="s">
        <v>2697</v>
      </c>
    </row>
    <row r="2851" spans="1:1" x14ac:dyDescent="0.25">
      <c r="A2851" t="s">
        <v>2698</v>
      </c>
    </row>
    <row r="2852" spans="1:1" x14ac:dyDescent="0.25">
      <c r="A2852" t="s">
        <v>2699</v>
      </c>
    </row>
    <row r="2853" spans="1:1" x14ac:dyDescent="0.25">
      <c r="A2853" t="s">
        <v>2700</v>
      </c>
    </row>
    <row r="2854" spans="1:1" x14ac:dyDescent="0.25">
      <c r="A2854" t="s">
        <v>2701</v>
      </c>
    </row>
    <row r="2855" spans="1:1" x14ac:dyDescent="0.25">
      <c r="A2855" t="s">
        <v>2702</v>
      </c>
    </row>
    <row r="2856" spans="1:1" x14ac:dyDescent="0.25">
      <c r="A2856" t="s">
        <v>2703</v>
      </c>
    </row>
    <row r="2857" spans="1:1" x14ac:dyDescent="0.25">
      <c r="A2857" t="s">
        <v>2704</v>
      </c>
    </row>
    <row r="2858" spans="1:1" x14ac:dyDescent="0.25">
      <c r="A2858" t="s">
        <v>2705</v>
      </c>
    </row>
    <row r="2859" spans="1:1" x14ac:dyDescent="0.25">
      <c r="A2859" t="s">
        <v>2706</v>
      </c>
    </row>
    <row r="2860" spans="1:1" x14ac:dyDescent="0.25">
      <c r="A2860" t="s">
        <v>2707</v>
      </c>
    </row>
    <row r="2861" spans="1:1" x14ac:dyDescent="0.25">
      <c r="A2861" t="s">
        <v>2708</v>
      </c>
    </row>
    <row r="2862" spans="1:1" x14ac:dyDescent="0.25">
      <c r="A2862" t="s">
        <v>2709</v>
      </c>
    </row>
    <row r="2863" spans="1:1" x14ac:dyDescent="0.25">
      <c r="A2863" t="s">
        <v>2710</v>
      </c>
    </row>
    <row r="2864" spans="1:1" x14ac:dyDescent="0.25">
      <c r="A2864" t="s">
        <v>3388</v>
      </c>
    </row>
    <row r="2865" spans="1:1" x14ac:dyDescent="0.25">
      <c r="A2865" t="s">
        <v>2711</v>
      </c>
    </row>
    <row r="2866" spans="1:1" x14ac:dyDescent="0.25">
      <c r="A2866" t="s">
        <v>2713</v>
      </c>
    </row>
    <row r="2867" spans="1:1" x14ac:dyDescent="0.25">
      <c r="A2867" t="s">
        <v>2714</v>
      </c>
    </row>
    <row r="2868" spans="1:1" x14ac:dyDescent="0.25">
      <c r="A2868" t="s">
        <v>2714</v>
      </c>
    </row>
    <row r="2869" spans="1:1" x14ac:dyDescent="0.25">
      <c r="A2869" t="s">
        <v>2714</v>
      </c>
    </row>
    <row r="2870" spans="1:1" x14ac:dyDescent="0.25">
      <c r="A2870" t="s">
        <v>2714</v>
      </c>
    </row>
    <row r="2871" spans="1:1" x14ac:dyDescent="0.25">
      <c r="A2871" t="s">
        <v>2714</v>
      </c>
    </row>
    <row r="2872" spans="1:1" x14ac:dyDescent="0.25">
      <c r="A2872" t="s">
        <v>2714</v>
      </c>
    </row>
    <row r="2873" spans="1:1" x14ac:dyDescent="0.25">
      <c r="A2873" t="s">
        <v>2714</v>
      </c>
    </row>
    <row r="2874" spans="1:1" x14ac:dyDescent="0.25">
      <c r="A2874" t="s">
        <v>2714</v>
      </c>
    </row>
    <row r="2875" spans="1:1" x14ac:dyDescent="0.25">
      <c r="A2875" t="s">
        <v>2714</v>
      </c>
    </row>
    <row r="2876" spans="1:1" x14ac:dyDescent="0.25">
      <c r="A2876" t="s">
        <v>2714</v>
      </c>
    </row>
    <row r="2877" spans="1:1" x14ac:dyDescent="0.25">
      <c r="A2877" t="s">
        <v>2714</v>
      </c>
    </row>
    <row r="2878" spans="1:1" x14ac:dyDescent="0.25">
      <c r="A2878" t="s">
        <v>2714</v>
      </c>
    </row>
    <row r="2879" spans="1:1" x14ac:dyDescent="0.25">
      <c r="A2879" t="s">
        <v>2714</v>
      </c>
    </row>
    <row r="2880" spans="1:1" x14ac:dyDescent="0.25">
      <c r="A2880" t="s">
        <v>2714</v>
      </c>
    </row>
    <row r="2881" spans="1:1" x14ac:dyDescent="0.25">
      <c r="A2881" t="s">
        <v>2714</v>
      </c>
    </row>
    <row r="2882" spans="1:1" x14ac:dyDescent="0.25">
      <c r="A2882" t="s">
        <v>2714</v>
      </c>
    </row>
    <row r="2883" spans="1:1" x14ac:dyDescent="0.25">
      <c r="A2883" t="s">
        <v>2714</v>
      </c>
    </row>
    <row r="2884" spans="1:1" x14ac:dyDescent="0.25">
      <c r="A2884" t="s">
        <v>2714</v>
      </c>
    </row>
    <row r="2885" spans="1:1" x14ac:dyDescent="0.25">
      <c r="A2885" t="s">
        <v>2714</v>
      </c>
    </row>
    <row r="2886" spans="1:1" x14ac:dyDescent="0.25">
      <c r="A2886" t="s">
        <v>2714</v>
      </c>
    </row>
    <row r="2887" spans="1:1" x14ac:dyDescent="0.25">
      <c r="A2887" t="s">
        <v>2714</v>
      </c>
    </row>
    <row r="2888" spans="1:1" x14ac:dyDescent="0.25">
      <c r="A2888" t="s">
        <v>2714</v>
      </c>
    </row>
    <row r="2889" spans="1:1" x14ac:dyDescent="0.25">
      <c r="A2889" t="s">
        <v>2714</v>
      </c>
    </row>
    <row r="2890" spans="1:1" x14ac:dyDescent="0.25">
      <c r="A2890" t="s">
        <v>2714</v>
      </c>
    </row>
    <row r="2891" spans="1:1" x14ac:dyDescent="0.25">
      <c r="A2891" t="s">
        <v>2714</v>
      </c>
    </row>
    <row r="2892" spans="1:1" x14ac:dyDescent="0.25">
      <c r="A2892" t="s">
        <v>2714</v>
      </c>
    </row>
    <row r="2893" spans="1:1" x14ac:dyDescent="0.25">
      <c r="A2893" t="s">
        <v>2714</v>
      </c>
    </row>
    <row r="2894" spans="1:1" x14ac:dyDescent="0.25">
      <c r="A2894" t="s">
        <v>2714</v>
      </c>
    </row>
    <row r="2895" spans="1:1" x14ac:dyDescent="0.25">
      <c r="A2895" t="s">
        <v>2714</v>
      </c>
    </row>
    <row r="2896" spans="1:1" x14ac:dyDescent="0.25">
      <c r="A2896" t="s">
        <v>2714</v>
      </c>
    </row>
    <row r="2897" spans="1:1" x14ac:dyDescent="0.25">
      <c r="A2897" t="s">
        <v>2714</v>
      </c>
    </row>
    <row r="2898" spans="1:1" x14ac:dyDescent="0.25">
      <c r="A2898" t="s">
        <v>2714</v>
      </c>
    </row>
    <row r="2899" spans="1:1" x14ac:dyDescent="0.25">
      <c r="A2899" t="s">
        <v>2714</v>
      </c>
    </row>
    <row r="2900" spans="1:1" x14ac:dyDescent="0.25">
      <c r="A2900" t="s">
        <v>2686</v>
      </c>
    </row>
    <row r="2903" spans="1:1" x14ac:dyDescent="0.25">
      <c r="A2903" t="s">
        <v>3389</v>
      </c>
    </row>
    <row r="2904" spans="1:1" x14ac:dyDescent="0.25">
      <c r="A2904" t="s">
        <v>2713</v>
      </c>
    </row>
    <row r="2905" spans="1:1" x14ac:dyDescent="0.25">
      <c r="A2905" t="s">
        <v>2714</v>
      </c>
    </row>
    <row r="2906" spans="1:1" x14ac:dyDescent="0.25">
      <c r="A2906" t="s">
        <v>2714</v>
      </c>
    </row>
    <row r="2907" spans="1:1" x14ac:dyDescent="0.25">
      <c r="A2907" t="s">
        <v>2714</v>
      </c>
    </row>
    <row r="2908" spans="1:1" x14ac:dyDescent="0.25">
      <c r="A2908" t="s">
        <v>2714</v>
      </c>
    </row>
    <row r="2909" spans="1:1" x14ac:dyDescent="0.25">
      <c r="A2909" t="s">
        <v>2714</v>
      </c>
    </row>
    <row r="2910" spans="1:1" x14ac:dyDescent="0.25">
      <c r="A2910" t="s">
        <v>2714</v>
      </c>
    </row>
    <row r="2911" spans="1:1" x14ac:dyDescent="0.25">
      <c r="A2911" t="s">
        <v>2714</v>
      </c>
    </row>
    <row r="2912" spans="1:1" x14ac:dyDescent="0.25">
      <c r="A2912" t="s">
        <v>2714</v>
      </c>
    </row>
    <row r="2913" spans="1:1" x14ac:dyDescent="0.25">
      <c r="A2913" t="s">
        <v>2714</v>
      </c>
    </row>
    <row r="2914" spans="1:1" x14ac:dyDescent="0.25">
      <c r="A2914" t="s">
        <v>2714</v>
      </c>
    </row>
    <row r="2915" spans="1:1" x14ac:dyDescent="0.25">
      <c r="A2915" t="s">
        <v>2714</v>
      </c>
    </row>
    <row r="2916" spans="1:1" x14ac:dyDescent="0.25">
      <c r="A2916" t="s">
        <v>2714</v>
      </c>
    </row>
    <row r="2917" spans="1:1" x14ac:dyDescent="0.25">
      <c r="A2917" t="s">
        <v>2714</v>
      </c>
    </row>
    <row r="2918" spans="1:1" x14ac:dyDescent="0.25">
      <c r="A2918" t="s">
        <v>2714</v>
      </c>
    </row>
    <row r="2919" spans="1:1" x14ac:dyDescent="0.25">
      <c r="A2919" t="s">
        <v>2714</v>
      </c>
    </row>
    <row r="2920" spans="1:1" x14ac:dyDescent="0.25">
      <c r="A2920" t="s">
        <v>2714</v>
      </c>
    </row>
    <row r="2921" spans="1:1" x14ac:dyDescent="0.25">
      <c r="A2921" t="s">
        <v>2714</v>
      </c>
    </row>
    <row r="2922" spans="1:1" x14ac:dyDescent="0.25">
      <c r="A2922" t="s">
        <v>2714</v>
      </c>
    </row>
    <row r="2923" spans="1:1" x14ac:dyDescent="0.25">
      <c r="A2923" t="s">
        <v>2714</v>
      </c>
    </row>
    <row r="2924" spans="1:1" x14ac:dyDescent="0.25">
      <c r="A2924" t="s">
        <v>2714</v>
      </c>
    </row>
    <row r="2925" spans="1:1" x14ac:dyDescent="0.25">
      <c r="A2925" t="s">
        <v>2714</v>
      </c>
    </row>
    <row r="2926" spans="1:1" x14ac:dyDescent="0.25">
      <c r="A2926" t="s">
        <v>2714</v>
      </c>
    </row>
    <row r="2927" spans="1:1" x14ac:dyDescent="0.25">
      <c r="A2927" t="s">
        <v>2714</v>
      </c>
    </row>
    <row r="2928" spans="1:1" x14ac:dyDescent="0.25">
      <c r="A2928" t="s">
        <v>2714</v>
      </c>
    </row>
    <row r="2929" spans="1:1" x14ac:dyDescent="0.25">
      <c r="A2929" t="s">
        <v>2714</v>
      </c>
    </row>
    <row r="2930" spans="1:1" x14ac:dyDescent="0.25">
      <c r="A2930" t="s">
        <v>2714</v>
      </c>
    </row>
    <row r="2931" spans="1:1" x14ac:dyDescent="0.25">
      <c r="A2931" t="s">
        <v>2714</v>
      </c>
    </row>
    <row r="2932" spans="1:1" x14ac:dyDescent="0.25">
      <c r="A2932" t="s">
        <v>2714</v>
      </c>
    </row>
    <row r="2933" spans="1:1" x14ac:dyDescent="0.25">
      <c r="A2933" t="s">
        <v>2714</v>
      </c>
    </row>
    <row r="2934" spans="1:1" x14ac:dyDescent="0.25">
      <c r="A2934" t="s">
        <v>2714</v>
      </c>
    </row>
    <row r="2935" spans="1:1" x14ac:dyDescent="0.25">
      <c r="A2935" t="s">
        <v>2714</v>
      </c>
    </row>
    <row r="2936" spans="1:1" x14ac:dyDescent="0.25">
      <c r="A2936" t="s">
        <v>2714</v>
      </c>
    </row>
    <row r="2937" spans="1:1" x14ac:dyDescent="0.25">
      <c r="A2937" t="s">
        <v>2714</v>
      </c>
    </row>
    <row r="2938" spans="1:1" x14ac:dyDescent="0.25">
      <c r="A2938" t="s">
        <v>2714</v>
      </c>
    </row>
    <row r="2939" spans="1:1" x14ac:dyDescent="0.25">
      <c r="A2939" t="s">
        <v>2714</v>
      </c>
    </row>
    <row r="2940" spans="1:1" x14ac:dyDescent="0.25">
      <c r="A2940" t="s">
        <v>2714</v>
      </c>
    </row>
    <row r="2941" spans="1:1" x14ac:dyDescent="0.25">
      <c r="A2941" t="s">
        <v>2714</v>
      </c>
    </row>
    <row r="2942" spans="1:1" x14ac:dyDescent="0.25">
      <c r="A2942" t="s">
        <v>2714</v>
      </c>
    </row>
    <row r="2943" spans="1:1" x14ac:dyDescent="0.25">
      <c r="A2943" t="s">
        <v>2714</v>
      </c>
    </row>
    <row r="2944" spans="1:1" x14ac:dyDescent="0.25">
      <c r="A2944" t="s">
        <v>2714</v>
      </c>
    </row>
    <row r="2945" spans="1:1" x14ac:dyDescent="0.25">
      <c r="A2945" t="s">
        <v>2714</v>
      </c>
    </row>
    <row r="2946" spans="1:1" x14ac:dyDescent="0.25">
      <c r="A2946" t="s">
        <v>2714</v>
      </c>
    </row>
    <row r="2947" spans="1:1" x14ac:dyDescent="0.25">
      <c r="A2947" t="s">
        <v>2714</v>
      </c>
    </row>
    <row r="2948" spans="1:1" x14ac:dyDescent="0.25">
      <c r="A2948" t="s">
        <v>2714</v>
      </c>
    </row>
    <row r="2949" spans="1:1" x14ac:dyDescent="0.25">
      <c r="A2949" t="s">
        <v>2714</v>
      </c>
    </row>
    <row r="2950" spans="1:1" x14ac:dyDescent="0.25">
      <c r="A2950" t="s">
        <v>2714</v>
      </c>
    </row>
    <row r="2951" spans="1:1" x14ac:dyDescent="0.25">
      <c r="A2951" t="s">
        <v>2714</v>
      </c>
    </row>
    <row r="2952" spans="1:1" x14ac:dyDescent="0.25">
      <c r="A2952" t="s">
        <v>2714</v>
      </c>
    </row>
    <row r="2953" spans="1:1" x14ac:dyDescent="0.25">
      <c r="A2953" t="s">
        <v>2714</v>
      </c>
    </row>
    <row r="2954" spans="1:1" x14ac:dyDescent="0.25">
      <c r="A2954" t="s">
        <v>2714</v>
      </c>
    </row>
    <row r="2955" spans="1:1" x14ac:dyDescent="0.25">
      <c r="A2955" t="s">
        <v>2714</v>
      </c>
    </row>
    <row r="2956" spans="1:1" x14ac:dyDescent="0.25">
      <c r="A2956" t="s">
        <v>2714</v>
      </c>
    </row>
    <row r="2957" spans="1:1" x14ac:dyDescent="0.25">
      <c r="A2957" t="s">
        <v>2714</v>
      </c>
    </row>
    <row r="2958" spans="1:1" x14ac:dyDescent="0.25">
      <c r="A2958" t="s">
        <v>2714</v>
      </c>
    </row>
    <row r="2959" spans="1:1" x14ac:dyDescent="0.25">
      <c r="A2959" t="s">
        <v>2714</v>
      </c>
    </row>
    <row r="2960" spans="1:1" x14ac:dyDescent="0.25">
      <c r="A2960" t="s">
        <v>2714</v>
      </c>
    </row>
    <row r="2961" spans="1:1" x14ac:dyDescent="0.25">
      <c r="A2961" t="s">
        <v>2714</v>
      </c>
    </row>
    <row r="2962" spans="1:1" x14ac:dyDescent="0.25">
      <c r="A2962" t="s">
        <v>2714</v>
      </c>
    </row>
    <row r="2963" spans="1:1" x14ac:dyDescent="0.25">
      <c r="A2963" t="s">
        <v>2686</v>
      </c>
    </row>
    <row r="2966" spans="1:1" x14ac:dyDescent="0.25">
      <c r="A2966" t="s">
        <v>3390</v>
      </c>
    </row>
    <row r="2967" spans="1:1" x14ac:dyDescent="0.25">
      <c r="A2967" t="s">
        <v>2713</v>
      </c>
    </row>
    <row r="2968" spans="1:1" x14ac:dyDescent="0.25">
      <c r="A2968" t="s">
        <v>2714</v>
      </c>
    </row>
    <row r="2969" spans="1:1" x14ac:dyDescent="0.25">
      <c r="A2969" t="s">
        <v>2714</v>
      </c>
    </row>
    <row r="2970" spans="1:1" x14ac:dyDescent="0.25">
      <c r="A2970" t="s">
        <v>2714</v>
      </c>
    </row>
    <row r="2971" spans="1:1" x14ac:dyDescent="0.25">
      <c r="A2971" t="s">
        <v>2714</v>
      </c>
    </row>
    <row r="2972" spans="1:1" x14ac:dyDescent="0.25">
      <c r="A2972" t="s">
        <v>2714</v>
      </c>
    </row>
    <row r="2973" spans="1:1" x14ac:dyDescent="0.25">
      <c r="A2973" t="s">
        <v>2714</v>
      </c>
    </row>
    <row r="2974" spans="1:1" x14ac:dyDescent="0.25">
      <c r="A2974" t="s">
        <v>2714</v>
      </c>
    </row>
    <row r="2975" spans="1:1" x14ac:dyDescent="0.25">
      <c r="A2975" t="s">
        <v>2714</v>
      </c>
    </row>
    <row r="2976" spans="1:1" x14ac:dyDescent="0.25">
      <c r="A2976" t="s">
        <v>2714</v>
      </c>
    </row>
    <row r="2977" spans="1:1" x14ac:dyDescent="0.25">
      <c r="A2977" t="s">
        <v>2714</v>
      </c>
    </row>
    <row r="2978" spans="1:1" x14ac:dyDescent="0.25">
      <c r="A2978" t="s">
        <v>2714</v>
      </c>
    </row>
    <row r="2979" spans="1:1" x14ac:dyDescent="0.25">
      <c r="A2979" t="s">
        <v>2714</v>
      </c>
    </row>
    <row r="2980" spans="1:1" x14ac:dyDescent="0.25">
      <c r="A2980" t="s">
        <v>2714</v>
      </c>
    </row>
    <row r="2981" spans="1:1" x14ac:dyDescent="0.25">
      <c r="A2981" t="s">
        <v>2714</v>
      </c>
    </row>
    <row r="2982" spans="1:1" x14ac:dyDescent="0.25">
      <c r="A2982" t="s">
        <v>2714</v>
      </c>
    </row>
    <row r="2983" spans="1:1" x14ac:dyDescent="0.25">
      <c r="A2983" t="s">
        <v>2714</v>
      </c>
    </row>
    <row r="2984" spans="1:1" x14ac:dyDescent="0.25">
      <c r="A2984" t="s">
        <v>2714</v>
      </c>
    </row>
    <row r="2985" spans="1:1" x14ac:dyDescent="0.25">
      <c r="A2985" t="s">
        <v>2714</v>
      </c>
    </row>
    <row r="2986" spans="1:1" x14ac:dyDescent="0.25">
      <c r="A2986" t="s">
        <v>2714</v>
      </c>
    </row>
    <row r="2987" spans="1:1" x14ac:dyDescent="0.25">
      <c r="A2987" t="s">
        <v>2714</v>
      </c>
    </row>
    <row r="2988" spans="1:1" x14ac:dyDescent="0.25">
      <c r="A2988" t="s">
        <v>2714</v>
      </c>
    </row>
    <row r="2989" spans="1:1" x14ac:dyDescent="0.25">
      <c r="A2989" t="s">
        <v>2714</v>
      </c>
    </row>
    <row r="2990" spans="1:1" x14ac:dyDescent="0.25">
      <c r="A2990" t="s">
        <v>2714</v>
      </c>
    </row>
    <row r="2991" spans="1:1" x14ac:dyDescent="0.25">
      <c r="A2991" t="s">
        <v>2714</v>
      </c>
    </row>
    <row r="2992" spans="1:1" x14ac:dyDescent="0.25">
      <c r="A2992" t="s">
        <v>2714</v>
      </c>
    </row>
    <row r="2993" spans="1:1" x14ac:dyDescent="0.25">
      <c r="A2993" t="s">
        <v>2714</v>
      </c>
    </row>
    <row r="2994" spans="1:1" x14ac:dyDescent="0.25">
      <c r="A2994" t="s">
        <v>2714</v>
      </c>
    </row>
    <row r="2995" spans="1:1" x14ac:dyDescent="0.25">
      <c r="A2995" t="s">
        <v>2714</v>
      </c>
    </row>
    <row r="2996" spans="1:1" x14ac:dyDescent="0.25">
      <c r="A2996" t="s">
        <v>2714</v>
      </c>
    </row>
    <row r="2997" spans="1:1" x14ac:dyDescent="0.25">
      <c r="A2997" t="s">
        <v>2714</v>
      </c>
    </row>
    <row r="2998" spans="1:1" x14ac:dyDescent="0.25">
      <c r="A2998" t="s">
        <v>2714</v>
      </c>
    </row>
    <row r="2999" spans="1:1" x14ac:dyDescent="0.25">
      <c r="A2999" t="s">
        <v>2714</v>
      </c>
    </row>
    <row r="3000" spans="1:1" x14ac:dyDescent="0.25">
      <c r="A3000" t="s">
        <v>2714</v>
      </c>
    </row>
    <row r="3001" spans="1:1" x14ac:dyDescent="0.25">
      <c r="A3001" t="s">
        <v>2714</v>
      </c>
    </row>
    <row r="3002" spans="1:1" x14ac:dyDescent="0.25">
      <c r="A3002" t="s">
        <v>2714</v>
      </c>
    </row>
    <row r="3003" spans="1:1" x14ac:dyDescent="0.25">
      <c r="A3003" t="s">
        <v>2714</v>
      </c>
    </row>
    <row r="3004" spans="1:1" x14ac:dyDescent="0.25">
      <c r="A3004" t="s">
        <v>2714</v>
      </c>
    </row>
    <row r="3005" spans="1:1" x14ac:dyDescent="0.25">
      <c r="A3005" t="s">
        <v>2714</v>
      </c>
    </row>
    <row r="3006" spans="1:1" x14ac:dyDescent="0.25">
      <c r="A3006" t="s">
        <v>2714</v>
      </c>
    </row>
    <row r="3007" spans="1:1" x14ac:dyDescent="0.25">
      <c r="A3007" t="s">
        <v>2714</v>
      </c>
    </row>
    <row r="3008" spans="1:1" x14ac:dyDescent="0.25">
      <c r="A3008" t="s">
        <v>2714</v>
      </c>
    </row>
    <row r="3009" spans="1:1" x14ac:dyDescent="0.25">
      <c r="A3009" t="s">
        <v>2714</v>
      </c>
    </row>
    <row r="3010" spans="1:1" x14ac:dyDescent="0.25">
      <c r="A3010" t="s">
        <v>2714</v>
      </c>
    </row>
    <row r="3011" spans="1:1" x14ac:dyDescent="0.25">
      <c r="A3011" t="s">
        <v>2714</v>
      </c>
    </row>
    <row r="3012" spans="1:1" x14ac:dyDescent="0.25">
      <c r="A3012" t="s">
        <v>2714</v>
      </c>
    </row>
    <row r="3013" spans="1:1" x14ac:dyDescent="0.25">
      <c r="A3013" t="s">
        <v>2714</v>
      </c>
    </row>
    <row r="3014" spans="1:1" x14ac:dyDescent="0.25">
      <c r="A3014" t="s">
        <v>2714</v>
      </c>
    </row>
    <row r="3015" spans="1:1" x14ac:dyDescent="0.25">
      <c r="A3015" t="s">
        <v>2714</v>
      </c>
    </row>
    <row r="3016" spans="1:1" x14ac:dyDescent="0.25">
      <c r="A3016" t="s">
        <v>2714</v>
      </c>
    </row>
    <row r="3017" spans="1:1" x14ac:dyDescent="0.25">
      <c r="A3017" t="s">
        <v>2714</v>
      </c>
    </row>
    <row r="3018" spans="1:1" x14ac:dyDescent="0.25">
      <c r="A3018" t="s">
        <v>2714</v>
      </c>
    </row>
    <row r="3019" spans="1:1" x14ac:dyDescent="0.25">
      <c r="A3019" t="s">
        <v>2714</v>
      </c>
    </row>
    <row r="3020" spans="1:1" x14ac:dyDescent="0.25">
      <c r="A3020" t="s">
        <v>2714</v>
      </c>
    </row>
    <row r="3021" spans="1:1" x14ac:dyDescent="0.25">
      <c r="A3021" t="s">
        <v>2714</v>
      </c>
    </row>
    <row r="3022" spans="1:1" x14ac:dyDescent="0.25">
      <c r="A3022" t="s">
        <v>2714</v>
      </c>
    </row>
    <row r="3023" spans="1:1" x14ac:dyDescent="0.25">
      <c r="A3023" t="s">
        <v>2714</v>
      </c>
    </row>
    <row r="3024" spans="1:1" x14ac:dyDescent="0.25">
      <c r="A3024" t="s">
        <v>2714</v>
      </c>
    </row>
    <row r="3025" spans="1:1" x14ac:dyDescent="0.25">
      <c r="A3025" t="s">
        <v>2714</v>
      </c>
    </row>
    <row r="3026" spans="1:1" x14ac:dyDescent="0.25">
      <c r="A3026" t="s">
        <v>2686</v>
      </c>
    </row>
    <row r="3029" spans="1:1" x14ac:dyDescent="0.25">
      <c r="A3029" t="s">
        <v>3391</v>
      </c>
    </row>
    <row r="3030" spans="1:1" x14ac:dyDescent="0.25">
      <c r="A3030" t="s">
        <v>3392</v>
      </c>
    </row>
    <row r="3031" spans="1:1" x14ac:dyDescent="0.25">
      <c r="A3031" t="s">
        <v>2713</v>
      </c>
    </row>
    <row r="3032" spans="1:1" x14ac:dyDescent="0.25">
      <c r="A3032" t="s">
        <v>2714</v>
      </c>
    </row>
    <row r="3033" spans="1:1" x14ac:dyDescent="0.25">
      <c r="A3033" t="s">
        <v>2714</v>
      </c>
    </row>
    <row r="3034" spans="1:1" x14ac:dyDescent="0.25">
      <c r="A3034" t="s">
        <v>2714</v>
      </c>
    </row>
    <row r="3035" spans="1:1" x14ac:dyDescent="0.25">
      <c r="A3035" t="s">
        <v>2714</v>
      </c>
    </row>
    <row r="3036" spans="1:1" x14ac:dyDescent="0.25">
      <c r="A3036" t="s">
        <v>2714</v>
      </c>
    </row>
    <row r="3037" spans="1:1" x14ac:dyDescent="0.25">
      <c r="A3037" t="s">
        <v>2714</v>
      </c>
    </row>
    <row r="3038" spans="1:1" x14ac:dyDescent="0.25">
      <c r="A3038" t="s">
        <v>2714</v>
      </c>
    </row>
    <row r="3039" spans="1:1" x14ac:dyDescent="0.25">
      <c r="A3039" t="s">
        <v>2714</v>
      </c>
    </row>
    <row r="3040" spans="1:1" x14ac:dyDescent="0.25">
      <c r="A3040" t="s">
        <v>2714</v>
      </c>
    </row>
    <row r="3041" spans="1:1" x14ac:dyDescent="0.25">
      <c r="A3041" t="s">
        <v>2714</v>
      </c>
    </row>
    <row r="3042" spans="1:1" x14ac:dyDescent="0.25">
      <c r="A3042" t="s">
        <v>2714</v>
      </c>
    </row>
    <row r="3043" spans="1:1" x14ac:dyDescent="0.25">
      <c r="A3043" t="s">
        <v>2714</v>
      </c>
    </row>
    <row r="3044" spans="1:1" x14ac:dyDescent="0.25">
      <c r="A3044" t="s">
        <v>2714</v>
      </c>
    </row>
    <row r="3045" spans="1:1" x14ac:dyDescent="0.25">
      <c r="A3045" t="s">
        <v>2714</v>
      </c>
    </row>
    <row r="3046" spans="1:1" x14ac:dyDescent="0.25">
      <c r="A3046" t="s">
        <v>2714</v>
      </c>
    </row>
    <row r="3047" spans="1:1" x14ac:dyDescent="0.25">
      <c r="A3047" t="s">
        <v>2714</v>
      </c>
    </row>
    <row r="3048" spans="1:1" x14ac:dyDescent="0.25">
      <c r="A3048" t="s">
        <v>2714</v>
      </c>
    </row>
    <row r="3049" spans="1:1" x14ac:dyDescent="0.25">
      <c r="A3049" t="s">
        <v>2714</v>
      </c>
    </row>
    <row r="3050" spans="1:1" x14ac:dyDescent="0.25">
      <c r="A3050" t="s">
        <v>2714</v>
      </c>
    </row>
    <row r="3051" spans="1:1" x14ac:dyDescent="0.25">
      <c r="A3051" t="s">
        <v>2714</v>
      </c>
    </row>
    <row r="3052" spans="1:1" x14ac:dyDescent="0.25">
      <c r="A3052" t="s">
        <v>2714</v>
      </c>
    </row>
    <row r="3053" spans="1:1" x14ac:dyDescent="0.25">
      <c r="A3053" t="s">
        <v>2714</v>
      </c>
    </row>
    <row r="3054" spans="1:1" x14ac:dyDescent="0.25">
      <c r="A3054" t="s">
        <v>2714</v>
      </c>
    </row>
    <row r="3055" spans="1:1" x14ac:dyDescent="0.25">
      <c r="A3055" t="s">
        <v>2714</v>
      </c>
    </row>
    <row r="3056" spans="1:1" x14ac:dyDescent="0.25">
      <c r="A3056" t="s">
        <v>2714</v>
      </c>
    </row>
    <row r="3057" spans="1:1" x14ac:dyDescent="0.25">
      <c r="A3057" t="s">
        <v>2714</v>
      </c>
    </row>
    <row r="3058" spans="1:1" x14ac:dyDescent="0.25">
      <c r="A3058" t="s">
        <v>2714</v>
      </c>
    </row>
    <row r="3059" spans="1:1" x14ac:dyDescent="0.25">
      <c r="A3059" t="s">
        <v>2714</v>
      </c>
    </row>
    <row r="3060" spans="1:1" x14ac:dyDescent="0.25">
      <c r="A3060" t="s">
        <v>2714</v>
      </c>
    </row>
    <row r="3061" spans="1:1" x14ac:dyDescent="0.25">
      <c r="A3061" t="s">
        <v>2714</v>
      </c>
    </row>
    <row r="3062" spans="1:1" x14ac:dyDescent="0.25">
      <c r="A3062" t="s">
        <v>2714</v>
      </c>
    </row>
    <row r="3063" spans="1:1" x14ac:dyDescent="0.25">
      <c r="A3063" t="s">
        <v>2714</v>
      </c>
    </row>
    <row r="3064" spans="1:1" x14ac:dyDescent="0.25">
      <c r="A3064" t="s">
        <v>2714</v>
      </c>
    </row>
    <row r="3065" spans="1:1" x14ac:dyDescent="0.25">
      <c r="A3065" t="s">
        <v>2714</v>
      </c>
    </row>
    <row r="3066" spans="1:1" x14ac:dyDescent="0.25">
      <c r="A3066" t="s">
        <v>2714</v>
      </c>
    </row>
    <row r="3067" spans="1:1" x14ac:dyDescent="0.25">
      <c r="A3067" t="s">
        <v>2714</v>
      </c>
    </row>
    <row r="3068" spans="1:1" x14ac:dyDescent="0.25">
      <c r="A3068" t="s">
        <v>2714</v>
      </c>
    </row>
    <row r="3069" spans="1:1" x14ac:dyDescent="0.25">
      <c r="A3069" t="s">
        <v>2714</v>
      </c>
    </row>
    <row r="3070" spans="1:1" x14ac:dyDescent="0.25">
      <c r="A3070" t="s">
        <v>2714</v>
      </c>
    </row>
    <row r="3071" spans="1:1" x14ac:dyDescent="0.25">
      <c r="A3071" t="s">
        <v>2714</v>
      </c>
    </row>
    <row r="3072" spans="1:1" x14ac:dyDescent="0.25">
      <c r="A3072" t="s">
        <v>2714</v>
      </c>
    </row>
    <row r="3073" spans="1:1" x14ac:dyDescent="0.25">
      <c r="A3073" t="s">
        <v>2714</v>
      </c>
    </row>
    <row r="3074" spans="1:1" x14ac:dyDescent="0.25">
      <c r="A3074" t="s">
        <v>2714</v>
      </c>
    </row>
    <row r="3075" spans="1:1" x14ac:dyDescent="0.25">
      <c r="A3075" t="s">
        <v>2714</v>
      </c>
    </row>
    <row r="3076" spans="1:1" x14ac:dyDescent="0.25">
      <c r="A3076" t="s">
        <v>2714</v>
      </c>
    </row>
    <row r="3077" spans="1:1" x14ac:dyDescent="0.25">
      <c r="A3077" t="s">
        <v>2714</v>
      </c>
    </row>
    <row r="3078" spans="1:1" x14ac:dyDescent="0.25">
      <c r="A3078" t="s">
        <v>2714</v>
      </c>
    </row>
    <row r="3079" spans="1:1" x14ac:dyDescent="0.25">
      <c r="A3079" t="s">
        <v>2714</v>
      </c>
    </row>
    <row r="3080" spans="1:1" x14ac:dyDescent="0.25">
      <c r="A3080" t="s">
        <v>2714</v>
      </c>
    </row>
    <row r="3081" spans="1:1" x14ac:dyDescent="0.25">
      <c r="A3081" t="s">
        <v>2714</v>
      </c>
    </row>
    <row r="3082" spans="1:1" x14ac:dyDescent="0.25">
      <c r="A3082" t="s">
        <v>2714</v>
      </c>
    </row>
    <row r="3083" spans="1:1" x14ac:dyDescent="0.25">
      <c r="A3083" t="s">
        <v>2714</v>
      </c>
    </row>
    <row r="3084" spans="1:1" x14ac:dyDescent="0.25">
      <c r="A3084" t="s">
        <v>2714</v>
      </c>
    </row>
    <row r="3085" spans="1:1" x14ac:dyDescent="0.25">
      <c r="A3085" t="s">
        <v>2714</v>
      </c>
    </row>
    <row r="3086" spans="1:1" x14ac:dyDescent="0.25">
      <c r="A3086" t="s">
        <v>2714</v>
      </c>
    </row>
    <row r="3087" spans="1:1" x14ac:dyDescent="0.25">
      <c r="A3087" t="s">
        <v>2714</v>
      </c>
    </row>
    <row r="3088" spans="1:1" x14ac:dyDescent="0.25">
      <c r="A3088" t="s">
        <v>2714</v>
      </c>
    </row>
    <row r="3089" spans="1:1" x14ac:dyDescent="0.25">
      <c r="A3089" t="s">
        <v>2686</v>
      </c>
    </row>
    <row r="3092" spans="1:1" x14ac:dyDescent="0.25">
      <c r="A3092" t="s">
        <v>3393</v>
      </c>
    </row>
    <row r="3093" spans="1:1" x14ac:dyDescent="0.25">
      <c r="A3093" t="s">
        <v>3337</v>
      </c>
    </row>
    <row r="3094" spans="1:1" x14ac:dyDescent="0.25">
      <c r="A3094" t="s">
        <v>3338</v>
      </c>
    </row>
    <row r="3095" spans="1:1" x14ac:dyDescent="0.25">
      <c r="A3095" t="s">
        <v>3339</v>
      </c>
    </row>
    <row r="3096" spans="1:1" x14ac:dyDescent="0.25">
      <c r="A3096" t="s">
        <v>3340</v>
      </c>
    </row>
    <row r="3097" spans="1:1" x14ac:dyDescent="0.25">
      <c r="A3097" t="s">
        <v>2713</v>
      </c>
    </row>
    <row r="3098" spans="1:1" x14ac:dyDescent="0.25">
      <c r="A3098" t="s">
        <v>2714</v>
      </c>
    </row>
    <row r="3099" spans="1:1" x14ac:dyDescent="0.25">
      <c r="A3099" t="s">
        <v>2714</v>
      </c>
    </row>
    <row r="3100" spans="1:1" x14ac:dyDescent="0.25">
      <c r="A3100" t="s">
        <v>2714</v>
      </c>
    </row>
    <row r="3101" spans="1:1" x14ac:dyDescent="0.25">
      <c r="A3101" t="s">
        <v>2714</v>
      </c>
    </row>
    <row r="3102" spans="1:1" x14ac:dyDescent="0.25">
      <c r="A3102" t="s">
        <v>2714</v>
      </c>
    </row>
    <row r="3103" spans="1:1" x14ac:dyDescent="0.25">
      <c r="A3103" t="s">
        <v>2714</v>
      </c>
    </row>
    <row r="3104" spans="1:1" x14ac:dyDescent="0.25">
      <c r="A3104" t="s">
        <v>2714</v>
      </c>
    </row>
    <row r="3105" spans="1:1" x14ac:dyDescent="0.25">
      <c r="A3105" t="s">
        <v>2714</v>
      </c>
    </row>
    <row r="3106" spans="1:1" x14ac:dyDescent="0.25">
      <c r="A3106" t="s">
        <v>2714</v>
      </c>
    </row>
    <row r="3107" spans="1:1" x14ac:dyDescent="0.25">
      <c r="A3107" t="s">
        <v>2714</v>
      </c>
    </row>
    <row r="3108" spans="1:1" x14ac:dyDescent="0.25">
      <c r="A3108" t="s">
        <v>2714</v>
      </c>
    </row>
    <row r="3109" spans="1:1" x14ac:dyDescent="0.25">
      <c r="A3109" t="s">
        <v>2714</v>
      </c>
    </row>
    <row r="3110" spans="1:1" x14ac:dyDescent="0.25">
      <c r="A3110" t="s">
        <v>2714</v>
      </c>
    </row>
    <row r="3111" spans="1:1" x14ac:dyDescent="0.25">
      <c r="A3111" t="s">
        <v>2714</v>
      </c>
    </row>
    <row r="3112" spans="1:1" x14ac:dyDescent="0.25">
      <c r="A3112" t="s">
        <v>2714</v>
      </c>
    </row>
    <row r="3113" spans="1:1" x14ac:dyDescent="0.25">
      <c r="A3113" t="s">
        <v>2714</v>
      </c>
    </row>
    <row r="3114" spans="1:1" x14ac:dyDescent="0.25">
      <c r="A3114" t="s">
        <v>2714</v>
      </c>
    </row>
    <row r="3115" spans="1:1" x14ac:dyDescent="0.25">
      <c r="A3115" t="s">
        <v>2714</v>
      </c>
    </row>
    <row r="3116" spans="1:1" x14ac:dyDescent="0.25">
      <c r="A3116" t="s">
        <v>2714</v>
      </c>
    </row>
    <row r="3117" spans="1:1" x14ac:dyDescent="0.25">
      <c r="A3117" t="s">
        <v>2714</v>
      </c>
    </row>
    <row r="3118" spans="1:1" x14ac:dyDescent="0.25">
      <c r="A3118" t="s">
        <v>2714</v>
      </c>
    </row>
    <row r="3119" spans="1:1" x14ac:dyDescent="0.25">
      <c r="A3119" t="s">
        <v>2714</v>
      </c>
    </row>
    <row r="3120" spans="1:1" x14ac:dyDescent="0.25">
      <c r="A3120" t="s">
        <v>2714</v>
      </c>
    </row>
    <row r="3121" spans="1:1" x14ac:dyDescent="0.25">
      <c r="A3121" t="s">
        <v>2714</v>
      </c>
    </row>
    <row r="3122" spans="1:1" x14ac:dyDescent="0.25">
      <c r="A3122" t="s">
        <v>2714</v>
      </c>
    </row>
    <row r="3123" spans="1:1" x14ac:dyDescent="0.25">
      <c r="A3123" t="s">
        <v>2714</v>
      </c>
    </row>
    <row r="3124" spans="1:1" x14ac:dyDescent="0.25">
      <c r="A3124" t="s">
        <v>2714</v>
      </c>
    </row>
    <row r="3125" spans="1:1" x14ac:dyDescent="0.25">
      <c r="A3125" t="s">
        <v>2714</v>
      </c>
    </row>
    <row r="3126" spans="1:1" x14ac:dyDescent="0.25">
      <c r="A3126" t="s">
        <v>2714</v>
      </c>
    </row>
    <row r="3127" spans="1:1" x14ac:dyDescent="0.25">
      <c r="A3127" t="s">
        <v>2714</v>
      </c>
    </row>
    <row r="3128" spans="1:1" x14ac:dyDescent="0.25">
      <c r="A3128" t="s">
        <v>2714</v>
      </c>
    </row>
    <row r="3129" spans="1:1" x14ac:dyDescent="0.25">
      <c r="A3129" t="s">
        <v>2714</v>
      </c>
    </row>
    <row r="3130" spans="1:1" x14ac:dyDescent="0.25">
      <c r="A3130" t="s">
        <v>2714</v>
      </c>
    </row>
    <row r="3131" spans="1:1" x14ac:dyDescent="0.25">
      <c r="A3131" t="s">
        <v>2714</v>
      </c>
    </row>
    <row r="3132" spans="1:1" x14ac:dyDescent="0.25">
      <c r="A3132" t="s">
        <v>2714</v>
      </c>
    </row>
    <row r="3133" spans="1:1" x14ac:dyDescent="0.25">
      <c r="A3133" t="s">
        <v>2714</v>
      </c>
    </row>
    <row r="3134" spans="1:1" x14ac:dyDescent="0.25">
      <c r="A3134" t="s">
        <v>2714</v>
      </c>
    </row>
    <row r="3135" spans="1:1" x14ac:dyDescent="0.25">
      <c r="A3135" t="s">
        <v>2714</v>
      </c>
    </row>
    <row r="3136" spans="1:1" x14ac:dyDescent="0.25">
      <c r="A3136" t="s">
        <v>2714</v>
      </c>
    </row>
    <row r="3137" spans="1:1" x14ac:dyDescent="0.25">
      <c r="A3137" t="s">
        <v>2714</v>
      </c>
    </row>
    <row r="3138" spans="1:1" x14ac:dyDescent="0.25">
      <c r="A3138" t="s">
        <v>2714</v>
      </c>
    </row>
    <row r="3139" spans="1:1" x14ac:dyDescent="0.25">
      <c r="A3139" t="s">
        <v>2714</v>
      </c>
    </row>
    <row r="3140" spans="1:1" x14ac:dyDescent="0.25">
      <c r="A3140" t="s">
        <v>2714</v>
      </c>
    </row>
    <row r="3141" spans="1:1" x14ac:dyDescent="0.25">
      <c r="A3141" t="s">
        <v>2714</v>
      </c>
    </row>
    <row r="3142" spans="1:1" x14ac:dyDescent="0.25">
      <c r="A3142" t="s">
        <v>2714</v>
      </c>
    </row>
    <row r="3143" spans="1:1" x14ac:dyDescent="0.25">
      <c r="A3143" t="s">
        <v>2714</v>
      </c>
    </row>
    <row r="3144" spans="1:1" x14ac:dyDescent="0.25">
      <c r="A3144" t="s">
        <v>2714</v>
      </c>
    </row>
    <row r="3145" spans="1:1" x14ac:dyDescent="0.25">
      <c r="A3145" t="s">
        <v>2714</v>
      </c>
    </row>
    <row r="3146" spans="1:1" x14ac:dyDescent="0.25">
      <c r="A3146" t="s">
        <v>2714</v>
      </c>
    </row>
    <row r="3147" spans="1:1" x14ac:dyDescent="0.25">
      <c r="A3147" t="s">
        <v>2714</v>
      </c>
    </row>
    <row r="3148" spans="1:1" x14ac:dyDescent="0.25">
      <c r="A3148" t="s">
        <v>2714</v>
      </c>
    </row>
    <row r="3149" spans="1:1" x14ac:dyDescent="0.25">
      <c r="A3149" t="s">
        <v>2714</v>
      </c>
    </row>
    <row r="3150" spans="1:1" x14ac:dyDescent="0.25">
      <c r="A3150" t="s">
        <v>2714</v>
      </c>
    </row>
    <row r="3151" spans="1:1" x14ac:dyDescent="0.25">
      <c r="A3151" t="s">
        <v>2714</v>
      </c>
    </row>
    <row r="3152" spans="1:1" x14ac:dyDescent="0.25">
      <c r="A3152" t="s">
        <v>2686</v>
      </c>
    </row>
    <row r="3155" spans="1:1" x14ac:dyDescent="0.25">
      <c r="A3155" t="s">
        <v>3394</v>
      </c>
    </row>
    <row r="3156" spans="1:1" x14ac:dyDescent="0.25">
      <c r="A3156" t="s">
        <v>2868</v>
      </c>
    </row>
    <row r="3157" spans="1:1" x14ac:dyDescent="0.25">
      <c r="A3157" t="s">
        <v>2869</v>
      </c>
    </row>
    <row r="3158" spans="1:1" x14ac:dyDescent="0.25">
      <c r="A3158" t="s">
        <v>2870</v>
      </c>
    </row>
    <row r="3159" spans="1:1" x14ac:dyDescent="0.25">
      <c r="A3159" t="s">
        <v>2871</v>
      </c>
    </row>
    <row r="3160" spans="1:1" x14ac:dyDescent="0.25">
      <c r="A3160" t="s">
        <v>2872</v>
      </c>
    </row>
    <row r="3161" spans="1:1" x14ac:dyDescent="0.25">
      <c r="A3161" t="s">
        <v>2873</v>
      </c>
    </row>
    <row r="3162" spans="1:1" x14ac:dyDescent="0.25">
      <c r="A3162" t="s">
        <v>2874</v>
      </c>
    </row>
    <row r="3163" spans="1:1" x14ac:dyDescent="0.25">
      <c r="A3163" t="s">
        <v>2875</v>
      </c>
    </row>
    <row r="3164" spans="1:1" x14ac:dyDescent="0.25">
      <c r="A3164" t="s">
        <v>2876</v>
      </c>
    </row>
    <row r="3165" spans="1:1" x14ac:dyDescent="0.25">
      <c r="A3165" t="s">
        <v>2877</v>
      </c>
    </row>
    <row r="3166" spans="1:1" x14ac:dyDescent="0.25">
      <c r="A3166" t="s">
        <v>2878</v>
      </c>
    </row>
    <row r="3167" spans="1:1" x14ac:dyDescent="0.25">
      <c r="A3167" t="s">
        <v>2879</v>
      </c>
    </row>
    <row r="3168" spans="1:1" x14ac:dyDescent="0.25">
      <c r="A3168" t="s">
        <v>2713</v>
      </c>
    </row>
    <row r="3169" spans="1:1" x14ac:dyDescent="0.25">
      <c r="A3169" t="s">
        <v>2714</v>
      </c>
    </row>
    <row r="3170" spans="1:1" x14ac:dyDescent="0.25">
      <c r="A3170" t="s">
        <v>2714</v>
      </c>
    </row>
    <row r="3171" spans="1:1" x14ac:dyDescent="0.25">
      <c r="A3171" t="s">
        <v>2714</v>
      </c>
    </row>
    <row r="3172" spans="1:1" x14ac:dyDescent="0.25">
      <c r="A3172" t="s">
        <v>2714</v>
      </c>
    </row>
    <row r="3173" spans="1:1" x14ac:dyDescent="0.25">
      <c r="A3173" t="s">
        <v>2714</v>
      </c>
    </row>
    <row r="3174" spans="1:1" x14ac:dyDescent="0.25">
      <c r="A3174" t="s">
        <v>2714</v>
      </c>
    </row>
    <row r="3175" spans="1:1" x14ac:dyDescent="0.25">
      <c r="A3175" t="s">
        <v>2714</v>
      </c>
    </row>
    <row r="3176" spans="1:1" x14ac:dyDescent="0.25">
      <c r="A3176" t="s">
        <v>2714</v>
      </c>
    </row>
    <row r="3177" spans="1:1" x14ac:dyDescent="0.25">
      <c r="A3177" t="s">
        <v>2714</v>
      </c>
    </row>
    <row r="3178" spans="1:1" x14ac:dyDescent="0.25">
      <c r="A3178" t="s">
        <v>2714</v>
      </c>
    </row>
    <row r="3179" spans="1:1" x14ac:dyDescent="0.25">
      <c r="A3179" t="s">
        <v>2714</v>
      </c>
    </row>
    <row r="3180" spans="1:1" x14ac:dyDescent="0.25">
      <c r="A3180" t="s">
        <v>2714</v>
      </c>
    </row>
    <row r="3181" spans="1:1" x14ac:dyDescent="0.25">
      <c r="A3181" t="s">
        <v>2714</v>
      </c>
    </row>
    <row r="3182" spans="1:1" x14ac:dyDescent="0.25">
      <c r="A3182" t="s">
        <v>2714</v>
      </c>
    </row>
    <row r="3183" spans="1:1" x14ac:dyDescent="0.25">
      <c r="A3183" t="s">
        <v>2714</v>
      </c>
    </row>
    <row r="3184" spans="1:1" x14ac:dyDescent="0.25">
      <c r="A3184" t="s">
        <v>2714</v>
      </c>
    </row>
    <row r="3185" spans="1:1" x14ac:dyDescent="0.25">
      <c r="A3185" t="s">
        <v>2714</v>
      </c>
    </row>
    <row r="3186" spans="1:1" x14ac:dyDescent="0.25">
      <c r="A3186" t="s">
        <v>2714</v>
      </c>
    </row>
    <row r="3187" spans="1:1" x14ac:dyDescent="0.25">
      <c r="A3187" t="s">
        <v>2714</v>
      </c>
    </row>
    <row r="3188" spans="1:1" x14ac:dyDescent="0.25">
      <c r="A3188" t="s">
        <v>2714</v>
      </c>
    </row>
    <row r="3189" spans="1:1" x14ac:dyDescent="0.25">
      <c r="A3189" t="s">
        <v>2714</v>
      </c>
    </row>
    <row r="3190" spans="1:1" x14ac:dyDescent="0.25">
      <c r="A3190" t="s">
        <v>2714</v>
      </c>
    </row>
    <row r="3191" spans="1:1" x14ac:dyDescent="0.25">
      <c r="A3191" t="s">
        <v>2714</v>
      </c>
    </row>
    <row r="3192" spans="1:1" x14ac:dyDescent="0.25">
      <c r="A3192" t="s">
        <v>2714</v>
      </c>
    </row>
    <row r="3193" spans="1:1" x14ac:dyDescent="0.25">
      <c r="A3193" t="s">
        <v>2714</v>
      </c>
    </row>
    <row r="3194" spans="1:1" x14ac:dyDescent="0.25">
      <c r="A3194" t="s">
        <v>2714</v>
      </c>
    </row>
    <row r="3195" spans="1:1" x14ac:dyDescent="0.25">
      <c r="A3195" t="s">
        <v>2714</v>
      </c>
    </row>
    <row r="3196" spans="1:1" x14ac:dyDescent="0.25">
      <c r="A3196" t="s">
        <v>2714</v>
      </c>
    </row>
    <row r="3197" spans="1:1" x14ac:dyDescent="0.25">
      <c r="A3197" t="s">
        <v>2714</v>
      </c>
    </row>
    <row r="3198" spans="1:1" x14ac:dyDescent="0.25">
      <c r="A3198" t="s">
        <v>2714</v>
      </c>
    </row>
    <row r="3199" spans="1:1" x14ac:dyDescent="0.25">
      <c r="A3199" t="s">
        <v>2714</v>
      </c>
    </row>
    <row r="3200" spans="1:1" x14ac:dyDescent="0.25">
      <c r="A3200" t="s">
        <v>2714</v>
      </c>
    </row>
    <row r="3201" spans="1:1" x14ac:dyDescent="0.25">
      <c r="A3201" t="s">
        <v>2714</v>
      </c>
    </row>
    <row r="3202" spans="1:1" x14ac:dyDescent="0.25">
      <c r="A3202" t="s">
        <v>2714</v>
      </c>
    </row>
    <row r="3203" spans="1:1" x14ac:dyDescent="0.25">
      <c r="A3203" t="s">
        <v>2714</v>
      </c>
    </row>
    <row r="3204" spans="1:1" x14ac:dyDescent="0.25">
      <c r="A3204" t="s">
        <v>2714</v>
      </c>
    </row>
    <row r="3205" spans="1:1" x14ac:dyDescent="0.25">
      <c r="A3205" t="s">
        <v>2714</v>
      </c>
    </row>
    <row r="3206" spans="1:1" x14ac:dyDescent="0.25">
      <c r="A3206" t="s">
        <v>2714</v>
      </c>
    </row>
    <row r="3207" spans="1:1" x14ac:dyDescent="0.25">
      <c r="A3207" t="s">
        <v>2714</v>
      </c>
    </row>
    <row r="3208" spans="1:1" x14ac:dyDescent="0.25">
      <c r="A3208" t="s">
        <v>2714</v>
      </c>
    </row>
    <row r="3209" spans="1:1" x14ac:dyDescent="0.25">
      <c r="A3209" t="s">
        <v>2714</v>
      </c>
    </row>
    <row r="3210" spans="1:1" x14ac:dyDescent="0.25">
      <c r="A3210" t="s">
        <v>2714</v>
      </c>
    </row>
    <row r="3211" spans="1:1" x14ac:dyDescent="0.25">
      <c r="A3211" t="s">
        <v>2714</v>
      </c>
    </row>
    <row r="3212" spans="1:1" x14ac:dyDescent="0.25">
      <c r="A3212" t="s">
        <v>2714</v>
      </c>
    </row>
    <row r="3213" spans="1:1" x14ac:dyDescent="0.25">
      <c r="A3213" t="s">
        <v>2714</v>
      </c>
    </row>
    <row r="3214" spans="1:1" x14ac:dyDescent="0.25">
      <c r="A3214" t="s">
        <v>2714</v>
      </c>
    </row>
    <row r="3215" spans="1:1" x14ac:dyDescent="0.25">
      <c r="A3215" t="s">
        <v>2686</v>
      </c>
    </row>
    <row r="3218" spans="1:1" x14ac:dyDescent="0.25">
      <c r="A3218" t="s">
        <v>3395</v>
      </c>
    </row>
    <row r="3219" spans="1:1" x14ac:dyDescent="0.25">
      <c r="A3219" t="s">
        <v>2713</v>
      </c>
    </row>
    <row r="3220" spans="1:1" x14ac:dyDescent="0.25">
      <c r="A3220" t="s">
        <v>2714</v>
      </c>
    </row>
    <row r="3221" spans="1:1" x14ac:dyDescent="0.25">
      <c r="A3221" t="s">
        <v>2714</v>
      </c>
    </row>
    <row r="3222" spans="1:1" x14ac:dyDescent="0.25">
      <c r="A3222" t="s">
        <v>2714</v>
      </c>
    </row>
    <row r="3223" spans="1:1" x14ac:dyDescent="0.25">
      <c r="A3223" t="s">
        <v>2714</v>
      </c>
    </row>
    <row r="3224" spans="1:1" x14ac:dyDescent="0.25">
      <c r="A3224" t="s">
        <v>2714</v>
      </c>
    </row>
    <row r="3225" spans="1:1" x14ac:dyDescent="0.25">
      <c r="A3225" t="s">
        <v>2714</v>
      </c>
    </row>
    <row r="3226" spans="1:1" x14ac:dyDescent="0.25">
      <c r="A3226" t="s">
        <v>2714</v>
      </c>
    </row>
    <row r="3227" spans="1:1" x14ac:dyDescent="0.25">
      <c r="A3227" t="s">
        <v>2714</v>
      </c>
    </row>
    <row r="3228" spans="1:1" x14ac:dyDescent="0.25">
      <c r="A3228" t="s">
        <v>2714</v>
      </c>
    </row>
    <row r="3229" spans="1:1" x14ac:dyDescent="0.25">
      <c r="A3229" t="s">
        <v>2714</v>
      </c>
    </row>
    <row r="3230" spans="1:1" x14ac:dyDescent="0.25">
      <c r="A3230" t="s">
        <v>2714</v>
      </c>
    </row>
    <row r="3231" spans="1:1" x14ac:dyDescent="0.25">
      <c r="A3231" t="s">
        <v>2714</v>
      </c>
    </row>
    <row r="3232" spans="1:1" x14ac:dyDescent="0.25">
      <c r="A3232" t="s">
        <v>2714</v>
      </c>
    </row>
    <row r="3233" spans="1:1" x14ac:dyDescent="0.25">
      <c r="A3233" t="s">
        <v>2714</v>
      </c>
    </row>
    <row r="3234" spans="1:1" x14ac:dyDescent="0.25">
      <c r="A3234" t="s">
        <v>2714</v>
      </c>
    </row>
    <row r="3235" spans="1:1" x14ac:dyDescent="0.25">
      <c r="A3235" t="s">
        <v>2714</v>
      </c>
    </row>
    <row r="3236" spans="1:1" x14ac:dyDescent="0.25">
      <c r="A3236" t="s">
        <v>2714</v>
      </c>
    </row>
    <row r="3237" spans="1:1" x14ac:dyDescent="0.25">
      <c r="A3237" t="s">
        <v>2714</v>
      </c>
    </row>
    <row r="3238" spans="1:1" x14ac:dyDescent="0.25">
      <c r="A3238" t="s">
        <v>2714</v>
      </c>
    </row>
    <row r="3239" spans="1:1" x14ac:dyDescent="0.25">
      <c r="A3239" t="s">
        <v>2714</v>
      </c>
    </row>
    <row r="3240" spans="1:1" x14ac:dyDescent="0.25">
      <c r="A3240" t="s">
        <v>2714</v>
      </c>
    </row>
    <row r="3241" spans="1:1" x14ac:dyDescent="0.25">
      <c r="A3241" t="s">
        <v>2714</v>
      </c>
    </row>
    <row r="3242" spans="1:1" x14ac:dyDescent="0.25">
      <c r="A3242" t="s">
        <v>2714</v>
      </c>
    </row>
    <row r="3243" spans="1:1" x14ac:dyDescent="0.25">
      <c r="A3243" t="s">
        <v>2714</v>
      </c>
    </row>
    <row r="3244" spans="1:1" x14ac:dyDescent="0.25">
      <c r="A3244" t="s">
        <v>2714</v>
      </c>
    </row>
    <row r="3245" spans="1:1" x14ac:dyDescent="0.25">
      <c r="A3245" t="s">
        <v>2714</v>
      </c>
    </row>
    <row r="3246" spans="1:1" x14ac:dyDescent="0.25">
      <c r="A3246" t="s">
        <v>2714</v>
      </c>
    </row>
    <row r="3247" spans="1:1" x14ac:dyDescent="0.25">
      <c r="A3247" t="s">
        <v>2714</v>
      </c>
    </row>
    <row r="3248" spans="1:1" x14ac:dyDescent="0.25">
      <c r="A3248" t="s">
        <v>2714</v>
      </c>
    </row>
    <row r="3249" spans="1:1" x14ac:dyDescent="0.25">
      <c r="A3249" t="s">
        <v>2714</v>
      </c>
    </row>
    <row r="3250" spans="1:1" x14ac:dyDescent="0.25">
      <c r="A3250" t="s">
        <v>2714</v>
      </c>
    </row>
    <row r="3251" spans="1:1" x14ac:dyDescent="0.25">
      <c r="A3251" t="s">
        <v>2714</v>
      </c>
    </row>
    <row r="3252" spans="1:1" x14ac:dyDescent="0.25">
      <c r="A3252" t="s">
        <v>2714</v>
      </c>
    </row>
    <row r="3253" spans="1:1" x14ac:dyDescent="0.25">
      <c r="A3253" t="s">
        <v>2714</v>
      </c>
    </row>
    <row r="3254" spans="1:1" x14ac:dyDescent="0.25">
      <c r="A3254" t="s">
        <v>2714</v>
      </c>
    </row>
    <row r="3255" spans="1:1" x14ac:dyDescent="0.25">
      <c r="A3255" t="s">
        <v>2714</v>
      </c>
    </row>
    <row r="3256" spans="1:1" x14ac:dyDescent="0.25">
      <c r="A3256" t="s">
        <v>2714</v>
      </c>
    </row>
    <row r="3257" spans="1:1" x14ac:dyDescent="0.25">
      <c r="A3257" t="s">
        <v>2714</v>
      </c>
    </row>
    <row r="3258" spans="1:1" x14ac:dyDescent="0.25">
      <c r="A3258" t="s">
        <v>2714</v>
      </c>
    </row>
    <row r="3259" spans="1:1" x14ac:dyDescent="0.25">
      <c r="A3259" t="s">
        <v>2714</v>
      </c>
    </row>
    <row r="3260" spans="1:1" x14ac:dyDescent="0.25">
      <c r="A3260" t="s">
        <v>2714</v>
      </c>
    </row>
    <row r="3261" spans="1:1" x14ac:dyDescent="0.25">
      <c r="A3261" t="s">
        <v>2714</v>
      </c>
    </row>
    <row r="3262" spans="1:1" x14ac:dyDescent="0.25">
      <c r="A3262" t="s">
        <v>2714</v>
      </c>
    </row>
    <row r="3263" spans="1:1" x14ac:dyDescent="0.25">
      <c r="A3263" t="s">
        <v>2714</v>
      </c>
    </row>
    <row r="3264" spans="1:1" x14ac:dyDescent="0.25">
      <c r="A3264" t="s">
        <v>2714</v>
      </c>
    </row>
    <row r="3265" spans="1:1" x14ac:dyDescent="0.25">
      <c r="A3265" t="s">
        <v>2714</v>
      </c>
    </row>
    <row r="3266" spans="1:1" x14ac:dyDescent="0.25">
      <c r="A3266" t="s">
        <v>2714</v>
      </c>
    </row>
    <row r="3267" spans="1:1" x14ac:dyDescent="0.25">
      <c r="A3267" t="s">
        <v>2714</v>
      </c>
    </row>
    <row r="3268" spans="1:1" x14ac:dyDescent="0.25">
      <c r="A3268" t="s">
        <v>2714</v>
      </c>
    </row>
    <row r="3269" spans="1:1" x14ac:dyDescent="0.25">
      <c r="A3269" t="s">
        <v>2714</v>
      </c>
    </row>
    <row r="3270" spans="1:1" x14ac:dyDescent="0.25">
      <c r="A3270" t="s">
        <v>2714</v>
      </c>
    </row>
    <row r="3271" spans="1:1" x14ac:dyDescent="0.25">
      <c r="A3271" t="s">
        <v>2714</v>
      </c>
    </row>
    <row r="3272" spans="1:1" x14ac:dyDescent="0.25">
      <c r="A3272" t="s">
        <v>2714</v>
      </c>
    </row>
    <row r="3273" spans="1:1" x14ac:dyDescent="0.25">
      <c r="A3273" t="s">
        <v>2714</v>
      </c>
    </row>
    <row r="3274" spans="1:1" x14ac:dyDescent="0.25">
      <c r="A3274" t="s">
        <v>2714</v>
      </c>
    </row>
    <row r="3275" spans="1:1" x14ac:dyDescent="0.25">
      <c r="A3275" t="s">
        <v>2714</v>
      </c>
    </row>
    <row r="3276" spans="1:1" x14ac:dyDescent="0.25">
      <c r="A3276" t="s">
        <v>2714</v>
      </c>
    </row>
    <row r="3277" spans="1:1" x14ac:dyDescent="0.25">
      <c r="A3277" t="s">
        <v>2714</v>
      </c>
    </row>
    <row r="3278" spans="1:1" x14ac:dyDescent="0.25">
      <c r="A3278" t="s">
        <v>2686</v>
      </c>
    </row>
    <row r="3281" spans="1:1" x14ac:dyDescent="0.25">
      <c r="A3281" t="s">
        <v>3396</v>
      </c>
    </row>
    <row r="3282" spans="1:1" x14ac:dyDescent="0.25">
      <c r="A3282" t="s">
        <v>3346</v>
      </c>
    </row>
    <row r="3283" spans="1:1" x14ac:dyDescent="0.25">
      <c r="A3283" t="s">
        <v>3347</v>
      </c>
    </row>
    <row r="3284" spans="1:1" x14ac:dyDescent="0.25">
      <c r="A3284" t="s">
        <v>3348</v>
      </c>
    </row>
    <row r="3285" spans="1:1" x14ac:dyDescent="0.25">
      <c r="A3285" t="s">
        <v>3349</v>
      </c>
    </row>
    <row r="3286" spans="1:1" x14ac:dyDescent="0.25">
      <c r="A3286" t="s">
        <v>3350</v>
      </c>
    </row>
    <row r="3287" spans="1:1" x14ac:dyDescent="0.25">
      <c r="A3287" t="s">
        <v>3351</v>
      </c>
    </row>
    <row r="3288" spans="1:1" x14ac:dyDescent="0.25">
      <c r="A3288" t="s">
        <v>3352</v>
      </c>
    </row>
    <row r="3289" spans="1:1" x14ac:dyDescent="0.25">
      <c r="A3289" t="s">
        <v>3353</v>
      </c>
    </row>
    <row r="3290" spans="1:1" x14ac:dyDescent="0.25">
      <c r="A3290" t="s">
        <v>3354</v>
      </c>
    </row>
    <row r="3291" spans="1:1" x14ac:dyDescent="0.25">
      <c r="A3291" t="s">
        <v>3355</v>
      </c>
    </row>
    <row r="3292" spans="1:1" x14ac:dyDescent="0.25">
      <c r="A3292" t="s">
        <v>3356</v>
      </c>
    </row>
    <row r="3293" spans="1:1" x14ac:dyDescent="0.25">
      <c r="A3293" t="s">
        <v>3357</v>
      </c>
    </row>
    <row r="3294" spans="1:1" x14ac:dyDescent="0.25">
      <c r="A3294" t="s">
        <v>3397</v>
      </c>
    </row>
    <row r="3295" spans="1:1" x14ac:dyDescent="0.25">
      <c r="A3295" t="s">
        <v>3398</v>
      </c>
    </row>
    <row r="3296" spans="1:1" x14ac:dyDescent="0.25">
      <c r="A3296" t="s">
        <v>3399</v>
      </c>
    </row>
    <row r="3297" spans="1:1" x14ac:dyDescent="0.25">
      <c r="A3297" t="s">
        <v>2713</v>
      </c>
    </row>
    <row r="3298" spans="1:1" x14ac:dyDescent="0.25">
      <c r="A3298" t="s">
        <v>2714</v>
      </c>
    </row>
    <row r="3299" spans="1:1" x14ac:dyDescent="0.25">
      <c r="A3299" t="s">
        <v>2714</v>
      </c>
    </row>
    <row r="3300" spans="1:1" x14ac:dyDescent="0.25">
      <c r="A3300" t="s">
        <v>2714</v>
      </c>
    </row>
    <row r="3301" spans="1:1" x14ac:dyDescent="0.25">
      <c r="A3301" t="s">
        <v>2714</v>
      </c>
    </row>
    <row r="3302" spans="1:1" x14ac:dyDescent="0.25">
      <c r="A3302" t="s">
        <v>2714</v>
      </c>
    </row>
    <row r="3303" spans="1:1" x14ac:dyDescent="0.25">
      <c r="A3303" t="s">
        <v>2714</v>
      </c>
    </row>
    <row r="3304" spans="1:1" x14ac:dyDescent="0.25">
      <c r="A3304" t="s">
        <v>2714</v>
      </c>
    </row>
    <row r="3305" spans="1:1" x14ac:dyDescent="0.25">
      <c r="A3305" t="s">
        <v>2714</v>
      </c>
    </row>
    <row r="3306" spans="1:1" x14ac:dyDescent="0.25">
      <c r="A3306" t="s">
        <v>2714</v>
      </c>
    </row>
    <row r="3307" spans="1:1" x14ac:dyDescent="0.25">
      <c r="A3307" t="s">
        <v>2714</v>
      </c>
    </row>
    <row r="3308" spans="1:1" x14ac:dyDescent="0.25">
      <c r="A3308" t="s">
        <v>2714</v>
      </c>
    </row>
    <row r="3309" spans="1:1" x14ac:dyDescent="0.25">
      <c r="A3309" t="s">
        <v>2714</v>
      </c>
    </row>
    <row r="3310" spans="1:1" x14ac:dyDescent="0.25">
      <c r="A3310" t="s">
        <v>2714</v>
      </c>
    </row>
    <row r="3311" spans="1:1" x14ac:dyDescent="0.25">
      <c r="A3311" t="s">
        <v>2714</v>
      </c>
    </row>
    <row r="3312" spans="1:1" x14ac:dyDescent="0.25">
      <c r="A3312" t="s">
        <v>2714</v>
      </c>
    </row>
    <row r="3313" spans="1:1" x14ac:dyDescent="0.25">
      <c r="A3313" t="s">
        <v>2714</v>
      </c>
    </row>
    <row r="3314" spans="1:1" x14ac:dyDescent="0.25">
      <c r="A3314" t="s">
        <v>2714</v>
      </c>
    </row>
    <row r="3315" spans="1:1" x14ac:dyDescent="0.25">
      <c r="A3315" t="s">
        <v>2714</v>
      </c>
    </row>
    <row r="3316" spans="1:1" x14ac:dyDescent="0.25">
      <c r="A3316" t="s">
        <v>2714</v>
      </c>
    </row>
    <row r="3317" spans="1:1" x14ac:dyDescent="0.25">
      <c r="A3317" t="s">
        <v>2714</v>
      </c>
    </row>
    <row r="3318" spans="1:1" x14ac:dyDescent="0.25">
      <c r="A3318" t="s">
        <v>2714</v>
      </c>
    </row>
    <row r="3319" spans="1:1" x14ac:dyDescent="0.25">
      <c r="A3319" t="s">
        <v>2714</v>
      </c>
    </row>
    <row r="3320" spans="1:1" x14ac:dyDescent="0.25">
      <c r="A3320" t="s">
        <v>2714</v>
      </c>
    </row>
    <row r="3321" spans="1:1" x14ac:dyDescent="0.25">
      <c r="A3321" t="s">
        <v>2714</v>
      </c>
    </row>
    <row r="3322" spans="1:1" x14ac:dyDescent="0.25">
      <c r="A3322" t="s">
        <v>2714</v>
      </c>
    </row>
    <row r="3323" spans="1:1" x14ac:dyDescent="0.25">
      <c r="A3323" t="s">
        <v>2714</v>
      </c>
    </row>
    <row r="3324" spans="1:1" x14ac:dyDescent="0.25">
      <c r="A3324" t="s">
        <v>2714</v>
      </c>
    </row>
    <row r="3325" spans="1:1" x14ac:dyDescent="0.25">
      <c r="A3325" t="s">
        <v>2714</v>
      </c>
    </row>
    <row r="3326" spans="1:1" x14ac:dyDescent="0.25">
      <c r="A3326" t="s">
        <v>2714</v>
      </c>
    </row>
    <row r="3327" spans="1:1" x14ac:dyDescent="0.25">
      <c r="A3327" t="s">
        <v>2714</v>
      </c>
    </row>
    <row r="3328" spans="1:1" x14ac:dyDescent="0.25">
      <c r="A3328" t="s">
        <v>2714</v>
      </c>
    </row>
    <row r="3329" spans="1:1" x14ac:dyDescent="0.25">
      <c r="A3329" t="s">
        <v>2714</v>
      </c>
    </row>
    <row r="3330" spans="1:1" x14ac:dyDescent="0.25">
      <c r="A3330" t="s">
        <v>2714</v>
      </c>
    </row>
    <row r="3331" spans="1:1" x14ac:dyDescent="0.25">
      <c r="A3331" t="s">
        <v>2714</v>
      </c>
    </row>
    <row r="3332" spans="1:1" x14ac:dyDescent="0.25">
      <c r="A3332" t="s">
        <v>2714</v>
      </c>
    </row>
    <row r="3333" spans="1:1" x14ac:dyDescent="0.25">
      <c r="A3333" t="s">
        <v>2714</v>
      </c>
    </row>
    <row r="3334" spans="1:1" x14ac:dyDescent="0.25">
      <c r="A3334" t="s">
        <v>2714</v>
      </c>
    </row>
    <row r="3335" spans="1:1" x14ac:dyDescent="0.25">
      <c r="A3335" t="s">
        <v>2714</v>
      </c>
    </row>
    <row r="3336" spans="1:1" x14ac:dyDescent="0.25">
      <c r="A3336" t="s">
        <v>2714</v>
      </c>
    </row>
    <row r="3337" spans="1:1" x14ac:dyDescent="0.25">
      <c r="A3337" t="s">
        <v>2714</v>
      </c>
    </row>
    <row r="3338" spans="1:1" x14ac:dyDescent="0.25">
      <c r="A3338" t="s">
        <v>2714</v>
      </c>
    </row>
    <row r="3339" spans="1:1" x14ac:dyDescent="0.25">
      <c r="A3339" t="s">
        <v>2714</v>
      </c>
    </row>
    <row r="3340" spans="1:1" x14ac:dyDescent="0.25">
      <c r="A3340" t="s">
        <v>2714</v>
      </c>
    </row>
    <row r="3341" spans="1:1" x14ac:dyDescent="0.25">
      <c r="A3341" t="s">
        <v>2686</v>
      </c>
    </row>
    <row r="3344" spans="1:1" x14ac:dyDescent="0.25">
      <c r="A3344" t="s">
        <v>3400</v>
      </c>
    </row>
    <row r="3345" spans="1:1" x14ac:dyDescent="0.25">
      <c r="A3345" t="s">
        <v>3401</v>
      </c>
    </row>
    <row r="3346" spans="1:1" x14ac:dyDescent="0.25">
      <c r="A3346" t="s">
        <v>2713</v>
      </c>
    </row>
    <row r="3347" spans="1:1" x14ac:dyDescent="0.25">
      <c r="A3347" t="s">
        <v>2714</v>
      </c>
    </row>
    <row r="3348" spans="1:1" x14ac:dyDescent="0.25">
      <c r="A3348" t="s">
        <v>2714</v>
      </c>
    </row>
    <row r="3349" spans="1:1" x14ac:dyDescent="0.25">
      <c r="A3349" t="s">
        <v>2714</v>
      </c>
    </row>
    <row r="3350" spans="1:1" x14ac:dyDescent="0.25">
      <c r="A3350" t="s">
        <v>2714</v>
      </c>
    </row>
    <row r="3351" spans="1:1" x14ac:dyDescent="0.25">
      <c r="A3351" t="s">
        <v>2714</v>
      </c>
    </row>
    <row r="3352" spans="1:1" x14ac:dyDescent="0.25">
      <c r="A3352" t="s">
        <v>2714</v>
      </c>
    </row>
    <row r="3353" spans="1:1" x14ac:dyDescent="0.25">
      <c r="A3353" t="s">
        <v>2714</v>
      </c>
    </row>
    <row r="3354" spans="1:1" x14ac:dyDescent="0.25">
      <c r="A3354" t="s">
        <v>2714</v>
      </c>
    </row>
    <row r="3355" spans="1:1" x14ac:dyDescent="0.25">
      <c r="A3355" t="s">
        <v>2714</v>
      </c>
    </row>
    <row r="3356" spans="1:1" x14ac:dyDescent="0.25">
      <c r="A3356" t="s">
        <v>2714</v>
      </c>
    </row>
    <row r="3357" spans="1:1" x14ac:dyDescent="0.25">
      <c r="A3357" t="s">
        <v>2714</v>
      </c>
    </row>
    <row r="3358" spans="1:1" x14ac:dyDescent="0.25">
      <c r="A3358" t="s">
        <v>2714</v>
      </c>
    </row>
    <row r="3359" spans="1:1" x14ac:dyDescent="0.25">
      <c r="A3359" t="s">
        <v>2714</v>
      </c>
    </row>
    <row r="3360" spans="1:1" x14ac:dyDescent="0.25">
      <c r="A3360" t="s">
        <v>2714</v>
      </c>
    </row>
    <row r="3361" spans="1:1" x14ac:dyDescent="0.25">
      <c r="A3361" t="s">
        <v>2714</v>
      </c>
    </row>
    <row r="3362" spans="1:1" x14ac:dyDescent="0.25">
      <c r="A3362" t="s">
        <v>2714</v>
      </c>
    </row>
    <row r="3363" spans="1:1" x14ac:dyDescent="0.25">
      <c r="A3363" t="s">
        <v>2714</v>
      </c>
    </row>
    <row r="3364" spans="1:1" x14ac:dyDescent="0.25">
      <c r="A3364" t="s">
        <v>2714</v>
      </c>
    </row>
    <row r="3365" spans="1:1" x14ac:dyDescent="0.25">
      <c r="A3365" t="s">
        <v>2714</v>
      </c>
    </row>
    <row r="3366" spans="1:1" x14ac:dyDescent="0.25">
      <c r="A3366" t="s">
        <v>2714</v>
      </c>
    </row>
    <row r="3367" spans="1:1" x14ac:dyDescent="0.25">
      <c r="A3367" t="s">
        <v>2714</v>
      </c>
    </row>
    <row r="3368" spans="1:1" x14ac:dyDescent="0.25">
      <c r="A3368" t="s">
        <v>2714</v>
      </c>
    </row>
    <row r="3369" spans="1:1" x14ac:dyDescent="0.25">
      <c r="A3369" t="s">
        <v>2714</v>
      </c>
    </row>
    <row r="3370" spans="1:1" x14ac:dyDescent="0.25">
      <c r="A3370" t="s">
        <v>2714</v>
      </c>
    </row>
    <row r="3371" spans="1:1" x14ac:dyDescent="0.25">
      <c r="A3371" t="s">
        <v>2714</v>
      </c>
    </row>
    <row r="3372" spans="1:1" x14ac:dyDescent="0.25">
      <c r="A3372" t="s">
        <v>2714</v>
      </c>
    </row>
    <row r="3373" spans="1:1" x14ac:dyDescent="0.25">
      <c r="A3373" t="s">
        <v>2714</v>
      </c>
    </row>
    <row r="3374" spans="1:1" x14ac:dyDescent="0.25">
      <c r="A3374" t="s">
        <v>2714</v>
      </c>
    </row>
    <row r="3375" spans="1:1" x14ac:dyDescent="0.25">
      <c r="A3375" t="s">
        <v>2714</v>
      </c>
    </row>
    <row r="3376" spans="1:1" x14ac:dyDescent="0.25">
      <c r="A3376" t="s">
        <v>2714</v>
      </c>
    </row>
    <row r="3377" spans="1:1" x14ac:dyDescent="0.25">
      <c r="A3377" t="s">
        <v>2714</v>
      </c>
    </row>
    <row r="3378" spans="1:1" x14ac:dyDescent="0.25">
      <c r="A3378" t="s">
        <v>2714</v>
      </c>
    </row>
    <row r="3379" spans="1:1" x14ac:dyDescent="0.25">
      <c r="A3379" t="s">
        <v>2714</v>
      </c>
    </row>
    <row r="3380" spans="1:1" x14ac:dyDescent="0.25">
      <c r="A3380" t="s">
        <v>2714</v>
      </c>
    </row>
    <row r="3381" spans="1:1" x14ac:dyDescent="0.25">
      <c r="A3381" t="s">
        <v>2714</v>
      </c>
    </row>
    <row r="3382" spans="1:1" x14ac:dyDescent="0.25">
      <c r="A3382" t="s">
        <v>2714</v>
      </c>
    </row>
    <row r="3383" spans="1:1" x14ac:dyDescent="0.25">
      <c r="A3383" t="s">
        <v>2714</v>
      </c>
    </row>
    <row r="3384" spans="1:1" x14ac:dyDescent="0.25">
      <c r="A3384" t="s">
        <v>2714</v>
      </c>
    </row>
    <row r="3385" spans="1:1" x14ac:dyDescent="0.25">
      <c r="A3385" t="s">
        <v>2714</v>
      </c>
    </row>
    <row r="3386" spans="1:1" x14ac:dyDescent="0.25">
      <c r="A3386" t="s">
        <v>2714</v>
      </c>
    </row>
    <row r="3387" spans="1:1" x14ac:dyDescent="0.25">
      <c r="A3387" t="s">
        <v>2714</v>
      </c>
    </row>
    <row r="3388" spans="1:1" x14ac:dyDescent="0.25">
      <c r="A3388" t="s">
        <v>2714</v>
      </c>
    </row>
    <row r="3389" spans="1:1" x14ac:dyDescent="0.25">
      <c r="A3389" t="s">
        <v>2714</v>
      </c>
    </row>
    <row r="3390" spans="1:1" x14ac:dyDescent="0.25">
      <c r="A3390" t="s">
        <v>2714</v>
      </c>
    </row>
    <row r="3391" spans="1:1" x14ac:dyDescent="0.25">
      <c r="A3391" t="s">
        <v>2714</v>
      </c>
    </row>
    <row r="3392" spans="1:1" x14ac:dyDescent="0.25">
      <c r="A3392" t="s">
        <v>2714</v>
      </c>
    </row>
    <row r="3393" spans="1:1" x14ac:dyDescent="0.25">
      <c r="A3393" t="s">
        <v>2714</v>
      </c>
    </row>
    <row r="3394" spans="1:1" x14ac:dyDescent="0.25">
      <c r="A3394" t="s">
        <v>2714</v>
      </c>
    </row>
    <row r="3395" spans="1:1" x14ac:dyDescent="0.25">
      <c r="A3395" t="s">
        <v>2714</v>
      </c>
    </row>
    <row r="3396" spans="1:1" x14ac:dyDescent="0.25">
      <c r="A3396" t="s">
        <v>2714</v>
      </c>
    </row>
    <row r="3397" spans="1:1" x14ac:dyDescent="0.25">
      <c r="A3397" t="s">
        <v>2714</v>
      </c>
    </row>
    <row r="3398" spans="1:1" x14ac:dyDescent="0.25">
      <c r="A3398" t="s">
        <v>2714</v>
      </c>
    </row>
    <row r="3399" spans="1:1" x14ac:dyDescent="0.25">
      <c r="A3399" t="s">
        <v>2714</v>
      </c>
    </row>
    <row r="3400" spans="1:1" x14ac:dyDescent="0.25">
      <c r="A3400" t="s">
        <v>2714</v>
      </c>
    </row>
    <row r="3401" spans="1:1" x14ac:dyDescent="0.25">
      <c r="A3401" t="s">
        <v>2714</v>
      </c>
    </row>
    <row r="3402" spans="1:1" x14ac:dyDescent="0.25">
      <c r="A3402" t="s">
        <v>2714</v>
      </c>
    </row>
    <row r="3403" spans="1:1" x14ac:dyDescent="0.25">
      <c r="A3403" t="s">
        <v>2714</v>
      </c>
    </row>
    <row r="3404" spans="1:1" x14ac:dyDescent="0.25">
      <c r="A3404" t="s">
        <v>2686</v>
      </c>
    </row>
    <row r="3407" spans="1:1" x14ac:dyDescent="0.25">
      <c r="A3407" t="s">
        <v>3402</v>
      </c>
    </row>
    <row r="3408" spans="1:1" x14ac:dyDescent="0.25">
      <c r="A3408" t="s">
        <v>3180</v>
      </c>
    </row>
    <row r="3409" spans="1:1" x14ac:dyDescent="0.25">
      <c r="A3409" t="s">
        <v>3181</v>
      </c>
    </row>
    <row r="3410" spans="1:1" x14ac:dyDescent="0.25">
      <c r="A3410" t="s">
        <v>3182</v>
      </c>
    </row>
    <row r="3411" spans="1:1" x14ac:dyDescent="0.25">
      <c r="A3411" t="s">
        <v>3183</v>
      </c>
    </row>
    <row r="3412" spans="1:1" x14ac:dyDescent="0.25">
      <c r="A3412" t="s">
        <v>3184</v>
      </c>
    </row>
    <row r="3413" spans="1:1" x14ac:dyDescent="0.25">
      <c r="A3413" t="s">
        <v>3185</v>
      </c>
    </row>
    <row r="3414" spans="1:1" x14ac:dyDescent="0.25">
      <c r="A3414" t="s">
        <v>3186</v>
      </c>
    </row>
    <row r="3415" spans="1:1" x14ac:dyDescent="0.25">
      <c r="A3415" t="s">
        <v>3187</v>
      </c>
    </row>
    <row r="3416" spans="1:1" x14ac:dyDescent="0.25">
      <c r="A3416" t="s">
        <v>3188</v>
      </c>
    </row>
    <row r="3417" spans="1:1" x14ac:dyDescent="0.25">
      <c r="A3417" t="s">
        <v>3184</v>
      </c>
    </row>
    <row r="3418" spans="1:1" x14ac:dyDescent="0.25">
      <c r="A3418" t="s">
        <v>3185</v>
      </c>
    </row>
    <row r="3419" spans="1:1" x14ac:dyDescent="0.25">
      <c r="A3419" t="s">
        <v>2713</v>
      </c>
    </row>
    <row r="3420" spans="1:1" x14ac:dyDescent="0.25">
      <c r="A3420" t="s">
        <v>2714</v>
      </c>
    </row>
    <row r="3421" spans="1:1" x14ac:dyDescent="0.25">
      <c r="A3421" t="s">
        <v>2714</v>
      </c>
    </row>
    <row r="3422" spans="1:1" x14ac:dyDescent="0.25">
      <c r="A3422" t="s">
        <v>2714</v>
      </c>
    </row>
    <row r="3423" spans="1:1" x14ac:dyDescent="0.25">
      <c r="A3423" t="s">
        <v>2714</v>
      </c>
    </row>
    <row r="3424" spans="1:1" x14ac:dyDescent="0.25">
      <c r="A3424" t="s">
        <v>2714</v>
      </c>
    </row>
    <row r="3425" spans="1:1" x14ac:dyDescent="0.25">
      <c r="A3425" t="s">
        <v>2714</v>
      </c>
    </row>
    <row r="3426" spans="1:1" x14ac:dyDescent="0.25">
      <c r="A3426" t="s">
        <v>2714</v>
      </c>
    </row>
    <row r="3427" spans="1:1" x14ac:dyDescent="0.25">
      <c r="A3427" t="s">
        <v>2714</v>
      </c>
    </row>
    <row r="3428" spans="1:1" x14ac:dyDescent="0.25">
      <c r="A3428" t="s">
        <v>2714</v>
      </c>
    </row>
    <row r="3429" spans="1:1" x14ac:dyDescent="0.25">
      <c r="A3429" t="s">
        <v>2714</v>
      </c>
    </row>
    <row r="3430" spans="1:1" x14ac:dyDescent="0.25">
      <c r="A3430" t="s">
        <v>2714</v>
      </c>
    </row>
    <row r="3431" spans="1:1" x14ac:dyDescent="0.25">
      <c r="A3431" t="s">
        <v>2714</v>
      </c>
    </row>
    <row r="3432" spans="1:1" x14ac:dyDescent="0.25">
      <c r="A3432" t="s">
        <v>2714</v>
      </c>
    </row>
    <row r="3433" spans="1:1" x14ac:dyDescent="0.25">
      <c r="A3433" t="s">
        <v>2714</v>
      </c>
    </row>
    <row r="3434" spans="1:1" x14ac:dyDescent="0.25">
      <c r="A3434" t="s">
        <v>2714</v>
      </c>
    </row>
    <row r="3435" spans="1:1" x14ac:dyDescent="0.25">
      <c r="A3435" t="s">
        <v>2714</v>
      </c>
    </row>
    <row r="3436" spans="1:1" x14ac:dyDescent="0.25">
      <c r="A3436" t="s">
        <v>2714</v>
      </c>
    </row>
    <row r="3437" spans="1:1" x14ac:dyDescent="0.25">
      <c r="A3437" t="s">
        <v>2714</v>
      </c>
    </row>
    <row r="3438" spans="1:1" x14ac:dyDescent="0.25">
      <c r="A3438" t="s">
        <v>2714</v>
      </c>
    </row>
    <row r="3439" spans="1:1" x14ac:dyDescent="0.25">
      <c r="A3439" t="s">
        <v>2714</v>
      </c>
    </row>
    <row r="3440" spans="1:1" x14ac:dyDescent="0.25">
      <c r="A3440" t="s">
        <v>2714</v>
      </c>
    </row>
    <row r="3441" spans="1:1" x14ac:dyDescent="0.25">
      <c r="A3441" t="s">
        <v>2714</v>
      </c>
    </row>
    <row r="3442" spans="1:1" x14ac:dyDescent="0.25">
      <c r="A3442" t="s">
        <v>2714</v>
      </c>
    </row>
    <row r="3443" spans="1:1" x14ac:dyDescent="0.25">
      <c r="A3443" t="s">
        <v>2714</v>
      </c>
    </row>
    <row r="3444" spans="1:1" x14ac:dyDescent="0.25">
      <c r="A3444" t="s">
        <v>2714</v>
      </c>
    </row>
    <row r="3445" spans="1:1" x14ac:dyDescent="0.25">
      <c r="A3445" t="s">
        <v>2714</v>
      </c>
    </row>
    <row r="3446" spans="1:1" x14ac:dyDescent="0.25">
      <c r="A3446" t="s">
        <v>2714</v>
      </c>
    </row>
    <row r="3447" spans="1:1" x14ac:dyDescent="0.25">
      <c r="A3447" t="s">
        <v>2714</v>
      </c>
    </row>
    <row r="3448" spans="1:1" x14ac:dyDescent="0.25">
      <c r="A3448" t="s">
        <v>2714</v>
      </c>
    </row>
    <row r="3449" spans="1:1" x14ac:dyDescent="0.25">
      <c r="A3449" t="s">
        <v>2714</v>
      </c>
    </row>
    <row r="3450" spans="1:1" x14ac:dyDescent="0.25">
      <c r="A3450" t="s">
        <v>2714</v>
      </c>
    </row>
    <row r="3451" spans="1:1" x14ac:dyDescent="0.25">
      <c r="A3451" t="s">
        <v>2714</v>
      </c>
    </row>
    <row r="3452" spans="1:1" x14ac:dyDescent="0.25">
      <c r="A3452" t="s">
        <v>2714</v>
      </c>
    </row>
    <row r="3453" spans="1:1" x14ac:dyDescent="0.25">
      <c r="A3453" t="s">
        <v>2714</v>
      </c>
    </row>
    <row r="3454" spans="1:1" x14ac:dyDescent="0.25">
      <c r="A3454" t="s">
        <v>2714</v>
      </c>
    </row>
    <row r="3455" spans="1:1" x14ac:dyDescent="0.25">
      <c r="A3455" t="s">
        <v>2714</v>
      </c>
    </row>
    <row r="3456" spans="1:1" x14ac:dyDescent="0.25">
      <c r="A3456" t="s">
        <v>2714</v>
      </c>
    </row>
    <row r="3457" spans="1:1" x14ac:dyDescent="0.25">
      <c r="A3457" t="s">
        <v>2714</v>
      </c>
    </row>
    <row r="3458" spans="1:1" x14ac:dyDescent="0.25">
      <c r="A3458" t="s">
        <v>2714</v>
      </c>
    </row>
    <row r="3459" spans="1:1" x14ac:dyDescent="0.25">
      <c r="A3459" t="s">
        <v>2714</v>
      </c>
    </row>
    <row r="3460" spans="1:1" x14ac:dyDescent="0.25">
      <c r="A3460" t="s">
        <v>2714</v>
      </c>
    </row>
    <row r="3461" spans="1:1" x14ac:dyDescent="0.25">
      <c r="A3461" t="s">
        <v>2714</v>
      </c>
    </row>
    <row r="3462" spans="1:1" x14ac:dyDescent="0.25">
      <c r="A3462" t="s">
        <v>2714</v>
      </c>
    </row>
    <row r="3463" spans="1:1" x14ac:dyDescent="0.25">
      <c r="A3463" t="s">
        <v>2714</v>
      </c>
    </row>
    <row r="3464" spans="1:1" x14ac:dyDescent="0.25">
      <c r="A3464" t="s">
        <v>2714</v>
      </c>
    </row>
    <row r="3465" spans="1:1" x14ac:dyDescent="0.25">
      <c r="A3465" t="s">
        <v>2714</v>
      </c>
    </row>
    <row r="3466" spans="1:1" x14ac:dyDescent="0.25">
      <c r="A3466" t="s">
        <v>2714</v>
      </c>
    </row>
    <row r="3467" spans="1:1" x14ac:dyDescent="0.25">
      <c r="A3467" t="s">
        <v>2686</v>
      </c>
    </row>
    <row r="3470" spans="1:1" x14ac:dyDescent="0.25">
      <c r="A3470" t="s">
        <v>3403</v>
      </c>
    </row>
    <row r="3471" spans="1:1" x14ac:dyDescent="0.25">
      <c r="A3471" t="s">
        <v>3180</v>
      </c>
    </row>
    <row r="3472" spans="1:1" x14ac:dyDescent="0.25">
      <c r="A3472" t="s">
        <v>3181</v>
      </c>
    </row>
    <row r="3473" spans="1:1" x14ac:dyDescent="0.25">
      <c r="A3473" t="s">
        <v>3182</v>
      </c>
    </row>
    <row r="3474" spans="1:1" x14ac:dyDescent="0.25">
      <c r="A3474" t="s">
        <v>3183</v>
      </c>
    </row>
    <row r="3475" spans="1:1" x14ac:dyDescent="0.25">
      <c r="A3475" t="s">
        <v>3184</v>
      </c>
    </row>
    <row r="3476" spans="1:1" x14ac:dyDescent="0.25">
      <c r="A3476" t="s">
        <v>3185</v>
      </c>
    </row>
    <row r="3477" spans="1:1" x14ac:dyDescent="0.25">
      <c r="A3477" t="s">
        <v>3186</v>
      </c>
    </row>
    <row r="3478" spans="1:1" x14ac:dyDescent="0.25">
      <c r="A3478" t="s">
        <v>3187</v>
      </c>
    </row>
    <row r="3479" spans="1:1" x14ac:dyDescent="0.25">
      <c r="A3479" t="s">
        <v>3188</v>
      </c>
    </row>
    <row r="3480" spans="1:1" x14ac:dyDescent="0.25">
      <c r="A3480" t="s">
        <v>3404</v>
      </c>
    </row>
    <row r="3481" spans="1:1" x14ac:dyDescent="0.25">
      <c r="A3481" t="s">
        <v>3189</v>
      </c>
    </row>
    <row r="3482" spans="1:1" x14ac:dyDescent="0.25">
      <c r="A3482" t="s">
        <v>2713</v>
      </c>
    </row>
    <row r="3483" spans="1:1" x14ac:dyDescent="0.25">
      <c r="A3483" t="s">
        <v>2714</v>
      </c>
    </row>
    <row r="3484" spans="1:1" x14ac:dyDescent="0.25">
      <c r="A3484" t="s">
        <v>2714</v>
      </c>
    </row>
    <row r="3485" spans="1:1" x14ac:dyDescent="0.25">
      <c r="A3485" t="s">
        <v>2714</v>
      </c>
    </row>
    <row r="3486" spans="1:1" x14ac:dyDescent="0.25">
      <c r="A3486" t="s">
        <v>2714</v>
      </c>
    </row>
    <row r="3487" spans="1:1" x14ac:dyDescent="0.25">
      <c r="A3487" t="s">
        <v>2714</v>
      </c>
    </row>
    <row r="3488" spans="1:1" x14ac:dyDescent="0.25">
      <c r="A3488" t="s">
        <v>2714</v>
      </c>
    </row>
    <row r="3489" spans="1:1" x14ac:dyDescent="0.25">
      <c r="A3489" t="s">
        <v>2714</v>
      </c>
    </row>
    <row r="3490" spans="1:1" x14ac:dyDescent="0.25">
      <c r="A3490" t="s">
        <v>2714</v>
      </c>
    </row>
    <row r="3491" spans="1:1" x14ac:dyDescent="0.25">
      <c r="A3491" t="s">
        <v>2714</v>
      </c>
    </row>
    <row r="3492" spans="1:1" x14ac:dyDescent="0.25">
      <c r="A3492" t="s">
        <v>2714</v>
      </c>
    </row>
    <row r="3493" spans="1:1" x14ac:dyDescent="0.25">
      <c r="A3493" t="s">
        <v>2714</v>
      </c>
    </row>
    <row r="3494" spans="1:1" x14ac:dyDescent="0.25">
      <c r="A3494" t="s">
        <v>2714</v>
      </c>
    </row>
    <row r="3495" spans="1:1" x14ac:dyDescent="0.25">
      <c r="A3495" t="s">
        <v>2714</v>
      </c>
    </row>
    <row r="3496" spans="1:1" x14ac:dyDescent="0.25">
      <c r="A3496" t="s">
        <v>2714</v>
      </c>
    </row>
    <row r="3497" spans="1:1" x14ac:dyDescent="0.25">
      <c r="A3497" t="s">
        <v>2714</v>
      </c>
    </row>
    <row r="3498" spans="1:1" x14ac:dyDescent="0.25">
      <c r="A3498" t="s">
        <v>2714</v>
      </c>
    </row>
    <row r="3499" spans="1:1" x14ac:dyDescent="0.25">
      <c r="A3499" t="s">
        <v>2714</v>
      </c>
    </row>
    <row r="3500" spans="1:1" x14ac:dyDescent="0.25">
      <c r="A3500" t="s">
        <v>2714</v>
      </c>
    </row>
    <row r="3501" spans="1:1" x14ac:dyDescent="0.25">
      <c r="A3501" t="s">
        <v>2714</v>
      </c>
    </row>
    <row r="3502" spans="1:1" x14ac:dyDescent="0.25">
      <c r="A3502" t="s">
        <v>2714</v>
      </c>
    </row>
    <row r="3503" spans="1:1" x14ac:dyDescent="0.25">
      <c r="A3503" t="s">
        <v>2714</v>
      </c>
    </row>
    <row r="3504" spans="1:1" x14ac:dyDescent="0.25">
      <c r="A3504" t="s">
        <v>2714</v>
      </c>
    </row>
    <row r="3505" spans="1:1" x14ac:dyDescent="0.25">
      <c r="A3505" t="s">
        <v>2714</v>
      </c>
    </row>
    <row r="3506" spans="1:1" x14ac:dyDescent="0.25">
      <c r="A3506" t="s">
        <v>2714</v>
      </c>
    </row>
    <row r="3507" spans="1:1" x14ac:dyDescent="0.25">
      <c r="A3507" t="s">
        <v>2714</v>
      </c>
    </row>
    <row r="3508" spans="1:1" x14ac:dyDescent="0.25">
      <c r="A3508" t="s">
        <v>2714</v>
      </c>
    </row>
    <row r="3509" spans="1:1" x14ac:dyDescent="0.25">
      <c r="A3509" t="s">
        <v>2714</v>
      </c>
    </row>
    <row r="3510" spans="1:1" x14ac:dyDescent="0.25">
      <c r="A3510" t="s">
        <v>2714</v>
      </c>
    </row>
    <row r="3511" spans="1:1" x14ac:dyDescent="0.25">
      <c r="A3511" t="s">
        <v>2714</v>
      </c>
    </row>
    <row r="3512" spans="1:1" x14ac:dyDescent="0.25">
      <c r="A3512" t="s">
        <v>2714</v>
      </c>
    </row>
    <row r="3513" spans="1:1" x14ac:dyDescent="0.25">
      <c r="A3513" t="s">
        <v>2714</v>
      </c>
    </row>
    <row r="3514" spans="1:1" x14ac:dyDescent="0.25">
      <c r="A3514" t="s">
        <v>2714</v>
      </c>
    </row>
    <row r="3515" spans="1:1" x14ac:dyDescent="0.25">
      <c r="A3515" t="s">
        <v>2714</v>
      </c>
    </row>
    <row r="3516" spans="1:1" x14ac:dyDescent="0.25">
      <c r="A3516" t="s">
        <v>2714</v>
      </c>
    </row>
    <row r="3517" spans="1:1" x14ac:dyDescent="0.25">
      <c r="A3517" t="s">
        <v>2714</v>
      </c>
    </row>
    <row r="3518" spans="1:1" x14ac:dyDescent="0.25">
      <c r="A3518" t="s">
        <v>2714</v>
      </c>
    </row>
    <row r="3519" spans="1:1" x14ac:dyDescent="0.25">
      <c r="A3519" t="s">
        <v>2714</v>
      </c>
    </row>
    <row r="3520" spans="1:1" x14ac:dyDescent="0.25">
      <c r="A3520" t="s">
        <v>2714</v>
      </c>
    </row>
    <row r="3521" spans="1:1" x14ac:dyDescent="0.25">
      <c r="A3521" t="s">
        <v>2714</v>
      </c>
    </row>
    <row r="3522" spans="1:1" x14ac:dyDescent="0.25">
      <c r="A3522" t="s">
        <v>2714</v>
      </c>
    </row>
    <row r="3523" spans="1:1" x14ac:dyDescent="0.25">
      <c r="A3523" t="s">
        <v>2714</v>
      </c>
    </row>
    <row r="3524" spans="1:1" x14ac:dyDescent="0.25">
      <c r="A3524" t="s">
        <v>2714</v>
      </c>
    </row>
    <row r="3525" spans="1:1" x14ac:dyDescent="0.25">
      <c r="A3525" t="s">
        <v>2714</v>
      </c>
    </row>
    <row r="3526" spans="1:1" x14ac:dyDescent="0.25">
      <c r="A3526" t="s">
        <v>2714</v>
      </c>
    </row>
    <row r="3527" spans="1:1" x14ac:dyDescent="0.25">
      <c r="A3527" t="s">
        <v>2714</v>
      </c>
    </row>
    <row r="3528" spans="1:1" x14ac:dyDescent="0.25">
      <c r="A3528" t="s">
        <v>2714</v>
      </c>
    </row>
    <row r="3529" spans="1:1" x14ac:dyDescent="0.25">
      <c r="A3529" t="s">
        <v>2714</v>
      </c>
    </row>
    <row r="3530" spans="1:1" x14ac:dyDescent="0.25">
      <c r="A3530" t="s">
        <v>2686</v>
      </c>
    </row>
    <row r="3533" spans="1:1" x14ac:dyDescent="0.25">
      <c r="A3533" t="s">
        <v>3405</v>
      </c>
    </row>
    <row r="3534" spans="1:1" x14ac:dyDescent="0.25">
      <c r="A3534" t="s">
        <v>2713</v>
      </c>
    </row>
    <row r="3535" spans="1:1" x14ac:dyDescent="0.25">
      <c r="A3535" t="s">
        <v>2714</v>
      </c>
    </row>
    <row r="3536" spans="1:1" x14ac:dyDescent="0.25">
      <c r="A3536" t="s">
        <v>2714</v>
      </c>
    </row>
    <row r="3537" spans="1:1" x14ac:dyDescent="0.25">
      <c r="A3537" t="s">
        <v>2714</v>
      </c>
    </row>
    <row r="3538" spans="1:1" x14ac:dyDescent="0.25">
      <c r="A3538" t="s">
        <v>2714</v>
      </c>
    </row>
    <row r="3539" spans="1:1" x14ac:dyDescent="0.25">
      <c r="A3539" t="s">
        <v>2714</v>
      </c>
    </row>
    <row r="3540" spans="1:1" x14ac:dyDescent="0.25">
      <c r="A3540" t="s">
        <v>2714</v>
      </c>
    </row>
    <row r="3541" spans="1:1" x14ac:dyDescent="0.25">
      <c r="A3541" t="s">
        <v>2714</v>
      </c>
    </row>
    <row r="3542" spans="1:1" x14ac:dyDescent="0.25">
      <c r="A3542" t="s">
        <v>2714</v>
      </c>
    </row>
    <row r="3543" spans="1:1" x14ac:dyDescent="0.25">
      <c r="A3543" t="s">
        <v>2714</v>
      </c>
    </row>
    <row r="3544" spans="1:1" x14ac:dyDescent="0.25">
      <c r="A3544" t="s">
        <v>2714</v>
      </c>
    </row>
    <row r="3545" spans="1:1" x14ac:dyDescent="0.25">
      <c r="A3545" t="s">
        <v>2714</v>
      </c>
    </row>
    <row r="3546" spans="1:1" x14ac:dyDescent="0.25">
      <c r="A3546" t="s">
        <v>2714</v>
      </c>
    </row>
    <row r="3547" spans="1:1" x14ac:dyDescent="0.25">
      <c r="A3547" t="s">
        <v>2714</v>
      </c>
    </row>
    <row r="3548" spans="1:1" x14ac:dyDescent="0.25">
      <c r="A3548" t="s">
        <v>2714</v>
      </c>
    </row>
    <row r="3549" spans="1:1" x14ac:dyDescent="0.25">
      <c r="A3549" t="s">
        <v>2714</v>
      </c>
    </row>
    <row r="3550" spans="1:1" x14ac:dyDescent="0.25">
      <c r="A3550" t="s">
        <v>2714</v>
      </c>
    </row>
    <row r="3551" spans="1:1" x14ac:dyDescent="0.25">
      <c r="A3551" t="s">
        <v>2714</v>
      </c>
    </row>
    <row r="3552" spans="1:1" x14ac:dyDescent="0.25">
      <c r="A3552" t="s">
        <v>2714</v>
      </c>
    </row>
    <row r="3553" spans="1:1" x14ac:dyDescent="0.25">
      <c r="A3553" t="s">
        <v>2714</v>
      </c>
    </row>
    <row r="3554" spans="1:1" x14ac:dyDescent="0.25">
      <c r="A3554" t="s">
        <v>2714</v>
      </c>
    </row>
    <row r="3555" spans="1:1" x14ac:dyDescent="0.25">
      <c r="A3555" t="s">
        <v>2714</v>
      </c>
    </row>
    <row r="3556" spans="1:1" x14ac:dyDescent="0.25">
      <c r="A3556" t="s">
        <v>2714</v>
      </c>
    </row>
    <row r="3557" spans="1:1" x14ac:dyDescent="0.25">
      <c r="A3557" t="s">
        <v>2714</v>
      </c>
    </row>
    <row r="3558" spans="1:1" x14ac:dyDescent="0.25">
      <c r="A3558" t="s">
        <v>2714</v>
      </c>
    </row>
    <row r="3559" spans="1:1" x14ac:dyDescent="0.25">
      <c r="A3559" t="s">
        <v>2714</v>
      </c>
    </row>
    <row r="3560" spans="1:1" x14ac:dyDescent="0.25">
      <c r="A3560" t="s">
        <v>2714</v>
      </c>
    </row>
    <row r="3561" spans="1:1" x14ac:dyDescent="0.25">
      <c r="A3561" t="s">
        <v>2714</v>
      </c>
    </row>
    <row r="3562" spans="1:1" x14ac:dyDescent="0.25">
      <c r="A3562" t="s">
        <v>2714</v>
      </c>
    </row>
    <row r="3563" spans="1:1" x14ac:dyDescent="0.25">
      <c r="A3563" t="s">
        <v>2714</v>
      </c>
    </row>
    <row r="3564" spans="1:1" x14ac:dyDescent="0.25">
      <c r="A3564" t="s">
        <v>2714</v>
      </c>
    </row>
    <row r="3565" spans="1:1" x14ac:dyDescent="0.25">
      <c r="A3565" t="s">
        <v>2714</v>
      </c>
    </row>
    <row r="3566" spans="1:1" x14ac:dyDescent="0.25">
      <c r="A3566" t="s">
        <v>2714</v>
      </c>
    </row>
    <row r="3567" spans="1:1" x14ac:dyDescent="0.25">
      <c r="A3567" t="s">
        <v>2714</v>
      </c>
    </row>
    <row r="3568" spans="1:1" x14ac:dyDescent="0.25">
      <c r="A3568" t="s">
        <v>2714</v>
      </c>
    </row>
    <row r="3569" spans="1:1" x14ac:dyDescent="0.25">
      <c r="A3569" t="s">
        <v>2714</v>
      </c>
    </row>
    <row r="3570" spans="1:1" x14ac:dyDescent="0.25">
      <c r="A3570" t="s">
        <v>2714</v>
      </c>
    </row>
    <row r="3571" spans="1:1" x14ac:dyDescent="0.25">
      <c r="A3571" t="s">
        <v>2714</v>
      </c>
    </row>
    <row r="3572" spans="1:1" x14ac:dyDescent="0.25">
      <c r="A3572" t="s">
        <v>2714</v>
      </c>
    </row>
    <row r="3573" spans="1:1" x14ac:dyDescent="0.25">
      <c r="A3573" t="s">
        <v>2714</v>
      </c>
    </row>
    <row r="3574" spans="1:1" x14ac:dyDescent="0.25">
      <c r="A3574" t="s">
        <v>2714</v>
      </c>
    </row>
    <row r="3575" spans="1:1" x14ac:dyDescent="0.25">
      <c r="A3575" t="s">
        <v>2714</v>
      </c>
    </row>
    <row r="3576" spans="1:1" x14ac:dyDescent="0.25">
      <c r="A3576" t="s">
        <v>2714</v>
      </c>
    </row>
    <row r="3577" spans="1:1" x14ac:dyDescent="0.25">
      <c r="A3577" t="s">
        <v>2714</v>
      </c>
    </row>
    <row r="3578" spans="1:1" x14ac:dyDescent="0.25">
      <c r="A3578" t="s">
        <v>2714</v>
      </c>
    </row>
    <row r="3579" spans="1:1" x14ac:dyDescent="0.25">
      <c r="A3579" t="s">
        <v>2714</v>
      </c>
    </row>
    <row r="3580" spans="1:1" x14ac:dyDescent="0.25">
      <c r="A3580" t="s">
        <v>2714</v>
      </c>
    </row>
    <row r="3581" spans="1:1" x14ac:dyDescent="0.25">
      <c r="A3581" t="s">
        <v>2714</v>
      </c>
    </row>
    <row r="3582" spans="1:1" x14ac:dyDescent="0.25">
      <c r="A3582" t="s">
        <v>2714</v>
      </c>
    </row>
    <row r="3583" spans="1:1" x14ac:dyDescent="0.25">
      <c r="A3583" t="s">
        <v>2714</v>
      </c>
    </row>
    <row r="3584" spans="1:1" x14ac:dyDescent="0.25">
      <c r="A3584" t="s">
        <v>2714</v>
      </c>
    </row>
    <row r="3585" spans="1:1" x14ac:dyDescent="0.25">
      <c r="A3585" t="s">
        <v>2714</v>
      </c>
    </row>
    <row r="3586" spans="1:1" x14ac:dyDescent="0.25">
      <c r="A3586" t="s">
        <v>2714</v>
      </c>
    </row>
    <row r="3587" spans="1:1" x14ac:dyDescent="0.25">
      <c r="A3587" t="s">
        <v>2714</v>
      </c>
    </row>
    <row r="3588" spans="1:1" x14ac:dyDescent="0.25">
      <c r="A3588" t="s">
        <v>2714</v>
      </c>
    </row>
    <row r="3589" spans="1:1" x14ac:dyDescent="0.25">
      <c r="A3589" t="s">
        <v>2714</v>
      </c>
    </row>
    <row r="3590" spans="1:1" x14ac:dyDescent="0.25">
      <c r="A3590" t="s">
        <v>2714</v>
      </c>
    </row>
    <row r="3591" spans="1:1" x14ac:dyDescent="0.25">
      <c r="A3591" t="s">
        <v>2714</v>
      </c>
    </row>
    <row r="3592" spans="1:1" x14ac:dyDescent="0.25">
      <c r="A3592" t="s">
        <v>2714</v>
      </c>
    </row>
    <row r="3593" spans="1:1" x14ac:dyDescent="0.25">
      <c r="A3593" t="s">
        <v>2686</v>
      </c>
    </row>
    <row r="3596" spans="1:1" x14ac:dyDescent="0.25">
      <c r="A3596" t="s">
        <v>3406</v>
      </c>
    </row>
    <row r="3597" spans="1:1" x14ac:dyDescent="0.25">
      <c r="A3597" t="s">
        <v>3407</v>
      </c>
    </row>
    <row r="3598" spans="1:1" x14ac:dyDescent="0.25">
      <c r="A3598" t="s">
        <v>3408</v>
      </c>
    </row>
    <row r="3599" spans="1:1" x14ac:dyDescent="0.25">
      <c r="A3599" t="s">
        <v>3409</v>
      </c>
    </row>
    <row r="3600" spans="1:1" x14ac:dyDescent="0.25">
      <c r="A3600" t="s">
        <v>3410</v>
      </c>
    </row>
    <row r="3601" spans="1:1" x14ac:dyDescent="0.25">
      <c r="A3601" t="s">
        <v>3411</v>
      </c>
    </row>
    <row r="3602" spans="1:1" x14ac:dyDescent="0.25">
      <c r="A3602" t="s">
        <v>3412</v>
      </c>
    </row>
    <row r="3603" spans="1:1" x14ac:dyDescent="0.25">
      <c r="A3603" t="s">
        <v>3413</v>
      </c>
    </row>
    <row r="3604" spans="1:1" x14ac:dyDescent="0.25">
      <c r="A3604" t="s">
        <v>3414</v>
      </c>
    </row>
    <row r="3605" spans="1:1" x14ac:dyDescent="0.25">
      <c r="A3605" t="s">
        <v>3415</v>
      </c>
    </row>
    <row r="3606" spans="1:1" x14ac:dyDescent="0.25">
      <c r="A3606" t="s">
        <v>3416</v>
      </c>
    </row>
    <row r="3607" spans="1:1" x14ac:dyDescent="0.25">
      <c r="A3607" t="s">
        <v>3417</v>
      </c>
    </row>
    <row r="3608" spans="1:1" x14ac:dyDescent="0.25">
      <c r="A3608" t="s">
        <v>3417</v>
      </c>
    </row>
    <row r="3609" spans="1:1" x14ac:dyDescent="0.25">
      <c r="A3609" t="s">
        <v>2713</v>
      </c>
    </row>
    <row r="3610" spans="1:1" x14ac:dyDescent="0.25">
      <c r="A3610" t="s">
        <v>2714</v>
      </c>
    </row>
    <row r="3611" spans="1:1" x14ac:dyDescent="0.25">
      <c r="A3611" t="s">
        <v>2714</v>
      </c>
    </row>
    <row r="3612" spans="1:1" x14ac:dyDescent="0.25">
      <c r="A3612" t="s">
        <v>2714</v>
      </c>
    </row>
    <row r="3613" spans="1:1" x14ac:dyDescent="0.25">
      <c r="A3613" t="s">
        <v>2714</v>
      </c>
    </row>
    <row r="3614" spans="1:1" x14ac:dyDescent="0.25">
      <c r="A3614" t="s">
        <v>2714</v>
      </c>
    </row>
    <row r="3615" spans="1:1" x14ac:dyDescent="0.25">
      <c r="A3615" t="s">
        <v>2714</v>
      </c>
    </row>
    <row r="3616" spans="1:1" x14ac:dyDescent="0.25">
      <c r="A3616" t="s">
        <v>2714</v>
      </c>
    </row>
    <row r="3617" spans="1:1" x14ac:dyDescent="0.25">
      <c r="A3617" t="s">
        <v>2714</v>
      </c>
    </row>
    <row r="3618" spans="1:1" x14ac:dyDescent="0.25">
      <c r="A3618" t="s">
        <v>2714</v>
      </c>
    </row>
    <row r="3619" spans="1:1" x14ac:dyDescent="0.25">
      <c r="A3619" t="s">
        <v>2714</v>
      </c>
    </row>
    <row r="3620" spans="1:1" x14ac:dyDescent="0.25">
      <c r="A3620" t="s">
        <v>2714</v>
      </c>
    </row>
    <row r="3621" spans="1:1" x14ac:dyDescent="0.25">
      <c r="A3621" t="s">
        <v>2714</v>
      </c>
    </row>
    <row r="3622" spans="1:1" x14ac:dyDescent="0.25">
      <c r="A3622" t="s">
        <v>2714</v>
      </c>
    </row>
    <row r="3623" spans="1:1" x14ac:dyDescent="0.25">
      <c r="A3623" t="s">
        <v>2714</v>
      </c>
    </row>
    <row r="3624" spans="1:1" x14ac:dyDescent="0.25">
      <c r="A3624" t="s">
        <v>2714</v>
      </c>
    </row>
    <row r="3625" spans="1:1" x14ac:dyDescent="0.25">
      <c r="A3625" t="s">
        <v>2714</v>
      </c>
    </row>
    <row r="3626" spans="1:1" x14ac:dyDescent="0.25">
      <c r="A3626" t="s">
        <v>2714</v>
      </c>
    </row>
    <row r="3627" spans="1:1" x14ac:dyDescent="0.25">
      <c r="A3627" t="s">
        <v>2714</v>
      </c>
    </row>
    <row r="3628" spans="1:1" x14ac:dyDescent="0.25">
      <c r="A3628" t="s">
        <v>2714</v>
      </c>
    </row>
    <row r="3629" spans="1:1" x14ac:dyDescent="0.25">
      <c r="A3629" t="s">
        <v>2714</v>
      </c>
    </row>
    <row r="3630" spans="1:1" x14ac:dyDescent="0.25">
      <c r="A3630" t="s">
        <v>2714</v>
      </c>
    </row>
    <row r="3631" spans="1:1" x14ac:dyDescent="0.25">
      <c r="A3631" t="s">
        <v>2714</v>
      </c>
    </row>
    <row r="3632" spans="1:1" x14ac:dyDescent="0.25">
      <c r="A3632" t="s">
        <v>2714</v>
      </c>
    </row>
    <row r="3633" spans="1:1" x14ac:dyDescent="0.25">
      <c r="A3633" t="s">
        <v>2714</v>
      </c>
    </row>
    <row r="3634" spans="1:1" x14ac:dyDescent="0.25">
      <c r="A3634" t="s">
        <v>2714</v>
      </c>
    </row>
    <row r="3635" spans="1:1" x14ac:dyDescent="0.25">
      <c r="A3635" t="s">
        <v>2714</v>
      </c>
    </row>
    <row r="3636" spans="1:1" x14ac:dyDescent="0.25">
      <c r="A3636" t="s">
        <v>2714</v>
      </c>
    </row>
    <row r="3637" spans="1:1" x14ac:dyDescent="0.25">
      <c r="A3637" t="s">
        <v>2714</v>
      </c>
    </row>
    <row r="3638" spans="1:1" x14ac:dyDescent="0.25">
      <c r="A3638" t="s">
        <v>2714</v>
      </c>
    </row>
    <row r="3639" spans="1:1" x14ac:dyDescent="0.25">
      <c r="A3639" t="s">
        <v>2714</v>
      </c>
    </row>
    <row r="3640" spans="1:1" x14ac:dyDescent="0.25">
      <c r="A3640" t="s">
        <v>2714</v>
      </c>
    </row>
    <row r="3641" spans="1:1" x14ac:dyDescent="0.25">
      <c r="A3641" t="s">
        <v>2714</v>
      </c>
    </row>
    <row r="3642" spans="1:1" x14ac:dyDescent="0.25">
      <c r="A3642" t="s">
        <v>2714</v>
      </c>
    </row>
    <row r="3643" spans="1:1" x14ac:dyDescent="0.25">
      <c r="A3643" t="s">
        <v>2714</v>
      </c>
    </row>
    <row r="3644" spans="1:1" x14ac:dyDescent="0.25">
      <c r="A3644" t="s">
        <v>2714</v>
      </c>
    </row>
    <row r="3645" spans="1:1" x14ac:dyDescent="0.25">
      <c r="A3645" t="s">
        <v>2714</v>
      </c>
    </row>
    <row r="3646" spans="1:1" x14ac:dyDescent="0.25">
      <c r="A3646" t="s">
        <v>2714</v>
      </c>
    </row>
    <row r="3647" spans="1:1" x14ac:dyDescent="0.25">
      <c r="A3647" t="s">
        <v>2714</v>
      </c>
    </row>
    <row r="3648" spans="1:1" x14ac:dyDescent="0.25">
      <c r="A3648" t="s">
        <v>2714</v>
      </c>
    </row>
    <row r="3649" spans="1:1" x14ac:dyDescent="0.25">
      <c r="A3649" t="s">
        <v>2714</v>
      </c>
    </row>
    <row r="3650" spans="1:1" x14ac:dyDescent="0.25">
      <c r="A3650" t="s">
        <v>2714</v>
      </c>
    </row>
    <row r="3651" spans="1:1" x14ac:dyDescent="0.25">
      <c r="A3651" t="s">
        <v>2714</v>
      </c>
    </row>
    <row r="3652" spans="1:1" x14ac:dyDescent="0.25">
      <c r="A3652" t="s">
        <v>2714</v>
      </c>
    </row>
    <row r="3653" spans="1:1" x14ac:dyDescent="0.25">
      <c r="A3653" t="s">
        <v>2714</v>
      </c>
    </row>
    <row r="3654" spans="1:1" x14ac:dyDescent="0.25">
      <c r="A3654" t="s">
        <v>2714</v>
      </c>
    </row>
    <row r="3655" spans="1:1" x14ac:dyDescent="0.25">
      <c r="A3655" t="s">
        <v>2714</v>
      </c>
    </row>
    <row r="3656" spans="1:1" x14ac:dyDescent="0.25">
      <c r="A3656" t="s">
        <v>2686</v>
      </c>
    </row>
    <row r="3659" spans="1:1" x14ac:dyDescent="0.25">
      <c r="A3659" t="s">
        <v>3418</v>
      </c>
    </row>
    <row r="3660" spans="1:1" x14ac:dyDescent="0.25">
      <c r="A3660" t="s">
        <v>2713</v>
      </c>
    </row>
    <row r="3661" spans="1:1" x14ac:dyDescent="0.25">
      <c r="A3661" t="s">
        <v>2714</v>
      </c>
    </row>
    <row r="3662" spans="1:1" x14ac:dyDescent="0.25">
      <c r="A3662" t="s">
        <v>2714</v>
      </c>
    </row>
    <row r="3663" spans="1:1" x14ac:dyDescent="0.25">
      <c r="A3663" t="s">
        <v>2714</v>
      </c>
    </row>
    <row r="3664" spans="1:1" x14ac:dyDescent="0.25">
      <c r="A3664" t="s">
        <v>2714</v>
      </c>
    </row>
    <row r="3665" spans="1:1" x14ac:dyDescent="0.25">
      <c r="A3665" t="s">
        <v>2714</v>
      </c>
    </row>
    <row r="3666" spans="1:1" x14ac:dyDescent="0.25">
      <c r="A3666" t="s">
        <v>2714</v>
      </c>
    </row>
    <row r="3667" spans="1:1" x14ac:dyDescent="0.25">
      <c r="A3667" t="s">
        <v>2714</v>
      </c>
    </row>
    <row r="3668" spans="1:1" x14ac:dyDescent="0.25">
      <c r="A3668" t="s">
        <v>2714</v>
      </c>
    </row>
    <row r="3669" spans="1:1" x14ac:dyDescent="0.25">
      <c r="A3669" t="s">
        <v>2714</v>
      </c>
    </row>
    <row r="3670" spans="1:1" x14ac:dyDescent="0.25">
      <c r="A3670" t="s">
        <v>2714</v>
      </c>
    </row>
    <row r="3671" spans="1:1" x14ac:dyDescent="0.25">
      <c r="A3671" t="s">
        <v>2714</v>
      </c>
    </row>
    <row r="3672" spans="1:1" x14ac:dyDescent="0.25">
      <c r="A3672" t="s">
        <v>2714</v>
      </c>
    </row>
    <row r="3673" spans="1:1" x14ac:dyDescent="0.25">
      <c r="A3673" t="s">
        <v>2714</v>
      </c>
    </row>
    <row r="3674" spans="1:1" x14ac:dyDescent="0.25">
      <c r="A3674" t="s">
        <v>2714</v>
      </c>
    </row>
    <row r="3675" spans="1:1" x14ac:dyDescent="0.25">
      <c r="A3675" t="s">
        <v>2714</v>
      </c>
    </row>
    <row r="3676" spans="1:1" x14ac:dyDescent="0.25">
      <c r="A3676" t="s">
        <v>2714</v>
      </c>
    </row>
    <row r="3677" spans="1:1" x14ac:dyDescent="0.25">
      <c r="A3677" t="s">
        <v>2714</v>
      </c>
    </row>
    <row r="3678" spans="1:1" x14ac:dyDescent="0.25">
      <c r="A3678" t="s">
        <v>2714</v>
      </c>
    </row>
    <row r="3679" spans="1:1" x14ac:dyDescent="0.25">
      <c r="A3679" t="s">
        <v>2714</v>
      </c>
    </row>
    <row r="3680" spans="1:1" x14ac:dyDescent="0.25">
      <c r="A3680" t="s">
        <v>2714</v>
      </c>
    </row>
    <row r="3681" spans="1:1" x14ac:dyDescent="0.25">
      <c r="A3681" t="s">
        <v>2714</v>
      </c>
    </row>
    <row r="3682" spans="1:1" x14ac:dyDescent="0.25">
      <c r="A3682" t="s">
        <v>2714</v>
      </c>
    </row>
    <row r="3683" spans="1:1" x14ac:dyDescent="0.25">
      <c r="A3683" t="s">
        <v>2714</v>
      </c>
    </row>
    <row r="3684" spans="1:1" x14ac:dyDescent="0.25">
      <c r="A3684" t="s">
        <v>2714</v>
      </c>
    </row>
    <row r="3685" spans="1:1" x14ac:dyDescent="0.25">
      <c r="A3685" t="s">
        <v>2714</v>
      </c>
    </row>
    <row r="3686" spans="1:1" x14ac:dyDescent="0.25">
      <c r="A3686" t="s">
        <v>2714</v>
      </c>
    </row>
    <row r="3687" spans="1:1" x14ac:dyDescent="0.25">
      <c r="A3687" t="s">
        <v>2714</v>
      </c>
    </row>
    <row r="3688" spans="1:1" x14ac:dyDescent="0.25">
      <c r="A3688" t="s">
        <v>2714</v>
      </c>
    </row>
    <row r="3689" spans="1:1" x14ac:dyDescent="0.25">
      <c r="A3689" t="s">
        <v>2714</v>
      </c>
    </row>
    <row r="3690" spans="1:1" x14ac:dyDescent="0.25">
      <c r="A3690" t="s">
        <v>2714</v>
      </c>
    </row>
    <row r="3691" spans="1:1" x14ac:dyDescent="0.25">
      <c r="A3691" t="s">
        <v>2714</v>
      </c>
    </row>
    <row r="3692" spans="1:1" x14ac:dyDescent="0.25">
      <c r="A3692" t="s">
        <v>2714</v>
      </c>
    </row>
    <row r="3693" spans="1:1" x14ac:dyDescent="0.25">
      <c r="A3693" t="s">
        <v>2714</v>
      </c>
    </row>
    <row r="3694" spans="1:1" x14ac:dyDescent="0.25">
      <c r="A3694" t="s">
        <v>2714</v>
      </c>
    </row>
    <row r="3695" spans="1:1" x14ac:dyDescent="0.25">
      <c r="A3695" t="s">
        <v>2714</v>
      </c>
    </row>
    <row r="3696" spans="1:1" x14ac:dyDescent="0.25">
      <c r="A3696" t="s">
        <v>2714</v>
      </c>
    </row>
    <row r="3697" spans="1:1" x14ac:dyDescent="0.25">
      <c r="A3697" t="s">
        <v>2714</v>
      </c>
    </row>
    <row r="3698" spans="1:1" x14ac:dyDescent="0.25">
      <c r="A3698" t="s">
        <v>2714</v>
      </c>
    </row>
    <row r="3699" spans="1:1" x14ac:dyDescent="0.25">
      <c r="A3699" t="s">
        <v>2714</v>
      </c>
    </row>
    <row r="3700" spans="1:1" x14ac:dyDescent="0.25">
      <c r="A3700" t="s">
        <v>2714</v>
      </c>
    </row>
    <row r="3701" spans="1:1" x14ac:dyDescent="0.25">
      <c r="A3701" t="s">
        <v>2714</v>
      </c>
    </row>
    <row r="3702" spans="1:1" x14ac:dyDescent="0.25">
      <c r="A3702" t="s">
        <v>2714</v>
      </c>
    </row>
    <row r="3703" spans="1:1" x14ac:dyDescent="0.25">
      <c r="A3703" t="s">
        <v>2714</v>
      </c>
    </row>
    <row r="3704" spans="1:1" x14ac:dyDescent="0.25">
      <c r="A3704" t="s">
        <v>2714</v>
      </c>
    </row>
    <row r="3705" spans="1:1" x14ac:dyDescent="0.25">
      <c r="A3705" t="s">
        <v>2714</v>
      </c>
    </row>
    <row r="3706" spans="1:1" x14ac:dyDescent="0.25">
      <c r="A3706" t="s">
        <v>2714</v>
      </c>
    </row>
    <row r="3707" spans="1:1" x14ac:dyDescent="0.25">
      <c r="A3707" t="s">
        <v>2714</v>
      </c>
    </row>
    <row r="3708" spans="1:1" x14ac:dyDescent="0.25">
      <c r="A3708" t="s">
        <v>2714</v>
      </c>
    </row>
    <row r="3709" spans="1:1" x14ac:dyDescent="0.25">
      <c r="A3709" t="s">
        <v>2714</v>
      </c>
    </row>
    <row r="3710" spans="1:1" x14ac:dyDescent="0.25">
      <c r="A3710" t="s">
        <v>2714</v>
      </c>
    </row>
    <row r="3711" spans="1:1" x14ac:dyDescent="0.25">
      <c r="A3711" t="s">
        <v>2714</v>
      </c>
    </row>
    <row r="3712" spans="1:1" x14ac:dyDescent="0.25">
      <c r="A3712" t="s">
        <v>2714</v>
      </c>
    </row>
    <row r="3713" spans="1:1" x14ac:dyDescent="0.25">
      <c r="A3713" t="s">
        <v>2714</v>
      </c>
    </row>
    <row r="3714" spans="1:1" x14ac:dyDescent="0.25">
      <c r="A3714" t="s">
        <v>2714</v>
      </c>
    </row>
    <row r="3715" spans="1:1" x14ac:dyDescent="0.25">
      <c r="A3715" t="s">
        <v>2714</v>
      </c>
    </row>
    <row r="3716" spans="1:1" x14ac:dyDescent="0.25">
      <c r="A3716" t="s">
        <v>2714</v>
      </c>
    </row>
    <row r="3717" spans="1:1" x14ac:dyDescent="0.25">
      <c r="A3717" t="s">
        <v>2714</v>
      </c>
    </row>
    <row r="3718" spans="1:1" x14ac:dyDescent="0.25">
      <c r="A3718" t="s">
        <v>2714</v>
      </c>
    </row>
    <row r="3719" spans="1:1" x14ac:dyDescent="0.25">
      <c r="A3719" t="s">
        <v>2686</v>
      </c>
    </row>
    <row r="3722" spans="1:1" x14ac:dyDescent="0.25">
      <c r="A3722" t="s">
        <v>3419</v>
      </c>
    </row>
    <row r="3723" spans="1:1" x14ac:dyDescent="0.25">
      <c r="A3723" t="s">
        <v>3420</v>
      </c>
    </row>
    <row r="3724" spans="1:1" x14ac:dyDescent="0.25">
      <c r="A3724" t="s">
        <v>3421</v>
      </c>
    </row>
    <row r="3725" spans="1:1" x14ac:dyDescent="0.25">
      <c r="A3725" t="s">
        <v>3421</v>
      </c>
    </row>
    <row r="3726" spans="1:1" x14ac:dyDescent="0.25">
      <c r="A3726" t="s">
        <v>3422</v>
      </c>
    </row>
    <row r="3727" spans="1:1" x14ac:dyDescent="0.25">
      <c r="A3727" t="s">
        <v>3423</v>
      </c>
    </row>
    <row r="3728" spans="1:1" x14ac:dyDescent="0.25">
      <c r="A3728" t="s">
        <v>3423</v>
      </c>
    </row>
    <row r="3729" spans="1:1" x14ac:dyDescent="0.25">
      <c r="A3729" t="s">
        <v>3424</v>
      </c>
    </row>
    <row r="3730" spans="1:1" x14ac:dyDescent="0.25">
      <c r="A3730" t="s">
        <v>3425</v>
      </c>
    </row>
    <row r="3731" spans="1:1" x14ac:dyDescent="0.25">
      <c r="A3731" t="s">
        <v>3426</v>
      </c>
    </row>
    <row r="3732" spans="1:1" x14ac:dyDescent="0.25">
      <c r="A3732" t="s">
        <v>3427</v>
      </c>
    </row>
    <row r="3733" spans="1:1" x14ac:dyDescent="0.25">
      <c r="A3733" t="s">
        <v>3428</v>
      </c>
    </row>
    <row r="3734" spans="1:1" x14ac:dyDescent="0.25">
      <c r="A3734" t="s">
        <v>3429</v>
      </c>
    </row>
    <row r="3735" spans="1:1" x14ac:dyDescent="0.25">
      <c r="A3735" t="s">
        <v>3430</v>
      </c>
    </row>
    <row r="3736" spans="1:1" x14ac:dyDescent="0.25">
      <c r="A3736" t="s">
        <v>3431</v>
      </c>
    </row>
    <row r="3737" spans="1:1" x14ac:dyDescent="0.25">
      <c r="A3737" t="s">
        <v>3432</v>
      </c>
    </row>
    <row r="3738" spans="1:1" x14ac:dyDescent="0.25">
      <c r="A3738" t="s">
        <v>3432</v>
      </c>
    </row>
    <row r="3739" spans="1:1" x14ac:dyDescent="0.25">
      <c r="A3739" t="s">
        <v>3433</v>
      </c>
    </row>
    <row r="3740" spans="1:1" x14ac:dyDescent="0.25">
      <c r="A3740" t="s">
        <v>3434</v>
      </c>
    </row>
    <row r="3741" spans="1:1" x14ac:dyDescent="0.25">
      <c r="A3741" t="s">
        <v>3435</v>
      </c>
    </row>
    <row r="3742" spans="1:1" x14ac:dyDescent="0.25">
      <c r="A3742" t="s">
        <v>3373</v>
      </c>
    </row>
    <row r="3743" spans="1:1" x14ac:dyDescent="0.25">
      <c r="A3743" t="s">
        <v>3374</v>
      </c>
    </row>
    <row r="3744" spans="1:1" x14ac:dyDescent="0.25">
      <c r="A3744" t="s">
        <v>3436</v>
      </c>
    </row>
    <row r="3745" spans="1:1" x14ac:dyDescent="0.25">
      <c r="A3745" t="s">
        <v>3437</v>
      </c>
    </row>
    <row r="3746" spans="1:1" x14ac:dyDescent="0.25">
      <c r="A3746" t="s">
        <v>3376</v>
      </c>
    </row>
    <row r="3747" spans="1:1" x14ac:dyDescent="0.25">
      <c r="A3747" t="s">
        <v>3438</v>
      </c>
    </row>
    <row r="3748" spans="1:1" x14ac:dyDescent="0.25">
      <c r="A3748" t="s">
        <v>3378</v>
      </c>
    </row>
    <row r="3749" spans="1:1" x14ac:dyDescent="0.25">
      <c r="A3749" t="s">
        <v>3382</v>
      </c>
    </row>
    <row r="3750" spans="1:1" x14ac:dyDescent="0.25">
      <c r="A3750" t="s">
        <v>3382</v>
      </c>
    </row>
    <row r="3751" spans="1:1" x14ac:dyDescent="0.25">
      <c r="A3751" t="s">
        <v>3439</v>
      </c>
    </row>
    <row r="3752" spans="1:1" x14ac:dyDescent="0.25">
      <c r="A3752" t="s">
        <v>3440</v>
      </c>
    </row>
    <row r="3753" spans="1:1" x14ac:dyDescent="0.25">
      <c r="A3753" t="s">
        <v>2713</v>
      </c>
    </row>
    <row r="3754" spans="1:1" x14ac:dyDescent="0.25">
      <c r="A3754" t="s">
        <v>2714</v>
      </c>
    </row>
    <row r="3755" spans="1:1" x14ac:dyDescent="0.25">
      <c r="A3755" t="s">
        <v>2714</v>
      </c>
    </row>
    <row r="3756" spans="1:1" x14ac:dyDescent="0.25">
      <c r="A3756" t="s">
        <v>2714</v>
      </c>
    </row>
    <row r="3757" spans="1:1" x14ac:dyDescent="0.25">
      <c r="A3757" t="s">
        <v>2714</v>
      </c>
    </row>
    <row r="3758" spans="1:1" x14ac:dyDescent="0.25">
      <c r="A3758" t="s">
        <v>2714</v>
      </c>
    </row>
    <row r="3759" spans="1:1" x14ac:dyDescent="0.25">
      <c r="A3759" t="s">
        <v>2714</v>
      </c>
    </row>
    <row r="3760" spans="1:1" x14ac:dyDescent="0.25">
      <c r="A3760" t="s">
        <v>2714</v>
      </c>
    </row>
    <row r="3761" spans="1:1" x14ac:dyDescent="0.25">
      <c r="A3761" t="s">
        <v>2714</v>
      </c>
    </row>
    <row r="3762" spans="1:1" x14ac:dyDescent="0.25">
      <c r="A3762" t="s">
        <v>2714</v>
      </c>
    </row>
    <row r="3763" spans="1:1" x14ac:dyDescent="0.25">
      <c r="A3763" t="s">
        <v>2714</v>
      </c>
    </row>
    <row r="3764" spans="1:1" x14ac:dyDescent="0.25">
      <c r="A3764" t="s">
        <v>2714</v>
      </c>
    </row>
    <row r="3765" spans="1:1" x14ac:dyDescent="0.25">
      <c r="A3765" t="s">
        <v>2714</v>
      </c>
    </row>
    <row r="3766" spans="1:1" x14ac:dyDescent="0.25">
      <c r="A3766" t="s">
        <v>2714</v>
      </c>
    </row>
    <row r="3767" spans="1:1" x14ac:dyDescent="0.25">
      <c r="A3767" t="s">
        <v>2714</v>
      </c>
    </row>
    <row r="3768" spans="1:1" x14ac:dyDescent="0.25">
      <c r="A3768" t="s">
        <v>2714</v>
      </c>
    </row>
    <row r="3769" spans="1:1" x14ac:dyDescent="0.25">
      <c r="A3769" t="s">
        <v>2714</v>
      </c>
    </row>
    <row r="3770" spans="1:1" x14ac:dyDescent="0.25">
      <c r="A3770" t="s">
        <v>2714</v>
      </c>
    </row>
    <row r="3771" spans="1:1" x14ac:dyDescent="0.25">
      <c r="A3771" t="s">
        <v>2714</v>
      </c>
    </row>
    <row r="3772" spans="1:1" x14ac:dyDescent="0.25">
      <c r="A3772" t="s">
        <v>2714</v>
      </c>
    </row>
    <row r="3773" spans="1:1" x14ac:dyDescent="0.25">
      <c r="A3773" t="s">
        <v>2714</v>
      </c>
    </row>
    <row r="3774" spans="1:1" x14ac:dyDescent="0.25">
      <c r="A3774" t="s">
        <v>2714</v>
      </c>
    </row>
    <row r="3775" spans="1:1" x14ac:dyDescent="0.25">
      <c r="A3775" t="s">
        <v>2714</v>
      </c>
    </row>
    <row r="3776" spans="1:1" x14ac:dyDescent="0.25">
      <c r="A3776" t="s">
        <v>2714</v>
      </c>
    </row>
    <row r="3777" spans="1:1" x14ac:dyDescent="0.25">
      <c r="A3777" t="s">
        <v>2714</v>
      </c>
    </row>
    <row r="3778" spans="1:1" x14ac:dyDescent="0.25">
      <c r="A3778" t="s">
        <v>2714</v>
      </c>
    </row>
    <row r="3779" spans="1:1" x14ac:dyDescent="0.25">
      <c r="A3779" t="s">
        <v>2714</v>
      </c>
    </row>
    <row r="3780" spans="1:1" x14ac:dyDescent="0.25">
      <c r="A3780" t="s">
        <v>2714</v>
      </c>
    </row>
    <row r="3781" spans="1:1" x14ac:dyDescent="0.25">
      <c r="A3781" t="s">
        <v>2714</v>
      </c>
    </row>
    <row r="3782" spans="1:1" x14ac:dyDescent="0.25">
      <c r="A3782" t="s">
        <v>2686</v>
      </c>
    </row>
    <row r="3785" spans="1:1" x14ac:dyDescent="0.25">
      <c r="A3785" t="s">
        <v>3441</v>
      </c>
    </row>
    <row r="3786" spans="1:1" x14ac:dyDescent="0.25">
      <c r="A3786" t="s">
        <v>3420</v>
      </c>
    </row>
    <row r="3787" spans="1:1" x14ac:dyDescent="0.25">
      <c r="A3787" t="s">
        <v>3421</v>
      </c>
    </row>
    <row r="3788" spans="1:1" x14ac:dyDescent="0.25">
      <c r="A3788" t="s">
        <v>3421</v>
      </c>
    </row>
    <row r="3789" spans="1:1" x14ac:dyDescent="0.25">
      <c r="A3789" t="s">
        <v>3422</v>
      </c>
    </row>
    <row r="3790" spans="1:1" x14ac:dyDescent="0.25">
      <c r="A3790" t="s">
        <v>3423</v>
      </c>
    </row>
    <row r="3791" spans="1:1" x14ac:dyDescent="0.25">
      <c r="A3791" t="s">
        <v>3423</v>
      </c>
    </row>
    <row r="3792" spans="1:1" x14ac:dyDescent="0.25">
      <c r="A3792" t="s">
        <v>3424</v>
      </c>
    </row>
    <row r="3793" spans="1:1" x14ac:dyDescent="0.25">
      <c r="A3793" t="s">
        <v>3425</v>
      </c>
    </row>
    <row r="3794" spans="1:1" x14ac:dyDescent="0.25">
      <c r="A3794" t="s">
        <v>3426</v>
      </c>
    </row>
    <row r="3795" spans="1:1" x14ac:dyDescent="0.25">
      <c r="A3795" t="s">
        <v>3427</v>
      </c>
    </row>
    <row r="3796" spans="1:1" x14ac:dyDescent="0.25">
      <c r="A3796" t="s">
        <v>3428</v>
      </c>
    </row>
    <row r="3797" spans="1:1" x14ac:dyDescent="0.25">
      <c r="A3797" t="s">
        <v>3429</v>
      </c>
    </row>
    <row r="3798" spans="1:1" x14ac:dyDescent="0.25">
      <c r="A3798" t="s">
        <v>3430</v>
      </c>
    </row>
    <row r="3799" spans="1:1" x14ac:dyDescent="0.25">
      <c r="A3799" t="s">
        <v>3431</v>
      </c>
    </row>
    <row r="3800" spans="1:1" x14ac:dyDescent="0.25">
      <c r="A3800" t="s">
        <v>3432</v>
      </c>
    </row>
    <row r="3801" spans="1:1" x14ac:dyDescent="0.25">
      <c r="A3801" t="s">
        <v>3432</v>
      </c>
    </row>
    <row r="3802" spans="1:1" x14ac:dyDescent="0.25">
      <c r="A3802" t="s">
        <v>3433</v>
      </c>
    </row>
    <row r="3803" spans="1:1" x14ac:dyDescent="0.25">
      <c r="A3803" t="s">
        <v>3434</v>
      </c>
    </row>
    <row r="3804" spans="1:1" x14ac:dyDescent="0.25">
      <c r="A3804" t="s">
        <v>3435</v>
      </c>
    </row>
    <row r="3805" spans="1:1" x14ac:dyDescent="0.25">
      <c r="A3805" t="s">
        <v>3373</v>
      </c>
    </row>
    <row r="3806" spans="1:1" x14ac:dyDescent="0.25">
      <c r="A3806" t="s">
        <v>3374</v>
      </c>
    </row>
    <row r="3807" spans="1:1" x14ac:dyDescent="0.25">
      <c r="A3807" t="s">
        <v>3436</v>
      </c>
    </row>
    <row r="3808" spans="1:1" x14ac:dyDescent="0.25">
      <c r="A3808" t="s">
        <v>3437</v>
      </c>
    </row>
    <row r="3809" spans="1:1" x14ac:dyDescent="0.25">
      <c r="A3809" t="s">
        <v>3376</v>
      </c>
    </row>
    <row r="3810" spans="1:1" x14ac:dyDescent="0.25">
      <c r="A3810" t="s">
        <v>3438</v>
      </c>
    </row>
    <row r="3811" spans="1:1" x14ac:dyDescent="0.25">
      <c r="A3811" t="s">
        <v>3378</v>
      </c>
    </row>
    <row r="3812" spans="1:1" x14ac:dyDescent="0.25">
      <c r="A3812" t="s">
        <v>3382</v>
      </c>
    </row>
    <row r="3813" spans="1:1" x14ac:dyDescent="0.25">
      <c r="A3813" t="s">
        <v>3382</v>
      </c>
    </row>
    <row r="3814" spans="1:1" x14ac:dyDescent="0.25">
      <c r="A3814" t="s">
        <v>3439</v>
      </c>
    </row>
    <row r="3815" spans="1:1" x14ac:dyDescent="0.25">
      <c r="A3815" t="s">
        <v>3440</v>
      </c>
    </row>
    <row r="3816" spans="1:1" x14ac:dyDescent="0.25">
      <c r="A3816" t="s">
        <v>2713</v>
      </c>
    </row>
    <row r="3817" spans="1:1" x14ac:dyDescent="0.25">
      <c r="A3817" t="s">
        <v>2714</v>
      </c>
    </row>
    <row r="3818" spans="1:1" x14ac:dyDescent="0.25">
      <c r="A3818" t="s">
        <v>2714</v>
      </c>
    </row>
    <row r="3819" spans="1:1" x14ac:dyDescent="0.25">
      <c r="A3819" t="s">
        <v>2714</v>
      </c>
    </row>
    <row r="3820" spans="1:1" x14ac:dyDescent="0.25">
      <c r="A3820" t="s">
        <v>2714</v>
      </c>
    </row>
    <row r="3821" spans="1:1" x14ac:dyDescent="0.25">
      <c r="A3821" t="s">
        <v>2714</v>
      </c>
    </row>
    <row r="3822" spans="1:1" x14ac:dyDescent="0.25">
      <c r="A3822" t="s">
        <v>2714</v>
      </c>
    </row>
    <row r="3823" spans="1:1" x14ac:dyDescent="0.25">
      <c r="A3823" t="s">
        <v>2714</v>
      </c>
    </row>
    <row r="3824" spans="1:1" x14ac:dyDescent="0.25">
      <c r="A3824" t="s">
        <v>2714</v>
      </c>
    </row>
    <row r="3825" spans="1:1" x14ac:dyDescent="0.25">
      <c r="A3825" t="s">
        <v>2714</v>
      </c>
    </row>
    <row r="3826" spans="1:1" x14ac:dyDescent="0.25">
      <c r="A3826" t="s">
        <v>2714</v>
      </c>
    </row>
    <row r="3827" spans="1:1" x14ac:dyDescent="0.25">
      <c r="A3827" t="s">
        <v>2714</v>
      </c>
    </row>
    <row r="3828" spans="1:1" x14ac:dyDescent="0.25">
      <c r="A3828" t="s">
        <v>2714</v>
      </c>
    </row>
    <row r="3829" spans="1:1" x14ac:dyDescent="0.25">
      <c r="A3829" t="s">
        <v>2714</v>
      </c>
    </row>
    <row r="3830" spans="1:1" x14ac:dyDescent="0.25">
      <c r="A3830" t="s">
        <v>2714</v>
      </c>
    </row>
    <row r="3831" spans="1:1" x14ac:dyDescent="0.25">
      <c r="A3831" t="s">
        <v>2714</v>
      </c>
    </row>
    <row r="3832" spans="1:1" x14ac:dyDescent="0.25">
      <c r="A3832" t="s">
        <v>2714</v>
      </c>
    </row>
    <row r="3833" spans="1:1" x14ac:dyDescent="0.25">
      <c r="A3833" t="s">
        <v>2714</v>
      </c>
    </row>
    <row r="3834" spans="1:1" x14ac:dyDescent="0.25">
      <c r="A3834" t="s">
        <v>2714</v>
      </c>
    </row>
    <row r="3835" spans="1:1" x14ac:dyDescent="0.25">
      <c r="A3835" t="s">
        <v>2714</v>
      </c>
    </row>
    <row r="3836" spans="1:1" x14ac:dyDescent="0.25">
      <c r="A3836" t="s">
        <v>2714</v>
      </c>
    </row>
    <row r="3837" spans="1:1" x14ac:dyDescent="0.25">
      <c r="A3837" t="s">
        <v>2714</v>
      </c>
    </row>
    <row r="3838" spans="1:1" x14ac:dyDescent="0.25">
      <c r="A3838" t="s">
        <v>2714</v>
      </c>
    </row>
    <row r="3839" spans="1:1" x14ac:dyDescent="0.25">
      <c r="A3839" t="s">
        <v>2714</v>
      </c>
    </row>
    <row r="3840" spans="1:1" x14ac:dyDescent="0.25">
      <c r="A3840" t="s">
        <v>2714</v>
      </c>
    </row>
    <row r="3841" spans="1:1" x14ac:dyDescent="0.25">
      <c r="A3841" t="s">
        <v>2714</v>
      </c>
    </row>
    <row r="3842" spans="1:1" x14ac:dyDescent="0.25">
      <c r="A3842" t="s">
        <v>2714</v>
      </c>
    </row>
    <row r="3843" spans="1:1" x14ac:dyDescent="0.25">
      <c r="A3843" t="s">
        <v>2714</v>
      </c>
    </row>
    <row r="3844" spans="1:1" x14ac:dyDescent="0.25">
      <c r="A3844" t="s">
        <v>2714</v>
      </c>
    </row>
    <row r="3845" spans="1:1" x14ac:dyDescent="0.25">
      <c r="A3845" t="s">
        <v>2686</v>
      </c>
    </row>
    <row r="3848" spans="1:1" x14ac:dyDescent="0.25">
      <c r="A3848" t="s">
        <v>3442</v>
      </c>
    </row>
    <row r="3849" spans="1:1" x14ac:dyDescent="0.25">
      <c r="A3849" t="s">
        <v>3443</v>
      </c>
    </row>
    <row r="3850" spans="1:1" x14ac:dyDescent="0.25">
      <c r="A3850" t="s">
        <v>3444</v>
      </c>
    </row>
    <row r="3851" spans="1:1" x14ac:dyDescent="0.25">
      <c r="A3851" t="s">
        <v>3444</v>
      </c>
    </row>
    <row r="3852" spans="1:1" x14ac:dyDescent="0.25">
      <c r="A3852" t="s">
        <v>3445</v>
      </c>
    </row>
    <row r="3853" spans="1:1" x14ac:dyDescent="0.25">
      <c r="A3853" t="s">
        <v>3445</v>
      </c>
    </row>
    <row r="3854" spans="1:1" x14ac:dyDescent="0.25">
      <c r="A3854" t="s">
        <v>3446</v>
      </c>
    </row>
    <row r="3855" spans="1:1" x14ac:dyDescent="0.25">
      <c r="A3855" t="s">
        <v>3447</v>
      </c>
    </row>
    <row r="3856" spans="1:1" x14ac:dyDescent="0.25">
      <c r="A3856" t="s">
        <v>3448</v>
      </c>
    </row>
    <row r="3857" spans="1:1" x14ac:dyDescent="0.25">
      <c r="A3857" t="s">
        <v>3449</v>
      </c>
    </row>
    <row r="3858" spans="1:1" x14ac:dyDescent="0.25">
      <c r="A3858" t="s">
        <v>3450</v>
      </c>
    </row>
    <row r="3859" spans="1:1" x14ac:dyDescent="0.25">
      <c r="A3859" t="s">
        <v>3451</v>
      </c>
    </row>
    <row r="3860" spans="1:1" x14ac:dyDescent="0.25">
      <c r="A3860" t="s">
        <v>3199</v>
      </c>
    </row>
    <row r="3861" spans="1:1" x14ac:dyDescent="0.25">
      <c r="A3861" t="s">
        <v>3452</v>
      </c>
    </row>
    <row r="3862" spans="1:1" x14ac:dyDescent="0.25">
      <c r="A3862" t="s">
        <v>3201</v>
      </c>
    </row>
    <row r="3863" spans="1:1" x14ac:dyDescent="0.25">
      <c r="A3863" t="s">
        <v>3202</v>
      </c>
    </row>
    <row r="3864" spans="1:1" x14ac:dyDescent="0.25">
      <c r="A3864" t="s">
        <v>3453</v>
      </c>
    </row>
    <row r="3865" spans="1:1" x14ac:dyDescent="0.25">
      <c r="A3865" t="s">
        <v>3454</v>
      </c>
    </row>
    <row r="3866" spans="1:1" x14ac:dyDescent="0.25">
      <c r="A3866" t="s">
        <v>3455</v>
      </c>
    </row>
    <row r="3867" spans="1:1" x14ac:dyDescent="0.25">
      <c r="A3867" t="s">
        <v>3456</v>
      </c>
    </row>
    <row r="3868" spans="1:1" x14ac:dyDescent="0.25">
      <c r="A3868" t="s">
        <v>3456</v>
      </c>
    </row>
    <row r="3869" spans="1:1" x14ac:dyDescent="0.25">
      <c r="A3869" t="s">
        <v>3208</v>
      </c>
    </row>
    <row r="3870" spans="1:1" x14ac:dyDescent="0.25">
      <c r="A3870" t="s">
        <v>3208</v>
      </c>
    </row>
    <row r="3871" spans="1:1" x14ac:dyDescent="0.25">
      <c r="A3871" t="s">
        <v>3457</v>
      </c>
    </row>
    <row r="3872" spans="1:1" x14ac:dyDescent="0.25">
      <c r="A3872" t="s">
        <v>3458</v>
      </c>
    </row>
    <row r="3873" spans="1:1" x14ac:dyDescent="0.25">
      <c r="A3873" t="s">
        <v>2713</v>
      </c>
    </row>
    <row r="3874" spans="1:1" x14ac:dyDescent="0.25">
      <c r="A3874" t="s">
        <v>2714</v>
      </c>
    </row>
    <row r="3875" spans="1:1" x14ac:dyDescent="0.25">
      <c r="A3875" t="s">
        <v>2714</v>
      </c>
    </row>
    <row r="3876" spans="1:1" x14ac:dyDescent="0.25">
      <c r="A3876" t="s">
        <v>2714</v>
      </c>
    </row>
    <row r="3877" spans="1:1" x14ac:dyDescent="0.25">
      <c r="A3877" t="s">
        <v>2714</v>
      </c>
    </row>
    <row r="3878" spans="1:1" x14ac:dyDescent="0.25">
      <c r="A3878" t="s">
        <v>2714</v>
      </c>
    </row>
    <row r="3879" spans="1:1" x14ac:dyDescent="0.25">
      <c r="A3879" t="s">
        <v>2714</v>
      </c>
    </row>
    <row r="3880" spans="1:1" x14ac:dyDescent="0.25">
      <c r="A3880" t="s">
        <v>2714</v>
      </c>
    </row>
    <row r="3881" spans="1:1" x14ac:dyDescent="0.25">
      <c r="A3881" t="s">
        <v>2714</v>
      </c>
    </row>
    <row r="3882" spans="1:1" x14ac:dyDescent="0.25">
      <c r="A3882" t="s">
        <v>2714</v>
      </c>
    </row>
    <row r="3883" spans="1:1" x14ac:dyDescent="0.25">
      <c r="A3883" t="s">
        <v>2714</v>
      </c>
    </row>
    <row r="3884" spans="1:1" x14ac:dyDescent="0.25">
      <c r="A3884" t="s">
        <v>2714</v>
      </c>
    </row>
    <row r="3885" spans="1:1" x14ac:dyDescent="0.25">
      <c r="A3885" t="s">
        <v>2714</v>
      </c>
    </row>
    <row r="3886" spans="1:1" x14ac:dyDescent="0.25">
      <c r="A3886" t="s">
        <v>2714</v>
      </c>
    </row>
    <row r="3887" spans="1:1" x14ac:dyDescent="0.25">
      <c r="A3887" t="s">
        <v>2714</v>
      </c>
    </row>
    <row r="3888" spans="1:1" x14ac:dyDescent="0.25">
      <c r="A3888" t="s">
        <v>2714</v>
      </c>
    </row>
    <row r="3889" spans="1:1" x14ac:dyDescent="0.25">
      <c r="A3889" t="s">
        <v>2714</v>
      </c>
    </row>
    <row r="3890" spans="1:1" x14ac:dyDescent="0.25">
      <c r="A3890" t="s">
        <v>2714</v>
      </c>
    </row>
    <row r="3891" spans="1:1" x14ac:dyDescent="0.25">
      <c r="A3891" t="s">
        <v>2714</v>
      </c>
    </row>
    <row r="3892" spans="1:1" x14ac:dyDescent="0.25">
      <c r="A3892" t="s">
        <v>2714</v>
      </c>
    </row>
    <row r="3893" spans="1:1" x14ac:dyDescent="0.25">
      <c r="A3893" t="s">
        <v>2714</v>
      </c>
    </row>
    <row r="3894" spans="1:1" x14ac:dyDescent="0.25">
      <c r="A3894" t="s">
        <v>2714</v>
      </c>
    </row>
    <row r="3895" spans="1:1" x14ac:dyDescent="0.25">
      <c r="A3895" t="s">
        <v>2714</v>
      </c>
    </row>
    <row r="3896" spans="1:1" x14ac:dyDescent="0.25">
      <c r="A3896" t="s">
        <v>2714</v>
      </c>
    </row>
    <row r="3897" spans="1:1" x14ac:dyDescent="0.25">
      <c r="A3897" t="s">
        <v>2714</v>
      </c>
    </row>
    <row r="3898" spans="1:1" x14ac:dyDescent="0.25">
      <c r="A3898" t="s">
        <v>2714</v>
      </c>
    </row>
    <row r="3899" spans="1:1" x14ac:dyDescent="0.25">
      <c r="A3899" t="s">
        <v>2714</v>
      </c>
    </row>
    <row r="3900" spans="1:1" x14ac:dyDescent="0.25">
      <c r="A3900" t="s">
        <v>2714</v>
      </c>
    </row>
    <row r="3901" spans="1:1" x14ac:dyDescent="0.25">
      <c r="A3901" t="s">
        <v>2714</v>
      </c>
    </row>
    <row r="3902" spans="1:1" x14ac:dyDescent="0.25">
      <c r="A3902" t="s">
        <v>2714</v>
      </c>
    </row>
    <row r="3903" spans="1:1" x14ac:dyDescent="0.25">
      <c r="A3903" t="s">
        <v>2714</v>
      </c>
    </row>
    <row r="3904" spans="1:1" x14ac:dyDescent="0.25">
      <c r="A3904" t="s">
        <v>2714</v>
      </c>
    </row>
    <row r="3905" spans="1:1" x14ac:dyDescent="0.25">
      <c r="A3905" t="s">
        <v>2714</v>
      </c>
    </row>
    <row r="3906" spans="1:1" x14ac:dyDescent="0.25">
      <c r="A3906" t="s">
        <v>2714</v>
      </c>
    </row>
    <row r="3907" spans="1:1" x14ac:dyDescent="0.25">
      <c r="A3907" t="s">
        <v>2714</v>
      </c>
    </row>
    <row r="3908" spans="1:1" x14ac:dyDescent="0.25">
      <c r="A3908" t="s">
        <v>2686</v>
      </c>
    </row>
    <row r="3911" spans="1:1" x14ac:dyDescent="0.25">
      <c r="A3911" t="s">
        <v>3459</v>
      </c>
    </row>
    <row r="3912" spans="1:1" x14ac:dyDescent="0.25">
      <c r="A3912" t="s">
        <v>3460</v>
      </c>
    </row>
    <row r="3913" spans="1:1" x14ac:dyDescent="0.25">
      <c r="A3913" t="s">
        <v>3461</v>
      </c>
    </row>
    <row r="3914" spans="1:1" x14ac:dyDescent="0.25">
      <c r="A3914" t="s">
        <v>3213</v>
      </c>
    </row>
    <row r="3915" spans="1:1" x14ac:dyDescent="0.25">
      <c r="A3915" t="s">
        <v>3214</v>
      </c>
    </row>
    <row r="3916" spans="1:1" x14ac:dyDescent="0.25">
      <c r="A3916" t="s">
        <v>3215</v>
      </c>
    </row>
    <row r="3917" spans="1:1" x14ac:dyDescent="0.25">
      <c r="A3917" t="s">
        <v>3462</v>
      </c>
    </row>
    <row r="3918" spans="1:1" x14ac:dyDescent="0.25">
      <c r="A3918" t="s">
        <v>3463</v>
      </c>
    </row>
    <row r="3919" spans="1:1" x14ac:dyDescent="0.25">
      <c r="A3919" t="s">
        <v>3464</v>
      </c>
    </row>
    <row r="3920" spans="1:1" x14ac:dyDescent="0.25">
      <c r="A3920" t="s">
        <v>3465</v>
      </c>
    </row>
    <row r="3921" spans="1:1" x14ac:dyDescent="0.25">
      <c r="A3921" t="s">
        <v>3466</v>
      </c>
    </row>
    <row r="3922" spans="1:1" x14ac:dyDescent="0.25">
      <c r="A3922" t="s">
        <v>3467</v>
      </c>
    </row>
    <row r="3923" spans="1:1" x14ac:dyDescent="0.25">
      <c r="A3923" t="s">
        <v>3468</v>
      </c>
    </row>
    <row r="3924" spans="1:1" x14ac:dyDescent="0.25">
      <c r="A3924" t="s">
        <v>3469</v>
      </c>
    </row>
    <row r="3925" spans="1:1" x14ac:dyDescent="0.25">
      <c r="A3925" t="s">
        <v>3470</v>
      </c>
    </row>
    <row r="3926" spans="1:1" x14ac:dyDescent="0.25">
      <c r="A3926" t="s">
        <v>3471</v>
      </c>
    </row>
    <row r="3927" spans="1:1" x14ac:dyDescent="0.25">
      <c r="A3927" t="s">
        <v>3472</v>
      </c>
    </row>
    <row r="3928" spans="1:1" x14ac:dyDescent="0.25">
      <c r="A3928" t="s">
        <v>3473</v>
      </c>
    </row>
    <row r="3929" spans="1:1" x14ac:dyDescent="0.25">
      <c r="A3929" t="s">
        <v>3474</v>
      </c>
    </row>
    <row r="3930" spans="1:1" x14ac:dyDescent="0.25">
      <c r="A3930" t="s">
        <v>3475</v>
      </c>
    </row>
    <row r="3931" spans="1:1" x14ac:dyDescent="0.25">
      <c r="A3931" t="s">
        <v>3476</v>
      </c>
    </row>
    <row r="3932" spans="1:1" x14ac:dyDescent="0.25">
      <c r="A3932" t="s">
        <v>3477</v>
      </c>
    </row>
    <row r="3933" spans="1:1" x14ac:dyDescent="0.25">
      <c r="A3933" t="s">
        <v>3478</v>
      </c>
    </row>
    <row r="3934" spans="1:1" x14ac:dyDescent="0.25">
      <c r="A3934" t="s">
        <v>3196</v>
      </c>
    </row>
    <row r="3935" spans="1:1" x14ac:dyDescent="0.25">
      <c r="A3935" t="s">
        <v>3479</v>
      </c>
    </row>
    <row r="3936" spans="1:1" x14ac:dyDescent="0.25">
      <c r="A3936" t="s">
        <v>2713</v>
      </c>
    </row>
    <row r="3937" spans="1:1" x14ac:dyDescent="0.25">
      <c r="A3937" t="s">
        <v>2714</v>
      </c>
    </row>
    <row r="3938" spans="1:1" x14ac:dyDescent="0.25">
      <c r="A3938" t="s">
        <v>2714</v>
      </c>
    </row>
    <row r="3939" spans="1:1" x14ac:dyDescent="0.25">
      <c r="A3939" t="s">
        <v>2714</v>
      </c>
    </row>
    <row r="3940" spans="1:1" x14ac:dyDescent="0.25">
      <c r="A3940" t="s">
        <v>2714</v>
      </c>
    </row>
    <row r="3941" spans="1:1" x14ac:dyDescent="0.25">
      <c r="A3941" t="s">
        <v>2714</v>
      </c>
    </row>
    <row r="3942" spans="1:1" x14ac:dyDescent="0.25">
      <c r="A3942" t="s">
        <v>2714</v>
      </c>
    </row>
    <row r="3943" spans="1:1" x14ac:dyDescent="0.25">
      <c r="A3943" t="s">
        <v>2714</v>
      </c>
    </row>
    <row r="3944" spans="1:1" x14ac:dyDescent="0.25">
      <c r="A3944" t="s">
        <v>2714</v>
      </c>
    </row>
    <row r="3945" spans="1:1" x14ac:dyDescent="0.25">
      <c r="A3945" t="s">
        <v>2714</v>
      </c>
    </row>
    <row r="3946" spans="1:1" x14ac:dyDescent="0.25">
      <c r="A3946" t="s">
        <v>2714</v>
      </c>
    </row>
    <row r="3947" spans="1:1" x14ac:dyDescent="0.25">
      <c r="A3947" t="s">
        <v>2714</v>
      </c>
    </row>
    <row r="3948" spans="1:1" x14ac:dyDescent="0.25">
      <c r="A3948" t="s">
        <v>2714</v>
      </c>
    </row>
    <row r="3949" spans="1:1" x14ac:dyDescent="0.25">
      <c r="A3949" t="s">
        <v>2714</v>
      </c>
    </row>
    <row r="3950" spans="1:1" x14ac:dyDescent="0.25">
      <c r="A3950" t="s">
        <v>2714</v>
      </c>
    </row>
    <row r="3951" spans="1:1" x14ac:dyDescent="0.25">
      <c r="A3951" t="s">
        <v>2714</v>
      </c>
    </row>
    <row r="3952" spans="1:1" x14ac:dyDescent="0.25">
      <c r="A3952" t="s">
        <v>2714</v>
      </c>
    </row>
    <row r="3953" spans="1:1" x14ac:dyDescent="0.25">
      <c r="A3953" t="s">
        <v>2714</v>
      </c>
    </row>
    <row r="3954" spans="1:1" x14ac:dyDescent="0.25">
      <c r="A3954" t="s">
        <v>2714</v>
      </c>
    </row>
    <row r="3955" spans="1:1" x14ac:dyDescent="0.25">
      <c r="A3955" t="s">
        <v>2714</v>
      </c>
    </row>
    <row r="3956" spans="1:1" x14ac:dyDescent="0.25">
      <c r="A3956" t="s">
        <v>2714</v>
      </c>
    </row>
    <row r="3957" spans="1:1" x14ac:dyDescent="0.25">
      <c r="A3957" t="s">
        <v>2714</v>
      </c>
    </row>
    <row r="3958" spans="1:1" x14ac:dyDescent="0.25">
      <c r="A3958" t="s">
        <v>2714</v>
      </c>
    </row>
    <row r="3959" spans="1:1" x14ac:dyDescent="0.25">
      <c r="A3959" t="s">
        <v>2714</v>
      </c>
    </row>
    <row r="3960" spans="1:1" x14ac:dyDescent="0.25">
      <c r="A3960" t="s">
        <v>2714</v>
      </c>
    </row>
    <row r="3961" spans="1:1" x14ac:dyDescent="0.25">
      <c r="A3961" t="s">
        <v>2714</v>
      </c>
    </row>
    <row r="3962" spans="1:1" x14ac:dyDescent="0.25">
      <c r="A3962" t="s">
        <v>2714</v>
      </c>
    </row>
    <row r="3963" spans="1:1" x14ac:dyDescent="0.25">
      <c r="A3963" t="s">
        <v>2714</v>
      </c>
    </row>
    <row r="3964" spans="1:1" x14ac:dyDescent="0.25">
      <c r="A3964" t="s">
        <v>2714</v>
      </c>
    </row>
    <row r="3965" spans="1:1" x14ac:dyDescent="0.25">
      <c r="A3965" t="s">
        <v>2714</v>
      </c>
    </row>
    <row r="3966" spans="1:1" x14ac:dyDescent="0.25">
      <c r="A3966" t="s">
        <v>2714</v>
      </c>
    </row>
    <row r="3967" spans="1:1" x14ac:dyDescent="0.25">
      <c r="A3967" t="s">
        <v>2714</v>
      </c>
    </row>
    <row r="3968" spans="1:1" x14ac:dyDescent="0.25">
      <c r="A3968" t="s">
        <v>2714</v>
      </c>
    </row>
    <row r="3969" spans="1:1" x14ac:dyDescent="0.25">
      <c r="A3969" t="s">
        <v>2714</v>
      </c>
    </row>
    <row r="3970" spans="1:1" x14ac:dyDescent="0.25">
      <c r="A3970" t="s">
        <v>2714</v>
      </c>
    </row>
    <row r="3971" spans="1:1" x14ac:dyDescent="0.25">
      <c r="A3971" t="s">
        <v>2686</v>
      </c>
    </row>
    <row r="3974" spans="1:1" x14ac:dyDescent="0.25">
      <c r="A3974" t="s">
        <v>3480</v>
      </c>
    </row>
    <row r="3975" spans="1:1" x14ac:dyDescent="0.25">
      <c r="A3975" t="s">
        <v>3024</v>
      </c>
    </row>
    <row r="3976" spans="1:1" x14ac:dyDescent="0.25">
      <c r="A3976" t="s">
        <v>3025</v>
      </c>
    </row>
    <row r="3977" spans="1:1" x14ac:dyDescent="0.25">
      <c r="A3977" t="s">
        <v>3026</v>
      </c>
    </row>
    <row r="3978" spans="1:1" x14ac:dyDescent="0.25">
      <c r="A3978" t="s">
        <v>2988</v>
      </c>
    </row>
    <row r="3979" spans="1:1" x14ac:dyDescent="0.25">
      <c r="A3979" t="s">
        <v>3481</v>
      </c>
    </row>
    <row r="3980" spans="1:1" x14ac:dyDescent="0.25">
      <c r="A3980" t="s">
        <v>2713</v>
      </c>
    </row>
    <row r="3981" spans="1:1" x14ac:dyDescent="0.25">
      <c r="A3981" t="s">
        <v>2714</v>
      </c>
    </row>
    <row r="3982" spans="1:1" x14ac:dyDescent="0.25">
      <c r="A3982" t="s">
        <v>2714</v>
      </c>
    </row>
    <row r="3983" spans="1:1" x14ac:dyDescent="0.25">
      <c r="A3983" t="s">
        <v>2714</v>
      </c>
    </row>
    <row r="3984" spans="1:1" x14ac:dyDescent="0.25">
      <c r="A3984" t="s">
        <v>2714</v>
      </c>
    </row>
    <row r="3985" spans="1:1" x14ac:dyDescent="0.25">
      <c r="A3985" t="s">
        <v>2714</v>
      </c>
    </row>
    <row r="3986" spans="1:1" x14ac:dyDescent="0.25">
      <c r="A3986" t="s">
        <v>2714</v>
      </c>
    </row>
    <row r="3987" spans="1:1" x14ac:dyDescent="0.25">
      <c r="A3987" t="s">
        <v>2714</v>
      </c>
    </row>
    <row r="3988" spans="1:1" x14ac:dyDescent="0.25">
      <c r="A3988" t="s">
        <v>2714</v>
      </c>
    </row>
    <row r="3989" spans="1:1" x14ac:dyDescent="0.25">
      <c r="A3989" t="s">
        <v>2714</v>
      </c>
    </row>
    <row r="3990" spans="1:1" x14ac:dyDescent="0.25">
      <c r="A3990" t="s">
        <v>2714</v>
      </c>
    </row>
    <row r="3991" spans="1:1" x14ac:dyDescent="0.25">
      <c r="A3991" t="s">
        <v>2714</v>
      </c>
    </row>
    <row r="3992" spans="1:1" x14ac:dyDescent="0.25">
      <c r="A3992" t="s">
        <v>2714</v>
      </c>
    </row>
    <row r="3993" spans="1:1" x14ac:dyDescent="0.25">
      <c r="A3993" t="s">
        <v>2714</v>
      </c>
    </row>
    <row r="3994" spans="1:1" x14ac:dyDescent="0.25">
      <c r="A3994" t="s">
        <v>2714</v>
      </c>
    </row>
    <row r="3995" spans="1:1" x14ac:dyDescent="0.25">
      <c r="A3995" t="s">
        <v>2714</v>
      </c>
    </row>
    <row r="3996" spans="1:1" x14ac:dyDescent="0.25">
      <c r="A3996" t="s">
        <v>2714</v>
      </c>
    </row>
    <row r="3997" spans="1:1" x14ac:dyDescent="0.25">
      <c r="A3997" t="s">
        <v>2714</v>
      </c>
    </row>
    <row r="3998" spans="1:1" x14ac:dyDescent="0.25">
      <c r="A3998" t="s">
        <v>2714</v>
      </c>
    </row>
    <row r="3999" spans="1:1" x14ac:dyDescent="0.25">
      <c r="A3999" t="s">
        <v>2714</v>
      </c>
    </row>
    <row r="4000" spans="1:1" x14ac:dyDescent="0.25">
      <c r="A4000" t="s">
        <v>2714</v>
      </c>
    </row>
    <row r="4001" spans="1:1" x14ac:dyDescent="0.25">
      <c r="A4001" t="s">
        <v>2714</v>
      </c>
    </row>
    <row r="4002" spans="1:1" x14ac:dyDescent="0.25">
      <c r="A4002" t="s">
        <v>2714</v>
      </c>
    </row>
    <row r="4003" spans="1:1" x14ac:dyDescent="0.25">
      <c r="A4003" t="s">
        <v>2714</v>
      </c>
    </row>
    <row r="4004" spans="1:1" x14ac:dyDescent="0.25">
      <c r="A4004" t="s">
        <v>2714</v>
      </c>
    </row>
    <row r="4005" spans="1:1" x14ac:dyDescent="0.25">
      <c r="A4005" t="s">
        <v>2714</v>
      </c>
    </row>
    <row r="4006" spans="1:1" x14ac:dyDescent="0.25">
      <c r="A4006" t="s">
        <v>2714</v>
      </c>
    </row>
    <row r="4007" spans="1:1" x14ac:dyDescent="0.25">
      <c r="A4007" t="s">
        <v>2714</v>
      </c>
    </row>
    <row r="4008" spans="1:1" x14ac:dyDescent="0.25">
      <c r="A4008" t="s">
        <v>2714</v>
      </c>
    </row>
    <row r="4009" spans="1:1" x14ac:dyDescent="0.25">
      <c r="A4009" t="s">
        <v>2714</v>
      </c>
    </row>
    <row r="4010" spans="1:1" x14ac:dyDescent="0.25">
      <c r="A4010" t="s">
        <v>2714</v>
      </c>
    </row>
    <row r="4011" spans="1:1" x14ac:dyDescent="0.25">
      <c r="A4011" t="s">
        <v>2714</v>
      </c>
    </row>
    <row r="4012" spans="1:1" x14ac:dyDescent="0.25">
      <c r="A4012" t="s">
        <v>2714</v>
      </c>
    </row>
    <row r="4013" spans="1:1" x14ac:dyDescent="0.25">
      <c r="A4013" t="s">
        <v>2714</v>
      </c>
    </row>
    <row r="4014" spans="1:1" x14ac:dyDescent="0.25">
      <c r="A4014" t="s">
        <v>2714</v>
      </c>
    </row>
    <row r="4015" spans="1:1" x14ac:dyDescent="0.25">
      <c r="A4015" t="s">
        <v>2714</v>
      </c>
    </row>
    <row r="4016" spans="1:1" x14ac:dyDescent="0.25">
      <c r="A4016" t="s">
        <v>2714</v>
      </c>
    </row>
    <row r="4017" spans="1:1" x14ac:dyDescent="0.25">
      <c r="A4017" t="s">
        <v>2714</v>
      </c>
    </row>
    <row r="4018" spans="1:1" x14ac:dyDescent="0.25">
      <c r="A4018" t="s">
        <v>2714</v>
      </c>
    </row>
    <row r="4019" spans="1:1" x14ac:dyDescent="0.25">
      <c r="A4019" t="s">
        <v>2714</v>
      </c>
    </row>
    <row r="4020" spans="1:1" x14ac:dyDescent="0.25">
      <c r="A4020" t="s">
        <v>2714</v>
      </c>
    </row>
    <row r="4021" spans="1:1" x14ac:dyDescent="0.25">
      <c r="A4021" t="s">
        <v>2714</v>
      </c>
    </row>
    <row r="4022" spans="1:1" x14ac:dyDescent="0.25">
      <c r="A4022" t="s">
        <v>2714</v>
      </c>
    </row>
    <row r="4023" spans="1:1" x14ac:dyDescent="0.25">
      <c r="A4023" t="s">
        <v>2714</v>
      </c>
    </row>
    <row r="4024" spans="1:1" x14ac:dyDescent="0.25">
      <c r="A4024" t="s">
        <v>2714</v>
      </c>
    </row>
    <row r="4025" spans="1:1" x14ac:dyDescent="0.25">
      <c r="A4025" t="s">
        <v>2714</v>
      </c>
    </row>
    <row r="4026" spans="1:1" x14ac:dyDescent="0.25">
      <c r="A4026" t="s">
        <v>2714</v>
      </c>
    </row>
    <row r="4027" spans="1:1" x14ac:dyDescent="0.25">
      <c r="A4027" t="s">
        <v>2714</v>
      </c>
    </row>
    <row r="4028" spans="1:1" x14ac:dyDescent="0.25">
      <c r="A4028" t="s">
        <v>2714</v>
      </c>
    </row>
    <row r="4029" spans="1:1" x14ac:dyDescent="0.25">
      <c r="A4029" t="s">
        <v>2714</v>
      </c>
    </row>
    <row r="4030" spans="1:1" x14ac:dyDescent="0.25">
      <c r="A4030" t="s">
        <v>2714</v>
      </c>
    </row>
    <row r="4031" spans="1:1" x14ac:dyDescent="0.25">
      <c r="A4031" t="s">
        <v>2714</v>
      </c>
    </row>
    <row r="4032" spans="1:1" x14ac:dyDescent="0.25">
      <c r="A4032" t="s">
        <v>2714</v>
      </c>
    </row>
    <row r="4033" spans="1:1" x14ac:dyDescent="0.25">
      <c r="A4033" t="s">
        <v>2714</v>
      </c>
    </row>
    <row r="4034" spans="1:1" x14ac:dyDescent="0.25">
      <c r="A4034" t="s">
        <v>2686</v>
      </c>
    </row>
    <row r="4037" spans="1:1" x14ac:dyDescent="0.25">
      <c r="A4037" t="s">
        <v>3482</v>
      </c>
    </row>
    <row r="4038" spans="1:1" x14ac:dyDescent="0.25">
      <c r="A4038" t="s">
        <v>3192</v>
      </c>
    </row>
    <row r="4039" spans="1:1" x14ac:dyDescent="0.25">
      <c r="A4039" t="s">
        <v>3483</v>
      </c>
    </row>
    <row r="4040" spans="1:1" x14ac:dyDescent="0.25">
      <c r="A4040" t="s">
        <v>3484</v>
      </c>
    </row>
    <row r="4041" spans="1:1" x14ac:dyDescent="0.25">
      <c r="A4041" t="s">
        <v>2713</v>
      </c>
    </row>
    <row r="4042" spans="1:1" x14ac:dyDescent="0.25">
      <c r="A4042" t="s">
        <v>2714</v>
      </c>
    </row>
    <row r="4043" spans="1:1" x14ac:dyDescent="0.25">
      <c r="A4043" t="s">
        <v>2714</v>
      </c>
    </row>
    <row r="4044" spans="1:1" x14ac:dyDescent="0.25">
      <c r="A4044" t="s">
        <v>2714</v>
      </c>
    </row>
    <row r="4045" spans="1:1" x14ac:dyDescent="0.25">
      <c r="A4045" t="s">
        <v>2714</v>
      </c>
    </row>
    <row r="4046" spans="1:1" x14ac:dyDescent="0.25">
      <c r="A4046" t="s">
        <v>2714</v>
      </c>
    </row>
    <row r="4047" spans="1:1" x14ac:dyDescent="0.25">
      <c r="A4047" t="s">
        <v>2714</v>
      </c>
    </row>
    <row r="4048" spans="1:1" x14ac:dyDescent="0.25">
      <c r="A4048" t="s">
        <v>2714</v>
      </c>
    </row>
    <row r="4049" spans="1:1" x14ac:dyDescent="0.25">
      <c r="A4049" t="s">
        <v>2714</v>
      </c>
    </row>
    <row r="4050" spans="1:1" x14ac:dyDescent="0.25">
      <c r="A4050" t="s">
        <v>2714</v>
      </c>
    </row>
    <row r="4051" spans="1:1" x14ac:dyDescent="0.25">
      <c r="A4051" t="s">
        <v>2714</v>
      </c>
    </row>
    <row r="4052" spans="1:1" x14ac:dyDescent="0.25">
      <c r="A4052" t="s">
        <v>2714</v>
      </c>
    </row>
    <row r="4053" spans="1:1" x14ac:dyDescent="0.25">
      <c r="A4053" t="s">
        <v>2714</v>
      </c>
    </row>
    <row r="4054" spans="1:1" x14ac:dyDescent="0.25">
      <c r="A4054" t="s">
        <v>2714</v>
      </c>
    </row>
    <row r="4055" spans="1:1" x14ac:dyDescent="0.25">
      <c r="A4055" t="s">
        <v>2714</v>
      </c>
    </row>
    <row r="4056" spans="1:1" x14ac:dyDescent="0.25">
      <c r="A4056" t="s">
        <v>2714</v>
      </c>
    </row>
    <row r="4057" spans="1:1" x14ac:dyDescent="0.25">
      <c r="A4057" t="s">
        <v>2714</v>
      </c>
    </row>
    <row r="4058" spans="1:1" x14ac:dyDescent="0.25">
      <c r="A4058" t="s">
        <v>2714</v>
      </c>
    </row>
    <row r="4059" spans="1:1" x14ac:dyDescent="0.25">
      <c r="A4059" t="s">
        <v>2714</v>
      </c>
    </row>
    <row r="4060" spans="1:1" x14ac:dyDescent="0.25">
      <c r="A4060" t="s">
        <v>2714</v>
      </c>
    </row>
    <row r="4061" spans="1:1" x14ac:dyDescent="0.25">
      <c r="A4061" t="s">
        <v>2714</v>
      </c>
    </row>
    <row r="4062" spans="1:1" x14ac:dyDescent="0.25">
      <c r="A4062" t="s">
        <v>2714</v>
      </c>
    </row>
    <row r="4063" spans="1:1" x14ac:dyDescent="0.25">
      <c r="A4063" t="s">
        <v>2714</v>
      </c>
    </row>
    <row r="4064" spans="1:1" x14ac:dyDescent="0.25">
      <c r="A4064" t="s">
        <v>2714</v>
      </c>
    </row>
    <row r="4065" spans="1:1" x14ac:dyDescent="0.25">
      <c r="A4065" t="s">
        <v>2714</v>
      </c>
    </row>
    <row r="4066" spans="1:1" x14ac:dyDescent="0.25">
      <c r="A4066" t="s">
        <v>2714</v>
      </c>
    </row>
    <row r="4067" spans="1:1" x14ac:dyDescent="0.25">
      <c r="A4067" t="s">
        <v>2714</v>
      </c>
    </row>
    <row r="4068" spans="1:1" x14ac:dyDescent="0.25">
      <c r="A4068" t="s">
        <v>2714</v>
      </c>
    </row>
    <row r="4069" spans="1:1" x14ac:dyDescent="0.25">
      <c r="A4069" t="s">
        <v>2714</v>
      </c>
    </row>
    <row r="4070" spans="1:1" x14ac:dyDescent="0.25">
      <c r="A4070" t="s">
        <v>2714</v>
      </c>
    </row>
    <row r="4071" spans="1:1" x14ac:dyDescent="0.25">
      <c r="A4071" t="s">
        <v>2714</v>
      </c>
    </row>
    <row r="4072" spans="1:1" x14ac:dyDescent="0.25">
      <c r="A4072" t="s">
        <v>2714</v>
      </c>
    </row>
    <row r="4073" spans="1:1" x14ac:dyDescent="0.25">
      <c r="A4073" t="s">
        <v>2714</v>
      </c>
    </row>
    <row r="4074" spans="1:1" x14ac:dyDescent="0.25">
      <c r="A4074" t="s">
        <v>2714</v>
      </c>
    </row>
    <row r="4075" spans="1:1" x14ac:dyDescent="0.25">
      <c r="A4075" t="s">
        <v>2714</v>
      </c>
    </row>
    <row r="4076" spans="1:1" x14ac:dyDescent="0.25">
      <c r="A4076" t="s">
        <v>2714</v>
      </c>
    </row>
    <row r="4077" spans="1:1" x14ac:dyDescent="0.25">
      <c r="A4077" t="s">
        <v>2714</v>
      </c>
    </row>
    <row r="4078" spans="1:1" x14ac:dyDescent="0.25">
      <c r="A4078" t="s">
        <v>2714</v>
      </c>
    </row>
    <row r="4079" spans="1:1" x14ac:dyDescent="0.25">
      <c r="A4079" t="s">
        <v>2714</v>
      </c>
    </row>
    <row r="4080" spans="1:1" x14ac:dyDescent="0.25">
      <c r="A4080" t="s">
        <v>2714</v>
      </c>
    </row>
    <row r="4081" spans="1:1" x14ac:dyDescent="0.25">
      <c r="A4081" t="s">
        <v>2714</v>
      </c>
    </row>
    <row r="4082" spans="1:1" x14ac:dyDescent="0.25">
      <c r="A4082" t="s">
        <v>2714</v>
      </c>
    </row>
    <row r="4083" spans="1:1" x14ac:dyDescent="0.25">
      <c r="A4083" t="s">
        <v>2714</v>
      </c>
    </row>
    <row r="4084" spans="1:1" x14ac:dyDescent="0.25">
      <c r="A4084" t="s">
        <v>2714</v>
      </c>
    </row>
    <row r="4085" spans="1:1" x14ac:dyDescent="0.25">
      <c r="A4085" t="s">
        <v>2714</v>
      </c>
    </row>
    <row r="4086" spans="1:1" x14ac:dyDescent="0.25">
      <c r="A4086" t="s">
        <v>2714</v>
      </c>
    </row>
    <row r="4087" spans="1:1" x14ac:dyDescent="0.25">
      <c r="A4087" t="s">
        <v>2714</v>
      </c>
    </row>
    <row r="4088" spans="1:1" x14ac:dyDescent="0.25">
      <c r="A4088" t="s">
        <v>2714</v>
      </c>
    </row>
    <row r="4089" spans="1:1" x14ac:dyDescent="0.25">
      <c r="A4089" t="s">
        <v>2714</v>
      </c>
    </row>
    <row r="4090" spans="1:1" x14ac:dyDescent="0.25">
      <c r="A4090" t="s">
        <v>2714</v>
      </c>
    </row>
    <row r="4091" spans="1:1" x14ac:dyDescent="0.25">
      <c r="A4091" t="s">
        <v>2714</v>
      </c>
    </row>
    <row r="4092" spans="1:1" x14ac:dyDescent="0.25">
      <c r="A4092" t="s">
        <v>2714</v>
      </c>
    </row>
    <row r="4093" spans="1:1" x14ac:dyDescent="0.25">
      <c r="A4093" t="s">
        <v>2714</v>
      </c>
    </row>
    <row r="4094" spans="1:1" x14ac:dyDescent="0.25">
      <c r="A4094" t="s">
        <v>2714</v>
      </c>
    </row>
    <row r="4095" spans="1:1" x14ac:dyDescent="0.25">
      <c r="A4095" t="s">
        <v>2714</v>
      </c>
    </row>
    <row r="4096" spans="1:1" x14ac:dyDescent="0.25">
      <c r="A4096" t="s">
        <v>2714</v>
      </c>
    </row>
    <row r="4097" spans="1:1" x14ac:dyDescent="0.25">
      <c r="A4097" t="s">
        <v>2686</v>
      </c>
    </row>
    <row r="4100" spans="1:1" x14ac:dyDescent="0.25">
      <c r="A4100" t="s">
        <v>3485</v>
      </c>
    </row>
    <row r="4101" spans="1:1" x14ac:dyDescent="0.25">
      <c r="A4101" t="s">
        <v>3486</v>
      </c>
    </row>
    <row r="4102" spans="1:1" x14ac:dyDescent="0.25">
      <c r="A4102" t="s">
        <v>3486</v>
      </c>
    </row>
    <row r="4103" spans="1:1" x14ac:dyDescent="0.25">
      <c r="A4103" t="s">
        <v>3487</v>
      </c>
    </row>
    <row r="4104" spans="1:1" x14ac:dyDescent="0.25">
      <c r="A4104" t="s">
        <v>3487</v>
      </c>
    </row>
    <row r="4105" spans="1:1" x14ac:dyDescent="0.25">
      <c r="A4105" t="s">
        <v>3488</v>
      </c>
    </row>
    <row r="4106" spans="1:1" x14ac:dyDescent="0.25">
      <c r="A4106" t="s">
        <v>3489</v>
      </c>
    </row>
    <row r="4107" spans="1:1" x14ac:dyDescent="0.25">
      <c r="A4107" t="s">
        <v>3490</v>
      </c>
    </row>
    <row r="4108" spans="1:1" x14ac:dyDescent="0.25">
      <c r="A4108" t="s">
        <v>3490</v>
      </c>
    </row>
    <row r="4109" spans="1:1" x14ac:dyDescent="0.25">
      <c r="A4109" t="s">
        <v>3491</v>
      </c>
    </row>
    <row r="4110" spans="1:1" x14ac:dyDescent="0.25">
      <c r="A4110" t="s">
        <v>3492</v>
      </c>
    </row>
    <row r="4111" spans="1:1" x14ac:dyDescent="0.25">
      <c r="A4111" t="s">
        <v>3493</v>
      </c>
    </row>
    <row r="4112" spans="1:1" x14ac:dyDescent="0.25">
      <c r="A4112" t="s">
        <v>3494</v>
      </c>
    </row>
    <row r="4113" spans="1:1" x14ac:dyDescent="0.25">
      <c r="A4113" t="s">
        <v>3495</v>
      </c>
    </row>
    <row r="4114" spans="1:1" x14ac:dyDescent="0.25">
      <c r="A4114" t="s">
        <v>3496</v>
      </c>
    </row>
    <row r="4115" spans="1:1" x14ac:dyDescent="0.25">
      <c r="A4115" t="s">
        <v>3497</v>
      </c>
    </row>
    <row r="4116" spans="1:1" x14ac:dyDescent="0.25">
      <c r="A4116" t="s">
        <v>3498</v>
      </c>
    </row>
    <row r="4117" spans="1:1" x14ac:dyDescent="0.25">
      <c r="A4117" t="s">
        <v>3499</v>
      </c>
    </row>
    <row r="4118" spans="1:1" x14ac:dyDescent="0.25">
      <c r="A4118" t="s">
        <v>3500</v>
      </c>
    </row>
    <row r="4119" spans="1:1" x14ac:dyDescent="0.25">
      <c r="A4119" t="s">
        <v>3501</v>
      </c>
    </row>
    <row r="4120" spans="1:1" x14ac:dyDescent="0.25">
      <c r="A4120" t="s">
        <v>3502</v>
      </c>
    </row>
    <row r="4121" spans="1:1" x14ac:dyDescent="0.25">
      <c r="A4121" t="s">
        <v>3503</v>
      </c>
    </row>
    <row r="4122" spans="1:1" x14ac:dyDescent="0.25">
      <c r="A4122" t="s">
        <v>3504</v>
      </c>
    </row>
    <row r="4123" spans="1:1" x14ac:dyDescent="0.25">
      <c r="A4123" t="s">
        <v>3505</v>
      </c>
    </row>
    <row r="4124" spans="1:1" x14ac:dyDescent="0.25">
      <c r="A4124" t="s">
        <v>3506</v>
      </c>
    </row>
    <row r="4125" spans="1:1" x14ac:dyDescent="0.25">
      <c r="A4125" t="s">
        <v>3507</v>
      </c>
    </row>
    <row r="4126" spans="1:1" x14ac:dyDescent="0.25">
      <c r="A4126" t="s">
        <v>3508</v>
      </c>
    </row>
    <row r="4127" spans="1:1" x14ac:dyDescent="0.25">
      <c r="A4127" t="s">
        <v>3509</v>
      </c>
    </row>
    <row r="4128" spans="1:1" x14ac:dyDescent="0.25">
      <c r="A4128" t="s">
        <v>3510</v>
      </c>
    </row>
    <row r="4129" spans="1:1" x14ac:dyDescent="0.25">
      <c r="A4129" t="s">
        <v>3510</v>
      </c>
    </row>
    <row r="4130" spans="1:1" x14ac:dyDescent="0.25">
      <c r="A4130" t="s">
        <v>3511</v>
      </c>
    </row>
    <row r="4131" spans="1:1" x14ac:dyDescent="0.25">
      <c r="A4131" t="s">
        <v>3511</v>
      </c>
    </row>
    <row r="4132" spans="1:1" x14ac:dyDescent="0.25">
      <c r="A4132" t="s">
        <v>3512</v>
      </c>
    </row>
    <row r="4133" spans="1:1" x14ac:dyDescent="0.25">
      <c r="A4133" t="s">
        <v>3513</v>
      </c>
    </row>
    <row r="4134" spans="1:1" x14ac:dyDescent="0.25">
      <c r="A4134" t="s">
        <v>3514</v>
      </c>
    </row>
    <row r="4135" spans="1:1" x14ac:dyDescent="0.25">
      <c r="A4135" t="s">
        <v>3515</v>
      </c>
    </row>
    <row r="4136" spans="1:1" x14ac:dyDescent="0.25">
      <c r="A4136" t="s">
        <v>3516</v>
      </c>
    </row>
    <row r="4137" spans="1:1" x14ac:dyDescent="0.25">
      <c r="A4137" t="s">
        <v>3517</v>
      </c>
    </row>
    <row r="4138" spans="1:1" x14ac:dyDescent="0.25">
      <c r="A4138" t="s">
        <v>3518</v>
      </c>
    </row>
    <row r="4139" spans="1:1" x14ac:dyDescent="0.25">
      <c r="A4139" t="s">
        <v>3519</v>
      </c>
    </row>
    <row r="4140" spans="1:1" x14ac:dyDescent="0.25">
      <c r="A4140" t="s">
        <v>3520</v>
      </c>
    </row>
    <row r="4141" spans="1:1" x14ac:dyDescent="0.25">
      <c r="A4141" t="s">
        <v>3520</v>
      </c>
    </row>
    <row r="4142" spans="1:1" x14ac:dyDescent="0.25">
      <c r="A4142" t="s">
        <v>3521</v>
      </c>
    </row>
    <row r="4143" spans="1:1" x14ac:dyDescent="0.25">
      <c r="A4143" t="s">
        <v>3522</v>
      </c>
    </row>
    <row r="4144" spans="1:1" x14ac:dyDescent="0.25">
      <c r="A4144" t="s">
        <v>3523</v>
      </c>
    </row>
    <row r="4145" spans="1:1" x14ac:dyDescent="0.25">
      <c r="A4145" t="s">
        <v>3524</v>
      </c>
    </row>
    <row r="4146" spans="1:1" x14ac:dyDescent="0.25">
      <c r="A4146" t="s">
        <v>3525</v>
      </c>
    </row>
    <row r="4147" spans="1:1" x14ac:dyDescent="0.25">
      <c r="A4147" t="s">
        <v>3526</v>
      </c>
    </row>
    <row r="4148" spans="1:1" x14ac:dyDescent="0.25">
      <c r="A4148" t="s">
        <v>3527</v>
      </c>
    </row>
    <row r="4149" spans="1:1" x14ac:dyDescent="0.25">
      <c r="A4149" t="s">
        <v>3528</v>
      </c>
    </row>
    <row r="4150" spans="1:1" x14ac:dyDescent="0.25">
      <c r="A4150" t="s">
        <v>3529</v>
      </c>
    </row>
    <row r="4151" spans="1:1" x14ac:dyDescent="0.25">
      <c r="A4151" t="s">
        <v>3530</v>
      </c>
    </row>
    <row r="4152" spans="1:1" x14ac:dyDescent="0.25">
      <c r="A4152" t="s">
        <v>3531</v>
      </c>
    </row>
    <row r="4153" spans="1:1" x14ac:dyDescent="0.25">
      <c r="A4153" t="s">
        <v>3532</v>
      </c>
    </row>
    <row r="4154" spans="1:1" x14ac:dyDescent="0.25">
      <c r="A4154" t="s">
        <v>3533</v>
      </c>
    </row>
    <row r="4155" spans="1:1" x14ac:dyDescent="0.25">
      <c r="A4155" t="s">
        <v>3534</v>
      </c>
    </row>
    <row r="4156" spans="1:1" x14ac:dyDescent="0.25">
      <c r="A4156" t="s">
        <v>3535</v>
      </c>
    </row>
    <row r="4157" spans="1:1" x14ac:dyDescent="0.25">
      <c r="A4157" t="s">
        <v>3536</v>
      </c>
    </row>
    <row r="4158" spans="1:1" x14ac:dyDescent="0.25">
      <c r="A4158" t="s">
        <v>3537</v>
      </c>
    </row>
    <row r="4159" spans="1:1" x14ac:dyDescent="0.25">
      <c r="A4159" t="s">
        <v>3538</v>
      </c>
    </row>
    <row r="4160" spans="1:1" x14ac:dyDescent="0.25">
      <c r="A4160" t="s">
        <v>2686</v>
      </c>
    </row>
    <row r="4163" spans="1:1" x14ac:dyDescent="0.25">
      <c r="A4163" t="s">
        <v>3539</v>
      </c>
    </row>
    <row r="4164" spans="1:1" x14ac:dyDescent="0.25">
      <c r="A4164" t="s">
        <v>2713</v>
      </c>
    </row>
    <row r="4165" spans="1:1" x14ac:dyDescent="0.25">
      <c r="A4165" t="s">
        <v>2714</v>
      </c>
    </row>
    <row r="4166" spans="1:1" x14ac:dyDescent="0.25">
      <c r="A4166" t="s">
        <v>2714</v>
      </c>
    </row>
    <row r="4167" spans="1:1" x14ac:dyDescent="0.25">
      <c r="A4167" t="s">
        <v>2714</v>
      </c>
    </row>
    <row r="4168" spans="1:1" x14ac:dyDescent="0.25">
      <c r="A4168" t="s">
        <v>2714</v>
      </c>
    </row>
    <row r="4169" spans="1:1" x14ac:dyDescent="0.25">
      <c r="A4169" t="s">
        <v>2714</v>
      </c>
    </row>
    <row r="4170" spans="1:1" x14ac:dyDescent="0.25">
      <c r="A4170" t="s">
        <v>2714</v>
      </c>
    </row>
    <row r="4171" spans="1:1" x14ac:dyDescent="0.25">
      <c r="A4171" t="s">
        <v>2714</v>
      </c>
    </row>
    <row r="4172" spans="1:1" x14ac:dyDescent="0.25">
      <c r="A4172" t="s">
        <v>2714</v>
      </c>
    </row>
    <row r="4173" spans="1:1" x14ac:dyDescent="0.25">
      <c r="A4173" t="s">
        <v>2714</v>
      </c>
    </row>
    <row r="4174" spans="1:1" x14ac:dyDescent="0.25">
      <c r="A4174" t="s">
        <v>2714</v>
      </c>
    </row>
    <row r="4175" spans="1:1" x14ac:dyDescent="0.25">
      <c r="A4175" t="s">
        <v>2714</v>
      </c>
    </row>
    <row r="4176" spans="1:1" x14ac:dyDescent="0.25">
      <c r="A4176" t="s">
        <v>2714</v>
      </c>
    </row>
    <row r="4177" spans="1:1" x14ac:dyDescent="0.25">
      <c r="A4177" t="s">
        <v>2714</v>
      </c>
    </row>
    <row r="4178" spans="1:1" x14ac:dyDescent="0.25">
      <c r="A4178" t="s">
        <v>2714</v>
      </c>
    </row>
    <row r="4179" spans="1:1" x14ac:dyDescent="0.25">
      <c r="A4179" t="s">
        <v>2714</v>
      </c>
    </row>
    <row r="4180" spans="1:1" x14ac:dyDescent="0.25">
      <c r="A4180" t="s">
        <v>2714</v>
      </c>
    </row>
    <row r="4181" spans="1:1" x14ac:dyDescent="0.25">
      <c r="A4181" t="s">
        <v>2714</v>
      </c>
    </row>
    <row r="4182" spans="1:1" x14ac:dyDescent="0.25">
      <c r="A4182" t="s">
        <v>2714</v>
      </c>
    </row>
    <row r="4183" spans="1:1" x14ac:dyDescent="0.25">
      <c r="A4183" t="s">
        <v>2714</v>
      </c>
    </row>
    <row r="4184" spans="1:1" x14ac:dyDescent="0.25">
      <c r="A4184" t="s">
        <v>2714</v>
      </c>
    </row>
    <row r="4185" spans="1:1" x14ac:dyDescent="0.25">
      <c r="A4185" t="s">
        <v>2714</v>
      </c>
    </row>
    <row r="4186" spans="1:1" x14ac:dyDescent="0.25">
      <c r="A4186" t="s">
        <v>2714</v>
      </c>
    </row>
    <row r="4187" spans="1:1" x14ac:dyDescent="0.25">
      <c r="A4187" t="s">
        <v>2714</v>
      </c>
    </row>
    <row r="4188" spans="1:1" x14ac:dyDescent="0.25">
      <c r="A4188" t="s">
        <v>2714</v>
      </c>
    </row>
    <row r="4189" spans="1:1" x14ac:dyDescent="0.25">
      <c r="A4189" t="s">
        <v>2714</v>
      </c>
    </row>
    <row r="4190" spans="1:1" x14ac:dyDescent="0.25">
      <c r="A4190" t="s">
        <v>2714</v>
      </c>
    </row>
    <row r="4191" spans="1:1" x14ac:dyDescent="0.25">
      <c r="A4191" t="s">
        <v>2714</v>
      </c>
    </row>
    <row r="4192" spans="1:1" x14ac:dyDescent="0.25">
      <c r="A4192" t="s">
        <v>2714</v>
      </c>
    </row>
    <row r="4193" spans="1:1" x14ac:dyDescent="0.25">
      <c r="A4193" t="s">
        <v>2714</v>
      </c>
    </row>
    <row r="4194" spans="1:1" x14ac:dyDescent="0.25">
      <c r="A4194" t="s">
        <v>2714</v>
      </c>
    </row>
    <row r="4195" spans="1:1" x14ac:dyDescent="0.25">
      <c r="A4195" t="s">
        <v>2714</v>
      </c>
    </row>
    <row r="4196" spans="1:1" x14ac:dyDescent="0.25">
      <c r="A4196" t="s">
        <v>2714</v>
      </c>
    </row>
    <row r="4197" spans="1:1" x14ac:dyDescent="0.25">
      <c r="A4197" t="s">
        <v>2714</v>
      </c>
    </row>
    <row r="4198" spans="1:1" x14ac:dyDescent="0.25">
      <c r="A4198" t="s">
        <v>2714</v>
      </c>
    </row>
    <row r="4199" spans="1:1" x14ac:dyDescent="0.25">
      <c r="A4199" t="s">
        <v>2714</v>
      </c>
    </row>
    <row r="4200" spans="1:1" x14ac:dyDescent="0.25">
      <c r="A4200" t="s">
        <v>2714</v>
      </c>
    </row>
    <row r="4201" spans="1:1" x14ac:dyDescent="0.25">
      <c r="A4201" t="s">
        <v>2714</v>
      </c>
    </row>
    <row r="4202" spans="1:1" x14ac:dyDescent="0.25">
      <c r="A4202" t="s">
        <v>2714</v>
      </c>
    </row>
    <row r="4203" spans="1:1" x14ac:dyDescent="0.25">
      <c r="A4203" t="s">
        <v>2714</v>
      </c>
    </row>
    <row r="4204" spans="1:1" x14ac:dyDescent="0.25">
      <c r="A4204" t="s">
        <v>2714</v>
      </c>
    </row>
    <row r="4205" spans="1:1" x14ac:dyDescent="0.25">
      <c r="A4205" t="s">
        <v>2714</v>
      </c>
    </row>
    <row r="4206" spans="1:1" x14ac:dyDescent="0.25">
      <c r="A4206" t="s">
        <v>2714</v>
      </c>
    </row>
    <row r="4207" spans="1:1" x14ac:dyDescent="0.25">
      <c r="A4207" t="s">
        <v>2714</v>
      </c>
    </row>
    <row r="4208" spans="1:1" x14ac:dyDescent="0.25">
      <c r="A4208" t="s">
        <v>2714</v>
      </c>
    </row>
    <row r="4209" spans="1:1" x14ac:dyDescent="0.25">
      <c r="A4209" t="s">
        <v>2714</v>
      </c>
    </row>
    <row r="4210" spans="1:1" x14ac:dyDescent="0.25">
      <c r="A4210" t="s">
        <v>2714</v>
      </c>
    </row>
    <row r="4211" spans="1:1" x14ac:dyDescent="0.25">
      <c r="A4211" t="s">
        <v>2714</v>
      </c>
    </row>
    <row r="4212" spans="1:1" x14ac:dyDescent="0.25">
      <c r="A4212" t="s">
        <v>2714</v>
      </c>
    </row>
    <row r="4213" spans="1:1" x14ac:dyDescent="0.25">
      <c r="A4213" t="s">
        <v>2714</v>
      </c>
    </row>
    <row r="4214" spans="1:1" x14ac:dyDescent="0.25">
      <c r="A4214" t="s">
        <v>2714</v>
      </c>
    </row>
    <row r="4215" spans="1:1" x14ac:dyDescent="0.25">
      <c r="A4215" t="s">
        <v>2714</v>
      </c>
    </row>
    <row r="4216" spans="1:1" x14ac:dyDescent="0.25">
      <c r="A4216" t="s">
        <v>2714</v>
      </c>
    </row>
    <row r="4217" spans="1:1" x14ac:dyDescent="0.25">
      <c r="A4217" t="s">
        <v>2714</v>
      </c>
    </row>
    <row r="4218" spans="1:1" x14ac:dyDescent="0.25">
      <c r="A4218" t="s">
        <v>2714</v>
      </c>
    </row>
    <row r="4219" spans="1:1" x14ac:dyDescent="0.25">
      <c r="A4219" t="s">
        <v>2714</v>
      </c>
    </row>
    <row r="4220" spans="1:1" x14ac:dyDescent="0.25">
      <c r="A4220" t="s">
        <v>2714</v>
      </c>
    </row>
    <row r="4221" spans="1:1" x14ac:dyDescent="0.25">
      <c r="A4221" t="s">
        <v>2714</v>
      </c>
    </row>
    <row r="4222" spans="1:1" x14ac:dyDescent="0.25">
      <c r="A4222" t="s">
        <v>2714</v>
      </c>
    </row>
    <row r="4223" spans="1:1" x14ac:dyDescent="0.25">
      <c r="A4223" t="s">
        <v>2686</v>
      </c>
    </row>
    <row r="4226" spans="1:1" x14ac:dyDescent="0.25">
      <c r="A4226" t="s">
        <v>3540</v>
      </c>
    </row>
    <row r="4227" spans="1:1" x14ac:dyDescent="0.25">
      <c r="A4227" t="s">
        <v>3541</v>
      </c>
    </row>
    <row r="4228" spans="1:1" x14ac:dyDescent="0.25">
      <c r="A4228" t="s">
        <v>2713</v>
      </c>
    </row>
    <row r="4229" spans="1:1" x14ac:dyDescent="0.25">
      <c r="A4229" t="s">
        <v>2714</v>
      </c>
    </row>
    <row r="4230" spans="1:1" x14ac:dyDescent="0.25">
      <c r="A4230" t="s">
        <v>2714</v>
      </c>
    </row>
    <row r="4231" spans="1:1" x14ac:dyDescent="0.25">
      <c r="A4231" t="s">
        <v>2714</v>
      </c>
    </row>
    <row r="4232" spans="1:1" x14ac:dyDescent="0.25">
      <c r="A4232" t="s">
        <v>2714</v>
      </c>
    </row>
    <row r="4233" spans="1:1" x14ac:dyDescent="0.25">
      <c r="A4233" t="s">
        <v>2714</v>
      </c>
    </row>
    <row r="4234" spans="1:1" x14ac:dyDescent="0.25">
      <c r="A4234" t="s">
        <v>2714</v>
      </c>
    </row>
    <row r="4235" spans="1:1" x14ac:dyDescent="0.25">
      <c r="A4235" t="s">
        <v>2714</v>
      </c>
    </row>
    <row r="4236" spans="1:1" x14ac:dyDescent="0.25">
      <c r="A4236" t="s">
        <v>2714</v>
      </c>
    </row>
    <row r="4237" spans="1:1" x14ac:dyDescent="0.25">
      <c r="A4237" t="s">
        <v>2714</v>
      </c>
    </row>
    <row r="4238" spans="1:1" x14ac:dyDescent="0.25">
      <c r="A4238" t="s">
        <v>2714</v>
      </c>
    </row>
    <row r="4239" spans="1:1" x14ac:dyDescent="0.25">
      <c r="A4239" t="s">
        <v>2714</v>
      </c>
    </row>
    <row r="4240" spans="1:1" x14ac:dyDescent="0.25">
      <c r="A4240" t="s">
        <v>2714</v>
      </c>
    </row>
    <row r="4241" spans="1:1" x14ac:dyDescent="0.25">
      <c r="A4241" t="s">
        <v>2714</v>
      </c>
    </row>
    <row r="4242" spans="1:1" x14ac:dyDescent="0.25">
      <c r="A4242" t="s">
        <v>2714</v>
      </c>
    </row>
    <row r="4243" spans="1:1" x14ac:dyDescent="0.25">
      <c r="A4243" t="s">
        <v>2714</v>
      </c>
    </row>
    <row r="4244" spans="1:1" x14ac:dyDescent="0.25">
      <c r="A4244" t="s">
        <v>2714</v>
      </c>
    </row>
    <row r="4245" spans="1:1" x14ac:dyDescent="0.25">
      <c r="A4245" t="s">
        <v>2714</v>
      </c>
    </row>
    <row r="4246" spans="1:1" x14ac:dyDescent="0.25">
      <c r="A4246" t="s">
        <v>2714</v>
      </c>
    </row>
    <row r="4247" spans="1:1" x14ac:dyDescent="0.25">
      <c r="A4247" t="s">
        <v>2714</v>
      </c>
    </row>
    <row r="4248" spans="1:1" x14ac:dyDescent="0.25">
      <c r="A4248" t="s">
        <v>2714</v>
      </c>
    </row>
    <row r="4249" spans="1:1" x14ac:dyDescent="0.25">
      <c r="A4249" t="s">
        <v>2714</v>
      </c>
    </row>
    <row r="4250" spans="1:1" x14ac:dyDescent="0.25">
      <c r="A4250" t="s">
        <v>2714</v>
      </c>
    </row>
    <row r="4251" spans="1:1" x14ac:dyDescent="0.25">
      <c r="A4251" t="s">
        <v>2714</v>
      </c>
    </row>
    <row r="4252" spans="1:1" x14ac:dyDescent="0.25">
      <c r="A4252" t="s">
        <v>2714</v>
      </c>
    </row>
    <row r="4253" spans="1:1" x14ac:dyDescent="0.25">
      <c r="A4253" t="s">
        <v>2714</v>
      </c>
    </row>
    <row r="4254" spans="1:1" x14ac:dyDescent="0.25">
      <c r="A4254" t="s">
        <v>2714</v>
      </c>
    </row>
    <row r="4255" spans="1:1" x14ac:dyDescent="0.25">
      <c r="A4255" t="s">
        <v>2714</v>
      </c>
    </row>
    <row r="4256" spans="1:1" x14ac:dyDescent="0.25">
      <c r="A4256" t="s">
        <v>2714</v>
      </c>
    </row>
    <row r="4257" spans="1:1" x14ac:dyDescent="0.25">
      <c r="A4257" t="s">
        <v>2714</v>
      </c>
    </row>
    <row r="4258" spans="1:1" x14ac:dyDescent="0.25">
      <c r="A4258" t="s">
        <v>2714</v>
      </c>
    </row>
    <row r="4259" spans="1:1" x14ac:dyDescent="0.25">
      <c r="A4259" t="s">
        <v>2714</v>
      </c>
    </row>
    <row r="4260" spans="1:1" x14ac:dyDescent="0.25">
      <c r="A4260" t="s">
        <v>2714</v>
      </c>
    </row>
    <row r="4261" spans="1:1" x14ac:dyDescent="0.25">
      <c r="A4261" t="s">
        <v>2714</v>
      </c>
    </row>
    <row r="4262" spans="1:1" x14ac:dyDescent="0.25">
      <c r="A4262" t="s">
        <v>2714</v>
      </c>
    </row>
    <row r="4263" spans="1:1" x14ac:dyDescent="0.25">
      <c r="A4263" t="s">
        <v>2714</v>
      </c>
    </row>
    <row r="4264" spans="1:1" x14ac:dyDescent="0.25">
      <c r="A4264" t="s">
        <v>2714</v>
      </c>
    </row>
    <row r="4265" spans="1:1" x14ac:dyDescent="0.25">
      <c r="A4265" t="s">
        <v>2714</v>
      </c>
    </row>
    <row r="4266" spans="1:1" x14ac:dyDescent="0.25">
      <c r="A4266" t="s">
        <v>2714</v>
      </c>
    </row>
    <row r="4267" spans="1:1" x14ac:dyDescent="0.25">
      <c r="A4267" t="s">
        <v>2714</v>
      </c>
    </row>
    <row r="4268" spans="1:1" x14ac:dyDescent="0.25">
      <c r="A4268" t="s">
        <v>2714</v>
      </c>
    </row>
    <row r="4269" spans="1:1" x14ac:dyDescent="0.25">
      <c r="A4269" t="s">
        <v>2714</v>
      </c>
    </row>
    <row r="4270" spans="1:1" x14ac:dyDescent="0.25">
      <c r="A4270" t="s">
        <v>2714</v>
      </c>
    </row>
    <row r="4271" spans="1:1" x14ac:dyDescent="0.25">
      <c r="A4271" t="s">
        <v>2714</v>
      </c>
    </row>
    <row r="4272" spans="1:1" x14ac:dyDescent="0.25">
      <c r="A4272" t="s">
        <v>2714</v>
      </c>
    </row>
    <row r="4273" spans="1:1" x14ac:dyDescent="0.25">
      <c r="A4273" t="s">
        <v>2714</v>
      </c>
    </row>
    <row r="4274" spans="1:1" x14ac:dyDescent="0.25">
      <c r="A4274" t="s">
        <v>2714</v>
      </c>
    </row>
    <row r="4275" spans="1:1" x14ac:dyDescent="0.25">
      <c r="A4275" t="s">
        <v>2714</v>
      </c>
    </row>
    <row r="4276" spans="1:1" x14ac:dyDescent="0.25">
      <c r="A4276" t="s">
        <v>2714</v>
      </c>
    </row>
    <row r="4277" spans="1:1" x14ac:dyDescent="0.25">
      <c r="A4277" t="s">
        <v>2714</v>
      </c>
    </row>
    <row r="4278" spans="1:1" x14ac:dyDescent="0.25">
      <c r="A4278" t="s">
        <v>2714</v>
      </c>
    </row>
    <row r="4279" spans="1:1" x14ac:dyDescent="0.25">
      <c r="A4279" t="s">
        <v>2714</v>
      </c>
    </row>
    <row r="4280" spans="1:1" x14ac:dyDescent="0.25">
      <c r="A4280" t="s">
        <v>2714</v>
      </c>
    </row>
    <row r="4281" spans="1:1" x14ac:dyDescent="0.25">
      <c r="A4281" t="s">
        <v>2714</v>
      </c>
    </row>
    <row r="4282" spans="1:1" x14ac:dyDescent="0.25">
      <c r="A4282" t="s">
        <v>2714</v>
      </c>
    </row>
    <row r="4283" spans="1:1" x14ac:dyDescent="0.25">
      <c r="A4283" t="s">
        <v>2714</v>
      </c>
    </row>
    <row r="4284" spans="1:1" x14ac:dyDescent="0.25">
      <c r="A4284" t="s">
        <v>2714</v>
      </c>
    </row>
    <row r="4285" spans="1:1" x14ac:dyDescent="0.25">
      <c r="A4285" t="s">
        <v>2714</v>
      </c>
    </row>
    <row r="4286" spans="1:1" x14ac:dyDescent="0.25">
      <c r="A4286" t="s">
        <v>2686</v>
      </c>
    </row>
    <row r="4289" spans="1:1" x14ac:dyDescent="0.25">
      <c r="A4289" t="s">
        <v>3542</v>
      </c>
    </row>
    <row r="4290" spans="1:1" x14ac:dyDescent="0.25">
      <c r="A4290" t="s">
        <v>3337</v>
      </c>
    </row>
    <row r="4291" spans="1:1" x14ac:dyDescent="0.25">
      <c r="A4291" t="s">
        <v>3338</v>
      </c>
    </row>
    <row r="4292" spans="1:1" x14ac:dyDescent="0.25">
      <c r="A4292" t="s">
        <v>3339</v>
      </c>
    </row>
    <row r="4293" spans="1:1" x14ac:dyDescent="0.25">
      <c r="A4293" t="s">
        <v>3340</v>
      </c>
    </row>
    <row r="4294" spans="1:1" x14ac:dyDescent="0.25">
      <c r="A4294" t="s">
        <v>2713</v>
      </c>
    </row>
    <row r="4295" spans="1:1" x14ac:dyDescent="0.25">
      <c r="A4295" t="s">
        <v>2714</v>
      </c>
    </row>
    <row r="4296" spans="1:1" x14ac:dyDescent="0.25">
      <c r="A4296" t="s">
        <v>2714</v>
      </c>
    </row>
    <row r="4297" spans="1:1" x14ac:dyDescent="0.25">
      <c r="A4297" t="s">
        <v>2714</v>
      </c>
    </row>
    <row r="4298" spans="1:1" x14ac:dyDescent="0.25">
      <c r="A4298" t="s">
        <v>2714</v>
      </c>
    </row>
    <row r="4299" spans="1:1" x14ac:dyDescent="0.25">
      <c r="A4299" t="s">
        <v>2714</v>
      </c>
    </row>
    <row r="4300" spans="1:1" x14ac:dyDescent="0.25">
      <c r="A4300" t="s">
        <v>2714</v>
      </c>
    </row>
    <row r="4301" spans="1:1" x14ac:dyDescent="0.25">
      <c r="A4301" t="s">
        <v>2714</v>
      </c>
    </row>
    <row r="4302" spans="1:1" x14ac:dyDescent="0.25">
      <c r="A4302" t="s">
        <v>2714</v>
      </c>
    </row>
    <row r="4303" spans="1:1" x14ac:dyDescent="0.25">
      <c r="A4303" t="s">
        <v>2714</v>
      </c>
    </row>
    <row r="4304" spans="1:1" x14ac:dyDescent="0.25">
      <c r="A4304" t="s">
        <v>2714</v>
      </c>
    </row>
    <row r="4305" spans="1:1" x14ac:dyDescent="0.25">
      <c r="A4305" t="s">
        <v>2714</v>
      </c>
    </row>
    <row r="4306" spans="1:1" x14ac:dyDescent="0.25">
      <c r="A4306" t="s">
        <v>2714</v>
      </c>
    </row>
    <row r="4307" spans="1:1" x14ac:dyDescent="0.25">
      <c r="A4307" t="s">
        <v>2714</v>
      </c>
    </row>
    <row r="4308" spans="1:1" x14ac:dyDescent="0.25">
      <c r="A4308" t="s">
        <v>2714</v>
      </c>
    </row>
    <row r="4309" spans="1:1" x14ac:dyDescent="0.25">
      <c r="A4309" t="s">
        <v>2714</v>
      </c>
    </row>
    <row r="4310" spans="1:1" x14ac:dyDescent="0.25">
      <c r="A4310" t="s">
        <v>2714</v>
      </c>
    </row>
    <row r="4311" spans="1:1" x14ac:dyDescent="0.25">
      <c r="A4311" t="s">
        <v>2714</v>
      </c>
    </row>
    <row r="4312" spans="1:1" x14ac:dyDescent="0.25">
      <c r="A4312" t="s">
        <v>2714</v>
      </c>
    </row>
    <row r="4313" spans="1:1" x14ac:dyDescent="0.25">
      <c r="A4313" t="s">
        <v>2714</v>
      </c>
    </row>
    <row r="4314" spans="1:1" x14ac:dyDescent="0.25">
      <c r="A4314" t="s">
        <v>2714</v>
      </c>
    </row>
    <row r="4315" spans="1:1" x14ac:dyDescent="0.25">
      <c r="A4315" t="s">
        <v>2714</v>
      </c>
    </row>
    <row r="4316" spans="1:1" x14ac:dyDescent="0.25">
      <c r="A4316" t="s">
        <v>2714</v>
      </c>
    </row>
    <row r="4317" spans="1:1" x14ac:dyDescent="0.25">
      <c r="A4317" t="s">
        <v>2714</v>
      </c>
    </row>
    <row r="4318" spans="1:1" x14ac:dyDescent="0.25">
      <c r="A4318" t="s">
        <v>2714</v>
      </c>
    </row>
    <row r="4319" spans="1:1" x14ac:dyDescent="0.25">
      <c r="A4319" t="s">
        <v>2714</v>
      </c>
    </row>
    <row r="4320" spans="1:1" x14ac:dyDescent="0.25">
      <c r="A4320" t="s">
        <v>2714</v>
      </c>
    </row>
    <row r="4321" spans="1:1" x14ac:dyDescent="0.25">
      <c r="A4321" t="s">
        <v>2714</v>
      </c>
    </row>
    <row r="4322" spans="1:1" x14ac:dyDescent="0.25">
      <c r="A4322" t="s">
        <v>2714</v>
      </c>
    </row>
    <row r="4323" spans="1:1" x14ac:dyDescent="0.25">
      <c r="A4323" t="s">
        <v>2714</v>
      </c>
    </row>
    <row r="4324" spans="1:1" x14ac:dyDescent="0.25">
      <c r="A4324" t="s">
        <v>2714</v>
      </c>
    </row>
    <row r="4325" spans="1:1" x14ac:dyDescent="0.25">
      <c r="A4325" t="s">
        <v>2714</v>
      </c>
    </row>
    <row r="4326" spans="1:1" x14ac:dyDescent="0.25">
      <c r="A4326" t="s">
        <v>2714</v>
      </c>
    </row>
    <row r="4327" spans="1:1" x14ac:dyDescent="0.25">
      <c r="A4327" t="s">
        <v>2714</v>
      </c>
    </row>
    <row r="4328" spans="1:1" x14ac:dyDescent="0.25">
      <c r="A4328" t="s">
        <v>2714</v>
      </c>
    </row>
    <row r="4329" spans="1:1" x14ac:dyDescent="0.25">
      <c r="A4329" t="s">
        <v>2714</v>
      </c>
    </row>
    <row r="4330" spans="1:1" x14ac:dyDescent="0.25">
      <c r="A4330" t="s">
        <v>2714</v>
      </c>
    </row>
    <row r="4331" spans="1:1" x14ac:dyDescent="0.25">
      <c r="A4331" t="s">
        <v>2714</v>
      </c>
    </row>
    <row r="4332" spans="1:1" x14ac:dyDescent="0.25">
      <c r="A4332" t="s">
        <v>2714</v>
      </c>
    </row>
    <row r="4333" spans="1:1" x14ac:dyDescent="0.25">
      <c r="A4333" t="s">
        <v>2714</v>
      </c>
    </row>
    <row r="4334" spans="1:1" x14ac:dyDescent="0.25">
      <c r="A4334" t="s">
        <v>2714</v>
      </c>
    </row>
    <row r="4335" spans="1:1" x14ac:dyDescent="0.25">
      <c r="A4335" t="s">
        <v>2714</v>
      </c>
    </row>
    <row r="4336" spans="1:1" x14ac:dyDescent="0.25">
      <c r="A4336" t="s">
        <v>2714</v>
      </c>
    </row>
    <row r="4337" spans="1:1" x14ac:dyDescent="0.25">
      <c r="A4337" t="s">
        <v>2714</v>
      </c>
    </row>
    <row r="4338" spans="1:1" x14ac:dyDescent="0.25">
      <c r="A4338" t="s">
        <v>2714</v>
      </c>
    </row>
    <row r="4339" spans="1:1" x14ac:dyDescent="0.25">
      <c r="A4339" t="s">
        <v>2714</v>
      </c>
    </row>
    <row r="4340" spans="1:1" x14ac:dyDescent="0.25">
      <c r="A4340" t="s">
        <v>2714</v>
      </c>
    </row>
    <row r="4341" spans="1:1" x14ac:dyDescent="0.25">
      <c r="A4341" t="s">
        <v>2714</v>
      </c>
    </row>
    <row r="4342" spans="1:1" x14ac:dyDescent="0.25">
      <c r="A4342" t="s">
        <v>2714</v>
      </c>
    </row>
    <row r="4343" spans="1:1" x14ac:dyDescent="0.25">
      <c r="A4343" t="s">
        <v>2714</v>
      </c>
    </row>
    <row r="4344" spans="1:1" x14ac:dyDescent="0.25">
      <c r="A4344" t="s">
        <v>2714</v>
      </c>
    </row>
    <row r="4345" spans="1:1" x14ac:dyDescent="0.25">
      <c r="A4345" t="s">
        <v>2714</v>
      </c>
    </row>
    <row r="4346" spans="1:1" x14ac:dyDescent="0.25">
      <c r="A4346" t="s">
        <v>2714</v>
      </c>
    </row>
    <row r="4347" spans="1:1" x14ac:dyDescent="0.25">
      <c r="A4347" t="s">
        <v>2714</v>
      </c>
    </row>
    <row r="4348" spans="1:1" x14ac:dyDescent="0.25">
      <c r="A4348" t="s">
        <v>2714</v>
      </c>
    </row>
    <row r="4349" spans="1:1" x14ac:dyDescent="0.25">
      <c r="A4349" t="s">
        <v>2686</v>
      </c>
    </row>
    <row r="4352" spans="1:1" x14ac:dyDescent="0.25">
      <c r="A4352" t="s">
        <v>3543</v>
      </c>
    </row>
    <row r="4353" spans="1:1" x14ac:dyDescent="0.25">
      <c r="A4353" t="s">
        <v>3544</v>
      </c>
    </row>
    <row r="4354" spans="1:1" x14ac:dyDescent="0.25">
      <c r="A4354" t="s">
        <v>2713</v>
      </c>
    </row>
    <row r="4355" spans="1:1" x14ac:dyDescent="0.25">
      <c r="A4355" t="s">
        <v>2714</v>
      </c>
    </row>
    <row r="4356" spans="1:1" x14ac:dyDescent="0.25">
      <c r="A4356" t="s">
        <v>2714</v>
      </c>
    </row>
    <row r="4357" spans="1:1" x14ac:dyDescent="0.25">
      <c r="A4357" t="s">
        <v>2714</v>
      </c>
    </row>
    <row r="4358" spans="1:1" x14ac:dyDescent="0.25">
      <c r="A4358" t="s">
        <v>2714</v>
      </c>
    </row>
    <row r="4359" spans="1:1" x14ac:dyDescent="0.25">
      <c r="A4359" t="s">
        <v>2714</v>
      </c>
    </row>
    <row r="4360" spans="1:1" x14ac:dyDescent="0.25">
      <c r="A4360" t="s">
        <v>2714</v>
      </c>
    </row>
    <row r="4361" spans="1:1" x14ac:dyDescent="0.25">
      <c r="A4361" t="s">
        <v>2714</v>
      </c>
    </row>
    <row r="4362" spans="1:1" x14ac:dyDescent="0.25">
      <c r="A4362" t="s">
        <v>2714</v>
      </c>
    </row>
    <row r="4363" spans="1:1" x14ac:dyDescent="0.25">
      <c r="A4363" t="s">
        <v>2714</v>
      </c>
    </row>
    <row r="4364" spans="1:1" x14ac:dyDescent="0.25">
      <c r="A4364" t="s">
        <v>2714</v>
      </c>
    </row>
    <row r="4365" spans="1:1" x14ac:dyDescent="0.25">
      <c r="A4365" t="s">
        <v>2714</v>
      </c>
    </row>
    <row r="4366" spans="1:1" x14ac:dyDescent="0.25">
      <c r="A4366" t="s">
        <v>2714</v>
      </c>
    </row>
    <row r="4367" spans="1:1" x14ac:dyDescent="0.25">
      <c r="A4367" t="s">
        <v>2714</v>
      </c>
    </row>
    <row r="4368" spans="1:1" x14ac:dyDescent="0.25">
      <c r="A4368" t="s">
        <v>2714</v>
      </c>
    </row>
    <row r="4369" spans="1:1" x14ac:dyDescent="0.25">
      <c r="A4369" t="s">
        <v>2714</v>
      </c>
    </row>
    <row r="4370" spans="1:1" x14ac:dyDescent="0.25">
      <c r="A4370" t="s">
        <v>2714</v>
      </c>
    </row>
    <row r="4371" spans="1:1" x14ac:dyDescent="0.25">
      <c r="A4371" t="s">
        <v>2714</v>
      </c>
    </row>
    <row r="4372" spans="1:1" x14ac:dyDescent="0.25">
      <c r="A4372" t="s">
        <v>2714</v>
      </c>
    </row>
    <row r="4373" spans="1:1" x14ac:dyDescent="0.25">
      <c r="A4373" t="s">
        <v>2714</v>
      </c>
    </row>
    <row r="4374" spans="1:1" x14ac:dyDescent="0.25">
      <c r="A4374" t="s">
        <v>2714</v>
      </c>
    </row>
    <row r="4375" spans="1:1" x14ac:dyDescent="0.25">
      <c r="A4375" t="s">
        <v>2714</v>
      </c>
    </row>
    <row r="4376" spans="1:1" x14ac:dyDescent="0.25">
      <c r="A4376" t="s">
        <v>2714</v>
      </c>
    </row>
    <row r="4377" spans="1:1" x14ac:dyDescent="0.25">
      <c r="A4377" t="s">
        <v>2714</v>
      </c>
    </row>
    <row r="4378" spans="1:1" x14ac:dyDescent="0.25">
      <c r="A4378" t="s">
        <v>2714</v>
      </c>
    </row>
    <row r="4379" spans="1:1" x14ac:dyDescent="0.25">
      <c r="A4379" t="s">
        <v>2714</v>
      </c>
    </row>
    <row r="4380" spans="1:1" x14ac:dyDescent="0.25">
      <c r="A4380" t="s">
        <v>2714</v>
      </c>
    </row>
    <row r="4381" spans="1:1" x14ac:dyDescent="0.25">
      <c r="A4381" t="s">
        <v>2714</v>
      </c>
    </row>
    <row r="4382" spans="1:1" x14ac:dyDescent="0.25">
      <c r="A4382" t="s">
        <v>2714</v>
      </c>
    </row>
    <row r="4383" spans="1:1" x14ac:dyDescent="0.25">
      <c r="A4383" t="s">
        <v>2714</v>
      </c>
    </row>
    <row r="4384" spans="1:1" x14ac:dyDescent="0.25">
      <c r="A4384" t="s">
        <v>2714</v>
      </c>
    </row>
    <row r="4385" spans="1:1" x14ac:dyDescent="0.25">
      <c r="A4385" t="s">
        <v>2714</v>
      </c>
    </row>
    <row r="4386" spans="1:1" x14ac:dyDescent="0.25">
      <c r="A4386" t="s">
        <v>2714</v>
      </c>
    </row>
    <row r="4387" spans="1:1" x14ac:dyDescent="0.25">
      <c r="A4387" t="s">
        <v>2714</v>
      </c>
    </row>
    <row r="4388" spans="1:1" x14ac:dyDescent="0.25">
      <c r="A4388" t="s">
        <v>2714</v>
      </c>
    </row>
    <row r="4389" spans="1:1" x14ac:dyDescent="0.25">
      <c r="A4389" t="s">
        <v>2714</v>
      </c>
    </row>
    <row r="4390" spans="1:1" x14ac:dyDescent="0.25">
      <c r="A4390" t="s">
        <v>2714</v>
      </c>
    </row>
    <row r="4391" spans="1:1" x14ac:dyDescent="0.25">
      <c r="A4391" t="s">
        <v>2714</v>
      </c>
    </row>
    <row r="4392" spans="1:1" x14ac:dyDescent="0.25">
      <c r="A4392" t="s">
        <v>2714</v>
      </c>
    </row>
    <row r="4393" spans="1:1" x14ac:dyDescent="0.25">
      <c r="A4393" t="s">
        <v>2714</v>
      </c>
    </row>
    <row r="4394" spans="1:1" x14ac:dyDescent="0.25">
      <c r="A4394" t="s">
        <v>2714</v>
      </c>
    </row>
    <row r="4395" spans="1:1" x14ac:dyDescent="0.25">
      <c r="A4395" t="s">
        <v>2714</v>
      </c>
    </row>
    <row r="4396" spans="1:1" x14ac:dyDescent="0.25">
      <c r="A4396" t="s">
        <v>2714</v>
      </c>
    </row>
    <row r="4397" spans="1:1" x14ac:dyDescent="0.25">
      <c r="A4397" t="s">
        <v>2714</v>
      </c>
    </row>
    <row r="4398" spans="1:1" x14ac:dyDescent="0.25">
      <c r="A4398" t="s">
        <v>2714</v>
      </c>
    </row>
    <row r="4399" spans="1:1" x14ac:dyDescent="0.25">
      <c r="A4399" t="s">
        <v>2714</v>
      </c>
    </row>
    <row r="4400" spans="1:1" x14ac:dyDescent="0.25">
      <c r="A4400" t="s">
        <v>2714</v>
      </c>
    </row>
    <row r="4401" spans="1:1" x14ac:dyDescent="0.25">
      <c r="A4401" t="s">
        <v>2714</v>
      </c>
    </row>
    <row r="4402" spans="1:1" x14ac:dyDescent="0.25">
      <c r="A4402" t="s">
        <v>2714</v>
      </c>
    </row>
    <row r="4403" spans="1:1" x14ac:dyDescent="0.25">
      <c r="A4403" t="s">
        <v>2714</v>
      </c>
    </row>
    <row r="4404" spans="1:1" x14ac:dyDescent="0.25">
      <c r="A4404" t="s">
        <v>2714</v>
      </c>
    </row>
    <row r="4405" spans="1:1" x14ac:dyDescent="0.25">
      <c r="A4405" t="s">
        <v>2714</v>
      </c>
    </row>
    <row r="4406" spans="1:1" x14ac:dyDescent="0.25">
      <c r="A4406" t="s">
        <v>2714</v>
      </c>
    </row>
    <row r="4407" spans="1:1" x14ac:dyDescent="0.25">
      <c r="A4407" t="s">
        <v>2714</v>
      </c>
    </row>
    <row r="4408" spans="1:1" x14ac:dyDescent="0.25">
      <c r="A4408" t="s">
        <v>2714</v>
      </c>
    </row>
    <row r="4409" spans="1:1" x14ac:dyDescent="0.25">
      <c r="A4409" t="s">
        <v>2714</v>
      </c>
    </row>
    <row r="4410" spans="1:1" x14ac:dyDescent="0.25">
      <c r="A4410" t="s">
        <v>2714</v>
      </c>
    </row>
    <row r="4411" spans="1:1" x14ac:dyDescent="0.25">
      <c r="A4411" t="s">
        <v>2714</v>
      </c>
    </row>
    <row r="4412" spans="1:1" x14ac:dyDescent="0.25">
      <c r="A4412" t="s">
        <v>2686</v>
      </c>
    </row>
    <row r="4415" spans="1:1" x14ac:dyDescent="0.25">
      <c r="A4415" t="s">
        <v>3545</v>
      </c>
    </row>
    <row r="4416" spans="1:1" x14ac:dyDescent="0.25">
      <c r="A4416" t="s">
        <v>2713</v>
      </c>
    </row>
    <row r="4417" spans="1:1" x14ac:dyDescent="0.25">
      <c r="A4417" t="s">
        <v>2714</v>
      </c>
    </row>
    <row r="4418" spans="1:1" x14ac:dyDescent="0.25">
      <c r="A4418" t="s">
        <v>2714</v>
      </c>
    </row>
    <row r="4419" spans="1:1" x14ac:dyDescent="0.25">
      <c r="A4419" t="s">
        <v>2714</v>
      </c>
    </row>
    <row r="4420" spans="1:1" x14ac:dyDescent="0.25">
      <c r="A4420" t="s">
        <v>2714</v>
      </c>
    </row>
    <row r="4421" spans="1:1" x14ac:dyDescent="0.25">
      <c r="A4421" t="s">
        <v>2714</v>
      </c>
    </row>
    <row r="4422" spans="1:1" x14ac:dyDescent="0.25">
      <c r="A4422" t="s">
        <v>2714</v>
      </c>
    </row>
    <row r="4423" spans="1:1" x14ac:dyDescent="0.25">
      <c r="A4423" t="s">
        <v>2714</v>
      </c>
    </row>
    <row r="4424" spans="1:1" x14ac:dyDescent="0.25">
      <c r="A4424" t="s">
        <v>2714</v>
      </c>
    </row>
    <row r="4425" spans="1:1" x14ac:dyDescent="0.25">
      <c r="A4425" t="s">
        <v>2714</v>
      </c>
    </row>
    <row r="4426" spans="1:1" x14ac:dyDescent="0.25">
      <c r="A4426" t="s">
        <v>2714</v>
      </c>
    </row>
    <row r="4427" spans="1:1" x14ac:dyDescent="0.25">
      <c r="A4427" t="s">
        <v>2714</v>
      </c>
    </row>
    <row r="4428" spans="1:1" x14ac:dyDescent="0.25">
      <c r="A4428" t="s">
        <v>2714</v>
      </c>
    </row>
    <row r="4429" spans="1:1" x14ac:dyDescent="0.25">
      <c r="A4429" t="s">
        <v>2714</v>
      </c>
    </row>
    <row r="4430" spans="1:1" x14ac:dyDescent="0.25">
      <c r="A4430" t="s">
        <v>2714</v>
      </c>
    </row>
    <row r="4431" spans="1:1" x14ac:dyDescent="0.25">
      <c r="A4431" t="s">
        <v>2714</v>
      </c>
    </row>
    <row r="4432" spans="1:1" x14ac:dyDescent="0.25">
      <c r="A4432" t="s">
        <v>2714</v>
      </c>
    </row>
    <row r="4433" spans="1:1" x14ac:dyDescent="0.25">
      <c r="A4433" t="s">
        <v>2714</v>
      </c>
    </row>
    <row r="4434" spans="1:1" x14ac:dyDescent="0.25">
      <c r="A4434" t="s">
        <v>2714</v>
      </c>
    </row>
    <row r="4435" spans="1:1" x14ac:dyDescent="0.25">
      <c r="A4435" t="s">
        <v>2714</v>
      </c>
    </row>
    <row r="4436" spans="1:1" x14ac:dyDescent="0.25">
      <c r="A4436" t="s">
        <v>2714</v>
      </c>
    </row>
    <row r="4437" spans="1:1" x14ac:dyDescent="0.25">
      <c r="A4437" t="s">
        <v>2714</v>
      </c>
    </row>
    <row r="4438" spans="1:1" x14ac:dyDescent="0.25">
      <c r="A4438" t="s">
        <v>2714</v>
      </c>
    </row>
    <row r="4439" spans="1:1" x14ac:dyDescent="0.25">
      <c r="A4439" t="s">
        <v>2714</v>
      </c>
    </row>
    <row r="4440" spans="1:1" x14ac:dyDescent="0.25">
      <c r="A4440" t="s">
        <v>2714</v>
      </c>
    </row>
    <row r="4441" spans="1:1" x14ac:dyDescent="0.25">
      <c r="A4441" t="s">
        <v>2714</v>
      </c>
    </row>
    <row r="4442" spans="1:1" x14ac:dyDescent="0.25">
      <c r="A4442" t="s">
        <v>2714</v>
      </c>
    </row>
    <row r="4443" spans="1:1" x14ac:dyDescent="0.25">
      <c r="A4443" t="s">
        <v>2714</v>
      </c>
    </row>
    <row r="4444" spans="1:1" x14ac:dyDescent="0.25">
      <c r="A4444" t="s">
        <v>2714</v>
      </c>
    </row>
    <row r="4445" spans="1:1" x14ac:dyDescent="0.25">
      <c r="A4445" t="s">
        <v>2714</v>
      </c>
    </row>
    <row r="4446" spans="1:1" x14ac:dyDescent="0.25">
      <c r="A4446" t="s">
        <v>2714</v>
      </c>
    </row>
    <row r="4447" spans="1:1" x14ac:dyDescent="0.25">
      <c r="A4447" t="s">
        <v>2714</v>
      </c>
    </row>
    <row r="4448" spans="1:1" x14ac:dyDescent="0.25">
      <c r="A4448" t="s">
        <v>2714</v>
      </c>
    </row>
    <row r="4449" spans="1:1" x14ac:dyDescent="0.25">
      <c r="A4449" t="s">
        <v>2714</v>
      </c>
    </row>
    <row r="4450" spans="1:1" x14ac:dyDescent="0.25">
      <c r="A4450" t="s">
        <v>2714</v>
      </c>
    </row>
    <row r="4451" spans="1:1" x14ac:dyDescent="0.25">
      <c r="A4451" t="s">
        <v>2714</v>
      </c>
    </row>
    <row r="4452" spans="1:1" x14ac:dyDescent="0.25">
      <c r="A4452" t="s">
        <v>2714</v>
      </c>
    </row>
    <row r="4453" spans="1:1" x14ac:dyDescent="0.25">
      <c r="A4453" t="s">
        <v>2714</v>
      </c>
    </row>
    <row r="4454" spans="1:1" x14ac:dyDescent="0.25">
      <c r="A4454" t="s">
        <v>2714</v>
      </c>
    </row>
    <row r="4455" spans="1:1" x14ac:dyDescent="0.25">
      <c r="A4455" t="s">
        <v>2714</v>
      </c>
    </row>
    <row r="4456" spans="1:1" x14ac:dyDescent="0.25">
      <c r="A4456" t="s">
        <v>2714</v>
      </c>
    </row>
    <row r="4457" spans="1:1" x14ac:dyDescent="0.25">
      <c r="A4457" t="s">
        <v>2714</v>
      </c>
    </row>
    <row r="4458" spans="1:1" x14ac:dyDescent="0.25">
      <c r="A4458" t="s">
        <v>2714</v>
      </c>
    </row>
    <row r="4459" spans="1:1" x14ac:dyDescent="0.25">
      <c r="A4459" t="s">
        <v>2714</v>
      </c>
    </row>
    <row r="4460" spans="1:1" x14ac:dyDescent="0.25">
      <c r="A4460" t="s">
        <v>2714</v>
      </c>
    </row>
    <row r="4461" spans="1:1" x14ac:dyDescent="0.25">
      <c r="A4461" t="s">
        <v>2714</v>
      </c>
    </row>
    <row r="4462" spans="1:1" x14ac:dyDescent="0.25">
      <c r="A4462" t="s">
        <v>2714</v>
      </c>
    </row>
    <row r="4463" spans="1:1" x14ac:dyDescent="0.25">
      <c r="A4463" t="s">
        <v>2714</v>
      </c>
    </row>
    <row r="4464" spans="1:1" x14ac:dyDescent="0.25">
      <c r="A4464" t="s">
        <v>2714</v>
      </c>
    </row>
    <row r="4465" spans="1:1" x14ac:dyDescent="0.25">
      <c r="A4465" t="s">
        <v>2714</v>
      </c>
    </row>
    <row r="4466" spans="1:1" x14ac:dyDescent="0.25">
      <c r="A4466" t="s">
        <v>2714</v>
      </c>
    </row>
    <row r="4467" spans="1:1" x14ac:dyDescent="0.25">
      <c r="A4467" t="s">
        <v>2714</v>
      </c>
    </row>
    <row r="4468" spans="1:1" x14ac:dyDescent="0.25">
      <c r="A4468" t="s">
        <v>2714</v>
      </c>
    </row>
    <row r="4469" spans="1:1" x14ac:dyDescent="0.25">
      <c r="A4469" t="s">
        <v>2714</v>
      </c>
    </row>
    <row r="4470" spans="1:1" x14ac:dyDescent="0.25">
      <c r="A4470" t="s">
        <v>2714</v>
      </c>
    </row>
    <row r="4471" spans="1:1" x14ac:dyDescent="0.25">
      <c r="A4471" t="s">
        <v>2714</v>
      </c>
    </row>
    <row r="4472" spans="1:1" x14ac:dyDescent="0.25">
      <c r="A4472" t="s">
        <v>2714</v>
      </c>
    </row>
    <row r="4473" spans="1:1" x14ac:dyDescent="0.25">
      <c r="A4473" t="s">
        <v>2714</v>
      </c>
    </row>
    <row r="4474" spans="1:1" x14ac:dyDescent="0.25">
      <c r="A4474" t="s">
        <v>2714</v>
      </c>
    </row>
    <row r="4475" spans="1:1" x14ac:dyDescent="0.25">
      <c r="A4475" t="s">
        <v>2686</v>
      </c>
    </row>
    <row r="4478" spans="1:1" x14ac:dyDescent="0.25">
      <c r="A4478" t="s">
        <v>3546</v>
      </c>
    </row>
    <row r="4479" spans="1:1" x14ac:dyDescent="0.25">
      <c r="A4479" t="s">
        <v>3547</v>
      </c>
    </row>
    <row r="4480" spans="1:1" x14ac:dyDescent="0.25">
      <c r="A4480" t="s">
        <v>2713</v>
      </c>
    </row>
    <row r="4481" spans="1:1" x14ac:dyDescent="0.25">
      <c r="A4481" t="s">
        <v>2714</v>
      </c>
    </row>
    <row r="4482" spans="1:1" x14ac:dyDescent="0.25">
      <c r="A4482" t="s">
        <v>2714</v>
      </c>
    </row>
    <row r="4483" spans="1:1" x14ac:dyDescent="0.25">
      <c r="A4483" t="s">
        <v>2714</v>
      </c>
    </row>
    <row r="4484" spans="1:1" x14ac:dyDescent="0.25">
      <c r="A4484" t="s">
        <v>2714</v>
      </c>
    </row>
    <row r="4485" spans="1:1" x14ac:dyDescent="0.25">
      <c r="A4485" t="s">
        <v>2714</v>
      </c>
    </row>
    <row r="4486" spans="1:1" x14ac:dyDescent="0.25">
      <c r="A4486" t="s">
        <v>2714</v>
      </c>
    </row>
    <row r="4487" spans="1:1" x14ac:dyDescent="0.25">
      <c r="A4487" t="s">
        <v>2714</v>
      </c>
    </row>
    <row r="4488" spans="1:1" x14ac:dyDescent="0.25">
      <c r="A4488" t="s">
        <v>2714</v>
      </c>
    </row>
    <row r="4489" spans="1:1" x14ac:dyDescent="0.25">
      <c r="A4489" t="s">
        <v>2714</v>
      </c>
    </row>
    <row r="4490" spans="1:1" x14ac:dyDescent="0.25">
      <c r="A4490" t="s">
        <v>2714</v>
      </c>
    </row>
    <row r="4491" spans="1:1" x14ac:dyDescent="0.25">
      <c r="A4491" t="s">
        <v>2714</v>
      </c>
    </row>
    <row r="4492" spans="1:1" x14ac:dyDescent="0.25">
      <c r="A4492" t="s">
        <v>2714</v>
      </c>
    </row>
    <row r="4493" spans="1:1" x14ac:dyDescent="0.25">
      <c r="A4493" t="s">
        <v>2714</v>
      </c>
    </row>
    <row r="4494" spans="1:1" x14ac:dyDescent="0.25">
      <c r="A4494" t="s">
        <v>2714</v>
      </c>
    </row>
    <row r="4495" spans="1:1" x14ac:dyDescent="0.25">
      <c r="A4495" t="s">
        <v>2714</v>
      </c>
    </row>
    <row r="4496" spans="1:1" x14ac:dyDescent="0.25">
      <c r="A4496" t="s">
        <v>2714</v>
      </c>
    </row>
    <row r="4497" spans="1:1" x14ac:dyDescent="0.25">
      <c r="A4497" t="s">
        <v>2714</v>
      </c>
    </row>
    <row r="4498" spans="1:1" x14ac:dyDescent="0.25">
      <c r="A4498" t="s">
        <v>2714</v>
      </c>
    </row>
    <row r="4499" spans="1:1" x14ac:dyDescent="0.25">
      <c r="A4499" t="s">
        <v>2714</v>
      </c>
    </row>
    <row r="4500" spans="1:1" x14ac:dyDescent="0.25">
      <c r="A4500" t="s">
        <v>2714</v>
      </c>
    </row>
    <row r="4501" spans="1:1" x14ac:dyDescent="0.25">
      <c r="A4501" t="s">
        <v>2714</v>
      </c>
    </row>
    <row r="4502" spans="1:1" x14ac:dyDescent="0.25">
      <c r="A4502" t="s">
        <v>2714</v>
      </c>
    </row>
    <row r="4503" spans="1:1" x14ac:dyDescent="0.25">
      <c r="A4503" t="s">
        <v>2714</v>
      </c>
    </row>
    <row r="4504" spans="1:1" x14ac:dyDescent="0.25">
      <c r="A4504" t="s">
        <v>2714</v>
      </c>
    </row>
    <row r="4505" spans="1:1" x14ac:dyDescent="0.25">
      <c r="A4505" t="s">
        <v>2714</v>
      </c>
    </row>
    <row r="4506" spans="1:1" x14ac:dyDescent="0.25">
      <c r="A4506" t="s">
        <v>2714</v>
      </c>
    </row>
    <row r="4507" spans="1:1" x14ac:dyDescent="0.25">
      <c r="A4507" t="s">
        <v>2714</v>
      </c>
    </row>
    <row r="4508" spans="1:1" x14ac:dyDescent="0.25">
      <c r="A4508" t="s">
        <v>2714</v>
      </c>
    </row>
    <row r="4509" spans="1:1" x14ac:dyDescent="0.25">
      <c r="A4509" t="s">
        <v>2714</v>
      </c>
    </row>
    <row r="4510" spans="1:1" x14ac:dyDescent="0.25">
      <c r="A4510" t="s">
        <v>2714</v>
      </c>
    </row>
    <row r="4511" spans="1:1" x14ac:dyDescent="0.25">
      <c r="A4511" t="s">
        <v>2714</v>
      </c>
    </row>
    <row r="4512" spans="1:1" x14ac:dyDescent="0.25">
      <c r="A4512" t="s">
        <v>2714</v>
      </c>
    </row>
    <row r="4513" spans="1:1" x14ac:dyDescent="0.25">
      <c r="A4513" t="s">
        <v>2714</v>
      </c>
    </row>
    <row r="4514" spans="1:1" x14ac:dyDescent="0.25">
      <c r="A4514" t="s">
        <v>2714</v>
      </c>
    </row>
    <row r="4515" spans="1:1" x14ac:dyDescent="0.25">
      <c r="A4515" t="s">
        <v>2714</v>
      </c>
    </row>
    <row r="4516" spans="1:1" x14ac:dyDescent="0.25">
      <c r="A4516" t="s">
        <v>2714</v>
      </c>
    </row>
    <row r="4517" spans="1:1" x14ac:dyDescent="0.25">
      <c r="A4517" t="s">
        <v>2714</v>
      </c>
    </row>
    <row r="4518" spans="1:1" x14ac:dyDescent="0.25">
      <c r="A4518" t="s">
        <v>2714</v>
      </c>
    </row>
    <row r="4519" spans="1:1" x14ac:dyDescent="0.25">
      <c r="A4519" t="s">
        <v>2714</v>
      </c>
    </row>
    <row r="4520" spans="1:1" x14ac:dyDescent="0.25">
      <c r="A4520" t="s">
        <v>2714</v>
      </c>
    </row>
    <row r="4521" spans="1:1" x14ac:dyDescent="0.25">
      <c r="A4521" t="s">
        <v>2714</v>
      </c>
    </row>
    <row r="4522" spans="1:1" x14ac:dyDescent="0.25">
      <c r="A4522" t="s">
        <v>2714</v>
      </c>
    </row>
    <row r="4523" spans="1:1" x14ac:dyDescent="0.25">
      <c r="A4523" t="s">
        <v>2714</v>
      </c>
    </row>
    <row r="4524" spans="1:1" x14ac:dyDescent="0.25">
      <c r="A4524" t="s">
        <v>2714</v>
      </c>
    </row>
    <row r="4525" spans="1:1" x14ac:dyDescent="0.25">
      <c r="A4525" t="s">
        <v>2714</v>
      </c>
    </row>
    <row r="4526" spans="1:1" x14ac:dyDescent="0.25">
      <c r="A4526" t="s">
        <v>2714</v>
      </c>
    </row>
    <row r="4527" spans="1:1" x14ac:dyDescent="0.25">
      <c r="A4527" t="s">
        <v>2714</v>
      </c>
    </row>
    <row r="4528" spans="1:1" x14ac:dyDescent="0.25">
      <c r="A4528" t="s">
        <v>2714</v>
      </c>
    </row>
    <row r="4529" spans="1:1" x14ac:dyDescent="0.25">
      <c r="A4529" t="s">
        <v>2714</v>
      </c>
    </row>
    <row r="4530" spans="1:1" x14ac:dyDescent="0.25">
      <c r="A4530" t="s">
        <v>2714</v>
      </c>
    </row>
    <row r="4531" spans="1:1" x14ac:dyDescent="0.25">
      <c r="A4531" t="s">
        <v>2714</v>
      </c>
    </row>
    <row r="4532" spans="1:1" x14ac:dyDescent="0.25">
      <c r="A4532" t="s">
        <v>2714</v>
      </c>
    </row>
    <row r="4533" spans="1:1" x14ac:dyDescent="0.25">
      <c r="A4533" t="s">
        <v>2714</v>
      </c>
    </row>
    <row r="4534" spans="1:1" x14ac:dyDescent="0.25">
      <c r="A4534" t="s">
        <v>2714</v>
      </c>
    </row>
    <row r="4535" spans="1:1" x14ac:dyDescent="0.25">
      <c r="A4535" t="s">
        <v>2714</v>
      </c>
    </row>
    <row r="4536" spans="1:1" x14ac:dyDescent="0.25">
      <c r="A4536" t="s">
        <v>2714</v>
      </c>
    </row>
    <row r="4537" spans="1:1" x14ac:dyDescent="0.25">
      <c r="A4537" t="s">
        <v>2714</v>
      </c>
    </row>
    <row r="4538" spans="1:1" x14ac:dyDescent="0.25">
      <c r="A4538" t="s">
        <v>2686</v>
      </c>
    </row>
    <row r="4541" spans="1:1" x14ac:dyDescent="0.25">
      <c r="A4541" t="s">
        <v>3548</v>
      </c>
    </row>
    <row r="4542" spans="1:1" x14ac:dyDescent="0.25">
      <c r="A4542" t="s">
        <v>3549</v>
      </c>
    </row>
    <row r="4543" spans="1:1" x14ac:dyDescent="0.25">
      <c r="A4543" t="s">
        <v>3550</v>
      </c>
    </row>
    <row r="4544" spans="1:1" x14ac:dyDescent="0.25">
      <c r="A4544" t="s">
        <v>3551</v>
      </c>
    </row>
    <row r="4545" spans="1:1" x14ac:dyDescent="0.25">
      <c r="A4545" t="s">
        <v>3552</v>
      </c>
    </row>
    <row r="4546" spans="1:1" x14ac:dyDescent="0.25">
      <c r="A4546" t="s">
        <v>3553</v>
      </c>
    </row>
    <row r="4547" spans="1:1" x14ac:dyDescent="0.25">
      <c r="A4547" t="s">
        <v>3279</v>
      </c>
    </row>
    <row r="4548" spans="1:1" x14ac:dyDescent="0.25">
      <c r="A4548" t="s">
        <v>3554</v>
      </c>
    </row>
    <row r="4549" spans="1:1" x14ac:dyDescent="0.25">
      <c r="A4549" t="s">
        <v>3555</v>
      </c>
    </row>
    <row r="4550" spans="1:1" x14ac:dyDescent="0.25">
      <c r="A4550" t="s">
        <v>3556</v>
      </c>
    </row>
    <row r="4551" spans="1:1" x14ac:dyDescent="0.25">
      <c r="A4551" t="s">
        <v>3556</v>
      </c>
    </row>
    <row r="4552" spans="1:1" x14ac:dyDescent="0.25">
      <c r="A4552" t="s">
        <v>3557</v>
      </c>
    </row>
    <row r="4553" spans="1:1" x14ac:dyDescent="0.25">
      <c r="A4553" t="s">
        <v>3558</v>
      </c>
    </row>
    <row r="4554" spans="1:1" x14ac:dyDescent="0.25">
      <c r="A4554" t="s">
        <v>3559</v>
      </c>
    </row>
    <row r="4555" spans="1:1" x14ac:dyDescent="0.25">
      <c r="A4555" t="s">
        <v>3560</v>
      </c>
    </row>
    <row r="4556" spans="1:1" x14ac:dyDescent="0.25">
      <c r="A4556" t="s">
        <v>2713</v>
      </c>
    </row>
    <row r="4557" spans="1:1" x14ac:dyDescent="0.25">
      <c r="A4557" t="s">
        <v>2714</v>
      </c>
    </row>
    <row r="4558" spans="1:1" x14ac:dyDescent="0.25">
      <c r="A4558" t="s">
        <v>2714</v>
      </c>
    </row>
    <row r="4559" spans="1:1" x14ac:dyDescent="0.25">
      <c r="A4559" t="s">
        <v>2714</v>
      </c>
    </row>
    <row r="4560" spans="1:1" x14ac:dyDescent="0.25">
      <c r="A4560" t="s">
        <v>2714</v>
      </c>
    </row>
    <row r="4561" spans="1:1" x14ac:dyDescent="0.25">
      <c r="A4561" t="s">
        <v>2714</v>
      </c>
    </row>
    <row r="4562" spans="1:1" x14ac:dyDescent="0.25">
      <c r="A4562" t="s">
        <v>2714</v>
      </c>
    </row>
    <row r="4563" spans="1:1" x14ac:dyDescent="0.25">
      <c r="A4563" t="s">
        <v>2714</v>
      </c>
    </row>
    <row r="4564" spans="1:1" x14ac:dyDescent="0.25">
      <c r="A4564" t="s">
        <v>2714</v>
      </c>
    </row>
    <row r="4565" spans="1:1" x14ac:dyDescent="0.25">
      <c r="A4565" t="s">
        <v>2714</v>
      </c>
    </row>
    <row r="4566" spans="1:1" x14ac:dyDescent="0.25">
      <c r="A4566" t="s">
        <v>2714</v>
      </c>
    </row>
    <row r="4567" spans="1:1" x14ac:dyDescent="0.25">
      <c r="A4567" t="s">
        <v>2714</v>
      </c>
    </row>
    <row r="4568" spans="1:1" x14ac:dyDescent="0.25">
      <c r="A4568" t="s">
        <v>2714</v>
      </c>
    </row>
    <row r="4569" spans="1:1" x14ac:dyDescent="0.25">
      <c r="A4569" t="s">
        <v>2714</v>
      </c>
    </row>
    <row r="4570" spans="1:1" x14ac:dyDescent="0.25">
      <c r="A4570" t="s">
        <v>2714</v>
      </c>
    </row>
    <row r="4571" spans="1:1" x14ac:dyDescent="0.25">
      <c r="A4571" t="s">
        <v>2714</v>
      </c>
    </row>
    <row r="4572" spans="1:1" x14ac:dyDescent="0.25">
      <c r="A4572" t="s">
        <v>2714</v>
      </c>
    </row>
    <row r="4573" spans="1:1" x14ac:dyDescent="0.25">
      <c r="A4573" t="s">
        <v>2714</v>
      </c>
    </row>
    <row r="4574" spans="1:1" x14ac:dyDescent="0.25">
      <c r="A4574" t="s">
        <v>2714</v>
      </c>
    </row>
    <row r="4575" spans="1:1" x14ac:dyDescent="0.25">
      <c r="A4575" t="s">
        <v>2714</v>
      </c>
    </row>
    <row r="4576" spans="1:1" x14ac:dyDescent="0.25">
      <c r="A4576" t="s">
        <v>2714</v>
      </c>
    </row>
    <row r="4577" spans="1:1" x14ac:dyDescent="0.25">
      <c r="A4577" t="s">
        <v>2714</v>
      </c>
    </row>
    <row r="4578" spans="1:1" x14ac:dyDescent="0.25">
      <c r="A4578" t="s">
        <v>2714</v>
      </c>
    </row>
    <row r="4579" spans="1:1" x14ac:dyDescent="0.25">
      <c r="A4579" t="s">
        <v>2714</v>
      </c>
    </row>
    <row r="4580" spans="1:1" x14ac:dyDescent="0.25">
      <c r="A4580" t="s">
        <v>2714</v>
      </c>
    </row>
    <row r="4581" spans="1:1" x14ac:dyDescent="0.25">
      <c r="A4581" t="s">
        <v>2714</v>
      </c>
    </row>
    <row r="4582" spans="1:1" x14ac:dyDescent="0.25">
      <c r="A4582" t="s">
        <v>2714</v>
      </c>
    </row>
    <row r="4583" spans="1:1" x14ac:dyDescent="0.25">
      <c r="A4583" t="s">
        <v>2714</v>
      </c>
    </row>
    <row r="4584" spans="1:1" x14ac:dyDescent="0.25">
      <c r="A4584" t="s">
        <v>2714</v>
      </c>
    </row>
    <row r="4585" spans="1:1" x14ac:dyDescent="0.25">
      <c r="A4585" t="s">
        <v>2714</v>
      </c>
    </row>
    <row r="4586" spans="1:1" x14ac:dyDescent="0.25">
      <c r="A4586" t="s">
        <v>2714</v>
      </c>
    </row>
    <row r="4587" spans="1:1" x14ac:dyDescent="0.25">
      <c r="A4587" t="s">
        <v>2714</v>
      </c>
    </row>
    <row r="4588" spans="1:1" x14ac:dyDescent="0.25">
      <c r="A4588" t="s">
        <v>2714</v>
      </c>
    </row>
    <row r="4589" spans="1:1" x14ac:dyDescent="0.25">
      <c r="A4589" t="s">
        <v>2714</v>
      </c>
    </row>
    <row r="4590" spans="1:1" x14ac:dyDescent="0.25">
      <c r="A4590" t="s">
        <v>2714</v>
      </c>
    </row>
    <row r="4591" spans="1:1" x14ac:dyDescent="0.25">
      <c r="A4591" t="s">
        <v>2714</v>
      </c>
    </row>
    <row r="4592" spans="1:1" x14ac:dyDescent="0.25">
      <c r="A4592" t="s">
        <v>2714</v>
      </c>
    </row>
    <row r="4593" spans="1:1" x14ac:dyDescent="0.25">
      <c r="A4593" t="s">
        <v>2714</v>
      </c>
    </row>
    <row r="4594" spans="1:1" x14ac:dyDescent="0.25">
      <c r="A4594" t="s">
        <v>2714</v>
      </c>
    </row>
    <row r="4595" spans="1:1" x14ac:dyDescent="0.25">
      <c r="A4595" t="s">
        <v>2714</v>
      </c>
    </row>
    <row r="4596" spans="1:1" x14ac:dyDescent="0.25">
      <c r="A4596" t="s">
        <v>2714</v>
      </c>
    </row>
    <row r="4597" spans="1:1" x14ac:dyDescent="0.25">
      <c r="A4597" t="s">
        <v>2714</v>
      </c>
    </row>
    <row r="4598" spans="1:1" x14ac:dyDescent="0.25">
      <c r="A4598" t="s">
        <v>2714</v>
      </c>
    </row>
    <row r="4599" spans="1:1" x14ac:dyDescent="0.25">
      <c r="A4599" t="s">
        <v>2714</v>
      </c>
    </row>
    <row r="4600" spans="1:1" x14ac:dyDescent="0.25">
      <c r="A4600" t="s">
        <v>2714</v>
      </c>
    </row>
    <row r="4601" spans="1:1" x14ac:dyDescent="0.25">
      <c r="A4601" t="s">
        <v>2686</v>
      </c>
    </row>
    <row r="4604" spans="1:1" x14ac:dyDescent="0.25">
      <c r="A4604" t="s">
        <v>3561</v>
      </c>
    </row>
    <row r="4605" spans="1:1" x14ac:dyDescent="0.25">
      <c r="A4605" t="s">
        <v>3342</v>
      </c>
    </row>
    <row r="4606" spans="1:1" x14ac:dyDescent="0.25">
      <c r="A4606" t="s">
        <v>2713</v>
      </c>
    </row>
    <row r="4607" spans="1:1" x14ac:dyDescent="0.25">
      <c r="A4607" t="s">
        <v>2714</v>
      </c>
    </row>
    <row r="4608" spans="1:1" x14ac:dyDescent="0.25">
      <c r="A4608" t="s">
        <v>2714</v>
      </c>
    </row>
    <row r="4609" spans="1:1" x14ac:dyDescent="0.25">
      <c r="A4609" t="s">
        <v>2714</v>
      </c>
    </row>
    <row r="4610" spans="1:1" x14ac:dyDescent="0.25">
      <c r="A4610" t="s">
        <v>2714</v>
      </c>
    </row>
    <row r="4611" spans="1:1" x14ac:dyDescent="0.25">
      <c r="A4611" t="s">
        <v>2714</v>
      </c>
    </row>
    <row r="4612" spans="1:1" x14ac:dyDescent="0.25">
      <c r="A4612" t="s">
        <v>2714</v>
      </c>
    </row>
    <row r="4613" spans="1:1" x14ac:dyDescent="0.25">
      <c r="A4613" t="s">
        <v>2714</v>
      </c>
    </row>
    <row r="4614" spans="1:1" x14ac:dyDescent="0.25">
      <c r="A4614" t="s">
        <v>2714</v>
      </c>
    </row>
    <row r="4615" spans="1:1" x14ac:dyDescent="0.25">
      <c r="A4615" t="s">
        <v>2714</v>
      </c>
    </row>
    <row r="4616" spans="1:1" x14ac:dyDescent="0.25">
      <c r="A4616" t="s">
        <v>2714</v>
      </c>
    </row>
    <row r="4617" spans="1:1" x14ac:dyDescent="0.25">
      <c r="A4617" t="s">
        <v>2714</v>
      </c>
    </row>
    <row r="4618" spans="1:1" x14ac:dyDescent="0.25">
      <c r="A4618" t="s">
        <v>2714</v>
      </c>
    </row>
    <row r="4619" spans="1:1" x14ac:dyDescent="0.25">
      <c r="A4619" t="s">
        <v>2714</v>
      </c>
    </row>
    <row r="4620" spans="1:1" x14ac:dyDescent="0.25">
      <c r="A4620" t="s">
        <v>2714</v>
      </c>
    </row>
    <row r="4621" spans="1:1" x14ac:dyDescent="0.25">
      <c r="A4621" t="s">
        <v>2714</v>
      </c>
    </row>
    <row r="4622" spans="1:1" x14ac:dyDescent="0.25">
      <c r="A4622" t="s">
        <v>2714</v>
      </c>
    </row>
    <row r="4623" spans="1:1" x14ac:dyDescent="0.25">
      <c r="A4623" t="s">
        <v>2714</v>
      </c>
    </row>
    <row r="4624" spans="1:1" x14ac:dyDescent="0.25">
      <c r="A4624" t="s">
        <v>2714</v>
      </c>
    </row>
    <row r="4625" spans="1:1" x14ac:dyDescent="0.25">
      <c r="A4625" t="s">
        <v>2714</v>
      </c>
    </row>
    <row r="4626" spans="1:1" x14ac:dyDescent="0.25">
      <c r="A4626" t="s">
        <v>2714</v>
      </c>
    </row>
    <row r="4627" spans="1:1" x14ac:dyDescent="0.25">
      <c r="A4627" t="s">
        <v>2714</v>
      </c>
    </row>
    <row r="4628" spans="1:1" x14ac:dyDescent="0.25">
      <c r="A4628" t="s">
        <v>2714</v>
      </c>
    </row>
    <row r="4629" spans="1:1" x14ac:dyDescent="0.25">
      <c r="A4629" t="s">
        <v>2714</v>
      </c>
    </row>
    <row r="4630" spans="1:1" x14ac:dyDescent="0.25">
      <c r="A4630" t="s">
        <v>2714</v>
      </c>
    </row>
    <row r="4631" spans="1:1" x14ac:dyDescent="0.25">
      <c r="A4631" t="s">
        <v>2714</v>
      </c>
    </row>
    <row r="4632" spans="1:1" x14ac:dyDescent="0.25">
      <c r="A4632" t="s">
        <v>2714</v>
      </c>
    </row>
    <row r="4633" spans="1:1" x14ac:dyDescent="0.25">
      <c r="A4633" t="s">
        <v>2714</v>
      </c>
    </row>
    <row r="4634" spans="1:1" x14ac:dyDescent="0.25">
      <c r="A4634" t="s">
        <v>2714</v>
      </c>
    </row>
    <row r="4635" spans="1:1" x14ac:dyDescent="0.25">
      <c r="A4635" t="s">
        <v>2714</v>
      </c>
    </row>
    <row r="4636" spans="1:1" x14ac:dyDescent="0.25">
      <c r="A4636" t="s">
        <v>2714</v>
      </c>
    </row>
    <row r="4637" spans="1:1" x14ac:dyDescent="0.25">
      <c r="A4637" t="s">
        <v>2714</v>
      </c>
    </row>
    <row r="4638" spans="1:1" x14ac:dyDescent="0.25">
      <c r="A4638" t="s">
        <v>2714</v>
      </c>
    </row>
    <row r="4639" spans="1:1" x14ac:dyDescent="0.25">
      <c r="A4639" t="s">
        <v>2714</v>
      </c>
    </row>
    <row r="4640" spans="1:1" x14ac:dyDescent="0.25">
      <c r="A4640" t="s">
        <v>2714</v>
      </c>
    </row>
    <row r="4641" spans="1:1" x14ac:dyDescent="0.25">
      <c r="A4641" t="s">
        <v>2714</v>
      </c>
    </row>
    <row r="4642" spans="1:1" x14ac:dyDescent="0.25">
      <c r="A4642" t="s">
        <v>2714</v>
      </c>
    </row>
    <row r="4643" spans="1:1" x14ac:dyDescent="0.25">
      <c r="A4643" t="s">
        <v>2714</v>
      </c>
    </row>
    <row r="4644" spans="1:1" x14ac:dyDescent="0.25">
      <c r="A4644" t="s">
        <v>2714</v>
      </c>
    </row>
    <row r="4645" spans="1:1" x14ac:dyDescent="0.25">
      <c r="A4645" t="s">
        <v>2714</v>
      </c>
    </row>
    <row r="4646" spans="1:1" x14ac:dyDescent="0.25">
      <c r="A4646" t="s">
        <v>2714</v>
      </c>
    </row>
    <row r="4647" spans="1:1" x14ac:dyDescent="0.25">
      <c r="A4647" t="s">
        <v>2714</v>
      </c>
    </row>
    <row r="4648" spans="1:1" x14ac:dyDescent="0.25">
      <c r="A4648" t="s">
        <v>2714</v>
      </c>
    </row>
    <row r="4649" spans="1:1" x14ac:dyDescent="0.25">
      <c r="A4649" t="s">
        <v>2714</v>
      </c>
    </row>
    <row r="4650" spans="1:1" x14ac:dyDescent="0.25">
      <c r="A4650" t="s">
        <v>2714</v>
      </c>
    </row>
    <row r="4651" spans="1:1" x14ac:dyDescent="0.25">
      <c r="A4651" t="s">
        <v>2714</v>
      </c>
    </row>
    <row r="4652" spans="1:1" x14ac:dyDescent="0.25">
      <c r="A4652" t="s">
        <v>2714</v>
      </c>
    </row>
    <row r="4653" spans="1:1" x14ac:dyDescent="0.25">
      <c r="A4653" t="s">
        <v>2714</v>
      </c>
    </row>
    <row r="4654" spans="1:1" x14ac:dyDescent="0.25">
      <c r="A4654" t="s">
        <v>2714</v>
      </c>
    </row>
    <row r="4655" spans="1:1" x14ac:dyDescent="0.25">
      <c r="A4655" t="s">
        <v>2714</v>
      </c>
    </row>
    <row r="4656" spans="1:1" x14ac:dyDescent="0.25">
      <c r="A4656" t="s">
        <v>2714</v>
      </c>
    </row>
    <row r="4657" spans="1:1" x14ac:dyDescent="0.25">
      <c r="A4657" t="s">
        <v>2714</v>
      </c>
    </row>
    <row r="4658" spans="1:1" x14ac:dyDescent="0.25">
      <c r="A4658" t="s">
        <v>2714</v>
      </c>
    </row>
    <row r="4659" spans="1:1" x14ac:dyDescent="0.25">
      <c r="A4659" t="s">
        <v>2714</v>
      </c>
    </row>
    <row r="4660" spans="1:1" x14ac:dyDescent="0.25">
      <c r="A4660" t="s">
        <v>2714</v>
      </c>
    </row>
    <row r="4661" spans="1:1" x14ac:dyDescent="0.25">
      <c r="A4661" t="s">
        <v>2714</v>
      </c>
    </row>
    <row r="4662" spans="1:1" x14ac:dyDescent="0.25">
      <c r="A4662" t="s">
        <v>2714</v>
      </c>
    </row>
    <row r="4663" spans="1:1" x14ac:dyDescent="0.25">
      <c r="A4663" t="s">
        <v>2714</v>
      </c>
    </row>
    <row r="4664" spans="1:1" x14ac:dyDescent="0.25">
      <c r="A4664" t="s">
        <v>2686</v>
      </c>
    </row>
    <row r="4667" spans="1:1" x14ac:dyDescent="0.25">
      <c r="A4667" t="s">
        <v>3562</v>
      </c>
    </row>
    <row r="4668" spans="1:1" x14ac:dyDescent="0.25">
      <c r="A4668" t="s">
        <v>2713</v>
      </c>
    </row>
    <row r="4669" spans="1:1" x14ac:dyDescent="0.25">
      <c r="A4669" t="s">
        <v>2714</v>
      </c>
    </row>
    <row r="4670" spans="1:1" x14ac:dyDescent="0.25">
      <c r="A4670" t="s">
        <v>2714</v>
      </c>
    </row>
    <row r="4671" spans="1:1" x14ac:dyDescent="0.25">
      <c r="A4671" t="s">
        <v>2714</v>
      </c>
    </row>
    <row r="4672" spans="1:1" x14ac:dyDescent="0.25">
      <c r="A4672" t="s">
        <v>2714</v>
      </c>
    </row>
    <row r="4673" spans="1:1" x14ac:dyDescent="0.25">
      <c r="A4673" t="s">
        <v>2714</v>
      </c>
    </row>
    <row r="4674" spans="1:1" x14ac:dyDescent="0.25">
      <c r="A4674" t="s">
        <v>2714</v>
      </c>
    </row>
    <row r="4675" spans="1:1" x14ac:dyDescent="0.25">
      <c r="A4675" t="s">
        <v>2714</v>
      </c>
    </row>
    <row r="4676" spans="1:1" x14ac:dyDescent="0.25">
      <c r="A4676" t="s">
        <v>2714</v>
      </c>
    </row>
    <row r="4677" spans="1:1" x14ac:dyDescent="0.25">
      <c r="A4677" t="s">
        <v>2714</v>
      </c>
    </row>
    <row r="4678" spans="1:1" x14ac:dyDescent="0.25">
      <c r="A4678" t="s">
        <v>2714</v>
      </c>
    </row>
    <row r="4679" spans="1:1" x14ac:dyDescent="0.25">
      <c r="A4679" t="s">
        <v>2714</v>
      </c>
    </row>
    <row r="4680" spans="1:1" x14ac:dyDescent="0.25">
      <c r="A4680" t="s">
        <v>2714</v>
      </c>
    </row>
    <row r="4681" spans="1:1" x14ac:dyDescent="0.25">
      <c r="A4681" t="s">
        <v>2714</v>
      </c>
    </row>
    <row r="4682" spans="1:1" x14ac:dyDescent="0.25">
      <c r="A4682" t="s">
        <v>2714</v>
      </c>
    </row>
    <row r="4683" spans="1:1" x14ac:dyDescent="0.25">
      <c r="A4683" t="s">
        <v>2714</v>
      </c>
    </row>
    <row r="4684" spans="1:1" x14ac:dyDescent="0.25">
      <c r="A4684" t="s">
        <v>2714</v>
      </c>
    </row>
    <row r="4685" spans="1:1" x14ac:dyDescent="0.25">
      <c r="A4685" t="s">
        <v>2714</v>
      </c>
    </row>
    <row r="4686" spans="1:1" x14ac:dyDescent="0.25">
      <c r="A4686" t="s">
        <v>2714</v>
      </c>
    </row>
    <row r="4687" spans="1:1" x14ac:dyDescent="0.25">
      <c r="A4687" t="s">
        <v>2714</v>
      </c>
    </row>
    <row r="4688" spans="1:1" x14ac:dyDescent="0.25">
      <c r="A4688" t="s">
        <v>2714</v>
      </c>
    </row>
    <row r="4689" spans="1:1" x14ac:dyDescent="0.25">
      <c r="A4689" t="s">
        <v>2714</v>
      </c>
    </row>
    <row r="4690" spans="1:1" x14ac:dyDescent="0.25">
      <c r="A4690" t="s">
        <v>2714</v>
      </c>
    </row>
    <row r="4691" spans="1:1" x14ac:dyDescent="0.25">
      <c r="A4691" t="s">
        <v>2714</v>
      </c>
    </row>
    <row r="4692" spans="1:1" x14ac:dyDescent="0.25">
      <c r="A4692" t="s">
        <v>2714</v>
      </c>
    </row>
    <row r="4693" spans="1:1" x14ac:dyDescent="0.25">
      <c r="A4693" t="s">
        <v>2714</v>
      </c>
    </row>
    <row r="4694" spans="1:1" x14ac:dyDescent="0.25">
      <c r="A4694" t="s">
        <v>2714</v>
      </c>
    </row>
    <row r="4695" spans="1:1" x14ac:dyDescent="0.25">
      <c r="A4695" t="s">
        <v>2714</v>
      </c>
    </row>
    <row r="4696" spans="1:1" x14ac:dyDescent="0.25">
      <c r="A4696" t="s">
        <v>2714</v>
      </c>
    </row>
    <row r="4697" spans="1:1" x14ac:dyDescent="0.25">
      <c r="A4697" t="s">
        <v>2714</v>
      </c>
    </row>
    <row r="4698" spans="1:1" x14ac:dyDescent="0.25">
      <c r="A4698" t="s">
        <v>2714</v>
      </c>
    </row>
    <row r="4699" spans="1:1" x14ac:dyDescent="0.25">
      <c r="A4699" t="s">
        <v>2714</v>
      </c>
    </row>
    <row r="4700" spans="1:1" x14ac:dyDescent="0.25">
      <c r="A4700" t="s">
        <v>2714</v>
      </c>
    </row>
    <row r="4701" spans="1:1" x14ac:dyDescent="0.25">
      <c r="A4701" t="s">
        <v>2714</v>
      </c>
    </row>
    <row r="4702" spans="1:1" x14ac:dyDescent="0.25">
      <c r="A4702" t="s">
        <v>2714</v>
      </c>
    </row>
    <row r="4703" spans="1:1" x14ac:dyDescent="0.25">
      <c r="A4703" t="s">
        <v>2714</v>
      </c>
    </row>
    <row r="4704" spans="1:1" x14ac:dyDescent="0.25">
      <c r="A4704" t="s">
        <v>2714</v>
      </c>
    </row>
    <row r="4705" spans="1:1" x14ac:dyDescent="0.25">
      <c r="A4705" t="s">
        <v>2714</v>
      </c>
    </row>
    <row r="4706" spans="1:1" x14ac:dyDescent="0.25">
      <c r="A4706" t="s">
        <v>2714</v>
      </c>
    </row>
    <row r="4707" spans="1:1" x14ac:dyDescent="0.25">
      <c r="A4707" t="s">
        <v>2714</v>
      </c>
    </row>
    <row r="4708" spans="1:1" x14ac:dyDescent="0.25">
      <c r="A4708" t="s">
        <v>2714</v>
      </c>
    </row>
    <row r="4709" spans="1:1" x14ac:dyDescent="0.25">
      <c r="A4709" t="s">
        <v>2714</v>
      </c>
    </row>
    <row r="4710" spans="1:1" x14ac:dyDescent="0.25">
      <c r="A4710" t="s">
        <v>2714</v>
      </c>
    </row>
    <row r="4711" spans="1:1" x14ac:dyDescent="0.25">
      <c r="A4711" t="s">
        <v>2714</v>
      </c>
    </row>
    <row r="4712" spans="1:1" x14ac:dyDescent="0.25">
      <c r="A4712" t="s">
        <v>2714</v>
      </c>
    </row>
    <row r="4713" spans="1:1" x14ac:dyDescent="0.25">
      <c r="A4713" t="s">
        <v>2714</v>
      </c>
    </row>
    <row r="4714" spans="1:1" x14ac:dyDescent="0.25">
      <c r="A4714" t="s">
        <v>2714</v>
      </c>
    </row>
    <row r="4715" spans="1:1" x14ac:dyDescent="0.25">
      <c r="A4715" t="s">
        <v>2714</v>
      </c>
    </row>
    <row r="4716" spans="1:1" x14ac:dyDescent="0.25">
      <c r="A4716" t="s">
        <v>2714</v>
      </c>
    </row>
    <row r="4717" spans="1:1" x14ac:dyDescent="0.25">
      <c r="A4717" t="s">
        <v>2714</v>
      </c>
    </row>
    <row r="4718" spans="1:1" x14ac:dyDescent="0.25">
      <c r="A4718" t="s">
        <v>2714</v>
      </c>
    </row>
    <row r="4719" spans="1:1" x14ac:dyDescent="0.25">
      <c r="A4719" t="s">
        <v>2714</v>
      </c>
    </row>
    <row r="4720" spans="1:1" x14ac:dyDescent="0.25">
      <c r="A4720" t="s">
        <v>2714</v>
      </c>
    </row>
    <row r="4721" spans="1:1" x14ac:dyDescent="0.25">
      <c r="A4721" t="s">
        <v>2714</v>
      </c>
    </row>
    <row r="4722" spans="1:1" x14ac:dyDescent="0.25">
      <c r="A4722" t="s">
        <v>2714</v>
      </c>
    </row>
    <row r="4723" spans="1:1" x14ac:dyDescent="0.25">
      <c r="A4723" t="s">
        <v>2714</v>
      </c>
    </row>
    <row r="4724" spans="1:1" x14ac:dyDescent="0.25">
      <c r="A4724" t="s">
        <v>2714</v>
      </c>
    </row>
    <row r="4725" spans="1:1" x14ac:dyDescent="0.25">
      <c r="A4725" t="s">
        <v>2714</v>
      </c>
    </row>
    <row r="4726" spans="1:1" x14ac:dyDescent="0.25">
      <c r="A4726" t="s">
        <v>2714</v>
      </c>
    </row>
    <row r="4727" spans="1:1" x14ac:dyDescent="0.25">
      <c r="A4727" t="s">
        <v>2686</v>
      </c>
    </row>
    <row r="4730" spans="1:1" x14ac:dyDescent="0.25">
      <c r="A4730" t="s">
        <v>3563</v>
      </c>
    </row>
    <row r="4731" spans="1:1" x14ac:dyDescent="0.25">
      <c r="A4731" t="s">
        <v>3564</v>
      </c>
    </row>
    <row r="4732" spans="1:1" x14ac:dyDescent="0.25">
      <c r="A4732" t="s">
        <v>2713</v>
      </c>
    </row>
    <row r="4733" spans="1:1" x14ac:dyDescent="0.25">
      <c r="A4733" t="s">
        <v>2714</v>
      </c>
    </row>
    <row r="4734" spans="1:1" x14ac:dyDescent="0.25">
      <c r="A4734" t="s">
        <v>2714</v>
      </c>
    </row>
    <row r="4735" spans="1:1" x14ac:dyDescent="0.25">
      <c r="A4735" t="s">
        <v>2714</v>
      </c>
    </row>
    <row r="4736" spans="1:1" x14ac:dyDescent="0.25">
      <c r="A4736" t="s">
        <v>2714</v>
      </c>
    </row>
    <row r="4737" spans="1:1" x14ac:dyDescent="0.25">
      <c r="A4737" t="s">
        <v>2714</v>
      </c>
    </row>
    <row r="4738" spans="1:1" x14ac:dyDescent="0.25">
      <c r="A4738" t="s">
        <v>2714</v>
      </c>
    </row>
    <row r="4739" spans="1:1" x14ac:dyDescent="0.25">
      <c r="A4739" t="s">
        <v>2714</v>
      </c>
    </row>
    <row r="4740" spans="1:1" x14ac:dyDescent="0.25">
      <c r="A4740" t="s">
        <v>2714</v>
      </c>
    </row>
    <row r="4741" spans="1:1" x14ac:dyDescent="0.25">
      <c r="A4741" t="s">
        <v>2714</v>
      </c>
    </row>
    <row r="4742" spans="1:1" x14ac:dyDescent="0.25">
      <c r="A4742" t="s">
        <v>2714</v>
      </c>
    </row>
    <row r="4743" spans="1:1" x14ac:dyDescent="0.25">
      <c r="A4743" t="s">
        <v>2714</v>
      </c>
    </row>
    <row r="4744" spans="1:1" x14ac:dyDescent="0.25">
      <c r="A4744" t="s">
        <v>2714</v>
      </c>
    </row>
    <row r="4745" spans="1:1" x14ac:dyDescent="0.25">
      <c r="A4745" t="s">
        <v>2714</v>
      </c>
    </row>
    <row r="4746" spans="1:1" x14ac:dyDescent="0.25">
      <c r="A4746" t="s">
        <v>2714</v>
      </c>
    </row>
    <row r="4747" spans="1:1" x14ac:dyDescent="0.25">
      <c r="A4747" t="s">
        <v>2714</v>
      </c>
    </row>
    <row r="4748" spans="1:1" x14ac:dyDescent="0.25">
      <c r="A4748" t="s">
        <v>2714</v>
      </c>
    </row>
    <row r="4749" spans="1:1" x14ac:dyDescent="0.25">
      <c r="A4749" t="s">
        <v>2714</v>
      </c>
    </row>
    <row r="4750" spans="1:1" x14ac:dyDescent="0.25">
      <c r="A4750" t="s">
        <v>2714</v>
      </c>
    </row>
    <row r="4751" spans="1:1" x14ac:dyDescent="0.25">
      <c r="A4751" t="s">
        <v>2714</v>
      </c>
    </row>
    <row r="4752" spans="1:1" x14ac:dyDescent="0.25">
      <c r="A4752" t="s">
        <v>2714</v>
      </c>
    </row>
    <row r="4753" spans="1:1" x14ac:dyDescent="0.25">
      <c r="A4753" t="s">
        <v>2714</v>
      </c>
    </row>
    <row r="4754" spans="1:1" x14ac:dyDescent="0.25">
      <c r="A4754" t="s">
        <v>2714</v>
      </c>
    </row>
    <row r="4755" spans="1:1" x14ac:dyDescent="0.25">
      <c r="A4755" t="s">
        <v>2714</v>
      </c>
    </row>
    <row r="4756" spans="1:1" x14ac:dyDescent="0.25">
      <c r="A4756" t="s">
        <v>2714</v>
      </c>
    </row>
    <row r="4757" spans="1:1" x14ac:dyDescent="0.25">
      <c r="A4757" t="s">
        <v>2714</v>
      </c>
    </row>
    <row r="4758" spans="1:1" x14ac:dyDescent="0.25">
      <c r="A4758" t="s">
        <v>2714</v>
      </c>
    </row>
    <row r="4759" spans="1:1" x14ac:dyDescent="0.25">
      <c r="A4759" t="s">
        <v>2714</v>
      </c>
    </row>
    <row r="4760" spans="1:1" x14ac:dyDescent="0.25">
      <c r="A4760" t="s">
        <v>2714</v>
      </c>
    </row>
    <row r="4761" spans="1:1" x14ac:dyDescent="0.25">
      <c r="A4761" t="s">
        <v>2714</v>
      </c>
    </row>
    <row r="4762" spans="1:1" x14ac:dyDescent="0.25">
      <c r="A4762" t="s">
        <v>2714</v>
      </c>
    </row>
    <row r="4763" spans="1:1" x14ac:dyDescent="0.25">
      <c r="A4763" t="s">
        <v>2714</v>
      </c>
    </row>
    <row r="4764" spans="1:1" x14ac:dyDescent="0.25">
      <c r="A4764" t="s">
        <v>2714</v>
      </c>
    </row>
    <row r="4765" spans="1:1" x14ac:dyDescent="0.25">
      <c r="A4765" t="s">
        <v>2714</v>
      </c>
    </row>
    <row r="4766" spans="1:1" x14ac:dyDescent="0.25">
      <c r="A4766" t="s">
        <v>2714</v>
      </c>
    </row>
    <row r="4767" spans="1:1" x14ac:dyDescent="0.25">
      <c r="A4767" t="s">
        <v>2714</v>
      </c>
    </row>
    <row r="4768" spans="1:1" x14ac:dyDescent="0.25">
      <c r="A4768" t="s">
        <v>2714</v>
      </c>
    </row>
    <row r="4769" spans="1:1" x14ac:dyDescent="0.25">
      <c r="A4769" t="s">
        <v>2714</v>
      </c>
    </row>
    <row r="4770" spans="1:1" x14ac:dyDescent="0.25">
      <c r="A4770" t="s">
        <v>2714</v>
      </c>
    </row>
    <row r="4771" spans="1:1" x14ac:dyDescent="0.25">
      <c r="A4771" t="s">
        <v>2714</v>
      </c>
    </row>
    <row r="4772" spans="1:1" x14ac:dyDescent="0.25">
      <c r="A4772" t="s">
        <v>2714</v>
      </c>
    </row>
    <row r="4773" spans="1:1" x14ac:dyDescent="0.25">
      <c r="A4773" t="s">
        <v>2714</v>
      </c>
    </row>
    <row r="4774" spans="1:1" x14ac:dyDescent="0.25">
      <c r="A4774" t="s">
        <v>2714</v>
      </c>
    </row>
    <row r="4775" spans="1:1" x14ac:dyDescent="0.25">
      <c r="A4775" t="s">
        <v>2714</v>
      </c>
    </row>
    <row r="4776" spans="1:1" x14ac:dyDescent="0.25">
      <c r="A4776" t="s">
        <v>2714</v>
      </c>
    </row>
    <row r="4777" spans="1:1" x14ac:dyDescent="0.25">
      <c r="A4777" t="s">
        <v>2714</v>
      </c>
    </row>
    <row r="4778" spans="1:1" x14ac:dyDescent="0.25">
      <c r="A4778" t="s">
        <v>2714</v>
      </c>
    </row>
    <row r="4779" spans="1:1" x14ac:dyDescent="0.25">
      <c r="A4779" t="s">
        <v>2714</v>
      </c>
    </row>
    <row r="4780" spans="1:1" x14ac:dyDescent="0.25">
      <c r="A4780" t="s">
        <v>2714</v>
      </c>
    </row>
    <row r="4781" spans="1:1" x14ac:dyDescent="0.25">
      <c r="A4781" t="s">
        <v>2714</v>
      </c>
    </row>
    <row r="4782" spans="1:1" x14ac:dyDescent="0.25">
      <c r="A4782" t="s">
        <v>2714</v>
      </c>
    </row>
    <row r="4783" spans="1:1" x14ac:dyDescent="0.25">
      <c r="A4783" t="s">
        <v>2714</v>
      </c>
    </row>
    <row r="4784" spans="1:1" x14ac:dyDescent="0.25">
      <c r="A4784" t="s">
        <v>2714</v>
      </c>
    </row>
    <row r="4785" spans="1:1" x14ac:dyDescent="0.25">
      <c r="A4785" t="s">
        <v>2714</v>
      </c>
    </row>
    <row r="4786" spans="1:1" x14ac:dyDescent="0.25">
      <c r="A4786" t="s">
        <v>2714</v>
      </c>
    </row>
    <row r="4787" spans="1:1" x14ac:dyDescent="0.25">
      <c r="A4787" t="s">
        <v>2714</v>
      </c>
    </row>
    <row r="4788" spans="1:1" x14ac:dyDescent="0.25">
      <c r="A4788" t="s">
        <v>2714</v>
      </c>
    </row>
    <row r="4789" spans="1:1" x14ac:dyDescent="0.25">
      <c r="A4789" t="s">
        <v>2714</v>
      </c>
    </row>
    <row r="4790" spans="1:1" x14ac:dyDescent="0.25">
      <c r="A4790" t="s">
        <v>2686</v>
      </c>
    </row>
    <row r="4793" spans="1:1" x14ac:dyDescent="0.25">
      <c r="A4793" t="s">
        <v>3565</v>
      </c>
    </row>
    <row r="4794" spans="1:1" x14ac:dyDescent="0.25">
      <c r="A4794" t="s">
        <v>3566</v>
      </c>
    </row>
    <row r="4795" spans="1:1" x14ac:dyDescent="0.25">
      <c r="A4795" t="s">
        <v>3567</v>
      </c>
    </row>
    <row r="4796" spans="1:1" x14ac:dyDescent="0.25">
      <c r="A4796" t="s">
        <v>3567</v>
      </c>
    </row>
    <row r="4797" spans="1:1" x14ac:dyDescent="0.25">
      <c r="A4797" t="s">
        <v>3568</v>
      </c>
    </row>
    <row r="4798" spans="1:1" x14ac:dyDescent="0.25">
      <c r="A4798" t="s">
        <v>3568</v>
      </c>
    </row>
    <row r="4799" spans="1:1" x14ac:dyDescent="0.25">
      <c r="A4799" t="s">
        <v>3220</v>
      </c>
    </row>
    <row r="4800" spans="1:1" x14ac:dyDescent="0.25">
      <c r="A4800" t="s">
        <v>3221</v>
      </c>
    </row>
    <row r="4801" spans="1:1" x14ac:dyDescent="0.25">
      <c r="A4801" t="s">
        <v>3222</v>
      </c>
    </row>
    <row r="4802" spans="1:1" x14ac:dyDescent="0.25">
      <c r="A4802" t="s">
        <v>3223</v>
      </c>
    </row>
    <row r="4803" spans="1:1" x14ac:dyDescent="0.25">
      <c r="A4803" t="s">
        <v>3226</v>
      </c>
    </row>
    <row r="4804" spans="1:1" x14ac:dyDescent="0.25">
      <c r="A4804" t="s">
        <v>3227</v>
      </c>
    </row>
    <row r="4805" spans="1:1" x14ac:dyDescent="0.25">
      <c r="A4805" t="s">
        <v>3569</v>
      </c>
    </row>
    <row r="4806" spans="1:1" x14ac:dyDescent="0.25">
      <c r="A4806" t="s">
        <v>3570</v>
      </c>
    </row>
    <row r="4807" spans="1:1" x14ac:dyDescent="0.25">
      <c r="A4807" t="s">
        <v>2713</v>
      </c>
    </row>
    <row r="4808" spans="1:1" x14ac:dyDescent="0.25">
      <c r="A4808" t="s">
        <v>2714</v>
      </c>
    </row>
    <row r="4809" spans="1:1" x14ac:dyDescent="0.25">
      <c r="A4809" t="s">
        <v>2714</v>
      </c>
    </row>
    <row r="4810" spans="1:1" x14ac:dyDescent="0.25">
      <c r="A4810" t="s">
        <v>2714</v>
      </c>
    </row>
    <row r="4811" spans="1:1" x14ac:dyDescent="0.25">
      <c r="A4811" t="s">
        <v>2714</v>
      </c>
    </row>
    <row r="4812" spans="1:1" x14ac:dyDescent="0.25">
      <c r="A4812" t="s">
        <v>2714</v>
      </c>
    </row>
    <row r="4813" spans="1:1" x14ac:dyDescent="0.25">
      <c r="A4813" t="s">
        <v>2714</v>
      </c>
    </row>
    <row r="4814" spans="1:1" x14ac:dyDescent="0.25">
      <c r="A4814" t="s">
        <v>2714</v>
      </c>
    </row>
    <row r="4815" spans="1:1" x14ac:dyDescent="0.25">
      <c r="A4815" t="s">
        <v>2714</v>
      </c>
    </row>
    <row r="4816" spans="1:1" x14ac:dyDescent="0.25">
      <c r="A4816" t="s">
        <v>2714</v>
      </c>
    </row>
    <row r="4817" spans="1:1" x14ac:dyDescent="0.25">
      <c r="A4817" t="s">
        <v>2714</v>
      </c>
    </row>
    <row r="4818" spans="1:1" x14ac:dyDescent="0.25">
      <c r="A4818" t="s">
        <v>2714</v>
      </c>
    </row>
    <row r="4819" spans="1:1" x14ac:dyDescent="0.25">
      <c r="A4819" t="s">
        <v>2714</v>
      </c>
    </row>
    <row r="4820" spans="1:1" x14ac:dyDescent="0.25">
      <c r="A4820" t="s">
        <v>2714</v>
      </c>
    </row>
    <row r="4821" spans="1:1" x14ac:dyDescent="0.25">
      <c r="A4821" t="s">
        <v>2714</v>
      </c>
    </row>
    <row r="4822" spans="1:1" x14ac:dyDescent="0.25">
      <c r="A4822" t="s">
        <v>2714</v>
      </c>
    </row>
    <row r="4823" spans="1:1" x14ac:dyDescent="0.25">
      <c r="A4823" t="s">
        <v>2714</v>
      </c>
    </row>
    <row r="4824" spans="1:1" x14ac:dyDescent="0.25">
      <c r="A4824" t="s">
        <v>2714</v>
      </c>
    </row>
    <row r="4825" spans="1:1" x14ac:dyDescent="0.25">
      <c r="A4825" t="s">
        <v>2714</v>
      </c>
    </row>
    <row r="4826" spans="1:1" x14ac:dyDescent="0.25">
      <c r="A4826" t="s">
        <v>2714</v>
      </c>
    </row>
    <row r="4827" spans="1:1" x14ac:dyDescent="0.25">
      <c r="A4827" t="s">
        <v>2714</v>
      </c>
    </row>
    <row r="4828" spans="1:1" x14ac:dyDescent="0.25">
      <c r="A4828" t="s">
        <v>2714</v>
      </c>
    </row>
    <row r="4829" spans="1:1" x14ac:dyDescent="0.25">
      <c r="A4829" t="s">
        <v>2714</v>
      </c>
    </row>
    <row r="4830" spans="1:1" x14ac:dyDescent="0.25">
      <c r="A4830" t="s">
        <v>2714</v>
      </c>
    </row>
    <row r="4831" spans="1:1" x14ac:dyDescent="0.25">
      <c r="A4831" t="s">
        <v>2714</v>
      </c>
    </row>
    <row r="4832" spans="1:1" x14ac:dyDescent="0.25">
      <c r="A4832" t="s">
        <v>2714</v>
      </c>
    </row>
    <row r="4833" spans="1:1" x14ac:dyDescent="0.25">
      <c r="A4833" t="s">
        <v>2714</v>
      </c>
    </row>
    <row r="4834" spans="1:1" x14ac:dyDescent="0.25">
      <c r="A4834" t="s">
        <v>2714</v>
      </c>
    </row>
    <row r="4835" spans="1:1" x14ac:dyDescent="0.25">
      <c r="A4835" t="s">
        <v>2714</v>
      </c>
    </row>
    <row r="4836" spans="1:1" x14ac:dyDescent="0.25">
      <c r="A4836" t="s">
        <v>2714</v>
      </c>
    </row>
    <row r="4837" spans="1:1" x14ac:dyDescent="0.25">
      <c r="A4837" t="s">
        <v>2714</v>
      </c>
    </row>
    <row r="4838" spans="1:1" x14ac:dyDescent="0.25">
      <c r="A4838" t="s">
        <v>2714</v>
      </c>
    </row>
    <row r="4839" spans="1:1" x14ac:dyDescent="0.25">
      <c r="A4839" t="s">
        <v>2714</v>
      </c>
    </row>
    <row r="4840" spans="1:1" x14ac:dyDescent="0.25">
      <c r="A4840" t="s">
        <v>2714</v>
      </c>
    </row>
    <row r="4841" spans="1:1" x14ac:dyDescent="0.25">
      <c r="A4841" t="s">
        <v>2714</v>
      </c>
    </row>
    <row r="4842" spans="1:1" x14ac:dyDescent="0.25">
      <c r="A4842" t="s">
        <v>2714</v>
      </c>
    </row>
    <row r="4843" spans="1:1" x14ac:dyDescent="0.25">
      <c r="A4843" t="s">
        <v>2714</v>
      </c>
    </row>
    <row r="4844" spans="1:1" x14ac:dyDescent="0.25">
      <c r="A4844" t="s">
        <v>2714</v>
      </c>
    </row>
    <row r="4845" spans="1:1" x14ac:dyDescent="0.25">
      <c r="A4845" t="s">
        <v>2714</v>
      </c>
    </row>
    <row r="4846" spans="1:1" x14ac:dyDescent="0.25">
      <c r="A4846" t="s">
        <v>2714</v>
      </c>
    </row>
    <row r="4847" spans="1:1" x14ac:dyDescent="0.25">
      <c r="A4847" t="s">
        <v>2714</v>
      </c>
    </row>
    <row r="4848" spans="1:1" x14ac:dyDescent="0.25">
      <c r="A4848" t="s">
        <v>2714</v>
      </c>
    </row>
    <row r="4849" spans="1:1" x14ac:dyDescent="0.25">
      <c r="A4849" t="s">
        <v>2714</v>
      </c>
    </row>
    <row r="4850" spans="1:1" x14ac:dyDescent="0.25">
      <c r="A4850" t="s">
        <v>2714</v>
      </c>
    </row>
    <row r="4851" spans="1:1" x14ac:dyDescent="0.25">
      <c r="A4851" t="s">
        <v>2714</v>
      </c>
    </row>
    <row r="4852" spans="1:1" x14ac:dyDescent="0.25">
      <c r="A4852" t="s">
        <v>2714</v>
      </c>
    </row>
    <row r="4853" spans="1:1" x14ac:dyDescent="0.25">
      <c r="A4853" t="s">
        <v>2686</v>
      </c>
    </row>
    <row r="4856" spans="1:1" x14ac:dyDescent="0.25">
      <c r="A4856" t="s">
        <v>3571</v>
      </c>
    </row>
    <row r="4857" spans="1:1" x14ac:dyDescent="0.25">
      <c r="A4857" t="s">
        <v>3572</v>
      </c>
    </row>
    <row r="4858" spans="1:1" x14ac:dyDescent="0.25">
      <c r="A4858" t="s">
        <v>3573</v>
      </c>
    </row>
    <row r="4859" spans="1:1" x14ac:dyDescent="0.25">
      <c r="A4859" t="s">
        <v>3574</v>
      </c>
    </row>
    <row r="4860" spans="1:1" x14ac:dyDescent="0.25">
      <c r="A4860" t="s">
        <v>3575</v>
      </c>
    </row>
    <row r="4861" spans="1:1" x14ac:dyDescent="0.25">
      <c r="A4861" t="s">
        <v>3576</v>
      </c>
    </row>
    <row r="4862" spans="1:1" x14ac:dyDescent="0.25">
      <c r="A4862" t="s">
        <v>3577</v>
      </c>
    </row>
    <row r="4863" spans="1:1" x14ac:dyDescent="0.25">
      <c r="A4863" t="s">
        <v>2713</v>
      </c>
    </row>
    <row r="4864" spans="1:1" x14ac:dyDescent="0.25">
      <c r="A4864" t="s">
        <v>2714</v>
      </c>
    </row>
    <row r="4865" spans="1:1" x14ac:dyDescent="0.25">
      <c r="A4865" t="s">
        <v>2714</v>
      </c>
    </row>
    <row r="4866" spans="1:1" x14ac:dyDescent="0.25">
      <c r="A4866" t="s">
        <v>2714</v>
      </c>
    </row>
    <row r="4867" spans="1:1" x14ac:dyDescent="0.25">
      <c r="A4867" t="s">
        <v>2714</v>
      </c>
    </row>
    <row r="4868" spans="1:1" x14ac:dyDescent="0.25">
      <c r="A4868" t="s">
        <v>2714</v>
      </c>
    </row>
    <row r="4869" spans="1:1" x14ac:dyDescent="0.25">
      <c r="A4869" t="s">
        <v>2714</v>
      </c>
    </row>
    <row r="4870" spans="1:1" x14ac:dyDescent="0.25">
      <c r="A4870" t="s">
        <v>2714</v>
      </c>
    </row>
    <row r="4871" spans="1:1" x14ac:dyDescent="0.25">
      <c r="A4871" t="s">
        <v>2714</v>
      </c>
    </row>
    <row r="4872" spans="1:1" x14ac:dyDescent="0.25">
      <c r="A4872" t="s">
        <v>2714</v>
      </c>
    </row>
    <row r="4873" spans="1:1" x14ac:dyDescent="0.25">
      <c r="A4873" t="s">
        <v>2714</v>
      </c>
    </row>
    <row r="4874" spans="1:1" x14ac:dyDescent="0.25">
      <c r="A4874" t="s">
        <v>2714</v>
      </c>
    </row>
    <row r="4875" spans="1:1" x14ac:dyDescent="0.25">
      <c r="A4875" t="s">
        <v>2714</v>
      </c>
    </row>
    <row r="4876" spans="1:1" x14ac:dyDescent="0.25">
      <c r="A4876" t="s">
        <v>2714</v>
      </c>
    </row>
    <row r="4877" spans="1:1" x14ac:dyDescent="0.25">
      <c r="A4877" t="s">
        <v>2714</v>
      </c>
    </row>
    <row r="4878" spans="1:1" x14ac:dyDescent="0.25">
      <c r="A4878" t="s">
        <v>2714</v>
      </c>
    </row>
    <row r="4879" spans="1:1" x14ac:dyDescent="0.25">
      <c r="A4879" t="s">
        <v>2714</v>
      </c>
    </row>
    <row r="4880" spans="1:1" x14ac:dyDescent="0.25">
      <c r="A4880" t="s">
        <v>2714</v>
      </c>
    </row>
    <row r="4881" spans="1:1" x14ac:dyDescent="0.25">
      <c r="A4881" t="s">
        <v>2714</v>
      </c>
    </row>
    <row r="4882" spans="1:1" x14ac:dyDescent="0.25">
      <c r="A4882" t="s">
        <v>2714</v>
      </c>
    </row>
    <row r="4883" spans="1:1" x14ac:dyDescent="0.25">
      <c r="A4883" t="s">
        <v>2714</v>
      </c>
    </row>
    <row r="4884" spans="1:1" x14ac:dyDescent="0.25">
      <c r="A4884" t="s">
        <v>2714</v>
      </c>
    </row>
    <row r="4885" spans="1:1" x14ac:dyDescent="0.25">
      <c r="A4885" t="s">
        <v>2714</v>
      </c>
    </row>
    <row r="4886" spans="1:1" x14ac:dyDescent="0.25">
      <c r="A4886" t="s">
        <v>2714</v>
      </c>
    </row>
    <row r="4887" spans="1:1" x14ac:dyDescent="0.25">
      <c r="A4887" t="s">
        <v>2714</v>
      </c>
    </row>
    <row r="4888" spans="1:1" x14ac:dyDescent="0.25">
      <c r="A4888" t="s">
        <v>2714</v>
      </c>
    </row>
    <row r="4889" spans="1:1" x14ac:dyDescent="0.25">
      <c r="A4889" t="s">
        <v>2714</v>
      </c>
    </row>
    <row r="4890" spans="1:1" x14ac:dyDescent="0.25">
      <c r="A4890" t="s">
        <v>2714</v>
      </c>
    </row>
    <row r="4891" spans="1:1" x14ac:dyDescent="0.25">
      <c r="A4891" t="s">
        <v>2714</v>
      </c>
    </row>
    <row r="4892" spans="1:1" x14ac:dyDescent="0.25">
      <c r="A4892" t="s">
        <v>2714</v>
      </c>
    </row>
    <row r="4893" spans="1:1" x14ac:dyDescent="0.25">
      <c r="A4893" t="s">
        <v>2714</v>
      </c>
    </row>
    <row r="4894" spans="1:1" x14ac:dyDescent="0.25">
      <c r="A4894" t="s">
        <v>2714</v>
      </c>
    </row>
    <row r="4895" spans="1:1" x14ac:dyDescent="0.25">
      <c r="A4895" t="s">
        <v>2714</v>
      </c>
    </row>
    <row r="4896" spans="1:1" x14ac:dyDescent="0.25">
      <c r="A4896" t="s">
        <v>2714</v>
      </c>
    </row>
    <row r="4897" spans="1:1" x14ac:dyDescent="0.25">
      <c r="A4897" t="s">
        <v>2714</v>
      </c>
    </row>
    <row r="4898" spans="1:1" x14ac:dyDescent="0.25">
      <c r="A4898" t="s">
        <v>2714</v>
      </c>
    </row>
    <row r="4899" spans="1:1" x14ac:dyDescent="0.25">
      <c r="A4899" t="s">
        <v>2714</v>
      </c>
    </row>
    <row r="4900" spans="1:1" x14ac:dyDescent="0.25">
      <c r="A4900" t="s">
        <v>2714</v>
      </c>
    </row>
    <row r="4901" spans="1:1" x14ac:dyDescent="0.25">
      <c r="A4901" t="s">
        <v>2714</v>
      </c>
    </row>
    <row r="4902" spans="1:1" x14ac:dyDescent="0.25">
      <c r="A4902" t="s">
        <v>2714</v>
      </c>
    </row>
    <row r="4903" spans="1:1" x14ac:dyDescent="0.25">
      <c r="A4903" t="s">
        <v>2714</v>
      </c>
    </row>
    <row r="4904" spans="1:1" x14ac:dyDescent="0.25">
      <c r="A4904" t="s">
        <v>2714</v>
      </c>
    </row>
    <row r="4905" spans="1:1" x14ac:dyDescent="0.25">
      <c r="A4905" t="s">
        <v>2714</v>
      </c>
    </row>
    <row r="4906" spans="1:1" x14ac:dyDescent="0.25">
      <c r="A4906" t="s">
        <v>2714</v>
      </c>
    </row>
    <row r="4907" spans="1:1" x14ac:dyDescent="0.25">
      <c r="A4907" t="s">
        <v>2714</v>
      </c>
    </row>
    <row r="4908" spans="1:1" x14ac:dyDescent="0.25">
      <c r="A4908" t="s">
        <v>2714</v>
      </c>
    </row>
    <row r="4909" spans="1:1" x14ac:dyDescent="0.25">
      <c r="A4909" t="s">
        <v>2714</v>
      </c>
    </row>
    <row r="4910" spans="1:1" x14ac:dyDescent="0.25">
      <c r="A4910" t="s">
        <v>2714</v>
      </c>
    </row>
    <row r="4911" spans="1:1" x14ac:dyDescent="0.25">
      <c r="A4911" t="s">
        <v>2714</v>
      </c>
    </row>
    <row r="4912" spans="1:1" x14ac:dyDescent="0.25">
      <c r="A4912" t="s">
        <v>2714</v>
      </c>
    </row>
    <row r="4913" spans="1:1" x14ac:dyDescent="0.25">
      <c r="A4913" t="s">
        <v>2714</v>
      </c>
    </row>
    <row r="4914" spans="1:1" x14ac:dyDescent="0.25">
      <c r="A4914" t="s">
        <v>2714</v>
      </c>
    </row>
    <row r="4915" spans="1:1" x14ac:dyDescent="0.25">
      <c r="A4915" t="s">
        <v>2714</v>
      </c>
    </row>
    <row r="4916" spans="1:1" x14ac:dyDescent="0.25">
      <c r="A4916" t="s">
        <v>2686</v>
      </c>
    </row>
    <row r="4919" spans="1:1" x14ac:dyDescent="0.25">
      <c r="A4919" t="s">
        <v>3578</v>
      </c>
    </row>
    <row r="4920" spans="1:1" x14ac:dyDescent="0.25">
      <c r="A4920" t="s">
        <v>3579</v>
      </c>
    </row>
    <row r="4921" spans="1:1" x14ac:dyDescent="0.25">
      <c r="A4921" t="s">
        <v>3580</v>
      </c>
    </row>
    <row r="4922" spans="1:1" x14ac:dyDescent="0.25">
      <c r="A4922" t="s">
        <v>3581</v>
      </c>
    </row>
    <row r="4923" spans="1:1" x14ac:dyDescent="0.25">
      <c r="A4923" t="s">
        <v>3582</v>
      </c>
    </row>
    <row r="4924" spans="1:1" x14ac:dyDescent="0.25">
      <c r="A4924" t="s">
        <v>3583</v>
      </c>
    </row>
    <row r="4925" spans="1:1" x14ac:dyDescent="0.25">
      <c r="A4925" t="s">
        <v>3584</v>
      </c>
    </row>
    <row r="4926" spans="1:1" x14ac:dyDescent="0.25">
      <c r="A4926" t="s">
        <v>3585</v>
      </c>
    </row>
    <row r="4927" spans="1:1" x14ac:dyDescent="0.25">
      <c r="A4927" t="s">
        <v>3586</v>
      </c>
    </row>
    <row r="4928" spans="1:1" x14ac:dyDescent="0.25">
      <c r="A4928" t="s">
        <v>2713</v>
      </c>
    </row>
    <row r="4929" spans="1:1" x14ac:dyDescent="0.25">
      <c r="A4929" t="s">
        <v>2714</v>
      </c>
    </row>
    <row r="4930" spans="1:1" x14ac:dyDescent="0.25">
      <c r="A4930" t="s">
        <v>2714</v>
      </c>
    </row>
    <row r="4931" spans="1:1" x14ac:dyDescent="0.25">
      <c r="A4931" t="s">
        <v>2714</v>
      </c>
    </row>
    <row r="4932" spans="1:1" x14ac:dyDescent="0.25">
      <c r="A4932" t="s">
        <v>2714</v>
      </c>
    </row>
    <row r="4933" spans="1:1" x14ac:dyDescent="0.25">
      <c r="A4933" t="s">
        <v>2714</v>
      </c>
    </row>
    <row r="4934" spans="1:1" x14ac:dyDescent="0.25">
      <c r="A4934" t="s">
        <v>2714</v>
      </c>
    </row>
    <row r="4935" spans="1:1" x14ac:dyDescent="0.25">
      <c r="A4935" t="s">
        <v>2714</v>
      </c>
    </row>
    <row r="4936" spans="1:1" x14ac:dyDescent="0.25">
      <c r="A4936" t="s">
        <v>2714</v>
      </c>
    </row>
    <row r="4937" spans="1:1" x14ac:dyDescent="0.25">
      <c r="A4937" t="s">
        <v>2714</v>
      </c>
    </row>
    <row r="4938" spans="1:1" x14ac:dyDescent="0.25">
      <c r="A4938" t="s">
        <v>2714</v>
      </c>
    </row>
    <row r="4939" spans="1:1" x14ac:dyDescent="0.25">
      <c r="A4939" t="s">
        <v>2714</v>
      </c>
    </row>
    <row r="4940" spans="1:1" x14ac:dyDescent="0.25">
      <c r="A4940" t="s">
        <v>2714</v>
      </c>
    </row>
    <row r="4941" spans="1:1" x14ac:dyDescent="0.25">
      <c r="A4941" t="s">
        <v>2714</v>
      </c>
    </row>
    <row r="4942" spans="1:1" x14ac:dyDescent="0.25">
      <c r="A4942" t="s">
        <v>2714</v>
      </c>
    </row>
    <row r="4943" spans="1:1" x14ac:dyDescent="0.25">
      <c r="A4943" t="s">
        <v>2714</v>
      </c>
    </row>
    <row r="4944" spans="1:1" x14ac:dyDescent="0.25">
      <c r="A4944" t="s">
        <v>2714</v>
      </c>
    </row>
    <row r="4945" spans="1:1" x14ac:dyDescent="0.25">
      <c r="A4945" t="s">
        <v>2714</v>
      </c>
    </row>
    <row r="4946" spans="1:1" x14ac:dyDescent="0.25">
      <c r="A4946" t="s">
        <v>2714</v>
      </c>
    </row>
    <row r="4947" spans="1:1" x14ac:dyDescent="0.25">
      <c r="A4947" t="s">
        <v>2714</v>
      </c>
    </row>
    <row r="4948" spans="1:1" x14ac:dyDescent="0.25">
      <c r="A4948" t="s">
        <v>2714</v>
      </c>
    </row>
    <row r="4949" spans="1:1" x14ac:dyDescent="0.25">
      <c r="A4949" t="s">
        <v>2714</v>
      </c>
    </row>
    <row r="4950" spans="1:1" x14ac:dyDescent="0.25">
      <c r="A4950" t="s">
        <v>2714</v>
      </c>
    </row>
    <row r="4951" spans="1:1" x14ac:dyDescent="0.25">
      <c r="A4951" t="s">
        <v>2714</v>
      </c>
    </row>
    <row r="4952" spans="1:1" x14ac:dyDescent="0.25">
      <c r="A4952" t="s">
        <v>2714</v>
      </c>
    </row>
    <row r="4953" spans="1:1" x14ac:dyDescent="0.25">
      <c r="A4953" t="s">
        <v>2714</v>
      </c>
    </row>
    <row r="4954" spans="1:1" x14ac:dyDescent="0.25">
      <c r="A4954" t="s">
        <v>2714</v>
      </c>
    </row>
    <row r="4955" spans="1:1" x14ac:dyDescent="0.25">
      <c r="A4955" t="s">
        <v>2714</v>
      </c>
    </row>
    <row r="4956" spans="1:1" x14ac:dyDescent="0.25">
      <c r="A4956" t="s">
        <v>2714</v>
      </c>
    </row>
    <row r="4957" spans="1:1" x14ac:dyDescent="0.25">
      <c r="A4957" t="s">
        <v>2714</v>
      </c>
    </row>
    <row r="4958" spans="1:1" x14ac:dyDescent="0.25">
      <c r="A4958" t="s">
        <v>2714</v>
      </c>
    </row>
    <row r="4959" spans="1:1" x14ac:dyDescent="0.25">
      <c r="A4959" t="s">
        <v>2714</v>
      </c>
    </row>
    <row r="4960" spans="1:1" x14ac:dyDescent="0.25">
      <c r="A4960" t="s">
        <v>2714</v>
      </c>
    </row>
    <row r="4961" spans="1:1" x14ac:dyDescent="0.25">
      <c r="A4961" t="s">
        <v>2714</v>
      </c>
    </row>
    <row r="4962" spans="1:1" x14ac:dyDescent="0.25">
      <c r="A4962" t="s">
        <v>2714</v>
      </c>
    </row>
    <row r="4963" spans="1:1" x14ac:dyDescent="0.25">
      <c r="A4963" t="s">
        <v>2714</v>
      </c>
    </row>
    <row r="4964" spans="1:1" x14ac:dyDescent="0.25">
      <c r="A4964" t="s">
        <v>2714</v>
      </c>
    </row>
    <row r="4965" spans="1:1" x14ac:dyDescent="0.25">
      <c r="A4965" t="s">
        <v>2714</v>
      </c>
    </row>
    <row r="4966" spans="1:1" x14ac:dyDescent="0.25">
      <c r="A4966" t="s">
        <v>2714</v>
      </c>
    </row>
    <row r="4967" spans="1:1" x14ac:dyDescent="0.25">
      <c r="A4967" t="s">
        <v>2714</v>
      </c>
    </row>
    <row r="4968" spans="1:1" x14ac:dyDescent="0.25">
      <c r="A4968" t="s">
        <v>2714</v>
      </c>
    </row>
    <row r="4969" spans="1:1" x14ac:dyDescent="0.25">
      <c r="A4969" t="s">
        <v>2714</v>
      </c>
    </row>
    <row r="4970" spans="1:1" x14ac:dyDescent="0.25">
      <c r="A4970" t="s">
        <v>2714</v>
      </c>
    </row>
    <row r="4971" spans="1:1" x14ac:dyDescent="0.25">
      <c r="A4971" t="s">
        <v>2714</v>
      </c>
    </row>
    <row r="4972" spans="1:1" x14ac:dyDescent="0.25">
      <c r="A4972" t="s">
        <v>2714</v>
      </c>
    </row>
    <row r="4973" spans="1:1" x14ac:dyDescent="0.25">
      <c r="A4973" t="s">
        <v>2714</v>
      </c>
    </row>
    <row r="4974" spans="1:1" x14ac:dyDescent="0.25">
      <c r="A4974" t="s">
        <v>2714</v>
      </c>
    </row>
    <row r="4975" spans="1:1" x14ac:dyDescent="0.25">
      <c r="A4975" t="s">
        <v>2714</v>
      </c>
    </row>
    <row r="4976" spans="1:1" x14ac:dyDescent="0.25">
      <c r="A4976" t="s">
        <v>2714</v>
      </c>
    </row>
    <row r="4977" spans="1:1" x14ac:dyDescent="0.25">
      <c r="A4977" t="s">
        <v>2714</v>
      </c>
    </row>
    <row r="4978" spans="1:1" x14ac:dyDescent="0.25">
      <c r="A4978" t="s">
        <v>2714</v>
      </c>
    </row>
    <row r="4979" spans="1:1" x14ac:dyDescent="0.25">
      <c r="A4979" t="s">
        <v>2686</v>
      </c>
    </row>
    <row r="4982" spans="1:1" x14ac:dyDescent="0.25">
      <c r="A4982" t="s">
        <v>3587</v>
      </c>
    </row>
    <row r="4983" spans="1:1" x14ac:dyDescent="0.25">
      <c r="A4983" t="s">
        <v>3588</v>
      </c>
    </row>
    <row r="4984" spans="1:1" x14ac:dyDescent="0.25">
      <c r="A4984" t="s">
        <v>2713</v>
      </c>
    </row>
    <row r="4985" spans="1:1" x14ac:dyDescent="0.25">
      <c r="A4985" t="s">
        <v>2714</v>
      </c>
    </row>
    <row r="4986" spans="1:1" x14ac:dyDescent="0.25">
      <c r="A4986" t="s">
        <v>2714</v>
      </c>
    </row>
    <row r="4987" spans="1:1" x14ac:dyDescent="0.25">
      <c r="A4987" t="s">
        <v>2714</v>
      </c>
    </row>
    <row r="4988" spans="1:1" x14ac:dyDescent="0.25">
      <c r="A4988" t="s">
        <v>2714</v>
      </c>
    </row>
    <row r="4989" spans="1:1" x14ac:dyDescent="0.25">
      <c r="A4989" t="s">
        <v>2714</v>
      </c>
    </row>
    <row r="4990" spans="1:1" x14ac:dyDescent="0.25">
      <c r="A4990" t="s">
        <v>2714</v>
      </c>
    </row>
    <row r="4991" spans="1:1" x14ac:dyDescent="0.25">
      <c r="A4991" t="s">
        <v>2714</v>
      </c>
    </row>
    <row r="4992" spans="1:1" x14ac:dyDescent="0.25">
      <c r="A4992" t="s">
        <v>2714</v>
      </c>
    </row>
    <row r="4993" spans="1:1" x14ac:dyDescent="0.25">
      <c r="A4993" t="s">
        <v>2714</v>
      </c>
    </row>
    <row r="4994" spans="1:1" x14ac:dyDescent="0.25">
      <c r="A4994" t="s">
        <v>2714</v>
      </c>
    </row>
    <row r="4995" spans="1:1" x14ac:dyDescent="0.25">
      <c r="A4995" t="s">
        <v>2714</v>
      </c>
    </row>
    <row r="4996" spans="1:1" x14ac:dyDescent="0.25">
      <c r="A4996" t="s">
        <v>2714</v>
      </c>
    </row>
    <row r="4997" spans="1:1" x14ac:dyDescent="0.25">
      <c r="A4997" t="s">
        <v>2714</v>
      </c>
    </row>
    <row r="4998" spans="1:1" x14ac:dyDescent="0.25">
      <c r="A4998" t="s">
        <v>2714</v>
      </c>
    </row>
    <row r="4999" spans="1:1" x14ac:dyDescent="0.25">
      <c r="A4999" t="s">
        <v>2714</v>
      </c>
    </row>
    <row r="5000" spans="1:1" x14ac:dyDescent="0.25">
      <c r="A5000" t="s">
        <v>2714</v>
      </c>
    </row>
    <row r="5001" spans="1:1" x14ac:dyDescent="0.25">
      <c r="A5001" t="s">
        <v>2714</v>
      </c>
    </row>
    <row r="5002" spans="1:1" x14ac:dyDescent="0.25">
      <c r="A5002" t="s">
        <v>2714</v>
      </c>
    </row>
    <row r="5003" spans="1:1" x14ac:dyDescent="0.25">
      <c r="A5003" t="s">
        <v>2714</v>
      </c>
    </row>
    <row r="5004" spans="1:1" x14ac:dyDescent="0.25">
      <c r="A5004" t="s">
        <v>2714</v>
      </c>
    </row>
    <row r="5005" spans="1:1" x14ac:dyDescent="0.25">
      <c r="A5005" t="s">
        <v>2714</v>
      </c>
    </row>
    <row r="5006" spans="1:1" x14ac:dyDescent="0.25">
      <c r="A5006" t="s">
        <v>2714</v>
      </c>
    </row>
    <row r="5007" spans="1:1" x14ac:dyDescent="0.25">
      <c r="A5007" t="s">
        <v>2714</v>
      </c>
    </row>
    <row r="5008" spans="1:1" x14ac:dyDescent="0.25">
      <c r="A5008" t="s">
        <v>2714</v>
      </c>
    </row>
    <row r="5009" spans="1:1" x14ac:dyDescent="0.25">
      <c r="A5009" t="s">
        <v>2714</v>
      </c>
    </row>
    <row r="5010" spans="1:1" x14ac:dyDescent="0.25">
      <c r="A5010" t="s">
        <v>2714</v>
      </c>
    </row>
    <row r="5011" spans="1:1" x14ac:dyDescent="0.25">
      <c r="A5011" t="s">
        <v>2714</v>
      </c>
    </row>
    <row r="5012" spans="1:1" x14ac:dyDescent="0.25">
      <c r="A5012" t="s">
        <v>2714</v>
      </c>
    </row>
    <row r="5013" spans="1:1" x14ac:dyDescent="0.25">
      <c r="A5013" t="s">
        <v>2714</v>
      </c>
    </row>
    <row r="5014" spans="1:1" x14ac:dyDescent="0.25">
      <c r="A5014" t="s">
        <v>2714</v>
      </c>
    </row>
    <row r="5015" spans="1:1" x14ac:dyDescent="0.25">
      <c r="A5015" t="s">
        <v>2714</v>
      </c>
    </row>
    <row r="5016" spans="1:1" x14ac:dyDescent="0.25">
      <c r="A5016" t="s">
        <v>2714</v>
      </c>
    </row>
    <row r="5017" spans="1:1" x14ac:dyDescent="0.25">
      <c r="A5017" t="s">
        <v>2714</v>
      </c>
    </row>
    <row r="5018" spans="1:1" x14ac:dyDescent="0.25">
      <c r="A5018" t="s">
        <v>2714</v>
      </c>
    </row>
    <row r="5019" spans="1:1" x14ac:dyDescent="0.25">
      <c r="A5019" t="s">
        <v>2714</v>
      </c>
    </row>
    <row r="5020" spans="1:1" x14ac:dyDescent="0.25">
      <c r="A5020" t="s">
        <v>2714</v>
      </c>
    </row>
    <row r="5021" spans="1:1" x14ac:dyDescent="0.25">
      <c r="A5021" t="s">
        <v>2714</v>
      </c>
    </row>
    <row r="5022" spans="1:1" x14ac:dyDescent="0.25">
      <c r="A5022" t="s">
        <v>2714</v>
      </c>
    </row>
    <row r="5023" spans="1:1" x14ac:dyDescent="0.25">
      <c r="A5023" t="s">
        <v>2714</v>
      </c>
    </row>
    <row r="5024" spans="1:1" x14ac:dyDescent="0.25">
      <c r="A5024" t="s">
        <v>2714</v>
      </c>
    </row>
    <row r="5025" spans="1:1" x14ac:dyDescent="0.25">
      <c r="A5025" t="s">
        <v>2714</v>
      </c>
    </row>
    <row r="5026" spans="1:1" x14ac:dyDescent="0.25">
      <c r="A5026" t="s">
        <v>2714</v>
      </c>
    </row>
    <row r="5027" spans="1:1" x14ac:dyDescent="0.25">
      <c r="A5027" t="s">
        <v>2714</v>
      </c>
    </row>
    <row r="5028" spans="1:1" x14ac:dyDescent="0.25">
      <c r="A5028" t="s">
        <v>2714</v>
      </c>
    </row>
    <row r="5029" spans="1:1" x14ac:dyDescent="0.25">
      <c r="A5029" t="s">
        <v>2714</v>
      </c>
    </row>
    <row r="5030" spans="1:1" x14ac:dyDescent="0.25">
      <c r="A5030" t="s">
        <v>2714</v>
      </c>
    </row>
    <row r="5031" spans="1:1" x14ac:dyDescent="0.25">
      <c r="A5031" t="s">
        <v>2714</v>
      </c>
    </row>
    <row r="5032" spans="1:1" x14ac:dyDescent="0.25">
      <c r="A5032" t="s">
        <v>2714</v>
      </c>
    </row>
    <row r="5033" spans="1:1" x14ac:dyDescent="0.25">
      <c r="A5033" t="s">
        <v>2714</v>
      </c>
    </row>
    <row r="5034" spans="1:1" x14ac:dyDescent="0.25">
      <c r="A5034" t="s">
        <v>2714</v>
      </c>
    </row>
    <row r="5035" spans="1:1" x14ac:dyDescent="0.25">
      <c r="A5035" t="s">
        <v>2714</v>
      </c>
    </row>
    <row r="5036" spans="1:1" x14ac:dyDescent="0.25">
      <c r="A5036" t="s">
        <v>2714</v>
      </c>
    </row>
    <row r="5037" spans="1:1" x14ac:dyDescent="0.25">
      <c r="A5037" t="s">
        <v>2714</v>
      </c>
    </row>
    <row r="5038" spans="1:1" x14ac:dyDescent="0.25">
      <c r="A5038" t="s">
        <v>2714</v>
      </c>
    </row>
    <row r="5039" spans="1:1" x14ac:dyDescent="0.25">
      <c r="A5039" t="s">
        <v>2714</v>
      </c>
    </row>
    <row r="5040" spans="1:1" x14ac:dyDescent="0.25">
      <c r="A5040" t="s">
        <v>2714</v>
      </c>
    </row>
    <row r="5041" spans="1:1" x14ac:dyDescent="0.25">
      <c r="A5041" t="s">
        <v>2714</v>
      </c>
    </row>
    <row r="5042" spans="1:1" x14ac:dyDescent="0.25">
      <c r="A5042" t="s">
        <v>2686</v>
      </c>
    </row>
    <row r="5045" spans="1:1" x14ac:dyDescent="0.25">
      <c r="A5045" t="s">
        <v>3589</v>
      </c>
    </row>
    <row r="5046" spans="1:1" x14ac:dyDescent="0.25">
      <c r="A5046" t="s">
        <v>3180</v>
      </c>
    </row>
    <row r="5047" spans="1:1" x14ac:dyDescent="0.25">
      <c r="A5047" t="s">
        <v>3181</v>
      </c>
    </row>
    <row r="5048" spans="1:1" x14ac:dyDescent="0.25">
      <c r="A5048" t="s">
        <v>3182</v>
      </c>
    </row>
    <row r="5049" spans="1:1" x14ac:dyDescent="0.25">
      <c r="A5049" t="s">
        <v>3183</v>
      </c>
    </row>
    <row r="5050" spans="1:1" x14ac:dyDescent="0.25">
      <c r="A5050" t="s">
        <v>3184</v>
      </c>
    </row>
    <row r="5051" spans="1:1" x14ac:dyDescent="0.25">
      <c r="A5051" t="s">
        <v>3185</v>
      </c>
    </row>
    <row r="5052" spans="1:1" x14ac:dyDescent="0.25">
      <c r="A5052" t="s">
        <v>3186</v>
      </c>
    </row>
    <row r="5053" spans="1:1" x14ac:dyDescent="0.25">
      <c r="A5053" t="s">
        <v>3187</v>
      </c>
    </row>
    <row r="5054" spans="1:1" x14ac:dyDescent="0.25">
      <c r="A5054" t="s">
        <v>3188</v>
      </c>
    </row>
    <row r="5055" spans="1:1" x14ac:dyDescent="0.25">
      <c r="A5055" t="s">
        <v>3184</v>
      </c>
    </row>
    <row r="5056" spans="1:1" x14ac:dyDescent="0.25">
      <c r="A5056" t="s">
        <v>3185</v>
      </c>
    </row>
    <row r="5057" spans="1:1" x14ac:dyDescent="0.25">
      <c r="A5057" t="s">
        <v>2713</v>
      </c>
    </row>
    <row r="5058" spans="1:1" x14ac:dyDescent="0.25">
      <c r="A5058" t="s">
        <v>2714</v>
      </c>
    </row>
    <row r="5059" spans="1:1" x14ac:dyDescent="0.25">
      <c r="A5059" t="s">
        <v>2714</v>
      </c>
    </row>
    <row r="5060" spans="1:1" x14ac:dyDescent="0.25">
      <c r="A5060" t="s">
        <v>2714</v>
      </c>
    </row>
    <row r="5061" spans="1:1" x14ac:dyDescent="0.25">
      <c r="A5061" t="s">
        <v>2714</v>
      </c>
    </row>
    <row r="5062" spans="1:1" x14ac:dyDescent="0.25">
      <c r="A5062" t="s">
        <v>2714</v>
      </c>
    </row>
    <row r="5063" spans="1:1" x14ac:dyDescent="0.25">
      <c r="A5063" t="s">
        <v>2714</v>
      </c>
    </row>
    <row r="5064" spans="1:1" x14ac:dyDescent="0.25">
      <c r="A5064" t="s">
        <v>2714</v>
      </c>
    </row>
    <row r="5065" spans="1:1" x14ac:dyDescent="0.25">
      <c r="A5065" t="s">
        <v>2714</v>
      </c>
    </row>
    <row r="5066" spans="1:1" x14ac:dyDescent="0.25">
      <c r="A5066" t="s">
        <v>2714</v>
      </c>
    </row>
    <row r="5067" spans="1:1" x14ac:dyDescent="0.25">
      <c r="A5067" t="s">
        <v>2714</v>
      </c>
    </row>
    <row r="5068" spans="1:1" x14ac:dyDescent="0.25">
      <c r="A5068" t="s">
        <v>2714</v>
      </c>
    </row>
    <row r="5069" spans="1:1" x14ac:dyDescent="0.25">
      <c r="A5069" t="s">
        <v>2714</v>
      </c>
    </row>
    <row r="5070" spans="1:1" x14ac:dyDescent="0.25">
      <c r="A5070" t="s">
        <v>2714</v>
      </c>
    </row>
    <row r="5071" spans="1:1" x14ac:dyDescent="0.25">
      <c r="A5071" t="s">
        <v>2714</v>
      </c>
    </row>
    <row r="5072" spans="1:1" x14ac:dyDescent="0.25">
      <c r="A5072" t="s">
        <v>2714</v>
      </c>
    </row>
    <row r="5073" spans="1:1" x14ac:dyDescent="0.25">
      <c r="A5073" t="s">
        <v>2714</v>
      </c>
    </row>
    <row r="5074" spans="1:1" x14ac:dyDescent="0.25">
      <c r="A5074" t="s">
        <v>2714</v>
      </c>
    </row>
    <row r="5075" spans="1:1" x14ac:dyDescent="0.25">
      <c r="A5075" t="s">
        <v>2714</v>
      </c>
    </row>
    <row r="5076" spans="1:1" x14ac:dyDescent="0.25">
      <c r="A5076" t="s">
        <v>2714</v>
      </c>
    </row>
    <row r="5077" spans="1:1" x14ac:dyDescent="0.25">
      <c r="A5077" t="s">
        <v>2714</v>
      </c>
    </row>
    <row r="5078" spans="1:1" x14ac:dyDescent="0.25">
      <c r="A5078" t="s">
        <v>2714</v>
      </c>
    </row>
    <row r="5079" spans="1:1" x14ac:dyDescent="0.25">
      <c r="A5079" t="s">
        <v>2714</v>
      </c>
    </row>
    <row r="5080" spans="1:1" x14ac:dyDescent="0.25">
      <c r="A5080" t="s">
        <v>2714</v>
      </c>
    </row>
    <row r="5081" spans="1:1" x14ac:dyDescent="0.25">
      <c r="A5081" t="s">
        <v>2714</v>
      </c>
    </row>
    <row r="5082" spans="1:1" x14ac:dyDescent="0.25">
      <c r="A5082" t="s">
        <v>2714</v>
      </c>
    </row>
    <row r="5083" spans="1:1" x14ac:dyDescent="0.25">
      <c r="A5083" t="s">
        <v>2714</v>
      </c>
    </row>
    <row r="5084" spans="1:1" x14ac:dyDescent="0.25">
      <c r="A5084" t="s">
        <v>2714</v>
      </c>
    </row>
    <row r="5085" spans="1:1" x14ac:dyDescent="0.25">
      <c r="A5085" t="s">
        <v>2714</v>
      </c>
    </row>
    <row r="5086" spans="1:1" x14ac:dyDescent="0.25">
      <c r="A5086" t="s">
        <v>2714</v>
      </c>
    </row>
    <row r="5087" spans="1:1" x14ac:dyDescent="0.25">
      <c r="A5087" t="s">
        <v>2714</v>
      </c>
    </row>
    <row r="5088" spans="1:1" x14ac:dyDescent="0.25">
      <c r="A5088" t="s">
        <v>2714</v>
      </c>
    </row>
    <row r="5089" spans="1:1" x14ac:dyDescent="0.25">
      <c r="A5089" t="s">
        <v>2714</v>
      </c>
    </row>
    <row r="5090" spans="1:1" x14ac:dyDescent="0.25">
      <c r="A5090" t="s">
        <v>2714</v>
      </c>
    </row>
    <row r="5091" spans="1:1" x14ac:dyDescent="0.25">
      <c r="A5091" t="s">
        <v>2714</v>
      </c>
    </row>
    <row r="5092" spans="1:1" x14ac:dyDescent="0.25">
      <c r="A5092" t="s">
        <v>2714</v>
      </c>
    </row>
    <row r="5093" spans="1:1" x14ac:dyDescent="0.25">
      <c r="A5093" t="s">
        <v>2714</v>
      </c>
    </row>
    <row r="5094" spans="1:1" x14ac:dyDescent="0.25">
      <c r="A5094" t="s">
        <v>2714</v>
      </c>
    </row>
    <row r="5095" spans="1:1" x14ac:dyDescent="0.25">
      <c r="A5095" t="s">
        <v>2714</v>
      </c>
    </row>
    <row r="5096" spans="1:1" x14ac:dyDescent="0.25">
      <c r="A5096" t="s">
        <v>2714</v>
      </c>
    </row>
    <row r="5097" spans="1:1" x14ac:dyDescent="0.25">
      <c r="A5097" t="s">
        <v>2714</v>
      </c>
    </row>
    <row r="5098" spans="1:1" x14ac:dyDescent="0.25">
      <c r="A5098" t="s">
        <v>2714</v>
      </c>
    </row>
    <row r="5099" spans="1:1" x14ac:dyDescent="0.25">
      <c r="A5099" t="s">
        <v>2714</v>
      </c>
    </row>
    <row r="5100" spans="1:1" x14ac:dyDescent="0.25">
      <c r="A5100" t="s">
        <v>2714</v>
      </c>
    </row>
    <row r="5101" spans="1:1" x14ac:dyDescent="0.25">
      <c r="A5101" t="s">
        <v>2714</v>
      </c>
    </row>
    <row r="5102" spans="1:1" x14ac:dyDescent="0.25">
      <c r="A5102" t="s">
        <v>2714</v>
      </c>
    </row>
    <row r="5103" spans="1:1" x14ac:dyDescent="0.25">
      <c r="A5103" t="s">
        <v>2714</v>
      </c>
    </row>
    <row r="5104" spans="1:1" x14ac:dyDescent="0.25">
      <c r="A5104" t="s">
        <v>2714</v>
      </c>
    </row>
    <row r="5105" spans="1:1" x14ac:dyDescent="0.25">
      <c r="A5105" t="s">
        <v>2686</v>
      </c>
    </row>
    <row r="5108" spans="1:1" x14ac:dyDescent="0.25">
      <c r="A5108" t="s">
        <v>3590</v>
      </c>
    </row>
    <row r="5109" spans="1:1" x14ac:dyDescent="0.25">
      <c r="A5109" t="s">
        <v>3591</v>
      </c>
    </row>
    <row r="5110" spans="1:1" x14ac:dyDescent="0.25">
      <c r="A5110" t="s">
        <v>2713</v>
      </c>
    </row>
    <row r="5111" spans="1:1" x14ac:dyDescent="0.25">
      <c r="A5111" t="s">
        <v>2714</v>
      </c>
    </row>
    <row r="5112" spans="1:1" x14ac:dyDescent="0.25">
      <c r="A5112" t="s">
        <v>2714</v>
      </c>
    </row>
    <row r="5113" spans="1:1" x14ac:dyDescent="0.25">
      <c r="A5113" t="s">
        <v>2714</v>
      </c>
    </row>
    <row r="5114" spans="1:1" x14ac:dyDescent="0.25">
      <c r="A5114" t="s">
        <v>2714</v>
      </c>
    </row>
    <row r="5115" spans="1:1" x14ac:dyDescent="0.25">
      <c r="A5115" t="s">
        <v>2714</v>
      </c>
    </row>
    <row r="5116" spans="1:1" x14ac:dyDescent="0.25">
      <c r="A5116" t="s">
        <v>2714</v>
      </c>
    </row>
    <row r="5117" spans="1:1" x14ac:dyDescent="0.25">
      <c r="A5117" t="s">
        <v>2714</v>
      </c>
    </row>
    <row r="5118" spans="1:1" x14ac:dyDescent="0.25">
      <c r="A5118" t="s">
        <v>2714</v>
      </c>
    </row>
    <row r="5119" spans="1:1" x14ac:dyDescent="0.25">
      <c r="A5119" t="s">
        <v>2714</v>
      </c>
    </row>
    <row r="5120" spans="1:1" x14ac:dyDescent="0.25">
      <c r="A5120" t="s">
        <v>2714</v>
      </c>
    </row>
    <row r="5121" spans="1:1" x14ac:dyDescent="0.25">
      <c r="A5121" t="s">
        <v>2714</v>
      </c>
    </row>
    <row r="5122" spans="1:1" x14ac:dyDescent="0.25">
      <c r="A5122" t="s">
        <v>2714</v>
      </c>
    </row>
    <row r="5123" spans="1:1" x14ac:dyDescent="0.25">
      <c r="A5123" t="s">
        <v>2714</v>
      </c>
    </row>
    <row r="5124" spans="1:1" x14ac:dyDescent="0.25">
      <c r="A5124" t="s">
        <v>2714</v>
      </c>
    </row>
    <row r="5125" spans="1:1" x14ac:dyDescent="0.25">
      <c r="A5125" t="s">
        <v>2714</v>
      </c>
    </row>
    <row r="5126" spans="1:1" x14ac:dyDescent="0.25">
      <c r="A5126" t="s">
        <v>2714</v>
      </c>
    </row>
    <row r="5127" spans="1:1" x14ac:dyDescent="0.25">
      <c r="A5127" t="s">
        <v>2714</v>
      </c>
    </row>
    <row r="5128" spans="1:1" x14ac:dyDescent="0.25">
      <c r="A5128" t="s">
        <v>2714</v>
      </c>
    </row>
    <row r="5129" spans="1:1" x14ac:dyDescent="0.25">
      <c r="A5129" t="s">
        <v>2714</v>
      </c>
    </row>
    <row r="5130" spans="1:1" x14ac:dyDescent="0.25">
      <c r="A5130" t="s">
        <v>2714</v>
      </c>
    </row>
    <row r="5131" spans="1:1" x14ac:dyDescent="0.25">
      <c r="A5131" t="s">
        <v>2714</v>
      </c>
    </row>
    <row r="5132" spans="1:1" x14ac:dyDescent="0.25">
      <c r="A5132" t="s">
        <v>2714</v>
      </c>
    </row>
    <row r="5133" spans="1:1" x14ac:dyDescent="0.25">
      <c r="A5133" t="s">
        <v>2714</v>
      </c>
    </row>
    <row r="5134" spans="1:1" x14ac:dyDescent="0.25">
      <c r="A5134" t="s">
        <v>2714</v>
      </c>
    </row>
    <row r="5135" spans="1:1" x14ac:dyDescent="0.25">
      <c r="A5135" t="s">
        <v>2714</v>
      </c>
    </row>
    <row r="5136" spans="1:1" x14ac:dyDescent="0.25">
      <c r="A5136" t="s">
        <v>2714</v>
      </c>
    </row>
    <row r="5137" spans="1:1" x14ac:dyDescent="0.25">
      <c r="A5137" t="s">
        <v>2714</v>
      </c>
    </row>
    <row r="5138" spans="1:1" x14ac:dyDescent="0.25">
      <c r="A5138" t="s">
        <v>2714</v>
      </c>
    </row>
    <row r="5139" spans="1:1" x14ac:dyDescent="0.25">
      <c r="A5139" t="s">
        <v>2714</v>
      </c>
    </row>
    <row r="5140" spans="1:1" x14ac:dyDescent="0.25">
      <c r="A5140" t="s">
        <v>2714</v>
      </c>
    </row>
    <row r="5141" spans="1:1" x14ac:dyDescent="0.25">
      <c r="A5141" t="s">
        <v>2714</v>
      </c>
    </row>
    <row r="5142" spans="1:1" x14ac:dyDescent="0.25">
      <c r="A5142" t="s">
        <v>2714</v>
      </c>
    </row>
    <row r="5143" spans="1:1" x14ac:dyDescent="0.25">
      <c r="A5143" t="s">
        <v>2714</v>
      </c>
    </row>
    <row r="5144" spans="1:1" x14ac:dyDescent="0.25">
      <c r="A5144" t="s">
        <v>2714</v>
      </c>
    </row>
    <row r="5145" spans="1:1" x14ac:dyDescent="0.25">
      <c r="A5145" t="s">
        <v>2714</v>
      </c>
    </row>
    <row r="5146" spans="1:1" x14ac:dyDescent="0.25">
      <c r="A5146" t="s">
        <v>2714</v>
      </c>
    </row>
    <row r="5147" spans="1:1" x14ac:dyDescent="0.25">
      <c r="A5147" t="s">
        <v>2714</v>
      </c>
    </row>
    <row r="5148" spans="1:1" x14ac:dyDescent="0.25">
      <c r="A5148" t="s">
        <v>2714</v>
      </c>
    </row>
    <row r="5149" spans="1:1" x14ac:dyDescent="0.25">
      <c r="A5149" t="s">
        <v>2714</v>
      </c>
    </row>
    <row r="5150" spans="1:1" x14ac:dyDescent="0.25">
      <c r="A5150" t="s">
        <v>2714</v>
      </c>
    </row>
    <row r="5151" spans="1:1" x14ac:dyDescent="0.25">
      <c r="A5151" t="s">
        <v>2714</v>
      </c>
    </row>
    <row r="5152" spans="1:1" x14ac:dyDescent="0.25">
      <c r="A5152" t="s">
        <v>2714</v>
      </c>
    </row>
    <row r="5153" spans="1:1" x14ac:dyDescent="0.25">
      <c r="A5153" t="s">
        <v>2714</v>
      </c>
    </row>
    <row r="5154" spans="1:1" x14ac:dyDescent="0.25">
      <c r="A5154" t="s">
        <v>2714</v>
      </c>
    </row>
    <row r="5155" spans="1:1" x14ac:dyDescent="0.25">
      <c r="A5155" t="s">
        <v>2714</v>
      </c>
    </row>
    <row r="5156" spans="1:1" x14ac:dyDescent="0.25">
      <c r="A5156" t="s">
        <v>2714</v>
      </c>
    </row>
    <row r="5157" spans="1:1" x14ac:dyDescent="0.25">
      <c r="A5157" t="s">
        <v>2714</v>
      </c>
    </row>
    <row r="5158" spans="1:1" x14ac:dyDescent="0.25">
      <c r="A5158" t="s">
        <v>2714</v>
      </c>
    </row>
    <row r="5159" spans="1:1" x14ac:dyDescent="0.25">
      <c r="A5159" t="s">
        <v>2714</v>
      </c>
    </row>
    <row r="5160" spans="1:1" x14ac:dyDescent="0.25">
      <c r="A5160" t="s">
        <v>2714</v>
      </c>
    </row>
    <row r="5161" spans="1:1" x14ac:dyDescent="0.25">
      <c r="A5161" t="s">
        <v>2714</v>
      </c>
    </row>
    <row r="5162" spans="1:1" x14ac:dyDescent="0.25">
      <c r="A5162" t="s">
        <v>2714</v>
      </c>
    </row>
    <row r="5163" spans="1:1" x14ac:dyDescent="0.25">
      <c r="A5163" t="s">
        <v>2714</v>
      </c>
    </row>
    <row r="5164" spans="1:1" x14ac:dyDescent="0.25">
      <c r="A5164" t="s">
        <v>2714</v>
      </c>
    </row>
    <row r="5165" spans="1:1" x14ac:dyDescent="0.25">
      <c r="A5165" t="s">
        <v>2714</v>
      </c>
    </row>
    <row r="5166" spans="1:1" x14ac:dyDescent="0.25">
      <c r="A5166" t="s">
        <v>2714</v>
      </c>
    </row>
    <row r="5167" spans="1:1" x14ac:dyDescent="0.25">
      <c r="A5167" t="s">
        <v>2714</v>
      </c>
    </row>
    <row r="5168" spans="1:1" x14ac:dyDescent="0.25">
      <c r="A5168" t="s">
        <v>2686</v>
      </c>
    </row>
    <row r="5171" spans="1:1" x14ac:dyDescent="0.25">
      <c r="A5171" t="s">
        <v>3592</v>
      </c>
    </row>
    <row r="5172" spans="1:1" x14ac:dyDescent="0.25">
      <c r="A5172" t="s">
        <v>3591</v>
      </c>
    </row>
    <row r="5173" spans="1:1" x14ac:dyDescent="0.25">
      <c r="A5173" t="s">
        <v>2713</v>
      </c>
    </row>
    <row r="5174" spans="1:1" x14ac:dyDescent="0.25">
      <c r="A5174" t="s">
        <v>2714</v>
      </c>
    </row>
    <row r="5175" spans="1:1" x14ac:dyDescent="0.25">
      <c r="A5175" t="s">
        <v>2714</v>
      </c>
    </row>
    <row r="5176" spans="1:1" x14ac:dyDescent="0.25">
      <c r="A5176" t="s">
        <v>2714</v>
      </c>
    </row>
    <row r="5177" spans="1:1" x14ac:dyDescent="0.25">
      <c r="A5177" t="s">
        <v>2714</v>
      </c>
    </row>
    <row r="5178" spans="1:1" x14ac:dyDescent="0.25">
      <c r="A5178" t="s">
        <v>2714</v>
      </c>
    </row>
    <row r="5179" spans="1:1" x14ac:dyDescent="0.25">
      <c r="A5179" t="s">
        <v>2714</v>
      </c>
    </row>
    <row r="5180" spans="1:1" x14ac:dyDescent="0.25">
      <c r="A5180" t="s">
        <v>2714</v>
      </c>
    </row>
    <row r="5181" spans="1:1" x14ac:dyDescent="0.25">
      <c r="A5181" t="s">
        <v>2714</v>
      </c>
    </row>
    <row r="5182" spans="1:1" x14ac:dyDescent="0.25">
      <c r="A5182" t="s">
        <v>2714</v>
      </c>
    </row>
    <row r="5183" spans="1:1" x14ac:dyDescent="0.25">
      <c r="A5183" t="s">
        <v>2714</v>
      </c>
    </row>
    <row r="5184" spans="1:1" x14ac:dyDescent="0.25">
      <c r="A5184" t="s">
        <v>2714</v>
      </c>
    </row>
    <row r="5185" spans="1:1" x14ac:dyDescent="0.25">
      <c r="A5185" t="s">
        <v>2714</v>
      </c>
    </row>
    <row r="5186" spans="1:1" x14ac:dyDescent="0.25">
      <c r="A5186" t="s">
        <v>2714</v>
      </c>
    </row>
    <row r="5187" spans="1:1" x14ac:dyDescent="0.25">
      <c r="A5187" t="s">
        <v>2714</v>
      </c>
    </row>
    <row r="5188" spans="1:1" x14ac:dyDescent="0.25">
      <c r="A5188" t="s">
        <v>2714</v>
      </c>
    </row>
    <row r="5189" spans="1:1" x14ac:dyDescent="0.25">
      <c r="A5189" t="s">
        <v>2714</v>
      </c>
    </row>
    <row r="5190" spans="1:1" x14ac:dyDescent="0.25">
      <c r="A5190" t="s">
        <v>2714</v>
      </c>
    </row>
    <row r="5191" spans="1:1" x14ac:dyDescent="0.25">
      <c r="A5191" t="s">
        <v>2714</v>
      </c>
    </row>
    <row r="5192" spans="1:1" x14ac:dyDescent="0.25">
      <c r="A5192" t="s">
        <v>2714</v>
      </c>
    </row>
    <row r="5193" spans="1:1" x14ac:dyDescent="0.25">
      <c r="A5193" t="s">
        <v>2714</v>
      </c>
    </row>
    <row r="5194" spans="1:1" x14ac:dyDescent="0.25">
      <c r="A5194" t="s">
        <v>2714</v>
      </c>
    </row>
    <row r="5195" spans="1:1" x14ac:dyDescent="0.25">
      <c r="A5195" t="s">
        <v>2714</v>
      </c>
    </row>
    <row r="5196" spans="1:1" x14ac:dyDescent="0.25">
      <c r="A5196" t="s">
        <v>2714</v>
      </c>
    </row>
    <row r="5197" spans="1:1" x14ac:dyDescent="0.25">
      <c r="A5197" t="s">
        <v>2714</v>
      </c>
    </row>
    <row r="5198" spans="1:1" x14ac:dyDescent="0.25">
      <c r="A5198" t="s">
        <v>2714</v>
      </c>
    </row>
    <row r="5199" spans="1:1" x14ac:dyDescent="0.25">
      <c r="A5199" t="s">
        <v>2714</v>
      </c>
    </row>
    <row r="5200" spans="1:1" x14ac:dyDescent="0.25">
      <c r="A5200" t="s">
        <v>2714</v>
      </c>
    </row>
    <row r="5201" spans="1:1" x14ac:dyDescent="0.25">
      <c r="A5201" t="s">
        <v>2714</v>
      </c>
    </row>
    <row r="5202" spans="1:1" x14ac:dyDescent="0.25">
      <c r="A5202" t="s">
        <v>2714</v>
      </c>
    </row>
    <row r="5203" spans="1:1" x14ac:dyDescent="0.25">
      <c r="A5203" t="s">
        <v>2714</v>
      </c>
    </row>
    <row r="5204" spans="1:1" x14ac:dyDescent="0.25">
      <c r="A5204" t="s">
        <v>2714</v>
      </c>
    </row>
    <row r="5205" spans="1:1" x14ac:dyDescent="0.25">
      <c r="A5205" t="s">
        <v>2714</v>
      </c>
    </row>
    <row r="5206" spans="1:1" x14ac:dyDescent="0.25">
      <c r="A5206" t="s">
        <v>2714</v>
      </c>
    </row>
    <row r="5207" spans="1:1" x14ac:dyDescent="0.25">
      <c r="A5207" t="s">
        <v>2714</v>
      </c>
    </row>
    <row r="5208" spans="1:1" x14ac:dyDescent="0.25">
      <c r="A5208" t="s">
        <v>2714</v>
      </c>
    </row>
    <row r="5209" spans="1:1" x14ac:dyDescent="0.25">
      <c r="A5209" t="s">
        <v>2714</v>
      </c>
    </row>
    <row r="5210" spans="1:1" x14ac:dyDescent="0.25">
      <c r="A5210" t="s">
        <v>2714</v>
      </c>
    </row>
    <row r="5211" spans="1:1" x14ac:dyDescent="0.25">
      <c r="A5211" t="s">
        <v>2714</v>
      </c>
    </row>
    <row r="5212" spans="1:1" x14ac:dyDescent="0.25">
      <c r="A5212" t="s">
        <v>2714</v>
      </c>
    </row>
    <row r="5213" spans="1:1" x14ac:dyDescent="0.25">
      <c r="A5213" t="s">
        <v>2714</v>
      </c>
    </row>
    <row r="5214" spans="1:1" x14ac:dyDescent="0.25">
      <c r="A5214" t="s">
        <v>2714</v>
      </c>
    </row>
    <row r="5215" spans="1:1" x14ac:dyDescent="0.25">
      <c r="A5215" t="s">
        <v>2714</v>
      </c>
    </row>
    <row r="5216" spans="1:1" x14ac:dyDescent="0.25">
      <c r="A5216" t="s">
        <v>2714</v>
      </c>
    </row>
    <row r="5217" spans="1:1" x14ac:dyDescent="0.25">
      <c r="A5217" t="s">
        <v>2714</v>
      </c>
    </row>
    <row r="5218" spans="1:1" x14ac:dyDescent="0.25">
      <c r="A5218" t="s">
        <v>2714</v>
      </c>
    </row>
    <row r="5219" spans="1:1" x14ac:dyDescent="0.25">
      <c r="A5219" t="s">
        <v>2714</v>
      </c>
    </row>
    <row r="5220" spans="1:1" x14ac:dyDescent="0.25">
      <c r="A5220" t="s">
        <v>2714</v>
      </c>
    </row>
    <row r="5221" spans="1:1" x14ac:dyDescent="0.25">
      <c r="A5221" t="s">
        <v>2714</v>
      </c>
    </row>
    <row r="5222" spans="1:1" x14ac:dyDescent="0.25">
      <c r="A5222" t="s">
        <v>2714</v>
      </c>
    </row>
    <row r="5223" spans="1:1" x14ac:dyDescent="0.25">
      <c r="A5223" t="s">
        <v>2714</v>
      </c>
    </row>
    <row r="5224" spans="1:1" x14ac:dyDescent="0.25">
      <c r="A5224" t="s">
        <v>2714</v>
      </c>
    </row>
    <row r="5225" spans="1:1" x14ac:dyDescent="0.25">
      <c r="A5225" t="s">
        <v>2714</v>
      </c>
    </row>
    <row r="5226" spans="1:1" x14ac:dyDescent="0.25">
      <c r="A5226" t="s">
        <v>2714</v>
      </c>
    </row>
    <row r="5227" spans="1:1" x14ac:dyDescent="0.25">
      <c r="A5227" t="s">
        <v>2714</v>
      </c>
    </row>
    <row r="5228" spans="1:1" x14ac:dyDescent="0.25">
      <c r="A5228" t="s">
        <v>2714</v>
      </c>
    </row>
    <row r="5229" spans="1:1" x14ac:dyDescent="0.25">
      <c r="A5229" t="s">
        <v>2714</v>
      </c>
    </row>
    <row r="5230" spans="1:1" x14ac:dyDescent="0.25">
      <c r="A5230" t="s">
        <v>2714</v>
      </c>
    </row>
    <row r="5231" spans="1:1" x14ac:dyDescent="0.25">
      <c r="A5231" t="s">
        <v>2686</v>
      </c>
    </row>
    <row r="5234" spans="1:1" x14ac:dyDescent="0.25">
      <c r="A5234" t="s">
        <v>3593</v>
      </c>
    </row>
    <row r="5235" spans="1:1" x14ac:dyDescent="0.25">
      <c r="A5235" t="s">
        <v>3594</v>
      </c>
    </row>
    <row r="5236" spans="1:1" x14ac:dyDescent="0.25">
      <c r="A5236" t="s">
        <v>3595</v>
      </c>
    </row>
    <row r="5237" spans="1:1" x14ac:dyDescent="0.25">
      <c r="A5237" t="s">
        <v>2713</v>
      </c>
    </row>
    <row r="5238" spans="1:1" x14ac:dyDescent="0.25">
      <c r="A5238" t="s">
        <v>2714</v>
      </c>
    </row>
    <row r="5239" spans="1:1" x14ac:dyDescent="0.25">
      <c r="A5239" t="s">
        <v>2714</v>
      </c>
    </row>
    <row r="5240" spans="1:1" x14ac:dyDescent="0.25">
      <c r="A5240" t="s">
        <v>2714</v>
      </c>
    </row>
    <row r="5241" spans="1:1" x14ac:dyDescent="0.25">
      <c r="A5241" t="s">
        <v>2714</v>
      </c>
    </row>
    <row r="5242" spans="1:1" x14ac:dyDescent="0.25">
      <c r="A5242" t="s">
        <v>2714</v>
      </c>
    </row>
    <row r="5243" spans="1:1" x14ac:dyDescent="0.25">
      <c r="A5243" t="s">
        <v>2714</v>
      </c>
    </row>
    <row r="5244" spans="1:1" x14ac:dyDescent="0.25">
      <c r="A5244" t="s">
        <v>2714</v>
      </c>
    </row>
    <row r="5245" spans="1:1" x14ac:dyDescent="0.25">
      <c r="A5245" t="s">
        <v>2714</v>
      </c>
    </row>
    <row r="5246" spans="1:1" x14ac:dyDescent="0.25">
      <c r="A5246" t="s">
        <v>2714</v>
      </c>
    </row>
    <row r="5247" spans="1:1" x14ac:dyDescent="0.25">
      <c r="A5247" t="s">
        <v>2714</v>
      </c>
    </row>
    <row r="5248" spans="1:1" x14ac:dyDescent="0.25">
      <c r="A5248" t="s">
        <v>2714</v>
      </c>
    </row>
    <row r="5249" spans="1:1" x14ac:dyDescent="0.25">
      <c r="A5249" t="s">
        <v>2714</v>
      </c>
    </row>
    <row r="5250" spans="1:1" x14ac:dyDescent="0.25">
      <c r="A5250" t="s">
        <v>2714</v>
      </c>
    </row>
    <row r="5251" spans="1:1" x14ac:dyDescent="0.25">
      <c r="A5251" t="s">
        <v>2714</v>
      </c>
    </row>
    <row r="5252" spans="1:1" x14ac:dyDescent="0.25">
      <c r="A5252" t="s">
        <v>2714</v>
      </c>
    </row>
    <row r="5253" spans="1:1" x14ac:dyDescent="0.25">
      <c r="A5253" t="s">
        <v>2714</v>
      </c>
    </row>
    <row r="5254" spans="1:1" x14ac:dyDescent="0.25">
      <c r="A5254" t="s">
        <v>2714</v>
      </c>
    </row>
    <row r="5255" spans="1:1" x14ac:dyDescent="0.25">
      <c r="A5255" t="s">
        <v>2714</v>
      </c>
    </row>
    <row r="5256" spans="1:1" x14ac:dyDescent="0.25">
      <c r="A5256" t="s">
        <v>2714</v>
      </c>
    </row>
    <row r="5257" spans="1:1" x14ac:dyDescent="0.25">
      <c r="A5257" t="s">
        <v>2714</v>
      </c>
    </row>
    <row r="5258" spans="1:1" x14ac:dyDescent="0.25">
      <c r="A5258" t="s">
        <v>2714</v>
      </c>
    </row>
    <row r="5259" spans="1:1" x14ac:dyDescent="0.25">
      <c r="A5259" t="s">
        <v>2714</v>
      </c>
    </row>
    <row r="5260" spans="1:1" x14ac:dyDescent="0.25">
      <c r="A5260" t="s">
        <v>2714</v>
      </c>
    </row>
    <row r="5261" spans="1:1" x14ac:dyDescent="0.25">
      <c r="A5261" t="s">
        <v>2714</v>
      </c>
    </row>
    <row r="5262" spans="1:1" x14ac:dyDescent="0.25">
      <c r="A5262" t="s">
        <v>2714</v>
      </c>
    </row>
    <row r="5263" spans="1:1" x14ac:dyDescent="0.25">
      <c r="A5263" t="s">
        <v>2714</v>
      </c>
    </row>
    <row r="5264" spans="1:1" x14ac:dyDescent="0.25">
      <c r="A5264" t="s">
        <v>2714</v>
      </c>
    </row>
    <row r="5265" spans="1:1" x14ac:dyDescent="0.25">
      <c r="A5265" t="s">
        <v>2714</v>
      </c>
    </row>
    <row r="5266" spans="1:1" x14ac:dyDescent="0.25">
      <c r="A5266" t="s">
        <v>2714</v>
      </c>
    </row>
    <row r="5267" spans="1:1" x14ac:dyDescent="0.25">
      <c r="A5267" t="s">
        <v>2714</v>
      </c>
    </row>
    <row r="5268" spans="1:1" x14ac:dyDescent="0.25">
      <c r="A5268" t="s">
        <v>2714</v>
      </c>
    </row>
    <row r="5269" spans="1:1" x14ac:dyDescent="0.25">
      <c r="A5269" t="s">
        <v>2714</v>
      </c>
    </row>
    <row r="5270" spans="1:1" x14ac:dyDescent="0.25">
      <c r="A5270" t="s">
        <v>2714</v>
      </c>
    </row>
    <row r="5271" spans="1:1" x14ac:dyDescent="0.25">
      <c r="A5271" t="s">
        <v>2714</v>
      </c>
    </row>
    <row r="5272" spans="1:1" x14ac:dyDescent="0.25">
      <c r="A5272" t="s">
        <v>2714</v>
      </c>
    </row>
    <row r="5273" spans="1:1" x14ac:dyDescent="0.25">
      <c r="A5273" t="s">
        <v>2714</v>
      </c>
    </row>
    <row r="5274" spans="1:1" x14ac:dyDescent="0.25">
      <c r="A5274" t="s">
        <v>2714</v>
      </c>
    </row>
    <row r="5275" spans="1:1" x14ac:dyDescent="0.25">
      <c r="A5275" t="s">
        <v>2714</v>
      </c>
    </row>
    <row r="5276" spans="1:1" x14ac:dyDescent="0.25">
      <c r="A5276" t="s">
        <v>2714</v>
      </c>
    </row>
    <row r="5277" spans="1:1" x14ac:dyDescent="0.25">
      <c r="A5277" t="s">
        <v>2714</v>
      </c>
    </row>
    <row r="5278" spans="1:1" x14ac:dyDescent="0.25">
      <c r="A5278" t="s">
        <v>2714</v>
      </c>
    </row>
    <row r="5279" spans="1:1" x14ac:dyDescent="0.25">
      <c r="A5279" t="s">
        <v>2714</v>
      </c>
    </row>
    <row r="5280" spans="1:1" x14ac:dyDescent="0.25">
      <c r="A5280" t="s">
        <v>2714</v>
      </c>
    </row>
    <row r="5281" spans="1:1" x14ac:dyDescent="0.25">
      <c r="A5281" t="s">
        <v>2714</v>
      </c>
    </row>
    <row r="5282" spans="1:1" x14ac:dyDescent="0.25">
      <c r="A5282" t="s">
        <v>2714</v>
      </c>
    </row>
    <row r="5283" spans="1:1" x14ac:dyDescent="0.25">
      <c r="A5283" t="s">
        <v>2714</v>
      </c>
    </row>
    <row r="5284" spans="1:1" x14ac:dyDescent="0.25">
      <c r="A5284" t="s">
        <v>2714</v>
      </c>
    </row>
    <row r="5285" spans="1:1" x14ac:dyDescent="0.25">
      <c r="A5285" t="s">
        <v>2714</v>
      </c>
    </row>
    <row r="5286" spans="1:1" x14ac:dyDescent="0.25">
      <c r="A5286" t="s">
        <v>2714</v>
      </c>
    </row>
    <row r="5287" spans="1:1" x14ac:dyDescent="0.25">
      <c r="A5287" t="s">
        <v>2714</v>
      </c>
    </row>
    <row r="5288" spans="1:1" x14ac:dyDescent="0.25">
      <c r="A5288" t="s">
        <v>2714</v>
      </c>
    </row>
    <row r="5289" spans="1:1" x14ac:dyDescent="0.25">
      <c r="A5289" t="s">
        <v>2714</v>
      </c>
    </row>
    <row r="5290" spans="1:1" x14ac:dyDescent="0.25">
      <c r="A5290" t="s">
        <v>2714</v>
      </c>
    </row>
    <row r="5291" spans="1:1" x14ac:dyDescent="0.25">
      <c r="A5291" t="s">
        <v>2714</v>
      </c>
    </row>
    <row r="5292" spans="1:1" x14ac:dyDescent="0.25">
      <c r="A5292" t="s">
        <v>2714</v>
      </c>
    </row>
    <row r="5293" spans="1:1" x14ac:dyDescent="0.25">
      <c r="A5293" t="s">
        <v>2714</v>
      </c>
    </row>
    <row r="5294" spans="1:1" x14ac:dyDescent="0.25">
      <c r="A5294" t="s">
        <v>2686</v>
      </c>
    </row>
    <row r="5297" spans="1:1" x14ac:dyDescent="0.25">
      <c r="A5297" t="s">
        <v>3596</v>
      </c>
    </row>
    <row r="5298" spans="1:1" x14ac:dyDescent="0.25">
      <c r="A5298" t="s">
        <v>3597</v>
      </c>
    </row>
    <row r="5299" spans="1:1" x14ac:dyDescent="0.25">
      <c r="A5299" t="s">
        <v>3598</v>
      </c>
    </row>
    <row r="5300" spans="1:1" x14ac:dyDescent="0.25">
      <c r="A5300" t="s">
        <v>3599</v>
      </c>
    </row>
    <row r="5301" spans="1:1" x14ac:dyDescent="0.25">
      <c r="A5301" t="s">
        <v>2713</v>
      </c>
    </row>
    <row r="5302" spans="1:1" x14ac:dyDescent="0.25">
      <c r="A5302" t="s">
        <v>2714</v>
      </c>
    </row>
    <row r="5303" spans="1:1" x14ac:dyDescent="0.25">
      <c r="A5303" t="s">
        <v>2714</v>
      </c>
    </row>
    <row r="5304" spans="1:1" x14ac:dyDescent="0.25">
      <c r="A5304" t="s">
        <v>2714</v>
      </c>
    </row>
    <row r="5305" spans="1:1" x14ac:dyDescent="0.25">
      <c r="A5305" t="s">
        <v>2714</v>
      </c>
    </row>
    <row r="5306" spans="1:1" x14ac:dyDescent="0.25">
      <c r="A5306" t="s">
        <v>2714</v>
      </c>
    </row>
    <row r="5307" spans="1:1" x14ac:dyDescent="0.25">
      <c r="A5307" t="s">
        <v>2714</v>
      </c>
    </row>
    <row r="5308" spans="1:1" x14ac:dyDescent="0.25">
      <c r="A5308" t="s">
        <v>2714</v>
      </c>
    </row>
    <row r="5309" spans="1:1" x14ac:dyDescent="0.25">
      <c r="A5309" t="s">
        <v>2714</v>
      </c>
    </row>
    <row r="5310" spans="1:1" x14ac:dyDescent="0.25">
      <c r="A5310" t="s">
        <v>2714</v>
      </c>
    </row>
    <row r="5311" spans="1:1" x14ac:dyDescent="0.25">
      <c r="A5311" t="s">
        <v>2714</v>
      </c>
    </row>
    <row r="5312" spans="1:1" x14ac:dyDescent="0.25">
      <c r="A5312" t="s">
        <v>2714</v>
      </c>
    </row>
    <row r="5313" spans="1:1" x14ac:dyDescent="0.25">
      <c r="A5313" t="s">
        <v>2714</v>
      </c>
    </row>
    <row r="5314" spans="1:1" x14ac:dyDescent="0.25">
      <c r="A5314" t="s">
        <v>2714</v>
      </c>
    </row>
    <row r="5315" spans="1:1" x14ac:dyDescent="0.25">
      <c r="A5315" t="s">
        <v>2714</v>
      </c>
    </row>
    <row r="5316" spans="1:1" x14ac:dyDescent="0.25">
      <c r="A5316" t="s">
        <v>2714</v>
      </c>
    </row>
    <row r="5317" spans="1:1" x14ac:dyDescent="0.25">
      <c r="A5317" t="s">
        <v>2714</v>
      </c>
    </row>
    <row r="5318" spans="1:1" x14ac:dyDescent="0.25">
      <c r="A5318" t="s">
        <v>2714</v>
      </c>
    </row>
    <row r="5319" spans="1:1" x14ac:dyDescent="0.25">
      <c r="A5319" t="s">
        <v>2714</v>
      </c>
    </row>
    <row r="5320" spans="1:1" x14ac:dyDescent="0.25">
      <c r="A5320" t="s">
        <v>2714</v>
      </c>
    </row>
    <row r="5321" spans="1:1" x14ac:dyDescent="0.25">
      <c r="A5321" t="s">
        <v>2714</v>
      </c>
    </row>
    <row r="5322" spans="1:1" x14ac:dyDescent="0.25">
      <c r="A5322" t="s">
        <v>2714</v>
      </c>
    </row>
    <row r="5323" spans="1:1" x14ac:dyDescent="0.25">
      <c r="A5323" t="s">
        <v>2714</v>
      </c>
    </row>
    <row r="5324" spans="1:1" x14ac:dyDescent="0.25">
      <c r="A5324" t="s">
        <v>2714</v>
      </c>
    </row>
    <row r="5325" spans="1:1" x14ac:dyDescent="0.25">
      <c r="A5325" t="s">
        <v>2714</v>
      </c>
    </row>
    <row r="5326" spans="1:1" x14ac:dyDescent="0.25">
      <c r="A5326" t="s">
        <v>2714</v>
      </c>
    </row>
    <row r="5327" spans="1:1" x14ac:dyDescent="0.25">
      <c r="A5327" t="s">
        <v>2714</v>
      </c>
    </row>
    <row r="5328" spans="1:1" x14ac:dyDescent="0.25">
      <c r="A5328" t="s">
        <v>2714</v>
      </c>
    </row>
    <row r="5329" spans="1:1" x14ac:dyDescent="0.25">
      <c r="A5329" t="s">
        <v>2714</v>
      </c>
    </row>
    <row r="5330" spans="1:1" x14ac:dyDescent="0.25">
      <c r="A5330" t="s">
        <v>2714</v>
      </c>
    </row>
    <row r="5331" spans="1:1" x14ac:dyDescent="0.25">
      <c r="A5331" t="s">
        <v>2714</v>
      </c>
    </row>
    <row r="5332" spans="1:1" x14ac:dyDescent="0.25">
      <c r="A5332" t="s">
        <v>2714</v>
      </c>
    </row>
    <row r="5333" spans="1:1" x14ac:dyDescent="0.25">
      <c r="A5333" t="s">
        <v>2714</v>
      </c>
    </row>
    <row r="5334" spans="1:1" x14ac:dyDescent="0.25">
      <c r="A5334" t="s">
        <v>2714</v>
      </c>
    </row>
    <row r="5335" spans="1:1" x14ac:dyDescent="0.25">
      <c r="A5335" t="s">
        <v>2714</v>
      </c>
    </row>
    <row r="5336" spans="1:1" x14ac:dyDescent="0.25">
      <c r="A5336" t="s">
        <v>2714</v>
      </c>
    </row>
    <row r="5337" spans="1:1" x14ac:dyDescent="0.25">
      <c r="A5337" t="s">
        <v>2714</v>
      </c>
    </row>
    <row r="5338" spans="1:1" x14ac:dyDescent="0.25">
      <c r="A5338" t="s">
        <v>2714</v>
      </c>
    </row>
    <row r="5339" spans="1:1" x14ac:dyDescent="0.25">
      <c r="A5339" t="s">
        <v>2714</v>
      </c>
    </row>
    <row r="5340" spans="1:1" x14ac:dyDescent="0.25">
      <c r="A5340" t="s">
        <v>2714</v>
      </c>
    </row>
    <row r="5341" spans="1:1" x14ac:dyDescent="0.25">
      <c r="A5341" t="s">
        <v>2714</v>
      </c>
    </row>
    <row r="5342" spans="1:1" x14ac:dyDescent="0.25">
      <c r="A5342" t="s">
        <v>2714</v>
      </c>
    </row>
    <row r="5343" spans="1:1" x14ac:dyDescent="0.25">
      <c r="A5343" t="s">
        <v>2714</v>
      </c>
    </row>
    <row r="5344" spans="1:1" x14ac:dyDescent="0.25">
      <c r="A5344" t="s">
        <v>2714</v>
      </c>
    </row>
    <row r="5345" spans="1:1" x14ac:dyDescent="0.25">
      <c r="A5345" t="s">
        <v>2714</v>
      </c>
    </row>
    <row r="5346" spans="1:1" x14ac:dyDescent="0.25">
      <c r="A5346" t="s">
        <v>2714</v>
      </c>
    </row>
    <row r="5347" spans="1:1" x14ac:dyDescent="0.25">
      <c r="A5347" t="s">
        <v>2714</v>
      </c>
    </row>
    <row r="5348" spans="1:1" x14ac:dyDescent="0.25">
      <c r="A5348" t="s">
        <v>2714</v>
      </c>
    </row>
    <row r="5349" spans="1:1" x14ac:dyDescent="0.25">
      <c r="A5349" t="s">
        <v>2714</v>
      </c>
    </row>
    <row r="5350" spans="1:1" x14ac:dyDescent="0.25">
      <c r="A5350" t="s">
        <v>2714</v>
      </c>
    </row>
    <row r="5351" spans="1:1" x14ac:dyDescent="0.25">
      <c r="A5351" t="s">
        <v>2714</v>
      </c>
    </row>
    <row r="5352" spans="1:1" x14ac:dyDescent="0.25">
      <c r="A5352" t="s">
        <v>2714</v>
      </c>
    </row>
    <row r="5353" spans="1:1" x14ac:dyDescent="0.25">
      <c r="A5353" t="s">
        <v>2714</v>
      </c>
    </row>
    <row r="5354" spans="1:1" x14ac:dyDescent="0.25">
      <c r="A5354" t="s">
        <v>2714</v>
      </c>
    </row>
    <row r="5355" spans="1:1" x14ac:dyDescent="0.25">
      <c r="A5355" t="s">
        <v>2714</v>
      </c>
    </row>
    <row r="5356" spans="1:1" x14ac:dyDescent="0.25">
      <c r="A5356" t="s">
        <v>2714</v>
      </c>
    </row>
    <row r="5357" spans="1:1" x14ac:dyDescent="0.25">
      <c r="A5357" t="s">
        <v>2686</v>
      </c>
    </row>
    <row r="5360" spans="1:1" x14ac:dyDescent="0.25">
      <c r="A5360" t="s">
        <v>3600</v>
      </c>
    </row>
    <row r="5361" spans="1:1" x14ac:dyDescent="0.25">
      <c r="A5361" t="s">
        <v>2713</v>
      </c>
    </row>
    <row r="5362" spans="1:1" x14ac:dyDescent="0.25">
      <c r="A5362" t="s">
        <v>2714</v>
      </c>
    </row>
    <row r="5363" spans="1:1" x14ac:dyDescent="0.25">
      <c r="A5363" t="s">
        <v>2714</v>
      </c>
    </row>
    <row r="5364" spans="1:1" x14ac:dyDescent="0.25">
      <c r="A5364" t="s">
        <v>2714</v>
      </c>
    </row>
    <row r="5365" spans="1:1" x14ac:dyDescent="0.25">
      <c r="A5365" t="s">
        <v>2714</v>
      </c>
    </row>
    <row r="5366" spans="1:1" x14ac:dyDescent="0.25">
      <c r="A5366" t="s">
        <v>2714</v>
      </c>
    </row>
    <row r="5367" spans="1:1" x14ac:dyDescent="0.25">
      <c r="A5367" t="s">
        <v>2714</v>
      </c>
    </row>
    <row r="5368" spans="1:1" x14ac:dyDescent="0.25">
      <c r="A5368" t="s">
        <v>2714</v>
      </c>
    </row>
    <row r="5369" spans="1:1" x14ac:dyDescent="0.25">
      <c r="A5369" t="s">
        <v>2714</v>
      </c>
    </row>
    <row r="5370" spans="1:1" x14ac:dyDescent="0.25">
      <c r="A5370" t="s">
        <v>2714</v>
      </c>
    </row>
    <row r="5371" spans="1:1" x14ac:dyDescent="0.25">
      <c r="A5371" t="s">
        <v>2714</v>
      </c>
    </row>
    <row r="5372" spans="1:1" x14ac:dyDescent="0.25">
      <c r="A5372" t="s">
        <v>2714</v>
      </c>
    </row>
    <row r="5373" spans="1:1" x14ac:dyDescent="0.25">
      <c r="A5373" t="s">
        <v>2714</v>
      </c>
    </row>
    <row r="5374" spans="1:1" x14ac:dyDescent="0.25">
      <c r="A5374" t="s">
        <v>2714</v>
      </c>
    </row>
    <row r="5375" spans="1:1" x14ac:dyDescent="0.25">
      <c r="A5375" t="s">
        <v>2714</v>
      </c>
    </row>
    <row r="5376" spans="1:1" x14ac:dyDescent="0.25">
      <c r="A5376" t="s">
        <v>2714</v>
      </c>
    </row>
    <row r="5377" spans="1:1" x14ac:dyDescent="0.25">
      <c r="A5377" t="s">
        <v>2714</v>
      </c>
    </row>
    <row r="5378" spans="1:1" x14ac:dyDescent="0.25">
      <c r="A5378" t="s">
        <v>2714</v>
      </c>
    </row>
    <row r="5379" spans="1:1" x14ac:dyDescent="0.25">
      <c r="A5379" t="s">
        <v>2714</v>
      </c>
    </row>
    <row r="5380" spans="1:1" x14ac:dyDescent="0.25">
      <c r="A5380" t="s">
        <v>2714</v>
      </c>
    </row>
    <row r="5381" spans="1:1" x14ac:dyDescent="0.25">
      <c r="A5381" t="s">
        <v>2714</v>
      </c>
    </row>
    <row r="5382" spans="1:1" x14ac:dyDescent="0.25">
      <c r="A5382" t="s">
        <v>2714</v>
      </c>
    </row>
    <row r="5383" spans="1:1" x14ac:dyDescent="0.25">
      <c r="A5383" t="s">
        <v>2714</v>
      </c>
    </row>
    <row r="5384" spans="1:1" x14ac:dyDescent="0.25">
      <c r="A5384" t="s">
        <v>2714</v>
      </c>
    </row>
    <row r="5385" spans="1:1" x14ac:dyDescent="0.25">
      <c r="A5385" t="s">
        <v>2714</v>
      </c>
    </row>
    <row r="5386" spans="1:1" x14ac:dyDescent="0.25">
      <c r="A5386" t="s">
        <v>2714</v>
      </c>
    </row>
    <row r="5387" spans="1:1" x14ac:dyDescent="0.25">
      <c r="A5387" t="s">
        <v>2714</v>
      </c>
    </row>
    <row r="5388" spans="1:1" x14ac:dyDescent="0.25">
      <c r="A5388" t="s">
        <v>2714</v>
      </c>
    </row>
    <row r="5389" spans="1:1" x14ac:dyDescent="0.25">
      <c r="A5389" t="s">
        <v>2714</v>
      </c>
    </row>
    <row r="5390" spans="1:1" x14ac:dyDescent="0.25">
      <c r="A5390" t="s">
        <v>2714</v>
      </c>
    </row>
    <row r="5391" spans="1:1" x14ac:dyDescent="0.25">
      <c r="A5391" t="s">
        <v>2714</v>
      </c>
    </row>
    <row r="5392" spans="1:1" x14ac:dyDescent="0.25">
      <c r="A5392" t="s">
        <v>2714</v>
      </c>
    </row>
    <row r="5393" spans="1:1" x14ac:dyDescent="0.25">
      <c r="A5393" t="s">
        <v>2714</v>
      </c>
    </row>
    <row r="5394" spans="1:1" x14ac:dyDescent="0.25">
      <c r="A5394" t="s">
        <v>2714</v>
      </c>
    </row>
    <row r="5395" spans="1:1" x14ac:dyDescent="0.25">
      <c r="A5395" t="s">
        <v>2714</v>
      </c>
    </row>
    <row r="5396" spans="1:1" x14ac:dyDescent="0.25">
      <c r="A5396" t="s">
        <v>2714</v>
      </c>
    </row>
    <row r="5397" spans="1:1" x14ac:dyDescent="0.25">
      <c r="A5397" t="s">
        <v>2714</v>
      </c>
    </row>
    <row r="5398" spans="1:1" x14ac:dyDescent="0.25">
      <c r="A5398" t="s">
        <v>2714</v>
      </c>
    </row>
    <row r="5399" spans="1:1" x14ac:dyDescent="0.25">
      <c r="A5399" t="s">
        <v>2714</v>
      </c>
    </row>
    <row r="5400" spans="1:1" x14ac:dyDescent="0.25">
      <c r="A5400" t="s">
        <v>2714</v>
      </c>
    </row>
    <row r="5401" spans="1:1" x14ac:dyDescent="0.25">
      <c r="A5401" t="s">
        <v>2714</v>
      </c>
    </row>
    <row r="5402" spans="1:1" x14ac:dyDescent="0.25">
      <c r="A5402" t="s">
        <v>2714</v>
      </c>
    </row>
    <row r="5403" spans="1:1" x14ac:dyDescent="0.25">
      <c r="A5403" t="s">
        <v>2714</v>
      </c>
    </row>
    <row r="5404" spans="1:1" x14ac:dyDescent="0.25">
      <c r="A5404" t="s">
        <v>2714</v>
      </c>
    </row>
    <row r="5405" spans="1:1" x14ac:dyDescent="0.25">
      <c r="A5405" t="s">
        <v>2714</v>
      </c>
    </row>
    <row r="5406" spans="1:1" x14ac:dyDescent="0.25">
      <c r="A5406" t="s">
        <v>2714</v>
      </c>
    </row>
    <row r="5407" spans="1:1" x14ac:dyDescent="0.25">
      <c r="A5407" t="s">
        <v>2714</v>
      </c>
    </row>
    <row r="5408" spans="1:1" x14ac:dyDescent="0.25">
      <c r="A5408" t="s">
        <v>2714</v>
      </c>
    </row>
    <row r="5409" spans="1:1" x14ac:dyDescent="0.25">
      <c r="A5409" t="s">
        <v>2714</v>
      </c>
    </row>
    <row r="5410" spans="1:1" x14ac:dyDescent="0.25">
      <c r="A5410" t="s">
        <v>2714</v>
      </c>
    </row>
    <row r="5411" spans="1:1" x14ac:dyDescent="0.25">
      <c r="A5411" t="s">
        <v>2714</v>
      </c>
    </row>
    <row r="5412" spans="1:1" x14ac:dyDescent="0.25">
      <c r="A5412" t="s">
        <v>2714</v>
      </c>
    </row>
    <row r="5413" spans="1:1" x14ac:dyDescent="0.25">
      <c r="A5413" t="s">
        <v>2714</v>
      </c>
    </row>
    <row r="5414" spans="1:1" x14ac:dyDescent="0.25">
      <c r="A5414" t="s">
        <v>2714</v>
      </c>
    </row>
    <row r="5415" spans="1:1" x14ac:dyDescent="0.25">
      <c r="A5415" t="s">
        <v>2714</v>
      </c>
    </row>
    <row r="5416" spans="1:1" x14ac:dyDescent="0.25">
      <c r="A5416" t="s">
        <v>2714</v>
      </c>
    </row>
    <row r="5417" spans="1:1" x14ac:dyDescent="0.25">
      <c r="A5417" t="s">
        <v>2714</v>
      </c>
    </row>
    <row r="5418" spans="1:1" x14ac:dyDescent="0.25">
      <c r="A5418" t="s">
        <v>2714</v>
      </c>
    </row>
    <row r="5419" spans="1:1" x14ac:dyDescent="0.25">
      <c r="A5419" t="s">
        <v>2714</v>
      </c>
    </row>
    <row r="5420" spans="1:1" x14ac:dyDescent="0.25">
      <c r="A5420" t="s">
        <v>2686</v>
      </c>
    </row>
    <row r="5423" spans="1:1" x14ac:dyDescent="0.25">
      <c r="A5423" t="s">
        <v>3601</v>
      </c>
    </row>
    <row r="5424" spans="1:1" x14ac:dyDescent="0.25">
      <c r="A5424" t="s">
        <v>3602</v>
      </c>
    </row>
    <row r="5425" spans="1:1" x14ac:dyDescent="0.25">
      <c r="A5425" t="s">
        <v>3603</v>
      </c>
    </row>
    <row r="5426" spans="1:1" x14ac:dyDescent="0.25">
      <c r="A5426" t="s">
        <v>3604</v>
      </c>
    </row>
    <row r="5427" spans="1:1" x14ac:dyDescent="0.25">
      <c r="A5427" t="s">
        <v>3604</v>
      </c>
    </row>
    <row r="5428" spans="1:1" x14ac:dyDescent="0.25">
      <c r="A5428" t="s">
        <v>3605</v>
      </c>
    </row>
    <row r="5429" spans="1:1" x14ac:dyDescent="0.25">
      <c r="A5429" t="s">
        <v>3606</v>
      </c>
    </row>
    <row r="5430" spans="1:1" x14ac:dyDescent="0.25">
      <c r="A5430" t="s">
        <v>3607</v>
      </c>
    </row>
    <row r="5431" spans="1:1" x14ac:dyDescent="0.25">
      <c r="A5431" t="s">
        <v>3608</v>
      </c>
    </row>
    <row r="5432" spans="1:1" x14ac:dyDescent="0.25">
      <c r="A5432" t="s">
        <v>3609</v>
      </c>
    </row>
    <row r="5433" spans="1:1" x14ac:dyDescent="0.25">
      <c r="A5433" t="s">
        <v>3610</v>
      </c>
    </row>
    <row r="5434" spans="1:1" x14ac:dyDescent="0.25">
      <c r="A5434" t="s">
        <v>3611</v>
      </c>
    </row>
    <row r="5435" spans="1:1" x14ac:dyDescent="0.25">
      <c r="A5435" t="s">
        <v>3612</v>
      </c>
    </row>
    <row r="5436" spans="1:1" x14ac:dyDescent="0.25">
      <c r="A5436" t="s">
        <v>3613</v>
      </c>
    </row>
    <row r="5437" spans="1:1" x14ac:dyDescent="0.25">
      <c r="A5437" t="s">
        <v>3614</v>
      </c>
    </row>
    <row r="5438" spans="1:1" x14ac:dyDescent="0.25">
      <c r="A5438" t="s">
        <v>3615</v>
      </c>
    </row>
    <row r="5439" spans="1:1" x14ac:dyDescent="0.25">
      <c r="A5439" t="s">
        <v>3616</v>
      </c>
    </row>
    <row r="5440" spans="1:1" x14ac:dyDescent="0.25">
      <c r="A5440" t="s">
        <v>3617</v>
      </c>
    </row>
    <row r="5441" spans="1:1" x14ac:dyDescent="0.25">
      <c r="A5441" t="s">
        <v>3618</v>
      </c>
    </row>
    <row r="5442" spans="1:1" x14ac:dyDescent="0.25">
      <c r="A5442" t="s">
        <v>3619</v>
      </c>
    </row>
    <row r="5443" spans="1:1" x14ac:dyDescent="0.25">
      <c r="A5443" t="s">
        <v>3619</v>
      </c>
    </row>
    <row r="5444" spans="1:1" x14ac:dyDescent="0.25">
      <c r="A5444" t="s">
        <v>3620</v>
      </c>
    </row>
    <row r="5445" spans="1:1" x14ac:dyDescent="0.25">
      <c r="A5445" t="s">
        <v>3621</v>
      </c>
    </row>
    <row r="5446" spans="1:1" x14ac:dyDescent="0.25">
      <c r="A5446" t="s">
        <v>3622</v>
      </c>
    </row>
    <row r="5447" spans="1:1" x14ac:dyDescent="0.25">
      <c r="A5447" t="s">
        <v>3623</v>
      </c>
    </row>
    <row r="5448" spans="1:1" x14ac:dyDescent="0.25">
      <c r="A5448" t="s">
        <v>3624</v>
      </c>
    </row>
    <row r="5449" spans="1:1" x14ac:dyDescent="0.25">
      <c r="A5449" t="s">
        <v>3625</v>
      </c>
    </row>
    <row r="5450" spans="1:1" x14ac:dyDescent="0.25">
      <c r="A5450" t="s">
        <v>3626</v>
      </c>
    </row>
    <row r="5451" spans="1:1" x14ac:dyDescent="0.25">
      <c r="A5451" t="s">
        <v>3627</v>
      </c>
    </row>
    <row r="5452" spans="1:1" x14ac:dyDescent="0.25">
      <c r="A5452" t="s">
        <v>3628</v>
      </c>
    </row>
    <row r="5453" spans="1:1" x14ac:dyDescent="0.25">
      <c r="A5453" t="s">
        <v>3629</v>
      </c>
    </row>
    <row r="5454" spans="1:1" x14ac:dyDescent="0.25">
      <c r="A5454" t="s">
        <v>3630</v>
      </c>
    </row>
    <row r="5455" spans="1:1" x14ac:dyDescent="0.25">
      <c r="A5455" t="s">
        <v>3631</v>
      </c>
    </row>
    <row r="5456" spans="1:1" x14ac:dyDescent="0.25">
      <c r="A5456" t="s">
        <v>3632</v>
      </c>
    </row>
    <row r="5457" spans="1:1" x14ac:dyDescent="0.25">
      <c r="A5457" t="s">
        <v>3633</v>
      </c>
    </row>
    <row r="5458" spans="1:1" x14ac:dyDescent="0.25">
      <c r="A5458" t="s">
        <v>3634</v>
      </c>
    </row>
    <row r="5459" spans="1:1" x14ac:dyDescent="0.25">
      <c r="A5459" t="s">
        <v>3635</v>
      </c>
    </row>
    <row r="5460" spans="1:1" x14ac:dyDescent="0.25">
      <c r="A5460" t="s">
        <v>3636</v>
      </c>
    </row>
    <row r="5461" spans="1:1" x14ac:dyDescent="0.25">
      <c r="A5461" t="s">
        <v>3637</v>
      </c>
    </row>
    <row r="5462" spans="1:1" x14ac:dyDescent="0.25">
      <c r="A5462" t="s">
        <v>3638</v>
      </c>
    </row>
    <row r="5463" spans="1:1" x14ac:dyDescent="0.25">
      <c r="A5463" t="s">
        <v>3639</v>
      </c>
    </row>
    <row r="5464" spans="1:1" x14ac:dyDescent="0.25">
      <c r="A5464" t="s">
        <v>3640</v>
      </c>
    </row>
    <row r="5465" spans="1:1" x14ac:dyDescent="0.25">
      <c r="A5465" t="s">
        <v>2713</v>
      </c>
    </row>
    <row r="5466" spans="1:1" x14ac:dyDescent="0.25">
      <c r="A5466" t="s">
        <v>2714</v>
      </c>
    </row>
    <row r="5467" spans="1:1" x14ac:dyDescent="0.25">
      <c r="A5467" t="s">
        <v>2714</v>
      </c>
    </row>
    <row r="5468" spans="1:1" x14ac:dyDescent="0.25">
      <c r="A5468" t="s">
        <v>2714</v>
      </c>
    </row>
    <row r="5469" spans="1:1" x14ac:dyDescent="0.25">
      <c r="A5469" t="s">
        <v>2714</v>
      </c>
    </row>
    <row r="5470" spans="1:1" x14ac:dyDescent="0.25">
      <c r="A5470" t="s">
        <v>2714</v>
      </c>
    </row>
    <row r="5471" spans="1:1" x14ac:dyDescent="0.25">
      <c r="A5471" t="s">
        <v>2714</v>
      </c>
    </row>
    <row r="5472" spans="1:1" x14ac:dyDescent="0.25">
      <c r="A5472" t="s">
        <v>2714</v>
      </c>
    </row>
    <row r="5473" spans="1:1" x14ac:dyDescent="0.25">
      <c r="A5473" t="s">
        <v>2714</v>
      </c>
    </row>
    <row r="5474" spans="1:1" x14ac:dyDescent="0.25">
      <c r="A5474" t="s">
        <v>2714</v>
      </c>
    </row>
    <row r="5475" spans="1:1" x14ac:dyDescent="0.25">
      <c r="A5475" t="s">
        <v>2714</v>
      </c>
    </row>
    <row r="5476" spans="1:1" x14ac:dyDescent="0.25">
      <c r="A5476" t="s">
        <v>2714</v>
      </c>
    </row>
    <row r="5477" spans="1:1" x14ac:dyDescent="0.25">
      <c r="A5477" t="s">
        <v>2714</v>
      </c>
    </row>
    <row r="5478" spans="1:1" x14ac:dyDescent="0.25">
      <c r="A5478" t="s">
        <v>2714</v>
      </c>
    </row>
    <row r="5479" spans="1:1" x14ac:dyDescent="0.25">
      <c r="A5479" t="s">
        <v>2714</v>
      </c>
    </row>
    <row r="5480" spans="1:1" x14ac:dyDescent="0.25">
      <c r="A5480" t="s">
        <v>2714</v>
      </c>
    </row>
    <row r="5481" spans="1:1" x14ac:dyDescent="0.25">
      <c r="A5481" t="s">
        <v>2714</v>
      </c>
    </row>
    <row r="5482" spans="1:1" x14ac:dyDescent="0.25">
      <c r="A5482" t="s">
        <v>2714</v>
      </c>
    </row>
    <row r="5483" spans="1:1" x14ac:dyDescent="0.25">
      <c r="A5483" t="s">
        <v>2686</v>
      </c>
    </row>
    <row r="5486" spans="1:1" x14ac:dyDescent="0.25">
      <c r="A5486" t="s">
        <v>3641</v>
      </c>
    </row>
    <row r="5487" spans="1:1" x14ac:dyDescent="0.25">
      <c r="A5487" t="s">
        <v>3642</v>
      </c>
    </row>
    <row r="5488" spans="1:1" x14ac:dyDescent="0.25">
      <c r="A5488" t="s">
        <v>3643</v>
      </c>
    </row>
    <row r="5489" spans="1:1" x14ac:dyDescent="0.25">
      <c r="A5489" t="s">
        <v>3644</v>
      </c>
    </row>
    <row r="5490" spans="1:1" x14ac:dyDescent="0.25">
      <c r="A5490" t="s">
        <v>3645</v>
      </c>
    </row>
    <row r="5491" spans="1:1" x14ac:dyDescent="0.25">
      <c r="A5491" t="s">
        <v>3646</v>
      </c>
    </row>
    <row r="5492" spans="1:1" x14ac:dyDescent="0.25">
      <c r="A5492" t="s">
        <v>3647</v>
      </c>
    </row>
    <row r="5493" spans="1:1" x14ac:dyDescent="0.25">
      <c r="A5493" t="s">
        <v>3648</v>
      </c>
    </row>
    <row r="5494" spans="1:1" x14ac:dyDescent="0.25">
      <c r="A5494" t="s">
        <v>3649</v>
      </c>
    </row>
    <row r="5495" spans="1:1" x14ac:dyDescent="0.25">
      <c r="A5495" t="s">
        <v>3650</v>
      </c>
    </row>
    <row r="5496" spans="1:1" x14ac:dyDescent="0.25">
      <c r="A5496" t="s">
        <v>3651</v>
      </c>
    </row>
    <row r="5497" spans="1:1" x14ac:dyDescent="0.25">
      <c r="A5497" t="s">
        <v>3652</v>
      </c>
    </row>
    <row r="5498" spans="1:1" x14ac:dyDescent="0.25">
      <c r="A5498" t="s">
        <v>2713</v>
      </c>
    </row>
    <row r="5499" spans="1:1" x14ac:dyDescent="0.25">
      <c r="A5499" t="s">
        <v>2714</v>
      </c>
    </row>
    <row r="5500" spans="1:1" x14ac:dyDescent="0.25">
      <c r="A5500" t="s">
        <v>2714</v>
      </c>
    </row>
    <row r="5501" spans="1:1" x14ac:dyDescent="0.25">
      <c r="A5501" t="s">
        <v>2714</v>
      </c>
    </row>
    <row r="5502" spans="1:1" x14ac:dyDescent="0.25">
      <c r="A5502" t="s">
        <v>2714</v>
      </c>
    </row>
    <row r="5503" spans="1:1" x14ac:dyDescent="0.25">
      <c r="A5503" t="s">
        <v>2714</v>
      </c>
    </row>
    <row r="5504" spans="1:1" x14ac:dyDescent="0.25">
      <c r="A5504" t="s">
        <v>2714</v>
      </c>
    </row>
    <row r="5505" spans="1:1" x14ac:dyDescent="0.25">
      <c r="A5505" t="s">
        <v>2714</v>
      </c>
    </row>
    <row r="5506" spans="1:1" x14ac:dyDescent="0.25">
      <c r="A5506" t="s">
        <v>2714</v>
      </c>
    </row>
    <row r="5507" spans="1:1" x14ac:dyDescent="0.25">
      <c r="A5507" t="s">
        <v>2714</v>
      </c>
    </row>
    <row r="5508" spans="1:1" x14ac:dyDescent="0.25">
      <c r="A5508" t="s">
        <v>2714</v>
      </c>
    </row>
    <row r="5509" spans="1:1" x14ac:dyDescent="0.25">
      <c r="A5509" t="s">
        <v>2714</v>
      </c>
    </row>
    <row r="5510" spans="1:1" x14ac:dyDescent="0.25">
      <c r="A5510" t="s">
        <v>2714</v>
      </c>
    </row>
    <row r="5511" spans="1:1" x14ac:dyDescent="0.25">
      <c r="A5511" t="s">
        <v>2714</v>
      </c>
    </row>
    <row r="5512" spans="1:1" x14ac:dyDescent="0.25">
      <c r="A5512" t="s">
        <v>2714</v>
      </c>
    </row>
    <row r="5513" spans="1:1" x14ac:dyDescent="0.25">
      <c r="A5513" t="s">
        <v>2714</v>
      </c>
    </row>
    <row r="5514" spans="1:1" x14ac:dyDescent="0.25">
      <c r="A5514" t="s">
        <v>2714</v>
      </c>
    </row>
    <row r="5515" spans="1:1" x14ac:dyDescent="0.25">
      <c r="A5515" t="s">
        <v>2714</v>
      </c>
    </row>
    <row r="5516" spans="1:1" x14ac:dyDescent="0.25">
      <c r="A5516" t="s">
        <v>2714</v>
      </c>
    </row>
    <row r="5517" spans="1:1" x14ac:dyDescent="0.25">
      <c r="A5517" t="s">
        <v>2714</v>
      </c>
    </row>
    <row r="5518" spans="1:1" x14ac:dyDescent="0.25">
      <c r="A5518" t="s">
        <v>2714</v>
      </c>
    </row>
    <row r="5519" spans="1:1" x14ac:dyDescent="0.25">
      <c r="A5519" t="s">
        <v>2714</v>
      </c>
    </row>
    <row r="5520" spans="1:1" x14ac:dyDescent="0.25">
      <c r="A5520" t="s">
        <v>2714</v>
      </c>
    </row>
    <row r="5521" spans="1:1" x14ac:dyDescent="0.25">
      <c r="A5521" t="s">
        <v>2714</v>
      </c>
    </row>
    <row r="5522" spans="1:1" x14ac:dyDescent="0.25">
      <c r="A5522" t="s">
        <v>2714</v>
      </c>
    </row>
    <row r="5523" spans="1:1" x14ac:dyDescent="0.25">
      <c r="A5523" t="s">
        <v>2714</v>
      </c>
    </row>
    <row r="5524" spans="1:1" x14ac:dyDescent="0.25">
      <c r="A5524" t="s">
        <v>2714</v>
      </c>
    </row>
    <row r="5525" spans="1:1" x14ac:dyDescent="0.25">
      <c r="A5525" t="s">
        <v>2714</v>
      </c>
    </row>
    <row r="5526" spans="1:1" x14ac:dyDescent="0.25">
      <c r="A5526" t="s">
        <v>2714</v>
      </c>
    </row>
    <row r="5527" spans="1:1" x14ac:dyDescent="0.25">
      <c r="A5527" t="s">
        <v>2714</v>
      </c>
    </row>
    <row r="5528" spans="1:1" x14ac:dyDescent="0.25">
      <c r="A5528" t="s">
        <v>2714</v>
      </c>
    </row>
    <row r="5529" spans="1:1" x14ac:dyDescent="0.25">
      <c r="A5529" t="s">
        <v>2714</v>
      </c>
    </row>
    <row r="5530" spans="1:1" x14ac:dyDescent="0.25">
      <c r="A5530" t="s">
        <v>2714</v>
      </c>
    </row>
    <row r="5531" spans="1:1" x14ac:dyDescent="0.25">
      <c r="A5531" t="s">
        <v>2714</v>
      </c>
    </row>
    <row r="5532" spans="1:1" x14ac:dyDescent="0.25">
      <c r="A5532" t="s">
        <v>2714</v>
      </c>
    </row>
    <row r="5533" spans="1:1" x14ac:dyDescent="0.25">
      <c r="A5533" t="s">
        <v>2714</v>
      </c>
    </row>
    <row r="5534" spans="1:1" x14ac:dyDescent="0.25">
      <c r="A5534" t="s">
        <v>2714</v>
      </c>
    </row>
    <row r="5535" spans="1:1" x14ac:dyDescent="0.25">
      <c r="A5535" t="s">
        <v>2714</v>
      </c>
    </row>
    <row r="5536" spans="1:1" x14ac:dyDescent="0.25">
      <c r="A5536" t="s">
        <v>2714</v>
      </c>
    </row>
    <row r="5537" spans="1:1" x14ac:dyDescent="0.25">
      <c r="A5537" t="s">
        <v>2714</v>
      </c>
    </row>
    <row r="5538" spans="1:1" x14ac:dyDescent="0.25">
      <c r="A5538" t="s">
        <v>2714</v>
      </c>
    </row>
    <row r="5539" spans="1:1" x14ac:dyDescent="0.25">
      <c r="A5539" t="s">
        <v>2714</v>
      </c>
    </row>
    <row r="5540" spans="1:1" x14ac:dyDescent="0.25">
      <c r="A5540" t="s">
        <v>2714</v>
      </c>
    </row>
    <row r="5541" spans="1:1" x14ac:dyDescent="0.25">
      <c r="A5541" t="s">
        <v>2714</v>
      </c>
    </row>
    <row r="5542" spans="1:1" x14ac:dyDescent="0.25">
      <c r="A5542" t="s">
        <v>2714</v>
      </c>
    </row>
    <row r="5543" spans="1:1" x14ac:dyDescent="0.25">
      <c r="A5543" t="s">
        <v>2714</v>
      </c>
    </row>
    <row r="5544" spans="1:1" x14ac:dyDescent="0.25">
      <c r="A5544" t="s">
        <v>2714</v>
      </c>
    </row>
    <row r="5545" spans="1:1" x14ac:dyDescent="0.25">
      <c r="A5545" t="s">
        <v>2714</v>
      </c>
    </row>
    <row r="5546" spans="1:1" x14ac:dyDescent="0.25">
      <c r="A5546" t="s">
        <v>2686</v>
      </c>
    </row>
    <row r="5549" spans="1:1" x14ac:dyDescent="0.25">
      <c r="A5549" t="s">
        <v>3653</v>
      </c>
    </row>
    <row r="5550" spans="1:1" x14ac:dyDescent="0.25">
      <c r="A5550" t="s">
        <v>2713</v>
      </c>
    </row>
    <row r="5551" spans="1:1" x14ac:dyDescent="0.25">
      <c r="A5551" t="s">
        <v>2714</v>
      </c>
    </row>
    <row r="5552" spans="1:1" x14ac:dyDescent="0.25">
      <c r="A5552" t="s">
        <v>2714</v>
      </c>
    </row>
    <row r="5553" spans="1:1" x14ac:dyDescent="0.25">
      <c r="A5553" t="s">
        <v>2714</v>
      </c>
    </row>
    <row r="5554" spans="1:1" x14ac:dyDescent="0.25">
      <c r="A5554" t="s">
        <v>2714</v>
      </c>
    </row>
    <row r="5555" spans="1:1" x14ac:dyDescent="0.25">
      <c r="A5555" t="s">
        <v>2714</v>
      </c>
    </row>
    <row r="5556" spans="1:1" x14ac:dyDescent="0.25">
      <c r="A5556" t="s">
        <v>2714</v>
      </c>
    </row>
    <row r="5557" spans="1:1" x14ac:dyDescent="0.25">
      <c r="A5557" t="s">
        <v>2714</v>
      </c>
    </row>
    <row r="5558" spans="1:1" x14ac:dyDescent="0.25">
      <c r="A5558" t="s">
        <v>2714</v>
      </c>
    </row>
    <row r="5559" spans="1:1" x14ac:dyDescent="0.25">
      <c r="A5559" t="s">
        <v>2714</v>
      </c>
    </row>
    <row r="5560" spans="1:1" x14ac:dyDescent="0.25">
      <c r="A5560" t="s">
        <v>2714</v>
      </c>
    </row>
    <row r="5561" spans="1:1" x14ac:dyDescent="0.25">
      <c r="A5561" t="s">
        <v>2714</v>
      </c>
    </row>
    <row r="5562" spans="1:1" x14ac:dyDescent="0.25">
      <c r="A5562" t="s">
        <v>2714</v>
      </c>
    </row>
    <row r="5563" spans="1:1" x14ac:dyDescent="0.25">
      <c r="A5563" t="s">
        <v>2714</v>
      </c>
    </row>
    <row r="5564" spans="1:1" x14ac:dyDescent="0.25">
      <c r="A5564" t="s">
        <v>2714</v>
      </c>
    </row>
    <row r="5565" spans="1:1" x14ac:dyDescent="0.25">
      <c r="A5565" t="s">
        <v>2714</v>
      </c>
    </row>
    <row r="5566" spans="1:1" x14ac:dyDescent="0.25">
      <c r="A5566" t="s">
        <v>2714</v>
      </c>
    </row>
    <row r="5567" spans="1:1" x14ac:dyDescent="0.25">
      <c r="A5567" t="s">
        <v>2714</v>
      </c>
    </row>
    <row r="5568" spans="1:1" x14ac:dyDescent="0.25">
      <c r="A5568" t="s">
        <v>2714</v>
      </c>
    </row>
    <row r="5569" spans="1:1" x14ac:dyDescent="0.25">
      <c r="A5569" t="s">
        <v>2714</v>
      </c>
    </row>
    <row r="5570" spans="1:1" x14ac:dyDescent="0.25">
      <c r="A5570" t="s">
        <v>2714</v>
      </c>
    </row>
    <row r="5571" spans="1:1" x14ac:dyDescent="0.25">
      <c r="A5571" t="s">
        <v>2714</v>
      </c>
    </row>
    <row r="5572" spans="1:1" x14ac:dyDescent="0.25">
      <c r="A5572" t="s">
        <v>2714</v>
      </c>
    </row>
    <row r="5573" spans="1:1" x14ac:dyDescent="0.25">
      <c r="A5573" t="s">
        <v>2714</v>
      </c>
    </row>
    <row r="5574" spans="1:1" x14ac:dyDescent="0.25">
      <c r="A5574" t="s">
        <v>2714</v>
      </c>
    </row>
    <row r="5575" spans="1:1" x14ac:dyDescent="0.25">
      <c r="A5575" t="s">
        <v>2714</v>
      </c>
    </row>
    <row r="5576" spans="1:1" x14ac:dyDescent="0.25">
      <c r="A5576" t="s">
        <v>2714</v>
      </c>
    </row>
    <row r="5577" spans="1:1" x14ac:dyDescent="0.25">
      <c r="A5577" t="s">
        <v>2714</v>
      </c>
    </row>
    <row r="5578" spans="1:1" x14ac:dyDescent="0.25">
      <c r="A5578" t="s">
        <v>2714</v>
      </c>
    </row>
    <row r="5579" spans="1:1" x14ac:dyDescent="0.25">
      <c r="A5579" t="s">
        <v>2714</v>
      </c>
    </row>
    <row r="5580" spans="1:1" x14ac:dyDescent="0.25">
      <c r="A5580" t="s">
        <v>2714</v>
      </c>
    </row>
    <row r="5581" spans="1:1" x14ac:dyDescent="0.25">
      <c r="A5581" t="s">
        <v>2714</v>
      </c>
    </row>
    <row r="5582" spans="1:1" x14ac:dyDescent="0.25">
      <c r="A5582" t="s">
        <v>2714</v>
      </c>
    </row>
    <row r="5583" spans="1:1" x14ac:dyDescent="0.25">
      <c r="A5583" t="s">
        <v>2714</v>
      </c>
    </row>
    <row r="5584" spans="1:1" x14ac:dyDescent="0.25">
      <c r="A5584" t="s">
        <v>2714</v>
      </c>
    </row>
    <row r="5585" spans="1:1" x14ac:dyDescent="0.25">
      <c r="A5585" t="s">
        <v>2714</v>
      </c>
    </row>
    <row r="5586" spans="1:1" x14ac:dyDescent="0.25">
      <c r="A5586" t="s">
        <v>2714</v>
      </c>
    </row>
    <row r="5587" spans="1:1" x14ac:dyDescent="0.25">
      <c r="A5587" t="s">
        <v>2714</v>
      </c>
    </row>
    <row r="5588" spans="1:1" x14ac:dyDescent="0.25">
      <c r="A5588" t="s">
        <v>2714</v>
      </c>
    </row>
    <row r="5589" spans="1:1" x14ac:dyDescent="0.25">
      <c r="A5589" t="s">
        <v>2714</v>
      </c>
    </row>
    <row r="5590" spans="1:1" x14ac:dyDescent="0.25">
      <c r="A5590" t="s">
        <v>2714</v>
      </c>
    </row>
    <row r="5591" spans="1:1" x14ac:dyDescent="0.25">
      <c r="A5591" t="s">
        <v>2714</v>
      </c>
    </row>
    <row r="5592" spans="1:1" x14ac:dyDescent="0.25">
      <c r="A5592" t="s">
        <v>2714</v>
      </c>
    </row>
    <row r="5593" spans="1:1" x14ac:dyDescent="0.25">
      <c r="A5593" t="s">
        <v>2714</v>
      </c>
    </row>
    <row r="5594" spans="1:1" x14ac:dyDescent="0.25">
      <c r="A5594" t="s">
        <v>2714</v>
      </c>
    </row>
    <row r="5595" spans="1:1" x14ac:dyDescent="0.25">
      <c r="A5595" t="s">
        <v>2714</v>
      </c>
    </row>
    <row r="5596" spans="1:1" x14ac:dyDescent="0.25">
      <c r="A5596" t="s">
        <v>2714</v>
      </c>
    </row>
    <row r="5597" spans="1:1" x14ac:dyDescent="0.25">
      <c r="A5597" t="s">
        <v>2714</v>
      </c>
    </row>
    <row r="5598" spans="1:1" x14ac:dyDescent="0.25">
      <c r="A5598" t="s">
        <v>2714</v>
      </c>
    </row>
    <row r="5599" spans="1:1" x14ac:dyDescent="0.25">
      <c r="A5599" t="s">
        <v>2714</v>
      </c>
    </row>
    <row r="5600" spans="1:1" x14ac:dyDescent="0.25">
      <c r="A5600" t="s">
        <v>2714</v>
      </c>
    </row>
    <row r="5601" spans="1:1" x14ac:dyDescent="0.25">
      <c r="A5601" t="s">
        <v>2714</v>
      </c>
    </row>
    <row r="5602" spans="1:1" x14ac:dyDescent="0.25">
      <c r="A5602" t="s">
        <v>2714</v>
      </c>
    </row>
    <row r="5603" spans="1:1" x14ac:dyDescent="0.25">
      <c r="A5603" t="s">
        <v>2714</v>
      </c>
    </row>
    <row r="5604" spans="1:1" x14ac:dyDescent="0.25">
      <c r="A5604" t="s">
        <v>2714</v>
      </c>
    </row>
    <row r="5605" spans="1:1" x14ac:dyDescent="0.25">
      <c r="A5605" t="s">
        <v>2714</v>
      </c>
    </row>
    <row r="5606" spans="1:1" x14ac:dyDescent="0.25">
      <c r="A5606" t="s">
        <v>2714</v>
      </c>
    </row>
    <row r="5607" spans="1:1" x14ac:dyDescent="0.25">
      <c r="A5607" t="s">
        <v>2714</v>
      </c>
    </row>
    <row r="5608" spans="1:1" x14ac:dyDescent="0.25">
      <c r="A5608" t="s">
        <v>2714</v>
      </c>
    </row>
    <row r="5609" spans="1:1" x14ac:dyDescent="0.25">
      <c r="A5609" t="s">
        <v>2686</v>
      </c>
    </row>
    <row r="5612" spans="1:1" x14ac:dyDescent="0.25">
      <c r="A5612" t="s">
        <v>3654</v>
      </c>
    </row>
    <row r="5613" spans="1:1" x14ac:dyDescent="0.25">
      <c r="A5613" t="s">
        <v>3597</v>
      </c>
    </row>
    <row r="5614" spans="1:1" x14ac:dyDescent="0.25">
      <c r="A5614" t="s">
        <v>3483</v>
      </c>
    </row>
    <row r="5615" spans="1:1" x14ac:dyDescent="0.25">
      <c r="A5615" t="s">
        <v>3484</v>
      </c>
    </row>
    <row r="5616" spans="1:1" x14ac:dyDescent="0.25">
      <c r="A5616" t="s">
        <v>2713</v>
      </c>
    </row>
    <row r="5617" spans="1:1" x14ac:dyDescent="0.25">
      <c r="A5617" t="s">
        <v>2714</v>
      </c>
    </row>
    <row r="5618" spans="1:1" x14ac:dyDescent="0.25">
      <c r="A5618" t="s">
        <v>2714</v>
      </c>
    </row>
    <row r="5619" spans="1:1" x14ac:dyDescent="0.25">
      <c r="A5619" t="s">
        <v>2714</v>
      </c>
    </row>
    <row r="5620" spans="1:1" x14ac:dyDescent="0.25">
      <c r="A5620" t="s">
        <v>2714</v>
      </c>
    </row>
    <row r="5621" spans="1:1" x14ac:dyDescent="0.25">
      <c r="A5621" t="s">
        <v>2714</v>
      </c>
    </row>
    <row r="5622" spans="1:1" x14ac:dyDescent="0.25">
      <c r="A5622" t="s">
        <v>2714</v>
      </c>
    </row>
    <row r="5623" spans="1:1" x14ac:dyDescent="0.25">
      <c r="A5623" t="s">
        <v>2714</v>
      </c>
    </row>
    <row r="5624" spans="1:1" x14ac:dyDescent="0.25">
      <c r="A5624" t="s">
        <v>2714</v>
      </c>
    </row>
    <row r="5625" spans="1:1" x14ac:dyDescent="0.25">
      <c r="A5625" t="s">
        <v>2714</v>
      </c>
    </row>
    <row r="5626" spans="1:1" x14ac:dyDescent="0.25">
      <c r="A5626" t="s">
        <v>2714</v>
      </c>
    </row>
    <row r="5627" spans="1:1" x14ac:dyDescent="0.25">
      <c r="A5627" t="s">
        <v>2714</v>
      </c>
    </row>
    <row r="5628" spans="1:1" x14ac:dyDescent="0.25">
      <c r="A5628" t="s">
        <v>2714</v>
      </c>
    </row>
    <row r="5629" spans="1:1" x14ac:dyDescent="0.25">
      <c r="A5629" t="s">
        <v>2714</v>
      </c>
    </row>
    <row r="5630" spans="1:1" x14ac:dyDescent="0.25">
      <c r="A5630" t="s">
        <v>2714</v>
      </c>
    </row>
    <row r="5631" spans="1:1" x14ac:dyDescent="0.25">
      <c r="A5631" t="s">
        <v>2714</v>
      </c>
    </row>
    <row r="5632" spans="1:1" x14ac:dyDescent="0.25">
      <c r="A5632" t="s">
        <v>2714</v>
      </c>
    </row>
    <row r="5633" spans="1:1" x14ac:dyDescent="0.25">
      <c r="A5633" t="s">
        <v>2714</v>
      </c>
    </row>
    <row r="5634" spans="1:1" x14ac:dyDescent="0.25">
      <c r="A5634" t="s">
        <v>2714</v>
      </c>
    </row>
    <row r="5635" spans="1:1" x14ac:dyDescent="0.25">
      <c r="A5635" t="s">
        <v>2714</v>
      </c>
    </row>
    <row r="5636" spans="1:1" x14ac:dyDescent="0.25">
      <c r="A5636" t="s">
        <v>2714</v>
      </c>
    </row>
    <row r="5637" spans="1:1" x14ac:dyDescent="0.25">
      <c r="A5637" t="s">
        <v>2714</v>
      </c>
    </row>
    <row r="5638" spans="1:1" x14ac:dyDescent="0.25">
      <c r="A5638" t="s">
        <v>2714</v>
      </c>
    </row>
    <row r="5639" spans="1:1" x14ac:dyDescent="0.25">
      <c r="A5639" t="s">
        <v>2714</v>
      </c>
    </row>
    <row r="5640" spans="1:1" x14ac:dyDescent="0.25">
      <c r="A5640" t="s">
        <v>2714</v>
      </c>
    </row>
    <row r="5641" spans="1:1" x14ac:dyDescent="0.25">
      <c r="A5641" t="s">
        <v>2714</v>
      </c>
    </row>
    <row r="5642" spans="1:1" x14ac:dyDescent="0.25">
      <c r="A5642" t="s">
        <v>2714</v>
      </c>
    </row>
    <row r="5643" spans="1:1" x14ac:dyDescent="0.25">
      <c r="A5643" t="s">
        <v>2714</v>
      </c>
    </row>
    <row r="5644" spans="1:1" x14ac:dyDescent="0.25">
      <c r="A5644" t="s">
        <v>2714</v>
      </c>
    </row>
    <row r="5645" spans="1:1" x14ac:dyDescent="0.25">
      <c r="A5645" t="s">
        <v>2714</v>
      </c>
    </row>
    <row r="5646" spans="1:1" x14ac:dyDescent="0.25">
      <c r="A5646" t="s">
        <v>2714</v>
      </c>
    </row>
    <row r="5647" spans="1:1" x14ac:dyDescent="0.25">
      <c r="A5647" t="s">
        <v>2714</v>
      </c>
    </row>
    <row r="5648" spans="1:1" x14ac:dyDescent="0.25">
      <c r="A5648" t="s">
        <v>2714</v>
      </c>
    </row>
    <row r="5649" spans="1:1" x14ac:dyDescent="0.25">
      <c r="A5649" t="s">
        <v>2714</v>
      </c>
    </row>
    <row r="5650" spans="1:1" x14ac:dyDescent="0.25">
      <c r="A5650" t="s">
        <v>2714</v>
      </c>
    </row>
    <row r="5651" spans="1:1" x14ac:dyDescent="0.25">
      <c r="A5651" t="s">
        <v>2714</v>
      </c>
    </row>
    <row r="5652" spans="1:1" x14ac:dyDescent="0.25">
      <c r="A5652" t="s">
        <v>2714</v>
      </c>
    </row>
    <row r="5653" spans="1:1" x14ac:dyDescent="0.25">
      <c r="A5653" t="s">
        <v>2714</v>
      </c>
    </row>
    <row r="5654" spans="1:1" x14ac:dyDescent="0.25">
      <c r="A5654" t="s">
        <v>2714</v>
      </c>
    </row>
    <row r="5655" spans="1:1" x14ac:dyDescent="0.25">
      <c r="A5655" t="s">
        <v>2714</v>
      </c>
    </row>
    <row r="5656" spans="1:1" x14ac:dyDescent="0.25">
      <c r="A5656" t="s">
        <v>2714</v>
      </c>
    </row>
    <row r="5657" spans="1:1" x14ac:dyDescent="0.25">
      <c r="A5657" t="s">
        <v>2714</v>
      </c>
    </row>
    <row r="5658" spans="1:1" x14ac:dyDescent="0.25">
      <c r="A5658" t="s">
        <v>2714</v>
      </c>
    </row>
    <row r="5659" spans="1:1" x14ac:dyDescent="0.25">
      <c r="A5659" t="s">
        <v>2714</v>
      </c>
    </row>
    <row r="5660" spans="1:1" x14ac:dyDescent="0.25">
      <c r="A5660" t="s">
        <v>2714</v>
      </c>
    </row>
    <row r="5661" spans="1:1" x14ac:dyDescent="0.25">
      <c r="A5661" t="s">
        <v>2714</v>
      </c>
    </row>
    <row r="5662" spans="1:1" x14ac:dyDescent="0.25">
      <c r="A5662" t="s">
        <v>2714</v>
      </c>
    </row>
    <row r="5663" spans="1:1" x14ac:dyDescent="0.25">
      <c r="A5663" t="s">
        <v>2714</v>
      </c>
    </row>
    <row r="5664" spans="1:1" x14ac:dyDescent="0.25">
      <c r="A5664" t="s">
        <v>2714</v>
      </c>
    </row>
    <row r="5665" spans="1:1" x14ac:dyDescent="0.25">
      <c r="A5665" t="s">
        <v>2714</v>
      </c>
    </row>
    <row r="5666" spans="1:1" x14ac:dyDescent="0.25">
      <c r="A5666" t="s">
        <v>2714</v>
      </c>
    </row>
    <row r="5667" spans="1:1" x14ac:dyDescent="0.25">
      <c r="A5667" t="s">
        <v>2714</v>
      </c>
    </row>
    <row r="5668" spans="1:1" x14ac:dyDescent="0.25">
      <c r="A5668" t="s">
        <v>2714</v>
      </c>
    </row>
    <row r="5669" spans="1:1" x14ac:dyDescent="0.25">
      <c r="A5669" t="s">
        <v>2714</v>
      </c>
    </row>
    <row r="5670" spans="1:1" x14ac:dyDescent="0.25">
      <c r="A5670" t="s">
        <v>2714</v>
      </c>
    </row>
    <row r="5671" spans="1:1" x14ac:dyDescent="0.25">
      <c r="A5671" t="s">
        <v>2714</v>
      </c>
    </row>
    <row r="5672" spans="1:1" x14ac:dyDescent="0.25">
      <c r="A5672" t="s">
        <v>2686</v>
      </c>
    </row>
    <row r="5675" spans="1:1" x14ac:dyDescent="0.25">
      <c r="A5675" t="s">
        <v>3655</v>
      </c>
    </row>
    <row r="5676" spans="1:1" x14ac:dyDescent="0.25">
      <c r="A5676" t="s">
        <v>3656</v>
      </c>
    </row>
    <row r="5677" spans="1:1" x14ac:dyDescent="0.25">
      <c r="A5677" t="s">
        <v>3657</v>
      </c>
    </row>
    <row r="5678" spans="1:1" x14ac:dyDescent="0.25">
      <c r="A5678" t="s">
        <v>3658</v>
      </c>
    </row>
    <row r="5679" spans="1:1" x14ac:dyDescent="0.25">
      <c r="A5679" t="s">
        <v>3659</v>
      </c>
    </row>
    <row r="5680" spans="1:1" x14ac:dyDescent="0.25">
      <c r="A5680" t="s">
        <v>3660</v>
      </c>
    </row>
    <row r="5681" spans="1:1" x14ac:dyDescent="0.25">
      <c r="A5681" t="s">
        <v>3661</v>
      </c>
    </row>
    <row r="5682" spans="1:1" x14ac:dyDescent="0.25">
      <c r="A5682" t="s">
        <v>3662</v>
      </c>
    </row>
    <row r="5683" spans="1:1" x14ac:dyDescent="0.25">
      <c r="A5683" t="s">
        <v>3326</v>
      </c>
    </row>
    <row r="5684" spans="1:1" x14ac:dyDescent="0.25">
      <c r="A5684" t="s">
        <v>3326</v>
      </c>
    </row>
    <row r="5685" spans="1:1" x14ac:dyDescent="0.25">
      <c r="A5685" t="s">
        <v>3663</v>
      </c>
    </row>
    <row r="5686" spans="1:1" x14ac:dyDescent="0.25">
      <c r="A5686" t="s">
        <v>3664</v>
      </c>
    </row>
    <row r="5687" spans="1:1" x14ac:dyDescent="0.25">
      <c r="A5687" t="s">
        <v>3665</v>
      </c>
    </row>
    <row r="5688" spans="1:1" x14ac:dyDescent="0.25">
      <c r="A5688" t="s">
        <v>3666</v>
      </c>
    </row>
    <row r="5689" spans="1:1" x14ac:dyDescent="0.25">
      <c r="A5689" t="s">
        <v>3667</v>
      </c>
    </row>
    <row r="5690" spans="1:1" x14ac:dyDescent="0.25">
      <c r="A5690" t="s">
        <v>3668</v>
      </c>
    </row>
    <row r="5691" spans="1:1" x14ac:dyDescent="0.25">
      <c r="A5691" t="s">
        <v>3327</v>
      </c>
    </row>
    <row r="5692" spans="1:1" x14ac:dyDescent="0.25">
      <c r="A5692" t="s">
        <v>3669</v>
      </c>
    </row>
    <row r="5693" spans="1:1" x14ac:dyDescent="0.25">
      <c r="A5693" t="s">
        <v>3323</v>
      </c>
    </row>
    <row r="5694" spans="1:1" x14ac:dyDescent="0.25">
      <c r="A5694" t="s">
        <v>3670</v>
      </c>
    </row>
    <row r="5695" spans="1:1" x14ac:dyDescent="0.25">
      <c r="A5695" t="s">
        <v>3671</v>
      </c>
    </row>
    <row r="5696" spans="1:1" x14ac:dyDescent="0.25">
      <c r="A5696" t="s">
        <v>2713</v>
      </c>
    </row>
    <row r="5697" spans="1:1" x14ac:dyDescent="0.25">
      <c r="A5697" t="s">
        <v>2714</v>
      </c>
    </row>
    <row r="5698" spans="1:1" x14ac:dyDescent="0.25">
      <c r="A5698" t="s">
        <v>2714</v>
      </c>
    </row>
    <row r="5699" spans="1:1" x14ac:dyDescent="0.25">
      <c r="A5699" t="s">
        <v>2714</v>
      </c>
    </row>
    <row r="5700" spans="1:1" x14ac:dyDescent="0.25">
      <c r="A5700" t="s">
        <v>2714</v>
      </c>
    </row>
    <row r="5701" spans="1:1" x14ac:dyDescent="0.25">
      <c r="A5701" t="s">
        <v>2714</v>
      </c>
    </row>
    <row r="5702" spans="1:1" x14ac:dyDescent="0.25">
      <c r="A5702" t="s">
        <v>2714</v>
      </c>
    </row>
    <row r="5703" spans="1:1" x14ac:dyDescent="0.25">
      <c r="A5703" t="s">
        <v>2714</v>
      </c>
    </row>
    <row r="5704" spans="1:1" x14ac:dyDescent="0.25">
      <c r="A5704" t="s">
        <v>2714</v>
      </c>
    </row>
    <row r="5705" spans="1:1" x14ac:dyDescent="0.25">
      <c r="A5705" t="s">
        <v>2714</v>
      </c>
    </row>
    <row r="5706" spans="1:1" x14ac:dyDescent="0.25">
      <c r="A5706" t="s">
        <v>2714</v>
      </c>
    </row>
    <row r="5707" spans="1:1" x14ac:dyDescent="0.25">
      <c r="A5707" t="s">
        <v>2714</v>
      </c>
    </row>
    <row r="5708" spans="1:1" x14ac:dyDescent="0.25">
      <c r="A5708" t="s">
        <v>2714</v>
      </c>
    </row>
    <row r="5709" spans="1:1" x14ac:dyDescent="0.25">
      <c r="A5709" t="s">
        <v>2714</v>
      </c>
    </row>
    <row r="5710" spans="1:1" x14ac:dyDescent="0.25">
      <c r="A5710" t="s">
        <v>2714</v>
      </c>
    </row>
    <row r="5711" spans="1:1" x14ac:dyDescent="0.25">
      <c r="A5711" t="s">
        <v>2714</v>
      </c>
    </row>
    <row r="5712" spans="1:1" x14ac:dyDescent="0.25">
      <c r="A5712" t="s">
        <v>2714</v>
      </c>
    </row>
    <row r="5713" spans="1:1" x14ac:dyDescent="0.25">
      <c r="A5713" t="s">
        <v>2714</v>
      </c>
    </row>
    <row r="5714" spans="1:1" x14ac:dyDescent="0.25">
      <c r="A5714" t="s">
        <v>2714</v>
      </c>
    </row>
    <row r="5715" spans="1:1" x14ac:dyDescent="0.25">
      <c r="A5715" t="s">
        <v>2714</v>
      </c>
    </row>
    <row r="5716" spans="1:1" x14ac:dyDescent="0.25">
      <c r="A5716" t="s">
        <v>2714</v>
      </c>
    </row>
    <row r="5717" spans="1:1" x14ac:dyDescent="0.25">
      <c r="A5717" t="s">
        <v>2714</v>
      </c>
    </row>
    <row r="5718" spans="1:1" x14ac:dyDescent="0.25">
      <c r="A5718" t="s">
        <v>2714</v>
      </c>
    </row>
    <row r="5719" spans="1:1" x14ac:dyDescent="0.25">
      <c r="A5719" t="s">
        <v>2714</v>
      </c>
    </row>
    <row r="5720" spans="1:1" x14ac:dyDescent="0.25">
      <c r="A5720" t="s">
        <v>2714</v>
      </c>
    </row>
    <row r="5721" spans="1:1" x14ac:dyDescent="0.25">
      <c r="A5721" t="s">
        <v>2714</v>
      </c>
    </row>
    <row r="5722" spans="1:1" x14ac:dyDescent="0.25">
      <c r="A5722" t="s">
        <v>2714</v>
      </c>
    </row>
    <row r="5723" spans="1:1" x14ac:dyDescent="0.25">
      <c r="A5723" t="s">
        <v>2714</v>
      </c>
    </row>
    <row r="5724" spans="1:1" x14ac:dyDescent="0.25">
      <c r="A5724" t="s">
        <v>2714</v>
      </c>
    </row>
    <row r="5725" spans="1:1" x14ac:dyDescent="0.25">
      <c r="A5725" t="s">
        <v>2714</v>
      </c>
    </row>
    <row r="5726" spans="1:1" x14ac:dyDescent="0.25">
      <c r="A5726" t="s">
        <v>2714</v>
      </c>
    </row>
    <row r="5727" spans="1:1" x14ac:dyDescent="0.25">
      <c r="A5727" t="s">
        <v>2714</v>
      </c>
    </row>
    <row r="5728" spans="1:1" x14ac:dyDescent="0.25">
      <c r="A5728" t="s">
        <v>2714</v>
      </c>
    </row>
    <row r="5729" spans="1:1" x14ac:dyDescent="0.25">
      <c r="A5729" t="s">
        <v>2714</v>
      </c>
    </row>
    <row r="5730" spans="1:1" x14ac:dyDescent="0.25">
      <c r="A5730" t="s">
        <v>2714</v>
      </c>
    </row>
    <row r="5731" spans="1:1" x14ac:dyDescent="0.25">
      <c r="A5731" t="s">
        <v>2714</v>
      </c>
    </row>
    <row r="5732" spans="1:1" x14ac:dyDescent="0.25">
      <c r="A5732" t="s">
        <v>2714</v>
      </c>
    </row>
    <row r="5733" spans="1:1" x14ac:dyDescent="0.25">
      <c r="A5733" t="s">
        <v>2714</v>
      </c>
    </row>
    <row r="5734" spans="1:1" x14ac:dyDescent="0.25">
      <c r="A5734" t="s">
        <v>2714</v>
      </c>
    </row>
    <row r="5735" spans="1:1" x14ac:dyDescent="0.25">
      <c r="A5735" t="s">
        <v>2686</v>
      </c>
    </row>
    <row r="5738" spans="1:1" x14ac:dyDescent="0.25">
      <c r="A5738" t="s">
        <v>3672</v>
      </c>
    </row>
    <row r="5739" spans="1:1" x14ac:dyDescent="0.25">
      <c r="A5739" t="s">
        <v>3673</v>
      </c>
    </row>
    <row r="5740" spans="1:1" x14ac:dyDescent="0.25">
      <c r="A5740" t="s">
        <v>3674</v>
      </c>
    </row>
    <row r="5741" spans="1:1" x14ac:dyDescent="0.25">
      <c r="A5741" t="s">
        <v>3675</v>
      </c>
    </row>
    <row r="5742" spans="1:1" x14ac:dyDescent="0.25">
      <c r="A5742" t="s">
        <v>3676</v>
      </c>
    </row>
    <row r="5743" spans="1:1" x14ac:dyDescent="0.25">
      <c r="A5743" t="s">
        <v>3677</v>
      </c>
    </row>
    <row r="5744" spans="1:1" x14ac:dyDescent="0.25">
      <c r="A5744" t="s">
        <v>2713</v>
      </c>
    </row>
    <row r="5745" spans="1:1" x14ac:dyDescent="0.25">
      <c r="A5745" t="s">
        <v>2714</v>
      </c>
    </row>
    <row r="5746" spans="1:1" x14ac:dyDescent="0.25">
      <c r="A5746" t="s">
        <v>2714</v>
      </c>
    </row>
    <row r="5747" spans="1:1" x14ac:dyDescent="0.25">
      <c r="A5747" t="s">
        <v>2714</v>
      </c>
    </row>
    <row r="5748" spans="1:1" x14ac:dyDescent="0.25">
      <c r="A5748" t="s">
        <v>2714</v>
      </c>
    </row>
    <row r="5749" spans="1:1" x14ac:dyDescent="0.25">
      <c r="A5749" t="s">
        <v>2714</v>
      </c>
    </row>
    <row r="5750" spans="1:1" x14ac:dyDescent="0.25">
      <c r="A5750" t="s">
        <v>2714</v>
      </c>
    </row>
    <row r="5751" spans="1:1" x14ac:dyDescent="0.25">
      <c r="A5751" t="s">
        <v>2714</v>
      </c>
    </row>
    <row r="5752" spans="1:1" x14ac:dyDescent="0.25">
      <c r="A5752" t="s">
        <v>2714</v>
      </c>
    </row>
    <row r="5753" spans="1:1" x14ac:dyDescent="0.25">
      <c r="A5753" t="s">
        <v>2714</v>
      </c>
    </row>
    <row r="5754" spans="1:1" x14ac:dyDescent="0.25">
      <c r="A5754" t="s">
        <v>2714</v>
      </c>
    </row>
    <row r="5755" spans="1:1" x14ac:dyDescent="0.25">
      <c r="A5755" t="s">
        <v>2714</v>
      </c>
    </row>
    <row r="5756" spans="1:1" x14ac:dyDescent="0.25">
      <c r="A5756" t="s">
        <v>2714</v>
      </c>
    </row>
    <row r="5757" spans="1:1" x14ac:dyDescent="0.25">
      <c r="A5757" t="s">
        <v>2714</v>
      </c>
    </row>
    <row r="5758" spans="1:1" x14ac:dyDescent="0.25">
      <c r="A5758" t="s">
        <v>2714</v>
      </c>
    </row>
    <row r="5759" spans="1:1" x14ac:dyDescent="0.25">
      <c r="A5759" t="s">
        <v>2714</v>
      </c>
    </row>
    <row r="5760" spans="1:1" x14ac:dyDescent="0.25">
      <c r="A5760" t="s">
        <v>2714</v>
      </c>
    </row>
    <row r="5761" spans="1:1" x14ac:dyDescent="0.25">
      <c r="A5761" t="s">
        <v>2714</v>
      </c>
    </row>
    <row r="5762" spans="1:1" x14ac:dyDescent="0.25">
      <c r="A5762" t="s">
        <v>2714</v>
      </c>
    </row>
    <row r="5763" spans="1:1" x14ac:dyDescent="0.25">
      <c r="A5763" t="s">
        <v>2714</v>
      </c>
    </row>
    <row r="5764" spans="1:1" x14ac:dyDescent="0.25">
      <c r="A5764" t="s">
        <v>2714</v>
      </c>
    </row>
    <row r="5765" spans="1:1" x14ac:dyDescent="0.25">
      <c r="A5765" t="s">
        <v>2714</v>
      </c>
    </row>
    <row r="5766" spans="1:1" x14ac:dyDescent="0.25">
      <c r="A5766" t="s">
        <v>2714</v>
      </c>
    </row>
    <row r="5767" spans="1:1" x14ac:dyDescent="0.25">
      <c r="A5767" t="s">
        <v>2714</v>
      </c>
    </row>
    <row r="5768" spans="1:1" x14ac:dyDescent="0.25">
      <c r="A5768" t="s">
        <v>2714</v>
      </c>
    </row>
    <row r="5769" spans="1:1" x14ac:dyDescent="0.25">
      <c r="A5769" t="s">
        <v>2714</v>
      </c>
    </row>
    <row r="5770" spans="1:1" x14ac:dyDescent="0.25">
      <c r="A5770" t="s">
        <v>2714</v>
      </c>
    </row>
    <row r="5771" spans="1:1" x14ac:dyDescent="0.25">
      <c r="A5771" t="s">
        <v>2714</v>
      </c>
    </row>
    <row r="5772" spans="1:1" x14ac:dyDescent="0.25">
      <c r="A5772" t="s">
        <v>2714</v>
      </c>
    </row>
    <row r="5773" spans="1:1" x14ac:dyDescent="0.25">
      <c r="A5773" t="s">
        <v>2714</v>
      </c>
    </row>
    <row r="5774" spans="1:1" x14ac:dyDescent="0.25">
      <c r="A5774" t="s">
        <v>2714</v>
      </c>
    </row>
    <row r="5775" spans="1:1" x14ac:dyDescent="0.25">
      <c r="A5775" t="s">
        <v>2714</v>
      </c>
    </row>
    <row r="5776" spans="1:1" x14ac:dyDescent="0.25">
      <c r="A5776" t="s">
        <v>2714</v>
      </c>
    </row>
    <row r="5777" spans="1:1" x14ac:dyDescent="0.25">
      <c r="A5777" t="s">
        <v>2714</v>
      </c>
    </row>
    <row r="5778" spans="1:1" x14ac:dyDescent="0.25">
      <c r="A5778" t="s">
        <v>2714</v>
      </c>
    </row>
    <row r="5779" spans="1:1" x14ac:dyDescent="0.25">
      <c r="A5779" t="s">
        <v>2714</v>
      </c>
    </row>
    <row r="5780" spans="1:1" x14ac:dyDescent="0.25">
      <c r="A5780" t="s">
        <v>2714</v>
      </c>
    </row>
    <row r="5781" spans="1:1" x14ac:dyDescent="0.25">
      <c r="A5781" t="s">
        <v>2714</v>
      </c>
    </row>
    <row r="5782" spans="1:1" x14ac:dyDescent="0.25">
      <c r="A5782" t="s">
        <v>2714</v>
      </c>
    </row>
    <row r="5783" spans="1:1" x14ac:dyDescent="0.25">
      <c r="A5783" t="s">
        <v>2714</v>
      </c>
    </row>
    <row r="5784" spans="1:1" x14ac:dyDescent="0.25">
      <c r="A5784" t="s">
        <v>2714</v>
      </c>
    </row>
    <row r="5785" spans="1:1" x14ac:dyDescent="0.25">
      <c r="A5785" t="s">
        <v>2714</v>
      </c>
    </row>
    <row r="5786" spans="1:1" x14ac:dyDescent="0.25">
      <c r="A5786" t="s">
        <v>2714</v>
      </c>
    </row>
    <row r="5787" spans="1:1" x14ac:dyDescent="0.25">
      <c r="A5787" t="s">
        <v>2714</v>
      </c>
    </row>
    <row r="5788" spans="1:1" x14ac:dyDescent="0.25">
      <c r="A5788" t="s">
        <v>2714</v>
      </c>
    </row>
    <row r="5789" spans="1:1" x14ac:dyDescent="0.25">
      <c r="A5789" t="s">
        <v>2714</v>
      </c>
    </row>
    <row r="5790" spans="1:1" x14ac:dyDescent="0.25">
      <c r="A5790" t="s">
        <v>2714</v>
      </c>
    </row>
    <row r="5791" spans="1:1" x14ac:dyDescent="0.25">
      <c r="A5791" t="s">
        <v>2714</v>
      </c>
    </row>
    <row r="5792" spans="1:1" x14ac:dyDescent="0.25">
      <c r="A5792" t="s">
        <v>2714</v>
      </c>
    </row>
    <row r="5793" spans="1:1" x14ac:dyDescent="0.25">
      <c r="A5793" t="s">
        <v>2714</v>
      </c>
    </row>
    <row r="5794" spans="1:1" x14ac:dyDescent="0.25">
      <c r="A5794" t="s">
        <v>2714</v>
      </c>
    </row>
    <row r="5795" spans="1:1" x14ac:dyDescent="0.25">
      <c r="A5795" t="s">
        <v>2714</v>
      </c>
    </row>
    <row r="5796" spans="1:1" x14ac:dyDescent="0.25">
      <c r="A5796" t="s">
        <v>2714</v>
      </c>
    </row>
    <row r="5797" spans="1:1" x14ac:dyDescent="0.25">
      <c r="A5797" t="s">
        <v>2714</v>
      </c>
    </row>
    <row r="5798" spans="1:1" x14ac:dyDescent="0.25">
      <c r="A5798" t="s">
        <v>2686</v>
      </c>
    </row>
    <row r="5801" spans="1:1" x14ac:dyDescent="0.25">
      <c r="A5801" t="s">
        <v>3678</v>
      </c>
    </row>
    <row r="5802" spans="1:1" x14ac:dyDescent="0.25">
      <c r="A5802" t="s">
        <v>3420</v>
      </c>
    </row>
    <row r="5803" spans="1:1" x14ac:dyDescent="0.25">
      <c r="A5803" t="s">
        <v>3421</v>
      </c>
    </row>
    <row r="5804" spans="1:1" x14ac:dyDescent="0.25">
      <c r="A5804" t="s">
        <v>3421</v>
      </c>
    </row>
    <row r="5805" spans="1:1" x14ac:dyDescent="0.25">
      <c r="A5805" t="s">
        <v>3422</v>
      </c>
    </row>
    <row r="5806" spans="1:1" x14ac:dyDescent="0.25">
      <c r="A5806" t="s">
        <v>3423</v>
      </c>
    </row>
    <row r="5807" spans="1:1" x14ac:dyDescent="0.25">
      <c r="A5807" t="s">
        <v>3423</v>
      </c>
    </row>
    <row r="5808" spans="1:1" x14ac:dyDescent="0.25">
      <c r="A5808" t="s">
        <v>3424</v>
      </c>
    </row>
    <row r="5809" spans="1:1" x14ac:dyDescent="0.25">
      <c r="A5809" t="s">
        <v>3425</v>
      </c>
    </row>
    <row r="5810" spans="1:1" x14ac:dyDescent="0.25">
      <c r="A5810" t="s">
        <v>3426</v>
      </c>
    </row>
    <row r="5811" spans="1:1" x14ac:dyDescent="0.25">
      <c r="A5811" t="s">
        <v>3427</v>
      </c>
    </row>
    <row r="5812" spans="1:1" x14ac:dyDescent="0.25">
      <c r="A5812" t="s">
        <v>3428</v>
      </c>
    </row>
    <row r="5813" spans="1:1" x14ac:dyDescent="0.25">
      <c r="A5813" t="s">
        <v>3429</v>
      </c>
    </row>
    <row r="5814" spans="1:1" x14ac:dyDescent="0.25">
      <c r="A5814" t="s">
        <v>3430</v>
      </c>
    </row>
    <row r="5815" spans="1:1" x14ac:dyDescent="0.25">
      <c r="A5815" t="s">
        <v>3431</v>
      </c>
    </row>
    <row r="5816" spans="1:1" x14ac:dyDescent="0.25">
      <c r="A5816" t="s">
        <v>3432</v>
      </c>
    </row>
    <row r="5817" spans="1:1" x14ac:dyDescent="0.25">
      <c r="A5817" t="s">
        <v>3432</v>
      </c>
    </row>
    <row r="5818" spans="1:1" x14ac:dyDescent="0.25">
      <c r="A5818" t="s">
        <v>3433</v>
      </c>
    </row>
    <row r="5819" spans="1:1" x14ac:dyDescent="0.25">
      <c r="A5819" t="s">
        <v>3434</v>
      </c>
    </row>
    <row r="5820" spans="1:1" x14ac:dyDescent="0.25">
      <c r="A5820" t="s">
        <v>3435</v>
      </c>
    </row>
    <row r="5821" spans="1:1" x14ac:dyDescent="0.25">
      <c r="A5821" t="s">
        <v>3373</v>
      </c>
    </row>
    <row r="5822" spans="1:1" x14ac:dyDescent="0.25">
      <c r="A5822" t="s">
        <v>3374</v>
      </c>
    </row>
    <row r="5823" spans="1:1" x14ac:dyDescent="0.25">
      <c r="A5823" t="s">
        <v>3436</v>
      </c>
    </row>
    <row r="5824" spans="1:1" x14ac:dyDescent="0.25">
      <c r="A5824" t="s">
        <v>3437</v>
      </c>
    </row>
    <row r="5825" spans="1:1" x14ac:dyDescent="0.25">
      <c r="A5825" t="s">
        <v>3376</v>
      </c>
    </row>
    <row r="5826" spans="1:1" x14ac:dyDescent="0.25">
      <c r="A5826" t="s">
        <v>3438</v>
      </c>
    </row>
    <row r="5827" spans="1:1" x14ac:dyDescent="0.25">
      <c r="A5827" t="s">
        <v>3378</v>
      </c>
    </row>
    <row r="5828" spans="1:1" x14ac:dyDescent="0.25">
      <c r="A5828" t="s">
        <v>3382</v>
      </c>
    </row>
    <row r="5829" spans="1:1" x14ac:dyDescent="0.25">
      <c r="A5829" t="s">
        <v>3382</v>
      </c>
    </row>
    <row r="5830" spans="1:1" x14ac:dyDescent="0.25">
      <c r="A5830" t="s">
        <v>3679</v>
      </c>
    </row>
    <row r="5831" spans="1:1" x14ac:dyDescent="0.25">
      <c r="A5831" t="s">
        <v>3679</v>
      </c>
    </row>
    <row r="5832" spans="1:1" x14ac:dyDescent="0.25">
      <c r="A5832" t="s">
        <v>2713</v>
      </c>
    </row>
    <row r="5833" spans="1:1" x14ac:dyDescent="0.25">
      <c r="A5833" t="s">
        <v>2714</v>
      </c>
    </row>
    <row r="5834" spans="1:1" x14ac:dyDescent="0.25">
      <c r="A5834" t="s">
        <v>2714</v>
      </c>
    </row>
    <row r="5835" spans="1:1" x14ac:dyDescent="0.25">
      <c r="A5835" t="s">
        <v>2714</v>
      </c>
    </row>
    <row r="5836" spans="1:1" x14ac:dyDescent="0.25">
      <c r="A5836" t="s">
        <v>2714</v>
      </c>
    </row>
    <row r="5837" spans="1:1" x14ac:dyDescent="0.25">
      <c r="A5837" t="s">
        <v>2714</v>
      </c>
    </row>
    <row r="5838" spans="1:1" x14ac:dyDescent="0.25">
      <c r="A5838" t="s">
        <v>2714</v>
      </c>
    </row>
    <row r="5839" spans="1:1" x14ac:dyDescent="0.25">
      <c r="A5839" t="s">
        <v>2714</v>
      </c>
    </row>
    <row r="5840" spans="1:1" x14ac:dyDescent="0.25">
      <c r="A5840" t="s">
        <v>2714</v>
      </c>
    </row>
    <row r="5841" spans="1:1" x14ac:dyDescent="0.25">
      <c r="A5841" t="s">
        <v>2714</v>
      </c>
    </row>
    <row r="5842" spans="1:1" x14ac:dyDescent="0.25">
      <c r="A5842" t="s">
        <v>2714</v>
      </c>
    </row>
    <row r="5843" spans="1:1" x14ac:dyDescent="0.25">
      <c r="A5843" t="s">
        <v>2714</v>
      </c>
    </row>
    <row r="5844" spans="1:1" x14ac:dyDescent="0.25">
      <c r="A5844" t="s">
        <v>2714</v>
      </c>
    </row>
    <row r="5845" spans="1:1" x14ac:dyDescent="0.25">
      <c r="A5845" t="s">
        <v>2714</v>
      </c>
    </row>
    <row r="5846" spans="1:1" x14ac:dyDescent="0.25">
      <c r="A5846" t="s">
        <v>2714</v>
      </c>
    </row>
    <row r="5847" spans="1:1" x14ac:dyDescent="0.25">
      <c r="A5847" t="s">
        <v>2714</v>
      </c>
    </row>
    <row r="5848" spans="1:1" x14ac:dyDescent="0.25">
      <c r="A5848" t="s">
        <v>2714</v>
      </c>
    </row>
    <row r="5849" spans="1:1" x14ac:dyDescent="0.25">
      <c r="A5849" t="s">
        <v>2714</v>
      </c>
    </row>
    <row r="5850" spans="1:1" x14ac:dyDescent="0.25">
      <c r="A5850" t="s">
        <v>2714</v>
      </c>
    </row>
    <row r="5851" spans="1:1" x14ac:dyDescent="0.25">
      <c r="A5851" t="s">
        <v>2714</v>
      </c>
    </row>
    <row r="5852" spans="1:1" x14ac:dyDescent="0.25">
      <c r="A5852" t="s">
        <v>2714</v>
      </c>
    </row>
    <row r="5853" spans="1:1" x14ac:dyDescent="0.25">
      <c r="A5853" t="s">
        <v>2714</v>
      </c>
    </row>
    <row r="5854" spans="1:1" x14ac:dyDescent="0.25">
      <c r="A5854" t="s">
        <v>2714</v>
      </c>
    </row>
    <row r="5855" spans="1:1" x14ac:dyDescent="0.25">
      <c r="A5855" t="s">
        <v>2714</v>
      </c>
    </row>
    <row r="5856" spans="1:1" x14ac:dyDescent="0.25">
      <c r="A5856" t="s">
        <v>2714</v>
      </c>
    </row>
    <row r="5857" spans="1:1" x14ac:dyDescent="0.25">
      <c r="A5857" t="s">
        <v>2714</v>
      </c>
    </row>
    <row r="5858" spans="1:1" x14ac:dyDescent="0.25">
      <c r="A5858" t="s">
        <v>2714</v>
      </c>
    </row>
    <row r="5859" spans="1:1" x14ac:dyDescent="0.25">
      <c r="A5859" t="s">
        <v>2714</v>
      </c>
    </row>
    <row r="5860" spans="1:1" x14ac:dyDescent="0.25">
      <c r="A5860" t="s">
        <v>2714</v>
      </c>
    </row>
    <row r="5861" spans="1:1" x14ac:dyDescent="0.25">
      <c r="A5861" t="s">
        <v>2686</v>
      </c>
    </row>
    <row r="5864" spans="1:1" x14ac:dyDescent="0.25">
      <c r="A5864" t="s">
        <v>3680</v>
      </c>
    </row>
    <row r="5865" spans="1:1" x14ac:dyDescent="0.25">
      <c r="A5865" t="s">
        <v>3337</v>
      </c>
    </row>
    <row r="5866" spans="1:1" x14ac:dyDescent="0.25">
      <c r="A5866" t="s">
        <v>3338</v>
      </c>
    </row>
    <row r="5867" spans="1:1" x14ac:dyDescent="0.25">
      <c r="A5867" t="s">
        <v>3681</v>
      </c>
    </row>
    <row r="5868" spans="1:1" x14ac:dyDescent="0.25">
      <c r="A5868" t="s">
        <v>3682</v>
      </c>
    </row>
    <row r="5869" spans="1:1" x14ac:dyDescent="0.25">
      <c r="A5869" t="s">
        <v>2713</v>
      </c>
    </row>
    <row r="5870" spans="1:1" x14ac:dyDescent="0.25">
      <c r="A5870" t="s">
        <v>2714</v>
      </c>
    </row>
    <row r="5871" spans="1:1" x14ac:dyDescent="0.25">
      <c r="A5871" t="s">
        <v>2714</v>
      </c>
    </row>
    <row r="5872" spans="1:1" x14ac:dyDescent="0.25">
      <c r="A5872" t="s">
        <v>2714</v>
      </c>
    </row>
    <row r="5873" spans="1:1" x14ac:dyDescent="0.25">
      <c r="A5873" t="s">
        <v>2714</v>
      </c>
    </row>
    <row r="5874" spans="1:1" x14ac:dyDescent="0.25">
      <c r="A5874" t="s">
        <v>2714</v>
      </c>
    </row>
    <row r="5875" spans="1:1" x14ac:dyDescent="0.25">
      <c r="A5875" t="s">
        <v>2714</v>
      </c>
    </row>
    <row r="5876" spans="1:1" x14ac:dyDescent="0.25">
      <c r="A5876" t="s">
        <v>2714</v>
      </c>
    </row>
    <row r="5877" spans="1:1" x14ac:dyDescent="0.25">
      <c r="A5877" t="s">
        <v>2714</v>
      </c>
    </row>
    <row r="5878" spans="1:1" x14ac:dyDescent="0.25">
      <c r="A5878" t="s">
        <v>2714</v>
      </c>
    </row>
    <row r="5879" spans="1:1" x14ac:dyDescent="0.25">
      <c r="A5879" t="s">
        <v>2714</v>
      </c>
    </row>
    <row r="5880" spans="1:1" x14ac:dyDescent="0.25">
      <c r="A5880" t="s">
        <v>2714</v>
      </c>
    </row>
    <row r="5881" spans="1:1" x14ac:dyDescent="0.25">
      <c r="A5881" t="s">
        <v>2714</v>
      </c>
    </row>
    <row r="5882" spans="1:1" x14ac:dyDescent="0.25">
      <c r="A5882" t="s">
        <v>2714</v>
      </c>
    </row>
    <row r="5883" spans="1:1" x14ac:dyDescent="0.25">
      <c r="A5883" t="s">
        <v>2714</v>
      </c>
    </row>
    <row r="5884" spans="1:1" x14ac:dyDescent="0.25">
      <c r="A5884" t="s">
        <v>2714</v>
      </c>
    </row>
    <row r="5885" spans="1:1" x14ac:dyDescent="0.25">
      <c r="A5885" t="s">
        <v>2714</v>
      </c>
    </row>
    <row r="5886" spans="1:1" x14ac:dyDescent="0.25">
      <c r="A5886" t="s">
        <v>2714</v>
      </c>
    </row>
    <row r="5887" spans="1:1" x14ac:dyDescent="0.25">
      <c r="A5887" t="s">
        <v>2714</v>
      </c>
    </row>
    <row r="5888" spans="1:1" x14ac:dyDescent="0.25">
      <c r="A5888" t="s">
        <v>2714</v>
      </c>
    </row>
    <row r="5889" spans="1:1" x14ac:dyDescent="0.25">
      <c r="A5889" t="s">
        <v>2714</v>
      </c>
    </row>
    <row r="5890" spans="1:1" x14ac:dyDescent="0.25">
      <c r="A5890" t="s">
        <v>2714</v>
      </c>
    </row>
    <row r="5891" spans="1:1" x14ac:dyDescent="0.25">
      <c r="A5891" t="s">
        <v>2714</v>
      </c>
    </row>
    <row r="5892" spans="1:1" x14ac:dyDescent="0.25">
      <c r="A5892" t="s">
        <v>2714</v>
      </c>
    </row>
    <row r="5893" spans="1:1" x14ac:dyDescent="0.25">
      <c r="A5893" t="s">
        <v>2714</v>
      </c>
    </row>
    <row r="5894" spans="1:1" x14ac:dyDescent="0.25">
      <c r="A5894" t="s">
        <v>2714</v>
      </c>
    </row>
    <row r="5895" spans="1:1" x14ac:dyDescent="0.25">
      <c r="A5895" t="s">
        <v>2714</v>
      </c>
    </row>
    <row r="5896" spans="1:1" x14ac:dyDescent="0.25">
      <c r="A5896" t="s">
        <v>2714</v>
      </c>
    </row>
    <row r="5897" spans="1:1" x14ac:dyDescent="0.25">
      <c r="A5897" t="s">
        <v>2714</v>
      </c>
    </row>
    <row r="5898" spans="1:1" x14ac:dyDescent="0.25">
      <c r="A5898" t="s">
        <v>2714</v>
      </c>
    </row>
    <row r="5899" spans="1:1" x14ac:dyDescent="0.25">
      <c r="A5899" t="s">
        <v>2714</v>
      </c>
    </row>
    <row r="5900" spans="1:1" x14ac:dyDescent="0.25">
      <c r="A5900" t="s">
        <v>2714</v>
      </c>
    </row>
    <row r="5901" spans="1:1" x14ac:dyDescent="0.25">
      <c r="A5901" t="s">
        <v>2714</v>
      </c>
    </row>
    <row r="5902" spans="1:1" x14ac:dyDescent="0.25">
      <c r="A5902" t="s">
        <v>2714</v>
      </c>
    </row>
    <row r="5903" spans="1:1" x14ac:dyDescent="0.25">
      <c r="A5903" t="s">
        <v>2714</v>
      </c>
    </row>
    <row r="5904" spans="1:1" x14ac:dyDescent="0.25">
      <c r="A5904" t="s">
        <v>2714</v>
      </c>
    </row>
    <row r="5905" spans="1:1" x14ac:dyDescent="0.25">
      <c r="A5905" t="s">
        <v>2714</v>
      </c>
    </row>
    <row r="5906" spans="1:1" x14ac:dyDescent="0.25">
      <c r="A5906" t="s">
        <v>2714</v>
      </c>
    </row>
    <row r="5907" spans="1:1" x14ac:dyDescent="0.25">
      <c r="A5907" t="s">
        <v>2714</v>
      </c>
    </row>
    <row r="5908" spans="1:1" x14ac:dyDescent="0.25">
      <c r="A5908" t="s">
        <v>2714</v>
      </c>
    </row>
    <row r="5909" spans="1:1" x14ac:dyDescent="0.25">
      <c r="A5909" t="s">
        <v>2714</v>
      </c>
    </row>
    <row r="5910" spans="1:1" x14ac:dyDescent="0.25">
      <c r="A5910" t="s">
        <v>2714</v>
      </c>
    </row>
    <row r="5911" spans="1:1" x14ac:dyDescent="0.25">
      <c r="A5911" t="s">
        <v>2714</v>
      </c>
    </row>
    <row r="5912" spans="1:1" x14ac:dyDescent="0.25">
      <c r="A5912" t="s">
        <v>2714</v>
      </c>
    </row>
    <row r="5913" spans="1:1" x14ac:dyDescent="0.25">
      <c r="A5913" t="s">
        <v>2714</v>
      </c>
    </row>
    <row r="5914" spans="1:1" x14ac:dyDescent="0.25">
      <c r="A5914" t="s">
        <v>2714</v>
      </c>
    </row>
    <row r="5915" spans="1:1" x14ac:dyDescent="0.25">
      <c r="A5915" t="s">
        <v>2714</v>
      </c>
    </row>
    <row r="5916" spans="1:1" x14ac:dyDescent="0.25">
      <c r="A5916" t="s">
        <v>2714</v>
      </c>
    </row>
    <row r="5917" spans="1:1" x14ac:dyDescent="0.25">
      <c r="A5917" t="s">
        <v>2714</v>
      </c>
    </row>
    <row r="5918" spans="1:1" x14ac:dyDescent="0.25">
      <c r="A5918" t="s">
        <v>2714</v>
      </c>
    </row>
    <row r="5919" spans="1:1" x14ac:dyDescent="0.25">
      <c r="A5919" t="s">
        <v>2714</v>
      </c>
    </row>
    <row r="5920" spans="1:1" x14ac:dyDescent="0.25">
      <c r="A5920" t="s">
        <v>2714</v>
      </c>
    </row>
    <row r="5921" spans="1:1" x14ac:dyDescent="0.25">
      <c r="A5921" t="s">
        <v>2714</v>
      </c>
    </row>
    <row r="5922" spans="1:1" x14ac:dyDescent="0.25">
      <c r="A5922" t="s">
        <v>2714</v>
      </c>
    </row>
    <row r="5923" spans="1:1" x14ac:dyDescent="0.25">
      <c r="A5923" t="s">
        <v>2714</v>
      </c>
    </row>
    <row r="5924" spans="1:1" x14ac:dyDescent="0.25">
      <c r="A5924" t="s">
        <v>2686</v>
      </c>
    </row>
    <row r="5927" spans="1:1" x14ac:dyDescent="0.25">
      <c r="A5927" t="s">
        <v>3683</v>
      </c>
    </row>
    <row r="5928" spans="1:1" x14ac:dyDescent="0.25">
      <c r="A5928" t="s">
        <v>2713</v>
      </c>
    </row>
    <row r="5929" spans="1:1" x14ac:dyDescent="0.25">
      <c r="A5929" t="s">
        <v>2714</v>
      </c>
    </row>
    <row r="5930" spans="1:1" x14ac:dyDescent="0.25">
      <c r="A5930" t="s">
        <v>2714</v>
      </c>
    </row>
    <row r="5931" spans="1:1" x14ac:dyDescent="0.25">
      <c r="A5931" t="s">
        <v>2714</v>
      </c>
    </row>
    <row r="5932" spans="1:1" x14ac:dyDescent="0.25">
      <c r="A5932" t="s">
        <v>2714</v>
      </c>
    </row>
    <row r="5933" spans="1:1" x14ac:dyDescent="0.25">
      <c r="A5933" t="s">
        <v>2714</v>
      </c>
    </row>
    <row r="5934" spans="1:1" x14ac:dyDescent="0.25">
      <c r="A5934" t="s">
        <v>2714</v>
      </c>
    </row>
    <row r="5935" spans="1:1" x14ac:dyDescent="0.25">
      <c r="A5935" t="s">
        <v>2714</v>
      </c>
    </row>
    <row r="5936" spans="1:1" x14ac:dyDescent="0.25">
      <c r="A5936" t="s">
        <v>2714</v>
      </c>
    </row>
    <row r="5937" spans="1:1" x14ac:dyDescent="0.25">
      <c r="A5937" t="s">
        <v>2714</v>
      </c>
    </row>
    <row r="5938" spans="1:1" x14ac:dyDescent="0.25">
      <c r="A5938" t="s">
        <v>2714</v>
      </c>
    </row>
    <row r="5939" spans="1:1" x14ac:dyDescent="0.25">
      <c r="A5939" t="s">
        <v>2714</v>
      </c>
    </row>
    <row r="5940" spans="1:1" x14ac:dyDescent="0.25">
      <c r="A5940" t="s">
        <v>2714</v>
      </c>
    </row>
    <row r="5941" spans="1:1" x14ac:dyDescent="0.25">
      <c r="A5941" t="s">
        <v>2714</v>
      </c>
    </row>
    <row r="5942" spans="1:1" x14ac:dyDescent="0.25">
      <c r="A5942" t="s">
        <v>2714</v>
      </c>
    </row>
    <row r="5943" spans="1:1" x14ac:dyDescent="0.25">
      <c r="A5943" t="s">
        <v>2714</v>
      </c>
    </row>
    <row r="5944" spans="1:1" x14ac:dyDescent="0.25">
      <c r="A5944" t="s">
        <v>2714</v>
      </c>
    </row>
    <row r="5945" spans="1:1" x14ac:dyDescent="0.25">
      <c r="A5945" t="s">
        <v>2714</v>
      </c>
    </row>
    <row r="5946" spans="1:1" x14ac:dyDescent="0.25">
      <c r="A5946" t="s">
        <v>2714</v>
      </c>
    </row>
    <row r="5947" spans="1:1" x14ac:dyDescent="0.25">
      <c r="A5947" t="s">
        <v>2714</v>
      </c>
    </row>
    <row r="5948" spans="1:1" x14ac:dyDescent="0.25">
      <c r="A5948" t="s">
        <v>2714</v>
      </c>
    </row>
    <row r="5949" spans="1:1" x14ac:dyDescent="0.25">
      <c r="A5949" t="s">
        <v>2714</v>
      </c>
    </row>
    <row r="5950" spans="1:1" x14ac:dyDescent="0.25">
      <c r="A5950" t="s">
        <v>2714</v>
      </c>
    </row>
    <row r="5951" spans="1:1" x14ac:dyDescent="0.25">
      <c r="A5951" t="s">
        <v>2714</v>
      </c>
    </row>
    <row r="5952" spans="1:1" x14ac:dyDescent="0.25">
      <c r="A5952" t="s">
        <v>2714</v>
      </c>
    </row>
    <row r="5953" spans="1:1" x14ac:dyDescent="0.25">
      <c r="A5953" t="s">
        <v>2714</v>
      </c>
    </row>
    <row r="5954" spans="1:1" x14ac:dyDescent="0.25">
      <c r="A5954" t="s">
        <v>2714</v>
      </c>
    </row>
    <row r="5955" spans="1:1" x14ac:dyDescent="0.25">
      <c r="A5955" t="s">
        <v>2714</v>
      </c>
    </row>
    <row r="5956" spans="1:1" x14ac:dyDescent="0.25">
      <c r="A5956" t="s">
        <v>2714</v>
      </c>
    </row>
    <row r="5957" spans="1:1" x14ac:dyDescent="0.25">
      <c r="A5957" t="s">
        <v>2714</v>
      </c>
    </row>
    <row r="5958" spans="1:1" x14ac:dyDescent="0.25">
      <c r="A5958" t="s">
        <v>2714</v>
      </c>
    </row>
    <row r="5959" spans="1:1" x14ac:dyDescent="0.25">
      <c r="A5959" t="s">
        <v>2714</v>
      </c>
    </row>
    <row r="5960" spans="1:1" x14ac:dyDescent="0.25">
      <c r="A5960" t="s">
        <v>2714</v>
      </c>
    </row>
    <row r="5961" spans="1:1" x14ac:dyDescent="0.25">
      <c r="A5961" t="s">
        <v>2714</v>
      </c>
    </row>
    <row r="5962" spans="1:1" x14ac:dyDescent="0.25">
      <c r="A5962" t="s">
        <v>2714</v>
      </c>
    </row>
    <row r="5963" spans="1:1" x14ac:dyDescent="0.25">
      <c r="A5963" t="s">
        <v>2714</v>
      </c>
    </row>
    <row r="5964" spans="1:1" x14ac:dyDescent="0.25">
      <c r="A5964" t="s">
        <v>2714</v>
      </c>
    </row>
    <row r="5965" spans="1:1" x14ac:dyDescent="0.25">
      <c r="A5965" t="s">
        <v>2714</v>
      </c>
    </row>
    <row r="5966" spans="1:1" x14ac:dyDescent="0.25">
      <c r="A5966" t="s">
        <v>2714</v>
      </c>
    </row>
    <row r="5967" spans="1:1" x14ac:dyDescent="0.25">
      <c r="A5967" t="s">
        <v>2714</v>
      </c>
    </row>
    <row r="5968" spans="1:1" x14ac:dyDescent="0.25">
      <c r="A5968" t="s">
        <v>2714</v>
      </c>
    </row>
    <row r="5969" spans="1:1" x14ac:dyDescent="0.25">
      <c r="A5969" t="s">
        <v>2714</v>
      </c>
    </row>
    <row r="5970" spans="1:1" x14ac:dyDescent="0.25">
      <c r="A5970" t="s">
        <v>2714</v>
      </c>
    </row>
    <row r="5971" spans="1:1" x14ac:dyDescent="0.25">
      <c r="A5971" t="s">
        <v>2714</v>
      </c>
    </row>
    <row r="5972" spans="1:1" x14ac:dyDescent="0.25">
      <c r="A5972" t="s">
        <v>2714</v>
      </c>
    </row>
    <row r="5973" spans="1:1" x14ac:dyDescent="0.25">
      <c r="A5973" t="s">
        <v>2714</v>
      </c>
    </row>
    <row r="5974" spans="1:1" x14ac:dyDescent="0.25">
      <c r="A5974" t="s">
        <v>2714</v>
      </c>
    </row>
    <row r="5975" spans="1:1" x14ac:dyDescent="0.25">
      <c r="A5975" t="s">
        <v>2714</v>
      </c>
    </row>
    <row r="5976" spans="1:1" x14ac:dyDescent="0.25">
      <c r="A5976" t="s">
        <v>2714</v>
      </c>
    </row>
    <row r="5977" spans="1:1" x14ac:dyDescent="0.25">
      <c r="A5977" t="s">
        <v>2714</v>
      </c>
    </row>
    <row r="5978" spans="1:1" x14ac:dyDescent="0.25">
      <c r="A5978" t="s">
        <v>2714</v>
      </c>
    </row>
    <row r="5979" spans="1:1" x14ac:dyDescent="0.25">
      <c r="A5979" t="s">
        <v>2714</v>
      </c>
    </row>
    <row r="5980" spans="1:1" x14ac:dyDescent="0.25">
      <c r="A5980" t="s">
        <v>2714</v>
      </c>
    </row>
    <row r="5981" spans="1:1" x14ac:dyDescent="0.25">
      <c r="A5981" t="s">
        <v>2714</v>
      </c>
    </row>
    <row r="5982" spans="1:1" x14ac:dyDescent="0.25">
      <c r="A5982" t="s">
        <v>2714</v>
      </c>
    </row>
    <row r="5983" spans="1:1" x14ac:dyDescent="0.25">
      <c r="A5983" t="s">
        <v>2714</v>
      </c>
    </row>
    <row r="5984" spans="1:1" x14ac:dyDescent="0.25">
      <c r="A5984" t="s">
        <v>2714</v>
      </c>
    </row>
    <row r="5985" spans="1:1" x14ac:dyDescent="0.25">
      <c r="A5985" t="s">
        <v>2714</v>
      </c>
    </row>
    <row r="5986" spans="1:1" x14ac:dyDescent="0.25">
      <c r="A5986" t="s">
        <v>2714</v>
      </c>
    </row>
    <row r="5987" spans="1:1" x14ac:dyDescent="0.25">
      <c r="A5987" t="s">
        <v>2686</v>
      </c>
    </row>
    <row r="5990" spans="1:1" x14ac:dyDescent="0.25">
      <c r="A5990" t="s">
        <v>3684</v>
      </c>
    </row>
    <row r="5991" spans="1:1" x14ac:dyDescent="0.25">
      <c r="A5991" t="s">
        <v>3685</v>
      </c>
    </row>
    <row r="5992" spans="1:1" x14ac:dyDescent="0.25">
      <c r="A5992" t="s">
        <v>2688</v>
      </c>
    </row>
    <row r="5993" spans="1:1" x14ac:dyDescent="0.25">
      <c r="A5993" t="s">
        <v>2689</v>
      </c>
    </row>
    <row r="5994" spans="1:1" x14ac:dyDescent="0.25">
      <c r="A5994" t="s">
        <v>2690</v>
      </c>
    </row>
    <row r="5995" spans="1:1" x14ac:dyDescent="0.25">
      <c r="A5995" t="s">
        <v>2691</v>
      </c>
    </row>
    <row r="5996" spans="1:1" x14ac:dyDescent="0.25">
      <c r="A5996" t="s">
        <v>2692</v>
      </c>
    </row>
    <row r="5997" spans="1:1" x14ac:dyDescent="0.25">
      <c r="A5997" t="s">
        <v>2693</v>
      </c>
    </row>
    <row r="5998" spans="1:1" x14ac:dyDescent="0.25">
      <c r="A5998" t="s">
        <v>2694</v>
      </c>
    </row>
    <row r="5999" spans="1:1" x14ac:dyDescent="0.25">
      <c r="A5999" t="s">
        <v>2694</v>
      </c>
    </row>
    <row r="6000" spans="1:1" x14ac:dyDescent="0.25">
      <c r="A6000" t="s">
        <v>2695</v>
      </c>
    </row>
    <row r="6001" spans="1:1" x14ac:dyDescent="0.25">
      <c r="A6001" t="s">
        <v>2696</v>
      </c>
    </row>
    <row r="6002" spans="1:1" x14ac:dyDescent="0.25">
      <c r="A6002" t="s">
        <v>2697</v>
      </c>
    </row>
    <row r="6003" spans="1:1" x14ac:dyDescent="0.25">
      <c r="A6003" t="s">
        <v>2698</v>
      </c>
    </row>
    <row r="6004" spans="1:1" x14ac:dyDescent="0.25">
      <c r="A6004" t="s">
        <v>2699</v>
      </c>
    </row>
    <row r="6005" spans="1:1" x14ac:dyDescent="0.25">
      <c r="A6005" t="s">
        <v>3686</v>
      </c>
    </row>
    <row r="6006" spans="1:1" x14ac:dyDescent="0.25">
      <c r="A6006" t="s">
        <v>3687</v>
      </c>
    </row>
    <row r="6007" spans="1:1" x14ac:dyDescent="0.25">
      <c r="A6007" t="s">
        <v>3688</v>
      </c>
    </row>
    <row r="6008" spans="1:1" x14ac:dyDescent="0.25">
      <c r="A6008" t="s">
        <v>2840</v>
      </c>
    </row>
    <row r="6009" spans="1:1" x14ac:dyDescent="0.25">
      <c r="A6009" t="s">
        <v>3689</v>
      </c>
    </row>
    <row r="6010" spans="1:1" x14ac:dyDescent="0.25">
      <c r="A6010" t="s">
        <v>3690</v>
      </c>
    </row>
    <row r="6011" spans="1:1" x14ac:dyDescent="0.25">
      <c r="A6011" t="s">
        <v>3691</v>
      </c>
    </row>
    <row r="6012" spans="1:1" x14ac:dyDescent="0.25">
      <c r="A6012" t="s">
        <v>3692</v>
      </c>
    </row>
    <row r="6013" spans="1:1" x14ac:dyDescent="0.25">
      <c r="A6013" t="s">
        <v>3693</v>
      </c>
    </row>
    <row r="6014" spans="1:1" x14ac:dyDescent="0.25">
      <c r="A6014" t="s">
        <v>3388</v>
      </c>
    </row>
    <row r="6015" spans="1:1" x14ac:dyDescent="0.25">
      <c r="A6015" t="s">
        <v>2711</v>
      </c>
    </row>
    <row r="6016" spans="1:1" x14ac:dyDescent="0.25">
      <c r="A6016" t="s">
        <v>2713</v>
      </c>
    </row>
    <row r="6017" spans="1:1" x14ac:dyDescent="0.25">
      <c r="A6017" t="s">
        <v>2714</v>
      </c>
    </row>
    <row r="6018" spans="1:1" x14ac:dyDescent="0.25">
      <c r="A6018" t="s">
        <v>2714</v>
      </c>
    </row>
    <row r="6019" spans="1:1" x14ac:dyDescent="0.25">
      <c r="A6019" t="s">
        <v>2714</v>
      </c>
    </row>
    <row r="6020" spans="1:1" x14ac:dyDescent="0.25">
      <c r="A6020" t="s">
        <v>2714</v>
      </c>
    </row>
    <row r="6021" spans="1:1" x14ac:dyDescent="0.25">
      <c r="A6021" t="s">
        <v>2714</v>
      </c>
    </row>
    <row r="6022" spans="1:1" x14ac:dyDescent="0.25">
      <c r="A6022" t="s">
        <v>2714</v>
      </c>
    </row>
    <row r="6023" spans="1:1" x14ac:dyDescent="0.25">
      <c r="A6023" t="s">
        <v>2714</v>
      </c>
    </row>
    <row r="6024" spans="1:1" x14ac:dyDescent="0.25">
      <c r="A6024" t="s">
        <v>2714</v>
      </c>
    </row>
    <row r="6025" spans="1:1" x14ac:dyDescent="0.25">
      <c r="A6025" t="s">
        <v>2714</v>
      </c>
    </row>
    <row r="6026" spans="1:1" x14ac:dyDescent="0.25">
      <c r="A6026" t="s">
        <v>2714</v>
      </c>
    </row>
    <row r="6027" spans="1:1" x14ac:dyDescent="0.25">
      <c r="A6027" t="s">
        <v>2714</v>
      </c>
    </row>
    <row r="6028" spans="1:1" x14ac:dyDescent="0.25">
      <c r="A6028" t="s">
        <v>2714</v>
      </c>
    </row>
    <row r="6029" spans="1:1" x14ac:dyDescent="0.25">
      <c r="A6029" t="s">
        <v>2714</v>
      </c>
    </row>
    <row r="6030" spans="1:1" x14ac:dyDescent="0.25">
      <c r="A6030" t="s">
        <v>2714</v>
      </c>
    </row>
    <row r="6031" spans="1:1" x14ac:dyDescent="0.25">
      <c r="A6031" t="s">
        <v>2714</v>
      </c>
    </row>
    <row r="6032" spans="1:1" x14ac:dyDescent="0.25">
      <c r="A6032" t="s">
        <v>2714</v>
      </c>
    </row>
    <row r="6033" spans="1:1" x14ac:dyDescent="0.25">
      <c r="A6033" t="s">
        <v>2714</v>
      </c>
    </row>
    <row r="6034" spans="1:1" x14ac:dyDescent="0.25">
      <c r="A6034" t="s">
        <v>2714</v>
      </c>
    </row>
    <row r="6035" spans="1:1" x14ac:dyDescent="0.25">
      <c r="A6035" t="s">
        <v>2714</v>
      </c>
    </row>
    <row r="6036" spans="1:1" x14ac:dyDescent="0.25">
      <c r="A6036" t="s">
        <v>2714</v>
      </c>
    </row>
    <row r="6037" spans="1:1" x14ac:dyDescent="0.25">
      <c r="A6037" t="s">
        <v>2714</v>
      </c>
    </row>
    <row r="6038" spans="1:1" x14ac:dyDescent="0.25">
      <c r="A6038" t="s">
        <v>2714</v>
      </c>
    </row>
    <row r="6039" spans="1:1" x14ac:dyDescent="0.25">
      <c r="A6039" t="s">
        <v>2714</v>
      </c>
    </row>
    <row r="6040" spans="1:1" x14ac:dyDescent="0.25">
      <c r="A6040" t="s">
        <v>2714</v>
      </c>
    </row>
    <row r="6041" spans="1:1" x14ac:dyDescent="0.25">
      <c r="A6041" t="s">
        <v>2714</v>
      </c>
    </row>
    <row r="6042" spans="1:1" x14ac:dyDescent="0.25">
      <c r="A6042" t="s">
        <v>2714</v>
      </c>
    </row>
    <row r="6043" spans="1:1" x14ac:dyDescent="0.25">
      <c r="A6043" t="s">
        <v>2714</v>
      </c>
    </row>
    <row r="6044" spans="1:1" x14ac:dyDescent="0.25">
      <c r="A6044" t="s">
        <v>2714</v>
      </c>
    </row>
    <row r="6045" spans="1:1" x14ac:dyDescent="0.25">
      <c r="A6045" t="s">
        <v>2714</v>
      </c>
    </row>
    <row r="6046" spans="1:1" x14ac:dyDescent="0.25">
      <c r="A6046" t="s">
        <v>2714</v>
      </c>
    </row>
    <row r="6047" spans="1:1" x14ac:dyDescent="0.25">
      <c r="A6047" t="s">
        <v>2714</v>
      </c>
    </row>
    <row r="6048" spans="1:1" x14ac:dyDescent="0.25">
      <c r="A6048" t="s">
        <v>2714</v>
      </c>
    </row>
    <row r="6049" spans="1:1" x14ac:dyDescent="0.25">
      <c r="A6049" t="s">
        <v>2714</v>
      </c>
    </row>
    <row r="6050" spans="1:1" x14ac:dyDescent="0.25">
      <c r="A6050" t="s">
        <v>2686</v>
      </c>
    </row>
    <row r="6053" spans="1:1" x14ac:dyDescent="0.25">
      <c r="A6053" t="s">
        <v>3694</v>
      </c>
    </row>
    <row r="6054" spans="1:1" x14ac:dyDescent="0.25">
      <c r="A6054" t="s">
        <v>3695</v>
      </c>
    </row>
    <row r="6055" spans="1:1" x14ac:dyDescent="0.25">
      <c r="A6055" t="s">
        <v>3696</v>
      </c>
    </row>
    <row r="6056" spans="1:1" x14ac:dyDescent="0.25">
      <c r="A6056" t="s">
        <v>3697</v>
      </c>
    </row>
    <row r="6057" spans="1:1" x14ac:dyDescent="0.25">
      <c r="A6057" t="s">
        <v>3698</v>
      </c>
    </row>
    <row r="6058" spans="1:1" x14ac:dyDescent="0.25">
      <c r="A6058" t="s">
        <v>3225</v>
      </c>
    </row>
    <row r="6059" spans="1:1" x14ac:dyDescent="0.25">
      <c r="A6059" t="s">
        <v>3226</v>
      </c>
    </row>
    <row r="6060" spans="1:1" x14ac:dyDescent="0.25">
      <c r="A6060" t="s">
        <v>3227</v>
      </c>
    </row>
    <row r="6061" spans="1:1" x14ac:dyDescent="0.25">
      <c r="A6061" t="s">
        <v>3228</v>
      </c>
    </row>
    <row r="6062" spans="1:1" x14ac:dyDescent="0.25">
      <c r="A6062" t="s">
        <v>3229</v>
      </c>
    </row>
    <row r="6063" spans="1:1" x14ac:dyDescent="0.25">
      <c r="A6063" t="s">
        <v>3699</v>
      </c>
    </row>
    <row r="6064" spans="1:1" x14ac:dyDescent="0.25">
      <c r="A6064" t="s">
        <v>3700</v>
      </c>
    </row>
    <row r="6065" spans="1:1" x14ac:dyDescent="0.25">
      <c r="A6065" t="s">
        <v>3701</v>
      </c>
    </row>
    <row r="6066" spans="1:1" x14ac:dyDescent="0.25">
      <c r="A6066" t="s">
        <v>3702</v>
      </c>
    </row>
    <row r="6067" spans="1:1" x14ac:dyDescent="0.25">
      <c r="A6067" t="s">
        <v>2713</v>
      </c>
    </row>
    <row r="6068" spans="1:1" x14ac:dyDescent="0.25">
      <c r="A6068" t="s">
        <v>2714</v>
      </c>
    </row>
    <row r="6069" spans="1:1" x14ac:dyDescent="0.25">
      <c r="A6069" t="s">
        <v>2714</v>
      </c>
    </row>
    <row r="6070" spans="1:1" x14ac:dyDescent="0.25">
      <c r="A6070" t="s">
        <v>2714</v>
      </c>
    </row>
    <row r="6071" spans="1:1" x14ac:dyDescent="0.25">
      <c r="A6071" t="s">
        <v>2714</v>
      </c>
    </row>
    <row r="6072" spans="1:1" x14ac:dyDescent="0.25">
      <c r="A6072" t="s">
        <v>2714</v>
      </c>
    </row>
    <row r="6073" spans="1:1" x14ac:dyDescent="0.25">
      <c r="A6073" t="s">
        <v>2714</v>
      </c>
    </row>
    <row r="6074" spans="1:1" x14ac:dyDescent="0.25">
      <c r="A6074" t="s">
        <v>2714</v>
      </c>
    </row>
    <row r="6075" spans="1:1" x14ac:dyDescent="0.25">
      <c r="A6075" t="s">
        <v>2714</v>
      </c>
    </row>
    <row r="6076" spans="1:1" x14ac:dyDescent="0.25">
      <c r="A6076" t="s">
        <v>2714</v>
      </c>
    </row>
    <row r="6077" spans="1:1" x14ac:dyDescent="0.25">
      <c r="A6077" t="s">
        <v>2714</v>
      </c>
    </row>
    <row r="6078" spans="1:1" x14ac:dyDescent="0.25">
      <c r="A6078" t="s">
        <v>2714</v>
      </c>
    </row>
    <row r="6079" spans="1:1" x14ac:dyDescent="0.25">
      <c r="A6079" t="s">
        <v>2714</v>
      </c>
    </row>
    <row r="6080" spans="1:1" x14ac:dyDescent="0.25">
      <c r="A6080" t="s">
        <v>2714</v>
      </c>
    </row>
    <row r="6081" spans="1:1" x14ac:dyDescent="0.25">
      <c r="A6081" t="s">
        <v>2714</v>
      </c>
    </row>
    <row r="6082" spans="1:1" x14ac:dyDescent="0.25">
      <c r="A6082" t="s">
        <v>2714</v>
      </c>
    </row>
    <row r="6083" spans="1:1" x14ac:dyDescent="0.25">
      <c r="A6083" t="s">
        <v>2714</v>
      </c>
    </row>
    <row r="6084" spans="1:1" x14ac:dyDescent="0.25">
      <c r="A6084" t="s">
        <v>2714</v>
      </c>
    </row>
    <row r="6085" spans="1:1" x14ac:dyDescent="0.25">
      <c r="A6085" t="s">
        <v>2714</v>
      </c>
    </row>
    <row r="6086" spans="1:1" x14ac:dyDescent="0.25">
      <c r="A6086" t="s">
        <v>2714</v>
      </c>
    </row>
    <row r="6087" spans="1:1" x14ac:dyDescent="0.25">
      <c r="A6087" t="s">
        <v>2714</v>
      </c>
    </row>
    <row r="6088" spans="1:1" x14ac:dyDescent="0.25">
      <c r="A6088" t="s">
        <v>2714</v>
      </c>
    </row>
    <row r="6089" spans="1:1" x14ac:dyDescent="0.25">
      <c r="A6089" t="s">
        <v>2714</v>
      </c>
    </row>
    <row r="6090" spans="1:1" x14ac:dyDescent="0.25">
      <c r="A6090" t="s">
        <v>2714</v>
      </c>
    </row>
    <row r="6091" spans="1:1" x14ac:dyDescent="0.25">
      <c r="A6091" t="s">
        <v>2714</v>
      </c>
    </row>
    <row r="6092" spans="1:1" x14ac:dyDescent="0.25">
      <c r="A6092" t="s">
        <v>2714</v>
      </c>
    </row>
    <row r="6093" spans="1:1" x14ac:dyDescent="0.25">
      <c r="A6093" t="s">
        <v>2714</v>
      </c>
    </row>
    <row r="6094" spans="1:1" x14ac:dyDescent="0.25">
      <c r="A6094" t="s">
        <v>2714</v>
      </c>
    </row>
    <row r="6095" spans="1:1" x14ac:dyDescent="0.25">
      <c r="A6095" t="s">
        <v>2714</v>
      </c>
    </row>
    <row r="6096" spans="1:1" x14ac:dyDescent="0.25">
      <c r="A6096" t="s">
        <v>2714</v>
      </c>
    </row>
    <row r="6097" spans="1:1" x14ac:dyDescent="0.25">
      <c r="A6097" t="s">
        <v>2714</v>
      </c>
    </row>
    <row r="6098" spans="1:1" x14ac:dyDescent="0.25">
      <c r="A6098" t="s">
        <v>2714</v>
      </c>
    </row>
    <row r="6099" spans="1:1" x14ac:dyDescent="0.25">
      <c r="A6099" t="s">
        <v>2714</v>
      </c>
    </row>
    <row r="6100" spans="1:1" x14ac:dyDescent="0.25">
      <c r="A6100" t="s">
        <v>2714</v>
      </c>
    </row>
    <row r="6101" spans="1:1" x14ac:dyDescent="0.25">
      <c r="A6101" t="s">
        <v>2714</v>
      </c>
    </row>
    <row r="6102" spans="1:1" x14ac:dyDescent="0.25">
      <c r="A6102" t="s">
        <v>2714</v>
      </c>
    </row>
    <row r="6103" spans="1:1" x14ac:dyDescent="0.25">
      <c r="A6103" t="s">
        <v>2714</v>
      </c>
    </row>
    <row r="6104" spans="1:1" x14ac:dyDescent="0.25">
      <c r="A6104" t="s">
        <v>2714</v>
      </c>
    </row>
    <row r="6105" spans="1:1" x14ac:dyDescent="0.25">
      <c r="A6105" t="s">
        <v>2714</v>
      </c>
    </row>
    <row r="6106" spans="1:1" x14ac:dyDescent="0.25">
      <c r="A6106" t="s">
        <v>2714</v>
      </c>
    </row>
    <row r="6107" spans="1:1" x14ac:dyDescent="0.25">
      <c r="A6107" t="s">
        <v>2714</v>
      </c>
    </row>
    <row r="6108" spans="1:1" x14ac:dyDescent="0.25">
      <c r="A6108" t="s">
        <v>2714</v>
      </c>
    </row>
    <row r="6109" spans="1:1" x14ac:dyDescent="0.25">
      <c r="A6109" t="s">
        <v>2714</v>
      </c>
    </row>
    <row r="6110" spans="1:1" x14ac:dyDescent="0.25">
      <c r="A6110" t="s">
        <v>2714</v>
      </c>
    </row>
    <row r="6111" spans="1:1" x14ac:dyDescent="0.25">
      <c r="A6111" t="s">
        <v>2714</v>
      </c>
    </row>
    <row r="6112" spans="1:1" x14ac:dyDescent="0.25">
      <c r="A6112" t="s">
        <v>2714</v>
      </c>
    </row>
    <row r="6113" spans="1:1" x14ac:dyDescent="0.25">
      <c r="A6113" t="s">
        <v>2686</v>
      </c>
    </row>
    <row r="6116" spans="1:1" x14ac:dyDescent="0.25">
      <c r="A6116" t="s">
        <v>3703</v>
      </c>
    </row>
    <row r="6117" spans="1:1" x14ac:dyDescent="0.25">
      <c r="A6117" t="s">
        <v>3051</v>
      </c>
    </row>
    <row r="6118" spans="1:1" x14ac:dyDescent="0.25">
      <c r="A6118" t="s">
        <v>3704</v>
      </c>
    </row>
    <row r="6119" spans="1:1" x14ac:dyDescent="0.25">
      <c r="A6119" t="s">
        <v>3705</v>
      </c>
    </row>
    <row r="6120" spans="1:1" x14ac:dyDescent="0.25">
      <c r="A6120" t="s">
        <v>3706</v>
      </c>
    </row>
    <row r="6121" spans="1:1" x14ac:dyDescent="0.25">
      <c r="A6121" t="s">
        <v>3707</v>
      </c>
    </row>
    <row r="6122" spans="1:1" x14ac:dyDescent="0.25">
      <c r="A6122" t="s">
        <v>3052</v>
      </c>
    </row>
    <row r="6123" spans="1:1" x14ac:dyDescent="0.25">
      <c r="A6123" t="s">
        <v>3053</v>
      </c>
    </row>
    <row r="6124" spans="1:1" x14ac:dyDescent="0.25">
      <c r="A6124" t="s">
        <v>3054</v>
      </c>
    </row>
    <row r="6125" spans="1:1" x14ac:dyDescent="0.25">
      <c r="A6125" t="s">
        <v>3708</v>
      </c>
    </row>
    <row r="6126" spans="1:1" x14ac:dyDescent="0.25">
      <c r="A6126" t="s">
        <v>3055</v>
      </c>
    </row>
    <row r="6127" spans="1:1" x14ac:dyDescent="0.25">
      <c r="A6127" t="s">
        <v>3709</v>
      </c>
    </row>
    <row r="6128" spans="1:1" x14ac:dyDescent="0.25">
      <c r="A6128" t="s">
        <v>3710</v>
      </c>
    </row>
    <row r="6129" spans="1:1" x14ac:dyDescent="0.25">
      <c r="A6129" t="s">
        <v>3711</v>
      </c>
    </row>
    <row r="6130" spans="1:1" x14ac:dyDescent="0.25">
      <c r="A6130" t="s">
        <v>3712</v>
      </c>
    </row>
    <row r="6131" spans="1:1" x14ac:dyDescent="0.25">
      <c r="A6131" t="s">
        <v>3056</v>
      </c>
    </row>
    <row r="6132" spans="1:1" x14ac:dyDescent="0.25">
      <c r="A6132" t="s">
        <v>3057</v>
      </c>
    </row>
    <row r="6133" spans="1:1" x14ac:dyDescent="0.25">
      <c r="A6133" t="s">
        <v>3713</v>
      </c>
    </row>
    <row r="6134" spans="1:1" x14ac:dyDescent="0.25">
      <c r="A6134" t="s">
        <v>3714</v>
      </c>
    </row>
    <row r="6135" spans="1:1" x14ac:dyDescent="0.25">
      <c r="A6135" t="s">
        <v>2713</v>
      </c>
    </row>
    <row r="6136" spans="1:1" x14ac:dyDescent="0.25">
      <c r="A6136" t="s">
        <v>2714</v>
      </c>
    </row>
    <row r="6137" spans="1:1" x14ac:dyDescent="0.25">
      <c r="A6137" t="s">
        <v>2714</v>
      </c>
    </row>
    <row r="6138" spans="1:1" x14ac:dyDescent="0.25">
      <c r="A6138" t="s">
        <v>2714</v>
      </c>
    </row>
    <row r="6139" spans="1:1" x14ac:dyDescent="0.25">
      <c r="A6139" t="s">
        <v>2714</v>
      </c>
    </row>
    <row r="6140" spans="1:1" x14ac:dyDescent="0.25">
      <c r="A6140" t="s">
        <v>2714</v>
      </c>
    </row>
    <row r="6141" spans="1:1" x14ac:dyDescent="0.25">
      <c r="A6141" t="s">
        <v>2714</v>
      </c>
    </row>
    <row r="6142" spans="1:1" x14ac:dyDescent="0.25">
      <c r="A6142" t="s">
        <v>2714</v>
      </c>
    </row>
    <row r="6143" spans="1:1" x14ac:dyDescent="0.25">
      <c r="A6143" t="s">
        <v>2714</v>
      </c>
    </row>
    <row r="6144" spans="1:1" x14ac:dyDescent="0.25">
      <c r="A6144" t="s">
        <v>2714</v>
      </c>
    </row>
    <row r="6145" spans="1:1" x14ac:dyDescent="0.25">
      <c r="A6145" t="s">
        <v>2714</v>
      </c>
    </row>
    <row r="6146" spans="1:1" x14ac:dyDescent="0.25">
      <c r="A6146" t="s">
        <v>2714</v>
      </c>
    </row>
    <row r="6147" spans="1:1" x14ac:dyDescent="0.25">
      <c r="A6147" t="s">
        <v>2714</v>
      </c>
    </row>
    <row r="6148" spans="1:1" x14ac:dyDescent="0.25">
      <c r="A6148" t="s">
        <v>2714</v>
      </c>
    </row>
    <row r="6149" spans="1:1" x14ac:dyDescent="0.25">
      <c r="A6149" t="s">
        <v>2714</v>
      </c>
    </row>
    <row r="6150" spans="1:1" x14ac:dyDescent="0.25">
      <c r="A6150" t="s">
        <v>2714</v>
      </c>
    </row>
    <row r="6151" spans="1:1" x14ac:dyDescent="0.25">
      <c r="A6151" t="s">
        <v>2714</v>
      </c>
    </row>
    <row r="6152" spans="1:1" x14ac:dyDescent="0.25">
      <c r="A6152" t="s">
        <v>2714</v>
      </c>
    </row>
    <row r="6153" spans="1:1" x14ac:dyDescent="0.25">
      <c r="A6153" t="s">
        <v>2714</v>
      </c>
    </row>
    <row r="6154" spans="1:1" x14ac:dyDescent="0.25">
      <c r="A6154" t="s">
        <v>2714</v>
      </c>
    </row>
    <row r="6155" spans="1:1" x14ac:dyDescent="0.25">
      <c r="A6155" t="s">
        <v>2714</v>
      </c>
    </row>
    <row r="6156" spans="1:1" x14ac:dyDescent="0.25">
      <c r="A6156" t="s">
        <v>2714</v>
      </c>
    </row>
    <row r="6157" spans="1:1" x14ac:dyDescent="0.25">
      <c r="A6157" t="s">
        <v>2714</v>
      </c>
    </row>
    <row r="6158" spans="1:1" x14ac:dyDescent="0.25">
      <c r="A6158" t="s">
        <v>2714</v>
      </c>
    </row>
    <row r="6159" spans="1:1" x14ac:dyDescent="0.25">
      <c r="A6159" t="s">
        <v>2714</v>
      </c>
    </row>
    <row r="6160" spans="1:1" x14ac:dyDescent="0.25">
      <c r="A6160" t="s">
        <v>2714</v>
      </c>
    </row>
    <row r="6161" spans="1:1" x14ac:dyDescent="0.25">
      <c r="A6161" t="s">
        <v>2714</v>
      </c>
    </row>
    <row r="6162" spans="1:1" x14ac:dyDescent="0.25">
      <c r="A6162" t="s">
        <v>2714</v>
      </c>
    </row>
    <row r="6163" spans="1:1" x14ac:dyDescent="0.25">
      <c r="A6163" t="s">
        <v>2714</v>
      </c>
    </row>
    <row r="6164" spans="1:1" x14ac:dyDescent="0.25">
      <c r="A6164" t="s">
        <v>2714</v>
      </c>
    </row>
    <row r="6165" spans="1:1" x14ac:dyDescent="0.25">
      <c r="A6165" t="s">
        <v>2714</v>
      </c>
    </row>
    <row r="6166" spans="1:1" x14ac:dyDescent="0.25">
      <c r="A6166" t="s">
        <v>2714</v>
      </c>
    </row>
    <row r="6167" spans="1:1" x14ac:dyDescent="0.25">
      <c r="A6167" t="s">
        <v>2714</v>
      </c>
    </row>
    <row r="6168" spans="1:1" x14ac:dyDescent="0.25">
      <c r="A6168" t="s">
        <v>2714</v>
      </c>
    </row>
    <row r="6169" spans="1:1" x14ac:dyDescent="0.25">
      <c r="A6169" t="s">
        <v>2714</v>
      </c>
    </row>
    <row r="6170" spans="1:1" x14ac:dyDescent="0.25">
      <c r="A6170" t="s">
        <v>2714</v>
      </c>
    </row>
    <row r="6171" spans="1:1" x14ac:dyDescent="0.25">
      <c r="A6171" t="s">
        <v>2714</v>
      </c>
    </row>
    <row r="6172" spans="1:1" x14ac:dyDescent="0.25">
      <c r="A6172" t="s">
        <v>2714</v>
      </c>
    </row>
    <row r="6173" spans="1:1" x14ac:dyDescent="0.25">
      <c r="A6173" t="s">
        <v>2714</v>
      </c>
    </row>
    <row r="6174" spans="1:1" x14ac:dyDescent="0.25">
      <c r="A6174" t="s">
        <v>2714</v>
      </c>
    </row>
    <row r="6175" spans="1:1" x14ac:dyDescent="0.25">
      <c r="A6175" t="s">
        <v>2714</v>
      </c>
    </row>
    <row r="6176" spans="1:1" x14ac:dyDescent="0.25">
      <c r="A6176" t="s">
        <v>2686</v>
      </c>
    </row>
    <row r="6179" spans="1:1" x14ac:dyDescent="0.25">
      <c r="A6179" t="s">
        <v>3715</v>
      </c>
    </row>
    <row r="6180" spans="1:1" x14ac:dyDescent="0.25">
      <c r="A6180" t="s">
        <v>3716</v>
      </c>
    </row>
    <row r="6181" spans="1:1" x14ac:dyDescent="0.25">
      <c r="A6181" t="s">
        <v>3717</v>
      </c>
    </row>
    <row r="6182" spans="1:1" x14ac:dyDescent="0.25">
      <c r="A6182" t="s">
        <v>3718</v>
      </c>
    </row>
    <row r="6183" spans="1:1" x14ac:dyDescent="0.25">
      <c r="A6183" t="s">
        <v>3718</v>
      </c>
    </row>
    <row r="6184" spans="1:1" x14ac:dyDescent="0.25">
      <c r="A6184" t="s">
        <v>3719</v>
      </c>
    </row>
    <row r="6185" spans="1:1" x14ac:dyDescent="0.25">
      <c r="A6185" t="s">
        <v>3720</v>
      </c>
    </row>
    <row r="6186" spans="1:1" x14ac:dyDescent="0.25">
      <c r="A6186" t="s">
        <v>3721</v>
      </c>
    </row>
    <row r="6187" spans="1:1" x14ac:dyDescent="0.25">
      <c r="A6187" t="s">
        <v>3722</v>
      </c>
    </row>
    <row r="6188" spans="1:1" x14ac:dyDescent="0.25">
      <c r="A6188" t="s">
        <v>3723</v>
      </c>
    </row>
    <row r="6189" spans="1:1" x14ac:dyDescent="0.25">
      <c r="A6189" t="s">
        <v>3724</v>
      </c>
    </row>
    <row r="6190" spans="1:1" x14ac:dyDescent="0.25">
      <c r="A6190" t="s">
        <v>3725</v>
      </c>
    </row>
    <row r="6191" spans="1:1" x14ac:dyDescent="0.25">
      <c r="A6191" t="s">
        <v>3726</v>
      </c>
    </row>
    <row r="6192" spans="1:1" x14ac:dyDescent="0.25">
      <c r="A6192" t="s">
        <v>3727</v>
      </c>
    </row>
    <row r="6193" spans="1:1" x14ac:dyDescent="0.25">
      <c r="A6193" t="s">
        <v>3728</v>
      </c>
    </row>
    <row r="6194" spans="1:1" x14ac:dyDescent="0.25">
      <c r="A6194" t="s">
        <v>3729</v>
      </c>
    </row>
    <row r="6195" spans="1:1" x14ac:dyDescent="0.25">
      <c r="A6195" t="s">
        <v>3730</v>
      </c>
    </row>
    <row r="6196" spans="1:1" x14ac:dyDescent="0.25">
      <c r="A6196" t="s">
        <v>3731</v>
      </c>
    </row>
    <row r="6197" spans="1:1" x14ac:dyDescent="0.25">
      <c r="A6197" t="s">
        <v>3732</v>
      </c>
    </row>
    <row r="6198" spans="1:1" x14ac:dyDescent="0.25">
      <c r="A6198" t="s">
        <v>3733</v>
      </c>
    </row>
    <row r="6199" spans="1:1" x14ac:dyDescent="0.25">
      <c r="A6199" t="s">
        <v>3734</v>
      </c>
    </row>
    <row r="6200" spans="1:1" x14ac:dyDescent="0.25">
      <c r="A6200" t="s">
        <v>3735</v>
      </c>
    </row>
    <row r="6201" spans="1:1" x14ac:dyDescent="0.25">
      <c r="A6201" t="s">
        <v>3735</v>
      </c>
    </row>
    <row r="6202" spans="1:1" x14ac:dyDescent="0.25">
      <c r="A6202" t="s">
        <v>3736</v>
      </c>
    </row>
    <row r="6203" spans="1:1" x14ac:dyDescent="0.25">
      <c r="A6203" t="s">
        <v>3737</v>
      </c>
    </row>
    <row r="6204" spans="1:1" x14ac:dyDescent="0.25">
      <c r="A6204" t="s">
        <v>3738</v>
      </c>
    </row>
    <row r="6205" spans="1:1" x14ac:dyDescent="0.25">
      <c r="A6205" t="s">
        <v>3739</v>
      </c>
    </row>
    <row r="6206" spans="1:1" x14ac:dyDescent="0.25">
      <c r="A6206" t="s">
        <v>3740</v>
      </c>
    </row>
    <row r="6207" spans="1:1" x14ac:dyDescent="0.25">
      <c r="A6207" t="s">
        <v>3741</v>
      </c>
    </row>
    <row r="6208" spans="1:1" x14ac:dyDescent="0.25">
      <c r="A6208" t="s">
        <v>3742</v>
      </c>
    </row>
    <row r="6209" spans="1:1" x14ac:dyDescent="0.25">
      <c r="A6209" t="s">
        <v>3743</v>
      </c>
    </row>
    <row r="6210" spans="1:1" x14ac:dyDescent="0.25">
      <c r="A6210" t="s">
        <v>3744</v>
      </c>
    </row>
    <row r="6211" spans="1:1" x14ac:dyDescent="0.25">
      <c r="A6211" t="s">
        <v>3745</v>
      </c>
    </row>
    <row r="6212" spans="1:1" x14ac:dyDescent="0.25">
      <c r="A6212" t="s">
        <v>3746</v>
      </c>
    </row>
    <row r="6213" spans="1:1" x14ac:dyDescent="0.25">
      <c r="A6213" t="s">
        <v>3747</v>
      </c>
    </row>
    <row r="6214" spans="1:1" x14ac:dyDescent="0.25">
      <c r="A6214" t="s">
        <v>3748</v>
      </c>
    </row>
    <row r="6215" spans="1:1" x14ac:dyDescent="0.25">
      <c r="A6215" t="s">
        <v>3749</v>
      </c>
    </row>
    <row r="6216" spans="1:1" x14ac:dyDescent="0.25">
      <c r="A6216" t="s">
        <v>3750</v>
      </c>
    </row>
    <row r="6217" spans="1:1" x14ac:dyDescent="0.25">
      <c r="A6217" t="s">
        <v>3751</v>
      </c>
    </row>
    <row r="6218" spans="1:1" x14ac:dyDescent="0.25">
      <c r="A6218" t="s">
        <v>3752</v>
      </c>
    </row>
    <row r="6219" spans="1:1" x14ac:dyDescent="0.25">
      <c r="A6219" t="s">
        <v>3753</v>
      </c>
    </row>
    <row r="6220" spans="1:1" x14ac:dyDescent="0.25">
      <c r="A6220" t="s">
        <v>3754</v>
      </c>
    </row>
    <row r="6221" spans="1:1" x14ac:dyDescent="0.25">
      <c r="A6221" t="s">
        <v>3755</v>
      </c>
    </row>
    <row r="6222" spans="1:1" x14ac:dyDescent="0.25">
      <c r="A6222" t="s">
        <v>3725</v>
      </c>
    </row>
    <row r="6223" spans="1:1" x14ac:dyDescent="0.25">
      <c r="A6223" t="s">
        <v>2713</v>
      </c>
    </row>
    <row r="6224" spans="1:1" x14ac:dyDescent="0.25">
      <c r="A6224" t="s">
        <v>2714</v>
      </c>
    </row>
    <row r="6225" spans="1:1" x14ac:dyDescent="0.25">
      <c r="A6225" t="s">
        <v>2714</v>
      </c>
    </row>
    <row r="6226" spans="1:1" x14ac:dyDescent="0.25">
      <c r="A6226" t="s">
        <v>2714</v>
      </c>
    </row>
    <row r="6227" spans="1:1" x14ac:dyDescent="0.25">
      <c r="A6227" t="s">
        <v>2714</v>
      </c>
    </row>
    <row r="6228" spans="1:1" x14ac:dyDescent="0.25">
      <c r="A6228" t="s">
        <v>2714</v>
      </c>
    </row>
    <row r="6229" spans="1:1" x14ac:dyDescent="0.25">
      <c r="A6229" t="s">
        <v>2714</v>
      </c>
    </row>
    <row r="6230" spans="1:1" x14ac:dyDescent="0.25">
      <c r="A6230" t="s">
        <v>2714</v>
      </c>
    </row>
    <row r="6231" spans="1:1" x14ac:dyDescent="0.25">
      <c r="A6231" t="s">
        <v>2714</v>
      </c>
    </row>
    <row r="6232" spans="1:1" x14ac:dyDescent="0.25">
      <c r="A6232" t="s">
        <v>2714</v>
      </c>
    </row>
    <row r="6233" spans="1:1" x14ac:dyDescent="0.25">
      <c r="A6233" t="s">
        <v>2714</v>
      </c>
    </row>
    <row r="6234" spans="1:1" x14ac:dyDescent="0.25">
      <c r="A6234" t="s">
        <v>2714</v>
      </c>
    </row>
    <row r="6235" spans="1:1" x14ac:dyDescent="0.25">
      <c r="A6235" t="s">
        <v>2714</v>
      </c>
    </row>
    <row r="6236" spans="1:1" x14ac:dyDescent="0.25">
      <c r="A6236" t="s">
        <v>2714</v>
      </c>
    </row>
    <row r="6237" spans="1:1" x14ac:dyDescent="0.25">
      <c r="A6237" t="s">
        <v>2714</v>
      </c>
    </row>
    <row r="6238" spans="1:1" x14ac:dyDescent="0.25">
      <c r="A6238" t="s">
        <v>2714</v>
      </c>
    </row>
    <row r="6239" spans="1:1" x14ac:dyDescent="0.25">
      <c r="A6239" t="s">
        <v>2686</v>
      </c>
    </row>
    <row r="6242" spans="1:1" x14ac:dyDescent="0.25">
      <c r="A6242" t="s">
        <v>3756</v>
      </c>
    </row>
    <row r="6243" spans="1:1" x14ac:dyDescent="0.25">
      <c r="A6243" t="s">
        <v>3757</v>
      </c>
    </row>
    <row r="6244" spans="1:1" x14ac:dyDescent="0.25">
      <c r="A6244" t="s">
        <v>3758</v>
      </c>
    </row>
    <row r="6245" spans="1:1" x14ac:dyDescent="0.25">
      <c r="A6245" t="s">
        <v>3759</v>
      </c>
    </row>
    <row r="6246" spans="1:1" x14ac:dyDescent="0.25">
      <c r="A6246" t="s">
        <v>3760</v>
      </c>
    </row>
    <row r="6247" spans="1:1" x14ac:dyDescent="0.25">
      <c r="A6247" t="s">
        <v>3761</v>
      </c>
    </row>
    <row r="6248" spans="1:1" x14ac:dyDescent="0.25">
      <c r="A6248" t="s">
        <v>3762</v>
      </c>
    </row>
    <row r="6249" spans="1:1" x14ac:dyDescent="0.25">
      <c r="A6249" t="s">
        <v>3763</v>
      </c>
    </row>
    <row r="6250" spans="1:1" x14ac:dyDescent="0.25">
      <c r="A6250" t="s">
        <v>3764</v>
      </c>
    </row>
    <row r="6251" spans="1:1" x14ac:dyDescent="0.25">
      <c r="A6251" t="s">
        <v>3765</v>
      </c>
    </row>
    <row r="6252" spans="1:1" x14ac:dyDescent="0.25">
      <c r="A6252" t="s">
        <v>3766</v>
      </c>
    </row>
    <row r="6253" spans="1:1" x14ac:dyDescent="0.25">
      <c r="A6253" t="s">
        <v>3767</v>
      </c>
    </row>
    <row r="6254" spans="1:1" x14ac:dyDescent="0.25">
      <c r="A6254" t="s">
        <v>3768</v>
      </c>
    </row>
    <row r="6255" spans="1:1" x14ac:dyDescent="0.25">
      <c r="A6255" t="s">
        <v>3769</v>
      </c>
    </row>
    <row r="6256" spans="1:1" x14ac:dyDescent="0.25">
      <c r="A6256" t="s">
        <v>3770</v>
      </c>
    </row>
    <row r="6257" spans="1:1" x14ac:dyDescent="0.25">
      <c r="A6257" t="s">
        <v>3771</v>
      </c>
    </row>
    <row r="6258" spans="1:1" x14ac:dyDescent="0.25">
      <c r="A6258" t="s">
        <v>3772</v>
      </c>
    </row>
    <row r="6259" spans="1:1" x14ac:dyDescent="0.25">
      <c r="A6259" t="s">
        <v>3773</v>
      </c>
    </row>
    <row r="6260" spans="1:1" x14ac:dyDescent="0.25">
      <c r="A6260" t="s">
        <v>3774</v>
      </c>
    </row>
    <row r="6261" spans="1:1" x14ac:dyDescent="0.25">
      <c r="A6261" t="s">
        <v>3775</v>
      </c>
    </row>
    <row r="6262" spans="1:1" x14ac:dyDescent="0.25">
      <c r="A6262" t="s">
        <v>3776</v>
      </c>
    </row>
    <row r="6263" spans="1:1" x14ac:dyDescent="0.25">
      <c r="A6263" t="s">
        <v>3777</v>
      </c>
    </row>
    <row r="6264" spans="1:1" x14ac:dyDescent="0.25">
      <c r="A6264" t="s">
        <v>3778</v>
      </c>
    </row>
    <row r="6265" spans="1:1" x14ac:dyDescent="0.25">
      <c r="A6265" t="s">
        <v>3779</v>
      </c>
    </row>
    <row r="6266" spans="1:1" x14ac:dyDescent="0.25">
      <c r="A6266" t="s">
        <v>2713</v>
      </c>
    </row>
    <row r="6267" spans="1:1" x14ac:dyDescent="0.25">
      <c r="A6267" t="s">
        <v>2714</v>
      </c>
    </row>
    <row r="6268" spans="1:1" x14ac:dyDescent="0.25">
      <c r="A6268" t="s">
        <v>2714</v>
      </c>
    </row>
    <row r="6269" spans="1:1" x14ac:dyDescent="0.25">
      <c r="A6269" t="s">
        <v>2714</v>
      </c>
    </row>
    <row r="6270" spans="1:1" x14ac:dyDescent="0.25">
      <c r="A6270" t="s">
        <v>2714</v>
      </c>
    </row>
    <row r="6271" spans="1:1" x14ac:dyDescent="0.25">
      <c r="A6271" t="s">
        <v>2714</v>
      </c>
    </row>
    <row r="6272" spans="1:1" x14ac:dyDescent="0.25">
      <c r="A6272" t="s">
        <v>2714</v>
      </c>
    </row>
    <row r="6273" spans="1:1" x14ac:dyDescent="0.25">
      <c r="A6273" t="s">
        <v>2714</v>
      </c>
    </row>
    <row r="6274" spans="1:1" x14ac:dyDescent="0.25">
      <c r="A6274" t="s">
        <v>2714</v>
      </c>
    </row>
    <row r="6275" spans="1:1" x14ac:dyDescent="0.25">
      <c r="A6275" t="s">
        <v>2714</v>
      </c>
    </row>
    <row r="6276" spans="1:1" x14ac:dyDescent="0.25">
      <c r="A6276" t="s">
        <v>2714</v>
      </c>
    </row>
    <row r="6277" spans="1:1" x14ac:dyDescent="0.25">
      <c r="A6277" t="s">
        <v>2714</v>
      </c>
    </row>
    <row r="6278" spans="1:1" x14ac:dyDescent="0.25">
      <c r="A6278" t="s">
        <v>2714</v>
      </c>
    </row>
    <row r="6279" spans="1:1" x14ac:dyDescent="0.25">
      <c r="A6279" t="s">
        <v>2714</v>
      </c>
    </row>
    <row r="6280" spans="1:1" x14ac:dyDescent="0.25">
      <c r="A6280" t="s">
        <v>2714</v>
      </c>
    </row>
    <row r="6281" spans="1:1" x14ac:dyDescent="0.25">
      <c r="A6281" t="s">
        <v>2714</v>
      </c>
    </row>
    <row r="6282" spans="1:1" x14ac:dyDescent="0.25">
      <c r="A6282" t="s">
        <v>2714</v>
      </c>
    </row>
    <row r="6283" spans="1:1" x14ac:dyDescent="0.25">
      <c r="A6283" t="s">
        <v>2714</v>
      </c>
    </row>
    <row r="6284" spans="1:1" x14ac:dyDescent="0.25">
      <c r="A6284" t="s">
        <v>2714</v>
      </c>
    </row>
    <row r="6285" spans="1:1" x14ac:dyDescent="0.25">
      <c r="A6285" t="s">
        <v>2714</v>
      </c>
    </row>
    <row r="6286" spans="1:1" x14ac:dyDescent="0.25">
      <c r="A6286" t="s">
        <v>2714</v>
      </c>
    </row>
    <row r="6287" spans="1:1" x14ac:dyDescent="0.25">
      <c r="A6287" t="s">
        <v>2714</v>
      </c>
    </row>
    <row r="6288" spans="1:1" x14ac:dyDescent="0.25">
      <c r="A6288" t="s">
        <v>2714</v>
      </c>
    </row>
    <row r="6289" spans="1:1" x14ac:dyDescent="0.25">
      <c r="A6289" t="s">
        <v>2714</v>
      </c>
    </row>
    <row r="6290" spans="1:1" x14ac:dyDescent="0.25">
      <c r="A6290" t="s">
        <v>2714</v>
      </c>
    </row>
    <row r="6291" spans="1:1" x14ac:dyDescent="0.25">
      <c r="A6291" t="s">
        <v>2714</v>
      </c>
    </row>
    <row r="6292" spans="1:1" x14ac:dyDescent="0.25">
      <c r="A6292" t="s">
        <v>2714</v>
      </c>
    </row>
    <row r="6293" spans="1:1" x14ac:dyDescent="0.25">
      <c r="A6293" t="s">
        <v>2714</v>
      </c>
    </row>
    <row r="6294" spans="1:1" x14ac:dyDescent="0.25">
      <c r="A6294" t="s">
        <v>2714</v>
      </c>
    </row>
    <row r="6295" spans="1:1" x14ac:dyDescent="0.25">
      <c r="A6295" t="s">
        <v>2714</v>
      </c>
    </row>
    <row r="6296" spans="1:1" x14ac:dyDescent="0.25">
      <c r="A6296" t="s">
        <v>2714</v>
      </c>
    </row>
    <row r="6297" spans="1:1" x14ac:dyDescent="0.25">
      <c r="A6297" t="s">
        <v>2714</v>
      </c>
    </row>
    <row r="6298" spans="1:1" x14ac:dyDescent="0.25">
      <c r="A6298" t="s">
        <v>2714</v>
      </c>
    </row>
    <row r="6299" spans="1:1" x14ac:dyDescent="0.25">
      <c r="A6299" t="s">
        <v>2714</v>
      </c>
    </row>
    <row r="6300" spans="1:1" x14ac:dyDescent="0.25">
      <c r="A6300" t="s">
        <v>2714</v>
      </c>
    </row>
    <row r="6301" spans="1:1" x14ac:dyDescent="0.25">
      <c r="A6301" t="s">
        <v>2714</v>
      </c>
    </row>
    <row r="6302" spans="1:1" x14ac:dyDescent="0.25">
      <c r="A6302" t="s">
        <v>2686</v>
      </c>
    </row>
    <row r="6305" spans="1:1" x14ac:dyDescent="0.25">
      <c r="A6305" t="s">
        <v>3780</v>
      </c>
    </row>
    <row r="6306" spans="1:1" x14ac:dyDescent="0.25">
      <c r="A6306" t="s">
        <v>3781</v>
      </c>
    </row>
    <row r="6307" spans="1:1" x14ac:dyDescent="0.25">
      <c r="A6307" t="s">
        <v>3782</v>
      </c>
    </row>
    <row r="6308" spans="1:1" x14ac:dyDescent="0.25">
      <c r="A6308" t="s">
        <v>3783</v>
      </c>
    </row>
    <row r="6309" spans="1:1" x14ac:dyDescent="0.25">
      <c r="A6309" t="s">
        <v>3784</v>
      </c>
    </row>
    <row r="6310" spans="1:1" x14ac:dyDescent="0.25">
      <c r="A6310" t="s">
        <v>3785</v>
      </c>
    </row>
    <row r="6311" spans="1:1" x14ac:dyDescent="0.25">
      <c r="A6311" t="s">
        <v>3786</v>
      </c>
    </row>
    <row r="6312" spans="1:1" x14ac:dyDescent="0.25">
      <c r="A6312" t="s">
        <v>3787</v>
      </c>
    </row>
    <row r="6313" spans="1:1" x14ac:dyDescent="0.25">
      <c r="A6313" t="s">
        <v>3788</v>
      </c>
    </row>
    <row r="6314" spans="1:1" x14ac:dyDescent="0.25">
      <c r="A6314" t="s">
        <v>2713</v>
      </c>
    </row>
    <row r="6315" spans="1:1" x14ac:dyDescent="0.25">
      <c r="A6315" t="s">
        <v>2714</v>
      </c>
    </row>
    <row r="6316" spans="1:1" x14ac:dyDescent="0.25">
      <c r="A6316" t="s">
        <v>2714</v>
      </c>
    </row>
    <row r="6317" spans="1:1" x14ac:dyDescent="0.25">
      <c r="A6317" t="s">
        <v>2714</v>
      </c>
    </row>
    <row r="6318" spans="1:1" x14ac:dyDescent="0.25">
      <c r="A6318" t="s">
        <v>2714</v>
      </c>
    </row>
    <row r="6319" spans="1:1" x14ac:dyDescent="0.25">
      <c r="A6319" t="s">
        <v>2714</v>
      </c>
    </row>
    <row r="6320" spans="1:1" x14ac:dyDescent="0.25">
      <c r="A6320" t="s">
        <v>2714</v>
      </c>
    </row>
    <row r="6321" spans="1:1" x14ac:dyDescent="0.25">
      <c r="A6321" t="s">
        <v>2714</v>
      </c>
    </row>
    <row r="6322" spans="1:1" x14ac:dyDescent="0.25">
      <c r="A6322" t="s">
        <v>2714</v>
      </c>
    </row>
    <row r="6323" spans="1:1" x14ac:dyDescent="0.25">
      <c r="A6323" t="s">
        <v>2714</v>
      </c>
    </row>
    <row r="6324" spans="1:1" x14ac:dyDescent="0.25">
      <c r="A6324" t="s">
        <v>2714</v>
      </c>
    </row>
    <row r="6325" spans="1:1" x14ac:dyDescent="0.25">
      <c r="A6325" t="s">
        <v>2714</v>
      </c>
    </row>
    <row r="6326" spans="1:1" x14ac:dyDescent="0.25">
      <c r="A6326" t="s">
        <v>2714</v>
      </c>
    </row>
    <row r="6327" spans="1:1" x14ac:dyDescent="0.25">
      <c r="A6327" t="s">
        <v>2714</v>
      </c>
    </row>
    <row r="6328" spans="1:1" x14ac:dyDescent="0.25">
      <c r="A6328" t="s">
        <v>2714</v>
      </c>
    </row>
    <row r="6329" spans="1:1" x14ac:dyDescent="0.25">
      <c r="A6329" t="s">
        <v>2714</v>
      </c>
    </row>
    <row r="6330" spans="1:1" x14ac:dyDescent="0.25">
      <c r="A6330" t="s">
        <v>2714</v>
      </c>
    </row>
    <row r="6331" spans="1:1" x14ac:dyDescent="0.25">
      <c r="A6331" t="s">
        <v>2714</v>
      </c>
    </row>
    <row r="6332" spans="1:1" x14ac:dyDescent="0.25">
      <c r="A6332" t="s">
        <v>2714</v>
      </c>
    </row>
    <row r="6333" spans="1:1" x14ac:dyDescent="0.25">
      <c r="A6333" t="s">
        <v>2714</v>
      </c>
    </row>
    <row r="6334" spans="1:1" x14ac:dyDescent="0.25">
      <c r="A6334" t="s">
        <v>2714</v>
      </c>
    </row>
    <row r="6335" spans="1:1" x14ac:dyDescent="0.25">
      <c r="A6335" t="s">
        <v>2714</v>
      </c>
    </row>
    <row r="6336" spans="1:1" x14ac:dyDescent="0.25">
      <c r="A6336" t="s">
        <v>2714</v>
      </c>
    </row>
    <row r="6337" spans="1:1" x14ac:dyDescent="0.25">
      <c r="A6337" t="s">
        <v>2714</v>
      </c>
    </row>
    <row r="6338" spans="1:1" x14ac:dyDescent="0.25">
      <c r="A6338" t="s">
        <v>2714</v>
      </c>
    </row>
    <row r="6339" spans="1:1" x14ac:dyDescent="0.25">
      <c r="A6339" t="s">
        <v>2714</v>
      </c>
    </row>
    <row r="6340" spans="1:1" x14ac:dyDescent="0.25">
      <c r="A6340" t="s">
        <v>2714</v>
      </c>
    </row>
    <row r="6341" spans="1:1" x14ac:dyDescent="0.25">
      <c r="A6341" t="s">
        <v>2714</v>
      </c>
    </row>
    <row r="6342" spans="1:1" x14ac:dyDescent="0.25">
      <c r="A6342" t="s">
        <v>2714</v>
      </c>
    </row>
    <row r="6343" spans="1:1" x14ac:dyDescent="0.25">
      <c r="A6343" t="s">
        <v>2714</v>
      </c>
    </row>
    <row r="6344" spans="1:1" x14ac:dyDescent="0.25">
      <c r="A6344" t="s">
        <v>2714</v>
      </c>
    </row>
    <row r="6345" spans="1:1" x14ac:dyDescent="0.25">
      <c r="A6345" t="s">
        <v>2714</v>
      </c>
    </row>
    <row r="6346" spans="1:1" x14ac:dyDescent="0.25">
      <c r="A6346" t="s">
        <v>2714</v>
      </c>
    </row>
    <row r="6347" spans="1:1" x14ac:dyDescent="0.25">
      <c r="A6347" t="s">
        <v>2714</v>
      </c>
    </row>
    <row r="6348" spans="1:1" x14ac:dyDescent="0.25">
      <c r="A6348" t="s">
        <v>2714</v>
      </c>
    </row>
    <row r="6349" spans="1:1" x14ac:dyDescent="0.25">
      <c r="A6349" t="s">
        <v>2714</v>
      </c>
    </row>
    <row r="6350" spans="1:1" x14ac:dyDescent="0.25">
      <c r="A6350" t="s">
        <v>2714</v>
      </c>
    </row>
    <row r="6351" spans="1:1" x14ac:dyDescent="0.25">
      <c r="A6351" t="s">
        <v>2714</v>
      </c>
    </row>
    <row r="6352" spans="1:1" x14ac:dyDescent="0.25">
      <c r="A6352" t="s">
        <v>2714</v>
      </c>
    </row>
    <row r="6353" spans="1:1" x14ac:dyDescent="0.25">
      <c r="A6353" t="s">
        <v>2714</v>
      </c>
    </row>
    <row r="6354" spans="1:1" x14ac:dyDescent="0.25">
      <c r="A6354" t="s">
        <v>2714</v>
      </c>
    </row>
    <row r="6355" spans="1:1" x14ac:dyDescent="0.25">
      <c r="A6355" t="s">
        <v>2714</v>
      </c>
    </row>
    <row r="6356" spans="1:1" x14ac:dyDescent="0.25">
      <c r="A6356" t="s">
        <v>2714</v>
      </c>
    </row>
    <row r="6357" spans="1:1" x14ac:dyDescent="0.25">
      <c r="A6357" t="s">
        <v>2714</v>
      </c>
    </row>
    <row r="6358" spans="1:1" x14ac:dyDescent="0.25">
      <c r="A6358" t="s">
        <v>2714</v>
      </c>
    </row>
    <row r="6359" spans="1:1" x14ac:dyDescent="0.25">
      <c r="A6359" t="s">
        <v>2714</v>
      </c>
    </row>
    <row r="6360" spans="1:1" x14ac:dyDescent="0.25">
      <c r="A6360" t="s">
        <v>2714</v>
      </c>
    </row>
    <row r="6361" spans="1:1" x14ac:dyDescent="0.25">
      <c r="A6361" t="s">
        <v>2714</v>
      </c>
    </row>
    <row r="6362" spans="1:1" x14ac:dyDescent="0.25">
      <c r="A6362" t="s">
        <v>2714</v>
      </c>
    </row>
    <row r="6363" spans="1:1" x14ac:dyDescent="0.25">
      <c r="A6363" t="s">
        <v>2714</v>
      </c>
    </row>
    <row r="6364" spans="1:1" x14ac:dyDescent="0.25">
      <c r="A6364" t="s">
        <v>2714</v>
      </c>
    </row>
    <row r="6365" spans="1:1" x14ac:dyDescent="0.25">
      <c r="A6365" t="s">
        <v>2686</v>
      </c>
    </row>
    <row r="6368" spans="1:1" x14ac:dyDescent="0.25">
      <c r="A6368" t="s">
        <v>3789</v>
      </c>
    </row>
    <row r="6369" spans="1:1" x14ac:dyDescent="0.25">
      <c r="A6369" t="s">
        <v>3790</v>
      </c>
    </row>
    <row r="6370" spans="1:1" x14ac:dyDescent="0.25">
      <c r="A6370" t="s">
        <v>3791</v>
      </c>
    </row>
    <row r="6371" spans="1:1" x14ac:dyDescent="0.25">
      <c r="A6371" t="s">
        <v>3792</v>
      </c>
    </row>
    <row r="6372" spans="1:1" x14ac:dyDescent="0.25">
      <c r="A6372" t="s">
        <v>3793</v>
      </c>
    </row>
    <row r="6373" spans="1:1" x14ac:dyDescent="0.25">
      <c r="A6373" t="s">
        <v>3794</v>
      </c>
    </row>
    <row r="6374" spans="1:1" x14ac:dyDescent="0.25">
      <c r="A6374" t="s">
        <v>3795</v>
      </c>
    </row>
    <row r="6375" spans="1:1" x14ac:dyDescent="0.25">
      <c r="A6375" t="s">
        <v>3796</v>
      </c>
    </row>
    <row r="6376" spans="1:1" x14ac:dyDescent="0.25">
      <c r="A6376" t="s">
        <v>2713</v>
      </c>
    </row>
    <row r="6377" spans="1:1" x14ac:dyDescent="0.25">
      <c r="A6377" t="s">
        <v>2714</v>
      </c>
    </row>
    <row r="6378" spans="1:1" x14ac:dyDescent="0.25">
      <c r="A6378" t="s">
        <v>2714</v>
      </c>
    </row>
    <row r="6379" spans="1:1" x14ac:dyDescent="0.25">
      <c r="A6379" t="s">
        <v>2714</v>
      </c>
    </row>
    <row r="6380" spans="1:1" x14ac:dyDescent="0.25">
      <c r="A6380" t="s">
        <v>2714</v>
      </c>
    </row>
    <row r="6381" spans="1:1" x14ac:dyDescent="0.25">
      <c r="A6381" t="s">
        <v>2714</v>
      </c>
    </row>
    <row r="6382" spans="1:1" x14ac:dyDescent="0.25">
      <c r="A6382" t="s">
        <v>2714</v>
      </c>
    </row>
    <row r="6383" spans="1:1" x14ac:dyDescent="0.25">
      <c r="A6383" t="s">
        <v>2714</v>
      </c>
    </row>
    <row r="6384" spans="1:1" x14ac:dyDescent="0.25">
      <c r="A6384" t="s">
        <v>2714</v>
      </c>
    </row>
    <row r="6385" spans="1:1" x14ac:dyDescent="0.25">
      <c r="A6385" t="s">
        <v>2714</v>
      </c>
    </row>
    <row r="6386" spans="1:1" x14ac:dyDescent="0.25">
      <c r="A6386" t="s">
        <v>2714</v>
      </c>
    </row>
    <row r="6387" spans="1:1" x14ac:dyDescent="0.25">
      <c r="A6387" t="s">
        <v>2714</v>
      </c>
    </row>
    <row r="6388" spans="1:1" x14ac:dyDescent="0.25">
      <c r="A6388" t="s">
        <v>2714</v>
      </c>
    </row>
    <row r="6389" spans="1:1" x14ac:dyDescent="0.25">
      <c r="A6389" t="s">
        <v>2714</v>
      </c>
    </row>
    <row r="6390" spans="1:1" x14ac:dyDescent="0.25">
      <c r="A6390" t="s">
        <v>2714</v>
      </c>
    </row>
    <row r="6391" spans="1:1" x14ac:dyDescent="0.25">
      <c r="A6391" t="s">
        <v>2714</v>
      </c>
    </row>
    <row r="6392" spans="1:1" x14ac:dyDescent="0.25">
      <c r="A6392" t="s">
        <v>2714</v>
      </c>
    </row>
    <row r="6393" spans="1:1" x14ac:dyDescent="0.25">
      <c r="A6393" t="s">
        <v>2714</v>
      </c>
    </row>
    <row r="6394" spans="1:1" x14ac:dyDescent="0.25">
      <c r="A6394" t="s">
        <v>2714</v>
      </c>
    </row>
    <row r="6395" spans="1:1" x14ac:dyDescent="0.25">
      <c r="A6395" t="s">
        <v>2714</v>
      </c>
    </row>
    <row r="6396" spans="1:1" x14ac:dyDescent="0.25">
      <c r="A6396" t="s">
        <v>2714</v>
      </c>
    </row>
    <row r="6397" spans="1:1" x14ac:dyDescent="0.25">
      <c r="A6397" t="s">
        <v>2714</v>
      </c>
    </row>
    <row r="6398" spans="1:1" x14ac:dyDescent="0.25">
      <c r="A6398" t="s">
        <v>2714</v>
      </c>
    </row>
    <row r="6399" spans="1:1" x14ac:dyDescent="0.25">
      <c r="A6399" t="s">
        <v>2714</v>
      </c>
    </row>
    <row r="6400" spans="1:1" x14ac:dyDescent="0.25">
      <c r="A6400" t="s">
        <v>2714</v>
      </c>
    </row>
    <row r="6401" spans="1:1" x14ac:dyDescent="0.25">
      <c r="A6401" t="s">
        <v>2714</v>
      </c>
    </row>
    <row r="6402" spans="1:1" x14ac:dyDescent="0.25">
      <c r="A6402" t="s">
        <v>2714</v>
      </c>
    </row>
    <row r="6403" spans="1:1" x14ac:dyDescent="0.25">
      <c r="A6403" t="s">
        <v>2714</v>
      </c>
    </row>
    <row r="6404" spans="1:1" x14ac:dyDescent="0.25">
      <c r="A6404" t="s">
        <v>2714</v>
      </c>
    </row>
    <row r="6405" spans="1:1" x14ac:dyDescent="0.25">
      <c r="A6405" t="s">
        <v>2714</v>
      </c>
    </row>
    <row r="6406" spans="1:1" x14ac:dyDescent="0.25">
      <c r="A6406" t="s">
        <v>2714</v>
      </c>
    </row>
    <row r="6407" spans="1:1" x14ac:dyDescent="0.25">
      <c r="A6407" t="s">
        <v>2714</v>
      </c>
    </row>
    <row r="6408" spans="1:1" x14ac:dyDescent="0.25">
      <c r="A6408" t="s">
        <v>2714</v>
      </c>
    </row>
    <row r="6409" spans="1:1" x14ac:dyDescent="0.25">
      <c r="A6409" t="s">
        <v>2714</v>
      </c>
    </row>
    <row r="6410" spans="1:1" x14ac:dyDescent="0.25">
      <c r="A6410" t="s">
        <v>2714</v>
      </c>
    </row>
    <row r="6411" spans="1:1" x14ac:dyDescent="0.25">
      <c r="A6411" t="s">
        <v>2714</v>
      </c>
    </row>
    <row r="6412" spans="1:1" x14ac:dyDescent="0.25">
      <c r="A6412" t="s">
        <v>2714</v>
      </c>
    </row>
    <row r="6413" spans="1:1" x14ac:dyDescent="0.25">
      <c r="A6413" t="s">
        <v>2714</v>
      </c>
    </row>
    <row r="6414" spans="1:1" x14ac:dyDescent="0.25">
      <c r="A6414" t="s">
        <v>2714</v>
      </c>
    </row>
    <row r="6415" spans="1:1" x14ac:dyDescent="0.25">
      <c r="A6415" t="s">
        <v>2714</v>
      </c>
    </row>
    <row r="6416" spans="1:1" x14ac:dyDescent="0.25">
      <c r="A6416" t="s">
        <v>2714</v>
      </c>
    </row>
    <row r="6417" spans="1:1" x14ac:dyDescent="0.25">
      <c r="A6417" t="s">
        <v>2714</v>
      </c>
    </row>
    <row r="6418" spans="1:1" x14ac:dyDescent="0.25">
      <c r="A6418" t="s">
        <v>2714</v>
      </c>
    </row>
    <row r="6419" spans="1:1" x14ac:dyDescent="0.25">
      <c r="A6419" t="s">
        <v>2714</v>
      </c>
    </row>
    <row r="6420" spans="1:1" x14ac:dyDescent="0.25">
      <c r="A6420" t="s">
        <v>2714</v>
      </c>
    </row>
    <row r="6421" spans="1:1" x14ac:dyDescent="0.25">
      <c r="A6421" t="s">
        <v>2714</v>
      </c>
    </row>
    <row r="6422" spans="1:1" x14ac:dyDescent="0.25">
      <c r="A6422" t="s">
        <v>2714</v>
      </c>
    </row>
    <row r="6423" spans="1:1" x14ac:dyDescent="0.25">
      <c r="A6423" t="s">
        <v>2714</v>
      </c>
    </row>
    <row r="6424" spans="1:1" x14ac:dyDescent="0.25">
      <c r="A6424" t="s">
        <v>2714</v>
      </c>
    </row>
    <row r="6425" spans="1:1" x14ac:dyDescent="0.25">
      <c r="A6425" t="s">
        <v>2714</v>
      </c>
    </row>
    <row r="6426" spans="1:1" x14ac:dyDescent="0.25">
      <c r="A6426" t="s">
        <v>2714</v>
      </c>
    </row>
    <row r="6427" spans="1:1" x14ac:dyDescent="0.25">
      <c r="A6427" t="s">
        <v>2714</v>
      </c>
    </row>
    <row r="6428" spans="1:1" x14ac:dyDescent="0.25">
      <c r="A6428" t="s">
        <v>2686</v>
      </c>
    </row>
    <row r="6431" spans="1:1" x14ac:dyDescent="0.25">
      <c r="A6431" t="s">
        <v>3797</v>
      </c>
    </row>
    <row r="6432" spans="1:1" x14ac:dyDescent="0.25">
      <c r="A6432" t="s">
        <v>3798</v>
      </c>
    </row>
    <row r="6433" spans="1:1" x14ac:dyDescent="0.25">
      <c r="A6433" t="s">
        <v>3799</v>
      </c>
    </row>
    <row r="6434" spans="1:1" x14ac:dyDescent="0.25">
      <c r="A6434" t="s">
        <v>3800</v>
      </c>
    </row>
    <row r="6435" spans="1:1" x14ac:dyDescent="0.25">
      <c r="A6435" t="s">
        <v>3801</v>
      </c>
    </row>
    <row r="6436" spans="1:1" x14ac:dyDescent="0.25">
      <c r="A6436" t="s">
        <v>3802</v>
      </c>
    </row>
    <row r="6437" spans="1:1" x14ac:dyDescent="0.25">
      <c r="A6437" t="s">
        <v>3803</v>
      </c>
    </row>
    <row r="6438" spans="1:1" x14ac:dyDescent="0.25">
      <c r="A6438" t="s">
        <v>3804</v>
      </c>
    </row>
    <row r="6439" spans="1:1" x14ac:dyDescent="0.25">
      <c r="A6439" t="s">
        <v>3805</v>
      </c>
    </row>
    <row r="6440" spans="1:1" x14ac:dyDescent="0.25">
      <c r="A6440" t="s">
        <v>3806</v>
      </c>
    </row>
    <row r="6441" spans="1:1" x14ac:dyDescent="0.25">
      <c r="A6441" t="s">
        <v>3807</v>
      </c>
    </row>
    <row r="6442" spans="1:1" x14ac:dyDescent="0.25">
      <c r="A6442" t="s">
        <v>3808</v>
      </c>
    </row>
    <row r="6443" spans="1:1" x14ac:dyDescent="0.25">
      <c r="A6443" t="s">
        <v>3809</v>
      </c>
    </row>
    <row r="6444" spans="1:1" x14ac:dyDescent="0.25">
      <c r="A6444" t="s">
        <v>3322</v>
      </c>
    </row>
    <row r="6445" spans="1:1" x14ac:dyDescent="0.25">
      <c r="A6445" t="s">
        <v>3810</v>
      </c>
    </row>
    <row r="6446" spans="1:1" x14ac:dyDescent="0.25">
      <c r="A6446" t="s">
        <v>3811</v>
      </c>
    </row>
    <row r="6447" spans="1:1" x14ac:dyDescent="0.25">
      <c r="A6447" t="s">
        <v>3669</v>
      </c>
    </row>
    <row r="6448" spans="1:1" x14ac:dyDescent="0.25">
      <c r="A6448" t="s">
        <v>3323</v>
      </c>
    </row>
    <row r="6449" spans="1:1" x14ac:dyDescent="0.25">
      <c r="A6449" t="s">
        <v>3812</v>
      </c>
    </row>
    <row r="6450" spans="1:1" x14ac:dyDescent="0.25">
      <c r="A6450" t="s">
        <v>3326</v>
      </c>
    </row>
    <row r="6451" spans="1:1" x14ac:dyDescent="0.25">
      <c r="A6451" t="s">
        <v>3327</v>
      </c>
    </row>
    <row r="6452" spans="1:1" x14ac:dyDescent="0.25">
      <c r="A6452" t="s">
        <v>2713</v>
      </c>
    </row>
    <row r="6453" spans="1:1" x14ac:dyDescent="0.25">
      <c r="A6453" t="s">
        <v>2714</v>
      </c>
    </row>
    <row r="6454" spans="1:1" x14ac:dyDescent="0.25">
      <c r="A6454" t="s">
        <v>2714</v>
      </c>
    </row>
    <row r="6455" spans="1:1" x14ac:dyDescent="0.25">
      <c r="A6455" t="s">
        <v>2714</v>
      </c>
    </row>
    <row r="6456" spans="1:1" x14ac:dyDescent="0.25">
      <c r="A6456" t="s">
        <v>2714</v>
      </c>
    </row>
    <row r="6457" spans="1:1" x14ac:dyDescent="0.25">
      <c r="A6457" t="s">
        <v>2714</v>
      </c>
    </row>
    <row r="6458" spans="1:1" x14ac:dyDescent="0.25">
      <c r="A6458" t="s">
        <v>2714</v>
      </c>
    </row>
    <row r="6459" spans="1:1" x14ac:dyDescent="0.25">
      <c r="A6459" t="s">
        <v>2714</v>
      </c>
    </row>
    <row r="6460" spans="1:1" x14ac:dyDescent="0.25">
      <c r="A6460" t="s">
        <v>2714</v>
      </c>
    </row>
    <row r="6461" spans="1:1" x14ac:dyDescent="0.25">
      <c r="A6461" t="s">
        <v>2714</v>
      </c>
    </row>
    <row r="6462" spans="1:1" x14ac:dyDescent="0.25">
      <c r="A6462" t="s">
        <v>2714</v>
      </c>
    </row>
    <row r="6463" spans="1:1" x14ac:dyDescent="0.25">
      <c r="A6463" t="s">
        <v>2714</v>
      </c>
    </row>
    <row r="6464" spans="1:1" x14ac:dyDescent="0.25">
      <c r="A6464" t="s">
        <v>2714</v>
      </c>
    </row>
    <row r="6465" spans="1:1" x14ac:dyDescent="0.25">
      <c r="A6465" t="s">
        <v>2714</v>
      </c>
    </row>
    <row r="6466" spans="1:1" x14ac:dyDescent="0.25">
      <c r="A6466" t="s">
        <v>2714</v>
      </c>
    </row>
    <row r="6467" spans="1:1" x14ac:dyDescent="0.25">
      <c r="A6467" t="s">
        <v>2714</v>
      </c>
    </row>
    <row r="6468" spans="1:1" x14ac:dyDescent="0.25">
      <c r="A6468" t="s">
        <v>2714</v>
      </c>
    </row>
    <row r="6469" spans="1:1" x14ac:dyDescent="0.25">
      <c r="A6469" t="s">
        <v>2714</v>
      </c>
    </row>
    <row r="6470" spans="1:1" x14ac:dyDescent="0.25">
      <c r="A6470" t="s">
        <v>2714</v>
      </c>
    </row>
    <row r="6471" spans="1:1" x14ac:dyDescent="0.25">
      <c r="A6471" t="s">
        <v>2714</v>
      </c>
    </row>
    <row r="6472" spans="1:1" x14ac:dyDescent="0.25">
      <c r="A6472" t="s">
        <v>2714</v>
      </c>
    </row>
    <row r="6473" spans="1:1" x14ac:dyDescent="0.25">
      <c r="A6473" t="s">
        <v>2714</v>
      </c>
    </row>
    <row r="6474" spans="1:1" x14ac:dyDescent="0.25">
      <c r="A6474" t="s">
        <v>2714</v>
      </c>
    </row>
    <row r="6475" spans="1:1" x14ac:dyDescent="0.25">
      <c r="A6475" t="s">
        <v>2714</v>
      </c>
    </row>
    <row r="6476" spans="1:1" x14ac:dyDescent="0.25">
      <c r="A6476" t="s">
        <v>2714</v>
      </c>
    </row>
    <row r="6477" spans="1:1" x14ac:dyDescent="0.25">
      <c r="A6477" t="s">
        <v>2714</v>
      </c>
    </row>
    <row r="6478" spans="1:1" x14ac:dyDescent="0.25">
      <c r="A6478" t="s">
        <v>2714</v>
      </c>
    </row>
    <row r="6479" spans="1:1" x14ac:dyDescent="0.25">
      <c r="A6479" t="s">
        <v>2714</v>
      </c>
    </row>
    <row r="6480" spans="1:1" x14ac:dyDescent="0.25">
      <c r="A6480" t="s">
        <v>2714</v>
      </c>
    </row>
    <row r="6481" spans="1:1" x14ac:dyDescent="0.25">
      <c r="A6481" t="s">
        <v>2714</v>
      </c>
    </row>
    <row r="6482" spans="1:1" x14ac:dyDescent="0.25">
      <c r="A6482" t="s">
        <v>2714</v>
      </c>
    </row>
    <row r="6483" spans="1:1" x14ac:dyDescent="0.25">
      <c r="A6483" t="s">
        <v>2714</v>
      </c>
    </row>
    <row r="6484" spans="1:1" x14ac:dyDescent="0.25">
      <c r="A6484" t="s">
        <v>2714</v>
      </c>
    </row>
    <row r="6485" spans="1:1" x14ac:dyDescent="0.25">
      <c r="A6485" t="s">
        <v>2714</v>
      </c>
    </row>
    <row r="6486" spans="1:1" x14ac:dyDescent="0.25">
      <c r="A6486" t="s">
        <v>2714</v>
      </c>
    </row>
    <row r="6487" spans="1:1" x14ac:dyDescent="0.25">
      <c r="A6487" t="s">
        <v>2714</v>
      </c>
    </row>
    <row r="6488" spans="1:1" x14ac:dyDescent="0.25">
      <c r="A6488" t="s">
        <v>2714</v>
      </c>
    </row>
    <row r="6489" spans="1:1" x14ac:dyDescent="0.25">
      <c r="A6489" t="s">
        <v>2714</v>
      </c>
    </row>
    <row r="6490" spans="1:1" x14ac:dyDescent="0.25">
      <c r="A6490" t="s">
        <v>2714</v>
      </c>
    </row>
    <row r="6491" spans="1:1" x14ac:dyDescent="0.25">
      <c r="A6491" t="s">
        <v>2686</v>
      </c>
    </row>
    <row r="6494" spans="1:1" x14ac:dyDescent="0.25">
      <c r="A6494" t="s">
        <v>3813</v>
      </c>
    </row>
    <row r="6495" spans="1:1" x14ac:dyDescent="0.25">
      <c r="A6495" t="s">
        <v>3350</v>
      </c>
    </row>
    <row r="6496" spans="1:1" x14ac:dyDescent="0.25">
      <c r="A6496" t="s">
        <v>3351</v>
      </c>
    </row>
    <row r="6497" spans="1:1" x14ac:dyDescent="0.25">
      <c r="A6497" t="s">
        <v>3352</v>
      </c>
    </row>
    <row r="6498" spans="1:1" x14ac:dyDescent="0.25">
      <c r="A6498" t="s">
        <v>3353</v>
      </c>
    </row>
    <row r="6499" spans="1:1" x14ac:dyDescent="0.25">
      <c r="A6499" t="s">
        <v>3354</v>
      </c>
    </row>
    <row r="6500" spans="1:1" x14ac:dyDescent="0.25">
      <c r="A6500" t="s">
        <v>3355</v>
      </c>
    </row>
    <row r="6501" spans="1:1" x14ac:dyDescent="0.25">
      <c r="A6501" t="s">
        <v>3356</v>
      </c>
    </row>
    <row r="6502" spans="1:1" x14ac:dyDescent="0.25">
      <c r="A6502" t="s">
        <v>3357</v>
      </c>
    </row>
    <row r="6503" spans="1:1" x14ac:dyDescent="0.25">
      <c r="A6503" t="s">
        <v>3814</v>
      </c>
    </row>
    <row r="6504" spans="1:1" x14ac:dyDescent="0.25">
      <c r="A6504" t="s">
        <v>3815</v>
      </c>
    </row>
    <row r="6505" spans="1:1" x14ac:dyDescent="0.25">
      <c r="A6505" t="s">
        <v>3816</v>
      </c>
    </row>
    <row r="6506" spans="1:1" x14ac:dyDescent="0.25">
      <c r="A6506" t="s">
        <v>3817</v>
      </c>
    </row>
    <row r="6507" spans="1:1" x14ac:dyDescent="0.25">
      <c r="A6507" t="s">
        <v>3397</v>
      </c>
    </row>
    <row r="6508" spans="1:1" x14ac:dyDescent="0.25">
      <c r="A6508" t="s">
        <v>3818</v>
      </c>
    </row>
    <row r="6509" spans="1:1" x14ac:dyDescent="0.25">
      <c r="A6509" t="s">
        <v>3819</v>
      </c>
    </row>
    <row r="6510" spans="1:1" x14ac:dyDescent="0.25">
      <c r="A6510" t="s">
        <v>2713</v>
      </c>
    </row>
    <row r="6511" spans="1:1" x14ac:dyDescent="0.25">
      <c r="A6511" t="s">
        <v>2714</v>
      </c>
    </row>
    <row r="6512" spans="1:1" x14ac:dyDescent="0.25">
      <c r="A6512" t="s">
        <v>2714</v>
      </c>
    </row>
    <row r="6513" spans="1:1" x14ac:dyDescent="0.25">
      <c r="A6513" t="s">
        <v>2714</v>
      </c>
    </row>
    <row r="6514" spans="1:1" x14ac:dyDescent="0.25">
      <c r="A6514" t="s">
        <v>2714</v>
      </c>
    </row>
    <row r="6515" spans="1:1" x14ac:dyDescent="0.25">
      <c r="A6515" t="s">
        <v>2714</v>
      </c>
    </row>
    <row r="6516" spans="1:1" x14ac:dyDescent="0.25">
      <c r="A6516" t="s">
        <v>2714</v>
      </c>
    </row>
    <row r="6517" spans="1:1" x14ac:dyDescent="0.25">
      <c r="A6517" t="s">
        <v>2714</v>
      </c>
    </row>
    <row r="6518" spans="1:1" x14ac:dyDescent="0.25">
      <c r="A6518" t="s">
        <v>2714</v>
      </c>
    </row>
    <row r="6519" spans="1:1" x14ac:dyDescent="0.25">
      <c r="A6519" t="s">
        <v>2714</v>
      </c>
    </row>
    <row r="6520" spans="1:1" x14ac:dyDescent="0.25">
      <c r="A6520" t="s">
        <v>2714</v>
      </c>
    </row>
    <row r="6521" spans="1:1" x14ac:dyDescent="0.25">
      <c r="A6521" t="s">
        <v>2714</v>
      </c>
    </row>
    <row r="6522" spans="1:1" x14ac:dyDescent="0.25">
      <c r="A6522" t="s">
        <v>2714</v>
      </c>
    </row>
    <row r="6523" spans="1:1" x14ac:dyDescent="0.25">
      <c r="A6523" t="s">
        <v>2714</v>
      </c>
    </row>
    <row r="6524" spans="1:1" x14ac:dyDescent="0.25">
      <c r="A6524" t="s">
        <v>2714</v>
      </c>
    </row>
    <row r="6525" spans="1:1" x14ac:dyDescent="0.25">
      <c r="A6525" t="s">
        <v>2714</v>
      </c>
    </row>
    <row r="6526" spans="1:1" x14ac:dyDescent="0.25">
      <c r="A6526" t="s">
        <v>2714</v>
      </c>
    </row>
    <row r="6527" spans="1:1" x14ac:dyDescent="0.25">
      <c r="A6527" t="s">
        <v>2714</v>
      </c>
    </row>
    <row r="6528" spans="1:1" x14ac:dyDescent="0.25">
      <c r="A6528" t="s">
        <v>2714</v>
      </c>
    </row>
    <row r="6529" spans="1:1" x14ac:dyDescent="0.25">
      <c r="A6529" t="s">
        <v>2714</v>
      </c>
    </row>
    <row r="6530" spans="1:1" x14ac:dyDescent="0.25">
      <c r="A6530" t="s">
        <v>2714</v>
      </c>
    </row>
    <row r="6531" spans="1:1" x14ac:dyDescent="0.25">
      <c r="A6531" t="s">
        <v>2714</v>
      </c>
    </row>
    <row r="6532" spans="1:1" x14ac:dyDescent="0.25">
      <c r="A6532" t="s">
        <v>2714</v>
      </c>
    </row>
    <row r="6533" spans="1:1" x14ac:dyDescent="0.25">
      <c r="A6533" t="s">
        <v>2714</v>
      </c>
    </row>
    <row r="6534" spans="1:1" x14ac:dyDescent="0.25">
      <c r="A6534" t="s">
        <v>2714</v>
      </c>
    </row>
    <row r="6535" spans="1:1" x14ac:dyDescent="0.25">
      <c r="A6535" t="s">
        <v>2714</v>
      </c>
    </row>
    <row r="6536" spans="1:1" x14ac:dyDescent="0.25">
      <c r="A6536" t="s">
        <v>2714</v>
      </c>
    </row>
    <row r="6537" spans="1:1" x14ac:dyDescent="0.25">
      <c r="A6537" t="s">
        <v>2714</v>
      </c>
    </row>
    <row r="6538" spans="1:1" x14ac:dyDescent="0.25">
      <c r="A6538" t="s">
        <v>2714</v>
      </c>
    </row>
    <row r="6539" spans="1:1" x14ac:dyDescent="0.25">
      <c r="A6539" t="s">
        <v>2714</v>
      </c>
    </row>
    <row r="6540" spans="1:1" x14ac:dyDescent="0.25">
      <c r="A6540" t="s">
        <v>2714</v>
      </c>
    </row>
    <row r="6541" spans="1:1" x14ac:dyDescent="0.25">
      <c r="A6541" t="s">
        <v>2714</v>
      </c>
    </row>
    <row r="6542" spans="1:1" x14ac:dyDescent="0.25">
      <c r="A6542" t="s">
        <v>2714</v>
      </c>
    </row>
    <row r="6543" spans="1:1" x14ac:dyDescent="0.25">
      <c r="A6543" t="s">
        <v>2714</v>
      </c>
    </row>
    <row r="6544" spans="1:1" x14ac:dyDescent="0.25">
      <c r="A6544" t="s">
        <v>2714</v>
      </c>
    </row>
    <row r="6545" spans="1:1" x14ac:dyDescent="0.25">
      <c r="A6545" t="s">
        <v>2714</v>
      </c>
    </row>
    <row r="6546" spans="1:1" x14ac:dyDescent="0.25">
      <c r="A6546" t="s">
        <v>2714</v>
      </c>
    </row>
    <row r="6547" spans="1:1" x14ac:dyDescent="0.25">
      <c r="A6547" t="s">
        <v>2714</v>
      </c>
    </row>
    <row r="6548" spans="1:1" x14ac:dyDescent="0.25">
      <c r="A6548" t="s">
        <v>2714</v>
      </c>
    </row>
    <row r="6549" spans="1:1" x14ac:dyDescent="0.25">
      <c r="A6549" t="s">
        <v>2714</v>
      </c>
    </row>
    <row r="6550" spans="1:1" x14ac:dyDescent="0.25">
      <c r="A6550" t="s">
        <v>2714</v>
      </c>
    </row>
    <row r="6551" spans="1:1" x14ac:dyDescent="0.25">
      <c r="A6551" t="s">
        <v>2714</v>
      </c>
    </row>
    <row r="6552" spans="1:1" x14ac:dyDescent="0.25">
      <c r="A6552" t="s">
        <v>2714</v>
      </c>
    </row>
    <row r="6553" spans="1:1" x14ac:dyDescent="0.25">
      <c r="A6553" t="s">
        <v>2714</v>
      </c>
    </row>
    <row r="6554" spans="1:1" x14ac:dyDescent="0.25">
      <c r="A6554" t="s">
        <v>2686</v>
      </c>
    </row>
    <row r="6557" spans="1:1" x14ac:dyDescent="0.25">
      <c r="A6557" t="s">
        <v>3820</v>
      </c>
    </row>
    <row r="6558" spans="1:1" x14ac:dyDescent="0.25">
      <c r="A6558" t="s">
        <v>3821</v>
      </c>
    </row>
    <row r="6559" spans="1:1" x14ac:dyDescent="0.25">
      <c r="A6559" t="s">
        <v>3822</v>
      </c>
    </row>
    <row r="6560" spans="1:1" x14ac:dyDescent="0.25">
      <c r="A6560" t="s">
        <v>3823</v>
      </c>
    </row>
    <row r="6561" spans="1:1" x14ac:dyDescent="0.25">
      <c r="A6561" t="s">
        <v>3824</v>
      </c>
    </row>
    <row r="6562" spans="1:1" x14ac:dyDescent="0.25">
      <c r="A6562" t="s">
        <v>3825</v>
      </c>
    </row>
    <row r="6563" spans="1:1" x14ac:dyDescent="0.25">
      <c r="A6563" t="s">
        <v>3826</v>
      </c>
    </row>
    <row r="6564" spans="1:1" x14ac:dyDescent="0.25">
      <c r="A6564" t="s">
        <v>3444</v>
      </c>
    </row>
    <row r="6565" spans="1:1" x14ac:dyDescent="0.25">
      <c r="A6565" t="s">
        <v>3827</v>
      </c>
    </row>
    <row r="6566" spans="1:1" x14ac:dyDescent="0.25">
      <c r="A6566" t="s">
        <v>3828</v>
      </c>
    </row>
    <row r="6567" spans="1:1" x14ac:dyDescent="0.25">
      <c r="A6567" t="s">
        <v>3829</v>
      </c>
    </row>
    <row r="6568" spans="1:1" x14ac:dyDescent="0.25">
      <c r="A6568" t="s">
        <v>3830</v>
      </c>
    </row>
    <row r="6569" spans="1:1" x14ac:dyDescent="0.25">
      <c r="A6569" t="s">
        <v>3831</v>
      </c>
    </row>
    <row r="6570" spans="1:1" x14ac:dyDescent="0.25">
      <c r="A6570" t="s">
        <v>3216</v>
      </c>
    </row>
    <row r="6571" spans="1:1" x14ac:dyDescent="0.25">
      <c r="A6571" t="s">
        <v>3217</v>
      </c>
    </row>
    <row r="6572" spans="1:1" x14ac:dyDescent="0.25">
      <c r="A6572" t="s">
        <v>3832</v>
      </c>
    </row>
    <row r="6573" spans="1:1" x14ac:dyDescent="0.25">
      <c r="A6573" t="s">
        <v>3833</v>
      </c>
    </row>
    <row r="6574" spans="1:1" x14ac:dyDescent="0.25">
      <c r="A6574" t="s">
        <v>3834</v>
      </c>
    </row>
    <row r="6575" spans="1:1" x14ac:dyDescent="0.25">
      <c r="A6575" t="s">
        <v>3835</v>
      </c>
    </row>
    <row r="6576" spans="1:1" x14ac:dyDescent="0.25">
      <c r="A6576" t="s">
        <v>3836</v>
      </c>
    </row>
    <row r="6577" spans="1:1" x14ac:dyDescent="0.25">
      <c r="A6577" t="s">
        <v>3837</v>
      </c>
    </row>
    <row r="6578" spans="1:1" x14ac:dyDescent="0.25">
      <c r="A6578" t="s">
        <v>3838</v>
      </c>
    </row>
    <row r="6579" spans="1:1" x14ac:dyDescent="0.25">
      <c r="A6579" t="s">
        <v>3839</v>
      </c>
    </row>
    <row r="6580" spans="1:1" x14ac:dyDescent="0.25">
      <c r="A6580" t="s">
        <v>3452</v>
      </c>
    </row>
    <row r="6581" spans="1:1" x14ac:dyDescent="0.25">
      <c r="A6581" t="s">
        <v>3840</v>
      </c>
    </row>
    <row r="6582" spans="1:1" x14ac:dyDescent="0.25">
      <c r="A6582" t="s">
        <v>2713</v>
      </c>
    </row>
    <row r="6583" spans="1:1" x14ac:dyDescent="0.25">
      <c r="A6583" t="s">
        <v>2714</v>
      </c>
    </row>
    <row r="6584" spans="1:1" x14ac:dyDescent="0.25">
      <c r="A6584" t="s">
        <v>2714</v>
      </c>
    </row>
    <row r="6585" spans="1:1" x14ac:dyDescent="0.25">
      <c r="A6585" t="s">
        <v>2714</v>
      </c>
    </row>
    <row r="6586" spans="1:1" x14ac:dyDescent="0.25">
      <c r="A6586" t="s">
        <v>2714</v>
      </c>
    </row>
    <row r="6587" spans="1:1" x14ac:dyDescent="0.25">
      <c r="A6587" t="s">
        <v>2714</v>
      </c>
    </row>
    <row r="6588" spans="1:1" x14ac:dyDescent="0.25">
      <c r="A6588" t="s">
        <v>2714</v>
      </c>
    </row>
    <row r="6589" spans="1:1" x14ac:dyDescent="0.25">
      <c r="A6589" t="s">
        <v>2714</v>
      </c>
    </row>
    <row r="6590" spans="1:1" x14ac:dyDescent="0.25">
      <c r="A6590" t="s">
        <v>2714</v>
      </c>
    </row>
    <row r="6591" spans="1:1" x14ac:dyDescent="0.25">
      <c r="A6591" t="s">
        <v>2714</v>
      </c>
    </row>
    <row r="6592" spans="1:1" x14ac:dyDescent="0.25">
      <c r="A6592" t="s">
        <v>2714</v>
      </c>
    </row>
    <row r="6593" spans="1:1" x14ac:dyDescent="0.25">
      <c r="A6593" t="s">
        <v>2714</v>
      </c>
    </row>
    <row r="6594" spans="1:1" x14ac:dyDescent="0.25">
      <c r="A6594" t="s">
        <v>2714</v>
      </c>
    </row>
    <row r="6595" spans="1:1" x14ac:dyDescent="0.25">
      <c r="A6595" t="s">
        <v>2714</v>
      </c>
    </row>
    <row r="6596" spans="1:1" x14ac:dyDescent="0.25">
      <c r="A6596" t="s">
        <v>2714</v>
      </c>
    </row>
    <row r="6597" spans="1:1" x14ac:dyDescent="0.25">
      <c r="A6597" t="s">
        <v>2714</v>
      </c>
    </row>
    <row r="6598" spans="1:1" x14ac:dyDescent="0.25">
      <c r="A6598" t="s">
        <v>2714</v>
      </c>
    </row>
    <row r="6599" spans="1:1" x14ac:dyDescent="0.25">
      <c r="A6599" t="s">
        <v>2714</v>
      </c>
    </row>
    <row r="6600" spans="1:1" x14ac:dyDescent="0.25">
      <c r="A6600" t="s">
        <v>2714</v>
      </c>
    </row>
    <row r="6601" spans="1:1" x14ac:dyDescent="0.25">
      <c r="A6601" t="s">
        <v>2714</v>
      </c>
    </row>
    <row r="6602" spans="1:1" x14ac:dyDescent="0.25">
      <c r="A6602" t="s">
        <v>2714</v>
      </c>
    </row>
    <row r="6603" spans="1:1" x14ac:dyDescent="0.25">
      <c r="A6603" t="s">
        <v>2714</v>
      </c>
    </row>
    <row r="6604" spans="1:1" x14ac:dyDescent="0.25">
      <c r="A6604" t="s">
        <v>2714</v>
      </c>
    </row>
    <row r="6605" spans="1:1" x14ac:dyDescent="0.25">
      <c r="A6605" t="s">
        <v>2714</v>
      </c>
    </row>
    <row r="6606" spans="1:1" x14ac:dyDescent="0.25">
      <c r="A6606" t="s">
        <v>2714</v>
      </c>
    </row>
    <row r="6607" spans="1:1" x14ac:dyDescent="0.25">
      <c r="A6607" t="s">
        <v>2714</v>
      </c>
    </row>
    <row r="6608" spans="1:1" x14ac:dyDescent="0.25">
      <c r="A6608" t="s">
        <v>2714</v>
      </c>
    </row>
    <row r="6609" spans="1:1" x14ac:dyDescent="0.25">
      <c r="A6609" t="s">
        <v>2714</v>
      </c>
    </row>
    <row r="6610" spans="1:1" x14ac:dyDescent="0.25">
      <c r="A6610" t="s">
        <v>2714</v>
      </c>
    </row>
    <row r="6611" spans="1:1" x14ac:dyDescent="0.25">
      <c r="A6611" t="s">
        <v>2714</v>
      </c>
    </row>
    <row r="6612" spans="1:1" x14ac:dyDescent="0.25">
      <c r="A6612" t="s">
        <v>2714</v>
      </c>
    </row>
    <row r="6613" spans="1:1" x14ac:dyDescent="0.25">
      <c r="A6613" t="s">
        <v>2714</v>
      </c>
    </row>
    <row r="6614" spans="1:1" x14ac:dyDescent="0.25">
      <c r="A6614" t="s">
        <v>2714</v>
      </c>
    </row>
    <row r="6615" spans="1:1" x14ac:dyDescent="0.25">
      <c r="A6615" t="s">
        <v>2714</v>
      </c>
    </row>
    <row r="6616" spans="1:1" x14ac:dyDescent="0.25">
      <c r="A6616" t="s">
        <v>2714</v>
      </c>
    </row>
    <row r="6617" spans="1:1" x14ac:dyDescent="0.25">
      <c r="A6617" t="s">
        <v>2686</v>
      </c>
    </row>
    <row r="6620" spans="1:1" x14ac:dyDescent="0.25">
      <c r="A6620" t="s">
        <v>3841</v>
      </c>
    </row>
    <row r="6621" spans="1:1" x14ac:dyDescent="0.25">
      <c r="A6621" t="s">
        <v>3842</v>
      </c>
    </row>
    <row r="6622" spans="1:1" x14ac:dyDescent="0.25">
      <c r="A6622" t="s">
        <v>3843</v>
      </c>
    </row>
    <row r="6623" spans="1:1" x14ac:dyDescent="0.25">
      <c r="A6623" t="s">
        <v>2845</v>
      </c>
    </row>
    <row r="6624" spans="1:1" x14ac:dyDescent="0.25">
      <c r="A6624" t="s">
        <v>3844</v>
      </c>
    </row>
    <row r="6625" spans="1:1" x14ac:dyDescent="0.25">
      <c r="A6625" t="s">
        <v>3845</v>
      </c>
    </row>
    <row r="6626" spans="1:1" x14ac:dyDescent="0.25">
      <c r="A6626" t="s">
        <v>3846</v>
      </c>
    </row>
    <row r="6627" spans="1:1" x14ac:dyDescent="0.25">
      <c r="A6627" t="s">
        <v>3847</v>
      </c>
    </row>
    <row r="6628" spans="1:1" x14ac:dyDescent="0.25">
      <c r="A6628" t="s">
        <v>2846</v>
      </c>
    </row>
    <row r="6629" spans="1:1" x14ac:dyDescent="0.25">
      <c r="A6629" t="s">
        <v>3848</v>
      </c>
    </row>
    <row r="6630" spans="1:1" x14ac:dyDescent="0.25">
      <c r="A6630" t="s">
        <v>2847</v>
      </c>
    </row>
    <row r="6631" spans="1:1" x14ac:dyDescent="0.25">
      <c r="A6631" t="s">
        <v>3849</v>
      </c>
    </row>
    <row r="6632" spans="1:1" x14ac:dyDescent="0.25">
      <c r="A6632" t="s">
        <v>2708</v>
      </c>
    </row>
    <row r="6633" spans="1:1" x14ac:dyDescent="0.25">
      <c r="A6633" t="s">
        <v>3850</v>
      </c>
    </row>
    <row r="6634" spans="1:1" x14ac:dyDescent="0.25">
      <c r="A6634" t="s">
        <v>3851</v>
      </c>
    </row>
    <row r="6635" spans="1:1" x14ac:dyDescent="0.25">
      <c r="A6635" t="s">
        <v>2709</v>
      </c>
    </row>
    <row r="6636" spans="1:1" x14ac:dyDescent="0.25">
      <c r="A6636" t="s">
        <v>2710</v>
      </c>
    </row>
    <row r="6637" spans="1:1" x14ac:dyDescent="0.25">
      <c r="A6637" t="s">
        <v>3852</v>
      </c>
    </row>
    <row r="6638" spans="1:1" x14ac:dyDescent="0.25">
      <c r="A6638" t="s">
        <v>3853</v>
      </c>
    </row>
    <row r="6639" spans="1:1" x14ac:dyDescent="0.25">
      <c r="A6639" t="s">
        <v>3854</v>
      </c>
    </row>
    <row r="6640" spans="1:1" x14ac:dyDescent="0.25">
      <c r="A6640" t="s">
        <v>3855</v>
      </c>
    </row>
    <row r="6641" spans="1:1" x14ac:dyDescent="0.25">
      <c r="A6641" t="s">
        <v>3856</v>
      </c>
    </row>
    <row r="6642" spans="1:1" x14ac:dyDescent="0.25">
      <c r="A6642" t="s">
        <v>3857</v>
      </c>
    </row>
    <row r="6643" spans="1:1" x14ac:dyDescent="0.25">
      <c r="A6643" t="s">
        <v>3858</v>
      </c>
    </row>
    <row r="6644" spans="1:1" x14ac:dyDescent="0.25">
      <c r="A6644" t="s">
        <v>3388</v>
      </c>
    </row>
    <row r="6645" spans="1:1" x14ac:dyDescent="0.25">
      <c r="A6645" t="s">
        <v>2711</v>
      </c>
    </row>
    <row r="6646" spans="1:1" x14ac:dyDescent="0.25">
      <c r="A6646" t="s">
        <v>2713</v>
      </c>
    </row>
    <row r="6647" spans="1:1" x14ac:dyDescent="0.25">
      <c r="A6647" t="s">
        <v>2714</v>
      </c>
    </row>
    <row r="6648" spans="1:1" x14ac:dyDescent="0.25">
      <c r="A6648" t="s">
        <v>2714</v>
      </c>
    </row>
    <row r="6649" spans="1:1" x14ac:dyDescent="0.25">
      <c r="A6649" t="s">
        <v>2714</v>
      </c>
    </row>
    <row r="6650" spans="1:1" x14ac:dyDescent="0.25">
      <c r="A6650" t="s">
        <v>2714</v>
      </c>
    </row>
    <row r="6651" spans="1:1" x14ac:dyDescent="0.25">
      <c r="A6651" t="s">
        <v>2714</v>
      </c>
    </row>
    <row r="6652" spans="1:1" x14ac:dyDescent="0.25">
      <c r="A6652" t="s">
        <v>2714</v>
      </c>
    </row>
    <row r="6653" spans="1:1" x14ac:dyDescent="0.25">
      <c r="A6653" t="s">
        <v>2714</v>
      </c>
    </row>
    <row r="6654" spans="1:1" x14ac:dyDescent="0.25">
      <c r="A6654" t="s">
        <v>2714</v>
      </c>
    </row>
    <row r="6655" spans="1:1" x14ac:dyDescent="0.25">
      <c r="A6655" t="s">
        <v>2714</v>
      </c>
    </row>
    <row r="6656" spans="1:1" x14ac:dyDescent="0.25">
      <c r="A6656" t="s">
        <v>2714</v>
      </c>
    </row>
    <row r="6657" spans="1:1" x14ac:dyDescent="0.25">
      <c r="A6657" t="s">
        <v>2714</v>
      </c>
    </row>
    <row r="6658" spans="1:1" x14ac:dyDescent="0.25">
      <c r="A6658" t="s">
        <v>2714</v>
      </c>
    </row>
    <row r="6659" spans="1:1" x14ac:dyDescent="0.25">
      <c r="A6659" t="s">
        <v>2714</v>
      </c>
    </row>
    <row r="6660" spans="1:1" x14ac:dyDescent="0.25">
      <c r="A6660" t="s">
        <v>2714</v>
      </c>
    </row>
    <row r="6661" spans="1:1" x14ac:dyDescent="0.25">
      <c r="A6661" t="s">
        <v>2714</v>
      </c>
    </row>
    <row r="6662" spans="1:1" x14ac:dyDescent="0.25">
      <c r="A6662" t="s">
        <v>2714</v>
      </c>
    </row>
    <row r="6663" spans="1:1" x14ac:dyDescent="0.25">
      <c r="A6663" t="s">
        <v>2714</v>
      </c>
    </row>
    <row r="6664" spans="1:1" x14ac:dyDescent="0.25">
      <c r="A6664" t="s">
        <v>2714</v>
      </c>
    </row>
    <row r="6665" spans="1:1" x14ac:dyDescent="0.25">
      <c r="A6665" t="s">
        <v>2714</v>
      </c>
    </row>
    <row r="6666" spans="1:1" x14ac:dyDescent="0.25">
      <c r="A6666" t="s">
        <v>2714</v>
      </c>
    </row>
    <row r="6667" spans="1:1" x14ac:dyDescent="0.25">
      <c r="A6667" t="s">
        <v>2714</v>
      </c>
    </row>
    <row r="6668" spans="1:1" x14ac:dyDescent="0.25">
      <c r="A6668" t="s">
        <v>2714</v>
      </c>
    </row>
    <row r="6669" spans="1:1" x14ac:dyDescent="0.25">
      <c r="A6669" t="s">
        <v>2714</v>
      </c>
    </row>
    <row r="6670" spans="1:1" x14ac:dyDescent="0.25">
      <c r="A6670" t="s">
        <v>2714</v>
      </c>
    </row>
    <row r="6671" spans="1:1" x14ac:dyDescent="0.25">
      <c r="A6671" t="s">
        <v>2714</v>
      </c>
    </row>
    <row r="6672" spans="1:1" x14ac:dyDescent="0.25">
      <c r="A6672" t="s">
        <v>2714</v>
      </c>
    </row>
    <row r="6673" spans="1:1" x14ac:dyDescent="0.25">
      <c r="A6673" t="s">
        <v>2714</v>
      </c>
    </row>
    <row r="6674" spans="1:1" x14ac:dyDescent="0.25">
      <c r="A6674" t="s">
        <v>2714</v>
      </c>
    </row>
    <row r="6675" spans="1:1" x14ac:dyDescent="0.25">
      <c r="A6675" t="s">
        <v>2714</v>
      </c>
    </row>
    <row r="6676" spans="1:1" x14ac:dyDescent="0.25">
      <c r="A6676" t="s">
        <v>2714</v>
      </c>
    </row>
    <row r="6677" spans="1:1" x14ac:dyDescent="0.25">
      <c r="A6677" t="s">
        <v>2714</v>
      </c>
    </row>
    <row r="6678" spans="1:1" x14ac:dyDescent="0.25">
      <c r="A6678" t="s">
        <v>2714</v>
      </c>
    </row>
    <row r="6679" spans="1:1" x14ac:dyDescent="0.25">
      <c r="A6679" t="s">
        <v>2714</v>
      </c>
    </row>
    <row r="6680" spans="1:1" x14ac:dyDescent="0.25">
      <c r="A6680" t="s">
        <v>2686</v>
      </c>
    </row>
    <row r="6683" spans="1:1" x14ac:dyDescent="0.25">
      <c r="A6683" t="s">
        <v>3859</v>
      </c>
    </row>
    <row r="6684" spans="1:1" x14ac:dyDescent="0.25">
      <c r="A6684" t="s">
        <v>2713</v>
      </c>
    </row>
    <row r="6685" spans="1:1" x14ac:dyDescent="0.25">
      <c r="A6685" t="s">
        <v>2714</v>
      </c>
    </row>
    <row r="6686" spans="1:1" x14ac:dyDescent="0.25">
      <c r="A6686" t="s">
        <v>2714</v>
      </c>
    </row>
    <row r="6687" spans="1:1" x14ac:dyDescent="0.25">
      <c r="A6687" t="s">
        <v>2714</v>
      </c>
    </row>
    <row r="6688" spans="1:1" x14ac:dyDescent="0.25">
      <c r="A6688" t="s">
        <v>2714</v>
      </c>
    </row>
    <row r="6689" spans="1:1" x14ac:dyDescent="0.25">
      <c r="A6689" t="s">
        <v>2714</v>
      </c>
    </row>
    <row r="6690" spans="1:1" x14ac:dyDescent="0.25">
      <c r="A6690" t="s">
        <v>2714</v>
      </c>
    </row>
    <row r="6691" spans="1:1" x14ac:dyDescent="0.25">
      <c r="A6691" t="s">
        <v>2714</v>
      </c>
    </row>
    <row r="6692" spans="1:1" x14ac:dyDescent="0.25">
      <c r="A6692" t="s">
        <v>2714</v>
      </c>
    </row>
    <row r="6693" spans="1:1" x14ac:dyDescent="0.25">
      <c r="A6693" t="s">
        <v>2714</v>
      </c>
    </row>
    <row r="6694" spans="1:1" x14ac:dyDescent="0.25">
      <c r="A6694" t="s">
        <v>2714</v>
      </c>
    </row>
    <row r="6695" spans="1:1" x14ac:dyDescent="0.25">
      <c r="A6695" t="s">
        <v>2714</v>
      </c>
    </row>
    <row r="6696" spans="1:1" x14ac:dyDescent="0.25">
      <c r="A6696" t="s">
        <v>2714</v>
      </c>
    </row>
    <row r="6697" spans="1:1" x14ac:dyDescent="0.25">
      <c r="A6697" t="s">
        <v>2714</v>
      </c>
    </row>
    <row r="6698" spans="1:1" x14ac:dyDescent="0.25">
      <c r="A6698" t="s">
        <v>2714</v>
      </c>
    </row>
    <row r="6699" spans="1:1" x14ac:dyDescent="0.25">
      <c r="A6699" t="s">
        <v>2714</v>
      </c>
    </row>
    <row r="6700" spans="1:1" x14ac:dyDescent="0.25">
      <c r="A6700" t="s">
        <v>2714</v>
      </c>
    </row>
    <row r="6701" spans="1:1" x14ac:dyDescent="0.25">
      <c r="A6701" t="s">
        <v>2714</v>
      </c>
    </row>
    <row r="6702" spans="1:1" x14ac:dyDescent="0.25">
      <c r="A6702" t="s">
        <v>2714</v>
      </c>
    </row>
    <row r="6703" spans="1:1" x14ac:dyDescent="0.25">
      <c r="A6703" t="s">
        <v>2714</v>
      </c>
    </row>
    <row r="6704" spans="1:1" x14ac:dyDescent="0.25">
      <c r="A6704" t="s">
        <v>2714</v>
      </c>
    </row>
    <row r="6705" spans="1:1" x14ac:dyDescent="0.25">
      <c r="A6705" t="s">
        <v>2714</v>
      </c>
    </row>
    <row r="6706" spans="1:1" x14ac:dyDescent="0.25">
      <c r="A6706" t="s">
        <v>2714</v>
      </c>
    </row>
    <row r="6707" spans="1:1" x14ac:dyDescent="0.25">
      <c r="A6707" t="s">
        <v>2714</v>
      </c>
    </row>
    <row r="6708" spans="1:1" x14ac:dyDescent="0.25">
      <c r="A6708" t="s">
        <v>2714</v>
      </c>
    </row>
    <row r="6709" spans="1:1" x14ac:dyDescent="0.25">
      <c r="A6709" t="s">
        <v>2714</v>
      </c>
    </row>
    <row r="6710" spans="1:1" x14ac:dyDescent="0.25">
      <c r="A6710" t="s">
        <v>2714</v>
      </c>
    </row>
    <row r="6711" spans="1:1" x14ac:dyDescent="0.25">
      <c r="A6711" t="s">
        <v>2714</v>
      </c>
    </row>
    <row r="6712" spans="1:1" x14ac:dyDescent="0.25">
      <c r="A6712" t="s">
        <v>2714</v>
      </c>
    </row>
    <row r="6713" spans="1:1" x14ac:dyDescent="0.25">
      <c r="A6713" t="s">
        <v>2714</v>
      </c>
    </row>
    <row r="6714" spans="1:1" x14ac:dyDescent="0.25">
      <c r="A6714" t="s">
        <v>2714</v>
      </c>
    </row>
    <row r="6715" spans="1:1" x14ac:dyDescent="0.25">
      <c r="A6715" t="s">
        <v>2714</v>
      </c>
    </row>
    <row r="6716" spans="1:1" x14ac:dyDescent="0.25">
      <c r="A6716" t="s">
        <v>2714</v>
      </c>
    </row>
    <row r="6717" spans="1:1" x14ac:dyDescent="0.25">
      <c r="A6717" t="s">
        <v>2714</v>
      </c>
    </row>
    <row r="6718" spans="1:1" x14ac:dyDescent="0.25">
      <c r="A6718" t="s">
        <v>2714</v>
      </c>
    </row>
    <row r="6719" spans="1:1" x14ac:dyDescent="0.25">
      <c r="A6719" t="s">
        <v>2714</v>
      </c>
    </row>
    <row r="6720" spans="1:1" x14ac:dyDescent="0.25">
      <c r="A6720" t="s">
        <v>2714</v>
      </c>
    </row>
    <row r="6721" spans="1:1" x14ac:dyDescent="0.25">
      <c r="A6721" t="s">
        <v>2714</v>
      </c>
    </row>
    <row r="6722" spans="1:1" x14ac:dyDescent="0.25">
      <c r="A6722" t="s">
        <v>2714</v>
      </c>
    </row>
    <row r="6723" spans="1:1" x14ac:dyDescent="0.25">
      <c r="A6723" t="s">
        <v>2714</v>
      </c>
    </row>
    <row r="6724" spans="1:1" x14ac:dyDescent="0.25">
      <c r="A6724" t="s">
        <v>2714</v>
      </c>
    </row>
    <row r="6725" spans="1:1" x14ac:dyDescent="0.25">
      <c r="A6725" t="s">
        <v>2714</v>
      </c>
    </row>
    <row r="6726" spans="1:1" x14ac:dyDescent="0.25">
      <c r="A6726" t="s">
        <v>2714</v>
      </c>
    </row>
    <row r="6727" spans="1:1" x14ac:dyDescent="0.25">
      <c r="A6727" t="s">
        <v>2714</v>
      </c>
    </row>
    <row r="6728" spans="1:1" x14ac:dyDescent="0.25">
      <c r="A6728" t="s">
        <v>2714</v>
      </c>
    </row>
    <row r="6729" spans="1:1" x14ac:dyDescent="0.25">
      <c r="A6729" t="s">
        <v>2714</v>
      </c>
    </row>
    <row r="6730" spans="1:1" x14ac:dyDescent="0.25">
      <c r="A6730" t="s">
        <v>2714</v>
      </c>
    </row>
    <row r="6731" spans="1:1" x14ac:dyDescent="0.25">
      <c r="A6731" t="s">
        <v>2714</v>
      </c>
    </row>
    <row r="6732" spans="1:1" x14ac:dyDescent="0.25">
      <c r="A6732" t="s">
        <v>2714</v>
      </c>
    </row>
    <row r="6733" spans="1:1" x14ac:dyDescent="0.25">
      <c r="A6733" t="s">
        <v>2714</v>
      </c>
    </row>
    <row r="6734" spans="1:1" x14ac:dyDescent="0.25">
      <c r="A6734" t="s">
        <v>2714</v>
      </c>
    </row>
    <row r="6735" spans="1:1" x14ac:dyDescent="0.25">
      <c r="A6735" t="s">
        <v>2714</v>
      </c>
    </row>
    <row r="6736" spans="1:1" x14ac:dyDescent="0.25">
      <c r="A6736" t="s">
        <v>2714</v>
      </c>
    </row>
    <row r="6737" spans="1:1" x14ac:dyDescent="0.25">
      <c r="A6737" t="s">
        <v>2714</v>
      </c>
    </row>
    <row r="6738" spans="1:1" x14ac:dyDescent="0.25">
      <c r="A6738" t="s">
        <v>2714</v>
      </c>
    </row>
    <row r="6739" spans="1:1" x14ac:dyDescent="0.25">
      <c r="A6739" t="s">
        <v>2714</v>
      </c>
    </row>
    <row r="6740" spans="1:1" x14ac:dyDescent="0.25">
      <c r="A6740" t="s">
        <v>2714</v>
      </c>
    </row>
    <row r="6741" spans="1:1" x14ac:dyDescent="0.25">
      <c r="A6741" t="s">
        <v>2714</v>
      </c>
    </row>
    <row r="6742" spans="1:1" x14ac:dyDescent="0.25">
      <c r="A6742" t="s">
        <v>2714</v>
      </c>
    </row>
    <row r="6743" spans="1:1" x14ac:dyDescent="0.25">
      <c r="A6743" t="s">
        <v>2686</v>
      </c>
    </row>
    <row r="6746" spans="1:1" x14ac:dyDescent="0.25">
      <c r="A6746" t="s">
        <v>3860</v>
      </c>
    </row>
    <row r="6747" spans="1:1" x14ac:dyDescent="0.25">
      <c r="A6747" t="s">
        <v>3861</v>
      </c>
    </row>
    <row r="6748" spans="1:1" x14ac:dyDescent="0.25">
      <c r="A6748" t="s">
        <v>2713</v>
      </c>
    </row>
    <row r="6749" spans="1:1" x14ac:dyDescent="0.25">
      <c r="A6749" t="s">
        <v>2714</v>
      </c>
    </row>
    <row r="6750" spans="1:1" x14ac:dyDescent="0.25">
      <c r="A6750" t="s">
        <v>2714</v>
      </c>
    </row>
    <row r="6751" spans="1:1" x14ac:dyDescent="0.25">
      <c r="A6751" t="s">
        <v>2714</v>
      </c>
    </row>
    <row r="6752" spans="1:1" x14ac:dyDescent="0.25">
      <c r="A6752" t="s">
        <v>2714</v>
      </c>
    </row>
    <row r="6753" spans="1:1" x14ac:dyDescent="0.25">
      <c r="A6753" t="s">
        <v>2714</v>
      </c>
    </row>
    <row r="6754" spans="1:1" x14ac:dyDescent="0.25">
      <c r="A6754" t="s">
        <v>2714</v>
      </c>
    </row>
    <row r="6755" spans="1:1" x14ac:dyDescent="0.25">
      <c r="A6755" t="s">
        <v>2714</v>
      </c>
    </row>
    <row r="6756" spans="1:1" x14ac:dyDescent="0.25">
      <c r="A6756" t="s">
        <v>2714</v>
      </c>
    </row>
    <row r="6757" spans="1:1" x14ac:dyDescent="0.25">
      <c r="A6757" t="s">
        <v>2714</v>
      </c>
    </row>
    <row r="6758" spans="1:1" x14ac:dyDescent="0.25">
      <c r="A6758" t="s">
        <v>2714</v>
      </c>
    </row>
    <row r="6759" spans="1:1" x14ac:dyDescent="0.25">
      <c r="A6759" t="s">
        <v>2714</v>
      </c>
    </row>
    <row r="6760" spans="1:1" x14ac:dyDescent="0.25">
      <c r="A6760" t="s">
        <v>2714</v>
      </c>
    </row>
    <row r="6761" spans="1:1" x14ac:dyDescent="0.25">
      <c r="A6761" t="s">
        <v>2714</v>
      </c>
    </row>
    <row r="6762" spans="1:1" x14ac:dyDescent="0.25">
      <c r="A6762" t="s">
        <v>2714</v>
      </c>
    </row>
    <row r="6763" spans="1:1" x14ac:dyDescent="0.25">
      <c r="A6763" t="s">
        <v>2714</v>
      </c>
    </row>
    <row r="6764" spans="1:1" x14ac:dyDescent="0.25">
      <c r="A6764" t="s">
        <v>2714</v>
      </c>
    </row>
    <row r="6765" spans="1:1" x14ac:dyDescent="0.25">
      <c r="A6765" t="s">
        <v>2714</v>
      </c>
    </row>
    <row r="6766" spans="1:1" x14ac:dyDescent="0.25">
      <c r="A6766" t="s">
        <v>2714</v>
      </c>
    </row>
    <row r="6767" spans="1:1" x14ac:dyDescent="0.25">
      <c r="A6767" t="s">
        <v>2714</v>
      </c>
    </row>
    <row r="6768" spans="1:1" x14ac:dyDescent="0.25">
      <c r="A6768" t="s">
        <v>2714</v>
      </c>
    </row>
    <row r="6769" spans="1:1" x14ac:dyDescent="0.25">
      <c r="A6769" t="s">
        <v>2714</v>
      </c>
    </row>
    <row r="6770" spans="1:1" x14ac:dyDescent="0.25">
      <c r="A6770" t="s">
        <v>2714</v>
      </c>
    </row>
    <row r="6771" spans="1:1" x14ac:dyDescent="0.25">
      <c r="A6771" t="s">
        <v>2714</v>
      </c>
    </row>
    <row r="6772" spans="1:1" x14ac:dyDescent="0.25">
      <c r="A6772" t="s">
        <v>2714</v>
      </c>
    </row>
    <row r="6773" spans="1:1" x14ac:dyDescent="0.25">
      <c r="A6773" t="s">
        <v>2714</v>
      </c>
    </row>
    <row r="6774" spans="1:1" x14ac:dyDescent="0.25">
      <c r="A6774" t="s">
        <v>2714</v>
      </c>
    </row>
    <row r="6775" spans="1:1" x14ac:dyDescent="0.25">
      <c r="A6775" t="s">
        <v>2714</v>
      </c>
    </row>
    <row r="6776" spans="1:1" x14ac:dyDescent="0.25">
      <c r="A6776" t="s">
        <v>2714</v>
      </c>
    </row>
    <row r="6777" spans="1:1" x14ac:dyDescent="0.25">
      <c r="A6777" t="s">
        <v>2714</v>
      </c>
    </row>
    <row r="6778" spans="1:1" x14ac:dyDescent="0.25">
      <c r="A6778" t="s">
        <v>2714</v>
      </c>
    </row>
    <row r="6779" spans="1:1" x14ac:dyDescent="0.25">
      <c r="A6779" t="s">
        <v>2714</v>
      </c>
    </row>
    <row r="6780" spans="1:1" x14ac:dyDescent="0.25">
      <c r="A6780" t="s">
        <v>2714</v>
      </c>
    </row>
    <row r="6781" spans="1:1" x14ac:dyDescent="0.25">
      <c r="A6781" t="s">
        <v>2714</v>
      </c>
    </row>
    <row r="6782" spans="1:1" x14ac:dyDescent="0.25">
      <c r="A6782" t="s">
        <v>2714</v>
      </c>
    </row>
    <row r="6783" spans="1:1" x14ac:dyDescent="0.25">
      <c r="A6783" t="s">
        <v>2714</v>
      </c>
    </row>
    <row r="6784" spans="1:1" x14ac:dyDescent="0.25">
      <c r="A6784" t="s">
        <v>2714</v>
      </c>
    </row>
    <row r="6785" spans="1:1" x14ac:dyDescent="0.25">
      <c r="A6785" t="s">
        <v>2714</v>
      </c>
    </row>
    <row r="6786" spans="1:1" x14ac:dyDescent="0.25">
      <c r="A6786" t="s">
        <v>2714</v>
      </c>
    </row>
    <row r="6787" spans="1:1" x14ac:dyDescent="0.25">
      <c r="A6787" t="s">
        <v>2714</v>
      </c>
    </row>
    <row r="6788" spans="1:1" x14ac:dyDescent="0.25">
      <c r="A6788" t="s">
        <v>2714</v>
      </c>
    </row>
    <row r="6789" spans="1:1" x14ac:dyDescent="0.25">
      <c r="A6789" t="s">
        <v>2714</v>
      </c>
    </row>
    <row r="6790" spans="1:1" x14ac:dyDescent="0.25">
      <c r="A6790" t="s">
        <v>2714</v>
      </c>
    </row>
    <row r="6791" spans="1:1" x14ac:dyDescent="0.25">
      <c r="A6791" t="s">
        <v>2714</v>
      </c>
    </row>
    <row r="6792" spans="1:1" x14ac:dyDescent="0.25">
      <c r="A6792" t="s">
        <v>2714</v>
      </c>
    </row>
    <row r="6793" spans="1:1" x14ac:dyDescent="0.25">
      <c r="A6793" t="s">
        <v>2714</v>
      </c>
    </row>
    <row r="6794" spans="1:1" x14ac:dyDescent="0.25">
      <c r="A6794" t="s">
        <v>2714</v>
      </c>
    </row>
    <row r="6795" spans="1:1" x14ac:dyDescent="0.25">
      <c r="A6795" t="s">
        <v>2714</v>
      </c>
    </row>
    <row r="6796" spans="1:1" x14ac:dyDescent="0.25">
      <c r="A6796" t="s">
        <v>2714</v>
      </c>
    </row>
    <row r="6797" spans="1:1" x14ac:dyDescent="0.25">
      <c r="A6797" t="s">
        <v>2714</v>
      </c>
    </row>
    <row r="6798" spans="1:1" x14ac:dyDescent="0.25">
      <c r="A6798" t="s">
        <v>2714</v>
      </c>
    </row>
    <row r="6799" spans="1:1" x14ac:dyDescent="0.25">
      <c r="A6799" t="s">
        <v>2714</v>
      </c>
    </row>
    <row r="6800" spans="1:1" x14ac:dyDescent="0.25">
      <c r="A6800" t="s">
        <v>2714</v>
      </c>
    </row>
    <row r="6801" spans="1:1" x14ac:dyDescent="0.25">
      <c r="A6801" t="s">
        <v>2714</v>
      </c>
    </row>
    <row r="6802" spans="1:1" x14ac:dyDescent="0.25">
      <c r="A6802" t="s">
        <v>2714</v>
      </c>
    </row>
    <row r="6803" spans="1:1" x14ac:dyDescent="0.25">
      <c r="A6803" t="s">
        <v>2714</v>
      </c>
    </row>
    <row r="6804" spans="1:1" x14ac:dyDescent="0.25">
      <c r="A6804" t="s">
        <v>2714</v>
      </c>
    </row>
    <row r="6805" spans="1:1" x14ac:dyDescent="0.25">
      <c r="A6805" t="s">
        <v>2714</v>
      </c>
    </row>
    <row r="6806" spans="1:1" x14ac:dyDescent="0.25">
      <c r="A6806" t="s">
        <v>2686</v>
      </c>
    </row>
    <row r="6809" spans="1:1" x14ac:dyDescent="0.25">
      <c r="A6809" t="s">
        <v>3862</v>
      </c>
    </row>
    <row r="6810" spans="1:1" x14ac:dyDescent="0.25">
      <c r="A6810" t="s">
        <v>2713</v>
      </c>
    </row>
    <row r="6811" spans="1:1" x14ac:dyDescent="0.25">
      <c r="A6811" t="s">
        <v>2714</v>
      </c>
    </row>
    <row r="6812" spans="1:1" x14ac:dyDescent="0.25">
      <c r="A6812" t="s">
        <v>2714</v>
      </c>
    </row>
    <row r="6813" spans="1:1" x14ac:dyDescent="0.25">
      <c r="A6813" t="s">
        <v>2714</v>
      </c>
    </row>
    <row r="6814" spans="1:1" x14ac:dyDescent="0.25">
      <c r="A6814" t="s">
        <v>2714</v>
      </c>
    </row>
    <row r="6815" spans="1:1" x14ac:dyDescent="0.25">
      <c r="A6815" t="s">
        <v>2714</v>
      </c>
    </row>
    <row r="6816" spans="1:1" x14ac:dyDescent="0.25">
      <c r="A6816" t="s">
        <v>2714</v>
      </c>
    </row>
    <row r="6817" spans="1:1" x14ac:dyDescent="0.25">
      <c r="A6817" t="s">
        <v>2714</v>
      </c>
    </row>
    <row r="6818" spans="1:1" x14ac:dyDescent="0.25">
      <c r="A6818" t="s">
        <v>2714</v>
      </c>
    </row>
    <row r="6819" spans="1:1" x14ac:dyDescent="0.25">
      <c r="A6819" t="s">
        <v>2714</v>
      </c>
    </row>
    <row r="6820" spans="1:1" x14ac:dyDescent="0.25">
      <c r="A6820" t="s">
        <v>2714</v>
      </c>
    </row>
    <row r="6821" spans="1:1" x14ac:dyDescent="0.25">
      <c r="A6821" t="s">
        <v>2714</v>
      </c>
    </row>
    <row r="6822" spans="1:1" x14ac:dyDescent="0.25">
      <c r="A6822" t="s">
        <v>2714</v>
      </c>
    </row>
    <row r="6823" spans="1:1" x14ac:dyDescent="0.25">
      <c r="A6823" t="s">
        <v>2714</v>
      </c>
    </row>
    <row r="6824" spans="1:1" x14ac:dyDescent="0.25">
      <c r="A6824" t="s">
        <v>2714</v>
      </c>
    </row>
    <row r="6825" spans="1:1" x14ac:dyDescent="0.25">
      <c r="A6825" t="s">
        <v>2714</v>
      </c>
    </row>
    <row r="6826" spans="1:1" x14ac:dyDescent="0.25">
      <c r="A6826" t="s">
        <v>2714</v>
      </c>
    </row>
    <row r="6827" spans="1:1" x14ac:dyDescent="0.25">
      <c r="A6827" t="s">
        <v>2714</v>
      </c>
    </row>
    <row r="6828" spans="1:1" x14ac:dyDescent="0.25">
      <c r="A6828" t="s">
        <v>2714</v>
      </c>
    </row>
    <row r="6829" spans="1:1" x14ac:dyDescent="0.25">
      <c r="A6829" t="s">
        <v>2714</v>
      </c>
    </row>
    <row r="6830" spans="1:1" x14ac:dyDescent="0.25">
      <c r="A6830" t="s">
        <v>2714</v>
      </c>
    </row>
    <row r="6831" spans="1:1" x14ac:dyDescent="0.25">
      <c r="A6831" t="s">
        <v>2714</v>
      </c>
    </row>
    <row r="6832" spans="1:1" x14ac:dyDescent="0.25">
      <c r="A6832" t="s">
        <v>2714</v>
      </c>
    </row>
    <row r="6833" spans="1:1" x14ac:dyDescent="0.25">
      <c r="A6833" t="s">
        <v>2714</v>
      </c>
    </row>
    <row r="6834" spans="1:1" x14ac:dyDescent="0.25">
      <c r="A6834" t="s">
        <v>2714</v>
      </c>
    </row>
    <row r="6835" spans="1:1" x14ac:dyDescent="0.25">
      <c r="A6835" t="s">
        <v>2714</v>
      </c>
    </row>
    <row r="6836" spans="1:1" x14ac:dyDescent="0.25">
      <c r="A6836" t="s">
        <v>2714</v>
      </c>
    </row>
    <row r="6837" spans="1:1" x14ac:dyDescent="0.25">
      <c r="A6837" t="s">
        <v>2714</v>
      </c>
    </row>
    <row r="6838" spans="1:1" x14ac:dyDescent="0.25">
      <c r="A6838" t="s">
        <v>2714</v>
      </c>
    </row>
    <row r="6839" spans="1:1" x14ac:dyDescent="0.25">
      <c r="A6839" t="s">
        <v>2714</v>
      </c>
    </row>
    <row r="6840" spans="1:1" x14ac:dyDescent="0.25">
      <c r="A6840" t="s">
        <v>2714</v>
      </c>
    </row>
    <row r="6841" spans="1:1" x14ac:dyDescent="0.25">
      <c r="A6841" t="s">
        <v>2714</v>
      </c>
    </row>
    <row r="6842" spans="1:1" x14ac:dyDescent="0.25">
      <c r="A6842" t="s">
        <v>2714</v>
      </c>
    </row>
    <row r="6843" spans="1:1" x14ac:dyDescent="0.25">
      <c r="A6843" t="s">
        <v>2714</v>
      </c>
    </row>
    <row r="6844" spans="1:1" x14ac:dyDescent="0.25">
      <c r="A6844" t="s">
        <v>2714</v>
      </c>
    </row>
    <row r="6845" spans="1:1" x14ac:dyDescent="0.25">
      <c r="A6845" t="s">
        <v>2714</v>
      </c>
    </row>
    <row r="6846" spans="1:1" x14ac:dyDescent="0.25">
      <c r="A6846" t="s">
        <v>2714</v>
      </c>
    </row>
    <row r="6847" spans="1:1" x14ac:dyDescent="0.25">
      <c r="A6847" t="s">
        <v>2714</v>
      </c>
    </row>
    <row r="6848" spans="1:1" x14ac:dyDescent="0.25">
      <c r="A6848" t="s">
        <v>2714</v>
      </c>
    </row>
    <row r="6849" spans="1:1" x14ac:dyDescent="0.25">
      <c r="A6849" t="s">
        <v>2714</v>
      </c>
    </row>
    <row r="6850" spans="1:1" x14ac:dyDescent="0.25">
      <c r="A6850" t="s">
        <v>2714</v>
      </c>
    </row>
    <row r="6851" spans="1:1" x14ac:dyDescent="0.25">
      <c r="A6851" t="s">
        <v>2714</v>
      </c>
    </row>
    <row r="6852" spans="1:1" x14ac:dyDescent="0.25">
      <c r="A6852" t="s">
        <v>2714</v>
      </c>
    </row>
    <row r="6853" spans="1:1" x14ac:dyDescent="0.25">
      <c r="A6853" t="s">
        <v>2714</v>
      </c>
    </row>
    <row r="6854" spans="1:1" x14ac:dyDescent="0.25">
      <c r="A6854" t="s">
        <v>2714</v>
      </c>
    </row>
    <row r="6855" spans="1:1" x14ac:dyDescent="0.25">
      <c r="A6855" t="s">
        <v>2714</v>
      </c>
    </row>
    <row r="6856" spans="1:1" x14ac:dyDescent="0.25">
      <c r="A6856" t="s">
        <v>2714</v>
      </c>
    </row>
    <row r="6857" spans="1:1" x14ac:dyDescent="0.25">
      <c r="A6857" t="s">
        <v>2714</v>
      </c>
    </row>
    <row r="6858" spans="1:1" x14ac:dyDescent="0.25">
      <c r="A6858" t="s">
        <v>2714</v>
      </c>
    </row>
    <row r="6859" spans="1:1" x14ac:dyDescent="0.25">
      <c r="A6859" t="s">
        <v>2714</v>
      </c>
    </row>
    <row r="6860" spans="1:1" x14ac:dyDescent="0.25">
      <c r="A6860" t="s">
        <v>2714</v>
      </c>
    </row>
    <row r="6861" spans="1:1" x14ac:dyDescent="0.25">
      <c r="A6861" t="s">
        <v>2714</v>
      </c>
    </row>
    <row r="6862" spans="1:1" x14ac:dyDescent="0.25">
      <c r="A6862" t="s">
        <v>2714</v>
      </c>
    </row>
    <row r="6863" spans="1:1" x14ac:dyDescent="0.25">
      <c r="A6863" t="s">
        <v>2714</v>
      </c>
    </row>
    <row r="6864" spans="1:1" x14ac:dyDescent="0.25">
      <c r="A6864" t="s">
        <v>2714</v>
      </c>
    </row>
    <row r="6865" spans="1:1" x14ac:dyDescent="0.25">
      <c r="A6865" t="s">
        <v>2714</v>
      </c>
    </row>
    <row r="6866" spans="1:1" x14ac:dyDescent="0.25">
      <c r="A6866" t="s">
        <v>2714</v>
      </c>
    </row>
    <row r="6867" spans="1:1" x14ac:dyDescent="0.25">
      <c r="A6867" t="s">
        <v>2714</v>
      </c>
    </row>
    <row r="6868" spans="1:1" x14ac:dyDescent="0.25">
      <c r="A6868" t="s">
        <v>2714</v>
      </c>
    </row>
    <row r="6869" spans="1:1" x14ac:dyDescent="0.25">
      <c r="A6869" t="s">
        <v>2686</v>
      </c>
    </row>
    <row r="6872" spans="1:1" x14ac:dyDescent="0.25">
      <c r="A6872" t="s">
        <v>3863</v>
      </c>
    </row>
    <row r="6873" spans="1:1" x14ac:dyDescent="0.25">
      <c r="A6873" t="s">
        <v>2713</v>
      </c>
    </row>
    <row r="6874" spans="1:1" x14ac:dyDescent="0.25">
      <c r="A6874" t="s">
        <v>2714</v>
      </c>
    </row>
    <row r="6875" spans="1:1" x14ac:dyDescent="0.25">
      <c r="A6875" t="s">
        <v>2714</v>
      </c>
    </row>
    <row r="6876" spans="1:1" x14ac:dyDescent="0.25">
      <c r="A6876" t="s">
        <v>2714</v>
      </c>
    </row>
    <row r="6877" spans="1:1" x14ac:dyDescent="0.25">
      <c r="A6877" t="s">
        <v>2714</v>
      </c>
    </row>
    <row r="6878" spans="1:1" x14ac:dyDescent="0.25">
      <c r="A6878" t="s">
        <v>2714</v>
      </c>
    </row>
    <row r="6879" spans="1:1" x14ac:dyDescent="0.25">
      <c r="A6879" t="s">
        <v>2714</v>
      </c>
    </row>
    <row r="6880" spans="1:1" x14ac:dyDescent="0.25">
      <c r="A6880" t="s">
        <v>2714</v>
      </c>
    </row>
    <row r="6881" spans="1:1" x14ac:dyDescent="0.25">
      <c r="A6881" t="s">
        <v>2714</v>
      </c>
    </row>
    <row r="6882" spans="1:1" x14ac:dyDescent="0.25">
      <c r="A6882" t="s">
        <v>2714</v>
      </c>
    </row>
    <row r="6883" spans="1:1" x14ac:dyDescent="0.25">
      <c r="A6883" t="s">
        <v>2714</v>
      </c>
    </row>
    <row r="6884" spans="1:1" x14ac:dyDescent="0.25">
      <c r="A6884" t="s">
        <v>2714</v>
      </c>
    </row>
    <row r="6885" spans="1:1" x14ac:dyDescent="0.25">
      <c r="A6885" t="s">
        <v>2714</v>
      </c>
    </row>
    <row r="6886" spans="1:1" x14ac:dyDescent="0.25">
      <c r="A6886" t="s">
        <v>2714</v>
      </c>
    </row>
    <row r="6887" spans="1:1" x14ac:dyDescent="0.25">
      <c r="A6887" t="s">
        <v>2714</v>
      </c>
    </row>
    <row r="6888" spans="1:1" x14ac:dyDescent="0.25">
      <c r="A6888" t="s">
        <v>2714</v>
      </c>
    </row>
    <row r="6889" spans="1:1" x14ac:dyDescent="0.25">
      <c r="A6889" t="s">
        <v>2714</v>
      </c>
    </row>
    <row r="6890" spans="1:1" x14ac:dyDescent="0.25">
      <c r="A6890" t="s">
        <v>2714</v>
      </c>
    </row>
    <row r="6891" spans="1:1" x14ac:dyDescent="0.25">
      <c r="A6891" t="s">
        <v>2714</v>
      </c>
    </row>
    <row r="6892" spans="1:1" x14ac:dyDescent="0.25">
      <c r="A6892" t="s">
        <v>2714</v>
      </c>
    </row>
    <row r="6893" spans="1:1" x14ac:dyDescent="0.25">
      <c r="A6893" t="s">
        <v>2714</v>
      </c>
    </row>
    <row r="6894" spans="1:1" x14ac:dyDescent="0.25">
      <c r="A6894" t="s">
        <v>2714</v>
      </c>
    </row>
    <row r="6895" spans="1:1" x14ac:dyDescent="0.25">
      <c r="A6895" t="s">
        <v>2714</v>
      </c>
    </row>
    <row r="6896" spans="1:1" x14ac:dyDescent="0.25">
      <c r="A6896" t="s">
        <v>2714</v>
      </c>
    </row>
    <row r="6897" spans="1:1" x14ac:dyDescent="0.25">
      <c r="A6897" t="s">
        <v>2714</v>
      </c>
    </row>
    <row r="6898" spans="1:1" x14ac:dyDescent="0.25">
      <c r="A6898" t="s">
        <v>2714</v>
      </c>
    </row>
    <row r="6899" spans="1:1" x14ac:dyDescent="0.25">
      <c r="A6899" t="s">
        <v>2714</v>
      </c>
    </row>
    <row r="6900" spans="1:1" x14ac:dyDescent="0.25">
      <c r="A6900" t="s">
        <v>2714</v>
      </c>
    </row>
    <row r="6901" spans="1:1" x14ac:dyDescent="0.25">
      <c r="A6901" t="s">
        <v>2714</v>
      </c>
    </row>
    <row r="6902" spans="1:1" x14ac:dyDescent="0.25">
      <c r="A6902" t="s">
        <v>2714</v>
      </c>
    </row>
    <row r="6903" spans="1:1" x14ac:dyDescent="0.25">
      <c r="A6903" t="s">
        <v>2714</v>
      </c>
    </row>
    <row r="6904" spans="1:1" x14ac:dyDescent="0.25">
      <c r="A6904" t="s">
        <v>2714</v>
      </c>
    </row>
    <row r="6905" spans="1:1" x14ac:dyDescent="0.25">
      <c r="A6905" t="s">
        <v>2714</v>
      </c>
    </row>
    <row r="6906" spans="1:1" x14ac:dyDescent="0.25">
      <c r="A6906" t="s">
        <v>2714</v>
      </c>
    </row>
    <row r="6907" spans="1:1" x14ac:dyDescent="0.25">
      <c r="A6907" t="s">
        <v>2714</v>
      </c>
    </row>
    <row r="6908" spans="1:1" x14ac:dyDescent="0.25">
      <c r="A6908" t="s">
        <v>2714</v>
      </c>
    </row>
    <row r="6909" spans="1:1" x14ac:dyDescent="0.25">
      <c r="A6909" t="s">
        <v>2714</v>
      </c>
    </row>
    <row r="6910" spans="1:1" x14ac:dyDescent="0.25">
      <c r="A6910" t="s">
        <v>2714</v>
      </c>
    </row>
    <row r="6911" spans="1:1" x14ac:dyDescent="0.25">
      <c r="A6911" t="s">
        <v>2714</v>
      </c>
    </row>
    <row r="6912" spans="1:1" x14ac:dyDescent="0.25">
      <c r="A6912" t="s">
        <v>2714</v>
      </c>
    </row>
    <row r="6913" spans="1:1" x14ac:dyDescent="0.25">
      <c r="A6913" t="s">
        <v>2714</v>
      </c>
    </row>
    <row r="6914" spans="1:1" x14ac:dyDescent="0.25">
      <c r="A6914" t="s">
        <v>2714</v>
      </c>
    </row>
    <row r="6915" spans="1:1" x14ac:dyDescent="0.25">
      <c r="A6915" t="s">
        <v>2714</v>
      </c>
    </row>
    <row r="6916" spans="1:1" x14ac:dyDescent="0.25">
      <c r="A6916" t="s">
        <v>2714</v>
      </c>
    </row>
    <row r="6917" spans="1:1" x14ac:dyDescent="0.25">
      <c r="A6917" t="s">
        <v>2714</v>
      </c>
    </row>
    <row r="6918" spans="1:1" x14ac:dyDescent="0.25">
      <c r="A6918" t="s">
        <v>2714</v>
      </c>
    </row>
    <row r="6919" spans="1:1" x14ac:dyDescent="0.25">
      <c r="A6919" t="s">
        <v>2714</v>
      </c>
    </row>
    <row r="6920" spans="1:1" x14ac:dyDescent="0.25">
      <c r="A6920" t="s">
        <v>2714</v>
      </c>
    </row>
    <row r="6921" spans="1:1" x14ac:dyDescent="0.25">
      <c r="A6921" t="s">
        <v>2714</v>
      </c>
    </row>
    <row r="6922" spans="1:1" x14ac:dyDescent="0.25">
      <c r="A6922" t="s">
        <v>2714</v>
      </c>
    </row>
    <row r="6923" spans="1:1" x14ac:dyDescent="0.25">
      <c r="A6923" t="s">
        <v>2714</v>
      </c>
    </row>
    <row r="6924" spans="1:1" x14ac:dyDescent="0.25">
      <c r="A6924" t="s">
        <v>2714</v>
      </c>
    </row>
    <row r="6925" spans="1:1" x14ac:dyDescent="0.25">
      <c r="A6925" t="s">
        <v>2714</v>
      </c>
    </row>
    <row r="6926" spans="1:1" x14ac:dyDescent="0.25">
      <c r="A6926" t="s">
        <v>2714</v>
      </c>
    </row>
    <row r="6927" spans="1:1" x14ac:dyDescent="0.25">
      <c r="A6927" t="s">
        <v>2714</v>
      </c>
    </row>
    <row r="6928" spans="1:1" x14ac:dyDescent="0.25">
      <c r="A6928" t="s">
        <v>2714</v>
      </c>
    </row>
    <row r="6929" spans="1:1" x14ac:dyDescent="0.25">
      <c r="A6929" t="s">
        <v>2714</v>
      </c>
    </row>
    <row r="6930" spans="1:1" x14ac:dyDescent="0.25">
      <c r="A6930" t="s">
        <v>2714</v>
      </c>
    </row>
    <row r="6931" spans="1:1" x14ac:dyDescent="0.25">
      <c r="A6931" t="s">
        <v>2714</v>
      </c>
    </row>
    <row r="6932" spans="1:1" x14ac:dyDescent="0.25">
      <c r="A6932" t="s">
        <v>2686</v>
      </c>
    </row>
    <row r="6935" spans="1:1" x14ac:dyDescent="0.25">
      <c r="A6935" t="s">
        <v>3864</v>
      </c>
    </row>
    <row r="6936" spans="1:1" x14ac:dyDescent="0.25">
      <c r="A6936" t="s">
        <v>3865</v>
      </c>
    </row>
    <row r="6937" spans="1:1" x14ac:dyDescent="0.25">
      <c r="A6937" t="s">
        <v>2713</v>
      </c>
    </row>
    <row r="6938" spans="1:1" x14ac:dyDescent="0.25">
      <c r="A6938" t="s">
        <v>2714</v>
      </c>
    </row>
    <row r="6939" spans="1:1" x14ac:dyDescent="0.25">
      <c r="A6939" t="s">
        <v>2714</v>
      </c>
    </row>
    <row r="6940" spans="1:1" x14ac:dyDescent="0.25">
      <c r="A6940" t="s">
        <v>2714</v>
      </c>
    </row>
    <row r="6941" spans="1:1" x14ac:dyDescent="0.25">
      <c r="A6941" t="s">
        <v>2714</v>
      </c>
    </row>
    <row r="6942" spans="1:1" x14ac:dyDescent="0.25">
      <c r="A6942" t="s">
        <v>2714</v>
      </c>
    </row>
    <row r="6943" spans="1:1" x14ac:dyDescent="0.25">
      <c r="A6943" t="s">
        <v>2714</v>
      </c>
    </row>
    <row r="6944" spans="1:1" x14ac:dyDescent="0.25">
      <c r="A6944" t="s">
        <v>2714</v>
      </c>
    </row>
    <row r="6945" spans="1:1" x14ac:dyDescent="0.25">
      <c r="A6945" t="s">
        <v>2714</v>
      </c>
    </row>
    <row r="6946" spans="1:1" x14ac:dyDescent="0.25">
      <c r="A6946" t="s">
        <v>2714</v>
      </c>
    </row>
    <row r="6947" spans="1:1" x14ac:dyDescent="0.25">
      <c r="A6947" t="s">
        <v>2714</v>
      </c>
    </row>
    <row r="6948" spans="1:1" x14ac:dyDescent="0.25">
      <c r="A6948" t="s">
        <v>2714</v>
      </c>
    </row>
    <row r="6949" spans="1:1" x14ac:dyDescent="0.25">
      <c r="A6949" t="s">
        <v>2714</v>
      </c>
    </row>
    <row r="6950" spans="1:1" x14ac:dyDescent="0.25">
      <c r="A6950" t="s">
        <v>2714</v>
      </c>
    </row>
    <row r="6951" spans="1:1" x14ac:dyDescent="0.25">
      <c r="A6951" t="s">
        <v>2714</v>
      </c>
    </row>
    <row r="6952" spans="1:1" x14ac:dyDescent="0.25">
      <c r="A6952" t="s">
        <v>2714</v>
      </c>
    </row>
    <row r="6953" spans="1:1" x14ac:dyDescent="0.25">
      <c r="A6953" t="s">
        <v>2714</v>
      </c>
    </row>
    <row r="6954" spans="1:1" x14ac:dyDescent="0.25">
      <c r="A6954" t="s">
        <v>2714</v>
      </c>
    </row>
    <row r="6955" spans="1:1" x14ac:dyDescent="0.25">
      <c r="A6955" t="s">
        <v>2714</v>
      </c>
    </row>
    <row r="6956" spans="1:1" x14ac:dyDescent="0.25">
      <c r="A6956" t="s">
        <v>2714</v>
      </c>
    </row>
    <row r="6957" spans="1:1" x14ac:dyDescent="0.25">
      <c r="A6957" t="s">
        <v>2714</v>
      </c>
    </row>
    <row r="6958" spans="1:1" x14ac:dyDescent="0.25">
      <c r="A6958" t="s">
        <v>2714</v>
      </c>
    </row>
    <row r="6959" spans="1:1" x14ac:dyDescent="0.25">
      <c r="A6959" t="s">
        <v>2714</v>
      </c>
    </row>
    <row r="6960" spans="1:1" x14ac:dyDescent="0.25">
      <c r="A6960" t="s">
        <v>2714</v>
      </c>
    </row>
    <row r="6961" spans="1:1" x14ac:dyDescent="0.25">
      <c r="A6961" t="s">
        <v>2714</v>
      </c>
    </row>
    <row r="6962" spans="1:1" x14ac:dyDescent="0.25">
      <c r="A6962" t="s">
        <v>2714</v>
      </c>
    </row>
    <row r="6963" spans="1:1" x14ac:dyDescent="0.25">
      <c r="A6963" t="s">
        <v>2714</v>
      </c>
    </row>
    <row r="6964" spans="1:1" x14ac:dyDescent="0.25">
      <c r="A6964" t="s">
        <v>2714</v>
      </c>
    </row>
    <row r="6965" spans="1:1" x14ac:dyDescent="0.25">
      <c r="A6965" t="s">
        <v>2714</v>
      </c>
    </row>
    <row r="6966" spans="1:1" x14ac:dyDescent="0.25">
      <c r="A6966" t="s">
        <v>2714</v>
      </c>
    </row>
    <row r="6967" spans="1:1" x14ac:dyDescent="0.25">
      <c r="A6967" t="s">
        <v>2714</v>
      </c>
    </row>
    <row r="6968" spans="1:1" x14ac:dyDescent="0.25">
      <c r="A6968" t="s">
        <v>2714</v>
      </c>
    </row>
    <row r="6969" spans="1:1" x14ac:dyDescent="0.25">
      <c r="A6969" t="s">
        <v>2714</v>
      </c>
    </row>
    <row r="6970" spans="1:1" x14ac:dyDescent="0.25">
      <c r="A6970" t="s">
        <v>2714</v>
      </c>
    </row>
    <row r="6971" spans="1:1" x14ac:dyDescent="0.25">
      <c r="A6971" t="s">
        <v>2714</v>
      </c>
    </row>
    <row r="6972" spans="1:1" x14ac:dyDescent="0.25">
      <c r="A6972" t="s">
        <v>2714</v>
      </c>
    </row>
    <row r="6973" spans="1:1" x14ac:dyDescent="0.25">
      <c r="A6973" t="s">
        <v>2714</v>
      </c>
    </row>
    <row r="6974" spans="1:1" x14ac:dyDescent="0.25">
      <c r="A6974" t="s">
        <v>2714</v>
      </c>
    </row>
    <row r="6975" spans="1:1" x14ac:dyDescent="0.25">
      <c r="A6975" t="s">
        <v>2714</v>
      </c>
    </row>
    <row r="6976" spans="1:1" x14ac:dyDescent="0.25">
      <c r="A6976" t="s">
        <v>2714</v>
      </c>
    </row>
    <row r="6977" spans="1:1" x14ac:dyDescent="0.25">
      <c r="A6977" t="s">
        <v>2714</v>
      </c>
    </row>
    <row r="6978" spans="1:1" x14ac:dyDescent="0.25">
      <c r="A6978" t="s">
        <v>2714</v>
      </c>
    </row>
    <row r="6979" spans="1:1" x14ac:dyDescent="0.25">
      <c r="A6979" t="s">
        <v>2714</v>
      </c>
    </row>
    <row r="6980" spans="1:1" x14ac:dyDescent="0.25">
      <c r="A6980" t="s">
        <v>2714</v>
      </c>
    </row>
    <row r="6981" spans="1:1" x14ac:dyDescent="0.25">
      <c r="A6981" t="s">
        <v>2714</v>
      </c>
    </row>
    <row r="6982" spans="1:1" x14ac:dyDescent="0.25">
      <c r="A6982" t="s">
        <v>2714</v>
      </c>
    </row>
    <row r="6983" spans="1:1" x14ac:dyDescent="0.25">
      <c r="A6983" t="s">
        <v>2714</v>
      </c>
    </row>
    <row r="6984" spans="1:1" x14ac:dyDescent="0.25">
      <c r="A6984" t="s">
        <v>2714</v>
      </c>
    </row>
    <row r="6985" spans="1:1" x14ac:dyDescent="0.25">
      <c r="A6985" t="s">
        <v>2714</v>
      </c>
    </row>
    <row r="6986" spans="1:1" x14ac:dyDescent="0.25">
      <c r="A6986" t="s">
        <v>2714</v>
      </c>
    </row>
    <row r="6987" spans="1:1" x14ac:dyDescent="0.25">
      <c r="A6987" t="s">
        <v>2714</v>
      </c>
    </row>
    <row r="6988" spans="1:1" x14ac:dyDescent="0.25">
      <c r="A6988" t="s">
        <v>2714</v>
      </c>
    </row>
    <row r="6989" spans="1:1" x14ac:dyDescent="0.25">
      <c r="A6989" t="s">
        <v>2714</v>
      </c>
    </row>
    <row r="6990" spans="1:1" x14ac:dyDescent="0.25">
      <c r="A6990" t="s">
        <v>2714</v>
      </c>
    </row>
    <row r="6991" spans="1:1" x14ac:dyDescent="0.25">
      <c r="A6991" t="s">
        <v>2714</v>
      </c>
    </row>
    <row r="6992" spans="1:1" x14ac:dyDescent="0.25">
      <c r="A6992" t="s">
        <v>2714</v>
      </c>
    </row>
    <row r="6993" spans="1:1" x14ac:dyDescent="0.25">
      <c r="A6993" t="s">
        <v>2714</v>
      </c>
    </row>
    <row r="6994" spans="1:1" x14ac:dyDescent="0.25">
      <c r="A6994" t="s">
        <v>2714</v>
      </c>
    </row>
    <row r="6995" spans="1:1" x14ac:dyDescent="0.25">
      <c r="A6995" t="s">
        <v>2686</v>
      </c>
    </row>
    <row r="6998" spans="1:1" x14ac:dyDescent="0.25">
      <c r="A6998" t="s">
        <v>3866</v>
      </c>
    </row>
    <row r="6999" spans="1:1" x14ac:dyDescent="0.25">
      <c r="A6999" t="s">
        <v>3342</v>
      </c>
    </row>
    <row r="7000" spans="1:1" x14ac:dyDescent="0.25">
      <c r="A7000" t="s">
        <v>2713</v>
      </c>
    </row>
    <row r="7001" spans="1:1" x14ac:dyDescent="0.25">
      <c r="A7001" t="s">
        <v>2714</v>
      </c>
    </row>
    <row r="7002" spans="1:1" x14ac:dyDescent="0.25">
      <c r="A7002" t="s">
        <v>2714</v>
      </c>
    </row>
    <row r="7003" spans="1:1" x14ac:dyDescent="0.25">
      <c r="A7003" t="s">
        <v>2714</v>
      </c>
    </row>
    <row r="7004" spans="1:1" x14ac:dyDescent="0.25">
      <c r="A7004" t="s">
        <v>2714</v>
      </c>
    </row>
    <row r="7005" spans="1:1" x14ac:dyDescent="0.25">
      <c r="A7005" t="s">
        <v>2714</v>
      </c>
    </row>
    <row r="7006" spans="1:1" x14ac:dyDescent="0.25">
      <c r="A7006" t="s">
        <v>2714</v>
      </c>
    </row>
    <row r="7007" spans="1:1" x14ac:dyDescent="0.25">
      <c r="A7007" t="s">
        <v>2714</v>
      </c>
    </row>
    <row r="7008" spans="1:1" x14ac:dyDescent="0.25">
      <c r="A7008" t="s">
        <v>2714</v>
      </c>
    </row>
    <row r="7009" spans="1:1" x14ac:dyDescent="0.25">
      <c r="A7009" t="s">
        <v>2714</v>
      </c>
    </row>
    <row r="7010" spans="1:1" x14ac:dyDescent="0.25">
      <c r="A7010" t="s">
        <v>2714</v>
      </c>
    </row>
    <row r="7011" spans="1:1" x14ac:dyDescent="0.25">
      <c r="A7011" t="s">
        <v>2714</v>
      </c>
    </row>
    <row r="7012" spans="1:1" x14ac:dyDescent="0.25">
      <c r="A7012" t="s">
        <v>2714</v>
      </c>
    </row>
    <row r="7013" spans="1:1" x14ac:dyDescent="0.25">
      <c r="A7013" t="s">
        <v>2714</v>
      </c>
    </row>
    <row r="7014" spans="1:1" x14ac:dyDescent="0.25">
      <c r="A7014" t="s">
        <v>2714</v>
      </c>
    </row>
    <row r="7015" spans="1:1" x14ac:dyDescent="0.25">
      <c r="A7015" t="s">
        <v>2714</v>
      </c>
    </row>
    <row r="7016" spans="1:1" x14ac:dyDescent="0.25">
      <c r="A7016" t="s">
        <v>2714</v>
      </c>
    </row>
    <row r="7017" spans="1:1" x14ac:dyDescent="0.25">
      <c r="A7017" t="s">
        <v>2714</v>
      </c>
    </row>
    <row r="7018" spans="1:1" x14ac:dyDescent="0.25">
      <c r="A7018" t="s">
        <v>2714</v>
      </c>
    </row>
    <row r="7019" spans="1:1" x14ac:dyDescent="0.25">
      <c r="A7019" t="s">
        <v>2714</v>
      </c>
    </row>
    <row r="7020" spans="1:1" x14ac:dyDescent="0.25">
      <c r="A7020" t="s">
        <v>2714</v>
      </c>
    </row>
    <row r="7021" spans="1:1" x14ac:dyDescent="0.25">
      <c r="A7021" t="s">
        <v>2714</v>
      </c>
    </row>
    <row r="7022" spans="1:1" x14ac:dyDescent="0.25">
      <c r="A7022" t="s">
        <v>2714</v>
      </c>
    </row>
    <row r="7023" spans="1:1" x14ac:dyDescent="0.25">
      <c r="A7023" t="s">
        <v>2714</v>
      </c>
    </row>
    <row r="7024" spans="1:1" x14ac:dyDescent="0.25">
      <c r="A7024" t="s">
        <v>2714</v>
      </c>
    </row>
    <row r="7025" spans="1:1" x14ac:dyDescent="0.25">
      <c r="A7025" t="s">
        <v>2714</v>
      </c>
    </row>
    <row r="7026" spans="1:1" x14ac:dyDescent="0.25">
      <c r="A7026" t="s">
        <v>2714</v>
      </c>
    </row>
    <row r="7027" spans="1:1" x14ac:dyDescent="0.25">
      <c r="A7027" t="s">
        <v>2714</v>
      </c>
    </row>
    <row r="7028" spans="1:1" x14ac:dyDescent="0.25">
      <c r="A7028" t="s">
        <v>2714</v>
      </c>
    </row>
    <row r="7029" spans="1:1" x14ac:dyDescent="0.25">
      <c r="A7029" t="s">
        <v>2714</v>
      </c>
    </row>
    <row r="7030" spans="1:1" x14ac:dyDescent="0.25">
      <c r="A7030" t="s">
        <v>2714</v>
      </c>
    </row>
    <row r="7031" spans="1:1" x14ac:dyDescent="0.25">
      <c r="A7031" t="s">
        <v>2714</v>
      </c>
    </row>
    <row r="7032" spans="1:1" x14ac:dyDescent="0.25">
      <c r="A7032" t="s">
        <v>2714</v>
      </c>
    </row>
    <row r="7033" spans="1:1" x14ac:dyDescent="0.25">
      <c r="A7033" t="s">
        <v>2714</v>
      </c>
    </row>
    <row r="7034" spans="1:1" x14ac:dyDescent="0.25">
      <c r="A7034" t="s">
        <v>2714</v>
      </c>
    </row>
    <row r="7035" spans="1:1" x14ac:dyDescent="0.25">
      <c r="A7035" t="s">
        <v>2714</v>
      </c>
    </row>
    <row r="7036" spans="1:1" x14ac:dyDescent="0.25">
      <c r="A7036" t="s">
        <v>2714</v>
      </c>
    </row>
    <row r="7037" spans="1:1" x14ac:dyDescent="0.25">
      <c r="A7037" t="s">
        <v>2714</v>
      </c>
    </row>
    <row r="7038" spans="1:1" x14ac:dyDescent="0.25">
      <c r="A7038" t="s">
        <v>2714</v>
      </c>
    </row>
    <row r="7039" spans="1:1" x14ac:dyDescent="0.25">
      <c r="A7039" t="s">
        <v>2714</v>
      </c>
    </row>
    <row r="7040" spans="1:1" x14ac:dyDescent="0.25">
      <c r="A7040" t="s">
        <v>2714</v>
      </c>
    </row>
    <row r="7041" spans="1:1" x14ac:dyDescent="0.25">
      <c r="A7041" t="s">
        <v>2714</v>
      </c>
    </row>
    <row r="7042" spans="1:1" x14ac:dyDescent="0.25">
      <c r="A7042" t="s">
        <v>2714</v>
      </c>
    </row>
    <row r="7043" spans="1:1" x14ac:dyDescent="0.25">
      <c r="A7043" t="s">
        <v>2714</v>
      </c>
    </row>
    <row r="7044" spans="1:1" x14ac:dyDescent="0.25">
      <c r="A7044" t="s">
        <v>2714</v>
      </c>
    </row>
    <row r="7045" spans="1:1" x14ac:dyDescent="0.25">
      <c r="A7045" t="s">
        <v>2714</v>
      </c>
    </row>
    <row r="7046" spans="1:1" x14ac:dyDescent="0.25">
      <c r="A7046" t="s">
        <v>2714</v>
      </c>
    </row>
    <row r="7047" spans="1:1" x14ac:dyDescent="0.25">
      <c r="A7047" t="s">
        <v>2714</v>
      </c>
    </row>
    <row r="7048" spans="1:1" x14ac:dyDescent="0.25">
      <c r="A7048" t="s">
        <v>2714</v>
      </c>
    </row>
    <row r="7049" spans="1:1" x14ac:dyDescent="0.25">
      <c r="A7049" t="s">
        <v>2714</v>
      </c>
    </row>
    <row r="7050" spans="1:1" x14ac:dyDescent="0.25">
      <c r="A7050" t="s">
        <v>2714</v>
      </c>
    </row>
    <row r="7051" spans="1:1" x14ac:dyDescent="0.25">
      <c r="A7051" t="s">
        <v>2714</v>
      </c>
    </row>
    <row r="7052" spans="1:1" x14ac:dyDescent="0.25">
      <c r="A7052" t="s">
        <v>2714</v>
      </c>
    </row>
    <row r="7053" spans="1:1" x14ac:dyDescent="0.25">
      <c r="A7053" t="s">
        <v>2714</v>
      </c>
    </row>
    <row r="7054" spans="1:1" x14ac:dyDescent="0.25">
      <c r="A7054" t="s">
        <v>2714</v>
      </c>
    </row>
    <row r="7055" spans="1:1" x14ac:dyDescent="0.25">
      <c r="A7055" t="s">
        <v>2714</v>
      </c>
    </row>
    <row r="7056" spans="1:1" x14ac:dyDescent="0.25">
      <c r="A7056" t="s">
        <v>2714</v>
      </c>
    </row>
    <row r="7057" spans="1:1" x14ac:dyDescent="0.25">
      <c r="A7057" t="s">
        <v>2714</v>
      </c>
    </row>
    <row r="7058" spans="1:1" x14ac:dyDescent="0.25">
      <c r="A7058" t="s">
        <v>2686</v>
      </c>
    </row>
    <row r="7061" spans="1:1" x14ac:dyDescent="0.25">
      <c r="A7061" t="s">
        <v>3867</v>
      </c>
    </row>
    <row r="7062" spans="1:1" x14ac:dyDescent="0.25">
      <c r="A7062" t="s">
        <v>2713</v>
      </c>
    </row>
    <row r="7063" spans="1:1" x14ac:dyDescent="0.25">
      <c r="A7063" t="s">
        <v>2714</v>
      </c>
    </row>
    <row r="7064" spans="1:1" x14ac:dyDescent="0.25">
      <c r="A7064" t="s">
        <v>2714</v>
      </c>
    </row>
    <row r="7065" spans="1:1" x14ac:dyDescent="0.25">
      <c r="A7065" t="s">
        <v>2714</v>
      </c>
    </row>
    <row r="7066" spans="1:1" x14ac:dyDescent="0.25">
      <c r="A7066" t="s">
        <v>2714</v>
      </c>
    </row>
    <row r="7067" spans="1:1" x14ac:dyDescent="0.25">
      <c r="A7067" t="s">
        <v>2714</v>
      </c>
    </row>
    <row r="7068" spans="1:1" x14ac:dyDescent="0.25">
      <c r="A7068" t="s">
        <v>2714</v>
      </c>
    </row>
    <row r="7069" spans="1:1" x14ac:dyDescent="0.25">
      <c r="A7069" t="s">
        <v>2714</v>
      </c>
    </row>
    <row r="7070" spans="1:1" x14ac:dyDescent="0.25">
      <c r="A7070" t="s">
        <v>2714</v>
      </c>
    </row>
    <row r="7071" spans="1:1" x14ac:dyDescent="0.25">
      <c r="A7071" t="s">
        <v>2714</v>
      </c>
    </row>
    <row r="7072" spans="1:1" x14ac:dyDescent="0.25">
      <c r="A7072" t="s">
        <v>2714</v>
      </c>
    </row>
    <row r="7073" spans="1:1" x14ac:dyDescent="0.25">
      <c r="A7073" t="s">
        <v>2714</v>
      </c>
    </row>
    <row r="7074" spans="1:1" x14ac:dyDescent="0.25">
      <c r="A7074" t="s">
        <v>2714</v>
      </c>
    </row>
    <row r="7075" spans="1:1" x14ac:dyDescent="0.25">
      <c r="A7075" t="s">
        <v>2714</v>
      </c>
    </row>
    <row r="7076" spans="1:1" x14ac:dyDescent="0.25">
      <c r="A7076" t="s">
        <v>2714</v>
      </c>
    </row>
    <row r="7077" spans="1:1" x14ac:dyDescent="0.25">
      <c r="A7077" t="s">
        <v>2714</v>
      </c>
    </row>
    <row r="7078" spans="1:1" x14ac:dyDescent="0.25">
      <c r="A7078" t="s">
        <v>2714</v>
      </c>
    </row>
    <row r="7079" spans="1:1" x14ac:dyDescent="0.25">
      <c r="A7079" t="s">
        <v>2714</v>
      </c>
    </row>
    <row r="7080" spans="1:1" x14ac:dyDescent="0.25">
      <c r="A7080" t="s">
        <v>2714</v>
      </c>
    </row>
    <row r="7081" spans="1:1" x14ac:dyDescent="0.25">
      <c r="A7081" t="s">
        <v>2714</v>
      </c>
    </row>
    <row r="7082" spans="1:1" x14ac:dyDescent="0.25">
      <c r="A7082" t="s">
        <v>2714</v>
      </c>
    </row>
    <row r="7083" spans="1:1" x14ac:dyDescent="0.25">
      <c r="A7083" t="s">
        <v>2714</v>
      </c>
    </row>
    <row r="7084" spans="1:1" x14ac:dyDescent="0.25">
      <c r="A7084" t="s">
        <v>2714</v>
      </c>
    </row>
    <row r="7085" spans="1:1" x14ac:dyDescent="0.25">
      <c r="A7085" t="s">
        <v>2714</v>
      </c>
    </row>
    <row r="7086" spans="1:1" x14ac:dyDescent="0.25">
      <c r="A7086" t="s">
        <v>2714</v>
      </c>
    </row>
    <row r="7087" spans="1:1" x14ac:dyDescent="0.25">
      <c r="A7087" t="s">
        <v>2714</v>
      </c>
    </row>
    <row r="7088" spans="1:1" x14ac:dyDescent="0.25">
      <c r="A7088" t="s">
        <v>2714</v>
      </c>
    </row>
    <row r="7089" spans="1:1" x14ac:dyDescent="0.25">
      <c r="A7089" t="s">
        <v>2714</v>
      </c>
    </row>
    <row r="7090" spans="1:1" x14ac:dyDescent="0.25">
      <c r="A7090" t="s">
        <v>2714</v>
      </c>
    </row>
    <row r="7091" spans="1:1" x14ac:dyDescent="0.25">
      <c r="A7091" t="s">
        <v>2714</v>
      </c>
    </row>
    <row r="7092" spans="1:1" x14ac:dyDescent="0.25">
      <c r="A7092" t="s">
        <v>2714</v>
      </c>
    </row>
    <row r="7093" spans="1:1" x14ac:dyDescent="0.25">
      <c r="A7093" t="s">
        <v>2714</v>
      </c>
    </row>
    <row r="7094" spans="1:1" x14ac:dyDescent="0.25">
      <c r="A7094" t="s">
        <v>2714</v>
      </c>
    </row>
    <row r="7095" spans="1:1" x14ac:dyDescent="0.25">
      <c r="A7095" t="s">
        <v>2714</v>
      </c>
    </row>
    <row r="7096" spans="1:1" x14ac:dyDescent="0.25">
      <c r="A7096" t="s">
        <v>2714</v>
      </c>
    </row>
    <row r="7097" spans="1:1" x14ac:dyDescent="0.25">
      <c r="A7097" t="s">
        <v>2714</v>
      </c>
    </row>
    <row r="7098" spans="1:1" x14ac:dyDescent="0.25">
      <c r="A7098" t="s">
        <v>2714</v>
      </c>
    </row>
    <row r="7099" spans="1:1" x14ac:dyDescent="0.25">
      <c r="A7099" t="s">
        <v>2714</v>
      </c>
    </row>
    <row r="7100" spans="1:1" x14ac:dyDescent="0.25">
      <c r="A7100" t="s">
        <v>2714</v>
      </c>
    </row>
    <row r="7101" spans="1:1" x14ac:dyDescent="0.25">
      <c r="A7101" t="s">
        <v>2714</v>
      </c>
    </row>
    <row r="7102" spans="1:1" x14ac:dyDescent="0.25">
      <c r="A7102" t="s">
        <v>2714</v>
      </c>
    </row>
    <row r="7103" spans="1:1" x14ac:dyDescent="0.25">
      <c r="A7103" t="s">
        <v>2714</v>
      </c>
    </row>
    <row r="7104" spans="1:1" x14ac:dyDescent="0.25">
      <c r="A7104" t="s">
        <v>2714</v>
      </c>
    </row>
    <row r="7105" spans="1:1" x14ac:dyDescent="0.25">
      <c r="A7105" t="s">
        <v>2714</v>
      </c>
    </row>
    <row r="7106" spans="1:1" x14ac:dyDescent="0.25">
      <c r="A7106" t="s">
        <v>2714</v>
      </c>
    </row>
    <row r="7107" spans="1:1" x14ac:dyDescent="0.25">
      <c r="A7107" t="s">
        <v>2714</v>
      </c>
    </row>
    <row r="7108" spans="1:1" x14ac:dyDescent="0.25">
      <c r="A7108" t="s">
        <v>2714</v>
      </c>
    </row>
    <row r="7109" spans="1:1" x14ac:dyDescent="0.25">
      <c r="A7109" t="s">
        <v>2714</v>
      </c>
    </row>
    <row r="7110" spans="1:1" x14ac:dyDescent="0.25">
      <c r="A7110" t="s">
        <v>2714</v>
      </c>
    </row>
    <row r="7111" spans="1:1" x14ac:dyDescent="0.25">
      <c r="A7111" t="s">
        <v>2714</v>
      </c>
    </row>
    <row r="7112" spans="1:1" x14ac:dyDescent="0.25">
      <c r="A7112" t="s">
        <v>2714</v>
      </c>
    </row>
    <row r="7113" spans="1:1" x14ac:dyDescent="0.25">
      <c r="A7113" t="s">
        <v>2714</v>
      </c>
    </row>
    <row r="7114" spans="1:1" x14ac:dyDescent="0.25">
      <c r="A7114" t="s">
        <v>2714</v>
      </c>
    </row>
    <row r="7115" spans="1:1" x14ac:dyDescent="0.25">
      <c r="A7115" t="s">
        <v>2714</v>
      </c>
    </row>
    <row r="7116" spans="1:1" x14ac:dyDescent="0.25">
      <c r="A7116" t="s">
        <v>2714</v>
      </c>
    </row>
    <row r="7117" spans="1:1" x14ac:dyDescent="0.25">
      <c r="A7117" t="s">
        <v>2714</v>
      </c>
    </row>
    <row r="7118" spans="1:1" x14ac:dyDescent="0.25">
      <c r="A7118" t="s">
        <v>2714</v>
      </c>
    </row>
    <row r="7119" spans="1:1" x14ac:dyDescent="0.25">
      <c r="A7119" t="s">
        <v>2714</v>
      </c>
    </row>
    <row r="7120" spans="1:1" x14ac:dyDescent="0.25">
      <c r="A7120" t="s">
        <v>2714</v>
      </c>
    </row>
    <row r="7121" spans="1:1" x14ac:dyDescent="0.25">
      <c r="A7121" t="s">
        <v>2686</v>
      </c>
    </row>
    <row r="7124" spans="1:1" x14ac:dyDescent="0.25">
      <c r="A7124" t="s">
        <v>3868</v>
      </c>
    </row>
    <row r="7125" spans="1:1" x14ac:dyDescent="0.25">
      <c r="A7125" t="s">
        <v>2713</v>
      </c>
    </row>
    <row r="7126" spans="1:1" x14ac:dyDescent="0.25">
      <c r="A7126" t="s">
        <v>2714</v>
      </c>
    </row>
    <row r="7127" spans="1:1" x14ac:dyDescent="0.25">
      <c r="A7127" t="s">
        <v>2714</v>
      </c>
    </row>
    <row r="7128" spans="1:1" x14ac:dyDescent="0.25">
      <c r="A7128" t="s">
        <v>2714</v>
      </c>
    </row>
    <row r="7129" spans="1:1" x14ac:dyDescent="0.25">
      <c r="A7129" t="s">
        <v>2714</v>
      </c>
    </row>
    <row r="7130" spans="1:1" x14ac:dyDescent="0.25">
      <c r="A7130" t="s">
        <v>2714</v>
      </c>
    </row>
    <row r="7131" spans="1:1" x14ac:dyDescent="0.25">
      <c r="A7131" t="s">
        <v>2714</v>
      </c>
    </row>
    <row r="7132" spans="1:1" x14ac:dyDescent="0.25">
      <c r="A7132" t="s">
        <v>2714</v>
      </c>
    </row>
    <row r="7133" spans="1:1" x14ac:dyDescent="0.25">
      <c r="A7133" t="s">
        <v>2714</v>
      </c>
    </row>
    <row r="7134" spans="1:1" x14ac:dyDescent="0.25">
      <c r="A7134" t="s">
        <v>2714</v>
      </c>
    </row>
    <row r="7135" spans="1:1" x14ac:dyDescent="0.25">
      <c r="A7135" t="s">
        <v>2714</v>
      </c>
    </row>
    <row r="7136" spans="1:1" x14ac:dyDescent="0.25">
      <c r="A7136" t="s">
        <v>2714</v>
      </c>
    </row>
    <row r="7137" spans="1:1" x14ac:dyDescent="0.25">
      <c r="A7137" t="s">
        <v>2714</v>
      </c>
    </row>
    <row r="7138" spans="1:1" x14ac:dyDescent="0.25">
      <c r="A7138" t="s">
        <v>2714</v>
      </c>
    </row>
    <row r="7139" spans="1:1" x14ac:dyDescent="0.25">
      <c r="A7139" t="s">
        <v>2714</v>
      </c>
    </row>
    <row r="7140" spans="1:1" x14ac:dyDescent="0.25">
      <c r="A7140" t="s">
        <v>2714</v>
      </c>
    </row>
    <row r="7141" spans="1:1" x14ac:dyDescent="0.25">
      <c r="A7141" t="s">
        <v>2714</v>
      </c>
    </row>
    <row r="7142" spans="1:1" x14ac:dyDescent="0.25">
      <c r="A7142" t="s">
        <v>2714</v>
      </c>
    </row>
    <row r="7143" spans="1:1" x14ac:dyDescent="0.25">
      <c r="A7143" t="s">
        <v>2714</v>
      </c>
    </row>
    <row r="7144" spans="1:1" x14ac:dyDescent="0.25">
      <c r="A7144" t="s">
        <v>2714</v>
      </c>
    </row>
    <row r="7145" spans="1:1" x14ac:dyDescent="0.25">
      <c r="A7145" t="s">
        <v>2714</v>
      </c>
    </row>
    <row r="7146" spans="1:1" x14ac:dyDescent="0.25">
      <c r="A7146" t="s">
        <v>2714</v>
      </c>
    </row>
    <row r="7147" spans="1:1" x14ac:dyDescent="0.25">
      <c r="A7147" t="s">
        <v>2714</v>
      </c>
    </row>
    <row r="7148" spans="1:1" x14ac:dyDescent="0.25">
      <c r="A7148" t="s">
        <v>2714</v>
      </c>
    </row>
    <row r="7149" spans="1:1" x14ac:dyDescent="0.25">
      <c r="A7149" t="s">
        <v>2714</v>
      </c>
    </row>
    <row r="7150" spans="1:1" x14ac:dyDescent="0.25">
      <c r="A7150" t="s">
        <v>2714</v>
      </c>
    </row>
    <row r="7151" spans="1:1" x14ac:dyDescent="0.25">
      <c r="A7151" t="s">
        <v>2714</v>
      </c>
    </row>
    <row r="7152" spans="1:1" x14ac:dyDescent="0.25">
      <c r="A7152" t="s">
        <v>2714</v>
      </c>
    </row>
    <row r="7153" spans="1:1" x14ac:dyDescent="0.25">
      <c r="A7153" t="s">
        <v>2714</v>
      </c>
    </row>
    <row r="7154" spans="1:1" x14ac:dyDescent="0.25">
      <c r="A7154" t="s">
        <v>2714</v>
      </c>
    </row>
    <row r="7155" spans="1:1" x14ac:dyDescent="0.25">
      <c r="A7155" t="s">
        <v>2714</v>
      </c>
    </row>
    <row r="7156" spans="1:1" x14ac:dyDescent="0.25">
      <c r="A7156" t="s">
        <v>2714</v>
      </c>
    </row>
    <row r="7157" spans="1:1" x14ac:dyDescent="0.25">
      <c r="A7157" t="s">
        <v>2714</v>
      </c>
    </row>
    <row r="7158" spans="1:1" x14ac:dyDescent="0.25">
      <c r="A7158" t="s">
        <v>2714</v>
      </c>
    </row>
    <row r="7159" spans="1:1" x14ac:dyDescent="0.25">
      <c r="A7159" t="s">
        <v>2714</v>
      </c>
    </row>
    <row r="7160" spans="1:1" x14ac:dyDescent="0.25">
      <c r="A7160" t="s">
        <v>2714</v>
      </c>
    </row>
    <row r="7161" spans="1:1" x14ac:dyDescent="0.25">
      <c r="A7161" t="s">
        <v>2714</v>
      </c>
    </row>
    <row r="7162" spans="1:1" x14ac:dyDescent="0.25">
      <c r="A7162" t="s">
        <v>2714</v>
      </c>
    </row>
    <row r="7163" spans="1:1" x14ac:dyDescent="0.25">
      <c r="A7163" t="s">
        <v>2714</v>
      </c>
    </row>
    <row r="7164" spans="1:1" x14ac:dyDescent="0.25">
      <c r="A7164" t="s">
        <v>2714</v>
      </c>
    </row>
    <row r="7165" spans="1:1" x14ac:dyDescent="0.25">
      <c r="A7165" t="s">
        <v>2714</v>
      </c>
    </row>
    <row r="7166" spans="1:1" x14ac:dyDescent="0.25">
      <c r="A7166" t="s">
        <v>2714</v>
      </c>
    </row>
    <row r="7167" spans="1:1" x14ac:dyDescent="0.25">
      <c r="A7167" t="s">
        <v>2714</v>
      </c>
    </row>
    <row r="7168" spans="1:1" x14ac:dyDescent="0.25">
      <c r="A7168" t="s">
        <v>2714</v>
      </c>
    </row>
    <row r="7169" spans="1:1" x14ac:dyDescent="0.25">
      <c r="A7169" t="s">
        <v>2714</v>
      </c>
    </row>
    <row r="7170" spans="1:1" x14ac:dyDescent="0.25">
      <c r="A7170" t="s">
        <v>2714</v>
      </c>
    </row>
    <row r="7171" spans="1:1" x14ac:dyDescent="0.25">
      <c r="A7171" t="s">
        <v>2714</v>
      </c>
    </row>
    <row r="7172" spans="1:1" x14ac:dyDescent="0.25">
      <c r="A7172" t="s">
        <v>2714</v>
      </c>
    </row>
    <row r="7173" spans="1:1" x14ac:dyDescent="0.25">
      <c r="A7173" t="s">
        <v>2714</v>
      </c>
    </row>
    <row r="7174" spans="1:1" x14ac:dyDescent="0.25">
      <c r="A7174" t="s">
        <v>2714</v>
      </c>
    </row>
    <row r="7175" spans="1:1" x14ac:dyDescent="0.25">
      <c r="A7175" t="s">
        <v>2714</v>
      </c>
    </row>
    <row r="7176" spans="1:1" x14ac:dyDescent="0.25">
      <c r="A7176" t="s">
        <v>2714</v>
      </c>
    </row>
    <row r="7177" spans="1:1" x14ac:dyDescent="0.25">
      <c r="A7177" t="s">
        <v>2714</v>
      </c>
    </row>
    <row r="7178" spans="1:1" x14ac:dyDescent="0.25">
      <c r="A7178" t="s">
        <v>2714</v>
      </c>
    </row>
    <row r="7179" spans="1:1" x14ac:dyDescent="0.25">
      <c r="A7179" t="s">
        <v>2714</v>
      </c>
    </row>
    <row r="7180" spans="1:1" x14ac:dyDescent="0.25">
      <c r="A7180" t="s">
        <v>2714</v>
      </c>
    </row>
    <row r="7181" spans="1:1" x14ac:dyDescent="0.25">
      <c r="A7181" t="s">
        <v>2714</v>
      </c>
    </row>
    <row r="7182" spans="1:1" x14ac:dyDescent="0.25">
      <c r="A7182" t="s">
        <v>2714</v>
      </c>
    </row>
    <row r="7183" spans="1:1" x14ac:dyDescent="0.25">
      <c r="A7183" t="s">
        <v>2714</v>
      </c>
    </row>
    <row r="7184" spans="1:1" x14ac:dyDescent="0.25">
      <c r="A7184" t="s">
        <v>2686</v>
      </c>
    </row>
    <row r="7187" spans="1:1" x14ac:dyDescent="0.25">
      <c r="A7187" t="s">
        <v>3869</v>
      </c>
    </row>
    <row r="7188" spans="1:1" x14ac:dyDescent="0.25">
      <c r="A7188" t="s">
        <v>2776</v>
      </c>
    </row>
    <row r="7189" spans="1:1" x14ac:dyDescent="0.25">
      <c r="A7189" t="s">
        <v>2777</v>
      </c>
    </row>
    <row r="7190" spans="1:1" x14ac:dyDescent="0.25">
      <c r="A7190" t="s">
        <v>2777</v>
      </c>
    </row>
    <row r="7191" spans="1:1" x14ac:dyDescent="0.25">
      <c r="A7191" t="s">
        <v>2778</v>
      </c>
    </row>
    <row r="7192" spans="1:1" x14ac:dyDescent="0.25">
      <c r="A7192" t="s">
        <v>2779</v>
      </c>
    </row>
    <row r="7193" spans="1:1" x14ac:dyDescent="0.25">
      <c r="A7193" t="s">
        <v>2780</v>
      </c>
    </row>
    <row r="7194" spans="1:1" x14ac:dyDescent="0.25">
      <c r="A7194" t="s">
        <v>2780</v>
      </c>
    </row>
    <row r="7195" spans="1:1" x14ac:dyDescent="0.25">
      <c r="A7195" t="s">
        <v>2781</v>
      </c>
    </row>
    <row r="7196" spans="1:1" x14ac:dyDescent="0.25">
      <c r="A7196" t="s">
        <v>2782</v>
      </c>
    </row>
    <row r="7197" spans="1:1" x14ac:dyDescent="0.25">
      <c r="A7197" t="s">
        <v>2783</v>
      </c>
    </row>
    <row r="7198" spans="1:1" x14ac:dyDescent="0.25">
      <c r="A7198" t="s">
        <v>2784</v>
      </c>
    </row>
    <row r="7199" spans="1:1" x14ac:dyDescent="0.25">
      <c r="A7199" t="s">
        <v>2785</v>
      </c>
    </row>
    <row r="7200" spans="1:1" x14ac:dyDescent="0.25">
      <c r="A7200" t="s">
        <v>2786</v>
      </c>
    </row>
    <row r="7201" spans="1:1" x14ac:dyDescent="0.25">
      <c r="A7201" t="s">
        <v>2788</v>
      </c>
    </row>
    <row r="7202" spans="1:1" x14ac:dyDescent="0.25">
      <c r="A7202" t="s">
        <v>2789</v>
      </c>
    </row>
    <row r="7203" spans="1:1" x14ac:dyDescent="0.25">
      <c r="A7203" t="s">
        <v>2790</v>
      </c>
    </row>
    <row r="7204" spans="1:1" x14ac:dyDescent="0.25">
      <c r="A7204" t="s">
        <v>3870</v>
      </c>
    </row>
    <row r="7205" spans="1:1" x14ac:dyDescent="0.25">
      <c r="A7205" t="s">
        <v>3871</v>
      </c>
    </row>
    <row r="7206" spans="1:1" x14ac:dyDescent="0.25">
      <c r="A7206" t="s">
        <v>2791</v>
      </c>
    </row>
    <row r="7207" spans="1:1" x14ac:dyDescent="0.25">
      <c r="A7207" t="s">
        <v>2792</v>
      </c>
    </row>
    <row r="7208" spans="1:1" x14ac:dyDescent="0.25">
      <c r="A7208" t="s">
        <v>2792</v>
      </c>
    </row>
    <row r="7209" spans="1:1" x14ac:dyDescent="0.25">
      <c r="A7209" t="s">
        <v>2793</v>
      </c>
    </row>
    <row r="7210" spans="1:1" x14ac:dyDescent="0.25">
      <c r="A7210" t="s">
        <v>2793</v>
      </c>
    </row>
    <row r="7211" spans="1:1" x14ac:dyDescent="0.25">
      <c r="A7211" t="s">
        <v>2794</v>
      </c>
    </row>
    <row r="7212" spans="1:1" x14ac:dyDescent="0.25">
      <c r="A7212" t="s">
        <v>2798</v>
      </c>
    </row>
    <row r="7213" spans="1:1" x14ac:dyDescent="0.25">
      <c r="A7213" t="s">
        <v>2799</v>
      </c>
    </row>
    <row r="7214" spans="1:1" x14ac:dyDescent="0.25">
      <c r="A7214" t="s">
        <v>3872</v>
      </c>
    </row>
    <row r="7215" spans="1:1" x14ac:dyDescent="0.25">
      <c r="A7215" t="s">
        <v>2800</v>
      </c>
    </row>
    <row r="7216" spans="1:1" x14ac:dyDescent="0.25">
      <c r="A7216" t="s">
        <v>2801</v>
      </c>
    </row>
    <row r="7217" spans="1:1" x14ac:dyDescent="0.25">
      <c r="A7217" t="s">
        <v>2802</v>
      </c>
    </row>
    <row r="7218" spans="1:1" x14ac:dyDescent="0.25">
      <c r="A7218" t="s">
        <v>2802</v>
      </c>
    </row>
    <row r="7219" spans="1:1" x14ac:dyDescent="0.25">
      <c r="A7219" t="s">
        <v>2803</v>
      </c>
    </row>
    <row r="7220" spans="1:1" x14ac:dyDescent="0.25">
      <c r="A7220" t="s">
        <v>2804</v>
      </c>
    </row>
    <row r="7221" spans="1:1" x14ac:dyDescent="0.25">
      <c r="A7221" t="s">
        <v>2805</v>
      </c>
    </row>
    <row r="7222" spans="1:1" x14ac:dyDescent="0.25">
      <c r="A7222" t="s">
        <v>2806</v>
      </c>
    </row>
    <row r="7223" spans="1:1" x14ac:dyDescent="0.25">
      <c r="A7223" t="s">
        <v>2807</v>
      </c>
    </row>
    <row r="7224" spans="1:1" x14ac:dyDescent="0.25">
      <c r="A7224" t="s">
        <v>2808</v>
      </c>
    </row>
    <row r="7225" spans="1:1" x14ac:dyDescent="0.25">
      <c r="A7225" t="s">
        <v>2809</v>
      </c>
    </row>
    <row r="7226" spans="1:1" x14ac:dyDescent="0.25">
      <c r="A7226" t="s">
        <v>2810</v>
      </c>
    </row>
    <row r="7227" spans="1:1" x14ac:dyDescent="0.25">
      <c r="A7227" t="s">
        <v>2811</v>
      </c>
    </row>
    <row r="7228" spans="1:1" x14ac:dyDescent="0.25">
      <c r="A7228" t="s">
        <v>2812</v>
      </c>
    </row>
    <row r="7229" spans="1:1" x14ac:dyDescent="0.25">
      <c r="A7229" t="s">
        <v>2813</v>
      </c>
    </row>
    <row r="7230" spans="1:1" x14ac:dyDescent="0.25">
      <c r="A7230" t="s">
        <v>2814</v>
      </c>
    </row>
    <row r="7231" spans="1:1" x14ac:dyDescent="0.25">
      <c r="A7231" t="s">
        <v>2815</v>
      </c>
    </row>
    <row r="7232" spans="1:1" x14ac:dyDescent="0.25">
      <c r="A7232" t="s">
        <v>2816</v>
      </c>
    </row>
    <row r="7233" spans="1:1" x14ac:dyDescent="0.25">
      <c r="A7233" t="s">
        <v>2817</v>
      </c>
    </row>
    <row r="7234" spans="1:1" x14ac:dyDescent="0.25">
      <c r="A7234" t="s">
        <v>2818</v>
      </c>
    </row>
    <row r="7235" spans="1:1" x14ac:dyDescent="0.25">
      <c r="A7235" t="s">
        <v>2819</v>
      </c>
    </row>
    <row r="7236" spans="1:1" x14ac:dyDescent="0.25">
      <c r="A7236" t="s">
        <v>3873</v>
      </c>
    </row>
    <row r="7237" spans="1:1" x14ac:dyDescent="0.25">
      <c r="A7237" t="s">
        <v>2820</v>
      </c>
    </row>
    <row r="7238" spans="1:1" x14ac:dyDescent="0.25">
      <c r="A7238" t="s">
        <v>2821</v>
      </c>
    </row>
    <row r="7239" spans="1:1" x14ac:dyDescent="0.25">
      <c r="A7239" t="s">
        <v>3874</v>
      </c>
    </row>
    <row r="7240" spans="1:1" x14ac:dyDescent="0.25">
      <c r="A7240" t="s">
        <v>3875</v>
      </c>
    </row>
    <row r="7241" spans="1:1" x14ac:dyDescent="0.25">
      <c r="A7241" t="s">
        <v>2713</v>
      </c>
    </row>
    <row r="7242" spans="1:1" x14ac:dyDescent="0.25">
      <c r="A7242" t="s">
        <v>2714</v>
      </c>
    </row>
    <row r="7243" spans="1:1" x14ac:dyDescent="0.25">
      <c r="A7243" t="s">
        <v>2714</v>
      </c>
    </row>
    <row r="7244" spans="1:1" x14ac:dyDescent="0.25">
      <c r="A7244" t="s">
        <v>2714</v>
      </c>
    </row>
    <row r="7245" spans="1:1" x14ac:dyDescent="0.25">
      <c r="A7245" t="s">
        <v>2714</v>
      </c>
    </row>
    <row r="7246" spans="1:1" x14ac:dyDescent="0.25">
      <c r="A7246" t="s">
        <v>2714</v>
      </c>
    </row>
    <row r="7247" spans="1:1" x14ac:dyDescent="0.25">
      <c r="A7247" t="s">
        <v>2686</v>
      </c>
    </row>
    <row r="7250" spans="1:1" x14ac:dyDescent="0.25">
      <c r="A7250" t="s">
        <v>3876</v>
      </c>
    </row>
    <row r="7251" spans="1:1" x14ac:dyDescent="0.25">
      <c r="A7251" t="s">
        <v>2713</v>
      </c>
    </row>
    <row r="7252" spans="1:1" x14ac:dyDescent="0.25">
      <c r="A7252" t="s">
        <v>2714</v>
      </c>
    </row>
    <row r="7253" spans="1:1" x14ac:dyDescent="0.25">
      <c r="A7253" t="s">
        <v>2714</v>
      </c>
    </row>
    <row r="7254" spans="1:1" x14ac:dyDescent="0.25">
      <c r="A7254" t="s">
        <v>2714</v>
      </c>
    </row>
    <row r="7255" spans="1:1" x14ac:dyDescent="0.25">
      <c r="A7255" t="s">
        <v>2714</v>
      </c>
    </row>
    <row r="7256" spans="1:1" x14ac:dyDescent="0.25">
      <c r="A7256" t="s">
        <v>2714</v>
      </c>
    </row>
    <row r="7257" spans="1:1" x14ac:dyDescent="0.25">
      <c r="A7257" t="s">
        <v>2714</v>
      </c>
    </row>
    <row r="7258" spans="1:1" x14ac:dyDescent="0.25">
      <c r="A7258" t="s">
        <v>2714</v>
      </c>
    </row>
    <row r="7259" spans="1:1" x14ac:dyDescent="0.25">
      <c r="A7259" t="s">
        <v>2714</v>
      </c>
    </row>
    <row r="7260" spans="1:1" x14ac:dyDescent="0.25">
      <c r="A7260" t="s">
        <v>2714</v>
      </c>
    </row>
    <row r="7261" spans="1:1" x14ac:dyDescent="0.25">
      <c r="A7261" t="s">
        <v>2714</v>
      </c>
    </row>
    <row r="7262" spans="1:1" x14ac:dyDescent="0.25">
      <c r="A7262" t="s">
        <v>2714</v>
      </c>
    </row>
    <row r="7263" spans="1:1" x14ac:dyDescent="0.25">
      <c r="A7263" t="s">
        <v>2714</v>
      </c>
    </row>
    <row r="7264" spans="1:1" x14ac:dyDescent="0.25">
      <c r="A7264" t="s">
        <v>2714</v>
      </c>
    </row>
    <row r="7265" spans="1:1" x14ac:dyDescent="0.25">
      <c r="A7265" t="s">
        <v>2714</v>
      </c>
    </row>
    <row r="7266" spans="1:1" x14ac:dyDescent="0.25">
      <c r="A7266" t="s">
        <v>2714</v>
      </c>
    </row>
    <row r="7267" spans="1:1" x14ac:dyDescent="0.25">
      <c r="A7267" t="s">
        <v>2714</v>
      </c>
    </row>
    <row r="7268" spans="1:1" x14ac:dyDescent="0.25">
      <c r="A7268" t="s">
        <v>2714</v>
      </c>
    </row>
    <row r="7269" spans="1:1" x14ac:dyDescent="0.25">
      <c r="A7269" t="s">
        <v>2714</v>
      </c>
    </row>
    <row r="7270" spans="1:1" x14ac:dyDescent="0.25">
      <c r="A7270" t="s">
        <v>2714</v>
      </c>
    </row>
    <row r="7271" spans="1:1" x14ac:dyDescent="0.25">
      <c r="A7271" t="s">
        <v>2714</v>
      </c>
    </row>
    <row r="7272" spans="1:1" x14ac:dyDescent="0.25">
      <c r="A7272" t="s">
        <v>2714</v>
      </c>
    </row>
    <row r="7273" spans="1:1" x14ac:dyDescent="0.25">
      <c r="A7273" t="s">
        <v>2714</v>
      </c>
    </row>
    <row r="7274" spans="1:1" x14ac:dyDescent="0.25">
      <c r="A7274" t="s">
        <v>2714</v>
      </c>
    </row>
    <row r="7275" spans="1:1" x14ac:dyDescent="0.25">
      <c r="A7275" t="s">
        <v>2714</v>
      </c>
    </row>
    <row r="7276" spans="1:1" x14ac:dyDescent="0.25">
      <c r="A7276" t="s">
        <v>2714</v>
      </c>
    </row>
    <row r="7277" spans="1:1" x14ac:dyDescent="0.25">
      <c r="A7277" t="s">
        <v>2714</v>
      </c>
    </row>
    <row r="7278" spans="1:1" x14ac:dyDescent="0.25">
      <c r="A7278" t="s">
        <v>2714</v>
      </c>
    </row>
    <row r="7279" spans="1:1" x14ac:dyDescent="0.25">
      <c r="A7279" t="s">
        <v>2714</v>
      </c>
    </row>
    <row r="7280" spans="1:1" x14ac:dyDescent="0.25">
      <c r="A7280" t="s">
        <v>2714</v>
      </c>
    </row>
    <row r="7281" spans="1:1" x14ac:dyDescent="0.25">
      <c r="A7281" t="s">
        <v>2714</v>
      </c>
    </row>
    <row r="7282" spans="1:1" x14ac:dyDescent="0.25">
      <c r="A7282" t="s">
        <v>2714</v>
      </c>
    </row>
    <row r="7283" spans="1:1" x14ac:dyDescent="0.25">
      <c r="A7283" t="s">
        <v>2714</v>
      </c>
    </row>
    <row r="7284" spans="1:1" x14ac:dyDescent="0.25">
      <c r="A7284" t="s">
        <v>2714</v>
      </c>
    </row>
    <row r="7285" spans="1:1" x14ac:dyDescent="0.25">
      <c r="A7285" t="s">
        <v>2714</v>
      </c>
    </row>
    <row r="7286" spans="1:1" x14ac:dyDescent="0.25">
      <c r="A7286" t="s">
        <v>2714</v>
      </c>
    </row>
    <row r="7287" spans="1:1" x14ac:dyDescent="0.25">
      <c r="A7287" t="s">
        <v>2714</v>
      </c>
    </row>
    <row r="7288" spans="1:1" x14ac:dyDescent="0.25">
      <c r="A7288" t="s">
        <v>2714</v>
      </c>
    </row>
    <row r="7289" spans="1:1" x14ac:dyDescent="0.25">
      <c r="A7289" t="s">
        <v>2714</v>
      </c>
    </row>
    <row r="7290" spans="1:1" x14ac:dyDescent="0.25">
      <c r="A7290" t="s">
        <v>2714</v>
      </c>
    </row>
    <row r="7291" spans="1:1" x14ac:dyDescent="0.25">
      <c r="A7291" t="s">
        <v>2714</v>
      </c>
    </row>
    <row r="7292" spans="1:1" x14ac:dyDescent="0.25">
      <c r="A7292" t="s">
        <v>2714</v>
      </c>
    </row>
    <row r="7293" spans="1:1" x14ac:dyDescent="0.25">
      <c r="A7293" t="s">
        <v>2714</v>
      </c>
    </row>
    <row r="7294" spans="1:1" x14ac:dyDescent="0.25">
      <c r="A7294" t="s">
        <v>2714</v>
      </c>
    </row>
    <row r="7295" spans="1:1" x14ac:dyDescent="0.25">
      <c r="A7295" t="s">
        <v>2714</v>
      </c>
    </row>
    <row r="7296" spans="1:1" x14ac:dyDescent="0.25">
      <c r="A7296" t="s">
        <v>2714</v>
      </c>
    </row>
    <row r="7297" spans="1:1" x14ac:dyDescent="0.25">
      <c r="A7297" t="s">
        <v>2714</v>
      </c>
    </row>
    <row r="7298" spans="1:1" x14ac:dyDescent="0.25">
      <c r="A7298" t="s">
        <v>2714</v>
      </c>
    </row>
    <row r="7299" spans="1:1" x14ac:dyDescent="0.25">
      <c r="A7299" t="s">
        <v>2714</v>
      </c>
    </row>
    <row r="7300" spans="1:1" x14ac:dyDescent="0.25">
      <c r="A7300" t="s">
        <v>2714</v>
      </c>
    </row>
    <row r="7301" spans="1:1" x14ac:dyDescent="0.25">
      <c r="A7301" t="s">
        <v>2714</v>
      </c>
    </row>
    <row r="7302" spans="1:1" x14ac:dyDescent="0.25">
      <c r="A7302" t="s">
        <v>2714</v>
      </c>
    </row>
    <row r="7303" spans="1:1" x14ac:dyDescent="0.25">
      <c r="A7303" t="s">
        <v>2714</v>
      </c>
    </row>
    <row r="7304" spans="1:1" x14ac:dyDescent="0.25">
      <c r="A7304" t="s">
        <v>2714</v>
      </c>
    </row>
    <row r="7305" spans="1:1" x14ac:dyDescent="0.25">
      <c r="A7305" t="s">
        <v>2714</v>
      </c>
    </row>
    <row r="7306" spans="1:1" x14ac:dyDescent="0.25">
      <c r="A7306" t="s">
        <v>2714</v>
      </c>
    </row>
    <row r="7307" spans="1:1" x14ac:dyDescent="0.25">
      <c r="A7307" t="s">
        <v>2714</v>
      </c>
    </row>
    <row r="7308" spans="1:1" x14ac:dyDescent="0.25">
      <c r="A7308" t="s">
        <v>2714</v>
      </c>
    </row>
    <row r="7309" spans="1:1" x14ac:dyDescent="0.25">
      <c r="A7309" t="s">
        <v>2714</v>
      </c>
    </row>
    <row r="7310" spans="1:1" x14ac:dyDescent="0.25">
      <c r="A7310" t="s">
        <v>2686</v>
      </c>
    </row>
    <row r="7313" spans="1:1" x14ac:dyDescent="0.25">
      <c r="A7313" t="s">
        <v>3877</v>
      </c>
    </row>
    <row r="7314" spans="1:1" x14ac:dyDescent="0.25">
      <c r="A7314" t="s">
        <v>3878</v>
      </c>
    </row>
    <row r="7315" spans="1:1" x14ac:dyDescent="0.25">
      <c r="A7315" t="s">
        <v>2716</v>
      </c>
    </row>
    <row r="7316" spans="1:1" x14ac:dyDescent="0.25">
      <c r="A7316" t="s">
        <v>3879</v>
      </c>
    </row>
    <row r="7317" spans="1:1" x14ac:dyDescent="0.25">
      <c r="A7317" t="s">
        <v>2717</v>
      </c>
    </row>
    <row r="7318" spans="1:1" x14ac:dyDescent="0.25">
      <c r="A7318" t="s">
        <v>3880</v>
      </c>
    </row>
    <row r="7319" spans="1:1" x14ac:dyDescent="0.25">
      <c r="A7319" t="s">
        <v>2718</v>
      </c>
    </row>
    <row r="7320" spans="1:1" x14ac:dyDescent="0.25">
      <c r="A7320" t="s">
        <v>3881</v>
      </c>
    </row>
    <row r="7321" spans="1:1" x14ac:dyDescent="0.25">
      <c r="A7321" t="s">
        <v>3882</v>
      </c>
    </row>
    <row r="7322" spans="1:1" x14ac:dyDescent="0.25">
      <c r="A7322" t="s">
        <v>3883</v>
      </c>
    </row>
    <row r="7323" spans="1:1" x14ac:dyDescent="0.25">
      <c r="A7323" t="s">
        <v>3884</v>
      </c>
    </row>
    <row r="7324" spans="1:1" x14ac:dyDescent="0.25">
      <c r="A7324" t="s">
        <v>3885</v>
      </c>
    </row>
    <row r="7325" spans="1:1" x14ac:dyDescent="0.25">
      <c r="A7325" t="s">
        <v>3886</v>
      </c>
    </row>
    <row r="7326" spans="1:1" x14ac:dyDescent="0.25">
      <c r="A7326" t="s">
        <v>3887</v>
      </c>
    </row>
    <row r="7327" spans="1:1" x14ac:dyDescent="0.25">
      <c r="A7327" t="s">
        <v>3888</v>
      </c>
    </row>
    <row r="7328" spans="1:1" x14ac:dyDescent="0.25">
      <c r="A7328" t="s">
        <v>3889</v>
      </c>
    </row>
    <row r="7329" spans="1:1" x14ac:dyDescent="0.25">
      <c r="A7329" t="s">
        <v>3890</v>
      </c>
    </row>
    <row r="7330" spans="1:1" x14ac:dyDescent="0.25">
      <c r="A7330" t="s">
        <v>3891</v>
      </c>
    </row>
    <row r="7331" spans="1:1" x14ac:dyDescent="0.25">
      <c r="A7331" t="s">
        <v>3892</v>
      </c>
    </row>
    <row r="7332" spans="1:1" x14ac:dyDescent="0.25">
      <c r="A7332" t="s">
        <v>3893</v>
      </c>
    </row>
    <row r="7333" spans="1:1" x14ac:dyDescent="0.25">
      <c r="A7333" t="s">
        <v>3894</v>
      </c>
    </row>
    <row r="7334" spans="1:1" x14ac:dyDescent="0.25">
      <c r="A7334" t="s">
        <v>3894</v>
      </c>
    </row>
    <row r="7335" spans="1:1" x14ac:dyDescent="0.25">
      <c r="A7335" t="s">
        <v>2713</v>
      </c>
    </row>
    <row r="7336" spans="1:1" x14ac:dyDescent="0.25">
      <c r="A7336" t="s">
        <v>2714</v>
      </c>
    </row>
    <row r="7337" spans="1:1" x14ac:dyDescent="0.25">
      <c r="A7337" t="s">
        <v>2714</v>
      </c>
    </row>
    <row r="7338" spans="1:1" x14ac:dyDescent="0.25">
      <c r="A7338" t="s">
        <v>2714</v>
      </c>
    </row>
    <row r="7339" spans="1:1" x14ac:dyDescent="0.25">
      <c r="A7339" t="s">
        <v>2714</v>
      </c>
    </row>
    <row r="7340" spans="1:1" x14ac:dyDescent="0.25">
      <c r="A7340" t="s">
        <v>2714</v>
      </c>
    </row>
    <row r="7341" spans="1:1" x14ac:dyDescent="0.25">
      <c r="A7341" t="s">
        <v>2714</v>
      </c>
    </row>
    <row r="7342" spans="1:1" x14ac:dyDescent="0.25">
      <c r="A7342" t="s">
        <v>2714</v>
      </c>
    </row>
    <row r="7343" spans="1:1" x14ac:dyDescent="0.25">
      <c r="A7343" t="s">
        <v>2714</v>
      </c>
    </row>
    <row r="7344" spans="1:1" x14ac:dyDescent="0.25">
      <c r="A7344" t="s">
        <v>2714</v>
      </c>
    </row>
    <row r="7345" spans="1:1" x14ac:dyDescent="0.25">
      <c r="A7345" t="s">
        <v>2714</v>
      </c>
    </row>
    <row r="7346" spans="1:1" x14ac:dyDescent="0.25">
      <c r="A7346" t="s">
        <v>2714</v>
      </c>
    </row>
    <row r="7347" spans="1:1" x14ac:dyDescent="0.25">
      <c r="A7347" t="s">
        <v>2714</v>
      </c>
    </row>
    <row r="7348" spans="1:1" x14ac:dyDescent="0.25">
      <c r="A7348" t="s">
        <v>2714</v>
      </c>
    </row>
    <row r="7349" spans="1:1" x14ac:dyDescent="0.25">
      <c r="A7349" t="s">
        <v>2714</v>
      </c>
    </row>
    <row r="7350" spans="1:1" x14ac:dyDescent="0.25">
      <c r="A7350" t="s">
        <v>2714</v>
      </c>
    </row>
    <row r="7351" spans="1:1" x14ac:dyDescent="0.25">
      <c r="A7351" t="s">
        <v>2714</v>
      </c>
    </row>
    <row r="7352" spans="1:1" x14ac:dyDescent="0.25">
      <c r="A7352" t="s">
        <v>2714</v>
      </c>
    </row>
    <row r="7353" spans="1:1" x14ac:dyDescent="0.25">
      <c r="A7353" t="s">
        <v>2714</v>
      </c>
    </row>
    <row r="7354" spans="1:1" x14ac:dyDescent="0.25">
      <c r="A7354" t="s">
        <v>2714</v>
      </c>
    </row>
    <row r="7355" spans="1:1" x14ac:dyDescent="0.25">
      <c r="A7355" t="s">
        <v>2714</v>
      </c>
    </row>
    <row r="7356" spans="1:1" x14ac:dyDescent="0.25">
      <c r="A7356" t="s">
        <v>2714</v>
      </c>
    </row>
    <row r="7357" spans="1:1" x14ac:dyDescent="0.25">
      <c r="A7357" t="s">
        <v>2714</v>
      </c>
    </row>
    <row r="7358" spans="1:1" x14ac:dyDescent="0.25">
      <c r="A7358" t="s">
        <v>2714</v>
      </c>
    </row>
    <row r="7359" spans="1:1" x14ac:dyDescent="0.25">
      <c r="A7359" t="s">
        <v>2714</v>
      </c>
    </row>
    <row r="7360" spans="1:1" x14ac:dyDescent="0.25">
      <c r="A7360" t="s">
        <v>2714</v>
      </c>
    </row>
    <row r="7361" spans="1:1" x14ac:dyDescent="0.25">
      <c r="A7361" t="s">
        <v>2714</v>
      </c>
    </row>
    <row r="7362" spans="1:1" x14ac:dyDescent="0.25">
      <c r="A7362" t="s">
        <v>2714</v>
      </c>
    </row>
    <row r="7363" spans="1:1" x14ac:dyDescent="0.25">
      <c r="A7363" t="s">
        <v>2714</v>
      </c>
    </row>
    <row r="7364" spans="1:1" x14ac:dyDescent="0.25">
      <c r="A7364" t="s">
        <v>2714</v>
      </c>
    </row>
    <row r="7365" spans="1:1" x14ac:dyDescent="0.25">
      <c r="A7365" t="s">
        <v>2714</v>
      </c>
    </row>
    <row r="7366" spans="1:1" x14ac:dyDescent="0.25">
      <c r="A7366" t="s">
        <v>2714</v>
      </c>
    </row>
    <row r="7367" spans="1:1" x14ac:dyDescent="0.25">
      <c r="A7367" t="s">
        <v>2714</v>
      </c>
    </row>
    <row r="7368" spans="1:1" x14ac:dyDescent="0.25">
      <c r="A7368" t="s">
        <v>2714</v>
      </c>
    </row>
    <row r="7369" spans="1:1" x14ac:dyDescent="0.25">
      <c r="A7369" t="s">
        <v>2714</v>
      </c>
    </row>
    <row r="7370" spans="1:1" x14ac:dyDescent="0.25">
      <c r="A7370" t="s">
        <v>2714</v>
      </c>
    </row>
    <row r="7371" spans="1:1" x14ac:dyDescent="0.25">
      <c r="A7371" t="s">
        <v>2714</v>
      </c>
    </row>
    <row r="7372" spans="1:1" x14ac:dyDescent="0.25">
      <c r="A7372" t="s">
        <v>2714</v>
      </c>
    </row>
    <row r="7373" spans="1:1" x14ac:dyDescent="0.25">
      <c r="A7373" t="s">
        <v>2686</v>
      </c>
    </row>
    <row r="7376" spans="1:1" x14ac:dyDescent="0.25">
      <c r="A7376" t="s">
        <v>3895</v>
      </c>
    </row>
    <row r="7377" spans="1:1" x14ac:dyDescent="0.25">
      <c r="A7377" t="s">
        <v>3024</v>
      </c>
    </row>
    <row r="7378" spans="1:1" x14ac:dyDescent="0.25">
      <c r="A7378" t="s">
        <v>3025</v>
      </c>
    </row>
    <row r="7379" spans="1:1" x14ac:dyDescent="0.25">
      <c r="A7379" t="s">
        <v>3026</v>
      </c>
    </row>
    <row r="7380" spans="1:1" x14ac:dyDescent="0.25">
      <c r="A7380" t="s">
        <v>3030</v>
      </c>
    </row>
    <row r="7381" spans="1:1" x14ac:dyDescent="0.25">
      <c r="A7381" t="s">
        <v>3031</v>
      </c>
    </row>
    <row r="7382" spans="1:1" x14ac:dyDescent="0.25">
      <c r="A7382" t="s">
        <v>2713</v>
      </c>
    </row>
    <row r="7383" spans="1:1" x14ac:dyDescent="0.25">
      <c r="A7383" t="s">
        <v>2714</v>
      </c>
    </row>
    <row r="7384" spans="1:1" x14ac:dyDescent="0.25">
      <c r="A7384" t="s">
        <v>2714</v>
      </c>
    </row>
    <row r="7385" spans="1:1" x14ac:dyDescent="0.25">
      <c r="A7385" t="s">
        <v>2714</v>
      </c>
    </row>
    <row r="7386" spans="1:1" x14ac:dyDescent="0.25">
      <c r="A7386" t="s">
        <v>2714</v>
      </c>
    </row>
    <row r="7387" spans="1:1" x14ac:dyDescent="0.25">
      <c r="A7387" t="s">
        <v>2714</v>
      </c>
    </row>
    <row r="7388" spans="1:1" x14ac:dyDescent="0.25">
      <c r="A7388" t="s">
        <v>2714</v>
      </c>
    </row>
    <row r="7389" spans="1:1" x14ac:dyDescent="0.25">
      <c r="A7389" t="s">
        <v>2714</v>
      </c>
    </row>
    <row r="7390" spans="1:1" x14ac:dyDescent="0.25">
      <c r="A7390" t="s">
        <v>2714</v>
      </c>
    </row>
    <row r="7391" spans="1:1" x14ac:dyDescent="0.25">
      <c r="A7391" t="s">
        <v>2714</v>
      </c>
    </row>
    <row r="7392" spans="1:1" x14ac:dyDescent="0.25">
      <c r="A7392" t="s">
        <v>2714</v>
      </c>
    </row>
    <row r="7393" spans="1:1" x14ac:dyDescent="0.25">
      <c r="A7393" t="s">
        <v>2714</v>
      </c>
    </row>
    <row r="7394" spans="1:1" x14ac:dyDescent="0.25">
      <c r="A7394" t="s">
        <v>2714</v>
      </c>
    </row>
    <row r="7395" spans="1:1" x14ac:dyDescent="0.25">
      <c r="A7395" t="s">
        <v>2714</v>
      </c>
    </row>
    <row r="7396" spans="1:1" x14ac:dyDescent="0.25">
      <c r="A7396" t="s">
        <v>2714</v>
      </c>
    </row>
    <row r="7397" spans="1:1" x14ac:dyDescent="0.25">
      <c r="A7397" t="s">
        <v>2714</v>
      </c>
    </row>
    <row r="7398" spans="1:1" x14ac:dyDescent="0.25">
      <c r="A7398" t="s">
        <v>2714</v>
      </c>
    </row>
    <row r="7399" spans="1:1" x14ac:dyDescent="0.25">
      <c r="A7399" t="s">
        <v>2714</v>
      </c>
    </row>
    <row r="7400" spans="1:1" x14ac:dyDescent="0.25">
      <c r="A7400" t="s">
        <v>2714</v>
      </c>
    </row>
    <row r="7401" spans="1:1" x14ac:dyDescent="0.25">
      <c r="A7401" t="s">
        <v>2714</v>
      </c>
    </row>
    <row r="7402" spans="1:1" x14ac:dyDescent="0.25">
      <c r="A7402" t="s">
        <v>2714</v>
      </c>
    </row>
    <row r="7403" spans="1:1" x14ac:dyDescent="0.25">
      <c r="A7403" t="s">
        <v>2714</v>
      </c>
    </row>
    <row r="7404" spans="1:1" x14ac:dyDescent="0.25">
      <c r="A7404" t="s">
        <v>2714</v>
      </c>
    </row>
    <row r="7405" spans="1:1" x14ac:dyDescent="0.25">
      <c r="A7405" t="s">
        <v>2714</v>
      </c>
    </row>
    <row r="7406" spans="1:1" x14ac:dyDescent="0.25">
      <c r="A7406" t="s">
        <v>2714</v>
      </c>
    </row>
    <row r="7407" spans="1:1" x14ac:dyDescent="0.25">
      <c r="A7407" t="s">
        <v>2714</v>
      </c>
    </row>
    <row r="7408" spans="1:1" x14ac:dyDescent="0.25">
      <c r="A7408" t="s">
        <v>2714</v>
      </c>
    </row>
    <row r="7409" spans="1:1" x14ac:dyDescent="0.25">
      <c r="A7409" t="s">
        <v>2714</v>
      </c>
    </row>
    <row r="7410" spans="1:1" x14ac:dyDescent="0.25">
      <c r="A7410" t="s">
        <v>2714</v>
      </c>
    </row>
    <row r="7411" spans="1:1" x14ac:dyDescent="0.25">
      <c r="A7411" t="s">
        <v>2714</v>
      </c>
    </row>
    <row r="7412" spans="1:1" x14ac:dyDescent="0.25">
      <c r="A7412" t="s">
        <v>2714</v>
      </c>
    </row>
    <row r="7413" spans="1:1" x14ac:dyDescent="0.25">
      <c r="A7413" t="s">
        <v>2714</v>
      </c>
    </row>
    <row r="7414" spans="1:1" x14ac:dyDescent="0.25">
      <c r="A7414" t="s">
        <v>2714</v>
      </c>
    </row>
    <row r="7415" spans="1:1" x14ac:dyDescent="0.25">
      <c r="A7415" t="s">
        <v>2714</v>
      </c>
    </row>
    <row r="7416" spans="1:1" x14ac:dyDescent="0.25">
      <c r="A7416" t="s">
        <v>2714</v>
      </c>
    </row>
    <row r="7417" spans="1:1" x14ac:dyDescent="0.25">
      <c r="A7417" t="s">
        <v>2714</v>
      </c>
    </row>
    <row r="7418" spans="1:1" x14ac:dyDescent="0.25">
      <c r="A7418" t="s">
        <v>2714</v>
      </c>
    </row>
    <row r="7419" spans="1:1" x14ac:dyDescent="0.25">
      <c r="A7419" t="s">
        <v>2714</v>
      </c>
    </row>
    <row r="7420" spans="1:1" x14ac:dyDescent="0.25">
      <c r="A7420" t="s">
        <v>2714</v>
      </c>
    </row>
    <row r="7421" spans="1:1" x14ac:dyDescent="0.25">
      <c r="A7421" t="s">
        <v>2714</v>
      </c>
    </row>
    <row r="7422" spans="1:1" x14ac:dyDescent="0.25">
      <c r="A7422" t="s">
        <v>2714</v>
      </c>
    </row>
    <row r="7423" spans="1:1" x14ac:dyDescent="0.25">
      <c r="A7423" t="s">
        <v>2714</v>
      </c>
    </row>
    <row r="7424" spans="1:1" x14ac:dyDescent="0.25">
      <c r="A7424" t="s">
        <v>2714</v>
      </c>
    </row>
    <row r="7425" spans="1:1" x14ac:dyDescent="0.25">
      <c r="A7425" t="s">
        <v>2714</v>
      </c>
    </row>
    <row r="7426" spans="1:1" x14ac:dyDescent="0.25">
      <c r="A7426" t="s">
        <v>2714</v>
      </c>
    </row>
    <row r="7427" spans="1:1" x14ac:dyDescent="0.25">
      <c r="A7427" t="s">
        <v>2714</v>
      </c>
    </row>
    <row r="7428" spans="1:1" x14ac:dyDescent="0.25">
      <c r="A7428" t="s">
        <v>2714</v>
      </c>
    </row>
    <row r="7429" spans="1:1" x14ac:dyDescent="0.25">
      <c r="A7429" t="s">
        <v>2714</v>
      </c>
    </row>
    <row r="7430" spans="1:1" x14ac:dyDescent="0.25">
      <c r="A7430" t="s">
        <v>2714</v>
      </c>
    </row>
    <row r="7431" spans="1:1" x14ac:dyDescent="0.25">
      <c r="A7431" t="s">
        <v>2714</v>
      </c>
    </row>
    <row r="7432" spans="1:1" x14ac:dyDescent="0.25">
      <c r="A7432" t="s">
        <v>2714</v>
      </c>
    </row>
    <row r="7433" spans="1:1" x14ac:dyDescent="0.25">
      <c r="A7433" t="s">
        <v>2714</v>
      </c>
    </row>
    <row r="7434" spans="1:1" x14ac:dyDescent="0.25">
      <c r="A7434" t="s">
        <v>2714</v>
      </c>
    </row>
    <row r="7435" spans="1:1" x14ac:dyDescent="0.25">
      <c r="A7435" t="s">
        <v>2714</v>
      </c>
    </row>
    <row r="7436" spans="1:1" x14ac:dyDescent="0.25">
      <c r="A7436" t="s">
        <v>2686</v>
      </c>
    </row>
    <row r="7439" spans="1:1" x14ac:dyDescent="0.25">
      <c r="A7439" t="s">
        <v>3896</v>
      </c>
    </row>
    <row r="7440" spans="1:1" x14ac:dyDescent="0.25">
      <c r="A7440" t="s">
        <v>3897</v>
      </c>
    </row>
    <row r="7441" spans="1:1" x14ac:dyDescent="0.25">
      <c r="A7441" t="s">
        <v>3898</v>
      </c>
    </row>
    <row r="7442" spans="1:1" x14ac:dyDescent="0.25">
      <c r="A7442" t="s">
        <v>2713</v>
      </c>
    </row>
    <row r="7443" spans="1:1" x14ac:dyDescent="0.25">
      <c r="A7443" t="s">
        <v>2714</v>
      </c>
    </row>
    <row r="7444" spans="1:1" x14ac:dyDescent="0.25">
      <c r="A7444" t="s">
        <v>2714</v>
      </c>
    </row>
    <row r="7445" spans="1:1" x14ac:dyDescent="0.25">
      <c r="A7445" t="s">
        <v>2714</v>
      </c>
    </row>
    <row r="7446" spans="1:1" x14ac:dyDescent="0.25">
      <c r="A7446" t="s">
        <v>2714</v>
      </c>
    </row>
    <row r="7447" spans="1:1" x14ac:dyDescent="0.25">
      <c r="A7447" t="s">
        <v>2714</v>
      </c>
    </row>
    <row r="7448" spans="1:1" x14ac:dyDescent="0.25">
      <c r="A7448" t="s">
        <v>2714</v>
      </c>
    </row>
    <row r="7449" spans="1:1" x14ac:dyDescent="0.25">
      <c r="A7449" t="s">
        <v>2714</v>
      </c>
    </row>
    <row r="7450" spans="1:1" x14ac:dyDescent="0.25">
      <c r="A7450" t="s">
        <v>2714</v>
      </c>
    </row>
    <row r="7451" spans="1:1" x14ac:dyDescent="0.25">
      <c r="A7451" t="s">
        <v>2714</v>
      </c>
    </row>
    <row r="7452" spans="1:1" x14ac:dyDescent="0.25">
      <c r="A7452" t="s">
        <v>2714</v>
      </c>
    </row>
    <row r="7453" spans="1:1" x14ac:dyDescent="0.25">
      <c r="A7453" t="s">
        <v>2714</v>
      </c>
    </row>
    <row r="7454" spans="1:1" x14ac:dyDescent="0.25">
      <c r="A7454" t="s">
        <v>2714</v>
      </c>
    </row>
    <row r="7455" spans="1:1" x14ac:dyDescent="0.25">
      <c r="A7455" t="s">
        <v>2714</v>
      </c>
    </row>
    <row r="7456" spans="1:1" x14ac:dyDescent="0.25">
      <c r="A7456" t="s">
        <v>2714</v>
      </c>
    </row>
    <row r="7457" spans="1:1" x14ac:dyDescent="0.25">
      <c r="A7457" t="s">
        <v>2714</v>
      </c>
    </row>
    <row r="7458" spans="1:1" x14ac:dyDescent="0.25">
      <c r="A7458" t="s">
        <v>2714</v>
      </c>
    </row>
    <row r="7459" spans="1:1" x14ac:dyDescent="0.25">
      <c r="A7459" t="s">
        <v>2714</v>
      </c>
    </row>
    <row r="7460" spans="1:1" x14ac:dyDescent="0.25">
      <c r="A7460" t="s">
        <v>2714</v>
      </c>
    </row>
    <row r="7461" spans="1:1" x14ac:dyDescent="0.25">
      <c r="A7461" t="s">
        <v>2714</v>
      </c>
    </row>
    <row r="7462" spans="1:1" x14ac:dyDescent="0.25">
      <c r="A7462" t="s">
        <v>2714</v>
      </c>
    </row>
    <row r="7463" spans="1:1" x14ac:dyDescent="0.25">
      <c r="A7463" t="s">
        <v>2714</v>
      </c>
    </row>
    <row r="7464" spans="1:1" x14ac:dyDescent="0.25">
      <c r="A7464" t="s">
        <v>2714</v>
      </c>
    </row>
    <row r="7465" spans="1:1" x14ac:dyDescent="0.25">
      <c r="A7465" t="s">
        <v>2714</v>
      </c>
    </row>
    <row r="7466" spans="1:1" x14ac:dyDescent="0.25">
      <c r="A7466" t="s">
        <v>2714</v>
      </c>
    </row>
    <row r="7467" spans="1:1" x14ac:dyDescent="0.25">
      <c r="A7467" t="s">
        <v>2714</v>
      </c>
    </row>
    <row r="7468" spans="1:1" x14ac:dyDescent="0.25">
      <c r="A7468" t="s">
        <v>2714</v>
      </c>
    </row>
    <row r="7469" spans="1:1" x14ac:dyDescent="0.25">
      <c r="A7469" t="s">
        <v>2714</v>
      </c>
    </row>
    <row r="7470" spans="1:1" x14ac:dyDescent="0.25">
      <c r="A7470" t="s">
        <v>2714</v>
      </c>
    </row>
    <row r="7471" spans="1:1" x14ac:dyDescent="0.25">
      <c r="A7471" t="s">
        <v>2714</v>
      </c>
    </row>
    <row r="7472" spans="1:1" x14ac:dyDescent="0.25">
      <c r="A7472" t="s">
        <v>2714</v>
      </c>
    </row>
    <row r="7473" spans="1:1" x14ac:dyDescent="0.25">
      <c r="A7473" t="s">
        <v>2714</v>
      </c>
    </row>
    <row r="7474" spans="1:1" x14ac:dyDescent="0.25">
      <c r="A7474" t="s">
        <v>2714</v>
      </c>
    </row>
    <row r="7475" spans="1:1" x14ac:dyDescent="0.25">
      <c r="A7475" t="s">
        <v>2714</v>
      </c>
    </row>
    <row r="7476" spans="1:1" x14ac:dyDescent="0.25">
      <c r="A7476" t="s">
        <v>2714</v>
      </c>
    </row>
    <row r="7477" spans="1:1" x14ac:dyDescent="0.25">
      <c r="A7477" t="s">
        <v>2714</v>
      </c>
    </row>
    <row r="7478" spans="1:1" x14ac:dyDescent="0.25">
      <c r="A7478" t="s">
        <v>2714</v>
      </c>
    </row>
    <row r="7479" spans="1:1" x14ac:dyDescent="0.25">
      <c r="A7479" t="s">
        <v>2714</v>
      </c>
    </row>
    <row r="7480" spans="1:1" x14ac:dyDescent="0.25">
      <c r="A7480" t="s">
        <v>2714</v>
      </c>
    </row>
    <row r="7481" spans="1:1" x14ac:dyDescent="0.25">
      <c r="A7481" t="s">
        <v>2714</v>
      </c>
    </row>
    <row r="7482" spans="1:1" x14ac:dyDescent="0.25">
      <c r="A7482" t="s">
        <v>2714</v>
      </c>
    </row>
    <row r="7483" spans="1:1" x14ac:dyDescent="0.25">
      <c r="A7483" t="s">
        <v>2714</v>
      </c>
    </row>
    <row r="7484" spans="1:1" x14ac:dyDescent="0.25">
      <c r="A7484" t="s">
        <v>2714</v>
      </c>
    </row>
    <row r="7485" spans="1:1" x14ac:dyDescent="0.25">
      <c r="A7485" t="s">
        <v>2714</v>
      </c>
    </row>
    <row r="7486" spans="1:1" x14ac:dyDescent="0.25">
      <c r="A7486" t="s">
        <v>2714</v>
      </c>
    </row>
    <row r="7487" spans="1:1" x14ac:dyDescent="0.25">
      <c r="A7487" t="s">
        <v>2714</v>
      </c>
    </row>
    <row r="7488" spans="1:1" x14ac:dyDescent="0.25">
      <c r="A7488" t="s">
        <v>2714</v>
      </c>
    </row>
    <row r="7489" spans="1:1" x14ac:dyDescent="0.25">
      <c r="A7489" t="s">
        <v>2714</v>
      </c>
    </row>
    <row r="7490" spans="1:1" x14ac:dyDescent="0.25">
      <c r="A7490" t="s">
        <v>2714</v>
      </c>
    </row>
    <row r="7491" spans="1:1" x14ac:dyDescent="0.25">
      <c r="A7491" t="s">
        <v>2714</v>
      </c>
    </row>
    <row r="7492" spans="1:1" x14ac:dyDescent="0.25">
      <c r="A7492" t="s">
        <v>2714</v>
      </c>
    </row>
    <row r="7493" spans="1:1" x14ac:dyDescent="0.25">
      <c r="A7493" t="s">
        <v>2714</v>
      </c>
    </row>
    <row r="7494" spans="1:1" x14ac:dyDescent="0.25">
      <c r="A7494" t="s">
        <v>2714</v>
      </c>
    </row>
    <row r="7495" spans="1:1" x14ac:dyDescent="0.25">
      <c r="A7495" t="s">
        <v>2714</v>
      </c>
    </row>
    <row r="7496" spans="1:1" x14ac:dyDescent="0.25">
      <c r="A7496" t="s">
        <v>2714</v>
      </c>
    </row>
    <row r="7497" spans="1:1" x14ac:dyDescent="0.25">
      <c r="A7497" t="s">
        <v>2714</v>
      </c>
    </row>
    <row r="7498" spans="1:1" x14ac:dyDescent="0.25">
      <c r="A7498" t="s">
        <v>2714</v>
      </c>
    </row>
    <row r="7499" spans="1:1" x14ac:dyDescent="0.25">
      <c r="A7499" t="s">
        <v>2686</v>
      </c>
    </row>
    <row r="7502" spans="1:1" x14ac:dyDescent="0.25">
      <c r="A7502" t="s">
        <v>3899</v>
      </c>
    </row>
    <row r="7503" spans="1:1" x14ac:dyDescent="0.25">
      <c r="A7503" t="s">
        <v>3900</v>
      </c>
    </row>
    <row r="7504" spans="1:1" x14ac:dyDescent="0.25">
      <c r="A7504" t="s">
        <v>2713</v>
      </c>
    </row>
    <row r="7505" spans="1:1" x14ac:dyDescent="0.25">
      <c r="A7505" t="s">
        <v>2714</v>
      </c>
    </row>
    <row r="7506" spans="1:1" x14ac:dyDescent="0.25">
      <c r="A7506" t="s">
        <v>2714</v>
      </c>
    </row>
    <row r="7507" spans="1:1" x14ac:dyDescent="0.25">
      <c r="A7507" t="s">
        <v>2714</v>
      </c>
    </row>
    <row r="7508" spans="1:1" x14ac:dyDescent="0.25">
      <c r="A7508" t="s">
        <v>2714</v>
      </c>
    </row>
    <row r="7509" spans="1:1" x14ac:dyDescent="0.25">
      <c r="A7509" t="s">
        <v>2714</v>
      </c>
    </row>
    <row r="7510" spans="1:1" x14ac:dyDescent="0.25">
      <c r="A7510" t="s">
        <v>2714</v>
      </c>
    </row>
    <row r="7511" spans="1:1" x14ac:dyDescent="0.25">
      <c r="A7511" t="s">
        <v>2714</v>
      </c>
    </row>
    <row r="7512" spans="1:1" x14ac:dyDescent="0.25">
      <c r="A7512" t="s">
        <v>2714</v>
      </c>
    </row>
    <row r="7513" spans="1:1" x14ac:dyDescent="0.25">
      <c r="A7513" t="s">
        <v>2714</v>
      </c>
    </row>
    <row r="7514" spans="1:1" x14ac:dyDescent="0.25">
      <c r="A7514" t="s">
        <v>2714</v>
      </c>
    </row>
    <row r="7515" spans="1:1" x14ac:dyDescent="0.25">
      <c r="A7515" t="s">
        <v>2714</v>
      </c>
    </row>
    <row r="7516" spans="1:1" x14ac:dyDescent="0.25">
      <c r="A7516" t="s">
        <v>2714</v>
      </c>
    </row>
    <row r="7517" spans="1:1" x14ac:dyDescent="0.25">
      <c r="A7517" t="s">
        <v>2714</v>
      </c>
    </row>
    <row r="7518" spans="1:1" x14ac:dyDescent="0.25">
      <c r="A7518" t="s">
        <v>2714</v>
      </c>
    </row>
    <row r="7519" spans="1:1" x14ac:dyDescent="0.25">
      <c r="A7519" t="s">
        <v>2714</v>
      </c>
    </row>
    <row r="7520" spans="1:1" x14ac:dyDescent="0.25">
      <c r="A7520" t="s">
        <v>2714</v>
      </c>
    </row>
    <row r="7521" spans="1:1" x14ac:dyDescent="0.25">
      <c r="A7521" t="s">
        <v>2714</v>
      </c>
    </row>
    <row r="7522" spans="1:1" x14ac:dyDescent="0.25">
      <c r="A7522" t="s">
        <v>2714</v>
      </c>
    </row>
    <row r="7523" spans="1:1" x14ac:dyDescent="0.25">
      <c r="A7523" t="s">
        <v>2714</v>
      </c>
    </row>
    <row r="7524" spans="1:1" x14ac:dyDescent="0.25">
      <c r="A7524" t="s">
        <v>2714</v>
      </c>
    </row>
    <row r="7525" spans="1:1" x14ac:dyDescent="0.25">
      <c r="A7525" t="s">
        <v>2714</v>
      </c>
    </row>
    <row r="7526" spans="1:1" x14ac:dyDescent="0.25">
      <c r="A7526" t="s">
        <v>2714</v>
      </c>
    </row>
    <row r="7527" spans="1:1" x14ac:dyDescent="0.25">
      <c r="A7527" t="s">
        <v>2714</v>
      </c>
    </row>
    <row r="7528" spans="1:1" x14ac:dyDescent="0.25">
      <c r="A7528" t="s">
        <v>2714</v>
      </c>
    </row>
    <row r="7529" spans="1:1" x14ac:dyDescent="0.25">
      <c r="A7529" t="s">
        <v>2714</v>
      </c>
    </row>
    <row r="7530" spans="1:1" x14ac:dyDescent="0.25">
      <c r="A7530" t="s">
        <v>2714</v>
      </c>
    </row>
    <row r="7531" spans="1:1" x14ac:dyDescent="0.25">
      <c r="A7531" t="s">
        <v>2714</v>
      </c>
    </row>
    <row r="7532" spans="1:1" x14ac:dyDescent="0.25">
      <c r="A7532" t="s">
        <v>2714</v>
      </c>
    </row>
    <row r="7533" spans="1:1" x14ac:dyDescent="0.25">
      <c r="A7533" t="s">
        <v>2714</v>
      </c>
    </row>
    <row r="7534" spans="1:1" x14ac:dyDescent="0.25">
      <c r="A7534" t="s">
        <v>2714</v>
      </c>
    </row>
    <row r="7535" spans="1:1" x14ac:dyDescent="0.25">
      <c r="A7535" t="s">
        <v>2714</v>
      </c>
    </row>
    <row r="7536" spans="1:1" x14ac:dyDescent="0.25">
      <c r="A7536" t="s">
        <v>2714</v>
      </c>
    </row>
    <row r="7537" spans="1:1" x14ac:dyDescent="0.25">
      <c r="A7537" t="s">
        <v>2714</v>
      </c>
    </row>
    <row r="7538" spans="1:1" x14ac:dyDescent="0.25">
      <c r="A7538" t="s">
        <v>2714</v>
      </c>
    </row>
    <row r="7539" spans="1:1" x14ac:dyDescent="0.25">
      <c r="A7539" t="s">
        <v>2714</v>
      </c>
    </row>
    <row r="7540" spans="1:1" x14ac:dyDescent="0.25">
      <c r="A7540" t="s">
        <v>2714</v>
      </c>
    </row>
    <row r="7541" spans="1:1" x14ac:dyDescent="0.25">
      <c r="A7541" t="s">
        <v>2714</v>
      </c>
    </row>
    <row r="7542" spans="1:1" x14ac:dyDescent="0.25">
      <c r="A7542" t="s">
        <v>2714</v>
      </c>
    </row>
    <row r="7543" spans="1:1" x14ac:dyDescent="0.25">
      <c r="A7543" t="s">
        <v>2714</v>
      </c>
    </row>
    <row r="7544" spans="1:1" x14ac:dyDescent="0.25">
      <c r="A7544" t="s">
        <v>2714</v>
      </c>
    </row>
    <row r="7545" spans="1:1" x14ac:dyDescent="0.25">
      <c r="A7545" t="s">
        <v>2714</v>
      </c>
    </row>
    <row r="7546" spans="1:1" x14ac:dyDescent="0.25">
      <c r="A7546" t="s">
        <v>2714</v>
      </c>
    </row>
    <row r="7547" spans="1:1" x14ac:dyDescent="0.25">
      <c r="A7547" t="s">
        <v>2714</v>
      </c>
    </row>
    <row r="7548" spans="1:1" x14ac:dyDescent="0.25">
      <c r="A7548" t="s">
        <v>2714</v>
      </c>
    </row>
    <row r="7549" spans="1:1" x14ac:dyDescent="0.25">
      <c r="A7549" t="s">
        <v>2714</v>
      </c>
    </row>
    <row r="7550" spans="1:1" x14ac:dyDescent="0.25">
      <c r="A7550" t="s">
        <v>2714</v>
      </c>
    </row>
    <row r="7551" spans="1:1" x14ac:dyDescent="0.25">
      <c r="A7551" t="s">
        <v>2714</v>
      </c>
    </row>
    <row r="7552" spans="1:1" x14ac:dyDescent="0.25">
      <c r="A7552" t="s">
        <v>2714</v>
      </c>
    </row>
    <row r="7553" spans="1:1" x14ac:dyDescent="0.25">
      <c r="A7553" t="s">
        <v>2714</v>
      </c>
    </row>
    <row r="7554" spans="1:1" x14ac:dyDescent="0.25">
      <c r="A7554" t="s">
        <v>2714</v>
      </c>
    </row>
    <row r="7555" spans="1:1" x14ac:dyDescent="0.25">
      <c r="A7555" t="s">
        <v>2714</v>
      </c>
    </row>
    <row r="7556" spans="1:1" x14ac:dyDescent="0.25">
      <c r="A7556" t="s">
        <v>2714</v>
      </c>
    </row>
    <row r="7557" spans="1:1" x14ac:dyDescent="0.25">
      <c r="A7557" t="s">
        <v>2714</v>
      </c>
    </row>
    <row r="7558" spans="1:1" x14ac:dyDescent="0.25">
      <c r="A7558" t="s">
        <v>2714</v>
      </c>
    </row>
    <row r="7559" spans="1:1" x14ac:dyDescent="0.25">
      <c r="A7559" t="s">
        <v>2714</v>
      </c>
    </row>
    <row r="7560" spans="1:1" x14ac:dyDescent="0.25">
      <c r="A7560" t="s">
        <v>2714</v>
      </c>
    </row>
    <row r="7561" spans="1:1" x14ac:dyDescent="0.25">
      <c r="A7561" t="s">
        <v>2714</v>
      </c>
    </row>
    <row r="7562" spans="1:1" x14ac:dyDescent="0.25">
      <c r="A7562" t="s">
        <v>2686</v>
      </c>
    </row>
    <row r="7565" spans="1:1" x14ac:dyDescent="0.25">
      <c r="A7565" t="s">
        <v>3901</v>
      </c>
    </row>
    <row r="7566" spans="1:1" x14ac:dyDescent="0.25">
      <c r="A7566" t="s">
        <v>2713</v>
      </c>
    </row>
    <row r="7567" spans="1:1" x14ac:dyDescent="0.25">
      <c r="A7567" t="s">
        <v>2714</v>
      </c>
    </row>
    <row r="7568" spans="1:1" x14ac:dyDescent="0.25">
      <c r="A7568" t="s">
        <v>2714</v>
      </c>
    </row>
    <row r="7569" spans="1:1" x14ac:dyDescent="0.25">
      <c r="A7569" t="s">
        <v>2714</v>
      </c>
    </row>
    <row r="7570" spans="1:1" x14ac:dyDescent="0.25">
      <c r="A7570" t="s">
        <v>2714</v>
      </c>
    </row>
    <row r="7571" spans="1:1" x14ac:dyDescent="0.25">
      <c r="A7571" t="s">
        <v>2714</v>
      </c>
    </row>
    <row r="7572" spans="1:1" x14ac:dyDescent="0.25">
      <c r="A7572" t="s">
        <v>2714</v>
      </c>
    </row>
    <row r="7573" spans="1:1" x14ac:dyDescent="0.25">
      <c r="A7573" t="s">
        <v>2714</v>
      </c>
    </row>
    <row r="7574" spans="1:1" x14ac:dyDescent="0.25">
      <c r="A7574" t="s">
        <v>2714</v>
      </c>
    </row>
    <row r="7575" spans="1:1" x14ac:dyDescent="0.25">
      <c r="A7575" t="s">
        <v>2714</v>
      </c>
    </row>
    <row r="7576" spans="1:1" x14ac:dyDescent="0.25">
      <c r="A7576" t="s">
        <v>2714</v>
      </c>
    </row>
    <row r="7577" spans="1:1" x14ac:dyDescent="0.25">
      <c r="A7577" t="s">
        <v>2714</v>
      </c>
    </row>
    <row r="7578" spans="1:1" x14ac:dyDescent="0.25">
      <c r="A7578" t="s">
        <v>2714</v>
      </c>
    </row>
    <row r="7579" spans="1:1" x14ac:dyDescent="0.25">
      <c r="A7579" t="s">
        <v>2714</v>
      </c>
    </row>
    <row r="7580" spans="1:1" x14ac:dyDescent="0.25">
      <c r="A7580" t="s">
        <v>2714</v>
      </c>
    </row>
    <row r="7581" spans="1:1" x14ac:dyDescent="0.25">
      <c r="A7581" t="s">
        <v>2714</v>
      </c>
    </row>
    <row r="7582" spans="1:1" x14ac:dyDescent="0.25">
      <c r="A7582" t="s">
        <v>2714</v>
      </c>
    </row>
    <row r="7583" spans="1:1" x14ac:dyDescent="0.25">
      <c r="A7583" t="s">
        <v>2714</v>
      </c>
    </row>
    <row r="7584" spans="1:1" x14ac:dyDescent="0.25">
      <c r="A7584" t="s">
        <v>2714</v>
      </c>
    </row>
    <row r="7585" spans="1:1" x14ac:dyDescent="0.25">
      <c r="A7585" t="s">
        <v>2714</v>
      </c>
    </row>
    <row r="7586" spans="1:1" x14ac:dyDescent="0.25">
      <c r="A7586" t="s">
        <v>2714</v>
      </c>
    </row>
    <row r="7587" spans="1:1" x14ac:dyDescent="0.25">
      <c r="A7587" t="s">
        <v>2714</v>
      </c>
    </row>
    <row r="7588" spans="1:1" x14ac:dyDescent="0.25">
      <c r="A7588" t="s">
        <v>2714</v>
      </c>
    </row>
    <row r="7589" spans="1:1" x14ac:dyDescent="0.25">
      <c r="A7589" t="s">
        <v>2714</v>
      </c>
    </row>
    <row r="7590" spans="1:1" x14ac:dyDescent="0.25">
      <c r="A7590" t="s">
        <v>2714</v>
      </c>
    </row>
    <row r="7591" spans="1:1" x14ac:dyDescent="0.25">
      <c r="A7591" t="s">
        <v>2714</v>
      </c>
    </row>
    <row r="7592" spans="1:1" x14ac:dyDescent="0.25">
      <c r="A7592" t="s">
        <v>2714</v>
      </c>
    </row>
    <row r="7593" spans="1:1" x14ac:dyDescent="0.25">
      <c r="A7593" t="s">
        <v>2714</v>
      </c>
    </row>
    <row r="7594" spans="1:1" x14ac:dyDescent="0.25">
      <c r="A7594" t="s">
        <v>2714</v>
      </c>
    </row>
    <row r="7595" spans="1:1" x14ac:dyDescent="0.25">
      <c r="A7595" t="s">
        <v>2714</v>
      </c>
    </row>
    <row r="7596" spans="1:1" x14ac:dyDescent="0.25">
      <c r="A7596" t="s">
        <v>2714</v>
      </c>
    </row>
    <row r="7597" spans="1:1" x14ac:dyDescent="0.25">
      <c r="A7597" t="s">
        <v>2714</v>
      </c>
    </row>
    <row r="7598" spans="1:1" x14ac:dyDescent="0.25">
      <c r="A7598" t="s">
        <v>2714</v>
      </c>
    </row>
    <row r="7599" spans="1:1" x14ac:dyDescent="0.25">
      <c r="A7599" t="s">
        <v>2714</v>
      </c>
    </row>
    <row r="7600" spans="1:1" x14ac:dyDescent="0.25">
      <c r="A7600" t="s">
        <v>2714</v>
      </c>
    </row>
    <row r="7601" spans="1:1" x14ac:dyDescent="0.25">
      <c r="A7601" t="s">
        <v>2714</v>
      </c>
    </row>
    <row r="7602" spans="1:1" x14ac:dyDescent="0.25">
      <c r="A7602" t="s">
        <v>2714</v>
      </c>
    </row>
    <row r="7603" spans="1:1" x14ac:dyDescent="0.25">
      <c r="A7603" t="s">
        <v>2714</v>
      </c>
    </row>
    <row r="7604" spans="1:1" x14ac:dyDescent="0.25">
      <c r="A7604" t="s">
        <v>2714</v>
      </c>
    </row>
    <row r="7605" spans="1:1" x14ac:dyDescent="0.25">
      <c r="A7605" t="s">
        <v>2714</v>
      </c>
    </row>
    <row r="7606" spans="1:1" x14ac:dyDescent="0.25">
      <c r="A7606" t="s">
        <v>2714</v>
      </c>
    </row>
    <row r="7607" spans="1:1" x14ac:dyDescent="0.25">
      <c r="A7607" t="s">
        <v>2714</v>
      </c>
    </row>
    <row r="7608" spans="1:1" x14ac:dyDescent="0.25">
      <c r="A7608" t="s">
        <v>2714</v>
      </c>
    </row>
    <row r="7609" spans="1:1" x14ac:dyDescent="0.25">
      <c r="A7609" t="s">
        <v>2714</v>
      </c>
    </row>
    <row r="7610" spans="1:1" x14ac:dyDescent="0.25">
      <c r="A7610" t="s">
        <v>2714</v>
      </c>
    </row>
    <row r="7611" spans="1:1" x14ac:dyDescent="0.25">
      <c r="A7611" t="s">
        <v>2714</v>
      </c>
    </row>
    <row r="7612" spans="1:1" x14ac:dyDescent="0.25">
      <c r="A7612" t="s">
        <v>2714</v>
      </c>
    </row>
    <row r="7613" spans="1:1" x14ac:dyDescent="0.25">
      <c r="A7613" t="s">
        <v>2714</v>
      </c>
    </row>
    <row r="7614" spans="1:1" x14ac:dyDescent="0.25">
      <c r="A7614" t="s">
        <v>2714</v>
      </c>
    </row>
    <row r="7615" spans="1:1" x14ac:dyDescent="0.25">
      <c r="A7615" t="s">
        <v>2714</v>
      </c>
    </row>
    <row r="7616" spans="1:1" x14ac:dyDescent="0.25">
      <c r="A7616" t="s">
        <v>2714</v>
      </c>
    </row>
    <row r="7617" spans="1:1" x14ac:dyDescent="0.25">
      <c r="A7617" t="s">
        <v>2714</v>
      </c>
    </row>
    <row r="7618" spans="1:1" x14ac:dyDescent="0.25">
      <c r="A7618" t="s">
        <v>2714</v>
      </c>
    </row>
    <row r="7619" spans="1:1" x14ac:dyDescent="0.25">
      <c r="A7619" t="s">
        <v>2714</v>
      </c>
    </row>
    <row r="7620" spans="1:1" x14ac:dyDescent="0.25">
      <c r="A7620" t="s">
        <v>2714</v>
      </c>
    </row>
    <row r="7621" spans="1:1" x14ac:dyDescent="0.25">
      <c r="A7621" t="s">
        <v>2714</v>
      </c>
    </row>
    <row r="7622" spans="1:1" x14ac:dyDescent="0.25">
      <c r="A7622" t="s">
        <v>2714</v>
      </c>
    </row>
    <row r="7623" spans="1:1" x14ac:dyDescent="0.25">
      <c r="A7623" t="s">
        <v>2714</v>
      </c>
    </row>
    <row r="7624" spans="1:1" x14ac:dyDescent="0.25">
      <c r="A7624" t="s">
        <v>2714</v>
      </c>
    </row>
    <row r="7625" spans="1:1" x14ac:dyDescent="0.25">
      <c r="A7625" t="s">
        <v>2686</v>
      </c>
    </row>
    <row r="7628" spans="1:1" x14ac:dyDescent="0.25">
      <c r="A7628" t="s">
        <v>3902</v>
      </c>
    </row>
    <row r="7629" spans="1:1" x14ac:dyDescent="0.25">
      <c r="A7629" t="s">
        <v>3180</v>
      </c>
    </row>
    <row r="7630" spans="1:1" x14ac:dyDescent="0.25">
      <c r="A7630" t="s">
        <v>3181</v>
      </c>
    </row>
    <row r="7631" spans="1:1" x14ac:dyDescent="0.25">
      <c r="A7631" t="s">
        <v>3182</v>
      </c>
    </row>
    <row r="7632" spans="1:1" x14ac:dyDescent="0.25">
      <c r="A7632" t="s">
        <v>3183</v>
      </c>
    </row>
    <row r="7633" spans="1:1" x14ac:dyDescent="0.25">
      <c r="A7633" t="s">
        <v>3184</v>
      </c>
    </row>
    <row r="7634" spans="1:1" x14ac:dyDescent="0.25">
      <c r="A7634" t="s">
        <v>3185</v>
      </c>
    </row>
    <row r="7635" spans="1:1" x14ac:dyDescent="0.25">
      <c r="A7635" t="s">
        <v>3186</v>
      </c>
    </row>
    <row r="7636" spans="1:1" x14ac:dyDescent="0.25">
      <c r="A7636" t="s">
        <v>3187</v>
      </c>
    </row>
    <row r="7637" spans="1:1" x14ac:dyDescent="0.25">
      <c r="A7637" t="s">
        <v>3188</v>
      </c>
    </row>
    <row r="7638" spans="1:1" x14ac:dyDescent="0.25">
      <c r="A7638" t="s">
        <v>3190</v>
      </c>
    </row>
    <row r="7639" spans="1:1" x14ac:dyDescent="0.25">
      <c r="A7639" t="s">
        <v>3903</v>
      </c>
    </row>
    <row r="7640" spans="1:1" x14ac:dyDescent="0.25">
      <c r="A7640" t="s">
        <v>2713</v>
      </c>
    </row>
    <row r="7641" spans="1:1" x14ac:dyDescent="0.25">
      <c r="A7641" t="s">
        <v>2714</v>
      </c>
    </row>
    <row r="7642" spans="1:1" x14ac:dyDescent="0.25">
      <c r="A7642" t="s">
        <v>2714</v>
      </c>
    </row>
    <row r="7643" spans="1:1" x14ac:dyDescent="0.25">
      <c r="A7643" t="s">
        <v>2714</v>
      </c>
    </row>
    <row r="7644" spans="1:1" x14ac:dyDescent="0.25">
      <c r="A7644" t="s">
        <v>2714</v>
      </c>
    </row>
    <row r="7645" spans="1:1" x14ac:dyDescent="0.25">
      <c r="A7645" t="s">
        <v>2714</v>
      </c>
    </row>
    <row r="7646" spans="1:1" x14ac:dyDescent="0.25">
      <c r="A7646" t="s">
        <v>2714</v>
      </c>
    </row>
    <row r="7647" spans="1:1" x14ac:dyDescent="0.25">
      <c r="A7647" t="s">
        <v>2714</v>
      </c>
    </row>
    <row r="7648" spans="1:1" x14ac:dyDescent="0.25">
      <c r="A7648" t="s">
        <v>2714</v>
      </c>
    </row>
    <row r="7649" spans="1:1" x14ac:dyDescent="0.25">
      <c r="A7649" t="s">
        <v>2714</v>
      </c>
    </row>
    <row r="7650" spans="1:1" x14ac:dyDescent="0.25">
      <c r="A7650" t="s">
        <v>2714</v>
      </c>
    </row>
    <row r="7651" spans="1:1" x14ac:dyDescent="0.25">
      <c r="A7651" t="s">
        <v>2714</v>
      </c>
    </row>
    <row r="7652" spans="1:1" x14ac:dyDescent="0.25">
      <c r="A7652" t="s">
        <v>2714</v>
      </c>
    </row>
    <row r="7653" spans="1:1" x14ac:dyDescent="0.25">
      <c r="A7653" t="s">
        <v>2714</v>
      </c>
    </row>
    <row r="7654" spans="1:1" x14ac:dyDescent="0.25">
      <c r="A7654" t="s">
        <v>2714</v>
      </c>
    </row>
    <row r="7655" spans="1:1" x14ac:dyDescent="0.25">
      <c r="A7655" t="s">
        <v>2714</v>
      </c>
    </row>
    <row r="7656" spans="1:1" x14ac:dyDescent="0.25">
      <c r="A7656" t="s">
        <v>2714</v>
      </c>
    </row>
    <row r="7657" spans="1:1" x14ac:dyDescent="0.25">
      <c r="A7657" t="s">
        <v>2714</v>
      </c>
    </row>
    <row r="7658" spans="1:1" x14ac:dyDescent="0.25">
      <c r="A7658" t="s">
        <v>2714</v>
      </c>
    </row>
    <row r="7659" spans="1:1" x14ac:dyDescent="0.25">
      <c r="A7659" t="s">
        <v>2714</v>
      </c>
    </row>
    <row r="7660" spans="1:1" x14ac:dyDescent="0.25">
      <c r="A7660" t="s">
        <v>2714</v>
      </c>
    </row>
    <row r="7661" spans="1:1" x14ac:dyDescent="0.25">
      <c r="A7661" t="s">
        <v>2714</v>
      </c>
    </row>
    <row r="7662" spans="1:1" x14ac:dyDescent="0.25">
      <c r="A7662" t="s">
        <v>2714</v>
      </c>
    </row>
    <row r="7663" spans="1:1" x14ac:dyDescent="0.25">
      <c r="A7663" t="s">
        <v>2714</v>
      </c>
    </row>
    <row r="7664" spans="1:1" x14ac:dyDescent="0.25">
      <c r="A7664" t="s">
        <v>2714</v>
      </c>
    </row>
    <row r="7665" spans="1:1" x14ac:dyDescent="0.25">
      <c r="A7665" t="s">
        <v>2714</v>
      </c>
    </row>
    <row r="7666" spans="1:1" x14ac:dyDescent="0.25">
      <c r="A7666" t="s">
        <v>2714</v>
      </c>
    </row>
    <row r="7667" spans="1:1" x14ac:dyDescent="0.25">
      <c r="A7667" t="s">
        <v>2714</v>
      </c>
    </row>
    <row r="7668" spans="1:1" x14ac:dyDescent="0.25">
      <c r="A7668" t="s">
        <v>2714</v>
      </c>
    </row>
    <row r="7669" spans="1:1" x14ac:dyDescent="0.25">
      <c r="A7669" t="s">
        <v>2714</v>
      </c>
    </row>
    <row r="7670" spans="1:1" x14ac:dyDescent="0.25">
      <c r="A7670" t="s">
        <v>2714</v>
      </c>
    </row>
    <row r="7671" spans="1:1" x14ac:dyDescent="0.25">
      <c r="A7671" t="s">
        <v>2714</v>
      </c>
    </row>
    <row r="7672" spans="1:1" x14ac:dyDescent="0.25">
      <c r="A7672" t="s">
        <v>2714</v>
      </c>
    </row>
    <row r="7673" spans="1:1" x14ac:dyDescent="0.25">
      <c r="A7673" t="s">
        <v>2714</v>
      </c>
    </row>
    <row r="7674" spans="1:1" x14ac:dyDescent="0.25">
      <c r="A7674" t="s">
        <v>2714</v>
      </c>
    </row>
    <row r="7675" spans="1:1" x14ac:dyDescent="0.25">
      <c r="A7675" t="s">
        <v>2714</v>
      </c>
    </row>
    <row r="7676" spans="1:1" x14ac:dyDescent="0.25">
      <c r="A7676" t="s">
        <v>2714</v>
      </c>
    </row>
    <row r="7677" spans="1:1" x14ac:dyDescent="0.25">
      <c r="A7677" t="s">
        <v>2714</v>
      </c>
    </row>
    <row r="7678" spans="1:1" x14ac:dyDescent="0.25">
      <c r="A7678" t="s">
        <v>2714</v>
      </c>
    </row>
    <row r="7679" spans="1:1" x14ac:dyDescent="0.25">
      <c r="A7679" t="s">
        <v>2714</v>
      </c>
    </row>
    <row r="7680" spans="1:1" x14ac:dyDescent="0.25">
      <c r="A7680" t="s">
        <v>2714</v>
      </c>
    </row>
    <row r="7681" spans="1:1" x14ac:dyDescent="0.25">
      <c r="A7681" t="s">
        <v>2714</v>
      </c>
    </row>
    <row r="7682" spans="1:1" x14ac:dyDescent="0.25">
      <c r="A7682" t="s">
        <v>2714</v>
      </c>
    </row>
    <row r="7683" spans="1:1" x14ac:dyDescent="0.25">
      <c r="A7683" t="s">
        <v>2714</v>
      </c>
    </row>
    <row r="7684" spans="1:1" x14ac:dyDescent="0.25">
      <c r="A7684" t="s">
        <v>2714</v>
      </c>
    </row>
    <row r="7685" spans="1:1" x14ac:dyDescent="0.25">
      <c r="A7685" t="s">
        <v>2714</v>
      </c>
    </row>
    <row r="7686" spans="1:1" x14ac:dyDescent="0.25">
      <c r="A7686" t="s">
        <v>2714</v>
      </c>
    </row>
    <row r="7687" spans="1:1" x14ac:dyDescent="0.25">
      <c r="A7687" t="s">
        <v>2714</v>
      </c>
    </row>
    <row r="7688" spans="1:1" x14ac:dyDescent="0.25">
      <c r="A7688" t="s">
        <v>2686</v>
      </c>
    </row>
    <row r="7691" spans="1:1" x14ac:dyDescent="0.25">
      <c r="A7691" t="s">
        <v>3904</v>
      </c>
    </row>
    <row r="7692" spans="1:1" x14ac:dyDescent="0.25">
      <c r="A7692" t="s">
        <v>3905</v>
      </c>
    </row>
    <row r="7693" spans="1:1" x14ac:dyDescent="0.25">
      <c r="A7693" t="s">
        <v>3906</v>
      </c>
    </row>
    <row r="7694" spans="1:1" x14ac:dyDescent="0.25">
      <c r="A7694" t="s">
        <v>3907</v>
      </c>
    </row>
    <row r="7695" spans="1:1" x14ac:dyDescent="0.25">
      <c r="A7695" t="s">
        <v>3908</v>
      </c>
    </row>
    <row r="7696" spans="1:1" x14ac:dyDescent="0.25">
      <c r="A7696" t="s">
        <v>3909</v>
      </c>
    </row>
    <row r="7697" spans="1:1" x14ac:dyDescent="0.25">
      <c r="A7697" t="s">
        <v>3910</v>
      </c>
    </row>
    <row r="7698" spans="1:1" x14ac:dyDescent="0.25">
      <c r="A7698" t="s">
        <v>3911</v>
      </c>
    </row>
    <row r="7699" spans="1:1" x14ac:dyDescent="0.25">
      <c r="A7699" t="s">
        <v>3912</v>
      </c>
    </row>
    <row r="7700" spans="1:1" x14ac:dyDescent="0.25">
      <c r="A7700" t="s">
        <v>2713</v>
      </c>
    </row>
    <row r="7701" spans="1:1" x14ac:dyDescent="0.25">
      <c r="A7701" t="s">
        <v>2714</v>
      </c>
    </row>
    <row r="7702" spans="1:1" x14ac:dyDescent="0.25">
      <c r="A7702" t="s">
        <v>2714</v>
      </c>
    </row>
    <row r="7703" spans="1:1" x14ac:dyDescent="0.25">
      <c r="A7703" t="s">
        <v>2714</v>
      </c>
    </row>
    <row r="7704" spans="1:1" x14ac:dyDescent="0.25">
      <c r="A7704" t="s">
        <v>2714</v>
      </c>
    </row>
    <row r="7705" spans="1:1" x14ac:dyDescent="0.25">
      <c r="A7705" t="s">
        <v>2714</v>
      </c>
    </row>
    <row r="7706" spans="1:1" x14ac:dyDescent="0.25">
      <c r="A7706" t="s">
        <v>2714</v>
      </c>
    </row>
    <row r="7707" spans="1:1" x14ac:dyDescent="0.25">
      <c r="A7707" t="s">
        <v>2714</v>
      </c>
    </row>
    <row r="7708" spans="1:1" x14ac:dyDescent="0.25">
      <c r="A7708" t="s">
        <v>2714</v>
      </c>
    </row>
    <row r="7709" spans="1:1" x14ac:dyDescent="0.25">
      <c r="A7709" t="s">
        <v>2714</v>
      </c>
    </row>
    <row r="7710" spans="1:1" x14ac:dyDescent="0.25">
      <c r="A7710" t="s">
        <v>2714</v>
      </c>
    </row>
    <row r="7711" spans="1:1" x14ac:dyDescent="0.25">
      <c r="A7711" t="s">
        <v>2714</v>
      </c>
    </row>
    <row r="7712" spans="1:1" x14ac:dyDescent="0.25">
      <c r="A7712" t="s">
        <v>2714</v>
      </c>
    </row>
    <row r="7713" spans="1:1" x14ac:dyDescent="0.25">
      <c r="A7713" t="s">
        <v>2714</v>
      </c>
    </row>
    <row r="7714" spans="1:1" x14ac:dyDescent="0.25">
      <c r="A7714" t="s">
        <v>2714</v>
      </c>
    </row>
    <row r="7715" spans="1:1" x14ac:dyDescent="0.25">
      <c r="A7715" t="s">
        <v>2714</v>
      </c>
    </row>
    <row r="7716" spans="1:1" x14ac:dyDescent="0.25">
      <c r="A7716" t="s">
        <v>2714</v>
      </c>
    </row>
    <row r="7717" spans="1:1" x14ac:dyDescent="0.25">
      <c r="A7717" t="s">
        <v>2714</v>
      </c>
    </row>
    <row r="7718" spans="1:1" x14ac:dyDescent="0.25">
      <c r="A7718" t="s">
        <v>2714</v>
      </c>
    </row>
    <row r="7719" spans="1:1" x14ac:dyDescent="0.25">
      <c r="A7719" t="s">
        <v>2714</v>
      </c>
    </row>
    <row r="7720" spans="1:1" x14ac:dyDescent="0.25">
      <c r="A7720" t="s">
        <v>2714</v>
      </c>
    </row>
    <row r="7721" spans="1:1" x14ac:dyDescent="0.25">
      <c r="A7721" t="s">
        <v>2714</v>
      </c>
    </row>
    <row r="7722" spans="1:1" x14ac:dyDescent="0.25">
      <c r="A7722" t="s">
        <v>2714</v>
      </c>
    </row>
    <row r="7723" spans="1:1" x14ac:dyDescent="0.25">
      <c r="A7723" t="s">
        <v>2714</v>
      </c>
    </row>
    <row r="7724" spans="1:1" x14ac:dyDescent="0.25">
      <c r="A7724" t="s">
        <v>2714</v>
      </c>
    </row>
    <row r="7725" spans="1:1" x14ac:dyDescent="0.25">
      <c r="A7725" t="s">
        <v>2714</v>
      </c>
    </row>
    <row r="7726" spans="1:1" x14ac:dyDescent="0.25">
      <c r="A7726" t="s">
        <v>2714</v>
      </c>
    </row>
    <row r="7727" spans="1:1" x14ac:dyDescent="0.25">
      <c r="A7727" t="s">
        <v>2714</v>
      </c>
    </row>
    <row r="7728" spans="1:1" x14ac:dyDescent="0.25">
      <c r="A7728" t="s">
        <v>2714</v>
      </c>
    </row>
    <row r="7729" spans="1:1" x14ac:dyDescent="0.25">
      <c r="A7729" t="s">
        <v>2714</v>
      </c>
    </row>
    <row r="7730" spans="1:1" x14ac:dyDescent="0.25">
      <c r="A7730" t="s">
        <v>2714</v>
      </c>
    </row>
    <row r="7731" spans="1:1" x14ac:dyDescent="0.25">
      <c r="A7731" t="s">
        <v>2714</v>
      </c>
    </row>
    <row r="7732" spans="1:1" x14ac:dyDescent="0.25">
      <c r="A7732" t="s">
        <v>2714</v>
      </c>
    </row>
    <row r="7733" spans="1:1" x14ac:dyDescent="0.25">
      <c r="A7733" t="s">
        <v>2714</v>
      </c>
    </row>
    <row r="7734" spans="1:1" x14ac:dyDescent="0.25">
      <c r="A7734" t="s">
        <v>2714</v>
      </c>
    </row>
    <row r="7735" spans="1:1" x14ac:dyDescent="0.25">
      <c r="A7735" t="s">
        <v>2714</v>
      </c>
    </row>
    <row r="7736" spans="1:1" x14ac:dyDescent="0.25">
      <c r="A7736" t="s">
        <v>2714</v>
      </c>
    </row>
    <row r="7737" spans="1:1" x14ac:dyDescent="0.25">
      <c r="A7737" t="s">
        <v>2714</v>
      </c>
    </row>
    <row r="7738" spans="1:1" x14ac:dyDescent="0.25">
      <c r="A7738" t="s">
        <v>2714</v>
      </c>
    </row>
    <row r="7739" spans="1:1" x14ac:dyDescent="0.25">
      <c r="A7739" t="s">
        <v>2714</v>
      </c>
    </row>
    <row r="7740" spans="1:1" x14ac:dyDescent="0.25">
      <c r="A7740" t="s">
        <v>2714</v>
      </c>
    </row>
    <row r="7741" spans="1:1" x14ac:dyDescent="0.25">
      <c r="A7741" t="s">
        <v>2714</v>
      </c>
    </row>
    <row r="7742" spans="1:1" x14ac:dyDescent="0.25">
      <c r="A7742" t="s">
        <v>2714</v>
      </c>
    </row>
    <row r="7743" spans="1:1" x14ac:dyDescent="0.25">
      <c r="A7743" t="s">
        <v>2714</v>
      </c>
    </row>
    <row r="7744" spans="1:1" x14ac:dyDescent="0.25">
      <c r="A7744" t="s">
        <v>2714</v>
      </c>
    </row>
    <row r="7745" spans="1:1" x14ac:dyDescent="0.25">
      <c r="A7745" t="s">
        <v>2714</v>
      </c>
    </row>
    <row r="7746" spans="1:1" x14ac:dyDescent="0.25">
      <c r="A7746" t="s">
        <v>2714</v>
      </c>
    </row>
    <row r="7747" spans="1:1" x14ac:dyDescent="0.25">
      <c r="A7747" t="s">
        <v>2714</v>
      </c>
    </row>
    <row r="7748" spans="1:1" x14ac:dyDescent="0.25">
      <c r="A7748" t="s">
        <v>2714</v>
      </c>
    </row>
    <row r="7749" spans="1:1" x14ac:dyDescent="0.25">
      <c r="A7749" t="s">
        <v>2714</v>
      </c>
    </row>
    <row r="7750" spans="1:1" x14ac:dyDescent="0.25">
      <c r="A7750" t="s">
        <v>2714</v>
      </c>
    </row>
    <row r="7751" spans="1:1" x14ac:dyDescent="0.25">
      <c r="A7751" t="s">
        <v>2686</v>
      </c>
    </row>
    <row r="7754" spans="1:1" x14ac:dyDescent="0.25">
      <c r="A7754" t="s">
        <v>3913</v>
      </c>
    </row>
    <row r="7755" spans="1:1" x14ac:dyDescent="0.25">
      <c r="A7755" t="s">
        <v>3588</v>
      </c>
    </row>
    <row r="7756" spans="1:1" x14ac:dyDescent="0.25">
      <c r="A7756" t="s">
        <v>2713</v>
      </c>
    </row>
    <row r="7757" spans="1:1" x14ac:dyDescent="0.25">
      <c r="A7757" t="s">
        <v>2714</v>
      </c>
    </row>
    <row r="7758" spans="1:1" x14ac:dyDescent="0.25">
      <c r="A7758" t="s">
        <v>2714</v>
      </c>
    </row>
    <row r="7759" spans="1:1" x14ac:dyDescent="0.25">
      <c r="A7759" t="s">
        <v>2714</v>
      </c>
    </row>
    <row r="7760" spans="1:1" x14ac:dyDescent="0.25">
      <c r="A7760" t="s">
        <v>2714</v>
      </c>
    </row>
    <row r="7761" spans="1:1" x14ac:dyDescent="0.25">
      <c r="A7761" t="s">
        <v>2714</v>
      </c>
    </row>
    <row r="7762" spans="1:1" x14ac:dyDescent="0.25">
      <c r="A7762" t="s">
        <v>2714</v>
      </c>
    </row>
    <row r="7763" spans="1:1" x14ac:dyDescent="0.25">
      <c r="A7763" t="s">
        <v>2714</v>
      </c>
    </row>
    <row r="7764" spans="1:1" x14ac:dyDescent="0.25">
      <c r="A7764" t="s">
        <v>2714</v>
      </c>
    </row>
    <row r="7765" spans="1:1" x14ac:dyDescent="0.25">
      <c r="A7765" t="s">
        <v>2714</v>
      </c>
    </row>
    <row r="7766" spans="1:1" x14ac:dyDescent="0.25">
      <c r="A7766" t="s">
        <v>2714</v>
      </c>
    </row>
    <row r="7767" spans="1:1" x14ac:dyDescent="0.25">
      <c r="A7767" t="s">
        <v>2714</v>
      </c>
    </row>
    <row r="7768" spans="1:1" x14ac:dyDescent="0.25">
      <c r="A7768" t="s">
        <v>2714</v>
      </c>
    </row>
    <row r="7769" spans="1:1" x14ac:dyDescent="0.25">
      <c r="A7769" t="s">
        <v>2714</v>
      </c>
    </row>
    <row r="7770" spans="1:1" x14ac:dyDescent="0.25">
      <c r="A7770" t="s">
        <v>2714</v>
      </c>
    </row>
    <row r="7771" spans="1:1" x14ac:dyDescent="0.25">
      <c r="A7771" t="s">
        <v>2714</v>
      </c>
    </row>
    <row r="7772" spans="1:1" x14ac:dyDescent="0.25">
      <c r="A7772" t="s">
        <v>2714</v>
      </c>
    </row>
    <row r="7773" spans="1:1" x14ac:dyDescent="0.25">
      <c r="A7773" t="s">
        <v>2714</v>
      </c>
    </row>
    <row r="7774" spans="1:1" x14ac:dyDescent="0.25">
      <c r="A7774" t="s">
        <v>2714</v>
      </c>
    </row>
    <row r="7775" spans="1:1" x14ac:dyDescent="0.25">
      <c r="A7775" t="s">
        <v>2714</v>
      </c>
    </row>
    <row r="7776" spans="1:1" x14ac:dyDescent="0.25">
      <c r="A7776" t="s">
        <v>2714</v>
      </c>
    </row>
    <row r="7777" spans="1:1" x14ac:dyDescent="0.25">
      <c r="A7777" t="s">
        <v>2714</v>
      </c>
    </row>
    <row r="7778" spans="1:1" x14ac:dyDescent="0.25">
      <c r="A7778" t="s">
        <v>2714</v>
      </c>
    </row>
    <row r="7779" spans="1:1" x14ac:dyDescent="0.25">
      <c r="A7779" t="s">
        <v>2714</v>
      </c>
    </row>
    <row r="7780" spans="1:1" x14ac:dyDescent="0.25">
      <c r="A7780" t="s">
        <v>2714</v>
      </c>
    </row>
    <row r="7781" spans="1:1" x14ac:dyDescent="0.25">
      <c r="A7781" t="s">
        <v>2714</v>
      </c>
    </row>
    <row r="7782" spans="1:1" x14ac:dyDescent="0.25">
      <c r="A7782" t="s">
        <v>2714</v>
      </c>
    </row>
    <row r="7783" spans="1:1" x14ac:dyDescent="0.25">
      <c r="A7783" t="s">
        <v>2714</v>
      </c>
    </row>
    <row r="7784" spans="1:1" x14ac:dyDescent="0.25">
      <c r="A7784" t="s">
        <v>2714</v>
      </c>
    </row>
    <row r="7785" spans="1:1" x14ac:dyDescent="0.25">
      <c r="A7785" t="s">
        <v>2714</v>
      </c>
    </row>
    <row r="7786" spans="1:1" x14ac:dyDescent="0.25">
      <c r="A7786" t="s">
        <v>2714</v>
      </c>
    </row>
    <row r="7787" spans="1:1" x14ac:dyDescent="0.25">
      <c r="A7787" t="s">
        <v>2714</v>
      </c>
    </row>
    <row r="7788" spans="1:1" x14ac:dyDescent="0.25">
      <c r="A7788" t="s">
        <v>2714</v>
      </c>
    </row>
    <row r="7789" spans="1:1" x14ac:dyDescent="0.25">
      <c r="A7789" t="s">
        <v>2714</v>
      </c>
    </row>
    <row r="7790" spans="1:1" x14ac:dyDescent="0.25">
      <c r="A7790" t="s">
        <v>2714</v>
      </c>
    </row>
    <row r="7791" spans="1:1" x14ac:dyDescent="0.25">
      <c r="A7791" t="s">
        <v>2714</v>
      </c>
    </row>
    <row r="7792" spans="1:1" x14ac:dyDescent="0.25">
      <c r="A7792" t="s">
        <v>2714</v>
      </c>
    </row>
    <row r="7793" spans="1:1" x14ac:dyDescent="0.25">
      <c r="A7793" t="s">
        <v>2714</v>
      </c>
    </row>
    <row r="7794" spans="1:1" x14ac:dyDescent="0.25">
      <c r="A7794" t="s">
        <v>2714</v>
      </c>
    </row>
    <row r="7795" spans="1:1" x14ac:dyDescent="0.25">
      <c r="A7795" t="s">
        <v>2714</v>
      </c>
    </row>
    <row r="7796" spans="1:1" x14ac:dyDescent="0.25">
      <c r="A7796" t="s">
        <v>2714</v>
      </c>
    </row>
    <row r="7797" spans="1:1" x14ac:dyDescent="0.25">
      <c r="A7797" t="s">
        <v>2714</v>
      </c>
    </row>
    <row r="7798" spans="1:1" x14ac:dyDescent="0.25">
      <c r="A7798" t="s">
        <v>2714</v>
      </c>
    </row>
    <row r="7799" spans="1:1" x14ac:dyDescent="0.25">
      <c r="A7799" t="s">
        <v>2714</v>
      </c>
    </row>
    <row r="7800" spans="1:1" x14ac:dyDescent="0.25">
      <c r="A7800" t="s">
        <v>2714</v>
      </c>
    </row>
    <row r="7801" spans="1:1" x14ac:dyDescent="0.25">
      <c r="A7801" t="s">
        <v>2714</v>
      </c>
    </row>
    <row r="7802" spans="1:1" x14ac:dyDescent="0.25">
      <c r="A7802" t="s">
        <v>2714</v>
      </c>
    </row>
    <row r="7803" spans="1:1" x14ac:dyDescent="0.25">
      <c r="A7803" t="s">
        <v>2714</v>
      </c>
    </row>
    <row r="7804" spans="1:1" x14ac:dyDescent="0.25">
      <c r="A7804" t="s">
        <v>2714</v>
      </c>
    </row>
    <row r="7805" spans="1:1" x14ac:dyDescent="0.25">
      <c r="A7805" t="s">
        <v>2714</v>
      </c>
    </row>
    <row r="7806" spans="1:1" x14ac:dyDescent="0.25">
      <c r="A7806" t="s">
        <v>2714</v>
      </c>
    </row>
    <row r="7807" spans="1:1" x14ac:dyDescent="0.25">
      <c r="A7807" t="s">
        <v>2714</v>
      </c>
    </row>
    <row r="7808" spans="1:1" x14ac:dyDescent="0.25">
      <c r="A7808" t="s">
        <v>2714</v>
      </c>
    </row>
    <row r="7809" spans="1:1" x14ac:dyDescent="0.25">
      <c r="A7809" t="s">
        <v>2714</v>
      </c>
    </row>
    <row r="7810" spans="1:1" x14ac:dyDescent="0.25">
      <c r="A7810" t="s">
        <v>2714</v>
      </c>
    </row>
    <row r="7811" spans="1:1" x14ac:dyDescent="0.25">
      <c r="A7811" t="s">
        <v>2714</v>
      </c>
    </row>
    <row r="7812" spans="1:1" x14ac:dyDescent="0.25">
      <c r="A7812" t="s">
        <v>2714</v>
      </c>
    </row>
    <row r="7813" spans="1:1" x14ac:dyDescent="0.25">
      <c r="A7813" t="s">
        <v>2714</v>
      </c>
    </row>
    <row r="7814" spans="1:1" x14ac:dyDescent="0.25">
      <c r="A7814" t="s">
        <v>3914</v>
      </c>
    </row>
    <row r="7815" spans="1:1" x14ac:dyDescent="0.25">
      <c r="A7815" t="s">
        <v>3219</v>
      </c>
    </row>
    <row r="7816" spans="1:1" x14ac:dyDescent="0.25">
      <c r="A7816" t="s">
        <v>3220</v>
      </c>
    </row>
    <row r="7817" spans="1:1" x14ac:dyDescent="0.25">
      <c r="A7817" t="s">
        <v>3221</v>
      </c>
    </row>
    <row r="7818" spans="1:1" x14ac:dyDescent="0.25">
      <c r="A7818" t="s">
        <v>3222</v>
      </c>
    </row>
    <row r="7819" spans="1:1" x14ac:dyDescent="0.25">
      <c r="A7819" t="s">
        <v>3223</v>
      </c>
    </row>
    <row r="7820" spans="1:1" x14ac:dyDescent="0.25">
      <c r="A7820" t="s">
        <v>3224</v>
      </c>
    </row>
    <row r="7821" spans="1:1" x14ac:dyDescent="0.25">
      <c r="A7821" t="s">
        <v>3225</v>
      </c>
    </row>
    <row r="7822" spans="1:1" x14ac:dyDescent="0.25">
      <c r="A7822" t="s">
        <v>3226</v>
      </c>
    </row>
    <row r="7823" spans="1:1" x14ac:dyDescent="0.25">
      <c r="A7823" t="s">
        <v>3227</v>
      </c>
    </row>
    <row r="7824" spans="1:1" x14ac:dyDescent="0.25">
      <c r="A7824" t="s">
        <v>3228</v>
      </c>
    </row>
    <row r="7825" spans="1:1" x14ac:dyDescent="0.25">
      <c r="A7825" t="s">
        <v>3229</v>
      </c>
    </row>
    <row r="7826" spans="1:1" x14ac:dyDescent="0.25">
      <c r="A7826" t="s">
        <v>3230</v>
      </c>
    </row>
    <row r="7827" spans="1:1" x14ac:dyDescent="0.25">
      <c r="A7827" t="s">
        <v>3231</v>
      </c>
    </row>
    <row r="7828" spans="1:1" x14ac:dyDescent="0.25">
      <c r="A7828" t="s">
        <v>2713</v>
      </c>
    </row>
    <row r="7829" spans="1:1" x14ac:dyDescent="0.25">
      <c r="A7829" t="s">
        <v>2714</v>
      </c>
    </row>
    <row r="7830" spans="1:1" x14ac:dyDescent="0.25">
      <c r="A7830" t="s">
        <v>2714</v>
      </c>
    </row>
    <row r="7831" spans="1:1" x14ac:dyDescent="0.25">
      <c r="A7831" t="s">
        <v>2714</v>
      </c>
    </row>
    <row r="7832" spans="1:1" x14ac:dyDescent="0.25">
      <c r="A7832" t="s">
        <v>2714</v>
      </c>
    </row>
    <row r="7833" spans="1:1" x14ac:dyDescent="0.25">
      <c r="A7833" t="s">
        <v>2714</v>
      </c>
    </row>
    <row r="7834" spans="1:1" x14ac:dyDescent="0.25">
      <c r="A7834" t="s">
        <v>2714</v>
      </c>
    </row>
    <row r="7835" spans="1:1" x14ac:dyDescent="0.25">
      <c r="A7835" t="s">
        <v>2714</v>
      </c>
    </row>
    <row r="7836" spans="1:1" x14ac:dyDescent="0.25">
      <c r="A7836" t="s">
        <v>2714</v>
      </c>
    </row>
    <row r="7837" spans="1:1" x14ac:dyDescent="0.25">
      <c r="A7837" t="s">
        <v>2714</v>
      </c>
    </row>
    <row r="7838" spans="1:1" x14ac:dyDescent="0.25">
      <c r="A7838" t="s">
        <v>2714</v>
      </c>
    </row>
    <row r="7839" spans="1:1" x14ac:dyDescent="0.25">
      <c r="A7839" t="s">
        <v>2714</v>
      </c>
    </row>
    <row r="7840" spans="1:1" x14ac:dyDescent="0.25">
      <c r="A7840" t="s">
        <v>2714</v>
      </c>
    </row>
    <row r="7841" spans="1:1" x14ac:dyDescent="0.25">
      <c r="A7841" t="s">
        <v>2714</v>
      </c>
    </row>
    <row r="7842" spans="1:1" x14ac:dyDescent="0.25">
      <c r="A7842" t="s">
        <v>2714</v>
      </c>
    </row>
    <row r="7843" spans="1:1" x14ac:dyDescent="0.25">
      <c r="A7843" t="s">
        <v>2714</v>
      </c>
    </row>
    <row r="7844" spans="1:1" x14ac:dyDescent="0.25">
      <c r="A7844" t="s">
        <v>2714</v>
      </c>
    </row>
    <row r="7845" spans="1:1" x14ac:dyDescent="0.25">
      <c r="A7845" t="s">
        <v>2714</v>
      </c>
    </row>
    <row r="7846" spans="1:1" x14ac:dyDescent="0.25">
      <c r="A7846" t="s">
        <v>2714</v>
      </c>
    </row>
    <row r="7847" spans="1:1" x14ac:dyDescent="0.25">
      <c r="A7847" t="s">
        <v>2714</v>
      </c>
    </row>
    <row r="7848" spans="1:1" x14ac:dyDescent="0.25">
      <c r="A7848" t="s">
        <v>2714</v>
      </c>
    </row>
    <row r="7849" spans="1:1" x14ac:dyDescent="0.25">
      <c r="A7849" t="s">
        <v>2714</v>
      </c>
    </row>
    <row r="7850" spans="1:1" x14ac:dyDescent="0.25">
      <c r="A7850" t="s">
        <v>2714</v>
      </c>
    </row>
    <row r="7851" spans="1:1" x14ac:dyDescent="0.25">
      <c r="A7851" t="s">
        <v>2714</v>
      </c>
    </row>
    <row r="7852" spans="1:1" x14ac:dyDescent="0.25">
      <c r="A7852" t="s">
        <v>2714</v>
      </c>
    </row>
    <row r="7853" spans="1:1" x14ac:dyDescent="0.25">
      <c r="A7853" t="s">
        <v>2714</v>
      </c>
    </row>
    <row r="7854" spans="1:1" x14ac:dyDescent="0.25">
      <c r="A7854" t="s">
        <v>2714</v>
      </c>
    </row>
    <row r="7855" spans="1:1" x14ac:dyDescent="0.25">
      <c r="A7855" t="s">
        <v>2714</v>
      </c>
    </row>
    <row r="7856" spans="1:1" x14ac:dyDescent="0.25">
      <c r="A7856" t="s">
        <v>2714</v>
      </c>
    </row>
    <row r="7857" spans="1:1" x14ac:dyDescent="0.25">
      <c r="A7857" t="s">
        <v>2714</v>
      </c>
    </row>
    <row r="7858" spans="1:1" x14ac:dyDescent="0.25">
      <c r="A7858" t="s">
        <v>2714</v>
      </c>
    </row>
    <row r="7859" spans="1:1" x14ac:dyDescent="0.25">
      <c r="A7859" t="s">
        <v>2714</v>
      </c>
    </row>
    <row r="7860" spans="1:1" x14ac:dyDescent="0.25">
      <c r="A7860" t="s">
        <v>2714</v>
      </c>
    </row>
    <row r="7861" spans="1:1" x14ac:dyDescent="0.25">
      <c r="A7861" t="s">
        <v>2714</v>
      </c>
    </row>
    <row r="7862" spans="1:1" x14ac:dyDescent="0.25">
      <c r="A7862" t="s">
        <v>2714</v>
      </c>
    </row>
    <row r="7863" spans="1:1" x14ac:dyDescent="0.25">
      <c r="A7863" t="s">
        <v>2714</v>
      </c>
    </row>
    <row r="7864" spans="1:1" x14ac:dyDescent="0.25">
      <c r="A7864" t="s">
        <v>2714</v>
      </c>
    </row>
    <row r="7865" spans="1:1" x14ac:dyDescent="0.25">
      <c r="A7865" t="s">
        <v>2714</v>
      </c>
    </row>
    <row r="7866" spans="1:1" x14ac:dyDescent="0.25">
      <c r="A7866" t="s">
        <v>2714</v>
      </c>
    </row>
    <row r="7867" spans="1:1" x14ac:dyDescent="0.25">
      <c r="A7867" t="s">
        <v>2714</v>
      </c>
    </row>
    <row r="7868" spans="1:1" x14ac:dyDescent="0.25">
      <c r="A7868" t="s">
        <v>2714</v>
      </c>
    </row>
    <row r="7869" spans="1:1" x14ac:dyDescent="0.25">
      <c r="A7869" t="s">
        <v>2714</v>
      </c>
    </row>
    <row r="7870" spans="1:1" x14ac:dyDescent="0.25">
      <c r="A7870" t="s">
        <v>2714</v>
      </c>
    </row>
    <row r="7871" spans="1:1" x14ac:dyDescent="0.25">
      <c r="A7871" t="s">
        <v>2714</v>
      </c>
    </row>
    <row r="7872" spans="1:1" x14ac:dyDescent="0.25">
      <c r="A7872" t="s">
        <v>2714</v>
      </c>
    </row>
    <row r="7873" spans="1:1" x14ac:dyDescent="0.25">
      <c r="A7873" t="s">
        <v>2714</v>
      </c>
    </row>
    <row r="7874" spans="1:1" x14ac:dyDescent="0.25">
      <c r="A7874" t="s">
        <v>2686</v>
      </c>
    </row>
    <row r="7877" spans="1:1" x14ac:dyDescent="0.25">
      <c r="A7877" t="s">
        <v>3915</v>
      </c>
    </row>
    <row r="7878" spans="1:1" x14ac:dyDescent="0.25">
      <c r="A7878" t="s">
        <v>2713</v>
      </c>
    </row>
    <row r="7879" spans="1:1" x14ac:dyDescent="0.25">
      <c r="A7879" t="s">
        <v>2714</v>
      </c>
    </row>
    <row r="7880" spans="1:1" x14ac:dyDescent="0.25">
      <c r="A7880" t="s">
        <v>2714</v>
      </c>
    </row>
    <row r="7881" spans="1:1" x14ac:dyDescent="0.25">
      <c r="A7881" t="s">
        <v>2714</v>
      </c>
    </row>
    <row r="7882" spans="1:1" x14ac:dyDescent="0.25">
      <c r="A7882" t="s">
        <v>2714</v>
      </c>
    </row>
    <row r="7883" spans="1:1" x14ac:dyDescent="0.25">
      <c r="A7883" t="s">
        <v>2714</v>
      </c>
    </row>
    <row r="7884" spans="1:1" x14ac:dyDescent="0.25">
      <c r="A7884" t="s">
        <v>2714</v>
      </c>
    </row>
    <row r="7885" spans="1:1" x14ac:dyDescent="0.25">
      <c r="A7885" t="s">
        <v>2714</v>
      </c>
    </row>
    <row r="7886" spans="1:1" x14ac:dyDescent="0.25">
      <c r="A7886" t="s">
        <v>2714</v>
      </c>
    </row>
    <row r="7887" spans="1:1" x14ac:dyDescent="0.25">
      <c r="A7887" t="s">
        <v>2714</v>
      </c>
    </row>
    <row r="7888" spans="1:1" x14ac:dyDescent="0.25">
      <c r="A7888" t="s">
        <v>2714</v>
      </c>
    </row>
    <row r="7889" spans="1:1" x14ac:dyDescent="0.25">
      <c r="A7889" t="s">
        <v>2714</v>
      </c>
    </row>
    <row r="7890" spans="1:1" x14ac:dyDescent="0.25">
      <c r="A7890" t="s">
        <v>2714</v>
      </c>
    </row>
    <row r="7891" spans="1:1" x14ac:dyDescent="0.25">
      <c r="A7891" t="s">
        <v>2714</v>
      </c>
    </row>
    <row r="7892" spans="1:1" x14ac:dyDescent="0.25">
      <c r="A7892" t="s">
        <v>2714</v>
      </c>
    </row>
    <row r="7893" spans="1:1" x14ac:dyDescent="0.25">
      <c r="A7893" t="s">
        <v>2714</v>
      </c>
    </row>
    <row r="7894" spans="1:1" x14ac:dyDescent="0.25">
      <c r="A7894" t="s">
        <v>2714</v>
      </c>
    </row>
    <row r="7895" spans="1:1" x14ac:dyDescent="0.25">
      <c r="A7895" t="s">
        <v>2714</v>
      </c>
    </row>
    <row r="7896" spans="1:1" x14ac:dyDescent="0.25">
      <c r="A7896" t="s">
        <v>2714</v>
      </c>
    </row>
    <row r="7897" spans="1:1" x14ac:dyDescent="0.25">
      <c r="A7897" t="s">
        <v>2714</v>
      </c>
    </row>
    <row r="7898" spans="1:1" x14ac:dyDescent="0.25">
      <c r="A7898" t="s">
        <v>2714</v>
      </c>
    </row>
    <row r="7899" spans="1:1" x14ac:dyDescent="0.25">
      <c r="A7899" t="s">
        <v>2714</v>
      </c>
    </row>
    <row r="7900" spans="1:1" x14ac:dyDescent="0.25">
      <c r="A7900" t="s">
        <v>2714</v>
      </c>
    </row>
    <row r="7901" spans="1:1" x14ac:dyDescent="0.25">
      <c r="A7901" t="s">
        <v>2714</v>
      </c>
    </row>
    <row r="7902" spans="1:1" x14ac:dyDescent="0.25">
      <c r="A7902" t="s">
        <v>2714</v>
      </c>
    </row>
    <row r="7903" spans="1:1" x14ac:dyDescent="0.25">
      <c r="A7903" t="s">
        <v>2714</v>
      </c>
    </row>
    <row r="7904" spans="1:1" x14ac:dyDescent="0.25">
      <c r="A7904" t="s">
        <v>2714</v>
      </c>
    </row>
    <row r="7905" spans="1:1" x14ac:dyDescent="0.25">
      <c r="A7905" t="s">
        <v>2714</v>
      </c>
    </row>
    <row r="7906" spans="1:1" x14ac:dyDescent="0.25">
      <c r="A7906" t="s">
        <v>2714</v>
      </c>
    </row>
    <row r="7907" spans="1:1" x14ac:dyDescent="0.25">
      <c r="A7907" t="s">
        <v>2714</v>
      </c>
    </row>
    <row r="7908" spans="1:1" x14ac:dyDescent="0.25">
      <c r="A7908" t="s">
        <v>2714</v>
      </c>
    </row>
    <row r="7909" spans="1:1" x14ac:dyDescent="0.25">
      <c r="A7909" t="s">
        <v>2714</v>
      </c>
    </row>
    <row r="7910" spans="1:1" x14ac:dyDescent="0.25">
      <c r="A7910" t="s">
        <v>2714</v>
      </c>
    </row>
    <row r="7911" spans="1:1" x14ac:dyDescent="0.25">
      <c r="A7911" t="s">
        <v>2714</v>
      </c>
    </row>
    <row r="7912" spans="1:1" x14ac:dyDescent="0.25">
      <c r="A7912" t="s">
        <v>2714</v>
      </c>
    </row>
    <row r="7913" spans="1:1" x14ac:dyDescent="0.25">
      <c r="A7913" t="s">
        <v>2714</v>
      </c>
    </row>
    <row r="7914" spans="1:1" x14ac:dyDescent="0.25">
      <c r="A7914" t="s">
        <v>2714</v>
      </c>
    </row>
    <row r="7915" spans="1:1" x14ac:dyDescent="0.25">
      <c r="A7915" t="s">
        <v>2714</v>
      </c>
    </row>
    <row r="7916" spans="1:1" x14ac:dyDescent="0.25">
      <c r="A7916" t="s">
        <v>2714</v>
      </c>
    </row>
    <row r="7917" spans="1:1" x14ac:dyDescent="0.25">
      <c r="A7917" t="s">
        <v>2714</v>
      </c>
    </row>
    <row r="7918" spans="1:1" x14ac:dyDescent="0.25">
      <c r="A7918" t="s">
        <v>2714</v>
      </c>
    </row>
    <row r="7919" spans="1:1" x14ac:dyDescent="0.25">
      <c r="A7919" t="s">
        <v>2714</v>
      </c>
    </row>
    <row r="7920" spans="1:1" x14ac:dyDescent="0.25">
      <c r="A7920" t="s">
        <v>2714</v>
      </c>
    </row>
    <row r="7921" spans="1:1" x14ac:dyDescent="0.25">
      <c r="A7921" t="s">
        <v>2714</v>
      </c>
    </row>
    <row r="7922" spans="1:1" x14ac:dyDescent="0.25">
      <c r="A7922" t="s">
        <v>2714</v>
      </c>
    </row>
    <row r="7923" spans="1:1" x14ac:dyDescent="0.25">
      <c r="A7923" t="s">
        <v>2714</v>
      </c>
    </row>
    <row r="7924" spans="1:1" x14ac:dyDescent="0.25">
      <c r="A7924" t="s">
        <v>2714</v>
      </c>
    </row>
    <row r="7925" spans="1:1" x14ac:dyDescent="0.25">
      <c r="A7925" t="s">
        <v>2714</v>
      </c>
    </row>
    <row r="7926" spans="1:1" x14ac:dyDescent="0.25">
      <c r="A7926" t="s">
        <v>2714</v>
      </c>
    </row>
    <row r="7927" spans="1:1" x14ac:dyDescent="0.25">
      <c r="A7927" t="s">
        <v>2714</v>
      </c>
    </row>
    <row r="7928" spans="1:1" x14ac:dyDescent="0.25">
      <c r="A7928" t="s">
        <v>2714</v>
      </c>
    </row>
    <row r="7929" spans="1:1" x14ac:dyDescent="0.25">
      <c r="A7929" t="s">
        <v>2714</v>
      </c>
    </row>
    <row r="7930" spans="1:1" x14ac:dyDescent="0.25">
      <c r="A7930" t="s">
        <v>2714</v>
      </c>
    </row>
    <row r="7931" spans="1:1" x14ac:dyDescent="0.25">
      <c r="A7931" t="s">
        <v>2714</v>
      </c>
    </row>
    <row r="7932" spans="1:1" x14ac:dyDescent="0.25">
      <c r="A7932" t="s">
        <v>2714</v>
      </c>
    </row>
    <row r="7933" spans="1:1" x14ac:dyDescent="0.25">
      <c r="A7933" t="s">
        <v>2714</v>
      </c>
    </row>
    <row r="7934" spans="1:1" x14ac:dyDescent="0.25">
      <c r="A7934" t="s">
        <v>2714</v>
      </c>
    </row>
    <row r="7935" spans="1:1" x14ac:dyDescent="0.25">
      <c r="A7935" t="s">
        <v>2714</v>
      </c>
    </row>
    <row r="7936" spans="1:1" x14ac:dyDescent="0.25">
      <c r="A7936" t="s">
        <v>2714</v>
      </c>
    </row>
    <row r="7937" spans="1:1" x14ac:dyDescent="0.25">
      <c r="A7937" t="s">
        <v>2686</v>
      </c>
    </row>
    <row r="7940" spans="1:1" x14ac:dyDescent="0.25">
      <c r="A7940" t="s">
        <v>3916</v>
      </c>
    </row>
    <row r="7941" spans="1:1" x14ac:dyDescent="0.25">
      <c r="A7941" t="s">
        <v>3266</v>
      </c>
    </row>
    <row r="7942" spans="1:1" x14ac:dyDescent="0.25">
      <c r="A7942" t="s">
        <v>3267</v>
      </c>
    </row>
    <row r="7943" spans="1:1" x14ac:dyDescent="0.25">
      <c r="A7943" t="s">
        <v>3268</v>
      </c>
    </row>
    <row r="7944" spans="1:1" x14ac:dyDescent="0.25">
      <c r="A7944" t="s">
        <v>3269</v>
      </c>
    </row>
    <row r="7945" spans="1:1" x14ac:dyDescent="0.25">
      <c r="A7945" t="s">
        <v>3270</v>
      </c>
    </row>
    <row r="7946" spans="1:1" x14ac:dyDescent="0.25">
      <c r="A7946" t="s">
        <v>3271</v>
      </c>
    </row>
    <row r="7947" spans="1:1" x14ac:dyDescent="0.25">
      <c r="A7947" t="s">
        <v>3272</v>
      </c>
    </row>
    <row r="7948" spans="1:1" x14ac:dyDescent="0.25">
      <c r="A7948" t="s">
        <v>3273</v>
      </c>
    </row>
    <row r="7949" spans="1:1" x14ac:dyDescent="0.25">
      <c r="A7949" t="s">
        <v>3274</v>
      </c>
    </row>
    <row r="7950" spans="1:1" x14ac:dyDescent="0.25">
      <c r="A7950" t="s">
        <v>3275</v>
      </c>
    </row>
    <row r="7951" spans="1:1" x14ac:dyDescent="0.25">
      <c r="A7951" t="s">
        <v>3276</v>
      </c>
    </row>
    <row r="7952" spans="1:1" x14ac:dyDescent="0.25">
      <c r="A7952" t="s">
        <v>3277</v>
      </c>
    </row>
    <row r="7953" spans="1:1" x14ac:dyDescent="0.25">
      <c r="A7953" t="s">
        <v>3278</v>
      </c>
    </row>
    <row r="7954" spans="1:1" x14ac:dyDescent="0.25">
      <c r="A7954" t="s">
        <v>3279</v>
      </c>
    </row>
    <row r="7955" spans="1:1" x14ac:dyDescent="0.25">
      <c r="A7955" t="s">
        <v>2713</v>
      </c>
    </row>
    <row r="7956" spans="1:1" x14ac:dyDescent="0.25">
      <c r="A7956" t="s">
        <v>2714</v>
      </c>
    </row>
    <row r="7957" spans="1:1" x14ac:dyDescent="0.25">
      <c r="A7957" t="s">
        <v>2714</v>
      </c>
    </row>
    <row r="7958" spans="1:1" x14ac:dyDescent="0.25">
      <c r="A7958" t="s">
        <v>2714</v>
      </c>
    </row>
    <row r="7959" spans="1:1" x14ac:dyDescent="0.25">
      <c r="A7959" t="s">
        <v>2714</v>
      </c>
    </row>
    <row r="7960" spans="1:1" x14ac:dyDescent="0.25">
      <c r="A7960" t="s">
        <v>2714</v>
      </c>
    </row>
    <row r="7961" spans="1:1" x14ac:dyDescent="0.25">
      <c r="A7961" t="s">
        <v>2714</v>
      </c>
    </row>
    <row r="7962" spans="1:1" x14ac:dyDescent="0.25">
      <c r="A7962" t="s">
        <v>2714</v>
      </c>
    </row>
    <row r="7963" spans="1:1" x14ac:dyDescent="0.25">
      <c r="A7963" t="s">
        <v>2714</v>
      </c>
    </row>
    <row r="7964" spans="1:1" x14ac:dyDescent="0.25">
      <c r="A7964" t="s">
        <v>2714</v>
      </c>
    </row>
    <row r="7965" spans="1:1" x14ac:dyDescent="0.25">
      <c r="A7965" t="s">
        <v>2714</v>
      </c>
    </row>
    <row r="7966" spans="1:1" x14ac:dyDescent="0.25">
      <c r="A7966" t="s">
        <v>2714</v>
      </c>
    </row>
    <row r="7967" spans="1:1" x14ac:dyDescent="0.25">
      <c r="A7967" t="s">
        <v>2714</v>
      </c>
    </row>
    <row r="7968" spans="1:1" x14ac:dyDescent="0.25">
      <c r="A7968" t="s">
        <v>2714</v>
      </c>
    </row>
    <row r="7969" spans="1:1" x14ac:dyDescent="0.25">
      <c r="A7969" t="s">
        <v>2714</v>
      </c>
    </row>
    <row r="7970" spans="1:1" x14ac:dyDescent="0.25">
      <c r="A7970" t="s">
        <v>2714</v>
      </c>
    </row>
    <row r="7971" spans="1:1" x14ac:dyDescent="0.25">
      <c r="A7971" t="s">
        <v>2714</v>
      </c>
    </row>
    <row r="7972" spans="1:1" x14ac:dyDescent="0.25">
      <c r="A7972" t="s">
        <v>2714</v>
      </c>
    </row>
    <row r="7973" spans="1:1" x14ac:dyDescent="0.25">
      <c r="A7973" t="s">
        <v>2714</v>
      </c>
    </row>
    <row r="7974" spans="1:1" x14ac:dyDescent="0.25">
      <c r="A7974" t="s">
        <v>2714</v>
      </c>
    </row>
    <row r="7975" spans="1:1" x14ac:dyDescent="0.25">
      <c r="A7975" t="s">
        <v>2714</v>
      </c>
    </row>
    <row r="7976" spans="1:1" x14ac:dyDescent="0.25">
      <c r="A7976" t="s">
        <v>2714</v>
      </c>
    </row>
    <row r="7977" spans="1:1" x14ac:dyDescent="0.25">
      <c r="A7977" t="s">
        <v>2714</v>
      </c>
    </row>
    <row r="7978" spans="1:1" x14ac:dyDescent="0.25">
      <c r="A7978" t="s">
        <v>2714</v>
      </c>
    </row>
    <row r="7979" spans="1:1" x14ac:dyDescent="0.25">
      <c r="A7979" t="s">
        <v>2714</v>
      </c>
    </row>
    <row r="7980" spans="1:1" x14ac:dyDescent="0.25">
      <c r="A7980" t="s">
        <v>2714</v>
      </c>
    </row>
    <row r="7981" spans="1:1" x14ac:dyDescent="0.25">
      <c r="A7981" t="s">
        <v>2714</v>
      </c>
    </row>
    <row r="7982" spans="1:1" x14ac:dyDescent="0.25">
      <c r="A7982" t="s">
        <v>2714</v>
      </c>
    </row>
    <row r="7983" spans="1:1" x14ac:dyDescent="0.25">
      <c r="A7983" t="s">
        <v>2714</v>
      </c>
    </row>
    <row r="7984" spans="1:1" x14ac:dyDescent="0.25">
      <c r="A7984" t="s">
        <v>2714</v>
      </c>
    </row>
    <row r="7985" spans="1:1" x14ac:dyDescent="0.25">
      <c r="A7985" t="s">
        <v>2714</v>
      </c>
    </row>
    <row r="7986" spans="1:1" x14ac:dyDescent="0.25">
      <c r="A7986" t="s">
        <v>2714</v>
      </c>
    </row>
    <row r="7987" spans="1:1" x14ac:dyDescent="0.25">
      <c r="A7987" t="s">
        <v>2714</v>
      </c>
    </row>
    <row r="7988" spans="1:1" x14ac:dyDescent="0.25">
      <c r="A7988" t="s">
        <v>2714</v>
      </c>
    </row>
    <row r="7989" spans="1:1" x14ac:dyDescent="0.25">
      <c r="A7989" t="s">
        <v>2714</v>
      </c>
    </row>
    <row r="7990" spans="1:1" x14ac:dyDescent="0.25">
      <c r="A7990" t="s">
        <v>2714</v>
      </c>
    </row>
    <row r="7991" spans="1:1" x14ac:dyDescent="0.25">
      <c r="A7991" t="s">
        <v>2714</v>
      </c>
    </row>
    <row r="7992" spans="1:1" x14ac:dyDescent="0.25">
      <c r="A7992" t="s">
        <v>2714</v>
      </c>
    </row>
    <row r="7993" spans="1:1" x14ac:dyDescent="0.25">
      <c r="A7993" t="s">
        <v>2714</v>
      </c>
    </row>
    <row r="7994" spans="1:1" x14ac:dyDescent="0.25">
      <c r="A7994" t="s">
        <v>2714</v>
      </c>
    </row>
    <row r="7995" spans="1:1" x14ac:dyDescent="0.25">
      <c r="A7995" t="s">
        <v>2714</v>
      </c>
    </row>
    <row r="7996" spans="1:1" x14ac:dyDescent="0.25">
      <c r="A7996" t="s">
        <v>2714</v>
      </c>
    </row>
    <row r="7997" spans="1:1" x14ac:dyDescent="0.25">
      <c r="A7997" t="s">
        <v>2714</v>
      </c>
    </row>
    <row r="7998" spans="1:1" x14ac:dyDescent="0.25">
      <c r="A7998" t="s">
        <v>2714</v>
      </c>
    </row>
    <row r="7999" spans="1:1" x14ac:dyDescent="0.25">
      <c r="A7999" t="s">
        <v>2714</v>
      </c>
    </row>
    <row r="8000" spans="1:1" x14ac:dyDescent="0.25">
      <c r="A8000" t="s">
        <v>2686</v>
      </c>
    </row>
    <row r="8003" spans="1:1" x14ac:dyDescent="0.25">
      <c r="A8003" t="s">
        <v>3917</v>
      </c>
    </row>
    <row r="8004" spans="1:1" x14ac:dyDescent="0.25">
      <c r="A8004" t="s">
        <v>3233</v>
      </c>
    </row>
    <row r="8005" spans="1:1" x14ac:dyDescent="0.25">
      <c r="A8005" t="s">
        <v>3234</v>
      </c>
    </row>
    <row r="8006" spans="1:1" x14ac:dyDescent="0.25">
      <c r="A8006" t="s">
        <v>3235</v>
      </c>
    </row>
    <row r="8007" spans="1:1" x14ac:dyDescent="0.25">
      <c r="A8007" t="s">
        <v>3236</v>
      </c>
    </row>
    <row r="8008" spans="1:1" x14ac:dyDescent="0.25">
      <c r="A8008" t="s">
        <v>3237</v>
      </c>
    </row>
    <row r="8009" spans="1:1" x14ac:dyDescent="0.25">
      <c r="A8009" t="s">
        <v>3238</v>
      </c>
    </row>
    <row r="8010" spans="1:1" x14ac:dyDescent="0.25">
      <c r="A8010" t="s">
        <v>3239</v>
      </c>
    </row>
    <row r="8011" spans="1:1" x14ac:dyDescent="0.25">
      <c r="A8011" t="s">
        <v>3240</v>
      </c>
    </row>
    <row r="8012" spans="1:1" x14ac:dyDescent="0.25">
      <c r="A8012" t="s">
        <v>3241</v>
      </c>
    </row>
    <row r="8013" spans="1:1" x14ac:dyDescent="0.25">
      <c r="A8013" t="s">
        <v>3242</v>
      </c>
    </row>
    <row r="8014" spans="1:1" x14ac:dyDescent="0.25">
      <c r="A8014" t="s">
        <v>3243</v>
      </c>
    </row>
    <row r="8015" spans="1:1" x14ac:dyDescent="0.25">
      <c r="A8015" t="s">
        <v>3243</v>
      </c>
    </row>
    <row r="8016" spans="1:1" x14ac:dyDescent="0.25">
      <c r="A8016" t="s">
        <v>3244</v>
      </c>
    </row>
    <row r="8017" spans="1:1" x14ac:dyDescent="0.25">
      <c r="A8017" t="s">
        <v>3245</v>
      </c>
    </row>
    <row r="8018" spans="1:1" x14ac:dyDescent="0.25">
      <c r="A8018" t="s">
        <v>3246</v>
      </c>
    </row>
    <row r="8019" spans="1:1" x14ac:dyDescent="0.25">
      <c r="A8019" t="s">
        <v>3247</v>
      </c>
    </row>
    <row r="8020" spans="1:1" x14ac:dyDescent="0.25">
      <c r="A8020" t="s">
        <v>3248</v>
      </c>
    </row>
    <row r="8021" spans="1:1" x14ac:dyDescent="0.25">
      <c r="A8021" t="s">
        <v>3249</v>
      </c>
    </row>
    <row r="8022" spans="1:1" x14ac:dyDescent="0.25">
      <c r="A8022" t="s">
        <v>3250</v>
      </c>
    </row>
    <row r="8023" spans="1:1" x14ac:dyDescent="0.25">
      <c r="A8023" t="s">
        <v>3251</v>
      </c>
    </row>
    <row r="8024" spans="1:1" x14ac:dyDescent="0.25">
      <c r="A8024" t="s">
        <v>3252</v>
      </c>
    </row>
    <row r="8025" spans="1:1" x14ac:dyDescent="0.25">
      <c r="A8025" t="s">
        <v>3253</v>
      </c>
    </row>
    <row r="8026" spans="1:1" x14ac:dyDescent="0.25">
      <c r="A8026" t="s">
        <v>3254</v>
      </c>
    </row>
    <row r="8027" spans="1:1" x14ac:dyDescent="0.25">
      <c r="A8027" t="s">
        <v>3255</v>
      </c>
    </row>
    <row r="8028" spans="1:1" x14ac:dyDescent="0.25">
      <c r="A8028" t="s">
        <v>3256</v>
      </c>
    </row>
    <row r="8029" spans="1:1" x14ac:dyDescent="0.25">
      <c r="A8029" t="s">
        <v>3257</v>
      </c>
    </row>
    <row r="8030" spans="1:1" x14ac:dyDescent="0.25">
      <c r="A8030" t="s">
        <v>3258</v>
      </c>
    </row>
    <row r="8031" spans="1:1" x14ac:dyDescent="0.25">
      <c r="A8031" t="s">
        <v>3259</v>
      </c>
    </row>
    <row r="8032" spans="1:1" x14ac:dyDescent="0.25">
      <c r="A8032" t="s">
        <v>3260</v>
      </c>
    </row>
    <row r="8033" spans="1:1" x14ac:dyDescent="0.25">
      <c r="A8033" t="s">
        <v>3261</v>
      </c>
    </row>
    <row r="8034" spans="1:1" x14ac:dyDescent="0.25">
      <c r="A8034" t="s">
        <v>3262</v>
      </c>
    </row>
    <row r="8035" spans="1:1" x14ac:dyDescent="0.25">
      <c r="A8035" t="s">
        <v>3918</v>
      </c>
    </row>
    <row r="8036" spans="1:1" x14ac:dyDescent="0.25">
      <c r="A8036" t="s">
        <v>3919</v>
      </c>
    </row>
    <row r="8037" spans="1:1" x14ac:dyDescent="0.25">
      <c r="A8037" t="s">
        <v>2713</v>
      </c>
    </row>
    <row r="8038" spans="1:1" x14ac:dyDescent="0.25">
      <c r="A8038" t="s">
        <v>2714</v>
      </c>
    </row>
    <row r="8039" spans="1:1" x14ac:dyDescent="0.25">
      <c r="A8039" t="s">
        <v>2714</v>
      </c>
    </row>
    <row r="8040" spans="1:1" x14ac:dyDescent="0.25">
      <c r="A8040" t="s">
        <v>2714</v>
      </c>
    </row>
    <row r="8041" spans="1:1" x14ac:dyDescent="0.25">
      <c r="A8041" t="s">
        <v>2714</v>
      </c>
    </row>
    <row r="8042" spans="1:1" x14ac:dyDescent="0.25">
      <c r="A8042" t="s">
        <v>2714</v>
      </c>
    </row>
    <row r="8043" spans="1:1" x14ac:dyDescent="0.25">
      <c r="A8043" t="s">
        <v>2714</v>
      </c>
    </row>
    <row r="8044" spans="1:1" x14ac:dyDescent="0.25">
      <c r="A8044" t="s">
        <v>2714</v>
      </c>
    </row>
    <row r="8045" spans="1:1" x14ac:dyDescent="0.25">
      <c r="A8045" t="s">
        <v>2714</v>
      </c>
    </row>
    <row r="8046" spans="1:1" x14ac:dyDescent="0.25">
      <c r="A8046" t="s">
        <v>2714</v>
      </c>
    </row>
    <row r="8047" spans="1:1" x14ac:dyDescent="0.25">
      <c r="A8047" t="s">
        <v>2714</v>
      </c>
    </row>
    <row r="8048" spans="1:1" x14ac:dyDescent="0.25">
      <c r="A8048" t="s">
        <v>2714</v>
      </c>
    </row>
    <row r="8049" spans="1:1" x14ac:dyDescent="0.25">
      <c r="A8049" t="s">
        <v>2714</v>
      </c>
    </row>
    <row r="8050" spans="1:1" x14ac:dyDescent="0.25">
      <c r="A8050" t="s">
        <v>2714</v>
      </c>
    </row>
    <row r="8051" spans="1:1" x14ac:dyDescent="0.25">
      <c r="A8051" t="s">
        <v>2714</v>
      </c>
    </row>
    <row r="8052" spans="1:1" x14ac:dyDescent="0.25">
      <c r="A8052" t="s">
        <v>2714</v>
      </c>
    </row>
    <row r="8053" spans="1:1" x14ac:dyDescent="0.25">
      <c r="A8053" t="s">
        <v>2714</v>
      </c>
    </row>
    <row r="8054" spans="1:1" x14ac:dyDescent="0.25">
      <c r="A8054" t="s">
        <v>2714</v>
      </c>
    </row>
    <row r="8055" spans="1:1" x14ac:dyDescent="0.25">
      <c r="A8055" t="s">
        <v>2714</v>
      </c>
    </row>
    <row r="8056" spans="1:1" x14ac:dyDescent="0.25">
      <c r="A8056" t="s">
        <v>2714</v>
      </c>
    </row>
    <row r="8057" spans="1:1" x14ac:dyDescent="0.25">
      <c r="A8057" t="s">
        <v>2714</v>
      </c>
    </row>
    <row r="8058" spans="1:1" x14ac:dyDescent="0.25">
      <c r="A8058" t="s">
        <v>2714</v>
      </c>
    </row>
    <row r="8059" spans="1:1" x14ac:dyDescent="0.25">
      <c r="A8059" t="s">
        <v>2714</v>
      </c>
    </row>
    <row r="8060" spans="1:1" x14ac:dyDescent="0.25">
      <c r="A8060" t="s">
        <v>2714</v>
      </c>
    </row>
    <row r="8061" spans="1:1" x14ac:dyDescent="0.25">
      <c r="A8061" t="s">
        <v>2714</v>
      </c>
    </row>
    <row r="8062" spans="1:1" x14ac:dyDescent="0.25">
      <c r="A8062" t="s">
        <v>2714</v>
      </c>
    </row>
    <row r="8063" spans="1:1" x14ac:dyDescent="0.25">
      <c r="A8063" t="s">
        <v>2686</v>
      </c>
    </row>
    <row r="8066" spans="1:1" x14ac:dyDescent="0.25">
      <c r="A8066" t="s">
        <v>3920</v>
      </c>
    </row>
    <row r="8067" spans="1:1" x14ac:dyDescent="0.25">
      <c r="A8067" t="s">
        <v>3921</v>
      </c>
    </row>
    <row r="8068" spans="1:1" x14ac:dyDescent="0.25">
      <c r="A8068" t="s">
        <v>3922</v>
      </c>
    </row>
    <row r="8069" spans="1:1" x14ac:dyDescent="0.25">
      <c r="A8069" t="s">
        <v>3923</v>
      </c>
    </row>
    <row r="8070" spans="1:1" x14ac:dyDescent="0.25">
      <c r="A8070" t="s">
        <v>3924</v>
      </c>
    </row>
    <row r="8071" spans="1:1" x14ac:dyDescent="0.25">
      <c r="A8071" t="s">
        <v>3925</v>
      </c>
    </row>
    <row r="8072" spans="1:1" x14ac:dyDescent="0.25">
      <c r="A8072" t="s">
        <v>3926</v>
      </c>
    </row>
    <row r="8073" spans="1:1" x14ac:dyDescent="0.25">
      <c r="A8073" t="s">
        <v>3173</v>
      </c>
    </row>
    <row r="8074" spans="1:1" x14ac:dyDescent="0.25">
      <c r="A8074" t="s">
        <v>2713</v>
      </c>
    </row>
    <row r="8075" spans="1:1" x14ac:dyDescent="0.25">
      <c r="A8075" t="s">
        <v>2714</v>
      </c>
    </row>
    <row r="8076" spans="1:1" x14ac:dyDescent="0.25">
      <c r="A8076" t="s">
        <v>2714</v>
      </c>
    </row>
    <row r="8077" spans="1:1" x14ac:dyDescent="0.25">
      <c r="A8077" t="s">
        <v>2714</v>
      </c>
    </row>
    <row r="8078" spans="1:1" x14ac:dyDescent="0.25">
      <c r="A8078" t="s">
        <v>2714</v>
      </c>
    </row>
    <row r="8079" spans="1:1" x14ac:dyDescent="0.25">
      <c r="A8079" t="s">
        <v>2714</v>
      </c>
    </row>
    <row r="8080" spans="1:1" x14ac:dyDescent="0.25">
      <c r="A8080" t="s">
        <v>2714</v>
      </c>
    </row>
    <row r="8081" spans="1:1" x14ac:dyDescent="0.25">
      <c r="A8081" t="s">
        <v>2714</v>
      </c>
    </row>
    <row r="8082" spans="1:1" x14ac:dyDescent="0.25">
      <c r="A8082" t="s">
        <v>2714</v>
      </c>
    </row>
    <row r="8083" spans="1:1" x14ac:dyDescent="0.25">
      <c r="A8083" t="s">
        <v>2714</v>
      </c>
    </row>
    <row r="8084" spans="1:1" x14ac:dyDescent="0.25">
      <c r="A8084" t="s">
        <v>2714</v>
      </c>
    </row>
    <row r="8085" spans="1:1" x14ac:dyDescent="0.25">
      <c r="A8085" t="s">
        <v>2714</v>
      </c>
    </row>
    <row r="8086" spans="1:1" x14ac:dyDescent="0.25">
      <c r="A8086" t="s">
        <v>2714</v>
      </c>
    </row>
    <row r="8087" spans="1:1" x14ac:dyDescent="0.25">
      <c r="A8087" t="s">
        <v>2714</v>
      </c>
    </row>
    <row r="8088" spans="1:1" x14ac:dyDescent="0.25">
      <c r="A8088" t="s">
        <v>2714</v>
      </c>
    </row>
    <row r="8089" spans="1:1" x14ac:dyDescent="0.25">
      <c r="A8089" t="s">
        <v>2714</v>
      </c>
    </row>
    <row r="8090" spans="1:1" x14ac:dyDescent="0.25">
      <c r="A8090" t="s">
        <v>2714</v>
      </c>
    </row>
    <row r="8091" spans="1:1" x14ac:dyDescent="0.25">
      <c r="A8091" t="s">
        <v>2714</v>
      </c>
    </row>
    <row r="8092" spans="1:1" x14ac:dyDescent="0.25">
      <c r="A8092" t="s">
        <v>2714</v>
      </c>
    </row>
    <row r="8093" spans="1:1" x14ac:dyDescent="0.25">
      <c r="A8093" t="s">
        <v>2714</v>
      </c>
    </row>
    <row r="8094" spans="1:1" x14ac:dyDescent="0.25">
      <c r="A8094" t="s">
        <v>2714</v>
      </c>
    </row>
    <row r="8095" spans="1:1" x14ac:dyDescent="0.25">
      <c r="A8095" t="s">
        <v>2714</v>
      </c>
    </row>
    <row r="8096" spans="1:1" x14ac:dyDescent="0.25">
      <c r="A8096" t="s">
        <v>2714</v>
      </c>
    </row>
    <row r="8097" spans="1:1" x14ac:dyDescent="0.25">
      <c r="A8097" t="s">
        <v>2714</v>
      </c>
    </row>
    <row r="8098" spans="1:1" x14ac:dyDescent="0.25">
      <c r="A8098" t="s">
        <v>2714</v>
      </c>
    </row>
    <row r="8099" spans="1:1" x14ac:dyDescent="0.25">
      <c r="A8099" t="s">
        <v>2714</v>
      </c>
    </row>
    <row r="8100" spans="1:1" x14ac:dyDescent="0.25">
      <c r="A8100" t="s">
        <v>2714</v>
      </c>
    </row>
    <row r="8101" spans="1:1" x14ac:dyDescent="0.25">
      <c r="A8101" t="s">
        <v>2714</v>
      </c>
    </row>
    <row r="8102" spans="1:1" x14ac:dyDescent="0.25">
      <c r="A8102" t="s">
        <v>2714</v>
      </c>
    </row>
    <row r="8103" spans="1:1" x14ac:dyDescent="0.25">
      <c r="A8103" t="s">
        <v>2714</v>
      </c>
    </row>
    <row r="8104" spans="1:1" x14ac:dyDescent="0.25">
      <c r="A8104" t="s">
        <v>2714</v>
      </c>
    </row>
    <row r="8105" spans="1:1" x14ac:dyDescent="0.25">
      <c r="A8105" t="s">
        <v>2714</v>
      </c>
    </row>
    <row r="8106" spans="1:1" x14ac:dyDescent="0.25">
      <c r="A8106" t="s">
        <v>2714</v>
      </c>
    </row>
    <row r="8107" spans="1:1" x14ac:dyDescent="0.25">
      <c r="A8107" t="s">
        <v>2714</v>
      </c>
    </row>
    <row r="8108" spans="1:1" x14ac:dyDescent="0.25">
      <c r="A8108" t="s">
        <v>2714</v>
      </c>
    </row>
    <row r="8109" spans="1:1" x14ac:dyDescent="0.25">
      <c r="A8109" t="s">
        <v>2714</v>
      </c>
    </row>
    <row r="8110" spans="1:1" x14ac:dyDescent="0.25">
      <c r="A8110" t="s">
        <v>2714</v>
      </c>
    </row>
    <row r="8111" spans="1:1" x14ac:dyDescent="0.25">
      <c r="A8111" t="s">
        <v>2714</v>
      </c>
    </row>
    <row r="8112" spans="1:1" x14ac:dyDescent="0.25">
      <c r="A8112" t="s">
        <v>2714</v>
      </c>
    </row>
    <row r="8113" spans="1:1" x14ac:dyDescent="0.25">
      <c r="A8113" t="s">
        <v>2714</v>
      </c>
    </row>
    <row r="8114" spans="1:1" x14ac:dyDescent="0.25">
      <c r="A8114" t="s">
        <v>2714</v>
      </c>
    </row>
    <row r="8115" spans="1:1" x14ac:dyDescent="0.25">
      <c r="A8115" t="s">
        <v>2714</v>
      </c>
    </row>
    <row r="8116" spans="1:1" x14ac:dyDescent="0.25">
      <c r="A8116" t="s">
        <v>2714</v>
      </c>
    </row>
    <row r="8117" spans="1:1" x14ac:dyDescent="0.25">
      <c r="A8117" t="s">
        <v>2714</v>
      </c>
    </row>
    <row r="8118" spans="1:1" x14ac:dyDescent="0.25">
      <c r="A8118" t="s">
        <v>2714</v>
      </c>
    </row>
    <row r="8119" spans="1:1" x14ac:dyDescent="0.25">
      <c r="A8119" t="s">
        <v>2714</v>
      </c>
    </row>
    <row r="8120" spans="1:1" x14ac:dyDescent="0.25">
      <c r="A8120" t="s">
        <v>2714</v>
      </c>
    </row>
    <row r="8121" spans="1:1" x14ac:dyDescent="0.25">
      <c r="A8121" t="s">
        <v>2714</v>
      </c>
    </row>
    <row r="8122" spans="1:1" x14ac:dyDescent="0.25">
      <c r="A8122" t="s">
        <v>2714</v>
      </c>
    </row>
    <row r="8123" spans="1:1" x14ac:dyDescent="0.25">
      <c r="A8123" t="s">
        <v>2714</v>
      </c>
    </row>
    <row r="8124" spans="1:1" x14ac:dyDescent="0.25">
      <c r="A8124" t="s">
        <v>2714</v>
      </c>
    </row>
    <row r="8125" spans="1:1" x14ac:dyDescent="0.25">
      <c r="A8125" t="s">
        <v>2714</v>
      </c>
    </row>
    <row r="8126" spans="1:1" x14ac:dyDescent="0.25">
      <c r="A8126" t="s">
        <v>2686</v>
      </c>
    </row>
    <row r="8129" spans="1:1" x14ac:dyDescent="0.25">
      <c r="A8129" t="s">
        <v>3927</v>
      </c>
    </row>
    <row r="8130" spans="1:1" x14ac:dyDescent="0.25">
      <c r="A8130" t="s">
        <v>3180</v>
      </c>
    </row>
    <row r="8131" spans="1:1" x14ac:dyDescent="0.25">
      <c r="A8131" t="s">
        <v>3181</v>
      </c>
    </row>
    <row r="8132" spans="1:1" x14ac:dyDescent="0.25">
      <c r="A8132" t="s">
        <v>3182</v>
      </c>
    </row>
    <row r="8133" spans="1:1" x14ac:dyDescent="0.25">
      <c r="A8133" t="s">
        <v>3183</v>
      </c>
    </row>
    <row r="8134" spans="1:1" x14ac:dyDescent="0.25">
      <c r="A8134" t="s">
        <v>3184</v>
      </c>
    </row>
    <row r="8135" spans="1:1" x14ac:dyDescent="0.25">
      <c r="A8135" t="s">
        <v>3185</v>
      </c>
    </row>
    <row r="8136" spans="1:1" x14ac:dyDescent="0.25">
      <c r="A8136" t="s">
        <v>3186</v>
      </c>
    </row>
    <row r="8137" spans="1:1" x14ac:dyDescent="0.25">
      <c r="A8137" t="s">
        <v>3187</v>
      </c>
    </row>
    <row r="8138" spans="1:1" x14ac:dyDescent="0.25">
      <c r="A8138" t="s">
        <v>3188</v>
      </c>
    </row>
    <row r="8139" spans="1:1" x14ac:dyDescent="0.25">
      <c r="A8139" t="s">
        <v>3404</v>
      </c>
    </row>
    <row r="8140" spans="1:1" x14ac:dyDescent="0.25">
      <c r="A8140" t="s">
        <v>3189</v>
      </c>
    </row>
    <row r="8141" spans="1:1" x14ac:dyDescent="0.25">
      <c r="A8141" t="s">
        <v>2713</v>
      </c>
    </row>
    <row r="8142" spans="1:1" x14ac:dyDescent="0.25">
      <c r="A8142" t="s">
        <v>2714</v>
      </c>
    </row>
    <row r="8143" spans="1:1" x14ac:dyDescent="0.25">
      <c r="A8143" t="s">
        <v>2714</v>
      </c>
    </row>
    <row r="8144" spans="1:1" x14ac:dyDescent="0.25">
      <c r="A8144" t="s">
        <v>2714</v>
      </c>
    </row>
    <row r="8145" spans="1:1" x14ac:dyDescent="0.25">
      <c r="A8145" t="s">
        <v>2714</v>
      </c>
    </row>
    <row r="8146" spans="1:1" x14ac:dyDescent="0.25">
      <c r="A8146" t="s">
        <v>2714</v>
      </c>
    </row>
    <row r="8147" spans="1:1" x14ac:dyDescent="0.25">
      <c r="A8147" t="s">
        <v>2714</v>
      </c>
    </row>
    <row r="8148" spans="1:1" x14ac:dyDescent="0.25">
      <c r="A8148" t="s">
        <v>2714</v>
      </c>
    </row>
    <row r="8149" spans="1:1" x14ac:dyDescent="0.25">
      <c r="A8149" t="s">
        <v>2714</v>
      </c>
    </row>
    <row r="8150" spans="1:1" x14ac:dyDescent="0.25">
      <c r="A8150" t="s">
        <v>2714</v>
      </c>
    </row>
    <row r="8151" spans="1:1" x14ac:dyDescent="0.25">
      <c r="A8151" t="s">
        <v>2714</v>
      </c>
    </row>
    <row r="8152" spans="1:1" x14ac:dyDescent="0.25">
      <c r="A8152" t="s">
        <v>2714</v>
      </c>
    </row>
    <row r="8153" spans="1:1" x14ac:dyDescent="0.25">
      <c r="A8153" t="s">
        <v>2714</v>
      </c>
    </row>
    <row r="8154" spans="1:1" x14ac:dyDescent="0.25">
      <c r="A8154" t="s">
        <v>2714</v>
      </c>
    </row>
    <row r="8155" spans="1:1" x14ac:dyDescent="0.25">
      <c r="A8155" t="s">
        <v>2714</v>
      </c>
    </row>
    <row r="8156" spans="1:1" x14ac:dyDescent="0.25">
      <c r="A8156" t="s">
        <v>2714</v>
      </c>
    </row>
    <row r="8157" spans="1:1" x14ac:dyDescent="0.25">
      <c r="A8157" t="s">
        <v>2714</v>
      </c>
    </row>
    <row r="8158" spans="1:1" x14ac:dyDescent="0.25">
      <c r="A8158" t="s">
        <v>2714</v>
      </c>
    </row>
    <row r="8159" spans="1:1" x14ac:dyDescent="0.25">
      <c r="A8159" t="s">
        <v>2714</v>
      </c>
    </row>
    <row r="8160" spans="1:1" x14ac:dyDescent="0.25">
      <c r="A8160" t="s">
        <v>2714</v>
      </c>
    </row>
    <row r="8161" spans="1:1" x14ac:dyDescent="0.25">
      <c r="A8161" t="s">
        <v>2714</v>
      </c>
    </row>
    <row r="8162" spans="1:1" x14ac:dyDescent="0.25">
      <c r="A8162" t="s">
        <v>2714</v>
      </c>
    </row>
    <row r="8163" spans="1:1" x14ac:dyDescent="0.25">
      <c r="A8163" t="s">
        <v>2714</v>
      </c>
    </row>
    <row r="8164" spans="1:1" x14ac:dyDescent="0.25">
      <c r="A8164" t="s">
        <v>2714</v>
      </c>
    </row>
    <row r="8165" spans="1:1" x14ac:dyDescent="0.25">
      <c r="A8165" t="s">
        <v>2714</v>
      </c>
    </row>
    <row r="8166" spans="1:1" x14ac:dyDescent="0.25">
      <c r="A8166" t="s">
        <v>2714</v>
      </c>
    </row>
    <row r="8167" spans="1:1" x14ac:dyDescent="0.25">
      <c r="A8167" t="s">
        <v>2714</v>
      </c>
    </row>
    <row r="8168" spans="1:1" x14ac:dyDescent="0.25">
      <c r="A8168" t="s">
        <v>2714</v>
      </c>
    </row>
    <row r="8169" spans="1:1" x14ac:dyDescent="0.25">
      <c r="A8169" t="s">
        <v>2714</v>
      </c>
    </row>
    <row r="8170" spans="1:1" x14ac:dyDescent="0.25">
      <c r="A8170" t="s">
        <v>2714</v>
      </c>
    </row>
    <row r="8171" spans="1:1" x14ac:dyDescent="0.25">
      <c r="A8171" t="s">
        <v>2714</v>
      </c>
    </row>
    <row r="8172" spans="1:1" x14ac:dyDescent="0.25">
      <c r="A8172" t="s">
        <v>2714</v>
      </c>
    </row>
    <row r="8173" spans="1:1" x14ac:dyDescent="0.25">
      <c r="A8173" t="s">
        <v>2714</v>
      </c>
    </row>
    <row r="8174" spans="1:1" x14ac:dyDescent="0.25">
      <c r="A8174" t="s">
        <v>2714</v>
      </c>
    </row>
    <row r="8175" spans="1:1" x14ac:dyDescent="0.25">
      <c r="A8175" t="s">
        <v>2714</v>
      </c>
    </row>
    <row r="8176" spans="1:1" x14ac:dyDescent="0.25">
      <c r="A8176" t="s">
        <v>2714</v>
      </c>
    </row>
    <row r="8177" spans="1:1" x14ac:dyDescent="0.25">
      <c r="A8177" t="s">
        <v>2714</v>
      </c>
    </row>
    <row r="8178" spans="1:1" x14ac:dyDescent="0.25">
      <c r="A8178" t="s">
        <v>2714</v>
      </c>
    </row>
    <row r="8179" spans="1:1" x14ac:dyDescent="0.25">
      <c r="A8179" t="s">
        <v>2714</v>
      </c>
    </row>
    <row r="8180" spans="1:1" x14ac:dyDescent="0.25">
      <c r="A8180" t="s">
        <v>2714</v>
      </c>
    </row>
    <row r="8181" spans="1:1" x14ac:dyDescent="0.25">
      <c r="A8181" t="s">
        <v>2714</v>
      </c>
    </row>
    <row r="8182" spans="1:1" x14ac:dyDescent="0.25">
      <c r="A8182" t="s">
        <v>2714</v>
      </c>
    </row>
    <row r="8183" spans="1:1" x14ac:dyDescent="0.25">
      <c r="A8183" t="s">
        <v>2714</v>
      </c>
    </row>
    <row r="8184" spans="1:1" x14ac:dyDescent="0.25">
      <c r="A8184" t="s">
        <v>2714</v>
      </c>
    </row>
    <row r="8185" spans="1:1" x14ac:dyDescent="0.25">
      <c r="A8185" t="s">
        <v>2714</v>
      </c>
    </row>
    <row r="8186" spans="1:1" x14ac:dyDescent="0.25">
      <c r="A8186" t="s">
        <v>2714</v>
      </c>
    </row>
    <row r="8187" spans="1:1" x14ac:dyDescent="0.25">
      <c r="A8187" t="s">
        <v>2714</v>
      </c>
    </row>
    <row r="8188" spans="1:1" x14ac:dyDescent="0.25">
      <c r="A8188" t="s">
        <v>2714</v>
      </c>
    </row>
    <row r="8189" spans="1:1" x14ac:dyDescent="0.25">
      <c r="A8189" t="s">
        <v>2686</v>
      </c>
    </row>
    <row r="8192" spans="1:1" x14ac:dyDescent="0.25">
      <c r="A8192" t="s">
        <v>3928</v>
      </c>
    </row>
    <row r="8193" spans="1:1" x14ac:dyDescent="0.25">
      <c r="A8193" t="s">
        <v>3929</v>
      </c>
    </row>
    <row r="8194" spans="1:1" x14ac:dyDescent="0.25">
      <c r="A8194" t="s">
        <v>3930</v>
      </c>
    </row>
    <row r="8195" spans="1:1" x14ac:dyDescent="0.25">
      <c r="A8195" t="s">
        <v>3931</v>
      </c>
    </row>
    <row r="8196" spans="1:1" x14ac:dyDescent="0.25">
      <c r="A8196" t="s">
        <v>3932</v>
      </c>
    </row>
    <row r="8197" spans="1:1" x14ac:dyDescent="0.25">
      <c r="A8197" t="s">
        <v>3933</v>
      </c>
    </row>
    <row r="8198" spans="1:1" x14ac:dyDescent="0.25">
      <c r="A8198" t="s">
        <v>3934</v>
      </c>
    </row>
    <row r="8199" spans="1:1" x14ac:dyDescent="0.25">
      <c r="A8199" t="s">
        <v>3935</v>
      </c>
    </row>
    <row r="8200" spans="1:1" x14ac:dyDescent="0.25">
      <c r="A8200" t="s">
        <v>3936</v>
      </c>
    </row>
    <row r="8201" spans="1:1" x14ac:dyDescent="0.25">
      <c r="A8201" t="s">
        <v>3937</v>
      </c>
    </row>
    <row r="8202" spans="1:1" x14ac:dyDescent="0.25">
      <c r="A8202" t="s">
        <v>3651</v>
      </c>
    </row>
    <row r="8203" spans="1:1" x14ac:dyDescent="0.25">
      <c r="A8203" t="s">
        <v>3652</v>
      </c>
    </row>
    <row r="8204" spans="1:1" x14ac:dyDescent="0.25">
      <c r="A8204" t="s">
        <v>2713</v>
      </c>
    </row>
    <row r="8205" spans="1:1" x14ac:dyDescent="0.25">
      <c r="A8205" t="s">
        <v>2714</v>
      </c>
    </row>
    <row r="8206" spans="1:1" x14ac:dyDescent="0.25">
      <c r="A8206" t="s">
        <v>2714</v>
      </c>
    </row>
    <row r="8207" spans="1:1" x14ac:dyDescent="0.25">
      <c r="A8207" t="s">
        <v>2714</v>
      </c>
    </row>
    <row r="8208" spans="1:1" x14ac:dyDescent="0.25">
      <c r="A8208" t="s">
        <v>2714</v>
      </c>
    </row>
    <row r="8209" spans="1:1" x14ac:dyDescent="0.25">
      <c r="A8209" t="s">
        <v>2714</v>
      </c>
    </row>
    <row r="8210" spans="1:1" x14ac:dyDescent="0.25">
      <c r="A8210" t="s">
        <v>2714</v>
      </c>
    </row>
    <row r="8211" spans="1:1" x14ac:dyDescent="0.25">
      <c r="A8211" t="s">
        <v>2714</v>
      </c>
    </row>
    <row r="8212" spans="1:1" x14ac:dyDescent="0.25">
      <c r="A8212" t="s">
        <v>2714</v>
      </c>
    </row>
    <row r="8213" spans="1:1" x14ac:dyDescent="0.25">
      <c r="A8213" t="s">
        <v>2714</v>
      </c>
    </row>
    <row r="8214" spans="1:1" x14ac:dyDescent="0.25">
      <c r="A8214" t="s">
        <v>2714</v>
      </c>
    </row>
    <row r="8215" spans="1:1" x14ac:dyDescent="0.25">
      <c r="A8215" t="s">
        <v>2714</v>
      </c>
    </row>
    <row r="8216" spans="1:1" x14ac:dyDescent="0.25">
      <c r="A8216" t="s">
        <v>2714</v>
      </c>
    </row>
    <row r="8217" spans="1:1" x14ac:dyDescent="0.25">
      <c r="A8217" t="s">
        <v>2714</v>
      </c>
    </row>
    <row r="8218" spans="1:1" x14ac:dyDescent="0.25">
      <c r="A8218" t="s">
        <v>2714</v>
      </c>
    </row>
    <row r="8219" spans="1:1" x14ac:dyDescent="0.25">
      <c r="A8219" t="s">
        <v>2714</v>
      </c>
    </row>
    <row r="8220" spans="1:1" x14ac:dyDescent="0.25">
      <c r="A8220" t="s">
        <v>2714</v>
      </c>
    </row>
    <row r="8221" spans="1:1" x14ac:dyDescent="0.25">
      <c r="A8221" t="s">
        <v>2714</v>
      </c>
    </row>
    <row r="8222" spans="1:1" x14ac:dyDescent="0.25">
      <c r="A8222" t="s">
        <v>2714</v>
      </c>
    </row>
    <row r="8223" spans="1:1" x14ac:dyDescent="0.25">
      <c r="A8223" t="s">
        <v>2714</v>
      </c>
    </row>
    <row r="8224" spans="1:1" x14ac:dyDescent="0.25">
      <c r="A8224" t="s">
        <v>2714</v>
      </c>
    </row>
    <row r="8225" spans="1:1" x14ac:dyDescent="0.25">
      <c r="A8225" t="s">
        <v>2714</v>
      </c>
    </row>
    <row r="8226" spans="1:1" x14ac:dyDescent="0.25">
      <c r="A8226" t="s">
        <v>2714</v>
      </c>
    </row>
    <row r="8227" spans="1:1" x14ac:dyDescent="0.25">
      <c r="A8227" t="s">
        <v>2714</v>
      </c>
    </row>
    <row r="8228" spans="1:1" x14ac:dyDescent="0.25">
      <c r="A8228" t="s">
        <v>2714</v>
      </c>
    </row>
    <row r="8229" spans="1:1" x14ac:dyDescent="0.25">
      <c r="A8229" t="s">
        <v>2714</v>
      </c>
    </row>
    <row r="8230" spans="1:1" x14ac:dyDescent="0.25">
      <c r="A8230" t="s">
        <v>2714</v>
      </c>
    </row>
    <row r="8231" spans="1:1" x14ac:dyDescent="0.25">
      <c r="A8231" t="s">
        <v>2714</v>
      </c>
    </row>
    <row r="8232" spans="1:1" x14ac:dyDescent="0.25">
      <c r="A8232" t="s">
        <v>2714</v>
      </c>
    </row>
    <row r="8233" spans="1:1" x14ac:dyDescent="0.25">
      <c r="A8233" t="s">
        <v>2714</v>
      </c>
    </row>
    <row r="8234" spans="1:1" x14ac:dyDescent="0.25">
      <c r="A8234" t="s">
        <v>2714</v>
      </c>
    </row>
    <row r="8235" spans="1:1" x14ac:dyDescent="0.25">
      <c r="A8235" t="s">
        <v>2714</v>
      </c>
    </row>
    <row r="8236" spans="1:1" x14ac:dyDescent="0.25">
      <c r="A8236" t="s">
        <v>2714</v>
      </c>
    </row>
    <row r="8237" spans="1:1" x14ac:dyDescent="0.25">
      <c r="A8237" t="s">
        <v>2714</v>
      </c>
    </row>
    <row r="8238" spans="1:1" x14ac:dyDescent="0.25">
      <c r="A8238" t="s">
        <v>2714</v>
      </c>
    </row>
    <row r="8239" spans="1:1" x14ac:dyDescent="0.25">
      <c r="A8239" t="s">
        <v>2714</v>
      </c>
    </row>
    <row r="8240" spans="1:1" x14ac:dyDescent="0.25">
      <c r="A8240" t="s">
        <v>2714</v>
      </c>
    </row>
    <row r="8241" spans="1:1" x14ac:dyDescent="0.25">
      <c r="A8241" t="s">
        <v>2714</v>
      </c>
    </row>
    <row r="8242" spans="1:1" x14ac:dyDescent="0.25">
      <c r="A8242" t="s">
        <v>2714</v>
      </c>
    </row>
    <row r="8243" spans="1:1" x14ac:dyDescent="0.25">
      <c r="A8243" t="s">
        <v>2714</v>
      </c>
    </row>
    <row r="8244" spans="1:1" x14ac:dyDescent="0.25">
      <c r="A8244" t="s">
        <v>2714</v>
      </c>
    </row>
    <row r="8245" spans="1:1" x14ac:dyDescent="0.25">
      <c r="A8245" t="s">
        <v>2714</v>
      </c>
    </row>
    <row r="8246" spans="1:1" x14ac:dyDescent="0.25">
      <c r="A8246" t="s">
        <v>2714</v>
      </c>
    </row>
    <row r="8247" spans="1:1" x14ac:dyDescent="0.25">
      <c r="A8247" t="s">
        <v>2714</v>
      </c>
    </row>
    <row r="8248" spans="1:1" x14ac:dyDescent="0.25">
      <c r="A8248" t="s">
        <v>2714</v>
      </c>
    </row>
    <row r="8249" spans="1:1" x14ac:dyDescent="0.25">
      <c r="A8249" t="s">
        <v>2714</v>
      </c>
    </row>
    <row r="8250" spans="1:1" x14ac:dyDescent="0.25">
      <c r="A8250" t="s">
        <v>2714</v>
      </c>
    </row>
    <row r="8251" spans="1:1" x14ac:dyDescent="0.25">
      <c r="A8251" t="s">
        <v>2714</v>
      </c>
    </row>
    <row r="8252" spans="1:1" x14ac:dyDescent="0.25">
      <c r="A8252" t="s">
        <v>2686</v>
      </c>
    </row>
    <row r="8253" spans="1:1" x14ac:dyDescent="0.25">
      <c r="A8253" t="s">
        <v>3938</v>
      </c>
    </row>
    <row r="8254" spans="1:1" x14ac:dyDescent="0.25">
      <c r="A8254" t="s">
        <v>3939</v>
      </c>
    </row>
    <row r="8255" spans="1:1" x14ac:dyDescent="0.25">
      <c r="A8255" t="s">
        <v>3940</v>
      </c>
    </row>
    <row r="8256" spans="1:1" x14ac:dyDescent="0.25">
      <c r="A8256" t="s">
        <v>3940</v>
      </c>
    </row>
    <row r="8257" spans="1:1" x14ac:dyDescent="0.25">
      <c r="A8257" t="s">
        <v>3941</v>
      </c>
    </row>
    <row r="8258" spans="1:1" x14ac:dyDescent="0.25">
      <c r="A8258" t="s">
        <v>3941</v>
      </c>
    </row>
    <row r="8259" spans="1:1" x14ac:dyDescent="0.25">
      <c r="A8259" t="s">
        <v>3942</v>
      </c>
    </row>
    <row r="8260" spans="1:1" x14ac:dyDescent="0.25">
      <c r="A8260" t="s">
        <v>3943</v>
      </c>
    </row>
    <row r="8261" spans="1:1" x14ac:dyDescent="0.25">
      <c r="A8261" t="s">
        <v>3944</v>
      </c>
    </row>
    <row r="8262" spans="1:1" x14ac:dyDescent="0.25">
      <c r="A8262" t="s">
        <v>3945</v>
      </c>
    </row>
    <row r="8263" spans="1:1" x14ac:dyDescent="0.25">
      <c r="A8263" t="s">
        <v>3946</v>
      </c>
    </row>
    <row r="8264" spans="1:1" x14ac:dyDescent="0.25">
      <c r="A8264" t="s">
        <v>3947</v>
      </c>
    </row>
    <row r="8265" spans="1:1" x14ac:dyDescent="0.25">
      <c r="A8265" t="s">
        <v>3948</v>
      </c>
    </row>
    <row r="8266" spans="1:1" x14ac:dyDescent="0.25">
      <c r="A8266" t="s">
        <v>3949</v>
      </c>
    </row>
    <row r="8267" spans="1:1" x14ac:dyDescent="0.25">
      <c r="A8267" t="s">
        <v>3950</v>
      </c>
    </row>
    <row r="8268" spans="1:1" x14ac:dyDescent="0.25">
      <c r="A8268" t="s">
        <v>3089</v>
      </c>
    </row>
    <row r="8269" spans="1:1" x14ac:dyDescent="0.25">
      <c r="A8269" t="s">
        <v>3951</v>
      </c>
    </row>
    <row r="8270" spans="1:1" x14ac:dyDescent="0.25">
      <c r="A8270" t="s">
        <v>3952</v>
      </c>
    </row>
    <row r="8271" spans="1:1" x14ac:dyDescent="0.25">
      <c r="A8271" t="s">
        <v>3953</v>
      </c>
    </row>
    <row r="8272" spans="1:1" x14ac:dyDescent="0.25">
      <c r="A8272" t="s">
        <v>3954</v>
      </c>
    </row>
    <row r="8273" spans="1:1" x14ac:dyDescent="0.25">
      <c r="A8273" t="s">
        <v>3955</v>
      </c>
    </row>
    <row r="8274" spans="1:1" x14ac:dyDescent="0.25">
      <c r="A8274" t="s">
        <v>3956</v>
      </c>
    </row>
    <row r="8275" spans="1:1" x14ac:dyDescent="0.25">
      <c r="A8275" t="s">
        <v>3957</v>
      </c>
    </row>
    <row r="8276" spans="1:1" x14ac:dyDescent="0.25">
      <c r="A8276" t="s">
        <v>3958</v>
      </c>
    </row>
    <row r="8277" spans="1:1" x14ac:dyDescent="0.25">
      <c r="A8277" t="s">
        <v>3959</v>
      </c>
    </row>
    <row r="8278" spans="1:1" x14ac:dyDescent="0.25">
      <c r="A8278" t="s">
        <v>3960</v>
      </c>
    </row>
    <row r="8279" spans="1:1" x14ac:dyDescent="0.25">
      <c r="A8279" t="s">
        <v>3961</v>
      </c>
    </row>
    <row r="8280" spans="1:1" x14ac:dyDescent="0.25">
      <c r="A8280" t="s">
        <v>3961</v>
      </c>
    </row>
    <row r="8281" spans="1:1" x14ac:dyDescent="0.25">
      <c r="A8281" t="s">
        <v>3962</v>
      </c>
    </row>
    <row r="8282" spans="1:1" x14ac:dyDescent="0.25">
      <c r="A8282" t="s">
        <v>3962</v>
      </c>
    </row>
    <row r="8283" spans="1:1" x14ac:dyDescent="0.25">
      <c r="A8283" t="s">
        <v>3963</v>
      </c>
    </row>
    <row r="8284" spans="1:1" x14ac:dyDescent="0.25">
      <c r="A8284" t="s">
        <v>3963</v>
      </c>
    </row>
    <row r="8285" spans="1:1" x14ac:dyDescent="0.25">
      <c r="A8285" t="s">
        <v>3964</v>
      </c>
    </row>
    <row r="8286" spans="1:1" x14ac:dyDescent="0.25">
      <c r="A8286" t="s">
        <v>3939</v>
      </c>
    </row>
    <row r="8287" spans="1:1" x14ac:dyDescent="0.25">
      <c r="A8287" t="s">
        <v>3940</v>
      </c>
    </row>
    <row r="8288" spans="1:1" x14ac:dyDescent="0.25">
      <c r="A8288" t="s">
        <v>2713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017E5E-93D8-45CA-B251-745CCDBD062E}">
  <sheetPr codeName="Sheet8"/>
  <dimension ref="A1:B131"/>
  <sheetViews>
    <sheetView workbookViewId="0">
      <selection activeCell="A24" sqref="A24"/>
    </sheetView>
  </sheetViews>
  <sheetFormatPr defaultRowHeight="15" x14ac:dyDescent="0.25"/>
  <cols>
    <col min="1" max="1" width="52.42578125" bestFit="1" customWidth="1"/>
    <col min="2" max="2" width="31.140625" bestFit="1" customWidth="1"/>
  </cols>
  <sheetData>
    <row r="1" spans="1:2" x14ac:dyDescent="0.25">
      <c r="A1" t="s">
        <v>2363</v>
      </c>
      <c r="B1" t="s">
        <v>1552</v>
      </c>
    </row>
    <row r="2" spans="1:2" x14ac:dyDescent="0.25">
      <c r="A2" t="s">
        <v>2364</v>
      </c>
      <c r="B2" t="s">
        <v>1518</v>
      </c>
    </row>
    <row r="3" spans="1:2" x14ac:dyDescent="0.25">
      <c r="A3" t="s">
        <v>2365</v>
      </c>
      <c r="B3" t="s">
        <v>1760</v>
      </c>
    </row>
    <row r="4" spans="1:2" x14ac:dyDescent="0.25">
      <c r="A4" t="s">
        <v>2366</v>
      </c>
      <c r="B4">
        <v>49991646</v>
      </c>
    </row>
    <row r="5" spans="1:2" x14ac:dyDescent="0.25">
      <c r="A5" t="s">
        <v>2367</v>
      </c>
      <c r="B5" t="s">
        <v>1837</v>
      </c>
    </row>
    <row r="6" spans="1:2" x14ac:dyDescent="0.25">
      <c r="A6" t="s">
        <v>2368</v>
      </c>
      <c r="B6" t="s">
        <v>1827</v>
      </c>
    </row>
    <row r="7" spans="1:2" x14ac:dyDescent="0.25">
      <c r="A7" t="s">
        <v>2369</v>
      </c>
      <c r="B7" t="s">
        <v>1566</v>
      </c>
    </row>
    <row r="8" spans="1:2" x14ac:dyDescent="0.25">
      <c r="A8" t="s">
        <v>2370</v>
      </c>
      <c r="B8">
        <v>62623960</v>
      </c>
    </row>
    <row r="9" spans="1:2" x14ac:dyDescent="0.25">
      <c r="A9" t="s">
        <v>2371</v>
      </c>
      <c r="B9" t="s">
        <v>2223</v>
      </c>
    </row>
    <row r="10" spans="1:2" x14ac:dyDescent="0.25">
      <c r="A10" t="s">
        <v>2372</v>
      </c>
      <c r="B10" t="s">
        <v>1805</v>
      </c>
    </row>
    <row r="11" spans="1:2" x14ac:dyDescent="0.25">
      <c r="A11" t="s">
        <v>2373</v>
      </c>
      <c r="B11" t="s">
        <v>1791</v>
      </c>
    </row>
    <row r="12" spans="1:2" x14ac:dyDescent="0.25">
      <c r="A12" t="s">
        <v>2374</v>
      </c>
      <c r="B12">
        <v>424799820</v>
      </c>
    </row>
    <row r="13" spans="1:2" x14ac:dyDescent="0.25">
      <c r="A13" t="s">
        <v>2375</v>
      </c>
      <c r="B13" t="s">
        <v>2376</v>
      </c>
    </row>
    <row r="14" spans="1:2" x14ac:dyDescent="0.25">
      <c r="A14" t="s">
        <v>2377</v>
      </c>
      <c r="B14">
        <v>170366768</v>
      </c>
    </row>
    <row r="15" spans="1:2" x14ac:dyDescent="0.25">
      <c r="A15" t="s">
        <v>2378</v>
      </c>
      <c r="B15" t="s">
        <v>2051</v>
      </c>
    </row>
    <row r="16" spans="1:2" x14ac:dyDescent="0.25">
      <c r="A16" t="s">
        <v>2379</v>
      </c>
      <c r="B16" t="s">
        <v>1563</v>
      </c>
    </row>
    <row r="17" spans="1:2" x14ac:dyDescent="0.25">
      <c r="A17" t="s">
        <v>2380</v>
      </c>
      <c r="B17" t="s">
        <v>1453</v>
      </c>
    </row>
    <row r="18" spans="1:2" x14ac:dyDescent="0.25">
      <c r="A18" t="s">
        <v>2381</v>
      </c>
      <c r="B18" t="s">
        <v>2382</v>
      </c>
    </row>
    <row r="19" spans="1:2" x14ac:dyDescent="0.25">
      <c r="A19" t="s">
        <v>2383</v>
      </c>
      <c r="B19" t="s">
        <v>2077</v>
      </c>
    </row>
    <row r="20" spans="1:2" x14ac:dyDescent="0.25">
      <c r="A20" t="s">
        <v>2384</v>
      </c>
      <c r="B20" t="s">
        <v>2385</v>
      </c>
    </row>
    <row r="21" spans="1:2" x14ac:dyDescent="0.25">
      <c r="A21" t="s">
        <v>2386</v>
      </c>
      <c r="B21" t="s">
        <v>2387</v>
      </c>
    </row>
    <row r="22" spans="1:2" x14ac:dyDescent="0.25">
      <c r="A22" t="s">
        <v>2388</v>
      </c>
      <c r="B22" t="s">
        <v>2022</v>
      </c>
    </row>
    <row r="23" spans="1:2" x14ac:dyDescent="0.25">
      <c r="A23" t="s">
        <v>2389</v>
      </c>
      <c r="B23">
        <v>12176631</v>
      </c>
    </row>
    <row r="24" spans="1:2" x14ac:dyDescent="0.25">
      <c r="A24" t="s">
        <v>2390</v>
      </c>
      <c r="B24">
        <v>193881737</v>
      </c>
    </row>
    <row r="25" spans="1:2" x14ac:dyDescent="0.25">
      <c r="A25" t="s">
        <v>2391</v>
      </c>
      <c r="B25">
        <v>170366766</v>
      </c>
    </row>
    <row r="26" spans="1:2" x14ac:dyDescent="0.25">
      <c r="A26" t="s">
        <v>2392</v>
      </c>
      <c r="B26">
        <v>12173391</v>
      </c>
    </row>
    <row r="27" spans="1:2" x14ac:dyDescent="0.25">
      <c r="A27" t="s">
        <v>2393</v>
      </c>
      <c r="B27" t="s">
        <v>2394</v>
      </c>
    </row>
    <row r="28" spans="1:2" x14ac:dyDescent="0.25">
      <c r="A28" t="s">
        <v>2395</v>
      </c>
      <c r="B28" t="s">
        <v>2054</v>
      </c>
    </row>
    <row r="29" spans="1:2" x14ac:dyDescent="0.25">
      <c r="A29" t="s">
        <v>2396</v>
      </c>
      <c r="B29" t="s">
        <v>1539</v>
      </c>
    </row>
    <row r="30" spans="1:2" x14ac:dyDescent="0.25">
      <c r="A30" t="s">
        <v>2397</v>
      </c>
      <c r="B30">
        <v>262962062</v>
      </c>
    </row>
    <row r="31" spans="1:2" x14ac:dyDescent="0.25">
      <c r="A31" t="s">
        <v>2398</v>
      </c>
      <c r="B31" t="s">
        <v>1748</v>
      </c>
    </row>
    <row r="32" spans="1:2" x14ac:dyDescent="0.25">
      <c r="A32" t="s">
        <v>2399</v>
      </c>
      <c r="B32" t="s">
        <v>1976</v>
      </c>
    </row>
    <row r="33" spans="1:2" x14ac:dyDescent="0.25">
      <c r="A33" t="s">
        <v>2400</v>
      </c>
      <c r="B33">
        <v>12112003</v>
      </c>
    </row>
    <row r="34" spans="1:2" x14ac:dyDescent="0.25">
      <c r="A34" t="s">
        <v>2401</v>
      </c>
      <c r="B34" t="s">
        <v>2080</v>
      </c>
    </row>
    <row r="35" spans="1:2" x14ac:dyDescent="0.25">
      <c r="A35" t="s">
        <v>2402</v>
      </c>
      <c r="B35" s="1" t="s">
        <v>2079</v>
      </c>
    </row>
    <row r="36" spans="1:2" x14ac:dyDescent="0.25">
      <c r="A36" t="s">
        <v>2403</v>
      </c>
      <c r="B36" t="s">
        <v>2040</v>
      </c>
    </row>
    <row r="37" spans="1:2" x14ac:dyDescent="0.25">
      <c r="A37" t="s">
        <v>2404</v>
      </c>
      <c r="B37" t="s">
        <v>1507</v>
      </c>
    </row>
    <row r="38" spans="1:2" x14ac:dyDescent="0.25">
      <c r="A38" t="s">
        <v>2405</v>
      </c>
      <c r="B38" t="s">
        <v>1460</v>
      </c>
    </row>
    <row r="39" spans="1:2" x14ac:dyDescent="0.25">
      <c r="A39" t="s">
        <v>2511</v>
      </c>
      <c r="B39" t="s">
        <v>2512</v>
      </c>
    </row>
    <row r="40" spans="1:2" x14ac:dyDescent="0.25">
      <c r="A40" t="s">
        <v>2406</v>
      </c>
      <c r="B40" t="s">
        <v>2198</v>
      </c>
    </row>
    <row r="41" spans="1:2" x14ac:dyDescent="0.25">
      <c r="A41" t="s">
        <v>2407</v>
      </c>
      <c r="B41" t="s">
        <v>1741</v>
      </c>
    </row>
    <row r="42" spans="1:2" x14ac:dyDescent="0.25">
      <c r="A42" t="s">
        <v>2408</v>
      </c>
      <c r="B42" t="s">
        <v>1972</v>
      </c>
    </row>
    <row r="43" spans="1:2" x14ac:dyDescent="0.25">
      <c r="A43" t="s">
        <v>2409</v>
      </c>
      <c r="B43" t="s">
        <v>1506</v>
      </c>
    </row>
    <row r="44" spans="1:2" x14ac:dyDescent="0.25">
      <c r="A44" t="s">
        <v>2410</v>
      </c>
      <c r="B44" t="s">
        <v>1915</v>
      </c>
    </row>
    <row r="45" spans="1:2" x14ac:dyDescent="0.25">
      <c r="A45" t="s">
        <v>2411</v>
      </c>
      <c r="B45" t="s">
        <v>2412</v>
      </c>
    </row>
    <row r="46" spans="1:2" x14ac:dyDescent="0.25">
      <c r="A46" t="s">
        <v>2413</v>
      </c>
      <c r="B46" t="s">
        <v>2158</v>
      </c>
    </row>
    <row r="47" spans="1:2" x14ac:dyDescent="0.25">
      <c r="A47" t="s">
        <v>2414</v>
      </c>
      <c r="B47" t="s">
        <v>2078</v>
      </c>
    </row>
    <row r="48" spans="1:2" x14ac:dyDescent="0.25">
      <c r="A48" t="s">
        <v>2415</v>
      </c>
      <c r="B48" t="s">
        <v>2416</v>
      </c>
    </row>
    <row r="49" spans="1:2" x14ac:dyDescent="0.25">
      <c r="A49" t="s">
        <v>2417</v>
      </c>
      <c r="B49" t="s">
        <v>1908</v>
      </c>
    </row>
    <row r="50" spans="1:2" x14ac:dyDescent="0.25">
      <c r="A50" t="s">
        <v>2418</v>
      </c>
      <c r="B50" t="s">
        <v>1900</v>
      </c>
    </row>
    <row r="51" spans="1:2" x14ac:dyDescent="0.25">
      <c r="A51" t="s">
        <v>2419</v>
      </c>
      <c r="B51" t="s">
        <v>2174</v>
      </c>
    </row>
    <row r="52" spans="1:2" x14ac:dyDescent="0.25">
      <c r="A52" t="s">
        <v>2420</v>
      </c>
      <c r="B52" t="s">
        <v>2166</v>
      </c>
    </row>
    <row r="53" spans="1:2" x14ac:dyDescent="0.25">
      <c r="A53" t="s">
        <v>2421</v>
      </c>
      <c r="B53" t="s">
        <v>1940</v>
      </c>
    </row>
    <row r="54" spans="1:2" x14ac:dyDescent="0.25">
      <c r="A54" t="s">
        <v>2422</v>
      </c>
      <c r="B54" t="s">
        <v>1803</v>
      </c>
    </row>
    <row r="55" spans="1:2" x14ac:dyDescent="0.25">
      <c r="A55" t="s">
        <v>2423</v>
      </c>
      <c r="B55" t="s">
        <v>1666</v>
      </c>
    </row>
    <row r="56" spans="1:2" x14ac:dyDescent="0.25">
      <c r="A56" t="s">
        <v>2424</v>
      </c>
      <c r="B56" t="s">
        <v>1790</v>
      </c>
    </row>
    <row r="57" spans="1:2" x14ac:dyDescent="0.25">
      <c r="A57" t="s">
        <v>2425</v>
      </c>
      <c r="B57" t="s">
        <v>1948</v>
      </c>
    </row>
    <row r="58" spans="1:2" x14ac:dyDescent="0.25">
      <c r="A58" t="s">
        <v>2426</v>
      </c>
      <c r="B58" t="s">
        <v>2289</v>
      </c>
    </row>
    <row r="59" spans="1:2" x14ac:dyDescent="0.25">
      <c r="A59" t="s">
        <v>2427</v>
      </c>
      <c r="B59" t="s">
        <v>2428</v>
      </c>
    </row>
    <row r="60" spans="1:2" x14ac:dyDescent="0.25">
      <c r="A60" t="s">
        <v>2429</v>
      </c>
      <c r="B60" t="s">
        <v>2010</v>
      </c>
    </row>
    <row r="61" spans="1:2" x14ac:dyDescent="0.25">
      <c r="A61" t="s">
        <v>2430</v>
      </c>
      <c r="B61" t="s">
        <v>1663</v>
      </c>
    </row>
    <row r="62" spans="1:2" x14ac:dyDescent="0.25">
      <c r="A62" t="s">
        <v>2431</v>
      </c>
      <c r="B62" t="s">
        <v>2279</v>
      </c>
    </row>
    <row r="63" spans="1:2" x14ac:dyDescent="0.25">
      <c r="A63" t="s">
        <v>2432</v>
      </c>
      <c r="B63">
        <v>386995469</v>
      </c>
    </row>
    <row r="64" spans="1:2" x14ac:dyDescent="0.25">
      <c r="A64" t="s">
        <v>2433</v>
      </c>
      <c r="B64" t="s">
        <v>2231</v>
      </c>
    </row>
    <row r="65" spans="1:2" x14ac:dyDescent="0.25">
      <c r="A65" t="s">
        <v>2434</v>
      </c>
      <c r="B65" t="s">
        <v>2201</v>
      </c>
    </row>
    <row r="66" spans="1:2" x14ac:dyDescent="0.25">
      <c r="A66" t="s">
        <v>2435</v>
      </c>
      <c r="B66" t="s">
        <v>2041</v>
      </c>
    </row>
    <row r="67" spans="1:2" x14ac:dyDescent="0.25">
      <c r="A67" t="s">
        <v>2436</v>
      </c>
      <c r="B67" t="s">
        <v>2513</v>
      </c>
    </row>
    <row r="68" spans="1:2" x14ac:dyDescent="0.25">
      <c r="A68" t="s">
        <v>2437</v>
      </c>
      <c r="B68" t="s">
        <v>1818</v>
      </c>
    </row>
    <row r="69" spans="1:2" x14ac:dyDescent="0.25">
      <c r="A69" t="s">
        <v>2438</v>
      </c>
      <c r="B69">
        <v>121643863</v>
      </c>
    </row>
    <row r="70" spans="1:2" x14ac:dyDescent="0.25">
      <c r="A70" t="s">
        <v>2439</v>
      </c>
      <c r="B70">
        <v>30953315</v>
      </c>
    </row>
    <row r="71" spans="1:2" x14ac:dyDescent="0.25">
      <c r="A71" t="s">
        <v>2440</v>
      </c>
      <c r="B71">
        <v>12158873</v>
      </c>
    </row>
    <row r="72" spans="1:2" x14ac:dyDescent="0.25">
      <c r="A72" t="s">
        <v>2441</v>
      </c>
      <c r="B72" t="s">
        <v>1515</v>
      </c>
    </row>
    <row r="73" spans="1:2" x14ac:dyDescent="0.25">
      <c r="A73" t="s">
        <v>2442</v>
      </c>
      <c r="B73" t="s">
        <v>1742</v>
      </c>
    </row>
    <row r="74" spans="1:2" x14ac:dyDescent="0.25">
      <c r="A74" t="s">
        <v>2443</v>
      </c>
      <c r="B74" t="s">
        <v>1746</v>
      </c>
    </row>
    <row r="75" spans="1:2" x14ac:dyDescent="0.25">
      <c r="A75" t="s">
        <v>2444</v>
      </c>
      <c r="B75">
        <v>62203154</v>
      </c>
    </row>
    <row r="76" spans="1:2" x14ac:dyDescent="0.25">
      <c r="A76" t="s">
        <v>2445</v>
      </c>
      <c r="B76" t="s">
        <v>1994</v>
      </c>
    </row>
    <row r="77" spans="1:2" x14ac:dyDescent="0.25">
      <c r="A77" t="s">
        <v>2446</v>
      </c>
      <c r="B77" t="s">
        <v>2447</v>
      </c>
    </row>
    <row r="78" spans="1:2" x14ac:dyDescent="0.25">
      <c r="A78" t="s">
        <v>2448</v>
      </c>
      <c r="B78" t="s">
        <v>1935</v>
      </c>
    </row>
    <row r="79" spans="1:2" x14ac:dyDescent="0.25">
      <c r="A79" t="s">
        <v>2449</v>
      </c>
      <c r="B79" t="s">
        <v>1940</v>
      </c>
    </row>
    <row r="80" spans="1:2" x14ac:dyDescent="0.25">
      <c r="A80" t="s">
        <v>2450</v>
      </c>
      <c r="B80" t="s">
        <v>2269</v>
      </c>
    </row>
    <row r="81" spans="1:2" x14ac:dyDescent="0.25">
      <c r="A81" t="s">
        <v>2451</v>
      </c>
      <c r="B81">
        <v>-450827381</v>
      </c>
    </row>
    <row r="82" spans="1:2" x14ac:dyDescent="0.25">
      <c r="A82" t="s">
        <v>2452</v>
      </c>
      <c r="B82">
        <v>104524028</v>
      </c>
    </row>
    <row r="83" spans="1:2" x14ac:dyDescent="0.25">
      <c r="A83" t="s">
        <v>2453</v>
      </c>
      <c r="B83" t="s">
        <v>1880</v>
      </c>
    </row>
    <row r="84" spans="1:2" x14ac:dyDescent="0.25">
      <c r="A84" t="s">
        <v>2454</v>
      </c>
      <c r="B84" t="s">
        <v>2205</v>
      </c>
    </row>
    <row r="85" spans="1:2" x14ac:dyDescent="0.25">
      <c r="A85" t="s">
        <v>2455</v>
      </c>
      <c r="B85">
        <v>-424081473</v>
      </c>
    </row>
    <row r="86" spans="1:2" x14ac:dyDescent="0.25">
      <c r="A86" t="s">
        <v>2456</v>
      </c>
      <c r="B86">
        <v>30953012</v>
      </c>
    </row>
    <row r="87" spans="1:2" x14ac:dyDescent="0.25">
      <c r="A87" t="s">
        <v>2457</v>
      </c>
      <c r="B87">
        <v>424081475</v>
      </c>
    </row>
    <row r="88" spans="1:2" x14ac:dyDescent="0.25">
      <c r="A88" t="s">
        <v>2458</v>
      </c>
      <c r="B88" t="s">
        <v>1555</v>
      </c>
    </row>
    <row r="89" spans="1:2" x14ac:dyDescent="0.25">
      <c r="A89" t="s">
        <v>2459</v>
      </c>
      <c r="B89" t="s">
        <v>1528</v>
      </c>
    </row>
    <row r="90" spans="1:2" x14ac:dyDescent="0.25">
      <c r="A90" t="s">
        <v>2460</v>
      </c>
      <c r="B90" t="s">
        <v>1503</v>
      </c>
    </row>
    <row r="91" spans="1:2" x14ac:dyDescent="0.25">
      <c r="A91" t="s">
        <v>2461</v>
      </c>
      <c r="B91" t="s">
        <v>2462</v>
      </c>
    </row>
    <row r="92" spans="1:2" x14ac:dyDescent="0.25">
      <c r="A92" t="s">
        <v>2463</v>
      </c>
      <c r="B92">
        <v>-132508530</v>
      </c>
    </row>
    <row r="93" spans="1:2" x14ac:dyDescent="0.25">
      <c r="A93" t="s">
        <v>2464</v>
      </c>
      <c r="B93" t="s">
        <v>2196</v>
      </c>
    </row>
    <row r="94" spans="1:2" x14ac:dyDescent="0.25">
      <c r="A94" t="s">
        <v>2465</v>
      </c>
      <c r="B94" t="s">
        <v>1636</v>
      </c>
    </row>
    <row r="95" spans="1:2" x14ac:dyDescent="0.25">
      <c r="A95" t="s">
        <v>2466</v>
      </c>
      <c r="B95" t="s">
        <v>2257</v>
      </c>
    </row>
    <row r="96" spans="1:2" x14ac:dyDescent="0.25">
      <c r="A96" t="s">
        <v>2467</v>
      </c>
      <c r="B96">
        <v>104526277</v>
      </c>
    </row>
    <row r="97" spans="1:2" x14ac:dyDescent="0.25">
      <c r="A97" t="s">
        <v>2468</v>
      </c>
      <c r="B97" t="s">
        <v>1440</v>
      </c>
    </row>
    <row r="98" spans="1:2" x14ac:dyDescent="0.25">
      <c r="A98" t="s">
        <v>2469</v>
      </c>
      <c r="B98" t="s">
        <v>2470</v>
      </c>
    </row>
    <row r="99" spans="1:2" x14ac:dyDescent="0.25">
      <c r="A99" t="s">
        <v>2471</v>
      </c>
      <c r="B99">
        <v>30953320</v>
      </c>
    </row>
    <row r="100" spans="1:2" x14ac:dyDescent="0.25">
      <c r="A100" t="s">
        <v>2472</v>
      </c>
      <c r="B100" t="s">
        <v>1566</v>
      </c>
    </row>
    <row r="101" spans="1:2" x14ac:dyDescent="0.25">
      <c r="A101" t="s">
        <v>2473</v>
      </c>
      <c r="B101">
        <v>104524021</v>
      </c>
    </row>
    <row r="102" spans="1:2" x14ac:dyDescent="0.25">
      <c r="A102" t="s">
        <v>2474</v>
      </c>
      <c r="B102" t="s">
        <v>2222</v>
      </c>
    </row>
    <row r="103" spans="1:2" x14ac:dyDescent="0.25">
      <c r="A103" t="s">
        <v>2475</v>
      </c>
      <c r="B103" t="s">
        <v>1807</v>
      </c>
    </row>
    <row r="104" spans="1:2" x14ac:dyDescent="0.25">
      <c r="A104" t="s">
        <v>2476</v>
      </c>
      <c r="B104">
        <v>30908387</v>
      </c>
    </row>
    <row r="105" spans="1:2" x14ac:dyDescent="0.25">
      <c r="A105" t="s">
        <v>2477</v>
      </c>
      <c r="B105" t="s">
        <v>1942</v>
      </c>
    </row>
    <row r="106" spans="1:2" x14ac:dyDescent="0.25">
      <c r="A106" t="s">
        <v>2478</v>
      </c>
      <c r="B106" t="s">
        <v>1509</v>
      </c>
    </row>
    <row r="107" spans="1:2" x14ac:dyDescent="0.25">
      <c r="A107" t="s">
        <v>2479</v>
      </c>
      <c r="B107" t="s">
        <v>1463</v>
      </c>
    </row>
    <row r="108" spans="1:2" x14ac:dyDescent="0.25">
      <c r="A108" t="s">
        <v>2480</v>
      </c>
      <c r="B108">
        <v>-424769006</v>
      </c>
    </row>
    <row r="109" spans="1:2" x14ac:dyDescent="0.25">
      <c r="A109" t="s">
        <v>2481</v>
      </c>
      <c r="B109" t="s">
        <v>2161</v>
      </c>
    </row>
    <row r="110" spans="1:2" x14ac:dyDescent="0.25">
      <c r="A110" t="s">
        <v>2482</v>
      </c>
      <c r="B110" t="s">
        <v>1574</v>
      </c>
    </row>
    <row r="111" spans="1:2" x14ac:dyDescent="0.25">
      <c r="A111" t="s">
        <v>2483</v>
      </c>
      <c r="B111" t="s">
        <v>1568</v>
      </c>
    </row>
    <row r="112" spans="1:2" x14ac:dyDescent="0.25">
      <c r="A112" t="s">
        <v>2484</v>
      </c>
      <c r="B112" s="1" t="s">
        <v>1694</v>
      </c>
    </row>
    <row r="113" spans="1:2" x14ac:dyDescent="0.25">
      <c r="A113" t="s">
        <v>2485</v>
      </c>
      <c r="B113" t="s">
        <v>2486</v>
      </c>
    </row>
    <row r="114" spans="1:2" x14ac:dyDescent="0.25">
      <c r="A114" t="s">
        <v>2487</v>
      </c>
      <c r="B114" t="s">
        <v>1576</v>
      </c>
    </row>
    <row r="115" spans="1:2" x14ac:dyDescent="0.25">
      <c r="A115" t="s">
        <v>2488</v>
      </c>
      <c r="B115" t="s">
        <v>1562</v>
      </c>
    </row>
    <row r="116" spans="1:2" x14ac:dyDescent="0.25">
      <c r="A116" t="s">
        <v>2489</v>
      </c>
      <c r="B116">
        <v>43331031</v>
      </c>
    </row>
    <row r="117" spans="1:2" x14ac:dyDescent="0.25">
      <c r="A117" t="s">
        <v>2490</v>
      </c>
      <c r="B117">
        <v>62203066</v>
      </c>
    </row>
    <row r="118" spans="1:2" x14ac:dyDescent="0.25">
      <c r="A118" t="s">
        <v>2491</v>
      </c>
      <c r="B118" s="1" t="s">
        <v>1425</v>
      </c>
    </row>
    <row r="119" spans="1:2" x14ac:dyDescent="0.25">
      <c r="A119" t="s">
        <v>2492</v>
      </c>
      <c r="B119" t="s">
        <v>1786</v>
      </c>
    </row>
    <row r="120" spans="1:2" x14ac:dyDescent="0.25">
      <c r="A120" t="s">
        <v>2493</v>
      </c>
      <c r="B120">
        <v>31909473</v>
      </c>
    </row>
    <row r="121" spans="1:2" x14ac:dyDescent="0.25">
      <c r="A121" t="s">
        <v>2494</v>
      </c>
      <c r="B121" t="s">
        <v>1824</v>
      </c>
    </row>
    <row r="122" spans="1:2" x14ac:dyDescent="0.25">
      <c r="A122" t="s">
        <v>2495</v>
      </c>
      <c r="B122" t="s">
        <v>1878</v>
      </c>
    </row>
    <row r="123" spans="1:2" x14ac:dyDescent="0.25">
      <c r="A123" t="s">
        <v>2496</v>
      </c>
      <c r="B123" t="s">
        <v>2497</v>
      </c>
    </row>
    <row r="124" spans="1:2" x14ac:dyDescent="0.25">
      <c r="A124" t="s">
        <v>2498</v>
      </c>
      <c r="B124" t="s">
        <v>2499</v>
      </c>
    </row>
    <row r="125" spans="1:2" x14ac:dyDescent="0.25">
      <c r="A125" t="s">
        <v>2500</v>
      </c>
      <c r="B125" t="s">
        <v>2501</v>
      </c>
    </row>
    <row r="126" spans="1:2" x14ac:dyDescent="0.25">
      <c r="A126" t="s">
        <v>2502</v>
      </c>
      <c r="B126" t="s">
        <v>2514</v>
      </c>
    </row>
    <row r="127" spans="1:2" x14ac:dyDescent="0.25">
      <c r="A127" t="s">
        <v>2503</v>
      </c>
      <c r="B127" t="s">
        <v>1455</v>
      </c>
    </row>
    <row r="128" spans="1:2" x14ac:dyDescent="0.25">
      <c r="A128" t="s">
        <v>2504</v>
      </c>
      <c r="B128">
        <v>-30953391</v>
      </c>
    </row>
    <row r="129" spans="1:2" x14ac:dyDescent="0.25">
      <c r="A129" t="s">
        <v>2505</v>
      </c>
      <c r="B129">
        <v>30953391</v>
      </c>
    </row>
    <row r="130" spans="1:2" x14ac:dyDescent="0.25">
      <c r="A130" t="s">
        <v>2506</v>
      </c>
      <c r="B130">
        <v>424769005</v>
      </c>
    </row>
    <row r="131" spans="1:2" x14ac:dyDescent="0.25">
      <c r="A131" t="s">
        <v>2507</v>
      </c>
      <c r="B131" t="s">
        <v>1446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0E3C34-C55A-40D9-BA3E-9E107C71B984}">
  <sheetPr codeName="Sheet4"/>
  <dimension ref="A1:F169"/>
  <sheetViews>
    <sheetView topLeftCell="A15" workbookViewId="0">
      <selection activeCell="E169" sqref="E169"/>
    </sheetView>
  </sheetViews>
  <sheetFormatPr defaultRowHeight="15" x14ac:dyDescent="0.25"/>
  <cols>
    <col min="5" max="5" width="76.140625" customWidth="1"/>
  </cols>
  <sheetData>
    <row r="1" spans="1:6" ht="15.75" thickBot="1" x14ac:dyDescent="0.3">
      <c r="A1" s="6" t="s">
        <v>969</v>
      </c>
      <c r="B1" s="6" t="s">
        <v>972</v>
      </c>
      <c r="C1" s="6" t="s">
        <v>970</v>
      </c>
      <c r="D1" s="6" t="s">
        <v>971</v>
      </c>
      <c r="E1" s="6" t="s">
        <v>1422</v>
      </c>
      <c r="F1" s="8" t="s">
        <v>1423</v>
      </c>
    </row>
    <row r="2" spans="1:6" ht="15.75" thickTop="1" x14ac:dyDescent="0.25"/>
    <row r="3" spans="1:6" x14ac:dyDescent="0.25">
      <c r="B3" s="5" t="s">
        <v>1256</v>
      </c>
      <c r="D3" s="7" t="str">
        <f>_xlfn.CONCAT("-o ",LEFT(B3,LEN(B3)-4),".png")</f>
        <v>-o Flowrouter-3-Router3_1.png</v>
      </c>
      <c r="E3" s="9" t="str">
        <f>_xlfn.CONCAT($A$1,$B$1,B3,$C$1,D3,$E$1,LEFT(RIGHT(B3,LEN(B3)-13),LEN(RIGHT(B3,LEN(B3)-13))-4),$F$1)</f>
        <v>python C:\Sumo\SUMO-0.31.0\sumo-0.31.0\tools\visualization\plot_net_selection.py -n C:\Users\Biko\Dropbox\PhD\Research\Models\SUMO\SUMO_DropBox\Run-Files-Dropbox\W_Philly_OSM_Clipped-9.1-DB.net.xml -i C:\Sumo\runs\West_Philly\DFROUTER-output\Flow_Router_text_Files\Flowrouter-3-Router3_1.txt --xlabel [m] --ylabel [m] --xticks 2252.80,6549.77,1000,16 --yticks 1956.49,6600,1000,16 --selected-width 1 --edge-width .5 -o Flowrouter-3-Router3_1.png --edge-color #606060 --selected-color #800000 --title "Router3_1" /</v>
      </c>
    </row>
    <row r="4" spans="1:6" x14ac:dyDescent="0.25">
      <c r="B4" s="5" t="s">
        <v>1257</v>
      </c>
      <c r="D4" s="7" t="str">
        <f t="shared" ref="D4:D67" si="0">_xlfn.CONCAT("-o ",LEFT(B4,LEN(B4)-4),".png")</f>
        <v>-o Flowrouter-3-Router3_10.png</v>
      </c>
      <c r="E4" s="9" t="str">
        <f t="shared" ref="E4:E67" si="1">_xlfn.CONCAT($A$1,$B$1,B4,$C$1,D4,$E$1,LEFT(RIGHT(B4,LEN(B4)-13),LEN(RIGHT(B4,LEN(B4)-13))-4),$F$1)</f>
        <v>python C:\Sumo\SUMO-0.31.0\sumo-0.31.0\tools\visualization\plot_net_selection.py -n C:\Users\Biko\Dropbox\PhD\Research\Models\SUMO\SUMO_DropBox\Run-Files-Dropbox\W_Philly_OSM_Clipped-9.1-DB.net.xml -i C:\Sumo\runs\West_Philly\DFROUTER-output\Flow_Router_text_Files\Flowrouter-3-Router3_10.txt --xlabel [m] --ylabel [m] --xticks 2252.80,6549.77,1000,16 --yticks 1956.49,6600,1000,16 --selected-width 1 --edge-width .5 -o Flowrouter-3-Router3_10.png --edge-color #606060 --selected-color #800000 --title "Router3_10" /</v>
      </c>
    </row>
    <row r="5" spans="1:6" x14ac:dyDescent="0.25">
      <c r="B5" s="5" t="s">
        <v>1258</v>
      </c>
      <c r="D5" s="7" t="str">
        <f t="shared" si="0"/>
        <v>-o Flowrouter-3-Router3_100.png</v>
      </c>
      <c r="E5" s="9" t="str">
        <f t="shared" si="1"/>
        <v>python C:\Sumo\SUMO-0.31.0\sumo-0.31.0\tools\visualization\plot_net_selection.py -n C:\Users\Biko\Dropbox\PhD\Research\Models\SUMO\SUMO_DropBox\Run-Files-Dropbox\W_Philly_OSM_Clipped-9.1-DB.net.xml -i C:\Sumo\runs\West_Philly\DFROUTER-output\Flow_Router_text_Files\Flowrouter-3-Router3_100.txt --xlabel [m] --ylabel [m] --xticks 2252.80,6549.77,1000,16 --yticks 1956.49,6600,1000,16 --selected-width 1 --edge-width .5 -o Flowrouter-3-Router3_100.png --edge-color #606060 --selected-color #800000 --title "Router3_100" /</v>
      </c>
    </row>
    <row r="6" spans="1:6" x14ac:dyDescent="0.25">
      <c r="B6" s="5" t="s">
        <v>1259</v>
      </c>
      <c r="D6" s="7" t="str">
        <f t="shared" si="0"/>
        <v>-o Flowrouter-3-Router3_101.png</v>
      </c>
      <c r="E6" s="9" t="str">
        <f t="shared" si="1"/>
        <v>python C:\Sumo\SUMO-0.31.0\sumo-0.31.0\tools\visualization\plot_net_selection.py -n C:\Users\Biko\Dropbox\PhD\Research\Models\SUMO\SUMO_DropBox\Run-Files-Dropbox\W_Philly_OSM_Clipped-9.1-DB.net.xml -i C:\Sumo\runs\West_Philly\DFROUTER-output\Flow_Router_text_Files\Flowrouter-3-Router3_101.txt --xlabel [m] --ylabel [m] --xticks 2252.80,6549.77,1000,16 --yticks 1956.49,6600,1000,16 --selected-width 1 --edge-width .5 -o Flowrouter-3-Router3_101.png --edge-color #606060 --selected-color #800000 --title "Router3_101" /</v>
      </c>
    </row>
    <row r="7" spans="1:6" x14ac:dyDescent="0.25">
      <c r="B7" s="5" t="s">
        <v>1260</v>
      </c>
      <c r="D7" s="7" t="str">
        <f t="shared" si="0"/>
        <v>-o Flowrouter-3-Router3_102.png</v>
      </c>
      <c r="E7" s="9" t="str">
        <f t="shared" si="1"/>
        <v>python C:\Sumo\SUMO-0.31.0\sumo-0.31.0\tools\visualization\plot_net_selection.py -n C:\Users\Biko\Dropbox\PhD\Research\Models\SUMO\SUMO_DropBox\Run-Files-Dropbox\W_Philly_OSM_Clipped-9.1-DB.net.xml -i C:\Sumo\runs\West_Philly\DFROUTER-output\Flow_Router_text_Files\Flowrouter-3-Router3_102.txt --xlabel [m] --ylabel [m] --xticks 2252.80,6549.77,1000,16 --yticks 1956.49,6600,1000,16 --selected-width 1 --edge-width .5 -o Flowrouter-3-Router3_102.png --edge-color #606060 --selected-color #800000 --title "Router3_102" /</v>
      </c>
    </row>
    <row r="8" spans="1:6" x14ac:dyDescent="0.25">
      <c r="B8" s="5" t="s">
        <v>1261</v>
      </c>
      <c r="D8" s="7" t="str">
        <f t="shared" si="0"/>
        <v>-o Flowrouter-3-Router3_103.png</v>
      </c>
      <c r="E8" s="9" t="str">
        <f t="shared" si="1"/>
        <v>python C:\Sumo\SUMO-0.31.0\sumo-0.31.0\tools\visualization\plot_net_selection.py -n C:\Users\Biko\Dropbox\PhD\Research\Models\SUMO\SUMO_DropBox\Run-Files-Dropbox\W_Philly_OSM_Clipped-9.1-DB.net.xml -i C:\Sumo\runs\West_Philly\DFROUTER-output\Flow_Router_text_Files\Flowrouter-3-Router3_103.txt --xlabel [m] --ylabel [m] --xticks 2252.80,6549.77,1000,16 --yticks 1956.49,6600,1000,16 --selected-width 1 --edge-width .5 -o Flowrouter-3-Router3_103.png --edge-color #606060 --selected-color #800000 --title "Router3_103" /</v>
      </c>
    </row>
    <row r="9" spans="1:6" x14ac:dyDescent="0.25">
      <c r="B9" s="5" t="s">
        <v>1262</v>
      </c>
      <c r="D9" s="7" t="str">
        <f t="shared" si="0"/>
        <v>-o Flowrouter-3-Router3_104.png</v>
      </c>
      <c r="E9" s="9" t="str">
        <f t="shared" si="1"/>
        <v>python C:\Sumo\SUMO-0.31.0\sumo-0.31.0\tools\visualization\plot_net_selection.py -n C:\Users\Biko\Dropbox\PhD\Research\Models\SUMO\SUMO_DropBox\Run-Files-Dropbox\W_Philly_OSM_Clipped-9.1-DB.net.xml -i C:\Sumo\runs\West_Philly\DFROUTER-output\Flow_Router_text_Files\Flowrouter-3-Router3_104.txt --xlabel [m] --ylabel [m] --xticks 2252.80,6549.77,1000,16 --yticks 1956.49,6600,1000,16 --selected-width 1 --edge-width .5 -o Flowrouter-3-Router3_104.png --edge-color #606060 --selected-color #800000 --title "Router3_104" /</v>
      </c>
    </row>
    <row r="10" spans="1:6" x14ac:dyDescent="0.25">
      <c r="B10" s="5" t="s">
        <v>1263</v>
      </c>
      <c r="D10" s="7" t="str">
        <f t="shared" si="0"/>
        <v>-o Flowrouter-3-Router3_105.png</v>
      </c>
      <c r="E10" s="9" t="str">
        <f t="shared" si="1"/>
        <v>python C:\Sumo\SUMO-0.31.0\sumo-0.31.0\tools\visualization\plot_net_selection.py -n C:\Users\Biko\Dropbox\PhD\Research\Models\SUMO\SUMO_DropBox\Run-Files-Dropbox\W_Philly_OSM_Clipped-9.1-DB.net.xml -i C:\Sumo\runs\West_Philly\DFROUTER-output\Flow_Router_text_Files\Flowrouter-3-Router3_105.txt --xlabel [m] --ylabel [m] --xticks 2252.80,6549.77,1000,16 --yticks 1956.49,6600,1000,16 --selected-width 1 --edge-width .5 -o Flowrouter-3-Router3_105.png --edge-color #606060 --selected-color #800000 --title "Router3_105" /</v>
      </c>
    </row>
    <row r="11" spans="1:6" x14ac:dyDescent="0.25">
      <c r="B11" s="5" t="s">
        <v>1264</v>
      </c>
      <c r="D11" s="7" t="str">
        <f t="shared" si="0"/>
        <v>-o Flowrouter-3-Router3_106.png</v>
      </c>
      <c r="E11" s="9" t="str">
        <f t="shared" si="1"/>
        <v>python C:\Sumo\SUMO-0.31.0\sumo-0.31.0\tools\visualization\plot_net_selection.py -n C:\Users\Biko\Dropbox\PhD\Research\Models\SUMO\SUMO_DropBox\Run-Files-Dropbox\W_Philly_OSM_Clipped-9.1-DB.net.xml -i C:\Sumo\runs\West_Philly\DFROUTER-output\Flow_Router_text_Files\Flowrouter-3-Router3_106.txt --xlabel [m] --ylabel [m] --xticks 2252.80,6549.77,1000,16 --yticks 1956.49,6600,1000,16 --selected-width 1 --edge-width .5 -o Flowrouter-3-Router3_106.png --edge-color #606060 --selected-color #800000 --title "Router3_106" /</v>
      </c>
    </row>
    <row r="12" spans="1:6" x14ac:dyDescent="0.25">
      <c r="B12" s="5" t="s">
        <v>1265</v>
      </c>
      <c r="D12" s="7" t="str">
        <f t="shared" si="0"/>
        <v>-o Flowrouter-3-Router3_107.png</v>
      </c>
      <c r="E12" s="9" t="str">
        <f t="shared" si="1"/>
        <v>python C:\Sumo\SUMO-0.31.0\sumo-0.31.0\tools\visualization\plot_net_selection.py -n C:\Users\Biko\Dropbox\PhD\Research\Models\SUMO\SUMO_DropBox\Run-Files-Dropbox\W_Philly_OSM_Clipped-9.1-DB.net.xml -i C:\Sumo\runs\West_Philly\DFROUTER-output\Flow_Router_text_Files\Flowrouter-3-Router3_107.txt --xlabel [m] --ylabel [m] --xticks 2252.80,6549.77,1000,16 --yticks 1956.49,6600,1000,16 --selected-width 1 --edge-width .5 -o Flowrouter-3-Router3_107.png --edge-color #606060 --selected-color #800000 --title "Router3_107" /</v>
      </c>
    </row>
    <row r="13" spans="1:6" x14ac:dyDescent="0.25">
      <c r="B13" s="5" t="s">
        <v>1266</v>
      </c>
      <c r="D13" s="7" t="str">
        <f t="shared" si="0"/>
        <v>-o Flowrouter-3-Router3_108.png</v>
      </c>
      <c r="E13" s="9" t="str">
        <f t="shared" si="1"/>
        <v>python C:\Sumo\SUMO-0.31.0\sumo-0.31.0\tools\visualization\plot_net_selection.py -n C:\Users\Biko\Dropbox\PhD\Research\Models\SUMO\SUMO_DropBox\Run-Files-Dropbox\W_Philly_OSM_Clipped-9.1-DB.net.xml -i C:\Sumo\runs\West_Philly\DFROUTER-output\Flow_Router_text_Files\Flowrouter-3-Router3_108.txt --xlabel [m] --ylabel [m] --xticks 2252.80,6549.77,1000,16 --yticks 1956.49,6600,1000,16 --selected-width 1 --edge-width .5 -o Flowrouter-3-Router3_108.png --edge-color #606060 --selected-color #800000 --title "Router3_108" /</v>
      </c>
    </row>
    <row r="14" spans="1:6" x14ac:dyDescent="0.25">
      <c r="B14" s="5" t="s">
        <v>1267</v>
      </c>
      <c r="D14" s="7" t="str">
        <f t="shared" si="0"/>
        <v>-o Flowrouter-3-Router3_109.png</v>
      </c>
      <c r="E14" s="9" t="str">
        <f t="shared" si="1"/>
        <v>python C:\Sumo\SUMO-0.31.0\sumo-0.31.0\tools\visualization\plot_net_selection.py -n C:\Users\Biko\Dropbox\PhD\Research\Models\SUMO\SUMO_DropBox\Run-Files-Dropbox\W_Philly_OSM_Clipped-9.1-DB.net.xml -i C:\Sumo\runs\West_Philly\DFROUTER-output\Flow_Router_text_Files\Flowrouter-3-Router3_109.txt --xlabel [m] --ylabel [m] --xticks 2252.80,6549.77,1000,16 --yticks 1956.49,6600,1000,16 --selected-width 1 --edge-width .5 -o Flowrouter-3-Router3_109.png --edge-color #606060 --selected-color #800000 --title "Router3_109" /</v>
      </c>
    </row>
    <row r="15" spans="1:6" x14ac:dyDescent="0.25">
      <c r="B15" s="5" t="s">
        <v>1268</v>
      </c>
      <c r="D15" s="7" t="str">
        <f t="shared" si="0"/>
        <v>-o Flowrouter-3-Router3_11.png</v>
      </c>
      <c r="E15" s="9" t="str">
        <f t="shared" si="1"/>
        <v>python C:\Sumo\SUMO-0.31.0\sumo-0.31.0\tools\visualization\plot_net_selection.py -n C:\Users\Biko\Dropbox\PhD\Research\Models\SUMO\SUMO_DropBox\Run-Files-Dropbox\W_Philly_OSM_Clipped-9.1-DB.net.xml -i C:\Sumo\runs\West_Philly\DFROUTER-output\Flow_Router_text_Files\Flowrouter-3-Router3_11.txt --xlabel [m] --ylabel [m] --xticks 2252.80,6549.77,1000,16 --yticks 1956.49,6600,1000,16 --selected-width 1 --edge-width .5 -o Flowrouter-3-Router3_11.png --edge-color #606060 --selected-color #800000 --title "Router3_11" /</v>
      </c>
    </row>
    <row r="16" spans="1:6" x14ac:dyDescent="0.25">
      <c r="B16" s="5" t="s">
        <v>1269</v>
      </c>
      <c r="D16" s="7" t="str">
        <f t="shared" si="0"/>
        <v>-o Flowrouter-3-Router3_110.png</v>
      </c>
      <c r="E16" s="9" t="str">
        <f t="shared" si="1"/>
        <v>python C:\Sumo\SUMO-0.31.0\sumo-0.31.0\tools\visualization\plot_net_selection.py -n C:\Users\Biko\Dropbox\PhD\Research\Models\SUMO\SUMO_DropBox\Run-Files-Dropbox\W_Philly_OSM_Clipped-9.1-DB.net.xml -i C:\Sumo\runs\West_Philly\DFROUTER-output\Flow_Router_text_Files\Flowrouter-3-Router3_110.txt --xlabel [m] --ylabel [m] --xticks 2252.80,6549.77,1000,16 --yticks 1956.49,6600,1000,16 --selected-width 1 --edge-width .5 -o Flowrouter-3-Router3_110.png --edge-color #606060 --selected-color #800000 --title "Router3_110" /</v>
      </c>
    </row>
    <row r="17" spans="2:5" x14ac:dyDescent="0.25">
      <c r="B17" s="5" t="s">
        <v>1270</v>
      </c>
      <c r="D17" s="7" t="str">
        <f t="shared" si="0"/>
        <v>-o Flowrouter-3-Router3_111.png</v>
      </c>
      <c r="E17" s="9" t="str">
        <f t="shared" si="1"/>
        <v>python C:\Sumo\SUMO-0.31.0\sumo-0.31.0\tools\visualization\plot_net_selection.py -n C:\Users\Biko\Dropbox\PhD\Research\Models\SUMO\SUMO_DropBox\Run-Files-Dropbox\W_Philly_OSM_Clipped-9.1-DB.net.xml -i C:\Sumo\runs\West_Philly\DFROUTER-output\Flow_Router_text_Files\Flowrouter-3-Router3_111.txt --xlabel [m] --ylabel [m] --xticks 2252.80,6549.77,1000,16 --yticks 1956.49,6600,1000,16 --selected-width 1 --edge-width .5 -o Flowrouter-3-Router3_111.png --edge-color #606060 --selected-color #800000 --title "Router3_111" /</v>
      </c>
    </row>
    <row r="18" spans="2:5" x14ac:dyDescent="0.25">
      <c r="B18" s="5" t="s">
        <v>1271</v>
      </c>
      <c r="D18" s="7" t="str">
        <f t="shared" si="0"/>
        <v>-o Flowrouter-3-Router3_112.png</v>
      </c>
      <c r="E18" s="9" t="str">
        <f t="shared" si="1"/>
        <v>python C:\Sumo\SUMO-0.31.0\sumo-0.31.0\tools\visualization\plot_net_selection.py -n C:\Users\Biko\Dropbox\PhD\Research\Models\SUMO\SUMO_DropBox\Run-Files-Dropbox\W_Philly_OSM_Clipped-9.1-DB.net.xml -i C:\Sumo\runs\West_Philly\DFROUTER-output\Flow_Router_text_Files\Flowrouter-3-Router3_112.txt --xlabel [m] --ylabel [m] --xticks 2252.80,6549.77,1000,16 --yticks 1956.49,6600,1000,16 --selected-width 1 --edge-width .5 -o Flowrouter-3-Router3_112.png --edge-color #606060 --selected-color #800000 --title "Router3_112" /</v>
      </c>
    </row>
    <row r="19" spans="2:5" x14ac:dyDescent="0.25">
      <c r="B19" s="5" t="s">
        <v>1272</v>
      </c>
      <c r="D19" s="7" t="str">
        <f t="shared" si="0"/>
        <v>-o Flowrouter-3-Router3_113.png</v>
      </c>
      <c r="E19" s="9" t="str">
        <f t="shared" si="1"/>
        <v>python C:\Sumo\SUMO-0.31.0\sumo-0.31.0\tools\visualization\plot_net_selection.py -n C:\Users\Biko\Dropbox\PhD\Research\Models\SUMO\SUMO_DropBox\Run-Files-Dropbox\W_Philly_OSM_Clipped-9.1-DB.net.xml -i C:\Sumo\runs\West_Philly\DFROUTER-output\Flow_Router_text_Files\Flowrouter-3-Router3_113.txt --xlabel [m] --ylabel [m] --xticks 2252.80,6549.77,1000,16 --yticks 1956.49,6600,1000,16 --selected-width 1 --edge-width .5 -o Flowrouter-3-Router3_113.png --edge-color #606060 --selected-color #800000 --title "Router3_113" /</v>
      </c>
    </row>
    <row r="20" spans="2:5" x14ac:dyDescent="0.25">
      <c r="B20" s="5" t="s">
        <v>1273</v>
      </c>
      <c r="D20" s="7" t="str">
        <f t="shared" si="0"/>
        <v>-o Flowrouter-3-Router3_114.png</v>
      </c>
      <c r="E20" s="9" t="str">
        <f t="shared" si="1"/>
        <v>python C:\Sumo\SUMO-0.31.0\sumo-0.31.0\tools\visualization\plot_net_selection.py -n C:\Users\Biko\Dropbox\PhD\Research\Models\SUMO\SUMO_DropBox\Run-Files-Dropbox\W_Philly_OSM_Clipped-9.1-DB.net.xml -i C:\Sumo\runs\West_Philly\DFROUTER-output\Flow_Router_text_Files\Flowrouter-3-Router3_114.txt --xlabel [m] --ylabel [m] --xticks 2252.80,6549.77,1000,16 --yticks 1956.49,6600,1000,16 --selected-width 1 --edge-width .5 -o Flowrouter-3-Router3_114.png --edge-color #606060 --selected-color #800000 --title "Router3_114" /</v>
      </c>
    </row>
    <row r="21" spans="2:5" x14ac:dyDescent="0.25">
      <c r="B21" s="5" t="s">
        <v>1274</v>
      </c>
      <c r="D21" s="7" t="str">
        <f t="shared" si="0"/>
        <v>-o Flowrouter-3-Router3_115.png</v>
      </c>
      <c r="E21" s="9" t="str">
        <f t="shared" si="1"/>
        <v>python C:\Sumo\SUMO-0.31.0\sumo-0.31.0\tools\visualization\plot_net_selection.py -n C:\Users\Biko\Dropbox\PhD\Research\Models\SUMO\SUMO_DropBox\Run-Files-Dropbox\W_Philly_OSM_Clipped-9.1-DB.net.xml -i C:\Sumo\runs\West_Philly\DFROUTER-output\Flow_Router_text_Files\Flowrouter-3-Router3_115.txt --xlabel [m] --ylabel [m] --xticks 2252.80,6549.77,1000,16 --yticks 1956.49,6600,1000,16 --selected-width 1 --edge-width .5 -o Flowrouter-3-Router3_115.png --edge-color #606060 --selected-color #800000 --title "Router3_115" /</v>
      </c>
    </row>
    <row r="22" spans="2:5" x14ac:dyDescent="0.25">
      <c r="B22" s="5" t="s">
        <v>1275</v>
      </c>
      <c r="D22" s="7" t="str">
        <f t="shared" si="0"/>
        <v>-o Flowrouter-3-Router3_116.png</v>
      </c>
      <c r="E22" s="9" t="str">
        <f t="shared" si="1"/>
        <v>python C:\Sumo\SUMO-0.31.0\sumo-0.31.0\tools\visualization\plot_net_selection.py -n C:\Users\Biko\Dropbox\PhD\Research\Models\SUMO\SUMO_DropBox\Run-Files-Dropbox\W_Philly_OSM_Clipped-9.1-DB.net.xml -i C:\Sumo\runs\West_Philly\DFROUTER-output\Flow_Router_text_Files\Flowrouter-3-Router3_116.txt --xlabel [m] --ylabel [m] --xticks 2252.80,6549.77,1000,16 --yticks 1956.49,6600,1000,16 --selected-width 1 --edge-width .5 -o Flowrouter-3-Router3_116.png --edge-color #606060 --selected-color #800000 --title "Router3_116" /</v>
      </c>
    </row>
    <row r="23" spans="2:5" x14ac:dyDescent="0.25">
      <c r="B23" s="5" t="s">
        <v>1276</v>
      </c>
      <c r="D23" s="7" t="str">
        <f t="shared" si="0"/>
        <v>-o Flowrouter-3-Router3_117.png</v>
      </c>
      <c r="E23" s="9" t="str">
        <f t="shared" si="1"/>
        <v>python C:\Sumo\SUMO-0.31.0\sumo-0.31.0\tools\visualization\plot_net_selection.py -n C:\Users\Biko\Dropbox\PhD\Research\Models\SUMO\SUMO_DropBox\Run-Files-Dropbox\W_Philly_OSM_Clipped-9.1-DB.net.xml -i C:\Sumo\runs\West_Philly\DFROUTER-output\Flow_Router_text_Files\Flowrouter-3-Router3_117.txt --xlabel [m] --ylabel [m] --xticks 2252.80,6549.77,1000,16 --yticks 1956.49,6600,1000,16 --selected-width 1 --edge-width .5 -o Flowrouter-3-Router3_117.png --edge-color #606060 --selected-color #800000 --title "Router3_117" /</v>
      </c>
    </row>
    <row r="24" spans="2:5" x14ac:dyDescent="0.25">
      <c r="B24" s="5" t="s">
        <v>1277</v>
      </c>
      <c r="D24" s="7" t="str">
        <f t="shared" si="0"/>
        <v>-o Flowrouter-3-Router3_118.png</v>
      </c>
      <c r="E24" s="9" t="str">
        <f t="shared" si="1"/>
        <v>python C:\Sumo\SUMO-0.31.0\sumo-0.31.0\tools\visualization\plot_net_selection.py -n C:\Users\Biko\Dropbox\PhD\Research\Models\SUMO\SUMO_DropBox\Run-Files-Dropbox\W_Philly_OSM_Clipped-9.1-DB.net.xml -i C:\Sumo\runs\West_Philly\DFROUTER-output\Flow_Router_text_Files\Flowrouter-3-Router3_118.txt --xlabel [m] --ylabel [m] --xticks 2252.80,6549.77,1000,16 --yticks 1956.49,6600,1000,16 --selected-width 1 --edge-width .5 -o Flowrouter-3-Router3_118.png --edge-color #606060 --selected-color #800000 --title "Router3_118" /</v>
      </c>
    </row>
    <row r="25" spans="2:5" x14ac:dyDescent="0.25">
      <c r="B25" s="5" t="s">
        <v>1278</v>
      </c>
      <c r="D25" s="7" t="str">
        <f t="shared" si="0"/>
        <v>-o Flowrouter-3-Router3_119.png</v>
      </c>
      <c r="E25" s="9" t="str">
        <f t="shared" si="1"/>
        <v>python C:\Sumo\SUMO-0.31.0\sumo-0.31.0\tools\visualization\plot_net_selection.py -n C:\Users\Biko\Dropbox\PhD\Research\Models\SUMO\SUMO_DropBox\Run-Files-Dropbox\W_Philly_OSM_Clipped-9.1-DB.net.xml -i C:\Sumo\runs\West_Philly\DFROUTER-output\Flow_Router_text_Files\Flowrouter-3-Router3_119.txt --xlabel [m] --ylabel [m] --xticks 2252.80,6549.77,1000,16 --yticks 1956.49,6600,1000,16 --selected-width 1 --edge-width .5 -o Flowrouter-3-Router3_119.png --edge-color #606060 --selected-color #800000 --title "Router3_119" /</v>
      </c>
    </row>
    <row r="26" spans="2:5" x14ac:dyDescent="0.25">
      <c r="B26" s="5" t="s">
        <v>1279</v>
      </c>
      <c r="D26" s="7" t="str">
        <f t="shared" si="0"/>
        <v>-o Flowrouter-3-Router3_12.png</v>
      </c>
      <c r="E26" s="9" t="str">
        <f t="shared" si="1"/>
        <v>python C:\Sumo\SUMO-0.31.0\sumo-0.31.0\tools\visualization\plot_net_selection.py -n C:\Users\Biko\Dropbox\PhD\Research\Models\SUMO\SUMO_DropBox\Run-Files-Dropbox\W_Philly_OSM_Clipped-9.1-DB.net.xml -i C:\Sumo\runs\West_Philly\DFROUTER-output\Flow_Router_text_Files\Flowrouter-3-Router3_12.txt --xlabel [m] --ylabel [m] --xticks 2252.80,6549.77,1000,16 --yticks 1956.49,6600,1000,16 --selected-width 1 --edge-width .5 -o Flowrouter-3-Router3_12.png --edge-color #606060 --selected-color #800000 --title "Router3_12" /</v>
      </c>
    </row>
    <row r="27" spans="2:5" x14ac:dyDescent="0.25">
      <c r="B27" s="5" t="s">
        <v>1280</v>
      </c>
      <c r="D27" s="7" t="str">
        <f t="shared" si="0"/>
        <v>-o Flowrouter-3-Router3_120.png</v>
      </c>
      <c r="E27" s="9" t="str">
        <f t="shared" si="1"/>
        <v>python C:\Sumo\SUMO-0.31.0\sumo-0.31.0\tools\visualization\plot_net_selection.py -n C:\Users\Biko\Dropbox\PhD\Research\Models\SUMO\SUMO_DropBox\Run-Files-Dropbox\W_Philly_OSM_Clipped-9.1-DB.net.xml -i C:\Sumo\runs\West_Philly\DFROUTER-output\Flow_Router_text_Files\Flowrouter-3-Router3_120.txt --xlabel [m] --ylabel [m] --xticks 2252.80,6549.77,1000,16 --yticks 1956.49,6600,1000,16 --selected-width 1 --edge-width .5 -o Flowrouter-3-Router3_120.png --edge-color #606060 --selected-color #800000 --title "Router3_120" /</v>
      </c>
    </row>
    <row r="28" spans="2:5" x14ac:dyDescent="0.25">
      <c r="B28" s="5" t="s">
        <v>1281</v>
      </c>
      <c r="D28" s="7" t="str">
        <f t="shared" si="0"/>
        <v>-o Flowrouter-3-Router3_121.png</v>
      </c>
      <c r="E28" s="9" t="str">
        <f t="shared" si="1"/>
        <v>python C:\Sumo\SUMO-0.31.0\sumo-0.31.0\tools\visualization\plot_net_selection.py -n C:\Users\Biko\Dropbox\PhD\Research\Models\SUMO\SUMO_DropBox\Run-Files-Dropbox\W_Philly_OSM_Clipped-9.1-DB.net.xml -i C:\Sumo\runs\West_Philly\DFROUTER-output\Flow_Router_text_Files\Flowrouter-3-Router3_121.txt --xlabel [m] --ylabel [m] --xticks 2252.80,6549.77,1000,16 --yticks 1956.49,6600,1000,16 --selected-width 1 --edge-width .5 -o Flowrouter-3-Router3_121.png --edge-color #606060 --selected-color #800000 --title "Router3_121" /</v>
      </c>
    </row>
    <row r="29" spans="2:5" x14ac:dyDescent="0.25">
      <c r="B29" s="5" t="s">
        <v>1282</v>
      </c>
      <c r="D29" s="7" t="str">
        <f t="shared" si="0"/>
        <v>-o Flowrouter-3-Router3_122.png</v>
      </c>
      <c r="E29" s="9" t="str">
        <f t="shared" si="1"/>
        <v>python C:\Sumo\SUMO-0.31.0\sumo-0.31.0\tools\visualization\plot_net_selection.py -n C:\Users\Biko\Dropbox\PhD\Research\Models\SUMO\SUMO_DropBox\Run-Files-Dropbox\W_Philly_OSM_Clipped-9.1-DB.net.xml -i C:\Sumo\runs\West_Philly\DFROUTER-output\Flow_Router_text_Files\Flowrouter-3-Router3_122.txt --xlabel [m] --ylabel [m] --xticks 2252.80,6549.77,1000,16 --yticks 1956.49,6600,1000,16 --selected-width 1 --edge-width .5 -o Flowrouter-3-Router3_122.png --edge-color #606060 --selected-color #800000 --title "Router3_122" /</v>
      </c>
    </row>
    <row r="30" spans="2:5" x14ac:dyDescent="0.25">
      <c r="B30" s="5" t="s">
        <v>1283</v>
      </c>
      <c r="D30" s="7" t="str">
        <f t="shared" si="0"/>
        <v>-o Flowrouter-3-Router3_123.png</v>
      </c>
      <c r="E30" s="9" t="str">
        <f t="shared" si="1"/>
        <v>python C:\Sumo\SUMO-0.31.0\sumo-0.31.0\tools\visualization\plot_net_selection.py -n C:\Users\Biko\Dropbox\PhD\Research\Models\SUMO\SUMO_DropBox\Run-Files-Dropbox\W_Philly_OSM_Clipped-9.1-DB.net.xml -i C:\Sumo\runs\West_Philly\DFROUTER-output\Flow_Router_text_Files\Flowrouter-3-Router3_123.txt --xlabel [m] --ylabel [m] --xticks 2252.80,6549.77,1000,16 --yticks 1956.49,6600,1000,16 --selected-width 1 --edge-width .5 -o Flowrouter-3-Router3_123.png --edge-color #606060 --selected-color #800000 --title "Router3_123" /</v>
      </c>
    </row>
    <row r="31" spans="2:5" x14ac:dyDescent="0.25">
      <c r="B31" s="5" t="s">
        <v>1284</v>
      </c>
      <c r="D31" s="7" t="str">
        <f t="shared" si="0"/>
        <v>-o Flowrouter-3-Router3_124.png</v>
      </c>
      <c r="E31" s="9" t="str">
        <f t="shared" si="1"/>
        <v>python C:\Sumo\SUMO-0.31.0\sumo-0.31.0\tools\visualization\plot_net_selection.py -n C:\Users\Biko\Dropbox\PhD\Research\Models\SUMO\SUMO_DropBox\Run-Files-Dropbox\W_Philly_OSM_Clipped-9.1-DB.net.xml -i C:\Sumo\runs\West_Philly\DFROUTER-output\Flow_Router_text_Files\Flowrouter-3-Router3_124.txt --xlabel [m] --ylabel [m] --xticks 2252.80,6549.77,1000,16 --yticks 1956.49,6600,1000,16 --selected-width 1 --edge-width .5 -o Flowrouter-3-Router3_124.png --edge-color #606060 --selected-color #800000 --title "Router3_124" /</v>
      </c>
    </row>
    <row r="32" spans="2:5" x14ac:dyDescent="0.25">
      <c r="B32" s="5" t="s">
        <v>1285</v>
      </c>
      <c r="D32" s="7" t="str">
        <f t="shared" si="0"/>
        <v>-o Flowrouter-3-Router3_125.png</v>
      </c>
      <c r="E32" s="9" t="str">
        <f t="shared" si="1"/>
        <v>python C:\Sumo\SUMO-0.31.0\sumo-0.31.0\tools\visualization\plot_net_selection.py -n C:\Users\Biko\Dropbox\PhD\Research\Models\SUMO\SUMO_DropBox\Run-Files-Dropbox\W_Philly_OSM_Clipped-9.1-DB.net.xml -i C:\Sumo\runs\West_Philly\DFROUTER-output\Flow_Router_text_Files\Flowrouter-3-Router3_125.txt --xlabel [m] --ylabel [m] --xticks 2252.80,6549.77,1000,16 --yticks 1956.49,6600,1000,16 --selected-width 1 --edge-width .5 -o Flowrouter-3-Router3_125.png --edge-color #606060 --selected-color #800000 --title "Router3_125" /</v>
      </c>
    </row>
    <row r="33" spans="2:5" x14ac:dyDescent="0.25">
      <c r="B33" s="5" t="s">
        <v>1286</v>
      </c>
      <c r="D33" s="7" t="str">
        <f t="shared" si="0"/>
        <v>-o Flowrouter-3-Router3_126.png</v>
      </c>
      <c r="E33" s="9" t="str">
        <f t="shared" si="1"/>
        <v>python C:\Sumo\SUMO-0.31.0\sumo-0.31.0\tools\visualization\plot_net_selection.py -n C:\Users\Biko\Dropbox\PhD\Research\Models\SUMO\SUMO_DropBox\Run-Files-Dropbox\W_Philly_OSM_Clipped-9.1-DB.net.xml -i C:\Sumo\runs\West_Philly\DFROUTER-output\Flow_Router_text_Files\Flowrouter-3-Router3_126.txt --xlabel [m] --ylabel [m] --xticks 2252.80,6549.77,1000,16 --yticks 1956.49,6600,1000,16 --selected-width 1 --edge-width .5 -o Flowrouter-3-Router3_126.png --edge-color #606060 --selected-color #800000 --title "Router3_126" /</v>
      </c>
    </row>
    <row r="34" spans="2:5" x14ac:dyDescent="0.25">
      <c r="B34" s="5" t="s">
        <v>1287</v>
      </c>
      <c r="D34" s="7" t="str">
        <f t="shared" si="0"/>
        <v>-o Flowrouter-3-Router3_127.png</v>
      </c>
      <c r="E34" s="9" t="str">
        <f t="shared" si="1"/>
        <v>python C:\Sumo\SUMO-0.31.0\sumo-0.31.0\tools\visualization\plot_net_selection.py -n C:\Users\Biko\Dropbox\PhD\Research\Models\SUMO\SUMO_DropBox\Run-Files-Dropbox\W_Philly_OSM_Clipped-9.1-DB.net.xml -i C:\Sumo\runs\West_Philly\DFROUTER-output\Flow_Router_text_Files\Flowrouter-3-Router3_127.txt --xlabel [m] --ylabel [m] --xticks 2252.80,6549.77,1000,16 --yticks 1956.49,6600,1000,16 --selected-width 1 --edge-width .5 -o Flowrouter-3-Router3_127.png --edge-color #606060 --selected-color #800000 --title "Router3_127" /</v>
      </c>
    </row>
    <row r="35" spans="2:5" x14ac:dyDescent="0.25">
      <c r="B35" s="5" t="s">
        <v>1288</v>
      </c>
      <c r="D35" s="7" t="str">
        <f t="shared" si="0"/>
        <v>-o Flowrouter-3-Router3_128.png</v>
      </c>
      <c r="E35" s="9" t="str">
        <f t="shared" si="1"/>
        <v>python C:\Sumo\SUMO-0.31.0\sumo-0.31.0\tools\visualization\plot_net_selection.py -n C:\Users\Biko\Dropbox\PhD\Research\Models\SUMO\SUMO_DropBox\Run-Files-Dropbox\W_Philly_OSM_Clipped-9.1-DB.net.xml -i C:\Sumo\runs\West_Philly\DFROUTER-output\Flow_Router_text_Files\Flowrouter-3-Router3_128.txt --xlabel [m] --ylabel [m] --xticks 2252.80,6549.77,1000,16 --yticks 1956.49,6600,1000,16 --selected-width 1 --edge-width .5 -o Flowrouter-3-Router3_128.png --edge-color #606060 --selected-color #800000 --title "Router3_128" /</v>
      </c>
    </row>
    <row r="36" spans="2:5" x14ac:dyDescent="0.25">
      <c r="B36" s="5" t="s">
        <v>1289</v>
      </c>
      <c r="D36" s="7" t="str">
        <f t="shared" si="0"/>
        <v>-o Flowrouter-3-Router3_129.png</v>
      </c>
      <c r="E36" s="9" t="str">
        <f t="shared" si="1"/>
        <v>python C:\Sumo\SUMO-0.31.0\sumo-0.31.0\tools\visualization\plot_net_selection.py -n C:\Users\Biko\Dropbox\PhD\Research\Models\SUMO\SUMO_DropBox\Run-Files-Dropbox\W_Philly_OSM_Clipped-9.1-DB.net.xml -i C:\Sumo\runs\West_Philly\DFROUTER-output\Flow_Router_text_Files\Flowrouter-3-Router3_129.txt --xlabel [m] --ylabel [m] --xticks 2252.80,6549.77,1000,16 --yticks 1956.49,6600,1000,16 --selected-width 1 --edge-width .5 -o Flowrouter-3-Router3_129.png --edge-color #606060 --selected-color #800000 --title "Router3_129" /</v>
      </c>
    </row>
    <row r="37" spans="2:5" x14ac:dyDescent="0.25">
      <c r="B37" s="5" t="s">
        <v>1290</v>
      </c>
      <c r="D37" s="7" t="str">
        <f t="shared" si="0"/>
        <v>-o Flowrouter-3-Router3_13.png</v>
      </c>
      <c r="E37" s="9" t="str">
        <f t="shared" si="1"/>
        <v>python C:\Sumo\SUMO-0.31.0\sumo-0.31.0\tools\visualization\plot_net_selection.py -n C:\Users\Biko\Dropbox\PhD\Research\Models\SUMO\SUMO_DropBox\Run-Files-Dropbox\W_Philly_OSM_Clipped-9.1-DB.net.xml -i C:\Sumo\runs\West_Philly\DFROUTER-output\Flow_Router_text_Files\Flowrouter-3-Router3_13.txt --xlabel [m] --ylabel [m] --xticks 2252.80,6549.77,1000,16 --yticks 1956.49,6600,1000,16 --selected-width 1 --edge-width .5 -o Flowrouter-3-Router3_13.png --edge-color #606060 --selected-color #800000 --title "Router3_13" /</v>
      </c>
    </row>
    <row r="38" spans="2:5" x14ac:dyDescent="0.25">
      <c r="B38" s="5" t="s">
        <v>1291</v>
      </c>
      <c r="D38" s="7" t="str">
        <f t="shared" si="0"/>
        <v>-o Flowrouter-3-Router3_130.png</v>
      </c>
      <c r="E38" s="9" t="str">
        <f t="shared" si="1"/>
        <v>python C:\Sumo\SUMO-0.31.0\sumo-0.31.0\tools\visualization\plot_net_selection.py -n C:\Users\Biko\Dropbox\PhD\Research\Models\SUMO\SUMO_DropBox\Run-Files-Dropbox\W_Philly_OSM_Clipped-9.1-DB.net.xml -i C:\Sumo\runs\West_Philly\DFROUTER-output\Flow_Router_text_Files\Flowrouter-3-Router3_130.txt --xlabel [m] --ylabel [m] --xticks 2252.80,6549.77,1000,16 --yticks 1956.49,6600,1000,16 --selected-width 1 --edge-width .5 -o Flowrouter-3-Router3_130.png --edge-color #606060 --selected-color #800000 --title "Router3_130" /</v>
      </c>
    </row>
    <row r="39" spans="2:5" x14ac:dyDescent="0.25">
      <c r="B39" s="5" t="s">
        <v>1292</v>
      </c>
      <c r="D39" s="7" t="str">
        <f t="shared" si="0"/>
        <v>-o Flowrouter-3-Router3_131.png</v>
      </c>
      <c r="E39" s="9" t="str">
        <f t="shared" si="1"/>
        <v>python C:\Sumo\SUMO-0.31.0\sumo-0.31.0\tools\visualization\plot_net_selection.py -n C:\Users\Biko\Dropbox\PhD\Research\Models\SUMO\SUMO_DropBox\Run-Files-Dropbox\W_Philly_OSM_Clipped-9.1-DB.net.xml -i C:\Sumo\runs\West_Philly\DFROUTER-output\Flow_Router_text_Files\Flowrouter-3-Router3_131.txt --xlabel [m] --ylabel [m] --xticks 2252.80,6549.77,1000,16 --yticks 1956.49,6600,1000,16 --selected-width 1 --edge-width .5 -o Flowrouter-3-Router3_131.png --edge-color #606060 --selected-color #800000 --title "Router3_131" /</v>
      </c>
    </row>
    <row r="40" spans="2:5" x14ac:dyDescent="0.25">
      <c r="B40" s="5" t="s">
        <v>1293</v>
      </c>
      <c r="D40" s="7" t="str">
        <f t="shared" si="0"/>
        <v>-o Flowrouter-3-Router3_132.png</v>
      </c>
      <c r="E40" s="9" t="str">
        <f t="shared" si="1"/>
        <v>python C:\Sumo\SUMO-0.31.0\sumo-0.31.0\tools\visualization\plot_net_selection.py -n C:\Users\Biko\Dropbox\PhD\Research\Models\SUMO\SUMO_DropBox\Run-Files-Dropbox\W_Philly_OSM_Clipped-9.1-DB.net.xml -i C:\Sumo\runs\West_Philly\DFROUTER-output\Flow_Router_text_Files\Flowrouter-3-Router3_132.txt --xlabel [m] --ylabel [m] --xticks 2252.80,6549.77,1000,16 --yticks 1956.49,6600,1000,16 --selected-width 1 --edge-width .5 -o Flowrouter-3-Router3_132.png --edge-color #606060 --selected-color #800000 --title "Router3_132" /</v>
      </c>
    </row>
    <row r="41" spans="2:5" x14ac:dyDescent="0.25">
      <c r="B41" s="5" t="s">
        <v>1294</v>
      </c>
      <c r="D41" s="7" t="str">
        <f t="shared" si="0"/>
        <v>-o Flowrouter-3-Router3_133.png</v>
      </c>
      <c r="E41" s="9" t="str">
        <f t="shared" si="1"/>
        <v>python C:\Sumo\SUMO-0.31.0\sumo-0.31.0\tools\visualization\plot_net_selection.py -n C:\Users\Biko\Dropbox\PhD\Research\Models\SUMO\SUMO_DropBox\Run-Files-Dropbox\W_Philly_OSM_Clipped-9.1-DB.net.xml -i C:\Sumo\runs\West_Philly\DFROUTER-output\Flow_Router_text_Files\Flowrouter-3-Router3_133.txt --xlabel [m] --ylabel [m] --xticks 2252.80,6549.77,1000,16 --yticks 1956.49,6600,1000,16 --selected-width 1 --edge-width .5 -o Flowrouter-3-Router3_133.png --edge-color #606060 --selected-color #800000 --title "Router3_133" /</v>
      </c>
    </row>
    <row r="42" spans="2:5" x14ac:dyDescent="0.25">
      <c r="B42" s="5" t="s">
        <v>1295</v>
      </c>
      <c r="D42" s="7" t="str">
        <f t="shared" si="0"/>
        <v>-o Flowrouter-3-Router3_134.png</v>
      </c>
      <c r="E42" s="9" t="str">
        <f t="shared" si="1"/>
        <v>python C:\Sumo\SUMO-0.31.0\sumo-0.31.0\tools\visualization\plot_net_selection.py -n C:\Users\Biko\Dropbox\PhD\Research\Models\SUMO\SUMO_DropBox\Run-Files-Dropbox\W_Philly_OSM_Clipped-9.1-DB.net.xml -i C:\Sumo\runs\West_Philly\DFROUTER-output\Flow_Router_text_Files\Flowrouter-3-Router3_134.txt --xlabel [m] --ylabel [m] --xticks 2252.80,6549.77,1000,16 --yticks 1956.49,6600,1000,16 --selected-width 1 --edge-width .5 -o Flowrouter-3-Router3_134.png --edge-color #606060 --selected-color #800000 --title "Router3_134" /</v>
      </c>
    </row>
    <row r="43" spans="2:5" x14ac:dyDescent="0.25">
      <c r="B43" s="5" t="s">
        <v>1296</v>
      </c>
      <c r="D43" s="7" t="str">
        <f t="shared" si="0"/>
        <v>-o Flowrouter-3-Router3_135.png</v>
      </c>
      <c r="E43" s="9" t="str">
        <f t="shared" si="1"/>
        <v>python C:\Sumo\SUMO-0.31.0\sumo-0.31.0\tools\visualization\plot_net_selection.py -n C:\Users\Biko\Dropbox\PhD\Research\Models\SUMO\SUMO_DropBox\Run-Files-Dropbox\W_Philly_OSM_Clipped-9.1-DB.net.xml -i C:\Sumo\runs\West_Philly\DFROUTER-output\Flow_Router_text_Files\Flowrouter-3-Router3_135.txt --xlabel [m] --ylabel [m] --xticks 2252.80,6549.77,1000,16 --yticks 1956.49,6600,1000,16 --selected-width 1 --edge-width .5 -o Flowrouter-3-Router3_135.png --edge-color #606060 --selected-color #800000 --title "Router3_135" /</v>
      </c>
    </row>
    <row r="44" spans="2:5" x14ac:dyDescent="0.25">
      <c r="B44" s="5" t="s">
        <v>1297</v>
      </c>
      <c r="D44" s="7" t="str">
        <f t="shared" si="0"/>
        <v>-o Flowrouter-3-Router3_136.png</v>
      </c>
      <c r="E44" s="9" t="str">
        <f t="shared" si="1"/>
        <v>python C:\Sumo\SUMO-0.31.0\sumo-0.31.0\tools\visualization\plot_net_selection.py -n C:\Users\Biko\Dropbox\PhD\Research\Models\SUMO\SUMO_DropBox\Run-Files-Dropbox\W_Philly_OSM_Clipped-9.1-DB.net.xml -i C:\Sumo\runs\West_Philly\DFROUTER-output\Flow_Router_text_Files\Flowrouter-3-Router3_136.txt --xlabel [m] --ylabel [m] --xticks 2252.80,6549.77,1000,16 --yticks 1956.49,6600,1000,16 --selected-width 1 --edge-width .5 -o Flowrouter-3-Router3_136.png --edge-color #606060 --selected-color #800000 --title "Router3_136" /</v>
      </c>
    </row>
    <row r="45" spans="2:5" x14ac:dyDescent="0.25">
      <c r="B45" s="5" t="s">
        <v>1298</v>
      </c>
      <c r="D45" s="7" t="str">
        <f t="shared" si="0"/>
        <v>-o Flowrouter-3-Router3_137.png</v>
      </c>
      <c r="E45" s="9" t="str">
        <f t="shared" si="1"/>
        <v>python C:\Sumo\SUMO-0.31.0\sumo-0.31.0\tools\visualization\plot_net_selection.py -n C:\Users\Biko\Dropbox\PhD\Research\Models\SUMO\SUMO_DropBox\Run-Files-Dropbox\W_Philly_OSM_Clipped-9.1-DB.net.xml -i C:\Sumo\runs\West_Philly\DFROUTER-output\Flow_Router_text_Files\Flowrouter-3-Router3_137.txt --xlabel [m] --ylabel [m] --xticks 2252.80,6549.77,1000,16 --yticks 1956.49,6600,1000,16 --selected-width 1 --edge-width .5 -o Flowrouter-3-Router3_137.png --edge-color #606060 --selected-color #800000 --title "Router3_137" /</v>
      </c>
    </row>
    <row r="46" spans="2:5" x14ac:dyDescent="0.25">
      <c r="B46" s="5" t="s">
        <v>1299</v>
      </c>
      <c r="D46" s="7" t="str">
        <f t="shared" si="0"/>
        <v>-o Flowrouter-3-Router3_138.png</v>
      </c>
      <c r="E46" s="9" t="str">
        <f t="shared" si="1"/>
        <v>python C:\Sumo\SUMO-0.31.0\sumo-0.31.0\tools\visualization\plot_net_selection.py -n C:\Users\Biko\Dropbox\PhD\Research\Models\SUMO\SUMO_DropBox\Run-Files-Dropbox\W_Philly_OSM_Clipped-9.1-DB.net.xml -i C:\Sumo\runs\West_Philly\DFROUTER-output\Flow_Router_text_Files\Flowrouter-3-Router3_138.txt --xlabel [m] --ylabel [m] --xticks 2252.80,6549.77,1000,16 --yticks 1956.49,6600,1000,16 --selected-width 1 --edge-width .5 -o Flowrouter-3-Router3_138.png --edge-color #606060 --selected-color #800000 --title "Router3_138" /</v>
      </c>
    </row>
    <row r="47" spans="2:5" x14ac:dyDescent="0.25">
      <c r="B47" s="5" t="s">
        <v>1300</v>
      </c>
      <c r="D47" s="7" t="str">
        <f t="shared" si="0"/>
        <v>-o Flowrouter-3-Router3_139.png</v>
      </c>
      <c r="E47" s="9" t="str">
        <f t="shared" si="1"/>
        <v>python C:\Sumo\SUMO-0.31.0\sumo-0.31.0\tools\visualization\plot_net_selection.py -n C:\Users\Biko\Dropbox\PhD\Research\Models\SUMO\SUMO_DropBox\Run-Files-Dropbox\W_Philly_OSM_Clipped-9.1-DB.net.xml -i C:\Sumo\runs\West_Philly\DFROUTER-output\Flow_Router_text_Files\Flowrouter-3-Router3_139.txt --xlabel [m] --ylabel [m] --xticks 2252.80,6549.77,1000,16 --yticks 1956.49,6600,1000,16 --selected-width 1 --edge-width .5 -o Flowrouter-3-Router3_139.png --edge-color #606060 --selected-color #800000 --title "Router3_139" /</v>
      </c>
    </row>
    <row r="48" spans="2:5" x14ac:dyDescent="0.25">
      <c r="B48" s="5" t="s">
        <v>1301</v>
      </c>
      <c r="D48" s="7" t="str">
        <f t="shared" si="0"/>
        <v>-o Flowrouter-3-Router3_14.png</v>
      </c>
      <c r="E48" s="9" t="str">
        <f t="shared" si="1"/>
        <v>python C:\Sumo\SUMO-0.31.0\sumo-0.31.0\tools\visualization\plot_net_selection.py -n C:\Users\Biko\Dropbox\PhD\Research\Models\SUMO\SUMO_DropBox\Run-Files-Dropbox\W_Philly_OSM_Clipped-9.1-DB.net.xml -i C:\Sumo\runs\West_Philly\DFROUTER-output\Flow_Router_text_Files\Flowrouter-3-Router3_14.txt --xlabel [m] --ylabel [m] --xticks 2252.80,6549.77,1000,16 --yticks 1956.49,6600,1000,16 --selected-width 1 --edge-width .5 -o Flowrouter-3-Router3_14.png --edge-color #606060 --selected-color #800000 --title "Router3_14" /</v>
      </c>
    </row>
    <row r="49" spans="2:5" x14ac:dyDescent="0.25">
      <c r="B49" s="5" t="s">
        <v>1302</v>
      </c>
      <c r="D49" s="7" t="str">
        <f t="shared" si="0"/>
        <v>-o Flowrouter-3-Router3_140.png</v>
      </c>
      <c r="E49" s="9" t="str">
        <f t="shared" si="1"/>
        <v>python C:\Sumo\SUMO-0.31.0\sumo-0.31.0\tools\visualization\plot_net_selection.py -n C:\Users\Biko\Dropbox\PhD\Research\Models\SUMO\SUMO_DropBox\Run-Files-Dropbox\W_Philly_OSM_Clipped-9.1-DB.net.xml -i C:\Sumo\runs\West_Philly\DFROUTER-output\Flow_Router_text_Files\Flowrouter-3-Router3_140.txt --xlabel [m] --ylabel [m] --xticks 2252.80,6549.77,1000,16 --yticks 1956.49,6600,1000,16 --selected-width 1 --edge-width .5 -o Flowrouter-3-Router3_140.png --edge-color #606060 --selected-color #800000 --title "Router3_140" /</v>
      </c>
    </row>
    <row r="50" spans="2:5" x14ac:dyDescent="0.25">
      <c r="B50" s="5" t="s">
        <v>1303</v>
      </c>
      <c r="D50" s="7" t="str">
        <f t="shared" si="0"/>
        <v>-o Flowrouter-3-Router3_141.png</v>
      </c>
      <c r="E50" s="9" t="str">
        <f t="shared" si="1"/>
        <v>python C:\Sumo\SUMO-0.31.0\sumo-0.31.0\tools\visualization\plot_net_selection.py -n C:\Users\Biko\Dropbox\PhD\Research\Models\SUMO\SUMO_DropBox\Run-Files-Dropbox\W_Philly_OSM_Clipped-9.1-DB.net.xml -i C:\Sumo\runs\West_Philly\DFROUTER-output\Flow_Router_text_Files\Flowrouter-3-Router3_141.txt --xlabel [m] --ylabel [m] --xticks 2252.80,6549.77,1000,16 --yticks 1956.49,6600,1000,16 --selected-width 1 --edge-width .5 -o Flowrouter-3-Router3_141.png --edge-color #606060 --selected-color #800000 --title "Router3_141" /</v>
      </c>
    </row>
    <row r="51" spans="2:5" x14ac:dyDescent="0.25">
      <c r="B51" s="5" t="s">
        <v>1304</v>
      </c>
      <c r="D51" s="7" t="str">
        <f t="shared" si="0"/>
        <v>-o Flowrouter-3-Router3_142.png</v>
      </c>
      <c r="E51" s="9" t="str">
        <f t="shared" si="1"/>
        <v>python C:\Sumo\SUMO-0.31.0\sumo-0.31.0\tools\visualization\plot_net_selection.py -n C:\Users\Biko\Dropbox\PhD\Research\Models\SUMO\SUMO_DropBox\Run-Files-Dropbox\W_Philly_OSM_Clipped-9.1-DB.net.xml -i C:\Sumo\runs\West_Philly\DFROUTER-output\Flow_Router_text_Files\Flowrouter-3-Router3_142.txt --xlabel [m] --ylabel [m] --xticks 2252.80,6549.77,1000,16 --yticks 1956.49,6600,1000,16 --selected-width 1 --edge-width .5 -o Flowrouter-3-Router3_142.png --edge-color #606060 --selected-color #800000 --title "Router3_142" /</v>
      </c>
    </row>
    <row r="52" spans="2:5" x14ac:dyDescent="0.25">
      <c r="B52" s="5" t="s">
        <v>1305</v>
      </c>
      <c r="D52" s="7" t="str">
        <f t="shared" si="0"/>
        <v>-o Flowrouter-3-Router3_143.png</v>
      </c>
      <c r="E52" s="9" t="str">
        <f t="shared" si="1"/>
        <v>python C:\Sumo\SUMO-0.31.0\sumo-0.31.0\tools\visualization\plot_net_selection.py -n C:\Users\Biko\Dropbox\PhD\Research\Models\SUMO\SUMO_DropBox\Run-Files-Dropbox\W_Philly_OSM_Clipped-9.1-DB.net.xml -i C:\Sumo\runs\West_Philly\DFROUTER-output\Flow_Router_text_Files\Flowrouter-3-Router3_143.txt --xlabel [m] --ylabel [m] --xticks 2252.80,6549.77,1000,16 --yticks 1956.49,6600,1000,16 --selected-width 1 --edge-width .5 -o Flowrouter-3-Router3_143.png --edge-color #606060 --selected-color #800000 --title "Router3_143" /</v>
      </c>
    </row>
    <row r="53" spans="2:5" x14ac:dyDescent="0.25">
      <c r="B53" s="5" t="s">
        <v>1306</v>
      </c>
      <c r="D53" s="7" t="str">
        <f t="shared" si="0"/>
        <v>-o Flowrouter-3-Router3_144.png</v>
      </c>
      <c r="E53" s="9" t="str">
        <f t="shared" si="1"/>
        <v>python C:\Sumo\SUMO-0.31.0\sumo-0.31.0\tools\visualization\plot_net_selection.py -n C:\Users\Biko\Dropbox\PhD\Research\Models\SUMO\SUMO_DropBox\Run-Files-Dropbox\W_Philly_OSM_Clipped-9.1-DB.net.xml -i C:\Sumo\runs\West_Philly\DFROUTER-output\Flow_Router_text_Files\Flowrouter-3-Router3_144.txt --xlabel [m] --ylabel [m] --xticks 2252.80,6549.77,1000,16 --yticks 1956.49,6600,1000,16 --selected-width 1 --edge-width .5 -o Flowrouter-3-Router3_144.png --edge-color #606060 --selected-color #800000 --title "Router3_144" /</v>
      </c>
    </row>
    <row r="54" spans="2:5" x14ac:dyDescent="0.25">
      <c r="B54" s="5" t="s">
        <v>1307</v>
      </c>
      <c r="D54" s="7" t="str">
        <f t="shared" si="0"/>
        <v>-o Flowrouter-3-Router3_145.png</v>
      </c>
      <c r="E54" s="9" t="str">
        <f t="shared" si="1"/>
        <v>python C:\Sumo\SUMO-0.31.0\sumo-0.31.0\tools\visualization\plot_net_selection.py -n C:\Users\Biko\Dropbox\PhD\Research\Models\SUMO\SUMO_DropBox\Run-Files-Dropbox\W_Philly_OSM_Clipped-9.1-DB.net.xml -i C:\Sumo\runs\West_Philly\DFROUTER-output\Flow_Router_text_Files\Flowrouter-3-Router3_145.txt --xlabel [m] --ylabel [m] --xticks 2252.80,6549.77,1000,16 --yticks 1956.49,6600,1000,16 --selected-width 1 --edge-width .5 -o Flowrouter-3-Router3_145.png --edge-color #606060 --selected-color #800000 --title "Router3_145" /</v>
      </c>
    </row>
    <row r="55" spans="2:5" x14ac:dyDescent="0.25">
      <c r="B55" s="5" t="s">
        <v>1308</v>
      </c>
      <c r="D55" s="7" t="str">
        <f t="shared" si="0"/>
        <v>-o Flowrouter-3-Router3_146.png</v>
      </c>
      <c r="E55" s="9" t="str">
        <f t="shared" si="1"/>
        <v>python C:\Sumo\SUMO-0.31.0\sumo-0.31.0\tools\visualization\plot_net_selection.py -n C:\Users\Biko\Dropbox\PhD\Research\Models\SUMO\SUMO_DropBox\Run-Files-Dropbox\W_Philly_OSM_Clipped-9.1-DB.net.xml -i C:\Sumo\runs\West_Philly\DFROUTER-output\Flow_Router_text_Files\Flowrouter-3-Router3_146.txt --xlabel [m] --ylabel [m] --xticks 2252.80,6549.77,1000,16 --yticks 1956.49,6600,1000,16 --selected-width 1 --edge-width .5 -o Flowrouter-3-Router3_146.png --edge-color #606060 --selected-color #800000 --title "Router3_146" /</v>
      </c>
    </row>
    <row r="56" spans="2:5" x14ac:dyDescent="0.25">
      <c r="B56" s="5" t="s">
        <v>1309</v>
      </c>
      <c r="D56" s="7" t="str">
        <f t="shared" si="0"/>
        <v>-o Flowrouter-3-Router3_147.png</v>
      </c>
      <c r="E56" s="9" t="str">
        <f t="shared" si="1"/>
        <v>python C:\Sumo\SUMO-0.31.0\sumo-0.31.0\tools\visualization\plot_net_selection.py -n C:\Users\Biko\Dropbox\PhD\Research\Models\SUMO\SUMO_DropBox\Run-Files-Dropbox\W_Philly_OSM_Clipped-9.1-DB.net.xml -i C:\Sumo\runs\West_Philly\DFROUTER-output\Flow_Router_text_Files\Flowrouter-3-Router3_147.txt --xlabel [m] --ylabel [m] --xticks 2252.80,6549.77,1000,16 --yticks 1956.49,6600,1000,16 --selected-width 1 --edge-width .5 -o Flowrouter-3-Router3_147.png --edge-color #606060 --selected-color #800000 --title "Router3_147" /</v>
      </c>
    </row>
    <row r="57" spans="2:5" x14ac:dyDescent="0.25">
      <c r="B57" s="5" t="s">
        <v>1310</v>
      </c>
      <c r="D57" s="7" t="str">
        <f t="shared" si="0"/>
        <v>-o Flowrouter-3-Router3_148.png</v>
      </c>
      <c r="E57" s="9" t="str">
        <f t="shared" si="1"/>
        <v>python C:\Sumo\SUMO-0.31.0\sumo-0.31.0\tools\visualization\plot_net_selection.py -n C:\Users\Biko\Dropbox\PhD\Research\Models\SUMO\SUMO_DropBox\Run-Files-Dropbox\W_Philly_OSM_Clipped-9.1-DB.net.xml -i C:\Sumo\runs\West_Philly\DFROUTER-output\Flow_Router_text_Files\Flowrouter-3-Router3_148.txt --xlabel [m] --ylabel [m] --xticks 2252.80,6549.77,1000,16 --yticks 1956.49,6600,1000,16 --selected-width 1 --edge-width .5 -o Flowrouter-3-Router3_148.png --edge-color #606060 --selected-color #800000 --title "Router3_148" /</v>
      </c>
    </row>
    <row r="58" spans="2:5" x14ac:dyDescent="0.25">
      <c r="B58" s="5" t="s">
        <v>1311</v>
      </c>
      <c r="D58" s="7" t="str">
        <f t="shared" si="0"/>
        <v>-o Flowrouter-3-Router3_149.png</v>
      </c>
      <c r="E58" s="9" t="str">
        <f t="shared" si="1"/>
        <v>python C:\Sumo\SUMO-0.31.0\sumo-0.31.0\tools\visualization\plot_net_selection.py -n C:\Users\Biko\Dropbox\PhD\Research\Models\SUMO\SUMO_DropBox\Run-Files-Dropbox\W_Philly_OSM_Clipped-9.1-DB.net.xml -i C:\Sumo\runs\West_Philly\DFROUTER-output\Flow_Router_text_Files\Flowrouter-3-Router3_149.txt --xlabel [m] --ylabel [m] --xticks 2252.80,6549.77,1000,16 --yticks 1956.49,6600,1000,16 --selected-width 1 --edge-width .5 -o Flowrouter-3-Router3_149.png --edge-color #606060 --selected-color #800000 --title "Router3_149" /</v>
      </c>
    </row>
    <row r="59" spans="2:5" x14ac:dyDescent="0.25">
      <c r="B59" s="5" t="s">
        <v>1312</v>
      </c>
      <c r="D59" s="7" t="str">
        <f t="shared" si="0"/>
        <v>-o Flowrouter-3-Router3_15.png</v>
      </c>
      <c r="E59" s="9" t="str">
        <f t="shared" si="1"/>
        <v>python C:\Sumo\SUMO-0.31.0\sumo-0.31.0\tools\visualization\plot_net_selection.py -n C:\Users\Biko\Dropbox\PhD\Research\Models\SUMO\SUMO_DropBox\Run-Files-Dropbox\W_Philly_OSM_Clipped-9.1-DB.net.xml -i C:\Sumo\runs\West_Philly\DFROUTER-output\Flow_Router_text_Files\Flowrouter-3-Router3_15.txt --xlabel [m] --ylabel [m] --xticks 2252.80,6549.77,1000,16 --yticks 1956.49,6600,1000,16 --selected-width 1 --edge-width .5 -o Flowrouter-3-Router3_15.png --edge-color #606060 --selected-color #800000 --title "Router3_15" /</v>
      </c>
    </row>
    <row r="60" spans="2:5" x14ac:dyDescent="0.25">
      <c r="B60" s="5" t="s">
        <v>1313</v>
      </c>
      <c r="D60" s="7" t="str">
        <f t="shared" si="0"/>
        <v>-o Flowrouter-3-Router3_150.png</v>
      </c>
      <c r="E60" s="9" t="str">
        <f t="shared" si="1"/>
        <v>python C:\Sumo\SUMO-0.31.0\sumo-0.31.0\tools\visualization\plot_net_selection.py -n C:\Users\Biko\Dropbox\PhD\Research\Models\SUMO\SUMO_DropBox\Run-Files-Dropbox\W_Philly_OSM_Clipped-9.1-DB.net.xml -i C:\Sumo\runs\West_Philly\DFROUTER-output\Flow_Router_text_Files\Flowrouter-3-Router3_150.txt --xlabel [m] --ylabel [m] --xticks 2252.80,6549.77,1000,16 --yticks 1956.49,6600,1000,16 --selected-width 1 --edge-width .5 -o Flowrouter-3-Router3_150.png --edge-color #606060 --selected-color #800000 --title "Router3_150" /</v>
      </c>
    </row>
    <row r="61" spans="2:5" x14ac:dyDescent="0.25">
      <c r="B61" s="5" t="s">
        <v>1314</v>
      </c>
      <c r="D61" s="7" t="str">
        <f t="shared" si="0"/>
        <v>-o Flowrouter-3-Router3_151.png</v>
      </c>
      <c r="E61" s="9" t="str">
        <f t="shared" si="1"/>
        <v>python C:\Sumo\SUMO-0.31.0\sumo-0.31.0\tools\visualization\plot_net_selection.py -n C:\Users\Biko\Dropbox\PhD\Research\Models\SUMO\SUMO_DropBox\Run-Files-Dropbox\W_Philly_OSM_Clipped-9.1-DB.net.xml -i C:\Sumo\runs\West_Philly\DFROUTER-output\Flow_Router_text_Files\Flowrouter-3-Router3_151.txt --xlabel [m] --ylabel [m] --xticks 2252.80,6549.77,1000,16 --yticks 1956.49,6600,1000,16 --selected-width 1 --edge-width .5 -o Flowrouter-3-Router3_151.png --edge-color #606060 --selected-color #800000 --title "Router3_151" /</v>
      </c>
    </row>
    <row r="62" spans="2:5" x14ac:dyDescent="0.25">
      <c r="B62" s="5" t="s">
        <v>1315</v>
      </c>
      <c r="D62" s="7" t="str">
        <f t="shared" si="0"/>
        <v>-o Flowrouter-3-Router3_152.png</v>
      </c>
      <c r="E62" s="9" t="str">
        <f t="shared" si="1"/>
        <v>python C:\Sumo\SUMO-0.31.0\sumo-0.31.0\tools\visualization\plot_net_selection.py -n C:\Users\Biko\Dropbox\PhD\Research\Models\SUMO\SUMO_DropBox\Run-Files-Dropbox\W_Philly_OSM_Clipped-9.1-DB.net.xml -i C:\Sumo\runs\West_Philly\DFROUTER-output\Flow_Router_text_Files\Flowrouter-3-Router3_152.txt --xlabel [m] --ylabel [m] --xticks 2252.80,6549.77,1000,16 --yticks 1956.49,6600,1000,16 --selected-width 1 --edge-width .5 -o Flowrouter-3-Router3_152.png --edge-color #606060 --selected-color #800000 --title "Router3_152" /</v>
      </c>
    </row>
    <row r="63" spans="2:5" x14ac:dyDescent="0.25">
      <c r="B63" s="5" t="s">
        <v>1316</v>
      </c>
      <c r="D63" s="7" t="str">
        <f t="shared" si="0"/>
        <v>-o Flowrouter-3-Router3_153.png</v>
      </c>
      <c r="E63" s="9" t="str">
        <f t="shared" si="1"/>
        <v>python C:\Sumo\SUMO-0.31.0\sumo-0.31.0\tools\visualization\plot_net_selection.py -n C:\Users\Biko\Dropbox\PhD\Research\Models\SUMO\SUMO_DropBox\Run-Files-Dropbox\W_Philly_OSM_Clipped-9.1-DB.net.xml -i C:\Sumo\runs\West_Philly\DFROUTER-output\Flow_Router_text_Files\Flowrouter-3-Router3_153.txt --xlabel [m] --ylabel [m] --xticks 2252.80,6549.77,1000,16 --yticks 1956.49,6600,1000,16 --selected-width 1 --edge-width .5 -o Flowrouter-3-Router3_153.png --edge-color #606060 --selected-color #800000 --title "Router3_153" /</v>
      </c>
    </row>
    <row r="64" spans="2:5" x14ac:dyDescent="0.25">
      <c r="B64" s="5" t="s">
        <v>1317</v>
      </c>
      <c r="D64" s="7" t="str">
        <f t="shared" si="0"/>
        <v>-o Flowrouter-3-Router3_154.png</v>
      </c>
      <c r="E64" s="9" t="str">
        <f t="shared" si="1"/>
        <v>python C:\Sumo\SUMO-0.31.0\sumo-0.31.0\tools\visualization\plot_net_selection.py -n C:\Users\Biko\Dropbox\PhD\Research\Models\SUMO\SUMO_DropBox\Run-Files-Dropbox\W_Philly_OSM_Clipped-9.1-DB.net.xml -i C:\Sumo\runs\West_Philly\DFROUTER-output\Flow_Router_text_Files\Flowrouter-3-Router3_154.txt --xlabel [m] --ylabel [m] --xticks 2252.80,6549.77,1000,16 --yticks 1956.49,6600,1000,16 --selected-width 1 --edge-width .5 -o Flowrouter-3-Router3_154.png --edge-color #606060 --selected-color #800000 --title "Router3_154" /</v>
      </c>
    </row>
    <row r="65" spans="2:5" x14ac:dyDescent="0.25">
      <c r="B65" s="5" t="s">
        <v>1318</v>
      </c>
      <c r="D65" s="7" t="str">
        <f t="shared" si="0"/>
        <v>-o Flowrouter-3-Router3_155.png</v>
      </c>
      <c r="E65" s="9" t="str">
        <f t="shared" si="1"/>
        <v>python C:\Sumo\SUMO-0.31.0\sumo-0.31.0\tools\visualization\plot_net_selection.py -n C:\Users\Biko\Dropbox\PhD\Research\Models\SUMO\SUMO_DropBox\Run-Files-Dropbox\W_Philly_OSM_Clipped-9.1-DB.net.xml -i C:\Sumo\runs\West_Philly\DFROUTER-output\Flow_Router_text_Files\Flowrouter-3-Router3_155.txt --xlabel [m] --ylabel [m] --xticks 2252.80,6549.77,1000,16 --yticks 1956.49,6600,1000,16 --selected-width 1 --edge-width .5 -o Flowrouter-3-Router3_155.png --edge-color #606060 --selected-color #800000 --title "Router3_155" /</v>
      </c>
    </row>
    <row r="66" spans="2:5" x14ac:dyDescent="0.25">
      <c r="B66" s="5" t="s">
        <v>1319</v>
      </c>
      <c r="D66" s="7" t="str">
        <f t="shared" si="0"/>
        <v>-o Flowrouter-3-Router3_156.png</v>
      </c>
      <c r="E66" s="9" t="str">
        <f t="shared" si="1"/>
        <v>python C:\Sumo\SUMO-0.31.0\sumo-0.31.0\tools\visualization\plot_net_selection.py -n C:\Users\Biko\Dropbox\PhD\Research\Models\SUMO\SUMO_DropBox\Run-Files-Dropbox\W_Philly_OSM_Clipped-9.1-DB.net.xml -i C:\Sumo\runs\West_Philly\DFROUTER-output\Flow_Router_text_Files\Flowrouter-3-Router3_156.txt --xlabel [m] --ylabel [m] --xticks 2252.80,6549.77,1000,16 --yticks 1956.49,6600,1000,16 --selected-width 1 --edge-width .5 -o Flowrouter-3-Router3_156.png --edge-color #606060 --selected-color #800000 --title "Router3_156" /</v>
      </c>
    </row>
    <row r="67" spans="2:5" x14ac:dyDescent="0.25">
      <c r="B67" s="5" t="s">
        <v>1320</v>
      </c>
      <c r="D67" s="7" t="str">
        <f t="shared" si="0"/>
        <v>-o Flowrouter-3-Router3_157.png</v>
      </c>
      <c r="E67" s="9" t="str">
        <f t="shared" si="1"/>
        <v>python C:\Sumo\SUMO-0.31.0\sumo-0.31.0\tools\visualization\plot_net_selection.py -n C:\Users\Biko\Dropbox\PhD\Research\Models\SUMO\SUMO_DropBox\Run-Files-Dropbox\W_Philly_OSM_Clipped-9.1-DB.net.xml -i C:\Sumo\runs\West_Philly\DFROUTER-output\Flow_Router_text_Files\Flowrouter-3-Router3_157.txt --xlabel [m] --ylabel [m] --xticks 2252.80,6549.77,1000,16 --yticks 1956.49,6600,1000,16 --selected-width 1 --edge-width .5 -o Flowrouter-3-Router3_157.png --edge-color #606060 --selected-color #800000 --title "Router3_157" /</v>
      </c>
    </row>
    <row r="68" spans="2:5" x14ac:dyDescent="0.25">
      <c r="B68" s="5" t="s">
        <v>1321</v>
      </c>
      <c r="D68" s="7" t="str">
        <f t="shared" ref="D68:D131" si="2">_xlfn.CONCAT("-o ",LEFT(B68,LEN(B68)-4),".png")</f>
        <v>-o Flowrouter-3-Router3_158.png</v>
      </c>
      <c r="E68" s="9" t="str">
        <f t="shared" ref="E68:E131" si="3">_xlfn.CONCAT($A$1,$B$1,B68,$C$1,D68,$E$1,LEFT(RIGHT(B68,LEN(B68)-13),LEN(RIGHT(B68,LEN(B68)-13))-4),$F$1)</f>
        <v>python C:\Sumo\SUMO-0.31.0\sumo-0.31.0\tools\visualization\plot_net_selection.py -n C:\Users\Biko\Dropbox\PhD\Research\Models\SUMO\SUMO_DropBox\Run-Files-Dropbox\W_Philly_OSM_Clipped-9.1-DB.net.xml -i C:\Sumo\runs\West_Philly\DFROUTER-output\Flow_Router_text_Files\Flowrouter-3-Router3_158.txt --xlabel [m] --ylabel [m] --xticks 2252.80,6549.77,1000,16 --yticks 1956.49,6600,1000,16 --selected-width 1 --edge-width .5 -o Flowrouter-3-Router3_158.png --edge-color #606060 --selected-color #800000 --title "Router3_158" /</v>
      </c>
    </row>
    <row r="69" spans="2:5" x14ac:dyDescent="0.25">
      <c r="B69" s="5" t="s">
        <v>1322</v>
      </c>
      <c r="D69" s="7" t="str">
        <f t="shared" si="2"/>
        <v>-o Flowrouter-3-Router3_159.png</v>
      </c>
      <c r="E69" s="9" t="str">
        <f t="shared" si="3"/>
        <v>python C:\Sumo\SUMO-0.31.0\sumo-0.31.0\tools\visualization\plot_net_selection.py -n C:\Users\Biko\Dropbox\PhD\Research\Models\SUMO\SUMO_DropBox\Run-Files-Dropbox\W_Philly_OSM_Clipped-9.1-DB.net.xml -i C:\Sumo\runs\West_Philly\DFROUTER-output\Flow_Router_text_Files\Flowrouter-3-Router3_159.txt --xlabel [m] --ylabel [m] --xticks 2252.80,6549.77,1000,16 --yticks 1956.49,6600,1000,16 --selected-width 1 --edge-width .5 -o Flowrouter-3-Router3_159.png --edge-color #606060 --selected-color #800000 --title "Router3_159" /</v>
      </c>
    </row>
    <row r="70" spans="2:5" x14ac:dyDescent="0.25">
      <c r="B70" s="5" t="s">
        <v>1323</v>
      </c>
      <c r="D70" s="7" t="str">
        <f t="shared" si="2"/>
        <v>-o Flowrouter-3-Router3_16.png</v>
      </c>
      <c r="E70" s="9" t="str">
        <f t="shared" si="3"/>
        <v>python C:\Sumo\SUMO-0.31.0\sumo-0.31.0\tools\visualization\plot_net_selection.py -n C:\Users\Biko\Dropbox\PhD\Research\Models\SUMO\SUMO_DropBox\Run-Files-Dropbox\W_Philly_OSM_Clipped-9.1-DB.net.xml -i C:\Sumo\runs\West_Philly\DFROUTER-output\Flow_Router_text_Files\Flowrouter-3-Router3_16.txt --xlabel [m] --ylabel [m] --xticks 2252.80,6549.77,1000,16 --yticks 1956.49,6600,1000,16 --selected-width 1 --edge-width .5 -o Flowrouter-3-Router3_16.png --edge-color #606060 --selected-color #800000 --title "Router3_16" /</v>
      </c>
    </row>
    <row r="71" spans="2:5" x14ac:dyDescent="0.25">
      <c r="B71" s="5" t="s">
        <v>1324</v>
      </c>
      <c r="D71" s="7" t="str">
        <f t="shared" si="2"/>
        <v>-o Flowrouter-3-Router3_160.png</v>
      </c>
      <c r="E71" s="9" t="str">
        <f t="shared" si="3"/>
        <v>python C:\Sumo\SUMO-0.31.0\sumo-0.31.0\tools\visualization\plot_net_selection.py -n C:\Users\Biko\Dropbox\PhD\Research\Models\SUMO\SUMO_DropBox\Run-Files-Dropbox\W_Philly_OSM_Clipped-9.1-DB.net.xml -i C:\Sumo\runs\West_Philly\DFROUTER-output\Flow_Router_text_Files\Flowrouter-3-Router3_160.txt --xlabel [m] --ylabel [m] --xticks 2252.80,6549.77,1000,16 --yticks 1956.49,6600,1000,16 --selected-width 1 --edge-width .5 -o Flowrouter-3-Router3_160.png --edge-color #606060 --selected-color #800000 --title "Router3_160" /</v>
      </c>
    </row>
    <row r="72" spans="2:5" x14ac:dyDescent="0.25">
      <c r="B72" s="5" t="s">
        <v>1325</v>
      </c>
      <c r="D72" s="7" t="str">
        <f t="shared" si="2"/>
        <v>-o Flowrouter-3-Router3_161.png</v>
      </c>
      <c r="E72" s="9" t="str">
        <f t="shared" si="3"/>
        <v>python C:\Sumo\SUMO-0.31.0\sumo-0.31.0\tools\visualization\plot_net_selection.py -n C:\Users\Biko\Dropbox\PhD\Research\Models\SUMO\SUMO_DropBox\Run-Files-Dropbox\W_Philly_OSM_Clipped-9.1-DB.net.xml -i C:\Sumo\runs\West_Philly\DFROUTER-output\Flow_Router_text_Files\Flowrouter-3-Router3_161.txt --xlabel [m] --ylabel [m] --xticks 2252.80,6549.77,1000,16 --yticks 1956.49,6600,1000,16 --selected-width 1 --edge-width .5 -o Flowrouter-3-Router3_161.png --edge-color #606060 --selected-color #800000 --title "Router3_161" /</v>
      </c>
    </row>
    <row r="73" spans="2:5" x14ac:dyDescent="0.25">
      <c r="B73" s="5" t="s">
        <v>1326</v>
      </c>
      <c r="D73" s="7" t="str">
        <f t="shared" si="2"/>
        <v>-o Flowrouter-3-Router3_162.png</v>
      </c>
      <c r="E73" s="9" t="str">
        <f t="shared" si="3"/>
        <v>python C:\Sumo\SUMO-0.31.0\sumo-0.31.0\tools\visualization\plot_net_selection.py -n C:\Users\Biko\Dropbox\PhD\Research\Models\SUMO\SUMO_DropBox\Run-Files-Dropbox\W_Philly_OSM_Clipped-9.1-DB.net.xml -i C:\Sumo\runs\West_Philly\DFROUTER-output\Flow_Router_text_Files\Flowrouter-3-Router3_162.txt --xlabel [m] --ylabel [m] --xticks 2252.80,6549.77,1000,16 --yticks 1956.49,6600,1000,16 --selected-width 1 --edge-width .5 -o Flowrouter-3-Router3_162.png --edge-color #606060 --selected-color #800000 --title "Router3_162" /</v>
      </c>
    </row>
    <row r="74" spans="2:5" x14ac:dyDescent="0.25">
      <c r="B74" s="5" t="s">
        <v>1327</v>
      </c>
      <c r="D74" s="7" t="str">
        <f t="shared" si="2"/>
        <v>-o Flowrouter-3-Router3_163.png</v>
      </c>
      <c r="E74" s="9" t="str">
        <f t="shared" si="3"/>
        <v>python C:\Sumo\SUMO-0.31.0\sumo-0.31.0\tools\visualization\plot_net_selection.py -n C:\Users\Biko\Dropbox\PhD\Research\Models\SUMO\SUMO_DropBox\Run-Files-Dropbox\W_Philly_OSM_Clipped-9.1-DB.net.xml -i C:\Sumo\runs\West_Philly\DFROUTER-output\Flow_Router_text_Files\Flowrouter-3-Router3_163.txt --xlabel [m] --ylabel [m] --xticks 2252.80,6549.77,1000,16 --yticks 1956.49,6600,1000,16 --selected-width 1 --edge-width .5 -o Flowrouter-3-Router3_163.png --edge-color #606060 --selected-color #800000 --title "Router3_163" /</v>
      </c>
    </row>
    <row r="75" spans="2:5" x14ac:dyDescent="0.25">
      <c r="B75" s="5" t="s">
        <v>1328</v>
      </c>
      <c r="D75" s="7" t="str">
        <f t="shared" si="2"/>
        <v>-o Flowrouter-3-Router3_164.png</v>
      </c>
      <c r="E75" s="9" t="str">
        <f t="shared" si="3"/>
        <v>python C:\Sumo\SUMO-0.31.0\sumo-0.31.0\tools\visualization\plot_net_selection.py -n C:\Users\Biko\Dropbox\PhD\Research\Models\SUMO\SUMO_DropBox\Run-Files-Dropbox\W_Philly_OSM_Clipped-9.1-DB.net.xml -i C:\Sumo\runs\West_Philly\DFROUTER-output\Flow_Router_text_Files\Flowrouter-3-Router3_164.txt --xlabel [m] --ylabel [m] --xticks 2252.80,6549.77,1000,16 --yticks 1956.49,6600,1000,16 --selected-width 1 --edge-width .5 -o Flowrouter-3-Router3_164.png --edge-color #606060 --selected-color #800000 --title "Router3_164" /</v>
      </c>
    </row>
    <row r="76" spans="2:5" x14ac:dyDescent="0.25">
      <c r="B76" s="5" t="s">
        <v>1329</v>
      </c>
      <c r="D76" s="7" t="str">
        <f t="shared" si="2"/>
        <v>-o Flowrouter-3-Router3_165.png</v>
      </c>
      <c r="E76" s="9" t="str">
        <f t="shared" si="3"/>
        <v>python C:\Sumo\SUMO-0.31.0\sumo-0.31.0\tools\visualization\plot_net_selection.py -n C:\Users\Biko\Dropbox\PhD\Research\Models\SUMO\SUMO_DropBox\Run-Files-Dropbox\W_Philly_OSM_Clipped-9.1-DB.net.xml -i C:\Sumo\runs\West_Philly\DFROUTER-output\Flow_Router_text_Files\Flowrouter-3-Router3_165.txt --xlabel [m] --ylabel [m] --xticks 2252.80,6549.77,1000,16 --yticks 1956.49,6600,1000,16 --selected-width 1 --edge-width .5 -o Flowrouter-3-Router3_165.png --edge-color #606060 --selected-color #800000 --title "Router3_165" /</v>
      </c>
    </row>
    <row r="77" spans="2:5" x14ac:dyDescent="0.25">
      <c r="B77" s="5" t="s">
        <v>1330</v>
      </c>
      <c r="D77" s="7" t="str">
        <f t="shared" si="2"/>
        <v>-o Flowrouter-3-Router3_166.png</v>
      </c>
      <c r="E77" s="9" t="str">
        <f t="shared" si="3"/>
        <v>python C:\Sumo\SUMO-0.31.0\sumo-0.31.0\tools\visualization\plot_net_selection.py -n C:\Users\Biko\Dropbox\PhD\Research\Models\SUMO\SUMO_DropBox\Run-Files-Dropbox\W_Philly_OSM_Clipped-9.1-DB.net.xml -i C:\Sumo\runs\West_Philly\DFROUTER-output\Flow_Router_text_Files\Flowrouter-3-Router3_166.txt --xlabel [m] --ylabel [m] --xticks 2252.80,6549.77,1000,16 --yticks 1956.49,6600,1000,16 --selected-width 1 --edge-width .5 -o Flowrouter-3-Router3_166.png --edge-color #606060 --selected-color #800000 --title "Router3_166" /</v>
      </c>
    </row>
    <row r="78" spans="2:5" x14ac:dyDescent="0.25">
      <c r="B78" s="5" t="s">
        <v>1331</v>
      </c>
      <c r="D78" s="7" t="str">
        <f t="shared" si="2"/>
        <v>-o Flowrouter-3-Router3_17.png</v>
      </c>
      <c r="E78" s="9" t="str">
        <f t="shared" si="3"/>
        <v>python C:\Sumo\SUMO-0.31.0\sumo-0.31.0\tools\visualization\plot_net_selection.py -n C:\Users\Biko\Dropbox\PhD\Research\Models\SUMO\SUMO_DropBox\Run-Files-Dropbox\W_Philly_OSM_Clipped-9.1-DB.net.xml -i C:\Sumo\runs\West_Philly\DFROUTER-output\Flow_Router_text_Files\Flowrouter-3-Router3_17.txt --xlabel [m] --ylabel [m] --xticks 2252.80,6549.77,1000,16 --yticks 1956.49,6600,1000,16 --selected-width 1 --edge-width .5 -o Flowrouter-3-Router3_17.png --edge-color #606060 --selected-color #800000 --title "Router3_17" /</v>
      </c>
    </row>
    <row r="79" spans="2:5" x14ac:dyDescent="0.25">
      <c r="B79" s="5" t="s">
        <v>1332</v>
      </c>
      <c r="D79" s="7" t="str">
        <f t="shared" si="2"/>
        <v>-o Flowrouter-3-Router3_18.png</v>
      </c>
      <c r="E79" s="9" t="str">
        <f t="shared" si="3"/>
        <v>python C:\Sumo\SUMO-0.31.0\sumo-0.31.0\tools\visualization\plot_net_selection.py -n C:\Users\Biko\Dropbox\PhD\Research\Models\SUMO\SUMO_DropBox\Run-Files-Dropbox\W_Philly_OSM_Clipped-9.1-DB.net.xml -i C:\Sumo\runs\West_Philly\DFROUTER-output\Flow_Router_text_Files\Flowrouter-3-Router3_18.txt --xlabel [m] --ylabel [m] --xticks 2252.80,6549.77,1000,16 --yticks 1956.49,6600,1000,16 --selected-width 1 --edge-width .5 -o Flowrouter-3-Router3_18.png --edge-color #606060 --selected-color #800000 --title "Router3_18" /</v>
      </c>
    </row>
    <row r="80" spans="2:5" x14ac:dyDescent="0.25">
      <c r="B80" s="5" t="s">
        <v>1333</v>
      </c>
      <c r="D80" s="7" t="str">
        <f t="shared" si="2"/>
        <v>-o Flowrouter-3-Router3_19.png</v>
      </c>
      <c r="E80" s="9" t="str">
        <f t="shared" si="3"/>
        <v>python C:\Sumo\SUMO-0.31.0\sumo-0.31.0\tools\visualization\plot_net_selection.py -n C:\Users\Biko\Dropbox\PhD\Research\Models\SUMO\SUMO_DropBox\Run-Files-Dropbox\W_Philly_OSM_Clipped-9.1-DB.net.xml -i C:\Sumo\runs\West_Philly\DFROUTER-output\Flow_Router_text_Files\Flowrouter-3-Router3_19.txt --xlabel [m] --ylabel [m] --xticks 2252.80,6549.77,1000,16 --yticks 1956.49,6600,1000,16 --selected-width 1 --edge-width .5 -o Flowrouter-3-Router3_19.png --edge-color #606060 --selected-color #800000 --title "Router3_19" /</v>
      </c>
    </row>
    <row r="81" spans="2:5" x14ac:dyDescent="0.25">
      <c r="B81" s="5" t="s">
        <v>1334</v>
      </c>
      <c r="D81" s="7" t="str">
        <f t="shared" si="2"/>
        <v>-o Flowrouter-3-Router3_2.png</v>
      </c>
      <c r="E81" s="9" t="str">
        <f t="shared" si="3"/>
        <v>python C:\Sumo\SUMO-0.31.0\sumo-0.31.0\tools\visualization\plot_net_selection.py -n C:\Users\Biko\Dropbox\PhD\Research\Models\SUMO\SUMO_DropBox\Run-Files-Dropbox\W_Philly_OSM_Clipped-9.1-DB.net.xml -i C:\Sumo\runs\West_Philly\DFROUTER-output\Flow_Router_text_Files\Flowrouter-3-Router3_2.txt --xlabel [m] --ylabel [m] --xticks 2252.80,6549.77,1000,16 --yticks 1956.49,6600,1000,16 --selected-width 1 --edge-width .5 -o Flowrouter-3-Router3_2.png --edge-color #606060 --selected-color #800000 --title "Router3_2" /</v>
      </c>
    </row>
    <row r="82" spans="2:5" x14ac:dyDescent="0.25">
      <c r="B82" s="5" t="s">
        <v>1335</v>
      </c>
      <c r="D82" s="7" t="str">
        <f t="shared" si="2"/>
        <v>-o Flowrouter-3-Router3_20.png</v>
      </c>
      <c r="E82" s="9" t="str">
        <f t="shared" si="3"/>
        <v>python C:\Sumo\SUMO-0.31.0\sumo-0.31.0\tools\visualization\plot_net_selection.py -n C:\Users\Biko\Dropbox\PhD\Research\Models\SUMO\SUMO_DropBox\Run-Files-Dropbox\W_Philly_OSM_Clipped-9.1-DB.net.xml -i C:\Sumo\runs\West_Philly\DFROUTER-output\Flow_Router_text_Files\Flowrouter-3-Router3_20.txt --xlabel [m] --ylabel [m] --xticks 2252.80,6549.77,1000,16 --yticks 1956.49,6600,1000,16 --selected-width 1 --edge-width .5 -o Flowrouter-3-Router3_20.png --edge-color #606060 --selected-color #800000 --title "Router3_20" /</v>
      </c>
    </row>
    <row r="83" spans="2:5" x14ac:dyDescent="0.25">
      <c r="B83" s="5" t="s">
        <v>1336</v>
      </c>
      <c r="D83" s="7" t="str">
        <f t="shared" si="2"/>
        <v>-o Flowrouter-3-Router3_21.png</v>
      </c>
      <c r="E83" s="9" t="str">
        <f t="shared" si="3"/>
        <v>python C:\Sumo\SUMO-0.31.0\sumo-0.31.0\tools\visualization\plot_net_selection.py -n C:\Users\Biko\Dropbox\PhD\Research\Models\SUMO\SUMO_DropBox\Run-Files-Dropbox\W_Philly_OSM_Clipped-9.1-DB.net.xml -i C:\Sumo\runs\West_Philly\DFROUTER-output\Flow_Router_text_Files\Flowrouter-3-Router3_21.txt --xlabel [m] --ylabel [m] --xticks 2252.80,6549.77,1000,16 --yticks 1956.49,6600,1000,16 --selected-width 1 --edge-width .5 -o Flowrouter-3-Router3_21.png --edge-color #606060 --selected-color #800000 --title "Router3_21" /</v>
      </c>
    </row>
    <row r="84" spans="2:5" x14ac:dyDescent="0.25">
      <c r="B84" s="5" t="s">
        <v>1337</v>
      </c>
      <c r="D84" s="7" t="str">
        <f t="shared" si="2"/>
        <v>-o Flowrouter-3-Router3_22.png</v>
      </c>
      <c r="E84" s="9" t="str">
        <f t="shared" si="3"/>
        <v>python C:\Sumo\SUMO-0.31.0\sumo-0.31.0\tools\visualization\plot_net_selection.py -n C:\Users\Biko\Dropbox\PhD\Research\Models\SUMO\SUMO_DropBox\Run-Files-Dropbox\W_Philly_OSM_Clipped-9.1-DB.net.xml -i C:\Sumo\runs\West_Philly\DFROUTER-output\Flow_Router_text_Files\Flowrouter-3-Router3_22.txt --xlabel [m] --ylabel [m] --xticks 2252.80,6549.77,1000,16 --yticks 1956.49,6600,1000,16 --selected-width 1 --edge-width .5 -o Flowrouter-3-Router3_22.png --edge-color #606060 --selected-color #800000 --title "Router3_22" /</v>
      </c>
    </row>
    <row r="85" spans="2:5" x14ac:dyDescent="0.25">
      <c r="B85" s="5" t="s">
        <v>1338</v>
      </c>
      <c r="D85" s="7" t="str">
        <f t="shared" si="2"/>
        <v>-o Flowrouter-3-Router3_23.png</v>
      </c>
      <c r="E85" s="9" t="str">
        <f t="shared" si="3"/>
        <v>python C:\Sumo\SUMO-0.31.0\sumo-0.31.0\tools\visualization\plot_net_selection.py -n C:\Users\Biko\Dropbox\PhD\Research\Models\SUMO\SUMO_DropBox\Run-Files-Dropbox\W_Philly_OSM_Clipped-9.1-DB.net.xml -i C:\Sumo\runs\West_Philly\DFROUTER-output\Flow_Router_text_Files\Flowrouter-3-Router3_23.txt --xlabel [m] --ylabel [m] --xticks 2252.80,6549.77,1000,16 --yticks 1956.49,6600,1000,16 --selected-width 1 --edge-width .5 -o Flowrouter-3-Router3_23.png --edge-color #606060 --selected-color #800000 --title "Router3_23" /</v>
      </c>
    </row>
    <row r="86" spans="2:5" x14ac:dyDescent="0.25">
      <c r="B86" s="5" t="s">
        <v>1339</v>
      </c>
      <c r="D86" s="7" t="str">
        <f t="shared" si="2"/>
        <v>-o Flowrouter-3-Router3_24.png</v>
      </c>
      <c r="E86" s="9" t="str">
        <f t="shared" si="3"/>
        <v>python C:\Sumo\SUMO-0.31.0\sumo-0.31.0\tools\visualization\plot_net_selection.py -n C:\Users\Biko\Dropbox\PhD\Research\Models\SUMO\SUMO_DropBox\Run-Files-Dropbox\W_Philly_OSM_Clipped-9.1-DB.net.xml -i C:\Sumo\runs\West_Philly\DFROUTER-output\Flow_Router_text_Files\Flowrouter-3-Router3_24.txt --xlabel [m] --ylabel [m] --xticks 2252.80,6549.77,1000,16 --yticks 1956.49,6600,1000,16 --selected-width 1 --edge-width .5 -o Flowrouter-3-Router3_24.png --edge-color #606060 --selected-color #800000 --title "Router3_24" /</v>
      </c>
    </row>
    <row r="87" spans="2:5" x14ac:dyDescent="0.25">
      <c r="B87" s="5" t="s">
        <v>1340</v>
      </c>
      <c r="D87" s="7" t="str">
        <f t="shared" si="2"/>
        <v>-o Flowrouter-3-Router3_25.png</v>
      </c>
      <c r="E87" s="9" t="str">
        <f t="shared" si="3"/>
        <v>python C:\Sumo\SUMO-0.31.0\sumo-0.31.0\tools\visualization\plot_net_selection.py -n C:\Users\Biko\Dropbox\PhD\Research\Models\SUMO\SUMO_DropBox\Run-Files-Dropbox\W_Philly_OSM_Clipped-9.1-DB.net.xml -i C:\Sumo\runs\West_Philly\DFROUTER-output\Flow_Router_text_Files\Flowrouter-3-Router3_25.txt --xlabel [m] --ylabel [m] --xticks 2252.80,6549.77,1000,16 --yticks 1956.49,6600,1000,16 --selected-width 1 --edge-width .5 -o Flowrouter-3-Router3_25.png --edge-color #606060 --selected-color #800000 --title "Router3_25" /</v>
      </c>
    </row>
    <row r="88" spans="2:5" x14ac:dyDescent="0.25">
      <c r="B88" s="5" t="s">
        <v>1341</v>
      </c>
      <c r="D88" s="7" t="str">
        <f t="shared" si="2"/>
        <v>-o Flowrouter-3-Router3_26.png</v>
      </c>
      <c r="E88" s="9" t="str">
        <f t="shared" si="3"/>
        <v>python C:\Sumo\SUMO-0.31.0\sumo-0.31.0\tools\visualization\plot_net_selection.py -n C:\Users\Biko\Dropbox\PhD\Research\Models\SUMO\SUMO_DropBox\Run-Files-Dropbox\W_Philly_OSM_Clipped-9.1-DB.net.xml -i C:\Sumo\runs\West_Philly\DFROUTER-output\Flow_Router_text_Files\Flowrouter-3-Router3_26.txt --xlabel [m] --ylabel [m] --xticks 2252.80,6549.77,1000,16 --yticks 1956.49,6600,1000,16 --selected-width 1 --edge-width .5 -o Flowrouter-3-Router3_26.png --edge-color #606060 --selected-color #800000 --title "Router3_26" /</v>
      </c>
    </row>
    <row r="89" spans="2:5" x14ac:dyDescent="0.25">
      <c r="B89" s="5" t="s">
        <v>1342</v>
      </c>
      <c r="D89" s="7" t="str">
        <f t="shared" si="2"/>
        <v>-o Flowrouter-3-Router3_27.png</v>
      </c>
      <c r="E89" s="9" t="str">
        <f t="shared" si="3"/>
        <v>python C:\Sumo\SUMO-0.31.0\sumo-0.31.0\tools\visualization\plot_net_selection.py -n C:\Users\Biko\Dropbox\PhD\Research\Models\SUMO\SUMO_DropBox\Run-Files-Dropbox\W_Philly_OSM_Clipped-9.1-DB.net.xml -i C:\Sumo\runs\West_Philly\DFROUTER-output\Flow_Router_text_Files\Flowrouter-3-Router3_27.txt --xlabel [m] --ylabel [m] --xticks 2252.80,6549.77,1000,16 --yticks 1956.49,6600,1000,16 --selected-width 1 --edge-width .5 -o Flowrouter-3-Router3_27.png --edge-color #606060 --selected-color #800000 --title "Router3_27" /</v>
      </c>
    </row>
    <row r="90" spans="2:5" x14ac:dyDescent="0.25">
      <c r="B90" s="5" t="s">
        <v>1343</v>
      </c>
      <c r="D90" s="7" t="str">
        <f t="shared" si="2"/>
        <v>-o Flowrouter-3-Router3_28.png</v>
      </c>
      <c r="E90" s="9" t="str">
        <f t="shared" si="3"/>
        <v>python C:\Sumo\SUMO-0.31.0\sumo-0.31.0\tools\visualization\plot_net_selection.py -n C:\Users\Biko\Dropbox\PhD\Research\Models\SUMO\SUMO_DropBox\Run-Files-Dropbox\W_Philly_OSM_Clipped-9.1-DB.net.xml -i C:\Sumo\runs\West_Philly\DFROUTER-output\Flow_Router_text_Files\Flowrouter-3-Router3_28.txt --xlabel [m] --ylabel [m] --xticks 2252.80,6549.77,1000,16 --yticks 1956.49,6600,1000,16 --selected-width 1 --edge-width .5 -o Flowrouter-3-Router3_28.png --edge-color #606060 --selected-color #800000 --title "Router3_28" /</v>
      </c>
    </row>
    <row r="91" spans="2:5" x14ac:dyDescent="0.25">
      <c r="B91" s="5" t="s">
        <v>1344</v>
      </c>
      <c r="D91" s="7" t="str">
        <f t="shared" si="2"/>
        <v>-o Flowrouter-3-Router3_29.png</v>
      </c>
      <c r="E91" s="9" t="str">
        <f t="shared" si="3"/>
        <v>python C:\Sumo\SUMO-0.31.0\sumo-0.31.0\tools\visualization\plot_net_selection.py -n C:\Users\Biko\Dropbox\PhD\Research\Models\SUMO\SUMO_DropBox\Run-Files-Dropbox\W_Philly_OSM_Clipped-9.1-DB.net.xml -i C:\Sumo\runs\West_Philly\DFROUTER-output\Flow_Router_text_Files\Flowrouter-3-Router3_29.txt --xlabel [m] --ylabel [m] --xticks 2252.80,6549.77,1000,16 --yticks 1956.49,6600,1000,16 --selected-width 1 --edge-width .5 -o Flowrouter-3-Router3_29.png --edge-color #606060 --selected-color #800000 --title "Router3_29" /</v>
      </c>
    </row>
    <row r="92" spans="2:5" x14ac:dyDescent="0.25">
      <c r="B92" s="5" t="s">
        <v>1345</v>
      </c>
      <c r="D92" s="7" t="str">
        <f t="shared" si="2"/>
        <v>-o Flowrouter-3-Router3_3.png</v>
      </c>
      <c r="E92" s="9" t="str">
        <f t="shared" si="3"/>
        <v>python C:\Sumo\SUMO-0.31.0\sumo-0.31.0\tools\visualization\plot_net_selection.py -n C:\Users\Biko\Dropbox\PhD\Research\Models\SUMO\SUMO_DropBox\Run-Files-Dropbox\W_Philly_OSM_Clipped-9.1-DB.net.xml -i C:\Sumo\runs\West_Philly\DFROUTER-output\Flow_Router_text_Files\Flowrouter-3-Router3_3.txt --xlabel [m] --ylabel [m] --xticks 2252.80,6549.77,1000,16 --yticks 1956.49,6600,1000,16 --selected-width 1 --edge-width .5 -o Flowrouter-3-Router3_3.png --edge-color #606060 --selected-color #800000 --title "Router3_3" /</v>
      </c>
    </row>
    <row r="93" spans="2:5" x14ac:dyDescent="0.25">
      <c r="B93" s="5" t="s">
        <v>1346</v>
      </c>
      <c r="D93" s="7" t="str">
        <f t="shared" si="2"/>
        <v>-o Flowrouter-3-Router3_30.png</v>
      </c>
      <c r="E93" s="9" t="str">
        <f t="shared" si="3"/>
        <v>python C:\Sumo\SUMO-0.31.0\sumo-0.31.0\tools\visualization\plot_net_selection.py -n C:\Users\Biko\Dropbox\PhD\Research\Models\SUMO\SUMO_DropBox\Run-Files-Dropbox\W_Philly_OSM_Clipped-9.1-DB.net.xml -i C:\Sumo\runs\West_Philly\DFROUTER-output\Flow_Router_text_Files\Flowrouter-3-Router3_30.txt --xlabel [m] --ylabel [m] --xticks 2252.80,6549.77,1000,16 --yticks 1956.49,6600,1000,16 --selected-width 1 --edge-width .5 -o Flowrouter-3-Router3_30.png --edge-color #606060 --selected-color #800000 --title "Router3_30" /</v>
      </c>
    </row>
    <row r="94" spans="2:5" x14ac:dyDescent="0.25">
      <c r="B94" s="5" t="s">
        <v>1347</v>
      </c>
      <c r="D94" s="7" t="str">
        <f t="shared" si="2"/>
        <v>-o Flowrouter-3-Router3_31.png</v>
      </c>
      <c r="E94" s="9" t="str">
        <f t="shared" si="3"/>
        <v>python C:\Sumo\SUMO-0.31.0\sumo-0.31.0\tools\visualization\plot_net_selection.py -n C:\Users\Biko\Dropbox\PhD\Research\Models\SUMO\SUMO_DropBox\Run-Files-Dropbox\W_Philly_OSM_Clipped-9.1-DB.net.xml -i C:\Sumo\runs\West_Philly\DFROUTER-output\Flow_Router_text_Files\Flowrouter-3-Router3_31.txt --xlabel [m] --ylabel [m] --xticks 2252.80,6549.77,1000,16 --yticks 1956.49,6600,1000,16 --selected-width 1 --edge-width .5 -o Flowrouter-3-Router3_31.png --edge-color #606060 --selected-color #800000 --title "Router3_31" /</v>
      </c>
    </row>
    <row r="95" spans="2:5" x14ac:dyDescent="0.25">
      <c r="B95" s="5" t="s">
        <v>1348</v>
      </c>
      <c r="D95" s="7" t="str">
        <f t="shared" si="2"/>
        <v>-o Flowrouter-3-Router3_32.png</v>
      </c>
      <c r="E95" s="9" t="str">
        <f t="shared" si="3"/>
        <v>python C:\Sumo\SUMO-0.31.0\sumo-0.31.0\tools\visualization\plot_net_selection.py -n C:\Users\Biko\Dropbox\PhD\Research\Models\SUMO\SUMO_DropBox\Run-Files-Dropbox\W_Philly_OSM_Clipped-9.1-DB.net.xml -i C:\Sumo\runs\West_Philly\DFROUTER-output\Flow_Router_text_Files\Flowrouter-3-Router3_32.txt --xlabel [m] --ylabel [m] --xticks 2252.80,6549.77,1000,16 --yticks 1956.49,6600,1000,16 --selected-width 1 --edge-width .5 -o Flowrouter-3-Router3_32.png --edge-color #606060 --selected-color #800000 --title "Router3_32" /</v>
      </c>
    </row>
    <row r="96" spans="2:5" x14ac:dyDescent="0.25">
      <c r="B96" s="5" t="s">
        <v>1349</v>
      </c>
      <c r="D96" s="7" t="str">
        <f t="shared" si="2"/>
        <v>-o Flowrouter-3-Router3_33.png</v>
      </c>
      <c r="E96" s="9" t="str">
        <f t="shared" si="3"/>
        <v>python C:\Sumo\SUMO-0.31.0\sumo-0.31.0\tools\visualization\plot_net_selection.py -n C:\Users\Biko\Dropbox\PhD\Research\Models\SUMO\SUMO_DropBox\Run-Files-Dropbox\W_Philly_OSM_Clipped-9.1-DB.net.xml -i C:\Sumo\runs\West_Philly\DFROUTER-output\Flow_Router_text_Files\Flowrouter-3-Router3_33.txt --xlabel [m] --ylabel [m] --xticks 2252.80,6549.77,1000,16 --yticks 1956.49,6600,1000,16 --selected-width 1 --edge-width .5 -o Flowrouter-3-Router3_33.png --edge-color #606060 --selected-color #800000 --title "Router3_33" /</v>
      </c>
    </row>
    <row r="97" spans="2:5" x14ac:dyDescent="0.25">
      <c r="B97" s="5" t="s">
        <v>1350</v>
      </c>
      <c r="D97" s="7" t="str">
        <f t="shared" si="2"/>
        <v>-o Flowrouter-3-Router3_34.png</v>
      </c>
      <c r="E97" s="9" t="str">
        <f t="shared" si="3"/>
        <v>python C:\Sumo\SUMO-0.31.0\sumo-0.31.0\tools\visualization\plot_net_selection.py -n C:\Users\Biko\Dropbox\PhD\Research\Models\SUMO\SUMO_DropBox\Run-Files-Dropbox\W_Philly_OSM_Clipped-9.1-DB.net.xml -i C:\Sumo\runs\West_Philly\DFROUTER-output\Flow_Router_text_Files\Flowrouter-3-Router3_34.txt --xlabel [m] --ylabel [m] --xticks 2252.80,6549.77,1000,16 --yticks 1956.49,6600,1000,16 --selected-width 1 --edge-width .5 -o Flowrouter-3-Router3_34.png --edge-color #606060 --selected-color #800000 --title "Router3_34" /</v>
      </c>
    </row>
    <row r="98" spans="2:5" x14ac:dyDescent="0.25">
      <c r="B98" s="5" t="s">
        <v>1351</v>
      </c>
      <c r="D98" s="7" t="str">
        <f t="shared" si="2"/>
        <v>-o Flowrouter-3-Router3_35.png</v>
      </c>
      <c r="E98" s="9" t="str">
        <f t="shared" si="3"/>
        <v>python C:\Sumo\SUMO-0.31.0\sumo-0.31.0\tools\visualization\plot_net_selection.py -n C:\Users\Biko\Dropbox\PhD\Research\Models\SUMO\SUMO_DropBox\Run-Files-Dropbox\W_Philly_OSM_Clipped-9.1-DB.net.xml -i C:\Sumo\runs\West_Philly\DFROUTER-output\Flow_Router_text_Files\Flowrouter-3-Router3_35.txt --xlabel [m] --ylabel [m] --xticks 2252.80,6549.77,1000,16 --yticks 1956.49,6600,1000,16 --selected-width 1 --edge-width .5 -o Flowrouter-3-Router3_35.png --edge-color #606060 --selected-color #800000 --title "Router3_35" /</v>
      </c>
    </row>
    <row r="99" spans="2:5" x14ac:dyDescent="0.25">
      <c r="B99" s="5" t="s">
        <v>1352</v>
      </c>
      <c r="D99" s="7" t="str">
        <f t="shared" si="2"/>
        <v>-o Flowrouter-3-Router3_36.png</v>
      </c>
      <c r="E99" s="9" t="str">
        <f t="shared" si="3"/>
        <v>python C:\Sumo\SUMO-0.31.0\sumo-0.31.0\tools\visualization\plot_net_selection.py -n C:\Users\Biko\Dropbox\PhD\Research\Models\SUMO\SUMO_DropBox\Run-Files-Dropbox\W_Philly_OSM_Clipped-9.1-DB.net.xml -i C:\Sumo\runs\West_Philly\DFROUTER-output\Flow_Router_text_Files\Flowrouter-3-Router3_36.txt --xlabel [m] --ylabel [m] --xticks 2252.80,6549.77,1000,16 --yticks 1956.49,6600,1000,16 --selected-width 1 --edge-width .5 -o Flowrouter-3-Router3_36.png --edge-color #606060 --selected-color #800000 --title "Router3_36" /</v>
      </c>
    </row>
    <row r="100" spans="2:5" x14ac:dyDescent="0.25">
      <c r="B100" s="5" t="s">
        <v>1353</v>
      </c>
      <c r="D100" s="7" t="str">
        <f t="shared" si="2"/>
        <v>-o Flowrouter-3-Router3_37.png</v>
      </c>
      <c r="E100" s="9" t="str">
        <f t="shared" si="3"/>
        <v>python C:\Sumo\SUMO-0.31.0\sumo-0.31.0\tools\visualization\plot_net_selection.py -n C:\Users\Biko\Dropbox\PhD\Research\Models\SUMO\SUMO_DropBox\Run-Files-Dropbox\W_Philly_OSM_Clipped-9.1-DB.net.xml -i C:\Sumo\runs\West_Philly\DFROUTER-output\Flow_Router_text_Files\Flowrouter-3-Router3_37.txt --xlabel [m] --ylabel [m] --xticks 2252.80,6549.77,1000,16 --yticks 1956.49,6600,1000,16 --selected-width 1 --edge-width .5 -o Flowrouter-3-Router3_37.png --edge-color #606060 --selected-color #800000 --title "Router3_37" /</v>
      </c>
    </row>
    <row r="101" spans="2:5" x14ac:dyDescent="0.25">
      <c r="B101" s="5" t="s">
        <v>1354</v>
      </c>
      <c r="D101" s="7" t="str">
        <f t="shared" si="2"/>
        <v>-o Flowrouter-3-Router3_38.png</v>
      </c>
      <c r="E101" s="9" t="str">
        <f t="shared" si="3"/>
        <v>python C:\Sumo\SUMO-0.31.0\sumo-0.31.0\tools\visualization\plot_net_selection.py -n C:\Users\Biko\Dropbox\PhD\Research\Models\SUMO\SUMO_DropBox\Run-Files-Dropbox\W_Philly_OSM_Clipped-9.1-DB.net.xml -i C:\Sumo\runs\West_Philly\DFROUTER-output\Flow_Router_text_Files\Flowrouter-3-Router3_38.txt --xlabel [m] --ylabel [m] --xticks 2252.80,6549.77,1000,16 --yticks 1956.49,6600,1000,16 --selected-width 1 --edge-width .5 -o Flowrouter-3-Router3_38.png --edge-color #606060 --selected-color #800000 --title "Router3_38" /</v>
      </c>
    </row>
    <row r="102" spans="2:5" x14ac:dyDescent="0.25">
      <c r="B102" s="5" t="s">
        <v>1355</v>
      </c>
      <c r="D102" s="7" t="str">
        <f t="shared" si="2"/>
        <v>-o Flowrouter-3-Router3_39.png</v>
      </c>
      <c r="E102" s="9" t="str">
        <f t="shared" si="3"/>
        <v>python C:\Sumo\SUMO-0.31.0\sumo-0.31.0\tools\visualization\plot_net_selection.py -n C:\Users\Biko\Dropbox\PhD\Research\Models\SUMO\SUMO_DropBox\Run-Files-Dropbox\W_Philly_OSM_Clipped-9.1-DB.net.xml -i C:\Sumo\runs\West_Philly\DFROUTER-output\Flow_Router_text_Files\Flowrouter-3-Router3_39.txt --xlabel [m] --ylabel [m] --xticks 2252.80,6549.77,1000,16 --yticks 1956.49,6600,1000,16 --selected-width 1 --edge-width .5 -o Flowrouter-3-Router3_39.png --edge-color #606060 --selected-color #800000 --title "Router3_39" /</v>
      </c>
    </row>
    <row r="103" spans="2:5" x14ac:dyDescent="0.25">
      <c r="B103" s="5" t="s">
        <v>1356</v>
      </c>
      <c r="D103" s="7" t="str">
        <f t="shared" si="2"/>
        <v>-o Flowrouter-3-Router3_4.png</v>
      </c>
      <c r="E103" s="9" t="str">
        <f t="shared" si="3"/>
        <v>python C:\Sumo\SUMO-0.31.0\sumo-0.31.0\tools\visualization\plot_net_selection.py -n C:\Users\Biko\Dropbox\PhD\Research\Models\SUMO\SUMO_DropBox\Run-Files-Dropbox\W_Philly_OSM_Clipped-9.1-DB.net.xml -i C:\Sumo\runs\West_Philly\DFROUTER-output\Flow_Router_text_Files\Flowrouter-3-Router3_4.txt --xlabel [m] --ylabel [m] --xticks 2252.80,6549.77,1000,16 --yticks 1956.49,6600,1000,16 --selected-width 1 --edge-width .5 -o Flowrouter-3-Router3_4.png --edge-color #606060 --selected-color #800000 --title "Router3_4" /</v>
      </c>
    </row>
    <row r="104" spans="2:5" x14ac:dyDescent="0.25">
      <c r="B104" s="5" t="s">
        <v>1357</v>
      </c>
      <c r="D104" s="7" t="str">
        <f t="shared" si="2"/>
        <v>-o Flowrouter-3-Router3_40.png</v>
      </c>
      <c r="E104" s="9" t="str">
        <f t="shared" si="3"/>
        <v>python C:\Sumo\SUMO-0.31.0\sumo-0.31.0\tools\visualization\plot_net_selection.py -n C:\Users\Biko\Dropbox\PhD\Research\Models\SUMO\SUMO_DropBox\Run-Files-Dropbox\W_Philly_OSM_Clipped-9.1-DB.net.xml -i C:\Sumo\runs\West_Philly\DFROUTER-output\Flow_Router_text_Files\Flowrouter-3-Router3_40.txt --xlabel [m] --ylabel [m] --xticks 2252.80,6549.77,1000,16 --yticks 1956.49,6600,1000,16 --selected-width 1 --edge-width .5 -o Flowrouter-3-Router3_40.png --edge-color #606060 --selected-color #800000 --title "Router3_40" /</v>
      </c>
    </row>
    <row r="105" spans="2:5" x14ac:dyDescent="0.25">
      <c r="B105" s="5" t="s">
        <v>1358</v>
      </c>
      <c r="D105" s="7" t="str">
        <f t="shared" si="2"/>
        <v>-o Flowrouter-3-Router3_41.png</v>
      </c>
      <c r="E105" s="9" t="str">
        <f t="shared" si="3"/>
        <v>python C:\Sumo\SUMO-0.31.0\sumo-0.31.0\tools\visualization\plot_net_selection.py -n C:\Users\Biko\Dropbox\PhD\Research\Models\SUMO\SUMO_DropBox\Run-Files-Dropbox\W_Philly_OSM_Clipped-9.1-DB.net.xml -i C:\Sumo\runs\West_Philly\DFROUTER-output\Flow_Router_text_Files\Flowrouter-3-Router3_41.txt --xlabel [m] --ylabel [m] --xticks 2252.80,6549.77,1000,16 --yticks 1956.49,6600,1000,16 --selected-width 1 --edge-width .5 -o Flowrouter-3-Router3_41.png --edge-color #606060 --selected-color #800000 --title "Router3_41" /</v>
      </c>
    </row>
    <row r="106" spans="2:5" x14ac:dyDescent="0.25">
      <c r="B106" s="5" t="s">
        <v>1359</v>
      </c>
      <c r="D106" s="7" t="str">
        <f t="shared" si="2"/>
        <v>-o Flowrouter-3-Router3_42.png</v>
      </c>
      <c r="E106" s="9" t="str">
        <f t="shared" si="3"/>
        <v>python C:\Sumo\SUMO-0.31.0\sumo-0.31.0\tools\visualization\plot_net_selection.py -n C:\Users\Biko\Dropbox\PhD\Research\Models\SUMO\SUMO_DropBox\Run-Files-Dropbox\W_Philly_OSM_Clipped-9.1-DB.net.xml -i C:\Sumo\runs\West_Philly\DFROUTER-output\Flow_Router_text_Files\Flowrouter-3-Router3_42.txt --xlabel [m] --ylabel [m] --xticks 2252.80,6549.77,1000,16 --yticks 1956.49,6600,1000,16 --selected-width 1 --edge-width .5 -o Flowrouter-3-Router3_42.png --edge-color #606060 --selected-color #800000 --title "Router3_42" /</v>
      </c>
    </row>
    <row r="107" spans="2:5" x14ac:dyDescent="0.25">
      <c r="B107" s="5" t="s">
        <v>1360</v>
      </c>
      <c r="D107" s="7" t="str">
        <f t="shared" si="2"/>
        <v>-o Flowrouter-3-Router3_43.png</v>
      </c>
      <c r="E107" s="9" t="str">
        <f t="shared" si="3"/>
        <v>python C:\Sumo\SUMO-0.31.0\sumo-0.31.0\tools\visualization\plot_net_selection.py -n C:\Users\Biko\Dropbox\PhD\Research\Models\SUMO\SUMO_DropBox\Run-Files-Dropbox\W_Philly_OSM_Clipped-9.1-DB.net.xml -i C:\Sumo\runs\West_Philly\DFROUTER-output\Flow_Router_text_Files\Flowrouter-3-Router3_43.txt --xlabel [m] --ylabel [m] --xticks 2252.80,6549.77,1000,16 --yticks 1956.49,6600,1000,16 --selected-width 1 --edge-width .5 -o Flowrouter-3-Router3_43.png --edge-color #606060 --selected-color #800000 --title "Router3_43" /</v>
      </c>
    </row>
    <row r="108" spans="2:5" x14ac:dyDescent="0.25">
      <c r="B108" s="5" t="s">
        <v>1361</v>
      </c>
      <c r="D108" s="7" t="str">
        <f t="shared" si="2"/>
        <v>-o Flowrouter-3-Router3_44.png</v>
      </c>
      <c r="E108" s="9" t="str">
        <f t="shared" si="3"/>
        <v>python C:\Sumo\SUMO-0.31.0\sumo-0.31.0\tools\visualization\plot_net_selection.py -n C:\Users\Biko\Dropbox\PhD\Research\Models\SUMO\SUMO_DropBox\Run-Files-Dropbox\W_Philly_OSM_Clipped-9.1-DB.net.xml -i C:\Sumo\runs\West_Philly\DFROUTER-output\Flow_Router_text_Files\Flowrouter-3-Router3_44.txt --xlabel [m] --ylabel [m] --xticks 2252.80,6549.77,1000,16 --yticks 1956.49,6600,1000,16 --selected-width 1 --edge-width .5 -o Flowrouter-3-Router3_44.png --edge-color #606060 --selected-color #800000 --title "Router3_44" /</v>
      </c>
    </row>
    <row r="109" spans="2:5" x14ac:dyDescent="0.25">
      <c r="B109" s="5" t="s">
        <v>1362</v>
      </c>
      <c r="D109" s="7" t="str">
        <f t="shared" si="2"/>
        <v>-o Flowrouter-3-Router3_45.png</v>
      </c>
      <c r="E109" s="9" t="str">
        <f t="shared" si="3"/>
        <v>python C:\Sumo\SUMO-0.31.0\sumo-0.31.0\tools\visualization\plot_net_selection.py -n C:\Users\Biko\Dropbox\PhD\Research\Models\SUMO\SUMO_DropBox\Run-Files-Dropbox\W_Philly_OSM_Clipped-9.1-DB.net.xml -i C:\Sumo\runs\West_Philly\DFROUTER-output\Flow_Router_text_Files\Flowrouter-3-Router3_45.txt --xlabel [m] --ylabel [m] --xticks 2252.80,6549.77,1000,16 --yticks 1956.49,6600,1000,16 --selected-width 1 --edge-width .5 -o Flowrouter-3-Router3_45.png --edge-color #606060 --selected-color #800000 --title "Router3_45" /</v>
      </c>
    </row>
    <row r="110" spans="2:5" x14ac:dyDescent="0.25">
      <c r="B110" s="5" t="s">
        <v>1363</v>
      </c>
      <c r="D110" s="7" t="str">
        <f t="shared" si="2"/>
        <v>-o Flowrouter-3-Router3_46.png</v>
      </c>
      <c r="E110" s="9" t="str">
        <f t="shared" si="3"/>
        <v>python C:\Sumo\SUMO-0.31.0\sumo-0.31.0\tools\visualization\plot_net_selection.py -n C:\Users\Biko\Dropbox\PhD\Research\Models\SUMO\SUMO_DropBox\Run-Files-Dropbox\W_Philly_OSM_Clipped-9.1-DB.net.xml -i C:\Sumo\runs\West_Philly\DFROUTER-output\Flow_Router_text_Files\Flowrouter-3-Router3_46.txt --xlabel [m] --ylabel [m] --xticks 2252.80,6549.77,1000,16 --yticks 1956.49,6600,1000,16 --selected-width 1 --edge-width .5 -o Flowrouter-3-Router3_46.png --edge-color #606060 --selected-color #800000 --title "Router3_46" /</v>
      </c>
    </row>
    <row r="111" spans="2:5" x14ac:dyDescent="0.25">
      <c r="B111" s="5" t="s">
        <v>1364</v>
      </c>
      <c r="D111" s="7" t="str">
        <f t="shared" si="2"/>
        <v>-o Flowrouter-3-Router3_47.png</v>
      </c>
      <c r="E111" s="9" t="str">
        <f t="shared" si="3"/>
        <v>python C:\Sumo\SUMO-0.31.0\sumo-0.31.0\tools\visualization\plot_net_selection.py -n C:\Users\Biko\Dropbox\PhD\Research\Models\SUMO\SUMO_DropBox\Run-Files-Dropbox\W_Philly_OSM_Clipped-9.1-DB.net.xml -i C:\Sumo\runs\West_Philly\DFROUTER-output\Flow_Router_text_Files\Flowrouter-3-Router3_47.txt --xlabel [m] --ylabel [m] --xticks 2252.80,6549.77,1000,16 --yticks 1956.49,6600,1000,16 --selected-width 1 --edge-width .5 -o Flowrouter-3-Router3_47.png --edge-color #606060 --selected-color #800000 --title "Router3_47" /</v>
      </c>
    </row>
    <row r="112" spans="2:5" x14ac:dyDescent="0.25">
      <c r="B112" s="5" t="s">
        <v>1365</v>
      </c>
      <c r="D112" s="7" t="str">
        <f t="shared" si="2"/>
        <v>-o Flowrouter-3-Router3_48.png</v>
      </c>
      <c r="E112" s="9" t="str">
        <f t="shared" si="3"/>
        <v>python C:\Sumo\SUMO-0.31.0\sumo-0.31.0\tools\visualization\plot_net_selection.py -n C:\Users\Biko\Dropbox\PhD\Research\Models\SUMO\SUMO_DropBox\Run-Files-Dropbox\W_Philly_OSM_Clipped-9.1-DB.net.xml -i C:\Sumo\runs\West_Philly\DFROUTER-output\Flow_Router_text_Files\Flowrouter-3-Router3_48.txt --xlabel [m] --ylabel [m] --xticks 2252.80,6549.77,1000,16 --yticks 1956.49,6600,1000,16 --selected-width 1 --edge-width .5 -o Flowrouter-3-Router3_48.png --edge-color #606060 --selected-color #800000 --title "Router3_48" /</v>
      </c>
    </row>
    <row r="113" spans="2:5" x14ac:dyDescent="0.25">
      <c r="B113" s="5" t="s">
        <v>1366</v>
      </c>
      <c r="D113" s="7" t="str">
        <f t="shared" si="2"/>
        <v>-o Flowrouter-3-Router3_49.png</v>
      </c>
      <c r="E113" s="9" t="str">
        <f t="shared" si="3"/>
        <v>python C:\Sumo\SUMO-0.31.0\sumo-0.31.0\tools\visualization\plot_net_selection.py -n C:\Users\Biko\Dropbox\PhD\Research\Models\SUMO\SUMO_DropBox\Run-Files-Dropbox\W_Philly_OSM_Clipped-9.1-DB.net.xml -i C:\Sumo\runs\West_Philly\DFROUTER-output\Flow_Router_text_Files\Flowrouter-3-Router3_49.txt --xlabel [m] --ylabel [m] --xticks 2252.80,6549.77,1000,16 --yticks 1956.49,6600,1000,16 --selected-width 1 --edge-width .5 -o Flowrouter-3-Router3_49.png --edge-color #606060 --selected-color #800000 --title "Router3_49" /</v>
      </c>
    </row>
    <row r="114" spans="2:5" x14ac:dyDescent="0.25">
      <c r="B114" s="5" t="s">
        <v>1367</v>
      </c>
      <c r="D114" s="7" t="str">
        <f t="shared" si="2"/>
        <v>-o Flowrouter-3-Router3_5.png</v>
      </c>
      <c r="E114" s="9" t="str">
        <f t="shared" si="3"/>
        <v>python C:\Sumo\SUMO-0.31.0\sumo-0.31.0\tools\visualization\plot_net_selection.py -n C:\Users\Biko\Dropbox\PhD\Research\Models\SUMO\SUMO_DropBox\Run-Files-Dropbox\W_Philly_OSM_Clipped-9.1-DB.net.xml -i C:\Sumo\runs\West_Philly\DFROUTER-output\Flow_Router_text_Files\Flowrouter-3-Router3_5.txt --xlabel [m] --ylabel [m] --xticks 2252.80,6549.77,1000,16 --yticks 1956.49,6600,1000,16 --selected-width 1 --edge-width .5 -o Flowrouter-3-Router3_5.png --edge-color #606060 --selected-color #800000 --title "Router3_5" /</v>
      </c>
    </row>
    <row r="115" spans="2:5" x14ac:dyDescent="0.25">
      <c r="B115" s="5" t="s">
        <v>1368</v>
      </c>
      <c r="D115" s="7" t="str">
        <f t="shared" si="2"/>
        <v>-o Flowrouter-3-Router3_50.png</v>
      </c>
      <c r="E115" s="9" t="str">
        <f t="shared" si="3"/>
        <v>python C:\Sumo\SUMO-0.31.0\sumo-0.31.0\tools\visualization\plot_net_selection.py -n C:\Users\Biko\Dropbox\PhD\Research\Models\SUMO\SUMO_DropBox\Run-Files-Dropbox\W_Philly_OSM_Clipped-9.1-DB.net.xml -i C:\Sumo\runs\West_Philly\DFROUTER-output\Flow_Router_text_Files\Flowrouter-3-Router3_50.txt --xlabel [m] --ylabel [m] --xticks 2252.80,6549.77,1000,16 --yticks 1956.49,6600,1000,16 --selected-width 1 --edge-width .5 -o Flowrouter-3-Router3_50.png --edge-color #606060 --selected-color #800000 --title "Router3_50" /</v>
      </c>
    </row>
    <row r="116" spans="2:5" x14ac:dyDescent="0.25">
      <c r="B116" s="5" t="s">
        <v>1369</v>
      </c>
      <c r="D116" s="7" t="str">
        <f t="shared" si="2"/>
        <v>-o Flowrouter-3-Router3_51.png</v>
      </c>
      <c r="E116" s="9" t="str">
        <f t="shared" si="3"/>
        <v>python C:\Sumo\SUMO-0.31.0\sumo-0.31.0\tools\visualization\plot_net_selection.py -n C:\Users\Biko\Dropbox\PhD\Research\Models\SUMO\SUMO_DropBox\Run-Files-Dropbox\W_Philly_OSM_Clipped-9.1-DB.net.xml -i C:\Sumo\runs\West_Philly\DFROUTER-output\Flow_Router_text_Files\Flowrouter-3-Router3_51.txt --xlabel [m] --ylabel [m] --xticks 2252.80,6549.77,1000,16 --yticks 1956.49,6600,1000,16 --selected-width 1 --edge-width .5 -o Flowrouter-3-Router3_51.png --edge-color #606060 --selected-color #800000 --title "Router3_51" /</v>
      </c>
    </row>
    <row r="117" spans="2:5" x14ac:dyDescent="0.25">
      <c r="B117" s="5" t="s">
        <v>1370</v>
      </c>
      <c r="D117" s="7" t="str">
        <f t="shared" si="2"/>
        <v>-o Flowrouter-3-Router3_52.png</v>
      </c>
      <c r="E117" s="9" t="str">
        <f t="shared" si="3"/>
        <v>python C:\Sumo\SUMO-0.31.0\sumo-0.31.0\tools\visualization\plot_net_selection.py -n C:\Users\Biko\Dropbox\PhD\Research\Models\SUMO\SUMO_DropBox\Run-Files-Dropbox\W_Philly_OSM_Clipped-9.1-DB.net.xml -i C:\Sumo\runs\West_Philly\DFROUTER-output\Flow_Router_text_Files\Flowrouter-3-Router3_52.txt --xlabel [m] --ylabel [m] --xticks 2252.80,6549.77,1000,16 --yticks 1956.49,6600,1000,16 --selected-width 1 --edge-width .5 -o Flowrouter-3-Router3_52.png --edge-color #606060 --selected-color #800000 --title "Router3_52" /</v>
      </c>
    </row>
    <row r="118" spans="2:5" x14ac:dyDescent="0.25">
      <c r="B118" s="5" t="s">
        <v>1371</v>
      </c>
      <c r="D118" s="7" t="str">
        <f t="shared" si="2"/>
        <v>-o Flowrouter-3-Router3_53.png</v>
      </c>
      <c r="E118" s="9" t="str">
        <f t="shared" si="3"/>
        <v>python C:\Sumo\SUMO-0.31.0\sumo-0.31.0\tools\visualization\plot_net_selection.py -n C:\Users\Biko\Dropbox\PhD\Research\Models\SUMO\SUMO_DropBox\Run-Files-Dropbox\W_Philly_OSM_Clipped-9.1-DB.net.xml -i C:\Sumo\runs\West_Philly\DFROUTER-output\Flow_Router_text_Files\Flowrouter-3-Router3_53.txt --xlabel [m] --ylabel [m] --xticks 2252.80,6549.77,1000,16 --yticks 1956.49,6600,1000,16 --selected-width 1 --edge-width .5 -o Flowrouter-3-Router3_53.png --edge-color #606060 --selected-color #800000 --title "Router3_53" /</v>
      </c>
    </row>
    <row r="119" spans="2:5" x14ac:dyDescent="0.25">
      <c r="B119" s="5" t="s">
        <v>1372</v>
      </c>
      <c r="D119" s="7" t="str">
        <f t="shared" si="2"/>
        <v>-o Flowrouter-3-Router3_54.png</v>
      </c>
      <c r="E119" s="9" t="str">
        <f t="shared" si="3"/>
        <v>python C:\Sumo\SUMO-0.31.0\sumo-0.31.0\tools\visualization\plot_net_selection.py -n C:\Users\Biko\Dropbox\PhD\Research\Models\SUMO\SUMO_DropBox\Run-Files-Dropbox\W_Philly_OSM_Clipped-9.1-DB.net.xml -i C:\Sumo\runs\West_Philly\DFROUTER-output\Flow_Router_text_Files\Flowrouter-3-Router3_54.txt --xlabel [m] --ylabel [m] --xticks 2252.80,6549.77,1000,16 --yticks 1956.49,6600,1000,16 --selected-width 1 --edge-width .5 -o Flowrouter-3-Router3_54.png --edge-color #606060 --selected-color #800000 --title "Router3_54" /</v>
      </c>
    </row>
    <row r="120" spans="2:5" x14ac:dyDescent="0.25">
      <c r="B120" s="5" t="s">
        <v>1373</v>
      </c>
      <c r="D120" s="7" t="str">
        <f t="shared" si="2"/>
        <v>-o Flowrouter-3-Router3_55.png</v>
      </c>
      <c r="E120" s="9" t="str">
        <f t="shared" si="3"/>
        <v>python C:\Sumo\SUMO-0.31.0\sumo-0.31.0\tools\visualization\plot_net_selection.py -n C:\Users\Biko\Dropbox\PhD\Research\Models\SUMO\SUMO_DropBox\Run-Files-Dropbox\W_Philly_OSM_Clipped-9.1-DB.net.xml -i C:\Sumo\runs\West_Philly\DFROUTER-output\Flow_Router_text_Files\Flowrouter-3-Router3_55.txt --xlabel [m] --ylabel [m] --xticks 2252.80,6549.77,1000,16 --yticks 1956.49,6600,1000,16 --selected-width 1 --edge-width .5 -o Flowrouter-3-Router3_55.png --edge-color #606060 --selected-color #800000 --title "Router3_55" /</v>
      </c>
    </row>
    <row r="121" spans="2:5" x14ac:dyDescent="0.25">
      <c r="B121" s="5" t="s">
        <v>1374</v>
      </c>
      <c r="D121" s="7" t="str">
        <f t="shared" si="2"/>
        <v>-o Flowrouter-3-Router3_56.png</v>
      </c>
      <c r="E121" s="9" t="str">
        <f t="shared" si="3"/>
        <v>python C:\Sumo\SUMO-0.31.0\sumo-0.31.0\tools\visualization\plot_net_selection.py -n C:\Users\Biko\Dropbox\PhD\Research\Models\SUMO\SUMO_DropBox\Run-Files-Dropbox\W_Philly_OSM_Clipped-9.1-DB.net.xml -i C:\Sumo\runs\West_Philly\DFROUTER-output\Flow_Router_text_Files\Flowrouter-3-Router3_56.txt --xlabel [m] --ylabel [m] --xticks 2252.80,6549.77,1000,16 --yticks 1956.49,6600,1000,16 --selected-width 1 --edge-width .5 -o Flowrouter-3-Router3_56.png --edge-color #606060 --selected-color #800000 --title "Router3_56" /</v>
      </c>
    </row>
    <row r="122" spans="2:5" x14ac:dyDescent="0.25">
      <c r="B122" s="5" t="s">
        <v>1375</v>
      </c>
      <c r="D122" s="7" t="str">
        <f t="shared" si="2"/>
        <v>-o Flowrouter-3-Router3_57.png</v>
      </c>
      <c r="E122" s="9" t="str">
        <f t="shared" si="3"/>
        <v>python C:\Sumo\SUMO-0.31.0\sumo-0.31.0\tools\visualization\plot_net_selection.py -n C:\Users\Biko\Dropbox\PhD\Research\Models\SUMO\SUMO_DropBox\Run-Files-Dropbox\W_Philly_OSM_Clipped-9.1-DB.net.xml -i C:\Sumo\runs\West_Philly\DFROUTER-output\Flow_Router_text_Files\Flowrouter-3-Router3_57.txt --xlabel [m] --ylabel [m] --xticks 2252.80,6549.77,1000,16 --yticks 1956.49,6600,1000,16 --selected-width 1 --edge-width .5 -o Flowrouter-3-Router3_57.png --edge-color #606060 --selected-color #800000 --title "Router3_57" /</v>
      </c>
    </row>
    <row r="123" spans="2:5" x14ac:dyDescent="0.25">
      <c r="B123" s="5" t="s">
        <v>1376</v>
      </c>
      <c r="D123" s="7" t="str">
        <f t="shared" si="2"/>
        <v>-o Flowrouter-3-Router3_58.png</v>
      </c>
      <c r="E123" s="9" t="str">
        <f t="shared" si="3"/>
        <v>python C:\Sumo\SUMO-0.31.0\sumo-0.31.0\tools\visualization\plot_net_selection.py -n C:\Users\Biko\Dropbox\PhD\Research\Models\SUMO\SUMO_DropBox\Run-Files-Dropbox\W_Philly_OSM_Clipped-9.1-DB.net.xml -i C:\Sumo\runs\West_Philly\DFROUTER-output\Flow_Router_text_Files\Flowrouter-3-Router3_58.txt --xlabel [m] --ylabel [m] --xticks 2252.80,6549.77,1000,16 --yticks 1956.49,6600,1000,16 --selected-width 1 --edge-width .5 -o Flowrouter-3-Router3_58.png --edge-color #606060 --selected-color #800000 --title "Router3_58" /</v>
      </c>
    </row>
    <row r="124" spans="2:5" x14ac:dyDescent="0.25">
      <c r="B124" s="5" t="s">
        <v>1377</v>
      </c>
      <c r="D124" s="7" t="str">
        <f t="shared" si="2"/>
        <v>-o Flowrouter-3-Router3_59.png</v>
      </c>
      <c r="E124" s="9" t="str">
        <f t="shared" si="3"/>
        <v>python C:\Sumo\SUMO-0.31.0\sumo-0.31.0\tools\visualization\plot_net_selection.py -n C:\Users\Biko\Dropbox\PhD\Research\Models\SUMO\SUMO_DropBox\Run-Files-Dropbox\W_Philly_OSM_Clipped-9.1-DB.net.xml -i C:\Sumo\runs\West_Philly\DFROUTER-output\Flow_Router_text_Files\Flowrouter-3-Router3_59.txt --xlabel [m] --ylabel [m] --xticks 2252.80,6549.77,1000,16 --yticks 1956.49,6600,1000,16 --selected-width 1 --edge-width .5 -o Flowrouter-3-Router3_59.png --edge-color #606060 --selected-color #800000 --title "Router3_59" /</v>
      </c>
    </row>
    <row r="125" spans="2:5" x14ac:dyDescent="0.25">
      <c r="B125" s="5" t="s">
        <v>1378</v>
      </c>
      <c r="D125" s="7" t="str">
        <f t="shared" si="2"/>
        <v>-o Flowrouter-3-Router3_6.png</v>
      </c>
      <c r="E125" s="9" t="str">
        <f t="shared" si="3"/>
        <v>python C:\Sumo\SUMO-0.31.0\sumo-0.31.0\tools\visualization\plot_net_selection.py -n C:\Users\Biko\Dropbox\PhD\Research\Models\SUMO\SUMO_DropBox\Run-Files-Dropbox\W_Philly_OSM_Clipped-9.1-DB.net.xml -i C:\Sumo\runs\West_Philly\DFROUTER-output\Flow_Router_text_Files\Flowrouter-3-Router3_6.txt --xlabel [m] --ylabel [m] --xticks 2252.80,6549.77,1000,16 --yticks 1956.49,6600,1000,16 --selected-width 1 --edge-width .5 -o Flowrouter-3-Router3_6.png --edge-color #606060 --selected-color #800000 --title "Router3_6" /</v>
      </c>
    </row>
    <row r="126" spans="2:5" x14ac:dyDescent="0.25">
      <c r="B126" s="5" t="s">
        <v>1379</v>
      </c>
      <c r="D126" s="7" t="str">
        <f t="shared" si="2"/>
        <v>-o Flowrouter-3-Router3_60.png</v>
      </c>
      <c r="E126" s="9" t="str">
        <f t="shared" si="3"/>
        <v>python C:\Sumo\SUMO-0.31.0\sumo-0.31.0\tools\visualization\plot_net_selection.py -n C:\Users\Biko\Dropbox\PhD\Research\Models\SUMO\SUMO_DropBox\Run-Files-Dropbox\W_Philly_OSM_Clipped-9.1-DB.net.xml -i C:\Sumo\runs\West_Philly\DFROUTER-output\Flow_Router_text_Files\Flowrouter-3-Router3_60.txt --xlabel [m] --ylabel [m] --xticks 2252.80,6549.77,1000,16 --yticks 1956.49,6600,1000,16 --selected-width 1 --edge-width .5 -o Flowrouter-3-Router3_60.png --edge-color #606060 --selected-color #800000 --title "Router3_60" /</v>
      </c>
    </row>
    <row r="127" spans="2:5" x14ac:dyDescent="0.25">
      <c r="B127" s="5" t="s">
        <v>1380</v>
      </c>
      <c r="D127" s="7" t="str">
        <f t="shared" si="2"/>
        <v>-o Flowrouter-3-Router3_61.png</v>
      </c>
      <c r="E127" s="9" t="str">
        <f t="shared" si="3"/>
        <v>python C:\Sumo\SUMO-0.31.0\sumo-0.31.0\tools\visualization\plot_net_selection.py -n C:\Users\Biko\Dropbox\PhD\Research\Models\SUMO\SUMO_DropBox\Run-Files-Dropbox\W_Philly_OSM_Clipped-9.1-DB.net.xml -i C:\Sumo\runs\West_Philly\DFROUTER-output\Flow_Router_text_Files\Flowrouter-3-Router3_61.txt --xlabel [m] --ylabel [m] --xticks 2252.80,6549.77,1000,16 --yticks 1956.49,6600,1000,16 --selected-width 1 --edge-width .5 -o Flowrouter-3-Router3_61.png --edge-color #606060 --selected-color #800000 --title "Router3_61" /</v>
      </c>
    </row>
    <row r="128" spans="2:5" x14ac:dyDescent="0.25">
      <c r="B128" s="5" t="s">
        <v>1381</v>
      </c>
      <c r="D128" s="7" t="str">
        <f t="shared" si="2"/>
        <v>-o Flowrouter-3-Router3_62.png</v>
      </c>
      <c r="E128" s="9" t="str">
        <f t="shared" si="3"/>
        <v>python C:\Sumo\SUMO-0.31.0\sumo-0.31.0\tools\visualization\plot_net_selection.py -n C:\Users\Biko\Dropbox\PhD\Research\Models\SUMO\SUMO_DropBox\Run-Files-Dropbox\W_Philly_OSM_Clipped-9.1-DB.net.xml -i C:\Sumo\runs\West_Philly\DFROUTER-output\Flow_Router_text_Files\Flowrouter-3-Router3_62.txt --xlabel [m] --ylabel [m] --xticks 2252.80,6549.77,1000,16 --yticks 1956.49,6600,1000,16 --selected-width 1 --edge-width .5 -o Flowrouter-3-Router3_62.png --edge-color #606060 --selected-color #800000 --title "Router3_62" /</v>
      </c>
    </row>
    <row r="129" spans="2:5" x14ac:dyDescent="0.25">
      <c r="B129" s="5" t="s">
        <v>1382</v>
      </c>
      <c r="D129" s="7" t="str">
        <f t="shared" si="2"/>
        <v>-o Flowrouter-3-Router3_63.png</v>
      </c>
      <c r="E129" s="9" t="str">
        <f t="shared" si="3"/>
        <v>python C:\Sumo\SUMO-0.31.0\sumo-0.31.0\tools\visualization\plot_net_selection.py -n C:\Users\Biko\Dropbox\PhD\Research\Models\SUMO\SUMO_DropBox\Run-Files-Dropbox\W_Philly_OSM_Clipped-9.1-DB.net.xml -i C:\Sumo\runs\West_Philly\DFROUTER-output\Flow_Router_text_Files\Flowrouter-3-Router3_63.txt --xlabel [m] --ylabel [m] --xticks 2252.80,6549.77,1000,16 --yticks 1956.49,6600,1000,16 --selected-width 1 --edge-width .5 -o Flowrouter-3-Router3_63.png --edge-color #606060 --selected-color #800000 --title "Router3_63" /</v>
      </c>
    </row>
    <row r="130" spans="2:5" x14ac:dyDescent="0.25">
      <c r="B130" s="5" t="s">
        <v>1383</v>
      </c>
      <c r="D130" s="7" t="str">
        <f t="shared" si="2"/>
        <v>-o Flowrouter-3-Router3_64.png</v>
      </c>
      <c r="E130" s="9" t="str">
        <f t="shared" si="3"/>
        <v>python C:\Sumo\SUMO-0.31.0\sumo-0.31.0\tools\visualization\plot_net_selection.py -n C:\Users\Biko\Dropbox\PhD\Research\Models\SUMO\SUMO_DropBox\Run-Files-Dropbox\W_Philly_OSM_Clipped-9.1-DB.net.xml -i C:\Sumo\runs\West_Philly\DFROUTER-output\Flow_Router_text_Files\Flowrouter-3-Router3_64.txt --xlabel [m] --ylabel [m] --xticks 2252.80,6549.77,1000,16 --yticks 1956.49,6600,1000,16 --selected-width 1 --edge-width .5 -o Flowrouter-3-Router3_64.png --edge-color #606060 --selected-color #800000 --title "Router3_64" /</v>
      </c>
    </row>
    <row r="131" spans="2:5" x14ac:dyDescent="0.25">
      <c r="B131" s="5" t="s">
        <v>1384</v>
      </c>
      <c r="D131" s="7" t="str">
        <f t="shared" si="2"/>
        <v>-o Flowrouter-3-Router3_65.png</v>
      </c>
      <c r="E131" s="9" t="str">
        <f t="shared" si="3"/>
        <v>python C:\Sumo\SUMO-0.31.0\sumo-0.31.0\tools\visualization\plot_net_selection.py -n C:\Users\Biko\Dropbox\PhD\Research\Models\SUMO\SUMO_DropBox\Run-Files-Dropbox\W_Philly_OSM_Clipped-9.1-DB.net.xml -i C:\Sumo\runs\West_Philly\DFROUTER-output\Flow_Router_text_Files\Flowrouter-3-Router3_65.txt --xlabel [m] --ylabel [m] --xticks 2252.80,6549.77,1000,16 --yticks 1956.49,6600,1000,16 --selected-width 1 --edge-width .5 -o Flowrouter-3-Router3_65.png --edge-color #606060 --selected-color #800000 --title "Router3_65" /</v>
      </c>
    </row>
    <row r="132" spans="2:5" x14ac:dyDescent="0.25">
      <c r="B132" s="5" t="s">
        <v>1385</v>
      </c>
      <c r="D132" s="7" t="str">
        <f t="shared" ref="D132:D168" si="4">_xlfn.CONCAT("-o ",LEFT(B132,LEN(B132)-4),".png")</f>
        <v>-o Flowrouter-3-Router3_66.png</v>
      </c>
      <c r="E132" s="9" t="str">
        <f t="shared" ref="E132:E168" si="5">_xlfn.CONCAT($A$1,$B$1,B132,$C$1,D132,$E$1,LEFT(RIGHT(B132,LEN(B132)-13),LEN(RIGHT(B132,LEN(B132)-13))-4),$F$1)</f>
        <v>python C:\Sumo\SUMO-0.31.0\sumo-0.31.0\tools\visualization\plot_net_selection.py -n C:\Users\Biko\Dropbox\PhD\Research\Models\SUMO\SUMO_DropBox\Run-Files-Dropbox\W_Philly_OSM_Clipped-9.1-DB.net.xml -i C:\Sumo\runs\West_Philly\DFROUTER-output\Flow_Router_text_Files\Flowrouter-3-Router3_66.txt --xlabel [m] --ylabel [m] --xticks 2252.80,6549.77,1000,16 --yticks 1956.49,6600,1000,16 --selected-width 1 --edge-width .5 -o Flowrouter-3-Router3_66.png --edge-color #606060 --selected-color #800000 --title "Router3_66" /</v>
      </c>
    </row>
    <row r="133" spans="2:5" x14ac:dyDescent="0.25">
      <c r="B133" s="5" t="s">
        <v>1386</v>
      </c>
      <c r="D133" s="7" t="str">
        <f t="shared" si="4"/>
        <v>-o Flowrouter-3-Router3_67.png</v>
      </c>
      <c r="E133" s="9" t="str">
        <f t="shared" si="5"/>
        <v>python C:\Sumo\SUMO-0.31.0\sumo-0.31.0\tools\visualization\plot_net_selection.py -n C:\Users\Biko\Dropbox\PhD\Research\Models\SUMO\SUMO_DropBox\Run-Files-Dropbox\W_Philly_OSM_Clipped-9.1-DB.net.xml -i C:\Sumo\runs\West_Philly\DFROUTER-output\Flow_Router_text_Files\Flowrouter-3-Router3_67.txt --xlabel [m] --ylabel [m] --xticks 2252.80,6549.77,1000,16 --yticks 1956.49,6600,1000,16 --selected-width 1 --edge-width .5 -o Flowrouter-3-Router3_67.png --edge-color #606060 --selected-color #800000 --title "Router3_67" /</v>
      </c>
    </row>
    <row r="134" spans="2:5" x14ac:dyDescent="0.25">
      <c r="B134" s="5" t="s">
        <v>1387</v>
      </c>
      <c r="D134" s="7" t="str">
        <f t="shared" si="4"/>
        <v>-o Flowrouter-3-Router3_68.png</v>
      </c>
      <c r="E134" s="9" t="str">
        <f t="shared" si="5"/>
        <v>python C:\Sumo\SUMO-0.31.0\sumo-0.31.0\tools\visualization\plot_net_selection.py -n C:\Users\Biko\Dropbox\PhD\Research\Models\SUMO\SUMO_DropBox\Run-Files-Dropbox\W_Philly_OSM_Clipped-9.1-DB.net.xml -i C:\Sumo\runs\West_Philly\DFROUTER-output\Flow_Router_text_Files\Flowrouter-3-Router3_68.txt --xlabel [m] --ylabel [m] --xticks 2252.80,6549.77,1000,16 --yticks 1956.49,6600,1000,16 --selected-width 1 --edge-width .5 -o Flowrouter-3-Router3_68.png --edge-color #606060 --selected-color #800000 --title "Router3_68" /</v>
      </c>
    </row>
    <row r="135" spans="2:5" x14ac:dyDescent="0.25">
      <c r="B135" s="5" t="s">
        <v>1388</v>
      </c>
      <c r="D135" s="7" t="str">
        <f t="shared" si="4"/>
        <v>-o Flowrouter-3-Router3_69.png</v>
      </c>
      <c r="E135" s="9" t="str">
        <f t="shared" si="5"/>
        <v>python C:\Sumo\SUMO-0.31.0\sumo-0.31.0\tools\visualization\plot_net_selection.py -n C:\Users\Biko\Dropbox\PhD\Research\Models\SUMO\SUMO_DropBox\Run-Files-Dropbox\W_Philly_OSM_Clipped-9.1-DB.net.xml -i C:\Sumo\runs\West_Philly\DFROUTER-output\Flow_Router_text_Files\Flowrouter-3-Router3_69.txt --xlabel [m] --ylabel [m] --xticks 2252.80,6549.77,1000,16 --yticks 1956.49,6600,1000,16 --selected-width 1 --edge-width .5 -o Flowrouter-3-Router3_69.png --edge-color #606060 --selected-color #800000 --title "Router3_69" /</v>
      </c>
    </row>
    <row r="136" spans="2:5" x14ac:dyDescent="0.25">
      <c r="B136" s="5" t="s">
        <v>1389</v>
      </c>
      <c r="D136" s="7" t="str">
        <f t="shared" si="4"/>
        <v>-o Flowrouter-3-Router3_7.png</v>
      </c>
      <c r="E136" s="9" t="str">
        <f t="shared" si="5"/>
        <v>python C:\Sumo\SUMO-0.31.0\sumo-0.31.0\tools\visualization\plot_net_selection.py -n C:\Users\Biko\Dropbox\PhD\Research\Models\SUMO\SUMO_DropBox\Run-Files-Dropbox\W_Philly_OSM_Clipped-9.1-DB.net.xml -i C:\Sumo\runs\West_Philly\DFROUTER-output\Flow_Router_text_Files\Flowrouter-3-Router3_7.txt --xlabel [m] --ylabel [m] --xticks 2252.80,6549.77,1000,16 --yticks 1956.49,6600,1000,16 --selected-width 1 --edge-width .5 -o Flowrouter-3-Router3_7.png --edge-color #606060 --selected-color #800000 --title "Router3_7" /</v>
      </c>
    </row>
    <row r="137" spans="2:5" x14ac:dyDescent="0.25">
      <c r="B137" s="5" t="s">
        <v>1390</v>
      </c>
      <c r="D137" s="7" t="str">
        <f t="shared" si="4"/>
        <v>-o Flowrouter-3-Router3_70.png</v>
      </c>
      <c r="E137" s="9" t="str">
        <f t="shared" si="5"/>
        <v>python C:\Sumo\SUMO-0.31.0\sumo-0.31.0\tools\visualization\plot_net_selection.py -n C:\Users\Biko\Dropbox\PhD\Research\Models\SUMO\SUMO_DropBox\Run-Files-Dropbox\W_Philly_OSM_Clipped-9.1-DB.net.xml -i C:\Sumo\runs\West_Philly\DFROUTER-output\Flow_Router_text_Files\Flowrouter-3-Router3_70.txt --xlabel [m] --ylabel [m] --xticks 2252.80,6549.77,1000,16 --yticks 1956.49,6600,1000,16 --selected-width 1 --edge-width .5 -o Flowrouter-3-Router3_70.png --edge-color #606060 --selected-color #800000 --title "Router3_70" /</v>
      </c>
    </row>
    <row r="138" spans="2:5" x14ac:dyDescent="0.25">
      <c r="B138" s="5" t="s">
        <v>1391</v>
      </c>
      <c r="D138" s="7" t="str">
        <f t="shared" si="4"/>
        <v>-o Flowrouter-3-Router3_71.png</v>
      </c>
      <c r="E138" s="9" t="str">
        <f t="shared" si="5"/>
        <v>python C:\Sumo\SUMO-0.31.0\sumo-0.31.0\tools\visualization\plot_net_selection.py -n C:\Users\Biko\Dropbox\PhD\Research\Models\SUMO\SUMO_DropBox\Run-Files-Dropbox\W_Philly_OSM_Clipped-9.1-DB.net.xml -i C:\Sumo\runs\West_Philly\DFROUTER-output\Flow_Router_text_Files\Flowrouter-3-Router3_71.txt --xlabel [m] --ylabel [m] --xticks 2252.80,6549.77,1000,16 --yticks 1956.49,6600,1000,16 --selected-width 1 --edge-width .5 -o Flowrouter-3-Router3_71.png --edge-color #606060 --selected-color #800000 --title "Router3_71" /</v>
      </c>
    </row>
    <row r="139" spans="2:5" x14ac:dyDescent="0.25">
      <c r="B139" s="5" t="s">
        <v>1392</v>
      </c>
      <c r="D139" s="7" t="str">
        <f t="shared" si="4"/>
        <v>-o Flowrouter-3-Router3_72.png</v>
      </c>
      <c r="E139" s="9" t="str">
        <f t="shared" si="5"/>
        <v>python C:\Sumo\SUMO-0.31.0\sumo-0.31.0\tools\visualization\plot_net_selection.py -n C:\Users\Biko\Dropbox\PhD\Research\Models\SUMO\SUMO_DropBox\Run-Files-Dropbox\W_Philly_OSM_Clipped-9.1-DB.net.xml -i C:\Sumo\runs\West_Philly\DFROUTER-output\Flow_Router_text_Files\Flowrouter-3-Router3_72.txt --xlabel [m] --ylabel [m] --xticks 2252.80,6549.77,1000,16 --yticks 1956.49,6600,1000,16 --selected-width 1 --edge-width .5 -o Flowrouter-3-Router3_72.png --edge-color #606060 --selected-color #800000 --title "Router3_72" /</v>
      </c>
    </row>
    <row r="140" spans="2:5" x14ac:dyDescent="0.25">
      <c r="B140" s="5" t="s">
        <v>1393</v>
      </c>
      <c r="D140" s="7" t="str">
        <f t="shared" si="4"/>
        <v>-o Flowrouter-3-Router3_73.png</v>
      </c>
      <c r="E140" s="9" t="str">
        <f t="shared" si="5"/>
        <v>python C:\Sumo\SUMO-0.31.0\sumo-0.31.0\tools\visualization\plot_net_selection.py -n C:\Users\Biko\Dropbox\PhD\Research\Models\SUMO\SUMO_DropBox\Run-Files-Dropbox\W_Philly_OSM_Clipped-9.1-DB.net.xml -i C:\Sumo\runs\West_Philly\DFROUTER-output\Flow_Router_text_Files\Flowrouter-3-Router3_73.txt --xlabel [m] --ylabel [m] --xticks 2252.80,6549.77,1000,16 --yticks 1956.49,6600,1000,16 --selected-width 1 --edge-width .5 -o Flowrouter-3-Router3_73.png --edge-color #606060 --selected-color #800000 --title "Router3_73" /</v>
      </c>
    </row>
    <row r="141" spans="2:5" x14ac:dyDescent="0.25">
      <c r="B141" s="5" t="s">
        <v>1394</v>
      </c>
      <c r="D141" s="7" t="str">
        <f t="shared" si="4"/>
        <v>-o Flowrouter-3-Router3_74.png</v>
      </c>
      <c r="E141" s="9" t="str">
        <f t="shared" si="5"/>
        <v>python C:\Sumo\SUMO-0.31.0\sumo-0.31.0\tools\visualization\plot_net_selection.py -n C:\Users\Biko\Dropbox\PhD\Research\Models\SUMO\SUMO_DropBox\Run-Files-Dropbox\W_Philly_OSM_Clipped-9.1-DB.net.xml -i C:\Sumo\runs\West_Philly\DFROUTER-output\Flow_Router_text_Files\Flowrouter-3-Router3_74.txt --xlabel [m] --ylabel [m] --xticks 2252.80,6549.77,1000,16 --yticks 1956.49,6600,1000,16 --selected-width 1 --edge-width .5 -o Flowrouter-3-Router3_74.png --edge-color #606060 --selected-color #800000 --title "Router3_74" /</v>
      </c>
    </row>
    <row r="142" spans="2:5" x14ac:dyDescent="0.25">
      <c r="B142" s="5" t="s">
        <v>1395</v>
      </c>
      <c r="D142" s="7" t="str">
        <f t="shared" si="4"/>
        <v>-o Flowrouter-3-Router3_75.png</v>
      </c>
      <c r="E142" s="9" t="str">
        <f t="shared" si="5"/>
        <v>python C:\Sumo\SUMO-0.31.0\sumo-0.31.0\tools\visualization\plot_net_selection.py -n C:\Users\Biko\Dropbox\PhD\Research\Models\SUMO\SUMO_DropBox\Run-Files-Dropbox\W_Philly_OSM_Clipped-9.1-DB.net.xml -i C:\Sumo\runs\West_Philly\DFROUTER-output\Flow_Router_text_Files\Flowrouter-3-Router3_75.txt --xlabel [m] --ylabel [m] --xticks 2252.80,6549.77,1000,16 --yticks 1956.49,6600,1000,16 --selected-width 1 --edge-width .5 -o Flowrouter-3-Router3_75.png --edge-color #606060 --selected-color #800000 --title "Router3_75" /</v>
      </c>
    </row>
    <row r="143" spans="2:5" x14ac:dyDescent="0.25">
      <c r="B143" s="5" t="s">
        <v>1396</v>
      </c>
      <c r="D143" s="7" t="str">
        <f t="shared" si="4"/>
        <v>-o Flowrouter-3-Router3_76.png</v>
      </c>
      <c r="E143" s="9" t="str">
        <f t="shared" si="5"/>
        <v>python C:\Sumo\SUMO-0.31.0\sumo-0.31.0\tools\visualization\plot_net_selection.py -n C:\Users\Biko\Dropbox\PhD\Research\Models\SUMO\SUMO_DropBox\Run-Files-Dropbox\W_Philly_OSM_Clipped-9.1-DB.net.xml -i C:\Sumo\runs\West_Philly\DFROUTER-output\Flow_Router_text_Files\Flowrouter-3-Router3_76.txt --xlabel [m] --ylabel [m] --xticks 2252.80,6549.77,1000,16 --yticks 1956.49,6600,1000,16 --selected-width 1 --edge-width .5 -o Flowrouter-3-Router3_76.png --edge-color #606060 --selected-color #800000 --title "Router3_76" /</v>
      </c>
    </row>
    <row r="144" spans="2:5" x14ac:dyDescent="0.25">
      <c r="B144" s="5" t="s">
        <v>1397</v>
      </c>
      <c r="D144" s="7" t="str">
        <f t="shared" si="4"/>
        <v>-o Flowrouter-3-Router3_77.png</v>
      </c>
      <c r="E144" s="9" t="str">
        <f t="shared" si="5"/>
        <v>python C:\Sumo\SUMO-0.31.0\sumo-0.31.0\tools\visualization\plot_net_selection.py -n C:\Users\Biko\Dropbox\PhD\Research\Models\SUMO\SUMO_DropBox\Run-Files-Dropbox\W_Philly_OSM_Clipped-9.1-DB.net.xml -i C:\Sumo\runs\West_Philly\DFROUTER-output\Flow_Router_text_Files\Flowrouter-3-Router3_77.txt --xlabel [m] --ylabel [m] --xticks 2252.80,6549.77,1000,16 --yticks 1956.49,6600,1000,16 --selected-width 1 --edge-width .5 -o Flowrouter-3-Router3_77.png --edge-color #606060 --selected-color #800000 --title "Router3_77" /</v>
      </c>
    </row>
    <row r="145" spans="2:5" x14ac:dyDescent="0.25">
      <c r="B145" s="5" t="s">
        <v>1398</v>
      </c>
      <c r="D145" s="7" t="str">
        <f t="shared" si="4"/>
        <v>-o Flowrouter-3-Router3_78.png</v>
      </c>
      <c r="E145" s="9" t="str">
        <f t="shared" si="5"/>
        <v>python C:\Sumo\SUMO-0.31.0\sumo-0.31.0\tools\visualization\plot_net_selection.py -n C:\Users\Biko\Dropbox\PhD\Research\Models\SUMO\SUMO_DropBox\Run-Files-Dropbox\W_Philly_OSM_Clipped-9.1-DB.net.xml -i C:\Sumo\runs\West_Philly\DFROUTER-output\Flow_Router_text_Files\Flowrouter-3-Router3_78.txt --xlabel [m] --ylabel [m] --xticks 2252.80,6549.77,1000,16 --yticks 1956.49,6600,1000,16 --selected-width 1 --edge-width .5 -o Flowrouter-3-Router3_78.png --edge-color #606060 --selected-color #800000 --title "Router3_78" /</v>
      </c>
    </row>
    <row r="146" spans="2:5" x14ac:dyDescent="0.25">
      <c r="B146" s="5" t="s">
        <v>1399</v>
      </c>
      <c r="D146" s="7" t="str">
        <f t="shared" si="4"/>
        <v>-o Flowrouter-3-Router3_79.png</v>
      </c>
      <c r="E146" s="9" t="str">
        <f t="shared" si="5"/>
        <v>python C:\Sumo\SUMO-0.31.0\sumo-0.31.0\tools\visualization\plot_net_selection.py -n C:\Users\Biko\Dropbox\PhD\Research\Models\SUMO\SUMO_DropBox\Run-Files-Dropbox\W_Philly_OSM_Clipped-9.1-DB.net.xml -i C:\Sumo\runs\West_Philly\DFROUTER-output\Flow_Router_text_Files\Flowrouter-3-Router3_79.txt --xlabel [m] --ylabel [m] --xticks 2252.80,6549.77,1000,16 --yticks 1956.49,6600,1000,16 --selected-width 1 --edge-width .5 -o Flowrouter-3-Router3_79.png --edge-color #606060 --selected-color #800000 --title "Router3_79" /</v>
      </c>
    </row>
    <row r="147" spans="2:5" x14ac:dyDescent="0.25">
      <c r="B147" s="5" t="s">
        <v>1400</v>
      </c>
      <c r="D147" s="7" t="str">
        <f t="shared" si="4"/>
        <v>-o Flowrouter-3-Router3_8.png</v>
      </c>
      <c r="E147" s="9" t="str">
        <f t="shared" si="5"/>
        <v>python C:\Sumo\SUMO-0.31.0\sumo-0.31.0\tools\visualization\plot_net_selection.py -n C:\Users\Biko\Dropbox\PhD\Research\Models\SUMO\SUMO_DropBox\Run-Files-Dropbox\W_Philly_OSM_Clipped-9.1-DB.net.xml -i C:\Sumo\runs\West_Philly\DFROUTER-output\Flow_Router_text_Files\Flowrouter-3-Router3_8.txt --xlabel [m] --ylabel [m] --xticks 2252.80,6549.77,1000,16 --yticks 1956.49,6600,1000,16 --selected-width 1 --edge-width .5 -o Flowrouter-3-Router3_8.png --edge-color #606060 --selected-color #800000 --title "Router3_8" /</v>
      </c>
    </row>
    <row r="148" spans="2:5" x14ac:dyDescent="0.25">
      <c r="B148" s="5" t="s">
        <v>1401</v>
      </c>
      <c r="D148" s="7" t="str">
        <f t="shared" si="4"/>
        <v>-o Flowrouter-3-Router3_80.png</v>
      </c>
      <c r="E148" s="9" t="str">
        <f t="shared" si="5"/>
        <v>python C:\Sumo\SUMO-0.31.0\sumo-0.31.0\tools\visualization\plot_net_selection.py -n C:\Users\Biko\Dropbox\PhD\Research\Models\SUMO\SUMO_DropBox\Run-Files-Dropbox\W_Philly_OSM_Clipped-9.1-DB.net.xml -i C:\Sumo\runs\West_Philly\DFROUTER-output\Flow_Router_text_Files\Flowrouter-3-Router3_80.txt --xlabel [m] --ylabel [m] --xticks 2252.80,6549.77,1000,16 --yticks 1956.49,6600,1000,16 --selected-width 1 --edge-width .5 -o Flowrouter-3-Router3_80.png --edge-color #606060 --selected-color #800000 --title "Router3_80" /</v>
      </c>
    </row>
    <row r="149" spans="2:5" x14ac:dyDescent="0.25">
      <c r="B149" s="5" t="s">
        <v>1402</v>
      </c>
      <c r="D149" s="7" t="str">
        <f t="shared" si="4"/>
        <v>-o Flowrouter-3-Router3_81.png</v>
      </c>
      <c r="E149" s="9" t="str">
        <f t="shared" si="5"/>
        <v>python C:\Sumo\SUMO-0.31.0\sumo-0.31.0\tools\visualization\plot_net_selection.py -n C:\Users\Biko\Dropbox\PhD\Research\Models\SUMO\SUMO_DropBox\Run-Files-Dropbox\W_Philly_OSM_Clipped-9.1-DB.net.xml -i C:\Sumo\runs\West_Philly\DFROUTER-output\Flow_Router_text_Files\Flowrouter-3-Router3_81.txt --xlabel [m] --ylabel [m] --xticks 2252.80,6549.77,1000,16 --yticks 1956.49,6600,1000,16 --selected-width 1 --edge-width .5 -o Flowrouter-3-Router3_81.png --edge-color #606060 --selected-color #800000 --title "Router3_81" /</v>
      </c>
    </row>
    <row r="150" spans="2:5" x14ac:dyDescent="0.25">
      <c r="B150" s="5" t="s">
        <v>1403</v>
      </c>
      <c r="D150" s="7" t="str">
        <f t="shared" si="4"/>
        <v>-o Flowrouter-3-Router3_82.png</v>
      </c>
      <c r="E150" s="9" t="str">
        <f t="shared" si="5"/>
        <v>python C:\Sumo\SUMO-0.31.0\sumo-0.31.0\tools\visualization\plot_net_selection.py -n C:\Users\Biko\Dropbox\PhD\Research\Models\SUMO\SUMO_DropBox\Run-Files-Dropbox\W_Philly_OSM_Clipped-9.1-DB.net.xml -i C:\Sumo\runs\West_Philly\DFROUTER-output\Flow_Router_text_Files\Flowrouter-3-Router3_82.txt --xlabel [m] --ylabel [m] --xticks 2252.80,6549.77,1000,16 --yticks 1956.49,6600,1000,16 --selected-width 1 --edge-width .5 -o Flowrouter-3-Router3_82.png --edge-color #606060 --selected-color #800000 --title "Router3_82" /</v>
      </c>
    </row>
    <row r="151" spans="2:5" x14ac:dyDescent="0.25">
      <c r="B151" s="5" t="s">
        <v>1404</v>
      </c>
      <c r="D151" s="7" t="str">
        <f t="shared" si="4"/>
        <v>-o Flowrouter-3-Router3_83.png</v>
      </c>
      <c r="E151" s="9" t="str">
        <f t="shared" si="5"/>
        <v>python C:\Sumo\SUMO-0.31.0\sumo-0.31.0\tools\visualization\plot_net_selection.py -n C:\Users\Biko\Dropbox\PhD\Research\Models\SUMO\SUMO_DropBox\Run-Files-Dropbox\W_Philly_OSM_Clipped-9.1-DB.net.xml -i C:\Sumo\runs\West_Philly\DFROUTER-output\Flow_Router_text_Files\Flowrouter-3-Router3_83.txt --xlabel [m] --ylabel [m] --xticks 2252.80,6549.77,1000,16 --yticks 1956.49,6600,1000,16 --selected-width 1 --edge-width .5 -o Flowrouter-3-Router3_83.png --edge-color #606060 --selected-color #800000 --title "Router3_83" /</v>
      </c>
    </row>
    <row r="152" spans="2:5" x14ac:dyDescent="0.25">
      <c r="B152" s="5" t="s">
        <v>1405</v>
      </c>
      <c r="D152" s="7" t="str">
        <f t="shared" si="4"/>
        <v>-o Flowrouter-3-Router3_84.png</v>
      </c>
      <c r="E152" s="9" t="str">
        <f t="shared" si="5"/>
        <v>python C:\Sumo\SUMO-0.31.0\sumo-0.31.0\tools\visualization\plot_net_selection.py -n C:\Users\Biko\Dropbox\PhD\Research\Models\SUMO\SUMO_DropBox\Run-Files-Dropbox\W_Philly_OSM_Clipped-9.1-DB.net.xml -i C:\Sumo\runs\West_Philly\DFROUTER-output\Flow_Router_text_Files\Flowrouter-3-Router3_84.txt --xlabel [m] --ylabel [m] --xticks 2252.80,6549.77,1000,16 --yticks 1956.49,6600,1000,16 --selected-width 1 --edge-width .5 -o Flowrouter-3-Router3_84.png --edge-color #606060 --selected-color #800000 --title "Router3_84" /</v>
      </c>
    </row>
    <row r="153" spans="2:5" x14ac:dyDescent="0.25">
      <c r="B153" s="5" t="s">
        <v>1406</v>
      </c>
      <c r="D153" s="7" t="str">
        <f t="shared" si="4"/>
        <v>-o Flowrouter-3-Router3_85.png</v>
      </c>
      <c r="E153" s="9" t="str">
        <f t="shared" si="5"/>
        <v>python C:\Sumo\SUMO-0.31.0\sumo-0.31.0\tools\visualization\plot_net_selection.py -n C:\Users\Biko\Dropbox\PhD\Research\Models\SUMO\SUMO_DropBox\Run-Files-Dropbox\W_Philly_OSM_Clipped-9.1-DB.net.xml -i C:\Sumo\runs\West_Philly\DFROUTER-output\Flow_Router_text_Files\Flowrouter-3-Router3_85.txt --xlabel [m] --ylabel [m] --xticks 2252.80,6549.77,1000,16 --yticks 1956.49,6600,1000,16 --selected-width 1 --edge-width .5 -o Flowrouter-3-Router3_85.png --edge-color #606060 --selected-color #800000 --title "Router3_85" /</v>
      </c>
    </row>
    <row r="154" spans="2:5" x14ac:dyDescent="0.25">
      <c r="B154" s="5" t="s">
        <v>1407</v>
      </c>
      <c r="D154" s="7" t="str">
        <f t="shared" si="4"/>
        <v>-o Flowrouter-3-Router3_86.png</v>
      </c>
      <c r="E154" s="9" t="str">
        <f t="shared" si="5"/>
        <v>python C:\Sumo\SUMO-0.31.0\sumo-0.31.0\tools\visualization\plot_net_selection.py -n C:\Users\Biko\Dropbox\PhD\Research\Models\SUMO\SUMO_DropBox\Run-Files-Dropbox\W_Philly_OSM_Clipped-9.1-DB.net.xml -i C:\Sumo\runs\West_Philly\DFROUTER-output\Flow_Router_text_Files\Flowrouter-3-Router3_86.txt --xlabel [m] --ylabel [m] --xticks 2252.80,6549.77,1000,16 --yticks 1956.49,6600,1000,16 --selected-width 1 --edge-width .5 -o Flowrouter-3-Router3_86.png --edge-color #606060 --selected-color #800000 --title "Router3_86" /</v>
      </c>
    </row>
    <row r="155" spans="2:5" x14ac:dyDescent="0.25">
      <c r="B155" s="5" t="s">
        <v>1408</v>
      </c>
      <c r="D155" s="7" t="str">
        <f t="shared" si="4"/>
        <v>-o Flowrouter-3-Router3_87.png</v>
      </c>
      <c r="E155" s="9" t="str">
        <f t="shared" si="5"/>
        <v>python C:\Sumo\SUMO-0.31.0\sumo-0.31.0\tools\visualization\plot_net_selection.py -n C:\Users\Biko\Dropbox\PhD\Research\Models\SUMO\SUMO_DropBox\Run-Files-Dropbox\W_Philly_OSM_Clipped-9.1-DB.net.xml -i C:\Sumo\runs\West_Philly\DFROUTER-output\Flow_Router_text_Files\Flowrouter-3-Router3_87.txt --xlabel [m] --ylabel [m] --xticks 2252.80,6549.77,1000,16 --yticks 1956.49,6600,1000,16 --selected-width 1 --edge-width .5 -o Flowrouter-3-Router3_87.png --edge-color #606060 --selected-color #800000 --title "Router3_87" /</v>
      </c>
    </row>
    <row r="156" spans="2:5" x14ac:dyDescent="0.25">
      <c r="B156" s="5" t="s">
        <v>1409</v>
      </c>
      <c r="D156" s="7" t="str">
        <f t="shared" si="4"/>
        <v>-o Flowrouter-3-Router3_88.png</v>
      </c>
      <c r="E156" s="9" t="str">
        <f t="shared" si="5"/>
        <v>python C:\Sumo\SUMO-0.31.0\sumo-0.31.0\tools\visualization\plot_net_selection.py -n C:\Users\Biko\Dropbox\PhD\Research\Models\SUMO\SUMO_DropBox\Run-Files-Dropbox\W_Philly_OSM_Clipped-9.1-DB.net.xml -i C:\Sumo\runs\West_Philly\DFROUTER-output\Flow_Router_text_Files\Flowrouter-3-Router3_88.txt --xlabel [m] --ylabel [m] --xticks 2252.80,6549.77,1000,16 --yticks 1956.49,6600,1000,16 --selected-width 1 --edge-width .5 -o Flowrouter-3-Router3_88.png --edge-color #606060 --selected-color #800000 --title "Router3_88" /</v>
      </c>
    </row>
    <row r="157" spans="2:5" x14ac:dyDescent="0.25">
      <c r="B157" s="5" t="s">
        <v>1410</v>
      </c>
      <c r="D157" s="7" t="str">
        <f t="shared" si="4"/>
        <v>-o Flowrouter-3-Router3_89.png</v>
      </c>
      <c r="E157" s="9" t="str">
        <f t="shared" si="5"/>
        <v>python C:\Sumo\SUMO-0.31.0\sumo-0.31.0\tools\visualization\plot_net_selection.py -n C:\Users\Biko\Dropbox\PhD\Research\Models\SUMO\SUMO_DropBox\Run-Files-Dropbox\W_Philly_OSM_Clipped-9.1-DB.net.xml -i C:\Sumo\runs\West_Philly\DFROUTER-output\Flow_Router_text_Files\Flowrouter-3-Router3_89.txt --xlabel [m] --ylabel [m] --xticks 2252.80,6549.77,1000,16 --yticks 1956.49,6600,1000,16 --selected-width 1 --edge-width .5 -o Flowrouter-3-Router3_89.png --edge-color #606060 --selected-color #800000 --title "Router3_89" /</v>
      </c>
    </row>
    <row r="158" spans="2:5" x14ac:dyDescent="0.25">
      <c r="B158" s="5" t="s">
        <v>1411</v>
      </c>
      <c r="D158" s="7" t="str">
        <f t="shared" si="4"/>
        <v>-o Flowrouter-3-Router3_9.png</v>
      </c>
      <c r="E158" s="9" t="str">
        <f t="shared" si="5"/>
        <v>python C:\Sumo\SUMO-0.31.0\sumo-0.31.0\tools\visualization\plot_net_selection.py -n C:\Users\Biko\Dropbox\PhD\Research\Models\SUMO\SUMO_DropBox\Run-Files-Dropbox\W_Philly_OSM_Clipped-9.1-DB.net.xml -i C:\Sumo\runs\West_Philly\DFROUTER-output\Flow_Router_text_Files\Flowrouter-3-Router3_9.txt --xlabel [m] --ylabel [m] --xticks 2252.80,6549.77,1000,16 --yticks 1956.49,6600,1000,16 --selected-width 1 --edge-width .5 -o Flowrouter-3-Router3_9.png --edge-color #606060 --selected-color #800000 --title "Router3_9" /</v>
      </c>
    </row>
    <row r="159" spans="2:5" x14ac:dyDescent="0.25">
      <c r="B159" s="5" t="s">
        <v>1412</v>
      </c>
      <c r="D159" s="7" t="str">
        <f t="shared" si="4"/>
        <v>-o Flowrouter-3-Router3_90.png</v>
      </c>
      <c r="E159" s="9" t="str">
        <f t="shared" si="5"/>
        <v>python C:\Sumo\SUMO-0.31.0\sumo-0.31.0\tools\visualization\plot_net_selection.py -n C:\Users\Biko\Dropbox\PhD\Research\Models\SUMO\SUMO_DropBox\Run-Files-Dropbox\W_Philly_OSM_Clipped-9.1-DB.net.xml -i C:\Sumo\runs\West_Philly\DFROUTER-output\Flow_Router_text_Files\Flowrouter-3-Router3_90.txt --xlabel [m] --ylabel [m] --xticks 2252.80,6549.77,1000,16 --yticks 1956.49,6600,1000,16 --selected-width 1 --edge-width .5 -o Flowrouter-3-Router3_90.png --edge-color #606060 --selected-color #800000 --title "Router3_90" /</v>
      </c>
    </row>
    <row r="160" spans="2:5" x14ac:dyDescent="0.25">
      <c r="B160" s="5" t="s">
        <v>1413</v>
      </c>
      <c r="D160" s="7" t="str">
        <f t="shared" si="4"/>
        <v>-o Flowrouter-3-Router3_91.png</v>
      </c>
      <c r="E160" s="9" t="str">
        <f t="shared" si="5"/>
        <v>python C:\Sumo\SUMO-0.31.0\sumo-0.31.0\tools\visualization\plot_net_selection.py -n C:\Users\Biko\Dropbox\PhD\Research\Models\SUMO\SUMO_DropBox\Run-Files-Dropbox\W_Philly_OSM_Clipped-9.1-DB.net.xml -i C:\Sumo\runs\West_Philly\DFROUTER-output\Flow_Router_text_Files\Flowrouter-3-Router3_91.txt --xlabel [m] --ylabel [m] --xticks 2252.80,6549.77,1000,16 --yticks 1956.49,6600,1000,16 --selected-width 1 --edge-width .5 -o Flowrouter-3-Router3_91.png --edge-color #606060 --selected-color #800000 --title "Router3_91" /</v>
      </c>
    </row>
    <row r="161" spans="2:5" x14ac:dyDescent="0.25">
      <c r="B161" s="5" t="s">
        <v>1414</v>
      </c>
      <c r="D161" s="7" t="str">
        <f t="shared" si="4"/>
        <v>-o Flowrouter-3-Router3_92.png</v>
      </c>
      <c r="E161" s="9" t="str">
        <f t="shared" si="5"/>
        <v>python C:\Sumo\SUMO-0.31.0\sumo-0.31.0\tools\visualization\plot_net_selection.py -n C:\Users\Biko\Dropbox\PhD\Research\Models\SUMO\SUMO_DropBox\Run-Files-Dropbox\W_Philly_OSM_Clipped-9.1-DB.net.xml -i C:\Sumo\runs\West_Philly\DFROUTER-output\Flow_Router_text_Files\Flowrouter-3-Router3_92.txt --xlabel [m] --ylabel [m] --xticks 2252.80,6549.77,1000,16 --yticks 1956.49,6600,1000,16 --selected-width 1 --edge-width .5 -o Flowrouter-3-Router3_92.png --edge-color #606060 --selected-color #800000 --title "Router3_92" /</v>
      </c>
    </row>
    <row r="162" spans="2:5" x14ac:dyDescent="0.25">
      <c r="B162" s="5" t="s">
        <v>1415</v>
      </c>
      <c r="D162" s="7" t="str">
        <f t="shared" si="4"/>
        <v>-o Flowrouter-3-Router3_93.png</v>
      </c>
      <c r="E162" s="9" t="str">
        <f t="shared" si="5"/>
        <v>python C:\Sumo\SUMO-0.31.0\sumo-0.31.0\tools\visualization\plot_net_selection.py -n C:\Users\Biko\Dropbox\PhD\Research\Models\SUMO\SUMO_DropBox\Run-Files-Dropbox\W_Philly_OSM_Clipped-9.1-DB.net.xml -i C:\Sumo\runs\West_Philly\DFROUTER-output\Flow_Router_text_Files\Flowrouter-3-Router3_93.txt --xlabel [m] --ylabel [m] --xticks 2252.80,6549.77,1000,16 --yticks 1956.49,6600,1000,16 --selected-width 1 --edge-width .5 -o Flowrouter-3-Router3_93.png --edge-color #606060 --selected-color #800000 --title "Router3_93" /</v>
      </c>
    </row>
    <row r="163" spans="2:5" x14ac:dyDescent="0.25">
      <c r="B163" s="5" t="s">
        <v>1416</v>
      </c>
      <c r="D163" s="7" t="str">
        <f t="shared" si="4"/>
        <v>-o Flowrouter-3-Router3_94.png</v>
      </c>
      <c r="E163" s="9" t="str">
        <f t="shared" si="5"/>
        <v>python C:\Sumo\SUMO-0.31.0\sumo-0.31.0\tools\visualization\plot_net_selection.py -n C:\Users\Biko\Dropbox\PhD\Research\Models\SUMO\SUMO_DropBox\Run-Files-Dropbox\W_Philly_OSM_Clipped-9.1-DB.net.xml -i C:\Sumo\runs\West_Philly\DFROUTER-output\Flow_Router_text_Files\Flowrouter-3-Router3_94.txt --xlabel [m] --ylabel [m] --xticks 2252.80,6549.77,1000,16 --yticks 1956.49,6600,1000,16 --selected-width 1 --edge-width .5 -o Flowrouter-3-Router3_94.png --edge-color #606060 --selected-color #800000 --title "Router3_94" /</v>
      </c>
    </row>
    <row r="164" spans="2:5" x14ac:dyDescent="0.25">
      <c r="B164" s="5" t="s">
        <v>1417</v>
      </c>
      <c r="D164" s="7" t="str">
        <f t="shared" si="4"/>
        <v>-o Flowrouter-3-Router3_95.png</v>
      </c>
      <c r="E164" s="9" t="str">
        <f t="shared" si="5"/>
        <v>python C:\Sumo\SUMO-0.31.0\sumo-0.31.0\tools\visualization\plot_net_selection.py -n C:\Users\Biko\Dropbox\PhD\Research\Models\SUMO\SUMO_DropBox\Run-Files-Dropbox\W_Philly_OSM_Clipped-9.1-DB.net.xml -i C:\Sumo\runs\West_Philly\DFROUTER-output\Flow_Router_text_Files\Flowrouter-3-Router3_95.txt --xlabel [m] --ylabel [m] --xticks 2252.80,6549.77,1000,16 --yticks 1956.49,6600,1000,16 --selected-width 1 --edge-width .5 -o Flowrouter-3-Router3_95.png --edge-color #606060 --selected-color #800000 --title "Router3_95" /</v>
      </c>
    </row>
    <row r="165" spans="2:5" x14ac:dyDescent="0.25">
      <c r="B165" s="5" t="s">
        <v>1418</v>
      </c>
      <c r="D165" s="7" t="str">
        <f t="shared" si="4"/>
        <v>-o Flowrouter-3-Router3_96.png</v>
      </c>
      <c r="E165" s="9" t="str">
        <f t="shared" si="5"/>
        <v>python C:\Sumo\SUMO-0.31.0\sumo-0.31.0\tools\visualization\plot_net_selection.py -n C:\Users\Biko\Dropbox\PhD\Research\Models\SUMO\SUMO_DropBox\Run-Files-Dropbox\W_Philly_OSM_Clipped-9.1-DB.net.xml -i C:\Sumo\runs\West_Philly\DFROUTER-output\Flow_Router_text_Files\Flowrouter-3-Router3_96.txt --xlabel [m] --ylabel [m] --xticks 2252.80,6549.77,1000,16 --yticks 1956.49,6600,1000,16 --selected-width 1 --edge-width .5 -o Flowrouter-3-Router3_96.png --edge-color #606060 --selected-color #800000 --title "Router3_96" /</v>
      </c>
    </row>
    <row r="166" spans="2:5" x14ac:dyDescent="0.25">
      <c r="B166" s="5" t="s">
        <v>1419</v>
      </c>
      <c r="D166" s="7" t="str">
        <f t="shared" si="4"/>
        <v>-o Flowrouter-3-Router3_97.png</v>
      </c>
      <c r="E166" s="9" t="str">
        <f t="shared" si="5"/>
        <v>python C:\Sumo\SUMO-0.31.0\sumo-0.31.0\tools\visualization\plot_net_selection.py -n C:\Users\Biko\Dropbox\PhD\Research\Models\SUMO\SUMO_DropBox\Run-Files-Dropbox\W_Philly_OSM_Clipped-9.1-DB.net.xml -i C:\Sumo\runs\West_Philly\DFROUTER-output\Flow_Router_text_Files\Flowrouter-3-Router3_97.txt --xlabel [m] --ylabel [m] --xticks 2252.80,6549.77,1000,16 --yticks 1956.49,6600,1000,16 --selected-width 1 --edge-width .5 -o Flowrouter-3-Router3_97.png --edge-color #606060 --selected-color #800000 --title "Router3_97" /</v>
      </c>
    </row>
    <row r="167" spans="2:5" x14ac:dyDescent="0.25">
      <c r="B167" s="5" t="s">
        <v>1420</v>
      </c>
      <c r="D167" s="7" t="str">
        <f t="shared" si="4"/>
        <v>-o Flowrouter-3-Router3_98.png</v>
      </c>
      <c r="E167" s="9" t="str">
        <f t="shared" si="5"/>
        <v>python C:\Sumo\SUMO-0.31.0\sumo-0.31.0\tools\visualization\plot_net_selection.py -n C:\Users\Biko\Dropbox\PhD\Research\Models\SUMO\SUMO_DropBox\Run-Files-Dropbox\W_Philly_OSM_Clipped-9.1-DB.net.xml -i C:\Sumo\runs\West_Philly\DFROUTER-output\Flow_Router_text_Files\Flowrouter-3-Router3_98.txt --xlabel [m] --ylabel [m] --xticks 2252.80,6549.77,1000,16 --yticks 1956.49,6600,1000,16 --selected-width 1 --edge-width .5 -o Flowrouter-3-Router3_98.png --edge-color #606060 --selected-color #800000 --title "Router3_98" /</v>
      </c>
    </row>
    <row r="168" spans="2:5" x14ac:dyDescent="0.25">
      <c r="B168" s="5" t="s">
        <v>1421</v>
      </c>
      <c r="D168" s="7" t="str">
        <f t="shared" si="4"/>
        <v>-o Flowrouter-3-Router3_99.png</v>
      </c>
      <c r="E168" s="9" t="str">
        <f t="shared" si="5"/>
        <v>python C:\Sumo\SUMO-0.31.0\sumo-0.31.0\tools\visualization\plot_net_selection.py -n C:\Users\Biko\Dropbox\PhD\Research\Models\SUMO\SUMO_DropBox\Run-Files-Dropbox\W_Philly_OSM_Clipped-9.1-DB.net.xml -i C:\Sumo\runs\West_Philly\DFROUTER-output\Flow_Router_text_Files\Flowrouter-3-Router3_99.txt --xlabel [m] --ylabel [m] --xticks 2252.80,6549.77,1000,16 --yticks 1956.49,6600,1000,16 --selected-width 1 --edge-width .5 -o Flowrouter-3-Router3_99.png --edge-color #606060 --selected-color #800000 --title "Router3_99" /</v>
      </c>
    </row>
    <row r="169" spans="2:5" x14ac:dyDescent="0.25">
      <c r="B169" t="s">
        <v>1424</v>
      </c>
      <c r="D169" s="7" t="str">
        <f>_xlfn.CONCAT("-o ",LEFT(B169,LEN(B169)-4),".png")</f>
        <v>-o FlowRouter-3-Edges-Used.png</v>
      </c>
      <c r="E169" s="9" t="str">
        <f>_xlfn.CONCAT($A$1,$B$1,B169,$C$1,D169,$E$1,LEFT(RIGHT(B169,LEN(B169)-13),LEN(RIGHT(B169,LEN(B169)-13))-4),$F$1)</f>
        <v>python C:\Sumo\SUMO-0.31.0\sumo-0.31.0\tools\visualization\plot_net_selection.py -n C:\Users\Biko\Dropbox\PhD\Research\Models\SUMO\SUMO_DropBox\Run-Files-Dropbox\W_Philly_OSM_Clipped-9.1-DB.net.xml -i C:\Sumo\runs\West_Philly\DFROUTER-output\Flow_Router_text_Files\FlowRouter-3-Edges-Used.txt --xlabel [m] --ylabel [m] --xticks 2252.80,6549.77,1000,16 --yticks 1956.49,6600,1000,16 --selected-width 1 --edge-width .5 -o FlowRouter-3-Edges-Used.png --edge-color #606060 --selected-color #800000 --title "Edges-Used" /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04B1906-F6F3-4161-BBDD-C43F0959445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code1</vt:lpstr>
      <vt:lpstr>Route_Column</vt:lpstr>
      <vt:lpstr>Belmont-Frouter</vt:lpstr>
      <vt:lpstr>try3</vt:lpstr>
      <vt:lpstr>Route_Probes</vt:lpstr>
      <vt:lpstr>User-Tracker</vt:lpstr>
      <vt:lpstr>Sheet1</vt:lpstr>
      <vt:lpstr>Sheet8</vt:lpstr>
      <vt:lpstr>code3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Biko</dc:creator>
  <cp:lastModifiedBy>Biko</cp:lastModifiedBy>
  <dcterms:created xsi:type="dcterms:W3CDTF">2017-09-26T19:02:41Z</dcterms:created>
  <dcterms:modified xsi:type="dcterms:W3CDTF">2017-10-12T21:51:27Z</dcterms:modified>
</cp:coreProperties>
</file>